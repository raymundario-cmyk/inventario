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83" firstSheet="0" activeTab="2" autoFilterDateGrouping="1"/>
  </bookViews>
  <sheets>
    <sheet xmlns:r="http://schemas.openxmlformats.org/officeDocument/2006/relationships" name="Base Insumos" sheetId="1" state="visible" r:id="rId1"/>
    <sheet xmlns:r="http://schemas.openxmlformats.org/officeDocument/2006/relationships" name="Estrutura Protheus" sheetId="2" state="visible" r:id="rId2"/>
    <sheet xmlns:r="http://schemas.openxmlformats.org/officeDocument/2006/relationships" name="Fichas Flat" sheetId="3" state="visible" r:id="rId3"/>
    <sheet xmlns:r="http://schemas.openxmlformats.org/officeDocument/2006/relationships" name="CMV Consolidado" sheetId="4" state="visible" r:id="rId4"/>
    <sheet xmlns:r="http://schemas.openxmlformats.org/officeDocument/2006/relationships" name="Vendidos" sheetId="5" state="visible" r:id="rId5"/>
    <sheet xmlns:r="http://schemas.openxmlformats.org/officeDocument/2006/relationships" name="_ZIG_Cadastro" sheetId="6" state="visible" r:id="rId6"/>
    <sheet xmlns:r="http://schemas.openxmlformats.org/officeDocument/2006/relationships" name="_Entradas_ZIG" sheetId="7" state="visible" r:id="rId7"/>
    <sheet xmlns:r="http://schemas.openxmlformats.org/officeDocument/2006/relationships" name="_Protheus_Cadastro" sheetId="8" state="visible" r:id="rId8"/>
    <sheet xmlns:r="http://schemas.openxmlformats.org/officeDocument/2006/relationships" name="_ZIG_Precos" sheetId="9" state="visible" r:id="rId9"/>
    <sheet xmlns:r="http://schemas.openxmlformats.org/officeDocument/2006/relationships" name="Pendencias" sheetId="10" state="visible" r:id="rId10"/>
  </sheets>
  <definedNames>
    <definedName name="_xlnm._FilterDatabase" localSheetId="1" hidden="1">'Estrutura Protheus'!$A$1:$M$1162</definedName>
    <definedName name="_xlnm._FilterDatabase" localSheetId="2" hidden="1">'Fichas Flat'!$A$1:$N$780</definedName>
    <definedName name="_xlnm._FilterDatabase" localSheetId="3" hidden="1">'CMV Consolidado'!$A$2:$V$240</definedName>
    <definedName name="_xlnm._FilterDatabase" localSheetId="4" hidden="1">'Vendidos'!$A$2:$AK$891</definedName>
    <definedName name="_xlnm._FilterDatabase" localSheetId="5" hidden="1">'_ZIG_Cadastro'!$A$1:$G$701</definedName>
    <definedName name="_xlnm._FilterDatabase" localSheetId="6" hidden="1">'_Entradas_ZIG'!$A$1:$F$186</definedName>
    <definedName name="_xlnm._FilterDatabase" localSheetId="7" hidden="1">'_Protheus_Cadastro'!$A$1:$J$3106</definedName>
  </definedNames>
  <calcPr calcId="191029" fullCalcOnLoad="1" iterateDelta="0.0001"/>
</workbook>
</file>

<file path=xl/styles.xml><?xml version="1.0" encoding="utf-8"?>
<styleSheet xmlns="http://schemas.openxmlformats.org/spreadsheetml/2006/main">
  <numFmts count="11">
    <numFmt numFmtId="164" formatCode="_-&quot;R$&quot;* #,##0.00_-;_-&quot;R$&quot;* \-#,##0.00_-;_-&quot;R$&quot;* \-??_-;_-@_-"/>
    <numFmt numFmtId="165" formatCode="#,##0.000"/>
    <numFmt numFmtId="166" formatCode="0.0%"/>
    <numFmt numFmtId="167" formatCode="_-&quot;R$&quot;* #,##0.00_-"/>
    <numFmt numFmtId="168" formatCode="\R\$\ #,##0.00"/>
    <numFmt numFmtId="169" formatCode="_-* #,##0.00_-;\-* #,##0.00_-;_-* &quot;-&quot;??_-;_-@_-"/>
    <numFmt numFmtId="170" formatCode="_-* #,##0.0000_-;\-* #,##0.0000_-;_-* &quot;-&quot;??_-;_-@_-"/>
    <numFmt numFmtId="171" formatCode="_-* #,##0.000000_-;\-* #,##0.000000_-;_-* &quot;-&quot;??_-;_-@_-"/>
    <numFmt numFmtId="172" formatCode="\+0.0%;\-0.0%;\—"/>
    <numFmt numFmtId="173" formatCode="_-&quot;R$&quot;\ * #,##0.00_-;\-&quot;R$&quot;\ * #,##0.00_-;_-&quot;R$&quot;\ * &quot;-&quot;??_-;_-@_-"/>
    <numFmt numFmtId="174" formatCode="_-[$R$-416]\ * #,##0.00_-;\-[$R$-416]\ * #,##0.00_-;_-[$R$-416]\ * &quot;-&quot;??_-;_-@_-"/>
  </numFmts>
  <fonts count="46">
    <font>
      <name val="Calibri"/>
      <charset val="1"/>
      <family val="2"/>
      <color theme="1"/>
      <sz val="11"/>
    </font>
    <font>
      <name val="Arial"/>
      <charset val="1"/>
      <b val="1"/>
      <color rgb="FFFFFFFF"/>
      <sz val="9"/>
    </font>
    <font>
      <name val="Arial"/>
      <charset val="1"/>
      <b val="1"/>
      <color rgb="FF000000"/>
      <sz val="9"/>
    </font>
    <font>
      <name val="Arial"/>
      <charset val="1"/>
      <color rgb="FF000000"/>
      <sz val="9"/>
    </font>
    <font>
      <name val="Arial"/>
      <charset val="1"/>
      <i val="1"/>
      <color rgb="FF7F6000"/>
      <sz val="9"/>
    </font>
    <font>
      <name val="Arial"/>
      <charset val="1"/>
      <b val="1"/>
      <color rgb="FF1F3864"/>
      <sz val="8"/>
    </font>
    <font>
      <name val="Arial"/>
      <charset val="1"/>
      <color rgb="FF1F3864"/>
      <sz val="9"/>
    </font>
    <font>
      <name val="Arial"/>
      <charset val="1"/>
      <b val="1"/>
      <color rgb="FFC00000"/>
      <sz val="9"/>
    </font>
    <font>
      <name val="Arial"/>
      <charset val="1"/>
      <i val="1"/>
      <color rgb="FFC00000"/>
      <sz val="9"/>
    </font>
    <font>
      <name val="Arial"/>
      <charset val="1"/>
      <b val="1"/>
      <color rgb="FFFFFFFF"/>
      <sz val="10"/>
    </font>
    <font>
      <name val="Arial"/>
      <charset val="1"/>
      <b val="1"/>
      <color rgb="FFFFFFFF"/>
      <sz val="8"/>
    </font>
    <font>
      <name val="Arial"/>
      <b val="1"/>
      <color rgb="FFFFFFFF"/>
      <sz val="9"/>
    </font>
    <font>
      <name val="Arial"/>
      <b val="1"/>
      <color rgb="FF000000"/>
      <sz val="9"/>
    </font>
    <font>
      <name val="Arial"/>
      <color rgb="FF000000"/>
      <sz val="9"/>
    </font>
    <font>
      <name val="Arial"/>
      <b val="1"/>
      <color rgb="FF2E75B6"/>
      <sz val="9"/>
    </font>
    <font>
      <name val="Arial"/>
      <i val="1"/>
      <color rgb="FF595959"/>
      <sz val="8"/>
    </font>
    <font>
      <name val="Arial"/>
      <color rgb="FF595959"/>
      <sz val="9"/>
    </font>
    <font>
      <name val="Arial"/>
      <b val="1"/>
      <color rgb="FF1F3864"/>
      <sz val="8"/>
    </font>
    <font>
      <name val="Arial"/>
      <color rgb="FF999999"/>
      <sz val="9"/>
    </font>
    <font>
      <name val="Arial"/>
      <b val="1"/>
      <color rgb="FFC00000"/>
      <sz val="9"/>
    </font>
    <font>
      <name val="Arial"/>
      <i val="1"/>
      <color rgb="FF000000"/>
      <sz val="9"/>
    </font>
    <font>
      <name val="Arial"/>
      <color rgb="FF833C00"/>
      <sz val="9"/>
    </font>
    <font>
      <name val="Arial"/>
      <b val="1"/>
      <color rgb="FF833C00"/>
      <sz val="9"/>
    </font>
    <font>
      <name val="Arial"/>
      <b val="1"/>
      <color rgb="FF7F6000"/>
      <sz val="9"/>
    </font>
    <font>
      <name val="Arial"/>
      <i val="1"/>
      <color rgb="FF595959"/>
      <sz val="9"/>
    </font>
    <font>
      <name val="Arial"/>
      <b val="1"/>
      <sz val="9"/>
    </font>
    <font>
      <name val="Arial"/>
      <sz val="9"/>
    </font>
    <font>
      <name val="Arial"/>
      <b val="1"/>
      <sz val="8"/>
    </font>
    <font>
      <name val="Arial"/>
      <b val="1"/>
      <color rgb="FF274E13"/>
      <sz val="9"/>
    </font>
    <font>
      <name val="Arial"/>
      <b val="1"/>
      <color rgb="FF185A4B"/>
      <sz val="9"/>
    </font>
    <font>
      <name val="Arial"/>
      <i val="1"/>
      <color rgb="FF999999"/>
      <sz val="9"/>
    </font>
    <font>
      <name val="Arial"/>
      <b val="1"/>
      <color rgb="FF1F3864"/>
      <sz val="9"/>
    </font>
    <font>
      <name val="Arial"/>
      <b val="1"/>
      <color rgb="FFFFFFFF"/>
      <sz val="8"/>
    </font>
    <font>
      <name val="Arial"/>
      <family val="2"/>
      <b val="1"/>
      <color rgb="FFFFFFFF"/>
      <sz val="9"/>
    </font>
    <font>
      <name val="Courier New"/>
      <family val="2"/>
      <color indexed="8"/>
      <sz val="6"/>
    </font>
    <font>
      <name val="Courier New"/>
      <family val="2"/>
      <color indexed="9"/>
      <sz val="6"/>
    </font>
    <font>
      <name val="Arial"/>
      <family val="2"/>
      <color rgb="FF000000"/>
      <sz val="9"/>
    </font>
    <font>
      <name val="Arial"/>
      <family val="2"/>
      <b val="1"/>
      <color rgb="FF000000"/>
      <sz val="9"/>
    </font>
    <font>
      <name val="Arial"/>
      <family val="2"/>
      <color theme="1"/>
      <sz val="9"/>
    </font>
    <font>
      <name val="Arial"/>
      <family val="2"/>
      <b val="1"/>
      <color theme="1"/>
      <sz val="9"/>
    </font>
    <font>
      <name val="Arial"/>
      <family val="2"/>
      <color theme="1"/>
      <sz val="8"/>
    </font>
    <font>
      <name val="Arial"/>
      <family val="2"/>
      <b val="1"/>
      <color rgb="FFFFFFFF"/>
      <sz val="8"/>
    </font>
    <font>
      <name val="Arial"/>
      <family val="2"/>
      <b val="1"/>
      <color theme="1"/>
      <sz val="8"/>
    </font>
    <font>
      <name val="Calibri"/>
      <color rgb="FF375623"/>
      <sz val="11"/>
    </font>
    <font>
      <name val="Calibri"/>
      <color rgb="FF9C0006"/>
      <sz val="11"/>
    </font>
    <font>
      <name val="Calibri"/>
      <color rgb="FF9C0006"/>
      <sz val="11"/>
    </font>
  </fonts>
  <fills count="36">
    <fill>
      <patternFill/>
    </fill>
    <fill>
      <patternFill patternType="gray125"/>
    </fill>
    <fill>
      <patternFill patternType="solid">
        <fgColor rgb="FF2E75B6"/>
        <bgColor rgb="FF1F5C8B"/>
      </patternFill>
    </fill>
    <fill>
      <patternFill patternType="solid">
        <fgColor rgb="FFEEF2F7"/>
        <bgColor rgb="FFEEF4FB"/>
      </patternFill>
    </fill>
    <fill>
      <patternFill patternType="solid">
        <fgColor rgb="FFFFFFFF"/>
        <bgColor rgb="FFEEF4FB"/>
      </patternFill>
    </fill>
    <fill>
      <patternFill patternType="solid">
        <fgColor rgb="FFFFF2CC"/>
        <bgColor rgb="FFFCE4D6"/>
      </patternFill>
    </fill>
    <fill>
      <patternFill patternType="solid">
        <fgColor rgb="FFFCE4D6"/>
        <bgColor rgb="FFFFF2CC"/>
      </patternFill>
    </fill>
    <fill>
      <patternFill patternType="solid">
        <fgColor rgb="FF1F5C8B"/>
        <bgColor rgb="FF185A4B"/>
      </patternFill>
    </fill>
    <fill>
      <patternFill patternType="solid">
        <fgColor rgb="FF4E5A6B"/>
        <bgColor rgb="FF1F5C8B"/>
      </patternFill>
    </fill>
    <fill>
      <patternFill patternType="solid">
        <fgColor rgb="FF185A4B"/>
        <bgColor rgb="FF1F5C8B"/>
      </patternFill>
    </fill>
    <fill>
      <patternFill patternType="solid">
        <fgColor rgb="FFEEF4FB"/>
        <bgColor rgb="FFEEF2F7"/>
      </patternFill>
    </fill>
    <fill>
      <patternFill patternType="solid">
        <fgColor rgb="FFE0ECF8"/>
        <bgColor rgb="FFEEF2F7"/>
      </patternFill>
    </fill>
    <fill>
      <patternFill patternType="solid">
        <fgColor rgb="FFFFFFFF"/>
      </patternFill>
    </fill>
    <fill>
      <patternFill patternType="solid">
        <fgColor rgb="FF2E75B6"/>
      </patternFill>
    </fill>
    <fill>
      <patternFill patternType="solid">
        <fgColor rgb="FF185A4B"/>
      </patternFill>
    </fill>
    <fill>
      <patternFill patternType="solid">
        <fgColor rgb="FFFFF2CC"/>
      </patternFill>
    </fill>
    <fill>
      <patternFill patternType="solid">
        <fgColor rgb="FFE2EFDA"/>
      </patternFill>
    </fill>
    <fill>
      <patternFill patternType="solid">
        <fgColor rgb="FFFCE9D4"/>
      </patternFill>
    </fill>
    <fill>
      <patternFill patternType="solid">
        <fgColor rgb="FFFCE4D6"/>
      </patternFill>
    </fill>
    <fill>
      <patternFill patternType="solid">
        <fgColor rgb="FFEEF2F7"/>
      </patternFill>
    </fill>
    <fill>
      <patternFill patternType="solid">
        <fgColor rgb="FF1F3864"/>
      </patternFill>
    </fill>
    <fill>
      <patternFill patternType="solid">
        <fgColor rgb="FFD6E4F7"/>
      </patternFill>
    </fill>
    <fill>
      <patternFill patternType="solid">
        <fgColor rgb="FFD9EAD3"/>
      </patternFill>
    </fill>
    <fill>
      <patternFill patternType="solid">
        <fgColor rgb="FFC00000"/>
      </patternFill>
    </fill>
    <fill>
      <patternFill patternType="solid">
        <fgColor rgb="FF4E5A6B"/>
      </patternFill>
    </fill>
    <fill>
      <patternFill patternType="solid">
        <fgColor rgb="FFCFE2F3"/>
      </patternFill>
    </fill>
    <fill>
      <patternFill patternType="solid">
        <fgColor rgb="FFFF6600"/>
      </patternFill>
    </fill>
    <fill>
      <patternFill patternType="solid">
        <fgColor rgb="FF1A7A8A"/>
      </patternFill>
    </fill>
    <fill>
      <patternFill patternType="solid">
        <fgColor rgb="FF4A6FA5"/>
      </patternFill>
    </fill>
    <fill>
      <patternFill patternType="solid">
        <fgColor rgb="FF7F8C8D"/>
      </patternFill>
    </fill>
    <fill>
      <patternFill patternType="solid">
        <fgColor rgb="FFB8CCE4"/>
        <bgColor indexed="64"/>
      </patternFill>
    </fill>
    <fill>
      <patternFill patternType="solid">
        <fgColor rgb="FFDCE6F1"/>
        <bgColor indexed="64"/>
      </patternFill>
    </fill>
    <fill>
      <patternFill patternType="solid">
        <fgColor rgb="FF4F81BD"/>
        <bgColor indexed="64"/>
      </patternFill>
    </fill>
    <fill>
      <patternFill patternType="solid">
        <fgColor rgb="FFFFFF00"/>
        <bgColor indexed="64"/>
      </patternFill>
    </fill>
    <fill>
      <patternFill patternType="solid">
        <fgColor rgb="FFE2EFDA"/>
        <bgColor rgb="FFE2EFDA"/>
      </patternFill>
    </fill>
    <fill>
      <patternFill patternType="solid">
        <fgColor rgb="FFFF9999"/>
        <bgColor rgb="FFFF9999"/>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8CCE4"/>
      </left>
      <right/>
      <top style="thin">
        <color rgb="FFB8CCE4"/>
      </top>
      <bottom/>
      <diagonal/>
    </border>
    <border>
      <left style="thin">
        <color rgb="FFDCE6F1"/>
      </left>
      <right/>
      <top style="thin">
        <color rgb="FFDCE6F1"/>
      </top>
      <bottom/>
      <diagonal/>
    </border>
    <border>
      <left/>
      <right style="thin">
        <color rgb="FF4F81BD"/>
      </right>
      <top style="thin">
        <color rgb="FF4F81BD"/>
      </top>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34" fillId="0" borderId="0"/>
  </cellStyleXfs>
  <cellXfs count="2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164" fontId="3" fillId="3" borderId="1" applyAlignment="1" pivotButton="0" quotePrefix="0" xfId="0">
      <alignment horizontal="right" vertical="center"/>
    </xf>
    <xf numFmtId="0" fontId="3" fillId="3" borderId="1" applyAlignment="1" pivotButton="0" quotePrefix="0" xfId="0">
      <alignment horizontal="center" vertical="center"/>
    </xf>
    <xf numFmtId="0" fontId="2" fillId="4" borderId="1" applyAlignment="1" pivotButton="0" quotePrefix="0" xfId="0">
      <alignment horizontal="center" vertical="center"/>
    </xf>
    <xf numFmtId="0" fontId="3" fillId="4" borderId="1" applyAlignment="1" pivotButton="0" quotePrefix="0" xfId="0">
      <alignment horizontal="left" vertical="center"/>
    </xf>
    <xf numFmtId="164" fontId="3" fillId="4" borderId="1" applyAlignment="1" pivotButton="0" quotePrefix="0" xfId="0">
      <alignment horizontal="right" vertical="center"/>
    </xf>
    <xf numFmtId="0" fontId="3" fillId="4" borderId="1" applyAlignment="1" pivotButton="0" quotePrefix="0" xfId="0">
      <alignment horizontal="center" vertical="center"/>
    </xf>
    <xf numFmtId="0" fontId="4" fillId="5" borderId="1" applyAlignment="1" pivotButton="0" quotePrefix="0" xfId="0">
      <alignment horizontal="left" vertical="center"/>
    </xf>
    <xf numFmtId="0" fontId="5" fillId="3" borderId="1" applyAlignment="1" pivotButton="0" quotePrefix="0" xfId="0">
      <alignment horizontal="center" vertical="center"/>
    </xf>
    <xf numFmtId="0" fontId="6" fillId="3" borderId="1" applyAlignment="1" pivotButton="0" quotePrefix="0" xfId="0">
      <alignment horizontal="left" vertical="center"/>
    </xf>
    <xf numFmtId="0" fontId="2" fillId="3" borderId="1" applyAlignment="1" pivotButton="0" quotePrefix="0" xfId="0">
      <alignment horizontal="left" vertical="center"/>
    </xf>
    <xf numFmtId="165" fontId="3" fillId="3" borderId="1" applyAlignment="1" pivotButton="0" quotePrefix="0" xfId="0">
      <alignment horizontal="right" vertical="center"/>
    </xf>
    <xf numFmtId="166" fontId="3" fillId="3"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left" vertical="center"/>
    </xf>
    <xf numFmtId="0" fontId="2" fillId="4" borderId="1" applyAlignment="1" pivotButton="0" quotePrefix="0" xfId="0">
      <alignment horizontal="left" vertical="center"/>
    </xf>
    <xf numFmtId="165" fontId="3" fillId="4" borderId="1" applyAlignment="1" pivotButton="0" quotePrefix="0" xfId="0">
      <alignment horizontal="right" vertical="center"/>
    </xf>
    <xf numFmtId="166" fontId="3" fillId="4"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xf>
    <xf numFmtId="164" fontId="3" fillId="6" borderId="1" applyAlignment="1" pivotButton="0" quotePrefix="0" xfId="0">
      <alignment horizontal="right" vertical="center"/>
    </xf>
    <xf numFmtId="0" fontId="8" fillId="5" borderId="1" applyAlignment="1" pivotButton="0" quotePrefix="0" xfId="0">
      <alignment horizontal="center" vertical="center"/>
    </xf>
    <xf numFmtId="0" fontId="10"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3" borderId="4" applyAlignment="1" pivotButton="0" quotePrefix="0" xfId="0">
      <alignment horizontal="center" vertical="center" wrapText="1"/>
    </xf>
    <xf numFmtId="0" fontId="11" fillId="14" borderId="4" applyAlignment="1" pivotButton="0" quotePrefix="0" xfId="0">
      <alignment horizontal="center" vertical="center" wrapText="1"/>
    </xf>
    <xf numFmtId="0" fontId="12" fillId="15" borderId="4" applyAlignment="1" pivotButton="0" quotePrefix="0" xfId="0">
      <alignment horizontal="center" vertical="center"/>
    </xf>
    <xf numFmtId="0" fontId="13" fillId="15" borderId="4" applyAlignment="1" pivotButton="0" quotePrefix="0" xfId="0">
      <alignment horizontal="left" vertical="center"/>
    </xf>
    <xf numFmtId="0" fontId="13" fillId="15" borderId="4" applyAlignment="1" pivotButton="0" quotePrefix="0" xfId="0">
      <alignment horizontal="center" vertical="center"/>
    </xf>
    <xf numFmtId="0" fontId="12" fillId="17" borderId="4" applyAlignment="1" pivotButton="0" quotePrefix="0" xfId="0">
      <alignment horizontal="center" vertical="center"/>
    </xf>
    <xf numFmtId="0" fontId="13" fillId="17" borderId="4" applyAlignment="1" pivotButton="0" quotePrefix="0" xfId="0">
      <alignment horizontal="left" vertical="center"/>
    </xf>
    <xf numFmtId="0" fontId="13" fillId="17" borderId="4" applyAlignment="1" pivotButton="0" quotePrefix="0" xfId="0">
      <alignment horizontal="center" vertical="center"/>
    </xf>
    <xf numFmtId="0" fontId="12" fillId="18" borderId="4" applyAlignment="1" pivotButton="0" quotePrefix="0" xfId="0">
      <alignment horizontal="center" vertical="center"/>
    </xf>
    <xf numFmtId="0" fontId="13" fillId="18" borderId="4" applyAlignment="1" pivotButton="0" quotePrefix="0" xfId="0">
      <alignment horizontal="left" vertical="center"/>
    </xf>
    <xf numFmtId="0" fontId="13" fillId="18" borderId="4" applyAlignment="1" pivotButton="0" quotePrefix="0" xfId="0">
      <alignment horizontal="center" vertical="center"/>
    </xf>
    <xf numFmtId="0" fontId="12" fillId="19" borderId="4" applyAlignment="1" pivotButton="0" quotePrefix="0" xfId="0">
      <alignment horizontal="center" vertical="center"/>
    </xf>
    <xf numFmtId="0" fontId="13" fillId="19" borderId="4" applyAlignment="1" pivotButton="0" quotePrefix="0" xfId="0">
      <alignment horizontal="left" vertical="center"/>
    </xf>
    <xf numFmtId="0" fontId="13" fillId="19" borderId="4" applyAlignment="1" pivotButton="0" quotePrefix="0" xfId="0">
      <alignment horizontal="center" vertical="center"/>
    </xf>
    <xf numFmtId="0" fontId="12" fillId="12" borderId="4" applyAlignment="1" pivotButton="0" quotePrefix="0" xfId="0">
      <alignment horizontal="center" vertical="center"/>
    </xf>
    <xf numFmtId="0" fontId="13" fillId="12" borderId="4" applyAlignment="1" pivotButton="0" quotePrefix="0" xfId="0">
      <alignment horizontal="left" vertical="center"/>
    </xf>
    <xf numFmtId="0" fontId="13" fillId="12" borderId="4" applyAlignment="1" pivotButton="0" quotePrefix="0" xfId="0">
      <alignment horizontal="center" vertical="center"/>
    </xf>
    <xf numFmtId="0" fontId="11" fillId="20" borderId="4" applyAlignment="1" pivotButton="0" quotePrefix="0" xfId="0">
      <alignment horizontal="center" vertical="center" wrapText="1"/>
    </xf>
    <xf numFmtId="0" fontId="14" fillId="19" borderId="4" applyAlignment="1" pivotButton="0" quotePrefix="0" xfId="0">
      <alignment horizontal="center" vertical="center"/>
    </xf>
    <xf numFmtId="0" fontId="14" fillId="12" borderId="4" applyAlignment="1" pivotButton="0" quotePrefix="0" xfId="0">
      <alignment horizontal="center" vertical="center"/>
    </xf>
    <xf numFmtId="0" fontId="18" fillId="19" borderId="4" applyAlignment="1" pivotButton="0" quotePrefix="0" xfId="0">
      <alignment horizontal="center" vertical="center"/>
    </xf>
    <xf numFmtId="0" fontId="18" fillId="12" borderId="4" applyAlignment="1" pivotButton="0" quotePrefix="0" xfId="0">
      <alignment horizontal="center" vertical="center"/>
    </xf>
    <xf numFmtId="0" fontId="11" fillId="23" borderId="4" applyAlignment="1" pivotButton="0" quotePrefix="0" xfId="0">
      <alignment horizontal="center" vertical="center" wrapText="1"/>
    </xf>
    <xf numFmtId="0" fontId="19" fillId="18" borderId="4" applyAlignment="1" pivotButton="0" quotePrefix="0" xfId="0">
      <alignment horizontal="center" vertical="center"/>
    </xf>
    <xf numFmtId="0" fontId="19" fillId="18" borderId="4" applyAlignment="1" pivotButton="0" quotePrefix="0" xfId="0">
      <alignment horizontal="left" vertical="center"/>
    </xf>
    <xf numFmtId="0" fontId="20" fillId="18" borderId="4" applyAlignment="1" pivotButton="0" quotePrefix="0" xfId="0">
      <alignment horizontal="left" vertical="center"/>
    </xf>
    <xf numFmtId="0" fontId="21" fillId="18" borderId="4" applyAlignment="1" pivotButton="0" quotePrefix="0" xfId="0">
      <alignment horizontal="center" vertical="center"/>
    </xf>
    <xf numFmtId="0" fontId="22" fillId="17" borderId="4" applyAlignment="1" pivotButton="0" quotePrefix="0" xfId="0">
      <alignment horizontal="center" vertical="center"/>
    </xf>
    <xf numFmtId="0" fontId="22" fillId="17" borderId="4" applyAlignment="1" pivotButton="0" quotePrefix="0" xfId="0">
      <alignment horizontal="left" vertical="center"/>
    </xf>
    <xf numFmtId="0" fontId="20" fillId="17" borderId="4" applyAlignment="1" pivotButton="0" quotePrefix="0" xfId="0">
      <alignment horizontal="left" vertical="center"/>
    </xf>
    <xf numFmtId="0" fontId="21" fillId="17" borderId="4" applyAlignment="1" pivotButton="0" quotePrefix="0" xfId="0">
      <alignment horizontal="center" vertical="center"/>
    </xf>
    <xf numFmtId="0" fontId="23" fillId="15" borderId="4" applyAlignment="1" pivotButton="0" quotePrefix="0" xfId="0">
      <alignment horizontal="center" vertical="center"/>
    </xf>
    <xf numFmtId="0" fontId="23" fillId="15" borderId="4" applyAlignment="1" pivotButton="0" quotePrefix="0" xfId="0">
      <alignment horizontal="left" vertical="center"/>
    </xf>
    <xf numFmtId="0" fontId="20" fillId="15" borderId="4" applyAlignment="1" pivotButton="0" quotePrefix="0" xfId="0">
      <alignment horizontal="left" vertical="center"/>
    </xf>
    <xf numFmtId="0" fontId="21" fillId="15" borderId="4" applyAlignment="1" pivotButton="0" quotePrefix="0" xfId="0">
      <alignment horizontal="center" vertical="center"/>
    </xf>
    <xf numFmtId="0" fontId="11" fillId="24" borderId="4" applyAlignment="1" pivotButton="0" quotePrefix="0" xfId="0">
      <alignment horizontal="center" vertical="center" wrapText="1"/>
    </xf>
    <xf numFmtId="0" fontId="28" fillId="22" borderId="4" applyAlignment="1" pivotButton="0" quotePrefix="0" xfId="0">
      <alignment horizontal="center" vertical="center"/>
    </xf>
    <xf numFmtId="167" fontId="13" fillId="12" borderId="4" applyAlignment="1" pivotButton="0" quotePrefix="0" xfId="0">
      <alignment horizontal="right" vertical="center"/>
    </xf>
    <xf numFmtId="0" fontId="29" fillId="16" borderId="4" applyAlignment="1" pivotButton="0" quotePrefix="0" xfId="0">
      <alignment horizontal="center" vertical="center"/>
    </xf>
    <xf numFmtId="167" fontId="30" fillId="19" borderId="4" applyAlignment="1" pivotButton="0" quotePrefix="0" xfId="0">
      <alignment horizontal="right" vertical="center"/>
    </xf>
    <xf numFmtId="167" fontId="30" fillId="12" borderId="4" applyAlignment="1" pivotButton="0" quotePrefix="0" xfId="0">
      <alignment horizontal="right" vertical="center"/>
    </xf>
    <xf numFmtId="0" fontId="31" fillId="25" borderId="4" applyAlignment="1" pivotButton="0" quotePrefix="0" xfId="0">
      <alignment horizontal="center" vertical="center"/>
    </xf>
    <xf numFmtId="167" fontId="13" fillId="19" borderId="4" applyAlignment="1" pivotButton="0" quotePrefix="0" xfId="0">
      <alignment horizontal="right" vertical="center"/>
    </xf>
    <xf numFmtId="0" fontId="11" fillId="26" borderId="4" applyAlignment="1" pivotButton="0" quotePrefix="0" xfId="0">
      <alignment horizontal="center" vertical="center" wrapText="1"/>
    </xf>
    <xf numFmtId="0" fontId="26" fillId="12" borderId="4" applyAlignment="1" pivotButton="0" quotePrefix="0" xfId="0">
      <alignment horizontal="right" vertical="center"/>
    </xf>
    <xf numFmtId="0" fontId="24" fillId="12" borderId="4" applyAlignment="1" pivotButton="0" quotePrefix="0" xfId="0">
      <alignment horizontal="center" vertical="center"/>
    </xf>
    <xf numFmtId="0" fontId="26" fillId="19" borderId="4" applyAlignment="1" pivotButton="0" quotePrefix="0" xfId="0">
      <alignment horizontal="right" vertical="center"/>
    </xf>
    <xf numFmtId="0" fontId="24" fillId="19" borderId="4" applyAlignment="1" pivotButton="0" quotePrefix="0" xfId="0">
      <alignment horizontal="center" vertical="center"/>
    </xf>
    <xf numFmtId="168" fontId="26" fillId="12" borderId="4" applyAlignment="1" pivotButton="0" quotePrefix="0" xfId="0">
      <alignment horizontal="right" vertical="center"/>
    </xf>
    <xf numFmtId="168" fontId="26" fillId="19" borderId="4" applyAlignment="1" pivotButton="0" quotePrefix="0" xfId="0">
      <alignment horizontal="right" vertical="center"/>
    </xf>
    <xf numFmtId="0" fontId="25" fillId="3" borderId="1" applyAlignment="1" pivotButton="0" quotePrefix="0" xfId="0">
      <alignment horizontal="center" vertical="center"/>
    </xf>
    <xf numFmtId="0" fontId="25" fillId="4" borderId="1" applyAlignment="1" pivotButton="0" quotePrefix="0" xfId="0">
      <alignment horizontal="center" vertical="center"/>
    </xf>
    <xf numFmtId="0" fontId="32" fillId="13" borderId="5" applyAlignment="1" pivotButton="0" quotePrefix="0" xfId="0">
      <alignment horizontal="center" vertical="center" wrapText="1"/>
    </xf>
    <xf numFmtId="0" fontId="32" fillId="14" borderId="5" applyAlignment="1" pivotButton="0" quotePrefix="0" xfId="0">
      <alignment horizontal="center" vertical="center" wrapText="1"/>
    </xf>
    <xf numFmtId="0" fontId="32" fillId="24" borderId="5" applyAlignment="1" pivotButton="0" quotePrefix="0" xfId="0">
      <alignment horizontal="center" vertical="center" wrapText="1"/>
    </xf>
    <xf numFmtId="0" fontId="32" fillId="27" borderId="5" applyAlignment="1" pivotButton="0" quotePrefix="0" xfId="0">
      <alignment horizontal="center" vertical="center" wrapText="1"/>
    </xf>
    <xf numFmtId="0" fontId="32" fillId="28" borderId="5" applyAlignment="1" pivotButton="0" quotePrefix="0" xfId="0">
      <alignment horizontal="center" vertical="center" wrapText="1"/>
    </xf>
    <xf numFmtId="0" fontId="32" fillId="29" borderId="5" applyAlignment="1" pivotButton="0" quotePrefix="0" xfId="0">
      <alignment horizontal="center" vertical="center" wrapText="1"/>
    </xf>
    <xf numFmtId="0" fontId="32" fillId="20" borderId="5" applyAlignment="1" pivotButton="0" quotePrefix="0" xfId="0">
      <alignment horizontal="center" vertical="center" wrapText="1"/>
    </xf>
    <xf numFmtId="0" fontId="17" fillId="21" borderId="5" applyAlignment="1" pivotButton="0" quotePrefix="0" xfId="0">
      <alignment horizontal="center" vertical="center"/>
    </xf>
    <xf numFmtId="0" fontId="12" fillId="12" borderId="5" applyAlignment="1" pivotButton="0" quotePrefix="0" xfId="0">
      <alignment horizontal="center" vertical="center"/>
    </xf>
    <xf numFmtId="0" fontId="13" fillId="12" borderId="5" applyAlignment="1" pivotButton="0" quotePrefix="0" xfId="0">
      <alignment horizontal="left" vertical="center"/>
    </xf>
    <xf numFmtId="0" fontId="13" fillId="12" borderId="5" applyAlignment="1" pivotButton="0" quotePrefix="0" xfId="0">
      <alignment horizontal="center" vertical="center"/>
    </xf>
    <xf numFmtId="0" fontId="27" fillId="12" borderId="5" applyAlignment="1" pivotButton="0" quotePrefix="0" xfId="0">
      <alignment horizontal="center" vertical="center"/>
    </xf>
    <xf numFmtId="0" fontId="26" fillId="12" borderId="5" applyAlignment="1" pivotButton="0" quotePrefix="0" xfId="0">
      <alignment horizontal="left" vertical="center"/>
    </xf>
    <xf numFmtId="0" fontId="15" fillId="12" borderId="5" applyAlignment="1" pivotButton="0" quotePrefix="0" xfId="0">
      <alignment horizontal="left" vertical="center"/>
    </xf>
    <xf numFmtId="0" fontId="26" fillId="12" borderId="5" applyAlignment="1" pivotButton="0" quotePrefix="0" xfId="0">
      <alignment horizontal="center" vertical="center"/>
    </xf>
    <xf numFmtId="0" fontId="12" fillId="19" borderId="5" applyAlignment="1" pivotButton="0" quotePrefix="0" xfId="0">
      <alignment horizontal="center" vertical="center"/>
    </xf>
    <xf numFmtId="0" fontId="13" fillId="19" borderId="5" applyAlignment="1" pivotButton="0" quotePrefix="0" xfId="0">
      <alignment horizontal="left" vertical="center"/>
    </xf>
    <xf numFmtId="0" fontId="13" fillId="19" borderId="5" applyAlignment="1" pivotButton="0" quotePrefix="0" xfId="0">
      <alignment horizontal="center" vertical="center"/>
    </xf>
    <xf numFmtId="0" fontId="27" fillId="19" borderId="5" applyAlignment="1" pivotButton="0" quotePrefix="0" xfId="0">
      <alignment horizontal="center" vertical="center"/>
    </xf>
    <xf numFmtId="0" fontId="14" fillId="19" borderId="5" applyAlignment="1" pivotButton="0" quotePrefix="0" xfId="0">
      <alignment horizontal="center" vertical="center"/>
    </xf>
    <xf numFmtId="0" fontId="26" fillId="19" borderId="5" applyAlignment="1" pivotButton="0" quotePrefix="0" xfId="0">
      <alignment horizontal="left" vertical="center"/>
    </xf>
    <xf numFmtId="0" fontId="15" fillId="19" borderId="5" applyAlignment="1" pivotButton="0" quotePrefix="0" xfId="0">
      <alignment horizontal="left" vertical="center"/>
    </xf>
    <xf numFmtId="0" fontId="26" fillId="19" borderId="5" applyAlignment="1" pivotButton="0" quotePrefix="0" xfId="0">
      <alignment horizontal="center" vertical="center"/>
    </xf>
    <xf numFmtId="0" fontId="33" fillId="2" borderId="5" applyAlignment="1" pivotButton="0" quotePrefix="0" xfId="0">
      <alignment horizontal="center" vertical="center" wrapText="1"/>
    </xf>
    <xf numFmtId="0" fontId="34" fillId="0" borderId="0" pivotButton="0" quotePrefix="0" xfId="1"/>
    <xf numFmtId="169" fontId="34" fillId="30" borderId="6" applyAlignment="1" pivotButton="0" quotePrefix="0" xfId="1">
      <alignment horizontal="left"/>
    </xf>
    <xf numFmtId="0" fontId="34" fillId="30" borderId="6" applyAlignment="1" pivotButton="0" quotePrefix="0" xfId="1">
      <alignment horizontal="left"/>
    </xf>
    <xf numFmtId="170" fontId="34" fillId="30" borderId="6" applyAlignment="1" pivotButton="0" quotePrefix="0" xfId="1">
      <alignment horizontal="left"/>
    </xf>
    <xf numFmtId="171" fontId="34" fillId="30" borderId="6" applyAlignment="1" pivotButton="0" quotePrefix="0" xfId="1">
      <alignment horizontal="left"/>
    </xf>
    <xf numFmtId="169" fontId="34" fillId="31" borderId="7" applyAlignment="1" pivotButton="0" quotePrefix="0" xfId="1">
      <alignment horizontal="left"/>
    </xf>
    <xf numFmtId="0" fontId="34" fillId="31" borderId="7" applyAlignment="1" pivotButton="0" quotePrefix="0" xfId="1">
      <alignment horizontal="left"/>
    </xf>
    <xf numFmtId="170" fontId="34" fillId="31" borderId="7" applyAlignment="1" pivotButton="0" quotePrefix="0" xfId="1">
      <alignment horizontal="left"/>
    </xf>
    <xf numFmtId="171" fontId="34" fillId="31" borderId="7" applyAlignment="1" pivotButton="0" quotePrefix="0" xfId="1">
      <alignment horizontal="left"/>
    </xf>
    <xf numFmtId="0" fontId="35" fillId="32" borderId="8" applyAlignment="1" pivotButton="0" quotePrefix="0" xfId="1">
      <alignment horizontal="center"/>
    </xf>
    <xf numFmtId="0" fontId="0" fillId="0" borderId="0" applyAlignment="1" pivotButton="0" quotePrefix="0" xfId="0">
      <alignment horizontal="center"/>
    </xf>
    <xf numFmtId="0" fontId="36" fillId="4" borderId="1" applyAlignment="1" pivotButton="0" quotePrefix="1" xfId="0">
      <alignment horizontal="center" vertical="center"/>
    </xf>
    <xf numFmtId="0" fontId="36" fillId="19" borderId="5" applyAlignment="1" pivotButton="0" quotePrefix="0" xfId="0">
      <alignment horizontal="left" vertical="center"/>
    </xf>
    <xf numFmtId="0" fontId="13" fillId="33" borderId="5" applyAlignment="1" pivotButton="0" quotePrefix="0" xfId="0">
      <alignment horizontal="center" vertical="center"/>
    </xf>
    <xf numFmtId="0" fontId="36" fillId="12" borderId="5" applyAlignment="1" pivotButton="0" quotePrefix="0" xfId="0">
      <alignment horizontal="center" vertical="center"/>
    </xf>
    <xf numFmtId="0" fontId="36" fillId="19" borderId="5" applyAlignment="1" pivotButton="0" quotePrefix="0" xfId="0">
      <alignment horizontal="center" vertical="center"/>
    </xf>
    <xf numFmtId="0" fontId="13" fillId="0" borderId="5" applyAlignment="1" pivotButton="0" quotePrefix="0" xfId="0">
      <alignment horizontal="center" vertical="center"/>
    </xf>
    <xf numFmtId="0" fontId="37" fillId="12" borderId="4" applyAlignment="1" pivotButton="0" quotePrefix="1" xfId="0">
      <alignment horizontal="center" vertical="center"/>
    </xf>
    <xf numFmtId="0" fontId="37" fillId="19" borderId="4" applyAlignment="1" pivotButton="0" quotePrefix="1" xfId="0">
      <alignment horizontal="center" vertical="center"/>
    </xf>
    <xf numFmtId="0" fontId="36" fillId="12" borderId="4" applyAlignment="1" pivotButton="0" quotePrefix="0" xfId="0">
      <alignment horizontal="left" vertical="center"/>
    </xf>
    <xf numFmtId="0" fontId="36" fillId="12" borderId="5" applyAlignment="1" pivotButton="0" quotePrefix="0" xfId="0">
      <alignment horizontal="left" vertical="center"/>
    </xf>
    <xf numFmtId="0" fontId="10" fillId="9" borderId="5" applyAlignment="1" pivotButton="0" quotePrefix="0" xfId="0">
      <alignment horizontal="center" vertical="center" wrapText="1"/>
    </xf>
    <xf numFmtId="0" fontId="38" fillId="4" borderId="1" applyAlignment="1" pivotButton="0" quotePrefix="0" xfId="0">
      <alignment horizontal="left" vertical="center"/>
    </xf>
    <xf numFmtId="0" fontId="38" fillId="4" borderId="1" applyAlignment="1" pivotButton="0" quotePrefix="0" xfId="0">
      <alignment horizontal="center" vertical="center"/>
    </xf>
    <xf numFmtId="164" fontId="38" fillId="4" borderId="1" applyAlignment="1" pivotButton="0" quotePrefix="0" xfId="0">
      <alignment horizontal="right" vertical="center"/>
    </xf>
    <xf numFmtId="166" fontId="38" fillId="4" borderId="1" applyAlignment="1" pivotButton="0" quotePrefix="0" xfId="0">
      <alignment horizontal="center" vertical="center"/>
    </xf>
    <xf numFmtId="164" fontId="38" fillId="10" borderId="1" applyAlignment="1" pivotButton="0" quotePrefix="0" xfId="0">
      <alignment horizontal="right" vertical="center"/>
    </xf>
    <xf numFmtId="166" fontId="38" fillId="10" borderId="1" applyAlignment="1" pivotButton="0" quotePrefix="0" xfId="0">
      <alignment horizontal="center" vertical="center"/>
    </xf>
    <xf numFmtId="14" fontId="38" fillId="10" borderId="1" applyAlignment="1" pivotButton="0" quotePrefix="0" xfId="0">
      <alignment horizontal="center" vertical="center"/>
    </xf>
    <xf numFmtId="172" fontId="38" fillId="4" borderId="1" applyAlignment="1" pivotButton="0" quotePrefix="0" xfId="0">
      <alignment horizontal="center" vertical="center"/>
    </xf>
    <xf numFmtId="172" fontId="38" fillId="4" borderId="5" applyAlignment="1" pivotButton="0" quotePrefix="0" xfId="0">
      <alignment horizontal="center" vertical="center"/>
    </xf>
    <xf numFmtId="0" fontId="38" fillId="3" borderId="1" applyAlignment="1" pivotButton="0" quotePrefix="0" xfId="0">
      <alignment horizontal="left" vertical="center"/>
    </xf>
    <xf numFmtId="0" fontId="38" fillId="3" borderId="1" applyAlignment="1" pivotButton="0" quotePrefix="0" xfId="0">
      <alignment horizontal="center" vertical="center"/>
    </xf>
    <xf numFmtId="164" fontId="38" fillId="3" borderId="1" applyAlignment="1" pivotButton="0" quotePrefix="0" xfId="0">
      <alignment horizontal="right" vertical="center"/>
    </xf>
    <xf numFmtId="166" fontId="38" fillId="3" borderId="1" applyAlignment="1" pivotButton="0" quotePrefix="0" xfId="0">
      <alignment horizontal="center" vertical="center"/>
    </xf>
    <xf numFmtId="164" fontId="38" fillId="11" borderId="1" applyAlignment="1" pivotButton="0" quotePrefix="0" xfId="0">
      <alignment horizontal="right" vertical="center"/>
    </xf>
    <xf numFmtId="166" fontId="38" fillId="11" borderId="1" applyAlignment="1" pivotButton="0" quotePrefix="0" xfId="0">
      <alignment horizontal="center" vertical="center"/>
    </xf>
    <xf numFmtId="14" fontId="38" fillId="11" borderId="1" applyAlignment="1" pivotButton="0" quotePrefix="0" xfId="0">
      <alignment horizontal="center" vertical="center"/>
    </xf>
    <xf numFmtId="172" fontId="38" fillId="3" borderId="1" applyAlignment="1" pivotButton="0" quotePrefix="0" xfId="0">
      <alignment horizontal="center" vertical="center"/>
    </xf>
    <xf numFmtId="172" fontId="38" fillId="3" borderId="5" applyAlignment="1" pivotButton="0" quotePrefix="0" xfId="0">
      <alignment horizontal="center" vertical="center"/>
    </xf>
    <xf numFmtId="0" fontId="39" fillId="3" borderId="1" applyAlignment="1" pivotButton="0" quotePrefix="0" xfId="0">
      <alignment horizontal="left" vertical="center"/>
    </xf>
    <xf numFmtId="0" fontId="39" fillId="4" borderId="1" applyAlignment="1" pivotButton="0" quotePrefix="0" xfId="0">
      <alignment horizontal="left" vertical="center"/>
    </xf>
    <xf numFmtId="0" fontId="38" fillId="3" borderId="5" applyAlignment="1" pivotButton="0" quotePrefix="0" xfId="0">
      <alignment horizontal="left" vertical="center"/>
    </xf>
    <xf numFmtId="0" fontId="38" fillId="4" borderId="5" applyAlignment="1" pivotButton="0" quotePrefix="0" xfId="0">
      <alignment horizontal="left" vertical="center"/>
    </xf>
    <xf numFmtId="0" fontId="40" fillId="4" borderId="1" applyAlignment="1" pivotButton="0" quotePrefix="0" xfId="0">
      <alignment horizontal="center" vertical="center"/>
    </xf>
    <xf numFmtId="0" fontId="40" fillId="3" borderId="1" applyAlignment="1" pivotButton="0" quotePrefix="0" xfId="0">
      <alignment horizontal="center" vertical="center"/>
    </xf>
    <xf numFmtId="173" fontId="38" fillId="4" borderId="1" applyAlignment="1" pivotButton="0" quotePrefix="0" xfId="0">
      <alignment horizontal="center" vertical="center"/>
    </xf>
    <xf numFmtId="173" fontId="38" fillId="3" borderId="1" applyAlignment="1" pivotButton="0" quotePrefix="0" xfId="0">
      <alignment horizontal="center" vertical="center"/>
    </xf>
    <xf numFmtId="164" fontId="38" fillId="10" borderId="1" applyAlignment="1" pivotButton="0" quotePrefix="0" xfId="0">
      <alignment horizontal="center" vertical="center"/>
    </xf>
    <xf numFmtId="164" fontId="38" fillId="11" borderId="1" applyAlignment="1" pivotButton="0" quotePrefix="0" xfId="0">
      <alignment horizontal="center" vertical="center"/>
    </xf>
    <xf numFmtId="0" fontId="41" fillId="2" borderId="5" applyAlignment="1" pivotButton="0" quotePrefix="0" xfId="0">
      <alignment horizontal="center" vertical="center" wrapText="1"/>
    </xf>
    <xf numFmtId="0" fontId="41" fillId="2" borderId="1" applyAlignment="1" pivotButton="0" quotePrefix="0" xfId="0">
      <alignment horizontal="center" vertical="center" wrapText="1"/>
    </xf>
    <xf numFmtId="0" fontId="38" fillId="4" borderId="1" applyAlignment="1" pivotButton="0" quotePrefix="1" xfId="0">
      <alignment horizontal="center" vertical="center"/>
    </xf>
    <xf numFmtId="0" fontId="28" fillId="22" borderId="5" applyAlignment="1" pivotButton="0" quotePrefix="0" xfId="0">
      <alignment horizontal="center" vertical="center"/>
    </xf>
    <xf numFmtId="167" fontId="30" fillId="19" borderId="5" applyAlignment="1" pivotButton="0" quotePrefix="0" xfId="0">
      <alignment horizontal="right" vertical="center"/>
    </xf>
    <xf numFmtId="0" fontId="2" fillId="3" borderId="5" applyAlignment="1" pivotButton="0" quotePrefix="0" xfId="0">
      <alignment horizontal="center" vertical="center"/>
    </xf>
    <xf numFmtId="0" fontId="3" fillId="3" borderId="5" applyAlignment="1" pivotButton="0" quotePrefix="0" xfId="0">
      <alignment horizontal="left" vertical="center"/>
    </xf>
    <xf numFmtId="164" fontId="3" fillId="3" borderId="5" applyAlignment="1" pivotButton="0" quotePrefix="0" xfId="0">
      <alignment horizontal="right" vertical="center"/>
    </xf>
    <xf numFmtId="0" fontId="3" fillId="3" borderId="5" applyAlignment="1" pivotButton="0" quotePrefix="0" xfId="0">
      <alignment horizontal="center" vertical="center"/>
    </xf>
    <xf numFmtId="0" fontId="24" fillId="19" borderId="5" applyAlignment="1" pivotButton="0" quotePrefix="0" xfId="0">
      <alignment horizontal="left" vertical="center"/>
    </xf>
    <xf numFmtId="0" fontId="16" fillId="19" borderId="5" applyAlignment="1" pivotButton="0" quotePrefix="0" xfId="0">
      <alignment horizontal="center" vertical="center"/>
    </xf>
    <xf numFmtId="0" fontId="25" fillId="19" borderId="5" applyAlignment="1" pivotButton="0" quotePrefix="0" xfId="0">
      <alignment horizontal="center" vertical="center"/>
    </xf>
    <xf numFmtId="0" fontId="0" fillId="0" borderId="9" pivotButton="0" quotePrefix="0" xfId="0"/>
    <xf numFmtId="174" fontId="32" fillId="14" borderId="5" applyAlignment="1" pivotButton="0" quotePrefix="0" xfId="0">
      <alignment horizontal="center" vertical="center" wrapText="1"/>
    </xf>
    <xf numFmtId="174" fontId="0" fillId="0" borderId="0" pivotButton="0" quotePrefix="0" xfId="0"/>
    <xf numFmtId="174" fontId="42" fillId="12" borderId="5" applyAlignment="1" pivotButton="0" quotePrefix="0" xfId="0">
      <alignment horizontal="center" vertical="center"/>
    </xf>
    <xf numFmtId="174" fontId="42" fillId="19" borderId="5" applyAlignment="1" pivotButton="0" quotePrefix="0" xfId="0">
      <alignment horizontal="center" vertical="center"/>
    </xf>
    <xf numFmtId="0" fontId="43" fillId="34" borderId="4" applyAlignment="1" pivotButton="0" quotePrefix="0" xfId="0">
      <alignment horizontal="center" vertical="center"/>
    </xf>
    <xf numFmtId="0" fontId="44" fillId="35" borderId="4" applyAlignment="1" pivotButton="0" quotePrefix="0" xfId="0">
      <alignment horizontal="center" vertical="center"/>
    </xf>
    <xf numFmtId="0" fontId="43" fillId="34" borderId="5" applyAlignment="1" pivotButton="0" quotePrefix="0" xfId="0">
      <alignment horizontal="center" vertical="center"/>
    </xf>
    <xf numFmtId="0" fontId="44" fillId="35" borderId="5" applyAlignment="1" pivotButton="0" quotePrefix="0" xfId="0">
      <alignment horizontal="center" vertical="center"/>
    </xf>
    <xf numFmtId="0" fontId="13" fillId="33" borderId="5" applyAlignment="1" pivotButton="0" quotePrefix="0" xfId="0">
      <alignment horizontal="left" vertical="center"/>
    </xf>
    <xf numFmtId="0" fontId="45" fillId="35" borderId="4" applyAlignment="1" pivotButton="0" quotePrefix="0" xfId="0">
      <alignment horizontal="center" vertical="center"/>
    </xf>
    <xf numFmtId="0" fontId="14" fillId="0" borderId="4" applyAlignment="1" pivotButton="0" quotePrefix="0" xfId="0">
      <alignment horizontal="center" vertical="center"/>
    </xf>
    <xf numFmtId="0" fontId="18" fillId="0" borderId="4" applyAlignment="1" pivotButton="0" quotePrefix="0" xfId="0">
      <alignment horizontal="center" vertical="center"/>
    </xf>
    <xf numFmtId="0" fontId="0" fillId="0" borderId="3" pivotButton="0" quotePrefix="0" xfId="0"/>
    <xf numFmtId="0" fontId="9" fillId="9" borderId="5" applyAlignment="1" pivotButton="0" quotePrefix="0" xfId="0">
      <alignment horizontal="center" vertical="center"/>
    </xf>
    <xf numFmtId="0" fontId="0" fillId="0" borderId="2" pivotButton="0" quotePrefix="0" xfId="0"/>
    <xf numFmtId="0" fontId="0" fillId="0" borderId="3" pivotButton="0" quotePrefix="0" xfId="0"/>
    <xf numFmtId="0" fontId="9" fillId="2" borderId="5" applyAlignment="1" pivotButton="0" quotePrefix="0" xfId="0">
      <alignment horizontal="center" vertical="center"/>
    </xf>
    <xf numFmtId="0" fontId="9" fillId="7" borderId="5" applyAlignment="1" pivotButton="0" quotePrefix="0" xfId="0">
      <alignment horizontal="center" vertical="center"/>
    </xf>
    <xf numFmtId="0" fontId="9" fillId="8" borderId="5" applyAlignment="1" pivotButton="0" quotePrefix="0" xfId="0">
      <alignment horizontal="center" vertical="center"/>
    </xf>
    <xf numFmtId="0" fontId="11" fillId="24" borderId="5" applyAlignment="1" pivotButton="0" quotePrefix="0" xfId="0">
      <alignment horizontal="center" vertical="center"/>
    </xf>
    <xf numFmtId="0" fontId="32" fillId="14" borderId="5" applyAlignment="1" pivotButton="0" quotePrefix="0" xfId="0">
      <alignment horizontal="center" vertical="center" wrapText="1"/>
    </xf>
    <xf numFmtId="0" fontId="11" fillId="13" borderId="5" applyAlignment="1" pivotButton="0" quotePrefix="0" xfId="0">
      <alignment horizontal="center" vertical="center" wrapText="1"/>
    </xf>
    <xf numFmtId="0" fontId="13" fillId="0" borderId="5" applyAlignment="1" pivotButton="0" quotePrefix="0" xfId="0">
      <alignment horizontal="left" vertical="center"/>
    </xf>
    <xf numFmtId="171" fontId="34" fillId="30" borderId="6" applyAlignment="1" pivotButton="0" quotePrefix="0" xfId="1">
      <alignment horizontal="left"/>
    </xf>
    <xf numFmtId="169" fontId="34" fillId="30" borderId="6" applyAlignment="1" pivotButton="0" quotePrefix="0" xfId="1">
      <alignment horizontal="left"/>
    </xf>
    <xf numFmtId="170" fontId="34" fillId="30" borderId="6" applyAlignment="1" pivotButton="0" quotePrefix="0" xfId="1">
      <alignment horizontal="left"/>
    </xf>
    <xf numFmtId="171" fontId="34" fillId="31" borderId="7" applyAlignment="1" pivotButton="0" quotePrefix="0" xfId="1">
      <alignment horizontal="left"/>
    </xf>
    <xf numFmtId="169" fontId="34" fillId="31" borderId="7" applyAlignment="1" pivotButton="0" quotePrefix="0" xfId="1">
      <alignment horizontal="left"/>
    </xf>
    <xf numFmtId="170" fontId="34" fillId="31" borderId="7" applyAlignment="1" pivotButton="0" quotePrefix="0" xfId="1">
      <alignment horizontal="left"/>
    </xf>
    <xf numFmtId="0" fontId="5" fillId="3" borderId="5" applyAlignment="1" pivotButton="0" quotePrefix="0" xfId="0">
      <alignment horizontal="center" vertical="center"/>
    </xf>
    <xf numFmtId="0" fontId="6" fillId="3" borderId="5" applyAlignment="1" pivotButton="0" quotePrefix="0" xfId="0">
      <alignment horizontal="left" vertical="center"/>
    </xf>
    <xf numFmtId="0" fontId="2" fillId="3" borderId="5" applyAlignment="1" pivotButton="0" quotePrefix="0" xfId="0">
      <alignment horizontal="left" vertical="center"/>
    </xf>
    <xf numFmtId="165" fontId="3" fillId="3" borderId="5" applyAlignment="1" pivotButton="0" quotePrefix="0" xfId="0">
      <alignment horizontal="right" vertical="center"/>
    </xf>
    <xf numFmtId="166" fontId="3" fillId="3" borderId="5" applyAlignment="1" pivotButton="0" quotePrefix="0" xfId="0">
      <alignment horizontal="center" vertical="center"/>
    </xf>
    <xf numFmtId="173" fontId="38" fillId="3" borderId="1" applyAlignment="1" pivotButton="0" quotePrefix="0" xfId="0">
      <alignment horizontal="center" vertical="center"/>
    </xf>
    <xf numFmtId="172" fontId="38" fillId="3" borderId="1" applyAlignment="1" pivotButton="0" quotePrefix="0" xfId="0">
      <alignment horizontal="center" vertical="center"/>
    </xf>
    <xf numFmtId="172" fontId="38" fillId="3" borderId="5" applyAlignment="1" pivotButton="0" quotePrefix="0" xfId="0">
      <alignment horizontal="center" vertical="center"/>
    </xf>
    <xf numFmtId="173" fontId="38" fillId="4" borderId="1" applyAlignment="1" pivotButton="0" quotePrefix="0" xfId="0">
      <alignment horizontal="center" vertical="center"/>
    </xf>
    <xf numFmtId="172" fontId="38" fillId="4" borderId="1" applyAlignment="1" pivotButton="0" quotePrefix="0" xfId="0">
      <alignment horizontal="center" vertical="center"/>
    </xf>
    <xf numFmtId="172" fontId="38" fillId="4" borderId="5" applyAlignment="1" pivotButton="0" quotePrefix="0" xfId="0">
      <alignment horizontal="center" vertical="center"/>
    </xf>
    <xf numFmtId="174" fontId="0" fillId="0" borderId="0" pivotButton="0" quotePrefix="0" xfId="0"/>
    <xf numFmtId="174" fontId="32" fillId="14" borderId="5" applyAlignment="1" pivotButton="0" quotePrefix="0" xfId="0">
      <alignment horizontal="center" vertical="center" wrapText="1"/>
    </xf>
    <xf numFmtId="174" fontId="42" fillId="12" borderId="5" applyAlignment="1" pivotButton="0" quotePrefix="0" xfId="0">
      <alignment horizontal="center" vertical="center"/>
    </xf>
    <xf numFmtId="174" fontId="42" fillId="19" borderId="5" applyAlignment="1" pivotButton="0" quotePrefix="0" xfId="0">
      <alignment horizontal="center" vertical="center"/>
    </xf>
    <xf numFmtId="0" fontId="40" fillId="3" borderId="5" applyAlignment="1" pivotButton="0" quotePrefix="0" xfId="0">
      <alignment horizontal="center" vertical="center"/>
    </xf>
    <xf numFmtId="0" fontId="39" fillId="3" borderId="5" applyAlignment="1" pivotButton="0" quotePrefix="0" xfId="0">
      <alignment horizontal="left" vertical="center"/>
    </xf>
    <xf numFmtId="0" fontId="38" fillId="3" borderId="5" applyAlignment="1" pivotButton="0" quotePrefix="0" xfId="0">
      <alignment horizontal="center" vertical="center"/>
    </xf>
    <xf numFmtId="173" fontId="38" fillId="3" borderId="5" applyAlignment="1" pivotButton="0" quotePrefix="0" xfId="0">
      <alignment horizontal="center" vertical="center"/>
    </xf>
    <xf numFmtId="164" fontId="38" fillId="3" borderId="5" applyAlignment="1" pivotButton="0" quotePrefix="0" xfId="0">
      <alignment horizontal="right" vertical="center"/>
    </xf>
    <xf numFmtId="166" fontId="38" fillId="3" borderId="5" applyAlignment="1" pivotButton="0" quotePrefix="0" xfId="0">
      <alignment horizontal="center" vertical="center"/>
    </xf>
    <xf numFmtId="164" fontId="38" fillId="11" borderId="5" applyAlignment="1" pivotButton="0" quotePrefix="0" xfId="0">
      <alignment horizontal="center" vertical="center"/>
    </xf>
    <xf numFmtId="164" fontId="38" fillId="11" borderId="5" applyAlignment="1" pivotButton="0" quotePrefix="0" xfId="0">
      <alignment horizontal="right" vertical="center"/>
    </xf>
    <xf numFmtId="166" fontId="38" fillId="11" borderId="5" applyAlignment="1" pivotButton="0" quotePrefix="0" xfId="0">
      <alignment horizontal="center" vertical="center"/>
    </xf>
    <xf numFmtId="14" fontId="38" fillId="11" borderId="5" applyAlignment="1" pivotButton="0" quotePrefix="0" xfId="0">
      <alignment horizontal="center" vertical="center"/>
    </xf>
  </cellXfs>
  <cellStyles count="2">
    <cellStyle name="Normal" xfId="0" builtinId="0"/>
    <cellStyle name="Normal 2" xfId="1"/>
  </cellStyles>
  <dxfs count="19">
    <dxf>
      <font>
        <name val="Arial"/>
        <b val="1"/>
        <color rgb="FF185A4B"/>
        <sz val="8"/>
      </font>
      <fill>
        <patternFill patternType="solid">
          <fgColor rgb="FFE2EFDA"/>
        </patternFill>
      </fill>
    </dxf>
    <dxf>
      <font>
        <name val="Arial"/>
        <b val="1"/>
        <color rgb="FFC00000"/>
        <sz val="8"/>
      </font>
      <fill>
        <patternFill patternType="solid">
          <fgColor rgb="FFFCE4D6"/>
        </patternFill>
      </fill>
    </dxf>
    <dxf>
      <font>
        <color rgb="FF9C0006"/>
      </font>
      <fill>
        <patternFill>
          <bgColor rgb="FFFFC7CE"/>
        </patternFill>
      </fill>
    </dxf>
    <dxf>
      <font>
        <name val="Arial"/>
        <b val="1"/>
        <color rgb="FF595959"/>
        <sz val="8"/>
      </font>
      <fill>
        <patternFill patternType="solid">
          <fgColor rgb="FFF2F2F2"/>
        </patternFill>
      </fill>
    </dxf>
    <dxf>
      <font>
        <name val="Arial"/>
        <b val="1"/>
        <color rgb="FF185A4B"/>
        <sz val="8"/>
      </font>
      <fill>
        <patternFill patternType="solid">
          <fgColor rgb="FFE2EFDA"/>
        </patternFill>
      </fill>
    </dxf>
    <dxf>
      <font>
        <color rgb="FF9C0006"/>
      </font>
      <fill>
        <patternFill>
          <bgColor rgb="FFFFC7CE"/>
        </patternFill>
      </fill>
    </dxf>
    <dxf>
      <font>
        <color rgb="FF9C0006"/>
      </font>
      <fill>
        <patternFill>
          <bgColor rgb="FFFFC7CE"/>
        </patternFill>
      </fill>
    </dxf>
    <dxf>
      <font>
        <name val="Arial"/>
        <b val="1"/>
        <color rgb="FF185A4B"/>
        <sz val="8"/>
      </font>
      <fill>
        <patternFill patternType="solid">
          <fgColor rgb="FFE2EFDA"/>
        </patternFill>
      </fill>
    </dxf>
    <dxf>
      <font>
        <name val="Arial"/>
        <b val="1"/>
        <color rgb="FF185A4B"/>
        <sz val="8"/>
      </font>
      <fill>
        <patternFill patternType="solid">
          <fgColor rgb="FFE2EFDA"/>
        </patternFill>
      </fill>
    </dxf>
    <dxf>
      <font>
        <name val="Arial"/>
        <b val="1"/>
        <color rgb="FF595959"/>
        <sz val="8"/>
      </font>
      <fill>
        <patternFill patternType="solid">
          <fgColor rgb="FFF2F2F2"/>
        </patternFill>
      </fill>
    </dxf>
    <dxf>
      <font>
        <name val="Arial"/>
        <b val="1"/>
        <color rgb="FF185A4B"/>
        <sz val="8"/>
      </font>
      <fill>
        <patternFill patternType="solid">
          <fgColor rgb="FFE2EFDA"/>
        </patternFill>
      </fill>
    </dxf>
    <dxf>
      <font>
        <name val="Arial"/>
        <b val="1"/>
        <color rgb="FF1F3864"/>
        <sz val="8"/>
      </font>
      <fill>
        <patternFill patternType="solid">
          <fgColor rgb="FFDEEAF1"/>
        </patternFill>
      </fill>
    </dxf>
    <dxf>
      <font>
        <name val="Arial"/>
        <b val="1"/>
        <color rgb="FF595959"/>
        <sz val="8"/>
      </font>
      <fill>
        <patternFill patternType="solid">
          <fgColor rgb="FFF2F2F2"/>
        </patternFill>
      </fill>
    </dxf>
    <dxf>
      <font>
        <name val="Arial"/>
        <b val="1"/>
        <color rgb="FFC00000"/>
        <sz val="8"/>
      </font>
      <fill>
        <patternFill patternType="solid">
          <fgColor rgb="FFFCE4D6"/>
        </patternFill>
      </fill>
    </dxf>
    <dxf>
      <font>
        <name val="Arial"/>
        <b val="1"/>
        <color rgb="FF833C00"/>
        <sz val="8"/>
      </font>
      <fill>
        <patternFill patternType="solid">
          <fgColor rgb="FFFCE9D4"/>
        </patternFill>
      </fill>
    </dxf>
    <dxf>
      <font>
        <name val="Arial"/>
        <b val="1"/>
        <color rgb="FF185A4B"/>
        <sz val="8"/>
      </font>
      <fill>
        <patternFill patternType="solid">
          <fgColor rgb="FFE2EFDA"/>
        </patternFill>
      </fill>
    </dxf>
    <dxf>
      <font>
        <name val="Arial"/>
        <b val="1"/>
        <color rgb="FF185A4B"/>
        <sz val="8"/>
      </font>
      <fill>
        <patternFill patternType="solid">
          <fgColor rgb="FFE2EFDA"/>
        </patternFill>
      </fill>
    </dxf>
    <dxf>
      <font>
        <name val="Arial"/>
        <b val="1"/>
        <color rgb="FFC00000"/>
        <sz val="8"/>
      </font>
      <fill>
        <patternFill patternType="solid">
          <fgColor rgb="FFFCE4D6"/>
        </patternFill>
      </fill>
    </dxf>
    <dxf>
      <font>
        <color rgb="FFFF0000"/>
      </font>
      <fill>
        <patternFill>
          <bgColor rgb="FFFFFF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7F6000"/>
      <rgbColor rgb="FF800080"/>
      <rgbColor rgb="FF008080"/>
      <rgbColor rgb="FFBFBFBF"/>
      <rgbColor rgb="FF808080"/>
      <rgbColor rgb="FF9999FF"/>
      <rgbColor rgb="FF993366"/>
      <rgbColor rgb="FFFFF2CC"/>
      <rgbColor rgb="FFE0ECF8"/>
      <rgbColor rgb="FF660066"/>
      <rgbColor rgb="FFFF8080"/>
      <rgbColor rgb="FF1F5C8B"/>
      <rgbColor rgb="FFBDD7EE"/>
      <rgbColor rgb="FF000080"/>
      <rgbColor rgb="FFFF00FF"/>
      <rgbColor rgb="FFFFFF00"/>
      <rgbColor rgb="FF00FFFF"/>
      <rgbColor rgb="FF800080"/>
      <rgbColor rgb="FFC00000"/>
      <rgbColor rgb="FF008080"/>
      <rgbColor rgb="FF0000FF"/>
      <rgbColor rgb="FF00CCFF"/>
      <rgbColor rgb="FFEEF4FB"/>
      <rgbColor rgb="FFE2EFDA"/>
      <rgbColor rgb="FFEEF2F7"/>
      <rgbColor rgb="FFD9E1F2"/>
      <rgbColor rgb="FFFF99CC"/>
      <rgbColor rgb="FFCC99FF"/>
      <rgbColor rgb="FFFCE4D6"/>
      <rgbColor rgb="FF2E75B6"/>
      <rgbColor rgb="FF33CCCC"/>
      <rgbColor rgb="FF99CC00"/>
      <rgbColor rgb="FFFFCC00"/>
      <rgbColor rgb="FFFF9900"/>
      <rgbColor rgb="FFFF6600"/>
      <rgbColor rgb="FF4E5A6B"/>
      <rgbColor rgb="FF999999"/>
      <rgbColor rgb="FF1F3864"/>
      <rgbColor rgb="FF339966"/>
      <rgbColor rgb="FF003300"/>
      <rgbColor rgb="FF333300"/>
      <rgbColor rgb="FF993300"/>
      <rgbColor rgb="FF993366"/>
      <rgbColor rgb="FF333399"/>
      <rgbColor rgb="FF185A4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BDD7EE"/>
    <outlinePr summaryBelow="1" summaryRight="1"/>
    <pageSetUpPr/>
  </sheetPr>
  <dimension ref="A1:F471"/>
  <sheetViews>
    <sheetView showGridLines="0" zoomScaleNormal="100" workbookViewId="0">
      <pane ySplit="1" topLeftCell="A2" activePane="bottomLeft" state="frozen"/>
      <selection pane="bottomLeft" activeCell="B360" sqref="B360:B375"/>
    </sheetView>
  </sheetViews>
  <sheetFormatPr baseColWidth="8" defaultColWidth="8.7109375" defaultRowHeight="15"/>
  <cols>
    <col width="12" customWidth="1" min="1" max="1"/>
    <col width="44" customWidth="1" min="2" max="2"/>
    <col width="18" customWidth="1" min="3" max="3"/>
    <col width="10" customWidth="1" min="4" max="4"/>
    <col width="46" customWidth="1" min="5" max="5"/>
    <col width="18" customWidth="1" min="6" max="6"/>
  </cols>
  <sheetData>
    <row r="1" ht="21.75" customHeight="1">
      <c r="A1" s="1" t="inlineStr">
        <is>
          <t>Código</t>
        </is>
      </c>
      <c r="B1" s="1" t="inlineStr">
        <is>
          <t>Descrição</t>
        </is>
      </c>
      <c r="C1" s="1" t="inlineStr">
        <is>
          <t>Custo Unit. (R$)</t>
        </is>
      </c>
      <c r="D1" s="1" t="inlineStr">
        <is>
          <t>Unidade</t>
        </is>
      </c>
      <c r="E1" s="1" t="inlineStr">
        <is>
          <t>Observação</t>
        </is>
      </c>
      <c r="F1" s="1" t="inlineStr">
        <is>
          <t>Últ. Atualização</t>
        </is>
      </c>
    </row>
    <row r="2" ht="15" customHeight="1">
      <c r="A2" s="2" t="inlineStr">
        <is>
          <t>000372</t>
        </is>
      </c>
      <c r="B2" s="3">
        <f>IFERROR(VLOOKUP(A2,_Protheus_Cadastro!$A:$B,2,FALSE),"PENDENTE")</f>
        <v/>
      </c>
      <c r="C2" s="4">
        <f>IFERROR(VLOOKUP(A2,_Protheus_Cadastro!$A:$G,7,FALSE),0)</f>
        <v/>
      </c>
      <c r="D2" s="5">
        <f>IFERROR(VLOOKUP(A2,_Protheus_Cadastro!$A:$D,4,FALSE),"")</f>
        <v/>
      </c>
      <c r="E2" s="3" t="n"/>
      <c r="F2" s="5" t="inlineStr">
        <is>
          <t>13/05/2026</t>
        </is>
      </c>
    </row>
    <row r="3" ht="15" customHeight="1">
      <c r="A3" s="6" t="inlineStr">
        <is>
          <t>000404</t>
        </is>
      </c>
      <c r="B3" s="7">
        <f>IFERROR(VLOOKUP(A3,_Protheus_Cadastro!$A:$B,2,FALSE),"PENDENTE")</f>
        <v/>
      </c>
      <c r="C3" s="8">
        <f>IFERROR(VLOOKUP(A3,_Protheus_Cadastro!$A:$G,7,FALSE),0)</f>
        <v/>
      </c>
      <c r="D3" s="9">
        <f>IFERROR(VLOOKUP(A3,_Protheus_Cadastro!$A:$D,4,FALSE),"")</f>
        <v/>
      </c>
      <c r="E3" s="7" t="n"/>
      <c r="F3" s="9" t="inlineStr">
        <is>
          <t>13/05/2026</t>
        </is>
      </c>
    </row>
    <row r="4" ht="15" customHeight="1">
      <c r="A4" s="2" t="inlineStr">
        <is>
          <t>000487</t>
        </is>
      </c>
      <c r="B4" s="3">
        <f>IFERROR(VLOOKUP(A4,_Protheus_Cadastro!$A:$B,2,FALSE),"PENDENTE")</f>
        <v/>
      </c>
      <c r="C4" s="4">
        <f>IFERROR(VLOOKUP(A4,_Protheus_Cadastro!$A:$G,7,FALSE),0)</f>
        <v/>
      </c>
      <c r="D4" s="5">
        <f>IFERROR(VLOOKUP(A4,_Protheus_Cadastro!$A:$D,4,FALSE),"")</f>
        <v/>
      </c>
      <c r="E4" s="3" t="n"/>
      <c r="F4" s="5" t="inlineStr">
        <is>
          <t>13/05/2026</t>
        </is>
      </c>
    </row>
    <row r="5" ht="15" customHeight="1">
      <c r="A5" s="6" t="inlineStr">
        <is>
          <t>000624</t>
        </is>
      </c>
      <c r="B5" s="7">
        <f>IFERROR(VLOOKUP(A5,_Protheus_Cadastro!$A:$B,2,FALSE),"PENDENTE")</f>
        <v/>
      </c>
      <c r="C5" s="8">
        <f>IFERROR(VLOOKUP(A5,_Protheus_Cadastro!$A:$G,7,FALSE),0)</f>
        <v/>
      </c>
      <c r="D5" s="9">
        <f>IFERROR(VLOOKUP(A5,_Protheus_Cadastro!$A:$D,4,FALSE),"")</f>
        <v/>
      </c>
      <c r="E5" s="7" t="n"/>
      <c r="F5" s="9" t="inlineStr">
        <is>
          <t>13/05/2026</t>
        </is>
      </c>
    </row>
    <row r="6" ht="15" customHeight="1">
      <c r="A6" s="2" t="inlineStr">
        <is>
          <t>001972</t>
        </is>
      </c>
      <c r="B6" s="3">
        <f>IFERROR(VLOOKUP(A6,_Protheus_Cadastro!$A:$B,2,FALSE),"PENDENTE")</f>
        <v/>
      </c>
      <c r="C6" s="4">
        <f>IFERROR(VLOOKUP(A6,_Protheus_Cadastro!$A:$G,7,FALSE),0)</f>
        <v/>
      </c>
      <c r="D6" s="5">
        <f>IFERROR(VLOOKUP(A6,_Protheus_Cadastro!$A:$D,4,FALSE),"")</f>
        <v/>
      </c>
      <c r="E6" s="3" t="n"/>
      <c r="F6" s="5" t="inlineStr">
        <is>
          <t>13/05/2026</t>
        </is>
      </c>
    </row>
    <row r="7" ht="15" customHeight="1">
      <c r="A7" s="6" t="inlineStr">
        <is>
          <t>000459</t>
        </is>
      </c>
      <c r="B7" s="7">
        <f>IFERROR(VLOOKUP(A7,_Protheus_Cadastro!$A:$B,2,FALSE),"PENDENTE")</f>
        <v/>
      </c>
      <c r="C7" s="8">
        <f>IFERROR(VLOOKUP(A7,_Protheus_Cadastro!$A:$G,7,FALSE),0)</f>
        <v/>
      </c>
      <c r="D7" s="9">
        <f>IFERROR(VLOOKUP(A7,_Protheus_Cadastro!$A:$D,4,FALSE),"")</f>
        <v/>
      </c>
      <c r="E7" s="7" t="n"/>
      <c r="F7" s="9" t="inlineStr">
        <is>
          <t>13/05/2026</t>
        </is>
      </c>
    </row>
    <row r="8" ht="15" customHeight="1">
      <c r="A8" s="2" t="inlineStr">
        <is>
          <t>000700</t>
        </is>
      </c>
      <c r="B8" s="3">
        <f>IFERROR(VLOOKUP(A8,_Protheus_Cadastro!$A:$B,2,FALSE),"PENDENTE")</f>
        <v/>
      </c>
      <c r="C8" s="4">
        <f>IFERROR(VLOOKUP(A8,_Protheus_Cadastro!$A:$G,7,FALSE),0)</f>
        <v/>
      </c>
      <c r="D8" s="5">
        <f>IFERROR(VLOOKUP(A8,_Protheus_Cadastro!$A:$D,4,FALSE),"")</f>
        <v/>
      </c>
      <c r="E8" s="3" t="n"/>
      <c r="F8" s="5" t="inlineStr">
        <is>
          <t>13/05/2026</t>
        </is>
      </c>
    </row>
    <row r="9" ht="15" customHeight="1">
      <c r="A9" s="6" t="inlineStr">
        <is>
          <t>000374</t>
        </is>
      </c>
      <c r="B9" s="7">
        <f>IFERROR(VLOOKUP(A9,_Protheus_Cadastro!$A:$B,2,FALSE),"PENDENTE")</f>
        <v/>
      </c>
      <c r="C9" s="8">
        <f>IFERROR(VLOOKUP(A9,_Protheus_Cadastro!$A:$G,7,FALSE),0)</f>
        <v/>
      </c>
      <c r="D9" s="9">
        <f>IFERROR(VLOOKUP(A9,_Protheus_Cadastro!$A:$D,4,FALSE),"")</f>
        <v/>
      </c>
      <c r="E9" s="7" t="n"/>
      <c r="F9" s="9" t="inlineStr">
        <is>
          <t>13/05/2026</t>
        </is>
      </c>
    </row>
    <row r="10" ht="15" customHeight="1">
      <c r="A10" s="2" t="inlineStr">
        <is>
          <t>000460</t>
        </is>
      </c>
      <c r="B10" s="3">
        <f>IFERROR(VLOOKUP(A10,_Protheus_Cadastro!$A:$B,2,FALSE),"PENDENTE")</f>
        <v/>
      </c>
      <c r="C10" s="4">
        <f>IFERROR(VLOOKUP(A10,_Protheus_Cadastro!$A:$G,7,FALSE),0)</f>
        <v/>
      </c>
      <c r="D10" s="5">
        <f>IFERROR(VLOOKUP(A10,_Protheus_Cadastro!$A:$D,4,FALSE),"")</f>
        <v/>
      </c>
      <c r="E10" s="3" t="n"/>
      <c r="F10" s="5" t="inlineStr">
        <is>
          <t>13/05/2026</t>
        </is>
      </c>
    </row>
    <row r="11" ht="15" customHeight="1">
      <c r="A11" s="6" t="inlineStr">
        <is>
          <t>000334</t>
        </is>
      </c>
      <c r="B11" s="7">
        <f>IFERROR(VLOOKUP(A11,_Protheus_Cadastro!$A:$B,2,FALSE),"PENDENTE")</f>
        <v/>
      </c>
      <c r="C11" s="8">
        <f>IFERROR(VLOOKUP(A11,_Protheus_Cadastro!$A:$G,7,FALSE),0)</f>
        <v/>
      </c>
      <c r="D11" s="9">
        <f>IFERROR(VLOOKUP(A11,_Protheus_Cadastro!$A:$D,4,FALSE),"")</f>
        <v/>
      </c>
      <c r="E11" s="7" t="n"/>
      <c r="F11" s="9" t="inlineStr">
        <is>
          <t>13/05/2026</t>
        </is>
      </c>
    </row>
    <row r="12" ht="15" customHeight="1">
      <c r="A12" s="2" t="inlineStr">
        <is>
          <t>000380</t>
        </is>
      </c>
      <c r="B12" s="3">
        <f>IFERROR(VLOOKUP(A12,_Protheus_Cadastro!$A:$B,2,FALSE),"PENDENTE")</f>
        <v/>
      </c>
      <c r="C12" s="4">
        <f>IFERROR(VLOOKUP(A12,_Protheus_Cadastro!$A:$G,7,FALSE),0)</f>
        <v/>
      </c>
      <c r="D12" s="5">
        <f>IFERROR(VLOOKUP(A12,_Protheus_Cadastro!$A:$D,4,FALSE),"")</f>
        <v/>
      </c>
      <c r="E12" s="3" t="n"/>
      <c r="F12" s="5" t="inlineStr">
        <is>
          <t>13/05/2026</t>
        </is>
      </c>
    </row>
    <row r="13" ht="15" customHeight="1">
      <c r="A13" s="6" t="inlineStr">
        <is>
          <t>000333</t>
        </is>
      </c>
      <c r="B13" s="7">
        <f>IFERROR(VLOOKUP(A13,_Protheus_Cadastro!$A:$B,2,FALSE),"PENDENTE")</f>
        <v/>
      </c>
      <c r="C13" s="8">
        <f>IFERROR(VLOOKUP(A13,_Protheus_Cadastro!$A:$G,7,FALSE),0)</f>
        <v/>
      </c>
      <c r="D13" s="9">
        <f>IFERROR(VLOOKUP(A13,_Protheus_Cadastro!$A:$D,4,FALSE),"")</f>
        <v/>
      </c>
      <c r="E13" s="7" t="n"/>
      <c r="F13" s="9" t="inlineStr">
        <is>
          <t>13/05/2026</t>
        </is>
      </c>
    </row>
    <row r="14" ht="15" customHeight="1">
      <c r="A14" s="2" t="inlineStr">
        <is>
          <t>000668</t>
        </is>
      </c>
      <c r="B14" s="3">
        <f>IFERROR(VLOOKUP(A14,_Protheus_Cadastro!$A:$B,2,FALSE),"PENDENTE")</f>
        <v/>
      </c>
      <c r="C14" s="4">
        <f>IFERROR(VLOOKUP(A14,_Protheus_Cadastro!$A:$G,7,FALSE),0)</f>
        <v/>
      </c>
      <c r="D14" s="5">
        <f>IFERROR(VLOOKUP(A14,_Protheus_Cadastro!$A:$D,4,FALSE),"")</f>
        <v/>
      </c>
      <c r="E14" s="3" t="n"/>
      <c r="F14" s="5" t="inlineStr">
        <is>
          <t>13/05/2026</t>
        </is>
      </c>
    </row>
    <row r="15" ht="15" customHeight="1">
      <c r="A15" s="6" t="inlineStr">
        <is>
          <t>000461</t>
        </is>
      </c>
      <c r="B15" s="7">
        <f>IFERROR(VLOOKUP(A15,_Protheus_Cadastro!$A:$B,2,FALSE),"PENDENTE")</f>
        <v/>
      </c>
      <c r="C15" s="8">
        <f>IFERROR(VLOOKUP(A15,_Protheus_Cadastro!$A:$G,7,FALSE),0)</f>
        <v/>
      </c>
      <c r="D15" s="9">
        <f>IFERROR(VLOOKUP(A15,_Protheus_Cadastro!$A:$D,4,FALSE),"")</f>
        <v/>
      </c>
      <c r="E15" s="7" t="n"/>
      <c r="F15" s="9" t="inlineStr">
        <is>
          <t>13/05/2026</t>
        </is>
      </c>
    </row>
    <row r="16" ht="15" customHeight="1">
      <c r="A16" s="2" t="inlineStr">
        <is>
          <t>000462</t>
        </is>
      </c>
      <c r="B16" s="3">
        <f>IFERROR(VLOOKUP(A16,_Protheus_Cadastro!$A:$B,2,FALSE),"PENDENTE")</f>
        <v/>
      </c>
      <c r="C16" s="4">
        <f>IFERROR(VLOOKUP(A16,_Protheus_Cadastro!$A:$G,7,FALSE),0)</f>
        <v/>
      </c>
      <c r="D16" s="5">
        <f>IFERROR(VLOOKUP(A16,_Protheus_Cadastro!$A:$D,4,FALSE),"")</f>
        <v/>
      </c>
      <c r="E16" s="3" t="n"/>
      <c r="F16" s="5" t="inlineStr">
        <is>
          <t>13/05/2026</t>
        </is>
      </c>
    </row>
    <row r="17" ht="15" customHeight="1">
      <c r="A17" s="6" t="inlineStr">
        <is>
          <t>000463</t>
        </is>
      </c>
      <c r="B17" s="7">
        <f>IFERROR(VLOOKUP(A17,_Protheus_Cadastro!$A:$B,2,FALSE),"PENDENTE")</f>
        <v/>
      </c>
      <c r="C17" s="8">
        <f>IFERROR(VLOOKUP(A17,_Protheus_Cadastro!$A:$G,7,FALSE),0)</f>
        <v/>
      </c>
      <c r="D17" s="9">
        <f>IFERROR(VLOOKUP(A17,_Protheus_Cadastro!$A:$D,4,FALSE),"")</f>
        <v/>
      </c>
      <c r="E17" s="7" t="n"/>
      <c r="F17" s="9" t="inlineStr">
        <is>
          <t>13/05/2026</t>
        </is>
      </c>
    </row>
    <row r="18" ht="15" customHeight="1">
      <c r="A18" s="2" t="inlineStr">
        <is>
          <t>002070</t>
        </is>
      </c>
      <c r="B18" s="3">
        <f>IFERROR(VLOOKUP(A18,_Protheus_Cadastro!$A:$B,2,FALSE),"PENDENTE")</f>
        <v/>
      </c>
      <c r="C18" s="4">
        <f>IFERROR(VLOOKUP(A18,_Protheus_Cadastro!$A:$G,7,FALSE),0)</f>
        <v/>
      </c>
      <c r="D18" s="5">
        <f>IFERROR(VLOOKUP(A18,_Protheus_Cadastro!$A:$D,4,FALSE),"")</f>
        <v/>
      </c>
      <c r="E18" s="3" t="n"/>
      <c r="F18" s="5" t="inlineStr">
        <is>
          <t>13/05/2026</t>
        </is>
      </c>
    </row>
    <row r="19" ht="15" customHeight="1">
      <c r="A19" s="6" t="inlineStr">
        <is>
          <t>010343</t>
        </is>
      </c>
      <c r="B19" s="7">
        <f>IFERROR(VLOOKUP(A19,_Protheus_Cadastro!$A:$B,2,FALSE),"PENDENTE")</f>
        <v/>
      </c>
      <c r="C19" s="8">
        <f>IFERROR(VLOOKUP(A19,_Protheus_Cadastro!$A:$G,7,FALSE),0)</f>
        <v/>
      </c>
      <c r="D19" s="9">
        <f>IFERROR(VLOOKUP(A19,_Protheus_Cadastro!$A:$D,4,FALSE),"")</f>
        <v/>
      </c>
      <c r="E19" s="7" t="n"/>
      <c r="F19" s="9" t="inlineStr">
        <is>
          <t>13/05/2026</t>
        </is>
      </c>
    </row>
    <row r="20" ht="15" customHeight="1">
      <c r="A20" s="2" t="inlineStr">
        <is>
          <t>001522</t>
        </is>
      </c>
      <c r="B20" s="3">
        <f>IFERROR(VLOOKUP(A20,_Protheus_Cadastro!$A:$B,2,FALSE),"PENDENTE")</f>
        <v/>
      </c>
      <c r="C20" s="4">
        <f>IFERROR(VLOOKUP(A20,_Protheus_Cadastro!$A:$G,7,FALSE),0)</f>
        <v/>
      </c>
      <c r="D20" s="5">
        <f>IFERROR(VLOOKUP(A20,_Protheus_Cadastro!$A:$D,4,FALSE),"")</f>
        <v/>
      </c>
      <c r="E20" s="3" t="n"/>
      <c r="F20" s="5" t="inlineStr">
        <is>
          <t>13/05/2026</t>
        </is>
      </c>
    </row>
    <row r="21" ht="15" customHeight="1">
      <c r="A21" s="6" t="inlineStr">
        <is>
          <t>001975</t>
        </is>
      </c>
      <c r="B21" s="7">
        <f>IFERROR(VLOOKUP(A21,_Protheus_Cadastro!$A:$B,2,FALSE),"PENDENTE")</f>
        <v/>
      </c>
      <c r="C21" s="8">
        <f>IFERROR(VLOOKUP(A21,_Protheus_Cadastro!$A:$G,7,FALSE),0)</f>
        <v/>
      </c>
      <c r="D21" s="9">
        <f>IFERROR(VLOOKUP(A21,_Protheus_Cadastro!$A:$D,4,FALSE),"")</f>
        <v/>
      </c>
      <c r="E21" s="7" t="n"/>
      <c r="F21" s="9" t="inlineStr">
        <is>
          <t>13/05/2026</t>
        </is>
      </c>
    </row>
    <row r="22" ht="15" customHeight="1">
      <c r="A22" s="2" t="inlineStr">
        <is>
          <t>009947</t>
        </is>
      </c>
      <c r="B22" s="3">
        <f>IFERROR(VLOOKUP(A22,_Protheus_Cadastro!$A:$B,2,FALSE),"PENDENTE")</f>
        <v/>
      </c>
      <c r="C22" s="4">
        <f>IFERROR(VLOOKUP(A22,_Protheus_Cadastro!$A:$G,7,FALSE),0)</f>
        <v/>
      </c>
      <c r="D22" s="5">
        <f>IFERROR(VLOOKUP(A22,_Protheus_Cadastro!$A:$D,4,FALSE),"")</f>
        <v/>
      </c>
      <c r="E22" s="10" t="inlineStr">
        <is>
          <t>Muita diferença de valor para o de 100ml</t>
        </is>
      </c>
      <c r="F22" s="5" t="inlineStr">
        <is>
          <t>13/05/2026</t>
        </is>
      </c>
    </row>
    <row r="23" ht="15" customHeight="1">
      <c r="A23" s="6" t="inlineStr">
        <is>
          <t>001176</t>
        </is>
      </c>
      <c r="B23" s="7">
        <f>IFERROR(VLOOKUP(A23,_Protheus_Cadastro!$A:$B,2,FALSE),"PENDENTE")</f>
        <v/>
      </c>
      <c r="C23" s="8">
        <f>IFERROR(VLOOKUP(A23,_Protheus_Cadastro!$A:$G,7,FALSE),0)</f>
        <v/>
      </c>
      <c r="D23" s="9">
        <f>IFERROR(VLOOKUP(A23,_Protheus_Cadastro!$A:$D,4,FALSE),"")</f>
        <v/>
      </c>
      <c r="E23" s="7" t="n"/>
      <c r="F23" s="9" t="inlineStr">
        <is>
          <t>13/05/2026</t>
        </is>
      </c>
    </row>
    <row r="24" ht="15" customHeight="1">
      <c r="A24" s="2" t="inlineStr">
        <is>
          <t>000337</t>
        </is>
      </c>
      <c r="B24" s="3">
        <f>IFERROR(VLOOKUP(A24,_Protheus_Cadastro!$A:$B,2,FALSE),"PENDENTE")</f>
        <v/>
      </c>
      <c r="C24" s="4">
        <f>IFERROR(VLOOKUP(A24,_Protheus_Cadastro!$A:$G,7,FALSE),0)</f>
        <v/>
      </c>
      <c r="D24" s="5">
        <f>IFERROR(VLOOKUP(A24,_Protheus_Cadastro!$A:$D,4,FALSE),"")</f>
        <v/>
      </c>
      <c r="E24" s="3" t="n"/>
      <c r="F24" s="5" t="inlineStr">
        <is>
          <t>13/05/2026</t>
        </is>
      </c>
    </row>
    <row r="25" ht="15" customHeight="1">
      <c r="A25" s="6" t="inlineStr">
        <is>
          <t>000345</t>
        </is>
      </c>
      <c r="B25" s="7">
        <f>IFERROR(VLOOKUP(A25,_Protheus_Cadastro!$A:$B,2,FALSE),"PENDENTE")</f>
        <v/>
      </c>
      <c r="C25" s="8">
        <f>IFERROR(VLOOKUP(A25,_Protheus_Cadastro!$A:$G,7,FALSE),0)</f>
        <v/>
      </c>
      <c r="D25" s="9">
        <f>IFERROR(VLOOKUP(A25,_Protheus_Cadastro!$A:$D,4,FALSE),"")</f>
        <v/>
      </c>
      <c r="E25" s="7" t="n"/>
      <c r="F25" s="9" t="inlineStr">
        <is>
          <t>13/05/2026</t>
        </is>
      </c>
    </row>
    <row r="26" ht="15" customHeight="1">
      <c r="A26" s="2" t="inlineStr">
        <is>
          <t>000377</t>
        </is>
      </c>
      <c r="B26" s="3">
        <f>IFERROR(VLOOKUP(A26,_Protheus_Cadastro!$A:$B,2,FALSE),"PENDENTE")</f>
        <v/>
      </c>
      <c r="C26" s="4">
        <f>IFERROR(VLOOKUP(A26,_Protheus_Cadastro!$A:$G,7,FALSE),0)</f>
        <v/>
      </c>
      <c r="D26" s="5">
        <f>IFERROR(VLOOKUP(A26,_Protheus_Cadastro!$A:$D,4,FALSE),"")</f>
        <v/>
      </c>
      <c r="E26" s="3" t="n"/>
      <c r="F26" s="5" t="inlineStr">
        <is>
          <t>13/05/2026</t>
        </is>
      </c>
    </row>
    <row r="27" ht="15" customHeight="1">
      <c r="A27" s="6" t="inlineStr">
        <is>
          <t>001043</t>
        </is>
      </c>
      <c r="B27" s="7">
        <f>IFERROR(VLOOKUP(A27,_Protheus_Cadastro!$A:$B,2,FALSE),"PENDENTE")</f>
        <v/>
      </c>
      <c r="C27" s="8">
        <f>IFERROR(VLOOKUP(A27,_Protheus_Cadastro!$A:$G,7,FALSE),0)</f>
        <v/>
      </c>
      <c r="D27" s="9">
        <f>IFERROR(VLOOKUP(A27,_Protheus_Cadastro!$A:$D,4,FALSE),"")</f>
        <v/>
      </c>
      <c r="E27" s="7" t="n"/>
      <c r="F27" s="9" t="inlineStr">
        <is>
          <t>13/05/2026</t>
        </is>
      </c>
    </row>
    <row r="28" ht="15" customHeight="1">
      <c r="A28" s="2" t="inlineStr">
        <is>
          <t>010225</t>
        </is>
      </c>
      <c r="B28" s="3">
        <f>IFERROR(VLOOKUP(A28,_Protheus_Cadastro!$A:$B,2,FALSE),"PENDENTE")</f>
        <v/>
      </c>
      <c r="C28" s="4">
        <f>IFERROR(VLOOKUP(A28,_Protheus_Cadastro!$A:$G,7,FALSE),0)</f>
        <v/>
      </c>
      <c r="D28" s="5">
        <f>IFERROR(VLOOKUP(A28,_Protheus_Cadastro!$A:$D,4,FALSE),"")</f>
        <v/>
      </c>
      <c r="E28" s="3" t="n"/>
      <c r="F28" s="5" t="inlineStr">
        <is>
          <t>13/05/2026</t>
        </is>
      </c>
    </row>
    <row r="29" ht="15" customHeight="1">
      <c r="A29" s="6" t="inlineStr">
        <is>
          <t>000747</t>
        </is>
      </c>
      <c r="B29" s="7">
        <f>IFERROR(VLOOKUP(A29,_Protheus_Cadastro!$A:$B,2,FALSE),"PENDENTE")</f>
        <v/>
      </c>
      <c r="C29" s="8">
        <f>IFERROR(VLOOKUP(A29,_Protheus_Cadastro!$A:$G,7,FALSE),0)</f>
        <v/>
      </c>
      <c r="D29" s="9">
        <f>IFERROR(VLOOKUP(A29,_Protheus_Cadastro!$A:$D,4,FALSE),"")</f>
        <v/>
      </c>
      <c r="E29" s="7" t="n"/>
      <c r="F29" s="9" t="inlineStr">
        <is>
          <t>13/05/2026</t>
        </is>
      </c>
    </row>
    <row r="30" ht="15" customHeight="1">
      <c r="A30" s="2" t="inlineStr">
        <is>
          <t>001995</t>
        </is>
      </c>
      <c r="B30" s="3">
        <f>IFERROR(VLOOKUP(A30,_Protheus_Cadastro!$A:$B,2,FALSE),"PENDENTE")</f>
        <v/>
      </c>
      <c r="C30" s="4">
        <f>IFERROR(VLOOKUP(A30,_Protheus_Cadastro!$A:$G,7,FALSE),0)</f>
        <v/>
      </c>
      <c r="D30" s="5">
        <f>IFERROR(VLOOKUP(A30,_Protheus_Cadastro!$A:$D,4,FALSE),"")</f>
        <v/>
      </c>
      <c r="E30" s="3" t="n"/>
      <c r="F30" s="5" t="inlineStr">
        <is>
          <t>13/05/2026</t>
        </is>
      </c>
    </row>
    <row r="31" ht="15" customHeight="1">
      <c r="A31" s="6" t="inlineStr">
        <is>
          <t>000426</t>
        </is>
      </c>
      <c r="B31" s="7">
        <f>IFERROR(VLOOKUP(A31,_Protheus_Cadastro!$A:$B,2,FALSE),"PENDENTE")</f>
        <v/>
      </c>
      <c r="C31" s="8">
        <f>IFERROR(VLOOKUP(A31,_Protheus_Cadastro!$A:$G,7,FALSE),0)</f>
        <v/>
      </c>
      <c r="D31" s="9">
        <f>IFERROR(VLOOKUP(A31,_Protheus_Cadastro!$A:$D,4,FALSE),"")</f>
        <v/>
      </c>
      <c r="E31" s="7" t="n"/>
      <c r="F31" s="9" t="inlineStr">
        <is>
          <t>13/05/2026</t>
        </is>
      </c>
    </row>
    <row r="32" ht="15" customHeight="1">
      <c r="A32" s="2" t="inlineStr">
        <is>
          <t>009487</t>
        </is>
      </c>
      <c r="B32" s="3">
        <f>IFERROR(VLOOKUP(A32,_Protheus_Cadastro!$A:$B,2,FALSE),"PENDENTE")</f>
        <v/>
      </c>
      <c r="C32" s="4">
        <f>IFERROR(VLOOKUP(A32,_Protheus_Cadastro!$A:$G,7,FALSE),0)</f>
        <v/>
      </c>
      <c r="D32" s="5">
        <f>IFERROR(VLOOKUP(A32,_Protheus_Cadastro!$A:$D,4,FALSE),"")</f>
        <v/>
      </c>
      <c r="E32" s="3" t="n"/>
      <c r="F32" s="5" t="inlineStr">
        <is>
          <t>13/05/2026</t>
        </is>
      </c>
    </row>
    <row r="33" ht="15" customHeight="1">
      <c r="A33" s="6" t="inlineStr">
        <is>
          <t>009486</t>
        </is>
      </c>
      <c r="B33" s="7">
        <f>IFERROR(VLOOKUP(A33,_Protheus_Cadastro!$A:$B,2,FALSE),"PENDENTE")</f>
        <v/>
      </c>
      <c r="C33" s="8">
        <f>IFERROR(VLOOKUP(A33,_Protheus_Cadastro!$A:$G,7,FALSE),0)</f>
        <v/>
      </c>
      <c r="D33" s="9">
        <f>IFERROR(VLOOKUP(A33,_Protheus_Cadastro!$A:$D,4,FALSE),"")</f>
        <v/>
      </c>
      <c r="E33" s="7" t="n"/>
      <c r="F33" s="9" t="inlineStr">
        <is>
          <t>13/05/2026</t>
        </is>
      </c>
    </row>
    <row r="34" ht="15" customHeight="1">
      <c r="A34" s="2" t="inlineStr">
        <is>
          <t>000488</t>
        </is>
      </c>
      <c r="B34" s="3">
        <f>IFERROR(VLOOKUP(A34,_Protheus_Cadastro!$A:$B,2,FALSE),"PENDENTE")</f>
        <v/>
      </c>
      <c r="C34" s="4">
        <f>IFERROR(VLOOKUP(A34,_Protheus_Cadastro!$A:$G,7,FALSE),0)</f>
        <v/>
      </c>
      <c r="D34" s="5">
        <f>IFERROR(VLOOKUP(A34,_Protheus_Cadastro!$A:$D,4,FALSE),"")</f>
        <v/>
      </c>
      <c r="E34" s="3" t="n"/>
      <c r="F34" s="5" t="inlineStr">
        <is>
          <t>13/05/2026</t>
        </is>
      </c>
    </row>
    <row r="35" ht="15" customHeight="1">
      <c r="A35" s="6" t="inlineStr">
        <is>
          <t>000489</t>
        </is>
      </c>
      <c r="B35" s="7">
        <f>IFERROR(VLOOKUP(A35,_Protheus_Cadastro!$A:$B,2,FALSE),"PENDENTE")</f>
        <v/>
      </c>
      <c r="C35" s="8">
        <f>IFERROR(VLOOKUP(A35,_Protheus_Cadastro!$A:$G,7,FALSE),0)</f>
        <v/>
      </c>
      <c r="D35" s="9">
        <f>IFERROR(VLOOKUP(A35,_Protheus_Cadastro!$A:$D,4,FALSE),"")</f>
        <v/>
      </c>
      <c r="E35" s="7" t="n"/>
      <c r="F35" s="9" t="inlineStr">
        <is>
          <t>13/05/2026</t>
        </is>
      </c>
    </row>
    <row r="36" ht="15" customHeight="1">
      <c r="A36" s="2" t="inlineStr">
        <is>
          <t>000694</t>
        </is>
      </c>
      <c r="B36" s="3">
        <f>IFERROR(VLOOKUP(A36,_Protheus_Cadastro!$A:$B,2,FALSE),"PENDENTE")</f>
        <v/>
      </c>
      <c r="C36" s="4">
        <f>IFERROR(VLOOKUP(A36,_Protheus_Cadastro!$A:$G,7,FALSE),0)</f>
        <v/>
      </c>
      <c r="D36" s="5">
        <f>IFERROR(VLOOKUP(A36,_Protheus_Cadastro!$A:$D,4,FALSE),"")</f>
        <v/>
      </c>
      <c r="E36" s="3" t="n"/>
      <c r="F36" s="5" t="inlineStr">
        <is>
          <t>13/05/2026</t>
        </is>
      </c>
    </row>
    <row r="37" ht="15" customHeight="1">
      <c r="A37" s="6" t="inlineStr">
        <is>
          <t>000331</t>
        </is>
      </c>
      <c r="B37" s="7">
        <f>IFERROR(VLOOKUP(A37,_Protheus_Cadastro!$A:$B,2,FALSE),"PENDENTE")</f>
        <v/>
      </c>
      <c r="C37" s="8">
        <f>IFERROR(VLOOKUP(A37,_Protheus_Cadastro!$A:$G,7,FALSE),0)</f>
        <v/>
      </c>
      <c r="D37" s="9">
        <f>IFERROR(VLOOKUP(A37,_Protheus_Cadastro!$A:$D,4,FALSE),"")</f>
        <v/>
      </c>
      <c r="E37" s="7" t="n"/>
      <c r="F37" s="9" t="inlineStr">
        <is>
          <t>13/05/2026</t>
        </is>
      </c>
    </row>
    <row r="38" ht="15" customHeight="1">
      <c r="A38" s="2" t="inlineStr">
        <is>
          <t>000464</t>
        </is>
      </c>
      <c r="B38" s="3">
        <f>IFERROR(VLOOKUP(A38,_Protheus_Cadastro!$A:$B,2,FALSE),"PENDENTE")</f>
        <v/>
      </c>
      <c r="C38" s="4">
        <f>IFERROR(VLOOKUP(A38,_Protheus_Cadastro!$A:$G,7,FALSE),0)</f>
        <v/>
      </c>
      <c r="D38" s="5">
        <f>IFERROR(VLOOKUP(A38,_Protheus_Cadastro!$A:$D,4,FALSE),"")</f>
        <v/>
      </c>
      <c r="E38" s="3" t="n"/>
      <c r="F38" s="5" t="inlineStr">
        <is>
          <t>13/05/2026</t>
        </is>
      </c>
    </row>
    <row r="39" ht="15" customHeight="1">
      <c r="A39" s="6" t="inlineStr">
        <is>
          <t>002217</t>
        </is>
      </c>
      <c r="B39" s="7">
        <f>IFERROR(VLOOKUP(A39,_Protheus_Cadastro!$A:$B,2,FALSE),"PENDENTE")</f>
        <v/>
      </c>
      <c r="C39" s="8">
        <f>IFERROR(VLOOKUP(A39,_Protheus_Cadastro!$A:$G,7,FALSE),0)</f>
        <v/>
      </c>
      <c r="D39" s="9">
        <f>IFERROR(VLOOKUP(A39,_Protheus_Cadastro!$A:$D,4,FALSE),"")</f>
        <v/>
      </c>
      <c r="E39" s="7" t="n"/>
      <c r="F39" s="9" t="inlineStr">
        <is>
          <t>13/05/2026</t>
        </is>
      </c>
    </row>
    <row r="40" ht="15" customHeight="1">
      <c r="A40" s="2" t="inlineStr">
        <is>
          <t>000680</t>
        </is>
      </c>
      <c r="B40" s="3">
        <f>IFERROR(VLOOKUP(A40,_Protheus_Cadastro!$A:$B,2,FALSE),"PENDENTE")</f>
        <v/>
      </c>
      <c r="C40" s="4">
        <f>IFERROR(VLOOKUP(A40,_Protheus_Cadastro!$A:$G,7,FALSE),0)</f>
        <v/>
      </c>
      <c r="D40" s="5">
        <f>IFERROR(VLOOKUP(A40,_Protheus_Cadastro!$A:$D,4,FALSE),"")</f>
        <v/>
      </c>
      <c r="E40" s="3" t="n"/>
      <c r="F40" s="5" t="inlineStr">
        <is>
          <t>13/05/2026</t>
        </is>
      </c>
    </row>
    <row r="41" ht="15" customHeight="1">
      <c r="A41" s="6" t="inlineStr">
        <is>
          <t>000465</t>
        </is>
      </c>
      <c r="B41" s="7">
        <f>IFERROR(VLOOKUP(A41,_Protheus_Cadastro!$A:$B,2,FALSE),"PENDENTE")</f>
        <v/>
      </c>
      <c r="C41" s="8">
        <f>IFERROR(VLOOKUP(A41,_Protheus_Cadastro!$A:$G,7,FALSE),0)</f>
        <v/>
      </c>
      <c r="D41" s="9">
        <f>IFERROR(VLOOKUP(A41,_Protheus_Cadastro!$A:$D,4,FALSE),"")</f>
        <v/>
      </c>
      <c r="E41" s="7" t="n"/>
      <c r="F41" s="9" t="inlineStr">
        <is>
          <t>13/05/2026</t>
        </is>
      </c>
    </row>
    <row r="42" ht="15" customHeight="1">
      <c r="A42" s="2" t="inlineStr">
        <is>
          <t>000454</t>
        </is>
      </c>
      <c r="B42" s="3">
        <f>IFERROR(VLOOKUP(A42,_Protheus_Cadastro!$A:$B,2,FALSE),"PENDENTE")</f>
        <v/>
      </c>
      <c r="C42" s="4">
        <f>IFERROR(VLOOKUP(A42,_Protheus_Cadastro!$A:$G,7,FALSE),0)</f>
        <v/>
      </c>
      <c r="D42" s="5">
        <f>IFERROR(VLOOKUP(A42,_Protheus_Cadastro!$A:$D,4,FALSE),"")</f>
        <v/>
      </c>
      <c r="E42" s="3" t="n"/>
      <c r="F42" s="5" t="inlineStr">
        <is>
          <t>13/05/2026</t>
        </is>
      </c>
    </row>
    <row r="43" ht="15" customHeight="1">
      <c r="A43" s="6" t="inlineStr">
        <is>
          <t>000664</t>
        </is>
      </c>
      <c r="B43" s="7">
        <f>IFERROR(VLOOKUP(A43,_Protheus_Cadastro!$A:$B,2,FALSE),"PENDENTE")</f>
        <v/>
      </c>
      <c r="C43" s="8">
        <f>IFERROR(VLOOKUP(A43,_Protheus_Cadastro!$A:$G,7,FALSE),0)</f>
        <v/>
      </c>
      <c r="D43" s="9">
        <f>IFERROR(VLOOKUP(A43,_Protheus_Cadastro!$A:$D,4,FALSE),"")</f>
        <v/>
      </c>
      <c r="E43" s="7" t="n"/>
      <c r="F43" s="9" t="inlineStr">
        <is>
          <t>13/05/2026</t>
        </is>
      </c>
    </row>
    <row r="44" ht="15" customHeight="1">
      <c r="A44" s="2" t="inlineStr">
        <is>
          <t>009293</t>
        </is>
      </c>
      <c r="B44" s="3">
        <f>IFERROR(VLOOKUP(A44,_Protheus_Cadastro!$A:$B,2,FALSE),"PENDENTE")</f>
        <v/>
      </c>
      <c r="C44" s="4">
        <f>IFERROR(VLOOKUP(A44,_Protheus_Cadastro!$A:$G,7,FALSE),0)</f>
        <v/>
      </c>
      <c r="D44" s="5">
        <f>IFERROR(VLOOKUP(A44,_Protheus_Cadastro!$A:$D,4,FALSE),"")</f>
        <v/>
      </c>
      <c r="E44" s="3" t="n"/>
      <c r="F44" s="5" t="inlineStr">
        <is>
          <t>13/05/2026</t>
        </is>
      </c>
    </row>
    <row r="45" ht="15" customHeight="1">
      <c r="A45" s="6" t="inlineStr">
        <is>
          <t>002219</t>
        </is>
      </c>
      <c r="B45" s="7">
        <f>IFERROR(VLOOKUP(A45,_Protheus_Cadastro!$A:$B,2,FALSE),"PENDENTE")</f>
        <v/>
      </c>
      <c r="C45" s="8">
        <f>IFERROR(VLOOKUP(A45,_Protheus_Cadastro!$A:$G,7,FALSE),0)</f>
        <v/>
      </c>
      <c r="D45" s="9">
        <f>IFERROR(VLOOKUP(A45,_Protheus_Cadastro!$A:$D,4,FALSE),"")</f>
        <v/>
      </c>
      <c r="E45" s="7" t="n"/>
      <c r="F45" s="9" t="inlineStr">
        <is>
          <t>13/05/2026</t>
        </is>
      </c>
    </row>
    <row r="46" ht="15" customHeight="1">
      <c r="A46" s="2" t="inlineStr">
        <is>
          <t>000466</t>
        </is>
      </c>
      <c r="B46" s="3">
        <f>IFERROR(VLOOKUP(A46,_Protheus_Cadastro!$A:$B,2,FALSE),"PENDENTE")</f>
        <v/>
      </c>
      <c r="C46" s="4">
        <f>IFERROR(VLOOKUP(A46,_Protheus_Cadastro!$A:$G,7,FALSE),0)</f>
        <v/>
      </c>
      <c r="D46" s="5">
        <f>IFERROR(VLOOKUP(A46,_Protheus_Cadastro!$A:$D,4,FALSE),"")</f>
        <v/>
      </c>
      <c r="E46" s="3" t="n"/>
      <c r="F46" s="5" t="inlineStr">
        <is>
          <t>13/05/2026</t>
        </is>
      </c>
    </row>
    <row r="47" ht="15" customHeight="1">
      <c r="A47" s="6" t="inlineStr">
        <is>
          <t>000629</t>
        </is>
      </c>
      <c r="B47" s="7">
        <f>IFERROR(VLOOKUP(A47,_Protheus_Cadastro!$A:$B,2,FALSE),"PENDENTE")</f>
        <v/>
      </c>
      <c r="C47" s="8">
        <f>IFERROR(VLOOKUP(A47,_Protheus_Cadastro!$A:$G,7,FALSE),0)</f>
        <v/>
      </c>
      <c r="D47" s="9">
        <f>IFERROR(VLOOKUP(A47,_Protheus_Cadastro!$A:$D,4,FALSE),"")</f>
        <v/>
      </c>
      <c r="E47" s="7" t="n"/>
      <c r="F47" s="9" t="inlineStr">
        <is>
          <t>13/05/2026</t>
        </is>
      </c>
    </row>
    <row r="48" ht="15" customHeight="1">
      <c r="A48" s="2" t="inlineStr">
        <is>
          <t>001637</t>
        </is>
      </c>
      <c r="B48" s="3">
        <f>IFERROR(VLOOKUP(A48,_Protheus_Cadastro!$A:$B,2,FALSE),"PENDENTE")</f>
        <v/>
      </c>
      <c r="C48" s="4">
        <f>IFERROR(VLOOKUP(A48,_Protheus_Cadastro!$A:$G,7,FALSE),0)</f>
        <v/>
      </c>
      <c r="D48" s="5">
        <f>IFERROR(VLOOKUP(A48,_Protheus_Cadastro!$A:$D,4,FALSE),"")</f>
        <v/>
      </c>
      <c r="E48" s="3" t="n"/>
      <c r="F48" s="5" t="inlineStr">
        <is>
          <t>13/05/2026</t>
        </is>
      </c>
    </row>
    <row r="49" ht="15" customHeight="1">
      <c r="A49" s="6" t="inlineStr">
        <is>
          <t>000305</t>
        </is>
      </c>
      <c r="B49" s="7">
        <f>IFERROR(VLOOKUP(A49,_Protheus_Cadastro!$A:$B,2,FALSE),"PENDENTE")</f>
        <v/>
      </c>
      <c r="C49" s="8">
        <f>IFERROR(VLOOKUP(A49,_Protheus_Cadastro!$A:$G,7,FALSE),0)</f>
        <v/>
      </c>
      <c r="D49" s="9">
        <f>IFERROR(VLOOKUP(A49,_Protheus_Cadastro!$A:$D,4,FALSE),"")</f>
        <v/>
      </c>
      <c r="E49" s="7" t="n"/>
      <c r="F49" s="9" t="inlineStr">
        <is>
          <t>13/05/2026</t>
        </is>
      </c>
    </row>
    <row r="50" ht="15" customHeight="1">
      <c r="A50" s="2" t="inlineStr">
        <is>
          <t>002226</t>
        </is>
      </c>
      <c r="B50" s="3">
        <f>IFERROR(VLOOKUP(A50,_Protheus_Cadastro!$A:$B,2,FALSE),"PENDENTE")</f>
        <v/>
      </c>
      <c r="C50" s="4">
        <f>IFERROR(VLOOKUP(A50,_Protheus_Cadastro!$A:$G,7,FALSE),0)</f>
        <v/>
      </c>
      <c r="D50" s="5">
        <f>IFERROR(VLOOKUP(A50,_Protheus_Cadastro!$A:$D,4,FALSE),"")</f>
        <v/>
      </c>
      <c r="E50" s="3" t="n"/>
      <c r="F50" s="5" t="inlineStr">
        <is>
          <t>13/05/2026</t>
        </is>
      </c>
    </row>
    <row r="51" ht="15" customHeight="1">
      <c r="A51" s="6" t="inlineStr">
        <is>
          <t>000304</t>
        </is>
      </c>
      <c r="B51" s="7">
        <f>IFERROR(VLOOKUP(A51,_Protheus_Cadastro!$A:$B,2,FALSE),"PENDENTE")</f>
        <v/>
      </c>
      <c r="C51" s="8">
        <f>IFERROR(VLOOKUP(A51,_Protheus_Cadastro!$A:$G,7,FALSE),0)</f>
        <v/>
      </c>
      <c r="D51" s="9">
        <f>IFERROR(VLOOKUP(A51,_Protheus_Cadastro!$A:$D,4,FALSE),"")</f>
        <v/>
      </c>
      <c r="E51" s="7" t="n"/>
      <c r="F51" s="9" t="inlineStr">
        <is>
          <t>13/05/2026</t>
        </is>
      </c>
    </row>
    <row r="52" ht="15" customHeight="1">
      <c r="A52" s="2" t="inlineStr">
        <is>
          <t>000306</t>
        </is>
      </c>
      <c r="B52" s="3">
        <f>IFERROR(VLOOKUP(A52,_Protheus_Cadastro!$A:$B,2,FALSE),"PENDENTE")</f>
        <v/>
      </c>
      <c r="C52" s="4">
        <f>IFERROR(VLOOKUP(A52,_Protheus_Cadastro!$A:$G,7,FALSE),0)</f>
        <v/>
      </c>
      <c r="D52" s="5">
        <f>IFERROR(VLOOKUP(A52,_Protheus_Cadastro!$A:$D,4,FALSE),"")</f>
        <v/>
      </c>
      <c r="E52" s="10" t="inlineStr">
        <is>
          <t>Confirmar em qual PA usamos esse componente (prato novo?)</t>
        </is>
      </c>
      <c r="F52" s="5" t="inlineStr">
        <is>
          <t>13/05/2026</t>
        </is>
      </c>
    </row>
    <row r="53" ht="15" customHeight="1">
      <c r="A53" s="6" t="inlineStr">
        <is>
          <t>009090</t>
        </is>
      </c>
      <c r="B53" s="7">
        <f>IFERROR(VLOOKUP(A53,_Protheus_Cadastro!$A:$B,2,FALSE),"PENDENTE")</f>
        <v/>
      </c>
      <c r="C53" s="8">
        <f>IFERROR(VLOOKUP(A53,_Protheus_Cadastro!$A:$G,7,FALSE),0)</f>
        <v/>
      </c>
      <c r="D53" s="9">
        <f>IFERROR(VLOOKUP(A53,_Protheus_Cadastro!$A:$D,4,FALSE),"")</f>
        <v/>
      </c>
      <c r="E53" s="7" t="n"/>
      <c r="F53" s="9" t="inlineStr">
        <is>
          <t>13/05/2026</t>
        </is>
      </c>
    </row>
    <row r="54" ht="15" customHeight="1">
      <c r="A54" s="2" t="inlineStr">
        <is>
          <t>001133</t>
        </is>
      </c>
      <c r="B54" s="3">
        <f>IFERROR(VLOOKUP(A54,_Protheus_Cadastro!$A:$B,2,FALSE),"PENDENTE")</f>
        <v/>
      </c>
      <c r="C54" s="4">
        <f>IFERROR(VLOOKUP(A54,_Protheus_Cadastro!$A:$G,7,FALSE),0)</f>
        <v/>
      </c>
      <c r="D54" s="5">
        <f>IFERROR(VLOOKUP(A54,_Protheus_Cadastro!$A:$D,4,FALSE),"")</f>
        <v/>
      </c>
      <c r="E54" s="3" t="n"/>
      <c r="F54" s="5" t="inlineStr">
        <is>
          <t>13/05/2026</t>
        </is>
      </c>
    </row>
    <row r="55" ht="15" customHeight="1">
      <c r="A55" s="6" t="inlineStr">
        <is>
          <t>000327</t>
        </is>
      </c>
      <c r="B55" s="7">
        <f>IFERROR(VLOOKUP(A55,_Protheus_Cadastro!$A:$B,2,FALSE),"PENDENTE")</f>
        <v/>
      </c>
      <c r="C55" s="8">
        <f>IFERROR(VLOOKUP(A55,_Protheus_Cadastro!$A:$G,7,FALSE),0)</f>
        <v/>
      </c>
      <c r="D55" s="9">
        <f>IFERROR(VLOOKUP(A55,_Protheus_Cadastro!$A:$D,4,FALSE),"")</f>
        <v/>
      </c>
      <c r="E55" s="7" t="n"/>
      <c r="F55" s="9" t="inlineStr">
        <is>
          <t>13/05/2026</t>
        </is>
      </c>
    </row>
    <row r="56" ht="15" customHeight="1">
      <c r="A56" s="2" t="inlineStr">
        <is>
          <t>000467</t>
        </is>
      </c>
      <c r="B56" s="3">
        <f>IFERROR(VLOOKUP(A56,_Protheus_Cadastro!$A:$B,2,FALSE),"PENDENTE")</f>
        <v/>
      </c>
      <c r="C56" s="4">
        <f>IFERROR(VLOOKUP(A56,_Protheus_Cadastro!$A:$G,7,FALSE),0)</f>
        <v/>
      </c>
      <c r="D56" s="5">
        <f>IFERROR(VLOOKUP(A56,_Protheus_Cadastro!$A:$D,4,FALSE),"")</f>
        <v/>
      </c>
      <c r="E56" s="3" t="n"/>
      <c r="F56" s="5" t="inlineStr">
        <is>
          <t>13/05/2026</t>
        </is>
      </c>
    </row>
    <row r="57" ht="15" customHeight="1">
      <c r="A57" s="6" t="inlineStr">
        <is>
          <t>000326</t>
        </is>
      </c>
      <c r="B57" s="7">
        <f>IFERROR(VLOOKUP(A57,_Protheus_Cadastro!$A:$B,2,FALSE),"PENDENTE")</f>
        <v/>
      </c>
      <c r="C57" s="8">
        <f>IFERROR(VLOOKUP(A57,_Protheus_Cadastro!$A:$G,7,FALSE),0)</f>
        <v/>
      </c>
      <c r="D57" s="9">
        <f>IFERROR(VLOOKUP(A57,_Protheus_Cadastro!$A:$D,4,FALSE),"")</f>
        <v/>
      </c>
      <c r="E57" s="7" t="n"/>
      <c r="F57" s="9" t="inlineStr">
        <is>
          <t>13/05/2026</t>
        </is>
      </c>
    </row>
    <row r="58" ht="15" customHeight="1">
      <c r="A58" s="2" t="inlineStr">
        <is>
          <t>001346</t>
        </is>
      </c>
      <c r="B58" s="3">
        <f>IFERROR(VLOOKUP(A58,_Protheus_Cadastro!$A:$B,2,FALSE),"PENDENTE")</f>
        <v/>
      </c>
      <c r="C58" s="4">
        <f>IFERROR(VLOOKUP(A58,_Protheus_Cadastro!$A:$G,7,FALSE),0)</f>
        <v/>
      </c>
      <c r="D58" s="5">
        <f>IFERROR(VLOOKUP(A58,_Protheus_Cadastro!$A:$D,4,FALSE),"")</f>
        <v/>
      </c>
      <c r="E58" s="3" t="n"/>
      <c r="F58" s="5" t="inlineStr">
        <is>
          <t>13/05/2026</t>
        </is>
      </c>
    </row>
    <row r="59" ht="15" customHeight="1">
      <c r="A59" s="6" t="inlineStr">
        <is>
          <t>001988</t>
        </is>
      </c>
      <c r="B59" s="7">
        <f>IFERROR(VLOOKUP(A59,_Protheus_Cadastro!$A:$B,2,FALSE),"PENDENTE")</f>
        <v/>
      </c>
      <c r="C59" s="8">
        <f>IFERROR(VLOOKUP(A59,_Protheus_Cadastro!$A:$G,7,FALSE),0)</f>
        <v/>
      </c>
      <c r="D59" s="9">
        <f>IFERROR(VLOOKUP(A59,_Protheus_Cadastro!$A:$D,4,FALSE),"")</f>
        <v/>
      </c>
      <c r="E59" s="7" t="n"/>
      <c r="F59" s="9" t="inlineStr">
        <is>
          <t>13/05/2026</t>
        </is>
      </c>
    </row>
    <row r="60" ht="15" customHeight="1">
      <c r="A60" s="2" t="inlineStr">
        <is>
          <t>000760</t>
        </is>
      </c>
      <c r="B60" s="3">
        <f>IFERROR(VLOOKUP(A60,_Protheus_Cadastro!$A:$B,2,FALSE),"PENDENTE")</f>
        <v/>
      </c>
      <c r="C60" s="4">
        <f>IFERROR(VLOOKUP(A60,_Protheus_Cadastro!$A:$G,7,FALSE),0)</f>
        <v/>
      </c>
      <c r="D60" s="5">
        <f>IFERROR(VLOOKUP(A60,_Protheus_Cadastro!$A:$D,4,FALSE),"")</f>
        <v/>
      </c>
      <c r="E60" s="3" t="n"/>
      <c r="F60" s="5" t="inlineStr">
        <is>
          <t>13/05/2026</t>
        </is>
      </c>
    </row>
    <row r="61" ht="15" customHeight="1">
      <c r="A61" s="6" t="inlineStr">
        <is>
          <t>000759</t>
        </is>
      </c>
      <c r="B61" s="7">
        <f>IFERROR(VLOOKUP(A61,_Protheus_Cadastro!$A:$B,2,FALSE),"PENDENTE")</f>
        <v/>
      </c>
      <c r="C61" s="8">
        <f>IFERROR(VLOOKUP(A61,_Protheus_Cadastro!$A:$G,7,FALSE),0)</f>
        <v/>
      </c>
      <c r="D61" s="9">
        <f>IFERROR(VLOOKUP(A61,_Protheus_Cadastro!$A:$D,4,FALSE),"")</f>
        <v/>
      </c>
      <c r="E61" s="7" t="n"/>
      <c r="F61" s="9" t="inlineStr">
        <is>
          <t>13/05/2026</t>
        </is>
      </c>
    </row>
    <row r="62" ht="15" customHeight="1">
      <c r="A62" s="2" t="inlineStr">
        <is>
          <t>000758</t>
        </is>
      </c>
      <c r="B62" s="3">
        <f>IFERROR(VLOOKUP(A62,_Protheus_Cadastro!$A:$B,2,FALSE),"PENDENTE")</f>
        <v/>
      </c>
      <c r="C62" s="4">
        <f>IFERROR(VLOOKUP(A62,_Protheus_Cadastro!$A:$G,7,FALSE),0)</f>
        <v/>
      </c>
      <c r="D62" s="5">
        <f>IFERROR(VLOOKUP(A62,_Protheus_Cadastro!$A:$D,4,FALSE),"")</f>
        <v/>
      </c>
      <c r="E62" s="3" t="n"/>
      <c r="F62" s="5" t="inlineStr">
        <is>
          <t>13/05/2026</t>
        </is>
      </c>
    </row>
    <row r="63" ht="15" customHeight="1">
      <c r="A63" s="6" t="inlineStr">
        <is>
          <t>000756</t>
        </is>
      </c>
      <c r="B63" s="7">
        <f>IFERROR(VLOOKUP(A63,_Protheus_Cadastro!$A:$B,2,FALSE),"PENDENTE")</f>
        <v/>
      </c>
      <c r="C63" s="8">
        <f>IFERROR(VLOOKUP(A63,_Protheus_Cadastro!$A:$G,7,FALSE),0)</f>
        <v/>
      </c>
      <c r="D63" s="9">
        <f>IFERROR(VLOOKUP(A63,_Protheus_Cadastro!$A:$D,4,FALSE),"")</f>
        <v/>
      </c>
      <c r="E63" s="10" t="inlineStr">
        <is>
          <t>Preciso do valor da garrafa</t>
        </is>
      </c>
      <c r="F63" s="9" t="inlineStr">
        <is>
          <t>13/05/2026</t>
        </is>
      </c>
    </row>
    <row r="64" ht="15" customHeight="1">
      <c r="A64" s="2" t="inlineStr">
        <is>
          <t>000343</t>
        </is>
      </c>
      <c r="B64" s="3">
        <f>IFERROR(VLOOKUP(A64,_Protheus_Cadastro!$A:$B,2,FALSE),"PENDENTE")</f>
        <v/>
      </c>
      <c r="C64" s="4">
        <f>IFERROR(VLOOKUP(A64,_Protheus_Cadastro!$A:$G,7,FALSE),0)</f>
        <v/>
      </c>
      <c r="D64" s="5">
        <f>IFERROR(VLOOKUP(A64,_Protheus_Cadastro!$A:$D,4,FALSE),"")</f>
        <v/>
      </c>
      <c r="E64" s="3" t="n"/>
      <c r="F64" s="5" t="inlineStr">
        <is>
          <t>13/05/2026</t>
        </is>
      </c>
    </row>
    <row r="65" ht="15" customHeight="1">
      <c r="A65" s="6" t="inlineStr">
        <is>
          <t>001923</t>
        </is>
      </c>
      <c r="B65" s="7">
        <f>IFERROR(VLOOKUP(A65,_Protheus_Cadastro!$A:$B,2,FALSE),"PENDENTE")</f>
        <v/>
      </c>
      <c r="C65" s="8">
        <f>IFERROR(VLOOKUP(A65,_Protheus_Cadastro!$A:$G,7,FALSE),0)</f>
        <v/>
      </c>
      <c r="D65" s="9">
        <f>IFERROR(VLOOKUP(A65,_Protheus_Cadastro!$A:$D,4,FALSE),"")</f>
        <v/>
      </c>
      <c r="E65" s="7" t="n"/>
      <c r="F65" s="9" t="inlineStr">
        <is>
          <t>13/05/2026</t>
        </is>
      </c>
    </row>
    <row r="66" ht="15" customHeight="1">
      <c r="A66" s="2" t="inlineStr">
        <is>
          <t>000382</t>
        </is>
      </c>
      <c r="B66" s="3">
        <f>IFERROR(VLOOKUP(A66,_Protheus_Cadastro!$A:$B,2,FALSE),"PENDENTE")</f>
        <v/>
      </c>
      <c r="C66" s="4">
        <f>IFERROR(VLOOKUP(A66,_Protheus_Cadastro!$A:$G,7,FALSE),0)</f>
        <v/>
      </c>
      <c r="D66" s="5">
        <f>IFERROR(VLOOKUP(A66,_Protheus_Cadastro!$A:$D,4,FALSE),"")</f>
        <v/>
      </c>
      <c r="E66" s="3" t="n"/>
      <c r="F66" s="5" t="inlineStr">
        <is>
          <t>13/05/2026</t>
        </is>
      </c>
    </row>
    <row r="67" ht="15" customHeight="1">
      <c r="A67" s="6" t="inlineStr">
        <is>
          <t>000383</t>
        </is>
      </c>
      <c r="B67" s="7">
        <f>IFERROR(VLOOKUP(A67,_Protheus_Cadastro!$A:$B,2,FALSE),"PENDENTE")</f>
        <v/>
      </c>
      <c r="C67" s="8">
        <f>IFERROR(VLOOKUP(A67,_Protheus_Cadastro!$A:$G,7,FALSE),0)</f>
        <v/>
      </c>
      <c r="D67" s="9">
        <f>IFERROR(VLOOKUP(A67,_Protheus_Cadastro!$A:$D,4,FALSE),"")</f>
        <v/>
      </c>
      <c r="E67" s="7" t="n"/>
      <c r="F67" s="9" t="inlineStr">
        <is>
          <t>13/05/2026</t>
        </is>
      </c>
    </row>
    <row r="68" ht="15" customHeight="1">
      <c r="A68" s="2" t="inlineStr">
        <is>
          <t>000453</t>
        </is>
      </c>
      <c r="B68" s="3">
        <f>IFERROR(VLOOKUP(A68,_Protheus_Cadastro!$A:$B,2,FALSE),"PENDENTE")</f>
        <v/>
      </c>
      <c r="C68" s="4">
        <f>IFERROR(VLOOKUP(A68,_Protheus_Cadastro!$A:$G,7,FALSE),0)</f>
        <v/>
      </c>
      <c r="D68" s="5">
        <f>IFERROR(VLOOKUP(A68,_Protheus_Cadastro!$A:$D,4,FALSE),"")</f>
        <v/>
      </c>
      <c r="E68" s="3" t="n"/>
      <c r="F68" s="5" t="inlineStr">
        <is>
          <t>13/05/2026</t>
        </is>
      </c>
    </row>
    <row r="69" ht="15" customHeight="1">
      <c r="A69" s="6" t="inlineStr">
        <is>
          <t>000452</t>
        </is>
      </c>
      <c r="B69" s="7">
        <f>IFERROR(VLOOKUP(A69,_Protheus_Cadastro!$A:$B,2,FALSE),"PENDENTE")</f>
        <v/>
      </c>
      <c r="C69" s="8">
        <f>IFERROR(VLOOKUP(A69,_Protheus_Cadastro!$A:$G,7,FALSE),0)</f>
        <v/>
      </c>
      <c r="D69" s="9">
        <f>IFERROR(VLOOKUP(A69,_Protheus_Cadastro!$A:$D,4,FALSE),"")</f>
        <v/>
      </c>
      <c r="E69" s="7" t="n"/>
      <c r="F69" s="9" t="inlineStr">
        <is>
          <t>13/05/2026</t>
        </is>
      </c>
    </row>
    <row r="70" ht="15" customHeight="1">
      <c r="A70" s="2" t="inlineStr">
        <is>
          <t>000636</t>
        </is>
      </c>
      <c r="B70" s="3">
        <f>IFERROR(VLOOKUP(A70,_Protheus_Cadastro!$A:$B,2,FALSE),"PENDENTE")</f>
        <v/>
      </c>
      <c r="C70" s="4">
        <f>IFERROR(VLOOKUP(A70,_Protheus_Cadastro!$A:$G,7,FALSE),0)</f>
        <v/>
      </c>
      <c r="D70" s="5">
        <f>IFERROR(VLOOKUP(A70,_Protheus_Cadastro!$A:$D,4,FALSE),"")</f>
        <v/>
      </c>
      <c r="E70" s="3" t="n"/>
      <c r="F70" s="5" t="inlineStr">
        <is>
          <t>13/05/2026</t>
        </is>
      </c>
    </row>
    <row r="71" ht="15" customHeight="1">
      <c r="A71" s="6" t="inlineStr">
        <is>
          <t>001177</t>
        </is>
      </c>
      <c r="B71" s="7">
        <f>IFERROR(VLOOKUP(A71,_Protheus_Cadastro!$A:$B,2,FALSE),"PENDENTE")</f>
        <v/>
      </c>
      <c r="C71" s="8">
        <f>IFERROR(VLOOKUP(A71,_Protheus_Cadastro!$A:$G,7,FALSE),0)</f>
        <v/>
      </c>
      <c r="D71" s="9">
        <f>IFERROR(VLOOKUP(A71,_Protheus_Cadastro!$A:$D,4,FALSE),"")</f>
        <v/>
      </c>
      <c r="E71" s="7" t="n"/>
      <c r="F71" s="9" t="inlineStr">
        <is>
          <t>13/05/2026</t>
        </is>
      </c>
    </row>
    <row r="72" ht="15" customHeight="1">
      <c r="A72" s="2" t="inlineStr">
        <is>
          <t>1215608</t>
        </is>
      </c>
      <c r="B72" s="3">
        <f>IFERROR(VLOOKUP(A72,_Protheus_Cadastro!$A:$B,2,FALSE),"PENDENTE")</f>
        <v/>
      </c>
      <c r="C72" s="4">
        <f>IFERROR(VLOOKUP(A72,_Protheus_Cadastro!$A:$G,7,FALSE),0)</f>
        <v/>
      </c>
      <c r="D72" s="5">
        <f>IFERROR(VLOOKUP(A72,_Protheus_Cadastro!$A:$D,4,FALSE),"")</f>
        <v/>
      </c>
      <c r="E72" s="3" t="n"/>
      <c r="F72" s="5" t="inlineStr">
        <is>
          <t>13/05/2026</t>
        </is>
      </c>
    </row>
    <row r="73" ht="15" customHeight="1">
      <c r="A73" s="6" t="inlineStr">
        <is>
          <t>002220</t>
        </is>
      </c>
      <c r="B73" s="7">
        <f>IFERROR(VLOOKUP(A73,_Protheus_Cadastro!$A:$B,2,FALSE),"PENDENTE")</f>
        <v/>
      </c>
      <c r="C73" s="8">
        <f>IFERROR(VLOOKUP(A73,_Protheus_Cadastro!$A:$G,7,FALSE),0)</f>
        <v/>
      </c>
      <c r="D73" s="9">
        <f>IFERROR(VLOOKUP(A73,_Protheus_Cadastro!$A:$D,4,FALSE),"")</f>
        <v/>
      </c>
      <c r="E73" s="7" t="n"/>
      <c r="F73" s="9" t="inlineStr">
        <is>
          <t>13/05/2026</t>
        </is>
      </c>
    </row>
    <row r="74" ht="15" customHeight="1">
      <c r="A74" s="2" t="inlineStr">
        <is>
          <t>002222</t>
        </is>
      </c>
      <c r="B74" s="3">
        <f>IFERROR(VLOOKUP(A74,_Protheus_Cadastro!$A:$B,2,FALSE),"PENDENTE")</f>
        <v/>
      </c>
      <c r="C74" s="4">
        <f>IFERROR(VLOOKUP(A74,_Protheus_Cadastro!$A:$G,7,FALSE),0)</f>
        <v/>
      </c>
      <c r="D74" s="5">
        <f>IFERROR(VLOOKUP(A74,_Protheus_Cadastro!$A:$D,4,FALSE),"")</f>
        <v/>
      </c>
      <c r="E74" s="3" t="n"/>
      <c r="F74" s="5" t="inlineStr">
        <is>
          <t>13/05/2026</t>
        </is>
      </c>
    </row>
    <row r="75" ht="15" customHeight="1">
      <c r="A75" s="6" t="inlineStr">
        <is>
          <t>002221</t>
        </is>
      </c>
      <c r="B75" s="7">
        <f>IFERROR(VLOOKUP(A75,_Protheus_Cadastro!$A:$B,2,FALSE),"PENDENTE")</f>
        <v/>
      </c>
      <c r="C75" s="8">
        <f>IFERROR(VLOOKUP(A75,_Protheus_Cadastro!$A:$G,7,FALSE),0)</f>
        <v/>
      </c>
      <c r="D75" s="9">
        <f>IFERROR(VLOOKUP(A75,_Protheus_Cadastro!$A:$D,4,FALSE),"")</f>
        <v/>
      </c>
      <c r="E75" s="7" t="n"/>
      <c r="F75" s="9" t="inlineStr">
        <is>
          <t>13/05/2026</t>
        </is>
      </c>
    </row>
    <row r="76" ht="15" customHeight="1">
      <c r="A76" s="2" t="inlineStr">
        <is>
          <t>12151001</t>
        </is>
      </c>
      <c r="B76" s="3">
        <f>IFERROR(VLOOKUP(A76,_Protheus_Cadastro!$A:$B,2,FALSE),"PENDENTE")</f>
        <v/>
      </c>
      <c r="C76" s="4">
        <f>IFERROR(VLOOKUP(A76,_Protheus_Cadastro!$A:$G,7,FALSE),0)</f>
        <v/>
      </c>
      <c r="D76" s="5">
        <f>IFERROR(VLOOKUP(A76,_Protheus_Cadastro!$A:$D,4,FALSE),"")</f>
        <v/>
      </c>
      <c r="E76" s="3" t="n"/>
      <c r="F76" s="5" t="inlineStr">
        <is>
          <t>13/05/2026</t>
        </is>
      </c>
    </row>
    <row r="77" ht="15" customHeight="1">
      <c r="A77" s="6" t="inlineStr">
        <is>
          <t>12154009</t>
        </is>
      </c>
      <c r="B77" s="7">
        <f>IFERROR(VLOOKUP(A77,_Protheus_Cadastro!$A:$B,2,FALSE),"PENDENTE")</f>
        <v/>
      </c>
      <c r="C77" s="8">
        <f>IFERROR(VLOOKUP(A77,_Protheus_Cadastro!$A:$G,7,FALSE),0)</f>
        <v/>
      </c>
      <c r="D77" s="9">
        <f>IFERROR(VLOOKUP(A77,_Protheus_Cadastro!$A:$D,4,FALSE),"")</f>
        <v/>
      </c>
      <c r="E77" s="7" t="n"/>
      <c r="F77" s="9" t="inlineStr">
        <is>
          <t>13/05/2026</t>
        </is>
      </c>
    </row>
    <row r="78" ht="15" customHeight="1">
      <c r="A78" s="2" t="inlineStr">
        <is>
          <t>12155000</t>
        </is>
      </c>
      <c r="B78" s="3">
        <f>IFERROR(VLOOKUP(A78,_Protheus_Cadastro!$A:$B,2,FALSE),"PENDENTE")</f>
        <v/>
      </c>
      <c r="C78" s="4">
        <f>IFERROR(VLOOKUP(A78,_Protheus_Cadastro!$A:$G,7,FALSE),0)</f>
        <v/>
      </c>
      <c r="D78" s="5">
        <f>IFERROR(VLOOKUP(A78,_Protheus_Cadastro!$A:$D,4,FALSE),"")</f>
        <v/>
      </c>
      <c r="E78" s="3" t="n"/>
      <c r="F78" s="5" t="inlineStr">
        <is>
          <t>13/05/2026</t>
        </is>
      </c>
    </row>
    <row r="79" ht="15" customHeight="1">
      <c r="A79" s="6" t="inlineStr">
        <is>
          <t>009488</t>
        </is>
      </c>
      <c r="B79" s="7">
        <f>IFERROR(VLOOKUP(A79,_Protheus_Cadastro!$A:$B,2,FALSE),"PENDENTE")</f>
        <v/>
      </c>
      <c r="C79" s="8">
        <f>IFERROR(VLOOKUP(A79,_Protheus_Cadastro!$A:$G,7,FALSE),0)</f>
        <v/>
      </c>
      <c r="D79" s="9">
        <f>IFERROR(VLOOKUP(A79,_Protheus_Cadastro!$A:$D,4,FALSE),"")</f>
        <v/>
      </c>
      <c r="E79" s="7" t="n"/>
      <c r="F79" s="9" t="inlineStr">
        <is>
          <t>13/05/2026</t>
        </is>
      </c>
    </row>
    <row r="80" ht="15" customHeight="1">
      <c r="A80" s="2" t="inlineStr">
        <is>
          <t>000468</t>
        </is>
      </c>
      <c r="B80" s="3">
        <f>IFERROR(VLOOKUP(A80,_Protheus_Cadastro!$A:$B,2,FALSE),"PENDENTE")</f>
        <v/>
      </c>
      <c r="C80" s="4">
        <f>IFERROR(VLOOKUP(A80,_Protheus_Cadastro!$A:$G,7,FALSE),0)</f>
        <v/>
      </c>
      <c r="D80" s="5">
        <f>IFERROR(VLOOKUP(A80,_Protheus_Cadastro!$A:$D,4,FALSE),"")</f>
        <v/>
      </c>
      <c r="E80" s="3" t="n"/>
      <c r="F80" s="5" t="inlineStr">
        <is>
          <t>13/05/2026</t>
        </is>
      </c>
    </row>
    <row r="81" ht="15" customHeight="1">
      <c r="A81" s="6" t="inlineStr">
        <is>
          <t>010338</t>
        </is>
      </c>
      <c r="B81" s="7">
        <f>IFERROR(VLOOKUP(A81,_Protheus_Cadastro!$A:$B,2,FALSE),"PENDENTE")</f>
        <v/>
      </c>
      <c r="C81" s="8">
        <f>IFERROR(VLOOKUP(A81,_Protheus_Cadastro!$A:$G,7,FALSE),0)</f>
        <v/>
      </c>
      <c r="D81" s="9">
        <f>IFERROR(VLOOKUP(A81,_Protheus_Cadastro!$A:$D,4,FALSE),"")</f>
        <v/>
      </c>
      <c r="E81" s="7" t="n"/>
      <c r="F81" s="9" t="inlineStr">
        <is>
          <t>13/05/2026</t>
        </is>
      </c>
    </row>
    <row r="82" ht="15" customHeight="1">
      <c r="A82" s="2" t="inlineStr">
        <is>
          <t>000753</t>
        </is>
      </c>
      <c r="B82" s="3">
        <f>IFERROR(VLOOKUP(A82,_Protheus_Cadastro!$A:$B,2,FALSE),"PENDENTE")</f>
        <v/>
      </c>
      <c r="C82" s="4">
        <f>IFERROR(VLOOKUP(A82,_Protheus_Cadastro!$A:$G,7,FALSE),0)</f>
        <v/>
      </c>
      <c r="D82" s="5">
        <f>IFERROR(VLOOKUP(A82,_Protheus_Cadastro!$A:$D,4,FALSE),"")</f>
        <v/>
      </c>
      <c r="E82" s="3" t="n"/>
      <c r="F82" s="5" t="inlineStr">
        <is>
          <t>13/05/2026</t>
        </is>
      </c>
    </row>
    <row r="83" ht="15" customHeight="1">
      <c r="A83" s="6" t="inlineStr">
        <is>
          <t>000469</t>
        </is>
      </c>
      <c r="B83" s="7">
        <f>IFERROR(VLOOKUP(A83,_Protheus_Cadastro!$A:$B,2,FALSE),"PENDENTE")</f>
        <v/>
      </c>
      <c r="C83" s="8">
        <f>IFERROR(VLOOKUP(A83,_Protheus_Cadastro!$A:$G,7,FALSE),0)</f>
        <v/>
      </c>
      <c r="D83" s="9">
        <f>IFERROR(VLOOKUP(A83,_Protheus_Cadastro!$A:$D,4,FALSE),"")</f>
        <v/>
      </c>
      <c r="E83" s="7" t="n"/>
      <c r="F83" s="9" t="inlineStr">
        <is>
          <t>13/05/2026</t>
        </is>
      </c>
    </row>
    <row r="84" ht="15" customHeight="1">
      <c r="A84" s="2" t="inlineStr">
        <is>
          <t>000470</t>
        </is>
      </c>
      <c r="B84" s="3">
        <f>IFERROR(VLOOKUP(A84,_Protheus_Cadastro!$A:$B,2,FALSE),"PENDENTE")</f>
        <v/>
      </c>
      <c r="C84" s="4">
        <f>IFERROR(VLOOKUP(A84,_Protheus_Cadastro!$A:$G,7,FALSE),0)</f>
        <v/>
      </c>
      <c r="D84" s="5">
        <f>IFERROR(VLOOKUP(A84,_Protheus_Cadastro!$A:$D,4,FALSE),"")</f>
        <v/>
      </c>
      <c r="E84" s="3" t="n"/>
      <c r="F84" s="5" t="inlineStr">
        <is>
          <t>13/05/2026</t>
        </is>
      </c>
    </row>
    <row r="85" ht="15" customHeight="1">
      <c r="A85" s="6" t="inlineStr">
        <is>
          <t>001016</t>
        </is>
      </c>
      <c r="B85" s="7">
        <f>IFERROR(VLOOKUP(A85,_Protheus_Cadastro!$A:$B,2,FALSE),"PENDENTE")</f>
        <v/>
      </c>
      <c r="C85" s="8">
        <f>IFERROR(VLOOKUP(A85,_Protheus_Cadastro!$A:$G,7,FALSE),0)</f>
        <v/>
      </c>
      <c r="D85" s="9">
        <f>IFERROR(VLOOKUP(A85,_Protheus_Cadastro!$A:$D,4,FALSE),"")</f>
        <v/>
      </c>
      <c r="E85" s="7" t="n"/>
      <c r="F85" s="9" t="inlineStr">
        <is>
          <t>13/05/2026</t>
        </is>
      </c>
    </row>
    <row r="86" ht="15" customHeight="1">
      <c r="A86" s="2" t="inlineStr">
        <is>
          <t>001049</t>
        </is>
      </c>
      <c r="B86" s="3">
        <f>IFERROR(VLOOKUP(A86,_Protheus_Cadastro!$A:$B,2,FALSE),"PENDENTE")</f>
        <v/>
      </c>
      <c r="C86" s="4">
        <f>IFERROR(VLOOKUP(A86,_Protheus_Cadastro!$A:$G,7,FALSE),0)</f>
        <v/>
      </c>
      <c r="D86" s="5">
        <f>IFERROR(VLOOKUP(A86,_Protheus_Cadastro!$A:$D,4,FALSE),"")</f>
        <v/>
      </c>
      <c r="E86" s="3" t="n"/>
      <c r="F86" s="5" t="inlineStr">
        <is>
          <t>13/05/2026</t>
        </is>
      </c>
    </row>
    <row r="87" ht="15" customHeight="1">
      <c r="A87" s="6" t="inlineStr">
        <is>
          <t>001052</t>
        </is>
      </c>
      <c r="B87" s="7">
        <f>IFERROR(VLOOKUP(A87,_Protheus_Cadastro!$A:$B,2,FALSE),"PENDENTE")</f>
        <v/>
      </c>
      <c r="C87" s="8">
        <f>IFERROR(VLOOKUP(A87,_Protheus_Cadastro!$A:$G,7,FALSE),0)</f>
        <v/>
      </c>
      <c r="D87" s="9">
        <f>IFERROR(VLOOKUP(A87,_Protheus_Cadastro!$A:$D,4,FALSE),"")</f>
        <v/>
      </c>
      <c r="E87" s="7" t="n"/>
      <c r="F87" s="9" t="inlineStr">
        <is>
          <t>13/05/2026</t>
        </is>
      </c>
    </row>
    <row r="88" ht="15" customHeight="1">
      <c r="A88" s="2" t="inlineStr">
        <is>
          <t>000689</t>
        </is>
      </c>
      <c r="B88" s="3">
        <f>IFERROR(VLOOKUP(A88,_Protheus_Cadastro!$A:$B,2,FALSE),"PENDENTE")</f>
        <v/>
      </c>
      <c r="C88" s="4">
        <f>IFERROR(VLOOKUP(A88,_Protheus_Cadastro!$A:$G,7,FALSE),0)</f>
        <v/>
      </c>
      <c r="D88" s="5">
        <f>IFERROR(VLOOKUP(A88,_Protheus_Cadastro!$A:$D,4,FALSE),"")</f>
        <v/>
      </c>
      <c r="E88" s="3" t="n"/>
      <c r="F88" s="5" t="inlineStr">
        <is>
          <t>13/05/2026</t>
        </is>
      </c>
    </row>
    <row r="89" ht="15" customHeight="1">
      <c r="A89" s="6" t="inlineStr">
        <is>
          <t>000373</t>
        </is>
      </c>
      <c r="B89" s="7">
        <f>IFERROR(VLOOKUP(A89,_Protheus_Cadastro!$A:$B,2,FALSE),"PENDENTE")</f>
        <v/>
      </c>
      <c r="C89" s="8">
        <f>IFERROR(VLOOKUP(A89,_Protheus_Cadastro!$A:$G,7,FALSE),0)</f>
        <v/>
      </c>
      <c r="D89" s="9">
        <f>IFERROR(VLOOKUP(A89,_Protheus_Cadastro!$A:$D,4,FALSE),"")</f>
        <v/>
      </c>
      <c r="E89" s="7" t="n"/>
      <c r="F89" s="9" t="inlineStr">
        <is>
          <t>13/05/2026</t>
        </is>
      </c>
    </row>
    <row r="90" ht="15" customHeight="1">
      <c r="A90" s="2" t="inlineStr">
        <is>
          <t>000745</t>
        </is>
      </c>
      <c r="B90" s="3">
        <f>IFERROR(VLOOKUP(A90,_Protheus_Cadastro!$A:$B,2,FALSE),"PENDENTE")</f>
        <v/>
      </c>
      <c r="C90" s="4">
        <f>IFERROR(VLOOKUP(A90,_Protheus_Cadastro!$A:$G,7,FALSE),0)</f>
        <v/>
      </c>
      <c r="D90" s="5">
        <f>IFERROR(VLOOKUP(A90,_Protheus_Cadastro!$A:$D,4,FALSE),"")</f>
        <v/>
      </c>
      <c r="E90" s="3" t="n"/>
      <c r="F90" s="5" t="inlineStr">
        <is>
          <t>13/05/2026</t>
        </is>
      </c>
    </row>
    <row r="91" ht="15" customHeight="1">
      <c r="A91" s="6" t="inlineStr">
        <is>
          <t>001166</t>
        </is>
      </c>
      <c r="B91" s="7">
        <f>IFERROR(VLOOKUP(A91,_Protheus_Cadastro!$A:$B,2,FALSE),"PENDENTE")</f>
        <v/>
      </c>
      <c r="C91" s="8">
        <f>IFERROR(VLOOKUP(A91,_Protheus_Cadastro!$A:$G,7,FALSE),0)</f>
        <v/>
      </c>
      <c r="D91" s="9">
        <f>IFERROR(VLOOKUP(A91,_Protheus_Cadastro!$A:$D,4,FALSE),"")</f>
        <v/>
      </c>
      <c r="E91" s="7" t="n"/>
      <c r="F91" s="9" t="inlineStr">
        <is>
          <t>13/05/2026</t>
        </is>
      </c>
    </row>
    <row r="92" ht="15" customHeight="1">
      <c r="A92" s="2" t="inlineStr">
        <is>
          <t>001784</t>
        </is>
      </c>
      <c r="B92" s="3">
        <f>IFERROR(VLOOKUP(A92,_Protheus_Cadastro!$A:$B,2,FALSE),"PENDENTE")</f>
        <v/>
      </c>
      <c r="C92" s="4">
        <f>IFERROR(VLOOKUP(A92,_Protheus_Cadastro!$A:$G,7,FALSE),0)</f>
        <v/>
      </c>
      <c r="D92" s="5">
        <f>IFERROR(VLOOKUP(A92,_Protheus_Cadastro!$A:$D,4,FALSE),"")</f>
        <v/>
      </c>
      <c r="E92" s="3" t="n"/>
      <c r="F92" s="5" t="inlineStr">
        <is>
          <t>13/05/2026</t>
        </is>
      </c>
    </row>
    <row r="93" ht="15" customHeight="1">
      <c r="A93" s="6" t="inlineStr">
        <is>
          <t>002256</t>
        </is>
      </c>
      <c r="B93" s="7">
        <f>IFERROR(VLOOKUP(A93,_Protheus_Cadastro!$A:$B,2,FALSE),"PENDENTE")</f>
        <v/>
      </c>
      <c r="C93" s="8">
        <f>IFERROR(VLOOKUP(A93,_Protheus_Cadastro!$A:$G,7,FALSE),0)</f>
        <v/>
      </c>
      <c r="D93" s="9">
        <f>IFERROR(VLOOKUP(A93,_Protheus_Cadastro!$A:$D,4,FALSE),"")</f>
        <v/>
      </c>
      <c r="E93" s="7" t="n"/>
      <c r="F93" s="9" t="inlineStr">
        <is>
          <t>13/05/2026</t>
        </is>
      </c>
    </row>
    <row r="94" ht="15" customHeight="1">
      <c r="A94" s="2" t="inlineStr">
        <is>
          <t>000204</t>
        </is>
      </c>
      <c r="B94" s="3">
        <f>IFERROR(VLOOKUP(A94,_Protheus_Cadastro!$A:$B,2,FALSE),"PENDENTE")</f>
        <v/>
      </c>
      <c r="C94" s="4">
        <f>IFERROR(VLOOKUP(A94,_Protheus_Cadastro!$A:$G,7,FALSE),0)</f>
        <v/>
      </c>
      <c r="D94" s="5">
        <f>IFERROR(VLOOKUP(A94,_Protheus_Cadastro!$A:$D,4,FALSE),"")</f>
        <v/>
      </c>
      <c r="E94" s="3" t="n"/>
      <c r="F94" s="5" t="inlineStr">
        <is>
          <t>13/05/2026</t>
        </is>
      </c>
    </row>
    <row r="95" ht="15" customHeight="1">
      <c r="A95" s="6" t="inlineStr">
        <is>
          <t>000310</t>
        </is>
      </c>
      <c r="B95" s="7">
        <f>IFERROR(VLOOKUP(A95,_Protheus_Cadastro!$A:$B,2,FALSE),"PENDENTE")</f>
        <v/>
      </c>
      <c r="C95" s="8">
        <f>IFERROR(VLOOKUP(A95,_Protheus_Cadastro!$A:$G,7,FALSE),0)</f>
        <v/>
      </c>
      <c r="D95" s="9">
        <f>IFERROR(VLOOKUP(A95,_Protheus_Cadastro!$A:$D,4,FALSE),"")</f>
        <v/>
      </c>
      <c r="E95" s="7" t="n"/>
      <c r="F95" s="9" t="inlineStr">
        <is>
          <t>13/05/2026</t>
        </is>
      </c>
    </row>
    <row r="96" ht="15" customHeight="1">
      <c r="A96" s="2" t="inlineStr">
        <is>
          <t>001316</t>
        </is>
      </c>
      <c r="B96" s="3">
        <f>IFERROR(VLOOKUP(A96,_Protheus_Cadastro!$A:$B,2,FALSE),"PENDENTE")</f>
        <v/>
      </c>
      <c r="C96" s="4">
        <f>IFERROR(VLOOKUP(A96,_Protheus_Cadastro!$A:$G,7,FALSE),0)</f>
        <v/>
      </c>
      <c r="D96" s="5">
        <f>IFERROR(VLOOKUP(A96,_Protheus_Cadastro!$A:$D,4,FALSE),"")</f>
        <v/>
      </c>
      <c r="E96" s="3" t="n"/>
      <c r="F96" s="5" t="inlineStr">
        <is>
          <t>13/05/2026</t>
        </is>
      </c>
    </row>
    <row r="97" ht="15" customHeight="1">
      <c r="A97" s="6" t="inlineStr">
        <is>
          <t>001412</t>
        </is>
      </c>
      <c r="B97" s="7">
        <f>IFERROR(VLOOKUP(A97,_Protheus_Cadastro!$A:$B,2,FALSE),"PENDENTE")</f>
        <v/>
      </c>
      <c r="C97" s="8">
        <f>IFERROR(VLOOKUP(A97,_Protheus_Cadastro!$A:$G,7,FALSE),0)</f>
        <v/>
      </c>
      <c r="D97" s="9">
        <f>IFERROR(VLOOKUP(A97,_Protheus_Cadastro!$A:$D,4,FALSE),"")</f>
        <v/>
      </c>
      <c r="E97" s="7" t="n"/>
      <c r="F97" s="9" t="inlineStr">
        <is>
          <t>13/05/2026</t>
        </is>
      </c>
    </row>
    <row r="98" ht="15" customHeight="1">
      <c r="A98" s="2" t="inlineStr">
        <is>
          <t>001411</t>
        </is>
      </c>
      <c r="B98" s="3">
        <f>IFERROR(VLOOKUP(A98,_Protheus_Cadastro!$A:$B,2,FALSE),"PENDENTE")</f>
        <v/>
      </c>
      <c r="C98" s="4">
        <f>IFERROR(VLOOKUP(A98,_Protheus_Cadastro!$A:$G,7,FALSE),0)</f>
        <v/>
      </c>
      <c r="D98" s="5">
        <f>IFERROR(VLOOKUP(A98,_Protheus_Cadastro!$A:$D,4,FALSE),"")</f>
        <v/>
      </c>
      <c r="E98" s="3" t="n"/>
      <c r="F98" s="5" t="inlineStr">
        <is>
          <t>13/05/2026</t>
        </is>
      </c>
    </row>
    <row r="99" ht="15" customHeight="1">
      <c r="A99" s="6" t="inlineStr">
        <is>
          <t>000311</t>
        </is>
      </c>
      <c r="B99" s="7">
        <f>IFERROR(VLOOKUP(A99,_Protheus_Cadastro!$A:$B,2,FALSE),"PENDENTE")</f>
        <v/>
      </c>
      <c r="C99" s="8">
        <f>IFERROR(VLOOKUP(A99,_Protheus_Cadastro!$A:$G,7,FALSE),0)</f>
        <v/>
      </c>
      <c r="D99" s="9">
        <f>IFERROR(VLOOKUP(A99,_Protheus_Cadastro!$A:$D,4,FALSE),"")</f>
        <v/>
      </c>
      <c r="E99" s="7" t="n"/>
      <c r="F99" s="9" t="inlineStr">
        <is>
          <t>13/05/2026</t>
        </is>
      </c>
    </row>
    <row r="100" ht="15" customHeight="1">
      <c r="A100" s="2" t="inlineStr">
        <is>
          <t>001227</t>
        </is>
      </c>
      <c r="B100" s="3">
        <f>IFERROR(VLOOKUP(A100,_Protheus_Cadastro!$A:$B,2,FALSE),"PENDENTE")</f>
        <v/>
      </c>
      <c r="C100" s="4">
        <f>IFERROR(VLOOKUP(A100,_Protheus_Cadastro!$A:$G,7,FALSE),0)</f>
        <v/>
      </c>
      <c r="D100" s="5">
        <f>IFERROR(VLOOKUP(A100,_Protheus_Cadastro!$A:$D,4,FALSE),"")</f>
        <v/>
      </c>
      <c r="E100" s="3" t="n"/>
      <c r="F100" s="5" t="inlineStr">
        <is>
          <t>13/05/2026</t>
        </is>
      </c>
    </row>
    <row r="101" ht="15" customHeight="1">
      <c r="A101" s="6" t="inlineStr">
        <is>
          <t>001326</t>
        </is>
      </c>
      <c r="B101" s="7">
        <f>IFERROR(VLOOKUP(A101,_Protheus_Cadastro!$A:$B,2,FALSE),"PENDENTE")</f>
        <v/>
      </c>
      <c r="C101" s="8">
        <f>IFERROR(VLOOKUP(A101,_Protheus_Cadastro!$A:$G,7,FALSE),0)</f>
        <v/>
      </c>
      <c r="D101" s="9">
        <f>IFERROR(VLOOKUP(A101,_Protheus_Cadastro!$A:$D,4,FALSE),"")</f>
        <v/>
      </c>
      <c r="E101" s="7" t="n"/>
      <c r="F101" s="9" t="inlineStr">
        <is>
          <t>13/05/2026</t>
        </is>
      </c>
    </row>
    <row r="102" ht="15" customHeight="1">
      <c r="A102" s="2" t="inlineStr">
        <is>
          <t>000674</t>
        </is>
      </c>
      <c r="B102" s="3">
        <f>IFERROR(VLOOKUP(A102,_Protheus_Cadastro!$A:$B,2,FALSE),"PENDENTE")</f>
        <v/>
      </c>
      <c r="C102" s="4">
        <f>IFERROR(VLOOKUP(A102,_Protheus_Cadastro!$A:$G,7,FALSE),0)</f>
        <v/>
      </c>
      <c r="D102" s="5">
        <f>IFERROR(VLOOKUP(A102,_Protheus_Cadastro!$A:$D,4,FALSE),"")</f>
        <v/>
      </c>
      <c r="E102" s="3" t="n"/>
      <c r="F102" s="5" t="inlineStr">
        <is>
          <t>13/05/2026</t>
        </is>
      </c>
    </row>
    <row r="103" ht="15" customHeight="1">
      <c r="A103" s="6" t="inlineStr">
        <is>
          <t>001175</t>
        </is>
      </c>
      <c r="B103" s="7">
        <f>IFERROR(VLOOKUP(A103,_Protheus_Cadastro!$A:$B,2,FALSE),"PENDENTE")</f>
        <v/>
      </c>
      <c r="C103" s="8">
        <f>IFERROR(VLOOKUP(A103,_Protheus_Cadastro!$A:$G,7,FALSE),0)</f>
        <v/>
      </c>
      <c r="D103" s="9">
        <f>IFERROR(VLOOKUP(A103,_Protheus_Cadastro!$A:$D,4,FALSE),"")</f>
        <v/>
      </c>
      <c r="E103" s="7" t="n"/>
      <c r="F103" s="9" t="inlineStr">
        <is>
          <t>13/05/2026</t>
        </is>
      </c>
    </row>
    <row r="104" ht="15" customHeight="1">
      <c r="A104" s="2" t="inlineStr">
        <is>
          <t>001927</t>
        </is>
      </c>
      <c r="B104" s="3">
        <f>IFERROR(VLOOKUP(A104,_Protheus_Cadastro!$A:$B,2,FALSE),"PENDENTE")</f>
        <v/>
      </c>
      <c r="C104" s="4">
        <f>IFERROR(VLOOKUP(A104,_Protheus_Cadastro!$A:$G,7,FALSE),0)</f>
        <v/>
      </c>
      <c r="D104" s="5">
        <f>IFERROR(VLOOKUP(A104,_Protheus_Cadastro!$A:$D,4,FALSE),"")</f>
        <v/>
      </c>
      <c r="E104" s="3" t="n"/>
      <c r="F104" s="5" t="inlineStr">
        <is>
          <t>13/05/2026</t>
        </is>
      </c>
    </row>
    <row r="105" ht="15" customHeight="1">
      <c r="A105" s="6" t="inlineStr">
        <is>
          <t>001928</t>
        </is>
      </c>
      <c r="B105" s="7">
        <f>IFERROR(VLOOKUP(A105,_Protheus_Cadastro!$A:$B,2,FALSE),"PENDENTE")</f>
        <v/>
      </c>
      <c r="C105" s="8">
        <f>IFERROR(VLOOKUP(A105,_Protheus_Cadastro!$A:$G,7,FALSE),0)</f>
        <v/>
      </c>
      <c r="D105" s="9">
        <f>IFERROR(VLOOKUP(A105,_Protheus_Cadastro!$A:$D,4,FALSE),"")</f>
        <v/>
      </c>
      <c r="E105" s="7" t="n"/>
      <c r="F105" s="9" t="inlineStr">
        <is>
          <t>13/05/2026</t>
        </is>
      </c>
    </row>
    <row r="106" ht="15" customHeight="1">
      <c r="A106" s="2" t="inlineStr">
        <is>
          <t>010218</t>
        </is>
      </c>
      <c r="B106" s="3">
        <f>IFERROR(VLOOKUP(A106,_Protheus_Cadastro!$A:$B,2,FALSE),"PENDENTE")</f>
        <v/>
      </c>
      <c r="C106" s="4">
        <f>IFERROR(VLOOKUP(A106,_Protheus_Cadastro!$A:$G,7,FALSE),0)</f>
        <v/>
      </c>
      <c r="D106" s="5">
        <f>IFERROR(VLOOKUP(A106,_Protheus_Cadastro!$A:$D,4,FALSE),"")</f>
        <v/>
      </c>
      <c r="E106" s="3" t="n"/>
      <c r="F106" s="5" t="inlineStr">
        <is>
          <t>13/05/2026</t>
        </is>
      </c>
    </row>
    <row r="107" ht="15" customHeight="1">
      <c r="A107" s="6" t="inlineStr">
        <is>
          <t>000450</t>
        </is>
      </c>
      <c r="B107" s="7">
        <f>IFERROR(VLOOKUP(A107,_Protheus_Cadastro!$A:$B,2,FALSE),"PENDENTE")</f>
        <v/>
      </c>
      <c r="C107" s="8">
        <f>IFERROR(VLOOKUP(A107,_Protheus_Cadastro!$A:$G,7,FALSE),0)</f>
        <v/>
      </c>
      <c r="D107" s="9">
        <f>IFERROR(VLOOKUP(A107,_Protheus_Cadastro!$A:$D,4,FALSE),"")</f>
        <v/>
      </c>
      <c r="E107" s="7" t="n"/>
      <c r="F107" s="9" t="inlineStr">
        <is>
          <t>13/05/2026</t>
        </is>
      </c>
    </row>
    <row r="108" ht="15" customHeight="1">
      <c r="A108" s="2" t="inlineStr">
        <is>
          <t>000344</t>
        </is>
      </c>
      <c r="B108" s="3">
        <f>IFERROR(VLOOKUP(A108,_Protheus_Cadastro!$A:$B,2,FALSE),"PENDENTE")</f>
        <v/>
      </c>
      <c r="C108" s="4">
        <f>IFERROR(VLOOKUP(A108,_Protheus_Cadastro!$A:$G,7,FALSE),0)</f>
        <v/>
      </c>
      <c r="D108" s="5">
        <f>IFERROR(VLOOKUP(A108,_Protheus_Cadastro!$A:$D,4,FALSE),"")</f>
        <v/>
      </c>
      <c r="E108" s="3" t="n"/>
      <c r="F108" s="5" t="inlineStr">
        <is>
          <t>13/05/2026</t>
        </is>
      </c>
    </row>
    <row r="109" ht="15" customHeight="1">
      <c r="A109" s="6" t="inlineStr">
        <is>
          <t>000385</t>
        </is>
      </c>
      <c r="B109" s="7">
        <f>IFERROR(VLOOKUP(A109,_Protheus_Cadastro!$A:$B,2,FALSE),"PENDENTE")</f>
        <v/>
      </c>
      <c r="C109" s="8">
        <f>IFERROR(VLOOKUP(A109,_Protheus_Cadastro!$A:$G,7,FALSE),0)</f>
        <v/>
      </c>
      <c r="D109" s="9">
        <f>IFERROR(VLOOKUP(A109,_Protheus_Cadastro!$A:$D,4,FALSE),"")</f>
        <v/>
      </c>
      <c r="E109" s="7" t="n"/>
      <c r="F109" s="9" t="inlineStr">
        <is>
          <t>13/05/2026</t>
        </is>
      </c>
    </row>
    <row r="110" ht="15" customHeight="1">
      <c r="A110" s="2" t="inlineStr">
        <is>
          <t>000437</t>
        </is>
      </c>
      <c r="B110" s="3">
        <f>IFERROR(VLOOKUP(A110,_Protheus_Cadastro!$A:$B,2,FALSE),"PENDENTE")</f>
        <v/>
      </c>
      <c r="C110" s="4">
        <f>IFERROR(VLOOKUP(A110,_Protheus_Cadastro!$A:$G,7,FALSE),0)</f>
        <v/>
      </c>
      <c r="D110" s="5">
        <f>IFERROR(VLOOKUP(A110,_Protheus_Cadastro!$A:$D,4,FALSE),"")</f>
        <v/>
      </c>
      <c r="E110" s="3" t="n"/>
      <c r="F110" s="5" t="inlineStr">
        <is>
          <t>13/05/2026</t>
        </is>
      </c>
    </row>
    <row r="111" ht="15" customHeight="1">
      <c r="A111" s="6" t="inlineStr">
        <is>
          <t>000386</t>
        </is>
      </c>
      <c r="B111" s="7">
        <f>IFERROR(VLOOKUP(A111,_Protheus_Cadastro!$A:$B,2,FALSE),"PENDENTE")</f>
        <v/>
      </c>
      <c r="C111" s="8">
        <f>IFERROR(VLOOKUP(A111,_Protheus_Cadastro!$A:$G,7,FALSE),0)</f>
        <v/>
      </c>
      <c r="D111" s="9">
        <f>IFERROR(VLOOKUP(A111,_Protheus_Cadastro!$A:$D,4,FALSE),"")</f>
        <v/>
      </c>
      <c r="E111" s="7" t="n"/>
      <c r="F111" s="9" t="inlineStr">
        <is>
          <t>13/05/2026</t>
        </is>
      </c>
    </row>
    <row r="112" ht="15" customHeight="1">
      <c r="A112" s="2" t="inlineStr">
        <is>
          <t>001973</t>
        </is>
      </c>
      <c r="B112" s="3">
        <f>IFERROR(VLOOKUP(A112,_Protheus_Cadastro!$A:$B,2,FALSE),"PENDENTE")</f>
        <v/>
      </c>
      <c r="C112" s="4">
        <f>IFERROR(VLOOKUP(A112,_Protheus_Cadastro!$A:$G,7,FALSE),0)</f>
        <v/>
      </c>
      <c r="D112" s="5">
        <f>IFERROR(VLOOKUP(A112,_Protheus_Cadastro!$A:$D,4,FALSE),"")</f>
        <v/>
      </c>
      <c r="E112" s="3" t="n"/>
      <c r="F112" s="5" t="inlineStr">
        <is>
          <t>13/05/2026</t>
        </is>
      </c>
    </row>
    <row r="113" ht="15" customHeight="1">
      <c r="A113" s="6" t="inlineStr">
        <is>
          <t>000471</t>
        </is>
      </c>
      <c r="B113" s="7">
        <f>IFERROR(VLOOKUP(A113,_Protheus_Cadastro!$A:$B,2,FALSE),"PENDENTE")</f>
        <v/>
      </c>
      <c r="C113" s="8">
        <f>IFERROR(VLOOKUP(A113,_Protheus_Cadastro!$A:$G,7,FALSE),0)</f>
        <v/>
      </c>
      <c r="D113" s="9">
        <f>IFERROR(VLOOKUP(A113,_Protheus_Cadastro!$A:$D,4,FALSE),"")</f>
        <v/>
      </c>
      <c r="E113" s="7" t="n"/>
      <c r="F113" s="9" t="inlineStr">
        <is>
          <t>13/05/2026</t>
        </is>
      </c>
    </row>
    <row r="114" ht="15" customHeight="1">
      <c r="A114" s="2" t="inlineStr">
        <is>
          <t>000348</t>
        </is>
      </c>
      <c r="B114" s="3">
        <f>IFERROR(VLOOKUP(A114,_Protheus_Cadastro!$A:$B,2,FALSE),"PENDENTE")</f>
        <v/>
      </c>
      <c r="C114" s="4">
        <f>IFERROR(VLOOKUP(A114,_Protheus_Cadastro!$A:$G,7,FALSE),0)</f>
        <v/>
      </c>
      <c r="D114" s="5">
        <f>IFERROR(VLOOKUP(A114,_Protheus_Cadastro!$A:$D,4,FALSE),"")</f>
        <v/>
      </c>
      <c r="E114" s="3" t="n"/>
      <c r="F114" s="5" t="inlineStr">
        <is>
          <t>13/05/2026</t>
        </is>
      </c>
    </row>
    <row r="115" ht="15" customHeight="1">
      <c r="A115" s="6" t="inlineStr">
        <is>
          <t>001924</t>
        </is>
      </c>
      <c r="B115" s="7">
        <f>IFERROR(VLOOKUP(A115,_Protheus_Cadastro!$A:$B,2,FALSE),"PENDENTE")</f>
        <v/>
      </c>
      <c r="C115" s="8">
        <f>IFERROR(VLOOKUP(A115,_Protheus_Cadastro!$A:$G,7,FALSE),0)</f>
        <v/>
      </c>
      <c r="D115" s="9">
        <f>IFERROR(VLOOKUP(A115,_Protheus_Cadastro!$A:$D,4,FALSE),"")</f>
        <v/>
      </c>
      <c r="E115" s="7" t="n"/>
      <c r="F115" s="9" t="inlineStr">
        <is>
          <t>13/05/2026</t>
        </is>
      </c>
    </row>
    <row r="116" ht="15" customHeight="1">
      <c r="A116" s="2" t="inlineStr">
        <is>
          <t>000203</t>
        </is>
      </c>
      <c r="B116" s="3">
        <f>IFERROR(VLOOKUP(A116,_Protheus_Cadastro!$A:$B,2,FALSE),"PENDENTE")</f>
        <v/>
      </c>
      <c r="C116" s="4">
        <f>IFERROR(VLOOKUP(A116,_Protheus_Cadastro!$A:$G,7,FALSE),0)</f>
        <v/>
      </c>
      <c r="D116" s="5">
        <f>IFERROR(VLOOKUP(A116,_Protheus_Cadastro!$A:$D,4,FALSE),"")</f>
        <v/>
      </c>
      <c r="E116" s="3" t="n"/>
      <c r="F116" s="5" t="inlineStr">
        <is>
          <t>13/05/2026</t>
        </is>
      </c>
    </row>
    <row r="117" ht="15" customHeight="1">
      <c r="A117" s="6" t="inlineStr">
        <is>
          <t>001654</t>
        </is>
      </c>
      <c r="B117" s="7">
        <f>IFERROR(VLOOKUP(A117,_Protheus_Cadastro!$A:$B,2,FALSE),"PENDENTE")</f>
        <v/>
      </c>
      <c r="C117" s="8">
        <f>IFERROR(VLOOKUP(A117,_Protheus_Cadastro!$A:$G,7,FALSE),0)</f>
        <v/>
      </c>
      <c r="D117" s="9">
        <f>IFERROR(VLOOKUP(A117,_Protheus_Cadastro!$A:$D,4,FALSE),"")</f>
        <v/>
      </c>
      <c r="E117" s="7" t="n"/>
      <c r="F117" s="9" t="inlineStr">
        <is>
          <t>13/05/2026</t>
        </is>
      </c>
    </row>
    <row r="118" ht="15" customHeight="1">
      <c r="A118" s="2" t="inlineStr">
        <is>
          <t>000472</t>
        </is>
      </c>
      <c r="B118" s="3">
        <f>IFERROR(VLOOKUP(A118,_Protheus_Cadastro!$A:$B,2,FALSE),"PENDENTE")</f>
        <v/>
      </c>
      <c r="C118" s="4">
        <f>IFERROR(VLOOKUP(A118,_Protheus_Cadastro!$A:$G,7,FALSE),0)</f>
        <v/>
      </c>
      <c r="D118" s="5">
        <f>IFERROR(VLOOKUP(A118,_Protheus_Cadastro!$A:$D,4,FALSE),"")</f>
        <v/>
      </c>
      <c r="E118" s="3" t="n"/>
      <c r="F118" s="5" t="inlineStr">
        <is>
          <t>13/05/2026</t>
        </is>
      </c>
    </row>
    <row r="119" ht="15" customHeight="1">
      <c r="A119" s="6" t="inlineStr">
        <is>
          <t>000309</t>
        </is>
      </c>
      <c r="B119" s="7">
        <f>IFERROR(VLOOKUP(A119,_Protheus_Cadastro!$A:$B,2,FALSE),"PENDENTE")</f>
        <v/>
      </c>
      <c r="C119" s="8">
        <f>IFERROR(VLOOKUP(A119,_Protheus_Cadastro!$A:$G,7,FALSE),0)</f>
        <v/>
      </c>
      <c r="D119" s="9">
        <f>IFERROR(VLOOKUP(A119,_Protheus_Cadastro!$A:$D,4,FALSE),"")</f>
        <v/>
      </c>
      <c r="E119" s="7" t="n"/>
      <c r="F119" s="9" t="inlineStr">
        <is>
          <t>13/05/2026</t>
        </is>
      </c>
    </row>
    <row r="120" ht="15" customHeight="1">
      <c r="A120" s="2" t="inlineStr">
        <is>
          <t>001994</t>
        </is>
      </c>
      <c r="B120" s="3">
        <f>IFERROR(VLOOKUP(A120,_Protheus_Cadastro!$A:$B,2,FALSE),"PENDENTE")</f>
        <v/>
      </c>
      <c r="C120" s="4">
        <f>IFERROR(VLOOKUP(A120,_Protheus_Cadastro!$A:$G,7,FALSE),0)</f>
        <v/>
      </c>
      <c r="D120" s="5">
        <f>IFERROR(VLOOKUP(A120,_Protheus_Cadastro!$A:$D,4,FALSE),"")</f>
        <v/>
      </c>
      <c r="E120" s="3" t="n"/>
      <c r="F120" s="5" t="inlineStr">
        <is>
          <t>13/05/2026</t>
        </is>
      </c>
    </row>
    <row r="121" ht="15" customHeight="1">
      <c r="A121" s="6" t="inlineStr">
        <is>
          <t>000387</t>
        </is>
      </c>
      <c r="B121" s="7">
        <f>IFERROR(VLOOKUP(A121,_Protheus_Cadastro!$A:$B,2,FALSE),"PENDENTE")</f>
        <v/>
      </c>
      <c r="C121" s="8">
        <f>IFERROR(VLOOKUP(A121,_Protheus_Cadastro!$A:$G,7,FALSE),0)</f>
        <v/>
      </c>
      <c r="D121" s="9">
        <f>IFERROR(VLOOKUP(A121,_Protheus_Cadastro!$A:$D,4,FALSE),"")</f>
        <v/>
      </c>
      <c r="E121" s="7" t="n"/>
      <c r="F121" s="9" t="inlineStr">
        <is>
          <t>13/05/2026</t>
        </is>
      </c>
    </row>
    <row r="122" ht="15" customHeight="1">
      <c r="A122" s="2" t="inlineStr">
        <is>
          <t>001250</t>
        </is>
      </c>
      <c r="B122" s="3">
        <f>IFERROR(VLOOKUP(A122,_Protheus_Cadastro!$A:$B,2,FALSE),"PENDENTE")</f>
        <v/>
      </c>
      <c r="C122" s="4">
        <f>IFERROR(VLOOKUP(A122,_Protheus_Cadastro!$A:$G,7,FALSE),0)</f>
        <v/>
      </c>
      <c r="D122" s="5">
        <f>IFERROR(VLOOKUP(A122,_Protheus_Cadastro!$A:$D,4,FALSE),"")</f>
        <v/>
      </c>
      <c r="E122" s="3" t="n"/>
      <c r="F122" s="5" t="inlineStr">
        <is>
          <t>13/05/2026</t>
        </is>
      </c>
    </row>
    <row r="123" ht="15" customHeight="1">
      <c r="A123" s="6" t="inlineStr">
        <is>
          <t>002251</t>
        </is>
      </c>
      <c r="B123" s="7">
        <f>IFERROR(VLOOKUP(A123,_Protheus_Cadastro!$A:$B,2,FALSE),"PENDENTE")</f>
        <v/>
      </c>
      <c r="C123" s="8">
        <f>IFERROR(VLOOKUP(A123,_Protheus_Cadastro!$A:$G,7,FALSE),0)</f>
        <v/>
      </c>
      <c r="D123" s="9">
        <f>IFERROR(VLOOKUP(A123,_Protheus_Cadastro!$A:$D,4,FALSE),"")</f>
        <v/>
      </c>
      <c r="E123" s="7" t="n"/>
      <c r="F123" s="9" t="inlineStr">
        <is>
          <t>13/05/2026</t>
        </is>
      </c>
    </row>
    <row r="124" ht="15" customHeight="1">
      <c r="A124" s="2" t="inlineStr">
        <is>
          <t>000286</t>
        </is>
      </c>
      <c r="B124" s="3">
        <f>IFERROR(VLOOKUP(A124,_Protheus_Cadastro!$A:$B,2,FALSE),"PENDENTE")</f>
        <v/>
      </c>
      <c r="C124" s="4">
        <f>IFERROR(VLOOKUP(A124,_Protheus_Cadastro!$A:$G,7,FALSE),0)</f>
        <v/>
      </c>
      <c r="D124" s="5">
        <f>IFERROR(VLOOKUP(A124,_Protheus_Cadastro!$A:$D,4,FALSE),"")</f>
        <v/>
      </c>
      <c r="E124" s="3" t="n"/>
      <c r="F124" s="5" t="inlineStr">
        <is>
          <t>13/05/2026</t>
        </is>
      </c>
    </row>
    <row r="125" ht="15" customHeight="1">
      <c r="A125" s="6" t="inlineStr">
        <is>
          <t>000287</t>
        </is>
      </c>
      <c r="B125" s="7">
        <f>IFERROR(VLOOKUP(A125,_Protheus_Cadastro!$A:$B,2,FALSE),"PENDENTE")</f>
        <v/>
      </c>
      <c r="C125" s="8">
        <f>IFERROR(VLOOKUP(A125,_Protheus_Cadastro!$A:$G,7,FALSE),0)</f>
        <v/>
      </c>
      <c r="D125" s="9">
        <f>IFERROR(VLOOKUP(A125,_Protheus_Cadastro!$A:$D,4,FALSE),"")</f>
        <v/>
      </c>
      <c r="E125" s="7" t="n"/>
      <c r="F125" s="9" t="inlineStr">
        <is>
          <t>13/05/2026</t>
        </is>
      </c>
    </row>
    <row r="126" ht="15" customHeight="1">
      <c r="A126" s="2" t="inlineStr">
        <is>
          <t>000288</t>
        </is>
      </c>
      <c r="B126" s="3">
        <f>IFERROR(VLOOKUP(A126,_Protheus_Cadastro!$A:$B,2,FALSE),"PENDENTE")</f>
        <v/>
      </c>
      <c r="C126" s="4">
        <f>IFERROR(VLOOKUP(A126,_Protheus_Cadastro!$A:$G,7,FALSE),0)</f>
        <v/>
      </c>
      <c r="D126" s="5">
        <f>IFERROR(VLOOKUP(A126,_Protheus_Cadastro!$A:$D,4,FALSE),"")</f>
        <v/>
      </c>
      <c r="E126" s="3" t="n"/>
      <c r="F126" s="5" t="inlineStr">
        <is>
          <t>13/05/2026</t>
        </is>
      </c>
    </row>
    <row r="127" ht="15" customHeight="1">
      <c r="A127" s="6" t="inlineStr">
        <is>
          <t>000302</t>
        </is>
      </c>
      <c r="B127" s="7">
        <f>IFERROR(VLOOKUP(A127,_Protheus_Cadastro!$A:$B,2,FALSE),"PENDENTE")</f>
        <v/>
      </c>
      <c r="C127" s="8">
        <f>IFERROR(VLOOKUP(A127,_Protheus_Cadastro!$A:$G,7,FALSE),0)</f>
        <v/>
      </c>
      <c r="D127" s="9">
        <f>IFERROR(VLOOKUP(A127,_Protheus_Cadastro!$A:$D,4,FALSE),"")</f>
        <v/>
      </c>
      <c r="E127" s="7" t="n"/>
      <c r="F127" s="9" t="inlineStr">
        <is>
          <t>13/05/2026</t>
        </is>
      </c>
    </row>
    <row r="128" ht="15" customHeight="1">
      <c r="A128" s="2" t="inlineStr">
        <is>
          <t>000299</t>
        </is>
      </c>
      <c r="B128" s="3">
        <f>IFERROR(VLOOKUP(A128,_Protheus_Cadastro!$A:$B,2,FALSE),"PENDENTE")</f>
        <v/>
      </c>
      <c r="C128" s="4">
        <f>IFERROR(VLOOKUP(A128,_Protheus_Cadastro!$A:$G,7,FALSE),0)</f>
        <v/>
      </c>
      <c r="D128" s="5">
        <f>IFERROR(VLOOKUP(A128,_Protheus_Cadastro!$A:$D,4,FALSE),"")</f>
        <v/>
      </c>
      <c r="E128" s="3" t="n"/>
      <c r="F128" s="5" t="inlineStr">
        <is>
          <t>13/05/2026</t>
        </is>
      </c>
    </row>
    <row r="129" ht="15" customHeight="1">
      <c r="A129" s="6" t="inlineStr">
        <is>
          <t>000289</t>
        </is>
      </c>
      <c r="B129" s="7">
        <f>IFERROR(VLOOKUP(A129,_Protheus_Cadastro!$A:$B,2,FALSE),"PENDENTE")</f>
        <v/>
      </c>
      <c r="C129" s="8">
        <f>IFERROR(VLOOKUP(A129,_Protheus_Cadastro!$A:$G,7,FALSE),0)</f>
        <v/>
      </c>
      <c r="D129" s="9">
        <f>IFERROR(VLOOKUP(A129,_Protheus_Cadastro!$A:$D,4,FALSE),"")</f>
        <v/>
      </c>
      <c r="E129" s="7" t="n"/>
      <c r="F129" s="9" t="inlineStr">
        <is>
          <t>13/05/2026</t>
        </is>
      </c>
    </row>
    <row r="130" ht="15" customHeight="1">
      <c r="A130" s="2" t="inlineStr">
        <is>
          <t>000290</t>
        </is>
      </c>
      <c r="B130" s="3">
        <f>IFERROR(VLOOKUP(A130,_Protheus_Cadastro!$A:$B,2,FALSE),"PENDENTE")</f>
        <v/>
      </c>
      <c r="C130" s="4">
        <f>IFERROR(VLOOKUP(A130,_Protheus_Cadastro!$A:$G,7,FALSE),0)</f>
        <v/>
      </c>
      <c r="D130" s="5">
        <f>IFERROR(VLOOKUP(A130,_Protheus_Cadastro!$A:$D,4,FALSE),"")</f>
        <v/>
      </c>
      <c r="E130" s="3" t="n"/>
      <c r="F130" s="5" t="inlineStr">
        <is>
          <t>13/05/2026</t>
        </is>
      </c>
    </row>
    <row r="131" ht="15" customHeight="1">
      <c r="A131" s="6" t="inlineStr">
        <is>
          <t>009954</t>
        </is>
      </c>
      <c r="B131" s="7">
        <f>IFERROR(VLOOKUP(A131,_Protheus_Cadastro!$A:$B,2,FALSE),"PENDENTE")</f>
        <v/>
      </c>
      <c r="C131" s="8">
        <f>IFERROR(VLOOKUP(A131,_Protheus_Cadastro!$A:$G,7,FALSE),0)</f>
        <v/>
      </c>
      <c r="D131" s="9">
        <f>IFERROR(VLOOKUP(A131,_Protheus_Cadastro!$A:$D,4,FALSE),"")</f>
        <v/>
      </c>
      <c r="E131" s="7" t="n"/>
      <c r="F131" s="9" t="inlineStr">
        <is>
          <t>13/05/2026</t>
        </is>
      </c>
    </row>
    <row r="132" ht="15" customHeight="1">
      <c r="A132" s="2" t="inlineStr">
        <is>
          <t>000296</t>
        </is>
      </c>
      <c r="B132" s="3">
        <f>IFERROR(VLOOKUP(A132,_Protheus_Cadastro!$A:$B,2,FALSE),"PENDENTE")</f>
        <v/>
      </c>
      <c r="C132" s="4">
        <f>IFERROR(VLOOKUP(A132,_Protheus_Cadastro!$A:$G,7,FALSE),0)</f>
        <v/>
      </c>
      <c r="D132" s="5">
        <f>IFERROR(VLOOKUP(A132,_Protheus_Cadastro!$A:$D,4,FALSE),"")</f>
        <v/>
      </c>
      <c r="E132" s="3" t="n"/>
      <c r="F132" s="5" t="inlineStr">
        <is>
          <t>13/05/2026</t>
        </is>
      </c>
    </row>
    <row r="133" ht="15" customHeight="1">
      <c r="A133" s="6" t="inlineStr">
        <is>
          <t>000291</t>
        </is>
      </c>
      <c r="B133" s="7">
        <f>IFERROR(VLOOKUP(A133,_Protheus_Cadastro!$A:$B,2,FALSE),"PENDENTE")</f>
        <v/>
      </c>
      <c r="C133" s="8">
        <f>IFERROR(VLOOKUP(A133,_Protheus_Cadastro!$A:$G,7,FALSE),0)</f>
        <v/>
      </c>
      <c r="D133" s="9">
        <f>IFERROR(VLOOKUP(A133,_Protheus_Cadastro!$A:$D,4,FALSE),"")</f>
        <v/>
      </c>
      <c r="E133" s="7" t="n"/>
      <c r="F133" s="9" t="inlineStr">
        <is>
          <t>13/05/2026</t>
        </is>
      </c>
    </row>
    <row r="134" ht="15" customHeight="1">
      <c r="A134" s="2" t="inlineStr">
        <is>
          <t>000293</t>
        </is>
      </c>
      <c r="B134" s="3">
        <f>IFERROR(VLOOKUP(A134,_Protheus_Cadastro!$A:$B,2,FALSE),"PENDENTE")</f>
        <v/>
      </c>
      <c r="C134" s="4">
        <f>IFERROR(VLOOKUP(A134,_Protheus_Cadastro!$A:$G,7,FALSE),0)</f>
        <v/>
      </c>
      <c r="D134" s="5">
        <f>IFERROR(VLOOKUP(A134,_Protheus_Cadastro!$A:$D,4,FALSE),"")</f>
        <v/>
      </c>
      <c r="E134" s="3" t="n"/>
      <c r="F134" s="5" t="inlineStr">
        <is>
          <t>13/05/2026</t>
        </is>
      </c>
    </row>
    <row r="135" ht="15" customHeight="1">
      <c r="A135" s="6" t="inlineStr">
        <is>
          <t>000750</t>
        </is>
      </c>
      <c r="B135" s="7">
        <f>IFERROR(VLOOKUP(A135,_Protheus_Cadastro!$A:$B,2,FALSE),"PENDENTE")</f>
        <v/>
      </c>
      <c r="C135" s="8">
        <f>IFERROR(VLOOKUP(A135,_Protheus_Cadastro!$A:$G,7,FALSE),0)</f>
        <v/>
      </c>
      <c r="D135" s="9">
        <f>IFERROR(VLOOKUP(A135,_Protheus_Cadastro!$A:$D,4,FALSE),"")</f>
        <v/>
      </c>
      <c r="E135" s="7" t="n"/>
      <c r="F135" s="9" t="inlineStr">
        <is>
          <t>13/05/2026</t>
        </is>
      </c>
    </row>
    <row r="136" ht="15" customHeight="1">
      <c r="A136" s="2" t="inlineStr">
        <is>
          <t>000294</t>
        </is>
      </c>
      <c r="B136" s="3">
        <f>IFERROR(VLOOKUP(A136,_Protheus_Cadastro!$A:$B,2,FALSE),"PENDENTE")</f>
        <v/>
      </c>
      <c r="C136" s="4">
        <f>IFERROR(VLOOKUP(A136,_Protheus_Cadastro!$A:$G,7,FALSE),0)</f>
        <v/>
      </c>
      <c r="D136" s="5">
        <f>IFERROR(VLOOKUP(A136,_Protheus_Cadastro!$A:$D,4,FALSE),"")</f>
        <v/>
      </c>
      <c r="E136" s="3" t="n"/>
      <c r="F136" s="5" t="inlineStr">
        <is>
          <t>13/05/2026</t>
        </is>
      </c>
    </row>
    <row r="137" ht="15" customHeight="1">
      <c r="A137" s="6" t="inlineStr">
        <is>
          <t>000295</t>
        </is>
      </c>
      <c r="B137" s="7">
        <f>IFERROR(VLOOKUP(A137,_Protheus_Cadastro!$A:$B,2,FALSE),"PENDENTE")</f>
        <v/>
      </c>
      <c r="C137" s="8">
        <f>IFERROR(VLOOKUP(A137,_Protheus_Cadastro!$A:$G,7,FALSE),0)</f>
        <v/>
      </c>
      <c r="D137" s="9">
        <f>IFERROR(VLOOKUP(A137,_Protheus_Cadastro!$A:$D,4,FALSE),"")</f>
        <v/>
      </c>
      <c r="E137" s="7" t="n"/>
      <c r="F137" s="9" t="inlineStr">
        <is>
          <t>13/05/2026</t>
        </is>
      </c>
    </row>
    <row r="138" ht="15" customHeight="1">
      <c r="A138" s="2" t="inlineStr">
        <is>
          <t>009953</t>
        </is>
      </c>
      <c r="B138" s="3">
        <f>IFERROR(VLOOKUP(A138,_Protheus_Cadastro!$A:$B,2,FALSE),"PENDENTE")</f>
        <v/>
      </c>
      <c r="C138" s="4">
        <f>IFERROR(VLOOKUP(A138,_Protheus_Cadastro!$A:$G,7,FALSE),0)</f>
        <v/>
      </c>
      <c r="D138" s="5">
        <f>IFERROR(VLOOKUP(A138,_Protheus_Cadastro!$A:$D,4,FALSE),"")</f>
        <v/>
      </c>
      <c r="E138" s="3" t="n"/>
      <c r="F138" s="5" t="inlineStr">
        <is>
          <t>13/05/2026</t>
        </is>
      </c>
    </row>
    <row r="139" ht="15" customHeight="1">
      <c r="A139" s="6" t="inlineStr">
        <is>
          <t>000751</t>
        </is>
      </c>
      <c r="B139" s="7">
        <f>IFERROR(VLOOKUP(A139,_Protheus_Cadastro!$A:$B,2,FALSE),"PENDENTE")</f>
        <v/>
      </c>
      <c r="C139" s="8">
        <f>IFERROR(VLOOKUP(A139,_Protheus_Cadastro!$A:$G,7,FALSE),0)</f>
        <v/>
      </c>
      <c r="D139" s="9">
        <f>IFERROR(VLOOKUP(A139,_Protheus_Cadastro!$A:$D,4,FALSE),"")</f>
        <v/>
      </c>
      <c r="E139" s="7" t="n"/>
      <c r="F139" s="9" t="inlineStr">
        <is>
          <t>13/05/2026</t>
        </is>
      </c>
    </row>
    <row r="140" ht="15" customHeight="1">
      <c r="A140" s="2" t="inlineStr">
        <is>
          <t>000300</t>
        </is>
      </c>
      <c r="B140" s="3">
        <f>IFERROR(VLOOKUP(A140,_Protheus_Cadastro!$A:$B,2,FALSE),"PENDENTE")</f>
        <v/>
      </c>
      <c r="C140" s="4">
        <f>IFERROR(VLOOKUP(A140,_Protheus_Cadastro!$A:$G,7,FALSE),0)</f>
        <v/>
      </c>
      <c r="D140" s="5">
        <f>IFERROR(VLOOKUP(A140,_Protheus_Cadastro!$A:$D,4,FALSE),"")</f>
        <v/>
      </c>
      <c r="E140" s="3" t="n"/>
      <c r="F140" s="5" t="inlineStr">
        <is>
          <t>13/05/2026</t>
        </is>
      </c>
    </row>
    <row r="141" ht="15" customHeight="1">
      <c r="A141" s="6" t="inlineStr">
        <is>
          <t>000297</t>
        </is>
      </c>
      <c r="B141" s="7">
        <f>IFERROR(VLOOKUP(A141,_Protheus_Cadastro!$A:$B,2,FALSE),"PENDENTE")</f>
        <v/>
      </c>
      <c r="C141" s="8">
        <f>IFERROR(VLOOKUP(A141,_Protheus_Cadastro!$A:$G,7,FALSE),0)</f>
        <v/>
      </c>
      <c r="D141" s="9">
        <f>IFERROR(VLOOKUP(A141,_Protheus_Cadastro!$A:$D,4,FALSE),"")</f>
        <v/>
      </c>
      <c r="E141" s="7" t="n"/>
      <c r="F141" s="9" t="inlineStr">
        <is>
          <t>13/05/2026</t>
        </is>
      </c>
    </row>
    <row r="142" ht="15" customHeight="1">
      <c r="A142" s="2" t="inlineStr">
        <is>
          <t>000439</t>
        </is>
      </c>
      <c r="B142" s="3">
        <f>IFERROR(VLOOKUP(A142,_Protheus_Cadastro!$A:$B,2,FALSE),"PENDENTE")</f>
        <v/>
      </c>
      <c r="C142" s="4">
        <f>IFERROR(VLOOKUP(A142,_Protheus_Cadastro!$A:$G,7,FALSE),0)</f>
        <v/>
      </c>
      <c r="D142" s="5">
        <f>IFERROR(VLOOKUP(A142,_Protheus_Cadastro!$A:$D,4,FALSE),"")</f>
        <v/>
      </c>
      <c r="E142" s="3" t="n"/>
      <c r="F142" s="5" t="inlineStr">
        <is>
          <t>13/05/2026</t>
        </is>
      </c>
    </row>
    <row r="143" ht="15" customHeight="1">
      <c r="A143" s="6" t="inlineStr">
        <is>
          <t>000298</t>
        </is>
      </c>
      <c r="B143" s="7">
        <f>IFERROR(VLOOKUP(A143,_Protheus_Cadastro!$A:$B,2,FALSE),"PENDENTE")</f>
        <v/>
      </c>
      <c r="C143" s="8">
        <f>IFERROR(VLOOKUP(A143,_Protheus_Cadastro!$A:$G,7,FALSE),0)</f>
        <v/>
      </c>
      <c r="D143" s="9">
        <f>IFERROR(VLOOKUP(A143,_Protheus_Cadastro!$A:$D,4,FALSE),"")</f>
        <v/>
      </c>
      <c r="E143" s="7" t="n"/>
      <c r="F143" s="9" t="inlineStr">
        <is>
          <t>13/05/2026</t>
        </is>
      </c>
    </row>
    <row r="144" ht="15" customHeight="1">
      <c r="A144" s="2" t="inlineStr">
        <is>
          <t>000301</t>
        </is>
      </c>
      <c r="B144" s="3">
        <f>IFERROR(VLOOKUP(A144,_Protheus_Cadastro!$A:$B,2,FALSE),"PENDENTE")</f>
        <v/>
      </c>
      <c r="C144" s="4">
        <f>IFERROR(VLOOKUP(A144,_Protheus_Cadastro!$A:$G,7,FALSE),0)</f>
        <v/>
      </c>
      <c r="D144" s="5">
        <f>IFERROR(VLOOKUP(A144,_Protheus_Cadastro!$A:$D,4,FALSE),"")</f>
        <v/>
      </c>
      <c r="E144" s="3" t="n"/>
      <c r="F144" s="5" t="inlineStr">
        <is>
          <t>13/05/2026</t>
        </is>
      </c>
    </row>
    <row r="145" ht="15" customHeight="1">
      <c r="A145" s="6" t="inlineStr">
        <is>
          <t>000292</t>
        </is>
      </c>
      <c r="B145" s="7">
        <f>IFERROR(VLOOKUP(A145,_Protheus_Cadastro!$A:$B,2,FALSE),"PENDENTE")</f>
        <v/>
      </c>
      <c r="C145" s="8">
        <f>IFERROR(VLOOKUP(A145,_Protheus_Cadastro!$A:$G,7,FALSE),0)</f>
        <v/>
      </c>
      <c r="D145" s="9">
        <f>IFERROR(VLOOKUP(A145,_Protheus_Cadastro!$A:$D,4,FALSE),"")</f>
        <v/>
      </c>
      <c r="E145" s="7" t="n"/>
      <c r="F145" s="9" t="inlineStr">
        <is>
          <t>13/05/2026</t>
        </is>
      </c>
    </row>
    <row r="146" ht="15" customHeight="1">
      <c r="A146" s="2" t="inlineStr">
        <is>
          <t>000762</t>
        </is>
      </c>
      <c r="B146" s="3">
        <f>IFERROR(VLOOKUP(A146,_Protheus_Cadastro!$A:$B,2,FALSE),"PENDENTE")</f>
        <v/>
      </c>
      <c r="C146" s="4">
        <f>IFERROR(VLOOKUP(A146,_Protheus_Cadastro!$A:$G,7,FALSE),0)</f>
        <v/>
      </c>
      <c r="D146" s="5">
        <f>IFERROR(VLOOKUP(A146,_Protheus_Cadastro!$A:$D,4,FALSE),"")</f>
        <v/>
      </c>
      <c r="E146" s="10" t="inlineStr">
        <is>
          <t>Confirmar se o valor está correto (na nf esta 26,93)</t>
        </is>
      </c>
      <c r="F146" s="5" t="inlineStr">
        <is>
          <t>13/05/2026</t>
        </is>
      </c>
    </row>
    <row r="147" ht="15" customHeight="1">
      <c r="A147" s="6" t="inlineStr">
        <is>
          <t>009537</t>
        </is>
      </c>
      <c r="B147" s="7">
        <f>IFERROR(VLOOKUP(A147,_Protheus_Cadastro!$A:$B,2,FALSE),"PENDENTE")</f>
        <v/>
      </c>
      <c r="C147" s="8">
        <f>IFERROR(VLOOKUP(A147,_Protheus_Cadastro!$A:$G,7,FALSE),0)</f>
        <v/>
      </c>
      <c r="D147" s="9">
        <f>IFERROR(VLOOKUP(A147,_Protheus_Cadastro!$A:$D,4,FALSE),"")</f>
        <v/>
      </c>
      <c r="E147" s="7" t="n"/>
      <c r="F147" s="9" t="inlineStr">
        <is>
          <t>13/05/2026</t>
        </is>
      </c>
    </row>
    <row r="148" ht="15" customHeight="1">
      <c r="A148" s="2" t="inlineStr">
        <is>
          <t>001138</t>
        </is>
      </c>
      <c r="B148" s="3">
        <f>IFERROR(VLOOKUP(A148,_Protheus_Cadastro!$A:$B,2,FALSE),"PENDENTE")</f>
        <v/>
      </c>
      <c r="C148" s="4">
        <f>IFERROR(VLOOKUP(A148,_Protheus_Cadastro!$A:$G,7,FALSE),0)</f>
        <v/>
      </c>
      <c r="D148" s="5">
        <f>IFERROR(VLOOKUP(A148,_Protheus_Cadastro!$A:$D,4,FALSE),"")</f>
        <v/>
      </c>
      <c r="E148" s="3" t="n"/>
      <c r="F148" s="5" t="inlineStr">
        <is>
          <t>13/05/2026</t>
        </is>
      </c>
    </row>
    <row r="149" ht="15" customHeight="1">
      <c r="A149" s="6" t="inlineStr">
        <is>
          <t>001139</t>
        </is>
      </c>
      <c r="B149" s="7">
        <f>IFERROR(VLOOKUP(A149,_Protheus_Cadastro!$A:$B,2,FALSE),"PENDENTE")</f>
        <v/>
      </c>
      <c r="C149" s="8">
        <f>IFERROR(VLOOKUP(A149,_Protheus_Cadastro!$A:$G,7,FALSE),0)</f>
        <v/>
      </c>
      <c r="D149" s="9">
        <f>IFERROR(VLOOKUP(A149,_Protheus_Cadastro!$A:$D,4,FALSE),"")</f>
        <v/>
      </c>
      <c r="E149" s="7" t="n"/>
      <c r="F149" s="9" t="inlineStr">
        <is>
          <t>13/05/2026</t>
        </is>
      </c>
    </row>
    <row r="150" ht="15" customHeight="1">
      <c r="A150" s="2" t="inlineStr">
        <is>
          <t>002061</t>
        </is>
      </c>
      <c r="B150" s="3">
        <f>IFERROR(VLOOKUP(A150,_Protheus_Cadastro!$A:$B,2,FALSE),"PENDENTE")</f>
        <v/>
      </c>
      <c r="C150" s="4">
        <f>IFERROR(VLOOKUP(A150,_Protheus_Cadastro!$A:$G,7,FALSE),0)</f>
        <v/>
      </c>
      <c r="D150" s="5">
        <f>IFERROR(VLOOKUP(A150,_Protheus_Cadastro!$A:$D,4,FALSE),"")</f>
        <v/>
      </c>
      <c r="E150" s="3" t="n"/>
      <c r="F150" s="5" t="inlineStr">
        <is>
          <t>13/05/2026</t>
        </is>
      </c>
    </row>
    <row r="151" ht="15" customHeight="1">
      <c r="A151" s="6" t="inlineStr">
        <is>
          <t>0001222</t>
        </is>
      </c>
      <c r="B151" s="7">
        <f>IFERROR(VLOOKUP(A151,_Protheus_Cadastro!$A:$B,2,FALSE),"PENDENTE")</f>
        <v/>
      </c>
      <c r="C151" s="8">
        <f>IFERROR(VLOOKUP(A151,_Protheus_Cadastro!$A:$G,7,FALSE),0)</f>
        <v/>
      </c>
      <c r="D151" s="9">
        <f>IFERROR(VLOOKUP(A151,_Protheus_Cadastro!$A:$D,4,FALSE),"")</f>
        <v/>
      </c>
      <c r="E151" s="7" t="n"/>
      <c r="F151" s="9" t="inlineStr">
        <is>
          <t>13/05/2026</t>
        </is>
      </c>
    </row>
    <row r="152" ht="15" customHeight="1">
      <c r="A152" s="2" t="inlineStr">
        <is>
          <t>000388</t>
        </is>
      </c>
      <c r="B152" s="3">
        <f>IFERROR(VLOOKUP(A152,_Protheus_Cadastro!$A:$B,2,FALSE),"PENDENTE")</f>
        <v/>
      </c>
      <c r="C152" s="4">
        <f>IFERROR(VLOOKUP(A152,_Protheus_Cadastro!$A:$G,7,FALSE),0)</f>
        <v/>
      </c>
      <c r="D152" s="5">
        <f>IFERROR(VLOOKUP(A152,_Protheus_Cadastro!$A:$D,4,FALSE),"")</f>
        <v/>
      </c>
      <c r="E152" s="3" t="n"/>
      <c r="F152" s="5" t="inlineStr">
        <is>
          <t>13/05/2026</t>
        </is>
      </c>
    </row>
    <row r="153" ht="15" customHeight="1">
      <c r="A153" s="6" t="inlineStr">
        <is>
          <t>000389</t>
        </is>
      </c>
      <c r="B153" s="7">
        <f>IFERROR(VLOOKUP(A153,_Protheus_Cadastro!$A:$B,2,FALSE),"PENDENTE")</f>
        <v/>
      </c>
      <c r="C153" s="8">
        <f>IFERROR(VLOOKUP(A153,_Protheus_Cadastro!$A:$G,7,FALSE),0)</f>
        <v/>
      </c>
      <c r="D153" s="9">
        <f>IFERROR(VLOOKUP(A153,_Protheus_Cadastro!$A:$D,4,FALSE),"")</f>
        <v/>
      </c>
      <c r="E153" s="7" t="n"/>
      <c r="F153" s="9" t="inlineStr">
        <is>
          <t>13/05/2026</t>
        </is>
      </c>
    </row>
    <row r="154" ht="15" customHeight="1">
      <c r="A154" s="2" t="inlineStr">
        <is>
          <t>000390</t>
        </is>
      </c>
      <c r="B154" s="3">
        <f>IFERROR(VLOOKUP(A154,_Protheus_Cadastro!$A:$B,2,FALSE),"PENDENTE")</f>
        <v/>
      </c>
      <c r="C154" s="4">
        <f>IFERROR(VLOOKUP(A154,_Protheus_Cadastro!$A:$G,7,FALSE),0)</f>
        <v/>
      </c>
      <c r="D154" s="5">
        <f>IFERROR(VLOOKUP(A154,_Protheus_Cadastro!$A:$D,4,FALSE),"")</f>
        <v/>
      </c>
      <c r="E154" s="3" t="n"/>
      <c r="F154" s="5" t="inlineStr">
        <is>
          <t>13/05/2026</t>
        </is>
      </c>
    </row>
    <row r="155" ht="15" customHeight="1">
      <c r="A155" s="6" t="inlineStr">
        <is>
          <t>002067</t>
        </is>
      </c>
      <c r="B155" s="7">
        <f>IFERROR(VLOOKUP(A155,_Protheus_Cadastro!$A:$B,2,FALSE),"PENDENTE")</f>
        <v/>
      </c>
      <c r="C155" s="8">
        <f>IFERROR(VLOOKUP(A155,_Protheus_Cadastro!$A:$G,7,FALSE),0)</f>
        <v/>
      </c>
      <c r="D155" s="9">
        <f>IFERROR(VLOOKUP(A155,_Protheus_Cadastro!$A:$D,4,FALSE),"")</f>
        <v/>
      </c>
      <c r="E155" s="7" t="n"/>
      <c r="F155" s="9" t="inlineStr">
        <is>
          <t>13/05/2026</t>
        </is>
      </c>
    </row>
    <row r="156" ht="15" customHeight="1">
      <c r="A156" s="2" t="inlineStr">
        <is>
          <t>000391</t>
        </is>
      </c>
      <c r="B156" s="3">
        <f>IFERROR(VLOOKUP(A156,_Protheus_Cadastro!$A:$B,2,FALSE),"PENDENTE")</f>
        <v/>
      </c>
      <c r="C156" s="4">
        <f>IFERROR(VLOOKUP(A156,_Protheus_Cadastro!$A:$G,7,FALSE),0)</f>
        <v/>
      </c>
      <c r="D156" s="5">
        <f>IFERROR(VLOOKUP(A156,_Protheus_Cadastro!$A:$D,4,FALSE),"")</f>
        <v/>
      </c>
      <c r="E156" s="3" t="n"/>
      <c r="F156" s="5" t="inlineStr">
        <is>
          <t>13/05/2026</t>
        </is>
      </c>
    </row>
    <row r="157" ht="15" customHeight="1">
      <c r="A157" s="6" t="inlineStr">
        <is>
          <t>000392</t>
        </is>
      </c>
      <c r="B157" s="7">
        <f>IFERROR(VLOOKUP(A157,_Protheus_Cadastro!$A:$B,2,FALSE),"PENDENTE")</f>
        <v/>
      </c>
      <c r="C157" s="8">
        <f>IFERROR(VLOOKUP(A157,_Protheus_Cadastro!$A:$G,7,FALSE),0)</f>
        <v/>
      </c>
      <c r="D157" s="9">
        <f>IFERROR(VLOOKUP(A157,_Protheus_Cadastro!$A:$D,4,FALSE),"")</f>
        <v/>
      </c>
      <c r="E157" s="7" t="n"/>
      <c r="F157" s="9" t="inlineStr">
        <is>
          <t>13/05/2026</t>
        </is>
      </c>
    </row>
    <row r="158" ht="15" customHeight="1">
      <c r="A158" s="2" t="inlineStr">
        <is>
          <t>002257</t>
        </is>
      </c>
      <c r="B158" s="3">
        <f>IFERROR(VLOOKUP(A158,_Protheus_Cadastro!$A:$B,2,FALSE),"PENDENTE")</f>
        <v/>
      </c>
      <c r="C158" s="4">
        <f>IFERROR(VLOOKUP(A158,_Protheus_Cadastro!$A:$G,7,FALSE),0)</f>
        <v/>
      </c>
      <c r="D158" s="5">
        <f>IFERROR(VLOOKUP(A158,_Protheus_Cadastro!$A:$D,4,FALSE),"")</f>
        <v/>
      </c>
      <c r="E158" s="3" t="n"/>
      <c r="F158" s="5" t="inlineStr">
        <is>
          <t>13/05/2026</t>
        </is>
      </c>
    </row>
    <row r="159" ht="15" customHeight="1">
      <c r="A159" s="6" t="inlineStr">
        <is>
          <t>001922</t>
        </is>
      </c>
      <c r="B159" s="7">
        <f>IFERROR(VLOOKUP(A159,_Protheus_Cadastro!$A:$B,2,FALSE),"PENDENTE")</f>
        <v/>
      </c>
      <c r="C159" s="8">
        <f>IFERROR(VLOOKUP(A159,_Protheus_Cadastro!$A:$G,7,FALSE),0)</f>
        <v/>
      </c>
      <c r="D159" s="9">
        <f>IFERROR(VLOOKUP(A159,_Protheus_Cadastro!$A:$D,4,FALSE),"")</f>
        <v/>
      </c>
      <c r="E159" s="7" t="n"/>
      <c r="F159" s="9" t="inlineStr">
        <is>
          <t>13/05/2026</t>
        </is>
      </c>
    </row>
    <row r="160" ht="15" customHeight="1">
      <c r="A160" s="2" t="inlineStr">
        <is>
          <t>001174</t>
        </is>
      </c>
      <c r="B160" s="3">
        <f>IFERROR(VLOOKUP(A160,_Protheus_Cadastro!$A:$B,2,FALSE),"PENDENTE")</f>
        <v/>
      </c>
      <c r="C160" s="4">
        <f>IFERROR(VLOOKUP(A160,_Protheus_Cadastro!$A:$G,7,FALSE),0)</f>
        <v/>
      </c>
      <c r="D160" s="5">
        <f>IFERROR(VLOOKUP(A160,_Protheus_Cadastro!$A:$D,4,FALSE),"")</f>
        <v/>
      </c>
      <c r="E160" s="3" t="n"/>
      <c r="F160" s="5" t="inlineStr">
        <is>
          <t>13/05/2026</t>
        </is>
      </c>
    </row>
    <row r="161" ht="15" customHeight="1">
      <c r="A161" s="6" t="inlineStr">
        <is>
          <t>000475</t>
        </is>
      </c>
      <c r="B161" s="7">
        <f>IFERROR(VLOOKUP(A161,_Protheus_Cadastro!$A:$B,2,FALSE),"PENDENTE")</f>
        <v/>
      </c>
      <c r="C161" s="8">
        <f>IFERROR(VLOOKUP(A161,_Protheus_Cadastro!$A:$G,7,FALSE),0)</f>
        <v/>
      </c>
      <c r="D161" s="9">
        <f>IFERROR(VLOOKUP(A161,_Protheus_Cadastro!$A:$D,4,FALSE),"")</f>
        <v/>
      </c>
      <c r="E161" s="7" t="n"/>
      <c r="F161" s="9" t="inlineStr">
        <is>
          <t>13/05/2026</t>
        </is>
      </c>
    </row>
    <row r="162" ht="15" customHeight="1">
      <c r="A162" s="2" t="inlineStr">
        <is>
          <t>002224</t>
        </is>
      </c>
      <c r="B162" s="3">
        <f>IFERROR(VLOOKUP(A162,_Protheus_Cadastro!$A:$B,2,FALSE),"PENDENTE")</f>
        <v/>
      </c>
      <c r="C162" s="4">
        <f>IFERROR(VLOOKUP(A162,_Protheus_Cadastro!$A:$G,7,FALSE),0)</f>
        <v/>
      </c>
      <c r="D162" s="5">
        <f>IFERROR(VLOOKUP(A162,_Protheus_Cadastro!$A:$D,4,FALSE),"")</f>
        <v/>
      </c>
      <c r="E162" s="10" t="inlineStr">
        <is>
          <t>Confirmar se o valor está correto (na ultima nf está 110,00)</t>
        </is>
      </c>
      <c r="F162" s="5" t="inlineStr">
        <is>
          <t>13/05/2026</t>
        </is>
      </c>
    </row>
    <row r="163" ht="15" customHeight="1">
      <c r="A163" s="6" t="inlineStr">
        <is>
          <t>000352</t>
        </is>
      </c>
      <c r="B163" s="7">
        <f>IFERROR(VLOOKUP(A163,_Protheus_Cadastro!$A:$B,2,FALSE),"PENDENTE")</f>
        <v/>
      </c>
      <c r="C163" s="8">
        <f>IFERROR(VLOOKUP(A163,_Protheus_Cadastro!$A:$G,7,FALSE),0)</f>
        <v/>
      </c>
      <c r="D163" s="9">
        <f>IFERROR(VLOOKUP(A163,_Protheus_Cadastro!$A:$D,4,FALSE),"")</f>
        <v/>
      </c>
      <c r="E163" s="7" t="n"/>
      <c r="F163" s="9" t="inlineStr">
        <is>
          <t>13/05/2026</t>
        </is>
      </c>
    </row>
    <row r="164" ht="15" customHeight="1">
      <c r="A164" s="2" t="inlineStr">
        <is>
          <t>000351</t>
        </is>
      </c>
      <c r="B164" s="3">
        <f>IFERROR(VLOOKUP(A164,_Protheus_Cadastro!$A:$B,2,FALSE),"PENDENTE")</f>
        <v/>
      </c>
      <c r="C164" s="4">
        <f>IFERROR(VLOOKUP(A164,_Protheus_Cadastro!$A:$G,7,FALSE),0)</f>
        <v/>
      </c>
      <c r="D164" s="5">
        <f>IFERROR(VLOOKUP(A164,_Protheus_Cadastro!$A:$D,4,FALSE),"")</f>
        <v/>
      </c>
      <c r="E164" s="3" t="n"/>
      <c r="F164" s="5" t="inlineStr">
        <is>
          <t>13/05/2026</t>
        </is>
      </c>
    </row>
    <row r="165" ht="15" customHeight="1">
      <c r="A165" s="6" t="inlineStr">
        <is>
          <t>001987</t>
        </is>
      </c>
      <c r="B165" s="7">
        <f>IFERROR(VLOOKUP(A165,_Protheus_Cadastro!$A:$B,2,FALSE),"PENDENTE")</f>
        <v/>
      </c>
      <c r="C165" s="8">
        <f>IFERROR(VLOOKUP(A165,_Protheus_Cadastro!$A:$G,7,FALSE),0)</f>
        <v/>
      </c>
      <c r="D165" s="9">
        <f>IFERROR(VLOOKUP(A165,_Protheus_Cadastro!$A:$D,4,FALSE),"")</f>
        <v/>
      </c>
      <c r="E165" s="7" t="n"/>
      <c r="F165" s="9" t="inlineStr">
        <is>
          <t>13/05/2026</t>
        </is>
      </c>
    </row>
    <row r="166" ht="15" customHeight="1">
      <c r="A166" s="2" t="inlineStr">
        <is>
          <t>000393</t>
        </is>
      </c>
      <c r="B166" s="3">
        <f>IFERROR(VLOOKUP(A166,_Protheus_Cadastro!$A:$B,2,FALSE),"PENDENTE")</f>
        <v/>
      </c>
      <c r="C166" s="4">
        <f>IFERROR(VLOOKUP(A166,_Protheus_Cadastro!$A:$G,7,FALSE),0)</f>
        <v/>
      </c>
      <c r="D166" s="5">
        <f>IFERROR(VLOOKUP(A166,_Protheus_Cadastro!$A:$D,4,FALSE),"")</f>
        <v/>
      </c>
      <c r="E166" s="3" t="n"/>
      <c r="F166" s="5" t="inlineStr">
        <is>
          <t>13/05/2026</t>
        </is>
      </c>
    </row>
    <row r="167" ht="15" customHeight="1">
      <c r="A167" s="6" t="inlineStr">
        <is>
          <t>001251</t>
        </is>
      </c>
      <c r="B167" s="7">
        <f>IFERROR(VLOOKUP(A167,_Protheus_Cadastro!$A:$B,2,FALSE),"PENDENTE")</f>
        <v/>
      </c>
      <c r="C167" s="8">
        <f>IFERROR(VLOOKUP(A167,_Protheus_Cadastro!$A:$G,7,FALSE),0)</f>
        <v/>
      </c>
      <c r="D167" s="9">
        <f>IFERROR(VLOOKUP(A167,_Protheus_Cadastro!$A:$D,4,FALSE),"")</f>
        <v/>
      </c>
      <c r="E167" s="7" t="n"/>
      <c r="F167" s="9" t="inlineStr">
        <is>
          <t>13/05/2026</t>
        </is>
      </c>
    </row>
    <row r="168" ht="15" customHeight="1">
      <c r="A168" s="2" t="inlineStr">
        <is>
          <t>001974</t>
        </is>
      </c>
      <c r="B168" s="3">
        <f>IFERROR(VLOOKUP(A168,_Protheus_Cadastro!$A:$B,2,FALSE),"PENDENTE")</f>
        <v/>
      </c>
      <c r="C168" s="4">
        <f>IFERROR(VLOOKUP(A168,_Protheus_Cadastro!$A:$G,7,FALSE),0)</f>
        <v/>
      </c>
      <c r="D168" s="5">
        <f>IFERROR(VLOOKUP(A168,_Protheus_Cadastro!$A:$D,4,FALSE),"")</f>
        <v/>
      </c>
      <c r="E168" s="3" t="n"/>
      <c r="F168" s="5" t="inlineStr">
        <is>
          <t>13/05/2026</t>
        </is>
      </c>
    </row>
    <row r="169" ht="15" customHeight="1">
      <c r="A169" s="6" t="inlineStr">
        <is>
          <t>001178</t>
        </is>
      </c>
      <c r="B169" s="7">
        <f>IFERROR(VLOOKUP(A169,_Protheus_Cadastro!$A:$B,2,FALSE),"PENDENTE")</f>
        <v/>
      </c>
      <c r="C169" s="8">
        <f>IFERROR(VLOOKUP(A169,_Protheus_Cadastro!$A:$G,7,FALSE),0)</f>
        <v/>
      </c>
      <c r="D169" s="9">
        <f>IFERROR(VLOOKUP(A169,_Protheus_Cadastro!$A:$D,4,FALSE),"")</f>
        <v/>
      </c>
      <c r="E169" s="7" t="n"/>
      <c r="F169" s="9" t="inlineStr">
        <is>
          <t>13/05/2026</t>
        </is>
      </c>
    </row>
    <row r="170" ht="15" customHeight="1">
      <c r="A170" s="2" t="inlineStr">
        <is>
          <t>000473</t>
        </is>
      </c>
      <c r="B170" s="3">
        <f>IFERROR(VLOOKUP(A170,_Protheus_Cadastro!$A:$B,2,FALSE),"PENDENTE")</f>
        <v/>
      </c>
      <c r="C170" s="4">
        <f>IFERROR(VLOOKUP(A170,_Protheus_Cadastro!$A:$G,7,FALSE),0)</f>
        <v/>
      </c>
      <c r="D170" s="5">
        <f>IFERROR(VLOOKUP(A170,_Protheus_Cadastro!$A:$D,4,FALSE),"")</f>
        <v/>
      </c>
      <c r="E170" s="3" t="n"/>
      <c r="F170" s="5" t="inlineStr">
        <is>
          <t>13/05/2026</t>
        </is>
      </c>
    </row>
    <row r="171" ht="15" customHeight="1">
      <c r="A171" s="6" t="inlineStr">
        <is>
          <t>009820</t>
        </is>
      </c>
      <c r="B171" s="7">
        <f>IFERROR(VLOOKUP(A171,_Protheus_Cadastro!$A:$B,2,FALSE),"PENDENTE")</f>
        <v/>
      </c>
      <c r="C171" s="8">
        <f>IFERROR(VLOOKUP(A171,_Protheus_Cadastro!$A:$G,7,FALSE),0)</f>
        <v/>
      </c>
      <c r="D171" s="9">
        <f>IFERROR(VLOOKUP(A171,_Protheus_Cadastro!$A:$D,4,FALSE),"")</f>
        <v/>
      </c>
      <c r="E171" s="7" t="n"/>
      <c r="F171" s="9" t="inlineStr">
        <is>
          <t>13/05/2026</t>
        </is>
      </c>
    </row>
    <row r="172" ht="15" customHeight="1">
      <c r="A172" s="2" t="inlineStr">
        <is>
          <t>009821</t>
        </is>
      </c>
      <c r="B172" s="3">
        <f>IFERROR(VLOOKUP(A172,_Protheus_Cadastro!$A:$B,2,FALSE),"PENDENTE")</f>
        <v/>
      </c>
      <c r="C172" s="4">
        <f>IFERROR(VLOOKUP(A172,_Protheus_Cadastro!$A:$G,7,FALSE),0)</f>
        <v/>
      </c>
      <c r="D172" s="5">
        <f>IFERROR(VLOOKUP(A172,_Protheus_Cadastro!$A:$D,4,FALSE),"")</f>
        <v/>
      </c>
      <c r="E172" s="3" t="n"/>
      <c r="F172" s="5" t="inlineStr">
        <is>
          <t>13/05/2026</t>
        </is>
      </c>
    </row>
    <row r="173" ht="15" customHeight="1">
      <c r="A173" s="6" t="inlineStr">
        <is>
          <t>000353</t>
        </is>
      </c>
      <c r="B173" s="7">
        <f>IFERROR(VLOOKUP(A173,_Protheus_Cadastro!$A:$B,2,FALSE),"PENDENTE")</f>
        <v/>
      </c>
      <c r="C173" s="8">
        <f>IFERROR(VLOOKUP(A173,_Protheus_Cadastro!$A:$G,7,FALSE),0)</f>
        <v/>
      </c>
      <c r="D173" s="9">
        <f>IFERROR(VLOOKUP(A173,_Protheus_Cadastro!$A:$D,4,FALSE),"")</f>
        <v/>
      </c>
      <c r="E173" s="7" t="n"/>
      <c r="F173" s="9" t="inlineStr">
        <is>
          <t>13/05/2026</t>
        </is>
      </c>
    </row>
    <row r="174" ht="15" customHeight="1">
      <c r="A174" s="2" t="inlineStr">
        <is>
          <t>000939</t>
        </is>
      </c>
      <c r="B174" s="3">
        <f>IFERROR(VLOOKUP(A174,_Protheus_Cadastro!$A:$B,2,FALSE),"PENDENTE")</f>
        <v/>
      </c>
      <c r="C174" s="4">
        <f>IFERROR(VLOOKUP(A174,_Protheus_Cadastro!$A:$G,7,FALSE),0)</f>
        <v/>
      </c>
      <c r="D174" s="5">
        <f>IFERROR(VLOOKUP(A174,_Protheus_Cadastro!$A:$D,4,FALSE),"")</f>
        <v/>
      </c>
      <c r="E174" s="10" t="inlineStr">
        <is>
          <t>Preciso do valor da garrafa</t>
        </is>
      </c>
      <c r="F174" s="5" t="inlineStr">
        <is>
          <t>13/05/2026</t>
        </is>
      </c>
    </row>
    <row r="175" ht="15" customHeight="1">
      <c r="A175" s="6" t="inlineStr">
        <is>
          <t>009515</t>
        </is>
      </c>
      <c r="B175" s="7">
        <f>IFERROR(VLOOKUP(A175,_Protheus_Cadastro!$A:$B,2,FALSE),"PENDENTE")</f>
        <v/>
      </c>
      <c r="C175" s="8">
        <f>IFERROR(VLOOKUP(A175,_Protheus_Cadastro!$A:$G,7,FALSE),0)</f>
        <v/>
      </c>
      <c r="D175" s="9">
        <f>IFERROR(VLOOKUP(A175,_Protheus_Cadastro!$A:$D,4,FALSE),"")</f>
        <v/>
      </c>
      <c r="E175" s="7" t="n"/>
      <c r="F175" s="9" t="inlineStr">
        <is>
          <t>13/05/2026</t>
        </is>
      </c>
    </row>
    <row r="176" ht="15" customHeight="1">
      <c r="A176" s="2" t="inlineStr">
        <is>
          <t>001701</t>
        </is>
      </c>
      <c r="B176" s="3">
        <f>IFERROR(VLOOKUP(A176,_Protheus_Cadastro!$A:$B,2,FALSE),"PENDENTE")</f>
        <v/>
      </c>
      <c r="C176" s="4">
        <f>IFERROR(VLOOKUP(A176,_Protheus_Cadastro!$A:$G,7,FALSE),0)</f>
        <v/>
      </c>
      <c r="D176" s="5">
        <f>IFERROR(VLOOKUP(A176,_Protheus_Cadastro!$A:$D,4,FALSE),"")</f>
        <v/>
      </c>
      <c r="E176" s="3" t="n"/>
      <c r="F176" s="5" t="inlineStr">
        <is>
          <t>13/05/2026</t>
        </is>
      </c>
    </row>
    <row r="177" ht="15" customHeight="1">
      <c r="A177" s="6" t="inlineStr">
        <is>
          <t>001349</t>
        </is>
      </c>
      <c r="B177" s="7">
        <f>IFERROR(VLOOKUP(A177,_Protheus_Cadastro!$A:$B,2,FALSE),"PENDENTE")</f>
        <v/>
      </c>
      <c r="C177" s="8">
        <f>IFERROR(VLOOKUP(A177,_Protheus_Cadastro!$A:$G,7,FALSE),0)</f>
        <v/>
      </c>
      <c r="D177" s="9">
        <f>IFERROR(VLOOKUP(A177,_Protheus_Cadastro!$A:$D,4,FALSE),"")</f>
        <v/>
      </c>
      <c r="E177" s="7" t="n"/>
      <c r="F177" s="9" t="inlineStr">
        <is>
          <t>13/05/2026</t>
        </is>
      </c>
    </row>
    <row r="178" ht="15" customHeight="1">
      <c r="A178" s="2" t="inlineStr">
        <is>
          <t>001394</t>
        </is>
      </c>
      <c r="B178" s="3">
        <f>IFERROR(VLOOKUP(A178,_Protheus_Cadastro!$A:$B,2,FALSE),"PENDENTE")</f>
        <v/>
      </c>
      <c r="C178" s="4">
        <f>IFERROR(VLOOKUP(A178,_Protheus_Cadastro!$A:$G,7,FALSE),0)</f>
        <v/>
      </c>
      <c r="D178" s="5">
        <f>IFERROR(VLOOKUP(A178,_Protheus_Cadastro!$A:$D,4,FALSE),"")</f>
        <v/>
      </c>
      <c r="E178" s="10" t="inlineStr">
        <is>
          <t>NÃO COMPRAMOS DESDE 09/2025</t>
        </is>
      </c>
      <c r="F178" s="5" t="inlineStr">
        <is>
          <t>13/05/2026</t>
        </is>
      </c>
    </row>
    <row r="179" ht="15" customHeight="1">
      <c r="A179" s="6" t="inlineStr">
        <is>
          <t>001161</t>
        </is>
      </c>
      <c r="B179" s="7">
        <f>IFERROR(VLOOKUP(A179,_Protheus_Cadastro!$A:$B,2,FALSE),"PENDENTE")</f>
        <v/>
      </c>
      <c r="C179" s="8">
        <f>IFERROR(VLOOKUP(A179,_Protheus_Cadastro!$A:$G,7,FALSE),0)</f>
        <v/>
      </c>
      <c r="D179" s="9">
        <f>IFERROR(VLOOKUP(A179,_Protheus_Cadastro!$A:$D,4,FALSE),"")</f>
        <v/>
      </c>
      <c r="E179" s="7" t="n"/>
      <c r="F179" s="9" t="inlineStr">
        <is>
          <t>13/05/2026</t>
        </is>
      </c>
    </row>
    <row r="180" ht="15" customHeight="1">
      <c r="A180" s="2" t="inlineStr">
        <is>
          <t>000394</t>
        </is>
      </c>
      <c r="B180" s="3">
        <f>IFERROR(VLOOKUP(A180,_Protheus_Cadastro!$A:$B,2,FALSE),"PENDENTE")</f>
        <v/>
      </c>
      <c r="C180" s="4">
        <f>IFERROR(VLOOKUP(A180,_Protheus_Cadastro!$A:$G,7,FALSE),0)</f>
        <v/>
      </c>
      <c r="D180" s="5">
        <f>IFERROR(VLOOKUP(A180,_Protheus_Cadastro!$A:$D,4,FALSE),"")</f>
        <v/>
      </c>
      <c r="E180" s="3" t="n"/>
      <c r="F180" s="5" t="inlineStr">
        <is>
          <t>13/05/2026</t>
        </is>
      </c>
    </row>
    <row r="181" ht="15" customHeight="1">
      <c r="A181" s="6" t="inlineStr">
        <is>
          <t>000354</t>
        </is>
      </c>
      <c r="B181" s="7">
        <f>IFERROR(VLOOKUP(A181,_Protheus_Cadastro!$A:$B,2,FALSE),"PENDENTE")</f>
        <v/>
      </c>
      <c r="C181" s="8">
        <f>IFERROR(VLOOKUP(A181,_Protheus_Cadastro!$A:$G,7,FALSE),0)</f>
        <v/>
      </c>
      <c r="D181" s="9">
        <f>IFERROR(VLOOKUP(A181,_Protheus_Cadastro!$A:$D,4,FALSE),"")</f>
        <v/>
      </c>
      <c r="E181" s="7" t="n"/>
      <c r="F181" s="9" t="inlineStr">
        <is>
          <t>13/05/2026</t>
        </is>
      </c>
    </row>
    <row r="182" ht="15" customHeight="1">
      <c r="A182" s="2" t="inlineStr">
        <is>
          <t>000313</t>
        </is>
      </c>
      <c r="B182" s="3">
        <f>IFERROR(VLOOKUP(A182,_Protheus_Cadastro!$A:$B,2,FALSE),"PENDENTE")</f>
        <v/>
      </c>
      <c r="C182" s="4">
        <f>IFERROR(VLOOKUP(A182,_Protheus_Cadastro!$A:$G,7,FALSE),0)</f>
        <v/>
      </c>
      <c r="D182" s="5">
        <f>IFERROR(VLOOKUP(A182,_Protheus_Cadastro!$A:$D,4,FALSE),"")</f>
        <v/>
      </c>
      <c r="E182" s="3" t="n"/>
      <c r="F182" s="5" t="inlineStr">
        <is>
          <t>13/05/2026</t>
        </is>
      </c>
    </row>
    <row r="183" ht="15" customHeight="1">
      <c r="A183" s="6" t="inlineStr">
        <is>
          <t>000314</t>
        </is>
      </c>
      <c r="B183" s="7">
        <f>IFERROR(VLOOKUP(A183,_Protheus_Cadastro!$A:$B,2,FALSE),"PENDENTE")</f>
        <v/>
      </c>
      <c r="C183" s="8">
        <f>IFERROR(VLOOKUP(A183,_Protheus_Cadastro!$A:$G,7,FALSE),0)</f>
        <v/>
      </c>
      <c r="D183" s="9">
        <f>IFERROR(VLOOKUP(A183,_Protheus_Cadastro!$A:$D,4,FALSE),"")</f>
        <v/>
      </c>
      <c r="E183" s="7" t="n"/>
      <c r="F183" s="9" t="inlineStr">
        <is>
          <t>13/05/2026</t>
        </is>
      </c>
    </row>
    <row r="184" ht="15" customHeight="1">
      <c r="A184" s="2" t="inlineStr">
        <is>
          <t>000323</t>
        </is>
      </c>
      <c r="B184" s="3">
        <f>IFERROR(VLOOKUP(A184,_Protheus_Cadastro!$A:$B,2,FALSE),"PENDENTE")</f>
        <v/>
      </c>
      <c r="C184" s="4">
        <f>IFERROR(VLOOKUP(A184,_Protheus_Cadastro!$A:$G,7,FALSE),0)</f>
        <v/>
      </c>
      <c r="D184" s="5">
        <f>IFERROR(VLOOKUP(A184,_Protheus_Cadastro!$A:$D,4,FALSE),"")</f>
        <v/>
      </c>
      <c r="E184" s="3" t="n"/>
      <c r="F184" s="5" t="inlineStr">
        <is>
          <t>13/05/2026</t>
        </is>
      </c>
    </row>
    <row r="185" ht="15" customHeight="1">
      <c r="A185" s="6" t="inlineStr">
        <is>
          <t>000330</t>
        </is>
      </c>
      <c r="B185" s="7">
        <f>IFERROR(VLOOKUP(A185,_Protheus_Cadastro!$A:$B,2,FALSE),"PENDENTE")</f>
        <v/>
      </c>
      <c r="C185" s="8">
        <f>IFERROR(VLOOKUP(A185,_Protheus_Cadastro!$A:$G,7,FALSE),0)</f>
        <v/>
      </c>
      <c r="D185" s="9">
        <f>IFERROR(VLOOKUP(A185,_Protheus_Cadastro!$A:$D,4,FALSE),"")</f>
        <v/>
      </c>
      <c r="E185" s="7" t="n"/>
      <c r="F185" s="9" t="inlineStr">
        <is>
          <t>13/05/2026</t>
        </is>
      </c>
    </row>
    <row r="186" ht="15" customHeight="1">
      <c r="A186" s="2" t="inlineStr">
        <is>
          <t>000474</t>
        </is>
      </c>
      <c r="B186" s="3">
        <f>IFERROR(VLOOKUP(A186,_Protheus_Cadastro!$A:$B,2,FALSE),"PENDENTE")</f>
        <v/>
      </c>
      <c r="C186" s="4">
        <f>IFERROR(VLOOKUP(A186,_Protheus_Cadastro!$A:$G,7,FALSE),0)</f>
        <v/>
      </c>
      <c r="D186" s="5">
        <f>IFERROR(VLOOKUP(A186,_Protheus_Cadastro!$A:$D,4,FALSE),"")</f>
        <v/>
      </c>
      <c r="E186" s="3" t="n"/>
      <c r="F186" s="5" t="inlineStr">
        <is>
          <t>13/05/2026</t>
        </is>
      </c>
    </row>
    <row r="187" ht="15" customHeight="1">
      <c r="A187" s="6" t="inlineStr">
        <is>
          <t>000308</t>
        </is>
      </c>
      <c r="B187" s="7">
        <f>IFERROR(VLOOKUP(A187,_Protheus_Cadastro!$A:$B,2,FALSE),"PENDENTE")</f>
        <v/>
      </c>
      <c r="C187" s="8">
        <f>IFERROR(VLOOKUP(A187,_Protheus_Cadastro!$A:$G,7,FALSE),0)</f>
        <v/>
      </c>
      <c r="D187" s="9">
        <f>IFERROR(VLOOKUP(A187,_Protheus_Cadastro!$A:$D,4,FALSE),"")</f>
        <v/>
      </c>
      <c r="E187" s="7" t="n"/>
      <c r="F187" s="9" t="inlineStr">
        <is>
          <t>13/05/2026</t>
        </is>
      </c>
    </row>
    <row r="188" ht="15" customHeight="1">
      <c r="A188" s="2" t="inlineStr">
        <is>
          <t>001978</t>
        </is>
      </c>
      <c r="B188" s="3">
        <f>IFERROR(VLOOKUP(A188,_Protheus_Cadastro!$A:$B,2,FALSE),"PENDENTE")</f>
        <v/>
      </c>
      <c r="C188" s="4">
        <f>IFERROR(VLOOKUP(A188,_Protheus_Cadastro!$A:$G,7,FALSE),0)</f>
        <v/>
      </c>
      <c r="D188" s="5">
        <f>IFERROR(VLOOKUP(A188,_Protheus_Cadastro!$A:$D,4,FALSE),"")</f>
        <v/>
      </c>
      <c r="E188" s="3" t="n"/>
      <c r="F188" s="5" t="inlineStr">
        <is>
          <t>13/05/2026</t>
        </is>
      </c>
    </row>
    <row r="189" ht="15" customHeight="1">
      <c r="A189" s="6" t="inlineStr">
        <is>
          <t>001942</t>
        </is>
      </c>
      <c r="B189" s="7">
        <f>IFERROR(VLOOKUP(A189,_Protheus_Cadastro!$A:$B,2,FALSE),"PENDENTE")</f>
        <v/>
      </c>
      <c r="C189" s="8">
        <f>IFERROR(VLOOKUP(A189,_Protheus_Cadastro!$A:$G,7,FALSE),0)</f>
        <v/>
      </c>
      <c r="D189" s="9">
        <f>IFERROR(VLOOKUP(A189,_Protheus_Cadastro!$A:$D,4,FALSE),"")</f>
        <v/>
      </c>
      <c r="E189" s="7" t="n"/>
      <c r="F189" s="9" t="inlineStr">
        <is>
          <t>13/05/2026</t>
        </is>
      </c>
    </row>
    <row r="190" ht="15" customHeight="1">
      <c r="A190" s="2" t="inlineStr">
        <is>
          <t>001941</t>
        </is>
      </c>
      <c r="B190" s="3">
        <f>IFERROR(VLOOKUP(A190,_Protheus_Cadastro!$A:$B,2,FALSE),"PENDENTE")</f>
        <v/>
      </c>
      <c r="C190" s="4">
        <f>IFERROR(VLOOKUP(A190,_Protheus_Cadastro!$A:$G,7,FALSE),0)</f>
        <v/>
      </c>
      <c r="D190" s="5">
        <f>IFERROR(VLOOKUP(A190,_Protheus_Cadastro!$A:$D,4,FALSE),"")</f>
        <v/>
      </c>
      <c r="E190" s="3" t="n"/>
      <c r="F190" s="5" t="inlineStr">
        <is>
          <t>13/05/2026</t>
        </is>
      </c>
    </row>
    <row r="191" ht="15" customHeight="1">
      <c r="A191" s="6" t="inlineStr">
        <is>
          <t>000490</t>
        </is>
      </c>
      <c r="B191" s="7">
        <f>IFERROR(VLOOKUP(A191,_Protheus_Cadastro!$A:$B,2,FALSE),"PENDENTE")</f>
        <v/>
      </c>
      <c r="C191" s="8">
        <f>IFERROR(VLOOKUP(A191,_Protheus_Cadastro!$A:$G,7,FALSE),0)</f>
        <v/>
      </c>
      <c r="D191" s="9">
        <f>IFERROR(VLOOKUP(A191,_Protheus_Cadastro!$A:$D,4,FALSE),"")</f>
        <v/>
      </c>
      <c r="E191" s="7" t="n"/>
      <c r="F191" s="9" t="inlineStr">
        <is>
          <t>13/05/2026</t>
        </is>
      </c>
    </row>
    <row r="192" ht="15" customHeight="1">
      <c r="A192" s="2" t="inlineStr">
        <is>
          <t>000396</t>
        </is>
      </c>
      <c r="B192" s="3">
        <f>IFERROR(VLOOKUP(A192,_Protheus_Cadastro!$A:$B,2,FALSE),"PENDENTE")</f>
        <v/>
      </c>
      <c r="C192" s="4">
        <f>IFERROR(VLOOKUP(A192,_Protheus_Cadastro!$A:$G,7,FALSE),0)</f>
        <v/>
      </c>
      <c r="D192" s="5">
        <f>IFERROR(VLOOKUP(A192,_Protheus_Cadastro!$A:$D,4,FALSE),"")</f>
        <v/>
      </c>
      <c r="E192" s="3" t="n"/>
      <c r="F192" s="5" t="inlineStr">
        <is>
          <t>13/05/2026</t>
        </is>
      </c>
    </row>
    <row r="193" ht="15" customHeight="1">
      <c r="A193" s="6" t="inlineStr">
        <is>
          <t>000397</t>
        </is>
      </c>
      <c r="B193" s="7">
        <f>IFERROR(VLOOKUP(A193,_Protheus_Cadastro!$A:$B,2,FALSE),"PENDENTE")</f>
        <v/>
      </c>
      <c r="C193" s="8">
        <f>IFERROR(VLOOKUP(A193,_Protheus_Cadastro!$A:$G,7,FALSE),0)</f>
        <v/>
      </c>
      <c r="D193" s="9">
        <f>IFERROR(VLOOKUP(A193,_Protheus_Cadastro!$A:$D,4,FALSE),"")</f>
        <v/>
      </c>
      <c r="E193" s="7" t="n"/>
      <c r="F193" s="9" t="inlineStr">
        <is>
          <t>13/05/2026</t>
        </is>
      </c>
    </row>
    <row r="194" ht="15" customHeight="1">
      <c r="A194" s="2" t="inlineStr">
        <is>
          <t>000395</t>
        </is>
      </c>
      <c r="B194" s="3">
        <f>IFERROR(VLOOKUP(A194,_Protheus_Cadastro!$A:$B,2,FALSE),"PENDENTE")</f>
        <v/>
      </c>
      <c r="C194" s="4">
        <f>IFERROR(VLOOKUP(A194,_Protheus_Cadastro!$A:$G,7,FALSE),0)</f>
        <v/>
      </c>
      <c r="D194" s="5">
        <f>IFERROR(VLOOKUP(A194,_Protheus_Cadastro!$A:$D,4,FALSE),"")</f>
        <v/>
      </c>
      <c r="E194" s="3" t="n"/>
      <c r="F194" s="5" t="inlineStr">
        <is>
          <t>13/05/2026</t>
        </is>
      </c>
    </row>
    <row r="195" ht="15" customHeight="1">
      <c r="A195" s="6" t="inlineStr">
        <is>
          <t>001976</t>
        </is>
      </c>
      <c r="B195" s="7">
        <f>IFERROR(VLOOKUP(A195,_Protheus_Cadastro!$A:$B,2,FALSE),"PENDENTE")</f>
        <v/>
      </c>
      <c r="C195" s="8">
        <f>IFERROR(VLOOKUP(A195,_Protheus_Cadastro!$A:$G,7,FALSE),0)</f>
        <v/>
      </c>
      <c r="D195" s="9">
        <f>IFERROR(VLOOKUP(A195,_Protheus_Cadastro!$A:$D,4,FALSE),"")</f>
        <v/>
      </c>
      <c r="E195" s="7" t="n"/>
      <c r="F195" s="9" t="inlineStr">
        <is>
          <t>13/05/2026</t>
        </is>
      </c>
    </row>
    <row r="196" ht="15" customHeight="1">
      <c r="A196" s="2" t="inlineStr">
        <is>
          <t>000206</t>
        </is>
      </c>
      <c r="B196" s="3">
        <f>IFERROR(VLOOKUP(A196,_Protheus_Cadastro!$A:$B,2,FALSE),"PENDENTE")</f>
        <v/>
      </c>
      <c r="C196" s="4">
        <f>IFERROR(VLOOKUP(A196,_Protheus_Cadastro!$A:$G,7,FALSE),0)</f>
        <v/>
      </c>
      <c r="D196" s="5">
        <f>IFERROR(VLOOKUP(A196,_Protheus_Cadastro!$A:$D,4,FALSE),"")</f>
        <v/>
      </c>
      <c r="E196" s="3" t="n"/>
      <c r="F196" s="5" t="inlineStr">
        <is>
          <t>13/05/2026</t>
        </is>
      </c>
    </row>
    <row r="197" ht="15" customHeight="1">
      <c r="A197" s="6" t="inlineStr">
        <is>
          <t>002254</t>
        </is>
      </c>
      <c r="B197" s="7">
        <f>IFERROR(VLOOKUP(A197,_Protheus_Cadastro!$A:$B,2,FALSE),"PENDENTE")</f>
        <v/>
      </c>
      <c r="C197" s="8">
        <f>IFERROR(VLOOKUP(A197,_Protheus_Cadastro!$A:$G,7,FALSE),0)</f>
        <v/>
      </c>
      <c r="D197" s="9">
        <f>IFERROR(VLOOKUP(A197,_Protheus_Cadastro!$A:$D,4,FALSE),"")</f>
        <v/>
      </c>
      <c r="E197" s="7" t="n"/>
      <c r="F197" s="9" t="inlineStr">
        <is>
          <t>13/05/2026</t>
        </is>
      </c>
    </row>
    <row r="198" ht="15" customHeight="1">
      <c r="A198" s="2" t="inlineStr">
        <is>
          <t>002049</t>
        </is>
      </c>
      <c r="B198" s="3">
        <f>IFERROR(VLOOKUP(A198,_Protheus_Cadastro!$A:$B,2,FALSE),"PENDENTE")</f>
        <v/>
      </c>
      <c r="C198" s="4">
        <f>IFERROR(VLOOKUP(A198,_Protheus_Cadastro!$A:$G,7,FALSE),0)</f>
        <v/>
      </c>
      <c r="D198" s="5">
        <f>IFERROR(VLOOKUP(A198,_Protheus_Cadastro!$A:$D,4,FALSE),"")</f>
        <v/>
      </c>
      <c r="E198" s="10" t="inlineStr">
        <is>
          <t>ULTIMA COMPRA 2025</t>
        </is>
      </c>
      <c r="F198" s="5" t="inlineStr">
        <is>
          <t>13/05/2026</t>
        </is>
      </c>
    </row>
    <row r="199" ht="15" customHeight="1">
      <c r="A199" s="6" t="inlineStr">
        <is>
          <t>000346</t>
        </is>
      </c>
      <c r="B199" s="7">
        <f>IFERROR(VLOOKUP(A199,_Protheus_Cadastro!$A:$B,2,FALSE),"PENDENTE")</f>
        <v/>
      </c>
      <c r="C199" s="8">
        <f>IFERROR(VLOOKUP(A199,_Protheus_Cadastro!$A:$G,7,FALSE),0)</f>
        <v/>
      </c>
      <c r="D199" s="9">
        <f>IFERROR(VLOOKUP(A199,_Protheus_Cadastro!$A:$D,4,FALSE),"")</f>
        <v/>
      </c>
      <c r="E199" s="10" t="inlineStr">
        <is>
          <t>ULTIMA COMPRA 2018</t>
        </is>
      </c>
      <c r="F199" s="9" t="inlineStr">
        <is>
          <t>13/05/2026</t>
        </is>
      </c>
    </row>
    <row r="200" ht="15" customHeight="1">
      <c r="A200" s="2" t="inlineStr">
        <is>
          <t>001920</t>
        </is>
      </c>
      <c r="B200" s="3">
        <f>IFERROR(VLOOKUP(A200,_Protheus_Cadastro!$A:$B,2,FALSE),"PENDENTE")</f>
        <v/>
      </c>
      <c r="C200" s="4">
        <f>IFERROR(VLOOKUP(A200,_Protheus_Cadastro!$A:$G,7,FALSE),0)</f>
        <v/>
      </c>
      <c r="D200" s="5">
        <f>IFERROR(VLOOKUP(A200,_Protheus_Cadastro!$A:$D,4,FALSE),"")</f>
        <v/>
      </c>
      <c r="E200" s="3" t="n"/>
      <c r="F200" s="5" t="inlineStr">
        <is>
          <t>13/05/2026</t>
        </is>
      </c>
    </row>
    <row r="201" ht="15" customHeight="1">
      <c r="A201" s="6" t="inlineStr">
        <is>
          <t>001917</t>
        </is>
      </c>
      <c r="B201" s="7">
        <f>IFERROR(VLOOKUP(A201,_Protheus_Cadastro!$A:$B,2,FALSE),"PENDENTE")</f>
        <v/>
      </c>
      <c r="C201" s="8">
        <f>IFERROR(VLOOKUP(A201,_Protheus_Cadastro!$A:$G,7,FALSE),0)</f>
        <v/>
      </c>
      <c r="D201" s="9">
        <f>IFERROR(VLOOKUP(A201,_Protheus_Cadastro!$A:$D,4,FALSE),"")</f>
        <v/>
      </c>
      <c r="E201" s="7" t="n"/>
      <c r="F201" s="9" t="inlineStr">
        <is>
          <t>13/05/2026</t>
        </is>
      </c>
    </row>
    <row r="202" ht="15" customHeight="1">
      <c r="A202" s="2" t="inlineStr">
        <is>
          <t>009823</t>
        </is>
      </c>
      <c r="B202" s="3">
        <f>IFERROR(VLOOKUP(A202,_Protheus_Cadastro!$A:$B,2,FALSE),"PENDENTE")</f>
        <v/>
      </c>
      <c r="C202" s="4">
        <f>IFERROR(VLOOKUP(A202,_Protheus_Cadastro!$A:$G,7,FALSE),0)</f>
        <v/>
      </c>
      <c r="D202" s="5">
        <f>IFERROR(VLOOKUP(A202,_Protheus_Cadastro!$A:$D,4,FALSE),"")</f>
        <v/>
      </c>
      <c r="E202" s="3" t="n"/>
      <c r="F202" s="5" t="inlineStr">
        <is>
          <t>13/05/2026</t>
        </is>
      </c>
    </row>
    <row r="203" ht="15" customHeight="1">
      <c r="A203" s="6" t="inlineStr">
        <is>
          <t>009485</t>
        </is>
      </c>
      <c r="B203" s="7">
        <f>IFERROR(VLOOKUP(A203,_Protheus_Cadastro!$A:$B,2,FALSE),"PENDENTE")</f>
        <v/>
      </c>
      <c r="C203" s="8">
        <f>IFERROR(VLOOKUP(A203,_Protheus_Cadastro!$A:$G,7,FALSE),0)</f>
        <v/>
      </c>
      <c r="D203" s="9">
        <f>IFERROR(VLOOKUP(A203,_Protheus_Cadastro!$A:$D,4,FALSE),"")</f>
        <v/>
      </c>
      <c r="E203" s="7" t="n"/>
      <c r="F203" s="9" t="inlineStr">
        <is>
          <t>13/05/2026</t>
        </is>
      </c>
    </row>
    <row r="204" ht="15" customHeight="1">
      <c r="A204" s="2" t="inlineStr">
        <is>
          <t>000359</t>
        </is>
      </c>
      <c r="B204" s="3">
        <f>IFERROR(VLOOKUP(A204,_Protheus_Cadastro!$A:$B,2,FALSE),"PENDENTE")</f>
        <v/>
      </c>
      <c r="C204" s="4">
        <f>IFERROR(VLOOKUP(A204,_Protheus_Cadastro!$A:$G,7,FALSE),0)</f>
        <v/>
      </c>
      <c r="D204" s="5">
        <f>IFERROR(VLOOKUP(A204,_Protheus_Cadastro!$A:$D,4,FALSE),"")</f>
        <v/>
      </c>
      <c r="E204" s="3" t="n"/>
      <c r="F204" s="5" t="inlineStr">
        <is>
          <t>13/05/2026</t>
        </is>
      </c>
    </row>
    <row r="205" ht="15" customHeight="1">
      <c r="A205" s="6" t="inlineStr">
        <is>
          <t>000491</t>
        </is>
      </c>
      <c r="B205" s="7">
        <f>IFERROR(VLOOKUP(A205,_Protheus_Cadastro!$A:$B,2,FALSE),"PENDENTE")</f>
        <v/>
      </c>
      <c r="C205" s="8">
        <f>IFERROR(VLOOKUP(A205,_Protheus_Cadastro!$A:$G,7,FALSE),0)</f>
        <v/>
      </c>
      <c r="D205" s="9">
        <f>IFERROR(VLOOKUP(A205,_Protheus_Cadastro!$A:$D,4,FALSE),"")</f>
        <v/>
      </c>
      <c r="E205" s="7" t="n"/>
      <c r="F205" s="9" t="inlineStr">
        <is>
          <t>13/05/2026</t>
        </is>
      </c>
    </row>
    <row r="206" ht="15" customHeight="1">
      <c r="A206" s="2" t="inlineStr">
        <is>
          <t>000494</t>
        </is>
      </c>
      <c r="B206" s="3">
        <f>IFERROR(VLOOKUP(A206,_Protheus_Cadastro!$A:$B,2,FALSE),"PENDENTE")</f>
        <v/>
      </c>
      <c r="C206" s="4">
        <f>IFERROR(VLOOKUP(A206,_Protheus_Cadastro!$A:$G,7,FALSE),0)</f>
        <v/>
      </c>
      <c r="D206" s="5">
        <f>IFERROR(VLOOKUP(A206,_Protheus_Cadastro!$A:$D,4,FALSE),"")</f>
        <v/>
      </c>
      <c r="E206" s="3" t="n"/>
      <c r="F206" s="5" t="inlineStr">
        <is>
          <t>13/05/2026</t>
        </is>
      </c>
    </row>
    <row r="207" ht="15" customHeight="1">
      <c r="A207" s="6" t="inlineStr">
        <is>
          <t>000619</t>
        </is>
      </c>
      <c r="B207" s="7">
        <f>IFERROR(VLOOKUP(A207,_Protheus_Cadastro!$A:$B,2,FALSE),"PENDENTE")</f>
        <v/>
      </c>
      <c r="C207" s="8">
        <f>IFERROR(VLOOKUP(A207,_Protheus_Cadastro!$A:$G,7,FALSE),0)</f>
        <v/>
      </c>
      <c r="D207" s="9">
        <f>IFERROR(VLOOKUP(A207,_Protheus_Cadastro!$A:$D,4,FALSE),"")</f>
        <v/>
      </c>
      <c r="E207" s="7" t="n"/>
      <c r="F207" s="9" t="inlineStr">
        <is>
          <t>13/05/2026</t>
        </is>
      </c>
    </row>
    <row r="208" ht="15" customHeight="1">
      <c r="A208" s="2" t="inlineStr">
        <is>
          <t>000492</t>
        </is>
      </c>
      <c r="B208" s="3">
        <f>IFERROR(VLOOKUP(A208,_Protheus_Cadastro!$A:$B,2,FALSE),"PENDENTE")</f>
        <v/>
      </c>
      <c r="C208" s="4">
        <f>IFERROR(VLOOKUP(A208,_Protheus_Cadastro!$A:$G,7,FALSE),0)</f>
        <v/>
      </c>
      <c r="D208" s="5">
        <f>IFERROR(VLOOKUP(A208,_Protheus_Cadastro!$A:$D,4,FALSE),"")</f>
        <v/>
      </c>
      <c r="E208" s="3" t="n"/>
      <c r="F208" s="5" t="inlineStr">
        <is>
          <t>13/05/2026</t>
        </is>
      </c>
    </row>
    <row r="209" ht="15" customHeight="1">
      <c r="A209" s="6" t="inlineStr">
        <is>
          <t>001129</t>
        </is>
      </c>
      <c r="B209" s="7">
        <f>IFERROR(VLOOKUP(A209,_Protheus_Cadastro!$A:$B,2,FALSE),"PENDENTE")</f>
        <v/>
      </c>
      <c r="C209" s="8">
        <f>IFERROR(VLOOKUP(A209,_Protheus_Cadastro!$A:$G,7,FALSE),0)</f>
        <v/>
      </c>
      <c r="D209" s="9">
        <f>IFERROR(VLOOKUP(A209,_Protheus_Cadastro!$A:$D,4,FALSE),"")</f>
        <v/>
      </c>
      <c r="E209" s="7" t="n"/>
      <c r="F209" s="9" t="inlineStr">
        <is>
          <t>13/05/2026</t>
        </is>
      </c>
    </row>
    <row r="210" ht="15" customHeight="1">
      <c r="A210" s="2" t="inlineStr">
        <is>
          <t>000367</t>
        </is>
      </c>
      <c r="B210" s="3">
        <f>IFERROR(VLOOKUP(A210,_Protheus_Cadastro!$A:$B,2,FALSE),"PENDENTE")</f>
        <v/>
      </c>
      <c r="C210" s="4">
        <f>IFERROR(VLOOKUP(A210,_Protheus_Cadastro!$A:$G,7,FALSE),0)</f>
        <v/>
      </c>
      <c r="D210" s="5">
        <f>IFERROR(VLOOKUP(A210,_Protheus_Cadastro!$A:$D,4,FALSE),"")</f>
        <v/>
      </c>
      <c r="E210" s="3" t="n"/>
      <c r="F210" s="5" t="inlineStr">
        <is>
          <t>13/05/2026</t>
        </is>
      </c>
    </row>
    <row r="211" ht="15" customHeight="1">
      <c r="A211" s="6" t="inlineStr">
        <is>
          <t>000497</t>
        </is>
      </c>
      <c r="B211" s="7">
        <f>IFERROR(VLOOKUP(A211,_Protheus_Cadastro!$A:$B,2,FALSE),"PENDENTE")</f>
        <v/>
      </c>
      <c r="C211" s="8">
        <f>IFERROR(VLOOKUP(A211,_Protheus_Cadastro!$A:$G,7,FALSE),0)</f>
        <v/>
      </c>
      <c r="D211" s="9">
        <f>IFERROR(VLOOKUP(A211,_Protheus_Cadastro!$A:$D,4,FALSE),"")</f>
        <v/>
      </c>
      <c r="E211" s="7" t="n"/>
      <c r="F211" s="9" t="inlineStr">
        <is>
          <t>13/05/2026</t>
        </is>
      </c>
    </row>
    <row r="212" ht="15" customHeight="1">
      <c r="A212" s="2" t="inlineStr">
        <is>
          <t>010341</t>
        </is>
      </c>
      <c r="B212" s="3">
        <f>IFERROR(VLOOKUP(A212,_Protheus_Cadastro!$A:$B,2,FALSE),"PENDENTE")</f>
        <v/>
      </c>
      <c r="C212" s="4">
        <f>IFERROR(VLOOKUP(A212,_Protheus_Cadastro!$A:$G,7,FALSE),0)</f>
        <v/>
      </c>
      <c r="D212" s="5">
        <f>IFERROR(VLOOKUP(A212,_Protheus_Cadastro!$A:$D,4,FALSE),"")</f>
        <v/>
      </c>
      <c r="E212" s="3" t="n"/>
      <c r="F212" s="5" t="inlineStr">
        <is>
          <t>13/05/2026</t>
        </is>
      </c>
    </row>
    <row r="213" ht="15" customHeight="1">
      <c r="A213" s="6" t="inlineStr">
        <is>
          <t>001582</t>
        </is>
      </c>
      <c r="B213" s="7">
        <f>IFERROR(VLOOKUP(A213,_Protheus_Cadastro!$A:$B,2,FALSE),"PENDENTE")</f>
        <v/>
      </c>
      <c r="C213" s="8">
        <f>IFERROR(VLOOKUP(A213,_Protheus_Cadastro!$A:$G,7,FALSE),0)</f>
        <v/>
      </c>
      <c r="D213" s="9">
        <f>IFERROR(VLOOKUP(A213,_Protheus_Cadastro!$A:$D,4,FALSE),"")</f>
        <v/>
      </c>
      <c r="E213" s="7" t="n"/>
      <c r="F213" s="9" t="inlineStr">
        <is>
          <t>13/05/2026</t>
        </is>
      </c>
    </row>
    <row r="214" ht="15" customHeight="1">
      <c r="A214" s="2" t="inlineStr">
        <is>
          <t>000324</t>
        </is>
      </c>
      <c r="B214" s="3">
        <f>IFERROR(VLOOKUP(A214,_Protheus_Cadastro!$A:$B,2,FALSE),"PENDENTE")</f>
        <v/>
      </c>
      <c r="C214" s="4">
        <f>IFERROR(VLOOKUP(A214,_Protheus_Cadastro!$A:$G,7,FALSE),0)</f>
        <v/>
      </c>
      <c r="D214" s="5">
        <f>IFERROR(VLOOKUP(A214,_Protheus_Cadastro!$A:$D,4,FALSE),"")</f>
        <v/>
      </c>
      <c r="E214" s="3" t="n"/>
      <c r="F214" s="5" t="inlineStr">
        <is>
          <t>13/05/2026</t>
        </is>
      </c>
    </row>
    <row r="215" ht="15" customHeight="1">
      <c r="A215" s="6" t="inlineStr">
        <is>
          <t>000476</t>
        </is>
      </c>
      <c r="B215" s="7">
        <f>IFERROR(VLOOKUP(A215,_Protheus_Cadastro!$A:$B,2,FALSE),"PENDENTE")</f>
        <v/>
      </c>
      <c r="C215" s="8">
        <f>IFERROR(VLOOKUP(A215,_Protheus_Cadastro!$A:$G,7,FALSE),0)</f>
        <v/>
      </c>
      <c r="D215" s="9">
        <f>IFERROR(VLOOKUP(A215,_Protheus_Cadastro!$A:$D,4,FALSE),"")</f>
        <v/>
      </c>
      <c r="E215" s="7" t="n"/>
      <c r="F215" s="9" t="inlineStr">
        <is>
          <t>13/05/2026</t>
        </is>
      </c>
    </row>
    <row r="216" ht="15" customHeight="1">
      <c r="A216" s="2" t="inlineStr">
        <is>
          <t>001581</t>
        </is>
      </c>
      <c r="B216" s="3">
        <f>IFERROR(VLOOKUP(A216,_Protheus_Cadastro!$A:$B,2,FALSE),"PENDENTE")</f>
        <v/>
      </c>
      <c r="C216" s="4">
        <f>IFERROR(VLOOKUP(A216,_Protheus_Cadastro!$A:$G,7,FALSE),0)</f>
        <v/>
      </c>
      <c r="D216" s="5">
        <f>IFERROR(VLOOKUP(A216,_Protheus_Cadastro!$A:$D,4,FALSE),"")</f>
        <v/>
      </c>
      <c r="E216" s="3" t="n"/>
      <c r="F216" s="5" t="inlineStr">
        <is>
          <t>13/05/2026</t>
        </is>
      </c>
    </row>
    <row r="217" ht="15" customHeight="1">
      <c r="A217" s="6" t="inlineStr">
        <is>
          <t>000498</t>
        </is>
      </c>
      <c r="B217" s="7">
        <f>IFERROR(VLOOKUP(A217,_Protheus_Cadastro!$A:$B,2,FALSE),"PENDENTE")</f>
        <v/>
      </c>
      <c r="C217" s="8">
        <f>IFERROR(VLOOKUP(A217,_Protheus_Cadastro!$A:$G,7,FALSE),0)</f>
        <v/>
      </c>
      <c r="D217" s="9">
        <f>IFERROR(VLOOKUP(A217,_Protheus_Cadastro!$A:$D,4,FALSE),"")</f>
        <v/>
      </c>
      <c r="E217" s="7" t="n"/>
      <c r="F217" s="9" t="inlineStr">
        <is>
          <t>13/05/2026</t>
        </is>
      </c>
    </row>
    <row r="218" ht="15" customHeight="1">
      <c r="A218" s="2" t="inlineStr">
        <is>
          <t>000477</t>
        </is>
      </c>
      <c r="B218" s="3">
        <f>IFERROR(VLOOKUP(A218,_Protheus_Cadastro!$A:$B,2,FALSE),"PENDENTE")</f>
        <v/>
      </c>
      <c r="C218" s="4">
        <f>IFERROR(VLOOKUP(A218,_Protheus_Cadastro!$A:$G,7,FALSE),0)</f>
        <v/>
      </c>
      <c r="D218" s="5">
        <f>IFERROR(VLOOKUP(A218,_Protheus_Cadastro!$A:$D,4,FALSE),"")</f>
        <v/>
      </c>
      <c r="E218" s="3" t="n"/>
      <c r="F218" s="5" t="inlineStr">
        <is>
          <t>13/05/2026</t>
        </is>
      </c>
    </row>
    <row r="219" ht="15" customHeight="1">
      <c r="A219" s="6" t="inlineStr">
        <is>
          <t>001304</t>
        </is>
      </c>
      <c r="B219" s="7">
        <f>IFERROR(VLOOKUP(A219,_Protheus_Cadastro!$A:$B,2,FALSE),"PENDENTE")</f>
        <v/>
      </c>
      <c r="C219" s="8">
        <f>IFERROR(VLOOKUP(A219,_Protheus_Cadastro!$A:$G,7,FALSE),0)</f>
        <v/>
      </c>
      <c r="D219" s="9">
        <f>IFERROR(VLOOKUP(A219,_Protheus_Cadastro!$A:$D,4,FALSE),"")</f>
        <v/>
      </c>
      <c r="E219" s="7" t="n"/>
      <c r="F219" s="9" t="inlineStr">
        <is>
          <t>13/05/2026</t>
        </is>
      </c>
    </row>
    <row r="220" ht="15" customHeight="1">
      <c r="A220" s="2" t="inlineStr">
        <is>
          <t>002068</t>
        </is>
      </c>
      <c r="B220" s="3">
        <f>IFERROR(VLOOKUP(A220,_Protheus_Cadastro!$A:$B,2,FALSE),"PENDENTE")</f>
        <v/>
      </c>
      <c r="C220" s="4">
        <f>IFERROR(VLOOKUP(A220,_Protheus_Cadastro!$A:$G,7,FALSE),0)</f>
        <v/>
      </c>
      <c r="D220" s="5">
        <f>IFERROR(VLOOKUP(A220,_Protheus_Cadastro!$A:$D,4,FALSE),"")</f>
        <v/>
      </c>
      <c r="E220" s="3" t="n"/>
      <c r="F220" s="5" t="inlineStr">
        <is>
          <t>13/05/2026</t>
        </is>
      </c>
    </row>
    <row r="221" ht="15" customHeight="1">
      <c r="A221" s="6" t="inlineStr">
        <is>
          <t>000499</t>
        </is>
      </c>
      <c r="B221" s="7">
        <f>IFERROR(VLOOKUP(A221,_Protheus_Cadastro!$A:$B,2,FALSE),"PENDENTE")</f>
        <v/>
      </c>
      <c r="C221" s="8">
        <f>IFERROR(VLOOKUP(A221,_Protheus_Cadastro!$A:$G,7,FALSE),0)</f>
        <v/>
      </c>
      <c r="D221" s="9">
        <f>IFERROR(VLOOKUP(A221,_Protheus_Cadastro!$A:$D,4,FALSE),"")</f>
        <v/>
      </c>
      <c r="E221" s="7" t="n"/>
      <c r="F221" s="9" t="inlineStr">
        <is>
          <t>13/05/2026</t>
        </is>
      </c>
    </row>
    <row r="222" ht="15" customHeight="1">
      <c r="A222" s="2" t="inlineStr">
        <is>
          <t>000399</t>
        </is>
      </c>
      <c r="B222" s="3">
        <f>IFERROR(VLOOKUP(A222,_Protheus_Cadastro!$A:$B,2,FALSE),"PENDENTE")</f>
        <v/>
      </c>
      <c r="C222" s="4">
        <f>IFERROR(VLOOKUP(A222,_Protheus_Cadastro!$A:$G,7,FALSE),0)</f>
        <v/>
      </c>
      <c r="D222" s="5">
        <f>IFERROR(VLOOKUP(A222,_Protheus_Cadastro!$A:$D,4,FALSE),"")</f>
        <v/>
      </c>
      <c r="E222" s="3" t="n"/>
      <c r="F222" s="5" t="inlineStr">
        <is>
          <t>13/05/2026</t>
        </is>
      </c>
    </row>
    <row r="223" ht="15" customHeight="1">
      <c r="A223" s="6" t="inlineStr">
        <is>
          <t>000400</t>
        </is>
      </c>
      <c r="B223" s="7">
        <f>IFERROR(VLOOKUP(A223,_Protheus_Cadastro!$A:$B,2,FALSE),"PENDENTE")</f>
        <v/>
      </c>
      <c r="C223" s="8">
        <f>IFERROR(VLOOKUP(A223,_Protheus_Cadastro!$A:$G,7,FALSE),0)</f>
        <v/>
      </c>
      <c r="D223" s="9">
        <f>IFERROR(VLOOKUP(A223,_Protheus_Cadastro!$A:$D,4,FALSE),"")</f>
        <v/>
      </c>
      <c r="E223" s="7" t="n"/>
      <c r="F223" s="9" t="inlineStr">
        <is>
          <t>13/05/2026</t>
        </is>
      </c>
    </row>
    <row r="224" ht="15" customHeight="1">
      <c r="A224" s="2" t="inlineStr">
        <is>
          <t>000665</t>
        </is>
      </c>
      <c r="B224" s="3">
        <f>IFERROR(VLOOKUP(A224,_Protheus_Cadastro!$A:$B,2,FALSE),"PENDENTE")</f>
        <v/>
      </c>
      <c r="C224" s="4">
        <f>IFERROR(VLOOKUP(A224,_Protheus_Cadastro!$A:$G,7,FALSE),0)</f>
        <v/>
      </c>
      <c r="D224" s="5">
        <f>IFERROR(VLOOKUP(A224,_Protheus_Cadastro!$A:$D,4,FALSE),"")</f>
        <v/>
      </c>
      <c r="E224" s="3" t="n"/>
      <c r="F224" s="5" t="inlineStr">
        <is>
          <t>13/05/2026</t>
        </is>
      </c>
    </row>
    <row r="225" ht="15" customHeight="1">
      <c r="A225" s="6" t="inlineStr">
        <is>
          <t>000623</t>
        </is>
      </c>
      <c r="B225" s="7">
        <f>IFERROR(VLOOKUP(A225,_Protheus_Cadastro!$A:$B,2,FALSE),"PENDENTE")</f>
        <v/>
      </c>
      <c r="C225" s="8">
        <f>IFERROR(VLOOKUP(A225,_Protheus_Cadastro!$A:$G,7,FALSE),0)</f>
        <v/>
      </c>
      <c r="D225" s="9">
        <f>IFERROR(VLOOKUP(A225,_Protheus_Cadastro!$A:$D,4,FALSE),"")</f>
        <v/>
      </c>
      <c r="E225" s="7" t="n"/>
      <c r="F225" s="9" t="inlineStr">
        <is>
          <t>13/05/2026</t>
        </is>
      </c>
    </row>
    <row r="226" ht="15" customHeight="1">
      <c r="A226" s="2" t="inlineStr">
        <is>
          <t>001801</t>
        </is>
      </c>
      <c r="B226" s="3">
        <f>IFERROR(VLOOKUP(A226,_Protheus_Cadastro!$A:$B,2,FALSE),"PENDENTE")</f>
        <v/>
      </c>
      <c r="C226" s="4">
        <f>IFERROR(VLOOKUP(A226,_Protheus_Cadastro!$A:$G,7,FALSE),0)</f>
        <v/>
      </c>
      <c r="D226" s="5">
        <f>IFERROR(VLOOKUP(A226,_Protheus_Cadastro!$A:$D,4,FALSE),"")</f>
        <v/>
      </c>
      <c r="E226" s="3" t="n"/>
      <c r="F226" s="5" t="inlineStr">
        <is>
          <t>13/05/2026</t>
        </is>
      </c>
    </row>
    <row r="227" ht="15" customHeight="1">
      <c r="A227" s="6" t="inlineStr">
        <is>
          <t>000634</t>
        </is>
      </c>
      <c r="B227" s="7">
        <f>IFERROR(VLOOKUP(A227,_Protheus_Cadastro!$A:$B,2,FALSE),"PENDENTE")</f>
        <v/>
      </c>
      <c r="C227" s="8">
        <f>IFERROR(VLOOKUP(A227,_Protheus_Cadastro!$A:$G,7,FALSE),0)</f>
        <v/>
      </c>
      <c r="D227" s="9">
        <f>IFERROR(VLOOKUP(A227,_Protheus_Cadastro!$A:$D,4,FALSE),"")</f>
        <v/>
      </c>
      <c r="E227" s="7" t="n"/>
      <c r="F227" s="9" t="inlineStr">
        <is>
          <t>13/05/2026</t>
        </is>
      </c>
    </row>
    <row r="228" ht="15" customHeight="1">
      <c r="A228" s="2" t="inlineStr">
        <is>
          <t>001044</t>
        </is>
      </c>
      <c r="B228" s="3">
        <f>IFERROR(VLOOKUP(A228,_Protheus_Cadastro!$A:$B,2,FALSE),"PENDENTE")</f>
        <v/>
      </c>
      <c r="C228" s="4">
        <f>IFERROR(VLOOKUP(A228,_Protheus_Cadastro!$A:$G,7,FALSE),0)</f>
        <v/>
      </c>
      <c r="D228" s="5">
        <f>IFERROR(VLOOKUP(A228,_Protheus_Cadastro!$A:$D,4,FALSE),"")</f>
        <v/>
      </c>
      <c r="E228" s="3" t="n"/>
      <c r="F228" s="5" t="inlineStr">
        <is>
          <t>13/05/2026</t>
        </is>
      </c>
    </row>
    <row r="229" ht="15" customHeight="1">
      <c r="A229" s="6" t="inlineStr">
        <is>
          <t>001050</t>
        </is>
      </c>
      <c r="B229" s="7">
        <f>IFERROR(VLOOKUP(A229,_Protheus_Cadastro!$A:$B,2,FALSE),"PENDENTE")</f>
        <v/>
      </c>
      <c r="C229" s="8">
        <f>IFERROR(VLOOKUP(A229,_Protheus_Cadastro!$A:$G,7,FALSE),0)</f>
        <v/>
      </c>
      <c r="D229" s="9">
        <f>IFERROR(VLOOKUP(A229,_Protheus_Cadastro!$A:$D,4,FALSE),"")</f>
        <v/>
      </c>
      <c r="E229" s="7" t="n"/>
      <c r="F229" s="9" t="inlineStr">
        <is>
          <t>13/05/2026</t>
        </is>
      </c>
    </row>
    <row r="230" ht="15" customHeight="1">
      <c r="A230" s="2" t="inlineStr">
        <is>
          <t>001051</t>
        </is>
      </c>
      <c r="B230" s="3">
        <f>IFERROR(VLOOKUP(A230,_Protheus_Cadastro!$A:$B,2,FALSE),"PENDENTE")</f>
        <v/>
      </c>
      <c r="C230" s="4">
        <f>IFERROR(VLOOKUP(A230,_Protheus_Cadastro!$A:$G,7,FALSE),0)</f>
        <v/>
      </c>
      <c r="D230" s="5">
        <f>IFERROR(VLOOKUP(A230,_Protheus_Cadastro!$A:$D,4,FALSE),"")</f>
        <v/>
      </c>
      <c r="E230" s="3" t="n"/>
      <c r="F230" s="5" t="inlineStr">
        <is>
          <t>13/05/2026</t>
        </is>
      </c>
    </row>
    <row r="231" ht="15" customHeight="1">
      <c r="A231" s="6" t="inlineStr">
        <is>
          <t>010342</t>
        </is>
      </c>
      <c r="B231" s="7">
        <f>IFERROR(VLOOKUP(A231,_Protheus_Cadastro!$A:$B,2,FALSE),"PENDENTE")</f>
        <v/>
      </c>
      <c r="C231" s="8">
        <f>IFERROR(VLOOKUP(A231,_Protheus_Cadastro!$A:$G,7,FALSE),0)</f>
        <v/>
      </c>
      <c r="D231" s="9">
        <f>IFERROR(VLOOKUP(A231,_Protheus_Cadastro!$A:$D,4,FALSE),"")</f>
        <v/>
      </c>
      <c r="E231" s="7" t="n"/>
      <c r="F231" s="9" t="inlineStr">
        <is>
          <t>13/05/2026</t>
        </is>
      </c>
    </row>
    <row r="232" ht="15" customHeight="1">
      <c r="A232" s="2" t="inlineStr">
        <is>
          <t>000402</t>
        </is>
      </c>
      <c r="B232" s="3">
        <f>IFERROR(VLOOKUP(A232,_Protheus_Cadastro!$A:$B,2,FALSE),"PENDENTE")</f>
        <v/>
      </c>
      <c r="C232" s="4">
        <f>IFERROR(VLOOKUP(A232,_Protheus_Cadastro!$A:$G,7,FALSE),0)</f>
        <v/>
      </c>
      <c r="D232" s="5">
        <f>IFERROR(VLOOKUP(A232,_Protheus_Cadastro!$A:$D,4,FALSE),"")</f>
        <v/>
      </c>
      <c r="E232" s="3" t="n"/>
      <c r="F232" s="5" t="inlineStr">
        <is>
          <t>13/05/2026</t>
        </is>
      </c>
    </row>
    <row r="233" ht="15" customHeight="1">
      <c r="A233" s="6" t="inlineStr">
        <is>
          <t>000403</t>
        </is>
      </c>
      <c r="B233" s="7">
        <f>IFERROR(VLOOKUP(A233,_Protheus_Cadastro!$A:$B,2,FALSE),"PENDENTE")</f>
        <v/>
      </c>
      <c r="C233" s="8">
        <f>IFERROR(VLOOKUP(A233,_Protheus_Cadastro!$A:$G,7,FALSE),0)</f>
        <v/>
      </c>
      <c r="D233" s="9">
        <f>IFERROR(VLOOKUP(A233,_Protheus_Cadastro!$A:$D,4,FALSE),"")</f>
        <v/>
      </c>
      <c r="E233" s="7" t="n"/>
      <c r="F233" s="9" t="inlineStr">
        <is>
          <t>13/05/2026</t>
        </is>
      </c>
    </row>
    <row r="234" ht="15" customHeight="1">
      <c r="A234" s="2" t="inlineStr">
        <is>
          <t>000406</t>
        </is>
      </c>
      <c r="B234" s="3">
        <f>IFERROR(VLOOKUP(A234,_Protheus_Cadastro!$A:$B,2,FALSE),"PENDENTE")</f>
        <v/>
      </c>
      <c r="C234" s="4">
        <f>IFERROR(VLOOKUP(A234,_Protheus_Cadastro!$A:$G,7,FALSE),0)</f>
        <v/>
      </c>
      <c r="D234" s="5">
        <f>IFERROR(VLOOKUP(A234,_Protheus_Cadastro!$A:$D,4,FALSE),"")</f>
        <v/>
      </c>
      <c r="E234" s="3" t="n"/>
      <c r="F234" s="5" t="inlineStr">
        <is>
          <t>13/05/2026</t>
        </is>
      </c>
    </row>
    <row r="235" ht="15" customHeight="1">
      <c r="A235" s="6" t="inlineStr">
        <is>
          <t>010340</t>
        </is>
      </c>
      <c r="B235" s="7">
        <f>IFERROR(VLOOKUP(A235,_Protheus_Cadastro!$A:$B,2,FALSE),"PENDENTE")</f>
        <v/>
      </c>
      <c r="C235" s="8">
        <f>IFERROR(VLOOKUP(A235,_Protheus_Cadastro!$A:$G,7,FALSE),0)</f>
        <v/>
      </c>
      <c r="D235" s="9">
        <f>IFERROR(VLOOKUP(A235,_Protheus_Cadastro!$A:$D,4,FALSE),"")</f>
        <v/>
      </c>
      <c r="E235" s="7" t="n"/>
      <c r="F235" s="9" t="inlineStr">
        <is>
          <t>13/05/2026</t>
        </is>
      </c>
    </row>
    <row r="236" ht="15" customHeight="1">
      <c r="A236" s="2" t="inlineStr">
        <is>
          <t>000405</t>
        </is>
      </c>
      <c r="B236" s="3">
        <f>IFERROR(VLOOKUP(A236,_Protheus_Cadastro!$A:$B,2,FALSE),"PENDENTE")</f>
        <v/>
      </c>
      <c r="C236" s="4">
        <f>IFERROR(VLOOKUP(A236,_Protheus_Cadastro!$A:$G,7,FALSE),0)</f>
        <v/>
      </c>
      <c r="D236" s="5">
        <f>IFERROR(VLOOKUP(A236,_Protheus_Cadastro!$A:$D,4,FALSE),"")</f>
        <v/>
      </c>
      <c r="E236" s="3" t="n"/>
      <c r="F236" s="5" t="inlineStr">
        <is>
          <t>13/05/2026</t>
        </is>
      </c>
    </row>
    <row r="237" ht="15" customHeight="1">
      <c r="A237" s="6" t="inlineStr">
        <is>
          <t>000401</t>
        </is>
      </c>
      <c r="B237" s="7">
        <f>IFERROR(VLOOKUP(A237,_Protheus_Cadastro!$A:$B,2,FALSE),"PENDENTE")</f>
        <v/>
      </c>
      <c r="C237" s="8">
        <f>IFERROR(VLOOKUP(A237,_Protheus_Cadastro!$A:$G,7,FALSE),0)</f>
        <v/>
      </c>
      <c r="D237" s="9">
        <f>IFERROR(VLOOKUP(A237,_Protheus_Cadastro!$A:$D,4,FALSE),"")</f>
        <v/>
      </c>
      <c r="E237" s="7" t="n"/>
      <c r="F237" s="9" t="inlineStr">
        <is>
          <t>13/05/2026</t>
        </is>
      </c>
    </row>
    <row r="238" ht="15" customHeight="1">
      <c r="A238" s="2" t="inlineStr">
        <is>
          <t>000407</t>
        </is>
      </c>
      <c r="B238" s="3">
        <f>IFERROR(VLOOKUP(A238,_Protheus_Cadastro!$A:$B,2,FALSE),"PENDENTE")</f>
        <v/>
      </c>
      <c r="C238" s="4">
        <f>IFERROR(VLOOKUP(A238,_Protheus_Cadastro!$A:$G,7,FALSE),0)</f>
        <v/>
      </c>
      <c r="D238" s="5">
        <f>IFERROR(VLOOKUP(A238,_Protheus_Cadastro!$A:$D,4,FALSE),"")</f>
        <v/>
      </c>
      <c r="E238" s="3" t="n"/>
      <c r="F238" s="5" t="inlineStr">
        <is>
          <t>13/05/2026</t>
        </is>
      </c>
    </row>
    <row r="239" ht="15" customHeight="1">
      <c r="A239" s="6" t="inlineStr">
        <is>
          <t>000628</t>
        </is>
      </c>
      <c r="B239" s="7">
        <f>IFERROR(VLOOKUP(A239,_Protheus_Cadastro!$A:$B,2,FALSE),"PENDENTE")</f>
        <v/>
      </c>
      <c r="C239" s="8">
        <f>IFERROR(VLOOKUP(A239,_Protheus_Cadastro!$A:$G,7,FALSE),0)</f>
        <v/>
      </c>
      <c r="D239" s="9">
        <f>IFERROR(VLOOKUP(A239,_Protheus_Cadastro!$A:$D,4,FALSE),"")</f>
        <v/>
      </c>
      <c r="E239" s="7" t="n"/>
      <c r="F239" s="9" t="inlineStr">
        <is>
          <t>13/05/2026</t>
        </is>
      </c>
    </row>
    <row r="240" ht="15" customHeight="1">
      <c r="A240" s="2" t="inlineStr">
        <is>
          <t>000940</t>
        </is>
      </c>
      <c r="B240" s="3">
        <f>IFERROR(VLOOKUP(A240,_Protheus_Cadastro!$A:$B,2,FALSE),"PENDENTE")</f>
        <v/>
      </c>
      <c r="C240" s="4">
        <f>IFERROR(VLOOKUP(A240,_Protheus_Cadastro!$A:$G,7,FALSE),0)</f>
        <v/>
      </c>
      <c r="D240" s="5">
        <f>IFERROR(VLOOKUP(A240,_Protheus_Cadastro!$A:$D,4,FALSE),"")</f>
        <v/>
      </c>
      <c r="E240" s="3" t="n"/>
      <c r="F240" s="5" t="inlineStr">
        <is>
          <t>13/05/2026</t>
        </is>
      </c>
    </row>
    <row r="241" ht="15" customHeight="1">
      <c r="A241" s="6" t="inlineStr">
        <is>
          <t>000941</t>
        </is>
      </c>
      <c r="B241" s="7">
        <f>IFERROR(VLOOKUP(A241,_Protheus_Cadastro!$A:$B,2,FALSE),"PENDENTE")</f>
        <v/>
      </c>
      <c r="C241" s="8">
        <f>IFERROR(VLOOKUP(A241,_Protheus_Cadastro!$A:$G,7,FALSE),0)</f>
        <v/>
      </c>
      <c r="D241" s="9">
        <f>IFERROR(VLOOKUP(A241,_Protheus_Cadastro!$A:$D,4,FALSE),"")</f>
        <v/>
      </c>
      <c r="E241" s="7" t="n"/>
      <c r="F241" s="9" t="inlineStr">
        <is>
          <t>13/05/2026</t>
        </is>
      </c>
    </row>
    <row r="242" ht="15" customHeight="1">
      <c r="A242" s="2" t="inlineStr">
        <is>
          <t>000590</t>
        </is>
      </c>
      <c r="B242" s="3">
        <f>IFERROR(VLOOKUP(A242,_Protheus_Cadastro!$A:$B,2,FALSE),"PENDENTE")</f>
        <v/>
      </c>
      <c r="C242" s="4">
        <f>IFERROR(VLOOKUP(A242,_Protheus_Cadastro!$A:$G,7,FALSE),0)</f>
        <v/>
      </c>
      <c r="D242" s="5">
        <f>IFERROR(VLOOKUP(A242,_Protheus_Cadastro!$A:$D,4,FALSE),"")</f>
        <v/>
      </c>
      <c r="E242" s="3" t="n"/>
      <c r="F242" s="5" t="inlineStr">
        <is>
          <t>13/05/2026</t>
        </is>
      </c>
    </row>
    <row r="243" ht="15" customHeight="1">
      <c r="A243" s="6" t="inlineStr">
        <is>
          <t>000408</t>
        </is>
      </c>
      <c r="B243" s="7">
        <f>IFERROR(VLOOKUP(A243,_Protheus_Cadastro!$A:$B,2,FALSE),"PENDENTE")</f>
        <v/>
      </c>
      <c r="C243" s="8">
        <f>IFERROR(VLOOKUP(A243,_Protheus_Cadastro!$A:$G,7,FALSE),0)</f>
        <v/>
      </c>
      <c r="D243" s="9">
        <f>IFERROR(VLOOKUP(A243,_Protheus_Cadastro!$A:$D,4,FALSE),"")</f>
        <v/>
      </c>
      <c r="E243" s="7" t="n"/>
      <c r="F243" s="9" t="inlineStr">
        <is>
          <t>13/05/2026</t>
        </is>
      </c>
    </row>
    <row r="244" ht="15" customHeight="1">
      <c r="A244" s="2" t="inlineStr">
        <is>
          <t>000409</t>
        </is>
      </c>
      <c r="B244" s="3">
        <f>IFERROR(VLOOKUP(A244,_Protheus_Cadastro!$A:$B,2,FALSE),"PENDENTE")</f>
        <v/>
      </c>
      <c r="C244" s="4">
        <f>IFERROR(VLOOKUP(A244,_Protheus_Cadastro!$A:$G,7,FALSE),0)</f>
        <v/>
      </c>
      <c r="D244" s="5">
        <f>IFERROR(VLOOKUP(A244,_Protheus_Cadastro!$A:$D,4,FALSE),"")</f>
        <v/>
      </c>
      <c r="E244" s="3" t="n"/>
      <c r="F244" s="5" t="inlineStr">
        <is>
          <t>13/05/2026</t>
        </is>
      </c>
    </row>
    <row r="245" ht="15" customHeight="1">
      <c r="A245" s="6" t="inlineStr">
        <is>
          <t>000442</t>
        </is>
      </c>
      <c r="B245" s="7">
        <f>IFERROR(VLOOKUP(A245,_Protheus_Cadastro!$A:$B,2,FALSE),"PENDENTE")</f>
        <v/>
      </c>
      <c r="C245" s="8">
        <f>IFERROR(VLOOKUP(A245,_Protheus_Cadastro!$A:$G,7,FALSE),0)</f>
        <v/>
      </c>
      <c r="D245" s="9">
        <f>IFERROR(VLOOKUP(A245,_Protheus_Cadastro!$A:$D,4,FALSE),"")</f>
        <v/>
      </c>
      <c r="E245" s="7" t="n"/>
      <c r="F245" s="9" t="inlineStr">
        <is>
          <t>13/05/2026</t>
        </is>
      </c>
    </row>
    <row r="246" ht="15" customHeight="1">
      <c r="A246" s="2" t="inlineStr">
        <is>
          <t>000410</t>
        </is>
      </c>
      <c r="B246" s="3">
        <f>IFERROR(VLOOKUP(A246,_Protheus_Cadastro!$A:$B,2,FALSE),"PENDENTE")</f>
        <v/>
      </c>
      <c r="C246" s="4">
        <f>IFERROR(VLOOKUP(A246,_Protheus_Cadastro!$A:$G,7,FALSE),0)</f>
        <v/>
      </c>
      <c r="D246" s="5">
        <f>IFERROR(VLOOKUP(A246,_Protheus_Cadastro!$A:$D,4,FALSE),"")</f>
        <v/>
      </c>
      <c r="E246" s="3" t="n"/>
      <c r="F246" s="5" t="inlineStr">
        <is>
          <t>13/05/2026</t>
        </is>
      </c>
    </row>
    <row r="247" ht="15" customHeight="1">
      <c r="A247" s="6" t="inlineStr">
        <is>
          <t>001921</t>
        </is>
      </c>
      <c r="B247" s="7">
        <f>IFERROR(VLOOKUP(A247,_Protheus_Cadastro!$A:$B,2,FALSE),"PENDENTE")</f>
        <v/>
      </c>
      <c r="C247" s="8">
        <f>IFERROR(VLOOKUP(A247,_Protheus_Cadastro!$A:$G,7,FALSE),0)</f>
        <v/>
      </c>
      <c r="D247" s="9">
        <f>IFERROR(VLOOKUP(A247,_Protheus_Cadastro!$A:$D,4,FALSE),"")</f>
        <v/>
      </c>
      <c r="E247" s="7" t="n"/>
      <c r="F247" s="9" t="inlineStr">
        <is>
          <t>13/05/2026</t>
        </is>
      </c>
    </row>
    <row r="248" ht="15" customHeight="1">
      <c r="A248" s="2" t="inlineStr">
        <is>
          <t>000411</t>
        </is>
      </c>
      <c r="B248" s="3">
        <f>IFERROR(VLOOKUP(A248,_Protheus_Cadastro!$A:$B,2,FALSE),"PENDENTE")</f>
        <v/>
      </c>
      <c r="C248" s="4">
        <f>IFERROR(VLOOKUP(A248,_Protheus_Cadastro!$A:$G,7,FALSE),0)</f>
        <v/>
      </c>
      <c r="D248" s="5">
        <f>IFERROR(VLOOKUP(A248,_Protheus_Cadastro!$A:$D,4,FALSE),"")</f>
        <v/>
      </c>
      <c r="E248" s="3" t="n"/>
      <c r="F248" s="5" t="inlineStr">
        <is>
          <t>13/05/2026</t>
        </is>
      </c>
    </row>
    <row r="249" ht="15" customHeight="1">
      <c r="A249" s="6" t="inlineStr">
        <is>
          <t>001925</t>
        </is>
      </c>
      <c r="B249" s="7">
        <f>IFERROR(VLOOKUP(A249,_Protheus_Cadastro!$A:$B,2,FALSE),"PENDENTE")</f>
        <v/>
      </c>
      <c r="C249" s="8">
        <f>IFERROR(VLOOKUP(A249,_Protheus_Cadastro!$A:$G,7,FALSE),0)</f>
        <v/>
      </c>
      <c r="D249" s="9">
        <f>IFERROR(VLOOKUP(A249,_Protheus_Cadastro!$A:$D,4,FALSE),"")</f>
        <v/>
      </c>
      <c r="E249" s="7" t="n"/>
      <c r="F249" s="9" t="inlineStr">
        <is>
          <t>13/05/2026</t>
        </is>
      </c>
    </row>
    <row r="250" ht="15" customHeight="1">
      <c r="A250" s="2" t="inlineStr">
        <is>
          <t>000412</t>
        </is>
      </c>
      <c r="B250" s="3">
        <f>IFERROR(VLOOKUP(A250,_Protheus_Cadastro!$A:$B,2,FALSE),"PENDENTE")</f>
        <v/>
      </c>
      <c r="C250" s="4">
        <f>IFERROR(VLOOKUP(A250,_Protheus_Cadastro!$A:$G,7,FALSE),0)</f>
        <v/>
      </c>
      <c r="D250" s="5">
        <f>IFERROR(VLOOKUP(A250,_Protheus_Cadastro!$A:$D,4,FALSE),"")</f>
        <v/>
      </c>
      <c r="E250" s="3" t="n"/>
      <c r="F250" s="5" t="inlineStr">
        <is>
          <t>13/05/2026</t>
        </is>
      </c>
    </row>
    <row r="251" ht="15" customHeight="1">
      <c r="A251" s="6" t="inlineStr">
        <is>
          <t>000663</t>
        </is>
      </c>
      <c r="B251" s="7">
        <f>IFERROR(VLOOKUP(A251,_Protheus_Cadastro!$A:$B,2,FALSE),"PENDENTE")</f>
        <v/>
      </c>
      <c r="C251" s="8">
        <f>IFERROR(VLOOKUP(A251,_Protheus_Cadastro!$A:$G,7,FALSE),0)</f>
        <v/>
      </c>
      <c r="D251" s="9">
        <f>IFERROR(VLOOKUP(A251,_Protheus_Cadastro!$A:$D,4,FALSE),"")</f>
        <v/>
      </c>
      <c r="E251" s="7" t="n"/>
      <c r="F251" s="9" t="inlineStr">
        <is>
          <t>13/05/2026</t>
        </is>
      </c>
    </row>
    <row r="252" ht="15" customHeight="1">
      <c r="A252" s="2" t="inlineStr">
        <is>
          <t>001135</t>
        </is>
      </c>
      <c r="B252" s="3">
        <f>IFERROR(VLOOKUP(A252,_Protheus_Cadastro!$A:$B,2,FALSE),"PENDENTE")</f>
        <v/>
      </c>
      <c r="C252" s="4">
        <f>IFERROR(VLOOKUP(A252,_Protheus_Cadastro!$A:$G,7,FALSE),0)</f>
        <v/>
      </c>
      <c r="D252" s="5">
        <f>IFERROR(VLOOKUP(A252,_Protheus_Cadastro!$A:$D,4,FALSE),"")</f>
        <v/>
      </c>
      <c r="E252" s="3" t="n"/>
      <c r="F252" s="5" t="inlineStr">
        <is>
          <t>13/05/2026</t>
        </is>
      </c>
    </row>
    <row r="253" ht="15" customHeight="1">
      <c r="A253" s="6" t="inlineStr">
        <is>
          <t>010388</t>
        </is>
      </c>
      <c r="B253" s="7">
        <f>IFERROR(VLOOKUP(A253,_Protheus_Cadastro!$A:$B,2,FALSE),"PENDENTE")</f>
        <v/>
      </c>
      <c r="C253" s="8">
        <f>IFERROR(VLOOKUP(A253,_Protheus_Cadastro!$A:$G,7,FALSE),0)</f>
        <v/>
      </c>
      <c r="D253" s="9">
        <f>IFERROR(VLOOKUP(A253,_Protheus_Cadastro!$A:$D,4,FALSE),"")</f>
        <v/>
      </c>
      <c r="E253" s="7" t="n"/>
      <c r="F253" s="9" t="inlineStr">
        <is>
          <t>13/05/2026</t>
        </is>
      </c>
    </row>
    <row r="254" ht="15" customHeight="1">
      <c r="A254" s="2" t="inlineStr">
        <is>
          <t>000478</t>
        </is>
      </c>
      <c r="B254" s="3">
        <f>IFERROR(VLOOKUP(A254,_Protheus_Cadastro!$A:$B,2,FALSE),"PENDENTE")</f>
        <v/>
      </c>
      <c r="C254" s="4">
        <f>IFERROR(VLOOKUP(A254,_Protheus_Cadastro!$A:$G,7,FALSE),0)</f>
        <v/>
      </c>
      <c r="D254" s="5">
        <f>IFERROR(VLOOKUP(A254,_Protheus_Cadastro!$A:$D,4,FALSE),"")</f>
        <v/>
      </c>
      <c r="E254" s="3" t="n"/>
      <c r="F254" s="5" t="inlineStr">
        <is>
          <t>13/05/2026</t>
        </is>
      </c>
    </row>
    <row r="255" ht="15" customHeight="1">
      <c r="A255" s="6" t="inlineStr">
        <is>
          <t>001580</t>
        </is>
      </c>
      <c r="B255" s="7">
        <f>IFERROR(VLOOKUP(A255,_Protheus_Cadastro!$A:$B,2,FALSE),"PENDENTE")</f>
        <v/>
      </c>
      <c r="C255" s="8">
        <f>IFERROR(VLOOKUP(A255,_Protheus_Cadastro!$A:$G,7,FALSE),0)</f>
        <v/>
      </c>
      <c r="D255" s="9">
        <f>IFERROR(VLOOKUP(A255,_Protheus_Cadastro!$A:$D,4,FALSE),"")</f>
        <v/>
      </c>
      <c r="E255" s="7" t="n"/>
      <c r="F255" s="9" t="inlineStr">
        <is>
          <t>13/05/2026</t>
        </is>
      </c>
    </row>
    <row r="256" ht="15" customHeight="1">
      <c r="A256" s="2" t="inlineStr">
        <is>
          <t>009517</t>
        </is>
      </c>
      <c r="B256" s="3">
        <f>IFERROR(VLOOKUP(A256,_Protheus_Cadastro!$A:$B,2,FALSE),"PENDENTE")</f>
        <v/>
      </c>
      <c r="C256" s="4">
        <f>IFERROR(VLOOKUP(A256,_Protheus_Cadastro!$A:$G,7,FALSE),0)</f>
        <v/>
      </c>
      <c r="D256" s="5">
        <f>IFERROR(VLOOKUP(A256,_Protheus_Cadastro!$A:$D,4,FALSE),"")</f>
        <v/>
      </c>
      <c r="E256" s="3" t="n"/>
      <c r="F256" s="5" t="inlineStr">
        <is>
          <t>13/05/2026</t>
        </is>
      </c>
    </row>
    <row r="257" ht="15" customHeight="1">
      <c r="A257" s="6" t="inlineStr">
        <is>
          <t>001998</t>
        </is>
      </c>
      <c r="B257" s="7">
        <f>IFERROR(VLOOKUP(A257,_Protheus_Cadastro!$A:$B,2,FALSE),"PENDENTE")</f>
        <v/>
      </c>
      <c r="C257" s="8">
        <f>IFERROR(VLOOKUP(A257,_Protheus_Cadastro!$A:$G,7,FALSE),0)</f>
        <v/>
      </c>
      <c r="D257" s="9">
        <f>IFERROR(VLOOKUP(A257,_Protheus_Cadastro!$A:$D,4,FALSE),"")</f>
        <v/>
      </c>
      <c r="E257" s="7" t="n"/>
      <c r="F257" s="9" t="inlineStr">
        <is>
          <t>13/05/2026</t>
        </is>
      </c>
    </row>
    <row r="258" ht="15" customHeight="1">
      <c r="A258" s="2" t="inlineStr">
        <is>
          <t>000983</t>
        </is>
      </c>
      <c r="B258" s="3">
        <f>IFERROR(VLOOKUP(A258,_Protheus_Cadastro!$A:$B,2,FALSE),"PENDENTE")</f>
        <v/>
      </c>
      <c r="C258" s="4">
        <f>IFERROR(VLOOKUP(A258,_Protheus_Cadastro!$A:$G,7,FALSE),0)</f>
        <v/>
      </c>
      <c r="D258" s="5">
        <f>IFERROR(VLOOKUP(A258,_Protheus_Cadastro!$A:$D,4,FALSE),"")</f>
        <v/>
      </c>
      <c r="E258" s="3" t="n"/>
      <c r="F258" s="5" t="inlineStr">
        <is>
          <t>13/05/2026</t>
        </is>
      </c>
    </row>
    <row r="259" ht="15" customHeight="1">
      <c r="A259" s="6" t="inlineStr">
        <is>
          <t>001657</t>
        </is>
      </c>
      <c r="B259" s="7">
        <f>IFERROR(VLOOKUP(A259,_Protheus_Cadastro!$A:$B,2,FALSE),"PENDENTE")</f>
        <v/>
      </c>
      <c r="C259" s="8">
        <f>IFERROR(VLOOKUP(A259,_Protheus_Cadastro!$A:$G,7,FALSE),0)</f>
        <v/>
      </c>
      <c r="D259" s="9">
        <f>IFERROR(VLOOKUP(A259,_Protheus_Cadastro!$A:$D,4,FALSE),"")</f>
        <v/>
      </c>
      <c r="E259" s="7" t="n"/>
      <c r="F259" s="9" t="inlineStr">
        <is>
          <t>13/05/2026</t>
        </is>
      </c>
    </row>
    <row r="260" ht="15" customHeight="1">
      <c r="A260" s="2" t="inlineStr">
        <is>
          <t>010344</t>
        </is>
      </c>
      <c r="B260" s="3">
        <f>IFERROR(VLOOKUP(A260,_Protheus_Cadastro!$A:$B,2,FALSE),"PENDENTE")</f>
        <v/>
      </c>
      <c r="C260" s="4">
        <f>IFERROR(VLOOKUP(A260,_Protheus_Cadastro!$A:$G,7,FALSE),0)</f>
        <v/>
      </c>
      <c r="D260" s="5">
        <f>IFERROR(VLOOKUP(A260,_Protheus_Cadastro!$A:$D,4,FALSE),"")</f>
        <v/>
      </c>
      <c r="E260" s="3" t="n"/>
      <c r="F260" s="5" t="inlineStr">
        <is>
          <t>13/05/2026</t>
        </is>
      </c>
    </row>
    <row r="261" ht="15" customHeight="1">
      <c r="A261" s="6" t="inlineStr">
        <is>
          <t>000479</t>
        </is>
      </c>
      <c r="B261" s="7">
        <f>IFERROR(VLOOKUP(A261,_Protheus_Cadastro!$A:$B,2,FALSE),"PENDENTE")</f>
        <v/>
      </c>
      <c r="C261" s="8">
        <f>IFERROR(VLOOKUP(A261,_Protheus_Cadastro!$A:$G,7,FALSE),0)</f>
        <v/>
      </c>
      <c r="D261" s="9">
        <f>IFERROR(VLOOKUP(A261,_Protheus_Cadastro!$A:$D,4,FALSE),"")</f>
        <v/>
      </c>
      <c r="E261" s="7" t="n"/>
      <c r="F261" s="9" t="inlineStr">
        <is>
          <t>13/05/2026</t>
        </is>
      </c>
    </row>
    <row r="262" ht="15" customHeight="1">
      <c r="A262" s="2" t="inlineStr">
        <is>
          <t>010286</t>
        </is>
      </c>
      <c r="B262" s="3">
        <f>IFERROR(VLOOKUP(A262,_Protheus_Cadastro!$A:$B,2,FALSE),"PENDENTE")</f>
        <v/>
      </c>
      <c r="C262" s="4">
        <f>IFERROR(VLOOKUP(A262,_Protheus_Cadastro!$A:$G,7,FALSE),0)</f>
        <v/>
      </c>
      <c r="D262" s="5">
        <f>IFERROR(VLOOKUP(A262,_Protheus_Cadastro!$A:$D,4,FALSE),"")</f>
        <v/>
      </c>
      <c r="E262" s="3" t="n"/>
      <c r="F262" s="5" t="inlineStr">
        <is>
          <t>13/05/2026</t>
        </is>
      </c>
    </row>
    <row r="263" ht="15" customHeight="1">
      <c r="A263" s="6" t="inlineStr">
        <is>
          <t>000319</t>
        </is>
      </c>
      <c r="B263" s="7">
        <f>IFERROR(VLOOKUP(A263,_Protheus_Cadastro!$A:$B,2,FALSE),"PENDENTE")</f>
        <v/>
      </c>
      <c r="C263" s="8">
        <f>IFERROR(VLOOKUP(A263,_Protheus_Cadastro!$A:$G,7,FALSE),0)</f>
        <v/>
      </c>
      <c r="D263" s="9">
        <f>IFERROR(VLOOKUP(A263,_Protheus_Cadastro!$A:$D,4,FALSE),"")</f>
        <v/>
      </c>
      <c r="E263" s="7" t="n"/>
      <c r="F263" s="9" t="inlineStr">
        <is>
          <t>13/05/2026</t>
        </is>
      </c>
    </row>
    <row r="264" ht="15" customHeight="1">
      <c r="A264" s="2" t="inlineStr">
        <is>
          <t>000321</t>
        </is>
      </c>
      <c r="B264" s="3">
        <f>IFERROR(VLOOKUP(A264,_Protheus_Cadastro!$A:$B,2,FALSE),"PENDENTE")</f>
        <v/>
      </c>
      <c r="C264" s="4">
        <f>IFERROR(VLOOKUP(A264,_Protheus_Cadastro!$A:$G,7,FALSE),0)</f>
        <v/>
      </c>
      <c r="D264" s="5">
        <f>IFERROR(VLOOKUP(A264,_Protheus_Cadastro!$A:$D,4,FALSE),"")</f>
        <v/>
      </c>
      <c r="E264" s="3" t="n"/>
      <c r="F264" s="5" t="inlineStr">
        <is>
          <t>13/05/2026</t>
        </is>
      </c>
    </row>
    <row r="265" ht="15" customHeight="1">
      <c r="A265" s="6" t="inlineStr">
        <is>
          <t>001343</t>
        </is>
      </c>
      <c r="B265" s="7">
        <f>IFERROR(VLOOKUP(A265,_Protheus_Cadastro!$A:$B,2,FALSE),"PENDENTE")</f>
        <v/>
      </c>
      <c r="C265" s="8">
        <f>IFERROR(VLOOKUP(A265,_Protheus_Cadastro!$A:$G,7,FALSE),0)</f>
        <v/>
      </c>
      <c r="D265" s="9">
        <f>IFERROR(VLOOKUP(A265,_Protheus_Cadastro!$A:$D,4,FALSE),"")</f>
        <v/>
      </c>
      <c r="E265" s="7" t="n"/>
      <c r="F265" s="9" t="inlineStr">
        <is>
          <t>13/05/2026</t>
        </is>
      </c>
    </row>
    <row r="266" ht="15" customHeight="1">
      <c r="A266" s="2" t="inlineStr">
        <is>
          <t>000414</t>
        </is>
      </c>
      <c r="B266" s="3">
        <f>IFERROR(VLOOKUP(A266,_Protheus_Cadastro!$A:$B,2,FALSE),"PENDENTE")</f>
        <v/>
      </c>
      <c r="C266" s="4">
        <f>IFERROR(VLOOKUP(A266,_Protheus_Cadastro!$A:$G,7,FALSE),0)</f>
        <v/>
      </c>
      <c r="D266" s="5">
        <f>IFERROR(VLOOKUP(A266,_Protheus_Cadastro!$A:$D,4,FALSE),"")</f>
        <v/>
      </c>
      <c r="E266" s="3" t="n"/>
      <c r="F266" s="5" t="inlineStr">
        <is>
          <t>13/05/2026</t>
        </is>
      </c>
    </row>
    <row r="267" ht="15" customHeight="1">
      <c r="A267" s="6" t="inlineStr">
        <is>
          <t>000451</t>
        </is>
      </c>
      <c r="B267" s="7">
        <f>IFERROR(VLOOKUP(A267,_Protheus_Cadastro!$A:$B,2,FALSE),"PENDENTE")</f>
        <v/>
      </c>
      <c r="C267" s="8">
        <f>IFERROR(VLOOKUP(A267,_Protheus_Cadastro!$A:$G,7,FALSE),0)</f>
        <v/>
      </c>
      <c r="D267" s="9">
        <f>IFERROR(VLOOKUP(A267,_Protheus_Cadastro!$A:$D,4,FALSE),"")</f>
        <v/>
      </c>
      <c r="E267" s="7" t="n"/>
      <c r="F267" s="9" t="inlineStr">
        <is>
          <t>13/05/2026</t>
        </is>
      </c>
    </row>
    <row r="268" ht="15" customHeight="1">
      <c r="A268" s="2" t="inlineStr">
        <is>
          <t>000617</t>
        </is>
      </c>
      <c r="B268" s="3">
        <f>IFERROR(VLOOKUP(A268,_Protheus_Cadastro!$A:$B,2,FALSE),"PENDENTE")</f>
        <v/>
      </c>
      <c r="C268" s="4">
        <f>IFERROR(VLOOKUP(A268,_Protheus_Cadastro!$A:$G,7,FALSE),0)</f>
        <v/>
      </c>
      <c r="D268" s="5">
        <f>IFERROR(VLOOKUP(A268,_Protheus_Cadastro!$A:$D,4,FALSE),"")</f>
        <v/>
      </c>
      <c r="E268" s="3" t="n"/>
      <c r="F268" s="5" t="inlineStr">
        <is>
          <t>13/05/2026</t>
        </is>
      </c>
    </row>
    <row r="269" ht="15" customHeight="1">
      <c r="A269" s="6" t="inlineStr">
        <is>
          <t>000618</t>
        </is>
      </c>
      <c r="B269" s="7">
        <f>IFERROR(VLOOKUP(A269,_Protheus_Cadastro!$A:$B,2,FALSE),"PENDENTE")</f>
        <v/>
      </c>
      <c r="C269" s="8">
        <f>IFERROR(VLOOKUP(A269,_Protheus_Cadastro!$A:$G,7,FALSE),0)</f>
        <v/>
      </c>
      <c r="D269" s="9">
        <f>IFERROR(VLOOKUP(A269,_Protheus_Cadastro!$A:$D,4,FALSE),"")</f>
        <v/>
      </c>
      <c r="E269" s="7" t="n"/>
      <c r="F269" s="9" t="inlineStr">
        <is>
          <t>13/05/2026</t>
        </is>
      </c>
    </row>
    <row r="270" ht="15" customHeight="1">
      <c r="A270" s="2" t="inlineStr">
        <is>
          <t>000480</t>
        </is>
      </c>
      <c r="B270" s="3">
        <f>IFERROR(VLOOKUP(A270,_Protheus_Cadastro!$A:$B,2,FALSE),"PENDENTE")</f>
        <v/>
      </c>
      <c r="C270" s="4">
        <f>IFERROR(VLOOKUP(A270,_Protheus_Cadastro!$A:$G,7,FALSE),0)</f>
        <v/>
      </c>
      <c r="D270" s="5">
        <f>IFERROR(VLOOKUP(A270,_Protheus_Cadastro!$A:$D,4,FALSE),"")</f>
        <v/>
      </c>
      <c r="E270" s="3" t="n"/>
      <c r="F270" s="5" t="inlineStr">
        <is>
          <t>13/05/2026</t>
        </is>
      </c>
    </row>
    <row r="271" ht="15" customHeight="1">
      <c r="A271" s="6" t="inlineStr">
        <is>
          <t>000361</t>
        </is>
      </c>
      <c r="B271" s="7">
        <f>IFERROR(VLOOKUP(A271,_Protheus_Cadastro!$A:$B,2,FALSE),"PENDENTE")</f>
        <v/>
      </c>
      <c r="C271" s="8">
        <f>IFERROR(VLOOKUP(A271,_Protheus_Cadastro!$A:$G,7,FALSE),0)</f>
        <v/>
      </c>
      <c r="D271" s="9">
        <f>IFERROR(VLOOKUP(A271,_Protheus_Cadastro!$A:$D,4,FALSE),"")</f>
        <v/>
      </c>
      <c r="E271" s="7" t="n"/>
      <c r="F271" s="9" t="inlineStr">
        <is>
          <t>13/05/2026</t>
        </is>
      </c>
    </row>
    <row r="272" ht="15" customHeight="1">
      <c r="A272" s="2" t="inlineStr">
        <is>
          <t>001459</t>
        </is>
      </c>
      <c r="B272" s="3">
        <f>IFERROR(VLOOKUP(A272,_Protheus_Cadastro!$A:$B,2,FALSE),"PENDENTE")</f>
        <v/>
      </c>
      <c r="C272" s="4">
        <f>IFERROR(VLOOKUP(A272,_Protheus_Cadastro!$A:$G,7,FALSE),0)</f>
        <v/>
      </c>
      <c r="D272" s="5">
        <f>IFERROR(VLOOKUP(A272,_Protheus_Cadastro!$A:$D,4,FALSE),"")</f>
        <v/>
      </c>
      <c r="E272" s="3" t="n"/>
      <c r="F272" s="5" t="inlineStr">
        <is>
          <t>13/05/2026</t>
        </is>
      </c>
    </row>
    <row r="273" ht="15" customHeight="1">
      <c r="A273" s="6" t="inlineStr">
        <is>
          <t>000455</t>
        </is>
      </c>
      <c r="B273" s="7">
        <f>IFERROR(VLOOKUP(A273,_Protheus_Cadastro!$A:$B,2,FALSE),"PENDENTE")</f>
        <v/>
      </c>
      <c r="C273" s="8">
        <f>IFERROR(VLOOKUP(A273,_Protheus_Cadastro!$A:$G,7,FALSE),0)</f>
        <v/>
      </c>
      <c r="D273" s="9">
        <f>IFERROR(VLOOKUP(A273,_Protheus_Cadastro!$A:$D,4,FALSE),"")</f>
        <v/>
      </c>
      <c r="E273" s="7" t="n"/>
      <c r="F273" s="9" t="inlineStr">
        <is>
          <t>13/05/2026</t>
        </is>
      </c>
    </row>
    <row r="274" ht="15" customHeight="1">
      <c r="A274" s="2" t="inlineStr">
        <is>
          <t>000456</t>
        </is>
      </c>
      <c r="B274" s="3">
        <f>IFERROR(VLOOKUP(A274,_Protheus_Cadastro!$A:$B,2,FALSE),"PENDENTE")</f>
        <v/>
      </c>
      <c r="C274" s="4">
        <f>IFERROR(VLOOKUP(A274,_Protheus_Cadastro!$A:$G,7,FALSE),0)</f>
        <v/>
      </c>
      <c r="D274" s="5">
        <f>IFERROR(VLOOKUP(A274,_Protheus_Cadastro!$A:$D,4,FALSE),"")</f>
        <v/>
      </c>
      <c r="E274" s="3" t="n"/>
      <c r="F274" s="5" t="inlineStr">
        <is>
          <t>13/05/2026</t>
        </is>
      </c>
    </row>
    <row r="275" ht="15" customHeight="1">
      <c r="A275" s="6" t="inlineStr">
        <is>
          <t>000210</t>
        </is>
      </c>
      <c r="B275" s="7">
        <f>IFERROR(VLOOKUP(A275,_Protheus_Cadastro!$A:$B,2,FALSE),"PENDENTE")</f>
        <v/>
      </c>
      <c r="C275" s="8">
        <f>IFERROR(VLOOKUP(A275,_Protheus_Cadastro!$A:$G,7,FALSE),0)</f>
        <v/>
      </c>
      <c r="D275" s="9">
        <f>IFERROR(VLOOKUP(A275,_Protheus_Cadastro!$A:$D,4,FALSE),"")</f>
        <v/>
      </c>
      <c r="E275" s="7" t="n"/>
      <c r="F275" s="9" t="inlineStr">
        <is>
          <t>13/05/2026</t>
        </is>
      </c>
    </row>
    <row r="276" ht="15" customHeight="1">
      <c r="A276" s="2" t="inlineStr">
        <is>
          <t>000209</t>
        </is>
      </c>
      <c r="B276" s="3">
        <f>IFERROR(VLOOKUP(A276,_Protheus_Cadastro!$A:$B,2,FALSE),"PENDENTE")</f>
        <v/>
      </c>
      <c r="C276" s="4">
        <f>IFERROR(VLOOKUP(A276,_Protheus_Cadastro!$A:$G,7,FALSE),0)</f>
        <v/>
      </c>
      <c r="D276" s="5">
        <f>IFERROR(VLOOKUP(A276,_Protheus_Cadastro!$A:$D,4,FALSE),"")</f>
        <v/>
      </c>
      <c r="E276" s="3" t="n"/>
      <c r="F276" s="5" t="inlineStr">
        <is>
          <t>13/05/2026</t>
        </is>
      </c>
    </row>
    <row r="277" ht="15" customHeight="1">
      <c r="A277" s="6" t="inlineStr">
        <is>
          <t>000457</t>
        </is>
      </c>
      <c r="B277" s="7">
        <f>IFERROR(VLOOKUP(A277,_Protheus_Cadastro!$A:$B,2,FALSE),"PENDENTE")</f>
        <v/>
      </c>
      <c r="C277" s="8">
        <f>IFERROR(VLOOKUP(A277,_Protheus_Cadastro!$A:$G,7,FALSE),0)</f>
        <v/>
      </c>
      <c r="D277" s="9">
        <f>IFERROR(VLOOKUP(A277,_Protheus_Cadastro!$A:$D,4,FALSE),"")</f>
        <v/>
      </c>
      <c r="E277" s="7" t="n"/>
      <c r="F277" s="9" t="inlineStr">
        <is>
          <t>13/05/2026</t>
        </is>
      </c>
    </row>
    <row r="278" ht="15" customHeight="1">
      <c r="A278" s="2" t="inlineStr">
        <is>
          <t>000458</t>
        </is>
      </c>
      <c r="B278" s="3">
        <f>IFERROR(VLOOKUP(A278,_Protheus_Cadastro!$A:$B,2,FALSE),"PENDENTE")</f>
        <v/>
      </c>
      <c r="C278" s="4">
        <f>IFERROR(VLOOKUP(A278,_Protheus_Cadastro!$A:$G,7,FALSE),0)</f>
        <v/>
      </c>
      <c r="D278" s="5">
        <f>IFERROR(VLOOKUP(A278,_Protheus_Cadastro!$A:$D,4,FALSE),"")</f>
        <v/>
      </c>
      <c r="E278" s="3" t="n"/>
      <c r="F278" s="5" t="inlineStr">
        <is>
          <t>13/05/2026</t>
        </is>
      </c>
    </row>
    <row r="279" ht="15" customHeight="1">
      <c r="A279" s="6" t="inlineStr">
        <is>
          <t>001979</t>
        </is>
      </c>
      <c r="B279" s="7">
        <f>IFERROR(VLOOKUP(A279,_Protheus_Cadastro!$A:$B,2,FALSE),"PENDENTE")</f>
        <v/>
      </c>
      <c r="C279" s="8">
        <f>IFERROR(VLOOKUP(A279,_Protheus_Cadastro!$A:$G,7,FALSE),0)</f>
        <v/>
      </c>
      <c r="D279" s="9">
        <f>IFERROR(VLOOKUP(A279,_Protheus_Cadastro!$A:$D,4,FALSE),"")</f>
        <v/>
      </c>
      <c r="E279" s="7" t="n"/>
      <c r="F279" s="9" t="inlineStr">
        <is>
          <t>13/05/2026</t>
        </is>
      </c>
    </row>
    <row r="280" ht="15" customHeight="1">
      <c r="A280" s="2" t="inlineStr">
        <is>
          <t>001302</t>
        </is>
      </c>
      <c r="B280" s="3">
        <f>IFERROR(VLOOKUP(A280,_Protheus_Cadastro!$A:$B,2,FALSE),"PENDENTE")</f>
        <v/>
      </c>
      <c r="C280" s="4">
        <f>IFERROR(VLOOKUP(A280,_Protheus_Cadastro!$A:$G,7,FALSE),0)</f>
        <v/>
      </c>
      <c r="D280" s="5">
        <f>IFERROR(VLOOKUP(A280,_Protheus_Cadastro!$A:$D,4,FALSE),"")</f>
        <v/>
      </c>
      <c r="E280" s="3" t="n"/>
      <c r="F280" s="5" t="inlineStr">
        <is>
          <t>13/05/2026</t>
        </is>
      </c>
    </row>
    <row r="281" ht="15" customHeight="1">
      <c r="A281" s="2" t="inlineStr">
        <is>
          <t>010339</t>
        </is>
      </c>
      <c r="B281" s="3">
        <f>IFERROR(VLOOKUP(A281,_Protheus_Cadastro!$A:$B,2,FALSE),"PENDENTE")</f>
        <v/>
      </c>
      <c r="C281" s="4">
        <f>IFERROR(VLOOKUP(A281,_Protheus_Cadastro!$A:$G,7,FALSE),0)</f>
        <v/>
      </c>
      <c r="D281" s="5">
        <f>IFERROR(VLOOKUP(A281,_Protheus_Cadastro!$A:$D,4,FALSE),"")</f>
        <v/>
      </c>
      <c r="E281" s="3" t="n"/>
      <c r="F281" s="5" t="inlineStr">
        <is>
          <t>13/05/2026</t>
        </is>
      </c>
    </row>
    <row r="282" ht="15" customHeight="1">
      <c r="A282" s="6" t="inlineStr">
        <is>
          <t>002206</t>
        </is>
      </c>
      <c r="B282" s="7">
        <f>IFERROR(VLOOKUP(A282,_Protheus_Cadastro!$A:$B,2,FALSE),"PENDENTE")</f>
        <v/>
      </c>
      <c r="C282" s="8">
        <f>IFERROR(VLOOKUP(A282,_Protheus_Cadastro!$A:$G,7,FALSE),0)</f>
        <v/>
      </c>
      <c r="D282" s="9">
        <f>IFERROR(VLOOKUP(A282,_Protheus_Cadastro!$A:$D,4,FALSE),"")</f>
        <v/>
      </c>
      <c r="E282" s="7" t="n"/>
      <c r="F282" s="9" t="inlineStr">
        <is>
          <t>13/05/2026</t>
        </is>
      </c>
    </row>
    <row r="283" ht="15" customHeight="1">
      <c r="A283" s="2" t="inlineStr">
        <is>
          <t>000368</t>
        </is>
      </c>
      <c r="B283" s="3">
        <f>IFERROR(VLOOKUP(A283,_Protheus_Cadastro!$A:$B,2,FALSE),"PENDENTE")</f>
        <v/>
      </c>
      <c r="C283" s="4">
        <f>IFERROR(VLOOKUP(A283,_Protheus_Cadastro!$A:$G,7,FALSE),0)</f>
        <v/>
      </c>
      <c r="D283" s="5">
        <f>IFERROR(VLOOKUP(A283,_Protheus_Cadastro!$A:$D,4,FALSE),"")</f>
        <v/>
      </c>
      <c r="E283" s="3" t="n"/>
      <c r="F283" s="5" t="inlineStr">
        <is>
          <t>13/05/2026</t>
        </is>
      </c>
    </row>
    <row r="284" ht="15" customHeight="1">
      <c r="A284" s="6" t="inlineStr">
        <is>
          <t>001167</t>
        </is>
      </c>
      <c r="B284" s="7">
        <f>IFERROR(VLOOKUP(A284,_Protheus_Cadastro!$A:$B,2,FALSE),"PENDENTE")</f>
        <v/>
      </c>
      <c r="C284" s="8">
        <f>IFERROR(VLOOKUP(A284,_Protheus_Cadastro!$A:$G,7,FALSE),0)</f>
        <v/>
      </c>
      <c r="D284" s="9">
        <f>IFERROR(VLOOKUP(A284,_Protheus_Cadastro!$A:$D,4,FALSE),"")</f>
        <v/>
      </c>
      <c r="E284" s="7" t="n"/>
      <c r="F284" s="9" t="inlineStr">
        <is>
          <t>13/05/2026</t>
        </is>
      </c>
    </row>
    <row r="285" ht="15" customHeight="1">
      <c r="A285" s="2" t="inlineStr">
        <is>
          <t>002040</t>
        </is>
      </c>
      <c r="B285" s="3">
        <f>IFERROR(VLOOKUP(A285,_Protheus_Cadastro!$A:$B,2,FALSE),"PENDENTE")</f>
        <v/>
      </c>
      <c r="C285" s="4">
        <f>IFERROR(VLOOKUP(A285,_Protheus_Cadastro!$A:$G,7,FALSE),0)</f>
        <v/>
      </c>
      <c r="D285" s="5">
        <f>IFERROR(VLOOKUP(A285,_Protheus_Cadastro!$A:$D,4,FALSE),"")</f>
        <v/>
      </c>
      <c r="E285" s="3" t="n"/>
      <c r="F285" s="5" t="inlineStr">
        <is>
          <t>13/05/2026</t>
        </is>
      </c>
    </row>
    <row r="286" ht="15" customHeight="1">
      <c r="A286" s="6" t="inlineStr">
        <is>
          <t>002038</t>
        </is>
      </c>
      <c r="B286" s="7">
        <f>IFERROR(VLOOKUP(A286,_Protheus_Cadastro!$A:$B,2,FALSE),"PENDENTE")</f>
        <v/>
      </c>
      <c r="C286" s="8">
        <f>IFERROR(VLOOKUP(A286,_Protheus_Cadastro!$A:$G,7,FALSE),0)</f>
        <v/>
      </c>
      <c r="D286" s="9">
        <f>IFERROR(VLOOKUP(A286,_Protheus_Cadastro!$A:$D,4,FALSE),"")</f>
        <v/>
      </c>
      <c r="E286" s="7" t="n"/>
      <c r="F286" s="9" t="inlineStr">
        <is>
          <t>13/05/2026</t>
        </is>
      </c>
    </row>
    <row r="287" ht="15" customHeight="1">
      <c r="A287" s="2" t="inlineStr">
        <is>
          <t>000369</t>
        </is>
      </c>
      <c r="B287" s="3">
        <f>IFERROR(VLOOKUP(A287,_Protheus_Cadastro!$A:$B,2,FALSE),"PENDENTE")</f>
        <v/>
      </c>
      <c r="C287" s="4">
        <f>IFERROR(VLOOKUP(A287,_Protheus_Cadastro!$A:$G,7,FALSE),0)</f>
        <v/>
      </c>
      <c r="D287" s="5">
        <f>IFERROR(VLOOKUP(A287,_Protheus_Cadastro!$A:$D,4,FALSE),"")</f>
        <v/>
      </c>
      <c r="E287" s="3" t="n"/>
      <c r="F287" s="5" t="inlineStr">
        <is>
          <t>13/05/2026</t>
        </is>
      </c>
    </row>
    <row r="288" ht="15" customHeight="1">
      <c r="A288" s="6" t="inlineStr">
        <is>
          <t>000749</t>
        </is>
      </c>
      <c r="B288" s="7">
        <f>IFERROR(VLOOKUP(A288,_Protheus_Cadastro!$A:$B,2,FALSE),"PENDENTE")</f>
        <v/>
      </c>
      <c r="C288" s="8">
        <f>IFERROR(VLOOKUP(A288,_Protheus_Cadastro!$A:$G,7,FALSE),0)</f>
        <v/>
      </c>
      <c r="D288" s="9">
        <f>IFERROR(VLOOKUP(A288,_Protheus_Cadastro!$A:$D,4,FALSE),"")</f>
        <v/>
      </c>
      <c r="E288" s="7" t="n"/>
      <c r="F288" s="9" t="inlineStr">
        <is>
          <t>13/05/2026</t>
        </is>
      </c>
    </row>
    <row r="289" ht="15" customHeight="1">
      <c r="A289" s="2" t="inlineStr">
        <is>
          <t>000481</t>
        </is>
      </c>
      <c r="B289" s="3">
        <f>IFERROR(VLOOKUP(A289,_Protheus_Cadastro!$A:$B,2,FALSE),"PENDENTE")</f>
        <v/>
      </c>
      <c r="C289" s="4">
        <f>IFERROR(VLOOKUP(A289,_Protheus_Cadastro!$A:$G,7,FALSE),0)</f>
        <v/>
      </c>
      <c r="D289" s="5">
        <f>IFERROR(VLOOKUP(A289,_Protheus_Cadastro!$A:$D,4,FALSE),"")</f>
        <v/>
      </c>
      <c r="E289" s="3" t="n"/>
      <c r="F289" s="5" t="inlineStr">
        <is>
          <t>13/05/2026</t>
        </is>
      </c>
    </row>
    <row r="290" ht="15" customHeight="1">
      <c r="A290" s="6" t="inlineStr">
        <is>
          <t>000482</t>
        </is>
      </c>
      <c r="B290" s="7">
        <f>IFERROR(VLOOKUP(A290,_Protheus_Cadastro!$A:$B,2,FALSE),"PENDENTE")</f>
        <v/>
      </c>
      <c r="C290" s="8">
        <f>IFERROR(VLOOKUP(A290,_Protheus_Cadastro!$A:$G,7,FALSE),0)</f>
        <v/>
      </c>
      <c r="D290" s="9">
        <f>IFERROR(VLOOKUP(A290,_Protheus_Cadastro!$A:$D,4,FALSE),"")</f>
        <v/>
      </c>
      <c r="E290" s="7" t="n"/>
      <c r="F290" s="9" t="inlineStr">
        <is>
          <t>13/05/2026</t>
        </is>
      </c>
    </row>
    <row r="291" ht="15" customHeight="1">
      <c r="A291" s="2" t="inlineStr">
        <is>
          <t>001380</t>
        </is>
      </c>
      <c r="B291" s="3">
        <f>IFERROR(VLOOKUP(A291,_Protheus_Cadastro!$A:$B,2,FALSE),"PENDENTE")</f>
        <v/>
      </c>
      <c r="C291" s="4">
        <f>IFERROR(VLOOKUP(A291,_Protheus_Cadastro!$A:$G,7,FALSE),0)</f>
        <v/>
      </c>
      <c r="D291" s="5">
        <f>IFERROR(VLOOKUP(A291,_Protheus_Cadastro!$A:$D,4,FALSE),"")</f>
        <v/>
      </c>
      <c r="E291" s="3" t="n"/>
      <c r="F291" s="5" t="inlineStr">
        <is>
          <t>13/05/2026</t>
        </is>
      </c>
    </row>
    <row r="292" ht="15" customHeight="1">
      <c r="A292" s="6" t="inlineStr">
        <is>
          <t>000483</t>
        </is>
      </c>
      <c r="B292" s="7">
        <f>IFERROR(VLOOKUP(A292,_Protheus_Cadastro!$A:$B,2,FALSE),"PENDENTE")</f>
        <v/>
      </c>
      <c r="C292" s="8">
        <f>IFERROR(VLOOKUP(A292,_Protheus_Cadastro!$A:$G,7,FALSE),0)</f>
        <v/>
      </c>
      <c r="D292" s="9">
        <f>IFERROR(VLOOKUP(A292,_Protheus_Cadastro!$A:$D,4,FALSE),"")</f>
        <v/>
      </c>
      <c r="E292" s="7" t="n"/>
      <c r="F292" s="9" t="inlineStr">
        <is>
          <t>13/05/2026</t>
        </is>
      </c>
    </row>
    <row r="293" ht="15" customHeight="1">
      <c r="A293" s="2" t="inlineStr">
        <is>
          <t>009822</t>
        </is>
      </c>
      <c r="B293" s="3">
        <f>IFERROR(VLOOKUP(A293,_Protheus_Cadastro!$A:$B,2,FALSE),"PENDENTE")</f>
        <v/>
      </c>
      <c r="C293" s="4">
        <f>IFERROR(VLOOKUP(A293,_Protheus_Cadastro!$A:$G,7,FALSE),0)</f>
        <v/>
      </c>
      <c r="D293" s="5">
        <f>IFERROR(VLOOKUP(A293,_Protheus_Cadastro!$A:$D,4,FALSE),"")</f>
        <v/>
      </c>
      <c r="E293" s="3" t="n"/>
      <c r="F293" s="5" t="inlineStr">
        <is>
          <t>13/05/2026</t>
        </is>
      </c>
    </row>
    <row r="294" ht="15" customHeight="1">
      <c r="A294" s="6" t="inlineStr">
        <is>
          <t>000416</t>
        </is>
      </c>
      <c r="B294" s="7">
        <f>IFERROR(VLOOKUP(A294,_Protheus_Cadastro!$A:$B,2,FALSE),"PENDENTE")</f>
        <v/>
      </c>
      <c r="C294" s="8">
        <f>IFERROR(VLOOKUP(A294,_Protheus_Cadastro!$A:$G,7,FALSE),0)</f>
        <v/>
      </c>
      <c r="D294" s="9">
        <f>IFERROR(VLOOKUP(A294,_Protheus_Cadastro!$A:$D,4,FALSE),"")</f>
        <v/>
      </c>
      <c r="E294" s="7" t="n"/>
      <c r="F294" s="9" t="inlineStr">
        <is>
          <t>13/05/2026</t>
        </is>
      </c>
    </row>
    <row r="295" ht="15" customHeight="1">
      <c r="A295" s="2" t="inlineStr">
        <is>
          <t>000614</t>
        </is>
      </c>
      <c r="B295" s="3">
        <f>IFERROR(VLOOKUP(A295,_Protheus_Cadastro!$A:$B,2,FALSE),"PENDENTE")</f>
        <v/>
      </c>
      <c r="C295" s="4">
        <f>IFERROR(VLOOKUP(A295,_Protheus_Cadastro!$A:$G,7,FALSE),0)</f>
        <v/>
      </c>
      <c r="D295" s="5">
        <f>IFERROR(VLOOKUP(A295,_Protheus_Cadastro!$A:$D,4,FALSE),"")</f>
        <v/>
      </c>
      <c r="E295" s="3" t="n"/>
      <c r="F295" s="5" t="inlineStr">
        <is>
          <t>13/05/2026</t>
        </is>
      </c>
    </row>
    <row r="296" ht="15" customHeight="1">
      <c r="A296" s="6" t="inlineStr">
        <is>
          <t>000417</t>
        </is>
      </c>
      <c r="B296" s="7">
        <f>IFERROR(VLOOKUP(A296,_Protheus_Cadastro!$A:$B,2,FALSE),"PENDENTE")</f>
        <v/>
      </c>
      <c r="C296" s="8">
        <f>IFERROR(VLOOKUP(A296,_Protheus_Cadastro!$A:$G,7,FALSE),0)</f>
        <v/>
      </c>
      <c r="D296" s="9">
        <f>IFERROR(VLOOKUP(A296,_Protheus_Cadastro!$A:$D,4,FALSE),"")</f>
        <v/>
      </c>
      <c r="E296" s="7" t="n"/>
      <c r="F296" s="9" t="inlineStr">
        <is>
          <t>13/05/2026</t>
        </is>
      </c>
    </row>
    <row r="297" ht="15" customHeight="1">
      <c r="A297" s="2" t="inlineStr">
        <is>
          <t>000484</t>
        </is>
      </c>
      <c r="B297" s="3">
        <f>IFERROR(VLOOKUP(A297,_Protheus_Cadastro!$A:$B,2,FALSE),"PENDENTE")</f>
        <v/>
      </c>
      <c r="C297" s="4">
        <f>IFERROR(VLOOKUP(A297,_Protheus_Cadastro!$A:$G,7,FALSE),0)</f>
        <v/>
      </c>
      <c r="D297" s="5">
        <f>IFERROR(VLOOKUP(A297,_Protheus_Cadastro!$A:$D,4,FALSE),"")</f>
        <v/>
      </c>
      <c r="E297" s="3" t="n"/>
      <c r="F297" s="5" t="inlineStr">
        <is>
          <t>13/05/2026</t>
        </is>
      </c>
    </row>
    <row r="298" ht="15" customHeight="1">
      <c r="A298" s="6" t="inlineStr">
        <is>
          <t>001327</t>
        </is>
      </c>
      <c r="B298" s="7">
        <f>IFERROR(VLOOKUP(A298,_Protheus_Cadastro!$A:$B,2,FALSE),"PENDENTE")</f>
        <v/>
      </c>
      <c r="C298" s="8">
        <f>IFERROR(VLOOKUP(A298,_Protheus_Cadastro!$A:$G,7,FALSE),0)</f>
        <v/>
      </c>
      <c r="D298" s="9">
        <f>IFERROR(VLOOKUP(A298,_Protheus_Cadastro!$A:$D,4,FALSE),"")</f>
        <v/>
      </c>
      <c r="E298" s="7" t="n"/>
      <c r="F298" s="9" t="inlineStr">
        <is>
          <t>13/05/2026</t>
        </is>
      </c>
    </row>
    <row r="299" ht="15" customHeight="1">
      <c r="A299" s="2" t="inlineStr">
        <is>
          <t>001158</t>
        </is>
      </c>
      <c r="B299" s="3">
        <f>IFERROR(VLOOKUP(A299,_Protheus_Cadastro!$A:$B,2,FALSE),"PENDENTE")</f>
        <v/>
      </c>
      <c r="C299" s="4">
        <f>IFERROR(VLOOKUP(A299,_Protheus_Cadastro!$A:$G,7,FALSE),0)</f>
        <v/>
      </c>
      <c r="D299" s="5">
        <f>IFERROR(VLOOKUP(A299,_Protheus_Cadastro!$A:$D,4,FALSE),"")</f>
        <v/>
      </c>
      <c r="E299" s="3" t="n"/>
      <c r="F299" s="5" t="inlineStr">
        <is>
          <t>13/05/2026</t>
        </is>
      </c>
    </row>
    <row r="300" ht="15" customHeight="1">
      <c r="A300" s="6" t="inlineStr">
        <is>
          <t>000316</t>
        </is>
      </c>
      <c r="B300" s="7">
        <f>IFERROR(VLOOKUP(A300,_Protheus_Cadastro!$A:$B,2,FALSE),"PENDENTE")</f>
        <v/>
      </c>
      <c r="C300" s="8">
        <f>IFERROR(VLOOKUP(A300,_Protheus_Cadastro!$A:$G,7,FALSE),0)</f>
        <v/>
      </c>
      <c r="D300" s="9">
        <f>IFERROR(VLOOKUP(A300,_Protheus_Cadastro!$A:$D,4,FALSE),"")</f>
        <v/>
      </c>
      <c r="E300" s="7" t="n"/>
      <c r="F300" s="9" t="inlineStr">
        <is>
          <t>13/05/2026</t>
        </is>
      </c>
    </row>
    <row r="301" ht="15" customHeight="1">
      <c r="A301" s="2" t="inlineStr">
        <is>
          <t>000315</t>
        </is>
      </c>
      <c r="B301" s="3">
        <f>IFERROR(VLOOKUP(A301,_Protheus_Cadastro!$A:$B,2,FALSE),"PENDENTE")</f>
        <v/>
      </c>
      <c r="C301" s="4">
        <f>IFERROR(VLOOKUP(A301,_Protheus_Cadastro!$A:$G,7,FALSE),0)</f>
        <v/>
      </c>
      <c r="D301" s="5">
        <f>IFERROR(VLOOKUP(A301,_Protheus_Cadastro!$A:$D,4,FALSE),"")</f>
        <v/>
      </c>
      <c r="E301" s="3" t="n"/>
      <c r="F301" s="5" t="inlineStr">
        <is>
          <t>13/05/2026</t>
        </is>
      </c>
    </row>
    <row r="302" ht="15" customHeight="1">
      <c r="A302" s="6" t="inlineStr">
        <is>
          <t>001409</t>
        </is>
      </c>
      <c r="B302" s="7">
        <f>IFERROR(VLOOKUP(A302,_Protheus_Cadastro!$A:$B,2,FALSE),"PENDENTE")</f>
        <v/>
      </c>
      <c r="C302" s="8">
        <f>IFERROR(VLOOKUP(A302,_Protheus_Cadastro!$A:$G,7,FALSE),0)</f>
        <v/>
      </c>
      <c r="D302" s="9">
        <f>IFERROR(VLOOKUP(A302,_Protheus_Cadastro!$A:$D,4,FALSE),"")</f>
        <v/>
      </c>
      <c r="E302" s="7" t="n"/>
      <c r="F302" s="9" t="inlineStr">
        <is>
          <t>13/05/2026</t>
        </is>
      </c>
    </row>
    <row r="303" ht="15" customHeight="1">
      <c r="A303" s="2" t="inlineStr">
        <is>
          <t>000363</t>
        </is>
      </c>
      <c r="B303" s="3">
        <f>IFERROR(VLOOKUP(A303,_Protheus_Cadastro!$A:$B,2,FALSE),"PENDENTE")</f>
        <v/>
      </c>
      <c r="C303" s="4">
        <f>IFERROR(VLOOKUP(A303,_Protheus_Cadastro!$A:$G,7,FALSE),0)</f>
        <v/>
      </c>
      <c r="D303" s="5">
        <f>IFERROR(VLOOKUP(A303,_Protheus_Cadastro!$A:$D,4,FALSE),"")</f>
        <v/>
      </c>
      <c r="E303" s="3" t="n"/>
      <c r="F303" s="5" t="inlineStr">
        <is>
          <t>13/05/2026</t>
        </is>
      </c>
    </row>
    <row r="304" ht="15" customHeight="1">
      <c r="A304" s="6" t="inlineStr">
        <is>
          <t>000325</t>
        </is>
      </c>
      <c r="B304" s="7">
        <f>IFERROR(VLOOKUP(A304,_Protheus_Cadastro!$A:$B,2,FALSE),"PENDENTE")</f>
        <v/>
      </c>
      <c r="C304" s="8">
        <f>IFERROR(VLOOKUP(A304,_Protheus_Cadastro!$A:$G,7,FALSE),0)</f>
        <v/>
      </c>
      <c r="D304" s="9">
        <f>IFERROR(VLOOKUP(A304,_Protheus_Cadastro!$A:$D,4,FALSE),"")</f>
        <v/>
      </c>
      <c r="E304" s="7" t="n"/>
      <c r="F304" s="9" t="inlineStr">
        <is>
          <t>13/05/2026</t>
        </is>
      </c>
    </row>
    <row r="305" ht="15" customHeight="1">
      <c r="A305" s="2" t="inlineStr">
        <is>
          <t>001395</t>
        </is>
      </c>
      <c r="B305" s="3">
        <f>IFERROR(VLOOKUP(A305,_Protheus_Cadastro!$A:$B,2,FALSE),"PENDENTE")</f>
        <v/>
      </c>
      <c r="C305" s="4">
        <f>IFERROR(VLOOKUP(A305,_Protheus_Cadastro!$A:$G,7,FALSE),0)</f>
        <v/>
      </c>
      <c r="D305" s="5">
        <f>IFERROR(VLOOKUP(A305,_Protheus_Cadastro!$A:$D,4,FALSE),"")</f>
        <v/>
      </c>
      <c r="E305" s="3" t="n"/>
      <c r="F305" s="5" t="inlineStr">
        <is>
          <t>13/05/2026</t>
        </is>
      </c>
    </row>
    <row r="306" ht="15" customHeight="1">
      <c r="A306" s="6" t="inlineStr">
        <is>
          <t>001926</t>
        </is>
      </c>
      <c r="B306" s="7">
        <f>IFERROR(VLOOKUP(A306,_Protheus_Cadastro!$A:$B,2,FALSE),"PENDENTE")</f>
        <v/>
      </c>
      <c r="C306" s="8">
        <f>IFERROR(VLOOKUP(A306,_Protheus_Cadastro!$A:$G,7,FALSE),0)</f>
        <v/>
      </c>
      <c r="D306" s="9">
        <f>IFERROR(VLOOKUP(A306,_Protheus_Cadastro!$A:$D,4,FALSE),"")</f>
        <v/>
      </c>
      <c r="E306" s="7" t="n"/>
      <c r="F306" s="9" t="inlineStr">
        <is>
          <t>13/05/2026</t>
        </is>
      </c>
    </row>
    <row r="307" ht="15" customHeight="1">
      <c r="A307" s="2" t="inlineStr">
        <is>
          <t>001989</t>
        </is>
      </c>
      <c r="B307" s="3">
        <f>IFERROR(VLOOKUP(A307,_Protheus_Cadastro!$A:$B,2,FALSE),"PENDENTE")</f>
        <v/>
      </c>
      <c r="C307" s="4">
        <f>IFERROR(VLOOKUP(A307,_Protheus_Cadastro!$A:$G,7,FALSE),0)</f>
        <v/>
      </c>
      <c r="D307" s="5">
        <f>IFERROR(VLOOKUP(A307,_Protheus_Cadastro!$A:$D,4,FALSE),"")</f>
        <v/>
      </c>
      <c r="E307" s="3" t="n"/>
      <c r="F307" s="5" t="inlineStr">
        <is>
          <t>13/05/2026</t>
        </is>
      </c>
    </row>
    <row r="308" ht="15" customHeight="1">
      <c r="A308" s="6" t="inlineStr">
        <is>
          <t>001992</t>
        </is>
      </c>
      <c r="B308" s="7">
        <f>IFERROR(VLOOKUP(A308,_Protheus_Cadastro!$A:$B,2,FALSE),"PENDENTE")</f>
        <v/>
      </c>
      <c r="C308" s="8">
        <f>IFERROR(VLOOKUP(A308,_Protheus_Cadastro!$A:$G,7,FALSE),0)</f>
        <v/>
      </c>
      <c r="D308" s="9">
        <f>IFERROR(VLOOKUP(A308,_Protheus_Cadastro!$A:$D,4,FALSE),"")</f>
        <v/>
      </c>
      <c r="E308" s="7" t="n"/>
      <c r="F308" s="9" t="inlineStr">
        <is>
          <t>13/05/2026</t>
        </is>
      </c>
    </row>
    <row r="309" ht="15" customHeight="1">
      <c r="A309" s="2" t="inlineStr">
        <is>
          <t>001990</t>
        </is>
      </c>
      <c r="B309" s="3">
        <f>IFERROR(VLOOKUP(A309,_Protheus_Cadastro!$A:$B,2,FALSE),"PENDENTE")</f>
        <v/>
      </c>
      <c r="C309" s="4">
        <f>IFERROR(VLOOKUP(A309,_Protheus_Cadastro!$A:$G,7,FALSE),0)</f>
        <v/>
      </c>
      <c r="D309" s="5">
        <f>IFERROR(VLOOKUP(A309,_Protheus_Cadastro!$A:$D,4,FALSE),"")</f>
        <v/>
      </c>
      <c r="E309" s="3" t="n"/>
      <c r="F309" s="5" t="inlineStr">
        <is>
          <t>13/05/2026</t>
        </is>
      </c>
    </row>
    <row r="310" ht="15" customHeight="1">
      <c r="A310" s="6" t="inlineStr">
        <is>
          <t>001991</t>
        </is>
      </c>
      <c r="B310" s="7">
        <f>IFERROR(VLOOKUP(A310,_Protheus_Cadastro!$A:$B,2,FALSE),"PENDENTE")</f>
        <v/>
      </c>
      <c r="C310" s="8">
        <f>IFERROR(VLOOKUP(A310,_Protheus_Cadastro!$A:$G,7,FALSE),0)</f>
        <v/>
      </c>
      <c r="D310" s="9">
        <f>IFERROR(VLOOKUP(A310,_Protheus_Cadastro!$A:$D,4,FALSE),"")</f>
        <v/>
      </c>
      <c r="E310" s="7" t="n"/>
      <c r="F310" s="9" t="inlineStr">
        <is>
          <t>13/05/2026</t>
        </is>
      </c>
    </row>
    <row r="311" ht="15" customHeight="1">
      <c r="A311" s="2" t="inlineStr">
        <is>
          <t>000322</t>
        </is>
      </c>
      <c r="B311" s="3">
        <f>IFERROR(VLOOKUP(A311,_Protheus_Cadastro!$A:$B,2,FALSE),"PENDENTE")</f>
        <v/>
      </c>
      <c r="C311" s="4">
        <f>IFERROR(VLOOKUP(A311,_Protheus_Cadastro!$A:$G,7,FALSE),0)</f>
        <v/>
      </c>
      <c r="D311" s="5">
        <f>IFERROR(VLOOKUP(A311,_Protheus_Cadastro!$A:$D,4,FALSE),"")</f>
        <v/>
      </c>
      <c r="E311" s="3" t="n"/>
      <c r="F311" s="5" t="inlineStr">
        <is>
          <t>13/05/2026</t>
        </is>
      </c>
    </row>
    <row r="312" ht="15" customHeight="1">
      <c r="A312" s="6" t="inlineStr">
        <is>
          <t>001919</t>
        </is>
      </c>
      <c r="B312" s="7">
        <f>IFERROR(VLOOKUP(A312,_Protheus_Cadastro!$A:$B,2,FALSE),"PENDENTE")</f>
        <v/>
      </c>
      <c r="C312" s="8">
        <f>IFERROR(VLOOKUP(A312,_Protheus_Cadastro!$A:$G,7,FALSE),0)</f>
        <v/>
      </c>
      <c r="D312" s="9">
        <f>IFERROR(VLOOKUP(A312,_Protheus_Cadastro!$A:$D,4,FALSE),"")</f>
        <v/>
      </c>
      <c r="E312" s="7" t="n"/>
      <c r="F312" s="9" t="inlineStr">
        <is>
          <t>13/05/2026</t>
        </is>
      </c>
    </row>
    <row r="313" ht="15" customHeight="1">
      <c r="A313" s="2" t="inlineStr">
        <is>
          <t>000413</t>
        </is>
      </c>
      <c r="B313" s="3">
        <f>IFERROR(VLOOKUP(A313,_Protheus_Cadastro!$A:$B,2,FALSE),"PENDENTE")</f>
        <v/>
      </c>
      <c r="C313" s="4">
        <f>IFERROR(VLOOKUP(A313,_Protheus_Cadastro!$A:$G,7,FALSE),0)</f>
        <v/>
      </c>
      <c r="D313" s="5">
        <f>IFERROR(VLOOKUP(A313,_Protheus_Cadastro!$A:$D,4,FALSE),"")</f>
        <v/>
      </c>
      <c r="E313" s="3" t="n"/>
      <c r="F313" s="5" t="inlineStr">
        <is>
          <t>13/05/2026</t>
        </is>
      </c>
    </row>
    <row r="314" ht="15" customHeight="1">
      <c r="A314" s="6" t="inlineStr">
        <is>
          <t>000496</t>
        </is>
      </c>
      <c r="B314" s="7">
        <f>IFERROR(VLOOKUP(A314,_Protheus_Cadastro!$A:$B,2,FALSE),"PENDENTE")</f>
        <v/>
      </c>
      <c r="C314" s="8">
        <f>IFERROR(VLOOKUP(A314,_Protheus_Cadastro!$A:$G,7,FALSE),0)</f>
        <v/>
      </c>
      <c r="D314" s="9">
        <f>IFERROR(VLOOKUP(A314,_Protheus_Cadastro!$A:$D,4,FALSE),"")</f>
        <v/>
      </c>
      <c r="E314" s="7" t="n"/>
      <c r="F314" s="9" t="inlineStr">
        <is>
          <t>13/05/2026</t>
        </is>
      </c>
    </row>
    <row r="315" ht="15" customHeight="1">
      <c r="A315" s="2" t="inlineStr">
        <is>
          <t>000495</t>
        </is>
      </c>
      <c r="B315" s="3">
        <f>IFERROR(VLOOKUP(A315,_Protheus_Cadastro!$A:$B,2,FALSE),"PENDENTE")</f>
        <v/>
      </c>
      <c r="C315" s="4">
        <f>IFERROR(VLOOKUP(A315,_Protheus_Cadastro!$A:$G,7,FALSE),0)</f>
        <v/>
      </c>
      <c r="D315" s="5">
        <f>IFERROR(VLOOKUP(A315,_Protheus_Cadastro!$A:$D,4,FALSE),"")</f>
        <v/>
      </c>
      <c r="E315" s="3" t="n"/>
      <c r="F315" s="5" t="inlineStr">
        <is>
          <t>13/05/2026</t>
        </is>
      </c>
    </row>
    <row r="316" ht="15" customHeight="1">
      <c r="A316" s="6" t="inlineStr">
        <is>
          <t>000365</t>
        </is>
      </c>
      <c r="B316" s="7">
        <f>IFERROR(VLOOKUP(A316,_Protheus_Cadastro!$A:$B,2,FALSE),"PENDENTE")</f>
        <v/>
      </c>
      <c r="C316" s="8">
        <f>IFERROR(VLOOKUP(A316,_Protheus_Cadastro!$A:$G,7,FALSE),0)</f>
        <v/>
      </c>
      <c r="D316" s="9">
        <f>IFERROR(VLOOKUP(A316,_Protheus_Cadastro!$A:$D,4,FALSE),"")</f>
        <v/>
      </c>
      <c r="E316" s="7" t="n"/>
      <c r="F316" s="9" t="inlineStr">
        <is>
          <t>13/05/2026</t>
        </is>
      </c>
    </row>
    <row r="317" ht="15" customHeight="1">
      <c r="A317" s="2" t="inlineStr">
        <is>
          <t>000366</t>
        </is>
      </c>
      <c r="B317" s="3">
        <f>IFERROR(VLOOKUP(A317,_Protheus_Cadastro!$A:$B,2,FALSE),"PENDENTE")</f>
        <v/>
      </c>
      <c r="C317" s="4">
        <f>IFERROR(VLOOKUP(A317,_Protheus_Cadastro!$A:$G,7,FALSE),0)</f>
        <v/>
      </c>
      <c r="D317" s="5">
        <f>IFERROR(VLOOKUP(A317,_Protheus_Cadastro!$A:$D,4,FALSE),"")</f>
        <v/>
      </c>
      <c r="E317" s="3" t="n"/>
      <c r="F317" s="5" t="inlineStr">
        <is>
          <t>13/05/2026</t>
        </is>
      </c>
    </row>
    <row r="318" ht="15" customHeight="1">
      <c r="A318" s="6" t="inlineStr">
        <is>
          <t>000445</t>
        </is>
      </c>
      <c r="B318" s="7">
        <f>IFERROR(VLOOKUP(A318,_Protheus_Cadastro!$A:$B,2,FALSE),"PENDENTE")</f>
        <v/>
      </c>
      <c r="C318" s="8">
        <f>IFERROR(VLOOKUP(A318,_Protheus_Cadastro!$A:$G,7,FALSE),0)</f>
        <v/>
      </c>
      <c r="D318" s="9">
        <f>IFERROR(VLOOKUP(A318,_Protheus_Cadastro!$A:$D,4,FALSE),"")</f>
        <v/>
      </c>
      <c r="E318" s="7" t="n"/>
      <c r="F318" s="9" t="inlineStr">
        <is>
          <t>13/05/2026</t>
        </is>
      </c>
    </row>
    <row r="319" ht="15" customHeight="1">
      <c r="A319" s="2" t="inlineStr">
        <is>
          <t>000485</t>
        </is>
      </c>
      <c r="B319" s="3">
        <f>IFERROR(VLOOKUP(A319,_Protheus_Cadastro!$A:$B,2,FALSE),"PENDENTE")</f>
        <v/>
      </c>
      <c r="C319" s="4">
        <f>IFERROR(VLOOKUP(A319,_Protheus_Cadastro!$A:$G,7,FALSE),0)</f>
        <v/>
      </c>
      <c r="D319" s="5">
        <f>IFERROR(VLOOKUP(A319,_Protheus_Cadastro!$A:$D,4,FALSE),"")</f>
        <v/>
      </c>
      <c r="E319" s="3" t="n"/>
      <c r="F319" s="5" t="inlineStr">
        <is>
          <t>13/05/2026</t>
        </is>
      </c>
    </row>
    <row r="320" ht="15" customHeight="1">
      <c r="A320" s="6" t="inlineStr">
        <is>
          <t>000486</t>
        </is>
      </c>
      <c r="B320" s="7">
        <f>IFERROR(VLOOKUP(A320,_Protheus_Cadastro!$A:$B,2,FALSE),"PENDENTE")</f>
        <v/>
      </c>
      <c r="C320" s="8">
        <f>IFERROR(VLOOKUP(A320,_Protheus_Cadastro!$A:$G,7,FALSE),0)</f>
        <v/>
      </c>
      <c r="D320" s="9">
        <f>IFERROR(VLOOKUP(A320,_Protheus_Cadastro!$A:$D,4,FALSE),"")</f>
        <v/>
      </c>
      <c r="E320" s="7" t="n"/>
      <c r="F320" s="9" t="inlineStr">
        <is>
          <t>13/05/2026</t>
        </is>
      </c>
    </row>
    <row r="321" ht="15" customHeight="1">
      <c r="A321" s="2" t="inlineStr">
        <is>
          <t>000444</t>
        </is>
      </c>
      <c r="B321" s="3">
        <f>IFERROR(VLOOKUP(A321,_Protheus_Cadastro!$A:$B,2,FALSE),"PENDENTE")</f>
        <v/>
      </c>
      <c r="C321" s="4">
        <f>IFERROR(VLOOKUP(A321,_Protheus_Cadastro!$A:$G,7,FALSE),0)</f>
        <v/>
      </c>
      <c r="D321" s="5">
        <f>IFERROR(VLOOKUP(A321,_Protheus_Cadastro!$A:$D,4,FALSE),"")</f>
        <v/>
      </c>
      <c r="E321" s="3" t="n"/>
      <c r="F321" s="5" t="inlineStr">
        <is>
          <t>13/05/2026</t>
        </is>
      </c>
    </row>
    <row r="322" ht="15" customHeight="1">
      <c r="A322" s="6" t="inlineStr">
        <is>
          <t>000667</t>
        </is>
      </c>
      <c r="B322" s="7">
        <f>IFERROR(VLOOKUP(A322,_Protheus_Cadastro!$A:$B,2,FALSE),"PENDENTE")</f>
        <v/>
      </c>
      <c r="C322" s="8">
        <f>IFERROR(VLOOKUP(A322,_Protheus_Cadastro!$A:$G,7,FALSE),0)</f>
        <v/>
      </c>
      <c r="D322" s="9">
        <f>IFERROR(VLOOKUP(A322,_Protheus_Cadastro!$A:$D,4,FALSE),"")</f>
        <v/>
      </c>
      <c r="E322" s="7" t="n"/>
      <c r="F322" s="9" t="inlineStr">
        <is>
          <t>13/05/2026</t>
        </is>
      </c>
    </row>
    <row r="323" ht="15" customHeight="1">
      <c r="A323" s="2" t="inlineStr">
        <is>
          <t>000318</t>
        </is>
      </c>
      <c r="B323" s="3">
        <f>IFERROR(VLOOKUP(A323,_Protheus_Cadastro!$A:$B,2,FALSE),"PENDENTE")</f>
        <v/>
      </c>
      <c r="C323" s="4">
        <f>IFERROR(VLOOKUP(A323,_Protheus_Cadastro!$A:$G,7,FALSE),0)</f>
        <v/>
      </c>
      <c r="D323" s="5">
        <f>IFERROR(VLOOKUP(A323,_Protheus_Cadastro!$A:$D,4,FALSE),"")</f>
        <v/>
      </c>
      <c r="E323" s="3" t="n"/>
      <c r="F323" s="5" t="inlineStr">
        <is>
          <t>13/05/2026</t>
        </is>
      </c>
    </row>
    <row r="324" ht="15" customHeight="1">
      <c r="A324" s="6" t="inlineStr">
        <is>
          <t>000317</t>
        </is>
      </c>
      <c r="B324" s="7">
        <f>IFERROR(VLOOKUP(A324,_Protheus_Cadastro!$A:$B,2,FALSE),"PENDENTE")</f>
        <v/>
      </c>
      <c r="C324" s="8">
        <f>IFERROR(VLOOKUP(A324,_Protheus_Cadastro!$A:$G,7,FALSE),0)</f>
        <v/>
      </c>
      <c r="D324" s="9">
        <f>IFERROR(VLOOKUP(A324,_Protheus_Cadastro!$A:$D,4,FALSE),"")</f>
        <v/>
      </c>
      <c r="E324" s="7" t="n"/>
      <c r="F324" s="9" t="inlineStr">
        <is>
          <t>13/05/2026</t>
        </is>
      </c>
    </row>
    <row r="325" ht="15" customHeight="1">
      <c r="A325" s="2" t="inlineStr">
        <is>
          <t>001379</t>
        </is>
      </c>
      <c r="B325" s="3">
        <f>IFERROR(VLOOKUP(A325,_Protheus_Cadastro!$A:$B,2,FALSE),"PENDENTE")</f>
        <v/>
      </c>
      <c r="C325" s="4">
        <f>IFERROR(VLOOKUP(A325,_Protheus_Cadastro!$A:$G,7,FALSE),0)</f>
        <v/>
      </c>
      <c r="D325" s="5">
        <f>IFERROR(VLOOKUP(A325,_Protheus_Cadastro!$A:$D,4,FALSE),"")</f>
        <v/>
      </c>
      <c r="E325" s="3" t="n"/>
      <c r="F325" s="5" t="inlineStr">
        <is>
          <t>13/05/2026</t>
        </is>
      </c>
    </row>
    <row r="326" ht="15" customHeight="1">
      <c r="A326" s="6" t="inlineStr">
        <is>
          <t>000501</t>
        </is>
      </c>
      <c r="B326" s="7">
        <f>IFERROR(VLOOKUP(A326,_Protheus_Cadastro!$A:$B,2,FALSE),"PENDENTE")</f>
        <v/>
      </c>
      <c r="C326" s="8">
        <f>IFERROR(VLOOKUP(A326,_Protheus_Cadastro!$A:$G,7,FALSE),0)</f>
        <v/>
      </c>
      <c r="D326" s="9">
        <f>IFERROR(VLOOKUP(A326,_Protheus_Cadastro!$A:$D,4,FALSE),"")</f>
        <v/>
      </c>
      <c r="E326" s="7" t="n"/>
      <c r="F326" s="9" t="inlineStr">
        <is>
          <t>13/05/2026</t>
        </is>
      </c>
    </row>
    <row r="327" ht="15" customHeight="1">
      <c r="A327" s="2" t="inlineStr">
        <is>
          <t>000981</t>
        </is>
      </c>
      <c r="B327" s="3">
        <f>IFERROR(VLOOKUP(A327,_Protheus_Cadastro!$A:$B,2,FALSE),"PENDENTE")</f>
        <v/>
      </c>
      <c r="C327" s="4">
        <f>IFERROR(VLOOKUP(A327,_Protheus_Cadastro!$A:$G,7,FALSE),0)</f>
        <v/>
      </c>
      <c r="D327" s="5">
        <f>IFERROR(VLOOKUP(A327,_Protheus_Cadastro!$A:$D,4,FALSE),"")</f>
        <v/>
      </c>
      <c r="E327" s="3" t="n"/>
      <c r="F327" s="5" t="inlineStr">
        <is>
          <t>13/05/2026</t>
        </is>
      </c>
    </row>
    <row r="328" ht="15" customHeight="1">
      <c r="A328" s="6" t="inlineStr">
        <is>
          <t>000982</t>
        </is>
      </c>
      <c r="B328" s="7">
        <f>IFERROR(VLOOKUP(A328,_Protheus_Cadastro!$A:$B,2,FALSE),"PENDENTE")</f>
        <v/>
      </c>
      <c r="C328" s="8">
        <f>IFERROR(VLOOKUP(A328,_Protheus_Cadastro!$A:$G,7,FALSE),0)</f>
        <v/>
      </c>
      <c r="D328" s="9">
        <f>IFERROR(VLOOKUP(A328,_Protheus_Cadastro!$A:$D,4,FALSE),"")</f>
        <v/>
      </c>
      <c r="E328" s="7" t="n"/>
      <c r="F328" s="9" t="inlineStr">
        <is>
          <t>13/05/2026</t>
        </is>
      </c>
    </row>
    <row r="329" ht="15" customHeight="1">
      <c r="A329" s="2" t="inlineStr">
        <is>
          <t>000500</t>
        </is>
      </c>
      <c r="B329" s="3">
        <f>IFERROR(VLOOKUP(A329,_Protheus_Cadastro!$A:$B,2,FALSE),"PENDENTE")</f>
        <v/>
      </c>
      <c r="C329" s="4">
        <f>IFERROR(VLOOKUP(A329,_Protheus_Cadastro!$A:$G,7,FALSE),0)</f>
        <v/>
      </c>
      <c r="D329" s="5">
        <f>IFERROR(VLOOKUP(A329,_Protheus_Cadastro!$A:$D,4,FALSE),"")</f>
        <v/>
      </c>
      <c r="E329" s="3" t="n"/>
      <c r="F329" s="5" t="inlineStr">
        <is>
          <t>13/05/2026</t>
        </is>
      </c>
    </row>
    <row r="330" ht="15" customHeight="1">
      <c r="A330" s="6" t="inlineStr">
        <is>
          <t>000349</t>
        </is>
      </c>
      <c r="B330" s="7">
        <f>IFERROR(VLOOKUP(A330,_Protheus_Cadastro!$A:$B,2,FALSE),"PENDENTE")</f>
        <v/>
      </c>
      <c r="C330" s="8">
        <f>IFERROR(VLOOKUP(A330,_Protheus_Cadastro!$A:$G,7,FALSE),0)</f>
        <v/>
      </c>
      <c r="D330" s="9">
        <f>IFERROR(VLOOKUP(A330,_Protheus_Cadastro!$A:$D,4,FALSE),"")</f>
        <v/>
      </c>
      <c r="E330" s="7" t="n"/>
      <c r="F330" s="9" t="inlineStr">
        <is>
          <t>13/05/2026</t>
        </is>
      </c>
    </row>
    <row r="331" ht="15" customHeight="1">
      <c r="A331" s="2" t="inlineStr">
        <is>
          <t>000360</t>
        </is>
      </c>
      <c r="B331" s="3">
        <f>IFERROR(VLOOKUP(A331,_Protheus_Cadastro!$A:$B,2,FALSE),"PENDENTE")</f>
        <v/>
      </c>
      <c r="C331" s="4">
        <f>IFERROR(VLOOKUP(A331,_Protheus_Cadastro!$A:$G,7,FALSE),0)</f>
        <v/>
      </c>
      <c r="D331" s="5">
        <f>IFERROR(VLOOKUP(A331,_Protheus_Cadastro!$A:$D,4,FALSE),"")</f>
        <v/>
      </c>
      <c r="E331" s="3" t="n"/>
      <c r="F331" s="5" t="inlineStr">
        <is>
          <t>13/05/2026</t>
        </is>
      </c>
    </row>
    <row r="332" ht="15" customHeight="1">
      <c r="A332" s="6" t="inlineStr">
        <is>
          <t>000424</t>
        </is>
      </c>
      <c r="B332" s="7">
        <f>IFERROR(VLOOKUP(A332,_Protheus_Cadastro!$A:$B,2,FALSE),"PENDENTE")</f>
        <v/>
      </c>
      <c r="C332" s="8">
        <f>IFERROR(VLOOKUP(A332,_Protheus_Cadastro!$A:$G,7,FALSE),0)</f>
        <v/>
      </c>
      <c r="D332" s="9">
        <f>IFERROR(VLOOKUP(A332,_Protheus_Cadastro!$A:$D,4,FALSE),"")</f>
        <v/>
      </c>
      <c r="E332" s="7" t="n"/>
      <c r="F332" s="9" t="inlineStr">
        <is>
          <t>13/05/2026</t>
        </is>
      </c>
    </row>
    <row r="333" ht="15" customHeight="1">
      <c r="A333" s="2" t="inlineStr">
        <is>
          <t>002250</t>
        </is>
      </c>
      <c r="B333" s="3">
        <f>IFERROR(VLOOKUP(A333,_Protheus_Cadastro!$A:$B,2,FALSE),"PENDENTE")</f>
        <v/>
      </c>
      <c r="C333" s="4">
        <f>IFERROR(VLOOKUP(A333,_Protheus_Cadastro!$A:$G,7,FALSE),0)</f>
        <v/>
      </c>
      <c r="D333" s="5">
        <f>IFERROR(VLOOKUP(A333,_Protheus_Cadastro!$A:$D,4,FALSE),"")</f>
        <v/>
      </c>
      <c r="E333" s="3" t="n"/>
      <c r="F333" s="5" t="inlineStr">
        <is>
          <t>13/05/2026</t>
        </is>
      </c>
    </row>
    <row r="334" ht="15" customHeight="1">
      <c r="A334" s="6" t="inlineStr">
        <is>
          <t>000371</t>
        </is>
      </c>
      <c r="B334" s="7">
        <f>IFERROR(VLOOKUP(A334,_Protheus_Cadastro!$A:$B,2,FALSE),"PENDENTE")</f>
        <v/>
      </c>
      <c r="C334" s="8">
        <f>IFERROR(VLOOKUP(A334,_Protheus_Cadastro!$A:$G,7,FALSE),0)</f>
        <v/>
      </c>
      <c r="D334" s="9">
        <f>IFERROR(VLOOKUP(A334,_Protheus_Cadastro!$A:$D,4,FALSE),"")</f>
        <v/>
      </c>
      <c r="E334" s="7" t="n"/>
      <c r="F334" s="9" t="inlineStr">
        <is>
          <t>13/05/2026</t>
        </is>
      </c>
    </row>
    <row r="335" ht="15" customHeight="1">
      <c r="A335" s="2" t="inlineStr">
        <is>
          <t>009526</t>
        </is>
      </c>
      <c r="B335" s="3">
        <f>IFERROR(VLOOKUP(A335,_Protheus_Cadastro!$A:$B,2,FALSE),"PENDENTE")</f>
        <v/>
      </c>
      <c r="C335" s="4">
        <f>IFERROR(VLOOKUP(A335,_Protheus_Cadastro!$A:$G,7,FALSE),0)</f>
        <v/>
      </c>
      <c r="D335" s="5">
        <f>IFERROR(VLOOKUP(A335,_Protheus_Cadastro!$A:$D,4,FALSE),"")</f>
        <v/>
      </c>
      <c r="E335" s="3" t="n"/>
      <c r="F335" s="5" t="inlineStr">
        <is>
          <t>13/05/2026</t>
        </is>
      </c>
    </row>
    <row r="336" ht="15" customHeight="1">
      <c r="A336" s="6" t="inlineStr">
        <is>
          <t>009525</t>
        </is>
      </c>
      <c r="B336" s="7">
        <f>IFERROR(VLOOKUP(A336,_Protheus_Cadastro!$A:$B,2,FALSE),"PENDENTE")</f>
        <v/>
      </c>
      <c r="C336" s="8">
        <f>IFERROR(VLOOKUP(A336,_Protheus_Cadastro!$A:$G,7,FALSE),0)</f>
        <v/>
      </c>
      <c r="D336" s="9">
        <f>IFERROR(VLOOKUP(A336,_Protheus_Cadastro!$A:$D,4,FALSE),"")</f>
        <v/>
      </c>
      <c r="E336" s="7" t="n"/>
      <c r="F336" s="9" t="inlineStr">
        <is>
          <t>13/05/2026</t>
        </is>
      </c>
    </row>
    <row r="337" ht="15" customHeight="1">
      <c r="A337" s="2" t="inlineStr">
        <is>
          <t>001387</t>
        </is>
      </c>
      <c r="B337" s="3">
        <f>IFERROR(VLOOKUP(A337,_Protheus_Cadastro!$A:$B,2,FALSE),"PENDENTE")</f>
        <v/>
      </c>
      <c r="C337" s="4">
        <f>IFERROR(VLOOKUP(A337,_Protheus_Cadastro!$A:$G,7,FALSE),0)</f>
        <v/>
      </c>
      <c r="D337" s="5">
        <f>IFERROR(VLOOKUP(A337,_Protheus_Cadastro!$A:$D,4,FALSE),"")</f>
        <v/>
      </c>
      <c r="E337" s="3" t="n"/>
      <c r="F337" s="5" t="inlineStr">
        <is>
          <t>13/05/2026</t>
        </is>
      </c>
    </row>
    <row r="338" ht="15" customHeight="1">
      <c r="A338" s="6" t="inlineStr">
        <is>
          <t>001388</t>
        </is>
      </c>
      <c r="B338" s="7">
        <f>IFERROR(VLOOKUP(A338,_Protheus_Cadastro!$A:$B,2,FALSE),"PENDENTE")</f>
        <v/>
      </c>
      <c r="C338" s="8">
        <f>IFERROR(VLOOKUP(A338,_Protheus_Cadastro!$A:$G,7,FALSE),0)</f>
        <v/>
      </c>
      <c r="D338" s="9">
        <f>IFERROR(VLOOKUP(A338,_Protheus_Cadastro!$A:$D,4,FALSE),"")</f>
        <v/>
      </c>
      <c r="E338" s="7" t="n"/>
      <c r="F338" s="9" t="inlineStr">
        <is>
          <t>13/05/2026</t>
        </is>
      </c>
    </row>
    <row r="339" ht="15" customHeight="1">
      <c r="A339" s="2" t="inlineStr">
        <is>
          <t>002247</t>
        </is>
      </c>
      <c r="B339" s="3">
        <f>IFERROR(VLOOKUP(A339,_Protheus_Cadastro!$A:$B,2,FALSE),"PENDENTE")</f>
        <v/>
      </c>
      <c r="C339" s="4">
        <f>IFERROR(VLOOKUP(A339,_Protheus_Cadastro!$A:$G,7,FALSE),0)</f>
        <v/>
      </c>
      <c r="D339" s="5">
        <f>IFERROR(VLOOKUP(A339,_Protheus_Cadastro!$A:$D,4,FALSE),"")</f>
        <v/>
      </c>
      <c r="E339" s="3" t="n"/>
      <c r="F339" s="5" t="inlineStr">
        <is>
          <t>13/05/2026</t>
        </is>
      </c>
    </row>
    <row r="340" ht="15" customHeight="1">
      <c r="A340" s="6" t="inlineStr">
        <is>
          <t>009534</t>
        </is>
      </c>
      <c r="B340" s="7">
        <f>IFERROR(VLOOKUP(A340,_Protheus_Cadastro!$A:$B,2,FALSE),"PENDENTE")</f>
        <v/>
      </c>
      <c r="C340" s="8">
        <f>IFERROR(VLOOKUP(A340,_Protheus_Cadastro!$A:$G,7,FALSE),0)</f>
        <v/>
      </c>
      <c r="D340" s="9">
        <f>IFERROR(VLOOKUP(A340,_Protheus_Cadastro!$A:$D,4,FALSE),"")</f>
        <v/>
      </c>
      <c r="E340" s="7" t="n"/>
      <c r="F340" s="9" t="inlineStr">
        <is>
          <t>13/05/2026</t>
        </is>
      </c>
    </row>
    <row r="341" ht="15" customHeight="1">
      <c r="A341" s="2" t="inlineStr">
        <is>
          <t>009520</t>
        </is>
      </c>
      <c r="B341" s="3">
        <f>IFERROR(VLOOKUP(A341,_Protheus_Cadastro!$A:$B,2,FALSE),"PENDENTE")</f>
        <v/>
      </c>
      <c r="C341" s="4">
        <f>IFERROR(VLOOKUP(A341,_Protheus_Cadastro!$A:$G,7,FALSE),0)</f>
        <v/>
      </c>
      <c r="D341" s="5">
        <f>IFERROR(VLOOKUP(A341,_Protheus_Cadastro!$A:$D,4,FALSE),"")</f>
        <v/>
      </c>
      <c r="E341" s="3" t="n"/>
      <c r="F341" s="5" t="inlineStr">
        <is>
          <t>13/05/2026</t>
        </is>
      </c>
    </row>
    <row r="342" ht="15" customHeight="1">
      <c r="A342" s="6" t="inlineStr">
        <is>
          <t>001311</t>
        </is>
      </c>
      <c r="B342" s="7">
        <f>IFERROR(VLOOKUP(A342,_Protheus_Cadastro!$A:$B,2,FALSE),"PENDENTE")</f>
        <v/>
      </c>
      <c r="C342" s="8">
        <f>IFERROR(VLOOKUP(A342,_Protheus_Cadastro!$A:$G,7,FALSE),0)</f>
        <v/>
      </c>
      <c r="D342" s="9">
        <f>IFERROR(VLOOKUP(A342,_Protheus_Cadastro!$A:$D,4,FALSE),"")</f>
        <v/>
      </c>
      <c r="E342" s="7" t="n"/>
      <c r="F342" s="9" t="inlineStr">
        <is>
          <t>13/05/2026</t>
        </is>
      </c>
    </row>
    <row r="343" ht="15" customHeight="1">
      <c r="A343" s="2" t="inlineStr">
        <is>
          <t>009522</t>
        </is>
      </c>
      <c r="B343" s="3">
        <f>IFERROR(VLOOKUP(A343,_Protheus_Cadastro!$A:$B,2,FALSE),"PENDENTE")</f>
        <v/>
      </c>
      <c r="C343" s="4">
        <f>IFERROR(VLOOKUP(A343,_Protheus_Cadastro!$A:$G,7,FALSE),0)</f>
        <v/>
      </c>
      <c r="D343" s="5">
        <f>IFERROR(VLOOKUP(A343,_Protheus_Cadastro!$A:$D,4,FALSE),"")</f>
        <v/>
      </c>
      <c r="E343" s="3" t="n"/>
      <c r="F343" s="5" t="inlineStr">
        <is>
          <t>13/05/2026</t>
        </is>
      </c>
    </row>
    <row r="344" ht="15" customHeight="1">
      <c r="A344" s="6" t="inlineStr">
        <is>
          <t>000270</t>
        </is>
      </c>
      <c r="B344" s="7">
        <f>IFERROR(VLOOKUP(A344,_Protheus_Cadastro!$A:$B,2,FALSE),"PENDENTE")</f>
        <v/>
      </c>
      <c r="C344" s="8">
        <f>IFERROR(VLOOKUP(A344,_Protheus_Cadastro!$A:$G,7,FALSE),0)</f>
        <v/>
      </c>
      <c r="D344" s="9">
        <f>IFERROR(VLOOKUP(A344,_Protheus_Cadastro!$A:$D,4,FALSE),"")</f>
        <v/>
      </c>
      <c r="E344" s="7" t="n"/>
      <c r="F344" s="9" t="inlineStr">
        <is>
          <t>13/05/2026</t>
        </is>
      </c>
    </row>
    <row r="345" ht="15" customHeight="1">
      <c r="A345" s="2" t="inlineStr">
        <is>
          <t>000271</t>
        </is>
      </c>
      <c r="B345" s="3">
        <f>IFERROR(VLOOKUP(A345,_Protheus_Cadastro!$A:$B,2,FALSE),"PENDENTE")</f>
        <v/>
      </c>
      <c r="C345" s="4">
        <f>IFERROR(VLOOKUP(A345,_Protheus_Cadastro!$A:$G,7,FALSE),0)</f>
        <v/>
      </c>
      <c r="D345" s="5">
        <f>IFERROR(VLOOKUP(A345,_Protheus_Cadastro!$A:$D,4,FALSE),"")</f>
        <v/>
      </c>
      <c r="E345" s="3" t="n"/>
      <c r="F345" s="5" t="inlineStr">
        <is>
          <t>13/05/2026</t>
        </is>
      </c>
    </row>
    <row r="346" ht="15" customHeight="1">
      <c r="A346" s="6" t="inlineStr">
        <is>
          <t>009521</t>
        </is>
      </c>
      <c r="B346" s="7">
        <f>IFERROR(VLOOKUP(A346,_Protheus_Cadastro!$A:$B,2,FALSE),"PENDENTE")</f>
        <v/>
      </c>
      <c r="C346" s="8">
        <f>IFERROR(VLOOKUP(A346,_Protheus_Cadastro!$A:$G,7,FALSE),0)</f>
        <v/>
      </c>
      <c r="D346" s="9">
        <f>IFERROR(VLOOKUP(A346,_Protheus_Cadastro!$A:$D,4,FALSE),"")</f>
        <v/>
      </c>
      <c r="E346" s="7" t="n"/>
      <c r="F346" s="9" t="inlineStr">
        <is>
          <t>13/05/2026</t>
        </is>
      </c>
    </row>
    <row r="347" ht="15" customHeight="1">
      <c r="A347" s="2" t="inlineStr">
        <is>
          <t>000272</t>
        </is>
      </c>
      <c r="B347" s="3">
        <f>IFERROR(VLOOKUP(A347,_Protheus_Cadastro!$A:$B,2,FALSE),"PENDENTE")</f>
        <v/>
      </c>
      <c r="C347" s="4">
        <f>IFERROR(VLOOKUP(A347,_Protheus_Cadastro!$A:$G,7,FALSE),0)</f>
        <v/>
      </c>
      <c r="D347" s="5">
        <f>IFERROR(VLOOKUP(A347,_Protheus_Cadastro!$A:$D,4,FALSE),"")</f>
        <v/>
      </c>
      <c r="E347" s="3" t="n"/>
      <c r="F347" s="5" t="inlineStr">
        <is>
          <t>13/05/2026</t>
        </is>
      </c>
    </row>
    <row r="348" ht="15" customHeight="1">
      <c r="A348" s="6" t="inlineStr">
        <is>
          <t>000273</t>
        </is>
      </c>
      <c r="B348" s="7">
        <f>IFERROR(VLOOKUP(A348,_Protheus_Cadastro!$A:$B,2,FALSE),"PENDENTE")</f>
        <v/>
      </c>
      <c r="C348" s="8">
        <f>IFERROR(VLOOKUP(A348,_Protheus_Cadastro!$A:$G,7,FALSE),0)</f>
        <v/>
      </c>
      <c r="D348" s="9">
        <f>IFERROR(VLOOKUP(A348,_Protheus_Cadastro!$A:$D,4,FALSE),"")</f>
        <v/>
      </c>
      <c r="E348" s="7" t="n"/>
      <c r="F348" s="9" t="inlineStr">
        <is>
          <t>13/05/2026</t>
        </is>
      </c>
    </row>
    <row r="349" ht="15" customHeight="1">
      <c r="A349" s="2" t="inlineStr">
        <is>
          <t>009523</t>
        </is>
      </c>
      <c r="B349" s="3">
        <f>IFERROR(VLOOKUP(A349,_Protheus_Cadastro!$A:$B,2,FALSE),"PENDENTE")</f>
        <v/>
      </c>
      <c r="C349" s="4">
        <f>IFERROR(VLOOKUP(A349,_Protheus_Cadastro!$A:$G,7,FALSE),0)</f>
        <v/>
      </c>
      <c r="D349" s="5">
        <f>IFERROR(VLOOKUP(A349,_Protheus_Cadastro!$A:$D,4,FALSE),"")</f>
        <v/>
      </c>
      <c r="E349" s="3" t="n"/>
      <c r="F349" s="5" t="inlineStr">
        <is>
          <t>13/05/2026</t>
        </is>
      </c>
    </row>
    <row r="350" ht="15" customHeight="1">
      <c r="A350" s="6" t="inlineStr">
        <is>
          <t>009524</t>
        </is>
      </c>
      <c r="B350" s="7">
        <f>IFERROR(VLOOKUP(A350,_Protheus_Cadastro!$A:$B,2,FALSE),"PENDENTE")</f>
        <v/>
      </c>
      <c r="C350" s="8">
        <f>IFERROR(VLOOKUP(A350,_Protheus_Cadastro!$A:$G,7,FALSE),0)</f>
        <v/>
      </c>
      <c r="D350" s="9">
        <f>IFERROR(VLOOKUP(A350,_Protheus_Cadastro!$A:$D,4,FALSE),"")</f>
        <v/>
      </c>
      <c r="E350" s="7" t="n"/>
      <c r="F350" s="9" t="inlineStr">
        <is>
          <t>13/05/2026</t>
        </is>
      </c>
    </row>
    <row r="351" ht="15" customHeight="1">
      <c r="A351" s="2" t="inlineStr">
        <is>
          <t>009529</t>
        </is>
      </c>
      <c r="B351" s="3">
        <f>IFERROR(VLOOKUP(A351,_Protheus_Cadastro!$A:$B,2,FALSE),"PENDENTE")</f>
        <v/>
      </c>
      <c r="C351" s="4">
        <f>IFERROR(VLOOKUP(A351,_Protheus_Cadastro!$A:$G,7,FALSE),0)</f>
        <v/>
      </c>
      <c r="D351" s="5">
        <f>IFERROR(VLOOKUP(A351,_Protheus_Cadastro!$A:$D,4,FALSE),"")</f>
        <v/>
      </c>
      <c r="E351" s="3" t="n"/>
      <c r="F351" s="5" t="inlineStr">
        <is>
          <t>13/05/2026</t>
        </is>
      </c>
    </row>
    <row r="352" ht="15" customHeight="1">
      <c r="A352" s="6" t="inlineStr">
        <is>
          <t>009528</t>
        </is>
      </c>
      <c r="B352" s="7">
        <f>IFERROR(VLOOKUP(A352,_Protheus_Cadastro!$A:$B,2,FALSE),"PENDENTE")</f>
        <v/>
      </c>
      <c r="C352" s="8">
        <f>IFERROR(VLOOKUP(A352,_Protheus_Cadastro!$A:$G,7,FALSE),0)</f>
        <v/>
      </c>
      <c r="D352" s="9">
        <f>IFERROR(VLOOKUP(A352,_Protheus_Cadastro!$A:$D,4,FALSE),"")</f>
        <v/>
      </c>
      <c r="E352" s="7" t="n"/>
      <c r="F352" s="9" t="inlineStr">
        <is>
          <t>13/05/2026</t>
        </is>
      </c>
    </row>
    <row r="353" ht="15" customHeight="1">
      <c r="A353" s="2" t="inlineStr">
        <is>
          <t>009527</t>
        </is>
      </c>
      <c r="B353" s="3">
        <f>IFERROR(VLOOKUP(A353,_Protheus_Cadastro!$A:$B,2,FALSE),"PENDENTE")</f>
        <v/>
      </c>
      <c r="C353" s="4">
        <f>IFERROR(VLOOKUP(A353,_Protheus_Cadastro!$A:$G,7,FALSE),0)</f>
        <v/>
      </c>
      <c r="D353" s="5">
        <f>IFERROR(VLOOKUP(A353,_Protheus_Cadastro!$A:$D,4,FALSE),"")</f>
        <v/>
      </c>
      <c r="E353" s="3" t="n"/>
      <c r="F353" s="5" t="inlineStr">
        <is>
          <t>13/05/2026</t>
        </is>
      </c>
    </row>
    <row r="354" ht="15" customHeight="1">
      <c r="A354" s="6" t="inlineStr">
        <is>
          <t>009532</t>
        </is>
      </c>
      <c r="B354" s="7">
        <f>IFERROR(VLOOKUP(A354,_Protheus_Cadastro!$A:$B,2,FALSE),"PENDENTE")</f>
        <v/>
      </c>
      <c r="C354" s="8">
        <f>IFERROR(VLOOKUP(A354,_Protheus_Cadastro!$A:$G,7,FALSE),0)</f>
        <v/>
      </c>
      <c r="D354" s="9">
        <f>IFERROR(VLOOKUP(A354,_Protheus_Cadastro!$A:$D,4,FALSE),"")</f>
        <v/>
      </c>
      <c r="E354" s="7" t="n"/>
      <c r="F354" s="9" t="inlineStr">
        <is>
          <t>13/05/2026</t>
        </is>
      </c>
    </row>
    <row r="355" ht="15" customHeight="1">
      <c r="A355" s="2" t="inlineStr">
        <is>
          <t>009533</t>
        </is>
      </c>
      <c r="B355" s="3">
        <f>IFERROR(VLOOKUP(A355,_Protheus_Cadastro!$A:$B,2,FALSE),"PENDENTE")</f>
        <v/>
      </c>
      <c r="C355" s="4">
        <f>IFERROR(VLOOKUP(A355,_Protheus_Cadastro!$A:$G,7,FALSE),0)</f>
        <v/>
      </c>
      <c r="D355" s="5">
        <f>IFERROR(VLOOKUP(A355,_Protheus_Cadastro!$A:$D,4,FALSE),"")</f>
        <v/>
      </c>
      <c r="E355" s="3" t="n"/>
      <c r="F355" s="5" t="inlineStr">
        <is>
          <t>13/05/2026</t>
        </is>
      </c>
    </row>
    <row r="356" ht="15" customHeight="1">
      <c r="A356" s="6" t="inlineStr">
        <is>
          <t>009531</t>
        </is>
      </c>
      <c r="B356" s="7">
        <f>IFERROR(VLOOKUP(A356,_Protheus_Cadastro!$A:$B,2,FALSE),"PENDENTE")</f>
        <v/>
      </c>
      <c r="C356" s="8">
        <f>IFERROR(VLOOKUP(A356,_Protheus_Cadastro!$A:$G,7,FALSE),0)</f>
        <v/>
      </c>
      <c r="D356" s="9">
        <f>IFERROR(VLOOKUP(A356,_Protheus_Cadastro!$A:$D,4,FALSE),"")</f>
        <v/>
      </c>
      <c r="E356" s="7" t="n"/>
      <c r="F356" s="9" t="inlineStr">
        <is>
          <t>13/05/2026</t>
        </is>
      </c>
    </row>
    <row r="357" ht="15" customHeight="1">
      <c r="A357" s="2" t="inlineStr">
        <is>
          <t>000503</t>
        </is>
      </c>
      <c r="B357" s="3">
        <f>IFERROR(VLOOKUP(A357,_Protheus_Cadastro!$A:$B,2,FALSE),"PENDENTE")</f>
        <v/>
      </c>
      <c r="C357" s="4">
        <f>IFERROR(VLOOKUP(A357,_Protheus_Cadastro!$A:$G,7,FALSE),0)</f>
        <v/>
      </c>
      <c r="D357" s="5">
        <f>IFERROR(VLOOKUP(A357,_Protheus_Cadastro!$A:$D,4,FALSE),"")</f>
        <v/>
      </c>
      <c r="E357" s="3" t="n"/>
      <c r="F357" s="5" t="inlineStr">
        <is>
          <t>13/05/2026</t>
        </is>
      </c>
    </row>
    <row r="358" ht="15" customHeight="1">
      <c r="A358" s="6" t="inlineStr">
        <is>
          <t>009530</t>
        </is>
      </c>
      <c r="B358" s="7">
        <f>IFERROR(VLOOKUP(A358,_Protheus_Cadastro!$A:$B,2,FALSE),"PENDENTE")</f>
        <v/>
      </c>
      <c r="C358" s="8">
        <f>IFERROR(VLOOKUP(A358,_Protheus_Cadastro!$A:$G,7,FALSE),0)</f>
        <v/>
      </c>
      <c r="D358" s="9">
        <f>IFERROR(VLOOKUP(A358,_Protheus_Cadastro!$A:$D,4,FALSE),"")</f>
        <v/>
      </c>
      <c r="E358" s="7" t="n"/>
      <c r="F358" s="9" t="inlineStr">
        <is>
          <t>13/05/2026</t>
        </is>
      </c>
    </row>
    <row r="359" ht="15" customHeight="1">
      <c r="A359" s="2" t="inlineStr">
        <is>
          <t>009535</t>
        </is>
      </c>
      <c r="B359" s="3">
        <f>IFERROR(VLOOKUP(A359,_Protheus_Cadastro!$A:$B,2,FALSE),"PENDENTE")</f>
        <v/>
      </c>
      <c r="C359" s="4">
        <f>IFERROR(VLOOKUP(A359,_Protheus_Cadastro!$A:$G,7,FALSE),0)</f>
        <v/>
      </c>
      <c r="D359" s="5">
        <f>IFERROR(VLOOKUP(A359,_Protheus_Cadastro!$A:$D,4,FALSE),"")</f>
        <v/>
      </c>
      <c r="E359" s="3" t="n"/>
      <c r="F359" s="5" t="inlineStr">
        <is>
          <t>13/05/2026</t>
        </is>
      </c>
    </row>
    <row r="360" ht="15" customHeight="1">
      <c r="A360" s="6" t="inlineStr">
        <is>
          <t>009536</t>
        </is>
      </c>
      <c r="B360" s="7">
        <f>IFERROR(VLOOKUP(A360,_Protheus_Cadastro!$A:$B,2,FALSE),"PENDENTE")</f>
        <v/>
      </c>
      <c r="C360" s="8">
        <f>IFERROR(VLOOKUP(A360,_Protheus_Cadastro!$A:$G,7,FALSE),0)</f>
        <v/>
      </c>
      <c r="D360" s="9">
        <f>IFERROR(VLOOKUP(A360,_Protheus_Cadastro!$A:$D,4,FALSE),"")</f>
        <v/>
      </c>
      <c r="E360" s="7" t="n"/>
      <c r="F360" s="9" t="inlineStr">
        <is>
          <t>13/05/2026</t>
        </is>
      </c>
    </row>
    <row r="361" ht="15" customHeight="1">
      <c r="A361" s="2" t="inlineStr">
        <is>
          <t>001778</t>
        </is>
      </c>
      <c r="B361" s="3">
        <f>IFERROR(VLOOKUP(A361,_Protheus_Cadastro!$A:$B,2,FALSE),"PENDENTE")</f>
        <v/>
      </c>
      <c r="C361" s="4">
        <f>IFERROR(VLOOKUP(A361,_Protheus_Cadastro!$A:$G,7,FALSE),0)</f>
        <v/>
      </c>
      <c r="D361" s="5">
        <f>IFERROR(VLOOKUP(A361,_Protheus_Cadastro!$A:$D,4,FALSE),"")</f>
        <v/>
      </c>
      <c r="E361" s="3" t="n"/>
      <c r="F361" s="5" t="inlineStr">
        <is>
          <t>13/05/2026</t>
        </is>
      </c>
    </row>
    <row r="362" ht="15" customHeight="1">
      <c r="A362" s="6" t="inlineStr">
        <is>
          <t>001779</t>
        </is>
      </c>
      <c r="B362" s="7">
        <f>IFERROR(VLOOKUP(A362,_Protheus_Cadastro!$A:$B,2,FALSE),"PENDENTE")</f>
        <v/>
      </c>
      <c r="C362" s="8">
        <f>IFERROR(VLOOKUP(A362,_Protheus_Cadastro!$A:$G,7,FALSE),0)</f>
        <v/>
      </c>
      <c r="D362" s="9">
        <f>IFERROR(VLOOKUP(A362,_Protheus_Cadastro!$A:$D,4,FALSE),"")</f>
        <v/>
      </c>
      <c r="E362" s="7" t="n"/>
      <c r="F362" s="9" t="inlineStr">
        <is>
          <t>13/05/2026</t>
        </is>
      </c>
    </row>
    <row r="363" ht="15" customHeight="1">
      <c r="A363" s="2" t="inlineStr">
        <is>
          <t>009581</t>
        </is>
      </c>
      <c r="B363" s="3">
        <f>IFERROR(VLOOKUP(A363,_Protheus_Cadastro!$A:$B,2,FALSE),"PENDENTE")</f>
        <v/>
      </c>
      <c r="C363" s="4">
        <f>IFERROR(VLOOKUP(A363,_Protheus_Cadastro!$A:$G,7,FALSE),0)</f>
        <v/>
      </c>
      <c r="D363" s="5">
        <f>IFERROR(VLOOKUP(A363,_Protheus_Cadastro!$A:$D,4,FALSE),"")</f>
        <v/>
      </c>
      <c r="E363" s="3" t="n"/>
      <c r="F363" s="5" t="inlineStr">
        <is>
          <t>13/05/2026</t>
        </is>
      </c>
    </row>
    <row r="364" ht="15" customHeight="1">
      <c r="A364" s="6" t="inlineStr">
        <is>
          <t>001773</t>
        </is>
      </c>
      <c r="B364" s="7">
        <f>IFERROR(VLOOKUP(A364,_Protheus_Cadastro!$A:$B,2,FALSE),"PENDENTE")</f>
        <v/>
      </c>
      <c r="C364" s="8">
        <f>IFERROR(VLOOKUP(A364,_Protheus_Cadastro!$A:$G,7,FALSE),0)</f>
        <v/>
      </c>
      <c r="D364" s="9">
        <f>IFERROR(VLOOKUP(A364,_Protheus_Cadastro!$A:$D,4,FALSE),"")</f>
        <v/>
      </c>
      <c r="E364" s="7" t="n"/>
      <c r="F364" s="9" t="inlineStr">
        <is>
          <t>13/05/2026</t>
        </is>
      </c>
    </row>
    <row r="365" ht="15" customHeight="1">
      <c r="A365" s="2" t="inlineStr">
        <is>
          <t>001774</t>
        </is>
      </c>
      <c r="B365" s="3">
        <f>IFERROR(VLOOKUP(A365,_Protheus_Cadastro!$A:$B,2,FALSE),"PENDENTE")</f>
        <v/>
      </c>
      <c r="C365" s="4">
        <f>IFERROR(VLOOKUP(A365,_Protheus_Cadastro!$A:$G,7,FALSE),0)</f>
        <v/>
      </c>
      <c r="D365" s="5">
        <f>IFERROR(VLOOKUP(A365,_Protheus_Cadastro!$A:$D,4,FALSE),"")</f>
        <v/>
      </c>
      <c r="E365" s="3" t="n"/>
      <c r="F365" s="5" t="inlineStr">
        <is>
          <t>13/05/2026</t>
        </is>
      </c>
    </row>
    <row r="366" ht="15" customHeight="1">
      <c r="A366" s="6" t="inlineStr">
        <is>
          <t>001776</t>
        </is>
      </c>
      <c r="B366" s="7">
        <f>IFERROR(VLOOKUP(A366,_Protheus_Cadastro!$A:$B,2,FALSE),"PENDENTE")</f>
        <v/>
      </c>
      <c r="C366" s="8">
        <f>IFERROR(VLOOKUP(A366,_Protheus_Cadastro!$A:$G,7,FALSE),0)</f>
        <v/>
      </c>
      <c r="D366" s="9">
        <f>IFERROR(VLOOKUP(A366,_Protheus_Cadastro!$A:$D,4,FALSE),"")</f>
        <v/>
      </c>
      <c r="E366" s="7" t="n"/>
      <c r="F366" s="9" t="inlineStr">
        <is>
          <t>13/05/2026</t>
        </is>
      </c>
    </row>
    <row r="367" ht="15" customHeight="1">
      <c r="A367" s="2" t="inlineStr">
        <is>
          <t>001777</t>
        </is>
      </c>
      <c r="B367" s="3">
        <f>IFERROR(VLOOKUP(A367,_Protheus_Cadastro!$A:$B,2,FALSE),"PENDENTE")</f>
        <v/>
      </c>
      <c r="C367" s="4">
        <f>IFERROR(VLOOKUP(A367,_Protheus_Cadastro!$A:$G,7,FALSE),0)</f>
        <v/>
      </c>
      <c r="D367" s="5">
        <f>IFERROR(VLOOKUP(A367,_Protheus_Cadastro!$A:$D,4,FALSE),"")</f>
        <v/>
      </c>
      <c r="E367" s="3" t="n"/>
      <c r="F367" s="5" t="inlineStr">
        <is>
          <t>13/05/2026</t>
        </is>
      </c>
    </row>
    <row r="368" ht="15" customHeight="1">
      <c r="A368" s="6" t="inlineStr">
        <is>
          <t>001775</t>
        </is>
      </c>
      <c r="B368" s="7">
        <f>IFERROR(VLOOKUP(A368,_Protheus_Cadastro!$A:$B,2,FALSE),"PENDENTE")</f>
        <v/>
      </c>
      <c r="C368" s="8">
        <f>IFERROR(VLOOKUP(A368,_Protheus_Cadastro!$A:$G,7,FALSE),0)</f>
        <v/>
      </c>
      <c r="D368" s="9">
        <f>IFERROR(VLOOKUP(A368,_Protheus_Cadastro!$A:$D,4,FALSE),"")</f>
        <v/>
      </c>
      <c r="E368" s="7" t="n"/>
      <c r="F368" s="9" t="inlineStr">
        <is>
          <t>13/05/2026</t>
        </is>
      </c>
    </row>
    <row r="369" ht="15" customHeight="1">
      <c r="A369" s="2" t="inlineStr">
        <is>
          <t>000274</t>
        </is>
      </c>
      <c r="B369" s="3">
        <f>IFERROR(VLOOKUP(A369,_Protheus_Cadastro!$A:$B,2,FALSE),"PENDENTE")</f>
        <v/>
      </c>
      <c r="C369" s="4">
        <f>IFERROR(VLOOKUP(A369,_Protheus_Cadastro!$A:$G,7,FALSE),0)</f>
        <v/>
      </c>
      <c r="D369" s="5">
        <f>IFERROR(VLOOKUP(A369,_Protheus_Cadastro!$A:$D,4,FALSE),"")</f>
        <v/>
      </c>
      <c r="E369" s="3" t="n"/>
      <c r="F369" s="5" t="inlineStr">
        <is>
          <t>13/05/2026</t>
        </is>
      </c>
    </row>
    <row r="370" ht="15" customHeight="1">
      <c r="A370" s="6" t="inlineStr">
        <is>
          <t>009519</t>
        </is>
      </c>
      <c r="B370" s="7">
        <f>IFERROR(VLOOKUP(A370,_Protheus_Cadastro!$A:$B,2,FALSE),"PENDENTE")</f>
        <v/>
      </c>
      <c r="C370" s="8">
        <f>IFERROR(VLOOKUP(A370,_Protheus_Cadastro!$A:$G,7,FALSE),0)</f>
        <v/>
      </c>
      <c r="D370" s="9">
        <f>IFERROR(VLOOKUP(A370,_Protheus_Cadastro!$A:$D,4,FALSE),"")</f>
        <v/>
      </c>
      <c r="E370" s="7" t="n"/>
      <c r="F370" s="9" t="inlineStr">
        <is>
          <t>13/05/2026</t>
        </is>
      </c>
    </row>
    <row r="371" ht="15" customHeight="1">
      <c r="A371" s="2" t="inlineStr">
        <is>
          <t>001665</t>
        </is>
      </c>
      <c r="B371" s="3">
        <f>IFERROR(VLOOKUP(A371,_Protheus_Cadastro!$A:$B,2,FALSE),"PENDENTE")</f>
        <v/>
      </c>
      <c r="C371" s="4">
        <f>IFERROR(VLOOKUP(A371,_Protheus_Cadastro!$A:$G,7,FALSE),0)</f>
        <v/>
      </c>
      <c r="D371" s="5">
        <f>IFERROR(VLOOKUP(A371,_Protheus_Cadastro!$A:$D,4,FALSE),"")</f>
        <v/>
      </c>
      <c r="E371" s="3" t="n"/>
      <c r="F371" s="5" t="inlineStr">
        <is>
          <t>13/05/2026</t>
        </is>
      </c>
    </row>
    <row r="372" ht="15" customHeight="1">
      <c r="A372" s="6" t="inlineStr">
        <is>
          <t>000699</t>
        </is>
      </c>
      <c r="B372" s="7">
        <f>IFERROR(VLOOKUP(A372,_Protheus_Cadastro!$A:$B,2,FALSE),"PENDENTE")</f>
        <v/>
      </c>
      <c r="C372" s="8">
        <f>IFERROR(VLOOKUP(A372,_Protheus_Cadastro!$A:$G,7,FALSE),0)</f>
        <v/>
      </c>
      <c r="D372" s="9">
        <f>IFERROR(VLOOKUP(A372,_Protheus_Cadastro!$A:$D,4,FALSE),"")</f>
        <v/>
      </c>
      <c r="E372" s="7" t="n"/>
      <c r="F372" s="9" t="inlineStr">
        <is>
          <t>13/05/2026</t>
        </is>
      </c>
    </row>
    <row r="373" ht="15" customHeight="1">
      <c r="A373" s="2" t="inlineStr">
        <is>
          <t>000339</t>
        </is>
      </c>
      <c r="B373" s="3">
        <f>IFERROR(VLOOKUP(A373,_Protheus_Cadastro!$A:$B,2,FALSE),"PENDENTE")</f>
        <v/>
      </c>
      <c r="C373" s="4">
        <f>IFERROR(VLOOKUP(A373,_Protheus_Cadastro!$A:$G,7,FALSE),0)</f>
        <v/>
      </c>
      <c r="D373" s="5">
        <f>IFERROR(VLOOKUP(A373,_Protheus_Cadastro!$A:$D,4,FALSE),"")</f>
        <v/>
      </c>
      <c r="E373" s="3" t="n"/>
      <c r="F373" s="5" t="inlineStr">
        <is>
          <t>13/05/2026</t>
        </is>
      </c>
    </row>
    <row r="374" ht="15" customHeight="1">
      <c r="A374" s="6" t="inlineStr">
        <is>
          <t>009824</t>
        </is>
      </c>
      <c r="B374" s="7">
        <f>IFERROR(VLOOKUP(A374,_Protheus_Cadastro!$A:$B,2,FALSE),"PENDENTE")</f>
        <v/>
      </c>
      <c r="C374" s="8">
        <f>IFERROR(VLOOKUP(A374,_Protheus_Cadastro!$A:$G,7,FALSE),0)</f>
        <v/>
      </c>
      <c r="D374" s="9">
        <f>IFERROR(VLOOKUP(A374,_Protheus_Cadastro!$A:$D,4,FALSE),"")</f>
        <v/>
      </c>
      <c r="E374" s="7" t="n"/>
      <c r="F374" s="9" t="inlineStr">
        <is>
          <t>13/05/2026</t>
        </is>
      </c>
    </row>
    <row r="375" ht="15" customHeight="1">
      <c r="A375" s="2" t="inlineStr">
        <is>
          <t>009825</t>
        </is>
      </c>
      <c r="B375" s="3">
        <f>IFERROR(VLOOKUP(A375,_Protheus_Cadastro!$A:$B,2,FALSE),"PENDENTE")</f>
        <v/>
      </c>
      <c r="C375" s="4">
        <f>IFERROR(VLOOKUP(A375,_Protheus_Cadastro!$A:$G,7,FALSE),0)</f>
        <v/>
      </c>
      <c r="D375" s="5">
        <f>IFERROR(VLOOKUP(A375,_Protheus_Cadastro!$A:$D,4,FALSE),"")</f>
        <v/>
      </c>
      <c r="E375" s="3" t="n"/>
      <c r="F375" s="5" t="inlineStr">
        <is>
          <t>13/05/2026</t>
        </is>
      </c>
    </row>
    <row r="376" ht="15" customHeight="1">
      <c r="A376" s="6" t="inlineStr">
        <is>
          <t>001399</t>
        </is>
      </c>
      <c r="B376" s="7">
        <f>IFERROR(VLOOKUP(A376,_Protheus_Cadastro!$A:$B,2,FALSE),"PENDENTE")</f>
        <v/>
      </c>
      <c r="C376" s="8">
        <f>IFERROR(VLOOKUP(A376,_Protheus_Cadastro!$A:$G,7,FALSE),0)</f>
        <v/>
      </c>
      <c r="D376" s="9">
        <f>IFERROR(VLOOKUP(A376,_Protheus_Cadastro!$A:$D,4,FALSE),"")</f>
        <v/>
      </c>
      <c r="E376" s="7" t="n"/>
      <c r="F376" s="9" t="inlineStr">
        <is>
          <t>13/05/2026</t>
        </is>
      </c>
    </row>
    <row r="377" ht="15" customHeight="1">
      <c r="A377" s="2" t="inlineStr">
        <is>
          <t>001317</t>
        </is>
      </c>
      <c r="B377" s="3">
        <f>IFERROR(VLOOKUP(A377,_Protheus_Cadastro!$A:$B,2,FALSE),"PENDENTE")</f>
        <v/>
      </c>
      <c r="C377" s="4">
        <f>IFERROR(VLOOKUP(A377,_Protheus_Cadastro!$A:$G,7,FALSE),0)</f>
        <v/>
      </c>
      <c r="D377" s="5">
        <f>IFERROR(VLOOKUP(A377,_Protheus_Cadastro!$A:$D,4,FALSE),"")</f>
        <v/>
      </c>
      <c r="E377" s="3" t="n"/>
      <c r="F377" s="5" t="inlineStr">
        <is>
          <t>13/05/2026</t>
        </is>
      </c>
    </row>
    <row r="378" ht="15" customHeight="1">
      <c r="A378" s="6" t="inlineStr">
        <is>
          <t>001208</t>
        </is>
      </c>
      <c r="B378" s="7">
        <f>IFERROR(VLOOKUP(A378,_Protheus_Cadastro!$A:$B,2,FALSE),"PENDENTE")</f>
        <v/>
      </c>
      <c r="C378" s="8">
        <f>IFERROR(VLOOKUP(A378,_Protheus_Cadastro!$A:$G,7,FALSE),0)</f>
        <v/>
      </c>
      <c r="D378" s="9">
        <f>IFERROR(VLOOKUP(A378,_Protheus_Cadastro!$A:$D,4,FALSE),"")</f>
        <v/>
      </c>
      <c r="E378" s="7" t="n"/>
      <c r="F378" s="9" t="inlineStr">
        <is>
          <t>13/05/2026</t>
        </is>
      </c>
    </row>
    <row r="379" ht="15" customHeight="1">
      <c r="A379" s="2" t="inlineStr">
        <is>
          <t>001199</t>
        </is>
      </c>
      <c r="B379" s="3">
        <f>IFERROR(VLOOKUP(A379,_Protheus_Cadastro!$A:$B,2,FALSE),"PENDENTE")</f>
        <v/>
      </c>
      <c r="C379" s="4">
        <f>IFERROR(VLOOKUP(A379,_Protheus_Cadastro!$A:$G,7,FALSE),0)</f>
        <v/>
      </c>
      <c r="D379" s="5">
        <f>IFERROR(VLOOKUP(A379,_Protheus_Cadastro!$A:$D,4,FALSE),"")</f>
        <v/>
      </c>
      <c r="E379" s="3" t="n"/>
      <c r="F379" s="5" t="inlineStr">
        <is>
          <t>13/05/2026</t>
        </is>
      </c>
    </row>
    <row r="380" ht="15" customHeight="1">
      <c r="A380" s="6" t="inlineStr">
        <is>
          <t>001193</t>
        </is>
      </c>
      <c r="B380" s="7">
        <f>IFERROR(VLOOKUP(A380,_Protheus_Cadastro!$A:$B,2,FALSE),"PENDENTE")</f>
        <v/>
      </c>
      <c r="C380" s="8">
        <f>IFERROR(VLOOKUP(A380,_Protheus_Cadastro!$A:$G,7,FALSE),0)</f>
        <v/>
      </c>
      <c r="D380" s="9">
        <f>IFERROR(VLOOKUP(A380,_Protheus_Cadastro!$A:$D,4,FALSE),"")</f>
        <v/>
      </c>
      <c r="E380" s="7" t="n"/>
      <c r="F380" s="9" t="inlineStr">
        <is>
          <t>13/05/2026</t>
        </is>
      </c>
    </row>
    <row r="381" ht="15" customHeight="1">
      <c r="A381" s="2" t="inlineStr">
        <is>
          <t>001318</t>
        </is>
      </c>
      <c r="B381" s="3">
        <f>IFERROR(VLOOKUP(A381,_Protheus_Cadastro!$A:$B,2,FALSE),"PENDENTE")</f>
        <v/>
      </c>
      <c r="C381" s="4">
        <f>IFERROR(VLOOKUP(A381,_Protheus_Cadastro!$A:$G,7,FALSE),0)</f>
        <v/>
      </c>
      <c r="D381" s="5">
        <f>IFERROR(VLOOKUP(A381,_Protheus_Cadastro!$A:$D,4,FALSE),"")</f>
        <v/>
      </c>
      <c r="E381" s="3" t="n"/>
      <c r="F381" s="5" t="inlineStr">
        <is>
          <t>13/05/2026</t>
        </is>
      </c>
    </row>
    <row r="382" ht="15" customHeight="1">
      <c r="A382" s="6" t="inlineStr">
        <is>
          <t>001137</t>
        </is>
      </c>
      <c r="B382" s="7">
        <f>IFERROR(VLOOKUP(A382,_Protheus_Cadastro!$A:$B,2,FALSE),"PENDENTE")</f>
        <v/>
      </c>
      <c r="C382" s="8">
        <f>IFERROR(VLOOKUP(A382,_Protheus_Cadastro!$A:$G,7,FALSE),0)</f>
        <v/>
      </c>
      <c r="D382" s="9">
        <f>IFERROR(VLOOKUP(A382,_Protheus_Cadastro!$A:$D,4,FALSE),"")</f>
        <v/>
      </c>
      <c r="E382" s="7" t="n"/>
      <c r="F382" s="9" t="inlineStr">
        <is>
          <t>13/05/2026</t>
        </is>
      </c>
    </row>
    <row r="383" ht="15" customHeight="1">
      <c r="A383" s="2" t="inlineStr">
        <is>
          <t>001192</t>
        </is>
      </c>
      <c r="B383" s="3">
        <f>IFERROR(VLOOKUP(A383,_Protheus_Cadastro!$A:$B,2,FALSE),"PENDENTE")</f>
        <v/>
      </c>
      <c r="C383" s="4">
        <f>IFERROR(VLOOKUP(A383,_Protheus_Cadastro!$A:$G,7,FALSE),0)</f>
        <v/>
      </c>
      <c r="D383" s="5">
        <f>IFERROR(VLOOKUP(A383,_Protheus_Cadastro!$A:$D,4,FALSE),"")</f>
        <v/>
      </c>
      <c r="E383" s="3" t="n"/>
      <c r="F383" s="5" t="inlineStr">
        <is>
          <t>13/05/2026</t>
        </is>
      </c>
    </row>
    <row r="384" ht="15" customHeight="1">
      <c r="A384" s="6" t="inlineStr">
        <is>
          <t>001136</t>
        </is>
      </c>
      <c r="B384" s="7">
        <f>IFERROR(VLOOKUP(A384,_Protheus_Cadastro!$A:$B,2,FALSE),"PENDENTE")</f>
        <v/>
      </c>
      <c r="C384" s="8">
        <f>IFERROR(VLOOKUP(A384,_Protheus_Cadastro!$A:$G,7,FALSE),0)</f>
        <v/>
      </c>
      <c r="D384" s="9">
        <f>IFERROR(VLOOKUP(A384,_Protheus_Cadastro!$A:$D,4,FALSE),"")</f>
        <v/>
      </c>
      <c r="E384" s="7" t="n"/>
      <c r="F384" s="9" t="inlineStr">
        <is>
          <t>13/05/2026</t>
        </is>
      </c>
    </row>
    <row r="385" ht="15" customHeight="1">
      <c r="A385" s="2" t="inlineStr">
        <is>
          <t>009832</t>
        </is>
      </c>
      <c r="B385" s="3">
        <f>IFERROR(VLOOKUP(A385,_Protheus_Cadastro!$A:$B,2,FALSE),"PENDENTE")</f>
        <v/>
      </c>
      <c r="C385" s="4">
        <f>IFERROR(VLOOKUP(A385,_Protheus_Cadastro!$A:$G,7,FALSE),0)</f>
        <v/>
      </c>
      <c r="D385" s="5">
        <f>IFERROR(VLOOKUP(A385,_Protheus_Cadastro!$A:$D,4,FALSE),"")</f>
        <v/>
      </c>
      <c r="E385" s="3" t="n"/>
      <c r="F385" s="5" t="inlineStr">
        <is>
          <t>13/05/2026</t>
        </is>
      </c>
    </row>
    <row r="386" ht="15" customHeight="1">
      <c r="A386" s="6" t="inlineStr">
        <is>
          <t>009828</t>
        </is>
      </c>
      <c r="B386" s="7">
        <f>IFERROR(VLOOKUP(A386,_Protheus_Cadastro!$A:$B,2,FALSE),"PENDENTE")</f>
        <v/>
      </c>
      <c r="C386" s="8">
        <f>IFERROR(VLOOKUP(A386,_Protheus_Cadastro!$A:$G,7,FALSE),0)</f>
        <v/>
      </c>
      <c r="D386" s="9">
        <f>IFERROR(VLOOKUP(A386,_Protheus_Cadastro!$A:$D,4,FALSE),"")</f>
        <v/>
      </c>
      <c r="E386" s="7" t="n"/>
      <c r="F386" s="9" t="inlineStr">
        <is>
          <t>13/05/2026</t>
        </is>
      </c>
    </row>
    <row r="387" ht="15" customHeight="1">
      <c r="A387" s="2" t="inlineStr">
        <is>
          <t>009829</t>
        </is>
      </c>
      <c r="B387" s="3">
        <f>IFERROR(VLOOKUP(A387,_Protheus_Cadastro!$A:$B,2,FALSE),"PENDENTE")</f>
        <v/>
      </c>
      <c r="C387" s="4">
        <f>IFERROR(VLOOKUP(A387,_Protheus_Cadastro!$A:$G,7,FALSE),0)</f>
        <v/>
      </c>
      <c r="D387" s="5">
        <f>IFERROR(VLOOKUP(A387,_Protheus_Cadastro!$A:$D,4,FALSE),"")</f>
        <v/>
      </c>
      <c r="E387" s="3" t="n"/>
      <c r="F387" s="5" t="inlineStr">
        <is>
          <t>13/05/2026</t>
        </is>
      </c>
    </row>
    <row r="388" ht="15" customHeight="1">
      <c r="A388" s="6" t="inlineStr">
        <is>
          <t>009830</t>
        </is>
      </c>
      <c r="B388" s="7">
        <f>IFERROR(VLOOKUP(A388,_Protheus_Cadastro!$A:$B,2,FALSE),"PENDENTE")</f>
        <v/>
      </c>
      <c r="C388" s="8">
        <f>IFERROR(VLOOKUP(A388,_Protheus_Cadastro!$A:$G,7,FALSE),0)</f>
        <v/>
      </c>
      <c r="D388" s="9">
        <f>IFERROR(VLOOKUP(A388,_Protheus_Cadastro!$A:$D,4,FALSE),"")</f>
        <v/>
      </c>
      <c r="E388" s="7" t="n"/>
      <c r="F388" s="9" t="inlineStr">
        <is>
          <t>13/05/2026</t>
        </is>
      </c>
    </row>
    <row r="389">
      <c r="A389" s="2" t="inlineStr">
        <is>
          <t>009827</t>
        </is>
      </c>
      <c r="B389" s="3">
        <f>IFERROR(VLOOKUP(A389,_Protheus_Cadastro!$A:$B,2,FALSE),"PENDENTE")</f>
        <v/>
      </c>
      <c r="C389" s="4">
        <f>IFERROR(VLOOKUP(A389,_Protheus_Cadastro!$A:$G,7,FALSE),0)</f>
        <v/>
      </c>
      <c r="D389" s="5">
        <f>IFERROR(VLOOKUP(A389,_Protheus_Cadastro!$A:$D,4,FALSE),"")</f>
        <v/>
      </c>
      <c r="E389" s="3" t="n"/>
      <c r="F389" s="5" t="inlineStr">
        <is>
          <t>13/05/2026</t>
        </is>
      </c>
    </row>
    <row r="390">
      <c r="A390" s="6" t="inlineStr">
        <is>
          <t>001912</t>
        </is>
      </c>
      <c r="B390" s="7">
        <f>IFERROR(VLOOKUP(A390,_Protheus_Cadastro!$A:$B,2,FALSE),"PENDENTE")</f>
        <v/>
      </c>
      <c r="C390" s="8">
        <f>IFERROR(VLOOKUP(A390,_Protheus_Cadastro!$A:$G,7,FALSE),0)</f>
        <v/>
      </c>
      <c r="D390" s="9">
        <f>IFERROR(VLOOKUP(A390,_Protheus_Cadastro!$A:$D,4,FALSE),"")</f>
        <v/>
      </c>
      <c r="E390" s="7" t="n"/>
      <c r="F390" s="9" t="inlineStr">
        <is>
          <t>13/05/2026</t>
        </is>
      </c>
    </row>
    <row r="391">
      <c r="A391" s="2" t="inlineStr">
        <is>
          <t>001256</t>
        </is>
      </c>
      <c r="B391" s="3">
        <f>IFERROR(VLOOKUP(A391,_Protheus_Cadastro!$A:$B,2,FALSE),"PENDENTE")</f>
        <v/>
      </c>
      <c r="C391" s="4">
        <f>IFERROR(VLOOKUP(A391,_Protheus_Cadastro!$A:$G,7,FALSE),0)</f>
        <v/>
      </c>
      <c r="D391" s="5">
        <f>IFERROR(VLOOKUP(A391,_Protheus_Cadastro!$A:$D,4,FALSE),"")</f>
        <v/>
      </c>
      <c r="E391" s="3" t="n"/>
      <c r="F391" s="5" t="inlineStr">
        <is>
          <t>13/05/2026</t>
        </is>
      </c>
    </row>
    <row r="392">
      <c r="A392" s="6" t="inlineStr">
        <is>
          <t>001913</t>
        </is>
      </c>
      <c r="B392" s="7">
        <f>IFERROR(VLOOKUP(A392,_Protheus_Cadastro!$A:$B,2,FALSE),"PENDENTE")</f>
        <v/>
      </c>
      <c r="C392" s="8">
        <f>IFERROR(VLOOKUP(A392,_Protheus_Cadastro!$A:$G,7,FALSE),0)</f>
        <v/>
      </c>
      <c r="D392" s="9">
        <f>IFERROR(VLOOKUP(A392,_Protheus_Cadastro!$A:$D,4,FALSE),"")</f>
        <v/>
      </c>
      <c r="E392" s="7" t="n"/>
      <c r="F392" s="9" t="inlineStr">
        <is>
          <t>13/05/2026</t>
        </is>
      </c>
    </row>
    <row r="393">
      <c r="A393" s="2" t="inlineStr">
        <is>
          <t>001914</t>
        </is>
      </c>
      <c r="B393" s="3">
        <f>IFERROR(VLOOKUP(A393,_Protheus_Cadastro!$A:$B,2,FALSE),"PENDENTE")</f>
        <v/>
      </c>
      <c r="C393" s="4">
        <f>IFERROR(VLOOKUP(A393,_Protheus_Cadastro!$A:$G,7,FALSE),0)</f>
        <v/>
      </c>
      <c r="D393" s="5">
        <f>IFERROR(VLOOKUP(A393,_Protheus_Cadastro!$A:$D,4,FALSE),"")</f>
        <v/>
      </c>
      <c r="E393" s="3" t="n"/>
      <c r="F393" s="5" t="inlineStr">
        <is>
          <t>13/05/2026</t>
        </is>
      </c>
    </row>
    <row r="394">
      <c r="A394" s="6" t="inlineStr">
        <is>
          <t>001915</t>
        </is>
      </c>
      <c r="B394" s="7">
        <f>IFERROR(VLOOKUP(A394,_Protheus_Cadastro!$A:$B,2,FALSE),"PENDENTE")</f>
        <v/>
      </c>
      <c r="C394" s="8">
        <f>IFERROR(VLOOKUP(A394,_Protheus_Cadastro!$A:$G,7,FALSE),0)</f>
        <v/>
      </c>
      <c r="D394" s="9">
        <f>IFERROR(VLOOKUP(A394,_Protheus_Cadastro!$A:$D,4,FALSE),"")</f>
        <v/>
      </c>
      <c r="E394" s="7" t="n"/>
      <c r="F394" s="9" t="inlineStr">
        <is>
          <t>13/05/2026</t>
        </is>
      </c>
    </row>
    <row r="395">
      <c r="A395" s="2" t="inlineStr">
        <is>
          <t>001916</t>
        </is>
      </c>
      <c r="B395" s="3">
        <f>IFERROR(VLOOKUP(A395,_Protheus_Cadastro!$A:$B,2,FALSE),"PENDENTE")</f>
        <v/>
      </c>
      <c r="C395" s="4">
        <f>IFERROR(VLOOKUP(A395,_Protheus_Cadastro!$A:$G,7,FALSE),0)</f>
        <v/>
      </c>
      <c r="D395" s="5">
        <f>IFERROR(VLOOKUP(A395,_Protheus_Cadastro!$A:$D,4,FALSE),"")</f>
        <v/>
      </c>
      <c r="E395" s="3" t="n"/>
      <c r="F395" s="5" t="inlineStr">
        <is>
          <t>13/05/2026</t>
        </is>
      </c>
    </row>
    <row r="396">
      <c r="A396" s="6" t="inlineStr">
        <is>
          <t>009826</t>
        </is>
      </c>
      <c r="B396" s="7">
        <f>IFERROR(VLOOKUP(A396,_Protheus_Cadastro!$A:$B,2,FALSE),"PENDENTE")</f>
        <v/>
      </c>
      <c r="C396" s="8">
        <f>IFERROR(VLOOKUP(A396,_Protheus_Cadastro!$A:$G,7,FALSE),0)</f>
        <v/>
      </c>
      <c r="D396" s="9">
        <f>IFERROR(VLOOKUP(A396,_Protheus_Cadastro!$A:$D,4,FALSE),"")</f>
        <v/>
      </c>
      <c r="E396" s="7" t="n"/>
      <c r="F396" s="9" t="inlineStr">
        <is>
          <t>13/05/2026</t>
        </is>
      </c>
    </row>
    <row r="397">
      <c r="A397" s="2" t="inlineStr">
        <is>
          <t>009833</t>
        </is>
      </c>
      <c r="B397" s="3">
        <f>IFERROR(VLOOKUP(A397,_Protheus_Cadastro!$A:$B,2,FALSE),"PENDENTE")</f>
        <v/>
      </c>
      <c r="C397" s="4">
        <f>IFERROR(VLOOKUP(A397,_Protheus_Cadastro!$A:$G,7,FALSE),0)</f>
        <v/>
      </c>
      <c r="D397" s="5">
        <f>IFERROR(VLOOKUP(A397,_Protheus_Cadastro!$A:$D,4,FALSE),"")</f>
        <v/>
      </c>
      <c r="E397" s="3" t="n"/>
      <c r="F397" s="5" t="inlineStr">
        <is>
          <t>13/05/2026</t>
        </is>
      </c>
    </row>
    <row r="398">
      <c r="A398" s="6" t="inlineStr">
        <is>
          <t>009831</t>
        </is>
      </c>
      <c r="B398" s="7">
        <f>IFERROR(VLOOKUP(A398,_Protheus_Cadastro!$A:$B,2,FALSE),"PENDENTE")</f>
        <v/>
      </c>
      <c r="C398" s="8">
        <f>IFERROR(VLOOKUP(A398,_Protheus_Cadastro!$A:$G,7,FALSE),0)</f>
        <v/>
      </c>
      <c r="D398" s="9">
        <f>IFERROR(VLOOKUP(A398,_Protheus_Cadastro!$A:$D,4,FALSE),"")</f>
        <v/>
      </c>
      <c r="E398" s="7" t="n"/>
      <c r="F398" s="9" t="inlineStr">
        <is>
          <t>13/05/2026</t>
        </is>
      </c>
    </row>
    <row r="399">
      <c r="A399" s="2" t="inlineStr">
        <is>
          <t>001173</t>
        </is>
      </c>
      <c r="B399" s="3">
        <f>IFERROR(VLOOKUP(A399,_Protheus_Cadastro!$A:$B,2,FALSE),"PENDENTE")</f>
        <v/>
      </c>
      <c r="C399" s="4">
        <f>IFERROR(VLOOKUP(A399,_Protheus_Cadastro!$A:$G,7,FALSE),0)</f>
        <v/>
      </c>
      <c r="D399" s="5">
        <f>IFERROR(VLOOKUP(A399,_Protheus_Cadastro!$A:$D,4,FALSE),"")</f>
        <v/>
      </c>
      <c r="E399" s="3" t="n"/>
      <c r="F399" s="5" t="inlineStr">
        <is>
          <t>13/05/2026</t>
        </is>
      </c>
    </row>
    <row r="400">
      <c r="A400" s="160" t="inlineStr">
        <is>
          <t>000091</t>
        </is>
      </c>
      <c r="B400" s="161">
        <f>IFERROR(VLOOKUP(A400,_Protheus_Cadastro!$A:$B,2,FALSE),"PENDENTE")</f>
        <v/>
      </c>
      <c r="C400" s="162">
        <f>IFERROR(VLOOKUP(A400,_Protheus_Cadastro!$A:$G,7,FALSE),0)</f>
        <v/>
      </c>
      <c r="D400" s="163">
        <f>IFERROR(VLOOKUP(A400,_Protheus_Cadastro!$A:$D,4,FALSE),"")</f>
        <v/>
      </c>
      <c r="E400" s="161" t="n"/>
      <c r="F400" s="163" t="inlineStr">
        <is>
          <t>13/05/2026</t>
        </is>
      </c>
    </row>
    <row r="401">
      <c r="A401" s="160" t="inlineStr">
        <is>
          <t>0001982</t>
        </is>
      </c>
      <c r="B401" s="161">
        <f>IFERROR(VLOOKUP(A401,_Protheus_Cadastro!$A:$B,2,FALSE),"PENDENTE")</f>
        <v/>
      </c>
      <c r="C401" s="162">
        <f>IFERROR(VLOOKUP(A401,_Protheus_Cadastro!$A:$G,7,FALSE),0)</f>
        <v/>
      </c>
      <c r="D401" s="163">
        <f>IFERROR(VLOOKUP(A401,_Protheus_Cadastro!$A:$D,4,FALSE),"")</f>
        <v/>
      </c>
      <c r="E401" s="161" t="n"/>
      <c r="F401" s="163" t="inlineStr">
        <is>
          <t>13/05/2026</t>
        </is>
      </c>
    </row>
    <row r="402">
      <c r="A402" s="160" t="inlineStr">
        <is>
          <t>000329</t>
        </is>
      </c>
      <c r="B402" s="161">
        <f>IFERROR(VLOOKUP(A402,_Protheus_Cadastro!$A:$B,2,FALSE),"PENDENTE")</f>
        <v/>
      </c>
      <c r="C402" s="162">
        <f>IFERROR(VLOOKUP(A402,_Protheus_Cadastro!$A:$G,7,FALSE),0)</f>
        <v/>
      </c>
      <c r="D402" s="163">
        <f>IFERROR(VLOOKUP(A402,_Protheus_Cadastro!$A:$D,4,FALSE),"")</f>
        <v/>
      </c>
      <c r="E402" s="161" t="n"/>
      <c r="F402" s="163" t="inlineStr">
        <is>
          <t>13/05/2026</t>
        </is>
      </c>
    </row>
    <row r="403">
      <c r="A403" s="160" t="inlineStr">
        <is>
          <t>000362</t>
        </is>
      </c>
      <c r="B403" s="161">
        <f>IFERROR(VLOOKUP(A403,_Protheus_Cadastro!$A:$B,2,FALSE),"PENDENTE")</f>
        <v/>
      </c>
      <c r="C403" s="162">
        <f>IFERROR(VLOOKUP(A403,_Protheus_Cadastro!$A:$G,7,FALSE),0)</f>
        <v/>
      </c>
      <c r="D403" s="163">
        <f>IFERROR(VLOOKUP(A403,_Protheus_Cadastro!$A:$D,4,FALSE),"")</f>
        <v/>
      </c>
      <c r="E403" s="161" t="n"/>
      <c r="F403" s="163" t="inlineStr">
        <is>
          <t>13/05/2026</t>
        </is>
      </c>
    </row>
    <row r="404">
      <c r="A404" s="160" t="inlineStr">
        <is>
          <t>000370</t>
        </is>
      </c>
      <c r="B404" s="161">
        <f>IFERROR(VLOOKUP(A404,_Protheus_Cadastro!$A:$B,2,FALSE),"PENDENTE")</f>
        <v/>
      </c>
      <c r="C404" s="162">
        <f>IFERROR(VLOOKUP(A404,_Protheus_Cadastro!$A:$G,7,FALSE),0)</f>
        <v/>
      </c>
      <c r="D404" s="163">
        <f>IFERROR(VLOOKUP(A404,_Protheus_Cadastro!$A:$D,4,FALSE),"")</f>
        <v/>
      </c>
      <c r="E404" s="161" t="n"/>
      <c r="F404" s="163" t="inlineStr">
        <is>
          <t>13/05/2026</t>
        </is>
      </c>
    </row>
    <row r="405">
      <c r="A405" s="160" t="inlineStr">
        <is>
          <t>000378</t>
        </is>
      </c>
      <c r="B405" s="161">
        <f>IFERROR(VLOOKUP(A405,_Protheus_Cadastro!$A:$B,2,FALSE),"PENDENTE")</f>
        <v/>
      </c>
      <c r="C405" s="162">
        <f>IFERROR(VLOOKUP(A405,_Protheus_Cadastro!$A:$G,7,FALSE),0)</f>
        <v/>
      </c>
      <c r="D405" s="163">
        <f>IFERROR(VLOOKUP(A405,_Protheus_Cadastro!$A:$D,4,FALSE),"")</f>
        <v/>
      </c>
      <c r="E405" s="161" t="n"/>
      <c r="F405" s="163" t="inlineStr">
        <is>
          <t>13/05/2026</t>
        </is>
      </c>
    </row>
    <row r="406">
      <c r="A406" s="160" t="inlineStr">
        <is>
          <t>000415</t>
        </is>
      </c>
      <c r="B406" s="161">
        <f>IFERROR(VLOOKUP(A406,_Protheus_Cadastro!$A:$B,2,FALSE),"PENDENTE")</f>
        <v/>
      </c>
      <c r="C406" s="162">
        <f>IFERROR(VLOOKUP(A406,_Protheus_Cadastro!$A:$G,7,FALSE),0)</f>
        <v/>
      </c>
      <c r="D406" s="163">
        <f>IFERROR(VLOOKUP(A406,_Protheus_Cadastro!$A:$D,4,FALSE),"")</f>
        <v/>
      </c>
      <c r="E406" s="161" t="n"/>
      <c r="F406" s="163" t="inlineStr">
        <is>
          <t>13/05/2026</t>
        </is>
      </c>
    </row>
    <row r="407">
      <c r="A407" s="160" t="inlineStr">
        <is>
          <t>000438</t>
        </is>
      </c>
      <c r="B407" s="161">
        <f>IFERROR(VLOOKUP(A407,_Protheus_Cadastro!$A:$B,2,FALSE),"PENDENTE")</f>
        <v/>
      </c>
      <c r="C407" s="162">
        <f>IFERROR(VLOOKUP(A407,_Protheus_Cadastro!$A:$G,7,FALSE),0)</f>
        <v/>
      </c>
      <c r="D407" s="163">
        <f>IFERROR(VLOOKUP(A407,_Protheus_Cadastro!$A:$D,4,FALSE),"")</f>
        <v/>
      </c>
      <c r="E407" s="161" t="n"/>
      <c r="F407" s="163" t="inlineStr">
        <is>
          <t>13/05/2026</t>
        </is>
      </c>
    </row>
    <row r="408">
      <c r="A408" s="160" t="inlineStr">
        <is>
          <t>000443</t>
        </is>
      </c>
      <c r="B408" s="161">
        <f>IFERROR(VLOOKUP(A408,_Protheus_Cadastro!$A:$B,2,FALSE),"PENDENTE")</f>
        <v/>
      </c>
      <c r="C408" s="162">
        <f>IFERROR(VLOOKUP(A408,_Protheus_Cadastro!$A:$G,7,FALSE),0)</f>
        <v/>
      </c>
      <c r="D408" s="163">
        <f>IFERROR(VLOOKUP(A408,_Protheus_Cadastro!$A:$D,4,FALSE),"")</f>
        <v/>
      </c>
      <c r="E408" s="161" t="n"/>
      <c r="F408" s="163" t="inlineStr">
        <is>
          <t>13/05/2026</t>
        </is>
      </c>
    </row>
    <row r="409">
      <c r="A409" s="160" t="inlineStr">
        <is>
          <t>000446</t>
        </is>
      </c>
      <c r="B409" s="161">
        <f>IFERROR(VLOOKUP(A409,_Protheus_Cadastro!$A:$B,2,FALSE),"PENDENTE")</f>
        <v/>
      </c>
      <c r="C409" s="162">
        <f>IFERROR(VLOOKUP(A409,_Protheus_Cadastro!$A:$G,7,FALSE),0)</f>
        <v/>
      </c>
      <c r="D409" s="163">
        <f>IFERROR(VLOOKUP(A409,_Protheus_Cadastro!$A:$D,4,FALSE),"")</f>
        <v/>
      </c>
      <c r="E409" s="161" t="n"/>
      <c r="F409" s="163" t="inlineStr">
        <is>
          <t>13/05/2026</t>
        </is>
      </c>
    </row>
    <row r="410">
      <c r="A410" s="160" t="inlineStr">
        <is>
          <t>000447</t>
        </is>
      </c>
      <c r="B410" s="161">
        <f>IFERROR(VLOOKUP(A410,_Protheus_Cadastro!$A:$B,2,FALSE),"PENDENTE")</f>
        <v/>
      </c>
      <c r="C410" s="162">
        <f>IFERROR(VLOOKUP(A410,_Protheus_Cadastro!$A:$G,7,FALSE),0)</f>
        <v/>
      </c>
      <c r="D410" s="163">
        <f>IFERROR(VLOOKUP(A410,_Protheus_Cadastro!$A:$D,4,FALSE),"")</f>
        <v/>
      </c>
      <c r="E410" s="161" t="n"/>
      <c r="F410" s="163" t="inlineStr">
        <is>
          <t>13/05/2026</t>
        </is>
      </c>
    </row>
    <row r="411">
      <c r="A411" s="160" t="inlineStr">
        <is>
          <t>000448</t>
        </is>
      </c>
      <c r="B411" s="161">
        <f>IFERROR(VLOOKUP(A411,_Protheus_Cadastro!$A:$B,2,FALSE),"PENDENTE")</f>
        <v/>
      </c>
      <c r="C411" s="162">
        <f>IFERROR(VLOOKUP(A411,_Protheus_Cadastro!$A:$G,7,FALSE),0)</f>
        <v/>
      </c>
      <c r="D411" s="163">
        <f>IFERROR(VLOOKUP(A411,_Protheus_Cadastro!$A:$D,4,FALSE),"")</f>
        <v/>
      </c>
      <c r="E411" s="161" t="n"/>
      <c r="F411" s="163" t="inlineStr">
        <is>
          <t>13/05/2026</t>
        </is>
      </c>
    </row>
    <row r="412">
      <c r="A412" s="160" t="inlineStr">
        <is>
          <t>000493</t>
        </is>
      </c>
      <c r="B412" s="161">
        <f>IFERROR(VLOOKUP(A412,_Protheus_Cadastro!$A:$B,2,FALSE),"PENDENTE")</f>
        <v/>
      </c>
      <c r="C412" s="162">
        <f>IFERROR(VLOOKUP(A412,_Protheus_Cadastro!$A:$G,7,FALSE),0)</f>
        <v/>
      </c>
      <c r="D412" s="163">
        <f>IFERROR(VLOOKUP(A412,_Protheus_Cadastro!$A:$D,4,FALSE),"")</f>
        <v/>
      </c>
      <c r="E412" s="161" t="n"/>
      <c r="F412" s="163" t="inlineStr">
        <is>
          <t>13/05/2026</t>
        </is>
      </c>
    </row>
    <row r="413">
      <c r="A413" s="160" t="inlineStr">
        <is>
          <t>000635</t>
        </is>
      </c>
      <c r="B413" s="161">
        <f>IFERROR(VLOOKUP(A413,_Protheus_Cadastro!$A:$B,2,FALSE),"PENDENTE")</f>
        <v/>
      </c>
      <c r="C413" s="162">
        <f>IFERROR(VLOOKUP(A413,_Protheus_Cadastro!$A:$G,7,FALSE),0)</f>
        <v/>
      </c>
      <c r="D413" s="163">
        <f>IFERROR(VLOOKUP(A413,_Protheus_Cadastro!$A:$D,4,FALSE),"")</f>
        <v/>
      </c>
      <c r="E413" s="161" t="n"/>
      <c r="F413" s="163" t="inlineStr">
        <is>
          <t>13/05/2026</t>
        </is>
      </c>
    </row>
    <row r="414">
      <c r="A414" s="160" t="inlineStr">
        <is>
          <t>000637</t>
        </is>
      </c>
      <c r="B414" s="161">
        <f>IFERROR(VLOOKUP(A414,_Protheus_Cadastro!$A:$B,2,FALSE),"PENDENTE")</f>
        <v/>
      </c>
      <c r="C414" s="162">
        <f>IFERROR(VLOOKUP(A414,_Protheus_Cadastro!$A:$G,7,FALSE),0)</f>
        <v/>
      </c>
      <c r="D414" s="163">
        <f>IFERROR(VLOOKUP(A414,_Protheus_Cadastro!$A:$D,4,FALSE),"")</f>
        <v/>
      </c>
      <c r="E414" s="161" t="n"/>
      <c r="F414" s="163" t="inlineStr">
        <is>
          <t>13/05/2026</t>
        </is>
      </c>
    </row>
    <row r="415">
      <c r="A415" s="160" t="inlineStr">
        <is>
          <t>000669</t>
        </is>
      </c>
      <c r="B415" s="161">
        <f>IFERROR(VLOOKUP(A415,_Protheus_Cadastro!$A:$B,2,FALSE),"PENDENTE")</f>
        <v/>
      </c>
      <c r="C415" s="162">
        <f>IFERROR(VLOOKUP(A415,_Protheus_Cadastro!$A:$G,7,FALSE),0)</f>
        <v/>
      </c>
      <c r="D415" s="163">
        <f>IFERROR(VLOOKUP(A415,_Protheus_Cadastro!$A:$D,4,FALSE),"")</f>
        <v/>
      </c>
      <c r="E415" s="161" t="n"/>
      <c r="F415" s="163" t="inlineStr">
        <is>
          <t>13/05/2026</t>
        </is>
      </c>
    </row>
    <row r="416">
      <c r="A416" s="160" t="inlineStr">
        <is>
          <t>000671</t>
        </is>
      </c>
      <c r="B416" s="161">
        <f>IFERROR(VLOOKUP(A416,_Protheus_Cadastro!$A:$B,2,FALSE),"PENDENTE")</f>
        <v/>
      </c>
      <c r="C416" s="162">
        <f>IFERROR(VLOOKUP(A416,_Protheus_Cadastro!$A:$G,7,FALSE),0)</f>
        <v/>
      </c>
      <c r="D416" s="163">
        <f>IFERROR(VLOOKUP(A416,_Protheus_Cadastro!$A:$D,4,FALSE),"")</f>
        <v/>
      </c>
      <c r="E416" s="161" t="n"/>
      <c r="F416" s="163" t="inlineStr">
        <is>
          <t>13/05/2026</t>
        </is>
      </c>
    </row>
    <row r="417">
      <c r="A417" s="160" t="inlineStr">
        <is>
          <t>000696</t>
        </is>
      </c>
      <c r="B417" s="161">
        <f>IFERROR(VLOOKUP(A417,_Protheus_Cadastro!$A:$B,2,FALSE),"PENDENTE")</f>
        <v/>
      </c>
      <c r="C417" s="162">
        <f>IFERROR(VLOOKUP(A417,_Protheus_Cadastro!$A:$G,7,FALSE),0)</f>
        <v/>
      </c>
      <c r="D417" s="163">
        <f>IFERROR(VLOOKUP(A417,_Protheus_Cadastro!$A:$D,4,FALSE),"")</f>
        <v/>
      </c>
      <c r="E417" s="161" t="n"/>
      <c r="F417" s="163" t="inlineStr">
        <is>
          <t>13/05/2026</t>
        </is>
      </c>
    </row>
    <row r="418">
      <c r="A418" s="160" t="inlineStr">
        <is>
          <t>000697</t>
        </is>
      </c>
      <c r="B418" s="161">
        <f>IFERROR(VLOOKUP(A418,_Protheus_Cadastro!$A:$B,2,FALSE),"PENDENTE")</f>
        <v/>
      </c>
      <c r="C418" s="162">
        <f>IFERROR(VLOOKUP(A418,_Protheus_Cadastro!$A:$G,7,FALSE),0)</f>
        <v/>
      </c>
      <c r="D418" s="163">
        <f>IFERROR(VLOOKUP(A418,_Protheus_Cadastro!$A:$D,4,FALSE),"")</f>
        <v/>
      </c>
      <c r="E418" s="161" t="n"/>
      <c r="F418" s="163" t="inlineStr">
        <is>
          <t>13/05/2026</t>
        </is>
      </c>
    </row>
    <row r="419">
      <c r="A419" s="160" t="inlineStr">
        <is>
          <t>000707</t>
        </is>
      </c>
      <c r="B419" s="161">
        <f>IFERROR(VLOOKUP(A419,_Protheus_Cadastro!$A:$B,2,FALSE),"PENDENTE")</f>
        <v/>
      </c>
      <c r="C419" s="162">
        <f>IFERROR(VLOOKUP(A419,_Protheus_Cadastro!$A:$G,7,FALSE),0)</f>
        <v/>
      </c>
      <c r="D419" s="163">
        <f>IFERROR(VLOOKUP(A419,_Protheus_Cadastro!$A:$D,4,FALSE),"")</f>
        <v/>
      </c>
      <c r="E419" s="161" t="n"/>
      <c r="F419" s="163" t="inlineStr">
        <is>
          <t>13/05/2026</t>
        </is>
      </c>
    </row>
    <row r="420">
      <c r="A420" s="160" t="inlineStr">
        <is>
          <t>000898</t>
        </is>
      </c>
      <c r="B420" s="161">
        <f>IFERROR(VLOOKUP(A420,_Protheus_Cadastro!$A:$B,2,FALSE),"PENDENTE")</f>
        <v/>
      </c>
      <c r="C420" s="162">
        <f>IFERROR(VLOOKUP(A420,_Protheus_Cadastro!$A:$G,7,FALSE),0)</f>
        <v/>
      </c>
      <c r="D420" s="163">
        <f>IFERROR(VLOOKUP(A420,_Protheus_Cadastro!$A:$D,4,FALSE),"")</f>
        <v/>
      </c>
      <c r="E420" s="161" t="n"/>
      <c r="F420" s="163" t="inlineStr">
        <is>
          <t>13/05/2026</t>
        </is>
      </c>
    </row>
    <row r="421">
      <c r="A421" s="160" t="inlineStr">
        <is>
          <t>000969</t>
        </is>
      </c>
      <c r="B421" s="161">
        <f>IFERROR(VLOOKUP(A421,_Protheus_Cadastro!$A:$B,2,FALSE),"PENDENTE")</f>
        <v/>
      </c>
      <c r="C421" s="162">
        <f>IFERROR(VLOOKUP(A421,_Protheus_Cadastro!$A:$G,7,FALSE),0)</f>
        <v/>
      </c>
      <c r="D421" s="163">
        <f>IFERROR(VLOOKUP(A421,_Protheus_Cadastro!$A:$D,4,FALSE),"")</f>
        <v/>
      </c>
      <c r="E421" s="161" t="n"/>
      <c r="F421" s="163" t="inlineStr">
        <is>
          <t>13/05/2026</t>
        </is>
      </c>
    </row>
    <row r="422">
      <c r="A422" s="160" t="inlineStr">
        <is>
          <t>000973</t>
        </is>
      </c>
      <c r="B422" s="161">
        <f>IFERROR(VLOOKUP(A422,_Protheus_Cadastro!$A:$B,2,FALSE),"PENDENTE")</f>
        <v/>
      </c>
      <c r="C422" s="162">
        <f>IFERROR(VLOOKUP(A422,_Protheus_Cadastro!$A:$G,7,FALSE),0)</f>
        <v/>
      </c>
      <c r="D422" s="163">
        <f>IFERROR(VLOOKUP(A422,_Protheus_Cadastro!$A:$D,4,FALSE),"")</f>
        <v/>
      </c>
      <c r="E422" s="161" t="n"/>
      <c r="F422" s="163" t="inlineStr">
        <is>
          <t>13/05/2026</t>
        </is>
      </c>
    </row>
    <row r="423">
      <c r="A423" s="160" t="inlineStr">
        <is>
          <t>000979</t>
        </is>
      </c>
      <c r="B423" s="161">
        <f>IFERROR(VLOOKUP(A423,_Protheus_Cadastro!$A:$B,2,FALSE),"PENDENTE")</f>
        <v/>
      </c>
      <c r="C423" s="162">
        <f>IFERROR(VLOOKUP(A423,_Protheus_Cadastro!$A:$G,7,FALSE),0)</f>
        <v/>
      </c>
      <c r="D423" s="163">
        <f>IFERROR(VLOOKUP(A423,_Protheus_Cadastro!$A:$D,4,FALSE),"")</f>
        <v/>
      </c>
      <c r="E423" s="161" t="n"/>
      <c r="F423" s="163" t="inlineStr">
        <is>
          <t>13/05/2026</t>
        </is>
      </c>
    </row>
    <row r="424">
      <c r="A424" s="160" t="inlineStr">
        <is>
          <t>001130</t>
        </is>
      </c>
      <c r="B424" s="161">
        <f>IFERROR(VLOOKUP(A424,_Protheus_Cadastro!$A:$B,2,FALSE),"PENDENTE")</f>
        <v/>
      </c>
      <c r="C424" s="162">
        <f>IFERROR(VLOOKUP(A424,_Protheus_Cadastro!$A:$G,7,FALSE),0)</f>
        <v/>
      </c>
      <c r="D424" s="163">
        <f>IFERROR(VLOOKUP(A424,_Protheus_Cadastro!$A:$D,4,FALSE),"")</f>
        <v/>
      </c>
      <c r="E424" s="161" t="n"/>
      <c r="F424" s="163" t="inlineStr">
        <is>
          <t>13/05/2026</t>
        </is>
      </c>
    </row>
    <row r="425">
      <c r="A425" s="160" t="inlineStr">
        <is>
          <t>001141</t>
        </is>
      </c>
      <c r="B425" s="161">
        <f>IFERROR(VLOOKUP(A425,_Protheus_Cadastro!$A:$B,2,FALSE),"PENDENTE")</f>
        <v/>
      </c>
      <c r="C425" s="162">
        <f>IFERROR(VLOOKUP(A425,_Protheus_Cadastro!$A:$G,7,FALSE),0)</f>
        <v/>
      </c>
      <c r="D425" s="163">
        <f>IFERROR(VLOOKUP(A425,_Protheus_Cadastro!$A:$D,4,FALSE),"")</f>
        <v/>
      </c>
      <c r="E425" s="161" t="n"/>
      <c r="F425" s="163" t="inlineStr">
        <is>
          <t>13/05/2026</t>
        </is>
      </c>
    </row>
    <row r="426">
      <c r="A426" s="160" t="inlineStr">
        <is>
          <t>001163</t>
        </is>
      </c>
      <c r="B426" s="161">
        <f>IFERROR(VLOOKUP(A426,_Protheus_Cadastro!$A:$B,2,FALSE),"PENDENTE")</f>
        <v/>
      </c>
      <c r="C426" s="162">
        <f>IFERROR(VLOOKUP(A426,_Protheus_Cadastro!$A:$G,7,FALSE),0)</f>
        <v/>
      </c>
      <c r="D426" s="163">
        <f>IFERROR(VLOOKUP(A426,_Protheus_Cadastro!$A:$D,4,FALSE),"")</f>
        <v/>
      </c>
      <c r="E426" s="161" t="n"/>
      <c r="F426" s="163" t="inlineStr">
        <is>
          <t>13/05/2026</t>
        </is>
      </c>
    </row>
    <row r="427">
      <c r="A427" s="160" t="inlineStr">
        <is>
          <t>001171</t>
        </is>
      </c>
      <c r="B427" s="161">
        <f>IFERROR(VLOOKUP(A427,_Protheus_Cadastro!$A:$B,2,FALSE),"PENDENTE")</f>
        <v/>
      </c>
      <c r="C427" s="162">
        <f>IFERROR(VLOOKUP(A427,_Protheus_Cadastro!$A:$G,7,FALSE),0)</f>
        <v/>
      </c>
      <c r="D427" s="163">
        <f>IFERROR(VLOOKUP(A427,_Protheus_Cadastro!$A:$D,4,FALSE),"")</f>
        <v/>
      </c>
      <c r="E427" s="161" t="n"/>
      <c r="F427" s="163" t="inlineStr">
        <is>
          <t>13/05/2026</t>
        </is>
      </c>
    </row>
    <row r="428">
      <c r="A428" s="160" t="inlineStr">
        <is>
          <t>001172</t>
        </is>
      </c>
      <c r="B428" s="161">
        <f>IFERROR(VLOOKUP(A428,_Protheus_Cadastro!$A:$B,2,FALSE),"PENDENTE")</f>
        <v/>
      </c>
      <c r="C428" s="162">
        <f>IFERROR(VLOOKUP(A428,_Protheus_Cadastro!$A:$G,7,FALSE),0)</f>
        <v/>
      </c>
      <c r="D428" s="163">
        <f>IFERROR(VLOOKUP(A428,_Protheus_Cadastro!$A:$D,4,FALSE),"")</f>
        <v/>
      </c>
      <c r="E428" s="161" t="n"/>
      <c r="F428" s="163" t="inlineStr">
        <is>
          <t>13/05/2026</t>
        </is>
      </c>
    </row>
    <row r="429">
      <c r="A429" s="160" t="inlineStr">
        <is>
          <t>001181</t>
        </is>
      </c>
      <c r="B429" s="161">
        <f>IFERROR(VLOOKUP(A429,_Protheus_Cadastro!$A:$B,2,FALSE),"PENDENTE")</f>
        <v/>
      </c>
      <c r="C429" s="162">
        <f>IFERROR(VLOOKUP(A429,_Protheus_Cadastro!$A:$G,7,FALSE),0)</f>
        <v/>
      </c>
      <c r="D429" s="163">
        <f>IFERROR(VLOOKUP(A429,_Protheus_Cadastro!$A:$D,4,FALSE),"")</f>
        <v/>
      </c>
      <c r="E429" s="161" t="n"/>
      <c r="F429" s="163" t="inlineStr">
        <is>
          <t>13/05/2026</t>
        </is>
      </c>
    </row>
    <row r="430">
      <c r="A430" s="160" t="inlineStr">
        <is>
          <t>001189</t>
        </is>
      </c>
      <c r="B430" s="161">
        <f>IFERROR(VLOOKUP(A430,_Protheus_Cadastro!$A:$B,2,FALSE),"PENDENTE")</f>
        <v/>
      </c>
      <c r="C430" s="162">
        <f>IFERROR(VLOOKUP(A430,_Protheus_Cadastro!$A:$G,7,FALSE),0)</f>
        <v/>
      </c>
      <c r="D430" s="163">
        <f>IFERROR(VLOOKUP(A430,_Protheus_Cadastro!$A:$D,4,FALSE),"")</f>
        <v/>
      </c>
      <c r="E430" s="161" t="n"/>
      <c r="F430" s="163" t="inlineStr">
        <is>
          <t>13/05/2026</t>
        </is>
      </c>
    </row>
    <row r="431">
      <c r="A431" s="160" t="inlineStr">
        <is>
          <t>001255</t>
        </is>
      </c>
      <c r="B431" s="161">
        <f>IFERROR(VLOOKUP(A431,_Protheus_Cadastro!$A:$B,2,FALSE),"PENDENTE")</f>
        <v/>
      </c>
      <c r="C431" s="162">
        <f>IFERROR(VLOOKUP(A431,_Protheus_Cadastro!$A:$G,7,FALSE),0)</f>
        <v/>
      </c>
      <c r="D431" s="163">
        <f>IFERROR(VLOOKUP(A431,_Protheus_Cadastro!$A:$D,4,FALSE),"")</f>
        <v/>
      </c>
      <c r="E431" s="161" t="n"/>
      <c r="F431" s="163" t="inlineStr">
        <is>
          <t>13/05/2026</t>
        </is>
      </c>
    </row>
    <row r="432">
      <c r="A432" s="160" t="inlineStr">
        <is>
          <t>001314</t>
        </is>
      </c>
      <c r="B432" s="161">
        <f>IFERROR(VLOOKUP(A432,_Protheus_Cadastro!$A:$B,2,FALSE),"PENDENTE")</f>
        <v/>
      </c>
      <c r="C432" s="162">
        <f>IFERROR(VLOOKUP(A432,_Protheus_Cadastro!$A:$G,7,FALSE),0)</f>
        <v/>
      </c>
      <c r="D432" s="163">
        <f>IFERROR(VLOOKUP(A432,_Protheus_Cadastro!$A:$D,4,FALSE),"")</f>
        <v/>
      </c>
      <c r="E432" s="161" t="n"/>
      <c r="F432" s="163" t="inlineStr">
        <is>
          <t>13/05/2026</t>
        </is>
      </c>
    </row>
    <row r="433">
      <c r="A433" s="160" t="inlineStr">
        <is>
          <t>001344</t>
        </is>
      </c>
      <c r="B433" s="161">
        <f>IFERROR(VLOOKUP(A433,_Protheus_Cadastro!$A:$B,2,FALSE),"PENDENTE")</f>
        <v/>
      </c>
      <c r="C433" s="162">
        <f>IFERROR(VLOOKUP(A433,_Protheus_Cadastro!$A:$G,7,FALSE),0)</f>
        <v/>
      </c>
      <c r="D433" s="163">
        <f>IFERROR(VLOOKUP(A433,_Protheus_Cadastro!$A:$D,4,FALSE),"")</f>
        <v/>
      </c>
      <c r="E433" s="161" t="n"/>
      <c r="F433" s="163" t="inlineStr">
        <is>
          <t>13/05/2026</t>
        </is>
      </c>
    </row>
    <row r="434">
      <c r="A434" s="160" t="inlineStr">
        <is>
          <t>001460</t>
        </is>
      </c>
      <c r="B434" s="161">
        <f>IFERROR(VLOOKUP(A434,_Protheus_Cadastro!$A:$B,2,FALSE),"PENDENTE")</f>
        <v/>
      </c>
      <c r="C434" s="162">
        <f>IFERROR(VLOOKUP(A434,_Protheus_Cadastro!$A:$G,7,FALSE),0)</f>
        <v/>
      </c>
      <c r="D434" s="163">
        <f>IFERROR(VLOOKUP(A434,_Protheus_Cadastro!$A:$D,4,FALSE),"")</f>
        <v/>
      </c>
      <c r="E434" s="161" t="n"/>
      <c r="F434" s="163" t="inlineStr">
        <is>
          <t>13/05/2026</t>
        </is>
      </c>
    </row>
    <row r="435">
      <c r="A435" s="160" t="inlineStr">
        <is>
          <t>001519</t>
        </is>
      </c>
      <c r="B435" s="161">
        <f>IFERROR(VLOOKUP(A435,_Protheus_Cadastro!$A:$B,2,FALSE),"PENDENTE")</f>
        <v/>
      </c>
      <c r="C435" s="162">
        <f>IFERROR(VLOOKUP(A435,_Protheus_Cadastro!$A:$G,7,FALSE),0)</f>
        <v/>
      </c>
      <c r="D435" s="163">
        <f>IFERROR(VLOOKUP(A435,_Protheus_Cadastro!$A:$D,4,FALSE),"")</f>
        <v/>
      </c>
      <c r="E435" s="161" t="n"/>
      <c r="F435" s="163" t="inlineStr">
        <is>
          <t>13/05/2026</t>
        </is>
      </c>
    </row>
    <row r="436">
      <c r="A436" s="160" t="inlineStr">
        <is>
          <t>001523</t>
        </is>
      </c>
      <c r="B436" s="161">
        <f>IFERROR(VLOOKUP(A436,_Protheus_Cadastro!$A:$B,2,FALSE),"PENDENTE")</f>
        <v/>
      </c>
      <c r="C436" s="162">
        <f>IFERROR(VLOOKUP(A436,_Protheus_Cadastro!$A:$G,7,FALSE),0)</f>
        <v/>
      </c>
      <c r="D436" s="163">
        <f>IFERROR(VLOOKUP(A436,_Protheus_Cadastro!$A:$D,4,FALSE),"")</f>
        <v/>
      </c>
      <c r="E436" s="161" t="n"/>
      <c r="F436" s="163" t="inlineStr">
        <is>
          <t>13/05/2026</t>
        </is>
      </c>
    </row>
    <row r="437">
      <c r="A437" s="160" t="inlineStr">
        <is>
          <t>001524</t>
        </is>
      </c>
      <c r="B437" s="161">
        <f>IFERROR(VLOOKUP(A437,_Protheus_Cadastro!$A:$B,2,FALSE),"PENDENTE")</f>
        <v/>
      </c>
      <c r="C437" s="162">
        <f>IFERROR(VLOOKUP(A437,_Protheus_Cadastro!$A:$G,7,FALSE),0)</f>
        <v/>
      </c>
      <c r="D437" s="163">
        <f>IFERROR(VLOOKUP(A437,_Protheus_Cadastro!$A:$D,4,FALSE),"")</f>
        <v/>
      </c>
      <c r="E437" s="161" t="n"/>
      <c r="F437" s="163" t="inlineStr">
        <is>
          <t>13/05/2026</t>
        </is>
      </c>
    </row>
    <row r="438">
      <c r="A438" s="160" t="inlineStr">
        <is>
          <t>001525</t>
        </is>
      </c>
      <c r="B438" s="161">
        <f>IFERROR(VLOOKUP(A438,_Protheus_Cadastro!$A:$B,2,FALSE),"PENDENTE")</f>
        <v/>
      </c>
      <c r="C438" s="162">
        <f>IFERROR(VLOOKUP(A438,_Protheus_Cadastro!$A:$G,7,FALSE),0)</f>
        <v/>
      </c>
      <c r="D438" s="163">
        <f>IFERROR(VLOOKUP(A438,_Protheus_Cadastro!$A:$D,4,FALSE),"")</f>
        <v/>
      </c>
      <c r="E438" s="161" t="n"/>
      <c r="F438" s="163" t="inlineStr">
        <is>
          <t>13/05/2026</t>
        </is>
      </c>
    </row>
    <row r="439">
      <c r="A439" s="160" t="inlineStr">
        <is>
          <t>001570</t>
        </is>
      </c>
      <c r="B439" s="161">
        <f>IFERROR(VLOOKUP(A439,_Protheus_Cadastro!$A:$B,2,FALSE),"PENDENTE")</f>
        <v/>
      </c>
      <c r="C439" s="162">
        <f>IFERROR(VLOOKUP(A439,_Protheus_Cadastro!$A:$G,7,FALSE),0)</f>
        <v/>
      </c>
      <c r="D439" s="163">
        <f>IFERROR(VLOOKUP(A439,_Protheus_Cadastro!$A:$D,4,FALSE),"")</f>
        <v/>
      </c>
      <c r="E439" s="161" t="n"/>
      <c r="F439" s="163" t="inlineStr">
        <is>
          <t>13/05/2026</t>
        </is>
      </c>
    </row>
    <row r="440">
      <c r="A440" s="160" t="inlineStr">
        <is>
          <t>001589</t>
        </is>
      </c>
      <c r="B440" s="161">
        <f>IFERROR(VLOOKUP(A440,_Protheus_Cadastro!$A:$B,2,FALSE),"PENDENTE")</f>
        <v/>
      </c>
      <c r="C440" s="162">
        <f>IFERROR(VLOOKUP(A440,_Protheus_Cadastro!$A:$G,7,FALSE),0)</f>
        <v/>
      </c>
      <c r="D440" s="163">
        <f>IFERROR(VLOOKUP(A440,_Protheus_Cadastro!$A:$D,4,FALSE),"")</f>
        <v/>
      </c>
      <c r="E440" s="161" t="n"/>
      <c r="F440" s="163" t="inlineStr">
        <is>
          <t>13/05/2026</t>
        </is>
      </c>
    </row>
    <row r="441">
      <c r="A441" s="160" t="inlineStr">
        <is>
          <t>001627</t>
        </is>
      </c>
      <c r="B441" s="161">
        <f>IFERROR(VLOOKUP(A441,_Protheus_Cadastro!$A:$B,2,FALSE),"PENDENTE")</f>
        <v/>
      </c>
      <c r="C441" s="162">
        <f>IFERROR(VLOOKUP(A441,_Protheus_Cadastro!$A:$G,7,FALSE),0)</f>
        <v/>
      </c>
      <c r="D441" s="163">
        <f>IFERROR(VLOOKUP(A441,_Protheus_Cadastro!$A:$D,4,FALSE),"")</f>
        <v/>
      </c>
      <c r="E441" s="161" t="n"/>
      <c r="F441" s="163" t="inlineStr">
        <is>
          <t>13/05/2026</t>
        </is>
      </c>
    </row>
    <row r="442">
      <c r="A442" s="160" t="inlineStr">
        <is>
          <t>001639</t>
        </is>
      </c>
      <c r="B442" s="161">
        <f>IFERROR(VLOOKUP(A442,_Protheus_Cadastro!$A:$B,2,FALSE),"PENDENTE")</f>
        <v/>
      </c>
      <c r="C442" s="162">
        <f>IFERROR(VLOOKUP(A442,_Protheus_Cadastro!$A:$G,7,FALSE),0)</f>
        <v/>
      </c>
      <c r="D442" s="163">
        <f>IFERROR(VLOOKUP(A442,_Protheus_Cadastro!$A:$D,4,FALSE),"")</f>
        <v/>
      </c>
      <c r="E442" s="161" t="n"/>
      <c r="F442" s="163" t="inlineStr">
        <is>
          <t>13/05/2026</t>
        </is>
      </c>
    </row>
    <row r="443">
      <c r="A443" s="160" t="inlineStr">
        <is>
          <t>001640</t>
        </is>
      </c>
      <c r="B443" s="161">
        <f>IFERROR(VLOOKUP(A443,_Protheus_Cadastro!$A:$B,2,FALSE),"PENDENTE")</f>
        <v/>
      </c>
      <c r="C443" s="162">
        <f>IFERROR(VLOOKUP(A443,_Protheus_Cadastro!$A:$G,7,FALSE),0)</f>
        <v/>
      </c>
      <c r="D443" s="163">
        <f>IFERROR(VLOOKUP(A443,_Protheus_Cadastro!$A:$D,4,FALSE),"")</f>
        <v/>
      </c>
      <c r="E443" s="161" t="n"/>
      <c r="F443" s="163" t="inlineStr">
        <is>
          <t>13/05/2026</t>
        </is>
      </c>
    </row>
    <row r="444">
      <c r="A444" s="160" t="inlineStr">
        <is>
          <t>001641</t>
        </is>
      </c>
      <c r="B444" s="161">
        <f>IFERROR(VLOOKUP(A444,_Protheus_Cadastro!$A:$B,2,FALSE),"PENDENTE")</f>
        <v/>
      </c>
      <c r="C444" s="162">
        <f>IFERROR(VLOOKUP(A444,_Protheus_Cadastro!$A:$G,7,FALSE),0)</f>
        <v/>
      </c>
      <c r="D444" s="163">
        <f>IFERROR(VLOOKUP(A444,_Protheus_Cadastro!$A:$D,4,FALSE),"")</f>
        <v/>
      </c>
      <c r="E444" s="161" t="n"/>
      <c r="F444" s="163" t="inlineStr">
        <is>
          <t>13/05/2026</t>
        </is>
      </c>
    </row>
    <row r="445">
      <c r="A445" s="160" t="inlineStr">
        <is>
          <t>001642</t>
        </is>
      </c>
      <c r="B445" s="161">
        <f>IFERROR(VLOOKUP(A445,_Protheus_Cadastro!$A:$B,2,FALSE),"PENDENTE")</f>
        <v/>
      </c>
      <c r="C445" s="162">
        <f>IFERROR(VLOOKUP(A445,_Protheus_Cadastro!$A:$G,7,FALSE),0)</f>
        <v/>
      </c>
      <c r="D445" s="163">
        <f>IFERROR(VLOOKUP(A445,_Protheus_Cadastro!$A:$D,4,FALSE),"")</f>
        <v/>
      </c>
      <c r="E445" s="161" t="n"/>
      <c r="F445" s="163" t="inlineStr">
        <is>
          <t>13/05/2026</t>
        </is>
      </c>
    </row>
    <row r="446">
      <c r="A446" s="160" t="inlineStr">
        <is>
          <t>001694</t>
        </is>
      </c>
      <c r="B446" s="161">
        <f>IFERROR(VLOOKUP(A446,_Protheus_Cadastro!$A:$B,2,FALSE),"PENDENTE")</f>
        <v/>
      </c>
      <c r="C446" s="162">
        <f>IFERROR(VLOOKUP(A446,_Protheus_Cadastro!$A:$G,7,FALSE),0)</f>
        <v/>
      </c>
      <c r="D446" s="163">
        <f>IFERROR(VLOOKUP(A446,_Protheus_Cadastro!$A:$D,4,FALSE),"")</f>
        <v/>
      </c>
      <c r="E446" s="161" t="n"/>
      <c r="F446" s="163" t="inlineStr">
        <is>
          <t>13/05/2026</t>
        </is>
      </c>
    </row>
    <row r="447">
      <c r="A447" s="160" t="inlineStr">
        <is>
          <t>001750</t>
        </is>
      </c>
      <c r="B447" s="161">
        <f>IFERROR(VLOOKUP(A447,_Protheus_Cadastro!$A:$B,2,FALSE),"PENDENTE")</f>
        <v/>
      </c>
      <c r="C447" s="162">
        <f>IFERROR(VLOOKUP(A447,_Protheus_Cadastro!$A:$G,7,FALSE),0)</f>
        <v/>
      </c>
      <c r="D447" s="163">
        <f>IFERROR(VLOOKUP(A447,_Protheus_Cadastro!$A:$D,4,FALSE),"")</f>
        <v/>
      </c>
      <c r="E447" s="161" t="n"/>
      <c r="F447" s="163" t="inlineStr">
        <is>
          <t>13/05/2026</t>
        </is>
      </c>
    </row>
    <row r="448">
      <c r="A448" s="160" t="inlineStr">
        <is>
          <t>001786</t>
        </is>
      </c>
      <c r="B448" s="161">
        <f>IFERROR(VLOOKUP(A448,_Protheus_Cadastro!$A:$B,2,FALSE),"PENDENTE")</f>
        <v/>
      </c>
      <c r="C448" s="162">
        <f>IFERROR(VLOOKUP(A448,_Protheus_Cadastro!$A:$G,7,FALSE),0)</f>
        <v/>
      </c>
      <c r="D448" s="163">
        <f>IFERROR(VLOOKUP(A448,_Protheus_Cadastro!$A:$D,4,FALSE),"")</f>
        <v/>
      </c>
      <c r="E448" s="161" t="n"/>
      <c r="F448" s="163" t="inlineStr">
        <is>
          <t>13/05/2026</t>
        </is>
      </c>
    </row>
    <row r="449">
      <c r="A449" s="160" t="inlineStr">
        <is>
          <t>001918</t>
        </is>
      </c>
      <c r="B449" s="161">
        <f>IFERROR(VLOOKUP(A449,_Protheus_Cadastro!$A:$B,2,FALSE),"PENDENTE")</f>
        <v/>
      </c>
      <c r="C449" s="162">
        <f>IFERROR(VLOOKUP(A449,_Protheus_Cadastro!$A:$G,7,FALSE),0)</f>
        <v/>
      </c>
      <c r="D449" s="163">
        <f>IFERROR(VLOOKUP(A449,_Protheus_Cadastro!$A:$D,4,FALSE),"")</f>
        <v/>
      </c>
      <c r="E449" s="161" t="n"/>
      <c r="F449" s="163" t="inlineStr">
        <is>
          <t>13/05/2026</t>
        </is>
      </c>
    </row>
    <row r="450">
      <c r="A450" s="160" t="inlineStr">
        <is>
          <t>001977</t>
        </is>
      </c>
      <c r="B450" s="161">
        <f>IFERROR(VLOOKUP(A450,_Protheus_Cadastro!$A:$B,2,FALSE),"PENDENTE")</f>
        <v/>
      </c>
      <c r="C450" s="162">
        <f>IFERROR(VLOOKUP(A450,_Protheus_Cadastro!$A:$G,7,FALSE),0)</f>
        <v/>
      </c>
      <c r="D450" s="163">
        <f>IFERROR(VLOOKUP(A450,_Protheus_Cadastro!$A:$D,4,FALSE),"")</f>
        <v/>
      </c>
      <c r="E450" s="161" t="n"/>
      <c r="F450" s="163" t="inlineStr">
        <is>
          <t>13/05/2026</t>
        </is>
      </c>
    </row>
    <row r="451">
      <c r="A451" s="160" t="inlineStr">
        <is>
          <t>001984</t>
        </is>
      </c>
      <c r="B451" s="161">
        <f>IFERROR(VLOOKUP(A451,_Protheus_Cadastro!$A:$B,2,FALSE),"PENDENTE")</f>
        <v/>
      </c>
      <c r="C451" s="162">
        <f>IFERROR(VLOOKUP(A451,_Protheus_Cadastro!$A:$G,7,FALSE),0)</f>
        <v/>
      </c>
      <c r="D451" s="163">
        <f>IFERROR(VLOOKUP(A451,_Protheus_Cadastro!$A:$D,4,FALSE),"")</f>
        <v/>
      </c>
      <c r="E451" s="161" t="n"/>
      <c r="F451" s="163" t="inlineStr">
        <is>
          <t>13/05/2026</t>
        </is>
      </c>
    </row>
    <row r="452">
      <c r="A452" s="160" t="inlineStr">
        <is>
          <t>001985</t>
        </is>
      </c>
      <c r="B452" s="161">
        <f>IFERROR(VLOOKUP(A452,_Protheus_Cadastro!$A:$B,2,FALSE),"PENDENTE")</f>
        <v/>
      </c>
      <c r="C452" s="162">
        <f>IFERROR(VLOOKUP(A452,_Protheus_Cadastro!$A:$G,7,FALSE),0)</f>
        <v/>
      </c>
      <c r="D452" s="163">
        <f>IFERROR(VLOOKUP(A452,_Protheus_Cadastro!$A:$D,4,FALSE),"")</f>
        <v/>
      </c>
      <c r="E452" s="161" t="n"/>
      <c r="F452" s="163" t="inlineStr">
        <is>
          <t>13/05/2026</t>
        </is>
      </c>
    </row>
    <row r="453">
      <c r="A453" s="160" t="inlineStr">
        <is>
          <t>001996</t>
        </is>
      </c>
      <c r="B453" s="161">
        <f>IFERROR(VLOOKUP(A453,_Protheus_Cadastro!$A:$B,2,FALSE),"PENDENTE")</f>
        <v/>
      </c>
      <c r="C453" s="162">
        <f>IFERROR(VLOOKUP(A453,_Protheus_Cadastro!$A:$G,7,FALSE),0)</f>
        <v/>
      </c>
      <c r="D453" s="163">
        <f>IFERROR(VLOOKUP(A453,_Protheus_Cadastro!$A:$D,4,FALSE),"")</f>
        <v/>
      </c>
      <c r="E453" s="161" t="n"/>
      <c r="F453" s="163" t="inlineStr">
        <is>
          <t>13/05/2026</t>
        </is>
      </c>
    </row>
    <row r="454">
      <c r="A454" s="160" t="inlineStr">
        <is>
          <t>001997</t>
        </is>
      </c>
      <c r="B454" s="161">
        <f>IFERROR(VLOOKUP(A454,_Protheus_Cadastro!$A:$B,2,FALSE),"PENDENTE")</f>
        <v/>
      </c>
      <c r="C454" s="162">
        <f>IFERROR(VLOOKUP(A454,_Protheus_Cadastro!$A:$G,7,FALSE),0)</f>
        <v/>
      </c>
      <c r="D454" s="163">
        <f>IFERROR(VLOOKUP(A454,_Protheus_Cadastro!$A:$D,4,FALSE),"")</f>
        <v/>
      </c>
      <c r="E454" s="161" t="n"/>
      <c r="F454" s="163" t="inlineStr">
        <is>
          <t>13/05/2026</t>
        </is>
      </c>
    </row>
    <row r="455">
      <c r="A455" s="160" t="inlineStr">
        <is>
          <t>002002</t>
        </is>
      </c>
      <c r="B455" s="161">
        <f>IFERROR(VLOOKUP(A455,_Protheus_Cadastro!$A:$B,2,FALSE),"PENDENTE")</f>
        <v/>
      </c>
      <c r="C455" s="162">
        <f>IFERROR(VLOOKUP(A455,_Protheus_Cadastro!$A:$G,7,FALSE),0)</f>
        <v/>
      </c>
      <c r="D455" s="163">
        <f>IFERROR(VLOOKUP(A455,_Protheus_Cadastro!$A:$D,4,FALSE),"")</f>
        <v/>
      </c>
      <c r="E455" s="161" t="n"/>
      <c r="F455" s="163" t="inlineStr">
        <is>
          <t>13/05/2026</t>
        </is>
      </c>
    </row>
    <row r="456">
      <c r="A456" s="160" t="inlineStr">
        <is>
          <t>002009</t>
        </is>
      </c>
      <c r="B456" s="161">
        <f>IFERROR(VLOOKUP(A456,_Protheus_Cadastro!$A:$B,2,FALSE),"PENDENTE")</f>
        <v/>
      </c>
      <c r="C456" s="162">
        <f>IFERROR(VLOOKUP(A456,_Protheus_Cadastro!$A:$G,7,FALSE),0)</f>
        <v/>
      </c>
      <c r="D456" s="163">
        <f>IFERROR(VLOOKUP(A456,_Protheus_Cadastro!$A:$D,4,FALSE),"")</f>
        <v/>
      </c>
      <c r="E456" s="161" t="n"/>
      <c r="F456" s="163" t="inlineStr">
        <is>
          <t>13/05/2026</t>
        </is>
      </c>
    </row>
    <row r="457">
      <c r="A457" s="160" t="inlineStr">
        <is>
          <t>002033</t>
        </is>
      </c>
      <c r="B457" s="161">
        <f>IFERROR(VLOOKUP(A457,_Protheus_Cadastro!$A:$B,2,FALSE),"PENDENTE")</f>
        <v/>
      </c>
      <c r="C457" s="162">
        <f>IFERROR(VLOOKUP(A457,_Protheus_Cadastro!$A:$G,7,FALSE),0)</f>
        <v/>
      </c>
      <c r="D457" s="163">
        <f>IFERROR(VLOOKUP(A457,_Protheus_Cadastro!$A:$D,4,FALSE),"")</f>
        <v/>
      </c>
      <c r="E457" s="161" t="n"/>
      <c r="F457" s="163" t="inlineStr">
        <is>
          <t>13/05/2026</t>
        </is>
      </c>
    </row>
    <row r="458">
      <c r="A458" s="160" t="inlineStr">
        <is>
          <t>002218</t>
        </is>
      </c>
      <c r="B458" s="161">
        <f>IFERROR(VLOOKUP(A458,_Protheus_Cadastro!$A:$B,2,FALSE),"PENDENTE")</f>
        <v/>
      </c>
      <c r="C458" s="162">
        <f>IFERROR(VLOOKUP(A458,_Protheus_Cadastro!$A:$G,7,FALSE),0)</f>
        <v/>
      </c>
      <c r="D458" s="163">
        <f>IFERROR(VLOOKUP(A458,_Protheus_Cadastro!$A:$D,4,FALSE),"")</f>
        <v/>
      </c>
      <c r="E458" s="161" t="n"/>
      <c r="F458" s="163" t="inlineStr">
        <is>
          <t>13/05/2026</t>
        </is>
      </c>
    </row>
    <row r="459">
      <c r="A459" s="160" t="inlineStr">
        <is>
          <t>002281</t>
        </is>
      </c>
      <c r="B459" s="161">
        <f>IFERROR(VLOOKUP(A459,_Protheus_Cadastro!$A:$B,2,FALSE),"PENDENTE")</f>
        <v/>
      </c>
      <c r="C459" s="162">
        <f>IFERROR(VLOOKUP(A459,_Protheus_Cadastro!$A:$G,7,FALSE),0)</f>
        <v/>
      </c>
      <c r="D459" s="163">
        <f>IFERROR(VLOOKUP(A459,_Protheus_Cadastro!$A:$D,4,FALSE),"")</f>
        <v/>
      </c>
      <c r="E459" s="161" t="n"/>
      <c r="F459" s="163" t="inlineStr">
        <is>
          <t>13/05/2026</t>
        </is>
      </c>
    </row>
    <row r="460">
      <c r="A460" s="160" t="inlineStr">
        <is>
          <t>002282</t>
        </is>
      </c>
      <c r="B460" s="161">
        <f>IFERROR(VLOOKUP(A460,_Protheus_Cadastro!$A:$B,2,FALSE),"PENDENTE")</f>
        <v/>
      </c>
      <c r="C460" s="162">
        <f>IFERROR(VLOOKUP(A460,_Protheus_Cadastro!$A:$G,7,FALSE),0)</f>
        <v/>
      </c>
      <c r="D460" s="163">
        <f>IFERROR(VLOOKUP(A460,_Protheus_Cadastro!$A:$D,4,FALSE),"")</f>
        <v/>
      </c>
      <c r="E460" s="161" t="n"/>
      <c r="F460" s="163" t="inlineStr">
        <is>
          <t>13/05/2026</t>
        </is>
      </c>
    </row>
    <row r="461">
      <c r="A461" s="160" t="inlineStr">
        <is>
          <t>002283</t>
        </is>
      </c>
      <c r="B461" s="161">
        <f>IFERROR(VLOOKUP(A461,_Protheus_Cadastro!$A:$B,2,FALSE),"PENDENTE")</f>
        <v/>
      </c>
      <c r="C461" s="162">
        <f>IFERROR(VLOOKUP(A461,_Protheus_Cadastro!$A:$G,7,FALSE),0)</f>
        <v/>
      </c>
      <c r="D461" s="163">
        <f>IFERROR(VLOOKUP(A461,_Protheus_Cadastro!$A:$D,4,FALSE),"")</f>
        <v/>
      </c>
      <c r="E461" s="161" t="n"/>
      <c r="F461" s="163" t="inlineStr">
        <is>
          <t>13/05/2026</t>
        </is>
      </c>
    </row>
    <row r="462">
      <c r="A462" s="160" t="inlineStr">
        <is>
          <t>010396</t>
        </is>
      </c>
      <c r="B462" s="161">
        <f>IFERROR(VLOOKUP(A462,_Protheus_Cadastro!$A:$B,2,FALSE),"PENDENTE")</f>
        <v/>
      </c>
      <c r="C462" s="162">
        <f>IFERROR(VLOOKUP(A462,_Protheus_Cadastro!$A:$G,7,FALSE),0)</f>
        <v/>
      </c>
      <c r="D462" s="163">
        <f>IFERROR(VLOOKUP(A462,_Protheus_Cadastro!$A:$D,4,FALSE),"")</f>
        <v/>
      </c>
      <c r="E462" s="161" t="n"/>
      <c r="F462" s="163" t="inlineStr">
        <is>
          <t>13/05/2026</t>
        </is>
      </c>
    </row>
    <row r="463">
      <c r="A463" s="160" t="inlineStr">
        <is>
          <t>010398</t>
        </is>
      </c>
      <c r="B463" s="161">
        <f>IFERROR(VLOOKUP(A463,_Protheus_Cadastro!$A:$B,2,FALSE),"PENDENTE")</f>
        <v/>
      </c>
      <c r="C463" s="162">
        <f>IFERROR(VLOOKUP(A463,_Protheus_Cadastro!$A:$G,7,FALSE),0)</f>
        <v/>
      </c>
      <c r="D463" s="163">
        <f>IFERROR(VLOOKUP(A463,_Protheus_Cadastro!$A:$D,4,FALSE),"")</f>
        <v/>
      </c>
      <c r="E463" s="161" t="n"/>
      <c r="F463" s="163" t="inlineStr">
        <is>
          <t>13/05/2026</t>
        </is>
      </c>
    </row>
    <row r="464">
      <c r="A464" s="160" t="inlineStr">
        <is>
          <t>010430</t>
        </is>
      </c>
      <c r="B464" s="161">
        <f>IFERROR(VLOOKUP(A464,_Protheus_Cadastro!$A:$B,2,FALSE),"PENDENTE")</f>
        <v/>
      </c>
      <c r="C464" s="162">
        <f>IFERROR(VLOOKUP(A464,_Protheus_Cadastro!$A:$G,7,FALSE),0)</f>
        <v/>
      </c>
      <c r="D464" s="163">
        <f>IFERROR(VLOOKUP(A464,_Protheus_Cadastro!$A:$D,4,FALSE),"")</f>
        <v/>
      </c>
      <c r="E464" s="161" t="n"/>
      <c r="F464" s="163" t="inlineStr">
        <is>
          <t>13/05/2026</t>
        </is>
      </c>
    </row>
    <row r="465">
      <c r="A465" s="160" t="inlineStr">
        <is>
          <t>010431</t>
        </is>
      </c>
      <c r="B465" s="161">
        <f>IFERROR(VLOOKUP(A465,_Protheus_Cadastro!$A:$B,2,FALSE),"PENDENTE")</f>
        <v/>
      </c>
      <c r="C465" s="162">
        <f>IFERROR(VLOOKUP(A465,_Protheus_Cadastro!$A:$G,7,FALSE),0)</f>
        <v/>
      </c>
      <c r="D465" s="163">
        <f>IFERROR(VLOOKUP(A465,_Protheus_Cadastro!$A:$D,4,FALSE),"")</f>
        <v/>
      </c>
      <c r="E465" s="161" t="n"/>
      <c r="F465" s="163" t="inlineStr">
        <is>
          <t>13/05/2026</t>
        </is>
      </c>
    </row>
    <row r="466">
      <c r="A466" s="160" t="inlineStr">
        <is>
          <t>12151009</t>
        </is>
      </c>
      <c r="B466" s="161">
        <f>IFERROR(VLOOKUP(A466,_Protheus_Cadastro!$A:$B,2,FALSE),"PENDENTE")</f>
        <v/>
      </c>
      <c r="C466" s="162">
        <f>IFERROR(VLOOKUP(A466,_Protheus_Cadastro!$A:$G,7,FALSE),0)</f>
        <v/>
      </c>
      <c r="D466" s="163">
        <f>IFERROR(VLOOKUP(A466,_Protheus_Cadastro!$A:$D,4,FALSE),"")</f>
        <v/>
      </c>
      <c r="E466" s="161" t="n"/>
      <c r="F466" s="163" t="inlineStr">
        <is>
          <t>13/05/2026</t>
        </is>
      </c>
    </row>
    <row r="467">
      <c r="A467" s="160" t="inlineStr">
        <is>
          <t>1941</t>
        </is>
      </c>
      <c r="B467" s="161">
        <f>IFERROR(VLOOKUP(A467,_Protheus_Cadastro!$A:$B,2,FALSE),"PENDENTE")</f>
        <v/>
      </c>
      <c r="C467" s="162">
        <f>IFERROR(VLOOKUP(A467,_Protheus_Cadastro!$A:$G,7,FALSE),0)</f>
        <v/>
      </c>
      <c r="D467" s="163">
        <f>IFERROR(VLOOKUP(A467,_Protheus_Cadastro!$A:$D,4,FALSE),"")</f>
        <v/>
      </c>
      <c r="E467" s="161" t="n"/>
      <c r="F467" s="163" t="inlineStr">
        <is>
          <t>13/05/2026</t>
        </is>
      </c>
    </row>
    <row r="468">
      <c r="A468" s="160" t="inlineStr">
        <is>
          <t>9090</t>
        </is>
      </c>
      <c r="B468" s="161">
        <f>IFERROR(VLOOKUP(A468,_Protheus_Cadastro!$A:$B,2,FALSE),"PENDENTE")</f>
        <v/>
      </c>
      <c r="C468" s="162">
        <f>IFERROR(VLOOKUP(A468,_Protheus_Cadastro!$A:$G,7,FALSE),0)</f>
        <v/>
      </c>
      <c r="D468" s="163">
        <f>IFERROR(VLOOKUP(A468,_Protheus_Cadastro!$A:$D,4,FALSE),"")</f>
        <v/>
      </c>
      <c r="E468" s="161" t="n"/>
      <c r="F468" s="163" t="inlineStr">
        <is>
          <t>13/05/2026</t>
        </is>
      </c>
    </row>
    <row r="469">
      <c r="A469" s="160" t="inlineStr">
        <is>
          <t>9191</t>
        </is>
      </c>
      <c r="B469" s="161">
        <f>IFERROR(VLOOKUP(A469,_Protheus_Cadastro!$A:$B,2,FALSE),"PENDENTE")</f>
        <v/>
      </c>
      <c r="C469" s="162">
        <f>IFERROR(VLOOKUP(A469,_Protheus_Cadastro!$A:$G,7,FALSE),0)</f>
        <v/>
      </c>
      <c r="D469" s="163">
        <f>IFERROR(VLOOKUP(A469,_Protheus_Cadastro!$A:$D,4,FALSE),"")</f>
        <v/>
      </c>
      <c r="E469" s="161" t="n"/>
      <c r="F469" s="163" t="inlineStr">
        <is>
          <t>13/05/2026</t>
        </is>
      </c>
    </row>
    <row r="470">
      <c r="A470" s="160" t="inlineStr">
        <is>
          <t>9292</t>
        </is>
      </c>
      <c r="B470" s="161">
        <f>IFERROR(VLOOKUP(A470,_Protheus_Cadastro!$A:$B,2,FALSE),"PENDENTE")</f>
        <v/>
      </c>
      <c r="C470" s="162">
        <f>IFERROR(VLOOKUP(A470,_Protheus_Cadastro!$A:$G,7,FALSE),0)</f>
        <v/>
      </c>
      <c r="D470" s="163">
        <f>IFERROR(VLOOKUP(A470,_Protheus_Cadastro!$A:$D,4,FALSE),"")</f>
        <v/>
      </c>
      <c r="E470" s="161" t="n"/>
      <c r="F470" s="163" t="inlineStr">
        <is>
          <t>13/05/2026</t>
        </is>
      </c>
    </row>
    <row r="471">
      <c r="A471" s="160" t="inlineStr">
        <is>
          <t>PACOT11</t>
        </is>
      </c>
      <c r="B471" s="161">
        <f>IFERROR(VLOOKUP(A471,_Protheus_Cadastro!$A:$B,2,FALSE),"PENDENTE")</f>
        <v/>
      </c>
      <c r="C471" s="162">
        <f>IFERROR(VLOOKUP(A471,_Protheus_Cadastro!$A:$G,7,FALSE),0)</f>
        <v/>
      </c>
      <c r="D471" s="163">
        <f>IFERROR(VLOOKUP(A471,_Protheus_Cadastro!$A:$D,4,FALSE),"")</f>
        <v/>
      </c>
      <c r="E471" s="161" t="n"/>
      <c r="F471" s="163" t="inlineStr">
        <is>
          <t>13/05/2026</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1162"/>
  <sheetViews>
    <sheetView zoomScale="110" zoomScaleNormal="110" workbookViewId="0">
      <selection activeCell="E1168" sqref="E1168"/>
    </sheetView>
  </sheetViews>
  <sheetFormatPr baseColWidth="8" defaultColWidth="9.140625" defaultRowHeight="15" customHeight="1"/>
  <cols>
    <col width="5.28515625" bestFit="1" customWidth="1" style="105" min="1" max="1"/>
    <col width="8" bestFit="1" customWidth="1" style="105" min="2" max="2"/>
    <col width="39.7109375" bestFit="1" customWidth="1" style="105" min="3" max="3"/>
    <col width="6.5703125" bestFit="1" customWidth="1" style="105" min="4" max="4"/>
    <col width="7.5703125" bestFit="1" customWidth="1" style="105" min="5" max="5"/>
    <col width="8.140625" bestFit="1" customWidth="1" style="105" min="6" max="6"/>
    <col width="8.42578125" bestFit="1" customWidth="1" style="105" min="7" max="7"/>
    <col width="7.5703125" bestFit="1" customWidth="1" style="105" min="8" max="8"/>
    <col width="5.85546875" bestFit="1" customWidth="1" style="105" min="9" max="9"/>
    <col width="6.140625" bestFit="1" customWidth="1" style="105" min="10" max="10"/>
    <col width="7" bestFit="1" customWidth="1" style="105" min="11" max="11"/>
    <col width="3.5703125" bestFit="1" customWidth="1" style="105" min="12" max="12"/>
    <col width="8" bestFit="1" customWidth="1" style="105" min="13" max="13"/>
    <col width="9.140625" customWidth="1" style="105" min="14" max="19"/>
    <col width="9.140625" customWidth="1" style="105" min="20" max="16384"/>
  </cols>
  <sheetData>
    <row r="1" ht="15" customHeight="1">
      <c r="A1" s="114" t="inlineStr">
        <is>
          <t>Codigo</t>
        </is>
      </c>
      <c r="B1" s="114" t="inlineStr">
        <is>
          <t>Componente</t>
        </is>
      </c>
      <c r="C1" s="114" t="inlineStr">
        <is>
          <t>Descricao</t>
        </is>
      </c>
      <c r="D1" s="114" t="inlineStr">
        <is>
          <t>Sequencia</t>
        </is>
      </c>
      <c r="E1" s="114" t="inlineStr">
        <is>
          <t>Quantidade</t>
        </is>
      </c>
      <c r="F1" s="114" t="inlineStr">
        <is>
          <t>Cust Med Ini</t>
        </is>
      </c>
      <c r="G1" s="114" t="inlineStr">
        <is>
          <t>Cust Med Atu</t>
        </is>
      </c>
      <c r="H1" s="114" t="inlineStr">
        <is>
          <t>Indice Perda</t>
        </is>
      </c>
      <c r="I1" s="114" t="inlineStr">
        <is>
          <t>Potencia</t>
        </is>
      </c>
      <c r="J1" s="114" t="inlineStr">
        <is>
          <t>Armazem</t>
        </is>
      </c>
      <c r="K1" s="114" t="inlineStr">
        <is>
          <t>Fantasma?</t>
        </is>
      </c>
      <c r="L1" s="114" t="inlineStr">
        <is>
          <t>Lista</t>
        </is>
      </c>
      <c r="M1" s="114" t="inlineStr">
        <is>
          <t>Custo Medio</t>
        </is>
      </c>
    </row>
    <row r="2" ht="15" customHeight="1">
      <c r="A2" s="107" t="inlineStr">
        <is>
          <t>002238</t>
        </is>
      </c>
      <c r="B2" s="107" t="inlineStr">
        <is>
          <t>000454</t>
        </is>
      </c>
      <c r="C2" s="107" t="inlineStr">
        <is>
          <t>BATATA MCAIM 9 MM 2,5KG</t>
        </is>
      </c>
      <c r="D2" s="107" t="n"/>
      <c r="E2" s="191" t="n">
        <v>0.15</v>
      </c>
      <c r="F2" s="192" t="n">
        <v>0</v>
      </c>
      <c r="G2" s="193" t="n">
        <v>0</v>
      </c>
      <c r="H2" s="192" t="n">
        <v>0</v>
      </c>
      <c r="I2" s="192" t="n">
        <v>0</v>
      </c>
      <c r="J2" s="107" t="n"/>
      <c r="K2" s="107" t="n"/>
      <c r="L2" s="107" t="n"/>
      <c r="M2" s="192" t="n">
        <v>0</v>
      </c>
    </row>
    <row r="3" ht="15" customHeight="1">
      <c r="A3" s="111" t="inlineStr">
        <is>
          <t>000001</t>
        </is>
      </c>
      <c r="B3" s="111" t="inlineStr">
        <is>
          <t>000286</t>
        </is>
      </c>
      <c r="C3" s="111" t="inlineStr">
        <is>
          <t>ESPETO BOVINO</t>
        </is>
      </c>
      <c r="D3" s="111" t="n"/>
      <c r="E3" s="194" t="n">
        <v>7</v>
      </c>
      <c r="F3" s="195" t="n">
        <v>0</v>
      </c>
      <c r="G3" s="196" t="n">
        <v>0</v>
      </c>
      <c r="H3" s="195" t="n">
        <v>0</v>
      </c>
      <c r="I3" s="195" t="n">
        <v>0</v>
      </c>
      <c r="J3" s="111" t="n"/>
      <c r="K3" s="111" t="n"/>
      <c r="L3" s="111" t="n"/>
      <c r="M3" s="195" t="n">
        <v>0</v>
      </c>
    </row>
    <row r="4" ht="15" customHeight="1">
      <c r="A4" s="107" t="inlineStr">
        <is>
          <t>000002</t>
        </is>
      </c>
      <c r="B4" s="107" t="inlineStr">
        <is>
          <t>000287</t>
        </is>
      </c>
      <c r="C4" s="107" t="inlineStr">
        <is>
          <t>ESPETO CALABRESA C/ PIMENTA</t>
        </is>
      </c>
      <c r="D4" s="107" t="n"/>
      <c r="E4" s="191" t="n">
        <v>6</v>
      </c>
      <c r="F4" s="192" t="n">
        <v>0</v>
      </c>
      <c r="G4" s="193" t="n">
        <v>0</v>
      </c>
      <c r="H4" s="192" t="n">
        <v>0</v>
      </c>
      <c r="I4" s="192" t="n">
        <v>0</v>
      </c>
      <c r="J4" s="107" t="n"/>
      <c r="K4" s="107" t="n"/>
      <c r="L4" s="107" t="n"/>
      <c r="M4" s="192" t="n">
        <v>0</v>
      </c>
    </row>
    <row r="5" ht="15" customHeight="1">
      <c r="A5" s="111" t="inlineStr">
        <is>
          <t>000003</t>
        </is>
      </c>
      <c r="B5" s="111" t="inlineStr">
        <is>
          <t>000288</t>
        </is>
      </c>
      <c r="C5" s="111" t="inlineStr">
        <is>
          <t>ESPETO CALABRESA S/ PIMENTA</t>
        </is>
      </c>
      <c r="D5" s="111" t="n"/>
      <c r="E5" s="194" t="n">
        <v>6</v>
      </c>
      <c r="F5" s="195" t="n">
        <v>0</v>
      </c>
      <c r="G5" s="196" t="n">
        <v>0</v>
      </c>
      <c r="H5" s="195" t="n">
        <v>0</v>
      </c>
      <c r="I5" s="195" t="n">
        <v>0</v>
      </c>
      <c r="J5" s="111" t="n"/>
      <c r="K5" s="111" t="n"/>
      <c r="L5" s="111" t="n"/>
      <c r="M5" s="195" t="n">
        <v>0</v>
      </c>
    </row>
    <row r="6" ht="15" customHeight="1">
      <c r="A6" s="107" t="inlineStr">
        <is>
          <t>000004</t>
        </is>
      </c>
      <c r="B6" s="107" t="inlineStr">
        <is>
          <t>000289</t>
        </is>
      </c>
      <c r="C6" s="107" t="inlineStr">
        <is>
          <t>ESPETO CORACAO</t>
        </is>
      </c>
      <c r="D6" s="107" t="n"/>
      <c r="E6" s="191" t="n">
        <v>7</v>
      </c>
      <c r="F6" s="192" t="n">
        <v>3161.03</v>
      </c>
      <c r="G6" s="193" t="n">
        <v>0</v>
      </c>
      <c r="H6" s="192" t="n">
        <v>0</v>
      </c>
      <c r="I6" s="192" t="n">
        <v>0</v>
      </c>
      <c r="J6" s="107" t="n"/>
      <c r="K6" s="107" t="n"/>
      <c r="L6" s="107" t="n"/>
      <c r="M6" s="192" t="n">
        <v>0</v>
      </c>
    </row>
    <row r="7" ht="15" customHeight="1">
      <c r="A7" s="111" t="inlineStr">
        <is>
          <t>000005</t>
        </is>
      </c>
      <c r="B7" s="111" t="inlineStr">
        <is>
          <t>000290</t>
        </is>
      </c>
      <c r="C7" s="111" t="inlineStr">
        <is>
          <t>ESPETO COSTELINHA BOVINA</t>
        </is>
      </c>
      <c r="D7" s="111" t="n"/>
      <c r="E7" s="194" t="n">
        <v>7</v>
      </c>
      <c r="F7" s="195" t="n">
        <v>24252.4</v>
      </c>
      <c r="G7" s="196" t="n">
        <v>0</v>
      </c>
      <c r="H7" s="195" t="n">
        <v>0</v>
      </c>
      <c r="I7" s="195" t="n">
        <v>0</v>
      </c>
      <c r="J7" s="111" t="n"/>
      <c r="K7" s="111" t="n"/>
      <c r="L7" s="111" t="n"/>
      <c r="M7" s="195" t="n">
        <v>0</v>
      </c>
    </row>
    <row r="8" ht="15" customHeight="1">
      <c r="A8" s="107" t="inlineStr">
        <is>
          <t>000006</t>
        </is>
      </c>
      <c r="B8" s="107" t="inlineStr">
        <is>
          <t>000291</t>
        </is>
      </c>
      <c r="C8" s="107" t="inlineStr">
        <is>
          <t>ESPETO FRANGO</t>
        </is>
      </c>
      <c r="D8" s="107" t="n"/>
      <c r="E8" s="191" t="n">
        <v>7</v>
      </c>
      <c r="F8" s="192" t="n">
        <v>1983.5</v>
      </c>
      <c r="G8" s="193" t="n">
        <v>0</v>
      </c>
      <c r="H8" s="192" t="n">
        <v>0</v>
      </c>
      <c r="I8" s="192" t="n">
        <v>0</v>
      </c>
      <c r="J8" s="107" t="n"/>
      <c r="K8" s="107" t="n"/>
      <c r="L8" s="107" t="n"/>
      <c r="M8" s="192" t="n">
        <v>0</v>
      </c>
    </row>
    <row r="9" ht="15" customHeight="1">
      <c r="A9" s="111" t="inlineStr">
        <is>
          <t>000007</t>
        </is>
      </c>
      <c r="B9" s="111" t="inlineStr">
        <is>
          <t>000293</t>
        </is>
      </c>
      <c r="C9" s="111" t="inlineStr">
        <is>
          <t>ESPETO KAFTA</t>
        </is>
      </c>
      <c r="D9" s="111" t="n"/>
      <c r="E9" s="194" t="n">
        <v>7</v>
      </c>
      <c r="F9" s="195" t="n">
        <v>10882.88</v>
      </c>
      <c r="G9" s="196" t="n">
        <v>0</v>
      </c>
      <c r="H9" s="195" t="n">
        <v>0</v>
      </c>
      <c r="I9" s="195" t="n">
        <v>0</v>
      </c>
      <c r="J9" s="111" t="n"/>
      <c r="K9" s="111" t="n"/>
      <c r="L9" s="111" t="n"/>
      <c r="M9" s="195" t="n">
        <v>0</v>
      </c>
    </row>
    <row r="10" ht="15" customHeight="1">
      <c r="A10" s="107" t="inlineStr">
        <is>
          <t>000008</t>
        </is>
      </c>
      <c r="B10" s="107" t="inlineStr">
        <is>
          <t>000439</t>
        </is>
      </c>
      <c r="C10" s="107" t="inlineStr">
        <is>
          <t>ESPETO QUEIJO COALHO</t>
        </is>
      </c>
      <c r="D10" s="107" t="n"/>
      <c r="E10" s="191" t="n">
        <v>0.42</v>
      </c>
      <c r="F10" s="192" t="n">
        <v>0</v>
      </c>
      <c r="G10" s="193" t="n">
        <v>0</v>
      </c>
      <c r="H10" s="192" t="n">
        <v>0</v>
      </c>
      <c r="I10" s="192" t="n">
        <v>0</v>
      </c>
      <c r="J10" s="107" t="n"/>
      <c r="K10" s="107" t="n"/>
      <c r="L10" s="107" t="n"/>
      <c r="M10" s="192" t="n">
        <v>0</v>
      </c>
    </row>
    <row r="11" ht="15" customHeight="1">
      <c r="A11" s="111" t="inlineStr">
        <is>
          <t>000009</t>
        </is>
      </c>
      <c r="B11" s="111" t="inlineStr">
        <is>
          <t>000027</t>
        </is>
      </c>
      <c r="C11" s="111" t="inlineStr">
        <is>
          <t>SALSICHAO</t>
        </is>
      </c>
      <c r="D11" s="111" t="n"/>
      <c r="E11" s="194" t="n">
        <v>10</v>
      </c>
      <c r="F11" s="195" t="n">
        <v>0</v>
      </c>
      <c r="G11" s="196" t="n">
        <v>0</v>
      </c>
      <c r="H11" s="195" t="n">
        <v>0</v>
      </c>
      <c r="I11" s="195" t="n">
        <v>0</v>
      </c>
      <c r="J11" s="111" t="n"/>
      <c r="K11" s="111" t="n"/>
      <c r="L11" s="111" t="n"/>
      <c r="M11" s="195" t="n">
        <v>0</v>
      </c>
    </row>
    <row r="12" ht="15" customHeight="1">
      <c r="A12" s="107" t="inlineStr">
        <is>
          <t>000010</t>
        </is>
      </c>
      <c r="B12" s="107" t="inlineStr">
        <is>
          <t>000292</t>
        </is>
      </c>
      <c r="C12" s="107" t="inlineStr">
        <is>
          <t>ESPETO TULIPA</t>
        </is>
      </c>
      <c r="D12" s="107" t="n"/>
      <c r="E12" s="191" t="n">
        <v>5</v>
      </c>
      <c r="F12" s="192" t="n">
        <v>48.42</v>
      </c>
      <c r="G12" s="193" t="n">
        <v>0</v>
      </c>
      <c r="H12" s="192" t="n">
        <v>0</v>
      </c>
      <c r="I12" s="192" t="n">
        <v>0</v>
      </c>
      <c r="J12" s="107" t="n"/>
      <c r="K12" s="107" t="n"/>
      <c r="L12" s="107" t="n"/>
      <c r="M12" s="192" t="n">
        <v>0</v>
      </c>
    </row>
    <row r="13" ht="15" customHeight="1">
      <c r="A13" s="111" t="inlineStr">
        <is>
          <t>000011</t>
        </is>
      </c>
      <c r="B13" s="111" t="inlineStr">
        <is>
          <t>000297</t>
        </is>
      </c>
      <c r="C13" s="111" t="inlineStr">
        <is>
          <t>ESPETO PICANHA C/ GORDURA</t>
        </is>
      </c>
      <c r="D13" s="111" t="n"/>
      <c r="E13" s="194" t="n">
        <v>7</v>
      </c>
      <c r="F13" s="195" t="n">
        <v>11824.87</v>
      </c>
      <c r="G13" s="196" t="n">
        <v>0</v>
      </c>
      <c r="H13" s="195" t="n">
        <v>0</v>
      </c>
      <c r="I13" s="195" t="n">
        <v>0</v>
      </c>
      <c r="J13" s="111" t="n"/>
      <c r="K13" s="111" t="n"/>
      <c r="L13" s="111" t="n"/>
      <c r="M13" s="195" t="n">
        <v>0</v>
      </c>
    </row>
    <row r="14" ht="15" customHeight="1">
      <c r="A14" s="107" t="inlineStr">
        <is>
          <t>000012</t>
        </is>
      </c>
      <c r="B14" s="107" t="inlineStr">
        <is>
          <t>000296</t>
        </is>
      </c>
      <c r="C14" s="107" t="inlineStr">
        <is>
          <t>ESPETO FILE MIGNON</t>
        </is>
      </c>
      <c r="D14" s="107" t="n"/>
      <c r="E14" s="191" t="n">
        <v>7</v>
      </c>
      <c r="F14" s="192" t="n">
        <v>1428.38</v>
      </c>
      <c r="G14" s="193" t="n">
        <v>0</v>
      </c>
      <c r="H14" s="192" t="n">
        <v>0</v>
      </c>
      <c r="I14" s="192" t="n">
        <v>0</v>
      </c>
      <c r="J14" s="107" t="n"/>
      <c r="K14" s="107" t="n"/>
      <c r="L14" s="107" t="n"/>
      <c r="M14" s="192" t="n">
        <v>0</v>
      </c>
    </row>
    <row r="15" ht="15" customHeight="1">
      <c r="A15" s="111" t="inlineStr">
        <is>
          <t>000014</t>
        </is>
      </c>
      <c r="B15" s="111" t="inlineStr">
        <is>
          <t>000300</t>
        </is>
      </c>
      <c r="C15" s="111" t="inlineStr">
        <is>
          <t>ESPETO PAO DE ALHO C/ MUSSAREL</t>
        </is>
      </c>
      <c r="D15" s="111" t="n"/>
      <c r="E15" s="194" t="n">
        <v>5</v>
      </c>
      <c r="F15" s="195" t="n">
        <v>428.67</v>
      </c>
      <c r="G15" s="196" t="n">
        <v>0</v>
      </c>
      <c r="H15" s="195" t="n">
        <v>0</v>
      </c>
      <c r="I15" s="195" t="n">
        <v>0</v>
      </c>
      <c r="J15" s="111" t="n"/>
      <c r="K15" s="111" t="n"/>
      <c r="L15" s="111" t="n"/>
      <c r="M15" s="195" t="n">
        <v>0</v>
      </c>
    </row>
    <row r="16" ht="15" customHeight="1">
      <c r="A16" s="107" t="inlineStr">
        <is>
          <t>000014</t>
        </is>
      </c>
      <c r="B16" s="107" t="inlineStr">
        <is>
          <t>000441</t>
        </is>
      </c>
      <c r="C16" s="107" t="inlineStr">
        <is>
          <t>PALITO DE BAMBU 25CM GROSSO</t>
        </is>
      </c>
      <c r="D16" s="107" t="n"/>
      <c r="E16" s="191" t="n">
        <v>5</v>
      </c>
      <c r="F16" s="192" t="n">
        <v>0</v>
      </c>
      <c r="G16" s="193" t="n">
        <v>0</v>
      </c>
      <c r="H16" s="192" t="n">
        <v>0</v>
      </c>
      <c r="I16" s="192" t="n">
        <v>0</v>
      </c>
      <c r="J16" s="107" t="n"/>
      <c r="K16" s="107" t="n"/>
      <c r="L16" s="107" t="n"/>
      <c r="M16" s="192" t="n">
        <v>0</v>
      </c>
    </row>
    <row r="17" ht="15" customHeight="1">
      <c r="A17" s="111" t="inlineStr">
        <is>
          <t>000016</t>
        </is>
      </c>
      <c r="B17" s="111" t="inlineStr">
        <is>
          <t>000299</t>
        </is>
      </c>
      <c r="C17" s="111" t="inlineStr">
        <is>
          <t>ESPETO CARRE DE CORDEIRO</t>
        </is>
      </c>
      <c r="D17" s="111" t="n"/>
      <c r="E17" s="194" t="n">
        <v>7</v>
      </c>
      <c r="F17" s="195" t="n">
        <v>0</v>
      </c>
      <c r="G17" s="196" t="n">
        <v>0</v>
      </c>
      <c r="H17" s="195" t="n">
        <v>0</v>
      </c>
      <c r="I17" s="195" t="n">
        <v>0</v>
      </c>
      <c r="J17" s="111" t="n"/>
      <c r="K17" s="111" t="n"/>
      <c r="L17" s="111" t="n"/>
      <c r="M17" s="195" t="n">
        <v>0</v>
      </c>
    </row>
    <row r="18" ht="15" customHeight="1">
      <c r="A18" s="107" t="inlineStr">
        <is>
          <t>000017</t>
        </is>
      </c>
      <c r="B18" s="107" t="inlineStr">
        <is>
          <t>000302</t>
        </is>
      </c>
      <c r="C18" s="107" t="inlineStr">
        <is>
          <t>ESPETO CAMARAO COMUM</t>
        </is>
      </c>
      <c r="D18" s="107" t="n"/>
      <c r="E18" s="191" t="n">
        <v>7</v>
      </c>
      <c r="F18" s="192" t="n">
        <v>0</v>
      </c>
      <c r="G18" s="193" t="n">
        <v>0</v>
      </c>
      <c r="H18" s="192" t="n">
        <v>0</v>
      </c>
      <c r="I18" s="192" t="n">
        <v>0</v>
      </c>
      <c r="J18" s="107" t="n"/>
      <c r="K18" s="107" t="n"/>
      <c r="L18" s="107" t="n"/>
      <c r="M18" s="192" t="n">
        <v>0</v>
      </c>
    </row>
    <row r="19" ht="15" customHeight="1">
      <c r="A19" s="111" t="inlineStr">
        <is>
          <t>000018</t>
        </is>
      </c>
      <c r="B19" s="111" t="inlineStr">
        <is>
          <t>000307</t>
        </is>
      </c>
      <c r="C19" s="111" t="inlineStr">
        <is>
          <t>CARVAO</t>
        </is>
      </c>
      <c r="D19" s="111" t="n"/>
      <c r="E19" s="194" t="n">
        <v>1.5</v>
      </c>
      <c r="F19" s="195" t="n">
        <v>0</v>
      </c>
      <c r="G19" s="196" t="n">
        <v>0</v>
      </c>
      <c r="H19" s="195" t="n">
        <v>0</v>
      </c>
      <c r="I19" s="195" t="n">
        <v>0</v>
      </c>
      <c r="J19" s="111" t="n"/>
      <c r="K19" s="111" t="n"/>
      <c r="L19" s="111" t="n"/>
      <c r="M19" s="195" t="n">
        <v>0</v>
      </c>
    </row>
    <row r="20" ht="15" customHeight="1">
      <c r="A20" s="107" t="inlineStr">
        <is>
          <t>000020</t>
        </is>
      </c>
      <c r="B20" s="107" t="inlineStr">
        <is>
          <t>000286</t>
        </is>
      </c>
      <c r="C20" s="107" t="inlineStr">
        <is>
          <t>ESPETO BOVINO</t>
        </is>
      </c>
      <c r="D20" s="107" t="n"/>
      <c r="E20" s="191" t="n">
        <v>1</v>
      </c>
      <c r="F20" s="192" t="n">
        <v>0</v>
      </c>
      <c r="G20" s="193" t="n">
        <v>0</v>
      </c>
      <c r="H20" s="192" t="n">
        <v>0</v>
      </c>
      <c r="I20" s="192" t="n">
        <v>0</v>
      </c>
      <c r="J20" s="107" t="n"/>
      <c r="K20" s="107" t="n"/>
      <c r="L20" s="107" t="n"/>
      <c r="M20" s="192" t="n">
        <v>0</v>
      </c>
    </row>
    <row r="21" ht="15" customHeight="1">
      <c r="A21" s="111" t="inlineStr">
        <is>
          <t>000021</t>
        </is>
      </c>
      <c r="B21" s="111" t="inlineStr">
        <is>
          <t>000287</t>
        </is>
      </c>
      <c r="C21" s="111" t="inlineStr">
        <is>
          <t>ESPETO CALABRESA C/ PIMENTA</t>
        </is>
      </c>
      <c r="D21" s="111" t="n"/>
      <c r="E21" s="194" t="n">
        <v>1</v>
      </c>
      <c r="F21" s="195" t="n">
        <v>0</v>
      </c>
      <c r="G21" s="196" t="n">
        <v>0</v>
      </c>
      <c r="H21" s="195" t="n">
        <v>0</v>
      </c>
      <c r="I21" s="195" t="n">
        <v>0</v>
      </c>
      <c r="J21" s="111" t="n"/>
      <c r="K21" s="111" t="n"/>
      <c r="L21" s="111" t="n"/>
      <c r="M21" s="195" t="n">
        <v>0</v>
      </c>
    </row>
    <row r="22" ht="15" customHeight="1">
      <c r="A22" s="107" t="inlineStr">
        <is>
          <t>000022</t>
        </is>
      </c>
      <c r="B22" s="107" t="inlineStr">
        <is>
          <t>000288</t>
        </is>
      </c>
      <c r="C22" s="107" t="inlineStr">
        <is>
          <t>ESPETO CALABRESA S/ PIMENTA</t>
        </is>
      </c>
      <c r="D22" s="107" t="n"/>
      <c r="E22" s="191" t="n">
        <v>1</v>
      </c>
      <c r="F22" s="192" t="n">
        <v>0</v>
      </c>
      <c r="G22" s="193" t="n">
        <v>0</v>
      </c>
      <c r="H22" s="192" t="n">
        <v>0</v>
      </c>
      <c r="I22" s="192" t="n">
        <v>0</v>
      </c>
      <c r="J22" s="107" t="n"/>
      <c r="K22" s="107" t="n"/>
      <c r="L22" s="107" t="n"/>
      <c r="M22" s="192" t="n">
        <v>0</v>
      </c>
    </row>
    <row r="23" ht="15" customHeight="1">
      <c r="A23" s="111" t="inlineStr">
        <is>
          <t>000023</t>
        </is>
      </c>
      <c r="B23" s="111" t="inlineStr">
        <is>
          <t>000289</t>
        </is>
      </c>
      <c r="C23" s="111" t="inlineStr">
        <is>
          <t>ESPETO CORACAO</t>
        </is>
      </c>
      <c r="D23" s="111" t="n"/>
      <c r="E23" s="194" t="n">
        <v>1</v>
      </c>
      <c r="F23" s="195" t="n">
        <v>0</v>
      </c>
      <c r="G23" s="196" t="n">
        <v>0</v>
      </c>
      <c r="H23" s="195" t="n">
        <v>0</v>
      </c>
      <c r="I23" s="195" t="n">
        <v>0</v>
      </c>
      <c r="J23" s="111" t="n"/>
      <c r="K23" s="111" t="n"/>
      <c r="L23" s="111" t="n"/>
      <c r="M23" s="195" t="n">
        <v>0</v>
      </c>
    </row>
    <row r="24" ht="15" customHeight="1">
      <c r="A24" s="107" t="inlineStr">
        <is>
          <t>000024</t>
        </is>
      </c>
      <c r="B24" s="107" t="inlineStr">
        <is>
          <t>000291</t>
        </is>
      </c>
      <c r="C24" s="107" t="inlineStr">
        <is>
          <t>ESPETO FRANGO</t>
        </is>
      </c>
      <c r="D24" s="107" t="n"/>
      <c r="E24" s="191" t="n">
        <v>1</v>
      </c>
      <c r="F24" s="192" t="n">
        <v>0</v>
      </c>
      <c r="G24" s="193" t="n">
        <v>0</v>
      </c>
      <c r="H24" s="192" t="n">
        <v>0</v>
      </c>
      <c r="I24" s="192" t="n">
        <v>0</v>
      </c>
      <c r="J24" s="107" t="n"/>
      <c r="K24" s="107" t="n"/>
      <c r="L24" s="107" t="n"/>
      <c r="M24" s="192" t="n">
        <v>0</v>
      </c>
    </row>
    <row r="25" ht="15" customHeight="1">
      <c r="A25" s="111" t="inlineStr">
        <is>
          <t>000025</t>
        </is>
      </c>
      <c r="B25" s="111" t="inlineStr">
        <is>
          <t>000293</t>
        </is>
      </c>
      <c r="C25" s="111" t="inlineStr">
        <is>
          <t>ESPETO KAFTA</t>
        </is>
      </c>
      <c r="D25" s="111" t="n"/>
      <c r="E25" s="194" t="n">
        <v>1</v>
      </c>
      <c r="F25" s="195" t="n">
        <v>0</v>
      </c>
      <c r="G25" s="196" t="n">
        <v>0</v>
      </c>
      <c r="H25" s="195" t="n">
        <v>0</v>
      </c>
      <c r="I25" s="195" t="n">
        <v>0</v>
      </c>
      <c r="J25" s="111" t="n"/>
      <c r="K25" s="111" t="n"/>
      <c r="L25" s="111" t="n"/>
      <c r="M25" s="195" t="n">
        <v>0</v>
      </c>
    </row>
    <row r="26" ht="15" customHeight="1">
      <c r="A26" s="107" t="inlineStr">
        <is>
          <t>000026</t>
        </is>
      </c>
      <c r="B26" s="107" t="inlineStr">
        <is>
          <t>000300</t>
        </is>
      </c>
      <c r="C26" s="107" t="inlineStr">
        <is>
          <t>ESPETO PAO DE ALHO C/ MUSSAREL</t>
        </is>
      </c>
      <c r="D26" s="107" t="n"/>
      <c r="E26" s="191" t="n">
        <v>1</v>
      </c>
      <c r="F26" s="192" t="n">
        <v>428.67</v>
      </c>
      <c r="G26" s="193" t="n">
        <v>0</v>
      </c>
      <c r="H26" s="192" t="n">
        <v>0</v>
      </c>
      <c r="I26" s="192" t="n">
        <v>0</v>
      </c>
      <c r="J26" s="107" t="n"/>
      <c r="K26" s="107" t="n"/>
      <c r="L26" s="107" t="n"/>
      <c r="M26" s="192" t="n">
        <v>0</v>
      </c>
    </row>
    <row r="27" ht="15" customHeight="1">
      <c r="A27" s="111" t="inlineStr">
        <is>
          <t>000027</t>
        </is>
      </c>
      <c r="B27" s="111" t="inlineStr">
        <is>
          <t>000298</t>
        </is>
      </c>
      <c r="C27" s="111" t="inlineStr">
        <is>
          <t>ESPETO SALSICHAO</t>
        </is>
      </c>
      <c r="D27" s="111" t="n"/>
      <c r="E27" s="194" t="n">
        <v>1</v>
      </c>
      <c r="F27" s="195" t="n">
        <v>0</v>
      </c>
      <c r="G27" s="196" t="n">
        <v>0</v>
      </c>
      <c r="H27" s="195" t="n">
        <v>0</v>
      </c>
      <c r="I27" s="195" t="n">
        <v>0</v>
      </c>
      <c r="J27" s="111" t="n"/>
      <c r="K27" s="111" t="n"/>
      <c r="L27" s="111" t="n"/>
      <c r="M27" s="195" t="n">
        <v>0</v>
      </c>
    </row>
    <row r="28" ht="15" customHeight="1">
      <c r="A28" s="107" t="inlineStr">
        <is>
          <t>000028</t>
        </is>
      </c>
      <c r="B28" s="107" t="inlineStr">
        <is>
          <t>000750</t>
        </is>
      </c>
      <c r="C28" s="107" t="inlineStr">
        <is>
          <t>ESPETO LINGUICA CUIABANA</t>
        </is>
      </c>
      <c r="D28" s="107" t="n"/>
      <c r="E28" s="191" t="n">
        <v>1</v>
      </c>
      <c r="F28" s="192" t="n">
        <v>0</v>
      </c>
      <c r="G28" s="193" t="n">
        <v>0</v>
      </c>
      <c r="H28" s="192" t="n">
        <v>0</v>
      </c>
      <c r="I28" s="192" t="n">
        <v>0</v>
      </c>
      <c r="J28" s="107" t="n"/>
      <c r="K28" s="107" t="n"/>
      <c r="L28" s="107" t="n"/>
      <c r="M28" s="192" t="n">
        <v>0</v>
      </c>
    </row>
    <row r="29" ht="15" customHeight="1">
      <c r="A29" s="111" t="inlineStr">
        <is>
          <t>000029</t>
        </is>
      </c>
      <c r="B29" s="111" t="inlineStr">
        <is>
          <t>000751</t>
        </is>
      </c>
      <c r="C29" s="111" t="inlineStr">
        <is>
          <t>ESPETO PANCETA</t>
        </is>
      </c>
      <c r="D29" s="111" t="n"/>
      <c r="E29" s="194" t="n">
        <v>1</v>
      </c>
      <c r="F29" s="195" t="n">
        <v>0</v>
      </c>
      <c r="G29" s="196" t="n">
        <v>0</v>
      </c>
      <c r="H29" s="195" t="n">
        <v>0</v>
      </c>
      <c r="I29" s="195" t="n">
        <v>0</v>
      </c>
      <c r="J29" s="111" t="n"/>
      <c r="K29" s="111" t="n"/>
      <c r="L29" s="111" t="n"/>
      <c r="M29" s="195" t="n">
        <v>0</v>
      </c>
    </row>
    <row r="30" ht="15" customHeight="1">
      <c r="A30" s="107" t="inlineStr">
        <is>
          <t>000030</t>
        </is>
      </c>
      <c r="B30" s="107" t="inlineStr">
        <is>
          <t>000367</t>
        </is>
      </c>
      <c r="C30" s="107" t="inlineStr">
        <is>
          <t>LONG SMIRNOFF ICE</t>
        </is>
      </c>
      <c r="D30" s="107" t="n"/>
      <c r="E30" s="191" t="n">
        <v>1</v>
      </c>
      <c r="F30" s="192" t="n">
        <v>0</v>
      </c>
      <c r="G30" s="193" t="n">
        <v>0</v>
      </c>
      <c r="H30" s="192" t="n">
        <v>0</v>
      </c>
      <c r="I30" s="192" t="n">
        <v>0</v>
      </c>
      <c r="J30" s="107" t="n"/>
      <c r="K30" s="107" t="n"/>
      <c r="L30" s="107" t="n"/>
      <c r="M30" s="192" t="n">
        <v>0</v>
      </c>
    </row>
    <row r="31" ht="15" customHeight="1">
      <c r="A31" s="111" t="inlineStr">
        <is>
          <t>000040</t>
        </is>
      </c>
      <c r="B31" s="111" t="inlineStr">
        <is>
          <t>000940</t>
        </is>
      </c>
      <c r="C31" s="111" t="inlineStr">
        <is>
          <t>MONTILLA OURO GARRAFA 1LT</t>
        </is>
      </c>
      <c r="D31" s="111" t="n"/>
      <c r="E31" s="194" t="n">
        <v>0.06</v>
      </c>
      <c r="F31" s="195" t="n">
        <v>0</v>
      </c>
      <c r="G31" s="196" t="n">
        <v>0</v>
      </c>
      <c r="H31" s="195" t="n">
        <v>0</v>
      </c>
      <c r="I31" s="195" t="n">
        <v>0</v>
      </c>
      <c r="J31" s="111" t="n"/>
      <c r="K31" s="111" t="n"/>
      <c r="L31" s="111" t="n"/>
      <c r="M31" s="195" t="n">
        <v>0</v>
      </c>
    </row>
    <row r="32" ht="15" customHeight="1">
      <c r="A32" s="107" t="inlineStr">
        <is>
          <t>000041</t>
        </is>
      </c>
      <c r="B32" s="107" t="inlineStr">
        <is>
          <t>000343</t>
        </is>
      </c>
      <c r="C32" s="107" t="inlineStr">
        <is>
          <t>CACHACA SAO FRANCISCO 970ML</t>
        </is>
      </c>
      <c r="D32" s="107" t="n"/>
      <c r="E32" s="191" t="n">
        <v>0.05</v>
      </c>
      <c r="F32" s="192" t="n">
        <v>51.24</v>
      </c>
      <c r="G32" s="193" t="n">
        <v>0</v>
      </c>
      <c r="H32" s="192" t="n">
        <v>0</v>
      </c>
      <c r="I32" s="192" t="n">
        <v>0</v>
      </c>
      <c r="J32" s="107" t="n"/>
      <c r="K32" s="107" t="n"/>
      <c r="L32" s="107" t="n"/>
      <c r="M32" s="192" t="n">
        <v>0</v>
      </c>
    </row>
    <row r="33" ht="15" customHeight="1">
      <c r="A33" s="111" t="inlineStr">
        <is>
          <t>000042</t>
        </is>
      </c>
      <c r="B33" s="111" t="inlineStr">
        <is>
          <t>000206</t>
        </is>
      </c>
      <c r="C33" s="111" t="inlineStr">
        <is>
          <t>LICOR 43 700ML</t>
        </is>
      </c>
      <c r="D33" s="111" t="n"/>
      <c r="E33" s="194" t="n">
        <v>0.05</v>
      </c>
      <c r="F33" s="195" t="n">
        <v>15.36</v>
      </c>
      <c r="G33" s="196" t="n">
        <v>0</v>
      </c>
      <c r="H33" s="195" t="n">
        <v>0</v>
      </c>
      <c r="I33" s="195" t="n">
        <v>0</v>
      </c>
      <c r="J33" s="111" t="n"/>
      <c r="K33" s="111" t="n"/>
      <c r="L33" s="111" t="n"/>
      <c r="M33" s="195" t="n">
        <v>0</v>
      </c>
    </row>
    <row r="34" ht="15" customHeight="1">
      <c r="A34" s="107" t="inlineStr">
        <is>
          <t>000043</t>
        </is>
      </c>
      <c r="B34" s="107" t="inlineStr">
        <is>
          <t>000366</t>
        </is>
      </c>
      <c r="C34" s="107" t="inlineStr">
        <is>
          <t>TEQUILA JOSE CURVO PRATA 750ML</t>
        </is>
      </c>
      <c r="D34" s="107" t="n"/>
      <c r="E34" s="191" t="n">
        <v>0.05</v>
      </c>
      <c r="F34" s="192" t="n">
        <v>35.85</v>
      </c>
      <c r="G34" s="193" t="n">
        <v>0</v>
      </c>
      <c r="H34" s="192" t="n">
        <v>0</v>
      </c>
      <c r="I34" s="192" t="n">
        <v>0</v>
      </c>
      <c r="J34" s="107" t="n"/>
      <c r="K34" s="107" t="n"/>
      <c r="L34" s="107" t="n"/>
      <c r="M34" s="192" t="n">
        <v>0</v>
      </c>
    </row>
    <row r="35" ht="15" customHeight="1">
      <c r="A35" s="111" t="inlineStr">
        <is>
          <t>000044</t>
        </is>
      </c>
      <c r="B35" s="111" t="inlineStr">
        <is>
          <t>000353</t>
        </is>
      </c>
      <c r="C35" s="111" t="inlineStr">
        <is>
          <t>GIN BEEFEATER 750 ML</t>
        </is>
      </c>
      <c r="D35" s="111" t="n"/>
      <c r="E35" s="194" t="n">
        <v>0.05</v>
      </c>
      <c r="F35" s="195" t="n">
        <v>0</v>
      </c>
      <c r="G35" s="196" t="n">
        <v>0</v>
      </c>
      <c r="H35" s="195" t="n">
        <v>0</v>
      </c>
      <c r="I35" s="195" t="n">
        <v>0</v>
      </c>
      <c r="J35" s="111" t="n"/>
      <c r="K35" s="111" t="n"/>
      <c r="L35" s="111" t="n"/>
      <c r="M35" s="195" t="n">
        <v>0</v>
      </c>
    </row>
    <row r="36" ht="15" customHeight="1">
      <c r="A36" s="107" t="inlineStr">
        <is>
          <t>000045</t>
        </is>
      </c>
      <c r="B36" s="107" t="inlineStr">
        <is>
          <t>000365</t>
        </is>
      </c>
      <c r="C36" s="107" t="inlineStr">
        <is>
          <t>TEQUILA JOSE CURVO OURO 750ML</t>
        </is>
      </c>
      <c r="D36" s="107" t="n"/>
      <c r="E36" s="191" t="n">
        <v>0.75</v>
      </c>
      <c r="F36" s="192" t="n">
        <v>0</v>
      </c>
      <c r="G36" s="193" t="n">
        <v>0</v>
      </c>
      <c r="H36" s="192" t="n">
        <v>0</v>
      </c>
      <c r="I36" s="192" t="n">
        <v>0</v>
      </c>
      <c r="J36" s="107" t="n"/>
      <c r="K36" s="107" t="n"/>
      <c r="L36" s="107" t="n"/>
      <c r="M36" s="192" t="n">
        <v>0</v>
      </c>
    </row>
    <row r="37" ht="15" customHeight="1">
      <c r="A37" s="111" t="inlineStr">
        <is>
          <t>000049</t>
        </is>
      </c>
      <c r="B37" s="111" t="inlineStr">
        <is>
          <t>000339</t>
        </is>
      </c>
      <c r="C37" s="111" t="inlineStr">
        <is>
          <t>VODKA ABSOLUT NATURAL  1LT</t>
        </is>
      </c>
      <c r="D37" s="111" t="n"/>
      <c r="E37" s="194" t="n">
        <v>1</v>
      </c>
      <c r="F37" s="195" t="n">
        <v>0</v>
      </c>
      <c r="G37" s="196" t="n">
        <v>0</v>
      </c>
      <c r="H37" s="195" t="n">
        <v>0</v>
      </c>
      <c r="I37" s="195" t="n">
        <v>0</v>
      </c>
      <c r="J37" s="111" t="n"/>
      <c r="K37" s="111" t="n"/>
      <c r="L37" s="111" t="n"/>
      <c r="M37" s="195" t="n">
        <v>0</v>
      </c>
    </row>
    <row r="38" ht="15" customHeight="1">
      <c r="A38" s="107" t="inlineStr">
        <is>
          <t>000050</t>
        </is>
      </c>
      <c r="B38" s="107" t="inlineStr">
        <is>
          <t>000344</t>
        </is>
      </c>
      <c r="C38" s="107" t="inlineStr">
        <is>
          <t>CHIVAS REGAL 12 ANOS 1LT</t>
        </is>
      </c>
      <c r="D38" s="107" t="n"/>
      <c r="E38" s="191" t="n">
        <v>1</v>
      </c>
      <c r="F38" s="192" t="n">
        <v>0</v>
      </c>
      <c r="G38" s="193" t="n">
        <v>0</v>
      </c>
      <c r="H38" s="192" t="n">
        <v>0</v>
      </c>
      <c r="I38" s="192" t="n">
        <v>0</v>
      </c>
      <c r="J38" s="107" t="n"/>
      <c r="K38" s="107" t="n"/>
      <c r="L38" s="107" t="n"/>
      <c r="M38" s="192" t="n">
        <v>0</v>
      </c>
    </row>
    <row r="39" ht="15" customHeight="1">
      <c r="A39" s="111" t="inlineStr">
        <is>
          <t>000051</t>
        </is>
      </c>
      <c r="B39" s="111" t="inlineStr">
        <is>
          <t>000343</t>
        </is>
      </c>
      <c r="C39" s="111" t="inlineStr">
        <is>
          <t>CACHACA SAO FRANCISCO 970ML</t>
        </is>
      </c>
      <c r="D39" s="111" t="n"/>
      <c r="E39" s="194" t="n">
        <v>0.97</v>
      </c>
      <c r="F39" s="195" t="n">
        <v>0</v>
      </c>
      <c r="G39" s="196" t="n">
        <v>0</v>
      </c>
      <c r="H39" s="195" t="n">
        <v>0</v>
      </c>
      <c r="I39" s="195" t="n">
        <v>0</v>
      </c>
      <c r="J39" s="111" t="n"/>
      <c r="K39" s="111" t="n"/>
      <c r="L39" s="111" t="n"/>
      <c r="M39" s="195" t="n">
        <v>0</v>
      </c>
    </row>
    <row r="40" ht="15" customHeight="1">
      <c r="A40" s="107" t="inlineStr">
        <is>
          <t>000052</t>
        </is>
      </c>
      <c r="B40" s="107" t="inlineStr">
        <is>
          <t>000353</t>
        </is>
      </c>
      <c r="C40" s="107" t="inlineStr">
        <is>
          <t>GIN BEEFEATER 750 ML</t>
        </is>
      </c>
      <c r="D40" s="107" t="n"/>
      <c r="E40" s="191" t="n">
        <v>0.75</v>
      </c>
      <c r="F40" s="192" t="n">
        <v>0</v>
      </c>
      <c r="G40" s="193" t="n">
        <v>0</v>
      </c>
      <c r="H40" s="192" t="n">
        <v>0</v>
      </c>
      <c r="I40" s="192" t="n">
        <v>0</v>
      </c>
      <c r="J40" s="107" t="n"/>
      <c r="K40" s="107" t="n"/>
      <c r="L40" s="107" t="n"/>
      <c r="M40" s="192" t="n">
        <v>0</v>
      </c>
    </row>
    <row r="41" ht="15" customHeight="1">
      <c r="A41" s="111" t="inlineStr">
        <is>
          <t>000053</t>
        </is>
      </c>
      <c r="B41" s="111" t="inlineStr">
        <is>
          <t>000316</t>
        </is>
      </c>
      <c r="C41" s="111" t="inlineStr">
        <is>
          <t>SODA LATA 350ML</t>
        </is>
      </c>
      <c r="D41" s="111" t="n"/>
      <c r="E41" s="194" t="n">
        <v>1</v>
      </c>
      <c r="F41" s="195" t="n">
        <v>283.72</v>
      </c>
      <c r="G41" s="196" t="n">
        <v>0</v>
      </c>
      <c r="H41" s="195" t="n">
        <v>0</v>
      </c>
      <c r="I41" s="195" t="n">
        <v>0</v>
      </c>
      <c r="J41" s="111" t="n"/>
      <c r="K41" s="111" t="n"/>
      <c r="L41" s="111" t="n"/>
      <c r="M41" s="195" t="n">
        <v>0</v>
      </c>
    </row>
    <row r="42" ht="15" customHeight="1">
      <c r="A42" s="107" t="inlineStr">
        <is>
          <t>000053</t>
        </is>
      </c>
      <c r="B42" s="107" t="inlineStr">
        <is>
          <t>000346</t>
        </is>
      </c>
      <c r="C42" s="107" t="inlineStr">
        <is>
          <t>LICOR COINTREAU 700ML</t>
        </is>
      </c>
      <c r="D42" s="107" t="n"/>
      <c r="E42" s="191" t="n">
        <v>0.05</v>
      </c>
      <c r="F42" s="192" t="n">
        <v>5.5</v>
      </c>
      <c r="G42" s="193" t="n">
        <v>0</v>
      </c>
      <c r="H42" s="192" t="n">
        <v>0</v>
      </c>
      <c r="I42" s="192" t="n">
        <v>0</v>
      </c>
      <c r="J42" s="107" t="n"/>
      <c r="K42" s="107" t="n"/>
      <c r="L42" s="107" t="n"/>
      <c r="M42" s="192" t="n">
        <v>0</v>
      </c>
    </row>
    <row r="43" ht="15" customHeight="1">
      <c r="A43" s="111" t="inlineStr">
        <is>
          <t>000053</t>
        </is>
      </c>
      <c r="B43" s="111" t="inlineStr">
        <is>
          <t>000348</t>
        </is>
      </c>
      <c r="C43" s="111" t="inlineStr">
        <is>
          <t>CONHAQUE DOMECQ 1LT</t>
        </is>
      </c>
      <c r="D43" s="111" t="n"/>
      <c r="E43" s="194" t="n">
        <v>0.03</v>
      </c>
      <c r="F43" s="195" t="n">
        <v>3.07</v>
      </c>
      <c r="G43" s="196" t="n">
        <v>0</v>
      </c>
      <c r="H43" s="195" t="n">
        <v>0</v>
      </c>
      <c r="I43" s="195" t="n">
        <v>0</v>
      </c>
      <c r="J43" s="111" t="n"/>
      <c r="K43" s="111" t="n"/>
      <c r="L43" s="111" t="n"/>
      <c r="M43" s="195" t="n">
        <v>0</v>
      </c>
    </row>
    <row r="44" ht="15" customHeight="1">
      <c r="A44" s="107" t="inlineStr">
        <is>
          <t>000053</t>
        </is>
      </c>
      <c r="B44" s="107" t="inlineStr">
        <is>
          <t>000352</t>
        </is>
      </c>
      <c r="C44" s="107" t="inlineStr">
        <is>
          <t>GARRAFAO DE VINHO BRANCO 4LT</t>
        </is>
      </c>
      <c r="D44" s="107" t="n"/>
      <c r="E44" s="191" t="n">
        <v>0.5</v>
      </c>
      <c r="F44" s="192" t="n">
        <v>69.95</v>
      </c>
      <c r="G44" s="193" t="n">
        <v>0</v>
      </c>
      <c r="H44" s="192" t="n">
        <v>0</v>
      </c>
      <c r="I44" s="192" t="n">
        <v>0</v>
      </c>
      <c r="J44" s="107" t="n"/>
      <c r="K44" s="107" t="n"/>
      <c r="L44" s="107" t="n"/>
      <c r="M44" s="192" t="n">
        <v>0</v>
      </c>
    </row>
    <row r="45" ht="15" customHeight="1">
      <c r="A45" s="111" t="inlineStr">
        <is>
          <t>000053</t>
        </is>
      </c>
      <c r="B45" s="111" t="inlineStr">
        <is>
          <t>000359</t>
        </is>
      </c>
      <c r="C45" s="111" t="inlineStr">
        <is>
          <t>LICOR PESSEGO PEACH STOCK 720ML</t>
        </is>
      </c>
      <c r="D45" s="111" t="n"/>
      <c r="E45" s="194" t="n">
        <v>0.05</v>
      </c>
      <c r="F45" s="195" t="n">
        <v>5.18</v>
      </c>
      <c r="G45" s="196" t="n">
        <v>0</v>
      </c>
      <c r="H45" s="195" t="n">
        <v>0</v>
      </c>
      <c r="I45" s="195" t="n">
        <v>0</v>
      </c>
      <c r="J45" s="111" t="n"/>
      <c r="K45" s="111" t="n"/>
      <c r="L45" s="111" t="n"/>
      <c r="M45" s="195" t="n">
        <v>0</v>
      </c>
    </row>
    <row r="46" ht="15" customHeight="1">
      <c r="A46" s="107" t="inlineStr">
        <is>
          <t>000054</t>
        </is>
      </c>
      <c r="B46" s="107" t="inlineStr">
        <is>
          <t>000316</t>
        </is>
      </c>
      <c r="C46" s="107" t="inlineStr">
        <is>
          <t>SODA LATA 350ML</t>
        </is>
      </c>
      <c r="D46" s="107" t="n"/>
      <c r="E46" s="191" t="n">
        <v>1</v>
      </c>
      <c r="F46" s="192" t="n">
        <v>283.72</v>
      </c>
      <c r="G46" s="193" t="n">
        <v>0</v>
      </c>
      <c r="H46" s="192" t="n">
        <v>0</v>
      </c>
      <c r="I46" s="192" t="n">
        <v>0</v>
      </c>
      <c r="J46" s="107" t="n"/>
      <c r="K46" s="107" t="n"/>
      <c r="L46" s="107" t="n"/>
      <c r="M46" s="192" t="n">
        <v>0</v>
      </c>
    </row>
    <row r="47" ht="15" customHeight="1">
      <c r="A47" s="111" t="inlineStr">
        <is>
          <t>000054</t>
        </is>
      </c>
      <c r="B47" s="111" t="inlineStr">
        <is>
          <t>000346</t>
        </is>
      </c>
      <c r="C47" s="111" t="inlineStr">
        <is>
          <t>LICOR COINTREAU 700ML</t>
        </is>
      </c>
      <c r="D47" s="111" t="n"/>
      <c r="E47" s="194" t="n">
        <v>0.05</v>
      </c>
      <c r="F47" s="195" t="n">
        <v>5.5</v>
      </c>
      <c r="G47" s="196" t="n">
        <v>0</v>
      </c>
      <c r="H47" s="195" t="n">
        <v>0</v>
      </c>
      <c r="I47" s="195" t="n">
        <v>0</v>
      </c>
      <c r="J47" s="111" t="n"/>
      <c r="K47" s="111" t="n"/>
      <c r="L47" s="111" t="n"/>
      <c r="M47" s="195" t="n">
        <v>0</v>
      </c>
    </row>
    <row r="48" ht="15" customHeight="1">
      <c r="A48" s="107" t="inlineStr">
        <is>
          <t>000054</t>
        </is>
      </c>
      <c r="B48" s="107" t="inlineStr">
        <is>
          <t>000348</t>
        </is>
      </c>
      <c r="C48" s="107" t="inlineStr">
        <is>
          <t>CONHAQUE DOMECQ 1LT</t>
        </is>
      </c>
      <c r="D48" s="107" t="n"/>
      <c r="E48" s="191" t="n">
        <v>0.03</v>
      </c>
      <c r="F48" s="192" t="n">
        <v>3.07</v>
      </c>
      <c r="G48" s="193" t="n">
        <v>0</v>
      </c>
      <c r="H48" s="192" t="n">
        <v>0</v>
      </c>
      <c r="I48" s="192" t="n">
        <v>0</v>
      </c>
      <c r="J48" s="107" t="n"/>
      <c r="K48" s="107" t="n"/>
      <c r="L48" s="107" t="n"/>
      <c r="M48" s="192" t="n">
        <v>0</v>
      </c>
    </row>
    <row r="49" ht="15" customHeight="1">
      <c r="A49" s="111" t="inlineStr">
        <is>
          <t>000054</t>
        </is>
      </c>
      <c r="B49" s="111" t="inlineStr">
        <is>
          <t>000351</t>
        </is>
      </c>
      <c r="C49" s="111" t="inlineStr">
        <is>
          <t>GARRAFAO DE VINHO TINTO SUAVE 4LT</t>
        </is>
      </c>
      <c r="D49" s="111" t="n"/>
      <c r="E49" s="194" t="n">
        <v>0.5</v>
      </c>
      <c r="F49" s="195" t="n">
        <v>119.98</v>
      </c>
      <c r="G49" s="196" t="n">
        <v>0</v>
      </c>
      <c r="H49" s="195" t="n">
        <v>0</v>
      </c>
      <c r="I49" s="195" t="n">
        <v>0</v>
      </c>
      <c r="J49" s="111" t="n"/>
      <c r="K49" s="111" t="n"/>
      <c r="L49" s="111" t="n"/>
      <c r="M49" s="195" t="n">
        <v>0</v>
      </c>
    </row>
    <row r="50" ht="15" customHeight="1">
      <c r="A50" s="107" t="inlineStr">
        <is>
          <t>000054</t>
        </is>
      </c>
      <c r="B50" s="107" t="inlineStr">
        <is>
          <t>000359</t>
        </is>
      </c>
      <c r="C50" s="107" t="inlineStr">
        <is>
          <t>LICOR PESSEGO PEACH STOCK 720ML</t>
        </is>
      </c>
      <c r="D50" s="107" t="n"/>
      <c r="E50" s="191" t="n">
        <v>0.05</v>
      </c>
      <c r="F50" s="192" t="n">
        <v>5.18</v>
      </c>
      <c r="G50" s="193" t="n">
        <v>0</v>
      </c>
      <c r="H50" s="192" t="n">
        <v>0</v>
      </c>
      <c r="I50" s="192" t="n">
        <v>0</v>
      </c>
      <c r="J50" s="107" t="n"/>
      <c r="K50" s="107" t="n"/>
      <c r="L50" s="107" t="n"/>
      <c r="M50" s="192" t="n">
        <v>0</v>
      </c>
    </row>
    <row r="51" ht="15" customHeight="1">
      <c r="A51" s="111" t="inlineStr">
        <is>
          <t>000054</t>
        </is>
      </c>
      <c r="B51" s="111" t="inlineStr">
        <is>
          <t>000487</t>
        </is>
      </c>
      <c r="C51" s="111" t="inlineStr">
        <is>
          <t>ABACAXI PEROLA FRUTA</t>
        </is>
      </c>
      <c r="D51" s="111" t="n"/>
      <c r="E51" s="194" t="n">
        <v>0.04</v>
      </c>
      <c r="F51" s="195" t="n">
        <v>14020.59</v>
      </c>
      <c r="G51" s="196" t="n">
        <v>0</v>
      </c>
      <c r="H51" s="195" t="n">
        <v>0</v>
      </c>
      <c r="I51" s="195" t="n">
        <v>0</v>
      </c>
      <c r="J51" s="111" t="n"/>
      <c r="K51" s="111" t="n"/>
      <c r="L51" s="111" t="n"/>
      <c r="M51" s="195" t="n">
        <v>0</v>
      </c>
    </row>
    <row r="52" ht="15" customHeight="1">
      <c r="A52" s="107" t="inlineStr">
        <is>
          <t>000054</t>
        </is>
      </c>
      <c r="B52" s="107" t="inlineStr">
        <is>
          <t>000490</t>
        </is>
      </c>
      <c r="C52" s="107" t="inlineStr">
        <is>
          <t>LARANJA PERA FRUTA</t>
        </is>
      </c>
      <c r="D52" s="107" t="n"/>
      <c r="E52" s="191" t="n">
        <v>0.04</v>
      </c>
      <c r="F52" s="192" t="n">
        <v>411.03</v>
      </c>
      <c r="G52" s="193" t="n">
        <v>0</v>
      </c>
      <c r="H52" s="192" t="n">
        <v>0</v>
      </c>
      <c r="I52" s="192" t="n">
        <v>0</v>
      </c>
      <c r="J52" s="107" t="n"/>
      <c r="K52" s="107" t="n"/>
      <c r="L52" s="107" t="n"/>
      <c r="M52" s="192" t="n">
        <v>0</v>
      </c>
    </row>
    <row r="53" ht="15" customHeight="1">
      <c r="A53" s="111" t="inlineStr">
        <is>
          <t>000054</t>
        </is>
      </c>
      <c r="B53" s="111" t="inlineStr">
        <is>
          <t>000501</t>
        </is>
      </c>
      <c r="C53" s="111" t="inlineStr">
        <is>
          <t>UVA ITALIA FRUTA</t>
        </is>
      </c>
      <c r="D53" s="111" t="n"/>
      <c r="E53" s="194" t="n">
        <v>0.04</v>
      </c>
      <c r="F53" s="195" t="n">
        <v>5738.34</v>
      </c>
      <c r="G53" s="196" t="n">
        <v>0</v>
      </c>
      <c r="H53" s="195" t="n">
        <v>0</v>
      </c>
      <c r="I53" s="195" t="n">
        <v>0</v>
      </c>
      <c r="J53" s="111" t="n"/>
      <c r="K53" s="111" t="n"/>
      <c r="L53" s="111" t="n"/>
      <c r="M53" s="195" t="n">
        <v>0</v>
      </c>
    </row>
    <row r="54" ht="15" customHeight="1">
      <c r="A54" s="107" t="inlineStr">
        <is>
          <t>000054</t>
        </is>
      </c>
      <c r="B54" s="107" t="inlineStr">
        <is>
          <t>000590</t>
        </is>
      </c>
      <c r="C54" s="107" t="inlineStr">
        <is>
          <t>MORANGO FRUTA</t>
        </is>
      </c>
      <c r="D54" s="107" t="n"/>
      <c r="E54" s="191" t="n">
        <v>0.04</v>
      </c>
      <c r="F54" s="192" t="n">
        <v>49134.81</v>
      </c>
      <c r="G54" s="193" t="n">
        <v>0</v>
      </c>
      <c r="H54" s="192" t="n">
        <v>0</v>
      </c>
      <c r="I54" s="192" t="n">
        <v>0</v>
      </c>
      <c r="J54" s="107" t="n"/>
      <c r="K54" s="107" t="n"/>
      <c r="L54" s="107" t="n"/>
      <c r="M54" s="192" t="n">
        <v>0</v>
      </c>
    </row>
    <row r="55" ht="15" customHeight="1">
      <c r="A55" s="111" t="inlineStr">
        <is>
          <t>000057</t>
        </is>
      </c>
      <c r="B55" s="111" t="inlineStr">
        <is>
          <t>000396</t>
        </is>
      </c>
      <c r="C55" s="111" t="inlineStr">
        <is>
          <t>LEITE CONDENSADO MOCA 2,6KG</t>
        </is>
      </c>
      <c r="D55" s="111" t="n"/>
      <c r="E55" s="194" t="n">
        <v>0.06</v>
      </c>
      <c r="F55" s="195" t="n">
        <v>10589.35</v>
      </c>
      <c r="G55" s="196" t="n">
        <v>0</v>
      </c>
      <c r="H55" s="195" t="n">
        <v>0</v>
      </c>
      <c r="I55" s="195" t="n">
        <v>0</v>
      </c>
      <c r="J55" s="111" t="n"/>
      <c r="K55" s="111" t="n"/>
      <c r="L55" s="111" t="n"/>
      <c r="M55" s="195" t="n">
        <v>0</v>
      </c>
    </row>
    <row r="56" ht="15" customHeight="1">
      <c r="A56" s="107" t="inlineStr">
        <is>
          <t>000057</t>
        </is>
      </c>
      <c r="B56" s="107" t="inlineStr">
        <is>
          <t>000487</t>
        </is>
      </c>
      <c r="C56" s="107" t="inlineStr">
        <is>
          <t>ABACAXI PEROLA FRUTA</t>
        </is>
      </c>
      <c r="D56" s="107" t="n"/>
      <c r="E56" s="191" t="n">
        <v>0.03</v>
      </c>
      <c r="F56" s="192" t="n">
        <v>17525.74</v>
      </c>
      <c r="G56" s="193" t="n">
        <v>0</v>
      </c>
      <c r="H56" s="192" t="n">
        <v>0</v>
      </c>
      <c r="I56" s="192" t="n">
        <v>0</v>
      </c>
      <c r="J56" s="107" t="n"/>
      <c r="K56" s="107" t="n"/>
      <c r="L56" s="107" t="n"/>
      <c r="M56" s="192" t="n">
        <v>0</v>
      </c>
    </row>
    <row r="57" ht="15" customHeight="1">
      <c r="A57" s="111" t="inlineStr">
        <is>
          <t>000057</t>
        </is>
      </c>
      <c r="B57" s="111" t="inlineStr">
        <is>
          <t>000490</t>
        </is>
      </c>
      <c r="C57" s="111" t="inlineStr">
        <is>
          <t>LARANJA PERA FRUTA</t>
        </is>
      </c>
      <c r="D57" s="111" t="n"/>
      <c r="E57" s="194" t="n">
        <v>0.15</v>
      </c>
      <c r="F57" s="195" t="n">
        <v>2568.94</v>
      </c>
      <c r="G57" s="196" t="n">
        <v>0</v>
      </c>
      <c r="H57" s="195" t="n">
        <v>0</v>
      </c>
      <c r="I57" s="195" t="n">
        <v>0</v>
      </c>
      <c r="J57" s="111" t="n"/>
      <c r="K57" s="111" t="n"/>
      <c r="L57" s="111" t="n"/>
      <c r="M57" s="195" t="n">
        <v>0</v>
      </c>
    </row>
    <row r="58" ht="15" customHeight="1">
      <c r="A58" s="107" t="inlineStr">
        <is>
          <t>000057</t>
        </is>
      </c>
      <c r="B58" s="107" t="inlineStr">
        <is>
          <t>000499</t>
        </is>
      </c>
      <c r="C58" s="107" t="inlineStr">
        <is>
          <t>MARACUJA AZEDO FRUTA</t>
        </is>
      </c>
      <c r="D58" s="107" t="n"/>
      <c r="E58" s="191" t="n">
        <v>0.03</v>
      </c>
      <c r="F58" s="192" t="n">
        <v>14.07</v>
      </c>
      <c r="G58" s="193" t="n">
        <v>0</v>
      </c>
      <c r="H58" s="192" t="n">
        <v>0</v>
      </c>
      <c r="I58" s="192" t="n">
        <v>0</v>
      </c>
      <c r="J58" s="107" t="n"/>
      <c r="K58" s="107" t="n"/>
      <c r="L58" s="107" t="n"/>
      <c r="M58" s="192" t="n">
        <v>0</v>
      </c>
    </row>
    <row r="59" ht="15" customHeight="1">
      <c r="A59" s="111" t="inlineStr">
        <is>
          <t>000057</t>
        </is>
      </c>
      <c r="B59" s="111" t="inlineStr">
        <is>
          <t>000590</t>
        </is>
      </c>
      <c r="C59" s="111" t="inlineStr">
        <is>
          <t>MORANGO FRUTA</t>
        </is>
      </c>
      <c r="D59" s="111" t="n"/>
      <c r="E59" s="194" t="n">
        <v>0.03</v>
      </c>
      <c r="F59" s="195" t="n">
        <v>24567.4</v>
      </c>
      <c r="G59" s="196" t="n">
        <v>0</v>
      </c>
      <c r="H59" s="195" t="n">
        <v>0</v>
      </c>
      <c r="I59" s="195" t="n">
        <v>0</v>
      </c>
      <c r="J59" s="111" t="n"/>
      <c r="K59" s="111" t="n"/>
      <c r="L59" s="111" t="n"/>
      <c r="M59" s="195" t="n">
        <v>0</v>
      </c>
    </row>
    <row r="60" ht="15" customHeight="1">
      <c r="A60" s="107" t="inlineStr">
        <is>
          <t>000059</t>
        </is>
      </c>
      <c r="B60" s="107" t="inlineStr">
        <is>
          <t>000396</t>
        </is>
      </c>
      <c r="C60" s="107" t="inlineStr">
        <is>
          <t>LEITE CONDENSADO MOCA 2,6KG</t>
        </is>
      </c>
      <c r="D60" s="107" t="n"/>
      <c r="E60" s="191" t="n">
        <v>0.06</v>
      </c>
      <c r="F60" s="192" t="n">
        <v>0</v>
      </c>
      <c r="G60" s="193" t="n">
        <v>0</v>
      </c>
      <c r="H60" s="192" t="n">
        <v>0</v>
      </c>
      <c r="I60" s="192" t="n">
        <v>0</v>
      </c>
      <c r="J60" s="107" t="n"/>
      <c r="K60" s="107" t="n"/>
      <c r="L60" s="107" t="n"/>
      <c r="M60" s="192" t="n">
        <v>0</v>
      </c>
    </row>
    <row r="61" ht="15" customHeight="1">
      <c r="A61" s="111" t="inlineStr">
        <is>
          <t>000059</t>
        </is>
      </c>
      <c r="B61" s="111" t="inlineStr">
        <is>
          <t>000397</t>
        </is>
      </c>
      <c r="C61" s="111" t="inlineStr">
        <is>
          <t>LEITE DE COCO 200ML</t>
        </is>
      </c>
      <c r="D61" s="111" t="n"/>
      <c r="E61" s="194" t="n">
        <v>0.03</v>
      </c>
      <c r="F61" s="195" t="n">
        <v>0</v>
      </c>
      <c r="G61" s="196" t="n">
        <v>0</v>
      </c>
      <c r="H61" s="195" t="n">
        <v>0</v>
      </c>
      <c r="I61" s="195" t="n">
        <v>0</v>
      </c>
      <c r="J61" s="111" t="n"/>
      <c r="K61" s="111" t="n"/>
      <c r="L61" s="111" t="n"/>
      <c r="M61" s="195" t="n">
        <v>0</v>
      </c>
    </row>
    <row r="62" ht="15" customHeight="1">
      <c r="A62" s="107" t="inlineStr">
        <is>
          <t>000059</t>
        </is>
      </c>
      <c r="B62" s="107" t="inlineStr">
        <is>
          <t>000487</t>
        </is>
      </c>
      <c r="C62" s="107" t="inlineStr">
        <is>
          <t>ABACAXI PEROLA FRUTA</t>
        </is>
      </c>
      <c r="D62" s="107" t="n"/>
      <c r="E62" s="191" t="n">
        <v>0.04</v>
      </c>
      <c r="F62" s="192" t="n">
        <v>0</v>
      </c>
      <c r="G62" s="193" t="n">
        <v>0</v>
      </c>
      <c r="H62" s="192" t="n">
        <v>0</v>
      </c>
      <c r="I62" s="192" t="n">
        <v>0</v>
      </c>
      <c r="J62" s="107" t="n"/>
      <c r="K62" s="107" t="n"/>
      <c r="L62" s="107" t="n"/>
      <c r="M62" s="192" t="n">
        <v>0</v>
      </c>
    </row>
    <row r="63" ht="15" customHeight="1">
      <c r="A63" s="111" t="inlineStr">
        <is>
          <t>000059</t>
        </is>
      </c>
      <c r="B63" s="111" t="inlineStr">
        <is>
          <t>000697</t>
        </is>
      </c>
      <c r="C63" s="111" t="inlineStr">
        <is>
          <t>MONTILLA PRATA-CRISTAL</t>
        </is>
      </c>
      <c r="D63" s="111" t="n"/>
      <c r="E63" s="194" t="n">
        <v>0.08</v>
      </c>
      <c r="F63" s="195" t="n">
        <v>0</v>
      </c>
      <c r="G63" s="196" t="n">
        <v>0</v>
      </c>
      <c r="H63" s="195" t="n">
        <v>0</v>
      </c>
      <c r="I63" s="195" t="n">
        <v>0</v>
      </c>
      <c r="J63" s="111" t="n"/>
      <c r="K63" s="111" t="n"/>
      <c r="L63" s="111" t="n"/>
      <c r="M63" s="195" t="n">
        <v>0</v>
      </c>
    </row>
    <row r="64" ht="15" customHeight="1">
      <c r="A64" s="107" t="inlineStr">
        <is>
          <t>000061</t>
        </is>
      </c>
      <c r="B64" s="107" t="inlineStr">
        <is>
          <t>000351</t>
        </is>
      </c>
      <c r="C64" s="107" t="inlineStr">
        <is>
          <t>GARRAFAO DE VINHO TINTO SUAVE 4LT</t>
        </is>
      </c>
      <c r="D64" s="107" t="n"/>
      <c r="E64" s="191" t="n">
        <v>0.08</v>
      </c>
      <c r="F64" s="192" t="n">
        <v>0</v>
      </c>
      <c r="G64" s="193" t="n">
        <v>0</v>
      </c>
      <c r="H64" s="192" t="n">
        <v>0</v>
      </c>
      <c r="I64" s="192" t="n">
        <v>0</v>
      </c>
      <c r="J64" s="107" t="n"/>
      <c r="K64" s="107" t="n"/>
      <c r="L64" s="107" t="n"/>
      <c r="M64" s="192" t="n">
        <v>0</v>
      </c>
    </row>
    <row r="65" ht="15" customHeight="1">
      <c r="A65" s="111" t="inlineStr">
        <is>
          <t>000061</t>
        </is>
      </c>
      <c r="B65" s="111" t="inlineStr">
        <is>
          <t>000396</t>
        </is>
      </c>
      <c r="C65" s="111" t="inlineStr">
        <is>
          <t>LEITE CONDENSADO MOCA 2,6KG</t>
        </is>
      </c>
      <c r="D65" s="111" t="n"/>
      <c r="E65" s="194" t="n">
        <v>0.08</v>
      </c>
      <c r="F65" s="195" t="n">
        <v>0</v>
      </c>
      <c r="G65" s="196" t="n">
        <v>0</v>
      </c>
      <c r="H65" s="195" t="n">
        <v>0</v>
      </c>
      <c r="I65" s="195" t="n">
        <v>0</v>
      </c>
      <c r="J65" s="111" t="n"/>
      <c r="K65" s="111" t="n"/>
      <c r="L65" s="111" t="n"/>
      <c r="M65" s="195" t="n">
        <v>0</v>
      </c>
    </row>
    <row r="66" ht="15" customHeight="1">
      <c r="A66" s="107" t="inlineStr">
        <is>
          <t>000061</t>
        </is>
      </c>
      <c r="B66" s="107" t="inlineStr">
        <is>
          <t>000487</t>
        </is>
      </c>
      <c r="C66" s="107" t="inlineStr">
        <is>
          <t>ABACAXI PEROLA FRUTA</t>
        </is>
      </c>
      <c r="D66" s="107" t="n"/>
      <c r="E66" s="191" t="n">
        <v>0.05</v>
      </c>
      <c r="F66" s="192" t="n">
        <v>0</v>
      </c>
      <c r="G66" s="193" t="n">
        <v>0</v>
      </c>
      <c r="H66" s="192" t="n">
        <v>0</v>
      </c>
      <c r="I66" s="192" t="n">
        <v>0</v>
      </c>
      <c r="J66" s="107" t="n"/>
      <c r="K66" s="107" t="n"/>
      <c r="L66" s="107" t="n"/>
      <c r="M66" s="192" t="n">
        <v>0</v>
      </c>
    </row>
    <row r="67" ht="15" customHeight="1">
      <c r="A67" s="111" t="inlineStr">
        <is>
          <t>000062</t>
        </is>
      </c>
      <c r="B67" s="111" t="inlineStr">
        <is>
          <t>000318</t>
        </is>
      </c>
      <c r="C67" s="111" t="inlineStr">
        <is>
          <t>TONICA COMUM LATA</t>
        </is>
      </c>
      <c r="D67" s="111" t="n"/>
      <c r="E67" s="194" t="n">
        <v>1</v>
      </c>
      <c r="F67" s="195" t="n">
        <v>0</v>
      </c>
      <c r="G67" s="196" t="n">
        <v>0</v>
      </c>
      <c r="H67" s="195" t="n">
        <v>0</v>
      </c>
      <c r="I67" s="195" t="n">
        <v>0</v>
      </c>
      <c r="J67" s="111" t="n"/>
      <c r="K67" s="111" t="n"/>
      <c r="L67" s="111" t="n"/>
      <c r="M67" s="195" t="n">
        <v>0</v>
      </c>
    </row>
    <row r="68" ht="15" customHeight="1">
      <c r="A68" s="107" t="inlineStr">
        <is>
          <t>000062</t>
        </is>
      </c>
      <c r="B68" s="107" t="inlineStr">
        <is>
          <t>000619</t>
        </is>
      </c>
      <c r="C68" s="107" t="inlineStr">
        <is>
          <t>LIMAO SICILIANO</t>
        </is>
      </c>
      <c r="D68" s="107" t="n"/>
      <c r="E68" s="191" t="n">
        <v>0.05</v>
      </c>
      <c r="F68" s="192" t="n">
        <v>0</v>
      </c>
      <c r="G68" s="193" t="n">
        <v>0</v>
      </c>
      <c r="H68" s="192" t="n">
        <v>0</v>
      </c>
      <c r="I68" s="192" t="n">
        <v>0</v>
      </c>
      <c r="J68" s="107" t="n"/>
      <c r="K68" s="107" t="n"/>
      <c r="L68" s="107" t="n"/>
      <c r="M68" s="192" t="n">
        <v>0</v>
      </c>
    </row>
    <row r="69" ht="15" customHeight="1">
      <c r="A69" s="111" t="inlineStr">
        <is>
          <t>000062</t>
        </is>
      </c>
      <c r="B69" s="111" t="inlineStr">
        <is>
          <t>009820</t>
        </is>
      </c>
      <c r="C69" s="111" t="inlineStr">
        <is>
          <t>GIN BACCO PREMIUM BAG 5LT</t>
        </is>
      </c>
      <c r="D69" s="111" t="n"/>
      <c r="E69" s="194" t="n">
        <v>0.05</v>
      </c>
      <c r="F69" s="195" t="n">
        <v>0</v>
      </c>
      <c r="G69" s="196" t="n">
        <v>0</v>
      </c>
      <c r="H69" s="195" t="n">
        <v>0</v>
      </c>
      <c r="I69" s="195" t="n">
        <v>0</v>
      </c>
      <c r="J69" s="111" t="n"/>
      <c r="K69" s="111" t="n"/>
      <c r="L69" s="111" t="n"/>
      <c r="M69" s="195" t="n">
        <v>0</v>
      </c>
    </row>
    <row r="70" ht="15" customHeight="1">
      <c r="A70" s="107" t="inlineStr">
        <is>
          <t>000063</t>
        </is>
      </c>
      <c r="B70" s="107" t="inlineStr">
        <is>
          <t>000345</t>
        </is>
      </c>
      <c r="C70" s="107" t="inlineStr">
        <is>
          <t>APERITIVO CAMPARI 998ML</t>
        </is>
      </c>
      <c r="D70" s="107" t="n"/>
      <c r="E70" s="191" t="n">
        <v>0.03</v>
      </c>
      <c r="F70" s="192" t="n">
        <v>0</v>
      </c>
      <c r="G70" s="193" t="n">
        <v>0</v>
      </c>
      <c r="H70" s="192" t="n">
        <v>0</v>
      </c>
      <c r="I70" s="192" t="n">
        <v>0</v>
      </c>
      <c r="J70" s="107" t="n"/>
      <c r="K70" s="107" t="n"/>
      <c r="L70" s="107" t="n"/>
      <c r="M70" s="192" t="n">
        <v>0</v>
      </c>
    </row>
    <row r="71" ht="15" customHeight="1">
      <c r="A71" s="111" t="inlineStr">
        <is>
          <t>000063</t>
        </is>
      </c>
      <c r="B71" s="111" t="inlineStr">
        <is>
          <t>000349</t>
        </is>
      </c>
      <c r="C71" s="111" t="inlineStr">
        <is>
          <t>VERMOUTH MARTINI DRY 750ML</t>
        </is>
      </c>
      <c r="D71" s="111" t="n"/>
      <c r="E71" s="194" t="n">
        <v>0.03</v>
      </c>
      <c r="F71" s="195" t="n">
        <v>0</v>
      </c>
      <c r="G71" s="196" t="n">
        <v>0</v>
      </c>
      <c r="H71" s="195" t="n">
        <v>0</v>
      </c>
      <c r="I71" s="195" t="n">
        <v>0</v>
      </c>
      <c r="J71" s="111" t="n"/>
      <c r="K71" s="111" t="n"/>
      <c r="L71" s="111" t="n"/>
      <c r="M71" s="195" t="n">
        <v>0</v>
      </c>
    </row>
    <row r="72" ht="15" customHeight="1">
      <c r="A72" s="107" t="inlineStr">
        <is>
          <t>000063</t>
        </is>
      </c>
      <c r="B72" s="107" t="inlineStr">
        <is>
          <t>000490</t>
        </is>
      </c>
      <c r="C72" s="107" t="inlineStr">
        <is>
          <t>LARANJA PERA FRUTA</t>
        </is>
      </c>
      <c r="D72" s="107" t="n"/>
      <c r="E72" s="191" t="n">
        <v>0.08</v>
      </c>
      <c r="F72" s="192" t="n">
        <v>0</v>
      </c>
      <c r="G72" s="193" t="n">
        <v>0</v>
      </c>
      <c r="H72" s="192" t="n">
        <v>0</v>
      </c>
      <c r="I72" s="192" t="n">
        <v>0</v>
      </c>
      <c r="J72" s="107" t="n"/>
      <c r="K72" s="107" t="n"/>
      <c r="L72" s="107" t="n"/>
      <c r="M72" s="192" t="n">
        <v>0</v>
      </c>
    </row>
    <row r="73" ht="15" customHeight="1">
      <c r="A73" s="111" t="inlineStr">
        <is>
          <t>000063</t>
        </is>
      </c>
      <c r="B73" s="111" t="inlineStr">
        <is>
          <t>001394</t>
        </is>
      </c>
      <c r="C73" s="111" t="inlineStr">
        <is>
          <t>GIN SALT BAG 5LT</t>
        </is>
      </c>
      <c r="D73" s="111" t="n"/>
      <c r="E73" s="194" t="n">
        <v>0.03</v>
      </c>
      <c r="F73" s="195" t="n">
        <v>0</v>
      </c>
      <c r="G73" s="196" t="n">
        <v>0</v>
      </c>
      <c r="H73" s="195" t="n">
        <v>0</v>
      </c>
      <c r="I73" s="195" t="n">
        <v>0</v>
      </c>
      <c r="J73" s="111" t="n"/>
      <c r="K73" s="111" t="n"/>
      <c r="L73" s="111" t="n"/>
      <c r="M73" s="195" t="n">
        <v>0</v>
      </c>
    </row>
    <row r="74" ht="15" customHeight="1">
      <c r="A74" s="107" t="inlineStr">
        <is>
          <t>000278</t>
        </is>
      </c>
      <c r="B74" s="107" t="inlineStr">
        <is>
          <t>000442</t>
        </is>
      </c>
      <c r="C74" s="107" t="inlineStr">
        <is>
          <t>MUSSARELA DE BUFALA</t>
        </is>
      </c>
      <c r="D74" s="107" t="n"/>
      <c r="E74" s="191" t="n">
        <v>0.078</v>
      </c>
      <c r="F74" s="192" t="n">
        <v>32.99</v>
      </c>
      <c r="G74" s="193" t="n">
        <v>0</v>
      </c>
      <c r="H74" s="192" t="n">
        <v>0</v>
      </c>
      <c r="I74" s="192" t="n">
        <v>0</v>
      </c>
      <c r="J74" s="107" t="n"/>
      <c r="K74" s="107" t="n"/>
      <c r="L74" s="107" t="n"/>
      <c r="M74" s="192" t="n">
        <v>0</v>
      </c>
    </row>
    <row r="75" ht="15" customHeight="1">
      <c r="A75" s="111" t="inlineStr">
        <is>
          <t>000278</t>
        </is>
      </c>
      <c r="B75" s="111" t="inlineStr">
        <is>
          <t>000444</t>
        </is>
      </c>
      <c r="C75" s="111" t="inlineStr">
        <is>
          <t>TOMATE SECO</t>
        </is>
      </c>
      <c r="D75" s="111" t="n"/>
      <c r="E75" s="194" t="n">
        <v>0.027</v>
      </c>
      <c r="F75" s="195" t="n">
        <v>175.43</v>
      </c>
      <c r="G75" s="196" t="n">
        <v>0</v>
      </c>
      <c r="H75" s="195" t="n">
        <v>0</v>
      </c>
      <c r="I75" s="195" t="n">
        <v>0</v>
      </c>
      <c r="J75" s="111" t="n"/>
      <c r="K75" s="111" t="n"/>
      <c r="L75" s="111" t="n"/>
      <c r="M75" s="195" t="n">
        <v>0</v>
      </c>
    </row>
    <row r="76" ht="15" customHeight="1">
      <c r="A76" s="107" t="inlineStr">
        <is>
          <t>000279</t>
        </is>
      </c>
      <c r="B76" s="107" t="inlineStr">
        <is>
          <t>000440</t>
        </is>
      </c>
      <c r="C76" s="107" t="inlineStr">
        <is>
          <t>PALITO DE BAMBU 25CM FINO</t>
        </is>
      </c>
      <c r="D76" s="107" t="n"/>
      <c r="E76" s="191" t="n">
        <v>0.02</v>
      </c>
      <c r="F76" s="192" t="n">
        <v>0</v>
      </c>
      <c r="G76" s="193" t="n">
        <v>0</v>
      </c>
      <c r="H76" s="192" t="n">
        <v>0</v>
      </c>
      <c r="I76" s="192" t="n">
        <v>0</v>
      </c>
      <c r="J76" s="107" t="n"/>
      <c r="K76" s="107" t="n"/>
      <c r="L76" s="107" t="n"/>
      <c r="M76" s="192" t="n">
        <v>0</v>
      </c>
    </row>
    <row r="77" ht="15" customHeight="1">
      <c r="A77" s="111" t="inlineStr">
        <is>
          <t>000279</t>
        </is>
      </c>
      <c r="B77" s="111" t="inlineStr">
        <is>
          <t>000442</t>
        </is>
      </c>
      <c r="C77" s="111" t="inlineStr">
        <is>
          <t>MUSSARELA DE BUFALA</t>
        </is>
      </c>
      <c r="D77" s="111" t="n"/>
      <c r="E77" s="194" t="n">
        <v>0.07000000000000001</v>
      </c>
      <c r="F77" s="195" t="n">
        <v>194299.18</v>
      </c>
      <c r="G77" s="196" t="n">
        <v>0</v>
      </c>
      <c r="H77" s="195" t="n">
        <v>0</v>
      </c>
      <c r="I77" s="195" t="n">
        <v>0</v>
      </c>
      <c r="J77" s="111" t="n"/>
      <c r="K77" s="111" t="n"/>
      <c r="L77" s="111" t="n"/>
      <c r="M77" s="195" t="n">
        <v>0</v>
      </c>
    </row>
    <row r="78" ht="15" customHeight="1">
      <c r="A78" s="107" t="inlineStr">
        <is>
          <t>000279</t>
        </is>
      </c>
      <c r="B78" s="107" t="inlineStr">
        <is>
          <t>000483</t>
        </is>
      </c>
      <c r="C78" s="107" t="inlineStr">
        <is>
          <t>RUCULA HIDROPONICA</t>
        </is>
      </c>
      <c r="D78" s="107" t="n"/>
      <c r="E78" s="191" t="n">
        <v>0.015</v>
      </c>
      <c r="F78" s="192" t="n">
        <v>298.75</v>
      </c>
      <c r="G78" s="193" t="n">
        <v>0</v>
      </c>
      <c r="H78" s="192" t="n">
        <v>0</v>
      </c>
      <c r="I78" s="192" t="n">
        <v>0</v>
      </c>
      <c r="J78" s="107" t="n"/>
      <c r="K78" s="107" t="n"/>
      <c r="L78" s="107" t="n"/>
      <c r="M78" s="192" t="n">
        <v>0</v>
      </c>
    </row>
    <row r="79" ht="15" customHeight="1">
      <c r="A79" s="111" t="inlineStr">
        <is>
          <t>000279</t>
        </is>
      </c>
      <c r="B79" s="111" t="inlineStr">
        <is>
          <t>000485</t>
        </is>
      </c>
      <c r="C79" s="111" t="inlineStr">
        <is>
          <t>TOMATE  CEREJA</t>
        </is>
      </c>
      <c r="D79" s="111" t="n"/>
      <c r="E79" s="194" t="n">
        <v>0.025</v>
      </c>
      <c r="F79" s="195" t="n">
        <v>49.78</v>
      </c>
      <c r="G79" s="196" t="n">
        <v>0</v>
      </c>
      <c r="H79" s="195" t="n">
        <v>0</v>
      </c>
      <c r="I79" s="195" t="n">
        <v>0</v>
      </c>
      <c r="J79" s="111" t="n"/>
      <c r="K79" s="111" t="n"/>
      <c r="L79" s="111" t="n"/>
      <c r="M79" s="195" t="n">
        <v>0</v>
      </c>
    </row>
    <row r="80" ht="15" customHeight="1">
      <c r="A80" s="107" t="inlineStr">
        <is>
          <t>000280</t>
        </is>
      </c>
      <c r="B80" s="107" t="inlineStr">
        <is>
          <t>000407</t>
        </is>
      </c>
      <c r="C80" s="107" t="inlineStr">
        <is>
          <t>MOLHO SALADA ERVAS FINAS 236ML</t>
        </is>
      </c>
      <c r="D80" s="107" t="n"/>
      <c r="E80" s="191" t="n">
        <v>0.01</v>
      </c>
      <c r="F80" s="192" t="n">
        <v>22.9</v>
      </c>
      <c r="G80" s="193" t="n">
        <v>0</v>
      </c>
      <c r="H80" s="192" t="n">
        <v>0</v>
      </c>
      <c r="I80" s="192" t="n">
        <v>0</v>
      </c>
      <c r="J80" s="107" t="n"/>
      <c r="K80" s="107" t="n"/>
      <c r="L80" s="107" t="n"/>
      <c r="M80" s="192" t="n">
        <v>0</v>
      </c>
    </row>
    <row r="81" ht="15" customHeight="1">
      <c r="A81" s="111" t="inlineStr">
        <is>
          <t>000280</t>
        </is>
      </c>
      <c r="B81" s="111" t="inlineStr">
        <is>
          <t>000444</t>
        </is>
      </c>
      <c r="C81" s="111" t="inlineStr">
        <is>
          <t>TOMATE SECO</t>
        </is>
      </c>
      <c r="D81" s="111" t="n"/>
      <c r="E81" s="194" t="n">
        <v>0.025</v>
      </c>
      <c r="F81" s="195" t="n">
        <v>162.43</v>
      </c>
      <c r="G81" s="196" t="n">
        <v>0</v>
      </c>
      <c r="H81" s="195" t="n">
        <v>0</v>
      </c>
      <c r="I81" s="195" t="n">
        <v>0</v>
      </c>
      <c r="J81" s="111" t="n"/>
      <c r="K81" s="111" t="n"/>
      <c r="L81" s="111" t="n"/>
      <c r="M81" s="195" t="n">
        <v>0</v>
      </c>
    </row>
    <row r="82" ht="15" customHeight="1">
      <c r="A82" s="107" t="inlineStr">
        <is>
          <t>000280</t>
        </is>
      </c>
      <c r="B82" s="107" t="inlineStr">
        <is>
          <t>000445</t>
        </is>
      </c>
      <c r="C82" s="107" t="inlineStr">
        <is>
          <t>TOLETE DE PUPUNHA 1,8KG</t>
        </is>
      </c>
      <c r="D82" s="107" t="n"/>
      <c r="E82" s="191" t="n">
        <v>0.09</v>
      </c>
      <c r="F82" s="192" t="n">
        <v>129.11</v>
      </c>
      <c r="G82" s="193" t="n">
        <v>0</v>
      </c>
      <c r="H82" s="192" t="n">
        <v>0</v>
      </c>
      <c r="I82" s="192" t="n">
        <v>0</v>
      </c>
      <c r="J82" s="107" t="n"/>
      <c r="K82" s="107" t="n"/>
      <c r="L82" s="107" t="n"/>
      <c r="M82" s="192" t="n">
        <v>0</v>
      </c>
    </row>
    <row r="83" ht="15" customHeight="1">
      <c r="A83" s="111" t="inlineStr">
        <is>
          <t>000280</t>
        </is>
      </c>
      <c r="B83" s="111" t="inlineStr">
        <is>
          <t>000483</t>
        </is>
      </c>
      <c r="C83" s="111" t="inlineStr">
        <is>
          <t>RUCULA HIDROPONICA</t>
        </is>
      </c>
      <c r="D83" s="111" t="n"/>
      <c r="E83" s="194" t="n">
        <v>0.01</v>
      </c>
      <c r="F83" s="195" t="n">
        <v>19.92</v>
      </c>
      <c r="G83" s="196" t="n">
        <v>0</v>
      </c>
      <c r="H83" s="195" t="n">
        <v>0</v>
      </c>
      <c r="I83" s="195" t="n">
        <v>0</v>
      </c>
      <c r="J83" s="111" t="n"/>
      <c r="K83" s="111" t="n"/>
      <c r="L83" s="111" t="n"/>
      <c r="M83" s="195" t="n">
        <v>0</v>
      </c>
    </row>
    <row r="84" ht="15" customHeight="1">
      <c r="A84" s="107" t="inlineStr">
        <is>
          <t>000281</t>
        </is>
      </c>
      <c r="B84" s="107" t="inlineStr">
        <is>
          <t>000371</t>
        </is>
      </c>
      <c r="C84" s="107" t="inlineStr">
        <is>
          <t>VINHO ANTARES CARMENERE 750ML</t>
        </is>
      </c>
      <c r="D84" s="107" t="n"/>
      <c r="E84" s="191" t="n">
        <v>1</v>
      </c>
      <c r="F84" s="192" t="n">
        <v>0</v>
      </c>
      <c r="G84" s="193" t="n">
        <v>0</v>
      </c>
      <c r="H84" s="192" t="n">
        <v>0</v>
      </c>
      <c r="I84" s="192" t="n">
        <v>0</v>
      </c>
      <c r="J84" s="107" t="n"/>
      <c r="K84" s="107" t="n"/>
      <c r="L84" s="107" t="n"/>
      <c r="M84" s="192" t="n">
        <v>0</v>
      </c>
    </row>
    <row r="85" ht="15" customHeight="1">
      <c r="A85" s="111" t="inlineStr">
        <is>
          <t>000282</t>
        </is>
      </c>
      <c r="B85" s="111" t="inlineStr">
        <is>
          <t>000439</t>
        </is>
      </c>
      <c r="C85" s="111" t="inlineStr">
        <is>
          <t>ESPETO QUEIJO COALHO</t>
        </is>
      </c>
      <c r="D85" s="111" t="n"/>
      <c r="E85" s="194" t="n">
        <v>0.06</v>
      </c>
      <c r="F85" s="195" t="n">
        <v>94845.75999999999</v>
      </c>
      <c r="G85" s="196" t="n">
        <v>0</v>
      </c>
      <c r="H85" s="195" t="n">
        <v>0</v>
      </c>
      <c r="I85" s="195" t="n">
        <v>0</v>
      </c>
      <c r="J85" s="111" t="n"/>
      <c r="K85" s="111" t="n"/>
      <c r="L85" s="111" t="n"/>
      <c r="M85" s="195" t="n">
        <v>0</v>
      </c>
    </row>
    <row r="86" ht="15" customHeight="1">
      <c r="A86" s="107" t="inlineStr">
        <is>
          <t>000283</t>
        </is>
      </c>
      <c r="B86" s="107" t="inlineStr">
        <is>
          <t>000372</t>
        </is>
      </c>
      <c r="C86" s="107" t="inlineStr">
        <is>
          <t>VINHO LAMBRUSCO VILLA FABRIZIA TINTO 750ML</t>
        </is>
      </c>
      <c r="D86" s="107" t="n"/>
      <c r="E86" s="191" t="n">
        <v>1</v>
      </c>
      <c r="F86" s="192" t="n">
        <v>0</v>
      </c>
      <c r="G86" s="193" t="n">
        <v>0</v>
      </c>
      <c r="H86" s="192" t="n">
        <v>0</v>
      </c>
      <c r="I86" s="192" t="n">
        <v>0</v>
      </c>
      <c r="J86" s="107" t="n"/>
      <c r="K86" s="107" t="n"/>
      <c r="L86" s="107" t="n"/>
      <c r="M86" s="192" t="n">
        <v>0</v>
      </c>
    </row>
    <row r="87" ht="15" customHeight="1">
      <c r="A87" s="111" t="inlineStr">
        <is>
          <t>000364</t>
        </is>
      </c>
      <c r="B87" s="111" t="inlineStr">
        <is>
          <t>000302</t>
        </is>
      </c>
      <c r="C87" s="111" t="inlineStr">
        <is>
          <t>ESPETO CAMARAO COMUM</t>
        </is>
      </c>
      <c r="D87" s="111" t="n"/>
      <c r="E87" s="194" t="n">
        <v>1</v>
      </c>
      <c r="F87" s="195" t="n">
        <v>0</v>
      </c>
      <c r="G87" s="196" t="n">
        <v>0</v>
      </c>
      <c r="H87" s="195" t="n">
        <v>0</v>
      </c>
      <c r="I87" s="195" t="n">
        <v>0</v>
      </c>
      <c r="J87" s="111" t="n"/>
      <c r="K87" s="111" t="n"/>
      <c r="L87" s="111" t="n"/>
      <c r="M87" s="195" t="n">
        <v>0</v>
      </c>
    </row>
    <row r="88" ht="15" customHeight="1">
      <c r="A88" s="107" t="inlineStr">
        <is>
          <t>000502</t>
        </is>
      </c>
      <c r="B88" s="107" t="inlineStr">
        <is>
          <t>000294</t>
        </is>
      </c>
      <c r="C88" s="107" t="inlineStr">
        <is>
          <t>ESPETO MEDALHAO DE ALCATRA</t>
        </is>
      </c>
      <c r="D88" s="107" t="n"/>
      <c r="E88" s="191" t="n">
        <v>1</v>
      </c>
      <c r="F88" s="192" t="n">
        <v>0</v>
      </c>
      <c r="G88" s="193" t="n">
        <v>0</v>
      </c>
      <c r="H88" s="192" t="n">
        <v>0</v>
      </c>
      <c r="I88" s="192" t="n">
        <v>0</v>
      </c>
      <c r="J88" s="107" t="n"/>
      <c r="K88" s="107" t="n"/>
      <c r="L88" s="107" t="n"/>
      <c r="M88" s="192" t="n">
        <v>0</v>
      </c>
    </row>
    <row r="89" ht="15" customHeight="1">
      <c r="A89" s="111" t="inlineStr">
        <is>
          <t>000504</t>
        </is>
      </c>
      <c r="B89" s="111" t="inlineStr">
        <is>
          <t>000295</t>
        </is>
      </c>
      <c r="C89" s="111" t="inlineStr">
        <is>
          <t>ESPETO MEDALHAO DE FRANGO</t>
        </is>
      </c>
      <c r="D89" s="111" t="n"/>
      <c r="E89" s="194" t="n">
        <v>1</v>
      </c>
      <c r="F89" s="195" t="n">
        <v>0</v>
      </c>
      <c r="G89" s="196" t="n">
        <v>0</v>
      </c>
      <c r="H89" s="195" t="n">
        <v>0</v>
      </c>
      <c r="I89" s="195" t="n">
        <v>0</v>
      </c>
      <c r="J89" s="111" t="n"/>
      <c r="K89" s="111" t="n"/>
      <c r="L89" s="111" t="n"/>
      <c r="M89" s="195" t="n">
        <v>0</v>
      </c>
    </row>
    <row r="90" ht="15" customHeight="1">
      <c r="A90" s="107" t="inlineStr">
        <is>
          <t>000765</t>
        </is>
      </c>
      <c r="B90" s="107" t="inlineStr">
        <is>
          <t>000301</t>
        </is>
      </c>
      <c r="C90" s="107" t="inlineStr">
        <is>
          <t>ESPETO SALSICHAO C/  PROVOLONE</t>
        </is>
      </c>
      <c r="D90" s="107" t="n"/>
      <c r="E90" s="191" t="n">
        <v>1</v>
      </c>
      <c r="F90" s="192" t="n">
        <v>0</v>
      </c>
      <c r="G90" s="193" t="n">
        <v>0</v>
      </c>
      <c r="H90" s="192" t="n">
        <v>0</v>
      </c>
      <c r="I90" s="192" t="n">
        <v>0</v>
      </c>
      <c r="J90" s="107" t="n"/>
      <c r="K90" s="107" t="n"/>
      <c r="L90" s="107" t="n"/>
      <c r="M90" s="192" t="n">
        <v>0</v>
      </c>
    </row>
    <row r="91" ht="15" customHeight="1">
      <c r="A91" s="111" t="inlineStr">
        <is>
          <t>000766</t>
        </is>
      </c>
      <c r="B91" s="111" t="inlineStr">
        <is>
          <t>000305</t>
        </is>
      </c>
      <c r="C91" s="111" t="inlineStr">
        <is>
          <t>BOLINHO DE BACALHAU</t>
        </is>
      </c>
      <c r="D91" s="111" t="n"/>
      <c r="E91" s="194" t="n">
        <v>4</v>
      </c>
      <c r="F91" s="195" t="n">
        <v>277404.47</v>
      </c>
      <c r="G91" s="196" t="n">
        <v>0</v>
      </c>
      <c r="H91" s="195" t="n">
        <v>0</v>
      </c>
      <c r="I91" s="195" t="n">
        <v>0</v>
      </c>
      <c r="J91" s="111" t="n"/>
      <c r="K91" s="111" t="n"/>
      <c r="L91" s="111" t="n"/>
      <c r="M91" s="195" t="n">
        <v>0</v>
      </c>
    </row>
    <row r="92" ht="15" customHeight="1">
      <c r="A92" s="107" t="inlineStr">
        <is>
          <t>000767</t>
        </is>
      </c>
      <c r="B92" s="107" t="inlineStr">
        <is>
          <t>000308</t>
        </is>
      </c>
      <c r="C92" s="107" t="inlineStr">
        <is>
          <t>KIBE PCT COM 50UND</t>
        </is>
      </c>
      <c r="D92" s="107" t="n"/>
      <c r="E92" s="191" t="n">
        <v>4</v>
      </c>
      <c r="F92" s="192" t="n">
        <v>2182.8</v>
      </c>
      <c r="G92" s="193" t="n">
        <v>0</v>
      </c>
      <c r="H92" s="192" t="n">
        <v>0</v>
      </c>
      <c r="I92" s="192" t="n">
        <v>0</v>
      </c>
      <c r="J92" s="107" t="n"/>
      <c r="K92" s="107" t="n"/>
      <c r="L92" s="107" t="n"/>
      <c r="M92" s="192" t="n">
        <v>0</v>
      </c>
    </row>
    <row r="93" ht="15" customHeight="1">
      <c r="A93" s="111" t="inlineStr">
        <is>
          <t>000769</t>
        </is>
      </c>
      <c r="B93" s="111" t="inlineStr">
        <is>
          <t>000304</t>
        </is>
      </c>
      <c r="C93" s="111" t="inlineStr">
        <is>
          <t>BOLINHO DE QUEIJO</t>
        </is>
      </c>
      <c r="D93" s="111" t="n"/>
      <c r="E93" s="194" t="n">
        <v>4</v>
      </c>
      <c r="F93" s="195" t="n">
        <v>38.69</v>
      </c>
      <c r="G93" s="196" t="n">
        <v>0</v>
      </c>
      <c r="H93" s="195" t="n">
        <v>0</v>
      </c>
      <c r="I93" s="195" t="n">
        <v>0</v>
      </c>
      <c r="J93" s="111" t="n"/>
      <c r="K93" s="111" t="n"/>
      <c r="L93" s="111" t="n"/>
      <c r="M93" s="195" t="n">
        <v>0</v>
      </c>
    </row>
    <row r="94" ht="15" customHeight="1">
      <c r="A94" s="107" t="inlineStr">
        <is>
          <t>000770</t>
        </is>
      </c>
      <c r="B94" s="107" t="inlineStr">
        <is>
          <t>000297</t>
        </is>
      </c>
      <c r="C94" s="107" t="inlineStr">
        <is>
          <t>ESPETO PICANHA C/ GORDURA</t>
        </is>
      </c>
      <c r="D94" s="107" t="n"/>
      <c r="E94" s="191" t="n">
        <v>1</v>
      </c>
      <c r="F94" s="192" t="n">
        <v>0</v>
      </c>
      <c r="G94" s="193" t="n">
        <v>0</v>
      </c>
      <c r="H94" s="192" t="n">
        <v>0</v>
      </c>
      <c r="I94" s="192" t="n">
        <v>0</v>
      </c>
      <c r="J94" s="107" t="n"/>
      <c r="K94" s="107" t="n"/>
      <c r="L94" s="107" t="n"/>
      <c r="M94" s="192" t="n">
        <v>0</v>
      </c>
    </row>
    <row r="95" ht="15" customHeight="1">
      <c r="A95" s="111" t="inlineStr">
        <is>
          <t>000771</t>
        </is>
      </c>
      <c r="B95" s="111" t="inlineStr">
        <is>
          <t>000707</t>
        </is>
      </c>
      <c r="C95" s="111" t="inlineStr">
        <is>
          <t>ESPETO MUSSARELA DEFUMADA</t>
        </is>
      </c>
      <c r="D95" s="111" t="n"/>
      <c r="E95" s="194" t="n">
        <v>0.063</v>
      </c>
      <c r="F95" s="195" t="n">
        <v>0</v>
      </c>
      <c r="G95" s="196" t="n">
        <v>0</v>
      </c>
      <c r="H95" s="195" t="n">
        <v>0</v>
      </c>
      <c r="I95" s="195" t="n">
        <v>0</v>
      </c>
      <c r="J95" s="111" t="n"/>
      <c r="K95" s="111" t="n"/>
      <c r="L95" s="111" t="n"/>
      <c r="M95" s="195" t="n">
        <v>0</v>
      </c>
    </row>
    <row r="96" ht="15" customHeight="1">
      <c r="A96" s="107" t="inlineStr">
        <is>
          <t>000772</t>
        </is>
      </c>
      <c r="B96" s="107" t="inlineStr">
        <is>
          <t>000299</t>
        </is>
      </c>
      <c r="C96" s="107" t="inlineStr">
        <is>
          <t>ESPETO CARRE DE CORDEIRO</t>
        </is>
      </c>
      <c r="D96" s="107" t="n"/>
      <c r="E96" s="191" t="n">
        <v>1</v>
      </c>
      <c r="F96" s="192" t="n">
        <v>0</v>
      </c>
      <c r="G96" s="193" t="n">
        <v>0</v>
      </c>
      <c r="H96" s="192" t="n">
        <v>0</v>
      </c>
      <c r="I96" s="192" t="n">
        <v>0</v>
      </c>
      <c r="J96" s="107" t="n"/>
      <c r="K96" s="107" t="n"/>
      <c r="L96" s="107" t="n"/>
      <c r="M96" s="192" t="n">
        <v>0</v>
      </c>
    </row>
    <row r="97" ht="15" customHeight="1">
      <c r="A97" s="111" t="inlineStr">
        <is>
          <t>000773</t>
        </is>
      </c>
      <c r="B97" s="111" t="inlineStr">
        <is>
          <t>000296</t>
        </is>
      </c>
      <c r="C97" s="111" t="inlineStr">
        <is>
          <t>ESPETO FILE MIGNON</t>
        </is>
      </c>
      <c r="D97" s="111" t="n"/>
      <c r="E97" s="194" t="n">
        <v>1</v>
      </c>
      <c r="F97" s="195" t="n">
        <v>0</v>
      </c>
      <c r="G97" s="196" t="n">
        <v>0</v>
      </c>
      <c r="H97" s="195" t="n">
        <v>0</v>
      </c>
      <c r="I97" s="195" t="n">
        <v>0</v>
      </c>
      <c r="J97" s="111" t="n"/>
      <c r="K97" s="111" t="n"/>
      <c r="L97" s="111" t="n"/>
      <c r="M97" s="195" t="n">
        <v>0</v>
      </c>
    </row>
    <row r="98" ht="15" customHeight="1">
      <c r="A98" s="107" t="inlineStr">
        <is>
          <t>000794</t>
        </is>
      </c>
      <c r="B98" s="107" t="inlineStr">
        <is>
          <t>000437</t>
        </is>
      </c>
      <c r="C98" s="107" t="inlineStr">
        <is>
          <t>CHOCOLATE GAROTO BARRA 2,1KG</t>
        </is>
      </c>
      <c r="D98" s="107" t="n"/>
      <c r="E98" s="191" t="n">
        <v>0.03</v>
      </c>
      <c r="F98" s="192" t="n">
        <v>0</v>
      </c>
      <c r="G98" s="193" t="n">
        <v>0</v>
      </c>
      <c r="H98" s="192" t="n">
        <v>0</v>
      </c>
      <c r="I98" s="192" t="n">
        <v>0</v>
      </c>
      <c r="J98" s="107" t="n"/>
      <c r="K98" s="107" t="n"/>
      <c r="L98" s="107" t="n"/>
      <c r="M98" s="192" t="n">
        <v>0</v>
      </c>
    </row>
    <row r="99" ht="15" customHeight="1">
      <c r="A99" s="111" t="inlineStr">
        <is>
          <t>000794</t>
        </is>
      </c>
      <c r="B99" s="111" t="inlineStr">
        <is>
          <t>000487</t>
        </is>
      </c>
      <c r="C99" s="111" t="inlineStr">
        <is>
          <t>ABACAXI PEROLA FRUTA</t>
        </is>
      </c>
      <c r="D99" s="111" t="n"/>
      <c r="E99" s="194" t="n">
        <v>0.09</v>
      </c>
      <c r="F99" s="195" t="n">
        <v>0</v>
      </c>
      <c r="G99" s="196" t="n">
        <v>0</v>
      </c>
      <c r="H99" s="195" t="n">
        <v>0</v>
      </c>
      <c r="I99" s="195" t="n">
        <v>0</v>
      </c>
      <c r="J99" s="111" t="n"/>
      <c r="K99" s="111" t="n"/>
      <c r="L99" s="111" t="n"/>
      <c r="M99" s="195" t="n">
        <v>0</v>
      </c>
    </row>
    <row r="100" ht="15" customHeight="1">
      <c r="A100" s="107" t="inlineStr">
        <is>
          <t>000795</t>
        </is>
      </c>
      <c r="B100" s="107" t="inlineStr">
        <is>
          <t>000437</t>
        </is>
      </c>
      <c r="C100" s="107" t="inlineStr">
        <is>
          <t>CHOCOLATE GAROTO BARRA 2,1KG</t>
        </is>
      </c>
      <c r="D100" s="107" t="n"/>
      <c r="E100" s="191" t="n">
        <v>0.03</v>
      </c>
      <c r="F100" s="192" t="n">
        <v>128.23</v>
      </c>
      <c r="G100" s="193" t="n">
        <v>0</v>
      </c>
      <c r="H100" s="192" t="n">
        <v>0</v>
      </c>
      <c r="I100" s="192" t="n">
        <v>0</v>
      </c>
      <c r="J100" s="107" t="n"/>
      <c r="K100" s="107" t="n"/>
      <c r="L100" s="107" t="n"/>
      <c r="M100" s="192" t="n">
        <v>0</v>
      </c>
    </row>
    <row r="101" ht="15" customHeight="1">
      <c r="A101" s="111" t="inlineStr">
        <is>
          <t>000795</t>
        </is>
      </c>
      <c r="B101" s="111" t="inlineStr">
        <is>
          <t>000489</t>
        </is>
      </c>
      <c r="C101" s="111" t="inlineStr">
        <is>
          <t>BANANA PRATA FRUTA</t>
        </is>
      </c>
      <c r="D101" s="111" t="n"/>
      <c r="E101" s="194" t="n">
        <v>0.07000000000000001</v>
      </c>
      <c r="F101" s="195" t="n">
        <v>221.23</v>
      </c>
      <c r="G101" s="196" t="n">
        <v>0</v>
      </c>
      <c r="H101" s="195" t="n">
        <v>0</v>
      </c>
      <c r="I101" s="195" t="n">
        <v>0</v>
      </c>
      <c r="J101" s="111" t="n"/>
      <c r="K101" s="111" t="n"/>
      <c r="L101" s="111" t="n"/>
      <c r="M101" s="195" t="n">
        <v>0</v>
      </c>
    </row>
    <row r="102" ht="15" customHeight="1">
      <c r="A102" s="107" t="inlineStr">
        <is>
          <t>000796</t>
        </is>
      </c>
      <c r="B102" s="107" t="inlineStr">
        <is>
          <t>000437</t>
        </is>
      </c>
      <c r="C102" s="107" t="inlineStr">
        <is>
          <t>CHOCOLATE GAROTO BARRA 2,1KG</t>
        </is>
      </c>
      <c r="D102" s="107" t="n"/>
      <c r="E102" s="191" t="n">
        <v>0.035</v>
      </c>
      <c r="F102" s="192" t="n">
        <v>128.23</v>
      </c>
      <c r="G102" s="193" t="n">
        <v>0</v>
      </c>
      <c r="H102" s="192" t="n">
        <v>0</v>
      </c>
      <c r="I102" s="192" t="n">
        <v>0</v>
      </c>
      <c r="J102" s="107" t="n"/>
      <c r="K102" s="107" t="n"/>
      <c r="L102" s="107" t="n"/>
      <c r="M102" s="192" t="n">
        <v>0</v>
      </c>
    </row>
    <row r="103" ht="15" customHeight="1">
      <c r="A103" s="111" t="inlineStr">
        <is>
          <t>000796</t>
        </is>
      </c>
      <c r="B103" s="111" t="inlineStr">
        <is>
          <t>000590</t>
        </is>
      </c>
      <c r="C103" s="111" t="inlineStr">
        <is>
          <t>MORANGO FRUTA</t>
        </is>
      </c>
      <c r="D103" s="111" t="n"/>
      <c r="E103" s="194" t="n">
        <v>0.09</v>
      </c>
      <c r="F103" s="195" t="n">
        <v>761.04</v>
      </c>
      <c r="G103" s="196" t="n">
        <v>0</v>
      </c>
      <c r="H103" s="195" t="n">
        <v>0</v>
      </c>
      <c r="I103" s="195" t="n">
        <v>0</v>
      </c>
      <c r="J103" s="111" t="n"/>
      <c r="K103" s="111" t="n"/>
      <c r="L103" s="111" t="n"/>
      <c r="M103" s="195" t="n">
        <v>0</v>
      </c>
    </row>
    <row r="104" ht="15" customHeight="1">
      <c r="A104" s="107" t="inlineStr">
        <is>
          <t>000797</t>
        </is>
      </c>
      <c r="B104" s="107" t="inlineStr">
        <is>
          <t>000437</t>
        </is>
      </c>
      <c r="C104" s="107" t="inlineStr">
        <is>
          <t>CHOCOLATE GAROTO BARRA 2,1KG</t>
        </is>
      </c>
      <c r="D104" s="107" t="n"/>
      <c r="E104" s="191" t="n">
        <v>0.03</v>
      </c>
      <c r="F104" s="192" t="n">
        <v>0</v>
      </c>
      <c r="G104" s="193" t="n">
        <v>0</v>
      </c>
      <c r="H104" s="192" t="n">
        <v>0</v>
      </c>
      <c r="I104" s="192" t="n">
        <v>0</v>
      </c>
      <c r="J104" s="107" t="n"/>
      <c r="K104" s="107" t="n"/>
      <c r="L104" s="107" t="n"/>
      <c r="M104" s="192" t="n">
        <v>0</v>
      </c>
    </row>
    <row r="105" ht="15" customHeight="1">
      <c r="A105" s="111" t="inlineStr">
        <is>
          <t>000797</t>
        </is>
      </c>
      <c r="B105" s="111" t="inlineStr">
        <is>
          <t>000501</t>
        </is>
      </c>
      <c r="C105" s="111" t="inlineStr">
        <is>
          <t>UVA ITALIA FRUTA</t>
        </is>
      </c>
      <c r="D105" s="111" t="n"/>
      <c r="E105" s="194" t="n">
        <v>0.08</v>
      </c>
      <c r="F105" s="195" t="n">
        <v>0</v>
      </c>
      <c r="G105" s="196" t="n">
        <v>0</v>
      </c>
      <c r="H105" s="195" t="n">
        <v>0</v>
      </c>
      <c r="I105" s="195" t="n">
        <v>0</v>
      </c>
      <c r="J105" s="111" t="n"/>
      <c r="K105" s="111" t="n"/>
      <c r="L105" s="111" t="n"/>
      <c r="M105" s="195" t="n">
        <v>0</v>
      </c>
    </row>
    <row r="106" ht="15" customHeight="1">
      <c r="A106" s="107" t="inlineStr">
        <is>
          <t>000800</t>
        </is>
      </c>
      <c r="B106" s="107" t="inlineStr">
        <is>
          <t>000385</t>
        </is>
      </c>
      <c r="C106" s="107" t="inlineStr">
        <is>
          <t>CHOCOLATE EM PO NESTLE</t>
        </is>
      </c>
      <c r="D106" s="107" t="n"/>
      <c r="E106" s="191" t="n">
        <v>0.003</v>
      </c>
      <c r="F106" s="192" t="n">
        <v>19.15</v>
      </c>
      <c r="G106" s="193" t="n">
        <v>0</v>
      </c>
      <c r="H106" s="192" t="n">
        <v>0</v>
      </c>
      <c r="I106" s="192" t="n">
        <v>0</v>
      </c>
      <c r="J106" s="107" t="n"/>
      <c r="K106" s="107" t="n"/>
      <c r="L106" s="107" t="n"/>
      <c r="M106" s="192" t="n">
        <v>0</v>
      </c>
    </row>
    <row r="107" ht="15" customHeight="1">
      <c r="A107" s="111" t="inlineStr">
        <is>
          <t>000800</t>
        </is>
      </c>
      <c r="B107" s="111" t="inlineStr">
        <is>
          <t>000386</t>
        </is>
      </c>
      <c r="C107" s="111" t="inlineStr">
        <is>
          <t>CHOCOLATE GRANULADO</t>
        </is>
      </c>
      <c r="D107" s="111" t="n"/>
      <c r="E107" s="194" t="n">
        <v>0.022</v>
      </c>
      <c r="F107" s="195" t="n">
        <v>24.05</v>
      </c>
      <c r="G107" s="196" t="n">
        <v>0</v>
      </c>
      <c r="H107" s="195" t="n">
        <v>0</v>
      </c>
      <c r="I107" s="195" t="n">
        <v>0</v>
      </c>
      <c r="J107" s="111" t="n"/>
      <c r="K107" s="111" t="n"/>
      <c r="L107" s="111" t="n"/>
      <c r="M107" s="195" t="n">
        <v>0</v>
      </c>
    </row>
    <row r="108" ht="15" customHeight="1">
      <c r="A108" s="107" t="inlineStr">
        <is>
          <t>000800</t>
        </is>
      </c>
      <c r="B108" s="107" t="inlineStr">
        <is>
          <t>000396</t>
        </is>
      </c>
      <c r="C108" s="107" t="inlineStr">
        <is>
          <t>LEITE CONDENSADO MOCA 2,6KG</t>
        </is>
      </c>
      <c r="D108" s="107" t="n"/>
      <c r="E108" s="191" t="n">
        <v>0.065</v>
      </c>
      <c r="F108" s="192" t="n">
        <v>12354.24</v>
      </c>
      <c r="G108" s="193" t="n">
        <v>0</v>
      </c>
      <c r="H108" s="192" t="n">
        <v>0</v>
      </c>
      <c r="I108" s="192" t="n">
        <v>0</v>
      </c>
      <c r="J108" s="107" t="n"/>
      <c r="K108" s="107" t="n"/>
      <c r="L108" s="107" t="n"/>
      <c r="M108" s="192" t="n">
        <v>0</v>
      </c>
    </row>
    <row r="109" ht="15" customHeight="1">
      <c r="A109" s="111" t="inlineStr">
        <is>
          <t>000800</t>
        </is>
      </c>
      <c r="B109" s="111" t="inlineStr">
        <is>
          <t>000399</t>
        </is>
      </c>
      <c r="C109" s="111" t="inlineStr">
        <is>
          <t>MARGARINA S/ SAL AMELIA</t>
        </is>
      </c>
      <c r="D109" s="111" t="n"/>
      <c r="E109" s="194" t="n">
        <v>0.003</v>
      </c>
      <c r="F109" s="195" t="n">
        <v>15.27</v>
      </c>
      <c r="G109" s="196" t="n">
        <v>0</v>
      </c>
      <c r="H109" s="195" t="n">
        <v>0</v>
      </c>
      <c r="I109" s="195" t="n">
        <v>0</v>
      </c>
      <c r="J109" s="111" t="n"/>
      <c r="K109" s="111" t="n"/>
      <c r="L109" s="111" t="n"/>
      <c r="M109" s="195" t="n">
        <v>0</v>
      </c>
    </row>
    <row r="110" ht="15" customHeight="1">
      <c r="A110" s="107" t="inlineStr">
        <is>
          <t>000800</t>
        </is>
      </c>
      <c r="B110" s="107" t="inlineStr">
        <is>
          <t>000437</t>
        </is>
      </c>
      <c r="C110" s="107" t="inlineStr">
        <is>
          <t>CHOCOLATE GAROTO BARRA 2,1KG</t>
        </is>
      </c>
      <c r="D110" s="107" t="n"/>
      <c r="E110" s="191" t="n">
        <v>0.011</v>
      </c>
      <c r="F110" s="192" t="n">
        <v>43.97</v>
      </c>
      <c r="G110" s="193" t="n">
        <v>0</v>
      </c>
      <c r="H110" s="192" t="n">
        <v>0</v>
      </c>
      <c r="I110" s="192" t="n">
        <v>0</v>
      </c>
      <c r="J110" s="107" t="n"/>
      <c r="K110" s="107" t="n"/>
      <c r="L110" s="107" t="n"/>
      <c r="M110" s="192" t="n">
        <v>0</v>
      </c>
    </row>
    <row r="111" ht="15" customHeight="1">
      <c r="A111" s="111" t="inlineStr">
        <is>
          <t>000869</t>
        </is>
      </c>
      <c r="B111" s="111" t="inlineStr">
        <is>
          <t>000411</t>
        </is>
      </c>
      <c r="C111" s="111" t="inlineStr">
        <is>
          <t>NOZES</t>
        </is>
      </c>
      <c r="D111" s="111" t="n"/>
      <c r="E111" s="194" t="n">
        <v>0.005</v>
      </c>
      <c r="F111" s="195" t="n">
        <v>18.78</v>
      </c>
      <c r="G111" s="196" t="n">
        <v>0</v>
      </c>
      <c r="H111" s="195" t="n">
        <v>0</v>
      </c>
      <c r="I111" s="195" t="n">
        <v>0</v>
      </c>
      <c r="J111" s="111" t="n"/>
      <c r="K111" s="111" t="n"/>
      <c r="L111" s="111" t="n"/>
      <c r="M111" s="195" t="n">
        <v>0</v>
      </c>
    </row>
    <row r="112" ht="15" customHeight="1">
      <c r="A112" s="107" t="inlineStr">
        <is>
          <t>000869</t>
        </is>
      </c>
      <c r="B112" s="107" t="inlineStr">
        <is>
          <t>000414</t>
        </is>
      </c>
      <c r="C112" s="107" t="inlineStr">
        <is>
          <t>PIMENTA DO REINO MOIDA</t>
        </is>
      </c>
      <c r="D112" s="107" t="n"/>
      <c r="E112" s="191" t="n">
        <v>0.0001</v>
      </c>
      <c r="F112" s="192" t="n">
        <v>0</v>
      </c>
      <c r="G112" s="193" t="n">
        <v>0</v>
      </c>
      <c r="H112" s="192" t="n">
        <v>0</v>
      </c>
      <c r="I112" s="192" t="n">
        <v>0</v>
      </c>
      <c r="J112" s="107" t="n"/>
      <c r="K112" s="107" t="n"/>
      <c r="L112" s="107" t="n"/>
      <c r="M112" s="192" t="n">
        <v>0</v>
      </c>
    </row>
    <row r="113" ht="15" customHeight="1">
      <c r="A113" s="111" t="inlineStr">
        <is>
          <t>000869</t>
        </is>
      </c>
      <c r="B113" s="111" t="inlineStr">
        <is>
          <t>000438</t>
        </is>
      </c>
      <c r="C113" s="111" t="inlineStr">
        <is>
          <t>PROVOLONE</t>
        </is>
      </c>
      <c r="D113" s="111" t="n"/>
      <c r="E113" s="194" t="n">
        <v>0.005</v>
      </c>
      <c r="F113" s="195" t="n">
        <v>0.41</v>
      </c>
      <c r="G113" s="196" t="n">
        <v>0</v>
      </c>
      <c r="H113" s="195" t="n">
        <v>0</v>
      </c>
      <c r="I113" s="195" t="n">
        <v>0</v>
      </c>
      <c r="J113" s="111" t="n"/>
      <c r="K113" s="111" t="n"/>
      <c r="L113" s="111" t="n"/>
      <c r="M113" s="195" t="n">
        <v>0</v>
      </c>
    </row>
    <row r="114" ht="15" customHeight="1">
      <c r="A114" s="107" t="inlineStr">
        <is>
          <t>000869</t>
        </is>
      </c>
      <c r="B114" s="107" t="inlineStr">
        <is>
          <t>000442</t>
        </is>
      </c>
      <c r="C114" s="107" t="inlineStr">
        <is>
          <t>MUSSARELA DE BUFALA</t>
        </is>
      </c>
      <c r="D114" s="107" t="n"/>
      <c r="E114" s="191" t="n">
        <v>0.08</v>
      </c>
      <c r="F114" s="192" t="n">
        <v>224191.36</v>
      </c>
      <c r="G114" s="193" t="n">
        <v>0</v>
      </c>
      <c r="H114" s="192" t="n">
        <v>0</v>
      </c>
      <c r="I114" s="192" t="n">
        <v>0</v>
      </c>
      <c r="J114" s="107" t="n"/>
      <c r="K114" s="107" t="n"/>
      <c r="L114" s="107" t="n"/>
      <c r="M114" s="192" t="n">
        <v>0</v>
      </c>
    </row>
    <row r="115" ht="15" customHeight="1">
      <c r="A115" s="111" t="inlineStr">
        <is>
          <t>000869</t>
        </is>
      </c>
      <c r="B115" s="111" t="inlineStr">
        <is>
          <t>000460</t>
        </is>
      </c>
      <c r="C115" s="111" t="inlineStr">
        <is>
          <t>AGRIAO HIDROPONICO</t>
        </is>
      </c>
      <c r="D115" s="111" t="n"/>
      <c r="E115" s="194" t="n">
        <v>0.02</v>
      </c>
      <c r="F115" s="195" t="n">
        <v>4.52</v>
      </c>
      <c r="G115" s="196" t="n">
        <v>0</v>
      </c>
      <c r="H115" s="195" t="n">
        <v>0</v>
      </c>
      <c r="I115" s="195" t="n">
        <v>0</v>
      </c>
      <c r="J115" s="111" t="n"/>
      <c r="K115" s="111" t="n"/>
      <c r="L115" s="111" t="n"/>
      <c r="M115" s="195" t="n">
        <v>0</v>
      </c>
    </row>
    <row r="116" ht="15" customHeight="1">
      <c r="A116" s="107" t="inlineStr">
        <is>
          <t>000869</t>
        </is>
      </c>
      <c r="B116" s="107" t="inlineStr">
        <is>
          <t>000461</t>
        </is>
      </c>
      <c r="C116" s="107" t="inlineStr">
        <is>
          <t>ALFACE AMERICANA</t>
        </is>
      </c>
      <c r="D116" s="107" t="n"/>
      <c r="E116" s="191" t="n">
        <v>0.08</v>
      </c>
      <c r="F116" s="192" t="n">
        <v>1039.61</v>
      </c>
      <c r="G116" s="193" t="n">
        <v>0</v>
      </c>
      <c r="H116" s="192" t="n">
        <v>0</v>
      </c>
      <c r="I116" s="192" t="n">
        <v>0</v>
      </c>
      <c r="J116" s="107" t="n"/>
      <c r="K116" s="107" t="n"/>
      <c r="L116" s="107" t="n"/>
      <c r="M116" s="192" t="n">
        <v>0</v>
      </c>
    </row>
    <row r="117" ht="15" customHeight="1">
      <c r="A117" s="111" t="inlineStr">
        <is>
          <t>000869</t>
        </is>
      </c>
      <c r="B117" s="111" t="inlineStr">
        <is>
          <t>000462</t>
        </is>
      </c>
      <c r="C117" s="111" t="inlineStr">
        <is>
          <t>ALFACE CRESPA</t>
        </is>
      </c>
      <c r="D117" s="111" t="n"/>
      <c r="E117" s="194" t="n">
        <v>0.05</v>
      </c>
      <c r="F117" s="195" t="n">
        <v>139</v>
      </c>
      <c r="G117" s="196" t="n">
        <v>0</v>
      </c>
      <c r="H117" s="195" t="n">
        <v>0</v>
      </c>
      <c r="I117" s="195" t="n">
        <v>0</v>
      </c>
      <c r="J117" s="111" t="n"/>
      <c r="K117" s="111" t="n"/>
      <c r="L117" s="111" t="n"/>
      <c r="M117" s="195" t="n">
        <v>0</v>
      </c>
    </row>
    <row r="118" ht="15" customHeight="1">
      <c r="A118" s="107" t="inlineStr">
        <is>
          <t>000869</t>
        </is>
      </c>
      <c r="B118" s="107" t="inlineStr">
        <is>
          <t>000463</t>
        </is>
      </c>
      <c r="C118" s="107" t="inlineStr">
        <is>
          <t>ALHO DESCASCADO</t>
        </is>
      </c>
      <c r="D118" s="107" t="n"/>
      <c r="E118" s="191" t="n">
        <v>0.002</v>
      </c>
      <c r="F118" s="192" t="n">
        <v>9.91</v>
      </c>
      <c r="G118" s="193" t="n">
        <v>0</v>
      </c>
      <c r="H118" s="192" t="n">
        <v>0</v>
      </c>
      <c r="I118" s="192" t="n">
        <v>0</v>
      </c>
      <c r="J118" s="107" t="n"/>
      <c r="K118" s="107" t="n"/>
      <c r="L118" s="107" t="n"/>
      <c r="M118" s="192" t="n">
        <v>0</v>
      </c>
    </row>
    <row r="119" ht="15" customHeight="1">
      <c r="A119" s="111" t="inlineStr">
        <is>
          <t>000869</t>
        </is>
      </c>
      <c r="B119" s="111" t="inlineStr">
        <is>
          <t>000477</t>
        </is>
      </c>
      <c r="C119" s="111" t="inlineStr">
        <is>
          <t>MANJERICAO</t>
        </is>
      </c>
      <c r="D119" s="111" t="n"/>
      <c r="E119" s="194" t="n">
        <v>0.012</v>
      </c>
      <c r="F119" s="195" t="n">
        <v>0.2</v>
      </c>
      <c r="G119" s="196" t="n">
        <v>0</v>
      </c>
      <c r="H119" s="195" t="n">
        <v>0</v>
      </c>
      <c r="I119" s="195" t="n">
        <v>0</v>
      </c>
      <c r="J119" s="111" t="n"/>
      <c r="K119" s="111" t="n"/>
      <c r="L119" s="111" t="n"/>
      <c r="M119" s="195" t="n">
        <v>0</v>
      </c>
    </row>
    <row r="120" ht="15" customHeight="1">
      <c r="A120" s="107" t="inlineStr">
        <is>
          <t>000869</t>
        </is>
      </c>
      <c r="B120" s="107" t="inlineStr">
        <is>
          <t>000483</t>
        </is>
      </c>
      <c r="C120" s="107" t="inlineStr">
        <is>
          <t>RUCULA HIDROPONICA</t>
        </is>
      </c>
      <c r="D120" s="107" t="n"/>
      <c r="E120" s="191" t="n">
        <v>0.02</v>
      </c>
      <c r="F120" s="192" t="n">
        <v>577.58</v>
      </c>
      <c r="G120" s="193" t="n">
        <v>0</v>
      </c>
      <c r="H120" s="192" t="n">
        <v>0</v>
      </c>
      <c r="I120" s="192" t="n">
        <v>0</v>
      </c>
      <c r="J120" s="107" t="n"/>
      <c r="K120" s="107" t="n"/>
      <c r="L120" s="107" t="n"/>
      <c r="M120" s="192" t="n">
        <v>0</v>
      </c>
    </row>
    <row r="121" ht="15" customHeight="1">
      <c r="A121" s="111" t="inlineStr">
        <is>
          <t>000869</t>
        </is>
      </c>
      <c r="B121" s="111" t="inlineStr">
        <is>
          <t>000485</t>
        </is>
      </c>
      <c r="C121" s="111" t="inlineStr">
        <is>
          <t>TOMATE  CEREJA</t>
        </is>
      </c>
      <c r="D121" s="111" t="n"/>
      <c r="E121" s="194" t="n">
        <v>0.06</v>
      </c>
      <c r="F121" s="195" t="n">
        <v>147.09</v>
      </c>
      <c r="G121" s="196" t="n">
        <v>0</v>
      </c>
      <c r="H121" s="195" t="n">
        <v>0</v>
      </c>
      <c r="I121" s="195" t="n">
        <v>0</v>
      </c>
      <c r="J121" s="111" t="n"/>
      <c r="K121" s="111" t="n"/>
      <c r="L121" s="111" t="n"/>
      <c r="M121" s="195" t="n">
        <v>0</v>
      </c>
    </row>
    <row r="122" ht="15" customHeight="1">
      <c r="A122" s="107" t="inlineStr">
        <is>
          <t>000869</t>
        </is>
      </c>
      <c r="B122" s="107" t="inlineStr">
        <is>
          <t>000614</t>
        </is>
      </c>
      <c r="C122" s="107" t="inlineStr">
        <is>
          <t>SAL REFINADO</t>
        </is>
      </c>
      <c r="D122" s="107" t="n"/>
      <c r="E122" s="191" t="n">
        <v>0.01</v>
      </c>
      <c r="F122" s="192" t="n">
        <v>0.28</v>
      </c>
      <c r="G122" s="193" t="n">
        <v>0</v>
      </c>
      <c r="H122" s="192" t="n">
        <v>0</v>
      </c>
      <c r="I122" s="192" t="n">
        <v>0</v>
      </c>
      <c r="J122" s="107" t="n"/>
      <c r="K122" s="107" t="n"/>
      <c r="L122" s="107" t="n"/>
      <c r="M122" s="192" t="n">
        <v>0</v>
      </c>
    </row>
    <row r="123" ht="15" customHeight="1">
      <c r="A123" s="111" t="inlineStr">
        <is>
          <t>000869</t>
        </is>
      </c>
      <c r="B123" s="111" t="inlineStr">
        <is>
          <t>001043</t>
        </is>
      </c>
      <c r="C123" s="111" t="inlineStr">
        <is>
          <t>AZEITE 500 ML</t>
        </is>
      </c>
      <c r="D123" s="111" t="n"/>
      <c r="E123" s="194" t="n">
        <v>0.035</v>
      </c>
      <c r="F123" s="195" t="n">
        <v>71.52</v>
      </c>
      <c r="G123" s="196" t="n">
        <v>0</v>
      </c>
      <c r="H123" s="195" t="n">
        <v>0</v>
      </c>
      <c r="I123" s="195" t="n">
        <v>0</v>
      </c>
      <c r="J123" s="111" t="n"/>
      <c r="K123" s="111" t="n"/>
      <c r="L123" s="111" t="n"/>
      <c r="M123" s="195" t="n">
        <v>0</v>
      </c>
    </row>
    <row r="124" ht="15" customHeight="1">
      <c r="A124" s="107" t="inlineStr">
        <is>
          <t>000870</t>
        </is>
      </c>
      <c r="B124" s="107" t="inlineStr">
        <is>
          <t>000445</t>
        </is>
      </c>
      <c r="C124" s="107" t="inlineStr">
        <is>
          <t>TOLETE DE PUPUNHA 1,8KG</t>
        </is>
      </c>
      <c r="D124" s="107" t="n"/>
      <c r="E124" s="191" t="n">
        <v>0.06</v>
      </c>
      <c r="F124" s="192" t="n">
        <v>114.76</v>
      </c>
      <c r="G124" s="193" t="n">
        <v>0</v>
      </c>
      <c r="H124" s="192" t="n">
        <v>0</v>
      </c>
      <c r="I124" s="192" t="n">
        <v>0</v>
      </c>
      <c r="J124" s="107" t="n"/>
      <c r="K124" s="107" t="n"/>
      <c r="L124" s="107" t="n"/>
      <c r="M124" s="192" t="n">
        <v>0</v>
      </c>
    </row>
    <row r="125" ht="15" customHeight="1">
      <c r="A125" s="111" t="inlineStr">
        <is>
          <t>000870</t>
        </is>
      </c>
      <c r="B125" s="111" t="inlineStr">
        <is>
          <t>000460</t>
        </is>
      </c>
      <c r="C125" s="111" t="inlineStr">
        <is>
          <t>AGRIAO HIDROPONICO</t>
        </is>
      </c>
      <c r="D125" s="111" t="n"/>
      <c r="E125" s="194" t="n">
        <v>0.02</v>
      </c>
      <c r="F125" s="195" t="n">
        <v>4.52</v>
      </c>
      <c r="G125" s="196" t="n">
        <v>0</v>
      </c>
      <c r="H125" s="195" t="n">
        <v>0</v>
      </c>
      <c r="I125" s="195" t="n">
        <v>0</v>
      </c>
      <c r="J125" s="111" t="n"/>
      <c r="K125" s="111" t="n"/>
      <c r="L125" s="111" t="n"/>
      <c r="M125" s="195" t="n">
        <v>0</v>
      </c>
    </row>
    <row r="126" ht="15" customHeight="1">
      <c r="A126" s="107" t="inlineStr">
        <is>
          <t>000870</t>
        </is>
      </c>
      <c r="B126" s="107" t="inlineStr">
        <is>
          <t>000461</t>
        </is>
      </c>
      <c r="C126" s="107" t="inlineStr">
        <is>
          <t>ALFACE AMERICANA</t>
        </is>
      </c>
      <c r="D126" s="107" t="n"/>
      <c r="E126" s="191" t="n">
        <v>0.08</v>
      </c>
      <c r="F126" s="192" t="n">
        <v>1039.61</v>
      </c>
      <c r="G126" s="193" t="n">
        <v>0</v>
      </c>
      <c r="H126" s="192" t="n">
        <v>0</v>
      </c>
      <c r="I126" s="192" t="n">
        <v>0</v>
      </c>
      <c r="J126" s="107" t="n"/>
      <c r="K126" s="107" t="n"/>
      <c r="L126" s="107" t="n"/>
      <c r="M126" s="192" t="n">
        <v>0</v>
      </c>
    </row>
    <row r="127" ht="15" customHeight="1">
      <c r="A127" s="111" t="inlineStr">
        <is>
          <t>000870</t>
        </is>
      </c>
      <c r="B127" s="111" t="inlineStr">
        <is>
          <t>000462</t>
        </is>
      </c>
      <c r="C127" s="111" t="inlineStr">
        <is>
          <t>ALFACE CRESPA</t>
        </is>
      </c>
      <c r="D127" s="111" t="n"/>
      <c r="E127" s="194" t="n">
        <v>0.05</v>
      </c>
      <c r="F127" s="195" t="n">
        <v>139</v>
      </c>
      <c r="G127" s="196" t="n">
        <v>0</v>
      </c>
      <c r="H127" s="195" t="n">
        <v>0</v>
      </c>
      <c r="I127" s="195" t="n">
        <v>0</v>
      </c>
      <c r="J127" s="111" t="n"/>
      <c r="K127" s="111" t="n"/>
      <c r="L127" s="111" t="n"/>
      <c r="M127" s="195" t="n">
        <v>0</v>
      </c>
    </row>
    <row r="128" ht="15" customHeight="1">
      <c r="A128" s="107" t="inlineStr">
        <is>
          <t>000870</t>
        </is>
      </c>
      <c r="B128" s="107" t="inlineStr">
        <is>
          <t>000468</t>
        </is>
      </c>
      <c r="C128" s="107" t="inlineStr">
        <is>
          <t>CEBOLA MEDIA</t>
        </is>
      </c>
      <c r="D128" s="107" t="n"/>
      <c r="E128" s="191" t="n">
        <v>0.02</v>
      </c>
      <c r="F128" s="192" t="n">
        <v>22395.65</v>
      </c>
      <c r="G128" s="193" t="n">
        <v>0</v>
      </c>
      <c r="H128" s="192" t="n">
        <v>0</v>
      </c>
      <c r="I128" s="192" t="n">
        <v>0</v>
      </c>
      <c r="J128" s="107" t="n"/>
      <c r="K128" s="107" t="n"/>
      <c r="L128" s="107" t="n"/>
      <c r="M128" s="192" t="n">
        <v>0</v>
      </c>
    </row>
    <row r="129" ht="15" customHeight="1">
      <c r="A129" s="111" t="inlineStr">
        <is>
          <t>000870</t>
        </is>
      </c>
      <c r="B129" s="111" t="inlineStr">
        <is>
          <t>000470</t>
        </is>
      </c>
      <c r="C129" s="111" t="inlineStr">
        <is>
          <t>CENOURA</t>
        </is>
      </c>
      <c r="D129" s="111" t="n"/>
      <c r="E129" s="194" t="n">
        <v>0.04</v>
      </c>
      <c r="F129" s="195" t="n">
        <v>563.11</v>
      </c>
      <c r="G129" s="196" t="n">
        <v>0</v>
      </c>
      <c r="H129" s="195" t="n">
        <v>0</v>
      </c>
      <c r="I129" s="195" t="n">
        <v>0</v>
      </c>
      <c r="J129" s="111" t="n"/>
      <c r="K129" s="111" t="n"/>
      <c r="L129" s="111" t="n"/>
      <c r="M129" s="195" t="n">
        <v>0</v>
      </c>
    </row>
    <row r="130" ht="15" customHeight="1">
      <c r="A130" s="107" t="inlineStr">
        <is>
          <t>000870</t>
        </is>
      </c>
      <c r="B130" s="107" t="inlineStr">
        <is>
          <t>000483</t>
        </is>
      </c>
      <c r="C130" s="107" t="inlineStr">
        <is>
          <t>RUCULA HIDROPONICA</t>
        </is>
      </c>
      <c r="D130" s="107" t="n"/>
      <c r="E130" s="191" t="n">
        <v>0.02</v>
      </c>
      <c r="F130" s="192" t="n">
        <v>577.58</v>
      </c>
      <c r="G130" s="193" t="n">
        <v>0</v>
      </c>
      <c r="H130" s="192" t="n">
        <v>0</v>
      </c>
      <c r="I130" s="192" t="n">
        <v>0</v>
      </c>
      <c r="J130" s="107" t="n"/>
      <c r="K130" s="107" t="n"/>
      <c r="L130" s="107" t="n"/>
      <c r="M130" s="192" t="n">
        <v>0</v>
      </c>
    </row>
    <row r="131" ht="15" customHeight="1">
      <c r="A131" s="111" t="inlineStr">
        <is>
          <t>000870</t>
        </is>
      </c>
      <c r="B131" s="111" t="inlineStr">
        <is>
          <t>000485</t>
        </is>
      </c>
      <c r="C131" s="111" t="inlineStr">
        <is>
          <t>TOMATE  CEREJA</t>
        </is>
      </c>
      <c r="D131" s="111" t="n"/>
      <c r="E131" s="194" t="n">
        <v>0.06</v>
      </c>
      <c r="F131" s="195" t="n">
        <v>147.09</v>
      </c>
      <c r="G131" s="196" t="n">
        <v>0</v>
      </c>
      <c r="H131" s="195" t="n">
        <v>0</v>
      </c>
      <c r="I131" s="195" t="n">
        <v>0</v>
      </c>
      <c r="J131" s="111" t="n"/>
      <c r="K131" s="111" t="n"/>
      <c r="L131" s="111" t="n"/>
      <c r="M131" s="195" t="n">
        <v>0</v>
      </c>
    </row>
    <row r="132" ht="15" customHeight="1">
      <c r="A132" s="107" t="inlineStr">
        <is>
          <t>000871</t>
        </is>
      </c>
      <c r="B132" s="107" t="inlineStr">
        <is>
          <t>000400</t>
        </is>
      </c>
      <c r="C132" s="107" t="inlineStr">
        <is>
          <t>MEL RIOMEL</t>
        </is>
      </c>
      <c r="D132" s="107" t="n"/>
      <c r="E132" s="191" t="n">
        <v>0.005</v>
      </c>
      <c r="F132" s="192" t="n">
        <v>2.51</v>
      </c>
      <c r="G132" s="193" t="n">
        <v>0</v>
      </c>
      <c r="H132" s="192" t="n">
        <v>0</v>
      </c>
      <c r="I132" s="192" t="n">
        <v>0</v>
      </c>
      <c r="J132" s="107" t="n"/>
      <c r="K132" s="107" t="n"/>
      <c r="L132" s="107" t="n"/>
      <c r="M132" s="192" t="n">
        <v>0</v>
      </c>
    </row>
    <row r="133" ht="15" customHeight="1">
      <c r="A133" s="111" t="inlineStr">
        <is>
          <t>000871</t>
        </is>
      </c>
      <c r="B133" s="111" t="inlineStr">
        <is>
          <t>000408</t>
        </is>
      </c>
      <c r="C133" s="111" t="inlineStr">
        <is>
          <t>MOSTARDA AMARELA  255G</t>
        </is>
      </c>
      <c r="D133" s="111" t="n"/>
      <c r="E133" s="194" t="n">
        <v>0.012</v>
      </c>
      <c r="F133" s="195" t="n">
        <v>52.82</v>
      </c>
      <c r="G133" s="196" t="n">
        <v>0</v>
      </c>
      <c r="H133" s="195" t="n">
        <v>0</v>
      </c>
      <c r="I133" s="195" t="n">
        <v>0</v>
      </c>
      <c r="J133" s="111" t="n"/>
      <c r="K133" s="111" t="n"/>
      <c r="L133" s="111" t="n"/>
      <c r="M133" s="195" t="n">
        <v>0</v>
      </c>
    </row>
    <row r="134" ht="15" customHeight="1">
      <c r="A134" s="107" t="inlineStr">
        <is>
          <t>000871</t>
        </is>
      </c>
      <c r="B134" s="107" t="inlineStr">
        <is>
          <t>000414</t>
        </is>
      </c>
      <c r="C134" s="107" t="inlineStr">
        <is>
          <t>PIMENTA DO REINO MOIDA</t>
        </is>
      </c>
      <c r="D134" s="107" t="n"/>
      <c r="E134" s="191" t="n">
        <v>0.002</v>
      </c>
      <c r="F134" s="192" t="n">
        <v>0</v>
      </c>
      <c r="G134" s="193" t="n">
        <v>0</v>
      </c>
      <c r="H134" s="192" t="n">
        <v>0</v>
      </c>
      <c r="I134" s="192" t="n">
        <v>0</v>
      </c>
      <c r="J134" s="107" t="n"/>
      <c r="K134" s="107" t="n"/>
      <c r="L134" s="107" t="n"/>
      <c r="M134" s="192" t="n">
        <v>0</v>
      </c>
    </row>
    <row r="135" ht="15" customHeight="1">
      <c r="A135" s="111" t="inlineStr">
        <is>
          <t>000871</t>
        </is>
      </c>
      <c r="B135" s="111" t="inlineStr">
        <is>
          <t>000424</t>
        </is>
      </c>
      <c r="C135" s="111" t="inlineStr">
        <is>
          <t>VINAGRE AGRIN BRANCO NEVAL GARRAFA 750ML</t>
        </is>
      </c>
      <c r="D135" s="111" t="n"/>
      <c r="E135" s="194" t="n">
        <v>0.005</v>
      </c>
      <c r="F135" s="195" t="n">
        <v>0</v>
      </c>
      <c r="G135" s="196" t="n">
        <v>0</v>
      </c>
      <c r="H135" s="195" t="n">
        <v>0</v>
      </c>
      <c r="I135" s="195" t="n">
        <v>0</v>
      </c>
      <c r="J135" s="111" t="n"/>
      <c r="K135" s="111" t="n"/>
      <c r="L135" s="111" t="n"/>
      <c r="M135" s="195" t="n">
        <v>0</v>
      </c>
    </row>
    <row r="136" ht="15" customHeight="1">
      <c r="A136" s="107" t="inlineStr">
        <is>
          <t>000871</t>
        </is>
      </c>
      <c r="B136" s="107" t="inlineStr">
        <is>
          <t>000426</t>
        </is>
      </c>
      <c r="C136" s="107" t="inlineStr">
        <is>
          <t>BACON EM CUBOS</t>
        </is>
      </c>
      <c r="D136" s="107" t="n"/>
      <c r="E136" s="191" t="n">
        <v>0.03</v>
      </c>
      <c r="F136" s="192" t="n">
        <v>3984.4</v>
      </c>
      <c r="G136" s="193" t="n">
        <v>0</v>
      </c>
      <c r="H136" s="192" t="n">
        <v>0</v>
      </c>
      <c r="I136" s="192" t="n">
        <v>0</v>
      </c>
      <c r="J136" s="107" t="n"/>
      <c r="K136" s="107" t="n"/>
      <c r="L136" s="107" t="n"/>
      <c r="M136" s="192" t="n">
        <v>0</v>
      </c>
    </row>
    <row r="137" ht="15" customHeight="1">
      <c r="A137" s="111" t="inlineStr">
        <is>
          <t>000871</t>
        </is>
      </c>
      <c r="B137" s="111" t="inlineStr">
        <is>
          <t>000460</t>
        </is>
      </c>
      <c r="C137" s="111" t="inlineStr">
        <is>
          <t>AGRIAO HIDROPONICO</t>
        </is>
      </c>
      <c r="D137" s="111" t="n"/>
      <c r="E137" s="194" t="n">
        <v>0.02</v>
      </c>
      <c r="F137" s="195" t="n">
        <v>3.48</v>
      </c>
      <c r="G137" s="196" t="n">
        <v>0</v>
      </c>
      <c r="H137" s="195" t="n">
        <v>0</v>
      </c>
      <c r="I137" s="195" t="n">
        <v>0</v>
      </c>
      <c r="J137" s="111" t="n"/>
      <c r="K137" s="111" t="n"/>
      <c r="L137" s="111" t="n"/>
      <c r="M137" s="195" t="n">
        <v>0</v>
      </c>
    </row>
    <row r="138" ht="15" customHeight="1">
      <c r="A138" s="107" t="inlineStr">
        <is>
          <t>000871</t>
        </is>
      </c>
      <c r="B138" s="107" t="inlineStr">
        <is>
          <t>000461</t>
        </is>
      </c>
      <c r="C138" s="107" t="inlineStr">
        <is>
          <t>ALFACE AMERICANA</t>
        </is>
      </c>
      <c r="D138" s="107" t="n"/>
      <c r="E138" s="191" t="n">
        <v>0.08</v>
      </c>
      <c r="F138" s="192" t="n">
        <v>792.08</v>
      </c>
      <c r="G138" s="193" t="n">
        <v>0</v>
      </c>
      <c r="H138" s="192" t="n">
        <v>0</v>
      </c>
      <c r="I138" s="192" t="n">
        <v>0</v>
      </c>
      <c r="J138" s="107" t="n"/>
      <c r="K138" s="107" t="n"/>
      <c r="L138" s="107" t="n"/>
      <c r="M138" s="192" t="n">
        <v>0</v>
      </c>
    </row>
    <row r="139" ht="15" customHeight="1">
      <c r="A139" s="111" t="inlineStr">
        <is>
          <t>000871</t>
        </is>
      </c>
      <c r="B139" s="111" t="inlineStr">
        <is>
          <t>000462</t>
        </is>
      </c>
      <c r="C139" s="111" t="inlineStr">
        <is>
          <t>ALFACE CRESPA</t>
        </is>
      </c>
      <c r="D139" s="111" t="n"/>
      <c r="E139" s="194" t="n">
        <v>0.05</v>
      </c>
      <c r="F139" s="195" t="n">
        <v>115.83</v>
      </c>
      <c r="G139" s="196" t="n">
        <v>0</v>
      </c>
      <c r="H139" s="195" t="n">
        <v>0</v>
      </c>
      <c r="I139" s="195" t="n">
        <v>0</v>
      </c>
      <c r="J139" s="111" t="n"/>
      <c r="K139" s="111" t="n"/>
      <c r="L139" s="111" t="n"/>
      <c r="M139" s="195" t="n">
        <v>0</v>
      </c>
    </row>
    <row r="140" ht="15" customHeight="1">
      <c r="A140" s="107" t="inlineStr">
        <is>
          <t>000871</t>
        </is>
      </c>
      <c r="B140" s="107" t="inlineStr">
        <is>
          <t>000470</t>
        </is>
      </c>
      <c r="C140" s="107" t="inlineStr">
        <is>
          <t>CENOURA</t>
        </is>
      </c>
      <c r="D140" s="107" t="n"/>
      <c r="E140" s="191" t="n">
        <v>0.04</v>
      </c>
      <c r="F140" s="192" t="n">
        <v>469.26</v>
      </c>
      <c r="G140" s="193" t="n">
        <v>0</v>
      </c>
      <c r="H140" s="192" t="n">
        <v>0</v>
      </c>
      <c r="I140" s="192" t="n">
        <v>0</v>
      </c>
      <c r="J140" s="107" t="n"/>
      <c r="K140" s="107" t="n"/>
      <c r="L140" s="107" t="n"/>
      <c r="M140" s="192" t="n">
        <v>0</v>
      </c>
    </row>
    <row r="141" ht="15" customHeight="1">
      <c r="A141" s="111" t="inlineStr">
        <is>
          <t>000871</t>
        </is>
      </c>
      <c r="B141" s="111" t="inlineStr">
        <is>
          <t>000483</t>
        </is>
      </c>
      <c r="C141" s="111" t="inlineStr">
        <is>
          <t>RUCULA HIDROPONICA</t>
        </is>
      </c>
      <c r="D141" s="111" t="n"/>
      <c r="E141" s="194" t="n">
        <v>0.02</v>
      </c>
      <c r="F141" s="195" t="n">
        <v>398.33</v>
      </c>
      <c r="G141" s="196" t="n">
        <v>0</v>
      </c>
      <c r="H141" s="195" t="n">
        <v>0</v>
      </c>
      <c r="I141" s="195" t="n">
        <v>0</v>
      </c>
      <c r="J141" s="111" t="n"/>
      <c r="K141" s="111" t="n"/>
      <c r="L141" s="111" t="n"/>
      <c r="M141" s="195" t="n">
        <v>0</v>
      </c>
    </row>
    <row r="142" ht="15" customHeight="1">
      <c r="A142" s="107" t="inlineStr">
        <is>
          <t>000871</t>
        </is>
      </c>
      <c r="B142" s="107" t="inlineStr">
        <is>
          <t>000485</t>
        </is>
      </c>
      <c r="C142" s="107" t="inlineStr">
        <is>
          <t>TOMATE  CEREJA</t>
        </is>
      </c>
      <c r="D142" s="107" t="n"/>
      <c r="E142" s="191" t="n">
        <v>0.06</v>
      </c>
      <c r="F142" s="192" t="n">
        <v>135.77</v>
      </c>
      <c r="G142" s="193" t="n">
        <v>0</v>
      </c>
      <c r="H142" s="192" t="n">
        <v>0</v>
      </c>
      <c r="I142" s="192" t="n">
        <v>0</v>
      </c>
      <c r="J142" s="107" t="n"/>
      <c r="K142" s="107" t="n"/>
      <c r="L142" s="107" t="n"/>
      <c r="M142" s="192" t="n">
        <v>0</v>
      </c>
    </row>
    <row r="143" ht="15" customHeight="1">
      <c r="A143" s="111" t="inlineStr">
        <is>
          <t>000871</t>
        </is>
      </c>
      <c r="B143" s="111" t="inlineStr">
        <is>
          <t>000614</t>
        </is>
      </c>
      <c r="C143" s="111" t="inlineStr">
        <is>
          <t>SAL REFINADO</t>
        </is>
      </c>
      <c r="D143" s="111" t="n"/>
      <c r="E143" s="194" t="n">
        <v>0.035</v>
      </c>
      <c r="F143" s="195" t="n">
        <v>0</v>
      </c>
      <c r="G143" s="196" t="n">
        <v>0</v>
      </c>
      <c r="H143" s="195" t="n">
        <v>0</v>
      </c>
      <c r="I143" s="195" t="n">
        <v>0</v>
      </c>
      <c r="J143" s="111" t="n"/>
      <c r="K143" s="111" t="n"/>
      <c r="L143" s="111" t="n"/>
      <c r="M143" s="195" t="n">
        <v>0</v>
      </c>
    </row>
    <row r="144" ht="15" customHeight="1">
      <c r="A144" s="107" t="inlineStr">
        <is>
          <t>000871</t>
        </is>
      </c>
      <c r="B144" s="107" t="inlineStr">
        <is>
          <t>000664</t>
        </is>
      </c>
      <c r="C144" s="107" t="inlineStr">
        <is>
          <t>BATATA PALHA</t>
        </is>
      </c>
      <c r="D144" s="107" t="n"/>
      <c r="E144" s="191" t="n">
        <v>0.025</v>
      </c>
      <c r="F144" s="192" t="n">
        <v>169.92</v>
      </c>
      <c r="G144" s="193" t="n">
        <v>0</v>
      </c>
      <c r="H144" s="192" t="n">
        <v>0</v>
      </c>
      <c r="I144" s="192" t="n">
        <v>0</v>
      </c>
      <c r="J144" s="107" t="n"/>
      <c r="K144" s="107" t="n"/>
      <c r="L144" s="107" t="n"/>
      <c r="M144" s="192" t="n">
        <v>0</v>
      </c>
    </row>
    <row r="145" ht="15" customHeight="1">
      <c r="A145" s="111" t="inlineStr">
        <is>
          <t>000872</t>
        </is>
      </c>
      <c r="B145" s="111" t="inlineStr">
        <is>
          <t>000490</t>
        </is>
      </c>
      <c r="C145" s="111" t="inlineStr">
        <is>
          <t>LARANJA PERA FRUTA</t>
        </is>
      </c>
      <c r="D145" s="111" t="n"/>
      <c r="E145" s="194" t="n">
        <v>0.65</v>
      </c>
      <c r="F145" s="195" t="n">
        <v>0</v>
      </c>
      <c r="G145" s="196" t="n">
        <v>0</v>
      </c>
      <c r="H145" s="195" t="n">
        <v>0</v>
      </c>
      <c r="I145" s="195" t="n">
        <v>0</v>
      </c>
      <c r="J145" s="111" t="n"/>
      <c r="K145" s="111" t="n"/>
      <c r="L145" s="111" t="n"/>
      <c r="M145" s="195" t="n">
        <v>0</v>
      </c>
    </row>
    <row r="146" ht="15" customHeight="1">
      <c r="A146" s="107" t="inlineStr">
        <is>
          <t>000873</t>
        </is>
      </c>
      <c r="B146" s="107" t="inlineStr">
        <is>
          <t>000455</t>
        </is>
      </c>
      <c r="C146" s="107" t="inlineStr">
        <is>
          <t>POLPA ABACAXI</t>
        </is>
      </c>
      <c r="D146" s="107" t="n"/>
      <c r="E146" s="191" t="n">
        <v>0.1</v>
      </c>
      <c r="F146" s="192" t="n">
        <v>0</v>
      </c>
      <c r="G146" s="193" t="n">
        <v>0</v>
      </c>
      <c r="H146" s="192" t="n">
        <v>0</v>
      </c>
      <c r="I146" s="192" t="n">
        <v>0</v>
      </c>
      <c r="J146" s="107" t="n"/>
      <c r="K146" s="107" t="n"/>
      <c r="L146" s="107" t="n"/>
      <c r="M146" s="192" t="n">
        <v>0</v>
      </c>
    </row>
    <row r="147" ht="15" customHeight="1">
      <c r="A147" s="111" t="inlineStr">
        <is>
          <t>000874</t>
        </is>
      </c>
      <c r="B147" s="111" t="inlineStr">
        <is>
          <t>000492</t>
        </is>
      </c>
      <c r="C147" s="111" t="inlineStr">
        <is>
          <t>LIMAO TAITI FRUTA</t>
        </is>
      </c>
      <c r="D147" s="111" t="n"/>
      <c r="E147" s="194" t="n">
        <v>0.06</v>
      </c>
      <c r="F147" s="195" t="n">
        <v>0</v>
      </c>
      <c r="G147" s="196" t="n">
        <v>0</v>
      </c>
      <c r="H147" s="195" t="n">
        <v>0</v>
      </c>
      <c r="I147" s="195" t="n">
        <v>0</v>
      </c>
      <c r="J147" s="111" t="n"/>
      <c r="K147" s="111" t="n"/>
      <c r="L147" s="111" t="n"/>
      <c r="M147" s="195" t="n">
        <v>0</v>
      </c>
    </row>
    <row r="148" ht="15" customHeight="1">
      <c r="A148" s="107" t="inlineStr">
        <is>
          <t>000875</t>
        </is>
      </c>
      <c r="B148" s="107" t="inlineStr">
        <is>
          <t>000457</t>
        </is>
      </c>
      <c r="C148" s="107" t="inlineStr">
        <is>
          <t>POLPA MARACUJA</t>
        </is>
      </c>
      <c r="D148" s="107" t="n"/>
      <c r="E148" s="191" t="n">
        <v>0.1</v>
      </c>
      <c r="F148" s="192" t="n">
        <v>0</v>
      </c>
      <c r="G148" s="193" t="n">
        <v>0</v>
      </c>
      <c r="H148" s="192" t="n">
        <v>0</v>
      </c>
      <c r="I148" s="192" t="n">
        <v>0</v>
      </c>
      <c r="J148" s="107" t="n"/>
      <c r="K148" s="107" t="n"/>
      <c r="L148" s="107" t="n"/>
      <c r="M148" s="192" t="n">
        <v>0</v>
      </c>
    </row>
    <row r="149" ht="15" customHeight="1">
      <c r="A149" s="111" t="inlineStr">
        <is>
          <t>000876</t>
        </is>
      </c>
      <c r="B149" s="111" t="inlineStr">
        <is>
          <t>000458</t>
        </is>
      </c>
      <c r="C149" s="111" t="inlineStr">
        <is>
          <t>POLPA MORANGO</t>
        </is>
      </c>
      <c r="D149" s="111" t="n"/>
      <c r="E149" s="194" t="n">
        <v>0.1</v>
      </c>
      <c r="F149" s="195" t="n">
        <v>0</v>
      </c>
      <c r="G149" s="196" t="n">
        <v>0</v>
      </c>
      <c r="H149" s="195" t="n">
        <v>0</v>
      </c>
      <c r="I149" s="195" t="n">
        <v>0</v>
      </c>
      <c r="J149" s="111" t="n"/>
      <c r="K149" s="111" t="n"/>
      <c r="L149" s="111" t="n"/>
      <c r="M149" s="195" t="n">
        <v>0</v>
      </c>
    </row>
    <row r="150" ht="15" customHeight="1">
      <c r="A150" s="107" t="inlineStr">
        <is>
          <t>000877</t>
        </is>
      </c>
      <c r="B150" s="107" t="inlineStr">
        <is>
          <t>000456</t>
        </is>
      </c>
      <c r="C150" s="107" t="inlineStr">
        <is>
          <t>POLPA ABACAXI C/ HORTELA</t>
        </is>
      </c>
      <c r="D150" s="107" t="n"/>
      <c r="E150" s="191" t="n">
        <v>0.1</v>
      </c>
      <c r="F150" s="192" t="n">
        <v>0</v>
      </c>
      <c r="G150" s="193" t="n">
        <v>0</v>
      </c>
      <c r="H150" s="192" t="n">
        <v>0</v>
      </c>
      <c r="I150" s="192" t="n">
        <v>0</v>
      </c>
      <c r="J150" s="107" t="n"/>
      <c r="K150" s="107" t="n"/>
      <c r="L150" s="107" t="n"/>
      <c r="M150" s="192" t="n">
        <v>0</v>
      </c>
    </row>
    <row r="151" ht="15" customHeight="1">
      <c r="A151" s="111" t="inlineStr">
        <is>
          <t>000878</t>
        </is>
      </c>
      <c r="B151" s="111" t="inlineStr">
        <is>
          <t>000333</t>
        </is>
      </c>
      <c r="C151" s="111" t="inlineStr">
        <is>
          <t>AGUA S/ GAS</t>
        </is>
      </c>
      <c r="D151" s="111" t="n"/>
      <c r="E151" s="194" t="n">
        <v>1</v>
      </c>
      <c r="F151" s="195" t="n">
        <v>0</v>
      </c>
      <c r="G151" s="196" t="n">
        <v>0</v>
      </c>
      <c r="H151" s="195" t="n">
        <v>0</v>
      </c>
      <c r="I151" s="195" t="n">
        <v>0</v>
      </c>
      <c r="J151" s="111" t="n"/>
      <c r="K151" s="111" t="n"/>
      <c r="L151" s="111" t="n"/>
      <c r="M151" s="195" t="n">
        <v>0</v>
      </c>
    </row>
    <row r="152" ht="15" customHeight="1">
      <c r="A152" s="107" t="inlineStr">
        <is>
          <t>000879</t>
        </is>
      </c>
      <c r="B152" s="107" t="inlineStr">
        <is>
          <t>000318</t>
        </is>
      </c>
      <c r="C152" s="107" t="inlineStr">
        <is>
          <t>TONICA COMUM LATA</t>
        </is>
      </c>
      <c r="D152" s="107" t="n"/>
      <c r="E152" s="191" t="n">
        <v>1</v>
      </c>
      <c r="F152" s="192" t="n">
        <v>0</v>
      </c>
      <c r="G152" s="193" t="n">
        <v>0</v>
      </c>
      <c r="H152" s="192" t="n">
        <v>0</v>
      </c>
      <c r="I152" s="192" t="n">
        <v>0</v>
      </c>
      <c r="J152" s="107" t="n"/>
      <c r="K152" s="107" t="n"/>
      <c r="L152" s="107" t="n"/>
      <c r="M152" s="192" t="n">
        <v>0</v>
      </c>
    </row>
    <row r="153" ht="15" customHeight="1">
      <c r="A153" s="111" t="inlineStr">
        <is>
          <t>000880</t>
        </is>
      </c>
      <c r="B153" s="111" t="inlineStr">
        <is>
          <t>000319</t>
        </is>
      </c>
      <c r="C153" s="111" t="inlineStr">
        <is>
          <t>PEPSI LATA 350ML</t>
        </is>
      </c>
      <c r="D153" s="111" t="n"/>
      <c r="E153" s="194" t="n">
        <v>1</v>
      </c>
      <c r="F153" s="195" t="n">
        <v>0</v>
      </c>
      <c r="G153" s="196" t="n">
        <v>0</v>
      </c>
      <c r="H153" s="195" t="n">
        <v>0</v>
      </c>
      <c r="I153" s="195" t="n">
        <v>0</v>
      </c>
      <c r="J153" s="111" t="n"/>
      <c r="K153" s="111" t="n"/>
      <c r="L153" s="111" t="n"/>
      <c r="M153" s="195" t="n">
        <v>0</v>
      </c>
    </row>
    <row r="154" ht="15" customHeight="1">
      <c r="A154" s="107" t="inlineStr">
        <is>
          <t>000881</t>
        </is>
      </c>
      <c r="B154" s="107" t="inlineStr">
        <is>
          <t>000322</t>
        </is>
      </c>
      <c r="C154" s="107" t="inlineStr">
        <is>
          <t>SUKITA LARANJA LATA 350ML</t>
        </is>
      </c>
      <c r="D154" s="107" t="n"/>
      <c r="E154" s="191" t="n">
        <v>1</v>
      </c>
      <c r="F154" s="192" t="n">
        <v>0</v>
      </c>
      <c r="G154" s="193" t="n">
        <v>0</v>
      </c>
      <c r="H154" s="192" t="n">
        <v>0</v>
      </c>
      <c r="I154" s="192" t="n">
        <v>0</v>
      </c>
      <c r="J154" s="107" t="n"/>
      <c r="K154" s="107" t="n"/>
      <c r="L154" s="107" t="n"/>
      <c r="M154" s="192" t="n">
        <v>0</v>
      </c>
    </row>
    <row r="155" ht="15" customHeight="1">
      <c r="A155" s="111" t="inlineStr">
        <is>
          <t>000882</t>
        </is>
      </c>
      <c r="B155" s="111" t="inlineStr">
        <is>
          <t>000313</t>
        </is>
      </c>
      <c r="C155" s="111" t="inlineStr">
        <is>
          <t>GUARANA LATA 350ML</t>
        </is>
      </c>
      <c r="D155" s="111" t="n"/>
      <c r="E155" s="194" t="n">
        <v>1</v>
      </c>
      <c r="F155" s="195" t="n">
        <v>0</v>
      </c>
      <c r="G155" s="196" t="n">
        <v>0</v>
      </c>
      <c r="H155" s="195" t="n">
        <v>0</v>
      </c>
      <c r="I155" s="195" t="n">
        <v>0</v>
      </c>
      <c r="J155" s="111" t="n"/>
      <c r="K155" s="111" t="n"/>
      <c r="L155" s="111" t="n"/>
      <c r="M155" s="195" t="n">
        <v>0</v>
      </c>
    </row>
    <row r="156" ht="15" customHeight="1">
      <c r="A156" s="107" t="inlineStr">
        <is>
          <t>000883</t>
        </is>
      </c>
      <c r="B156" s="107" t="inlineStr">
        <is>
          <t>000316</t>
        </is>
      </c>
      <c r="C156" s="107" t="inlineStr">
        <is>
          <t>SODA LATA 350ML</t>
        </is>
      </c>
      <c r="D156" s="107" t="n"/>
      <c r="E156" s="191" t="n">
        <v>1</v>
      </c>
      <c r="F156" s="192" t="n">
        <v>0</v>
      </c>
      <c r="G156" s="193" t="n">
        <v>0</v>
      </c>
      <c r="H156" s="192" t="n">
        <v>0</v>
      </c>
      <c r="I156" s="192" t="n">
        <v>0</v>
      </c>
      <c r="J156" s="107" t="n"/>
      <c r="K156" s="107" t="n"/>
      <c r="L156" s="107" t="n"/>
      <c r="M156" s="192" t="n">
        <v>0</v>
      </c>
    </row>
    <row r="157" ht="15" customHeight="1">
      <c r="A157" s="111" t="inlineStr">
        <is>
          <t>000884</t>
        </is>
      </c>
      <c r="B157" s="111" t="inlineStr">
        <is>
          <t>000323</t>
        </is>
      </c>
      <c r="C157" s="111" t="inlineStr">
        <is>
          <t>H2O 500ML</t>
        </is>
      </c>
      <c r="D157" s="111" t="n"/>
      <c r="E157" s="194" t="n">
        <v>1</v>
      </c>
      <c r="F157" s="195" t="n">
        <v>0</v>
      </c>
      <c r="G157" s="196" t="n">
        <v>0</v>
      </c>
      <c r="H157" s="195" t="n">
        <v>0</v>
      </c>
      <c r="I157" s="195" t="n">
        <v>0</v>
      </c>
      <c r="J157" s="111" t="n"/>
      <c r="K157" s="111" t="n"/>
      <c r="L157" s="111" t="n"/>
      <c r="M157" s="195" t="n">
        <v>0</v>
      </c>
    </row>
    <row r="158" ht="15" customHeight="1">
      <c r="A158" s="107" t="inlineStr">
        <is>
          <t>000885</t>
        </is>
      </c>
      <c r="B158" s="107" t="inlineStr">
        <is>
          <t>000317</t>
        </is>
      </c>
      <c r="C158" s="107" t="inlineStr">
        <is>
          <t>TONICA DIET LATA</t>
        </is>
      </c>
      <c r="D158" s="107" t="n"/>
      <c r="E158" s="191" t="n">
        <v>1</v>
      </c>
      <c r="F158" s="192" t="n">
        <v>0</v>
      </c>
      <c r="G158" s="193" t="n">
        <v>0</v>
      </c>
      <c r="H158" s="192" t="n">
        <v>0</v>
      </c>
      <c r="I158" s="192" t="n">
        <v>0</v>
      </c>
      <c r="J158" s="107" t="n"/>
      <c r="K158" s="107" t="n"/>
      <c r="L158" s="107" t="n"/>
      <c r="M158" s="192" t="n">
        <v>0</v>
      </c>
    </row>
    <row r="159" ht="15" customHeight="1">
      <c r="A159" s="111" t="inlineStr">
        <is>
          <t>000886</t>
        </is>
      </c>
      <c r="B159" s="111" t="inlineStr">
        <is>
          <t>000321</t>
        </is>
      </c>
      <c r="C159" s="111" t="inlineStr">
        <is>
          <t>PEPSI ZERO LATA 350ML</t>
        </is>
      </c>
      <c r="D159" s="111" t="n"/>
      <c r="E159" s="194" t="n">
        <v>1</v>
      </c>
      <c r="F159" s="195" t="n">
        <v>0</v>
      </c>
      <c r="G159" s="196" t="n">
        <v>0</v>
      </c>
      <c r="H159" s="195" t="n">
        <v>0</v>
      </c>
      <c r="I159" s="195" t="n">
        <v>0</v>
      </c>
      <c r="J159" s="111" t="n"/>
      <c r="K159" s="111" t="n"/>
      <c r="L159" s="111" t="n"/>
      <c r="M159" s="195" t="n">
        <v>0</v>
      </c>
    </row>
    <row r="160" ht="15" customHeight="1">
      <c r="A160" s="107" t="inlineStr">
        <is>
          <t>000888</t>
        </is>
      </c>
      <c r="B160" s="107" t="inlineStr">
        <is>
          <t>000314</t>
        </is>
      </c>
      <c r="C160" s="107" t="inlineStr">
        <is>
          <t>GUARANA ZERO LATA 350ML</t>
        </is>
      </c>
      <c r="D160" s="107" t="n"/>
      <c r="E160" s="191" t="n">
        <v>1</v>
      </c>
      <c r="F160" s="192" t="n">
        <v>0</v>
      </c>
      <c r="G160" s="193" t="n">
        <v>0</v>
      </c>
      <c r="H160" s="192" t="n">
        <v>0</v>
      </c>
      <c r="I160" s="192" t="n">
        <v>0</v>
      </c>
      <c r="J160" s="107" t="n"/>
      <c r="K160" s="107" t="n"/>
      <c r="L160" s="107" t="n"/>
      <c r="M160" s="192" t="n">
        <v>0</v>
      </c>
    </row>
    <row r="161" ht="15" customHeight="1">
      <c r="A161" s="111" t="inlineStr">
        <is>
          <t>000889</t>
        </is>
      </c>
      <c r="B161" s="111" t="inlineStr">
        <is>
          <t>000315</t>
        </is>
      </c>
      <c r="C161" s="111" t="inlineStr">
        <is>
          <t>SODA ZERO LATA 350ML</t>
        </is>
      </c>
      <c r="D161" s="111" t="n"/>
      <c r="E161" s="194" t="n">
        <v>1</v>
      </c>
      <c r="F161" s="195" t="n">
        <v>0</v>
      </c>
      <c r="G161" s="196" t="n">
        <v>0</v>
      </c>
      <c r="H161" s="195" t="n">
        <v>0</v>
      </c>
      <c r="I161" s="195" t="n">
        <v>0</v>
      </c>
      <c r="J161" s="111" t="n"/>
      <c r="K161" s="111" t="n"/>
      <c r="L161" s="111" t="n"/>
      <c r="M161" s="195" t="n">
        <v>0</v>
      </c>
    </row>
    <row r="162" ht="15" customHeight="1">
      <c r="A162" s="107" t="inlineStr">
        <is>
          <t>000890</t>
        </is>
      </c>
      <c r="B162" s="107" t="inlineStr">
        <is>
          <t>000334</t>
        </is>
      </c>
      <c r="C162" s="107" t="inlineStr">
        <is>
          <t>AGUA C/ GAS</t>
        </is>
      </c>
      <c r="D162" s="107" t="n"/>
      <c r="E162" s="191" t="n">
        <v>1</v>
      </c>
      <c r="F162" s="192" t="n">
        <v>0</v>
      </c>
      <c r="G162" s="193" t="n">
        <v>0</v>
      </c>
      <c r="H162" s="192" t="n">
        <v>0</v>
      </c>
      <c r="I162" s="192" t="n">
        <v>0</v>
      </c>
      <c r="J162" s="107" t="n"/>
      <c r="K162" s="107" t="n"/>
      <c r="L162" s="107" t="n"/>
      <c r="M162" s="192" t="n">
        <v>0</v>
      </c>
    </row>
    <row r="163" ht="15" customHeight="1">
      <c r="A163" s="111" t="inlineStr">
        <is>
          <t>000891</t>
        </is>
      </c>
      <c r="B163" s="111" t="inlineStr">
        <is>
          <t>000368</t>
        </is>
      </c>
      <c r="C163" s="111" t="inlineStr">
        <is>
          <t>RED BULL</t>
        </is>
      </c>
      <c r="D163" s="111" t="n"/>
      <c r="E163" s="194" t="n">
        <v>1</v>
      </c>
      <c r="F163" s="195" t="n">
        <v>0</v>
      </c>
      <c r="G163" s="196" t="n">
        <v>0</v>
      </c>
      <c r="H163" s="195" t="n">
        <v>0</v>
      </c>
      <c r="I163" s="195" t="n">
        <v>0</v>
      </c>
      <c r="J163" s="111" t="n"/>
      <c r="K163" s="111" t="n"/>
      <c r="L163" s="111" t="n"/>
      <c r="M163" s="195" t="n">
        <v>0</v>
      </c>
    </row>
    <row r="164" ht="15" customHeight="1">
      <c r="A164" s="107" t="inlineStr">
        <is>
          <t>000892</t>
        </is>
      </c>
      <c r="B164" s="107" t="inlineStr">
        <is>
          <t>000380</t>
        </is>
      </c>
      <c r="C164" s="107" t="inlineStr">
        <is>
          <t>AGUA DE COCO 330ML</t>
        </is>
      </c>
      <c r="D164" s="107" t="n"/>
      <c r="E164" s="191" t="n">
        <v>1</v>
      </c>
      <c r="F164" s="192" t="n">
        <v>0</v>
      </c>
      <c r="G164" s="193" t="n">
        <v>0</v>
      </c>
      <c r="H164" s="192" t="n">
        <v>0</v>
      </c>
      <c r="I164" s="192" t="n">
        <v>0</v>
      </c>
      <c r="J164" s="107" t="n"/>
      <c r="K164" s="107" t="n"/>
      <c r="L164" s="107" t="n"/>
      <c r="M164" s="192" t="n">
        <v>0</v>
      </c>
    </row>
    <row r="165" ht="15" customHeight="1">
      <c r="A165" s="111" t="inlineStr">
        <is>
          <t>000893</t>
        </is>
      </c>
      <c r="B165" s="111" t="inlineStr">
        <is>
          <t>000749</t>
        </is>
      </c>
      <c r="C165" s="111" t="inlineStr">
        <is>
          <t>RED BULL TROPICAL</t>
        </is>
      </c>
      <c r="D165" s="111" t="n"/>
      <c r="E165" s="194" t="n">
        <v>1</v>
      </c>
      <c r="F165" s="195" t="n">
        <v>0</v>
      </c>
      <c r="G165" s="196" t="n">
        <v>0</v>
      </c>
      <c r="H165" s="195" t="n">
        <v>0</v>
      </c>
      <c r="I165" s="195" t="n">
        <v>0</v>
      </c>
      <c r="J165" s="111" t="n"/>
      <c r="K165" s="111" t="n"/>
      <c r="L165" s="111" t="n"/>
      <c r="M165" s="195" t="n">
        <v>0</v>
      </c>
    </row>
    <row r="166" ht="15" customHeight="1">
      <c r="A166" s="107" t="inlineStr">
        <is>
          <t>000894</t>
        </is>
      </c>
      <c r="B166" s="107" t="inlineStr">
        <is>
          <t>000310</t>
        </is>
      </c>
      <c r="C166" s="107" t="inlineStr">
        <is>
          <t>CERVEJA ORIGINAL 600ML</t>
        </is>
      </c>
      <c r="D166" s="107" t="n"/>
      <c r="E166" s="191" t="n">
        <v>1</v>
      </c>
      <c r="F166" s="192" t="n">
        <v>0</v>
      </c>
      <c r="G166" s="193" t="n">
        <v>0</v>
      </c>
      <c r="H166" s="192" t="n">
        <v>0</v>
      </c>
      <c r="I166" s="192" t="n">
        <v>0</v>
      </c>
      <c r="J166" s="107" t="n"/>
      <c r="K166" s="107" t="n"/>
      <c r="L166" s="107" t="n"/>
      <c r="M166" s="192" t="n">
        <v>0</v>
      </c>
    </row>
    <row r="167" ht="15" customHeight="1">
      <c r="A167" s="111" t="inlineStr">
        <is>
          <t>000897</t>
        </is>
      </c>
      <c r="B167" s="111" t="inlineStr">
        <is>
          <t>000674</t>
        </is>
      </c>
      <c r="C167" s="111" t="inlineStr">
        <is>
          <t>CERVEJA STELLA ARTOIS  600 ML</t>
        </is>
      </c>
      <c r="D167" s="111" t="n"/>
      <c r="E167" s="194" t="n">
        <v>1</v>
      </c>
      <c r="F167" s="195" t="n">
        <v>0</v>
      </c>
      <c r="G167" s="196" t="n">
        <v>0</v>
      </c>
      <c r="H167" s="195" t="n">
        <v>0</v>
      </c>
      <c r="I167" s="195" t="n">
        <v>0</v>
      </c>
      <c r="J167" s="111" t="n"/>
      <c r="K167" s="111" t="n"/>
      <c r="L167" s="111" t="n"/>
      <c r="M167" s="195" t="n">
        <v>0</v>
      </c>
    </row>
    <row r="168" ht="15" customHeight="1">
      <c r="A168" s="107" t="inlineStr">
        <is>
          <t>000900</t>
        </is>
      </c>
      <c r="B168" s="107" t="inlineStr">
        <is>
          <t>000377</t>
        </is>
      </c>
      <c r="C168" s="107" t="inlineStr">
        <is>
          <t>ARROZ TIPO 1</t>
        </is>
      </c>
      <c r="D168" s="107" t="n"/>
      <c r="E168" s="191" t="n">
        <v>0.06</v>
      </c>
      <c r="F168" s="192" t="n">
        <v>363.44</v>
      </c>
      <c r="G168" s="193" t="n">
        <v>0</v>
      </c>
      <c r="H168" s="192" t="n">
        <v>0</v>
      </c>
      <c r="I168" s="192" t="n">
        <v>0</v>
      </c>
      <c r="J168" s="107" t="n"/>
      <c r="K168" s="107" t="n"/>
      <c r="L168" s="107" t="n"/>
      <c r="M168" s="192" t="n">
        <v>0</v>
      </c>
    </row>
    <row r="169" ht="15" customHeight="1">
      <c r="A169" s="111" t="inlineStr">
        <is>
          <t>000900</t>
        </is>
      </c>
      <c r="B169" s="111" t="inlineStr">
        <is>
          <t>000412</t>
        </is>
      </c>
      <c r="C169" s="111" t="inlineStr">
        <is>
          <t>OLEO DE SOJA LIZA 900ML</t>
        </is>
      </c>
      <c r="D169" s="111" t="n"/>
      <c r="E169" s="194" t="n">
        <v>0.06</v>
      </c>
      <c r="F169" s="195" t="n">
        <v>1182.22</v>
      </c>
      <c r="G169" s="196" t="n">
        <v>0</v>
      </c>
      <c r="H169" s="195" t="n">
        <v>0</v>
      </c>
      <c r="I169" s="195" t="n">
        <v>0</v>
      </c>
      <c r="J169" s="111" t="n"/>
      <c r="K169" s="111" t="n"/>
      <c r="L169" s="111" t="n"/>
      <c r="M169" s="195" t="n">
        <v>0</v>
      </c>
    </row>
    <row r="170" ht="15" customHeight="1">
      <c r="A170" s="107" t="inlineStr">
        <is>
          <t>000900</t>
        </is>
      </c>
      <c r="B170" s="107" t="inlineStr">
        <is>
          <t>000463</t>
        </is>
      </c>
      <c r="C170" s="107" t="inlineStr">
        <is>
          <t>ALHO DESCASCADO</t>
        </is>
      </c>
      <c r="D170" s="107" t="n"/>
      <c r="E170" s="191" t="n">
        <v>0.001</v>
      </c>
      <c r="F170" s="192" t="n">
        <v>14.86</v>
      </c>
      <c r="G170" s="193" t="n">
        <v>0</v>
      </c>
      <c r="H170" s="192" t="n">
        <v>0</v>
      </c>
      <c r="I170" s="192" t="n">
        <v>0</v>
      </c>
      <c r="J170" s="107" t="n"/>
      <c r="K170" s="107" t="n"/>
      <c r="L170" s="107" t="n"/>
      <c r="M170" s="192" t="n">
        <v>0</v>
      </c>
    </row>
    <row r="171" ht="15" customHeight="1">
      <c r="A171" s="111" t="inlineStr">
        <is>
          <t>000900</t>
        </is>
      </c>
      <c r="B171" s="111" t="inlineStr">
        <is>
          <t>000475</t>
        </is>
      </c>
      <c r="C171" s="111" t="inlineStr">
        <is>
          <t>FOLHA DE LOURO</t>
        </is>
      </c>
      <c r="D171" s="111" t="n"/>
      <c r="E171" s="194" t="n">
        <v>0.002</v>
      </c>
      <c r="F171" s="195" t="n">
        <v>0</v>
      </c>
      <c r="G171" s="196" t="n">
        <v>0</v>
      </c>
      <c r="H171" s="195" t="n">
        <v>0</v>
      </c>
      <c r="I171" s="195" t="n">
        <v>0</v>
      </c>
      <c r="J171" s="111" t="n"/>
      <c r="K171" s="111" t="n"/>
      <c r="L171" s="111" t="n"/>
      <c r="M171" s="195" t="n">
        <v>0</v>
      </c>
    </row>
    <row r="172" ht="15" customHeight="1">
      <c r="A172" s="107" t="inlineStr">
        <is>
          <t>000900</t>
        </is>
      </c>
      <c r="B172" s="107" t="inlineStr">
        <is>
          <t>000614</t>
        </is>
      </c>
      <c r="C172" s="107" t="inlineStr">
        <is>
          <t>SAL REFINADO</t>
        </is>
      </c>
      <c r="D172" s="107" t="n"/>
      <c r="E172" s="191" t="n">
        <v>0.003</v>
      </c>
      <c r="F172" s="192" t="n">
        <v>0.76</v>
      </c>
      <c r="G172" s="193" t="n">
        <v>0</v>
      </c>
      <c r="H172" s="192" t="n">
        <v>0</v>
      </c>
      <c r="I172" s="192" t="n">
        <v>0</v>
      </c>
      <c r="J172" s="107" t="n"/>
      <c r="K172" s="107" t="n"/>
      <c r="L172" s="107" t="n"/>
      <c r="M172" s="192" t="n">
        <v>0</v>
      </c>
    </row>
    <row r="173" ht="15" customHeight="1">
      <c r="A173" s="111" t="inlineStr">
        <is>
          <t>000900</t>
        </is>
      </c>
      <c r="B173" s="111" t="inlineStr">
        <is>
          <t>002068</t>
        </is>
      </c>
      <c r="C173" s="111" t="inlineStr">
        <is>
          <t>MANTEIGA S/SAL 5KG</t>
        </is>
      </c>
      <c r="D173" s="111" t="n"/>
      <c r="E173" s="194" t="n">
        <v>0.005</v>
      </c>
      <c r="F173" s="195" t="n">
        <v>0</v>
      </c>
      <c r="G173" s="196" t="n">
        <v>0</v>
      </c>
      <c r="H173" s="195" t="n">
        <v>0</v>
      </c>
      <c r="I173" s="195" t="n">
        <v>0</v>
      </c>
      <c r="J173" s="111" t="n"/>
      <c r="K173" s="111" t="n"/>
      <c r="L173" s="111" t="n"/>
      <c r="M173" s="195" t="n">
        <v>0</v>
      </c>
    </row>
    <row r="174" ht="15" customHeight="1">
      <c r="A174" s="107" t="inlineStr">
        <is>
          <t>000902</t>
        </is>
      </c>
      <c r="B174" s="107" t="inlineStr">
        <is>
          <t>000377</t>
        </is>
      </c>
      <c r="C174" s="107" t="inlineStr">
        <is>
          <t>ARROZ TIPO 1</t>
        </is>
      </c>
      <c r="D174" s="107" t="n"/>
      <c r="E174" s="191" t="n">
        <v>0.06</v>
      </c>
      <c r="F174" s="192" t="n">
        <v>77.53</v>
      </c>
      <c r="G174" s="193" t="n">
        <v>0</v>
      </c>
      <c r="H174" s="192" t="n">
        <v>0</v>
      </c>
      <c r="I174" s="192" t="n">
        <v>0</v>
      </c>
      <c r="J174" s="107" t="n"/>
      <c r="K174" s="107" t="n"/>
      <c r="L174" s="107" t="n"/>
      <c r="M174" s="192" t="n">
        <v>0</v>
      </c>
    </row>
    <row r="175" ht="15" customHeight="1">
      <c r="A175" s="111" t="inlineStr">
        <is>
          <t>000902</t>
        </is>
      </c>
      <c r="B175" s="111" t="inlineStr">
        <is>
          <t>000412</t>
        </is>
      </c>
      <c r="C175" s="111" t="inlineStr">
        <is>
          <t>OLEO DE SOJA LIZA 900ML</t>
        </is>
      </c>
      <c r="D175" s="111" t="n"/>
      <c r="E175" s="194" t="n">
        <v>0.06</v>
      </c>
      <c r="F175" s="195" t="n">
        <v>9.01</v>
      </c>
      <c r="G175" s="196" t="n">
        <v>0</v>
      </c>
      <c r="H175" s="195" t="n">
        <v>0</v>
      </c>
      <c r="I175" s="195" t="n">
        <v>0</v>
      </c>
      <c r="J175" s="111" t="n"/>
      <c r="K175" s="111" t="n"/>
      <c r="L175" s="111" t="n"/>
      <c r="M175" s="195" t="n">
        <v>0</v>
      </c>
    </row>
    <row r="176" ht="15" customHeight="1">
      <c r="A176" s="107" t="inlineStr">
        <is>
          <t>000902</t>
        </is>
      </c>
      <c r="B176" s="107" t="inlineStr">
        <is>
          <t>000426</t>
        </is>
      </c>
      <c r="C176" s="107" t="inlineStr">
        <is>
          <t>BACON EM CUBOS</t>
        </is>
      </c>
      <c r="D176" s="107" t="n"/>
      <c r="E176" s="191" t="n">
        <v>0.002</v>
      </c>
      <c r="F176" s="192" t="n">
        <v>3054.71</v>
      </c>
      <c r="G176" s="193" t="n">
        <v>0</v>
      </c>
      <c r="H176" s="192" t="n">
        <v>0</v>
      </c>
      <c r="I176" s="192" t="n">
        <v>0</v>
      </c>
      <c r="J176" s="107" t="n"/>
      <c r="K176" s="107" t="n"/>
      <c r="L176" s="107" t="n"/>
      <c r="M176" s="192" t="n">
        <v>0</v>
      </c>
    </row>
    <row r="177" ht="15" customHeight="1">
      <c r="A177" s="111" t="inlineStr">
        <is>
          <t>000902</t>
        </is>
      </c>
      <c r="B177" s="111" t="inlineStr">
        <is>
          <t>000463</t>
        </is>
      </c>
      <c r="C177" s="111" t="inlineStr">
        <is>
          <t>ALHO DESCASCADO</t>
        </is>
      </c>
      <c r="D177" s="111" t="n"/>
      <c r="E177" s="194" t="n">
        <v>0.001</v>
      </c>
      <c r="F177" s="195" t="n">
        <v>1.59</v>
      </c>
      <c r="G177" s="196" t="n">
        <v>0</v>
      </c>
      <c r="H177" s="195" t="n">
        <v>0</v>
      </c>
      <c r="I177" s="195" t="n">
        <v>0</v>
      </c>
      <c r="J177" s="111" t="n"/>
      <c r="K177" s="111" t="n"/>
      <c r="L177" s="111" t="n"/>
      <c r="M177" s="195" t="n">
        <v>0</v>
      </c>
    </row>
    <row r="178" ht="15" customHeight="1">
      <c r="A178" s="107" t="inlineStr">
        <is>
          <t>000902</t>
        </is>
      </c>
      <c r="B178" s="107" t="inlineStr">
        <is>
          <t>000469</t>
        </is>
      </c>
      <c r="C178" s="107" t="inlineStr">
        <is>
          <t>CEBOLINHA</t>
        </is>
      </c>
      <c r="D178" s="107" t="n"/>
      <c r="E178" s="191" t="n">
        <v>0.006</v>
      </c>
      <c r="F178" s="192" t="n">
        <v>0.17</v>
      </c>
      <c r="G178" s="193" t="n">
        <v>0</v>
      </c>
      <c r="H178" s="192" t="n">
        <v>0</v>
      </c>
      <c r="I178" s="192" t="n">
        <v>0</v>
      </c>
      <c r="J178" s="107" t="n"/>
      <c r="K178" s="107" t="n"/>
      <c r="L178" s="107" t="n"/>
      <c r="M178" s="192" t="n">
        <v>0</v>
      </c>
    </row>
    <row r="179" ht="15" customHeight="1">
      <c r="A179" s="111" t="inlineStr">
        <is>
          <t>000902</t>
        </is>
      </c>
      <c r="B179" s="111" t="inlineStr">
        <is>
          <t>000475</t>
        </is>
      </c>
      <c r="C179" s="111" t="inlineStr">
        <is>
          <t>FOLHA DE LOURO</t>
        </is>
      </c>
      <c r="D179" s="111" t="n"/>
      <c r="E179" s="194" t="n">
        <v>0.002</v>
      </c>
      <c r="F179" s="195" t="n">
        <v>0.13</v>
      </c>
      <c r="G179" s="196" t="n">
        <v>0</v>
      </c>
      <c r="H179" s="195" t="n">
        <v>0</v>
      </c>
      <c r="I179" s="195" t="n">
        <v>0</v>
      </c>
      <c r="J179" s="111" t="n"/>
      <c r="K179" s="111" t="n"/>
      <c r="L179" s="111" t="n"/>
      <c r="M179" s="195" t="n">
        <v>0</v>
      </c>
    </row>
    <row r="180" ht="15" customHeight="1">
      <c r="A180" s="107" t="inlineStr">
        <is>
          <t>000902</t>
        </is>
      </c>
      <c r="B180" s="107" t="inlineStr">
        <is>
          <t>000478</t>
        </is>
      </c>
      <c r="C180" s="107" t="inlineStr">
        <is>
          <t>OVOS BRANCOS</t>
        </is>
      </c>
      <c r="D180" s="107" t="n"/>
      <c r="E180" s="191" t="n">
        <v>0.698</v>
      </c>
      <c r="F180" s="192" t="n">
        <v>1.73</v>
      </c>
      <c r="G180" s="193" t="n">
        <v>0</v>
      </c>
      <c r="H180" s="192" t="n">
        <v>0</v>
      </c>
      <c r="I180" s="192" t="n">
        <v>0</v>
      </c>
      <c r="J180" s="107" t="n"/>
      <c r="K180" s="107" t="n"/>
      <c r="L180" s="107" t="n"/>
      <c r="M180" s="192" t="n">
        <v>0</v>
      </c>
    </row>
    <row r="181" ht="15" customHeight="1">
      <c r="A181" s="111" t="inlineStr">
        <is>
          <t>000902</t>
        </is>
      </c>
      <c r="B181" s="111" t="inlineStr">
        <is>
          <t>000614</t>
        </is>
      </c>
      <c r="C181" s="111" t="inlineStr">
        <is>
          <t>SAL REFINADO</t>
        </is>
      </c>
      <c r="D181" s="111" t="n"/>
      <c r="E181" s="194" t="n">
        <v>0.003</v>
      </c>
      <c r="F181" s="195" t="n">
        <v>0.09</v>
      </c>
      <c r="G181" s="196" t="n">
        <v>0</v>
      </c>
      <c r="H181" s="195" t="n">
        <v>0</v>
      </c>
      <c r="I181" s="195" t="n">
        <v>0</v>
      </c>
      <c r="J181" s="111" t="n"/>
      <c r="K181" s="111" t="n"/>
      <c r="L181" s="111" t="n"/>
      <c r="M181" s="195" t="n">
        <v>0</v>
      </c>
    </row>
    <row r="182" ht="15" customHeight="1">
      <c r="A182" s="107" t="inlineStr">
        <is>
          <t>000902</t>
        </is>
      </c>
      <c r="B182" s="107" t="inlineStr">
        <is>
          <t>000664</t>
        </is>
      </c>
      <c r="C182" s="107" t="inlineStr">
        <is>
          <t>BATATA PALHA</t>
        </is>
      </c>
      <c r="D182" s="107" t="n"/>
      <c r="E182" s="191" t="n">
        <v>0.012</v>
      </c>
      <c r="F182" s="192" t="n">
        <v>74.77</v>
      </c>
      <c r="G182" s="193" t="n">
        <v>0</v>
      </c>
      <c r="H182" s="192" t="n">
        <v>0</v>
      </c>
      <c r="I182" s="192" t="n">
        <v>0</v>
      </c>
      <c r="J182" s="107" t="n"/>
      <c r="K182" s="107" t="n"/>
      <c r="L182" s="107" t="n"/>
      <c r="M182" s="192" t="n">
        <v>0</v>
      </c>
    </row>
    <row r="183" ht="15" customHeight="1">
      <c r="A183" s="111" t="inlineStr">
        <is>
          <t>000902</t>
        </is>
      </c>
      <c r="B183" s="111" t="inlineStr">
        <is>
          <t>002068</t>
        </is>
      </c>
      <c r="C183" s="111" t="inlineStr">
        <is>
          <t>MANTEIGA S/SAL 5KG</t>
        </is>
      </c>
      <c r="D183" s="111" t="n"/>
      <c r="E183" s="194" t="n">
        <v>0.028</v>
      </c>
      <c r="F183" s="195" t="n">
        <v>5104.62</v>
      </c>
      <c r="G183" s="196" t="n">
        <v>0</v>
      </c>
      <c r="H183" s="195" t="n">
        <v>0</v>
      </c>
      <c r="I183" s="195" t="n">
        <v>0</v>
      </c>
      <c r="J183" s="111" t="n"/>
      <c r="K183" s="111" t="n"/>
      <c r="L183" s="111" t="n"/>
      <c r="M183" s="195" t="n">
        <v>0</v>
      </c>
    </row>
    <row r="184" ht="15" customHeight="1">
      <c r="A184" s="107" t="inlineStr">
        <is>
          <t>000903</t>
        </is>
      </c>
      <c r="B184" s="107" t="inlineStr">
        <is>
          <t>000324</t>
        </is>
      </c>
      <c r="C184" s="107" t="inlineStr">
        <is>
          <t>MALZBIER LONG NECK</t>
        </is>
      </c>
      <c r="D184" s="107" t="n"/>
      <c r="E184" s="191" t="n">
        <v>1</v>
      </c>
      <c r="F184" s="192" t="n">
        <v>0</v>
      </c>
      <c r="G184" s="193" t="n">
        <v>0</v>
      </c>
      <c r="H184" s="192" t="n">
        <v>0</v>
      </c>
      <c r="I184" s="192" t="n">
        <v>0</v>
      </c>
      <c r="J184" s="107" t="n"/>
      <c r="K184" s="107" t="n"/>
      <c r="L184" s="107" t="n"/>
      <c r="M184" s="192" t="n">
        <v>0</v>
      </c>
    </row>
    <row r="185" ht="15" customHeight="1">
      <c r="A185" s="111" t="inlineStr">
        <is>
          <t>000904</t>
        </is>
      </c>
      <c r="B185" s="111" t="inlineStr">
        <is>
          <t>000326</t>
        </is>
      </c>
      <c r="C185" s="111" t="inlineStr">
        <is>
          <t>BUDWEISER LONG NECK</t>
        </is>
      </c>
      <c r="D185" s="111" t="n"/>
      <c r="E185" s="194" t="n">
        <v>1</v>
      </c>
      <c r="F185" s="195" t="n">
        <v>0</v>
      </c>
      <c r="G185" s="196" t="n">
        <v>0</v>
      </c>
      <c r="H185" s="195" t="n">
        <v>0</v>
      </c>
      <c r="I185" s="195" t="n">
        <v>0</v>
      </c>
      <c r="J185" s="111" t="n"/>
      <c r="K185" s="111" t="n"/>
      <c r="L185" s="111" t="n"/>
      <c r="M185" s="195" t="n">
        <v>0</v>
      </c>
    </row>
    <row r="186" ht="15" customHeight="1">
      <c r="A186" s="107" t="inlineStr">
        <is>
          <t>000910</t>
        </is>
      </c>
      <c r="B186" s="107" t="inlineStr">
        <is>
          <t>000325</t>
        </is>
      </c>
      <c r="C186" s="107" t="inlineStr">
        <is>
          <t>STELLA ARTOIS LONG NECK</t>
        </is>
      </c>
      <c r="D186" s="107" t="n"/>
      <c r="E186" s="191" t="n">
        <v>1</v>
      </c>
      <c r="F186" s="192" t="n">
        <v>0</v>
      </c>
      <c r="G186" s="193" t="n">
        <v>0</v>
      </c>
      <c r="H186" s="192" t="n">
        <v>0</v>
      </c>
      <c r="I186" s="192" t="n">
        <v>0</v>
      </c>
      <c r="J186" s="107" t="n"/>
      <c r="K186" s="107" t="n"/>
      <c r="L186" s="107" t="n"/>
      <c r="M186" s="192" t="n">
        <v>0</v>
      </c>
    </row>
    <row r="187" ht="15" customHeight="1">
      <c r="A187" s="111" t="inlineStr">
        <is>
          <t>000917</t>
        </is>
      </c>
      <c r="B187" s="111" t="inlineStr">
        <is>
          <t>000203</t>
        </is>
      </c>
      <c r="C187" s="111" t="inlineStr">
        <is>
          <t>CORONA EXTRA LONG NECK</t>
        </is>
      </c>
      <c r="D187" s="111" t="n"/>
      <c r="E187" s="194" t="n">
        <v>1</v>
      </c>
      <c r="F187" s="195" t="n">
        <v>0</v>
      </c>
      <c r="G187" s="196" t="n">
        <v>0</v>
      </c>
      <c r="H187" s="195" t="n">
        <v>0</v>
      </c>
      <c r="I187" s="195" t="n">
        <v>0</v>
      </c>
      <c r="J187" s="111" t="n"/>
      <c r="K187" s="111" t="n"/>
      <c r="L187" s="111" t="n"/>
      <c r="M187" s="195" t="n">
        <v>0</v>
      </c>
    </row>
    <row r="188" ht="15" customHeight="1">
      <c r="A188" s="107" t="inlineStr">
        <is>
          <t>000919</t>
        </is>
      </c>
      <c r="B188" s="107" t="inlineStr">
        <is>
          <t>000331</t>
        </is>
      </c>
      <c r="C188" s="107" t="inlineStr">
        <is>
          <t>BARRIL CHOPP BRAHMA CLARO 50LT</t>
        </is>
      </c>
      <c r="D188" s="107" t="n"/>
      <c r="E188" s="191" t="n">
        <v>0.3</v>
      </c>
      <c r="F188" s="192" t="n">
        <v>0</v>
      </c>
      <c r="G188" s="193" t="n">
        <v>0</v>
      </c>
      <c r="H188" s="192" t="n">
        <v>0</v>
      </c>
      <c r="I188" s="192" t="n">
        <v>0</v>
      </c>
      <c r="J188" s="107" t="n"/>
      <c r="K188" s="107" t="n"/>
      <c r="L188" s="107" t="n"/>
      <c r="M188" s="192" t="n">
        <v>0</v>
      </c>
    </row>
    <row r="189" ht="15" customHeight="1">
      <c r="A189" s="111" t="inlineStr">
        <is>
          <t>000922</t>
        </is>
      </c>
      <c r="B189" s="111" t="inlineStr">
        <is>
          <t>009822</t>
        </is>
      </c>
      <c r="C189" s="111" t="inlineStr">
        <is>
          <t>SAKE NIZYA BAG 5LT</t>
        </is>
      </c>
      <c r="D189" s="111" t="n"/>
      <c r="E189" s="194" t="n">
        <v>0.1</v>
      </c>
      <c r="F189" s="195" t="n">
        <v>0</v>
      </c>
      <c r="G189" s="196" t="n">
        <v>0</v>
      </c>
      <c r="H189" s="195" t="n">
        <v>0</v>
      </c>
      <c r="I189" s="195" t="n">
        <v>0</v>
      </c>
      <c r="J189" s="111" t="n"/>
      <c r="K189" s="111" t="n"/>
      <c r="L189" s="111" t="n"/>
      <c r="M189" s="195" t="n">
        <v>0</v>
      </c>
    </row>
    <row r="190" ht="15" customHeight="1">
      <c r="A190" s="107" t="inlineStr">
        <is>
          <t>000935</t>
        </is>
      </c>
      <c r="B190" s="107" t="inlineStr">
        <is>
          <t>000756</t>
        </is>
      </c>
      <c r="C190" s="107" t="inlineStr">
        <is>
          <t>CACHACA SABOR DE MINAS 670ML</t>
        </is>
      </c>
      <c r="D190" s="107" t="n"/>
      <c r="E190" s="191" t="n">
        <v>0.04</v>
      </c>
      <c r="F190" s="192" t="n">
        <v>0</v>
      </c>
      <c r="G190" s="193" t="n">
        <v>0</v>
      </c>
      <c r="H190" s="192" t="n">
        <v>0</v>
      </c>
      <c r="I190" s="192" t="n">
        <v>0</v>
      </c>
      <c r="J190" s="107" t="n"/>
      <c r="K190" s="107" t="n"/>
      <c r="L190" s="107" t="n"/>
      <c r="M190" s="192" t="n">
        <v>0</v>
      </c>
    </row>
    <row r="191" ht="15" customHeight="1">
      <c r="A191" s="111" t="inlineStr">
        <is>
          <t>000936</t>
        </is>
      </c>
      <c r="B191" s="111" t="inlineStr">
        <is>
          <t>000756</t>
        </is>
      </c>
      <c r="C191" s="111" t="inlineStr">
        <is>
          <t>CACHACA SABOR DE MINAS 670ML</t>
        </is>
      </c>
      <c r="D191" s="111" t="n"/>
      <c r="E191" s="194" t="n">
        <v>0.6</v>
      </c>
      <c r="F191" s="195" t="n">
        <v>0</v>
      </c>
      <c r="G191" s="196" t="n">
        <v>0</v>
      </c>
      <c r="H191" s="195" t="n">
        <v>0</v>
      </c>
      <c r="I191" s="195" t="n">
        <v>0</v>
      </c>
      <c r="J191" s="111" t="n"/>
      <c r="K191" s="111" t="n"/>
      <c r="L191" s="111" t="n"/>
      <c r="M191" s="195" t="n">
        <v>0</v>
      </c>
    </row>
    <row r="192" ht="15" customHeight="1">
      <c r="A192" s="107" t="inlineStr">
        <is>
          <t>000937</t>
        </is>
      </c>
      <c r="B192" s="107" t="inlineStr">
        <is>
          <t>000756</t>
        </is>
      </c>
      <c r="C192" s="107" t="inlineStr">
        <is>
          <t>CACHACA SABOR DE MINAS 670ML</t>
        </is>
      </c>
      <c r="D192" s="107" t="n"/>
      <c r="E192" s="191" t="n">
        <v>0.1</v>
      </c>
      <c r="F192" s="192" t="n">
        <v>0</v>
      </c>
      <c r="G192" s="193" t="n">
        <v>0</v>
      </c>
      <c r="H192" s="192" t="n">
        <v>0</v>
      </c>
      <c r="I192" s="192" t="n">
        <v>0</v>
      </c>
      <c r="J192" s="107" t="n"/>
      <c r="K192" s="107" t="n"/>
      <c r="L192" s="107" t="n"/>
      <c r="M192" s="192" t="n">
        <v>0</v>
      </c>
    </row>
    <row r="193" ht="15" customHeight="1">
      <c r="A193" s="111" t="inlineStr">
        <is>
          <t>000942</t>
        </is>
      </c>
      <c r="B193" s="111" t="inlineStr">
        <is>
          <t>000345</t>
        </is>
      </c>
      <c r="C193" s="111" t="inlineStr">
        <is>
          <t>APERITIVO CAMPARI 998ML</t>
        </is>
      </c>
      <c r="D193" s="111" t="n"/>
      <c r="E193" s="194" t="n">
        <v>0.9</v>
      </c>
      <c r="F193" s="195" t="n">
        <v>0</v>
      </c>
      <c r="G193" s="196" t="n">
        <v>0</v>
      </c>
      <c r="H193" s="195" t="n">
        <v>0</v>
      </c>
      <c r="I193" s="195" t="n">
        <v>0</v>
      </c>
      <c r="J193" s="111" t="n"/>
      <c r="K193" s="111" t="n"/>
      <c r="L193" s="111" t="n"/>
      <c r="M193" s="195" t="n">
        <v>0</v>
      </c>
    </row>
    <row r="194" ht="15" customHeight="1">
      <c r="A194" s="107" t="inlineStr">
        <is>
          <t>000943</t>
        </is>
      </c>
      <c r="B194" s="107" t="inlineStr">
        <is>
          <t>009522</t>
        </is>
      </c>
      <c r="C194" s="107" t="inlineStr">
        <is>
          <t>VINHO CHILENO VISTANA CABERNET MERLOT 375ML</t>
        </is>
      </c>
      <c r="D194" s="107" t="n"/>
      <c r="E194" s="191" t="n">
        <v>1</v>
      </c>
      <c r="F194" s="192" t="n">
        <v>0</v>
      </c>
      <c r="G194" s="193" t="n">
        <v>0</v>
      </c>
      <c r="H194" s="192" t="n">
        <v>0</v>
      </c>
      <c r="I194" s="192" t="n">
        <v>0</v>
      </c>
      <c r="J194" s="107" t="n"/>
      <c r="K194" s="107" t="n"/>
      <c r="L194" s="107" t="n"/>
      <c r="M194" s="192" t="n">
        <v>0</v>
      </c>
    </row>
    <row r="195" ht="15" customHeight="1">
      <c r="A195" s="111" t="inlineStr">
        <is>
          <t>000944</t>
        </is>
      </c>
      <c r="B195" s="111" t="inlineStr">
        <is>
          <t>001589</t>
        </is>
      </c>
      <c r="C195" s="111" t="inlineStr">
        <is>
          <t>VISTANA /CABERNET MERLOT</t>
        </is>
      </c>
      <c r="D195" s="111" t="n"/>
      <c r="E195" s="194" t="n">
        <v>1</v>
      </c>
      <c r="F195" s="195" t="n">
        <v>0</v>
      </c>
      <c r="G195" s="196" t="n">
        <v>0</v>
      </c>
      <c r="H195" s="195" t="n">
        <v>0</v>
      </c>
      <c r="I195" s="195" t="n">
        <v>0</v>
      </c>
      <c r="J195" s="111" t="n"/>
      <c r="K195" s="111" t="n"/>
      <c r="L195" s="111" t="n"/>
      <c r="M195" s="195" t="n">
        <v>0</v>
      </c>
    </row>
    <row r="196" ht="15" customHeight="1">
      <c r="A196" s="107" t="inlineStr">
        <is>
          <t>000945</t>
        </is>
      </c>
      <c r="B196" s="107" t="inlineStr">
        <is>
          <t>000274</t>
        </is>
      </c>
      <c r="C196" s="107" t="inlineStr">
        <is>
          <t>VINHO TINTO BARBERA LA QUERCIA 750 ML</t>
        </is>
      </c>
      <c r="D196" s="107" t="n"/>
      <c r="E196" s="191" t="n">
        <v>1</v>
      </c>
      <c r="F196" s="192" t="n">
        <v>0</v>
      </c>
      <c r="G196" s="193" t="n">
        <v>0</v>
      </c>
      <c r="H196" s="192" t="n">
        <v>0</v>
      </c>
      <c r="I196" s="192" t="n">
        <v>0</v>
      </c>
      <c r="J196" s="107" t="n"/>
      <c r="K196" s="107" t="n"/>
      <c r="L196" s="107" t="n"/>
      <c r="M196" s="192" t="n">
        <v>0</v>
      </c>
    </row>
    <row r="197" ht="15" customHeight="1">
      <c r="A197" s="111" t="inlineStr">
        <is>
          <t>000947</t>
        </is>
      </c>
      <c r="B197" s="111" t="inlineStr">
        <is>
          <t>000273</t>
        </is>
      </c>
      <c r="C197" s="111" t="inlineStr">
        <is>
          <t>VINHO CHILENO VISTANA SAU.BLANC SEMILON 750ML</t>
        </is>
      </c>
      <c r="D197" s="111" t="n"/>
      <c r="E197" s="194" t="n">
        <v>0.75</v>
      </c>
      <c r="F197" s="195" t="n">
        <v>0</v>
      </c>
      <c r="G197" s="196" t="n">
        <v>0</v>
      </c>
      <c r="H197" s="195" t="n">
        <v>0</v>
      </c>
      <c r="I197" s="195" t="n">
        <v>0</v>
      </c>
      <c r="J197" s="111" t="n"/>
      <c r="K197" s="111" t="n"/>
      <c r="L197" s="111" t="n"/>
      <c r="M197" s="195" t="n">
        <v>0</v>
      </c>
    </row>
    <row r="198" ht="15" customHeight="1">
      <c r="A198" s="107" t="inlineStr">
        <is>
          <t>000948</t>
        </is>
      </c>
      <c r="B198" s="107" t="inlineStr">
        <is>
          <t>000318</t>
        </is>
      </c>
      <c r="C198" s="107" t="inlineStr">
        <is>
          <t>TONICA COMUM LATA</t>
        </is>
      </c>
      <c r="D198" s="107" t="n"/>
      <c r="E198" s="191" t="n">
        <v>1</v>
      </c>
      <c r="F198" s="192" t="n">
        <v>0</v>
      </c>
      <c r="G198" s="193" t="n">
        <v>0</v>
      </c>
      <c r="H198" s="192" t="n">
        <v>0</v>
      </c>
      <c r="I198" s="192" t="n">
        <v>0</v>
      </c>
      <c r="J198" s="107" t="n"/>
      <c r="K198" s="107" t="n"/>
      <c r="L198" s="107" t="n"/>
      <c r="M198" s="192" t="n">
        <v>0</v>
      </c>
    </row>
    <row r="199" ht="15" customHeight="1">
      <c r="A199" s="111" t="inlineStr">
        <is>
          <t>000948</t>
        </is>
      </c>
      <c r="B199" s="111" t="inlineStr">
        <is>
          <t>000474</t>
        </is>
      </c>
      <c r="C199" s="111" t="inlineStr">
        <is>
          <t>HORTELA GRANDE</t>
        </is>
      </c>
      <c r="D199" s="111" t="n"/>
      <c r="E199" s="194" t="n">
        <v>0.03</v>
      </c>
      <c r="F199" s="195" t="n">
        <v>0</v>
      </c>
      <c r="G199" s="196" t="n">
        <v>0</v>
      </c>
      <c r="H199" s="195" t="n">
        <v>0</v>
      </c>
      <c r="I199" s="195" t="n">
        <v>0</v>
      </c>
      <c r="J199" s="111" t="n"/>
      <c r="K199" s="111" t="n"/>
      <c r="L199" s="111" t="n"/>
      <c r="M199" s="195" t="n">
        <v>0</v>
      </c>
    </row>
    <row r="200" ht="15" customHeight="1">
      <c r="A200" s="107" t="inlineStr">
        <is>
          <t>000948</t>
        </is>
      </c>
      <c r="B200" s="107" t="inlineStr">
        <is>
          <t>000492</t>
        </is>
      </c>
      <c r="C200" s="107" t="inlineStr">
        <is>
          <t>LIMAO TAITI FRUTA</t>
        </is>
      </c>
      <c r="D200" s="107" t="n"/>
      <c r="E200" s="191" t="n">
        <v>0.05</v>
      </c>
      <c r="F200" s="192" t="n">
        <v>0</v>
      </c>
      <c r="G200" s="193" t="n">
        <v>0</v>
      </c>
      <c r="H200" s="192" t="n">
        <v>0</v>
      </c>
      <c r="I200" s="192" t="n">
        <v>0</v>
      </c>
      <c r="J200" s="107" t="n"/>
      <c r="K200" s="107" t="n"/>
      <c r="L200" s="107" t="n"/>
      <c r="M200" s="192" t="n">
        <v>0</v>
      </c>
    </row>
    <row r="201" ht="15" customHeight="1">
      <c r="A201" s="111" t="inlineStr">
        <is>
          <t>000948</t>
        </is>
      </c>
      <c r="B201" s="111" t="inlineStr">
        <is>
          <t>000590</t>
        </is>
      </c>
      <c r="C201" s="111" t="inlineStr">
        <is>
          <t>MORANGO FRUTA</t>
        </is>
      </c>
      <c r="D201" s="111" t="n"/>
      <c r="E201" s="194" t="n">
        <v>0.03</v>
      </c>
      <c r="F201" s="195" t="n">
        <v>0</v>
      </c>
      <c r="G201" s="196" t="n">
        <v>0</v>
      </c>
      <c r="H201" s="195" t="n">
        <v>0</v>
      </c>
      <c r="I201" s="195" t="n">
        <v>0</v>
      </c>
      <c r="J201" s="111" t="n"/>
      <c r="K201" s="111" t="n"/>
      <c r="L201" s="111" t="n"/>
      <c r="M201" s="195" t="n">
        <v>0</v>
      </c>
    </row>
    <row r="202" ht="15" customHeight="1">
      <c r="A202" s="107" t="inlineStr">
        <is>
          <t>000948</t>
        </is>
      </c>
      <c r="B202" s="107" t="inlineStr">
        <is>
          <t>000619</t>
        </is>
      </c>
      <c r="C202" s="107" t="inlineStr">
        <is>
          <t>LIMAO SICILIANO</t>
        </is>
      </c>
      <c r="D202" s="107" t="n"/>
      <c r="E202" s="191" t="n">
        <v>0.05</v>
      </c>
      <c r="F202" s="192" t="n">
        <v>0</v>
      </c>
      <c r="G202" s="193" t="n">
        <v>0</v>
      </c>
      <c r="H202" s="192" t="n">
        <v>0</v>
      </c>
      <c r="I202" s="192" t="n">
        <v>0</v>
      </c>
      <c r="J202" s="107" t="n"/>
      <c r="K202" s="107" t="n"/>
      <c r="L202" s="107" t="n"/>
      <c r="M202" s="192" t="n">
        <v>0</v>
      </c>
    </row>
    <row r="203" ht="15" customHeight="1">
      <c r="A203" s="111" t="inlineStr">
        <is>
          <t>000948</t>
        </is>
      </c>
      <c r="B203" s="111" t="inlineStr">
        <is>
          <t>009820</t>
        </is>
      </c>
      <c r="C203" s="111" t="inlineStr">
        <is>
          <t>GIN BACCO PREMIUM BAG 5LT</t>
        </is>
      </c>
      <c r="D203" s="111" t="n"/>
      <c r="E203" s="194" t="n">
        <v>0.08</v>
      </c>
      <c r="F203" s="195" t="n">
        <v>0</v>
      </c>
      <c r="G203" s="196" t="n">
        <v>0</v>
      </c>
      <c r="H203" s="195" t="n">
        <v>0</v>
      </c>
      <c r="I203" s="195" t="n">
        <v>0</v>
      </c>
      <c r="J203" s="111" t="n"/>
      <c r="K203" s="111" t="n"/>
      <c r="L203" s="111" t="n"/>
      <c r="M203" s="195" t="n">
        <v>0</v>
      </c>
    </row>
    <row r="204" ht="15" customHeight="1">
      <c r="A204" s="107" t="inlineStr">
        <is>
          <t>000948</t>
        </is>
      </c>
      <c r="B204" s="107" t="inlineStr">
        <is>
          <t>009826</t>
        </is>
      </c>
      <c r="C204" s="107" t="inlineStr">
        <is>
          <t>XAROPE MORANGO 3LT</t>
        </is>
      </c>
      <c r="D204" s="107" t="n"/>
      <c r="E204" s="191" t="n">
        <v>0.12</v>
      </c>
      <c r="F204" s="192" t="n">
        <v>0</v>
      </c>
      <c r="G204" s="193" t="n">
        <v>0</v>
      </c>
      <c r="H204" s="192" t="n">
        <v>0</v>
      </c>
      <c r="I204" s="192" t="n">
        <v>0</v>
      </c>
      <c r="J204" s="107" t="n"/>
      <c r="K204" s="107" t="n"/>
      <c r="L204" s="107" t="n"/>
      <c r="M204" s="192" t="n">
        <v>0</v>
      </c>
    </row>
    <row r="205" ht="15" customHeight="1">
      <c r="A205" s="111" t="inlineStr">
        <is>
          <t>000949</t>
        </is>
      </c>
      <c r="B205" s="111" t="inlineStr">
        <is>
          <t>000318</t>
        </is>
      </c>
      <c r="C205" s="111" t="inlineStr">
        <is>
          <t>TONICA COMUM LATA</t>
        </is>
      </c>
      <c r="D205" s="111" t="n"/>
      <c r="E205" s="194" t="n">
        <v>1</v>
      </c>
      <c r="F205" s="195" t="n">
        <v>12803.01</v>
      </c>
      <c r="G205" s="196" t="n">
        <v>0</v>
      </c>
      <c r="H205" s="195" t="n">
        <v>0</v>
      </c>
      <c r="I205" s="195" t="n">
        <v>0</v>
      </c>
      <c r="J205" s="111" t="n"/>
      <c r="K205" s="111" t="n"/>
      <c r="L205" s="111" t="n"/>
      <c r="M205" s="195" t="n">
        <v>0</v>
      </c>
    </row>
    <row r="206" ht="15" customHeight="1">
      <c r="A206" s="107" t="inlineStr">
        <is>
          <t>000949</t>
        </is>
      </c>
      <c r="B206" s="107" t="inlineStr">
        <is>
          <t>000474</t>
        </is>
      </c>
      <c r="C206" s="107" t="inlineStr">
        <is>
          <t>HORTELA GRANDE</t>
        </is>
      </c>
      <c r="D206" s="107" t="n"/>
      <c r="E206" s="191" t="n">
        <v>0.003</v>
      </c>
      <c r="F206" s="192" t="n">
        <v>0.12</v>
      </c>
      <c r="G206" s="193" t="n">
        <v>0</v>
      </c>
      <c r="H206" s="192" t="n">
        <v>0</v>
      </c>
      <c r="I206" s="192" t="n">
        <v>0</v>
      </c>
      <c r="J206" s="107" t="n"/>
      <c r="K206" s="107" t="n"/>
      <c r="L206" s="107" t="n"/>
      <c r="M206" s="192" t="n">
        <v>0</v>
      </c>
    </row>
    <row r="207" ht="15" customHeight="1">
      <c r="A207" s="111" t="inlineStr">
        <is>
          <t>000949</t>
        </is>
      </c>
      <c r="B207" s="111" t="inlineStr">
        <is>
          <t>000492</t>
        </is>
      </c>
      <c r="C207" s="111" t="inlineStr">
        <is>
          <t>LIMAO TAITI FRUTA</t>
        </is>
      </c>
      <c r="D207" s="111" t="n"/>
      <c r="E207" s="194" t="n">
        <v>0.05</v>
      </c>
      <c r="F207" s="195" t="n">
        <v>28.64</v>
      </c>
      <c r="G207" s="196" t="n">
        <v>0</v>
      </c>
      <c r="H207" s="195" t="n">
        <v>0</v>
      </c>
      <c r="I207" s="195" t="n">
        <v>0</v>
      </c>
      <c r="J207" s="111" t="n"/>
      <c r="K207" s="111" t="n"/>
      <c r="L207" s="111" t="n"/>
      <c r="M207" s="195" t="n">
        <v>0</v>
      </c>
    </row>
    <row r="208" ht="15" customHeight="1">
      <c r="A208" s="107" t="inlineStr">
        <is>
          <t>000949</t>
        </is>
      </c>
      <c r="B208" s="107" t="inlineStr">
        <is>
          <t>000590</t>
        </is>
      </c>
      <c r="C208" s="107" t="inlineStr">
        <is>
          <t>MORANGO FRUTA</t>
        </is>
      </c>
      <c r="D208" s="107" t="n"/>
      <c r="E208" s="191" t="n">
        <v>0.05</v>
      </c>
      <c r="F208" s="192" t="n">
        <v>36851.1</v>
      </c>
      <c r="G208" s="193" t="n">
        <v>0</v>
      </c>
      <c r="H208" s="192" t="n">
        <v>0</v>
      </c>
      <c r="I208" s="192" t="n">
        <v>0</v>
      </c>
      <c r="J208" s="107" t="n"/>
      <c r="K208" s="107" t="n"/>
      <c r="L208" s="107" t="n"/>
      <c r="M208" s="192" t="n">
        <v>0</v>
      </c>
    </row>
    <row r="209" ht="15" customHeight="1">
      <c r="A209" s="111" t="inlineStr">
        <is>
          <t>000949</t>
        </is>
      </c>
      <c r="B209" s="111" t="inlineStr">
        <is>
          <t>000939</t>
        </is>
      </c>
      <c r="C209" s="111" t="inlineStr">
        <is>
          <t>GIN BEEFEATER PINK GARRAFA 750ML</t>
        </is>
      </c>
      <c r="D209" s="111" t="n"/>
      <c r="E209" s="194" t="n">
        <v>0.08</v>
      </c>
      <c r="F209" s="195" t="n">
        <v>0</v>
      </c>
      <c r="G209" s="196" t="n">
        <v>0</v>
      </c>
      <c r="H209" s="195" t="n">
        <v>0</v>
      </c>
      <c r="I209" s="195" t="n">
        <v>0</v>
      </c>
      <c r="J209" s="111" t="n"/>
      <c r="K209" s="111" t="n"/>
      <c r="L209" s="111" t="n"/>
      <c r="M209" s="195" t="n">
        <v>0</v>
      </c>
    </row>
    <row r="210" ht="15" customHeight="1">
      <c r="A210" s="107" t="inlineStr">
        <is>
          <t>000949</t>
        </is>
      </c>
      <c r="B210" s="107" t="inlineStr">
        <is>
          <t>009826</t>
        </is>
      </c>
      <c r="C210" s="107" t="inlineStr">
        <is>
          <t>XAROPE MORANGO 3LT</t>
        </is>
      </c>
      <c r="D210" s="107" t="n"/>
      <c r="E210" s="191" t="n">
        <v>0.01</v>
      </c>
      <c r="F210" s="192" t="n">
        <v>71.90000000000001</v>
      </c>
      <c r="G210" s="193" t="n">
        <v>0</v>
      </c>
      <c r="H210" s="192" t="n">
        <v>0</v>
      </c>
      <c r="I210" s="192" t="n">
        <v>0</v>
      </c>
      <c r="J210" s="107" t="n"/>
      <c r="K210" s="107" t="n"/>
      <c r="L210" s="107" t="n"/>
      <c r="M210" s="192" t="n">
        <v>0</v>
      </c>
    </row>
    <row r="211" ht="15" customHeight="1">
      <c r="A211" s="111" t="inlineStr">
        <is>
          <t>000950</t>
        </is>
      </c>
      <c r="B211" s="111" t="inlineStr">
        <is>
          <t>000490</t>
        </is>
      </c>
      <c r="C211" s="111" t="inlineStr">
        <is>
          <t>LARANJA PERA FRUTA</t>
        </is>
      </c>
      <c r="D211" s="111" t="n"/>
      <c r="E211" s="194" t="n">
        <v>0.15</v>
      </c>
      <c r="F211" s="195" t="n">
        <v>1233.09</v>
      </c>
      <c r="G211" s="196" t="n">
        <v>0</v>
      </c>
      <c r="H211" s="195" t="n">
        <v>0</v>
      </c>
      <c r="I211" s="195" t="n">
        <v>0</v>
      </c>
      <c r="J211" s="111" t="n"/>
      <c r="K211" s="111" t="n"/>
      <c r="L211" s="111" t="n"/>
      <c r="M211" s="195" t="n">
        <v>0</v>
      </c>
    </row>
    <row r="212" ht="15" customHeight="1">
      <c r="A212" s="107" t="inlineStr">
        <is>
          <t>000950</t>
        </is>
      </c>
      <c r="B212" s="107" t="inlineStr">
        <is>
          <t>000619</t>
        </is>
      </c>
      <c r="C212" s="107" t="inlineStr">
        <is>
          <t>LIMAO SICILIANO</t>
        </is>
      </c>
      <c r="D212" s="107" t="n"/>
      <c r="E212" s="191" t="n">
        <v>0.05</v>
      </c>
      <c r="F212" s="192" t="n">
        <v>0</v>
      </c>
      <c r="G212" s="193" t="n">
        <v>0</v>
      </c>
      <c r="H212" s="192" t="n">
        <v>0</v>
      </c>
      <c r="I212" s="192" t="n">
        <v>0</v>
      </c>
      <c r="J212" s="107" t="n"/>
      <c r="K212" s="107" t="n"/>
      <c r="L212" s="107" t="n"/>
      <c r="M212" s="192" t="n">
        <v>0</v>
      </c>
    </row>
    <row r="213" ht="15" customHeight="1">
      <c r="A213" s="111" t="inlineStr">
        <is>
          <t>000950</t>
        </is>
      </c>
      <c r="B213" s="111" t="inlineStr">
        <is>
          <t>000749</t>
        </is>
      </c>
      <c r="C213" s="111" t="inlineStr">
        <is>
          <t>RED BULL TROPICAL</t>
        </is>
      </c>
      <c r="D213" s="111" t="n"/>
      <c r="E213" s="194" t="n">
        <v>1</v>
      </c>
      <c r="F213" s="195" t="n">
        <v>630.65</v>
      </c>
      <c r="G213" s="196" t="n">
        <v>0</v>
      </c>
      <c r="H213" s="195" t="n">
        <v>0</v>
      </c>
      <c r="I213" s="195" t="n">
        <v>0</v>
      </c>
      <c r="J213" s="111" t="n"/>
      <c r="K213" s="111" t="n"/>
      <c r="L213" s="111" t="n"/>
      <c r="M213" s="195" t="n">
        <v>0</v>
      </c>
    </row>
    <row r="214" ht="15" customHeight="1">
      <c r="A214" s="107" t="inlineStr">
        <is>
          <t>000950</t>
        </is>
      </c>
      <c r="B214" s="107" t="inlineStr">
        <is>
          <t>009820</t>
        </is>
      </c>
      <c r="C214" s="107" t="inlineStr">
        <is>
          <t>GIN BACCO PREMIUM BAG 5LT</t>
        </is>
      </c>
      <c r="D214" s="107" t="n"/>
      <c r="E214" s="191" t="n">
        <v>0.05</v>
      </c>
      <c r="F214" s="192" t="n">
        <v>0</v>
      </c>
      <c r="G214" s="193" t="n">
        <v>0</v>
      </c>
      <c r="H214" s="192" t="n">
        <v>0</v>
      </c>
      <c r="I214" s="192" t="n">
        <v>0</v>
      </c>
      <c r="J214" s="107" t="n"/>
      <c r="K214" s="107" t="n"/>
      <c r="L214" s="107" t="n"/>
      <c r="M214" s="192" t="n">
        <v>0</v>
      </c>
    </row>
    <row r="215" ht="15" customHeight="1">
      <c r="A215" s="111" t="inlineStr">
        <is>
          <t>000951</t>
        </is>
      </c>
      <c r="B215" s="111" t="inlineStr">
        <is>
          <t>000339</t>
        </is>
      </c>
      <c r="C215" s="111" t="inlineStr">
        <is>
          <t>VODKA ABSOLUT NATURAL  1LT</t>
        </is>
      </c>
      <c r="D215" s="111" t="n"/>
      <c r="E215" s="194" t="n">
        <v>0.05</v>
      </c>
      <c r="F215" s="195" t="n">
        <v>29.44</v>
      </c>
      <c r="G215" s="196" t="n">
        <v>0</v>
      </c>
      <c r="H215" s="195" t="n">
        <v>0</v>
      </c>
      <c r="I215" s="195" t="n">
        <v>0</v>
      </c>
      <c r="J215" s="111" t="n"/>
      <c r="K215" s="111" t="n"/>
      <c r="L215" s="111" t="n"/>
      <c r="M215" s="195" t="n">
        <v>0</v>
      </c>
    </row>
    <row r="216" ht="15" customHeight="1">
      <c r="A216" s="107" t="inlineStr">
        <is>
          <t>000951</t>
        </is>
      </c>
      <c r="B216" s="107" t="inlineStr">
        <is>
          <t>000374</t>
        </is>
      </c>
      <c r="C216" s="107" t="inlineStr">
        <is>
          <t>ACUCAR REFINADO UNIAO</t>
        </is>
      </c>
      <c r="D216" s="107" t="n"/>
      <c r="E216" s="191" t="n">
        <v>0.01</v>
      </c>
      <c r="F216" s="192" t="n">
        <v>0.67</v>
      </c>
      <c r="G216" s="193" t="n">
        <v>0</v>
      </c>
      <c r="H216" s="192" t="n">
        <v>0</v>
      </c>
      <c r="I216" s="192" t="n">
        <v>0</v>
      </c>
      <c r="J216" s="107" t="n"/>
      <c r="K216" s="107" t="n"/>
      <c r="L216" s="107" t="n"/>
      <c r="M216" s="192" t="n">
        <v>0</v>
      </c>
    </row>
    <row r="217" ht="15" customHeight="1">
      <c r="A217" s="111" t="inlineStr">
        <is>
          <t>000951</t>
        </is>
      </c>
      <c r="B217" s="111" t="inlineStr">
        <is>
          <t>000492</t>
        </is>
      </c>
      <c r="C217" s="111" t="inlineStr">
        <is>
          <t>LIMAO TAITI FRUTA</t>
        </is>
      </c>
      <c r="D217" s="111" t="n"/>
      <c r="E217" s="194" t="n">
        <v>0.1</v>
      </c>
      <c r="F217" s="195" t="n">
        <v>85.92</v>
      </c>
      <c r="G217" s="196" t="n">
        <v>0</v>
      </c>
      <c r="H217" s="195" t="n">
        <v>0</v>
      </c>
      <c r="I217" s="195" t="n">
        <v>0</v>
      </c>
      <c r="J217" s="111" t="n"/>
      <c r="K217" s="111" t="n"/>
      <c r="L217" s="111" t="n"/>
      <c r="M217" s="195" t="n">
        <v>0</v>
      </c>
    </row>
    <row r="218" ht="15" customHeight="1">
      <c r="A218" s="107" t="inlineStr">
        <is>
          <t>000951</t>
        </is>
      </c>
      <c r="B218" s="107" t="inlineStr">
        <is>
          <t>009828</t>
        </is>
      </c>
      <c r="C218" s="107" t="inlineStr">
        <is>
          <t>XAROPE GENGIBRE 3LT</t>
        </is>
      </c>
      <c r="D218" s="107" t="n"/>
      <c r="E218" s="191" t="n">
        <v>0.02</v>
      </c>
      <c r="F218" s="192" t="n">
        <v>4.7</v>
      </c>
      <c r="G218" s="193" t="n">
        <v>0</v>
      </c>
      <c r="H218" s="192" t="n">
        <v>0</v>
      </c>
      <c r="I218" s="192" t="n">
        <v>0</v>
      </c>
      <c r="J218" s="107" t="n"/>
      <c r="K218" s="107" t="n"/>
      <c r="L218" s="107" t="n"/>
      <c r="M218" s="192" t="n">
        <v>0</v>
      </c>
    </row>
    <row r="219" ht="15" customHeight="1">
      <c r="A219" s="111" t="inlineStr">
        <is>
          <t>000952</t>
        </is>
      </c>
      <c r="B219" s="111" t="inlineStr">
        <is>
          <t>000758</t>
        </is>
      </c>
      <c r="C219" s="111" t="inlineStr">
        <is>
          <t>CACHACA QUINTAL PRATA 900ML</t>
        </is>
      </c>
      <c r="D219" s="111" t="n"/>
      <c r="E219" s="194" t="n">
        <v>0.05</v>
      </c>
      <c r="F219" s="195" t="n">
        <v>1.4</v>
      </c>
      <c r="G219" s="196" t="n">
        <v>0</v>
      </c>
      <c r="H219" s="195" t="n">
        <v>0</v>
      </c>
      <c r="I219" s="195" t="n">
        <v>0</v>
      </c>
      <c r="J219" s="111" t="n"/>
      <c r="K219" s="111" t="n"/>
      <c r="L219" s="111" t="n"/>
      <c r="M219" s="195" t="n">
        <v>0</v>
      </c>
    </row>
    <row r="220" ht="15" customHeight="1">
      <c r="A220" s="107" t="inlineStr">
        <is>
          <t>000953</t>
        </is>
      </c>
      <c r="B220" s="107" t="inlineStr">
        <is>
          <t>000758</t>
        </is>
      </c>
      <c r="C220" s="107" t="inlineStr">
        <is>
          <t>CACHACA QUINTAL PRATA 900ML</t>
        </is>
      </c>
      <c r="D220" s="107" t="n"/>
      <c r="E220" s="191" t="n">
        <v>0.73</v>
      </c>
      <c r="F220" s="192" t="n">
        <v>0</v>
      </c>
      <c r="G220" s="193" t="n">
        <v>0</v>
      </c>
      <c r="H220" s="192" t="n">
        <v>0</v>
      </c>
      <c r="I220" s="192" t="n">
        <v>0</v>
      </c>
      <c r="J220" s="107" t="n"/>
      <c r="K220" s="107" t="n"/>
      <c r="L220" s="107" t="n"/>
      <c r="M220" s="192" t="n">
        <v>0</v>
      </c>
    </row>
    <row r="221" ht="15" customHeight="1">
      <c r="A221" s="111" t="inlineStr">
        <is>
          <t>000954</t>
        </is>
      </c>
      <c r="B221" s="111" t="inlineStr">
        <is>
          <t>000759</t>
        </is>
      </c>
      <c r="C221" s="111" t="inlineStr">
        <is>
          <t>CACHACA QUINTAL OURO 965ML</t>
        </is>
      </c>
      <c r="D221" s="111" t="n"/>
      <c r="E221" s="194" t="n">
        <v>0.05</v>
      </c>
      <c r="F221" s="195" t="n">
        <v>0.86</v>
      </c>
      <c r="G221" s="196" t="n">
        <v>0</v>
      </c>
      <c r="H221" s="195" t="n">
        <v>0</v>
      </c>
      <c r="I221" s="195" t="n">
        <v>0</v>
      </c>
      <c r="J221" s="111" t="n"/>
      <c r="K221" s="111" t="n"/>
      <c r="L221" s="111" t="n"/>
      <c r="M221" s="195" t="n">
        <v>0</v>
      </c>
    </row>
    <row r="222" ht="15" customHeight="1">
      <c r="A222" s="107" t="inlineStr">
        <is>
          <t>000955</t>
        </is>
      </c>
      <c r="B222" s="107" t="inlineStr">
        <is>
          <t>000759</t>
        </is>
      </c>
      <c r="C222" s="107" t="inlineStr">
        <is>
          <t>CACHACA QUINTAL OURO 965ML</t>
        </is>
      </c>
      <c r="D222" s="107" t="n"/>
      <c r="E222" s="191" t="n">
        <v>0.73</v>
      </c>
      <c r="F222" s="192" t="n">
        <v>0</v>
      </c>
      <c r="G222" s="193" t="n">
        <v>0</v>
      </c>
      <c r="H222" s="192" t="n">
        <v>0</v>
      </c>
      <c r="I222" s="192" t="n">
        <v>0</v>
      </c>
      <c r="J222" s="107" t="n"/>
      <c r="K222" s="107" t="n"/>
      <c r="L222" s="107" t="n"/>
      <c r="M222" s="192" t="n">
        <v>0</v>
      </c>
    </row>
    <row r="223" ht="15" customHeight="1">
      <c r="A223" s="111" t="inlineStr">
        <is>
          <t>000956</t>
        </is>
      </c>
      <c r="B223" s="111" t="inlineStr">
        <is>
          <t>000760</t>
        </is>
      </c>
      <c r="C223" s="111" t="inlineStr">
        <is>
          <t>CACHACA QUINTAL MEL E LIMAO 750ML</t>
        </is>
      </c>
      <c r="D223" s="111" t="n"/>
      <c r="E223" s="194" t="n">
        <v>0.05</v>
      </c>
      <c r="F223" s="195" t="n">
        <v>13.09</v>
      </c>
      <c r="G223" s="196" t="n">
        <v>0</v>
      </c>
      <c r="H223" s="195" t="n">
        <v>0</v>
      </c>
      <c r="I223" s="195" t="n">
        <v>0</v>
      </c>
      <c r="J223" s="111" t="n"/>
      <c r="K223" s="111" t="n"/>
      <c r="L223" s="111" t="n"/>
      <c r="M223" s="195" t="n">
        <v>0</v>
      </c>
    </row>
    <row r="224" ht="15" customHeight="1">
      <c r="A224" s="107" t="inlineStr">
        <is>
          <t>000957</t>
        </is>
      </c>
      <c r="B224" s="107" t="inlineStr">
        <is>
          <t>000760</t>
        </is>
      </c>
      <c r="C224" s="107" t="inlineStr">
        <is>
          <t>CACHACA QUINTAL MEL E LIMAO 750ML</t>
        </is>
      </c>
      <c r="D224" s="107" t="n"/>
      <c r="E224" s="191" t="n">
        <v>1</v>
      </c>
      <c r="F224" s="192" t="n">
        <v>0</v>
      </c>
      <c r="G224" s="193" t="n">
        <v>0</v>
      </c>
      <c r="H224" s="192" t="n">
        <v>0</v>
      </c>
      <c r="I224" s="192" t="n">
        <v>0</v>
      </c>
      <c r="J224" s="107" t="n"/>
      <c r="K224" s="107" t="n"/>
      <c r="L224" s="107" t="n"/>
      <c r="M224" s="192" t="n">
        <v>0</v>
      </c>
    </row>
    <row r="225" ht="15" customHeight="1">
      <c r="A225" s="111" t="inlineStr">
        <is>
          <t>000958</t>
        </is>
      </c>
      <c r="B225" s="111" t="inlineStr">
        <is>
          <t>000758</t>
        </is>
      </c>
      <c r="C225" s="111" t="inlineStr">
        <is>
          <t>CACHACA QUINTAL PRATA 900ML</t>
        </is>
      </c>
      <c r="D225" s="111" t="n"/>
      <c r="E225" s="194" t="n">
        <v>0.1</v>
      </c>
      <c r="F225" s="195" t="n">
        <v>0</v>
      </c>
      <c r="G225" s="196" t="n">
        <v>0</v>
      </c>
      <c r="H225" s="195" t="n">
        <v>0</v>
      </c>
      <c r="I225" s="195" t="n">
        <v>0</v>
      </c>
      <c r="J225" s="111" t="n"/>
      <c r="K225" s="111" t="n"/>
      <c r="L225" s="111" t="n"/>
      <c r="M225" s="195" t="n">
        <v>0</v>
      </c>
    </row>
    <row r="226" ht="15" customHeight="1">
      <c r="A226" s="107" t="inlineStr">
        <is>
          <t>000959</t>
        </is>
      </c>
      <c r="B226" s="107" t="inlineStr">
        <is>
          <t>000759</t>
        </is>
      </c>
      <c r="C226" s="107" t="inlineStr">
        <is>
          <t>CACHACA QUINTAL OURO 965ML</t>
        </is>
      </c>
      <c r="D226" s="107" t="n"/>
      <c r="E226" s="191" t="n">
        <v>0.1</v>
      </c>
      <c r="F226" s="192" t="n">
        <v>0</v>
      </c>
      <c r="G226" s="193" t="n">
        <v>0</v>
      </c>
      <c r="H226" s="192" t="n">
        <v>0</v>
      </c>
      <c r="I226" s="192" t="n">
        <v>0</v>
      </c>
      <c r="J226" s="107" t="n"/>
      <c r="K226" s="107" t="n"/>
      <c r="L226" s="107" t="n"/>
      <c r="M226" s="192" t="n">
        <v>0</v>
      </c>
    </row>
    <row r="227" ht="15" customHeight="1">
      <c r="A227" s="111" t="inlineStr">
        <is>
          <t>000960</t>
        </is>
      </c>
      <c r="B227" s="111" t="inlineStr">
        <is>
          <t>000760</t>
        </is>
      </c>
      <c r="C227" s="111" t="inlineStr">
        <is>
          <t>CACHACA QUINTAL MEL E LIMAO 750ML</t>
        </is>
      </c>
      <c r="D227" s="111" t="n"/>
      <c r="E227" s="194" t="n">
        <v>0.1</v>
      </c>
      <c r="F227" s="195" t="n">
        <v>0</v>
      </c>
      <c r="G227" s="196" t="n">
        <v>0</v>
      </c>
      <c r="H227" s="195" t="n">
        <v>0</v>
      </c>
      <c r="I227" s="195" t="n">
        <v>0</v>
      </c>
      <c r="J227" s="111" t="n"/>
      <c r="K227" s="111" t="n"/>
      <c r="L227" s="111" t="n"/>
      <c r="M227" s="195" t="n">
        <v>0</v>
      </c>
    </row>
    <row r="228" ht="15" customHeight="1">
      <c r="A228" s="107" t="inlineStr">
        <is>
          <t>000962</t>
        </is>
      </c>
      <c r="B228" s="107" t="inlineStr">
        <is>
          <t>000318</t>
        </is>
      </c>
      <c r="C228" s="107" t="inlineStr">
        <is>
          <t>TONICA COMUM LATA</t>
        </is>
      </c>
      <c r="D228" s="107" t="n"/>
      <c r="E228" s="191" t="n">
        <v>0.15</v>
      </c>
      <c r="F228" s="192" t="n">
        <v>0</v>
      </c>
      <c r="G228" s="193" t="n">
        <v>0</v>
      </c>
      <c r="H228" s="192" t="n">
        <v>0</v>
      </c>
      <c r="I228" s="192" t="n">
        <v>0</v>
      </c>
      <c r="J228" s="107" t="n"/>
      <c r="K228" s="107" t="n"/>
      <c r="L228" s="107" t="n"/>
      <c r="M228" s="192" t="n">
        <v>0</v>
      </c>
    </row>
    <row r="229" ht="15" customHeight="1">
      <c r="A229" s="111" t="inlineStr">
        <is>
          <t>000962</t>
        </is>
      </c>
      <c r="B229" s="111" t="inlineStr">
        <is>
          <t>000474</t>
        </is>
      </c>
      <c r="C229" s="111" t="inlineStr">
        <is>
          <t>HORTELA GRANDE</t>
        </is>
      </c>
      <c r="D229" s="111" t="n"/>
      <c r="E229" s="194" t="n">
        <v>0.003</v>
      </c>
      <c r="F229" s="195" t="n">
        <v>0</v>
      </c>
      <c r="G229" s="196" t="n">
        <v>0</v>
      </c>
      <c r="H229" s="195" t="n">
        <v>0</v>
      </c>
      <c r="I229" s="195" t="n">
        <v>0</v>
      </c>
      <c r="J229" s="111" t="n"/>
      <c r="K229" s="111" t="n"/>
      <c r="L229" s="111" t="n"/>
      <c r="M229" s="195" t="n">
        <v>0</v>
      </c>
    </row>
    <row r="230" ht="15" customHeight="1">
      <c r="A230" s="107" t="inlineStr">
        <is>
          <t>000962</t>
        </is>
      </c>
      <c r="B230" s="107" t="inlineStr">
        <is>
          <t>000492</t>
        </is>
      </c>
      <c r="C230" s="107" t="inlineStr">
        <is>
          <t>LIMAO TAITI FRUTA</t>
        </is>
      </c>
      <c r="D230" s="107" t="n"/>
      <c r="E230" s="191" t="n">
        <v>0.02</v>
      </c>
      <c r="F230" s="192" t="n">
        <v>0</v>
      </c>
      <c r="G230" s="193" t="n">
        <v>0</v>
      </c>
      <c r="H230" s="192" t="n">
        <v>0</v>
      </c>
      <c r="I230" s="192" t="n">
        <v>0</v>
      </c>
      <c r="J230" s="107" t="n"/>
      <c r="K230" s="107" t="n"/>
      <c r="L230" s="107" t="n"/>
      <c r="M230" s="192" t="n">
        <v>0</v>
      </c>
    </row>
    <row r="231" ht="15" customHeight="1">
      <c r="A231" s="111" t="inlineStr">
        <is>
          <t>000962</t>
        </is>
      </c>
      <c r="B231" s="111" t="inlineStr">
        <is>
          <t>000590</t>
        </is>
      </c>
      <c r="C231" s="111" t="inlineStr">
        <is>
          <t>MORANGO FRUTA</t>
        </is>
      </c>
      <c r="D231" s="111" t="n"/>
      <c r="E231" s="194" t="n">
        <v>0.03</v>
      </c>
      <c r="F231" s="195" t="n">
        <v>0</v>
      </c>
      <c r="G231" s="196" t="n">
        <v>0</v>
      </c>
      <c r="H231" s="195" t="n">
        <v>0</v>
      </c>
      <c r="I231" s="195" t="n">
        <v>0</v>
      </c>
      <c r="J231" s="111" t="n"/>
      <c r="K231" s="111" t="n"/>
      <c r="L231" s="111" t="n"/>
      <c r="M231" s="195" t="n">
        <v>0</v>
      </c>
    </row>
    <row r="232" ht="15" customHeight="1">
      <c r="A232" s="107" t="inlineStr">
        <is>
          <t>000962</t>
        </is>
      </c>
      <c r="B232" s="107" t="inlineStr">
        <is>
          <t>001176</t>
        </is>
      </c>
      <c r="C232" s="107" t="inlineStr">
        <is>
          <t>ANIS ESTRELADO</t>
        </is>
      </c>
      <c r="D232" s="107" t="n"/>
      <c r="E232" s="191" t="n">
        <v>0.003</v>
      </c>
      <c r="F232" s="192" t="n">
        <v>0</v>
      </c>
      <c r="G232" s="193" t="n">
        <v>0</v>
      </c>
      <c r="H232" s="192" t="n">
        <v>0</v>
      </c>
      <c r="I232" s="192" t="n">
        <v>0</v>
      </c>
      <c r="J232" s="107" t="n"/>
      <c r="K232" s="107" t="n"/>
      <c r="L232" s="107" t="n"/>
      <c r="M232" s="192" t="n">
        <v>0</v>
      </c>
    </row>
    <row r="233" ht="15" customHeight="1">
      <c r="A233" s="111" t="inlineStr">
        <is>
          <t>000962</t>
        </is>
      </c>
      <c r="B233" s="111" t="inlineStr">
        <is>
          <t>009826</t>
        </is>
      </c>
      <c r="C233" s="111" t="inlineStr">
        <is>
          <t>XAROPE MORANGO 3LT</t>
        </is>
      </c>
      <c r="D233" s="111" t="n"/>
      <c r="E233" s="194" t="n">
        <v>0.04</v>
      </c>
      <c r="F233" s="195" t="n">
        <v>0</v>
      </c>
      <c r="G233" s="196" t="n">
        <v>0</v>
      </c>
      <c r="H233" s="195" t="n">
        <v>0</v>
      </c>
      <c r="I233" s="195" t="n">
        <v>0</v>
      </c>
      <c r="J233" s="111" t="n"/>
      <c r="K233" s="111" t="n"/>
      <c r="L233" s="111" t="n"/>
      <c r="M233" s="195" t="n">
        <v>0</v>
      </c>
    </row>
    <row r="234" ht="15" customHeight="1">
      <c r="A234" s="107" t="inlineStr">
        <is>
          <t>000966</t>
        </is>
      </c>
      <c r="B234" s="107" t="inlineStr">
        <is>
          <t>000339</t>
        </is>
      </c>
      <c r="C234" s="107" t="inlineStr">
        <is>
          <t>VODKA ABSOLUT NATURAL  1LT</t>
        </is>
      </c>
      <c r="D234" s="107" t="n"/>
      <c r="E234" s="191" t="n">
        <v>0.1</v>
      </c>
      <c r="F234" s="192" t="n">
        <v>0</v>
      </c>
      <c r="G234" s="193" t="n">
        <v>0</v>
      </c>
      <c r="H234" s="192" t="n">
        <v>0</v>
      </c>
      <c r="I234" s="192" t="n">
        <v>0</v>
      </c>
      <c r="J234" s="107" t="n"/>
      <c r="K234" s="107" t="n"/>
      <c r="L234" s="107" t="n"/>
      <c r="M234" s="192" t="n">
        <v>0</v>
      </c>
    </row>
    <row r="235" ht="15" customHeight="1">
      <c r="A235" s="111" t="inlineStr">
        <is>
          <t>000985</t>
        </is>
      </c>
      <c r="B235" s="111" t="inlineStr">
        <is>
          <t>000310</t>
        </is>
      </c>
      <c r="C235" s="111" t="inlineStr">
        <is>
          <t>CERVEJA ORIGINAL 600ML</t>
        </is>
      </c>
      <c r="D235" s="111" t="n"/>
      <c r="E235" s="194" t="n">
        <v>1</v>
      </c>
      <c r="F235" s="195" t="n">
        <v>0</v>
      </c>
      <c r="G235" s="196" t="n">
        <v>0</v>
      </c>
      <c r="H235" s="195" t="n">
        <v>0</v>
      </c>
      <c r="I235" s="195" t="n">
        <v>0</v>
      </c>
      <c r="J235" s="111" t="n"/>
      <c r="K235" s="111" t="n"/>
      <c r="L235" s="111" t="n"/>
      <c r="M235" s="195" t="n">
        <v>0</v>
      </c>
    </row>
    <row r="236" ht="15" customHeight="1">
      <c r="A236" s="107" t="inlineStr">
        <is>
          <t>001012</t>
        </is>
      </c>
      <c r="B236" s="107" t="inlineStr">
        <is>
          <t>000751</t>
        </is>
      </c>
      <c r="C236" s="107" t="inlineStr">
        <is>
          <t>ESPETO PANCETA</t>
        </is>
      </c>
      <c r="D236" s="107" t="n"/>
      <c r="E236" s="191" t="n">
        <v>7</v>
      </c>
      <c r="F236" s="192" t="n">
        <v>5019.77</v>
      </c>
      <c r="G236" s="193" t="n">
        <v>0</v>
      </c>
      <c r="H236" s="192" t="n">
        <v>0</v>
      </c>
      <c r="I236" s="192" t="n">
        <v>0</v>
      </c>
      <c r="J236" s="107" t="n"/>
      <c r="K236" s="107" t="n"/>
      <c r="L236" s="107" t="n"/>
      <c r="M236" s="192" t="n">
        <v>0</v>
      </c>
    </row>
    <row r="237" ht="15" customHeight="1">
      <c r="A237" s="111" t="inlineStr">
        <is>
          <t>001017</t>
        </is>
      </c>
      <c r="B237" s="111" t="inlineStr">
        <is>
          <t>001016</t>
        </is>
      </c>
      <c r="C237" s="111" t="inlineStr">
        <is>
          <t>CERVEJA BECKS 600 ML</t>
        </is>
      </c>
      <c r="D237" s="111" t="n"/>
      <c r="E237" s="194" t="n">
        <v>1</v>
      </c>
      <c r="F237" s="195" t="n">
        <v>0</v>
      </c>
      <c r="G237" s="196" t="n">
        <v>0</v>
      </c>
      <c r="H237" s="195" t="n">
        <v>0</v>
      </c>
      <c r="I237" s="195" t="n">
        <v>0</v>
      </c>
      <c r="J237" s="111" t="n"/>
      <c r="K237" s="111" t="n"/>
      <c r="L237" s="111" t="n"/>
      <c r="M237" s="195" t="n">
        <v>0</v>
      </c>
    </row>
    <row r="238" ht="15" customHeight="1">
      <c r="A238" s="107" t="inlineStr">
        <is>
          <t>001023</t>
        </is>
      </c>
      <c r="B238" s="107" t="inlineStr">
        <is>
          <t>000361</t>
        </is>
      </c>
      <c r="C238" s="107" t="inlineStr">
        <is>
          <t>PINGA 51 965ML</t>
        </is>
      </c>
      <c r="D238" s="107" t="n"/>
      <c r="E238" s="191" t="n">
        <v>0.1</v>
      </c>
      <c r="F238" s="192" t="n">
        <v>0</v>
      </c>
      <c r="G238" s="193" t="n">
        <v>0</v>
      </c>
      <c r="H238" s="192" t="n">
        <v>0</v>
      </c>
      <c r="I238" s="192" t="n">
        <v>0</v>
      </c>
      <c r="J238" s="107" t="n"/>
      <c r="K238" s="107" t="n"/>
      <c r="L238" s="107" t="n"/>
      <c r="M238" s="192" t="n">
        <v>0</v>
      </c>
    </row>
    <row r="239" ht="15" customHeight="1">
      <c r="A239" s="111" t="inlineStr">
        <is>
          <t>001024</t>
        </is>
      </c>
      <c r="B239" s="111" t="inlineStr">
        <is>
          <t>000344</t>
        </is>
      </c>
      <c r="C239" s="111" t="inlineStr">
        <is>
          <t>CHIVAS REGAL 12 ANOS 1LT</t>
        </is>
      </c>
      <c r="D239" s="111" t="n"/>
      <c r="E239" s="194" t="n">
        <v>0.05</v>
      </c>
      <c r="F239" s="195" t="n">
        <v>26.07</v>
      </c>
      <c r="G239" s="196" t="n">
        <v>0</v>
      </c>
      <c r="H239" s="195" t="n">
        <v>0</v>
      </c>
      <c r="I239" s="195" t="n">
        <v>0</v>
      </c>
      <c r="J239" s="111" t="n"/>
      <c r="K239" s="111" t="n"/>
      <c r="L239" s="111" t="n"/>
      <c r="M239" s="195" t="n">
        <v>0</v>
      </c>
    </row>
    <row r="240" ht="15" customHeight="1">
      <c r="A240" s="107" t="inlineStr">
        <is>
          <t>001027</t>
        </is>
      </c>
      <c r="B240" s="107" t="inlineStr">
        <is>
          <t>001189</t>
        </is>
      </c>
      <c r="C240" s="107" t="inlineStr">
        <is>
          <t>VODKA SMIRNOFF 1,750 ML</t>
        </is>
      </c>
      <c r="D240" s="107" t="n"/>
      <c r="E240" s="191" t="n">
        <v>0.1</v>
      </c>
      <c r="F240" s="192" t="n">
        <v>0</v>
      </c>
      <c r="G240" s="193" t="n">
        <v>0</v>
      </c>
      <c r="H240" s="192" t="n">
        <v>0</v>
      </c>
      <c r="I240" s="192" t="n">
        <v>0</v>
      </c>
      <c r="J240" s="107" t="n"/>
      <c r="K240" s="107" t="n"/>
      <c r="L240" s="107" t="n"/>
      <c r="M240" s="192" t="n">
        <v>0</v>
      </c>
    </row>
    <row r="241" ht="15" customHeight="1">
      <c r="A241" s="111" t="inlineStr">
        <is>
          <t>001029</t>
        </is>
      </c>
      <c r="B241" s="111" t="inlineStr">
        <is>
          <t>0001222</t>
        </is>
      </c>
      <c r="C241" s="111" t="inlineStr">
        <is>
          <t>ESPUMANTE SALTON BRUT 750ML</t>
        </is>
      </c>
      <c r="D241" s="111" t="n"/>
      <c r="E241" s="194" t="n">
        <v>0.12</v>
      </c>
      <c r="F241" s="195" t="n">
        <v>0</v>
      </c>
      <c r="G241" s="196" t="n">
        <v>0</v>
      </c>
      <c r="H241" s="195" t="n">
        <v>0</v>
      </c>
      <c r="I241" s="195" t="n">
        <v>0</v>
      </c>
      <c r="J241" s="111" t="n"/>
      <c r="K241" s="111" t="n"/>
      <c r="L241" s="111" t="n"/>
      <c r="M241" s="195" t="n">
        <v>0</v>
      </c>
    </row>
    <row r="242" ht="15" customHeight="1">
      <c r="A242" s="107" t="inlineStr">
        <is>
          <t>001029</t>
        </is>
      </c>
      <c r="B242" s="107" t="inlineStr">
        <is>
          <t>000334</t>
        </is>
      </c>
      <c r="C242" s="107" t="inlineStr">
        <is>
          <t>AGUA C/ GAS</t>
        </is>
      </c>
      <c r="D242" s="107" t="n"/>
      <c r="E242" s="191" t="n">
        <v>1</v>
      </c>
      <c r="F242" s="192" t="n">
        <v>214.18</v>
      </c>
      <c r="G242" s="193" t="n">
        <v>0</v>
      </c>
      <c r="H242" s="192" t="n">
        <v>0</v>
      </c>
      <c r="I242" s="192" t="n">
        <v>0</v>
      </c>
      <c r="J242" s="107" t="n"/>
      <c r="K242" s="107" t="n"/>
      <c r="L242" s="107" t="n"/>
      <c r="M242" s="192" t="n">
        <v>0</v>
      </c>
    </row>
    <row r="243" ht="15" customHeight="1">
      <c r="A243" s="111" t="inlineStr">
        <is>
          <t>001029</t>
        </is>
      </c>
      <c r="B243" s="111" t="inlineStr">
        <is>
          <t>000337</t>
        </is>
      </c>
      <c r="C243" s="111" t="inlineStr">
        <is>
          <t>APERITIVO APEROL 750ML</t>
        </is>
      </c>
      <c r="D243" s="111" t="n"/>
      <c r="E243" s="194" t="n">
        <v>0.05</v>
      </c>
      <c r="F243" s="195" t="n">
        <v>241.45</v>
      </c>
      <c r="G243" s="196" t="n">
        <v>0</v>
      </c>
      <c r="H243" s="195" t="n">
        <v>0</v>
      </c>
      <c r="I243" s="195" t="n">
        <v>0</v>
      </c>
      <c r="J243" s="111" t="n"/>
      <c r="K243" s="111" t="n"/>
      <c r="L243" s="111" t="n"/>
      <c r="M243" s="195" t="n">
        <v>0</v>
      </c>
    </row>
    <row r="244" ht="15" customHeight="1">
      <c r="A244" s="107" t="inlineStr">
        <is>
          <t>001029</t>
        </is>
      </c>
      <c r="B244" s="107" t="inlineStr">
        <is>
          <t>000619</t>
        </is>
      </c>
      <c r="C244" s="107" t="inlineStr">
        <is>
          <t>LIMAO SICILIANO</t>
        </is>
      </c>
      <c r="D244" s="107" t="n"/>
      <c r="E244" s="191" t="n">
        <v>0.05</v>
      </c>
      <c r="F244" s="192" t="n">
        <v>0</v>
      </c>
      <c r="G244" s="193" t="n">
        <v>0</v>
      </c>
      <c r="H244" s="192" t="n">
        <v>0</v>
      </c>
      <c r="I244" s="192" t="n">
        <v>0</v>
      </c>
      <c r="J244" s="107" t="n"/>
      <c r="K244" s="107" t="n"/>
      <c r="L244" s="107" t="n"/>
      <c r="M244" s="192" t="n">
        <v>0</v>
      </c>
    </row>
    <row r="245" ht="15" customHeight="1">
      <c r="A245" s="111" t="inlineStr">
        <is>
          <t>001030</t>
        </is>
      </c>
      <c r="B245" s="111" t="inlineStr">
        <is>
          <t>000697</t>
        </is>
      </c>
      <c r="C245" s="111" t="inlineStr">
        <is>
          <t>MONTILLA PRATA-CRISTAL</t>
        </is>
      </c>
      <c r="D245" s="111" t="n"/>
      <c r="E245" s="194" t="n">
        <v>0.06</v>
      </c>
      <c r="F245" s="195" t="n">
        <v>0</v>
      </c>
      <c r="G245" s="196" t="n">
        <v>0</v>
      </c>
      <c r="H245" s="195" t="n">
        <v>0</v>
      </c>
      <c r="I245" s="195" t="n">
        <v>0</v>
      </c>
      <c r="J245" s="111" t="n"/>
      <c r="K245" s="111" t="n"/>
      <c r="L245" s="111" t="n"/>
      <c r="M245" s="195" t="n">
        <v>0</v>
      </c>
    </row>
    <row r="246" ht="15" customHeight="1">
      <c r="A246" s="107" t="inlineStr">
        <is>
          <t>001031</t>
        </is>
      </c>
      <c r="B246" s="107" t="inlineStr">
        <is>
          <t>000345</t>
        </is>
      </c>
      <c r="C246" s="107" t="inlineStr">
        <is>
          <t>APERITIVO CAMPARI 998ML</t>
        </is>
      </c>
      <c r="D246" s="107" t="n"/>
      <c r="E246" s="191" t="n">
        <v>0.05</v>
      </c>
      <c r="F246" s="192" t="n">
        <v>0</v>
      </c>
      <c r="G246" s="193" t="n">
        <v>0</v>
      </c>
      <c r="H246" s="192" t="n">
        <v>0</v>
      </c>
      <c r="I246" s="192" t="n">
        <v>0</v>
      </c>
      <c r="J246" s="107" t="n"/>
      <c r="K246" s="107" t="n"/>
      <c r="L246" s="107" t="n"/>
      <c r="M246" s="192" t="n">
        <v>0</v>
      </c>
    </row>
    <row r="247" ht="15" customHeight="1">
      <c r="A247" s="111" t="inlineStr">
        <is>
          <t>001032</t>
        </is>
      </c>
      <c r="B247" s="111" t="inlineStr">
        <is>
          <t>000343</t>
        </is>
      </c>
      <c r="C247" s="111" t="inlineStr">
        <is>
          <t>CACHACA SAO FRANCISCO 970ML</t>
        </is>
      </c>
      <c r="D247" s="111" t="n"/>
      <c r="E247" s="194" t="n">
        <v>0.1</v>
      </c>
      <c r="F247" s="195" t="n">
        <v>0</v>
      </c>
      <c r="G247" s="196" t="n">
        <v>0</v>
      </c>
      <c r="H247" s="195" t="n">
        <v>0</v>
      </c>
      <c r="I247" s="195" t="n">
        <v>0</v>
      </c>
      <c r="J247" s="111" t="n"/>
      <c r="K247" s="111" t="n"/>
      <c r="L247" s="111" t="n"/>
      <c r="M247" s="195" t="n">
        <v>0</v>
      </c>
    </row>
    <row r="248" ht="15" customHeight="1">
      <c r="A248" s="107" t="inlineStr">
        <is>
          <t>001037</t>
        </is>
      </c>
      <c r="B248" s="107" t="inlineStr">
        <is>
          <t>000339</t>
        </is>
      </c>
      <c r="C248" s="107" t="inlineStr">
        <is>
          <t>VODKA ABSOLUT NATURAL  1LT</t>
        </is>
      </c>
      <c r="D248" s="107" t="n"/>
      <c r="E248" s="191" t="n">
        <v>0.05</v>
      </c>
      <c r="F248" s="192" t="n">
        <v>0</v>
      </c>
      <c r="G248" s="193" t="n">
        <v>0</v>
      </c>
      <c r="H248" s="192" t="n">
        <v>0</v>
      </c>
      <c r="I248" s="192" t="n">
        <v>0</v>
      </c>
      <c r="J248" s="107" t="n"/>
      <c r="K248" s="107" t="n"/>
      <c r="L248" s="107" t="n"/>
      <c r="M248" s="192" t="n">
        <v>0</v>
      </c>
    </row>
    <row r="249" ht="15" customHeight="1">
      <c r="A249" s="111" t="inlineStr">
        <is>
          <t>001038</t>
        </is>
      </c>
      <c r="B249" s="111" t="inlineStr">
        <is>
          <t>000365</t>
        </is>
      </c>
      <c r="C249" s="111" t="inlineStr">
        <is>
          <t>TEQUILA JOSE CURVO OURO 750ML</t>
        </is>
      </c>
      <c r="D249" s="111" t="n"/>
      <c r="E249" s="194" t="n">
        <v>0.05</v>
      </c>
      <c r="F249" s="195" t="n">
        <v>62.88</v>
      </c>
      <c r="G249" s="196" t="n">
        <v>0</v>
      </c>
      <c r="H249" s="195" t="n">
        <v>0</v>
      </c>
      <c r="I249" s="195" t="n">
        <v>0</v>
      </c>
      <c r="J249" s="111" t="n"/>
      <c r="K249" s="111" t="n"/>
      <c r="L249" s="111" t="n"/>
      <c r="M249" s="195" t="n">
        <v>0</v>
      </c>
    </row>
    <row r="250" ht="15" customHeight="1">
      <c r="A250" s="107" t="inlineStr">
        <is>
          <t>001054</t>
        </is>
      </c>
      <c r="B250" s="107" t="inlineStr">
        <is>
          <t>000414</t>
        </is>
      </c>
      <c r="C250" s="107" t="inlineStr">
        <is>
          <t>PIMENTA DO REINO MOIDA</t>
        </is>
      </c>
      <c r="D250" s="107" t="n"/>
      <c r="E250" s="191" t="n">
        <v>0.001</v>
      </c>
      <c r="F250" s="192" t="n">
        <v>0</v>
      </c>
      <c r="G250" s="193" t="n">
        <v>0</v>
      </c>
      <c r="H250" s="192" t="n">
        <v>0</v>
      </c>
      <c r="I250" s="192" t="n">
        <v>0</v>
      </c>
      <c r="J250" s="107" t="n"/>
      <c r="K250" s="107" t="n"/>
      <c r="L250" s="107" t="n"/>
      <c r="M250" s="192" t="n">
        <v>0</v>
      </c>
    </row>
    <row r="251" ht="15" customHeight="1">
      <c r="A251" s="111" t="inlineStr">
        <is>
          <t>001054</t>
        </is>
      </c>
      <c r="B251" s="111" t="inlineStr">
        <is>
          <t>000465</t>
        </is>
      </c>
      <c r="C251" s="111" t="inlineStr">
        <is>
          <t>BATATA HOLANDESA</t>
        </is>
      </c>
      <c r="D251" s="111" t="n"/>
      <c r="E251" s="194" t="n">
        <v>0.1</v>
      </c>
      <c r="F251" s="195" t="n">
        <v>0</v>
      </c>
      <c r="G251" s="196" t="n">
        <v>0</v>
      </c>
      <c r="H251" s="195" t="n">
        <v>0</v>
      </c>
      <c r="I251" s="195" t="n">
        <v>0</v>
      </c>
      <c r="J251" s="111" t="n"/>
      <c r="K251" s="111" t="n"/>
      <c r="L251" s="111" t="n"/>
      <c r="M251" s="195" t="n">
        <v>0</v>
      </c>
    </row>
    <row r="252" ht="15" customHeight="1">
      <c r="A252" s="107" t="inlineStr">
        <is>
          <t>001054</t>
        </is>
      </c>
      <c r="B252" s="107" t="inlineStr">
        <is>
          <t>000469</t>
        </is>
      </c>
      <c r="C252" s="107" t="inlineStr">
        <is>
          <t>CEBOLINHA</t>
        </is>
      </c>
      <c r="D252" s="107" t="n"/>
      <c r="E252" s="191" t="n">
        <v>0.01</v>
      </c>
      <c r="F252" s="192" t="n">
        <v>0</v>
      </c>
      <c r="G252" s="193" t="n">
        <v>0</v>
      </c>
      <c r="H252" s="192" t="n">
        <v>0</v>
      </c>
      <c r="I252" s="192" t="n">
        <v>0</v>
      </c>
      <c r="J252" s="107" t="n"/>
      <c r="K252" s="107" t="n"/>
      <c r="L252" s="107" t="n"/>
      <c r="M252" s="192" t="n">
        <v>0</v>
      </c>
    </row>
    <row r="253" ht="15" customHeight="1">
      <c r="A253" s="111" t="inlineStr">
        <is>
          <t>001054</t>
        </is>
      </c>
      <c r="B253" s="111" t="inlineStr">
        <is>
          <t>000484</t>
        </is>
      </c>
      <c r="C253" s="111" t="inlineStr">
        <is>
          <t>SALSA LISA INDUSTRIAL</t>
        </is>
      </c>
      <c r="D253" s="111" t="n"/>
      <c r="E253" s="194" t="n">
        <v>0.015</v>
      </c>
      <c r="F253" s="195" t="n">
        <v>0</v>
      </c>
      <c r="G253" s="196" t="n">
        <v>0</v>
      </c>
      <c r="H253" s="195" t="n">
        <v>0</v>
      </c>
      <c r="I253" s="195" t="n">
        <v>0</v>
      </c>
      <c r="J253" s="111" t="n"/>
      <c r="K253" s="111" t="n"/>
      <c r="L253" s="111" t="n"/>
      <c r="M253" s="195" t="n">
        <v>0</v>
      </c>
    </row>
    <row r="254" ht="15" customHeight="1">
      <c r="A254" s="107" t="inlineStr">
        <is>
          <t>001054</t>
        </is>
      </c>
      <c r="B254" s="107" t="inlineStr">
        <is>
          <t>000614</t>
        </is>
      </c>
      <c r="C254" s="107" t="inlineStr">
        <is>
          <t>SAL REFINADO</t>
        </is>
      </c>
      <c r="D254" s="107" t="n"/>
      <c r="E254" s="191" t="n">
        <v>0.002</v>
      </c>
      <c r="F254" s="192" t="n">
        <v>0</v>
      </c>
      <c r="G254" s="193" t="n">
        <v>0</v>
      </c>
      <c r="H254" s="192" t="n">
        <v>0</v>
      </c>
      <c r="I254" s="192" t="n">
        <v>0</v>
      </c>
      <c r="J254" s="107" t="n"/>
      <c r="K254" s="107" t="n"/>
      <c r="L254" s="107" t="n"/>
      <c r="M254" s="192" t="n">
        <v>0</v>
      </c>
    </row>
    <row r="255" ht="15" customHeight="1">
      <c r="A255" s="111" t="inlineStr">
        <is>
          <t>001056</t>
        </is>
      </c>
      <c r="B255" s="111" t="inlineStr">
        <is>
          <t>000374</t>
        </is>
      </c>
      <c r="C255" s="111" t="inlineStr">
        <is>
          <t>ACUCAR REFINADO UNIAO</t>
        </is>
      </c>
      <c r="D255" s="111" t="n"/>
      <c r="E255" s="194" t="n">
        <v>0.02</v>
      </c>
      <c r="F255" s="195" t="n">
        <v>0</v>
      </c>
      <c r="G255" s="196" t="n">
        <v>0</v>
      </c>
      <c r="H255" s="195" t="n">
        <v>0</v>
      </c>
      <c r="I255" s="195" t="n">
        <v>0</v>
      </c>
      <c r="J255" s="111" t="n"/>
      <c r="K255" s="111" t="n"/>
      <c r="L255" s="111" t="n"/>
      <c r="M255" s="195" t="n">
        <v>0</v>
      </c>
    </row>
    <row r="256" ht="15" customHeight="1">
      <c r="A256" s="107" t="inlineStr">
        <is>
          <t>001056</t>
        </is>
      </c>
      <c r="B256" s="107" t="inlineStr">
        <is>
          <t>000452</t>
        </is>
      </c>
      <c r="C256" s="107" t="inlineStr">
        <is>
          <t>CANELA EM PO</t>
        </is>
      </c>
      <c r="D256" s="107" t="n"/>
      <c r="E256" s="191" t="n">
        <v>0.005</v>
      </c>
      <c r="F256" s="192" t="n">
        <v>0</v>
      </c>
      <c r="G256" s="193" t="n">
        <v>0</v>
      </c>
      <c r="H256" s="192" t="n">
        <v>0</v>
      </c>
      <c r="I256" s="192" t="n">
        <v>0</v>
      </c>
      <c r="J256" s="107" t="n"/>
      <c r="K256" s="107" t="n"/>
      <c r="L256" s="107" t="n"/>
      <c r="M256" s="192" t="n">
        <v>0</v>
      </c>
    </row>
    <row r="257" ht="15" customHeight="1">
      <c r="A257" s="111" t="inlineStr">
        <is>
          <t>001056</t>
        </is>
      </c>
      <c r="B257" s="111" t="inlineStr">
        <is>
          <t>001044</t>
        </is>
      </c>
      <c r="C257" s="111" t="inlineStr">
        <is>
          <t>MINI CHURROS</t>
        </is>
      </c>
      <c r="D257" s="111" t="n"/>
      <c r="E257" s="194" t="n">
        <v>4</v>
      </c>
      <c r="F257" s="195" t="n">
        <v>532.02</v>
      </c>
      <c r="G257" s="196" t="n">
        <v>0</v>
      </c>
      <c r="H257" s="195" t="n">
        <v>0</v>
      </c>
      <c r="I257" s="195" t="n">
        <v>0</v>
      </c>
      <c r="J257" s="111" t="n"/>
      <c r="K257" s="111" t="n"/>
      <c r="L257" s="111" t="n"/>
      <c r="M257" s="195" t="n">
        <v>0</v>
      </c>
    </row>
    <row r="258" ht="15" customHeight="1">
      <c r="A258" s="107" t="inlineStr">
        <is>
          <t>001069</t>
        </is>
      </c>
      <c r="B258" s="107" t="inlineStr">
        <is>
          <t>001050</t>
        </is>
      </c>
      <c r="C258" s="107" t="inlineStr">
        <is>
          <t>MINI PASTEL DE CARNE</t>
        </is>
      </c>
      <c r="D258" s="107" t="inlineStr">
        <is>
          <t>001</t>
        </is>
      </c>
      <c r="E258" s="191" t="n">
        <v>3</v>
      </c>
      <c r="F258" s="192" t="n">
        <v>171.34</v>
      </c>
      <c r="G258" s="193" t="n">
        <v>0</v>
      </c>
      <c r="H258" s="192" t="n">
        <v>0</v>
      </c>
      <c r="I258" s="192" t="n">
        <v>0</v>
      </c>
      <c r="J258" s="107" t="n"/>
      <c r="K258" s="107" t="n"/>
      <c r="L258" s="107" t="n"/>
      <c r="M258" s="192" t="n">
        <v>0</v>
      </c>
    </row>
    <row r="259" ht="15" customHeight="1">
      <c r="A259" s="111" t="inlineStr">
        <is>
          <t>001069</t>
        </is>
      </c>
      <c r="B259" s="111" t="inlineStr">
        <is>
          <t>001051</t>
        </is>
      </c>
      <c r="C259" s="111" t="inlineStr">
        <is>
          <t>MINI PASTEL DE QUEIJO</t>
        </is>
      </c>
      <c r="D259" s="111" t="inlineStr">
        <is>
          <t>002</t>
        </is>
      </c>
      <c r="E259" s="194" t="n">
        <v>2</v>
      </c>
      <c r="F259" s="195" t="n">
        <v>86.72</v>
      </c>
      <c r="G259" s="196" t="n">
        <v>0</v>
      </c>
      <c r="H259" s="195" t="n">
        <v>0</v>
      </c>
      <c r="I259" s="195" t="n">
        <v>0</v>
      </c>
      <c r="J259" s="111" t="n"/>
      <c r="K259" s="111" t="n"/>
      <c r="L259" s="111" t="n"/>
      <c r="M259" s="195" t="n">
        <v>0</v>
      </c>
    </row>
    <row r="260" ht="15" customHeight="1">
      <c r="A260" s="107" t="inlineStr">
        <is>
          <t>001070</t>
        </is>
      </c>
      <c r="B260" s="107" t="inlineStr">
        <is>
          <t>000445</t>
        </is>
      </c>
      <c r="C260" s="107" t="inlineStr">
        <is>
          <t>TOLETE DE PUPUNHA 1,8KG</t>
        </is>
      </c>
      <c r="D260" s="107" t="n"/>
      <c r="E260" s="191" t="n">
        <v>0.11</v>
      </c>
      <c r="F260" s="192" t="n">
        <v>0</v>
      </c>
      <c r="G260" s="193" t="n">
        <v>0</v>
      </c>
      <c r="H260" s="192" t="n">
        <v>0</v>
      </c>
      <c r="I260" s="192" t="n">
        <v>0</v>
      </c>
      <c r="J260" s="107" t="n"/>
      <c r="K260" s="107" t="n"/>
      <c r="L260" s="107" t="n"/>
      <c r="M260" s="192" t="n">
        <v>0</v>
      </c>
    </row>
    <row r="261" ht="15" customHeight="1">
      <c r="A261" s="111" t="inlineStr">
        <is>
          <t>001070</t>
        </is>
      </c>
      <c r="B261" s="111" t="inlineStr">
        <is>
          <t>000614</t>
        </is>
      </c>
      <c r="C261" s="111" t="inlineStr">
        <is>
          <t>SAL REFINADO</t>
        </is>
      </c>
      <c r="D261" s="111" t="n"/>
      <c r="E261" s="194" t="n">
        <v>0.001</v>
      </c>
      <c r="F261" s="195" t="n">
        <v>0</v>
      </c>
      <c r="G261" s="196" t="n">
        <v>0</v>
      </c>
      <c r="H261" s="195" t="n">
        <v>0</v>
      </c>
      <c r="I261" s="195" t="n">
        <v>0</v>
      </c>
      <c r="J261" s="111" t="n"/>
      <c r="K261" s="111" t="n"/>
      <c r="L261" s="111" t="n"/>
      <c r="M261" s="195" t="n">
        <v>0</v>
      </c>
    </row>
    <row r="262" ht="15" customHeight="1">
      <c r="A262" s="107" t="inlineStr">
        <is>
          <t>001070</t>
        </is>
      </c>
      <c r="B262" s="107" t="inlineStr">
        <is>
          <t>000667</t>
        </is>
      </c>
      <c r="C262" s="107" t="inlineStr">
        <is>
          <t>TOMILHO</t>
        </is>
      </c>
      <c r="D262" s="107" t="n"/>
      <c r="E262" s="191" t="n">
        <v>0.005</v>
      </c>
      <c r="F262" s="192" t="n">
        <v>0</v>
      </c>
      <c r="G262" s="193" t="n">
        <v>0</v>
      </c>
      <c r="H262" s="192" t="n">
        <v>0</v>
      </c>
      <c r="I262" s="192" t="n">
        <v>0</v>
      </c>
      <c r="J262" s="107" t="n"/>
      <c r="K262" s="107" t="n"/>
      <c r="L262" s="107" t="n"/>
      <c r="M262" s="192" t="n">
        <v>0</v>
      </c>
    </row>
    <row r="263" ht="15" customHeight="1">
      <c r="A263" s="111" t="inlineStr">
        <is>
          <t>001072</t>
        </is>
      </c>
      <c r="B263" s="111" t="inlineStr">
        <is>
          <t>000290</t>
        </is>
      </c>
      <c r="C263" s="111" t="inlineStr">
        <is>
          <t>ESPETO COSTELINHA BOVINA</t>
        </is>
      </c>
      <c r="D263" s="111" t="n"/>
      <c r="E263" s="194" t="n">
        <v>1</v>
      </c>
      <c r="F263" s="195" t="n">
        <v>0</v>
      </c>
      <c r="G263" s="196" t="n">
        <v>0</v>
      </c>
      <c r="H263" s="195" t="n">
        <v>0</v>
      </c>
      <c r="I263" s="195" t="n">
        <v>0</v>
      </c>
      <c r="J263" s="111" t="n"/>
      <c r="K263" s="111" t="n"/>
      <c r="L263" s="111" t="n"/>
      <c r="M263" s="195" t="n">
        <v>0</v>
      </c>
    </row>
    <row r="264" ht="15" customHeight="1">
      <c r="A264" s="107" t="inlineStr">
        <is>
          <t>001078</t>
        </is>
      </c>
      <c r="B264" s="107" t="inlineStr">
        <is>
          <t>000318</t>
        </is>
      </c>
      <c r="C264" s="107" t="inlineStr">
        <is>
          <t>TONICA COMUM LATA</t>
        </is>
      </c>
      <c r="D264" s="107" t="n"/>
      <c r="E264" s="191" t="n">
        <v>0.5</v>
      </c>
      <c r="F264" s="192" t="n">
        <v>0</v>
      </c>
      <c r="G264" s="193" t="n">
        <v>0</v>
      </c>
      <c r="H264" s="192" t="n">
        <v>0</v>
      </c>
      <c r="I264" s="192" t="n">
        <v>0</v>
      </c>
      <c r="J264" s="107" t="n"/>
      <c r="K264" s="107" t="n"/>
      <c r="L264" s="107" t="n"/>
      <c r="M264" s="192" t="n">
        <v>0</v>
      </c>
    </row>
    <row r="265" ht="15" customHeight="1">
      <c r="A265" s="111" t="inlineStr">
        <is>
          <t>001078</t>
        </is>
      </c>
      <c r="B265" s="111" t="inlineStr">
        <is>
          <t>000492</t>
        </is>
      </c>
      <c r="C265" s="111" t="inlineStr">
        <is>
          <t>LIMAO TAITI FRUTA</t>
        </is>
      </c>
      <c r="D265" s="111" t="n"/>
      <c r="E265" s="194" t="n">
        <v>0.05</v>
      </c>
      <c r="F265" s="195" t="n">
        <v>0</v>
      </c>
      <c r="G265" s="196" t="n">
        <v>0</v>
      </c>
      <c r="H265" s="195" t="n">
        <v>0</v>
      </c>
      <c r="I265" s="195" t="n">
        <v>0</v>
      </c>
      <c r="J265" s="111" t="n"/>
      <c r="K265" s="111" t="n"/>
      <c r="L265" s="111" t="n"/>
      <c r="M265" s="195" t="n">
        <v>0</v>
      </c>
    </row>
    <row r="266" ht="15" customHeight="1">
      <c r="A266" s="107" t="inlineStr">
        <is>
          <t>001078</t>
        </is>
      </c>
      <c r="B266" s="107" t="inlineStr">
        <is>
          <t>000668</t>
        </is>
      </c>
      <c r="C266" s="107" t="inlineStr">
        <is>
          <t>ALECRIM</t>
        </is>
      </c>
      <c r="D266" s="107" t="n"/>
      <c r="E266" s="191" t="n">
        <v>0.015</v>
      </c>
      <c r="F266" s="192" t="n">
        <v>0</v>
      </c>
      <c r="G266" s="193" t="n">
        <v>0</v>
      </c>
      <c r="H266" s="192" t="n">
        <v>0</v>
      </c>
      <c r="I266" s="192" t="n">
        <v>0</v>
      </c>
      <c r="J266" s="107" t="n"/>
      <c r="K266" s="107" t="n"/>
      <c r="L266" s="107" t="n"/>
      <c r="M266" s="192" t="n">
        <v>0</v>
      </c>
    </row>
    <row r="267" ht="15" customHeight="1">
      <c r="A267" s="111" t="inlineStr">
        <is>
          <t>001078</t>
        </is>
      </c>
      <c r="B267" s="111" t="inlineStr">
        <is>
          <t>001173</t>
        </is>
      </c>
      <c r="C267" s="111" t="inlineStr">
        <is>
          <t>ZIMBRO</t>
        </is>
      </c>
      <c r="D267" s="111" t="n"/>
      <c r="E267" s="194" t="n">
        <v>0.003</v>
      </c>
      <c r="F267" s="195" t="n">
        <v>0</v>
      </c>
      <c r="G267" s="196" t="n">
        <v>0</v>
      </c>
      <c r="H267" s="195" t="n">
        <v>0</v>
      </c>
      <c r="I267" s="195" t="n">
        <v>0</v>
      </c>
      <c r="J267" s="111" t="n"/>
      <c r="K267" s="111" t="n"/>
      <c r="L267" s="111" t="n"/>
      <c r="M267" s="195" t="n">
        <v>0</v>
      </c>
    </row>
    <row r="268" ht="15" customHeight="1">
      <c r="A268" s="107" t="inlineStr">
        <is>
          <t>001081</t>
        </is>
      </c>
      <c r="B268" s="107" t="inlineStr">
        <is>
          <t>000453</t>
        </is>
      </c>
      <c r="C268" s="107" t="inlineStr">
        <is>
          <t>CANELA EM PAU (4CM)</t>
        </is>
      </c>
      <c r="D268" s="107" t="n"/>
      <c r="E268" s="191" t="n">
        <v>0.01</v>
      </c>
      <c r="F268" s="192" t="n">
        <v>0</v>
      </c>
      <c r="G268" s="193" t="n">
        <v>0</v>
      </c>
      <c r="H268" s="192" t="n">
        <v>0</v>
      </c>
      <c r="I268" s="192" t="n">
        <v>0</v>
      </c>
      <c r="J268" s="107" t="n"/>
      <c r="K268" s="107" t="n"/>
      <c r="L268" s="107" t="n"/>
      <c r="M268" s="192" t="n">
        <v>0</v>
      </c>
    </row>
    <row r="269" ht="15" customHeight="1">
      <c r="A269" s="111" t="inlineStr">
        <is>
          <t>001081</t>
        </is>
      </c>
      <c r="B269" s="111" t="inlineStr">
        <is>
          <t>000490</t>
        </is>
      </c>
      <c r="C269" s="111" t="inlineStr">
        <is>
          <t>LARANJA PERA FRUTA</t>
        </is>
      </c>
      <c r="D269" s="111" t="n"/>
      <c r="E269" s="194" t="n">
        <v>0.12</v>
      </c>
      <c r="F269" s="195" t="n">
        <v>0</v>
      </c>
      <c r="G269" s="196" t="n">
        <v>0</v>
      </c>
      <c r="H269" s="195" t="n">
        <v>0</v>
      </c>
      <c r="I269" s="195" t="n">
        <v>0</v>
      </c>
      <c r="J269" s="111" t="n"/>
      <c r="K269" s="111" t="n"/>
      <c r="L269" s="111" t="n"/>
      <c r="M269" s="195" t="n">
        <v>0</v>
      </c>
    </row>
    <row r="270" ht="15" customHeight="1">
      <c r="A270" s="107" t="inlineStr">
        <is>
          <t>001081</t>
        </is>
      </c>
      <c r="B270" s="107" t="inlineStr">
        <is>
          <t>000749</t>
        </is>
      </c>
      <c r="C270" s="107" t="inlineStr">
        <is>
          <t>RED BULL TROPICAL</t>
        </is>
      </c>
      <c r="D270" s="107" t="n"/>
      <c r="E270" s="191" t="n">
        <v>1</v>
      </c>
      <c r="F270" s="192" t="n">
        <v>0</v>
      </c>
      <c r="G270" s="193" t="n">
        <v>0</v>
      </c>
      <c r="H270" s="192" t="n">
        <v>0</v>
      </c>
      <c r="I270" s="192" t="n">
        <v>0</v>
      </c>
      <c r="J270" s="107" t="n"/>
      <c r="K270" s="107" t="n"/>
      <c r="L270" s="107" t="n"/>
      <c r="M270" s="192" t="n">
        <v>0</v>
      </c>
    </row>
    <row r="271" ht="15" customHeight="1">
      <c r="A271" s="111" t="inlineStr">
        <is>
          <t>001082</t>
        </is>
      </c>
      <c r="B271" s="111" t="inlineStr">
        <is>
          <t>000292</t>
        </is>
      </c>
      <c r="C271" s="111" t="inlineStr">
        <is>
          <t>ESPETO TULIPA</t>
        </is>
      </c>
      <c r="D271" s="111" t="n"/>
      <c r="E271" s="194" t="n">
        <v>1</v>
      </c>
      <c r="F271" s="195" t="n">
        <v>0</v>
      </c>
      <c r="G271" s="196" t="n">
        <v>0</v>
      </c>
      <c r="H271" s="195" t="n">
        <v>0</v>
      </c>
      <c r="I271" s="195" t="n">
        <v>0</v>
      </c>
      <c r="J271" s="111" t="n"/>
      <c r="K271" s="111" t="n"/>
      <c r="L271" s="111" t="n"/>
      <c r="M271" s="195" t="n">
        <v>0</v>
      </c>
    </row>
    <row r="272" ht="15" customHeight="1">
      <c r="A272" s="107" t="inlineStr">
        <is>
          <t>001108</t>
        </is>
      </c>
      <c r="B272" s="107" t="inlineStr">
        <is>
          <t>000760</t>
        </is>
      </c>
      <c r="C272" s="107" t="inlineStr">
        <is>
          <t>CACHACA QUINTAL MEL E LIMAO 750ML</t>
        </is>
      </c>
      <c r="D272" s="107" t="n"/>
      <c r="E272" s="191" t="n">
        <v>0.73</v>
      </c>
      <c r="F272" s="192" t="n">
        <v>0</v>
      </c>
      <c r="G272" s="193" t="n">
        <v>0</v>
      </c>
      <c r="H272" s="192" t="n">
        <v>0</v>
      </c>
      <c r="I272" s="192" t="n">
        <v>0</v>
      </c>
      <c r="J272" s="107" t="n"/>
      <c r="K272" s="107" t="n"/>
      <c r="L272" s="107" t="n"/>
      <c r="M272" s="192" t="n">
        <v>0</v>
      </c>
    </row>
    <row r="273" ht="15" customHeight="1">
      <c r="A273" s="111" t="inlineStr">
        <is>
          <t>001128</t>
        </is>
      </c>
      <c r="B273" s="111" t="inlineStr">
        <is>
          <t>001161</t>
        </is>
      </c>
      <c r="C273" s="111" t="inlineStr">
        <is>
          <t>GIN TANQUERAY 750ML</t>
        </is>
      </c>
      <c r="D273" s="111" t="n"/>
      <c r="E273" s="194" t="n">
        <v>0.75</v>
      </c>
      <c r="F273" s="195" t="n">
        <v>0</v>
      </c>
      <c r="G273" s="196" t="n">
        <v>0</v>
      </c>
      <c r="H273" s="195" t="n">
        <v>0</v>
      </c>
      <c r="I273" s="195" t="n">
        <v>0</v>
      </c>
      <c r="J273" s="111" t="n"/>
      <c r="K273" s="111" t="n"/>
      <c r="L273" s="111" t="n"/>
      <c r="M273" s="195" t="n">
        <v>0</v>
      </c>
    </row>
    <row r="274" ht="15" customHeight="1">
      <c r="A274" s="107" t="inlineStr">
        <is>
          <t>001145</t>
        </is>
      </c>
      <c r="B274" s="107" t="inlineStr">
        <is>
          <t>001136</t>
        </is>
      </c>
      <c r="C274" s="107" t="inlineStr">
        <is>
          <t>WHISKY JOHNNIE WALKER RED LABEL 1LT</t>
        </is>
      </c>
      <c r="D274" s="107" t="n"/>
      <c r="E274" s="191" t="n">
        <v>0.05</v>
      </c>
      <c r="F274" s="192" t="n">
        <v>9.5</v>
      </c>
      <c r="G274" s="193" t="n">
        <v>0</v>
      </c>
      <c r="H274" s="192" t="n">
        <v>0</v>
      </c>
      <c r="I274" s="192" t="n">
        <v>0</v>
      </c>
      <c r="J274" s="107" t="n"/>
      <c r="K274" s="107" t="n"/>
      <c r="L274" s="107" t="n"/>
      <c r="M274" s="192" t="n">
        <v>0</v>
      </c>
    </row>
    <row r="275" ht="15" customHeight="1">
      <c r="A275" s="111" t="inlineStr">
        <is>
          <t>001146</t>
        </is>
      </c>
      <c r="B275" s="111" t="inlineStr">
        <is>
          <t>001137</t>
        </is>
      </c>
      <c r="C275" s="111" t="inlineStr">
        <is>
          <t>WHISKY JOHNNIE WALKER BLACK LABEL 1LT</t>
        </is>
      </c>
      <c r="D275" s="111" t="n"/>
      <c r="E275" s="194" t="n">
        <v>0.05</v>
      </c>
      <c r="F275" s="195" t="n">
        <v>22.62</v>
      </c>
      <c r="G275" s="196" t="n">
        <v>0</v>
      </c>
      <c r="H275" s="195" t="n">
        <v>0</v>
      </c>
      <c r="I275" s="195" t="n">
        <v>0</v>
      </c>
      <c r="J275" s="111" t="n"/>
      <c r="K275" s="111" t="n"/>
      <c r="L275" s="111" t="n"/>
      <c r="M275" s="195" t="n">
        <v>0</v>
      </c>
    </row>
    <row r="276" ht="15" customHeight="1">
      <c r="A276" s="107" t="inlineStr">
        <is>
          <t>001147</t>
        </is>
      </c>
      <c r="B276" s="107" t="inlineStr">
        <is>
          <t>001139</t>
        </is>
      </c>
      <c r="C276" s="107" t="inlineStr">
        <is>
          <t>ESPUMANTE CHANDON ROSE 750 ML</t>
        </is>
      </c>
      <c r="D276" s="107" t="n"/>
      <c r="E276" s="191" t="n">
        <v>0.75</v>
      </c>
      <c r="F276" s="192" t="n">
        <v>0</v>
      </c>
      <c r="G276" s="193" t="n">
        <v>0</v>
      </c>
      <c r="H276" s="192" t="n">
        <v>0</v>
      </c>
      <c r="I276" s="192" t="n">
        <v>0</v>
      </c>
      <c r="J276" s="107" t="n"/>
      <c r="K276" s="107" t="n"/>
      <c r="L276" s="107" t="n"/>
      <c r="M276" s="192" t="n">
        <v>0</v>
      </c>
    </row>
    <row r="277" ht="15" customHeight="1">
      <c r="A277" s="111" t="inlineStr">
        <is>
          <t>001149</t>
        </is>
      </c>
      <c r="B277" s="111" t="inlineStr">
        <is>
          <t>001136</t>
        </is>
      </c>
      <c r="C277" s="111" t="inlineStr">
        <is>
          <t>WHISKY JOHNNIE WALKER RED LABEL 1LT</t>
        </is>
      </c>
      <c r="D277" s="111" t="n"/>
      <c r="E277" s="194" t="n">
        <v>1</v>
      </c>
      <c r="F277" s="195" t="n">
        <v>0</v>
      </c>
      <c r="G277" s="196" t="n">
        <v>0</v>
      </c>
      <c r="H277" s="195" t="n">
        <v>0</v>
      </c>
      <c r="I277" s="195" t="n">
        <v>0</v>
      </c>
      <c r="J277" s="111" t="n"/>
      <c r="K277" s="111" t="n"/>
      <c r="L277" s="111" t="n"/>
      <c r="M277" s="195" t="n">
        <v>0</v>
      </c>
    </row>
    <row r="278" ht="15" customHeight="1">
      <c r="A278" s="107" t="inlineStr">
        <is>
          <t>001150</t>
        </is>
      </c>
      <c r="B278" s="107" t="inlineStr">
        <is>
          <t>000339</t>
        </is>
      </c>
      <c r="C278" s="107" t="inlineStr">
        <is>
          <t>VODKA ABSOLUT NATURAL  1LT</t>
        </is>
      </c>
      <c r="D278" s="107" t="n"/>
      <c r="E278" s="191" t="n">
        <v>1</v>
      </c>
      <c r="F278" s="192" t="n">
        <v>490.71</v>
      </c>
      <c r="G278" s="193" t="n">
        <v>0</v>
      </c>
      <c r="H278" s="192" t="n">
        <v>0</v>
      </c>
      <c r="I278" s="192" t="n">
        <v>0</v>
      </c>
      <c r="J278" s="107" t="n"/>
      <c r="K278" s="107" t="n"/>
      <c r="L278" s="107" t="n"/>
      <c r="M278" s="192" t="n">
        <v>0</v>
      </c>
    </row>
    <row r="279" ht="15" customHeight="1">
      <c r="A279" s="111" t="inlineStr">
        <is>
          <t>001150</t>
        </is>
      </c>
      <c r="B279" s="111" t="inlineStr">
        <is>
          <t>000368</t>
        </is>
      </c>
      <c r="C279" s="111" t="inlineStr">
        <is>
          <t>RED BULL</t>
        </is>
      </c>
      <c r="D279" s="111" t="n"/>
      <c r="E279" s="194" t="n">
        <v>3</v>
      </c>
      <c r="F279" s="195" t="n">
        <v>0</v>
      </c>
      <c r="G279" s="196" t="n">
        <v>0</v>
      </c>
      <c r="H279" s="195" t="n">
        <v>0</v>
      </c>
      <c r="I279" s="195" t="n">
        <v>0</v>
      </c>
      <c r="J279" s="111" t="n"/>
      <c r="K279" s="111" t="n"/>
      <c r="L279" s="111" t="n"/>
      <c r="M279" s="195" t="n">
        <v>0</v>
      </c>
    </row>
    <row r="280" ht="15" customHeight="1">
      <c r="A280" s="107" t="inlineStr">
        <is>
          <t>001153</t>
        </is>
      </c>
      <c r="B280" s="107" t="inlineStr">
        <is>
          <t>001137</t>
        </is>
      </c>
      <c r="C280" s="107" t="inlineStr">
        <is>
          <t>WHISKY JOHNNIE WALKER BLACK LABEL 1LT</t>
        </is>
      </c>
      <c r="D280" s="107" t="n"/>
      <c r="E280" s="191" t="n">
        <v>1</v>
      </c>
      <c r="F280" s="192" t="n">
        <v>0</v>
      </c>
      <c r="G280" s="193" t="n">
        <v>0</v>
      </c>
      <c r="H280" s="192" t="n">
        <v>0</v>
      </c>
      <c r="I280" s="192" t="n">
        <v>0</v>
      </c>
      <c r="J280" s="107" t="n"/>
      <c r="K280" s="107" t="n"/>
      <c r="L280" s="107" t="n"/>
      <c r="M280" s="192" t="n">
        <v>0</v>
      </c>
    </row>
    <row r="281" ht="15" customHeight="1">
      <c r="A281" s="111" t="inlineStr">
        <is>
          <t>001154</t>
        </is>
      </c>
      <c r="B281" s="111" t="inlineStr">
        <is>
          <t>001161</t>
        </is>
      </c>
      <c r="C281" s="111" t="inlineStr">
        <is>
          <t>GIN TANQUERAY 750ML</t>
        </is>
      </c>
      <c r="D281" s="111" t="n"/>
      <c r="E281" s="194" t="n">
        <v>0.05</v>
      </c>
      <c r="F281" s="195" t="n">
        <v>0</v>
      </c>
      <c r="G281" s="196" t="n">
        <v>0</v>
      </c>
      <c r="H281" s="195" t="n">
        <v>0</v>
      </c>
      <c r="I281" s="195" t="n">
        <v>0</v>
      </c>
      <c r="J281" s="111" t="n"/>
      <c r="K281" s="111" t="n"/>
      <c r="L281" s="111" t="n"/>
      <c r="M281" s="195" t="n">
        <v>0</v>
      </c>
    </row>
    <row r="282" ht="15" customHeight="1">
      <c r="A282" s="107" t="inlineStr">
        <is>
          <t>001168</t>
        </is>
      </c>
      <c r="B282" s="107" t="inlineStr">
        <is>
          <t>001167</t>
        </is>
      </c>
      <c r="C282" s="107" t="inlineStr">
        <is>
          <t>RED BULL MELANCIA</t>
        </is>
      </c>
      <c r="D282" s="107" t="n"/>
      <c r="E282" s="191" t="n">
        <v>1</v>
      </c>
      <c r="F282" s="192" t="n">
        <v>0</v>
      </c>
      <c r="G282" s="193" t="n">
        <v>0</v>
      </c>
      <c r="H282" s="192" t="n">
        <v>0</v>
      </c>
      <c r="I282" s="192" t="n">
        <v>0</v>
      </c>
      <c r="J282" s="107" t="n"/>
      <c r="K282" s="107" t="n"/>
      <c r="L282" s="107" t="n"/>
      <c r="M282" s="192" t="n">
        <v>0</v>
      </c>
    </row>
    <row r="283" ht="15" customHeight="1">
      <c r="A283" s="111" t="inlineStr">
        <is>
          <t>001170</t>
        </is>
      </c>
      <c r="B283" s="111" t="inlineStr">
        <is>
          <t>000474</t>
        </is>
      </c>
      <c r="C283" s="111" t="inlineStr">
        <is>
          <t>HORTELA GRANDE</t>
        </is>
      </c>
      <c r="D283" s="111" t="n"/>
      <c r="E283" s="194" t="n">
        <v>0.03</v>
      </c>
      <c r="F283" s="195" t="n">
        <v>0.2</v>
      </c>
      <c r="G283" s="196" t="n">
        <v>0</v>
      </c>
      <c r="H283" s="195" t="n">
        <v>0</v>
      </c>
      <c r="I283" s="195" t="n">
        <v>0</v>
      </c>
      <c r="J283" s="111" t="n"/>
      <c r="K283" s="111" t="n"/>
      <c r="L283" s="111" t="n"/>
      <c r="M283" s="195" t="n">
        <v>0</v>
      </c>
    </row>
    <row r="284" ht="15" customHeight="1">
      <c r="A284" s="107" t="inlineStr">
        <is>
          <t>001170</t>
        </is>
      </c>
      <c r="B284" s="107" t="inlineStr">
        <is>
          <t>000492</t>
        </is>
      </c>
      <c r="C284" s="107" t="inlineStr">
        <is>
          <t>LIMAO TAITI FRUTA</t>
        </is>
      </c>
      <c r="D284" s="107" t="n"/>
      <c r="E284" s="191" t="n">
        <v>0.05</v>
      </c>
      <c r="F284" s="192" t="n">
        <v>71.59999999999999</v>
      </c>
      <c r="G284" s="193" t="n">
        <v>0</v>
      </c>
      <c r="H284" s="192" t="n">
        <v>0</v>
      </c>
      <c r="I284" s="192" t="n">
        <v>0</v>
      </c>
      <c r="J284" s="107" t="n"/>
      <c r="K284" s="107" t="n"/>
      <c r="L284" s="107" t="n"/>
      <c r="M284" s="192" t="n">
        <v>0</v>
      </c>
    </row>
    <row r="285" ht="15" customHeight="1">
      <c r="A285" s="111" t="inlineStr">
        <is>
          <t>001170</t>
        </is>
      </c>
      <c r="B285" s="111" t="inlineStr">
        <is>
          <t>001167</t>
        </is>
      </c>
      <c r="C285" s="111" t="inlineStr">
        <is>
          <t>RED BULL MELANCIA</t>
        </is>
      </c>
      <c r="D285" s="111" t="n"/>
      <c r="E285" s="194" t="n">
        <v>1</v>
      </c>
      <c r="F285" s="195" t="n">
        <v>1838.14</v>
      </c>
      <c r="G285" s="196" t="n">
        <v>0</v>
      </c>
      <c r="H285" s="195" t="n">
        <v>0</v>
      </c>
      <c r="I285" s="195" t="n">
        <v>0</v>
      </c>
      <c r="J285" s="111" t="n"/>
      <c r="K285" s="111" t="n"/>
      <c r="L285" s="111" t="n"/>
      <c r="M285" s="195" t="n">
        <v>0</v>
      </c>
    </row>
    <row r="286" ht="15" customHeight="1">
      <c r="A286" s="107" t="inlineStr">
        <is>
          <t>001170</t>
        </is>
      </c>
      <c r="B286" s="107" t="inlineStr">
        <is>
          <t>001176</t>
        </is>
      </c>
      <c r="C286" s="107" t="inlineStr">
        <is>
          <t>ANIS ESTRELADO</t>
        </is>
      </c>
      <c r="D286" s="107" t="n"/>
      <c r="E286" s="191" t="n">
        <v>0.005</v>
      </c>
      <c r="F286" s="192" t="n">
        <v>5.58</v>
      </c>
      <c r="G286" s="193" t="n">
        <v>0</v>
      </c>
      <c r="H286" s="192" t="n">
        <v>0</v>
      </c>
      <c r="I286" s="192" t="n">
        <v>0</v>
      </c>
      <c r="J286" s="107" t="n"/>
      <c r="K286" s="107" t="n"/>
      <c r="L286" s="107" t="n"/>
      <c r="M286" s="192" t="n">
        <v>0</v>
      </c>
    </row>
    <row r="287" ht="15" customHeight="1">
      <c r="A287" s="111" t="inlineStr">
        <is>
          <t>001170</t>
        </is>
      </c>
      <c r="B287" s="111" t="inlineStr">
        <is>
          <t>009820</t>
        </is>
      </c>
      <c r="C287" s="111" t="inlineStr">
        <is>
          <t>GIN BACCO PREMIUM BAG 5LT</t>
        </is>
      </c>
      <c r="D287" s="111" t="n"/>
      <c r="E287" s="194" t="n">
        <v>0.08</v>
      </c>
      <c r="F287" s="195" t="n">
        <v>0</v>
      </c>
      <c r="G287" s="196" t="n">
        <v>0</v>
      </c>
      <c r="H287" s="195" t="n">
        <v>0</v>
      </c>
      <c r="I287" s="195" t="n">
        <v>0</v>
      </c>
      <c r="J287" s="111" t="n"/>
      <c r="K287" s="111" t="n"/>
      <c r="L287" s="111" t="n"/>
      <c r="M287" s="195" t="n">
        <v>0</v>
      </c>
    </row>
    <row r="288" ht="15" customHeight="1">
      <c r="A288" s="107" t="inlineStr">
        <is>
          <t>001179</t>
        </is>
      </c>
      <c r="B288" s="107" t="inlineStr">
        <is>
          <t>000209</t>
        </is>
      </c>
      <c r="C288" s="107" t="inlineStr">
        <is>
          <t>POLPA FRAMBOESA</t>
        </is>
      </c>
      <c r="D288" s="107" t="n"/>
      <c r="E288" s="191" t="n">
        <v>0.015</v>
      </c>
      <c r="F288" s="192" t="n">
        <v>17.67</v>
      </c>
      <c r="G288" s="193" t="n">
        <v>0</v>
      </c>
      <c r="H288" s="192" t="n">
        <v>0</v>
      </c>
      <c r="I288" s="192" t="n">
        <v>0</v>
      </c>
      <c r="J288" s="107" t="n"/>
      <c r="K288" s="107" t="n"/>
      <c r="L288" s="107" t="n"/>
      <c r="M288" s="192" t="n">
        <v>0</v>
      </c>
    </row>
    <row r="289" ht="15" customHeight="1">
      <c r="A289" s="111" t="inlineStr">
        <is>
          <t>001179</t>
        </is>
      </c>
      <c r="B289" s="111" t="inlineStr">
        <is>
          <t>000210</t>
        </is>
      </c>
      <c r="C289" s="111" t="inlineStr">
        <is>
          <t>POLPA AMORA</t>
        </is>
      </c>
      <c r="D289" s="111" t="n"/>
      <c r="E289" s="194" t="n">
        <v>0.015</v>
      </c>
      <c r="F289" s="195" t="n">
        <v>39.95</v>
      </c>
      <c r="G289" s="196" t="n">
        <v>0</v>
      </c>
      <c r="H289" s="195" t="n">
        <v>0</v>
      </c>
      <c r="I289" s="195" t="n">
        <v>0</v>
      </c>
      <c r="J289" s="111" t="n"/>
      <c r="K289" s="111" t="n"/>
      <c r="L289" s="111" t="n"/>
      <c r="M289" s="195" t="n">
        <v>0</v>
      </c>
    </row>
    <row r="290" ht="15" customHeight="1">
      <c r="A290" s="107" t="inlineStr">
        <is>
          <t>001179</t>
        </is>
      </c>
      <c r="B290" s="107" t="inlineStr">
        <is>
          <t>000318</t>
        </is>
      </c>
      <c r="C290" s="107" t="inlineStr">
        <is>
          <t>TONICA COMUM LATA</t>
        </is>
      </c>
      <c r="D290" s="107" t="n"/>
      <c r="E290" s="191" t="n">
        <v>1</v>
      </c>
      <c r="F290" s="192" t="n">
        <v>25606.02</v>
      </c>
      <c r="G290" s="193" t="n">
        <v>0</v>
      </c>
      <c r="H290" s="192" t="n">
        <v>0</v>
      </c>
      <c r="I290" s="192" t="n">
        <v>0</v>
      </c>
      <c r="J290" s="107" t="n"/>
      <c r="K290" s="107" t="n"/>
      <c r="L290" s="107" t="n"/>
      <c r="M290" s="192" t="n">
        <v>0</v>
      </c>
    </row>
    <row r="291" ht="15" customHeight="1">
      <c r="A291" s="111" t="inlineStr">
        <is>
          <t>001179</t>
        </is>
      </c>
      <c r="B291" s="111" t="inlineStr">
        <is>
          <t>000590</t>
        </is>
      </c>
      <c r="C291" s="111" t="inlineStr">
        <is>
          <t>MORANGO FRUTA</t>
        </is>
      </c>
      <c r="D291" s="111" t="n"/>
      <c r="E291" s="194" t="n">
        <v>0.015</v>
      </c>
      <c r="F291" s="195" t="n">
        <v>18425.55</v>
      </c>
      <c r="G291" s="196" t="n">
        <v>0</v>
      </c>
      <c r="H291" s="195" t="n">
        <v>0</v>
      </c>
      <c r="I291" s="195" t="n">
        <v>0</v>
      </c>
      <c r="J291" s="111" t="n"/>
      <c r="K291" s="111" t="n"/>
      <c r="L291" s="111" t="n"/>
      <c r="M291" s="195" t="n">
        <v>0</v>
      </c>
    </row>
    <row r="292" ht="15" customHeight="1">
      <c r="A292" s="107" t="inlineStr">
        <is>
          <t>001179</t>
        </is>
      </c>
      <c r="B292" s="107" t="inlineStr">
        <is>
          <t>001174</t>
        </is>
      </c>
      <c r="C292" s="107" t="inlineStr">
        <is>
          <t>FLOR DE HIBISCO</t>
        </is>
      </c>
      <c r="D292" s="107" t="n"/>
      <c r="E292" s="191" t="n">
        <v>0.005</v>
      </c>
      <c r="F292" s="192" t="n">
        <v>1.77</v>
      </c>
      <c r="G292" s="193" t="n">
        <v>0</v>
      </c>
      <c r="H292" s="192" t="n">
        <v>0</v>
      </c>
      <c r="I292" s="192" t="n">
        <v>0</v>
      </c>
      <c r="J292" s="107" t="n"/>
      <c r="K292" s="107" t="n"/>
      <c r="L292" s="107" t="n"/>
      <c r="M292" s="192" t="n">
        <v>0</v>
      </c>
    </row>
    <row r="293" ht="15" customHeight="1">
      <c r="A293" s="111" t="inlineStr">
        <is>
          <t>001179</t>
        </is>
      </c>
      <c r="B293" s="111" t="inlineStr">
        <is>
          <t>001175</t>
        </is>
      </c>
      <c r="C293" s="111" t="inlineStr">
        <is>
          <t>CHA FRUTAS VERMELHAS SACHE CX COM 10 SACHES</t>
        </is>
      </c>
      <c r="D293" s="111" t="n"/>
      <c r="E293" s="194" t="n">
        <v>1</v>
      </c>
      <c r="F293" s="195" t="n">
        <v>959.9400000000001</v>
      </c>
      <c r="G293" s="196" t="n">
        <v>0</v>
      </c>
      <c r="H293" s="195" t="n">
        <v>0</v>
      </c>
      <c r="I293" s="195" t="n">
        <v>0</v>
      </c>
      <c r="J293" s="111" t="n"/>
      <c r="K293" s="111" t="n"/>
      <c r="L293" s="111" t="n"/>
      <c r="M293" s="195" t="n">
        <v>0</v>
      </c>
    </row>
    <row r="294" ht="15" customHeight="1">
      <c r="A294" s="107" t="inlineStr">
        <is>
          <t>001179</t>
        </is>
      </c>
      <c r="B294" s="107" t="inlineStr">
        <is>
          <t>009820</t>
        </is>
      </c>
      <c r="C294" s="107" t="inlineStr">
        <is>
          <t>GIN BACCO PREMIUM BAG 5LT</t>
        </is>
      </c>
      <c r="D294" s="107" t="n"/>
      <c r="E294" s="191" t="n">
        <v>0.08</v>
      </c>
      <c r="F294" s="192" t="n">
        <v>0</v>
      </c>
      <c r="G294" s="193" t="n">
        <v>0</v>
      </c>
      <c r="H294" s="192" t="n">
        <v>0</v>
      </c>
      <c r="I294" s="192" t="n">
        <v>0</v>
      </c>
      <c r="J294" s="107" t="n"/>
      <c r="K294" s="107" t="n"/>
      <c r="L294" s="107" t="n"/>
      <c r="M294" s="192" t="n">
        <v>0</v>
      </c>
    </row>
    <row r="295" ht="15" customHeight="1">
      <c r="A295" s="111" t="inlineStr">
        <is>
          <t>001180</t>
        </is>
      </c>
      <c r="B295" s="111" t="inlineStr">
        <is>
          <t>000209</t>
        </is>
      </c>
      <c r="C295" s="111" t="inlineStr">
        <is>
          <t>POLPA FRAMBOESA</t>
        </is>
      </c>
      <c r="D295" s="111" t="n"/>
      <c r="E295" s="194" t="n">
        <v>0.015</v>
      </c>
      <c r="F295" s="195" t="n">
        <v>0</v>
      </c>
      <c r="G295" s="196" t="n">
        <v>0</v>
      </c>
      <c r="H295" s="195" t="n">
        <v>0</v>
      </c>
      <c r="I295" s="195" t="n">
        <v>0</v>
      </c>
      <c r="J295" s="111" t="n"/>
      <c r="K295" s="111" t="n"/>
      <c r="L295" s="111" t="n"/>
      <c r="M295" s="195" t="n">
        <v>0</v>
      </c>
    </row>
    <row r="296" ht="15" customHeight="1">
      <c r="A296" s="107" t="inlineStr">
        <is>
          <t>001180</t>
        </is>
      </c>
      <c r="B296" s="107" t="inlineStr">
        <is>
          <t>000210</t>
        </is>
      </c>
      <c r="C296" s="107" t="inlineStr">
        <is>
          <t>POLPA AMORA</t>
        </is>
      </c>
      <c r="D296" s="107" t="n"/>
      <c r="E296" s="191" t="n">
        <v>0.015</v>
      </c>
      <c r="F296" s="192" t="n">
        <v>0</v>
      </c>
      <c r="G296" s="193" t="n">
        <v>0</v>
      </c>
      <c r="H296" s="192" t="n">
        <v>0</v>
      </c>
      <c r="I296" s="192" t="n">
        <v>0</v>
      </c>
      <c r="J296" s="107" t="n"/>
      <c r="K296" s="107" t="n"/>
      <c r="L296" s="107" t="n"/>
      <c r="M296" s="192" t="n">
        <v>0</v>
      </c>
    </row>
    <row r="297" ht="15" customHeight="1">
      <c r="A297" s="111" t="inlineStr">
        <is>
          <t>001180</t>
        </is>
      </c>
      <c r="B297" s="111" t="inlineStr">
        <is>
          <t>000318</t>
        </is>
      </c>
      <c r="C297" s="111" t="inlineStr">
        <is>
          <t>TONICA COMUM LATA</t>
        </is>
      </c>
      <c r="D297" s="111" t="n"/>
      <c r="E297" s="194" t="n">
        <v>1</v>
      </c>
      <c r="F297" s="195" t="n">
        <v>0</v>
      </c>
      <c r="G297" s="196" t="n">
        <v>0</v>
      </c>
      <c r="H297" s="195" t="n">
        <v>0</v>
      </c>
      <c r="I297" s="195" t="n">
        <v>0</v>
      </c>
      <c r="J297" s="111" t="n"/>
      <c r="K297" s="111" t="n"/>
      <c r="L297" s="111" t="n"/>
      <c r="M297" s="195" t="n">
        <v>0</v>
      </c>
    </row>
    <row r="298" ht="15" customHeight="1">
      <c r="A298" s="107" t="inlineStr">
        <is>
          <t>001180</t>
        </is>
      </c>
      <c r="B298" s="107" t="inlineStr">
        <is>
          <t>000590</t>
        </is>
      </c>
      <c r="C298" s="107" t="inlineStr">
        <is>
          <t>MORANGO FRUTA</t>
        </is>
      </c>
      <c r="D298" s="107" t="n"/>
      <c r="E298" s="191" t="n">
        <v>0.015</v>
      </c>
      <c r="F298" s="192" t="n">
        <v>0</v>
      </c>
      <c r="G298" s="193" t="n">
        <v>0</v>
      </c>
      <c r="H298" s="192" t="n">
        <v>0</v>
      </c>
      <c r="I298" s="192" t="n">
        <v>0</v>
      </c>
      <c r="J298" s="107" t="n"/>
      <c r="K298" s="107" t="n"/>
      <c r="L298" s="107" t="n"/>
      <c r="M298" s="192" t="n">
        <v>0</v>
      </c>
    </row>
    <row r="299" ht="15" customHeight="1">
      <c r="A299" s="111" t="inlineStr">
        <is>
          <t>001180</t>
        </is>
      </c>
      <c r="B299" s="111" t="inlineStr">
        <is>
          <t>001174</t>
        </is>
      </c>
      <c r="C299" s="111" t="inlineStr">
        <is>
          <t>FLOR DE HIBISCO</t>
        </is>
      </c>
      <c r="D299" s="111" t="n"/>
      <c r="E299" s="194" t="n">
        <v>0.005</v>
      </c>
      <c r="F299" s="195" t="n">
        <v>0</v>
      </c>
      <c r="G299" s="196" t="n">
        <v>0</v>
      </c>
      <c r="H299" s="195" t="n">
        <v>0</v>
      </c>
      <c r="I299" s="195" t="n">
        <v>0</v>
      </c>
      <c r="J299" s="111" t="n"/>
      <c r="K299" s="111" t="n"/>
      <c r="L299" s="111" t="n"/>
      <c r="M299" s="195" t="n">
        <v>0</v>
      </c>
    </row>
    <row r="300" ht="15" customHeight="1">
      <c r="A300" s="107" t="inlineStr">
        <is>
          <t>001180</t>
        </is>
      </c>
      <c r="B300" s="107" t="inlineStr">
        <is>
          <t>001175</t>
        </is>
      </c>
      <c r="C300" s="107" t="inlineStr">
        <is>
          <t>CHA FRUTAS VERMELHAS SACHE CX COM 10 SACHES</t>
        </is>
      </c>
      <c r="D300" s="107" t="n"/>
      <c r="E300" s="191" t="n">
        <v>2</v>
      </c>
      <c r="F300" s="192" t="n">
        <v>0</v>
      </c>
      <c r="G300" s="193" t="n">
        <v>0</v>
      </c>
      <c r="H300" s="192" t="n">
        <v>0</v>
      </c>
      <c r="I300" s="192" t="n">
        <v>0</v>
      </c>
      <c r="J300" s="107" t="n"/>
      <c r="K300" s="107" t="n"/>
      <c r="L300" s="107" t="n"/>
      <c r="M300" s="192" t="n">
        <v>0</v>
      </c>
    </row>
    <row r="301" ht="15" customHeight="1">
      <c r="A301" s="111" t="inlineStr">
        <is>
          <t>001183</t>
        </is>
      </c>
      <c r="B301" s="111" t="inlineStr">
        <is>
          <t>000318</t>
        </is>
      </c>
      <c r="C301" s="111" t="inlineStr">
        <is>
          <t>TONICA COMUM LATA</t>
        </is>
      </c>
      <c r="D301" s="111" t="n"/>
      <c r="E301" s="194" t="n">
        <v>1</v>
      </c>
      <c r="F301" s="195" t="n">
        <v>12803.01</v>
      </c>
      <c r="G301" s="196" t="n">
        <v>0</v>
      </c>
      <c r="H301" s="195" t="n">
        <v>0</v>
      </c>
      <c r="I301" s="195" t="n">
        <v>0</v>
      </c>
      <c r="J301" s="111" t="n"/>
      <c r="K301" s="111" t="n"/>
      <c r="L301" s="111" t="n"/>
      <c r="M301" s="195" t="n">
        <v>0</v>
      </c>
    </row>
    <row r="302" ht="15" customHeight="1">
      <c r="A302" s="107" t="inlineStr">
        <is>
          <t>001183</t>
        </is>
      </c>
      <c r="B302" s="107" t="inlineStr">
        <is>
          <t>000490</t>
        </is>
      </c>
      <c r="C302" s="107" t="inlineStr">
        <is>
          <t>LARANJA PERA FRUTA</t>
        </is>
      </c>
      <c r="D302" s="107" t="n"/>
      <c r="E302" s="191" t="n">
        <v>0.15</v>
      </c>
      <c r="F302" s="192" t="n">
        <v>0</v>
      </c>
      <c r="G302" s="193" t="n">
        <v>0</v>
      </c>
      <c r="H302" s="192" t="n">
        <v>0</v>
      </c>
      <c r="I302" s="192" t="n">
        <v>0</v>
      </c>
      <c r="J302" s="107" t="n"/>
      <c r="K302" s="107" t="n"/>
      <c r="L302" s="107" t="n"/>
      <c r="M302" s="192" t="n">
        <v>0</v>
      </c>
    </row>
    <row r="303" ht="15" customHeight="1">
      <c r="A303" s="111" t="inlineStr">
        <is>
          <t>001183</t>
        </is>
      </c>
      <c r="B303" s="111" t="inlineStr">
        <is>
          <t>000619</t>
        </is>
      </c>
      <c r="C303" s="111" t="inlineStr">
        <is>
          <t>LIMAO SICILIANO</t>
        </is>
      </c>
      <c r="D303" s="111" t="n"/>
      <c r="E303" s="194" t="n">
        <v>0.05</v>
      </c>
      <c r="F303" s="195" t="n">
        <v>0</v>
      </c>
      <c r="G303" s="196" t="n">
        <v>0</v>
      </c>
      <c r="H303" s="195" t="n">
        <v>0</v>
      </c>
      <c r="I303" s="195" t="n">
        <v>0</v>
      </c>
      <c r="J303" s="111" t="n"/>
      <c r="K303" s="111" t="n"/>
      <c r="L303" s="111" t="n"/>
      <c r="M303" s="195" t="n">
        <v>0</v>
      </c>
    </row>
    <row r="304" ht="15" customHeight="1">
      <c r="A304" s="107" t="inlineStr">
        <is>
          <t>001183</t>
        </is>
      </c>
      <c r="B304" s="107" t="inlineStr">
        <is>
          <t>009820</t>
        </is>
      </c>
      <c r="C304" s="107" t="inlineStr">
        <is>
          <t>GIN BACCO PREMIUM BAG 5LT</t>
        </is>
      </c>
      <c r="D304" s="107" t="n"/>
      <c r="E304" s="191" t="n">
        <v>0.08</v>
      </c>
      <c r="F304" s="192" t="n">
        <v>0</v>
      </c>
      <c r="G304" s="193" t="n">
        <v>0</v>
      </c>
      <c r="H304" s="192" t="n">
        <v>0</v>
      </c>
      <c r="I304" s="192" t="n">
        <v>0</v>
      </c>
      <c r="J304" s="107" t="n"/>
      <c r="K304" s="107" t="n"/>
      <c r="L304" s="107" t="n"/>
      <c r="M304" s="192" t="n">
        <v>0</v>
      </c>
    </row>
    <row r="305" ht="15" customHeight="1">
      <c r="A305" s="111" t="inlineStr">
        <is>
          <t>001184</t>
        </is>
      </c>
      <c r="B305" s="111" t="inlineStr">
        <is>
          <t>000318</t>
        </is>
      </c>
      <c r="C305" s="111" t="inlineStr">
        <is>
          <t>TONICA COMUM LATA</t>
        </is>
      </c>
      <c r="D305" s="111" t="n"/>
      <c r="E305" s="194" t="n">
        <v>0.5</v>
      </c>
      <c r="F305" s="195" t="n">
        <v>0</v>
      </c>
      <c r="G305" s="196" t="n">
        <v>0</v>
      </c>
      <c r="H305" s="195" t="n">
        <v>0</v>
      </c>
      <c r="I305" s="195" t="n">
        <v>0</v>
      </c>
      <c r="J305" s="111" t="n"/>
      <c r="K305" s="111" t="n"/>
      <c r="L305" s="111" t="n"/>
      <c r="M305" s="195" t="n">
        <v>0</v>
      </c>
    </row>
    <row r="306" ht="15" customHeight="1">
      <c r="A306" s="107" t="inlineStr">
        <is>
          <t>001184</t>
        </is>
      </c>
      <c r="B306" s="107" t="inlineStr">
        <is>
          <t>000451</t>
        </is>
      </c>
      <c r="C306" s="107" t="inlineStr">
        <is>
          <t>PIMENTA ROSA</t>
        </is>
      </c>
      <c r="D306" s="107" t="n"/>
      <c r="E306" s="191" t="n">
        <v>0.005</v>
      </c>
      <c r="F306" s="192" t="n">
        <v>0</v>
      </c>
      <c r="G306" s="193" t="n">
        <v>0</v>
      </c>
      <c r="H306" s="192" t="n">
        <v>0</v>
      </c>
      <c r="I306" s="192" t="n">
        <v>0</v>
      </c>
      <c r="J306" s="107" t="n"/>
      <c r="K306" s="107" t="n"/>
      <c r="L306" s="107" t="n"/>
      <c r="M306" s="192" t="n">
        <v>0</v>
      </c>
    </row>
    <row r="307" ht="15" customHeight="1">
      <c r="A307" s="111" t="inlineStr">
        <is>
          <t>001184</t>
        </is>
      </c>
      <c r="B307" s="111" t="inlineStr">
        <is>
          <t>000496</t>
        </is>
      </c>
      <c r="C307" s="111" t="inlineStr">
        <is>
          <t>TANGERINA MURCOT FRUTA</t>
        </is>
      </c>
      <c r="D307" s="111" t="n"/>
      <c r="E307" s="194" t="n">
        <v>0.1</v>
      </c>
      <c r="F307" s="195" t="n">
        <v>0</v>
      </c>
      <c r="G307" s="196" t="n">
        <v>0</v>
      </c>
      <c r="H307" s="195" t="n">
        <v>0</v>
      </c>
      <c r="I307" s="195" t="n">
        <v>0</v>
      </c>
      <c r="J307" s="111" t="n"/>
      <c r="K307" s="111" t="n"/>
      <c r="L307" s="111" t="n"/>
      <c r="M307" s="195" t="n">
        <v>0</v>
      </c>
    </row>
    <row r="308" ht="15" customHeight="1">
      <c r="A308" s="107" t="inlineStr">
        <is>
          <t>001185</t>
        </is>
      </c>
      <c r="B308" s="107" t="inlineStr">
        <is>
          <t>000318</t>
        </is>
      </c>
      <c r="C308" s="107" t="inlineStr">
        <is>
          <t>TONICA COMUM LATA</t>
        </is>
      </c>
      <c r="D308" s="107" t="n"/>
      <c r="E308" s="191" t="n">
        <v>1</v>
      </c>
      <c r="F308" s="192" t="n">
        <v>25606.02</v>
      </c>
      <c r="G308" s="193" t="n">
        <v>0</v>
      </c>
      <c r="H308" s="192" t="n">
        <v>0</v>
      </c>
      <c r="I308" s="192" t="n">
        <v>0</v>
      </c>
      <c r="J308" s="107" t="n"/>
      <c r="K308" s="107" t="n"/>
      <c r="L308" s="107" t="n"/>
      <c r="M308" s="192" t="n">
        <v>0</v>
      </c>
    </row>
    <row r="309" ht="15" customHeight="1">
      <c r="A309" s="111" t="inlineStr">
        <is>
          <t>001185</t>
        </is>
      </c>
      <c r="B309" s="111" t="inlineStr">
        <is>
          <t>000619</t>
        </is>
      </c>
      <c r="C309" s="111" t="inlineStr">
        <is>
          <t>LIMAO SICILIANO</t>
        </is>
      </c>
      <c r="D309" s="111" t="n"/>
      <c r="E309" s="194" t="n">
        <v>0.1</v>
      </c>
      <c r="F309" s="195" t="n">
        <v>148.32</v>
      </c>
      <c r="G309" s="196" t="n">
        <v>0</v>
      </c>
      <c r="H309" s="195" t="n">
        <v>0</v>
      </c>
      <c r="I309" s="195" t="n">
        <v>0</v>
      </c>
      <c r="J309" s="111" t="n"/>
      <c r="K309" s="111" t="n"/>
      <c r="L309" s="111" t="n"/>
      <c r="M309" s="195" t="n">
        <v>0</v>
      </c>
    </row>
    <row r="310" ht="15" customHeight="1">
      <c r="A310" s="107" t="inlineStr">
        <is>
          <t>001185</t>
        </is>
      </c>
      <c r="B310" s="107" t="inlineStr">
        <is>
          <t>001176</t>
        </is>
      </c>
      <c r="C310" s="107" t="inlineStr">
        <is>
          <t>ANIS ESTRELADO</t>
        </is>
      </c>
      <c r="D310" s="107" t="n"/>
      <c r="E310" s="191" t="n">
        <v>0.002</v>
      </c>
      <c r="F310" s="192" t="n">
        <v>0</v>
      </c>
      <c r="G310" s="193" t="n">
        <v>0</v>
      </c>
      <c r="H310" s="192" t="n">
        <v>0</v>
      </c>
      <c r="I310" s="192" t="n">
        <v>0</v>
      </c>
      <c r="J310" s="107" t="n"/>
      <c r="K310" s="107" t="n"/>
      <c r="L310" s="107" t="n"/>
      <c r="M310" s="192" t="n">
        <v>0</v>
      </c>
    </row>
    <row r="311" ht="15" customHeight="1">
      <c r="A311" s="111" t="inlineStr">
        <is>
          <t>001185</t>
        </is>
      </c>
      <c r="B311" s="111" t="inlineStr">
        <is>
          <t>001177</t>
        </is>
      </c>
      <c r="C311" s="111" t="inlineStr">
        <is>
          <t>CAPIM SANTO</t>
        </is>
      </c>
      <c r="D311" s="111" t="n"/>
      <c r="E311" s="194" t="n">
        <v>0.001</v>
      </c>
      <c r="F311" s="195" t="n">
        <v>7.55</v>
      </c>
      <c r="G311" s="196" t="n">
        <v>0</v>
      </c>
      <c r="H311" s="195" t="n">
        <v>0</v>
      </c>
      <c r="I311" s="195" t="n">
        <v>0</v>
      </c>
      <c r="J311" s="111" t="n"/>
      <c r="K311" s="111" t="n"/>
      <c r="L311" s="111" t="n"/>
      <c r="M311" s="195" t="n">
        <v>0</v>
      </c>
    </row>
    <row r="312" ht="15" customHeight="1">
      <c r="A312" s="107" t="inlineStr">
        <is>
          <t>001185</t>
        </is>
      </c>
      <c r="B312" s="107" t="inlineStr">
        <is>
          <t>009820</t>
        </is>
      </c>
      <c r="C312" s="107" t="inlineStr">
        <is>
          <t>GIN BACCO PREMIUM BAG 5LT</t>
        </is>
      </c>
      <c r="D312" s="107" t="n"/>
      <c r="E312" s="191" t="n">
        <v>0.08</v>
      </c>
      <c r="F312" s="192" t="n">
        <v>0</v>
      </c>
      <c r="G312" s="193" t="n">
        <v>0</v>
      </c>
      <c r="H312" s="192" t="n">
        <v>0</v>
      </c>
      <c r="I312" s="192" t="n">
        <v>0</v>
      </c>
      <c r="J312" s="107" t="n"/>
      <c r="K312" s="107" t="n"/>
      <c r="L312" s="107" t="n"/>
      <c r="M312" s="192" t="n">
        <v>0</v>
      </c>
    </row>
    <row r="313" ht="15" customHeight="1">
      <c r="A313" s="111" t="inlineStr">
        <is>
          <t>001185</t>
        </is>
      </c>
      <c r="B313" s="111" t="inlineStr">
        <is>
          <t>009830</t>
        </is>
      </c>
      <c r="C313" s="111" t="inlineStr">
        <is>
          <t>XAROPE LIMAO SICILIANO 3LT</t>
        </is>
      </c>
      <c r="D313" s="111" t="n"/>
      <c r="E313" s="194" t="n">
        <v>0.01</v>
      </c>
      <c r="F313" s="195" t="n">
        <v>36.63</v>
      </c>
      <c r="G313" s="196" t="n">
        <v>0</v>
      </c>
      <c r="H313" s="195" t="n">
        <v>0</v>
      </c>
      <c r="I313" s="195" t="n">
        <v>0</v>
      </c>
      <c r="J313" s="111" t="n"/>
      <c r="K313" s="111" t="n"/>
      <c r="L313" s="111" t="n"/>
      <c r="M313" s="195" t="n">
        <v>0</v>
      </c>
    </row>
    <row r="314" ht="15" customHeight="1">
      <c r="A314" s="107" t="inlineStr">
        <is>
          <t>001186</t>
        </is>
      </c>
      <c r="B314" s="107" t="inlineStr">
        <is>
          <t>000318</t>
        </is>
      </c>
      <c r="C314" s="107" t="inlineStr">
        <is>
          <t>TONICA COMUM LATA</t>
        </is>
      </c>
      <c r="D314" s="107" t="n"/>
      <c r="E314" s="191" t="n">
        <v>1</v>
      </c>
      <c r="F314" s="192" t="n">
        <v>0</v>
      </c>
      <c r="G314" s="193" t="n">
        <v>0</v>
      </c>
      <c r="H314" s="192" t="n">
        <v>0</v>
      </c>
      <c r="I314" s="192" t="n">
        <v>0</v>
      </c>
      <c r="J314" s="107" t="n"/>
      <c r="K314" s="107" t="n"/>
      <c r="L314" s="107" t="n"/>
      <c r="M314" s="192" t="n">
        <v>0</v>
      </c>
    </row>
    <row r="315" ht="15" customHeight="1">
      <c r="A315" s="111" t="inlineStr">
        <is>
          <t>001186</t>
        </is>
      </c>
      <c r="B315" s="111" t="inlineStr">
        <is>
          <t>000619</t>
        </is>
      </c>
      <c r="C315" s="111" t="inlineStr">
        <is>
          <t>LIMAO SICILIANO</t>
        </is>
      </c>
      <c r="D315" s="111" t="n"/>
      <c r="E315" s="194" t="n">
        <v>0.06</v>
      </c>
      <c r="F315" s="195" t="n">
        <v>0</v>
      </c>
      <c r="G315" s="196" t="n">
        <v>0</v>
      </c>
      <c r="H315" s="195" t="n">
        <v>0</v>
      </c>
      <c r="I315" s="195" t="n">
        <v>0</v>
      </c>
      <c r="J315" s="111" t="n"/>
      <c r="K315" s="111" t="n"/>
      <c r="L315" s="111" t="n"/>
      <c r="M315" s="195" t="n">
        <v>0</v>
      </c>
    </row>
    <row r="316" ht="15" customHeight="1">
      <c r="A316" s="107" t="inlineStr">
        <is>
          <t>001186</t>
        </is>
      </c>
      <c r="B316" s="107" t="inlineStr">
        <is>
          <t>000668</t>
        </is>
      </c>
      <c r="C316" s="107" t="inlineStr">
        <is>
          <t>ALECRIM</t>
        </is>
      </c>
      <c r="D316" s="107" t="n"/>
      <c r="E316" s="191" t="n">
        <v>0.01</v>
      </c>
      <c r="F316" s="192" t="n">
        <v>0</v>
      </c>
      <c r="G316" s="193" t="n">
        <v>0</v>
      </c>
      <c r="H316" s="192" t="n">
        <v>0</v>
      </c>
      <c r="I316" s="192" t="n">
        <v>0</v>
      </c>
      <c r="J316" s="107" t="n"/>
      <c r="K316" s="107" t="n"/>
      <c r="L316" s="107" t="n"/>
      <c r="M316" s="192" t="n">
        <v>0</v>
      </c>
    </row>
    <row r="317" ht="15" customHeight="1">
      <c r="A317" s="111" t="inlineStr">
        <is>
          <t>001186</t>
        </is>
      </c>
      <c r="B317" s="111" t="inlineStr">
        <is>
          <t>001177</t>
        </is>
      </c>
      <c r="C317" s="111" t="inlineStr">
        <is>
          <t>CAPIM SANTO</t>
        </is>
      </c>
      <c r="D317" s="111" t="n"/>
      <c r="E317" s="194" t="n">
        <v>0.03</v>
      </c>
      <c r="F317" s="195" t="n">
        <v>0</v>
      </c>
      <c r="G317" s="196" t="n">
        <v>0</v>
      </c>
      <c r="H317" s="195" t="n">
        <v>0</v>
      </c>
      <c r="I317" s="195" t="n">
        <v>0</v>
      </c>
      <c r="J317" s="111" t="n"/>
      <c r="K317" s="111" t="n"/>
      <c r="L317" s="111" t="n"/>
      <c r="M317" s="195" t="n">
        <v>0</v>
      </c>
    </row>
    <row r="318" ht="15" customHeight="1">
      <c r="A318" s="107" t="inlineStr">
        <is>
          <t>001186</t>
        </is>
      </c>
      <c r="B318" s="107" t="inlineStr">
        <is>
          <t>009830</t>
        </is>
      </c>
      <c r="C318" s="107" t="inlineStr">
        <is>
          <t>XAROPE LIMAO SICILIANO 3LT</t>
        </is>
      </c>
      <c r="D318" s="107" t="n"/>
      <c r="E318" s="191" t="n">
        <v>0.01</v>
      </c>
      <c r="F318" s="192" t="n">
        <v>0</v>
      </c>
      <c r="G318" s="193" t="n">
        <v>0</v>
      </c>
      <c r="H318" s="192" t="n">
        <v>0</v>
      </c>
      <c r="I318" s="192" t="n">
        <v>0</v>
      </c>
      <c r="J318" s="107" t="n"/>
      <c r="K318" s="107" t="n"/>
      <c r="L318" s="107" t="n"/>
      <c r="M318" s="192" t="n">
        <v>0</v>
      </c>
    </row>
    <row r="319" ht="15" customHeight="1">
      <c r="A319" s="111" t="inlineStr">
        <is>
          <t>001187</t>
        </is>
      </c>
      <c r="B319" s="111" t="inlineStr">
        <is>
          <t>000474</t>
        </is>
      </c>
      <c r="C319" s="111" t="inlineStr">
        <is>
          <t>HORTELA GRANDE</t>
        </is>
      </c>
      <c r="D319" s="111" t="n"/>
      <c r="E319" s="194" t="n">
        <v>0.005</v>
      </c>
      <c r="F319" s="195" t="n">
        <v>0</v>
      </c>
      <c r="G319" s="196" t="n">
        <v>0</v>
      </c>
      <c r="H319" s="195" t="n">
        <v>0</v>
      </c>
      <c r="I319" s="195" t="n">
        <v>0</v>
      </c>
      <c r="J319" s="111" t="n"/>
      <c r="K319" s="111" t="n"/>
      <c r="L319" s="111" t="n"/>
      <c r="M319" s="195" t="n">
        <v>0</v>
      </c>
    </row>
    <row r="320" ht="15" customHeight="1">
      <c r="A320" s="107" t="inlineStr">
        <is>
          <t>001187</t>
        </is>
      </c>
      <c r="B320" s="107" t="inlineStr">
        <is>
          <t>000492</t>
        </is>
      </c>
      <c r="C320" s="107" t="inlineStr">
        <is>
          <t>LIMAO TAITI FRUTA</t>
        </is>
      </c>
      <c r="D320" s="107" t="n"/>
      <c r="E320" s="191" t="n">
        <v>0.5</v>
      </c>
      <c r="F320" s="192" t="n">
        <v>0</v>
      </c>
      <c r="G320" s="193" t="n">
        <v>0</v>
      </c>
      <c r="H320" s="192" t="n">
        <v>0</v>
      </c>
      <c r="I320" s="192" t="n">
        <v>0</v>
      </c>
      <c r="J320" s="107" t="n"/>
      <c r="K320" s="107" t="n"/>
      <c r="L320" s="107" t="n"/>
      <c r="M320" s="192" t="n">
        <v>0</v>
      </c>
    </row>
    <row r="321" ht="15" customHeight="1">
      <c r="A321" s="111" t="inlineStr">
        <is>
          <t>001187</t>
        </is>
      </c>
      <c r="B321" s="111" t="inlineStr">
        <is>
          <t>001167</t>
        </is>
      </c>
      <c r="C321" s="111" t="inlineStr">
        <is>
          <t>RED BULL MELANCIA</t>
        </is>
      </c>
      <c r="D321" s="111" t="n"/>
      <c r="E321" s="194" t="n">
        <v>1</v>
      </c>
      <c r="F321" s="195" t="n">
        <v>0</v>
      </c>
      <c r="G321" s="196" t="n">
        <v>0</v>
      </c>
      <c r="H321" s="195" t="n">
        <v>0</v>
      </c>
      <c r="I321" s="195" t="n">
        <v>0</v>
      </c>
      <c r="J321" s="111" t="n"/>
      <c r="K321" s="111" t="n"/>
      <c r="L321" s="111" t="n"/>
      <c r="M321" s="195" t="n">
        <v>0</v>
      </c>
    </row>
    <row r="322" ht="15" customHeight="1">
      <c r="A322" s="107" t="inlineStr">
        <is>
          <t>001187</t>
        </is>
      </c>
      <c r="B322" s="107" t="inlineStr">
        <is>
          <t>001176</t>
        </is>
      </c>
      <c r="C322" s="107" t="inlineStr">
        <is>
          <t>ANIS ESTRELADO</t>
        </is>
      </c>
      <c r="D322" s="107" t="n"/>
      <c r="E322" s="191" t="n">
        <v>0.005</v>
      </c>
      <c r="F322" s="192" t="n">
        <v>0</v>
      </c>
      <c r="G322" s="193" t="n">
        <v>0</v>
      </c>
      <c r="H322" s="192" t="n">
        <v>0</v>
      </c>
      <c r="I322" s="192" t="n">
        <v>0</v>
      </c>
      <c r="J322" s="107" t="n"/>
      <c r="K322" s="107" t="n"/>
      <c r="L322" s="107" t="n"/>
      <c r="M322" s="192" t="n">
        <v>0</v>
      </c>
    </row>
    <row r="323" ht="15" customHeight="1">
      <c r="A323" s="111" t="inlineStr">
        <is>
          <t>001195</t>
        </is>
      </c>
      <c r="B323" s="111" t="inlineStr">
        <is>
          <t>001193</t>
        </is>
      </c>
      <c r="C323" s="111" t="inlineStr">
        <is>
          <t>WHISKY JACK DANIELS TENNESSEE 1LT</t>
        </is>
      </c>
      <c r="D323" s="111" t="n"/>
      <c r="E323" s="194" t="n">
        <v>0.05</v>
      </c>
      <c r="F323" s="195" t="n">
        <v>54.94</v>
      </c>
      <c r="G323" s="196" t="n">
        <v>0</v>
      </c>
      <c r="H323" s="195" t="n">
        <v>0</v>
      </c>
      <c r="I323" s="195" t="n">
        <v>0</v>
      </c>
      <c r="J323" s="111" t="n"/>
      <c r="K323" s="111" t="n"/>
      <c r="L323" s="111" t="n"/>
      <c r="M323" s="195" t="n">
        <v>0</v>
      </c>
    </row>
    <row r="324" ht="15" customHeight="1">
      <c r="A324" s="107" t="inlineStr">
        <is>
          <t>001196</t>
        </is>
      </c>
      <c r="B324" s="107" t="inlineStr">
        <is>
          <t>001193</t>
        </is>
      </c>
      <c r="C324" s="107" t="inlineStr">
        <is>
          <t>WHISKY JACK DANIELS TENNESSEE 1LT</t>
        </is>
      </c>
      <c r="D324" s="107" t="n"/>
      <c r="E324" s="191" t="n">
        <v>1</v>
      </c>
      <c r="F324" s="192" t="n">
        <v>0</v>
      </c>
      <c r="G324" s="193" t="n">
        <v>0</v>
      </c>
      <c r="H324" s="192" t="n">
        <v>0</v>
      </c>
      <c r="I324" s="192" t="n">
        <v>0</v>
      </c>
      <c r="J324" s="107" t="n"/>
      <c r="K324" s="107" t="n"/>
      <c r="L324" s="107" t="n"/>
      <c r="M324" s="192" t="n">
        <v>0</v>
      </c>
    </row>
    <row r="325" ht="15" customHeight="1">
      <c r="A325" s="111" t="inlineStr">
        <is>
          <t>001201</t>
        </is>
      </c>
      <c r="B325" s="111" t="inlineStr">
        <is>
          <t>000321</t>
        </is>
      </c>
      <c r="C325" s="111" t="inlineStr">
        <is>
          <t>PEPSI ZERO LATA 350ML</t>
        </is>
      </c>
      <c r="D325" s="111" t="n"/>
      <c r="E325" s="194" t="n">
        <v>1</v>
      </c>
      <c r="F325" s="195" t="n">
        <v>458.58</v>
      </c>
      <c r="G325" s="196" t="n">
        <v>0</v>
      </c>
      <c r="H325" s="195" t="n">
        <v>0</v>
      </c>
      <c r="I325" s="195" t="n">
        <v>0</v>
      </c>
      <c r="J325" s="111" t="n"/>
      <c r="K325" s="111" t="n"/>
      <c r="L325" s="111" t="n"/>
      <c r="M325" s="195" t="n">
        <v>0</v>
      </c>
    </row>
    <row r="326" ht="15" customHeight="1">
      <c r="A326" s="107" t="inlineStr">
        <is>
          <t>001201</t>
        </is>
      </c>
      <c r="B326" s="107" t="inlineStr">
        <is>
          <t>001193</t>
        </is>
      </c>
      <c r="C326" s="107" t="inlineStr">
        <is>
          <t>WHISKY JACK DANIELS TENNESSEE 1LT</t>
        </is>
      </c>
      <c r="D326" s="107" t="n"/>
      <c r="E326" s="191" t="n">
        <v>0.05</v>
      </c>
      <c r="F326" s="192" t="n">
        <v>45.78</v>
      </c>
      <c r="G326" s="193" t="n">
        <v>0</v>
      </c>
      <c r="H326" s="192" t="n">
        <v>0</v>
      </c>
      <c r="I326" s="192" t="n">
        <v>0</v>
      </c>
      <c r="J326" s="107" t="n"/>
      <c r="K326" s="107" t="n"/>
      <c r="L326" s="107" t="n"/>
      <c r="M326" s="192" t="n">
        <v>0</v>
      </c>
    </row>
    <row r="327" ht="15" customHeight="1">
      <c r="A327" s="111" t="inlineStr">
        <is>
          <t>001202</t>
        </is>
      </c>
      <c r="B327" s="111" t="inlineStr">
        <is>
          <t>000457</t>
        </is>
      </c>
      <c r="C327" s="111" t="inlineStr">
        <is>
          <t>POLPA MARACUJA</t>
        </is>
      </c>
      <c r="D327" s="111" t="n"/>
      <c r="E327" s="194" t="n">
        <v>0.1</v>
      </c>
      <c r="F327" s="195" t="n">
        <v>0</v>
      </c>
      <c r="G327" s="196" t="n">
        <v>0</v>
      </c>
      <c r="H327" s="195" t="n">
        <v>0</v>
      </c>
      <c r="I327" s="195" t="n">
        <v>0</v>
      </c>
      <c r="J327" s="111" t="n"/>
      <c r="K327" s="111" t="n"/>
      <c r="L327" s="111" t="n"/>
      <c r="M327" s="195" t="n">
        <v>0</v>
      </c>
    </row>
    <row r="328" ht="15" customHeight="1">
      <c r="A328" s="107" t="inlineStr">
        <is>
          <t>001202</t>
        </is>
      </c>
      <c r="B328" s="107" t="inlineStr">
        <is>
          <t>000883</t>
        </is>
      </c>
      <c r="C328" s="107" t="inlineStr">
        <is>
          <t>SODA LIMONADA</t>
        </is>
      </c>
      <c r="D328" s="107" t="n"/>
      <c r="E328" s="191" t="n">
        <v>1</v>
      </c>
      <c r="F328" s="192" t="n">
        <v>0</v>
      </c>
      <c r="G328" s="193" t="n">
        <v>0</v>
      </c>
      <c r="H328" s="192" t="n">
        <v>0</v>
      </c>
      <c r="I328" s="192" t="n">
        <v>0</v>
      </c>
      <c r="J328" s="107" t="n"/>
      <c r="K328" s="107" t="n"/>
      <c r="L328" s="107" t="n"/>
      <c r="M328" s="192" t="n">
        <v>0</v>
      </c>
    </row>
    <row r="329" ht="15" customHeight="1">
      <c r="A329" s="111" t="inlineStr">
        <is>
          <t>001202</t>
        </is>
      </c>
      <c r="B329" s="111" t="inlineStr">
        <is>
          <t>001193</t>
        </is>
      </c>
      <c r="C329" s="111" t="inlineStr">
        <is>
          <t>WHISKY JACK DANIELS TENNESSEE 1LT</t>
        </is>
      </c>
      <c r="D329" s="111" t="n"/>
      <c r="E329" s="194" t="n">
        <v>0.05</v>
      </c>
      <c r="F329" s="195" t="n">
        <v>0</v>
      </c>
      <c r="G329" s="196" t="n">
        <v>0</v>
      </c>
      <c r="H329" s="195" t="n">
        <v>0</v>
      </c>
      <c r="I329" s="195" t="n">
        <v>0</v>
      </c>
      <c r="J329" s="111" t="n"/>
      <c r="K329" s="111" t="n"/>
      <c r="L329" s="111" t="n"/>
      <c r="M329" s="195" t="n">
        <v>0</v>
      </c>
    </row>
    <row r="330" ht="15" customHeight="1">
      <c r="A330" s="107" t="inlineStr">
        <is>
          <t>001203</t>
        </is>
      </c>
      <c r="B330" s="107" t="inlineStr">
        <is>
          <t>000474</t>
        </is>
      </c>
      <c r="C330" s="107" t="inlineStr">
        <is>
          <t>HORTELA GRANDE</t>
        </is>
      </c>
      <c r="D330" s="107" t="n"/>
      <c r="E330" s="191" t="n">
        <v>0.001</v>
      </c>
      <c r="F330" s="192" t="n">
        <v>0</v>
      </c>
      <c r="G330" s="193" t="n">
        <v>0</v>
      </c>
      <c r="H330" s="192" t="n">
        <v>0</v>
      </c>
      <c r="I330" s="192" t="n">
        <v>0</v>
      </c>
      <c r="J330" s="107" t="n"/>
      <c r="K330" s="107" t="n"/>
      <c r="L330" s="107" t="n"/>
      <c r="M330" s="192" t="n">
        <v>0</v>
      </c>
    </row>
    <row r="331" ht="15" customHeight="1">
      <c r="A331" s="111" t="inlineStr">
        <is>
          <t>001203</t>
        </is>
      </c>
      <c r="B331" s="111" t="inlineStr">
        <is>
          <t>000490</t>
        </is>
      </c>
      <c r="C331" s="111" t="inlineStr">
        <is>
          <t>LARANJA PERA FRUTA</t>
        </is>
      </c>
      <c r="D331" s="111" t="n"/>
      <c r="E331" s="194" t="n">
        <v>0.5</v>
      </c>
      <c r="F331" s="195" t="n">
        <v>5137.88</v>
      </c>
      <c r="G331" s="196" t="n">
        <v>0</v>
      </c>
      <c r="H331" s="195" t="n">
        <v>0</v>
      </c>
      <c r="I331" s="195" t="n">
        <v>0</v>
      </c>
      <c r="J331" s="111" t="n"/>
      <c r="K331" s="111" t="n"/>
      <c r="L331" s="111" t="n"/>
      <c r="M331" s="195" t="n">
        <v>0</v>
      </c>
    </row>
    <row r="332" ht="15" customHeight="1">
      <c r="A332" s="107" t="inlineStr">
        <is>
          <t>001203</t>
        </is>
      </c>
      <c r="B332" s="107" t="inlineStr">
        <is>
          <t>000492</t>
        </is>
      </c>
      <c r="C332" s="107" t="inlineStr">
        <is>
          <t>LIMAO TAITI FRUTA</t>
        </is>
      </c>
      <c r="D332" s="107" t="n"/>
      <c r="E332" s="191" t="n">
        <v>0.5</v>
      </c>
      <c r="F332" s="192" t="n">
        <v>716.01</v>
      </c>
      <c r="G332" s="193" t="n">
        <v>0</v>
      </c>
      <c r="H332" s="192" t="n">
        <v>0</v>
      </c>
      <c r="I332" s="192" t="n">
        <v>0</v>
      </c>
      <c r="J332" s="107" t="n"/>
      <c r="K332" s="107" t="n"/>
      <c r="L332" s="107" t="n"/>
      <c r="M332" s="192" t="n">
        <v>0</v>
      </c>
    </row>
    <row r="333" ht="15" customHeight="1">
      <c r="A333" s="111" t="inlineStr">
        <is>
          <t>001203</t>
        </is>
      </c>
      <c r="B333" s="111" t="inlineStr">
        <is>
          <t>000590</t>
        </is>
      </c>
      <c r="C333" s="111" t="inlineStr">
        <is>
          <t>MORANGO FRUTA</t>
        </is>
      </c>
      <c r="D333" s="111" t="n"/>
      <c r="E333" s="194" t="n">
        <v>0.5</v>
      </c>
      <c r="F333" s="195" t="n">
        <v>614185.08</v>
      </c>
      <c r="G333" s="196" t="n">
        <v>0</v>
      </c>
      <c r="H333" s="195" t="n">
        <v>0</v>
      </c>
      <c r="I333" s="195" t="n">
        <v>0</v>
      </c>
      <c r="J333" s="111" t="n"/>
      <c r="K333" s="111" t="n"/>
      <c r="L333" s="111" t="n"/>
      <c r="M333" s="195" t="n">
        <v>0</v>
      </c>
    </row>
    <row r="334" ht="15" customHeight="1">
      <c r="A334" s="107" t="inlineStr">
        <is>
          <t>001203</t>
        </is>
      </c>
      <c r="B334" s="107" t="inlineStr">
        <is>
          <t>000619</t>
        </is>
      </c>
      <c r="C334" s="107" t="inlineStr">
        <is>
          <t>LIMAO SICILIANO</t>
        </is>
      </c>
      <c r="D334" s="107" t="n"/>
      <c r="E334" s="191" t="n">
        <v>0.05</v>
      </c>
      <c r="F334" s="192" t="n">
        <v>0</v>
      </c>
      <c r="G334" s="193" t="n">
        <v>0</v>
      </c>
      <c r="H334" s="192" t="n">
        <v>0</v>
      </c>
      <c r="I334" s="192" t="n">
        <v>0</v>
      </c>
      <c r="J334" s="107" t="n"/>
      <c r="K334" s="107" t="n"/>
      <c r="L334" s="107" t="n"/>
      <c r="M334" s="192" t="n">
        <v>0</v>
      </c>
    </row>
    <row r="335" ht="15" customHeight="1">
      <c r="A335" s="111" t="inlineStr">
        <is>
          <t>001204</t>
        </is>
      </c>
      <c r="B335" s="111" t="inlineStr">
        <is>
          <t>000490</t>
        </is>
      </c>
      <c r="C335" s="111" t="inlineStr">
        <is>
          <t>LARANJA PERA FRUTA</t>
        </is>
      </c>
      <c r="D335" s="111" t="n"/>
      <c r="E335" s="194" t="n">
        <v>0.05</v>
      </c>
      <c r="F335" s="195" t="n">
        <v>513.79</v>
      </c>
      <c r="G335" s="196" t="n">
        <v>0</v>
      </c>
      <c r="H335" s="195" t="n">
        <v>0</v>
      </c>
      <c r="I335" s="195" t="n">
        <v>0</v>
      </c>
      <c r="J335" s="111" t="n"/>
      <c r="K335" s="111" t="n"/>
      <c r="L335" s="111" t="n"/>
      <c r="M335" s="195" t="n">
        <v>0</v>
      </c>
    </row>
    <row r="336" ht="15" customHeight="1">
      <c r="A336" s="107" t="inlineStr">
        <is>
          <t>001204</t>
        </is>
      </c>
      <c r="B336" s="107" t="inlineStr">
        <is>
          <t>000492</t>
        </is>
      </c>
      <c r="C336" s="107" t="inlineStr">
        <is>
          <t>LIMAO TAITI FRUTA</t>
        </is>
      </c>
      <c r="D336" s="107" t="n"/>
      <c r="E336" s="191" t="n">
        <v>0.05</v>
      </c>
      <c r="F336" s="192" t="n">
        <v>71.59999999999999</v>
      </c>
      <c r="G336" s="193" t="n">
        <v>0</v>
      </c>
      <c r="H336" s="192" t="n">
        <v>0</v>
      </c>
      <c r="I336" s="192" t="n">
        <v>0</v>
      </c>
      <c r="J336" s="107" t="n"/>
      <c r="K336" s="107" t="n"/>
      <c r="L336" s="107" t="n"/>
      <c r="M336" s="192" t="n">
        <v>0</v>
      </c>
    </row>
    <row r="337" ht="15" customHeight="1">
      <c r="A337" s="111" t="inlineStr">
        <is>
          <t>001204</t>
        </is>
      </c>
      <c r="B337" s="111" t="inlineStr">
        <is>
          <t>000590</t>
        </is>
      </c>
      <c r="C337" s="111" t="inlineStr">
        <is>
          <t>MORANGO FRUTA</t>
        </is>
      </c>
      <c r="D337" s="111" t="n"/>
      <c r="E337" s="194" t="n">
        <v>0.05</v>
      </c>
      <c r="F337" s="195" t="n">
        <v>61418.51</v>
      </c>
      <c r="G337" s="196" t="n">
        <v>0</v>
      </c>
      <c r="H337" s="195" t="n">
        <v>0</v>
      </c>
      <c r="I337" s="195" t="n">
        <v>0</v>
      </c>
      <c r="J337" s="111" t="n"/>
      <c r="K337" s="111" t="n"/>
      <c r="L337" s="111" t="n"/>
      <c r="M337" s="195" t="n">
        <v>0</v>
      </c>
    </row>
    <row r="338" ht="15" customHeight="1">
      <c r="A338" s="107" t="inlineStr">
        <is>
          <t>001204</t>
        </is>
      </c>
      <c r="B338" s="107" t="inlineStr">
        <is>
          <t>000619</t>
        </is>
      </c>
      <c r="C338" s="107" t="inlineStr">
        <is>
          <t>LIMAO SICILIANO</t>
        </is>
      </c>
      <c r="D338" s="107" t="n"/>
      <c r="E338" s="191" t="n">
        <v>0.05</v>
      </c>
      <c r="F338" s="192" t="n">
        <v>0</v>
      </c>
      <c r="G338" s="193" t="n">
        <v>0</v>
      </c>
      <c r="H338" s="192" t="n">
        <v>0</v>
      </c>
      <c r="I338" s="192" t="n">
        <v>0</v>
      </c>
      <c r="J338" s="107" t="n"/>
      <c r="K338" s="107" t="n"/>
      <c r="L338" s="107" t="n"/>
      <c r="M338" s="192" t="n">
        <v>0</v>
      </c>
    </row>
    <row r="339" ht="15" customHeight="1">
      <c r="A339" s="111" t="inlineStr">
        <is>
          <t>001204</t>
        </is>
      </c>
      <c r="B339" s="111" t="inlineStr">
        <is>
          <t>000749</t>
        </is>
      </c>
      <c r="C339" s="111" t="inlineStr">
        <is>
          <t>RED BULL TROPICAL</t>
        </is>
      </c>
      <c r="D339" s="111" t="n"/>
      <c r="E339" s="194" t="n">
        <v>3</v>
      </c>
      <c r="F339" s="195" t="n">
        <v>1891.95</v>
      </c>
      <c r="G339" s="196" t="n">
        <v>0</v>
      </c>
      <c r="H339" s="195" t="n">
        <v>0</v>
      </c>
      <c r="I339" s="195" t="n">
        <v>0</v>
      </c>
      <c r="J339" s="111" t="n"/>
      <c r="K339" s="111" t="n"/>
      <c r="L339" s="111" t="n"/>
      <c r="M339" s="195" t="n">
        <v>0</v>
      </c>
    </row>
    <row r="340" ht="15" customHeight="1">
      <c r="A340" s="107" t="inlineStr">
        <is>
          <t>001204</t>
        </is>
      </c>
      <c r="B340" s="107" t="inlineStr">
        <is>
          <t>001161</t>
        </is>
      </c>
      <c r="C340" s="107" t="inlineStr">
        <is>
          <t>GIN TANQUERAY 750ML</t>
        </is>
      </c>
      <c r="D340" s="107" t="n"/>
      <c r="E340" s="191" t="n">
        <v>0.75</v>
      </c>
      <c r="F340" s="192" t="n">
        <v>494.2</v>
      </c>
      <c r="G340" s="193" t="n">
        <v>0</v>
      </c>
      <c r="H340" s="192" t="n">
        <v>0</v>
      </c>
      <c r="I340" s="192" t="n">
        <v>0</v>
      </c>
      <c r="J340" s="107" t="n"/>
      <c r="K340" s="107" t="n"/>
      <c r="L340" s="107" t="n"/>
      <c r="M340" s="192" t="n">
        <v>0</v>
      </c>
    </row>
    <row r="341" ht="15" customHeight="1">
      <c r="A341" s="111" t="inlineStr">
        <is>
          <t>001205</t>
        </is>
      </c>
      <c r="B341" s="111" t="inlineStr">
        <is>
          <t>000353</t>
        </is>
      </c>
      <c r="C341" s="111" t="inlineStr">
        <is>
          <t>GIN BEEFEATER 750 ML</t>
        </is>
      </c>
      <c r="D341" s="111" t="n"/>
      <c r="E341" s="194" t="n">
        <v>0.75</v>
      </c>
      <c r="F341" s="195" t="n">
        <v>1492.63</v>
      </c>
      <c r="G341" s="196" t="n">
        <v>0</v>
      </c>
      <c r="H341" s="195" t="n">
        <v>0</v>
      </c>
      <c r="I341" s="195" t="n">
        <v>0</v>
      </c>
      <c r="J341" s="111" t="n"/>
      <c r="K341" s="111" t="n"/>
      <c r="L341" s="111" t="n"/>
      <c r="M341" s="195" t="n">
        <v>0</v>
      </c>
    </row>
    <row r="342" ht="15" customHeight="1">
      <c r="A342" s="107" t="inlineStr">
        <is>
          <t>001205</t>
        </is>
      </c>
      <c r="B342" s="107" t="inlineStr">
        <is>
          <t>000474</t>
        </is>
      </c>
      <c r="C342" s="107" t="inlineStr">
        <is>
          <t>HORTELA GRANDE</t>
        </is>
      </c>
      <c r="D342" s="107" t="n"/>
      <c r="E342" s="191" t="n">
        <v>0.001</v>
      </c>
      <c r="F342" s="192" t="n">
        <v>0.04</v>
      </c>
      <c r="G342" s="193" t="n">
        <v>0</v>
      </c>
      <c r="H342" s="192" t="n">
        <v>0</v>
      </c>
      <c r="I342" s="192" t="n">
        <v>0</v>
      </c>
      <c r="J342" s="107" t="n"/>
      <c r="K342" s="107" t="n"/>
      <c r="L342" s="107" t="n"/>
      <c r="M342" s="192" t="n">
        <v>0</v>
      </c>
    </row>
    <row r="343" ht="15" customHeight="1">
      <c r="A343" s="111" t="inlineStr">
        <is>
          <t>001205</t>
        </is>
      </c>
      <c r="B343" s="111" t="inlineStr">
        <is>
          <t>000490</t>
        </is>
      </c>
      <c r="C343" s="111" t="inlineStr">
        <is>
          <t>LARANJA PERA FRUTA</t>
        </is>
      </c>
      <c r="D343" s="111" t="n"/>
      <c r="E343" s="194" t="n">
        <v>0.05</v>
      </c>
      <c r="F343" s="195" t="n">
        <v>513.79</v>
      </c>
      <c r="G343" s="196" t="n">
        <v>0</v>
      </c>
      <c r="H343" s="195" t="n">
        <v>0</v>
      </c>
      <c r="I343" s="195" t="n">
        <v>0</v>
      </c>
      <c r="J343" s="111" t="n"/>
      <c r="K343" s="111" t="n"/>
      <c r="L343" s="111" t="n"/>
      <c r="M343" s="195" t="n">
        <v>0</v>
      </c>
    </row>
    <row r="344" ht="15" customHeight="1">
      <c r="A344" s="107" t="inlineStr">
        <is>
          <t>001205</t>
        </is>
      </c>
      <c r="B344" s="107" t="inlineStr">
        <is>
          <t>000492</t>
        </is>
      </c>
      <c r="C344" s="107" t="inlineStr">
        <is>
          <t>LIMAO TAITI FRUTA</t>
        </is>
      </c>
      <c r="D344" s="107" t="n"/>
      <c r="E344" s="191" t="n">
        <v>0.05</v>
      </c>
      <c r="F344" s="192" t="n">
        <v>71.59999999999999</v>
      </c>
      <c r="G344" s="193" t="n">
        <v>0</v>
      </c>
      <c r="H344" s="192" t="n">
        <v>0</v>
      </c>
      <c r="I344" s="192" t="n">
        <v>0</v>
      </c>
      <c r="J344" s="107" t="n"/>
      <c r="K344" s="107" t="n"/>
      <c r="L344" s="107" t="n"/>
      <c r="M344" s="192" t="n">
        <v>0</v>
      </c>
    </row>
    <row r="345" ht="15" customHeight="1">
      <c r="A345" s="111" t="inlineStr">
        <is>
          <t>001205</t>
        </is>
      </c>
      <c r="B345" s="111" t="inlineStr">
        <is>
          <t>000590</t>
        </is>
      </c>
      <c r="C345" s="111" t="inlineStr">
        <is>
          <t>MORANGO FRUTA</t>
        </is>
      </c>
      <c r="D345" s="111" t="n"/>
      <c r="E345" s="194" t="n">
        <v>0.05</v>
      </c>
      <c r="F345" s="195" t="n">
        <v>61418.51</v>
      </c>
      <c r="G345" s="196" t="n">
        <v>0</v>
      </c>
      <c r="H345" s="195" t="n">
        <v>0</v>
      </c>
      <c r="I345" s="195" t="n">
        <v>0</v>
      </c>
      <c r="J345" s="111" t="n"/>
      <c r="K345" s="111" t="n"/>
      <c r="L345" s="111" t="n"/>
      <c r="M345" s="195" t="n">
        <v>0</v>
      </c>
    </row>
    <row r="346" ht="15" customHeight="1">
      <c r="A346" s="107" t="inlineStr">
        <is>
          <t>001205</t>
        </is>
      </c>
      <c r="B346" s="107" t="inlineStr">
        <is>
          <t>000619</t>
        </is>
      </c>
      <c r="C346" s="107" t="inlineStr">
        <is>
          <t>LIMAO SICILIANO</t>
        </is>
      </c>
      <c r="D346" s="107" t="n"/>
      <c r="E346" s="191" t="n">
        <v>0.05</v>
      </c>
      <c r="F346" s="192" t="n">
        <v>123.6</v>
      </c>
      <c r="G346" s="193" t="n">
        <v>0</v>
      </c>
      <c r="H346" s="192" t="n">
        <v>0</v>
      </c>
      <c r="I346" s="192" t="n">
        <v>0</v>
      </c>
      <c r="J346" s="107" t="n"/>
      <c r="K346" s="107" t="n"/>
      <c r="L346" s="107" t="n"/>
      <c r="M346" s="192" t="n">
        <v>0</v>
      </c>
    </row>
    <row r="347" ht="15" customHeight="1">
      <c r="A347" s="111" t="inlineStr">
        <is>
          <t>001205</t>
        </is>
      </c>
      <c r="B347" s="111" t="inlineStr">
        <is>
          <t>000749</t>
        </is>
      </c>
      <c r="C347" s="111" t="inlineStr">
        <is>
          <t>RED BULL TROPICAL</t>
        </is>
      </c>
      <c r="D347" s="111" t="n"/>
      <c r="E347" s="194" t="n">
        <v>3</v>
      </c>
      <c r="F347" s="195" t="n">
        <v>1891.95</v>
      </c>
      <c r="G347" s="196" t="n">
        <v>0</v>
      </c>
      <c r="H347" s="195" t="n">
        <v>0</v>
      </c>
      <c r="I347" s="195" t="n">
        <v>0</v>
      </c>
      <c r="J347" s="111" t="n"/>
      <c r="K347" s="111" t="n"/>
      <c r="L347" s="111" t="n"/>
      <c r="M347" s="195" t="n">
        <v>0</v>
      </c>
    </row>
    <row r="348" ht="15" customHeight="1">
      <c r="A348" s="107" t="inlineStr">
        <is>
          <t>001209</t>
        </is>
      </c>
      <c r="B348" s="107" t="inlineStr">
        <is>
          <t>001199</t>
        </is>
      </c>
      <c r="C348" s="107" t="inlineStr">
        <is>
          <t>WHISKY JACK DANIELS HONEY 1LT</t>
        </is>
      </c>
      <c r="D348" s="107" t="n"/>
      <c r="E348" s="191" t="n">
        <v>0.06</v>
      </c>
      <c r="F348" s="192" t="n">
        <v>0</v>
      </c>
      <c r="G348" s="193" t="n">
        <v>0</v>
      </c>
      <c r="H348" s="192" t="n">
        <v>0</v>
      </c>
      <c r="I348" s="192" t="n">
        <v>0</v>
      </c>
      <c r="J348" s="107" t="n"/>
      <c r="K348" s="107" t="n"/>
      <c r="L348" s="107" t="n"/>
      <c r="M348" s="192" t="n">
        <v>0</v>
      </c>
    </row>
    <row r="349" ht="15" customHeight="1">
      <c r="A349" s="111" t="inlineStr">
        <is>
          <t>001210</t>
        </is>
      </c>
      <c r="B349" s="111" t="inlineStr">
        <is>
          <t>001199</t>
        </is>
      </c>
      <c r="C349" s="111" t="inlineStr">
        <is>
          <t>WHISKY JACK DANIELS HONEY 1LT</t>
        </is>
      </c>
      <c r="D349" s="111" t="n"/>
      <c r="E349" s="194" t="n">
        <v>1</v>
      </c>
      <c r="F349" s="195" t="n">
        <v>0</v>
      </c>
      <c r="G349" s="196" t="n">
        <v>0</v>
      </c>
      <c r="H349" s="195" t="n">
        <v>0</v>
      </c>
      <c r="I349" s="195" t="n">
        <v>0</v>
      </c>
      <c r="J349" s="111" t="n"/>
      <c r="K349" s="111" t="n"/>
      <c r="L349" s="111" t="n"/>
      <c r="M349" s="195" t="n">
        <v>0</v>
      </c>
    </row>
    <row r="350" ht="15" customHeight="1">
      <c r="A350" s="107" t="inlineStr">
        <is>
          <t>001211</t>
        </is>
      </c>
      <c r="B350" s="107" t="inlineStr">
        <is>
          <t>001208</t>
        </is>
      </c>
      <c r="C350" s="107" t="inlineStr">
        <is>
          <t>WHISKY JACK DANIELS FIRE 1LT</t>
        </is>
      </c>
      <c r="D350" s="107" t="n"/>
      <c r="E350" s="191" t="n">
        <v>0.05</v>
      </c>
      <c r="F350" s="192" t="n">
        <v>0</v>
      </c>
      <c r="G350" s="193" t="n">
        <v>0</v>
      </c>
      <c r="H350" s="192" t="n">
        <v>0</v>
      </c>
      <c r="I350" s="192" t="n">
        <v>0</v>
      </c>
      <c r="J350" s="107" t="n"/>
      <c r="K350" s="107" t="n"/>
      <c r="L350" s="107" t="n"/>
      <c r="M350" s="192" t="n">
        <v>0</v>
      </c>
    </row>
    <row r="351" ht="15" customHeight="1">
      <c r="A351" s="111" t="inlineStr">
        <is>
          <t>001225</t>
        </is>
      </c>
      <c r="B351" s="111" t="inlineStr">
        <is>
          <t>000206</t>
        </is>
      </c>
      <c r="C351" s="111" t="inlineStr">
        <is>
          <t>LICOR 43 700ML</t>
        </is>
      </c>
      <c r="D351" s="111" t="n"/>
      <c r="E351" s="194" t="n">
        <v>0.7</v>
      </c>
      <c r="F351" s="195" t="n">
        <v>0</v>
      </c>
      <c r="G351" s="196" t="n">
        <v>0</v>
      </c>
      <c r="H351" s="195" t="n">
        <v>0</v>
      </c>
      <c r="I351" s="195" t="n">
        <v>0</v>
      </c>
      <c r="J351" s="111" t="n"/>
      <c r="K351" s="111" t="n"/>
      <c r="L351" s="111" t="n"/>
      <c r="M351" s="195" t="n">
        <v>0</v>
      </c>
    </row>
    <row r="352" ht="15" customHeight="1">
      <c r="A352" s="107" t="inlineStr">
        <is>
          <t>001228</t>
        </is>
      </c>
      <c r="B352" s="107" t="inlineStr">
        <is>
          <t>001227</t>
        </is>
      </c>
      <c r="C352" s="107" t="inlineStr">
        <is>
          <t>CERVEJA SPATEN 600 ML</t>
        </is>
      </c>
      <c r="D352" s="107" t="n"/>
      <c r="E352" s="191" t="n">
        <v>1</v>
      </c>
      <c r="F352" s="192" t="n">
        <v>0</v>
      </c>
      <c r="G352" s="193" t="n">
        <v>0</v>
      </c>
      <c r="H352" s="192" t="n">
        <v>0</v>
      </c>
      <c r="I352" s="192" t="n">
        <v>0</v>
      </c>
      <c r="J352" s="107" t="n"/>
      <c r="K352" s="107" t="n"/>
      <c r="L352" s="107" t="n"/>
      <c r="M352" s="192" t="n">
        <v>0</v>
      </c>
    </row>
    <row r="353" ht="15" customHeight="1">
      <c r="A353" s="111" t="inlineStr">
        <is>
          <t>001254</t>
        </is>
      </c>
      <c r="B353" s="111" t="inlineStr">
        <is>
          <t>000440</t>
        </is>
      </c>
      <c r="C353" s="111" t="inlineStr">
        <is>
          <t>PALITO DE BAMBU 25CM FINO</t>
        </is>
      </c>
      <c r="D353" s="111" t="n"/>
      <c r="E353" s="194" t="n">
        <v>0.02</v>
      </c>
      <c r="F353" s="195" t="n">
        <v>0</v>
      </c>
      <c r="G353" s="196" t="n">
        <v>0</v>
      </c>
      <c r="H353" s="195" t="n">
        <v>0</v>
      </c>
      <c r="I353" s="195" t="n">
        <v>0</v>
      </c>
      <c r="J353" s="111" t="n"/>
      <c r="K353" s="111" t="n"/>
      <c r="L353" s="111" t="n"/>
      <c r="M353" s="195" t="n">
        <v>0</v>
      </c>
    </row>
    <row r="354" ht="15" customHeight="1">
      <c r="A354" s="107" t="inlineStr">
        <is>
          <t>001254</t>
        </is>
      </c>
      <c r="B354" s="107" t="inlineStr">
        <is>
          <t>001250</t>
        </is>
      </c>
      <c r="C354" s="107" t="inlineStr">
        <is>
          <t>DADINHO DE TAPIOCA 0,750GR</t>
        </is>
      </c>
      <c r="D354" s="107" t="n"/>
      <c r="E354" s="191" t="n">
        <v>0.1</v>
      </c>
      <c r="F354" s="192" t="n">
        <v>760.36</v>
      </c>
      <c r="G354" s="193" t="n">
        <v>0</v>
      </c>
      <c r="H354" s="192" t="n">
        <v>0</v>
      </c>
      <c r="I354" s="192" t="n">
        <v>0</v>
      </c>
      <c r="J354" s="107" t="n"/>
      <c r="K354" s="107" t="n"/>
      <c r="L354" s="107" t="n"/>
      <c r="M354" s="192" t="n">
        <v>0</v>
      </c>
    </row>
    <row r="355" ht="15" customHeight="1">
      <c r="A355" s="111" t="inlineStr">
        <is>
          <t>001254</t>
        </is>
      </c>
      <c r="B355" s="111" t="inlineStr">
        <is>
          <t>001251</t>
        </is>
      </c>
      <c r="C355" s="111" t="inlineStr">
        <is>
          <t>GELEIA DE PIMENTA 1,2KG</t>
        </is>
      </c>
      <c r="D355" s="111" t="n"/>
      <c r="E355" s="194" t="n">
        <v>0.005</v>
      </c>
      <c r="F355" s="195" t="n">
        <v>1594.89</v>
      </c>
      <c r="G355" s="196" t="n">
        <v>0</v>
      </c>
      <c r="H355" s="195" t="n">
        <v>0</v>
      </c>
      <c r="I355" s="195" t="n">
        <v>0</v>
      </c>
      <c r="J355" s="111" t="n"/>
      <c r="K355" s="111" t="n"/>
      <c r="L355" s="111" t="n"/>
      <c r="M355" s="195" t="n">
        <v>0</v>
      </c>
    </row>
    <row r="356" ht="15" customHeight="1">
      <c r="A356" s="107" t="inlineStr">
        <is>
          <t>001257</t>
        </is>
      </c>
      <c r="B356" s="107" t="inlineStr">
        <is>
          <t>000487</t>
        </is>
      </c>
      <c r="C356" s="107" t="inlineStr">
        <is>
          <t>ABACAXI PEROLA FRUTA</t>
        </is>
      </c>
      <c r="D356" s="107" t="n"/>
      <c r="E356" s="191" t="n">
        <v>0.25</v>
      </c>
      <c r="F356" s="192" t="n">
        <v>0</v>
      </c>
      <c r="G356" s="193" t="n">
        <v>0</v>
      </c>
      <c r="H356" s="192" t="n">
        <v>0</v>
      </c>
      <c r="I356" s="192" t="n">
        <v>0</v>
      </c>
      <c r="J356" s="107" t="n"/>
      <c r="K356" s="107" t="n"/>
      <c r="L356" s="107" t="n"/>
      <c r="M356" s="192" t="n">
        <v>0</v>
      </c>
    </row>
    <row r="357" ht="15" customHeight="1">
      <c r="A357" s="111" t="inlineStr">
        <is>
          <t>001261</t>
        </is>
      </c>
      <c r="B357" s="111" t="inlineStr">
        <is>
          <t>000590</t>
        </is>
      </c>
      <c r="C357" s="111" t="inlineStr">
        <is>
          <t>MORANGO FRUTA</t>
        </is>
      </c>
      <c r="D357" s="111" t="n"/>
      <c r="E357" s="194" t="n">
        <v>0.18</v>
      </c>
      <c r="F357" s="195" t="n">
        <v>0</v>
      </c>
      <c r="G357" s="196" t="n">
        <v>0</v>
      </c>
      <c r="H357" s="195" t="n">
        <v>0</v>
      </c>
      <c r="I357" s="195" t="n">
        <v>0</v>
      </c>
      <c r="J357" s="111" t="n"/>
      <c r="K357" s="111" t="n"/>
      <c r="L357" s="111" t="n"/>
      <c r="M357" s="195" t="n">
        <v>0</v>
      </c>
    </row>
    <row r="358" ht="15" customHeight="1">
      <c r="A358" s="107" t="inlineStr">
        <is>
          <t>001262</t>
        </is>
      </c>
      <c r="B358" s="107" t="inlineStr">
        <is>
          <t>000499</t>
        </is>
      </c>
      <c r="C358" s="107" t="inlineStr">
        <is>
          <t>MARACUJA AZEDO FRUTA</t>
        </is>
      </c>
      <c r="D358" s="107" t="n"/>
      <c r="E358" s="191" t="n">
        <v>0.2</v>
      </c>
      <c r="F358" s="192" t="n">
        <v>0</v>
      </c>
      <c r="G358" s="193" t="n">
        <v>0</v>
      </c>
      <c r="H358" s="192" t="n">
        <v>0</v>
      </c>
      <c r="I358" s="192" t="n">
        <v>0</v>
      </c>
      <c r="J358" s="107" t="n"/>
      <c r="K358" s="107" t="n"/>
      <c r="L358" s="107" t="n"/>
      <c r="M358" s="192" t="n">
        <v>0</v>
      </c>
    </row>
    <row r="359" ht="15" customHeight="1">
      <c r="A359" s="111" t="inlineStr">
        <is>
          <t>001263</t>
        </is>
      </c>
      <c r="B359" s="111" t="inlineStr">
        <is>
          <t>000210</t>
        </is>
      </c>
      <c r="C359" s="111" t="inlineStr">
        <is>
          <t>POLPA AMORA</t>
        </is>
      </c>
      <c r="D359" s="111" t="n"/>
      <c r="E359" s="194" t="n">
        <v>0.1</v>
      </c>
      <c r="F359" s="195" t="n">
        <v>0</v>
      </c>
      <c r="G359" s="196" t="n">
        <v>0</v>
      </c>
      <c r="H359" s="195" t="n">
        <v>0</v>
      </c>
      <c r="I359" s="195" t="n">
        <v>0</v>
      </c>
      <c r="J359" s="111" t="n"/>
      <c r="K359" s="111" t="n"/>
      <c r="L359" s="111" t="n"/>
      <c r="M359" s="195" t="n">
        <v>0</v>
      </c>
    </row>
    <row r="360" ht="15" customHeight="1">
      <c r="A360" s="107" t="inlineStr">
        <is>
          <t>001263</t>
        </is>
      </c>
      <c r="B360" s="107" t="inlineStr">
        <is>
          <t>000590</t>
        </is>
      </c>
      <c r="C360" s="107" t="inlineStr">
        <is>
          <t>MORANGO FRUTA</t>
        </is>
      </c>
      <c r="D360" s="107" t="n"/>
      <c r="E360" s="191" t="n">
        <v>0.15</v>
      </c>
      <c r="F360" s="192" t="n">
        <v>0</v>
      </c>
      <c r="G360" s="193" t="n">
        <v>0</v>
      </c>
      <c r="H360" s="192" t="n">
        <v>0</v>
      </c>
      <c r="I360" s="192" t="n">
        <v>0</v>
      </c>
      <c r="J360" s="107" t="n"/>
      <c r="K360" s="107" t="n"/>
      <c r="L360" s="107" t="n"/>
      <c r="M360" s="192" t="n">
        <v>0</v>
      </c>
    </row>
    <row r="361" ht="15" customHeight="1">
      <c r="A361" s="111" t="inlineStr">
        <is>
          <t>001264</t>
        </is>
      </c>
      <c r="B361" s="111" t="inlineStr">
        <is>
          <t>000451</t>
        </is>
      </c>
      <c r="C361" s="111" t="inlineStr">
        <is>
          <t>PIMENTA ROSA</t>
        </is>
      </c>
      <c r="D361" s="111" t="n"/>
      <c r="E361" s="194" t="n">
        <v>0.01</v>
      </c>
      <c r="F361" s="195" t="n">
        <v>0</v>
      </c>
      <c r="G361" s="196" t="n">
        <v>0</v>
      </c>
      <c r="H361" s="195" t="n">
        <v>0</v>
      </c>
      <c r="I361" s="195" t="n">
        <v>0</v>
      </c>
      <c r="J361" s="111" t="n"/>
      <c r="K361" s="111" t="n"/>
      <c r="L361" s="111" t="n"/>
      <c r="M361" s="195" t="n">
        <v>0</v>
      </c>
    </row>
    <row r="362" ht="15" customHeight="1">
      <c r="A362" s="107" t="inlineStr">
        <is>
          <t>001264</t>
        </is>
      </c>
      <c r="B362" s="107" t="inlineStr">
        <is>
          <t>000494</t>
        </is>
      </c>
      <c r="C362" s="107" t="inlineStr">
        <is>
          <t>LIMAO ROSA FRUTA</t>
        </is>
      </c>
      <c r="D362" s="107" t="n"/>
      <c r="E362" s="191" t="n">
        <v>0.06</v>
      </c>
      <c r="F362" s="192" t="n">
        <v>0</v>
      </c>
      <c r="G362" s="193" t="n">
        <v>0</v>
      </c>
      <c r="H362" s="192" t="n">
        <v>0</v>
      </c>
      <c r="I362" s="192" t="n">
        <v>0</v>
      </c>
      <c r="J362" s="107" t="n"/>
      <c r="K362" s="107" t="n"/>
      <c r="L362" s="107" t="n"/>
      <c r="M362" s="192" t="n">
        <v>0</v>
      </c>
    </row>
    <row r="363" ht="15" customHeight="1">
      <c r="A363" s="111" t="inlineStr">
        <is>
          <t>001264</t>
        </is>
      </c>
      <c r="B363" s="111" t="inlineStr">
        <is>
          <t>000496</t>
        </is>
      </c>
      <c r="C363" s="111" t="inlineStr">
        <is>
          <t>TANGERINA MURCOT FRUTA</t>
        </is>
      </c>
      <c r="D363" s="111" t="n"/>
      <c r="E363" s="194" t="n">
        <v>0.15</v>
      </c>
      <c r="F363" s="195" t="n">
        <v>0</v>
      </c>
      <c r="G363" s="196" t="n">
        <v>0</v>
      </c>
      <c r="H363" s="195" t="n">
        <v>0</v>
      </c>
      <c r="I363" s="195" t="n">
        <v>0</v>
      </c>
      <c r="J363" s="111" t="n"/>
      <c r="K363" s="111" t="n"/>
      <c r="L363" s="111" t="n"/>
      <c r="M363" s="195" t="n">
        <v>0</v>
      </c>
    </row>
    <row r="364" ht="15" customHeight="1">
      <c r="A364" s="107" t="inlineStr">
        <is>
          <t>001265</t>
        </is>
      </c>
      <c r="B364" s="107" t="inlineStr">
        <is>
          <t>000492</t>
        </is>
      </c>
      <c r="C364" s="107" t="inlineStr">
        <is>
          <t>LIMAO TAITI FRUTA</t>
        </is>
      </c>
      <c r="D364" s="107" t="n"/>
      <c r="E364" s="191" t="n">
        <v>0.15</v>
      </c>
      <c r="F364" s="192" t="n">
        <v>0</v>
      </c>
      <c r="G364" s="193" t="n">
        <v>0</v>
      </c>
      <c r="H364" s="192" t="n">
        <v>0</v>
      </c>
      <c r="I364" s="192" t="n">
        <v>0</v>
      </c>
      <c r="J364" s="107" t="n"/>
      <c r="K364" s="107" t="n"/>
      <c r="L364" s="107" t="n"/>
      <c r="M364" s="192" t="n">
        <v>0</v>
      </c>
    </row>
    <row r="365" ht="15" customHeight="1">
      <c r="A365" s="111" t="inlineStr">
        <is>
          <t>001266</t>
        </is>
      </c>
      <c r="B365" s="111" t="inlineStr">
        <is>
          <t>000374</t>
        </is>
      </c>
      <c r="C365" s="111" t="inlineStr">
        <is>
          <t>ACUCAR REFINADO UNIAO</t>
        </is>
      </c>
      <c r="D365" s="111" t="n"/>
      <c r="E365" s="194" t="n">
        <v>0.001</v>
      </c>
      <c r="F365" s="195" t="n">
        <v>0</v>
      </c>
      <c r="G365" s="196" t="n">
        <v>0</v>
      </c>
      <c r="H365" s="195" t="n">
        <v>0</v>
      </c>
      <c r="I365" s="195" t="n">
        <v>0</v>
      </c>
      <c r="J365" s="111" t="n"/>
      <c r="K365" s="111" t="n"/>
      <c r="L365" s="111" t="n"/>
      <c r="M365" s="195" t="n">
        <v>0</v>
      </c>
    </row>
    <row r="366" ht="15" customHeight="1">
      <c r="A366" s="107" t="inlineStr">
        <is>
          <t>001294</t>
        </is>
      </c>
      <c r="B366" s="107" t="inlineStr">
        <is>
          <t>000492</t>
        </is>
      </c>
      <c r="C366" s="107" t="inlineStr">
        <is>
          <t>LIMAO TAITI FRUTA</t>
        </is>
      </c>
      <c r="D366" s="107" t="n"/>
      <c r="E366" s="191" t="n">
        <v>0.1</v>
      </c>
      <c r="F366" s="192" t="n">
        <v>0</v>
      </c>
      <c r="G366" s="193" t="n">
        <v>0</v>
      </c>
      <c r="H366" s="192" t="n">
        <v>0</v>
      </c>
      <c r="I366" s="192" t="n">
        <v>0</v>
      </c>
      <c r="J366" s="107" t="n"/>
      <c r="K366" s="107" t="n"/>
      <c r="L366" s="107" t="n"/>
      <c r="M366" s="192" t="n">
        <v>0</v>
      </c>
    </row>
    <row r="367" ht="15" customHeight="1">
      <c r="A367" s="111" t="inlineStr">
        <is>
          <t>001294</t>
        </is>
      </c>
      <c r="B367" s="111" t="inlineStr">
        <is>
          <t>000501</t>
        </is>
      </c>
      <c r="C367" s="111" t="inlineStr">
        <is>
          <t>UVA ITALIA FRUTA</t>
        </is>
      </c>
      <c r="D367" s="111" t="n"/>
      <c r="E367" s="194" t="n">
        <v>0.12</v>
      </c>
      <c r="F367" s="195" t="n">
        <v>0</v>
      </c>
      <c r="G367" s="196" t="n">
        <v>0</v>
      </c>
      <c r="H367" s="195" t="n">
        <v>0</v>
      </c>
      <c r="I367" s="195" t="n">
        <v>0</v>
      </c>
      <c r="J367" s="111" t="n"/>
      <c r="K367" s="111" t="n"/>
      <c r="L367" s="111" t="n"/>
      <c r="M367" s="195" t="n">
        <v>0</v>
      </c>
    </row>
    <row r="368" ht="15" customHeight="1">
      <c r="A368" s="107" t="inlineStr">
        <is>
          <t>001295</t>
        </is>
      </c>
      <c r="B368" s="107" t="inlineStr">
        <is>
          <t>000491</t>
        </is>
      </c>
      <c r="C368" s="107" t="inlineStr">
        <is>
          <t>LIMA DA PERSIA FRUTA</t>
        </is>
      </c>
      <c r="D368" s="107" t="n"/>
      <c r="E368" s="191" t="n">
        <v>0.18</v>
      </c>
      <c r="F368" s="192" t="n">
        <v>0</v>
      </c>
      <c r="G368" s="193" t="n">
        <v>0</v>
      </c>
      <c r="H368" s="192" t="n">
        <v>0</v>
      </c>
      <c r="I368" s="192" t="n">
        <v>0</v>
      </c>
      <c r="J368" s="107" t="n"/>
      <c r="K368" s="107" t="n"/>
      <c r="L368" s="107" t="n"/>
      <c r="M368" s="192" t="n">
        <v>0</v>
      </c>
    </row>
    <row r="369" ht="15" customHeight="1">
      <c r="A369" s="111" t="inlineStr">
        <is>
          <t>001306</t>
        </is>
      </c>
      <c r="B369" s="111" t="inlineStr">
        <is>
          <t>001161</t>
        </is>
      </c>
      <c r="C369" s="111" t="inlineStr">
        <is>
          <t>GIN TANQUERAY 750ML</t>
        </is>
      </c>
      <c r="D369" s="111" t="n"/>
      <c r="E369" s="194" t="n">
        <v>0.08</v>
      </c>
      <c r="F369" s="195" t="n">
        <v>0</v>
      </c>
      <c r="G369" s="196" t="n">
        <v>0</v>
      </c>
      <c r="H369" s="195" t="n">
        <v>0</v>
      </c>
      <c r="I369" s="195" t="n">
        <v>0</v>
      </c>
      <c r="J369" s="111" t="n"/>
      <c r="K369" s="111" t="n"/>
      <c r="L369" s="111" t="n"/>
      <c r="M369" s="195" t="n">
        <v>0</v>
      </c>
    </row>
    <row r="370" ht="15" customHeight="1">
      <c r="A370" s="107" t="inlineStr">
        <is>
          <t>001312</t>
        </is>
      </c>
      <c r="B370" s="107" t="inlineStr">
        <is>
          <t>009581</t>
        </is>
      </c>
      <c r="C370" s="107" t="inlineStr">
        <is>
          <t>VINHO SAN SIMON MONASTREL 750 ML</t>
        </is>
      </c>
      <c r="D370" s="107" t="n"/>
      <c r="E370" s="191" t="n">
        <v>1</v>
      </c>
      <c r="F370" s="192" t="n">
        <v>0</v>
      </c>
      <c r="G370" s="193" t="n">
        <v>0</v>
      </c>
      <c r="H370" s="192" t="n">
        <v>0</v>
      </c>
      <c r="I370" s="192" t="n">
        <v>0</v>
      </c>
      <c r="J370" s="107" t="n"/>
      <c r="K370" s="107" t="n"/>
      <c r="L370" s="107" t="n"/>
      <c r="M370" s="192" t="n">
        <v>0</v>
      </c>
    </row>
    <row r="371" ht="15" customHeight="1">
      <c r="A371" s="111" t="inlineStr">
        <is>
          <t>001319</t>
        </is>
      </c>
      <c r="B371" s="111" t="inlineStr">
        <is>
          <t>001317</t>
        </is>
      </c>
      <c r="C371" s="111" t="inlineStr">
        <is>
          <t>WHISKY JACK APPLE 1LT</t>
        </is>
      </c>
      <c r="D371" s="111" t="n"/>
      <c r="E371" s="194" t="n">
        <v>0.05</v>
      </c>
      <c r="F371" s="195" t="n">
        <v>0</v>
      </c>
      <c r="G371" s="196" t="n">
        <v>0</v>
      </c>
      <c r="H371" s="195" t="n">
        <v>0</v>
      </c>
      <c r="I371" s="195" t="n">
        <v>0</v>
      </c>
      <c r="J371" s="111" t="n"/>
      <c r="K371" s="111" t="n"/>
      <c r="L371" s="111" t="n"/>
      <c r="M371" s="195" t="n">
        <v>0</v>
      </c>
    </row>
    <row r="372" ht="15" customHeight="1">
      <c r="A372" s="107" t="inlineStr">
        <is>
          <t>001320</t>
        </is>
      </c>
      <c r="B372" s="107" t="inlineStr">
        <is>
          <t>001317</t>
        </is>
      </c>
      <c r="C372" s="107" t="inlineStr">
        <is>
          <t>WHISKY JACK APPLE 1LT</t>
        </is>
      </c>
      <c r="D372" s="107" t="n"/>
      <c r="E372" s="191" t="n">
        <v>1</v>
      </c>
      <c r="F372" s="192" t="n">
        <v>0</v>
      </c>
      <c r="G372" s="193" t="n">
        <v>0</v>
      </c>
      <c r="H372" s="192" t="n">
        <v>0</v>
      </c>
      <c r="I372" s="192" t="n">
        <v>0</v>
      </c>
      <c r="J372" s="107" t="n"/>
      <c r="K372" s="107" t="n"/>
      <c r="L372" s="107" t="n"/>
      <c r="M372" s="192" t="n">
        <v>0</v>
      </c>
    </row>
    <row r="373" ht="15" customHeight="1">
      <c r="A373" s="111" t="inlineStr">
        <is>
          <t>001323</t>
        </is>
      </c>
      <c r="B373" s="111" t="inlineStr">
        <is>
          <t>001318</t>
        </is>
      </c>
      <c r="C373" s="111" t="inlineStr">
        <is>
          <t>WHISKY JACK GENTLEMAN 1LT</t>
        </is>
      </c>
      <c r="D373" s="111" t="n"/>
      <c r="E373" s="194" t="n">
        <v>0.6</v>
      </c>
      <c r="F373" s="195" t="n">
        <v>0</v>
      </c>
      <c r="G373" s="196" t="n">
        <v>0</v>
      </c>
      <c r="H373" s="195" t="n">
        <v>0</v>
      </c>
      <c r="I373" s="195" t="n">
        <v>0</v>
      </c>
      <c r="J373" s="111" t="n"/>
      <c r="K373" s="111" t="n"/>
      <c r="L373" s="111" t="n"/>
      <c r="M373" s="195" t="n">
        <v>0</v>
      </c>
    </row>
    <row r="374" ht="15" customHeight="1">
      <c r="A374" s="107" t="inlineStr">
        <is>
          <t>001325</t>
        </is>
      </c>
      <c r="B374" s="107" t="inlineStr">
        <is>
          <t>000318</t>
        </is>
      </c>
      <c r="C374" s="107" t="inlineStr">
        <is>
          <t>TONICA COMUM LATA</t>
        </is>
      </c>
      <c r="D374" s="107" t="n"/>
      <c r="E374" s="191" t="n">
        <v>1</v>
      </c>
      <c r="F374" s="192" t="n">
        <v>12803.01</v>
      </c>
      <c r="G374" s="193" t="n">
        <v>0</v>
      </c>
      <c r="H374" s="192" t="n">
        <v>0</v>
      </c>
      <c r="I374" s="192" t="n">
        <v>0</v>
      </c>
      <c r="J374" s="107" t="n"/>
      <c r="K374" s="107" t="n"/>
      <c r="L374" s="107" t="n"/>
      <c r="M374" s="192" t="n">
        <v>0</v>
      </c>
    </row>
    <row r="375" ht="15" customHeight="1">
      <c r="A375" s="111" t="inlineStr">
        <is>
          <t>001325</t>
        </is>
      </c>
      <c r="B375" s="111" t="inlineStr">
        <is>
          <t>000492</t>
        </is>
      </c>
      <c r="C375" s="111" t="inlineStr">
        <is>
          <t>LIMAO TAITI FRUTA</t>
        </is>
      </c>
      <c r="D375" s="111" t="n"/>
      <c r="E375" s="194" t="n">
        <v>0.1</v>
      </c>
      <c r="F375" s="195" t="n">
        <v>85.92</v>
      </c>
      <c r="G375" s="196" t="n">
        <v>0</v>
      </c>
      <c r="H375" s="195" t="n">
        <v>0</v>
      </c>
      <c r="I375" s="195" t="n">
        <v>0</v>
      </c>
      <c r="J375" s="111" t="n"/>
      <c r="K375" s="111" t="n"/>
      <c r="L375" s="111" t="n"/>
      <c r="M375" s="195" t="n">
        <v>0</v>
      </c>
    </row>
    <row r="376" ht="15" customHeight="1">
      <c r="A376" s="107" t="inlineStr">
        <is>
          <t>001325</t>
        </is>
      </c>
      <c r="B376" s="107" t="inlineStr">
        <is>
          <t>001317</t>
        </is>
      </c>
      <c r="C376" s="107" t="inlineStr">
        <is>
          <t>WHISKY JACK APPLE 1LT</t>
        </is>
      </c>
      <c r="D376" s="107" t="n"/>
      <c r="E376" s="191" t="n">
        <v>0.05</v>
      </c>
      <c r="F376" s="192" t="n">
        <v>13.69</v>
      </c>
      <c r="G376" s="193" t="n">
        <v>0</v>
      </c>
      <c r="H376" s="192" t="n">
        <v>0</v>
      </c>
      <c r="I376" s="192" t="n">
        <v>0</v>
      </c>
      <c r="J376" s="107" t="n"/>
      <c r="K376" s="107" t="n"/>
      <c r="L376" s="107" t="n"/>
      <c r="M376" s="192" t="n">
        <v>0</v>
      </c>
    </row>
    <row r="377" ht="15" customHeight="1">
      <c r="A377" s="111" t="inlineStr">
        <is>
          <t>001325</t>
        </is>
      </c>
      <c r="B377" s="111" t="inlineStr">
        <is>
          <t>009827</t>
        </is>
      </c>
      <c r="C377" s="111" t="inlineStr">
        <is>
          <t>XAROPE MACA VERDE 3LT</t>
        </is>
      </c>
      <c r="D377" s="111" t="n"/>
      <c r="E377" s="194" t="n">
        <v>0.015</v>
      </c>
      <c r="F377" s="195" t="n">
        <v>6.24</v>
      </c>
      <c r="G377" s="196" t="n">
        <v>0</v>
      </c>
      <c r="H377" s="195" t="n">
        <v>0</v>
      </c>
      <c r="I377" s="195" t="n">
        <v>0</v>
      </c>
      <c r="J377" s="111" t="n"/>
      <c r="K377" s="111" t="n"/>
      <c r="L377" s="111" t="n"/>
      <c r="M377" s="195" t="n">
        <v>0</v>
      </c>
    </row>
    <row r="378" ht="15" customHeight="1">
      <c r="A378" s="107" t="inlineStr">
        <is>
          <t>001328</t>
        </is>
      </c>
      <c r="B378" s="107" t="inlineStr">
        <is>
          <t>001227</t>
        </is>
      </c>
      <c r="C378" s="107" t="inlineStr">
        <is>
          <t>CERVEJA SPATEN 600 ML</t>
        </is>
      </c>
      <c r="D378" s="107" t="n"/>
      <c r="E378" s="191" t="n">
        <v>1</v>
      </c>
      <c r="F378" s="192" t="n">
        <v>0</v>
      </c>
      <c r="G378" s="193" t="n">
        <v>0</v>
      </c>
      <c r="H378" s="192" t="n">
        <v>0</v>
      </c>
      <c r="I378" s="192" t="n">
        <v>0</v>
      </c>
      <c r="J378" s="107" t="n"/>
      <c r="K378" s="107" t="n"/>
      <c r="L378" s="107" t="n"/>
      <c r="M378" s="192" t="n">
        <v>0</v>
      </c>
    </row>
    <row r="379" ht="15" customHeight="1">
      <c r="A379" s="111" t="inlineStr">
        <is>
          <t>001331</t>
        </is>
      </c>
      <c r="B379" s="111" t="inlineStr">
        <is>
          <t>001349</t>
        </is>
      </c>
      <c r="C379" s="111" t="inlineStr">
        <is>
          <t>GIN KAWAI STRAWEBERRY BAG 5LT</t>
        </is>
      </c>
      <c r="D379" s="111" t="n"/>
      <c r="E379" s="194" t="n">
        <v>0.08</v>
      </c>
      <c r="F379" s="195" t="n">
        <v>0</v>
      </c>
      <c r="G379" s="196" t="n">
        <v>0</v>
      </c>
      <c r="H379" s="195" t="n">
        <v>0</v>
      </c>
      <c r="I379" s="195" t="n">
        <v>0</v>
      </c>
      <c r="J379" s="111" t="n"/>
      <c r="K379" s="111" t="n"/>
      <c r="L379" s="111" t="n"/>
      <c r="M379" s="195" t="n">
        <v>0</v>
      </c>
    </row>
    <row r="380" ht="15" customHeight="1">
      <c r="A380" s="107" t="inlineStr">
        <is>
          <t>001332</t>
        </is>
      </c>
      <c r="B380" s="107" t="inlineStr">
        <is>
          <t>001326</t>
        </is>
      </c>
      <c r="C380" s="107" t="inlineStr">
        <is>
          <t>CERVEJA SPATEN LONG NECK</t>
        </is>
      </c>
      <c r="D380" s="107" t="n"/>
      <c r="E380" s="191" t="n">
        <v>1</v>
      </c>
      <c r="F380" s="192" t="n">
        <v>0</v>
      </c>
      <c r="G380" s="193" t="n">
        <v>0</v>
      </c>
      <c r="H380" s="192" t="n">
        <v>0</v>
      </c>
      <c r="I380" s="192" t="n">
        <v>0</v>
      </c>
      <c r="J380" s="107" t="n"/>
      <c r="K380" s="107" t="n"/>
      <c r="L380" s="107" t="n"/>
      <c r="M380" s="192" t="n">
        <v>0</v>
      </c>
    </row>
    <row r="381" ht="15" customHeight="1">
      <c r="A381" s="111" t="inlineStr">
        <is>
          <t>001333</t>
        </is>
      </c>
      <c r="B381" s="111" t="inlineStr">
        <is>
          <t>001049</t>
        </is>
      </c>
      <c r="C381" s="111" t="inlineStr">
        <is>
          <t>CERVEJA BECKS LONG NECK</t>
        </is>
      </c>
      <c r="D381" s="111" t="n"/>
      <c r="E381" s="194" t="n">
        <v>1</v>
      </c>
      <c r="F381" s="195" t="n">
        <v>0</v>
      </c>
      <c r="G381" s="196" t="n">
        <v>0</v>
      </c>
      <c r="H381" s="195" t="n">
        <v>0</v>
      </c>
      <c r="I381" s="195" t="n">
        <v>0</v>
      </c>
      <c r="J381" s="111" t="n"/>
      <c r="K381" s="111" t="n"/>
      <c r="L381" s="111" t="n"/>
      <c r="M381" s="195" t="n">
        <v>0</v>
      </c>
    </row>
    <row r="382" ht="15" customHeight="1">
      <c r="A382" s="107" t="inlineStr">
        <is>
          <t>001334</t>
        </is>
      </c>
      <c r="B382" s="107" t="inlineStr">
        <is>
          <t>001192</t>
        </is>
      </c>
      <c r="C382" s="107" t="inlineStr">
        <is>
          <t>WHISKY JOHNNIE WALKER GOLD LABEL 750ML</t>
        </is>
      </c>
      <c r="D382" s="107" t="n"/>
      <c r="E382" s="191" t="n">
        <v>0.75</v>
      </c>
      <c r="F382" s="192" t="n">
        <v>0</v>
      </c>
      <c r="G382" s="193" t="n">
        <v>0</v>
      </c>
      <c r="H382" s="192" t="n">
        <v>0</v>
      </c>
      <c r="I382" s="192" t="n">
        <v>0</v>
      </c>
      <c r="J382" s="107" t="n"/>
      <c r="K382" s="107" t="n"/>
      <c r="L382" s="107" t="n"/>
      <c r="M382" s="192" t="n">
        <v>0</v>
      </c>
    </row>
    <row r="383" ht="15" customHeight="1">
      <c r="A383" s="111" t="inlineStr">
        <is>
          <t>001335</t>
        </is>
      </c>
      <c r="B383" s="111" t="inlineStr">
        <is>
          <t>001192</t>
        </is>
      </c>
      <c r="C383" s="111" t="inlineStr">
        <is>
          <t>WHISKY JOHNNIE WALKER GOLD LABEL 750ML</t>
        </is>
      </c>
      <c r="D383" s="111" t="n"/>
      <c r="E383" s="194" t="n">
        <v>0.05</v>
      </c>
      <c r="F383" s="195" t="n">
        <v>23.49</v>
      </c>
      <c r="G383" s="196" t="n">
        <v>0</v>
      </c>
      <c r="H383" s="195" t="n">
        <v>0</v>
      </c>
      <c r="I383" s="195" t="n">
        <v>0</v>
      </c>
      <c r="J383" s="111" t="n"/>
      <c r="K383" s="111" t="n"/>
      <c r="L383" s="111" t="n"/>
      <c r="M383" s="195" t="n">
        <v>0</v>
      </c>
    </row>
    <row r="384" ht="15" customHeight="1">
      <c r="A384" s="107" t="inlineStr">
        <is>
          <t>001338</t>
        </is>
      </c>
      <c r="B384" s="107" t="inlineStr">
        <is>
          <t>001137</t>
        </is>
      </c>
      <c r="C384" s="107" t="inlineStr">
        <is>
          <t>WHISKY JOHNNIE WALKER BLACK LABEL 1LT</t>
        </is>
      </c>
      <c r="D384" s="107" t="n"/>
      <c r="E384" s="191" t="n">
        <v>1</v>
      </c>
      <c r="F384" s="192" t="n">
        <v>0</v>
      </c>
      <c r="G384" s="193" t="n">
        <v>0</v>
      </c>
      <c r="H384" s="192" t="n">
        <v>0</v>
      </c>
      <c r="I384" s="192" t="n">
        <v>0</v>
      </c>
      <c r="J384" s="107" t="n"/>
      <c r="K384" s="107" t="n"/>
      <c r="L384" s="107" t="n"/>
      <c r="M384" s="192" t="n">
        <v>0</v>
      </c>
    </row>
    <row r="385" ht="15" customHeight="1">
      <c r="A385" s="111" t="inlineStr">
        <is>
          <t>001340</t>
        </is>
      </c>
      <c r="B385" s="111" t="inlineStr">
        <is>
          <t>000392</t>
        </is>
      </c>
      <c r="C385" s="111" t="inlineStr">
        <is>
          <t>FEIJAO CARIOCA</t>
        </is>
      </c>
      <c r="D385" s="111" t="n"/>
      <c r="E385" s="194" t="n">
        <v>0.038</v>
      </c>
      <c r="F385" s="195" t="n">
        <v>79.90000000000001</v>
      </c>
      <c r="G385" s="196" t="n">
        <v>0</v>
      </c>
      <c r="H385" s="195" t="n">
        <v>0</v>
      </c>
      <c r="I385" s="195" t="n">
        <v>0</v>
      </c>
      <c r="J385" s="111" t="n"/>
      <c r="K385" s="111" t="n"/>
      <c r="L385" s="111" t="n"/>
      <c r="M385" s="195" t="n">
        <v>0</v>
      </c>
    </row>
    <row r="386" ht="15" customHeight="1">
      <c r="A386" s="107" t="inlineStr">
        <is>
          <t>001340</t>
        </is>
      </c>
      <c r="B386" s="107" t="inlineStr">
        <is>
          <t>000412</t>
        </is>
      </c>
      <c r="C386" s="107" t="inlineStr">
        <is>
          <t>OLEO DE SOJA LIZA 900ML</t>
        </is>
      </c>
      <c r="D386" s="107" t="n"/>
      <c r="E386" s="191" t="n">
        <v>0.003</v>
      </c>
      <c r="F386" s="192" t="n">
        <v>0</v>
      </c>
      <c r="G386" s="193" t="n">
        <v>0</v>
      </c>
      <c r="H386" s="192" t="n">
        <v>0</v>
      </c>
      <c r="I386" s="192" t="n">
        <v>0</v>
      </c>
      <c r="J386" s="107" t="n"/>
      <c r="K386" s="107" t="n"/>
      <c r="L386" s="107" t="n"/>
      <c r="M386" s="192" t="n">
        <v>0</v>
      </c>
    </row>
    <row r="387" ht="15" customHeight="1">
      <c r="A387" s="111" t="inlineStr">
        <is>
          <t>001340</t>
        </is>
      </c>
      <c r="B387" s="111" t="inlineStr">
        <is>
          <t>000426</t>
        </is>
      </c>
      <c r="C387" s="111" t="inlineStr">
        <is>
          <t>BACON EM CUBOS</t>
        </is>
      </c>
      <c r="D387" s="111" t="n"/>
      <c r="E387" s="194" t="n">
        <v>0.02</v>
      </c>
      <c r="F387" s="195" t="n">
        <v>26562.68</v>
      </c>
      <c r="G387" s="196" t="n">
        <v>0</v>
      </c>
      <c r="H387" s="195" t="n">
        <v>0</v>
      </c>
      <c r="I387" s="195" t="n">
        <v>0</v>
      </c>
      <c r="J387" s="111" t="n"/>
      <c r="K387" s="111" t="n"/>
      <c r="L387" s="111" t="n"/>
      <c r="M387" s="195" t="n">
        <v>0</v>
      </c>
    </row>
    <row r="388" ht="15" customHeight="1">
      <c r="A388" s="107" t="inlineStr">
        <is>
          <t>001340</t>
        </is>
      </c>
      <c r="B388" s="107" t="inlineStr">
        <is>
          <t>000463</t>
        </is>
      </c>
      <c r="C388" s="107" t="inlineStr">
        <is>
          <t>ALHO DESCASCADO</t>
        </is>
      </c>
      <c r="D388" s="107" t="n"/>
      <c r="E388" s="191" t="n">
        <v>0.003</v>
      </c>
      <c r="F388" s="192" t="n">
        <v>0</v>
      </c>
      <c r="G388" s="193" t="n">
        <v>0</v>
      </c>
      <c r="H388" s="192" t="n">
        <v>0</v>
      </c>
      <c r="I388" s="192" t="n">
        <v>0</v>
      </c>
      <c r="J388" s="107" t="n"/>
      <c r="K388" s="107" t="n"/>
      <c r="L388" s="107" t="n"/>
      <c r="M388" s="192" t="n">
        <v>0</v>
      </c>
    </row>
    <row r="389" ht="15" customHeight="1">
      <c r="A389" s="111" t="inlineStr">
        <is>
          <t>001340</t>
        </is>
      </c>
      <c r="B389" s="111" t="inlineStr">
        <is>
          <t>000468</t>
        </is>
      </c>
      <c r="C389" s="111" t="inlineStr">
        <is>
          <t>CEBOLA MEDIA</t>
        </is>
      </c>
      <c r="D389" s="111" t="n"/>
      <c r="E389" s="194" t="n">
        <v>0.001</v>
      </c>
      <c r="F389" s="195" t="n">
        <v>0</v>
      </c>
      <c r="G389" s="196" t="n">
        <v>0</v>
      </c>
      <c r="H389" s="195" t="n">
        <v>0</v>
      </c>
      <c r="I389" s="195" t="n">
        <v>0</v>
      </c>
      <c r="J389" s="111" t="n"/>
      <c r="K389" s="111" t="n"/>
      <c r="L389" s="111" t="n"/>
      <c r="M389" s="195" t="n">
        <v>0</v>
      </c>
    </row>
    <row r="390" ht="15" customHeight="1">
      <c r="A390" s="107" t="inlineStr">
        <is>
          <t>001340</t>
        </is>
      </c>
      <c r="B390" s="107" t="inlineStr">
        <is>
          <t>000475</t>
        </is>
      </c>
      <c r="C390" s="107" t="inlineStr">
        <is>
          <t>FOLHA DE LOURO</t>
        </is>
      </c>
      <c r="D390" s="107" t="n"/>
      <c r="E390" s="191" t="n">
        <v>0.0001</v>
      </c>
      <c r="F390" s="192" t="n">
        <v>0</v>
      </c>
      <c r="G390" s="193" t="n">
        <v>0</v>
      </c>
      <c r="H390" s="192" t="n">
        <v>0</v>
      </c>
      <c r="I390" s="192" t="n">
        <v>0</v>
      </c>
      <c r="J390" s="107" t="n"/>
      <c r="K390" s="107" t="n"/>
      <c r="L390" s="107" t="n"/>
      <c r="M390" s="192" t="n">
        <v>0</v>
      </c>
    </row>
    <row r="391" ht="15" customHeight="1">
      <c r="A391" s="111" t="inlineStr">
        <is>
          <t>001340</t>
        </is>
      </c>
      <c r="B391" s="111" t="inlineStr">
        <is>
          <t>000484</t>
        </is>
      </c>
      <c r="C391" s="111" t="inlineStr">
        <is>
          <t>SALSA LISA INDUSTRIAL</t>
        </is>
      </c>
      <c r="D391" s="111" t="n"/>
      <c r="E391" s="194" t="n">
        <v>0.003</v>
      </c>
      <c r="F391" s="195" t="n">
        <v>42.25</v>
      </c>
      <c r="G391" s="196" t="n">
        <v>0</v>
      </c>
      <c r="H391" s="195" t="n">
        <v>0</v>
      </c>
      <c r="I391" s="195" t="n">
        <v>0</v>
      </c>
      <c r="J391" s="111" t="n"/>
      <c r="K391" s="111" t="n"/>
      <c r="L391" s="111" t="n"/>
      <c r="M391" s="195" t="n">
        <v>0</v>
      </c>
    </row>
    <row r="392" ht="15" customHeight="1">
      <c r="A392" s="107" t="inlineStr">
        <is>
          <t>001340</t>
        </is>
      </c>
      <c r="B392" s="107" t="inlineStr">
        <is>
          <t>001129</t>
        </is>
      </c>
      <c r="C392" s="107" t="inlineStr">
        <is>
          <t>LINGUICA CALABRESA</t>
        </is>
      </c>
      <c r="D392" s="107" t="n"/>
      <c r="E392" s="191" t="n">
        <v>0.008999999999999999</v>
      </c>
      <c r="F392" s="192" t="n">
        <v>2.12</v>
      </c>
      <c r="G392" s="193" t="n">
        <v>0</v>
      </c>
      <c r="H392" s="192" t="n">
        <v>0</v>
      </c>
      <c r="I392" s="192" t="n">
        <v>0</v>
      </c>
      <c r="J392" s="107" t="n"/>
      <c r="K392" s="107" t="n"/>
      <c r="L392" s="107" t="n"/>
      <c r="M392" s="192" t="n">
        <v>0</v>
      </c>
    </row>
    <row r="393" ht="15" customHeight="1">
      <c r="A393" s="111" t="inlineStr">
        <is>
          <t>001347</t>
        </is>
      </c>
      <c r="B393" s="111" t="inlineStr">
        <is>
          <t>001346</t>
        </is>
      </c>
      <c r="C393" s="111" t="inlineStr">
        <is>
          <t>BUDWEISER ZERO LONG NECK</t>
        </is>
      </c>
      <c r="D393" s="111" t="n"/>
      <c r="E393" s="194" t="n">
        <v>1</v>
      </c>
      <c r="F393" s="195" t="n">
        <v>0</v>
      </c>
      <c r="G393" s="196" t="n">
        <v>0</v>
      </c>
      <c r="H393" s="195" t="n">
        <v>0</v>
      </c>
      <c r="I393" s="195" t="n">
        <v>0</v>
      </c>
      <c r="J393" s="111" t="n"/>
      <c r="K393" s="111" t="n"/>
      <c r="L393" s="111" t="n"/>
      <c r="M393" s="195" t="n">
        <v>0</v>
      </c>
    </row>
    <row r="394" ht="15" customHeight="1">
      <c r="A394" s="107" t="inlineStr">
        <is>
          <t>001389</t>
        </is>
      </c>
      <c r="B394" s="107" t="inlineStr">
        <is>
          <t>001395</t>
        </is>
      </c>
      <c r="C394" s="107" t="inlineStr">
        <is>
          <t>STELLA LONG NEC S/ GLUTEN</t>
        </is>
      </c>
      <c r="D394" s="107" t="n"/>
      <c r="E394" s="191" t="n">
        <v>1</v>
      </c>
      <c r="F394" s="192" t="n">
        <v>0</v>
      </c>
      <c r="G394" s="193" t="n">
        <v>0</v>
      </c>
      <c r="H394" s="192" t="n">
        <v>0</v>
      </c>
      <c r="I394" s="192" t="n">
        <v>0</v>
      </c>
      <c r="J394" s="107" t="n"/>
      <c r="K394" s="107" t="n"/>
      <c r="L394" s="107" t="n"/>
      <c r="M394" s="192" t="n">
        <v>0</v>
      </c>
    </row>
    <row r="395" ht="15" customHeight="1">
      <c r="A395" s="111" t="inlineStr">
        <is>
          <t>001391</t>
        </is>
      </c>
      <c r="B395" s="111" t="inlineStr">
        <is>
          <t>001387</t>
        </is>
      </c>
      <c r="C395" s="111" t="inlineStr">
        <is>
          <t>VINHO ARGENTINO NORTON PORTENO CHARDONNAY 750ML</t>
        </is>
      </c>
      <c r="D395" s="111" t="n"/>
      <c r="E395" s="194" t="n">
        <v>1</v>
      </c>
      <c r="F395" s="195" t="n">
        <v>0</v>
      </c>
      <c r="G395" s="196" t="n">
        <v>0</v>
      </c>
      <c r="H395" s="195" t="n">
        <v>0</v>
      </c>
      <c r="I395" s="195" t="n">
        <v>0</v>
      </c>
      <c r="J395" s="111" t="n"/>
      <c r="K395" s="111" t="n"/>
      <c r="L395" s="111" t="n"/>
      <c r="M395" s="195" t="n">
        <v>0</v>
      </c>
    </row>
    <row r="396" ht="15" customHeight="1">
      <c r="A396" s="107" t="inlineStr">
        <is>
          <t>001392</t>
        </is>
      </c>
      <c r="B396" s="107" t="inlineStr">
        <is>
          <t>001388</t>
        </is>
      </c>
      <c r="C396" s="107" t="inlineStr">
        <is>
          <t>VINHO ARGENTINO NORTON PORTENO MALBEC 750ML</t>
        </is>
      </c>
      <c r="D396" s="107" t="n"/>
      <c r="E396" s="191" t="n">
        <v>1</v>
      </c>
      <c r="F396" s="192" t="n">
        <v>0</v>
      </c>
      <c r="G396" s="193" t="n">
        <v>0</v>
      </c>
      <c r="H396" s="192" t="n">
        <v>0</v>
      </c>
      <c r="I396" s="192" t="n">
        <v>0</v>
      </c>
      <c r="J396" s="107" t="n"/>
      <c r="K396" s="107" t="n"/>
      <c r="L396" s="107" t="n"/>
      <c r="M396" s="192" t="n">
        <v>0</v>
      </c>
    </row>
    <row r="397" ht="15" customHeight="1">
      <c r="A397" s="111" t="inlineStr">
        <is>
          <t>001396</t>
        </is>
      </c>
      <c r="B397" s="111" t="inlineStr">
        <is>
          <t>001394</t>
        </is>
      </c>
      <c r="C397" s="111" t="inlineStr">
        <is>
          <t>GIN SALT BAG 5LT</t>
        </is>
      </c>
      <c r="D397" s="111" t="n"/>
      <c r="E397" s="194" t="n">
        <v>0.08</v>
      </c>
      <c r="F397" s="195" t="n">
        <v>0</v>
      </c>
      <c r="G397" s="196" t="n">
        <v>0</v>
      </c>
      <c r="H397" s="195" t="n">
        <v>0</v>
      </c>
      <c r="I397" s="195" t="n">
        <v>0</v>
      </c>
      <c r="J397" s="111" t="n"/>
      <c r="K397" s="111" t="n"/>
      <c r="L397" s="111" t="n"/>
      <c r="M397" s="195" t="n">
        <v>0</v>
      </c>
    </row>
    <row r="398" ht="15" customHeight="1">
      <c r="A398" s="107" t="inlineStr">
        <is>
          <t>001400</t>
        </is>
      </c>
      <c r="B398" s="107" t="inlineStr">
        <is>
          <t>001399</t>
        </is>
      </c>
      <c r="C398" s="107" t="inlineStr">
        <is>
          <t>VODKA SMIRNOFF 600 ML</t>
        </is>
      </c>
      <c r="D398" s="107" t="n"/>
      <c r="E398" s="191" t="n">
        <v>0.6</v>
      </c>
      <c r="F398" s="192" t="n">
        <v>0</v>
      </c>
      <c r="G398" s="193" t="n">
        <v>0</v>
      </c>
      <c r="H398" s="192" t="n">
        <v>0</v>
      </c>
      <c r="I398" s="192" t="n">
        <v>0</v>
      </c>
      <c r="J398" s="107" t="n"/>
      <c r="K398" s="107" t="n"/>
      <c r="L398" s="107" t="n"/>
      <c r="M398" s="192" t="n">
        <v>0</v>
      </c>
    </row>
    <row r="399" ht="15" customHeight="1">
      <c r="A399" s="111" t="inlineStr">
        <is>
          <t>001403</t>
        </is>
      </c>
      <c r="B399" s="111" t="inlineStr">
        <is>
          <t>001227</t>
        </is>
      </c>
      <c r="C399" s="111" t="inlineStr">
        <is>
          <t>CERVEJA SPATEN 600 ML</t>
        </is>
      </c>
      <c r="D399" s="111" t="n"/>
      <c r="E399" s="194" t="n">
        <v>1</v>
      </c>
      <c r="F399" s="195" t="n">
        <v>0</v>
      </c>
      <c r="G399" s="196" t="n">
        <v>0</v>
      </c>
      <c r="H399" s="195" t="n">
        <v>0</v>
      </c>
      <c r="I399" s="195" t="n">
        <v>0</v>
      </c>
      <c r="J399" s="111" t="n"/>
      <c r="K399" s="111" t="n"/>
      <c r="L399" s="111" t="n"/>
      <c r="M399" s="195" t="n">
        <v>0</v>
      </c>
    </row>
    <row r="400" ht="15" customHeight="1">
      <c r="A400" s="107" t="inlineStr">
        <is>
          <t>001406</t>
        </is>
      </c>
      <c r="B400" s="107" t="inlineStr">
        <is>
          <t>001161</t>
        </is>
      </c>
      <c r="C400" s="107" t="inlineStr">
        <is>
          <t>GIN TANQUERAY 750ML</t>
        </is>
      </c>
      <c r="D400" s="107" t="n"/>
      <c r="E400" s="191" t="n">
        <v>1</v>
      </c>
      <c r="F400" s="192" t="n">
        <v>0</v>
      </c>
      <c r="G400" s="193" t="n">
        <v>0</v>
      </c>
      <c r="H400" s="192" t="n">
        <v>0</v>
      </c>
      <c r="I400" s="192" t="n">
        <v>0</v>
      </c>
      <c r="J400" s="107" t="n"/>
      <c r="K400" s="107" t="n"/>
      <c r="L400" s="107" t="n"/>
      <c r="M400" s="192" t="n">
        <v>0</v>
      </c>
    </row>
    <row r="401" ht="15" customHeight="1">
      <c r="A401" s="111" t="inlineStr">
        <is>
          <t>001407</t>
        </is>
      </c>
      <c r="B401" s="111" t="inlineStr">
        <is>
          <t>000318</t>
        </is>
      </c>
      <c r="C401" s="111" t="inlineStr">
        <is>
          <t>TONICA COMUM LATA</t>
        </is>
      </c>
      <c r="D401" s="111" t="n"/>
      <c r="E401" s="194" t="n">
        <v>3</v>
      </c>
      <c r="F401" s="195" t="n">
        <v>0</v>
      </c>
      <c r="G401" s="196" t="n">
        <v>0</v>
      </c>
      <c r="H401" s="195" t="n">
        <v>0</v>
      </c>
      <c r="I401" s="195" t="n">
        <v>0</v>
      </c>
      <c r="J401" s="111" t="n"/>
      <c r="K401" s="111" t="n"/>
      <c r="L401" s="111" t="n"/>
      <c r="M401" s="195" t="n">
        <v>0</v>
      </c>
    </row>
    <row r="402" ht="15" customHeight="1">
      <c r="A402" s="107" t="inlineStr">
        <is>
          <t>001407</t>
        </is>
      </c>
      <c r="B402" s="107" t="inlineStr">
        <is>
          <t>000368</t>
        </is>
      </c>
      <c r="C402" s="107" t="inlineStr">
        <is>
          <t>RED BULL</t>
        </is>
      </c>
      <c r="D402" s="107" t="n"/>
      <c r="E402" s="191" t="n">
        <v>3</v>
      </c>
      <c r="F402" s="192" t="n">
        <v>0</v>
      </c>
      <c r="G402" s="193" t="n">
        <v>0</v>
      </c>
      <c r="H402" s="192" t="n">
        <v>0</v>
      </c>
      <c r="I402" s="192" t="n">
        <v>0</v>
      </c>
      <c r="J402" s="107" t="n"/>
      <c r="K402" s="107" t="n"/>
      <c r="L402" s="107" t="n"/>
      <c r="M402" s="192" t="n">
        <v>0</v>
      </c>
    </row>
    <row r="403" ht="15" customHeight="1">
      <c r="A403" s="111" t="inlineStr">
        <is>
          <t>001407</t>
        </is>
      </c>
      <c r="B403" s="111" t="inlineStr">
        <is>
          <t>000474</t>
        </is>
      </c>
      <c r="C403" s="111" t="inlineStr">
        <is>
          <t>HORTELA GRANDE</t>
        </is>
      </c>
      <c r="D403" s="111" t="n"/>
      <c r="E403" s="194" t="n">
        <v>0.001</v>
      </c>
      <c r="F403" s="195" t="n">
        <v>0</v>
      </c>
      <c r="G403" s="196" t="n">
        <v>0</v>
      </c>
      <c r="H403" s="195" t="n">
        <v>0</v>
      </c>
      <c r="I403" s="195" t="n">
        <v>0</v>
      </c>
      <c r="J403" s="111" t="n"/>
      <c r="K403" s="111" t="n"/>
      <c r="L403" s="111" t="n"/>
      <c r="M403" s="195" t="n">
        <v>0</v>
      </c>
    </row>
    <row r="404" ht="15" customHeight="1">
      <c r="A404" s="107" t="inlineStr">
        <is>
          <t>001407</t>
        </is>
      </c>
      <c r="B404" s="107" t="inlineStr">
        <is>
          <t>000490</t>
        </is>
      </c>
      <c r="C404" s="107" t="inlineStr">
        <is>
          <t>LARANJA PERA FRUTA</t>
        </is>
      </c>
      <c r="D404" s="107" t="n"/>
      <c r="E404" s="191" t="n">
        <v>0.05</v>
      </c>
      <c r="F404" s="192" t="n">
        <v>0</v>
      </c>
      <c r="G404" s="193" t="n">
        <v>0</v>
      </c>
      <c r="H404" s="192" t="n">
        <v>0</v>
      </c>
      <c r="I404" s="192" t="n">
        <v>0</v>
      </c>
      <c r="J404" s="107" t="n"/>
      <c r="K404" s="107" t="n"/>
      <c r="L404" s="107" t="n"/>
      <c r="M404" s="192" t="n">
        <v>0</v>
      </c>
    </row>
    <row r="405" ht="15" customHeight="1">
      <c r="A405" s="111" t="inlineStr">
        <is>
          <t>001407</t>
        </is>
      </c>
      <c r="B405" s="111" t="inlineStr">
        <is>
          <t>000492</t>
        </is>
      </c>
      <c r="C405" s="111" t="inlineStr">
        <is>
          <t>LIMAO TAITI FRUTA</t>
        </is>
      </c>
      <c r="D405" s="111" t="n"/>
      <c r="E405" s="194" t="n">
        <v>0.05</v>
      </c>
      <c r="F405" s="195" t="n">
        <v>0</v>
      </c>
      <c r="G405" s="196" t="n">
        <v>0</v>
      </c>
      <c r="H405" s="195" t="n">
        <v>0</v>
      </c>
      <c r="I405" s="195" t="n">
        <v>0</v>
      </c>
      <c r="J405" s="111" t="n"/>
      <c r="K405" s="111" t="n"/>
      <c r="L405" s="111" t="n"/>
      <c r="M405" s="195" t="n">
        <v>0</v>
      </c>
    </row>
    <row r="406" ht="15" customHeight="1">
      <c r="A406" s="107" t="inlineStr">
        <is>
          <t>001407</t>
        </is>
      </c>
      <c r="B406" s="107" t="inlineStr">
        <is>
          <t>000590</t>
        </is>
      </c>
      <c r="C406" s="107" t="inlineStr">
        <is>
          <t>MORANGO FRUTA</t>
        </is>
      </c>
      <c r="D406" s="107" t="n"/>
      <c r="E406" s="191" t="n">
        <v>0.05</v>
      </c>
      <c r="F406" s="192" t="n">
        <v>0</v>
      </c>
      <c r="G406" s="193" t="n">
        <v>0</v>
      </c>
      <c r="H406" s="192" t="n">
        <v>0</v>
      </c>
      <c r="I406" s="192" t="n">
        <v>0</v>
      </c>
      <c r="J406" s="107" t="n"/>
      <c r="K406" s="107" t="n"/>
      <c r="L406" s="107" t="n"/>
      <c r="M406" s="192" t="n">
        <v>0</v>
      </c>
    </row>
    <row r="407" ht="15" customHeight="1">
      <c r="A407" s="111" t="inlineStr">
        <is>
          <t>001407</t>
        </is>
      </c>
      <c r="B407" s="111" t="inlineStr">
        <is>
          <t>000619</t>
        </is>
      </c>
      <c r="C407" s="111" t="inlineStr">
        <is>
          <t>LIMAO SICILIANO</t>
        </is>
      </c>
      <c r="D407" s="111" t="n"/>
      <c r="E407" s="194" t="n">
        <v>0.05</v>
      </c>
      <c r="F407" s="195" t="n">
        <v>0</v>
      </c>
      <c r="G407" s="196" t="n">
        <v>0</v>
      </c>
      <c r="H407" s="195" t="n">
        <v>0</v>
      </c>
      <c r="I407" s="195" t="n">
        <v>0</v>
      </c>
      <c r="J407" s="111" t="n"/>
      <c r="K407" s="111" t="n"/>
      <c r="L407" s="111" t="n"/>
      <c r="M407" s="195" t="n">
        <v>0</v>
      </c>
    </row>
    <row r="408" ht="15" customHeight="1">
      <c r="A408" s="107" t="inlineStr">
        <is>
          <t>001413</t>
        </is>
      </c>
      <c r="B408" s="107" t="inlineStr">
        <is>
          <t>001411</t>
        </is>
      </c>
      <c r="C408" s="107" t="inlineStr">
        <is>
          <t>CERVEJA QUNTAL PILSEN</t>
        </is>
      </c>
      <c r="D408" s="107" t="n"/>
      <c r="E408" s="191" t="n">
        <v>1</v>
      </c>
      <c r="F408" s="192" t="n">
        <v>0</v>
      </c>
      <c r="G408" s="193" t="n">
        <v>0</v>
      </c>
      <c r="H408" s="192" t="n">
        <v>0</v>
      </c>
      <c r="I408" s="192" t="n">
        <v>0</v>
      </c>
      <c r="J408" s="107" t="n"/>
      <c r="K408" s="107" t="n"/>
      <c r="L408" s="107" t="n"/>
      <c r="M408" s="192" t="n">
        <v>0</v>
      </c>
    </row>
    <row r="409" ht="15" customHeight="1">
      <c r="A409" s="111" t="inlineStr">
        <is>
          <t>001414</t>
        </is>
      </c>
      <c r="B409" s="111" t="inlineStr">
        <is>
          <t>001412</t>
        </is>
      </c>
      <c r="C409" s="111" t="inlineStr">
        <is>
          <t>CERVEJA QUINTAL IPA</t>
        </is>
      </c>
      <c r="D409" s="111" t="n"/>
      <c r="E409" s="194" t="n">
        <v>1</v>
      </c>
      <c r="F409" s="195" t="n">
        <v>0</v>
      </c>
      <c r="G409" s="196" t="n">
        <v>0</v>
      </c>
      <c r="H409" s="195" t="n">
        <v>0</v>
      </c>
      <c r="I409" s="195" t="n">
        <v>0</v>
      </c>
      <c r="J409" s="111" t="n"/>
      <c r="K409" s="111" t="n"/>
      <c r="L409" s="111" t="n"/>
      <c r="M409" s="195" t="n">
        <v>0</v>
      </c>
    </row>
    <row r="410" ht="15" customHeight="1">
      <c r="A410" s="107" t="inlineStr">
        <is>
          <t>001470</t>
        </is>
      </c>
      <c r="B410" s="107" t="inlineStr">
        <is>
          <t>000440</t>
        </is>
      </c>
      <c r="C410" s="107" t="inlineStr">
        <is>
          <t>PALITO DE BAMBU 25CM FINO</t>
        </is>
      </c>
      <c r="D410" s="107" t="n"/>
      <c r="E410" s="191" t="n">
        <v>0.02</v>
      </c>
      <c r="F410" s="192" t="n">
        <v>256544.49</v>
      </c>
      <c r="G410" s="193" t="n">
        <v>0</v>
      </c>
      <c r="H410" s="192" t="n">
        <v>0</v>
      </c>
      <c r="I410" s="192" t="n">
        <v>0</v>
      </c>
      <c r="J410" s="107" t="n"/>
      <c r="K410" s="107" t="n"/>
      <c r="L410" s="107" t="n"/>
      <c r="M410" s="192" t="n">
        <v>0</v>
      </c>
    </row>
    <row r="411" ht="15" customHeight="1">
      <c r="A411" s="111" t="inlineStr">
        <is>
          <t>001470</t>
        </is>
      </c>
      <c r="B411" s="111" t="inlineStr">
        <is>
          <t>000628</t>
        </is>
      </c>
      <c r="C411" s="111" t="inlineStr">
        <is>
          <t>MOLHO SHOYO 5 LTS</t>
        </is>
      </c>
      <c r="D411" s="111" t="n"/>
      <c r="E411" s="194" t="n">
        <v>0.05</v>
      </c>
      <c r="F411" s="195" t="n">
        <v>180.4</v>
      </c>
      <c r="G411" s="196" t="n">
        <v>0</v>
      </c>
      <c r="H411" s="195" t="n">
        <v>0</v>
      </c>
      <c r="I411" s="195" t="n">
        <v>0</v>
      </c>
      <c r="J411" s="111" t="n"/>
      <c r="K411" s="111" t="n"/>
      <c r="L411" s="111" t="n"/>
      <c r="M411" s="195" t="n">
        <v>0</v>
      </c>
    </row>
    <row r="412" ht="15" customHeight="1">
      <c r="A412" s="107" t="inlineStr">
        <is>
          <t>001470</t>
        </is>
      </c>
      <c r="B412" s="107" t="inlineStr">
        <is>
          <t>000667</t>
        </is>
      </c>
      <c r="C412" s="107" t="inlineStr">
        <is>
          <t>TOMILHO</t>
        </is>
      </c>
      <c r="D412" s="107" t="n"/>
      <c r="E412" s="191" t="n">
        <v>0.005</v>
      </c>
      <c r="F412" s="192" t="n">
        <v>631.47</v>
      </c>
      <c r="G412" s="193" t="n">
        <v>0</v>
      </c>
      <c r="H412" s="192" t="n">
        <v>0</v>
      </c>
      <c r="I412" s="192" t="n">
        <v>0</v>
      </c>
      <c r="J412" s="107" t="n"/>
      <c r="K412" s="107" t="n"/>
      <c r="L412" s="107" t="n"/>
      <c r="M412" s="192" t="n">
        <v>0</v>
      </c>
    </row>
    <row r="413" ht="15" customHeight="1">
      <c r="A413" s="111" t="inlineStr">
        <is>
          <t>001470</t>
        </is>
      </c>
      <c r="B413" s="111" t="inlineStr">
        <is>
          <t>000694</t>
        </is>
      </c>
      <c r="C413" s="111" t="inlineStr">
        <is>
          <t>BANDEJA SHIMEJI</t>
        </is>
      </c>
      <c r="D413" s="111" t="n"/>
      <c r="E413" s="194" t="n">
        <v>0.2</v>
      </c>
      <c r="F413" s="195" t="n">
        <v>103.03</v>
      </c>
      <c r="G413" s="196" t="n">
        <v>0</v>
      </c>
      <c r="H413" s="195" t="n">
        <v>0</v>
      </c>
      <c r="I413" s="195" t="n">
        <v>0</v>
      </c>
      <c r="J413" s="111" t="n"/>
      <c r="K413" s="111" t="n"/>
      <c r="L413" s="111" t="n"/>
      <c r="M413" s="195" t="n">
        <v>0</v>
      </c>
    </row>
    <row r="414" ht="15" customHeight="1">
      <c r="A414" s="107" t="inlineStr">
        <is>
          <t>001470</t>
        </is>
      </c>
      <c r="B414" s="107" t="inlineStr">
        <is>
          <t>002068</t>
        </is>
      </c>
      <c r="C414" s="107" t="inlineStr">
        <is>
          <t>MANTEIGA S/SAL 5KG</t>
        </is>
      </c>
      <c r="D414" s="107" t="n"/>
      <c r="E414" s="191" t="n">
        <v>0.05</v>
      </c>
      <c r="F414" s="192" t="n">
        <v>11097</v>
      </c>
      <c r="G414" s="193" t="n">
        <v>0</v>
      </c>
      <c r="H414" s="192" t="n">
        <v>0</v>
      </c>
      <c r="I414" s="192" t="n">
        <v>0</v>
      </c>
      <c r="J414" s="107" t="n"/>
      <c r="K414" s="107" t="n"/>
      <c r="L414" s="107" t="n"/>
      <c r="M414" s="192" t="n">
        <v>0</v>
      </c>
    </row>
    <row r="415" ht="15" customHeight="1">
      <c r="A415" s="111" t="inlineStr">
        <is>
          <t>001471</t>
        </is>
      </c>
      <c r="B415" s="111" t="inlineStr">
        <is>
          <t>000492</t>
        </is>
      </c>
      <c r="C415" s="111" t="inlineStr">
        <is>
          <t>LIMAO TAITI FRUTA</t>
        </is>
      </c>
      <c r="D415" s="111" t="n"/>
      <c r="E415" s="194" t="n">
        <v>0.1</v>
      </c>
      <c r="F415" s="195" t="n">
        <v>0</v>
      </c>
      <c r="G415" s="196" t="n">
        <v>0</v>
      </c>
      <c r="H415" s="195" t="n">
        <v>0</v>
      </c>
      <c r="I415" s="195" t="n">
        <v>0</v>
      </c>
      <c r="J415" s="111" t="n"/>
      <c r="K415" s="111" t="n"/>
      <c r="L415" s="111" t="n"/>
      <c r="M415" s="195" t="n">
        <v>0</v>
      </c>
    </row>
    <row r="416" ht="15" customHeight="1">
      <c r="A416" s="107" t="inlineStr">
        <is>
          <t>001471</t>
        </is>
      </c>
      <c r="B416" s="107" t="inlineStr">
        <is>
          <t>001189</t>
        </is>
      </c>
      <c r="C416" s="107" t="inlineStr">
        <is>
          <t>VODKA SMIRNOFF 1,750 ML</t>
        </is>
      </c>
      <c r="D416" s="107" t="n"/>
      <c r="E416" s="191" t="n">
        <v>0.05</v>
      </c>
      <c r="F416" s="192" t="n">
        <v>194.6</v>
      </c>
      <c r="G416" s="193" t="n">
        <v>0</v>
      </c>
      <c r="H416" s="192" t="n">
        <v>0</v>
      </c>
      <c r="I416" s="192" t="n">
        <v>0</v>
      </c>
      <c r="J416" s="107" t="n"/>
      <c r="K416" s="107" t="n"/>
      <c r="L416" s="107" t="n"/>
      <c r="M416" s="192" t="n">
        <v>0</v>
      </c>
    </row>
    <row r="417" ht="15" customHeight="1">
      <c r="A417" s="111" t="inlineStr">
        <is>
          <t>001472</t>
        </is>
      </c>
      <c r="B417" s="111" t="inlineStr">
        <is>
          <t>001580</t>
        </is>
      </c>
      <c r="C417" s="111" t="inlineStr">
        <is>
          <t>PALITO MUSSARELA 1KG</t>
        </is>
      </c>
      <c r="D417" s="111" t="n"/>
      <c r="E417" s="194" t="n">
        <v>0.1</v>
      </c>
      <c r="F417" s="195" t="n">
        <v>395.4</v>
      </c>
      <c r="G417" s="196" t="n">
        <v>0</v>
      </c>
      <c r="H417" s="195" t="n">
        <v>0</v>
      </c>
      <c r="I417" s="195" t="n">
        <v>0</v>
      </c>
      <c r="J417" s="111" t="n"/>
      <c r="K417" s="111" t="n"/>
      <c r="L417" s="111" t="n"/>
      <c r="M417" s="195" t="n">
        <v>0</v>
      </c>
    </row>
    <row r="418" ht="15" customHeight="1">
      <c r="A418" s="107" t="inlineStr">
        <is>
          <t>001474</t>
        </is>
      </c>
      <c r="B418" s="107" t="inlineStr">
        <is>
          <t>001661</t>
        </is>
      </c>
      <c r="C418" s="107" t="inlineStr">
        <is>
          <t>POPS CALABRESA E BACON</t>
        </is>
      </c>
      <c r="D418" s="107" t="n"/>
      <c r="E418" s="191" t="n">
        <v>0.15</v>
      </c>
      <c r="F418" s="192" t="n">
        <v>0</v>
      </c>
      <c r="G418" s="193" t="n">
        <v>0</v>
      </c>
      <c r="H418" s="192" t="n">
        <v>0</v>
      </c>
      <c r="I418" s="192" t="n">
        <v>0</v>
      </c>
      <c r="J418" s="107" t="n"/>
      <c r="K418" s="107" t="n"/>
      <c r="L418" s="107" t="n"/>
      <c r="M418" s="192" t="n">
        <v>0</v>
      </c>
    </row>
    <row r="419" ht="15" customHeight="1">
      <c r="A419" s="111" t="inlineStr">
        <is>
          <t>001475</t>
        </is>
      </c>
      <c r="B419" s="111" t="inlineStr">
        <is>
          <t>001459</t>
        </is>
      </c>
      <c r="C419" s="111" t="inlineStr">
        <is>
          <t>POLENTA PALITO 1,01KG</t>
        </is>
      </c>
      <c r="D419" s="111" t="n"/>
      <c r="E419" s="194" t="n">
        <v>0.21</v>
      </c>
      <c r="F419" s="195" t="n">
        <v>0</v>
      </c>
      <c r="G419" s="196" t="n">
        <v>0</v>
      </c>
      <c r="H419" s="195" t="n">
        <v>0</v>
      </c>
      <c r="I419" s="195" t="n">
        <v>0</v>
      </c>
      <c r="J419" s="111" t="n"/>
      <c r="K419" s="111" t="n"/>
      <c r="L419" s="111" t="n"/>
      <c r="M419" s="195" t="n">
        <v>0</v>
      </c>
    </row>
    <row r="420" ht="15" customHeight="1">
      <c r="A420" s="107" t="inlineStr">
        <is>
          <t>001476</t>
        </is>
      </c>
      <c r="B420" s="107" t="inlineStr">
        <is>
          <t>000762</t>
        </is>
      </c>
      <c r="C420" s="107" t="inlineStr">
        <is>
          <t>ESPUMA DE GENGIBRE EM SPRAY 260G</t>
        </is>
      </c>
      <c r="D420" s="107" t="n"/>
      <c r="E420" s="191" t="n">
        <v>0.04</v>
      </c>
      <c r="F420" s="192" t="n">
        <v>0</v>
      </c>
      <c r="G420" s="193" t="n">
        <v>0</v>
      </c>
      <c r="H420" s="192" t="n">
        <v>0</v>
      </c>
      <c r="I420" s="192" t="n">
        <v>0</v>
      </c>
      <c r="J420" s="107" t="n"/>
      <c r="K420" s="107" t="n"/>
      <c r="L420" s="107" t="n"/>
      <c r="M420" s="192" t="n">
        <v>0</v>
      </c>
    </row>
    <row r="421" ht="15" customHeight="1">
      <c r="A421" s="111" t="inlineStr">
        <is>
          <t>001476</t>
        </is>
      </c>
      <c r="B421" s="111" t="inlineStr">
        <is>
          <t>001189</t>
        </is>
      </c>
      <c r="C421" s="111" t="inlineStr">
        <is>
          <t>VODKA SMIRNOFF 1,750 ML</t>
        </is>
      </c>
      <c r="D421" s="111" t="n"/>
      <c r="E421" s="194" t="n">
        <v>0.05</v>
      </c>
      <c r="F421" s="195" t="n">
        <v>0</v>
      </c>
      <c r="G421" s="196" t="n">
        <v>0</v>
      </c>
      <c r="H421" s="195" t="n">
        <v>0</v>
      </c>
      <c r="I421" s="195" t="n">
        <v>0</v>
      </c>
      <c r="J421" s="111" t="n"/>
      <c r="K421" s="111" t="n"/>
      <c r="L421" s="111" t="n"/>
      <c r="M421" s="195" t="n">
        <v>0</v>
      </c>
    </row>
    <row r="422" ht="15" customHeight="1">
      <c r="A422" s="107" t="inlineStr">
        <is>
          <t>001478</t>
        </is>
      </c>
      <c r="B422" s="107" t="inlineStr">
        <is>
          <t>001581</t>
        </is>
      </c>
      <c r="C422" s="107" t="inlineStr">
        <is>
          <t>MANDIOCA COZIDA CONG 1,01 KG</t>
        </is>
      </c>
      <c r="D422" s="107" t="n"/>
      <c r="E422" s="191" t="n">
        <v>0.2</v>
      </c>
      <c r="F422" s="192" t="n">
        <v>0</v>
      </c>
      <c r="G422" s="193" t="n">
        <v>0</v>
      </c>
      <c r="H422" s="192" t="n">
        <v>0</v>
      </c>
      <c r="I422" s="192" t="n">
        <v>0</v>
      </c>
      <c r="J422" s="107" t="n"/>
      <c r="K422" s="107" t="n"/>
      <c r="L422" s="107" t="n"/>
      <c r="M422" s="192" t="n">
        <v>0</v>
      </c>
    </row>
    <row r="423" ht="15" customHeight="1">
      <c r="A423" s="111" t="inlineStr">
        <is>
          <t>001479</t>
        </is>
      </c>
      <c r="B423" s="111" t="inlineStr">
        <is>
          <t>000619</t>
        </is>
      </c>
      <c r="C423" s="111" t="inlineStr">
        <is>
          <t>LIMAO SICILIANO</t>
        </is>
      </c>
      <c r="D423" s="111" t="n"/>
      <c r="E423" s="194" t="n">
        <v>0.1</v>
      </c>
      <c r="F423" s="195" t="n">
        <v>0</v>
      </c>
      <c r="G423" s="196" t="n">
        <v>0</v>
      </c>
      <c r="H423" s="195" t="n">
        <v>0</v>
      </c>
      <c r="I423" s="195" t="n">
        <v>0</v>
      </c>
      <c r="J423" s="111" t="n"/>
      <c r="K423" s="111" t="n"/>
      <c r="L423" s="111" t="n"/>
      <c r="M423" s="195" t="n">
        <v>0</v>
      </c>
    </row>
    <row r="424" ht="15" customHeight="1">
      <c r="A424" s="107" t="inlineStr">
        <is>
          <t>001479</t>
        </is>
      </c>
      <c r="B424" s="107" t="inlineStr">
        <is>
          <t>009820</t>
        </is>
      </c>
      <c r="C424" s="107" t="inlineStr">
        <is>
          <t>GIN BACCO PREMIUM BAG 5LT</t>
        </is>
      </c>
      <c r="D424" s="107" t="n"/>
      <c r="E424" s="191" t="n">
        <v>0.05</v>
      </c>
      <c r="F424" s="192" t="n">
        <v>0</v>
      </c>
      <c r="G424" s="193" t="n">
        <v>0</v>
      </c>
      <c r="H424" s="192" t="n">
        <v>0</v>
      </c>
      <c r="I424" s="192" t="n">
        <v>0</v>
      </c>
      <c r="J424" s="107" t="n"/>
      <c r="K424" s="107" t="n"/>
      <c r="L424" s="107" t="n"/>
      <c r="M424" s="192" t="n">
        <v>0</v>
      </c>
    </row>
    <row r="425" ht="15" customHeight="1">
      <c r="A425" s="111" t="inlineStr">
        <is>
          <t>001479</t>
        </is>
      </c>
      <c r="B425" s="111" t="inlineStr">
        <is>
          <t>009828</t>
        </is>
      </c>
      <c r="C425" s="111" t="inlineStr">
        <is>
          <t>XAROPE GENGIBRE 3LT</t>
        </is>
      </c>
      <c r="D425" s="111" t="n"/>
      <c r="E425" s="194" t="n">
        <v>0.025</v>
      </c>
      <c r="F425" s="195" t="n">
        <v>0</v>
      </c>
      <c r="G425" s="196" t="n">
        <v>0</v>
      </c>
      <c r="H425" s="195" t="n">
        <v>0</v>
      </c>
      <c r="I425" s="195" t="n">
        <v>0</v>
      </c>
      <c r="J425" s="111" t="n"/>
      <c r="K425" s="111" t="n"/>
      <c r="L425" s="111" t="n"/>
      <c r="M425" s="195" t="n">
        <v>0</v>
      </c>
    </row>
    <row r="426" ht="15" customHeight="1">
      <c r="A426" s="107" t="inlineStr">
        <is>
          <t>001481</t>
        </is>
      </c>
      <c r="B426" s="107" t="inlineStr">
        <is>
          <t>001178</t>
        </is>
      </c>
      <c r="C426" s="107" t="inlineStr">
        <is>
          <t>GELO DE COCO CX COM 30UND</t>
        </is>
      </c>
      <c r="D426" s="107" t="n"/>
      <c r="E426" s="191" t="n">
        <v>1</v>
      </c>
      <c r="F426" s="192" t="n">
        <v>0</v>
      </c>
      <c r="G426" s="193" t="n">
        <v>0</v>
      </c>
      <c r="H426" s="192" t="n">
        <v>0</v>
      </c>
      <c r="I426" s="192" t="n">
        <v>0</v>
      </c>
      <c r="J426" s="107" t="n"/>
      <c r="K426" s="107" t="n"/>
      <c r="L426" s="107" t="n"/>
      <c r="M426" s="192" t="n">
        <v>0</v>
      </c>
    </row>
    <row r="427" ht="15" customHeight="1">
      <c r="A427" s="111" t="inlineStr">
        <is>
          <t>001482</t>
        </is>
      </c>
      <c r="B427" s="111" t="inlineStr">
        <is>
          <t>000454</t>
        </is>
      </c>
      <c r="C427" s="111" t="inlineStr">
        <is>
          <t>BATATA MCAIM 9 MM 2,5KG</t>
        </is>
      </c>
      <c r="D427" s="111" t="n"/>
      <c r="E427" s="194" t="n">
        <v>0.15</v>
      </c>
      <c r="F427" s="195" t="n">
        <v>1970.8</v>
      </c>
      <c r="G427" s="196" t="n">
        <v>0</v>
      </c>
      <c r="H427" s="195" t="n">
        <v>0</v>
      </c>
      <c r="I427" s="195" t="n">
        <v>0</v>
      </c>
      <c r="J427" s="111" t="n"/>
      <c r="K427" s="111" t="n"/>
      <c r="L427" s="111" t="n"/>
      <c r="M427" s="195" t="n">
        <v>0</v>
      </c>
    </row>
    <row r="428" ht="15" customHeight="1">
      <c r="A428" s="107" t="inlineStr">
        <is>
          <t>001484</t>
        </is>
      </c>
      <c r="B428" s="107" t="inlineStr">
        <is>
          <t>000331</t>
        </is>
      </c>
      <c r="C428" s="107" t="inlineStr">
        <is>
          <t>BARRIL CHOPP BRAHMA CLARO 50LT</t>
        </is>
      </c>
      <c r="D428" s="107" t="n"/>
      <c r="E428" s="191" t="n">
        <v>0.006</v>
      </c>
      <c r="F428" s="192" t="n">
        <v>504.61</v>
      </c>
      <c r="G428" s="193" t="n">
        <v>0</v>
      </c>
      <c r="H428" s="192" t="n">
        <v>0</v>
      </c>
      <c r="I428" s="192" t="n">
        <v>0</v>
      </c>
      <c r="J428" s="107" t="n"/>
      <c r="K428" s="107" t="n"/>
      <c r="L428" s="107" t="n"/>
      <c r="M428" s="192" t="n">
        <v>0</v>
      </c>
    </row>
    <row r="429" ht="15" customHeight="1">
      <c r="A429" s="111" t="inlineStr">
        <is>
          <t>001484</t>
        </is>
      </c>
      <c r="B429" s="111" t="inlineStr">
        <is>
          <t>000390</t>
        </is>
      </c>
      <c r="C429" s="111" t="inlineStr">
        <is>
          <t>FARINHA DE TRIGO SOL</t>
        </is>
      </c>
      <c r="D429" s="111" t="n"/>
      <c r="E429" s="194" t="n">
        <v>0.004</v>
      </c>
      <c r="F429" s="195" t="n">
        <v>0.8100000000000001</v>
      </c>
      <c r="G429" s="196" t="n">
        <v>0</v>
      </c>
      <c r="H429" s="195" t="n">
        <v>0</v>
      </c>
      <c r="I429" s="195" t="n">
        <v>0</v>
      </c>
      <c r="J429" s="111" t="n"/>
      <c r="K429" s="111" t="n"/>
      <c r="L429" s="111" t="n"/>
      <c r="M429" s="195" t="n">
        <v>0</v>
      </c>
    </row>
    <row r="430" ht="15" customHeight="1">
      <c r="A430" s="107" t="inlineStr">
        <is>
          <t>001484</t>
        </is>
      </c>
      <c r="B430" s="107" t="inlineStr">
        <is>
          <t>000414</t>
        </is>
      </c>
      <c r="C430" s="107" t="inlineStr">
        <is>
          <t>PIMENTA DO REINO MOIDA</t>
        </is>
      </c>
      <c r="D430" s="107" t="n"/>
      <c r="E430" s="191" t="n">
        <v>0.0001</v>
      </c>
      <c r="F430" s="192" t="n">
        <v>0.02</v>
      </c>
      <c r="G430" s="193" t="n">
        <v>0</v>
      </c>
      <c r="H430" s="192" t="n">
        <v>0</v>
      </c>
      <c r="I430" s="192" t="n">
        <v>0</v>
      </c>
      <c r="J430" s="107" t="n"/>
      <c r="K430" s="107" t="n"/>
      <c r="L430" s="107" t="n"/>
      <c r="M430" s="192" t="n">
        <v>0</v>
      </c>
    </row>
    <row r="431" ht="15" customHeight="1">
      <c r="A431" s="111" t="inlineStr">
        <is>
          <t>001484</t>
        </is>
      </c>
      <c r="B431" s="111" t="inlineStr">
        <is>
          <t>000426</t>
        </is>
      </c>
      <c r="C431" s="111" t="inlineStr">
        <is>
          <t>BACON EM CUBOS</t>
        </is>
      </c>
      <c r="D431" s="111" t="n"/>
      <c r="E431" s="194" t="n">
        <v>0.007</v>
      </c>
      <c r="F431" s="195" t="n">
        <v>1062.51</v>
      </c>
      <c r="G431" s="196" t="n">
        <v>0</v>
      </c>
      <c r="H431" s="195" t="n">
        <v>0</v>
      </c>
      <c r="I431" s="195" t="n">
        <v>0</v>
      </c>
      <c r="J431" s="111" t="n"/>
      <c r="K431" s="111" t="n"/>
      <c r="L431" s="111" t="n"/>
      <c r="M431" s="195" t="n">
        <v>0</v>
      </c>
    </row>
    <row r="432" ht="15" customHeight="1">
      <c r="A432" s="107" t="inlineStr">
        <is>
          <t>001484</t>
        </is>
      </c>
      <c r="B432" s="107" t="inlineStr">
        <is>
          <t>000614</t>
        </is>
      </c>
      <c r="C432" s="107" t="inlineStr">
        <is>
          <t>SAL REFINADO</t>
        </is>
      </c>
      <c r="D432" s="107" t="n"/>
      <c r="E432" s="191" t="n">
        <v>0.0003</v>
      </c>
      <c r="F432" s="192" t="n">
        <v>0.04</v>
      </c>
      <c r="G432" s="193" t="n">
        <v>0</v>
      </c>
      <c r="H432" s="192" t="n">
        <v>0</v>
      </c>
      <c r="I432" s="192" t="n">
        <v>0</v>
      </c>
      <c r="J432" s="107" t="n"/>
      <c r="K432" s="107" t="n"/>
      <c r="L432" s="107" t="n"/>
      <c r="M432" s="192" t="n">
        <v>0</v>
      </c>
    </row>
    <row r="433" ht="15" customHeight="1">
      <c r="A433" s="111" t="inlineStr">
        <is>
          <t>001484</t>
        </is>
      </c>
      <c r="B433" s="111" t="inlineStr">
        <is>
          <t>000667</t>
        </is>
      </c>
      <c r="C433" s="111" t="inlineStr">
        <is>
          <t>TOMILHO</t>
        </is>
      </c>
      <c r="D433" s="111" t="n"/>
      <c r="E433" s="194" t="n">
        <v>0.0012</v>
      </c>
      <c r="F433" s="195" t="n">
        <v>151.55</v>
      </c>
      <c r="G433" s="196" t="n">
        <v>0</v>
      </c>
      <c r="H433" s="195" t="n">
        <v>0</v>
      </c>
      <c r="I433" s="195" t="n">
        <v>0</v>
      </c>
      <c r="J433" s="111" t="n"/>
      <c r="K433" s="111" t="n"/>
      <c r="L433" s="111" t="n"/>
      <c r="M433" s="195" t="n">
        <v>0</v>
      </c>
    </row>
    <row r="434" ht="15" customHeight="1">
      <c r="A434" s="107" t="inlineStr">
        <is>
          <t>001484</t>
        </is>
      </c>
      <c r="B434" s="107" t="inlineStr">
        <is>
          <t>000668</t>
        </is>
      </c>
      <c r="C434" s="107" t="inlineStr">
        <is>
          <t>ALECRIM</t>
        </is>
      </c>
      <c r="D434" s="107" t="n"/>
      <c r="E434" s="191" t="n">
        <v>0.002</v>
      </c>
      <c r="F434" s="192" t="n">
        <v>8433.629999999999</v>
      </c>
      <c r="G434" s="193" t="n">
        <v>0</v>
      </c>
      <c r="H434" s="192" t="n">
        <v>0</v>
      </c>
      <c r="I434" s="192" t="n">
        <v>0</v>
      </c>
      <c r="J434" s="107" t="n"/>
      <c r="K434" s="107" t="n"/>
      <c r="L434" s="107" t="n"/>
      <c r="M434" s="192" t="n">
        <v>0</v>
      </c>
    </row>
    <row r="435" ht="15" customHeight="1">
      <c r="A435" s="111" t="inlineStr">
        <is>
          <t>001484</t>
        </is>
      </c>
      <c r="B435" s="111" t="inlineStr">
        <is>
          <t>002067</t>
        </is>
      </c>
      <c r="C435" s="111" t="inlineStr">
        <is>
          <t>FARINHA PANKO EMPANAR</t>
        </is>
      </c>
      <c r="D435" s="111" t="n"/>
      <c r="E435" s="194" t="n">
        <v>0.037</v>
      </c>
      <c r="F435" s="195" t="n">
        <v>332.1</v>
      </c>
      <c r="G435" s="196" t="n">
        <v>0</v>
      </c>
      <c r="H435" s="195" t="n">
        <v>0</v>
      </c>
      <c r="I435" s="195" t="n">
        <v>0</v>
      </c>
      <c r="J435" s="111" t="n"/>
      <c r="K435" s="111" t="n"/>
      <c r="L435" s="111" t="n"/>
      <c r="M435" s="195" t="n">
        <v>0</v>
      </c>
    </row>
    <row r="436" ht="15" customHeight="1">
      <c r="A436" s="107" t="inlineStr">
        <is>
          <t>001484</t>
        </is>
      </c>
      <c r="B436" s="107" t="inlineStr">
        <is>
          <t>002068</t>
        </is>
      </c>
      <c r="C436" s="107" t="inlineStr">
        <is>
          <t>MANTEIGA S/SAL 5KG</t>
        </is>
      </c>
      <c r="D436" s="107" t="n"/>
      <c r="E436" s="191" t="n">
        <v>0.007</v>
      </c>
      <c r="F436" s="192" t="n">
        <v>1775.52</v>
      </c>
      <c r="G436" s="193" t="n">
        <v>0</v>
      </c>
      <c r="H436" s="192" t="n">
        <v>0</v>
      </c>
      <c r="I436" s="192" t="n">
        <v>0</v>
      </c>
      <c r="J436" s="107" t="n"/>
      <c r="K436" s="107" t="n"/>
      <c r="L436" s="107" t="n"/>
      <c r="M436" s="192" t="n">
        <v>0</v>
      </c>
    </row>
    <row r="437" ht="15" customHeight="1">
      <c r="A437" s="111" t="inlineStr">
        <is>
          <t>001484</t>
        </is>
      </c>
      <c r="B437" s="111" t="inlineStr">
        <is>
          <t>002070</t>
        </is>
      </c>
      <c r="C437" s="111" t="inlineStr">
        <is>
          <t>ALHO PORO</t>
        </is>
      </c>
      <c r="D437" s="111" t="n"/>
      <c r="E437" s="194" t="n">
        <v>0.007</v>
      </c>
      <c r="F437" s="195" t="n">
        <v>1.09</v>
      </c>
      <c r="G437" s="196" t="n">
        <v>0</v>
      </c>
      <c r="H437" s="195" t="n">
        <v>0</v>
      </c>
      <c r="I437" s="195" t="n">
        <v>0</v>
      </c>
      <c r="J437" s="111" t="n"/>
      <c r="K437" s="111" t="n"/>
      <c r="L437" s="111" t="n"/>
      <c r="M437" s="195" t="n">
        <v>0</v>
      </c>
    </row>
    <row r="438" ht="15" customHeight="1">
      <c r="A438" s="107" t="inlineStr">
        <is>
          <t>001485</t>
        </is>
      </c>
      <c r="B438" s="107" t="inlineStr">
        <is>
          <t>002222</t>
        </is>
      </c>
      <c r="C438" s="107" t="inlineStr">
        <is>
          <t>CAPSULA CAFE EXPRESSO DESCAFEINADO</t>
        </is>
      </c>
      <c r="D438" s="107" t="n"/>
      <c r="E438" s="191" t="n">
        <v>1</v>
      </c>
      <c r="F438" s="192" t="n">
        <v>0</v>
      </c>
      <c r="G438" s="193" t="n">
        <v>0</v>
      </c>
      <c r="H438" s="192" t="n">
        <v>0</v>
      </c>
      <c r="I438" s="192" t="n">
        <v>0</v>
      </c>
      <c r="J438" s="107" t="n"/>
      <c r="K438" s="107" t="n"/>
      <c r="L438" s="107" t="n"/>
      <c r="M438" s="192" t="n">
        <v>0</v>
      </c>
    </row>
    <row r="439" ht="15" customHeight="1">
      <c r="A439" s="111" t="inlineStr">
        <is>
          <t>001487</t>
        </is>
      </c>
      <c r="B439" s="111" t="inlineStr">
        <is>
          <t>000448</t>
        </is>
      </c>
      <c r="C439" s="111" t="inlineStr">
        <is>
          <t>ESPRESSO LEGGERO IN</t>
        </is>
      </c>
      <c r="D439" s="111" t="n"/>
      <c r="E439" s="194" t="n">
        <v>1</v>
      </c>
      <c r="F439" s="195" t="n">
        <v>0</v>
      </c>
      <c r="G439" s="196" t="n">
        <v>0</v>
      </c>
      <c r="H439" s="195" t="n">
        <v>0</v>
      </c>
      <c r="I439" s="195" t="n">
        <v>0</v>
      </c>
      <c r="J439" s="111" t="n"/>
      <c r="K439" s="111" t="n"/>
      <c r="L439" s="111" t="n"/>
      <c r="M439" s="195" t="n">
        <v>0</v>
      </c>
    </row>
    <row r="440" ht="15" customHeight="1">
      <c r="A440" s="107" t="inlineStr">
        <is>
          <t>001495</t>
        </is>
      </c>
      <c r="B440" s="107" t="inlineStr">
        <is>
          <t>001637</t>
        </is>
      </c>
      <c r="C440" s="107" t="inlineStr">
        <is>
          <t>BOLINHO D QUEIJO GOUDA</t>
        </is>
      </c>
      <c r="D440" s="107" t="n"/>
      <c r="E440" s="191" t="n">
        <v>0.1</v>
      </c>
      <c r="F440" s="192" t="n">
        <v>740.54</v>
      </c>
      <c r="G440" s="193" t="n">
        <v>0</v>
      </c>
      <c r="H440" s="192" t="n">
        <v>0</v>
      </c>
      <c r="I440" s="192" t="n">
        <v>0</v>
      </c>
      <c r="J440" s="107" t="n"/>
      <c r="K440" s="107" t="n"/>
      <c r="L440" s="107" t="n"/>
      <c r="M440" s="192" t="n">
        <v>0</v>
      </c>
    </row>
    <row r="441" ht="15" customHeight="1">
      <c r="A441" s="111" t="inlineStr">
        <is>
          <t>001496</t>
        </is>
      </c>
      <c r="B441" s="111" t="inlineStr">
        <is>
          <t>000309</t>
        </is>
      </c>
      <c r="C441" s="111" t="inlineStr">
        <is>
          <t>COXINHA DE FRANGO</t>
        </is>
      </c>
      <c r="D441" s="111" t="n"/>
      <c r="E441" s="194" t="n">
        <v>0.1</v>
      </c>
      <c r="F441" s="195" t="n">
        <v>3016.19</v>
      </c>
      <c r="G441" s="196" t="n">
        <v>0</v>
      </c>
      <c r="H441" s="195" t="n">
        <v>0</v>
      </c>
      <c r="I441" s="195" t="n">
        <v>0</v>
      </c>
      <c r="J441" s="111" t="n"/>
      <c r="K441" s="111" t="n"/>
      <c r="L441" s="111" t="n"/>
      <c r="M441" s="195" t="n">
        <v>0</v>
      </c>
    </row>
    <row r="442" ht="15" customHeight="1">
      <c r="A442" s="107" t="inlineStr">
        <is>
          <t>001501</t>
        </is>
      </c>
      <c r="B442" s="107" t="inlineStr">
        <is>
          <t>000206</t>
        </is>
      </c>
      <c r="C442" s="107" t="inlineStr">
        <is>
          <t>LICOR 43 700ML</t>
        </is>
      </c>
      <c r="D442" s="107" t="n"/>
      <c r="E442" s="191" t="n">
        <v>0.05</v>
      </c>
      <c r="F442" s="192" t="n">
        <v>17.07</v>
      </c>
      <c r="G442" s="193" t="n">
        <v>0</v>
      </c>
      <c r="H442" s="192" t="n">
        <v>0</v>
      </c>
      <c r="I442" s="192" t="n">
        <v>0</v>
      </c>
      <c r="J442" s="107" t="n"/>
      <c r="K442" s="107" t="n"/>
      <c r="L442" s="107" t="n"/>
      <c r="M442" s="192" t="n">
        <v>0</v>
      </c>
    </row>
    <row r="443" ht="15" customHeight="1">
      <c r="A443" s="111" t="inlineStr">
        <is>
          <t>001501</t>
        </is>
      </c>
      <c r="B443" s="111" t="inlineStr">
        <is>
          <t>000334</t>
        </is>
      </c>
      <c r="C443" s="111" t="inlineStr">
        <is>
          <t>AGUA C/ GAS</t>
        </is>
      </c>
      <c r="D443" s="111" t="n"/>
      <c r="E443" s="194" t="n">
        <v>1</v>
      </c>
      <c r="F443" s="195" t="n">
        <v>0</v>
      </c>
      <c r="G443" s="196" t="n">
        <v>0</v>
      </c>
      <c r="H443" s="195" t="n">
        <v>0</v>
      </c>
      <c r="I443" s="195" t="n">
        <v>0</v>
      </c>
      <c r="J443" s="111" t="n"/>
      <c r="K443" s="111" t="n"/>
      <c r="L443" s="111" t="n"/>
      <c r="M443" s="195" t="n">
        <v>0</v>
      </c>
    </row>
    <row r="444" ht="15" customHeight="1">
      <c r="A444" s="107" t="inlineStr">
        <is>
          <t>001501</t>
        </is>
      </c>
      <c r="B444" s="107" t="inlineStr">
        <is>
          <t>000492</t>
        </is>
      </c>
      <c r="C444" s="107" t="inlineStr">
        <is>
          <t>LIMAO TAITI FRUTA</t>
        </is>
      </c>
      <c r="D444" s="107" t="n"/>
      <c r="E444" s="191" t="n">
        <v>0.1</v>
      </c>
      <c r="F444" s="192" t="n">
        <v>0</v>
      </c>
      <c r="G444" s="193" t="n">
        <v>0</v>
      </c>
      <c r="H444" s="192" t="n">
        <v>0</v>
      </c>
      <c r="I444" s="192" t="n">
        <v>0</v>
      </c>
      <c r="J444" s="107" t="n"/>
      <c r="K444" s="107" t="n"/>
      <c r="L444" s="107" t="n"/>
      <c r="M444" s="192" t="n">
        <v>0</v>
      </c>
    </row>
    <row r="445" ht="15" customHeight="1">
      <c r="A445" s="111" t="inlineStr">
        <is>
          <t>001501</t>
        </is>
      </c>
      <c r="B445" s="111" t="inlineStr">
        <is>
          <t>009828</t>
        </is>
      </c>
      <c r="C445" s="111" t="inlineStr">
        <is>
          <t>XAROPE GENGIBRE 3LT</t>
        </is>
      </c>
      <c r="D445" s="111" t="n"/>
      <c r="E445" s="194" t="n">
        <v>0.02</v>
      </c>
      <c r="F445" s="195" t="n">
        <v>0</v>
      </c>
      <c r="G445" s="196" t="n">
        <v>0</v>
      </c>
      <c r="H445" s="195" t="n">
        <v>0</v>
      </c>
      <c r="I445" s="195" t="n">
        <v>0</v>
      </c>
      <c r="J445" s="111" t="n"/>
      <c r="K445" s="111" t="n"/>
      <c r="L445" s="111" t="n"/>
      <c r="M445" s="195" t="n">
        <v>0</v>
      </c>
    </row>
    <row r="446" ht="15" customHeight="1">
      <c r="A446" s="107" t="inlineStr">
        <is>
          <t>001504</t>
        </is>
      </c>
      <c r="B446" s="107" t="inlineStr">
        <is>
          <t>002226</t>
        </is>
      </c>
      <c r="C446" s="107" t="inlineStr">
        <is>
          <t>BOLINHO DE PEPPERONI 1,05KG</t>
        </is>
      </c>
      <c r="D446" s="107" t="n"/>
      <c r="E446" s="191" t="n">
        <v>0.1</v>
      </c>
      <c r="F446" s="192" t="n">
        <v>0</v>
      </c>
      <c r="G446" s="193" t="n">
        <v>0</v>
      </c>
      <c r="H446" s="192" t="n">
        <v>0</v>
      </c>
      <c r="I446" s="192" t="n">
        <v>0</v>
      </c>
      <c r="J446" s="107" t="n"/>
      <c r="K446" s="107" t="n"/>
      <c r="L446" s="107" t="n"/>
      <c r="M446" s="192" t="n">
        <v>0</v>
      </c>
    </row>
    <row r="447" ht="15" customHeight="1">
      <c r="A447" s="111" t="inlineStr">
        <is>
          <t>001505</t>
        </is>
      </c>
      <c r="B447" s="111" t="inlineStr">
        <is>
          <t>000466</t>
        </is>
      </c>
      <c r="C447" s="111" t="inlineStr">
        <is>
          <t>BERINJELA</t>
        </is>
      </c>
      <c r="D447" s="111" t="n"/>
      <c r="E447" s="194" t="n">
        <v>0.1</v>
      </c>
      <c r="F447" s="195" t="n">
        <v>18.5</v>
      </c>
      <c r="G447" s="196" t="n">
        <v>0</v>
      </c>
      <c r="H447" s="195" t="n">
        <v>0</v>
      </c>
      <c r="I447" s="195" t="n">
        <v>0</v>
      </c>
      <c r="J447" s="111" t="n"/>
      <c r="K447" s="111" t="n"/>
      <c r="L447" s="111" t="n"/>
      <c r="M447" s="195" t="n">
        <v>0</v>
      </c>
    </row>
    <row r="448" ht="15" customHeight="1">
      <c r="A448" s="107" t="inlineStr">
        <is>
          <t>001506</t>
        </is>
      </c>
      <c r="B448" s="107" t="inlineStr">
        <is>
          <t>009293</t>
        </is>
      </c>
      <c r="C448" s="107" t="inlineStr">
        <is>
          <t>BATATA SMILE COMPRA</t>
        </is>
      </c>
      <c r="D448" s="107" t="n"/>
      <c r="E448" s="191" t="n">
        <v>0.19</v>
      </c>
      <c r="F448" s="192" t="n">
        <v>0</v>
      </c>
      <c r="G448" s="193" t="n">
        <v>0</v>
      </c>
      <c r="H448" s="192" t="n">
        <v>0</v>
      </c>
      <c r="I448" s="192" t="n">
        <v>0</v>
      </c>
      <c r="J448" s="107" t="n"/>
      <c r="K448" s="107" t="n"/>
      <c r="L448" s="107" t="n"/>
      <c r="M448" s="192" t="n">
        <v>0</v>
      </c>
    </row>
    <row r="449" ht="15" customHeight="1">
      <c r="A449" s="111" t="inlineStr">
        <is>
          <t>001507</t>
        </is>
      </c>
      <c r="B449" s="111" t="inlineStr">
        <is>
          <t>000464</t>
        </is>
      </c>
      <c r="C449" s="111" t="inlineStr">
        <is>
          <t>BATATA BOLINHA</t>
        </is>
      </c>
      <c r="D449" s="111" t="n"/>
      <c r="E449" s="194" t="n">
        <v>0.1</v>
      </c>
      <c r="F449" s="195" t="n">
        <v>0</v>
      </c>
      <c r="G449" s="196" t="n">
        <v>0</v>
      </c>
      <c r="H449" s="195" t="n">
        <v>0</v>
      </c>
      <c r="I449" s="195" t="n">
        <v>0</v>
      </c>
      <c r="J449" s="111" t="n"/>
      <c r="K449" s="111" t="n"/>
      <c r="L449" s="111" t="n"/>
      <c r="M449" s="195" t="n">
        <v>0</v>
      </c>
    </row>
    <row r="450" ht="15" customHeight="1">
      <c r="A450" s="107" t="inlineStr">
        <is>
          <t>001508</t>
        </is>
      </c>
      <c r="B450" s="107" t="inlineStr">
        <is>
          <t>000459</t>
        </is>
      </c>
      <c r="C450" s="107" t="inlineStr">
        <is>
          <t>ABOBRINHA ITALIANA</t>
        </is>
      </c>
      <c r="D450" s="107" t="n"/>
      <c r="E450" s="191" t="n">
        <v>0.1</v>
      </c>
      <c r="F450" s="192" t="n">
        <v>27.17</v>
      </c>
      <c r="G450" s="193" t="n">
        <v>0</v>
      </c>
      <c r="H450" s="192" t="n">
        <v>0</v>
      </c>
      <c r="I450" s="192" t="n">
        <v>0</v>
      </c>
      <c r="J450" s="107" t="n"/>
      <c r="K450" s="107" t="n"/>
      <c r="L450" s="107" t="n"/>
      <c r="M450" s="192" t="n">
        <v>0</v>
      </c>
    </row>
    <row r="451" ht="15" customHeight="1">
      <c r="A451" s="111" t="inlineStr">
        <is>
          <t>001509</t>
        </is>
      </c>
      <c r="B451" s="111" t="inlineStr">
        <is>
          <t>000424</t>
        </is>
      </c>
      <c r="C451" s="111" t="inlineStr">
        <is>
          <t>VINAGRE AGRIN BRANCO NEVAL GARRAFA 750ML</t>
        </is>
      </c>
      <c r="D451" s="111" t="n"/>
      <c r="E451" s="194" t="n">
        <v>0.007</v>
      </c>
      <c r="F451" s="195" t="n">
        <v>2.17</v>
      </c>
      <c r="G451" s="196" t="n">
        <v>0</v>
      </c>
      <c r="H451" s="195" t="n">
        <v>0</v>
      </c>
      <c r="I451" s="195" t="n">
        <v>0</v>
      </c>
      <c r="J451" s="111" t="n"/>
      <c r="K451" s="111" t="n"/>
      <c r="L451" s="111" t="n"/>
      <c r="M451" s="195" t="n">
        <v>0</v>
      </c>
    </row>
    <row r="452" ht="15" customHeight="1">
      <c r="A452" s="107" t="inlineStr">
        <is>
          <t>001509</t>
        </is>
      </c>
      <c r="B452" s="107" t="inlineStr">
        <is>
          <t>000468</t>
        </is>
      </c>
      <c r="C452" s="107" t="inlineStr">
        <is>
          <t>CEBOLA MEDIA</t>
        </is>
      </c>
      <c r="D452" s="107" t="n"/>
      <c r="E452" s="191" t="n">
        <v>0.013</v>
      </c>
      <c r="F452" s="192" t="n">
        <v>12130.98</v>
      </c>
      <c r="G452" s="193" t="n">
        <v>0</v>
      </c>
      <c r="H452" s="192" t="n">
        <v>0</v>
      </c>
      <c r="I452" s="192" t="n">
        <v>0</v>
      </c>
      <c r="J452" s="107" t="n"/>
      <c r="K452" s="107" t="n"/>
      <c r="L452" s="107" t="n"/>
      <c r="M452" s="192" t="n">
        <v>0</v>
      </c>
    </row>
    <row r="453" ht="15" customHeight="1">
      <c r="A453" s="111" t="inlineStr">
        <is>
          <t>001509</t>
        </is>
      </c>
      <c r="B453" s="111" t="inlineStr">
        <is>
          <t>000484</t>
        </is>
      </c>
      <c r="C453" s="111" t="inlineStr">
        <is>
          <t>SALSA LISA INDUSTRIAL</t>
        </is>
      </c>
      <c r="D453" s="111" t="n"/>
      <c r="E453" s="194" t="n">
        <v>0.008999999999999999</v>
      </c>
      <c r="F453" s="195" t="n">
        <v>7.61</v>
      </c>
      <c r="G453" s="196" t="n">
        <v>0</v>
      </c>
      <c r="H453" s="195" t="n">
        <v>0</v>
      </c>
      <c r="I453" s="195" t="n">
        <v>0</v>
      </c>
      <c r="J453" s="111" t="n"/>
      <c r="K453" s="111" t="n"/>
      <c r="L453" s="111" t="n"/>
      <c r="M453" s="195" t="n">
        <v>0</v>
      </c>
    </row>
    <row r="454" ht="15" customHeight="1">
      <c r="A454" s="107" t="inlineStr">
        <is>
          <t>001509</t>
        </is>
      </c>
      <c r="B454" s="107" t="inlineStr">
        <is>
          <t>000486</t>
        </is>
      </c>
      <c r="C454" s="107" t="inlineStr">
        <is>
          <t>TOMATE SALADA</t>
        </is>
      </c>
      <c r="D454" s="107" t="n"/>
      <c r="E454" s="191" t="n">
        <v>0.026</v>
      </c>
      <c r="F454" s="192" t="n">
        <v>18.59</v>
      </c>
      <c r="G454" s="193" t="n">
        <v>0</v>
      </c>
      <c r="H454" s="192" t="n">
        <v>0</v>
      </c>
      <c r="I454" s="192" t="n">
        <v>0</v>
      </c>
      <c r="J454" s="107" t="n"/>
      <c r="K454" s="107" t="n"/>
      <c r="L454" s="107" t="n"/>
      <c r="M454" s="192" t="n">
        <v>0</v>
      </c>
    </row>
    <row r="455" ht="15" customHeight="1">
      <c r="A455" s="111" t="inlineStr">
        <is>
          <t>001509</t>
        </is>
      </c>
      <c r="B455" s="111" t="inlineStr">
        <is>
          <t>000614</t>
        </is>
      </c>
      <c r="C455" s="111" t="inlineStr">
        <is>
          <t>SAL REFINADO</t>
        </is>
      </c>
      <c r="D455" s="111" t="n"/>
      <c r="E455" s="194" t="n">
        <v>0.001</v>
      </c>
      <c r="F455" s="195" t="n">
        <v>0.09</v>
      </c>
      <c r="G455" s="196" t="n">
        <v>0</v>
      </c>
      <c r="H455" s="195" t="n">
        <v>0</v>
      </c>
      <c r="I455" s="195" t="n">
        <v>0</v>
      </c>
      <c r="J455" s="111" t="n"/>
      <c r="K455" s="111" t="n"/>
      <c r="L455" s="111" t="n"/>
      <c r="M455" s="195" t="n">
        <v>0</v>
      </c>
    </row>
    <row r="456" ht="15" customHeight="1">
      <c r="A456" s="107" t="inlineStr">
        <is>
          <t>001509</t>
        </is>
      </c>
      <c r="B456" s="107" t="inlineStr">
        <is>
          <t>000747</t>
        </is>
      </c>
      <c r="C456" s="107" t="inlineStr">
        <is>
          <t>AZEITE OLEO COMPOSTO 5 LITROS</t>
        </is>
      </c>
      <c r="D456" s="107" t="n"/>
      <c r="E456" s="191" t="n">
        <v>0.013</v>
      </c>
      <c r="F456" s="192" t="n">
        <v>82.39</v>
      </c>
      <c r="G456" s="193" t="n">
        <v>0</v>
      </c>
      <c r="H456" s="192" t="n">
        <v>0</v>
      </c>
      <c r="I456" s="192" t="n">
        <v>0</v>
      </c>
      <c r="J456" s="107" t="n"/>
      <c r="K456" s="107" t="n"/>
      <c r="L456" s="107" t="n"/>
      <c r="M456" s="192" t="n">
        <v>0</v>
      </c>
    </row>
    <row r="457" ht="15" customHeight="1">
      <c r="A457" s="111" t="inlineStr">
        <is>
          <t>001511</t>
        </is>
      </c>
      <c r="B457" s="111" t="inlineStr">
        <is>
          <t>001522</t>
        </is>
      </c>
      <c r="C457" s="111" t="inlineStr">
        <is>
          <t>ANEIS DE CEBOLA 1,05KG</t>
        </is>
      </c>
      <c r="D457" s="111" t="n"/>
      <c r="E457" s="194" t="n">
        <v>0.15</v>
      </c>
      <c r="F457" s="195" t="n">
        <v>0</v>
      </c>
      <c r="G457" s="196" t="n">
        <v>0</v>
      </c>
      <c r="H457" s="195" t="n">
        <v>0</v>
      </c>
      <c r="I457" s="195" t="n">
        <v>0</v>
      </c>
      <c r="J457" s="111" t="n"/>
      <c r="K457" s="111" t="n"/>
      <c r="L457" s="111" t="n"/>
      <c r="M457" s="195" t="n">
        <v>0</v>
      </c>
    </row>
    <row r="458" ht="15" customHeight="1">
      <c r="A458" s="107" t="inlineStr">
        <is>
          <t>001519</t>
        </is>
      </c>
      <c r="B458" s="107" t="inlineStr">
        <is>
          <t>001580</t>
        </is>
      </c>
      <c r="C458" s="107" t="inlineStr">
        <is>
          <t>PALITO MUSSARELA 1KG</t>
        </is>
      </c>
      <c r="D458" s="107" t="n"/>
      <c r="E458" s="191" t="n">
        <v>0.12</v>
      </c>
      <c r="F458" s="192" t="n">
        <v>0</v>
      </c>
      <c r="G458" s="193" t="n">
        <v>0</v>
      </c>
      <c r="H458" s="192" t="n">
        <v>0</v>
      </c>
      <c r="I458" s="192" t="n">
        <v>0</v>
      </c>
      <c r="J458" s="107" t="n"/>
      <c r="K458" s="107" t="n"/>
      <c r="L458" s="107" t="n"/>
      <c r="M458" s="192" t="n">
        <v>0</v>
      </c>
    </row>
    <row r="459" ht="15" customHeight="1">
      <c r="A459" s="111" t="inlineStr">
        <is>
          <t>001520</t>
        </is>
      </c>
      <c r="B459" s="111" t="inlineStr">
        <is>
          <t>009293</t>
        </is>
      </c>
      <c r="C459" s="111" t="inlineStr">
        <is>
          <t>BATATA SMILE COMPRA</t>
        </is>
      </c>
      <c r="D459" s="111" t="n"/>
      <c r="E459" s="194" t="n">
        <v>0.19</v>
      </c>
      <c r="F459" s="195" t="n">
        <v>0</v>
      </c>
      <c r="G459" s="196" t="n">
        <v>0</v>
      </c>
      <c r="H459" s="195" t="n">
        <v>0</v>
      </c>
      <c r="I459" s="195" t="n">
        <v>0</v>
      </c>
      <c r="J459" s="111" t="n"/>
      <c r="K459" s="111" t="n"/>
      <c r="L459" s="111" t="n"/>
      <c r="M459" s="195" t="n">
        <v>0</v>
      </c>
    </row>
    <row r="460" ht="15" customHeight="1">
      <c r="A460" s="107" t="inlineStr">
        <is>
          <t>001560</t>
        </is>
      </c>
      <c r="B460" s="107" t="inlineStr">
        <is>
          <t>001784</t>
        </is>
      </c>
      <c r="C460" s="107" t="inlineStr">
        <is>
          <t>CERVEJA CORONA 600ML - COMPRAS</t>
        </is>
      </c>
      <c r="D460" s="107" t="n"/>
      <c r="E460" s="191" t="n">
        <v>1</v>
      </c>
      <c r="F460" s="192" t="n">
        <v>0</v>
      </c>
      <c r="G460" s="193" t="n">
        <v>0</v>
      </c>
      <c r="H460" s="192" t="n">
        <v>0</v>
      </c>
      <c r="I460" s="192" t="n">
        <v>0</v>
      </c>
      <c r="J460" s="107" t="n"/>
      <c r="K460" s="107" t="n"/>
      <c r="L460" s="107" t="n"/>
      <c r="M460" s="192" t="n">
        <v>0</v>
      </c>
    </row>
    <row r="461" ht="15" customHeight="1">
      <c r="A461" s="111" t="inlineStr">
        <is>
          <t>001623</t>
        </is>
      </c>
      <c r="B461" s="111" t="inlineStr">
        <is>
          <t>000369</t>
        </is>
      </c>
      <c r="C461" s="111" t="inlineStr">
        <is>
          <t>RED BULL SUGARFREE</t>
        </is>
      </c>
      <c r="D461" s="111" t="n"/>
      <c r="E461" s="194" t="n">
        <v>1</v>
      </c>
      <c r="F461" s="195" t="n">
        <v>0</v>
      </c>
      <c r="G461" s="196" t="n">
        <v>0</v>
      </c>
      <c r="H461" s="195" t="n">
        <v>0</v>
      </c>
      <c r="I461" s="195" t="n">
        <v>0</v>
      </c>
      <c r="J461" s="111" t="n"/>
      <c r="K461" s="111" t="n"/>
      <c r="L461" s="111" t="n"/>
      <c r="M461" s="195" t="n">
        <v>0</v>
      </c>
    </row>
    <row r="462" ht="15" customHeight="1">
      <c r="A462" s="107" t="inlineStr">
        <is>
          <t>001660</t>
        </is>
      </c>
      <c r="B462" s="107" t="inlineStr">
        <is>
          <t>001654</t>
        </is>
      </c>
      <c r="C462" s="107" t="inlineStr">
        <is>
          <t>CORONA EXTRA ZERO LONG NECK</t>
        </is>
      </c>
      <c r="D462" s="107" t="n"/>
      <c r="E462" s="191" t="n">
        <v>1</v>
      </c>
      <c r="F462" s="192" t="n">
        <v>0</v>
      </c>
      <c r="G462" s="193" t="n">
        <v>0</v>
      </c>
      <c r="H462" s="192" t="n">
        <v>0</v>
      </c>
      <c r="I462" s="192" t="n">
        <v>0</v>
      </c>
      <c r="J462" s="107" t="n"/>
      <c r="K462" s="107" t="n"/>
      <c r="L462" s="107" t="n"/>
      <c r="M462" s="192" t="n">
        <v>0</v>
      </c>
    </row>
    <row r="463" ht="15" customHeight="1">
      <c r="A463" s="111" t="inlineStr">
        <is>
          <t>001683</t>
        </is>
      </c>
      <c r="B463" s="111" t="inlineStr">
        <is>
          <t>002049</t>
        </is>
      </c>
      <c r="C463" s="111" t="inlineStr">
        <is>
          <t>LICOR BAUNNY 750ML</t>
        </is>
      </c>
      <c r="D463" s="111" t="n"/>
      <c r="E463" s="194" t="n">
        <v>0.75</v>
      </c>
      <c r="F463" s="195" t="n">
        <v>0</v>
      </c>
      <c r="G463" s="196" t="n">
        <v>0</v>
      </c>
      <c r="H463" s="195" t="n">
        <v>0</v>
      </c>
      <c r="I463" s="195" t="n">
        <v>0</v>
      </c>
      <c r="J463" s="111" t="n"/>
      <c r="K463" s="111" t="n"/>
      <c r="L463" s="111" t="n"/>
      <c r="M463" s="195" t="n">
        <v>0</v>
      </c>
    </row>
    <row r="464" ht="15" customHeight="1">
      <c r="A464" s="107" t="inlineStr">
        <is>
          <t>001782</t>
        </is>
      </c>
      <c r="B464" s="107" t="inlineStr">
        <is>
          <t>001991</t>
        </is>
      </c>
      <c r="C464" s="107" t="inlineStr">
        <is>
          <t>SUCO DEL VALLE UVA LATA</t>
        </is>
      </c>
      <c r="D464" s="107" t="n"/>
      <c r="E464" s="191" t="n">
        <v>1</v>
      </c>
      <c r="F464" s="192" t="n">
        <v>0</v>
      </c>
      <c r="G464" s="193" t="n">
        <v>0</v>
      </c>
      <c r="H464" s="192" t="n">
        <v>0</v>
      </c>
      <c r="I464" s="192" t="n">
        <v>0</v>
      </c>
      <c r="J464" s="107" t="n"/>
      <c r="K464" s="107" t="n"/>
      <c r="L464" s="107" t="n"/>
      <c r="M464" s="192" t="n">
        <v>0</v>
      </c>
    </row>
    <row r="465" ht="15" customHeight="1">
      <c r="A465" s="111" t="inlineStr">
        <is>
          <t>001798</t>
        </is>
      </c>
      <c r="B465" s="111" t="inlineStr">
        <is>
          <t>002049</t>
        </is>
      </c>
      <c r="C465" s="111" t="inlineStr">
        <is>
          <t>LICOR BAUNNY 750ML</t>
        </is>
      </c>
      <c r="D465" s="111" t="n"/>
      <c r="E465" s="194" t="n">
        <v>0.04</v>
      </c>
      <c r="F465" s="195" t="n">
        <v>0</v>
      </c>
      <c r="G465" s="196" t="n">
        <v>0</v>
      </c>
      <c r="H465" s="195" t="n">
        <v>0</v>
      </c>
      <c r="I465" s="195" t="n">
        <v>0</v>
      </c>
      <c r="J465" s="111" t="n"/>
      <c r="K465" s="111" t="n"/>
      <c r="L465" s="111" t="n"/>
      <c r="M465" s="195" t="n">
        <v>0</v>
      </c>
    </row>
    <row r="466" ht="15" customHeight="1">
      <c r="A466" s="107" t="inlineStr">
        <is>
          <t>001901</t>
        </is>
      </c>
      <c r="B466" s="107" t="inlineStr">
        <is>
          <t>001773</t>
        </is>
      </c>
      <c r="C466" s="107" t="inlineStr">
        <is>
          <t>VINHO SIEMPRE TENGO PLAN B  MALBEC 750ML</t>
        </is>
      </c>
      <c r="D466" s="107" t="n"/>
      <c r="E466" s="191" t="n">
        <v>1</v>
      </c>
      <c r="F466" s="192" t="n">
        <v>0</v>
      </c>
      <c r="G466" s="193" t="n">
        <v>0</v>
      </c>
      <c r="H466" s="192" t="n">
        <v>0</v>
      </c>
      <c r="I466" s="192" t="n">
        <v>0</v>
      </c>
      <c r="J466" s="107" t="n"/>
      <c r="K466" s="107" t="n"/>
      <c r="L466" s="107" t="n"/>
      <c r="M466" s="192" t="n">
        <v>0</v>
      </c>
    </row>
    <row r="467" ht="15" customHeight="1">
      <c r="A467" s="111" t="inlineStr">
        <is>
          <t>001902</t>
        </is>
      </c>
      <c r="B467" s="111" t="inlineStr">
        <is>
          <t>001774</t>
        </is>
      </c>
      <c r="C467" s="111" t="inlineStr">
        <is>
          <t>VINHO SIEMPRE TENGO PLAN B BONARDA 750 ML</t>
        </is>
      </c>
      <c r="D467" s="111" t="n"/>
      <c r="E467" s="194" t="n">
        <v>1</v>
      </c>
      <c r="F467" s="195" t="n">
        <v>0</v>
      </c>
      <c r="G467" s="196" t="n">
        <v>0</v>
      </c>
      <c r="H467" s="195" t="n">
        <v>0</v>
      </c>
      <c r="I467" s="195" t="n">
        <v>0</v>
      </c>
      <c r="J467" s="111" t="n"/>
      <c r="K467" s="111" t="n"/>
      <c r="L467" s="111" t="n"/>
      <c r="M467" s="195" t="n">
        <v>0</v>
      </c>
    </row>
    <row r="468" ht="15" customHeight="1">
      <c r="A468" s="107" t="inlineStr">
        <is>
          <t>001903</t>
        </is>
      </c>
      <c r="B468" s="107" t="inlineStr">
        <is>
          <t>001775</t>
        </is>
      </c>
      <c r="C468" s="107" t="inlineStr">
        <is>
          <t>VINHO SIEMPRE TENGOPLAN B CABERNET SAUVIGNON 750ML</t>
        </is>
      </c>
      <c r="D468" s="107" t="n"/>
      <c r="E468" s="191" t="n">
        <v>1</v>
      </c>
      <c r="F468" s="192" t="n">
        <v>0</v>
      </c>
      <c r="G468" s="193" t="n">
        <v>0</v>
      </c>
      <c r="H468" s="192" t="n">
        <v>0</v>
      </c>
      <c r="I468" s="192" t="n">
        <v>0</v>
      </c>
      <c r="J468" s="107" t="n"/>
      <c r="K468" s="107" t="n"/>
      <c r="L468" s="107" t="n"/>
      <c r="M468" s="192" t="n">
        <v>0</v>
      </c>
    </row>
    <row r="469" ht="15" customHeight="1">
      <c r="A469" s="111" t="inlineStr">
        <is>
          <t>001904</t>
        </is>
      </c>
      <c r="B469" s="111" t="inlineStr">
        <is>
          <t>001776</t>
        </is>
      </c>
      <c r="C469" s="111" t="inlineStr">
        <is>
          <t>VINHO SIEMPRE TENGO PLAN B ROSE 750ML</t>
        </is>
      </c>
      <c r="D469" s="111" t="n"/>
      <c r="E469" s="194" t="n">
        <v>1</v>
      </c>
      <c r="F469" s="195" t="n">
        <v>0</v>
      </c>
      <c r="G469" s="196" t="n">
        <v>0</v>
      </c>
      <c r="H469" s="195" t="n">
        <v>0</v>
      </c>
      <c r="I469" s="195" t="n">
        <v>0</v>
      </c>
      <c r="J469" s="111" t="n"/>
      <c r="K469" s="111" t="n"/>
      <c r="L469" s="111" t="n"/>
      <c r="M469" s="195" t="n">
        <v>0</v>
      </c>
    </row>
    <row r="470" ht="15" customHeight="1">
      <c r="A470" s="107" t="inlineStr">
        <is>
          <t>001905</t>
        </is>
      </c>
      <c r="B470" s="107" t="inlineStr">
        <is>
          <t>001777</t>
        </is>
      </c>
      <c r="C470" s="107" t="inlineStr">
        <is>
          <t>VINHO SIEMPRE TENGO PLAN B WHITE BLEND 750ML</t>
        </is>
      </c>
      <c r="D470" s="107" t="n"/>
      <c r="E470" s="191" t="n">
        <v>1</v>
      </c>
      <c r="F470" s="192" t="n">
        <v>0</v>
      </c>
      <c r="G470" s="193" t="n">
        <v>0</v>
      </c>
      <c r="H470" s="192" t="n">
        <v>0</v>
      </c>
      <c r="I470" s="192" t="n">
        <v>0</v>
      </c>
      <c r="J470" s="107" t="n"/>
      <c r="K470" s="107" t="n"/>
      <c r="L470" s="107" t="n"/>
      <c r="M470" s="192" t="n">
        <v>0</v>
      </c>
    </row>
    <row r="471" ht="15" customHeight="1">
      <c r="A471" s="111" t="inlineStr">
        <is>
          <t>001906</t>
        </is>
      </c>
      <c r="B471" s="111" t="inlineStr">
        <is>
          <t>001778</t>
        </is>
      </c>
      <c r="C471" s="111" t="inlineStr">
        <is>
          <t>VINHO PATRIA NUEVA BRANCO CHARDONAY 750ML</t>
        </is>
      </c>
      <c r="D471" s="111" t="n"/>
      <c r="E471" s="194" t="n">
        <v>1</v>
      </c>
      <c r="F471" s="195" t="n">
        <v>0</v>
      </c>
      <c r="G471" s="196" t="n">
        <v>0</v>
      </c>
      <c r="H471" s="195" t="n">
        <v>0</v>
      </c>
      <c r="I471" s="195" t="n">
        <v>0</v>
      </c>
      <c r="J471" s="111" t="n"/>
      <c r="K471" s="111" t="n"/>
      <c r="L471" s="111" t="n"/>
      <c r="M471" s="195" t="n">
        <v>0</v>
      </c>
    </row>
    <row r="472" ht="15" customHeight="1">
      <c r="A472" s="107" t="inlineStr">
        <is>
          <t>001907</t>
        </is>
      </c>
      <c r="B472" s="107" t="inlineStr">
        <is>
          <t>001779</t>
        </is>
      </c>
      <c r="C472" s="107" t="inlineStr">
        <is>
          <t>VINHO PATRIA NUEVA TINTO CABERNET SAUVIGNON 750ML</t>
        </is>
      </c>
      <c r="D472" s="107" t="n"/>
      <c r="E472" s="191" t="n">
        <v>1</v>
      </c>
      <c r="F472" s="192" t="n">
        <v>0</v>
      </c>
      <c r="G472" s="193" t="n">
        <v>0</v>
      </c>
      <c r="H472" s="192" t="n">
        <v>0</v>
      </c>
      <c r="I472" s="192" t="n">
        <v>0</v>
      </c>
      <c r="J472" s="107" t="n"/>
      <c r="K472" s="107" t="n"/>
      <c r="L472" s="107" t="n"/>
      <c r="M472" s="192" t="n">
        <v>0</v>
      </c>
    </row>
    <row r="473" ht="15" customHeight="1">
      <c r="A473" s="111" t="inlineStr">
        <is>
          <t>001910</t>
        </is>
      </c>
      <c r="B473" s="111" t="inlineStr">
        <is>
          <t>001137</t>
        </is>
      </c>
      <c r="C473" s="111" t="inlineStr">
        <is>
          <t>WHISKY JOHNNIE WALKER BLACK LABEL 1LT</t>
        </is>
      </c>
      <c r="D473" s="111" t="n"/>
      <c r="E473" s="194" t="n">
        <v>1</v>
      </c>
      <c r="F473" s="195" t="n">
        <v>0</v>
      </c>
      <c r="G473" s="196" t="n">
        <v>0</v>
      </c>
      <c r="H473" s="195" t="n">
        <v>0</v>
      </c>
      <c r="I473" s="195" t="n">
        <v>0</v>
      </c>
      <c r="J473" s="111" t="n"/>
      <c r="K473" s="111" t="n"/>
      <c r="L473" s="111" t="n"/>
      <c r="M473" s="195" t="n">
        <v>0</v>
      </c>
    </row>
    <row r="474" ht="15" customHeight="1">
      <c r="A474" s="107" t="inlineStr">
        <is>
          <t>001911</t>
        </is>
      </c>
      <c r="B474" s="107" t="inlineStr">
        <is>
          <t>000310</t>
        </is>
      </c>
      <c r="C474" s="107" t="inlineStr">
        <is>
          <t>CERVEJA ORIGINAL 600ML</t>
        </is>
      </c>
      <c r="D474" s="107" t="n"/>
      <c r="E474" s="191" t="n">
        <v>1</v>
      </c>
      <c r="F474" s="192" t="n">
        <v>0</v>
      </c>
      <c r="G474" s="193" t="n">
        <v>0</v>
      </c>
      <c r="H474" s="192" t="n">
        <v>0</v>
      </c>
      <c r="I474" s="192" t="n">
        <v>0</v>
      </c>
      <c r="J474" s="107" t="n"/>
      <c r="K474" s="107" t="n"/>
      <c r="L474" s="107" t="n"/>
      <c r="M474" s="192" t="n">
        <v>0</v>
      </c>
    </row>
    <row r="475" ht="15" customHeight="1">
      <c r="A475" s="111" t="inlineStr">
        <is>
          <t>001938</t>
        </is>
      </c>
      <c r="B475" s="111" t="inlineStr">
        <is>
          <t>001917</t>
        </is>
      </c>
      <c r="C475" s="111" t="inlineStr">
        <is>
          <t>LICOR DE COCO 750 ML APTK</t>
        </is>
      </c>
      <c r="D475" s="111" t="n"/>
      <c r="E475" s="194" t="n">
        <v>1</v>
      </c>
      <c r="F475" s="195" t="n">
        <v>0</v>
      </c>
      <c r="G475" s="196" t="n">
        <v>0</v>
      </c>
      <c r="H475" s="195" t="n">
        <v>0</v>
      </c>
      <c r="I475" s="195" t="n">
        <v>0</v>
      </c>
      <c r="J475" s="111" t="n"/>
      <c r="K475" s="111" t="n"/>
      <c r="L475" s="111" t="n"/>
      <c r="M475" s="195" t="n">
        <v>0</v>
      </c>
    </row>
    <row r="476" ht="15" customHeight="1">
      <c r="A476" s="107" t="inlineStr">
        <is>
          <t>001943</t>
        </is>
      </c>
      <c r="B476" s="107" t="inlineStr">
        <is>
          <t>001916</t>
        </is>
      </c>
      <c r="C476" s="107" t="inlineStr">
        <is>
          <t>XAROPE MONIN MENTA VERDE 700 ML</t>
        </is>
      </c>
      <c r="D476" s="107" t="n"/>
      <c r="E476" s="191" t="n">
        <v>0.015</v>
      </c>
      <c r="F476" s="192" t="n">
        <v>4.5</v>
      </c>
      <c r="G476" s="193" t="n">
        <v>0</v>
      </c>
      <c r="H476" s="192" t="n">
        <v>0</v>
      </c>
      <c r="I476" s="192" t="n">
        <v>0</v>
      </c>
      <c r="J476" s="107" t="n"/>
      <c r="K476" s="107" t="n"/>
      <c r="L476" s="107" t="n"/>
      <c r="M476" s="192" t="n">
        <v>0</v>
      </c>
    </row>
    <row r="477" ht="15" customHeight="1">
      <c r="A477" s="111" t="inlineStr">
        <is>
          <t>001943</t>
        </is>
      </c>
      <c r="B477" s="111" t="inlineStr">
        <is>
          <t>001921</t>
        </is>
      </c>
      <c r="C477" s="111" t="inlineStr">
        <is>
          <t>NEGRONI 750 ML APTK</t>
        </is>
      </c>
      <c r="D477" s="111" t="n"/>
      <c r="E477" s="194" t="n">
        <v>0.075</v>
      </c>
      <c r="F477" s="195" t="n">
        <v>1163.91</v>
      </c>
      <c r="G477" s="196" t="n">
        <v>0</v>
      </c>
      <c r="H477" s="195" t="n">
        <v>0</v>
      </c>
      <c r="I477" s="195" t="n">
        <v>0</v>
      </c>
      <c r="J477" s="111" t="n"/>
      <c r="K477" s="111" t="n"/>
      <c r="L477" s="111" t="n"/>
      <c r="M477" s="195" t="n">
        <v>0</v>
      </c>
    </row>
    <row r="478" ht="15" customHeight="1">
      <c r="A478" s="107" t="inlineStr">
        <is>
          <t>001943</t>
        </is>
      </c>
      <c r="B478" s="107" t="inlineStr">
        <is>
          <t>001974</t>
        </is>
      </c>
      <c r="C478" s="107" t="inlineStr">
        <is>
          <t>GELO APTK PCT COM 26 UND</t>
        </is>
      </c>
      <c r="D478" s="107" t="n"/>
      <c r="E478" s="191" t="n">
        <v>1</v>
      </c>
      <c r="F478" s="192" t="n">
        <v>5.08</v>
      </c>
      <c r="G478" s="193" t="n">
        <v>0</v>
      </c>
      <c r="H478" s="192" t="n">
        <v>0</v>
      </c>
      <c r="I478" s="192" t="n">
        <v>0</v>
      </c>
      <c r="J478" s="107" t="n"/>
      <c r="K478" s="107" t="n"/>
      <c r="L478" s="107" t="n"/>
      <c r="M478" s="192" t="n">
        <v>0</v>
      </c>
    </row>
    <row r="479" ht="15" customHeight="1">
      <c r="A479" s="111" t="inlineStr">
        <is>
          <t>001944</t>
        </is>
      </c>
      <c r="B479" s="111" t="inlineStr">
        <is>
          <t>000492</t>
        </is>
      </c>
      <c r="C479" s="111" t="inlineStr">
        <is>
          <t>LIMAO TAITI FRUTA</t>
        </is>
      </c>
      <c r="D479" s="111" t="n"/>
      <c r="E479" s="194" t="n">
        <v>0.1</v>
      </c>
      <c r="F479" s="195" t="n">
        <v>35.8</v>
      </c>
      <c r="G479" s="196" t="n">
        <v>0</v>
      </c>
      <c r="H479" s="195" t="n">
        <v>0</v>
      </c>
      <c r="I479" s="195" t="n">
        <v>0</v>
      </c>
      <c r="J479" s="111" t="n"/>
      <c r="K479" s="111" t="n"/>
      <c r="L479" s="111" t="n"/>
      <c r="M479" s="195" t="n">
        <v>0</v>
      </c>
    </row>
    <row r="480" ht="15" customHeight="1">
      <c r="A480" s="107" t="inlineStr">
        <is>
          <t>001944</t>
        </is>
      </c>
      <c r="B480" s="107" t="inlineStr">
        <is>
          <t>001914</t>
        </is>
      </c>
      <c r="C480" s="107" t="inlineStr">
        <is>
          <t>XAROPE MONIN MANGA 700 ML</t>
        </is>
      </c>
      <c r="D480" s="107" t="n"/>
      <c r="E480" s="191" t="n">
        <v>0.025</v>
      </c>
      <c r="F480" s="192" t="n">
        <v>8.199999999999999</v>
      </c>
      <c r="G480" s="193" t="n">
        <v>0</v>
      </c>
      <c r="H480" s="192" t="n">
        <v>0</v>
      </c>
      <c r="I480" s="192" t="n">
        <v>0</v>
      </c>
      <c r="J480" s="107" t="n"/>
      <c r="K480" s="107" t="n"/>
      <c r="L480" s="107" t="n"/>
      <c r="M480" s="192" t="n">
        <v>0</v>
      </c>
    </row>
    <row r="481" ht="15" customHeight="1">
      <c r="A481" s="111" t="inlineStr">
        <is>
          <t>001944</t>
        </is>
      </c>
      <c r="B481" s="111" t="inlineStr">
        <is>
          <t>001921</t>
        </is>
      </c>
      <c r="C481" s="111" t="inlineStr">
        <is>
          <t>NEGRONI 750 ML APTK</t>
        </is>
      </c>
      <c r="D481" s="111" t="n"/>
      <c r="E481" s="194" t="n">
        <v>0.075</v>
      </c>
      <c r="F481" s="195" t="n">
        <v>1163.91</v>
      </c>
      <c r="G481" s="196" t="n">
        <v>0</v>
      </c>
      <c r="H481" s="195" t="n">
        <v>0</v>
      </c>
      <c r="I481" s="195" t="n">
        <v>0</v>
      </c>
      <c r="J481" s="111" t="n"/>
      <c r="K481" s="111" t="n"/>
      <c r="L481" s="111" t="n"/>
      <c r="M481" s="195" t="n">
        <v>0</v>
      </c>
    </row>
    <row r="482" ht="15" customHeight="1">
      <c r="A482" s="107" t="inlineStr">
        <is>
          <t>001945</t>
        </is>
      </c>
      <c r="B482" s="107" t="inlineStr">
        <is>
          <t>000380</t>
        </is>
      </c>
      <c r="C482" s="107" t="inlineStr">
        <is>
          <t>AGUA DE COCO 330ML</t>
        </is>
      </c>
      <c r="D482" s="107" t="n"/>
      <c r="E482" s="191" t="n">
        <v>0.1</v>
      </c>
      <c r="F482" s="192" t="n">
        <v>461.43</v>
      </c>
      <c r="G482" s="193" t="n">
        <v>0</v>
      </c>
      <c r="H482" s="192" t="n">
        <v>0</v>
      </c>
      <c r="I482" s="192" t="n">
        <v>0</v>
      </c>
      <c r="J482" s="107" t="n"/>
      <c r="K482" s="107" t="n"/>
      <c r="L482" s="107" t="n"/>
      <c r="M482" s="192" t="n">
        <v>0</v>
      </c>
    </row>
    <row r="483" ht="15" customHeight="1">
      <c r="A483" s="111" t="inlineStr">
        <is>
          <t>001945</t>
        </is>
      </c>
      <c r="B483" s="111" t="inlineStr">
        <is>
          <t>000457</t>
        </is>
      </c>
      <c r="C483" s="111" t="inlineStr">
        <is>
          <t>POLPA MARACUJA</t>
        </is>
      </c>
      <c r="D483" s="111" t="n"/>
      <c r="E483" s="194" t="n">
        <v>0.025</v>
      </c>
      <c r="F483" s="195" t="n">
        <v>21.2</v>
      </c>
      <c r="G483" s="196" t="n">
        <v>0</v>
      </c>
      <c r="H483" s="195" t="n">
        <v>0</v>
      </c>
      <c r="I483" s="195" t="n">
        <v>0</v>
      </c>
      <c r="J483" s="111" t="n"/>
      <c r="K483" s="111" t="n"/>
      <c r="L483" s="111" t="n"/>
      <c r="M483" s="195" t="n">
        <v>0</v>
      </c>
    </row>
    <row r="484" ht="15" customHeight="1">
      <c r="A484" s="107" t="inlineStr">
        <is>
          <t>001945</t>
        </is>
      </c>
      <c r="B484" s="107" t="inlineStr">
        <is>
          <t>000492</t>
        </is>
      </c>
      <c r="C484" s="107" t="inlineStr">
        <is>
          <t>LIMAO TAITI FRUTA</t>
        </is>
      </c>
      <c r="D484" s="107" t="n"/>
      <c r="E484" s="191" t="n">
        <v>0.1</v>
      </c>
      <c r="F484" s="192" t="n">
        <v>35.8</v>
      </c>
      <c r="G484" s="193" t="n">
        <v>0</v>
      </c>
      <c r="H484" s="192" t="n">
        <v>0</v>
      </c>
      <c r="I484" s="192" t="n">
        <v>0</v>
      </c>
      <c r="J484" s="107" t="n"/>
      <c r="K484" s="107" t="n"/>
      <c r="L484" s="107" t="n"/>
      <c r="M484" s="192" t="n">
        <v>0</v>
      </c>
    </row>
    <row r="485" ht="15" customHeight="1">
      <c r="A485" s="111" t="inlineStr">
        <is>
          <t>001945</t>
        </is>
      </c>
      <c r="B485" s="111" t="inlineStr">
        <is>
          <t>001915</t>
        </is>
      </c>
      <c r="C485" s="111" t="inlineStr">
        <is>
          <t>XAROPE MONIN MARACUJA 700 ML</t>
        </is>
      </c>
      <c r="D485" s="111" t="n"/>
      <c r="E485" s="194" t="n">
        <v>0.025</v>
      </c>
      <c r="F485" s="195" t="n">
        <v>29.09</v>
      </c>
      <c r="G485" s="196" t="n">
        <v>0</v>
      </c>
      <c r="H485" s="195" t="n">
        <v>0</v>
      </c>
      <c r="I485" s="195" t="n">
        <v>0</v>
      </c>
      <c r="J485" s="111" t="n"/>
      <c r="K485" s="111" t="n"/>
      <c r="L485" s="111" t="n"/>
      <c r="M485" s="195" t="n">
        <v>0</v>
      </c>
    </row>
    <row r="486" ht="15" customHeight="1">
      <c r="A486" s="107" t="inlineStr">
        <is>
          <t>001945</t>
        </is>
      </c>
      <c r="B486" s="107" t="inlineStr">
        <is>
          <t>009820</t>
        </is>
      </c>
      <c r="C486" s="107" t="inlineStr">
        <is>
          <t>GIN BACCO PREMIUM BAG 5LT</t>
        </is>
      </c>
      <c r="D486" s="107" t="n"/>
      <c r="E486" s="191" t="n">
        <v>0.05</v>
      </c>
      <c r="F486" s="192" t="n">
        <v>6.05</v>
      </c>
      <c r="G486" s="193" t="n">
        <v>0</v>
      </c>
      <c r="H486" s="192" t="n">
        <v>0</v>
      </c>
      <c r="I486" s="192" t="n">
        <v>0</v>
      </c>
      <c r="J486" s="107" t="n"/>
      <c r="K486" s="107" t="n"/>
      <c r="L486" s="107" t="n"/>
      <c r="M486" s="192" t="n">
        <v>0</v>
      </c>
    </row>
    <row r="487" ht="15" customHeight="1">
      <c r="A487" s="111" t="inlineStr">
        <is>
          <t>001946</t>
        </is>
      </c>
      <c r="B487" s="111" t="inlineStr">
        <is>
          <t>000380</t>
        </is>
      </c>
      <c r="C487" s="111" t="inlineStr">
        <is>
          <t>AGUA DE COCO 330ML</t>
        </is>
      </c>
      <c r="D487" s="111" t="n"/>
      <c r="E487" s="194" t="n">
        <v>0.1</v>
      </c>
      <c r="F487" s="195" t="n">
        <v>461.43</v>
      </c>
      <c r="G487" s="196" t="n">
        <v>0</v>
      </c>
      <c r="H487" s="195" t="n">
        <v>0</v>
      </c>
      <c r="I487" s="195" t="n">
        <v>0</v>
      </c>
      <c r="J487" s="111" t="n"/>
      <c r="K487" s="111" t="n"/>
      <c r="L487" s="111" t="n"/>
      <c r="M487" s="195" t="n">
        <v>0</v>
      </c>
    </row>
    <row r="488" ht="15" customHeight="1">
      <c r="A488" s="107" t="inlineStr">
        <is>
          <t>001946</t>
        </is>
      </c>
      <c r="B488" s="107" t="inlineStr">
        <is>
          <t>000492</t>
        </is>
      </c>
      <c r="C488" s="107" t="inlineStr">
        <is>
          <t>LIMAO TAITI FRUTA</t>
        </is>
      </c>
      <c r="D488" s="107" t="n"/>
      <c r="E488" s="191" t="n">
        <v>0.1</v>
      </c>
      <c r="F488" s="192" t="n">
        <v>35.8</v>
      </c>
      <c r="G488" s="193" t="n">
        <v>0</v>
      </c>
      <c r="H488" s="192" t="n">
        <v>0</v>
      </c>
      <c r="I488" s="192" t="n">
        <v>0</v>
      </c>
      <c r="J488" s="107" t="n"/>
      <c r="K488" s="107" t="n"/>
      <c r="L488" s="107" t="n"/>
      <c r="M488" s="192" t="n">
        <v>0</v>
      </c>
    </row>
    <row r="489" ht="15" customHeight="1">
      <c r="A489" s="111" t="inlineStr">
        <is>
          <t>001946</t>
        </is>
      </c>
      <c r="B489" s="111" t="inlineStr">
        <is>
          <t>000590</t>
        </is>
      </c>
      <c r="C489" s="111" t="inlineStr">
        <is>
          <t>MORANGO FRUTA</t>
        </is>
      </c>
      <c r="D489" s="111" t="n"/>
      <c r="E489" s="194" t="n">
        <v>0.025</v>
      </c>
      <c r="F489" s="195" t="n">
        <v>30709.25</v>
      </c>
      <c r="G489" s="196" t="n">
        <v>0</v>
      </c>
      <c r="H489" s="195" t="n">
        <v>0</v>
      </c>
      <c r="I489" s="195" t="n">
        <v>0</v>
      </c>
      <c r="J489" s="111" t="n"/>
      <c r="K489" s="111" t="n"/>
      <c r="L489" s="111" t="n"/>
      <c r="M489" s="195" t="n">
        <v>0</v>
      </c>
    </row>
    <row r="490" ht="15" customHeight="1">
      <c r="A490" s="107" t="inlineStr">
        <is>
          <t>001946</t>
        </is>
      </c>
      <c r="B490" s="107" t="inlineStr">
        <is>
          <t>009820</t>
        </is>
      </c>
      <c r="C490" s="107" t="inlineStr">
        <is>
          <t>GIN BACCO PREMIUM BAG 5LT</t>
        </is>
      </c>
      <c r="D490" s="107" t="n"/>
      <c r="E490" s="191" t="n">
        <v>0.05</v>
      </c>
      <c r="F490" s="192" t="n">
        <v>6.05</v>
      </c>
      <c r="G490" s="193" t="n">
        <v>0</v>
      </c>
      <c r="H490" s="192" t="n">
        <v>0</v>
      </c>
      <c r="I490" s="192" t="n">
        <v>0</v>
      </c>
      <c r="J490" s="107" t="n"/>
      <c r="K490" s="107" t="n"/>
      <c r="L490" s="107" t="n"/>
      <c r="M490" s="192" t="n">
        <v>0</v>
      </c>
    </row>
    <row r="491" ht="15" customHeight="1">
      <c r="A491" s="111" t="inlineStr">
        <is>
          <t>001946</t>
        </is>
      </c>
      <c r="B491" s="111" t="inlineStr">
        <is>
          <t>009826</t>
        </is>
      </c>
      <c r="C491" s="111" t="inlineStr">
        <is>
          <t>XAROPE MORANGO 3LT</t>
        </is>
      </c>
      <c r="D491" s="111" t="n"/>
      <c r="E491" s="194" t="n">
        <v>0.025</v>
      </c>
      <c r="F491" s="195" t="n">
        <v>179.76</v>
      </c>
      <c r="G491" s="196" t="n">
        <v>0</v>
      </c>
      <c r="H491" s="195" t="n">
        <v>0</v>
      </c>
      <c r="I491" s="195" t="n">
        <v>0</v>
      </c>
      <c r="J491" s="111" t="n"/>
      <c r="K491" s="111" t="n"/>
      <c r="L491" s="111" t="n"/>
      <c r="M491" s="195" t="n">
        <v>0</v>
      </c>
    </row>
    <row r="492" ht="15" customHeight="1">
      <c r="A492" s="107" t="inlineStr">
        <is>
          <t>001947</t>
        </is>
      </c>
      <c r="B492" s="107" t="inlineStr">
        <is>
          <t>000366</t>
        </is>
      </c>
      <c r="C492" s="107" t="inlineStr">
        <is>
          <t>TEQUILA JOSE CURVO PRATA 750ML</t>
        </is>
      </c>
      <c r="D492" s="107" t="n"/>
      <c r="E492" s="191" t="n">
        <v>0.05</v>
      </c>
      <c r="F492" s="192" t="n">
        <v>44.82</v>
      </c>
      <c r="G492" s="193" t="n">
        <v>0</v>
      </c>
      <c r="H492" s="192" t="n">
        <v>0</v>
      </c>
      <c r="I492" s="192" t="n">
        <v>0</v>
      </c>
      <c r="J492" s="107" t="n"/>
      <c r="K492" s="107" t="n"/>
      <c r="L492" s="107" t="n"/>
      <c r="M492" s="192" t="n">
        <v>0</v>
      </c>
    </row>
    <row r="493" ht="15" customHeight="1">
      <c r="A493" s="111" t="inlineStr">
        <is>
          <t>001947</t>
        </is>
      </c>
      <c r="B493" s="111" t="inlineStr">
        <is>
          <t>000492</t>
        </is>
      </c>
      <c r="C493" s="111" t="inlineStr">
        <is>
          <t>LIMAO TAITI FRUTA</t>
        </is>
      </c>
      <c r="D493" s="111" t="n"/>
      <c r="E493" s="194" t="n">
        <v>0.1</v>
      </c>
      <c r="F493" s="195" t="n">
        <v>28.64</v>
      </c>
      <c r="G493" s="196" t="n">
        <v>0</v>
      </c>
      <c r="H493" s="195" t="n">
        <v>0</v>
      </c>
      <c r="I493" s="195" t="n">
        <v>0</v>
      </c>
      <c r="J493" s="111" t="n"/>
      <c r="K493" s="111" t="n"/>
      <c r="L493" s="111" t="n"/>
      <c r="M493" s="195" t="n">
        <v>0</v>
      </c>
    </row>
    <row r="494" ht="15" customHeight="1">
      <c r="A494" s="107" t="inlineStr">
        <is>
          <t>001947</t>
        </is>
      </c>
      <c r="B494" s="107" t="inlineStr">
        <is>
          <t>001912</t>
        </is>
      </c>
      <c r="C494" s="107" t="inlineStr">
        <is>
          <t>XAROPE MONIN AGAVE 700 ML</t>
        </is>
      </c>
      <c r="D494" s="107" t="n"/>
      <c r="E494" s="191" t="n">
        <v>0.01</v>
      </c>
      <c r="F494" s="192" t="n">
        <v>39.43</v>
      </c>
      <c r="G494" s="193" t="n">
        <v>0</v>
      </c>
      <c r="H494" s="192" t="n">
        <v>0</v>
      </c>
      <c r="I494" s="192" t="n">
        <v>0</v>
      </c>
      <c r="J494" s="107" t="n"/>
      <c r="K494" s="107" t="n"/>
      <c r="L494" s="107" t="n"/>
      <c r="M494" s="192" t="n">
        <v>0</v>
      </c>
    </row>
    <row r="495" ht="15" customHeight="1">
      <c r="A495" s="111" t="inlineStr">
        <is>
          <t>001947</t>
        </is>
      </c>
      <c r="B495" s="111" t="inlineStr">
        <is>
          <t>001919</t>
        </is>
      </c>
      <c r="C495" s="111" t="inlineStr">
        <is>
          <t>SUR LORANGE 750 ML APTK</t>
        </is>
      </c>
      <c r="D495" s="111" t="n"/>
      <c r="E495" s="194" t="n">
        <v>0.01</v>
      </c>
      <c r="F495" s="195" t="n">
        <v>3751.79</v>
      </c>
      <c r="G495" s="196" t="n">
        <v>0</v>
      </c>
      <c r="H495" s="195" t="n">
        <v>0</v>
      </c>
      <c r="I495" s="195" t="n">
        <v>0</v>
      </c>
      <c r="J495" s="111" t="n"/>
      <c r="K495" s="111" t="n"/>
      <c r="L495" s="111" t="n"/>
      <c r="M495" s="195" t="n">
        <v>0</v>
      </c>
    </row>
    <row r="496" ht="15" customHeight="1">
      <c r="A496" s="107" t="inlineStr">
        <is>
          <t>001947</t>
        </is>
      </c>
      <c r="B496" s="107" t="inlineStr">
        <is>
          <t>009823</t>
        </is>
      </c>
      <c r="C496" s="107" t="inlineStr">
        <is>
          <t>LICOR LIMONCELLO BAG 5LT</t>
        </is>
      </c>
      <c r="D496" s="107" t="n"/>
      <c r="E496" s="191" t="n">
        <v>0.025</v>
      </c>
      <c r="F496" s="192" t="n">
        <v>13.52</v>
      </c>
      <c r="G496" s="193" t="n">
        <v>0</v>
      </c>
      <c r="H496" s="192" t="n">
        <v>0</v>
      </c>
      <c r="I496" s="192" t="n">
        <v>0</v>
      </c>
      <c r="J496" s="107" t="n"/>
      <c r="K496" s="107" t="n"/>
      <c r="L496" s="107" t="n"/>
      <c r="M496" s="192" t="n">
        <v>0</v>
      </c>
    </row>
    <row r="497" ht="15" customHeight="1">
      <c r="A497" s="111" t="inlineStr">
        <is>
          <t>001948</t>
        </is>
      </c>
      <c r="B497" s="111" t="inlineStr">
        <is>
          <t>000492</t>
        </is>
      </c>
      <c r="C497" s="111" t="inlineStr">
        <is>
          <t>LIMAO TAITI FRUTA</t>
        </is>
      </c>
      <c r="D497" s="111" t="n"/>
      <c r="E497" s="194" t="n">
        <v>0.1</v>
      </c>
      <c r="F497" s="195" t="n">
        <v>35.8</v>
      </c>
      <c r="G497" s="196" t="n">
        <v>0</v>
      </c>
      <c r="H497" s="195" t="n">
        <v>0</v>
      </c>
      <c r="I497" s="195" t="n">
        <v>0</v>
      </c>
      <c r="J497" s="111" t="n"/>
      <c r="K497" s="111" t="n"/>
      <c r="L497" s="111" t="n"/>
      <c r="M497" s="195" t="n">
        <v>0</v>
      </c>
    </row>
    <row r="498" ht="15" customHeight="1">
      <c r="A498" s="107" t="inlineStr">
        <is>
          <t>001948</t>
        </is>
      </c>
      <c r="B498" s="107" t="inlineStr">
        <is>
          <t>001927</t>
        </is>
      </c>
      <c r="C498" s="107" t="inlineStr">
        <is>
          <t>CHA MATE DE PESSEGO 1,5 LT</t>
        </is>
      </c>
      <c r="D498" s="107" t="n"/>
      <c r="E498" s="191" t="n">
        <v>0.05</v>
      </c>
      <c r="F498" s="192" t="n">
        <v>3.52</v>
      </c>
      <c r="G498" s="193" t="n">
        <v>0</v>
      </c>
      <c r="H498" s="192" t="n">
        <v>0</v>
      </c>
      <c r="I498" s="192" t="n">
        <v>0</v>
      </c>
      <c r="J498" s="107" t="n"/>
      <c r="K498" s="107" t="n"/>
      <c r="L498" s="107" t="n"/>
      <c r="M498" s="192" t="n">
        <v>0</v>
      </c>
    </row>
    <row r="499" ht="15" customHeight="1">
      <c r="A499" s="111" t="inlineStr">
        <is>
          <t>001948</t>
        </is>
      </c>
      <c r="B499" s="111" t="inlineStr">
        <is>
          <t>009823</t>
        </is>
      </c>
      <c r="C499" s="111" t="inlineStr">
        <is>
          <t>LICOR LIMONCELLO BAG 5LT</t>
        </is>
      </c>
      <c r="D499" s="111" t="n"/>
      <c r="E499" s="194" t="n">
        <v>0.05</v>
      </c>
      <c r="F499" s="195" t="n">
        <v>27.04</v>
      </c>
      <c r="G499" s="196" t="n">
        <v>0</v>
      </c>
      <c r="H499" s="195" t="n">
        <v>0</v>
      </c>
      <c r="I499" s="195" t="n">
        <v>0</v>
      </c>
      <c r="J499" s="111" t="n"/>
      <c r="K499" s="111" t="n"/>
      <c r="L499" s="111" t="n"/>
      <c r="M499" s="195" t="n">
        <v>0</v>
      </c>
    </row>
    <row r="500" ht="15" customHeight="1">
      <c r="A500" s="107" t="inlineStr">
        <is>
          <t>001948</t>
        </is>
      </c>
      <c r="B500" s="107" t="inlineStr">
        <is>
          <t>009828</t>
        </is>
      </c>
      <c r="C500" s="107" t="inlineStr">
        <is>
          <t>XAROPE GENGIBRE 3LT</t>
        </is>
      </c>
      <c r="D500" s="107" t="n"/>
      <c r="E500" s="191" t="n">
        <v>0.025</v>
      </c>
      <c r="F500" s="192" t="n">
        <v>4.7</v>
      </c>
      <c r="G500" s="193" t="n">
        <v>0</v>
      </c>
      <c r="H500" s="192" t="n">
        <v>0</v>
      </c>
      <c r="I500" s="192" t="n">
        <v>0</v>
      </c>
      <c r="J500" s="107" t="n"/>
      <c r="K500" s="107" t="n"/>
      <c r="L500" s="107" t="n"/>
      <c r="M500" s="192" t="n">
        <v>0</v>
      </c>
    </row>
    <row r="501" ht="15" customHeight="1">
      <c r="A501" s="111" t="inlineStr">
        <is>
          <t>001949</t>
        </is>
      </c>
      <c r="B501" s="111" t="inlineStr">
        <is>
          <t>000492</t>
        </is>
      </c>
      <c r="C501" s="111" t="inlineStr">
        <is>
          <t>LIMAO TAITI FRUTA</t>
        </is>
      </c>
      <c r="D501" s="111" t="n"/>
      <c r="E501" s="194" t="n">
        <v>0.1</v>
      </c>
      <c r="F501" s="195" t="n">
        <v>35.8</v>
      </c>
      <c r="G501" s="196" t="n">
        <v>0</v>
      </c>
      <c r="H501" s="195" t="n">
        <v>0</v>
      </c>
      <c r="I501" s="195" t="n">
        <v>0</v>
      </c>
      <c r="J501" s="111" t="n"/>
      <c r="K501" s="111" t="n"/>
      <c r="L501" s="111" t="n"/>
      <c r="M501" s="195" t="n">
        <v>0</v>
      </c>
    </row>
    <row r="502" ht="15" customHeight="1">
      <c r="A502" s="107" t="inlineStr">
        <is>
          <t>001949</t>
        </is>
      </c>
      <c r="B502" s="107" t="inlineStr">
        <is>
          <t>001141</t>
        </is>
      </c>
      <c r="C502" s="107" t="inlineStr">
        <is>
          <t>VODKA SMIRNOFF</t>
        </is>
      </c>
      <c r="D502" s="107" t="n"/>
      <c r="E502" s="191" t="n">
        <v>0.25</v>
      </c>
      <c r="F502" s="192" t="n">
        <v>10.08</v>
      </c>
      <c r="G502" s="193" t="n">
        <v>0</v>
      </c>
      <c r="H502" s="192" t="n">
        <v>0</v>
      </c>
      <c r="I502" s="192" t="n">
        <v>0</v>
      </c>
      <c r="J502" s="107" t="n"/>
      <c r="K502" s="107" t="n"/>
      <c r="L502" s="107" t="n"/>
      <c r="M502" s="192" t="n">
        <v>0</v>
      </c>
    </row>
    <row r="503" ht="15" customHeight="1">
      <c r="A503" s="111" t="inlineStr">
        <is>
          <t>001949</t>
        </is>
      </c>
      <c r="B503" s="111" t="inlineStr">
        <is>
          <t>001923</t>
        </is>
      </c>
      <c r="C503" s="111" t="inlineStr">
        <is>
          <t>CAJU AMIGO 750 ML APTK</t>
        </is>
      </c>
      <c r="D503" s="111" t="n"/>
      <c r="E503" s="194" t="n">
        <v>0.05</v>
      </c>
      <c r="F503" s="195" t="n">
        <v>71.44</v>
      </c>
      <c r="G503" s="196" t="n">
        <v>0</v>
      </c>
      <c r="H503" s="195" t="n">
        <v>0</v>
      </c>
      <c r="I503" s="195" t="n">
        <v>0</v>
      </c>
      <c r="J503" s="111" t="n"/>
      <c r="K503" s="111" t="n"/>
      <c r="L503" s="111" t="n"/>
      <c r="M503" s="195" t="n">
        <v>0</v>
      </c>
    </row>
    <row r="504" ht="15" customHeight="1">
      <c r="A504" s="107" t="inlineStr">
        <is>
          <t>001949</t>
        </is>
      </c>
      <c r="B504" s="107" t="inlineStr">
        <is>
          <t>001928</t>
        </is>
      </c>
      <c r="C504" s="107" t="inlineStr">
        <is>
          <t>CHA MATE ORIGINAL 1,5LT</t>
        </is>
      </c>
      <c r="D504" s="107" t="n"/>
      <c r="E504" s="191" t="n">
        <v>0.05</v>
      </c>
      <c r="F504" s="192" t="n">
        <v>2.11</v>
      </c>
      <c r="G504" s="193" t="n">
        <v>0</v>
      </c>
      <c r="H504" s="192" t="n">
        <v>0</v>
      </c>
      <c r="I504" s="192" t="n">
        <v>0</v>
      </c>
      <c r="J504" s="107" t="n"/>
      <c r="K504" s="107" t="n"/>
      <c r="L504" s="107" t="n"/>
      <c r="M504" s="192" t="n">
        <v>0</v>
      </c>
    </row>
    <row r="505" ht="15" customHeight="1">
      <c r="A505" s="111" t="inlineStr">
        <is>
          <t>001950</t>
        </is>
      </c>
      <c r="B505" s="111" t="inlineStr">
        <is>
          <t>000492</t>
        </is>
      </c>
      <c r="C505" s="111" t="inlineStr">
        <is>
          <t>LIMAO TAITI FRUTA</t>
        </is>
      </c>
      <c r="D505" s="111" t="n"/>
      <c r="E505" s="194" t="n">
        <v>0.1</v>
      </c>
      <c r="F505" s="195" t="n">
        <v>28.64</v>
      </c>
      <c r="G505" s="196" t="n">
        <v>0</v>
      </c>
      <c r="H505" s="195" t="n">
        <v>0</v>
      </c>
      <c r="I505" s="195" t="n">
        <v>0</v>
      </c>
      <c r="J505" s="111" t="n"/>
      <c r="K505" s="111" t="n"/>
      <c r="L505" s="111" t="n"/>
      <c r="M505" s="195" t="n">
        <v>0</v>
      </c>
    </row>
    <row r="506" ht="15" customHeight="1">
      <c r="A506" s="107" t="inlineStr">
        <is>
          <t>001950</t>
        </is>
      </c>
      <c r="B506" s="107" t="inlineStr">
        <is>
          <t>001913</t>
        </is>
      </c>
      <c r="C506" s="107" t="inlineStr">
        <is>
          <t>XAROPE MONIN FLOR SABUGUEIRO 700ML</t>
        </is>
      </c>
      <c r="D506" s="107" t="n"/>
      <c r="E506" s="191" t="n">
        <v>0.025</v>
      </c>
      <c r="F506" s="192" t="n">
        <v>5.35</v>
      </c>
      <c r="G506" s="193" t="n">
        <v>0</v>
      </c>
      <c r="H506" s="192" t="n">
        <v>0</v>
      </c>
      <c r="I506" s="192" t="n">
        <v>0</v>
      </c>
      <c r="J506" s="107" t="n"/>
      <c r="K506" s="107" t="n"/>
      <c r="L506" s="107" t="n"/>
      <c r="M506" s="192" t="n">
        <v>0</v>
      </c>
    </row>
    <row r="507" ht="15" customHeight="1">
      <c r="A507" s="111" t="inlineStr">
        <is>
          <t>001950</t>
        </is>
      </c>
      <c r="B507" s="111" t="inlineStr">
        <is>
          <t>009820</t>
        </is>
      </c>
      <c r="C507" s="111" t="inlineStr">
        <is>
          <t>GIN BACCO PREMIUM BAG 5LT</t>
        </is>
      </c>
      <c r="D507" s="111" t="n"/>
      <c r="E507" s="194" t="n">
        <v>0.5</v>
      </c>
      <c r="F507" s="195" t="n">
        <v>60.55</v>
      </c>
      <c r="G507" s="196" t="n">
        <v>0</v>
      </c>
      <c r="H507" s="195" t="n">
        <v>0</v>
      </c>
      <c r="I507" s="195" t="n">
        <v>0</v>
      </c>
      <c r="J507" s="111" t="n"/>
      <c r="K507" s="111" t="n"/>
      <c r="L507" s="111" t="n"/>
      <c r="M507" s="195" t="n">
        <v>0</v>
      </c>
    </row>
    <row r="508" ht="15" customHeight="1">
      <c r="A508" s="107" t="inlineStr">
        <is>
          <t>001951</t>
        </is>
      </c>
      <c r="B508" s="107" t="inlineStr">
        <is>
          <t>000619</t>
        </is>
      </c>
      <c r="C508" s="107" t="inlineStr">
        <is>
          <t>LIMAO SICILIANO</t>
        </is>
      </c>
      <c r="D508" s="107" t="n"/>
      <c r="E508" s="191" t="n">
        <v>0.05</v>
      </c>
      <c r="F508" s="192" t="n">
        <v>0</v>
      </c>
      <c r="G508" s="193" t="n">
        <v>0</v>
      </c>
      <c r="H508" s="192" t="n">
        <v>0</v>
      </c>
      <c r="I508" s="192" t="n">
        <v>0</v>
      </c>
      <c r="J508" s="107" t="n"/>
      <c r="K508" s="107" t="n"/>
      <c r="L508" s="107" t="n"/>
      <c r="M508" s="192" t="n">
        <v>0</v>
      </c>
    </row>
    <row r="509" ht="15" customHeight="1">
      <c r="A509" s="111" t="inlineStr">
        <is>
          <t>001951</t>
        </is>
      </c>
      <c r="B509" s="111" t="inlineStr">
        <is>
          <t>001922</t>
        </is>
      </c>
      <c r="C509" s="111" t="inlineStr">
        <is>
          <t>FITZGERALD 750 ML APTK</t>
        </is>
      </c>
      <c r="D509" s="111" t="n"/>
      <c r="E509" s="194" t="n">
        <v>0.09</v>
      </c>
      <c r="F509" s="195" t="n">
        <v>28.49</v>
      </c>
      <c r="G509" s="196" t="n">
        <v>0</v>
      </c>
      <c r="H509" s="195" t="n">
        <v>0</v>
      </c>
      <c r="I509" s="195" t="n">
        <v>0</v>
      </c>
      <c r="J509" s="111" t="n"/>
      <c r="K509" s="111" t="n"/>
      <c r="L509" s="111" t="n"/>
      <c r="M509" s="195" t="n">
        <v>0</v>
      </c>
    </row>
    <row r="510" ht="15" customHeight="1">
      <c r="A510" s="107" t="inlineStr">
        <is>
          <t>001952</t>
        </is>
      </c>
      <c r="B510" s="107" t="inlineStr">
        <is>
          <t>000492</t>
        </is>
      </c>
      <c r="C510" s="107" t="inlineStr">
        <is>
          <t>LIMAO TAITI FRUTA</t>
        </is>
      </c>
      <c r="D510" s="107" t="n"/>
      <c r="E510" s="191" t="n">
        <v>0.025</v>
      </c>
      <c r="F510" s="192" t="n">
        <v>0</v>
      </c>
      <c r="G510" s="193" t="n">
        <v>0</v>
      </c>
      <c r="H510" s="192" t="n">
        <v>0</v>
      </c>
      <c r="I510" s="192" t="n">
        <v>0</v>
      </c>
      <c r="J510" s="107" t="n"/>
      <c r="K510" s="107" t="n"/>
      <c r="L510" s="107" t="n"/>
      <c r="M510" s="192" t="n">
        <v>0</v>
      </c>
    </row>
    <row r="511" ht="15" customHeight="1">
      <c r="A511" s="111" t="inlineStr">
        <is>
          <t>001952</t>
        </is>
      </c>
      <c r="B511" s="111" t="inlineStr">
        <is>
          <t>001923</t>
        </is>
      </c>
      <c r="C511" s="111" t="inlineStr">
        <is>
          <t>CAJU AMIGO 750 ML APTK</t>
        </is>
      </c>
      <c r="D511" s="111" t="n"/>
      <c r="E511" s="194" t="n">
        <v>0.09</v>
      </c>
      <c r="F511" s="195" t="n">
        <v>128.59</v>
      </c>
      <c r="G511" s="196" t="n">
        <v>0</v>
      </c>
      <c r="H511" s="195" t="n">
        <v>0</v>
      </c>
      <c r="I511" s="195" t="n">
        <v>0</v>
      </c>
      <c r="J511" s="111" t="n"/>
      <c r="K511" s="111" t="n"/>
      <c r="L511" s="111" t="n"/>
      <c r="M511" s="195" t="n">
        <v>0</v>
      </c>
    </row>
    <row r="512" ht="15" customHeight="1">
      <c r="A512" s="107" t="inlineStr">
        <is>
          <t>001952</t>
        </is>
      </c>
      <c r="B512" s="107" t="inlineStr">
        <is>
          <t>001979</t>
        </is>
      </c>
      <c r="C512" s="107" t="inlineStr">
        <is>
          <t>POTE CAJU EM CALDA 250G</t>
        </is>
      </c>
      <c r="D512" s="107" t="n"/>
      <c r="E512" s="191" t="n">
        <v>0.015</v>
      </c>
      <c r="F512" s="192" t="n">
        <v>1.45</v>
      </c>
      <c r="G512" s="193" t="n">
        <v>0</v>
      </c>
      <c r="H512" s="192" t="n">
        <v>0</v>
      </c>
      <c r="I512" s="192" t="n">
        <v>0</v>
      </c>
      <c r="J512" s="107" t="n"/>
      <c r="K512" s="107" t="n"/>
      <c r="L512" s="107" t="n"/>
      <c r="M512" s="192" t="n">
        <v>0</v>
      </c>
    </row>
    <row r="513" ht="15" customHeight="1">
      <c r="A513" s="111" t="inlineStr">
        <is>
          <t>001953</t>
        </is>
      </c>
      <c r="B513" s="111" t="inlineStr">
        <is>
          <t>000490</t>
        </is>
      </c>
      <c r="C513" s="111" t="inlineStr">
        <is>
          <t>LARANJA PERA FRUTA</t>
        </is>
      </c>
      <c r="D513" s="111" t="n"/>
      <c r="E513" s="194" t="n">
        <v>0.025</v>
      </c>
      <c r="F513" s="195" t="n">
        <v>0</v>
      </c>
      <c r="G513" s="196" t="n">
        <v>0</v>
      </c>
      <c r="H513" s="195" t="n">
        <v>0</v>
      </c>
      <c r="I513" s="195" t="n">
        <v>0</v>
      </c>
      <c r="J513" s="111" t="n"/>
      <c r="K513" s="111" t="n"/>
      <c r="L513" s="111" t="n"/>
      <c r="M513" s="195" t="n">
        <v>0</v>
      </c>
    </row>
    <row r="514" ht="15" customHeight="1">
      <c r="A514" s="107" t="inlineStr">
        <is>
          <t>001953</t>
        </is>
      </c>
      <c r="B514" s="107" t="inlineStr">
        <is>
          <t>001925</t>
        </is>
      </c>
      <c r="C514" s="107" t="inlineStr">
        <is>
          <t>OLD FASHIONED 750 ML APTK</t>
        </is>
      </c>
      <c r="D514" s="107" t="n"/>
      <c r="E514" s="191" t="n">
        <v>0.09</v>
      </c>
      <c r="F514" s="192" t="n">
        <v>94.13</v>
      </c>
      <c r="G514" s="193" t="n">
        <v>0</v>
      </c>
      <c r="H514" s="192" t="n">
        <v>0</v>
      </c>
      <c r="I514" s="192" t="n">
        <v>0</v>
      </c>
      <c r="J514" s="107" t="n"/>
      <c r="K514" s="107" t="n"/>
      <c r="L514" s="107" t="n"/>
      <c r="M514" s="192" t="n">
        <v>0</v>
      </c>
    </row>
    <row r="515" ht="15" customHeight="1">
      <c r="A515" s="111" t="inlineStr">
        <is>
          <t>001954</t>
        </is>
      </c>
      <c r="B515" s="111" t="inlineStr">
        <is>
          <t>000490</t>
        </is>
      </c>
      <c r="C515" s="111" t="inlineStr">
        <is>
          <t>LARANJA PERA FRUTA</t>
        </is>
      </c>
      <c r="D515" s="111" t="n"/>
      <c r="E515" s="194" t="n">
        <v>0.025</v>
      </c>
      <c r="F515" s="195" t="n">
        <v>0</v>
      </c>
      <c r="G515" s="196" t="n">
        <v>0</v>
      </c>
      <c r="H515" s="195" t="n">
        <v>0</v>
      </c>
      <c r="I515" s="195" t="n">
        <v>0</v>
      </c>
      <c r="J515" s="111" t="n"/>
      <c r="K515" s="111" t="n"/>
      <c r="L515" s="111" t="n"/>
      <c r="M515" s="195" t="n">
        <v>0</v>
      </c>
    </row>
    <row r="516" ht="15" customHeight="1">
      <c r="A516" s="107" t="inlineStr">
        <is>
          <t>001954</t>
        </is>
      </c>
      <c r="B516" s="107" t="inlineStr">
        <is>
          <t>001924</t>
        </is>
      </c>
      <c r="C516" s="107" t="inlineStr">
        <is>
          <t>COQUETEL BOULEVARDIER 750 ML  APTK</t>
        </is>
      </c>
      <c r="D516" s="107" t="n"/>
      <c r="E516" s="191" t="n">
        <v>0.09</v>
      </c>
      <c r="F516" s="192" t="n">
        <v>32.39</v>
      </c>
      <c r="G516" s="193" t="n">
        <v>0</v>
      </c>
      <c r="H516" s="192" t="n">
        <v>0</v>
      </c>
      <c r="I516" s="192" t="n">
        <v>0</v>
      </c>
      <c r="J516" s="107" t="n"/>
      <c r="K516" s="107" t="n"/>
      <c r="L516" s="107" t="n"/>
      <c r="M516" s="192" t="n">
        <v>0</v>
      </c>
    </row>
    <row r="517" ht="15" customHeight="1">
      <c r="A517" s="111" t="inlineStr">
        <is>
          <t>001955</t>
        </is>
      </c>
      <c r="B517" s="111" t="inlineStr">
        <is>
          <t>000400</t>
        </is>
      </c>
      <c r="C517" s="111" t="inlineStr">
        <is>
          <t>MEL RIOMEL</t>
        </is>
      </c>
      <c r="D517" s="111" t="n"/>
      <c r="E517" s="194" t="n">
        <v>0.01</v>
      </c>
      <c r="F517" s="195" t="n">
        <v>12.55</v>
      </c>
      <c r="G517" s="196" t="n">
        <v>0</v>
      </c>
      <c r="H517" s="195" t="n">
        <v>0</v>
      </c>
      <c r="I517" s="195" t="n">
        <v>0</v>
      </c>
      <c r="J517" s="111" t="n"/>
      <c r="K517" s="111" t="n"/>
      <c r="L517" s="111" t="n"/>
      <c r="M517" s="195" t="n">
        <v>0</v>
      </c>
    </row>
    <row r="518" ht="15" customHeight="1">
      <c r="A518" s="107" t="inlineStr">
        <is>
          <t>001955</t>
        </is>
      </c>
      <c r="B518" s="107" t="inlineStr">
        <is>
          <t>000492</t>
        </is>
      </c>
      <c r="C518" s="107" t="inlineStr">
        <is>
          <t>LIMAO TAITI FRUTA</t>
        </is>
      </c>
      <c r="D518" s="107" t="n"/>
      <c r="E518" s="191" t="n">
        <v>0.1</v>
      </c>
      <c r="F518" s="192" t="n">
        <v>28.64</v>
      </c>
      <c r="G518" s="193" t="n">
        <v>0</v>
      </c>
      <c r="H518" s="192" t="n">
        <v>0</v>
      </c>
      <c r="I518" s="192" t="n">
        <v>0</v>
      </c>
      <c r="J518" s="107" t="n"/>
      <c r="K518" s="107" t="n"/>
      <c r="L518" s="107" t="n"/>
      <c r="M518" s="192" t="n">
        <v>0</v>
      </c>
    </row>
    <row r="519" ht="15" customHeight="1">
      <c r="A519" s="111" t="inlineStr">
        <is>
          <t>001955</t>
        </is>
      </c>
      <c r="B519" s="111" t="inlineStr">
        <is>
          <t>001136</t>
        </is>
      </c>
      <c r="C519" s="111" t="inlineStr">
        <is>
          <t>WHISKY JOHNNIE WALKER RED LABEL 1LT</t>
        </is>
      </c>
      <c r="D519" s="111" t="n"/>
      <c r="E519" s="194" t="n">
        <v>0.05</v>
      </c>
      <c r="F519" s="195" t="n">
        <v>7.92</v>
      </c>
      <c r="G519" s="196" t="n">
        <v>0</v>
      </c>
      <c r="H519" s="195" t="n">
        <v>0</v>
      </c>
      <c r="I519" s="195" t="n">
        <v>0</v>
      </c>
      <c r="J519" s="111" t="n"/>
      <c r="K519" s="111" t="n"/>
      <c r="L519" s="111" t="n"/>
      <c r="M519" s="195" t="n">
        <v>0</v>
      </c>
    </row>
    <row r="520" ht="15" customHeight="1">
      <c r="A520" s="107" t="inlineStr">
        <is>
          <t>001955</t>
        </is>
      </c>
      <c r="B520" s="107" t="inlineStr">
        <is>
          <t>009828</t>
        </is>
      </c>
      <c r="C520" s="107" t="inlineStr">
        <is>
          <t>XAROPE GENGIBRE 3LT</t>
        </is>
      </c>
      <c r="D520" s="107" t="n"/>
      <c r="E520" s="191" t="n">
        <v>0.02</v>
      </c>
      <c r="F520" s="192" t="n">
        <v>4.7</v>
      </c>
      <c r="G520" s="193" t="n">
        <v>0</v>
      </c>
      <c r="H520" s="192" t="n">
        <v>0</v>
      </c>
      <c r="I520" s="192" t="n">
        <v>0</v>
      </c>
      <c r="J520" s="107" t="n"/>
      <c r="K520" s="107" t="n"/>
      <c r="L520" s="107" t="n"/>
      <c r="M520" s="192" t="n">
        <v>0</v>
      </c>
    </row>
    <row r="521" ht="15" customHeight="1">
      <c r="A521" s="111" t="inlineStr">
        <is>
          <t>001956</t>
        </is>
      </c>
      <c r="B521" s="111" t="inlineStr">
        <is>
          <t>0001222</t>
        </is>
      </c>
      <c r="C521" s="111" t="inlineStr">
        <is>
          <t>ESPUMANTE SALTON BRUT 750ML</t>
        </is>
      </c>
      <c r="D521" s="111" t="n"/>
      <c r="E521" s="194" t="n">
        <v>0.12</v>
      </c>
      <c r="F521" s="195" t="n">
        <v>305.9</v>
      </c>
      <c r="G521" s="196" t="n">
        <v>0</v>
      </c>
      <c r="H521" s="195" t="n">
        <v>0</v>
      </c>
      <c r="I521" s="195" t="n">
        <v>0</v>
      </c>
      <c r="J521" s="111" t="n"/>
      <c r="K521" s="111" t="n"/>
      <c r="L521" s="111" t="n"/>
      <c r="M521" s="195" t="n">
        <v>0</v>
      </c>
    </row>
    <row r="522" ht="15" customHeight="1">
      <c r="A522" s="107" t="inlineStr">
        <is>
          <t>001956</t>
        </is>
      </c>
      <c r="B522" s="107" t="inlineStr">
        <is>
          <t>000334</t>
        </is>
      </c>
      <c r="C522" s="107" t="inlineStr">
        <is>
          <t>AGUA C/ GAS</t>
        </is>
      </c>
      <c r="D522" s="107" t="n"/>
      <c r="E522" s="191" t="n">
        <v>1</v>
      </c>
      <c r="F522" s="192" t="n">
        <v>8.57</v>
      </c>
      <c r="G522" s="193" t="n">
        <v>0</v>
      </c>
      <c r="H522" s="192" t="n">
        <v>0</v>
      </c>
      <c r="I522" s="192" t="n">
        <v>0</v>
      </c>
      <c r="J522" s="107" t="n"/>
      <c r="K522" s="107" t="n"/>
      <c r="L522" s="107" t="n"/>
      <c r="M522" s="192" t="n">
        <v>0</v>
      </c>
    </row>
    <row r="523" ht="15" customHeight="1">
      <c r="A523" s="111" t="inlineStr">
        <is>
          <t>001956</t>
        </is>
      </c>
      <c r="B523" s="111" t="inlineStr">
        <is>
          <t>000492</t>
        </is>
      </c>
      <c r="C523" s="111" t="inlineStr">
        <is>
          <t>LIMAO TAITI FRUTA</t>
        </is>
      </c>
      <c r="D523" s="111" t="n"/>
      <c r="E523" s="194" t="n">
        <v>0.05</v>
      </c>
      <c r="F523" s="195" t="n">
        <v>0</v>
      </c>
      <c r="G523" s="196" t="n">
        <v>0</v>
      </c>
      <c r="H523" s="195" t="n">
        <v>0</v>
      </c>
      <c r="I523" s="195" t="n">
        <v>0</v>
      </c>
      <c r="J523" s="111" t="n"/>
      <c r="K523" s="111" t="n"/>
      <c r="L523" s="111" t="n"/>
      <c r="M523" s="195" t="n">
        <v>0</v>
      </c>
    </row>
    <row r="524" ht="15" customHeight="1">
      <c r="A524" s="107" t="inlineStr">
        <is>
          <t>001956</t>
        </is>
      </c>
      <c r="B524" s="107" t="inlineStr">
        <is>
          <t>009823</t>
        </is>
      </c>
      <c r="C524" s="107" t="inlineStr">
        <is>
          <t>LICOR LIMONCELLO BAG 5LT</t>
        </is>
      </c>
      <c r="D524" s="107" t="n"/>
      <c r="E524" s="191" t="n">
        <v>0.09</v>
      </c>
      <c r="F524" s="192" t="n">
        <v>48.67</v>
      </c>
      <c r="G524" s="193" t="n">
        <v>0</v>
      </c>
      <c r="H524" s="192" t="n">
        <v>0</v>
      </c>
      <c r="I524" s="192" t="n">
        <v>0</v>
      </c>
      <c r="J524" s="107" t="n"/>
      <c r="K524" s="107" t="n"/>
      <c r="L524" s="107" t="n"/>
      <c r="M524" s="192" t="n">
        <v>0</v>
      </c>
    </row>
    <row r="525" ht="15" customHeight="1">
      <c r="A525" s="111" t="inlineStr">
        <is>
          <t>001957</t>
        </is>
      </c>
      <c r="B525" s="111" t="inlineStr">
        <is>
          <t>0001222</t>
        </is>
      </c>
      <c r="C525" s="111" t="inlineStr">
        <is>
          <t>ESPUMANTE SALTON BRUT 750ML</t>
        </is>
      </c>
      <c r="D525" s="111" t="n"/>
      <c r="E525" s="194" t="n">
        <v>0.12</v>
      </c>
      <c r="F525" s="195" t="n">
        <v>305.9</v>
      </c>
      <c r="G525" s="196" t="n">
        <v>0</v>
      </c>
      <c r="H525" s="195" t="n">
        <v>0</v>
      </c>
      <c r="I525" s="195" t="n">
        <v>0</v>
      </c>
      <c r="J525" s="111" t="n"/>
      <c r="K525" s="111" t="n"/>
      <c r="L525" s="111" t="n"/>
      <c r="M525" s="195" t="n">
        <v>0</v>
      </c>
    </row>
    <row r="526" ht="15" customHeight="1">
      <c r="A526" s="107" t="inlineStr">
        <is>
          <t>001957</t>
        </is>
      </c>
      <c r="B526" s="107" t="inlineStr">
        <is>
          <t>001913</t>
        </is>
      </c>
      <c r="C526" s="107" t="inlineStr">
        <is>
          <t>XAROPE MONIN FLOR SABUGUEIRO 700ML</t>
        </is>
      </c>
      <c r="D526" s="107" t="n"/>
      <c r="E526" s="191" t="n">
        <v>0.025</v>
      </c>
      <c r="F526" s="192" t="n">
        <v>5.35</v>
      </c>
      <c r="G526" s="193" t="n">
        <v>0</v>
      </c>
      <c r="H526" s="192" t="n">
        <v>0</v>
      </c>
      <c r="I526" s="192" t="n">
        <v>0</v>
      </c>
      <c r="J526" s="107" t="n"/>
      <c r="K526" s="107" t="n"/>
      <c r="L526" s="107" t="n"/>
      <c r="M526" s="192" t="n">
        <v>0</v>
      </c>
    </row>
    <row r="527" ht="15" customHeight="1">
      <c r="A527" s="111" t="inlineStr">
        <is>
          <t>001957</t>
        </is>
      </c>
      <c r="B527" s="111" t="inlineStr">
        <is>
          <t>009820</t>
        </is>
      </c>
      <c r="C527" s="111" t="inlineStr">
        <is>
          <t>GIN BACCO PREMIUM BAG 5LT</t>
        </is>
      </c>
      <c r="D527" s="111" t="n"/>
      <c r="E527" s="194" t="n">
        <v>0.05</v>
      </c>
      <c r="F527" s="195" t="n">
        <v>6.05</v>
      </c>
      <c r="G527" s="196" t="n">
        <v>0</v>
      </c>
      <c r="H527" s="195" t="n">
        <v>0</v>
      </c>
      <c r="I527" s="195" t="n">
        <v>0</v>
      </c>
      <c r="J527" s="111" t="n"/>
      <c r="K527" s="111" t="n"/>
      <c r="L527" s="111" t="n"/>
      <c r="M527" s="195" t="n">
        <v>0</v>
      </c>
    </row>
    <row r="528" ht="15" customHeight="1">
      <c r="A528" s="107" t="inlineStr">
        <is>
          <t>001958</t>
        </is>
      </c>
      <c r="B528" s="107" t="inlineStr">
        <is>
          <t>000374</t>
        </is>
      </c>
      <c r="C528" s="107" t="inlineStr">
        <is>
          <t>ACUCAR REFINADO UNIAO</t>
        </is>
      </c>
      <c r="D528" s="107" t="n"/>
      <c r="E528" s="191" t="n">
        <v>0.025</v>
      </c>
      <c r="F528" s="192" t="n">
        <v>1.68</v>
      </c>
      <c r="G528" s="193" t="n">
        <v>0</v>
      </c>
      <c r="H528" s="192" t="n">
        <v>0</v>
      </c>
      <c r="I528" s="192" t="n">
        <v>0</v>
      </c>
      <c r="J528" s="107" t="n"/>
      <c r="K528" s="107" t="n"/>
      <c r="L528" s="107" t="n"/>
      <c r="M528" s="192" t="n">
        <v>0</v>
      </c>
    </row>
    <row r="529" ht="15" customHeight="1">
      <c r="A529" s="111" t="inlineStr">
        <is>
          <t>001958</t>
        </is>
      </c>
      <c r="B529" s="111" t="inlineStr">
        <is>
          <t>000477</t>
        </is>
      </c>
      <c r="C529" s="111" t="inlineStr">
        <is>
          <t>MANJERICAO</t>
        </is>
      </c>
      <c r="D529" s="111" t="n"/>
      <c r="E529" s="194" t="n">
        <v>0.015</v>
      </c>
      <c r="F529" s="195" t="n">
        <v>1.52</v>
      </c>
      <c r="G529" s="196" t="n">
        <v>0</v>
      </c>
      <c r="H529" s="195" t="n">
        <v>0</v>
      </c>
      <c r="I529" s="195" t="n">
        <v>0</v>
      </c>
      <c r="J529" s="111" t="n"/>
      <c r="K529" s="111" t="n"/>
      <c r="L529" s="111" t="n"/>
      <c r="M529" s="195" t="n">
        <v>0</v>
      </c>
    </row>
    <row r="530" ht="15" customHeight="1">
      <c r="A530" s="107" t="inlineStr">
        <is>
          <t>001958</t>
        </is>
      </c>
      <c r="B530" s="107" t="inlineStr">
        <is>
          <t>000492</t>
        </is>
      </c>
      <c r="C530" s="107" t="inlineStr">
        <is>
          <t>LIMAO TAITI FRUTA</t>
        </is>
      </c>
      <c r="D530" s="107" t="n"/>
      <c r="E530" s="191" t="n">
        <v>0.1</v>
      </c>
      <c r="F530" s="192" t="n">
        <v>35.8</v>
      </c>
      <c r="G530" s="193" t="n">
        <v>0</v>
      </c>
      <c r="H530" s="192" t="n">
        <v>0</v>
      </c>
      <c r="I530" s="192" t="n">
        <v>0</v>
      </c>
      <c r="J530" s="107" t="n"/>
      <c r="K530" s="107" t="n"/>
      <c r="L530" s="107" t="n"/>
      <c r="M530" s="192" t="n">
        <v>0</v>
      </c>
    </row>
    <row r="531" ht="15" customHeight="1">
      <c r="A531" s="111" t="inlineStr">
        <is>
          <t>001958</t>
        </is>
      </c>
      <c r="B531" s="111" t="inlineStr">
        <is>
          <t>009820</t>
        </is>
      </c>
      <c r="C531" s="111" t="inlineStr">
        <is>
          <t>GIN BACCO PREMIUM BAG 5LT</t>
        </is>
      </c>
      <c r="D531" s="111" t="n"/>
      <c r="E531" s="194" t="n">
        <v>0.05</v>
      </c>
      <c r="F531" s="195" t="n">
        <v>6.05</v>
      </c>
      <c r="G531" s="196" t="n">
        <v>0</v>
      </c>
      <c r="H531" s="195" t="n">
        <v>0</v>
      </c>
      <c r="I531" s="195" t="n">
        <v>0</v>
      </c>
      <c r="J531" s="111" t="n"/>
      <c r="K531" s="111" t="n"/>
      <c r="L531" s="111" t="n"/>
      <c r="M531" s="195" t="n">
        <v>0</v>
      </c>
    </row>
    <row r="532" ht="15" customHeight="1">
      <c r="A532" s="107" t="inlineStr">
        <is>
          <t>001959</t>
        </is>
      </c>
      <c r="B532" s="107" t="inlineStr">
        <is>
          <t>000400</t>
        </is>
      </c>
      <c r="C532" s="107" t="inlineStr">
        <is>
          <t>MEL RIOMEL</t>
        </is>
      </c>
      <c r="D532" s="107" t="n"/>
      <c r="E532" s="191" t="n">
        <v>0.025</v>
      </c>
      <c r="F532" s="192" t="n">
        <v>31.38</v>
      </c>
      <c r="G532" s="193" t="n">
        <v>0</v>
      </c>
      <c r="H532" s="192" t="n">
        <v>0</v>
      </c>
      <c r="I532" s="192" t="n">
        <v>0</v>
      </c>
      <c r="J532" s="107" t="n"/>
      <c r="K532" s="107" t="n"/>
      <c r="L532" s="107" t="n"/>
      <c r="M532" s="192" t="n">
        <v>0</v>
      </c>
    </row>
    <row r="533" ht="15" customHeight="1">
      <c r="A533" s="111" t="inlineStr">
        <is>
          <t>001959</t>
        </is>
      </c>
      <c r="B533" s="111" t="inlineStr">
        <is>
          <t>000492</t>
        </is>
      </c>
      <c r="C533" s="111" t="inlineStr">
        <is>
          <t>LIMAO TAITI FRUTA</t>
        </is>
      </c>
      <c r="D533" s="111" t="n"/>
      <c r="E533" s="194" t="n">
        <v>0.1</v>
      </c>
      <c r="F533" s="195" t="n">
        <v>35.8</v>
      </c>
      <c r="G533" s="196" t="n">
        <v>0</v>
      </c>
      <c r="H533" s="195" t="n">
        <v>0</v>
      </c>
      <c r="I533" s="195" t="n">
        <v>0</v>
      </c>
      <c r="J533" s="111" t="n"/>
      <c r="K533" s="111" t="n"/>
      <c r="L533" s="111" t="n"/>
      <c r="M533" s="195" t="n">
        <v>0</v>
      </c>
    </row>
    <row r="534" ht="15" customHeight="1">
      <c r="A534" s="107" t="inlineStr">
        <is>
          <t>001959</t>
        </is>
      </c>
      <c r="B534" s="107" t="inlineStr">
        <is>
          <t>000619</t>
        </is>
      </c>
      <c r="C534" s="107" t="inlineStr">
        <is>
          <t>LIMAO SICILIANO</t>
        </is>
      </c>
      <c r="D534" s="107" t="n"/>
      <c r="E534" s="191" t="n">
        <v>0.025</v>
      </c>
      <c r="F534" s="192" t="n">
        <v>0</v>
      </c>
      <c r="G534" s="193" t="n">
        <v>0</v>
      </c>
      <c r="H534" s="192" t="n">
        <v>0</v>
      </c>
      <c r="I534" s="192" t="n">
        <v>0</v>
      </c>
      <c r="J534" s="107" t="n"/>
      <c r="K534" s="107" t="n"/>
      <c r="L534" s="107" t="n"/>
      <c r="M534" s="192" t="n">
        <v>0</v>
      </c>
    </row>
    <row r="535" ht="15" customHeight="1">
      <c r="A535" s="111" t="inlineStr">
        <is>
          <t>001959</t>
        </is>
      </c>
      <c r="B535" s="111" t="inlineStr">
        <is>
          <t>001193</t>
        </is>
      </c>
      <c r="C535" s="111" t="inlineStr">
        <is>
          <t>WHISKY JACK DANIELS TENNESSEE 1LT</t>
        </is>
      </c>
      <c r="D535" s="111" t="n"/>
      <c r="E535" s="194" t="n">
        <v>0.05</v>
      </c>
      <c r="F535" s="195" t="n">
        <v>45.78</v>
      </c>
      <c r="G535" s="196" t="n">
        <v>0</v>
      </c>
      <c r="H535" s="195" t="n">
        <v>0</v>
      </c>
      <c r="I535" s="195" t="n">
        <v>0</v>
      </c>
      <c r="J535" s="111" t="n"/>
      <c r="K535" s="111" t="n"/>
      <c r="L535" s="111" t="n"/>
      <c r="M535" s="195" t="n">
        <v>0</v>
      </c>
    </row>
    <row r="536" ht="15" customHeight="1">
      <c r="A536" s="107" t="inlineStr">
        <is>
          <t>001960</t>
        </is>
      </c>
      <c r="B536" s="107" t="inlineStr">
        <is>
          <t>000361</t>
        </is>
      </c>
      <c r="C536" s="107" t="inlineStr">
        <is>
          <t>PINGA 51 965ML</t>
        </is>
      </c>
      <c r="D536" s="107" t="n"/>
      <c r="E536" s="191" t="n">
        <v>0.05</v>
      </c>
      <c r="F536" s="192" t="n">
        <v>90.44</v>
      </c>
      <c r="G536" s="193" t="n">
        <v>0</v>
      </c>
      <c r="H536" s="192" t="n">
        <v>0</v>
      </c>
      <c r="I536" s="192" t="n">
        <v>0</v>
      </c>
      <c r="J536" s="107" t="n"/>
      <c r="K536" s="107" t="n"/>
      <c r="L536" s="107" t="n"/>
      <c r="M536" s="192" t="n">
        <v>0</v>
      </c>
    </row>
    <row r="537" ht="15" customHeight="1">
      <c r="A537" s="111" t="inlineStr">
        <is>
          <t>001960</t>
        </is>
      </c>
      <c r="B537" s="111" t="inlineStr">
        <is>
          <t>000457</t>
        </is>
      </c>
      <c r="C537" s="111" t="inlineStr">
        <is>
          <t>POLPA MARACUJA</t>
        </is>
      </c>
      <c r="D537" s="111" t="n"/>
      <c r="E537" s="194" t="n">
        <v>0.025</v>
      </c>
      <c r="F537" s="195" t="n">
        <v>42.41</v>
      </c>
      <c r="G537" s="196" t="n">
        <v>0</v>
      </c>
      <c r="H537" s="195" t="n">
        <v>0</v>
      </c>
      <c r="I537" s="195" t="n">
        <v>0</v>
      </c>
      <c r="J537" s="111" t="n"/>
      <c r="K537" s="111" t="n"/>
      <c r="L537" s="111" t="n"/>
      <c r="M537" s="195" t="n">
        <v>0</v>
      </c>
    </row>
    <row r="538" ht="15" customHeight="1">
      <c r="A538" s="107" t="inlineStr">
        <is>
          <t>001960</t>
        </is>
      </c>
      <c r="B538" s="107" t="inlineStr">
        <is>
          <t>009828</t>
        </is>
      </c>
      <c r="C538" s="107" t="inlineStr">
        <is>
          <t>XAROPE GENGIBRE 3LT</t>
        </is>
      </c>
      <c r="D538" s="107" t="n"/>
      <c r="E538" s="191" t="n">
        <v>0.025</v>
      </c>
      <c r="F538" s="192" t="n">
        <v>5.87</v>
      </c>
      <c r="G538" s="193" t="n">
        <v>0</v>
      </c>
      <c r="H538" s="192" t="n">
        <v>0</v>
      </c>
      <c r="I538" s="192" t="n">
        <v>0</v>
      </c>
      <c r="J538" s="107" t="n"/>
      <c r="K538" s="107" t="n"/>
      <c r="L538" s="107" t="n"/>
      <c r="M538" s="192" t="n">
        <v>0</v>
      </c>
    </row>
    <row r="539" ht="15" customHeight="1">
      <c r="A539" s="111" t="inlineStr">
        <is>
          <t>001961</t>
        </is>
      </c>
      <c r="B539" s="111" t="inlineStr">
        <is>
          <t>000361</t>
        </is>
      </c>
      <c r="C539" s="111" t="inlineStr">
        <is>
          <t>PINGA 51 965ML</t>
        </is>
      </c>
      <c r="D539" s="111" t="n"/>
      <c r="E539" s="194" t="n">
        <v>0.05</v>
      </c>
      <c r="F539" s="195" t="n">
        <v>90.44</v>
      </c>
      <c r="G539" s="196" t="n">
        <v>0</v>
      </c>
      <c r="H539" s="195" t="n">
        <v>0</v>
      </c>
      <c r="I539" s="195" t="n">
        <v>0</v>
      </c>
      <c r="J539" s="111" t="n"/>
      <c r="K539" s="111" t="n"/>
      <c r="L539" s="111" t="n"/>
      <c r="M539" s="195" t="n">
        <v>0</v>
      </c>
    </row>
    <row r="540" ht="15" customHeight="1">
      <c r="A540" s="107" t="inlineStr">
        <is>
          <t>001961</t>
        </is>
      </c>
      <c r="B540" s="107" t="inlineStr">
        <is>
          <t>000474</t>
        </is>
      </c>
      <c r="C540" s="107" t="inlineStr">
        <is>
          <t>HORTELA GRANDE</t>
        </is>
      </c>
      <c r="D540" s="107" t="n"/>
      <c r="E540" s="191" t="n">
        <v>0.006</v>
      </c>
      <c r="F540" s="192" t="n">
        <v>0.4</v>
      </c>
      <c r="G540" s="193" t="n">
        <v>0</v>
      </c>
      <c r="H540" s="192" t="n">
        <v>0</v>
      </c>
      <c r="I540" s="192" t="n">
        <v>0</v>
      </c>
      <c r="J540" s="107" t="n"/>
      <c r="K540" s="107" t="n"/>
      <c r="L540" s="107" t="n"/>
      <c r="M540" s="192" t="n">
        <v>0</v>
      </c>
    </row>
    <row r="541" ht="15" customHeight="1">
      <c r="A541" s="111" t="inlineStr">
        <is>
          <t>001961</t>
        </is>
      </c>
      <c r="B541" s="111" t="inlineStr">
        <is>
          <t>000487</t>
        </is>
      </c>
      <c r="C541" s="111" t="inlineStr">
        <is>
          <t>ABACAXI PEROLA FRUTA</t>
        </is>
      </c>
      <c r="D541" s="111" t="n"/>
      <c r="E541" s="194" t="n">
        <v>0.04</v>
      </c>
      <c r="F541" s="195" t="n">
        <v>14020.59</v>
      </c>
      <c r="G541" s="196" t="n">
        <v>0</v>
      </c>
      <c r="H541" s="195" t="n">
        <v>0</v>
      </c>
      <c r="I541" s="195" t="n">
        <v>0</v>
      </c>
      <c r="J541" s="111" t="n"/>
      <c r="K541" s="111" t="n"/>
      <c r="L541" s="111" t="n"/>
      <c r="M541" s="195" t="n">
        <v>0</v>
      </c>
    </row>
    <row r="542" ht="15" customHeight="1">
      <c r="A542" s="107" t="inlineStr">
        <is>
          <t>001961</t>
        </is>
      </c>
      <c r="B542" s="107" t="inlineStr">
        <is>
          <t>001916</t>
        </is>
      </c>
      <c r="C542" s="107" t="inlineStr">
        <is>
          <t>XAROPE MONIN MENTA VERDE 700 ML</t>
        </is>
      </c>
      <c r="D542" s="107" t="n"/>
      <c r="E542" s="191" t="n">
        <v>0.05</v>
      </c>
      <c r="F542" s="192" t="n">
        <v>7.5</v>
      </c>
      <c r="G542" s="193" t="n">
        <v>0</v>
      </c>
      <c r="H542" s="192" t="n">
        <v>0</v>
      </c>
      <c r="I542" s="192" t="n">
        <v>0</v>
      </c>
      <c r="J542" s="107" t="n"/>
      <c r="K542" s="107" t="n"/>
      <c r="L542" s="107" t="n"/>
      <c r="M542" s="192" t="n">
        <v>0</v>
      </c>
    </row>
    <row r="543" ht="15" customHeight="1">
      <c r="A543" s="111" t="inlineStr">
        <is>
          <t>001963</t>
        </is>
      </c>
      <c r="B543" s="111" t="inlineStr">
        <is>
          <t>000361</t>
        </is>
      </c>
      <c r="C543" s="111" t="inlineStr">
        <is>
          <t>PINGA 51 965ML</t>
        </is>
      </c>
      <c r="D543" s="111" t="n"/>
      <c r="E543" s="194" t="n">
        <v>0.05</v>
      </c>
      <c r="F543" s="195" t="n">
        <v>90.44</v>
      </c>
      <c r="G543" s="196" t="n">
        <v>0</v>
      </c>
      <c r="H543" s="195" t="n">
        <v>0</v>
      </c>
      <c r="I543" s="195" t="n">
        <v>0</v>
      </c>
      <c r="J543" s="111" t="n"/>
      <c r="K543" s="111" t="n"/>
      <c r="L543" s="111" t="n"/>
      <c r="M543" s="195" t="n">
        <v>0</v>
      </c>
    </row>
    <row r="544" ht="15" customHeight="1">
      <c r="A544" s="107" t="inlineStr">
        <is>
          <t>001963</t>
        </is>
      </c>
      <c r="B544" s="107" t="inlineStr">
        <is>
          <t>001978</t>
        </is>
      </c>
      <c r="C544" s="107" t="inlineStr">
        <is>
          <t>KIWI FRUTA</t>
        </is>
      </c>
      <c r="D544" s="107" t="n"/>
      <c r="E544" s="191" t="n">
        <v>0.1</v>
      </c>
      <c r="F544" s="192" t="n">
        <v>254.47</v>
      </c>
      <c r="G544" s="193" t="n">
        <v>0</v>
      </c>
      <c r="H544" s="192" t="n">
        <v>0</v>
      </c>
      <c r="I544" s="192" t="n">
        <v>0</v>
      </c>
      <c r="J544" s="107" t="n"/>
      <c r="K544" s="107" t="n"/>
      <c r="L544" s="107" t="n"/>
      <c r="M544" s="192" t="n">
        <v>0</v>
      </c>
    </row>
    <row r="545" ht="15" customHeight="1">
      <c r="A545" s="111" t="inlineStr">
        <is>
          <t>001963</t>
        </is>
      </c>
      <c r="B545" s="111" t="inlineStr">
        <is>
          <t>009827</t>
        </is>
      </c>
      <c r="C545" s="111" t="inlineStr">
        <is>
          <t>XAROPE MACA VERDE 3LT</t>
        </is>
      </c>
      <c r="D545" s="111" t="n"/>
      <c r="E545" s="194" t="n">
        <v>0.025</v>
      </c>
      <c r="F545" s="195" t="n">
        <v>7.8</v>
      </c>
      <c r="G545" s="196" t="n">
        <v>0</v>
      </c>
      <c r="H545" s="195" t="n">
        <v>0</v>
      </c>
      <c r="I545" s="195" t="n">
        <v>0</v>
      </c>
      <c r="J545" s="111" t="n"/>
      <c r="K545" s="111" t="n"/>
      <c r="L545" s="111" t="n"/>
      <c r="M545" s="195" t="n">
        <v>0</v>
      </c>
    </row>
    <row r="546" ht="15" customHeight="1">
      <c r="A546" s="107" t="inlineStr">
        <is>
          <t>001964</t>
        </is>
      </c>
      <c r="B546" s="107" t="inlineStr">
        <is>
          <t>000318</t>
        </is>
      </c>
      <c r="C546" s="107" t="inlineStr">
        <is>
          <t>TONICA COMUM LATA</t>
        </is>
      </c>
      <c r="D546" s="107" t="n"/>
      <c r="E546" s="191" t="n">
        <v>1</v>
      </c>
      <c r="F546" s="192" t="n">
        <v>0</v>
      </c>
      <c r="G546" s="193" t="n">
        <v>0</v>
      </c>
      <c r="H546" s="192" t="n">
        <v>0</v>
      </c>
      <c r="I546" s="192" t="n">
        <v>0</v>
      </c>
      <c r="J546" s="107" t="n"/>
      <c r="K546" s="107" t="n"/>
      <c r="L546" s="107" t="n"/>
      <c r="M546" s="192" t="n">
        <v>0</v>
      </c>
    </row>
    <row r="547" ht="15" customHeight="1">
      <c r="A547" s="111" t="inlineStr">
        <is>
          <t>001964</t>
        </is>
      </c>
      <c r="B547" s="111" t="inlineStr">
        <is>
          <t>000474</t>
        </is>
      </c>
      <c r="C547" s="111" t="inlineStr">
        <is>
          <t>HORTELA GRANDE</t>
        </is>
      </c>
      <c r="D547" s="111" t="n"/>
      <c r="E547" s="194" t="n">
        <v>0.03</v>
      </c>
      <c r="F547" s="195" t="n">
        <v>0</v>
      </c>
      <c r="G547" s="196" t="n">
        <v>0</v>
      </c>
      <c r="H547" s="195" t="n">
        <v>0</v>
      </c>
      <c r="I547" s="195" t="n">
        <v>0</v>
      </c>
      <c r="J547" s="111" t="n"/>
      <c r="K547" s="111" t="n"/>
      <c r="L547" s="111" t="n"/>
      <c r="M547" s="195" t="n">
        <v>0</v>
      </c>
    </row>
    <row r="548" ht="15" customHeight="1">
      <c r="A548" s="107" t="inlineStr">
        <is>
          <t>001964</t>
        </is>
      </c>
      <c r="B548" s="107" t="inlineStr">
        <is>
          <t>000619</t>
        </is>
      </c>
      <c r="C548" s="107" t="inlineStr">
        <is>
          <t>LIMAO SICILIANO</t>
        </is>
      </c>
      <c r="D548" s="107" t="n"/>
      <c r="E548" s="191" t="n">
        <v>0.05</v>
      </c>
      <c r="F548" s="192" t="n">
        <v>0</v>
      </c>
      <c r="G548" s="193" t="n">
        <v>0</v>
      </c>
      <c r="H548" s="192" t="n">
        <v>0</v>
      </c>
      <c r="I548" s="192" t="n">
        <v>0</v>
      </c>
      <c r="J548" s="107" t="n"/>
      <c r="K548" s="107" t="n"/>
      <c r="L548" s="107" t="n"/>
      <c r="M548" s="192" t="n">
        <v>0</v>
      </c>
    </row>
    <row r="549" ht="15" customHeight="1">
      <c r="A549" s="111" t="inlineStr">
        <is>
          <t>001964</t>
        </is>
      </c>
      <c r="B549" s="111" t="inlineStr">
        <is>
          <t>001915</t>
        </is>
      </c>
      <c r="C549" s="111" t="inlineStr">
        <is>
          <t>XAROPE MONIN MARACUJA 700 ML</t>
        </is>
      </c>
      <c r="D549" s="111" t="n"/>
      <c r="E549" s="194" t="n">
        <v>0.12</v>
      </c>
      <c r="F549" s="195" t="n">
        <v>0</v>
      </c>
      <c r="G549" s="196" t="n">
        <v>0</v>
      </c>
      <c r="H549" s="195" t="n">
        <v>0</v>
      </c>
      <c r="I549" s="195" t="n">
        <v>0</v>
      </c>
      <c r="J549" s="111" t="n"/>
      <c r="K549" s="111" t="n"/>
      <c r="L549" s="111" t="n"/>
      <c r="M549" s="195" t="n">
        <v>0</v>
      </c>
    </row>
    <row r="550" ht="15" customHeight="1">
      <c r="A550" s="107" t="inlineStr">
        <is>
          <t>001964</t>
        </is>
      </c>
      <c r="B550" s="107" t="inlineStr">
        <is>
          <t>009820</t>
        </is>
      </c>
      <c r="C550" s="107" t="inlineStr">
        <is>
          <t>GIN BACCO PREMIUM BAG 5LT</t>
        </is>
      </c>
      <c r="D550" s="107" t="n"/>
      <c r="E550" s="191" t="n">
        <v>0.12</v>
      </c>
      <c r="F550" s="192" t="n">
        <v>0</v>
      </c>
      <c r="G550" s="193" t="n">
        <v>0</v>
      </c>
      <c r="H550" s="192" t="n">
        <v>0</v>
      </c>
      <c r="I550" s="192" t="n">
        <v>0</v>
      </c>
      <c r="J550" s="107" t="n"/>
      <c r="K550" s="107" t="n"/>
      <c r="L550" s="107" t="n"/>
      <c r="M550" s="192" t="n">
        <v>0</v>
      </c>
    </row>
    <row r="551" ht="15" customHeight="1">
      <c r="A551" s="111" t="inlineStr">
        <is>
          <t>001966</t>
        </is>
      </c>
      <c r="B551" s="111" t="inlineStr">
        <is>
          <t>000318</t>
        </is>
      </c>
      <c r="C551" s="111" t="inlineStr">
        <is>
          <t>TONICA COMUM LATA</t>
        </is>
      </c>
      <c r="D551" s="111" t="n"/>
      <c r="E551" s="194" t="n">
        <v>1</v>
      </c>
      <c r="F551" s="195" t="n">
        <v>0</v>
      </c>
      <c r="G551" s="196" t="n">
        <v>0</v>
      </c>
      <c r="H551" s="195" t="n">
        <v>0</v>
      </c>
      <c r="I551" s="195" t="n">
        <v>0</v>
      </c>
      <c r="J551" s="111" t="n"/>
      <c r="K551" s="111" t="n"/>
      <c r="L551" s="111" t="n"/>
      <c r="M551" s="195" t="n">
        <v>0</v>
      </c>
    </row>
    <row r="552" ht="15" customHeight="1">
      <c r="A552" s="107" t="inlineStr">
        <is>
          <t>001966</t>
        </is>
      </c>
      <c r="B552" s="107" t="inlineStr">
        <is>
          <t>000474</t>
        </is>
      </c>
      <c r="C552" s="107" t="inlineStr">
        <is>
          <t>HORTELA GRANDE</t>
        </is>
      </c>
      <c r="D552" s="107" t="n"/>
      <c r="E552" s="191" t="n">
        <v>0.03</v>
      </c>
      <c r="F552" s="192" t="n">
        <v>0</v>
      </c>
      <c r="G552" s="193" t="n">
        <v>0</v>
      </c>
      <c r="H552" s="192" t="n">
        <v>0</v>
      </c>
      <c r="I552" s="192" t="n">
        <v>0</v>
      </c>
      <c r="J552" s="107" t="n"/>
      <c r="K552" s="107" t="n"/>
      <c r="L552" s="107" t="n"/>
      <c r="M552" s="192" t="n">
        <v>0</v>
      </c>
    </row>
    <row r="553" ht="15" customHeight="1">
      <c r="A553" s="111" t="inlineStr">
        <is>
          <t>001966</t>
        </is>
      </c>
      <c r="B553" s="111" t="inlineStr">
        <is>
          <t>000619</t>
        </is>
      </c>
      <c r="C553" s="111" t="inlineStr">
        <is>
          <t>LIMAO SICILIANO</t>
        </is>
      </c>
      <c r="D553" s="111" t="n"/>
      <c r="E553" s="194" t="n">
        <v>0.05</v>
      </c>
      <c r="F553" s="195" t="n">
        <v>0</v>
      </c>
      <c r="G553" s="196" t="n">
        <v>0</v>
      </c>
      <c r="H553" s="195" t="n">
        <v>0</v>
      </c>
      <c r="I553" s="195" t="n">
        <v>0</v>
      </c>
      <c r="J553" s="111" t="n"/>
      <c r="K553" s="111" t="n"/>
      <c r="L553" s="111" t="n"/>
      <c r="M553" s="195" t="n">
        <v>0</v>
      </c>
    </row>
    <row r="554" ht="15" customHeight="1">
      <c r="A554" s="107" t="inlineStr">
        <is>
          <t>001966</t>
        </is>
      </c>
      <c r="B554" s="107" t="inlineStr">
        <is>
          <t>009820</t>
        </is>
      </c>
      <c r="C554" s="107" t="inlineStr">
        <is>
          <t>GIN BACCO PREMIUM BAG 5LT</t>
        </is>
      </c>
      <c r="D554" s="107" t="n"/>
      <c r="E554" s="191" t="n">
        <v>0.05</v>
      </c>
      <c r="F554" s="192" t="n">
        <v>0</v>
      </c>
      <c r="G554" s="193" t="n">
        <v>0</v>
      </c>
      <c r="H554" s="192" t="n">
        <v>0</v>
      </c>
      <c r="I554" s="192" t="n">
        <v>0</v>
      </c>
      <c r="J554" s="107" t="n"/>
      <c r="K554" s="107" t="n"/>
      <c r="L554" s="107" t="n"/>
      <c r="M554" s="192" t="n">
        <v>0</v>
      </c>
    </row>
    <row r="555" ht="15" customHeight="1">
      <c r="A555" s="111" t="inlineStr">
        <is>
          <t>001966</t>
        </is>
      </c>
      <c r="B555" s="111" t="inlineStr">
        <is>
          <t>009827</t>
        </is>
      </c>
      <c r="C555" s="111" t="inlineStr">
        <is>
          <t>XAROPE MACA VERDE 3LT</t>
        </is>
      </c>
      <c r="D555" s="111" t="n"/>
      <c r="E555" s="194" t="n">
        <v>0.12</v>
      </c>
      <c r="F555" s="195" t="n">
        <v>0</v>
      </c>
      <c r="G555" s="196" t="n">
        <v>0</v>
      </c>
      <c r="H555" s="195" t="n">
        <v>0</v>
      </c>
      <c r="I555" s="195" t="n">
        <v>0</v>
      </c>
      <c r="J555" s="111" t="n"/>
      <c r="K555" s="111" t="n"/>
      <c r="L555" s="111" t="n"/>
      <c r="M555" s="195" t="n">
        <v>0</v>
      </c>
    </row>
    <row r="556" ht="15" customHeight="1">
      <c r="A556" s="107" t="inlineStr">
        <is>
          <t>001967</t>
        </is>
      </c>
      <c r="B556" s="107" t="inlineStr">
        <is>
          <t>000619</t>
        </is>
      </c>
      <c r="C556" s="107" t="inlineStr">
        <is>
          <t>LIMAO SICILIANO</t>
        </is>
      </c>
      <c r="D556" s="107" t="n"/>
      <c r="E556" s="191" t="n">
        <v>0.05</v>
      </c>
      <c r="F556" s="192" t="n">
        <v>0</v>
      </c>
      <c r="G556" s="193" t="n">
        <v>0</v>
      </c>
      <c r="H556" s="192" t="n">
        <v>0</v>
      </c>
      <c r="I556" s="192" t="n">
        <v>0</v>
      </c>
      <c r="J556" s="107" t="n"/>
      <c r="K556" s="107" t="n"/>
      <c r="L556" s="107" t="n"/>
      <c r="M556" s="192" t="n">
        <v>0</v>
      </c>
    </row>
    <row r="557" ht="15" customHeight="1">
      <c r="A557" s="111" t="inlineStr">
        <is>
          <t>001967</t>
        </is>
      </c>
      <c r="B557" s="111" t="inlineStr">
        <is>
          <t>001167</t>
        </is>
      </c>
      <c r="C557" s="111" t="inlineStr">
        <is>
          <t>RED BULL MELANCIA</t>
        </is>
      </c>
      <c r="D557" s="111" t="n"/>
      <c r="E557" s="194" t="n">
        <v>1</v>
      </c>
      <c r="F557" s="195" t="n">
        <v>0</v>
      </c>
      <c r="G557" s="196" t="n">
        <v>0</v>
      </c>
      <c r="H557" s="195" t="n">
        <v>0</v>
      </c>
      <c r="I557" s="195" t="n">
        <v>0</v>
      </c>
      <c r="J557" s="111" t="n"/>
      <c r="K557" s="111" t="n"/>
      <c r="L557" s="111" t="n"/>
      <c r="M557" s="195" t="n">
        <v>0</v>
      </c>
    </row>
    <row r="558" ht="15" customHeight="1">
      <c r="A558" s="107" t="inlineStr">
        <is>
          <t>001967</t>
        </is>
      </c>
      <c r="B558" s="107" t="inlineStr">
        <is>
          <t>009820</t>
        </is>
      </c>
      <c r="C558" s="107" t="inlineStr">
        <is>
          <t>GIN BACCO PREMIUM BAG 5LT</t>
        </is>
      </c>
      <c r="D558" s="107" t="n"/>
      <c r="E558" s="191" t="n">
        <v>0.05</v>
      </c>
      <c r="F558" s="192" t="n">
        <v>0</v>
      </c>
      <c r="G558" s="193" t="n">
        <v>0</v>
      </c>
      <c r="H558" s="192" t="n">
        <v>0</v>
      </c>
      <c r="I558" s="192" t="n">
        <v>0</v>
      </c>
      <c r="J558" s="107" t="n"/>
      <c r="K558" s="107" t="n"/>
      <c r="L558" s="107" t="n"/>
      <c r="M558" s="192" t="n">
        <v>0</v>
      </c>
    </row>
    <row r="559" ht="15" customHeight="1">
      <c r="A559" s="111" t="inlineStr">
        <is>
          <t>001980</t>
        </is>
      </c>
      <c r="B559" s="111" t="inlineStr">
        <is>
          <t>000331</t>
        </is>
      </c>
      <c r="C559" s="111" t="inlineStr">
        <is>
          <t>BARRIL CHOPP BRAHMA CLARO 50LT</t>
        </is>
      </c>
      <c r="D559" s="111" t="n"/>
      <c r="E559" s="194" t="n">
        <v>0.35</v>
      </c>
      <c r="F559" s="195" t="n">
        <v>0</v>
      </c>
      <c r="G559" s="196" t="n">
        <v>0</v>
      </c>
      <c r="H559" s="195" t="n">
        <v>0</v>
      </c>
      <c r="I559" s="195" t="n">
        <v>0</v>
      </c>
      <c r="J559" s="111" t="n"/>
      <c r="K559" s="111" t="n"/>
      <c r="L559" s="111" t="n"/>
      <c r="M559" s="195" t="n">
        <v>0</v>
      </c>
    </row>
    <row r="560" ht="15" customHeight="1">
      <c r="A560" s="107" t="inlineStr">
        <is>
          <t>002015</t>
        </is>
      </c>
      <c r="B560" s="107" t="inlineStr">
        <is>
          <t>000334</t>
        </is>
      </c>
      <c r="C560" s="107" t="inlineStr">
        <is>
          <t>AGUA C/ GAS</t>
        </is>
      </c>
      <c r="D560" s="107" t="n"/>
      <c r="E560" s="191" t="n">
        <v>1</v>
      </c>
      <c r="F560" s="192" t="n">
        <v>0</v>
      </c>
      <c r="G560" s="193" t="n">
        <v>0</v>
      </c>
      <c r="H560" s="192" t="n">
        <v>0</v>
      </c>
      <c r="I560" s="192" t="n">
        <v>0</v>
      </c>
      <c r="J560" s="107" t="n"/>
      <c r="K560" s="107" t="n"/>
      <c r="L560" s="107" t="n"/>
      <c r="M560" s="192" t="n">
        <v>0</v>
      </c>
    </row>
    <row r="561" ht="15" customHeight="1">
      <c r="A561" s="111" t="inlineStr">
        <is>
          <t>002015</t>
        </is>
      </c>
      <c r="B561" s="111" t="inlineStr">
        <is>
          <t>000374</t>
        </is>
      </c>
      <c r="C561" s="111" t="inlineStr">
        <is>
          <t>ACUCAR REFINADO UNIAO</t>
        </is>
      </c>
      <c r="D561" s="111" t="n"/>
      <c r="E561" s="194" t="n">
        <v>0.01</v>
      </c>
      <c r="F561" s="195" t="n">
        <v>0.67</v>
      </c>
      <c r="G561" s="196" t="n">
        <v>0</v>
      </c>
      <c r="H561" s="195" t="n">
        <v>0</v>
      </c>
      <c r="I561" s="195" t="n">
        <v>0</v>
      </c>
      <c r="J561" s="111" t="n"/>
      <c r="K561" s="111" t="n"/>
      <c r="L561" s="111" t="n"/>
      <c r="M561" s="195" t="n">
        <v>0</v>
      </c>
    </row>
    <row r="562" ht="15" customHeight="1">
      <c r="A562" s="107" t="inlineStr">
        <is>
          <t>002015</t>
        </is>
      </c>
      <c r="B562" s="107" t="inlineStr">
        <is>
          <t>000492</t>
        </is>
      </c>
      <c r="C562" s="107" t="inlineStr">
        <is>
          <t>LIMAO TAITI FRUTA</t>
        </is>
      </c>
      <c r="D562" s="107" t="n"/>
      <c r="E562" s="191" t="n">
        <v>0.1</v>
      </c>
      <c r="F562" s="192" t="n">
        <v>42.96</v>
      </c>
      <c r="G562" s="193" t="n">
        <v>0</v>
      </c>
      <c r="H562" s="192" t="n">
        <v>0</v>
      </c>
      <c r="I562" s="192" t="n">
        <v>0</v>
      </c>
      <c r="J562" s="107" t="n"/>
      <c r="K562" s="107" t="n"/>
      <c r="L562" s="107" t="n"/>
      <c r="M562" s="192" t="n">
        <v>0</v>
      </c>
    </row>
    <row r="563" ht="15" customHeight="1">
      <c r="A563" s="111" t="inlineStr">
        <is>
          <t>002015</t>
        </is>
      </c>
      <c r="B563" s="111" t="inlineStr">
        <is>
          <t>001988</t>
        </is>
      </c>
      <c r="C563" s="111" t="inlineStr">
        <is>
          <t>CACHACA FIU FIU CAJAZINHA 750ML</t>
        </is>
      </c>
      <c r="D563" s="111" t="n"/>
      <c r="E563" s="194" t="n">
        <v>0.075</v>
      </c>
      <c r="F563" s="195" t="n">
        <v>49.54</v>
      </c>
      <c r="G563" s="196" t="n">
        <v>0</v>
      </c>
      <c r="H563" s="195" t="n">
        <v>0</v>
      </c>
      <c r="I563" s="195" t="n">
        <v>0</v>
      </c>
      <c r="J563" s="111" t="n"/>
      <c r="K563" s="111" t="n"/>
      <c r="L563" s="111" t="n"/>
      <c r="M563" s="195" t="n">
        <v>0</v>
      </c>
    </row>
    <row r="564" ht="15" customHeight="1">
      <c r="A564" s="107" t="inlineStr">
        <is>
          <t>002022</t>
        </is>
      </c>
      <c r="B564" s="107" t="inlineStr">
        <is>
          <t>000282</t>
        </is>
      </c>
      <c r="C564" s="107" t="inlineStr">
        <is>
          <t>QUEIJO COALHO C/ MELACO</t>
        </is>
      </c>
      <c r="D564" s="107" t="n"/>
      <c r="E564" s="191" t="n">
        <v>2</v>
      </c>
      <c r="F564" s="192" t="n">
        <v>3624.78</v>
      </c>
      <c r="G564" s="193" t="n">
        <v>0</v>
      </c>
      <c r="H564" s="192" t="n">
        <v>0</v>
      </c>
      <c r="I564" s="192" t="n">
        <v>0</v>
      </c>
      <c r="J564" s="107" t="n"/>
      <c r="K564" s="107" t="n"/>
      <c r="L564" s="107" t="n"/>
      <c r="M564" s="192" t="n">
        <v>0</v>
      </c>
    </row>
    <row r="565" ht="15" customHeight="1">
      <c r="A565" s="111" t="inlineStr">
        <is>
          <t>002022</t>
        </is>
      </c>
      <c r="B565" s="111" t="inlineStr">
        <is>
          <t>000286</t>
        </is>
      </c>
      <c r="C565" s="111" t="inlineStr">
        <is>
          <t>ESPETO BOVINO</t>
        </is>
      </c>
      <c r="D565" s="111" t="n"/>
      <c r="E565" s="194" t="n">
        <v>2</v>
      </c>
      <c r="F565" s="195" t="n">
        <v>8256.790000000001</v>
      </c>
      <c r="G565" s="196" t="n">
        <v>0</v>
      </c>
      <c r="H565" s="195" t="n">
        <v>0</v>
      </c>
      <c r="I565" s="195" t="n">
        <v>0</v>
      </c>
      <c r="J565" s="111" t="n"/>
      <c r="K565" s="111" t="n"/>
      <c r="L565" s="111" t="n"/>
      <c r="M565" s="195" t="n">
        <v>0</v>
      </c>
    </row>
    <row r="566" ht="15" customHeight="1">
      <c r="A566" s="107" t="inlineStr">
        <is>
          <t>002022</t>
        </is>
      </c>
      <c r="B566" s="107" t="inlineStr">
        <is>
          <t>000288</t>
        </is>
      </c>
      <c r="C566" s="107" t="inlineStr">
        <is>
          <t>ESPETO CALABRESA S/ PIMENTA</t>
        </is>
      </c>
      <c r="D566" s="107" t="n"/>
      <c r="E566" s="191" t="n">
        <v>2</v>
      </c>
      <c r="F566" s="192" t="n">
        <v>2213.56</v>
      </c>
      <c r="G566" s="193" t="n">
        <v>0</v>
      </c>
      <c r="H566" s="192" t="n">
        <v>0</v>
      </c>
      <c r="I566" s="192" t="n">
        <v>0</v>
      </c>
      <c r="J566" s="107" t="n"/>
      <c r="K566" s="107" t="n"/>
      <c r="L566" s="107" t="n"/>
      <c r="M566" s="192" t="n">
        <v>0</v>
      </c>
    </row>
    <row r="567" ht="15" customHeight="1">
      <c r="A567" s="111" t="inlineStr">
        <is>
          <t>002022</t>
        </is>
      </c>
      <c r="B567" s="111" t="inlineStr">
        <is>
          <t>000289</t>
        </is>
      </c>
      <c r="C567" s="111" t="inlineStr">
        <is>
          <t>ESPETO CORACAO</t>
        </is>
      </c>
      <c r="D567" s="111" t="n"/>
      <c r="E567" s="194" t="n">
        <v>2</v>
      </c>
      <c r="F567" s="195" t="n">
        <v>15189.86</v>
      </c>
      <c r="G567" s="196" t="n">
        <v>0</v>
      </c>
      <c r="H567" s="195" t="n">
        <v>0</v>
      </c>
      <c r="I567" s="195" t="n">
        <v>0</v>
      </c>
      <c r="J567" s="111" t="n"/>
      <c r="K567" s="111" t="n"/>
      <c r="L567" s="111" t="n"/>
      <c r="M567" s="195" t="n">
        <v>0</v>
      </c>
    </row>
    <row r="568" ht="15" customHeight="1">
      <c r="A568" s="107" t="inlineStr">
        <is>
          <t>002022</t>
        </is>
      </c>
      <c r="B568" s="107" t="inlineStr">
        <is>
          <t>000291</t>
        </is>
      </c>
      <c r="C568" s="107" t="inlineStr">
        <is>
          <t>ESPETO FRANGO</t>
        </is>
      </c>
      <c r="D568" s="107" t="n"/>
      <c r="E568" s="191" t="n">
        <v>2</v>
      </c>
      <c r="F568" s="192" t="n">
        <v>495.88</v>
      </c>
      <c r="G568" s="193" t="n">
        <v>0</v>
      </c>
      <c r="H568" s="192" t="n">
        <v>0</v>
      </c>
      <c r="I568" s="192" t="n">
        <v>0</v>
      </c>
      <c r="J568" s="107" t="n"/>
      <c r="K568" s="107" t="n"/>
      <c r="L568" s="107" t="n"/>
      <c r="M568" s="192" t="n">
        <v>0</v>
      </c>
    </row>
    <row r="569" ht="15" customHeight="1">
      <c r="A569" s="111" t="inlineStr">
        <is>
          <t>002022</t>
        </is>
      </c>
      <c r="B569" s="111" t="inlineStr">
        <is>
          <t>000296</t>
        </is>
      </c>
      <c r="C569" s="111" t="inlineStr">
        <is>
          <t>ESPETO FILE MIGNON</t>
        </is>
      </c>
      <c r="D569" s="111" t="n"/>
      <c r="E569" s="194" t="n">
        <v>2</v>
      </c>
      <c r="F569" s="195" t="n">
        <v>2856.75</v>
      </c>
      <c r="G569" s="196" t="n">
        <v>0</v>
      </c>
      <c r="H569" s="195" t="n">
        <v>0</v>
      </c>
      <c r="I569" s="195" t="n">
        <v>0</v>
      </c>
      <c r="J569" s="111" t="n"/>
      <c r="K569" s="111" t="n"/>
      <c r="L569" s="111" t="n"/>
      <c r="M569" s="195" t="n">
        <v>0</v>
      </c>
    </row>
    <row r="570" ht="15" customHeight="1">
      <c r="A570" s="107" t="inlineStr">
        <is>
          <t>002022</t>
        </is>
      </c>
      <c r="B570" s="107" t="inlineStr">
        <is>
          <t>000314</t>
        </is>
      </c>
      <c r="C570" s="107" t="inlineStr">
        <is>
          <t>GUARANA ZERO LATA 350ML</t>
        </is>
      </c>
      <c r="D570" s="107" t="n"/>
      <c r="E570" s="191" t="n">
        <v>2</v>
      </c>
      <c r="F570" s="192" t="n">
        <v>243689.24</v>
      </c>
      <c r="G570" s="193" t="n">
        <v>0</v>
      </c>
      <c r="H570" s="192" t="n">
        <v>0</v>
      </c>
      <c r="I570" s="192" t="n">
        <v>0</v>
      </c>
      <c r="J570" s="107" t="n"/>
      <c r="K570" s="107" t="n"/>
      <c r="L570" s="107" t="n"/>
      <c r="M570" s="192" t="n">
        <v>0</v>
      </c>
    </row>
    <row r="571" ht="15" customHeight="1">
      <c r="A571" s="111" t="inlineStr">
        <is>
          <t>002022</t>
        </is>
      </c>
      <c r="B571" s="111" t="inlineStr">
        <is>
          <t>000331</t>
        </is>
      </c>
      <c r="C571" s="111" t="inlineStr">
        <is>
          <t>BARRIL CHOPP BRAHMA CLARO 50LT</t>
        </is>
      </c>
      <c r="D571" s="111" t="n"/>
      <c r="E571" s="194" t="n">
        <v>0.003</v>
      </c>
      <c r="F571" s="195" t="n">
        <v>0</v>
      </c>
      <c r="G571" s="196" t="n">
        <v>0</v>
      </c>
      <c r="H571" s="195" t="n">
        <v>0</v>
      </c>
      <c r="I571" s="195" t="n">
        <v>0</v>
      </c>
      <c r="J571" s="111" t="n"/>
      <c r="K571" s="111" t="n"/>
      <c r="L571" s="111" t="n"/>
      <c r="M571" s="195" t="n">
        <v>0</v>
      </c>
    </row>
    <row r="572" ht="15" customHeight="1">
      <c r="A572" s="107" t="inlineStr">
        <is>
          <t>002022</t>
        </is>
      </c>
      <c r="B572" s="107" t="inlineStr">
        <is>
          <t>000377</t>
        </is>
      </c>
      <c r="C572" s="107" t="inlineStr">
        <is>
          <t>ARROZ TIPO 1</t>
        </is>
      </c>
      <c r="D572" s="107" t="n"/>
      <c r="E572" s="191" t="n">
        <v>0.06</v>
      </c>
      <c r="F572" s="192" t="n">
        <v>0</v>
      </c>
      <c r="G572" s="193" t="n">
        <v>0</v>
      </c>
      <c r="H572" s="192" t="n">
        <v>0</v>
      </c>
      <c r="I572" s="192" t="n">
        <v>0</v>
      </c>
      <c r="J572" s="107" t="n"/>
      <c r="K572" s="107" t="n"/>
      <c r="L572" s="107" t="n"/>
      <c r="M572" s="192" t="n">
        <v>0</v>
      </c>
    </row>
    <row r="573" ht="15" customHeight="1">
      <c r="A573" s="111" t="inlineStr">
        <is>
          <t>002022</t>
        </is>
      </c>
      <c r="B573" s="111" t="inlineStr">
        <is>
          <t>000390</t>
        </is>
      </c>
      <c r="C573" s="111" t="inlineStr">
        <is>
          <t>FARINHA DE TRIGO SOL</t>
        </is>
      </c>
      <c r="D573" s="111" t="n"/>
      <c r="E573" s="194" t="n">
        <v>0.002</v>
      </c>
      <c r="F573" s="195" t="n">
        <v>0</v>
      </c>
      <c r="G573" s="196" t="n">
        <v>0</v>
      </c>
      <c r="H573" s="195" t="n">
        <v>0</v>
      </c>
      <c r="I573" s="195" t="n">
        <v>0</v>
      </c>
      <c r="J573" s="111" t="n"/>
      <c r="K573" s="111" t="n"/>
      <c r="L573" s="111" t="n"/>
      <c r="M573" s="195" t="n">
        <v>0</v>
      </c>
    </row>
    <row r="574" ht="15" customHeight="1">
      <c r="A574" s="107" t="inlineStr">
        <is>
          <t>002022</t>
        </is>
      </c>
      <c r="B574" s="107" t="inlineStr">
        <is>
          <t>000412</t>
        </is>
      </c>
      <c r="C574" s="107" t="inlineStr">
        <is>
          <t>OLEO DE SOJA LIZA 900ML</t>
        </is>
      </c>
      <c r="D574" s="107" t="n"/>
      <c r="E574" s="191" t="n">
        <v>0.059</v>
      </c>
      <c r="F574" s="192" t="n">
        <v>0</v>
      </c>
      <c r="G574" s="193" t="n">
        <v>0</v>
      </c>
      <c r="H574" s="192" t="n">
        <v>0</v>
      </c>
      <c r="I574" s="192" t="n">
        <v>0</v>
      </c>
      <c r="J574" s="107" t="n"/>
      <c r="K574" s="107" t="n"/>
      <c r="L574" s="107" t="n"/>
      <c r="M574" s="192" t="n">
        <v>0</v>
      </c>
    </row>
    <row r="575" ht="15" customHeight="1">
      <c r="A575" s="111" t="inlineStr">
        <is>
          <t>002022</t>
        </is>
      </c>
      <c r="B575" s="111" t="inlineStr">
        <is>
          <t>000414</t>
        </is>
      </c>
      <c r="C575" s="111" t="inlineStr">
        <is>
          <t>PIMENTA DO REINO MOIDA</t>
        </is>
      </c>
      <c r="D575" s="111" t="n"/>
      <c r="E575" s="194" t="n">
        <v>0.0005999999999999999</v>
      </c>
      <c r="F575" s="195" t="n">
        <v>0</v>
      </c>
      <c r="G575" s="196" t="n">
        <v>0</v>
      </c>
      <c r="H575" s="195" t="n">
        <v>0</v>
      </c>
      <c r="I575" s="195" t="n">
        <v>0</v>
      </c>
      <c r="J575" s="111" t="n"/>
      <c r="K575" s="111" t="n"/>
      <c r="L575" s="111" t="n"/>
      <c r="M575" s="195" t="n">
        <v>0</v>
      </c>
    </row>
    <row r="576" ht="15" customHeight="1">
      <c r="A576" s="107" t="inlineStr">
        <is>
          <t>002022</t>
        </is>
      </c>
      <c r="B576" s="107" t="inlineStr">
        <is>
          <t>000424</t>
        </is>
      </c>
      <c r="C576" s="107" t="inlineStr">
        <is>
          <t>VINAGRE AGRIN BRANCO NEVAL GARRAFA 750ML</t>
        </is>
      </c>
      <c r="D576" s="107" t="n"/>
      <c r="E576" s="191" t="n">
        <v>0.007</v>
      </c>
      <c r="F576" s="192" t="n">
        <v>0</v>
      </c>
      <c r="G576" s="193" t="n">
        <v>0</v>
      </c>
      <c r="H576" s="192" t="n">
        <v>0</v>
      </c>
      <c r="I576" s="192" t="n">
        <v>0</v>
      </c>
      <c r="J576" s="107" t="n"/>
      <c r="K576" s="107" t="n"/>
      <c r="L576" s="107" t="n"/>
      <c r="M576" s="192" t="n">
        <v>0</v>
      </c>
    </row>
    <row r="577" ht="15" customHeight="1">
      <c r="A577" s="111" t="inlineStr">
        <is>
          <t>002022</t>
        </is>
      </c>
      <c r="B577" s="111" t="inlineStr">
        <is>
          <t>000426</t>
        </is>
      </c>
      <c r="C577" s="111" t="inlineStr">
        <is>
          <t>BACON EM CUBOS</t>
        </is>
      </c>
      <c r="D577" s="111" t="n"/>
      <c r="E577" s="194" t="n">
        <v>0.004</v>
      </c>
      <c r="F577" s="195" t="n">
        <v>0</v>
      </c>
      <c r="G577" s="196" t="n">
        <v>0</v>
      </c>
      <c r="H577" s="195" t="n">
        <v>0</v>
      </c>
      <c r="I577" s="195" t="n">
        <v>0</v>
      </c>
      <c r="J577" s="111" t="n"/>
      <c r="K577" s="111" t="n"/>
      <c r="L577" s="111" t="n"/>
      <c r="M577" s="195" t="n">
        <v>0</v>
      </c>
    </row>
    <row r="578" ht="15" customHeight="1">
      <c r="A578" s="107" t="inlineStr">
        <is>
          <t>002022</t>
        </is>
      </c>
      <c r="B578" s="107" t="inlineStr">
        <is>
          <t>000437</t>
        </is>
      </c>
      <c r="C578" s="107" t="inlineStr">
        <is>
          <t>CHOCOLATE GAROTO BARRA 2,1KG</t>
        </is>
      </c>
      <c r="D578" s="107" t="n"/>
      <c r="E578" s="191" t="n">
        <v>0.03</v>
      </c>
      <c r="F578" s="192" t="n">
        <v>109.91</v>
      </c>
      <c r="G578" s="193" t="n">
        <v>0</v>
      </c>
      <c r="H578" s="192" t="n">
        <v>0</v>
      </c>
      <c r="I578" s="192" t="n">
        <v>0</v>
      </c>
      <c r="J578" s="107" t="n"/>
      <c r="K578" s="107" t="n"/>
      <c r="L578" s="107" t="n"/>
      <c r="M578" s="192" t="n">
        <v>0</v>
      </c>
    </row>
    <row r="579" ht="15" customHeight="1">
      <c r="A579" s="111" t="inlineStr">
        <is>
          <t>002022</t>
        </is>
      </c>
      <c r="B579" s="111" t="inlineStr">
        <is>
          <t>000463</t>
        </is>
      </c>
      <c r="C579" s="111" t="inlineStr">
        <is>
          <t>ALHO DESCASCADO</t>
        </is>
      </c>
      <c r="D579" s="111" t="n"/>
      <c r="E579" s="194" t="n">
        <v>0.001</v>
      </c>
      <c r="F579" s="195" t="n">
        <v>0</v>
      </c>
      <c r="G579" s="196" t="n">
        <v>0</v>
      </c>
      <c r="H579" s="195" t="n">
        <v>0</v>
      </c>
      <c r="I579" s="195" t="n">
        <v>0</v>
      </c>
      <c r="J579" s="111" t="n"/>
      <c r="K579" s="111" t="n"/>
      <c r="L579" s="111" t="n"/>
      <c r="M579" s="195" t="n">
        <v>0</v>
      </c>
    </row>
    <row r="580" ht="15" customHeight="1">
      <c r="A580" s="107" t="inlineStr">
        <is>
          <t>002022</t>
        </is>
      </c>
      <c r="B580" s="107" t="inlineStr">
        <is>
          <t>000468</t>
        </is>
      </c>
      <c r="C580" s="107" t="inlineStr">
        <is>
          <t>CEBOLA MEDIA</t>
        </is>
      </c>
      <c r="D580" s="107" t="n"/>
      <c r="E580" s="191" t="n">
        <v>0.013</v>
      </c>
      <c r="F580" s="192" t="n">
        <v>0</v>
      </c>
      <c r="G580" s="193" t="n">
        <v>0</v>
      </c>
      <c r="H580" s="192" t="n">
        <v>0</v>
      </c>
      <c r="I580" s="192" t="n">
        <v>0</v>
      </c>
      <c r="J580" s="107" t="n"/>
      <c r="K580" s="107" t="n"/>
      <c r="L580" s="107" t="n"/>
      <c r="M580" s="192" t="n">
        <v>0</v>
      </c>
    </row>
    <row r="581" ht="15" customHeight="1">
      <c r="A581" s="111" t="inlineStr">
        <is>
          <t>002022</t>
        </is>
      </c>
      <c r="B581" s="111" t="inlineStr">
        <is>
          <t>000475</t>
        </is>
      </c>
      <c r="C581" s="111" t="inlineStr">
        <is>
          <t>FOLHA DE LOURO</t>
        </is>
      </c>
      <c r="D581" s="111" t="n"/>
      <c r="E581" s="194" t="n">
        <v>0.002</v>
      </c>
      <c r="F581" s="195" t="n">
        <v>0</v>
      </c>
      <c r="G581" s="196" t="n">
        <v>0</v>
      </c>
      <c r="H581" s="195" t="n">
        <v>0</v>
      </c>
      <c r="I581" s="195" t="n">
        <v>0</v>
      </c>
      <c r="J581" s="111" t="n"/>
      <c r="K581" s="111" t="n"/>
      <c r="L581" s="111" t="n"/>
      <c r="M581" s="195" t="n">
        <v>0</v>
      </c>
    </row>
    <row r="582" ht="15" customHeight="1">
      <c r="A582" s="107" t="inlineStr">
        <is>
          <t>002022</t>
        </is>
      </c>
      <c r="B582" s="107" t="inlineStr">
        <is>
          <t>000484</t>
        </is>
      </c>
      <c r="C582" s="107" t="inlineStr">
        <is>
          <t>SALSA LISA INDUSTRIAL</t>
        </is>
      </c>
      <c r="D582" s="107" t="n"/>
      <c r="E582" s="191" t="n">
        <v>0.008999999999999999</v>
      </c>
      <c r="F582" s="192" t="n">
        <v>0</v>
      </c>
      <c r="G582" s="193" t="n">
        <v>0</v>
      </c>
      <c r="H582" s="192" t="n">
        <v>0</v>
      </c>
      <c r="I582" s="192" t="n">
        <v>0</v>
      </c>
      <c r="J582" s="107" t="n"/>
      <c r="K582" s="107" t="n"/>
      <c r="L582" s="107" t="n"/>
      <c r="M582" s="192" t="n">
        <v>0</v>
      </c>
    </row>
    <row r="583" ht="15" customHeight="1">
      <c r="A583" s="111" t="inlineStr">
        <is>
          <t>002022</t>
        </is>
      </c>
      <c r="B583" s="111" t="inlineStr">
        <is>
          <t>000486</t>
        </is>
      </c>
      <c r="C583" s="111" t="inlineStr">
        <is>
          <t>TOMATE SALADA</t>
        </is>
      </c>
      <c r="D583" s="111" t="n"/>
      <c r="E583" s="194" t="n">
        <v>0.026</v>
      </c>
      <c r="F583" s="195" t="n">
        <v>0</v>
      </c>
      <c r="G583" s="196" t="n">
        <v>0</v>
      </c>
      <c r="H583" s="195" t="n">
        <v>0</v>
      </c>
      <c r="I583" s="195" t="n">
        <v>0</v>
      </c>
      <c r="J583" s="111" t="n"/>
      <c r="K583" s="111" t="n"/>
      <c r="L583" s="111" t="n"/>
      <c r="M583" s="195" t="n">
        <v>0</v>
      </c>
    </row>
    <row r="584" ht="15" customHeight="1">
      <c r="A584" s="107" t="inlineStr">
        <is>
          <t>002022</t>
        </is>
      </c>
      <c r="B584" s="107" t="inlineStr">
        <is>
          <t>000590</t>
        </is>
      </c>
      <c r="C584" s="107" t="inlineStr">
        <is>
          <t>MORANGO FRUTA</t>
        </is>
      </c>
      <c r="D584" s="107" t="n"/>
      <c r="E584" s="191" t="n">
        <v>0.08</v>
      </c>
      <c r="F584" s="192" t="n">
        <v>98269.61</v>
      </c>
      <c r="G584" s="193" t="n">
        <v>0</v>
      </c>
      <c r="H584" s="192" t="n">
        <v>0</v>
      </c>
      <c r="I584" s="192" t="n">
        <v>0</v>
      </c>
      <c r="J584" s="107" t="n"/>
      <c r="K584" s="107" t="n"/>
      <c r="L584" s="107" t="n"/>
      <c r="M584" s="192" t="n">
        <v>0</v>
      </c>
    </row>
    <row r="585" ht="15" customHeight="1">
      <c r="A585" s="111" t="inlineStr">
        <is>
          <t>002022</t>
        </is>
      </c>
      <c r="B585" s="111" t="inlineStr">
        <is>
          <t>000614</t>
        </is>
      </c>
      <c r="C585" s="111" t="inlineStr">
        <is>
          <t>SAL REFINADO</t>
        </is>
      </c>
      <c r="D585" s="111" t="n"/>
      <c r="E585" s="194" t="n">
        <v>0.006</v>
      </c>
      <c r="F585" s="195" t="n">
        <v>0</v>
      </c>
      <c r="G585" s="196" t="n">
        <v>0</v>
      </c>
      <c r="H585" s="195" t="n">
        <v>0</v>
      </c>
      <c r="I585" s="195" t="n">
        <v>0</v>
      </c>
      <c r="J585" s="111" t="n"/>
      <c r="K585" s="111" t="n"/>
      <c r="L585" s="111" t="n"/>
      <c r="M585" s="195" t="n">
        <v>0</v>
      </c>
    </row>
    <row r="586" ht="15" customHeight="1">
      <c r="A586" s="107" t="inlineStr">
        <is>
          <t>002022</t>
        </is>
      </c>
      <c r="B586" s="107" t="inlineStr">
        <is>
          <t>000667</t>
        </is>
      </c>
      <c r="C586" s="107" t="inlineStr">
        <is>
          <t>TOMILHO</t>
        </is>
      </c>
      <c r="D586" s="107" t="n"/>
      <c r="E586" s="191" t="n">
        <v>0.001</v>
      </c>
      <c r="F586" s="192" t="n">
        <v>0</v>
      </c>
      <c r="G586" s="193" t="n">
        <v>0</v>
      </c>
      <c r="H586" s="192" t="n">
        <v>0</v>
      </c>
      <c r="I586" s="192" t="n">
        <v>0</v>
      </c>
      <c r="J586" s="107" t="n"/>
      <c r="K586" s="107" t="n"/>
      <c r="L586" s="107" t="n"/>
      <c r="M586" s="192" t="n">
        <v>0</v>
      </c>
    </row>
    <row r="587" ht="15" customHeight="1">
      <c r="A587" s="111" t="inlineStr">
        <is>
          <t>002022</t>
        </is>
      </c>
      <c r="B587" s="111" t="inlineStr">
        <is>
          <t>000668</t>
        </is>
      </c>
      <c r="C587" s="111" t="inlineStr">
        <is>
          <t>ALECRIM</t>
        </is>
      </c>
      <c r="D587" s="111" t="n"/>
      <c r="E587" s="194" t="n">
        <v>0.001</v>
      </c>
      <c r="F587" s="195" t="n">
        <v>0</v>
      </c>
      <c r="G587" s="196" t="n">
        <v>0</v>
      </c>
      <c r="H587" s="195" t="n">
        <v>0</v>
      </c>
      <c r="I587" s="195" t="n">
        <v>0</v>
      </c>
      <c r="J587" s="111" t="n"/>
      <c r="K587" s="111" t="n"/>
      <c r="L587" s="111" t="n"/>
      <c r="M587" s="195" t="n">
        <v>0</v>
      </c>
    </row>
    <row r="588" ht="15" customHeight="1">
      <c r="A588" s="107" t="inlineStr">
        <is>
          <t>002022</t>
        </is>
      </c>
      <c r="B588" s="107" t="inlineStr">
        <is>
          <t>000747</t>
        </is>
      </c>
      <c r="C588" s="107" t="inlineStr">
        <is>
          <t>AZEITE OLEO COMPOSTO 5 LITROS</t>
        </is>
      </c>
      <c r="D588" s="107" t="n"/>
      <c r="E588" s="191" t="n">
        <v>0.013</v>
      </c>
      <c r="F588" s="192" t="n">
        <v>0</v>
      </c>
      <c r="G588" s="193" t="n">
        <v>0</v>
      </c>
      <c r="H588" s="192" t="n">
        <v>0</v>
      </c>
      <c r="I588" s="192" t="n">
        <v>0</v>
      </c>
      <c r="J588" s="107" t="n"/>
      <c r="K588" s="107" t="n"/>
      <c r="L588" s="107" t="n"/>
      <c r="M588" s="192" t="n">
        <v>0</v>
      </c>
    </row>
    <row r="589" ht="15" customHeight="1">
      <c r="A589" s="111" t="inlineStr">
        <is>
          <t>002022</t>
        </is>
      </c>
      <c r="B589" s="111" t="inlineStr">
        <is>
          <t>002067</t>
        </is>
      </c>
      <c r="C589" s="111" t="inlineStr">
        <is>
          <t>FARINHA PANKO EMPANAR</t>
        </is>
      </c>
      <c r="D589" s="111" t="n"/>
      <c r="E589" s="194" t="n">
        <v>0.02</v>
      </c>
      <c r="F589" s="195" t="n">
        <v>0</v>
      </c>
      <c r="G589" s="196" t="n">
        <v>0</v>
      </c>
      <c r="H589" s="195" t="n">
        <v>0</v>
      </c>
      <c r="I589" s="195" t="n">
        <v>0</v>
      </c>
      <c r="J589" s="111" t="n"/>
      <c r="K589" s="111" t="n"/>
      <c r="L589" s="111" t="n"/>
      <c r="M589" s="195" t="n">
        <v>0</v>
      </c>
    </row>
    <row r="590" ht="15" customHeight="1">
      <c r="A590" s="107" t="inlineStr">
        <is>
          <t>002022</t>
        </is>
      </c>
      <c r="B590" s="107" t="inlineStr">
        <is>
          <t>002068</t>
        </is>
      </c>
      <c r="C590" s="107" t="inlineStr">
        <is>
          <t>MANTEIGA S/SAL 5KG</t>
        </is>
      </c>
      <c r="D590" s="107" t="n"/>
      <c r="E590" s="191" t="n">
        <v>0.008999999999999999</v>
      </c>
      <c r="F590" s="192" t="n">
        <v>0</v>
      </c>
      <c r="G590" s="193" t="n">
        <v>0</v>
      </c>
      <c r="H590" s="192" t="n">
        <v>0</v>
      </c>
      <c r="I590" s="192" t="n">
        <v>0</v>
      </c>
      <c r="J590" s="107" t="n"/>
      <c r="K590" s="107" t="n"/>
      <c r="L590" s="107" t="n"/>
      <c r="M590" s="192" t="n">
        <v>0</v>
      </c>
    </row>
    <row r="591" ht="15" customHeight="1">
      <c r="A591" s="111" t="inlineStr">
        <is>
          <t>002022</t>
        </is>
      </c>
      <c r="B591" s="111" t="inlineStr">
        <is>
          <t>002070</t>
        </is>
      </c>
      <c r="C591" s="111" t="inlineStr">
        <is>
          <t>ALHO PORO</t>
        </is>
      </c>
      <c r="D591" s="111" t="n"/>
      <c r="E591" s="194" t="n">
        <v>0.004</v>
      </c>
      <c r="F591" s="195" t="n">
        <v>0</v>
      </c>
      <c r="G591" s="196" t="n">
        <v>0</v>
      </c>
      <c r="H591" s="195" t="n">
        <v>0</v>
      </c>
      <c r="I591" s="195" t="n">
        <v>0</v>
      </c>
      <c r="J591" s="111" t="n"/>
      <c r="K591" s="111" t="n"/>
      <c r="L591" s="111" t="n"/>
      <c r="M591" s="195" t="n">
        <v>0</v>
      </c>
    </row>
    <row r="592" ht="15" customHeight="1">
      <c r="A592" s="107" t="inlineStr">
        <is>
          <t>002023</t>
        </is>
      </c>
      <c r="B592" s="107" t="inlineStr">
        <is>
          <t>000286</t>
        </is>
      </c>
      <c r="C592" s="107" t="inlineStr">
        <is>
          <t>ESPETO BOVINO</t>
        </is>
      </c>
      <c r="D592" s="107" t="n"/>
      <c r="E592" s="191" t="n">
        <v>2</v>
      </c>
      <c r="F592" s="192" t="n">
        <v>8256.790000000001</v>
      </c>
      <c r="G592" s="193" t="n">
        <v>0</v>
      </c>
      <c r="H592" s="192" t="n">
        <v>0</v>
      </c>
      <c r="I592" s="192" t="n">
        <v>0</v>
      </c>
      <c r="J592" s="107" t="n"/>
      <c r="K592" s="107" t="n"/>
      <c r="L592" s="107" t="n"/>
      <c r="M592" s="192" t="n">
        <v>0</v>
      </c>
    </row>
    <row r="593" ht="15" customHeight="1">
      <c r="A593" s="111" t="inlineStr">
        <is>
          <t>002023</t>
        </is>
      </c>
      <c r="B593" s="111" t="inlineStr">
        <is>
          <t>000288</t>
        </is>
      </c>
      <c r="C593" s="111" t="inlineStr">
        <is>
          <t>ESPETO CALABRESA S/ PIMENTA</t>
        </is>
      </c>
      <c r="D593" s="111" t="n"/>
      <c r="E593" s="194" t="n">
        <v>2</v>
      </c>
      <c r="F593" s="195" t="n">
        <v>2213.56</v>
      </c>
      <c r="G593" s="196" t="n">
        <v>0</v>
      </c>
      <c r="H593" s="195" t="n">
        <v>0</v>
      </c>
      <c r="I593" s="195" t="n">
        <v>0</v>
      </c>
      <c r="J593" s="111" t="n"/>
      <c r="K593" s="111" t="n"/>
      <c r="L593" s="111" t="n"/>
      <c r="M593" s="195" t="n">
        <v>0</v>
      </c>
    </row>
    <row r="594" ht="15" customHeight="1">
      <c r="A594" s="107" t="inlineStr">
        <is>
          <t>002023</t>
        </is>
      </c>
      <c r="B594" s="107" t="inlineStr">
        <is>
          <t>000289</t>
        </is>
      </c>
      <c r="C594" s="107" t="inlineStr">
        <is>
          <t>ESPETO CORACAO</t>
        </is>
      </c>
      <c r="D594" s="107" t="n"/>
      <c r="E594" s="191" t="n">
        <v>2</v>
      </c>
      <c r="F594" s="192" t="n">
        <v>15189.86</v>
      </c>
      <c r="G594" s="193" t="n">
        <v>0</v>
      </c>
      <c r="H594" s="192" t="n">
        <v>0</v>
      </c>
      <c r="I594" s="192" t="n">
        <v>0</v>
      </c>
      <c r="J594" s="107" t="n"/>
      <c r="K594" s="107" t="n"/>
      <c r="L594" s="107" t="n"/>
      <c r="M594" s="192" t="n">
        <v>0</v>
      </c>
    </row>
    <row r="595" ht="15" customHeight="1">
      <c r="A595" s="111" t="inlineStr">
        <is>
          <t>002023</t>
        </is>
      </c>
      <c r="B595" s="111" t="inlineStr">
        <is>
          <t>000291</t>
        </is>
      </c>
      <c r="C595" s="111" t="inlineStr">
        <is>
          <t>ESPETO FRANGO</t>
        </is>
      </c>
      <c r="D595" s="111" t="n"/>
      <c r="E595" s="194" t="n">
        <v>2</v>
      </c>
      <c r="F595" s="195" t="n">
        <v>495.88</v>
      </c>
      <c r="G595" s="196" t="n">
        <v>0</v>
      </c>
      <c r="H595" s="195" t="n">
        <v>0</v>
      </c>
      <c r="I595" s="195" t="n">
        <v>0</v>
      </c>
      <c r="J595" s="111" t="n"/>
      <c r="K595" s="111" t="n"/>
      <c r="L595" s="111" t="n"/>
      <c r="M595" s="195" t="n">
        <v>0</v>
      </c>
    </row>
    <row r="596" ht="15" customHeight="1">
      <c r="A596" s="107" t="inlineStr">
        <is>
          <t>002023</t>
        </is>
      </c>
      <c r="B596" s="107" t="inlineStr">
        <is>
          <t>000296</t>
        </is>
      </c>
      <c r="C596" s="107" t="inlineStr">
        <is>
          <t>ESPETO FILE MIGNON</t>
        </is>
      </c>
      <c r="D596" s="107" t="n"/>
      <c r="E596" s="191" t="n">
        <v>2</v>
      </c>
      <c r="F596" s="192" t="n">
        <v>2856.75</v>
      </c>
      <c r="G596" s="193" t="n">
        <v>0</v>
      </c>
      <c r="H596" s="192" t="n">
        <v>0</v>
      </c>
      <c r="I596" s="192" t="n">
        <v>0</v>
      </c>
      <c r="J596" s="107" t="n"/>
      <c r="K596" s="107" t="n"/>
      <c r="L596" s="107" t="n"/>
      <c r="M596" s="192" t="n">
        <v>0</v>
      </c>
    </row>
    <row r="597" ht="15" customHeight="1">
      <c r="A597" s="111" t="inlineStr">
        <is>
          <t>002023</t>
        </is>
      </c>
      <c r="B597" s="111" t="inlineStr">
        <is>
          <t>000331</t>
        </is>
      </c>
      <c r="C597" s="111" t="inlineStr">
        <is>
          <t>BARRIL CHOPP BRAHMA CLARO 50LT</t>
        </is>
      </c>
      <c r="D597" s="111" t="n"/>
      <c r="E597" s="194" t="n">
        <v>0.003</v>
      </c>
      <c r="F597" s="195" t="n">
        <v>0</v>
      </c>
      <c r="G597" s="196" t="n">
        <v>0</v>
      </c>
      <c r="H597" s="195" t="n">
        <v>0</v>
      </c>
      <c r="I597" s="195" t="n">
        <v>0</v>
      </c>
      <c r="J597" s="111" t="n"/>
      <c r="K597" s="111" t="n"/>
      <c r="L597" s="111" t="n"/>
      <c r="M597" s="195" t="n">
        <v>0</v>
      </c>
    </row>
    <row r="598" ht="15" customHeight="1">
      <c r="A598" s="107" t="inlineStr">
        <is>
          <t>002023</t>
        </is>
      </c>
      <c r="B598" s="107" t="inlineStr">
        <is>
          <t>000377</t>
        </is>
      </c>
      <c r="C598" s="107" t="inlineStr">
        <is>
          <t>ARROZ TIPO 1</t>
        </is>
      </c>
      <c r="D598" s="107" t="n"/>
      <c r="E598" s="191" t="n">
        <v>0.06</v>
      </c>
      <c r="F598" s="192" t="n">
        <v>0</v>
      </c>
      <c r="G598" s="193" t="n">
        <v>0</v>
      </c>
      <c r="H598" s="192" t="n">
        <v>0</v>
      </c>
      <c r="I598" s="192" t="n">
        <v>0</v>
      </c>
      <c r="J598" s="107" t="n"/>
      <c r="K598" s="107" t="n"/>
      <c r="L598" s="107" t="n"/>
      <c r="M598" s="192" t="n">
        <v>0</v>
      </c>
    </row>
    <row r="599" ht="15" customHeight="1">
      <c r="A599" s="111" t="inlineStr">
        <is>
          <t>002023</t>
        </is>
      </c>
      <c r="B599" s="111" t="inlineStr">
        <is>
          <t>000390</t>
        </is>
      </c>
      <c r="C599" s="111" t="inlineStr">
        <is>
          <t>FARINHA DE TRIGO SOL</t>
        </is>
      </c>
      <c r="D599" s="111" t="n"/>
      <c r="E599" s="194" t="n">
        <v>0.002</v>
      </c>
      <c r="F599" s="195" t="n">
        <v>0</v>
      </c>
      <c r="G599" s="196" t="n">
        <v>0</v>
      </c>
      <c r="H599" s="195" t="n">
        <v>0</v>
      </c>
      <c r="I599" s="195" t="n">
        <v>0</v>
      </c>
      <c r="J599" s="111" t="n"/>
      <c r="K599" s="111" t="n"/>
      <c r="L599" s="111" t="n"/>
      <c r="M599" s="195" t="n">
        <v>0</v>
      </c>
    </row>
    <row r="600" ht="15" customHeight="1">
      <c r="A600" s="107" t="inlineStr">
        <is>
          <t>002023</t>
        </is>
      </c>
      <c r="B600" s="107" t="inlineStr">
        <is>
          <t>000412</t>
        </is>
      </c>
      <c r="C600" s="107" t="inlineStr">
        <is>
          <t>OLEO DE SOJA LIZA 900ML</t>
        </is>
      </c>
      <c r="D600" s="107" t="n"/>
      <c r="E600" s="191" t="n">
        <v>0.06</v>
      </c>
      <c r="F600" s="192" t="n">
        <v>0</v>
      </c>
      <c r="G600" s="193" t="n">
        <v>0</v>
      </c>
      <c r="H600" s="192" t="n">
        <v>0</v>
      </c>
      <c r="I600" s="192" t="n">
        <v>0</v>
      </c>
      <c r="J600" s="107" t="n"/>
      <c r="K600" s="107" t="n"/>
      <c r="L600" s="107" t="n"/>
      <c r="M600" s="192" t="n">
        <v>0</v>
      </c>
    </row>
    <row r="601" ht="15" customHeight="1">
      <c r="A601" s="111" t="inlineStr">
        <is>
          <t>002023</t>
        </is>
      </c>
      <c r="B601" s="111" t="inlineStr">
        <is>
          <t>000414</t>
        </is>
      </c>
      <c r="C601" s="111" t="inlineStr">
        <is>
          <t>PIMENTA DO REINO MOIDA</t>
        </is>
      </c>
      <c r="D601" s="111" t="n"/>
      <c r="E601" s="194" t="n">
        <v>0.0005999999999999999</v>
      </c>
      <c r="F601" s="195" t="n">
        <v>0</v>
      </c>
      <c r="G601" s="196" t="n">
        <v>0</v>
      </c>
      <c r="H601" s="195" t="n">
        <v>0</v>
      </c>
      <c r="I601" s="195" t="n">
        <v>0</v>
      </c>
      <c r="J601" s="111" t="n"/>
      <c r="K601" s="111" t="n"/>
      <c r="L601" s="111" t="n"/>
      <c r="M601" s="195" t="n">
        <v>0</v>
      </c>
    </row>
    <row r="602" ht="15" customHeight="1">
      <c r="A602" s="107" t="inlineStr">
        <is>
          <t>002023</t>
        </is>
      </c>
      <c r="B602" s="107" t="inlineStr">
        <is>
          <t>000424</t>
        </is>
      </c>
      <c r="C602" s="107" t="inlineStr">
        <is>
          <t>VINAGRE AGRIN BRANCO NEVAL GARRAFA 750ML</t>
        </is>
      </c>
      <c r="D602" s="107" t="n"/>
      <c r="E602" s="191" t="n">
        <v>0.007</v>
      </c>
      <c r="F602" s="192" t="n">
        <v>0</v>
      </c>
      <c r="G602" s="193" t="n">
        <v>0</v>
      </c>
      <c r="H602" s="192" t="n">
        <v>0</v>
      </c>
      <c r="I602" s="192" t="n">
        <v>0</v>
      </c>
      <c r="J602" s="107" t="n"/>
      <c r="K602" s="107" t="n"/>
      <c r="L602" s="107" t="n"/>
      <c r="M602" s="192" t="n">
        <v>0</v>
      </c>
    </row>
    <row r="603" ht="15" customHeight="1">
      <c r="A603" s="111" t="inlineStr">
        <is>
          <t>002023</t>
        </is>
      </c>
      <c r="B603" s="111" t="inlineStr">
        <is>
          <t>000426</t>
        </is>
      </c>
      <c r="C603" s="111" t="inlineStr">
        <is>
          <t>BACON EM CUBOS</t>
        </is>
      </c>
      <c r="D603" s="111" t="n"/>
      <c r="E603" s="194" t="n">
        <v>0.004</v>
      </c>
      <c r="F603" s="195" t="n">
        <v>0</v>
      </c>
      <c r="G603" s="196" t="n">
        <v>0</v>
      </c>
      <c r="H603" s="195" t="n">
        <v>0</v>
      </c>
      <c r="I603" s="195" t="n">
        <v>0</v>
      </c>
      <c r="J603" s="111" t="n"/>
      <c r="K603" s="111" t="n"/>
      <c r="L603" s="111" t="n"/>
      <c r="M603" s="195" t="n">
        <v>0</v>
      </c>
    </row>
    <row r="604" ht="15" customHeight="1">
      <c r="A604" s="107" t="inlineStr">
        <is>
          <t>002023</t>
        </is>
      </c>
      <c r="B604" s="107" t="inlineStr">
        <is>
          <t>000437</t>
        </is>
      </c>
      <c r="C604" s="107" t="inlineStr">
        <is>
          <t>CHOCOLATE GAROTO BARRA 2,1KG</t>
        </is>
      </c>
      <c r="D604" s="107" t="n"/>
      <c r="E604" s="191" t="n">
        <v>0.09</v>
      </c>
      <c r="F604" s="192" t="n">
        <v>329.74</v>
      </c>
      <c r="G604" s="193" t="n">
        <v>0</v>
      </c>
      <c r="H604" s="192" t="n">
        <v>0</v>
      </c>
      <c r="I604" s="192" t="n">
        <v>0</v>
      </c>
      <c r="J604" s="107" t="n"/>
      <c r="K604" s="107" t="n"/>
      <c r="L604" s="107" t="n"/>
      <c r="M604" s="192" t="n">
        <v>0</v>
      </c>
    </row>
    <row r="605" ht="15" customHeight="1">
      <c r="A605" s="111" t="inlineStr">
        <is>
          <t>002023</t>
        </is>
      </c>
      <c r="B605" s="111" t="inlineStr">
        <is>
          <t>000439</t>
        </is>
      </c>
      <c r="C605" s="111" t="inlineStr">
        <is>
          <t>ESPETO QUEIJO COALHO</t>
        </is>
      </c>
      <c r="D605" s="111" t="n"/>
      <c r="E605" s="194" t="n">
        <v>0.12</v>
      </c>
      <c r="F605" s="195" t="n">
        <v>18969.15</v>
      </c>
      <c r="G605" s="196" t="n">
        <v>0</v>
      </c>
      <c r="H605" s="195" t="n">
        <v>0</v>
      </c>
      <c r="I605" s="195" t="n">
        <v>0</v>
      </c>
      <c r="J605" s="111" t="n"/>
      <c r="K605" s="111" t="n"/>
      <c r="L605" s="111" t="n"/>
      <c r="M605" s="195" t="n">
        <v>0</v>
      </c>
    </row>
    <row r="606" ht="15" customHeight="1">
      <c r="A606" s="107" t="inlineStr">
        <is>
          <t>002023</t>
        </is>
      </c>
      <c r="B606" s="107" t="inlineStr">
        <is>
          <t>000463</t>
        </is>
      </c>
      <c r="C606" s="107" t="inlineStr">
        <is>
          <t>ALHO DESCASCADO</t>
        </is>
      </c>
      <c r="D606" s="107" t="n"/>
      <c r="E606" s="191" t="n">
        <v>0.001</v>
      </c>
      <c r="F606" s="192" t="n">
        <v>0</v>
      </c>
      <c r="G606" s="193" t="n">
        <v>0</v>
      </c>
      <c r="H606" s="192" t="n">
        <v>0</v>
      </c>
      <c r="I606" s="192" t="n">
        <v>0</v>
      </c>
      <c r="J606" s="107" t="n"/>
      <c r="K606" s="107" t="n"/>
      <c r="L606" s="107" t="n"/>
      <c r="M606" s="192" t="n">
        <v>0</v>
      </c>
    </row>
    <row r="607" ht="15" customHeight="1">
      <c r="A607" s="111" t="inlineStr">
        <is>
          <t>002023</t>
        </is>
      </c>
      <c r="B607" s="111" t="inlineStr">
        <is>
          <t>000468</t>
        </is>
      </c>
      <c r="C607" s="111" t="inlineStr">
        <is>
          <t>CEBOLA MEDIA</t>
        </is>
      </c>
      <c r="D607" s="111" t="n"/>
      <c r="E607" s="194" t="n">
        <v>0.013</v>
      </c>
      <c r="F607" s="195" t="n">
        <v>0</v>
      </c>
      <c r="G607" s="196" t="n">
        <v>0</v>
      </c>
      <c r="H607" s="195" t="n">
        <v>0</v>
      </c>
      <c r="I607" s="195" t="n">
        <v>0</v>
      </c>
      <c r="J607" s="111" t="n"/>
      <c r="K607" s="111" t="n"/>
      <c r="L607" s="111" t="n"/>
      <c r="M607" s="195" t="n">
        <v>0</v>
      </c>
    </row>
    <row r="608" ht="15" customHeight="1">
      <c r="A608" s="107" t="inlineStr">
        <is>
          <t>002023</t>
        </is>
      </c>
      <c r="B608" s="107" t="inlineStr">
        <is>
          <t>000475</t>
        </is>
      </c>
      <c r="C608" s="107" t="inlineStr">
        <is>
          <t>FOLHA DE LOURO</t>
        </is>
      </c>
      <c r="D608" s="107" t="n"/>
      <c r="E608" s="191" t="n">
        <v>0.002</v>
      </c>
      <c r="F608" s="192" t="n">
        <v>0</v>
      </c>
      <c r="G608" s="193" t="n">
        <v>0</v>
      </c>
      <c r="H608" s="192" t="n">
        <v>0</v>
      </c>
      <c r="I608" s="192" t="n">
        <v>0</v>
      </c>
      <c r="J608" s="107" t="n"/>
      <c r="K608" s="107" t="n"/>
      <c r="L608" s="107" t="n"/>
      <c r="M608" s="192" t="n">
        <v>0</v>
      </c>
    </row>
    <row r="609" ht="15" customHeight="1">
      <c r="A609" s="111" t="inlineStr">
        <is>
          <t>002023</t>
        </is>
      </c>
      <c r="B609" s="111" t="inlineStr">
        <is>
          <t>000484</t>
        </is>
      </c>
      <c r="C609" s="111" t="inlineStr">
        <is>
          <t>SALSA LISA INDUSTRIAL</t>
        </is>
      </c>
      <c r="D609" s="111" t="n"/>
      <c r="E609" s="194" t="n">
        <v>0.008999999999999999</v>
      </c>
      <c r="F609" s="195" t="n">
        <v>0</v>
      </c>
      <c r="G609" s="196" t="n">
        <v>0</v>
      </c>
      <c r="H609" s="195" t="n">
        <v>0</v>
      </c>
      <c r="I609" s="195" t="n">
        <v>0</v>
      </c>
      <c r="J609" s="111" t="n"/>
      <c r="K609" s="111" t="n"/>
      <c r="L609" s="111" t="n"/>
      <c r="M609" s="195" t="n">
        <v>0</v>
      </c>
    </row>
    <row r="610" ht="15" customHeight="1">
      <c r="A610" s="107" t="inlineStr">
        <is>
          <t>002023</t>
        </is>
      </c>
      <c r="B610" s="107" t="inlineStr">
        <is>
          <t>000486</t>
        </is>
      </c>
      <c r="C610" s="107" t="inlineStr">
        <is>
          <t>TOMATE SALADA</t>
        </is>
      </c>
      <c r="D610" s="107" t="n"/>
      <c r="E610" s="191" t="n">
        <v>0.026</v>
      </c>
      <c r="F610" s="192" t="n">
        <v>0</v>
      </c>
      <c r="G610" s="193" t="n">
        <v>0</v>
      </c>
      <c r="H610" s="192" t="n">
        <v>0</v>
      </c>
      <c r="I610" s="192" t="n">
        <v>0</v>
      </c>
      <c r="J610" s="107" t="n"/>
      <c r="K610" s="107" t="n"/>
      <c r="L610" s="107" t="n"/>
      <c r="M610" s="192" t="n">
        <v>0</v>
      </c>
    </row>
    <row r="611" ht="15" customHeight="1">
      <c r="A611" s="111" t="inlineStr">
        <is>
          <t>002023</t>
        </is>
      </c>
      <c r="B611" s="111" t="inlineStr">
        <is>
          <t>000590</t>
        </is>
      </c>
      <c r="C611" s="111" t="inlineStr">
        <is>
          <t>MORANGO FRUTA</t>
        </is>
      </c>
      <c r="D611" s="111" t="n"/>
      <c r="E611" s="194" t="n">
        <v>0.24</v>
      </c>
      <c r="F611" s="195" t="n">
        <v>294808.84</v>
      </c>
      <c r="G611" s="196" t="n">
        <v>0</v>
      </c>
      <c r="H611" s="195" t="n">
        <v>0</v>
      </c>
      <c r="I611" s="195" t="n">
        <v>0</v>
      </c>
      <c r="J611" s="111" t="n"/>
      <c r="K611" s="111" t="n"/>
      <c r="L611" s="111" t="n"/>
      <c r="M611" s="195" t="n">
        <v>0</v>
      </c>
    </row>
    <row r="612" ht="15" customHeight="1">
      <c r="A612" s="107" t="inlineStr">
        <is>
          <t>002023</t>
        </is>
      </c>
      <c r="B612" s="107" t="inlineStr">
        <is>
          <t>000614</t>
        </is>
      </c>
      <c r="C612" s="107" t="inlineStr">
        <is>
          <t>SAL REFINADO</t>
        </is>
      </c>
      <c r="D612" s="107" t="n"/>
      <c r="E612" s="191" t="n">
        <v>0.007</v>
      </c>
      <c r="F612" s="192" t="n">
        <v>0</v>
      </c>
      <c r="G612" s="193" t="n">
        <v>0</v>
      </c>
      <c r="H612" s="192" t="n">
        <v>0</v>
      </c>
      <c r="I612" s="192" t="n">
        <v>0</v>
      </c>
      <c r="J612" s="107" t="n"/>
      <c r="K612" s="107" t="n"/>
      <c r="L612" s="107" t="n"/>
      <c r="M612" s="192" t="n">
        <v>0</v>
      </c>
    </row>
    <row r="613" ht="15" customHeight="1">
      <c r="A613" s="111" t="inlineStr">
        <is>
          <t>002023</t>
        </is>
      </c>
      <c r="B613" s="111" t="inlineStr">
        <is>
          <t>000667</t>
        </is>
      </c>
      <c r="C613" s="111" t="inlineStr">
        <is>
          <t>TOMILHO</t>
        </is>
      </c>
      <c r="D613" s="111" t="n"/>
      <c r="E613" s="194" t="n">
        <v>0.001</v>
      </c>
      <c r="F613" s="195" t="n">
        <v>0</v>
      </c>
      <c r="G613" s="196" t="n">
        <v>0</v>
      </c>
      <c r="H613" s="195" t="n">
        <v>0</v>
      </c>
      <c r="I613" s="195" t="n">
        <v>0</v>
      </c>
      <c r="J613" s="111" t="n"/>
      <c r="K613" s="111" t="n"/>
      <c r="L613" s="111" t="n"/>
      <c r="M613" s="195" t="n">
        <v>0</v>
      </c>
    </row>
    <row r="614" ht="15" customHeight="1">
      <c r="A614" s="107" t="inlineStr">
        <is>
          <t>002023</t>
        </is>
      </c>
      <c r="B614" s="107" t="inlineStr">
        <is>
          <t>000668</t>
        </is>
      </c>
      <c r="C614" s="107" t="inlineStr">
        <is>
          <t>ALECRIM</t>
        </is>
      </c>
      <c r="D614" s="107" t="n"/>
      <c r="E614" s="191" t="n">
        <v>0.001</v>
      </c>
      <c r="F614" s="192" t="n">
        <v>0</v>
      </c>
      <c r="G614" s="193" t="n">
        <v>0</v>
      </c>
      <c r="H614" s="192" t="n">
        <v>0</v>
      </c>
      <c r="I614" s="192" t="n">
        <v>0</v>
      </c>
      <c r="J614" s="107" t="n"/>
      <c r="K614" s="107" t="n"/>
      <c r="L614" s="107" t="n"/>
      <c r="M614" s="192" t="n">
        <v>0</v>
      </c>
    </row>
    <row r="615" ht="15" customHeight="1">
      <c r="A615" s="111" t="inlineStr">
        <is>
          <t>002023</t>
        </is>
      </c>
      <c r="B615" s="111" t="inlineStr">
        <is>
          <t>000747</t>
        </is>
      </c>
      <c r="C615" s="111" t="inlineStr">
        <is>
          <t>AZEITE OLEO COMPOSTO 5 LITROS</t>
        </is>
      </c>
      <c r="D615" s="111" t="n"/>
      <c r="E615" s="194" t="n">
        <v>0.013</v>
      </c>
      <c r="F615" s="195" t="n">
        <v>0</v>
      </c>
      <c r="G615" s="196" t="n">
        <v>0</v>
      </c>
      <c r="H615" s="195" t="n">
        <v>0</v>
      </c>
      <c r="I615" s="195" t="n">
        <v>0</v>
      </c>
      <c r="J615" s="111" t="n"/>
      <c r="K615" s="111" t="n"/>
      <c r="L615" s="111" t="n"/>
      <c r="M615" s="195" t="n">
        <v>0</v>
      </c>
    </row>
    <row r="616" ht="15" customHeight="1">
      <c r="A616" s="107" t="inlineStr">
        <is>
          <t>002023</t>
        </is>
      </c>
      <c r="B616" s="107" t="inlineStr">
        <is>
          <t>002067</t>
        </is>
      </c>
      <c r="C616" s="107" t="inlineStr">
        <is>
          <t>FARINHA PANKO EMPANAR</t>
        </is>
      </c>
      <c r="D616" s="107" t="n"/>
      <c r="E616" s="191" t="n">
        <v>0.02</v>
      </c>
      <c r="F616" s="192" t="n">
        <v>0</v>
      </c>
      <c r="G616" s="193" t="n">
        <v>0</v>
      </c>
      <c r="H616" s="192" t="n">
        <v>0</v>
      </c>
      <c r="I616" s="192" t="n">
        <v>0</v>
      </c>
      <c r="J616" s="107" t="n"/>
      <c r="K616" s="107" t="n"/>
      <c r="L616" s="107" t="n"/>
      <c r="M616" s="192" t="n">
        <v>0</v>
      </c>
    </row>
    <row r="617" ht="15" customHeight="1">
      <c r="A617" s="111" t="inlineStr">
        <is>
          <t>002023</t>
        </is>
      </c>
      <c r="B617" s="111" t="inlineStr">
        <is>
          <t>002068</t>
        </is>
      </c>
      <c r="C617" s="111" t="inlineStr">
        <is>
          <t>MANTEIGA S/SAL 5KG</t>
        </is>
      </c>
      <c r="D617" s="111" t="n"/>
      <c r="E617" s="194" t="n">
        <v>0.005</v>
      </c>
      <c r="F617" s="195" t="n">
        <v>0</v>
      </c>
      <c r="G617" s="196" t="n">
        <v>0</v>
      </c>
      <c r="H617" s="195" t="n">
        <v>0</v>
      </c>
      <c r="I617" s="195" t="n">
        <v>0</v>
      </c>
      <c r="J617" s="111" t="n"/>
      <c r="K617" s="111" t="n"/>
      <c r="L617" s="111" t="n"/>
      <c r="M617" s="195" t="n">
        <v>0</v>
      </c>
    </row>
    <row r="618" ht="15" customHeight="1">
      <c r="A618" s="107" t="inlineStr">
        <is>
          <t>002023</t>
        </is>
      </c>
      <c r="B618" s="107" t="inlineStr">
        <is>
          <t>002068</t>
        </is>
      </c>
      <c r="C618" s="107" t="inlineStr">
        <is>
          <t>MANTEIGA S/SAL 5KG</t>
        </is>
      </c>
      <c r="D618" s="107" t="inlineStr">
        <is>
          <t>001</t>
        </is>
      </c>
      <c r="E618" s="191" t="n">
        <v>0.004</v>
      </c>
      <c r="F618" s="192" t="n">
        <v>0</v>
      </c>
      <c r="G618" s="193" t="n">
        <v>0</v>
      </c>
      <c r="H618" s="192" t="n">
        <v>0</v>
      </c>
      <c r="I618" s="192" t="n">
        <v>0</v>
      </c>
      <c r="J618" s="107" t="n"/>
      <c r="K618" s="107" t="n"/>
      <c r="L618" s="107" t="n"/>
      <c r="M618" s="192" t="n">
        <v>0</v>
      </c>
    </row>
    <row r="619" ht="15" customHeight="1">
      <c r="A619" s="111" t="inlineStr">
        <is>
          <t>002023</t>
        </is>
      </c>
      <c r="B619" s="111" t="inlineStr">
        <is>
          <t>002070</t>
        </is>
      </c>
      <c r="C619" s="111" t="inlineStr">
        <is>
          <t>ALHO PORO</t>
        </is>
      </c>
      <c r="D619" s="111" t="n"/>
      <c r="E619" s="194" t="n">
        <v>0.004</v>
      </c>
      <c r="F619" s="195" t="n">
        <v>0</v>
      </c>
      <c r="G619" s="196" t="n">
        <v>0</v>
      </c>
      <c r="H619" s="195" t="n">
        <v>0</v>
      </c>
      <c r="I619" s="195" t="n">
        <v>0</v>
      </c>
      <c r="J619" s="111" t="n"/>
      <c r="K619" s="111" t="n"/>
      <c r="L619" s="111" t="n"/>
      <c r="M619" s="195" t="n">
        <v>0</v>
      </c>
    </row>
    <row r="620" ht="15" customHeight="1">
      <c r="A620" s="107" t="inlineStr">
        <is>
          <t>002024</t>
        </is>
      </c>
      <c r="B620" s="107" t="inlineStr">
        <is>
          <t>000286</t>
        </is>
      </c>
      <c r="C620" s="107" t="inlineStr">
        <is>
          <t>ESPETO BOVINO</t>
        </is>
      </c>
      <c r="D620" s="107" t="n"/>
      <c r="E620" s="191" t="n">
        <v>4</v>
      </c>
      <c r="F620" s="192" t="n">
        <v>16513.59</v>
      </c>
      <c r="G620" s="193" t="n">
        <v>0</v>
      </c>
      <c r="H620" s="192" t="n">
        <v>0</v>
      </c>
      <c r="I620" s="192" t="n">
        <v>0</v>
      </c>
      <c r="J620" s="107" t="n"/>
      <c r="K620" s="107" t="n"/>
      <c r="L620" s="107" t="n"/>
      <c r="M620" s="192" t="n">
        <v>0</v>
      </c>
    </row>
    <row r="621" ht="15" customHeight="1">
      <c r="A621" s="111" t="inlineStr">
        <is>
          <t>002024</t>
        </is>
      </c>
      <c r="B621" s="111" t="inlineStr">
        <is>
          <t>000288</t>
        </is>
      </c>
      <c r="C621" s="111" t="inlineStr">
        <is>
          <t>ESPETO CALABRESA S/ PIMENTA</t>
        </is>
      </c>
      <c r="D621" s="111" t="n"/>
      <c r="E621" s="194" t="n">
        <v>3</v>
      </c>
      <c r="F621" s="195" t="n">
        <v>3320.34</v>
      </c>
      <c r="G621" s="196" t="n">
        <v>0</v>
      </c>
      <c r="H621" s="195" t="n">
        <v>0</v>
      </c>
      <c r="I621" s="195" t="n">
        <v>0</v>
      </c>
      <c r="J621" s="111" t="n"/>
      <c r="K621" s="111" t="n"/>
      <c r="L621" s="111" t="n"/>
      <c r="M621" s="195" t="n">
        <v>0</v>
      </c>
    </row>
    <row r="622" ht="15" customHeight="1">
      <c r="A622" s="107" t="inlineStr">
        <is>
          <t>002024</t>
        </is>
      </c>
      <c r="B622" s="107" t="inlineStr">
        <is>
          <t>000289</t>
        </is>
      </c>
      <c r="C622" s="107" t="inlineStr">
        <is>
          <t>ESPETO CORACAO</t>
        </is>
      </c>
      <c r="D622" s="107" t="n"/>
      <c r="E622" s="191" t="n">
        <v>3</v>
      </c>
      <c r="F622" s="192" t="n">
        <v>22784.8</v>
      </c>
      <c r="G622" s="193" t="n">
        <v>0</v>
      </c>
      <c r="H622" s="192" t="n">
        <v>0</v>
      </c>
      <c r="I622" s="192" t="n">
        <v>0</v>
      </c>
      <c r="J622" s="107" t="n"/>
      <c r="K622" s="107" t="n"/>
      <c r="L622" s="107" t="n"/>
      <c r="M622" s="192" t="n">
        <v>0</v>
      </c>
    </row>
    <row r="623" ht="15" customHeight="1">
      <c r="A623" s="111" t="inlineStr">
        <is>
          <t>002024</t>
        </is>
      </c>
      <c r="B623" s="111" t="inlineStr">
        <is>
          <t>000291</t>
        </is>
      </c>
      <c r="C623" s="111" t="inlineStr">
        <is>
          <t>ESPETO FRANGO</t>
        </is>
      </c>
      <c r="D623" s="111" t="n"/>
      <c r="E623" s="194" t="n">
        <v>4</v>
      </c>
      <c r="F623" s="195" t="n">
        <v>991.75</v>
      </c>
      <c r="G623" s="196" t="n">
        <v>0</v>
      </c>
      <c r="H623" s="195" t="n">
        <v>0</v>
      </c>
      <c r="I623" s="195" t="n">
        <v>0</v>
      </c>
      <c r="J623" s="111" t="n"/>
      <c r="K623" s="111" t="n"/>
      <c r="L623" s="111" t="n"/>
      <c r="M623" s="195" t="n">
        <v>0</v>
      </c>
    </row>
    <row r="624" ht="15" customHeight="1">
      <c r="A624" s="107" t="inlineStr">
        <is>
          <t>002024</t>
        </is>
      </c>
      <c r="B624" s="107" t="inlineStr">
        <is>
          <t>000296</t>
        </is>
      </c>
      <c r="C624" s="107" t="inlineStr">
        <is>
          <t>ESPETO FILE MIGNON</t>
        </is>
      </c>
      <c r="D624" s="107" t="n"/>
      <c r="E624" s="191" t="n">
        <v>4</v>
      </c>
      <c r="F624" s="192" t="n">
        <v>5713.51</v>
      </c>
      <c r="G624" s="193" t="n">
        <v>0</v>
      </c>
      <c r="H624" s="192" t="n">
        <v>0</v>
      </c>
      <c r="I624" s="192" t="n">
        <v>0</v>
      </c>
      <c r="J624" s="107" t="n"/>
      <c r="K624" s="107" t="n"/>
      <c r="L624" s="107" t="n"/>
      <c r="M624" s="192" t="n">
        <v>0</v>
      </c>
    </row>
    <row r="625" ht="15" customHeight="1">
      <c r="A625" s="111" t="inlineStr">
        <is>
          <t>002024</t>
        </is>
      </c>
      <c r="B625" s="111" t="inlineStr">
        <is>
          <t>000331</t>
        </is>
      </c>
      <c r="C625" s="111" t="inlineStr">
        <is>
          <t>BARRIL CHOPP BRAHMA CLARO 50LT</t>
        </is>
      </c>
      <c r="D625" s="111" t="n"/>
      <c r="E625" s="194" t="n">
        <v>0.003</v>
      </c>
      <c r="F625" s="195" t="n">
        <v>0</v>
      </c>
      <c r="G625" s="196" t="n">
        <v>0</v>
      </c>
      <c r="H625" s="195" t="n">
        <v>0</v>
      </c>
      <c r="I625" s="195" t="n">
        <v>0</v>
      </c>
      <c r="J625" s="111" t="n"/>
      <c r="K625" s="111" t="n"/>
      <c r="L625" s="111" t="n"/>
      <c r="M625" s="195" t="n">
        <v>0</v>
      </c>
    </row>
    <row r="626" ht="15" customHeight="1">
      <c r="A626" s="107" t="inlineStr">
        <is>
          <t>002024</t>
        </is>
      </c>
      <c r="B626" s="107" t="inlineStr">
        <is>
          <t>000377</t>
        </is>
      </c>
      <c r="C626" s="107" t="inlineStr">
        <is>
          <t>ARROZ TIPO 1</t>
        </is>
      </c>
      <c r="D626" s="107" t="n"/>
      <c r="E626" s="191" t="n">
        <v>0.06</v>
      </c>
      <c r="F626" s="192" t="n">
        <v>0</v>
      </c>
      <c r="G626" s="193" t="n">
        <v>0</v>
      </c>
      <c r="H626" s="192" t="n">
        <v>0</v>
      </c>
      <c r="I626" s="192" t="n">
        <v>0</v>
      </c>
      <c r="J626" s="107" t="n"/>
      <c r="K626" s="107" t="n"/>
      <c r="L626" s="107" t="n"/>
      <c r="M626" s="192" t="n">
        <v>0</v>
      </c>
    </row>
    <row r="627" ht="15" customHeight="1">
      <c r="A627" s="111" t="inlineStr">
        <is>
          <t>002024</t>
        </is>
      </c>
      <c r="B627" s="111" t="inlineStr">
        <is>
          <t>000390</t>
        </is>
      </c>
      <c r="C627" s="111" t="inlineStr">
        <is>
          <t>FARINHA DE TRIGO SOL</t>
        </is>
      </c>
      <c r="D627" s="111" t="n"/>
      <c r="E627" s="194" t="n">
        <v>0.002</v>
      </c>
      <c r="F627" s="195" t="n">
        <v>0</v>
      </c>
      <c r="G627" s="196" t="n">
        <v>0</v>
      </c>
      <c r="H627" s="195" t="n">
        <v>0</v>
      </c>
      <c r="I627" s="195" t="n">
        <v>0</v>
      </c>
      <c r="J627" s="111" t="n"/>
      <c r="K627" s="111" t="n"/>
      <c r="L627" s="111" t="n"/>
      <c r="M627" s="195" t="n">
        <v>0</v>
      </c>
    </row>
    <row r="628" ht="15" customHeight="1">
      <c r="A628" s="107" t="inlineStr">
        <is>
          <t>002024</t>
        </is>
      </c>
      <c r="B628" s="107" t="inlineStr">
        <is>
          <t>000412</t>
        </is>
      </c>
      <c r="C628" s="107" t="inlineStr">
        <is>
          <t>OLEO DE SOJA LIZA 900ML</t>
        </is>
      </c>
      <c r="D628" s="107" t="n"/>
      <c r="E628" s="191" t="n">
        <v>0.059</v>
      </c>
      <c r="F628" s="192" t="n">
        <v>0</v>
      </c>
      <c r="G628" s="193" t="n">
        <v>0</v>
      </c>
      <c r="H628" s="192" t="n">
        <v>0</v>
      </c>
      <c r="I628" s="192" t="n">
        <v>0</v>
      </c>
      <c r="J628" s="107" t="n"/>
      <c r="K628" s="107" t="n"/>
      <c r="L628" s="107" t="n"/>
      <c r="M628" s="192" t="n">
        <v>0</v>
      </c>
    </row>
    <row r="629" ht="15" customHeight="1">
      <c r="A629" s="111" t="inlineStr">
        <is>
          <t>002024</t>
        </is>
      </c>
      <c r="B629" s="111" t="inlineStr">
        <is>
          <t>000414</t>
        </is>
      </c>
      <c r="C629" s="111" t="inlineStr">
        <is>
          <t>PIMENTA DO REINO MOIDA</t>
        </is>
      </c>
      <c r="D629" s="111" t="n"/>
      <c r="E629" s="194" t="n">
        <v>0.0005999999999999999</v>
      </c>
      <c r="F629" s="195" t="n">
        <v>0</v>
      </c>
      <c r="G629" s="196" t="n">
        <v>0</v>
      </c>
      <c r="H629" s="195" t="n">
        <v>0</v>
      </c>
      <c r="I629" s="195" t="n">
        <v>0</v>
      </c>
      <c r="J629" s="111" t="n"/>
      <c r="K629" s="111" t="n"/>
      <c r="L629" s="111" t="n"/>
      <c r="M629" s="195" t="n">
        <v>0</v>
      </c>
    </row>
    <row r="630" ht="15" customHeight="1">
      <c r="A630" s="107" t="inlineStr">
        <is>
          <t>002024</t>
        </is>
      </c>
      <c r="B630" s="107" t="inlineStr">
        <is>
          <t>000424</t>
        </is>
      </c>
      <c r="C630" s="107" t="inlineStr">
        <is>
          <t>VINAGRE AGRIN BRANCO NEVAL GARRAFA 750ML</t>
        </is>
      </c>
      <c r="D630" s="107" t="n"/>
      <c r="E630" s="191" t="n">
        <v>0.007</v>
      </c>
      <c r="F630" s="192" t="n">
        <v>0</v>
      </c>
      <c r="G630" s="193" t="n">
        <v>0</v>
      </c>
      <c r="H630" s="192" t="n">
        <v>0</v>
      </c>
      <c r="I630" s="192" t="n">
        <v>0</v>
      </c>
      <c r="J630" s="107" t="n"/>
      <c r="K630" s="107" t="n"/>
      <c r="L630" s="107" t="n"/>
      <c r="M630" s="192" t="n">
        <v>0</v>
      </c>
    </row>
    <row r="631" ht="15" customHeight="1">
      <c r="A631" s="111" t="inlineStr">
        <is>
          <t>002024</t>
        </is>
      </c>
      <c r="B631" s="111" t="inlineStr">
        <is>
          <t>000426</t>
        </is>
      </c>
      <c r="C631" s="111" t="inlineStr">
        <is>
          <t>BACON EM CUBOS</t>
        </is>
      </c>
      <c r="D631" s="111" t="n"/>
      <c r="E631" s="194" t="n">
        <v>0.004</v>
      </c>
      <c r="F631" s="195" t="n">
        <v>0</v>
      </c>
      <c r="G631" s="196" t="n">
        <v>0</v>
      </c>
      <c r="H631" s="195" t="n">
        <v>0</v>
      </c>
      <c r="I631" s="195" t="n">
        <v>0</v>
      </c>
      <c r="J631" s="111" t="n"/>
      <c r="K631" s="111" t="n"/>
      <c r="L631" s="111" t="n"/>
      <c r="M631" s="195" t="n">
        <v>0</v>
      </c>
    </row>
    <row r="632" ht="15" customHeight="1">
      <c r="A632" s="107" t="inlineStr">
        <is>
          <t>002024</t>
        </is>
      </c>
      <c r="B632" s="107" t="inlineStr">
        <is>
          <t>000437</t>
        </is>
      </c>
      <c r="C632" s="107" t="inlineStr">
        <is>
          <t>CHOCOLATE GAROTO BARRA 2,1KG</t>
        </is>
      </c>
      <c r="D632" s="107" t="n"/>
      <c r="E632" s="191" t="n">
        <v>0.09</v>
      </c>
      <c r="F632" s="192" t="n">
        <v>329.74</v>
      </c>
      <c r="G632" s="193" t="n">
        <v>0</v>
      </c>
      <c r="H632" s="192" t="n">
        <v>0</v>
      </c>
      <c r="I632" s="192" t="n">
        <v>0</v>
      </c>
      <c r="J632" s="107" t="n"/>
      <c r="K632" s="107" t="n"/>
      <c r="L632" s="107" t="n"/>
      <c r="M632" s="192" t="n">
        <v>0</v>
      </c>
    </row>
    <row r="633" ht="15" customHeight="1">
      <c r="A633" s="111" t="inlineStr">
        <is>
          <t>002024</t>
        </is>
      </c>
      <c r="B633" s="111" t="inlineStr">
        <is>
          <t>000439</t>
        </is>
      </c>
      <c r="C633" s="111" t="inlineStr">
        <is>
          <t>ESPETO QUEIJO COALHO</t>
        </is>
      </c>
      <c r="D633" s="111" t="n"/>
      <c r="E633" s="194" t="n">
        <v>0.24</v>
      </c>
      <c r="F633" s="195" t="n">
        <v>37938.3</v>
      </c>
      <c r="G633" s="196" t="n">
        <v>0</v>
      </c>
      <c r="H633" s="195" t="n">
        <v>0</v>
      </c>
      <c r="I633" s="195" t="n">
        <v>0</v>
      </c>
      <c r="J633" s="111" t="n"/>
      <c r="K633" s="111" t="n"/>
      <c r="L633" s="111" t="n"/>
      <c r="M633" s="195" t="n">
        <v>0</v>
      </c>
    </row>
    <row r="634" ht="15" customHeight="1">
      <c r="A634" s="107" t="inlineStr">
        <is>
          <t>002024</t>
        </is>
      </c>
      <c r="B634" s="107" t="inlineStr">
        <is>
          <t>000463</t>
        </is>
      </c>
      <c r="C634" s="107" t="inlineStr">
        <is>
          <t>ALHO DESCASCADO</t>
        </is>
      </c>
      <c r="D634" s="107" t="n"/>
      <c r="E634" s="191" t="n">
        <v>0.001</v>
      </c>
      <c r="F634" s="192" t="n">
        <v>0</v>
      </c>
      <c r="G634" s="193" t="n">
        <v>0</v>
      </c>
      <c r="H634" s="192" t="n">
        <v>0</v>
      </c>
      <c r="I634" s="192" t="n">
        <v>0</v>
      </c>
      <c r="J634" s="107" t="n"/>
      <c r="K634" s="107" t="n"/>
      <c r="L634" s="107" t="n"/>
      <c r="M634" s="192" t="n">
        <v>0</v>
      </c>
    </row>
    <row r="635" ht="15" customHeight="1">
      <c r="A635" s="111" t="inlineStr">
        <is>
          <t>002024</t>
        </is>
      </c>
      <c r="B635" s="111" t="inlineStr">
        <is>
          <t>000468</t>
        </is>
      </c>
      <c r="C635" s="111" t="inlineStr">
        <is>
          <t>CEBOLA MEDIA</t>
        </is>
      </c>
      <c r="D635" s="111" t="n"/>
      <c r="E635" s="194" t="n">
        <v>0.013</v>
      </c>
      <c r="F635" s="195" t="n">
        <v>0</v>
      </c>
      <c r="G635" s="196" t="n">
        <v>0</v>
      </c>
      <c r="H635" s="195" t="n">
        <v>0</v>
      </c>
      <c r="I635" s="195" t="n">
        <v>0</v>
      </c>
      <c r="J635" s="111" t="n"/>
      <c r="K635" s="111" t="n"/>
      <c r="L635" s="111" t="n"/>
      <c r="M635" s="195" t="n">
        <v>0</v>
      </c>
    </row>
    <row r="636" ht="15" customHeight="1">
      <c r="A636" s="107" t="inlineStr">
        <is>
          <t>002024</t>
        </is>
      </c>
      <c r="B636" s="107" t="inlineStr">
        <is>
          <t>000475</t>
        </is>
      </c>
      <c r="C636" s="107" t="inlineStr">
        <is>
          <t>FOLHA DE LOURO</t>
        </is>
      </c>
      <c r="D636" s="107" t="n"/>
      <c r="E636" s="191" t="n">
        <v>0.002</v>
      </c>
      <c r="F636" s="192" t="n">
        <v>0</v>
      </c>
      <c r="G636" s="193" t="n">
        <v>0</v>
      </c>
      <c r="H636" s="192" t="n">
        <v>0</v>
      </c>
      <c r="I636" s="192" t="n">
        <v>0</v>
      </c>
      <c r="J636" s="107" t="n"/>
      <c r="K636" s="107" t="n"/>
      <c r="L636" s="107" t="n"/>
      <c r="M636" s="192" t="n">
        <v>0</v>
      </c>
    </row>
    <row r="637" ht="15" customHeight="1">
      <c r="A637" s="111" t="inlineStr">
        <is>
          <t>002024</t>
        </is>
      </c>
      <c r="B637" s="111" t="inlineStr">
        <is>
          <t>000484</t>
        </is>
      </c>
      <c r="C637" s="111" t="inlineStr">
        <is>
          <t>SALSA LISA INDUSTRIAL</t>
        </is>
      </c>
      <c r="D637" s="111" t="n"/>
      <c r="E637" s="194" t="n">
        <v>0.008999999999999999</v>
      </c>
      <c r="F637" s="195" t="n">
        <v>0</v>
      </c>
      <c r="G637" s="196" t="n">
        <v>0</v>
      </c>
      <c r="H637" s="195" t="n">
        <v>0</v>
      </c>
      <c r="I637" s="195" t="n">
        <v>0</v>
      </c>
      <c r="J637" s="111" t="n"/>
      <c r="K637" s="111" t="n"/>
      <c r="L637" s="111" t="n"/>
      <c r="M637" s="195" t="n">
        <v>0</v>
      </c>
    </row>
    <row r="638" ht="15" customHeight="1">
      <c r="A638" s="107" t="inlineStr">
        <is>
          <t>002024</t>
        </is>
      </c>
      <c r="B638" s="107" t="inlineStr">
        <is>
          <t>000486</t>
        </is>
      </c>
      <c r="C638" s="107" t="inlineStr">
        <is>
          <t>TOMATE SALADA</t>
        </is>
      </c>
      <c r="D638" s="107" t="n"/>
      <c r="E638" s="191" t="n">
        <v>0.026</v>
      </c>
      <c r="F638" s="192" t="n">
        <v>0</v>
      </c>
      <c r="G638" s="193" t="n">
        <v>0</v>
      </c>
      <c r="H638" s="192" t="n">
        <v>0</v>
      </c>
      <c r="I638" s="192" t="n">
        <v>0</v>
      </c>
      <c r="J638" s="107" t="n"/>
      <c r="K638" s="107" t="n"/>
      <c r="L638" s="107" t="n"/>
      <c r="M638" s="192" t="n">
        <v>0</v>
      </c>
    </row>
    <row r="639" ht="15" customHeight="1">
      <c r="A639" s="111" t="inlineStr">
        <is>
          <t>002024</t>
        </is>
      </c>
      <c r="B639" s="111" t="inlineStr">
        <is>
          <t>000590</t>
        </is>
      </c>
      <c r="C639" s="111" t="inlineStr">
        <is>
          <t>MORANGO FRUTA</t>
        </is>
      </c>
      <c r="D639" s="111" t="n"/>
      <c r="E639" s="194" t="n">
        <v>0.24</v>
      </c>
      <c r="F639" s="195" t="n">
        <v>294808.84</v>
      </c>
      <c r="G639" s="196" t="n">
        <v>0</v>
      </c>
      <c r="H639" s="195" t="n">
        <v>0</v>
      </c>
      <c r="I639" s="195" t="n">
        <v>0</v>
      </c>
      <c r="J639" s="111" t="n"/>
      <c r="K639" s="111" t="n"/>
      <c r="L639" s="111" t="n"/>
      <c r="M639" s="195" t="n">
        <v>0</v>
      </c>
    </row>
    <row r="640" ht="15" customHeight="1">
      <c r="A640" s="107" t="inlineStr">
        <is>
          <t>002024</t>
        </is>
      </c>
      <c r="B640" s="107" t="inlineStr">
        <is>
          <t>000614</t>
        </is>
      </c>
      <c r="C640" s="107" t="inlineStr">
        <is>
          <t>SAL REFINADO</t>
        </is>
      </c>
      <c r="D640" s="107" t="n"/>
      <c r="E640" s="191" t="n">
        <v>0.006</v>
      </c>
      <c r="F640" s="192" t="n">
        <v>0</v>
      </c>
      <c r="G640" s="193" t="n">
        <v>0</v>
      </c>
      <c r="H640" s="192" t="n">
        <v>0</v>
      </c>
      <c r="I640" s="192" t="n">
        <v>0</v>
      </c>
      <c r="J640" s="107" t="n"/>
      <c r="K640" s="107" t="n"/>
      <c r="L640" s="107" t="n"/>
      <c r="M640" s="192" t="n">
        <v>0</v>
      </c>
    </row>
    <row r="641" ht="15" customHeight="1">
      <c r="A641" s="111" t="inlineStr">
        <is>
          <t>002024</t>
        </is>
      </c>
      <c r="B641" s="111" t="inlineStr">
        <is>
          <t>000667</t>
        </is>
      </c>
      <c r="C641" s="111" t="inlineStr">
        <is>
          <t>TOMILHO</t>
        </is>
      </c>
      <c r="D641" s="111" t="n"/>
      <c r="E641" s="194" t="n">
        <v>0.001</v>
      </c>
      <c r="F641" s="195" t="n">
        <v>0</v>
      </c>
      <c r="G641" s="196" t="n">
        <v>0</v>
      </c>
      <c r="H641" s="195" t="n">
        <v>0</v>
      </c>
      <c r="I641" s="195" t="n">
        <v>0</v>
      </c>
      <c r="J641" s="111" t="n"/>
      <c r="K641" s="111" t="n"/>
      <c r="L641" s="111" t="n"/>
      <c r="M641" s="195" t="n">
        <v>0</v>
      </c>
    </row>
    <row r="642" ht="15" customHeight="1">
      <c r="A642" s="107" t="inlineStr">
        <is>
          <t>002024</t>
        </is>
      </c>
      <c r="B642" s="107" t="inlineStr">
        <is>
          <t>000668</t>
        </is>
      </c>
      <c r="C642" s="107" t="inlineStr">
        <is>
          <t>ALECRIM</t>
        </is>
      </c>
      <c r="D642" s="107" t="n"/>
      <c r="E642" s="191" t="n">
        <v>0.001</v>
      </c>
      <c r="F642" s="192" t="n">
        <v>0</v>
      </c>
      <c r="G642" s="193" t="n">
        <v>0</v>
      </c>
      <c r="H642" s="192" t="n">
        <v>0</v>
      </c>
      <c r="I642" s="192" t="n">
        <v>0</v>
      </c>
      <c r="J642" s="107" t="n"/>
      <c r="K642" s="107" t="n"/>
      <c r="L642" s="107" t="n"/>
      <c r="M642" s="192" t="n">
        <v>0</v>
      </c>
    </row>
    <row r="643" ht="15" customHeight="1">
      <c r="A643" s="111" t="inlineStr">
        <is>
          <t>002024</t>
        </is>
      </c>
      <c r="B643" s="111" t="inlineStr">
        <is>
          <t>000747</t>
        </is>
      </c>
      <c r="C643" s="111" t="inlineStr">
        <is>
          <t>AZEITE OLEO COMPOSTO 5 LITROS</t>
        </is>
      </c>
      <c r="D643" s="111" t="n"/>
      <c r="E643" s="194" t="n">
        <v>0.013</v>
      </c>
      <c r="F643" s="195" t="n">
        <v>0</v>
      </c>
      <c r="G643" s="196" t="n">
        <v>0</v>
      </c>
      <c r="H643" s="195" t="n">
        <v>0</v>
      </c>
      <c r="I643" s="195" t="n">
        <v>0</v>
      </c>
      <c r="J643" s="111" t="n"/>
      <c r="K643" s="111" t="n"/>
      <c r="L643" s="111" t="n"/>
      <c r="M643" s="195" t="n">
        <v>0</v>
      </c>
    </row>
    <row r="644" ht="15" customHeight="1">
      <c r="A644" s="107" t="inlineStr">
        <is>
          <t>002024</t>
        </is>
      </c>
      <c r="B644" s="107" t="inlineStr">
        <is>
          <t>002067</t>
        </is>
      </c>
      <c r="C644" s="107" t="inlineStr">
        <is>
          <t>FARINHA PANKO EMPANAR</t>
        </is>
      </c>
      <c r="D644" s="107" t="n"/>
      <c r="E644" s="191" t="n">
        <v>0.02</v>
      </c>
      <c r="F644" s="192" t="n">
        <v>0</v>
      </c>
      <c r="G644" s="193" t="n">
        <v>0</v>
      </c>
      <c r="H644" s="192" t="n">
        <v>0</v>
      </c>
      <c r="I644" s="192" t="n">
        <v>0</v>
      </c>
      <c r="J644" s="107" t="n"/>
      <c r="K644" s="107" t="n"/>
      <c r="L644" s="107" t="n"/>
      <c r="M644" s="192" t="n">
        <v>0</v>
      </c>
    </row>
    <row r="645" ht="15" customHeight="1">
      <c r="A645" s="111" t="inlineStr">
        <is>
          <t>002024</t>
        </is>
      </c>
      <c r="B645" s="111" t="inlineStr">
        <is>
          <t>002068</t>
        </is>
      </c>
      <c r="C645" s="111" t="inlineStr">
        <is>
          <t>MANTEIGA S/SAL 5KG</t>
        </is>
      </c>
      <c r="D645" s="111" t="n"/>
      <c r="E645" s="194" t="n">
        <v>0.008999999999999999</v>
      </c>
      <c r="F645" s="195" t="n">
        <v>0</v>
      </c>
      <c r="G645" s="196" t="n">
        <v>0</v>
      </c>
      <c r="H645" s="195" t="n">
        <v>0</v>
      </c>
      <c r="I645" s="195" t="n">
        <v>0</v>
      </c>
      <c r="J645" s="111" t="n"/>
      <c r="K645" s="111" t="n"/>
      <c r="L645" s="111" t="n"/>
      <c r="M645" s="195" t="n">
        <v>0</v>
      </c>
    </row>
    <row r="646" ht="15" customHeight="1">
      <c r="A646" s="107" t="inlineStr">
        <is>
          <t>002024</t>
        </is>
      </c>
      <c r="B646" s="107" t="inlineStr">
        <is>
          <t>002070</t>
        </is>
      </c>
      <c r="C646" s="107" t="inlineStr">
        <is>
          <t>ALHO PORO</t>
        </is>
      </c>
      <c r="D646" s="107" t="n"/>
      <c r="E646" s="191" t="n">
        <v>0.004</v>
      </c>
      <c r="F646" s="192" t="n">
        <v>0</v>
      </c>
      <c r="G646" s="193" t="n">
        <v>0</v>
      </c>
      <c r="H646" s="192" t="n">
        <v>0</v>
      </c>
      <c r="I646" s="192" t="n">
        <v>0</v>
      </c>
      <c r="J646" s="107" t="n"/>
      <c r="K646" s="107" t="n"/>
      <c r="L646" s="107" t="n"/>
      <c r="M646" s="192" t="n">
        <v>0</v>
      </c>
    </row>
    <row r="647" ht="15" customHeight="1">
      <c r="A647" s="111" t="inlineStr">
        <is>
          <t>002025</t>
        </is>
      </c>
      <c r="B647" s="111" t="inlineStr">
        <is>
          <t>000286</t>
        </is>
      </c>
      <c r="C647" s="111" t="inlineStr">
        <is>
          <t>ESPETO BOVINO</t>
        </is>
      </c>
      <c r="D647" s="111" t="n"/>
      <c r="E647" s="194" t="n">
        <v>2</v>
      </c>
      <c r="F647" s="195" t="n">
        <v>8256.790000000001</v>
      </c>
      <c r="G647" s="196" t="n">
        <v>0</v>
      </c>
      <c r="H647" s="195" t="n">
        <v>0</v>
      </c>
      <c r="I647" s="195" t="n">
        <v>0</v>
      </c>
      <c r="J647" s="111" t="n"/>
      <c r="K647" s="111" t="n"/>
      <c r="L647" s="111" t="n"/>
      <c r="M647" s="195" t="n">
        <v>0</v>
      </c>
    </row>
    <row r="648" ht="15" customHeight="1">
      <c r="A648" s="107" t="inlineStr">
        <is>
          <t>002025</t>
        </is>
      </c>
      <c r="B648" s="107" t="inlineStr">
        <is>
          <t>000291</t>
        </is>
      </c>
      <c r="C648" s="107" t="inlineStr">
        <is>
          <t>ESPETO FRANGO</t>
        </is>
      </c>
      <c r="D648" s="107" t="n"/>
      <c r="E648" s="191" t="n">
        <v>1</v>
      </c>
      <c r="F648" s="192" t="n">
        <v>247.94</v>
      </c>
      <c r="G648" s="193" t="n">
        <v>0</v>
      </c>
      <c r="H648" s="192" t="n">
        <v>0</v>
      </c>
      <c r="I648" s="192" t="n">
        <v>0</v>
      </c>
      <c r="J648" s="107" t="n"/>
      <c r="K648" s="107" t="n"/>
      <c r="L648" s="107" t="n"/>
      <c r="M648" s="192" t="n">
        <v>0</v>
      </c>
    </row>
    <row r="649" ht="15" customHeight="1">
      <c r="A649" s="111" t="inlineStr">
        <is>
          <t>002025</t>
        </is>
      </c>
      <c r="B649" s="111" t="inlineStr">
        <is>
          <t>000314</t>
        </is>
      </c>
      <c r="C649" s="111" t="inlineStr">
        <is>
          <t>GUARANA ZERO LATA 350ML</t>
        </is>
      </c>
      <c r="D649" s="111" t="n"/>
      <c r="E649" s="194" t="n">
        <v>1</v>
      </c>
      <c r="F649" s="195" t="n">
        <v>0</v>
      </c>
      <c r="G649" s="196" t="n">
        <v>0</v>
      </c>
      <c r="H649" s="195" t="n">
        <v>0</v>
      </c>
      <c r="I649" s="195" t="n">
        <v>0</v>
      </c>
      <c r="J649" s="111" t="n"/>
      <c r="K649" s="111" t="n"/>
      <c r="L649" s="111" t="n"/>
      <c r="M649" s="195" t="n">
        <v>0</v>
      </c>
    </row>
    <row r="650" ht="15" customHeight="1">
      <c r="A650" s="107" t="inlineStr">
        <is>
          <t>002025</t>
        </is>
      </c>
      <c r="B650" s="107" t="inlineStr">
        <is>
          <t>000437</t>
        </is>
      </c>
      <c r="C650" s="107" t="inlineStr">
        <is>
          <t>CHOCOLATE GAROTO BARRA 2,1KG</t>
        </is>
      </c>
      <c r="D650" s="107" t="n"/>
      <c r="E650" s="191" t="n">
        <v>0.03</v>
      </c>
      <c r="F650" s="192" t="n">
        <v>128.23</v>
      </c>
      <c r="G650" s="193" t="n">
        <v>0</v>
      </c>
      <c r="H650" s="192" t="n">
        <v>0</v>
      </c>
      <c r="I650" s="192" t="n">
        <v>0</v>
      </c>
      <c r="J650" s="107" t="n"/>
      <c r="K650" s="107" t="n"/>
      <c r="L650" s="107" t="n"/>
      <c r="M650" s="192" t="n">
        <v>0</v>
      </c>
    </row>
    <row r="651" ht="15" customHeight="1">
      <c r="A651" s="111" t="inlineStr">
        <is>
          <t>002025</t>
        </is>
      </c>
      <c r="B651" s="111" t="inlineStr">
        <is>
          <t>000590</t>
        </is>
      </c>
      <c r="C651" s="111" t="inlineStr">
        <is>
          <t>MORANGO FRUTA</t>
        </is>
      </c>
      <c r="D651" s="111" t="n"/>
      <c r="E651" s="194" t="n">
        <v>0.08</v>
      </c>
      <c r="F651" s="195" t="n">
        <v>110553.31</v>
      </c>
      <c r="G651" s="196" t="n">
        <v>0</v>
      </c>
      <c r="H651" s="195" t="n">
        <v>0</v>
      </c>
      <c r="I651" s="195" t="n">
        <v>0</v>
      </c>
      <c r="J651" s="111" t="n"/>
      <c r="K651" s="111" t="n"/>
      <c r="L651" s="111" t="n"/>
      <c r="M651" s="195" t="n">
        <v>0</v>
      </c>
    </row>
    <row r="652" ht="15" customHeight="1">
      <c r="A652" s="107" t="inlineStr">
        <is>
          <t>002026</t>
        </is>
      </c>
      <c r="B652" s="107" t="inlineStr">
        <is>
          <t>000490</t>
        </is>
      </c>
      <c r="C652" s="107" t="inlineStr">
        <is>
          <t>LARANJA PERA FRUTA</t>
        </is>
      </c>
      <c r="D652" s="107" t="n"/>
      <c r="E652" s="191" t="n">
        <v>3.25</v>
      </c>
      <c r="F652" s="192" t="n">
        <v>0</v>
      </c>
      <c r="G652" s="193" t="n">
        <v>0</v>
      </c>
      <c r="H652" s="192" t="n">
        <v>0</v>
      </c>
      <c r="I652" s="192" t="n">
        <v>0</v>
      </c>
      <c r="J652" s="107" t="n"/>
      <c r="K652" s="107" t="n"/>
      <c r="L652" s="107" t="n"/>
      <c r="M652" s="192" t="n">
        <v>0</v>
      </c>
    </row>
    <row r="653" ht="15" customHeight="1">
      <c r="A653" s="111" t="inlineStr">
        <is>
          <t>002028</t>
        </is>
      </c>
      <c r="B653" s="111" t="inlineStr">
        <is>
          <t>000492</t>
        </is>
      </c>
      <c r="C653" s="111" t="inlineStr">
        <is>
          <t>LIMAO TAITI FRUTA</t>
        </is>
      </c>
      <c r="D653" s="111" t="n"/>
      <c r="E653" s="194" t="n">
        <v>0.3</v>
      </c>
      <c r="F653" s="195" t="n">
        <v>0</v>
      </c>
      <c r="G653" s="196" t="n">
        <v>0</v>
      </c>
      <c r="H653" s="195" t="n">
        <v>0</v>
      </c>
      <c r="I653" s="195" t="n">
        <v>0</v>
      </c>
      <c r="J653" s="111" t="n"/>
      <c r="K653" s="111" t="n"/>
      <c r="L653" s="111" t="n"/>
      <c r="M653" s="195" t="n">
        <v>0</v>
      </c>
    </row>
    <row r="654" ht="15" customHeight="1">
      <c r="A654" s="107" t="inlineStr">
        <is>
          <t>002029</t>
        </is>
      </c>
      <c r="B654" s="107" t="inlineStr">
        <is>
          <t>000457</t>
        </is>
      </c>
      <c r="C654" s="107" t="inlineStr">
        <is>
          <t>POLPA MARACUJA</t>
        </is>
      </c>
      <c r="D654" s="107" t="n"/>
      <c r="E654" s="191" t="n">
        <v>6</v>
      </c>
      <c r="F654" s="192" t="n">
        <v>0</v>
      </c>
      <c r="G654" s="193" t="n">
        <v>0</v>
      </c>
      <c r="H654" s="192" t="n">
        <v>0</v>
      </c>
      <c r="I654" s="192" t="n">
        <v>0</v>
      </c>
      <c r="J654" s="107" t="n"/>
      <c r="K654" s="107" t="n"/>
      <c r="L654" s="107" t="n"/>
      <c r="M654" s="192" t="n">
        <v>0</v>
      </c>
    </row>
    <row r="655" ht="15" customHeight="1">
      <c r="A655" s="111" t="inlineStr">
        <is>
          <t>002031</t>
        </is>
      </c>
      <c r="B655" s="111" t="inlineStr">
        <is>
          <t>000458</t>
        </is>
      </c>
      <c r="C655" s="111" t="inlineStr">
        <is>
          <t>POLPA MORANGO</t>
        </is>
      </c>
      <c r="D655" s="111" t="n"/>
      <c r="E655" s="194" t="n">
        <v>0.5</v>
      </c>
      <c r="F655" s="195" t="n">
        <v>0</v>
      </c>
      <c r="G655" s="196" t="n">
        <v>0</v>
      </c>
      <c r="H655" s="195" t="n">
        <v>0</v>
      </c>
      <c r="I655" s="195" t="n">
        <v>0</v>
      </c>
      <c r="J655" s="111" t="n"/>
      <c r="K655" s="111" t="n"/>
      <c r="L655" s="111" t="n"/>
      <c r="M655" s="195" t="n">
        <v>0</v>
      </c>
    </row>
    <row r="656" ht="15" customHeight="1">
      <c r="A656" s="107" t="inlineStr">
        <is>
          <t>002032</t>
        </is>
      </c>
      <c r="B656" s="107" t="inlineStr">
        <is>
          <t>000456</t>
        </is>
      </c>
      <c r="C656" s="107" t="inlineStr">
        <is>
          <t>POLPA ABACAXI C/ HORTELA</t>
        </is>
      </c>
      <c r="D656" s="107" t="n"/>
      <c r="E656" s="191" t="n">
        <v>0.5</v>
      </c>
      <c r="F656" s="192" t="n">
        <v>0</v>
      </c>
      <c r="G656" s="193" t="n">
        <v>0</v>
      </c>
      <c r="H656" s="192" t="n">
        <v>0</v>
      </c>
      <c r="I656" s="192" t="n">
        <v>0</v>
      </c>
      <c r="J656" s="107" t="n"/>
      <c r="K656" s="107" t="n"/>
      <c r="L656" s="107" t="n"/>
      <c r="M656" s="192" t="n">
        <v>0</v>
      </c>
    </row>
    <row r="657" ht="15" customHeight="1">
      <c r="A657" s="111" t="inlineStr">
        <is>
          <t>002034</t>
        </is>
      </c>
      <c r="B657" s="111" t="inlineStr">
        <is>
          <t>000474</t>
        </is>
      </c>
      <c r="C657" s="111" t="inlineStr">
        <is>
          <t>HORTELA GRANDE</t>
        </is>
      </c>
      <c r="D657" s="111" t="n"/>
      <c r="E657" s="194" t="n">
        <v>0.001</v>
      </c>
      <c r="F657" s="195" t="n">
        <v>0.04</v>
      </c>
      <c r="G657" s="196" t="n">
        <v>0</v>
      </c>
      <c r="H657" s="195" t="n">
        <v>0</v>
      </c>
      <c r="I657" s="195" t="n">
        <v>0</v>
      </c>
      <c r="J657" s="111" t="n"/>
      <c r="K657" s="111" t="n"/>
      <c r="L657" s="111" t="n"/>
      <c r="M657" s="195" t="n">
        <v>0</v>
      </c>
    </row>
    <row r="658" ht="15" customHeight="1">
      <c r="A658" s="107" t="inlineStr">
        <is>
          <t>002034</t>
        </is>
      </c>
      <c r="B658" s="107" t="inlineStr">
        <is>
          <t>000619</t>
        </is>
      </c>
      <c r="C658" s="107" t="inlineStr">
        <is>
          <t>LIMAO SICILIANO</t>
        </is>
      </c>
      <c r="D658" s="107" t="n"/>
      <c r="E658" s="191" t="n">
        <v>0.02</v>
      </c>
      <c r="F658" s="192" t="n">
        <v>49.44</v>
      </c>
      <c r="G658" s="193" t="n">
        <v>0</v>
      </c>
      <c r="H658" s="192" t="n">
        <v>0</v>
      </c>
      <c r="I658" s="192" t="n">
        <v>0</v>
      </c>
      <c r="J658" s="107" t="n"/>
      <c r="K658" s="107" t="n"/>
      <c r="L658" s="107" t="n"/>
      <c r="M658" s="192" t="n">
        <v>0</v>
      </c>
    </row>
    <row r="659" ht="15" customHeight="1">
      <c r="A659" s="111" t="inlineStr">
        <is>
          <t>002034</t>
        </is>
      </c>
      <c r="B659" s="111" t="inlineStr">
        <is>
          <t>002038</t>
        </is>
      </c>
      <c r="C659" s="111" t="inlineStr">
        <is>
          <t>RED BULL POMELO SUGARFREE</t>
        </is>
      </c>
      <c r="D659" s="111" t="n"/>
      <c r="E659" s="194" t="n">
        <v>1</v>
      </c>
      <c r="F659" s="195" t="n">
        <v>667.89</v>
      </c>
      <c r="G659" s="196" t="n">
        <v>0</v>
      </c>
      <c r="H659" s="195" t="n">
        <v>0</v>
      </c>
      <c r="I659" s="195" t="n">
        <v>0</v>
      </c>
      <c r="J659" s="111" t="n"/>
      <c r="K659" s="111" t="n"/>
      <c r="L659" s="111" t="n"/>
      <c r="M659" s="195" t="n">
        <v>0</v>
      </c>
    </row>
    <row r="660" ht="15" customHeight="1">
      <c r="A660" s="107" t="inlineStr">
        <is>
          <t>002034</t>
        </is>
      </c>
      <c r="B660" s="107" t="inlineStr">
        <is>
          <t>009820</t>
        </is>
      </c>
      <c r="C660" s="107" t="inlineStr">
        <is>
          <t>GIN BACCO PREMIUM BAG 5LT</t>
        </is>
      </c>
      <c r="D660" s="107" t="n"/>
      <c r="E660" s="191" t="n">
        <v>0.075</v>
      </c>
      <c r="F660" s="192" t="n">
        <v>9.08</v>
      </c>
      <c r="G660" s="193" t="n">
        <v>0</v>
      </c>
      <c r="H660" s="192" t="n">
        <v>0</v>
      </c>
      <c r="I660" s="192" t="n">
        <v>0</v>
      </c>
      <c r="J660" s="107" t="n"/>
      <c r="K660" s="107" t="n"/>
      <c r="L660" s="107" t="n"/>
      <c r="M660" s="192" t="n">
        <v>0</v>
      </c>
    </row>
    <row r="661" ht="15" customHeight="1">
      <c r="A661" s="111" t="inlineStr">
        <is>
          <t>002037</t>
        </is>
      </c>
      <c r="B661" s="111" t="inlineStr">
        <is>
          <t>002038</t>
        </is>
      </c>
      <c r="C661" s="111" t="inlineStr">
        <is>
          <t>RED BULL POMELO SUGARFREE</t>
        </is>
      </c>
      <c r="D661" s="111" t="n"/>
      <c r="E661" s="194" t="n">
        <v>1</v>
      </c>
      <c r="F661" s="195" t="n">
        <v>0</v>
      </c>
      <c r="G661" s="196" t="n">
        <v>0</v>
      </c>
      <c r="H661" s="195" t="n">
        <v>0</v>
      </c>
      <c r="I661" s="195" t="n">
        <v>0</v>
      </c>
      <c r="J661" s="111" t="n"/>
      <c r="K661" s="111" t="n"/>
      <c r="L661" s="111" t="n"/>
      <c r="M661" s="195" t="n">
        <v>0</v>
      </c>
    </row>
    <row r="662" ht="15" customHeight="1">
      <c r="A662" s="107" t="inlineStr">
        <is>
          <t>002039</t>
        </is>
      </c>
      <c r="B662" s="107" t="inlineStr">
        <is>
          <t>002040</t>
        </is>
      </c>
      <c r="C662" s="107" t="inlineStr">
        <is>
          <t>RED BULL MELAO E MARACUJA</t>
        </is>
      </c>
      <c r="D662" s="107" t="n"/>
      <c r="E662" s="191" t="n">
        <v>1</v>
      </c>
      <c r="F662" s="192" t="n">
        <v>0</v>
      </c>
      <c r="G662" s="193" t="n">
        <v>0</v>
      </c>
      <c r="H662" s="192" t="n">
        <v>0</v>
      </c>
      <c r="I662" s="192" t="n">
        <v>0</v>
      </c>
      <c r="J662" s="107" t="n"/>
      <c r="K662" s="107" t="n"/>
      <c r="L662" s="107" t="n"/>
      <c r="M662" s="192" t="n">
        <v>0</v>
      </c>
    </row>
    <row r="663" ht="15" customHeight="1">
      <c r="A663" s="111" t="inlineStr">
        <is>
          <t>002041</t>
        </is>
      </c>
      <c r="B663" s="111" t="inlineStr">
        <is>
          <t>002040</t>
        </is>
      </c>
      <c r="C663" s="111" t="inlineStr">
        <is>
          <t>RED BULL MELAO E MARACUJA</t>
        </is>
      </c>
      <c r="D663" s="111" t="n"/>
      <c r="E663" s="194" t="n">
        <v>0.5</v>
      </c>
      <c r="F663" s="195" t="n">
        <v>0</v>
      </c>
      <c r="G663" s="196" t="n">
        <v>0</v>
      </c>
      <c r="H663" s="195" t="n">
        <v>0</v>
      </c>
      <c r="I663" s="195" t="n">
        <v>0</v>
      </c>
      <c r="J663" s="111" t="n"/>
      <c r="K663" s="111" t="n"/>
      <c r="L663" s="111" t="n"/>
      <c r="M663" s="195" t="n">
        <v>0</v>
      </c>
    </row>
    <row r="664" ht="15" customHeight="1">
      <c r="A664" s="107" t="inlineStr">
        <is>
          <t>002043</t>
        </is>
      </c>
      <c r="B664" s="107" t="inlineStr">
        <is>
          <t>000474</t>
        </is>
      </c>
      <c r="C664" s="107" t="inlineStr">
        <is>
          <t>HORTELA GRANDE</t>
        </is>
      </c>
      <c r="D664" s="107" t="n"/>
      <c r="E664" s="191" t="n">
        <v>0.001</v>
      </c>
      <c r="F664" s="192" t="n">
        <v>0</v>
      </c>
      <c r="G664" s="193" t="n">
        <v>0</v>
      </c>
      <c r="H664" s="192" t="n">
        <v>0</v>
      </c>
      <c r="I664" s="192" t="n">
        <v>0</v>
      </c>
      <c r="J664" s="107" t="n"/>
      <c r="K664" s="107" t="n"/>
      <c r="L664" s="107" t="n"/>
      <c r="M664" s="192" t="n">
        <v>0</v>
      </c>
    </row>
    <row r="665" ht="15" customHeight="1">
      <c r="A665" s="111" t="inlineStr">
        <is>
          <t>002043</t>
        </is>
      </c>
      <c r="B665" s="111" t="inlineStr">
        <is>
          <t>000492</t>
        </is>
      </c>
      <c r="C665" s="111" t="inlineStr">
        <is>
          <t>LIMAO TAITI FRUTA</t>
        </is>
      </c>
      <c r="D665" s="111" t="n"/>
      <c r="E665" s="194" t="n">
        <v>0.1</v>
      </c>
      <c r="F665" s="195" t="n">
        <v>0</v>
      </c>
      <c r="G665" s="196" t="n">
        <v>0</v>
      </c>
      <c r="H665" s="195" t="n">
        <v>0</v>
      </c>
      <c r="I665" s="195" t="n">
        <v>0</v>
      </c>
      <c r="J665" s="111" t="n"/>
      <c r="K665" s="111" t="n"/>
      <c r="L665" s="111" t="n"/>
      <c r="M665" s="195" t="n">
        <v>0</v>
      </c>
    </row>
    <row r="666" ht="15" customHeight="1">
      <c r="A666" s="107" t="inlineStr">
        <is>
          <t>002043</t>
        </is>
      </c>
      <c r="B666" s="107" t="inlineStr">
        <is>
          <t>002040</t>
        </is>
      </c>
      <c r="C666" s="107" t="inlineStr">
        <is>
          <t>RED BULL MELAO E MARACUJA</t>
        </is>
      </c>
      <c r="D666" s="107" t="n"/>
      <c r="E666" s="191" t="n">
        <v>1</v>
      </c>
      <c r="F666" s="192" t="n">
        <v>10.43</v>
      </c>
      <c r="G666" s="193" t="n">
        <v>0</v>
      </c>
      <c r="H666" s="192" t="n">
        <v>0</v>
      </c>
      <c r="I666" s="192" t="n">
        <v>0</v>
      </c>
      <c r="J666" s="107" t="n"/>
      <c r="K666" s="107" t="n"/>
      <c r="L666" s="107" t="n"/>
      <c r="M666" s="192" t="n">
        <v>0</v>
      </c>
    </row>
    <row r="667" ht="15" customHeight="1">
      <c r="A667" s="111" t="inlineStr">
        <is>
          <t>002043</t>
        </is>
      </c>
      <c r="B667" s="111" t="inlineStr">
        <is>
          <t>009820</t>
        </is>
      </c>
      <c r="C667" s="111" t="inlineStr">
        <is>
          <t>GIN BACCO PREMIUM BAG 5LT</t>
        </is>
      </c>
      <c r="D667" s="111" t="n"/>
      <c r="E667" s="194" t="n">
        <v>0.075</v>
      </c>
      <c r="F667" s="195" t="n">
        <v>0</v>
      </c>
      <c r="G667" s="196" t="n">
        <v>0</v>
      </c>
      <c r="H667" s="195" t="n">
        <v>0</v>
      </c>
      <c r="I667" s="195" t="n">
        <v>0</v>
      </c>
      <c r="J667" s="111" t="n"/>
      <c r="K667" s="111" t="n"/>
      <c r="L667" s="111" t="n"/>
      <c r="M667" s="195" t="n">
        <v>0</v>
      </c>
    </row>
    <row r="668" ht="15" customHeight="1">
      <c r="A668" s="107" t="inlineStr">
        <is>
          <t>002044</t>
        </is>
      </c>
      <c r="B668" s="107" t="inlineStr">
        <is>
          <t>000339</t>
        </is>
      </c>
      <c r="C668" s="107" t="inlineStr">
        <is>
          <t>VODKA ABSOLUT NATURAL  1LT</t>
        </is>
      </c>
      <c r="D668" s="107" t="n"/>
      <c r="E668" s="191" t="n">
        <v>0.08</v>
      </c>
      <c r="F668" s="192" t="n">
        <v>0</v>
      </c>
      <c r="G668" s="193" t="n">
        <v>0</v>
      </c>
      <c r="H668" s="192" t="n">
        <v>0</v>
      </c>
      <c r="I668" s="192" t="n">
        <v>0</v>
      </c>
      <c r="J668" s="107" t="n"/>
      <c r="K668" s="107" t="n"/>
      <c r="L668" s="107" t="n"/>
      <c r="M668" s="192" t="n">
        <v>0</v>
      </c>
    </row>
    <row r="669" ht="15" customHeight="1">
      <c r="A669" s="111" t="inlineStr">
        <is>
          <t>002044</t>
        </is>
      </c>
      <c r="B669" s="111" t="inlineStr">
        <is>
          <t>002038</t>
        </is>
      </c>
      <c r="C669" s="111" t="inlineStr">
        <is>
          <t>RED BULL POMELO SUGARFREE</t>
        </is>
      </c>
      <c r="D669" s="111" t="n"/>
      <c r="E669" s="194" t="n">
        <v>1</v>
      </c>
      <c r="F669" s="195" t="n">
        <v>333.95</v>
      </c>
      <c r="G669" s="196" t="n">
        <v>0</v>
      </c>
      <c r="H669" s="195" t="n">
        <v>0</v>
      </c>
      <c r="I669" s="195" t="n">
        <v>0</v>
      </c>
      <c r="J669" s="111" t="n"/>
      <c r="K669" s="111" t="n"/>
      <c r="L669" s="111" t="n"/>
      <c r="M669" s="195" t="n">
        <v>0</v>
      </c>
    </row>
    <row r="670" ht="15" customHeight="1">
      <c r="A670" s="107" t="inlineStr">
        <is>
          <t>002045</t>
        </is>
      </c>
      <c r="B670" s="107" t="inlineStr">
        <is>
          <t>000374</t>
        </is>
      </c>
      <c r="C670" s="107" t="inlineStr">
        <is>
          <t>ACUCAR REFINADO UNIAO</t>
        </is>
      </c>
      <c r="D670" s="107" t="n"/>
      <c r="E670" s="191" t="n">
        <v>0.02</v>
      </c>
      <c r="F670" s="192" t="n">
        <v>0</v>
      </c>
      <c r="G670" s="193" t="n">
        <v>0</v>
      </c>
      <c r="H670" s="192" t="n">
        <v>0</v>
      </c>
      <c r="I670" s="192" t="n">
        <v>0</v>
      </c>
      <c r="J670" s="107" t="n"/>
      <c r="K670" s="107" t="n"/>
      <c r="L670" s="107" t="n"/>
      <c r="M670" s="192" t="n">
        <v>0</v>
      </c>
    </row>
    <row r="671" ht="15" customHeight="1">
      <c r="A671" s="111" t="inlineStr">
        <is>
          <t>002045</t>
        </is>
      </c>
      <c r="B671" s="111" t="inlineStr">
        <is>
          <t>000387</t>
        </is>
      </c>
      <c r="C671" s="111" t="inlineStr">
        <is>
          <t>CREME DE LEITE NESTLE 200G</t>
        </is>
      </c>
      <c r="D671" s="111" t="n"/>
      <c r="E671" s="194" t="n">
        <v>0.02</v>
      </c>
      <c r="F671" s="195" t="n">
        <v>0</v>
      </c>
      <c r="G671" s="196" t="n">
        <v>0</v>
      </c>
      <c r="H671" s="195" t="n">
        <v>0</v>
      </c>
      <c r="I671" s="195" t="n">
        <v>0</v>
      </c>
      <c r="J671" s="111" t="n"/>
      <c r="K671" s="111" t="n"/>
      <c r="L671" s="111" t="n"/>
      <c r="M671" s="195" t="n">
        <v>0</v>
      </c>
    </row>
    <row r="672" ht="15" customHeight="1">
      <c r="A672" s="107" t="inlineStr">
        <is>
          <t>002045</t>
        </is>
      </c>
      <c r="B672" s="107" t="inlineStr">
        <is>
          <t>000396</t>
        </is>
      </c>
      <c r="C672" s="107" t="inlineStr">
        <is>
          <t>LEITE CONDENSADO MOCA 2,6KG</t>
        </is>
      </c>
      <c r="D672" s="107" t="n"/>
      <c r="E672" s="191" t="n">
        <v>0.026</v>
      </c>
      <c r="F672" s="192" t="n">
        <v>0</v>
      </c>
      <c r="G672" s="193" t="n">
        <v>0</v>
      </c>
      <c r="H672" s="192" t="n">
        <v>0</v>
      </c>
      <c r="I672" s="192" t="n">
        <v>0</v>
      </c>
      <c r="J672" s="107" t="n"/>
      <c r="K672" s="107" t="n"/>
      <c r="L672" s="107" t="n"/>
      <c r="M672" s="192" t="n">
        <v>0</v>
      </c>
    </row>
    <row r="673" ht="15" customHeight="1">
      <c r="A673" s="111" t="inlineStr">
        <is>
          <t>002045</t>
        </is>
      </c>
      <c r="B673" s="111" t="inlineStr">
        <is>
          <t>000424</t>
        </is>
      </c>
      <c r="C673" s="111" t="inlineStr">
        <is>
          <t>VINAGRE AGRIN BRANCO NEVAL GARRAFA 750ML</t>
        </is>
      </c>
      <c r="D673" s="111" t="n"/>
      <c r="E673" s="194" t="n">
        <v>0.002</v>
      </c>
      <c r="F673" s="195" t="n">
        <v>0</v>
      </c>
      <c r="G673" s="196" t="n">
        <v>0</v>
      </c>
      <c r="H673" s="195" t="n">
        <v>0</v>
      </c>
      <c r="I673" s="195" t="n">
        <v>0</v>
      </c>
      <c r="J673" s="111" t="n"/>
      <c r="K673" s="111" t="n"/>
      <c r="L673" s="111" t="n"/>
      <c r="M673" s="195" t="n">
        <v>0</v>
      </c>
    </row>
    <row r="674" ht="15" customHeight="1">
      <c r="A674" s="107" t="inlineStr">
        <is>
          <t>002045</t>
        </is>
      </c>
      <c r="B674" s="107" t="inlineStr">
        <is>
          <t>000590</t>
        </is>
      </c>
      <c r="C674" s="107" t="inlineStr">
        <is>
          <t>MORANGO FRUTA</t>
        </is>
      </c>
      <c r="D674" s="107" t="n"/>
      <c r="E674" s="191" t="n">
        <v>0.02</v>
      </c>
      <c r="F674" s="192" t="n">
        <v>0</v>
      </c>
      <c r="G674" s="193" t="n">
        <v>0</v>
      </c>
      <c r="H674" s="192" t="n">
        <v>0</v>
      </c>
      <c r="I674" s="192" t="n">
        <v>0</v>
      </c>
      <c r="J674" s="107" t="n"/>
      <c r="K674" s="107" t="n"/>
      <c r="L674" s="107" t="n"/>
      <c r="M674" s="192" t="n">
        <v>0</v>
      </c>
    </row>
    <row r="675" ht="15" customHeight="1">
      <c r="A675" s="111" t="inlineStr">
        <is>
          <t>002046</t>
        </is>
      </c>
      <c r="B675" s="111" t="inlineStr">
        <is>
          <t>000437</t>
        </is>
      </c>
      <c r="C675" s="111" t="inlineStr">
        <is>
          <t>CHOCOLATE GAROTO BARRA 2,1KG</t>
        </is>
      </c>
      <c r="D675" s="111" t="n"/>
      <c r="E675" s="194" t="n">
        <v>0.03</v>
      </c>
      <c r="F675" s="195" t="n">
        <v>0</v>
      </c>
      <c r="G675" s="196" t="n">
        <v>0</v>
      </c>
      <c r="H675" s="195" t="n">
        <v>0</v>
      </c>
      <c r="I675" s="195" t="n">
        <v>0</v>
      </c>
      <c r="J675" s="111" t="n"/>
      <c r="K675" s="111" t="n"/>
      <c r="L675" s="111" t="n"/>
      <c r="M675" s="195" t="n">
        <v>0</v>
      </c>
    </row>
    <row r="676" ht="15" customHeight="1">
      <c r="A676" s="107" t="inlineStr">
        <is>
          <t>002046</t>
        </is>
      </c>
      <c r="B676" s="107" t="inlineStr">
        <is>
          <t>000590</t>
        </is>
      </c>
      <c r="C676" s="107" t="inlineStr">
        <is>
          <t>MORANGO FRUTA</t>
        </is>
      </c>
      <c r="D676" s="107" t="n"/>
      <c r="E676" s="191" t="n">
        <v>0.08</v>
      </c>
      <c r="F676" s="192" t="n">
        <v>0</v>
      </c>
      <c r="G676" s="193" t="n">
        <v>0</v>
      </c>
      <c r="H676" s="192" t="n">
        <v>0</v>
      </c>
      <c r="I676" s="192" t="n">
        <v>0</v>
      </c>
      <c r="J676" s="107" t="n"/>
      <c r="K676" s="107" t="n"/>
      <c r="L676" s="107" t="n"/>
      <c r="M676" s="192" t="n">
        <v>0</v>
      </c>
    </row>
    <row r="677" ht="15" customHeight="1">
      <c r="A677" s="111" t="inlineStr">
        <is>
          <t>002056</t>
        </is>
      </c>
      <c r="B677" s="111" t="inlineStr">
        <is>
          <t>000455</t>
        </is>
      </c>
      <c r="C677" s="111" t="inlineStr">
        <is>
          <t>POLPA ABACAXI</t>
        </is>
      </c>
      <c r="D677" s="111" t="n"/>
      <c r="E677" s="194" t="n">
        <v>0.6</v>
      </c>
      <c r="F677" s="195" t="n">
        <v>0</v>
      </c>
      <c r="G677" s="196" t="n">
        <v>0</v>
      </c>
      <c r="H677" s="195" t="n">
        <v>0</v>
      </c>
      <c r="I677" s="195" t="n">
        <v>0</v>
      </c>
      <c r="J677" s="111" t="n"/>
      <c r="K677" s="111" t="n"/>
      <c r="L677" s="111" t="n"/>
      <c r="M677" s="195" t="n">
        <v>0</v>
      </c>
    </row>
    <row r="678" ht="15" customHeight="1">
      <c r="A678" s="107" t="inlineStr">
        <is>
          <t>002069</t>
        </is>
      </c>
      <c r="B678" s="107" t="inlineStr">
        <is>
          <t>000331</t>
        </is>
      </c>
      <c r="C678" s="107" t="inlineStr">
        <is>
          <t>BARRIL CHOPP BRAHMA CLARO 50LT</t>
        </is>
      </c>
      <c r="D678" s="107" t="n"/>
      <c r="E678" s="191" t="n">
        <v>0.006</v>
      </c>
      <c r="F678" s="192" t="n">
        <v>0</v>
      </c>
      <c r="G678" s="193" t="n">
        <v>0</v>
      </c>
      <c r="H678" s="192" t="n">
        <v>0</v>
      </c>
      <c r="I678" s="192" t="n">
        <v>0</v>
      </c>
      <c r="J678" s="107" t="n"/>
      <c r="K678" s="107" t="n"/>
      <c r="L678" s="107" t="n"/>
      <c r="M678" s="192" t="n">
        <v>0</v>
      </c>
    </row>
    <row r="679" ht="15" customHeight="1">
      <c r="A679" s="111" t="inlineStr">
        <is>
          <t>002069</t>
        </is>
      </c>
      <c r="B679" s="111" t="inlineStr">
        <is>
          <t>000390</t>
        </is>
      </c>
      <c r="C679" s="111" t="inlineStr">
        <is>
          <t>FARINHA DE TRIGO SOL</t>
        </is>
      </c>
      <c r="D679" s="111" t="n"/>
      <c r="E679" s="194" t="n">
        <v>0.004</v>
      </c>
      <c r="F679" s="195" t="n">
        <v>0</v>
      </c>
      <c r="G679" s="196" t="n">
        <v>0</v>
      </c>
      <c r="H679" s="195" t="n">
        <v>0</v>
      </c>
      <c r="I679" s="195" t="n">
        <v>0</v>
      </c>
      <c r="J679" s="111" t="n"/>
      <c r="K679" s="111" t="n"/>
      <c r="L679" s="111" t="n"/>
      <c r="M679" s="195" t="n">
        <v>0</v>
      </c>
    </row>
    <row r="680" ht="15" customHeight="1">
      <c r="A680" s="107" t="inlineStr">
        <is>
          <t>002069</t>
        </is>
      </c>
      <c r="B680" s="107" t="inlineStr">
        <is>
          <t>000414</t>
        </is>
      </c>
      <c r="C680" s="107" t="inlineStr">
        <is>
          <t>PIMENTA DO REINO MOIDA</t>
        </is>
      </c>
      <c r="D680" s="107" t="n"/>
      <c r="E680" s="191" t="n">
        <v>0.0001</v>
      </c>
      <c r="F680" s="192" t="n">
        <v>0</v>
      </c>
      <c r="G680" s="193" t="n">
        <v>0</v>
      </c>
      <c r="H680" s="192" t="n">
        <v>0</v>
      </c>
      <c r="I680" s="192" t="n">
        <v>0</v>
      </c>
      <c r="J680" s="107" t="n"/>
      <c r="K680" s="107" t="n"/>
      <c r="L680" s="107" t="n"/>
      <c r="M680" s="192" t="n">
        <v>0</v>
      </c>
    </row>
    <row r="681" ht="15" customHeight="1">
      <c r="A681" s="111" t="inlineStr">
        <is>
          <t>002069</t>
        </is>
      </c>
      <c r="B681" s="111" t="inlineStr">
        <is>
          <t>000426</t>
        </is>
      </c>
      <c r="C681" s="111" t="inlineStr">
        <is>
          <t>BACON EM CUBOS</t>
        </is>
      </c>
      <c r="D681" s="111" t="n"/>
      <c r="E681" s="194" t="n">
        <v>0.008</v>
      </c>
      <c r="F681" s="195" t="n">
        <v>0</v>
      </c>
      <c r="G681" s="196" t="n">
        <v>0</v>
      </c>
      <c r="H681" s="195" t="n">
        <v>0</v>
      </c>
      <c r="I681" s="195" t="n">
        <v>0</v>
      </c>
      <c r="J681" s="111" t="n"/>
      <c r="K681" s="111" t="n"/>
      <c r="L681" s="111" t="n"/>
      <c r="M681" s="195" t="n">
        <v>0</v>
      </c>
    </row>
    <row r="682" ht="15" customHeight="1">
      <c r="A682" s="107" t="inlineStr">
        <is>
          <t>002069</t>
        </is>
      </c>
      <c r="B682" s="107" t="inlineStr">
        <is>
          <t>000614</t>
        </is>
      </c>
      <c r="C682" s="107" t="inlineStr">
        <is>
          <t>SAL REFINADO</t>
        </is>
      </c>
      <c r="D682" s="107" t="n"/>
      <c r="E682" s="191" t="n">
        <v>0.0004</v>
      </c>
      <c r="F682" s="192" t="n">
        <v>0</v>
      </c>
      <c r="G682" s="193" t="n">
        <v>0</v>
      </c>
      <c r="H682" s="192" t="n">
        <v>0</v>
      </c>
      <c r="I682" s="192" t="n">
        <v>0</v>
      </c>
      <c r="J682" s="107" t="n"/>
      <c r="K682" s="107" t="n"/>
      <c r="L682" s="107" t="n"/>
      <c r="M682" s="192" t="n">
        <v>0</v>
      </c>
    </row>
    <row r="683" ht="15" customHeight="1">
      <c r="A683" s="111" t="inlineStr">
        <is>
          <t>002069</t>
        </is>
      </c>
      <c r="B683" s="111" t="inlineStr">
        <is>
          <t>000667</t>
        </is>
      </c>
      <c r="C683" s="111" t="inlineStr">
        <is>
          <t>TOMILHO</t>
        </is>
      </c>
      <c r="D683" s="111" t="n"/>
      <c r="E683" s="194" t="n">
        <v>0.0012</v>
      </c>
      <c r="F683" s="195" t="n">
        <v>0</v>
      </c>
      <c r="G683" s="196" t="n">
        <v>0</v>
      </c>
      <c r="H683" s="195" t="n">
        <v>0</v>
      </c>
      <c r="I683" s="195" t="n">
        <v>0</v>
      </c>
      <c r="J683" s="111" t="n"/>
      <c r="K683" s="111" t="n"/>
      <c r="L683" s="111" t="n"/>
      <c r="M683" s="195" t="n">
        <v>0</v>
      </c>
    </row>
    <row r="684" ht="15" customHeight="1">
      <c r="A684" s="107" t="inlineStr">
        <is>
          <t>002069</t>
        </is>
      </c>
      <c r="B684" s="107" t="inlineStr">
        <is>
          <t>000668</t>
        </is>
      </c>
      <c r="C684" s="107" t="inlineStr">
        <is>
          <t>ALECRIM</t>
        </is>
      </c>
      <c r="D684" s="107" t="n"/>
      <c r="E684" s="191" t="n">
        <v>0.002</v>
      </c>
      <c r="F684" s="192" t="n">
        <v>0</v>
      </c>
      <c r="G684" s="193" t="n">
        <v>0</v>
      </c>
      <c r="H684" s="192" t="n">
        <v>0</v>
      </c>
      <c r="I684" s="192" t="n">
        <v>0</v>
      </c>
      <c r="J684" s="107" t="n"/>
      <c r="K684" s="107" t="n"/>
      <c r="L684" s="107" t="n"/>
      <c r="M684" s="192" t="n">
        <v>0</v>
      </c>
    </row>
    <row r="685" ht="15" customHeight="1">
      <c r="A685" s="111" t="inlineStr">
        <is>
          <t>002069</t>
        </is>
      </c>
      <c r="B685" s="111" t="inlineStr">
        <is>
          <t>002067</t>
        </is>
      </c>
      <c r="C685" s="111" t="inlineStr">
        <is>
          <t>FARINHA PANKO EMPANAR</t>
        </is>
      </c>
      <c r="D685" s="111" t="n"/>
      <c r="E685" s="194" t="n">
        <v>0.04</v>
      </c>
      <c r="F685" s="195" t="n">
        <v>0</v>
      </c>
      <c r="G685" s="196" t="n">
        <v>0</v>
      </c>
      <c r="H685" s="195" t="n">
        <v>0</v>
      </c>
      <c r="I685" s="195" t="n">
        <v>0</v>
      </c>
      <c r="J685" s="111" t="n"/>
      <c r="K685" s="111" t="n"/>
      <c r="L685" s="111" t="n"/>
      <c r="M685" s="195" t="n">
        <v>0</v>
      </c>
    </row>
    <row r="686" ht="15" customHeight="1">
      <c r="A686" s="107" t="inlineStr">
        <is>
          <t>002069</t>
        </is>
      </c>
      <c r="B686" s="107" t="inlineStr">
        <is>
          <t>002068</t>
        </is>
      </c>
      <c r="C686" s="107" t="inlineStr">
        <is>
          <t>MANTEIGA S/SAL 5KG</t>
        </is>
      </c>
      <c r="D686" s="107" t="n"/>
      <c r="E686" s="191" t="n">
        <v>0.008</v>
      </c>
      <c r="F686" s="192" t="n">
        <v>0</v>
      </c>
      <c r="G686" s="193" t="n">
        <v>0</v>
      </c>
      <c r="H686" s="192" t="n">
        <v>0</v>
      </c>
      <c r="I686" s="192" t="n">
        <v>0</v>
      </c>
      <c r="J686" s="107" t="n"/>
      <c r="K686" s="107" t="n"/>
      <c r="L686" s="107" t="n"/>
      <c r="M686" s="192" t="n">
        <v>0</v>
      </c>
    </row>
    <row r="687" ht="15" customHeight="1">
      <c r="A687" s="111" t="inlineStr">
        <is>
          <t>002069</t>
        </is>
      </c>
      <c r="B687" s="111" t="inlineStr">
        <is>
          <t>002070</t>
        </is>
      </c>
      <c r="C687" s="111" t="inlineStr">
        <is>
          <t>ALHO PORO</t>
        </is>
      </c>
      <c r="D687" s="111" t="n"/>
      <c r="E687" s="194" t="n">
        <v>0.008</v>
      </c>
      <c r="F687" s="195" t="n">
        <v>0</v>
      </c>
      <c r="G687" s="196" t="n">
        <v>0</v>
      </c>
      <c r="H687" s="195" t="n">
        <v>0</v>
      </c>
      <c r="I687" s="195" t="n">
        <v>0</v>
      </c>
      <c r="J687" s="111" t="n"/>
      <c r="K687" s="111" t="n"/>
      <c r="L687" s="111" t="n"/>
      <c r="M687" s="195" t="n">
        <v>0</v>
      </c>
    </row>
    <row r="688" ht="15" customHeight="1">
      <c r="A688" s="107" t="inlineStr">
        <is>
          <t>002077</t>
        </is>
      </c>
      <c r="B688" s="107" t="inlineStr">
        <is>
          <t>000291</t>
        </is>
      </c>
      <c r="C688" s="107" t="inlineStr">
        <is>
          <t>ESPETO FRANGO</t>
        </is>
      </c>
      <c r="D688" s="107" t="n"/>
      <c r="E688" s="191" t="n">
        <v>1</v>
      </c>
      <c r="F688" s="192" t="n">
        <v>247.94</v>
      </c>
      <c r="G688" s="193" t="n">
        <v>0</v>
      </c>
      <c r="H688" s="192" t="n">
        <v>0</v>
      </c>
      <c r="I688" s="192" t="n">
        <v>0</v>
      </c>
      <c r="J688" s="107" t="n"/>
      <c r="K688" s="107" t="n"/>
      <c r="L688" s="107" t="n"/>
      <c r="M688" s="192" t="n">
        <v>0</v>
      </c>
    </row>
    <row r="689" ht="15" customHeight="1">
      <c r="A689" s="111" t="inlineStr">
        <is>
          <t>002077</t>
        </is>
      </c>
      <c r="B689" s="111" t="inlineStr">
        <is>
          <t>000314</t>
        </is>
      </c>
      <c r="C689" s="111" t="inlineStr">
        <is>
          <t>GUARANA ZERO LATA 350ML</t>
        </is>
      </c>
      <c r="D689" s="111" t="n"/>
      <c r="E689" s="194" t="n">
        <v>1</v>
      </c>
      <c r="F689" s="195" t="n">
        <v>0</v>
      </c>
      <c r="G689" s="196" t="n">
        <v>0</v>
      </c>
      <c r="H689" s="195" t="n">
        <v>0</v>
      </c>
      <c r="I689" s="195" t="n">
        <v>0</v>
      </c>
      <c r="J689" s="111" t="n"/>
      <c r="K689" s="111" t="n"/>
      <c r="L689" s="111" t="n"/>
      <c r="M689" s="195" t="n">
        <v>0</v>
      </c>
    </row>
    <row r="690" ht="15" customHeight="1">
      <c r="A690" s="107" t="inlineStr">
        <is>
          <t>002077</t>
        </is>
      </c>
      <c r="B690" s="107" t="inlineStr">
        <is>
          <t>000331</t>
        </is>
      </c>
      <c r="C690" s="107" t="inlineStr">
        <is>
          <t>BARRIL CHOPP BRAHMA CLARO 50LT</t>
        </is>
      </c>
      <c r="D690" s="107" t="n"/>
      <c r="E690" s="191" t="n">
        <v>0.003</v>
      </c>
      <c r="F690" s="192" t="n">
        <v>252.3</v>
      </c>
      <c r="G690" s="193" t="n">
        <v>0</v>
      </c>
      <c r="H690" s="192" t="n">
        <v>0</v>
      </c>
      <c r="I690" s="192" t="n">
        <v>0</v>
      </c>
      <c r="J690" s="107" t="n"/>
      <c r="K690" s="107" t="n"/>
      <c r="L690" s="107" t="n"/>
      <c r="M690" s="192" t="n">
        <v>0</v>
      </c>
    </row>
    <row r="691" ht="15" customHeight="1">
      <c r="A691" s="111" t="inlineStr">
        <is>
          <t>002077</t>
        </is>
      </c>
      <c r="B691" s="111" t="inlineStr">
        <is>
          <t>000377</t>
        </is>
      </c>
      <c r="C691" s="111" t="inlineStr">
        <is>
          <t>ARROZ TIPO 1</t>
        </is>
      </c>
      <c r="D691" s="111" t="n"/>
      <c r="E691" s="194" t="n">
        <v>0.06</v>
      </c>
      <c r="F691" s="195" t="n">
        <v>145.38</v>
      </c>
      <c r="G691" s="196" t="n">
        <v>0</v>
      </c>
      <c r="H691" s="195" t="n">
        <v>0</v>
      </c>
      <c r="I691" s="195" t="n">
        <v>0</v>
      </c>
      <c r="J691" s="111" t="n"/>
      <c r="K691" s="111" t="n"/>
      <c r="L691" s="111" t="n"/>
      <c r="M691" s="195" t="n">
        <v>0</v>
      </c>
    </row>
    <row r="692" ht="15" customHeight="1">
      <c r="A692" s="107" t="inlineStr">
        <is>
          <t>002077</t>
        </is>
      </c>
      <c r="B692" s="107" t="inlineStr">
        <is>
          <t>000390</t>
        </is>
      </c>
      <c r="C692" s="107" t="inlineStr">
        <is>
          <t>FARINHA DE TRIGO SOL</t>
        </is>
      </c>
      <c r="D692" s="107" t="n"/>
      <c r="E692" s="191" t="n">
        <v>0.002</v>
      </c>
      <c r="F692" s="192" t="n">
        <v>0.4</v>
      </c>
      <c r="G692" s="193" t="n">
        <v>0</v>
      </c>
      <c r="H692" s="192" t="n">
        <v>0</v>
      </c>
      <c r="I692" s="192" t="n">
        <v>0</v>
      </c>
      <c r="J692" s="107" t="n"/>
      <c r="K692" s="107" t="n"/>
      <c r="L692" s="107" t="n"/>
      <c r="M692" s="192" t="n">
        <v>0</v>
      </c>
    </row>
    <row r="693" ht="15" customHeight="1">
      <c r="A693" s="111" t="inlineStr">
        <is>
          <t>002077</t>
        </is>
      </c>
      <c r="B693" s="111" t="inlineStr">
        <is>
          <t>000412</t>
        </is>
      </c>
      <c r="C693" s="111" t="inlineStr">
        <is>
          <t>OLEO DE SOJA LIZA 900ML</t>
        </is>
      </c>
      <c r="D693" s="111" t="n"/>
      <c r="E693" s="194" t="n">
        <v>0.06</v>
      </c>
      <c r="F693" s="195" t="n">
        <v>1688.88</v>
      </c>
      <c r="G693" s="196" t="n">
        <v>0</v>
      </c>
      <c r="H693" s="195" t="n">
        <v>0</v>
      </c>
      <c r="I693" s="195" t="n">
        <v>0</v>
      </c>
      <c r="J693" s="111" t="n"/>
      <c r="K693" s="111" t="n"/>
      <c r="L693" s="111" t="n"/>
      <c r="M693" s="195" t="n">
        <v>0</v>
      </c>
    </row>
    <row r="694" ht="15" customHeight="1">
      <c r="A694" s="107" t="inlineStr">
        <is>
          <t>002077</t>
        </is>
      </c>
      <c r="B694" s="107" t="inlineStr">
        <is>
          <t>000414</t>
        </is>
      </c>
      <c r="C694" s="107" t="inlineStr">
        <is>
          <t>PIMENTA DO REINO MOIDA</t>
        </is>
      </c>
      <c r="D694" s="107" t="n"/>
      <c r="E694" s="191" t="n">
        <v>0.0005999999999999999</v>
      </c>
      <c r="F694" s="192" t="n">
        <v>0.47</v>
      </c>
      <c r="G694" s="193" t="n">
        <v>0</v>
      </c>
      <c r="H694" s="192" t="n">
        <v>0</v>
      </c>
      <c r="I694" s="192" t="n">
        <v>0</v>
      </c>
      <c r="J694" s="107" t="n"/>
      <c r="K694" s="107" t="n"/>
      <c r="L694" s="107" t="n"/>
      <c r="M694" s="192" t="n">
        <v>0</v>
      </c>
    </row>
    <row r="695" ht="15" customHeight="1">
      <c r="A695" s="111" t="inlineStr">
        <is>
          <t>002077</t>
        </is>
      </c>
      <c r="B695" s="111" t="inlineStr">
        <is>
          <t>000424</t>
        </is>
      </c>
      <c r="C695" s="111" t="inlineStr">
        <is>
          <t>VINAGRE AGRIN BRANCO NEVAL GARRAFA 750ML</t>
        </is>
      </c>
      <c r="D695" s="111" t="n"/>
      <c r="E695" s="194" t="n">
        <v>0.007</v>
      </c>
      <c r="F695" s="195" t="n">
        <v>1.9</v>
      </c>
      <c r="G695" s="196" t="n">
        <v>0</v>
      </c>
      <c r="H695" s="195" t="n">
        <v>0</v>
      </c>
      <c r="I695" s="195" t="n">
        <v>0</v>
      </c>
      <c r="J695" s="111" t="n"/>
      <c r="K695" s="111" t="n"/>
      <c r="L695" s="111" t="n"/>
      <c r="M695" s="195" t="n">
        <v>0</v>
      </c>
    </row>
    <row r="696" ht="15" customHeight="1">
      <c r="A696" s="107" t="inlineStr">
        <is>
          <t>002077</t>
        </is>
      </c>
      <c r="B696" s="107" t="inlineStr">
        <is>
          <t>000426</t>
        </is>
      </c>
      <c r="C696" s="107" t="inlineStr">
        <is>
          <t>BACON EM CUBOS</t>
        </is>
      </c>
      <c r="D696" s="107" t="n"/>
      <c r="E696" s="191" t="n">
        <v>0.004</v>
      </c>
      <c r="F696" s="192" t="n">
        <v>531.25</v>
      </c>
      <c r="G696" s="193" t="n">
        <v>0</v>
      </c>
      <c r="H696" s="192" t="n">
        <v>0</v>
      </c>
      <c r="I696" s="192" t="n">
        <v>0</v>
      </c>
      <c r="J696" s="107" t="n"/>
      <c r="K696" s="107" t="n"/>
      <c r="L696" s="107" t="n"/>
      <c r="M696" s="192" t="n">
        <v>0</v>
      </c>
    </row>
    <row r="697" ht="15" customHeight="1">
      <c r="A697" s="111" t="inlineStr">
        <is>
          <t>002077</t>
        </is>
      </c>
      <c r="B697" s="111" t="inlineStr">
        <is>
          <t>000437</t>
        </is>
      </c>
      <c r="C697" s="111" t="inlineStr">
        <is>
          <t>CHOCOLATE GAROTO BARRA 2,1KG</t>
        </is>
      </c>
      <c r="D697" s="111" t="n"/>
      <c r="E697" s="194" t="n">
        <v>0.03</v>
      </c>
      <c r="F697" s="195" t="n">
        <v>0</v>
      </c>
      <c r="G697" s="196" t="n">
        <v>0</v>
      </c>
      <c r="H697" s="195" t="n">
        <v>0</v>
      </c>
      <c r="I697" s="195" t="n">
        <v>0</v>
      </c>
      <c r="J697" s="111" t="n"/>
      <c r="K697" s="111" t="n"/>
      <c r="L697" s="111" t="n"/>
      <c r="M697" s="195" t="n">
        <v>0</v>
      </c>
    </row>
    <row r="698" ht="15" customHeight="1">
      <c r="A698" s="107" t="inlineStr">
        <is>
          <t>002077</t>
        </is>
      </c>
      <c r="B698" s="107" t="inlineStr">
        <is>
          <t>000463</t>
        </is>
      </c>
      <c r="C698" s="107" t="inlineStr">
        <is>
          <t>ALHO DESCASCADO</t>
        </is>
      </c>
      <c r="D698" s="107" t="n"/>
      <c r="E698" s="191" t="n">
        <v>0.001</v>
      </c>
      <c r="F698" s="192" t="n">
        <v>4.95</v>
      </c>
      <c r="G698" s="193" t="n">
        <v>0</v>
      </c>
      <c r="H698" s="192" t="n">
        <v>0</v>
      </c>
      <c r="I698" s="192" t="n">
        <v>0</v>
      </c>
      <c r="J698" s="107" t="n"/>
      <c r="K698" s="107" t="n"/>
      <c r="L698" s="107" t="n"/>
      <c r="M698" s="192" t="n">
        <v>0</v>
      </c>
    </row>
    <row r="699" ht="15" customHeight="1">
      <c r="A699" s="111" t="inlineStr">
        <is>
          <t>002077</t>
        </is>
      </c>
      <c r="B699" s="111" t="inlineStr">
        <is>
          <t>000468</t>
        </is>
      </c>
      <c r="C699" s="111" t="inlineStr">
        <is>
          <t>CEBOLA MEDIA</t>
        </is>
      </c>
      <c r="D699" s="111" t="n"/>
      <c r="E699" s="194" t="n">
        <v>0.013</v>
      </c>
      <c r="F699" s="195" t="n">
        <v>12130.97</v>
      </c>
      <c r="G699" s="196" t="n">
        <v>0</v>
      </c>
      <c r="H699" s="195" t="n">
        <v>0</v>
      </c>
      <c r="I699" s="195" t="n">
        <v>0</v>
      </c>
      <c r="J699" s="111" t="n"/>
      <c r="K699" s="111" t="n"/>
      <c r="L699" s="111" t="n"/>
      <c r="M699" s="195" t="n">
        <v>0</v>
      </c>
    </row>
    <row r="700" ht="15" customHeight="1">
      <c r="A700" s="107" t="inlineStr">
        <is>
          <t>002077</t>
        </is>
      </c>
      <c r="B700" s="107" t="inlineStr">
        <is>
          <t>000475</t>
        </is>
      </c>
      <c r="C700" s="107" t="inlineStr">
        <is>
          <t>FOLHA DE LOURO</t>
        </is>
      </c>
      <c r="D700" s="107" t="n"/>
      <c r="E700" s="191" t="n">
        <v>0.002</v>
      </c>
      <c r="F700" s="192" t="n">
        <v>3.88</v>
      </c>
      <c r="G700" s="193" t="n">
        <v>0</v>
      </c>
      <c r="H700" s="192" t="n">
        <v>0</v>
      </c>
      <c r="I700" s="192" t="n">
        <v>0</v>
      </c>
      <c r="J700" s="107" t="n"/>
      <c r="K700" s="107" t="n"/>
      <c r="L700" s="107" t="n"/>
      <c r="M700" s="192" t="n">
        <v>0</v>
      </c>
    </row>
    <row r="701" ht="15" customHeight="1">
      <c r="A701" s="111" t="inlineStr">
        <is>
          <t>002077</t>
        </is>
      </c>
      <c r="B701" s="111" t="inlineStr">
        <is>
          <t>000484</t>
        </is>
      </c>
      <c r="C701" s="111" t="inlineStr">
        <is>
          <t>SALSA LISA INDUSTRIAL</t>
        </is>
      </c>
      <c r="D701" s="111" t="n"/>
      <c r="E701" s="194" t="n">
        <v>0.008999999999999999</v>
      </c>
      <c r="F701" s="195" t="n">
        <v>7.61</v>
      </c>
      <c r="G701" s="196" t="n">
        <v>0</v>
      </c>
      <c r="H701" s="195" t="n">
        <v>0</v>
      </c>
      <c r="I701" s="195" t="n">
        <v>0</v>
      </c>
      <c r="J701" s="111" t="n"/>
      <c r="K701" s="111" t="n"/>
      <c r="L701" s="111" t="n"/>
      <c r="M701" s="195" t="n">
        <v>0</v>
      </c>
    </row>
    <row r="702" ht="15" customHeight="1">
      <c r="A702" s="107" t="inlineStr">
        <is>
          <t>002077</t>
        </is>
      </c>
      <c r="B702" s="107" t="inlineStr">
        <is>
          <t>000486</t>
        </is>
      </c>
      <c r="C702" s="107" t="inlineStr">
        <is>
          <t>TOMATE SALADA</t>
        </is>
      </c>
      <c r="D702" s="107" t="n"/>
      <c r="E702" s="191" t="n">
        <v>0.026</v>
      </c>
      <c r="F702" s="192" t="n">
        <v>18.59</v>
      </c>
      <c r="G702" s="193" t="n">
        <v>0</v>
      </c>
      <c r="H702" s="192" t="n">
        <v>0</v>
      </c>
      <c r="I702" s="192" t="n">
        <v>0</v>
      </c>
      <c r="J702" s="107" t="n"/>
      <c r="K702" s="107" t="n"/>
      <c r="L702" s="107" t="n"/>
      <c r="M702" s="192" t="n">
        <v>0</v>
      </c>
    </row>
    <row r="703" ht="15" customHeight="1">
      <c r="A703" s="111" t="inlineStr">
        <is>
          <t>002077</t>
        </is>
      </c>
      <c r="B703" s="111" t="inlineStr">
        <is>
          <t>000590</t>
        </is>
      </c>
      <c r="C703" s="111" t="inlineStr">
        <is>
          <t>MORANGO FRUTA</t>
        </is>
      </c>
      <c r="D703" s="111" t="n"/>
      <c r="E703" s="194" t="n">
        <v>0.08</v>
      </c>
      <c r="F703" s="195" t="n">
        <v>0</v>
      </c>
      <c r="G703" s="196" t="n">
        <v>0</v>
      </c>
      <c r="H703" s="195" t="n">
        <v>0</v>
      </c>
      <c r="I703" s="195" t="n">
        <v>0</v>
      </c>
      <c r="J703" s="111" t="n"/>
      <c r="K703" s="111" t="n"/>
      <c r="L703" s="111" t="n"/>
      <c r="M703" s="195" t="n">
        <v>0</v>
      </c>
    </row>
    <row r="704" ht="15" customHeight="1">
      <c r="A704" s="107" t="inlineStr">
        <is>
          <t>002077</t>
        </is>
      </c>
      <c r="B704" s="107" t="inlineStr">
        <is>
          <t>000614</t>
        </is>
      </c>
      <c r="C704" s="107" t="inlineStr">
        <is>
          <t>SAL REFINADO</t>
        </is>
      </c>
      <c r="D704" s="107" t="n"/>
      <c r="E704" s="191" t="n">
        <v>0.008999999999999999</v>
      </c>
      <c r="F704" s="192" t="n">
        <v>2.36</v>
      </c>
      <c r="G704" s="193" t="n">
        <v>0</v>
      </c>
      <c r="H704" s="192" t="n">
        <v>0</v>
      </c>
      <c r="I704" s="192" t="n">
        <v>0</v>
      </c>
      <c r="J704" s="107" t="n"/>
      <c r="K704" s="107" t="n"/>
      <c r="L704" s="107" t="n"/>
      <c r="M704" s="192" t="n">
        <v>0</v>
      </c>
    </row>
    <row r="705" ht="15" customHeight="1">
      <c r="A705" s="111" t="inlineStr">
        <is>
          <t>002077</t>
        </is>
      </c>
      <c r="B705" s="111" t="inlineStr">
        <is>
          <t>000667</t>
        </is>
      </c>
      <c r="C705" s="111" t="inlineStr">
        <is>
          <t>TOMILHO</t>
        </is>
      </c>
      <c r="D705" s="111" t="n"/>
      <c r="E705" s="194" t="n">
        <v>0.001</v>
      </c>
      <c r="F705" s="195" t="n">
        <v>126.29</v>
      </c>
      <c r="G705" s="196" t="n">
        <v>0</v>
      </c>
      <c r="H705" s="195" t="n">
        <v>0</v>
      </c>
      <c r="I705" s="195" t="n">
        <v>0</v>
      </c>
      <c r="J705" s="111" t="n"/>
      <c r="K705" s="111" t="n"/>
      <c r="L705" s="111" t="n"/>
      <c r="M705" s="195" t="n">
        <v>0</v>
      </c>
    </row>
    <row r="706" ht="15" customHeight="1">
      <c r="A706" s="107" t="inlineStr">
        <is>
          <t>002077</t>
        </is>
      </c>
      <c r="B706" s="107" t="inlineStr">
        <is>
          <t>000668</t>
        </is>
      </c>
      <c r="C706" s="107" t="inlineStr">
        <is>
          <t>ALECRIM</t>
        </is>
      </c>
      <c r="D706" s="107" t="n"/>
      <c r="E706" s="191" t="n">
        <v>0.001</v>
      </c>
      <c r="F706" s="192" t="n">
        <v>4216.82</v>
      </c>
      <c r="G706" s="193" t="n">
        <v>0</v>
      </c>
      <c r="H706" s="192" t="n">
        <v>0</v>
      </c>
      <c r="I706" s="192" t="n">
        <v>0</v>
      </c>
      <c r="J706" s="107" t="n"/>
      <c r="K706" s="107" t="n"/>
      <c r="L706" s="107" t="n"/>
      <c r="M706" s="192" t="n">
        <v>0</v>
      </c>
    </row>
    <row r="707" ht="15" customHeight="1">
      <c r="A707" s="111" t="inlineStr">
        <is>
          <t>002077</t>
        </is>
      </c>
      <c r="B707" s="111" t="inlineStr">
        <is>
          <t>000747</t>
        </is>
      </c>
      <c r="C707" s="111" t="inlineStr">
        <is>
          <t>AZEITE OLEO COMPOSTO 5 LITROS</t>
        </is>
      </c>
      <c r="D707" s="111" t="n"/>
      <c r="E707" s="194" t="n">
        <v>0.013</v>
      </c>
      <c r="F707" s="195" t="n">
        <v>82.39</v>
      </c>
      <c r="G707" s="196" t="n">
        <v>0</v>
      </c>
      <c r="H707" s="195" t="n">
        <v>0</v>
      </c>
      <c r="I707" s="195" t="n">
        <v>0</v>
      </c>
      <c r="J707" s="111" t="n"/>
      <c r="K707" s="111" t="n"/>
      <c r="L707" s="111" t="n"/>
      <c r="M707" s="195" t="n">
        <v>0</v>
      </c>
    </row>
    <row r="708" ht="15" customHeight="1">
      <c r="A708" s="107" t="inlineStr">
        <is>
          <t>002077</t>
        </is>
      </c>
      <c r="B708" s="107" t="inlineStr">
        <is>
          <t>002067</t>
        </is>
      </c>
      <c r="C708" s="107" t="inlineStr">
        <is>
          <t>FARINHA PANKO EMPANAR</t>
        </is>
      </c>
      <c r="D708" s="107" t="n"/>
      <c r="E708" s="191" t="n">
        <v>0.02</v>
      </c>
      <c r="F708" s="192" t="n">
        <v>166.05</v>
      </c>
      <c r="G708" s="193" t="n">
        <v>0</v>
      </c>
      <c r="H708" s="192" t="n">
        <v>0</v>
      </c>
      <c r="I708" s="192" t="n">
        <v>0</v>
      </c>
      <c r="J708" s="107" t="n"/>
      <c r="K708" s="107" t="n"/>
      <c r="L708" s="107" t="n"/>
      <c r="M708" s="192" t="n">
        <v>0</v>
      </c>
    </row>
    <row r="709" ht="15" customHeight="1">
      <c r="A709" s="111" t="inlineStr">
        <is>
          <t>002077</t>
        </is>
      </c>
      <c r="B709" s="111" t="inlineStr">
        <is>
          <t>002068</t>
        </is>
      </c>
      <c r="C709" s="111" t="inlineStr">
        <is>
          <t>MANTEIGA S/SAL 5KG</t>
        </is>
      </c>
      <c r="D709" s="111" t="n"/>
      <c r="E709" s="194" t="n">
        <v>0.008999999999999999</v>
      </c>
      <c r="F709" s="195" t="n">
        <v>1109.7</v>
      </c>
      <c r="G709" s="196" t="n">
        <v>0</v>
      </c>
      <c r="H709" s="195" t="n">
        <v>0</v>
      </c>
      <c r="I709" s="195" t="n">
        <v>0</v>
      </c>
      <c r="J709" s="111" t="n"/>
      <c r="K709" s="111" t="n"/>
      <c r="L709" s="111" t="n"/>
      <c r="M709" s="195" t="n">
        <v>0</v>
      </c>
    </row>
    <row r="710" ht="15" customHeight="1">
      <c r="A710" s="107" t="inlineStr">
        <is>
          <t>002077</t>
        </is>
      </c>
      <c r="B710" s="107" t="inlineStr">
        <is>
          <t>002070</t>
        </is>
      </c>
      <c r="C710" s="107" t="inlineStr">
        <is>
          <t>ALHO PORO</t>
        </is>
      </c>
      <c r="D710" s="107" t="n"/>
      <c r="E710" s="191" t="n">
        <v>0.004</v>
      </c>
      <c r="F710" s="192" t="n">
        <v>0.32</v>
      </c>
      <c r="G710" s="193" t="n">
        <v>0</v>
      </c>
      <c r="H710" s="192" t="n">
        <v>0</v>
      </c>
      <c r="I710" s="192" t="n">
        <v>0</v>
      </c>
      <c r="J710" s="107" t="n"/>
      <c r="K710" s="107" t="n"/>
      <c r="L710" s="107" t="n"/>
      <c r="M710" s="192" t="n">
        <v>0</v>
      </c>
    </row>
    <row r="711" ht="15" customHeight="1">
      <c r="A711" s="111" t="inlineStr">
        <is>
          <t>002078</t>
        </is>
      </c>
      <c r="B711" s="111" t="inlineStr">
        <is>
          <t>000286</t>
        </is>
      </c>
      <c r="C711" s="111" t="inlineStr">
        <is>
          <t>ESPETO BOVINO</t>
        </is>
      </c>
      <c r="D711" s="111" t="n"/>
      <c r="E711" s="194" t="n">
        <v>1</v>
      </c>
      <c r="F711" s="195" t="n">
        <v>4128.4</v>
      </c>
      <c r="G711" s="196" t="n">
        <v>0</v>
      </c>
      <c r="H711" s="195" t="n">
        <v>0</v>
      </c>
      <c r="I711" s="195" t="n">
        <v>0</v>
      </c>
      <c r="J711" s="111" t="n"/>
      <c r="K711" s="111" t="n"/>
      <c r="L711" s="111" t="n"/>
      <c r="M711" s="195" t="n">
        <v>0</v>
      </c>
    </row>
    <row r="712" ht="15" customHeight="1">
      <c r="A712" s="107" t="inlineStr">
        <is>
          <t>002078</t>
        </is>
      </c>
      <c r="B712" s="107" t="inlineStr">
        <is>
          <t>000314</t>
        </is>
      </c>
      <c r="C712" s="107" t="inlineStr">
        <is>
          <t>GUARANA ZERO LATA 350ML</t>
        </is>
      </c>
      <c r="D712" s="107" t="n"/>
      <c r="E712" s="191" t="n">
        <v>1</v>
      </c>
      <c r="F712" s="192" t="n">
        <v>0</v>
      </c>
      <c r="G712" s="193" t="n">
        <v>0</v>
      </c>
      <c r="H712" s="192" t="n">
        <v>0</v>
      </c>
      <c r="I712" s="192" t="n">
        <v>0</v>
      </c>
      <c r="J712" s="107" t="n"/>
      <c r="K712" s="107" t="n"/>
      <c r="L712" s="107" t="n"/>
      <c r="M712" s="192" t="n">
        <v>0</v>
      </c>
    </row>
    <row r="713" ht="15" customHeight="1">
      <c r="A713" s="111" t="inlineStr">
        <is>
          <t>002078</t>
        </is>
      </c>
      <c r="B713" s="111" t="inlineStr">
        <is>
          <t>000331</t>
        </is>
      </c>
      <c r="C713" s="111" t="inlineStr">
        <is>
          <t>BARRIL CHOPP BRAHMA CLARO 50LT</t>
        </is>
      </c>
      <c r="D713" s="111" t="n"/>
      <c r="E713" s="194" t="n">
        <v>0.003</v>
      </c>
      <c r="F713" s="195" t="n">
        <v>252.3</v>
      </c>
      <c r="G713" s="196" t="n">
        <v>0</v>
      </c>
      <c r="H713" s="195" t="n">
        <v>0</v>
      </c>
      <c r="I713" s="195" t="n">
        <v>0</v>
      </c>
      <c r="J713" s="111" t="n"/>
      <c r="K713" s="111" t="n"/>
      <c r="L713" s="111" t="n"/>
      <c r="M713" s="195" t="n">
        <v>0</v>
      </c>
    </row>
    <row r="714" ht="15" customHeight="1">
      <c r="A714" s="107" t="inlineStr">
        <is>
          <t>002078</t>
        </is>
      </c>
      <c r="B714" s="107" t="inlineStr">
        <is>
          <t>000377</t>
        </is>
      </c>
      <c r="C714" s="107" t="inlineStr">
        <is>
          <t>ARROZ TIPO 1</t>
        </is>
      </c>
      <c r="D714" s="107" t="n"/>
      <c r="E714" s="191" t="n">
        <v>0.06</v>
      </c>
      <c r="F714" s="192" t="n">
        <v>145.38</v>
      </c>
      <c r="G714" s="193" t="n">
        <v>0</v>
      </c>
      <c r="H714" s="192" t="n">
        <v>0</v>
      </c>
      <c r="I714" s="192" t="n">
        <v>0</v>
      </c>
      <c r="J714" s="107" t="n"/>
      <c r="K714" s="107" t="n"/>
      <c r="L714" s="107" t="n"/>
      <c r="M714" s="192" t="n">
        <v>0</v>
      </c>
    </row>
    <row r="715" ht="15" customHeight="1">
      <c r="A715" s="111" t="inlineStr">
        <is>
          <t>002078</t>
        </is>
      </c>
      <c r="B715" s="111" t="inlineStr">
        <is>
          <t>000390</t>
        </is>
      </c>
      <c r="C715" s="111" t="inlineStr">
        <is>
          <t>FARINHA DE TRIGO SOL</t>
        </is>
      </c>
      <c r="D715" s="111" t="n"/>
      <c r="E715" s="194" t="n">
        <v>0.002</v>
      </c>
      <c r="F715" s="195" t="n">
        <v>0.4</v>
      </c>
      <c r="G715" s="196" t="n">
        <v>0</v>
      </c>
      <c r="H715" s="195" t="n">
        <v>0</v>
      </c>
      <c r="I715" s="195" t="n">
        <v>0</v>
      </c>
      <c r="J715" s="111" t="n"/>
      <c r="K715" s="111" t="n"/>
      <c r="L715" s="111" t="n"/>
      <c r="M715" s="195" t="n">
        <v>0</v>
      </c>
    </row>
    <row r="716" ht="15" customHeight="1">
      <c r="A716" s="107" t="inlineStr">
        <is>
          <t>002078</t>
        </is>
      </c>
      <c r="B716" s="107" t="inlineStr">
        <is>
          <t>000412</t>
        </is>
      </c>
      <c r="C716" s="107" t="inlineStr">
        <is>
          <t>OLEO DE SOJA LIZA 900ML</t>
        </is>
      </c>
      <c r="D716" s="107" t="n"/>
      <c r="E716" s="191" t="n">
        <v>0.059</v>
      </c>
      <c r="F716" s="192" t="n">
        <v>1660.74</v>
      </c>
      <c r="G716" s="193" t="n">
        <v>0</v>
      </c>
      <c r="H716" s="192" t="n">
        <v>0</v>
      </c>
      <c r="I716" s="192" t="n">
        <v>0</v>
      </c>
      <c r="J716" s="107" t="n"/>
      <c r="K716" s="107" t="n"/>
      <c r="L716" s="107" t="n"/>
      <c r="M716" s="192" t="n">
        <v>0</v>
      </c>
    </row>
    <row r="717" ht="15" customHeight="1">
      <c r="A717" s="111" t="inlineStr">
        <is>
          <t>002078</t>
        </is>
      </c>
      <c r="B717" s="111" t="inlineStr">
        <is>
          <t>000414</t>
        </is>
      </c>
      <c r="C717" s="111" t="inlineStr">
        <is>
          <t>PIMENTA DO REINO MOIDA</t>
        </is>
      </c>
      <c r="D717" s="111" t="n"/>
      <c r="E717" s="194" t="n">
        <v>0.0005999999999999999</v>
      </c>
      <c r="F717" s="195" t="n">
        <v>0.47</v>
      </c>
      <c r="G717" s="196" t="n">
        <v>0</v>
      </c>
      <c r="H717" s="195" t="n">
        <v>0</v>
      </c>
      <c r="I717" s="195" t="n">
        <v>0</v>
      </c>
      <c r="J717" s="111" t="n"/>
      <c r="K717" s="111" t="n"/>
      <c r="L717" s="111" t="n"/>
      <c r="M717" s="195" t="n">
        <v>0</v>
      </c>
    </row>
    <row r="718" ht="15" customHeight="1">
      <c r="A718" s="107" t="inlineStr">
        <is>
          <t>002078</t>
        </is>
      </c>
      <c r="B718" s="107" t="inlineStr">
        <is>
          <t>000424</t>
        </is>
      </c>
      <c r="C718" s="107" t="inlineStr">
        <is>
          <t>VINAGRE AGRIN BRANCO NEVAL GARRAFA 750ML</t>
        </is>
      </c>
      <c r="D718" s="107" t="n"/>
      <c r="E718" s="191" t="n">
        <v>0.007</v>
      </c>
      <c r="F718" s="192" t="n">
        <v>1.9</v>
      </c>
      <c r="G718" s="193" t="n">
        <v>0</v>
      </c>
      <c r="H718" s="192" t="n">
        <v>0</v>
      </c>
      <c r="I718" s="192" t="n">
        <v>0</v>
      </c>
      <c r="J718" s="107" t="n"/>
      <c r="K718" s="107" t="n"/>
      <c r="L718" s="107" t="n"/>
      <c r="M718" s="192" t="n">
        <v>0</v>
      </c>
    </row>
    <row r="719" ht="15" customHeight="1">
      <c r="A719" s="111" t="inlineStr">
        <is>
          <t>002078</t>
        </is>
      </c>
      <c r="B719" s="111" t="inlineStr">
        <is>
          <t>000426</t>
        </is>
      </c>
      <c r="C719" s="111" t="inlineStr">
        <is>
          <t>BACON EM CUBOS</t>
        </is>
      </c>
      <c r="D719" s="111" t="n"/>
      <c r="E719" s="194" t="n">
        <v>0.004</v>
      </c>
      <c r="F719" s="195" t="n">
        <v>531.25</v>
      </c>
      <c r="G719" s="196" t="n">
        <v>0</v>
      </c>
      <c r="H719" s="195" t="n">
        <v>0</v>
      </c>
      <c r="I719" s="195" t="n">
        <v>0</v>
      </c>
      <c r="J719" s="111" t="n"/>
      <c r="K719" s="111" t="n"/>
      <c r="L719" s="111" t="n"/>
      <c r="M719" s="195" t="n">
        <v>0</v>
      </c>
    </row>
    <row r="720" ht="15" customHeight="1">
      <c r="A720" s="107" t="inlineStr">
        <is>
          <t>002078</t>
        </is>
      </c>
      <c r="B720" s="107" t="inlineStr">
        <is>
          <t>000437</t>
        </is>
      </c>
      <c r="C720" s="107" t="inlineStr">
        <is>
          <t>CHOCOLATE GAROTO BARRA 2,1KG</t>
        </is>
      </c>
      <c r="D720" s="107" t="n"/>
      <c r="E720" s="191" t="n">
        <v>0.03</v>
      </c>
      <c r="F720" s="192" t="n">
        <v>0</v>
      </c>
      <c r="G720" s="193" t="n">
        <v>0</v>
      </c>
      <c r="H720" s="192" t="n">
        <v>0</v>
      </c>
      <c r="I720" s="192" t="n">
        <v>0</v>
      </c>
      <c r="J720" s="107" t="n"/>
      <c r="K720" s="107" t="n"/>
      <c r="L720" s="107" t="n"/>
      <c r="M720" s="192" t="n">
        <v>0</v>
      </c>
    </row>
    <row r="721" ht="15" customHeight="1">
      <c r="A721" s="111" t="inlineStr">
        <is>
          <t>002078</t>
        </is>
      </c>
      <c r="B721" s="111" t="inlineStr">
        <is>
          <t>000463</t>
        </is>
      </c>
      <c r="C721" s="111" t="inlineStr">
        <is>
          <t>ALHO DESCASCADO</t>
        </is>
      </c>
      <c r="D721" s="111" t="n"/>
      <c r="E721" s="194" t="n">
        <v>0.001</v>
      </c>
      <c r="F721" s="195" t="n">
        <v>4.95</v>
      </c>
      <c r="G721" s="196" t="n">
        <v>0</v>
      </c>
      <c r="H721" s="195" t="n">
        <v>0</v>
      </c>
      <c r="I721" s="195" t="n">
        <v>0</v>
      </c>
      <c r="J721" s="111" t="n"/>
      <c r="K721" s="111" t="n"/>
      <c r="L721" s="111" t="n"/>
      <c r="M721" s="195" t="n">
        <v>0</v>
      </c>
    </row>
    <row r="722" ht="15" customHeight="1">
      <c r="A722" s="107" t="inlineStr">
        <is>
          <t>002078</t>
        </is>
      </c>
      <c r="B722" s="107" t="inlineStr">
        <is>
          <t>000468</t>
        </is>
      </c>
      <c r="C722" s="107" t="inlineStr">
        <is>
          <t>CEBOLA MEDIA</t>
        </is>
      </c>
      <c r="D722" s="107" t="n"/>
      <c r="E722" s="191" t="n">
        <v>0.013</v>
      </c>
      <c r="F722" s="192" t="n">
        <v>12130.97</v>
      </c>
      <c r="G722" s="193" t="n">
        <v>0</v>
      </c>
      <c r="H722" s="192" t="n">
        <v>0</v>
      </c>
      <c r="I722" s="192" t="n">
        <v>0</v>
      </c>
      <c r="J722" s="107" t="n"/>
      <c r="K722" s="107" t="n"/>
      <c r="L722" s="107" t="n"/>
      <c r="M722" s="192" t="n">
        <v>0</v>
      </c>
    </row>
    <row r="723" ht="15" customHeight="1">
      <c r="A723" s="111" t="inlineStr">
        <is>
          <t>002078</t>
        </is>
      </c>
      <c r="B723" s="111" t="inlineStr">
        <is>
          <t>000475</t>
        </is>
      </c>
      <c r="C723" s="111" t="inlineStr">
        <is>
          <t>FOLHA DE LOURO</t>
        </is>
      </c>
      <c r="D723" s="111" t="n"/>
      <c r="E723" s="194" t="n">
        <v>0.002</v>
      </c>
      <c r="F723" s="195" t="n">
        <v>3.88</v>
      </c>
      <c r="G723" s="196" t="n">
        <v>0</v>
      </c>
      <c r="H723" s="195" t="n">
        <v>0</v>
      </c>
      <c r="I723" s="195" t="n">
        <v>0</v>
      </c>
      <c r="J723" s="111" t="n"/>
      <c r="K723" s="111" t="n"/>
      <c r="L723" s="111" t="n"/>
      <c r="M723" s="195" t="n">
        <v>0</v>
      </c>
    </row>
    <row r="724" ht="15" customHeight="1">
      <c r="A724" s="107" t="inlineStr">
        <is>
          <t>002078</t>
        </is>
      </c>
      <c r="B724" s="107" t="inlineStr">
        <is>
          <t>000484</t>
        </is>
      </c>
      <c r="C724" s="107" t="inlineStr">
        <is>
          <t>SALSA LISA INDUSTRIAL</t>
        </is>
      </c>
      <c r="D724" s="107" t="n"/>
      <c r="E724" s="191" t="n">
        <v>0.008999999999999999</v>
      </c>
      <c r="F724" s="192" t="n">
        <v>7.61</v>
      </c>
      <c r="G724" s="193" t="n">
        <v>0</v>
      </c>
      <c r="H724" s="192" t="n">
        <v>0</v>
      </c>
      <c r="I724" s="192" t="n">
        <v>0</v>
      </c>
      <c r="J724" s="107" t="n"/>
      <c r="K724" s="107" t="n"/>
      <c r="L724" s="107" t="n"/>
      <c r="M724" s="192" t="n">
        <v>0</v>
      </c>
    </row>
    <row r="725" ht="15" customHeight="1">
      <c r="A725" s="111" t="inlineStr">
        <is>
          <t>002078</t>
        </is>
      </c>
      <c r="B725" s="111" t="inlineStr">
        <is>
          <t>000486</t>
        </is>
      </c>
      <c r="C725" s="111" t="inlineStr">
        <is>
          <t>TOMATE SALADA</t>
        </is>
      </c>
      <c r="D725" s="111" t="n"/>
      <c r="E725" s="194" t="n">
        <v>0.026</v>
      </c>
      <c r="F725" s="195" t="n">
        <v>18.59</v>
      </c>
      <c r="G725" s="196" t="n">
        <v>0</v>
      </c>
      <c r="H725" s="195" t="n">
        <v>0</v>
      </c>
      <c r="I725" s="195" t="n">
        <v>0</v>
      </c>
      <c r="J725" s="111" t="n"/>
      <c r="K725" s="111" t="n"/>
      <c r="L725" s="111" t="n"/>
      <c r="M725" s="195" t="n">
        <v>0</v>
      </c>
    </row>
    <row r="726" ht="15" customHeight="1">
      <c r="A726" s="107" t="inlineStr">
        <is>
          <t>002078</t>
        </is>
      </c>
      <c r="B726" s="107" t="inlineStr">
        <is>
          <t>000590</t>
        </is>
      </c>
      <c r="C726" s="107" t="inlineStr">
        <is>
          <t>MORANGO FRUTA</t>
        </is>
      </c>
      <c r="D726" s="107" t="n"/>
      <c r="E726" s="191" t="n">
        <v>0.08</v>
      </c>
      <c r="F726" s="192" t="n">
        <v>0</v>
      </c>
      <c r="G726" s="193" t="n">
        <v>0</v>
      </c>
      <c r="H726" s="192" t="n">
        <v>0</v>
      </c>
      <c r="I726" s="192" t="n">
        <v>0</v>
      </c>
      <c r="J726" s="107" t="n"/>
      <c r="K726" s="107" t="n"/>
      <c r="L726" s="107" t="n"/>
      <c r="M726" s="192" t="n">
        <v>0</v>
      </c>
    </row>
    <row r="727" ht="15" customHeight="1">
      <c r="A727" s="111" t="inlineStr">
        <is>
          <t>002078</t>
        </is>
      </c>
      <c r="B727" s="111" t="inlineStr">
        <is>
          <t>000614</t>
        </is>
      </c>
      <c r="C727" s="111" t="inlineStr">
        <is>
          <t>SAL REFINADO</t>
        </is>
      </c>
      <c r="D727" s="111" t="n"/>
      <c r="E727" s="194" t="n">
        <v>0.006</v>
      </c>
      <c r="F727" s="195" t="n">
        <v>4.71</v>
      </c>
      <c r="G727" s="196" t="n">
        <v>0</v>
      </c>
      <c r="H727" s="195" t="n">
        <v>0</v>
      </c>
      <c r="I727" s="195" t="n">
        <v>0</v>
      </c>
      <c r="J727" s="111" t="n"/>
      <c r="K727" s="111" t="n"/>
      <c r="L727" s="111" t="n"/>
      <c r="M727" s="195" t="n">
        <v>0</v>
      </c>
    </row>
    <row r="728" ht="15" customHeight="1">
      <c r="A728" s="107" t="inlineStr">
        <is>
          <t>002078</t>
        </is>
      </c>
      <c r="B728" s="107" t="inlineStr">
        <is>
          <t>000667</t>
        </is>
      </c>
      <c r="C728" s="107" t="inlineStr">
        <is>
          <t>TOMILHO</t>
        </is>
      </c>
      <c r="D728" s="107" t="n"/>
      <c r="E728" s="191" t="n">
        <v>0.001</v>
      </c>
      <c r="F728" s="192" t="n">
        <v>126.29</v>
      </c>
      <c r="G728" s="193" t="n">
        <v>0</v>
      </c>
      <c r="H728" s="192" t="n">
        <v>0</v>
      </c>
      <c r="I728" s="192" t="n">
        <v>0</v>
      </c>
      <c r="J728" s="107" t="n"/>
      <c r="K728" s="107" t="n"/>
      <c r="L728" s="107" t="n"/>
      <c r="M728" s="192" t="n">
        <v>0</v>
      </c>
    </row>
    <row r="729" ht="15" customHeight="1">
      <c r="A729" s="111" t="inlineStr">
        <is>
          <t>002078</t>
        </is>
      </c>
      <c r="B729" s="111" t="inlineStr">
        <is>
          <t>000668</t>
        </is>
      </c>
      <c r="C729" s="111" t="inlineStr">
        <is>
          <t>ALECRIM</t>
        </is>
      </c>
      <c r="D729" s="111" t="n"/>
      <c r="E729" s="194" t="n">
        <v>0.001</v>
      </c>
      <c r="F729" s="195" t="n">
        <v>4216.82</v>
      </c>
      <c r="G729" s="196" t="n">
        <v>0</v>
      </c>
      <c r="H729" s="195" t="n">
        <v>0</v>
      </c>
      <c r="I729" s="195" t="n">
        <v>0</v>
      </c>
      <c r="J729" s="111" t="n"/>
      <c r="K729" s="111" t="n"/>
      <c r="L729" s="111" t="n"/>
      <c r="M729" s="195" t="n">
        <v>0</v>
      </c>
    </row>
    <row r="730" ht="15" customHeight="1">
      <c r="A730" s="107" t="inlineStr">
        <is>
          <t>002078</t>
        </is>
      </c>
      <c r="B730" s="107" t="inlineStr">
        <is>
          <t>000747</t>
        </is>
      </c>
      <c r="C730" s="107" t="inlineStr">
        <is>
          <t>AZEITE OLEO COMPOSTO 5 LITROS</t>
        </is>
      </c>
      <c r="D730" s="107" t="n"/>
      <c r="E730" s="191" t="n">
        <v>0.013</v>
      </c>
      <c r="F730" s="192" t="n">
        <v>82.39</v>
      </c>
      <c r="G730" s="193" t="n">
        <v>0</v>
      </c>
      <c r="H730" s="192" t="n">
        <v>0</v>
      </c>
      <c r="I730" s="192" t="n">
        <v>0</v>
      </c>
      <c r="J730" s="107" t="n"/>
      <c r="K730" s="107" t="n"/>
      <c r="L730" s="107" t="n"/>
      <c r="M730" s="192" t="n">
        <v>0</v>
      </c>
    </row>
    <row r="731" ht="15" customHeight="1">
      <c r="A731" s="111" t="inlineStr">
        <is>
          <t>002078</t>
        </is>
      </c>
      <c r="B731" s="111" t="inlineStr">
        <is>
          <t>002067</t>
        </is>
      </c>
      <c r="C731" s="111" t="inlineStr">
        <is>
          <t>FARINHA PANKO EMPANAR</t>
        </is>
      </c>
      <c r="D731" s="111" t="n"/>
      <c r="E731" s="194" t="n">
        <v>0.02</v>
      </c>
      <c r="F731" s="195" t="n">
        <v>166.05</v>
      </c>
      <c r="G731" s="196" t="n">
        <v>0</v>
      </c>
      <c r="H731" s="195" t="n">
        <v>0</v>
      </c>
      <c r="I731" s="195" t="n">
        <v>0</v>
      </c>
      <c r="J731" s="111" t="n"/>
      <c r="K731" s="111" t="n"/>
      <c r="L731" s="111" t="n"/>
      <c r="M731" s="195" t="n">
        <v>0</v>
      </c>
    </row>
    <row r="732" ht="15" customHeight="1">
      <c r="A732" s="107" t="inlineStr">
        <is>
          <t>002078</t>
        </is>
      </c>
      <c r="B732" s="107" t="inlineStr">
        <is>
          <t>002068</t>
        </is>
      </c>
      <c r="C732" s="107" t="inlineStr">
        <is>
          <t>MANTEIGA S/SAL 5KG</t>
        </is>
      </c>
      <c r="D732" s="107" t="n"/>
      <c r="E732" s="191" t="n">
        <v>0.008999999999999999</v>
      </c>
      <c r="F732" s="192" t="n">
        <v>1997.46</v>
      </c>
      <c r="G732" s="193" t="n">
        <v>0</v>
      </c>
      <c r="H732" s="192" t="n">
        <v>0</v>
      </c>
      <c r="I732" s="192" t="n">
        <v>0</v>
      </c>
      <c r="J732" s="107" t="n"/>
      <c r="K732" s="107" t="n"/>
      <c r="L732" s="107" t="n"/>
      <c r="M732" s="192" t="n">
        <v>0</v>
      </c>
    </row>
    <row r="733" ht="15" customHeight="1">
      <c r="A733" s="111" t="inlineStr">
        <is>
          <t>002078</t>
        </is>
      </c>
      <c r="B733" s="111" t="inlineStr">
        <is>
          <t>002070</t>
        </is>
      </c>
      <c r="C733" s="111" t="inlineStr">
        <is>
          <t>ALHO PORO</t>
        </is>
      </c>
      <c r="D733" s="111" t="n"/>
      <c r="E733" s="194" t="n">
        <v>0.004</v>
      </c>
      <c r="F733" s="195" t="n">
        <v>0.32</v>
      </c>
      <c r="G733" s="196" t="n">
        <v>0</v>
      </c>
      <c r="H733" s="195" t="n">
        <v>0</v>
      </c>
      <c r="I733" s="195" t="n">
        <v>0</v>
      </c>
      <c r="J733" s="111" t="n"/>
      <c r="K733" s="111" t="n"/>
      <c r="L733" s="111" t="n"/>
      <c r="M733" s="195" t="n">
        <v>0</v>
      </c>
    </row>
    <row r="734" ht="15" customHeight="1">
      <c r="A734" s="107" t="inlineStr">
        <is>
          <t>002079</t>
        </is>
      </c>
      <c r="B734" s="107" t="inlineStr">
        <is>
          <t>000286</t>
        </is>
      </c>
      <c r="C734" s="107" t="inlineStr">
        <is>
          <t>ESPETO BOVINO</t>
        </is>
      </c>
      <c r="D734" s="107" t="n"/>
      <c r="E734" s="191" t="n">
        <v>1</v>
      </c>
      <c r="F734" s="192" t="n">
        <v>0</v>
      </c>
      <c r="G734" s="193" t="n">
        <v>0</v>
      </c>
      <c r="H734" s="192" t="n">
        <v>0</v>
      </c>
      <c r="I734" s="192" t="n">
        <v>0</v>
      </c>
      <c r="J734" s="107" t="n"/>
      <c r="K734" s="107" t="n"/>
      <c r="L734" s="107" t="n"/>
      <c r="M734" s="192" t="n">
        <v>0</v>
      </c>
    </row>
    <row r="735" ht="15" customHeight="1">
      <c r="A735" s="111" t="inlineStr">
        <is>
          <t>002079</t>
        </is>
      </c>
      <c r="B735" s="111" t="inlineStr">
        <is>
          <t>000331</t>
        </is>
      </c>
      <c r="C735" s="111" t="inlineStr">
        <is>
          <t>BARRIL CHOPP BRAHMA CLARO 50LT</t>
        </is>
      </c>
      <c r="D735" s="111" t="n"/>
      <c r="E735" s="194" t="n">
        <v>0.003</v>
      </c>
      <c r="F735" s="195" t="n">
        <v>0</v>
      </c>
      <c r="G735" s="196" t="n">
        <v>0</v>
      </c>
      <c r="H735" s="195" t="n">
        <v>0</v>
      </c>
      <c r="I735" s="195" t="n">
        <v>0</v>
      </c>
      <c r="J735" s="111" t="n"/>
      <c r="K735" s="111" t="n"/>
      <c r="L735" s="111" t="n"/>
      <c r="M735" s="195" t="n">
        <v>0</v>
      </c>
    </row>
    <row r="736" ht="15" customHeight="1">
      <c r="A736" s="107" t="inlineStr">
        <is>
          <t>002079</t>
        </is>
      </c>
      <c r="B736" s="107" t="inlineStr">
        <is>
          <t>000377</t>
        </is>
      </c>
      <c r="C736" s="107" t="inlineStr">
        <is>
          <t>ARROZ TIPO 1</t>
        </is>
      </c>
      <c r="D736" s="107" t="n"/>
      <c r="E736" s="191" t="n">
        <v>0.06</v>
      </c>
      <c r="F736" s="192" t="n">
        <v>0</v>
      </c>
      <c r="G736" s="193" t="n">
        <v>0</v>
      </c>
      <c r="H736" s="192" t="n">
        <v>0</v>
      </c>
      <c r="I736" s="192" t="n">
        <v>0</v>
      </c>
      <c r="J736" s="107" t="n"/>
      <c r="K736" s="107" t="n"/>
      <c r="L736" s="107" t="n"/>
      <c r="M736" s="192" t="n">
        <v>0</v>
      </c>
    </row>
    <row r="737" ht="15" customHeight="1">
      <c r="A737" s="111" t="inlineStr">
        <is>
          <t>002079</t>
        </is>
      </c>
      <c r="B737" s="111" t="inlineStr">
        <is>
          <t>000390</t>
        </is>
      </c>
      <c r="C737" s="111" t="inlineStr">
        <is>
          <t>FARINHA DE TRIGO SOL</t>
        </is>
      </c>
      <c r="D737" s="111" t="n"/>
      <c r="E737" s="194" t="n">
        <v>0.002</v>
      </c>
      <c r="F737" s="195" t="n">
        <v>0</v>
      </c>
      <c r="G737" s="196" t="n">
        <v>0</v>
      </c>
      <c r="H737" s="195" t="n">
        <v>0</v>
      </c>
      <c r="I737" s="195" t="n">
        <v>0</v>
      </c>
      <c r="J737" s="111" t="n"/>
      <c r="K737" s="111" t="n"/>
      <c r="L737" s="111" t="n"/>
      <c r="M737" s="195" t="n">
        <v>0</v>
      </c>
    </row>
    <row r="738" ht="15" customHeight="1">
      <c r="A738" s="107" t="inlineStr">
        <is>
          <t>002079</t>
        </is>
      </c>
      <c r="B738" s="107" t="inlineStr">
        <is>
          <t>000412</t>
        </is>
      </c>
      <c r="C738" s="107" t="inlineStr">
        <is>
          <t>OLEO DE SOJA LIZA 900ML</t>
        </is>
      </c>
      <c r="D738" s="107" t="n"/>
      <c r="E738" s="191" t="n">
        <v>0.06</v>
      </c>
      <c r="F738" s="192" t="n">
        <v>0</v>
      </c>
      <c r="G738" s="193" t="n">
        <v>0</v>
      </c>
      <c r="H738" s="192" t="n">
        <v>0</v>
      </c>
      <c r="I738" s="192" t="n">
        <v>0</v>
      </c>
      <c r="J738" s="107" t="n"/>
      <c r="K738" s="107" t="n"/>
      <c r="L738" s="107" t="n"/>
      <c r="M738" s="192" t="n">
        <v>0</v>
      </c>
    </row>
    <row r="739" ht="15" customHeight="1">
      <c r="A739" s="111" t="inlineStr">
        <is>
          <t>002079</t>
        </is>
      </c>
      <c r="B739" s="111" t="inlineStr">
        <is>
          <t>000414</t>
        </is>
      </c>
      <c r="C739" s="111" t="inlineStr">
        <is>
          <t>PIMENTA DO REINO MOIDA</t>
        </is>
      </c>
      <c r="D739" s="111" t="n"/>
      <c r="E739" s="194" t="n">
        <v>0.006</v>
      </c>
      <c r="F739" s="195" t="n">
        <v>0</v>
      </c>
      <c r="G739" s="196" t="n">
        <v>0</v>
      </c>
      <c r="H739" s="195" t="n">
        <v>0</v>
      </c>
      <c r="I739" s="195" t="n">
        <v>0</v>
      </c>
      <c r="J739" s="111" t="n"/>
      <c r="K739" s="111" t="n"/>
      <c r="L739" s="111" t="n"/>
      <c r="M739" s="195" t="n">
        <v>0</v>
      </c>
    </row>
    <row r="740" ht="15" customHeight="1">
      <c r="A740" s="107" t="inlineStr">
        <is>
          <t>002079</t>
        </is>
      </c>
      <c r="B740" s="107" t="inlineStr">
        <is>
          <t>000424</t>
        </is>
      </c>
      <c r="C740" s="107" t="inlineStr">
        <is>
          <t>VINAGRE AGRIN BRANCO NEVAL GARRAFA 750ML</t>
        </is>
      </c>
      <c r="D740" s="107" t="n"/>
      <c r="E740" s="191" t="n">
        <v>0.007</v>
      </c>
      <c r="F740" s="192" t="n">
        <v>0</v>
      </c>
      <c r="G740" s="193" t="n">
        <v>0</v>
      </c>
      <c r="H740" s="192" t="n">
        <v>0</v>
      </c>
      <c r="I740" s="192" t="n">
        <v>0</v>
      </c>
      <c r="J740" s="107" t="n"/>
      <c r="K740" s="107" t="n"/>
      <c r="L740" s="107" t="n"/>
      <c r="M740" s="192" t="n">
        <v>0</v>
      </c>
    </row>
    <row r="741" ht="15" customHeight="1">
      <c r="A741" s="111" t="inlineStr">
        <is>
          <t>002079</t>
        </is>
      </c>
      <c r="B741" s="111" t="inlineStr">
        <is>
          <t>000426</t>
        </is>
      </c>
      <c r="C741" s="111" t="inlineStr">
        <is>
          <t>BACON EM CUBOS</t>
        </is>
      </c>
      <c r="D741" s="111" t="n"/>
      <c r="E741" s="194" t="n">
        <v>0.004</v>
      </c>
      <c r="F741" s="195" t="n">
        <v>0</v>
      </c>
      <c r="G741" s="196" t="n">
        <v>0</v>
      </c>
      <c r="H741" s="195" t="n">
        <v>0</v>
      </c>
      <c r="I741" s="195" t="n">
        <v>0</v>
      </c>
      <c r="J741" s="111" t="n"/>
      <c r="K741" s="111" t="n"/>
      <c r="L741" s="111" t="n"/>
      <c r="M741" s="195" t="n">
        <v>0</v>
      </c>
    </row>
    <row r="742" ht="15" customHeight="1">
      <c r="A742" s="107" t="inlineStr">
        <is>
          <t>002079</t>
        </is>
      </c>
      <c r="B742" s="107" t="inlineStr">
        <is>
          <t>000463</t>
        </is>
      </c>
      <c r="C742" s="107" t="inlineStr">
        <is>
          <t>ALHO DESCASCADO</t>
        </is>
      </c>
      <c r="D742" s="107" t="n"/>
      <c r="E742" s="191" t="n">
        <v>0.001</v>
      </c>
      <c r="F742" s="192" t="n">
        <v>0</v>
      </c>
      <c r="G742" s="193" t="n">
        <v>0</v>
      </c>
      <c r="H742" s="192" t="n">
        <v>0</v>
      </c>
      <c r="I742" s="192" t="n">
        <v>0</v>
      </c>
      <c r="J742" s="107" t="n"/>
      <c r="K742" s="107" t="n"/>
      <c r="L742" s="107" t="n"/>
      <c r="M742" s="192" t="n">
        <v>0</v>
      </c>
    </row>
    <row r="743" ht="15" customHeight="1">
      <c r="A743" s="111" t="inlineStr">
        <is>
          <t>002079</t>
        </is>
      </c>
      <c r="B743" s="111" t="inlineStr">
        <is>
          <t>000468</t>
        </is>
      </c>
      <c r="C743" s="111" t="inlineStr">
        <is>
          <t>CEBOLA MEDIA</t>
        </is>
      </c>
      <c r="D743" s="111" t="n"/>
      <c r="E743" s="194" t="n">
        <v>0.013</v>
      </c>
      <c r="F743" s="195" t="n">
        <v>0</v>
      </c>
      <c r="G743" s="196" t="n">
        <v>0</v>
      </c>
      <c r="H743" s="195" t="n">
        <v>0</v>
      </c>
      <c r="I743" s="195" t="n">
        <v>0</v>
      </c>
      <c r="J743" s="111" t="n"/>
      <c r="K743" s="111" t="n"/>
      <c r="L743" s="111" t="n"/>
      <c r="M743" s="195" t="n">
        <v>0</v>
      </c>
    </row>
    <row r="744" ht="15" customHeight="1">
      <c r="A744" s="107" t="inlineStr">
        <is>
          <t>002079</t>
        </is>
      </c>
      <c r="B744" s="107" t="inlineStr">
        <is>
          <t>000475</t>
        </is>
      </c>
      <c r="C744" s="107" t="inlineStr">
        <is>
          <t>FOLHA DE LOURO</t>
        </is>
      </c>
      <c r="D744" s="107" t="n"/>
      <c r="E744" s="191" t="n">
        <v>0.002</v>
      </c>
      <c r="F744" s="192" t="n">
        <v>0</v>
      </c>
      <c r="G744" s="193" t="n">
        <v>0</v>
      </c>
      <c r="H744" s="192" t="n">
        <v>0</v>
      </c>
      <c r="I744" s="192" t="n">
        <v>0</v>
      </c>
      <c r="J744" s="107" t="n"/>
      <c r="K744" s="107" t="n"/>
      <c r="L744" s="107" t="n"/>
      <c r="M744" s="192" t="n">
        <v>0</v>
      </c>
    </row>
    <row r="745" ht="15" customHeight="1">
      <c r="A745" s="111" t="inlineStr">
        <is>
          <t>002079</t>
        </is>
      </c>
      <c r="B745" s="111" t="inlineStr">
        <is>
          <t>000484</t>
        </is>
      </c>
      <c r="C745" s="111" t="inlineStr">
        <is>
          <t>SALSA LISA INDUSTRIAL</t>
        </is>
      </c>
      <c r="D745" s="111" t="n"/>
      <c r="E745" s="194" t="n">
        <v>0.008999999999999999</v>
      </c>
      <c r="F745" s="195" t="n">
        <v>0</v>
      </c>
      <c r="G745" s="196" t="n">
        <v>0</v>
      </c>
      <c r="H745" s="195" t="n">
        <v>0</v>
      </c>
      <c r="I745" s="195" t="n">
        <v>0</v>
      </c>
      <c r="J745" s="111" t="n"/>
      <c r="K745" s="111" t="n"/>
      <c r="L745" s="111" t="n"/>
      <c r="M745" s="195" t="n">
        <v>0</v>
      </c>
    </row>
    <row r="746" ht="15" customHeight="1">
      <c r="A746" s="107" t="inlineStr">
        <is>
          <t>002079</t>
        </is>
      </c>
      <c r="B746" s="107" t="inlineStr">
        <is>
          <t>000486</t>
        </is>
      </c>
      <c r="C746" s="107" t="inlineStr">
        <is>
          <t>TOMATE SALADA</t>
        </is>
      </c>
      <c r="D746" s="107" t="n"/>
      <c r="E746" s="191" t="n">
        <v>0.026</v>
      </c>
      <c r="F746" s="192" t="n">
        <v>0</v>
      </c>
      <c r="G746" s="193" t="n">
        <v>0</v>
      </c>
      <c r="H746" s="192" t="n">
        <v>0</v>
      </c>
      <c r="I746" s="192" t="n">
        <v>0</v>
      </c>
      <c r="J746" s="107" t="n"/>
      <c r="K746" s="107" t="n"/>
      <c r="L746" s="107" t="n"/>
      <c r="M746" s="192" t="n">
        <v>0</v>
      </c>
    </row>
    <row r="747" ht="15" customHeight="1">
      <c r="A747" s="111" t="inlineStr">
        <is>
          <t>002079</t>
        </is>
      </c>
      <c r="B747" s="111" t="inlineStr">
        <is>
          <t>000614</t>
        </is>
      </c>
      <c r="C747" s="111" t="inlineStr">
        <is>
          <t>SAL REFINADO</t>
        </is>
      </c>
      <c r="D747" s="111" t="n"/>
      <c r="E747" s="194" t="n">
        <v>0.008999999999999999</v>
      </c>
      <c r="F747" s="195" t="n">
        <v>0</v>
      </c>
      <c r="G747" s="196" t="n">
        <v>0</v>
      </c>
      <c r="H747" s="195" t="n">
        <v>0</v>
      </c>
      <c r="I747" s="195" t="n">
        <v>0</v>
      </c>
      <c r="J747" s="111" t="n"/>
      <c r="K747" s="111" t="n"/>
      <c r="L747" s="111" t="n"/>
      <c r="M747" s="195" t="n">
        <v>0</v>
      </c>
    </row>
    <row r="748" ht="15" customHeight="1">
      <c r="A748" s="107" t="inlineStr">
        <is>
          <t>002079</t>
        </is>
      </c>
      <c r="B748" s="107" t="inlineStr">
        <is>
          <t>000667</t>
        </is>
      </c>
      <c r="C748" s="107" t="inlineStr">
        <is>
          <t>TOMILHO</t>
        </is>
      </c>
      <c r="D748" s="107" t="n"/>
      <c r="E748" s="191" t="n">
        <v>0.001</v>
      </c>
      <c r="F748" s="192" t="n">
        <v>0</v>
      </c>
      <c r="G748" s="193" t="n">
        <v>0</v>
      </c>
      <c r="H748" s="192" t="n">
        <v>0</v>
      </c>
      <c r="I748" s="192" t="n">
        <v>0</v>
      </c>
      <c r="J748" s="107" t="n"/>
      <c r="K748" s="107" t="n"/>
      <c r="L748" s="107" t="n"/>
      <c r="M748" s="192" t="n">
        <v>0</v>
      </c>
    </row>
    <row r="749" ht="15" customHeight="1">
      <c r="A749" s="111" t="inlineStr">
        <is>
          <t>002079</t>
        </is>
      </c>
      <c r="B749" s="111" t="inlineStr">
        <is>
          <t>000668</t>
        </is>
      </c>
      <c r="C749" s="111" t="inlineStr">
        <is>
          <t>ALECRIM</t>
        </is>
      </c>
      <c r="D749" s="111" t="n"/>
      <c r="E749" s="194" t="n">
        <v>0.001</v>
      </c>
      <c r="F749" s="195" t="n">
        <v>0</v>
      </c>
      <c r="G749" s="196" t="n">
        <v>0</v>
      </c>
      <c r="H749" s="195" t="n">
        <v>0</v>
      </c>
      <c r="I749" s="195" t="n">
        <v>0</v>
      </c>
      <c r="J749" s="111" t="n"/>
      <c r="K749" s="111" t="n"/>
      <c r="L749" s="111" t="n"/>
      <c r="M749" s="195" t="n">
        <v>0</v>
      </c>
    </row>
    <row r="750" ht="15" customHeight="1">
      <c r="A750" s="107" t="inlineStr">
        <is>
          <t>002079</t>
        </is>
      </c>
      <c r="B750" s="107" t="inlineStr">
        <is>
          <t>000747</t>
        </is>
      </c>
      <c r="C750" s="107" t="inlineStr">
        <is>
          <t>AZEITE OLEO COMPOSTO 5 LITROS</t>
        </is>
      </c>
      <c r="D750" s="107" t="n"/>
      <c r="E750" s="191" t="n">
        <v>0.013</v>
      </c>
      <c r="F750" s="192" t="n">
        <v>0</v>
      </c>
      <c r="G750" s="193" t="n">
        <v>0</v>
      </c>
      <c r="H750" s="192" t="n">
        <v>0</v>
      </c>
      <c r="I750" s="192" t="n">
        <v>0</v>
      </c>
      <c r="J750" s="107" t="n"/>
      <c r="K750" s="107" t="n"/>
      <c r="L750" s="107" t="n"/>
      <c r="M750" s="192" t="n">
        <v>0</v>
      </c>
    </row>
    <row r="751" ht="15" customHeight="1">
      <c r="A751" s="111" t="inlineStr">
        <is>
          <t>002079</t>
        </is>
      </c>
      <c r="B751" s="111" t="inlineStr">
        <is>
          <t>002067</t>
        </is>
      </c>
      <c r="C751" s="111" t="inlineStr">
        <is>
          <t>FARINHA PANKO EMPANAR</t>
        </is>
      </c>
      <c r="D751" s="111" t="n"/>
      <c r="E751" s="194" t="n">
        <v>0.02</v>
      </c>
      <c r="F751" s="195" t="n">
        <v>0</v>
      </c>
      <c r="G751" s="196" t="n">
        <v>0</v>
      </c>
      <c r="H751" s="195" t="n">
        <v>0</v>
      </c>
      <c r="I751" s="195" t="n">
        <v>0</v>
      </c>
      <c r="J751" s="111" t="n"/>
      <c r="K751" s="111" t="n"/>
      <c r="L751" s="111" t="n"/>
      <c r="M751" s="195" t="n">
        <v>0</v>
      </c>
    </row>
    <row r="752" ht="15" customHeight="1">
      <c r="A752" s="107" t="inlineStr">
        <is>
          <t>002079</t>
        </is>
      </c>
      <c r="B752" s="107" t="inlineStr">
        <is>
          <t>002068</t>
        </is>
      </c>
      <c r="C752" s="107" t="inlineStr">
        <is>
          <t>MANTEIGA S/SAL 5KG</t>
        </is>
      </c>
      <c r="D752" s="107" t="n"/>
      <c r="E752" s="191" t="n">
        <v>0.008999999999999999</v>
      </c>
      <c r="F752" s="192" t="n">
        <v>0</v>
      </c>
      <c r="G752" s="193" t="n">
        <v>0</v>
      </c>
      <c r="H752" s="192" t="n">
        <v>0</v>
      </c>
      <c r="I752" s="192" t="n">
        <v>0</v>
      </c>
      <c r="J752" s="107" t="n"/>
      <c r="K752" s="107" t="n"/>
      <c r="L752" s="107" t="n"/>
      <c r="M752" s="192" t="n">
        <v>0</v>
      </c>
    </row>
    <row r="753" ht="15" customHeight="1">
      <c r="A753" s="111" t="inlineStr">
        <is>
          <t>002079</t>
        </is>
      </c>
      <c r="B753" s="111" t="inlineStr">
        <is>
          <t>002070</t>
        </is>
      </c>
      <c r="C753" s="111" t="inlineStr">
        <is>
          <t>ALHO PORO</t>
        </is>
      </c>
      <c r="D753" s="111" t="n"/>
      <c r="E753" s="194" t="n">
        <v>0.004</v>
      </c>
      <c r="F753" s="195" t="n">
        <v>0</v>
      </c>
      <c r="G753" s="196" t="n">
        <v>0</v>
      </c>
      <c r="H753" s="195" t="n">
        <v>0</v>
      </c>
      <c r="I753" s="195" t="n">
        <v>0</v>
      </c>
      <c r="J753" s="111" t="n"/>
      <c r="K753" s="111" t="n"/>
      <c r="L753" s="111" t="n"/>
      <c r="M753" s="195" t="n">
        <v>0</v>
      </c>
    </row>
    <row r="754" ht="15" customHeight="1">
      <c r="A754" s="107" t="inlineStr">
        <is>
          <t>002080</t>
        </is>
      </c>
      <c r="B754" s="107" t="inlineStr">
        <is>
          <t>000286</t>
        </is>
      </c>
      <c r="C754" s="107" t="inlineStr">
        <is>
          <t>ESPETO BOVINO</t>
        </is>
      </c>
      <c r="D754" s="107" t="n"/>
      <c r="E754" s="191" t="n">
        <v>2</v>
      </c>
      <c r="F754" s="192" t="n">
        <v>4128.4</v>
      </c>
      <c r="G754" s="193" t="n">
        <v>0</v>
      </c>
      <c r="H754" s="192" t="n">
        <v>0</v>
      </c>
      <c r="I754" s="192" t="n">
        <v>0</v>
      </c>
      <c r="J754" s="107" t="n"/>
      <c r="K754" s="107" t="n"/>
      <c r="L754" s="107" t="n"/>
      <c r="M754" s="192" t="n">
        <v>0</v>
      </c>
    </row>
    <row r="755" ht="15" customHeight="1">
      <c r="A755" s="111" t="inlineStr">
        <is>
          <t>002080</t>
        </is>
      </c>
      <c r="B755" s="111" t="inlineStr">
        <is>
          <t>000331</t>
        </is>
      </c>
      <c r="C755" s="111" t="inlineStr">
        <is>
          <t>BARRIL CHOPP BRAHMA CLARO 50LT</t>
        </is>
      </c>
      <c r="D755" s="111" t="n"/>
      <c r="E755" s="194" t="n">
        <v>0.003</v>
      </c>
      <c r="F755" s="195" t="n">
        <v>252.3</v>
      </c>
      <c r="G755" s="196" t="n">
        <v>0</v>
      </c>
      <c r="H755" s="195" t="n">
        <v>0</v>
      </c>
      <c r="I755" s="195" t="n">
        <v>0</v>
      </c>
      <c r="J755" s="111" t="n"/>
      <c r="K755" s="111" t="n"/>
      <c r="L755" s="111" t="n"/>
      <c r="M755" s="195" t="n">
        <v>0</v>
      </c>
    </row>
    <row r="756" ht="15" customHeight="1">
      <c r="A756" s="107" t="inlineStr">
        <is>
          <t>002080</t>
        </is>
      </c>
      <c r="B756" s="107" t="inlineStr">
        <is>
          <t>000377</t>
        </is>
      </c>
      <c r="C756" s="107" t="inlineStr">
        <is>
          <t>ARROZ TIPO 1</t>
        </is>
      </c>
      <c r="D756" s="107" t="n"/>
      <c r="E756" s="191" t="n">
        <v>0.06</v>
      </c>
      <c r="F756" s="192" t="n">
        <v>145.38</v>
      </c>
      <c r="G756" s="193" t="n">
        <v>0</v>
      </c>
      <c r="H756" s="192" t="n">
        <v>0</v>
      </c>
      <c r="I756" s="192" t="n">
        <v>0</v>
      </c>
      <c r="J756" s="107" t="n"/>
      <c r="K756" s="107" t="n"/>
      <c r="L756" s="107" t="n"/>
      <c r="M756" s="192" t="n">
        <v>0</v>
      </c>
    </row>
    <row r="757" ht="15" customHeight="1">
      <c r="A757" s="111" t="inlineStr">
        <is>
          <t>002080</t>
        </is>
      </c>
      <c r="B757" s="111" t="inlineStr">
        <is>
          <t>000390</t>
        </is>
      </c>
      <c r="C757" s="111" t="inlineStr">
        <is>
          <t>FARINHA DE TRIGO SOL</t>
        </is>
      </c>
      <c r="D757" s="111" t="n"/>
      <c r="E757" s="194" t="n">
        <v>0.002</v>
      </c>
      <c r="F757" s="195" t="n">
        <v>0.4</v>
      </c>
      <c r="G757" s="196" t="n">
        <v>0</v>
      </c>
      <c r="H757" s="195" t="n">
        <v>0</v>
      </c>
      <c r="I757" s="195" t="n">
        <v>0</v>
      </c>
      <c r="J757" s="111" t="n"/>
      <c r="K757" s="111" t="n"/>
      <c r="L757" s="111" t="n"/>
      <c r="M757" s="195" t="n">
        <v>0</v>
      </c>
    </row>
    <row r="758" ht="15" customHeight="1">
      <c r="A758" s="107" t="inlineStr">
        <is>
          <t>002080</t>
        </is>
      </c>
      <c r="B758" s="107" t="inlineStr">
        <is>
          <t>000412</t>
        </is>
      </c>
      <c r="C758" s="107" t="inlineStr">
        <is>
          <t>OLEO DE SOJA LIZA 900ML</t>
        </is>
      </c>
      <c r="D758" s="107" t="n"/>
      <c r="E758" s="191" t="n">
        <v>0.06</v>
      </c>
      <c r="F758" s="192" t="n">
        <v>1688.88</v>
      </c>
      <c r="G758" s="193" t="n">
        <v>0</v>
      </c>
      <c r="H758" s="192" t="n">
        <v>0</v>
      </c>
      <c r="I758" s="192" t="n">
        <v>0</v>
      </c>
      <c r="J758" s="107" t="n"/>
      <c r="K758" s="107" t="n"/>
      <c r="L758" s="107" t="n"/>
      <c r="M758" s="192" t="n">
        <v>0</v>
      </c>
    </row>
    <row r="759" ht="15" customHeight="1">
      <c r="A759" s="111" t="inlineStr">
        <is>
          <t>002080</t>
        </is>
      </c>
      <c r="B759" s="111" t="inlineStr">
        <is>
          <t>000414</t>
        </is>
      </c>
      <c r="C759" s="111" t="inlineStr">
        <is>
          <t>PIMENTA DO REINO MOIDA</t>
        </is>
      </c>
      <c r="D759" s="111" t="n"/>
      <c r="E759" s="194" t="n">
        <v>0.0005999999999999999</v>
      </c>
      <c r="F759" s="195" t="n">
        <v>0.47</v>
      </c>
      <c r="G759" s="196" t="n">
        <v>0</v>
      </c>
      <c r="H759" s="195" t="n">
        <v>0</v>
      </c>
      <c r="I759" s="195" t="n">
        <v>0</v>
      </c>
      <c r="J759" s="111" t="n"/>
      <c r="K759" s="111" t="n"/>
      <c r="L759" s="111" t="n"/>
      <c r="M759" s="195" t="n">
        <v>0</v>
      </c>
    </row>
    <row r="760" ht="15" customHeight="1">
      <c r="A760" s="107" t="inlineStr">
        <is>
          <t>002080</t>
        </is>
      </c>
      <c r="B760" s="107" t="inlineStr">
        <is>
          <t>000424</t>
        </is>
      </c>
      <c r="C760" s="107" t="inlineStr">
        <is>
          <t>VINAGRE AGRIN BRANCO NEVAL GARRAFA 750ML</t>
        </is>
      </c>
      <c r="D760" s="107" t="n"/>
      <c r="E760" s="191" t="n">
        <v>0.007</v>
      </c>
      <c r="F760" s="192" t="n">
        <v>1.9</v>
      </c>
      <c r="G760" s="193" t="n">
        <v>0</v>
      </c>
      <c r="H760" s="192" t="n">
        <v>0</v>
      </c>
      <c r="I760" s="192" t="n">
        <v>0</v>
      </c>
      <c r="J760" s="107" t="n"/>
      <c r="K760" s="107" t="n"/>
      <c r="L760" s="107" t="n"/>
      <c r="M760" s="192" t="n">
        <v>0</v>
      </c>
    </row>
    <row r="761" ht="15" customHeight="1">
      <c r="A761" s="111" t="inlineStr">
        <is>
          <t>002080</t>
        </is>
      </c>
      <c r="B761" s="111" t="inlineStr">
        <is>
          <t>000426</t>
        </is>
      </c>
      <c r="C761" s="111" t="inlineStr">
        <is>
          <t>BACON EM CUBOS</t>
        </is>
      </c>
      <c r="D761" s="111" t="n"/>
      <c r="E761" s="194" t="n">
        <v>0.004</v>
      </c>
      <c r="F761" s="195" t="n">
        <v>531.25</v>
      </c>
      <c r="G761" s="196" t="n">
        <v>0</v>
      </c>
      <c r="H761" s="195" t="n">
        <v>0</v>
      </c>
      <c r="I761" s="195" t="n">
        <v>0</v>
      </c>
      <c r="J761" s="111" t="n"/>
      <c r="K761" s="111" t="n"/>
      <c r="L761" s="111" t="n"/>
      <c r="M761" s="195" t="n">
        <v>0</v>
      </c>
    </row>
    <row r="762" ht="15" customHeight="1">
      <c r="A762" s="107" t="inlineStr">
        <is>
          <t>002080</t>
        </is>
      </c>
      <c r="B762" s="107" t="inlineStr">
        <is>
          <t>000463</t>
        </is>
      </c>
      <c r="C762" s="107" t="inlineStr">
        <is>
          <t>ALHO DESCASCADO</t>
        </is>
      </c>
      <c r="D762" s="107" t="n"/>
      <c r="E762" s="191" t="n">
        <v>0.001</v>
      </c>
      <c r="F762" s="192" t="n">
        <v>4.95</v>
      </c>
      <c r="G762" s="193" t="n">
        <v>0</v>
      </c>
      <c r="H762" s="192" t="n">
        <v>0</v>
      </c>
      <c r="I762" s="192" t="n">
        <v>0</v>
      </c>
      <c r="J762" s="107" t="n"/>
      <c r="K762" s="107" t="n"/>
      <c r="L762" s="107" t="n"/>
      <c r="M762" s="192" t="n">
        <v>0</v>
      </c>
    </row>
    <row r="763" ht="15" customHeight="1">
      <c r="A763" s="111" t="inlineStr">
        <is>
          <t>002080</t>
        </is>
      </c>
      <c r="B763" s="111" t="inlineStr">
        <is>
          <t>000468</t>
        </is>
      </c>
      <c r="C763" s="111" t="inlineStr">
        <is>
          <t>CEBOLA MEDIA</t>
        </is>
      </c>
      <c r="D763" s="111" t="n"/>
      <c r="E763" s="194" t="n">
        <v>0.013</v>
      </c>
      <c r="F763" s="195" t="n">
        <v>12130.97</v>
      </c>
      <c r="G763" s="196" t="n">
        <v>0</v>
      </c>
      <c r="H763" s="195" t="n">
        <v>0</v>
      </c>
      <c r="I763" s="195" t="n">
        <v>0</v>
      </c>
      <c r="J763" s="111" t="n"/>
      <c r="K763" s="111" t="n"/>
      <c r="L763" s="111" t="n"/>
      <c r="M763" s="195" t="n">
        <v>0</v>
      </c>
    </row>
    <row r="764" ht="15" customHeight="1">
      <c r="A764" s="107" t="inlineStr">
        <is>
          <t>002080</t>
        </is>
      </c>
      <c r="B764" s="107" t="inlineStr">
        <is>
          <t>000475</t>
        </is>
      </c>
      <c r="C764" s="107" t="inlineStr">
        <is>
          <t>FOLHA DE LOURO</t>
        </is>
      </c>
      <c r="D764" s="107" t="n"/>
      <c r="E764" s="191" t="n">
        <v>0.002</v>
      </c>
      <c r="F764" s="192" t="n">
        <v>3.88</v>
      </c>
      <c r="G764" s="193" t="n">
        <v>0</v>
      </c>
      <c r="H764" s="192" t="n">
        <v>0</v>
      </c>
      <c r="I764" s="192" t="n">
        <v>0</v>
      </c>
      <c r="J764" s="107" t="n"/>
      <c r="K764" s="107" t="n"/>
      <c r="L764" s="107" t="n"/>
      <c r="M764" s="192" t="n">
        <v>0</v>
      </c>
    </row>
    <row r="765" ht="15" customHeight="1">
      <c r="A765" s="111" t="inlineStr">
        <is>
          <t>002080</t>
        </is>
      </c>
      <c r="B765" s="111" t="inlineStr">
        <is>
          <t>000484</t>
        </is>
      </c>
      <c r="C765" s="111" t="inlineStr">
        <is>
          <t>SALSA LISA INDUSTRIAL</t>
        </is>
      </c>
      <c r="D765" s="111" t="n"/>
      <c r="E765" s="194" t="n">
        <v>0.008999999999999999</v>
      </c>
      <c r="F765" s="195" t="n">
        <v>7.61</v>
      </c>
      <c r="G765" s="196" t="n">
        <v>0</v>
      </c>
      <c r="H765" s="195" t="n">
        <v>0</v>
      </c>
      <c r="I765" s="195" t="n">
        <v>0</v>
      </c>
      <c r="J765" s="111" t="n"/>
      <c r="K765" s="111" t="n"/>
      <c r="L765" s="111" t="n"/>
      <c r="M765" s="195" t="n">
        <v>0</v>
      </c>
    </row>
    <row r="766" ht="15" customHeight="1">
      <c r="A766" s="107" t="inlineStr">
        <is>
          <t>002080</t>
        </is>
      </c>
      <c r="B766" s="107" t="inlineStr">
        <is>
          <t>000486</t>
        </is>
      </c>
      <c r="C766" s="107" t="inlineStr">
        <is>
          <t>TOMATE SALADA</t>
        </is>
      </c>
      <c r="D766" s="107" t="n"/>
      <c r="E766" s="191" t="n">
        <v>0.026</v>
      </c>
      <c r="F766" s="192" t="n">
        <v>18.59</v>
      </c>
      <c r="G766" s="193" t="n">
        <v>0</v>
      </c>
      <c r="H766" s="192" t="n">
        <v>0</v>
      </c>
      <c r="I766" s="192" t="n">
        <v>0</v>
      </c>
      <c r="J766" s="107" t="n"/>
      <c r="K766" s="107" t="n"/>
      <c r="L766" s="107" t="n"/>
      <c r="M766" s="192" t="n">
        <v>0</v>
      </c>
    </row>
    <row r="767" ht="15" customHeight="1">
      <c r="A767" s="111" t="inlineStr">
        <is>
          <t>002080</t>
        </is>
      </c>
      <c r="B767" s="111" t="inlineStr">
        <is>
          <t>000614</t>
        </is>
      </c>
      <c r="C767" s="111" t="inlineStr">
        <is>
          <t>SAL REFINADO</t>
        </is>
      </c>
      <c r="D767" s="111" t="n"/>
      <c r="E767" s="194" t="n">
        <v>0.006</v>
      </c>
      <c r="F767" s="195" t="n">
        <v>4.71</v>
      </c>
      <c r="G767" s="196" t="n">
        <v>0</v>
      </c>
      <c r="H767" s="195" t="n">
        <v>0</v>
      </c>
      <c r="I767" s="195" t="n">
        <v>0</v>
      </c>
      <c r="J767" s="111" t="n"/>
      <c r="K767" s="111" t="n"/>
      <c r="L767" s="111" t="n"/>
      <c r="M767" s="195" t="n">
        <v>0</v>
      </c>
    </row>
    <row r="768" ht="15" customHeight="1">
      <c r="A768" s="107" t="inlineStr">
        <is>
          <t>002080</t>
        </is>
      </c>
      <c r="B768" s="107" t="inlineStr">
        <is>
          <t>000667</t>
        </is>
      </c>
      <c r="C768" s="107" t="inlineStr">
        <is>
          <t>TOMILHO</t>
        </is>
      </c>
      <c r="D768" s="107" t="n"/>
      <c r="E768" s="191" t="n">
        <v>0.001</v>
      </c>
      <c r="F768" s="192" t="n">
        <v>126.29</v>
      </c>
      <c r="G768" s="193" t="n">
        <v>0</v>
      </c>
      <c r="H768" s="192" t="n">
        <v>0</v>
      </c>
      <c r="I768" s="192" t="n">
        <v>0</v>
      </c>
      <c r="J768" s="107" t="n"/>
      <c r="K768" s="107" t="n"/>
      <c r="L768" s="107" t="n"/>
      <c r="M768" s="192" t="n">
        <v>0</v>
      </c>
    </row>
    <row r="769" ht="15" customHeight="1">
      <c r="A769" s="111" t="inlineStr">
        <is>
          <t>002080</t>
        </is>
      </c>
      <c r="B769" s="111" t="inlineStr">
        <is>
          <t>000668</t>
        </is>
      </c>
      <c r="C769" s="111" t="inlineStr">
        <is>
          <t>ALECRIM</t>
        </is>
      </c>
      <c r="D769" s="111" t="n"/>
      <c r="E769" s="194" t="n">
        <v>0.001</v>
      </c>
      <c r="F769" s="195" t="n">
        <v>4216.82</v>
      </c>
      <c r="G769" s="196" t="n">
        <v>0</v>
      </c>
      <c r="H769" s="195" t="n">
        <v>0</v>
      </c>
      <c r="I769" s="195" t="n">
        <v>0</v>
      </c>
      <c r="J769" s="111" t="n"/>
      <c r="K769" s="111" t="n"/>
      <c r="L769" s="111" t="n"/>
      <c r="M769" s="195" t="n">
        <v>0</v>
      </c>
    </row>
    <row r="770" ht="15" customHeight="1">
      <c r="A770" s="107" t="inlineStr">
        <is>
          <t>002080</t>
        </is>
      </c>
      <c r="B770" s="107" t="inlineStr">
        <is>
          <t>000747</t>
        </is>
      </c>
      <c r="C770" s="107" t="inlineStr">
        <is>
          <t>AZEITE OLEO COMPOSTO 5 LITROS</t>
        </is>
      </c>
      <c r="D770" s="107" t="n"/>
      <c r="E770" s="191" t="n">
        <v>0.013</v>
      </c>
      <c r="F770" s="192" t="n">
        <v>82.39</v>
      </c>
      <c r="G770" s="193" t="n">
        <v>0</v>
      </c>
      <c r="H770" s="192" t="n">
        <v>0</v>
      </c>
      <c r="I770" s="192" t="n">
        <v>0</v>
      </c>
      <c r="J770" s="107" t="n"/>
      <c r="K770" s="107" t="n"/>
      <c r="L770" s="107" t="n"/>
      <c r="M770" s="192" t="n">
        <v>0</v>
      </c>
    </row>
    <row r="771" ht="15" customHeight="1">
      <c r="A771" s="111" t="inlineStr">
        <is>
          <t>002080</t>
        </is>
      </c>
      <c r="B771" s="111" t="inlineStr">
        <is>
          <t>002067</t>
        </is>
      </c>
      <c r="C771" s="111" t="inlineStr">
        <is>
          <t>FARINHA PANKO EMPANAR</t>
        </is>
      </c>
      <c r="D771" s="111" t="n"/>
      <c r="E771" s="194" t="n">
        <v>0.02</v>
      </c>
      <c r="F771" s="195" t="n">
        <v>166.05</v>
      </c>
      <c r="G771" s="196" t="n">
        <v>0</v>
      </c>
      <c r="H771" s="195" t="n">
        <v>0</v>
      </c>
      <c r="I771" s="195" t="n">
        <v>0</v>
      </c>
      <c r="J771" s="111" t="n"/>
      <c r="K771" s="111" t="n"/>
      <c r="L771" s="111" t="n"/>
      <c r="M771" s="195" t="n">
        <v>0</v>
      </c>
    </row>
    <row r="772" ht="15" customHeight="1">
      <c r="A772" s="107" t="inlineStr">
        <is>
          <t>002080</t>
        </is>
      </c>
      <c r="B772" s="107" t="inlineStr">
        <is>
          <t>002068</t>
        </is>
      </c>
      <c r="C772" s="107" t="inlineStr">
        <is>
          <t>MANTEIGA S/SAL 5KG</t>
        </is>
      </c>
      <c r="D772" s="107" t="n"/>
      <c r="E772" s="191" t="n">
        <v>0.008999999999999999</v>
      </c>
      <c r="F772" s="192" t="n">
        <v>1997.46</v>
      </c>
      <c r="G772" s="193" t="n">
        <v>0</v>
      </c>
      <c r="H772" s="192" t="n">
        <v>0</v>
      </c>
      <c r="I772" s="192" t="n">
        <v>0</v>
      </c>
      <c r="J772" s="107" t="n"/>
      <c r="K772" s="107" t="n"/>
      <c r="L772" s="107" t="n"/>
      <c r="M772" s="192" t="n">
        <v>0</v>
      </c>
    </row>
    <row r="773" ht="15" customHeight="1">
      <c r="A773" s="111" t="inlineStr">
        <is>
          <t>002080</t>
        </is>
      </c>
      <c r="B773" s="111" t="inlineStr">
        <is>
          <t>002070</t>
        </is>
      </c>
      <c r="C773" s="111" t="inlineStr">
        <is>
          <t>ALHO PORO</t>
        </is>
      </c>
      <c r="D773" s="111" t="n"/>
      <c r="E773" s="194" t="n">
        <v>0.004</v>
      </c>
      <c r="F773" s="195" t="n">
        <v>0.32</v>
      </c>
      <c r="G773" s="196" t="n">
        <v>0</v>
      </c>
      <c r="H773" s="195" t="n">
        <v>0</v>
      </c>
      <c r="I773" s="195" t="n">
        <v>0</v>
      </c>
      <c r="J773" s="111" t="n"/>
      <c r="K773" s="111" t="n"/>
      <c r="L773" s="111" t="n"/>
      <c r="M773" s="195" t="n">
        <v>0</v>
      </c>
    </row>
    <row r="774" ht="15" customHeight="1">
      <c r="A774" s="107" t="inlineStr">
        <is>
          <t>002081</t>
        </is>
      </c>
      <c r="B774" s="107" t="inlineStr">
        <is>
          <t>000286</t>
        </is>
      </c>
      <c r="C774" s="107" t="inlineStr">
        <is>
          <t>ESPETO BOVINO</t>
        </is>
      </c>
      <c r="D774" s="107" t="n"/>
      <c r="E774" s="191" t="n">
        <v>1</v>
      </c>
      <c r="F774" s="192" t="n">
        <v>4128.4</v>
      </c>
      <c r="G774" s="193" t="n">
        <v>0</v>
      </c>
      <c r="H774" s="192" t="n">
        <v>0</v>
      </c>
      <c r="I774" s="192" t="n">
        <v>0</v>
      </c>
      <c r="J774" s="107" t="n"/>
      <c r="K774" s="107" t="n"/>
      <c r="L774" s="107" t="n"/>
      <c r="M774" s="192" t="n">
        <v>0</v>
      </c>
    </row>
    <row r="775" ht="15" customHeight="1">
      <c r="A775" s="111" t="inlineStr">
        <is>
          <t>002081</t>
        </is>
      </c>
      <c r="B775" s="111" t="inlineStr">
        <is>
          <t>000297</t>
        </is>
      </c>
      <c r="C775" s="111" t="inlineStr">
        <is>
          <t>ESPETO PICANHA C/ GORDURA</t>
        </is>
      </c>
      <c r="D775" s="111" t="n"/>
      <c r="E775" s="194" t="n">
        <v>1</v>
      </c>
      <c r="F775" s="195" t="n">
        <v>0</v>
      </c>
      <c r="G775" s="196" t="n">
        <v>0</v>
      </c>
      <c r="H775" s="195" t="n">
        <v>0</v>
      </c>
      <c r="I775" s="195" t="n">
        <v>0</v>
      </c>
      <c r="J775" s="111" t="n"/>
      <c r="K775" s="111" t="n"/>
      <c r="L775" s="111" t="n"/>
      <c r="M775" s="195" t="n">
        <v>0</v>
      </c>
    </row>
    <row r="776" ht="15" customHeight="1">
      <c r="A776" s="107" t="inlineStr">
        <is>
          <t>002081</t>
        </is>
      </c>
      <c r="B776" s="107" t="inlineStr">
        <is>
          <t>000331</t>
        </is>
      </c>
      <c r="C776" s="107" t="inlineStr">
        <is>
          <t>BARRIL CHOPP BRAHMA CLARO 50LT</t>
        </is>
      </c>
      <c r="D776" s="107" t="n"/>
      <c r="E776" s="191" t="n">
        <v>0.003</v>
      </c>
      <c r="F776" s="192" t="n">
        <v>0</v>
      </c>
      <c r="G776" s="193" t="n">
        <v>0</v>
      </c>
      <c r="H776" s="192" t="n">
        <v>0</v>
      </c>
      <c r="I776" s="192" t="n">
        <v>0</v>
      </c>
      <c r="J776" s="107" t="n"/>
      <c r="K776" s="107" t="n"/>
      <c r="L776" s="107" t="n"/>
      <c r="M776" s="192" t="n">
        <v>0</v>
      </c>
    </row>
    <row r="777" ht="15" customHeight="1">
      <c r="A777" s="111" t="inlineStr">
        <is>
          <t>002081</t>
        </is>
      </c>
      <c r="B777" s="111" t="inlineStr">
        <is>
          <t>000377</t>
        </is>
      </c>
      <c r="C777" s="111" t="inlineStr">
        <is>
          <t>ARROZ TIPO 1</t>
        </is>
      </c>
      <c r="D777" s="111" t="n"/>
      <c r="E777" s="194" t="n">
        <v>0.06</v>
      </c>
      <c r="F777" s="195" t="n">
        <v>0</v>
      </c>
      <c r="G777" s="196" t="n">
        <v>0</v>
      </c>
      <c r="H777" s="195" t="n">
        <v>0</v>
      </c>
      <c r="I777" s="195" t="n">
        <v>0</v>
      </c>
      <c r="J777" s="111" t="n"/>
      <c r="K777" s="111" t="n"/>
      <c r="L777" s="111" t="n"/>
      <c r="M777" s="195" t="n">
        <v>0</v>
      </c>
    </row>
    <row r="778" ht="15" customHeight="1">
      <c r="A778" s="107" t="inlineStr">
        <is>
          <t>002081</t>
        </is>
      </c>
      <c r="B778" s="107" t="inlineStr">
        <is>
          <t>000390</t>
        </is>
      </c>
      <c r="C778" s="107" t="inlineStr">
        <is>
          <t>FARINHA DE TRIGO SOL</t>
        </is>
      </c>
      <c r="D778" s="107" t="n"/>
      <c r="E778" s="191" t="n">
        <v>0.002</v>
      </c>
      <c r="F778" s="192" t="n">
        <v>0</v>
      </c>
      <c r="G778" s="193" t="n">
        <v>0</v>
      </c>
      <c r="H778" s="192" t="n">
        <v>0</v>
      </c>
      <c r="I778" s="192" t="n">
        <v>0</v>
      </c>
      <c r="J778" s="107" t="n"/>
      <c r="K778" s="107" t="n"/>
      <c r="L778" s="107" t="n"/>
      <c r="M778" s="192" t="n">
        <v>0</v>
      </c>
    </row>
    <row r="779" ht="15" customHeight="1">
      <c r="A779" s="111" t="inlineStr">
        <is>
          <t>002081</t>
        </is>
      </c>
      <c r="B779" s="111" t="inlineStr">
        <is>
          <t>000412</t>
        </is>
      </c>
      <c r="C779" s="111" t="inlineStr">
        <is>
          <t>OLEO DE SOJA LIZA 900ML</t>
        </is>
      </c>
      <c r="D779" s="111" t="n"/>
      <c r="E779" s="194" t="n">
        <v>0.06</v>
      </c>
      <c r="F779" s="195" t="n">
        <v>0</v>
      </c>
      <c r="G779" s="196" t="n">
        <v>0</v>
      </c>
      <c r="H779" s="195" t="n">
        <v>0</v>
      </c>
      <c r="I779" s="195" t="n">
        <v>0</v>
      </c>
      <c r="J779" s="111" t="n"/>
      <c r="K779" s="111" t="n"/>
      <c r="L779" s="111" t="n"/>
      <c r="M779" s="195" t="n">
        <v>0</v>
      </c>
    </row>
    <row r="780" ht="15" customHeight="1">
      <c r="A780" s="107" t="inlineStr">
        <is>
          <t>002081</t>
        </is>
      </c>
      <c r="B780" s="107" t="inlineStr">
        <is>
          <t>000414</t>
        </is>
      </c>
      <c r="C780" s="107" t="inlineStr">
        <is>
          <t>PIMENTA DO REINO MOIDA</t>
        </is>
      </c>
      <c r="D780" s="107" t="n"/>
      <c r="E780" s="191" t="n">
        <v>0.0005999999999999999</v>
      </c>
      <c r="F780" s="192" t="n">
        <v>0</v>
      </c>
      <c r="G780" s="193" t="n">
        <v>0</v>
      </c>
      <c r="H780" s="192" t="n">
        <v>0</v>
      </c>
      <c r="I780" s="192" t="n">
        <v>0</v>
      </c>
      <c r="J780" s="107" t="n"/>
      <c r="K780" s="107" t="n"/>
      <c r="L780" s="107" t="n"/>
      <c r="M780" s="192" t="n">
        <v>0</v>
      </c>
    </row>
    <row r="781" ht="15" customHeight="1">
      <c r="A781" s="111" t="inlineStr">
        <is>
          <t>002081</t>
        </is>
      </c>
      <c r="B781" s="111" t="inlineStr">
        <is>
          <t>000424</t>
        </is>
      </c>
      <c r="C781" s="111" t="inlineStr">
        <is>
          <t>VINAGRE AGRIN BRANCO NEVAL GARRAFA 750ML</t>
        </is>
      </c>
      <c r="D781" s="111" t="n"/>
      <c r="E781" s="194" t="n">
        <v>0.007</v>
      </c>
      <c r="F781" s="195" t="n">
        <v>0</v>
      </c>
      <c r="G781" s="196" t="n">
        <v>0</v>
      </c>
      <c r="H781" s="195" t="n">
        <v>0</v>
      </c>
      <c r="I781" s="195" t="n">
        <v>0</v>
      </c>
      <c r="J781" s="111" t="n"/>
      <c r="K781" s="111" t="n"/>
      <c r="L781" s="111" t="n"/>
      <c r="M781" s="195" t="n">
        <v>0</v>
      </c>
    </row>
    <row r="782" ht="15" customHeight="1">
      <c r="A782" s="107" t="inlineStr">
        <is>
          <t>002081</t>
        </is>
      </c>
      <c r="B782" s="107" t="inlineStr">
        <is>
          <t>000426</t>
        </is>
      </c>
      <c r="C782" s="107" t="inlineStr">
        <is>
          <t>BACON EM CUBOS</t>
        </is>
      </c>
      <c r="D782" s="107" t="n"/>
      <c r="E782" s="191" t="n">
        <v>0.004</v>
      </c>
      <c r="F782" s="192" t="n">
        <v>0</v>
      </c>
      <c r="G782" s="193" t="n">
        <v>0</v>
      </c>
      <c r="H782" s="192" t="n">
        <v>0</v>
      </c>
      <c r="I782" s="192" t="n">
        <v>0</v>
      </c>
      <c r="J782" s="107" t="n"/>
      <c r="K782" s="107" t="n"/>
      <c r="L782" s="107" t="n"/>
      <c r="M782" s="192" t="n">
        <v>0</v>
      </c>
    </row>
    <row r="783" ht="15" customHeight="1">
      <c r="A783" s="111" t="inlineStr">
        <is>
          <t>002081</t>
        </is>
      </c>
      <c r="B783" s="111" t="inlineStr">
        <is>
          <t>000463</t>
        </is>
      </c>
      <c r="C783" s="111" t="inlineStr">
        <is>
          <t>ALHO DESCASCADO</t>
        </is>
      </c>
      <c r="D783" s="111" t="n"/>
      <c r="E783" s="194" t="n">
        <v>0.001</v>
      </c>
      <c r="F783" s="195" t="n">
        <v>0</v>
      </c>
      <c r="G783" s="196" t="n">
        <v>0</v>
      </c>
      <c r="H783" s="195" t="n">
        <v>0</v>
      </c>
      <c r="I783" s="195" t="n">
        <v>0</v>
      </c>
      <c r="J783" s="111" t="n"/>
      <c r="K783" s="111" t="n"/>
      <c r="L783" s="111" t="n"/>
      <c r="M783" s="195" t="n">
        <v>0</v>
      </c>
    </row>
    <row r="784" ht="15" customHeight="1">
      <c r="A784" s="107" t="inlineStr">
        <is>
          <t>002081</t>
        </is>
      </c>
      <c r="B784" s="107" t="inlineStr">
        <is>
          <t>000468</t>
        </is>
      </c>
      <c r="C784" s="107" t="inlineStr">
        <is>
          <t>CEBOLA MEDIA</t>
        </is>
      </c>
      <c r="D784" s="107" t="n"/>
      <c r="E784" s="191" t="n">
        <v>0.013</v>
      </c>
      <c r="F784" s="192" t="n">
        <v>0</v>
      </c>
      <c r="G784" s="193" t="n">
        <v>0</v>
      </c>
      <c r="H784" s="192" t="n">
        <v>0</v>
      </c>
      <c r="I784" s="192" t="n">
        <v>0</v>
      </c>
      <c r="J784" s="107" t="n"/>
      <c r="K784" s="107" t="n"/>
      <c r="L784" s="107" t="n"/>
      <c r="M784" s="192" t="n">
        <v>0</v>
      </c>
    </row>
    <row r="785" ht="15" customHeight="1">
      <c r="A785" s="111" t="inlineStr">
        <is>
          <t>002081</t>
        </is>
      </c>
      <c r="B785" s="111" t="inlineStr">
        <is>
          <t>000475</t>
        </is>
      </c>
      <c r="C785" s="111" t="inlineStr">
        <is>
          <t>FOLHA DE LOURO</t>
        </is>
      </c>
      <c r="D785" s="111" t="n"/>
      <c r="E785" s="194" t="n">
        <v>0.002</v>
      </c>
      <c r="F785" s="195" t="n">
        <v>0</v>
      </c>
      <c r="G785" s="196" t="n">
        <v>0</v>
      </c>
      <c r="H785" s="195" t="n">
        <v>0</v>
      </c>
      <c r="I785" s="195" t="n">
        <v>0</v>
      </c>
      <c r="J785" s="111" t="n"/>
      <c r="K785" s="111" t="n"/>
      <c r="L785" s="111" t="n"/>
      <c r="M785" s="195" t="n">
        <v>0</v>
      </c>
    </row>
    <row r="786" ht="15" customHeight="1">
      <c r="A786" s="107" t="inlineStr">
        <is>
          <t>002081</t>
        </is>
      </c>
      <c r="B786" s="107" t="inlineStr">
        <is>
          <t>000484</t>
        </is>
      </c>
      <c r="C786" s="107" t="inlineStr">
        <is>
          <t>SALSA LISA INDUSTRIAL</t>
        </is>
      </c>
      <c r="D786" s="107" t="n"/>
      <c r="E786" s="191" t="n">
        <v>0.008999999999999999</v>
      </c>
      <c r="F786" s="192" t="n">
        <v>0</v>
      </c>
      <c r="G786" s="193" t="n">
        <v>0</v>
      </c>
      <c r="H786" s="192" t="n">
        <v>0</v>
      </c>
      <c r="I786" s="192" t="n">
        <v>0</v>
      </c>
      <c r="J786" s="107" t="n"/>
      <c r="K786" s="107" t="n"/>
      <c r="L786" s="107" t="n"/>
      <c r="M786" s="192" t="n">
        <v>0</v>
      </c>
    </row>
    <row r="787" ht="15" customHeight="1">
      <c r="A787" s="111" t="inlineStr">
        <is>
          <t>002081</t>
        </is>
      </c>
      <c r="B787" s="111" t="inlineStr">
        <is>
          <t>000486</t>
        </is>
      </c>
      <c r="C787" s="111" t="inlineStr">
        <is>
          <t>TOMATE SALADA</t>
        </is>
      </c>
      <c r="D787" s="111" t="n"/>
      <c r="E787" s="194" t="n">
        <v>0.026</v>
      </c>
      <c r="F787" s="195" t="n">
        <v>0</v>
      </c>
      <c r="G787" s="196" t="n">
        <v>0</v>
      </c>
      <c r="H787" s="195" t="n">
        <v>0</v>
      </c>
      <c r="I787" s="195" t="n">
        <v>0</v>
      </c>
      <c r="J787" s="111" t="n"/>
      <c r="K787" s="111" t="n"/>
      <c r="L787" s="111" t="n"/>
      <c r="M787" s="195" t="n">
        <v>0</v>
      </c>
    </row>
    <row r="788" ht="15" customHeight="1">
      <c r="A788" s="107" t="inlineStr">
        <is>
          <t>002081</t>
        </is>
      </c>
      <c r="B788" s="107" t="inlineStr">
        <is>
          <t>000614</t>
        </is>
      </c>
      <c r="C788" s="107" t="inlineStr">
        <is>
          <t>SAL REFINADO</t>
        </is>
      </c>
      <c r="D788" s="107" t="n"/>
      <c r="E788" s="191" t="n">
        <v>0.008999999999999999</v>
      </c>
      <c r="F788" s="192" t="n">
        <v>0</v>
      </c>
      <c r="G788" s="193" t="n">
        <v>0</v>
      </c>
      <c r="H788" s="192" t="n">
        <v>0</v>
      </c>
      <c r="I788" s="192" t="n">
        <v>0</v>
      </c>
      <c r="J788" s="107" t="n"/>
      <c r="K788" s="107" t="n"/>
      <c r="L788" s="107" t="n"/>
      <c r="M788" s="192" t="n">
        <v>0</v>
      </c>
    </row>
    <row r="789" ht="15" customHeight="1">
      <c r="A789" s="111" t="inlineStr">
        <is>
          <t>002081</t>
        </is>
      </c>
      <c r="B789" s="111" t="inlineStr">
        <is>
          <t>000667</t>
        </is>
      </c>
      <c r="C789" s="111" t="inlineStr">
        <is>
          <t>TOMILHO</t>
        </is>
      </c>
      <c r="D789" s="111" t="n"/>
      <c r="E789" s="194" t="n">
        <v>0.001</v>
      </c>
      <c r="F789" s="195" t="n">
        <v>0</v>
      </c>
      <c r="G789" s="196" t="n">
        <v>0</v>
      </c>
      <c r="H789" s="195" t="n">
        <v>0</v>
      </c>
      <c r="I789" s="195" t="n">
        <v>0</v>
      </c>
      <c r="J789" s="111" t="n"/>
      <c r="K789" s="111" t="n"/>
      <c r="L789" s="111" t="n"/>
      <c r="M789" s="195" t="n">
        <v>0</v>
      </c>
    </row>
    <row r="790" ht="15" customHeight="1">
      <c r="A790" s="107" t="inlineStr">
        <is>
          <t>002081</t>
        </is>
      </c>
      <c r="B790" s="107" t="inlineStr">
        <is>
          <t>000668</t>
        </is>
      </c>
      <c r="C790" s="107" t="inlineStr">
        <is>
          <t>ALECRIM</t>
        </is>
      </c>
      <c r="D790" s="107" t="n"/>
      <c r="E790" s="191" t="n">
        <v>0.001</v>
      </c>
      <c r="F790" s="192" t="n">
        <v>0</v>
      </c>
      <c r="G790" s="193" t="n">
        <v>0</v>
      </c>
      <c r="H790" s="192" t="n">
        <v>0</v>
      </c>
      <c r="I790" s="192" t="n">
        <v>0</v>
      </c>
      <c r="J790" s="107" t="n"/>
      <c r="K790" s="107" t="n"/>
      <c r="L790" s="107" t="n"/>
      <c r="M790" s="192" t="n">
        <v>0</v>
      </c>
    </row>
    <row r="791" ht="15" customHeight="1">
      <c r="A791" s="111" t="inlineStr">
        <is>
          <t>002081</t>
        </is>
      </c>
      <c r="B791" s="111" t="inlineStr">
        <is>
          <t>000747</t>
        </is>
      </c>
      <c r="C791" s="111" t="inlineStr">
        <is>
          <t>AZEITE OLEO COMPOSTO 5 LITROS</t>
        </is>
      </c>
      <c r="D791" s="111" t="n"/>
      <c r="E791" s="194" t="n">
        <v>0.013</v>
      </c>
      <c r="F791" s="195" t="n">
        <v>0</v>
      </c>
      <c r="G791" s="196" t="n">
        <v>0</v>
      </c>
      <c r="H791" s="195" t="n">
        <v>0</v>
      </c>
      <c r="I791" s="195" t="n">
        <v>0</v>
      </c>
      <c r="J791" s="111" t="n"/>
      <c r="K791" s="111" t="n"/>
      <c r="L791" s="111" t="n"/>
      <c r="M791" s="195" t="n">
        <v>0</v>
      </c>
    </row>
    <row r="792" ht="15" customHeight="1">
      <c r="A792" s="107" t="inlineStr">
        <is>
          <t>002081</t>
        </is>
      </c>
      <c r="B792" s="107" t="inlineStr">
        <is>
          <t>002067</t>
        </is>
      </c>
      <c r="C792" s="107" t="inlineStr">
        <is>
          <t>FARINHA PANKO EMPANAR</t>
        </is>
      </c>
      <c r="D792" s="107" t="n"/>
      <c r="E792" s="191" t="n">
        <v>0.02</v>
      </c>
      <c r="F792" s="192" t="n">
        <v>0</v>
      </c>
      <c r="G792" s="193" t="n">
        <v>0</v>
      </c>
      <c r="H792" s="192" t="n">
        <v>0</v>
      </c>
      <c r="I792" s="192" t="n">
        <v>0</v>
      </c>
      <c r="J792" s="107" t="n"/>
      <c r="K792" s="107" t="n"/>
      <c r="L792" s="107" t="n"/>
      <c r="M792" s="192" t="n">
        <v>0</v>
      </c>
    </row>
    <row r="793" ht="15" customHeight="1">
      <c r="A793" s="111" t="inlineStr">
        <is>
          <t>002081</t>
        </is>
      </c>
      <c r="B793" s="111" t="inlineStr">
        <is>
          <t>002068</t>
        </is>
      </c>
      <c r="C793" s="111" t="inlineStr">
        <is>
          <t>MANTEIGA S/SAL 5KG</t>
        </is>
      </c>
      <c r="D793" s="111" t="n"/>
      <c r="E793" s="194" t="n">
        <v>0.008999999999999999</v>
      </c>
      <c r="F793" s="195" t="n">
        <v>0</v>
      </c>
      <c r="G793" s="196" t="n">
        <v>0</v>
      </c>
      <c r="H793" s="195" t="n">
        <v>0</v>
      </c>
      <c r="I793" s="195" t="n">
        <v>0</v>
      </c>
      <c r="J793" s="111" t="n"/>
      <c r="K793" s="111" t="n"/>
      <c r="L793" s="111" t="n"/>
      <c r="M793" s="195" t="n">
        <v>0</v>
      </c>
    </row>
    <row r="794" ht="15" customHeight="1">
      <c r="A794" s="107" t="inlineStr">
        <is>
          <t>002081</t>
        </is>
      </c>
      <c r="B794" s="107" t="inlineStr">
        <is>
          <t>002070</t>
        </is>
      </c>
      <c r="C794" s="107" t="inlineStr">
        <is>
          <t>ALHO PORO</t>
        </is>
      </c>
      <c r="D794" s="107" t="n"/>
      <c r="E794" s="191" t="n">
        <v>0.004</v>
      </c>
      <c r="F794" s="192" t="n">
        <v>0</v>
      </c>
      <c r="G794" s="193" t="n">
        <v>0</v>
      </c>
      <c r="H794" s="192" t="n">
        <v>0</v>
      </c>
      <c r="I794" s="192" t="n">
        <v>0</v>
      </c>
      <c r="J794" s="107" t="n"/>
      <c r="K794" s="107" t="n"/>
      <c r="L794" s="107" t="n"/>
      <c r="M794" s="192" t="n">
        <v>0</v>
      </c>
    </row>
    <row r="795" ht="15" customHeight="1">
      <c r="A795" s="111" t="inlineStr">
        <is>
          <t>002082</t>
        </is>
      </c>
      <c r="B795" s="111" t="inlineStr">
        <is>
          <t>000291</t>
        </is>
      </c>
      <c r="C795" s="111" t="inlineStr">
        <is>
          <t>ESPETO FRANGO</t>
        </is>
      </c>
      <c r="D795" s="111" t="n"/>
      <c r="E795" s="194" t="n">
        <v>1</v>
      </c>
      <c r="F795" s="195" t="n">
        <v>247.94</v>
      </c>
      <c r="G795" s="196" t="n">
        <v>0</v>
      </c>
      <c r="H795" s="195" t="n">
        <v>0</v>
      </c>
      <c r="I795" s="195" t="n">
        <v>0</v>
      </c>
      <c r="J795" s="111" t="n"/>
      <c r="K795" s="111" t="n"/>
      <c r="L795" s="111" t="n"/>
      <c r="M795" s="195" t="n">
        <v>0</v>
      </c>
    </row>
    <row r="796" ht="15" customHeight="1">
      <c r="A796" s="107" t="inlineStr">
        <is>
          <t>002082</t>
        </is>
      </c>
      <c r="B796" s="107" t="inlineStr">
        <is>
          <t>000377</t>
        </is>
      </c>
      <c r="C796" s="107" t="inlineStr">
        <is>
          <t>ARROZ TIPO 1</t>
        </is>
      </c>
      <c r="D796" s="107" t="n"/>
      <c r="E796" s="191" t="n">
        <v>0.15</v>
      </c>
      <c r="F796" s="192" t="n">
        <v>363.44</v>
      </c>
      <c r="G796" s="193" t="n">
        <v>0</v>
      </c>
      <c r="H796" s="192" t="n">
        <v>0</v>
      </c>
      <c r="I796" s="192" t="n">
        <v>0</v>
      </c>
      <c r="J796" s="107" t="n"/>
      <c r="K796" s="107" t="n"/>
      <c r="L796" s="107" t="n"/>
      <c r="M796" s="192" t="n">
        <v>0</v>
      </c>
    </row>
    <row r="797" ht="15" customHeight="1">
      <c r="A797" s="111" t="inlineStr">
        <is>
          <t>002082</t>
        </is>
      </c>
      <c r="B797" s="111" t="inlineStr">
        <is>
          <t>000412</t>
        </is>
      </c>
      <c r="C797" s="111" t="inlineStr">
        <is>
          <t>OLEO DE SOJA LIZA 900ML</t>
        </is>
      </c>
      <c r="D797" s="111" t="n"/>
      <c r="E797" s="194" t="n">
        <v>0.042</v>
      </c>
      <c r="F797" s="195" t="n">
        <v>469.39</v>
      </c>
      <c r="G797" s="196" t="n">
        <v>0</v>
      </c>
      <c r="H797" s="195" t="n">
        <v>0</v>
      </c>
      <c r="I797" s="195" t="n">
        <v>0</v>
      </c>
      <c r="J797" s="111" t="n"/>
      <c r="K797" s="111" t="n"/>
      <c r="L797" s="111" t="n"/>
      <c r="M797" s="195" t="n">
        <v>0</v>
      </c>
    </row>
    <row r="798" ht="15" customHeight="1">
      <c r="A798" s="107" t="inlineStr">
        <is>
          <t>002082</t>
        </is>
      </c>
      <c r="B798" s="107" t="inlineStr">
        <is>
          <t>000424</t>
        </is>
      </c>
      <c r="C798" s="107" t="inlineStr">
        <is>
          <t>VINAGRE AGRIN BRANCO NEVAL GARRAFA 750ML</t>
        </is>
      </c>
      <c r="D798" s="107" t="n"/>
      <c r="E798" s="191" t="n">
        <v>0.017</v>
      </c>
      <c r="F798" s="192" t="n">
        <v>71.51000000000001</v>
      </c>
      <c r="G798" s="193" t="n">
        <v>0</v>
      </c>
      <c r="H798" s="192" t="n">
        <v>0</v>
      </c>
      <c r="I798" s="192" t="n">
        <v>0</v>
      </c>
      <c r="J798" s="107" t="n"/>
      <c r="K798" s="107" t="n"/>
      <c r="L798" s="107" t="n"/>
      <c r="M798" s="192" t="n">
        <v>0</v>
      </c>
    </row>
    <row r="799" ht="15" customHeight="1">
      <c r="A799" s="111" t="inlineStr">
        <is>
          <t>002082</t>
        </is>
      </c>
      <c r="B799" s="111" t="inlineStr">
        <is>
          <t>000426</t>
        </is>
      </c>
      <c r="C799" s="111" t="inlineStr">
        <is>
          <t>BACON EM CUBOS</t>
        </is>
      </c>
      <c r="D799" s="111" t="n"/>
      <c r="E799" s="194" t="n">
        <v>0.017</v>
      </c>
      <c r="F799" s="195" t="n">
        <v>397.76</v>
      </c>
      <c r="G799" s="196" t="n">
        <v>0</v>
      </c>
      <c r="H799" s="195" t="n">
        <v>0</v>
      </c>
      <c r="I799" s="195" t="n">
        <v>0</v>
      </c>
      <c r="J799" s="111" t="n"/>
      <c r="K799" s="111" t="n"/>
      <c r="L799" s="111" t="n"/>
      <c r="M799" s="195" t="n">
        <v>0</v>
      </c>
    </row>
    <row r="800" ht="15" customHeight="1">
      <c r="A800" s="107" t="inlineStr">
        <is>
          <t>002082</t>
        </is>
      </c>
      <c r="B800" s="107" t="inlineStr">
        <is>
          <t>000437</t>
        </is>
      </c>
      <c r="C800" s="107" t="inlineStr">
        <is>
          <t>CHOCOLATE GAROTO BARRA 2,1KG</t>
        </is>
      </c>
      <c r="D800" s="107" t="n"/>
      <c r="E800" s="191" t="n">
        <v>0.03</v>
      </c>
      <c r="F800" s="192" t="n">
        <v>109.91</v>
      </c>
      <c r="G800" s="193" t="n">
        <v>0</v>
      </c>
      <c r="H800" s="192" t="n">
        <v>0</v>
      </c>
      <c r="I800" s="192" t="n">
        <v>0</v>
      </c>
      <c r="J800" s="107" t="n"/>
      <c r="K800" s="107" t="n"/>
      <c r="L800" s="107" t="n"/>
      <c r="M800" s="192" t="n">
        <v>0</v>
      </c>
    </row>
    <row r="801" ht="15" customHeight="1">
      <c r="A801" s="111" t="inlineStr">
        <is>
          <t>002082</t>
        </is>
      </c>
      <c r="B801" s="111" t="inlineStr">
        <is>
          <t>000463</t>
        </is>
      </c>
      <c r="C801" s="111" t="inlineStr">
        <is>
          <t>ALHO DESCASCADO</t>
        </is>
      </c>
      <c r="D801" s="111" t="n"/>
      <c r="E801" s="194" t="n">
        <v>0.003</v>
      </c>
      <c r="F801" s="195" t="n">
        <v>14.86</v>
      </c>
      <c r="G801" s="196" t="n">
        <v>0</v>
      </c>
      <c r="H801" s="195" t="n">
        <v>0</v>
      </c>
      <c r="I801" s="195" t="n">
        <v>0</v>
      </c>
      <c r="J801" s="111" t="n"/>
      <c r="K801" s="111" t="n"/>
      <c r="L801" s="111" t="n"/>
      <c r="M801" s="195" t="n">
        <v>0</v>
      </c>
    </row>
    <row r="802" ht="15" customHeight="1">
      <c r="A802" s="107" t="inlineStr">
        <is>
          <t>002082</t>
        </is>
      </c>
      <c r="B802" s="107" t="inlineStr">
        <is>
          <t>000468</t>
        </is>
      </c>
      <c r="C802" s="107" t="inlineStr">
        <is>
          <t>CEBOLA MEDIA</t>
        </is>
      </c>
      <c r="D802" s="107" t="n"/>
      <c r="E802" s="191" t="n">
        <v>0.029</v>
      </c>
      <c r="F802" s="192" t="n">
        <v>18.62</v>
      </c>
      <c r="G802" s="193" t="n">
        <v>0</v>
      </c>
      <c r="H802" s="192" t="n">
        <v>0</v>
      </c>
      <c r="I802" s="192" t="n">
        <v>0</v>
      </c>
      <c r="J802" s="107" t="n"/>
      <c r="K802" s="107" t="n"/>
      <c r="L802" s="107" t="n"/>
      <c r="M802" s="192" t="n">
        <v>0</v>
      </c>
    </row>
    <row r="803" ht="15" customHeight="1">
      <c r="A803" s="111" t="inlineStr">
        <is>
          <t>002082</t>
        </is>
      </c>
      <c r="B803" s="111" t="inlineStr">
        <is>
          <t>000484</t>
        </is>
      </c>
      <c r="C803" s="111" t="inlineStr">
        <is>
          <t>SALSA LISA INDUSTRIAL</t>
        </is>
      </c>
      <c r="D803" s="111" t="n"/>
      <c r="E803" s="194" t="n">
        <v>0.022</v>
      </c>
      <c r="F803" s="195" t="n">
        <v>9.31</v>
      </c>
      <c r="G803" s="196" t="n">
        <v>0</v>
      </c>
      <c r="H803" s="195" t="n">
        <v>0</v>
      </c>
      <c r="I803" s="195" t="n">
        <v>0</v>
      </c>
      <c r="J803" s="111" t="n"/>
      <c r="K803" s="111" t="n"/>
      <c r="L803" s="111" t="n"/>
      <c r="M803" s="195" t="n">
        <v>0</v>
      </c>
    </row>
    <row r="804" ht="15" customHeight="1">
      <c r="A804" s="107" t="inlineStr">
        <is>
          <t>002082</t>
        </is>
      </c>
      <c r="B804" s="107" t="inlineStr">
        <is>
          <t>000486</t>
        </is>
      </c>
      <c r="C804" s="107" t="inlineStr">
        <is>
          <t>TOMATE SALADA</t>
        </is>
      </c>
      <c r="D804" s="107" t="n"/>
      <c r="E804" s="191" t="n">
        <v>0.058</v>
      </c>
      <c r="F804" s="192" t="n">
        <v>40.34</v>
      </c>
      <c r="G804" s="193" t="n">
        <v>0</v>
      </c>
      <c r="H804" s="192" t="n">
        <v>0</v>
      </c>
      <c r="I804" s="192" t="n">
        <v>0</v>
      </c>
      <c r="J804" s="107" t="n"/>
      <c r="K804" s="107" t="n"/>
      <c r="L804" s="107" t="n"/>
      <c r="M804" s="192" t="n">
        <v>0</v>
      </c>
    </row>
    <row r="805" ht="15" customHeight="1">
      <c r="A805" s="111" t="inlineStr">
        <is>
          <t>002082</t>
        </is>
      </c>
      <c r="B805" s="111" t="inlineStr">
        <is>
          <t>000590</t>
        </is>
      </c>
      <c r="C805" s="111" t="inlineStr">
        <is>
          <t>MORANGO FRUTA</t>
        </is>
      </c>
      <c r="D805" s="111" t="n"/>
      <c r="E805" s="194" t="n">
        <v>0.08</v>
      </c>
      <c r="F805" s="195" t="n">
        <v>676.48</v>
      </c>
      <c r="G805" s="196" t="n">
        <v>0</v>
      </c>
      <c r="H805" s="195" t="n">
        <v>0</v>
      </c>
      <c r="I805" s="195" t="n">
        <v>0</v>
      </c>
      <c r="J805" s="111" t="n"/>
      <c r="K805" s="111" t="n"/>
      <c r="L805" s="111" t="n"/>
      <c r="M805" s="195" t="n">
        <v>0</v>
      </c>
    </row>
    <row r="806" ht="15" customHeight="1">
      <c r="A806" s="107" t="inlineStr">
        <is>
          <t>002082</t>
        </is>
      </c>
      <c r="B806" s="107" t="inlineStr">
        <is>
          <t>000614</t>
        </is>
      </c>
      <c r="C806" s="107" t="inlineStr">
        <is>
          <t>SAL REFINADO</t>
        </is>
      </c>
      <c r="D806" s="107" t="n"/>
      <c r="E806" s="191" t="n">
        <v>0.008999999999999999</v>
      </c>
      <c r="F806" s="192" t="n">
        <v>0.85</v>
      </c>
      <c r="G806" s="193" t="n">
        <v>0</v>
      </c>
      <c r="H806" s="192" t="n">
        <v>0</v>
      </c>
      <c r="I806" s="192" t="n">
        <v>0</v>
      </c>
      <c r="J806" s="107" t="n"/>
      <c r="K806" s="107" t="n"/>
      <c r="L806" s="107" t="n"/>
      <c r="M806" s="192" t="n">
        <v>0</v>
      </c>
    </row>
    <row r="807" ht="15" customHeight="1">
      <c r="A807" s="111" t="inlineStr">
        <is>
          <t>002082</t>
        </is>
      </c>
      <c r="B807" s="111" t="inlineStr">
        <is>
          <t>000747</t>
        </is>
      </c>
      <c r="C807" s="111" t="inlineStr">
        <is>
          <t>AZEITE OLEO COMPOSTO 5 LITROS</t>
        </is>
      </c>
      <c r="D807" s="111" t="n"/>
      <c r="E807" s="194" t="n">
        <v>0.029</v>
      </c>
      <c r="F807" s="195" t="n">
        <v>411.96</v>
      </c>
      <c r="G807" s="196" t="n">
        <v>0</v>
      </c>
      <c r="H807" s="195" t="n">
        <v>0</v>
      </c>
      <c r="I807" s="195" t="n">
        <v>0</v>
      </c>
      <c r="J807" s="111" t="n"/>
      <c r="K807" s="111" t="n"/>
      <c r="L807" s="111" t="n"/>
      <c r="M807" s="195" t="n">
        <v>0</v>
      </c>
    </row>
    <row r="808" ht="15" customHeight="1">
      <c r="A808" s="107" t="inlineStr">
        <is>
          <t>002082</t>
        </is>
      </c>
      <c r="B808" s="107" t="inlineStr">
        <is>
          <t>002067</t>
        </is>
      </c>
      <c r="C808" s="107" t="inlineStr">
        <is>
          <t>FARINHA PANKO EMPANAR</t>
        </is>
      </c>
      <c r="D808" s="107" t="n"/>
      <c r="E808" s="191" t="n">
        <v>0.147</v>
      </c>
      <c r="F808" s="192" t="n">
        <v>0</v>
      </c>
      <c r="G808" s="193" t="n">
        <v>0</v>
      </c>
      <c r="H808" s="192" t="n">
        <v>0</v>
      </c>
      <c r="I808" s="192" t="n">
        <v>0</v>
      </c>
      <c r="J808" s="107" t="n"/>
      <c r="K808" s="107" t="n"/>
      <c r="L808" s="107" t="n"/>
      <c r="M808" s="192" t="n">
        <v>0</v>
      </c>
    </row>
    <row r="809" ht="15" customHeight="1">
      <c r="A809" s="111" t="inlineStr">
        <is>
          <t>002083</t>
        </is>
      </c>
      <c r="B809" s="111" t="inlineStr">
        <is>
          <t>000286</t>
        </is>
      </c>
      <c r="C809" s="111" t="inlineStr">
        <is>
          <t>ESPETO BOVINO</t>
        </is>
      </c>
      <c r="D809" s="111" t="n"/>
      <c r="E809" s="194" t="n">
        <v>1</v>
      </c>
      <c r="F809" s="195" t="n">
        <v>4128.4</v>
      </c>
      <c r="G809" s="196" t="n">
        <v>0</v>
      </c>
      <c r="H809" s="195" t="n">
        <v>0</v>
      </c>
      <c r="I809" s="195" t="n">
        <v>0</v>
      </c>
      <c r="J809" s="111" t="n"/>
      <c r="K809" s="111" t="n"/>
      <c r="L809" s="111" t="n"/>
      <c r="M809" s="195" t="n">
        <v>0</v>
      </c>
    </row>
    <row r="810" ht="15" customHeight="1">
      <c r="A810" s="107" t="inlineStr">
        <is>
          <t>002083</t>
        </is>
      </c>
      <c r="B810" s="107" t="inlineStr">
        <is>
          <t>000377</t>
        </is>
      </c>
      <c r="C810" s="107" t="inlineStr">
        <is>
          <t>ARROZ TIPO 1</t>
        </is>
      </c>
      <c r="D810" s="107" t="n"/>
      <c r="E810" s="191" t="n">
        <v>0.15</v>
      </c>
      <c r="F810" s="192" t="n">
        <v>363.44</v>
      </c>
      <c r="G810" s="193" t="n">
        <v>0</v>
      </c>
      <c r="H810" s="192" t="n">
        <v>0</v>
      </c>
      <c r="I810" s="192" t="n">
        <v>0</v>
      </c>
      <c r="J810" s="107" t="n"/>
      <c r="K810" s="107" t="n"/>
      <c r="L810" s="107" t="n"/>
      <c r="M810" s="192" t="n">
        <v>0</v>
      </c>
    </row>
    <row r="811" ht="15" customHeight="1">
      <c r="A811" s="111" t="inlineStr">
        <is>
          <t>002083</t>
        </is>
      </c>
      <c r="B811" s="111" t="inlineStr">
        <is>
          <t>000412</t>
        </is>
      </c>
      <c r="C811" s="111" t="inlineStr">
        <is>
          <t>OLEO DE SOJA LIZA 900ML</t>
        </is>
      </c>
      <c r="D811" s="111" t="n"/>
      <c r="E811" s="194" t="n">
        <v>0.042</v>
      </c>
      <c r="F811" s="195" t="n">
        <v>469.39</v>
      </c>
      <c r="G811" s="196" t="n">
        <v>0</v>
      </c>
      <c r="H811" s="195" t="n">
        <v>0</v>
      </c>
      <c r="I811" s="195" t="n">
        <v>0</v>
      </c>
      <c r="J811" s="111" t="n"/>
      <c r="K811" s="111" t="n"/>
      <c r="L811" s="111" t="n"/>
      <c r="M811" s="195" t="n">
        <v>0</v>
      </c>
    </row>
    <row r="812" ht="15" customHeight="1">
      <c r="A812" s="107" t="inlineStr">
        <is>
          <t>002083</t>
        </is>
      </c>
      <c r="B812" s="107" t="inlineStr">
        <is>
          <t>000424</t>
        </is>
      </c>
      <c r="C812" s="107" t="inlineStr">
        <is>
          <t>VINAGRE AGRIN BRANCO NEVAL GARRAFA 750ML</t>
        </is>
      </c>
      <c r="D812" s="107" t="n"/>
      <c r="E812" s="191" t="n">
        <v>0.017</v>
      </c>
      <c r="F812" s="192" t="n">
        <v>71.51000000000001</v>
      </c>
      <c r="G812" s="193" t="n">
        <v>0</v>
      </c>
      <c r="H812" s="192" t="n">
        <v>0</v>
      </c>
      <c r="I812" s="192" t="n">
        <v>0</v>
      </c>
      <c r="J812" s="107" t="n"/>
      <c r="K812" s="107" t="n"/>
      <c r="L812" s="107" t="n"/>
      <c r="M812" s="192" t="n">
        <v>0</v>
      </c>
    </row>
    <row r="813" ht="15" customHeight="1">
      <c r="A813" s="111" t="inlineStr">
        <is>
          <t>002083</t>
        </is>
      </c>
      <c r="B813" s="111" t="inlineStr">
        <is>
          <t>000426</t>
        </is>
      </c>
      <c r="C813" s="111" t="inlineStr">
        <is>
          <t>BACON EM CUBOS</t>
        </is>
      </c>
      <c r="D813" s="111" t="n"/>
      <c r="E813" s="194" t="n">
        <v>0.017</v>
      </c>
      <c r="F813" s="195" t="n">
        <v>397.76</v>
      </c>
      <c r="G813" s="196" t="n">
        <v>0</v>
      </c>
      <c r="H813" s="195" t="n">
        <v>0</v>
      </c>
      <c r="I813" s="195" t="n">
        <v>0</v>
      </c>
      <c r="J813" s="111" t="n"/>
      <c r="K813" s="111" t="n"/>
      <c r="L813" s="111" t="n"/>
      <c r="M813" s="195" t="n">
        <v>0</v>
      </c>
    </row>
    <row r="814" ht="15" customHeight="1">
      <c r="A814" s="107" t="inlineStr">
        <is>
          <t>002083</t>
        </is>
      </c>
      <c r="B814" s="107" t="inlineStr">
        <is>
          <t>000437</t>
        </is>
      </c>
      <c r="C814" s="107" t="inlineStr">
        <is>
          <t>CHOCOLATE GAROTO BARRA 2,1KG</t>
        </is>
      </c>
      <c r="D814" s="107" t="n"/>
      <c r="E814" s="191" t="n">
        <v>0.03</v>
      </c>
      <c r="F814" s="192" t="n">
        <v>109.91</v>
      </c>
      <c r="G814" s="193" t="n">
        <v>0</v>
      </c>
      <c r="H814" s="192" t="n">
        <v>0</v>
      </c>
      <c r="I814" s="192" t="n">
        <v>0</v>
      </c>
      <c r="J814" s="107" t="n"/>
      <c r="K814" s="107" t="n"/>
      <c r="L814" s="107" t="n"/>
      <c r="M814" s="192" t="n">
        <v>0</v>
      </c>
    </row>
    <row r="815" ht="15" customHeight="1">
      <c r="A815" s="111" t="inlineStr">
        <is>
          <t>002083</t>
        </is>
      </c>
      <c r="B815" s="111" t="inlineStr">
        <is>
          <t>000463</t>
        </is>
      </c>
      <c r="C815" s="111" t="inlineStr">
        <is>
          <t>ALHO DESCASCADO</t>
        </is>
      </c>
      <c r="D815" s="111" t="n"/>
      <c r="E815" s="194" t="n">
        <v>0.003</v>
      </c>
      <c r="F815" s="195" t="n">
        <v>14.86</v>
      </c>
      <c r="G815" s="196" t="n">
        <v>0</v>
      </c>
      <c r="H815" s="195" t="n">
        <v>0</v>
      </c>
      <c r="I815" s="195" t="n">
        <v>0</v>
      </c>
      <c r="J815" s="111" t="n"/>
      <c r="K815" s="111" t="n"/>
      <c r="L815" s="111" t="n"/>
      <c r="M815" s="195" t="n">
        <v>0</v>
      </c>
    </row>
    <row r="816" ht="15" customHeight="1">
      <c r="A816" s="107" t="inlineStr">
        <is>
          <t>002083</t>
        </is>
      </c>
      <c r="B816" s="107" t="inlineStr">
        <is>
          <t>000468</t>
        </is>
      </c>
      <c r="C816" s="107" t="inlineStr">
        <is>
          <t>CEBOLA MEDIA</t>
        </is>
      </c>
      <c r="D816" s="107" t="n"/>
      <c r="E816" s="191" t="n">
        <v>0.029</v>
      </c>
      <c r="F816" s="192" t="n">
        <v>18.62</v>
      </c>
      <c r="G816" s="193" t="n">
        <v>0</v>
      </c>
      <c r="H816" s="192" t="n">
        <v>0</v>
      </c>
      <c r="I816" s="192" t="n">
        <v>0</v>
      </c>
      <c r="J816" s="107" t="n"/>
      <c r="K816" s="107" t="n"/>
      <c r="L816" s="107" t="n"/>
      <c r="M816" s="192" t="n">
        <v>0</v>
      </c>
    </row>
    <row r="817" ht="15" customHeight="1">
      <c r="A817" s="111" t="inlineStr">
        <is>
          <t>002083</t>
        </is>
      </c>
      <c r="B817" s="111" t="inlineStr">
        <is>
          <t>000484</t>
        </is>
      </c>
      <c r="C817" s="111" t="inlineStr">
        <is>
          <t>SALSA LISA INDUSTRIAL</t>
        </is>
      </c>
      <c r="D817" s="111" t="n"/>
      <c r="E817" s="194" t="n">
        <v>0.022</v>
      </c>
      <c r="F817" s="195" t="n">
        <v>9.31</v>
      </c>
      <c r="G817" s="196" t="n">
        <v>0</v>
      </c>
      <c r="H817" s="195" t="n">
        <v>0</v>
      </c>
      <c r="I817" s="195" t="n">
        <v>0</v>
      </c>
      <c r="J817" s="111" t="n"/>
      <c r="K817" s="111" t="n"/>
      <c r="L817" s="111" t="n"/>
      <c r="M817" s="195" t="n">
        <v>0</v>
      </c>
    </row>
    <row r="818" ht="15" customHeight="1">
      <c r="A818" s="107" t="inlineStr">
        <is>
          <t>002083</t>
        </is>
      </c>
      <c r="B818" s="107" t="inlineStr">
        <is>
          <t>000486</t>
        </is>
      </c>
      <c r="C818" s="107" t="inlineStr">
        <is>
          <t>TOMATE SALADA</t>
        </is>
      </c>
      <c r="D818" s="107" t="n"/>
      <c r="E818" s="191" t="n">
        <v>0.058</v>
      </c>
      <c r="F818" s="192" t="n">
        <v>40.34</v>
      </c>
      <c r="G818" s="193" t="n">
        <v>0</v>
      </c>
      <c r="H818" s="192" t="n">
        <v>0</v>
      </c>
      <c r="I818" s="192" t="n">
        <v>0</v>
      </c>
      <c r="J818" s="107" t="n"/>
      <c r="K818" s="107" t="n"/>
      <c r="L818" s="107" t="n"/>
      <c r="M818" s="192" t="n">
        <v>0</v>
      </c>
    </row>
    <row r="819" ht="15" customHeight="1">
      <c r="A819" s="111" t="inlineStr">
        <is>
          <t>002083</t>
        </is>
      </c>
      <c r="B819" s="111" t="inlineStr">
        <is>
          <t>000590</t>
        </is>
      </c>
      <c r="C819" s="111" t="inlineStr">
        <is>
          <t>MORANGO FRUTA</t>
        </is>
      </c>
      <c r="D819" s="111" t="n"/>
      <c r="E819" s="194" t="n">
        <v>0.08</v>
      </c>
      <c r="F819" s="195" t="n">
        <v>676.48</v>
      </c>
      <c r="G819" s="196" t="n">
        <v>0</v>
      </c>
      <c r="H819" s="195" t="n">
        <v>0</v>
      </c>
      <c r="I819" s="195" t="n">
        <v>0</v>
      </c>
      <c r="J819" s="111" t="n"/>
      <c r="K819" s="111" t="n"/>
      <c r="L819" s="111" t="n"/>
      <c r="M819" s="195" t="n">
        <v>0</v>
      </c>
    </row>
    <row r="820" ht="15" customHeight="1">
      <c r="A820" s="107" t="inlineStr">
        <is>
          <t>002083</t>
        </is>
      </c>
      <c r="B820" s="107" t="inlineStr">
        <is>
          <t>000614</t>
        </is>
      </c>
      <c r="C820" s="107" t="inlineStr">
        <is>
          <t>SAL REFINADO</t>
        </is>
      </c>
      <c r="D820" s="107" t="n"/>
      <c r="E820" s="191" t="n">
        <v>0.008999999999999999</v>
      </c>
      <c r="F820" s="192" t="n">
        <v>0.85</v>
      </c>
      <c r="G820" s="193" t="n">
        <v>0</v>
      </c>
      <c r="H820" s="192" t="n">
        <v>0</v>
      </c>
      <c r="I820" s="192" t="n">
        <v>0</v>
      </c>
      <c r="J820" s="107" t="n"/>
      <c r="K820" s="107" t="n"/>
      <c r="L820" s="107" t="n"/>
      <c r="M820" s="192" t="n">
        <v>0</v>
      </c>
    </row>
    <row r="821" ht="15" customHeight="1">
      <c r="A821" s="111" t="inlineStr">
        <is>
          <t>002083</t>
        </is>
      </c>
      <c r="B821" s="111" t="inlineStr">
        <is>
          <t>000747</t>
        </is>
      </c>
      <c r="C821" s="111" t="inlineStr">
        <is>
          <t>AZEITE OLEO COMPOSTO 5 LITROS</t>
        </is>
      </c>
      <c r="D821" s="111" t="n"/>
      <c r="E821" s="194" t="n">
        <v>0.029</v>
      </c>
      <c r="F821" s="195" t="n">
        <v>411.96</v>
      </c>
      <c r="G821" s="196" t="n">
        <v>0</v>
      </c>
      <c r="H821" s="195" t="n">
        <v>0</v>
      </c>
      <c r="I821" s="195" t="n">
        <v>0</v>
      </c>
      <c r="J821" s="111" t="n"/>
      <c r="K821" s="111" t="n"/>
      <c r="L821" s="111" t="n"/>
      <c r="M821" s="195" t="n">
        <v>0</v>
      </c>
    </row>
    <row r="822" ht="15" customHeight="1">
      <c r="A822" s="107" t="inlineStr">
        <is>
          <t>002083</t>
        </is>
      </c>
      <c r="B822" s="107" t="inlineStr">
        <is>
          <t>002067</t>
        </is>
      </c>
      <c r="C822" s="107" t="inlineStr">
        <is>
          <t>FARINHA PANKO EMPANAR</t>
        </is>
      </c>
      <c r="D822" s="107" t="n"/>
      <c r="E822" s="191" t="n">
        <v>0.147</v>
      </c>
      <c r="F822" s="192" t="n">
        <v>0</v>
      </c>
      <c r="G822" s="193" t="n">
        <v>0</v>
      </c>
      <c r="H822" s="192" t="n">
        <v>0</v>
      </c>
      <c r="I822" s="192" t="n">
        <v>0</v>
      </c>
      <c r="J822" s="107" t="n"/>
      <c r="K822" s="107" t="n"/>
      <c r="L822" s="107" t="n"/>
      <c r="M822" s="192" t="n">
        <v>0</v>
      </c>
    </row>
    <row r="823" ht="15" customHeight="1">
      <c r="A823" s="111" t="inlineStr">
        <is>
          <t>002084</t>
        </is>
      </c>
      <c r="B823" s="111" t="inlineStr">
        <is>
          <t>000310</t>
        </is>
      </c>
      <c r="C823" s="111" t="inlineStr">
        <is>
          <t>CERVEJA ORIGINAL 600ML</t>
        </is>
      </c>
      <c r="D823" s="111" t="n"/>
      <c r="E823" s="194" t="n">
        <v>4</v>
      </c>
      <c r="F823" s="195" t="n">
        <v>0</v>
      </c>
      <c r="G823" s="196" t="n">
        <v>0</v>
      </c>
      <c r="H823" s="195" t="n">
        <v>0</v>
      </c>
      <c r="I823" s="195" t="n">
        <v>0</v>
      </c>
      <c r="J823" s="111" t="n"/>
      <c r="K823" s="111" t="n"/>
      <c r="L823" s="111" t="n"/>
      <c r="M823" s="195" t="n">
        <v>0</v>
      </c>
    </row>
    <row r="824" ht="15" customHeight="1">
      <c r="A824" s="107" t="inlineStr">
        <is>
          <t>002085</t>
        </is>
      </c>
      <c r="B824" s="107" t="inlineStr">
        <is>
          <t>001227</t>
        </is>
      </c>
      <c r="C824" s="107" t="inlineStr">
        <is>
          <t>CERVEJA SPATEN 600 ML</t>
        </is>
      </c>
      <c r="D824" s="107" t="n"/>
      <c r="E824" s="191" t="n">
        <v>4</v>
      </c>
      <c r="F824" s="192" t="n">
        <v>0</v>
      </c>
      <c r="G824" s="193" t="n">
        <v>0</v>
      </c>
      <c r="H824" s="192" t="n">
        <v>0</v>
      </c>
      <c r="I824" s="192" t="n">
        <v>0</v>
      </c>
      <c r="J824" s="107" t="n"/>
      <c r="K824" s="107" t="n"/>
      <c r="L824" s="107" t="n"/>
      <c r="M824" s="192" t="n">
        <v>0</v>
      </c>
    </row>
    <row r="825" ht="15" customHeight="1">
      <c r="A825" s="111" t="inlineStr">
        <is>
          <t>002086</t>
        </is>
      </c>
      <c r="B825" s="111" t="inlineStr">
        <is>
          <t>000674</t>
        </is>
      </c>
      <c r="C825" s="111" t="inlineStr">
        <is>
          <t>CERVEJA STELLA ARTOIS  600 ML</t>
        </is>
      </c>
      <c r="D825" s="111" t="n"/>
      <c r="E825" s="194" t="n">
        <v>4</v>
      </c>
      <c r="F825" s="195" t="n">
        <v>0</v>
      </c>
      <c r="G825" s="196" t="n">
        <v>0</v>
      </c>
      <c r="H825" s="195" t="n">
        <v>0</v>
      </c>
      <c r="I825" s="195" t="n">
        <v>0</v>
      </c>
      <c r="J825" s="111" t="n"/>
      <c r="K825" s="111" t="n"/>
      <c r="L825" s="111" t="n"/>
      <c r="M825" s="195" t="n">
        <v>0</v>
      </c>
    </row>
    <row r="826" ht="15" customHeight="1">
      <c r="A826" s="107" t="inlineStr">
        <is>
          <t>002087</t>
        </is>
      </c>
      <c r="B826" s="107" t="inlineStr">
        <is>
          <t>001016</t>
        </is>
      </c>
      <c r="C826" s="107" t="inlineStr">
        <is>
          <t>CERVEJA BECKS 600 ML</t>
        </is>
      </c>
      <c r="D826" s="107" t="n"/>
      <c r="E826" s="191" t="n">
        <v>4</v>
      </c>
      <c r="F826" s="192" t="n">
        <v>0</v>
      </c>
      <c r="G826" s="193" t="n">
        <v>0</v>
      </c>
      <c r="H826" s="192" t="n">
        <v>0</v>
      </c>
      <c r="I826" s="192" t="n">
        <v>0</v>
      </c>
      <c r="J826" s="107" t="n"/>
      <c r="K826" s="107" t="n"/>
      <c r="L826" s="107" t="n"/>
      <c r="M826" s="192" t="n">
        <v>0</v>
      </c>
    </row>
    <row r="827" ht="15" customHeight="1">
      <c r="A827" s="111" t="inlineStr">
        <is>
          <t>002088</t>
        </is>
      </c>
      <c r="B827" s="111" t="inlineStr">
        <is>
          <t>001784</t>
        </is>
      </c>
      <c r="C827" s="111" t="inlineStr">
        <is>
          <t>CERVEJA CORONA 600ML - COMPRAS</t>
        </is>
      </c>
      <c r="D827" s="111" t="n"/>
      <c r="E827" s="194" t="n">
        <v>4</v>
      </c>
      <c r="F827" s="195" t="n">
        <v>0</v>
      </c>
      <c r="G827" s="196" t="n">
        <v>0</v>
      </c>
      <c r="H827" s="195" t="n">
        <v>0</v>
      </c>
      <c r="I827" s="195" t="n">
        <v>0</v>
      </c>
      <c r="J827" s="111" t="n"/>
      <c r="K827" s="111" t="n"/>
      <c r="L827" s="111" t="n"/>
      <c r="M827" s="195" t="n">
        <v>0</v>
      </c>
    </row>
    <row r="828" ht="15" customHeight="1">
      <c r="A828" s="107" t="inlineStr">
        <is>
          <t>002089</t>
        </is>
      </c>
      <c r="B828" s="107" t="inlineStr">
        <is>
          <t>000325</t>
        </is>
      </c>
      <c r="C828" s="107" t="inlineStr">
        <is>
          <t>STELLA ARTOIS LONG NECK</t>
        </is>
      </c>
      <c r="D828" s="107" t="n"/>
      <c r="E828" s="191" t="n">
        <v>6</v>
      </c>
      <c r="F828" s="192" t="n">
        <v>0</v>
      </c>
      <c r="G828" s="193" t="n">
        <v>0</v>
      </c>
      <c r="H828" s="192" t="n">
        <v>0</v>
      </c>
      <c r="I828" s="192" t="n">
        <v>0</v>
      </c>
      <c r="J828" s="107" t="n"/>
      <c r="K828" s="107" t="n"/>
      <c r="L828" s="107" t="n"/>
      <c r="M828" s="192" t="n">
        <v>0</v>
      </c>
    </row>
    <row r="829" ht="15" customHeight="1">
      <c r="A829" s="111" t="inlineStr">
        <is>
          <t>002090</t>
        </is>
      </c>
      <c r="B829" s="111" t="inlineStr">
        <is>
          <t>001049</t>
        </is>
      </c>
      <c r="C829" s="111" t="inlineStr">
        <is>
          <t>CERVEJA BECKS LONG NECK</t>
        </is>
      </c>
      <c r="D829" s="111" t="n"/>
      <c r="E829" s="194" t="n">
        <v>6</v>
      </c>
      <c r="F829" s="195" t="n">
        <v>0</v>
      </c>
      <c r="G829" s="196" t="n">
        <v>0</v>
      </c>
      <c r="H829" s="195" t="n">
        <v>0</v>
      </c>
      <c r="I829" s="195" t="n">
        <v>0</v>
      </c>
      <c r="J829" s="111" t="n"/>
      <c r="K829" s="111" t="n"/>
      <c r="L829" s="111" t="n"/>
      <c r="M829" s="195" t="n">
        <v>0</v>
      </c>
    </row>
    <row r="830" ht="15" customHeight="1">
      <c r="A830" s="107" t="inlineStr">
        <is>
          <t>002091</t>
        </is>
      </c>
      <c r="B830" s="107" t="inlineStr">
        <is>
          <t>001326</t>
        </is>
      </c>
      <c r="C830" s="107" t="inlineStr">
        <is>
          <t>CERVEJA SPATEN LONG NECK</t>
        </is>
      </c>
      <c r="D830" s="107" t="n"/>
      <c r="E830" s="191" t="n">
        <v>6</v>
      </c>
      <c r="F830" s="192" t="n">
        <v>0</v>
      </c>
      <c r="G830" s="193" t="n">
        <v>0</v>
      </c>
      <c r="H830" s="192" t="n">
        <v>0</v>
      </c>
      <c r="I830" s="192" t="n">
        <v>0</v>
      </c>
      <c r="J830" s="107" t="n"/>
      <c r="K830" s="107" t="n"/>
      <c r="L830" s="107" t="n"/>
      <c r="M830" s="192" t="n">
        <v>0</v>
      </c>
    </row>
    <row r="831" ht="15" customHeight="1">
      <c r="A831" s="111" t="inlineStr">
        <is>
          <t>002092</t>
        </is>
      </c>
      <c r="B831" s="111" t="inlineStr">
        <is>
          <t>000203</t>
        </is>
      </c>
      <c r="C831" s="111" t="inlineStr">
        <is>
          <t>CORONA EXTRA LONG NECK</t>
        </is>
      </c>
      <c r="D831" s="111" t="n"/>
      <c r="E831" s="194" t="n">
        <v>6</v>
      </c>
      <c r="F831" s="195" t="n">
        <v>0</v>
      </c>
      <c r="G831" s="196" t="n">
        <v>0</v>
      </c>
      <c r="H831" s="195" t="n">
        <v>0</v>
      </c>
      <c r="I831" s="195" t="n">
        <v>0</v>
      </c>
      <c r="J831" s="111" t="n"/>
      <c r="K831" s="111" t="n"/>
      <c r="L831" s="111" t="n"/>
      <c r="M831" s="195" t="n">
        <v>0</v>
      </c>
    </row>
    <row r="832" ht="15" customHeight="1">
      <c r="A832" s="107" t="inlineStr">
        <is>
          <t>002094</t>
        </is>
      </c>
      <c r="B832" s="107" t="inlineStr">
        <is>
          <t>000287</t>
        </is>
      </c>
      <c r="C832" s="107" t="inlineStr">
        <is>
          <t>ESPETO CALABRESA C/ PIMENTA</t>
        </is>
      </c>
      <c r="D832" s="107" t="n"/>
      <c r="E832" s="191" t="n">
        <v>1</v>
      </c>
      <c r="F832" s="192" t="n">
        <v>119.93</v>
      </c>
      <c r="G832" s="193" t="n">
        <v>0</v>
      </c>
      <c r="H832" s="192" t="n">
        <v>0</v>
      </c>
      <c r="I832" s="192" t="n">
        <v>0</v>
      </c>
      <c r="J832" s="107" t="n"/>
      <c r="K832" s="107" t="n"/>
      <c r="L832" s="107" t="n"/>
      <c r="M832" s="192" t="n">
        <v>0</v>
      </c>
    </row>
    <row r="833" ht="15" customHeight="1">
      <c r="A833" s="111" t="inlineStr">
        <is>
          <t>002094</t>
        </is>
      </c>
      <c r="B833" s="111" t="inlineStr">
        <is>
          <t>000314</t>
        </is>
      </c>
      <c r="C833" s="111" t="inlineStr">
        <is>
          <t>GUARANA ZERO LATA 350ML</t>
        </is>
      </c>
      <c r="D833" s="111" t="n"/>
      <c r="E833" s="194" t="n">
        <v>1</v>
      </c>
      <c r="F833" s="195" t="n">
        <v>0</v>
      </c>
      <c r="G833" s="196" t="n">
        <v>0</v>
      </c>
      <c r="H833" s="195" t="n">
        <v>0</v>
      </c>
      <c r="I833" s="195" t="n">
        <v>0</v>
      </c>
      <c r="J833" s="111" t="n"/>
      <c r="K833" s="111" t="n"/>
      <c r="L833" s="111" t="n"/>
      <c r="M833" s="195" t="n">
        <v>0</v>
      </c>
    </row>
    <row r="834" ht="15" customHeight="1">
      <c r="A834" s="107" t="inlineStr">
        <is>
          <t>002094</t>
        </is>
      </c>
      <c r="B834" s="107" t="inlineStr">
        <is>
          <t>000331</t>
        </is>
      </c>
      <c r="C834" s="107" t="inlineStr">
        <is>
          <t>BARRIL CHOPP BRAHMA CLARO 50LT</t>
        </is>
      </c>
      <c r="D834" s="107" t="n"/>
      <c r="E834" s="191" t="n">
        <v>0.003</v>
      </c>
      <c r="F834" s="192" t="n">
        <v>252.3</v>
      </c>
      <c r="G834" s="193" t="n">
        <v>0</v>
      </c>
      <c r="H834" s="192" t="n">
        <v>0</v>
      </c>
      <c r="I834" s="192" t="n">
        <v>0</v>
      </c>
      <c r="J834" s="107" t="n"/>
      <c r="K834" s="107" t="n"/>
      <c r="L834" s="107" t="n"/>
      <c r="M834" s="192" t="n">
        <v>0</v>
      </c>
    </row>
    <row r="835" ht="15" customHeight="1">
      <c r="A835" s="111" t="inlineStr">
        <is>
          <t>002094</t>
        </is>
      </c>
      <c r="B835" s="111" t="inlineStr">
        <is>
          <t>000377</t>
        </is>
      </c>
      <c r="C835" s="111" t="inlineStr">
        <is>
          <t>ARROZ TIPO 1</t>
        </is>
      </c>
      <c r="D835" s="111" t="n"/>
      <c r="E835" s="194" t="n">
        <v>0.06</v>
      </c>
      <c r="F835" s="195" t="n">
        <v>145.38</v>
      </c>
      <c r="G835" s="196" t="n">
        <v>0</v>
      </c>
      <c r="H835" s="195" t="n">
        <v>0</v>
      </c>
      <c r="I835" s="195" t="n">
        <v>0</v>
      </c>
      <c r="J835" s="111" t="n"/>
      <c r="K835" s="111" t="n"/>
      <c r="L835" s="111" t="n"/>
      <c r="M835" s="195" t="n">
        <v>0</v>
      </c>
    </row>
    <row r="836" ht="15" customHeight="1">
      <c r="A836" s="107" t="inlineStr">
        <is>
          <t>002094</t>
        </is>
      </c>
      <c r="B836" s="107" t="inlineStr">
        <is>
          <t>000390</t>
        </is>
      </c>
      <c r="C836" s="107" t="inlineStr">
        <is>
          <t>FARINHA DE TRIGO SOL</t>
        </is>
      </c>
      <c r="D836" s="107" t="n"/>
      <c r="E836" s="191" t="n">
        <v>0.002</v>
      </c>
      <c r="F836" s="192" t="n">
        <v>0.4</v>
      </c>
      <c r="G836" s="193" t="n">
        <v>0</v>
      </c>
      <c r="H836" s="192" t="n">
        <v>0</v>
      </c>
      <c r="I836" s="192" t="n">
        <v>0</v>
      </c>
      <c r="J836" s="107" t="n"/>
      <c r="K836" s="107" t="n"/>
      <c r="L836" s="107" t="n"/>
      <c r="M836" s="192" t="n">
        <v>0</v>
      </c>
    </row>
    <row r="837" ht="15" customHeight="1">
      <c r="A837" s="111" t="inlineStr">
        <is>
          <t>002094</t>
        </is>
      </c>
      <c r="B837" s="111" t="inlineStr">
        <is>
          <t>000412</t>
        </is>
      </c>
      <c r="C837" s="111" t="inlineStr">
        <is>
          <t>OLEO DE SOJA LIZA 900ML</t>
        </is>
      </c>
      <c r="D837" s="111" t="n"/>
      <c r="E837" s="194" t="n">
        <v>0.06</v>
      </c>
      <c r="F837" s="195" t="n">
        <v>1688.88</v>
      </c>
      <c r="G837" s="196" t="n">
        <v>0</v>
      </c>
      <c r="H837" s="195" t="n">
        <v>0</v>
      </c>
      <c r="I837" s="195" t="n">
        <v>0</v>
      </c>
      <c r="J837" s="111" t="n"/>
      <c r="K837" s="111" t="n"/>
      <c r="L837" s="111" t="n"/>
      <c r="M837" s="195" t="n">
        <v>0</v>
      </c>
    </row>
    <row r="838" ht="15" customHeight="1">
      <c r="A838" s="107" t="inlineStr">
        <is>
          <t>002094</t>
        </is>
      </c>
      <c r="B838" s="107" t="inlineStr">
        <is>
          <t>000414</t>
        </is>
      </c>
      <c r="C838" s="107" t="inlineStr">
        <is>
          <t>PIMENTA DO REINO MOIDA</t>
        </is>
      </c>
      <c r="D838" s="107" t="n"/>
      <c r="E838" s="191" t="n">
        <v>0.0005999999999999999</v>
      </c>
      <c r="F838" s="192" t="n">
        <v>0.47</v>
      </c>
      <c r="G838" s="193" t="n">
        <v>0</v>
      </c>
      <c r="H838" s="192" t="n">
        <v>0</v>
      </c>
      <c r="I838" s="192" t="n">
        <v>0</v>
      </c>
      <c r="J838" s="107" t="n"/>
      <c r="K838" s="107" t="n"/>
      <c r="L838" s="107" t="n"/>
      <c r="M838" s="192" t="n">
        <v>0</v>
      </c>
    </row>
    <row r="839" ht="15" customHeight="1">
      <c r="A839" s="111" t="inlineStr">
        <is>
          <t>002094</t>
        </is>
      </c>
      <c r="B839" s="111" t="inlineStr">
        <is>
          <t>000424</t>
        </is>
      </c>
      <c r="C839" s="111" t="inlineStr">
        <is>
          <t>VINAGRE AGRIN BRANCO NEVAL GARRAFA 750ML</t>
        </is>
      </c>
      <c r="D839" s="111" t="n"/>
      <c r="E839" s="194" t="n">
        <v>0.007</v>
      </c>
      <c r="F839" s="195" t="n">
        <v>1.9</v>
      </c>
      <c r="G839" s="196" t="n">
        <v>0</v>
      </c>
      <c r="H839" s="195" t="n">
        <v>0</v>
      </c>
      <c r="I839" s="195" t="n">
        <v>0</v>
      </c>
      <c r="J839" s="111" t="n"/>
      <c r="K839" s="111" t="n"/>
      <c r="L839" s="111" t="n"/>
      <c r="M839" s="195" t="n">
        <v>0</v>
      </c>
    </row>
    <row r="840" ht="15" customHeight="1">
      <c r="A840" s="107" t="inlineStr">
        <is>
          <t>002094</t>
        </is>
      </c>
      <c r="B840" s="107" t="inlineStr">
        <is>
          <t>000426</t>
        </is>
      </c>
      <c r="C840" s="107" t="inlineStr">
        <is>
          <t>BACON EM CUBOS</t>
        </is>
      </c>
      <c r="D840" s="107" t="n"/>
      <c r="E840" s="191" t="n">
        <v>0.004</v>
      </c>
      <c r="F840" s="192" t="n">
        <v>531.25</v>
      </c>
      <c r="G840" s="193" t="n">
        <v>0</v>
      </c>
      <c r="H840" s="192" t="n">
        <v>0</v>
      </c>
      <c r="I840" s="192" t="n">
        <v>0</v>
      </c>
      <c r="J840" s="107" t="n"/>
      <c r="K840" s="107" t="n"/>
      <c r="L840" s="107" t="n"/>
      <c r="M840" s="192" t="n">
        <v>0</v>
      </c>
    </row>
    <row r="841" ht="15" customHeight="1">
      <c r="A841" s="111" t="inlineStr">
        <is>
          <t>002094</t>
        </is>
      </c>
      <c r="B841" s="111" t="inlineStr">
        <is>
          <t>000437</t>
        </is>
      </c>
      <c r="C841" s="111" t="inlineStr">
        <is>
          <t>CHOCOLATE GAROTO BARRA 2,1KG</t>
        </is>
      </c>
      <c r="D841" s="111" t="n"/>
      <c r="E841" s="194" t="n">
        <v>0.03</v>
      </c>
      <c r="F841" s="195" t="n">
        <v>0</v>
      </c>
      <c r="G841" s="196" t="n">
        <v>0</v>
      </c>
      <c r="H841" s="195" t="n">
        <v>0</v>
      </c>
      <c r="I841" s="195" t="n">
        <v>0</v>
      </c>
      <c r="J841" s="111" t="n"/>
      <c r="K841" s="111" t="n"/>
      <c r="L841" s="111" t="n"/>
      <c r="M841" s="195" t="n">
        <v>0</v>
      </c>
    </row>
    <row r="842" ht="15" customHeight="1">
      <c r="A842" s="107" t="inlineStr">
        <is>
          <t>002094</t>
        </is>
      </c>
      <c r="B842" s="107" t="inlineStr">
        <is>
          <t>000463</t>
        </is>
      </c>
      <c r="C842" s="107" t="inlineStr">
        <is>
          <t>ALHO DESCASCADO</t>
        </is>
      </c>
      <c r="D842" s="107" t="n"/>
      <c r="E842" s="191" t="n">
        <v>0.001</v>
      </c>
      <c r="F842" s="192" t="n">
        <v>4.95</v>
      </c>
      <c r="G842" s="193" t="n">
        <v>0</v>
      </c>
      <c r="H842" s="192" t="n">
        <v>0</v>
      </c>
      <c r="I842" s="192" t="n">
        <v>0</v>
      </c>
      <c r="J842" s="107" t="n"/>
      <c r="K842" s="107" t="n"/>
      <c r="L842" s="107" t="n"/>
      <c r="M842" s="192" t="n">
        <v>0</v>
      </c>
    </row>
    <row r="843" ht="15" customHeight="1">
      <c r="A843" s="111" t="inlineStr">
        <is>
          <t>002094</t>
        </is>
      </c>
      <c r="B843" s="111" t="inlineStr">
        <is>
          <t>000468</t>
        </is>
      </c>
      <c r="C843" s="111" t="inlineStr">
        <is>
          <t>CEBOLA MEDIA</t>
        </is>
      </c>
      <c r="D843" s="111" t="n"/>
      <c r="E843" s="194" t="n">
        <v>0.013</v>
      </c>
      <c r="F843" s="195" t="n">
        <v>12130.97</v>
      </c>
      <c r="G843" s="196" t="n">
        <v>0</v>
      </c>
      <c r="H843" s="195" t="n">
        <v>0</v>
      </c>
      <c r="I843" s="195" t="n">
        <v>0</v>
      </c>
      <c r="J843" s="111" t="n"/>
      <c r="K843" s="111" t="n"/>
      <c r="L843" s="111" t="n"/>
      <c r="M843" s="195" t="n">
        <v>0</v>
      </c>
    </row>
    <row r="844" ht="15" customHeight="1">
      <c r="A844" s="107" t="inlineStr">
        <is>
          <t>002094</t>
        </is>
      </c>
      <c r="B844" s="107" t="inlineStr">
        <is>
          <t>000475</t>
        </is>
      </c>
      <c r="C844" s="107" t="inlineStr">
        <is>
          <t>FOLHA DE LOURO</t>
        </is>
      </c>
      <c r="D844" s="107" t="n"/>
      <c r="E844" s="191" t="n">
        <v>0.002</v>
      </c>
      <c r="F844" s="192" t="n">
        <v>3.88</v>
      </c>
      <c r="G844" s="193" t="n">
        <v>0</v>
      </c>
      <c r="H844" s="192" t="n">
        <v>0</v>
      </c>
      <c r="I844" s="192" t="n">
        <v>0</v>
      </c>
      <c r="J844" s="107" t="n"/>
      <c r="K844" s="107" t="n"/>
      <c r="L844" s="107" t="n"/>
      <c r="M844" s="192" t="n">
        <v>0</v>
      </c>
    </row>
    <row r="845" ht="15" customHeight="1">
      <c r="A845" s="111" t="inlineStr">
        <is>
          <t>002094</t>
        </is>
      </c>
      <c r="B845" s="111" t="inlineStr">
        <is>
          <t>000484</t>
        </is>
      </c>
      <c r="C845" s="111" t="inlineStr">
        <is>
          <t>SALSA LISA INDUSTRIAL</t>
        </is>
      </c>
      <c r="D845" s="111" t="n"/>
      <c r="E845" s="194" t="n">
        <v>0.008999999999999999</v>
      </c>
      <c r="F845" s="195" t="n">
        <v>7.61</v>
      </c>
      <c r="G845" s="196" t="n">
        <v>0</v>
      </c>
      <c r="H845" s="195" t="n">
        <v>0</v>
      </c>
      <c r="I845" s="195" t="n">
        <v>0</v>
      </c>
      <c r="J845" s="111" t="n"/>
      <c r="K845" s="111" t="n"/>
      <c r="L845" s="111" t="n"/>
      <c r="M845" s="195" t="n">
        <v>0</v>
      </c>
    </row>
    <row r="846" ht="15" customHeight="1">
      <c r="A846" s="107" t="inlineStr">
        <is>
          <t>002094</t>
        </is>
      </c>
      <c r="B846" s="107" t="inlineStr">
        <is>
          <t>000486</t>
        </is>
      </c>
      <c r="C846" s="107" t="inlineStr">
        <is>
          <t>TOMATE SALADA</t>
        </is>
      </c>
      <c r="D846" s="107" t="n"/>
      <c r="E846" s="191" t="n">
        <v>0.026</v>
      </c>
      <c r="F846" s="192" t="n">
        <v>18.59</v>
      </c>
      <c r="G846" s="193" t="n">
        <v>0</v>
      </c>
      <c r="H846" s="192" t="n">
        <v>0</v>
      </c>
      <c r="I846" s="192" t="n">
        <v>0</v>
      </c>
      <c r="J846" s="107" t="n"/>
      <c r="K846" s="107" t="n"/>
      <c r="L846" s="107" t="n"/>
      <c r="M846" s="192" t="n">
        <v>0</v>
      </c>
    </row>
    <row r="847" ht="15" customHeight="1">
      <c r="A847" s="111" t="inlineStr">
        <is>
          <t>002094</t>
        </is>
      </c>
      <c r="B847" s="111" t="inlineStr">
        <is>
          <t>000590</t>
        </is>
      </c>
      <c r="C847" s="111" t="inlineStr">
        <is>
          <t>MORANGO FRUTA</t>
        </is>
      </c>
      <c r="D847" s="111" t="n"/>
      <c r="E847" s="194" t="n">
        <v>0.08</v>
      </c>
      <c r="F847" s="195" t="n">
        <v>0</v>
      </c>
      <c r="G847" s="196" t="n">
        <v>0</v>
      </c>
      <c r="H847" s="195" t="n">
        <v>0</v>
      </c>
      <c r="I847" s="195" t="n">
        <v>0</v>
      </c>
      <c r="J847" s="111" t="n"/>
      <c r="K847" s="111" t="n"/>
      <c r="L847" s="111" t="n"/>
      <c r="M847" s="195" t="n">
        <v>0</v>
      </c>
    </row>
    <row r="848" ht="15" customHeight="1">
      <c r="A848" s="107" t="inlineStr">
        <is>
          <t>002094</t>
        </is>
      </c>
      <c r="B848" s="107" t="inlineStr">
        <is>
          <t>000614</t>
        </is>
      </c>
      <c r="C848" s="107" t="inlineStr">
        <is>
          <t>SAL REFINADO</t>
        </is>
      </c>
      <c r="D848" s="107" t="n"/>
      <c r="E848" s="191" t="n">
        <v>0.006</v>
      </c>
      <c r="F848" s="192" t="n">
        <v>4.71</v>
      </c>
      <c r="G848" s="193" t="n">
        <v>0</v>
      </c>
      <c r="H848" s="192" t="n">
        <v>0</v>
      </c>
      <c r="I848" s="192" t="n">
        <v>0</v>
      </c>
      <c r="J848" s="107" t="n"/>
      <c r="K848" s="107" t="n"/>
      <c r="L848" s="107" t="n"/>
      <c r="M848" s="192" t="n">
        <v>0</v>
      </c>
    </row>
    <row r="849" ht="15" customHeight="1">
      <c r="A849" s="111" t="inlineStr">
        <is>
          <t>002094</t>
        </is>
      </c>
      <c r="B849" s="111" t="inlineStr">
        <is>
          <t>000667</t>
        </is>
      </c>
      <c r="C849" s="111" t="inlineStr">
        <is>
          <t>TOMILHO</t>
        </is>
      </c>
      <c r="D849" s="111" t="n"/>
      <c r="E849" s="194" t="n">
        <v>0.001</v>
      </c>
      <c r="F849" s="195" t="n">
        <v>126.29</v>
      </c>
      <c r="G849" s="196" t="n">
        <v>0</v>
      </c>
      <c r="H849" s="195" t="n">
        <v>0</v>
      </c>
      <c r="I849" s="195" t="n">
        <v>0</v>
      </c>
      <c r="J849" s="111" t="n"/>
      <c r="K849" s="111" t="n"/>
      <c r="L849" s="111" t="n"/>
      <c r="M849" s="195" t="n">
        <v>0</v>
      </c>
    </row>
    <row r="850" ht="15" customHeight="1">
      <c r="A850" s="107" t="inlineStr">
        <is>
          <t>002094</t>
        </is>
      </c>
      <c r="B850" s="107" t="inlineStr">
        <is>
          <t>000668</t>
        </is>
      </c>
      <c r="C850" s="107" t="inlineStr">
        <is>
          <t>ALECRIM</t>
        </is>
      </c>
      <c r="D850" s="107" t="n"/>
      <c r="E850" s="191" t="n">
        <v>0.001</v>
      </c>
      <c r="F850" s="192" t="n">
        <v>4216.82</v>
      </c>
      <c r="G850" s="193" t="n">
        <v>0</v>
      </c>
      <c r="H850" s="192" t="n">
        <v>0</v>
      </c>
      <c r="I850" s="192" t="n">
        <v>0</v>
      </c>
      <c r="J850" s="107" t="n"/>
      <c r="K850" s="107" t="n"/>
      <c r="L850" s="107" t="n"/>
      <c r="M850" s="192" t="n">
        <v>0</v>
      </c>
    </row>
    <row r="851" ht="15" customHeight="1">
      <c r="A851" s="111" t="inlineStr">
        <is>
          <t>002094</t>
        </is>
      </c>
      <c r="B851" s="111" t="inlineStr">
        <is>
          <t>000747</t>
        </is>
      </c>
      <c r="C851" s="111" t="inlineStr">
        <is>
          <t>AZEITE OLEO COMPOSTO 5 LITROS</t>
        </is>
      </c>
      <c r="D851" s="111" t="n"/>
      <c r="E851" s="194" t="n">
        <v>0.013</v>
      </c>
      <c r="F851" s="195" t="n">
        <v>82.39</v>
      </c>
      <c r="G851" s="196" t="n">
        <v>0</v>
      </c>
      <c r="H851" s="195" t="n">
        <v>0</v>
      </c>
      <c r="I851" s="195" t="n">
        <v>0</v>
      </c>
      <c r="J851" s="111" t="n"/>
      <c r="K851" s="111" t="n"/>
      <c r="L851" s="111" t="n"/>
      <c r="M851" s="195" t="n">
        <v>0</v>
      </c>
    </row>
    <row r="852" ht="15" customHeight="1">
      <c r="A852" s="107" t="inlineStr">
        <is>
          <t>002094</t>
        </is>
      </c>
      <c r="B852" s="107" t="inlineStr">
        <is>
          <t>002067</t>
        </is>
      </c>
      <c r="C852" s="107" t="inlineStr">
        <is>
          <t>FARINHA PANKO EMPANAR</t>
        </is>
      </c>
      <c r="D852" s="107" t="n"/>
      <c r="E852" s="191" t="n">
        <v>0.02</v>
      </c>
      <c r="F852" s="192" t="n">
        <v>166.05</v>
      </c>
      <c r="G852" s="193" t="n">
        <v>0</v>
      </c>
      <c r="H852" s="192" t="n">
        <v>0</v>
      </c>
      <c r="I852" s="192" t="n">
        <v>0</v>
      </c>
      <c r="J852" s="107" t="n"/>
      <c r="K852" s="107" t="n"/>
      <c r="L852" s="107" t="n"/>
      <c r="M852" s="192" t="n">
        <v>0</v>
      </c>
    </row>
    <row r="853" ht="15" customHeight="1">
      <c r="A853" s="111" t="inlineStr">
        <is>
          <t>002094</t>
        </is>
      </c>
      <c r="B853" s="111" t="inlineStr">
        <is>
          <t>002068</t>
        </is>
      </c>
      <c r="C853" s="111" t="inlineStr">
        <is>
          <t>MANTEIGA S/SAL 5KG</t>
        </is>
      </c>
      <c r="D853" s="111" t="n"/>
      <c r="E853" s="194" t="n">
        <v>0.008999999999999999</v>
      </c>
      <c r="F853" s="195" t="n">
        <v>1997.46</v>
      </c>
      <c r="G853" s="196" t="n">
        <v>0</v>
      </c>
      <c r="H853" s="195" t="n">
        <v>0</v>
      </c>
      <c r="I853" s="195" t="n">
        <v>0</v>
      </c>
      <c r="J853" s="111" t="n"/>
      <c r="K853" s="111" t="n"/>
      <c r="L853" s="111" t="n"/>
      <c r="M853" s="195" t="n">
        <v>0</v>
      </c>
    </row>
    <row r="854" ht="15" customHeight="1">
      <c r="A854" s="107" t="inlineStr">
        <is>
          <t>002094</t>
        </is>
      </c>
      <c r="B854" s="107" t="inlineStr">
        <is>
          <t>002070</t>
        </is>
      </c>
      <c r="C854" s="107" t="inlineStr">
        <is>
          <t>ALHO PORO</t>
        </is>
      </c>
      <c r="D854" s="107" t="n"/>
      <c r="E854" s="191" t="n">
        <v>0.004</v>
      </c>
      <c r="F854" s="192" t="n">
        <v>0.32</v>
      </c>
      <c r="G854" s="193" t="n">
        <v>0</v>
      </c>
      <c r="H854" s="192" t="n">
        <v>0</v>
      </c>
      <c r="I854" s="192" t="n">
        <v>0</v>
      </c>
      <c r="J854" s="107" t="n"/>
      <c r="K854" s="107" t="n"/>
      <c r="L854" s="107" t="n"/>
      <c r="M854" s="192" t="n">
        <v>0</v>
      </c>
    </row>
    <row r="855" ht="15" customHeight="1">
      <c r="A855" s="111" t="inlineStr">
        <is>
          <t>002095</t>
        </is>
      </c>
      <c r="B855" s="111" t="inlineStr">
        <is>
          <t>000288</t>
        </is>
      </c>
      <c r="C855" s="111" t="inlineStr">
        <is>
          <t>ESPETO CALABRESA S/ PIMENTA</t>
        </is>
      </c>
      <c r="D855" s="111" t="n"/>
      <c r="E855" s="194" t="n">
        <v>1</v>
      </c>
      <c r="F855" s="195" t="n">
        <v>1106.78</v>
      </c>
      <c r="G855" s="196" t="n">
        <v>0</v>
      </c>
      <c r="H855" s="195" t="n">
        <v>0</v>
      </c>
      <c r="I855" s="195" t="n">
        <v>0</v>
      </c>
      <c r="J855" s="111" t="n"/>
      <c r="K855" s="111" t="n"/>
      <c r="L855" s="111" t="n"/>
      <c r="M855" s="195" t="n">
        <v>0</v>
      </c>
    </row>
    <row r="856" ht="15" customHeight="1">
      <c r="A856" s="107" t="inlineStr">
        <is>
          <t>002095</t>
        </is>
      </c>
      <c r="B856" s="107" t="inlineStr">
        <is>
          <t>000314</t>
        </is>
      </c>
      <c r="C856" s="107" t="inlineStr">
        <is>
          <t>GUARANA ZERO LATA 350ML</t>
        </is>
      </c>
      <c r="D856" s="107" t="n"/>
      <c r="E856" s="191" t="n">
        <v>1</v>
      </c>
      <c r="F856" s="192" t="n">
        <v>0</v>
      </c>
      <c r="G856" s="193" t="n">
        <v>0</v>
      </c>
      <c r="H856" s="192" t="n">
        <v>0</v>
      </c>
      <c r="I856" s="192" t="n">
        <v>0</v>
      </c>
      <c r="J856" s="107" t="n"/>
      <c r="K856" s="107" t="n"/>
      <c r="L856" s="107" t="n"/>
      <c r="M856" s="192" t="n">
        <v>0</v>
      </c>
    </row>
    <row r="857" ht="15" customHeight="1">
      <c r="A857" s="111" t="inlineStr">
        <is>
          <t>002095</t>
        </is>
      </c>
      <c r="B857" s="111" t="inlineStr">
        <is>
          <t>000331</t>
        </is>
      </c>
      <c r="C857" s="111" t="inlineStr">
        <is>
          <t>BARRIL CHOPP BRAHMA CLARO 50LT</t>
        </is>
      </c>
      <c r="D857" s="111" t="n"/>
      <c r="E857" s="194" t="n">
        <v>0.003</v>
      </c>
      <c r="F857" s="195" t="n">
        <v>252.3</v>
      </c>
      <c r="G857" s="196" t="n">
        <v>0</v>
      </c>
      <c r="H857" s="195" t="n">
        <v>0</v>
      </c>
      <c r="I857" s="195" t="n">
        <v>0</v>
      </c>
      <c r="J857" s="111" t="n"/>
      <c r="K857" s="111" t="n"/>
      <c r="L857" s="111" t="n"/>
      <c r="M857" s="195" t="n">
        <v>0</v>
      </c>
    </row>
    <row r="858" ht="15" customHeight="1">
      <c r="A858" s="107" t="inlineStr">
        <is>
          <t>002095</t>
        </is>
      </c>
      <c r="B858" s="107" t="inlineStr">
        <is>
          <t>000377</t>
        </is>
      </c>
      <c r="C858" s="107" t="inlineStr">
        <is>
          <t>ARROZ TIPO 1</t>
        </is>
      </c>
      <c r="D858" s="107" t="n"/>
      <c r="E858" s="191" t="n">
        <v>0.06</v>
      </c>
      <c r="F858" s="192" t="n">
        <v>145.38</v>
      </c>
      <c r="G858" s="193" t="n">
        <v>0</v>
      </c>
      <c r="H858" s="192" t="n">
        <v>0</v>
      </c>
      <c r="I858" s="192" t="n">
        <v>0</v>
      </c>
      <c r="J858" s="107" t="n"/>
      <c r="K858" s="107" t="n"/>
      <c r="L858" s="107" t="n"/>
      <c r="M858" s="192" t="n">
        <v>0</v>
      </c>
    </row>
    <row r="859" ht="15" customHeight="1">
      <c r="A859" s="111" t="inlineStr">
        <is>
          <t>002095</t>
        </is>
      </c>
      <c r="B859" s="111" t="inlineStr">
        <is>
          <t>000390</t>
        </is>
      </c>
      <c r="C859" s="111" t="inlineStr">
        <is>
          <t>FARINHA DE TRIGO SOL</t>
        </is>
      </c>
      <c r="D859" s="111" t="n"/>
      <c r="E859" s="194" t="n">
        <v>0.002</v>
      </c>
      <c r="F859" s="195" t="n">
        <v>0.4</v>
      </c>
      <c r="G859" s="196" t="n">
        <v>0</v>
      </c>
      <c r="H859" s="195" t="n">
        <v>0</v>
      </c>
      <c r="I859" s="195" t="n">
        <v>0</v>
      </c>
      <c r="J859" s="111" t="n"/>
      <c r="K859" s="111" t="n"/>
      <c r="L859" s="111" t="n"/>
      <c r="M859" s="195" t="n">
        <v>0</v>
      </c>
    </row>
    <row r="860" ht="15" customHeight="1">
      <c r="A860" s="107" t="inlineStr">
        <is>
          <t>002095</t>
        </is>
      </c>
      <c r="B860" s="107" t="inlineStr">
        <is>
          <t>000412</t>
        </is>
      </c>
      <c r="C860" s="107" t="inlineStr">
        <is>
          <t>OLEO DE SOJA LIZA 900ML</t>
        </is>
      </c>
      <c r="D860" s="107" t="n"/>
      <c r="E860" s="191" t="n">
        <v>0.06</v>
      </c>
      <c r="F860" s="192" t="n">
        <v>1688.88</v>
      </c>
      <c r="G860" s="193" t="n">
        <v>0</v>
      </c>
      <c r="H860" s="192" t="n">
        <v>0</v>
      </c>
      <c r="I860" s="192" t="n">
        <v>0</v>
      </c>
      <c r="J860" s="107" t="n"/>
      <c r="K860" s="107" t="n"/>
      <c r="L860" s="107" t="n"/>
      <c r="M860" s="192" t="n">
        <v>0</v>
      </c>
    </row>
    <row r="861" ht="15" customHeight="1">
      <c r="A861" s="111" t="inlineStr">
        <is>
          <t>002095</t>
        </is>
      </c>
      <c r="B861" s="111" t="inlineStr">
        <is>
          <t>000414</t>
        </is>
      </c>
      <c r="C861" s="111" t="inlineStr">
        <is>
          <t>PIMENTA DO REINO MOIDA</t>
        </is>
      </c>
      <c r="D861" s="111" t="n"/>
      <c r="E861" s="194" t="n">
        <v>0.0005999999999999999</v>
      </c>
      <c r="F861" s="195" t="n">
        <v>0.47</v>
      </c>
      <c r="G861" s="196" t="n">
        <v>0</v>
      </c>
      <c r="H861" s="195" t="n">
        <v>0</v>
      </c>
      <c r="I861" s="195" t="n">
        <v>0</v>
      </c>
      <c r="J861" s="111" t="n"/>
      <c r="K861" s="111" t="n"/>
      <c r="L861" s="111" t="n"/>
      <c r="M861" s="195" t="n">
        <v>0</v>
      </c>
    </row>
    <row r="862" ht="15" customHeight="1">
      <c r="A862" s="107" t="inlineStr">
        <is>
          <t>002095</t>
        </is>
      </c>
      <c r="B862" s="107" t="inlineStr">
        <is>
          <t>000424</t>
        </is>
      </c>
      <c r="C862" s="107" t="inlineStr">
        <is>
          <t>VINAGRE AGRIN BRANCO NEVAL GARRAFA 750ML</t>
        </is>
      </c>
      <c r="D862" s="107" t="n"/>
      <c r="E862" s="191" t="n">
        <v>0.007</v>
      </c>
      <c r="F862" s="192" t="n">
        <v>1.9</v>
      </c>
      <c r="G862" s="193" t="n">
        <v>0</v>
      </c>
      <c r="H862" s="192" t="n">
        <v>0</v>
      </c>
      <c r="I862" s="192" t="n">
        <v>0</v>
      </c>
      <c r="J862" s="107" t="n"/>
      <c r="K862" s="107" t="n"/>
      <c r="L862" s="107" t="n"/>
      <c r="M862" s="192" t="n">
        <v>0</v>
      </c>
    </row>
    <row r="863" ht="15" customHeight="1">
      <c r="A863" s="111" t="inlineStr">
        <is>
          <t>002095</t>
        </is>
      </c>
      <c r="B863" s="111" t="inlineStr">
        <is>
          <t>000426</t>
        </is>
      </c>
      <c r="C863" s="111" t="inlineStr">
        <is>
          <t>BACON EM CUBOS</t>
        </is>
      </c>
      <c r="D863" s="111" t="n"/>
      <c r="E863" s="194" t="n">
        <v>0.004</v>
      </c>
      <c r="F863" s="195" t="n">
        <v>531.25</v>
      </c>
      <c r="G863" s="196" t="n">
        <v>0</v>
      </c>
      <c r="H863" s="195" t="n">
        <v>0</v>
      </c>
      <c r="I863" s="195" t="n">
        <v>0</v>
      </c>
      <c r="J863" s="111" t="n"/>
      <c r="K863" s="111" t="n"/>
      <c r="L863" s="111" t="n"/>
      <c r="M863" s="195" t="n">
        <v>0</v>
      </c>
    </row>
    <row r="864" ht="15" customHeight="1">
      <c r="A864" s="107" t="inlineStr">
        <is>
          <t>002095</t>
        </is>
      </c>
      <c r="B864" s="107" t="inlineStr">
        <is>
          <t>000437</t>
        </is>
      </c>
      <c r="C864" s="107" t="inlineStr">
        <is>
          <t>CHOCOLATE GAROTO BARRA 2,1KG</t>
        </is>
      </c>
      <c r="D864" s="107" t="n"/>
      <c r="E864" s="191" t="n">
        <v>0.03</v>
      </c>
      <c r="F864" s="192" t="n">
        <v>0</v>
      </c>
      <c r="G864" s="193" t="n">
        <v>0</v>
      </c>
      <c r="H864" s="192" t="n">
        <v>0</v>
      </c>
      <c r="I864" s="192" t="n">
        <v>0</v>
      </c>
      <c r="J864" s="107" t="n"/>
      <c r="K864" s="107" t="n"/>
      <c r="L864" s="107" t="n"/>
      <c r="M864" s="192" t="n">
        <v>0</v>
      </c>
    </row>
    <row r="865" ht="15" customHeight="1">
      <c r="A865" s="111" t="inlineStr">
        <is>
          <t>002095</t>
        </is>
      </c>
      <c r="B865" s="111" t="inlineStr">
        <is>
          <t>000463</t>
        </is>
      </c>
      <c r="C865" s="111" t="inlineStr">
        <is>
          <t>ALHO DESCASCADO</t>
        </is>
      </c>
      <c r="D865" s="111" t="n"/>
      <c r="E865" s="194" t="n">
        <v>0.001</v>
      </c>
      <c r="F865" s="195" t="n">
        <v>4.95</v>
      </c>
      <c r="G865" s="196" t="n">
        <v>0</v>
      </c>
      <c r="H865" s="195" t="n">
        <v>0</v>
      </c>
      <c r="I865" s="195" t="n">
        <v>0</v>
      </c>
      <c r="J865" s="111" t="n"/>
      <c r="K865" s="111" t="n"/>
      <c r="L865" s="111" t="n"/>
      <c r="M865" s="195" t="n">
        <v>0</v>
      </c>
    </row>
    <row r="866" ht="15" customHeight="1">
      <c r="A866" s="107" t="inlineStr">
        <is>
          <t>002095</t>
        </is>
      </c>
      <c r="B866" s="107" t="inlineStr">
        <is>
          <t>000468</t>
        </is>
      </c>
      <c r="C866" s="107" t="inlineStr">
        <is>
          <t>CEBOLA MEDIA</t>
        </is>
      </c>
      <c r="D866" s="107" t="n"/>
      <c r="E866" s="191" t="n">
        <v>0.013</v>
      </c>
      <c r="F866" s="192" t="n">
        <v>12130.97</v>
      </c>
      <c r="G866" s="193" t="n">
        <v>0</v>
      </c>
      <c r="H866" s="192" t="n">
        <v>0</v>
      </c>
      <c r="I866" s="192" t="n">
        <v>0</v>
      </c>
      <c r="J866" s="107" t="n"/>
      <c r="K866" s="107" t="n"/>
      <c r="L866" s="107" t="n"/>
      <c r="M866" s="192" t="n">
        <v>0</v>
      </c>
    </row>
    <row r="867" ht="15" customHeight="1">
      <c r="A867" s="111" t="inlineStr">
        <is>
          <t>002095</t>
        </is>
      </c>
      <c r="B867" s="111" t="inlineStr">
        <is>
          <t>000475</t>
        </is>
      </c>
      <c r="C867" s="111" t="inlineStr">
        <is>
          <t>FOLHA DE LOURO</t>
        </is>
      </c>
      <c r="D867" s="111" t="n"/>
      <c r="E867" s="194" t="n">
        <v>0.002</v>
      </c>
      <c r="F867" s="195" t="n">
        <v>3.88</v>
      </c>
      <c r="G867" s="196" t="n">
        <v>0</v>
      </c>
      <c r="H867" s="195" t="n">
        <v>0</v>
      </c>
      <c r="I867" s="195" t="n">
        <v>0</v>
      </c>
      <c r="J867" s="111" t="n"/>
      <c r="K867" s="111" t="n"/>
      <c r="L867" s="111" t="n"/>
      <c r="M867" s="195" t="n">
        <v>0</v>
      </c>
    </row>
    <row r="868" ht="15" customHeight="1">
      <c r="A868" s="107" t="inlineStr">
        <is>
          <t>002095</t>
        </is>
      </c>
      <c r="B868" s="107" t="inlineStr">
        <is>
          <t>000484</t>
        </is>
      </c>
      <c r="C868" s="107" t="inlineStr">
        <is>
          <t>SALSA LISA INDUSTRIAL</t>
        </is>
      </c>
      <c r="D868" s="107" t="n"/>
      <c r="E868" s="191" t="n">
        <v>0.008999999999999999</v>
      </c>
      <c r="F868" s="192" t="n">
        <v>7.61</v>
      </c>
      <c r="G868" s="193" t="n">
        <v>0</v>
      </c>
      <c r="H868" s="192" t="n">
        <v>0</v>
      </c>
      <c r="I868" s="192" t="n">
        <v>0</v>
      </c>
      <c r="J868" s="107" t="n"/>
      <c r="K868" s="107" t="n"/>
      <c r="L868" s="107" t="n"/>
      <c r="M868" s="192" t="n">
        <v>0</v>
      </c>
    </row>
    <row r="869" ht="15" customHeight="1">
      <c r="A869" s="111" t="inlineStr">
        <is>
          <t>002095</t>
        </is>
      </c>
      <c r="B869" s="111" t="inlineStr">
        <is>
          <t>000486</t>
        </is>
      </c>
      <c r="C869" s="111" t="inlineStr">
        <is>
          <t>TOMATE SALADA</t>
        </is>
      </c>
      <c r="D869" s="111" t="n"/>
      <c r="E869" s="194" t="n">
        <v>0.026</v>
      </c>
      <c r="F869" s="195" t="n">
        <v>18.59</v>
      </c>
      <c r="G869" s="196" t="n">
        <v>0</v>
      </c>
      <c r="H869" s="195" t="n">
        <v>0</v>
      </c>
      <c r="I869" s="195" t="n">
        <v>0</v>
      </c>
      <c r="J869" s="111" t="n"/>
      <c r="K869" s="111" t="n"/>
      <c r="L869" s="111" t="n"/>
      <c r="M869" s="195" t="n">
        <v>0</v>
      </c>
    </row>
    <row r="870" ht="15" customHeight="1">
      <c r="A870" s="107" t="inlineStr">
        <is>
          <t>002095</t>
        </is>
      </c>
      <c r="B870" s="107" t="inlineStr">
        <is>
          <t>000590</t>
        </is>
      </c>
      <c r="C870" s="107" t="inlineStr">
        <is>
          <t>MORANGO FRUTA</t>
        </is>
      </c>
      <c r="D870" s="107" t="n"/>
      <c r="E870" s="191" t="n">
        <v>0.08</v>
      </c>
      <c r="F870" s="192" t="n">
        <v>0</v>
      </c>
      <c r="G870" s="193" t="n">
        <v>0</v>
      </c>
      <c r="H870" s="192" t="n">
        <v>0</v>
      </c>
      <c r="I870" s="192" t="n">
        <v>0</v>
      </c>
      <c r="J870" s="107" t="n"/>
      <c r="K870" s="107" t="n"/>
      <c r="L870" s="107" t="n"/>
      <c r="M870" s="192" t="n">
        <v>0</v>
      </c>
    </row>
    <row r="871" ht="15" customHeight="1">
      <c r="A871" s="111" t="inlineStr">
        <is>
          <t>002095</t>
        </is>
      </c>
      <c r="B871" s="111" t="inlineStr">
        <is>
          <t>000614</t>
        </is>
      </c>
      <c r="C871" s="111" t="inlineStr">
        <is>
          <t>SAL REFINADO</t>
        </is>
      </c>
      <c r="D871" s="111" t="n"/>
      <c r="E871" s="194" t="n">
        <v>0.006</v>
      </c>
      <c r="F871" s="195" t="n">
        <v>4.71</v>
      </c>
      <c r="G871" s="196" t="n">
        <v>0</v>
      </c>
      <c r="H871" s="195" t="n">
        <v>0</v>
      </c>
      <c r="I871" s="195" t="n">
        <v>0</v>
      </c>
      <c r="J871" s="111" t="n"/>
      <c r="K871" s="111" t="n"/>
      <c r="L871" s="111" t="n"/>
      <c r="M871" s="195" t="n">
        <v>0</v>
      </c>
    </row>
    <row r="872" ht="15" customHeight="1">
      <c r="A872" s="107" t="inlineStr">
        <is>
          <t>002095</t>
        </is>
      </c>
      <c r="B872" s="107" t="inlineStr">
        <is>
          <t>000667</t>
        </is>
      </c>
      <c r="C872" s="107" t="inlineStr">
        <is>
          <t>TOMILHO</t>
        </is>
      </c>
      <c r="D872" s="107" t="n"/>
      <c r="E872" s="191" t="n">
        <v>0.001</v>
      </c>
      <c r="F872" s="192" t="n">
        <v>126.29</v>
      </c>
      <c r="G872" s="193" t="n">
        <v>0</v>
      </c>
      <c r="H872" s="192" t="n">
        <v>0</v>
      </c>
      <c r="I872" s="192" t="n">
        <v>0</v>
      </c>
      <c r="J872" s="107" t="n"/>
      <c r="K872" s="107" t="n"/>
      <c r="L872" s="107" t="n"/>
      <c r="M872" s="192" t="n">
        <v>0</v>
      </c>
    </row>
    <row r="873" ht="15" customHeight="1">
      <c r="A873" s="111" t="inlineStr">
        <is>
          <t>002095</t>
        </is>
      </c>
      <c r="B873" s="111" t="inlineStr">
        <is>
          <t>000668</t>
        </is>
      </c>
      <c r="C873" s="111" t="inlineStr">
        <is>
          <t>ALECRIM</t>
        </is>
      </c>
      <c r="D873" s="111" t="n"/>
      <c r="E873" s="194" t="n">
        <v>0.001</v>
      </c>
      <c r="F873" s="195" t="n">
        <v>4216.82</v>
      </c>
      <c r="G873" s="196" t="n">
        <v>0</v>
      </c>
      <c r="H873" s="195" t="n">
        <v>0</v>
      </c>
      <c r="I873" s="195" t="n">
        <v>0</v>
      </c>
      <c r="J873" s="111" t="n"/>
      <c r="K873" s="111" t="n"/>
      <c r="L873" s="111" t="n"/>
      <c r="M873" s="195" t="n">
        <v>0</v>
      </c>
    </row>
    <row r="874" ht="15" customHeight="1">
      <c r="A874" s="107" t="inlineStr">
        <is>
          <t>002095</t>
        </is>
      </c>
      <c r="B874" s="107" t="inlineStr">
        <is>
          <t>000747</t>
        </is>
      </c>
      <c r="C874" s="107" t="inlineStr">
        <is>
          <t>AZEITE OLEO COMPOSTO 5 LITROS</t>
        </is>
      </c>
      <c r="D874" s="107" t="n"/>
      <c r="E874" s="191" t="n">
        <v>0.0013</v>
      </c>
      <c r="F874" s="192" t="n">
        <v>8.24</v>
      </c>
      <c r="G874" s="193" t="n">
        <v>0</v>
      </c>
      <c r="H874" s="192" t="n">
        <v>0</v>
      </c>
      <c r="I874" s="192" t="n">
        <v>0</v>
      </c>
      <c r="J874" s="107" t="n"/>
      <c r="K874" s="107" t="n"/>
      <c r="L874" s="107" t="n"/>
      <c r="M874" s="192" t="n">
        <v>0</v>
      </c>
    </row>
    <row r="875" ht="15" customHeight="1">
      <c r="A875" s="111" t="inlineStr">
        <is>
          <t>002095</t>
        </is>
      </c>
      <c r="B875" s="111" t="inlineStr">
        <is>
          <t>002067</t>
        </is>
      </c>
      <c r="C875" s="111" t="inlineStr">
        <is>
          <t>FARINHA PANKO EMPANAR</t>
        </is>
      </c>
      <c r="D875" s="111" t="n"/>
      <c r="E875" s="194" t="n">
        <v>0.02</v>
      </c>
      <c r="F875" s="195" t="n">
        <v>166.05</v>
      </c>
      <c r="G875" s="196" t="n">
        <v>0</v>
      </c>
      <c r="H875" s="195" t="n">
        <v>0</v>
      </c>
      <c r="I875" s="195" t="n">
        <v>0</v>
      </c>
      <c r="J875" s="111" t="n"/>
      <c r="K875" s="111" t="n"/>
      <c r="L875" s="111" t="n"/>
      <c r="M875" s="195" t="n">
        <v>0</v>
      </c>
    </row>
    <row r="876" ht="15" customHeight="1">
      <c r="A876" s="107" t="inlineStr">
        <is>
          <t>002095</t>
        </is>
      </c>
      <c r="B876" s="107" t="inlineStr">
        <is>
          <t>002068</t>
        </is>
      </c>
      <c r="C876" s="107" t="inlineStr">
        <is>
          <t>MANTEIGA S/SAL 5KG</t>
        </is>
      </c>
      <c r="D876" s="107" t="n"/>
      <c r="E876" s="191" t="n">
        <v>0.008999999999999999</v>
      </c>
      <c r="F876" s="192" t="n">
        <v>1997.46</v>
      </c>
      <c r="G876" s="193" t="n">
        <v>0</v>
      </c>
      <c r="H876" s="192" t="n">
        <v>0</v>
      </c>
      <c r="I876" s="192" t="n">
        <v>0</v>
      </c>
      <c r="J876" s="107" t="n"/>
      <c r="K876" s="107" t="n"/>
      <c r="L876" s="107" t="n"/>
      <c r="M876" s="192" t="n">
        <v>0</v>
      </c>
    </row>
    <row r="877" ht="15" customHeight="1">
      <c r="A877" s="111" t="inlineStr">
        <is>
          <t>002095</t>
        </is>
      </c>
      <c r="B877" s="111" t="inlineStr">
        <is>
          <t>002070</t>
        </is>
      </c>
      <c r="C877" s="111" t="inlineStr">
        <is>
          <t>ALHO PORO</t>
        </is>
      </c>
      <c r="D877" s="111" t="n"/>
      <c r="E877" s="194" t="n">
        <v>0.004</v>
      </c>
      <c r="F877" s="195" t="n">
        <v>0.32</v>
      </c>
      <c r="G877" s="196" t="n">
        <v>0</v>
      </c>
      <c r="H877" s="195" t="n">
        <v>0</v>
      </c>
      <c r="I877" s="195" t="n">
        <v>0</v>
      </c>
      <c r="J877" s="111" t="n"/>
      <c r="K877" s="111" t="n"/>
      <c r="L877" s="111" t="n"/>
      <c r="M877" s="195" t="n">
        <v>0</v>
      </c>
    </row>
    <row r="878" ht="15" customHeight="1">
      <c r="A878" s="107" t="inlineStr">
        <is>
          <t>002096</t>
        </is>
      </c>
      <c r="B878" s="107" t="inlineStr">
        <is>
          <t>000287</t>
        </is>
      </c>
      <c r="C878" s="107" t="inlineStr">
        <is>
          <t>ESPETO CALABRESA C/ PIMENTA</t>
        </is>
      </c>
      <c r="D878" s="107" t="n"/>
      <c r="E878" s="191" t="n">
        <v>1</v>
      </c>
      <c r="F878" s="192" t="n">
        <v>119.93</v>
      </c>
      <c r="G878" s="193" t="n">
        <v>0</v>
      </c>
      <c r="H878" s="192" t="n">
        <v>0</v>
      </c>
      <c r="I878" s="192" t="n">
        <v>0</v>
      </c>
      <c r="J878" s="107" t="n"/>
      <c r="K878" s="107" t="n"/>
      <c r="L878" s="107" t="n"/>
      <c r="M878" s="192" t="n">
        <v>0</v>
      </c>
    </row>
    <row r="879" ht="15" customHeight="1">
      <c r="A879" s="111" t="inlineStr">
        <is>
          <t>002096</t>
        </is>
      </c>
      <c r="B879" s="111" t="inlineStr">
        <is>
          <t>000377</t>
        </is>
      </c>
      <c r="C879" s="111" t="inlineStr">
        <is>
          <t>ARROZ TIPO 1</t>
        </is>
      </c>
      <c r="D879" s="111" t="n"/>
      <c r="E879" s="194" t="n">
        <v>0.15</v>
      </c>
      <c r="F879" s="195" t="n">
        <v>363.44</v>
      </c>
      <c r="G879" s="196" t="n">
        <v>0</v>
      </c>
      <c r="H879" s="195" t="n">
        <v>0</v>
      </c>
      <c r="I879" s="195" t="n">
        <v>0</v>
      </c>
      <c r="J879" s="111" t="n"/>
      <c r="K879" s="111" t="n"/>
      <c r="L879" s="111" t="n"/>
      <c r="M879" s="195" t="n">
        <v>0</v>
      </c>
    </row>
    <row r="880" ht="15" customHeight="1">
      <c r="A880" s="107" t="inlineStr">
        <is>
          <t>002096</t>
        </is>
      </c>
      <c r="B880" s="107" t="inlineStr">
        <is>
          <t>000412</t>
        </is>
      </c>
      <c r="C880" s="107" t="inlineStr">
        <is>
          <t>OLEO DE SOJA LIZA 900ML</t>
        </is>
      </c>
      <c r="D880" s="107" t="n"/>
      <c r="E880" s="191" t="n">
        <v>0.042</v>
      </c>
      <c r="F880" s="192" t="n">
        <v>469.39</v>
      </c>
      <c r="G880" s="193" t="n">
        <v>0</v>
      </c>
      <c r="H880" s="192" t="n">
        <v>0</v>
      </c>
      <c r="I880" s="192" t="n">
        <v>0</v>
      </c>
      <c r="J880" s="107" t="n"/>
      <c r="K880" s="107" t="n"/>
      <c r="L880" s="107" t="n"/>
      <c r="M880" s="192" t="n">
        <v>0</v>
      </c>
    </row>
    <row r="881" ht="15" customHeight="1">
      <c r="A881" s="111" t="inlineStr">
        <is>
          <t>002096</t>
        </is>
      </c>
      <c r="B881" s="111" t="inlineStr">
        <is>
          <t>000424</t>
        </is>
      </c>
      <c r="C881" s="111" t="inlineStr">
        <is>
          <t>VINAGRE AGRIN BRANCO NEVAL GARRAFA 750ML</t>
        </is>
      </c>
      <c r="D881" s="111" t="n"/>
      <c r="E881" s="194" t="n">
        <v>0.017</v>
      </c>
      <c r="F881" s="195" t="n">
        <v>71.51000000000001</v>
      </c>
      <c r="G881" s="196" t="n">
        <v>0</v>
      </c>
      <c r="H881" s="195" t="n">
        <v>0</v>
      </c>
      <c r="I881" s="195" t="n">
        <v>0</v>
      </c>
      <c r="J881" s="111" t="n"/>
      <c r="K881" s="111" t="n"/>
      <c r="L881" s="111" t="n"/>
      <c r="M881" s="195" t="n">
        <v>0</v>
      </c>
    </row>
    <row r="882" ht="15" customHeight="1">
      <c r="A882" s="107" t="inlineStr">
        <is>
          <t>002096</t>
        </is>
      </c>
      <c r="B882" s="107" t="inlineStr">
        <is>
          <t>000426</t>
        </is>
      </c>
      <c r="C882" s="107" t="inlineStr">
        <is>
          <t>BACON EM CUBOS</t>
        </is>
      </c>
      <c r="D882" s="107" t="n"/>
      <c r="E882" s="191" t="n">
        <v>0.017</v>
      </c>
      <c r="F882" s="192" t="n">
        <v>397.76</v>
      </c>
      <c r="G882" s="193" t="n">
        <v>0</v>
      </c>
      <c r="H882" s="192" t="n">
        <v>0</v>
      </c>
      <c r="I882" s="192" t="n">
        <v>0</v>
      </c>
      <c r="J882" s="107" t="n"/>
      <c r="K882" s="107" t="n"/>
      <c r="L882" s="107" t="n"/>
      <c r="M882" s="192" t="n">
        <v>0</v>
      </c>
    </row>
    <row r="883" ht="15" customHeight="1">
      <c r="A883" s="111" t="inlineStr">
        <is>
          <t>002096</t>
        </is>
      </c>
      <c r="B883" s="111" t="inlineStr">
        <is>
          <t>000437</t>
        </is>
      </c>
      <c r="C883" s="111" t="inlineStr">
        <is>
          <t>CHOCOLATE GAROTO BARRA 2,1KG</t>
        </is>
      </c>
      <c r="D883" s="111" t="n"/>
      <c r="E883" s="194" t="n">
        <v>0.03</v>
      </c>
      <c r="F883" s="195" t="n">
        <v>109.91</v>
      </c>
      <c r="G883" s="196" t="n">
        <v>0</v>
      </c>
      <c r="H883" s="195" t="n">
        <v>0</v>
      </c>
      <c r="I883" s="195" t="n">
        <v>0</v>
      </c>
      <c r="J883" s="111" t="n"/>
      <c r="K883" s="111" t="n"/>
      <c r="L883" s="111" t="n"/>
      <c r="M883" s="195" t="n">
        <v>0</v>
      </c>
    </row>
    <row r="884" ht="15" customHeight="1">
      <c r="A884" s="107" t="inlineStr">
        <is>
          <t>002096</t>
        </is>
      </c>
      <c r="B884" s="107" t="inlineStr">
        <is>
          <t>000463</t>
        </is>
      </c>
      <c r="C884" s="107" t="inlineStr">
        <is>
          <t>ALHO DESCASCADO</t>
        </is>
      </c>
      <c r="D884" s="107" t="n"/>
      <c r="E884" s="191" t="n">
        <v>0.003</v>
      </c>
      <c r="F884" s="192" t="n">
        <v>14.86</v>
      </c>
      <c r="G884" s="193" t="n">
        <v>0</v>
      </c>
      <c r="H884" s="192" t="n">
        <v>0</v>
      </c>
      <c r="I884" s="192" t="n">
        <v>0</v>
      </c>
      <c r="J884" s="107" t="n"/>
      <c r="K884" s="107" t="n"/>
      <c r="L884" s="107" t="n"/>
      <c r="M884" s="192" t="n">
        <v>0</v>
      </c>
    </row>
    <row r="885" ht="15" customHeight="1">
      <c r="A885" s="111" t="inlineStr">
        <is>
          <t>002096</t>
        </is>
      </c>
      <c r="B885" s="111" t="inlineStr">
        <is>
          <t>000468</t>
        </is>
      </c>
      <c r="C885" s="111" t="inlineStr">
        <is>
          <t>CEBOLA MEDIA</t>
        </is>
      </c>
      <c r="D885" s="111" t="n"/>
      <c r="E885" s="194" t="n">
        <v>0.29</v>
      </c>
      <c r="F885" s="195" t="n">
        <v>186.16</v>
      </c>
      <c r="G885" s="196" t="n">
        <v>0</v>
      </c>
      <c r="H885" s="195" t="n">
        <v>0</v>
      </c>
      <c r="I885" s="195" t="n">
        <v>0</v>
      </c>
      <c r="J885" s="111" t="n"/>
      <c r="K885" s="111" t="n"/>
      <c r="L885" s="111" t="n"/>
      <c r="M885" s="195" t="n">
        <v>0</v>
      </c>
    </row>
    <row r="886" ht="15" customHeight="1">
      <c r="A886" s="107" t="inlineStr">
        <is>
          <t>002096</t>
        </is>
      </c>
      <c r="B886" s="107" t="inlineStr">
        <is>
          <t>000484</t>
        </is>
      </c>
      <c r="C886" s="107" t="inlineStr">
        <is>
          <t>SALSA LISA INDUSTRIAL</t>
        </is>
      </c>
      <c r="D886" s="107" t="n"/>
      <c r="E886" s="191" t="n">
        <v>0.022</v>
      </c>
      <c r="F886" s="192" t="n">
        <v>9.31</v>
      </c>
      <c r="G886" s="193" t="n">
        <v>0</v>
      </c>
      <c r="H886" s="192" t="n">
        <v>0</v>
      </c>
      <c r="I886" s="192" t="n">
        <v>0</v>
      </c>
      <c r="J886" s="107" t="n"/>
      <c r="K886" s="107" t="n"/>
      <c r="L886" s="107" t="n"/>
      <c r="M886" s="192" t="n">
        <v>0</v>
      </c>
    </row>
    <row r="887" ht="15" customHeight="1">
      <c r="A887" s="111" t="inlineStr">
        <is>
          <t>002096</t>
        </is>
      </c>
      <c r="B887" s="111" t="inlineStr">
        <is>
          <t>000486</t>
        </is>
      </c>
      <c r="C887" s="111" t="inlineStr">
        <is>
          <t>TOMATE SALADA</t>
        </is>
      </c>
      <c r="D887" s="111" t="n"/>
      <c r="E887" s="194" t="n">
        <v>0.058</v>
      </c>
      <c r="F887" s="195" t="n">
        <v>40.34</v>
      </c>
      <c r="G887" s="196" t="n">
        <v>0</v>
      </c>
      <c r="H887" s="195" t="n">
        <v>0</v>
      </c>
      <c r="I887" s="195" t="n">
        <v>0</v>
      </c>
      <c r="J887" s="111" t="n"/>
      <c r="K887" s="111" t="n"/>
      <c r="L887" s="111" t="n"/>
      <c r="M887" s="195" t="n">
        <v>0</v>
      </c>
    </row>
    <row r="888" ht="15" customHeight="1">
      <c r="A888" s="107" t="inlineStr">
        <is>
          <t>002096</t>
        </is>
      </c>
      <c r="B888" s="107" t="inlineStr">
        <is>
          <t>000590</t>
        </is>
      </c>
      <c r="C888" s="107" t="inlineStr">
        <is>
          <t>MORANGO FRUTA</t>
        </is>
      </c>
      <c r="D888" s="107" t="n"/>
      <c r="E888" s="191" t="n">
        <v>0.08</v>
      </c>
      <c r="F888" s="192" t="n">
        <v>676.48</v>
      </c>
      <c r="G888" s="193" t="n">
        <v>0</v>
      </c>
      <c r="H888" s="192" t="n">
        <v>0</v>
      </c>
      <c r="I888" s="192" t="n">
        <v>0</v>
      </c>
      <c r="J888" s="107" t="n"/>
      <c r="K888" s="107" t="n"/>
      <c r="L888" s="107" t="n"/>
      <c r="M888" s="192" t="n">
        <v>0</v>
      </c>
    </row>
    <row r="889" ht="15" customHeight="1">
      <c r="A889" s="111" t="inlineStr">
        <is>
          <t>002096</t>
        </is>
      </c>
      <c r="B889" s="111" t="inlineStr">
        <is>
          <t>000614</t>
        </is>
      </c>
      <c r="C889" s="111" t="inlineStr">
        <is>
          <t>SAL REFINADO</t>
        </is>
      </c>
      <c r="D889" s="111" t="n"/>
      <c r="E889" s="194" t="n">
        <v>0.008999999999999999</v>
      </c>
      <c r="F889" s="195" t="n">
        <v>0.85</v>
      </c>
      <c r="G889" s="196" t="n">
        <v>0</v>
      </c>
      <c r="H889" s="195" t="n">
        <v>0</v>
      </c>
      <c r="I889" s="195" t="n">
        <v>0</v>
      </c>
      <c r="J889" s="111" t="n"/>
      <c r="K889" s="111" t="n"/>
      <c r="L889" s="111" t="n"/>
      <c r="M889" s="195" t="n">
        <v>0</v>
      </c>
    </row>
    <row r="890" ht="15" customHeight="1">
      <c r="A890" s="107" t="inlineStr">
        <is>
          <t>002096</t>
        </is>
      </c>
      <c r="B890" s="107" t="inlineStr">
        <is>
          <t>000747</t>
        </is>
      </c>
      <c r="C890" s="107" t="inlineStr">
        <is>
          <t>AZEITE OLEO COMPOSTO 5 LITROS</t>
        </is>
      </c>
      <c r="D890" s="107" t="n"/>
      <c r="E890" s="191" t="n">
        <v>0.029</v>
      </c>
      <c r="F890" s="192" t="n">
        <v>411.96</v>
      </c>
      <c r="G890" s="193" t="n">
        <v>0</v>
      </c>
      <c r="H890" s="192" t="n">
        <v>0</v>
      </c>
      <c r="I890" s="192" t="n">
        <v>0</v>
      </c>
      <c r="J890" s="107" t="n"/>
      <c r="K890" s="107" t="n"/>
      <c r="L890" s="107" t="n"/>
      <c r="M890" s="192" t="n">
        <v>0</v>
      </c>
    </row>
    <row r="891" ht="15" customHeight="1">
      <c r="A891" s="111" t="inlineStr">
        <is>
          <t>002096</t>
        </is>
      </c>
      <c r="B891" s="111" t="inlineStr">
        <is>
          <t>002067</t>
        </is>
      </c>
      <c r="C891" s="111" t="inlineStr">
        <is>
          <t>FARINHA PANKO EMPANAR</t>
        </is>
      </c>
      <c r="D891" s="111" t="n"/>
      <c r="E891" s="194" t="n">
        <v>0.147</v>
      </c>
      <c r="F891" s="195" t="n">
        <v>0</v>
      </c>
      <c r="G891" s="196" t="n">
        <v>0</v>
      </c>
      <c r="H891" s="195" t="n">
        <v>0</v>
      </c>
      <c r="I891" s="195" t="n">
        <v>0</v>
      </c>
      <c r="J891" s="111" t="n"/>
      <c r="K891" s="111" t="n"/>
      <c r="L891" s="111" t="n"/>
      <c r="M891" s="195" t="n">
        <v>0</v>
      </c>
    </row>
    <row r="892" ht="15" customHeight="1">
      <c r="A892" s="107" t="inlineStr">
        <is>
          <t>002097</t>
        </is>
      </c>
      <c r="B892" s="107" t="inlineStr">
        <is>
          <t>000288</t>
        </is>
      </c>
      <c r="C892" s="107" t="inlineStr">
        <is>
          <t>ESPETO CALABRESA S/ PIMENTA</t>
        </is>
      </c>
      <c r="D892" s="107" t="n"/>
      <c r="E892" s="191" t="n">
        <v>1</v>
      </c>
      <c r="F892" s="192" t="n">
        <v>0</v>
      </c>
      <c r="G892" s="193" t="n">
        <v>0</v>
      </c>
      <c r="H892" s="192" t="n">
        <v>0</v>
      </c>
      <c r="I892" s="192" t="n">
        <v>0</v>
      </c>
      <c r="J892" s="107" t="n"/>
      <c r="K892" s="107" t="n"/>
      <c r="L892" s="107" t="n"/>
      <c r="M892" s="192" t="n">
        <v>0</v>
      </c>
    </row>
    <row r="893" ht="15" customHeight="1">
      <c r="A893" s="111" t="inlineStr">
        <is>
          <t>002097</t>
        </is>
      </c>
      <c r="B893" s="111" t="inlineStr">
        <is>
          <t>000377</t>
        </is>
      </c>
      <c r="C893" s="111" t="inlineStr">
        <is>
          <t>ARROZ TIPO 1</t>
        </is>
      </c>
      <c r="D893" s="111" t="n"/>
      <c r="E893" s="194" t="n">
        <v>0.15</v>
      </c>
      <c r="F893" s="195" t="n">
        <v>0</v>
      </c>
      <c r="G893" s="196" t="n">
        <v>0</v>
      </c>
      <c r="H893" s="195" t="n">
        <v>0</v>
      </c>
      <c r="I893" s="195" t="n">
        <v>0</v>
      </c>
      <c r="J893" s="111" t="n"/>
      <c r="K893" s="111" t="n"/>
      <c r="L893" s="111" t="n"/>
      <c r="M893" s="195" t="n">
        <v>0</v>
      </c>
    </row>
    <row r="894" ht="15" customHeight="1">
      <c r="A894" s="107" t="inlineStr">
        <is>
          <t>002097</t>
        </is>
      </c>
      <c r="B894" s="107" t="inlineStr">
        <is>
          <t>000391</t>
        </is>
      </c>
      <c r="C894" s="107" t="inlineStr">
        <is>
          <t>FAROFA TEMPERADA</t>
        </is>
      </c>
      <c r="D894" s="107" t="n"/>
      <c r="E894" s="191" t="n">
        <v>0.147</v>
      </c>
      <c r="F894" s="192" t="n">
        <v>0</v>
      </c>
      <c r="G894" s="193" t="n">
        <v>0</v>
      </c>
      <c r="H894" s="192" t="n">
        <v>0</v>
      </c>
      <c r="I894" s="192" t="n">
        <v>0</v>
      </c>
      <c r="J894" s="107" t="n"/>
      <c r="K894" s="107" t="n"/>
      <c r="L894" s="107" t="n"/>
      <c r="M894" s="192" t="n">
        <v>0</v>
      </c>
    </row>
    <row r="895" ht="15" customHeight="1">
      <c r="A895" s="111" t="inlineStr">
        <is>
          <t>002097</t>
        </is>
      </c>
      <c r="B895" s="111" t="inlineStr">
        <is>
          <t>000412</t>
        </is>
      </c>
      <c r="C895" s="111" t="inlineStr">
        <is>
          <t>OLEO DE SOJA LIZA 900ML</t>
        </is>
      </c>
      <c r="D895" s="111" t="n"/>
      <c r="E895" s="194" t="n">
        <v>0.042</v>
      </c>
      <c r="F895" s="195" t="n">
        <v>0</v>
      </c>
      <c r="G895" s="196" t="n">
        <v>0</v>
      </c>
      <c r="H895" s="195" t="n">
        <v>0</v>
      </c>
      <c r="I895" s="195" t="n">
        <v>0</v>
      </c>
      <c r="J895" s="111" t="n"/>
      <c r="K895" s="111" t="n"/>
      <c r="L895" s="111" t="n"/>
      <c r="M895" s="195" t="n">
        <v>0</v>
      </c>
    </row>
    <row r="896" ht="15" customHeight="1">
      <c r="A896" s="107" t="inlineStr">
        <is>
          <t>002097</t>
        </is>
      </c>
      <c r="B896" s="107" t="inlineStr">
        <is>
          <t>000424</t>
        </is>
      </c>
      <c r="C896" s="107" t="inlineStr">
        <is>
          <t>VINAGRE AGRIN BRANCO NEVAL GARRAFA 750ML</t>
        </is>
      </c>
      <c r="D896" s="107" t="n"/>
      <c r="E896" s="191" t="n">
        <v>0.017</v>
      </c>
      <c r="F896" s="192" t="n">
        <v>0</v>
      </c>
      <c r="G896" s="193" t="n">
        <v>0</v>
      </c>
      <c r="H896" s="192" t="n">
        <v>0</v>
      </c>
      <c r="I896" s="192" t="n">
        <v>0</v>
      </c>
      <c r="J896" s="107" t="n"/>
      <c r="K896" s="107" t="n"/>
      <c r="L896" s="107" t="n"/>
      <c r="M896" s="192" t="n">
        <v>0</v>
      </c>
    </row>
    <row r="897" ht="15" customHeight="1">
      <c r="A897" s="111" t="inlineStr">
        <is>
          <t>002097</t>
        </is>
      </c>
      <c r="B897" s="111" t="inlineStr">
        <is>
          <t>000426</t>
        </is>
      </c>
      <c r="C897" s="111" t="inlineStr">
        <is>
          <t>BACON EM CUBOS</t>
        </is>
      </c>
      <c r="D897" s="111" t="n"/>
      <c r="E897" s="194" t="n">
        <v>0.017</v>
      </c>
      <c r="F897" s="195" t="n">
        <v>0</v>
      </c>
      <c r="G897" s="196" t="n">
        <v>0</v>
      </c>
      <c r="H897" s="195" t="n">
        <v>0</v>
      </c>
      <c r="I897" s="195" t="n">
        <v>0</v>
      </c>
      <c r="J897" s="111" t="n"/>
      <c r="K897" s="111" t="n"/>
      <c r="L897" s="111" t="n"/>
      <c r="M897" s="195" t="n">
        <v>0</v>
      </c>
    </row>
    <row r="898" ht="15" customHeight="1">
      <c r="A898" s="107" t="inlineStr">
        <is>
          <t>002097</t>
        </is>
      </c>
      <c r="B898" s="107" t="inlineStr">
        <is>
          <t>000437</t>
        </is>
      </c>
      <c r="C898" s="107" t="inlineStr">
        <is>
          <t>CHOCOLATE GAROTO BARRA 2,1KG</t>
        </is>
      </c>
      <c r="D898" s="107" t="n"/>
      <c r="E898" s="191" t="n">
        <v>0.03</v>
      </c>
      <c r="F898" s="192" t="n">
        <v>0</v>
      </c>
      <c r="G898" s="193" t="n">
        <v>0</v>
      </c>
      <c r="H898" s="192" t="n">
        <v>0</v>
      </c>
      <c r="I898" s="192" t="n">
        <v>0</v>
      </c>
      <c r="J898" s="107" t="n"/>
      <c r="K898" s="107" t="n"/>
      <c r="L898" s="107" t="n"/>
      <c r="M898" s="192" t="n">
        <v>0</v>
      </c>
    </row>
    <row r="899" ht="15" customHeight="1">
      <c r="A899" s="111" t="inlineStr">
        <is>
          <t>002097</t>
        </is>
      </c>
      <c r="B899" s="111" t="inlineStr">
        <is>
          <t>000463</t>
        </is>
      </c>
      <c r="C899" s="111" t="inlineStr">
        <is>
          <t>ALHO DESCASCADO</t>
        </is>
      </c>
      <c r="D899" s="111" t="n"/>
      <c r="E899" s="194" t="n">
        <v>0.003</v>
      </c>
      <c r="F899" s="195" t="n">
        <v>0</v>
      </c>
      <c r="G899" s="196" t="n">
        <v>0</v>
      </c>
      <c r="H899" s="195" t="n">
        <v>0</v>
      </c>
      <c r="I899" s="195" t="n">
        <v>0</v>
      </c>
      <c r="J899" s="111" t="n"/>
      <c r="K899" s="111" t="n"/>
      <c r="L899" s="111" t="n"/>
      <c r="M899" s="195" t="n">
        <v>0</v>
      </c>
    </row>
    <row r="900" ht="15" customHeight="1">
      <c r="A900" s="107" t="inlineStr">
        <is>
          <t>002097</t>
        </is>
      </c>
      <c r="B900" s="107" t="inlineStr">
        <is>
          <t>000468</t>
        </is>
      </c>
      <c r="C900" s="107" t="inlineStr">
        <is>
          <t>CEBOLA MEDIA</t>
        </is>
      </c>
      <c r="D900" s="107" t="n"/>
      <c r="E900" s="191" t="n">
        <v>0.29</v>
      </c>
      <c r="F900" s="192" t="n">
        <v>0</v>
      </c>
      <c r="G900" s="193" t="n">
        <v>0</v>
      </c>
      <c r="H900" s="192" t="n">
        <v>0</v>
      </c>
      <c r="I900" s="192" t="n">
        <v>0</v>
      </c>
      <c r="J900" s="107" t="n"/>
      <c r="K900" s="107" t="n"/>
      <c r="L900" s="107" t="n"/>
      <c r="M900" s="192" t="n">
        <v>0</v>
      </c>
    </row>
    <row r="901" ht="15" customHeight="1">
      <c r="A901" s="111" t="inlineStr">
        <is>
          <t>002097</t>
        </is>
      </c>
      <c r="B901" s="111" t="inlineStr">
        <is>
          <t>000484</t>
        </is>
      </c>
      <c r="C901" s="111" t="inlineStr">
        <is>
          <t>SALSA LISA INDUSTRIAL</t>
        </is>
      </c>
      <c r="D901" s="111" t="n"/>
      <c r="E901" s="194" t="n">
        <v>0.022</v>
      </c>
      <c r="F901" s="195" t="n">
        <v>0</v>
      </c>
      <c r="G901" s="196" t="n">
        <v>0</v>
      </c>
      <c r="H901" s="195" t="n">
        <v>0</v>
      </c>
      <c r="I901" s="195" t="n">
        <v>0</v>
      </c>
      <c r="J901" s="111" t="n"/>
      <c r="K901" s="111" t="n"/>
      <c r="L901" s="111" t="n"/>
      <c r="M901" s="195" t="n">
        <v>0</v>
      </c>
    </row>
    <row r="902" ht="15" customHeight="1">
      <c r="A902" s="107" t="inlineStr">
        <is>
          <t>002097</t>
        </is>
      </c>
      <c r="B902" s="107" t="inlineStr">
        <is>
          <t>000486</t>
        </is>
      </c>
      <c r="C902" s="107" t="inlineStr">
        <is>
          <t>TOMATE SALADA</t>
        </is>
      </c>
      <c r="D902" s="107" t="n"/>
      <c r="E902" s="191" t="n">
        <v>0.058</v>
      </c>
      <c r="F902" s="192" t="n">
        <v>0</v>
      </c>
      <c r="G902" s="193" t="n">
        <v>0</v>
      </c>
      <c r="H902" s="192" t="n">
        <v>0</v>
      </c>
      <c r="I902" s="192" t="n">
        <v>0</v>
      </c>
      <c r="J902" s="107" t="n"/>
      <c r="K902" s="107" t="n"/>
      <c r="L902" s="107" t="n"/>
      <c r="M902" s="192" t="n">
        <v>0</v>
      </c>
    </row>
    <row r="903" ht="15" customHeight="1">
      <c r="A903" s="111" t="inlineStr">
        <is>
          <t>002097</t>
        </is>
      </c>
      <c r="B903" s="111" t="inlineStr">
        <is>
          <t>000590</t>
        </is>
      </c>
      <c r="C903" s="111" t="inlineStr">
        <is>
          <t>MORANGO FRUTA</t>
        </is>
      </c>
      <c r="D903" s="111" t="n"/>
      <c r="E903" s="194" t="n">
        <v>0.08</v>
      </c>
      <c r="F903" s="195" t="n">
        <v>0</v>
      </c>
      <c r="G903" s="196" t="n">
        <v>0</v>
      </c>
      <c r="H903" s="195" t="n">
        <v>0</v>
      </c>
      <c r="I903" s="195" t="n">
        <v>0</v>
      </c>
      <c r="J903" s="111" t="n"/>
      <c r="K903" s="111" t="n"/>
      <c r="L903" s="111" t="n"/>
      <c r="M903" s="195" t="n">
        <v>0</v>
      </c>
    </row>
    <row r="904" ht="15" customHeight="1">
      <c r="A904" s="107" t="inlineStr">
        <is>
          <t>002097</t>
        </is>
      </c>
      <c r="B904" s="107" t="inlineStr">
        <is>
          <t>000614</t>
        </is>
      </c>
      <c r="C904" s="107" t="inlineStr">
        <is>
          <t>SAL REFINADO</t>
        </is>
      </c>
      <c r="D904" s="107" t="n"/>
      <c r="E904" s="191" t="n">
        <v>0.008999999999999999</v>
      </c>
      <c r="F904" s="192" t="n">
        <v>0</v>
      </c>
      <c r="G904" s="193" t="n">
        <v>0</v>
      </c>
      <c r="H904" s="192" t="n">
        <v>0</v>
      </c>
      <c r="I904" s="192" t="n">
        <v>0</v>
      </c>
      <c r="J904" s="107" t="n"/>
      <c r="K904" s="107" t="n"/>
      <c r="L904" s="107" t="n"/>
      <c r="M904" s="192" t="n">
        <v>0</v>
      </c>
    </row>
    <row r="905" ht="15" customHeight="1">
      <c r="A905" s="111" t="inlineStr">
        <is>
          <t>002097</t>
        </is>
      </c>
      <c r="B905" s="111" t="inlineStr">
        <is>
          <t>000747</t>
        </is>
      </c>
      <c r="C905" s="111" t="inlineStr">
        <is>
          <t>AZEITE OLEO COMPOSTO 5 LITROS</t>
        </is>
      </c>
      <c r="D905" s="111" t="n"/>
      <c r="E905" s="194" t="n">
        <v>0.029</v>
      </c>
      <c r="F905" s="195" t="n">
        <v>0</v>
      </c>
      <c r="G905" s="196" t="n">
        <v>0</v>
      </c>
      <c r="H905" s="195" t="n">
        <v>0</v>
      </c>
      <c r="I905" s="195" t="n">
        <v>0</v>
      </c>
      <c r="J905" s="111" t="n"/>
      <c r="K905" s="111" t="n"/>
      <c r="L905" s="111" t="n"/>
      <c r="M905" s="195" t="n">
        <v>0</v>
      </c>
    </row>
    <row r="906" ht="15" customHeight="1">
      <c r="A906" s="107" t="inlineStr">
        <is>
          <t>002117</t>
        </is>
      </c>
      <c r="B906" s="107" t="inlineStr">
        <is>
          <t>000326</t>
        </is>
      </c>
      <c r="C906" s="107" t="inlineStr">
        <is>
          <t>BUDWEISER LONG NECK</t>
        </is>
      </c>
      <c r="D906" s="107" t="n"/>
      <c r="E906" s="191" t="n">
        <v>6</v>
      </c>
      <c r="F906" s="192" t="n">
        <v>0</v>
      </c>
      <c r="G906" s="193" t="n">
        <v>0</v>
      </c>
      <c r="H906" s="192" t="n">
        <v>0</v>
      </c>
      <c r="I906" s="192" t="n">
        <v>0</v>
      </c>
      <c r="J906" s="107" t="n"/>
      <c r="K906" s="107" t="n"/>
      <c r="L906" s="107" t="n"/>
      <c r="M906" s="192" t="n">
        <v>0</v>
      </c>
    </row>
    <row r="907" ht="15" customHeight="1">
      <c r="A907" s="111" t="inlineStr">
        <is>
          <t>002118</t>
        </is>
      </c>
      <c r="B907" s="111" t="inlineStr">
        <is>
          <t>001346</t>
        </is>
      </c>
      <c r="C907" s="111" t="inlineStr">
        <is>
          <t>BUDWEISER ZERO LONG NECK</t>
        </is>
      </c>
      <c r="D907" s="111" t="n"/>
      <c r="E907" s="194" t="n">
        <v>6</v>
      </c>
      <c r="F907" s="195" t="n">
        <v>0</v>
      </c>
      <c r="G907" s="196" t="n">
        <v>0</v>
      </c>
      <c r="H907" s="195" t="n">
        <v>0</v>
      </c>
      <c r="I907" s="195" t="n">
        <v>0</v>
      </c>
      <c r="J907" s="111" t="n"/>
      <c r="K907" s="111" t="n"/>
      <c r="L907" s="111" t="n"/>
      <c r="M907" s="195" t="n">
        <v>0</v>
      </c>
    </row>
    <row r="908" ht="15" customHeight="1">
      <c r="A908" s="107" t="inlineStr">
        <is>
          <t>002119</t>
        </is>
      </c>
      <c r="B908" s="107" t="inlineStr">
        <is>
          <t>001654</t>
        </is>
      </c>
      <c r="C908" s="107" t="inlineStr">
        <is>
          <t>CORONA EXTRA ZERO LONG NECK</t>
        </is>
      </c>
      <c r="D908" s="107" t="n"/>
      <c r="E908" s="191" t="n">
        <v>6</v>
      </c>
      <c r="F908" s="192" t="n">
        <v>0</v>
      </c>
      <c r="G908" s="193" t="n">
        <v>0</v>
      </c>
      <c r="H908" s="192" t="n">
        <v>0</v>
      </c>
      <c r="I908" s="192" t="n">
        <v>0</v>
      </c>
      <c r="J908" s="107" t="n"/>
      <c r="K908" s="107" t="n"/>
      <c r="L908" s="107" t="n"/>
      <c r="M908" s="192" t="n">
        <v>0</v>
      </c>
    </row>
    <row r="909" ht="15" customHeight="1">
      <c r="A909" s="111" t="inlineStr">
        <is>
          <t>002120</t>
        </is>
      </c>
      <c r="B909" s="111" t="inlineStr">
        <is>
          <t>000367</t>
        </is>
      </c>
      <c r="C909" s="111" t="inlineStr">
        <is>
          <t>LONG SMIRNOFF ICE</t>
        </is>
      </c>
      <c r="D909" s="111" t="n"/>
      <c r="E909" s="194" t="n">
        <v>6</v>
      </c>
      <c r="F909" s="195" t="n">
        <v>0</v>
      </c>
      <c r="G909" s="196" t="n">
        <v>0</v>
      </c>
      <c r="H909" s="195" t="n">
        <v>0</v>
      </c>
      <c r="I909" s="195" t="n">
        <v>0</v>
      </c>
      <c r="J909" s="111" t="n"/>
      <c r="K909" s="111" t="n"/>
      <c r="L909" s="111" t="n"/>
      <c r="M909" s="195" t="n">
        <v>0</v>
      </c>
    </row>
    <row r="910" ht="15" customHeight="1">
      <c r="A910" s="107" t="inlineStr">
        <is>
          <t>002122</t>
        </is>
      </c>
      <c r="B910" s="107" t="inlineStr">
        <is>
          <t>000485</t>
        </is>
      </c>
      <c r="C910" s="107" t="inlineStr">
        <is>
          <t>TOMATE  CEREJA</t>
        </is>
      </c>
      <c r="D910" s="107" t="n"/>
      <c r="E910" s="191" t="n">
        <v>0.04</v>
      </c>
      <c r="F910" s="192" t="n">
        <v>90.51000000000001</v>
      </c>
      <c r="G910" s="193" t="n">
        <v>0</v>
      </c>
      <c r="H910" s="192" t="n">
        <v>0</v>
      </c>
      <c r="I910" s="192" t="n">
        <v>0</v>
      </c>
      <c r="J910" s="107" t="n"/>
      <c r="K910" s="107" t="n"/>
      <c r="L910" s="107" t="n"/>
      <c r="M910" s="192" t="n">
        <v>0</v>
      </c>
    </row>
    <row r="911" ht="15" customHeight="1">
      <c r="A911" s="111" t="inlineStr">
        <is>
          <t>002122</t>
        </is>
      </c>
      <c r="B911" s="111" t="inlineStr">
        <is>
          <t>002070</t>
        </is>
      </c>
      <c r="C911" s="111" t="inlineStr">
        <is>
          <t>ALHO PORO</t>
        </is>
      </c>
      <c r="D911" s="111" t="n"/>
      <c r="E911" s="194" t="n">
        <v>0.1</v>
      </c>
      <c r="F911" s="195" t="n">
        <v>8.210000000000001</v>
      </c>
      <c r="G911" s="196" t="n">
        <v>0</v>
      </c>
      <c r="H911" s="195" t="n">
        <v>0</v>
      </c>
      <c r="I911" s="195" t="n">
        <v>0</v>
      </c>
      <c r="J911" s="111" t="n"/>
      <c r="K911" s="111" t="n"/>
      <c r="L911" s="111" t="n"/>
      <c r="M911" s="195" t="n">
        <v>0</v>
      </c>
    </row>
    <row r="912" ht="15" customHeight="1">
      <c r="A912" s="107" t="inlineStr">
        <is>
          <t>002123</t>
        </is>
      </c>
      <c r="B912" s="107" t="inlineStr">
        <is>
          <t>000459</t>
        </is>
      </c>
      <c r="C912" s="107" t="inlineStr">
        <is>
          <t>ABOBRINHA ITALIANA</t>
        </is>
      </c>
      <c r="D912" s="107" t="n"/>
      <c r="E912" s="191" t="n">
        <v>0.025</v>
      </c>
      <c r="F912" s="192" t="n">
        <v>0</v>
      </c>
      <c r="G912" s="193" t="n">
        <v>0</v>
      </c>
      <c r="H912" s="192" t="n">
        <v>0</v>
      </c>
      <c r="I912" s="192" t="n">
        <v>0</v>
      </c>
      <c r="J912" s="107" t="n"/>
      <c r="K912" s="107" t="n"/>
      <c r="L912" s="107" t="n"/>
      <c r="M912" s="192" t="n">
        <v>0</v>
      </c>
    </row>
    <row r="913" ht="15" customHeight="1">
      <c r="A913" s="111" t="inlineStr">
        <is>
          <t>002123</t>
        </is>
      </c>
      <c r="B913" s="111" t="inlineStr">
        <is>
          <t>000466</t>
        </is>
      </c>
      <c r="C913" s="111" t="inlineStr">
        <is>
          <t>BERINJELA</t>
        </is>
      </c>
      <c r="D913" s="111" t="n"/>
      <c r="E913" s="194" t="n">
        <v>0.025</v>
      </c>
      <c r="F913" s="195" t="n">
        <v>8.050000000000001</v>
      </c>
      <c r="G913" s="196" t="n">
        <v>0</v>
      </c>
      <c r="H913" s="195" t="n">
        <v>0</v>
      </c>
      <c r="I913" s="195" t="n">
        <v>0</v>
      </c>
      <c r="J913" s="111" t="n"/>
      <c r="K913" s="111" t="n"/>
      <c r="L913" s="111" t="n"/>
      <c r="M913" s="195" t="n">
        <v>0</v>
      </c>
    </row>
    <row r="914" ht="15" customHeight="1">
      <c r="A914" s="107" t="inlineStr">
        <is>
          <t>002123</t>
        </is>
      </c>
      <c r="B914" s="107" t="inlineStr">
        <is>
          <t>000486</t>
        </is>
      </c>
      <c r="C914" s="107" t="inlineStr">
        <is>
          <t>TOMATE SALADA</t>
        </is>
      </c>
      <c r="D914" s="107" t="n"/>
      <c r="E914" s="191" t="n">
        <v>0.025</v>
      </c>
      <c r="F914" s="192" t="n">
        <v>17.88</v>
      </c>
      <c r="G914" s="193" t="n">
        <v>0</v>
      </c>
      <c r="H914" s="192" t="n">
        <v>0</v>
      </c>
      <c r="I914" s="192" t="n">
        <v>0</v>
      </c>
      <c r="J914" s="107" t="n"/>
      <c r="K914" s="107" t="n"/>
      <c r="L914" s="107" t="n"/>
      <c r="M914" s="192" t="n">
        <v>0</v>
      </c>
    </row>
    <row r="915" ht="15" customHeight="1">
      <c r="A915" s="111" t="inlineStr">
        <is>
          <t>002123</t>
        </is>
      </c>
      <c r="B915" s="111" t="inlineStr">
        <is>
          <t>000617</t>
        </is>
      </c>
      <c r="C915" s="111" t="inlineStr">
        <is>
          <t>PIMENTAO AMARELO</t>
        </is>
      </c>
      <c r="D915" s="111" t="n"/>
      <c r="E915" s="194" t="n">
        <v>0.025</v>
      </c>
      <c r="F915" s="195" t="n">
        <v>0.66</v>
      </c>
      <c r="G915" s="196" t="n">
        <v>0</v>
      </c>
      <c r="H915" s="195" t="n">
        <v>0</v>
      </c>
      <c r="I915" s="195" t="n">
        <v>0</v>
      </c>
      <c r="J915" s="111" t="n"/>
      <c r="K915" s="111" t="n"/>
      <c r="L915" s="111" t="n"/>
      <c r="M915" s="195" t="n">
        <v>0</v>
      </c>
    </row>
    <row r="916" ht="15" customHeight="1">
      <c r="A916" s="107" t="inlineStr">
        <is>
          <t>002123</t>
        </is>
      </c>
      <c r="B916" s="107" t="inlineStr">
        <is>
          <t>000753</t>
        </is>
      </c>
      <c r="C916" s="107" t="inlineStr">
        <is>
          <t>CEBOLA ROXA</t>
        </is>
      </c>
      <c r="D916" s="107" t="n"/>
      <c r="E916" s="191" t="n">
        <v>0.05</v>
      </c>
      <c r="F916" s="192" t="n">
        <v>6.12</v>
      </c>
      <c r="G916" s="193" t="n">
        <v>0</v>
      </c>
      <c r="H916" s="192" t="n">
        <v>0</v>
      </c>
      <c r="I916" s="192" t="n">
        <v>0</v>
      </c>
      <c r="J916" s="107" t="n"/>
      <c r="K916" s="107" t="n"/>
      <c r="L916" s="107" t="n"/>
      <c r="M916" s="192" t="n">
        <v>0</v>
      </c>
    </row>
    <row r="917" ht="15" customHeight="1">
      <c r="A917" s="111" t="inlineStr">
        <is>
          <t>002124</t>
        </is>
      </c>
      <c r="B917" s="111" t="inlineStr">
        <is>
          <t>000624</t>
        </is>
      </c>
      <c r="C917" s="111" t="inlineStr">
        <is>
          <t>ABOBORA JAPONESA</t>
        </is>
      </c>
      <c r="D917" s="111" t="n"/>
      <c r="E917" s="194" t="n">
        <v>0.12</v>
      </c>
      <c r="F917" s="195" t="n">
        <v>20.79</v>
      </c>
      <c r="G917" s="196" t="n">
        <v>0</v>
      </c>
      <c r="H917" s="195" t="n">
        <v>0</v>
      </c>
      <c r="I917" s="195" t="n">
        <v>0</v>
      </c>
      <c r="J917" s="111" t="n"/>
      <c r="K917" s="111" t="n"/>
      <c r="L917" s="111" t="n"/>
      <c r="M917" s="195" t="n">
        <v>0</v>
      </c>
    </row>
    <row r="918" ht="15" customHeight="1">
      <c r="A918" s="107" t="inlineStr">
        <is>
          <t>002125</t>
        </is>
      </c>
      <c r="B918" s="107" t="inlineStr">
        <is>
          <t>000404</t>
        </is>
      </c>
      <c r="C918" s="107" t="inlineStr">
        <is>
          <t>MOLHO SHOYO</t>
        </is>
      </c>
      <c r="D918" s="107" t="n"/>
      <c r="E918" s="191" t="n">
        <v>0.05</v>
      </c>
      <c r="F918" s="192" t="n">
        <v>46.41</v>
      </c>
      <c r="G918" s="193" t="n">
        <v>0</v>
      </c>
      <c r="H918" s="192" t="n">
        <v>0</v>
      </c>
      <c r="I918" s="192" t="n">
        <v>0</v>
      </c>
      <c r="J918" s="107" t="n"/>
      <c r="K918" s="107" t="n"/>
      <c r="L918" s="107" t="n"/>
      <c r="M918" s="192" t="n">
        <v>0</v>
      </c>
    </row>
    <row r="919" ht="15" customHeight="1">
      <c r="A919" s="111" t="inlineStr">
        <is>
          <t>002125</t>
        </is>
      </c>
      <c r="B919" s="111" t="inlineStr">
        <is>
          <t>000466</t>
        </is>
      </c>
      <c r="C919" s="111" t="inlineStr">
        <is>
          <t>BERINJELA</t>
        </is>
      </c>
      <c r="D919" s="111" t="n"/>
      <c r="E919" s="194" t="n">
        <v>0.12</v>
      </c>
      <c r="F919" s="195" t="n">
        <v>0</v>
      </c>
      <c r="G919" s="196" t="n">
        <v>0</v>
      </c>
      <c r="H919" s="195" t="n">
        <v>0</v>
      </c>
      <c r="I919" s="195" t="n">
        <v>0</v>
      </c>
      <c r="J919" s="111" t="n"/>
      <c r="K919" s="111" t="n"/>
      <c r="L919" s="111" t="n"/>
      <c r="M919" s="195" t="n">
        <v>0</v>
      </c>
    </row>
    <row r="920" ht="15" customHeight="1">
      <c r="A920" s="107" t="inlineStr">
        <is>
          <t>002179</t>
        </is>
      </c>
      <c r="B920" s="107" t="inlineStr">
        <is>
          <t>000368</t>
        </is>
      </c>
      <c r="C920" s="107" t="inlineStr">
        <is>
          <t>RED BULL</t>
        </is>
      </c>
      <c r="D920" s="107" t="n"/>
      <c r="E920" s="191" t="n">
        <v>1</v>
      </c>
      <c r="F920" s="192" t="n">
        <v>0</v>
      </c>
      <c r="G920" s="193" t="n">
        <v>0</v>
      </c>
      <c r="H920" s="192" t="n">
        <v>0</v>
      </c>
      <c r="I920" s="192" t="n">
        <v>0</v>
      </c>
      <c r="J920" s="107" t="n"/>
      <c r="K920" s="107" t="n"/>
      <c r="L920" s="107" t="n"/>
      <c r="M920" s="192" t="n">
        <v>0</v>
      </c>
    </row>
    <row r="921" ht="15" customHeight="1">
      <c r="A921" s="111" t="inlineStr">
        <is>
          <t>002180</t>
        </is>
      </c>
      <c r="B921" s="111" t="inlineStr">
        <is>
          <t>000749</t>
        </is>
      </c>
      <c r="C921" s="111" t="inlineStr">
        <is>
          <t>RED BULL TROPICAL</t>
        </is>
      </c>
      <c r="D921" s="111" t="n"/>
      <c r="E921" s="194" t="n">
        <v>1</v>
      </c>
      <c r="F921" s="195" t="n">
        <v>0</v>
      </c>
      <c r="G921" s="196" t="n">
        <v>0</v>
      </c>
      <c r="H921" s="195" t="n">
        <v>0</v>
      </c>
      <c r="I921" s="195" t="n">
        <v>0</v>
      </c>
      <c r="J921" s="111" t="n"/>
      <c r="K921" s="111" t="n"/>
      <c r="L921" s="111" t="n"/>
      <c r="M921" s="195" t="n">
        <v>0</v>
      </c>
    </row>
    <row r="922" ht="15" customHeight="1">
      <c r="A922" s="107" t="inlineStr">
        <is>
          <t>002181</t>
        </is>
      </c>
      <c r="B922" s="107" t="inlineStr">
        <is>
          <t>001167</t>
        </is>
      </c>
      <c r="C922" s="107" t="inlineStr">
        <is>
          <t>RED BULL MELANCIA</t>
        </is>
      </c>
      <c r="D922" s="107" t="n"/>
      <c r="E922" s="191" t="n">
        <v>1</v>
      </c>
      <c r="F922" s="192" t="n">
        <v>0</v>
      </c>
      <c r="G922" s="193" t="n">
        <v>0</v>
      </c>
      <c r="H922" s="192" t="n">
        <v>0</v>
      </c>
      <c r="I922" s="192" t="n">
        <v>0</v>
      </c>
      <c r="J922" s="107" t="n"/>
      <c r="K922" s="107" t="n"/>
      <c r="L922" s="107" t="n"/>
      <c r="M922" s="192" t="n">
        <v>0</v>
      </c>
    </row>
    <row r="923" ht="15" customHeight="1">
      <c r="A923" s="111" t="inlineStr">
        <is>
          <t>002182</t>
        </is>
      </c>
      <c r="B923" s="111" t="inlineStr">
        <is>
          <t>000334</t>
        </is>
      </c>
      <c r="C923" s="111" t="inlineStr">
        <is>
          <t>AGUA C/ GAS</t>
        </is>
      </c>
      <c r="D923" s="111" t="n"/>
      <c r="E923" s="194" t="n">
        <v>1</v>
      </c>
      <c r="F923" s="195" t="n">
        <v>0</v>
      </c>
      <c r="G923" s="196" t="n">
        <v>0</v>
      </c>
      <c r="H923" s="195" t="n">
        <v>0</v>
      </c>
      <c r="I923" s="195" t="n">
        <v>0</v>
      </c>
      <c r="J923" s="111" t="n"/>
      <c r="K923" s="111" t="n"/>
      <c r="L923" s="111" t="n"/>
      <c r="M923" s="195" t="n">
        <v>0</v>
      </c>
    </row>
    <row r="924" ht="15" customHeight="1">
      <c r="A924" s="107" t="inlineStr">
        <is>
          <t>002183</t>
        </is>
      </c>
      <c r="B924" s="107" t="inlineStr">
        <is>
          <t>000333</t>
        </is>
      </c>
      <c r="C924" s="107" t="inlineStr">
        <is>
          <t>AGUA S/ GAS</t>
        </is>
      </c>
      <c r="D924" s="107" t="n"/>
      <c r="E924" s="191" t="n">
        <v>1</v>
      </c>
      <c r="F924" s="192" t="n">
        <v>0</v>
      </c>
      <c r="G924" s="193" t="n">
        <v>0</v>
      </c>
      <c r="H924" s="192" t="n">
        <v>0</v>
      </c>
      <c r="I924" s="192" t="n">
        <v>0</v>
      </c>
      <c r="J924" s="107" t="n"/>
      <c r="K924" s="107" t="n"/>
      <c r="L924" s="107" t="n"/>
      <c r="M924" s="192" t="n">
        <v>0</v>
      </c>
    </row>
    <row r="925" ht="15" customHeight="1">
      <c r="A925" s="111" t="inlineStr">
        <is>
          <t>002184</t>
        </is>
      </c>
      <c r="B925" s="111" t="inlineStr">
        <is>
          <t>000367</t>
        </is>
      </c>
      <c r="C925" s="111" t="inlineStr">
        <is>
          <t>LONG SMIRNOFF ICE</t>
        </is>
      </c>
      <c r="D925" s="111" t="n"/>
      <c r="E925" s="194" t="n">
        <v>1</v>
      </c>
      <c r="F925" s="195" t="n">
        <v>0</v>
      </c>
      <c r="G925" s="196" t="n">
        <v>0</v>
      </c>
      <c r="H925" s="195" t="n">
        <v>0</v>
      </c>
      <c r="I925" s="195" t="n">
        <v>0</v>
      </c>
      <c r="J925" s="111" t="n"/>
      <c r="K925" s="111" t="n"/>
      <c r="L925" s="111" t="n"/>
      <c r="M925" s="195" t="n">
        <v>0</v>
      </c>
    </row>
    <row r="926" ht="15" customHeight="1">
      <c r="A926" s="107" t="inlineStr">
        <is>
          <t>002185</t>
        </is>
      </c>
      <c r="B926" s="107" t="inlineStr">
        <is>
          <t>000319</t>
        </is>
      </c>
      <c r="C926" s="107" t="inlineStr">
        <is>
          <t>PEPSI LATA 350ML</t>
        </is>
      </c>
      <c r="D926" s="107" t="n"/>
      <c r="E926" s="191" t="n">
        <v>1</v>
      </c>
      <c r="F926" s="192" t="n">
        <v>0</v>
      </c>
      <c r="G926" s="193" t="n">
        <v>0</v>
      </c>
      <c r="H926" s="192" t="n">
        <v>0</v>
      </c>
      <c r="I926" s="192" t="n">
        <v>0</v>
      </c>
      <c r="J926" s="107" t="n"/>
      <c r="K926" s="107" t="n"/>
      <c r="L926" s="107" t="n"/>
      <c r="M926" s="192" t="n">
        <v>0</v>
      </c>
    </row>
    <row r="927" ht="15" customHeight="1">
      <c r="A927" s="111" t="inlineStr">
        <is>
          <t>002186</t>
        </is>
      </c>
      <c r="B927" s="111" t="inlineStr">
        <is>
          <t>000321</t>
        </is>
      </c>
      <c r="C927" s="111" t="inlineStr">
        <is>
          <t>PEPSI ZERO LATA 350ML</t>
        </is>
      </c>
      <c r="D927" s="111" t="n"/>
      <c r="E927" s="194" t="n">
        <v>1</v>
      </c>
      <c r="F927" s="195" t="n">
        <v>0</v>
      </c>
      <c r="G927" s="196" t="n">
        <v>0</v>
      </c>
      <c r="H927" s="195" t="n">
        <v>0</v>
      </c>
      <c r="I927" s="195" t="n">
        <v>0</v>
      </c>
      <c r="J927" s="111" t="n"/>
      <c r="K927" s="111" t="n"/>
      <c r="L927" s="111" t="n"/>
      <c r="M927" s="195" t="n">
        <v>0</v>
      </c>
    </row>
    <row r="928" ht="15" customHeight="1">
      <c r="A928" s="107" t="inlineStr">
        <is>
          <t>002187</t>
        </is>
      </c>
      <c r="B928" s="107" t="inlineStr">
        <is>
          <t>000313</t>
        </is>
      </c>
      <c r="C928" s="107" t="inlineStr">
        <is>
          <t>GUARANA LATA 350ML</t>
        </is>
      </c>
      <c r="D928" s="107" t="n"/>
      <c r="E928" s="191" t="n">
        <v>1</v>
      </c>
      <c r="F928" s="192" t="n">
        <v>0</v>
      </c>
      <c r="G928" s="193" t="n">
        <v>0</v>
      </c>
      <c r="H928" s="192" t="n">
        <v>0</v>
      </c>
      <c r="I928" s="192" t="n">
        <v>0</v>
      </c>
      <c r="J928" s="107" t="n"/>
      <c r="K928" s="107" t="n"/>
      <c r="L928" s="107" t="n"/>
      <c r="M928" s="192" t="n">
        <v>0</v>
      </c>
    </row>
    <row r="929" ht="15" customHeight="1">
      <c r="A929" s="111" t="inlineStr">
        <is>
          <t>002188</t>
        </is>
      </c>
      <c r="B929" s="111" t="inlineStr">
        <is>
          <t>000314</t>
        </is>
      </c>
      <c r="C929" s="111" t="inlineStr">
        <is>
          <t>GUARANA ZERO LATA 350ML</t>
        </is>
      </c>
      <c r="D929" s="111" t="n"/>
      <c r="E929" s="194" t="n">
        <v>1</v>
      </c>
      <c r="F929" s="195" t="n">
        <v>0</v>
      </c>
      <c r="G929" s="196" t="n">
        <v>0</v>
      </c>
      <c r="H929" s="195" t="n">
        <v>0</v>
      </c>
      <c r="I929" s="195" t="n">
        <v>0</v>
      </c>
      <c r="J929" s="111" t="n"/>
      <c r="K929" s="111" t="n"/>
      <c r="L929" s="111" t="n"/>
      <c r="M929" s="195" t="n">
        <v>0</v>
      </c>
    </row>
    <row r="930" ht="15" customHeight="1">
      <c r="A930" s="107" t="inlineStr">
        <is>
          <t>002189</t>
        </is>
      </c>
      <c r="B930" s="107" t="inlineStr">
        <is>
          <t>000286</t>
        </is>
      </c>
      <c r="C930" s="107" t="inlineStr">
        <is>
          <t>ESPETO BOVINO</t>
        </is>
      </c>
      <c r="D930" s="107" t="n"/>
      <c r="E930" s="191" t="n">
        <v>1</v>
      </c>
      <c r="F930" s="192" t="n">
        <v>0</v>
      </c>
      <c r="G930" s="193" t="n">
        <v>0</v>
      </c>
      <c r="H930" s="192" t="n">
        <v>0</v>
      </c>
      <c r="I930" s="192" t="n">
        <v>0</v>
      </c>
      <c r="J930" s="107" t="n"/>
      <c r="K930" s="107" t="n"/>
      <c r="L930" s="107" t="n"/>
      <c r="M930" s="192" t="n">
        <v>0</v>
      </c>
    </row>
    <row r="931" ht="15" customHeight="1">
      <c r="A931" s="111" t="inlineStr">
        <is>
          <t>002190</t>
        </is>
      </c>
      <c r="B931" s="111" t="inlineStr">
        <is>
          <t>000288</t>
        </is>
      </c>
      <c r="C931" s="111" t="inlineStr">
        <is>
          <t>ESPETO CALABRESA S/ PIMENTA</t>
        </is>
      </c>
      <c r="D931" s="111" t="n"/>
      <c r="E931" s="194" t="n">
        <v>1</v>
      </c>
      <c r="F931" s="195" t="n">
        <v>0</v>
      </c>
      <c r="G931" s="196" t="n">
        <v>0</v>
      </c>
      <c r="H931" s="195" t="n">
        <v>0</v>
      </c>
      <c r="I931" s="195" t="n">
        <v>0</v>
      </c>
      <c r="J931" s="111" t="n"/>
      <c r="K931" s="111" t="n"/>
      <c r="L931" s="111" t="n"/>
      <c r="M931" s="195" t="n">
        <v>0</v>
      </c>
    </row>
    <row r="932" ht="15" customHeight="1">
      <c r="A932" s="107" t="inlineStr">
        <is>
          <t>002191</t>
        </is>
      </c>
      <c r="B932" s="107" t="inlineStr">
        <is>
          <t>000287</t>
        </is>
      </c>
      <c r="C932" s="107" t="inlineStr">
        <is>
          <t>ESPETO CALABRESA C/ PIMENTA</t>
        </is>
      </c>
      <c r="D932" s="107" t="n"/>
      <c r="E932" s="191" t="n">
        <v>1</v>
      </c>
      <c r="F932" s="192" t="n">
        <v>0</v>
      </c>
      <c r="G932" s="193" t="n">
        <v>0</v>
      </c>
      <c r="H932" s="192" t="n">
        <v>0</v>
      </c>
      <c r="I932" s="192" t="n">
        <v>0</v>
      </c>
      <c r="J932" s="107" t="n"/>
      <c r="K932" s="107" t="n"/>
      <c r="L932" s="107" t="n"/>
      <c r="M932" s="192" t="n">
        <v>0</v>
      </c>
    </row>
    <row r="933" ht="15" customHeight="1">
      <c r="A933" s="111" t="inlineStr">
        <is>
          <t>002192</t>
        </is>
      </c>
      <c r="B933" s="111" t="inlineStr">
        <is>
          <t>000291</t>
        </is>
      </c>
      <c r="C933" s="111" t="inlineStr">
        <is>
          <t>ESPETO FRANGO</t>
        </is>
      </c>
      <c r="D933" s="111" t="n"/>
      <c r="E933" s="194" t="n">
        <v>1</v>
      </c>
      <c r="F933" s="195" t="n">
        <v>0</v>
      </c>
      <c r="G933" s="196" t="n">
        <v>0</v>
      </c>
      <c r="H933" s="195" t="n">
        <v>0</v>
      </c>
      <c r="I933" s="195" t="n">
        <v>0</v>
      </c>
      <c r="J933" s="111" t="n"/>
      <c r="K933" s="111" t="n"/>
      <c r="L933" s="111" t="n"/>
      <c r="M933" s="195" t="n">
        <v>0</v>
      </c>
    </row>
    <row r="934" ht="15" customHeight="1">
      <c r="A934" s="107" t="inlineStr">
        <is>
          <t>002193</t>
        </is>
      </c>
      <c r="B934" s="107" t="inlineStr">
        <is>
          <t>000289</t>
        </is>
      </c>
      <c r="C934" s="107" t="inlineStr">
        <is>
          <t>ESPETO CORACAO</t>
        </is>
      </c>
      <c r="D934" s="107" t="n"/>
      <c r="E934" s="191" t="n">
        <v>1</v>
      </c>
      <c r="F934" s="192" t="n">
        <v>0</v>
      </c>
      <c r="G934" s="193" t="n">
        <v>0</v>
      </c>
      <c r="H934" s="192" t="n">
        <v>0</v>
      </c>
      <c r="I934" s="192" t="n">
        <v>0</v>
      </c>
      <c r="J934" s="107" t="n"/>
      <c r="K934" s="107" t="n"/>
      <c r="L934" s="107" t="n"/>
      <c r="M934" s="192" t="n">
        <v>0</v>
      </c>
    </row>
    <row r="935" ht="15" customHeight="1">
      <c r="A935" s="111" t="inlineStr">
        <is>
          <t>002194</t>
        </is>
      </c>
      <c r="B935" s="111" t="inlineStr">
        <is>
          <t>000293</t>
        </is>
      </c>
      <c r="C935" s="111" t="inlineStr">
        <is>
          <t>ESPETO KAFTA</t>
        </is>
      </c>
      <c r="D935" s="111" t="n"/>
      <c r="E935" s="194" t="n">
        <v>1</v>
      </c>
      <c r="F935" s="195" t="n">
        <v>0</v>
      </c>
      <c r="G935" s="196" t="n">
        <v>0</v>
      </c>
      <c r="H935" s="195" t="n">
        <v>0</v>
      </c>
      <c r="I935" s="195" t="n">
        <v>0</v>
      </c>
      <c r="J935" s="111" t="n"/>
      <c r="K935" s="111" t="n"/>
      <c r="L935" s="111" t="n"/>
      <c r="M935" s="195" t="n">
        <v>0</v>
      </c>
    </row>
    <row r="936" ht="15" customHeight="1">
      <c r="A936" s="107" t="inlineStr">
        <is>
          <t>002195</t>
        </is>
      </c>
      <c r="B936" s="107" t="inlineStr">
        <is>
          <t>000300</t>
        </is>
      </c>
      <c r="C936" s="107" t="inlineStr">
        <is>
          <t>ESPETO PAO DE ALHO C/ MUSSAREL</t>
        </is>
      </c>
      <c r="D936" s="107" t="n"/>
      <c r="E936" s="191" t="n">
        <v>1</v>
      </c>
      <c r="F936" s="192" t="n">
        <v>0</v>
      </c>
      <c r="G936" s="193" t="n">
        <v>0</v>
      </c>
      <c r="H936" s="192" t="n">
        <v>0</v>
      </c>
      <c r="I936" s="192" t="n">
        <v>0</v>
      </c>
      <c r="J936" s="107" t="n"/>
      <c r="K936" s="107" t="n"/>
      <c r="L936" s="107" t="n"/>
      <c r="M936" s="192" t="n">
        <v>0</v>
      </c>
    </row>
    <row r="937" ht="15" customHeight="1">
      <c r="A937" s="111" t="inlineStr">
        <is>
          <t>002196</t>
        </is>
      </c>
      <c r="B937" s="111" t="inlineStr">
        <is>
          <t>000751</t>
        </is>
      </c>
      <c r="C937" s="111" t="inlineStr">
        <is>
          <t>ESPETO PANCETA</t>
        </is>
      </c>
      <c r="D937" s="111" t="n"/>
      <c r="E937" s="194" t="n">
        <v>1</v>
      </c>
      <c r="F937" s="195" t="n">
        <v>0</v>
      </c>
      <c r="G937" s="196" t="n">
        <v>0</v>
      </c>
      <c r="H937" s="195" t="n">
        <v>0</v>
      </c>
      <c r="I937" s="195" t="n">
        <v>0</v>
      </c>
      <c r="J937" s="111" t="n"/>
      <c r="K937" s="111" t="n"/>
      <c r="L937" s="111" t="n"/>
      <c r="M937" s="195" t="n">
        <v>0</v>
      </c>
    </row>
    <row r="938" ht="15" customHeight="1">
      <c r="A938" s="107" t="inlineStr">
        <is>
          <t>002197</t>
        </is>
      </c>
      <c r="B938" s="107" t="inlineStr">
        <is>
          <t>000298</t>
        </is>
      </c>
      <c r="C938" s="107" t="inlineStr">
        <is>
          <t>ESPETO SALSICHAO</t>
        </is>
      </c>
      <c r="D938" s="107" t="n"/>
      <c r="E938" s="191" t="n">
        <v>1</v>
      </c>
      <c r="F938" s="192" t="n">
        <v>0</v>
      </c>
      <c r="G938" s="193" t="n">
        <v>0</v>
      </c>
      <c r="H938" s="192" t="n">
        <v>0</v>
      </c>
      <c r="I938" s="192" t="n">
        <v>0</v>
      </c>
      <c r="J938" s="107" t="n"/>
      <c r="K938" s="107" t="n"/>
      <c r="L938" s="107" t="n"/>
      <c r="M938" s="192" t="n">
        <v>0</v>
      </c>
    </row>
    <row r="939" ht="15" customHeight="1">
      <c r="A939" s="111" t="inlineStr">
        <is>
          <t>002198</t>
        </is>
      </c>
      <c r="B939" s="111" t="inlineStr">
        <is>
          <t>000439</t>
        </is>
      </c>
      <c r="C939" s="111" t="inlineStr">
        <is>
          <t>ESPETO QUEIJO COALHO</t>
        </is>
      </c>
      <c r="D939" s="111" t="n"/>
      <c r="E939" s="194" t="n">
        <v>0.06</v>
      </c>
      <c r="F939" s="195" t="n">
        <v>11065.34</v>
      </c>
      <c r="G939" s="196" t="n">
        <v>0</v>
      </c>
      <c r="H939" s="195" t="n">
        <v>0</v>
      </c>
      <c r="I939" s="195" t="n">
        <v>0</v>
      </c>
      <c r="J939" s="111" t="n"/>
      <c r="K939" s="111" t="n"/>
      <c r="L939" s="111" t="n"/>
      <c r="M939" s="195" t="n">
        <v>0</v>
      </c>
    </row>
    <row r="940" ht="15" customHeight="1">
      <c r="A940" s="107" t="inlineStr">
        <is>
          <t>002200</t>
        </is>
      </c>
      <c r="B940" s="107" t="inlineStr">
        <is>
          <t>001409</t>
        </is>
      </c>
      <c r="C940" s="107" t="inlineStr">
        <is>
          <t>SPATEN LATA 350 ML</t>
        </is>
      </c>
      <c r="D940" s="107" t="n"/>
      <c r="E940" s="191" t="n">
        <v>5</v>
      </c>
      <c r="F940" s="192" t="n">
        <v>0</v>
      </c>
      <c r="G940" s="193" t="n">
        <v>0</v>
      </c>
      <c r="H940" s="192" t="n">
        <v>0</v>
      </c>
      <c r="I940" s="192" t="n">
        <v>0</v>
      </c>
      <c r="J940" s="107" t="n"/>
      <c r="K940" s="107" t="n"/>
      <c r="L940" s="107" t="n"/>
      <c r="M940" s="192" t="n">
        <v>0</v>
      </c>
    </row>
    <row r="941" ht="15" customHeight="1">
      <c r="A941" s="111" t="inlineStr">
        <is>
          <t>002201</t>
        </is>
      </c>
      <c r="B941" s="111" t="inlineStr">
        <is>
          <t>001135</t>
        </is>
      </c>
      <c r="C941" s="111" t="inlineStr">
        <is>
          <t>ORIGINAL LATA 350 ML</t>
        </is>
      </c>
      <c r="D941" s="111" t="n"/>
      <c r="E941" s="194" t="n">
        <v>5</v>
      </c>
      <c r="F941" s="195" t="n">
        <v>0</v>
      </c>
      <c r="G941" s="196" t="n">
        <v>0</v>
      </c>
      <c r="H941" s="195" t="n">
        <v>0</v>
      </c>
      <c r="I941" s="195" t="n">
        <v>0</v>
      </c>
      <c r="J941" s="111" t="n"/>
      <c r="K941" s="111" t="n"/>
      <c r="L941" s="111" t="n"/>
      <c r="M941" s="195" t="n">
        <v>0</v>
      </c>
    </row>
    <row r="942" ht="15" customHeight="1">
      <c r="A942" s="107" t="inlineStr">
        <is>
          <t>002202</t>
        </is>
      </c>
      <c r="B942" s="107" t="inlineStr">
        <is>
          <t>009825</t>
        </is>
      </c>
      <c r="C942" s="107" t="inlineStr">
        <is>
          <t>VODKA BACCO 5LT</t>
        </is>
      </c>
      <c r="D942" s="107" t="n"/>
      <c r="E942" s="191" t="n">
        <v>0.15</v>
      </c>
      <c r="F942" s="192" t="n">
        <v>0</v>
      </c>
      <c r="G942" s="193" t="n">
        <v>0</v>
      </c>
      <c r="H942" s="192" t="n">
        <v>0</v>
      </c>
      <c r="I942" s="192" t="n">
        <v>0</v>
      </c>
      <c r="J942" s="107" t="n"/>
      <c r="K942" s="107" t="n"/>
      <c r="L942" s="107" t="n"/>
      <c r="M942" s="192" t="n">
        <v>0</v>
      </c>
    </row>
    <row r="943" ht="15" customHeight="1">
      <c r="A943" s="111" t="inlineStr">
        <is>
          <t>002203</t>
        </is>
      </c>
      <c r="B943" s="111" t="inlineStr">
        <is>
          <t>009820</t>
        </is>
      </c>
      <c r="C943" s="111" t="inlineStr">
        <is>
          <t>GIN BACCO PREMIUM BAG 5LT</t>
        </is>
      </c>
      <c r="D943" s="111" t="n"/>
      <c r="E943" s="194" t="n">
        <v>0.15</v>
      </c>
      <c r="F943" s="195" t="n">
        <v>0</v>
      </c>
      <c r="G943" s="196" t="n">
        <v>0</v>
      </c>
      <c r="H943" s="195" t="n">
        <v>0</v>
      </c>
      <c r="I943" s="195" t="n">
        <v>0</v>
      </c>
      <c r="J943" s="111" t="n"/>
      <c r="K943" s="111" t="n"/>
      <c r="L943" s="111" t="n"/>
      <c r="M943" s="195" t="n">
        <v>0</v>
      </c>
    </row>
    <row r="944" ht="15" customHeight="1">
      <c r="A944" s="107" t="inlineStr">
        <is>
          <t>002204</t>
        </is>
      </c>
      <c r="B944" s="107" t="inlineStr">
        <is>
          <t>001135</t>
        </is>
      </c>
      <c r="C944" s="107" t="inlineStr">
        <is>
          <t>ORIGINAL LATA 350 ML</t>
        </is>
      </c>
      <c r="D944" s="107" t="n"/>
      <c r="E944" s="191" t="n">
        <v>1</v>
      </c>
      <c r="F944" s="192" t="n">
        <v>0</v>
      </c>
      <c r="G944" s="193" t="n">
        <v>0</v>
      </c>
      <c r="H944" s="192" t="n">
        <v>0</v>
      </c>
      <c r="I944" s="192" t="n">
        <v>0</v>
      </c>
      <c r="J944" s="107" t="n"/>
      <c r="K944" s="107" t="n"/>
      <c r="L944" s="107" t="n"/>
      <c r="M944" s="192" t="n">
        <v>0</v>
      </c>
    </row>
    <row r="945" ht="15" customHeight="1">
      <c r="A945" s="111" t="inlineStr">
        <is>
          <t>002205</t>
        </is>
      </c>
      <c r="B945" s="111" t="inlineStr">
        <is>
          <t>001409</t>
        </is>
      </c>
      <c r="C945" s="111" t="inlineStr">
        <is>
          <t>SPATEN LATA 350 ML</t>
        </is>
      </c>
      <c r="D945" s="111" t="n"/>
      <c r="E945" s="194" t="n">
        <v>1</v>
      </c>
      <c r="F945" s="195" t="n">
        <v>0</v>
      </c>
      <c r="G945" s="196" t="n">
        <v>0</v>
      </c>
      <c r="H945" s="195" t="n">
        <v>0</v>
      </c>
      <c r="I945" s="195" t="n">
        <v>0</v>
      </c>
      <c r="J945" s="111" t="n"/>
      <c r="K945" s="111" t="n"/>
      <c r="L945" s="111" t="n"/>
      <c r="M945" s="195" t="n">
        <v>0</v>
      </c>
    </row>
    <row r="946" ht="15" customHeight="1">
      <c r="A946" s="107" t="inlineStr">
        <is>
          <t>002207</t>
        </is>
      </c>
      <c r="B946" s="107" t="inlineStr">
        <is>
          <t>000361</t>
        </is>
      </c>
      <c r="C946" s="107" t="inlineStr">
        <is>
          <t>PINGA 51 965ML</t>
        </is>
      </c>
      <c r="D946" s="107" t="n"/>
      <c r="E946" s="191" t="n">
        <v>0.05</v>
      </c>
      <c r="F946" s="192" t="n">
        <v>0</v>
      </c>
      <c r="G946" s="193" t="n">
        <v>0</v>
      </c>
      <c r="H946" s="192" t="n">
        <v>0</v>
      </c>
      <c r="I946" s="192" t="n">
        <v>0</v>
      </c>
      <c r="J946" s="107" t="n"/>
      <c r="K946" s="107" t="n"/>
      <c r="L946" s="107" t="n"/>
      <c r="M946" s="192" t="n">
        <v>0</v>
      </c>
    </row>
    <row r="947" ht="15" customHeight="1">
      <c r="A947" s="111" t="inlineStr">
        <is>
          <t>002207</t>
        </is>
      </c>
      <c r="B947" s="111" t="inlineStr">
        <is>
          <t>000590</t>
        </is>
      </c>
      <c r="C947" s="111" t="inlineStr">
        <is>
          <t>MORANGO FRUTA</t>
        </is>
      </c>
      <c r="D947" s="111" t="n"/>
      <c r="E947" s="194" t="n">
        <v>0.03</v>
      </c>
      <c r="F947" s="195" t="n">
        <v>0</v>
      </c>
      <c r="G947" s="196" t="n">
        <v>0</v>
      </c>
      <c r="H947" s="195" t="n">
        <v>0</v>
      </c>
      <c r="I947" s="195" t="n">
        <v>0</v>
      </c>
      <c r="J947" s="111" t="n"/>
      <c r="K947" s="111" t="n"/>
      <c r="L947" s="111" t="n"/>
      <c r="M947" s="195" t="n">
        <v>0</v>
      </c>
    </row>
    <row r="948" ht="15" customHeight="1">
      <c r="A948" s="107" t="inlineStr">
        <is>
          <t>002207</t>
        </is>
      </c>
      <c r="B948" s="107" t="inlineStr">
        <is>
          <t>001976</t>
        </is>
      </c>
      <c r="C948" s="107" t="inlineStr">
        <is>
          <t>LICHIA EM CALDA 250GR</t>
        </is>
      </c>
      <c r="D948" s="107" t="n"/>
      <c r="E948" s="191" t="n">
        <v>0.3</v>
      </c>
      <c r="F948" s="192" t="n">
        <v>0</v>
      </c>
      <c r="G948" s="193" t="n">
        <v>0</v>
      </c>
      <c r="H948" s="192" t="n">
        <v>0</v>
      </c>
      <c r="I948" s="192" t="n">
        <v>0</v>
      </c>
      <c r="J948" s="107" t="n"/>
      <c r="K948" s="107" t="n"/>
      <c r="L948" s="107" t="n"/>
      <c r="M948" s="192" t="n">
        <v>0</v>
      </c>
    </row>
    <row r="949" ht="15" customHeight="1">
      <c r="A949" s="111" t="inlineStr">
        <is>
          <t>002207</t>
        </is>
      </c>
      <c r="B949" s="111" t="inlineStr">
        <is>
          <t>009826</t>
        </is>
      </c>
      <c r="C949" s="111" t="inlineStr">
        <is>
          <t>XAROPE MORANGO 3LT</t>
        </is>
      </c>
      <c r="D949" s="111" t="n"/>
      <c r="E949" s="194" t="n">
        <v>0.025</v>
      </c>
      <c r="F949" s="195" t="n">
        <v>0</v>
      </c>
      <c r="G949" s="196" t="n">
        <v>0</v>
      </c>
      <c r="H949" s="195" t="n">
        <v>0</v>
      </c>
      <c r="I949" s="195" t="n">
        <v>0</v>
      </c>
      <c r="J949" s="111" t="n"/>
      <c r="K949" s="111" t="n"/>
      <c r="L949" s="111" t="n"/>
      <c r="M949" s="195" t="n">
        <v>0</v>
      </c>
    </row>
    <row r="950" ht="15" customHeight="1">
      <c r="A950" s="107" t="inlineStr">
        <is>
          <t>002208</t>
        </is>
      </c>
      <c r="B950" s="107" t="inlineStr">
        <is>
          <t>000368</t>
        </is>
      </c>
      <c r="C950" s="107" t="inlineStr">
        <is>
          <t>RED BULL</t>
        </is>
      </c>
      <c r="D950" s="107" t="n"/>
      <c r="E950" s="191" t="n">
        <v>3</v>
      </c>
      <c r="F950" s="192" t="n">
        <v>0</v>
      </c>
      <c r="G950" s="193" t="n">
        <v>0</v>
      </c>
      <c r="H950" s="192" t="n">
        <v>0</v>
      </c>
      <c r="I950" s="192" t="n">
        <v>0</v>
      </c>
      <c r="J950" s="107" t="n"/>
      <c r="K950" s="107" t="n"/>
      <c r="L950" s="107" t="n"/>
      <c r="M950" s="192" t="n">
        <v>0</v>
      </c>
    </row>
    <row r="951" ht="15" customHeight="1">
      <c r="A951" s="111" t="inlineStr">
        <is>
          <t>002208</t>
        </is>
      </c>
      <c r="B951" s="111" t="inlineStr">
        <is>
          <t>001137</t>
        </is>
      </c>
      <c r="C951" s="111" t="inlineStr">
        <is>
          <t>WHISKY JOHNNIE WALKER BLACK LABEL 1LT</t>
        </is>
      </c>
      <c r="D951" s="111" t="n"/>
      <c r="E951" s="194" t="n">
        <v>1</v>
      </c>
      <c r="F951" s="195" t="n">
        <v>0</v>
      </c>
      <c r="G951" s="196" t="n">
        <v>0</v>
      </c>
      <c r="H951" s="195" t="n">
        <v>0</v>
      </c>
      <c r="I951" s="195" t="n">
        <v>0</v>
      </c>
      <c r="J951" s="111" t="n"/>
      <c r="K951" s="111" t="n"/>
      <c r="L951" s="111" t="n"/>
      <c r="M951" s="195" t="n">
        <v>0</v>
      </c>
    </row>
    <row r="952" ht="15" customHeight="1">
      <c r="A952" s="107" t="inlineStr">
        <is>
          <t>002209</t>
        </is>
      </c>
      <c r="B952" s="107" t="inlineStr">
        <is>
          <t>000392</t>
        </is>
      </c>
      <c r="C952" s="107" t="inlineStr">
        <is>
          <t>FEIJAO CARIOCA</t>
        </is>
      </c>
      <c r="D952" s="107" t="n"/>
      <c r="E952" s="191" t="n">
        <v>0.038</v>
      </c>
      <c r="F952" s="192" t="n">
        <v>79.90000000000001</v>
      </c>
      <c r="G952" s="193" t="n">
        <v>0</v>
      </c>
      <c r="H952" s="192" t="n">
        <v>0</v>
      </c>
      <c r="I952" s="192" t="n">
        <v>0</v>
      </c>
      <c r="J952" s="107" t="n"/>
      <c r="K952" s="107" t="n"/>
      <c r="L952" s="107" t="n"/>
      <c r="M952" s="192" t="n">
        <v>0</v>
      </c>
    </row>
    <row r="953" ht="15" customHeight="1">
      <c r="A953" s="111" t="inlineStr">
        <is>
          <t>002209</t>
        </is>
      </c>
      <c r="B953" s="111" t="inlineStr">
        <is>
          <t>000412</t>
        </is>
      </c>
      <c r="C953" s="111" t="inlineStr">
        <is>
          <t>OLEO DE SOJA LIZA 900ML</t>
        </is>
      </c>
      <c r="D953" s="111" t="n"/>
      <c r="E953" s="194" t="n">
        <v>0.003</v>
      </c>
      <c r="F953" s="195" t="n">
        <v>2251.85</v>
      </c>
      <c r="G953" s="196" t="n">
        <v>0</v>
      </c>
      <c r="H953" s="195" t="n">
        <v>0</v>
      </c>
      <c r="I953" s="195" t="n">
        <v>0</v>
      </c>
      <c r="J953" s="111" t="n"/>
      <c r="K953" s="111" t="n"/>
      <c r="L953" s="111" t="n"/>
      <c r="M953" s="195" t="n">
        <v>0</v>
      </c>
    </row>
    <row r="954" ht="15" customHeight="1">
      <c r="A954" s="107" t="inlineStr">
        <is>
          <t>002209</t>
        </is>
      </c>
      <c r="B954" s="107" t="inlineStr">
        <is>
          <t>000426</t>
        </is>
      </c>
      <c r="C954" s="107" t="inlineStr">
        <is>
          <t>BACON EM CUBOS</t>
        </is>
      </c>
      <c r="D954" s="107" t="n"/>
      <c r="E954" s="191" t="n">
        <v>0.008</v>
      </c>
      <c r="F954" s="192" t="n">
        <v>26562.68</v>
      </c>
      <c r="G954" s="193" t="n">
        <v>0</v>
      </c>
      <c r="H954" s="192" t="n">
        <v>0</v>
      </c>
      <c r="I954" s="192" t="n">
        <v>0</v>
      </c>
      <c r="J954" s="107" t="n"/>
      <c r="K954" s="107" t="n"/>
      <c r="L954" s="107" t="n"/>
      <c r="M954" s="192" t="n">
        <v>0</v>
      </c>
    </row>
    <row r="955" ht="15" customHeight="1">
      <c r="A955" s="111" t="inlineStr">
        <is>
          <t>002209</t>
        </is>
      </c>
      <c r="B955" s="111" t="inlineStr">
        <is>
          <t>000463</t>
        </is>
      </c>
      <c r="C955" s="111" t="inlineStr">
        <is>
          <t>ALHO DESCASCADO</t>
        </is>
      </c>
      <c r="D955" s="111" t="n"/>
      <c r="E955" s="194" t="n">
        <v>0.003</v>
      </c>
      <c r="F955" s="195" t="n">
        <v>445.92</v>
      </c>
      <c r="G955" s="196" t="n">
        <v>0</v>
      </c>
      <c r="H955" s="195" t="n">
        <v>0</v>
      </c>
      <c r="I955" s="195" t="n">
        <v>0</v>
      </c>
      <c r="J955" s="111" t="n"/>
      <c r="K955" s="111" t="n"/>
      <c r="L955" s="111" t="n"/>
      <c r="M955" s="195" t="n">
        <v>0</v>
      </c>
    </row>
    <row r="956" ht="15" customHeight="1">
      <c r="A956" s="107" t="inlineStr">
        <is>
          <t>002209</t>
        </is>
      </c>
      <c r="B956" s="107" t="inlineStr">
        <is>
          <t>000468</t>
        </is>
      </c>
      <c r="C956" s="107" t="inlineStr">
        <is>
          <t>CEBOLA MEDIA</t>
        </is>
      </c>
      <c r="D956" s="107" t="n"/>
      <c r="E956" s="191" t="n">
        <v>0.001</v>
      </c>
      <c r="F956" s="192" t="n">
        <v>9331.52</v>
      </c>
      <c r="G956" s="193" t="n">
        <v>0</v>
      </c>
      <c r="H956" s="192" t="n">
        <v>0</v>
      </c>
      <c r="I956" s="192" t="n">
        <v>0</v>
      </c>
      <c r="J956" s="107" t="n"/>
      <c r="K956" s="107" t="n"/>
      <c r="L956" s="107" t="n"/>
      <c r="M956" s="192" t="n">
        <v>0</v>
      </c>
    </row>
    <row r="957" ht="15" customHeight="1">
      <c r="A957" s="111" t="inlineStr">
        <is>
          <t>002209</t>
        </is>
      </c>
      <c r="B957" s="111" t="inlineStr">
        <is>
          <t>000475</t>
        </is>
      </c>
      <c r="C957" s="111" t="inlineStr">
        <is>
          <t>FOLHA DE LOURO</t>
        </is>
      </c>
      <c r="D957" s="111" t="n"/>
      <c r="E957" s="194" t="n">
        <v>0.001</v>
      </c>
      <c r="F957" s="195" t="n">
        <v>9.699999999999999</v>
      </c>
      <c r="G957" s="196" t="n">
        <v>0</v>
      </c>
      <c r="H957" s="195" t="n">
        <v>0</v>
      </c>
      <c r="I957" s="195" t="n">
        <v>0</v>
      </c>
      <c r="J957" s="111" t="n"/>
      <c r="K957" s="111" t="n"/>
      <c r="L957" s="111" t="n"/>
      <c r="M957" s="195" t="n">
        <v>0</v>
      </c>
    </row>
    <row r="958" ht="15" customHeight="1">
      <c r="A958" s="107" t="inlineStr">
        <is>
          <t>002211</t>
        </is>
      </c>
      <c r="B958" s="107" t="inlineStr">
        <is>
          <t>001459</t>
        </is>
      </c>
      <c r="C958" s="107" t="inlineStr">
        <is>
          <t>POLENTA PALITO 1,01KG</t>
        </is>
      </c>
      <c r="D958" s="107" t="n"/>
      <c r="E958" s="191" t="n">
        <v>0.21</v>
      </c>
      <c r="F958" s="192" t="n">
        <v>0</v>
      </c>
      <c r="G958" s="193" t="n">
        <v>0</v>
      </c>
      <c r="H958" s="192" t="n">
        <v>0</v>
      </c>
      <c r="I958" s="192" t="n">
        <v>0</v>
      </c>
      <c r="J958" s="107" t="n"/>
      <c r="K958" s="107" t="n"/>
      <c r="L958" s="107" t="n"/>
      <c r="M958" s="192" t="n">
        <v>0</v>
      </c>
    </row>
    <row r="959" ht="15" customHeight="1">
      <c r="A959" s="111" t="inlineStr">
        <is>
          <t>002213</t>
        </is>
      </c>
      <c r="B959" s="111" t="inlineStr">
        <is>
          <t>000465</t>
        </is>
      </c>
      <c r="C959" s="111" t="inlineStr">
        <is>
          <t>BATATA HOLANDESA</t>
        </is>
      </c>
      <c r="D959" s="111" t="n"/>
      <c r="E959" s="194" t="n">
        <v>0.2</v>
      </c>
      <c r="F959" s="195" t="n">
        <v>6.4</v>
      </c>
      <c r="G959" s="196" t="n">
        <v>0</v>
      </c>
      <c r="H959" s="195" t="n">
        <v>0</v>
      </c>
      <c r="I959" s="195" t="n">
        <v>0</v>
      </c>
      <c r="J959" s="111" t="n"/>
      <c r="K959" s="111" t="n"/>
      <c r="L959" s="111" t="n"/>
      <c r="M959" s="195" t="n">
        <v>0</v>
      </c>
    </row>
    <row r="960" ht="15" customHeight="1">
      <c r="A960" s="107" t="inlineStr">
        <is>
          <t>002213</t>
        </is>
      </c>
      <c r="B960" s="107" t="inlineStr">
        <is>
          <t>000614</t>
        </is>
      </c>
      <c r="C960" s="107" t="inlineStr">
        <is>
          <t>SAL REFINADO</t>
        </is>
      </c>
      <c r="D960" s="107" t="n"/>
      <c r="E960" s="191" t="n">
        <v>0.002</v>
      </c>
      <c r="F960" s="192" t="n">
        <v>7.86</v>
      </c>
      <c r="G960" s="193" t="n">
        <v>0</v>
      </c>
      <c r="H960" s="192" t="n">
        <v>0</v>
      </c>
      <c r="I960" s="192" t="n">
        <v>0</v>
      </c>
      <c r="J960" s="107" t="n"/>
      <c r="K960" s="107" t="n"/>
      <c r="L960" s="107" t="n"/>
      <c r="M960" s="192" t="n">
        <v>0</v>
      </c>
    </row>
    <row r="961" ht="15" customHeight="1">
      <c r="A961" s="111" t="inlineStr">
        <is>
          <t>002213</t>
        </is>
      </c>
      <c r="B961" s="111" t="inlineStr">
        <is>
          <t>001994</t>
        </is>
      </c>
      <c r="C961" s="111" t="inlineStr">
        <is>
          <t>CREME DE LEITE FRESCO</t>
        </is>
      </c>
      <c r="D961" s="111" t="n"/>
      <c r="E961" s="194" t="n">
        <v>0.01</v>
      </c>
      <c r="F961" s="195" t="n">
        <v>1.56</v>
      </c>
      <c r="G961" s="196" t="n">
        <v>0</v>
      </c>
      <c r="H961" s="195" t="n">
        <v>0</v>
      </c>
      <c r="I961" s="195" t="n">
        <v>0</v>
      </c>
      <c r="J961" s="111" t="n"/>
      <c r="K961" s="111" t="n"/>
      <c r="L961" s="111" t="n"/>
      <c r="M961" s="195" t="n">
        <v>0</v>
      </c>
    </row>
    <row r="962" ht="15" customHeight="1">
      <c r="A962" s="107" t="inlineStr">
        <is>
          <t>002213</t>
        </is>
      </c>
      <c r="B962" s="107" t="inlineStr">
        <is>
          <t>002068</t>
        </is>
      </c>
      <c r="C962" s="107" t="inlineStr">
        <is>
          <t>MANTEIGA S/SAL 5KG</t>
        </is>
      </c>
      <c r="D962" s="107" t="n"/>
      <c r="E962" s="191" t="n">
        <v>0.01</v>
      </c>
      <c r="F962" s="192" t="n">
        <v>11097</v>
      </c>
      <c r="G962" s="193" t="n">
        <v>0</v>
      </c>
      <c r="H962" s="192" t="n">
        <v>0</v>
      </c>
      <c r="I962" s="192" t="n">
        <v>0</v>
      </c>
      <c r="J962" s="107" t="n"/>
      <c r="K962" s="107" t="n"/>
      <c r="L962" s="107" t="n"/>
      <c r="M962" s="192" t="n">
        <v>0</v>
      </c>
    </row>
    <row r="963" ht="15" customHeight="1">
      <c r="A963" s="111" t="inlineStr">
        <is>
          <t>002215</t>
        </is>
      </c>
      <c r="B963" s="111" t="inlineStr">
        <is>
          <t>000460</t>
        </is>
      </c>
      <c r="C963" s="111" t="inlineStr">
        <is>
          <t>AGRIAO HIDROPONICO</t>
        </is>
      </c>
      <c r="D963" s="111" t="n"/>
      <c r="E963" s="194" t="n">
        <v>0.02</v>
      </c>
      <c r="F963" s="195" t="n">
        <v>0</v>
      </c>
      <c r="G963" s="196" t="n">
        <v>0</v>
      </c>
      <c r="H963" s="195" t="n">
        <v>0</v>
      </c>
      <c r="I963" s="195" t="n">
        <v>0</v>
      </c>
      <c r="J963" s="111" t="n"/>
      <c r="K963" s="111" t="n"/>
      <c r="L963" s="111" t="n"/>
      <c r="M963" s="195" t="n">
        <v>0</v>
      </c>
    </row>
    <row r="964" ht="15" customHeight="1">
      <c r="A964" s="107" t="inlineStr">
        <is>
          <t>002215</t>
        </is>
      </c>
      <c r="B964" s="107" t="inlineStr">
        <is>
          <t>000461</t>
        </is>
      </c>
      <c r="C964" s="107" t="inlineStr">
        <is>
          <t>ALFACE AMERICANA</t>
        </is>
      </c>
      <c r="D964" s="107" t="n"/>
      <c r="E964" s="191" t="n">
        <v>0.08</v>
      </c>
      <c r="F964" s="192" t="n">
        <v>0</v>
      </c>
      <c r="G964" s="193" t="n">
        <v>0</v>
      </c>
      <c r="H964" s="192" t="n">
        <v>0</v>
      </c>
      <c r="I964" s="192" t="n">
        <v>0</v>
      </c>
      <c r="J964" s="107" t="n"/>
      <c r="K964" s="107" t="n"/>
      <c r="L964" s="107" t="n"/>
      <c r="M964" s="192" t="n">
        <v>0</v>
      </c>
    </row>
    <row r="965" ht="15" customHeight="1">
      <c r="A965" s="111" t="inlineStr">
        <is>
          <t>002215</t>
        </is>
      </c>
      <c r="B965" s="111" t="inlineStr">
        <is>
          <t>000462</t>
        </is>
      </c>
      <c r="C965" s="111" t="inlineStr">
        <is>
          <t>ALFACE CRESPA</t>
        </is>
      </c>
      <c r="D965" s="111" t="n"/>
      <c r="E965" s="194" t="n">
        <v>0.05</v>
      </c>
      <c r="F965" s="195" t="n">
        <v>0</v>
      </c>
      <c r="G965" s="196" t="n">
        <v>0</v>
      </c>
      <c r="H965" s="195" t="n">
        <v>0</v>
      </c>
      <c r="I965" s="195" t="n">
        <v>0</v>
      </c>
      <c r="J965" s="111" t="n"/>
      <c r="K965" s="111" t="n"/>
      <c r="L965" s="111" t="n"/>
      <c r="M965" s="195" t="n">
        <v>0</v>
      </c>
    </row>
    <row r="966" ht="15" customHeight="1">
      <c r="A966" s="107" t="inlineStr">
        <is>
          <t>002215</t>
        </is>
      </c>
      <c r="B966" s="107" t="inlineStr">
        <is>
          <t>000483</t>
        </is>
      </c>
      <c r="C966" s="107" t="inlineStr">
        <is>
          <t>RUCULA HIDROPONICA</t>
        </is>
      </c>
      <c r="D966" s="107" t="n"/>
      <c r="E966" s="191" t="n">
        <v>0.02</v>
      </c>
      <c r="F966" s="192" t="n">
        <v>0</v>
      </c>
      <c r="G966" s="193" t="n">
        <v>0</v>
      </c>
      <c r="H966" s="192" t="n">
        <v>0</v>
      </c>
      <c r="I966" s="192" t="n">
        <v>0</v>
      </c>
      <c r="J966" s="107" t="n"/>
      <c r="K966" s="107" t="n"/>
      <c r="L966" s="107" t="n"/>
      <c r="M966" s="192" t="n">
        <v>0</v>
      </c>
    </row>
    <row r="967" ht="15" customHeight="1">
      <c r="A967" s="111" t="inlineStr">
        <is>
          <t>002215</t>
        </is>
      </c>
      <c r="B967" s="111" t="inlineStr">
        <is>
          <t>000498</t>
        </is>
      </c>
      <c r="C967" s="111" t="inlineStr">
        <is>
          <t>MANGA FRUTA</t>
        </is>
      </c>
      <c r="D967" s="111" t="n"/>
      <c r="E967" s="194" t="n">
        <v>0.04</v>
      </c>
      <c r="F967" s="195" t="n">
        <v>0</v>
      </c>
      <c r="G967" s="196" t="n">
        <v>0</v>
      </c>
      <c r="H967" s="195" t="n">
        <v>0</v>
      </c>
      <c r="I967" s="195" t="n">
        <v>0</v>
      </c>
      <c r="J967" s="111" t="n"/>
      <c r="K967" s="111" t="n"/>
      <c r="L967" s="111" t="n"/>
      <c r="M967" s="195" t="n">
        <v>0</v>
      </c>
    </row>
    <row r="968" ht="15" customHeight="1">
      <c r="A968" s="107" t="inlineStr">
        <is>
          <t>002215</t>
        </is>
      </c>
      <c r="B968" s="107" t="inlineStr">
        <is>
          <t>000501</t>
        </is>
      </c>
      <c r="C968" s="107" t="inlineStr">
        <is>
          <t>UVA ITALIA FRUTA</t>
        </is>
      </c>
      <c r="D968" s="107" t="n"/>
      <c r="E968" s="191" t="n">
        <v>0.04</v>
      </c>
      <c r="F968" s="192" t="n">
        <v>0</v>
      </c>
      <c r="G968" s="193" t="n">
        <v>0</v>
      </c>
      <c r="H968" s="192" t="n">
        <v>0</v>
      </c>
      <c r="I968" s="192" t="n">
        <v>0</v>
      </c>
      <c r="J968" s="107" t="n"/>
      <c r="K968" s="107" t="n"/>
      <c r="L968" s="107" t="n"/>
      <c r="M968" s="192" t="n">
        <v>0</v>
      </c>
    </row>
    <row r="969" ht="15" customHeight="1">
      <c r="A969" s="111" t="inlineStr">
        <is>
          <t>002215</t>
        </is>
      </c>
      <c r="B969" s="111" t="inlineStr">
        <is>
          <t>000590</t>
        </is>
      </c>
      <c r="C969" s="111" t="inlineStr">
        <is>
          <t>MORANGO FRUTA</t>
        </is>
      </c>
      <c r="D969" s="111" t="n"/>
      <c r="E969" s="194" t="n">
        <v>0.04</v>
      </c>
      <c r="F969" s="195" t="n">
        <v>0</v>
      </c>
      <c r="G969" s="196" t="n">
        <v>0</v>
      </c>
      <c r="H969" s="195" t="n">
        <v>0</v>
      </c>
      <c r="I969" s="195" t="n">
        <v>0</v>
      </c>
      <c r="J969" s="111" t="n"/>
      <c r="K969" s="111" t="n"/>
      <c r="L969" s="111" t="n"/>
      <c r="M969" s="195" t="n">
        <v>0</v>
      </c>
    </row>
    <row r="970" ht="15" customHeight="1">
      <c r="A970" s="107" t="inlineStr">
        <is>
          <t>002216</t>
        </is>
      </c>
      <c r="B970" s="107" t="inlineStr">
        <is>
          <t>000286</t>
        </is>
      </c>
      <c r="C970" s="107" t="inlineStr">
        <is>
          <t>ESPETO BOVINO</t>
        </is>
      </c>
      <c r="D970" s="107" t="n"/>
      <c r="E970" s="191" t="n">
        <v>2</v>
      </c>
      <c r="F970" s="192" t="n">
        <v>0</v>
      </c>
      <c r="G970" s="193" t="n">
        <v>0</v>
      </c>
      <c r="H970" s="192" t="n">
        <v>0</v>
      </c>
      <c r="I970" s="192" t="n">
        <v>0</v>
      </c>
      <c r="J970" s="107" t="n"/>
      <c r="K970" s="107" t="n"/>
      <c r="L970" s="107" t="n"/>
      <c r="M970" s="192" t="n">
        <v>0</v>
      </c>
    </row>
    <row r="971" ht="15" customHeight="1">
      <c r="A971" s="111" t="inlineStr">
        <is>
          <t>002216</t>
        </is>
      </c>
      <c r="B971" s="111" t="inlineStr">
        <is>
          <t>000331</t>
        </is>
      </c>
      <c r="C971" s="111" t="inlineStr">
        <is>
          <t>BARRIL CHOPP BRAHMA CLARO 50LT</t>
        </is>
      </c>
      <c r="D971" s="111" t="n"/>
      <c r="E971" s="194" t="n">
        <v>0.003</v>
      </c>
      <c r="F971" s="195" t="n">
        <v>0</v>
      </c>
      <c r="G971" s="196" t="n">
        <v>0</v>
      </c>
      <c r="H971" s="195" t="n">
        <v>0</v>
      </c>
      <c r="I971" s="195" t="n">
        <v>0</v>
      </c>
      <c r="J971" s="111" t="n"/>
      <c r="K971" s="111" t="n"/>
      <c r="L971" s="111" t="n"/>
      <c r="M971" s="195" t="n">
        <v>0</v>
      </c>
    </row>
    <row r="972" ht="15" customHeight="1">
      <c r="A972" s="107" t="inlineStr">
        <is>
          <t>002216</t>
        </is>
      </c>
      <c r="B972" s="107" t="inlineStr">
        <is>
          <t>000377</t>
        </is>
      </c>
      <c r="C972" s="107" t="inlineStr">
        <is>
          <t>ARROZ TIPO 1</t>
        </is>
      </c>
      <c r="D972" s="107" t="n"/>
      <c r="E972" s="191" t="n">
        <v>0.06</v>
      </c>
      <c r="F972" s="192" t="n">
        <v>0</v>
      </c>
      <c r="G972" s="193" t="n">
        <v>0</v>
      </c>
      <c r="H972" s="192" t="n">
        <v>0</v>
      </c>
      <c r="I972" s="192" t="n">
        <v>0</v>
      </c>
      <c r="J972" s="107" t="n"/>
      <c r="K972" s="107" t="n"/>
      <c r="L972" s="107" t="n"/>
      <c r="M972" s="192" t="n">
        <v>0</v>
      </c>
    </row>
    <row r="973" ht="15" customHeight="1">
      <c r="A973" s="111" t="inlineStr">
        <is>
          <t>002216</t>
        </is>
      </c>
      <c r="B973" s="111" t="inlineStr">
        <is>
          <t>000390</t>
        </is>
      </c>
      <c r="C973" s="111" t="inlineStr">
        <is>
          <t>FARINHA DE TRIGO SOL</t>
        </is>
      </c>
      <c r="D973" s="111" t="n"/>
      <c r="E973" s="194" t="n">
        <v>0.002</v>
      </c>
      <c r="F973" s="195" t="n">
        <v>0</v>
      </c>
      <c r="G973" s="196" t="n">
        <v>0</v>
      </c>
      <c r="H973" s="195" t="n">
        <v>0</v>
      </c>
      <c r="I973" s="195" t="n">
        <v>0</v>
      </c>
      <c r="J973" s="111" t="n"/>
      <c r="K973" s="111" t="n"/>
      <c r="L973" s="111" t="n"/>
      <c r="M973" s="195" t="n">
        <v>0</v>
      </c>
    </row>
    <row r="974" ht="15" customHeight="1">
      <c r="A974" s="107" t="inlineStr">
        <is>
          <t>002216</t>
        </is>
      </c>
      <c r="B974" s="107" t="inlineStr">
        <is>
          <t>000392</t>
        </is>
      </c>
      <c r="C974" s="107" t="inlineStr">
        <is>
          <t>FEIJAO CARIOCA</t>
        </is>
      </c>
      <c r="D974" s="107" t="n"/>
      <c r="E974" s="191" t="n">
        <v>0.038</v>
      </c>
      <c r="F974" s="192" t="n">
        <v>0</v>
      </c>
      <c r="G974" s="193" t="n">
        <v>0</v>
      </c>
      <c r="H974" s="192" t="n">
        <v>0</v>
      </c>
      <c r="I974" s="192" t="n">
        <v>0</v>
      </c>
      <c r="J974" s="107" t="n"/>
      <c r="K974" s="107" t="n"/>
      <c r="L974" s="107" t="n"/>
      <c r="M974" s="192" t="n">
        <v>0</v>
      </c>
    </row>
    <row r="975" ht="15" customHeight="1">
      <c r="A975" s="111" t="inlineStr">
        <is>
          <t>002216</t>
        </is>
      </c>
      <c r="B975" s="111" t="inlineStr">
        <is>
          <t>000412</t>
        </is>
      </c>
      <c r="C975" s="111" t="inlineStr">
        <is>
          <t>OLEO DE SOJA LIZA 900ML</t>
        </is>
      </c>
      <c r="D975" s="111" t="n"/>
      <c r="E975" s="194" t="n">
        <v>0.008999999999999999</v>
      </c>
      <c r="F975" s="195" t="n">
        <v>0</v>
      </c>
      <c r="G975" s="196" t="n">
        <v>0</v>
      </c>
      <c r="H975" s="195" t="n">
        <v>0</v>
      </c>
      <c r="I975" s="195" t="n">
        <v>0</v>
      </c>
      <c r="J975" s="111" t="n"/>
      <c r="K975" s="111" t="n"/>
      <c r="L975" s="111" t="n"/>
      <c r="M975" s="195" t="n">
        <v>0</v>
      </c>
    </row>
    <row r="976" ht="15" customHeight="1">
      <c r="A976" s="107" t="inlineStr">
        <is>
          <t>002216</t>
        </is>
      </c>
      <c r="B976" s="107" t="inlineStr">
        <is>
          <t>000414</t>
        </is>
      </c>
      <c r="C976" s="107" t="inlineStr">
        <is>
          <t>PIMENTA DO REINO MOIDA</t>
        </is>
      </c>
      <c r="D976" s="107" t="n"/>
      <c r="E976" s="191" t="n">
        <v>0.0005999999999999999</v>
      </c>
      <c r="F976" s="192" t="n">
        <v>0</v>
      </c>
      <c r="G976" s="193" t="n">
        <v>0</v>
      </c>
      <c r="H976" s="192" t="n">
        <v>0</v>
      </c>
      <c r="I976" s="192" t="n">
        <v>0</v>
      </c>
      <c r="J976" s="107" t="n"/>
      <c r="K976" s="107" t="n"/>
      <c r="L976" s="107" t="n"/>
      <c r="M976" s="192" t="n">
        <v>0</v>
      </c>
    </row>
    <row r="977" ht="15" customHeight="1">
      <c r="A977" s="111" t="inlineStr">
        <is>
          <t>002216</t>
        </is>
      </c>
      <c r="B977" s="111" t="inlineStr">
        <is>
          <t>000426</t>
        </is>
      </c>
      <c r="C977" s="111" t="inlineStr">
        <is>
          <t>BACON EM CUBOS</t>
        </is>
      </c>
      <c r="D977" s="111" t="n"/>
      <c r="E977" s="194" t="n">
        <v>0.012</v>
      </c>
      <c r="F977" s="195" t="n">
        <v>0</v>
      </c>
      <c r="G977" s="196" t="n">
        <v>0</v>
      </c>
      <c r="H977" s="195" t="n">
        <v>0</v>
      </c>
      <c r="I977" s="195" t="n">
        <v>0</v>
      </c>
      <c r="J977" s="111" t="n"/>
      <c r="K977" s="111" t="n"/>
      <c r="L977" s="111" t="n"/>
      <c r="M977" s="195" t="n">
        <v>0</v>
      </c>
    </row>
    <row r="978" ht="15" customHeight="1">
      <c r="A978" s="107" t="inlineStr">
        <is>
          <t>002216</t>
        </is>
      </c>
      <c r="B978" s="107" t="inlineStr">
        <is>
          <t>000463</t>
        </is>
      </c>
      <c r="C978" s="107" t="inlineStr">
        <is>
          <t>ALHO DESCASCADO</t>
        </is>
      </c>
      <c r="D978" s="107" t="n"/>
      <c r="E978" s="191" t="n">
        <v>0.004</v>
      </c>
      <c r="F978" s="192" t="n">
        <v>0</v>
      </c>
      <c r="G978" s="193" t="n">
        <v>0</v>
      </c>
      <c r="H978" s="192" t="n">
        <v>0</v>
      </c>
      <c r="I978" s="192" t="n">
        <v>0</v>
      </c>
      <c r="J978" s="107" t="n"/>
      <c r="K978" s="107" t="n"/>
      <c r="L978" s="107" t="n"/>
      <c r="M978" s="192" t="n">
        <v>0</v>
      </c>
    </row>
    <row r="979" ht="15" customHeight="1">
      <c r="A979" s="111" t="inlineStr">
        <is>
          <t>002216</t>
        </is>
      </c>
      <c r="B979" s="111" t="inlineStr">
        <is>
          <t>000468</t>
        </is>
      </c>
      <c r="C979" s="111" t="inlineStr">
        <is>
          <t>CEBOLA MEDIA</t>
        </is>
      </c>
      <c r="D979" s="111" t="n"/>
      <c r="E979" s="194" t="n">
        <v>0.001</v>
      </c>
      <c r="F979" s="195" t="n">
        <v>0</v>
      </c>
      <c r="G979" s="196" t="n">
        <v>0</v>
      </c>
      <c r="H979" s="195" t="n">
        <v>0</v>
      </c>
      <c r="I979" s="195" t="n">
        <v>0</v>
      </c>
      <c r="J979" s="111" t="n"/>
      <c r="K979" s="111" t="n"/>
      <c r="L979" s="111" t="n"/>
      <c r="M979" s="195" t="n">
        <v>0</v>
      </c>
    </row>
    <row r="980" ht="15" customHeight="1">
      <c r="A980" s="107" t="inlineStr">
        <is>
          <t>002216</t>
        </is>
      </c>
      <c r="B980" s="107" t="inlineStr">
        <is>
          <t>000475</t>
        </is>
      </c>
      <c r="C980" s="107" t="inlineStr">
        <is>
          <t>FOLHA DE LOURO</t>
        </is>
      </c>
      <c r="D980" s="107" t="n"/>
      <c r="E980" s="191" t="n">
        <v>0.002</v>
      </c>
      <c r="F980" s="192" t="n">
        <v>0</v>
      </c>
      <c r="G980" s="193" t="n">
        <v>0</v>
      </c>
      <c r="H980" s="192" t="n">
        <v>0</v>
      </c>
      <c r="I980" s="192" t="n">
        <v>0</v>
      </c>
      <c r="J980" s="107" t="n"/>
      <c r="K980" s="107" t="n"/>
      <c r="L980" s="107" t="n"/>
      <c r="M980" s="192" t="n">
        <v>0</v>
      </c>
    </row>
    <row r="981" ht="15" customHeight="1">
      <c r="A981" s="111" t="inlineStr">
        <is>
          <t>002216</t>
        </is>
      </c>
      <c r="B981" s="111" t="inlineStr">
        <is>
          <t>000614</t>
        </is>
      </c>
      <c r="C981" s="111" t="inlineStr">
        <is>
          <t>SAL REFINADO</t>
        </is>
      </c>
      <c r="D981" s="111" t="n"/>
      <c r="E981" s="194" t="n">
        <v>0.005</v>
      </c>
      <c r="F981" s="195" t="n">
        <v>0</v>
      </c>
      <c r="G981" s="196" t="n">
        <v>0</v>
      </c>
      <c r="H981" s="195" t="n">
        <v>0</v>
      </c>
      <c r="I981" s="195" t="n">
        <v>0</v>
      </c>
      <c r="J981" s="111" t="n"/>
      <c r="K981" s="111" t="n"/>
      <c r="L981" s="111" t="n"/>
      <c r="M981" s="195" t="n">
        <v>0</v>
      </c>
    </row>
    <row r="982" ht="15" customHeight="1">
      <c r="A982" s="107" t="inlineStr">
        <is>
          <t>002216</t>
        </is>
      </c>
      <c r="B982" s="107" t="inlineStr">
        <is>
          <t>000667</t>
        </is>
      </c>
      <c r="C982" s="107" t="inlineStr">
        <is>
          <t>TOMILHO</t>
        </is>
      </c>
      <c r="D982" s="107" t="n"/>
      <c r="E982" s="191" t="n">
        <v>0.001</v>
      </c>
      <c r="F982" s="192" t="n">
        <v>0</v>
      </c>
      <c r="G982" s="193" t="n">
        <v>0</v>
      </c>
      <c r="H982" s="192" t="n">
        <v>0</v>
      </c>
      <c r="I982" s="192" t="n">
        <v>0</v>
      </c>
      <c r="J982" s="107" t="n"/>
      <c r="K982" s="107" t="n"/>
      <c r="L982" s="107" t="n"/>
      <c r="M982" s="192" t="n">
        <v>0</v>
      </c>
    </row>
    <row r="983" ht="15" customHeight="1">
      <c r="A983" s="111" t="inlineStr">
        <is>
          <t>002216</t>
        </is>
      </c>
      <c r="B983" s="111" t="inlineStr">
        <is>
          <t>000668</t>
        </is>
      </c>
      <c r="C983" s="111" t="inlineStr">
        <is>
          <t>ALECRIM</t>
        </is>
      </c>
      <c r="D983" s="111" t="n"/>
      <c r="E983" s="194" t="n">
        <v>0.001</v>
      </c>
      <c r="F983" s="195" t="n">
        <v>0</v>
      </c>
      <c r="G983" s="196" t="n">
        <v>0</v>
      </c>
      <c r="H983" s="195" t="n">
        <v>0</v>
      </c>
      <c r="I983" s="195" t="n">
        <v>0</v>
      </c>
      <c r="J983" s="111" t="n"/>
      <c r="K983" s="111" t="n"/>
      <c r="L983" s="111" t="n"/>
      <c r="M983" s="195" t="n">
        <v>0</v>
      </c>
    </row>
    <row r="984" ht="15" customHeight="1">
      <c r="A984" s="107" t="inlineStr">
        <is>
          <t>002216</t>
        </is>
      </c>
      <c r="B984" s="107" t="inlineStr">
        <is>
          <t>002067</t>
        </is>
      </c>
      <c r="C984" s="107" t="inlineStr">
        <is>
          <t>FARINHA PANKO EMPANAR</t>
        </is>
      </c>
      <c r="D984" s="107" t="n"/>
      <c r="E984" s="191" t="n">
        <v>0.02</v>
      </c>
      <c r="F984" s="192" t="n">
        <v>0</v>
      </c>
      <c r="G984" s="193" t="n">
        <v>0</v>
      </c>
      <c r="H984" s="192" t="n">
        <v>0</v>
      </c>
      <c r="I984" s="192" t="n">
        <v>0</v>
      </c>
      <c r="J984" s="107" t="n"/>
      <c r="K984" s="107" t="n"/>
      <c r="L984" s="107" t="n"/>
      <c r="M984" s="192" t="n">
        <v>0</v>
      </c>
    </row>
    <row r="985" ht="15" customHeight="1">
      <c r="A985" s="111" t="inlineStr">
        <is>
          <t>002216</t>
        </is>
      </c>
      <c r="B985" s="111" t="inlineStr">
        <is>
          <t>002068</t>
        </is>
      </c>
      <c r="C985" s="111" t="inlineStr">
        <is>
          <t>MANTEIGA S/SAL 5KG</t>
        </is>
      </c>
      <c r="D985" s="111" t="n"/>
      <c r="E985" s="194" t="n">
        <v>0.008999999999999999</v>
      </c>
      <c r="F985" s="195" t="n">
        <v>0</v>
      </c>
      <c r="G985" s="196" t="n">
        <v>0</v>
      </c>
      <c r="H985" s="195" t="n">
        <v>0</v>
      </c>
      <c r="I985" s="195" t="n">
        <v>0</v>
      </c>
      <c r="J985" s="111" t="n"/>
      <c r="K985" s="111" t="n"/>
      <c r="L985" s="111" t="n"/>
      <c r="M985" s="195" t="n">
        <v>0</v>
      </c>
    </row>
    <row r="986" ht="15" customHeight="1">
      <c r="A986" s="107" t="inlineStr">
        <is>
          <t>002216</t>
        </is>
      </c>
      <c r="B986" s="107" t="inlineStr">
        <is>
          <t>002070</t>
        </is>
      </c>
      <c r="C986" s="107" t="inlineStr">
        <is>
          <t>ALHO PORO</t>
        </is>
      </c>
      <c r="D986" s="107" t="n"/>
      <c r="E986" s="191" t="n">
        <v>0.004</v>
      </c>
      <c r="F986" s="192" t="n">
        <v>0</v>
      </c>
      <c r="G986" s="193" t="n">
        <v>0</v>
      </c>
      <c r="H986" s="192" t="n">
        <v>0</v>
      </c>
      <c r="I986" s="192" t="n">
        <v>0</v>
      </c>
      <c r="J986" s="107" t="n"/>
      <c r="K986" s="107" t="n"/>
      <c r="L986" s="107" t="n"/>
      <c r="M986" s="192" t="n">
        <v>0</v>
      </c>
    </row>
    <row r="987" ht="15" customHeight="1">
      <c r="A987" s="111" t="inlineStr">
        <is>
          <t>002237</t>
        </is>
      </c>
      <c r="B987" s="111" t="inlineStr">
        <is>
          <t>000476</t>
        </is>
      </c>
      <c r="C987" s="111" t="inlineStr">
        <is>
          <t>MANDIOCA</t>
        </is>
      </c>
      <c r="D987" s="111" t="n"/>
      <c r="E987" s="194" t="n">
        <v>0.2</v>
      </c>
      <c r="F987" s="195" t="n">
        <v>0</v>
      </c>
      <c r="G987" s="196" t="n">
        <v>0</v>
      </c>
      <c r="H987" s="195" t="n">
        <v>0</v>
      </c>
      <c r="I987" s="195" t="n">
        <v>0</v>
      </c>
      <c r="J987" s="111" t="n"/>
      <c r="K987" s="111" t="n"/>
      <c r="L987" s="111" t="n"/>
      <c r="M987" s="195" t="n">
        <v>0</v>
      </c>
    </row>
    <row r="988" ht="15" customHeight="1">
      <c r="A988" s="107" t="inlineStr">
        <is>
          <t>002239</t>
        </is>
      </c>
      <c r="B988" s="107" t="inlineStr">
        <is>
          <t>000460</t>
        </is>
      </c>
      <c r="C988" s="107" t="inlineStr">
        <is>
          <t>AGRIAO HIDROPONICO</t>
        </is>
      </c>
      <c r="D988" s="107" t="n"/>
      <c r="E988" s="191" t="n">
        <v>0.005</v>
      </c>
      <c r="F988" s="192" t="n">
        <v>0.87</v>
      </c>
      <c r="G988" s="193" t="n">
        <v>0</v>
      </c>
      <c r="H988" s="192" t="n">
        <v>0</v>
      </c>
      <c r="I988" s="192" t="n">
        <v>0</v>
      </c>
      <c r="J988" s="107" t="n"/>
      <c r="K988" s="107" t="n"/>
      <c r="L988" s="107" t="n"/>
      <c r="M988" s="192" t="n">
        <v>0</v>
      </c>
    </row>
    <row r="989" ht="15" customHeight="1">
      <c r="A989" s="111" t="inlineStr">
        <is>
          <t>002239</t>
        </is>
      </c>
      <c r="B989" s="111" t="inlineStr">
        <is>
          <t>000461</t>
        </is>
      </c>
      <c r="C989" s="111" t="inlineStr">
        <is>
          <t>ALFACE AMERICANA</t>
        </is>
      </c>
      <c r="D989" s="111" t="n"/>
      <c r="E989" s="194" t="n">
        <v>0.02</v>
      </c>
      <c r="F989" s="195" t="n">
        <v>198.02</v>
      </c>
      <c r="G989" s="196" t="n">
        <v>0</v>
      </c>
      <c r="H989" s="195" t="n">
        <v>0</v>
      </c>
      <c r="I989" s="195" t="n">
        <v>0</v>
      </c>
      <c r="J989" s="111" t="n"/>
      <c r="K989" s="111" t="n"/>
      <c r="L989" s="111" t="n"/>
      <c r="M989" s="195" t="n">
        <v>0</v>
      </c>
    </row>
    <row r="990" ht="15" customHeight="1">
      <c r="A990" s="107" t="inlineStr">
        <is>
          <t>002239</t>
        </is>
      </c>
      <c r="B990" s="107" t="inlineStr">
        <is>
          <t>000462</t>
        </is>
      </c>
      <c r="C990" s="107" t="inlineStr">
        <is>
          <t>ALFACE CRESPA</t>
        </is>
      </c>
      <c r="D990" s="107" t="n"/>
      <c r="E990" s="191" t="n">
        <v>0.02</v>
      </c>
      <c r="F990" s="192" t="n">
        <v>46.33</v>
      </c>
      <c r="G990" s="193" t="n">
        <v>0</v>
      </c>
      <c r="H990" s="192" t="n">
        <v>0</v>
      </c>
      <c r="I990" s="192" t="n">
        <v>0</v>
      </c>
      <c r="J990" s="107" t="n"/>
      <c r="K990" s="107" t="n"/>
      <c r="L990" s="107" t="n"/>
      <c r="M990" s="192" t="n">
        <v>0</v>
      </c>
    </row>
    <row r="991" ht="15" customHeight="1">
      <c r="A991" s="111" t="inlineStr">
        <is>
          <t>002239</t>
        </is>
      </c>
      <c r="B991" s="111" t="inlineStr">
        <is>
          <t>000470</t>
        </is>
      </c>
      <c r="C991" s="111" t="inlineStr">
        <is>
          <t>CENOURA</t>
        </is>
      </c>
      <c r="D991" s="111" t="n"/>
      <c r="E991" s="194" t="n">
        <v>0.01</v>
      </c>
      <c r="F991" s="195" t="n">
        <v>117.31</v>
      </c>
      <c r="G991" s="196" t="n">
        <v>0</v>
      </c>
      <c r="H991" s="195" t="n">
        <v>0</v>
      </c>
      <c r="I991" s="195" t="n">
        <v>0</v>
      </c>
      <c r="J991" s="111" t="n"/>
      <c r="K991" s="111" t="n"/>
      <c r="L991" s="111" t="n"/>
      <c r="M991" s="195" t="n">
        <v>0</v>
      </c>
    </row>
    <row r="992" ht="15" customHeight="1">
      <c r="A992" s="107" t="inlineStr">
        <is>
          <t>002239</t>
        </is>
      </c>
      <c r="B992" s="107" t="inlineStr">
        <is>
          <t>000483</t>
        </is>
      </c>
      <c r="C992" s="107" t="inlineStr">
        <is>
          <t>RUCULA HIDROPONICA</t>
        </is>
      </c>
      <c r="D992" s="107" t="n"/>
      <c r="E992" s="191" t="n">
        <v>0.005</v>
      </c>
      <c r="F992" s="192" t="n">
        <v>99.58</v>
      </c>
      <c r="G992" s="193" t="n">
        <v>0</v>
      </c>
      <c r="H992" s="192" t="n">
        <v>0</v>
      </c>
      <c r="I992" s="192" t="n">
        <v>0</v>
      </c>
      <c r="J992" s="107" t="n"/>
      <c r="K992" s="107" t="n"/>
      <c r="L992" s="107" t="n"/>
      <c r="M992" s="192" t="n">
        <v>0</v>
      </c>
    </row>
    <row r="993" ht="15" customHeight="1">
      <c r="A993" s="111" t="inlineStr">
        <is>
          <t>002239</t>
        </is>
      </c>
      <c r="B993" s="111" t="inlineStr">
        <is>
          <t>000485</t>
        </is>
      </c>
      <c r="C993" s="111" t="inlineStr">
        <is>
          <t>TOMATE  CEREJA</t>
        </is>
      </c>
      <c r="D993" s="111" t="n"/>
      <c r="E993" s="194" t="n">
        <v>0.02</v>
      </c>
      <c r="F993" s="195" t="n">
        <v>45.26</v>
      </c>
      <c r="G993" s="196" t="n">
        <v>0</v>
      </c>
      <c r="H993" s="195" t="n">
        <v>0</v>
      </c>
      <c r="I993" s="195" t="n">
        <v>0</v>
      </c>
      <c r="J993" s="111" t="n"/>
      <c r="K993" s="111" t="n"/>
      <c r="L993" s="111" t="n"/>
      <c r="M993" s="195" t="n">
        <v>0</v>
      </c>
    </row>
    <row r="994" ht="15" customHeight="1">
      <c r="A994" s="107" t="inlineStr">
        <is>
          <t>002239</t>
        </is>
      </c>
      <c r="B994" s="107" t="inlineStr">
        <is>
          <t>000753</t>
        </is>
      </c>
      <c r="C994" s="107" t="inlineStr">
        <is>
          <t>CEBOLA ROXA</t>
        </is>
      </c>
      <c r="D994" s="107" t="n"/>
      <c r="E994" s="191" t="n">
        <v>0.01</v>
      </c>
      <c r="F994" s="192" t="n">
        <v>1.22</v>
      </c>
      <c r="G994" s="193" t="n">
        <v>0</v>
      </c>
      <c r="H994" s="192" t="n">
        <v>0</v>
      </c>
      <c r="I994" s="192" t="n">
        <v>0</v>
      </c>
      <c r="J994" s="107" t="n"/>
      <c r="K994" s="107" t="n"/>
      <c r="L994" s="107" t="n"/>
      <c r="M994" s="192" t="n">
        <v>0</v>
      </c>
    </row>
    <row r="995" ht="15" customHeight="1">
      <c r="A995" s="111" t="inlineStr">
        <is>
          <t>002240</t>
        </is>
      </c>
      <c r="B995" s="111" t="inlineStr">
        <is>
          <t>001522</t>
        </is>
      </c>
      <c r="C995" s="111" t="inlineStr">
        <is>
          <t>ANEIS DE CEBOLA 1,05KG</t>
        </is>
      </c>
      <c r="D995" s="111" t="n"/>
      <c r="E995" s="194" t="n">
        <v>0.15</v>
      </c>
      <c r="F995" s="195" t="n">
        <v>0</v>
      </c>
      <c r="G995" s="196" t="n">
        <v>0</v>
      </c>
      <c r="H995" s="195" t="n">
        <v>0</v>
      </c>
      <c r="I995" s="195" t="n">
        <v>0</v>
      </c>
      <c r="J995" s="111" t="n"/>
      <c r="K995" s="111" t="n"/>
      <c r="L995" s="111" t="n"/>
      <c r="M995" s="195" t="n">
        <v>0</v>
      </c>
    </row>
    <row r="996" ht="15" customHeight="1">
      <c r="A996" s="107" t="inlineStr">
        <is>
          <t>002241</t>
        </is>
      </c>
      <c r="B996" s="107" t="inlineStr">
        <is>
          <t>001395</t>
        </is>
      </c>
      <c r="C996" s="107" t="inlineStr">
        <is>
          <t>STELLA LONG NEC S/ GLUTEN</t>
        </is>
      </c>
      <c r="D996" s="107" t="n"/>
      <c r="E996" s="191" t="n">
        <v>6</v>
      </c>
      <c r="F996" s="192" t="n">
        <v>0</v>
      </c>
      <c r="G996" s="193" t="n">
        <v>0</v>
      </c>
      <c r="H996" s="192" t="n">
        <v>0</v>
      </c>
      <c r="I996" s="192" t="n">
        <v>0</v>
      </c>
      <c r="J996" s="107" t="n"/>
      <c r="K996" s="107" t="n"/>
      <c r="L996" s="107" t="n"/>
      <c r="M996" s="192" t="n">
        <v>0</v>
      </c>
    </row>
    <row r="997" ht="15" customHeight="1">
      <c r="A997" s="111" t="inlineStr">
        <is>
          <t>002243</t>
        </is>
      </c>
      <c r="B997" s="111" t="inlineStr">
        <is>
          <t>001049</t>
        </is>
      </c>
      <c r="C997" s="111" t="inlineStr">
        <is>
          <t>CERVEJA BECKS LONG NECK</t>
        </is>
      </c>
      <c r="D997" s="111" t="n"/>
      <c r="E997" s="194" t="n">
        <v>1</v>
      </c>
      <c r="F997" s="195" t="n">
        <v>0</v>
      </c>
      <c r="G997" s="196" t="n">
        <v>0</v>
      </c>
      <c r="H997" s="195" t="n">
        <v>0</v>
      </c>
      <c r="I997" s="195" t="n">
        <v>0</v>
      </c>
      <c r="J997" s="111" t="n"/>
      <c r="K997" s="111" t="n"/>
      <c r="L997" s="111" t="n"/>
      <c r="M997" s="195" t="n">
        <v>0</v>
      </c>
    </row>
    <row r="998" ht="15" customHeight="1">
      <c r="A998" s="107" t="inlineStr">
        <is>
          <t>002244</t>
        </is>
      </c>
      <c r="B998" s="107" t="inlineStr">
        <is>
          <t>0001222</t>
        </is>
      </c>
      <c r="C998" s="107" t="inlineStr">
        <is>
          <t>ESPUMANTE SALTON BRUT 750ML</t>
        </is>
      </c>
      <c r="D998" s="107" t="n"/>
      <c r="E998" s="191" t="n">
        <v>1</v>
      </c>
      <c r="F998" s="192" t="n">
        <v>0</v>
      </c>
      <c r="G998" s="193" t="n">
        <v>0</v>
      </c>
      <c r="H998" s="192" t="n">
        <v>0</v>
      </c>
      <c r="I998" s="192" t="n">
        <v>0</v>
      </c>
      <c r="J998" s="107" t="n"/>
      <c r="K998" s="107" t="n"/>
      <c r="L998" s="107" t="n"/>
      <c r="M998" s="192" t="n">
        <v>0</v>
      </c>
    </row>
    <row r="999" ht="15" customHeight="1">
      <c r="A999" s="111" t="inlineStr">
        <is>
          <t>002246</t>
        </is>
      </c>
      <c r="B999" s="111" t="inlineStr">
        <is>
          <t>000387</t>
        </is>
      </c>
      <c r="C999" s="111" t="inlineStr">
        <is>
          <t>CREME DE LEITE NESTLE 200G</t>
        </is>
      </c>
      <c r="D999" s="111" t="n"/>
      <c r="E999" s="194" t="n">
        <v>0.01</v>
      </c>
      <c r="F999" s="195" t="n">
        <v>18.39</v>
      </c>
      <c r="G999" s="196" t="n">
        <v>0</v>
      </c>
      <c r="H999" s="195" t="n">
        <v>0</v>
      </c>
      <c r="I999" s="195" t="n">
        <v>0</v>
      </c>
      <c r="J999" s="111" t="n"/>
      <c r="K999" s="111" t="n"/>
      <c r="L999" s="111" t="n"/>
      <c r="M999" s="195" t="n">
        <v>0</v>
      </c>
    </row>
    <row r="1000" ht="15" customHeight="1">
      <c r="A1000" s="107" t="inlineStr">
        <is>
          <t>002246</t>
        </is>
      </c>
      <c r="B1000" s="107" t="inlineStr">
        <is>
          <t>000414</t>
        </is>
      </c>
      <c r="C1000" s="107" t="inlineStr">
        <is>
          <t>PIMENTA DO REINO MOIDA</t>
        </is>
      </c>
      <c r="D1000" s="107" t="n"/>
      <c r="E1000" s="191" t="n">
        <v>0.001</v>
      </c>
      <c r="F1000" s="192" t="n">
        <v>3.93</v>
      </c>
      <c r="G1000" s="193" t="n">
        <v>0</v>
      </c>
      <c r="H1000" s="192" t="n">
        <v>0</v>
      </c>
      <c r="I1000" s="192" t="n">
        <v>0</v>
      </c>
      <c r="J1000" s="107" t="n"/>
      <c r="K1000" s="107" t="n"/>
      <c r="L1000" s="107" t="n"/>
      <c r="M1000" s="192" t="n">
        <v>0</v>
      </c>
    </row>
    <row r="1001" ht="15" customHeight="1">
      <c r="A1001" s="111" t="inlineStr">
        <is>
          <t>002246</t>
        </is>
      </c>
      <c r="B1001" s="111" t="inlineStr">
        <is>
          <t>000463</t>
        </is>
      </c>
      <c r="C1001" s="111" t="inlineStr">
        <is>
          <t>ALHO DESCASCADO</t>
        </is>
      </c>
      <c r="D1001" s="111" t="n"/>
      <c r="E1001" s="194" t="n">
        <v>0.002</v>
      </c>
      <c r="F1001" s="195" t="n">
        <v>49.55</v>
      </c>
      <c r="G1001" s="196" t="n">
        <v>0</v>
      </c>
      <c r="H1001" s="195" t="n">
        <v>0</v>
      </c>
      <c r="I1001" s="195" t="n">
        <v>0</v>
      </c>
      <c r="J1001" s="111" t="n"/>
      <c r="K1001" s="111" t="n"/>
      <c r="L1001" s="111" t="n"/>
      <c r="M1001" s="195" t="n">
        <v>0</v>
      </c>
    </row>
    <row r="1002" ht="15" customHeight="1">
      <c r="A1002" s="107" t="inlineStr">
        <is>
          <t>002246</t>
        </is>
      </c>
      <c r="B1002" s="107" t="inlineStr">
        <is>
          <t>000614</t>
        </is>
      </c>
      <c r="C1002" s="107" t="inlineStr">
        <is>
          <t>SAL REFINADO</t>
        </is>
      </c>
      <c r="D1002" s="107" t="n"/>
      <c r="E1002" s="191" t="n">
        <v>0.002</v>
      </c>
      <c r="F1002" s="192" t="n">
        <v>7.86</v>
      </c>
      <c r="G1002" s="193" t="n">
        <v>0</v>
      </c>
      <c r="H1002" s="192" t="n">
        <v>0</v>
      </c>
      <c r="I1002" s="192" t="n">
        <v>0</v>
      </c>
      <c r="J1002" s="107" t="n"/>
      <c r="K1002" s="107" t="n"/>
      <c r="L1002" s="107" t="n"/>
      <c r="M1002" s="192" t="n">
        <v>0</v>
      </c>
    </row>
    <row r="1003" ht="15" customHeight="1">
      <c r="A1003" s="111" t="inlineStr">
        <is>
          <t>002246</t>
        </is>
      </c>
      <c r="B1003" s="111" t="inlineStr">
        <is>
          <t>000624</t>
        </is>
      </c>
      <c r="C1003" s="111" t="inlineStr">
        <is>
          <t>ABOBORA JAPONESA</t>
        </is>
      </c>
      <c r="D1003" s="111" t="n"/>
      <c r="E1003" s="194" t="n">
        <v>0.2</v>
      </c>
      <c r="F1003" s="195" t="n">
        <v>91.55</v>
      </c>
      <c r="G1003" s="196" t="n">
        <v>0</v>
      </c>
      <c r="H1003" s="195" t="n">
        <v>0</v>
      </c>
      <c r="I1003" s="195" t="n">
        <v>0</v>
      </c>
      <c r="J1003" s="111" t="n"/>
      <c r="K1003" s="111" t="n"/>
      <c r="L1003" s="111" t="n"/>
      <c r="M1003" s="195" t="n">
        <v>0</v>
      </c>
    </row>
    <row r="1004" ht="15" customHeight="1">
      <c r="A1004" s="107" t="inlineStr">
        <is>
          <t>002246</t>
        </is>
      </c>
      <c r="B1004" s="107" t="inlineStr">
        <is>
          <t>000668</t>
        </is>
      </c>
      <c r="C1004" s="107" t="inlineStr">
        <is>
          <t>ALECRIM</t>
        </is>
      </c>
      <c r="D1004" s="107" t="n"/>
      <c r="E1004" s="191" t="n">
        <v>0.001</v>
      </c>
      <c r="F1004" s="192" t="n">
        <v>12650.45</v>
      </c>
      <c r="G1004" s="193" t="n">
        <v>0</v>
      </c>
      <c r="H1004" s="192" t="n">
        <v>0</v>
      </c>
      <c r="I1004" s="192" t="n">
        <v>0</v>
      </c>
      <c r="J1004" s="107" t="n"/>
      <c r="K1004" s="107" t="n"/>
      <c r="L1004" s="107" t="n"/>
      <c r="M1004" s="192" t="n">
        <v>0</v>
      </c>
    </row>
    <row r="1005" ht="15" customHeight="1">
      <c r="A1005" s="111" t="inlineStr">
        <is>
          <t>002246</t>
        </is>
      </c>
      <c r="B1005" s="111" t="inlineStr">
        <is>
          <t>002068</t>
        </is>
      </c>
      <c r="C1005" s="111" t="inlineStr">
        <is>
          <t>MANTEIGA S/SAL 5KG</t>
        </is>
      </c>
      <c r="D1005" s="111" t="n"/>
      <c r="E1005" s="194" t="n">
        <v>0.01</v>
      </c>
      <c r="F1005" s="195" t="n">
        <v>1109.7</v>
      </c>
      <c r="G1005" s="196" t="n">
        <v>0</v>
      </c>
      <c r="H1005" s="195" t="n">
        <v>0</v>
      </c>
      <c r="I1005" s="195" t="n">
        <v>0</v>
      </c>
      <c r="J1005" s="111" t="n"/>
      <c r="K1005" s="111" t="n"/>
      <c r="L1005" s="111" t="n"/>
      <c r="M1005" s="195" t="n">
        <v>0</v>
      </c>
    </row>
    <row r="1006" ht="15" customHeight="1">
      <c r="A1006" s="107" t="inlineStr">
        <is>
          <t>002262</t>
        </is>
      </c>
      <c r="B1006" s="107" t="inlineStr">
        <is>
          <t>000444</t>
        </is>
      </c>
      <c r="C1006" s="107" t="inlineStr">
        <is>
          <t>TOMATE SECO</t>
        </is>
      </c>
      <c r="D1006" s="107" t="n"/>
      <c r="E1006" s="191" t="n">
        <v>0.02</v>
      </c>
      <c r="F1006" s="192" t="n">
        <v>129.95</v>
      </c>
      <c r="G1006" s="193" t="n">
        <v>0</v>
      </c>
      <c r="H1006" s="192" t="n">
        <v>0</v>
      </c>
      <c r="I1006" s="192" t="n">
        <v>0</v>
      </c>
      <c r="J1006" s="107" t="n"/>
      <c r="K1006" s="107" t="n"/>
      <c r="L1006" s="107" t="n"/>
      <c r="M1006" s="192" t="n">
        <v>0</v>
      </c>
    </row>
    <row r="1007" ht="15" customHeight="1">
      <c r="A1007" s="111" t="inlineStr">
        <is>
          <t>002262</t>
        </is>
      </c>
      <c r="B1007" s="111" t="inlineStr">
        <is>
          <t>000460</t>
        </is>
      </c>
      <c r="C1007" s="111" t="inlineStr">
        <is>
          <t>AGRIAO HIDROPONICO</t>
        </is>
      </c>
      <c r="D1007" s="111" t="n"/>
      <c r="E1007" s="194" t="n">
        <v>0.02</v>
      </c>
      <c r="F1007" s="195" t="n">
        <v>3.48</v>
      </c>
      <c r="G1007" s="196" t="n">
        <v>0</v>
      </c>
      <c r="H1007" s="195" t="n">
        <v>0</v>
      </c>
      <c r="I1007" s="195" t="n">
        <v>0</v>
      </c>
      <c r="J1007" s="111" t="n"/>
      <c r="K1007" s="111" t="n"/>
      <c r="L1007" s="111" t="n"/>
      <c r="M1007" s="195" t="n">
        <v>0</v>
      </c>
    </row>
    <row r="1008" ht="15" customHeight="1">
      <c r="A1008" s="107" t="inlineStr">
        <is>
          <t>002262</t>
        </is>
      </c>
      <c r="B1008" s="107" t="inlineStr">
        <is>
          <t>000461</t>
        </is>
      </c>
      <c r="C1008" s="107" t="inlineStr">
        <is>
          <t>ALFACE AMERICANA</t>
        </is>
      </c>
      <c r="D1008" s="107" t="n"/>
      <c r="E1008" s="191" t="n">
        <v>0.02</v>
      </c>
      <c r="F1008" s="192" t="n">
        <v>198.02</v>
      </c>
      <c r="G1008" s="193" t="n">
        <v>0</v>
      </c>
      <c r="H1008" s="192" t="n">
        <v>0</v>
      </c>
      <c r="I1008" s="192" t="n">
        <v>0</v>
      </c>
      <c r="J1008" s="107" t="n"/>
      <c r="K1008" s="107" t="n"/>
      <c r="L1008" s="107" t="n"/>
      <c r="M1008" s="192" t="n">
        <v>0</v>
      </c>
    </row>
    <row r="1009" ht="15" customHeight="1">
      <c r="A1009" s="111" t="inlineStr">
        <is>
          <t>002262</t>
        </is>
      </c>
      <c r="B1009" s="111" t="inlineStr">
        <is>
          <t>000462</t>
        </is>
      </c>
      <c r="C1009" s="111" t="inlineStr">
        <is>
          <t>ALFACE CRESPA</t>
        </is>
      </c>
      <c r="D1009" s="111" t="n"/>
      <c r="E1009" s="194" t="n">
        <v>0.05</v>
      </c>
      <c r="F1009" s="195" t="n">
        <v>115.83</v>
      </c>
      <c r="G1009" s="196" t="n">
        <v>0</v>
      </c>
      <c r="H1009" s="195" t="n">
        <v>0</v>
      </c>
      <c r="I1009" s="195" t="n">
        <v>0</v>
      </c>
      <c r="J1009" s="111" t="n"/>
      <c r="K1009" s="111" t="n"/>
      <c r="L1009" s="111" t="n"/>
      <c r="M1009" s="195" t="n">
        <v>0</v>
      </c>
    </row>
    <row r="1010" ht="15" customHeight="1">
      <c r="A1010" s="107" t="inlineStr">
        <is>
          <t>002262</t>
        </is>
      </c>
      <c r="B1010" s="107" t="inlineStr">
        <is>
          <t>000483</t>
        </is>
      </c>
      <c r="C1010" s="107" t="inlineStr">
        <is>
          <t>RUCULA HIDROPONICA</t>
        </is>
      </c>
      <c r="D1010" s="107" t="n"/>
      <c r="E1010" s="191" t="n">
        <v>0.005</v>
      </c>
      <c r="F1010" s="192" t="n">
        <v>99.58</v>
      </c>
      <c r="G1010" s="193" t="n">
        <v>0</v>
      </c>
      <c r="H1010" s="192" t="n">
        <v>0</v>
      </c>
      <c r="I1010" s="192" t="n">
        <v>0</v>
      </c>
      <c r="J1010" s="107" t="n"/>
      <c r="K1010" s="107" t="n"/>
      <c r="L1010" s="107" t="n"/>
      <c r="M1010" s="192" t="n">
        <v>0</v>
      </c>
    </row>
    <row r="1011" ht="15" customHeight="1">
      <c r="A1011" s="111" t="inlineStr">
        <is>
          <t>002262</t>
        </is>
      </c>
      <c r="B1011" s="111" t="inlineStr">
        <is>
          <t>009517</t>
        </is>
      </c>
      <c r="C1011" s="111" t="inlineStr">
        <is>
          <t>PALMITO</t>
        </is>
      </c>
      <c r="D1011" s="111" t="n"/>
      <c r="E1011" s="194" t="n">
        <v>0.02</v>
      </c>
      <c r="F1011" s="195" t="n">
        <v>0</v>
      </c>
      <c r="G1011" s="196" t="n">
        <v>0</v>
      </c>
      <c r="H1011" s="195" t="n">
        <v>0</v>
      </c>
      <c r="I1011" s="195" t="n">
        <v>0</v>
      </c>
      <c r="J1011" s="111" t="n"/>
      <c r="K1011" s="111" t="n"/>
      <c r="L1011" s="111" t="n"/>
      <c r="M1011" s="195" t="n">
        <v>0</v>
      </c>
    </row>
    <row r="1012" ht="15" customHeight="1">
      <c r="A1012" s="107" t="inlineStr">
        <is>
          <t>002264</t>
        </is>
      </c>
      <c r="B1012" s="107" t="inlineStr">
        <is>
          <t>000354</t>
        </is>
      </c>
      <c r="C1012" s="107" t="inlineStr">
        <is>
          <t>GROSELHA GARRAFA 900ML</t>
        </is>
      </c>
      <c r="D1012" s="107" t="n"/>
      <c r="E1012" s="191" t="n">
        <v>0.03</v>
      </c>
      <c r="F1012" s="192" t="n">
        <v>2.64</v>
      </c>
      <c r="G1012" s="193" t="n">
        <v>0</v>
      </c>
      <c r="H1012" s="192" t="n">
        <v>0</v>
      </c>
      <c r="I1012" s="192" t="n">
        <v>0</v>
      </c>
      <c r="J1012" s="107" t="n"/>
      <c r="K1012" s="107" t="n"/>
      <c r="L1012" s="107" t="n"/>
      <c r="M1012" s="192" t="n">
        <v>0</v>
      </c>
    </row>
    <row r="1013" ht="15" customHeight="1">
      <c r="A1013" s="111" t="inlineStr">
        <is>
          <t>002264</t>
        </is>
      </c>
      <c r="B1013" s="111" t="inlineStr">
        <is>
          <t>000359</t>
        </is>
      </c>
      <c r="C1013" s="111" t="inlineStr">
        <is>
          <t>LICOR PESSEGO PEACH STOCK 720ML</t>
        </is>
      </c>
      <c r="D1013" s="111" t="n"/>
      <c r="E1013" s="194" t="n">
        <v>0.02</v>
      </c>
      <c r="F1013" s="195" t="n">
        <v>2.07</v>
      </c>
      <c r="G1013" s="196" t="n">
        <v>0</v>
      </c>
      <c r="H1013" s="195" t="n">
        <v>0</v>
      </c>
      <c r="I1013" s="195" t="n">
        <v>0</v>
      </c>
      <c r="J1013" s="111" t="n"/>
      <c r="K1013" s="111" t="n"/>
      <c r="L1013" s="111" t="n"/>
      <c r="M1013" s="195" t="n">
        <v>0</v>
      </c>
    </row>
    <row r="1014" ht="15" customHeight="1">
      <c r="A1014" s="107" t="inlineStr">
        <is>
          <t>002264</t>
        </is>
      </c>
      <c r="B1014" s="107" t="inlineStr">
        <is>
          <t>000490</t>
        </is>
      </c>
      <c r="C1014" s="107" t="inlineStr">
        <is>
          <t>LARANJA PERA FRUTA</t>
        </is>
      </c>
      <c r="D1014" s="107" t="n"/>
      <c r="E1014" s="191" t="n">
        <v>0.1</v>
      </c>
      <c r="F1014" s="192" t="n">
        <v>513.79</v>
      </c>
      <c r="G1014" s="193" t="n">
        <v>0</v>
      </c>
      <c r="H1014" s="192" t="n">
        <v>0</v>
      </c>
      <c r="I1014" s="192" t="n">
        <v>0</v>
      </c>
      <c r="J1014" s="107" t="n"/>
      <c r="K1014" s="107" t="n"/>
      <c r="L1014" s="107" t="n"/>
      <c r="M1014" s="192" t="n">
        <v>0</v>
      </c>
    </row>
    <row r="1015" ht="15" customHeight="1">
      <c r="A1015" s="111" t="inlineStr">
        <is>
          <t>002264</t>
        </is>
      </c>
      <c r="B1015" s="111" t="inlineStr">
        <is>
          <t>001399</t>
        </is>
      </c>
      <c r="C1015" s="111" t="inlineStr">
        <is>
          <t>VODKA SMIRNOFF 600 ML</t>
        </is>
      </c>
      <c r="D1015" s="111" t="n"/>
      <c r="E1015" s="194" t="n">
        <v>0.05</v>
      </c>
      <c r="F1015" s="195" t="n">
        <v>8.82</v>
      </c>
      <c r="G1015" s="196" t="n">
        <v>0</v>
      </c>
      <c r="H1015" s="195" t="n">
        <v>0</v>
      </c>
      <c r="I1015" s="195" t="n">
        <v>0</v>
      </c>
      <c r="J1015" s="111" t="n"/>
      <c r="K1015" s="111" t="n"/>
      <c r="L1015" s="111" t="n"/>
      <c r="M1015" s="195" t="n">
        <v>0</v>
      </c>
    </row>
    <row r="1016" ht="15" customHeight="1">
      <c r="A1016" s="107" t="inlineStr">
        <is>
          <t>002265</t>
        </is>
      </c>
      <c r="B1016" s="107" t="inlineStr">
        <is>
          <t>000316</t>
        </is>
      </c>
      <c r="C1016" s="107" t="inlineStr">
        <is>
          <t>SODA LATA 350ML</t>
        </is>
      </c>
      <c r="D1016" s="107" t="n"/>
      <c r="E1016" s="191" t="n">
        <v>1</v>
      </c>
      <c r="F1016" s="192" t="n">
        <v>2837.21</v>
      </c>
      <c r="G1016" s="193" t="n">
        <v>0</v>
      </c>
      <c r="H1016" s="192" t="n">
        <v>0</v>
      </c>
      <c r="I1016" s="192" t="n">
        <v>0</v>
      </c>
      <c r="J1016" s="107" t="n"/>
      <c r="K1016" s="107" t="n"/>
      <c r="L1016" s="107" t="n"/>
      <c r="M1016" s="192" t="n">
        <v>0</v>
      </c>
    </row>
    <row r="1017" ht="15" customHeight="1">
      <c r="A1017" s="111" t="inlineStr">
        <is>
          <t>002265</t>
        </is>
      </c>
      <c r="B1017" s="111" t="inlineStr">
        <is>
          <t>000474</t>
        </is>
      </c>
      <c r="C1017" s="111" t="inlineStr">
        <is>
          <t>HORTELA GRANDE</t>
        </is>
      </c>
      <c r="D1017" s="111" t="n"/>
      <c r="E1017" s="194" t="n">
        <v>0.02</v>
      </c>
      <c r="F1017" s="195" t="n">
        <v>0.79</v>
      </c>
      <c r="G1017" s="196" t="n">
        <v>0</v>
      </c>
      <c r="H1017" s="195" t="n">
        <v>0</v>
      </c>
      <c r="I1017" s="195" t="n">
        <v>0</v>
      </c>
      <c r="J1017" s="111" t="n"/>
      <c r="K1017" s="111" t="n"/>
      <c r="L1017" s="111" t="n"/>
      <c r="M1017" s="195" t="n">
        <v>0</v>
      </c>
    </row>
    <row r="1018" ht="15" customHeight="1">
      <c r="A1018" s="107" t="inlineStr">
        <is>
          <t>002265</t>
        </is>
      </c>
      <c r="B1018" s="107" t="inlineStr">
        <is>
          <t>000492</t>
        </is>
      </c>
      <c r="C1018" s="107" t="inlineStr">
        <is>
          <t>LIMAO TAITI FRUTA</t>
        </is>
      </c>
      <c r="D1018" s="107" t="n"/>
      <c r="E1018" s="191" t="n">
        <v>0.03</v>
      </c>
      <c r="F1018" s="192" t="n">
        <v>42.96</v>
      </c>
      <c r="G1018" s="193" t="n">
        <v>0</v>
      </c>
      <c r="H1018" s="192" t="n">
        <v>0</v>
      </c>
      <c r="I1018" s="192" t="n">
        <v>0</v>
      </c>
      <c r="J1018" s="107" t="n"/>
      <c r="K1018" s="107" t="n"/>
      <c r="L1018" s="107" t="n"/>
      <c r="M1018" s="192" t="n">
        <v>0</v>
      </c>
    </row>
    <row r="1019" ht="15" customHeight="1">
      <c r="A1019" s="111" t="inlineStr">
        <is>
          <t>002265</t>
        </is>
      </c>
      <c r="B1019" s="111" t="inlineStr">
        <is>
          <t>000941</t>
        </is>
      </c>
      <c r="C1019" s="111" t="inlineStr">
        <is>
          <t>MONTILLA PRATA GARRAFA 1LT</t>
        </is>
      </c>
      <c r="D1019" s="111" t="n"/>
      <c r="E1019" s="194" t="n">
        <v>0.06</v>
      </c>
      <c r="F1019" s="195" t="n">
        <v>1.45</v>
      </c>
      <c r="G1019" s="196" t="n">
        <v>0</v>
      </c>
      <c r="H1019" s="195" t="n">
        <v>0</v>
      </c>
      <c r="I1019" s="195" t="n">
        <v>0</v>
      </c>
      <c r="J1019" s="111" t="n"/>
      <c r="K1019" s="111" t="n"/>
      <c r="L1019" s="111" t="n"/>
      <c r="M1019" s="195" t="n">
        <v>0</v>
      </c>
    </row>
    <row r="1020" ht="15" customHeight="1">
      <c r="A1020" s="107" t="inlineStr">
        <is>
          <t>002267</t>
        </is>
      </c>
      <c r="B1020" s="107" t="inlineStr">
        <is>
          <t>009515</t>
        </is>
      </c>
      <c r="C1020" s="107" t="inlineStr">
        <is>
          <t>GIN BOMBAY ORIGINAL 750ML</t>
        </is>
      </c>
      <c r="D1020" s="107" t="n"/>
      <c r="E1020" s="191" t="n">
        <v>1</v>
      </c>
      <c r="F1020" s="192" t="n">
        <v>0</v>
      </c>
      <c r="G1020" s="193" t="n">
        <v>0</v>
      </c>
      <c r="H1020" s="192" t="n">
        <v>0</v>
      </c>
      <c r="I1020" s="192" t="n">
        <v>0</v>
      </c>
      <c r="J1020" s="107" t="n"/>
      <c r="K1020" s="107" t="n"/>
      <c r="L1020" s="107" t="n"/>
      <c r="M1020" s="192" t="n">
        <v>0</v>
      </c>
    </row>
    <row r="1021" ht="15" customHeight="1">
      <c r="A1021" s="111" t="inlineStr">
        <is>
          <t>009474</t>
        </is>
      </c>
      <c r="B1021" s="111" t="inlineStr">
        <is>
          <t>000377</t>
        </is>
      </c>
      <c r="C1021" s="111" t="inlineStr">
        <is>
          <t>ARROZ TIPO 1</t>
        </is>
      </c>
      <c r="D1021" s="111" t="n"/>
      <c r="E1021" s="194" t="n">
        <v>0.15</v>
      </c>
      <c r="F1021" s="195" t="n">
        <v>363.44</v>
      </c>
      <c r="G1021" s="196" t="n">
        <v>0</v>
      </c>
      <c r="H1021" s="195" t="n">
        <v>0</v>
      </c>
      <c r="I1021" s="195" t="n">
        <v>0</v>
      </c>
      <c r="J1021" s="111" t="n"/>
      <c r="K1021" s="111" t="n"/>
      <c r="L1021" s="111" t="n"/>
      <c r="M1021" s="195" t="n">
        <v>0</v>
      </c>
    </row>
    <row r="1022" ht="15" customHeight="1">
      <c r="A1022" s="107" t="inlineStr">
        <is>
          <t>009474</t>
        </is>
      </c>
      <c r="B1022" s="107" t="inlineStr">
        <is>
          <t>000412</t>
        </is>
      </c>
      <c r="C1022" s="107" t="inlineStr">
        <is>
          <t>OLEO DE SOJA LIZA 900ML</t>
        </is>
      </c>
      <c r="D1022" s="107" t="n"/>
      <c r="E1022" s="191" t="n">
        <v>0.042</v>
      </c>
      <c r="F1022" s="192" t="n">
        <v>469.39</v>
      </c>
      <c r="G1022" s="193" t="n">
        <v>0</v>
      </c>
      <c r="H1022" s="192" t="n">
        <v>0</v>
      </c>
      <c r="I1022" s="192" t="n">
        <v>0</v>
      </c>
      <c r="J1022" s="107" t="n"/>
      <c r="K1022" s="107" t="n"/>
      <c r="L1022" s="107" t="n"/>
      <c r="M1022" s="192" t="n">
        <v>0</v>
      </c>
    </row>
    <row r="1023" ht="15" customHeight="1">
      <c r="A1023" s="111" t="inlineStr">
        <is>
          <t>009474</t>
        </is>
      </c>
      <c r="B1023" s="111" t="inlineStr">
        <is>
          <t>000424</t>
        </is>
      </c>
      <c r="C1023" s="111" t="inlineStr">
        <is>
          <t>VINAGRE AGRIN BRANCO NEVAL GARRAFA 750ML</t>
        </is>
      </c>
      <c r="D1023" s="111" t="n"/>
      <c r="E1023" s="194" t="n">
        <v>0.017</v>
      </c>
      <c r="F1023" s="195" t="n">
        <v>71.51000000000001</v>
      </c>
      <c r="G1023" s="196" t="n">
        <v>0</v>
      </c>
      <c r="H1023" s="195" t="n">
        <v>0</v>
      </c>
      <c r="I1023" s="195" t="n">
        <v>0</v>
      </c>
      <c r="J1023" s="111" t="n"/>
      <c r="K1023" s="111" t="n"/>
      <c r="L1023" s="111" t="n"/>
      <c r="M1023" s="195" t="n">
        <v>0</v>
      </c>
    </row>
    <row r="1024" ht="15" customHeight="1">
      <c r="A1024" s="107" t="inlineStr">
        <is>
          <t>009474</t>
        </is>
      </c>
      <c r="B1024" s="107" t="inlineStr">
        <is>
          <t>000426</t>
        </is>
      </c>
      <c r="C1024" s="107" t="inlineStr">
        <is>
          <t>BACON EM CUBOS</t>
        </is>
      </c>
      <c r="D1024" s="107" t="n"/>
      <c r="E1024" s="191" t="n">
        <v>0.017</v>
      </c>
      <c r="F1024" s="192" t="n">
        <v>397.76</v>
      </c>
      <c r="G1024" s="193" t="n">
        <v>0</v>
      </c>
      <c r="H1024" s="192" t="n">
        <v>0</v>
      </c>
      <c r="I1024" s="192" t="n">
        <v>0</v>
      </c>
      <c r="J1024" s="107" t="n"/>
      <c r="K1024" s="107" t="n"/>
      <c r="L1024" s="107" t="n"/>
      <c r="M1024" s="192" t="n">
        <v>0</v>
      </c>
    </row>
    <row r="1025" ht="15" customHeight="1">
      <c r="A1025" s="111" t="inlineStr">
        <is>
          <t>009474</t>
        </is>
      </c>
      <c r="B1025" s="111" t="inlineStr">
        <is>
          <t>000463</t>
        </is>
      </c>
      <c r="C1025" s="111" t="inlineStr">
        <is>
          <t>ALHO DESCASCADO</t>
        </is>
      </c>
      <c r="D1025" s="111" t="n"/>
      <c r="E1025" s="194" t="n">
        <v>0.003</v>
      </c>
      <c r="F1025" s="195" t="n">
        <v>14.86</v>
      </c>
      <c r="G1025" s="196" t="n">
        <v>0</v>
      </c>
      <c r="H1025" s="195" t="n">
        <v>0</v>
      </c>
      <c r="I1025" s="195" t="n">
        <v>0</v>
      </c>
      <c r="J1025" s="111" t="n"/>
      <c r="K1025" s="111" t="n"/>
      <c r="L1025" s="111" t="n"/>
      <c r="M1025" s="195" t="n">
        <v>0</v>
      </c>
    </row>
    <row r="1026" ht="15" customHeight="1">
      <c r="A1026" s="107" t="inlineStr">
        <is>
          <t>009474</t>
        </is>
      </c>
      <c r="B1026" s="107" t="inlineStr">
        <is>
          <t>000468</t>
        </is>
      </c>
      <c r="C1026" s="107" t="inlineStr">
        <is>
          <t>CEBOLA MEDIA</t>
        </is>
      </c>
      <c r="D1026" s="107" t="n"/>
      <c r="E1026" s="191" t="n">
        <v>0.29</v>
      </c>
      <c r="F1026" s="192" t="n">
        <v>186.16</v>
      </c>
      <c r="G1026" s="193" t="n">
        <v>0</v>
      </c>
      <c r="H1026" s="192" t="n">
        <v>0</v>
      </c>
      <c r="I1026" s="192" t="n">
        <v>0</v>
      </c>
      <c r="J1026" s="107" t="n"/>
      <c r="K1026" s="107" t="n"/>
      <c r="L1026" s="107" t="n"/>
      <c r="M1026" s="192" t="n">
        <v>0</v>
      </c>
    </row>
    <row r="1027" ht="15" customHeight="1">
      <c r="A1027" s="111" t="inlineStr">
        <is>
          <t>009474</t>
        </is>
      </c>
      <c r="B1027" s="111" t="inlineStr">
        <is>
          <t>000484</t>
        </is>
      </c>
      <c r="C1027" s="111" t="inlineStr">
        <is>
          <t>SALSA LISA INDUSTRIAL</t>
        </is>
      </c>
      <c r="D1027" s="111" t="n"/>
      <c r="E1027" s="194" t="n">
        <v>0.022</v>
      </c>
      <c r="F1027" s="195" t="n">
        <v>9.31</v>
      </c>
      <c r="G1027" s="196" t="n">
        <v>0</v>
      </c>
      <c r="H1027" s="195" t="n">
        <v>0</v>
      </c>
      <c r="I1027" s="195" t="n">
        <v>0</v>
      </c>
      <c r="J1027" s="111" t="n"/>
      <c r="K1027" s="111" t="n"/>
      <c r="L1027" s="111" t="n"/>
      <c r="M1027" s="195" t="n">
        <v>0</v>
      </c>
    </row>
    <row r="1028" ht="15" customHeight="1">
      <c r="A1028" s="107" t="inlineStr">
        <is>
          <t>009474</t>
        </is>
      </c>
      <c r="B1028" s="107" t="inlineStr">
        <is>
          <t>000486</t>
        </is>
      </c>
      <c r="C1028" s="107" t="inlineStr">
        <is>
          <t>TOMATE SALADA</t>
        </is>
      </c>
      <c r="D1028" s="107" t="n"/>
      <c r="E1028" s="191" t="n">
        <v>0.058</v>
      </c>
      <c r="F1028" s="192" t="n">
        <v>40.34</v>
      </c>
      <c r="G1028" s="193" t="n">
        <v>0</v>
      </c>
      <c r="H1028" s="192" t="n">
        <v>0</v>
      </c>
      <c r="I1028" s="192" t="n">
        <v>0</v>
      </c>
      <c r="J1028" s="107" t="n"/>
      <c r="K1028" s="107" t="n"/>
      <c r="L1028" s="107" t="n"/>
      <c r="M1028" s="192" t="n">
        <v>0</v>
      </c>
    </row>
    <row r="1029" ht="15" customHeight="1">
      <c r="A1029" s="111" t="inlineStr">
        <is>
          <t>009474</t>
        </is>
      </c>
      <c r="B1029" s="111" t="inlineStr">
        <is>
          <t>000614</t>
        </is>
      </c>
      <c r="C1029" s="111" t="inlineStr">
        <is>
          <t>SAL REFINADO</t>
        </is>
      </c>
      <c r="D1029" s="111" t="n"/>
      <c r="E1029" s="194" t="n">
        <v>0.008999999999999999</v>
      </c>
      <c r="F1029" s="195" t="n">
        <v>0.85</v>
      </c>
      <c r="G1029" s="196" t="n">
        <v>0</v>
      </c>
      <c r="H1029" s="195" t="n">
        <v>0</v>
      </c>
      <c r="I1029" s="195" t="n">
        <v>0</v>
      </c>
      <c r="J1029" s="111" t="n"/>
      <c r="K1029" s="111" t="n"/>
      <c r="L1029" s="111" t="n"/>
      <c r="M1029" s="195" t="n">
        <v>0</v>
      </c>
    </row>
    <row r="1030" ht="15" customHeight="1">
      <c r="A1030" s="107" t="inlineStr">
        <is>
          <t>009474</t>
        </is>
      </c>
      <c r="B1030" s="107" t="inlineStr">
        <is>
          <t>000747</t>
        </is>
      </c>
      <c r="C1030" s="107" t="inlineStr">
        <is>
          <t>AZEITE OLEO COMPOSTO 5 LITROS</t>
        </is>
      </c>
      <c r="D1030" s="107" t="n"/>
      <c r="E1030" s="191" t="n">
        <v>0.029</v>
      </c>
      <c r="F1030" s="192" t="n">
        <v>411.96</v>
      </c>
      <c r="G1030" s="193" t="n">
        <v>0</v>
      </c>
      <c r="H1030" s="192" t="n">
        <v>0</v>
      </c>
      <c r="I1030" s="192" t="n">
        <v>0</v>
      </c>
      <c r="J1030" s="107" t="n"/>
      <c r="K1030" s="107" t="n"/>
      <c r="L1030" s="107" t="n"/>
      <c r="M1030" s="192" t="n">
        <v>0</v>
      </c>
    </row>
    <row r="1031" ht="15" customHeight="1">
      <c r="A1031" s="111" t="inlineStr">
        <is>
          <t>009474</t>
        </is>
      </c>
      <c r="B1031" s="111" t="inlineStr">
        <is>
          <t>002067</t>
        </is>
      </c>
      <c r="C1031" s="111" t="inlineStr">
        <is>
          <t>FARINHA PANKO EMPANAR</t>
        </is>
      </c>
      <c r="D1031" s="111" t="n"/>
      <c r="E1031" s="194" t="n">
        <v>0.147</v>
      </c>
      <c r="F1031" s="195" t="n">
        <v>0</v>
      </c>
      <c r="G1031" s="196" t="n">
        <v>0</v>
      </c>
      <c r="H1031" s="195" t="n">
        <v>0</v>
      </c>
      <c r="I1031" s="195" t="n">
        <v>0</v>
      </c>
      <c r="J1031" s="111" t="n"/>
      <c r="K1031" s="111" t="n"/>
      <c r="L1031" s="111" t="n"/>
      <c r="M1031" s="195" t="n">
        <v>0</v>
      </c>
    </row>
    <row r="1032" ht="15" customHeight="1">
      <c r="A1032" s="107" t="inlineStr">
        <is>
          <t>009483</t>
        </is>
      </c>
      <c r="B1032" s="107" t="inlineStr">
        <is>
          <t>001227</t>
        </is>
      </c>
      <c r="C1032" s="107" t="inlineStr">
        <is>
          <t>CERVEJA SPATEN 600 ML</t>
        </is>
      </c>
      <c r="D1032" s="107" t="n"/>
      <c r="E1032" s="191" t="n">
        <v>1</v>
      </c>
      <c r="F1032" s="192" t="n">
        <v>0</v>
      </c>
      <c r="G1032" s="193" t="n">
        <v>0</v>
      </c>
      <c r="H1032" s="192" t="n">
        <v>0</v>
      </c>
      <c r="I1032" s="192" t="n">
        <v>0</v>
      </c>
      <c r="J1032" s="107" t="n"/>
      <c r="K1032" s="107" t="n"/>
      <c r="L1032" s="107" t="n"/>
      <c r="M1032" s="192" t="n">
        <v>0</v>
      </c>
    </row>
    <row r="1033" ht="15" customHeight="1">
      <c r="A1033" s="111" t="inlineStr">
        <is>
          <t>009484</t>
        </is>
      </c>
      <c r="B1033" s="111" t="inlineStr">
        <is>
          <t>000339</t>
        </is>
      </c>
      <c r="C1033" s="111" t="inlineStr">
        <is>
          <t>VODKA ABSOLUT NATURAL  1LT</t>
        </is>
      </c>
      <c r="D1033" s="111" t="n"/>
      <c r="E1033" s="194" t="n">
        <v>1</v>
      </c>
      <c r="F1033" s="195" t="n">
        <v>0</v>
      </c>
      <c r="G1033" s="196" t="n">
        <v>0</v>
      </c>
      <c r="H1033" s="195" t="n">
        <v>0</v>
      </c>
      <c r="I1033" s="195" t="n">
        <v>0</v>
      </c>
      <c r="J1033" s="111" t="n"/>
      <c r="K1033" s="111" t="n"/>
      <c r="L1033" s="111" t="n"/>
      <c r="M1033" s="195" t="n">
        <v>0</v>
      </c>
    </row>
    <row r="1034" ht="15" customHeight="1">
      <c r="A1034" s="107" t="inlineStr">
        <is>
          <t>009567</t>
        </is>
      </c>
      <c r="B1034" s="107" t="inlineStr">
        <is>
          <t>001227</t>
        </is>
      </c>
      <c r="C1034" s="107" t="inlineStr">
        <is>
          <t>CERVEJA SPATEN 600 ML</t>
        </is>
      </c>
      <c r="D1034" s="107" t="n"/>
      <c r="E1034" s="191" t="n">
        <v>4</v>
      </c>
      <c r="F1034" s="192" t="n">
        <v>0</v>
      </c>
      <c r="G1034" s="193" t="n">
        <v>0</v>
      </c>
      <c r="H1034" s="192" t="n">
        <v>0</v>
      </c>
      <c r="I1034" s="192" t="n">
        <v>0</v>
      </c>
      <c r="J1034" s="107" t="n"/>
      <c r="K1034" s="107" t="n"/>
      <c r="L1034" s="107" t="n"/>
      <c r="M1034" s="192" t="n">
        <v>0</v>
      </c>
    </row>
    <row r="1035" ht="15" customHeight="1">
      <c r="A1035" s="111" t="inlineStr">
        <is>
          <t>009568</t>
        </is>
      </c>
      <c r="B1035" s="111" t="inlineStr">
        <is>
          <t>000310</t>
        </is>
      </c>
      <c r="C1035" s="111" t="inlineStr">
        <is>
          <t>CERVEJA ORIGINAL 600ML</t>
        </is>
      </c>
      <c r="D1035" s="111" t="n"/>
      <c r="E1035" s="194" t="n">
        <v>4</v>
      </c>
      <c r="F1035" s="195" t="n">
        <v>0</v>
      </c>
      <c r="G1035" s="196" t="n">
        <v>0</v>
      </c>
      <c r="H1035" s="195" t="n">
        <v>0</v>
      </c>
      <c r="I1035" s="195" t="n">
        <v>0</v>
      </c>
      <c r="J1035" s="111" t="n"/>
      <c r="K1035" s="111" t="n"/>
      <c r="L1035" s="111" t="n"/>
      <c r="M1035" s="195" t="n">
        <v>0</v>
      </c>
    </row>
    <row r="1036" ht="15" customHeight="1">
      <c r="A1036" s="107" t="inlineStr">
        <is>
          <t>009569</t>
        </is>
      </c>
      <c r="B1036" s="107" t="inlineStr">
        <is>
          <t>000353</t>
        </is>
      </c>
      <c r="C1036" s="107" t="inlineStr">
        <is>
          <t>GIN BEEFEATER 750 ML</t>
        </is>
      </c>
      <c r="D1036" s="107" t="n"/>
      <c r="E1036" s="191" t="n">
        <v>0.75</v>
      </c>
      <c r="F1036" s="192" t="n">
        <v>1990.17</v>
      </c>
      <c r="G1036" s="193" t="n">
        <v>0</v>
      </c>
      <c r="H1036" s="192" t="n">
        <v>0</v>
      </c>
      <c r="I1036" s="192" t="n">
        <v>0</v>
      </c>
      <c r="J1036" s="107" t="n"/>
      <c r="K1036" s="107" t="n"/>
      <c r="L1036" s="107" t="n"/>
      <c r="M1036" s="192" t="n">
        <v>0</v>
      </c>
    </row>
    <row r="1037" ht="15" customHeight="1">
      <c r="A1037" s="111" t="inlineStr">
        <is>
          <t>009572</t>
        </is>
      </c>
      <c r="B1037" s="111" t="inlineStr">
        <is>
          <t>001227</t>
        </is>
      </c>
      <c r="C1037" s="111" t="inlineStr">
        <is>
          <t>CERVEJA SPATEN 600 ML</t>
        </is>
      </c>
      <c r="D1037" s="111" t="n"/>
      <c r="E1037" s="194" t="n">
        <v>1</v>
      </c>
      <c r="F1037" s="195" t="n">
        <v>0</v>
      </c>
      <c r="G1037" s="196" t="n">
        <v>0</v>
      </c>
      <c r="H1037" s="195" t="n">
        <v>0</v>
      </c>
      <c r="I1037" s="195" t="n">
        <v>0</v>
      </c>
      <c r="J1037" s="111" t="n"/>
      <c r="K1037" s="111" t="n"/>
      <c r="L1037" s="111" t="n"/>
      <c r="M1037" s="195" t="n">
        <v>0</v>
      </c>
    </row>
    <row r="1038" ht="15" customHeight="1">
      <c r="A1038" s="107" t="inlineStr">
        <is>
          <t>009573</t>
        </is>
      </c>
      <c r="B1038" s="107" t="inlineStr">
        <is>
          <t>000310</t>
        </is>
      </c>
      <c r="C1038" s="107" t="inlineStr">
        <is>
          <t>CERVEJA ORIGINAL 600ML</t>
        </is>
      </c>
      <c r="D1038" s="107" t="n"/>
      <c r="E1038" s="191" t="n">
        <v>1</v>
      </c>
      <c r="F1038" s="192" t="n">
        <v>0</v>
      </c>
      <c r="G1038" s="193" t="n">
        <v>0</v>
      </c>
      <c r="H1038" s="192" t="n">
        <v>0</v>
      </c>
      <c r="I1038" s="192" t="n">
        <v>0</v>
      </c>
      <c r="J1038" s="107" t="n"/>
      <c r="K1038" s="107" t="n"/>
      <c r="L1038" s="107" t="n"/>
      <c r="M1038" s="192" t="n">
        <v>0</v>
      </c>
    </row>
    <row r="1039" ht="15" customHeight="1">
      <c r="A1039" s="111" t="inlineStr">
        <is>
          <t>009574</t>
        </is>
      </c>
      <c r="B1039" s="111" t="inlineStr">
        <is>
          <t>001395</t>
        </is>
      </c>
      <c r="C1039" s="111" t="inlineStr">
        <is>
          <t>STELLA LONG NEC S/ GLUTEN</t>
        </is>
      </c>
      <c r="D1039" s="111" t="n"/>
      <c r="E1039" s="194" t="n">
        <v>1</v>
      </c>
      <c r="F1039" s="195" t="n">
        <v>0</v>
      </c>
      <c r="G1039" s="196" t="n">
        <v>0</v>
      </c>
      <c r="H1039" s="195" t="n">
        <v>0</v>
      </c>
      <c r="I1039" s="195" t="n">
        <v>0</v>
      </c>
      <c r="J1039" s="111" t="n"/>
      <c r="K1039" s="111" t="n"/>
      <c r="L1039" s="111" t="n"/>
      <c r="M1039" s="195" t="n">
        <v>0</v>
      </c>
    </row>
    <row r="1040" ht="15" customHeight="1">
      <c r="A1040" s="107" t="inlineStr">
        <is>
          <t>009575</t>
        </is>
      </c>
      <c r="B1040" s="107" t="inlineStr">
        <is>
          <t>000203</t>
        </is>
      </c>
      <c r="C1040" s="107" t="inlineStr">
        <is>
          <t>CORONA EXTRA LONG NECK</t>
        </is>
      </c>
      <c r="D1040" s="107" t="n"/>
      <c r="E1040" s="191" t="n">
        <v>1</v>
      </c>
      <c r="F1040" s="192" t="n">
        <v>0</v>
      </c>
      <c r="G1040" s="193" t="n">
        <v>0</v>
      </c>
      <c r="H1040" s="192" t="n">
        <v>0</v>
      </c>
      <c r="I1040" s="192" t="n">
        <v>0</v>
      </c>
      <c r="J1040" s="107" t="n"/>
      <c r="K1040" s="107" t="n"/>
      <c r="L1040" s="107" t="n"/>
      <c r="M1040" s="192" t="n">
        <v>0</v>
      </c>
    </row>
    <row r="1041" ht="15" customHeight="1">
      <c r="A1041" s="111" t="inlineStr">
        <is>
          <t>009576</t>
        </is>
      </c>
      <c r="B1041" s="111" t="inlineStr">
        <is>
          <t>000674</t>
        </is>
      </c>
      <c r="C1041" s="111" t="inlineStr">
        <is>
          <t>CERVEJA STELLA ARTOIS  600 ML</t>
        </is>
      </c>
      <c r="D1041" s="111" t="n"/>
      <c r="E1041" s="194" t="n">
        <v>1</v>
      </c>
      <c r="F1041" s="195" t="n">
        <v>0</v>
      </c>
      <c r="G1041" s="196" t="n">
        <v>0</v>
      </c>
      <c r="H1041" s="195" t="n">
        <v>0</v>
      </c>
      <c r="I1041" s="195" t="n">
        <v>0</v>
      </c>
      <c r="J1041" s="111" t="n"/>
      <c r="K1041" s="111" t="n"/>
      <c r="L1041" s="111" t="n"/>
      <c r="M1041" s="195" t="n">
        <v>0</v>
      </c>
    </row>
    <row r="1042" ht="15" customHeight="1">
      <c r="A1042" s="107" t="inlineStr">
        <is>
          <t>009577</t>
        </is>
      </c>
      <c r="B1042" s="107" t="inlineStr">
        <is>
          <t>000334</t>
        </is>
      </c>
      <c r="C1042" s="107" t="inlineStr">
        <is>
          <t>AGUA C/ GAS</t>
        </is>
      </c>
      <c r="D1042" s="107" t="n"/>
      <c r="E1042" s="191" t="n">
        <v>1</v>
      </c>
      <c r="F1042" s="192" t="n">
        <v>0</v>
      </c>
      <c r="G1042" s="193" t="n">
        <v>0</v>
      </c>
      <c r="H1042" s="192" t="n">
        <v>0</v>
      </c>
      <c r="I1042" s="192" t="n">
        <v>0</v>
      </c>
      <c r="J1042" s="107" t="n"/>
      <c r="K1042" s="107" t="n"/>
      <c r="L1042" s="107" t="n"/>
      <c r="M1042" s="192" t="n">
        <v>0</v>
      </c>
    </row>
    <row r="1043" ht="15" customHeight="1">
      <c r="A1043" s="111" t="inlineStr">
        <is>
          <t>009578</t>
        </is>
      </c>
      <c r="B1043" s="111" t="inlineStr">
        <is>
          <t>000333</t>
        </is>
      </c>
      <c r="C1043" s="111" t="inlineStr">
        <is>
          <t>AGUA S/ GAS</t>
        </is>
      </c>
      <c r="D1043" s="111" t="n"/>
      <c r="E1043" s="194" t="n">
        <v>1</v>
      </c>
      <c r="F1043" s="195" t="n">
        <v>0</v>
      </c>
      <c r="G1043" s="196" t="n">
        <v>0</v>
      </c>
      <c r="H1043" s="195" t="n">
        <v>0</v>
      </c>
      <c r="I1043" s="195" t="n">
        <v>0</v>
      </c>
      <c r="J1043" s="111" t="n"/>
      <c r="K1043" s="111" t="n"/>
      <c r="L1043" s="111" t="n"/>
      <c r="M1043" s="195" t="n">
        <v>0</v>
      </c>
    </row>
    <row r="1044" ht="15" customHeight="1">
      <c r="A1044" s="107" t="inlineStr">
        <is>
          <t>009579</t>
        </is>
      </c>
      <c r="B1044" s="107" t="inlineStr">
        <is>
          <t>000314</t>
        </is>
      </c>
      <c r="C1044" s="107" t="inlineStr">
        <is>
          <t>GUARANA ZERO LATA 350ML</t>
        </is>
      </c>
      <c r="D1044" s="107" t="n"/>
      <c r="E1044" s="191" t="n">
        <v>1</v>
      </c>
      <c r="F1044" s="192" t="n">
        <v>0</v>
      </c>
      <c r="G1044" s="193" t="n">
        <v>0</v>
      </c>
      <c r="H1044" s="192" t="n">
        <v>0</v>
      </c>
      <c r="I1044" s="192" t="n">
        <v>0</v>
      </c>
      <c r="J1044" s="107" t="n"/>
      <c r="K1044" s="107" t="n"/>
      <c r="L1044" s="107" t="n"/>
      <c r="M1044" s="192" t="n">
        <v>0</v>
      </c>
    </row>
    <row r="1045" ht="15" customHeight="1">
      <c r="A1045" s="111" t="inlineStr">
        <is>
          <t>009582</t>
        </is>
      </c>
      <c r="B1045" s="111" t="inlineStr">
        <is>
          <t>000454</t>
        </is>
      </c>
      <c r="C1045" s="111" t="inlineStr">
        <is>
          <t>BATATA MCAIM 9 MM 2,5KG</t>
        </is>
      </c>
      <c r="D1045" s="111" t="n"/>
      <c r="E1045" s="194" t="n">
        <v>0.15</v>
      </c>
      <c r="F1045" s="195" t="n">
        <v>0</v>
      </c>
      <c r="G1045" s="196" t="n">
        <v>0</v>
      </c>
      <c r="H1045" s="195" t="n">
        <v>0</v>
      </c>
      <c r="I1045" s="195" t="n">
        <v>0</v>
      </c>
      <c r="J1045" s="111" t="n"/>
      <c r="K1045" s="111" t="n"/>
      <c r="L1045" s="111" t="n"/>
      <c r="M1045" s="195" t="n">
        <v>0</v>
      </c>
    </row>
    <row r="1046" ht="15" customHeight="1">
      <c r="A1046" s="107" t="inlineStr">
        <is>
          <t>009594</t>
        </is>
      </c>
      <c r="B1046" s="107" t="inlineStr">
        <is>
          <t>000286</t>
        </is>
      </c>
      <c r="C1046" s="107" t="inlineStr">
        <is>
          <t>ESPETO BOVINO</t>
        </is>
      </c>
      <c r="D1046" s="107" t="n"/>
      <c r="E1046" s="191" t="n">
        <v>2</v>
      </c>
      <c r="F1046" s="192" t="n">
        <v>0</v>
      </c>
      <c r="G1046" s="193" t="n">
        <v>0</v>
      </c>
      <c r="H1046" s="192" t="n">
        <v>0</v>
      </c>
      <c r="I1046" s="192" t="n">
        <v>0</v>
      </c>
      <c r="J1046" s="107" t="n"/>
      <c r="K1046" s="107" t="n"/>
      <c r="L1046" s="107" t="n"/>
      <c r="M1046" s="192" t="n">
        <v>0</v>
      </c>
    </row>
    <row r="1047" ht="15" customHeight="1">
      <c r="A1047" s="111" t="inlineStr">
        <is>
          <t>009594</t>
        </is>
      </c>
      <c r="B1047" s="111" t="inlineStr">
        <is>
          <t>000377</t>
        </is>
      </c>
      <c r="C1047" s="111" t="inlineStr">
        <is>
          <t>ARROZ TIPO 1</t>
        </is>
      </c>
      <c r="D1047" s="111" t="n"/>
      <c r="E1047" s="194" t="n">
        <v>0.06</v>
      </c>
      <c r="F1047" s="195" t="n">
        <v>0</v>
      </c>
      <c r="G1047" s="196" t="n">
        <v>0</v>
      </c>
      <c r="H1047" s="195" t="n">
        <v>0</v>
      </c>
      <c r="I1047" s="195" t="n">
        <v>0</v>
      </c>
      <c r="J1047" s="111" t="n"/>
      <c r="K1047" s="111" t="n"/>
      <c r="L1047" s="111" t="n"/>
      <c r="M1047" s="195" t="n">
        <v>0</v>
      </c>
    </row>
    <row r="1048" ht="15" customHeight="1">
      <c r="A1048" s="107" t="inlineStr">
        <is>
          <t>009594</t>
        </is>
      </c>
      <c r="B1048" s="107" t="inlineStr">
        <is>
          <t>000392</t>
        </is>
      </c>
      <c r="C1048" s="107" t="inlineStr">
        <is>
          <t>FEIJAO CARIOCA</t>
        </is>
      </c>
      <c r="D1048" s="107" t="n"/>
      <c r="E1048" s="191" t="n">
        <v>0.038</v>
      </c>
      <c r="F1048" s="192" t="n">
        <v>0</v>
      </c>
      <c r="G1048" s="193" t="n">
        <v>0</v>
      </c>
      <c r="H1048" s="192" t="n">
        <v>0</v>
      </c>
      <c r="I1048" s="192" t="n">
        <v>0</v>
      </c>
      <c r="J1048" s="107" t="n"/>
      <c r="K1048" s="107" t="n"/>
      <c r="L1048" s="107" t="n"/>
      <c r="M1048" s="192" t="n">
        <v>0</v>
      </c>
    </row>
    <row r="1049" ht="15" customHeight="1">
      <c r="A1049" s="111" t="inlineStr">
        <is>
          <t>009594</t>
        </is>
      </c>
      <c r="B1049" s="111" t="inlineStr">
        <is>
          <t>000412</t>
        </is>
      </c>
      <c r="C1049" s="111" t="inlineStr">
        <is>
          <t>OLEO DE SOJA LIZA 900ML</t>
        </is>
      </c>
      <c r="D1049" s="111" t="n"/>
      <c r="E1049" s="194" t="n">
        <v>0.008999999999999999</v>
      </c>
      <c r="F1049" s="195" t="n">
        <v>0</v>
      </c>
      <c r="G1049" s="196" t="n">
        <v>0</v>
      </c>
      <c r="H1049" s="195" t="n">
        <v>0</v>
      </c>
      <c r="I1049" s="195" t="n">
        <v>0</v>
      </c>
      <c r="J1049" s="111" t="n"/>
      <c r="K1049" s="111" t="n"/>
      <c r="L1049" s="111" t="n"/>
      <c r="M1049" s="195" t="n">
        <v>0</v>
      </c>
    </row>
    <row r="1050" ht="15" customHeight="1">
      <c r="A1050" s="107" t="inlineStr">
        <is>
          <t>009594</t>
        </is>
      </c>
      <c r="B1050" s="107" t="inlineStr">
        <is>
          <t>000426</t>
        </is>
      </c>
      <c r="C1050" s="107" t="inlineStr">
        <is>
          <t>BACON EM CUBOS</t>
        </is>
      </c>
      <c r="D1050" s="107" t="n"/>
      <c r="E1050" s="191" t="n">
        <v>0.008</v>
      </c>
      <c r="F1050" s="192" t="n">
        <v>0</v>
      </c>
      <c r="G1050" s="193" t="n">
        <v>0</v>
      </c>
      <c r="H1050" s="192" t="n">
        <v>0</v>
      </c>
      <c r="I1050" s="192" t="n">
        <v>0</v>
      </c>
      <c r="J1050" s="107" t="n"/>
      <c r="K1050" s="107" t="n"/>
      <c r="L1050" s="107" t="n"/>
      <c r="M1050" s="192" t="n">
        <v>0</v>
      </c>
    </row>
    <row r="1051" ht="15" customHeight="1">
      <c r="A1051" s="111" t="inlineStr">
        <is>
          <t>009594</t>
        </is>
      </c>
      <c r="B1051" s="111" t="inlineStr">
        <is>
          <t>000460</t>
        </is>
      </c>
      <c r="C1051" s="111" t="inlineStr">
        <is>
          <t>AGRIAO HIDROPONICO</t>
        </is>
      </c>
      <c r="D1051" s="111" t="n"/>
      <c r="E1051" s="194" t="n">
        <v>0.005</v>
      </c>
      <c r="F1051" s="195" t="n">
        <v>0</v>
      </c>
      <c r="G1051" s="196" t="n">
        <v>0</v>
      </c>
      <c r="H1051" s="195" t="n">
        <v>0</v>
      </c>
      <c r="I1051" s="195" t="n">
        <v>0</v>
      </c>
      <c r="J1051" s="111" t="n"/>
      <c r="K1051" s="111" t="n"/>
      <c r="L1051" s="111" t="n"/>
      <c r="M1051" s="195" t="n">
        <v>0</v>
      </c>
    </row>
    <row r="1052" ht="15" customHeight="1">
      <c r="A1052" s="107" t="inlineStr">
        <is>
          <t>009594</t>
        </is>
      </c>
      <c r="B1052" s="107" t="inlineStr">
        <is>
          <t>000461</t>
        </is>
      </c>
      <c r="C1052" s="107" t="inlineStr">
        <is>
          <t>ALFACE AMERICANA</t>
        </is>
      </c>
      <c r="D1052" s="107" t="n"/>
      <c r="E1052" s="191" t="n">
        <v>0.02</v>
      </c>
      <c r="F1052" s="192" t="n">
        <v>0</v>
      </c>
      <c r="G1052" s="193" t="n">
        <v>0</v>
      </c>
      <c r="H1052" s="192" t="n">
        <v>0</v>
      </c>
      <c r="I1052" s="192" t="n">
        <v>0</v>
      </c>
      <c r="J1052" s="107" t="n"/>
      <c r="K1052" s="107" t="n"/>
      <c r="L1052" s="107" t="n"/>
      <c r="M1052" s="192" t="n">
        <v>0</v>
      </c>
    </row>
    <row r="1053" ht="15" customHeight="1">
      <c r="A1053" s="111" t="inlineStr">
        <is>
          <t>009594</t>
        </is>
      </c>
      <c r="B1053" s="111" t="inlineStr">
        <is>
          <t>000462</t>
        </is>
      </c>
      <c r="C1053" s="111" t="inlineStr">
        <is>
          <t>ALFACE CRESPA</t>
        </is>
      </c>
      <c r="D1053" s="111" t="n"/>
      <c r="E1053" s="194" t="n">
        <v>0.02</v>
      </c>
      <c r="F1053" s="195" t="n">
        <v>0</v>
      </c>
      <c r="G1053" s="196" t="n">
        <v>0</v>
      </c>
      <c r="H1053" s="195" t="n">
        <v>0</v>
      </c>
      <c r="I1053" s="195" t="n">
        <v>0</v>
      </c>
      <c r="J1053" s="111" t="n"/>
      <c r="K1053" s="111" t="n"/>
      <c r="L1053" s="111" t="n"/>
      <c r="M1053" s="195" t="n">
        <v>0</v>
      </c>
    </row>
    <row r="1054" ht="15" customHeight="1">
      <c r="A1054" s="107" t="inlineStr">
        <is>
          <t>009594</t>
        </is>
      </c>
      <c r="B1054" s="107" t="inlineStr">
        <is>
          <t>000463</t>
        </is>
      </c>
      <c r="C1054" s="107" t="inlineStr">
        <is>
          <t>ALHO DESCASCADO</t>
        </is>
      </c>
      <c r="D1054" s="107" t="n"/>
      <c r="E1054" s="191" t="n">
        <v>0.004</v>
      </c>
      <c r="F1054" s="192" t="n">
        <v>0</v>
      </c>
      <c r="G1054" s="193" t="n">
        <v>0</v>
      </c>
      <c r="H1054" s="192" t="n">
        <v>0</v>
      </c>
      <c r="I1054" s="192" t="n">
        <v>0</v>
      </c>
      <c r="J1054" s="107" t="n"/>
      <c r="K1054" s="107" t="n"/>
      <c r="L1054" s="107" t="n"/>
      <c r="M1054" s="192" t="n">
        <v>0</v>
      </c>
    </row>
    <row r="1055" ht="15" customHeight="1">
      <c r="A1055" s="111" t="inlineStr">
        <is>
          <t>009594</t>
        </is>
      </c>
      <c r="B1055" s="111" t="inlineStr">
        <is>
          <t>000468</t>
        </is>
      </c>
      <c r="C1055" s="111" t="inlineStr">
        <is>
          <t>CEBOLA MEDIA</t>
        </is>
      </c>
      <c r="D1055" s="111" t="n"/>
      <c r="E1055" s="194" t="n">
        <v>0.0003</v>
      </c>
      <c r="F1055" s="195" t="n">
        <v>0</v>
      </c>
      <c r="G1055" s="196" t="n">
        <v>0</v>
      </c>
      <c r="H1055" s="195" t="n">
        <v>0</v>
      </c>
      <c r="I1055" s="195" t="n">
        <v>0</v>
      </c>
      <c r="J1055" s="111" t="n"/>
      <c r="K1055" s="111" t="n"/>
      <c r="L1055" s="111" t="n"/>
      <c r="M1055" s="195" t="n">
        <v>0</v>
      </c>
    </row>
    <row r="1056" ht="15" customHeight="1">
      <c r="A1056" s="107" t="inlineStr">
        <is>
          <t>009594</t>
        </is>
      </c>
      <c r="B1056" s="107" t="inlineStr">
        <is>
          <t>000470</t>
        </is>
      </c>
      <c r="C1056" s="107" t="inlineStr">
        <is>
          <t>CENOURA</t>
        </is>
      </c>
      <c r="D1056" s="107" t="n"/>
      <c r="E1056" s="191" t="n">
        <v>0.01</v>
      </c>
      <c r="F1056" s="192" t="n">
        <v>0</v>
      </c>
      <c r="G1056" s="193" t="n">
        <v>0</v>
      </c>
      <c r="H1056" s="192" t="n">
        <v>0</v>
      </c>
      <c r="I1056" s="192" t="n">
        <v>0</v>
      </c>
      <c r="J1056" s="107" t="n"/>
      <c r="K1056" s="107" t="n"/>
      <c r="L1056" s="107" t="n"/>
      <c r="M1056" s="192" t="n">
        <v>0</v>
      </c>
    </row>
    <row r="1057" ht="15" customHeight="1">
      <c r="A1057" s="111" t="inlineStr">
        <is>
          <t>009594</t>
        </is>
      </c>
      <c r="B1057" s="111" t="inlineStr">
        <is>
          <t>000475</t>
        </is>
      </c>
      <c r="C1057" s="111" t="inlineStr">
        <is>
          <t>FOLHA DE LOURO</t>
        </is>
      </c>
      <c r="D1057" s="111" t="n"/>
      <c r="E1057" s="194" t="n">
        <v>0.003</v>
      </c>
      <c r="F1057" s="195" t="n">
        <v>0</v>
      </c>
      <c r="G1057" s="196" t="n">
        <v>0</v>
      </c>
      <c r="H1057" s="195" t="n">
        <v>0</v>
      </c>
      <c r="I1057" s="195" t="n">
        <v>0</v>
      </c>
      <c r="J1057" s="111" t="n"/>
      <c r="K1057" s="111" t="n"/>
      <c r="L1057" s="111" t="n"/>
      <c r="M1057" s="195" t="n">
        <v>0</v>
      </c>
    </row>
    <row r="1058" ht="15" customHeight="1">
      <c r="A1058" s="107" t="inlineStr">
        <is>
          <t>009594</t>
        </is>
      </c>
      <c r="B1058" s="107" t="inlineStr">
        <is>
          <t>000483</t>
        </is>
      </c>
      <c r="C1058" s="107" t="inlineStr">
        <is>
          <t>RUCULA HIDROPONICA</t>
        </is>
      </c>
      <c r="D1058" s="107" t="n"/>
      <c r="E1058" s="191" t="n">
        <v>0.005</v>
      </c>
      <c r="F1058" s="192" t="n">
        <v>0</v>
      </c>
      <c r="G1058" s="193" t="n">
        <v>0</v>
      </c>
      <c r="H1058" s="192" t="n">
        <v>0</v>
      </c>
      <c r="I1058" s="192" t="n">
        <v>0</v>
      </c>
      <c r="J1058" s="107" t="n"/>
      <c r="K1058" s="107" t="n"/>
      <c r="L1058" s="107" t="n"/>
      <c r="M1058" s="192" t="n">
        <v>0</v>
      </c>
    </row>
    <row r="1059" ht="15" customHeight="1">
      <c r="A1059" s="111" t="inlineStr">
        <is>
          <t>009594</t>
        </is>
      </c>
      <c r="B1059" s="111" t="inlineStr">
        <is>
          <t>000485</t>
        </is>
      </c>
      <c r="C1059" s="111" t="inlineStr">
        <is>
          <t>TOMATE  CEREJA</t>
        </is>
      </c>
      <c r="D1059" s="111" t="n"/>
      <c r="E1059" s="194" t="n">
        <v>0.02</v>
      </c>
      <c r="F1059" s="195" t="n">
        <v>0</v>
      </c>
      <c r="G1059" s="196" t="n">
        <v>0</v>
      </c>
      <c r="H1059" s="195" t="n">
        <v>0</v>
      </c>
      <c r="I1059" s="195" t="n">
        <v>0</v>
      </c>
      <c r="J1059" s="111" t="n"/>
      <c r="K1059" s="111" t="n"/>
      <c r="L1059" s="111" t="n"/>
      <c r="M1059" s="195" t="n">
        <v>0</v>
      </c>
    </row>
    <row r="1060" ht="15" customHeight="1">
      <c r="A1060" s="107" t="inlineStr">
        <is>
          <t>009594</t>
        </is>
      </c>
      <c r="B1060" s="107" t="inlineStr">
        <is>
          <t>000614</t>
        </is>
      </c>
      <c r="C1060" s="107" t="inlineStr">
        <is>
          <t>SAL REFINADO</t>
        </is>
      </c>
      <c r="D1060" s="107" t="n"/>
      <c r="E1060" s="191" t="n">
        <v>0.003</v>
      </c>
      <c r="F1060" s="192" t="n">
        <v>0</v>
      </c>
      <c r="G1060" s="193" t="n">
        <v>0</v>
      </c>
      <c r="H1060" s="192" t="n">
        <v>0</v>
      </c>
      <c r="I1060" s="192" t="n">
        <v>0</v>
      </c>
      <c r="J1060" s="107" t="n"/>
      <c r="K1060" s="107" t="n"/>
      <c r="L1060" s="107" t="n"/>
      <c r="M1060" s="192" t="n">
        <v>0</v>
      </c>
    </row>
    <row r="1061" ht="15" customHeight="1">
      <c r="A1061" s="111" t="inlineStr">
        <is>
          <t>009594</t>
        </is>
      </c>
      <c r="B1061" s="111" t="inlineStr">
        <is>
          <t>000753</t>
        </is>
      </c>
      <c r="C1061" s="111" t="inlineStr">
        <is>
          <t>CEBOLA ROXA</t>
        </is>
      </c>
      <c r="D1061" s="111" t="n"/>
      <c r="E1061" s="194" t="n">
        <v>0.01</v>
      </c>
      <c r="F1061" s="195" t="n">
        <v>0</v>
      </c>
      <c r="G1061" s="196" t="n">
        <v>0</v>
      </c>
      <c r="H1061" s="195" t="n">
        <v>0</v>
      </c>
      <c r="I1061" s="195" t="n">
        <v>0</v>
      </c>
      <c r="J1061" s="111" t="n"/>
      <c r="K1061" s="111" t="n"/>
      <c r="L1061" s="111" t="n"/>
      <c r="M1061" s="195" t="n">
        <v>0</v>
      </c>
    </row>
    <row r="1062" ht="15" customHeight="1">
      <c r="A1062" s="107" t="inlineStr">
        <is>
          <t>009594</t>
        </is>
      </c>
      <c r="B1062" s="107" t="inlineStr">
        <is>
          <t>002068</t>
        </is>
      </c>
      <c r="C1062" s="107" t="inlineStr">
        <is>
          <t>MANTEIGA S/SAL 5KG</t>
        </is>
      </c>
      <c r="D1062" s="107" t="n"/>
      <c r="E1062" s="191" t="n">
        <v>0.005</v>
      </c>
      <c r="F1062" s="192" t="n">
        <v>0</v>
      </c>
      <c r="G1062" s="193" t="n">
        <v>0</v>
      </c>
      <c r="H1062" s="192" t="n">
        <v>0</v>
      </c>
      <c r="I1062" s="192" t="n">
        <v>0</v>
      </c>
      <c r="J1062" s="107" t="n"/>
      <c r="K1062" s="107" t="n"/>
      <c r="L1062" s="107" t="n"/>
      <c r="M1062" s="192" t="n">
        <v>0</v>
      </c>
    </row>
    <row r="1063" ht="15" customHeight="1">
      <c r="A1063" s="111" t="inlineStr">
        <is>
          <t>009595</t>
        </is>
      </c>
      <c r="B1063" s="111" t="inlineStr">
        <is>
          <t>000286</t>
        </is>
      </c>
      <c r="C1063" s="111" t="inlineStr">
        <is>
          <t>ESPETO BOVINO</t>
        </is>
      </c>
      <c r="D1063" s="111" t="n"/>
      <c r="E1063" s="194" t="n">
        <v>1</v>
      </c>
      <c r="F1063" s="195" t="n">
        <v>0</v>
      </c>
      <c r="G1063" s="196" t="n">
        <v>0</v>
      </c>
      <c r="H1063" s="195" t="n">
        <v>0</v>
      </c>
      <c r="I1063" s="195" t="n">
        <v>0</v>
      </c>
      <c r="J1063" s="111" t="n"/>
      <c r="K1063" s="111" t="n"/>
      <c r="L1063" s="111" t="n"/>
      <c r="M1063" s="195" t="n">
        <v>0</v>
      </c>
    </row>
    <row r="1064" ht="15" customHeight="1">
      <c r="A1064" s="107" t="inlineStr">
        <is>
          <t>009596</t>
        </is>
      </c>
      <c r="B1064" s="107" t="inlineStr">
        <is>
          <t>000288</t>
        </is>
      </c>
      <c r="C1064" s="107" t="inlineStr">
        <is>
          <t>ESPETO CALABRESA S/ PIMENTA</t>
        </is>
      </c>
      <c r="D1064" s="107" t="n"/>
      <c r="E1064" s="191" t="n">
        <v>1</v>
      </c>
      <c r="F1064" s="192" t="n">
        <v>0</v>
      </c>
      <c r="G1064" s="193" t="n">
        <v>0</v>
      </c>
      <c r="H1064" s="192" t="n">
        <v>0</v>
      </c>
      <c r="I1064" s="192" t="n">
        <v>0</v>
      </c>
      <c r="J1064" s="107" t="n"/>
      <c r="K1064" s="107" t="n"/>
      <c r="L1064" s="107" t="n"/>
      <c r="M1064" s="192" t="n">
        <v>0</v>
      </c>
    </row>
    <row r="1065" ht="15" customHeight="1">
      <c r="A1065" s="111" t="inlineStr">
        <is>
          <t>009597</t>
        </is>
      </c>
      <c r="B1065" s="111" t="inlineStr">
        <is>
          <t>000287</t>
        </is>
      </c>
      <c r="C1065" s="111" t="inlineStr">
        <is>
          <t>ESPETO CALABRESA C/ PIMENTA</t>
        </is>
      </c>
      <c r="D1065" s="111" t="n"/>
      <c r="E1065" s="194" t="n">
        <v>1</v>
      </c>
      <c r="F1065" s="195" t="n">
        <v>0</v>
      </c>
      <c r="G1065" s="196" t="n">
        <v>0</v>
      </c>
      <c r="H1065" s="195" t="n">
        <v>0</v>
      </c>
      <c r="I1065" s="195" t="n">
        <v>0</v>
      </c>
      <c r="J1065" s="111" t="n"/>
      <c r="K1065" s="111" t="n"/>
      <c r="L1065" s="111" t="n"/>
      <c r="M1065" s="195" t="n">
        <v>0</v>
      </c>
    </row>
    <row r="1066" ht="15" customHeight="1">
      <c r="A1066" s="107" t="inlineStr">
        <is>
          <t>009598</t>
        </is>
      </c>
      <c r="B1066" s="107" t="inlineStr">
        <is>
          <t>000289</t>
        </is>
      </c>
      <c r="C1066" s="107" t="inlineStr">
        <is>
          <t>ESPETO CORACAO</t>
        </is>
      </c>
      <c r="D1066" s="107" t="n"/>
      <c r="E1066" s="191" t="n">
        <v>1</v>
      </c>
      <c r="F1066" s="192" t="n">
        <v>0</v>
      </c>
      <c r="G1066" s="193" t="n">
        <v>0</v>
      </c>
      <c r="H1066" s="192" t="n">
        <v>0</v>
      </c>
      <c r="I1066" s="192" t="n">
        <v>0</v>
      </c>
      <c r="J1066" s="107" t="n"/>
      <c r="K1066" s="107" t="n"/>
      <c r="L1066" s="107" t="n"/>
      <c r="M1066" s="192" t="n">
        <v>0</v>
      </c>
    </row>
    <row r="1067" ht="15" customHeight="1">
      <c r="A1067" s="111" t="inlineStr">
        <is>
          <t>009599</t>
        </is>
      </c>
      <c r="B1067" s="111" t="inlineStr">
        <is>
          <t>000291</t>
        </is>
      </c>
      <c r="C1067" s="111" t="inlineStr">
        <is>
          <t>ESPETO FRANGO</t>
        </is>
      </c>
      <c r="D1067" s="111" t="n"/>
      <c r="E1067" s="194" t="n">
        <v>1</v>
      </c>
      <c r="F1067" s="195" t="n">
        <v>0</v>
      </c>
      <c r="G1067" s="196" t="n">
        <v>0</v>
      </c>
      <c r="H1067" s="195" t="n">
        <v>0</v>
      </c>
      <c r="I1067" s="195" t="n">
        <v>0</v>
      </c>
      <c r="J1067" s="111" t="n"/>
      <c r="K1067" s="111" t="n"/>
      <c r="L1067" s="111" t="n"/>
      <c r="M1067" s="195" t="n">
        <v>0</v>
      </c>
    </row>
    <row r="1068" ht="15" customHeight="1">
      <c r="A1068" s="107" t="inlineStr">
        <is>
          <t>009632</t>
        </is>
      </c>
      <c r="B1068" s="107" t="inlineStr">
        <is>
          <t>001522</t>
        </is>
      </c>
      <c r="C1068" s="107" t="inlineStr">
        <is>
          <t>ANEIS DE CEBOLA 1,05KG</t>
        </is>
      </c>
      <c r="D1068" s="107" t="n"/>
      <c r="E1068" s="191" t="n">
        <v>0.15</v>
      </c>
      <c r="F1068" s="192" t="n">
        <v>0</v>
      </c>
      <c r="G1068" s="193" t="n">
        <v>0</v>
      </c>
      <c r="H1068" s="192" t="n">
        <v>0</v>
      </c>
      <c r="I1068" s="192" t="n">
        <v>0</v>
      </c>
      <c r="J1068" s="107" t="n"/>
      <c r="K1068" s="107" t="n"/>
      <c r="L1068" s="107" t="n"/>
      <c r="M1068" s="192" t="n">
        <v>0</v>
      </c>
    </row>
    <row r="1069" ht="15" customHeight="1">
      <c r="A1069" s="111" t="inlineStr">
        <is>
          <t>009633</t>
        </is>
      </c>
      <c r="B1069" s="111" t="inlineStr">
        <is>
          <t>001459</t>
        </is>
      </c>
      <c r="C1069" s="111" t="inlineStr">
        <is>
          <t>POLENTA PALITO 1,01KG</t>
        </is>
      </c>
      <c r="D1069" s="111" t="n"/>
      <c r="E1069" s="194" t="n">
        <v>0.21</v>
      </c>
      <c r="F1069" s="195" t="n">
        <v>0</v>
      </c>
      <c r="G1069" s="196" t="n">
        <v>0</v>
      </c>
      <c r="H1069" s="195" t="n">
        <v>0</v>
      </c>
      <c r="I1069" s="195" t="n">
        <v>0</v>
      </c>
      <c r="J1069" s="111" t="n"/>
      <c r="K1069" s="111" t="n"/>
      <c r="L1069" s="111" t="n"/>
      <c r="M1069" s="195" t="n">
        <v>0</v>
      </c>
    </row>
    <row r="1070" ht="15" customHeight="1">
      <c r="A1070" s="107" t="inlineStr">
        <is>
          <t>009634</t>
        </is>
      </c>
      <c r="B1070" s="107" t="inlineStr">
        <is>
          <t>001581</t>
        </is>
      </c>
      <c r="C1070" s="107" t="inlineStr">
        <is>
          <t>MANDIOCA COZIDA CONG 1,01 KG</t>
        </is>
      </c>
      <c r="D1070" s="107" t="n"/>
      <c r="E1070" s="191" t="n">
        <v>0.2</v>
      </c>
      <c r="F1070" s="192" t="n">
        <v>0</v>
      </c>
      <c r="G1070" s="193" t="n">
        <v>0</v>
      </c>
      <c r="H1070" s="192" t="n">
        <v>0</v>
      </c>
      <c r="I1070" s="192" t="n">
        <v>0</v>
      </c>
      <c r="J1070" s="107" t="n"/>
      <c r="K1070" s="107" t="n"/>
      <c r="L1070" s="107" t="n"/>
      <c r="M1070" s="192" t="n">
        <v>0</v>
      </c>
    </row>
    <row r="1071" ht="15" customHeight="1">
      <c r="A1071" s="111" t="inlineStr">
        <is>
          <t>009635</t>
        </is>
      </c>
      <c r="B1071" s="111" t="inlineStr">
        <is>
          <t>000454</t>
        </is>
      </c>
      <c r="C1071" s="111" t="inlineStr">
        <is>
          <t>BATATA MCAIM 9 MM 2,5KG</t>
        </is>
      </c>
      <c r="D1071" s="111" t="n"/>
      <c r="E1071" s="194" t="n">
        <v>0.15</v>
      </c>
      <c r="F1071" s="195" t="n">
        <v>0</v>
      </c>
      <c r="G1071" s="196" t="n">
        <v>0</v>
      </c>
      <c r="H1071" s="195" t="n">
        <v>0</v>
      </c>
      <c r="I1071" s="195" t="n">
        <v>0</v>
      </c>
      <c r="J1071" s="111" t="n"/>
      <c r="K1071" s="111" t="n"/>
      <c r="L1071" s="111" t="n"/>
      <c r="M1071" s="195" t="n">
        <v>0</v>
      </c>
    </row>
    <row r="1072" ht="15" customHeight="1">
      <c r="A1072" s="107" t="inlineStr">
        <is>
          <t>009636</t>
        </is>
      </c>
      <c r="B1072" s="107" t="inlineStr">
        <is>
          <t>000424</t>
        </is>
      </c>
      <c r="C1072" s="107" t="inlineStr">
        <is>
          <t>VINAGRE AGRIN BRANCO NEVAL GARRAFA 750ML</t>
        </is>
      </c>
      <c r="D1072" s="107" t="n"/>
      <c r="E1072" s="191" t="n">
        <v>0.007</v>
      </c>
      <c r="F1072" s="192" t="n">
        <v>2.17</v>
      </c>
      <c r="G1072" s="193" t="n">
        <v>0</v>
      </c>
      <c r="H1072" s="192" t="n">
        <v>0</v>
      </c>
      <c r="I1072" s="192" t="n">
        <v>0</v>
      </c>
      <c r="J1072" s="107" t="n"/>
      <c r="K1072" s="107" t="n"/>
      <c r="L1072" s="107" t="n"/>
      <c r="M1072" s="192" t="n">
        <v>0</v>
      </c>
    </row>
    <row r="1073" ht="15" customHeight="1">
      <c r="A1073" s="111" t="inlineStr">
        <is>
          <t>009636</t>
        </is>
      </c>
      <c r="B1073" s="111" t="inlineStr">
        <is>
          <t>000468</t>
        </is>
      </c>
      <c r="C1073" s="111" t="inlineStr">
        <is>
          <t>CEBOLA MEDIA</t>
        </is>
      </c>
      <c r="D1073" s="111" t="n"/>
      <c r="E1073" s="194" t="n">
        <v>0.013</v>
      </c>
      <c r="F1073" s="195" t="n">
        <v>12130.97</v>
      </c>
      <c r="G1073" s="196" t="n">
        <v>0</v>
      </c>
      <c r="H1073" s="195" t="n">
        <v>0</v>
      </c>
      <c r="I1073" s="195" t="n">
        <v>0</v>
      </c>
      <c r="J1073" s="111" t="n"/>
      <c r="K1073" s="111" t="n"/>
      <c r="L1073" s="111" t="n"/>
      <c r="M1073" s="195" t="n">
        <v>0</v>
      </c>
    </row>
    <row r="1074" ht="15" customHeight="1">
      <c r="A1074" s="107" t="inlineStr">
        <is>
          <t>009636</t>
        </is>
      </c>
      <c r="B1074" s="107" t="inlineStr">
        <is>
          <t>000484</t>
        </is>
      </c>
      <c r="C1074" s="107" t="inlineStr">
        <is>
          <t>SALSA LISA INDUSTRIAL</t>
        </is>
      </c>
      <c r="D1074" s="107" t="n"/>
      <c r="E1074" s="191" t="n">
        <v>0.008999999999999999</v>
      </c>
      <c r="F1074" s="192" t="n">
        <v>7.61</v>
      </c>
      <c r="G1074" s="193" t="n">
        <v>0</v>
      </c>
      <c r="H1074" s="192" t="n">
        <v>0</v>
      </c>
      <c r="I1074" s="192" t="n">
        <v>0</v>
      </c>
      <c r="J1074" s="107" t="n"/>
      <c r="K1074" s="107" t="n"/>
      <c r="L1074" s="107" t="n"/>
      <c r="M1074" s="192" t="n">
        <v>0</v>
      </c>
    </row>
    <row r="1075" ht="15" customHeight="1">
      <c r="A1075" s="111" t="inlineStr">
        <is>
          <t>009636</t>
        </is>
      </c>
      <c r="B1075" s="111" t="inlineStr">
        <is>
          <t>000486</t>
        </is>
      </c>
      <c r="C1075" s="111" t="inlineStr">
        <is>
          <t>TOMATE SALADA</t>
        </is>
      </c>
      <c r="D1075" s="111" t="n"/>
      <c r="E1075" s="194" t="n">
        <v>0.026</v>
      </c>
      <c r="F1075" s="195" t="n">
        <v>18.59</v>
      </c>
      <c r="G1075" s="196" t="n">
        <v>0</v>
      </c>
      <c r="H1075" s="195" t="n">
        <v>0</v>
      </c>
      <c r="I1075" s="195" t="n">
        <v>0</v>
      </c>
      <c r="J1075" s="111" t="n"/>
      <c r="K1075" s="111" t="n"/>
      <c r="L1075" s="111" t="n"/>
      <c r="M1075" s="195" t="n">
        <v>0</v>
      </c>
    </row>
    <row r="1076" ht="15" customHeight="1">
      <c r="A1076" s="107" t="inlineStr">
        <is>
          <t>009636</t>
        </is>
      </c>
      <c r="B1076" s="107" t="inlineStr">
        <is>
          <t>000614</t>
        </is>
      </c>
      <c r="C1076" s="107" t="inlineStr">
        <is>
          <t>SAL REFINADO</t>
        </is>
      </c>
      <c r="D1076" s="107" t="n"/>
      <c r="E1076" s="191" t="n">
        <v>0.001</v>
      </c>
      <c r="F1076" s="192" t="n">
        <v>0.79</v>
      </c>
      <c r="G1076" s="193" t="n">
        <v>0</v>
      </c>
      <c r="H1076" s="192" t="n">
        <v>0</v>
      </c>
      <c r="I1076" s="192" t="n">
        <v>0</v>
      </c>
      <c r="J1076" s="107" t="n"/>
      <c r="K1076" s="107" t="n"/>
      <c r="L1076" s="107" t="n"/>
      <c r="M1076" s="192" t="n">
        <v>0</v>
      </c>
    </row>
    <row r="1077" ht="15" customHeight="1">
      <c r="A1077" s="111" t="inlineStr">
        <is>
          <t>009636</t>
        </is>
      </c>
      <c r="B1077" s="111" t="inlineStr">
        <is>
          <t>000747</t>
        </is>
      </c>
      <c r="C1077" s="111" t="inlineStr">
        <is>
          <t>AZEITE OLEO COMPOSTO 5 LITROS</t>
        </is>
      </c>
      <c r="D1077" s="111" t="n"/>
      <c r="E1077" s="194" t="n">
        <v>0.013</v>
      </c>
      <c r="F1077" s="195" t="n">
        <v>82.39</v>
      </c>
      <c r="G1077" s="196" t="n">
        <v>0</v>
      </c>
      <c r="H1077" s="195" t="n">
        <v>0</v>
      </c>
      <c r="I1077" s="195" t="n">
        <v>0</v>
      </c>
      <c r="J1077" s="111" t="n"/>
      <c r="K1077" s="111" t="n"/>
      <c r="L1077" s="111" t="n"/>
      <c r="M1077" s="195" t="n">
        <v>0</v>
      </c>
    </row>
    <row r="1078" ht="15" customHeight="1">
      <c r="A1078" s="107" t="inlineStr">
        <is>
          <t>009637</t>
        </is>
      </c>
      <c r="B1078" s="107" t="inlineStr">
        <is>
          <t>000331</t>
        </is>
      </c>
      <c r="C1078" s="107" t="inlineStr">
        <is>
          <t>BARRIL CHOPP BRAHMA CLARO 50LT</t>
        </is>
      </c>
      <c r="D1078" s="107" t="n"/>
      <c r="E1078" s="191" t="n">
        <v>0.003</v>
      </c>
      <c r="F1078" s="192" t="n">
        <v>504.61</v>
      </c>
      <c r="G1078" s="193" t="n">
        <v>0</v>
      </c>
      <c r="H1078" s="192" t="n">
        <v>0</v>
      </c>
      <c r="I1078" s="192" t="n">
        <v>0</v>
      </c>
      <c r="J1078" s="107" t="n"/>
      <c r="K1078" s="107" t="n"/>
      <c r="L1078" s="107" t="n"/>
      <c r="M1078" s="192" t="n">
        <v>0</v>
      </c>
    </row>
    <row r="1079" ht="15" customHeight="1">
      <c r="A1079" s="111" t="inlineStr">
        <is>
          <t>009637</t>
        </is>
      </c>
      <c r="B1079" s="111" t="inlineStr">
        <is>
          <t>000390</t>
        </is>
      </c>
      <c r="C1079" s="111" t="inlineStr">
        <is>
          <t>FARINHA DE TRIGO SOL</t>
        </is>
      </c>
      <c r="D1079" s="111" t="n"/>
      <c r="E1079" s="194" t="n">
        <v>0.002</v>
      </c>
      <c r="F1079" s="195" t="n">
        <v>0.8100000000000001</v>
      </c>
      <c r="G1079" s="196" t="n">
        <v>0</v>
      </c>
      <c r="H1079" s="195" t="n">
        <v>0</v>
      </c>
      <c r="I1079" s="195" t="n">
        <v>0</v>
      </c>
      <c r="J1079" s="111" t="n"/>
      <c r="K1079" s="111" t="n"/>
      <c r="L1079" s="111" t="n"/>
      <c r="M1079" s="195" t="n">
        <v>0</v>
      </c>
    </row>
    <row r="1080" ht="15" customHeight="1">
      <c r="A1080" s="107" t="inlineStr">
        <is>
          <t>009637</t>
        </is>
      </c>
      <c r="B1080" s="107" t="inlineStr">
        <is>
          <t>000414</t>
        </is>
      </c>
      <c r="C1080" s="107" t="inlineStr">
        <is>
          <t>PIMENTA DO REINO MOIDA</t>
        </is>
      </c>
      <c r="D1080" s="107" t="n"/>
      <c r="E1080" s="191" t="n">
        <v>0.0005999999999999999</v>
      </c>
      <c r="F1080" s="192" t="n">
        <v>0.08</v>
      </c>
      <c r="G1080" s="193" t="n">
        <v>0</v>
      </c>
      <c r="H1080" s="192" t="n">
        <v>0</v>
      </c>
      <c r="I1080" s="192" t="n">
        <v>0</v>
      </c>
      <c r="J1080" s="107" t="n"/>
      <c r="K1080" s="107" t="n"/>
      <c r="L1080" s="107" t="n"/>
      <c r="M1080" s="192" t="n">
        <v>0</v>
      </c>
    </row>
    <row r="1081" ht="15" customHeight="1">
      <c r="A1081" s="111" t="inlineStr">
        <is>
          <t>009637</t>
        </is>
      </c>
      <c r="B1081" s="111" t="inlineStr">
        <is>
          <t>000426</t>
        </is>
      </c>
      <c r="C1081" s="111" t="inlineStr">
        <is>
          <t>BACON EM CUBOS</t>
        </is>
      </c>
      <c r="D1081" s="111" t="n"/>
      <c r="E1081" s="194" t="n">
        <v>0.004</v>
      </c>
      <c r="F1081" s="195" t="n">
        <v>1062.51</v>
      </c>
      <c r="G1081" s="196" t="n">
        <v>0</v>
      </c>
      <c r="H1081" s="195" t="n">
        <v>0</v>
      </c>
      <c r="I1081" s="195" t="n">
        <v>0</v>
      </c>
      <c r="J1081" s="111" t="n"/>
      <c r="K1081" s="111" t="n"/>
      <c r="L1081" s="111" t="n"/>
      <c r="M1081" s="195" t="n">
        <v>0</v>
      </c>
    </row>
    <row r="1082" ht="15" customHeight="1">
      <c r="A1082" s="107" t="inlineStr">
        <is>
          <t>009637</t>
        </is>
      </c>
      <c r="B1082" s="107" t="inlineStr">
        <is>
          <t>000614</t>
        </is>
      </c>
      <c r="C1082" s="107" t="inlineStr">
        <is>
          <t>SAL REFINADO</t>
        </is>
      </c>
      <c r="D1082" s="107" t="n"/>
      <c r="E1082" s="191" t="n">
        <v>0.002</v>
      </c>
      <c r="F1082" s="192" t="n">
        <v>0.31</v>
      </c>
      <c r="G1082" s="193" t="n">
        <v>0</v>
      </c>
      <c r="H1082" s="192" t="n">
        <v>0</v>
      </c>
      <c r="I1082" s="192" t="n">
        <v>0</v>
      </c>
      <c r="J1082" s="107" t="n"/>
      <c r="K1082" s="107" t="n"/>
      <c r="L1082" s="107" t="n"/>
      <c r="M1082" s="192" t="n">
        <v>0</v>
      </c>
    </row>
    <row r="1083" ht="15" customHeight="1">
      <c r="A1083" s="111" t="inlineStr">
        <is>
          <t>009637</t>
        </is>
      </c>
      <c r="B1083" s="111" t="inlineStr">
        <is>
          <t>000667</t>
        </is>
      </c>
      <c r="C1083" s="111" t="inlineStr">
        <is>
          <t>TOMILHO</t>
        </is>
      </c>
      <c r="D1083" s="111" t="n"/>
      <c r="E1083" s="194" t="n">
        <v>0.001</v>
      </c>
      <c r="F1083" s="195" t="n">
        <v>151.55</v>
      </c>
      <c r="G1083" s="196" t="n">
        <v>0</v>
      </c>
      <c r="H1083" s="195" t="n">
        <v>0</v>
      </c>
      <c r="I1083" s="195" t="n">
        <v>0</v>
      </c>
      <c r="J1083" s="111" t="n"/>
      <c r="K1083" s="111" t="n"/>
      <c r="L1083" s="111" t="n"/>
      <c r="M1083" s="195" t="n">
        <v>0</v>
      </c>
    </row>
    <row r="1084" ht="15" customHeight="1">
      <c r="A1084" s="107" t="inlineStr">
        <is>
          <t>009637</t>
        </is>
      </c>
      <c r="B1084" s="107" t="inlineStr">
        <is>
          <t>000668</t>
        </is>
      </c>
      <c r="C1084" s="107" t="inlineStr">
        <is>
          <t>ALECRIM</t>
        </is>
      </c>
      <c r="D1084" s="107" t="n"/>
      <c r="E1084" s="191" t="n">
        <v>0.001</v>
      </c>
      <c r="F1084" s="192" t="n">
        <v>8433.629999999999</v>
      </c>
      <c r="G1084" s="193" t="n">
        <v>0</v>
      </c>
      <c r="H1084" s="192" t="n">
        <v>0</v>
      </c>
      <c r="I1084" s="192" t="n">
        <v>0</v>
      </c>
      <c r="J1084" s="107" t="n"/>
      <c r="K1084" s="107" t="n"/>
      <c r="L1084" s="107" t="n"/>
      <c r="M1084" s="192" t="n">
        <v>0</v>
      </c>
    </row>
    <row r="1085" ht="15" customHeight="1">
      <c r="A1085" s="111" t="inlineStr">
        <is>
          <t>009637</t>
        </is>
      </c>
      <c r="B1085" s="111" t="inlineStr">
        <is>
          <t>002067</t>
        </is>
      </c>
      <c r="C1085" s="111" t="inlineStr">
        <is>
          <t>FARINHA PANKO EMPANAR</t>
        </is>
      </c>
      <c r="D1085" s="111" t="n"/>
      <c r="E1085" s="194" t="n">
        <v>0.02</v>
      </c>
      <c r="F1085" s="195" t="n">
        <v>332.1</v>
      </c>
      <c r="G1085" s="196" t="n">
        <v>0</v>
      </c>
      <c r="H1085" s="195" t="n">
        <v>0</v>
      </c>
      <c r="I1085" s="195" t="n">
        <v>0</v>
      </c>
      <c r="J1085" s="111" t="n"/>
      <c r="K1085" s="111" t="n"/>
      <c r="L1085" s="111" t="n"/>
      <c r="M1085" s="195" t="n">
        <v>0</v>
      </c>
    </row>
    <row r="1086" ht="15" customHeight="1">
      <c r="A1086" s="107" t="inlineStr">
        <is>
          <t>009637</t>
        </is>
      </c>
      <c r="B1086" s="107" t="inlineStr">
        <is>
          <t>002068</t>
        </is>
      </c>
      <c r="C1086" s="107" t="inlineStr">
        <is>
          <t>MANTEIGA S/SAL 5KG</t>
        </is>
      </c>
      <c r="D1086" s="107" t="n"/>
      <c r="E1086" s="191" t="n">
        <v>0.004</v>
      </c>
      <c r="F1086" s="192" t="n">
        <v>1775.52</v>
      </c>
      <c r="G1086" s="193" t="n">
        <v>0</v>
      </c>
      <c r="H1086" s="192" t="n">
        <v>0</v>
      </c>
      <c r="I1086" s="192" t="n">
        <v>0</v>
      </c>
      <c r="J1086" s="107" t="n"/>
      <c r="K1086" s="107" t="n"/>
      <c r="L1086" s="107" t="n"/>
      <c r="M1086" s="192" t="n">
        <v>0</v>
      </c>
    </row>
    <row r="1087" ht="15" customHeight="1">
      <c r="A1087" s="111" t="inlineStr">
        <is>
          <t>009637</t>
        </is>
      </c>
      <c r="B1087" s="111" t="inlineStr">
        <is>
          <t>002070</t>
        </is>
      </c>
      <c r="C1087" s="111" t="inlineStr">
        <is>
          <t>ALHO PORO</t>
        </is>
      </c>
      <c r="D1087" s="111" t="n"/>
      <c r="E1087" s="194" t="n">
        <v>0.004</v>
      </c>
      <c r="F1087" s="195" t="n">
        <v>0.64</v>
      </c>
      <c r="G1087" s="196" t="n">
        <v>0</v>
      </c>
      <c r="H1087" s="195" t="n">
        <v>0</v>
      </c>
      <c r="I1087" s="195" t="n">
        <v>0</v>
      </c>
      <c r="J1087" s="111" t="n"/>
      <c r="K1087" s="111" t="n"/>
      <c r="L1087" s="111" t="n"/>
      <c r="M1087" s="195" t="n">
        <v>0</v>
      </c>
    </row>
    <row r="1088" ht="15" customHeight="1">
      <c r="A1088" s="107" t="inlineStr">
        <is>
          <t>009638</t>
        </is>
      </c>
      <c r="B1088" s="107" t="inlineStr">
        <is>
          <t>000377</t>
        </is>
      </c>
      <c r="C1088" s="107" t="inlineStr">
        <is>
          <t>ARROZ TIPO 1</t>
        </is>
      </c>
      <c r="D1088" s="107" t="n"/>
      <c r="E1088" s="191" t="n">
        <v>0.032</v>
      </c>
      <c r="F1088" s="192" t="n">
        <v>77.53</v>
      </c>
      <c r="G1088" s="193" t="n">
        <v>0</v>
      </c>
      <c r="H1088" s="192" t="n">
        <v>0</v>
      </c>
      <c r="I1088" s="192" t="n">
        <v>0</v>
      </c>
      <c r="J1088" s="107" t="n"/>
      <c r="K1088" s="107" t="n"/>
      <c r="L1088" s="107" t="n"/>
      <c r="M1088" s="192" t="n">
        <v>0</v>
      </c>
    </row>
    <row r="1089" ht="15" customHeight="1">
      <c r="A1089" s="111" t="inlineStr">
        <is>
          <t>009638</t>
        </is>
      </c>
      <c r="B1089" s="111" t="inlineStr">
        <is>
          <t>000412</t>
        </is>
      </c>
      <c r="C1089" s="111" t="inlineStr">
        <is>
          <t>OLEO DE SOJA LIZA 900ML</t>
        </is>
      </c>
      <c r="D1089" s="111" t="n"/>
      <c r="E1089" s="194" t="n">
        <v>0.00032</v>
      </c>
      <c r="F1089" s="195" t="n">
        <v>3.58</v>
      </c>
      <c r="G1089" s="196" t="n">
        <v>0</v>
      </c>
      <c r="H1089" s="195" t="n">
        <v>0</v>
      </c>
      <c r="I1089" s="195" t="n">
        <v>0</v>
      </c>
      <c r="J1089" s="111" t="n"/>
      <c r="K1089" s="111" t="n"/>
      <c r="L1089" s="111" t="n"/>
      <c r="M1089" s="195" t="n">
        <v>0</v>
      </c>
    </row>
    <row r="1090" ht="15" customHeight="1">
      <c r="A1090" s="107" t="inlineStr">
        <is>
          <t>009638</t>
        </is>
      </c>
      <c r="B1090" s="107" t="inlineStr">
        <is>
          <t>000426</t>
        </is>
      </c>
      <c r="C1090" s="107" t="inlineStr">
        <is>
          <t>BACON EM CUBOS</t>
        </is>
      </c>
      <c r="D1090" s="107" t="n"/>
      <c r="E1090" s="191" t="n">
        <v>0.023</v>
      </c>
      <c r="F1090" s="192" t="n">
        <v>538.15</v>
      </c>
      <c r="G1090" s="193" t="n">
        <v>0</v>
      </c>
      <c r="H1090" s="192" t="n">
        <v>0</v>
      </c>
      <c r="I1090" s="192" t="n">
        <v>0</v>
      </c>
      <c r="J1090" s="107" t="n"/>
      <c r="K1090" s="107" t="n"/>
      <c r="L1090" s="107" t="n"/>
      <c r="M1090" s="192" t="n">
        <v>0</v>
      </c>
    </row>
    <row r="1091" ht="15" customHeight="1">
      <c r="A1091" s="111" t="inlineStr">
        <is>
          <t>009638</t>
        </is>
      </c>
      <c r="B1091" s="111" t="inlineStr">
        <is>
          <t>000463</t>
        </is>
      </c>
      <c r="C1091" s="111" t="inlineStr">
        <is>
          <t>ALHO DESCASCADO</t>
        </is>
      </c>
      <c r="D1091" s="111" t="n"/>
      <c r="E1091" s="194" t="n">
        <v>0.00032</v>
      </c>
      <c r="F1091" s="195" t="n">
        <v>1.59</v>
      </c>
      <c r="G1091" s="196" t="n">
        <v>0</v>
      </c>
      <c r="H1091" s="195" t="n">
        <v>0</v>
      </c>
      <c r="I1091" s="195" t="n">
        <v>0</v>
      </c>
      <c r="J1091" s="111" t="n"/>
      <c r="K1091" s="111" t="n"/>
      <c r="L1091" s="111" t="n"/>
      <c r="M1091" s="195" t="n">
        <v>0</v>
      </c>
    </row>
    <row r="1092" ht="15" customHeight="1">
      <c r="A1092" s="107" t="inlineStr">
        <is>
          <t>009638</t>
        </is>
      </c>
      <c r="B1092" s="107" t="inlineStr">
        <is>
          <t>000469</t>
        </is>
      </c>
      <c r="C1092" s="107" t="inlineStr">
        <is>
          <t>CEBOLINHA</t>
        </is>
      </c>
      <c r="D1092" s="107" t="n"/>
      <c r="E1092" s="191" t="n">
        <v>0.0058</v>
      </c>
      <c r="F1092" s="192" t="n">
        <v>0.3</v>
      </c>
      <c r="G1092" s="193" t="n">
        <v>0</v>
      </c>
      <c r="H1092" s="192" t="n">
        <v>0</v>
      </c>
      <c r="I1092" s="192" t="n">
        <v>0</v>
      </c>
      <c r="J1092" s="107" t="n"/>
      <c r="K1092" s="107" t="n"/>
      <c r="L1092" s="107" t="n"/>
      <c r="M1092" s="192" t="n">
        <v>0</v>
      </c>
    </row>
    <row r="1093" ht="15" customHeight="1">
      <c r="A1093" s="111" t="inlineStr">
        <is>
          <t>009638</t>
        </is>
      </c>
      <c r="B1093" s="111" t="inlineStr">
        <is>
          <t>000475</t>
        </is>
      </c>
      <c r="C1093" s="111" t="inlineStr">
        <is>
          <t>FOLHA DE LOURO</t>
        </is>
      </c>
      <c r="D1093" s="111" t="n"/>
      <c r="E1093" s="194" t="n">
        <v>6.499999999999999e-05</v>
      </c>
      <c r="F1093" s="195" t="n">
        <v>0.01</v>
      </c>
      <c r="G1093" s="196" t="n">
        <v>0</v>
      </c>
      <c r="H1093" s="195" t="n">
        <v>0</v>
      </c>
      <c r="I1093" s="195" t="n">
        <v>0</v>
      </c>
      <c r="J1093" s="111" t="n"/>
      <c r="K1093" s="111" t="n"/>
      <c r="L1093" s="111" t="n"/>
      <c r="M1093" s="195" t="n">
        <v>0</v>
      </c>
    </row>
    <row r="1094" ht="15" customHeight="1">
      <c r="A1094" s="107" t="inlineStr">
        <is>
          <t>009638</t>
        </is>
      </c>
      <c r="B1094" s="107" t="inlineStr">
        <is>
          <t>000478</t>
        </is>
      </c>
      <c r="C1094" s="107" t="inlineStr">
        <is>
          <t>OVOS BRANCOS</t>
        </is>
      </c>
      <c r="D1094" s="107" t="n"/>
      <c r="E1094" s="191" t="n">
        <v>0.6899999999999999</v>
      </c>
      <c r="F1094" s="192" t="n">
        <v>1.63</v>
      </c>
      <c r="G1094" s="193" t="n">
        <v>0</v>
      </c>
      <c r="H1094" s="192" t="n">
        <v>0</v>
      </c>
      <c r="I1094" s="192" t="n">
        <v>0</v>
      </c>
      <c r="J1094" s="107" t="n"/>
      <c r="K1094" s="107" t="n"/>
      <c r="L1094" s="107" t="n"/>
      <c r="M1094" s="192" t="n">
        <v>0</v>
      </c>
    </row>
    <row r="1095" ht="15" customHeight="1">
      <c r="A1095" s="111" t="inlineStr">
        <is>
          <t>009638</t>
        </is>
      </c>
      <c r="B1095" s="111" t="inlineStr">
        <is>
          <t>000614</t>
        </is>
      </c>
      <c r="C1095" s="111" t="inlineStr">
        <is>
          <t>SAL REFINADO</t>
        </is>
      </c>
      <c r="D1095" s="111" t="n"/>
      <c r="E1095" s="194" t="n">
        <v>0.000969</v>
      </c>
      <c r="F1095" s="195" t="n">
        <v>0.09</v>
      </c>
      <c r="G1095" s="196" t="n">
        <v>0</v>
      </c>
      <c r="H1095" s="195" t="n">
        <v>0</v>
      </c>
      <c r="I1095" s="195" t="n">
        <v>0</v>
      </c>
      <c r="J1095" s="111" t="n"/>
      <c r="K1095" s="111" t="n"/>
      <c r="L1095" s="111" t="n"/>
      <c r="M1095" s="195" t="n">
        <v>0</v>
      </c>
    </row>
    <row r="1096" ht="15" customHeight="1">
      <c r="A1096" s="107" t="inlineStr">
        <is>
          <t>009638</t>
        </is>
      </c>
      <c r="B1096" s="107" t="inlineStr">
        <is>
          <t>000664</t>
        </is>
      </c>
      <c r="C1096" s="107" t="inlineStr">
        <is>
          <t>BATATA PALHA</t>
        </is>
      </c>
      <c r="D1096" s="107" t="n"/>
      <c r="E1096" s="191" t="n">
        <v>0.011</v>
      </c>
      <c r="F1096" s="192" t="n">
        <v>74.77</v>
      </c>
      <c r="G1096" s="193" t="n">
        <v>0</v>
      </c>
      <c r="H1096" s="192" t="n">
        <v>0</v>
      </c>
      <c r="I1096" s="192" t="n">
        <v>0</v>
      </c>
      <c r="J1096" s="107" t="n"/>
      <c r="K1096" s="107" t="n"/>
      <c r="L1096" s="107" t="n"/>
      <c r="M1096" s="192" t="n">
        <v>0</v>
      </c>
    </row>
    <row r="1097" ht="15" customHeight="1">
      <c r="A1097" s="111" t="inlineStr">
        <is>
          <t>009638</t>
        </is>
      </c>
      <c r="B1097" s="111" t="inlineStr">
        <is>
          <t>002068</t>
        </is>
      </c>
      <c r="C1097" s="111" t="inlineStr">
        <is>
          <t>MANTEIGA S/SAL 5KG</t>
        </is>
      </c>
      <c r="D1097" s="111" t="n"/>
      <c r="E1097" s="194" t="n">
        <v>0.023</v>
      </c>
      <c r="F1097" s="195" t="n">
        <v>3.88</v>
      </c>
      <c r="G1097" s="196" t="n">
        <v>0</v>
      </c>
      <c r="H1097" s="195" t="n">
        <v>0</v>
      </c>
      <c r="I1097" s="195" t="n">
        <v>0</v>
      </c>
      <c r="J1097" s="111" t="n"/>
      <c r="K1097" s="111" t="n"/>
      <c r="L1097" s="111" t="n"/>
      <c r="M1097" s="195" t="n">
        <v>0</v>
      </c>
    </row>
    <row r="1098" ht="15" customHeight="1">
      <c r="A1098" s="107" t="inlineStr">
        <is>
          <t>009639</t>
        </is>
      </c>
      <c r="B1098" s="107" t="inlineStr">
        <is>
          <t>000331</t>
        </is>
      </c>
      <c r="C1098" s="107" t="inlineStr">
        <is>
          <t>BARRIL CHOPP BRAHMA CLARO 50LT</t>
        </is>
      </c>
      <c r="D1098" s="107" t="n"/>
      <c r="E1098" s="191" t="n">
        <v>0.003</v>
      </c>
      <c r="F1098" s="192" t="n">
        <v>252.3</v>
      </c>
      <c r="G1098" s="193" t="n">
        <v>0</v>
      </c>
      <c r="H1098" s="192" t="n">
        <v>0</v>
      </c>
      <c r="I1098" s="192" t="n">
        <v>0</v>
      </c>
      <c r="J1098" s="107" t="n"/>
      <c r="K1098" s="107" t="n"/>
      <c r="L1098" s="107" t="n"/>
      <c r="M1098" s="192" t="n">
        <v>0</v>
      </c>
    </row>
    <row r="1099" ht="15" customHeight="1">
      <c r="A1099" s="111" t="inlineStr">
        <is>
          <t>009639</t>
        </is>
      </c>
      <c r="B1099" s="111" t="inlineStr">
        <is>
          <t>000377</t>
        </is>
      </c>
      <c r="C1099" s="111" t="inlineStr">
        <is>
          <t>ARROZ TIPO 1</t>
        </is>
      </c>
      <c r="D1099" s="111" t="n"/>
      <c r="E1099" s="194" t="n">
        <v>0.06</v>
      </c>
      <c r="F1099" s="195" t="n">
        <v>0</v>
      </c>
      <c r="G1099" s="196" t="n">
        <v>0</v>
      </c>
      <c r="H1099" s="195" t="n">
        <v>0</v>
      </c>
      <c r="I1099" s="195" t="n">
        <v>0</v>
      </c>
      <c r="J1099" s="111" t="n"/>
      <c r="K1099" s="111" t="n"/>
      <c r="L1099" s="111" t="n"/>
      <c r="M1099" s="195" t="n">
        <v>0</v>
      </c>
    </row>
    <row r="1100" ht="15" customHeight="1">
      <c r="A1100" s="107" t="inlineStr">
        <is>
          <t>009639</t>
        </is>
      </c>
      <c r="B1100" s="107" t="inlineStr">
        <is>
          <t>000390</t>
        </is>
      </c>
      <c r="C1100" s="107" t="inlineStr">
        <is>
          <t>FARINHA DE TRIGO SOL</t>
        </is>
      </c>
      <c r="D1100" s="107" t="n"/>
      <c r="E1100" s="191" t="n">
        <v>0.002</v>
      </c>
      <c r="F1100" s="192" t="n">
        <v>0.4</v>
      </c>
      <c r="G1100" s="193" t="n">
        <v>0</v>
      </c>
      <c r="H1100" s="192" t="n">
        <v>0</v>
      </c>
      <c r="I1100" s="192" t="n">
        <v>0</v>
      </c>
      <c r="J1100" s="107" t="n"/>
      <c r="K1100" s="107" t="n"/>
      <c r="L1100" s="107" t="n"/>
      <c r="M1100" s="192" t="n">
        <v>0</v>
      </c>
    </row>
    <row r="1101" ht="15" customHeight="1">
      <c r="A1101" s="111" t="inlineStr">
        <is>
          <t>009639</t>
        </is>
      </c>
      <c r="B1101" s="111" t="inlineStr">
        <is>
          <t>000412</t>
        </is>
      </c>
      <c r="C1101" s="111" t="inlineStr">
        <is>
          <t>OLEO DE SOJA LIZA 900ML</t>
        </is>
      </c>
      <c r="D1101" s="111" t="n"/>
      <c r="E1101" s="194" t="n">
        <v>0.06</v>
      </c>
      <c r="F1101" s="195" t="n">
        <v>0</v>
      </c>
      <c r="G1101" s="196" t="n">
        <v>0</v>
      </c>
      <c r="H1101" s="195" t="n">
        <v>0</v>
      </c>
      <c r="I1101" s="195" t="n">
        <v>0</v>
      </c>
      <c r="J1101" s="111" t="n"/>
      <c r="K1101" s="111" t="n"/>
      <c r="L1101" s="111" t="n"/>
      <c r="M1101" s="195" t="n">
        <v>0</v>
      </c>
    </row>
    <row r="1102" ht="15" customHeight="1">
      <c r="A1102" s="107" t="inlineStr">
        <is>
          <t>009639</t>
        </is>
      </c>
      <c r="B1102" s="107" t="inlineStr">
        <is>
          <t>000414</t>
        </is>
      </c>
      <c r="C1102" s="107" t="inlineStr">
        <is>
          <t>PIMENTA DO REINO MOIDA</t>
        </is>
      </c>
      <c r="D1102" s="107" t="n"/>
      <c r="E1102" s="191" t="n">
        <v>6e-05</v>
      </c>
      <c r="F1102" s="192" t="n">
        <v>0.05</v>
      </c>
      <c r="G1102" s="193" t="n">
        <v>0</v>
      </c>
      <c r="H1102" s="192" t="n">
        <v>0</v>
      </c>
      <c r="I1102" s="192" t="n">
        <v>0</v>
      </c>
      <c r="J1102" s="107" t="n"/>
      <c r="K1102" s="107" t="n"/>
      <c r="L1102" s="107" t="n"/>
      <c r="M1102" s="192" t="n">
        <v>0</v>
      </c>
    </row>
    <row r="1103" ht="15" customHeight="1">
      <c r="A1103" s="111" t="inlineStr">
        <is>
          <t>009639</t>
        </is>
      </c>
      <c r="B1103" s="111" t="inlineStr">
        <is>
          <t>000424</t>
        </is>
      </c>
      <c r="C1103" s="111" t="inlineStr">
        <is>
          <t>VINAGRE AGRIN BRANCO NEVAL GARRAFA 750ML</t>
        </is>
      </c>
      <c r="D1103" s="111" t="n"/>
      <c r="E1103" s="194" t="n">
        <v>0.0078</v>
      </c>
      <c r="F1103" s="195" t="n">
        <v>2.11</v>
      </c>
      <c r="G1103" s="196" t="n">
        <v>0</v>
      </c>
      <c r="H1103" s="195" t="n">
        <v>0</v>
      </c>
      <c r="I1103" s="195" t="n">
        <v>0</v>
      </c>
      <c r="J1103" s="111" t="n"/>
      <c r="K1103" s="111" t="n"/>
      <c r="L1103" s="111" t="n"/>
      <c r="M1103" s="195" t="n">
        <v>0</v>
      </c>
    </row>
    <row r="1104" ht="15" customHeight="1">
      <c r="A1104" s="107" t="inlineStr">
        <is>
          <t>009639</t>
        </is>
      </c>
      <c r="B1104" s="107" t="inlineStr">
        <is>
          <t>000426</t>
        </is>
      </c>
      <c r="C1104" s="107" t="inlineStr">
        <is>
          <t>BACON EM CUBOS</t>
        </is>
      </c>
      <c r="D1104" s="107" t="n"/>
      <c r="E1104" s="191" t="n">
        <v>0.004</v>
      </c>
      <c r="F1104" s="192" t="n">
        <v>531.25</v>
      </c>
      <c r="G1104" s="193" t="n">
        <v>0</v>
      </c>
      <c r="H1104" s="192" t="n">
        <v>0</v>
      </c>
      <c r="I1104" s="192" t="n">
        <v>0</v>
      </c>
      <c r="J1104" s="107" t="n"/>
      <c r="K1104" s="107" t="n"/>
      <c r="L1104" s="107" t="n"/>
      <c r="M1104" s="192" t="n">
        <v>0</v>
      </c>
    </row>
    <row r="1105" ht="15" customHeight="1">
      <c r="A1105" s="111" t="inlineStr">
        <is>
          <t>009639</t>
        </is>
      </c>
      <c r="B1105" s="111" t="inlineStr">
        <is>
          <t>000463</t>
        </is>
      </c>
      <c r="C1105" s="111" t="inlineStr">
        <is>
          <t>ALHO DESCASCADO</t>
        </is>
      </c>
      <c r="D1105" s="111" t="n"/>
      <c r="E1105" s="194" t="n">
        <v>0.006</v>
      </c>
      <c r="F1105" s="195" t="n">
        <v>0</v>
      </c>
      <c r="G1105" s="196" t="n">
        <v>0</v>
      </c>
      <c r="H1105" s="195" t="n">
        <v>0</v>
      </c>
      <c r="I1105" s="195" t="n">
        <v>0</v>
      </c>
      <c r="J1105" s="111" t="n"/>
      <c r="K1105" s="111" t="n"/>
      <c r="L1105" s="111" t="n"/>
      <c r="M1105" s="195" t="n">
        <v>0</v>
      </c>
    </row>
    <row r="1106" ht="15" customHeight="1">
      <c r="A1106" s="107" t="inlineStr">
        <is>
          <t>009639</t>
        </is>
      </c>
      <c r="B1106" s="107" t="inlineStr">
        <is>
          <t>000468</t>
        </is>
      </c>
      <c r="C1106" s="107" t="inlineStr">
        <is>
          <t>CEBOLA MEDIA</t>
        </is>
      </c>
      <c r="D1106" s="107" t="n"/>
      <c r="E1106" s="191" t="n">
        <v>0.0131</v>
      </c>
      <c r="F1106" s="192" t="n">
        <v>12224.28</v>
      </c>
      <c r="G1106" s="193" t="n">
        <v>0</v>
      </c>
      <c r="H1106" s="192" t="n">
        <v>0</v>
      </c>
      <c r="I1106" s="192" t="n">
        <v>0</v>
      </c>
      <c r="J1106" s="107" t="n"/>
      <c r="K1106" s="107" t="n"/>
      <c r="L1106" s="107" t="n"/>
      <c r="M1106" s="192" t="n">
        <v>0</v>
      </c>
    </row>
    <row r="1107" ht="15" customHeight="1">
      <c r="A1107" s="111" t="inlineStr">
        <is>
          <t>009639</t>
        </is>
      </c>
      <c r="B1107" s="111" t="inlineStr">
        <is>
          <t>000475</t>
        </is>
      </c>
      <c r="C1107" s="111" t="inlineStr">
        <is>
          <t>FOLHA DE LOURO</t>
        </is>
      </c>
      <c r="D1107" s="111" t="n"/>
      <c r="E1107" s="194" t="n">
        <v>0.002</v>
      </c>
      <c r="F1107" s="195" t="n">
        <v>0</v>
      </c>
      <c r="G1107" s="196" t="n">
        <v>0</v>
      </c>
      <c r="H1107" s="195" t="n">
        <v>0</v>
      </c>
      <c r="I1107" s="195" t="n">
        <v>0</v>
      </c>
      <c r="J1107" s="111" t="n"/>
      <c r="K1107" s="111" t="n"/>
      <c r="L1107" s="111" t="n"/>
      <c r="M1107" s="195" t="n">
        <v>0</v>
      </c>
    </row>
    <row r="1108" ht="15" customHeight="1">
      <c r="A1108" s="107" t="inlineStr">
        <is>
          <t>009639</t>
        </is>
      </c>
      <c r="B1108" s="107" t="inlineStr">
        <is>
          <t>000484</t>
        </is>
      </c>
      <c r="C1108" s="107" t="inlineStr">
        <is>
          <t>SALSA LISA INDUSTRIAL</t>
        </is>
      </c>
      <c r="D1108" s="107" t="n"/>
      <c r="E1108" s="191" t="n">
        <v>0.0091</v>
      </c>
      <c r="F1108" s="192" t="n">
        <v>7.69</v>
      </c>
      <c r="G1108" s="193" t="n">
        <v>0</v>
      </c>
      <c r="H1108" s="192" t="n">
        <v>0</v>
      </c>
      <c r="I1108" s="192" t="n">
        <v>0</v>
      </c>
      <c r="J1108" s="107" t="n"/>
      <c r="K1108" s="107" t="n"/>
      <c r="L1108" s="107" t="n"/>
      <c r="M1108" s="192" t="n">
        <v>0</v>
      </c>
    </row>
    <row r="1109" ht="15" customHeight="1">
      <c r="A1109" s="111" t="inlineStr">
        <is>
          <t>009639</t>
        </is>
      </c>
      <c r="B1109" s="111" t="inlineStr">
        <is>
          <t>000486</t>
        </is>
      </c>
      <c r="C1109" s="111" t="inlineStr">
        <is>
          <t>TOMATE SALADA</t>
        </is>
      </c>
      <c r="D1109" s="111" t="n"/>
      <c r="E1109" s="194" t="n">
        <v>0.026</v>
      </c>
      <c r="F1109" s="195" t="n">
        <v>18.59</v>
      </c>
      <c r="G1109" s="196" t="n">
        <v>0</v>
      </c>
      <c r="H1109" s="195" t="n">
        <v>0</v>
      </c>
      <c r="I1109" s="195" t="n">
        <v>0</v>
      </c>
      <c r="J1109" s="111" t="n"/>
      <c r="K1109" s="111" t="n"/>
      <c r="L1109" s="111" t="n"/>
      <c r="M1109" s="195" t="n">
        <v>0</v>
      </c>
    </row>
    <row r="1110" ht="15" customHeight="1">
      <c r="A1110" s="107" t="inlineStr">
        <is>
          <t>009639</t>
        </is>
      </c>
      <c r="B1110" s="107" t="inlineStr">
        <is>
          <t>000614</t>
        </is>
      </c>
      <c r="C1110" s="107" t="inlineStr">
        <is>
          <t>SAL REFINADO</t>
        </is>
      </c>
      <c r="D1110" s="107" t="n"/>
      <c r="E1110" s="191" t="n">
        <v>0.01</v>
      </c>
      <c r="F1110" s="192" t="n">
        <v>0.41</v>
      </c>
      <c r="G1110" s="193" t="n">
        <v>0</v>
      </c>
      <c r="H1110" s="192" t="n">
        <v>0</v>
      </c>
      <c r="I1110" s="192" t="n">
        <v>0</v>
      </c>
      <c r="J1110" s="107" t="n"/>
      <c r="K1110" s="107" t="n"/>
      <c r="L1110" s="107" t="n"/>
      <c r="M1110" s="192" t="n">
        <v>0</v>
      </c>
    </row>
    <row r="1111" ht="15" customHeight="1">
      <c r="A1111" s="111" t="inlineStr">
        <is>
          <t>009639</t>
        </is>
      </c>
      <c r="B1111" s="111" t="inlineStr">
        <is>
          <t>000667</t>
        </is>
      </c>
      <c r="C1111" s="111" t="inlineStr">
        <is>
          <t>TOMILHO</t>
        </is>
      </c>
      <c r="D1111" s="111" t="n"/>
      <c r="E1111" s="194" t="n">
        <v>0.0005999999999999999</v>
      </c>
      <c r="F1111" s="195" t="n">
        <v>75.78</v>
      </c>
      <c r="G1111" s="196" t="n">
        <v>0</v>
      </c>
      <c r="H1111" s="195" t="n">
        <v>0</v>
      </c>
      <c r="I1111" s="195" t="n">
        <v>0</v>
      </c>
      <c r="J1111" s="111" t="n"/>
      <c r="K1111" s="111" t="n"/>
      <c r="L1111" s="111" t="n"/>
      <c r="M1111" s="195" t="n">
        <v>0</v>
      </c>
    </row>
    <row r="1112" ht="15" customHeight="1">
      <c r="A1112" s="107" t="inlineStr">
        <is>
          <t>009639</t>
        </is>
      </c>
      <c r="B1112" s="107" t="inlineStr">
        <is>
          <t>000668</t>
        </is>
      </c>
      <c r="C1112" s="107" t="inlineStr">
        <is>
          <t>ALECRIM</t>
        </is>
      </c>
      <c r="D1112" s="107" t="n"/>
      <c r="E1112" s="191" t="n">
        <v>0.001</v>
      </c>
      <c r="F1112" s="192" t="n">
        <v>4216.82</v>
      </c>
      <c r="G1112" s="193" t="n">
        <v>0</v>
      </c>
      <c r="H1112" s="192" t="n">
        <v>0</v>
      </c>
      <c r="I1112" s="192" t="n">
        <v>0</v>
      </c>
      <c r="J1112" s="107" t="n"/>
      <c r="K1112" s="107" t="n"/>
      <c r="L1112" s="107" t="n"/>
      <c r="M1112" s="192" t="n">
        <v>0</v>
      </c>
    </row>
    <row r="1113" ht="15" customHeight="1">
      <c r="A1113" s="111" t="inlineStr">
        <is>
          <t>009639</t>
        </is>
      </c>
      <c r="B1113" s="111" t="inlineStr">
        <is>
          <t>000747</t>
        </is>
      </c>
      <c r="C1113" s="111" t="inlineStr">
        <is>
          <t>AZEITE OLEO COMPOSTO 5 LITROS</t>
        </is>
      </c>
      <c r="D1113" s="111" t="n"/>
      <c r="E1113" s="194" t="n">
        <v>0.0131</v>
      </c>
      <c r="F1113" s="195" t="n">
        <v>83.02</v>
      </c>
      <c r="G1113" s="196" t="n">
        <v>0</v>
      </c>
      <c r="H1113" s="195" t="n">
        <v>0</v>
      </c>
      <c r="I1113" s="195" t="n">
        <v>0</v>
      </c>
      <c r="J1113" s="111" t="n"/>
      <c r="K1113" s="111" t="n"/>
      <c r="L1113" s="111" t="n"/>
      <c r="M1113" s="195" t="n">
        <v>0</v>
      </c>
    </row>
    <row r="1114" ht="15" customHeight="1">
      <c r="A1114" s="107" t="inlineStr">
        <is>
          <t>009639</t>
        </is>
      </c>
      <c r="B1114" s="107" t="inlineStr">
        <is>
          <t>002067</t>
        </is>
      </c>
      <c r="C1114" s="107" t="inlineStr">
        <is>
          <t>FARINHA PANKO EMPANAR</t>
        </is>
      </c>
      <c r="D1114" s="107" t="n"/>
      <c r="E1114" s="191" t="n">
        <v>0.02</v>
      </c>
      <c r="F1114" s="192" t="n">
        <v>166.05</v>
      </c>
      <c r="G1114" s="193" t="n">
        <v>0</v>
      </c>
      <c r="H1114" s="192" t="n">
        <v>0</v>
      </c>
      <c r="I1114" s="192" t="n">
        <v>0</v>
      </c>
      <c r="J1114" s="107" t="n"/>
      <c r="K1114" s="107" t="n"/>
      <c r="L1114" s="107" t="n"/>
      <c r="M1114" s="192" t="n">
        <v>0</v>
      </c>
    </row>
    <row r="1115" ht="15" customHeight="1">
      <c r="A1115" s="111" t="inlineStr">
        <is>
          <t>009639</t>
        </is>
      </c>
      <c r="B1115" s="111" t="inlineStr">
        <is>
          <t>002068</t>
        </is>
      </c>
      <c r="C1115" s="111" t="inlineStr">
        <is>
          <t>MANTEIGA S/SAL 5KG</t>
        </is>
      </c>
      <c r="D1115" s="111" t="n"/>
      <c r="E1115" s="194" t="n">
        <v>0.008999999999999999</v>
      </c>
      <c r="F1115" s="195" t="n">
        <v>887.76</v>
      </c>
      <c r="G1115" s="196" t="n">
        <v>0</v>
      </c>
      <c r="H1115" s="195" t="n">
        <v>0</v>
      </c>
      <c r="I1115" s="195" t="n">
        <v>0</v>
      </c>
      <c r="J1115" s="111" t="n"/>
      <c r="K1115" s="111" t="n"/>
      <c r="L1115" s="111" t="n"/>
      <c r="M1115" s="195" t="n">
        <v>0</v>
      </c>
    </row>
    <row r="1116" ht="15" customHeight="1">
      <c r="A1116" s="107" t="inlineStr">
        <is>
          <t>009639</t>
        </is>
      </c>
      <c r="B1116" s="107" t="inlineStr">
        <is>
          <t>002070</t>
        </is>
      </c>
      <c r="C1116" s="107" t="inlineStr">
        <is>
          <t>ALHO PORO</t>
        </is>
      </c>
      <c r="D1116" s="107" t="n"/>
      <c r="E1116" s="191" t="n">
        <v>0.004</v>
      </c>
      <c r="F1116" s="192" t="n">
        <v>0.32</v>
      </c>
      <c r="G1116" s="193" t="n">
        <v>0</v>
      </c>
      <c r="H1116" s="192" t="n">
        <v>0</v>
      </c>
      <c r="I1116" s="192" t="n">
        <v>0</v>
      </c>
      <c r="J1116" s="107" t="n"/>
      <c r="K1116" s="107" t="n"/>
      <c r="L1116" s="107" t="n"/>
      <c r="M1116" s="192" t="n">
        <v>0</v>
      </c>
    </row>
    <row r="1117" ht="15" customHeight="1">
      <c r="A1117" s="111" t="inlineStr">
        <is>
          <t>009844</t>
        </is>
      </c>
      <c r="B1117" s="111" t="inlineStr">
        <is>
          <t>000286</t>
        </is>
      </c>
      <c r="C1117" s="111" t="inlineStr">
        <is>
          <t>ESPETO BOVINO</t>
        </is>
      </c>
      <c r="D1117" s="111" t="n"/>
      <c r="E1117" s="194" t="n">
        <v>2</v>
      </c>
      <c r="F1117" s="195" t="n">
        <v>0</v>
      </c>
      <c r="G1117" s="196" t="n">
        <v>0</v>
      </c>
      <c r="H1117" s="195" t="n">
        <v>0</v>
      </c>
      <c r="I1117" s="195" t="n">
        <v>0</v>
      </c>
      <c r="J1117" s="111" t="n"/>
      <c r="K1117" s="111" t="n"/>
      <c r="L1117" s="111" t="n"/>
      <c r="M1117" s="195" t="n">
        <v>0</v>
      </c>
    </row>
    <row r="1118" ht="15" customHeight="1">
      <c r="A1118" s="107" t="inlineStr">
        <is>
          <t>009844</t>
        </is>
      </c>
      <c r="B1118" s="107" t="inlineStr">
        <is>
          <t>000900</t>
        </is>
      </c>
      <c r="C1118" s="107" t="inlineStr">
        <is>
          <t>PORCAO ARROZ</t>
        </is>
      </c>
      <c r="D1118" s="107" t="n"/>
      <c r="E1118" s="191" t="n">
        <v>1</v>
      </c>
      <c r="F1118" s="192" t="n">
        <v>0</v>
      </c>
      <c r="G1118" s="193" t="n">
        <v>0</v>
      </c>
      <c r="H1118" s="192" t="n">
        <v>0</v>
      </c>
      <c r="I1118" s="192" t="n">
        <v>0</v>
      </c>
      <c r="J1118" s="107" t="n"/>
      <c r="K1118" s="107" t="n"/>
      <c r="L1118" s="107" t="n"/>
      <c r="M1118" s="192" t="n">
        <v>0</v>
      </c>
    </row>
    <row r="1119" ht="15" customHeight="1">
      <c r="A1119" s="111" t="inlineStr">
        <is>
          <t>009844</t>
        </is>
      </c>
      <c r="B1119" s="111" t="inlineStr">
        <is>
          <t>001056</t>
        </is>
      </c>
      <c r="C1119" s="111" t="inlineStr">
        <is>
          <t>MINI CHURROS C/ DOCE DE LEITE</t>
        </is>
      </c>
      <c r="D1119" s="111" t="n"/>
      <c r="E1119" s="194" t="n">
        <v>1</v>
      </c>
      <c r="F1119" s="195" t="n">
        <v>0</v>
      </c>
      <c r="G1119" s="196" t="n">
        <v>0</v>
      </c>
      <c r="H1119" s="195" t="n">
        <v>0</v>
      </c>
      <c r="I1119" s="195" t="n">
        <v>0</v>
      </c>
      <c r="J1119" s="111" t="n"/>
      <c r="K1119" s="111" t="n"/>
      <c r="L1119" s="111" t="n"/>
      <c r="M1119" s="195" t="n">
        <v>0</v>
      </c>
    </row>
    <row r="1120" ht="15" customHeight="1">
      <c r="A1120" s="107" t="inlineStr">
        <is>
          <t>009844</t>
        </is>
      </c>
      <c r="B1120" s="107" t="inlineStr">
        <is>
          <t>001482</t>
        </is>
      </c>
      <c r="C1120" s="107" t="inlineStr">
        <is>
          <t>FRITAS</t>
        </is>
      </c>
      <c r="D1120" s="107" t="n"/>
      <c r="E1120" s="191" t="n">
        <v>1</v>
      </c>
      <c r="F1120" s="192" t="n">
        <v>0</v>
      </c>
      <c r="G1120" s="193" t="n">
        <v>0</v>
      </c>
      <c r="H1120" s="192" t="n">
        <v>0</v>
      </c>
      <c r="I1120" s="192" t="n">
        <v>0</v>
      </c>
      <c r="J1120" s="107" t="n"/>
      <c r="K1120" s="107" t="n"/>
      <c r="L1120" s="107" t="n"/>
      <c r="M1120" s="192" t="n">
        <v>0</v>
      </c>
    </row>
    <row r="1121" ht="15" customHeight="1">
      <c r="A1121" s="111" t="inlineStr">
        <is>
          <t>009844</t>
        </is>
      </c>
      <c r="B1121" s="111" t="inlineStr">
        <is>
          <t>009538</t>
        </is>
      </c>
      <c r="C1121" s="111" t="inlineStr">
        <is>
          <t>KIT TITIS MASSINHA PEQUENO</t>
        </is>
      </c>
      <c r="D1121" s="111" t="n"/>
      <c r="E1121" s="194" t="n">
        <v>1</v>
      </c>
      <c r="F1121" s="195" t="n">
        <v>0</v>
      </c>
      <c r="G1121" s="196" t="n">
        <v>0</v>
      </c>
      <c r="H1121" s="195" t="n">
        <v>0</v>
      </c>
      <c r="I1121" s="195" t="n">
        <v>0</v>
      </c>
      <c r="J1121" s="111" t="n"/>
      <c r="K1121" s="111" t="n"/>
      <c r="L1121" s="111" t="n"/>
      <c r="M1121" s="195" t="n">
        <v>0</v>
      </c>
    </row>
    <row r="1122" ht="15" customHeight="1">
      <c r="A1122" s="107" t="inlineStr">
        <is>
          <t>010007</t>
        </is>
      </c>
      <c r="B1122" s="107" t="inlineStr">
        <is>
          <t>009953</t>
        </is>
      </c>
      <c r="C1122" s="107" t="inlineStr">
        <is>
          <t>ESPETO MEDALHAO DE MANDIOCA</t>
        </is>
      </c>
      <c r="D1122" s="107" t="n"/>
      <c r="E1122" s="191" t="n">
        <v>1</v>
      </c>
      <c r="F1122" s="192" t="n">
        <v>0</v>
      </c>
      <c r="G1122" s="193" t="n">
        <v>0</v>
      </c>
      <c r="H1122" s="192" t="n">
        <v>0</v>
      </c>
      <c r="I1122" s="192" t="n">
        <v>0</v>
      </c>
      <c r="J1122" s="107" t="n"/>
      <c r="K1122" s="107" t="n"/>
      <c r="L1122" s="107" t="n"/>
      <c r="M1122" s="192" t="n">
        <v>0</v>
      </c>
    </row>
    <row r="1123" ht="15" customHeight="1">
      <c r="A1123" s="111" t="inlineStr">
        <is>
          <t>010008</t>
        </is>
      </c>
      <c r="B1123" s="111" t="inlineStr">
        <is>
          <t>009954</t>
        </is>
      </c>
      <c r="C1123" s="111" t="inlineStr">
        <is>
          <t>ESPETO DE PROVOLONE DEFUMADO</t>
        </is>
      </c>
      <c r="D1123" s="111" t="n"/>
      <c r="E1123" s="194" t="n">
        <v>0.07000000000000001</v>
      </c>
      <c r="F1123" s="195" t="n">
        <v>82.36</v>
      </c>
      <c r="G1123" s="196" t="n">
        <v>0</v>
      </c>
      <c r="H1123" s="195" t="n">
        <v>0</v>
      </c>
      <c r="I1123" s="195" t="n">
        <v>0</v>
      </c>
      <c r="J1123" s="111" t="n"/>
      <c r="K1123" s="111" t="n"/>
      <c r="L1123" s="111" t="n"/>
      <c r="M1123" s="195" t="n">
        <v>0</v>
      </c>
    </row>
    <row r="1124" ht="15" customHeight="1">
      <c r="A1124" s="107" t="inlineStr">
        <is>
          <t>010009</t>
        </is>
      </c>
      <c r="B1124" s="107" t="inlineStr">
        <is>
          <t>000294</t>
        </is>
      </c>
      <c r="C1124" s="107" t="inlineStr">
        <is>
          <t>ESPETO MEDALHAO DE ALCATRA</t>
        </is>
      </c>
      <c r="D1124" s="107" t="n"/>
      <c r="E1124" s="191" t="n">
        <v>1</v>
      </c>
      <c r="F1124" s="192" t="n">
        <v>0</v>
      </c>
      <c r="G1124" s="193" t="n">
        <v>0</v>
      </c>
      <c r="H1124" s="192" t="n">
        <v>0</v>
      </c>
      <c r="I1124" s="192" t="n">
        <v>0</v>
      </c>
      <c r="J1124" s="107" t="n"/>
      <c r="K1124" s="107" t="n"/>
      <c r="L1124" s="107" t="n"/>
      <c r="M1124" s="192" t="n">
        <v>0</v>
      </c>
    </row>
    <row r="1125" ht="15" customHeight="1">
      <c r="A1125" s="111" t="inlineStr">
        <is>
          <t>010010</t>
        </is>
      </c>
      <c r="B1125" s="111" t="inlineStr">
        <is>
          <t>000295</t>
        </is>
      </c>
      <c r="C1125" s="111" t="inlineStr">
        <is>
          <t>ESPETO MEDALHAO DE FRANGO</t>
        </is>
      </c>
      <c r="D1125" s="111" t="n"/>
      <c r="E1125" s="194" t="n">
        <v>1</v>
      </c>
      <c r="F1125" s="195" t="n">
        <v>0</v>
      </c>
      <c r="G1125" s="196" t="n">
        <v>0</v>
      </c>
      <c r="H1125" s="195" t="n">
        <v>0</v>
      </c>
      <c r="I1125" s="195" t="n">
        <v>0</v>
      </c>
      <c r="J1125" s="111" t="n"/>
      <c r="K1125" s="111" t="n"/>
      <c r="L1125" s="111" t="n"/>
      <c r="M1125" s="195" t="n">
        <v>0</v>
      </c>
    </row>
    <row r="1126" ht="15" customHeight="1">
      <c r="A1126" s="107" t="inlineStr">
        <is>
          <t>010011</t>
        </is>
      </c>
      <c r="B1126" s="107" t="inlineStr">
        <is>
          <t>009821</t>
        </is>
      </c>
      <c r="C1126" s="107" t="inlineStr">
        <is>
          <t>GIN BACCO QUINTAL GARRAFA 700ML</t>
        </is>
      </c>
      <c r="D1126" s="107" t="n"/>
      <c r="E1126" s="191" t="n">
        <v>1</v>
      </c>
      <c r="F1126" s="192" t="n">
        <v>0</v>
      </c>
      <c r="G1126" s="193" t="n">
        <v>0</v>
      </c>
      <c r="H1126" s="192" t="n">
        <v>0</v>
      </c>
      <c r="I1126" s="192" t="n">
        <v>0</v>
      </c>
      <c r="J1126" s="107" t="n"/>
      <c r="K1126" s="107" t="n"/>
      <c r="L1126" s="107" t="n"/>
      <c r="M1126" s="192" t="n">
        <v>0</v>
      </c>
    </row>
    <row r="1127" ht="15" customHeight="1">
      <c r="A1127" s="111" t="inlineStr">
        <is>
          <t>010012</t>
        </is>
      </c>
      <c r="B1127" s="111" t="inlineStr">
        <is>
          <t>009824</t>
        </is>
      </c>
      <c r="C1127" s="111" t="inlineStr">
        <is>
          <t>VODKA BACCO 1LT</t>
        </is>
      </c>
      <c r="D1127" s="111" t="n"/>
      <c r="E1127" s="194" t="n">
        <v>1</v>
      </c>
      <c r="F1127" s="195" t="n">
        <v>0</v>
      </c>
      <c r="G1127" s="196" t="n">
        <v>0</v>
      </c>
      <c r="H1127" s="195" t="n">
        <v>0</v>
      </c>
      <c r="I1127" s="195" t="n">
        <v>0</v>
      </c>
      <c r="J1127" s="111" t="n"/>
      <c r="K1127" s="111" t="n"/>
      <c r="L1127" s="111" t="n"/>
      <c r="M1127" s="195" t="n">
        <v>0</v>
      </c>
    </row>
    <row r="1128" ht="15" customHeight="1">
      <c r="A1128" s="107" t="inlineStr">
        <is>
          <t>010013</t>
        </is>
      </c>
      <c r="B1128" s="107" t="inlineStr">
        <is>
          <t>009519</t>
        </is>
      </c>
      <c r="C1128" s="107" t="inlineStr">
        <is>
          <t>VINHO TINTO PORTUGUES TERRA DEL REI ALENTEJO 750ML</t>
        </is>
      </c>
      <c r="D1128" s="107" t="n"/>
      <c r="E1128" s="191" t="n">
        <v>1</v>
      </c>
      <c r="F1128" s="192" t="n">
        <v>0</v>
      </c>
      <c r="G1128" s="193" t="n">
        <v>0</v>
      </c>
      <c r="H1128" s="192" t="n">
        <v>0</v>
      </c>
      <c r="I1128" s="192" t="n">
        <v>0</v>
      </c>
      <c r="J1128" s="107" t="n"/>
      <c r="K1128" s="107" t="n"/>
      <c r="L1128" s="107" t="n"/>
      <c r="M1128" s="192" t="n">
        <v>0</v>
      </c>
    </row>
    <row r="1129" ht="15" customHeight="1">
      <c r="A1129" s="111" t="inlineStr">
        <is>
          <t>010014</t>
        </is>
      </c>
      <c r="B1129" s="111" t="inlineStr">
        <is>
          <t>009520</t>
        </is>
      </c>
      <c r="C1129" s="111" t="inlineStr">
        <is>
          <t>VINHO BCO  PORTUGUES TERRA DEL REI ALENTEJO 750ML</t>
        </is>
      </c>
      <c r="D1129" s="111" t="n"/>
      <c r="E1129" s="194" t="n">
        <v>1</v>
      </c>
      <c r="F1129" s="195" t="n">
        <v>0</v>
      </c>
      <c r="G1129" s="196" t="n">
        <v>0</v>
      </c>
      <c r="H1129" s="195" t="n">
        <v>0</v>
      </c>
      <c r="I1129" s="195" t="n">
        <v>0</v>
      </c>
      <c r="J1129" s="111" t="n"/>
      <c r="K1129" s="111" t="n"/>
      <c r="L1129" s="111" t="n"/>
      <c r="M1129" s="195" t="n">
        <v>0</v>
      </c>
    </row>
    <row r="1130" ht="15" customHeight="1">
      <c r="A1130" s="107" t="inlineStr">
        <is>
          <t>010015</t>
        </is>
      </c>
      <c r="B1130" s="107" t="inlineStr">
        <is>
          <t>009521</t>
        </is>
      </c>
      <c r="C1130" s="107" t="inlineStr">
        <is>
          <t>VINHO CHILENO VISTANA CABERNET SAUVINGON 375ML</t>
        </is>
      </c>
      <c r="D1130" s="107" t="n"/>
      <c r="E1130" s="191" t="n">
        <v>1</v>
      </c>
      <c r="F1130" s="192" t="n">
        <v>0</v>
      </c>
      <c r="G1130" s="193" t="n">
        <v>0</v>
      </c>
      <c r="H1130" s="192" t="n">
        <v>0</v>
      </c>
      <c r="I1130" s="192" t="n">
        <v>0</v>
      </c>
      <c r="J1130" s="107" t="n"/>
      <c r="K1130" s="107" t="n"/>
      <c r="L1130" s="107" t="n"/>
      <c r="M1130" s="192" t="n">
        <v>0</v>
      </c>
    </row>
    <row r="1131" ht="15" customHeight="1">
      <c r="A1131" s="111" t="inlineStr">
        <is>
          <t>010016</t>
        </is>
      </c>
      <c r="B1131" s="111" t="inlineStr">
        <is>
          <t>009522</t>
        </is>
      </c>
      <c r="C1131" s="111" t="inlineStr">
        <is>
          <t>VINHO CHILENO VISTANA CABERNET MERLOT 375ML</t>
        </is>
      </c>
      <c r="D1131" s="111" t="n"/>
      <c r="E1131" s="194" t="n">
        <v>1</v>
      </c>
      <c r="F1131" s="195" t="n">
        <v>0</v>
      </c>
      <c r="G1131" s="196" t="n">
        <v>0</v>
      </c>
      <c r="H1131" s="195" t="n">
        <v>0</v>
      </c>
      <c r="I1131" s="195" t="n">
        <v>0</v>
      </c>
      <c r="J1131" s="111" t="n"/>
      <c r="K1131" s="111" t="n"/>
      <c r="L1131" s="111" t="n"/>
      <c r="M1131" s="195" t="n">
        <v>0</v>
      </c>
    </row>
    <row r="1132" ht="15" customHeight="1">
      <c r="A1132" s="107" t="inlineStr">
        <is>
          <t>010017</t>
        </is>
      </c>
      <c r="B1132" s="107" t="inlineStr">
        <is>
          <t>009523</t>
        </is>
      </c>
      <c r="C1132" s="107" t="inlineStr">
        <is>
          <t>VINHO CHILENO VISTANA SAUVINGON BLANC 375ML</t>
        </is>
      </c>
      <c r="D1132" s="107" t="n"/>
      <c r="E1132" s="191" t="n">
        <v>1</v>
      </c>
      <c r="F1132" s="192" t="n">
        <v>0</v>
      </c>
      <c r="G1132" s="193" t="n">
        <v>0</v>
      </c>
      <c r="H1132" s="192" t="n">
        <v>0</v>
      </c>
      <c r="I1132" s="192" t="n">
        <v>0</v>
      </c>
      <c r="J1132" s="107" t="n"/>
      <c r="K1132" s="107" t="n"/>
      <c r="L1132" s="107" t="n"/>
      <c r="M1132" s="192" t="n">
        <v>0</v>
      </c>
    </row>
    <row r="1133" ht="15" customHeight="1">
      <c r="A1133" s="111" t="inlineStr">
        <is>
          <t>010019</t>
        </is>
      </c>
      <c r="B1133" s="111" t="inlineStr">
        <is>
          <t>009524</t>
        </is>
      </c>
      <c r="C1133" s="111" t="inlineStr">
        <is>
          <t>VINHO CHILENO VISTANA SEMILLON 375ML</t>
        </is>
      </c>
      <c r="D1133" s="111" t="n"/>
      <c r="E1133" s="194" t="n">
        <v>1</v>
      </c>
      <c r="F1133" s="195" t="n">
        <v>0</v>
      </c>
      <c r="G1133" s="196" t="n">
        <v>0</v>
      </c>
      <c r="H1133" s="195" t="n">
        <v>0</v>
      </c>
      <c r="I1133" s="195" t="n">
        <v>0</v>
      </c>
      <c r="J1133" s="111" t="n"/>
      <c r="K1133" s="111" t="n"/>
      <c r="L1133" s="111" t="n"/>
      <c r="M1133" s="195" t="n">
        <v>0</v>
      </c>
    </row>
    <row r="1134" ht="15" customHeight="1">
      <c r="A1134" s="107" t="inlineStr">
        <is>
          <t>010020</t>
        </is>
      </c>
      <c r="B1134" s="107" t="inlineStr">
        <is>
          <t>000371</t>
        </is>
      </c>
      <c r="C1134" s="107" t="inlineStr">
        <is>
          <t>VINHO ANTARES CARMENERE 750ML</t>
        </is>
      </c>
      <c r="D1134" s="107" t="n"/>
      <c r="E1134" s="191" t="n">
        <v>1</v>
      </c>
      <c r="F1134" s="192" t="n">
        <v>0</v>
      </c>
      <c r="G1134" s="193" t="n">
        <v>0</v>
      </c>
      <c r="H1134" s="192" t="n">
        <v>0</v>
      </c>
      <c r="I1134" s="192" t="n">
        <v>0</v>
      </c>
      <c r="J1134" s="107" t="n"/>
      <c r="K1134" s="107" t="n"/>
      <c r="L1134" s="107" t="n"/>
      <c r="M1134" s="192" t="n">
        <v>0</v>
      </c>
    </row>
    <row r="1135" ht="15" customHeight="1">
      <c r="A1135" s="111" t="inlineStr">
        <is>
          <t>010021</t>
        </is>
      </c>
      <c r="B1135" s="111" t="inlineStr">
        <is>
          <t>009526</t>
        </is>
      </c>
      <c r="C1135" s="111" t="inlineStr">
        <is>
          <t>VINHO ARGENTINO ALFREDO ROCA CHARDONNAY 375ML</t>
        </is>
      </c>
      <c r="D1135" s="111" t="n"/>
      <c r="E1135" s="194" t="n">
        <v>1</v>
      </c>
      <c r="F1135" s="195" t="n">
        <v>0</v>
      </c>
      <c r="G1135" s="196" t="n">
        <v>0</v>
      </c>
      <c r="H1135" s="195" t="n">
        <v>0</v>
      </c>
      <c r="I1135" s="195" t="n">
        <v>0</v>
      </c>
      <c r="J1135" s="111" t="n"/>
      <c r="K1135" s="111" t="n"/>
      <c r="L1135" s="111" t="n"/>
      <c r="M1135" s="195" t="n">
        <v>0</v>
      </c>
    </row>
    <row r="1136" ht="15" customHeight="1">
      <c r="A1136" s="107" t="inlineStr">
        <is>
          <t>010022</t>
        </is>
      </c>
      <c r="B1136" s="107" t="inlineStr">
        <is>
          <t>009527</t>
        </is>
      </c>
      <c r="C1136" s="107" t="inlineStr">
        <is>
          <t>VINHO ESPANHOL PATA NEGRA ORO TEMPRANILLO 750ML</t>
        </is>
      </c>
      <c r="D1136" s="107" t="n"/>
      <c r="E1136" s="191" t="n">
        <v>1</v>
      </c>
      <c r="F1136" s="192" t="n">
        <v>0</v>
      </c>
      <c r="G1136" s="193" t="n">
        <v>0</v>
      </c>
      <c r="H1136" s="192" t="n">
        <v>0</v>
      </c>
      <c r="I1136" s="192" t="n">
        <v>0</v>
      </c>
      <c r="J1136" s="107" t="n"/>
      <c r="K1136" s="107" t="n"/>
      <c r="L1136" s="107" t="n"/>
      <c r="M1136" s="192" t="n">
        <v>0</v>
      </c>
    </row>
    <row r="1137" ht="15" customHeight="1">
      <c r="A1137" s="111" t="inlineStr">
        <is>
          <t>010023</t>
        </is>
      </c>
      <c r="B1137" s="111" t="inlineStr">
        <is>
          <t>009528</t>
        </is>
      </c>
      <c r="C1137" s="111" t="inlineStr">
        <is>
          <t>VINHO ESPANHOL PATA NEGRA ORO ROSE 750ML</t>
        </is>
      </c>
      <c r="D1137" s="111" t="n"/>
      <c r="E1137" s="194" t="n">
        <v>1</v>
      </c>
      <c r="F1137" s="195" t="n">
        <v>0</v>
      </c>
      <c r="G1137" s="196" t="n">
        <v>0</v>
      </c>
      <c r="H1137" s="195" t="n">
        <v>0</v>
      </c>
      <c r="I1137" s="195" t="n">
        <v>0</v>
      </c>
      <c r="J1137" s="111" t="n"/>
      <c r="K1137" s="111" t="n"/>
      <c r="L1137" s="111" t="n"/>
      <c r="M1137" s="195" t="n">
        <v>0</v>
      </c>
    </row>
    <row r="1138" ht="15" customHeight="1">
      <c r="A1138" s="107" t="inlineStr">
        <is>
          <t>010024</t>
        </is>
      </c>
      <c r="B1138" s="107" t="inlineStr">
        <is>
          <t>009529</t>
        </is>
      </c>
      <c r="C1138" s="107" t="inlineStr">
        <is>
          <t>VINHO ESPANHOL PATA NEGRA ORO BRANCO 750 ML</t>
        </is>
      </c>
      <c r="D1138" s="107" t="n"/>
      <c r="E1138" s="191" t="n">
        <v>1</v>
      </c>
      <c r="F1138" s="192" t="n">
        <v>0</v>
      </c>
      <c r="G1138" s="193" t="n">
        <v>0</v>
      </c>
      <c r="H1138" s="192" t="n">
        <v>0</v>
      </c>
      <c r="I1138" s="192" t="n">
        <v>0</v>
      </c>
      <c r="J1138" s="107" t="n"/>
      <c r="K1138" s="107" t="n"/>
      <c r="L1138" s="107" t="n"/>
      <c r="M1138" s="192" t="n">
        <v>0</v>
      </c>
    </row>
    <row r="1139" ht="15" customHeight="1">
      <c r="A1139" s="111" t="inlineStr">
        <is>
          <t>010025</t>
        </is>
      </c>
      <c r="B1139" s="111" t="inlineStr">
        <is>
          <t>009530</t>
        </is>
      </c>
      <c r="C1139" s="111" t="inlineStr">
        <is>
          <t>VINHO ITALIANO LAMBRUSCO VILLA FABRIZIA TINTO 750M</t>
        </is>
      </c>
      <c r="D1139" s="111" t="n"/>
      <c r="E1139" s="194" t="n">
        <v>1</v>
      </c>
      <c r="F1139" s="195" t="n">
        <v>0</v>
      </c>
      <c r="G1139" s="196" t="n">
        <v>0</v>
      </c>
      <c r="H1139" s="195" t="n">
        <v>0</v>
      </c>
      <c r="I1139" s="195" t="n">
        <v>0</v>
      </c>
      <c r="J1139" s="111" t="n"/>
      <c r="K1139" s="111" t="n"/>
      <c r="L1139" s="111" t="n"/>
      <c r="M1139" s="195" t="n">
        <v>0</v>
      </c>
    </row>
    <row r="1140" ht="15" customHeight="1">
      <c r="A1140" s="107" t="inlineStr">
        <is>
          <t>010026</t>
        </is>
      </c>
      <c r="B1140" s="107" t="inlineStr">
        <is>
          <t>009531</t>
        </is>
      </c>
      <c r="C1140" s="107" t="inlineStr">
        <is>
          <t>VINHO FRANCES MONTMEYRAC TINTO 750 ML</t>
        </is>
      </c>
      <c r="D1140" s="107" t="n"/>
      <c r="E1140" s="191" t="n">
        <v>1</v>
      </c>
      <c r="F1140" s="192" t="n">
        <v>0</v>
      </c>
      <c r="G1140" s="193" t="n">
        <v>0</v>
      </c>
      <c r="H1140" s="192" t="n">
        <v>0</v>
      </c>
      <c r="I1140" s="192" t="n">
        <v>0</v>
      </c>
      <c r="J1140" s="107" t="n"/>
      <c r="K1140" s="107" t="n"/>
      <c r="L1140" s="107" t="n"/>
      <c r="M1140" s="192" t="n">
        <v>0</v>
      </c>
    </row>
    <row r="1141" ht="15" customHeight="1">
      <c r="A1141" s="111" t="inlineStr">
        <is>
          <t>010027</t>
        </is>
      </c>
      <c r="B1141" s="111" t="inlineStr">
        <is>
          <t>009532</t>
        </is>
      </c>
      <c r="C1141" s="111" t="inlineStr">
        <is>
          <t>VINHO FRANCES MONTMEYRAC BRANCO 750ML</t>
        </is>
      </c>
      <c r="D1141" s="111" t="n"/>
      <c r="E1141" s="194" t="n">
        <v>1</v>
      </c>
      <c r="F1141" s="195" t="n">
        <v>0</v>
      </c>
      <c r="G1141" s="196" t="n">
        <v>0</v>
      </c>
      <c r="H1141" s="195" t="n">
        <v>0</v>
      </c>
      <c r="I1141" s="195" t="n">
        <v>0</v>
      </c>
      <c r="J1141" s="111" t="n"/>
      <c r="K1141" s="111" t="n"/>
      <c r="L1141" s="111" t="n"/>
      <c r="M1141" s="195" t="n">
        <v>0</v>
      </c>
    </row>
    <row r="1142" ht="15" customHeight="1">
      <c r="A1142" s="107" t="inlineStr">
        <is>
          <t>010028</t>
        </is>
      </c>
      <c r="B1142" s="107" t="inlineStr">
        <is>
          <t>009533</t>
        </is>
      </c>
      <c r="C1142" s="107" t="inlineStr">
        <is>
          <t>VINHO FRANCES MONTMEYRAC ROSE 750 ML</t>
        </is>
      </c>
      <c r="D1142" s="107" t="n"/>
      <c r="E1142" s="191" t="n">
        <v>1</v>
      </c>
      <c r="F1142" s="192" t="n">
        <v>0</v>
      </c>
      <c r="G1142" s="193" t="n">
        <v>0</v>
      </c>
      <c r="H1142" s="192" t="n">
        <v>0</v>
      </c>
      <c r="I1142" s="192" t="n">
        <v>0</v>
      </c>
      <c r="J1142" s="107" t="n"/>
      <c r="K1142" s="107" t="n"/>
      <c r="L1142" s="107" t="n"/>
      <c r="M1142" s="192" t="n">
        <v>0</v>
      </c>
    </row>
    <row r="1143" ht="15" customHeight="1">
      <c r="A1143" s="111" t="inlineStr">
        <is>
          <t>010029</t>
        </is>
      </c>
      <c r="B1143" s="111" t="inlineStr">
        <is>
          <t>009534</t>
        </is>
      </c>
      <c r="C1143" s="111" t="inlineStr">
        <is>
          <t>VINHO ARGENTINO PORTENO MALBEC 750ML</t>
        </is>
      </c>
      <c r="D1143" s="111" t="n"/>
      <c r="E1143" s="194" t="n">
        <v>1</v>
      </c>
      <c r="F1143" s="195" t="n">
        <v>0</v>
      </c>
      <c r="G1143" s="196" t="n">
        <v>0</v>
      </c>
      <c r="H1143" s="195" t="n">
        <v>0</v>
      </c>
      <c r="I1143" s="195" t="n">
        <v>0</v>
      </c>
      <c r="J1143" s="111" t="n"/>
      <c r="K1143" s="111" t="n"/>
      <c r="L1143" s="111" t="n"/>
      <c r="M1143" s="195" t="n">
        <v>0</v>
      </c>
    </row>
    <row r="1144" ht="15" customHeight="1">
      <c r="A1144" s="107" t="inlineStr">
        <is>
          <t>010030</t>
        </is>
      </c>
      <c r="B1144" s="107" t="inlineStr">
        <is>
          <t>009535</t>
        </is>
      </c>
      <c r="C1144" s="107" t="inlineStr">
        <is>
          <t>VINHO ITALIANO TARVENELLO BIANCO D'ITALIA 750 ML</t>
        </is>
      </c>
      <c r="D1144" s="107" t="n"/>
      <c r="E1144" s="191" t="n">
        <v>1</v>
      </c>
      <c r="F1144" s="192" t="n">
        <v>0</v>
      </c>
      <c r="G1144" s="193" t="n">
        <v>0</v>
      </c>
      <c r="H1144" s="192" t="n">
        <v>0</v>
      </c>
      <c r="I1144" s="192" t="n">
        <v>0</v>
      </c>
      <c r="J1144" s="107" t="n"/>
      <c r="K1144" s="107" t="n"/>
      <c r="L1144" s="107" t="n"/>
      <c r="M1144" s="192" t="n">
        <v>0</v>
      </c>
    </row>
    <row r="1145" ht="15" customHeight="1">
      <c r="A1145" s="111" t="inlineStr">
        <is>
          <t>010031</t>
        </is>
      </c>
      <c r="B1145" s="111" t="inlineStr">
        <is>
          <t>009536</t>
        </is>
      </c>
      <c r="C1145" s="111" t="inlineStr">
        <is>
          <t>VINHO ITALIANO TARVENELLO ROSSO D'ITALIA 750ML</t>
        </is>
      </c>
      <c r="D1145" s="111" t="n"/>
      <c r="E1145" s="194" t="n">
        <v>1</v>
      </c>
      <c r="F1145" s="195" t="n">
        <v>0</v>
      </c>
      <c r="G1145" s="196" t="n">
        <v>0</v>
      </c>
      <c r="H1145" s="195" t="n">
        <v>0</v>
      </c>
      <c r="I1145" s="195" t="n">
        <v>0</v>
      </c>
      <c r="J1145" s="111" t="n"/>
      <c r="K1145" s="111" t="n"/>
      <c r="L1145" s="111" t="n"/>
      <c r="M1145" s="195" t="n">
        <v>0</v>
      </c>
    </row>
    <row r="1146" ht="15" customHeight="1">
      <c r="A1146" s="107" t="inlineStr">
        <is>
          <t>010032</t>
        </is>
      </c>
      <c r="B1146" s="107" t="inlineStr">
        <is>
          <t>009537</t>
        </is>
      </c>
      <c r="C1146" s="107" t="inlineStr">
        <is>
          <t>ESPUMANTE BRASILEIRO VIVA LA VIDA BRUT 750ML</t>
        </is>
      </c>
      <c r="D1146" s="107" t="n"/>
      <c r="E1146" s="191" t="n">
        <v>1</v>
      </c>
      <c r="F1146" s="192" t="n">
        <v>0</v>
      </c>
      <c r="G1146" s="193" t="n">
        <v>0</v>
      </c>
      <c r="H1146" s="192" t="n">
        <v>0</v>
      </c>
      <c r="I1146" s="192" t="n">
        <v>0</v>
      </c>
      <c r="J1146" s="107" t="n"/>
      <c r="K1146" s="107" t="n"/>
      <c r="L1146" s="107" t="n"/>
      <c r="M1146" s="192" t="n">
        <v>0</v>
      </c>
    </row>
    <row r="1147" ht="15" customHeight="1">
      <c r="A1147" s="111" t="inlineStr">
        <is>
          <t>010091</t>
        </is>
      </c>
      <c r="B1147" s="111" t="inlineStr">
        <is>
          <t>009487</t>
        </is>
      </c>
      <c r="C1147" s="111" t="inlineStr">
        <is>
          <t>BAG MASSA DE SORVETE BAUNILHA 20L</t>
        </is>
      </c>
      <c r="D1147" s="111" t="n"/>
      <c r="E1147" s="194" t="n">
        <v>0.1</v>
      </c>
      <c r="F1147" s="195" t="n">
        <v>0.78</v>
      </c>
      <c r="G1147" s="196" t="n">
        <v>0</v>
      </c>
      <c r="H1147" s="195" t="n">
        <v>0</v>
      </c>
      <c r="I1147" s="195" t="n">
        <v>0</v>
      </c>
      <c r="J1147" s="111" t="n"/>
      <c r="K1147" s="111" t="n"/>
      <c r="L1147" s="111" t="n"/>
      <c r="M1147" s="195" t="n">
        <v>0</v>
      </c>
    </row>
    <row r="1148" ht="15" customHeight="1">
      <c r="A1148" s="107" t="inlineStr">
        <is>
          <t>010091</t>
        </is>
      </c>
      <c r="B1148" s="107" t="inlineStr">
        <is>
          <t>009488</t>
        </is>
      </c>
      <c r="C1148" s="107" t="inlineStr">
        <is>
          <t>CASQUINHA PARA SORVETE CX 300UN</t>
        </is>
      </c>
      <c r="D1148" s="107" t="n"/>
      <c r="E1148" s="191" t="n">
        <v>1</v>
      </c>
      <c r="F1148" s="192" t="n">
        <v>0.26</v>
      </c>
      <c r="G1148" s="193" t="n">
        <v>0</v>
      </c>
      <c r="H1148" s="192" t="n">
        <v>0</v>
      </c>
      <c r="I1148" s="192" t="n">
        <v>0</v>
      </c>
      <c r="J1148" s="107" t="n"/>
      <c r="K1148" s="107" t="n"/>
      <c r="L1148" s="107" t="n"/>
      <c r="M1148" s="192" t="n">
        <v>0</v>
      </c>
    </row>
    <row r="1149" ht="15" customHeight="1">
      <c r="A1149" s="111" t="inlineStr">
        <is>
          <t>010095</t>
        </is>
      </c>
      <c r="B1149" s="111" t="inlineStr">
        <is>
          <t>009486</t>
        </is>
      </c>
      <c r="C1149" s="111" t="inlineStr">
        <is>
          <t>BAG MASSA DE SORVETE CHOCOLATE 20L</t>
        </is>
      </c>
      <c r="D1149" s="111" t="n"/>
      <c r="E1149" s="194" t="n">
        <v>0.1</v>
      </c>
      <c r="F1149" s="195" t="n">
        <v>0</v>
      </c>
      <c r="G1149" s="196" t="n">
        <v>0</v>
      </c>
      <c r="H1149" s="195" t="n">
        <v>0</v>
      </c>
      <c r="I1149" s="195" t="n">
        <v>0</v>
      </c>
      <c r="J1149" s="111" t="n"/>
      <c r="K1149" s="111" t="n"/>
      <c r="L1149" s="111" t="n"/>
      <c r="M1149" s="195" t="n">
        <v>0</v>
      </c>
    </row>
    <row r="1150" ht="15" customHeight="1">
      <c r="A1150" s="107" t="inlineStr">
        <is>
          <t>010095</t>
        </is>
      </c>
      <c r="B1150" s="107" t="inlineStr">
        <is>
          <t>009488</t>
        </is>
      </c>
      <c r="C1150" s="107" t="inlineStr">
        <is>
          <t>CASQUINHA PARA SORVETE CX 300UN</t>
        </is>
      </c>
      <c r="D1150" s="107" t="n"/>
      <c r="E1150" s="191" t="n">
        <v>1</v>
      </c>
      <c r="F1150" s="192" t="n">
        <v>0</v>
      </c>
      <c r="G1150" s="193" t="n">
        <v>0</v>
      </c>
      <c r="H1150" s="192" t="n">
        <v>0</v>
      </c>
      <c r="I1150" s="192" t="n">
        <v>0</v>
      </c>
      <c r="J1150" s="107" t="n"/>
      <c r="K1150" s="107" t="n"/>
      <c r="L1150" s="107" t="n"/>
      <c r="M1150" s="192" t="n">
        <v>0</v>
      </c>
    </row>
    <row r="1151" ht="15" customHeight="1">
      <c r="A1151" s="111" t="inlineStr">
        <is>
          <t>010096</t>
        </is>
      </c>
      <c r="B1151" s="111" t="inlineStr">
        <is>
          <t>009486</t>
        </is>
      </c>
      <c r="C1151" s="111" t="inlineStr">
        <is>
          <t>BAG MASSA DE SORVETE CHOCOLATE 20L</t>
        </is>
      </c>
      <c r="D1151" s="111" t="n"/>
      <c r="E1151" s="194" t="n">
        <v>0.05</v>
      </c>
      <c r="F1151" s="195" t="n">
        <v>0</v>
      </c>
      <c r="G1151" s="196" t="n">
        <v>0</v>
      </c>
      <c r="H1151" s="195" t="n">
        <v>0</v>
      </c>
      <c r="I1151" s="195" t="n">
        <v>0</v>
      </c>
      <c r="J1151" s="111" t="n"/>
      <c r="K1151" s="111" t="n"/>
      <c r="L1151" s="111" t="n"/>
      <c r="M1151" s="195" t="n">
        <v>0</v>
      </c>
    </row>
    <row r="1152" ht="15" customHeight="1">
      <c r="A1152" s="107" t="inlineStr">
        <is>
          <t>010096</t>
        </is>
      </c>
      <c r="B1152" s="107" t="inlineStr">
        <is>
          <t>009487</t>
        </is>
      </c>
      <c r="C1152" s="107" t="inlineStr">
        <is>
          <t>BAG MASSA DE SORVETE BAUNILHA 20L</t>
        </is>
      </c>
      <c r="D1152" s="107" t="n"/>
      <c r="E1152" s="191" t="n">
        <v>0.05</v>
      </c>
      <c r="F1152" s="192" t="n">
        <v>0</v>
      </c>
      <c r="G1152" s="193" t="n">
        <v>0</v>
      </c>
      <c r="H1152" s="192" t="n">
        <v>0</v>
      </c>
      <c r="I1152" s="192" t="n">
        <v>0</v>
      </c>
      <c r="J1152" s="107" t="n"/>
      <c r="K1152" s="107" t="n"/>
      <c r="L1152" s="107" t="n"/>
      <c r="M1152" s="192" t="n">
        <v>0</v>
      </c>
    </row>
    <row r="1153" ht="15" customHeight="1">
      <c r="A1153" s="111" t="inlineStr">
        <is>
          <t>010096</t>
        </is>
      </c>
      <c r="B1153" s="111" t="inlineStr">
        <is>
          <t>009488</t>
        </is>
      </c>
      <c r="C1153" s="111" t="inlineStr">
        <is>
          <t>CASQUINHA PARA SORVETE CX 300UN</t>
        </is>
      </c>
      <c r="D1153" s="111" t="n"/>
      <c r="E1153" s="194" t="n">
        <v>1</v>
      </c>
      <c r="F1153" s="195" t="n">
        <v>0</v>
      </c>
      <c r="G1153" s="196" t="n">
        <v>0</v>
      </c>
      <c r="H1153" s="195" t="n">
        <v>0</v>
      </c>
      <c r="I1153" s="195" t="n">
        <v>0</v>
      </c>
      <c r="J1153" s="111" t="n"/>
      <c r="K1153" s="111" t="n"/>
      <c r="L1153" s="111" t="n"/>
      <c r="M1153" s="195" t="n">
        <v>0</v>
      </c>
    </row>
    <row r="1154" ht="15" customHeight="1">
      <c r="A1154" s="107" t="inlineStr">
        <is>
          <t>010314</t>
        </is>
      </c>
      <c r="B1154" s="107" t="inlineStr">
        <is>
          <t>009826</t>
        </is>
      </c>
      <c r="C1154" s="107" t="inlineStr">
        <is>
          <t>XAROPE MORANGO 3LT</t>
        </is>
      </c>
      <c r="D1154" s="107" t="n"/>
      <c r="E1154" s="191" t="n">
        <v>0.08</v>
      </c>
      <c r="F1154" s="192" t="n">
        <v>0</v>
      </c>
      <c r="G1154" s="193" t="n">
        <v>0</v>
      </c>
      <c r="H1154" s="192" t="n">
        <v>0</v>
      </c>
      <c r="I1154" s="192" t="n">
        <v>0</v>
      </c>
      <c r="J1154" s="107" t="n"/>
      <c r="K1154" s="107" t="n"/>
      <c r="L1154" s="107" t="n"/>
      <c r="M1154" s="192" t="n">
        <v>0</v>
      </c>
    </row>
    <row r="1155" ht="15" customHeight="1">
      <c r="A1155" s="111" t="inlineStr">
        <is>
          <t>010315</t>
        </is>
      </c>
      <c r="B1155" s="111" t="inlineStr">
        <is>
          <t>009830</t>
        </is>
      </c>
      <c r="C1155" s="111" t="inlineStr">
        <is>
          <t>XAROPE LIMAO SICILIANO 3LT</t>
        </is>
      </c>
      <c r="D1155" s="111" t="n"/>
      <c r="E1155" s="194" t="n">
        <v>0.08</v>
      </c>
      <c r="F1155" s="195" t="n">
        <v>0</v>
      </c>
      <c r="G1155" s="196" t="n">
        <v>0</v>
      </c>
      <c r="H1155" s="195" t="n">
        <v>0</v>
      </c>
      <c r="I1155" s="195" t="n">
        <v>0</v>
      </c>
      <c r="J1155" s="111" t="n"/>
      <c r="K1155" s="111" t="n"/>
      <c r="L1155" s="111" t="n"/>
      <c r="M1155" s="195" t="n">
        <v>0</v>
      </c>
    </row>
    <row r="1156" ht="15" customHeight="1">
      <c r="A1156" s="107" t="inlineStr">
        <is>
          <t>010316</t>
        </is>
      </c>
      <c r="B1156" s="107" t="inlineStr">
        <is>
          <t>001915</t>
        </is>
      </c>
      <c r="C1156" s="107" t="inlineStr">
        <is>
          <t>XAROPE MONIN MARACUJA 700 ML</t>
        </is>
      </c>
      <c r="D1156" s="107" t="n"/>
      <c r="E1156" s="191" t="n">
        <v>0.08</v>
      </c>
      <c r="F1156" s="192" t="n">
        <v>0</v>
      </c>
      <c r="G1156" s="193" t="n">
        <v>0</v>
      </c>
      <c r="H1156" s="192" t="n">
        <v>0</v>
      </c>
      <c r="I1156" s="192" t="n">
        <v>0</v>
      </c>
      <c r="J1156" s="107" t="n"/>
      <c r="K1156" s="107" t="n"/>
      <c r="L1156" s="107" t="n"/>
      <c r="M1156" s="192" t="n">
        <v>0</v>
      </c>
    </row>
    <row r="1157" ht="15" customHeight="1">
      <c r="A1157" s="111" t="inlineStr">
        <is>
          <t>010317</t>
        </is>
      </c>
      <c r="B1157" s="111" t="inlineStr">
        <is>
          <t>009827</t>
        </is>
      </c>
      <c r="C1157" s="111" t="inlineStr">
        <is>
          <t>XAROPE MACA VERDE 3LT</t>
        </is>
      </c>
      <c r="D1157" s="111" t="n"/>
      <c r="E1157" s="194" t="n">
        <v>0.08</v>
      </c>
      <c r="F1157" s="195" t="n">
        <v>0</v>
      </c>
      <c r="G1157" s="196" t="n">
        <v>0</v>
      </c>
      <c r="H1157" s="195" t="n">
        <v>0</v>
      </c>
      <c r="I1157" s="195" t="n">
        <v>0</v>
      </c>
      <c r="J1157" s="111" t="n"/>
      <c r="K1157" s="111" t="n"/>
      <c r="L1157" s="111" t="n"/>
      <c r="M1157" s="195" t="n">
        <v>0</v>
      </c>
    </row>
    <row r="1158" ht="15" customHeight="1">
      <c r="A1158" s="107" t="inlineStr">
        <is>
          <t>010318</t>
        </is>
      </c>
      <c r="B1158" s="107" t="inlineStr">
        <is>
          <t>000334</t>
        </is>
      </c>
      <c r="C1158" s="107" t="inlineStr">
        <is>
          <t>AGUA C/ GAS</t>
        </is>
      </c>
      <c r="D1158" s="107" t="n"/>
      <c r="E1158" s="191" t="n">
        <v>1</v>
      </c>
      <c r="F1158" s="192" t="n">
        <v>0</v>
      </c>
      <c r="G1158" s="193" t="n">
        <v>0</v>
      </c>
      <c r="H1158" s="192" t="n">
        <v>0</v>
      </c>
      <c r="I1158" s="192" t="n">
        <v>0</v>
      </c>
      <c r="J1158" s="107" t="n"/>
      <c r="K1158" s="107" t="n"/>
      <c r="L1158" s="107" t="n"/>
      <c r="M1158" s="192" t="n">
        <v>0</v>
      </c>
    </row>
    <row r="1159" ht="15" customHeight="1">
      <c r="A1159" s="111" t="inlineStr">
        <is>
          <t>010318</t>
        </is>
      </c>
      <c r="B1159" s="111" t="inlineStr">
        <is>
          <t>000474</t>
        </is>
      </c>
      <c r="C1159" s="111" t="inlineStr">
        <is>
          <t>HORTELA GRANDE</t>
        </is>
      </c>
      <c r="D1159" s="111" t="n"/>
      <c r="E1159" s="194" t="n">
        <v>0.005</v>
      </c>
      <c r="F1159" s="195" t="n">
        <v>0</v>
      </c>
      <c r="G1159" s="196" t="n">
        <v>0</v>
      </c>
      <c r="H1159" s="195" t="n">
        <v>0</v>
      </c>
      <c r="I1159" s="195" t="n">
        <v>0</v>
      </c>
      <c r="J1159" s="111" t="n"/>
      <c r="K1159" s="111" t="n"/>
      <c r="L1159" s="111" t="n"/>
      <c r="M1159" s="195" t="n">
        <v>0</v>
      </c>
    </row>
    <row r="1160" ht="15" customHeight="1">
      <c r="A1160" s="107" t="inlineStr">
        <is>
          <t>010318</t>
        </is>
      </c>
      <c r="B1160" s="107" t="inlineStr">
        <is>
          <t>000590</t>
        </is>
      </c>
      <c r="C1160" s="107" t="inlineStr">
        <is>
          <t>MORANGO FRUTA</t>
        </is>
      </c>
      <c r="D1160" s="107" t="n"/>
      <c r="E1160" s="191" t="n">
        <v>0.01</v>
      </c>
      <c r="F1160" s="192" t="n">
        <v>0</v>
      </c>
      <c r="G1160" s="193" t="n">
        <v>0</v>
      </c>
      <c r="H1160" s="192" t="n">
        <v>0</v>
      </c>
      <c r="I1160" s="192" t="n">
        <v>0</v>
      </c>
      <c r="J1160" s="107" t="n"/>
      <c r="K1160" s="107" t="n"/>
      <c r="L1160" s="107" t="n"/>
      <c r="M1160" s="192" t="n">
        <v>0</v>
      </c>
    </row>
    <row r="1161" ht="15" customHeight="1">
      <c r="A1161" s="111" t="inlineStr">
        <is>
          <t>010318</t>
        </is>
      </c>
      <c r="B1161" s="111" t="inlineStr">
        <is>
          <t>000619</t>
        </is>
      </c>
      <c r="C1161" s="111" t="inlineStr">
        <is>
          <t>LIMAO SICILIANO</t>
        </is>
      </c>
      <c r="D1161" s="111" t="n"/>
      <c r="E1161" s="194" t="n">
        <v>0.01</v>
      </c>
      <c r="F1161" s="195" t="n">
        <v>0</v>
      </c>
      <c r="G1161" s="196" t="n">
        <v>0</v>
      </c>
      <c r="H1161" s="195" t="n">
        <v>0</v>
      </c>
      <c r="I1161" s="195" t="n">
        <v>0</v>
      </c>
      <c r="J1161" s="111" t="n"/>
      <c r="K1161" s="111" t="n"/>
      <c r="L1161" s="111" t="n"/>
      <c r="M1161" s="195" t="n">
        <v>0</v>
      </c>
    </row>
    <row r="1162" ht="15" customHeight="1">
      <c r="A1162" s="107" t="inlineStr">
        <is>
          <t>010379</t>
        </is>
      </c>
      <c r="B1162" s="107" t="inlineStr">
        <is>
          <t>002219</t>
        </is>
      </c>
      <c r="C1162" s="107" t="inlineStr">
        <is>
          <t>BATATA WEDGERS RUSTICA - MCCAIN</t>
        </is>
      </c>
      <c r="D1162" s="107" t="n"/>
      <c r="E1162" s="191" t="n">
        <v>0.28</v>
      </c>
      <c r="F1162" s="192" t="n">
        <v>0</v>
      </c>
      <c r="G1162" s="193" t="n">
        <v>0</v>
      </c>
      <c r="H1162" s="192" t="n">
        <v>0</v>
      </c>
      <c r="I1162" s="192" t="n">
        <v>0</v>
      </c>
      <c r="J1162" s="107" t="n"/>
      <c r="K1162" s="107" t="n"/>
      <c r="L1162" s="107" t="n"/>
      <c r="M1162" s="192" t="n">
        <v>0</v>
      </c>
    </row>
  </sheetData>
  <autoFilter ref="A1:M1162"/>
  <pageMargins left="0.511811024" right="0.511811024" top="0.787401575" bottom="0.787401575" header="0.31496062" footer="0.31496062"/>
</worksheet>
</file>

<file path=xl/worksheets/sheet3.xml><?xml version="1.0" encoding="utf-8"?>
<worksheet xmlns="http://schemas.openxmlformats.org/spreadsheetml/2006/main">
  <sheetPr>
    <tabColor rgb="FFE2EFDA"/>
    <outlinePr summaryBelow="1" summaryRight="1"/>
    <pageSetUpPr/>
  </sheetPr>
  <dimension ref="A1:N879"/>
  <sheetViews>
    <sheetView showGridLines="0" tabSelected="1" zoomScaleNormal="100" workbookViewId="0">
      <pane xSplit="2" ySplit="1" topLeftCell="C680" activePane="bottomRight" state="frozen"/>
      <selection pane="topRight" activeCell="C1" sqref="C1"/>
      <selection pane="bottomLeft" activeCell="A2" sqref="A2"/>
      <selection pane="bottomRight" activeCell="D768" sqref="D768"/>
    </sheetView>
  </sheetViews>
  <sheetFormatPr baseColWidth="8" defaultColWidth="8.7109375" defaultRowHeight="15"/>
  <cols>
    <col width="14" customWidth="1" min="1" max="1"/>
    <col width="20" customWidth="1" min="2" max="2"/>
    <col width="30" customWidth="1" min="3" max="3"/>
    <col width="18.85546875" bestFit="1" customWidth="1" style="115" min="4" max="4"/>
    <col width="11" customWidth="1" min="5" max="5"/>
    <col width="15" customWidth="1" min="6" max="6"/>
    <col width="40" customWidth="1" min="7" max="7"/>
    <col width="10" customWidth="1" min="8" max="8"/>
    <col width="8" customWidth="1" min="9" max="9"/>
    <col width="16" customWidth="1" min="10" max="12"/>
    <col width="10" customWidth="1" min="13" max="13"/>
    <col width="35" customWidth="1" min="14" max="14"/>
  </cols>
  <sheetData>
    <row r="1" ht="21.75" customHeight="1">
      <c r="A1" s="1" t="inlineStr">
        <is>
          <t>Categoria</t>
        </is>
      </c>
      <c r="B1" s="1" t="inlineStr">
        <is>
          <t>Subcategoria</t>
        </is>
      </c>
      <c r="C1" s="1" t="inlineStr">
        <is>
          <t>Nome do PA</t>
        </is>
      </c>
      <c r="D1" s="104" t="inlineStr">
        <is>
          <t>Estrutura criada</t>
        </is>
      </c>
      <c r="E1" s="1" t="inlineStr">
        <is>
          <t>Código PA</t>
        </is>
      </c>
      <c r="F1" s="1" t="inlineStr">
        <is>
          <t>Cód. Componente</t>
        </is>
      </c>
      <c r="G1" s="1" t="inlineStr">
        <is>
          <t>Descrição Componente</t>
        </is>
      </c>
      <c r="H1" s="1" t="inlineStr">
        <is>
          <t>Qtd</t>
        </is>
      </c>
      <c r="I1" s="1" t="inlineStr">
        <is>
          <t>Und.</t>
        </is>
      </c>
      <c r="J1" s="1" t="inlineStr">
        <is>
          <t>Custo Unit. (R$)</t>
        </is>
      </c>
      <c r="K1" s="1" t="inlineStr">
        <is>
          <t>Custo Ingr. (R$)</t>
        </is>
      </c>
      <c r="L1" s="1" t="inlineStr">
        <is>
          <t>Preço Venda (R$)</t>
        </is>
      </c>
      <c r="M1" s="1" t="inlineStr">
        <is>
          <t>CMV (%)</t>
        </is>
      </c>
      <c r="N1" s="1" t="inlineStr">
        <is>
          <t>Observação</t>
        </is>
      </c>
    </row>
    <row r="2" ht="15" customHeight="1">
      <c r="A2" s="11" t="inlineStr">
        <is>
          <t>Espetos</t>
        </is>
      </c>
      <c r="B2" s="12" t="inlineStr">
        <is>
          <t>Veggie</t>
        </is>
      </c>
      <c r="C2" s="13" t="inlineStr">
        <is>
          <t>Abóbora Assada</t>
        </is>
      </c>
      <c r="D2" s="2">
        <f>IF(ISERROR(VLOOKUP(E2,'Estrutura Protheus'!A:A,1,FALSE)),"Não","Sim")</f>
        <v/>
      </c>
      <c r="E2" s="5" t="inlineStr">
        <is>
          <t>002124</t>
        </is>
      </c>
      <c r="F2" s="5" t="inlineStr">
        <is>
          <t>000624</t>
        </is>
      </c>
      <c r="G2" s="3" t="inlineStr">
        <is>
          <t>Abobora Japonesa</t>
        </is>
      </c>
      <c r="H2" s="14" t="n">
        <v>0.12</v>
      </c>
      <c r="I2" s="5" t="inlineStr">
        <is>
          <t>KG</t>
        </is>
      </c>
      <c r="J2" s="4">
        <f>IFERROR(VLOOKUP(F2,'Base Insumos'!$A:$C,3,FALSE()),"PENDENTE")</f>
        <v/>
      </c>
      <c r="K2" s="4">
        <f>IFERROR(IF(J2="PENDENTE",0,J2*H2),0)</f>
        <v/>
      </c>
      <c r="L2" s="4" t="n">
        <v>10.99</v>
      </c>
      <c r="M2" s="15">
        <f>IFERROR(K2/L2,0)</f>
        <v/>
      </c>
      <c r="N2" s="3" t="n"/>
    </row>
    <row r="3" ht="15" customHeight="1">
      <c r="A3" s="16" t="inlineStr">
        <is>
          <t>Espetos</t>
        </is>
      </c>
      <c r="B3" s="17" t="inlineStr">
        <is>
          <t>Veggie</t>
        </is>
      </c>
      <c r="C3" s="18" t="inlineStr">
        <is>
          <t>Abobrinha Grelhada</t>
        </is>
      </c>
      <c r="D3" s="6">
        <f>IF(ISERROR(VLOOKUP(E3,'Estrutura Protheus'!A:A,1,FALSE)),"Não","Sim")</f>
        <v/>
      </c>
      <c r="E3" s="9" t="inlineStr">
        <is>
          <t>001508</t>
        </is>
      </c>
      <c r="F3" s="9" t="inlineStr">
        <is>
          <t>000459</t>
        </is>
      </c>
      <c r="G3" s="7" t="inlineStr">
        <is>
          <t>Abobrinha Italiana</t>
        </is>
      </c>
      <c r="H3" s="19" t="n">
        <v>0.1</v>
      </c>
      <c r="I3" s="9" t="inlineStr">
        <is>
          <t>KG</t>
        </is>
      </c>
      <c r="J3" s="8">
        <f>IFERROR(VLOOKUP(F3,'Base Insumos'!$A:$C,3,FALSE()),"PENDENTE")</f>
        <v/>
      </c>
      <c r="K3" s="8">
        <f>IFERROR(IF(J3="PENDENTE",0,J3*H3),0)</f>
        <v/>
      </c>
      <c r="L3" s="8" t="n">
        <v>10.99</v>
      </c>
      <c r="M3" s="20">
        <f>IFERROR(K3/L3,0)</f>
        <v/>
      </c>
      <c r="N3" s="7" t="n"/>
    </row>
    <row r="4" ht="15" customHeight="1">
      <c r="A4" s="11" t="inlineStr">
        <is>
          <t>Espetos</t>
        </is>
      </c>
      <c r="B4" s="12" t="inlineStr">
        <is>
          <t>Veggie</t>
        </is>
      </c>
      <c r="C4" s="13" t="inlineStr">
        <is>
          <t>Batata Bolinha</t>
        </is>
      </c>
      <c r="D4" s="2">
        <f>IF(ISERROR(VLOOKUP(E4,'Estrutura Protheus'!A:A,1,FALSE)),"Não","Sim")</f>
        <v/>
      </c>
      <c r="E4" s="5" t="inlineStr">
        <is>
          <t>001507</t>
        </is>
      </c>
      <c r="F4" s="5" t="inlineStr">
        <is>
          <t>000464</t>
        </is>
      </c>
      <c r="G4" s="3" t="inlineStr">
        <is>
          <t>Batata Bolinha</t>
        </is>
      </c>
      <c r="H4" s="14" t="n">
        <v>0.1</v>
      </c>
      <c r="I4" s="5" t="inlineStr">
        <is>
          <t>KG</t>
        </is>
      </c>
      <c r="J4" s="4">
        <f>IFERROR(VLOOKUP(F4,'Base Insumos'!$A:$C,3,FALSE()),"PENDENTE")</f>
        <v/>
      </c>
      <c r="K4" s="4">
        <f>IFERROR(IF(J4="PENDENTE",0,J4*H4),0)</f>
        <v/>
      </c>
      <c r="L4" s="4" t="n">
        <v>10.99</v>
      </c>
      <c r="M4" s="15">
        <f>IFERROR(K4/L4,0)</f>
        <v/>
      </c>
      <c r="N4" s="3" t="n"/>
    </row>
    <row r="5" ht="15" customHeight="1">
      <c r="A5" s="16" t="inlineStr">
        <is>
          <t>Espetos</t>
        </is>
      </c>
      <c r="B5" s="17" t="inlineStr">
        <is>
          <t>Veggie</t>
        </is>
      </c>
      <c r="C5" s="18" t="inlineStr">
        <is>
          <t>Berinjela Grelhada</t>
        </is>
      </c>
      <c r="D5" s="6">
        <f>IF(ISERROR(VLOOKUP(E5,'Estrutura Protheus'!A:A,1,FALSE)),"Não","Sim")</f>
        <v/>
      </c>
      <c r="E5" s="9" t="inlineStr">
        <is>
          <t>001505</t>
        </is>
      </c>
      <c r="F5" s="9" t="inlineStr">
        <is>
          <t>000466</t>
        </is>
      </c>
      <c r="G5" s="7" t="inlineStr">
        <is>
          <t>Berinjela</t>
        </is>
      </c>
      <c r="H5" s="19" t="n">
        <v>0.1</v>
      </c>
      <c r="I5" s="9" t="inlineStr">
        <is>
          <t>KG</t>
        </is>
      </c>
      <c r="J5" s="8">
        <f>IFERROR(VLOOKUP(F5,'Base Insumos'!$A:$C,3,FALSE()),"PENDENTE")</f>
        <v/>
      </c>
      <c r="K5" s="8">
        <f>IFERROR(IF(J5="PENDENTE",0,J5*H5),0)</f>
        <v/>
      </c>
      <c r="L5" s="8" t="n">
        <v>10.99</v>
      </c>
      <c r="M5" s="20">
        <f>IFERROR(K5/L5,0)</f>
        <v/>
      </c>
      <c r="N5" s="7" t="n"/>
    </row>
    <row r="6" ht="15" customHeight="1">
      <c r="A6" s="11" t="inlineStr">
        <is>
          <t>Espetos</t>
        </is>
      </c>
      <c r="B6" s="12" t="inlineStr">
        <is>
          <t>Premium</t>
        </is>
      </c>
      <c r="C6" s="13" t="inlineStr">
        <is>
          <t>Bolinho de Bacalhau</t>
        </is>
      </c>
      <c r="D6" s="2">
        <f>IF(ISERROR(VLOOKUP(E6,'Estrutura Protheus'!A:A,1,FALSE)),"Não","Sim")</f>
        <v/>
      </c>
      <c r="E6" s="5" t="inlineStr">
        <is>
          <t>000766</t>
        </is>
      </c>
      <c r="F6" s="5" t="inlineStr">
        <is>
          <t>000305</t>
        </is>
      </c>
      <c r="G6" s="3" t="inlineStr">
        <is>
          <t>Bolinho de Bacalhau</t>
        </is>
      </c>
      <c r="H6" s="14" t="n">
        <v>4</v>
      </c>
      <c r="I6" s="5" t="inlineStr">
        <is>
          <t>UN</t>
        </is>
      </c>
      <c r="J6" s="4">
        <f>IFERROR(VLOOKUP(F6,'Base Insumos'!$A:$C,3,FALSE()),"PENDENTE")</f>
        <v/>
      </c>
      <c r="K6" s="4">
        <f>IFERROR(IF(J6="PENDENTE",0,J6*H6),0)</f>
        <v/>
      </c>
      <c r="L6" s="4" t="n">
        <v>14.99</v>
      </c>
      <c r="M6" s="15">
        <f>IFERROR(K6/L6,0)</f>
        <v/>
      </c>
      <c r="N6" s="3" t="n"/>
    </row>
    <row r="7" ht="15" customHeight="1">
      <c r="A7" s="16" t="inlineStr">
        <is>
          <t>Espetos</t>
        </is>
      </c>
      <c r="B7" s="17" t="inlineStr">
        <is>
          <t>Boteco no Espeto</t>
        </is>
      </c>
      <c r="C7" s="18" t="inlineStr">
        <is>
          <t>Bolinho de Queijo</t>
        </is>
      </c>
      <c r="D7" s="6">
        <f>IF(ISERROR(VLOOKUP(E7,'Estrutura Protheus'!A:A,1,FALSE)),"Não","Sim")</f>
        <v/>
      </c>
      <c r="E7" s="9" t="inlineStr">
        <is>
          <t>000769</t>
        </is>
      </c>
      <c r="F7" s="9" t="inlineStr">
        <is>
          <t>000304</t>
        </is>
      </c>
      <c r="G7" s="7" t="inlineStr">
        <is>
          <t>Bolinho de Queijo</t>
        </is>
      </c>
      <c r="H7" s="19" t="n">
        <v>4</v>
      </c>
      <c r="I7" s="9" t="inlineStr">
        <is>
          <t>UN</t>
        </is>
      </c>
      <c r="J7" s="8">
        <f>IFERROR(VLOOKUP(F7,'Base Insumos'!$A:$C,3,FALSE()),"PENDENTE")</f>
        <v/>
      </c>
      <c r="K7" s="8">
        <f>IFERROR(IF(J7="PENDENTE",0,J7*H7),0)</f>
        <v/>
      </c>
      <c r="L7" s="8" t="n">
        <v>14.99</v>
      </c>
      <c r="M7" s="20">
        <f>IFERROR(K7/L7,0)</f>
        <v/>
      </c>
      <c r="N7" s="7" t="n"/>
    </row>
    <row r="8" ht="15" customHeight="1">
      <c r="A8" s="11" t="inlineStr">
        <is>
          <t>Espetos</t>
        </is>
      </c>
      <c r="B8" s="12" t="inlineStr">
        <is>
          <t>In Natura</t>
        </is>
      </c>
      <c r="C8" s="13" t="inlineStr">
        <is>
          <t>Bovino</t>
        </is>
      </c>
      <c r="D8" s="2">
        <f>IF(ISERROR(VLOOKUP(E8,'Estrutura Protheus'!A:A,1,FALSE)),"Não","Sim")</f>
        <v/>
      </c>
      <c r="E8" s="5" t="inlineStr">
        <is>
          <t>000001</t>
        </is>
      </c>
      <c r="F8" s="5" t="inlineStr">
        <is>
          <t>000286</t>
        </is>
      </c>
      <c r="G8" s="3" t="inlineStr">
        <is>
          <t>Espeto Bovino</t>
        </is>
      </c>
      <c r="H8" s="14" t="n">
        <v>7</v>
      </c>
      <c r="I8" s="5" t="inlineStr">
        <is>
          <t>UN</t>
        </is>
      </c>
      <c r="J8" s="4">
        <f>IFERROR(VLOOKUP(F8,'Base Insumos'!$A:$C,3,FALSE()),"PENDENTE")</f>
        <v/>
      </c>
      <c r="K8" s="4">
        <f>IFERROR(IF(J8="PENDENTE",0,J8*H8),0)</f>
        <v/>
      </c>
      <c r="L8" s="4" t="n">
        <v>29.9</v>
      </c>
      <c r="M8" s="15">
        <f>IFERROR(K8/L8,0)</f>
        <v/>
      </c>
      <c r="N8" s="3" t="n"/>
    </row>
    <row r="9" ht="15" customHeight="1">
      <c r="A9" s="16" t="inlineStr">
        <is>
          <t>Espetos</t>
        </is>
      </c>
      <c r="B9" s="17" t="inlineStr">
        <is>
          <t>Tradicional</t>
        </is>
      </c>
      <c r="C9" s="18" t="inlineStr">
        <is>
          <t>Calabresa com Pimenta</t>
        </is>
      </c>
      <c r="D9" s="6">
        <f>IF(ISERROR(VLOOKUP(E9,'Estrutura Protheus'!A:A,1,FALSE)),"Não","Sim")</f>
        <v/>
      </c>
      <c r="E9" s="9" t="inlineStr">
        <is>
          <t>000021</t>
        </is>
      </c>
      <c r="F9" s="9" t="inlineStr">
        <is>
          <t>000287</t>
        </is>
      </c>
      <c r="G9" s="7" t="inlineStr">
        <is>
          <t>Espeto Calabresa c/ Pimenta</t>
        </is>
      </c>
      <c r="H9" s="19" t="n">
        <v>1</v>
      </c>
      <c r="I9" s="9" t="inlineStr">
        <is>
          <t>UN</t>
        </is>
      </c>
      <c r="J9" s="8">
        <f>IFERROR(VLOOKUP(F9,'Base Insumos'!$A:$C,3,FALSE()),"PENDENTE")</f>
        <v/>
      </c>
      <c r="K9" s="8">
        <f>IFERROR(IF(J9="PENDENTE",0,J9*H9),0)</f>
        <v/>
      </c>
      <c r="L9" s="8" t="n">
        <v>13.99</v>
      </c>
      <c r="M9" s="20">
        <f>IFERROR(K9/L9,0)</f>
        <v/>
      </c>
      <c r="N9" s="7" t="n"/>
    </row>
    <row r="10" ht="15" customHeight="1">
      <c r="A10" s="11" t="inlineStr">
        <is>
          <t>Espetos</t>
        </is>
      </c>
      <c r="B10" s="12" t="inlineStr">
        <is>
          <t>In Natura</t>
        </is>
      </c>
      <c r="C10" s="13" t="inlineStr">
        <is>
          <t>Calabresa com Pimenta</t>
        </is>
      </c>
      <c r="D10" s="2">
        <f>IF(ISERROR(VLOOKUP(E10,'Estrutura Protheus'!A:A,1,FALSE)),"Não","Sim")</f>
        <v/>
      </c>
      <c r="E10" s="5" t="inlineStr">
        <is>
          <t>000002</t>
        </is>
      </c>
      <c r="F10" s="5" t="inlineStr">
        <is>
          <t>000287</t>
        </is>
      </c>
      <c r="G10" s="3" t="inlineStr">
        <is>
          <t>Espeto Calabresa c/ Pimenta</t>
        </is>
      </c>
      <c r="H10" s="14" t="n">
        <v>6</v>
      </c>
      <c r="I10" s="5" t="inlineStr">
        <is>
          <t>UN</t>
        </is>
      </c>
      <c r="J10" s="4">
        <f>IFERROR(VLOOKUP(F10,'Base Insumos'!$A:$C,3,FALSE()),"PENDENTE")</f>
        <v/>
      </c>
      <c r="K10" s="4">
        <f>IFERROR(IF(J10="PENDENTE",0,J10*H10),0)</f>
        <v/>
      </c>
      <c r="L10" s="4" t="n">
        <v>34.9</v>
      </c>
      <c r="M10" s="15">
        <f>IFERROR(K10/L10,0)</f>
        <v/>
      </c>
      <c r="N10" s="3" t="n"/>
    </row>
    <row r="11" ht="15" customHeight="1">
      <c r="A11" s="16" t="inlineStr">
        <is>
          <t>Espetos</t>
        </is>
      </c>
      <c r="B11" s="17" t="inlineStr">
        <is>
          <t>Tradicional</t>
        </is>
      </c>
      <c r="C11" s="18" t="inlineStr">
        <is>
          <t>Calabresa sem Pimenta</t>
        </is>
      </c>
      <c r="D11" s="6">
        <f>IF(ISERROR(VLOOKUP(E11,'Estrutura Protheus'!A:A,1,FALSE)),"Não","Sim")</f>
        <v/>
      </c>
      <c r="E11" s="9" t="inlineStr">
        <is>
          <t>000022</t>
        </is>
      </c>
      <c r="F11" s="9" t="inlineStr">
        <is>
          <t>000288</t>
        </is>
      </c>
      <c r="G11" s="7" t="inlineStr">
        <is>
          <t>Espeto Calabresa s/ Pimenta</t>
        </is>
      </c>
      <c r="H11" s="19" t="n">
        <v>1</v>
      </c>
      <c r="I11" s="9" t="inlineStr">
        <is>
          <t>UN</t>
        </is>
      </c>
      <c r="J11" s="8">
        <f>IFERROR(VLOOKUP(F11,'Base Insumos'!$A:$C,3,FALSE()),"PENDENTE")</f>
        <v/>
      </c>
      <c r="K11" s="8">
        <f>IFERROR(IF(J11="PENDENTE",0,J11*H11),0)</f>
        <v/>
      </c>
      <c r="L11" s="8" t="n">
        <v>13.99</v>
      </c>
      <c r="M11" s="20">
        <f>IFERROR(K11/L11,0)</f>
        <v/>
      </c>
      <c r="N11" s="7" t="n"/>
    </row>
    <row r="12" ht="15" customHeight="1">
      <c r="A12" s="11" t="inlineStr">
        <is>
          <t>Espetos</t>
        </is>
      </c>
      <c r="B12" s="12" t="inlineStr">
        <is>
          <t>In Natura</t>
        </is>
      </c>
      <c r="C12" s="13" t="inlineStr">
        <is>
          <t>Calabresa sem Pimenta</t>
        </is>
      </c>
      <c r="D12" s="2">
        <f>IF(ISERROR(VLOOKUP(E12,'Estrutura Protheus'!A:A,1,FALSE)),"Não","Sim")</f>
        <v/>
      </c>
      <c r="E12" s="5" t="inlineStr">
        <is>
          <t>000003</t>
        </is>
      </c>
      <c r="F12" s="5" t="inlineStr">
        <is>
          <t>000288</t>
        </is>
      </c>
      <c r="G12" s="3" t="inlineStr">
        <is>
          <t>Espeto Calabresa s/ Pimenta</t>
        </is>
      </c>
      <c r="H12" s="14" t="n">
        <v>6</v>
      </c>
      <c r="I12" s="5" t="inlineStr">
        <is>
          <t>UN</t>
        </is>
      </c>
      <c r="J12" s="4">
        <f>IFERROR(VLOOKUP(F12,'Base Insumos'!$A:$C,3,FALSE()),"PENDENTE")</f>
        <v/>
      </c>
      <c r="K12" s="4">
        <f>IFERROR(IF(J12="PENDENTE",0,J12*H12),0)</f>
        <v/>
      </c>
      <c r="L12" s="4" t="n">
        <v>34.9</v>
      </c>
      <c r="M12" s="15">
        <f>IFERROR(K12/L12,0)</f>
        <v/>
      </c>
      <c r="N12" s="3" t="n"/>
    </row>
    <row r="13" ht="15" customHeight="1">
      <c r="A13" s="16" t="inlineStr">
        <is>
          <t>Espetos</t>
        </is>
      </c>
      <c r="B13" s="17" t="inlineStr">
        <is>
          <t>Premium</t>
        </is>
      </c>
      <c r="C13" s="18" t="inlineStr">
        <is>
          <t>Camarão</t>
        </is>
      </c>
      <c r="D13" s="6">
        <f>IF(ISERROR(VLOOKUP(E13,'Estrutura Protheus'!A:A,1,FALSE)),"Não","Sim")</f>
        <v/>
      </c>
      <c r="E13" s="9" t="inlineStr">
        <is>
          <t>000364</t>
        </is>
      </c>
      <c r="F13" s="9" t="inlineStr">
        <is>
          <t>000302</t>
        </is>
      </c>
      <c r="G13" s="7" t="inlineStr">
        <is>
          <t>Espeto Camarao Comum</t>
        </is>
      </c>
      <c r="H13" s="19" t="n">
        <v>1</v>
      </c>
      <c r="I13" s="9" t="inlineStr">
        <is>
          <t>UN</t>
        </is>
      </c>
      <c r="J13" s="8">
        <f>IFERROR(VLOOKUP(F13,'Base Insumos'!$A:$C,3,FALSE()),"PENDENTE")</f>
        <v/>
      </c>
      <c r="K13" s="8">
        <f>IFERROR(IF(J13="PENDENTE",0,J13*H13),0)</f>
        <v/>
      </c>
      <c r="L13" s="8" t="n">
        <v>19.99</v>
      </c>
      <c r="M13" s="20">
        <f>IFERROR(K13/L13,0)</f>
        <v/>
      </c>
      <c r="N13" s="7" t="n"/>
    </row>
    <row r="14" ht="15" customHeight="1">
      <c r="A14" s="11" t="inlineStr">
        <is>
          <t>Espetos</t>
        </is>
      </c>
      <c r="B14" s="12" t="inlineStr">
        <is>
          <t>In Natura</t>
        </is>
      </c>
      <c r="C14" s="13" t="inlineStr">
        <is>
          <t>Camarão</t>
        </is>
      </c>
      <c r="D14" s="2">
        <f>IF(ISERROR(VLOOKUP(E14,'Estrutura Protheus'!A:A,1,FALSE)),"Não","Sim")</f>
        <v/>
      </c>
      <c r="E14" s="5" t="inlineStr">
        <is>
          <t>000017</t>
        </is>
      </c>
      <c r="F14" s="5" t="inlineStr">
        <is>
          <t>000302</t>
        </is>
      </c>
      <c r="G14" s="3" t="inlineStr">
        <is>
          <t>Espeto Camarao Comum</t>
        </is>
      </c>
      <c r="H14" s="14" t="n">
        <v>7</v>
      </c>
      <c r="I14" s="5" t="inlineStr">
        <is>
          <t>UN</t>
        </is>
      </c>
      <c r="J14" s="4">
        <f>IFERROR(VLOOKUP(F14,'Base Insumos'!$A:$C,3,FALSE()),"PENDENTE")</f>
        <v/>
      </c>
      <c r="K14" s="4">
        <f>IFERROR(IF(J14="PENDENTE",0,J14*H14),0)</f>
        <v/>
      </c>
      <c r="L14" s="4" t="n">
        <v>39.9</v>
      </c>
      <c r="M14" s="15">
        <f>IFERROR(K14/L14,0)</f>
        <v/>
      </c>
      <c r="N14" s="3" t="n"/>
    </row>
    <row r="15" ht="15" customHeight="1">
      <c r="A15" s="16" t="inlineStr">
        <is>
          <t>Espetos</t>
        </is>
      </c>
      <c r="B15" s="17" t="inlineStr">
        <is>
          <t>Tradicional</t>
        </is>
      </c>
      <c r="C15" s="18" t="inlineStr">
        <is>
          <t>Carne Bovina</t>
        </is>
      </c>
      <c r="D15" s="6">
        <f>IF(ISERROR(VLOOKUP(E15,'Estrutura Protheus'!A:A,1,FALSE)),"Não","Sim")</f>
        <v/>
      </c>
      <c r="E15" s="116" t="inlineStr">
        <is>
          <t>000020</t>
        </is>
      </c>
      <c r="F15" s="9" t="inlineStr">
        <is>
          <t>000286</t>
        </is>
      </c>
      <c r="G15" s="7" t="inlineStr">
        <is>
          <t>Espeto Bovino</t>
        </is>
      </c>
      <c r="H15" s="19" t="n">
        <v>1</v>
      </c>
      <c r="I15" s="9" t="inlineStr">
        <is>
          <t>UN</t>
        </is>
      </c>
      <c r="J15" s="8">
        <f>IFERROR(VLOOKUP(F15,'Base Insumos'!$A:$C,3,FALSE()),"PENDENTE")</f>
        <v/>
      </c>
      <c r="K15" s="8">
        <f>IFERROR(IF(J15="PENDENTE",0,J15*H15),0)</f>
        <v/>
      </c>
      <c r="L15" s="8" t="n">
        <v>13.99</v>
      </c>
      <c r="M15" s="20">
        <f>IFERROR(K15/L15,0)</f>
        <v/>
      </c>
      <c r="N15" s="7" t="n"/>
    </row>
    <row r="16" ht="15" customHeight="1">
      <c r="A16" s="11" t="inlineStr">
        <is>
          <t>Espetos</t>
        </is>
      </c>
      <c r="B16" s="12" t="inlineStr">
        <is>
          <t>Tradicional</t>
        </is>
      </c>
      <c r="C16" s="13" t="inlineStr">
        <is>
          <t>Coração</t>
        </is>
      </c>
      <c r="D16" s="2">
        <f>IF(ISERROR(VLOOKUP(E16,'Estrutura Protheus'!A:A,1,FALSE)),"Não","Sim")</f>
        <v/>
      </c>
      <c r="E16" s="5" t="inlineStr">
        <is>
          <t>000023</t>
        </is>
      </c>
      <c r="F16" s="5" t="inlineStr">
        <is>
          <t>000289</t>
        </is>
      </c>
      <c r="G16" s="3" t="inlineStr">
        <is>
          <t>Espeto Coracao</t>
        </is>
      </c>
      <c r="H16" s="14" t="n">
        <v>1</v>
      </c>
      <c r="I16" s="5" t="inlineStr">
        <is>
          <t>UN</t>
        </is>
      </c>
      <c r="J16" s="4">
        <f>IFERROR(VLOOKUP(F16,'Base Insumos'!$A:$C,3,FALSE()),"PENDENTE")</f>
        <v/>
      </c>
      <c r="K16" s="4">
        <f>IFERROR(IF(J16="PENDENTE",0,J16*H16),0)</f>
        <v/>
      </c>
      <c r="L16" s="4" t="n">
        <v>13.99</v>
      </c>
      <c r="M16" s="15">
        <f>IFERROR(K16/L16,0)</f>
        <v/>
      </c>
      <c r="N16" s="3" t="n"/>
    </row>
    <row r="17" ht="15" customHeight="1">
      <c r="A17" s="16" t="inlineStr">
        <is>
          <t>Espetos</t>
        </is>
      </c>
      <c r="B17" s="17" t="inlineStr">
        <is>
          <t>In Natura</t>
        </is>
      </c>
      <c r="C17" s="18" t="inlineStr">
        <is>
          <t>Coração</t>
        </is>
      </c>
      <c r="D17" s="6">
        <f>IF(ISERROR(VLOOKUP(E17,'Estrutura Protheus'!A:A,1,FALSE)),"Não","Sim")</f>
        <v/>
      </c>
      <c r="E17" s="9" t="inlineStr">
        <is>
          <t>000004</t>
        </is>
      </c>
      <c r="F17" s="9" t="inlineStr">
        <is>
          <t>000289</t>
        </is>
      </c>
      <c r="G17" s="7" t="inlineStr">
        <is>
          <t>Espeto Coracao</t>
        </is>
      </c>
      <c r="H17" s="19" t="n">
        <v>7</v>
      </c>
      <c r="I17" s="9" t="inlineStr">
        <is>
          <t>UN</t>
        </is>
      </c>
      <c r="J17" s="8">
        <f>IFERROR(VLOOKUP(F17,'Base Insumos'!$A:$C,3,FALSE()),"PENDENTE")</f>
        <v/>
      </c>
      <c r="K17" s="8">
        <f>IFERROR(IF(J17="PENDENTE",0,J17*H17),0)</f>
        <v/>
      </c>
      <c r="L17" s="8" t="n">
        <v>29.9</v>
      </c>
      <c r="M17" s="20">
        <f>IFERROR(K17/L17,0)</f>
        <v/>
      </c>
      <c r="N17" s="7" t="n"/>
    </row>
    <row r="18" ht="15" customHeight="1">
      <c r="A18" s="11" t="inlineStr">
        <is>
          <t>Espetos</t>
        </is>
      </c>
      <c r="B18" s="12" t="inlineStr">
        <is>
          <t>In Natura</t>
        </is>
      </c>
      <c r="C18" s="13" t="inlineStr">
        <is>
          <t>Cordeiro</t>
        </is>
      </c>
      <c r="D18" s="2">
        <f>IF(ISERROR(VLOOKUP(E18,'Estrutura Protheus'!A:A,1,FALSE)),"Não","Sim")</f>
        <v/>
      </c>
      <c r="E18" s="5" t="inlineStr">
        <is>
          <t>000016</t>
        </is>
      </c>
      <c r="F18" s="5" t="inlineStr">
        <is>
          <t>000299</t>
        </is>
      </c>
      <c r="G18" s="3" t="inlineStr">
        <is>
          <t>Espeto Carre de Cordeiro</t>
        </is>
      </c>
      <c r="H18" s="14" t="n">
        <v>7</v>
      </c>
      <c r="I18" s="5" t="inlineStr">
        <is>
          <t>UN</t>
        </is>
      </c>
      <c r="J18" s="4">
        <f>IFERROR(VLOOKUP(F18,'Base Insumos'!$A:$C,3,FALSE()),"PENDENTE")</f>
        <v/>
      </c>
      <c r="K18" s="4">
        <f>IFERROR(IF(J18="PENDENTE",0,J18*H18),0)</f>
        <v/>
      </c>
      <c r="L18" s="4" t="n">
        <v>69.90000000000001</v>
      </c>
      <c r="M18" s="15">
        <f>IFERROR(K18/L18,0)</f>
        <v/>
      </c>
      <c r="N18" s="3" t="n"/>
    </row>
    <row r="19" ht="15" customHeight="1">
      <c r="A19" s="16" t="inlineStr">
        <is>
          <t>Espetos</t>
        </is>
      </c>
      <c r="B19" s="17" t="inlineStr">
        <is>
          <t>Premium</t>
        </is>
      </c>
      <c r="C19" s="18" t="inlineStr">
        <is>
          <t>Cordeiro / Hortelã</t>
        </is>
      </c>
      <c r="D19" s="6">
        <f>IF(ISERROR(VLOOKUP(E19,'Estrutura Protheus'!A:A,1,FALSE)),"Não","Sim")</f>
        <v/>
      </c>
      <c r="E19" s="9" t="inlineStr">
        <is>
          <t>000772</t>
        </is>
      </c>
      <c r="F19" s="9" t="inlineStr">
        <is>
          <t>000299</t>
        </is>
      </c>
      <c r="G19" s="7" t="inlineStr">
        <is>
          <t>Espeto Carre de Cordeiro</t>
        </is>
      </c>
      <c r="H19" s="19" t="n">
        <v>1</v>
      </c>
      <c r="I19" s="9" t="inlineStr">
        <is>
          <t>UN</t>
        </is>
      </c>
      <c r="J19" s="8">
        <f>IFERROR(VLOOKUP(F19,'Base Insumos'!$A:$C,3,FALSE()),"PENDENTE")</f>
        <v/>
      </c>
      <c r="K19" s="8">
        <f>IFERROR(IF(J19="PENDENTE",0,J19*H19),0)</f>
        <v/>
      </c>
      <c r="L19" s="8" t="n">
        <v>19.99</v>
      </c>
      <c r="M19" s="20">
        <f>IFERROR(K19/L19,0)</f>
        <v/>
      </c>
      <c r="N19" s="7" t="n"/>
    </row>
    <row r="20" ht="15" customHeight="1">
      <c r="A20" s="11" t="inlineStr">
        <is>
          <t>Espetos</t>
        </is>
      </c>
      <c r="B20" s="12" t="inlineStr">
        <is>
          <t>Premium</t>
        </is>
      </c>
      <c r="C20" s="13" t="inlineStr">
        <is>
          <t>Costela Bovina</t>
        </is>
      </c>
      <c r="D20" s="2">
        <f>IF(ISERROR(VLOOKUP(E20,'Estrutura Protheus'!A:A,1,FALSE)),"Não","Sim")</f>
        <v/>
      </c>
      <c r="E20" s="5" t="inlineStr">
        <is>
          <t>001072</t>
        </is>
      </c>
      <c r="F20" s="5" t="inlineStr">
        <is>
          <t>000290</t>
        </is>
      </c>
      <c r="G20" s="3" t="inlineStr">
        <is>
          <t>Espeto Costelinha Bovina</t>
        </is>
      </c>
      <c r="H20" s="14" t="n">
        <v>1</v>
      </c>
      <c r="I20" s="5" t="inlineStr">
        <is>
          <t>UN</t>
        </is>
      </c>
      <c r="J20" s="4">
        <f>IFERROR(VLOOKUP(F20,'Base Insumos'!$A:$C,3,FALSE()),"PENDENTE")</f>
        <v/>
      </c>
      <c r="K20" s="4">
        <f>IFERROR(IF(J20="PENDENTE",0,J20*H20),0)</f>
        <v/>
      </c>
      <c r="L20" s="4" t="n">
        <v>15.99</v>
      </c>
      <c r="M20" s="15">
        <f>IFERROR(K20/L20,0)</f>
        <v/>
      </c>
      <c r="N20" s="3" t="n"/>
    </row>
    <row r="21" ht="15" customHeight="1">
      <c r="A21" s="16" t="inlineStr">
        <is>
          <t>Espetos</t>
        </is>
      </c>
      <c r="B21" s="17" t="inlineStr">
        <is>
          <t>In Natura</t>
        </is>
      </c>
      <c r="C21" s="18" t="inlineStr">
        <is>
          <t>Costela Bovina</t>
        </is>
      </c>
      <c r="D21" s="6">
        <f>IF(ISERROR(VLOOKUP(E21,'Estrutura Protheus'!A:A,1,FALSE)),"Não","Sim")</f>
        <v/>
      </c>
      <c r="E21" s="9" t="inlineStr">
        <is>
          <t>000005</t>
        </is>
      </c>
      <c r="F21" s="9" t="inlineStr">
        <is>
          <t>000290</t>
        </is>
      </c>
      <c r="G21" s="7" t="inlineStr">
        <is>
          <t>Espeto Costelinha Bovina</t>
        </is>
      </c>
      <c r="H21" s="19" t="n">
        <v>7</v>
      </c>
      <c r="I21" s="9" t="inlineStr">
        <is>
          <t>UN</t>
        </is>
      </c>
      <c r="J21" s="8">
        <f>IFERROR(VLOOKUP(F21,'Base Insumos'!$A:$C,3,FALSE()),"PENDENTE")</f>
        <v/>
      </c>
      <c r="K21" s="8">
        <f>IFERROR(IF(J21="PENDENTE",0,J21*H21),0)</f>
        <v/>
      </c>
      <c r="L21" s="8" t="n">
        <v>39.9</v>
      </c>
      <c r="M21" s="20">
        <f>IFERROR(K21/L21,0)</f>
        <v/>
      </c>
      <c r="N21" s="7" t="n"/>
    </row>
    <row r="22" ht="15" customHeight="1">
      <c r="A22" s="11" t="inlineStr">
        <is>
          <t>Espetos</t>
        </is>
      </c>
      <c r="B22" s="12" t="inlineStr">
        <is>
          <t>Boteco no Espeto</t>
        </is>
      </c>
      <c r="C22" s="13" t="inlineStr">
        <is>
          <t>Coxinha de Frango</t>
        </is>
      </c>
      <c r="D22" s="2">
        <f>IF(ISERROR(VLOOKUP(E22,'Estrutura Protheus'!A:A,1,FALSE)),"Não","Sim")</f>
        <v/>
      </c>
      <c r="E22" s="5" t="inlineStr">
        <is>
          <t>001496</t>
        </is>
      </c>
      <c r="F22" s="5" t="inlineStr">
        <is>
          <t>000309</t>
        </is>
      </c>
      <c r="G22" s="3" t="inlineStr">
        <is>
          <t>Coxinha de Frango</t>
        </is>
      </c>
      <c r="H22" s="14" t="n">
        <v>0.1</v>
      </c>
      <c r="I22" s="5" t="inlineStr">
        <is>
          <t>KG</t>
        </is>
      </c>
      <c r="J22" s="4">
        <f>IFERROR(VLOOKUP(F22,'Base Insumos'!$A:$C,3,FALSE()),"PENDENTE")</f>
        <v/>
      </c>
      <c r="K22" s="4">
        <f>IFERROR(IF(J22="PENDENTE",0,J22*H22),0)</f>
        <v/>
      </c>
      <c r="L22" s="4" t="n">
        <v>14.99</v>
      </c>
      <c r="M22" s="15">
        <f>IFERROR(K22/L22,0)</f>
        <v/>
      </c>
      <c r="N22" s="3" t="n"/>
    </row>
    <row r="23" ht="15" customHeight="1">
      <c r="A23" s="16" t="inlineStr">
        <is>
          <t>Espetos</t>
        </is>
      </c>
      <c r="B23" s="17" t="inlineStr">
        <is>
          <t>Boteco no Espeto</t>
        </is>
      </c>
      <c r="C23" s="18" t="inlineStr">
        <is>
          <t>Crispy de Gouda</t>
        </is>
      </c>
      <c r="D23" s="6">
        <f>IF(ISERROR(VLOOKUP(E23,'Estrutura Protheus'!A:A,1,FALSE)),"Não","Sim")</f>
        <v/>
      </c>
      <c r="E23" s="9" t="inlineStr">
        <is>
          <t>001495</t>
        </is>
      </c>
      <c r="F23" s="9" t="inlineStr">
        <is>
          <t>001637</t>
        </is>
      </c>
      <c r="G23" s="7" t="inlineStr">
        <is>
          <t>Bolinho D Queijo Gouda</t>
        </is>
      </c>
      <c r="H23" s="19" t="n">
        <v>0.1</v>
      </c>
      <c r="I23" s="9" t="inlineStr">
        <is>
          <t>KG</t>
        </is>
      </c>
      <c r="J23" s="8">
        <f>IFERROR(VLOOKUP(F23,'Base Insumos'!$A:$C,3,FALSE()),"PENDENTE")</f>
        <v/>
      </c>
      <c r="K23" s="8">
        <f>IFERROR(IF(J23="PENDENTE",0,J23*H23),0)</f>
        <v/>
      </c>
      <c r="L23" s="8" t="n">
        <v>17.99</v>
      </c>
      <c r="M23" s="20">
        <f>IFERROR(K23/L23,0)</f>
        <v/>
      </c>
      <c r="N23" s="7" t="n"/>
    </row>
    <row r="24" ht="15" customHeight="1">
      <c r="A24" s="11" t="inlineStr">
        <is>
          <t>Espetos</t>
        </is>
      </c>
      <c r="B24" s="12" t="inlineStr">
        <is>
          <t>In Natura</t>
        </is>
      </c>
      <c r="C24" s="13" t="inlineStr">
        <is>
          <t>Filé Mignon</t>
        </is>
      </c>
      <c r="D24" s="2">
        <f>IF(ISERROR(VLOOKUP(E24,'Estrutura Protheus'!A:A,1,FALSE)),"Não","Sim")</f>
        <v/>
      </c>
      <c r="E24" s="5" t="inlineStr">
        <is>
          <t>000012</t>
        </is>
      </c>
      <c r="F24" s="5" t="inlineStr">
        <is>
          <t>000296</t>
        </is>
      </c>
      <c r="G24" s="3" t="inlineStr">
        <is>
          <t>Espeto File Mignon</t>
        </is>
      </c>
      <c r="H24" s="14" t="n">
        <v>7</v>
      </c>
      <c r="I24" s="5" t="inlineStr">
        <is>
          <t>UN</t>
        </is>
      </c>
      <c r="J24" s="4">
        <f>IFERROR(VLOOKUP(F24,'Base Insumos'!$A:$C,3,FALSE()),"PENDENTE")</f>
        <v/>
      </c>
      <c r="K24" s="4">
        <f>IFERROR(IF(J24="PENDENTE",0,J24*H24),0)</f>
        <v/>
      </c>
      <c r="L24" s="4" t="n">
        <v>69.90000000000001</v>
      </c>
      <c r="M24" s="15">
        <f>IFERROR(K24/L24,0)</f>
        <v/>
      </c>
      <c r="N24" s="3" t="n"/>
    </row>
    <row r="25" ht="15" customHeight="1">
      <c r="A25" s="16" t="inlineStr">
        <is>
          <t>Espetos</t>
        </is>
      </c>
      <c r="B25" s="17" t="inlineStr">
        <is>
          <t>Tradicional</t>
        </is>
      </c>
      <c r="C25" s="18" t="inlineStr">
        <is>
          <t>Frango</t>
        </is>
      </c>
      <c r="D25" s="6">
        <f>IF(ISERROR(VLOOKUP(E25,'Estrutura Protheus'!A:A,1,FALSE)),"Não","Sim")</f>
        <v/>
      </c>
      <c r="E25" s="9" t="inlineStr">
        <is>
          <t>000024</t>
        </is>
      </c>
      <c r="F25" s="9" t="inlineStr">
        <is>
          <t>000291</t>
        </is>
      </c>
      <c r="G25" s="7" t="inlineStr">
        <is>
          <t>Espeto Frango</t>
        </is>
      </c>
      <c r="H25" s="19" t="n">
        <v>1</v>
      </c>
      <c r="I25" s="9" t="inlineStr">
        <is>
          <t>UN</t>
        </is>
      </c>
      <c r="J25" s="8">
        <f>IFERROR(VLOOKUP(F25,'Base Insumos'!$A:$C,3,FALSE()),"PENDENTE")</f>
        <v/>
      </c>
      <c r="K25" s="8">
        <f>IFERROR(IF(J25="PENDENTE",0,J25*H25),0)</f>
        <v/>
      </c>
      <c r="L25" s="8" t="n">
        <v>13.99</v>
      </c>
      <c r="M25" s="20">
        <f>IFERROR(K25/L25,0)</f>
        <v/>
      </c>
      <c r="N25" s="7" t="n"/>
    </row>
    <row r="26" ht="15" customHeight="1">
      <c r="A26" s="11" t="inlineStr">
        <is>
          <t>Espetos</t>
        </is>
      </c>
      <c r="B26" s="12" t="inlineStr">
        <is>
          <t>In Natura</t>
        </is>
      </c>
      <c r="C26" s="13" t="inlineStr">
        <is>
          <t>Frango</t>
        </is>
      </c>
      <c r="D26" s="2">
        <f>IF(ISERROR(VLOOKUP(E26,'Estrutura Protheus'!A:A,1,FALSE)),"Não","Sim")</f>
        <v/>
      </c>
      <c r="E26" s="5" t="inlineStr">
        <is>
          <t>000006</t>
        </is>
      </c>
      <c r="F26" s="5" t="inlineStr">
        <is>
          <t>000291</t>
        </is>
      </c>
      <c r="G26" s="3" t="inlineStr">
        <is>
          <t>Espeto Frango</t>
        </is>
      </c>
      <c r="H26" s="14" t="n">
        <v>7</v>
      </c>
      <c r="I26" s="5" t="inlineStr">
        <is>
          <t>UN</t>
        </is>
      </c>
      <c r="J26" s="4">
        <f>IFERROR(VLOOKUP(F26,'Base Insumos'!$A:$C,3,FALSE()),"PENDENTE")</f>
        <v/>
      </c>
      <c r="K26" s="4">
        <f>IFERROR(IF(J26="PENDENTE",0,J26*H26),0)</f>
        <v/>
      </c>
      <c r="L26" s="4" t="n">
        <v>29.9</v>
      </c>
      <c r="M26" s="15">
        <f>IFERROR(K26/L26,0)</f>
        <v/>
      </c>
      <c r="N26" s="3" t="n"/>
    </row>
    <row r="27" ht="15" customHeight="1">
      <c r="A27" s="16" t="inlineStr">
        <is>
          <t>Espetos</t>
        </is>
      </c>
      <c r="B27" s="17" t="inlineStr">
        <is>
          <t>Tradicional</t>
        </is>
      </c>
      <c r="C27" s="18" t="inlineStr">
        <is>
          <t>Kafta</t>
        </is>
      </c>
      <c r="D27" s="6">
        <f>IF(ISERROR(VLOOKUP(E27,'Estrutura Protheus'!A:A,1,FALSE)),"Não","Sim")</f>
        <v/>
      </c>
      <c r="E27" s="9" t="inlineStr">
        <is>
          <t>000025</t>
        </is>
      </c>
      <c r="F27" s="9" t="inlineStr">
        <is>
          <t>000293</t>
        </is>
      </c>
      <c r="G27" s="7" t="inlineStr">
        <is>
          <t>Espeto Kafta</t>
        </is>
      </c>
      <c r="H27" s="19" t="n">
        <v>1</v>
      </c>
      <c r="I27" s="9" t="inlineStr">
        <is>
          <t>UN</t>
        </is>
      </c>
      <c r="J27" s="8">
        <f>IFERROR(VLOOKUP(F27,'Base Insumos'!$A:$C,3,FALSE()),"PENDENTE")</f>
        <v/>
      </c>
      <c r="K27" s="8">
        <f>IFERROR(IF(J27="PENDENTE",0,J27*H27),0)</f>
        <v/>
      </c>
      <c r="L27" s="8" t="n">
        <v>13.99</v>
      </c>
      <c r="M27" s="20">
        <f>IFERROR(K27/L27,0)</f>
        <v/>
      </c>
      <c r="N27" s="7" t="n"/>
    </row>
    <row r="28" ht="15" customHeight="1">
      <c r="A28" s="11" t="inlineStr">
        <is>
          <t>Espetos</t>
        </is>
      </c>
      <c r="B28" s="12" t="inlineStr">
        <is>
          <t>In Natura</t>
        </is>
      </c>
      <c r="C28" s="13" t="inlineStr">
        <is>
          <t>Kafta</t>
        </is>
      </c>
      <c r="D28" s="2">
        <f>IF(ISERROR(VLOOKUP(E28,'Estrutura Protheus'!A:A,1,FALSE)),"Não","Sim")</f>
        <v/>
      </c>
      <c r="E28" s="5" t="inlineStr">
        <is>
          <t>000007</t>
        </is>
      </c>
      <c r="F28" s="5" t="inlineStr">
        <is>
          <t>000293</t>
        </is>
      </c>
      <c r="G28" s="3" t="inlineStr">
        <is>
          <t>Espeto Kafta</t>
        </is>
      </c>
      <c r="H28" s="14" t="n">
        <v>7</v>
      </c>
      <c r="I28" s="5" t="inlineStr">
        <is>
          <t>UN</t>
        </is>
      </c>
      <c r="J28" s="4">
        <f>IFERROR(VLOOKUP(F28,'Base Insumos'!$A:$C,3,FALSE()),"PENDENTE")</f>
        <v/>
      </c>
      <c r="K28" s="4">
        <f>IFERROR(IF(J28="PENDENTE",0,J28*H28),0)</f>
        <v/>
      </c>
      <c r="L28" s="4" t="n">
        <v>29.9</v>
      </c>
      <c r="M28" s="15">
        <f>IFERROR(K28/L28,0)</f>
        <v/>
      </c>
      <c r="N28" s="3" t="n"/>
    </row>
    <row r="29" ht="15" customHeight="1">
      <c r="A29" s="16" t="inlineStr">
        <is>
          <t>Espetos</t>
        </is>
      </c>
      <c r="B29" s="17" t="inlineStr">
        <is>
          <t>Premium</t>
        </is>
      </c>
      <c r="C29" s="18" t="inlineStr">
        <is>
          <t>Kibe c/ Queijo</t>
        </is>
      </c>
      <c r="D29" s="6">
        <f>IF(ISERROR(VLOOKUP(E29,'Estrutura Protheus'!A:A,1,FALSE)),"Não","Sim")</f>
        <v/>
      </c>
      <c r="E29" s="9" t="inlineStr">
        <is>
          <t>000767</t>
        </is>
      </c>
      <c r="F29" s="9" t="inlineStr">
        <is>
          <t>000308</t>
        </is>
      </c>
      <c r="G29" s="7" t="inlineStr">
        <is>
          <t>Kibe Pct com 50und</t>
        </is>
      </c>
      <c r="H29" s="19" t="n">
        <v>4</v>
      </c>
      <c r="I29" s="9" t="inlineStr">
        <is>
          <t>UN</t>
        </is>
      </c>
      <c r="J29" s="8">
        <f>IFERROR(VLOOKUP(F29,'Base Insumos'!$A:$C,3,FALSE()),"PENDENTE")</f>
        <v/>
      </c>
      <c r="K29" s="8">
        <f>IFERROR(IF(J29="PENDENTE",0,J29*H29),0)</f>
        <v/>
      </c>
      <c r="L29" s="8" t="n">
        <v>14.99</v>
      </c>
      <c r="M29" s="20">
        <f>IFERROR(K29/L29,0)</f>
        <v/>
      </c>
      <c r="N29" s="7" t="n"/>
    </row>
    <row r="30" ht="15" customHeight="1">
      <c r="A30" s="11" t="inlineStr">
        <is>
          <t>Espetos</t>
        </is>
      </c>
      <c r="B30" s="12" t="inlineStr">
        <is>
          <t>Premium</t>
        </is>
      </c>
      <c r="C30" s="13" t="inlineStr">
        <is>
          <t>Linguiça Cuiabana</t>
        </is>
      </c>
      <c r="D30" s="2">
        <f>IF(ISERROR(VLOOKUP(E30,'Estrutura Protheus'!A:A,1,FALSE)),"Não","Sim")</f>
        <v/>
      </c>
      <c r="E30" s="5" t="inlineStr">
        <is>
          <t>000028</t>
        </is>
      </c>
      <c r="F30" s="5" t="inlineStr">
        <is>
          <t>000750</t>
        </is>
      </c>
      <c r="G30" s="3" t="inlineStr">
        <is>
          <t>Espeto Linguica Cuiabana</t>
        </is>
      </c>
      <c r="H30" s="14" t="n">
        <v>1</v>
      </c>
      <c r="I30" s="5" t="inlineStr">
        <is>
          <t>UN</t>
        </is>
      </c>
      <c r="J30" s="4">
        <f>IFERROR(VLOOKUP(F30,'Base Insumos'!$A:$C,3,FALSE()),"PENDENTE")</f>
        <v/>
      </c>
      <c r="K30" s="4">
        <f>IFERROR(IF(J30="PENDENTE",0,J30*H30),0)</f>
        <v/>
      </c>
      <c r="L30" s="4" t="n">
        <v>15.99</v>
      </c>
      <c r="M30" s="15">
        <f>IFERROR(K30/L30,0)</f>
        <v/>
      </c>
      <c r="N30" s="3" t="n"/>
    </row>
    <row r="31" ht="15" customHeight="1">
      <c r="A31" s="16" t="inlineStr">
        <is>
          <t>Espetos</t>
        </is>
      </c>
      <c r="B31" s="17" t="inlineStr">
        <is>
          <t>Boteco no Espeto</t>
        </is>
      </c>
      <c r="C31" s="18" t="inlineStr">
        <is>
          <t>Medalhão de Alcatra</t>
        </is>
      </c>
      <c r="D31" s="6">
        <f>IF(ISERROR(VLOOKUP(E31,'Estrutura Protheus'!A:A,1,FALSE)),"Não","Sim")</f>
        <v/>
      </c>
      <c r="E31" s="9" t="inlineStr">
        <is>
          <t>010009</t>
        </is>
      </c>
      <c r="F31" s="9" t="inlineStr">
        <is>
          <t>000294</t>
        </is>
      </c>
      <c r="G31" s="7" t="inlineStr">
        <is>
          <t>Espeto Medalhao de Alcatra</t>
        </is>
      </c>
      <c r="H31" s="19" t="n">
        <v>1</v>
      </c>
      <c r="I31" s="9" t="inlineStr">
        <is>
          <t>UN</t>
        </is>
      </c>
      <c r="J31" s="8">
        <f>IFERROR(VLOOKUP(F31,'Base Insumos'!$A:$C,3,FALSE()),"PENDENTE")</f>
        <v/>
      </c>
      <c r="K31" s="8">
        <f>IFERROR(IF(J31="PENDENTE",0,J31*H31),0)</f>
        <v/>
      </c>
      <c r="L31" s="8" t="n">
        <v>19.99</v>
      </c>
      <c r="M31" s="20">
        <f>IFERROR(K31/L31,0)</f>
        <v/>
      </c>
      <c r="N31" s="7" t="n"/>
    </row>
    <row r="32" ht="15" customHeight="1">
      <c r="A32" s="11" t="inlineStr">
        <is>
          <t>Espetos</t>
        </is>
      </c>
      <c r="B32" s="12" t="inlineStr">
        <is>
          <t>Premium</t>
        </is>
      </c>
      <c r="C32" s="13" t="inlineStr">
        <is>
          <t>Medalhão de Frango</t>
        </is>
      </c>
      <c r="D32" s="2">
        <f>IF(ISERROR(VLOOKUP(E32,'Estrutura Protheus'!A:A,1,FALSE)),"Não","Sim")</f>
        <v/>
      </c>
      <c r="E32" s="5" t="inlineStr">
        <is>
          <t>010010</t>
        </is>
      </c>
      <c r="F32" s="5" t="inlineStr">
        <is>
          <t>000295</t>
        </is>
      </c>
      <c r="G32" s="3" t="inlineStr">
        <is>
          <t>Espeto Medalhao de Frango</t>
        </is>
      </c>
      <c r="H32" s="14" t="n">
        <v>1</v>
      </c>
      <c r="I32" s="5" t="inlineStr">
        <is>
          <t>UN</t>
        </is>
      </c>
      <c r="J32" s="4">
        <f>IFERROR(VLOOKUP(F32,'Base Insumos'!$A:$C,3,FALSE()),"PENDENTE")</f>
        <v/>
      </c>
      <c r="K32" s="4">
        <f>IFERROR(IF(J32="PENDENTE",0,J32*H32),0)</f>
        <v/>
      </c>
      <c r="L32" s="4" t="n">
        <v>19.99</v>
      </c>
      <c r="M32" s="15">
        <f>IFERROR(K32/L32,0)</f>
        <v/>
      </c>
      <c r="N32" s="3" t="n"/>
    </row>
    <row r="33" ht="15" customHeight="1">
      <c r="A33" s="16" t="inlineStr">
        <is>
          <t>Espetos</t>
        </is>
      </c>
      <c r="B33" s="17" t="inlineStr">
        <is>
          <t>Boteco no Espeto</t>
        </is>
      </c>
      <c r="C33" s="18" t="inlineStr">
        <is>
          <t>Medalhão de Mandioca</t>
        </is>
      </c>
      <c r="D33" s="6">
        <f>IF(ISERROR(VLOOKUP(E33,'Estrutura Protheus'!A:A,1,FALSE)),"Não","Sim")</f>
        <v/>
      </c>
      <c r="E33" s="9" t="inlineStr">
        <is>
          <t>010007</t>
        </is>
      </c>
      <c r="F33" s="9" t="inlineStr">
        <is>
          <t>009953</t>
        </is>
      </c>
      <c r="G33" s="7" t="inlineStr">
        <is>
          <t>Espeto Medalhao de Mandioca</t>
        </is>
      </c>
      <c r="H33" s="19" t="n">
        <v>1</v>
      </c>
      <c r="I33" s="9" t="inlineStr">
        <is>
          <t>UN</t>
        </is>
      </c>
      <c r="J33" s="8">
        <f>IFERROR(VLOOKUP(F33,'Base Insumos'!$A:$C,3,FALSE()),"PENDENTE")</f>
        <v/>
      </c>
      <c r="K33" s="8">
        <f>IFERROR(IF(J33="PENDENTE",0,J33*H33),0)</f>
        <v/>
      </c>
      <c r="L33" s="8" t="n">
        <v>13.99</v>
      </c>
      <c r="M33" s="20">
        <f>IFERROR(K33/L33,0)</f>
        <v/>
      </c>
      <c r="N33" s="7" t="n"/>
    </row>
    <row r="34" ht="15" customHeight="1">
      <c r="A34" s="11" t="inlineStr">
        <is>
          <t>Espetos</t>
        </is>
      </c>
      <c r="B34" s="12" t="inlineStr">
        <is>
          <t>Premium</t>
        </is>
      </c>
      <c r="C34" s="13" t="inlineStr">
        <is>
          <t>Mignon</t>
        </is>
      </c>
      <c r="D34" s="2">
        <f>IF(ISERROR(VLOOKUP(E34,'Estrutura Protheus'!A:A,1,FALSE)),"Não","Sim")</f>
        <v/>
      </c>
      <c r="E34" s="5" t="inlineStr">
        <is>
          <t>000773</t>
        </is>
      </c>
      <c r="F34" s="5" t="inlineStr">
        <is>
          <t>000296</t>
        </is>
      </c>
      <c r="G34" s="3" t="inlineStr">
        <is>
          <t>Espeto File Mignon</t>
        </is>
      </c>
      <c r="H34" s="14" t="n">
        <v>1</v>
      </c>
      <c r="I34" s="5" t="inlineStr">
        <is>
          <t>UN</t>
        </is>
      </c>
      <c r="J34" s="4">
        <f>IFERROR(VLOOKUP(F34,'Base Insumos'!$A:$C,3,FALSE()),"PENDENTE")</f>
        <v/>
      </c>
      <c r="K34" s="4">
        <f>IFERROR(IF(J34="PENDENTE",0,J34*H34),0)</f>
        <v/>
      </c>
      <c r="L34" s="4" t="n">
        <v>19.99</v>
      </c>
      <c r="M34" s="15">
        <f>IFERROR(K34/L34,0)</f>
        <v/>
      </c>
      <c r="N34" s="3" t="n"/>
    </row>
    <row r="35" ht="15" customHeight="1">
      <c r="A35" s="16" t="inlineStr">
        <is>
          <t>Espetos</t>
        </is>
      </c>
      <c r="B35" s="17" t="inlineStr">
        <is>
          <t>Tradicional</t>
        </is>
      </c>
      <c r="C35" s="18" t="inlineStr">
        <is>
          <t>Panceta</t>
        </is>
      </c>
      <c r="D35" s="6">
        <f>IF(ISERROR(VLOOKUP(E35,'Estrutura Protheus'!A:A,1,FALSE)),"Não","Sim")</f>
        <v/>
      </c>
      <c r="E35" s="9" t="inlineStr">
        <is>
          <t>000029</t>
        </is>
      </c>
      <c r="F35" s="9" t="inlineStr">
        <is>
          <t>000751</t>
        </is>
      </c>
      <c r="G35" s="7" t="inlineStr">
        <is>
          <t>Espeto Panceta</t>
        </is>
      </c>
      <c r="H35" s="19" t="n">
        <v>1</v>
      </c>
      <c r="I35" s="9" t="inlineStr">
        <is>
          <t>UN</t>
        </is>
      </c>
      <c r="J35" s="8">
        <f>IFERROR(VLOOKUP(F35,'Base Insumos'!$A:$C,3,FALSE()),"PENDENTE")</f>
        <v/>
      </c>
      <c r="K35" s="8">
        <f>IFERROR(IF(J35="PENDENTE",0,J35*H35),0)</f>
        <v/>
      </c>
      <c r="L35" s="8" t="n">
        <v>13.99</v>
      </c>
      <c r="M35" s="20">
        <f>IFERROR(K35/L35,0)</f>
        <v/>
      </c>
      <c r="N35" s="7" t="n"/>
    </row>
    <row r="36" ht="15" customHeight="1">
      <c r="A36" s="11" t="inlineStr">
        <is>
          <t>Espetos</t>
        </is>
      </c>
      <c r="B36" s="12" t="inlineStr">
        <is>
          <t>In Natura</t>
        </is>
      </c>
      <c r="C36" s="13" t="inlineStr">
        <is>
          <t>Panceta</t>
        </is>
      </c>
      <c r="D36" s="2">
        <f>IF(ISERROR(VLOOKUP(E36,'Estrutura Protheus'!A:A,1,FALSE)),"Não","Sim")</f>
        <v/>
      </c>
      <c r="E36" s="5" t="inlineStr">
        <is>
          <t>001012</t>
        </is>
      </c>
      <c r="F36" s="5" t="inlineStr">
        <is>
          <t>000751</t>
        </is>
      </c>
      <c r="G36" s="3" t="inlineStr">
        <is>
          <t>Espeto Panceta</t>
        </is>
      </c>
      <c r="H36" s="14" t="n">
        <v>7</v>
      </c>
      <c r="I36" s="5" t="inlineStr">
        <is>
          <t>UN</t>
        </is>
      </c>
      <c r="J36" s="4">
        <f>IFERROR(VLOOKUP(F36,'Base Insumos'!$A:$C,3,FALSE()),"PENDENTE")</f>
        <v/>
      </c>
      <c r="K36" s="4">
        <f>IFERROR(IF(J36="PENDENTE",0,J36*H36),0)</f>
        <v/>
      </c>
      <c r="L36" s="4" t="n">
        <v>29.9</v>
      </c>
      <c r="M36" s="15">
        <f>IFERROR(K36/L36,0)</f>
        <v/>
      </c>
      <c r="N36" s="3" t="n"/>
    </row>
    <row r="37" ht="15" customHeight="1">
      <c r="A37" s="16" t="inlineStr">
        <is>
          <t>Espetos</t>
        </is>
      </c>
      <c r="B37" s="17" t="inlineStr">
        <is>
          <t>In Natura</t>
        </is>
      </c>
      <c r="C37" s="18" t="inlineStr">
        <is>
          <t>Pão com Mussarela</t>
        </is>
      </c>
      <c r="D37" s="6">
        <f>IF(ISERROR(VLOOKUP(E37,'Estrutura Protheus'!A:A,1,FALSE)),"Não","Sim")</f>
        <v/>
      </c>
      <c r="E37" s="9" t="inlineStr">
        <is>
          <t>000014</t>
        </is>
      </c>
      <c r="F37" s="9" t="inlineStr">
        <is>
          <t>000300</t>
        </is>
      </c>
      <c r="G37" s="7" t="inlineStr">
        <is>
          <t>Espeto Pao de Alho c/ Mussarel</t>
        </is>
      </c>
      <c r="H37" s="19" t="n">
        <v>7</v>
      </c>
      <c r="I37" s="9" t="inlineStr">
        <is>
          <t>UN</t>
        </is>
      </c>
      <c r="J37" s="8">
        <f>IFERROR(VLOOKUP(F37,'Base Insumos'!$A:$C,3,FALSE()),"PENDENTE")</f>
        <v/>
      </c>
      <c r="K37" s="8">
        <f>IFERROR(IF(J37="PENDENTE",0,J37*H37),0)</f>
        <v/>
      </c>
      <c r="L37" s="8" t="n">
        <v>24.9</v>
      </c>
      <c r="M37" s="20">
        <f>IFERROR(K37/L37,0)</f>
        <v/>
      </c>
      <c r="N37" s="7" t="n"/>
    </row>
    <row r="38" ht="15" customHeight="1">
      <c r="A38" s="11" t="inlineStr">
        <is>
          <t>Espetos</t>
        </is>
      </c>
      <c r="B38" s="12" t="inlineStr">
        <is>
          <t>Tradicional</t>
        </is>
      </c>
      <c r="C38" s="13" t="inlineStr">
        <is>
          <t>Pão de alho recheado com muçarela</t>
        </is>
      </c>
      <c r="D38" s="2">
        <f>IF(ISERROR(VLOOKUP(E38,'Estrutura Protheus'!A:A,1,FALSE)),"Não","Sim")</f>
        <v/>
      </c>
      <c r="E38" s="5" t="inlineStr">
        <is>
          <t>000026</t>
        </is>
      </c>
      <c r="F38" s="5" t="inlineStr">
        <is>
          <t>000300</t>
        </is>
      </c>
      <c r="G38" s="3" t="inlineStr">
        <is>
          <t>Espeto Pao de Alho c/ Mussarel</t>
        </is>
      </c>
      <c r="H38" s="14" t="n">
        <v>1</v>
      </c>
      <c r="I38" s="5" t="inlineStr">
        <is>
          <t>UN</t>
        </is>
      </c>
      <c r="J38" s="4">
        <f>IFERROR(VLOOKUP(F38,'Base Insumos'!$A:$C,3,FALSE()),"PENDENTE")</f>
        <v/>
      </c>
      <c r="K38" s="4">
        <f>IFERROR(IF(J38="PENDENTE",0,J38*H38),0)</f>
        <v/>
      </c>
      <c r="L38" s="4" t="n">
        <v>13.99</v>
      </c>
      <c r="M38" s="15">
        <f>IFERROR(K38/L38,0)</f>
        <v/>
      </c>
      <c r="N38" s="3" t="n"/>
    </row>
    <row r="39" ht="15" customHeight="1">
      <c r="A39" s="16" t="inlineStr">
        <is>
          <t>Espetos</t>
        </is>
      </c>
      <c r="B39" s="17" t="inlineStr">
        <is>
          <t>Premium</t>
        </is>
      </c>
      <c r="C39" s="18" t="inlineStr">
        <is>
          <t>Picanha</t>
        </is>
      </c>
      <c r="D39" s="6">
        <f>IF(ISERROR(VLOOKUP(E39,'Estrutura Protheus'!A:A,1,FALSE)),"Não","Sim")</f>
        <v/>
      </c>
      <c r="E39" s="9" t="inlineStr">
        <is>
          <t>000770</t>
        </is>
      </c>
      <c r="F39" s="9" t="inlineStr">
        <is>
          <t>000297</t>
        </is>
      </c>
      <c r="G39" s="7" t="inlineStr">
        <is>
          <t>Espeto Picanha c/ Gordura</t>
        </is>
      </c>
      <c r="H39" s="19" t="n">
        <v>1</v>
      </c>
      <c r="I39" s="9" t="inlineStr">
        <is>
          <t>UN</t>
        </is>
      </c>
      <c r="J39" s="8">
        <f>IFERROR(VLOOKUP(F39,'Base Insumos'!$A:$C,3,FALSE()),"PENDENTE")</f>
        <v/>
      </c>
      <c r="K39" s="8">
        <f>IFERROR(IF(J39="PENDENTE",0,J39*H39),0)</f>
        <v/>
      </c>
      <c r="L39" s="8" t="n">
        <v>19.99</v>
      </c>
      <c r="M39" s="20">
        <f>IFERROR(K39/L39,0)</f>
        <v/>
      </c>
      <c r="N39" s="7" t="n"/>
    </row>
    <row r="40" ht="15" customHeight="1">
      <c r="A40" s="11" t="inlineStr">
        <is>
          <t>Espetos</t>
        </is>
      </c>
      <c r="B40" s="12" t="inlineStr">
        <is>
          <t>In Natura</t>
        </is>
      </c>
      <c r="C40" s="13" t="inlineStr">
        <is>
          <t>Picanha</t>
        </is>
      </c>
      <c r="D40" s="2">
        <f>IF(ISERROR(VLOOKUP(E40,'Estrutura Protheus'!A:A,1,FALSE)),"Não","Sim")</f>
        <v/>
      </c>
      <c r="E40" s="5" t="inlineStr">
        <is>
          <t>000011</t>
        </is>
      </c>
      <c r="F40" s="5" t="inlineStr">
        <is>
          <t>000297</t>
        </is>
      </c>
      <c r="G40" s="3" t="inlineStr">
        <is>
          <t>Espeto Picanha c/ Gordura</t>
        </is>
      </c>
      <c r="H40" s="14" t="n">
        <v>7</v>
      </c>
      <c r="I40" s="5" t="inlineStr">
        <is>
          <t>UN</t>
        </is>
      </c>
      <c r="J40" s="4">
        <f>IFERROR(VLOOKUP(F40,'Base Insumos'!$A:$C,3,FALSE()),"PENDENTE")</f>
        <v/>
      </c>
      <c r="K40" s="4">
        <f>IFERROR(IF(J40="PENDENTE",0,J40*H40),0)</f>
        <v/>
      </c>
      <c r="L40" s="4" t="n">
        <v>69.90000000000001</v>
      </c>
      <c r="M40" s="15">
        <f>IFERROR(K40/L40,0)</f>
        <v/>
      </c>
      <c r="N40" s="3" t="n"/>
    </row>
    <row r="41" ht="15" customHeight="1">
      <c r="A41" s="16" t="inlineStr">
        <is>
          <t>Espetos</t>
        </is>
      </c>
      <c r="B41" s="17" t="inlineStr">
        <is>
          <t>Premium</t>
        </is>
      </c>
      <c r="C41" s="18" t="inlineStr">
        <is>
          <t>Provolone Defumado</t>
        </is>
      </c>
      <c r="D41" s="6">
        <f>IF(ISERROR(VLOOKUP(E41,'Estrutura Protheus'!A:A,1,FALSE)),"Não","Sim")</f>
        <v/>
      </c>
      <c r="E41" s="9" t="inlineStr">
        <is>
          <t>010008</t>
        </is>
      </c>
      <c r="F41" s="9" t="inlineStr">
        <is>
          <t>009954</t>
        </is>
      </c>
      <c r="G41" s="7" t="inlineStr">
        <is>
          <t>Espeto de Provolone Defumado</t>
        </is>
      </c>
      <c r="H41" s="19" t="n">
        <v>0.07000000000000001</v>
      </c>
      <c r="I41" s="9" t="inlineStr">
        <is>
          <t>KG</t>
        </is>
      </c>
      <c r="J41" s="8">
        <f>IFERROR(VLOOKUP(F41,'Base Insumos'!$A:$C,3,FALSE()),"PENDENTE")</f>
        <v/>
      </c>
      <c r="K41" s="8">
        <f>IFERROR(IF(J41="PENDENTE",0,J41*H41),0)</f>
        <v/>
      </c>
      <c r="L41" s="8" t="n">
        <v>13.99</v>
      </c>
      <c r="M41" s="20">
        <f>IFERROR(K41/L41,0)</f>
        <v/>
      </c>
      <c r="N41" s="7" t="n"/>
    </row>
    <row r="42" ht="15" customHeight="1">
      <c r="A42" s="11" t="inlineStr">
        <is>
          <t>Espetos</t>
        </is>
      </c>
      <c r="B42" s="12" t="inlineStr">
        <is>
          <t>Direto da Fazenda</t>
        </is>
      </c>
      <c r="C42" s="13" t="inlineStr">
        <is>
          <t>Queijo Coalho</t>
        </is>
      </c>
      <c r="D42" s="2">
        <f>IF(ISERROR(VLOOKUP(E42,'Estrutura Protheus'!A:A,1,FALSE)),"Não","Sim")</f>
        <v/>
      </c>
      <c r="E42" s="5" t="inlineStr">
        <is>
          <t>000282</t>
        </is>
      </c>
      <c r="F42" s="5" t="inlineStr">
        <is>
          <t>000439</t>
        </is>
      </c>
      <c r="G42" s="3" t="inlineStr">
        <is>
          <t>Espeto Queijo Coalho</t>
        </is>
      </c>
      <c r="H42" s="14" t="n">
        <v>0.06</v>
      </c>
      <c r="I42" s="5" t="inlineStr">
        <is>
          <t>KG</t>
        </is>
      </c>
      <c r="J42" s="4">
        <f>IFERROR(VLOOKUP(F42,'Base Insumos'!$A:$C,3,FALSE()),"PENDENTE")</f>
        <v/>
      </c>
      <c r="K42" s="4">
        <f>IFERROR(IF(J42="PENDENTE",0,J42*H42),0)</f>
        <v/>
      </c>
      <c r="L42" s="4" t="n">
        <v>13.99</v>
      </c>
      <c r="M42" s="15">
        <f>IFERROR(K42/L42,0)</f>
        <v/>
      </c>
      <c r="N42" s="3" t="n"/>
    </row>
    <row r="43" ht="15" customHeight="1">
      <c r="A43" s="16" t="inlineStr">
        <is>
          <t>Espetos</t>
        </is>
      </c>
      <c r="B43" s="17" t="inlineStr">
        <is>
          <t>In Natura</t>
        </is>
      </c>
      <c r="C43" s="18" t="inlineStr">
        <is>
          <t>Queijo Coalho</t>
        </is>
      </c>
      <c r="D43" s="6">
        <f>IF(ISERROR(VLOOKUP(E43,'Estrutura Protheus'!A:A,1,FALSE)),"Não","Sim")</f>
        <v/>
      </c>
      <c r="E43" s="9" t="inlineStr">
        <is>
          <t>000008</t>
        </is>
      </c>
      <c r="F43" s="9" t="inlineStr">
        <is>
          <t>000439</t>
        </is>
      </c>
      <c r="G43" s="7" t="inlineStr">
        <is>
          <t>Espeto Queijo Coalho</t>
        </is>
      </c>
      <c r="H43" s="19">
        <f>0.06*7</f>
        <v/>
      </c>
      <c r="I43" s="9" t="inlineStr">
        <is>
          <t>KG</t>
        </is>
      </c>
      <c r="J43" s="8">
        <f>IFERROR(VLOOKUP(F43,'Base Insumos'!$A:$C,3,FALSE()),"PENDENTE")</f>
        <v/>
      </c>
      <c r="K43" s="8">
        <f>IFERROR(IF(J43="PENDENTE",0,J43*H43),0)</f>
        <v/>
      </c>
      <c r="L43" s="8" t="n">
        <v>29.9</v>
      </c>
      <c r="M43" s="20">
        <f>IFERROR(K43/L43,0)</f>
        <v/>
      </c>
      <c r="N43" s="7" t="n"/>
    </row>
    <row r="44" ht="15" customHeight="1">
      <c r="A44" s="11" t="inlineStr">
        <is>
          <t>Espetos</t>
        </is>
      </c>
      <c r="B44" s="12" t="inlineStr">
        <is>
          <t>Tradicional</t>
        </is>
      </c>
      <c r="C44" s="13" t="inlineStr">
        <is>
          <t>Salsichão</t>
        </is>
      </c>
      <c r="D44" s="2">
        <f>IF(ISERROR(VLOOKUP(E44,'Estrutura Protheus'!A:A,1,FALSE)),"Não","Sim")</f>
        <v/>
      </c>
      <c r="E44" s="5" t="inlineStr">
        <is>
          <t>000027</t>
        </is>
      </c>
      <c r="F44" s="5" t="inlineStr">
        <is>
          <t>000298</t>
        </is>
      </c>
      <c r="G44" s="3" t="inlineStr">
        <is>
          <t>Espeto Salsichao</t>
        </is>
      </c>
      <c r="H44" s="14" t="n">
        <v>1</v>
      </c>
      <c r="I44" s="5" t="inlineStr">
        <is>
          <t>UN</t>
        </is>
      </c>
      <c r="J44" s="4">
        <f>IFERROR(VLOOKUP(F44,'Base Insumos'!$A:$C,3,FALSE()),"PENDENTE")</f>
        <v/>
      </c>
      <c r="K44" s="4">
        <f>IFERROR(IF(J44="PENDENTE",0,J44*H44),0)</f>
        <v/>
      </c>
      <c r="L44" s="4" t="n">
        <v>14.99</v>
      </c>
      <c r="M44" s="15">
        <f>IFERROR(K44/L44,0)</f>
        <v/>
      </c>
      <c r="N44" s="3" t="n"/>
    </row>
    <row r="45" ht="15" customHeight="1">
      <c r="A45" s="16" t="inlineStr">
        <is>
          <t>Espetos</t>
        </is>
      </c>
      <c r="B45" s="17" t="inlineStr">
        <is>
          <t>Premium</t>
        </is>
      </c>
      <c r="C45" s="18" t="inlineStr">
        <is>
          <t>Salsichão c/ Provolone</t>
        </is>
      </c>
      <c r="D45" s="6">
        <f>IF(ISERROR(VLOOKUP(E45,'Estrutura Protheus'!A:A,1,FALSE)),"Não","Sim")</f>
        <v/>
      </c>
      <c r="E45" s="9" t="inlineStr">
        <is>
          <t>000765</t>
        </is>
      </c>
      <c r="F45" s="9" t="inlineStr">
        <is>
          <t>000301</t>
        </is>
      </c>
      <c r="G45" s="7" t="inlineStr">
        <is>
          <t>Espeto Salsichao c/ Provolone</t>
        </is>
      </c>
      <c r="H45" s="19" t="n">
        <v>1</v>
      </c>
      <c r="I45" s="9" t="inlineStr">
        <is>
          <t>UN</t>
        </is>
      </c>
      <c r="J45" s="8">
        <f>IFERROR(VLOOKUP(F45,'Base Insumos'!$A:$C,3,FALSE()),"PENDENTE")</f>
        <v/>
      </c>
      <c r="K45" s="8">
        <f>IFERROR(IF(J45="PENDENTE",0,J45*H45),0)</f>
        <v/>
      </c>
      <c r="L45" s="8" t="n">
        <v>17.99</v>
      </c>
      <c r="M45" s="20">
        <f>IFERROR(K45/L45,0)</f>
        <v/>
      </c>
      <c r="N45" s="7" t="n"/>
    </row>
    <row r="46" ht="15" customHeight="1">
      <c r="A46" s="11" t="inlineStr">
        <is>
          <t>Espetos</t>
        </is>
      </c>
      <c r="B46" s="12" t="inlineStr">
        <is>
          <t>Boteco no Espeto</t>
        </is>
      </c>
      <c r="C46" s="13" t="inlineStr">
        <is>
          <t>Sticks de Muçarela</t>
        </is>
      </c>
      <c r="D46" s="2">
        <f>IF(ISERROR(VLOOKUP(E46,'Estrutura Protheus'!A:A,1,FALSE)),"Não","Sim")</f>
        <v/>
      </c>
      <c r="E46" s="5" t="inlineStr">
        <is>
          <t>001472</t>
        </is>
      </c>
      <c r="F46" s="5" t="inlineStr">
        <is>
          <t>001580</t>
        </is>
      </c>
      <c r="G46" s="3" t="inlineStr">
        <is>
          <t>Palito Mussarela 1kg</t>
        </is>
      </c>
      <c r="H46" s="14" t="n">
        <v>0.1</v>
      </c>
      <c r="I46" s="5" t="inlineStr">
        <is>
          <t>KG</t>
        </is>
      </c>
      <c r="J46" s="4">
        <f>IFERROR(VLOOKUP(F46,'Base Insumos'!$A:$C,3,FALSE()),"PENDENTE")</f>
        <v/>
      </c>
      <c r="K46" s="4">
        <f>IFERROR(IF(J46="PENDENTE",0,J46*H46),0)</f>
        <v/>
      </c>
      <c r="L46" s="4" t="n">
        <v>14.99</v>
      </c>
      <c r="M46" s="15">
        <f>IFERROR(K46/L46,0)</f>
        <v/>
      </c>
      <c r="N46" s="3" t="n"/>
    </row>
    <row r="47" ht="15" customHeight="1">
      <c r="A47" s="16" t="inlineStr">
        <is>
          <t>Espetos</t>
        </is>
      </c>
      <c r="B47" s="17" t="inlineStr">
        <is>
          <t>Premium</t>
        </is>
      </c>
      <c r="C47" s="18" t="inlineStr">
        <is>
          <t>Tulipa</t>
        </is>
      </c>
      <c r="D47" s="6">
        <f>IF(ISERROR(VLOOKUP(E47,'Estrutura Protheus'!A:A,1,FALSE)),"Não","Sim")</f>
        <v/>
      </c>
      <c r="E47" s="9" t="inlineStr">
        <is>
          <t>001082</t>
        </is>
      </c>
      <c r="F47" s="9" t="inlineStr">
        <is>
          <t>000292</t>
        </is>
      </c>
      <c r="G47" s="7" t="inlineStr">
        <is>
          <t>Espeto Tulipa</t>
        </is>
      </c>
      <c r="H47" s="19" t="n">
        <v>1</v>
      </c>
      <c r="I47" s="9" t="inlineStr">
        <is>
          <t>UN</t>
        </is>
      </c>
      <c r="J47" s="8">
        <f>IFERROR(VLOOKUP(F47,'Base Insumos'!$A:$C,3,FALSE()),"PENDENTE")</f>
        <v/>
      </c>
      <c r="K47" s="8">
        <f>IFERROR(IF(J47="PENDENTE",0,J47*H47),0)</f>
        <v/>
      </c>
      <c r="L47" s="8" t="n">
        <v>13.99</v>
      </c>
      <c r="M47" s="20">
        <f>IFERROR(K47/L47,0)</f>
        <v/>
      </c>
      <c r="N47" s="7" t="n"/>
    </row>
    <row r="48" ht="15" customHeight="1">
      <c r="A48" s="11" t="inlineStr">
        <is>
          <t>Espetos</t>
        </is>
      </c>
      <c r="B48" s="12" t="inlineStr">
        <is>
          <t>In Natura</t>
        </is>
      </c>
      <c r="C48" s="13" t="inlineStr">
        <is>
          <t>Tulipa</t>
        </is>
      </c>
      <c r="D48" s="2">
        <f>IF(ISERROR(VLOOKUP(E48,'Estrutura Protheus'!A:A,1,FALSE)),"Não","Sim")</f>
        <v/>
      </c>
      <c r="E48" s="5" t="inlineStr">
        <is>
          <t>000010</t>
        </is>
      </c>
      <c r="F48" s="5" t="inlineStr">
        <is>
          <t>000292</t>
        </is>
      </c>
      <c r="G48" s="3" t="inlineStr">
        <is>
          <t>Espeto Tulipa</t>
        </is>
      </c>
      <c r="H48" s="14" t="n">
        <v>5</v>
      </c>
      <c r="I48" s="5" t="inlineStr">
        <is>
          <t>UN</t>
        </is>
      </c>
      <c r="J48" s="4">
        <f>IFERROR(VLOOKUP(F48,'Base Insumos'!$A:$C,3,FALSE()),"PENDENTE")</f>
        <v/>
      </c>
      <c r="K48" s="4">
        <f>IFERROR(IF(J48="PENDENTE",0,J48*H48),0)</f>
        <v/>
      </c>
      <c r="L48" s="4" t="n">
        <v>29.9</v>
      </c>
      <c r="M48" s="15">
        <f>IFERROR(K48/L48,0)</f>
        <v/>
      </c>
      <c r="N48" s="3" t="n"/>
    </row>
    <row r="49" ht="15" customHeight="1">
      <c r="A49" s="16" t="inlineStr">
        <is>
          <t>Espetos</t>
        </is>
      </c>
      <c r="B49" s="17" t="inlineStr">
        <is>
          <t>Espetos</t>
        </is>
      </c>
      <c r="C49" s="18" t="inlineStr">
        <is>
          <t>Dadinho de Tapioca</t>
        </is>
      </c>
      <c r="D49" s="6">
        <f>IF(ISERROR(VLOOKUP(E49,'Estrutura Protheus'!A:A,1,FALSE)),"Não","Sim")</f>
        <v/>
      </c>
      <c r="E49" s="9" t="inlineStr">
        <is>
          <t>001254</t>
        </is>
      </c>
      <c r="F49" s="9" t="inlineStr">
        <is>
          <t>001250</t>
        </is>
      </c>
      <c r="G49" s="7" t="inlineStr">
        <is>
          <t>Dadinho de Tapioca 0,750gr</t>
        </is>
      </c>
      <c r="H49" s="19" t="n">
        <v>0.1</v>
      </c>
      <c r="I49" s="9" t="inlineStr">
        <is>
          <t>KG</t>
        </is>
      </c>
      <c r="J49" s="8">
        <f>IFERROR(VLOOKUP(F49,'Base Insumos'!$A:$C,3,FALSE()),"PENDENTE")</f>
        <v/>
      </c>
      <c r="K49" s="8">
        <f>IFERROR(IF(J49="PENDENTE",0,J49*H49),0)</f>
        <v/>
      </c>
      <c r="L49" s="8" t="n">
        <v>15.99</v>
      </c>
      <c r="M49" s="20">
        <f>IFERROR(K49/L49,0)</f>
        <v/>
      </c>
      <c r="N49" s="7" t="n"/>
    </row>
    <row r="50" ht="15" customHeight="1">
      <c r="A50" s="11" t="inlineStr">
        <is>
          <t>Espetos</t>
        </is>
      </c>
      <c r="B50" s="12" t="inlineStr">
        <is>
          <t>Espetos</t>
        </is>
      </c>
      <c r="C50" s="13" t="inlineStr">
        <is>
          <t>Dadinho de Tapioca</t>
        </is>
      </c>
      <c r="D50" s="2">
        <f>IF(ISERROR(VLOOKUP(E50,'Estrutura Protheus'!A:A,1,FALSE)),"Não","Sim")</f>
        <v/>
      </c>
      <c r="E50" s="5" t="inlineStr">
        <is>
          <t>001254</t>
        </is>
      </c>
      <c r="F50" s="21" t="inlineStr">
        <is>
          <t>000440</t>
        </is>
      </c>
      <c r="G50" s="22" t="inlineStr">
        <is>
          <t>Não Encontrado na Base</t>
        </is>
      </c>
      <c r="H50" s="14" t="n">
        <v>0.02</v>
      </c>
      <c r="I50" s="5" t="n"/>
      <c r="J50" s="23">
        <f>IFERROR(VLOOKUP(F50,'Base Insumos'!$A:$C,3,FALSE()),"PENDENTE")</f>
        <v/>
      </c>
      <c r="K50" s="4">
        <f>IFERROR(IF(J50="PENDENTE",0,J50*H50),0)</f>
        <v/>
      </c>
      <c r="L50" s="4" t="n">
        <v>15.99</v>
      </c>
      <c r="M50" s="15">
        <f>IFERROR(K50/L50,0)</f>
        <v/>
      </c>
      <c r="N50" s="3" t="n"/>
    </row>
    <row r="51" ht="15" customHeight="1">
      <c r="A51" s="16" t="inlineStr">
        <is>
          <t>Espetos</t>
        </is>
      </c>
      <c r="B51" s="17" t="inlineStr">
        <is>
          <t>Espetos</t>
        </is>
      </c>
      <c r="C51" s="18" t="inlineStr">
        <is>
          <t>Dadinho de Tapioca</t>
        </is>
      </c>
      <c r="D51" s="6">
        <f>IF(ISERROR(VLOOKUP(E51,'Estrutura Protheus'!A:A,1,FALSE)),"Não","Sim")</f>
        <v/>
      </c>
      <c r="E51" s="9" t="inlineStr">
        <is>
          <t>001254</t>
        </is>
      </c>
      <c r="F51" s="9" t="inlineStr">
        <is>
          <t>001251</t>
        </is>
      </c>
      <c r="G51" s="7" t="inlineStr">
        <is>
          <t>Geleia de Pimenta 1,2kg</t>
        </is>
      </c>
      <c r="H51" s="19" t="n">
        <v>0.005</v>
      </c>
      <c r="I51" s="9" t="inlineStr">
        <is>
          <t>KG</t>
        </is>
      </c>
      <c r="J51" s="8">
        <f>IFERROR(VLOOKUP(F51,'Base Insumos'!$A:$C,3,FALSE()),"PENDENTE")</f>
        <v/>
      </c>
      <c r="K51" s="8">
        <f>IFERROR(IF(J51="PENDENTE",0,J51*H51),0)</f>
        <v/>
      </c>
      <c r="L51" s="8" t="n">
        <v>15.99</v>
      </c>
      <c r="M51" s="20">
        <f>IFERROR(K51/L51,0)</f>
        <v/>
      </c>
      <c r="N51" s="7" t="n"/>
    </row>
    <row r="52" ht="15" customHeight="1">
      <c r="A52" s="11" t="inlineStr">
        <is>
          <t>Espetos</t>
        </is>
      </c>
      <c r="B52" s="12" t="inlineStr">
        <is>
          <t>Espetos</t>
        </is>
      </c>
      <c r="C52" s="13" t="inlineStr">
        <is>
          <t>Espeto de Alho Poró com Tomate Cereja</t>
        </is>
      </c>
      <c r="D52" s="2">
        <f>IF(ISERROR(VLOOKUP(E52,'Estrutura Protheus'!A:A,1,FALSE)),"Não","Sim")</f>
        <v/>
      </c>
      <c r="E52" s="5" t="inlineStr">
        <is>
          <t>002122</t>
        </is>
      </c>
      <c r="F52" s="5" t="inlineStr">
        <is>
          <t>002070</t>
        </is>
      </c>
      <c r="G52" s="3" t="inlineStr">
        <is>
          <t>Alho Poro</t>
        </is>
      </c>
      <c r="H52" s="14" t="n">
        <v>0.1</v>
      </c>
      <c r="I52" s="5" t="inlineStr">
        <is>
          <t>KG</t>
        </is>
      </c>
      <c r="J52" s="4">
        <f>IFERROR(VLOOKUP(F52,'Base Insumos'!$A:$C,3,FALSE()),"PENDENTE")</f>
        <v/>
      </c>
      <c r="K52" s="4">
        <f>IFERROR(IF(J52="PENDENTE",0,J52*H52),0)</f>
        <v/>
      </c>
      <c r="L52" s="4" t="n">
        <v>12.99</v>
      </c>
      <c r="M52" s="15">
        <f>IFERROR(K52/L52,0)</f>
        <v/>
      </c>
      <c r="N52" s="3" t="n"/>
    </row>
    <row r="53" ht="15" customHeight="1">
      <c r="A53" s="16" t="inlineStr">
        <is>
          <t>Espetos</t>
        </is>
      </c>
      <c r="B53" s="17" t="inlineStr">
        <is>
          <t>Espetos</t>
        </is>
      </c>
      <c r="C53" s="18" t="inlineStr">
        <is>
          <t>Espeto de Alho Poró com Tomate Cereja</t>
        </is>
      </c>
      <c r="D53" s="6">
        <f>IF(ISERROR(VLOOKUP(E53,'Estrutura Protheus'!A:A,1,FALSE)),"Não","Sim")</f>
        <v/>
      </c>
      <c r="E53" s="9" t="inlineStr">
        <is>
          <t>002122</t>
        </is>
      </c>
      <c r="F53" s="9" t="inlineStr">
        <is>
          <t>000485</t>
        </is>
      </c>
      <c r="G53" s="7" t="inlineStr">
        <is>
          <t>Tomate Cereja</t>
        </is>
      </c>
      <c r="H53" s="19" t="n">
        <v>0.04</v>
      </c>
      <c r="I53" s="9" t="inlineStr">
        <is>
          <t>KG</t>
        </is>
      </c>
      <c r="J53" s="8">
        <f>IFERROR(VLOOKUP(F53,'Base Insumos'!$A:$C,3,FALSE()),"PENDENTE")</f>
        <v/>
      </c>
      <c r="K53" s="8">
        <f>IFERROR(IF(J53="PENDENTE",0,J53*H53),0)</f>
        <v/>
      </c>
      <c r="L53" s="8" t="n">
        <v>12.99</v>
      </c>
      <c r="M53" s="20">
        <f>IFERROR(K53/L53,0)</f>
        <v/>
      </c>
      <c r="N53" s="7" t="n"/>
    </row>
    <row r="54" ht="15" customHeight="1">
      <c r="A54" s="11" t="inlineStr">
        <is>
          <t>Espetos</t>
        </is>
      </c>
      <c r="B54" s="12" t="inlineStr">
        <is>
          <t>Espetos</t>
        </is>
      </c>
      <c r="C54" s="13" t="inlineStr">
        <is>
          <t>Espeto de Berinjela no Shoyu</t>
        </is>
      </c>
      <c r="D54" s="2">
        <f>IF(ISERROR(VLOOKUP(E54,'Estrutura Protheus'!A:A,1,FALSE)),"Não","Sim")</f>
        <v/>
      </c>
      <c r="E54" s="5" t="inlineStr">
        <is>
          <t>002125</t>
        </is>
      </c>
      <c r="F54" s="5" t="inlineStr">
        <is>
          <t>000466</t>
        </is>
      </c>
      <c r="G54" s="3" t="inlineStr">
        <is>
          <t>Berinjela</t>
        </is>
      </c>
      <c r="H54" s="14" t="n">
        <v>0.12</v>
      </c>
      <c r="I54" s="5" t="inlineStr">
        <is>
          <t>KG</t>
        </is>
      </c>
      <c r="J54" s="4">
        <f>IFERROR(VLOOKUP(F54,'Base Insumos'!$A:$C,3,FALSE()),"PENDENTE")</f>
        <v/>
      </c>
      <c r="K54" s="4">
        <f>IFERROR(IF(J54="PENDENTE",0,J54*H54),0)</f>
        <v/>
      </c>
      <c r="L54" s="4" t="n">
        <v>12.99</v>
      </c>
      <c r="M54" s="15">
        <f>IFERROR(K54/L54,0)</f>
        <v/>
      </c>
      <c r="N54" s="3" t="n"/>
    </row>
    <row r="55" ht="15" customHeight="1">
      <c r="A55" s="16" t="inlineStr">
        <is>
          <t>Espetos</t>
        </is>
      </c>
      <c r="B55" s="17" t="inlineStr">
        <is>
          <t>Espetos</t>
        </is>
      </c>
      <c r="C55" s="18" t="inlineStr">
        <is>
          <t>Espeto de Mussarela de Búfala com Rucula e Tomate Seco</t>
        </is>
      </c>
      <c r="D55" s="6">
        <f>IF(ISERROR(VLOOKUP(E55,'Estrutura Protheus'!A:A,1,FALSE)),"Não","Sim")</f>
        <v/>
      </c>
      <c r="E55" s="9" t="inlineStr">
        <is>
          <t>000279</t>
        </is>
      </c>
      <c r="F55" s="9" t="inlineStr">
        <is>
          <t>000442</t>
        </is>
      </c>
      <c r="G55" s="7" t="inlineStr">
        <is>
          <t>Mussarela de Bufala</t>
        </is>
      </c>
      <c r="H55" s="19" t="n">
        <v>0.07000000000000001</v>
      </c>
      <c r="I55" s="9" t="inlineStr">
        <is>
          <t>KG</t>
        </is>
      </c>
      <c r="J55" s="8">
        <f>IFERROR(VLOOKUP(F55,'Base Insumos'!$A:$C,3,FALSE()),"PENDENTE")</f>
        <v/>
      </c>
      <c r="K55" s="8">
        <f>IFERROR(IF(J55="PENDENTE",0,J55*H55),0)</f>
        <v/>
      </c>
      <c r="L55" s="8" t="n">
        <v>14.99</v>
      </c>
      <c r="M55" s="20">
        <f>IFERROR(K55/L55,0)</f>
        <v/>
      </c>
      <c r="N55" s="7" t="n"/>
    </row>
    <row r="56" ht="15" customHeight="1">
      <c r="A56" s="11" t="inlineStr">
        <is>
          <t>Espetos</t>
        </is>
      </c>
      <c r="B56" s="12" t="inlineStr">
        <is>
          <t>Espetos</t>
        </is>
      </c>
      <c r="C56" s="13" t="inlineStr">
        <is>
          <t>Espeto de Mussarela de Búfala com Rucula e Tomate Seco</t>
        </is>
      </c>
      <c r="D56" s="2">
        <f>IF(ISERROR(VLOOKUP(E56,'Estrutura Protheus'!A:A,1,FALSE)),"Não","Sim")</f>
        <v/>
      </c>
      <c r="E56" s="5" t="inlineStr">
        <is>
          <t>000279</t>
        </is>
      </c>
      <c r="F56" s="21" t="inlineStr">
        <is>
          <t>000440</t>
        </is>
      </c>
      <c r="G56" s="22" t="inlineStr">
        <is>
          <t>Não Encontrado na Base</t>
        </is>
      </c>
      <c r="H56" s="14" t="n">
        <v>0.02</v>
      </c>
      <c r="I56" s="5" t="n"/>
      <c r="J56" s="23">
        <f>IFERROR(VLOOKUP(F56,'Base Insumos'!$A:$C,3,FALSE()),"PENDENTE")</f>
        <v/>
      </c>
      <c r="K56" s="4">
        <f>IFERROR(IF(J56="PENDENTE",0,J56*H56),0)</f>
        <v/>
      </c>
      <c r="L56" s="4" t="n">
        <v>14.99</v>
      </c>
      <c r="M56" s="15">
        <f>IFERROR(K56/L56,0)</f>
        <v/>
      </c>
      <c r="N56" s="3" t="n"/>
    </row>
    <row r="57" ht="15" customHeight="1">
      <c r="A57" s="16" t="inlineStr">
        <is>
          <t>Espetos</t>
        </is>
      </c>
      <c r="B57" s="17" t="inlineStr">
        <is>
          <t>Espetos</t>
        </is>
      </c>
      <c r="C57" s="18" t="inlineStr">
        <is>
          <t>Espeto de Mussarela de Búfala com Rucula e Tomate Seco</t>
        </is>
      </c>
      <c r="D57" s="6">
        <f>IF(ISERROR(VLOOKUP(E57,'Estrutura Protheus'!A:A,1,FALSE)),"Não","Sim")</f>
        <v/>
      </c>
      <c r="E57" s="9" t="inlineStr">
        <is>
          <t>000279</t>
        </is>
      </c>
      <c r="F57" s="9" t="inlineStr">
        <is>
          <t>000444</t>
        </is>
      </c>
      <c r="G57" s="7" t="inlineStr">
        <is>
          <t>Tomate Seco</t>
        </is>
      </c>
      <c r="H57" s="19" t="n">
        <v>0.025</v>
      </c>
      <c r="I57" s="9" t="inlineStr">
        <is>
          <t>KG</t>
        </is>
      </c>
      <c r="J57" s="8">
        <f>IFERROR(VLOOKUP(F57,'Base Insumos'!$A:$C,3,FALSE()),"PENDENTE")</f>
        <v/>
      </c>
      <c r="K57" s="8">
        <f>IFERROR(IF(J57="PENDENTE",0,J57*H57),0)</f>
        <v/>
      </c>
      <c r="L57" s="8" t="n">
        <v>14.99</v>
      </c>
      <c r="M57" s="20">
        <f>IFERROR(K57/L57,0)</f>
        <v/>
      </c>
      <c r="N57" s="7" t="n"/>
    </row>
    <row r="58" ht="15" customHeight="1">
      <c r="A58" s="11" t="inlineStr">
        <is>
          <t>Espetos</t>
        </is>
      </c>
      <c r="B58" s="12" t="inlineStr">
        <is>
          <t>Espetos</t>
        </is>
      </c>
      <c r="C58" s="13" t="inlineStr">
        <is>
          <t>Espeto de Pupunha com Tomate Seco e Rúcula</t>
        </is>
      </c>
      <c r="D58" s="2">
        <f>IF(ISERROR(VLOOKUP(E58,'Estrutura Protheus'!A:A,1,FALSE)),"Não","Sim")</f>
        <v/>
      </c>
      <c r="E58" s="5" t="inlineStr">
        <is>
          <t>000280</t>
        </is>
      </c>
      <c r="F58" s="5" t="inlineStr">
        <is>
          <t>000445</t>
        </is>
      </c>
      <c r="G58" s="3" t="inlineStr">
        <is>
          <t>Tolete de Pupunha 1,8kg</t>
        </is>
      </c>
      <c r="H58" s="14" t="n">
        <v>0.09</v>
      </c>
      <c r="I58" s="5" t="inlineStr">
        <is>
          <t>KG</t>
        </is>
      </c>
      <c r="J58" s="4">
        <f>IFERROR(VLOOKUP(F58,'Base Insumos'!$A:$C,3,FALSE()),"PENDENTE")</f>
        <v/>
      </c>
      <c r="K58" s="4">
        <f>IFERROR(IF(J58="PENDENTE",0,J58*H58),0)</f>
        <v/>
      </c>
      <c r="L58" s="4" t="n">
        <v>18.99</v>
      </c>
      <c r="M58" s="15">
        <f>IFERROR(K58/L58,0)</f>
        <v/>
      </c>
      <c r="N58" s="3" t="n"/>
    </row>
    <row r="59" ht="15" customHeight="1">
      <c r="A59" s="16" t="inlineStr">
        <is>
          <t>Espetos</t>
        </is>
      </c>
      <c r="B59" s="17" t="inlineStr">
        <is>
          <t>Espetos</t>
        </is>
      </c>
      <c r="C59" s="18" t="inlineStr">
        <is>
          <t>Espeto de Pupunha com Tomate Seco e Rúcula</t>
        </is>
      </c>
      <c r="D59" s="6">
        <f>IF(ISERROR(VLOOKUP(E59,'Estrutura Protheus'!A:A,1,FALSE)),"Não","Sim")</f>
        <v/>
      </c>
      <c r="E59" s="9" t="inlineStr">
        <is>
          <t>000280</t>
        </is>
      </c>
      <c r="F59" s="9" t="inlineStr">
        <is>
          <t>000407</t>
        </is>
      </c>
      <c r="G59" s="7" t="inlineStr">
        <is>
          <t>Molho Salada Ervas Finas 236ml</t>
        </is>
      </c>
      <c r="H59" s="19" t="n">
        <v>0.01</v>
      </c>
      <c r="I59" s="9" t="inlineStr">
        <is>
          <t>UN</t>
        </is>
      </c>
      <c r="J59" s="8">
        <f>IFERROR(VLOOKUP(F59,'Base Insumos'!$A:$C,3,FALSE()),"PENDENTE")</f>
        <v/>
      </c>
      <c r="K59" s="8">
        <f>IFERROR(IF(J59="PENDENTE",0,J59*H59),0)</f>
        <v/>
      </c>
      <c r="L59" s="8" t="n">
        <v>18.99</v>
      </c>
      <c r="M59" s="20">
        <f>IFERROR(K59/L59,0)</f>
        <v/>
      </c>
      <c r="N59" s="7" t="n"/>
    </row>
    <row r="60" ht="15" customHeight="1">
      <c r="A60" s="11" t="inlineStr">
        <is>
          <t>Espetos</t>
        </is>
      </c>
      <c r="B60" s="12" t="inlineStr">
        <is>
          <t>Espetos</t>
        </is>
      </c>
      <c r="C60" s="13" t="inlineStr">
        <is>
          <t>Espeto de Pupunha com Tomate Seco e Rúcula</t>
        </is>
      </c>
      <c r="D60" s="2">
        <f>IF(ISERROR(VLOOKUP(E60,'Estrutura Protheus'!A:A,1,FALSE)),"Não","Sim")</f>
        <v/>
      </c>
      <c r="E60" s="5" t="inlineStr">
        <is>
          <t>000280</t>
        </is>
      </c>
      <c r="F60" s="5" t="inlineStr">
        <is>
          <t>000444</t>
        </is>
      </c>
      <c r="G60" s="3" t="inlineStr">
        <is>
          <t>Tomate Seco</t>
        </is>
      </c>
      <c r="H60" s="14" t="n">
        <v>0.025</v>
      </c>
      <c r="I60" s="5" t="inlineStr">
        <is>
          <t>KG</t>
        </is>
      </c>
      <c r="J60" s="4">
        <f>IFERROR(VLOOKUP(F60,'Base Insumos'!$A:$C,3,FALSE()),"PENDENTE")</f>
        <v/>
      </c>
      <c r="K60" s="4">
        <f>IFERROR(IF(J60="PENDENTE",0,J60*H60),0)</f>
        <v/>
      </c>
      <c r="L60" s="4" t="n">
        <v>18.99</v>
      </c>
      <c r="M60" s="15">
        <f>IFERROR(K60/L60,0)</f>
        <v/>
      </c>
      <c r="N60" s="3" t="n"/>
    </row>
    <row r="61" ht="15" customHeight="1">
      <c r="A61" s="16" t="inlineStr">
        <is>
          <t>Espetos</t>
        </is>
      </c>
      <c r="B61" s="17" t="inlineStr">
        <is>
          <t>Espetos</t>
        </is>
      </c>
      <c r="C61" s="18" t="inlineStr">
        <is>
          <t>Espeto de Pupunha com Tomate Seco e Rúcula</t>
        </is>
      </c>
      <c r="D61" s="6">
        <f>IF(ISERROR(VLOOKUP(E61,'Estrutura Protheus'!A:A,1,FALSE)),"Não","Sim")</f>
        <v/>
      </c>
      <c r="E61" s="9" t="inlineStr">
        <is>
          <t>000280</t>
        </is>
      </c>
      <c r="F61" s="9" t="inlineStr">
        <is>
          <t>000483</t>
        </is>
      </c>
      <c r="G61" s="7" t="inlineStr">
        <is>
          <t>Rucula Hidroponica</t>
        </is>
      </c>
      <c r="H61" s="19" t="n">
        <v>0.01</v>
      </c>
      <c r="I61" s="9" t="inlineStr">
        <is>
          <t>KG</t>
        </is>
      </c>
      <c r="J61" s="8">
        <f>IFERROR(VLOOKUP(F61,'Base Insumos'!$A:$C,3,FALSE()),"PENDENTE")</f>
        <v/>
      </c>
      <c r="K61" s="8">
        <f>IFERROR(IF(J61="PENDENTE",0,J61*H61),0)</f>
        <v/>
      </c>
      <c r="L61" s="8" t="n">
        <v>18.99</v>
      </c>
      <c r="M61" s="20">
        <f>IFERROR(K61/L61,0)</f>
        <v/>
      </c>
      <c r="N61" s="7" t="n"/>
    </row>
    <row r="62" ht="15" customHeight="1">
      <c r="A62" s="11" t="inlineStr">
        <is>
          <t>Espetos</t>
        </is>
      </c>
      <c r="B62" s="12" t="inlineStr">
        <is>
          <t>Espetos</t>
        </is>
      </c>
      <c r="C62" s="13" t="inlineStr">
        <is>
          <t>Pupunha na Brasa</t>
        </is>
      </c>
      <c r="D62" s="2">
        <f>IF(ISERROR(VLOOKUP(E62,'Estrutura Protheus'!A:A,1,FALSE)),"Não","Sim")</f>
        <v/>
      </c>
      <c r="E62" s="5" t="inlineStr">
        <is>
          <t>001070</t>
        </is>
      </c>
      <c r="F62" s="5" t="inlineStr">
        <is>
          <t>000445</t>
        </is>
      </c>
      <c r="G62" s="3" t="inlineStr">
        <is>
          <t>Tolete de Pupunha 1,8kg</t>
        </is>
      </c>
      <c r="H62" s="14" t="n">
        <v>0.11</v>
      </c>
      <c r="I62" s="5" t="inlineStr">
        <is>
          <t>KG</t>
        </is>
      </c>
      <c r="J62" s="4">
        <f>IFERROR(VLOOKUP(F62,'Base Insumos'!$A:$C,3,FALSE()),"PENDENTE")</f>
        <v/>
      </c>
      <c r="K62" s="4">
        <f>IFERROR(IF(J62="PENDENTE",0,J62*H62),0)</f>
        <v/>
      </c>
      <c r="L62" s="4" t="n">
        <v>16.99</v>
      </c>
      <c r="M62" s="15">
        <f>IFERROR(K62/L62,0)</f>
        <v/>
      </c>
      <c r="N62" s="3" t="n"/>
    </row>
    <row r="63" ht="15" customHeight="1">
      <c r="A63" s="16" t="inlineStr">
        <is>
          <t>Espetos</t>
        </is>
      </c>
      <c r="B63" s="17" t="inlineStr">
        <is>
          <t>Espetos</t>
        </is>
      </c>
      <c r="C63" s="18" t="inlineStr">
        <is>
          <t>Pupunha na Brasa</t>
        </is>
      </c>
      <c r="D63" s="6">
        <f>IF(ISERROR(VLOOKUP(E63,'Estrutura Protheus'!A:A,1,FALSE)),"Não","Sim")</f>
        <v/>
      </c>
      <c r="E63" s="9" t="inlineStr">
        <is>
          <t>001070</t>
        </is>
      </c>
      <c r="F63" s="9" t="inlineStr">
        <is>
          <t>000667</t>
        </is>
      </c>
      <c r="G63" s="7" t="inlineStr">
        <is>
          <t>Tomilho</t>
        </is>
      </c>
      <c r="H63" s="19" t="n">
        <v>0.005</v>
      </c>
      <c r="I63" s="9" t="inlineStr">
        <is>
          <t>KG</t>
        </is>
      </c>
      <c r="J63" s="8">
        <f>IFERROR(VLOOKUP(F63,'Base Insumos'!$A:$C,3,FALSE()),"PENDENTE")</f>
        <v/>
      </c>
      <c r="K63" s="8">
        <f>IFERROR(IF(J63="PENDENTE",0,J63*H63),0)</f>
        <v/>
      </c>
      <c r="L63" s="8" t="n">
        <v>16.99</v>
      </c>
      <c r="M63" s="20">
        <f>IFERROR(K63/L63,0)</f>
        <v/>
      </c>
      <c r="N63" s="7" t="n"/>
    </row>
    <row r="64" ht="15" customHeight="1">
      <c r="A64" s="11" t="inlineStr">
        <is>
          <t>Espetos</t>
        </is>
      </c>
      <c r="B64" s="12" t="inlineStr">
        <is>
          <t>Espetos</t>
        </is>
      </c>
      <c r="C64" s="13" t="inlineStr">
        <is>
          <t>Pupunha na Brasa</t>
        </is>
      </c>
      <c r="D64" s="2">
        <f>IF(ISERROR(VLOOKUP(E64,'Estrutura Protheus'!A:A,1,FALSE)),"Não","Sim")</f>
        <v/>
      </c>
      <c r="E64" s="5" t="inlineStr">
        <is>
          <t>001070</t>
        </is>
      </c>
      <c r="F64" s="5" t="inlineStr">
        <is>
          <t>000614</t>
        </is>
      </c>
      <c r="G64" s="3" t="inlineStr">
        <is>
          <t>Sal Refinado</t>
        </is>
      </c>
      <c r="H64" s="14" t="n">
        <v>0.0008</v>
      </c>
      <c r="I64" s="5" t="inlineStr">
        <is>
          <t>KG</t>
        </is>
      </c>
      <c r="J64" s="4">
        <f>IFERROR(VLOOKUP(F64,'Base Insumos'!$A:$C,3,FALSE()),"PENDENTE")</f>
        <v/>
      </c>
      <c r="K64" s="4">
        <f>IFERROR(IF(J64="PENDENTE",0,J64*H64),0)</f>
        <v/>
      </c>
      <c r="L64" s="4" t="n">
        <v>16.99</v>
      </c>
      <c r="M64" s="15">
        <f>IFERROR(K64/L64,0)</f>
        <v/>
      </c>
      <c r="N64" s="3" t="n"/>
    </row>
    <row r="65" ht="15" customHeight="1">
      <c r="A65" s="16" t="inlineStr">
        <is>
          <t>Espetos</t>
        </is>
      </c>
      <c r="B65" s="17" t="inlineStr">
        <is>
          <t>Espetos</t>
        </is>
      </c>
      <c r="C65" s="18" t="inlineStr">
        <is>
          <t>Ratatouile no Espeto</t>
        </is>
      </c>
      <c r="D65" s="6">
        <f>IF(ISERROR(VLOOKUP(E65,'Estrutura Protheus'!A:A,1,FALSE)),"Não","Sim")</f>
        <v/>
      </c>
      <c r="E65" s="9" t="inlineStr">
        <is>
          <t>002123</t>
        </is>
      </c>
      <c r="F65" s="9" t="inlineStr">
        <is>
          <t>000753</t>
        </is>
      </c>
      <c r="G65" s="7" t="inlineStr">
        <is>
          <t>Cebola Roxa</t>
        </is>
      </c>
      <c r="H65" s="19" t="n">
        <v>0.05</v>
      </c>
      <c r="I65" s="9" t="inlineStr">
        <is>
          <t>KG</t>
        </is>
      </c>
      <c r="J65" s="8">
        <f>IFERROR(VLOOKUP(F65,'Base Insumos'!$A:$C,3,FALSE()),"PENDENTE")</f>
        <v/>
      </c>
      <c r="K65" s="8">
        <f>IFERROR(IF(J65="PENDENTE",0,J65*H65),0)</f>
        <v/>
      </c>
      <c r="L65" s="8" t="n">
        <v>11.9</v>
      </c>
      <c r="M65" s="20">
        <f>IFERROR(K65/L65,0)</f>
        <v/>
      </c>
      <c r="N65" s="7" t="n"/>
    </row>
    <row r="66" ht="15" customHeight="1">
      <c r="A66" s="11" t="inlineStr">
        <is>
          <t>Espetos</t>
        </is>
      </c>
      <c r="B66" s="12" t="inlineStr">
        <is>
          <t>Espetos</t>
        </is>
      </c>
      <c r="C66" s="13" t="inlineStr">
        <is>
          <t>Ratatouile no Espeto</t>
        </is>
      </c>
      <c r="D66" s="2">
        <f>IF(ISERROR(VLOOKUP(E66,'Estrutura Protheus'!A:A,1,FALSE)),"Não","Sim")</f>
        <v/>
      </c>
      <c r="E66" s="5" t="inlineStr">
        <is>
          <t>002123</t>
        </is>
      </c>
      <c r="F66" s="5" t="inlineStr">
        <is>
          <t>000486</t>
        </is>
      </c>
      <c r="G66" s="3" t="inlineStr">
        <is>
          <t>Tomate Salada</t>
        </is>
      </c>
      <c r="H66" s="14" t="n">
        <v>0.025</v>
      </c>
      <c r="I66" s="5" t="inlineStr">
        <is>
          <t>KG</t>
        </is>
      </c>
      <c r="J66" s="4">
        <f>IFERROR(VLOOKUP(F66,'Base Insumos'!$A:$C,3,FALSE()),"PENDENTE")</f>
        <v/>
      </c>
      <c r="K66" s="4">
        <f>IFERROR(IF(J66="PENDENTE",0,J66*H66),0)</f>
        <v/>
      </c>
      <c r="L66" s="4" t="n">
        <v>11.9</v>
      </c>
      <c r="M66" s="15">
        <f>IFERROR(K66/L66,0)</f>
        <v/>
      </c>
      <c r="N66" s="3" t="n"/>
    </row>
    <row r="67" ht="15" customHeight="1">
      <c r="A67" s="16" t="inlineStr">
        <is>
          <t>Espetos</t>
        </is>
      </c>
      <c r="B67" s="17" t="inlineStr">
        <is>
          <t>Espetos</t>
        </is>
      </c>
      <c r="C67" s="18" t="inlineStr">
        <is>
          <t>Ratatouile no Espeto</t>
        </is>
      </c>
      <c r="D67" s="6">
        <f>IF(ISERROR(VLOOKUP(E67,'Estrutura Protheus'!A:A,1,FALSE)),"Não","Sim")</f>
        <v/>
      </c>
      <c r="E67" s="9" t="inlineStr">
        <is>
          <t>002123</t>
        </is>
      </c>
      <c r="F67" s="9" t="inlineStr">
        <is>
          <t>000459</t>
        </is>
      </c>
      <c r="G67" s="7" t="inlineStr">
        <is>
          <t>Abobrinha Italiana</t>
        </is>
      </c>
      <c r="H67" s="19" t="n">
        <v>0.025</v>
      </c>
      <c r="I67" s="9" t="inlineStr">
        <is>
          <t>KG</t>
        </is>
      </c>
      <c r="J67" s="8">
        <f>IFERROR(VLOOKUP(F67,'Base Insumos'!$A:$C,3,FALSE()),"PENDENTE")</f>
        <v/>
      </c>
      <c r="K67" s="8">
        <f>IFERROR(IF(J67="PENDENTE",0,J67*H67),0)</f>
        <v/>
      </c>
      <c r="L67" s="8" t="n">
        <v>11.9</v>
      </c>
      <c r="M67" s="20">
        <f>IFERROR(K67/L67,0)</f>
        <v/>
      </c>
      <c r="N67" s="7" t="n"/>
    </row>
    <row r="68" ht="15" customHeight="1">
      <c r="A68" s="11" t="inlineStr">
        <is>
          <t>Espetos</t>
        </is>
      </c>
      <c r="B68" s="12" t="inlineStr">
        <is>
          <t>Espetos</t>
        </is>
      </c>
      <c r="C68" s="13" t="inlineStr">
        <is>
          <t>Ratatouile no Espeto</t>
        </is>
      </c>
      <c r="D68" s="2">
        <f>IF(ISERROR(VLOOKUP(E68,'Estrutura Protheus'!A:A,1,FALSE)),"Não","Sim")</f>
        <v/>
      </c>
      <c r="E68" s="5" t="inlineStr">
        <is>
          <t>002123</t>
        </is>
      </c>
      <c r="F68" s="5" t="inlineStr">
        <is>
          <t>000617</t>
        </is>
      </c>
      <c r="G68" s="3" t="inlineStr">
        <is>
          <t>Pimentao Amarelo</t>
        </is>
      </c>
      <c r="H68" s="14" t="n">
        <v>0.025</v>
      </c>
      <c r="I68" s="5" t="inlineStr">
        <is>
          <t>KG</t>
        </is>
      </c>
      <c r="J68" s="4">
        <f>IFERROR(VLOOKUP(F68,'Base Insumos'!$A:$C,3,FALSE()),"PENDENTE")</f>
        <v/>
      </c>
      <c r="K68" s="4">
        <f>IFERROR(IF(J68="PENDENTE",0,J68*H68),0)</f>
        <v/>
      </c>
      <c r="L68" s="4" t="n">
        <v>11.9</v>
      </c>
      <c r="M68" s="15">
        <f>IFERROR(K68/L68,0)</f>
        <v/>
      </c>
      <c r="N68" s="3" t="n"/>
    </row>
    <row r="69" ht="15" customHeight="1">
      <c r="A69" s="16" t="inlineStr">
        <is>
          <t>Espetos</t>
        </is>
      </c>
      <c r="B69" s="17" t="inlineStr">
        <is>
          <t>Espetos</t>
        </is>
      </c>
      <c r="C69" s="18" t="inlineStr">
        <is>
          <t>Ratatouile no Espeto</t>
        </is>
      </c>
      <c r="D69" s="6">
        <f>IF(ISERROR(VLOOKUP(E69,'Estrutura Protheus'!A:A,1,FALSE)),"Não","Sim")</f>
        <v/>
      </c>
      <c r="E69" s="9" t="inlineStr">
        <is>
          <t>002123</t>
        </is>
      </c>
      <c r="F69" s="9" t="inlineStr">
        <is>
          <t>000466</t>
        </is>
      </c>
      <c r="G69" s="7" t="inlineStr">
        <is>
          <t>Berinjela</t>
        </is>
      </c>
      <c r="H69" s="19" t="n">
        <v>0.025</v>
      </c>
      <c r="I69" s="9" t="inlineStr">
        <is>
          <t>KG</t>
        </is>
      </c>
      <c r="J69" s="8">
        <f>IFERROR(VLOOKUP(F69,'Base Insumos'!$A:$C,3,FALSE()),"PENDENTE")</f>
        <v/>
      </c>
      <c r="K69" s="8">
        <f>IFERROR(IF(J69="PENDENTE",0,J69*H69),0)</f>
        <v/>
      </c>
      <c r="L69" s="8" t="n">
        <v>11.9</v>
      </c>
      <c r="M69" s="20">
        <f>IFERROR(K69/L69,0)</f>
        <v/>
      </c>
      <c r="N69" s="7" t="n"/>
    </row>
    <row r="70" ht="15" customHeight="1">
      <c r="A70" s="11" t="inlineStr">
        <is>
          <t>Espetos</t>
        </is>
      </c>
      <c r="B70" s="12" t="inlineStr">
        <is>
          <t>Espetos</t>
        </is>
      </c>
      <c r="C70" s="13" t="inlineStr">
        <is>
          <t>Espeto de Shimeji</t>
        </is>
      </c>
      <c r="D70" s="2">
        <f>IF(ISERROR(VLOOKUP(E70,'Estrutura Protheus'!A:A,1,FALSE)),"Não","Sim")</f>
        <v/>
      </c>
      <c r="E70" s="5" t="inlineStr">
        <is>
          <t>001470</t>
        </is>
      </c>
      <c r="F70" s="5" t="inlineStr">
        <is>
          <t>000694</t>
        </is>
      </c>
      <c r="G70" s="3" t="inlineStr">
        <is>
          <t>Bandeja Shimeji</t>
        </is>
      </c>
      <c r="H70" s="14" t="n">
        <v>0.2</v>
      </c>
      <c r="I70" s="5" t="inlineStr">
        <is>
          <t>KG</t>
        </is>
      </c>
      <c r="J70" s="4">
        <f>IFERROR(VLOOKUP(F70,'Base Insumos'!$A:$C,3,FALSE()),"PENDENTE")</f>
        <v/>
      </c>
      <c r="K70" s="4">
        <f>IFERROR(IF(J70="PENDENTE",0,J70*H70),0)</f>
        <v/>
      </c>
      <c r="L70" s="4" t="n">
        <v>15.99</v>
      </c>
      <c r="M70" s="15">
        <f>IFERROR(K70/L70,0)</f>
        <v/>
      </c>
      <c r="N70" s="3" t="n"/>
    </row>
    <row r="71" ht="15" customHeight="1">
      <c r="A71" s="16" t="inlineStr">
        <is>
          <t>Espetos</t>
        </is>
      </c>
      <c r="B71" s="17" t="inlineStr">
        <is>
          <t>Espetos</t>
        </is>
      </c>
      <c r="C71" s="18" t="inlineStr">
        <is>
          <t>Espeto de Shimeji</t>
        </is>
      </c>
      <c r="D71" s="6">
        <f>IF(ISERROR(VLOOKUP(E71,'Estrutura Protheus'!A:A,1,FALSE)),"Não","Sim")</f>
        <v/>
      </c>
      <c r="E71" s="9" t="inlineStr">
        <is>
          <t>001470</t>
        </is>
      </c>
      <c r="F71" s="9" t="inlineStr">
        <is>
          <t>000628</t>
        </is>
      </c>
      <c r="G71" s="7" t="inlineStr">
        <is>
          <t>Molho Shoyo 5 Lts</t>
        </is>
      </c>
      <c r="H71" s="19" t="n">
        <v>0.05</v>
      </c>
      <c r="I71" s="9" t="inlineStr">
        <is>
          <t>LT</t>
        </is>
      </c>
      <c r="J71" s="8">
        <f>IFERROR(VLOOKUP(F71,'Base Insumos'!$A:$C,3,FALSE()),"PENDENTE")</f>
        <v/>
      </c>
      <c r="K71" s="8">
        <f>IFERROR(IF(J71="PENDENTE",0,J71*H71),0)</f>
        <v/>
      </c>
      <c r="L71" s="8" t="n">
        <v>15.99</v>
      </c>
      <c r="M71" s="20">
        <f>IFERROR(K71/L71,0)</f>
        <v/>
      </c>
      <c r="N71" s="7" t="n"/>
    </row>
    <row r="72" ht="15" customHeight="1">
      <c r="A72" s="11" t="inlineStr">
        <is>
          <t>Espetos</t>
        </is>
      </c>
      <c r="B72" s="12" t="inlineStr">
        <is>
          <t>Espetos</t>
        </is>
      </c>
      <c r="C72" s="13" t="inlineStr">
        <is>
          <t>Espeto de Shimeji</t>
        </is>
      </c>
      <c r="D72" s="2">
        <f>IF(ISERROR(VLOOKUP(E72,'Estrutura Protheus'!A:A,1,FALSE)),"Não","Sim")</f>
        <v/>
      </c>
      <c r="E72" s="5" t="inlineStr">
        <is>
          <t>001470</t>
        </is>
      </c>
      <c r="F72" s="5" t="inlineStr">
        <is>
          <t>000667</t>
        </is>
      </c>
      <c r="G72" s="3" t="inlineStr">
        <is>
          <t>Tomilho</t>
        </is>
      </c>
      <c r="H72" s="14" t="n">
        <v>0.005</v>
      </c>
      <c r="I72" s="5" t="inlineStr">
        <is>
          <t>KG</t>
        </is>
      </c>
      <c r="J72" s="4">
        <f>IFERROR(VLOOKUP(F72,'Base Insumos'!$A:$C,3,FALSE()),"PENDENTE")</f>
        <v/>
      </c>
      <c r="K72" s="4">
        <f>IFERROR(IF(J72="PENDENTE",0,J72*H72),0)</f>
        <v/>
      </c>
      <c r="L72" s="4" t="n">
        <v>15.99</v>
      </c>
      <c r="M72" s="15">
        <f>IFERROR(K72/L72,0)</f>
        <v/>
      </c>
      <c r="N72" s="3" t="n"/>
    </row>
    <row r="73" ht="15" customHeight="1">
      <c r="A73" s="16" t="inlineStr">
        <is>
          <t>Espetos</t>
        </is>
      </c>
      <c r="B73" s="17" t="inlineStr">
        <is>
          <t>Espetos</t>
        </is>
      </c>
      <c r="C73" s="18" t="inlineStr">
        <is>
          <t>Espeto de Shimeji</t>
        </is>
      </c>
      <c r="D73" s="6">
        <f>IF(ISERROR(VLOOKUP(E73,'Estrutura Protheus'!A:A,1,FALSE)),"Não","Sim")</f>
        <v/>
      </c>
      <c r="E73" s="9" t="inlineStr">
        <is>
          <t>001470</t>
        </is>
      </c>
      <c r="F73" s="21" t="inlineStr">
        <is>
          <t>000440</t>
        </is>
      </c>
      <c r="G73" s="22" t="inlineStr">
        <is>
          <t>Não Encontrado na Base</t>
        </is>
      </c>
      <c r="H73" s="19" t="n">
        <v>0.02</v>
      </c>
      <c r="I73" s="9" t="n"/>
      <c r="J73" s="23">
        <f>IFERROR(VLOOKUP(F73,'Base Insumos'!$A:$C,3,FALSE()),"PENDENTE")</f>
        <v/>
      </c>
      <c r="K73" s="8">
        <f>IFERROR(IF(J73="PENDENTE",0,J73*H73),0)</f>
        <v/>
      </c>
      <c r="L73" s="8" t="n">
        <v>15.99</v>
      </c>
      <c r="M73" s="20">
        <f>IFERROR(K73/L73,0)</f>
        <v/>
      </c>
      <c r="N73" s="7" t="n"/>
    </row>
    <row r="74" ht="15" customHeight="1">
      <c r="A74" s="11" t="inlineStr">
        <is>
          <t>Espetos</t>
        </is>
      </c>
      <c r="B74" s="12" t="inlineStr">
        <is>
          <t>Espetos</t>
        </is>
      </c>
      <c r="C74" s="13" t="inlineStr">
        <is>
          <t>Espeto de Shimeji</t>
        </is>
      </c>
      <c r="D74" s="2">
        <f>IF(ISERROR(VLOOKUP(E74,'Estrutura Protheus'!A:A,1,FALSE)),"Não","Sim")</f>
        <v/>
      </c>
      <c r="E74" s="5" t="inlineStr">
        <is>
          <t>001470</t>
        </is>
      </c>
      <c r="F74" s="5" t="inlineStr">
        <is>
          <t>002068</t>
        </is>
      </c>
      <c r="G74" s="3" t="inlineStr">
        <is>
          <t>Manteiga S/sal 5kg</t>
        </is>
      </c>
      <c r="H74" s="14" t="n">
        <v>0.05</v>
      </c>
      <c r="I74" s="5" t="inlineStr">
        <is>
          <t>KG</t>
        </is>
      </c>
      <c r="J74" s="4">
        <f>IFERROR(VLOOKUP(F74,'Base Insumos'!$A:$C,3,FALSE()),"PENDENTE")</f>
        <v/>
      </c>
      <c r="K74" s="4">
        <f>IFERROR(IF(J74="PENDENTE",0,J74*H74),0)</f>
        <v/>
      </c>
      <c r="L74" s="4" t="n">
        <v>15.99</v>
      </c>
      <c r="M74" s="15">
        <f>IFERROR(K74/L74,0)</f>
        <v/>
      </c>
      <c r="N74" s="3" t="n"/>
    </row>
    <row r="75" ht="15" customHeight="1">
      <c r="A75" s="16" t="inlineStr">
        <is>
          <t>Bebidas Frias</t>
        </is>
      </c>
      <c r="B75" s="17" t="inlineStr">
        <is>
          <t>Vinhos - Tinto</t>
        </is>
      </c>
      <c r="C75" s="18" t="inlineStr">
        <is>
          <t>Antares Carmenere, 2020</t>
        </is>
      </c>
      <c r="D75" s="6">
        <f>IF(ISERROR(VLOOKUP(E75,'Estrutura Protheus'!A:A,1,FALSE)),"Não","Sim")</f>
        <v/>
      </c>
      <c r="E75" s="9" t="inlineStr">
        <is>
          <t>000281</t>
        </is>
      </c>
      <c r="F75" s="9" t="inlineStr">
        <is>
          <t>000371</t>
        </is>
      </c>
      <c r="G75" s="7" t="inlineStr">
        <is>
          <t>Vinho Antares Carmenere 750ml</t>
        </is>
      </c>
      <c r="H75" s="19" t="n">
        <v>1</v>
      </c>
      <c r="I75" s="9" t="inlineStr">
        <is>
          <t>UN</t>
        </is>
      </c>
      <c r="J75" s="8">
        <f>IFERROR(VLOOKUP(F75,'Base Insumos'!$A:$C,3,FALSE()),"PENDENTE")</f>
        <v/>
      </c>
      <c r="K75" s="8">
        <f>IFERROR(IF(J75="PENDENTE",0,J75*H75),0)</f>
        <v/>
      </c>
      <c r="L75" s="8" t="n">
        <v>118.99</v>
      </c>
      <c r="M75" s="20">
        <f>IFERROR(K75/L75,0)</f>
        <v/>
      </c>
      <c r="N75" s="7" t="n"/>
    </row>
    <row r="76" ht="15" customHeight="1">
      <c r="A76" s="11" t="inlineStr">
        <is>
          <t>Bebidas Frias</t>
        </is>
      </c>
      <c r="B76" s="12" t="inlineStr">
        <is>
          <t>Vinhos - Espumante</t>
        </is>
      </c>
      <c r="C76" s="13" t="inlineStr">
        <is>
          <t>Chandon Rose</t>
        </is>
      </c>
      <c r="D76" s="2">
        <f>IF(ISERROR(VLOOKUP(E76,'Estrutura Protheus'!A:A,1,FALSE)),"Não","Sim")</f>
        <v/>
      </c>
      <c r="E76" s="5" t="inlineStr">
        <is>
          <t>001147</t>
        </is>
      </c>
      <c r="F76" s="5" t="inlineStr">
        <is>
          <t>001139</t>
        </is>
      </c>
      <c r="G76" s="3" t="inlineStr">
        <is>
          <t>Espumante Chandon Rose 750 Ml</t>
        </is>
      </c>
      <c r="H76" s="14" t="n">
        <v>1</v>
      </c>
      <c r="I76" s="5" t="inlineStr">
        <is>
          <t>UN</t>
        </is>
      </c>
      <c r="J76" s="4">
        <f>IFERROR(VLOOKUP(F76,'Base Insumos'!$A:$C,3,FALSE()),"PENDENTE")</f>
        <v/>
      </c>
      <c r="K76" s="4">
        <f>IFERROR(IF(J76="PENDENTE",0,J76*H76),0)</f>
        <v/>
      </c>
      <c r="L76" s="4" t="n">
        <v>239.99</v>
      </c>
      <c r="M76" s="15">
        <f>IFERROR(K76/L76,0)</f>
        <v/>
      </c>
      <c r="N76" s="3" t="n"/>
    </row>
    <row r="77" ht="15" customHeight="1">
      <c r="A77" s="16" t="inlineStr">
        <is>
          <t>Bebidas Frias</t>
        </is>
      </c>
      <c r="B77" s="17" t="inlineStr">
        <is>
          <t>Vinhos - Espumante</t>
        </is>
      </c>
      <c r="C77" s="18" t="inlineStr">
        <is>
          <t>Espumante Brasileiro Viva La Vida Brut 750ml</t>
        </is>
      </c>
      <c r="D77" s="6">
        <f>IF(ISERROR(VLOOKUP(E77,'Estrutura Protheus'!A:A,1,FALSE)),"Não","Sim")</f>
        <v/>
      </c>
      <c r="E77" s="9" t="inlineStr">
        <is>
          <t>010032</t>
        </is>
      </c>
      <c r="F77" s="9" t="inlineStr">
        <is>
          <t>009537</t>
        </is>
      </c>
      <c r="G77" s="7" t="inlineStr">
        <is>
          <t>Espumante Brasileiro Viva La Vida Brut 750ml</t>
        </is>
      </c>
      <c r="H77" s="19" t="n">
        <v>1</v>
      </c>
      <c r="I77" s="9" t="inlineStr">
        <is>
          <t>UN</t>
        </is>
      </c>
      <c r="J77" s="8">
        <f>IFERROR(VLOOKUP(F77,'Base Insumos'!$A:$C,3,FALSE()),"PENDENTE")</f>
        <v/>
      </c>
      <c r="K77" s="8">
        <f>IFERROR(IF(J77="PENDENTE",0,J77*H77),0)</f>
        <v/>
      </c>
      <c r="L77" s="8" t="n">
        <v>135.99</v>
      </c>
      <c r="M77" s="20">
        <f>IFERROR(K77/L77,0)</f>
        <v/>
      </c>
      <c r="N77" s="7" t="n"/>
    </row>
    <row r="78" ht="15" customHeight="1">
      <c r="A78" s="11" t="inlineStr">
        <is>
          <t>Bebidas Frias</t>
        </is>
      </c>
      <c r="B78" s="12" t="inlineStr">
        <is>
          <t>Vinhos - Branco</t>
        </is>
      </c>
      <c r="C78" s="13" t="inlineStr">
        <is>
          <t>Norton Porteño Chardonay</t>
        </is>
      </c>
      <c r="D78" s="2">
        <f>IF(ISERROR(VLOOKUP(E78,'Estrutura Protheus'!A:A,1,FALSE)),"Não","Sim")</f>
        <v/>
      </c>
      <c r="E78" s="5" t="inlineStr">
        <is>
          <t>001391</t>
        </is>
      </c>
      <c r="F78" s="5" t="inlineStr">
        <is>
          <t>001387</t>
        </is>
      </c>
      <c r="G78" s="3" t="inlineStr">
        <is>
          <t>Vinho Argentino Norton Porteno Chardonnay 750ml</t>
        </is>
      </c>
      <c r="H78" s="14" t="n">
        <v>1</v>
      </c>
      <c r="I78" s="5" t="inlineStr">
        <is>
          <t>UN</t>
        </is>
      </c>
      <c r="J78" s="4">
        <f>IFERROR(VLOOKUP(F78,'Base Insumos'!$A:$C,3,FALSE()),"PENDENTE")</f>
        <v/>
      </c>
      <c r="K78" s="4">
        <f>IFERROR(IF(J78="PENDENTE",0,J78*H78),0)</f>
        <v/>
      </c>
      <c r="L78" s="4" t="n">
        <v>99.98999999999999</v>
      </c>
      <c r="M78" s="15">
        <f>IFERROR(K78/L78,0)</f>
        <v/>
      </c>
      <c r="N78" s="3" t="n"/>
    </row>
    <row r="79" ht="15" customHeight="1">
      <c r="A79" s="16" t="inlineStr">
        <is>
          <t>Bebidas Frias</t>
        </is>
      </c>
      <c r="B79" s="17" t="inlineStr">
        <is>
          <t>Vinhos - Tinto</t>
        </is>
      </c>
      <c r="C79" s="18" t="inlineStr">
        <is>
          <t>Norton Porteño Malbec</t>
        </is>
      </c>
      <c r="D79" s="6">
        <f>IF(ISERROR(VLOOKUP(E79,'Estrutura Protheus'!A:A,1,FALSE)),"Não","Sim")</f>
        <v/>
      </c>
      <c r="E79" s="9" t="inlineStr">
        <is>
          <t>001392</t>
        </is>
      </c>
      <c r="F79" s="9" t="inlineStr">
        <is>
          <t>001388</t>
        </is>
      </c>
      <c r="G79" s="7" t="inlineStr">
        <is>
          <t>Vinho Argentino Norton Porteno Malbec 750ml</t>
        </is>
      </c>
      <c r="H79" s="19" t="n">
        <v>1</v>
      </c>
      <c r="I79" s="9" t="inlineStr">
        <is>
          <t>UN</t>
        </is>
      </c>
      <c r="J79" s="8">
        <f>IFERROR(VLOOKUP(F79,'Base Insumos'!$A:$C,3,FALSE()),"PENDENTE")</f>
        <v/>
      </c>
      <c r="K79" s="8">
        <f>IFERROR(IF(J79="PENDENTE",0,J79*H79),0)</f>
        <v/>
      </c>
      <c r="L79" s="8" t="n">
        <v>99.98999999999999</v>
      </c>
      <c r="M79" s="20">
        <f>IFERROR(K79/L79,0)</f>
        <v/>
      </c>
      <c r="N79" s="7" t="n"/>
    </row>
    <row r="80" ht="15" customHeight="1">
      <c r="A80" s="11" t="inlineStr">
        <is>
          <t>Bebidas Frias</t>
        </is>
      </c>
      <c r="B80" s="12" t="inlineStr">
        <is>
          <t>Vinhos - Branco</t>
        </is>
      </c>
      <c r="C80" s="13" t="inlineStr">
        <is>
          <t>Villa Fabrizia Lambrusco</t>
        </is>
      </c>
      <c r="D80" s="2">
        <f>IF(ISERROR(VLOOKUP(E80,'Estrutura Protheus'!A:A,1,FALSE)),"Não","Sim")</f>
        <v/>
      </c>
      <c r="E80" s="5" t="inlineStr">
        <is>
          <t>000283</t>
        </is>
      </c>
      <c r="F80" s="21" t="inlineStr">
        <is>
          <t>000503</t>
        </is>
      </c>
      <c r="G80" s="22" t="inlineStr">
        <is>
          <t>Não Encontrado na Base</t>
        </is>
      </c>
      <c r="H80" s="14" t="n">
        <v>1</v>
      </c>
      <c r="I80" s="5" t="n"/>
      <c r="J80" s="23">
        <f>IFERROR(VLOOKUP(F80,'Base Insumos'!$A:$C,3,FALSE()),"PENDENTE")</f>
        <v/>
      </c>
      <c r="K80" s="4">
        <f>IFERROR(IF(J80="PENDENTE",0,J80*H80),0)</f>
        <v/>
      </c>
      <c r="L80" s="4" t="n">
        <v>135.99</v>
      </c>
      <c r="M80" s="15">
        <f>IFERROR(K80/L80,0)</f>
        <v/>
      </c>
      <c r="N80" s="3" t="n"/>
    </row>
    <row r="81" ht="15" customHeight="1">
      <c r="A81" s="16" t="inlineStr">
        <is>
          <t>Bebidas Frias</t>
        </is>
      </c>
      <c r="B81" s="17" t="inlineStr">
        <is>
          <t>Cerveja</t>
        </is>
      </c>
      <c r="C81" s="18" t="inlineStr">
        <is>
          <t>Beck's Garrafa</t>
        </is>
      </c>
      <c r="D81" s="6">
        <f>IF(ISERROR(VLOOKUP(E81,'Estrutura Protheus'!A:A,1,FALSE)),"Não","Sim")</f>
        <v/>
      </c>
      <c r="E81" s="9" t="inlineStr">
        <is>
          <t>001017</t>
        </is>
      </c>
      <c r="F81" s="9" t="inlineStr">
        <is>
          <t>001016</t>
        </is>
      </c>
      <c r="G81" s="7" t="inlineStr">
        <is>
          <t>Cerveja Becks 600 Ml</t>
        </is>
      </c>
      <c r="H81" s="19" t="n">
        <v>1</v>
      </c>
      <c r="I81" s="9" t="inlineStr">
        <is>
          <t>UN</t>
        </is>
      </c>
      <c r="J81" s="8">
        <f>IFERROR(VLOOKUP(F81,'Base Insumos'!$A:$C,3,FALSE()),"PENDENTE")</f>
        <v/>
      </c>
      <c r="K81" s="8">
        <f>IFERROR(IF(J81="PENDENTE",0,J81*H81),0)</f>
        <v/>
      </c>
      <c r="L81" s="8" t="n">
        <v>21.99</v>
      </c>
      <c r="M81" s="20">
        <f>IFERROR(K81/L81,0)</f>
        <v/>
      </c>
      <c r="N81" s="7" t="n"/>
    </row>
    <row r="82" ht="15" customHeight="1">
      <c r="A82" s="11" t="inlineStr">
        <is>
          <t>Bebidas Frias</t>
        </is>
      </c>
      <c r="B82" s="12" t="inlineStr">
        <is>
          <t>Cerveja</t>
        </is>
      </c>
      <c r="C82" s="13" t="inlineStr">
        <is>
          <t>Beck's Long Neck</t>
        </is>
      </c>
      <c r="D82" s="2">
        <f>IF(ISERROR(VLOOKUP(E82,'Estrutura Protheus'!A:A,1,FALSE)),"Não","Sim")</f>
        <v/>
      </c>
      <c r="E82" s="5" t="inlineStr">
        <is>
          <t>001333</t>
        </is>
      </c>
      <c r="F82" s="5" t="inlineStr">
        <is>
          <t>001049</t>
        </is>
      </c>
      <c r="G82" s="3" t="inlineStr">
        <is>
          <t>Cerveja Becks Long Neck</t>
        </is>
      </c>
      <c r="H82" s="14" t="n">
        <v>1</v>
      </c>
      <c r="I82" s="5" t="inlineStr">
        <is>
          <t>UN</t>
        </is>
      </c>
      <c r="J82" s="4">
        <f>IFERROR(VLOOKUP(F82,'Base Insumos'!$A:$C,3,FALSE()),"PENDENTE")</f>
        <v/>
      </c>
      <c r="K82" s="4">
        <f>IFERROR(IF(J82="PENDENTE",0,J82*H82),0)</f>
        <v/>
      </c>
      <c r="L82" s="4" t="n">
        <v>14.99</v>
      </c>
      <c r="M82" s="15">
        <f>IFERROR(K82/L82,0)</f>
        <v/>
      </c>
      <c r="N82" s="3" t="n"/>
    </row>
    <row r="83" ht="15" customHeight="1">
      <c r="A83" s="16" t="inlineStr">
        <is>
          <t>Bebidas Frias</t>
        </is>
      </c>
      <c r="B83" s="17" t="inlineStr">
        <is>
          <t>Cerveja</t>
        </is>
      </c>
      <c r="C83" s="18" t="inlineStr">
        <is>
          <t>Brahma Duplo Malte Garrafa</t>
        </is>
      </c>
      <c r="D83" s="6">
        <f>IF(ISERROR(VLOOKUP(E83,'Estrutura Protheus'!A:A,1,FALSE)),"Não","Sim")</f>
        <v/>
      </c>
      <c r="E83" s="116" t="inlineStr">
        <is>
          <t>001057</t>
        </is>
      </c>
      <c r="F83" s="9" t="inlineStr">
        <is>
          <t>001052</t>
        </is>
      </c>
      <c r="G83" s="7" t="inlineStr">
        <is>
          <t>Cerveja Brahma Duplo Malte 600 Ml</t>
        </is>
      </c>
      <c r="H83" s="19" t="n">
        <v>1</v>
      </c>
      <c r="I83" s="9" t="inlineStr">
        <is>
          <t>UN</t>
        </is>
      </c>
      <c r="J83" s="8">
        <f>IFERROR(VLOOKUP(F83,'Base Insumos'!$A:$C,3,FALSE()),"PENDENTE")</f>
        <v/>
      </c>
      <c r="K83" s="8">
        <f>IFERROR(IF(J83="PENDENTE",0,J83*H83),0)</f>
        <v/>
      </c>
      <c r="L83" s="8" t="n">
        <v>17.9</v>
      </c>
      <c r="M83" s="20">
        <f>IFERROR(K83/L83,0)</f>
        <v/>
      </c>
      <c r="N83" s="7" t="n"/>
    </row>
    <row r="84" ht="15" customHeight="1">
      <c r="A84" s="11" t="inlineStr">
        <is>
          <t>Bebidas Frias</t>
        </is>
      </c>
      <c r="B84" s="12" t="inlineStr">
        <is>
          <t>Cerveja</t>
        </is>
      </c>
      <c r="C84" s="13" t="inlineStr">
        <is>
          <t>Budweiser Long Neck</t>
        </is>
      </c>
      <c r="D84" s="2">
        <f>IF(ISERROR(VLOOKUP(E84,'Estrutura Protheus'!A:A,1,FALSE)),"Não","Sim")</f>
        <v/>
      </c>
      <c r="E84" s="5" t="inlineStr">
        <is>
          <t>000904</t>
        </is>
      </c>
      <c r="F84" s="5" t="inlineStr">
        <is>
          <t>000326</t>
        </is>
      </c>
      <c r="G84" s="3" t="inlineStr">
        <is>
          <t>Budweiser Long Neck</t>
        </is>
      </c>
      <c r="H84" s="14" t="n">
        <v>1</v>
      </c>
      <c r="I84" s="5" t="inlineStr">
        <is>
          <t>UN</t>
        </is>
      </c>
      <c r="J84" s="4">
        <f>IFERROR(VLOOKUP(F84,'Base Insumos'!$A:$C,3,FALSE()),"PENDENTE")</f>
        <v/>
      </c>
      <c r="K84" s="4">
        <f>IFERROR(IF(J84="PENDENTE",0,J84*H84),0)</f>
        <v/>
      </c>
      <c r="L84" s="4" t="n">
        <v>13.99</v>
      </c>
      <c r="M84" s="15">
        <f>IFERROR(K84/L84,0)</f>
        <v/>
      </c>
      <c r="N84" s="3" t="n"/>
    </row>
    <row r="85" ht="15" customHeight="1">
      <c r="A85" s="16" t="inlineStr">
        <is>
          <t>Bebidas Frias</t>
        </is>
      </c>
      <c r="B85" s="17" t="inlineStr">
        <is>
          <t>Cerveja</t>
        </is>
      </c>
      <c r="C85" s="18" t="inlineStr">
        <is>
          <t>Budweiser Long Neck Zero</t>
        </is>
      </c>
      <c r="D85" s="6">
        <f>IF(ISERROR(VLOOKUP(E85,'Estrutura Protheus'!A:A,1,FALSE)),"Não","Sim")</f>
        <v/>
      </c>
      <c r="E85" s="9" t="inlineStr">
        <is>
          <t>001347</t>
        </is>
      </c>
      <c r="F85" s="9" t="inlineStr">
        <is>
          <t>001346</t>
        </is>
      </c>
      <c r="G85" s="7" t="inlineStr">
        <is>
          <t>Budweiser Zero Long Neck</t>
        </is>
      </c>
      <c r="H85" s="19" t="n">
        <v>1</v>
      </c>
      <c r="I85" s="9" t="inlineStr">
        <is>
          <t>UN</t>
        </is>
      </c>
      <c r="J85" s="8">
        <f>IFERROR(VLOOKUP(F85,'Base Insumos'!$A:$C,3,FALSE()),"PENDENTE")</f>
        <v/>
      </c>
      <c r="K85" s="8">
        <f>IFERROR(IF(J85="PENDENTE",0,J85*H85),0)</f>
        <v/>
      </c>
      <c r="L85" s="8" t="n">
        <v>13.99</v>
      </c>
      <c r="M85" s="20">
        <f>IFERROR(K85/L85,0)</f>
        <v/>
      </c>
      <c r="N85" s="7" t="n"/>
    </row>
    <row r="86" ht="15" customHeight="1">
      <c r="A86" s="11" t="inlineStr">
        <is>
          <t>Bebidas Frias</t>
        </is>
      </c>
      <c r="B86" s="12" t="inlineStr">
        <is>
          <t>Cerveja</t>
        </is>
      </c>
      <c r="C86" s="13" t="inlineStr">
        <is>
          <t>Cerveja do Quintal IPA Garrafa</t>
        </is>
      </c>
      <c r="D86" s="2">
        <f>IF(ISERROR(VLOOKUP(E86,'Estrutura Protheus'!A:A,1,FALSE)),"Não","Sim")</f>
        <v/>
      </c>
      <c r="E86" s="5" t="inlineStr">
        <is>
          <t>001414</t>
        </is>
      </c>
      <c r="F86" s="5" t="inlineStr">
        <is>
          <t>001412</t>
        </is>
      </c>
      <c r="G86" s="3" t="inlineStr">
        <is>
          <t>Cerveja Quintal Ipa</t>
        </is>
      </c>
      <c r="H86" s="14" t="n">
        <v>1</v>
      </c>
      <c r="I86" s="5" t="inlineStr">
        <is>
          <t>UN</t>
        </is>
      </c>
      <c r="J86" s="4">
        <f>IFERROR(VLOOKUP(F86,'Base Insumos'!$A:$C,3,FALSE()),"PENDENTE")</f>
        <v/>
      </c>
      <c r="K86" s="4">
        <f>IFERROR(IF(J86="PENDENTE",0,J86*H86),0)</f>
        <v/>
      </c>
      <c r="L86" s="4" t="n">
        <v>28.99</v>
      </c>
      <c r="M86" s="15">
        <f>IFERROR(K86/L86,0)</f>
        <v/>
      </c>
      <c r="N86" s="3" t="n"/>
    </row>
    <row r="87" ht="15" customHeight="1">
      <c r="A87" s="16" t="inlineStr">
        <is>
          <t>Bebidas Frias</t>
        </is>
      </c>
      <c r="B87" s="17" t="inlineStr">
        <is>
          <t>Cerveja</t>
        </is>
      </c>
      <c r="C87" s="18" t="inlineStr">
        <is>
          <t>Cerveja do Quintal Pilsen Garrafa</t>
        </is>
      </c>
      <c r="D87" s="6">
        <f>IF(ISERROR(VLOOKUP(E87,'Estrutura Protheus'!A:A,1,FALSE)),"Não","Sim")</f>
        <v/>
      </c>
      <c r="E87" s="9" t="inlineStr">
        <is>
          <t>001413</t>
        </is>
      </c>
      <c r="F87" s="9" t="inlineStr">
        <is>
          <t>001411</t>
        </is>
      </c>
      <c r="G87" s="7" t="inlineStr">
        <is>
          <t>Cerveja Quntal Pilsen</t>
        </is>
      </c>
      <c r="H87" s="19" t="n">
        <v>1</v>
      </c>
      <c r="I87" s="9" t="inlineStr">
        <is>
          <t>UN</t>
        </is>
      </c>
      <c r="J87" s="8">
        <f>IFERROR(VLOOKUP(F87,'Base Insumos'!$A:$C,3,FALSE()),"PENDENTE")</f>
        <v/>
      </c>
      <c r="K87" s="8">
        <f>IFERROR(IF(J87="PENDENTE",0,J87*H87),0)</f>
        <v/>
      </c>
      <c r="L87" s="8" t="n">
        <v>23.99</v>
      </c>
      <c r="M87" s="20">
        <f>IFERROR(K87/L87,0)</f>
        <v/>
      </c>
      <c r="N87" s="7" t="n"/>
    </row>
    <row r="88" ht="15" customHeight="1">
      <c r="A88" s="11" t="inlineStr">
        <is>
          <t>Bebidas Frias</t>
        </is>
      </c>
      <c r="B88" s="12" t="inlineStr">
        <is>
          <t>Cerveja</t>
        </is>
      </c>
      <c r="C88" s="13" t="inlineStr">
        <is>
          <t>Corona Garrafa</t>
        </is>
      </c>
      <c r="D88" s="2">
        <f>IF(ISERROR(VLOOKUP(E88,'Estrutura Protheus'!A:A,1,FALSE)),"Não","Sim")</f>
        <v/>
      </c>
      <c r="E88" s="5" t="inlineStr">
        <is>
          <t>001560</t>
        </is>
      </c>
      <c r="F88" s="5" t="inlineStr">
        <is>
          <t>001784</t>
        </is>
      </c>
      <c r="G88" s="3" t="inlineStr">
        <is>
          <t>Cerveja Corona 600ml - Compras</t>
        </is>
      </c>
      <c r="H88" s="14" t="n">
        <v>1</v>
      </c>
      <c r="I88" s="5" t="inlineStr">
        <is>
          <t>UN</t>
        </is>
      </c>
      <c r="J88" s="4">
        <f>IFERROR(VLOOKUP(F88,'Base Insumos'!$A:$C,3,FALSE()),"PENDENTE")</f>
        <v/>
      </c>
      <c r="K88" s="4">
        <f>IFERROR(IF(J88="PENDENTE",0,J88*H88),0)</f>
        <v/>
      </c>
      <c r="L88" s="4" t="n">
        <v>22.99</v>
      </c>
      <c r="M88" s="15">
        <f>IFERROR(K88/L88,0)</f>
        <v/>
      </c>
      <c r="N88" s="3" t="n"/>
    </row>
    <row r="89" ht="15" customHeight="1">
      <c r="A89" s="16" t="inlineStr">
        <is>
          <t>Bebidas Frias</t>
        </is>
      </c>
      <c r="B89" s="17" t="inlineStr">
        <is>
          <t>Cerveja</t>
        </is>
      </c>
      <c r="C89" s="18" t="inlineStr">
        <is>
          <t>Corona cero</t>
        </is>
      </c>
      <c r="D89" s="6">
        <f>IF(ISERROR(VLOOKUP(E89,'Estrutura Protheus'!A:A,1,FALSE)),"Não","Sim")</f>
        <v/>
      </c>
      <c r="E89" s="9" t="inlineStr">
        <is>
          <t>001660</t>
        </is>
      </c>
      <c r="F89" s="9" t="inlineStr">
        <is>
          <t>001654</t>
        </is>
      </c>
      <c r="G89" s="7" t="inlineStr">
        <is>
          <t>Corona Extra Zero Long Neck</t>
        </is>
      </c>
      <c r="H89" s="19" t="n">
        <v>1</v>
      </c>
      <c r="I89" s="9" t="inlineStr">
        <is>
          <t>UN</t>
        </is>
      </c>
      <c r="J89" s="8">
        <f>IFERROR(VLOOKUP(F89,'Base Insumos'!$A:$C,3,FALSE()),"PENDENTE")</f>
        <v/>
      </c>
      <c r="K89" s="8">
        <f>IFERROR(IF(J89="PENDENTE",0,J89*H89),0)</f>
        <v/>
      </c>
      <c r="L89" s="8" t="n">
        <v>15.99</v>
      </c>
      <c r="M89" s="20">
        <f>IFERROR(K89/L89,0)</f>
        <v/>
      </c>
      <c r="N89" s="7" t="n"/>
    </row>
    <row r="90" ht="15" customHeight="1">
      <c r="A90" s="11" t="inlineStr">
        <is>
          <t>Bebidas Frias</t>
        </is>
      </c>
      <c r="B90" s="12" t="inlineStr">
        <is>
          <t>Cerveja</t>
        </is>
      </c>
      <c r="C90" s="13" t="inlineStr">
        <is>
          <t>Corona Extra</t>
        </is>
      </c>
      <c r="D90" s="2">
        <f>IF(ISERROR(VLOOKUP(E90,'Estrutura Protheus'!A:A,1,FALSE)),"Não","Sim")</f>
        <v/>
      </c>
      <c r="E90" s="5" t="inlineStr">
        <is>
          <t>000917</t>
        </is>
      </c>
      <c r="F90" s="5" t="inlineStr">
        <is>
          <t>000203</t>
        </is>
      </c>
      <c r="G90" s="3" t="inlineStr">
        <is>
          <t>Corona Extra Long Neck</t>
        </is>
      </c>
      <c r="H90" s="14" t="n">
        <v>1</v>
      </c>
      <c r="I90" s="5" t="inlineStr">
        <is>
          <t>UN</t>
        </is>
      </c>
      <c r="J90" s="4">
        <f>IFERROR(VLOOKUP(F90,'Base Insumos'!$A:$C,3,FALSE()),"PENDENTE")</f>
        <v/>
      </c>
      <c r="K90" s="4">
        <f>IFERROR(IF(J90="PENDENTE",0,J90*H90),0)</f>
        <v/>
      </c>
      <c r="L90" s="4" t="n">
        <v>15.99</v>
      </c>
      <c r="M90" s="15">
        <f>IFERROR(K90/L90,0)</f>
        <v/>
      </c>
      <c r="N90" s="3" t="n"/>
    </row>
    <row r="91" ht="15" customHeight="1">
      <c r="A91" s="16" t="inlineStr">
        <is>
          <t>Bebidas Frias</t>
        </is>
      </c>
      <c r="B91" s="17" t="inlineStr">
        <is>
          <t>Cerveja</t>
        </is>
      </c>
      <c r="C91" s="18" t="inlineStr">
        <is>
          <t>Malzbier</t>
        </is>
      </c>
      <c r="D91" s="6">
        <f>IF(ISERROR(VLOOKUP(E91,'Estrutura Protheus'!A:A,1,FALSE)),"Não","Sim")</f>
        <v/>
      </c>
      <c r="E91" s="9" t="inlineStr">
        <is>
          <t>000903</t>
        </is>
      </c>
      <c r="F91" s="9" t="inlineStr">
        <is>
          <t>000324</t>
        </is>
      </c>
      <c r="G91" s="7" t="inlineStr">
        <is>
          <t>Malzbier Long Neck</t>
        </is>
      </c>
      <c r="H91" s="19" t="n">
        <v>1</v>
      </c>
      <c r="I91" s="9" t="inlineStr">
        <is>
          <t>UN</t>
        </is>
      </c>
      <c r="J91" s="8">
        <f>IFERROR(VLOOKUP(F91,'Base Insumos'!$A:$C,3,FALSE()),"PENDENTE")</f>
        <v/>
      </c>
      <c r="K91" s="8">
        <f>IFERROR(IF(J91="PENDENTE",0,J91*H91),0)</f>
        <v/>
      </c>
      <c r="L91" s="8" t="n">
        <v>13.99</v>
      </c>
      <c r="M91" s="20">
        <f>IFERROR(K91/L91,0)</f>
        <v/>
      </c>
      <c r="N91" s="7" t="n"/>
    </row>
    <row r="92" ht="15" customHeight="1">
      <c r="A92" s="11" t="inlineStr">
        <is>
          <t>Bebidas Frias</t>
        </is>
      </c>
      <c r="B92" s="12" t="inlineStr">
        <is>
          <t>Cerveja</t>
        </is>
      </c>
      <c r="C92" s="13" t="inlineStr">
        <is>
          <t>Original 600ml</t>
        </is>
      </c>
      <c r="D92" s="2">
        <f>IF(ISERROR(VLOOKUP(E92,'Estrutura Protheus'!A:A,1,FALSE)),"Não","Sim")</f>
        <v/>
      </c>
      <c r="E92" s="5" t="inlineStr">
        <is>
          <t>000894</t>
        </is>
      </c>
      <c r="F92" s="5" t="inlineStr">
        <is>
          <t>000310</t>
        </is>
      </c>
      <c r="G92" s="3" t="inlineStr">
        <is>
          <t>Cerveja Original 600ml</t>
        </is>
      </c>
      <c r="H92" s="14" t="n">
        <v>1</v>
      </c>
      <c r="I92" s="5" t="inlineStr">
        <is>
          <t>UN</t>
        </is>
      </c>
      <c r="J92" s="4">
        <f>IFERROR(VLOOKUP(F92,'Base Insumos'!$A:$C,3,FALSE()),"PENDENTE")</f>
        <v/>
      </c>
      <c r="K92" s="4">
        <f>IFERROR(IF(J92="PENDENTE",0,J92*H92),0)</f>
        <v/>
      </c>
      <c r="L92" s="4" t="n">
        <v>19.99</v>
      </c>
      <c r="M92" s="15">
        <f>IFERROR(K92/L92,0)</f>
        <v/>
      </c>
      <c r="N92" s="3" t="n"/>
    </row>
    <row r="93" ht="15" customHeight="1">
      <c r="A93" s="16" t="inlineStr">
        <is>
          <t>Bebidas Frias</t>
        </is>
      </c>
      <c r="B93" s="17" t="inlineStr">
        <is>
          <t>Cerveja</t>
        </is>
      </c>
      <c r="C93" s="18" t="inlineStr">
        <is>
          <t>Spaten Garrafa</t>
        </is>
      </c>
      <c r="D93" s="6">
        <f>IF(ISERROR(VLOOKUP(E93,'Estrutura Protheus'!A:A,1,FALSE)),"Não","Sim")</f>
        <v/>
      </c>
      <c r="E93" s="9" t="inlineStr">
        <is>
          <t>001228</t>
        </is>
      </c>
      <c r="F93" s="9" t="inlineStr">
        <is>
          <t>001227</t>
        </is>
      </c>
      <c r="G93" s="7" t="inlineStr">
        <is>
          <t>Cerveja Spaten 600 Ml</t>
        </is>
      </c>
      <c r="H93" s="19" t="n">
        <v>1</v>
      </c>
      <c r="I93" s="9" t="inlineStr">
        <is>
          <t>UN</t>
        </is>
      </c>
      <c r="J93" s="8">
        <f>IFERROR(VLOOKUP(F93,'Base Insumos'!$A:$C,3,FALSE()),"PENDENTE")</f>
        <v/>
      </c>
      <c r="K93" s="8">
        <f>IFERROR(IF(J93="PENDENTE",0,J93*H93),0)</f>
        <v/>
      </c>
      <c r="L93" s="8" t="n">
        <v>19.99</v>
      </c>
      <c r="M93" s="20">
        <f>IFERROR(K93/L93,0)</f>
        <v/>
      </c>
      <c r="N93" s="7" t="n"/>
    </row>
    <row r="94" ht="15" customHeight="1">
      <c r="A94" s="11" t="inlineStr">
        <is>
          <t>Bebidas Frias</t>
        </is>
      </c>
      <c r="B94" s="12" t="inlineStr">
        <is>
          <t>Cerveja</t>
        </is>
      </c>
      <c r="C94" s="13" t="inlineStr">
        <is>
          <t>Spaten Long Neck</t>
        </is>
      </c>
      <c r="D94" s="2">
        <f>IF(ISERROR(VLOOKUP(E94,'Estrutura Protheus'!A:A,1,FALSE)),"Não","Sim")</f>
        <v/>
      </c>
      <c r="E94" s="5" t="inlineStr">
        <is>
          <t>001332</t>
        </is>
      </c>
      <c r="F94" s="5" t="inlineStr">
        <is>
          <t>001326</t>
        </is>
      </c>
      <c r="G94" s="3" t="inlineStr">
        <is>
          <t>Cerveja Spaten Long Neck</t>
        </is>
      </c>
      <c r="H94" s="14" t="n">
        <v>1</v>
      </c>
      <c r="I94" s="5" t="inlineStr">
        <is>
          <t>UN</t>
        </is>
      </c>
      <c r="J94" s="4">
        <f>IFERROR(VLOOKUP(F94,'Base Insumos'!$A:$C,3,FALSE()),"PENDENTE")</f>
        <v/>
      </c>
      <c r="K94" s="4">
        <f>IFERROR(IF(J94="PENDENTE",0,J94*H94),0)</f>
        <v/>
      </c>
      <c r="L94" s="4" t="n">
        <v>14.99</v>
      </c>
      <c r="M94" s="15">
        <f>IFERROR(K94/L94,0)</f>
        <v/>
      </c>
      <c r="N94" s="3" t="n"/>
    </row>
    <row r="95" ht="15" customHeight="1">
      <c r="A95" s="16" t="inlineStr">
        <is>
          <t>Bebidas Frias</t>
        </is>
      </c>
      <c r="B95" s="17" t="inlineStr">
        <is>
          <t>Cerveja</t>
        </is>
      </c>
      <c r="C95" s="18" t="inlineStr">
        <is>
          <t>Stella Artois Garrafa</t>
        </is>
      </c>
      <c r="D95" s="6">
        <f>IF(ISERROR(VLOOKUP(E95,'Estrutura Protheus'!A:A,1,FALSE)),"Não","Sim")</f>
        <v/>
      </c>
      <c r="E95" s="9" t="inlineStr">
        <is>
          <t>000897</t>
        </is>
      </c>
      <c r="F95" s="9" t="inlineStr">
        <is>
          <t>000674</t>
        </is>
      </c>
      <c r="G95" s="7" t="inlineStr">
        <is>
          <t>Cerveja Stella Artois 600 Ml</t>
        </is>
      </c>
      <c r="H95" s="19" t="n">
        <v>1</v>
      </c>
      <c r="I95" s="9" t="inlineStr">
        <is>
          <t>UN</t>
        </is>
      </c>
      <c r="J95" s="8">
        <f>IFERROR(VLOOKUP(F95,'Base Insumos'!$A:$C,3,FALSE()),"PENDENTE")</f>
        <v/>
      </c>
      <c r="K95" s="8">
        <f>IFERROR(IF(J95="PENDENTE",0,J95*H95),0)</f>
        <v/>
      </c>
      <c r="L95" s="8" t="n">
        <v>20.99</v>
      </c>
      <c r="M95" s="20">
        <f>IFERROR(K95/L95,0)</f>
        <v/>
      </c>
      <c r="N95" s="7" t="n"/>
    </row>
    <row r="96" ht="15" customHeight="1">
      <c r="A96" s="11" t="inlineStr">
        <is>
          <t>Bebidas Frias</t>
        </is>
      </c>
      <c r="B96" s="12" t="inlineStr">
        <is>
          <t>Cerveja</t>
        </is>
      </c>
      <c r="C96" s="13" t="inlineStr">
        <is>
          <t>Stella Artois Long Neck</t>
        </is>
      </c>
      <c r="D96" s="2">
        <f>IF(ISERROR(VLOOKUP(E96,'Estrutura Protheus'!A:A,1,FALSE)),"Não","Sim")</f>
        <v/>
      </c>
      <c r="E96" s="5" t="inlineStr">
        <is>
          <t>000910</t>
        </is>
      </c>
      <c r="F96" s="5" t="inlineStr">
        <is>
          <t>000325</t>
        </is>
      </c>
      <c r="G96" s="3" t="inlineStr">
        <is>
          <t>Stella Artois Long Neck</t>
        </is>
      </c>
      <c r="H96" s="14" t="n">
        <v>1</v>
      </c>
      <c r="I96" s="5" t="inlineStr">
        <is>
          <t>UN</t>
        </is>
      </c>
      <c r="J96" s="4">
        <f>IFERROR(VLOOKUP(F96,'Base Insumos'!$A:$C,3,FALSE()),"PENDENTE")</f>
        <v/>
      </c>
      <c r="K96" s="4">
        <f>IFERROR(IF(J96="PENDENTE",0,J96*H96),0)</f>
        <v/>
      </c>
      <c r="L96" s="4" t="n">
        <v>14.99</v>
      </c>
      <c r="M96" s="15">
        <f>IFERROR(K96/L96,0)</f>
        <v/>
      </c>
      <c r="N96" s="3" t="n"/>
    </row>
    <row r="97" ht="15" customHeight="1">
      <c r="A97" s="16" t="inlineStr">
        <is>
          <t>Bebidas Frias</t>
        </is>
      </c>
      <c r="B97" s="17" t="inlineStr">
        <is>
          <t>Cerveja</t>
        </is>
      </c>
      <c r="C97" s="18" t="inlineStr">
        <is>
          <t>Stella s/ glúten</t>
        </is>
      </c>
      <c r="D97" s="6">
        <f>IF(ISERROR(VLOOKUP(E97,'Estrutura Protheus'!A:A,1,FALSE)),"Não","Sim")</f>
        <v/>
      </c>
      <c r="E97" s="9" t="inlineStr">
        <is>
          <t>001389</t>
        </is>
      </c>
      <c r="F97" s="9" t="inlineStr">
        <is>
          <t>001395</t>
        </is>
      </c>
      <c r="G97" s="7" t="inlineStr">
        <is>
          <t>Stella Long Nec s/ Gluten</t>
        </is>
      </c>
      <c r="H97" s="19" t="n">
        <v>1</v>
      </c>
      <c r="I97" s="9" t="inlineStr">
        <is>
          <t>UN</t>
        </is>
      </c>
      <c r="J97" s="8">
        <f>IFERROR(VLOOKUP(F97,'Base Insumos'!$A:$C,3,FALSE()),"PENDENTE")</f>
        <v/>
      </c>
      <c r="K97" s="8">
        <f>IFERROR(IF(J97="PENDENTE",0,J97*H97),0)</f>
        <v/>
      </c>
      <c r="L97" s="8" t="n">
        <v>14.99</v>
      </c>
      <c r="M97" s="20">
        <f>IFERROR(K97/L97,0)</f>
        <v/>
      </c>
      <c r="N97" s="7" t="n"/>
    </row>
    <row r="98" ht="15" customHeight="1">
      <c r="A98" s="11" t="inlineStr">
        <is>
          <t>Bebidas Frias</t>
        </is>
      </c>
      <c r="B98" s="12" t="inlineStr">
        <is>
          <t>Bebidas Prontas</t>
        </is>
      </c>
      <c r="C98" s="13" t="inlineStr">
        <is>
          <t>Beats Senses</t>
        </is>
      </c>
      <c r="D98" s="2">
        <f>IF(ISERROR(VLOOKUP(E98,'Estrutura Protheus'!A:A,1,FALSE)),"Não","Sim")</f>
        <v/>
      </c>
      <c r="E98" s="5" t="inlineStr">
        <is>
          <t>001336</t>
        </is>
      </c>
      <c r="F98" s="5" t="inlineStr">
        <is>
          <t>001158</t>
        </is>
      </c>
      <c r="G98" s="3" t="inlineStr">
        <is>
          <t>Skol Beats Senses Long</t>
        </is>
      </c>
      <c r="H98" s="14" t="n">
        <v>1</v>
      </c>
      <c r="I98" s="5" t="inlineStr">
        <is>
          <t>UN</t>
        </is>
      </c>
      <c r="J98" s="4">
        <f>IFERROR(VLOOKUP(F98,'Base Insumos'!$A:$C,3,FALSE()),"PENDENTE")</f>
        <v/>
      </c>
      <c r="K98" s="4">
        <f>IFERROR(IF(J98="PENDENTE",0,J98*H98),0)</f>
        <v/>
      </c>
      <c r="L98" s="24" t="inlineStr">
        <is>
          <t>PENDENTE</t>
        </is>
      </c>
      <c r="M98" s="5" t="inlineStr">
        <is>
          <t>-</t>
        </is>
      </c>
      <c r="N98" s="3" t="n"/>
    </row>
    <row r="99" ht="15" customHeight="1">
      <c r="A99" s="16" t="inlineStr">
        <is>
          <t>Bebidas Frias</t>
        </is>
      </c>
      <c r="B99" s="17" t="inlineStr">
        <is>
          <t>Bebidas Prontas</t>
        </is>
      </c>
      <c r="C99" s="18" t="inlineStr">
        <is>
          <t>Smirnoff Ice</t>
        </is>
      </c>
      <c r="D99" s="6">
        <f>IF(ISERROR(VLOOKUP(E99,'Estrutura Protheus'!A:A,1,FALSE)),"Não","Sim")</f>
        <v/>
      </c>
      <c r="E99" s="9" t="inlineStr">
        <is>
          <t>000030</t>
        </is>
      </c>
      <c r="F99" s="9" t="inlineStr">
        <is>
          <t>000367</t>
        </is>
      </c>
      <c r="G99" s="7" t="inlineStr">
        <is>
          <t>Long Smirnoff Ice</t>
        </is>
      </c>
      <c r="H99" s="19" t="n">
        <v>1</v>
      </c>
      <c r="I99" s="9" t="inlineStr">
        <is>
          <t>UN</t>
        </is>
      </c>
      <c r="J99" s="8">
        <f>IFERROR(VLOOKUP(F99,'Base Insumos'!$A:$C,3,FALSE()),"PENDENTE")</f>
        <v/>
      </c>
      <c r="K99" s="8">
        <f>IFERROR(IF(J99="PENDENTE",0,J99*H99),0)</f>
        <v/>
      </c>
      <c r="L99" s="8" t="n">
        <v>19.99</v>
      </c>
      <c r="M99" s="20">
        <f>IFERROR(K99/L99,0)</f>
        <v/>
      </c>
      <c r="N99" s="7" t="n"/>
    </row>
    <row r="100" ht="15" customHeight="1">
      <c r="A100" s="11" t="inlineStr">
        <is>
          <t>Bebidas Frias</t>
        </is>
      </c>
      <c r="B100" s="12" t="inlineStr">
        <is>
          <t>Vodka</t>
        </is>
      </c>
      <c r="C100" s="13" t="inlineStr">
        <is>
          <t>Absolut</t>
        </is>
      </c>
      <c r="D100" s="2">
        <f>IF(ISERROR(VLOOKUP(E100,'Estrutura Protheus'!A:A,1,FALSE)),"Não","Sim")</f>
        <v/>
      </c>
      <c r="E100" s="5" t="inlineStr">
        <is>
          <t>000049</t>
        </is>
      </c>
      <c r="F100" s="5" t="inlineStr">
        <is>
          <t>000339</t>
        </is>
      </c>
      <c r="G100" s="3" t="inlineStr">
        <is>
          <t>Vodka Absolut Natural 1lt</t>
        </is>
      </c>
      <c r="H100" s="14" t="n">
        <v>1</v>
      </c>
      <c r="I100" s="5" t="inlineStr">
        <is>
          <t>LT</t>
        </is>
      </c>
      <c r="J100" s="4">
        <f>IFERROR(VLOOKUP(F100,'Base Insumos'!$A:$C,3,FALSE()),"PENDENTE")</f>
        <v/>
      </c>
      <c r="K100" s="4">
        <f>IFERROR(IF(J100="PENDENTE",0,J100*H100),0)</f>
        <v/>
      </c>
      <c r="L100" s="24" t="inlineStr">
        <is>
          <t>PENDENTE</t>
        </is>
      </c>
      <c r="M100" s="5" t="inlineStr">
        <is>
          <t>-</t>
        </is>
      </c>
      <c r="N100" s="3" t="n"/>
    </row>
    <row r="101" ht="15" customHeight="1">
      <c r="A101" s="16" t="inlineStr">
        <is>
          <t>Bebidas Frias</t>
        </is>
      </c>
      <c r="B101" s="17" t="inlineStr">
        <is>
          <t>Gin</t>
        </is>
      </c>
      <c r="C101" s="18" t="inlineStr">
        <is>
          <t>Beefeater London Dry</t>
        </is>
      </c>
      <c r="D101" s="6">
        <f>IF(ISERROR(VLOOKUP(E101,'Estrutura Protheus'!A:A,1,FALSE)),"Não","Sim")</f>
        <v/>
      </c>
      <c r="E101" s="9" t="inlineStr">
        <is>
          <t>000052</t>
        </is>
      </c>
      <c r="F101" s="9" t="inlineStr">
        <is>
          <t>000353</t>
        </is>
      </c>
      <c r="G101" s="7" t="inlineStr">
        <is>
          <t>Gin Beefeater 750 Ml</t>
        </is>
      </c>
      <c r="H101" s="19" t="n">
        <v>0.75</v>
      </c>
      <c r="I101" s="9" t="inlineStr">
        <is>
          <t>LT</t>
        </is>
      </c>
      <c r="J101" s="8">
        <f>IFERROR(VLOOKUP(F101,'Base Insumos'!$A:$C,3,FALSE()),"PENDENTE")</f>
        <v/>
      </c>
      <c r="K101" s="8">
        <f>IFERROR(IF(J101="PENDENTE",0,J101*H101),0)</f>
        <v/>
      </c>
      <c r="L101" s="8" t="n">
        <v>279.99</v>
      </c>
      <c r="M101" s="20">
        <f>IFERROR(K101/L101,0)</f>
        <v/>
      </c>
      <c r="N101" s="7" t="n"/>
    </row>
    <row r="102" ht="15" customHeight="1">
      <c r="A102" s="11" t="inlineStr">
        <is>
          <t>Bebidas Frias</t>
        </is>
      </c>
      <c r="B102" s="12" t="inlineStr">
        <is>
          <t>Whiskies</t>
        </is>
      </c>
      <c r="C102" s="13" t="inlineStr">
        <is>
          <t>Black Label</t>
        </is>
      </c>
      <c r="D102" s="2">
        <f>IF(ISERROR(VLOOKUP(E102,'Estrutura Protheus'!A:A,1,FALSE)),"Não","Sim")</f>
        <v/>
      </c>
      <c r="E102" s="5" t="inlineStr">
        <is>
          <t>001338</t>
        </is>
      </c>
      <c r="F102" s="5" t="inlineStr">
        <is>
          <t>001137</t>
        </is>
      </c>
      <c r="G102" s="3" t="inlineStr">
        <is>
          <t>Whisky Johnnie Walker Black Label 1lt</t>
        </is>
      </c>
      <c r="H102" s="14" t="n">
        <v>1</v>
      </c>
      <c r="I102" s="5" t="inlineStr">
        <is>
          <t>LT</t>
        </is>
      </c>
      <c r="J102" s="4">
        <f>IFERROR(VLOOKUP(F102,'Base Insumos'!$A:$C,3,FALSE()),"PENDENTE")</f>
        <v/>
      </c>
      <c r="K102" s="4">
        <f>IFERROR(IF(J102="PENDENTE",0,J102*H102),0)</f>
        <v/>
      </c>
      <c r="L102" s="4" t="n">
        <v>239.99</v>
      </c>
      <c r="M102" s="15">
        <f>IFERROR(K102/L102,0)</f>
        <v/>
      </c>
      <c r="N102" s="3" t="n"/>
    </row>
    <row r="103" ht="15" customHeight="1">
      <c r="A103" s="16" t="inlineStr">
        <is>
          <t>Bebidas Frias</t>
        </is>
      </c>
      <c r="B103" s="17" t="inlineStr">
        <is>
          <t>Cachaça</t>
        </is>
      </c>
      <c r="C103" s="18" t="inlineStr">
        <is>
          <t>Cachaça do Quintal - Mel &amp; Limão</t>
        </is>
      </c>
      <c r="D103" s="6">
        <f>IF(ISERROR(VLOOKUP(E103,'Estrutura Protheus'!A:A,1,FALSE)),"Não","Sim")</f>
        <v/>
      </c>
      <c r="E103" s="9" t="inlineStr">
        <is>
          <t>000957</t>
        </is>
      </c>
      <c r="F103" s="9" t="inlineStr">
        <is>
          <t>000760</t>
        </is>
      </c>
      <c r="G103" s="7" t="inlineStr">
        <is>
          <t>Cachaca Quintal Mel e Limao 750ml</t>
        </is>
      </c>
      <c r="H103" s="19" t="n">
        <v>0.75</v>
      </c>
      <c r="I103" s="9" t="inlineStr">
        <is>
          <t>LT</t>
        </is>
      </c>
      <c r="J103" s="8">
        <f>IFERROR(VLOOKUP(F103,'Base Insumos'!$A:$C,3,FALSE()),"PENDENTE")</f>
        <v/>
      </c>
      <c r="K103" s="8">
        <f>IFERROR(IF(J103="PENDENTE",0,J103*H103),0)</f>
        <v/>
      </c>
      <c r="L103" s="8" t="n">
        <v>119.99</v>
      </c>
      <c r="M103" s="20">
        <f>IFERROR(K103/L103,0)</f>
        <v/>
      </c>
      <c r="N103" s="7" t="n"/>
    </row>
    <row r="104" ht="15" customHeight="1">
      <c r="A104" s="11" t="inlineStr">
        <is>
          <t>Bebidas Frias</t>
        </is>
      </c>
      <c r="B104" s="12" t="inlineStr">
        <is>
          <t>Cachaça</t>
        </is>
      </c>
      <c r="C104" s="13" t="inlineStr">
        <is>
          <t>Cachaça do Quintal - Ouro</t>
        </is>
      </c>
      <c r="D104" s="2">
        <f>IF(ISERROR(VLOOKUP(E104,'Estrutura Protheus'!A:A,1,FALSE)),"Não","Sim")</f>
        <v/>
      </c>
      <c r="E104" s="5" t="inlineStr">
        <is>
          <t>000955</t>
        </is>
      </c>
      <c r="F104" s="5" t="inlineStr">
        <is>
          <t>000759</t>
        </is>
      </c>
      <c r="G104" s="3" t="inlineStr">
        <is>
          <t>Cachaca Quintal Ouro 965ml</t>
        </is>
      </c>
      <c r="H104" s="14" t="n">
        <v>0.965</v>
      </c>
      <c r="I104" s="5" t="inlineStr">
        <is>
          <t>LT</t>
        </is>
      </c>
      <c r="J104" s="4">
        <f>IFERROR(VLOOKUP(F104,'Base Insumos'!$A:$C,3,FALSE()),"PENDENTE")</f>
        <v/>
      </c>
      <c r="K104" s="4">
        <f>IFERROR(IF(J104="PENDENTE",0,J104*H104),0)</f>
        <v/>
      </c>
      <c r="L104" s="4" t="n">
        <v>119.99</v>
      </c>
      <c r="M104" s="15">
        <f>IFERROR(K104/L104,0)</f>
        <v/>
      </c>
      <c r="N104" s="3" t="n"/>
    </row>
    <row r="105" ht="15" customHeight="1">
      <c r="A105" s="16" t="inlineStr">
        <is>
          <t>Bebidas Frias</t>
        </is>
      </c>
      <c r="B105" s="17" t="inlineStr">
        <is>
          <t>Cachaça</t>
        </is>
      </c>
      <c r="C105" s="18" t="inlineStr">
        <is>
          <t>Cachaça do Quintal - Prata</t>
        </is>
      </c>
      <c r="D105" s="6">
        <f>IF(ISERROR(VLOOKUP(E105,'Estrutura Protheus'!A:A,1,FALSE)),"Não","Sim")</f>
        <v/>
      </c>
      <c r="E105" s="9" t="inlineStr">
        <is>
          <t>000953</t>
        </is>
      </c>
      <c r="F105" s="9" t="inlineStr">
        <is>
          <t>000758</t>
        </is>
      </c>
      <c r="G105" s="7" t="inlineStr">
        <is>
          <t>Cachaca Quintal Prata 900ml</t>
        </is>
      </c>
      <c r="H105" s="19" t="n">
        <v>0.9</v>
      </c>
      <c r="I105" s="9" t="inlineStr">
        <is>
          <t>LT</t>
        </is>
      </c>
      <c r="J105" s="8">
        <f>IFERROR(VLOOKUP(F105,'Base Insumos'!$A:$C,3,FALSE()),"PENDENTE")</f>
        <v/>
      </c>
      <c r="K105" s="8">
        <f>IFERROR(IF(J105="PENDENTE",0,J105*H105),0)</f>
        <v/>
      </c>
      <c r="L105" s="8" t="n">
        <v>99.98999999999999</v>
      </c>
      <c r="M105" s="20">
        <f>IFERROR(K105/L105,0)</f>
        <v/>
      </c>
      <c r="N105" s="7" t="n"/>
    </row>
    <row r="106" ht="15" customHeight="1">
      <c r="A106" s="11" t="inlineStr">
        <is>
          <t>Bebidas Frias</t>
        </is>
      </c>
      <c r="B106" s="12" t="inlineStr">
        <is>
          <t>Cachaça</t>
        </is>
      </c>
      <c r="C106" s="13" t="inlineStr">
        <is>
          <t>Campari</t>
        </is>
      </c>
      <c r="D106" s="2">
        <f>IF(ISERROR(VLOOKUP(E106,'Estrutura Protheus'!A:A,1,FALSE)),"Não","Sim")</f>
        <v/>
      </c>
      <c r="E106" s="5" t="inlineStr">
        <is>
          <t>000942</t>
        </is>
      </c>
      <c r="F106" s="5" t="inlineStr">
        <is>
          <t>000345</t>
        </is>
      </c>
      <c r="G106" s="3" t="inlineStr">
        <is>
          <t>Aperitivo Campari 998ml</t>
        </is>
      </c>
      <c r="H106" s="14" t="n">
        <v>0.998</v>
      </c>
      <c r="I106" s="5" t="inlineStr">
        <is>
          <t>LT</t>
        </is>
      </c>
      <c r="J106" s="4">
        <f>IFERROR(VLOOKUP(F106,'Base Insumos'!$A:$C,3,FALSE()),"PENDENTE")</f>
        <v/>
      </c>
      <c r="K106" s="4">
        <f>IFERROR(IF(J106="PENDENTE",0,J106*H106),0)</f>
        <v/>
      </c>
      <c r="L106" s="4" t="n">
        <v>139.99</v>
      </c>
      <c r="M106" s="15">
        <f>IFERROR(K106/L106,0)</f>
        <v/>
      </c>
      <c r="N106" s="3" t="n"/>
    </row>
    <row r="107" ht="15" customHeight="1">
      <c r="A107" s="16" t="inlineStr">
        <is>
          <t>Bebidas Frias</t>
        </is>
      </c>
      <c r="B107" s="17" t="inlineStr">
        <is>
          <t>Whiskies</t>
        </is>
      </c>
      <c r="C107" s="18" t="inlineStr">
        <is>
          <t>Chivas Regal 12 anos</t>
        </is>
      </c>
      <c r="D107" s="6">
        <f>IF(ISERROR(VLOOKUP(E107,'Estrutura Protheus'!A:A,1,FALSE)),"Não","Sim")</f>
        <v/>
      </c>
      <c r="E107" s="9" t="inlineStr">
        <is>
          <t>000050</t>
        </is>
      </c>
      <c r="F107" s="9" t="inlineStr">
        <is>
          <t>000344</t>
        </is>
      </c>
      <c r="G107" s="7" t="inlineStr">
        <is>
          <t>Chivas Regal 12 Anos 1lt</t>
        </is>
      </c>
      <c r="H107" s="19" t="n">
        <v>1</v>
      </c>
      <c r="I107" s="9" t="inlineStr">
        <is>
          <t>LT</t>
        </is>
      </c>
      <c r="J107" s="8">
        <f>IFERROR(VLOOKUP(F107,'Base Insumos'!$A:$C,3,FALSE()),"PENDENTE")</f>
        <v/>
      </c>
      <c r="K107" s="8">
        <f>IFERROR(IF(J107="PENDENTE",0,J107*H107),0)</f>
        <v/>
      </c>
      <c r="L107" s="8" t="n">
        <v>390.99</v>
      </c>
      <c r="M107" s="20">
        <f>IFERROR(K107/L107,0)</f>
        <v/>
      </c>
      <c r="N107" s="7" t="n"/>
    </row>
    <row r="108" ht="15" customHeight="1">
      <c r="A108" s="11" t="inlineStr">
        <is>
          <t>Bebidas Frias</t>
        </is>
      </c>
      <c r="B108" s="12" t="inlineStr">
        <is>
          <t>Gin</t>
        </is>
      </c>
      <c r="C108" s="13" t="inlineStr">
        <is>
          <t>Gin Bacco Quintal 700ml</t>
        </is>
      </c>
      <c r="D108" s="2">
        <f>IF(ISERROR(VLOOKUP(E108,'Estrutura Protheus'!A:A,1,FALSE)),"Não","Sim")</f>
        <v/>
      </c>
      <c r="E108" s="5" t="inlineStr">
        <is>
          <t>010011</t>
        </is>
      </c>
      <c r="F108" s="5" t="inlineStr">
        <is>
          <t>009821</t>
        </is>
      </c>
      <c r="G108" s="3" t="inlineStr">
        <is>
          <t>Gin Bacco Quintal Garrafa 700ml</t>
        </is>
      </c>
      <c r="H108" s="14" t="n">
        <v>0.7</v>
      </c>
      <c r="I108" s="5" t="inlineStr">
        <is>
          <t>LT</t>
        </is>
      </c>
      <c r="J108" s="4">
        <f>IFERROR(VLOOKUP(F108,'Base Insumos'!$A:$C,3,FALSE()),"PENDENTE")</f>
        <v/>
      </c>
      <c r="K108" s="4">
        <f>IFERROR(IF(J108="PENDENTE",0,J108*H108),0)</f>
        <v/>
      </c>
      <c r="L108" s="24" t="inlineStr">
        <is>
          <t>PENDENTE</t>
        </is>
      </c>
      <c r="M108" s="5" t="inlineStr">
        <is>
          <t>-</t>
        </is>
      </c>
      <c r="N108" s="3" t="n"/>
    </row>
    <row r="109" ht="15" customHeight="1">
      <c r="A109" s="16" t="inlineStr">
        <is>
          <t>Bebidas Frias</t>
        </is>
      </c>
      <c r="B109" s="17" t="inlineStr">
        <is>
          <t>Whiskies</t>
        </is>
      </c>
      <c r="C109" s="18" t="inlineStr">
        <is>
          <t>Gold Label</t>
        </is>
      </c>
      <c r="D109" s="6">
        <f>IF(ISERROR(VLOOKUP(E109,'Estrutura Protheus'!A:A,1,FALSE)),"Não","Sim")</f>
        <v/>
      </c>
      <c r="E109" s="9" t="inlineStr">
        <is>
          <t>001334</t>
        </is>
      </c>
      <c r="F109" s="9" t="inlineStr">
        <is>
          <t>001192</t>
        </is>
      </c>
      <c r="G109" s="7" t="inlineStr">
        <is>
          <t>Whisky Johnnie Walker Gold Label 750ml</t>
        </is>
      </c>
      <c r="H109" s="19" t="n">
        <v>0.75</v>
      </c>
      <c r="I109" s="9" t="inlineStr">
        <is>
          <t>LT</t>
        </is>
      </c>
      <c r="J109" s="8">
        <f>IFERROR(VLOOKUP(F109,'Base Insumos'!$A:$C,3,FALSE()),"PENDENTE")</f>
        <v/>
      </c>
      <c r="K109" s="8">
        <f>IFERROR(IF(J109="PENDENTE",0,J109*H109),0)</f>
        <v/>
      </c>
      <c r="L109" s="8" t="n">
        <v>690.99</v>
      </c>
      <c r="M109" s="20">
        <f>IFERROR(K109/L109,0)</f>
        <v/>
      </c>
      <c r="N109" s="7" t="n"/>
    </row>
    <row r="110" ht="15" customHeight="1">
      <c r="A110" s="11" t="inlineStr">
        <is>
          <t>Bebidas Frias</t>
        </is>
      </c>
      <c r="B110" s="12" t="inlineStr">
        <is>
          <t>Whiskies</t>
        </is>
      </c>
      <c r="C110" s="13" t="inlineStr">
        <is>
          <t>Jack Daniel's</t>
        </is>
      </c>
      <c r="D110" s="2">
        <f>IF(ISERROR(VLOOKUP(E110,'Estrutura Protheus'!A:A,1,FALSE)),"Não","Sim")</f>
        <v/>
      </c>
      <c r="E110" s="5" t="inlineStr">
        <is>
          <t>001196</t>
        </is>
      </c>
      <c r="F110" s="5" t="inlineStr">
        <is>
          <t>001193</t>
        </is>
      </c>
      <c r="G110" s="3" t="inlineStr">
        <is>
          <t>Whisky Jack Daniels Tennessee 1lt</t>
        </is>
      </c>
      <c r="H110" s="14" t="n">
        <v>1</v>
      </c>
      <c r="I110" s="5" t="inlineStr">
        <is>
          <t>LT</t>
        </is>
      </c>
      <c r="J110" s="4">
        <f>IFERROR(VLOOKUP(F110,'Base Insumos'!$A:$C,3,FALSE()),"PENDENTE")</f>
        <v/>
      </c>
      <c r="K110" s="4">
        <f>IFERROR(IF(J110="PENDENTE",0,J110*H110),0)</f>
        <v/>
      </c>
      <c r="L110" s="4" t="n">
        <v>390.99</v>
      </c>
      <c r="M110" s="15">
        <f>IFERROR(K110/L110,0)</f>
        <v/>
      </c>
      <c r="N110" s="3" t="n"/>
    </row>
    <row r="111" ht="15" customHeight="1">
      <c r="A111" s="16" t="inlineStr">
        <is>
          <t>Bebidas Frias</t>
        </is>
      </c>
      <c r="B111" s="17" t="inlineStr">
        <is>
          <t>Whiskies</t>
        </is>
      </c>
      <c r="C111" s="18" t="inlineStr">
        <is>
          <t>Jack Daniel's Apple</t>
        </is>
      </c>
      <c r="D111" s="6">
        <f>IF(ISERROR(VLOOKUP(E111,'Estrutura Protheus'!A:A,1,FALSE)),"Não","Sim")</f>
        <v/>
      </c>
      <c r="E111" s="9" t="inlineStr">
        <is>
          <t>001320</t>
        </is>
      </c>
      <c r="F111" s="9" t="inlineStr">
        <is>
          <t>001317</t>
        </is>
      </c>
      <c r="G111" s="7" t="inlineStr">
        <is>
          <t>Whisky Jack Apple 1lt</t>
        </is>
      </c>
      <c r="H111" s="19" t="n">
        <v>1</v>
      </c>
      <c r="I111" s="9" t="inlineStr">
        <is>
          <t>LT</t>
        </is>
      </c>
      <c r="J111" s="8">
        <f>IFERROR(VLOOKUP(F111,'Base Insumos'!$A:$C,3,FALSE()),"PENDENTE")</f>
        <v/>
      </c>
      <c r="K111" s="8">
        <f>IFERROR(IF(J111="PENDENTE",0,J111*H111),0)</f>
        <v/>
      </c>
      <c r="L111" s="8" t="n">
        <v>390.99</v>
      </c>
      <c r="M111" s="20">
        <f>IFERROR(K111/L111,0)</f>
        <v/>
      </c>
      <c r="N111" s="7" t="n"/>
    </row>
    <row r="112" ht="15" customHeight="1">
      <c r="A112" s="11" t="inlineStr">
        <is>
          <t>Bebidas Frias</t>
        </is>
      </c>
      <c r="B112" s="12" t="inlineStr">
        <is>
          <t>Tequila</t>
        </is>
      </c>
      <c r="C112" s="13" t="inlineStr">
        <is>
          <t>Jose Cuervo Ouro</t>
        </is>
      </c>
      <c r="D112" s="2">
        <f>IF(ISERROR(VLOOKUP(E112,'Estrutura Protheus'!A:A,1,FALSE)),"Não","Sim")</f>
        <v/>
      </c>
      <c r="E112" s="5" t="inlineStr">
        <is>
          <t>000045</t>
        </is>
      </c>
      <c r="F112" s="5" t="inlineStr">
        <is>
          <t>000365</t>
        </is>
      </c>
      <c r="G112" s="3" t="inlineStr">
        <is>
          <t>Tequila Jose Curvo Ouro 750ml</t>
        </is>
      </c>
      <c r="H112" s="14" t="n">
        <v>0.75</v>
      </c>
      <c r="I112" s="5" t="inlineStr">
        <is>
          <t>LT</t>
        </is>
      </c>
      <c r="J112" s="4">
        <f>IFERROR(VLOOKUP(F112,'Base Insumos'!$A:$C,3,FALSE()),"PENDENTE")</f>
        <v/>
      </c>
      <c r="K112" s="4">
        <f>IFERROR(IF(J112="PENDENTE",0,J112*H112),0)</f>
        <v/>
      </c>
      <c r="L112" s="4" t="n">
        <v>290.99</v>
      </c>
      <c r="M112" s="15">
        <f>IFERROR(K112/L112,0)</f>
        <v/>
      </c>
      <c r="N112" s="3" t="n"/>
    </row>
    <row r="113" ht="15" customHeight="1">
      <c r="A113" s="16" t="inlineStr">
        <is>
          <t>Bebidas Frias</t>
        </is>
      </c>
      <c r="B113" s="17" t="inlineStr">
        <is>
          <t>Licor</t>
        </is>
      </c>
      <c r="C113" s="18" t="inlineStr">
        <is>
          <t>Licor 43</t>
        </is>
      </c>
      <c r="D113" s="6">
        <f>IF(ISERROR(VLOOKUP(E113,'Estrutura Protheus'!A:A,1,FALSE)),"Não","Sim")</f>
        <v/>
      </c>
      <c r="E113" s="9" t="inlineStr">
        <is>
          <t>001225</t>
        </is>
      </c>
      <c r="F113" s="9" t="inlineStr">
        <is>
          <t>000206</t>
        </is>
      </c>
      <c r="G113" s="7" t="inlineStr">
        <is>
          <t>Licor 43 700ml</t>
        </is>
      </c>
      <c r="H113" s="19" t="n">
        <v>0.7</v>
      </c>
      <c r="I113" s="9" t="inlineStr">
        <is>
          <t>LT</t>
        </is>
      </c>
      <c r="J113" s="8">
        <f>IFERROR(VLOOKUP(F113,'Base Insumos'!$A:$C,3,FALSE()),"PENDENTE")</f>
        <v/>
      </c>
      <c r="K113" s="8">
        <f>IFERROR(IF(J113="PENDENTE",0,J113*H113),0)</f>
        <v/>
      </c>
      <c r="L113" s="8" t="n">
        <v>349.99</v>
      </c>
      <c r="M113" s="20">
        <f>IFERROR(K113/L113,0)</f>
        <v/>
      </c>
      <c r="N113" s="7" t="n"/>
    </row>
    <row r="114" ht="15" customHeight="1">
      <c r="A114" s="11" t="inlineStr">
        <is>
          <t>Bebidas Frias</t>
        </is>
      </c>
      <c r="B114" s="12" t="inlineStr">
        <is>
          <t>Whiskies</t>
        </is>
      </c>
      <c r="C114" s="13" t="inlineStr">
        <is>
          <t>Red Label</t>
        </is>
      </c>
      <c r="D114" s="2">
        <f>IF(ISERROR(VLOOKUP(E114,'Estrutura Protheus'!A:A,1,FALSE)),"Não","Sim")</f>
        <v/>
      </c>
      <c r="E114" s="5" t="inlineStr">
        <is>
          <t>001149</t>
        </is>
      </c>
      <c r="F114" s="5" t="inlineStr">
        <is>
          <t>001136</t>
        </is>
      </c>
      <c r="G114" s="3" t="inlineStr">
        <is>
          <t>Whisky Johnnie Walker Red Label 1lt</t>
        </is>
      </c>
      <c r="H114" s="14" t="n">
        <v>1</v>
      </c>
      <c r="I114" s="5" t="inlineStr">
        <is>
          <t>LT</t>
        </is>
      </c>
      <c r="J114" s="4">
        <f>IFERROR(VLOOKUP(F114,'Base Insumos'!$A:$C,3,FALSE()),"PENDENTE")</f>
        <v/>
      </c>
      <c r="K114" s="4">
        <f>IFERROR(IF(J114="PENDENTE",0,J114*H114),0)</f>
        <v/>
      </c>
      <c r="L114" s="4" t="n">
        <v>269.99</v>
      </c>
      <c r="M114" s="15">
        <f>IFERROR(K114/L114,0)</f>
        <v/>
      </c>
      <c r="N114" s="3" t="n"/>
    </row>
    <row r="115" ht="15" customHeight="1">
      <c r="A115" s="16" t="inlineStr">
        <is>
          <t>Bebidas Frias</t>
        </is>
      </c>
      <c r="B115" s="17" t="inlineStr">
        <is>
          <t>Cachaça</t>
        </is>
      </c>
      <c r="C115" s="18" t="inlineStr">
        <is>
          <t>São Francisco</t>
        </is>
      </c>
      <c r="D115" s="6">
        <f>IF(ISERROR(VLOOKUP(E115,'Estrutura Protheus'!A:A,1,FALSE)),"Não","Sim")</f>
        <v/>
      </c>
      <c r="E115" s="9" t="inlineStr">
        <is>
          <t>000051</t>
        </is>
      </c>
      <c r="F115" s="9" t="inlineStr">
        <is>
          <t>000343</t>
        </is>
      </c>
      <c r="G115" s="7" t="inlineStr">
        <is>
          <t>Cachaca Sao Francisco 970ml</t>
        </is>
      </c>
      <c r="H115" s="19" t="n">
        <v>0.97</v>
      </c>
      <c r="I115" s="9" t="inlineStr">
        <is>
          <t>LT</t>
        </is>
      </c>
      <c r="J115" s="8">
        <f>IFERROR(VLOOKUP(F115,'Base Insumos'!$A:$C,3,FALSE()),"PENDENTE")</f>
        <v/>
      </c>
      <c r="K115" s="8">
        <f>IFERROR(IF(J115="PENDENTE",0,J115*H115),0)</f>
        <v/>
      </c>
      <c r="L115" s="8" t="n">
        <v>139.99</v>
      </c>
      <c r="M115" s="20">
        <f>IFERROR(K115/L115,0)</f>
        <v/>
      </c>
      <c r="N115" s="7" t="n"/>
    </row>
    <row r="116" ht="15" customHeight="1">
      <c r="A116" s="11" t="inlineStr">
        <is>
          <t>Bebidas Frias</t>
        </is>
      </c>
      <c r="B116" s="12" t="inlineStr">
        <is>
          <t>Gin</t>
        </is>
      </c>
      <c r="C116" s="13" t="inlineStr">
        <is>
          <t>Tanqueray</t>
        </is>
      </c>
      <c r="D116" s="2">
        <f>IF(ISERROR(VLOOKUP(E116,'Estrutura Protheus'!A:A,1,FALSE)),"Não","Sim")</f>
        <v/>
      </c>
      <c r="E116" s="5" t="inlineStr">
        <is>
          <t>001128</t>
        </is>
      </c>
      <c r="F116" s="5" t="inlineStr">
        <is>
          <t>001161</t>
        </is>
      </c>
      <c r="G116" s="3" t="inlineStr">
        <is>
          <t>Gin Tanqueray 750ml</t>
        </is>
      </c>
      <c r="H116" s="14" t="n">
        <v>0.75</v>
      </c>
      <c r="I116" s="5" t="inlineStr">
        <is>
          <t>LT</t>
        </is>
      </c>
      <c r="J116" s="4">
        <f>IFERROR(VLOOKUP(F116,'Base Insumos'!$A:$C,3,FALSE()),"PENDENTE")</f>
        <v/>
      </c>
      <c r="K116" s="4">
        <f>IFERROR(IF(J116="PENDENTE",0,J116*H116),0)</f>
        <v/>
      </c>
      <c r="L116" s="4" t="n">
        <v>299.99</v>
      </c>
      <c r="M116" s="15">
        <f>IFERROR(K116/L116,0)</f>
        <v/>
      </c>
      <c r="N116" s="3" t="n"/>
    </row>
    <row r="117" ht="15" customHeight="1">
      <c r="A117" s="16" t="inlineStr">
        <is>
          <t>Bebidas Frias</t>
        </is>
      </c>
      <c r="B117" s="17" t="inlineStr">
        <is>
          <t>Vodka</t>
        </is>
      </c>
      <c r="C117" s="18" t="inlineStr">
        <is>
          <t>Vodka Bacco Quintal 1LT</t>
        </is>
      </c>
      <c r="D117" s="6">
        <f>IF(ISERROR(VLOOKUP(E117,'Estrutura Protheus'!A:A,1,FALSE)),"Não","Sim")</f>
        <v/>
      </c>
      <c r="E117" s="9" t="inlineStr">
        <is>
          <t>010012</t>
        </is>
      </c>
      <c r="F117" s="9" t="inlineStr">
        <is>
          <t>009824</t>
        </is>
      </c>
      <c r="G117" s="7" t="inlineStr">
        <is>
          <t>Vodka Bacco 1lt</t>
        </is>
      </c>
      <c r="H117" s="19" t="n">
        <v>1</v>
      </c>
      <c r="I117" s="9" t="inlineStr">
        <is>
          <t>LT</t>
        </is>
      </c>
      <c r="J117" s="8">
        <f>IFERROR(VLOOKUP(F117,'Base Insumos'!$A:$C,3,FALSE()),"PENDENTE")</f>
        <v/>
      </c>
      <c r="K117" s="8">
        <f>IFERROR(IF(J117="PENDENTE",0,J117*H117),0)</f>
        <v/>
      </c>
      <c r="L117" s="24" t="inlineStr">
        <is>
          <t>PENDENTE</t>
        </is>
      </c>
      <c r="M117" s="9" t="inlineStr">
        <is>
          <t>-</t>
        </is>
      </c>
      <c r="N117" s="7" t="n"/>
    </row>
    <row r="118" ht="15" customHeight="1">
      <c r="A118" s="11" t="inlineStr">
        <is>
          <t>Bebidas Frias</t>
        </is>
      </c>
      <c r="B118" s="12" t="inlineStr">
        <is>
          <t>Soft Drinks</t>
        </is>
      </c>
      <c r="C118" s="13" t="inlineStr">
        <is>
          <t>Água de Coco</t>
        </is>
      </c>
      <c r="D118" s="2">
        <f>IF(ISERROR(VLOOKUP(E118,'Estrutura Protheus'!A:A,1,FALSE)),"Não","Sim")</f>
        <v/>
      </c>
      <c r="E118" s="5" t="inlineStr">
        <is>
          <t>000892</t>
        </is>
      </c>
      <c r="F118" s="5" t="inlineStr">
        <is>
          <t>000380</t>
        </is>
      </c>
      <c r="G118" s="3" t="inlineStr">
        <is>
          <t>Agua de Coco 330ml</t>
        </is>
      </c>
      <c r="H118" s="14" t="n">
        <v>1</v>
      </c>
      <c r="I118" s="5" t="inlineStr">
        <is>
          <t>UN</t>
        </is>
      </c>
      <c r="J118" s="4">
        <f>IFERROR(VLOOKUP(F118,'Base Insumos'!$A:$C,3,FALSE()),"PENDENTE")</f>
        <v/>
      </c>
      <c r="K118" s="4">
        <f>IFERROR(IF(J118="PENDENTE",0,J118*H118),0)</f>
        <v/>
      </c>
      <c r="L118" s="4" t="n">
        <v>11.99</v>
      </c>
      <c r="M118" s="15">
        <f>IFERROR(K118/L118,0)</f>
        <v/>
      </c>
      <c r="N118" s="3" t="n"/>
    </row>
    <row r="119" ht="15" customHeight="1">
      <c r="A119" s="16" t="inlineStr">
        <is>
          <t>Bebidas Frias</t>
        </is>
      </c>
      <c r="B119" s="17" t="inlineStr">
        <is>
          <t>Soft Drinks</t>
        </is>
      </c>
      <c r="C119" s="18" t="inlineStr">
        <is>
          <t>Água Mineral</t>
        </is>
      </c>
      <c r="D119" s="6">
        <f>IF(ISERROR(VLOOKUP(E119,'Estrutura Protheus'!A:A,1,FALSE)),"Não","Sim")</f>
        <v/>
      </c>
      <c r="E119" s="9" t="inlineStr">
        <is>
          <t>000878</t>
        </is>
      </c>
      <c r="F119" s="9" t="inlineStr">
        <is>
          <t>000333</t>
        </is>
      </c>
      <c r="G119" s="7" t="inlineStr">
        <is>
          <t>Agua s/ Gas</t>
        </is>
      </c>
      <c r="H119" s="19" t="n">
        <v>1</v>
      </c>
      <c r="I119" s="9" t="inlineStr">
        <is>
          <t>UN</t>
        </is>
      </c>
      <c r="J119" s="8">
        <f>IFERROR(VLOOKUP(F119,'Base Insumos'!$A:$C,3,FALSE()),"PENDENTE")</f>
        <v/>
      </c>
      <c r="K119" s="8">
        <f>IFERROR(IF(J119="PENDENTE",0,J119*H119),0)</f>
        <v/>
      </c>
      <c r="L119" s="8" t="n">
        <v>6.99</v>
      </c>
      <c r="M119" s="20">
        <f>IFERROR(K119/L119,0)</f>
        <v/>
      </c>
      <c r="N119" s="7" t="n"/>
    </row>
    <row r="120" ht="15" customHeight="1">
      <c r="A120" s="11" t="inlineStr">
        <is>
          <t>Bebidas Frias</t>
        </is>
      </c>
      <c r="B120" s="12" t="inlineStr">
        <is>
          <t>Soft Drinks</t>
        </is>
      </c>
      <c r="C120" s="13" t="inlineStr">
        <is>
          <t>Gelo de Coco</t>
        </is>
      </c>
      <c r="D120" s="2">
        <f>IF(ISERROR(VLOOKUP(E120,'Estrutura Protheus'!A:A,1,FALSE)),"Não","Sim")</f>
        <v/>
      </c>
      <c r="E120" s="5" t="inlineStr">
        <is>
          <t>001481</t>
        </is>
      </c>
      <c r="F120" s="5" t="inlineStr">
        <is>
          <t>001178</t>
        </is>
      </c>
      <c r="G120" s="3" t="inlineStr">
        <is>
          <t>Gelo de Coco Cx com 30und</t>
        </is>
      </c>
      <c r="H120" s="14" t="n">
        <v>1</v>
      </c>
      <c r="I120" s="5" t="inlineStr">
        <is>
          <t>UN</t>
        </is>
      </c>
      <c r="J120" s="4">
        <f>IFERROR(VLOOKUP(F120,'Base Insumos'!$A:$C,3,FALSE()),"PENDENTE")</f>
        <v/>
      </c>
      <c r="K120" s="4">
        <f>IFERROR(IF(J120="PENDENTE",0,J120*H120),0)</f>
        <v/>
      </c>
      <c r="L120" s="4" t="n">
        <v>12.99</v>
      </c>
      <c r="M120" s="15">
        <f>IFERROR(K120/L120,0)</f>
        <v/>
      </c>
      <c r="N120" s="3" t="n"/>
    </row>
    <row r="121" ht="15" customHeight="1">
      <c r="A121" s="16" t="inlineStr">
        <is>
          <t>Bebidas Frias</t>
        </is>
      </c>
      <c r="B121" s="17" t="inlineStr">
        <is>
          <t>Soft Drinks</t>
        </is>
      </c>
      <c r="C121" s="18" t="inlineStr">
        <is>
          <t>Guaraná Antarctica</t>
        </is>
      </c>
      <c r="D121" s="6">
        <f>IF(ISERROR(VLOOKUP(E121,'Estrutura Protheus'!A:A,1,FALSE)),"Não","Sim")</f>
        <v/>
      </c>
      <c r="E121" s="9" t="inlineStr">
        <is>
          <t>000882</t>
        </is>
      </c>
      <c r="F121" s="9" t="inlineStr">
        <is>
          <t>000313</t>
        </is>
      </c>
      <c r="G121" s="7" t="inlineStr">
        <is>
          <t>Guarana Lata 350ml</t>
        </is>
      </c>
      <c r="H121" s="19" t="n">
        <v>1</v>
      </c>
      <c r="I121" s="9" t="inlineStr">
        <is>
          <t>UN</t>
        </is>
      </c>
      <c r="J121" s="8">
        <f>IFERROR(VLOOKUP(F121,'Base Insumos'!$A:$C,3,FALSE()),"PENDENTE")</f>
        <v/>
      </c>
      <c r="K121" s="8">
        <f>IFERROR(IF(J121="PENDENTE",0,J121*H121),0)</f>
        <v/>
      </c>
      <c r="L121" s="8" t="n">
        <v>9.99</v>
      </c>
      <c r="M121" s="20">
        <f>IFERROR(K121/L121,0)</f>
        <v/>
      </c>
      <c r="N121" s="7" t="n"/>
    </row>
    <row r="122" ht="15" customHeight="1">
      <c r="A122" s="11" t="inlineStr">
        <is>
          <t>Bebidas Frias</t>
        </is>
      </c>
      <c r="B122" s="12" t="inlineStr">
        <is>
          <t>Soft Drinks</t>
        </is>
      </c>
      <c r="C122" s="13" t="inlineStr">
        <is>
          <t>H2OH</t>
        </is>
      </c>
      <c r="D122" s="2">
        <f>IF(ISERROR(VLOOKUP(E122,'Estrutura Protheus'!A:A,1,FALSE)),"Não","Sim")</f>
        <v/>
      </c>
      <c r="E122" s="5" t="inlineStr">
        <is>
          <t>000884</t>
        </is>
      </c>
      <c r="F122" s="5" t="inlineStr">
        <is>
          <t>000323</t>
        </is>
      </c>
      <c r="G122" s="3" t="inlineStr">
        <is>
          <t>H2o 500ml</t>
        </is>
      </c>
      <c r="H122" s="14" t="n">
        <v>1</v>
      </c>
      <c r="I122" s="5" t="inlineStr">
        <is>
          <t>UN</t>
        </is>
      </c>
      <c r="J122" s="4">
        <f>IFERROR(VLOOKUP(F122,'Base Insumos'!$A:$C,3,FALSE()),"PENDENTE")</f>
        <v/>
      </c>
      <c r="K122" s="4">
        <f>IFERROR(IF(J122="PENDENTE",0,J122*H122),0)</f>
        <v/>
      </c>
      <c r="L122" s="4" t="n">
        <v>10.99</v>
      </c>
      <c r="M122" s="15">
        <f>IFERROR(K122/L122,0)</f>
        <v/>
      </c>
      <c r="N122" s="3" t="n"/>
    </row>
    <row r="123" ht="15" customHeight="1">
      <c r="A123" s="16" t="inlineStr">
        <is>
          <t>Bebidas Frias</t>
        </is>
      </c>
      <c r="B123" s="17" t="inlineStr">
        <is>
          <t>Soft Drinks</t>
        </is>
      </c>
      <c r="C123" s="18" t="inlineStr">
        <is>
          <t>Pepsi</t>
        </is>
      </c>
      <c r="D123" s="6">
        <f>IF(ISERROR(VLOOKUP(E123,'Estrutura Protheus'!A:A,1,FALSE)),"Não","Sim")</f>
        <v/>
      </c>
      <c r="E123" s="9" t="inlineStr">
        <is>
          <t>000880</t>
        </is>
      </c>
      <c r="F123" s="9" t="inlineStr">
        <is>
          <t>000319</t>
        </is>
      </c>
      <c r="G123" s="7" t="inlineStr">
        <is>
          <t>Pepsi Lata 350ml</t>
        </is>
      </c>
      <c r="H123" s="19" t="n">
        <v>1</v>
      </c>
      <c r="I123" s="9" t="inlineStr">
        <is>
          <t>UN</t>
        </is>
      </c>
      <c r="J123" s="8">
        <f>IFERROR(VLOOKUP(F123,'Base Insumos'!$A:$C,3,FALSE()),"PENDENTE")</f>
        <v/>
      </c>
      <c r="K123" s="8">
        <f>IFERROR(IF(J123="PENDENTE",0,J123*H123),0)</f>
        <v/>
      </c>
      <c r="L123" s="8" t="n">
        <v>9.99</v>
      </c>
      <c r="M123" s="20">
        <f>IFERROR(K123/L123,0)</f>
        <v/>
      </c>
      <c r="N123" s="7" t="n"/>
    </row>
    <row r="124" ht="15" customHeight="1">
      <c r="A124" s="11" t="inlineStr">
        <is>
          <t>Bebidas Frias</t>
        </is>
      </c>
      <c r="B124" s="12" t="inlineStr">
        <is>
          <t>Soft Drinks</t>
        </is>
      </c>
      <c r="C124" s="13" t="inlineStr">
        <is>
          <t>Red Bull</t>
        </is>
      </c>
      <c r="D124" s="2">
        <f>IF(ISERROR(VLOOKUP(E124,'Estrutura Protheus'!A:A,1,FALSE)),"Não","Sim")</f>
        <v/>
      </c>
      <c r="E124" s="5" t="inlineStr">
        <is>
          <t>000891</t>
        </is>
      </c>
      <c r="F124" s="5" t="inlineStr">
        <is>
          <t>000368</t>
        </is>
      </c>
      <c r="G124" s="3" t="inlineStr">
        <is>
          <t>Red Bull</t>
        </is>
      </c>
      <c r="H124" s="14" t="n">
        <v>1</v>
      </c>
      <c r="I124" s="5" t="inlineStr">
        <is>
          <t>UN</t>
        </is>
      </c>
      <c r="J124" s="4">
        <f>IFERROR(VLOOKUP(F124,'Base Insumos'!$A:$C,3,FALSE()),"PENDENTE")</f>
        <v/>
      </c>
      <c r="K124" s="4">
        <f>IFERROR(IF(J124="PENDENTE",0,J124*H124),0)</f>
        <v/>
      </c>
      <c r="L124" s="4" t="n">
        <v>20.99</v>
      </c>
      <c r="M124" s="15">
        <f>IFERROR(K124/L124,0)</f>
        <v/>
      </c>
      <c r="N124" s="3" t="n"/>
    </row>
    <row r="125" ht="15" customHeight="1">
      <c r="A125" s="16" t="inlineStr">
        <is>
          <t>Bebidas Frias</t>
        </is>
      </c>
      <c r="B125" s="17" t="inlineStr">
        <is>
          <t>Soft Drinks</t>
        </is>
      </c>
      <c r="C125" s="18" t="inlineStr">
        <is>
          <t>Soda Limonada</t>
        </is>
      </c>
      <c r="D125" s="6">
        <f>IF(ISERROR(VLOOKUP(E125,'Estrutura Protheus'!A:A,1,FALSE)),"Não","Sim")</f>
        <v/>
      </c>
      <c r="E125" s="9" t="inlineStr">
        <is>
          <t>000883</t>
        </is>
      </c>
      <c r="F125" s="9" t="inlineStr">
        <is>
          <t>000316</t>
        </is>
      </c>
      <c r="G125" s="7" t="inlineStr">
        <is>
          <t>Soda Lata 350ml</t>
        </is>
      </c>
      <c r="H125" s="19" t="n">
        <v>1</v>
      </c>
      <c r="I125" s="9" t="inlineStr">
        <is>
          <t>UN</t>
        </is>
      </c>
      <c r="J125" s="8">
        <f>IFERROR(VLOOKUP(F125,'Base Insumos'!$A:$C,3,FALSE()),"PENDENTE")</f>
        <v/>
      </c>
      <c r="K125" s="8">
        <f>IFERROR(IF(J125="PENDENTE",0,J125*H125),0)</f>
        <v/>
      </c>
      <c r="L125" s="8" t="n">
        <v>9.99</v>
      </c>
      <c r="M125" s="20">
        <f>IFERROR(K125/L125,0)</f>
        <v/>
      </c>
      <c r="N125" s="7" t="n"/>
    </row>
    <row r="126" ht="15" customHeight="1">
      <c r="A126" s="11" t="inlineStr">
        <is>
          <t>Bebidas Frias</t>
        </is>
      </c>
      <c r="B126" s="12" t="inlineStr">
        <is>
          <t>Soft Drinks</t>
        </is>
      </c>
      <c r="C126" s="13" t="inlineStr">
        <is>
          <t>Sukita Laranja</t>
        </is>
      </c>
      <c r="D126" s="2">
        <f>IF(ISERROR(VLOOKUP(E126,'Estrutura Protheus'!A:A,1,FALSE)),"Não","Sim")</f>
        <v/>
      </c>
      <c r="E126" s="5" t="inlineStr">
        <is>
          <t>000881</t>
        </is>
      </c>
      <c r="F126" s="5" t="inlineStr">
        <is>
          <t>000322</t>
        </is>
      </c>
      <c r="G126" s="3" t="inlineStr">
        <is>
          <t>Sukita Laranja Lata 350ml</t>
        </is>
      </c>
      <c r="H126" s="14" t="n">
        <v>1</v>
      </c>
      <c r="I126" s="5" t="inlineStr">
        <is>
          <t>UN</t>
        </is>
      </c>
      <c r="J126" s="4">
        <f>IFERROR(VLOOKUP(F126,'Base Insumos'!$A:$C,3,FALSE()),"PENDENTE")</f>
        <v/>
      </c>
      <c r="K126" s="4">
        <f>IFERROR(IF(J126="PENDENTE",0,J126*H126),0)</f>
        <v/>
      </c>
      <c r="L126" s="4" t="n">
        <v>9.99</v>
      </c>
      <c r="M126" s="15">
        <f>IFERROR(K126/L126,0)</f>
        <v/>
      </c>
      <c r="N126" s="3" t="n"/>
    </row>
    <row r="127" ht="15" customHeight="1">
      <c r="A127" s="16" t="inlineStr">
        <is>
          <t>Guarnições</t>
        </is>
      </c>
      <c r="B127" s="17" t="inlineStr">
        <is>
          <t>Porção</t>
        </is>
      </c>
      <c r="C127" s="18" t="inlineStr">
        <is>
          <t>Anéis de Cebola</t>
        </is>
      </c>
      <c r="D127" s="6">
        <f>IF(ISERROR(VLOOKUP(E127,'Estrutura Protheus'!A:A,1,FALSE)),"Não","Sim")</f>
        <v/>
      </c>
      <c r="E127" s="9" t="inlineStr">
        <is>
          <t>001511</t>
        </is>
      </c>
      <c r="F127" s="9" t="inlineStr">
        <is>
          <t>001522</t>
        </is>
      </c>
      <c r="G127" s="7" t="inlineStr">
        <is>
          <t>Aneis de Cebola 1,05kg</t>
        </is>
      </c>
      <c r="H127" s="19" t="n">
        <v>0.15</v>
      </c>
      <c r="I127" s="9" t="inlineStr">
        <is>
          <t>KG</t>
        </is>
      </c>
      <c r="J127" s="8">
        <f>IFERROR(VLOOKUP(F127,'Base Insumos'!$A:$C,3,FALSE()),"PENDENTE")</f>
        <v/>
      </c>
      <c r="K127" s="8">
        <f>IFERROR(IF(J127="PENDENTE",0,J127*H127),0)</f>
        <v/>
      </c>
      <c r="L127" s="8" t="n">
        <v>14.99</v>
      </c>
      <c r="M127" s="20">
        <f>IFERROR(K127/L127,0)</f>
        <v/>
      </c>
      <c r="N127" s="7" t="n"/>
    </row>
    <row r="128" ht="15" customHeight="1">
      <c r="A128" s="11" t="inlineStr">
        <is>
          <t>Guarnições</t>
        </is>
      </c>
      <c r="B128" s="12" t="inlineStr">
        <is>
          <t>Porção</t>
        </is>
      </c>
      <c r="C128" s="13" t="inlineStr">
        <is>
          <t>Batata Frita</t>
        </is>
      </c>
      <c r="D128" s="2">
        <f>IF(ISERROR(VLOOKUP(E128,'Estrutura Protheus'!A:A,1,FALSE)),"Não","Sim")</f>
        <v/>
      </c>
      <c r="E128" s="5" t="inlineStr">
        <is>
          <t>001482</t>
        </is>
      </c>
      <c r="F128" s="5" t="inlineStr">
        <is>
          <t>000454</t>
        </is>
      </c>
      <c r="G128" s="3" t="inlineStr">
        <is>
          <t>Batata Mcaim 9 Mm 2,5kg</t>
        </is>
      </c>
      <c r="H128" s="14" t="n">
        <v>0.15</v>
      </c>
      <c r="I128" s="5" t="inlineStr">
        <is>
          <t>KG</t>
        </is>
      </c>
      <c r="J128" s="4">
        <f>IFERROR(VLOOKUP(F128,'Base Insumos'!$A:$C,3,FALSE()),"PENDENTE")</f>
        <v/>
      </c>
      <c r="K128" s="4">
        <f>IFERROR(IF(J128="PENDENTE",0,J128*H128),0)</f>
        <v/>
      </c>
      <c r="L128" s="4" t="n">
        <v>16.99</v>
      </c>
      <c r="M128" s="15">
        <f>IFERROR(K128/L128,0)</f>
        <v/>
      </c>
      <c r="N128" s="3" t="n"/>
    </row>
    <row r="129" ht="15" customHeight="1">
      <c r="A129" s="16" t="inlineStr">
        <is>
          <t>Guarnições</t>
        </is>
      </c>
      <c r="B129" s="17" t="inlineStr">
        <is>
          <t>Porção</t>
        </is>
      </c>
      <c r="C129" s="18" t="inlineStr">
        <is>
          <t>Batata Smiles - Mc Cain</t>
        </is>
      </c>
      <c r="D129" s="6">
        <f>IF(ISERROR(VLOOKUP(E129,'Estrutura Protheus'!A:A,1,FALSE)),"Não","Sim")</f>
        <v/>
      </c>
      <c r="E129" s="9" t="inlineStr">
        <is>
          <t>001506</t>
        </is>
      </c>
      <c r="F129" s="9" t="inlineStr">
        <is>
          <t>009293</t>
        </is>
      </c>
      <c r="G129" s="7" t="inlineStr">
        <is>
          <t>Batata Smile Compra</t>
        </is>
      </c>
      <c r="H129" s="19" t="n">
        <v>0.19</v>
      </c>
      <c r="I129" s="9" t="inlineStr">
        <is>
          <t>KG</t>
        </is>
      </c>
      <c r="J129" s="8">
        <f>IFERROR(VLOOKUP(F129,'Base Insumos'!$A:$C,3,FALSE()),"PENDENTE")</f>
        <v/>
      </c>
      <c r="K129" s="8">
        <f>IFERROR(IF(J129="PENDENTE",0,J129*H129),0)</f>
        <v/>
      </c>
      <c r="L129" s="8" t="n">
        <v>17.99</v>
      </c>
      <c r="M129" s="20">
        <f>IFERROR(K129/L129,0)</f>
        <v/>
      </c>
      <c r="N129" s="7" t="n"/>
    </row>
    <row r="130" ht="15" customHeight="1">
      <c r="A130" s="11" t="inlineStr">
        <is>
          <t>Guarnições</t>
        </is>
      </c>
      <c r="B130" s="12" t="inlineStr">
        <is>
          <t>Porção</t>
        </is>
      </c>
      <c r="C130" s="13" t="inlineStr">
        <is>
          <t>Mandioca Frita</t>
        </is>
      </c>
      <c r="D130" s="2">
        <f>IF(ISERROR(VLOOKUP(E130,'Estrutura Protheus'!A:A,1,FALSE)),"Não","Sim")</f>
        <v/>
      </c>
      <c r="E130" s="5" t="inlineStr">
        <is>
          <t>001478</t>
        </is>
      </c>
      <c r="F130" s="5" t="inlineStr">
        <is>
          <t>001581</t>
        </is>
      </c>
      <c r="G130" s="3" t="inlineStr">
        <is>
          <t>Mandioca Cozida Cong 1,01 Kg</t>
        </is>
      </c>
      <c r="H130" s="14" t="n">
        <v>0.2</v>
      </c>
      <c r="I130" s="5" t="inlineStr">
        <is>
          <t>KG</t>
        </is>
      </c>
      <c r="J130" s="4">
        <f>IFERROR(VLOOKUP(F130,'Base Insumos'!$A:$C,3,FALSE()),"PENDENTE")</f>
        <v/>
      </c>
      <c r="K130" s="4">
        <f>IFERROR(IF(J130="PENDENTE",0,J130*H130),0)</f>
        <v/>
      </c>
      <c r="L130" s="4" t="n">
        <v>14.99</v>
      </c>
      <c r="M130" s="15">
        <f>IFERROR(K130/L130,0)</f>
        <v/>
      </c>
      <c r="N130" s="3" t="n"/>
    </row>
    <row r="131" ht="15" customHeight="1">
      <c r="A131" s="16" t="inlineStr">
        <is>
          <t>Guarnições</t>
        </is>
      </c>
      <c r="B131" s="17" t="inlineStr">
        <is>
          <t>Porção</t>
        </is>
      </c>
      <c r="C131" s="18" t="inlineStr">
        <is>
          <t>Polenta Frita</t>
        </is>
      </c>
      <c r="D131" s="6">
        <f>IF(ISERROR(VLOOKUP(E131,'Estrutura Protheus'!A:A,1,FALSE)),"Não","Sim")</f>
        <v/>
      </c>
      <c r="E131" s="9" t="inlineStr">
        <is>
          <t>001475</t>
        </is>
      </c>
      <c r="F131" s="9" t="inlineStr">
        <is>
          <t>001459</t>
        </is>
      </c>
      <c r="G131" s="7" t="inlineStr">
        <is>
          <t>Polenta Palito 1,01kg</t>
        </is>
      </c>
      <c r="H131" s="19" t="n">
        <v>0.21</v>
      </c>
      <c r="I131" s="9" t="inlineStr">
        <is>
          <t>KG</t>
        </is>
      </c>
      <c r="J131" s="8">
        <f>IFERROR(VLOOKUP(F131,'Base Insumos'!$A:$C,3,FALSE()),"PENDENTE")</f>
        <v/>
      </c>
      <c r="K131" s="8">
        <f>IFERROR(IF(J131="PENDENTE",0,J131*H131),0)</f>
        <v/>
      </c>
      <c r="L131" s="8" t="n">
        <v>14.99</v>
      </c>
      <c r="M131" s="20">
        <f>IFERROR(K131/L131,0)</f>
        <v/>
      </c>
      <c r="N131" s="7" t="n"/>
    </row>
    <row r="132" ht="15" customHeight="1">
      <c r="A132" s="11" t="inlineStr">
        <is>
          <t>Guarnições</t>
        </is>
      </c>
      <c r="B132" s="12" t="inlineStr">
        <is>
          <t>Porção</t>
        </is>
      </c>
      <c r="C132" s="13" t="inlineStr">
        <is>
          <t>Sticks de Mussarela</t>
        </is>
      </c>
      <c r="D132" s="2">
        <f>IF(ISERROR(VLOOKUP(E132,'Estrutura Protheus'!A:A,1,FALSE)),"Não","Sim")</f>
        <v/>
      </c>
      <c r="E132" s="5" t="inlineStr">
        <is>
          <t>001472</t>
        </is>
      </c>
      <c r="F132" s="5" t="inlineStr">
        <is>
          <t>001580</t>
        </is>
      </c>
      <c r="G132" s="3" t="inlineStr">
        <is>
          <t>Palito Mussarela 1kg</t>
        </is>
      </c>
      <c r="H132" s="14" t="n">
        <v>0.12</v>
      </c>
      <c r="I132" s="5" t="inlineStr">
        <is>
          <t>KG</t>
        </is>
      </c>
      <c r="J132" s="4">
        <f>IFERROR(VLOOKUP(F132,'Base Insumos'!$A:$C,3,FALSE()),"PENDENTE")</f>
        <v/>
      </c>
      <c r="K132" s="4">
        <f>IFERROR(IF(J132="PENDENTE",0,J132*H132),0)</f>
        <v/>
      </c>
      <c r="L132" s="4" t="n">
        <v>14.99</v>
      </c>
      <c r="M132" s="15">
        <f>IFERROR(K132/L132,0)</f>
        <v/>
      </c>
      <c r="N132" s="3" t="n"/>
    </row>
    <row r="133" ht="15" customHeight="1">
      <c r="A133" s="16" t="inlineStr">
        <is>
          <t>Guarnições</t>
        </is>
      </c>
      <c r="B133" s="17" t="inlineStr">
        <is>
          <t>Guarnições</t>
        </is>
      </c>
      <c r="C133" s="18" t="inlineStr">
        <is>
          <t>Porção de arroz branco</t>
        </is>
      </c>
      <c r="D133" s="6">
        <f>IF(ISERROR(VLOOKUP(E133,'Estrutura Protheus'!A:A,1,FALSE)),"Não","Sim")</f>
        <v/>
      </c>
      <c r="E133" s="9" t="inlineStr">
        <is>
          <t>000900</t>
        </is>
      </c>
      <c r="F133" s="9" t="inlineStr">
        <is>
          <t>000377</t>
        </is>
      </c>
      <c r="G133" s="7" t="inlineStr">
        <is>
          <t>Arroz Tipo 1</t>
        </is>
      </c>
      <c r="H133" s="19" t="n">
        <v>0.15</v>
      </c>
      <c r="I133" s="9" t="inlineStr">
        <is>
          <t>KG</t>
        </is>
      </c>
      <c r="J133" s="8">
        <f>IFERROR(VLOOKUP(F133,'Base Insumos'!$A:$C,3,FALSE()),"PENDENTE")</f>
        <v/>
      </c>
      <c r="K133" s="8">
        <f>IFERROR(IF(J133="PENDENTE",0,J133*H133),0)</f>
        <v/>
      </c>
      <c r="L133" s="8" t="n">
        <v>9.99</v>
      </c>
      <c r="M133" s="20">
        <f>IFERROR(K133/L133,0)</f>
        <v/>
      </c>
      <c r="N133" s="7" t="n"/>
    </row>
    <row r="134" ht="15" customHeight="1">
      <c r="A134" s="11" t="inlineStr">
        <is>
          <t>Guarnições</t>
        </is>
      </c>
      <c r="B134" s="12" t="inlineStr">
        <is>
          <t>Guarnições</t>
        </is>
      </c>
      <c r="C134" s="13" t="inlineStr">
        <is>
          <t>Porção de arroz branco</t>
        </is>
      </c>
      <c r="D134" s="2">
        <f>IF(ISERROR(VLOOKUP(E134,'Estrutura Protheus'!A:A,1,FALSE)),"Não","Sim")</f>
        <v/>
      </c>
      <c r="E134" s="5" t="inlineStr">
        <is>
          <t>000900</t>
        </is>
      </c>
      <c r="F134" s="5" t="inlineStr">
        <is>
          <t>000412</t>
        </is>
      </c>
      <c r="G134" s="3" t="inlineStr">
        <is>
          <t>Oleo de Soja Liza 900ml</t>
        </is>
      </c>
      <c r="H134" s="14" t="n">
        <v>0.06</v>
      </c>
      <c r="I134" s="5" t="inlineStr">
        <is>
          <t>LT</t>
        </is>
      </c>
      <c r="J134" s="4">
        <f>IFERROR(VLOOKUP(F134,'Base Insumos'!$A:$C,3,FALSE()),"PENDENTE")</f>
        <v/>
      </c>
      <c r="K134" s="4">
        <f>IFERROR(IF(J134="PENDENTE",0,J134*H134),0)</f>
        <v/>
      </c>
      <c r="L134" s="4" t="n">
        <v>9.99</v>
      </c>
      <c r="M134" s="15">
        <f>IFERROR(K134/L134,0)</f>
        <v/>
      </c>
      <c r="N134" s="3" t="n"/>
    </row>
    <row r="135" ht="15" customHeight="1">
      <c r="A135" s="16" t="inlineStr">
        <is>
          <t>Guarnições</t>
        </is>
      </c>
      <c r="B135" s="17" t="inlineStr">
        <is>
          <t>Guarnições</t>
        </is>
      </c>
      <c r="C135" s="18" t="inlineStr">
        <is>
          <t>Porção de arroz branco</t>
        </is>
      </c>
      <c r="D135" s="6">
        <f>IF(ISERROR(VLOOKUP(E135,'Estrutura Protheus'!A:A,1,FALSE)),"Não","Sim")</f>
        <v/>
      </c>
      <c r="E135" s="9" t="inlineStr">
        <is>
          <t>000900</t>
        </is>
      </c>
      <c r="F135" s="9" t="inlineStr">
        <is>
          <t>000614</t>
        </is>
      </c>
      <c r="G135" s="7" t="inlineStr">
        <is>
          <t>Sal Refinado</t>
        </is>
      </c>
      <c r="H135" s="19" t="n">
        <v>0.003</v>
      </c>
      <c r="I135" s="9" t="inlineStr">
        <is>
          <t>KG</t>
        </is>
      </c>
      <c r="J135" s="8">
        <f>IFERROR(VLOOKUP(F135,'Base Insumos'!$A:$C,3,FALSE()),"PENDENTE")</f>
        <v/>
      </c>
      <c r="K135" s="8">
        <f>IFERROR(IF(J135="PENDENTE",0,J135*H135),0)</f>
        <v/>
      </c>
      <c r="L135" s="8" t="n">
        <v>9.99</v>
      </c>
      <c r="M135" s="20">
        <f>IFERROR(K135/L135,0)</f>
        <v/>
      </c>
      <c r="N135" s="7" t="n"/>
    </row>
    <row r="136" ht="15" customHeight="1">
      <c r="A136" s="11" t="inlineStr">
        <is>
          <t>Guarnições</t>
        </is>
      </c>
      <c r="B136" s="12" t="inlineStr">
        <is>
          <t>Guarnições</t>
        </is>
      </c>
      <c r="C136" s="13" t="inlineStr">
        <is>
          <t>Porção de arroz branco</t>
        </is>
      </c>
      <c r="D136" s="2">
        <f>IF(ISERROR(VLOOKUP(E136,'Estrutura Protheus'!A:A,1,FALSE)),"Não","Sim")</f>
        <v/>
      </c>
      <c r="E136" s="5" t="inlineStr">
        <is>
          <t>000900</t>
        </is>
      </c>
      <c r="F136" s="5" t="inlineStr">
        <is>
          <t>000475</t>
        </is>
      </c>
      <c r="G136" s="3" t="inlineStr">
        <is>
          <t>Folha de Louro</t>
        </is>
      </c>
      <c r="H136" s="14" t="n">
        <v>0.002</v>
      </c>
      <c r="I136" s="5" t="inlineStr">
        <is>
          <t>KG</t>
        </is>
      </c>
      <c r="J136" s="4">
        <f>IFERROR(VLOOKUP(F136,'Base Insumos'!$A:$C,3,FALSE()),"PENDENTE")</f>
        <v/>
      </c>
      <c r="K136" s="4">
        <f>IFERROR(IF(J136="PENDENTE",0,J136*H136),0)</f>
        <v/>
      </c>
      <c r="L136" s="4" t="n">
        <v>9.99</v>
      </c>
      <c r="M136" s="15">
        <f>IFERROR(K136/L136,0)</f>
        <v/>
      </c>
      <c r="N136" s="3" t="n"/>
    </row>
    <row r="137" ht="15" customHeight="1">
      <c r="A137" s="16" t="inlineStr">
        <is>
          <t>Guarnições</t>
        </is>
      </c>
      <c r="B137" s="17" t="inlineStr">
        <is>
          <t>Guarnições</t>
        </is>
      </c>
      <c r="C137" s="18" t="inlineStr">
        <is>
          <t>Porção de arroz branco</t>
        </is>
      </c>
      <c r="D137" s="6">
        <f>IF(ISERROR(VLOOKUP(E137,'Estrutura Protheus'!A:A,1,FALSE)),"Não","Sim")</f>
        <v/>
      </c>
      <c r="E137" s="9" t="inlineStr">
        <is>
          <t>000900</t>
        </is>
      </c>
      <c r="F137" s="9" t="inlineStr">
        <is>
          <t>002068</t>
        </is>
      </c>
      <c r="G137" s="7" t="inlineStr">
        <is>
          <t>Manteiga S/sal 5kg</t>
        </is>
      </c>
      <c r="H137" s="19" t="n">
        <v>0.005</v>
      </c>
      <c r="I137" s="9" t="inlineStr">
        <is>
          <t>KG</t>
        </is>
      </c>
      <c r="J137" s="8">
        <f>IFERROR(VLOOKUP(F137,'Base Insumos'!$A:$C,3,FALSE()),"PENDENTE")</f>
        <v/>
      </c>
      <c r="K137" s="8">
        <f>IFERROR(IF(J137="PENDENTE",0,J137*H137),0)</f>
        <v/>
      </c>
      <c r="L137" s="8" t="n">
        <v>9.99</v>
      </c>
      <c r="M137" s="20">
        <f>IFERROR(K137/L137,0)</f>
        <v/>
      </c>
      <c r="N137" s="7" t="n"/>
    </row>
    <row r="138" ht="15" customHeight="1">
      <c r="A138" s="11" t="inlineStr">
        <is>
          <t>Guarnições</t>
        </is>
      </c>
      <c r="B138" s="12" t="inlineStr">
        <is>
          <t>Guarnições</t>
        </is>
      </c>
      <c r="C138" s="13" t="inlineStr">
        <is>
          <t>Porção de arroz biro biro</t>
        </is>
      </c>
      <c r="D138" s="2">
        <f>IF(ISERROR(VLOOKUP(E138,'Estrutura Protheus'!A:A,1,FALSE)),"Não","Sim")</f>
        <v/>
      </c>
      <c r="E138" s="5" t="inlineStr">
        <is>
          <t>000902</t>
        </is>
      </c>
      <c r="F138" s="21" t="inlineStr">
        <is>
          <t>000900</t>
        </is>
      </c>
      <c r="G138" s="22" t="inlineStr">
        <is>
          <t>Não Encontrado na Base</t>
        </is>
      </c>
      <c r="H138" s="14" t="n">
        <v>0.15</v>
      </c>
      <c r="I138" s="5" t="n"/>
      <c r="J138" s="23">
        <f>IFERROR(VLOOKUP(F138,'Base Insumos'!$A:$C,3,FALSE()),"PENDENTE")</f>
        <v/>
      </c>
      <c r="K138" s="4">
        <f>IFERROR(IF(J138="PENDENTE",0,J138*H138),0)</f>
        <v/>
      </c>
      <c r="L138" s="4" t="n">
        <v>15.99</v>
      </c>
      <c r="M138" s="15">
        <f>IFERROR(K138/L138,0)</f>
        <v/>
      </c>
      <c r="N138" s="3" t="n"/>
    </row>
    <row r="139" ht="15" customHeight="1">
      <c r="A139" s="16" t="inlineStr">
        <is>
          <t>Guarnições</t>
        </is>
      </c>
      <c r="B139" s="17" t="inlineStr">
        <is>
          <t>Guarnições</t>
        </is>
      </c>
      <c r="C139" s="18" t="inlineStr">
        <is>
          <t>Porção de arroz biro biro</t>
        </is>
      </c>
      <c r="D139" s="6">
        <f>IF(ISERROR(VLOOKUP(E139,'Estrutura Protheus'!A:A,1,FALSE)),"Não","Sim")</f>
        <v/>
      </c>
      <c r="E139" s="9" t="inlineStr">
        <is>
          <t>000902</t>
        </is>
      </c>
      <c r="F139" s="9" t="inlineStr">
        <is>
          <t>000426</t>
        </is>
      </c>
      <c r="G139" s="7" t="inlineStr">
        <is>
          <t>Bacon em Cubos</t>
        </is>
      </c>
      <c r="H139" s="19" t="n">
        <v>0.002</v>
      </c>
      <c r="I139" s="9" t="inlineStr">
        <is>
          <t>KG</t>
        </is>
      </c>
      <c r="J139" s="8">
        <f>IFERROR(VLOOKUP(F139,'Base Insumos'!$A:$C,3,FALSE()),"PENDENTE")</f>
        <v/>
      </c>
      <c r="K139" s="8">
        <f>IFERROR(IF(J139="PENDENTE",0,J139*H139),0)</f>
        <v/>
      </c>
      <c r="L139" s="8" t="n">
        <v>15.99</v>
      </c>
      <c r="M139" s="20">
        <f>IFERROR(K139/L139,0)</f>
        <v/>
      </c>
      <c r="N139" s="7" t="n"/>
    </row>
    <row r="140" ht="15" customHeight="1">
      <c r="A140" s="11" t="inlineStr">
        <is>
          <t>Guarnições</t>
        </is>
      </c>
      <c r="B140" s="12" t="inlineStr">
        <is>
          <t>Guarnições</t>
        </is>
      </c>
      <c r="C140" s="13" t="inlineStr">
        <is>
          <t>Porção de arroz biro biro</t>
        </is>
      </c>
      <c r="D140" s="2">
        <f>IF(ISERROR(VLOOKUP(E140,'Estrutura Protheus'!A:A,1,FALSE)),"Não","Sim")</f>
        <v/>
      </c>
      <c r="E140" s="5" t="inlineStr">
        <is>
          <t>000902</t>
        </is>
      </c>
      <c r="F140" s="5" t="inlineStr">
        <is>
          <t>000478</t>
        </is>
      </c>
      <c r="G140" s="3" t="inlineStr">
        <is>
          <t>Ovos Brancos</t>
        </is>
      </c>
      <c r="H140" s="14" t="n">
        <v>0.698</v>
      </c>
      <c r="I140" s="5" t="inlineStr">
        <is>
          <t>UN</t>
        </is>
      </c>
      <c r="J140" s="4">
        <f>IFERROR(VLOOKUP(F140,'Base Insumos'!$A:$C,3,FALSE()),"PENDENTE")</f>
        <v/>
      </c>
      <c r="K140" s="4">
        <f>IFERROR(IF(J140="PENDENTE",0,J140*H140),0)</f>
        <v/>
      </c>
      <c r="L140" s="4" t="n">
        <v>15.99</v>
      </c>
      <c r="M140" s="15">
        <f>IFERROR(K140/L140,0)</f>
        <v/>
      </c>
      <c r="N140" s="3" t="n"/>
    </row>
    <row r="141" ht="15" customHeight="1">
      <c r="A141" s="16" t="inlineStr">
        <is>
          <t>Guarnições</t>
        </is>
      </c>
      <c r="B141" s="17" t="inlineStr">
        <is>
          <t>Guarnições</t>
        </is>
      </c>
      <c r="C141" s="18" t="inlineStr">
        <is>
          <t>Porção de arroz biro biro</t>
        </is>
      </c>
      <c r="D141" s="6">
        <f>IF(ISERROR(VLOOKUP(E141,'Estrutura Protheus'!A:A,1,FALSE)),"Não","Sim")</f>
        <v/>
      </c>
      <c r="E141" s="9" t="inlineStr">
        <is>
          <t>000902</t>
        </is>
      </c>
      <c r="F141" s="9" t="inlineStr">
        <is>
          <t>000469</t>
        </is>
      </c>
      <c r="G141" s="7" t="inlineStr">
        <is>
          <t>Cebolinha</t>
        </is>
      </c>
      <c r="H141" s="19" t="n">
        <v>0.006</v>
      </c>
      <c r="I141" s="9" t="inlineStr">
        <is>
          <t>KG</t>
        </is>
      </c>
      <c r="J141" s="8">
        <f>IFERROR(VLOOKUP(F141,'Base Insumos'!$A:$C,3,FALSE()),"PENDENTE")</f>
        <v/>
      </c>
      <c r="K141" s="8">
        <f>IFERROR(IF(J141="PENDENTE",0,J141*H141),0)</f>
        <v/>
      </c>
      <c r="L141" s="8" t="n">
        <v>15.99</v>
      </c>
      <c r="M141" s="20">
        <f>IFERROR(K141/L141,0)</f>
        <v/>
      </c>
      <c r="N141" s="7" t="n"/>
    </row>
    <row r="142" ht="15" customHeight="1">
      <c r="A142" s="11" t="inlineStr">
        <is>
          <t>Guarnições</t>
        </is>
      </c>
      <c r="B142" s="12" t="inlineStr">
        <is>
          <t>Guarnições</t>
        </is>
      </c>
      <c r="C142" s="13" t="inlineStr">
        <is>
          <t>Porção de arroz biro biro</t>
        </is>
      </c>
      <c r="D142" s="2">
        <f>IF(ISERROR(VLOOKUP(E142,'Estrutura Protheus'!A:A,1,FALSE)),"Não","Sim")</f>
        <v/>
      </c>
      <c r="E142" s="5" t="inlineStr">
        <is>
          <t>000902</t>
        </is>
      </c>
      <c r="F142" s="5" t="inlineStr">
        <is>
          <t>000664</t>
        </is>
      </c>
      <c r="G142" s="3" t="inlineStr">
        <is>
          <t>Batata Palha</t>
        </is>
      </c>
      <c r="H142" s="14" t="n">
        <v>0.012</v>
      </c>
      <c r="I142" s="5" t="inlineStr">
        <is>
          <t>KG</t>
        </is>
      </c>
      <c r="J142" s="4">
        <f>IFERROR(VLOOKUP(F142,'Base Insumos'!$A:$C,3,FALSE()),"PENDENTE")</f>
        <v/>
      </c>
      <c r="K142" s="4">
        <f>IFERROR(IF(J142="PENDENTE",0,J142*H142),0)</f>
        <v/>
      </c>
      <c r="L142" s="4" t="n">
        <v>15.99</v>
      </c>
      <c r="M142" s="15">
        <f>IFERROR(K142/L142,0)</f>
        <v/>
      </c>
      <c r="N142" s="3" t="n"/>
    </row>
    <row r="143" ht="15" customHeight="1">
      <c r="A143" s="16" t="inlineStr">
        <is>
          <t>Guarnições</t>
        </is>
      </c>
      <c r="B143" s="17" t="inlineStr">
        <is>
          <t>Guarnições</t>
        </is>
      </c>
      <c r="C143" s="18" t="inlineStr">
        <is>
          <t>Porção de arroz biro biro</t>
        </is>
      </c>
      <c r="D143" s="6">
        <f>IF(ISERROR(VLOOKUP(E143,'Estrutura Protheus'!A:A,1,FALSE)),"Não","Sim")</f>
        <v/>
      </c>
      <c r="E143" s="9" t="inlineStr">
        <is>
          <t>000902</t>
        </is>
      </c>
      <c r="F143" s="9" t="inlineStr">
        <is>
          <t>002068</t>
        </is>
      </c>
      <c r="G143" s="7" t="inlineStr">
        <is>
          <t>Manteiga S/sal 5kg</t>
        </is>
      </c>
      <c r="H143" s="19" t="n">
        <v>0.023</v>
      </c>
      <c r="I143" s="9" t="inlineStr">
        <is>
          <t>KG</t>
        </is>
      </c>
      <c r="J143" s="8">
        <f>IFERROR(VLOOKUP(F143,'Base Insumos'!$A:$C,3,FALSE()),"PENDENTE")</f>
        <v/>
      </c>
      <c r="K143" s="8">
        <f>IFERROR(IF(J143="PENDENTE",0,J143*H143),0)</f>
        <v/>
      </c>
      <c r="L143" s="8" t="n">
        <v>15.99</v>
      </c>
      <c r="M143" s="20">
        <f>IFERROR(K143/L143,0)</f>
        <v/>
      </c>
      <c r="N143" s="7" t="n"/>
    </row>
    <row r="144" ht="15" customHeight="1">
      <c r="A144" s="11" t="inlineStr">
        <is>
          <t>Guarnições</t>
        </is>
      </c>
      <c r="B144" s="12" t="inlineStr">
        <is>
          <t>Guarnições</t>
        </is>
      </c>
      <c r="C144" s="13" t="inlineStr">
        <is>
          <t>Farofa (Executivo)</t>
        </is>
      </c>
      <c r="D144" s="2">
        <f>IF(ISERROR(VLOOKUP(E144,'Estrutura Protheus'!A:A,1,FALSE)),"Não","Sim")</f>
        <v/>
      </c>
      <c r="E144" s="5" t="inlineStr">
        <is>
          <t>009637</t>
        </is>
      </c>
      <c r="F144" s="5" t="inlineStr">
        <is>
          <t>002067</t>
        </is>
      </c>
      <c r="G144" s="3" t="inlineStr">
        <is>
          <t>Farinha Panko Empanar</t>
        </is>
      </c>
      <c r="H144" s="14" t="n">
        <v>0.02</v>
      </c>
      <c r="I144" s="5" t="inlineStr">
        <is>
          <t>KG</t>
        </is>
      </c>
      <c r="J144" s="4">
        <f>IFERROR(VLOOKUP(F144,'Base Insumos'!$A:$C,3,FALSE()),"PENDENTE")</f>
        <v/>
      </c>
      <c r="K144" s="4">
        <f>IFERROR(IF(J144="PENDENTE",0,J144*H144),0)</f>
        <v/>
      </c>
      <c r="L144" s="4" t="n">
        <v>4.99</v>
      </c>
      <c r="M144" s="15">
        <f>IFERROR(K144/L144,0)</f>
        <v/>
      </c>
      <c r="N144" s="3" t="n"/>
    </row>
    <row r="145" ht="15" customHeight="1">
      <c r="A145" s="16" t="inlineStr">
        <is>
          <t>Guarnições</t>
        </is>
      </c>
      <c r="B145" s="17" t="inlineStr">
        <is>
          <t>Guarnições</t>
        </is>
      </c>
      <c r="C145" s="18" t="inlineStr">
        <is>
          <t>Farofa (Executivo)</t>
        </is>
      </c>
      <c r="D145" s="6">
        <f>IF(ISERROR(VLOOKUP(E145,'Estrutura Protheus'!A:A,1,FALSE)),"Não","Sim")</f>
        <v/>
      </c>
      <c r="E145" s="9" t="inlineStr">
        <is>
          <t>009637</t>
        </is>
      </c>
      <c r="F145" s="9" t="inlineStr">
        <is>
          <t>000426</t>
        </is>
      </c>
      <c r="G145" s="7" t="inlineStr">
        <is>
          <t>Bacon em Cubos</t>
        </is>
      </c>
      <c r="H145" s="19" t="n">
        <v>0.004</v>
      </c>
      <c r="I145" s="9" t="inlineStr">
        <is>
          <t>KG</t>
        </is>
      </c>
      <c r="J145" s="8">
        <f>IFERROR(VLOOKUP(F145,'Base Insumos'!$A:$C,3,FALSE()),"PENDENTE")</f>
        <v/>
      </c>
      <c r="K145" s="8">
        <f>IFERROR(IF(J145="PENDENTE",0,J145*H145),0)</f>
        <v/>
      </c>
      <c r="L145" s="8" t="n">
        <v>4.99</v>
      </c>
      <c r="M145" s="20">
        <f>IFERROR(K145/L145,0)</f>
        <v/>
      </c>
      <c r="N145" s="7" t="n"/>
    </row>
    <row r="146" ht="15" customHeight="1">
      <c r="A146" s="11" t="inlineStr">
        <is>
          <t>Guarnições</t>
        </is>
      </c>
      <c r="B146" s="12" t="inlineStr">
        <is>
          <t>Guarnições</t>
        </is>
      </c>
      <c r="C146" s="13" t="inlineStr">
        <is>
          <t>Farofa (Executivo)</t>
        </is>
      </c>
      <c r="D146" s="2">
        <f>IF(ISERROR(VLOOKUP(E146,'Estrutura Protheus'!A:A,1,FALSE)),"Não","Sim")</f>
        <v/>
      </c>
      <c r="E146" s="5" t="inlineStr">
        <is>
          <t>009637</t>
        </is>
      </c>
      <c r="F146" s="5" t="inlineStr">
        <is>
          <t>002070</t>
        </is>
      </c>
      <c r="G146" s="3" t="inlineStr">
        <is>
          <t>Alho Poro</t>
        </is>
      </c>
      <c r="H146" s="14" t="n">
        <v>0.004</v>
      </c>
      <c r="I146" s="5" t="inlineStr">
        <is>
          <t>KG</t>
        </is>
      </c>
      <c r="J146" s="4">
        <f>IFERROR(VLOOKUP(F146,'Base Insumos'!$A:$C,3,FALSE()),"PENDENTE")</f>
        <v/>
      </c>
      <c r="K146" s="4">
        <f>IFERROR(IF(J146="PENDENTE",0,J146*H146),0)</f>
        <v/>
      </c>
      <c r="L146" s="4" t="n">
        <v>4.99</v>
      </c>
      <c r="M146" s="15">
        <f>IFERROR(K146/L146,0)</f>
        <v/>
      </c>
      <c r="N146" s="3" t="n"/>
    </row>
    <row r="147" ht="15" customHeight="1">
      <c r="A147" s="16" t="inlineStr">
        <is>
          <t>Guarnições</t>
        </is>
      </c>
      <c r="B147" s="17" t="inlineStr">
        <is>
          <t>Guarnições</t>
        </is>
      </c>
      <c r="C147" s="18" t="inlineStr">
        <is>
          <t>Farofa (Executivo)</t>
        </is>
      </c>
      <c r="D147" s="6">
        <f>IF(ISERROR(VLOOKUP(E147,'Estrutura Protheus'!A:A,1,FALSE)),"Não","Sim")</f>
        <v/>
      </c>
      <c r="E147" s="9" t="inlineStr">
        <is>
          <t>009637</t>
        </is>
      </c>
      <c r="F147" s="9" t="inlineStr">
        <is>
          <t>000667</t>
        </is>
      </c>
      <c r="G147" s="7" t="inlineStr">
        <is>
          <t>Tomilho</t>
        </is>
      </c>
      <c r="H147" s="19" t="n">
        <v>0.0005999999999999999</v>
      </c>
      <c r="I147" s="9" t="inlineStr">
        <is>
          <t>KG</t>
        </is>
      </c>
      <c r="J147" s="8">
        <f>IFERROR(VLOOKUP(F147,'Base Insumos'!$A:$C,3,FALSE()),"PENDENTE")</f>
        <v/>
      </c>
      <c r="K147" s="8">
        <f>IFERROR(IF(J147="PENDENTE",0,J147*H147),0)</f>
        <v/>
      </c>
      <c r="L147" s="8" t="n">
        <v>4.99</v>
      </c>
      <c r="M147" s="20">
        <f>IFERROR(K147/L147,0)</f>
        <v/>
      </c>
      <c r="N147" s="7" t="n"/>
    </row>
    <row r="148" ht="15" customHeight="1">
      <c r="A148" s="11" t="inlineStr">
        <is>
          <t>Guarnições</t>
        </is>
      </c>
      <c r="B148" s="12" t="inlineStr">
        <is>
          <t>Guarnições</t>
        </is>
      </c>
      <c r="C148" s="13" t="inlineStr">
        <is>
          <t>Farofa (Executivo)</t>
        </is>
      </c>
      <c r="D148" s="2">
        <f>IF(ISERROR(VLOOKUP(E148,'Estrutura Protheus'!A:A,1,FALSE)),"Não","Sim")</f>
        <v/>
      </c>
      <c r="E148" s="5" t="inlineStr">
        <is>
          <t>009637</t>
        </is>
      </c>
      <c r="F148" s="5" t="inlineStr">
        <is>
          <t>000668</t>
        </is>
      </c>
      <c r="G148" s="3" t="inlineStr">
        <is>
          <t>Alecrim</t>
        </is>
      </c>
      <c r="H148" s="14" t="n">
        <v>0.001</v>
      </c>
      <c r="I148" s="5" t="inlineStr">
        <is>
          <t>KG</t>
        </is>
      </c>
      <c r="J148" s="4">
        <f>IFERROR(VLOOKUP(F148,'Base Insumos'!$A:$C,3,FALSE()),"PENDENTE")</f>
        <v/>
      </c>
      <c r="K148" s="4">
        <f>IFERROR(IF(J148="PENDENTE",0,J148*H148),0)</f>
        <v/>
      </c>
      <c r="L148" s="4" t="n">
        <v>4.99</v>
      </c>
      <c r="M148" s="15">
        <f>IFERROR(K148/L148,0)</f>
        <v/>
      </c>
      <c r="N148" s="3" t="n"/>
    </row>
    <row r="149" ht="15" customHeight="1">
      <c r="A149" s="16" t="inlineStr">
        <is>
          <t>Guarnições</t>
        </is>
      </c>
      <c r="B149" s="17" t="inlineStr">
        <is>
          <t>Guarnições</t>
        </is>
      </c>
      <c r="C149" s="18" t="inlineStr">
        <is>
          <t>Farofa (Executivo)</t>
        </is>
      </c>
      <c r="D149" s="6">
        <f>IF(ISERROR(VLOOKUP(E149,'Estrutura Protheus'!A:A,1,FALSE)),"Não","Sim")</f>
        <v/>
      </c>
      <c r="E149" s="9" t="inlineStr">
        <is>
          <t>009637</t>
        </is>
      </c>
      <c r="F149" s="9" t="inlineStr">
        <is>
          <t>002068</t>
        </is>
      </c>
      <c r="G149" s="7" t="inlineStr">
        <is>
          <t>Manteiga S/sal 5kg</t>
        </is>
      </c>
      <c r="H149" s="19" t="n">
        <v>0.004</v>
      </c>
      <c r="I149" s="9" t="inlineStr">
        <is>
          <t>KG</t>
        </is>
      </c>
      <c r="J149" s="8">
        <f>IFERROR(VLOOKUP(F149,'Base Insumos'!$A:$C,3,FALSE()),"PENDENTE")</f>
        <v/>
      </c>
      <c r="K149" s="8">
        <f>IFERROR(IF(J149="PENDENTE",0,J149*H149),0)</f>
        <v/>
      </c>
      <c r="L149" s="8" t="n">
        <v>4.99</v>
      </c>
      <c r="M149" s="20">
        <f>IFERROR(K149/L149,0)</f>
        <v/>
      </c>
      <c r="N149" s="7" t="n"/>
    </row>
    <row r="150" ht="15" customHeight="1">
      <c r="A150" s="11" t="inlineStr">
        <is>
          <t>Guarnições</t>
        </is>
      </c>
      <c r="B150" s="12" t="inlineStr">
        <is>
          <t>Guarnições</t>
        </is>
      </c>
      <c r="C150" s="13" t="inlineStr">
        <is>
          <t>Farofa (Executivo)</t>
        </is>
      </c>
      <c r="D150" s="2">
        <f>IF(ISERROR(VLOOKUP(E150,'Estrutura Protheus'!A:A,1,FALSE)),"Não","Sim")</f>
        <v/>
      </c>
      <c r="E150" s="5" t="inlineStr">
        <is>
          <t>009637</t>
        </is>
      </c>
      <c r="F150" s="5" t="inlineStr">
        <is>
          <t>000390</t>
        </is>
      </c>
      <c r="G150" s="3" t="inlineStr">
        <is>
          <t>Farinha de Trigo Sol</t>
        </is>
      </c>
      <c r="H150" s="14" t="n">
        <v>0.002</v>
      </c>
      <c r="I150" s="5" t="inlineStr">
        <is>
          <t>KG</t>
        </is>
      </c>
      <c r="J150" s="4">
        <f>IFERROR(VLOOKUP(F150,'Base Insumos'!$A:$C,3,FALSE()),"PENDENTE")</f>
        <v/>
      </c>
      <c r="K150" s="4">
        <f>IFERROR(IF(J150="PENDENTE",0,J150*H150),0)</f>
        <v/>
      </c>
      <c r="L150" s="4" t="n">
        <v>4.99</v>
      </c>
      <c r="M150" s="15">
        <f>IFERROR(K150/L150,0)</f>
        <v/>
      </c>
      <c r="N150" s="3" t="n"/>
    </row>
    <row r="151" ht="15" customHeight="1">
      <c r="A151" s="16" t="inlineStr">
        <is>
          <t>Guarnições</t>
        </is>
      </c>
      <c r="B151" s="17" t="inlineStr">
        <is>
          <t>Guarnições</t>
        </is>
      </c>
      <c r="C151" s="18" t="inlineStr">
        <is>
          <t>Farofa (Executivo)</t>
        </is>
      </c>
      <c r="D151" s="6">
        <f>IF(ISERROR(VLOOKUP(E151,'Estrutura Protheus'!A:A,1,FALSE)),"Não","Sim")</f>
        <v/>
      </c>
      <c r="E151" s="9" t="inlineStr">
        <is>
          <t>009637</t>
        </is>
      </c>
      <c r="F151" s="9" t="inlineStr">
        <is>
          <t>000331</t>
        </is>
      </c>
      <c r="G151" s="7" t="inlineStr">
        <is>
          <t>Barril Chopp Brahma Claro 50lt</t>
        </is>
      </c>
      <c r="H151" s="19" t="n">
        <v>0.003</v>
      </c>
      <c r="I151" s="9" t="inlineStr">
        <is>
          <t>LT</t>
        </is>
      </c>
      <c r="J151" s="8">
        <f>IFERROR(VLOOKUP(F151,'Base Insumos'!$A:$C,3,FALSE()),"PENDENTE")</f>
        <v/>
      </c>
      <c r="K151" s="8">
        <f>IFERROR(IF(J151="PENDENTE",0,J151*H151),0)</f>
        <v/>
      </c>
      <c r="L151" s="8" t="n">
        <v>4.99</v>
      </c>
      <c r="M151" s="20">
        <f>IFERROR(K151/L151,0)</f>
        <v/>
      </c>
      <c r="N151" s="7" t="n"/>
    </row>
    <row r="152" ht="15" customHeight="1">
      <c r="A152" s="11" t="inlineStr">
        <is>
          <t>Guarnições</t>
        </is>
      </c>
      <c r="B152" s="12" t="inlineStr">
        <is>
          <t>Guarnições</t>
        </is>
      </c>
      <c r="C152" s="13" t="inlineStr">
        <is>
          <t>Farofa (Executivo)</t>
        </is>
      </c>
      <c r="D152" s="2">
        <f>IF(ISERROR(VLOOKUP(E152,'Estrutura Protheus'!A:A,1,FALSE)),"Não","Sim")</f>
        <v/>
      </c>
      <c r="E152" s="5" t="inlineStr">
        <is>
          <t>009637</t>
        </is>
      </c>
      <c r="F152" s="5" t="inlineStr">
        <is>
          <t>000614</t>
        </is>
      </c>
      <c r="G152" s="3" t="inlineStr">
        <is>
          <t>Sal Refinado</t>
        </is>
      </c>
      <c r="H152" s="14" t="n">
        <v>0.0002</v>
      </c>
      <c r="I152" s="5" t="inlineStr">
        <is>
          <t>KG</t>
        </is>
      </c>
      <c r="J152" s="4">
        <f>IFERROR(VLOOKUP(F152,'Base Insumos'!$A:$C,3,FALSE()),"PENDENTE")</f>
        <v/>
      </c>
      <c r="K152" s="4">
        <f>IFERROR(IF(J152="PENDENTE",0,J152*H152),0)</f>
        <v/>
      </c>
      <c r="L152" s="4" t="n">
        <v>4.99</v>
      </c>
      <c r="M152" s="15">
        <f>IFERROR(K152/L152,0)</f>
        <v/>
      </c>
      <c r="N152" s="3" t="n"/>
    </row>
    <row r="153" ht="15" customHeight="1">
      <c r="A153" s="16" t="inlineStr">
        <is>
          <t>Guarnições</t>
        </is>
      </c>
      <c r="B153" s="17" t="inlineStr">
        <is>
          <t>Guarnições</t>
        </is>
      </c>
      <c r="C153" s="18" t="inlineStr">
        <is>
          <t>Farofa (Executivo)</t>
        </is>
      </c>
      <c r="D153" s="6">
        <f>IF(ISERROR(VLOOKUP(E153,'Estrutura Protheus'!A:A,1,FALSE)),"Não","Sim")</f>
        <v/>
      </c>
      <c r="E153" s="9" t="inlineStr">
        <is>
          <t>009637</t>
        </is>
      </c>
      <c r="F153" s="9" t="inlineStr">
        <is>
          <t>000414</t>
        </is>
      </c>
      <c r="G153" s="7" t="inlineStr">
        <is>
          <t>Pimenta do Reino Moida</t>
        </is>
      </c>
      <c r="H153" s="19" t="n">
        <v>6e-05</v>
      </c>
      <c r="I153" s="9" t="inlineStr">
        <is>
          <t>KG</t>
        </is>
      </c>
      <c r="J153" s="8">
        <f>IFERROR(VLOOKUP(F153,'Base Insumos'!$A:$C,3,FALSE()),"PENDENTE")</f>
        <v/>
      </c>
      <c r="K153" s="8">
        <f>IFERROR(IF(J153="PENDENTE",0,J153*H153),0)</f>
        <v/>
      </c>
      <c r="L153" s="8" t="n">
        <v>4.99</v>
      </c>
      <c r="M153" s="20">
        <f>IFERROR(K153/L153,0)</f>
        <v/>
      </c>
      <c r="N153" s="7" t="n"/>
    </row>
    <row r="154" ht="15" customHeight="1">
      <c r="A154" s="11" t="inlineStr">
        <is>
          <t>Guarnições</t>
        </is>
      </c>
      <c r="B154" s="12" t="inlineStr">
        <is>
          <t>Guarnições</t>
        </is>
      </c>
      <c r="C154" s="13" t="inlineStr">
        <is>
          <t>Farofa</t>
        </is>
      </c>
      <c r="D154" s="2">
        <f>IF(ISERROR(VLOOKUP(E154,'Estrutura Protheus'!A:A,1,FALSE)),"Não","Sim")</f>
        <v/>
      </c>
      <c r="E154" s="5" t="inlineStr">
        <is>
          <t>001484</t>
        </is>
      </c>
      <c r="F154" s="5" t="inlineStr">
        <is>
          <t>002067</t>
        </is>
      </c>
      <c r="G154" s="3" t="inlineStr">
        <is>
          <t>Farinha Panko Empanar</t>
        </is>
      </c>
      <c r="H154" s="14" t="n">
        <v>0.037</v>
      </c>
      <c r="I154" s="5" t="inlineStr">
        <is>
          <t>KG</t>
        </is>
      </c>
      <c r="J154" s="4">
        <f>IFERROR(VLOOKUP(F154,'Base Insumos'!$A:$C,3,FALSE()),"PENDENTE")</f>
        <v/>
      </c>
      <c r="K154" s="4">
        <f>IFERROR(IF(J154="PENDENTE",0,J154*H154),0)</f>
        <v/>
      </c>
      <c r="L154" s="4" t="n">
        <v>9.99</v>
      </c>
      <c r="M154" s="15">
        <f>IFERROR(K154/L154,0)</f>
        <v/>
      </c>
      <c r="N154" s="3" t="n"/>
    </row>
    <row r="155" ht="15" customHeight="1">
      <c r="A155" s="16" t="inlineStr">
        <is>
          <t>Guarnições</t>
        </is>
      </c>
      <c r="B155" s="17" t="inlineStr">
        <is>
          <t>Guarnições</t>
        </is>
      </c>
      <c r="C155" s="18" t="inlineStr">
        <is>
          <t>Farofa</t>
        </is>
      </c>
      <c r="D155" s="6">
        <f>IF(ISERROR(VLOOKUP(E155,'Estrutura Protheus'!A:A,1,FALSE)),"Não","Sim")</f>
        <v/>
      </c>
      <c r="E155" s="9" t="inlineStr">
        <is>
          <t>001484</t>
        </is>
      </c>
      <c r="F155" s="9" t="inlineStr">
        <is>
          <t>000426</t>
        </is>
      </c>
      <c r="G155" s="7" t="inlineStr">
        <is>
          <t>Bacon em Cubos</t>
        </is>
      </c>
      <c r="H155" s="19" t="n">
        <v>0.007</v>
      </c>
      <c r="I155" s="9" t="inlineStr">
        <is>
          <t>KG</t>
        </is>
      </c>
      <c r="J155" s="8">
        <f>IFERROR(VLOOKUP(F155,'Base Insumos'!$A:$C,3,FALSE()),"PENDENTE")</f>
        <v/>
      </c>
      <c r="K155" s="8">
        <f>IFERROR(IF(J155="PENDENTE",0,J155*H155),0)</f>
        <v/>
      </c>
      <c r="L155" s="8" t="n">
        <v>9.99</v>
      </c>
      <c r="M155" s="20">
        <f>IFERROR(K155/L155,0)</f>
        <v/>
      </c>
      <c r="N155" s="7" t="n"/>
    </row>
    <row r="156" ht="15" customHeight="1">
      <c r="A156" s="11" t="inlineStr">
        <is>
          <t>Guarnições</t>
        </is>
      </c>
      <c r="B156" s="12" t="inlineStr">
        <is>
          <t>Guarnições</t>
        </is>
      </c>
      <c r="C156" s="13" t="inlineStr">
        <is>
          <t>Farofa</t>
        </is>
      </c>
      <c r="D156" s="2">
        <f>IF(ISERROR(VLOOKUP(E156,'Estrutura Protheus'!A:A,1,FALSE)),"Não","Sim")</f>
        <v/>
      </c>
      <c r="E156" s="5" t="inlineStr">
        <is>
          <t>001484</t>
        </is>
      </c>
      <c r="F156" s="5" t="inlineStr">
        <is>
          <t>002070</t>
        </is>
      </c>
      <c r="G156" s="3" t="inlineStr">
        <is>
          <t>Alho Poro</t>
        </is>
      </c>
      <c r="H156" s="14" t="n">
        <v>0.007</v>
      </c>
      <c r="I156" s="5" t="inlineStr">
        <is>
          <t>KG</t>
        </is>
      </c>
      <c r="J156" s="4">
        <f>IFERROR(VLOOKUP(F156,'Base Insumos'!$A:$C,3,FALSE()),"PENDENTE")</f>
        <v/>
      </c>
      <c r="K156" s="4">
        <f>IFERROR(IF(J156="PENDENTE",0,J156*H156),0)</f>
        <v/>
      </c>
      <c r="L156" s="4" t="n">
        <v>9.99</v>
      </c>
      <c r="M156" s="15">
        <f>IFERROR(K156/L156,0)</f>
        <v/>
      </c>
      <c r="N156" s="3" t="n"/>
    </row>
    <row r="157" ht="15" customHeight="1">
      <c r="A157" s="16" t="inlineStr">
        <is>
          <t>Guarnições</t>
        </is>
      </c>
      <c r="B157" s="17" t="inlineStr">
        <is>
          <t>Guarnições</t>
        </is>
      </c>
      <c r="C157" s="18" t="inlineStr">
        <is>
          <t>Farofa</t>
        </is>
      </c>
      <c r="D157" s="6">
        <f>IF(ISERROR(VLOOKUP(E157,'Estrutura Protheus'!A:A,1,FALSE)),"Não","Sim")</f>
        <v/>
      </c>
      <c r="E157" s="9" t="inlineStr">
        <is>
          <t>001484</t>
        </is>
      </c>
      <c r="F157" s="9" t="inlineStr">
        <is>
          <t>000667</t>
        </is>
      </c>
      <c r="G157" s="7" t="inlineStr">
        <is>
          <t>Tomilho</t>
        </is>
      </c>
      <c r="H157" s="19" t="n">
        <v>0.0005999999999999999</v>
      </c>
      <c r="I157" s="9" t="inlineStr">
        <is>
          <t>KG</t>
        </is>
      </c>
      <c r="J157" s="8">
        <f>IFERROR(VLOOKUP(F157,'Base Insumos'!$A:$C,3,FALSE()),"PENDENTE")</f>
        <v/>
      </c>
      <c r="K157" s="8">
        <f>IFERROR(IF(J157="PENDENTE",0,J157*H157),0)</f>
        <v/>
      </c>
      <c r="L157" s="8" t="n">
        <v>9.99</v>
      </c>
      <c r="M157" s="20">
        <f>IFERROR(K157/L157,0)</f>
        <v/>
      </c>
      <c r="N157" s="7" t="n"/>
    </row>
    <row r="158" ht="15" customHeight="1">
      <c r="A158" s="11" t="inlineStr">
        <is>
          <t>Guarnições</t>
        </is>
      </c>
      <c r="B158" s="12" t="inlineStr">
        <is>
          <t>Guarnições</t>
        </is>
      </c>
      <c r="C158" s="13" t="inlineStr">
        <is>
          <t>Farofa</t>
        </is>
      </c>
      <c r="D158" s="2">
        <f>IF(ISERROR(VLOOKUP(E158,'Estrutura Protheus'!A:A,1,FALSE)),"Não","Sim")</f>
        <v/>
      </c>
      <c r="E158" s="5" t="inlineStr">
        <is>
          <t>001484</t>
        </is>
      </c>
      <c r="F158" s="5" t="inlineStr">
        <is>
          <t>000668</t>
        </is>
      </c>
      <c r="G158" s="3" t="inlineStr">
        <is>
          <t>Alecrim</t>
        </is>
      </c>
      <c r="H158" s="14" t="n">
        <v>0.002</v>
      </c>
      <c r="I158" s="5" t="inlineStr">
        <is>
          <t>KG</t>
        </is>
      </c>
      <c r="J158" s="4">
        <f>IFERROR(VLOOKUP(F158,'Base Insumos'!$A:$C,3,FALSE()),"PENDENTE")</f>
        <v/>
      </c>
      <c r="K158" s="4">
        <f>IFERROR(IF(J158="PENDENTE",0,J158*H158),0)</f>
        <v/>
      </c>
      <c r="L158" s="4" t="n">
        <v>9.99</v>
      </c>
      <c r="M158" s="15">
        <f>IFERROR(K158/L158,0)</f>
        <v/>
      </c>
      <c r="N158" s="3" t="n"/>
    </row>
    <row r="159" ht="15" customHeight="1">
      <c r="A159" s="16" t="inlineStr">
        <is>
          <t>Guarnições</t>
        </is>
      </c>
      <c r="B159" s="17" t="inlineStr">
        <is>
          <t>Guarnições</t>
        </is>
      </c>
      <c r="C159" s="18" t="inlineStr">
        <is>
          <t>Farofa</t>
        </is>
      </c>
      <c r="D159" s="6">
        <f>IF(ISERROR(VLOOKUP(E159,'Estrutura Protheus'!A:A,1,FALSE)),"Não","Sim")</f>
        <v/>
      </c>
      <c r="E159" s="9" t="inlineStr">
        <is>
          <t>001484</t>
        </is>
      </c>
      <c r="F159" s="9" t="inlineStr">
        <is>
          <t>002068</t>
        </is>
      </c>
      <c r="G159" s="7" t="inlineStr">
        <is>
          <t>Manteiga S/sal 5kg</t>
        </is>
      </c>
      <c r="H159" s="19" t="n">
        <v>0.007</v>
      </c>
      <c r="I159" s="9" t="inlineStr">
        <is>
          <t>KG</t>
        </is>
      </c>
      <c r="J159" s="8">
        <f>IFERROR(VLOOKUP(F159,'Base Insumos'!$A:$C,3,FALSE()),"PENDENTE")</f>
        <v/>
      </c>
      <c r="K159" s="8">
        <f>IFERROR(IF(J159="PENDENTE",0,J159*H159),0)</f>
        <v/>
      </c>
      <c r="L159" s="8" t="n">
        <v>9.99</v>
      </c>
      <c r="M159" s="20">
        <f>IFERROR(K159/L159,0)</f>
        <v/>
      </c>
      <c r="N159" s="7" t="n"/>
    </row>
    <row r="160" ht="15" customHeight="1">
      <c r="A160" s="11" t="inlineStr">
        <is>
          <t>Guarnições</t>
        </is>
      </c>
      <c r="B160" s="12" t="inlineStr">
        <is>
          <t>Guarnições</t>
        </is>
      </c>
      <c r="C160" s="13" t="inlineStr">
        <is>
          <t>Farofa</t>
        </is>
      </c>
      <c r="D160" s="2">
        <f>IF(ISERROR(VLOOKUP(E160,'Estrutura Protheus'!A:A,1,FALSE)),"Não","Sim")</f>
        <v/>
      </c>
      <c r="E160" s="5" t="inlineStr">
        <is>
          <t>001484</t>
        </is>
      </c>
      <c r="F160" s="5" t="inlineStr">
        <is>
          <t>000390</t>
        </is>
      </c>
      <c r="G160" s="3" t="inlineStr">
        <is>
          <t>Farinha de Trigo Sol</t>
        </is>
      </c>
      <c r="H160" s="14" t="n">
        <v>0.004</v>
      </c>
      <c r="I160" s="5" t="inlineStr">
        <is>
          <t>KG</t>
        </is>
      </c>
      <c r="J160" s="4">
        <f>IFERROR(VLOOKUP(F160,'Base Insumos'!$A:$C,3,FALSE()),"PENDENTE")</f>
        <v/>
      </c>
      <c r="K160" s="4">
        <f>IFERROR(IF(J160="PENDENTE",0,J160*H160),0)</f>
        <v/>
      </c>
      <c r="L160" s="4" t="n">
        <v>9.99</v>
      </c>
      <c r="M160" s="15">
        <f>IFERROR(K160/L160,0)</f>
        <v/>
      </c>
      <c r="N160" s="3" t="n"/>
    </row>
    <row r="161" ht="15" customHeight="1">
      <c r="A161" s="16" t="inlineStr">
        <is>
          <t>Guarnições</t>
        </is>
      </c>
      <c r="B161" s="17" t="inlineStr">
        <is>
          <t>Guarnições</t>
        </is>
      </c>
      <c r="C161" s="18" t="inlineStr">
        <is>
          <t>Farofa</t>
        </is>
      </c>
      <c r="D161" s="6">
        <f>IF(ISERROR(VLOOKUP(E161,'Estrutura Protheus'!A:A,1,FALSE)),"Não","Sim")</f>
        <v/>
      </c>
      <c r="E161" s="9" t="inlineStr">
        <is>
          <t>001484</t>
        </is>
      </c>
      <c r="F161" s="9" t="inlineStr">
        <is>
          <t>000331</t>
        </is>
      </c>
      <c r="G161" s="7" t="inlineStr">
        <is>
          <t>Barril Chopp Brahma Claro 50lt</t>
        </is>
      </c>
      <c r="H161" s="19" t="n">
        <v>0.006</v>
      </c>
      <c r="I161" s="9" t="inlineStr">
        <is>
          <t>LT</t>
        </is>
      </c>
      <c r="J161" s="8">
        <f>IFERROR(VLOOKUP(F161,'Base Insumos'!$A:$C,3,FALSE()),"PENDENTE")</f>
        <v/>
      </c>
      <c r="K161" s="8">
        <f>IFERROR(IF(J161="PENDENTE",0,J161*H161),0)</f>
        <v/>
      </c>
      <c r="L161" s="8" t="n">
        <v>9.99</v>
      </c>
      <c r="M161" s="20">
        <f>IFERROR(K161/L161,0)</f>
        <v/>
      </c>
      <c r="N161" s="7" t="n"/>
    </row>
    <row r="162" ht="15" customHeight="1">
      <c r="A162" s="11" t="inlineStr">
        <is>
          <t>Guarnições</t>
        </is>
      </c>
      <c r="B162" s="12" t="inlineStr">
        <is>
          <t>Guarnições</t>
        </is>
      </c>
      <c r="C162" s="13" t="inlineStr">
        <is>
          <t>Farofa</t>
        </is>
      </c>
      <c r="D162" s="2">
        <f>IF(ISERROR(VLOOKUP(E162,'Estrutura Protheus'!A:A,1,FALSE)),"Não","Sim")</f>
        <v/>
      </c>
      <c r="E162" s="5" t="inlineStr">
        <is>
          <t>001484</t>
        </is>
      </c>
      <c r="F162" s="5" t="inlineStr">
        <is>
          <t>000614</t>
        </is>
      </c>
      <c r="G162" s="3" t="inlineStr">
        <is>
          <t>Sal Refinado</t>
        </is>
      </c>
      <c r="H162" s="14" t="n">
        <v>0.0003</v>
      </c>
      <c r="I162" s="5" t="inlineStr">
        <is>
          <t>KG</t>
        </is>
      </c>
      <c r="J162" s="4">
        <f>IFERROR(VLOOKUP(F162,'Base Insumos'!$A:$C,3,FALSE()),"PENDENTE")</f>
        <v/>
      </c>
      <c r="K162" s="4">
        <f>IFERROR(IF(J162="PENDENTE",0,J162*H162),0)</f>
        <v/>
      </c>
      <c r="L162" s="4" t="n">
        <v>9.99</v>
      </c>
      <c r="M162" s="15">
        <f>IFERROR(K162/L162,0)</f>
        <v/>
      </c>
      <c r="N162" s="3" t="n"/>
    </row>
    <row r="163" ht="15" customHeight="1">
      <c r="A163" s="16" t="inlineStr">
        <is>
          <t>Guarnições</t>
        </is>
      </c>
      <c r="B163" s="17" t="inlineStr">
        <is>
          <t>Guarnições</t>
        </is>
      </c>
      <c r="C163" s="18" t="inlineStr">
        <is>
          <t>Farofa</t>
        </is>
      </c>
      <c r="D163" s="6">
        <f>IF(ISERROR(VLOOKUP(E163,'Estrutura Protheus'!A:A,1,FALSE)),"Não","Sim")</f>
        <v/>
      </c>
      <c r="E163" s="9" t="inlineStr">
        <is>
          <t>001484</t>
        </is>
      </c>
      <c r="F163" s="9" t="inlineStr">
        <is>
          <t>000414</t>
        </is>
      </c>
      <c r="G163" s="7" t="inlineStr">
        <is>
          <t>Pimenta do Reino Moida</t>
        </is>
      </c>
      <c r="H163" s="19" t="n">
        <v>1e-05</v>
      </c>
      <c r="I163" s="9" t="inlineStr">
        <is>
          <t>KG</t>
        </is>
      </c>
      <c r="J163" s="8">
        <f>IFERROR(VLOOKUP(F163,'Base Insumos'!$A:$C,3,FALSE()),"PENDENTE")</f>
        <v/>
      </c>
      <c r="K163" s="8">
        <f>IFERROR(IF(J163="PENDENTE",0,J163*H163),0)</f>
        <v/>
      </c>
      <c r="L163" s="8" t="n">
        <v>9.99</v>
      </c>
      <c r="M163" s="20">
        <f>IFERROR(K163/L163,0)</f>
        <v/>
      </c>
      <c r="N163" s="7" t="n"/>
    </row>
    <row r="164" ht="15" customHeight="1">
      <c r="A164" s="11" t="inlineStr">
        <is>
          <t>Guarnições</t>
        </is>
      </c>
      <c r="B164" s="12" t="inlineStr">
        <is>
          <t>Guarnições</t>
        </is>
      </c>
      <c r="C164" s="13" t="inlineStr">
        <is>
          <t>Vinagrete</t>
        </is>
      </c>
      <c r="D164" s="2">
        <f>IF(ISERROR(VLOOKUP(E164,'Estrutura Protheus'!A:A,1,FALSE)),"Não","Sim")</f>
        <v/>
      </c>
      <c r="E164" s="5" t="inlineStr">
        <is>
          <t>001509</t>
        </is>
      </c>
      <c r="F164" s="5" t="inlineStr">
        <is>
          <t>000486</t>
        </is>
      </c>
      <c r="G164" s="3" t="inlineStr">
        <is>
          <t>Tomate Salada</t>
        </is>
      </c>
      <c r="H164" s="14" t="n">
        <v>0.026</v>
      </c>
      <c r="I164" s="5" t="inlineStr">
        <is>
          <t>KG</t>
        </is>
      </c>
      <c r="J164" s="4">
        <f>IFERROR(VLOOKUP(F164,'Base Insumos'!$A:$C,3,FALSE()),"PENDENTE")</f>
        <v/>
      </c>
      <c r="K164" s="4">
        <f>IFERROR(IF(J164="PENDENTE",0,J164*H164),0)</f>
        <v/>
      </c>
      <c r="L164" s="4" t="n">
        <v>9.99</v>
      </c>
      <c r="M164" s="15">
        <f>IFERROR(K164/L164,0)</f>
        <v/>
      </c>
      <c r="N164" s="3" t="n"/>
    </row>
    <row r="165" ht="15" customHeight="1">
      <c r="A165" s="16" t="inlineStr">
        <is>
          <t>Guarnições</t>
        </is>
      </c>
      <c r="B165" s="17" t="inlineStr">
        <is>
          <t>Guarnições</t>
        </is>
      </c>
      <c r="C165" s="18" t="inlineStr">
        <is>
          <t>Vinagrete</t>
        </is>
      </c>
      <c r="D165" s="6">
        <f>IF(ISERROR(VLOOKUP(E165,'Estrutura Protheus'!A:A,1,FALSE)),"Não","Sim")</f>
        <v/>
      </c>
      <c r="E165" s="9" t="inlineStr">
        <is>
          <t>001509</t>
        </is>
      </c>
      <c r="F165" s="9" t="inlineStr">
        <is>
          <t>000468</t>
        </is>
      </c>
      <c r="G165" s="7" t="inlineStr">
        <is>
          <t>Cebola Media</t>
        </is>
      </c>
      <c r="H165" s="19" t="n">
        <v>0.013</v>
      </c>
      <c r="I165" s="9" t="inlineStr">
        <is>
          <t>KG</t>
        </is>
      </c>
      <c r="J165" s="8">
        <f>IFERROR(VLOOKUP(F165,'Base Insumos'!$A:$C,3,FALSE()),"PENDENTE")</f>
        <v/>
      </c>
      <c r="K165" s="8">
        <f>IFERROR(IF(J165="PENDENTE",0,J165*H165),0)</f>
        <v/>
      </c>
      <c r="L165" s="8" t="n">
        <v>9.99</v>
      </c>
      <c r="M165" s="20">
        <f>IFERROR(K165/L165,0)</f>
        <v/>
      </c>
      <c r="N165" s="7" t="n"/>
    </row>
    <row r="166" ht="15" customHeight="1">
      <c r="A166" s="11" t="inlineStr">
        <is>
          <t>Guarnições</t>
        </is>
      </c>
      <c r="B166" s="12" t="inlineStr">
        <is>
          <t>Guarnições</t>
        </is>
      </c>
      <c r="C166" s="13" t="inlineStr">
        <is>
          <t>Vinagrete</t>
        </is>
      </c>
      <c r="D166" s="2">
        <f>IF(ISERROR(VLOOKUP(E166,'Estrutura Protheus'!A:A,1,FALSE)),"Não","Sim")</f>
        <v/>
      </c>
      <c r="E166" s="5" t="inlineStr">
        <is>
          <t>001509</t>
        </is>
      </c>
      <c r="F166" s="5" t="inlineStr">
        <is>
          <t>000484</t>
        </is>
      </c>
      <c r="G166" s="3" t="inlineStr">
        <is>
          <t>Salsa Lisa Industrial</t>
        </is>
      </c>
      <c r="H166" s="14" t="n">
        <v>0.008999999999999999</v>
      </c>
      <c r="I166" s="5" t="inlineStr">
        <is>
          <t>KG</t>
        </is>
      </c>
      <c r="J166" s="4">
        <f>IFERROR(VLOOKUP(F166,'Base Insumos'!$A:$C,3,FALSE()),"PENDENTE")</f>
        <v/>
      </c>
      <c r="K166" s="4">
        <f>IFERROR(IF(J166="PENDENTE",0,J166*H166),0)</f>
        <v/>
      </c>
      <c r="L166" s="4" t="n">
        <v>9.99</v>
      </c>
      <c r="M166" s="15">
        <f>IFERROR(K166/L166,0)</f>
        <v/>
      </c>
      <c r="N166" s="3" t="n"/>
    </row>
    <row r="167" ht="15" customHeight="1">
      <c r="A167" s="16" t="inlineStr">
        <is>
          <t>Guarnições</t>
        </is>
      </c>
      <c r="B167" s="17" t="inlineStr">
        <is>
          <t>Guarnições</t>
        </is>
      </c>
      <c r="C167" s="18" t="inlineStr">
        <is>
          <t>Vinagrete</t>
        </is>
      </c>
      <c r="D167" s="6">
        <f>IF(ISERROR(VLOOKUP(E167,'Estrutura Protheus'!A:A,1,FALSE)),"Não","Sim")</f>
        <v/>
      </c>
      <c r="E167" s="9" t="inlineStr">
        <is>
          <t>001509</t>
        </is>
      </c>
      <c r="F167" s="9" t="inlineStr">
        <is>
          <t>000424</t>
        </is>
      </c>
      <c r="G167" s="7" t="inlineStr">
        <is>
          <t>Vinagre Agrin Branco Neval Garrafa 750ml</t>
        </is>
      </c>
      <c r="H167" s="19" t="n">
        <v>0.007</v>
      </c>
      <c r="I167" s="9" t="inlineStr">
        <is>
          <t>LT</t>
        </is>
      </c>
      <c r="J167" s="8">
        <f>IFERROR(VLOOKUP(F167,'Base Insumos'!$A:$C,3,FALSE()),"PENDENTE")</f>
        <v/>
      </c>
      <c r="K167" s="8">
        <f>IFERROR(IF(J167="PENDENTE",0,J167*H167),0)</f>
        <v/>
      </c>
      <c r="L167" s="8" t="n">
        <v>9.99</v>
      </c>
      <c r="M167" s="20">
        <f>IFERROR(K167/L167,0)</f>
        <v/>
      </c>
      <c r="N167" s="7" t="n"/>
    </row>
    <row r="168" ht="15" customHeight="1">
      <c r="A168" s="11" t="inlineStr">
        <is>
          <t>Guarnições</t>
        </is>
      </c>
      <c r="B168" s="12" t="inlineStr">
        <is>
          <t>Guarnições</t>
        </is>
      </c>
      <c r="C168" s="13" t="inlineStr">
        <is>
          <t>Vinagrete</t>
        </is>
      </c>
      <c r="D168" s="2">
        <f>IF(ISERROR(VLOOKUP(E168,'Estrutura Protheus'!A:A,1,FALSE)),"Não","Sim")</f>
        <v/>
      </c>
      <c r="E168" s="5" t="inlineStr">
        <is>
          <t>001509</t>
        </is>
      </c>
      <c r="F168" s="5" t="inlineStr">
        <is>
          <t>001043</t>
        </is>
      </c>
      <c r="G168" s="3" t="inlineStr">
        <is>
          <t>Azeite 500 Ml</t>
        </is>
      </c>
      <c r="H168" s="14" t="n">
        <v>0.013</v>
      </c>
      <c r="I168" s="5" t="inlineStr">
        <is>
          <t>LT</t>
        </is>
      </c>
      <c r="J168" s="4">
        <f>IFERROR(VLOOKUP(F168,'Base Insumos'!$A:$C,3,FALSE()),"PENDENTE")</f>
        <v/>
      </c>
      <c r="K168" s="4">
        <f>IFERROR(IF(J168="PENDENTE",0,J168*H168),0)</f>
        <v/>
      </c>
      <c r="L168" s="4" t="n">
        <v>9.99</v>
      </c>
      <c r="M168" s="15">
        <f>IFERROR(K168/L168,0)</f>
        <v/>
      </c>
      <c r="N168" s="3" t="n"/>
    </row>
    <row r="169" ht="15" customHeight="1">
      <c r="A169" s="16" t="inlineStr">
        <is>
          <t>Guarnições</t>
        </is>
      </c>
      <c r="B169" s="17" t="inlineStr">
        <is>
          <t>Guarnições</t>
        </is>
      </c>
      <c r="C169" s="18" t="inlineStr">
        <is>
          <t>Vinagrete</t>
        </is>
      </c>
      <c r="D169" s="6">
        <f>IF(ISERROR(VLOOKUP(E169,'Estrutura Protheus'!A:A,1,FALSE)),"Não","Sim")</f>
        <v/>
      </c>
      <c r="E169" s="9" t="inlineStr">
        <is>
          <t>001509</t>
        </is>
      </c>
      <c r="F169" s="9" t="inlineStr">
        <is>
          <t>000614</t>
        </is>
      </c>
      <c r="G169" s="7" t="inlineStr">
        <is>
          <t>Sal Refinado</t>
        </is>
      </c>
      <c r="H169" s="19" t="n">
        <v>0.0005</v>
      </c>
      <c r="I169" s="9" t="inlineStr">
        <is>
          <t>KG</t>
        </is>
      </c>
      <c r="J169" s="8">
        <f>IFERROR(VLOOKUP(F169,'Base Insumos'!$A:$C,3,FALSE()),"PENDENTE")</f>
        <v/>
      </c>
      <c r="K169" s="8">
        <f>IFERROR(IF(J169="PENDENTE",0,J169*H169),0)</f>
        <v/>
      </c>
      <c r="L169" s="8" t="n">
        <v>9.99</v>
      </c>
      <c r="M169" s="20">
        <f>IFERROR(K169/L169,0)</f>
        <v/>
      </c>
      <c r="N169" s="7" t="n"/>
    </row>
    <row r="170" ht="15" customHeight="1">
      <c r="A170" s="11" t="inlineStr">
        <is>
          <t>Guarnições</t>
        </is>
      </c>
      <c r="B170" s="12" t="inlineStr">
        <is>
          <t>Guarnições</t>
        </is>
      </c>
      <c r="C170" s="13" t="inlineStr">
        <is>
          <t>Vinagrete (Executivo)</t>
        </is>
      </c>
      <c r="D170" s="2">
        <f>IF(ISERROR(VLOOKUP(E170,'Estrutura Protheus'!A:A,1,FALSE)),"Não","Sim")</f>
        <v/>
      </c>
      <c r="E170" s="5" t="inlineStr">
        <is>
          <t>009636</t>
        </is>
      </c>
      <c r="F170" s="5" t="inlineStr">
        <is>
          <t>000486</t>
        </is>
      </c>
      <c r="G170" s="3" t="inlineStr">
        <is>
          <t>Tomate Salada</t>
        </is>
      </c>
      <c r="H170" s="14" t="n">
        <v>0.026</v>
      </c>
      <c r="I170" s="5" t="inlineStr">
        <is>
          <t>KG</t>
        </is>
      </c>
      <c r="J170" s="4">
        <f>IFERROR(VLOOKUP(F170,'Base Insumos'!$A:$C,3,FALSE()),"PENDENTE")</f>
        <v/>
      </c>
      <c r="K170" s="4">
        <f>IFERROR(IF(J170="PENDENTE",0,J170*H170),0)</f>
        <v/>
      </c>
      <c r="L170" s="4" t="n">
        <v>4.99</v>
      </c>
      <c r="M170" s="15">
        <f>IFERROR(K170/L170,0)</f>
        <v/>
      </c>
      <c r="N170" s="3" t="n"/>
    </row>
    <row r="171" ht="15" customHeight="1">
      <c r="A171" s="16" t="inlineStr">
        <is>
          <t>Guarnições</t>
        </is>
      </c>
      <c r="B171" s="17" t="inlineStr">
        <is>
          <t>Guarnições</t>
        </is>
      </c>
      <c r="C171" s="18" t="inlineStr">
        <is>
          <t>Vinagrete (Executivo)</t>
        </is>
      </c>
      <c r="D171" s="6">
        <f>IF(ISERROR(VLOOKUP(E171,'Estrutura Protheus'!A:A,1,FALSE)),"Não","Sim")</f>
        <v/>
      </c>
      <c r="E171" s="9" t="inlineStr">
        <is>
          <t>009636</t>
        </is>
      </c>
      <c r="F171" s="9" t="inlineStr">
        <is>
          <t>000468</t>
        </is>
      </c>
      <c r="G171" s="7" t="inlineStr">
        <is>
          <t>Cebola Media</t>
        </is>
      </c>
      <c r="H171" s="19" t="n">
        <v>0.013</v>
      </c>
      <c r="I171" s="9" t="inlineStr">
        <is>
          <t>KG</t>
        </is>
      </c>
      <c r="J171" s="8">
        <f>IFERROR(VLOOKUP(F171,'Base Insumos'!$A:$C,3,FALSE()),"PENDENTE")</f>
        <v/>
      </c>
      <c r="K171" s="8">
        <f>IFERROR(IF(J171="PENDENTE",0,J171*H171),0)</f>
        <v/>
      </c>
      <c r="L171" s="8" t="n">
        <v>4.99</v>
      </c>
      <c r="M171" s="20">
        <f>IFERROR(K171/L171,0)</f>
        <v/>
      </c>
      <c r="N171" s="7" t="n"/>
    </row>
    <row r="172" ht="15" customHeight="1">
      <c r="A172" s="11" t="inlineStr">
        <is>
          <t>Guarnições</t>
        </is>
      </c>
      <c r="B172" s="12" t="inlineStr">
        <is>
          <t>Guarnições</t>
        </is>
      </c>
      <c r="C172" s="13" t="inlineStr">
        <is>
          <t>Vinagrete (Executivo)</t>
        </is>
      </c>
      <c r="D172" s="2">
        <f>IF(ISERROR(VLOOKUP(E172,'Estrutura Protheus'!A:A,1,FALSE)),"Não","Sim")</f>
        <v/>
      </c>
      <c r="E172" s="5" t="inlineStr">
        <is>
          <t>009636</t>
        </is>
      </c>
      <c r="F172" s="5" t="inlineStr">
        <is>
          <t>000484</t>
        </is>
      </c>
      <c r="G172" s="3" t="inlineStr">
        <is>
          <t>Salsa Lisa Industrial</t>
        </is>
      </c>
      <c r="H172" s="14" t="n">
        <v>0.008999999999999999</v>
      </c>
      <c r="I172" s="5" t="inlineStr">
        <is>
          <t>KG</t>
        </is>
      </c>
      <c r="J172" s="4">
        <f>IFERROR(VLOOKUP(F172,'Base Insumos'!$A:$C,3,FALSE()),"PENDENTE")</f>
        <v/>
      </c>
      <c r="K172" s="4">
        <f>IFERROR(IF(J172="PENDENTE",0,J172*H172),0)</f>
        <v/>
      </c>
      <c r="L172" s="4" t="n">
        <v>4.99</v>
      </c>
      <c r="M172" s="15">
        <f>IFERROR(K172/L172,0)</f>
        <v/>
      </c>
      <c r="N172" s="3" t="n"/>
    </row>
    <row r="173" ht="15" customHeight="1">
      <c r="A173" s="16" t="inlineStr">
        <is>
          <t>Guarnições</t>
        </is>
      </c>
      <c r="B173" s="17" t="inlineStr">
        <is>
          <t>Guarnições</t>
        </is>
      </c>
      <c r="C173" s="18" t="inlineStr">
        <is>
          <t>Vinagrete (Executivo)</t>
        </is>
      </c>
      <c r="D173" s="6">
        <f>IF(ISERROR(VLOOKUP(E173,'Estrutura Protheus'!A:A,1,FALSE)),"Não","Sim")</f>
        <v/>
      </c>
      <c r="E173" s="9" t="inlineStr">
        <is>
          <t>009636</t>
        </is>
      </c>
      <c r="F173" s="9" t="inlineStr">
        <is>
          <t>000424</t>
        </is>
      </c>
      <c r="G173" s="7" t="inlineStr">
        <is>
          <t>Vinagre Agrin Branco Neval Garrafa 750ml</t>
        </is>
      </c>
      <c r="H173" s="19" t="n">
        <v>0.007</v>
      </c>
      <c r="I173" s="9" t="inlineStr">
        <is>
          <t>LT</t>
        </is>
      </c>
      <c r="J173" s="8">
        <f>IFERROR(VLOOKUP(F173,'Base Insumos'!$A:$C,3,FALSE()),"PENDENTE")</f>
        <v/>
      </c>
      <c r="K173" s="8">
        <f>IFERROR(IF(J173="PENDENTE",0,J173*H173),0)</f>
        <v/>
      </c>
      <c r="L173" s="8" t="n">
        <v>4.99</v>
      </c>
      <c r="M173" s="20">
        <f>IFERROR(K173/L173,0)</f>
        <v/>
      </c>
      <c r="N173" s="7" t="n"/>
    </row>
    <row r="174" ht="15" customHeight="1">
      <c r="A174" s="11" t="inlineStr">
        <is>
          <t>Guarnições</t>
        </is>
      </c>
      <c r="B174" s="12" t="inlineStr">
        <is>
          <t>Guarnições</t>
        </is>
      </c>
      <c r="C174" s="13" t="inlineStr">
        <is>
          <t>Vinagrete (Executivo)</t>
        </is>
      </c>
      <c r="D174" s="2">
        <f>IF(ISERROR(VLOOKUP(E174,'Estrutura Protheus'!A:A,1,FALSE)),"Não","Sim")</f>
        <v/>
      </c>
      <c r="E174" s="5" t="inlineStr">
        <is>
          <t>009636</t>
        </is>
      </c>
      <c r="F174" s="5" t="inlineStr">
        <is>
          <t>000747</t>
        </is>
      </c>
      <c r="G174" s="3" t="inlineStr">
        <is>
          <t>Azeite Oleo Composto 5 Litros</t>
        </is>
      </c>
      <c r="H174" s="14" t="n">
        <v>0.013</v>
      </c>
      <c r="I174" s="5" t="inlineStr">
        <is>
          <t>LT</t>
        </is>
      </c>
      <c r="J174" s="4">
        <f>IFERROR(VLOOKUP(F174,'Base Insumos'!$A:$C,3,FALSE()),"PENDENTE")</f>
        <v/>
      </c>
      <c r="K174" s="4">
        <f>IFERROR(IF(J174="PENDENTE",0,J174*H174),0)</f>
        <v/>
      </c>
      <c r="L174" s="4" t="n">
        <v>4.99</v>
      </c>
      <c r="M174" s="15">
        <f>IFERROR(K174/L174,0)</f>
        <v/>
      </c>
      <c r="N174" s="3" t="n"/>
    </row>
    <row r="175" ht="15" customHeight="1">
      <c r="A175" s="16" t="inlineStr">
        <is>
          <t>Guarnições</t>
        </is>
      </c>
      <c r="B175" s="17" t="inlineStr">
        <is>
          <t>Guarnições</t>
        </is>
      </c>
      <c r="C175" s="18" t="inlineStr">
        <is>
          <t>Vinagrete (Executivo)</t>
        </is>
      </c>
      <c r="D175" s="6">
        <f>IF(ISERROR(VLOOKUP(E175,'Estrutura Protheus'!A:A,1,FALSE)),"Não","Sim")</f>
        <v/>
      </c>
      <c r="E175" s="9" t="inlineStr">
        <is>
          <t>009636</t>
        </is>
      </c>
      <c r="F175" s="9" t="inlineStr">
        <is>
          <t>000614</t>
        </is>
      </c>
      <c r="G175" s="7" t="inlineStr">
        <is>
          <t>Sal Refinado</t>
        </is>
      </c>
      <c r="H175" s="19" t="n">
        <v>0.0005</v>
      </c>
      <c r="I175" s="9" t="inlineStr">
        <is>
          <t>KG</t>
        </is>
      </c>
      <c r="J175" s="8">
        <f>IFERROR(VLOOKUP(F175,'Base Insumos'!$A:$C,3,FALSE()),"PENDENTE")</f>
        <v/>
      </c>
      <c r="K175" s="8">
        <f>IFERROR(IF(J175="PENDENTE",0,J175*H175),0)</f>
        <v/>
      </c>
      <c r="L175" s="8" t="n">
        <v>4.99</v>
      </c>
      <c r="M175" s="20">
        <f>IFERROR(K175/L175,0)</f>
        <v/>
      </c>
      <c r="N175" s="7" t="n"/>
    </row>
    <row r="176" ht="15" customHeight="1">
      <c r="A176" s="11" t="inlineStr">
        <is>
          <t>Guarnições</t>
        </is>
      </c>
      <c r="B176" s="12" t="inlineStr">
        <is>
          <t>Guarnições</t>
        </is>
      </c>
      <c r="C176" s="13" t="inlineStr">
        <is>
          <t>Feijão</t>
        </is>
      </c>
      <c r="D176" s="2">
        <f>IF(ISERROR(VLOOKUP(E176,'Estrutura Protheus'!A:A,1,FALSE)),"Não","Sim")</f>
        <v/>
      </c>
      <c r="E176" s="5" t="inlineStr">
        <is>
          <t>002209</t>
        </is>
      </c>
      <c r="F176" s="5" t="inlineStr">
        <is>
          <t>000392</t>
        </is>
      </c>
      <c r="G176" s="3" t="inlineStr">
        <is>
          <t>Feijao Carioca</t>
        </is>
      </c>
      <c r="H176" s="14" t="n">
        <v>0.038</v>
      </c>
      <c r="I176" s="5" t="inlineStr">
        <is>
          <t>KG</t>
        </is>
      </c>
      <c r="J176" s="4">
        <f>IFERROR(VLOOKUP(F176,'Base Insumos'!$A:$C,3,FALSE()),"PENDENTE")</f>
        <v/>
      </c>
      <c r="K176" s="4">
        <f>IFERROR(IF(J176="PENDENTE",0,J176*H176),0)</f>
        <v/>
      </c>
      <c r="L176" s="4" t="n">
        <v>9.9</v>
      </c>
      <c r="M176" s="15">
        <f>IFERROR(K176/L176,0)</f>
        <v/>
      </c>
      <c r="N176" s="3" t="n"/>
    </row>
    <row r="177" ht="15" customHeight="1">
      <c r="A177" s="16" t="inlineStr">
        <is>
          <t>Guarnições</t>
        </is>
      </c>
      <c r="B177" s="17" t="inlineStr">
        <is>
          <t>Guarnições</t>
        </is>
      </c>
      <c r="C177" s="18" t="inlineStr">
        <is>
          <t>Feijão</t>
        </is>
      </c>
      <c r="D177" s="6">
        <f>IF(ISERROR(VLOOKUP(E177,'Estrutura Protheus'!A:A,1,FALSE)),"Não","Sim")</f>
        <v/>
      </c>
      <c r="E177" s="9" t="inlineStr">
        <is>
          <t>002209</t>
        </is>
      </c>
      <c r="F177" s="9" t="inlineStr">
        <is>
          <t>000426</t>
        </is>
      </c>
      <c r="G177" s="7" t="inlineStr">
        <is>
          <t>Bacon em Cubos</t>
        </is>
      </c>
      <c r="H177" s="19" t="n">
        <v>0.008</v>
      </c>
      <c r="I177" s="9" t="inlineStr">
        <is>
          <t>KG</t>
        </is>
      </c>
      <c r="J177" s="8">
        <f>IFERROR(VLOOKUP(F177,'Base Insumos'!$A:$C,3,FALSE()),"PENDENTE")</f>
        <v/>
      </c>
      <c r="K177" s="8">
        <f>IFERROR(IF(J177="PENDENTE",0,J177*H177),0)</f>
        <v/>
      </c>
      <c r="L177" s="8" t="n">
        <v>9.9</v>
      </c>
      <c r="M177" s="20">
        <f>IFERROR(K177/L177,0)</f>
        <v/>
      </c>
      <c r="N177" s="7" t="n"/>
    </row>
    <row r="178" ht="15" customHeight="1">
      <c r="A178" s="11" t="inlineStr">
        <is>
          <t>Guarnições</t>
        </is>
      </c>
      <c r="B178" s="12" t="inlineStr">
        <is>
          <t>Guarnições</t>
        </is>
      </c>
      <c r="C178" s="13" t="inlineStr">
        <is>
          <t>Feijão</t>
        </is>
      </c>
      <c r="D178" s="2">
        <f>IF(ISERROR(VLOOKUP(E178,'Estrutura Protheus'!A:A,1,FALSE)),"Não","Sim")</f>
        <v/>
      </c>
      <c r="E178" s="5" t="inlineStr">
        <is>
          <t>002209</t>
        </is>
      </c>
      <c r="F178" s="5" t="inlineStr">
        <is>
          <t>000475</t>
        </is>
      </c>
      <c r="G178" s="3" t="inlineStr">
        <is>
          <t>Folha de Louro</t>
        </is>
      </c>
      <c r="H178" s="14" t="n">
        <v>0.001</v>
      </c>
      <c r="I178" s="5" t="inlineStr">
        <is>
          <t>KG</t>
        </is>
      </c>
      <c r="J178" s="4">
        <f>IFERROR(VLOOKUP(F178,'Base Insumos'!$A:$C,3,FALSE()),"PENDENTE")</f>
        <v/>
      </c>
      <c r="K178" s="4">
        <f>IFERROR(IF(J178="PENDENTE",0,J178*H178),0)</f>
        <v/>
      </c>
      <c r="L178" s="4" t="n">
        <v>9.9</v>
      </c>
      <c r="M178" s="15">
        <f>IFERROR(K178/L178,0)</f>
        <v/>
      </c>
      <c r="N178" s="3" t="n"/>
    </row>
    <row r="179" ht="15" customHeight="1">
      <c r="A179" s="16" t="inlineStr">
        <is>
          <t>Guarnições</t>
        </is>
      </c>
      <c r="B179" s="17" t="inlineStr">
        <is>
          <t>Guarnições</t>
        </is>
      </c>
      <c r="C179" s="18" t="inlineStr">
        <is>
          <t>Feijão</t>
        </is>
      </c>
      <c r="D179" s="6">
        <f>IF(ISERROR(VLOOKUP(E179,'Estrutura Protheus'!A:A,1,FALSE)),"Não","Sim")</f>
        <v/>
      </c>
      <c r="E179" s="9" t="inlineStr">
        <is>
          <t>002209</t>
        </is>
      </c>
      <c r="F179" s="9" t="inlineStr">
        <is>
          <t>000463</t>
        </is>
      </c>
      <c r="G179" s="7" t="inlineStr">
        <is>
          <t>Alho Descascado</t>
        </is>
      </c>
      <c r="H179" s="19" t="n">
        <v>0.003</v>
      </c>
      <c r="I179" s="9" t="inlineStr">
        <is>
          <t>KG</t>
        </is>
      </c>
      <c r="J179" s="8">
        <f>IFERROR(VLOOKUP(F179,'Base Insumos'!$A:$C,3,FALSE()),"PENDENTE")</f>
        <v/>
      </c>
      <c r="K179" s="8">
        <f>IFERROR(IF(J179="PENDENTE",0,J179*H179),0)</f>
        <v/>
      </c>
      <c r="L179" s="8" t="n">
        <v>9.9</v>
      </c>
      <c r="M179" s="20">
        <f>IFERROR(K179/L179,0)</f>
        <v/>
      </c>
      <c r="N179" s="7" t="n"/>
    </row>
    <row r="180" ht="15" customHeight="1">
      <c r="A180" s="11" t="inlineStr">
        <is>
          <t>Guarnições</t>
        </is>
      </c>
      <c r="B180" s="12" t="inlineStr">
        <is>
          <t>Guarnições</t>
        </is>
      </c>
      <c r="C180" s="13" t="inlineStr">
        <is>
          <t>Feijão</t>
        </is>
      </c>
      <c r="D180" s="2">
        <f>IF(ISERROR(VLOOKUP(E180,'Estrutura Protheus'!A:A,1,FALSE)),"Não","Sim")</f>
        <v/>
      </c>
      <c r="E180" s="5" t="inlineStr">
        <is>
          <t>002209</t>
        </is>
      </c>
      <c r="F180" s="5" t="inlineStr">
        <is>
          <t>000468</t>
        </is>
      </c>
      <c r="G180" s="3" t="inlineStr">
        <is>
          <t>Cebola Media</t>
        </is>
      </c>
      <c r="H180" s="14" t="n">
        <v>0.001</v>
      </c>
      <c r="I180" s="5" t="inlineStr">
        <is>
          <t>KG</t>
        </is>
      </c>
      <c r="J180" s="4">
        <f>IFERROR(VLOOKUP(F180,'Base Insumos'!$A:$C,3,FALSE()),"PENDENTE")</f>
        <v/>
      </c>
      <c r="K180" s="4">
        <f>IFERROR(IF(J180="PENDENTE",0,J180*H180),0)</f>
        <v/>
      </c>
      <c r="L180" s="4" t="n">
        <v>9.9</v>
      </c>
      <c r="M180" s="15">
        <f>IFERROR(K180/L180,0)</f>
        <v/>
      </c>
      <c r="N180" s="3" t="n"/>
    </row>
    <row r="181" ht="15" customHeight="1">
      <c r="A181" s="16" t="inlineStr">
        <is>
          <t>Guarnições</t>
        </is>
      </c>
      <c r="B181" s="17" t="inlineStr">
        <is>
          <t>Guarnições</t>
        </is>
      </c>
      <c r="C181" s="18" t="inlineStr">
        <is>
          <t>Feijão</t>
        </is>
      </c>
      <c r="D181" s="6">
        <f>IF(ISERROR(VLOOKUP(E181,'Estrutura Protheus'!A:A,1,FALSE)),"Não","Sim")</f>
        <v/>
      </c>
      <c r="E181" s="9" t="inlineStr">
        <is>
          <t>002209</t>
        </is>
      </c>
      <c r="F181" s="9" t="inlineStr">
        <is>
          <t>000412</t>
        </is>
      </c>
      <c r="G181" s="7" t="inlineStr">
        <is>
          <t>Oleo de Soja Liza 900ml</t>
        </is>
      </c>
      <c r="H181" s="19" t="n">
        <v>0.003</v>
      </c>
      <c r="I181" s="9" t="inlineStr">
        <is>
          <t>LT</t>
        </is>
      </c>
      <c r="J181" s="8">
        <f>IFERROR(VLOOKUP(F181,'Base Insumos'!$A:$C,3,FALSE()),"PENDENTE")</f>
        <v/>
      </c>
      <c r="K181" s="8">
        <f>IFERROR(IF(J181="PENDENTE",0,J181*H181),0)</f>
        <v/>
      </c>
      <c r="L181" s="8" t="n">
        <v>9.9</v>
      </c>
      <c r="M181" s="20">
        <f>IFERROR(K181/L181,0)</f>
        <v/>
      </c>
      <c r="N181" s="7" t="n"/>
    </row>
    <row r="182" ht="15" customHeight="1">
      <c r="A182" s="11" t="inlineStr">
        <is>
          <t>Guarnições</t>
        </is>
      </c>
      <c r="B182" s="12" t="inlineStr">
        <is>
          <t>Guarnições</t>
        </is>
      </c>
      <c r="C182" s="13" t="inlineStr">
        <is>
          <t>Purê de Abóbora</t>
        </is>
      </c>
      <c r="D182" s="2">
        <f>IF(ISERROR(VLOOKUP(E182,'Estrutura Protheus'!A:A,1,FALSE)),"Não","Sim")</f>
        <v/>
      </c>
      <c r="E182" s="5" t="inlineStr">
        <is>
          <t>002246</t>
        </is>
      </c>
      <c r="F182" s="5" t="inlineStr">
        <is>
          <t>000624</t>
        </is>
      </c>
      <c r="G182" s="3" t="inlineStr">
        <is>
          <t>Abobora Japonesa</t>
        </is>
      </c>
      <c r="H182" s="14" t="n">
        <v>0.2</v>
      </c>
      <c r="I182" s="5" t="inlineStr">
        <is>
          <t>KG</t>
        </is>
      </c>
      <c r="J182" s="4">
        <f>IFERROR(VLOOKUP(F182,'Base Insumos'!$A:$C,3,FALSE()),"PENDENTE")</f>
        <v/>
      </c>
      <c r="K182" s="4">
        <f>IFERROR(IF(J182="PENDENTE",0,J182*H182),0)</f>
        <v/>
      </c>
      <c r="L182" s="4" t="n">
        <v>9.99</v>
      </c>
      <c r="M182" s="15">
        <f>IFERROR(K182/L182,0)</f>
        <v/>
      </c>
      <c r="N182" s="3" t="n"/>
    </row>
    <row r="183" ht="15" customHeight="1">
      <c r="A183" s="16" t="inlineStr">
        <is>
          <t>Guarnições</t>
        </is>
      </c>
      <c r="B183" s="17" t="inlineStr">
        <is>
          <t>Guarnições</t>
        </is>
      </c>
      <c r="C183" s="18" t="inlineStr">
        <is>
          <t>Purê de Abóbora</t>
        </is>
      </c>
      <c r="D183" s="6">
        <f>IF(ISERROR(VLOOKUP(E183,'Estrutura Protheus'!A:A,1,FALSE)),"Não","Sim")</f>
        <v/>
      </c>
      <c r="E183" s="9" t="inlineStr">
        <is>
          <t>002246</t>
        </is>
      </c>
      <c r="F183" s="9" t="inlineStr">
        <is>
          <t>002068</t>
        </is>
      </c>
      <c r="G183" s="7" t="inlineStr">
        <is>
          <t>Manteiga S/sal 5kg</t>
        </is>
      </c>
      <c r="H183" s="19" t="n">
        <v>0.01</v>
      </c>
      <c r="I183" s="9" t="inlineStr">
        <is>
          <t>KG</t>
        </is>
      </c>
      <c r="J183" s="8">
        <f>IFERROR(VLOOKUP(F183,'Base Insumos'!$A:$C,3,FALSE()),"PENDENTE")</f>
        <v/>
      </c>
      <c r="K183" s="8">
        <f>IFERROR(IF(J183="PENDENTE",0,J183*H183),0)</f>
        <v/>
      </c>
      <c r="L183" s="8" t="n">
        <v>9.99</v>
      </c>
      <c r="M183" s="20">
        <f>IFERROR(K183/L183,0)</f>
        <v/>
      </c>
      <c r="N183" s="7" t="n"/>
    </row>
    <row r="184" ht="15" customHeight="1">
      <c r="A184" s="11" t="inlineStr">
        <is>
          <t>Guarnições</t>
        </is>
      </c>
      <c r="B184" s="12" t="inlineStr">
        <is>
          <t>Guarnições</t>
        </is>
      </c>
      <c r="C184" s="13" t="inlineStr">
        <is>
          <t>Purê de Abóbora</t>
        </is>
      </c>
      <c r="D184" s="2">
        <f>IF(ISERROR(VLOOKUP(E184,'Estrutura Protheus'!A:A,1,FALSE)),"Não","Sim")</f>
        <v/>
      </c>
      <c r="E184" s="5" t="inlineStr">
        <is>
          <t>002246</t>
        </is>
      </c>
      <c r="F184" s="5" t="inlineStr">
        <is>
          <t>001994</t>
        </is>
      </c>
      <c r="G184" s="3" t="inlineStr">
        <is>
          <t>Creme de Leite Fresco</t>
        </is>
      </c>
      <c r="H184" s="14" t="n">
        <v>0.01</v>
      </c>
      <c r="I184" s="5" t="inlineStr">
        <is>
          <t>LT</t>
        </is>
      </c>
      <c r="J184" s="4">
        <f>IFERROR(VLOOKUP(F184,'Base Insumos'!$A:$C,3,FALSE()),"PENDENTE")</f>
        <v/>
      </c>
      <c r="K184" s="4">
        <f>IFERROR(IF(J184="PENDENTE",0,J184*H184),0)</f>
        <v/>
      </c>
      <c r="L184" s="4" t="n">
        <v>9.99</v>
      </c>
      <c r="M184" s="15">
        <f>IFERROR(K184/L184,0)</f>
        <v/>
      </c>
      <c r="N184" s="3" t="n"/>
    </row>
    <row r="185" ht="15" customHeight="1">
      <c r="A185" s="16" t="inlineStr">
        <is>
          <t>Guarnições</t>
        </is>
      </c>
      <c r="B185" s="17" t="inlineStr">
        <is>
          <t>Guarnições</t>
        </is>
      </c>
      <c r="C185" s="18" t="inlineStr">
        <is>
          <t>Purê de Abóbora</t>
        </is>
      </c>
      <c r="D185" s="6">
        <f>IF(ISERROR(VLOOKUP(E185,'Estrutura Protheus'!A:A,1,FALSE)),"Não","Sim")</f>
        <v/>
      </c>
      <c r="E185" s="9" t="inlineStr">
        <is>
          <t>002246</t>
        </is>
      </c>
      <c r="F185" s="9" t="inlineStr">
        <is>
          <t>000463</t>
        </is>
      </c>
      <c r="G185" s="7" t="inlineStr">
        <is>
          <t>Alho Descascado</t>
        </is>
      </c>
      <c r="H185" s="19" t="n">
        <v>0.002</v>
      </c>
      <c r="I185" s="9" t="inlineStr">
        <is>
          <t>KG</t>
        </is>
      </c>
      <c r="J185" s="8">
        <f>IFERROR(VLOOKUP(F185,'Base Insumos'!$A:$C,3,FALSE()),"PENDENTE")</f>
        <v/>
      </c>
      <c r="K185" s="8">
        <f>IFERROR(IF(J185="PENDENTE",0,J185*H185),0)</f>
        <v/>
      </c>
      <c r="L185" s="8" t="n">
        <v>9.99</v>
      </c>
      <c r="M185" s="20">
        <f>IFERROR(K185/L185,0)</f>
        <v/>
      </c>
      <c r="N185" s="7" t="n"/>
    </row>
    <row r="186" ht="15" customHeight="1">
      <c r="A186" s="11" t="inlineStr">
        <is>
          <t>Guarnições</t>
        </is>
      </c>
      <c r="B186" s="12" t="inlineStr">
        <is>
          <t>Guarnições</t>
        </is>
      </c>
      <c r="C186" s="13" t="inlineStr">
        <is>
          <t>Purê de Abóbora</t>
        </is>
      </c>
      <c r="D186" s="2">
        <f>IF(ISERROR(VLOOKUP(E186,'Estrutura Protheus'!A:A,1,FALSE)),"Não","Sim")</f>
        <v/>
      </c>
      <c r="E186" s="5" t="inlineStr">
        <is>
          <t>002246</t>
        </is>
      </c>
      <c r="F186" s="5" t="inlineStr">
        <is>
          <t>000668</t>
        </is>
      </c>
      <c r="G186" s="3" t="inlineStr">
        <is>
          <t>Alecrim</t>
        </is>
      </c>
      <c r="H186" s="14" t="n">
        <v>0.001</v>
      </c>
      <c r="I186" s="5" t="inlineStr">
        <is>
          <t>KG</t>
        </is>
      </c>
      <c r="J186" s="4">
        <f>IFERROR(VLOOKUP(F186,'Base Insumos'!$A:$C,3,FALSE()),"PENDENTE")</f>
        <v/>
      </c>
      <c r="K186" s="4">
        <f>IFERROR(IF(J186="PENDENTE",0,J186*H186),0)</f>
        <v/>
      </c>
      <c r="L186" s="4" t="n">
        <v>9.99</v>
      </c>
      <c r="M186" s="15">
        <f>IFERROR(K186/L186,0)</f>
        <v/>
      </c>
      <c r="N186" s="3" t="n"/>
    </row>
    <row r="187" ht="15" customHeight="1">
      <c r="A187" s="16" t="inlineStr">
        <is>
          <t>Guarnições</t>
        </is>
      </c>
      <c r="B187" s="17" t="inlineStr">
        <is>
          <t>Guarnições</t>
        </is>
      </c>
      <c r="C187" s="18" t="inlineStr">
        <is>
          <t>Purê de Abóbora</t>
        </is>
      </c>
      <c r="D187" s="6">
        <f>IF(ISERROR(VLOOKUP(E187,'Estrutura Protheus'!A:A,1,FALSE)),"Não","Sim")</f>
        <v/>
      </c>
      <c r="E187" s="9" t="inlineStr">
        <is>
          <t>002246</t>
        </is>
      </c>
      <c r="F187" s="9" t="inlineStr">
        <is>
          <t>000614</t>
        </is>
      </c>
      <c r="G187" s="7" t="inlineStr">
        <is>
          <t>Sal Refinado</t>
        </is>
      </c>
      <c r="H187" s="19" t="n">
        <v>0.002</v>
      </c>
      <c r="I187" s="9" t="inlineStr">
        <is>
          <t>KG</t>
        </is>
      </c>
      <c r="J187" s="8">
        <f>IFERROR(VLOOKUP(F187,'Base Insumos'!$A:$C,3,FALSE()),"PENDENTE")</f>
        <v/>
      </c>
      <c r="K187" s="8">
        <f>IFERROR(IF(J187="PENDENTE",0,J187*H187),0)</f>
        <v/>
      </c>
      <c r="L187" s="8" t="n">
        <v>9.99</v>
      </c>
      <c r="M187" s="20">
        <f>IFERROR(K187/L187,0)</f>
        <v/>
      </c>
      <c r="N187" s="7" t="n"/>
    </row>
    <row r="188" ht="15" customHeight="1">
      <c r="A188" s="11" t="inlineStr">
        <is>
          <t>Guarnições</t>
        </is>
      </c>
      <c r="B188" s="12" t="inlineStr">
        <is>
          <t>Guarnições</t>
        </is>
      </c>
      <c r="C188" s="13" t="inlineStr">
        <is>
          <t>Purê de Abóbora</t>
        </is>
      </c>
      <c r="D188" s="2">
        <f>IF(ISERROR(VLOOKUP(E188,'Estrutura Protheus'!A:A,1,FALSE)),"Não","Sim")</f>
        <v/>
      </c>
      <c r="E188" s="5" t="inlineStr">
        <is>
          <t>002246</t>
        </is>
      </c>
      <c r="F188" s="5" t="inlineStr">
        <is>
          <t>000414</t>
        </is>
      </c>
      <c r="G188" s="3" t="inlineStr">
        <is>
          <t>Pimenta do Reino Moida</t>
        </is>
      </c>
      <c r="H188" s="14" t="n">
        <v>0.001</v>
      </c>
      <c r="I188" s="5" t="inlineStr">
        <is>
          <t>KG</t>
        </is>
      </c>
      <c r="J188" s="4">
        <f>IFERROR(VLOOKUP(F188,'Base Insumos'!$A:$C,3,FALSE()),"PENDENTE")</f>
        <v/>
      </c>
      <c r="K188" s="4">
        <f>IFERROR(IF(J188="PENDENTE",0,J188*H188),0)</f>
        <v/>
      </c>
      <c r="L188" s="4" t="n">
        <v>9.99</v>
      </c>
      <c r="M188" s="15">
        <f>IFERROR(K188/L188,0)</f>
        <v/>
      </c>
      <c r="N188" s="3" t="n"/>
    </row>
    <row r="189" ht="15" customHeight="1">
      <c r="A189" s="16" t="inlineStr">
        <is>
          <t>Guarnições</t>
        </is>
      </c>
      <c r="B189" s="17" t="inlineStr">
        <is>
          <t>Guarnições</t>
        </is>
      </c>
      <c r="C189" s="18" t="inlineStr">
        <is>
          <t>Purê de Batata</t>
        </is>
      </c>
      <c r="D189" s="6">
        <f>IF(ISERROR(VLOOKUP(E189,'Estrutura Protheus'!A:A,1,FALSE)),"Não","Sim")</f>
        <v/>
      </c>
      <c r="E189" s="9" t="inlineStr">
        <is>
          <t>002213</t>
        </is>
      </c>
      <c r="F189" s="9" t="inlineStr">
        <is>
          <t>000465</t>
        </is>
      </c>
      <c r="G189" s="7" t="inlineStr">
        <is>
          <t>Batata Holandesa</t>
        </is>
      </c>
      <c r="H189" s="19" t="n">
        <v>0.2</v>
      </c>
      <c r="I189" s="9" t="inlineStr">
        <is>
          <t>KG</t>
        </is>
      </c>
      <c r="J189" s="8">
        <f>IFERROR(VLOOKUP(F189,'Base Insumos'!$A:$C,3,FALSE()),"PENDENTE")</f>
        <v/>
      </c>
      <c r="K189" s="8">
        <f>IFERROR(IF(J189="PENDENTE",0,J189*H189),0)</f>
        <v/>
      </c>
      <c r="L189" s="8" t="n">
        <v>9.99</v>
      </c>
      <c r="M189" s="20">
        <f>IFERROR(K189/L189,0)</f>
        <v/>
      </c>
      <c r="N189" s="7" t="n"/>
    </row>
    <row r="190" ht="15" customHeight="1">
      <c r="A190" s="11" t="inlineStr">
        <is>
          <t>Guarnições</t>
        </is>
      </c>
      <c r="B190" s="12" t="inlineStr">
        <is>
          <t>Guarnições</t>
        </is>
      </c>
      <c r="C190" s="13" t="inlineStr">
        <is>
          <t>Purê de Batata</t>
        </is>
      </c>
      <c r="D190" s="2">
        <f>IF(ISERROR(VLOOKUP(E190,'Estrutura Protheus'!A:A,1,FALSE)),"Não","Sim")</f>
        <v/>
      </c>
      <c r="E190" s="5" t="inlineStr">
        <is>
          <t>002213</t>
        </is>
      </c>
      <c r="F190" s="5" t="inlineStr">
        <is>
          <t>002068</t>
        </is>
      </c>
      <c r="G190" s="3" t="inlineStr">
        <is>
          <t>Manteiga S/sal 5kg</t>
        </is>
      </c>
      <c r="H190" s="14" t="n">
        <v>0.01</v>
      </c>
      <c r="I190" s="5" t="inlineStr">
        <is>
          <t>KG</t>
        </is>
      </c>
      <c r="J190" s="4">
        <f>IFERROR(VLOOKUP(F190,'Base Insumos'!$A:$C,3,FALSE()),"PENDENTE")</f>
        <v/>
      </c>
      <c r="K190" s="4">
        <f>IFERROR(IF(J190="PENDENTE",0,J190*H190),0)</f>
        <v/>
      </c>
      <c r="L190" s="4" t="n">
        <v>9.99</v>
      </c>
      <c r="M190" s="15">
        <f>IFERROR(K190/L190,0)</f>
        <v/>
      </c>
      <c r="N190" s="3" t="n"/>
    </row>
    <row r="191" ht="15" customHeight="1">
      <c r="A191" s="16" t="inlineStr">
        <is>
          <t>Guarnições</t>
        </is>
      </c>
      <c r="B191" s="17" t="inlineStr">
        <is>
          <t>Guarnições</t>
        </is>
      </c>
      <c r="C191" s="18" t="inlineStr">
        <is>
          <t>Purê de Batata</t>
        </is>
      </c>
      <c r="D191" s="6">
        <f>IF(ISERROR(VLOOKUP(E191,'Estrutura Protheus'!A:A,1,FALSE)),"Não","Sim")</f>
        <v/>
      </c>
      <c r="E191" s="9" t="inlineStr">
        <is>
          <t>002213</t>
        </is>
      </c>
      <c r="F191" s="9" t="inlineStr">
        <is>
          <t>001994</t>
        </is>
      </c>
      <c r="G191" s="7" t="inlineStr">
        <is>
          <t>Creme de Leite Fresco</t>
        </is>
      </c>
      <c r="H191" s="19" t="n">
        <v>0.01</v>
      </c>
      <c r="I191" s="9" t="inlineStr">
        <is>
          <t>LT</t>
        </is>
      </c>
      <c r="J191" s="8">
        <f>IFERROR(VLOOKUP(F191,'Base Insumos'!$A:$C,3,FALSE()),"PENDENTE")</f>
        <v/>
      </c>
      <c r="K191" s="8">
        <f>IFERROR(IF(J191="PENDENTE",0,J191*H191),0)</f>
        <v/>
      </c>
      <c r="L191" s="8" t="n">
        <v>9.99</v>
      </c>
      <c r="M191" s="20">
        <f>IFERROR(K191/L191,0)</f>
        <v/>
      </c>
      <c r="N191" s="7" t="n"/>
    </row>
    <row r="192" ht="15" customHeight="1">
      <c r="A192" s="11" t="inlineStr">
        <is>
          <t>Guarnições</t>
        </is>
      </c>
      <c r="B192" s="12" t="inlineStr">
        <is>
          <t>Guarnições</t>
        </is>
      </c>
      <c r="C192" s="13" t="inlineStr">
        <is>
          <t>Purê de Batata</t>
        </is>
      </c>
      <c r="D192" s="2">
        <f>IF(ISERROR(VLOOKUP(E192,'Estrutura Protheus'!A:A,1,FALSE)),"Não","Sim")</f>
        <v/>
      </c>
      <c r="E192" s="5" t="inlineStr">
        <is>
          <t>002213</t>
        </is>
      </c>
      <c r="F192" s="5" t="inlineStr">
        <is>
          <t>000614</t>
        </is>
      </c>
      <c r="G192" s="3" t="inlineStr">
        <is>
          <t>Sal Refinado</t>
        </is>
      </c>
      <c r="H192" s="14" t="n">
        <v>0.002</v>
      </c>
      <c r="I192" s="5" t="inlineStr">
        <is>
          <t>KG</t>
        </is>
      </c>
      <c r="J192" s="4">
        <f>IFERROR(VLOOKUP(F192,'Base Insumos'!$A:$C,3,FALSE()),"PENDENTE")</f>
        <v/>
      </c>
      <c r="K192" s="4">
        <f>IFERROR(IF(J192="PENDENTE",0,J192*H192),0)</f>
        <v/>
      </c>
      <c r="L192" s="4" t="n">
        <v>9.99</v>
      </c>
      <c r="M192" s="15">
        <f>IFERROR(K192/L192,0)</f>
        <v/>
      </c>
      <c r="N192" s="3" t="n"/>
    </row>
    <row r="193" ht="15" customHeight="1">
      <c r="A193" s="16" t="inlineStr">
        <is>
          <t>Guarnições</t>
        </is>
      </c>
      <c r="B193" s="17" t="inlineStr">
        <is>
          <t>Guarnições</t>
        </is>
      </c>
      <c r="C193" s="18" t="inlineStr">
        <is>
          <t>Porção de Pastéis</t>
        </is>
      </c>
      <c r="D193" s="6">
        <f>IF(ISERROR(VLOOKUP(E193,'Estrutura Protheus'!A:A,1,FALSE)),"Não","Sim")</f>
        <v/>
      </c>
      <c r="E193" s="9" t="inlineStr">
        <is>
          <t>001069</t>
        </is>
      </c>
      <c r="F193" s="9" t="inlineStr">
        <is>
          <t>001050</t>
        </is>
      </c>
      <c r="G193" s="7" t="inlineStr">
        <is>
          <t>Mini Pastel de Carne</t>
        </is>
      </c>
      <c r="H193" s="19" t="n">
        <v>3</v>
      </c>
      <c r="I193" s="9" t="inlineStr">
        <is>
          <t>UN</t>
        </is>
      </c>
      <c r="J193" s="8">
        <f>IFERROR(VLOOKUP(F193,'Base Insumos'!$A:$C,3,FALSE()),"PENDENTE")</f>
        <v/>
      </c>
      <c r="K193" s="8">
        <f>IFERROR(IF(J193="PENDENTE",0,J193*H193),0)</f>
        <v/>
      </c>
      <c r="L193" s="8" t="n">
        <v>17.99</v>
      </c>
      <c r="M193" s="20">
        <f>IFERROR(K193/L193,0)</f>
        <v/>
      </c>
      <c r="N193" s="7" t="n"/>
    </row>
    <row r="194" ht="15" customHeight="1">
      <c r="A194" s="11" t="inlineStr">
        <is>
          <t>Guarnições</t>
        </is>
      </c>
      <c r="B194" s="12" t="inlineStr">
        <is>
          <t>Guarnições</t>
        </is>
      </c>
      <c r="C194" s="13" t="inlineStr">
        <is>
          <t>Porção de Pastéis</t>
        </is>
      </c>
      <c r="D194" s="2">
        <f>IF(ISERROR(VLOOKUP(E194,'Estrutura Protheus'!A:A,1,FALSE)),"Não","Sim")</f>
        <v/>
      </c>
      <c r="E194" s="5" t="inlineStr">
        <is>
          <t>001069</t>
        </is>
      </c>
      <c r="F194" s="5" t="inlineStr">
        <is>
          <t>001051</t>
        </is>
      </c>
      <c r="G194" s="3" t="inlineStr">
        <is>
          <t>Mini Pastel de Queijo</t>
        </is>
      </c>
      <c r="H194" s="14" t="n">
        <v>2</v>
      </c>
      <c r="I194" s="5" t="inlineStr">
        <is>
          <t>UN</t>
        </is>
      </c>
      <c r="J194" s="4">
        <f>IFERROR(VLOOKUP(F194,'Base Insumos'!$A:$C,3,FALSE()),"PENDENTE")</f>
        <v/>
      </c>
      <c r="K194" s="4">
        <f>IFERROR(IF(J194="PENDENTE",0,J194*H194),0)</f>
        <v/>
      </c>
      <c r="L194" s="4" t="n">
        <v>17.99</v>
      </c>
      <c r="M194" s="15">
        <f>IFERROR(K194/L194,0)</f>
        <v/>
      </c>
      <c r="N194" s="3" t="n"/>
    </row>
    <row r="195" ht="15" customHeight="1">
      <c r="A195" s="16" t="inlineStr">
        <is>
          <t>Drinks</t>
        </is>
      </c>
      <c r="B195" s="17" t="inlineStr">
        <is>
          <t>Drinks</t>
        </is>
      </c>
      <c r="C195" s="18" t="inlineStr">
        <is>
          <t>Aperol Spritz</t>
        </is>
      </c>
      <c r="D195" s="6">
        <f>IF(ISERROR(VLOOKUP(E195,'Estrutura Protheus'!A:A,1,FALSE)),"Não","Sim")</f>
        <v/>
      </c>
      <c r="E195" s="9" t="inlineStr">
        <is>
          <t>001029</t>
        </is>
      </c>
      <c r="F195" s="9" t="inlineStr">
        <is>
          <t>000337</t>
        </is>
      </c>
      <c r="G195" s="7" t="inlineStr">
        <is>
          <t>Aperitivo Aperol 750ml</t>
        </is>
      </c>
      <c r="H195" s="19" t="n">
        <v>0.05</v>
      </c>
      <c r="I195" s="9" t="inlineStr">
        <is>
          <t>LT</t>
        </is>
      </c>
      <c r="J195" s="8">
        <f>IFERROR(VLOOKUP(F195,'Base Insumos'!$A:$C,3,FALSE()),"PENDENTE")</f>
        <v/>
      </c>
      <c r="K195" s="8">
        <f>IFERROR(IF(J195="PENDENTE",0,J195*H195),0)</f>
        <v/>
      </c>
      <c r="L195" s="8" t="n">
        <v>39.99</v>
      </c>
      <c r="M195" s="20">
        <f>IFERROR(K195/L195,0)</f>
        <v/>
      </c>
      <c r="N195" s="7" t="n"/>
    </row>
    <row r="196" ht="15" customHeight="1">
      <c r="A196" s="11" t="inlineStr">
        <is>
          <t>Drinks</t>
        </is>
      </c>
      <c r="B196" s="12" t="inlineStr">
        <is>
          <t>Drinks</t>
        </is>
      </c>
      <c r="C196" s="13" t="inlineStr">
        <is>
          <t>Aperol Spritz</t>
        </is>
      </c>
      <c r="D196" s="2">
        <f>IF(ISERROR(VLOOKUP(E196,'Estrutura Protheus'!A:A,1,FALSE)),"Não","Sim")</f>
        <v/>
      </c>
      <c r="E196" s="5" t="inlineStr">
        <is>
          <t>001029</t>
        </is>
      </c>
      <c r="F196" s="5" t="inlineStr">
        <is>
          <t>0001222</t>
        </is>
      </c>
      <c r="G196" s="3" t="inlineStr">
        <is>
          <t>Espumante Salton Brut 750ml</t>
        </is>
      </c>
      <c r="H196" s="14" t="n">
        <v>0.12</v>
      </c>
      <c r="I196" s="5" t="inlineStr">
        <is>
          <t>LT</t>
        </is>
      </c>
      <c r="J196" s="4">
        <f>IFERROR(VLOOKUP(F196,'Base Insumos'!$A:$C,3,FALSE()),"PENDENTE")</f>
        <v/>
      </c>
      <c r="K196" s="4">
        <f>IFERROR(IF(J196="PENDENTE",0,J196*H196),0)</f>
        <v/>
      </c>
      <c r="L196" s="4" t="n">
        <v>39.99</v>
      </c>
      <c r="M196" s="15">
        <f>IFERROR(K196/L196,0)</f>
        <v/>
      </c>
      <c r="N196" s="3" t="n"/>
    </row>
    <row r="197" ht="15" customHeight="1">
      <c r="A197" s="16" t="inlineStr">
        <is>
          <t>Drinks</t>
        </is>
      </c>
      <c r="B197" s="17" t="inlineStr">
        <is>
          <t>Drinks</t>
        </is>
      </c>
      <c r="C197" s="18" t="inlineStr">
        <is>
          <t>Aperol Spritz</t>
        </is>
      </c>
      <c r="D197" s="6">
        <f>IF(ISERROR(VLOOKUP(E197,'Estrutura Protheus'!A:A,1,FALSE)),"Não","Sim")</f>
        <v/>
      </c>
      <c r="E197" s="9" t="inlineStr">
        <is>
          <t>001029</t>
        </is>
      </c>
      <c r="F197" s="9" t="inlineStr">
        <is>
          <t>000334</t>
        </is>
      </c>
      <c r="G197" s="7" t="inlineStr">
        <is>
          <t>Agua c/ Gas</t>
        </is>
      </c>
      <c r="H197" s="19" t="n">
        <v>1</v>
      </c>
      <c r="I197" s="9" t="inlineStr">
        <is>
          <t>UN</t>
        </is>
      </c>
      <c r="J197" s="8">
        <f>IFERROR(VLOOKUP(F197,'Base Insumos'!$A:$C,3,FALSE()),"PENDENTE")</f>
        <v/>
      </c>
      <c r="K197" s="8">
        <f>IFERROR(IF(J197="PENDENTE",0,J197*H197),0)</f>
        <v/>
      </c>
      <c r="L197" s="8" t="n">
        <v>39.99</v>
      </c>
      <c r="M197" s="20">
        <f>IFERROR(K197/L197,0)</f>
        <v/>
      </c>
      <c r="N197" s="7" t="n"/>
    </row>
    <row r="198" ht="15" customHeight="1">
      <c r="A198" s="11" t="inlineStr">
        <is>
          <t>Drinks</t>
        </is>
      </c>
      <c r="B198" s="12" t="inlineStr">
        <is>
          <t>Drinks</t>
        </is>
      </c>
      <c r="C198" s="13" t="inlineStr">
        <is>
          <t>Aperol Spritz</t>
        </is>
      </c>
      <c r="D198" s="2">
        <f>IF(ISERROR(VLOOKUP(E198,'Estrutura Protheus'!A:A,1,FALSE)),"Não","Sim")</f>
        <v/>
      </c>
      <c r="E198" s="5" t="inlineStr">
        <is>
          <t>001029</t>
        </is>
      </c>
      <c r="F198" s="5" t="inlineStr">
        <is>
          <t>000619</t>
        </is>
      </c>
      <c r="G198" s="3" t="inlineStr">
        <is>
          <t>Limao Siciliano</t>
        </is>
      </c>
      <c r="H198" s="14" t="n">
        <v>0.05</v>
      </c>
      <c r="I198" s="5" t="inlineStr">
        <is>
          <t>KG</t>
        </is>
      </c>
      <c r="J198" s="4">
        <f>IFERROR(VLOOKUP(F198,'Base Insumos'!$A:$C,3,FALSE()),"PENDENTE")</f>
        <v/>
      </c>
      <c r="K198" s="4">
        <f>IFERROR(IF(J198="PENDENTE",0,J198*H198),0)</f>
        <v/>
      </c>
      <c r="L198" s="4" t="n">
        <v>39.99</v>
      </c>
      <c r="M198" s="15">
        <f>IFERROR(K198/L198,0)</f>
        <v/>
      </c>
      <c r="N198" s="3" t="n"/>
    </row>
    <row r="199" ht="15" customHeight="1">
      <c r="A199" s="16" t="inlineStr">
        <is>
          <t>Drinks</t>
        </is>
      </c>
      <c r="B199" s="17" t="inlineStr">
        <is>
          <t>Drinks</t>
        </is>
      </c>
      <c r="C199" s="18" t="inlineStr">
        <is>
          <t>Basil Smash</t>
        </is>
      </c>
      <c r="D199" s="6">
        <f>IF(ISERROR(VLOOKUP(E199,'Estrutura Protheus'!A:A,1,FALSE)),"Não","Sim")</f>
        <v/>
      </c>
      <c r="E199" s="9" t="inlineStr">
        <is>
          <t>001958</t>
        </is>
      </c>
      <c r="F199" s="9" t="inlineStr">
        <is>
          <t>009820</t>
        </is>
      </c>
      <c r="G199" s="7" t="inlineStr">
        <is>
          <t>Gin Bacco Premium Bag 5lt</t>
        </is>
      </c>
      <c r="H199" s="19" t="n">
        <v>0.05</v>
      </c>
      <c r="I199" s="9" t="inlineStr">
        <is>
          <t>LT</t>
        </is>
      </c>
      <c r="J199" s="8">
        <f>IFERROR(VLOOKUP(F199,'Base Insumos'!$A:$C,3,FALSE()),"PENDENTE")</f>
        <v/>
      </c>
      <c r="K199" s="8">
        <f>IFERROR(IF(J199="PENDENTE",0,J199*H199),0)</f>
        <v/>
      </c>
      <c r="L199" s="8" t="n">
        <v>39.99</v>
      </c>
      <c r="M199" s="20">
        <f>IFERROR(K199/L199,0)</f>
        <v/>
      </c>
      <c r="N199" s="7" t="n"/>
    </row>
    <row r="200" ht="15" customHeight="1">
      <c r="A200" s="11" t="inlineStr">
        <is>
          <t>Drinks</t>
        </is>
      </c>
      <c r="B200" s="12" t="inlineStr">
        <is>
          <t>Drinks</t>
        </is>
      </c>
      <c r="C200" s="13" t="inlineStr">
        <is>
          <t>Basil Smash</t>
        </is>
      </c>
      <c r="D200" s="2">
        <f>IF(ISERROR(VLOOKUP(E200,'Estrutura Protheus'!A:A,1,FALSE)),"Não","Sim")</f>
        <v/>
      </c>
      <c r="E200" s="5" t="inlineStr">
        <is>
          <t>001958</t>
        </is>
      </c>
      <c r="F200" s="5" t="inlineStr">
        <is>
          <t>000492</t>
        </is>
      </c>
      <c r="G200" s="3" t="inlineStr">
        <is>
          <t>Limao Taiti Fruta</t>
        </is>
      </c>
      <c r="H200" s="14" t="n">
        <v>0.1</v>
      </c>
      <c r="I200" s="5" t="inlineStr">
        <is>
          <t>KG</t>
        </is>
      </c>
      <c r="J200" s="4">
        <f>IFERROR(VLOOKUP(F200,'Base Insumos'!$A:$C,3,FALSE()),"PENDENTE")</f>
        <v/>
      </c>
      <c r="K200" s="4">
        <f>IFERROR(IF(J200="PENDENTE",0,J200*H200),0)</f>
        <v/>
      </c>
      <c r="L200" s="4" t="n">
        <v>39.99</v>
      </c>
      <c r="M200" s="15">
        <f>IFERROR(K200/L200,0)</f>
        <v/>
      </c>
      <c r="N200" s="3" t="n"/>
    </row>
    <row r="201" ht="15" customHeight="1">
      <c r="A201" s="16" t="inlineStr">
        <is>
          <t>Drinks</t>
        </is>
      </c>
      <c r="B201" s="17" t="inlineStr">
        <is>
          <t>Drinks</t>
        </is>
      </c>
      <c r="C201" s="18" t="inlineStr">
        <is>
          <t>Basil Smash</t>
        </is>
      </c>
      <c r="D201" s="6">
        <f>IF(ISERROR(VLOOKUP(E201,'Estrutura Protheus'!A:A,1,FALSE)),"Não","Sim")</f>
        <v/>
      </c>
      <c r="E201" s="9" t="inlineStr">
        <is>
          <t>001958</t>
        </is>
      </c>
      <c r="F201" s="9" t="inlineStr">
        <is>
          <t>000374</t>
        </is>
      </c>
      <c r="G201" s="7" t="inlineStr">
        <is>
          <t>Acucar Refinado Uniao</t>
        </is>
      </c>
      <c r="H201" s="19" t="n">
        <v>0.025</v>
      </c>
      <c r="I201" s="9" t="inlineStr">
        <is>
          <t>KG</t>
        </is>
      </c>
      <c r="J201" s="8">
        <f>IFERROR(VLOOKUP(F201,'Base Insumos'!$A:$C,3,FALSE()),"PENDENTE")</f>
        <v/>
      </c>
      <c r="K201" s="8">
        <f>IFERROR(IF(J201="PENDENTE",0,J201*H201),0)</f>
        <v/>
      </c>
      <c r="L201" s="8" t="n">
        <v>39.99</v>
      </c>
      <c r="M201" s="20">
        <f>IFERROR(K201/L201,0)</f>
        <v/>
      </c>
      <c r="N201" s="7" t="n"/>
    </row>
    <row r="202" ht="15" customHeight="1">
      <c r="A202" s="11" t="inlineStr">
        <is>
          <t>Drinks</t>
        </is>
      </c>
      <c r="B202" s="12" t="inlineStr">
        <is>
          <t>Drinks</t>
        </is>
      </c>
      <c r="C202" s="13" t="inlineStr">
        <is>
          <t>Basil Smash</t>
        </is>
      </c>
      <c r="D202" s="2">
        <f>IF(ISERROR(VLOOKUP(E202,'Estrutura Protheus'!A:A,1,FALSE)),"Não","Sim")</f>
        <v/>
      </c>
      <c r="E202" s="5" t="inlineStr">
        <is>
          <t>001958</t>
        </is>
      </c>
      <c r="F202" s="5" t="inlineStr">
        <is>
          <t>000477</t>
        </is>
      </c>
      <c r="G202" s="3" t="inlineStr">
        <is>
          <t>Manjericao</t>
        </is>
      </c>
      <c r="H202" s="14" t="n">
        <v>0.015</v>
      </c>
      <c r="I202" s="5" t="inlineStr">
        <is>
          <t>KG</t>
        </is>
      </c>
      <c r="J202" s="4">
        <f>IFERROR(VLOOKUP(F202,'Base Insumos'!$A:$C,3,FALSE()),"PENDENTE")</f>
        <v/>
      </c>
      <c r="K202" s="4">
        <f>IFERROR(IF(J202="PENDENTE",0,J202*H202),0)</f>
        <v/>
      </c>
      <c r="L202" s="4" t="n">
        <v>39.99</v>
      </c>
      <c r="M202" s="15">
        <f>IFERROR(K202/L202,0)</f>
        <v/>
      </c>
      <c r="N202" s="3" t="n"/>
    </row>
    <row r="203" ht="15" customHeight="1">
      <c r="A203" s="16" t="inlineStr">
        <is>
          <t>Drinks</t>
        </is>
      </c>
      <c r="B203" s="17" t="inlineStr">
        <is>
          <t>Drinks</t>
        </is>
      </c>
      <c r="C203" s="18" t="inlineStr">
        <is>
          <t>Boulevardier</t>
        </is>
      </c>
      <c r="D203" s="6">
        <f>IF(ISERROR(VLOOKUP(E203,'Estrutura Protheus'!A:A,1,FALSE)),"Não","Sim")</f>
        <v/>
      </c>
      <c r="E203" s="9" t="inlineStr">
        <is>
          <t>001954</t>
        </is>
      </c>
      <c r="F203" s="9" t="inlineStr">
        <is>
          <t>001924</t>
        </is>
      </c>
      <c r="G203" s="7" t="inlineStr">
        <is>
          <t>Coquetel Boulevardier 750 Ml Aptk</t>
        </is>
      </c>
      <c r="H203" s="19" t="n">
        <v>0.09</v>
      </c>
      <c r="I203" s="9" t="inlineStr">
        <is>
          <t>LT</t>
        </is>
      </c>
      <c r="J203" s="8">
        <f>IFERROR(VLOOKUP(F203,'Base Insumos'!$A:$C,3,FALSE()),"PENDENTE")</f>
        <v/>
      </c>
      <c r="K203" s="8">
        <f>IFERROR(IF(J203="PENDENTE",0,J203*H203),0)</f>
        <v/>
      </c>
      <c r="L203" s="8" t="n">
        <v>38.99</v>
      </c>
      <c r="M203" s="20">
        <f>IFERROR(K203/L203,0)</f>
        <v/>
      </c>
      <c r="N203" s="7" t="n"/>
    </row>
    <row r="204" ht="15" customHeight="1">
      <c r="A204" s="11" t="inlineStr">
        <is>
          <t>Drinks</t>
        </is>
      </c>
      <c r="B204" s="12" t="inlineStr">
        <is>
          <t>Drinks</t>
        </is>
      </c>
      <c r="C204" s="13" t="inlineStr">
        <is>
          <t>Boulevardier</t>
        </is>
      </c>
      <c r="D204" s="2">
        <f>IF(ISERROR(VLOOKUP(E204,'Estrutura Protheus'!A:A,1,FALSE)),"Não","Sim")</f>
        <v/>
      </c>
      <c r="E204" s="5" t="inlineStr">
        <is>
          <t>001954</t>
        </is>
      </c>
      <c r="F204" s="5" t="inlineStr">
        <is>
          <t>000490</t>
        </is>
      </c>
      <c r="G204" s="3" t="inlineStr">
        <is>
          <t>Laranja Pera Fruta</t>
        </is>
      </c>
      <c r="H204" s="14" t="n">
        <v>0.025</v>
      </c>
      <c r="I204" s="5" t="inlineStr">
        <is>
          <t>KG</t>
        </is>
      </c>
      <c r="J204" s="4">
        <f>IFERROR(VLOOKUP(F204,'Base Insumos'!$A:$C,3,FALSE()),"PENDENTE")</f>
        <v/>
      </c>
      <c r="K204" s="4">
        <f>IFERROR(IF(J204="PENDENTE",0,J204*H204),0)</f>
        <v/>
      </c>
      <c r="L204" s="4" t="n">
        <v>38.99</v>
      </c>
      <c r="M204" s="15">
        <f>IFERROR(K204/L204,0)</f>
        <v/>
      </c>
      <c r="N204" s="3" t="n"/>
    </row>
    <row r="205" ht="15" customHeight="1">
      <c r="A205" s="16" t="inlineStr">
        <is>
          <t>Drinks</t>
        </is>
      </c>
      <c r="B205" s="17" t="inlineStr">
        <is>
          <t>Drinks</t>
        </is>
      </c>
      <c r="C205" s="18" t="inlineStr">
        <is>
          <t>Caipirinha Abacaxi com Hortelã</t>
        </is>
      </c>
      <c r="D205" s="6">
        <f>IF(ISERROR(VLOOKUP(E205,'Estrutura Protheus'!A:A,1,FALSE)),"Não","Sim")</f>
        <v/>
      </c>
      <c r="E205" s="9" t="inlineStr">
        <is>
          <t>001961</t>
        </is>
      </c>
      <c r="F205" s="9" t="inlineStr">
        <is>
          <t>000361</t>
        </is>
      </c>
      <c r="G205" s="7" t="inlineStr">
        <is>
          <t>Pinga 51 965ml</t>
        </is>
      </c>
      <c r="H205" s="19" t="n">
        <v>0.05</v>
      </c>
      <c r="I205" s="9" t="inlineStr">
        <is>
          <t>LT</t>
        </is>
      </c>
      <c r="J205" s="8">
        <f>IFERROR(VLOOKUP(F205,'Base Insumos'!$A:$C,3,FALSE()),"PENDENTE")</f>
        <v/>
      </c>
      <c r="K205" s="8">
        <f>IFERROR(IF(J205="PENDENTE",0,J205*H205),0)</f>
        <v/>
      </c>
      <c r="L205" s="8" t="n">
        <v>36</v>
      </c>
      <c r="M205" s="20">
        <f>IFERROR(K205/L205,0)</f>
        <v/>
      </c>
      <c r="N205" s="7" t="n"/>
    </row>
    <row r="206" ht="15" customHeight="1">
      <c r="A206" s="11" t="inlineStr">
        <is>
          <t>Drinks</t>
        </is>
      </c>
      <c r="B206" s="12" t="inlineStr">
        <is>
          <t>Drinks</t>
        </is>
      </c>
      <c r="C206" s="13" t="inlineStr">
        <is>
          <t>Caipirinha Abacaxi com Hortelã</t>
        </is>
      </c>
      <c r="D206" s="2">
        <f>IF(ISERROR(VLOOKUP(E206,'Estrutura Protheus'!A:A,1,FALSE)),"Não","Sim")</f>
        <v/>
      </c>
      <c r="E206" s="5" t="inlineStr">
        <is>
          <t>001961</t>
        </is>
      </c>
      <c r="F206" s="5" t="inlineStr">
        <is>
          <t>001916</t>
        </is>
      </c>
      <c r="G206" s="3" t="inlineStr">
        <is>
          <t>Xarope Monin Menta Verde 700 Ml</t>
        </is>
      </c>
      <c r="H206" s="14" t="n">
        <v>0.05</v>
      </c>
      <c r="I206" s="5" t="inlineStr">
        <is>
          <t>LT</t>
        </is>
      </c>
      <c r="J206" s="4">
        <f>IFERROR(VLOOKUP(F206,'Base Insumos'!$A:$C,3,FALSE()),"PENDENTE")</f>
        <v/>
      </c>
      <c r="K206" s="4">
        <f>IFERROR(IF(J206="PENDENTE",0,J206*H206),0)</f>
        <v/>
      </c>
      <c r="L206" s="4" t="n">
        <v>36</v>
      </c>
      <c r="M206" s="15">
        <f>IFERROR(K206/L206,0)</f>
        <v/>
      </c>
      <c r="N206" s="3" t="n"/>
    </row>
    <row r="207" ht="15" customHeight="1">
      <c r="A207" s="16" t="inlineStr">
        <is>
          <t>Drinks</t>
        </is>
      </c>
      <c r="B207" s="17" t="inlineStr">
        <is>
          <t>Drinks</t>
        </is>
      </c>
      <c r="C207" s="18" t="inlineStr">
        <is>
          <t>Caipirinha Abacaxi com Hortelã</t>
        </is>
      </c>
      <c r="D207" s="6">
        <f>IF(ISERROR(VLOOKUP(E207,'Estrutura Protheus'!A:A,1,FALSE)),"Não","Sim")</f>
        <v/>
      </c>
      <c r="E207" s="9" t="inlineStr">
        <is>
          <t>001961</t>
        </is>
      </c>
      <c r="F207" s="9" t="inlineStr">
        <is>
          <t>000487</t>
        </is>
      </c>
      <c r="G207" s="7" t="inlineStr">
        <is>
          <t>Abacaxi Perola Fruta</t>
        </is>
      </c>
      <c r="H207" s="19" t="n">
        <v>0.04</v>
      </c>
      <c r="I207" s="9" t="inlineStr">
        <is>
          <t>KG</t>
        </is>
      </c>
      <c r="J207" s="8">
        <f>IFERROR(VLOOKUP(F207,'Base Insumos'!$A:$C,3,FALSE()),"PENDENTE")</f>
        <v/>
      </c>
      <c r="K207" s="8">
        <f>IFERROR(IF(J207="PENDENTE",0,J207*H207),0)</f>
        <v/>
      </c>
      <c r="L207" s="8" t="n">
        <v>36</v>
      </c>
      <c r="M207" s="20">
        <f>IFERROR(K207/L207,0)</f>
        <v/>
      </c>
      <c r="N207" s="7" t="n"/>
    </row>
    <row r="208" ht="15" customHeight="1">
      <c r="A208" s="11" t="inlineStr">
        <is>
          <t>Drinks</t>
        </is>
      </c>
      <c r="B208" s="12" t="inlineStr">
        <is>
          <t>Drinks</t>
        </is>
      </c>
      <c r="C208" s="13" t="inlineStr">
        <is>
          <t>Caipirinha Abacaxi com Hortelã</t>
        </is>
      </c>
      <c r="D208" s="2">
        <f>IF(ISERROR(VLOOKUP(E208,'Estrutura Protheus'!A:A,1,FALSE)),"Não","Sim")</f>
        <v/>
      </c>
      <c r="E208" s="5" t="inlineStr">
        <is>
          <t>001961</t>
        </is>
      </c>
      <c r="F208" s="5" t="inlineStr">
        <is>
          <t>000474</t>
        </is>
      </c>
      <c r="G208" s="3" t="inlineStr">
        <is>
          <t>Hortela Grande</t>
        </is>
      </c>
      <c r="H208" s="14" t="n">
        <v>0.006</v>
      </c>
      <c r="I208" s="5" t="inlineStr">
        <is>
          <t>KG</t>
        </is>
      </c>
      <c r="J208" s="4">
        <f>IFERROR(VLOOKUP(F208,'Base Insumos'!$A:$C,3,FALSE()),"PENDENTE")</f>
        <v/>
      </c>
      <c r="K208" s="4">
        <f>IFERROR(IF(J208="PENDENTE",0,J208*H208),0)</f>
        <v/>
      </c>
      <c r="L208" s="4" t="n">
        <v>36</v>
      </c>
      <c r="M208" s="15">
        <f>IFERROR(K208/L208,0)</f>
        <v/>
      </c>
      <c r="N208" s="3" t="n"/>
    </row>
    <row r="209" ht="15" customHeight="1">
      <c r="A209" s="16" t="inlineStr">
        <is>
          <t>Drinks</t>
        </is>
      </c>
      <c r="B209" s="17" t="inlineStr">
        <is>
          <t>Drinks</t>
        </is>
      </c>
      <c r="C209" s="18" t="inlineStr">
        <is>
          <t>Caipirinha Kiwi com Maça Verde</t>
        </is>
      </c>
      <c r="D209" s="6">
        <f>IF(ISERROR(VLOOKUP(E209,'Estrutura Protheus'!A:A,1,FALSE)),"Não","Sim")</f>
        <v/>
      </c>
      <c r="E209" s="9" t="inlineStr">
        <is>
          <t>001963</t>
        </is>
      </c>
      <c r="F209" s="9" t="inlineStr">
        <is>
          <t>000361</t>
        </is>
      </c>
      <c r="G209" s="7" t="inlineStr">
        <is>
          <t>Pinga 51 965ml</t>
        </is>
      </c>
      <c r="H209" s="19" t="n">
        <v>0.05</v>
      </c>
      <c r="I209" s="9" t="inlineStr">
        <is>
          <t>LT</t>
        </is>
      </c>
      <c r="J209" s="8">
        <f>IFERROR(VLOOKUP(F209,'Base Insumos'!$A:$C,3,FALSE()),"PENDENTE")</f>
        <v/>
      </c>
      <c r="K209" s="8">
        <f>IFERROR(IF(J209="PENDENTE",0,J209*H209),0)</f>
        <v/>
      </c>
      <c r="L209" s="8" t="n">
        <v>36</v>
      </c>
      <c r="M209" s="20">
        <f>IFERROR(K209/L209,0)</f>
        <v/>
      </c>
      <c r="N209" s="7" t="n"/>
    </row>
    <row r="210" ht="15" customHeight="1">
      <c r="A210" s="11" t="inlineStr">
        <is>
          <t>Drinks</t>
        </is>
      </c>
      <c r="B210" s="12" t="inlineStr">
        <is>
          <t>Drinks</t>
        </is>
      </c>
      <c r="C210" s="13" t="inlineStr">
        <is>
          <t>Caipirinha Kiwi com Maça Verde</t>
        </is>
      </c>
      <c r="D210" s="2">
        <f>IF(ISERROR(VLOOKUP(E210,'Estrutura Protheus'!A:A,1,FALSE)),"Não","Sim")</f>
        <v/>
      </c>
      <c r="E210" s="5" t="inlineStr">
        <is>
          <t>001963</t>
        </is>
      </c>
      <c r="F210" s="5" t="inlineStr">
        <is>
          <t>009827</t>
        </is>
      </c>
      <c r="G210" s="3" t="inlineStr">
        <is>
          <t>Xarope Maca Verde 3lt</t>
        </is>
      </c>
      <c r="H210" s="14" t="n">
        <v>0.025</v>
      </c>
      <c r="I210" s="5" t="inlineStr">
        <is>
          <t>LT</t>
        </is>
      </c>
      <c r="J210" s="4">
        <f>IFERROR(VLOOKUP(F210,'Base Insumos'!$A:$C,3,FALSE()),"PENDENTE")</f>
        <v/>
      </c>
      <c r="K210" s="4">
        <f>IFERROR(IF(J210="PENDENTE",0,J210*H210),0)</f>
        <v/>
      </c>
      <c r="L210" s="4" t="n">
        <v>36</v>
      </c>
      <c r="M210" s="15">
        <f>IFERROR(K210/L210,0)</f>
        <v/>
      </c>
      <c r="N210" s="3" t="n"/>
    </row>
    <row r="211" ht="15" customHeight="1">
      <c r="A211" s="16" t="inlineStr">
        <is>
          <t>Drinks</t>
        </is>
      </c>
      <c r="B211" s="17" t="inlineStr">
        <is>
          <t>Drinks</t>
        </is>
      </c>
      <c r="C211" s="18" t="inlineStr">
        <is>
          <t>Caipirinha Kiwi com Maça Verde</t>
        </is>
      </c>
      <c r="D211" s="6">
        <f>IF(ISERROR(VLOOKUP(E211,'Estrutura Protheus'!A:A,1,FALSE)),"Não","Sim")</f>
        <v/>
      </c>
      <c r="E211" s="9" t="inlineStr">
        <is>
          <t>001963</t>
        </is>
      </c>
      <c r="F211" s="9" t="inlineStr">
        <is>
          <t>001978</t>
        </is>
      </c>
      <c r="G211" s="7" t="inlineStr">
        <is>
          <t>Kiwi Fruta</t>
        </is>
      </c>
      <c r="H211" s="19" t="n">
        <v>0.1</v>
      </c>
      <c r="I211" s="9" t="inlineStr">
        <is>
          <t>KG</t>
        </is>
      </c>
      <c r="J211" s="8">
        <f>IFERROR(VLOOKUP(F211,'Base Insumos'!$A:$C,3,FALSE()),"PENDENTE")</f>
        <v/>
      </c>
      <c r="K211" s="8">
        <f>IFERROR(IF(J211="PENDENTE",0,J211*H211),0)</f>
        <v/>
      </c>
      <c r="L211" s="8" t="n">
        <v>36</v>
      </c>
      <c r="M211" s="20">
        <f>IFERROR(K211/L211,0)</f>
        <v/>
      </c>
      <c r="N211" s="7" t="n"/>
    </row>
    <row r="212" ht="15" customHeight="1">
      <c r="A212" s="11" t="inlineStr">
        <is>
          <t>Drinks</t>
        </is>
      </c>
      <c r="B212" s="12" t="inlineStr">
        <is>
          <t>Drinks</t>
        </is>
      </c>
      <c r="C212" s="13" t="inlineStr">
        <is>
          <t>Caipirinha Maracujá com Gengibre</t>
        </is>
      </c>
      <c r="D212" s="2">
        <f>IF(ISERROR(VLOOKUP(E212,'Estrutura Protheus'!A:A,1,FALSE)),"Não","Sim")</f>
        <v/>
      </c>
      <c r="E212" s="5" t="inlineStr">
        <is>
          <t>001960</t>
        </is>
      </c>
      <c r="F212" s="5" t="inlineStr">
        <is>
          <t>000361</t>
        </is>
      </c>
      <c r="G212" s="3" t="inlineStr">
        <is>
          <t>Pinga 51 965ml</t>
        </is>
      </c>
      <c r="H212" s="14" t="n">
        <v>0.05</v>
      </c>
      <c r="I212" s="5" t="inlineStr">
        <is>
          <t>LT</t>
        </is>
      </c>
      <c r="J212" s="4">
        <f>IFERROR(VLOOKUP(F212,'Base Insumos'!$A:$C,3,FALSE()),"PENDENTE")</f>
        <v/>
      </c>
      <c r="K212" s="4">
        <f>IFERROR(IF(J212="PENDENTE",0,J212*H212),0)</f>
        <v/>
      </c>
      <c r="L212" s="4" t="n">
        <v>36</v>
      </c>
      <c r="M212" s="15">
        <f>IFERROR(K212/L212,0)</f>
        <v/>
      </c>
      <c r="N212" s="3" t="n"/>
    </row>
    <row r="213" ht="15" customHeight="1">
      <c r="A213" s="16" t="inlineStr">
        <is>
          <t>Drinks</t>
        </is>
      </c>
      <c r="B213" s="17" t="inlineStr">
        <is>
          <t>Drinks</t>
        </is>
      </c>
      <c r="C213" s="18" t="inlineStr">
        <is>
          <t>Caipirinha Maracujá com Gengibre</t>
        </is>
      </c>
      <c r="D213" s="6">
        <f>IF(ISERROR(VLOOKUP(E213,'Estrutura Protheus'!A:A,1,FALSE)),"Não","Sim")</f>
        <v/>
      </c>
      <c r="E213" s="9" t="inlineStr">
        <is>
          <t>001960</t>
        </is>
      </c>
      <c r="F213" s="9" t="inlineStr">
        <is>
          <t>000457</t>
        </is>
      </c>
      <c r="G213" s="7" t="inlineStr">
        <is>
          <t>Polpa Maracuja</t>
        </is>
      </c>
      <c r="H213" s="19" t="n">
        <v>0.025</v>
      </c>
      <c r="I213" s="9" t="inlineStr">
        <is>
          <t>KG</t>
        </is>
      </c>
      <c r="J213" s="8">
        <f>IFERROR(VLOOKUP(F213,'Base Insumos'!$A:$C,3,FALSE()),"PENDENTE")</f>
        <v/>
      </c>
      <c r="K213" s="8">
        <f>IFERROR(IF(J213="PENDENTE",0,J213*H213),0)</f>
        <v/>
      </c>
      <c r="L213" s="8" t="n">
        <v>36</v>
      </c>
      <c r="M213" s="20">
        <f>IFERROR(K213/L213,0)</f>
        <v/>
      </c>
      <c r="N213" s="7" t="n"/>
    </row>
    <row r="214" ht="15" customHeight="1">
      <c r="A214" s="11" t="inlineStr">
        <is>
          <t>Drinks</t>
        </is>
      </c>
      <c r="B214" s="12" t="inlineStr">
        <is>
          <t>Drinks</t>
        </is>
      </c>
      <c r="C214" s="13" t="inlineStr">
        <is>
          <t>Caipirinha Maracujá com Gengibre</t>
        </is>
      </c>
      <c r="D214" s="2">
        <f>IF(ISERROR(VLOOKUP(E214,'Estrutura Protheus'!A:A,1,FALSE)),"Não","Sim")</f>
        <v/>
      </c>
      <c r="E214" s="5" t="inlineStr">
        <is>
          <t>001960</t>
        </is>
      </c>
      <c r="F214" s="5" t="inlineStr">
        <is>
          <t>009828</t>
        </is>
      </c>
      <c r="G214" s="3" t="inlineStr">
        <is>
          <t>Xarope Gengibre 3lt</t>
        </is>
      </c>
      <c r="H214" s="14" t="n">
        <v>0.025</v>
      </c>
      <c r="I214" s="5" t="inlineStr">
        <is>
          <t>LT</t>
        </is>
      </c>
      <c r="J214" s="4">
        <f>IFERROR(VLOOKUP(F214,'Base Insumos'!$A:$C,3,FALSE()),"PENDENTE")</f>
        <v/>
      </c>
      <c r="K214" s="4">
        <f>IFERROR(IF(J214="PENDENTE",0,J214*H214),0)</f>
        <v/>
      </c>
      <c r="L214" s="4" t="n">
        <v>36</v>
      </c>
      <c r="M214" s="15">
        <f>IFERROR(K214/L214,0)</f>
        <v/>
      </c>
      <c r="N214" s="3" t="n"/>
    </row>
    <row r="215" ht="15" customHeight="1">
      <c r="A215" s="16" t="inlineStr">
        <is>
          <t>Drinks</t>
        </is>
      </c>
      <c r="B215" s="17" t="inlineStr">
        <is>
          <t>Drinks</t>
        </is>
      </c>
      <c r="C215" s="18" t="inlineStr">
        <is>
          <t>Caipirinha Morango com Lichia</t>
        </is>
      </c>
      <c r="D215" s="6">
        <f>IF(ISERROR(VLOOKUP(E215,'Estrutura Protheus'!A:A,1,FALSE)),"Não","Sim")</f>
        <v/>
      </c>
      <c r="E215" s="9" t="inlineStr">
        <is>
          <t>002207</t>
        </is>
      </c>
      <c r="F215" s="9" t="inlineStr">
        <is>
          <t>000361</t>
        </is>
      </c>
      <c r="G215" s="7" t="inlineStr">
        <is>
          <t>Pinga 51 965ml</t>
        </is>
      </c>
      <c r="H215" s="19" t="n">
        <v>0.05</v>
      </c>
      <c r="I215" s="9" t="inlineStr">
        <is>
          <t>LT</t>
        </is>
      </c>
      <c r="J215" s="8">
        <f>IFERROR(VLOOKUP(F215,'Base Insumos'!$A:$C,3,FALSE()),"PENDENTE")</f>
        <v/>
      </c>
      <c r="K215" s="8">
        <f>IFERROR(IF(J215="PENDENTE",0,J215*H215),0)</f>
        <v/>
      </c>
      <c r="L215" s="8" t="n">
        <v>36</v>
      </c>
      <c r="M215" s="20">
        <f>IFERROR(K215/L215,0)</f>
        <v/>
      </c>
      <c r="N215" s="7" t="n"/>
    </row>
    <row r="216" ht="15" customHeight="1">
      <c r="A216" s="11" t="inlineStr">
        <is>
          <t>Drinks</t>
        </is>
      </c>
      <c r="B216" s="12" t="inlineStr">
        <is>
          <t>Drinks</t>
        </is>
      </c>
      <c r="C216" s="13" t="inlineStr">
        <is>
          <t>Caipirinha Morango com Lichia</t>
        </is>
      </c>
      <c r="D216" s="2">
        <f>IF(ISERROR(VLOOKUP(E216,'Estrutura Protheus'!A:A,1,FALSE)),"Não","Sim")</f>
        <v/>
      </c>
      <c r="E216" s="5" t="inlineStr">
        <is>
          <t>002207</t>
        </is>
      </c>
      <c r="F216" s="5" t="inlineStr">
        <is>
          <t>009826</t>
        </is>
      </c>
      <c r="G216" s="3" t="inlineStr">
        <is>
          <t>Xarope Morango 3lt</t>
        </is>
      </c>
      <c r="H216" s="14" t="n">
        <v>0.025</v>
      </c>
      <c r="I216" s="5" t="inlineStr">
        <is>
          <t>LT</t>
        </is>
      </c>
      <c r="J216" s="4">
        <f>IFERROR(VLOOKUP(F216,'Base Insumos'!$A:$C,3,FALSE()),"PENDENTE")</f>
        <v/>
      </c>
      <c r="K216" s="4">
        <f>IFERROR(IF(J216="PENDENTE",0,J216*H216),0)</f>
        <v/>
      </c>
      <c r="L216" s="4" t="n">
        <v>36</v>
      </c>
      <c r="M216" s="15">
        <f>IFERROR(K216/L216,0)</f>
        <v/>
      </c>
      <c r="N216" s="3" t="n"/>
    </row>
    <row r="217" ht="15" customHeight="1">
      <c r="A217" s="16" t="inlineStr">
        <is>
          <t>Drinks</t>
        </is>
      </c>
      <c r="B217" s="17" t="inlineStr">
        <is>
          <t>Drinks</t>
        </is>
      </c>
      <c r="C217" s="18" t="inlineStr">
        <is>
          <t>Caipirinha Morango com Lichia</t>
        </is>
      </c>
      <c r="D217" s="6">
        <f>IF(ISERROR(VLOOKUP(E217,'Estrutura Protheus'!A:A,1,FALSE)),"Não","Sim")</f>
        <v/>
      </c>
      <c r="E217" s="9" t="inlineStr">
        <is>
          <t>002207</t>
        </is>
      </c>
      <c r="F217" s="9" t="inlineStr">
        <is>
          <t>000590</t>
        </is>
      </c>
      <c r="G217" s="7" t="inlineStr">
        <is>
          <t>Morango Fruta</t>
        </is>
      </c>
      <c r="H217" s="19" t="n">
        <v>0.025</v>
      </c>
      <c r="I217" s="9" t="inlineStr">
        <is>
          <t>KG</t>
        </is>
      </c>
      <c r="J217" s="8">
        <f>IFERROR(VLOOKUP(F217,'Base Insumos'!$A:$C,3,FALSE()),"PENDENTE")</f>
        <v/>
      </c>
      <c r="K217" s="8">
        <f>IFERROR(IF(J217="PENDENTE",0,J217*H217),0)</f>
        <v/>
      </c>
      <c r="L217" s="8" t="n">
        <v>36</v>
      </c>
      <c r="M217" s="20">
        <f>IFERROR(K217/L217,0)</f>
        <v/>
      </c>
      <c r="N217" s="7" t="n"/>
    </row>
    <row r="218" ht="15" customHeight="1">
      <c r="A218" s="11" t="inlineStr">
        <is>
          <t>Drinks</t>
        </is>
      </c>
      <c r="B218" s="12" t="inlineStr">
        <is>
          <t>Drinks</t>
        </is>
      </c>
      <c r="C218" s="13" t="inlineStr">
        <is>
          <t>Caipirinha Morango com Lichia</t>
        </is>
      </c>
      <c r="D218" s="2">
        <f>IF(ISERROR(VLOOKUP(E218,'Estrutura Protheus'!A:A,1,FALSE)),"Não","Sim")</f>
        <v/>
      </c>
      <c r="E218" s="5" t="inlineStr">
        <is>
          <t>002207</t>
        </is>
      </c>
      <c r="F218" s="5" t="inlineStr">
        <is>
          <t>001976</t>
        </is>
      </c>
      <c r="G218" s="3" t="inlineStr">
        <is>
          <t>Lichia em Calda 250gr</t>
        </is>
      </c>
      <c r="H218" s="14" t="n">
        <v>0.003</v>
      </c>
      <c r="I218" s="5" t="inlineStr">
        <is>
          <t>KG</t>
        </is>
      </c>
      <c r="J218" s="4">
        <f>IFERROR(VLOOKUP(F218,'Base Insumos'!$A:$C,3,FALSE()),"PENDENTE")</f>
        <v/>
      </c>
      <c r="K218" s="4">
        <f>IFERROR(IF(J218="PENDENTE",0,J218*H218),0)</f>
        <v/>
      </c>
      <c r="L218" s="4" t="n">
        <v>36</v>
      </c>
      <c r="M218" s="15">
        <f>IFERROR(K218/L218,0)</f>
        <v/>
      </c>
      <c r="N218" s="3" t="n"/>
    </row>
    <row r="219" ht="15" customHeight="1">
      <c r="A219" s="16" t="inlineStr">
        <is>
          <t>Drinks</t>
        </is>
      </c>
      <c r="B219" s="17" t="inlineStr">
        <is>
          <t>Drinks</t>
        </is>
      </c>
      <c r="C219" s="18" t="inlineStr">
        <is>
          <t>Caju Amigo</t>
        </is>
      </c>
      <c r="D219" s="6">
        <f>IF(ISERROR(VLOOKUP(E219,'Estrutura Protheus'!A:A,1,FALSE)),"Não","Sim")</f>
        <v/>
      </c>
      <c r="E219" s="9" t="inlineStr">
        <is>
          <t>001952</t>
        </is>
      </c>
      <c r="F219" s="9" t="inlineStr">
        <is>
          <t>001923</t>
        </is>
      </c>
      <c r="G219" s="7" t="inlineStr">
        <is>
          <t>Caju Amigo 750 Ml Aptk</t>
        </is>
      </c>
      <c r="H219" s="19" t="n">
        <v>0.09</v>
      </c>
      <c r="I219" s="9" t="inlineStr">
        <is>
          <t>LT</t>
        </is>
      </c>
      <c r="J219" s="8">
        <f>IFERROR(VLOOKUP(F219,'Base Insumos'!$A:$C,3,FALSE()),"PENDENTE")</f>
        <v/>
      </c>
      <c r="K219" s="8">
        <f>IFERROR(IF(J219="PENDENTE",0,J219*H219),0)</f>
        <v/>
      </c>
      <c r="L219" s="8" t="n">
        <v>38.99</v>
      </c>
      <c r="M219" s="20">
        <f>IFERROR(K219/L219,0)</f>
        <v/>
      </c>
      <c r="N219" s="7" t="n"/>
    </row>
    <row r="220" ht="15" customHeight="1">
      <c r="A220" s="11" t="inlineStr">
        <is>
          <t>Drinks</t>
        </is>
      </c>
      <c r="B220" s="12" t="inlineStr">
        <is>
          <t>Drinks</t>
        </is>
      </c>
      <c r="C220" s="13" t="inlineStr">
        <is>
          <t>Caju Amigo</t>
        </is>
      </c>
      <c r="D220" s="2">
        <f>IF(ISERROR(VLOOKUP(E220,'Estrutura Protheus'!A:A,1,FALSE)),"Não","Sim")</f>
        <v/>
      </c>
      <c r="E220" s="5" t="inlineStr">
        <is>
          <t>001952</t>
        </is>
      </c>
      <c r="F220" s="5" t="inlineStr">
        <is>
          <t>000492</t>
        </is>
      </c>
      <c r="G220" s="3" t="inlineStr">
        <is>
          <t>Limao Taiti Fruta</t>
        </is>
      </c>
      <c r="H220" s="14" t="n">
        <v>0.025</v>
      </c>
      <c r="I220" s="5" t="inlineStr">
        <is>
          <t>KG</t>
        </is>
      </c>
      <c r="J220" s="4">
        <f>IFERROR(VLOOKUP(F220,'Base Insumos'!$A:$C,3,FALSE()),"PENDENTE")</f>
        <v/>
      </c>
      <c r="K220" s="4">
        <f>IFERROR(IF(J220="PENDENTE",0,J220*H220),0)</f>
        <v/>
      </c>
      <c r="L220" s="4" t="n">
        <v>38.99</v>
      </c>
      <c r="M220" s="15">
        <f>IFERROR(K220/L220,0)</f>
        <v/>
      </c>
      <c r="N220" s="3" t="n"/>
    </row>
    <row r="221" ht="15" customHeight="1">
      <c r="A221" s="16" t="inlineStr">
        <is>
          <t>Drinks</t>
        </is>
      </c>
      <c r="B221" s="17" t="inlineStr">
        <is>
          <t>Drinks</t>
        </is>
      </c>
      <c r="C221" s="18" t="inlineStr">
        <is>
          <t>Caju Amigo</t>
        </is>
      </c>
      <c r="D221" s="6">
        <f>IF(ISERROR(VLOOKUP(E221,'Estrutura Protheus'!A:A,1,FALSE)),"Não","Sim")</f>
        <v/>
      </c>
      <c r="E221" s="9" t="inlineStr">
        <is>
          <t>001952</t>
        </is>
      </c>
      <c r="F221" s="9" t="inlineStr">
        <is>
          <t>001979</t>
        </is>
      </c>
      <c r="G221" s="7" t="inlineStr">
        <is>
          <t>Pote Caju em Calda 250g</t>
        </is>
      </c>
      <c r="H221" s="19" t="n">
        <v>0.015</v>
      </c>
      <c r="I221" s="9" t="inlineStr">
        <is>
          <t>KG</t>
        </is>
      </c>
      <c r="J221" s="8">
        <f>IFERROR(VLOOKUP(F221,'Base Insumos'!$A:$C,3,FALSE()),"PENDENTE")</f>
        <v/>
      </c>
      <c r="K221" s="8">
        <f>IFERROR(IF(J221="PENDENTE",0,J221*H221),0)</f>
        <v/>
      </c>
      <c r="L221" s="8" t="n">
        <v>38.99</v>
      </c>
      <c r="M221" s="20">
        <f>IFERROR(K221/L221,0)</f>
        <v/>
      </c>
      <c r="N221" s="7" t="n"/>
    </row>
    <row r="222" ht="15" customHeight="1">
      <c r="A222" s="11" t="inlineStr">
        <is>
          <t>Drinks</t>
        </is>
      </c>
      <c r="B222" s="12" t="inlineStr">
        <is>
          <t>Drinks</t>
        </is>
      </c>
      <c r="C222" s="13" t="inlineStr">
        <is>
          <t>Canarinho</t>
        </is>
      </c>
      <c r="D222" s="2">
        <f>IF(ISERROR(VLOOKUP(E222,'Estrutura Protheus'!A:A,1,FALSE)),"Não","Sim")</f>
        <v/>
      </c>
      <c r="E222" s="5" t="inlineStr">
        <is>
          <t>001945</t>
        </is>
      </c>
      <c r="F222" s="5" t="inlineStr">
        <is>
          <t>009820</t>
        </is>
      </c>
      <c r="G222" s="3" t="inlineStr">
        <is>
          <t>Gin Bacco Premium Bag 5lt</t>
        </is>
      </c>
      <c r="H222" s="14" t="n">
        <v>0.05</v>
      </c>
      <c r="I222" s="5" t="inlineStr">
        <is>
          <t>LT</t>
        </is>
      </c>
      <c r="J222" s="4">
        <f>IFERROR(VLOOKUP(F222,'Base Insumos'!$A:$C,3,FALSE()),"PENDENTE")</f>
        <v/>
      </c>
      <c r="K222" s="4">
        <f>IFERROR(IF(J222="PENDENTE",0,J222*H222),0)</f>
        <v/>
      </c>
      <c r="L222" s="4" t="n">
        <v>37.99</v>
      </c>
      <c r="M222" s="15">
        <f>IFERROR(K222/L222,0)</f>
        <v/>
      </c>
      <c r="N222" s="3" t="n"/>
    </row>
    <row r="223" ht="15" customHeight="1">
      <c r="A223" s="16" t="inlineStr">
        <is>
          <t>Drinks</t>
        </is>
      </c>
      <c r="B223" s="17" t="inlineStr">
        <is>
          <t>Drinks</t>
        </is>
      </c>
      <c r="C223" s="18" t="inlineStr">
        <is>
          <t>Canarinho</t>
        </is>
      </c>
      <c r="D223" s="6">
        <f>IF(ISERROR(VLOOKUP(E223,'Estrutura Protheus'!A:A,1,FALSE)),"Não","Sim")</f>
        <v/>
      </c>
      <c r="E223" s="9" t="inlineStr">
        <is>
          <t>001945</t>
        </is>
      </c>
      <c r="F223" s="9" t="inlineStr">
        <is>
          <t>000457</t>
        </is>
      </c>
      <c r="G223" s="7" t="inlineStr">
        <is>
          <t>Polpa Maracuja</t>
        </is>
      </c>
      <c r="H223" s="19" t="n">
        <v>0.025</v>
      </c>
      <c r="I223" s="9" t="inlineStr">
        <is>
          <t>KG</t>
        </is>
      </c>
      <c r="J223" s="8">
        <f>IFERROR(VLOOKUP(F223,'Base Insumos'!$A:$C,3,FALSE()),"PENDENTE")</f>
        <v/>
      </c>
      <c r="K223" s="8">
        <f>IFERROR(IF(J223="PENDENTE",0,J223*H223),0)</f>
        <v/>
      </c>
      <c r="L223" s="8" t="n">
        <v>37.99</v>
      </c>
      <c r="M223" s="20">
        <f>IFERROR(K223/L223,0)</f>
        <v/>
      </c>
      <c r="N223" s="7" t="n"/>
    </row>
    <row r="224" ht="15" customHeight="1">
      <c r="A224" s="11" t="inlineStr">
        <is>
          <t>Drinks</t>
        </is>
      </c>
      <c r="B224" s="12" t="inlineStr">
        <is>
          <t>Drinks</t>
        </is>
      </c>
      <c r="C224" s="13" t="inlineStr">
        <is>
          <t>Canarinho</t>
        </is>
      </c>
      <c r="D224" s="2">
        <f>IF(ISERROR(VLOOKUP(E224,'Estrutura Protheus'!A:A,1,FALSE)),"Não","Sim")</f>
        <v/>
      </c>
      <c r="E224" s="5" t="inlineStr">
        <is>
          <t>001945</t>
        </is>
      </c>
      <c r="F224" s="5" t="inlineStr">
        <is>
          <t>001915</t>
        </is>
      </c>
      <c r="G224" s="3" t="inlineStr">
        <is>
          <t>Xarope Monin Maracuja 700 Ml</t>
        </is>
      </c>
      <c r="H224" s="14" t="n">
        <v>0.025</v>
      </c>
      <c r="I224" s="5" t="inlineStr">
        <is>
          <t>LT</t>
        </is>
      </c>
      <c r="J224" s="4">
        <f>IFERROR(VLOOKUP(F224,'Base Insumos'!$A:$C,3,FALSE()),"PENDENTE")</f>
        <v/>
      </c>
      <c r="K224" s="4">
        <f>IFERROR(IF(J224="PENDENTE",0,J224*H224),0)</f>
        <v/>
      </c>
      <c r="L224" s="4" t="n">
        <v>37.99</v>
      </c>
      <c r="M224" s="15">
        <f>IFERROR(K224/L224,0)</f>
        <v/>
      </c>
      <c r="N224" s="3" t="n"/>
    </row>
    <row r="225" ht="15" customHeight="1">
      <c r="A225" s="16" t="inlineStr">
        <is>
          <t>Drinks</t>
        </is>
      </c>
      <c r="B225" s="17" t="inlineStr">
        <is>
          <t>Drinks</t>
        </is>
      </c>
      <c r="C225" s="18" t="inlineStr">
        <is>
          <t>Canarinho</t>
        </is>
      </c>
      <c r="D225" s="6">
        <f>IF(ISERROR(VLOOKUP(E225,'Estrutura Protheus'!A:A,1,FALSE)),"Não","Sim")</f>
        <v/>
      </c>
      <c r="E225" s="9" t="inlineStr">
        <is>
          <t>001945</t>
        </is>
      </c>
      <c r="F225" s="9" t="inlineStr">
        <is>
          <t>000492</t>
        </is>
      </c>
      <c r="G225" s="7" t="inlineStr">
        <is>
          <t>Limao Taiti Fruta</t>
        </is>
      </c>
      <c r="H225" s="19" t="n">
        <v>0.1</v>
      </c>
      <c r="I225" s="9" t="inlineStr">
        <is>
          <t>KG</t>
        </is>
      </c>
      <c r="J225" s="8">
        <f>IFERROR(VLOOKUP(F225,'Base Insumos'!$A:$C,3,FALSE()),"PENDENTE")</f>
        <v/>
      </c>
      <c r="K225" s="8">
        <f>IFERROR(IF(J225="PENDENTE",0,J225*H225),0)</f>
        <v/>
      </c>
      <c r="L225" s="8" t="n">
        <v>37.99</v>
      </c>
      <c r="M225" s="20">
        <f>IFERROR(K225/L225,0)</f>
        <v/>
      </c>
      <c r="N225" s="7" t="n"/>
    </row>
    <row r="226" ht="15" customHeight="1">
      <c r="A226" s="11" t="inlineStr">
        <is>
          <t>Drinks</t>
        </is>
      </c>
      <c r="B226" s="12" t="inlineStr">
        <is>
          <t>Drinks</t>
        </is>
      </c>
      <c r="C226" s="13" t="inlineStr">
        <is>
          <t>Canarinho</t>
        </is>
      </c>
      <c r="D226" s="2">
        <f>IF(ISERROR(VLOOKUP(E226,'Estrutura Protheus'!A:A,1,FALSE)),"Não","Sim")</f>
        <v/>
      </c>
      <c r="E226" s="5" t="inlineStr">
        <is>
          <t>001945</t>
        </is>
      </c>
      <c r="F226" s="5" t="inlineStr">
        <is>
          <t>000380</t>
        </is>
      </c>
      <c r="G226" s="3" t="inlineStr">
        <is>
          <t>Agua de Coco 330ml</t>
        </is>
      </c>
      <c r="H226" s="14" t="n">
        <v>0.1</v>
      </c>
      <c r="I226" s="5" t="inlineStr">
        <is>
          <t>UN</t>
        </is>
      </c>
      <c r="J226" s="4">
        <f>IFERROR(VLOOKUP(F226,'Base Insumos'!$A:$C,3,FALSE()),"PENDENTE")</f>
        <v/>
      </c>
      <c r="K226" s="4">
        <f>IFERROR(IF(J226="PENDENTE",0,J226*H226),0)</f>
        <v/>
      </c>
      <c r="L226" s="4" t="n">
        <v>37.99</v>
      </c>
      <c r="M226" s="15">
        <f>IFERROR(K226/L226,0)</f>
        <v/>
      </c>
      <c r="N226" s="3" t="n"/>
    </row>
    <row r="227" ht="15" customHeight="1">
      <c r="A227" s="16" t="inlineStr">
        <is>
          <t>Drinks</t>
        </is>
      </c>
      <c r="B227" s="17" t="inlineStr">
        <is>
          <t>Drinks</t>
        </is>
      </c>
      <c r="C227" s="18" t="inlineStr">
        <is>
          <t>Caramelito Mule</t>
        </is>
      </c>
      <c r="D227" s="6">
        <f>IF(ISERROR(VLOOKUP(E227,'Estrutura Protheus'!A:A,1,FALSE)),"Não","Sim")</f>
        <v/>
      </c>
      <c r="E227" s="9" t="inlineStr">
        <is>
          <t>001501</t>
        </is>
      </c>
      <c r="F227" s="9" t="inlineStr">
        <is>
          <t>000206</t>
        </is>
      </c>
      <c r="G227" s="7" t="inlineStr">
        <is>
          <t>Licor 43 700ml</t>
        </is>
      </c>
      <c r="H227" s="19" t="n">
        <v>0.05</v>
      </c>
      <c r="I227" s="9" t="inlineStr">
        <is>
          <t>LT</t>
        </is>
      </c>
      <c r="J227" s="8">
        <f>IFERROR(VLOOKUP(F227,'Base Insumos'!$A:$C,3,FALSE()),"PENDENTE")</f>
        <v/>
      </c>
      <c r="K227" s="8">
        <f>IFERROR(IF(J227="PENDENTE",0,J227*H227),0)</f>
        <v/>
      </c>
      <c r="L227" s="8" t="n">
        <v>40.99</v>
      </c>
      <c r="M227" s="20">
        <f>IFERROR(K227/L227,0)</f>
        <v/>
      </c>
      <c r="N227" s="7" t="n"/>
    </row>
    <row r="228" ht="15" customHeight="1">
      <c r="A228" s="11" t="inlineStr">
        <is>
          <t>Drinks</t>
        </is>
      </c>
      <c r="B228" s="12" t="inlineStr">
        <is>
          <t>Drinks</t>
        </is>
      </c>
      <c r="C228" s="13" t="inlineStr">
        <is>
          <t>Caramelito Mule</t>
        </is>
      </c>
      <c r="D228" s="2">
        <f>IF(ISERROR(VLOOKUP(E228,'Estrutura Protheus'!A:A,1,FALSE)),"Não","Sim")</f>
        <v/>
      </c>
      <c r="E228" s="5" t="inlineStr">
        <is>
          <t>001501</t>
        </is>
      </c>
      <c r="F228" s="5" t="inlineStr">
        <is>
          <t>000400</t>
        </is>
      </c>
      <c r="G228" s="3" t="inlineStr">
        <is>
          <t>Mel Riomel</t>
        </is>
      </c>
      <c r="H228" s="14" t="n">
        <v>0.02</v>
      </c>
      <c r="I228" s="5" t="inlineStr">
        <is>
          <t>KG</t>
        </is>
      </c>
      <c r="J228" s="4">
        <f>IFERROR(VLOOKUP(F228,'Base Insumos'!$A:$C,3,FALSE()),"PENDENTE")</f>
        <v/>
      </c>
      <c r="K228" s="4">
        <f>IFERROR(IF(J228="PENDENTE",0,J228*H228),0)</f>
        <v/>
      </c>
      <c r="L228" s="4" t="n">
        <v>40.99</v>
      </c>
      <c r="M228" s="15">
        <f>IFERROR(K228/L228,0)</f>
        <v/>
      </c>
      <c r="N228" s="3" t="n"/>
    </row>
    <row r="229" ht="15" customHeight="1">
      <c r="A229" s="16" t="inlineStr">
        <is>
          <t>Drinks</t>
        </is>
      </c>
      <c r="B229" s="17" t="inlineStr">
        <is>
          <t>Drinks</t>
        </is>
      </c>
      <c r="C229" s="18" t="inlineStr">
        <is>
          <t>Caramelito Mule</t>
        </is>
      </c>
      <c r="D229" s="6">
        <f>IF(ISERROR(VLOOKUP(E229,'Estrutura Protheus'!A:A,1,FALSE)),"Não","Sim")</f>
        <v/>
      </c>
      <c r="E229" s="9" t="inlineStr">
        <is>
          <t>001501</t>
        </is>
      </c>
      <c r="F229" s="9" t="inlineStr">
        <is>
          <t>009828</t>
        </is>
      </c>
      <c r="G229" s="7" t="inlineStr">
        <is>
          <t>Xarope Gengibre 3lt</t>
        </is>
      </c>
      <c r="H229" s="19" t="n">
        <v>0.02</v>
      </c>
      <c r="I229" s="9" t="inlineStr">
        <is>
          <t>LT</t>
        </is>
      </c>
      <c r="J229" s="8">
        <f>IFERROR(VLOOKUP(F229,'Base Insumos'!$A:$C,3,FALSE()),"PENDENTE")</f>
        <v/>
      </c>
      <c r="K229" s="8">
        <f>IFERROR(IF(J229="PENDENTE",0,J229*H229),0)</f>
        <v/>
      </c>
      <c r="L229" s="8" t="n">
        <v>40.99</v>
      </c>
      <c r="M229" s="20">
        <f>IFERROR(K229/L229,0)</f>
        <v/>
      </c>
      <c r="N229" s="7" t="n"/>
    </row>
    <row r="230" ht="15" customHeight="1">
      <c r="A230" s="11" t="inlineStr">
        <is>
          <t>Drinks</t>
        </is>
      </c>
      <c r="B230" s="12" t="inlineStr">
        <is>
          <t>Drinks</t>
        </is>
      </c>
      <c r="C230" s="13" t="inlineStr">
        <is>
          <t>Caramelito Mule</t>
        </is>
      </c>
      <c r="D230" s="2">
        <f>IF(ISERROR(VLOOKUP(E230,'Estrutura Protheus'!A:A,1,FALSE)),"Não","Sim")</f>
        <v/>
      </c>
      <c r="E230" s="5" t="inlineStr">
        <is>
          <t>001501</t>
        </is>
      </c>
      <c r="F230" s="5" t="inlineStr">
        <is>
          <t>000492</t>
        </is>
      </c>
      <c r="G230" s="3" t="inlineStr">
        <is>
          <t>Limao Taiti Fruta</t>
        </is>
      </c>
      <c r="H230" s="14" t="n">
        <v>0.1</v>
      </c>
      <c r="I230" s="5" t="inlineStr">
        <is>
          <t>KG</t>
        </is>
      </c>
      <c r="J230" s="4">
        <f>IFERROR(VLOOKUP(F230,'Base Insumos'!$A:$C,3,FALSE()),"PENDENTE")</f>
        <v/>
      </c>
      <c r="K230" s="4">
        <f>IFERROR(IF(J230="PENDENTE",0,J230*H230),0)</f>
        <v/>
      </c>
      <c r="L230" s="4" t="n">
        <v>40.99</v>
      </c>
      <c r="M230" s="15">
        <f>IFERROR(K230/L230,0)</f>
        <v/>
      </c>
      <c r="N230" s="3" t="n"/>
    </row>
    <row r="231" ht="15" customHeight="1">
      <c r="A231" s="16" t="inlineStr">
        <is>
          <t>Drinks</t>
        </is>
      </c>
      <c r="B231" s="17" t="inlineStr">
        <is>
          <t>Drinks</t>
        </is>
      </c>
      <c r="C231" s="18" t="inlineStr">
        <is>
          <t>Caramelito Mule</t>
        </is>
      </c>
      <c r="D231" s="6">
        <f>IF(ISERROR(VLOOKUP(E231,'Estrutura Protheus'!A:A,1,FALSE)),"Não","Sim")</f>
        <v/>
      </c>
      <c r="E231" s="9" t="inlineStr">
        <is>
          <t>001501</t>
        </is>
      </c>
      <c r="F231" s="9" t="inlineStr">
        <is>
          <t>000334</t>
        </is>
      </c>
      <c r="G231" s="7" t="inlineStr">
        <is>
          <t>Agua c/ Gas</t>
        </is>
      </c>
      <c r="H231" s="19" t="n">
        <v>0.01</v>
      </c>
      <c r="I231" s="9" t="inlineStr">
        <is>
          <t>UN</t>
        </is>
      </c>
      <c r="J231" s="8">
        <f>IFERROR(VLOOKUP(F231,'Base Insumos'!$A:$C,3,FALSE()),"PENDENTE")</f>
        <v/>
      </c>
      <c r="K231" s="8">
        <f>IFERROR(IF(J231="PENDENTE",0,J231*H231),0)</f>
        <v/>
      </c>
      <c r="L231" s="8" t="n">
        <v>40.99</v>
      </c>
      <c r="M231" s="20">
        <f>IFERROR(K231/L231,0)</f>
        <v/>
      </c>
      <c r="N231" s="7" t="n"/>
    </row>
    <row r="232" ht="15" customHeight="1">
      <c r="A232" s="11" t="inlineStr">
        <is>
          <t>Drinks</t>
        </is>
      </c>
      <c r="B232" s="12" t="inlineStr">
        <is>
          <t>Drinks</t>
        </is>
      </c>
      <c r="C232" s="13" t="inlineStr">
        <is>
          <t>Clericot</t>
        </is>
      </c>
      <c r="D232" s="2">
        <f>IF(ISERROR(VLOOKUP(E232,'Estrutura Protheus'!A:A,1,FALSE)),"Não","Sim")</f>
        <v/>
      </c>
      <c r="E232" s="5" t="inlineStr">
        <is>
          <t>000053</t>
        </is>
      </c>
      <c r="F232" s="5" t="inlineStr">
        <is>
          <t>000352</t>
        </is>
      </c>
      <c r="G232" s="3" t="inlineStr">
        <is>
          <t>Garrafao de Vinho Branco 4lt</t>
        </is>
      </c>
      <c r="H232" s="14" t="n">
        <v>0.5</v>
      </c>
      <c r="I232" s="5" t="inlineStr">
        <is>
          <t>LT</t>
        </is>
      </c>
      <c r="J232" s="4">
        <f>IFERROR(VLOOKUP(F232,'Base Insumos'!$A:$C,3,FALSE()),"PENDENTE")</f>
        <v/>
      </c>
      <c r="K232" s="4">
        <f>IFERROR(IF(J232="PENDENTE",0,J232*H232),0)</f>
        <v/>
      </c>
      <c r="L232" s="4" t="n">
        <v>89.98999999999999</v>
      </c>
      <c r="M232" s="15">
        <f>IFERROR(K232/L232,0)</f>
        <v/>
      </c>
      <c r="N232" s="3" t="n"/>
    </row>
    <row r="233" ht="15" customHeight="1">
      <c r="A233" s="16" t="inlineStr">
        <is>
          <t>Drinks</t>
        </is>
      </c>
      <c r="B233" s="17" t="inlineStr">
        <is>
          <t>Drinks</t>
        </is>
      </c>
      <c r="C233" s="18" t="inlineStr">
        <is>
          <t>Clericot</t>
        </is>
      </c>
      <c r="D233" s="6">
        <f>IF(ISERROR(VLOOKUP(E233,'Estrutura Protheus'!A:A,1,FALSE)),"Não","Sim")</f>
        <v/>
      </c>
      <c r="E233" s="9" t="inlineStr">
        <is>
          <t>000053</t>
        </is>
      </c>
      <c r="F233" s="9" t="inlineStr">
        <is>
          <t>000359</t>
        </is>
      </c>
      <c r="G233" s="7" t="inlineStr">
        <is>
          <t>Licor Pessego Peach Stock 720ml</t>
        </is>
      </c>
      <c r="H233" s="19" t="n">
        <v>0.05</v>
      </c>
      <c r="I233" s="9" t="inlineStr">
        <is>
          <t>LT</t>
        </is>
      </c>
      <c r="J233" s="8">
        <f>IFERROR(VLOOKUP(F233,'Base Insumos'!$A:$C,3,FALSE()),"PENDENTE")</f>
        <v/>
      </c>
      <c r="K233" s="8">
        <f>IFERROR(IF(J233="PENDENTE",0,J233*H233),0)</f>
        <v/>
      </c>
      <c r="L233" s="8" t="n">
        <v>89.98999999999999</v>
      </c>
      <c r="M233" s="20">
        <f>IFERROR(K233/L233,0)</f>
        <v/>
      </c>
      <c r="N233" s="7" t="n"/>
    </row>
    <row r="234" ht="15" customHeight="1">
      <c r="A234" s="11" t="inlineStr">
        <is>
          <t>Drinks</t>
        </is>
      </c>
      <c r="B234" s="12" t="inlineStr">
        <is>
          <t>Drinks</t>
        </is>
      </c>
      <c r="C234" s="13" t="inlineStr">
        <is>
          <t>Clericot</t>
        </is>
      </c>
      <c r="D234" s="2">
        <f>IF(ISERROR(VLOOKUP(E234,'Estrutura Protheus'!A:A,1,FALSE)),"Não","Sim")</f>
        <v/>
      </c>
      <c r="E234" s="5" t="inlineStr">
        <is>
          <t>000053</t>
        </is>
      </c>
      <c r="F234" s="5" t="inlineStr">
        <is>
          <t>000348</t>
        </is>
      </c>
      <c r="G234" s="3" t="inlineStr">
        <is>
          <t>Conhaque Domecq 1lt</t>
        </is>
      </c>
      <c r="H234" s="14" t="n">
        <v>0.03</v>
      </c>
      <c r="I234" s="5" t="inlineStr">
        <is>
          <t>LT</t>
        </is>
      </c>
      <c r="J234" s="4">
        <f>IFERROR(VLOOKUP(F234,'Base Insumos'!$A:$C,3,FALSE()),"PENDENTE")</f>
        <v/>
      </c>
      <c r="K234" s="4">
        <f>IFERROR(IF(J234="PENDENTE",0,J234*H234),0)</f>
        <v/>
      </c>
      <c r="L234" s="4" t="n">
        <v>89.98999999999999</v>
      </c>
      <c r="M234" s="15">
        <f>IFERROR(K234/L234,0)</f>
        <v/>
      </c>
      <c r="N234" s="3" t="n"/>
    </row>
    <row r="235" ht="15" customHeight="1">
      <c r="A235" s="16" t="inlineStr">
        <is>
          <t>Drinks</t>
        </is>
      </c>
      <c r="B235" s="17" t="inlineStr">
        <is>
          <t>Drinks</t>
        </is>
      </c>
      <c r="C235" s="18" t="inlineStr">
        <is>
          <t>Clericot</t>
        </is>
      </c>
      <c r="D235" s="6">
        <f>IF(ISERROR(VLOOKUP(E235,'Estrutura Protheus'!A:A,1,FALSE)),"Não","Sim")</f>
        <v/>
      </c>
      <c r="E235" s="9" t="inlineStr">
        <is>
          <t>000053</t>
        </is>
      </c>
      <c r="F235" s="9" t="inlineStr">
        <is>
          <t>000346</t>
        </is>
      </c>
      <c r="G235" s="7" t="inlineStr">
        <is>
          <t>Licor Cointreau 700ml</t>
        </is>
      </c>
      <c r="H235" s="19" t="n">
        <v>0.05</v>
      </c>
      <c r="I235" s="9" t="inlineStr">
        <is>
          <t>LT</t>
        </is>
      </c>
      <c r="J235" s="8">
        <f>IFERROR(VLOOKUP(F235,'Base Insumos'!$A:$C,3,FALSE()),"PENDENTE")</f>
        <v/>
      </c>
      <c r="K235" s="8">
        <f>IFERROR(IF(J235="PENDENTE",0,J235*H235),0)</f>
        <v/>
      </c>
      <c r="L235" s="8" t="n">
        <v>89.98999999999999</v>
      </c>
      <c r="M235" s="20">
        <f>IFERROR(K235/L235,0)</f>
        <v/>
      </c>
      <c r="N235" s="7" t="n"/>
    </row>
    <row r="236" ht="15" customHeight="1">
      <c r="A236" s="11" t="inlineStr">
        <is>
          <t>Drinks</t>
        </is>
      </c>
      <c r="B236" s="12" t="inlineStr">
        <is>
          <t>Drinks</t>
        </is>
      </c>
      <c r="C236" s="13" t="inlineStr">
        <is>
          <t>Clericot</t>
        </is>
      </c>
      <c r="D236" s="2">
        <f>IF(ISERROR(VLOOKUP(E236,'Estrutura Protheus'!A:A,1,FALSE)),"Não","Sim")</f>
        <v/>
      </c>
      <c r="E236" s="5" t="inlineStr">
        <is>
          <t>000053</t>
        </is>
      </c>
      <c r="F236" s="5" t="inlineStr">
        <is>
          <t>000316</t>
        </is>
      </c>
      <c r="G236" s="3" t="inlineStr">
        <is>
          <t>Soda Lata 350ml</t>
        </is>
      </c>
      <c r="H236" s="14" t="n">
        <v>0.1</v>
      </c>
      <c r="I236" s="5" t="inlineStr">
        <is>
          <t>UN</t>
        </is>
      </c>
      <c r="J236" s="4">
        <f>IFERROR(VLOOKUP(F236,'Base Insumos'!$A:$C,3,FALSE()),"PENDENTE")</f>
        <v/>
      </c>
      <c r="K236" s="4">
        <f>IFERROR(IF(J236="PENDENTE",0,J236*H236),0)</f>
        <v/>
      </c>
      <c r="L236" s="4" t="n">
        <v>89.98999999999999</v>
      </c>
      <c r="M236" s="15">
        <f>IFERROR(K236/L236,0)</f>
        <v/>
      </c>
      <c r="N236" s="3" t="n"/>
    </row>
    <row r="237" ht="15" customHeight="1">
      <c r="A237" s="16" t="inlineStr">
        <is>
          <t>Drinks</t>
        </is>
      </c>
      <c r="B237" s="17" t="inlineStr">
        <is>
          <t>Drinks</t>
        </is>
      </c>
      <c r="C237" s="18" t="inlineStr">
        <is>
          <t>Coquetel de Frutas</t>
        </is>
      </c>
      <c r="D237" s="6">
        <f>IF(ISERROR(VLOOKUP(E237,'Estrutura Protheus'!A:A,1,FALSE)),"Não","Sim")</f>
        <v/>
      </c>
      <c r="E237" s="9" t="inlineStr">
        <is>
          <t>000057</t>
        </is>
      </c>
      <c r="F237" s="9" t="inlineStr">
        <is>
          <t>000499</t>
        </is>
      </c>
      <c r="G237" s="7" t="inlineStr">
        <is>
          <t>Maracuja Azedo Fruta</t>
        </is>
      </c>
      <c r="H237" s="19" t="n">
        <v>0.03</v>
      </c>
      <c r="I237" s="9" t="inlineStr">
        <is>
          <t>KG</t>
        </is>
      </c>
      <c r="J237" s="8">
        <f>IFERROR(VLOOKUP(F237,'Base Insumos'!$A:$C,3,FALSE()),"PENDENTE")</f>
        <v/>
      </c>
      <c r="K237" s="8">
        <f>IFERROR(IF(J237="PENDENTE",0,J237*H237),0)</f>
        <v/>
      </c>
      <c r="L237" s="8" t="n">
        <v>34.99</v>
      </c>
      <c r="M237" s="20">
        <f>IFERROR(K237/L237,0)</f>
        <v/>
      </c>
      <c r="N237" s="7" t="n"/>
    </row>
    <row r="238" ht="15" customHeight="1">
      <c r="A238" s="11" t="inlineStr">
        <is>
          <t>Drinks</t>
        </is>
      </c>
      <c r="B238" s="12" t="inlineStr">
        <is>
          <t>Drinks</t>
        </is>
      </c>
      <c r="C238" s="13" t="inlineStr">
        <is>
          <t>Coquetel de Frutas</t>
        </is>
      </c>
      <c r="D238" s="2">
        <f>IF(ISERROR(VLOOKUP(E238,'Estrutura Protheus'!A:A,1,FALSE)),"Não","Sim")</f>
        <v/>
      </c>
      <c r="E238" s="5" t="inlineStr">
        <is>
          <t>000057</t>
        </is>
      </c>
      <c r="F238" s="5" t="inlineStr">
        <is>
          <t>000590</t>
        </is>
      </c>
      <c r="G238" s="3" t="inlineStr">
        <is>
          <t>Morango Fruta</t>
        </is>
      </c>
      <c r="H238" s="14" t="n">
        <v>0.03</v>
      </c>
      <c r="I238" s="5" t="inlineStr">
        <is>
          <t>KG</t>
        </is>
      </c>
      <c r="J238" s="4">
        <f>IFERROR(VLOOKUP(F238,'Base Insumos'!$A:$C,3,FALSE()),"PENDENTE")</f>
        <v/>
      </c>
      <c r="K238" s="4">
        <f>IFERROR(IF(J238="PENDENTE",0,J238*H238),0)</f>
        <v/>
      </c>
      <c r="L238" s="4" t="n">
        <v>34.99</v>
      </c>
      <c r="M238" s="15">
        <f>IFERROR(K238/L238,0)</f>
        <v/>
      </c>
      <c r="N238" s="3" t="n"/>
    </row>
    <row r="239" ht="15" customHeight="1">
      <c r="A239" s="16" t="inlineStr">
        <is>
          <t>Drinks</t>
        </is>
      </c>
      <c r="B239" s="17" t="inlineStr">
        <is>
          <t>Drinks</t>
        </is>
      </c>
      <c r="C239" s="18" t="inlineStr">
        <is>
          <t>Coquetel de Frutas</t>
        </is>
      </c>
      <c r="D239" s="6">
        <f>IF(ISERROR(VLOOKUP(E239,'Estrutura Protheus'!A:A,1,FALSE)),"Não","Sim")</f>
        <v/>
      </c>
      <c r="E239" s="9" t="inlineStr">
        <is>
          <t>000057</t>
        </is>
      </c>
      <c r="F239" s="9" t="inlineStr">
        <is>
          <t>000487</t>
        </is>
      </c>
      <c r="G239" s="7" t="inlineStr">
        <is>
          <t>Abacaxi Perola Fruta</t>
        </is>
      </c>
      <c r="H239" s="19" t="n">
        <v>0.03</v>
      </c>
      <c r="I239" s="9" t="inlineStr">
        <is>
          <t>KG</t>
        </is>
      </c>
      <c r="J239" s="8">
        <f>IFERROR(VLOOKUP(F239,'Base Insumos'!$A:$C,3,FALSE()),"PENDENTE")</f>
        <v/>
      </c>
      <c r="K239" s="8">
        <f>IFERROR(IF(J239="PENDENTE",0,J239*H239),0)</f>
        <v/>
      </c>
      <c r="L239" s="8" t="n">
        <v>34.99</v>
      </c>
      <c r="M239" s="20">
        <f>IFERROR(K239/L239,0)</f>
        <v/>
      </c>
      <c r="N239" s="7" t="n"/>
    </row>
    <row r="240" ht="15" customHeight="1">
      <c r="A240" s="11" t="inlineStr">
        <is>
          <t>Drinks</t>
        </is>
      </c>
      <c r="B240" s="12" t="inlineStr">
        <is>
          <t>Drinks</t>
        </is>
      </c>
      <c r="C240" s="13" t="inlineStr">
        <is>
          <t>Coquetel de Frutas</t>
        </is>
      </c>
      <c r="D240" s="2">
        <f>IF(ISERROR(VLOOKUP(E240,'Estrutura Protheus'!A:A,1,FALSE)),"Não","Sim")</f>
        <v/>
      </c>
      <c r="E240" s="5" t="inlineStr">
        <is>
          <t>000057</t>
        </is>
      </c>
      <c r="F240" s="5" t="inlineStr">
        <is>
          <t>000396</t>
        </is>
      </c>
      <c r="G240" s="3" t="inlineStr">
        <is>
          <t>Leite Condensado Moca 2,6kg</t>
        </is>
      </c>
      <c r="H240" s="14" t="n">
        <v>0.06</v>
      </c>
      <c r="I240" s="5" t="inlineStr">
        <is>
          <t>KG</t>
        </is>
      </c>
      <c r="J240" s="4">
        <f>IFERROR(VLOOKUP(F240,'Base Insumos'!$A:$C,3,FALSE()),"PENDENTE")</f>
        <v/>
      </c>
      <c r="K240" s="4">
        <f>IFERROR(IF(J240="PENDENTE",0,J240*H240),0)</f>
        <v/>
      </c>
      <c r="L240" s="4" t="n">
        <v>34.99</v>
      </c>
      <c r="M240" s="15">
        <f>IFERROR(K240/L240,0)</f>
        <v/>
      </c>
      <c r="N240" s="3" t="n"/>
    </row>
    <row r="241" ht="15" customHeight="1">
      <c r="A241" s="16" t="inlineStr">
        <is>
          <t>Drinks</t>
        </is>
      </c>
      <c r="B241" s="17" t="inlineStr">
        <is>
          <t>Drinks</t>
        </is>
      </c>
      <c r="C241" s="18" t="inlineStr">
        <is>
          <t>Coquetel de Frutas</t>
        </is>
      </c>
      <c r="D241" s="6">
        <f>IF(ISERROR(VLOOKUP(E241,'Estrutura Protheus'!A:A,1,FALSE)),"Não","Sim")</f>
        <v/>
      </c>
      <c r="E241" s="9" t="inlineStr">
        <is>
          <t>000057</t>
        </is>
      </c>
      <c r="F241" s="9" t="inlineStr">
        <is>
          <t>000490</t>
        </is>
      </c>
      <c r="G241" s="7" t="inlineStr">
        <is>
          <t>Laranja Pera Fruta</t>
        </is>
      </c>
      <c r="H241" s="19" t="n">
        <v>0.15</v>
      </c>
      <c r="I241" s="9" t="inlineStr">
        <is>
          <t>KG</t>
        </is>
      </c>
      <c r="J241" s="8">
        <f>IFERROR(VLOOKUP(F241,'Base Insumos'!$A:$C,3,FALSE()),"PENDENTE")</f>
        <v/>
      </c>
      <c r="K241" s="8">
        <f>IFERROR(IF(J241="PENDENTE",0,J241*H241),0)</f>
        <v/>
      </c>
      <c r="L241" s="8" t="n">
        <v>34.99</v>
      </c>
      <c r="M241" s="20">
        <f>IFERROR(K241/L241,0)</f>
        <v/>
      </c>
      <c r="N241" s="7" t="n"/>
    </row>
    <row r="242" ht="15" customHeight="1">
      <c r="A242" s="11" t="inlineStr">
        <is>
          <t>Drinks</t>
        </is>
      </c>
      <c r="B242" s="12" t="inlineStr">
        <is>
          <t>Drinks</t>
        </is>
      </c>
      <c r="C242" s="13" t="inlineStr">
        <is>
          <t>Combo Beefeater com 3 Red Bull</t>
        </is>
      </c>
      <c r="D242" s="2">
        <f>IF(ISERROR(VLOOKUP(E242,'Estrutura Protheus'!A:A,1,FALSE)),"Não","Sim")</f>
        <v/>
      </c>
      <c r="E242" s="5" t="inlineStr">
        <is>
          <t>001205</t>
        </is>
      </c>
      <c r="F242" s="5" t="inlineStr">
        <is>
          <t>000353</t>
        </is>
      </c>
      <c r="G242" s="3" t="inlineStr">
        <is>
          <t>Gin Beefeater 750 Ml</t>
        </is>
      </c>
      <c r="H242" s="14" t="n">
        <v>0.75</v>
      </c>
      <c r="I242" s="5" t="inlineStr">
        <is>
          <t>LT</t>
        </is>
      </c>
      <c r="J242" s="4">
        <f>IFERROR(VLOOKUP(F242,'Base Insumos'!$A:$C,3,FALSE()),"PENDENTE")</f>
        <v/>
      </c>
      <c r="K242" s="4">
        <f>IFERROR(IF(J242="PENDENTE",0,J242*H242),0)</f>
        <v/>
      </c>
      <c r="L242" s="4" t="n">
        <v>299.99</v>
      </c>
      <c r="M242" s="15">
        <f>IFERROR(K242/L242,0)</f>
        <v/>
      </c>
      <c r="N242" s="3" t="n"/>
    </row>
    <row r="243" ht="15" customHeight="1">
      <c r="A243" s="16" t="inlineStr">
        <is>
          <t>Drinks</t>
        </is>
      </c>
      <c r="B243" s="17" t="inlineStr">
        <is>
          <t>Drinks</t>
        </is>
      </c>
      <c r="C243" s="18" t="inlineStr">
        <is>
          <t>Combo Beefeater com 3 Red Bull</t>
        </is>
      </c>
      <c r="D243" s="6">
        <f>IF(ISERROR(VLOOKUP(E243,'Estrutura Protheus'!A:A,1,FALSE)),"Não","Sim")</f>
        <v/>
      </c>
      <c r="E243" s="9" t="inlineStr">
        <is>
          <t>001205</t>
        </is>
      </c>
      <c r="F243" s="9" t="inlineStr">
        <is>
          <t>000749</t>
        </is>
      </c>
      <c r="G243" s="7" t="inlineStr">
        <is>
          <t>Red Bull Tropical</t>
        </is>
      </c>
      <c r="H243" s="19" t="n">
        <v>3</v>
      </c>
      <c r="I243" s="9" t="inlineStr">
        <is>
          <t>UN</t>
        </is>
      </c>
      <c r="J243" s="8">
        <f>IFERROR(VLOOKUP(F243,'Base Insumos'!$A:$C,3,FALSE()),"PENDENTE")</f>
        <v/>
      </c>
      <c r="K243" s="8">
        <f>IFERROR(IF(J243="PENDENTE",0,J243*H243),0)</f>
        <v/>
      </c>
      <c r="L243" s="8" t="n">
        <v>299.99</v>
      </c>
      <c r="M243" s="20">
        <f>IFERROR(K243/L243,0)</f>
        <v/>
      </c>
      <c r="N243" s="7" t="n"/>
    </row>
    <row r="244" ht="15" customHeight="1">
      <c r="A244" s="11" t="inlineStr">
        <is>
          <t>Drinks</t>
        </is>
      </c>
      <c r="B244" s="12" t="inlineStr">
        <is>
          <t>Drinks</t>
        </is>
      </c>
      <c r="C244" s="13" t="inlineStr">
        <is>
          <t>Combo Beefeater com 3 Red Bull</t>
        </is>
      </c>
      <c r="D244" s="2">
        <f>IF(ISERROR(VLOOKUP(E244,'Estrutura Protheus'!A:A,1,FALSE)),"Não","Sim")</f>
        <v/>
      </c>
      <c r="E244" s="5" t="inlineStr">
        <is>
          <t>001205</t>
        </is>
      </c>
      <c r="F244" s="5" t="inlineStr">
        <is>
          <t>000490</t>
        </is>
      </c>
      <c r="G244" s="3" t="inlineStr">
        <is>
          <t>Laranja Pera Fruta</t>
        </is>
      </c>
      <c r="H244" s="14" t="n">
        <v>0.05</v>
      </c>
      <c r="I244" s="5" t="inlineStr">
        <is>
          <t>KG</t>
        </is>
      </c>
      <c r="J244" s="4">
        <f>IFERROR(VLOOKUP(F244,'Base Insumos'!$A:$C,3,FALSE()),"PENDENTE")</f>
        <v/>
      </c>
      <c r="K244" s="4">
        <f>IFERROR(IF(J244="PENDENTE",0,J244*H244),0)</f>
        <v/>
      </c>
      <c r="L244" s="4" t="n">
        <v>299.99</v>
      </c>
      <c r="M244" s="15">
        <f>IFERROR(K244/L244,0)</f>
        <v/>
      </c>
      <c r="N244" s="3" t="n"/>
    </row>
    <row r="245" ht="15" customHeight="1">
      <c r="A245" s="16" t="inlineStr">
        <is>
          <t>Drinks</t>
        </is>
      </c>
      <c r="B245" s="17" t="inlineStr">
        <is>
          <t>Drinks</t>
        </is>
      </c>
      <c r="C245" s="18" t="inlineStr">
        <is>
          <t>Combo Beefeater com 3 Red Bull</t>
        </is>
      </c>
      <c r="D245" s="6">
        <f>IF(ISERROR(VLOOKUP(E245,'Estrutura Protheus'!A:A,1,FALSE)),"Não","Sim")</f>
        <v/>
      </c>
      <c r="E245" s="9" t="inlineStr">
        <is>
          <t>001205</t>
        </is>
      </c>
      <c r="F245" s="9" t="inlineStr">
        <is>
          <t>000590</t>
        </is>
      </c>
      <c r="G245" s="7" t="inlineStr">
        <is>
          <t>Morango Fruta</t>
        </is>
      </c>
      <c r="H245" s="19" t="n">
        <v>0.05</v>
      </c>
      <c r="I245" s="9" t="inlineStr">
        <is>
          <t>KG</t>
        </is>
      </c>
      <c r="J245" s="8">
        <f>IFERROR(VLOOKUP(F245,'Base Insumos'!$A:$C,3,FALSE()),"PENDENTE")</f>
        <v/>
      </c>
      <c r="K245" s="8">
        <f>IFERROR(IF(J245="PENDENTE",0,J245*H245),0)</f>
        <v/>
      </c>
      <c r="L245" s="8" t="n">
        <v>299.99</v>
      </c>
      <c r="M245" s="20">
        <f>IFERROR(K245/L245,0)</f>
        <v/>
      </c>
      <c r="N245" s="7" t="n"/>
    </row>
    <row r="246" ht="15" customHeight="1">
      <c r="A246" s="11" t="inlineStr">
        <is>
          <t>Drinks</t>
        </is>
      </c>
      <c r="B246" s="12" t="inlineStr">
        <is>
          <t>Drinks</t>
        </is>
      </c>
      <c r="C246" s="13" t="inlineStr">
        <is>
          <t>Combo Beefeater com 3 Red Bull</t>
        </is>
      </c>
      <c r="D246" s="2">
        <f>IF(ISERROR(VLOOKUP(E246,'Estrutura Protheus'!A:A,1,FALSE)),"Não","Sim")</f>
        <v/>
      </c>
      <c r="E246" s="5" t="inlineStr">
        <is>
          <t>001205</t>
        </is>
      </c>
      <c r="F246" s="5" t="inlineStr">
        <is>
          <t>000619</t>
        </is>
      </c>
      <c r="G246" s="3" t="inlineStr">
        <is>
          <t>Limao Siciliano</t>
        </is>
      </c>
      <c r="H246" s="14" t="n">
        <v>0.05</v>
      </c>
      <c r="I246" s="5" t="inlineStr">
        <is>
          <t>KG</t>
        </is>
      </c>
      <c r="J246" s="4">
        <f>IFERROR(VLOOKUP(F246,'Base Insumos'!$A:$C,3,FALSE()),"PENDENTE")</f>
        <v/>
      </c>
      <c r="K246" s="4">
        <f>IFERROR(IF(J246="PENDENTE",0,J246*H246),0)</f>
        <v/>
      </c>
      <c r="L246" s="4" t="n">
        <v>299.99</v>
      </c>
      <c r="M246" s="15">
        <f>IFERROR(K246/L246,0)</f>
        <v/>
      </c>
      <c r="N246" s="3" t="n"/>
    </row>
    <row r="247" ht="15" customHeight="1">
      <c r="A247" s="16" t="inlineStr">
        <is>
          <t>Drinks</t>
        </is>
      </c>
      <c r="B247" s="17" t="inlineStr">
        <is>
          <t>Drinks</t>
        </is>
      </c>
      <c r="C247" s="18" t="inlineStr">
        <is>
          <t>Combo Beefeater com 3 Red Bull</t>
        </is>
      </c>
      <c r="D247" s="6">
        <f>IF(ISERROR(VLOOKUP(E247,'Estrutura Protheus'!A:A,1,FALSE)),"Não","Sim")</f>
        <v/>
      </c>
      <c r="E247" s="9" t="inlineStr">
        <is>
          <t>001205</t>
        </is>
      </c>
      <c r="F247" s="9" t="inlineStr">
        <is>
          <t>000492</t>
        </is>
      </c>
      <c r="G247" s="7" t="inlineStr">
        <is>
          <t>Limao Taiti Fruta</t>
        </is>
      </c>
      <c r="H247" s="19" t="n">
        <v>0.05</v>
      </c>
      <c r="I247" s="9" t="inlineStr">
        <is>
          <t>KG</t>
        </is>
      </c>
      <c r="J247" s="8">
        <f>IFERROR(VLOOKUP(F247,'Base Insumos'!$A:$C,3,FALSE()),"PENDENTE")</f>
        <v/>
      </c>
      <c r="K247" s="8">
        <f>IFERROR(IF(J247="PENDENTE",0,J247*H247),0)</f>
        <v/>
      </c>
      <c r="L247" s="8" t="n">
        <v>299.99</v>
      </c>
      <c r="M247" s="20">
        <f>IFERROR(K247/L247,0)</f>
        <v/>
      </c>
      <c r="N247" s="7" t="n"/>
    </row>
    <row r="248" ht="15" customHeight="1">
      <c r="A248" s="11" t="inlineStr">
        <is>
          <t>Drinks</t>
        </is>
      </c>
      <c r="B248" s="12" t="inlineStr">
        <is>
          <t>Drinks</t>
        </is>
      </c>
      <c r="C248" s="13" t="inlineStr">
        <is>
          <t>Combo Beefeater com 3 Red Bull</t>
        </is>
      </c>
      <c r="D248" s="2">
        <f>IF(ISERROR(VLOOKUP(E248,'Estrutura Protheus'!A:A,1,FALSE)),"Não","Sim")</f>
        <v/>
      </c>
      <c r="E248" s="5" t="inlineStr">
        <is>
          <t>001205</t>
        </is>
      </c>
      <c r="F248" s="5" t="inlineStr">
        <is>
          <t>000474</t>
        </is>
      </c>
      <c r="G248" s="3" t="inlineStr">
        <is>
          <t>Hortela Grande</t>
        </is>
      </c>
      <c r="H248" s="14" t="n">
        <v>0.001</v>
      </c>
      <c r="I248" s="5" t="inlineStr">
        <is>
          <t>KG</t>
        </is>
      </c>
      <c r="J248" s="4">
        <f>IFERROR(VLOOKUP(F248,'Base Insumos'!$A:$C,3,FALSE()),"PENDENTE")</f>
        <v/>
      </c>
      <c r="K248" s="4">
        <f>IFERROR(IF(J248="PENDENTE",0,J248*H248),0)</f>
        <v/>
      </c>
      <c r="L248" s="4" t="n">
        <v>299.99</v>
      </c>
      <c r="M248" s="15">
        <f>IFERROR(K248/L248,0)</f>
        <v/>
      </c>
      <c r="N248" s="3" t="n"/>
    </row>
    <row r="249" ht="15" customHeight="1">
      <c r="A249" s="16" t="inlineStr">
        <is>
          <t>Drinks</t>
        </is>
      </c>
      <c r="B249" s="17" t="inlineStr">
        <is>
          <t>Drinks</t>
        </is>
      </c>
      <c r="C249" s="18" t="inlineStr">
        <is>
          <t>Combo Tanqueray com 3 Red Bull</t>
        </is>
      </c>
      <c r="D249" s="6">
        <f>IF(ISERROR(VLOOKUP(E249,'Estrutura Protheus'!A:A,1,FALSE)),"Não","Sim")</f>
        <v/>
      </c>
      <c r="E249" s="9" t="inlineStr">
        <is>
          <t>001204</t>
        </is>
      </c>
      <c r="F249" s="9" t="inlineStr">
        <is>
          <t>001161</t>
        </is>
      </c>
      <c r="G249" s="7" t="inlineStr">
        <is>
          <t>Gin Tanqueray 750ml</t>
        </is>
      </c>
      <c r="H249" s="19" t="n">
        <v>0.75</v>
      </c>
      <c r="I249" s="9" t="inlineStr">
        <is>
          <t>LT</t>
        </is>
      </c>
      <c r="J249" s="8">
        <f>IFERROR(VLOOKUP(F249,'Base Insumos'!$A:$C,3,FALSE()),"PENDENTE")</f>
        <v/>
      </c>
      <c r="K249" s="8">
        <f>IFERROR(IF(J249="PENDENTE",0,J249*H249),0)</f>
        <v/>
      </c>
      <c r="L249" s="8" t="n">
        <v>329.99</v>
      </c>
      <c r="M249" s="20">
        <f>IFERROR(K249/L249,0)</f>
        <v/>
      </c>
      <c r="N249" s="7" t="n"/>
    </row>
    <row r="250" ht="15" customHeight="1">
      <c r="A250" s="11" t="inlineStr">
        <is>
          <t>Drinks</t>
        </is>
      </c>
      <c r="B250" s="12" t="inlineStr">
        <is>
          <t>Drinks</t>
        </is>
      </c>
      <c r="C250" s="13" t="inlineStr">
        <is>
          <t>Combo Tanqueray com 3 Red Bull</t>
        </is>
      </c>
      <c r="D250" s="2">
        <f>IF(ISERROR(VLOOKUP(E250,'Estrutura Protheus'!A:A,1,FALSE)),"Não","Sim")</f>
        <v/>
      </c>
      <c r="E250" s="5" t="inlineStr">
        <is>
          <t>001204</t>
        </is>
      </c>
      <c r="F250" s="5" t="inlineStr">
        <is>
          <t>000368</t>
        </is>
      </c>
      <c r="G250" s="3" t="inlineStr">
        <is>
          <t>Red Bull</t>
        </is>
      </c>
      <c r="H250" s="14" t="n">
        <v>3</v>
      </c>
      <c r="I250" s="5" t="inlineStr">
        <is>
          <t>UN</t>
        </is>
      </c>
      <c r="J250" s="4">
        <f>IFERROR(VLOOKUP(F250,'Base Insumos'!$A:$C,3,FALSE()),"PENDENTE")</f>
        <v/>
      </c>
      <c r="K250" s="4">
        <f>IFERROR(IF(J250="PENDENTE",0,J250*H250),0)</f>
        <v/>
      </c>
      <c r="L250" s="4" t="n">
        <v>329.99</v>
      </c>
      <c r="M250" s="15">
        <f>IFERROR(K250/L250,0)</f>
        <v/>
      </c>
      <c r="N250" s="3" t="n"/>
    </row>
    <row r="251" ht="15" customHeight="1">
      <c r="A251" s="16" t="inlineStr">
        <is>
          <t>Drinks</t>
        </is>
      </c>
      <c r="B251" s="17" t="inlineStr">
        <is>
          <t>Drinks</t>
        </is>
      </c>
      <c r="C251" s="18" t="inlineStr">
        <is>
          <t>Combo Tanqueray com 3 Red Bull</t>
        </is>
      </c>
      <c r="D251" s="6">
        <f>IF(ISERROR(VLOOKUP(E251,'Estrutura Protheus'!A:A,1,FALSE)),"Não","Sim")</f>
        <v/>
      </c>
      <c r="E251" s="9" t="inlineStr">
        <is>
          <t>001204</t>
        </is>
      </c>
      <c r="F251" s="9" t="inlineStr">
        <is>
          <t>000490</t>
        </is>
      </c>
      <c r="G251" s="7" t="inlineStr">
        <is>
          <t>Laranja Pera Fruta</t>
        </is>
      </c>
      <c r="H251" s="19" t="n">
        <v>0.05</v>
      </c>
      <c r="I251" s="9" t="inlineStr">
        <is>
          <t>KG</t>
        </is>
      </c>
      <c r="J251" s="8">
        <f>IFERROR(VLOOKUP(F251,'Base Insumos'!$A:$C,3,FALSE()),"PENDENTE")</f>
        <v/>
      </c>
      <c r="K251" s="8">
        <f>IFERROR(IF(J251="PENDENTE",0,J251*H251),0)</f>
        <v/>
      </c>
      <c r="L251" s="8" t="n">
        <v>329.99</v>
      </c>
      <c r="M251" s="20">
        <f>IFERROR(K251/L251,0)</f>
        <v/>
      </c>
      <c r="N251" s="7" t="n"/>
    </row>
    <row r="252" ht="15" customHeight="1">
      <c r="A252" s="11" t="inlineStr">
        <is>
          <t>Drinks</t>
        </is>
      </c>
      <c r="B252" s="12" t="inlineStr">
        <is>
          <t>Drinks</t>
        </is>
      </c>
      <c r="C252" s="13" t="inlineStr">
        <is>
          <t>Combo Tanqueray com 3 Red Bull</t>
        </is>
      </c>
      <c r="D252" s="2">
        <f>IF(ISERROR(VLOOKUP(E252,'Estrutura Protheus'!A:A,1,FALSE)),"Não","Sim")</f>
        <v/>
      </c>
      <c r="E252" s="5" t="inlineStr">
        <is>
          <t>001204</t>
        </is>
      </c>
      <c r="F252" s="5" t="inlineStr">
        <is>
          <t>000590</t>
        </is>
      </c>
      <c r="G252" s="3" t="inlineStr">
        <is>
          <t>Morango Fruta</t>
        </is>
      </c>
      <c r="H252" s="14" t="n">
        <v>0.05</v>
      </c>
      <c r="I252" s="5" t="inlineStr">
        <is>
          <t>KG</t>
        </is>
      </c>
      <c r="J252" s="4">
        <f>IFERROR(VLOOKUP(F252,'Base Insumos'!$A:$C,3,FALSE()),"PENDENTE")</f>
        <v/>
      </c>
      <c r="K252" s="4">
        <f>IFERROR(IF(J252="PENDENTE",0,J252*H252),0)</f>
        <v/>
      </c>
      <c r="L252" s="4" t="n">
        <v>329.99</v>
      </c>
      <c r="M252" s="15">
        <f>IFERROR(K252/L252,0)</f>
        <v/>
      </c>
      <c r="N252" s="3" t="n"/>
    </row>
    <row r="253" ht="15" customHeight="1">
      <c r="A253" s="16" t="inlineStr">
        <is>
          <t>Drinks</t>
        </is>
      </c>
      <c r="B253" s="17" t="inlineStr">
        <is>
          <t>Drinks</t>
        </is>
      </c>
      <c r="C253" s="18" t="inlineStr">
        <is>
          <t>Combo Tanqueray com 3 Red Bull</t>
        </is>
      </c>
      <c r="D253" s="6">
        <f>IF(ISERROR(VLOOKUP(E253,'Estrutura Protheus'!A:A,1,FALSE)),"Não","Sim")</f>
        <v/>
      </c>
      <c r="E253" s="9" t="inlineStr">
        <is>
          <t>001204</t>
        </is>
      </c>
      <c r="F253" s="9" t="inlineStr">
        <is>
          <t>000619</t>
        </is>
      </c>
      <c r="G253" s="7" t="inlineStr">
        <is>
          <t>Limao Siciliano</t>
        </is>
      </c>
      <c r="H253" s="19" t="n">
        <v>0.05</v>
      </c>
      <c r="I253" s="9" t="inlineStr">
        <is>
          <t>KG</t>
        </is>
      </c>
      <c r="J253" s="8">
        <f>IFERROR(VLOOKUP(F253,'Base Insumos'!$A:$C,3,FALSE()),"PENDENTE")</f>
        <v/>
      </c>
      <c r="K253" s="8">
        <f>IFERROR(IF(J253="PENDENTE",0,J253*H253),0)</f>
        <v/>
      </c>
      <c r="L253" s="8" t="n">
        <v>329.99</v>
      </c>
      <c r="M253" s="20">
        <f>IFERROR(K253/L253,0)</f>
        <v/>
      </c>
      <c r="N253" s="7" t="n"/>
    </row>
    <row r="254" ht="15" customHeight="1">
      <c r="A254" s="11" t="inlineStr">
        <is>
          <t>Drinks</t>
        </is>
      </c>
      <c r="B254" s="12" t="inlineStr">
        <is>
          <t>Drinks</t>
        </is>
      </c>
      <c r="C254" s="13" t="inlineStr">
        <is>
          <t>Combo Tanqueray com 3 Red Bull</t>
        </is>
      </c>
      <c r="D254" s="2">
        <f>IF(ISERROR(VLOOKUP(E254,'Estrutura Protheus'!A:A,1,FALSE)),"Não","Sim")</f>
        <v/>
      </c>
      <c r="E254" s="5" t="inlineStr">
        <is>
          <t>001204</t>
        </is>
      </c>
      <c r="F254" s="5" t="inlineStr">
        <is>
          <t>000492</t>
        </is>
      </c>
      <c r="G254" s="3" t="inlineStr">
        <is>
          <t>Limao Taiti Fruta</t>
        </is>
      </c>
      <c r="H254" s="14" t="n">
        <v>0.05</v>
      </c>
      <c r="I254" s="5" t="inlineStr">
        <is>
          <t>KG</t>
        </is>
      </c>
      <c r="J254" s="4">
        <f>IFERROR(VLOOKUP(F254,'Base Insumos'!$A:$C,3,FALSE()),"PENDENTE")</f>
        <v/>
      </c>
      <c r="K254" s="4">
        <f>IFERROR(IF(J254="PENDENTE",0,J254*H254),0)</f>
        <v/>
      </c>
      <c r="L254" s="4" t="n">
        <v>329.99</v>
      </c>
      <c r="M254" s="15">
        <f>IFERROR(K254/L254,0)</f>
        <v/>
      </c>
      <c r="N254" s="3" t="n"/>
    </row>
    <row r="255" ht="15" customHeight="1">
      <c r="A255" s="16" t="inlineStr">
        <is>
          <t>Drinks</t>
        </is>
      </c>
      <c r="B255" s="17" t="inlineStr">
        <is>
          <t>Drinks</t>
        </is>
      </c>
      <c r="C255" s="18" t="inlineStr">
        <is>
          <t>Combo Tanqueray com 3 Red Bull</t>
        </is>
      </c>
      <c r="D255" s="6">
        <f>IF(ISERROR(VLOOKUP(E255,'Estrutura Protheus'!A:A,1,FALSE)),"Não","Sim")</f>
        <v/>
      </c>
      <c r="E255" s="9" t="inlineStr">
        <is>
          <t>001204</t>
        </is>
      </c>
      <c r="F255" s="9" t="inlineStr">
        <is>
          <t>000474</t>
        </is>
      </c>
      <c r="G255" s="7" t="inlineStr">
        <is>
          <t>Hortela Grande</t>
        </is>
      </c>
      <c r="H255" s="19" t="n">
        <v>0.001</v>
      </c>
      <c r="I255" s="9" t="inlineStr">
        <is>
          <t>KG</t>
        </is>
      </c>
      <c r="J255" s="8">
        <f>IFERROR(VLOOKUP(F255,'Base Insumos'!$A:$C,3,FALSE()),"PENDENTE")</f>
        <v/>
      </c>
      <c r="K255" s="8">
        <f>IFERROR(IF(J255="PENDENTE",0,J255*H255),0)</f>
        <v/>
      </c>
      <c r="L255" s="8" t="n">
        <v>329.99</v>
      </c>
      <c r="M255" s="20">
        <f>IFERROR(K255/L255,0)</f>
        <v/>
      </c>
      <c r="N255" s="7" t="n"/>
    </row>
    <row r="256" ht="15" customHeight="1">
      <c r="A256" s="11" t="inlineStr">
        <is>
          <t>Drinks</t>
        </is>
      </c>
      <c r="B256" s="12" t="inlineStr">
        <is>
          <t>Drinks</t>
        </is>
      </c>
      <c r="C256" s="13" t="inlineStr">
        <is>
          <t>Combo Absolut com 3 Red Bull</t>
        </is>
      </c>
      <c r="D256" s="2">
        <f>IF(ISERROR(VLOOKUP(E256,'Estrutura Protheus'!A:A,1,FALSE)),"Não","Sim")</f>
        <v/>
      </c>
      <c r="E256" s="5" t="inlineStr">
        <is>
          <t>001150</t>
        </is>
      </c>
      <c r="F256" s="5" t="inlineStr">
        <is>
          <t>000339</t>
        </is>
      </c>
      <c r="G256" s="3" t="inlineStr">
        <is>
          <t>Vodka Absolut Natural 1lt</t>
        </is>
      </c>
      <c r="H256" s="14" t="n">
        <v>1</v>
      </c>
      <c r="I256" s="5" t="inlineStr">
        <is>
          <t>LT</t>
        </is>
      </c>
      <c r="J256" s="4">
        <f>IFERROR(VLOOKUP(F256,'Base Insumos'!$A:$C,3,FALSE()),"PENDENTE")</f>
        <v/>
      </c>
      <c r="K256" s="4">
        <f>IFERROR(IF(J256="PENDENTE",0,J256*H256),0)</f>
        <v/>
      </c>
      <c r="L256" s="4" t="n">
        <v>279.99</v>
      </c>
      <c r="M256" s="15">
        <f>IFERROR(K256/L256,0)</f>
        <v/>
      </c>
      <c r="N256" s="3" t="n"/>
    </row>
    <row r="257" ht="15" customHeight="1">
      <c r="A257" s="16" t="inlineStr">
        <is>
          <t>Drinks</t>
        </is>
      </c>
      <c r="B257" s="17" t="inlineStr">
        <is>
          <t>Drinks</t>
        </is>
      </c>
      <c r="C257" s="18" t="inlineStr">
        <is>
          <t>Combo Absolut com 3 Red Bull</t>
        </is>
      </c>
      <c r="D257" s="6">
        <f>IF(ISERROR(VLOOKUP(E257,'Estrutura Protheus'!A:A,1,FALSE)),"Não","Sim")</f>
        <v/>
      </c>
      <c r="E257" s="9" t="inlineStr">
        <is>
          <t>001150</t>
        </is>
      </c>
      <c r="F257" s="9" t="inlineStr">
        <is>
          <t>000368</t>
        </is>
      </c>
      <c r="G257" s="7" t="inlineStr">
        <is>
          <t>Red Bull</t>
        </is>
      </c>
      <c r="H257" s="19" t="n">
        <v>3</v>
      </c>
      <c r="I257" s="9" t="inlineStr">
        <is>
          <t>UN</t>
        </is>
      </c>
      <c r="J257" s="8">
        <f>IFERROR(VLOOKUP(F257,'Base Insumos'!$A:$C,3,FALSE()),"PENDENTE")</f>
        <v/>
      </c>
      <c r="K257" s="8">
        <f>IFERROR(IF(J257="PENDENTE",0,J257*H257),0)</f>
        <v/>
      </c>
      <c r="L257" s="8" t="n">
        <v>279.99</v>
      </c>
      <c r="M257" s="20">
        <f>IFERROR(K257/L257,0)</f>
        <v/>
      </c>
      <c r="N257" s="7" t="n"/>
    </row>
    <row r="258" ht="15" customHeight="1">
      <c r="A258" s="11" t="inlineStr">
        <is>
          <t>Drinks</t>
        </is>
      </c>
      <c r="B258" s="12" t="inlineStr">
        <is>
          <t>Drinks</t>
        </is>
      </c>
      <c r="C258" s="13" t="inlineStr">
        <is>
          <t>Combo Black Label com 3 Red Bull</t>
        </is>
      </c>
      <c r="D258" s="2">
        <f>IF(ISERROR(VLOOKUP(E258,'Estrutura Protheus'!A:A,1,FALSE)),"Não","Sim")</f>
        <v/>
      </c>
      <c r="E258" s="5" t="inlineStr">
        <is>
          <t>002208</t>
        </is>
      </c>
      <c r="F258" s="5" t="inlineStr">
        <is>
          <t>001137</t>
        </is>
      </c>
      <c r="G258" s="3" t="inlineStr">
        <is>
          <t>Whisky Johnnie Walker Black Label 1lt</t>
        </is>
      </c>
      <c r="H258" s="14" t="n">
        <v>1</v>
      </c>
      <c r="I258" s="5" t="inlineStr">
        <is>
          <t>LT</t>
        </is>
      </c>
      <c r="J258" s="4">
        <f>IFERROR(VLOOKUP(F258,'Base Insumos'!$A:$C,3,FALSE()),"PENDENTE")</f>
        <v/>
      </c>
      <c r="K258" s="4">
        <f>IFERROR(IF(J258="PENDENTE",0,J258*H258),0)</f>
        <v/>
      </c>
      <c r="L258" s="4" t="n">
        <v>449.99</v>
      </c>
      <c r="M258" s="15">
        <f>IFERROR(K258/L258,0)</f>
        <v/>
      </c>
      <c r="N258" s="3" t="n"/>
    </row>
    <row r="259" ht="15" customHeight="1">
      <c r="A259" s="16" t="inlineStr">
        <is>
          <t>Drinks</t>
        </is>
      </c>
      <c r="B259" s="17" t="inlineStr">
        <is>
          <t>Drinks</t>
        </is>
      </c>
      <c r="C259" s="18" t="inlineStr">
        <is>
          <t>Combo Black Label com 3 Red Bull</t>
        </is>
      </c>
      <c r="D259" s="6">
        <f>IF(ISERROR(VLOOKUP(E259,'Estrutura Protheus'!A:A,1,FALSE)),"Não","Sim")</f>
        <v/>
      </c>
      <c r="E259" s="9" t="inlineStr">
        <is>
          <t>002208</t>
        </is>
      </c>
      <c r="F259" s="9" t="inlineStr">
        <is>
          <t>000368</t>
        </is>
      </c>
      <c r="G259" s="7" t="inlineStr">
        <is>
          <t>Red Bull</t>
        </is>
      </c>
      <c r="H259" s="19" t="n">
        <v>3</v>
      </c>
      <c r="I259" s="9" t="inlineStr">
        <is>
          <t>UN</t>
        </is>
      </c>
      <c r="J259" s="8">
        <f>IFERROR(VLOOKUP(F259,'Base Insumos'!$A:$C,3,FALSE()),"PENDENTE")</f>
        <v/>
      </c>
      <c r="K259" s="8">
        <f>IFERROR(IF(J259="PENDENTE",0,J259*H259),0)</f>
        <v/>
      </c>
      <c r="L259" s="8" t="n">
        <v>449.99</v>
      </c>
      <c r="M259" s="20">
        <f>IFERROR(K259/L259,0)</f>
        <v/>
      </c>
      <c r="N259" s="7" t="n"/>
    </row>
    <row r="260" ht="15" customHeight="1">
      <c r="A260" s="11" t="inlineStr">
        <is>
          <t>Drinks</t>
        </is>
      </c>
      <c r="B260" s="12" t="inlineStr">
        <is>
          <t>Drinks</t>
        </is>
      </c>
      <c r="C260" s="13" t="inlineStr">
        <is>
          <t>Espanhola</t>
        </is>
      </c>
      <c r="D260" s="2">
        <f>IF(ISERROR(VLOOKUP(E260,'Estrutura Protheus'!A:A,1,FALSE)),"Não","Sim")</f>
        <v/>
      </c>
      <c r="E260" s="5" t="inlineStr">
        <is>
          <t>000061</t>
        </is>
      </c>
      <c r="F260" s="5" t="inlineStr">
        <is>
          <t>000351</t>
        </is>
      </c>
      <c r="G260" s="3" t="inlineStr">
        <is>
          <t>Garrafao de Vinho Tinto Suave 4lt</t>
        </is>
      </c>
      <c r="H260" s="14" t="n">
        <v>0.08</v>
      </c>
      <c r="I260" s="5" t="inlineStr">
        <is>
          <t>LT</t>
        </is>
      </c>
      <c r="J260" s="4">
        <f>IFERROR(VLOOKUP(F260,'Base Insumos'!$A:$C,3,FALSE()),"PENDENTE")</f>
        <v/>
      </c>
      <c r="K260" s="4">
        <f>IFERROR(IF(J260="PENDENTE",0,J260*H260),0)</f>
        <v/>
      </c>
      <c r="L260" s="4" t="n">
        <v>37.99</v>
      </c>
      <c r="M260" s="15">
        <f>IFERROR(K260/L260,0)</f>
        <v/>
      </c>
      <c r="N260" s="3" t="n"/>
    </row>
    <row r="261" ht="15" customHeight="1">
      <c r="A261" s="16" t="inlineStr">
        <is>
          <t>Drinks</t>
        </is>
      </c>
      <c r="B261" s="17" t="inlineStr">
        <is>
          <t>Drinks</t>
        </is>
      </c>
      <c r="C261" s="18" t="inlineStr">
        <is>
          <t>Espanhola</t>
        </is>
      </c>
      <c r="D261" s="6">
        <f>IF(ISERROR(VLOOKUP(E261,'Estrutura Protheus'!A:A,1,FALSE)),"Não","Sim")</f>
        <v/>
      </c>
      <c r="E261" s="9" t="inlineStr">
        <is>
          <t>000061</t>
        </is>
      </c>
      <c r="F261" s="9" t="inlineStr">
        <is>
          <t>000487</t>
        </is>
      </c>
      <c r="G261" s="7" t="inlineStr">
        <is>
          <t>Abacaxi Perola Fruta</t>
        </is>
      </c>
      <c r="H261" s="19" t="n">
        <v>0.05</v>
      </c>
      <c r="I261" s="9" t="inlineStr">
        <is>
          <t>KG</t>
        </is>
      </c>
      <c r="J261" s="8">
        <f>IFERROR(VLOOKUP(F261,'Base Insumos'!$A:$C,3,FALSE()),"PENDENTE")</f>
        <v/>
      </c>
      <c r="K261" s="8">
        <f>IFERROR(IF(J261="PENDENTE",0,J261*H261),0)</f>
        <v/>
      </c>
      <c r="L261" s="8" t="n">
        <v>37.99</v>
      </c>
      <c r="M261" s="20">
        <f>IFERROR(K261/L261,0)</f>
        <v/>
      </c>
      <c r="N261" s="7" t="n"/>
    </row>
    <row r="262" ht="15" customHeight="1">
      <c r="A262" s="11" t="inlineStr">
        <is>
          <t>Drinks</t>
        </is>
      </c>
      <c r="B262" s="12" t="inlineStr">
        <is>
          <t>Drinks</t>
        </is>
      </c>
      <c r="C262" s="13" t="inlineStr">
        <is>
          <t>Espanhola</t>
        </is>
      </c>
      <c r="D262" s="2">
        <f>IF(ISERROR(VLOOKUP(E262,'Estrutura Protheus'!A:A,1,FALSE)),"Não","Sim")</f>
        <v/>
      </c>
      <c r="E262" s="5" t="inlineStr">
        <is>
          <t>000061</t>
        </is>
      </c>
      <c r="F262" s="5" t="inlineStr">
        <is>
          <t>000396</t>
        </is>
      </c>
      <c r="G262" s="3" t="inlineStr">
        <is>
          <t>Leite Condensado Moca 2,6kg</t>
        </is>
      </c>
      <c r="H262" s="14" t="n">
        <v>0.08</v>
      </c>
      <c r="I262" s="5" t="inlineStr">
        <is>
          <t>KG</t>
        </is>
      </c>
      <c r="J262" s="4">
        <f>IFERROR(VLOOKUP(F262,'Base Insumos'!$A:$C,3,FALSE()),"PENDENTE")</f>
        <v/>
      </c>
      <c r="K262" s="4">
        <f>IFERROR(IF(J262="PENDENTE",0,J262*H262),0)</f>
        <v/>
      </c>
      <c r="L262" s="4" t="n">
        <v>37.99</v>
      </c>
      <c r="M262" s="15">
        <f>IFERROR(K262/L262,0)</f>
        <v/>
      </c>
      <c r="N262" s="3" t="n"/>
    </row>
    <row r="263" ht="15" customHeight="1">
      <c r="A263" s="16" t="inlineStr">
        <is>
          <t>Drinks</t>
        </is>
      </c>
      <c r="B263" s="17" t="inlineStr">
        <is>
          <t>Drinks</t>
        </is>
      </c>
      <c r="C263" s="18" t="inlineStr">
        <is>
          <t>Espeto Ice Tea</t>
        </is>
      </c>
      <c r="D263" s="6">
        <f>IF(ISERROR(VLOOKUP(E263,'Estrutura Protheus'!A:A,1,FALSE)),"Não","Sim")</f>
        <v/>
      </c>
      <c r="E263" s="9" t="inlineStr">
        <is>
          <t>001948</t>
        </is>
      </c>
      <c r="F263" s="9" t="inlineStr">
        <is>
          <t>009823</t>
        </is>
      </c>
      <c r="G263" s="7" t="inlineStr">
        <is>
          <t>Licor Limoncello Bag 5lt</t>
        </is>
      </c>
      <c r="H263" s="19" t="n">
        <v>0.05</v>
      </c>
      <c r="I263" s="9" t="inlineStr">
        <is>
          <t>LT</t>
        </is>
      </c>
      <c r="J263" s="8">
        <f>IFERROR(VLOOKUP(F263,'Base Insumos'!$A:$C,3,FALSE()),"PENDENTE")</f>
        <v/>
      </c>
      <c r="K263" s="8">
        <f>IFERROR(IF(J263="PENDENTE",0,J263*H263),0)</f>
        <v/>
      </c>
      <c r="L263" s="8" t="n">
        <v>37.99</v>
      </c>
      <c r="M263" s="20">
        <f>IFERROR(K263/L263,0)</f>
        <v/>
      </c>
      <c r="N263" s="7" t="n"/>
    </row>
    <row r="264" ht="15" customHeight="1">
      <c r="A264" s="11" t="inlineStr">
        <is>
          <t>Drinks</t>
        </is>
      </c>
      <c r="B264" s="12" t="inlineStr">
        <is>
          <t>Drinks</t>
        </is>
      </c>
      <c r="C264" s="13" t="inlineStr">
        <is>
          <t>Espeto Ice Tea</t>
        </is>
      </c>
      <c r="D264" s="2">
        <f>IF(ISERROR(VLOOKUP(E264,'Estrutura Protheus'!A:A,1,FALSE)),"Não","Sim")</f>
        <v/>
      </c>
      <c r="E264" s="5" t="inlineStr">
        <is>
          <t>001948</t>
        </is>
      </c>
      <c r="F264" s="5" t="inlineStr">
        <is>
          <t>000492</t>
        </is>
      </c>
      <c r="G264" s="3" t="inlineStr">
        <is>
          <t>Limao Taiti Fruta</t>
        </is>
      </c>
      <c r="H264" s="14" t="n">
        <v>0.1</v>
      </c>
      <c r="I264" s="5" t="inlineStr">
        <is>
          <t>KG</t>
        </is>
      </c>
      <c r="J264" s="4">
        <f>IFERROR(VLOOKUP(F264,'Base Insumos'!$A:$C,3,FALSE()),"PENDENTE")</f>
        <v/>
      </c>
      <c r="K264" s="4">
        <f>IFERROR(IF(J264="PENDENTE",0,J264*H264),0)</f>
        <v/>
      </c>
      <c r="L264" s="4" t="n">
        <v>37.99</v>
      </c>
      <c r="M264" s="15">
        <f>IFERROR(K264/L264,0)</f>
        <v/>
      </c>
      <c r="N264" s="3" t="n"/>
    </row>
    <row r="265" ht="15" customHeight="1">
      <c r="A265" s="16" t="inlineStr">
        <is>
          <t>Drinks</t>
        </is>
      </c>
      <c r="B265" s="17" t="inlineStr">
        <is>
          <t>Drinks</t>
        </is>
      </c>
      <c r="C265" s="18" t="inlineStr">
        <is>
          <t>Espeto Ice Tea</t>
        </is>
      </c>
      <c r="D265" s="6">
        <f>IF(ISERROR(VLOOKUP(E265,'Estrutura Protheus'!A:A,1,FALSE)),"Não","Sim")</f>
        <v/>
      </c>
      <c r="E265" s="9" t="inlineStr">
        <is>
          <t>001948</t>
        </is>
      </c>
      <c r="F265" s="9" t="inlineStr">
        <is>
          <t>009828</t>
        </is>
      </c>
      <c r="G265" s="7" t="inlineStr">
        <is>
          <t>Xarope Gengibre 3lt</t>
        </is>
      </c>
      <c r="H265" s="19" t="n">
        <v>0.025</v>
      </c>
      <c r="I265" s="9" t="inlineStr">
        <is>
          <t>LT</t>
        </is>
      </c>
      <c r="J265" s="8">
        <f>IFERROR(VLOOKUP(F265,'Base Insumos'!$A:$C,3,FALSE()),"PENDENTE")</f>
        <v/>
      </c>
      <c r="K265" s="8">
        <f>IFERROR(IF(J265="PENDENTE",0,J265*H265),0)</f>
        <v/>
      </c>
      <c r="L265" s="8" t="n">
        <v>37.99</v>
      </c>
      <c r="M265" s="20">
        <f>IFERROR(K265/L265,0)</f>
        <v/>
      </c>
      <c r="N265" s="7" t="n"/>
    </row>
    <row r="266" ht="15" customHeight="1">
      <c r="A266" s="11" t="inlineStr">
        <is>
          <t>Drinks</t>
        </is>
      </c>
      <c r="B266" s="12" t="inlineStr">
        <is>
          <t>Drinks</t>
        </is>
      </c>
      <c r="C266" s="13" t="inlineStr">
        <is>
          <t>Espeto Ice Tea</t>
        </is>
      </c>
      <c r="D266" s="2">
        <f>IF(ISERROR(VLOOKUP(E266,'Estrutura Protheus'!A:A,1,FALSE)),"Não","Sim")</f>
        <v/>
      </c>
      <c r="E266" s="5" t="inlineStr">
        <is>
          <t>001948</t>
        </is>
      </c>
      <c r="F266" s="5" t="inlineStr">
        <is>
          <t>001927</t>
        </is>
      </c>
      <c r="G266" s="3" t="inlineStr">
        <is>
          <t>Cha Mate de Pessego 1,5 Lt</t>
        </is>
      </c>
      <c r="H266" s="14" t="n">
        <v>0.05</v>
      </c>
      <c r="I266" s="5" t="inlineStr">
        <is>
          <t>LT</t>
        </is>
      </c>
      <c r="J266" s="4">
        <f>IFERROR(VLOOKUP(F266,'Base Insumos'!$A:$C,3,FALSE()),"PENDENTE")</f>
        <v/>
      </c>
      <c r="K266" s="4">
        <f>IFERROR(IF(J266="PENDENTE",0,J266*H266),0)</f>
        <v/>
      </c>
      <c r="L266" s="4" t="n">
        <v>37.99</v>
      </c>
      <c r="M266" s="15">
        <f>IFERROR(K266/L266,0)</f>
        <v/>
      </c>
      <c r="N266" s="3" t="n"/>
    </row>
    <row r="267" ht="15" customHeight="1">
      <c r="A267" s="16" t="inlineStr">
        <is>
          <t>Drinks</t>
        </is>
      </c>
      <c r="B267" s="17" t="inlineStr">
        <is>
          <t>Drinks</t>
        </is>
      </c>
      <c r="C267" s="18" t="inlineStr">
        <is>
          <t>Fitz Florinda</t>
        </is>
      </c>
      <c r="D267" s="6">
        <f>IF(ISERROR(VLOOKUP(E267,'Estrutura Protheus'!A:A,1,FALSE)),"Não","Sim")</f>
        <v/>
      </c>
      <c r="E267" s="9" t="inlineStr">
        <is>
          <t>001950</t>
        </is>
      </c>
      <c r="F267" s="9" t="inlineStr">
        <is>
          <t>009820</t>
        </is>
      </c>
      <c r="G267" s="7" t="inlineStr">
        <is>
          <t>Gin Bacco Premium Bag 5lt</t>
        </is>
      </c>
      <c r="H267" s="19" t="n">
        <v>0.05</v>
      </c>
      <c r="I267" s="9" t="inlineStr">
        <is>
          <t>LT</t>
        </is>
      </c>
      <c r="J267" s="8">
        <f>IFERROR(VLOOKUP(F267,'Base Insumos'!$A:$C,3,FALSE()),"PENDENTE")</f>
        <v/>
      </c>
      <c r="K267" s="8">
        <f>IFERROR(IF(J267="PENDENTE",0,J267*H267),0)</f>
        <v/>
      </c>
      <c r="L267" s="8" t="n">
        <v>37.99</v>
      </c>
      <c r="M267" s="20">
        <f>IFERROR(K267/L267,0)</f>
        <v/>
      </c>
      <c r="N267" s="7" t="n"/>
    </row>
    <row r="268" ht="15" customHeight="1">
      <c r="A268" s="11" t="inlineStr">
        <is>
          <t>Drinks</t>
        </is>
      </c>
      <c r="B268" s="12" t="inlineStr">
        <is>
          <t>Drinks</t>
        </is>
      </c>
      <c r="C268" s="13" t="inlineStr">
        <is>
          <t>Fitz Florinda</t>
        </is>
      </c>
      <c r="D268" s="2">
        <f>IF(ISERROR(VLOOKUP(E268,'Estrutura Protheus'!A:A,1,FALSE)),"Não","Sim")</f>
        <v/>
      </c>
      <c r="E268" s="5" t="inlineStr">
        <is>
          <t>001950</t>
        </is>
      </c>
      <c r="F268" s="5" t="inlineStr">
        <is>
          <t>001913</t>
        </is>
      </c>
      <c r="G268" s="3" t="inlineStr">
        <is>
          <t>Xarope Monin Flor Sabugueiro 700ml</t>
        </is>
      </c>
      <c r="H268" s="14" t="n">
        <v>0.025</v>
      </c>
      <c r="I268" s="5" t="inlineStr">
        <is>
          <t>LT</t>
        </is>
      </c>
      <c r="J268" s="4">
        <f>IFERROR(VLOOKUP(F268,'Base Insumos'!$A:$C,3,FALSE()),"PENDENTE")</f>
        <v/>
      </c>
      <c r="K268" s="4">
        <f>IFERROR(IF(J268="PENDENTE",0,J268*H268),0)</f>
        <v/>
      </c>
      <c r="L268" s="4" t="n">
        <v>37.99</v>
      </c>
      <c r="M268" s="15">
        <f>IFERROR(K268/L268,0)</f>
        <v/>
      </c>
      <c r="N268" s="3" t="n"/>
    </row>
    <row r="269" ht="15" customHeight="1">
      <c r="A269" s="16" t="inlineStr">
        <is>
          <t>Drinks</t>
        </is>
      </c>
      <c r="B269" s="17" t="inlineStr">
        <is>
          <t>Drinks</t>
        </is>
      </c>
      <c r="C269" s="18" t="inlineStr">
        <is>
          <t>Fitz Florinda</t>
        </is>
      </c>
      <c r="D269" s="6">
        <f>IF(ISERROR(VLOOKUP(E269,'Estrutura Protheus'!A:A,1,FALSE)),"Não","Sim")</f>
        <v/>
      </c>
      <c r="E269" s="9" t="inlineStr">
        <is>
          <t>001950</t>
        </is>
      </c>
      <c r="F269" s="9" t="inlineStr">
        <is>
          <t>000492</t>
        </is>
      </c>
      <c r="G269" s="7" t="inlineStr">
        <is>
          <t>Limao Taiti Fruta</t>
        </is>
      </c>
      <c r="H269" s="19" t="n">
        <v>0.1</v>
      </c>
      <c r="I269" s="9" t="inlineStr">
        <is>
          <t>KG</t>
        </is>
      </c>
      <c r="J269" s="8">
        <f>IFERROR(VLOOKUP(F269,'Base Insumos'!$A:$C,3,FALSE()),"PENDENTE")</f>
        <v/>
      </c>
      <c r="K269" s="8">
        <f>IFERROR(IF(J269="PENDENTE",0,J269*H269),0)</f>
        <v/>
      </c>
      <c r="L269" s="8" t="n">
        <v>37.99</v>
      </c>
      <c r="M269" s="20">
        <f>IFERROR(K269/L269,0)</f>
        <v/>
      </c>
      <c r="N269" s="7" t="n"/>
    </row>
    <row r="270" ht="15" customHeight="1">
      <c r="A270" s="11" t="inlineStr">
        <is>
          <t>Drinks</t>
        </is>
      </c>
      <c r="B270" s="12" t="inlineStr">
        <is>
          <t>Drinks</t>
        </is>
      </c>
      <c r="C270" s="13" t="inlineStr">
        <is>
          <t>Fitz Gerald</t>
        </is>
      </c>
      <c r="D270" s="2">
        <f>IF(ISERROR(VLOOKUP(E270,'Estrutura Protheus'!A:A,1,FALSE)),"Não","Sim")</f>
        <v/>
      </c>
      <c r="E270" s="5" t="inlineStr">
        <is>
          <t>001951</t>
        </is>
      </c>
      <c r="F270" s="5" t="inlineStr">
        <is>
          <t>001922</t>
        </is>
      </c>
      <c r="G270" s="3" t="inlineStr">
        <is>
          <t>Fitzgerald 750 Ml Aptk</t>
        </is>
      </c>
      <c r="H270" s="14" t="n">
        <v>0.09</v>
      </c>
      <c r="I270" s="5" t="inlineStr">
        <is>
          <t>LT</t>
        </is>
      </c>
      <c r="J270" s="4">
        <f>IFERROR(VLOOKUP(F270,'Base Insumos'!$A:$C,3,FALSE()),"PENDENTE")</f>
        <v/>
      </c>
      <c r="K270" s="4">
        <f>IFERROR(IF(J270="PENDENTE",0,J270*H270),0)</f>
        <v/>
      </c>
      <c r="L270" s="4" t="n">
        <v>38.99</v>
      </c>
      <c r="M270" s="15">
        <f>IFERROR(K270/L270,0)</f>
        <v/>
      </c>
      <c r="N270" s="3" t="n"/>
    </row>
    <row r="271" ht="15" customHeight="1">
      <c r="A271" s="16" t="inlineStr">
        <is>
          <t>Drinks</t>
        </is>
      </c>
      <c r="B271" s="17" t="inlineStr">
        <is>
          <t>Drinks</t>
        </is>
      </c>
      <c r="C271" s="18" t="inlineStr">
        <is>
          <t>Fitz Gerald</t>
        </is>
      </c>
      <c r="D271" s="6">
        <f>IF(ISERROR(VLOOKUP(E271,'Estrutura Protheus'!A:A,1,FALSE)),"Não","Sim")</f>
        <v/>
      </c>
      <c r="E271" s="9" t="inlineStr">
        <is>
          <t>001951</t>
        </is>
      </c>
      <c r="F271" s="9" t="inlineStr">
        <is>
          <t>000619</t>
        </is>
      </c>
      <c r="G271" s="7" t="inlineStr">
        <is>
          <t>Limao Siciliano</t>
        </is>
      </c>
      <c r="H271" s="19" t="n">
        <v>0.05</v>
      </c>
      <c r="I271" s="9" t="inlineStr">
        <is>
          <t>KG</t>
        </is>
      </c>
      <c r="J271" s="8">
        <f>IFERROR(VLOOKUP(F271,'Base Insumos'!$A:$C,3,FALSE()),"PENDENTE")</f>
        <v/>
      </c>
      <c r="K271" s="8">
        <f>IFERROR(IF(J271="PENDENTE",0,J271*H271),0)</f>
        <v/>
      </c>
      <c r="L271" s="8" t="n">
        <v>38.99</v>
      </c>
      <c r="M271" s="20">
        <f>IFERROR(K271/L271,0)</f>
        <v/>
      </c>
      <c r="N271" s="7" t="n"/>
    </row>
    <row r="272" ht="15" customHeight="1">
      <c r="A272" s="11" t="inlineStr">
        <is>
          <t>Drinks</t>
        </is>
      </c>
      <c r="B272" s="12" t="inlineStr">
        <is>
          <t>Drinks</t>
        </is>
      </c>
      <c r="C272" s="13" t="inlineStr">
        <is>
          <t>Fiufiu cajá lemon</t>
        </is>
      </c>
      <c r="D272" s="2">
        <f>IF(ISERROR(VLOOKUP(E272,'Estrutura Protheus'!A:A,1,FALSE)),"Não","Sim")</f>
        <v/>
      </c>
      <c r="E272" s="5" t="inlineStr">
        <is>
          <t>002015</t>
        </is>
      </c>
      <c r="F272" s="5" t="inlineStr">
        <is>
          <t>001988</t>
        </is>
      </c>
      <c r="G272" s="3" t="inlineStr">
        <is>
          <t>Cachaca Fiu Fiu Cajazinha 750ml</t>
        </is>
      </c>
      <c r="H272" s="14" t="n">
        <v>0.075</v>
      </c>
      <c r="I272" s="5" t="inlineStr">
        <is>
          <t>LT</t>
        </is>
      </c>
      <c r="J272" s="4">
        <f>IFERROR(VLOOKUP(F272,'Base Insumos'!$A:$C,3,FALSE()),"PENDENTE")</f>
        <v/>
      </c>
      <c r="K272" s="4">
        <f>IFERROR(IF(J272="PENDENTE",0,J272*H272),0)</f>
        <v/>
      </c>
      <c r="L272" s="4" t="n">
        <v>34</v>
      </c>
      <c r="M272" s="15">
        <f>IFERROR(K272/L272,0)</f>
        <v/>
      </c>
      <c r="N272" s="3" t="n"/>
    </row>
    <row r="273" ht="15" customHeight="1">
      <c r="A273" s="16" t="inlineStr">
        <is>
          <t>Drinks</t>
        </is>
      </c>
      <c r="B273" s="17" t="inlineStr">
        <is>
          <t>Drinks</t>
        </is>
      </c>
      <c r="C273" s="18" t="inlineStr">
        <is>
          <t>Fiufiu cajá lemon</t>
        </is>
      </c>
      <c r="D273" s="6">
        <f>IF(ISERROR(VLOOKUP(E273,'Estrutura Protheus'!A:A,1,FALSE)),"Não","Sim")</f>
        <v/>
      </c>
      <c r="E273" s="9" t="inlineStr">
        <is>
          <t>002015</t>
        </is>
      </c>
      <c r="F273" s="9" t="inlineStr">
        <is>
          <t>000492</t>
        </is>
      </c>
      <c r="G273" s="7" t="inlineStr">
        <is>
          <t>Limao Taiti Fruta</t>
        </is>
      </c>
      <c r="H273" s="19" t="n">
        <v>0.1</v>
      </c>
      <c r="I273" s="9" t="inlineStr">
        <is>
          <t>KG</t>
        </is>
      </c>
      <c r="J273" s="8">
        <f>IFERROR(VLOOKUP(F273,'Base Insumos'!$A:$C,3,FALSE()),"PENDENTE")</f>
        <v/>
      </c>
      <c r="K273" s="8">
        <f>IFERROR(IF(J273="PENDENTE",0,J273*H273),0)</f>
        <v/>
      </c>
      <c r="L273" s="8" t="n">
        <v>34</v>
      </c>
      <c r="M273" s="20">
        <f>IFERROR(K273/L273,0)</f>
        <v/>
      </c>
      <c r="N273" s="7" t="n"/>
    </row>
    <row r="274" ht="15" customHeight="1">
      <c r="A274" s="11" t="inlineStr">
        <is>
          <t>Drinks</t>
        </is>
      </c>
      <c r="B274" s="12" t="inlineStr">
        <is>
          <t>Drinks</t>
        </is>
      </c>
      <c r="C274" s="13" t="inlineStr">
        <is>
          <t>Fiufiu cajá lemon</t>
        </is>
      </c>
      <c r="D274" s="2">
        <f>IF(ISERROR(VLOOKUP(E274,'Estrutura Protheus'!A:A,1,FALSE)),"Não","Sim")</f>
        <v/>
      </c>
      <c r="E274" s="5" t="inlineStr">
        <is>
          <t>002015</t>
        </is>
      </c>
      <c r="F274" s="5" t="inlineStr">
        <is>
          <t>000400</t>
        </is>
      </c>
      <c r="G274" s="3" t="inlineStr">
        <is>
          <t>Mel Riomel</t>
        </is>
      </c>
      <c r="H274" s="14" t="n">
        <v>0.01</v>
      </c>
      <c r="I274" s="5" t="inlineStr">
        <is>
          <t>KG</t>
        </is>
      </c>
      <c r="J274" s="4">
        <f>IFERROR(VLOOKUP(F274,'Base Insumos'!$A:$C,3,FALSE()),"PENDENTE")</f>
        <v/>
      </c>
      <c r="K274" s="4">
        <f>IFERROR(IF(J274="PENDENTE",0,J274*H274),0)</f>
        <v/>
      </c>
      <c r="L274" s="4" t="n">
        <v>34</v>
      </c>
      <c r="M274" s="15">
        <f>IFERROR(K274/L274,0)</f>
        <v/>
      </c>
      <c r="N274" s="3" t="n"/>
    </row>
    <row r="275" ht="15" customHeight="1">
      <c r="A275" s="16" t="inlineStr">
        <is>
          <t>Drinks</t>
        </is>
      </c>
      <c r="B275" s="17" t="inlineStr">
        <is>
          <t>Drinks</t>
        </is>
      </c>
      <c r="C275" s="18" t="inlineStr">
        <is>
          <t>Fiufiu cajá lemon</t>
        </is>
      </c>
      <c r="D275" s="6">
        <f>IF(ISERROR(VLOOKUP(E275,'Estrutura Protheus'!A:A,1,FALSE)),"Não","Sim")</f>
        <v/>
      </c>
      <c r="E275" s="9" t="inlineStr">
        <is>
          <t>002015</t>
        </is>
      </c>
      <c r="F275" s="9" t="inlineStr">
        <is>
          <t>000334</t>
        </is>
      </c>
      <c r="G275" s="7" t="inlineStr">
        <is>
          <t>Agua c/ Gas</t>
        </is>
      </c>
      <c r="H275" s="19" t="n">
        <v>1</v>
      </c>
      <c r="I275" s="9" t="inlineStr">
        <is>
          <t>UN</t>
        </is>
      </c>
      <c r="J275" s="8">
        <f>IFERROR(VLOOKUP(F275,'Base Insumos'!$A:$C,3,FALSE()),"PENDENTE")</f>
        <v/>
      </c>
      <c r="K275" s="8">
        <f>IFERROR(IF(J275="PENDENTE",0,J275*H275),0)</f>
        <v/>
      </c>
      <c r="L275" s="8" t="n">
        <v>34</v>
      </c>
      <c r="M275" s="20">
        <f>IFERROR(K275/L275,0)</f>
        <v/>
      </c>
      <c r="N275" s="7" t="n"/>
    </row>
    <row r="276" ht="15" customHeight="1">
      <c r="A276" s="11" t="inlineStr">
        <is>
          <t>Drinks</t>
        </is>
      </c>
      <c r="B276" s="12" t="inlineStr">
        <is>
          <t>Drinks</t>
        </is>
      </c>
      <c r="C276" s="13" t="inlineStr">
        <is>
          <t>Gin com Red Bull Melancia</t>
        </is>
      </c>
      <c r="D276" s="2">
        <f>IF(ISERROR(VLOOKUP(E276,'Estrutura Protheus'!A:A,1,FALSE)),"Não","Sim")</f>
        <v/>
      </c>
      <c r="E276" s="5" t="inlineStr">
        <is>
          <t>001967</t>
        </is>
      </c>
      <c r="F276" s="5" t="inlineStr">
        <is>
          <t>009820</t>
        </is>
      </c>
      <c r="G276" s="3" t="inlineStr">
        <is>
          <t>Gin Bacco Premium Bag 5lt</t>
        </is>
      </c>
      <c r="H276" s="14" t="n">
        <v>0.05</v>
      </c>
      <c r="I276" s="5" t="inlineStr">
        <is>
          <t>LT</t>
        </is>
      </c>
      <c r="J276" s="4">
        <f>IFERROR(VLOOKUP(F276,'Base Insumos'!$A:$C,3,FALSE()),"PENDENTE")</f>
        <v/>
      </c>
      <c r="K276" s="4">
        <f>IFERROR(IF(J276="PENDENTE",0,J276*H276),0)</f>
        <v/>
      </c>
      <c r="L276" s="4" t="n">
        <v>45</v>
      </c>
      <c r="M276" s="15">
        <f>IFERROR(K276/L276,0)</f>
        <v/>
      </c>
      <c r="N276" s="3" t="n"/>
    </row>
    <row r="277" ht="15" customHeight="1">
      <c r="A277" s="16" t="inlineStr">
        <is>
          <t>Drinks</t>
        </is>
      </c>
      <c r="B277" s="17" t="inlineStr">
        <is>
          <t>Drinks</t>
        </is>
      </c>
      <c r="C277" s="18" t="inlineStr">
        <is>
          <t>Gin com Red Bull Melancia</t>
        </is>
      </c>
      <c r="D277" s="6">
        <f>IF(ISERROR(VLOOKUP(E277,'Estrutura Protheus'!A:A,1,FALSE)),"Não","Sim")</f>
        <v/>
      </c>
      <c r="E277" s="9" t="inlineStr">
        <is>
          <t>001967</t>
        </is>
      </c>
      <c r="F277" s="9" t="inlineStr">
        <is>
          <t>001167</t>
        </is>
      </c>
      <c r="G277" s="7" t="inlineStr">
        <is>
          <t>Red Bull Melancia</t>
        </is>
      </c>
      <c r="H277" s="19" t="n">
        <v>1</v>
      </c>
      <c r="I277" s="9" t="inlineStr">
        <is>
          <t>UN</t>
        </is>
      </c>
      <c r="J277" s="8">
        <f>IFERROR(VLOOKUP(F277,'Base Insumos'!$A:$C,3,FALSE()),"PENDENTE")</f>
        <v/>
      </c>
      <c r="K277" s="8">
        <f>IFERROR(IF(J277="PENDENTE",0,J277*H277),0)</f>
        <v/>
      </c>
      <c r="L277" s="8" t="n">
        <v>45</v>
      </c>
      <c r="M277" s="20">
        <f>IFERROR(K277/L277,0)</f>
        <v/>
      </c>
      <c r="N277" s="7" t="n"/>
    </row>
    <row r="278" ht="15" customHeight="1">
      <c r="A278" s="11" t="inlineStr">
        <is>
          <t>Drinks</t>
        </is>
      </c>
      <c r="B278" s="12" t="inlineStr">
        <is>
          <t>Drinks</t>
        </is>
      </c>
      <c r="C278" s="13" t="inlineStr">
        <is>
          <t>Gin com Red Bull Melancia</t>
        </is>
      </c>
      <c r="D278" s="2">
        <f>IF(ISERROR(VLOOKUP(E278,'Estrutura Protheus'!A:A,1,FALSE)),"Não","Sim")</f>
        <v/>
      </c>
      <c r="E278" s="5" t="inlineStr">
        <is>
          <t>001967</t>
        </is>
      </c>
      <c r="F278" s="5" t="inlineStr">
        <is>
          <t>000619</t>
        </is>
      </c>
      <c r="G278" s="3" t="inlineStr">
        <is>
          <t>Limao Siciliano</t>
        </is>
      </c>
      <c r="H278" s="14" t="n">
        <v>0.05</v>
      </c>
      <c r="I278" s="5" t="inlineStr">
        <is>
          <t>KG</t>
        </is>
      </c>
      <c r="J278" s="4">
        <f>IFERROR(VLOOKUP(F278,'Base Insumos'!$A:$C,3,FALSE()),"PENDENTE")</f>
        <v/>
      </c>
      <c r="K278" s="4">
        <f>IFERROR(IF(J278="PENDENTE",0,J278*H278),0)</f>
        <v/>
      </c>
      <c r="L278" s="4" t="n">
        <v>45</v>
      </c>
      <c r="M278" s="15">
        <f>IFERROR(K278/L278,0)</f>
        <v/>
      </c>
      <c r="N278" s="3" t="n"/>
    </row>
    <row r="279" ht="15" customHeight="1">
      <c r="A279" s="16" t="inlineStr">
        <is>
          <t>Drinks</t>
        </is>
      </c>
      <c r="B279" s="17" t="inlineStr">
        <is>
          <t>Drinks</t>
        </is>
      </c>
      <c r="C279" s="18" t="inlineStr">
        <is>
          <t>Gin Siciliano</t>
        </is>
      </c>
      <c r="D279" s="6">
        <f>IF(ISERROR(VLOOKUP(E279,'Estrutura Protheus'!A:A,1,FALSE)),"Não","Sim")</f>
        <v/>
      </c>
      <c r="E279" s="9" t="inlineStr">
        <is>
          <t>001185</t>
        </is>
      </c>
      <c r="F279" s="9" t="inlineStr">
        <is>
          <t>009820</t>
        </is>
      </c>
      <c r="G279" s="7" t="inlineStr">
        <is>
          <t>Gin Bacco Premium Bag 5lt</t>
        </is>
      </c>
      <c r="H279" s="19" t="n">
        <v>0.08</v>
      </c>
      <c r="I279" s="9" t="inlineStr">
        <is>
          <t>LT</t>
        </is>
      </c>
      <c r="J279" s="8">
        <f>IFERROR(VLOOKUP(F279,'Base Insumos'!$A:$C,3,FALSE()),"PENDENTE")</f>
        <v/>
      </c>
      <c r="K279" s="8">
        <f>IFERROR(IF(J279="PENDENTE",0,J279*H279),0)</f>
        <v/>
      </c>
      <c r="L279" s="8" t="n">
        <v>39.99</v>
      </c>
      <c r="M279" s="20">
        <f>IFERROR(K279/L279,0)</f>
        <v/>
      </c>
      <c r="N279" s="7" t="n"/>
    </row>
    <row r="280" ht="15" customHeight="1">
      <c r="A280" s="11" t="inlineStr">
        <is>
          <t>Drinks</t>
        </is>
      </c>
      <c r="B280" s="12" t="inlineStr">
        <is>
          <t>Drinks</t>
        </is>
      </c>
      <c r="C280" s="13" t="inlineStr">
        <is>
          <t>Gin Siciliano</t>
        </is>
      </c>
      <c r="D280" s="2">
        <f>IF(ISERROR(VLOOKUP(E280,'Estrutura Protheus'!A:A,1,FALSE)),"Não","Sim")</f>
        <v/>
      </c>
      <c r="E280" s="5" t="inlineStr">
        <is>
          <t>001185</t>
        </is>
      </c>
      <c r="F280" s="5" t="inlineStr">
        <is>
          <t>000318</t>
        </is>
      </c>
      <c r="G280" s="3" t="inlineStr">
        <is>
          <t>Tonica Comum Lata</t>
        </is>
      </c>
      <c r="H280" s="14" t="n">
        <v>1</v>
      </c>
      <c r="I280" s="5" t="inlineStr">
        <is>
          <t>UN</t>
        </is>
      </c>
      <c r="J280" s="4">
        <f>IFERROR(VLOOKUP(F280,'Base Insumos'!$A:$C,3,FALSE()),"PENDENTE")</f>
        <v/>
      </c>
      <c r="K280" s="4">
        <f>IFERROR(IF(J280="PENDENTE",0,J280*H280),0)</f>
        <v/>
      </c>
      <c r="L280" s="4" t="n">
        <v>39.99</v>
      </c>
      <c r="M280" s="15">
        <f>IFERROR(K280/L280,0)</f>
        <v/>
      </c>
      <c r="N280" s="3" t="n"/>
    </row>
    <row r="281" ht="15" customHeight="1">
      <c r="A281" s="16" t="inlineStr">
        <is>
          <t>Drinks</t>
        </is>
      </c>
      <c r="B281" s="17" t="inlineStr">
        <is>
          <t>Drinks</t>
        </is>
      </c>
      <c r="C281" s="18" t="inlineStr">
        <is>
          <t>Gin Siciliano</t>
        </is>
      </c>
      <c r="D281" s="6">
        <f>IF(ISERROR(VLOOKUP(E281,'Estrutura Protheus'!A:A,1,FALSE)),"Não","Sim")</f>
        <v/>
      </c>
      <c r="E281" s="9" t="inlineStr">
        <is>
          <t>001185</t>
        </is>
      </c>
      <c r="F281" s="9" t="inlineStr">
        <is>
          <t>000619</t>
        </is>
      </c>
      <c r="G281" s="7" t="inlineStr">
        <is>
          <t>Limao Siciliano</t>
        </is>
      </c>
      <c r="H281" s="19" t="n">
        <v>0.1</v>
      </c>
      <c r="I281" s="9" t="inlineStr">
        <is>
          <t>KG</t>
        </is>
      </c>
      <c r="J281" s="8">
        <f>IFERROR(VLOOKUP(F281,'Base Insumos'!$A:$C,3,FALSE()),"PENDENTE")</f>
        <v/>
      </c>
      <c r="K281" s="8">
        <f>IFERROR(IF(J281="PENDENTE",0,J281*H281),0)</f>
        <v/>
      </c>
      <c r="L281" s="8" t="n">
        <v>39.99</v>
      </c>
      <c r="M281" s="20">
        <f>IFERROR(K281/L281,0)</f>
        <v/>
      </c>
      <c r="N281" s="7" t="n"/>
    </row>
    <row r="282" ht="15" customHeight="1">
      <c r="A282" s="11" t="inlineStr">
        <is>
          <t>Drinks</t>
        </is>
      </c>
      <c r="B282" s="12" t="inlineStr">
        <is>
          <t>Drinks</t>
        </is>
      </c>
      <c r="C282" s="13" t="inlineStr">
        <is>
          <t>Gin Siciliano</t>
        </is>
      </c>
      <c r="D282" s="2">
        <f>IF(ISERROR(VLOOKUP(E282,'Estrutura Protheus'!A:A,1,FALSE)),"Não","Sim")</f>
        <v/>
      </c>
      <c r="E282" s="5" t="inlineStr">
        <is>
          <t>001185</t>
        </is>
      </c>
      <c r="F282" s="5" t="inlineStr">
        <is>
          <t>001177</t>
        </is>
      </c>
      <c r="G282" s="3" t="inlineStr">
        <is>
          <t>Capim Santo</t>
        </is>
      </c>
      <c r="H282" s="14" t="n">
        <v>0.001</v>
      </c>
      <c r="I282" s="5" t="inlineStr">
        <is>
          <t>KG</t>
        </is>
      </c>
      <c r="J282" s="4">
        <f>IFERROR(VLOOKUP(F282,'Base Insumos'!$A:$C,3,FALSE()),"PENDENTE")</f>
        <v/>
      </c>
      <c r="K282" s="4">
        <f>IFERROR(IF(J282="PENDENTE",0,J282*H282),0)</f>
        <v/>
      </c>
      <c r="L282" s="4" t="n">
        <v>39.99</v>
      </c>
      <c r="M282" s="15">
        <f>IFERROR(K282/L282,0)</f>
        <v/>
      </c>
      <c r="N282" s="3" t="n"/>
    </row>
    <row r="283" ht="15" customHeight="1">
      <c r="A283" s="16" t="inlineStr">
        <is>
          <t>Drinks</t>
        </is>
      </c>
      <c r="B283" s="17" t="inlineStr">
        <is>
          <t>Drinks</t>
        </is>
      </c>
      <c r="C283" s="18" t="inlineStr">
        <is>
          <t>Gin Siciliano</t>
        </is>
      </c>
      <c r="D283" s="6">
        <f>IF(ISERROR(VLOOKUP(E283,'Estrutura Protheus'!A:A,1,FALSE)),"Não","Sim")</f>
        <v/>
      </c>
      <c r="E283" s="9" t="inlineStr">
        <is>
          <t>001185</t>
        </is>
      </c>
      <c r="F283" s="9" t="inlineStr">
        <is>
          <t>001176</t>
        </is>
      </c>
      <c r="G283" s="7" t="inlineStr">
        <is>
          <t>Anis Estrelado</t>
        </is>
      </c>
      <c r="H283" s="19" t="n">
        <v>0.002</v>
      </c>
      <c r="I283" s="9" t="inlineStr">
        <is>
          <t>KG</t>
        </is>
      </c>
      <c r="J283" s="8">
        <f>IFERROR(VLOOKUP(F283,'Base Insumos'!$A:$C,3,FALSE()),"PENDENTE")</f>
        <v/>
      </c>
      <c r="K283" s="8">
        <f>IFERROR(IF(J283="PENDENTE",0,J283*H283),0)</f>
        <v/>
      </c>
      <c r="L283" s="8" t="n">
        <v>39.99</v>
      </c>
      <c r="M283" s="20">
        <f>IFERROR(K283/L283,0)</f>
        <v/>
      </c>
      <c r="N283" s="7" t="n"/>
    </row>
    <row r="284" ht="15" customHeight="1">
      <c r="A284" s="11" t="inlineStr">
        <is>
          <t>Drinks</t>
        </is>
      </c>
      <c r="B284" s="12" t="inlineStr">
        <is>
          <t>Drinks</t>
        </is>
      </c>
      <c r="C284" s="13" t="inlineStr">
        <is>
          <t>Gin Siciliano</t>
        </is>
      </c>
      <c r="D284" s="2">
        <f>IF(ISERROR(VLOOKUP(E284,'Estrutura Protheus'!A:A,1,FALSE)),"Não","Sim")</f>
        <v/>
      </c>
      <c r="E284" s="5" t="inlineStr">
        <is>
          <t>001185</t>
        </is>
      </c>
      <c r="F284" s="5" t="inlineStr">
        <is>
          <t>009830</t>
        </is>
      </c>
      <c r="G284" s="3" t="inlineStr">
        <is>
          <t>Xarope Limao Siciliano 3lt</t>
        </is>
      </c>
      <c r="H284" s="14" t="n">
        <v>0.01</v>
      </c>
      <c r="I284" s="5" t="inlineStr">
        <is>
          <t>LT</t>
        </is>
      </c>
      <c r="J284" s="4">
        <f>IFERROR(VLOOKUP(F284,'Base Insumos'!$A:$C,3,FALSE()),"PENDENTE")</f>
        <v/>
      </c>
      <c r="K284" s="4">
        <f>IFERROR(IF(J284="PENDENTE",0,J284*H284),0)</f>
        <v/>
      </c>
      <c r="L284" s="4" t="n">
        <v>39.99</v>
      </c>
      <c r="M284" s="15">
        <f>IFERROR(K284/L284,0)</f>
        <v/>
      </c>
      <c r="N284" s="3" t="n"/>
    </row>
    <row r="285" ht="15" customHeight="1">
      <c r="A285" s="16" t="inlineStr">
        <is>
          <t>Drinks</t>
        </is>
      </c>
      <c r="B285" s="17" t="inlineStr">
        <is>
          <t>Drinks</t>
        </is>
      </c>
      <c r="C285" s="18" t="inlineStr">
        <is>
          <t>Gin Tropical</t>
        </is>
      </c>
      <c r="D285" s="6">
        <f>IF(ISERROR(VLOOKUP(E285,'Estrutura Protheus'!A:A,1,FALSE)),"Não","Sim")</f>
        <v/>
      </c>
      <c r="E285" s="9" t="inlineStr">
        <is>
          <t>000950</t>
        </is>
      </c>
      <c r="F285" s="9" t="inlineStr">
        <is>
          <t>009820</t>
        </is>
      </c>
      <c r="G285" s="7" t="inlineStr">
        <is>
          <t>Gin Bacco Premium Bag 5lt</t>
        </is>
      </c>
      <c r="H285" s="19" t="n">
        <v>0.05</v>
      </c>
      <c r="I285" s="9" t="inlineStr">
        <is>
          <t>LT</t>
        </is>
      </c>
      <c r="J285" s="8">
        <f>IFERROR(VLOOKUP(F285,'Base Insumos'!$A:$C,3,FALSE()),"PENDENTE")</f>
        <v/>
      </c>
      <c r="K285" s="8">
        <f>IFERROR(IF(J285="PENDENTE",0,J285*H285),0)</f>
        <v/>
      </c>
      <c r="L285" s="8" t="n">
        <v>39.99</v>
      </c>
      <c r="M285" s="20">
        <f>IFERROR(K285/L285,0)</f>
        <v/>
      </c>
      <c r="N285" s="7" t="n"/>
    </row>
    <row r="286" ht="15" customHeight="1">
      <c r="A286" s="11" t="inlineStr">
        <is>
          <t>Drinks</t>
        </is>
      </c>
      <c r="B286" s="12" t="inlineStr">
        <is>
          <t>Drinks</t>
        </is>
      </c>
      <c r="C286" s="13" t="inlineStr">
        <is>
          <t>Gin Tropical</t>
        </is>
      </c>
      <c r="D286" s="2">
        <f>IF(ISERROR(VLOOKUP(E286,'Estrutura Protheus'!A:A,1,FALSE)),"Não","Sim")</f>
        <v/>
      </c>
      <c r="E286" s="5" t="inlineStr">
        <is>
          <t>000950</t>
        </is>
      </c>
      <c r="F286" s="5" t="inlineStr">
        <is>
          <t>000749</t>
        </is>
      </c>
      <c r="G286" s="3" t="inlineStr">
        <is>
          <t>Red Bull Tropical</t>
        </is>
      </c>
      <c r="H286" s="14" t="n">
        <v>1</v>
      </c>
      <c r="I286" s="5" t="inlineStr">
        <is>
          <t>UN</t>
        </is>
      </c>
      <c r="J286" s="4">
        <f>IFERROR(VLOOKUP(F286,'Base Insumos'!$A:$C,3,FALSE()),"PENDENTE")</f>
        <v/>
      </c>
      <c r="K286" s="4">
        <f>IFERROR(IF(J286="PENDENTE",0,J286*H286),0)</f>
        <v/>
      </c>
      <c r="L286" s="4" t="n">
        <v>39.99</v>
      </c>
      <c r="M286" s="15">
        <f>IFERROR(K286/L286,0)</f>
        <v/>
      </c>
      <c r="N286" s="3" t="n"/>
    </row>
    <row r="287" ht="15" customHeight="1">
      <c r="A287" s="16" t="inlineStr">
        <is>
          <t>Drinks</t>
        </is>
      </c>
      <c r="B287" s="17" t="inlineStr">
        <is>
          <t>Drinks</t>
        </is>
      </c>
      <c r="C287" s="18" t="inlineStr">
        <is>
          <t>Gin Tropical</t>
        </is>
      </c>
      <c r="D287" s="6">
        <f>IF(ISERROR(VLOOKUP(E287,'Estrutura Protheus'!A:A,1,FALSE)),"Não","Sim")</f>
        <v/>
      </c>
      <c r="E287" s="9" t="inlineStr">
        <is>
          <t>000950</t>
        </is>
      </c>
      <c r="F287" s="9" t="inlineStr">
        <is>
          <t>000490</t>
        </is>
      </c>
      <c r="G287" s="7" t="inlineStr">
        <is>
          <t>Laranja Pera Fruta</t>
        </is>
      </c>
      <c r="H287" s="19" t="n">
        <v>0.15</v>
      </c>
      <c r="I287" s="9" t="inlineStr">
        <is>
          <t>KG</t>
        </is>
      </c>
      <c r="J287" s="8">
        <f>IFERROR(VLOOKUP(F287,'Base Insumos'!$A:$C,3,FALSE()),"PENDENTE")</f>
        <v/>
      </c>
      <c r="K287" s="8">
        <f>IFERROR(IF(J287="PENDENTE",0,J287*H287),0)</f>
        <v/>
      </c>
      <c r="L287" s="8" t="n">
        <v>39.99</v>
      </c>
      <c r="M287" s="20">
        <f>IFERROR(K287/L287,0)</f>
        <v/>
      </c>
      <c r="N287" s="7" t="n"/>
    </row>
    <row r="288" ht="15" customHeight="1">
      <c r="A288" s="11" t="inlineStr">
        <is>
          <t>Drinks</t>
        </is>
      </c>
      <c r="B288" s="12" t="inlineStr">
        <is>
          <t>Drinks</t>
        </is>
      </c>
      <c r="C288" s="13" t="inlineStr">
        <is>
          <t>Gin Tropical</t>
        </is>
      </c>
      <c r="D288" s="2">
        <f>IF(ISERROR(VLOOKUP(E288,'Estrutura Protheus'!A:A,1,FALSE)),"Não","Sim")</f>
        <v/>
      </c>
      <c r="E288" s="5" t="inlineStr">
        <is>
          <t>000950</t>
        </is>
      </c>
      <c r="F288" s="5" t="inlineStr">
        <is>
          <t>000619</t>
        </is>
      </c>
      <c r="G288" s="3" t="inlineStr">
        <is>
          <t>Limao Siciliano</t>
        </is>
      </c>
      <c r="H288" s="14" t="n">
        <v>0.05</v>
      </c>
      <c r="I288" s="5" t="inlineStr">
        <is>
          <t>KG</t>
        </is>
      </c>
      <c r="J288" s="4">
        <f>IFERROR(VLOOKUP(F288,'Base Insumos'!$A:$C,3,FALSE()),"PENDENTE")</f>
        <v/>
      </c>
      <c r="K288" s="4">
        <f>IFERROR(IF(J288="PENDENTE",0,J288*H288),0)</f>
        <v/>
      </c>
      <c r="L288" s="4" t="n">
        <v>39.99</v>
      </c>
      <c r="M288" s="15">
        <f>IFERROR(K288/L288,0)</f>
        <v/>
      </c>
      <c r="N288" s="3" t="n"/>
    </row>
    <row r="289" ht="15" customHeight="1">
      <c r="A289" s="16" t="inlineStr">
        <is>
          <t>Drinks</t>
        </is>
      </c>
      <c r="B289" s="17" t="inlineStr">
        <is>
          <t>Drinks</t>
        </is>
      </c>
      <c r="C289" s="18" t="inlineStr">
        <is>
          <t>Gin Tônica</t>
        </is>
      </c>
      <c r="D289" s="6">
        <f>IF(ISERROR(VLOOKUP(E289,'Estrutura Protheus'!A:A,1,FALSE)),"Não","Sim")</f>
        <v/>
      </c>
      <c r="E289" s="9" t="inlineStr">
        <is>
          <t>000062</t>
        </is>
      </c>
      <c r="F289" s="9" t="inlineStr">
        <is>
          <t>009820</t>
        </is>
      </c>
      <c r="G289" s="7" t="inlineStr">
        <is>
          <t>Gin Bacco Premium Bag 5lt</t>
        </is>
      </c>
      <c r="H289" s="19" t="n">
        <v>0.05</v>
      </c>
      <c r="I289" s="9" t="inlineStr">
        <is>
          <t>LT</t>
        </is>
      </c>
      <c r="J289" s="8">
        <f>IFERROR(VLOOKUP(F289,'Base Insumos'!$A:$C,3,FALSE()),"PENDENTE")</f>
        <v/>
      </c>
      <c r="K289" s="8">
        <f>IFERROR(IF(J289="PENDENTE",0,J289*H289),0)</f>
        <v/>
      </c>
      <c r="L289" s="8" t="n">
        <v>37.99</v>
      </c>
      <c r="M289" s="20">
        <f>IFERROR(K289/L289,0)</f>
        <v/>
      </c>
      <c r="N289" s="7" t="n"/>
    </row>
    <row r="290" ht="15" customHeight="1">
      <c r="A290" s="11" t="inlineStr">
        <is>
          <t>Drinks</t>
        </is>
      </c>
      <c r="B290" s="12" t="inlineStr">
        <is>
          <t>Drinks</t>
        </is>
      </c>
      <c r="C290" s="13" t="inlineStr">
        <is>
          <t>Gin Tônica</t>
        </is>
      </c>
      <c r="D290" s="2">
        <f>IF(ISERROR(VLOOKUP(E290,'Estrutura Protheus'!A:A,1,FALSE)),"Não","Sim")</f>
        <v/>
      </c>
      <c r="E290" s="5" t="inlineStr">
        <is>
          <t>000062</t>
        </is>
      </c>
      <c r="F290" s="5" t="inlineStr">
        <is>
          <t>000318</t>
        </is>
      </c>
      <c r="G290" s="3" t="inlineStr">
        <is>
          <t>Tonica Comum Lata</t>
        </is>
      </c>
      <c r="H290" s="14" t="n">
        <v>1</v>
      </c>
      <c r="I290" s="5" t="inlineStr">
        <is>
          <t>UN</t>
        </is>
      </c>
      <c r="J290" s="4">
        <f>IFERROR(VLOOKUP(F290,'Base Insumos'!$A:$C,3,FALSE()),"PENDENTE")</f>
        <v/>
      </c>
      <c r="K290" s="4">
        <f>IFERROR(IF(J290="PENDENTE",0,J290*H290),0)</f>
        <v/>
      </c>
      <c r="L290" s="4" t="n">
        <v>37.99</v>
      </c>
      <c r="M290" s="15">
        <f>IFERROR(K290/L290,0)</f>
        <v/>
      </c>
      <c r="N290" s="3" t="n"/>
    </row>
    <row r="291" ht="15" customHeight="1">
      <c r="A291" s="16" t="inlineStr">
        <is>
          <t>Drinks</t>
        </is>
      </c>
      <c r="B291" s="17" t="inlineStr">
        <is>
          <t>Drinks</t>
        </is>
      </c>
      <c r="C291" s="18" t="inlineStr">
        <is>
          <t>Gin Tônica</t>
        </is>
      </c>
      <c r="D291" s="6">
        <f>IF(ISERROR(VLOOKUP(E291,'Estrutura Protheus'!A:A,1,FALSE)),"Não","Sim")</f>
        <v/>
      </c>
      <c r="E291" s="9" t="inlineStr">
        <is>
          <t>000062</t>
        </is>
      </c>
      <c r="F291" s="9" t="inlineStr">
        <is>
          <t>000619</t>
        </is>
      </c>
      <c r="G291" s="7" t="inlineStr">
        <is>
          <t>Limao Siciliano</t>
        </is>
      </c>
      <c r="H291" s="19" t="n">
        <v>0.05</v>
      </c>
      <c r="I291" s="9" t="inlineStr">
        <is>
          <t>KG</t>
        </is>
      </c>
      <c r="J291" s="8">
        <f>IFERROR(VLOOKUP(F291,'Base Insumos'!$A:$C,3,FALSE()),"PENDENTE")</f>
        <v/>
      </c>
      <c r="K291" s="8">
        <f>IFERROR(IF(J291="PENDENTE",0,J291*H291),0)</f>
        <v/>
      </c>
      <c r="L291" s="8" t="n">
        <v>37.99</v>
      </c>
      <c r="M291" s="20">
        <f>IFERROR(K291/L291,0)</f>
        <v/>
      </c>
      <c r="N291" s="7" t="n"/>
    </row>
    <row r="292" ht="15" customHeight="1">
      <c r="A292" s="11" t="inlineStr">
        <is>
          <t>Drinks</t>
        </is>
      </c>
      <c r="B292" s="12" t="inlineStr">
        <is>
          <t>Drinks</t>
        </is>
      </c>
      <c r="C292" s="13" t="inlineStr">
        <is>
          <t>Gin Tônica de  Frutas Vermelhas</t>
        </is>
      </c>
      <c r="D292" s="2">
        <f>IF(ISERROR(VLOOKUP(E292,'Estrutura Protheus'!A:A,1,FALSE)),"Não","Sim")</f>
        <v/>
      </c>
      <c r="E292" s="5" t="inlineStr">
        <is>
          <t>001179</t>
        </is>
      </c>
      <c r="F292" s="5" t="inlineStr">
        <is>
          <t>009820</t>
        </is>
      </c>
      <c r="G292" s="3" t="inlineStr">
        <is>
          <t>Gin Bacco Premium Bag 5lt</t>
        </is>
      </c>
      <c r="H292" s="14" t="n">
        <v>0.08</v>
      </c>
      <c r="I292" s="5" t="inlineStr">
        <is>
          <t>LT</t>
        </is>
      </c>
      <c r="J292" s="4">
        <f>IFERROR(VLOOKUP(F292,'Base Insumos'!$A:$C,3,FALSE()),"PENDENTE")</f>
        <v/>
      </c>
      <c r="K292" s="4">
        <f>IFERROR(IF(J292="PENDENTE",0,J292*H292),0)</f>
        <v/>
      </c>
      <c r="L292" s="4" t="n">
        <v>39.99</v>
      </c>
      <c r="M292" s="15">
        <f>IFERROR(K292/L292,0)</f>
        <v/>
      </c>
      <c r="N292" s="3" t="n"/>
    </row>
    <row r="293" ht="15" customHeight="1">
      <c r="A293" s="16" t="inlineStr">
        <is>
          <t>Drinks</t>
        </is>
      </c>
      <c r="B293" s="17" t="inlineStr">
        <is>
          <t>Drinks</t>
        </is>
      </c>
      <c r="C293" s="18" t="inlineStr">
        <is>
          <t>Gin Tônica de  Frutas Vermelhas</t>
        </is>
      </c>
      <c r="D293" s="6">
        <f>IF(ISERROR(VLOOKUP(E293,'Estrutura Protheus'!A:A,1,FALSE)),"Não","Sim")</f>
        <v/>
      </c>
      <c r="E293" s="9" t="inlineStr">
        <is>
          <t>001179</t>
        </is>
      </c>
      <c r="F293" s="9" t="inlineStr">
        <is>
          <t>000318</t>
        </is>
      </c>
      <c r="G293" s="7" t="inlineStr">
        <is>
          <t>Tonica Comum Lata</t>
        </is>
      </c>
      <c r="H293" s="19" t="n">
        <v>1</v>
      </c>
      <c r="I293" s="9" t="inlineStr">
        <is>
          <t>UN</t>
        </is>
      </c>
      <c r="J293" s="8">
        <f>IFERROR(VLOOKUP(F293,'Base Insumos'!$A:$C,3,FALSE()),"PENDENTE")</f>
        <v/>
      </c>
      <c r="K293" s="8">
        <f>IFERROR(IF(J293="PENDENTE",0,J293*H293),0)</f>
        <v/>
      </c>
      <c r="L293" s="8" t="n">
        <v>39.99</v>
      </c>
      <c r="M293" s="20">
        <f>IFERROR(K293/L293,0)</f>
        <v/>
      </c>
      <c r="N293" s="7" t="n"/>
    </row>
    <row r="294" ht="15" customHeight="1">
      <c r="A294" s="11" t="inlineStr">
        <is>
          <t>Drinks</t>
        </is>
      </c>
      <c r="B294" s="12" t="inlineStr">
        <is>
          <t>Drinks</t>
        </is>
      </c>
      <c r="C294" s="13" t="inlineStr">
        <is>
          <t>Gin Tônica de  Frutas Vermelhas</t>
        </is>
      </c>
      <c r="D294" s="2">
        <f>IF(ISERROR(VLOOKUP(E294,'Estrutura Protheus'!A:A,1,FALSE)),"Não","Sim")</f>
        <v/>
      </c>
      <c r="E294" s="5" t="inlineStr">
        <is>
          <t>001179</t>
        </is>
      </c>
      <c r="F294" s="5" t="inlineStr">
        <is>
          <t>000590</t>
        </is>
      </c>
      <c r="G294" s="3" t="inlineStr">
        <is>
          <t>Morango Fruta</t>
        </is>
      </c>
      <c r="H294" s="14" t="n">
        <v>0.015</v>
      </c>
      <c r="I294" s="5" t="inlineStr">
        <is>
          <t>KG</t>
        </is>
      </c>
      <c r="J294" s="4">
        <f>IFERROR(VLOOKUP(F294,'Base Insumos'!$A:$C,3,FALSE()),"PENDENTE")</f>
        <v/>
      </c>
      <c r="K294" s="4">
        <f>IFERROR(IF(J294="PENDENTE",0,J294*H294),0)</f>
        <v/>
      </c>
      <c r="L294" s="4" t="n">
        <v>39.99</v>
      </c>
      <c r="M294" s="15">
        <f>IFERROR(K294/L294,0)</f>
        <v/>
      </c>
      <c r="N294" s="3" t="n"/>
    </row>
    <row r="295" ht="15" customHeight="1">
      <c r="A295" s="16" t="inlineStr">
        <is>
          <t>Drinks</t>
        </is>
      </c>
      <c r="B295" s="17" t="inlineStr">
        <is>
          <t>Drinks</t>
        </is>
      </c>
      <c r="C295" s="18" t="inlineStr">
        <is>
          <t>Gin Tônica de  Frutas Vermelhas</t>
        </is>
      </c>
      <c r="D295" s="6">
        <f>IF(ISERROR(VLOOKUP(E295,'Estrutura Protheus'!A:A,1,FALSE)),"Não","Sim")</f>
        <v/>
      </c>
      <c r="E295" s="9" t="inlineStr">
        <is>
          <t>001179</t>
        </is>
      </c>
      <c r="F295" s="9" t="inlineStr">
        <is>
          <t>000210</t>
        </is>
      </c>
      <c r="G295" s="7" t="inlineStr">
        <is>
          <t>Polpa Amora</t>
        </is>
      </c>
      <c r="H295" s="19" t="n">
        <v>0.015</v>
      </c>
      <c r="I295" s="9" t="inlineStr">
        <is>
          <t>KG</t>
        </is>
      </c>
      <c r="J295" s="8">
        <f>IFERROR(VLOOKUP(F295,'Base Insumos'!$A:$C,3,FALSE()),"PENDENTE")</f>
        <v/>
      </c>
      <c r="K295" s="8">
        <f>IFERROR(IF(J295="PENDENTE",0,J295*H295),0)</f>
        <v/>
      </c>
      <c r="L295" s="8" t="n">
        <v>39.99</v>
      </c>
      <c r="M295" s="20">
        <f>IFERROR(K295/L295,0)</f>
        <v/>
      </c>
      <c r="N295" s="7" t="n"/>
    </row>
    <row r="296" ht="15" customHeight="1">
      <c r="A296" s="11" t="inlineStr">
        <is>
          <t>Drinks</t>
        </is>
      </c>
      <c r="B296" s="12" t="inlineStr">
        <is>
          <t>Drinks</t>
        </is>
      </c>
      <c r="C296" s="13" t="inlineStr">
        <is>
          <t>Gin Tônica de  Frutas Vermelhas</t>
        </is>
      </c>
      <c r="D296" s="2">
        <f>IF(ISERROR(VLOOKUP(E296,'Estrutura Protheus'!A:A,1,FALSE)),"Não","Sim")</f>
        <v/>
      </c>
      <c r="E296" s="5" t="inlineStr">
        <is>
          <t>001179</t>
        </is>
      </c>
      <c r="F296" s="5" t="inlineStr">
        <is>
          <t>001174</t>
        </is>
      </c>
      <c r="G296" s="3" t="inlineStr">
        <is>
          <t>Flor de Hibisco</t>
        </is>
      </c>
      <c r="H296" s="14" t="n">
        <v>0.005</v>
      </c>
      <c r="I296" s="5" t="inlineStr">
        <is>
          <t>KG</t>
        </is>
      </c>
      <c r="J296" s="4">
        <f>IFERROR(VLOOKUP(F296,'Base Insumos'!$A:$C,3,FALSE()),"PENDENTE")</f>
        <v/>
      </c>
      <c r="K296" s="4">
        <f>IFERROR(IF(J296="PENDENTE",0,J296*H296),0)</f>
        <v/>
      </c>
      <c r="L296" s="4" t="n">
        <v>39.99</v>
      </c>
      <c r="M296" s="15">
        <f>IFERROR(K296/L296,0)</f>
        <v/>
      </c>
      <c r="N296" s="3" t="n"/>
    </row>
    <row r="297" ht="15" customHeight="1">
      <c r="A297" s="16" t="inlineStr">
        <is>
          <t>Drinks</t>
        </is>
      </c>
      <c r="B297" s="17" t="inlineStr">
        <is>
          <t>Drinks</t>
        </is>
      </c>
      <c r="C297" s="18" t="inlineStr">
        <is>
          <t>Gin Tônica de  Frutas Vermelhas</t>
        </is>
      </c>
      <c r="D297" s="6">
        <f>IF(ISERROR(VLOOKUP(E297,'Estrutura Protheus'!A:A,1,FALSE)),"Não","Sim")</f>
        <v/>
      </c>
      <c r="E297" s="9" t="inlineStr">
        <is>
          <t>001179</t>
        </is>
      </c>
      <c r="F297" s="9" t="inlineStr">
        <is>
          <t>001175</t>
        </is>
      </c>
      <c r="G297" s="7" t="inlineStr">
        <is>
          <t>Cha Frutas Vermelhas Sache Cx com 10 Saches</t>
        </is>
      </c>
      <c r="H297" s="19" t="n">
        <v>1</v>
      </c>
      <c r="I297" s="9" t="inlineStr">
        <is>
          <t>UN</t>
        </is>
      </c>
      <c r="J297" s="8">
        <f>IFERROR(VLOOKUP(F297,'Base Insumos'!$A:$C,3,FALSE()),"PENDENTE")</f>
        <v/>
      </c>
      <c r="K297" s="8">
        <f>IFERROR(IF(J297="PENDENTE",0,J297*H297),0)</f>
        <v/>
      </c>
      <c r="L297" s="8" t="n">
        <v>39.99</v>
      </c>
      <c r="M297" s="20">
        <f>IFERROR(K297/L297,0)</f>
        <v/>
      </c>
      <c r="N297" s="7" t="n"/>
    </row>
    <row r="298" ht="15" customHeight="1">
      <c r="A298" s="11" t="inlineStr">
        <is>
          <t>Drinks</t>
        </is>
      </c>
      <c r="B298" s="12" t="inlineStr">
        <is>
          <t>Drinks</t>
        </is>
      </c>
      <c r="C298" s="13" t="inlineStr">
        <is>
          <t>Gin Tônica Maracujá</t>
        </is>
      </c>
      <c r="D298" s="2">
        <f>IF(ISERROR(VLOOKUP(E298,'Estrutura Protheus'!A:A,1,FALSE)),"Não","Sim")</f>
        <v/>
      </c>
      <c r="E298" s="5" t="inlineStr">
        <is>
          <t>001964</t>
        </is>
      </c>
      <c r="F298" s="5" t="inlineStr">
        <is>
          <t>009820</t>
        </is>
      </c>
      <c r="G298" s="3" t="inlineStr">
        <is>
          <t>Gin Bacco Premium Bag 5lt</t>
        </is>
      </c>
      <c r="H298" s="14" t="n">
        <v>0.12</v>
      </c>
      <c r="I298" s="5" t="inlineStr">
        <is>
          <t>LT</t>
        </is>
      </c>
      <c r="J298" s="4">
        <f>IFERROR(VLOOKUP(F298,'Base Insumos'!$A:$C,3,FALSE()),"PENDENTE")</f>
        <v/>
      </c>
      <c r="K298" s="4">
        <f>IFERROR(IF(J298="PENDENTE",0,J298*H298),0)</f>
        <v/>
      </c>
      <c r="L298" s="4" t="n">
        <v>39.99</v>
      </c>
      <c r="M298" s="15">
        <f>IFERROR(K298/L298,0)</f>
        <v/>
      </c>
      <c r="N298" s="3" t="n"/>
    </row>
    <row r="299" ht="15" customHeight="1">
      <c r="A299" s="16" t="inlineStr">
        <is>
          <t>Drinks</t>
        </is>
      </c>
      <c r="B299" s="17" t="inlineStr">
        <is>
          <t>Drinks</t>
        </is>
      </c>
      <c r="C299" s="18" t="inlineStr">
        <is>
          <t>Gin Tônica Maracujá</t>
        </is>
      </c>
      <c r="D299" s="6">
        <f>IF(ISERROR(VLOOKUP(E299,'Estrutura Protheus'!A:A,1,FALSE)),"Não","Sim")</f>
        <v/>
      </c>
      <c r="E299" s="9" t="inlineStr">
        <is>
          <t>001964</t>
        </is>
      </c>
      <c r="F299" s="9" t="inlineStr">
        <is>
          <t>000318</t>
        </is>
      </c>
      <c r="G299" s="7" t="inlineStr">
        <is>
          <t>Tonica Comum Lata</t>
        </is>
      </c>
      <c r="H299" s="19" t="n">
        <v>1</v>
      </c>
      <c r="I299" s="9" t="inlineStr">
        <is>
          <t>UN</t>
        </is>
      </c>
      <c r="J299" s="8">
        <f>IFERROR(VLOOKUP(F299,'Base Insumos'!$A:$C,3,FALSE()),"PENDENTE")</f>
        <v/>
      </c>
      <c r="K299" s="8">
        <f>IFERROR(IF(J299="PENDENTE",0,J299*H299),0)</f>
        <v/>
      </c>
      <c r="L299" s="8" t="n">
        <v>39.99</v>
      </c>
      <c r="M299" s="20">
        <f>IFERROR(K299/L299,0)</f>
        <v/>
      </c>
      <c r="N299" s="7" t="n"/>
    </row>
    <row r="300" ht="15" customHeight="1">
      <c r="A300" s="11" t="inlineStr">
        <is>
          <t>Drinks</t>
        </is>
      </c>
      <c r="B300" s="12" t="inlineStr">
        <is>
          <t>Drinks</t>
        </is>
      </c>
      <c r="C300" s="13" t="inlineStr">
        <is>
          <t>Gin Tônica Maracujá</t>
        </is>
      </c>
      <c r="D300" s="2">
        <f>IF(ISERROR(VLOOKUP(E300,'Estrutura Protheus'!A:A,1,FALSE)),"Não","Sim")</f>
        <v/>
      </c>
      <c r="E300" s="5" t="inlineStr">
        <is>
          <t>001964</t>
        </is>
      </c>
      <c r="F300" s="5" t="inlineStr">
        <is>
          <t>001915</t>
        </is>
      </c>
      <c r="G300" s="3" t="inlineStr">
        <is>
          <t>Xarope Monin Maracuja 700 Ml</t>
        </is>
      </c>
      <c r="H300" s="14" t="n">
        <v>0.12</v>
      </c>
      <c r="I300" s="5" t="inlineStr">
        <is>
          <t>LT</t>
        </is>
      </c>
      <c r="J300" s="4">
        <f>IFERROR(VLOOKUP(F300,'Base Insumos'!$A:$C,3,FALSE()),"PENDENTE")</f>
        <v/>
      </c>
      <c r="K300" s="4">
        <f>IFERROR(IF(J300="PENDENTE",0,J300*H300),0)</f>
        <v/>
      </c>
      <c r="L300" s="4" t="n">
        <v>39.99</v>
      </c>
      <c r="M300" s="15">
        <f>IFERROR(K300/L300,0)</f>
        <v/>
      </c>
      <c r="N300" s="3" t="n"/>
    </row>
    <row r="301" ht="15" customHeight="1">
      <c r="A301" s="16" t="inlineStr">
        <is>
          <t>Drinks</t>
        </is>
      </c>
      <c r="B301" s="17" t="inlineStr">
        <is>
          <t>Drinks</t>
        </is>
      </c>
      <c r="C301" s="18" t="inlineStr">
        <is>
          <t>Gin Tônica Maracujá</t>
        </is>
      </c>
      <c r="D301" s="6">
        <f>IF(ISERROR(VLOOKUP(E301,'Estrutura Protheus'!A:A,1,FALSE)),"Não","Sim")</f>
        <v/>
      </c>
      <c r="E301" s="9" t="inlineStr">
        <is>
          <t>001964</t>
        </is>
      </c>
      <c r="F301" s="9" t="inlineStr">
        <is>
          <t>000619</t>
        </is>
      </c>
      <c r="G301" s="7" t="inlineStr">
        <is>
          <t>Limao Siciliano</t>
        </is>
      </c>
      <c r="H301" s="19" t="n">
        <v>0.05</v>
      </c>
      <c r="I301" s="9" t="inlineStr">
        <is>
          <t>KG</t>
        </is>
      </c>
      <c r="J301" s="8">
        <f>IFERROR(VLOOKUP(F301,'Base Insumos'!$A:$C,3,FALSE()),"PENDENTE")</f>
        <v/>
      </c>
      <c r="K301" s="8">
        <f>IFERROR(IF(J301="PENDENTE",0,J301*H301),0)</f>
        <v/>
      </c>
      <c r="L301" s="8" t="n">
        <v>39.99</v>
      </c>
      <c r="M301" s="20">
        <f>IFERROR(K301/L301,0)</f>
        <v/>
      </c>
      <c r="N301" s="7" t="n"/>
    </row>
    <row r="302" ht="15" customHeight="1">
      <c r="A302" s="11" t="inlineStr">
        <is>
          <t>Drinks</t>
        </is>
      </c>
      <c r="B302" s="12" t="inlineStr">
        <is>
          <t>Drinks</t>
        </is>
      </c>
      <c r="C302" s="13" t="inlineStr">
        <is>
          <t>Gin Tônica Maracujá</t>
        </is>
      </c>
      <c r="D302" s="2">
        <f>IF(ISERROR(VLOOKUP(E302,'Estrutura Protheus'!A:A,1,FALSE)),"Não","Sim")</f>
        <v/>
      </c>
      <c r="E302" s="5" t="inlineStr">
        <is>
          <t>001964</t>
        </is>
      </c>
      <c r="F302" s="5" t="inlineStr">
        <is>
          <t>000474</t>
        </is>
      </c>
      <c r="G302" s="3" t="inlineStr">
        <is>
          <t>Hortela Grande</t>
        </is>
      </c>
      <c r="H302" s="14" t="n">
        <v>0.03</v>
      </c>
      <c r="I302" s="5" t="inlineStr">
        <is>
          <t>KG</t>
        </is>
      </c>
      <c r="J302" s="4">
        <f>IFERROR(VLOOKUP(F302,'Base Insumos'!$A:$C,3,FALSE()),"PENDENTE")</f>
        <v/>
      </c>
      <c r="K302" s="4">
        <f>IFERROR(IF(J302="PENDENTE",0,J302*H302),0)</f>
        <v/>
      </c>
      <c r="L302" s="4" t="n">
        <v>39.99</v>
      </c>
      <c r="M302" s="15">
        <f>IFERROR(K302/L302,0)</f>
        <v/>
      </c>
      <c r="N302" s="3" t="n"/>
    </row>
    <row r="303" ht="15" customHeight="1">
      <c r="A303" s="16" t="inlineStr">
        <is>
          <t>Drinks</t>
        </is>
      </c>
      <c r="B303" s="17" t="inlineStr">
        <is>
          <t>Drinks</t>
        </is>
      </c>
      <c r="C303" s="18" t="inlineStr">
        <is>
          <t>Gin Tônica Morango</t>
        </is>
      </c>
      <c r="D303" s="6">
        <f>IF(ISERROR(VLOOKUP(E303,'Estrutura Protheus'!A:A,1,FALSE)),"Não","Sim")</f>
        <v/>
      </c>
      <c r="E303" s="9" t="inlineStr">
        <is>
          <t>000948</t>
        </is>
      </c>
      <c r="F303" s="9" t="inlineStr">
        <is>
          <t>009820</t>
        </is>
      </c>
      <c r="G303" s="7" t="inlineStr">
        <is>
          <t>Gin Bacco Premium Bag 5lt</t>
        </is>
      </c>
      <c r="H303" s="19" t="n">
        <v>0.08</v>
      </c>
      <c r="I303" s="9" t="inlineStr">
        <is>
          <t>LT</t>
        </is>
      </c>
      <c r="J303" s="8">
        <f>IFERROR(VLOOKUP(F303,'Base Insumos'!$A:$C,3,FALSE()),"PENDENTE")</f>
        <v/>
      </c>
      <c r="K303" s="8">
        <f>IFERROR(IF(J303="PENDENTE",0,J303*H303),0)</f>
        <v/>
      </c>
      <c r="L303" s="8" t="n">
        <v>39.99</v>
      </c>
      <c r="M303" s="20">
        <f>IFERROR(K303/L303,0)</f>
        <v/>
      </c>
      <c r="N303" s="7" t="n"/>
    </row>
    <row r="304" ht="15" customHeight="1">
      <c r="A304" s="11" t="inlineStr">
        <is>
          <t>Drinks</t>
        </is>
      </c>
      <c r="B304" s="12" t="inlineStr">
        <is>
          <t>Drinks</t>
        </is>
      </c>
      <c r="C304" s="13" t="inlineStr">
        <is>
          <t>Gin Tônica Morango</t>
        </is>
      </c>
      <c r="D304" s="2">
        <f>IF(ISERROR(VLOOKUP(E304,'Estrutura Protheus'!A:A,1,FALSE)),"Não","Sim")</f>
        <v/>
      </c>
      <c r="E304" s="5" t="inlineStr">
        <is>
          <t>000948</t>
        </is>
      </c>
      <c r="F304" s="5" t="inlineStr">
        <is>
          <t>000318</t>
        </is>
      </c>
      <c r="G304" s="3" t="inlineStr">
        <is>
          <t>Tonica Comum Lata</t>
        </is>
      </c>
      <c r="H304" s="14" t="n">
        <v>1</v>
      </c>
      <c r="I304" s="5" t="inlineStr">
        <is>
          <t>UN</t>
        </is>
      </c>
      <c r="J304" s="4">
        <f>IFERROR(VLOOKUP(F304,'Base Insumos'!$A:$C,3,FALSE()),"PENDENTE")</f>
        <v/>
      </c>
      <c r="K304" s="4">
        <f>IFERROR(IF(J304="PENDENTE",0,J304*H304),0)</f>
        <v/>
      </c>
      <c r="L304" s="4" t="n">
        <v>39.99</v>
      </c>
      <c r="M304" s="15">
        <f>IFERROR(K304/L304,0)</f>
        <v/>
      </c>
      <c r="N304" s="3" t="n"/>
    </row>
    <row r="305" ht="15" customHeight="1">
      <c r="A305" s="16" t="inlineStr">
        <is>
          <t>Drinks</t>
        </is>
      </c>
      <c r="B305" s="17" t="inlineStr">
        <is>
          <t>Drinks</t>
        </is>
      </c>
      <c r="C305" s="18" t="inlineStr">
        <is>
          <t>Gin Tônica Morango</t>
        </is>
      </c>
      <c r="D305" s="6">
        <f>IF(ISERROR(VLOOKUP(E305,'Estrutura Protheus'!A:A,1,FALSE)),"Não","Sim")</f>
        <v/>
      </c>
      <c r="E305" s="9" t="inlineStr">
        <is>
          <t>000948</t>
        </is>
      </c>
      <c r="F305" s="9" t="inlineStr">
        <is>
          <t>009826</t>
        </is>
      </c>
      <c r="G305" s="7" t="inlineStr">
        <is>
          <t>Xarope Morango 3lt</t>
        </is>
      </c>
      <c r="H305" s="19" t="n">
        <v>0.12</v>
      </c>
      <c r="I305" s="9" t="inlineStr">
        <is>
          <t>LT</t>
        </is>
      </c>
      <c r="J305" s="8">
        <f>IFERROR(VLOOKUP(F305,'Base Insumos'!$A:$C,3,FALSE()),"PENDENTE")</f>
        <v/>
      </c>
      <c r="K305" s="8">
        <f>IFERROR(IF(J305="PENDENTE",0,J305*H305),0)</f>
        <v/>
      </c>
      <c r="L305" s="8" t="n">
        <v>39.99</v>
      </c>
      <c r="M305" s="20">
        <f>IFERROR(K305/L305,0)</f>
        <v/>
      </c>
      <c r="N305" s="7" t="n"/>
    </row>
    <row r="306" ht="15" customHeight="1">
      <c r="A306" s="11" t="inlineStr">
        <is>
          <t>Drinks</t>
        </is>
      </c>
      <c r="B306" s="12" t="inlineStr">
        <is>
          <t>Drinks</t>
        </is>
      </c>
      <c r="C306" s="13" t="inlineStr">
        <is>
          <t>Gin Tônica Morango</t>
        </is>
      </c>
      <c r="D306" s="2">
        <f>IF(ISERROR(VLOOKUP(E306,'Estrutura Protheus'!A:A,1,FALSE)),"Não","Sim")</f>
        <v/>
      </c>
      <c r="E306" s="5" t="inlineStr">
        <is>
          <t>000948</t>
        </is>
      </c>
      <c r="F306" s="5" t="inlineStr">
        <is>
          <t>000492</t>
        </is>
      </c>
      <c r="G306" s="3" t="inlineStr">
        <is>
          <t>Limao Taiti Fruta</t>
        </is>
      </c>
      <c r="H306" s="14" t="n">
        <v>0.05</v>
      </c>
      <c r="I306" s="5" t="inlineStr">
        <is>
          <t>KG</t>
        </is>
      </c>
      <c r="J306" s="4">
        <f>IFERROR(VLOOKUP(F306,'Base Insumos'!$A:$C,3,FALSE()),"PENDENTE")</f>
        <v/>
      </c>
      <c r="K306" s="4">
        <f>IFERROR(IF(J306="PENDENTE",0,J306*H306),0)</f>
        <v/>
      </c>
      <c r="L306" s="4" t="n">
        <v>39.99</v>
      </c>
      <c r="M306" s="15">
        <f>IFERROR(K306/L306,0)</f>
        <v/>
      </c>
      <c r="N306" s="3" t="n"/>
    </row>
    <row r="307" ht="15" customHeight="1">
      <c r="A307" s="16" t="inlineStr">
        <is>
          <t>Drinks</t>
        </is>
      </c>
      <c r="B307" s="17" t="inlineStr">
        <is>
          <t>Drinks</t>
        </is>
      </c>
      <c r="C307" s="18" t="inlineStr">
        <is>
          <t>Gin Tônica Morango</t>
        </is>
      </c>
      <c r="D307" s="6">
        <f>IF(ISERROR(VLOOKUP(E307,'Estrutura Protheus'!A:A,1,FALSE)),"Não","Sim")</f>
        <v/>
      </c>
      <c r="E307" s="9" t="inlineStr">
        <is>
          <t>000948</t>
        </is>
      </c>
      <c r="F307" s="9" t="inlineStr">
        <is>
          <t>000619</t>
        </is>
      </c>
      <c r="G307" s="7" t="inlineStr">
        <is>
          <t>Limao Siciliano</t>
        </is>
      </c>
      <c r="H307" s="19" t="n">
        <v>0.05</v>
      </c>
      <c r="I307" s="9" t="inlineStr">
        <is>
          <t>KG</t>
        </is>
      </c>
      <c r="J307" s="8">
        <f>IFERROR(VLOOKUP(F307,'Base Insumos'!$A:$C,3,FALSE()),"PENDENTE")</f>
        <v/>
      </c>
      <c r="K307" s="8">
        <f>IFERROR(IF(J307="PENDENTE",0,J307*H307),0)</f>
        <v/>
      </c>
      <c r="L307" s="8" t="n">
        <v>39.99</v>
      </c>
      <c r="M307" s="20">
        <f>IFERROR(K307/L307,0)</f>
        <v/>
      </c>
      <c r="N307" s="7" t="n"/>
    </row>
    <row r="308" ht="15" customHeight="1">
      <c r="A308" s="11" t="inlineStr">
        <is>
          <t>Drinks</t>
        </is>
      </c>
      <c r="B308" s="12" t="inlineStr">
        <is>
          <t>Drinks</t>
        </is>
      </c>
      <c r="C308" s="13" t="inlineStr">
        <is>
          <t>Gin Tônica Morango</t>
        </is>
      </c>
      <c r="D308" s="2">
        <f>IF(ISERROR(VLOOKUP(E308,'Estrutura Protheus'!A:A,1,FALSE)),"Não","Sim")</f>
        <v/>
      </c>
      <c r="E308" s="5" t="inlineStr">
        <is>
          <t>000948</t>
        </is>
      </c>
      <c r="F308" s="5" t="inlineStr">
        <is>
          <t>000590</t>
        </is>
      </c>
      <c r="G308" s="3" t="inlineStr">
        <is>
          <t>Morango Fruta</t>
        </is>
      </c>
      <c r="H308" s="14" t="n">
        <v>0.03</v>
      </c>
      <c r="I308" s="5" t="inlineStr">
        <is>
          <t>KG</t>
        </is>
      </c>
      <c r="J308" s="4">
        <f>IFERROR(VLOOKUP(F308,'Base Insumos'!$A:$C,3,FALSE()),"PENDENTE")</f>
        <v/>
      </c>
      <c r="K308" s="4">
        <f>IFERROR(IF(J308="PENDENTE",0,J308*H308),0)</f>
        <v/>
      </c>
      <c r="L308" s="4" t="n">
        <v>39.99</v>
      </c>
      <c r="M308" s="15">
        <f>IFERROR(K308/L308,0)</f>
        <v/>
      </c>
      <c r="N308" s="3" t="n"/>
    </row>
    <row r="309" ht="15" customHeight="1">
      <c r="A309" s="16" t="inlineStr">
        <is>
          <t>Drinks</t>
        </is>
      </c>
      <c r="B309" s="17" t="inlineStr">
        <is>
          <t>Drinks</t>
        </is>
      </c>
      <c r="C309" s="18" t="inlineStr">
        <is>
          <t>Gin Tônica Morango</t>
        </is>
      </c>
      <c r="D309" s="6">
        <f>IF(ISERROR(VLOOKUP(E309,'Estrutura Protheus'!A:A,1,FALSE)),"Não","Sim")</f>
        <v/>
      </c>
      <c r="E309" s="9" t="inlineStr">
        <is>
          <t>000948</t>
        </is>
      </c>
      <c r="F309" s="9" t="inlineStr">
        <is>
          <t>000474</t>
        </is>
      </c>
      <c r="G309" s="7" t="inlineStr">
        <is>
          <t>Hortela Grande</t>
        </is>
      </c>
      <c r="H309" s="19" t="n">
        <v>0.03</v>
      </c>
      <c r="I309" s="9" t="inlineStr">
        <is>
          <t>KG</t>
        </is>
      </c>
      <c r="J309" s="8">
        <f>IFERROR(VLOOKUP(F309,'Base Insumos'!$A:$C,3,FALSE()),"PENDENTE")</f>
        <v/>
      </c>
      <c r="K309" s="8">
        <f>IFERROR(IF(J309="PENDENTE",0,J309*H309),0)</f>
        <v/>
      </c>
      <c r="L309" s="8" t="n">
        <v>39.99</v>
      </c>
      <c r="M309" s="20">
        <f>IFERROR(K309/L309,0)</f>
        <v/>
      </c>
      <c r="N309" s="7" t="n"/>
    </row>
    <row r="310" ht="15" customHeight="1">
      <c r="A310" s="11" t="inlineStr">
        <is>
          <t>Drinks</t>
        </is>
      </c>
      <c r="B310" s="12" t="inlineStr">
        <is>
          <t>Drinks</t>
        </is>
      </c>
      <c r="C310" s="13" t="inlineStr">
        <is>
          <t>Gin Tônica Pink</t>
        </is>
      </c>
      <c r="D310" s="2">
        <f>IF(ISERROR(VLOOKUP(E310,'Estrutura Protheus'!A:A,1,FALSE)),"Não","Sim")</f>
        <v/>
      </c>
      <c r="E310" s="5" t="inlineStr">
        <is>
          <t>000949</t>
        </is>
      </c>
      <c r="F310" s="5" t="inlineStr">
        <is>
          <t>000939</t>
        </is>
      </c>
      <c r="G310" s="3" t="inlineStr">
        <is>
          <t>Gin Beefeater Pink Garrafa 750ml</t>
        </is>
      </c>
      <c r="H310" s="14" t="n">
        <v>0.08</v>
      </c>
      <c r="I310" s="5" t="inlineStr">
        <is>
          <t>LT</t>
        </is>
      </c>
      <c r="J310" s="4">
        <f>IFERROR(VLOOKUP(F310,'Base Insumos'!$A:$C,3,FALSE()),"PENDENTE")</f>
        <v/>
      </c>
      <c r="K310" s="4">
        <f>IFERROR(IF(J310="PENDENTE",0,J310*H310),0)</f>
        <v/>
      </c>
      <c r="L310" s="4" t="n">
        <v>39.99</v>
      </c>
      <c r="M310" s="15">
        <f>IFERROR(K310/L310,0)</f>
        <v/>
      </c>
      <c r="N310" s="3" t="n"/>
    </row>
    <row r="311" ht="15" customHeight="1">
      <c r="A311" s="16" t="inlineStr">
        <is>
          <t>Drinks</t>
        </is>
      </c>
      <c r="B311" s="17" t="inlineStr">
        <is>
          <t>Drinks</t>
        </is>
      </c>
      <c r="C311" s="18" t="inlineStr">
        <is>
          <t>Gin Tônica Pink</t>
        </is>
      </c>
      <c r="D311" s="6">
        <f>IF(ISERROR(VLOOKUP(E311,'Estrutura Protheus'!A:A,1,FALSE)),"Não","Sim")</f>
        <v/>
      </c>
      <c r="E311" s="9" t="inlineStr">
        <is>
          <t>000949</t>
        </is>
      </c>
      <c r="F311" s="9" t="inlineStr">
        <is>
          <t>000318</t>
        </is>
      </c>
      <c r="G311" s="7" t="inlineStr">
        <is>
          <t>Tonica Comum Lata</t>
        </is>
      </c>
      <c r="H311" s="19" t="n">
        <v>1</v>
      </c>
      <c r="I311" s="9" t="inlineStr">
        <is>
          <t>UN</t>
        </is>
      </c>
      <c r="J311" s="8">
        <f>IFERROR(VLOOKUP(F311,'Base Insumos'!$A:$C,3,FALSE()),"PENDENTE")</f>
        <v/>
      </c>
      <c r="K311" s="8">
        <f>IFERROR(IF(J311="PENDENTE",0,J311*H311),0)</f>
        <v/>
      </c>
      <c r="L311" s="8" t="n">
        <v>39.99</v>
      </c>
      <c r="M311" s="20">
        <f>IFERROR(K311/L311,0)</f>
        <v/>
      </c>
      <c r="N311" s="7" t="n"/>
    </row>
    <row r="312" ht="15" customHeight="1">
      <c r="A312" s="11" t="inlineStr">
        <is>
          <t>Drinks</t>
        </is>
      </c>
      <c r="B312" s="12" t="inlineStr">
        <is>
          <t>Drinks</t>
        </is>
      </c>
      <c r="C312" s="13" t="inlineStr">
        <is>
          <t>Gin Tônica Pink</t>
        </is>
      </c>
      <c r="D312" s="2">
        <f>IF(ISERROR(VLOOKUP(E312,'Estrutura Protheus'!A:A,1,FALSE)),"Não","Sim")</f>
        <v/>
      </c>
      <c r="E312" s="5" t="inlineStr">
        <is>
          <t>000949</t>
        </is>
      </c>
      <c r="F312" s="5" t="inlineStr">
        <is>
          <t>009826</t>
        </is>
      </c>
      <c r="G312" s="3" t="inlineStr">
        <is>
          <t>Xarope Morango 3lt</t>
        </is>
      </c>
      <c r="H312" s="14" t="n">
        <v>0.01</v>
      </c>
      <c r="I312" s="5" t="inlineStr">
        <is>
          <t>LT</t>
        </is>
      </c>
      <c r="J312" s="4">
        <f>IFERROR(VLOOKUP(F312,'Base Insumos'!$A:$C,3,FALSE()),"PENDENTE")</f>
        <v/>
      </c>
      <c r="K312" s="4">
        <f>IFERROR(IF(J312="PENDENTE",0,J312*H312),0)</f>
        <v/>
      </c>
      <c r="L312" s="4" t="n">
        <v>39.99</v>
      </c>
      <c r="M312" s="15">
        <f>IFERROR(K312/L312,0)</f>
        <v/>
      </c>
      <c r="N312" s="3" t="n"/>
    </row>
    <row r="313" ht="15" customHeight="1">
      <c r="A313" s="16" t="inlineStr">
        <is>
          <t>Drinks</t>
        </is>
      </c>
      <c r="B313" s="17" t="inlineStr">
        <is>
          <t>Drinks</t>
        </is>
      </c>
      <c r="C313" s="18" t="inlineStr">
        <is>
          <t>Gin Tônica Pink</t>
        </is>
      </c>
      <c r="D313" s="6">
        <f>IF(ISERROR(VLOOKUP(E313,'Estrutura Protheus'!A:A,1,FALSE)),"Não","Sim")</f>
        <v/>
      </c>
      <c r="E313" s="9" t="inlineStr">
        <is>
          <t>000949</t>
        </is>
      </c>
      <c r="F313" s="9" t="inlineStr">
        <is>
          <t>000492</t>
        </is>
      </c>
      <c r="G313" s="7" t="inlineStr">
        <is>
          <t>Limao Taiti Fruta</t>
        </is>
      </c>
      <c r="H313" s="19" t="n">
        <v>0.05</v>
      </c>
      <c r="I313" s="9" t="inlineStr">
        <is>
          <t>KG</t>
        </is>
      </c>
      <c r="J313" s="8">
        <f>IFERROR(VLOOKUP(F313,'Base Insumos'!$A:$C,3,FALSE()),"PENDENTE")</f>
        <v/>
      </c>
      <c r="K313" s="8">
        <f>IFERROR(IF(J313="PENDENTE",0,J313*H313),0)</f>
        <v/>
      </c>
      <c r="L313" s="8" t="n">
        <v>39.99</v>
      </c>
      <c r="M313" s="20">
        <f>IFERROR(K313/L313,0)</f>
        <v/>
      </c>
      <c r="N313" s="7" t="n"/>
    </row>
    <row r="314" ht="15" customHeight="1">
      <c r="A314" s="11" t="inlineStr">
        <is>
          <t>Drinks</t>
        </is>
      </c>
      <c r="B314" s="12" t="inlineStr">
        <is>
          <t>Drinks</t>
        </is>
      </c>
      <c r="C314" s="13" t="inlineStr">
        <is>
          <t>Gin Tônica Pink</t>
        </is>
      </c>
      <c r="D314" s="2">
        <f>IF(ISERROR(VLOOKUP(E314,'Estrutura Protheus'!A:A,1,FALSE)),"Não","Sim")</f>
        <v/>
      </c>
      <c r="E314" s="5" t="inlineStr">
        <is>
          <t>000949</t>
        </is>
      </c>
      <c r="F314" s="5" t="inlineStr">
        <is>
          <t>000590</t>
        </is>
      </c>
      <c r="G314" s="3" t="inlineStr">
        <is>
          <t>Morango Fruta</t>
        </is>
      </c>
      <c r="H314" s="14" t="n">
        <v>0.05</v>
      </c>
      <c r="I314" s="5" t="inlineStr">
        <is>
          <t>KG</t>
        </is>
      </c>
      <c r="J314" s="4">
        <f>IFERROR(VLOOKUP(F314,'Base Insumos'!$A:$C,3,FALSE()),"PENDENTE")</f>
        <v/>
      </c>
      <c r="K314" s="4">
        <f>IFERROR(IF(J314="PENDENTE",0,J314*H314),0)</f>
        <v/>
      </c>
      <c r="L314" s="4" t="n">
        <v>39.99</v>
      </c>
      <c r="M314" s="15">
        <f>IFERROR(K314/L314,0)</f>
        <v/>
      </c>
      <c r="N314" s="3" t="n"/>
    </row>
    <row r="315" ht="15" customHeight="1">
      <c r="A315" s="16" t="inlineStr">
        <is>
          <t>Drinks</t>
        </is>
      </c>
      <c r="B315" s="17" t="inlineStr">
        <is>
          <t>Drinks</t>
        </is>
      </c>
      <c r="C315" s="18" t="inlineStr">
        <is>
          <t>Gin Tônica Pink</t>
        </is>
      </c>
      <c r="D315" s="6">
        <f>IF(ISERROR(VLOOKUP(E315,'Estrutura Protheus'!A:A,1,FALSE)),"Não","Sim")</f>
        <v/>
      </c>
      <c r="E315" s="9" t="inlineStr">
        <is>
          <t>000949</t>
        </is>
      </c>
      <c r="F315" s="9" t="inlineStr">
        <is>
          <t>000474</t>
        </is>
      </c>
      <c r="G315" s="7" t="inlineStr">
        <is>
          <t>Hortela Grande</t>
        </is>
      </c>
      <c r="H315" s="19" t="n">
        <v>0.003</v>
      </c>
      <c r="I315" s="9" t="inlineStr">
        <is>
          <t>KG</t>
        </is>
      </c>
      <c r="J315" s="8">
        <f>IFERROR(VLOOKUP(F315,'Base Insumos'!$A:$C,3,FALSE()),"PENDENTE")</f>
        <v/>
      </c>
      <c r="K315" s="8">
        <f>IFERROR(IF(J315="PENDENTE",0,J315*H315),0)</f>
        <v/>
      </c>
      <c r="L315" s="8" t="n">
        <v>39.99</v>
      </c>
      <c r="M315" s="20">
        <f>IFERROR(K315/L315,0)</f>
        <v/>
      </c>
      <c r="N315" s="7" t="n"/>
    </row>
    <row r="316" ht="15" customHeight="1">
      <c r="A316" s="11" t="inlineStr">
        <is>
          <t>Drinks</t>
        </is>
      </c>
      <c r="B316" s="12" t="inlineStr">
        <is>
          <t>Drinks</t>
        </is>
      </c>
      <c r="C316" s="13" t="inlineStr">
        <is>
          <t>Gin Tônica Quintal</t>
        </is>
      </c>
      <c r="D316" s="2">
        <f>IF(ISERROR(VLOOKUP(E316,'Estrutura Protheus'!A:A,1,FALSE)),"Não","Sim")</f>
        <v/>
      </c>
      <c r="E316" s="5" t="inlineStr">
        <is>
          <t>001183</t>
        </is>
      </c>
      <c r="F316" s="5" t="inlineStr">
        <is>
          <t>009820</t>
        </is>
      </c>
      <c r="G316" s="3" t="inlineStr">
        <is>
          <t>Gin Bacco Premium Bag 5lt</t>
        </is>
      </c>
      <c r="H316" s="14" t="n">
        <v>0.08</v>
      </c>
      <c r="I316" s="5" t="inlineStr">
        <is>
          <t>LT</t>
        </is>
      </c>
      <c r="J316" s="4">
        <f>IFERROR(VLOOKUP(F316,'Base Insumos'!$A:$C,3,FALSE()),"PENDENTE")</f>
        <v/>
      </c>
      <c r="K316" s="4">
        <f>IFERROR(IF(J316="PENDENTE",0,J316*H316),0)</f>
        <v/>
      </c>
      <c r="L316" s="4" t="n">
        <v>37.99</v>
      </c>
      <c r="M316" s="15">
        <f>IFERROR(K316/L316,0)</f>
        <v/>
      </c>
      <c r="N316" s="3" t="n"/>
    </row>
    <row r="317" ht="15" customHeight="1">
      <c r="A317" s="16" t="inlineStr">
        <is>
          <t>Drinks</t>
        </is>
      </c>
      <c r="B317" s="17" t="inlineStr">
        <is>
          <t>Drinks</t>
        </is>
      </c>
      <c r="C317" s="18" t="inlineStr">
        <is>
          <t>Gin Tônica Quintal</t>
        </is>
      </c>
      <c r="D317" s="6">
        <f>IF(ISERROR(VLOOKUP(E317,'Estrutura Protheus'!A:A,1,FALSE)),"Não","Sim")</f>
        <v/>
      </c>
      <c r="E317" s="9" t="inlineStr">
        <is>
          <t>001183</t>
        </is>
      </c>
      <c r="F317" s="9" t="inlineStr">
        <is>
          <t>000318</t>
        </is>
      </c>
      <c r="G317" s="7" t="inlineStr">
        <is>
          <t>Tonica Comum Lata</t>
        </is>
      </c>
      <c r="H317" s="19" t="n">
        <v>1</v>
      </c>
      <c r="I317" s="9" t="inlineStr">
        <is>
          <t>UN</t>
        </is>
      </c>
      <c r="J317" s="8">
        <f>IFERROR(VLOOKUP(F317,'Base Insumos'!$A:$C,3,FALSE()),"PENDENTE")</f>
        <v/>
      </c>
      <c r="K317" s="8">
        <f>IFERROR(IF(J317="PENDENTE",0,J317*H317),0)</f>
        <v/>
      </c>
      <c r="L317" s="8" t="n">
        <v>37.99</v>
      </c>
      <c r="M317" s="20">
        <f>IFERROR(K317/L317,0)</f>
        <v/>
      </c>
      <c r="N317" s="7" t="n"/>
    </row>
    <row r="318" ht="15" customHeight="1">
      <c r="A318" s="11" t="inlineStr">
        <is>
          <t>Drinks</t>
        </is>
      </c>
      <c r="B318" s="12" t="inlineStr">
        <is>
          <t>Drinks</t>
        </is>
      </c>
      <c r="C318" s="13" t="inlineStr">
        <is>
          <t>Gin Tônica Quintal</t>
        </is>
      </c>
      <c r="D318" s="2">
        <f>IF(ISERROR(VLOOKUP(E318,'Estrutura Protheus'!A:A,1,FALSE)),"Não","Sim")</f>
        <v/>
      </c>
      <c r="E318" s="5" t="inlineStr">
        <is>
          <t>001183</t>
        </is>
      </c>
      <c r="F318" s="5" t="inlineStr">
        <is>
          <t>000490</t>
        </is>
      </c>
      <c r="G318" s="3" t="inlineStr">
        <is>
          <t>Laranja Pera Fruta</t>
        </is>
      </c>
      <c r="H318" s="14" t="n">
        <v>0.15</v>
      </c>
      <c r="I318" s="5" t="inlineStr">
        <is>
          <t>KG</t>
        </is>
      </c>
      <c r="J318" s="4">
        <f>IFERROR(VLOOKUP(F318,'Base Insumos'!$A:$C,3,FALSE()),"PENDENTE")</f>
        <v/>
      </c>
      <c r="K318" s="4">
        <f>IFERROR(IF(J318="PENDENTE",0,J318*H318),0)</f>
        <v/>
      </c>
      <c r="L318" s="4" t="n">
        <v>37.99</v>
      </c>
      <c r="M318" s="15">
        <f>IFERROR(K318/L318,0)</f>
        <v/>
      </c>
      <c r="N318" s="3" t="n"/>
    </row>
    <row r="319" ht="15" customHeight="1">
      <c r="A319" s="16" t="inlineStr">
        <is>
          <t>Drinks</t>
        </is>
      </c>
      <c r="B319" s="17" t="inlineStr">
        <is>
          <t>Drinks</t>
        </is>
      </c>
      <c r="C319" s="18" t="inlineStr">
        <is>
          <t>Gin Tônica Quintal</t>
        </is>
      </c>
      <c r="D319" s="6">
        <f>IF(ISERROR(VLOOKUP(E319,'Estrutura Protheus'!A:A,1,FALSE)),"Não","Sim")</f>
        <v/>
      </c>
      <c r="E319" s="9" t="inlineStr">
        <is>
          <t>001183</t>
        </is>
      </c>
      <c r="F319" s="9" t="inlineStr">
        <is>
          <t>000619</t>
        </is>
      </c>
      <c r="G319" s="7" t="inlineStr">
        <is>
          <t>Limao Siciliano</t>
        </is>
      </c>
      <c r="H319" s="19" t="n">
        <v>0.05</v>
      </c>
      <c r="I319" s="9" t="inlineStr">
        <is>
          <t>KG</t>
        </is>
      </c>
      <c r="J319" s="8">
        <f>IFERROR(VLOOKUP(F319,'Base Insumos'!$A:$C,3,FALSE()),"PENDENTE")</f>
        <v/>
      </c>
      <c r="K319" s="8">
        <f>IFERROR(IF(J319="PENDENTE",0,J319*H319),0)</f>
        <v/>
      </c>
      <c r="L319" s="8" t="n">
        <v>37.99</v>
      </c>
      <c r="M319" s="20">
        <f>IFERROR(K319/L319,0)</f>
        <v/>
      </c>
      <c r="N319" s="7" t="n"/>
    </row>
    <row r="320" ht="15" customHeight="1">
      <c r="A320" s="11" t="inlineStr">
        <is>
          <t>Drinks</t>
        </is>
      </c>
      <c r="B320" s="12" t="inlineStr">
        <is>
          <t>Drinks</t>
        </is>
      </c>
      <c r="C320" s="13" t="inlineStr">
        <is>
          <t>Gold Rush</t>
        </is>
      </c>
      <c r="D320" s="2">
        <f>IF(ISERROR(VLOOKUP(E320,'Estrutura Protheus'!A:A,1,FALSE)),"Não","Sim")</f>
        <v/>
      </c>
      <c r="E320" s="5" t="inlineStr">
        <is>
          <t>001959</t>
        </is>
      </c>
      <c r="F320" s="5" t="inlineStr">
        <is>
          <t>001193</t>
        </is>
      </c>
      <c r="G320" s="3" t="inlineStr">
        <is>
          <t>Whisky Jack Daniels Tennessee 1lt</t>
        </is>
      </c>
      <c r="H320" s="14" t="n">
        <v>0.05</v>
      </c>
      <c r="I320" s="5" t="inlineStr">
        <is>
          <t>LT</t>
        </is>
      </c>
      <c r="J320" s="4">
        <f>IFERROR(VLOOKUP(F320,'Base Insumos'!$A:$C,3,FALSE()),"PENDENTE")</f>
        <v/>
      </c>
      <c r="K320" s="4">
        <f>IFERROR(IF(J320="PENDENTE",0,J320*H320),0)</f>
        <v/>
      </c>
      <c r="L320" s="4" t="n">
        <v>38.99</v>
      </c>
      <c r="M320" s="15">
        <f>IFERROR(K320/L320,0)</f>
        <v/>
      </c>
      <c r="N320" s="3" t="n"/>
    </row>
    <row r="321" ht="15" customHeight="1">
      <c r="A321" s="16" t="inlineStr">
        <is>
          <t>Drinks</t>
        </is>
      </c>
      <c r="B321" s="17" t="inlineStr">
        <is>
          <t>Drinks</t>
        </is>
      </c>
      <c r="C321" s="18" t="inlineStr">
        <is>
          <t>Gold Rush</t>
        </is>
      </c>
      <c r="D321" s="6">
        <f>IF(ISERROR(VLOOKUP(E321,'Estrutura Protheus'!A:A,1,FALSE)),"Não","Sim")</f>
        <v/>
      </c>
      <c r="E321" s="9" t="inlineStr">
        <is>
          <t>001959</t>
        </is>
      </c>
      <c r="F321" s="9" t="inlineStr">
        <is>
          <t>000400</t>
        </is>
      </c>
      <c r="G321" s="7" t="inlineStr">
        <is>
          <t>Mel Riomel</t>
        </is>
      </c>
      <c r="H321" s="19" t="n">
        <v>0.025</v>
      </c>
      <c r="I321" s="9" t="inlineStr">
        <is>
          <t>KG</t>
        </is>
      </c>
      <c r="J321" s="8">
        <f>IFERROR(VLOOKUP(F321,'Base Insumos'!$A:$C,3,FALSE()),"PENDENTE")</f>
        <v/>
      </c>
      <c r="K321" s="8">
        <f>IFERROR(IF(J321="PENDENTE",0,J321*H321),0)</f>
        <v/>
      </c>
      <c r="L321" s="8" t="n">
        <v>38.99</v>
      </c>
      <c r="M321" s="20">
        <f>IFERROR(K321/L321,0)</f>
        <v/>
      </c>
      <c r="N321" s="7" t="n"/>
    </row>
    <row r="322" ht="15" customHeight="1">
      <c r="A322" s="11" t="inlineStr">
        <is>
          <t>Drinks</t>
        </is>
      </c>
      <c r="B322" s="12" t="inlineStr">
        <is>
          <t>Drinks</t>
        </is>
      </c>
      <c r="C322" s="13" t="inlineStr">
        <is>
          <t>Gold Rush</t>
        </is>
      </c>
      <c r="D322" s="2">
        <f>IF(ISERROR(VLOOKUP(E322,'Estrutura Protheus'!A:A,1,FALSE)),"Não","Sim")</f>
        <v/>
      </c>
      <c r="E322" s="5" t="inlineStr">
        <is>
          <t>001959</t>
        </is>
      </c>
      <c r="F322" s="5" t="inlineStr">
        <is>
          <t>000492</t>
        </is>
      </c>
      <c r="G322" s="3" t="inlineStr">
        <is>
          <t>Limao Taiti Fruta</t>
        </is>
      </c>
      <c r="H322" s="14" t="n">
        <v>0.1</v>
      </c>
      <c r="I322" s="5" t="inlineStr">
        <is>
          <t>KG</t>
        </is>
      </c>
      <c r="J322" s="4">
        <f>IFERROR(VLOOKUP(F322,'Base Insumos'!$A:$C,3,FALSE()),"PENDENTE")</f>
        <v/>
      </c>
      <c r="K322" s="4">
        <f>IFERROR(IF(J322="PENDENTE",0,J322*H322),0)</f>
        <v/>
      </c>
      <c r="L322" s="4" t="n">
        <v>38.99</v>
      </c>
      <c r="M322" s="15">
        <f>IFERROR(K322/L322,0)</f>
        <v/>
      </c>
      <c r="N322" s="3" t="n"/>
    </row>
    <row r="323" ht="15" customHeight="1">
      <c r="A323" s="16" t="inlineStr">
        <is>
          <t>Drinks</t>
        </is>
      </c>
      <c r="B323" s="17" t="inlineStr">
        <is>
          <t>Drinks</t>
        </is>
      </c>
      <c r="C323" s="18" t="inlineStr">
        <is>
          <t>Gold Rush</t>
        </is>
      </c>
      <c r="D323" s="6">
        <f>IF(ISERROR(VLOOKUP(E323,'Estrutura Protheus'!A:A,1,FALSE)),"Não","Sim")</f>
        <v/>
      </c>
      <c r="E323" s="9" t="inlineStr">
        <is>
          <t>001959</t>
        </is>
      </c>
      <c r="F323" s="9" t="inlineStr">
        <is>
          <t>000619</t>
        </is>
      </c>
      <c r="G323" s="7" t="inlineStr">
        <is>
          <t>Limao Siciliano</t>
        </is>
      </c>
      <c r="H323" s="19" t="n">
        <v>0.025</v>
      </c>
      <c r="I323" s="9" t="inlineStr">
        <is>
          <t>KG</t>
        </is>
      </c>
      <c r="J323" s="8">
        <f>IFERROR(VLOOKUP(F323,'Base Insumos'!$A:$C,3,FALSE()),"PENDENTE")</f>
        <v/>
      </c>
      <c r="K323" s="8">
        <f>IFERROR(IF(J323="PENDENTE",0,J323*H323),0)</f>
        <v/>
      </c>
      <c r="L323" s="8" t="n">
        <v>38.99</v>
      </c>
      <c r="M323" s="20">
        <f>IFERROR(K323/L323,0)</f>
        <v/>
      </c>
      <c r="N323" s="7" t="n"/>
    </row>
    <row r="324" ht="15" customHeight="1">
      <c r="A324" s="11" t="inlineStr">
        <is>
          <t>Drinks</t>
        </is>
      </c>
      <c r="B324" s="12" t="inlineStr">
        <is>
          <t>Drinks</t>
        </is>
      </c>
      <c r="C324" s="13" t="inlineStr">
        <is>
          <t>Hugo Spritz</t>
        </is>
      </c>
      <c r="D324" s="2">
        <f>IF(ISERROR(VLOOKUP(E324,'Estrutura Protheus'!A:A,1,FALSE)),"Não","Sim")</f>
        <v/>
      </c>
      <c r="E324" s="5" t="inlineStr">
        <is>
          <t>001957</t>
        </is>
      </c>
      <c r="F324" s="5" t="inlineStr">
        <is>
          <t>009820</t>
        </is>
      </c>
      <c r="G324" s="3" t="inlineStr">
        <is>
          <t>Gin Bacco Premium Bag 5lt</t>
        </is>
      </c>
      <c r="H324" s="14" t="n">
        <v>0.05</v>
      </c>
      <c r="I324" s="5" t="inlineStr">
        <is>
          <t>LT</t>
        </is>
      </c>
      <c r="J324" s="4">
        <f>IFERROR(VLOOKUP(F324,'Base Insumos'!$A:$C,3,FALSE()),"PENDENTE")</f>
        <v/>
      </c>
      <c r="K324" s="4">
        <f>IFERROR(IF(J324="PENDENTE",0,J324*H324),0)</f>
        <v/>
      </c>
      <c r="L324" s="4" t="n">
        <v>39.99</v>
      </c>
      <c r="M324" s="15">
        <f>IFERROR(K324/L324,0)</f>
        <v/>
      </c>
      <c r="N324" s="3" t="n"/>
    </row>
    <row r="325" ht="15" customHeight="1">
      <c r="A325" s="16" t="inlineStr">
        <is>
          <t>Drinks</t>
        </is>
      </c>
      <c r="B325" s="17" t="inlineStr">
        <is>
          <t>Drinks</t>
        </is>
      </c>
      <c r="C325" s="18" t="inlineStr">
        <is>
          <t>Hugo Spritz</t>
        </is>
      </c>
      <c r="D325" s="6">
        <f>IF(ISERROR(VLOOKUP(E325,'Estrutura Protheus'!A:A,1,FALSE)),"Não","Sim")</f>
        <v/>
      </c>
      <c r="E325" s="9" t="inlineStr">
        <is>
          <t>001957</t>
        </is>
      </c>
      <c r="F325" s="9" t="inlineStr">
        <is>
          <t>0001222</t>
        </is>
      </c>
      <c r="G325" s="7" t="inlineStr">
        <is>
          <t>Espumante Salton Brut 750ml</t>
        </is>
      </c>
      <c r="H325" s="19" t="n">
        <v>0.12</v>
      </c>
      <c r="I325" s="9" t="inlineStr">
        <is>
          <t>LT</t>
        </is>
      </c>
      <c r="J325" s="8">
        <f>IFERROR(VLOOKUP(F325,'Base Insumos'!$A:$C,3,FALSE()),"PENDENTE")</f>
        <v/>
      </c>
      <c r="K325" s="8">
        <f>IFERROR(IF(J325="PENDENTE",0,J325*H325),0)</f>
        <v/>
      </c>
      <c r="L325" s="8" t="n">
        <v>39.99</v>
      </c>
      <c r="M325" s="20">
        <f>IFERROR(K325/L325,0)</f>
        <v/>
      </c>
      <c r="N325" s="7" t="n"/>
    </row>
    <row r="326" ht="15" customHeight="1">
      <c r="A326" s="11" t="inlineStr">
        <is>
          <t>Drinks</t>
        </is>
      </c>
      <c r="B326" s="12" t="inlineStr">
        <is>
          <t>Drinks</t>
        </is>
      </c>
      <c r="C326" s="13" t="inlineStr">
        <is>
          <t>Hugo Spritz</t>
        </is>
      </c>
      <c r="D326" s="2">
        <f>IF(ISERROR(VLOOKUP(E326,'Estrutura Protheus'!A:A,1,FALSE)),"Não","Sim")</f>
        <v/>
      </c>
      <c r="E326" s="5" t="inlineStr">
        <is>
          <t>001957</t>
        </is>
      </c>
      <c r="F326" s="5" t="inlineStr">
        <is>
          <t>000619</t>
        </is>
      </c>
      <c r="G326" s="3" t="inlineStr">
        <is>
          <t>Limao Siciliano</t>
        </is>
      </c>
      <c r="H326" s="14" t="n">
        <v>0.05</v>
      </c>
      <c r="I326" s="5" t="inlineStr">
        <is>
          <t>KG</t>
        </is>
      </c>
      <c r="J326" s="4">
        <f>IFERROR(VLOOKUP(F326,'Base Insumos'!$A:$C,3,FALSE()),"PENDENTE")</f>
        <v/>
      </c>
      <c r="K326" s="4">
        <f>IFERROR(IF(J326="PENDENTE",0,J326*H326),0)</f>
        <v/>
      </c>
      <c r="L326" s="4" t="n">
        <v>39.99</v>
      </c>
      <c r="M326" s="15">
        <f>IFERROR(K326/L326,0)</f>
        <v/>
      </c>
      <c r="N326" s="3" t="n"/>
    </row>
    <row r="327" ht="15" customHeight="1">
      <c r="A327" s="16" t="inlineStr">
        <is>
          <t>Drinks</t>
        </is>
      </c>
      <c r="B327" s="17" t="inlineStr">
        <is>
          <t>Drinks</t>
        </is>
      </c>
      <c r="C327" s="18" t="inlineStr">
        <is>
          <t>Jack Apple e Tonic</t>
        </is>
      </c>
      <c r="D327" s="6">
        <f>IF(ISERROR(VLOOKUP(E327,'Estrutura Protheus'!A:A,1,FALSE)),"Não","Sim")</f>
        <v/>
      </c>
      <c r="E327" s="9" t="inlineStr">
        <is>
          <t>001325</t>
        </is>
      </c>
      <c r="F327" s="9" t="inlineStr">
        <is>
          <t>001317</t>
        </is>
      </c>
      <c r="G327" s="7" t="inlineStr">
        <is>
          <t>Whisky Jack Apple 1lt</t>
        </is>
      </c>
      <c r="H327" s="19" t="n">
        <v>0.05</v>
      </c>
      <c r="I327" s="9" t="inlineStr">
        <is>
          <t>LT</t>
        </is>
      </c>
      <c r="J327" s="8">
        <f>IFERROR(VLOOKUP(F327,'Base Insumos'!$A:$C,3,FALSE()),"PENDENTE")</f>
        <v/>
      </c>
      <c r="K327" s="8">
        <f>IFERROR(IF(J327="PENDENTE",0,J327*H327),0)</f>
        <v/>
      </c>
      <c r="L327" s="8" t="n">
        <v>45.99</v>
      </c>
      <c r="M327" s="20">
        <f>IFERROR(K327/L327,0)</f>
        <v/>
      </c>
      <c r="N327" s="7" t="n"/>
    </row>
    <row r="328" ht="15" customHeight="1">
      <c r="A328" s="11" t="inlineStr">
        <is>
          <t>Drinks</t>
        </is>
      </c>
      <c r="B328" s="12" t="inlineStr">
        <is>
          <t>Drinks</t>
        </is>
      </c>
      <c r="C328" s="13" t="inlineStr">
        <is>
          <t>Jack Apple e Tonic</t>
        </is>
      </c>
      <c r="D328" s="2">
        <f>IF(ISERROR(VLOOKUP(E328,'Estrutura Protheus'!A:A,1,FALSE)),"Não","Sim")</f>
        <v/>
      </c>
      <c r="E328" s="5" t="inlineStr">
        <is>
          <t>001325</t>
        </is>
      </c>
      <c r="F328" s="5" t="inlineStr">
        <is>
          <t>000318</t>
        </is>
      </c>
      <c r="G328" s="3" t="inlineStr">
        <is>
          <t>Tonica Comum Lata</t>
        </is>
      </c>
      <c r="H328" s="14" t="n">
        <v>1</v>
      </c>
      <c r="I328" s="5" t="inlineStr">
        <is>
          <t>UN</t>
        </is>
      </c>
      <c r="J328" s="4">
        <f>IFERROR(VLOOKUP(F328,'Base Insumos'!$A:$C,3,FALSE()),"PENDENTE")</f>
        <v/>
      </c>
      <c r="K328" s="4">
        <f>IFERROR(IF(J328="PENDENTE",0,J328*H328),0)</f>
        <v/>
      </c>
      <c r="L328" s="4" t="n">
        <v>45.99</v>
      </c>
      <c r="M328" s="15">
        <f>IFERROR(K328/L328,0)</f>
        <v/>
      </c>
      <c r="N328" s="3" t="n"/>
    </row>
    <row r="329" ht="15" customHeight="1">
      <c r="A329" s="16" t="inlineStr">
        <is>
          <t>Drinks</t>
        </is>
      </c>
      <c r="B329" s="17" t="inlineStr">
        <is>
          <t>Drinks</t>
        </is>
      </c>
      <c r="C329" s="18" t="inlineStr">
        <is>
          <t>Jack Apple e Tonic</t>
        </is>
      </c>
      <c r="D329" s="6">
        <f>IF(ISERROR(VLOOKUP(E329,'Estrutura Protheus'!A:A,1,FALSE)),"Não","Sim")</f>
        <v/>
      </c>
      <c r="E329" s="9" t="inlineStr">
        <is>
          <t>001325</t>
        </is>
      </c>
      <c r="F329" s="9" t="inlineStr">
        <is>
          <t>000492</t>
        </is>
      </c>
      <c r="G329" s="7" t="inlineStr">
        <is>
          <t>Limao Taiti Fruta</t>
        </is>
      </c>
      <c r="H329" s="19" t="n">
        <v>0.1</v>
      </c>
      <c r="I329" s="9" t="inlineStr">
        <is>
          <t>KG</t>
        </is>
      </c>
      <c r="J329" s="8">
        <f>IFERROR(VLOOKUP(F329,'Base Insumos'!$A:$C,3,FALSE()),"PENDENTE")</f>
        <v/>
      </c>
      <c r="K329" s="8">
        <f>IFERROR(IF(J329="PENDENTE",0,J329*H329),0)</f>
        <v/>
      </c>
      <c r="L329" s="8" t="n">
        <v>45.99</v>
      </c>
      <c r="M329" s="20">
        <f>IFERROR(K329/L329,0)</f>
        <v/>
      </c>
      <c r="N329" s="7" t="n"/>
    </row>
    <row r="330" ht="15" customHeight="1">
      <c r="A330" s="11" t="inlineStr">
        <is>
          <t>Drinks</t>
        </is>
      </c>
      <c r="B330" s="12" t="inlineStr">
        <is>
          <t>Drinks</t>
        </is>
      </c>
      <c r="C330" s="13" t="inlineStr">
        <is>
          <t>Jack Apple e Tonic</t>
        </is>
      </c>
      <c r="D330" s="2">
        <f>IF(ISERROR(VLOOKUP(E330,'Estrutura Protheus'!A:A,1,FALSE)),"Não","Sim")</f>
        <v/>
      </c>
      <c r="E330" s="5" t="inlineStr">
        <is>
          <t>001325</t>
        </is>
      </c>
      <c r="F330" s="5" t="inlineStr">
        <is>
          <t>009827</t>
        </is>
      </c>
      <c r="G330" s="3" t="inlineStr">
        <is>
          <t>Xarope Maca Verde 3lt</t>
        </is>
      </c>
      <c r="H330" s="14" t="n">
        <v>0.015</v>
      </c>
      <c r="I330" s="5" t="inlineStr">
        <is>
          <t>LT</t>
        </is>
      </c>
      <c r="J330" s="4">
        <f>IFERROR(VLOOKUP(F330,'Base Insumos'!$A:$C,3,FALSE()),"PENDENTE")</f>
        <v/>
      </c>
      <c r="K330" s="4">
        <f>IFERROR(IF(J330="PENDENTE",0,J330*H330),0)</f>
        <v/>
      </c>
      <c r="L330" s="4" t="n">
        <v>45.99</v>
      </c>
      <c r="M330" s="15">
        <f>IFERROR(K330/L330,0)</f>
        <v/>
      </c>
      <c r="N330" s="3" t="n"/>
    </row>
    <row r="331" ht="15" customHeight="1">
      <c r="A331" s="16" t="inlineStr">
        <is>
          <t>Drinks</t>
        </is>
      </c>
      <c r="B331" s="17" t="inlineStr">
        <is>
          <t>Drinks</t>
        </is>
      </c>
      <c r="C331" s="18" t="inlineStr">
        <is>
          <t>Jack e Coke</t>
        </is>
      </c>
      <c r="D331" s="6">
        <f>IF(ISERROR(VLOOKUP(E331,'Estrutura Protheus'!A:A,1,FALSE)),"Não","Sim")</f>
        <v/>
      </c>
      <c r="E331" s="9" t="inlineStr">
        <is>
          <t>001201</t>
        </is>
      </c>
      <c r="F331" s="9" t="inlineStr">
        <is>
          <t>001193</t>
        </is>
      </c>
      <c r="G331" s="7" t="inlineStr">
        <is>
          <t>Whisky Jack Daniels Tennessee 1lt</t>
        </is>
      </c>
      <c r="H331" s="19" t="n">
        <v>0.05</v>
      </c>
      <c r="I331" s="9" t="inlineStr">
        <is>
          <t>LT</t>
        </is>
      </c>
      <c r="J331" s="8">
        <f>IFERROR(VLOOKUP(F331,'Base Insumos'!$A:$C,3,FALSE()),"PENDENTE")</f>
        <v/>
      </c>
      <c r="K331" s="8">
        <f>IFERROR(IF(J331="PENDENTE",0,J331*H331),0)</f>
        <v/>
      </c>
      <c r="L331" s="8" t="n">
        <v>39.99</v>
      </c>
      <c r="M331" s="20">
        <f>IFERROR(K331/L331,0)</f>
        <v/>
      </c>
      <c r="N331" s="7" t="n"/>
    </row>
    <row r="332" ht="15" customHeight="1">
      <c r="A332" s="11" t="inlineStr">
        <is>
          <t>Drinks</t>
        </is>
      </c>
      <c r="B332" s="12" t="inlineStr">
        <is>
          <t>Drinks</t>
        </is>
      </c>
      <c r="C332" s="13" t="inlineStr">
        <is>
          <t>Jack e Coke</t>
        </is>
      </c>
      <c r="D332" s="2">
        <f>IF(ISERROR(VLOOKUP(E332,'Estrutura Protheus'!A:A,1,FALSE)),"Não","Sim")</f>
        <v/>
      </c>
      <c r="E332" s="5" t="inlineStr">
        <is>
          <t>001201</t>
        </is>
      </c>
      <c r="F332" s="5" t="inlineStr">
        <is>
          <t>000321</t>
        </is>
      </c>
      <c r="G332" s="3" t="inlineStr">
        <is>
          <t>Pepsi Zero Lata 350ml</t>
        </is>
      </c>
      <c r="H332" s="14" t="n">
        <v>1</v>
      </c>
      <c r="I332" s="5" t="inlineStr">
        <is>
          <t>UN</t>
        </is>
      </c>
      <c r="J332" s="4">
        <f>IFERROR(VLOOKUP(F332,'Base Insumos'!$A:$C,3,FALSE()),"PENDENTE")</f>
        <v/>
      </c>
      <c r="K332" s="4">
        <f>IFERROR(IF(J332="PENDENTE",0,J332*H332),0)</f>
        <v/>
      </c>
      <c r="L332" s="4" t="n">
        <v>39.99</v>
      </c>
      <c r="M332" s="15">
        <f>IFERROR(K332/L332,0)</f>
        <v/>
      </c>
      <c r="N332" s="3" t="n"/>
    </row>
    <row r="333" ht="15" customHeight="1">
      <c r="A333" s="16" t="inlineStr">
        <is>
          <t>Drinks</t>
        </is>
      </c>
      <c r="B333" s="17" t="inlineStr">
        <is>
          <t>Drinks</t>
        </is>
      </c>
      <c r="C333" s="18" t="inlineStr">
        <is>
          <t>Kit para Gin</t>
        </is>
      </c>
      <c r="D333" s="6">
        <f>IF(ISERROR(VLOOKUP(E333,'Estrutura Protheus'!A:A,1,FALSE)),"Não","Sim")</f>
        <v/>
      </c>
      <c r="E333" s="9" t="inlineStr">
        <is>
          <t>001407</t>
        </is>
      </c>
      <c r="F333" s="9" t="inlineStr">
        <is>
          <t>000318</t>
        </is>
      </c>
      <c r="G333" s="7" t="inlineStr">
        <is>
          <t>Tonica Comum Lata</t>
        </is>
      </c>
      <c r="H333" s="19" t="n">
        <v>3</v>
      </c>
      <c r="I333" s="9" t="inlineStr">
        <is>
          <t>UN</t>
        </is>
      </c>
      <c r="J333" s="8">
        <f>IFERROR(VLOOKUP(F333,'Base Insumos'!$A:$C,3,FALSE()),"PENDENTE")</f>
        <v/>
      </c>
      <c r="K333" s="8">
        <f>IFERROR(IF(J333="PENDENTE",0,J333*H333),0)</f>
        <v/>
      </c>
      <c r="L333" s="8" t="n">
        <v>80.98999999999999</v>
      </c>
      <c r="M333" s="20">
        <f>IFERROR(K333/L333,0)</f>
        <v/>
      </c>
      <c r="N333" s="7" t="n"/>
    </row>
    <row r="334" ht="15" customHeight="1">
      <c r="A334" s="11" t="inlineStr">
        <is>
          <t>Drinks</t>
        </is>
      </c>
      <c r="B334" s="12" t="inlineStr">
        <is>
          <t>Drinks</t>
        </is>
      </c>
      <c r="C334" s="13" t="inlineStr">
        <is>
          <t>Kit para Gin</t>
        </is>
      </c>
      <c r="D334" s="2">
        <f>IF(ISERROR(VLOOKUP(E334,'Estrutura Protheus'!A:A,1,FALSE)),"Não","Sim")</f>
        <v/>
      </c>
      <c r="E334" s="5" t="inlineStr">
        <is>
          <t>001407</t>
        </is>
      </c>
      <c r="F334" s="5" t="inlineStr">
        <is>
          <t>000368</t>
        </is>
      </c>
      <c r="G334" s="3" t="inlineStr">
        <is>
          <t>Red Bull</t>
        </is>
      </c>
      <c r="H334" s="14" t="n">
        <v>3</v>
      </c>
      <c r="I334" s="5" t="inlineStr">
        <is>
          <t>UN</t>
        </is>
      </c>
      <c r="J334" s="4">
        <f>IFERROR(VLOOKUP(F334,'Base Insumos'!$A:$C,3,FALSE()),"PENDENTE")</f>
        <v/>
      </c>
      <c r="K334" s="4">
        <f>IFERROR(IF(J334="PENDENTE",0,J334*H334),0)</f>
        <v/>
      </c>
      <c r="L334" s="4" t="n">
        <v>80.98999999999999</v>
      </c>
      <c r="M334" s="15">
        <f>IFERROR(K334/L334,0)</f>
        <v/>
      </c>
      <c r="N334" s="3" t="n"/>
    </row>
    <row r="335" ht="15" customHeight="1">
      <c r="A335" s="16" t="inlineStr">
        <is>
          <t>Drinks</t>
        </is>
      </c>
      <c r="B335" s="17" t="inlineStr">
        <is>
          <t>Drinks</t>
        </is>
      </c>
      <c r="C335" s="18" t="inlineStr">
        <is>
          <t>Kit para Gin</t>
        </is>
      </c>
      <c r="D335" s="6">
        <f>IF(ISERROR(VLOOKUP(E335,'Estrutura Protheus'!A:A,1,FALSE)),"Não","Sim")</f>
        <v/>
      </c>
      <c r="E335" s="9" t="inlineStr">
        <is>
          <t>001407</t>
        </is>
      </c>
      <c r="F335" s="9" t="inlineStr">
        <is>
          <t>000490</t>
        </is>
      </c>
      <c r="G335" s="7" t="inlineStr">
        <is>
          <t>Laranja Pera Fruta</t>
        </is>
      </c>
      <c r="H335" s="19" t="n">
        <v>0.05</v>
      </c>
      <c r="I335" s="9" t="inlineStr">
        <is>
          <t>KG</t>
        </is>
      </c>
      <c r="J335" s="8">
        <f>IFERROR(VLOOKUP(F335,'Base Insumos'!$A:$C,3,FALSE()),"PENDENTE")</f>
        <v/>
      </c>
      <c r="K335" s="8">
        <f>IFERROR(IF(J335="PENDENTE",0,J335*H335),0)</f>
        <v/>
      </c>
      <c r="L335" s="8" t="n">
        <v>80.98999999999999</v>
      </c>
      <c r="M335" s="20">
        <f>IFERROR(K335/L335,0)</f>
        <v/>
      </c>
      <c r="N335" s="7" t="n"/>
    </row>
    <row r="336" ht="15" customHeight="1">
      <c r="A336" s="11" t="inlineStr">
        <is>
          <t>Drinks</t>
        </is>
      </c>
      <c r="B336" s="12" t="inlineStr">
        <is>
          <t>Drinks</t>
        </is>
      </c>
      <c r="C336" s="13" t="inlineStr">
        <is>
          <t>Kit para Gin</t>
        </is>
      </c>
      <c r="D336" s="2">
        <f>IF(ISERROR(VLOOKUP(E336,'Estrutura Protheus'!A:A,1,FALSE)),"Não","Sim")</f>
        <v/>
      </c>
      <c r="E336" s="5" t="inlineStr">
        <is>
          <t>001407</t>
        </is>
      </c>
      <c r="F336" s="5" t="inlineStr">
        <is>
          <t>000590</t>
        </is>
      </c>
      <c r="G336" s="3" t="inlineStr">
        <is>
          <t>Morango Fruta</t>
        </is>
      </c>
      <c r="H336" s="14" t="n">
        <v>0.05</v>
      </c>
      <c r="I336" s="5" t="inlineStr">
        <is>
          <t>KG</t>
        </is>
      </c>
      <c r="J336" s="4">
        <f>IFERROR(VLOOKUP(F336,'Base Insumos'!$A:$C,3,FALSE()),"PENDENTE")</f>
        <v/>
      </c>
      <c r="K336" s="4">
        <f>IFERROR(IF(J336="PENDENTE",0,J336*H336),0)</f>
        <v/>
      </c>
      <c r="L336" s="4" t="n">
        <v>80.98999999999999</v>
      </c>
      <c r="M336" s="15">
        <f>IFERROR(K336/L336,0)</f>
        <v/>
      </c>
      <c r="N336" s="3" t="n"/>
    </row>
    <row r="337" ht="15" customHeight="1">
      <c r="A337" s="16" t="inlineStr">
        <is>
          <t>Drinks</t>
        </is>
      </c>
      <c r="B337" s="17" t="inlineStr">
        <is>
          <t>Drinks</t>
        </is>
      </c>
      <c r="C337" s="18" t="inlineStr">
        <is>
          <t>Kit para Gin</t>
        </is>
      </c>
      <c r="D337" s="6">
        <f>IF(ISERROR(VLOOKUP(E337,'Estrutura Protheus'!A:A,1,FALSE)),"Não","Sim")</f>
        <v/>
      </c>
      <c r="E337" s="9" t="inlineStr">
        <is>
          <t>001407</t>
        </is>
      </c>
      <c r="F337" s="9" t="inlineStr">
        <is>
          <t>000619</t>
        </is>
      </c>
      <c r="G337" s="7" t="inlineStr">
        <is>
          <t>Limao Siciliano</t>
        </is>
      </c>
      <c r="H337" s="19" t="n">
        <v>0.05</v>
      </c>
      <c r="I337" s="9" t="inlineStr">
        <is>
          <t>KG</t>
        </is>
      </c>
      <c r="J337" s="8">
        <f>IFERROR(VLOOKUP(F337,'Base Insumos'!$A:$C,3,FALSE()),"PENDENTE")</f>
        <v/>
      </c>
      <c r="K337" s="8">
        <f>IFERROR(IF(J337="PENDENTE",0,J337*H337),0)</f>
        <v/>
      </c>
      <c r="L337" s="8" t="n">
        <v>80.98999999999999</v>
      </c>
      <c r="M337" s="20">
        <f>IFERROR(K337/L337,0)</f>
        <v/>
      </c>
      <c r="N337" s="7" t="n"/>
    </row>
    <row r="338" ht="15" customHeight="1">
      <c r="A338" s="11" t="inlineStr">
        <is>
          <t>Drinks</t>
        </is>
      </c>
      <c r="B338" s="12" t="inlineStr">
        <is>
          <t>Drinks</t>
        </is>
      </c>
      <c r="C338" s="13" t="inlineStr">
        <is>
          <t>Kit para Gin</t>
        </is>
      </c>
      <c r="D338" s="2">
        <f>IF(ISERROR(VLOOKUP(E338,'Estrutura Protheus'!A:A,1,FALSE)),"Não","Sim")</f>
        <v/>
      </c>
      <c r="E338" s="5" t="inlineStr">
        <is>
          <t>001407</t>
        </is>
      </c>
      <c r="F338" s="5" t="inlineStr">
        <is>
          <t>000492</t>
        </is>
      </c>
      <c r="G338" s="3" t="inlineStr">
        <is>
          <t>Limao Taiti Fruta</t>
        </is>
      </c>
      <c r="H338" s="14" t="n">
        <v>0.05</v>
      </c>
      <c r="I338" s="5" t="inlineStr">
        <is>
          <t>KG</t>
        </is>
      </c>
      <c r="J338" s="4">
        <f>IFERROR(VLOOKUP(F338,'Base Insumos'!$A:$C,3,FALSE()),"PENDENTE")</f>
        <v/>
      </c>
      <c r="K338" s="4">
        <f>IFERROR(IF(J338="PENDENTE",0,J338*H338),0)</f>
        <v/>
      </c>
      <c r="L338" s="4" t="n">
        <v>80.98999999999999</v>
      </c>
      <c r="M338" s="15">
        <f>IFERROR(K338/L338,0)</f>
        <v/>
      </c>
      <c r="N338" s="3" t="n"/>
    </row>
    <row r="339" ht="15" customHeight="1">
      <c r="A339" s="16" t="inlineStr">
        <is>
          <t>Drinks</t>
        </is>
      </c>
      <c r="B339" s="17" t="inlineStr">
        <is>
          <t>Drinks</t>
        </is>
      </c>
      <c r="C339" s="18" t="inlineStr">
        <is>
          <t>Kit para Gin</t>
        </is>
      </c>
      <c r="D339" s="6">
        <f>IF(ISERROR(VLOOKUP(E339,'Estrutura Protheus'!A:A,1,FALSE)),"Não","Sim")</f>
        <v/>
      </c>
      <c r="E339" s="9" t="inlineStr">
        <is>
          <t>001407</t>
        </is>
      </c>
      <c r="F339" s="9" t="inlineStr">
        <is>
          <t>000474</t>
        </is>
      </c>
      <c r="G339" s="7" t="inlineStr">
        <is>
          <t>Hortela Grande</t>
        </is>
      </c>
      <c r="H339" s="19" t="n">
        <v>0.001</v>
      </c>
      <c r="I339" s="9" t="inlineStr">
        <is>
          <t>KG</t>
        </is>
      </c>
      <c r="J339" s="8">
        <f>IFERROR(VLOOKUP(F339,'Base Insumos'!$A:$C,3,FALSE()),"PENDENTE")</f>
        <v/>
      </c>
      <c r="K339" s="8">
        <f>IFERROR(IF(J339="PENDENTE",0,J339*H339),0)</f>
        <v/>
      </c>
      <c r="L339" s="8" t="n">
        <v>80.98999999999999</v>
      </c>
      <c r="M339" s="20">
        <f>IFERROR(K339/L339,0)</f>
        <v/>
      </c>
      <c r="N339" s="7" t="n"/>
    </row>
    <row r="340" ht="15" customHeight="1">
      <c r="A340" s="11" t="inlineStr">
        <is>
          <t>Drinks</t>
        </is>
      </c>
      <c r="B340" s="12" t="inlineStr">
        <is>
          <t>Drinks</t>
        </is>
      </c>
      <c r="C340" s="13" t="inlineStr">
        <is>
          <t>Limoncello Spritz</t>
        </is>
      </c>
      <c r="D340" s="2">
        <f>IF(ISERROR(VLOOKUP(E340,'Estrutura Protheus'!A:A,1,FALSE)),"Não","Sim")</f>
        <v/>
      </c>
      <c r="E340" s="5" t="inlineStr">
        <is>
          <t>001956</t>
        </is>
      </c>
      <c r="F340" s="5" t="inlineStr">
        <is>
          <t>009823</t>
        </is>
      </c>
      <c r="G340" s="3" t="inlineStr">
        <is>
          <t>Licor Limoncello Bag 5lt</t>
        </is>
      </c>
      <c r="H340" s="14" t="n">
        <v>0.09</v>
      </c>
      <c r="I340" s="5" t="inlineStr">
        <is>
          <t>LT</t>
        </is>
      </c>
      <c r="J340" s="4">
        <f>IFERROR(VLOOKUP(F340,'Base Insumos'!$A:$C,3,FALSE()),"PENDENTE")</f>
        <v/>
      </c>
      <c r="K340" s="4">
        <f>IFERROR(IF(J340="PENDENTE",0,J340*H340),0)</f>
        <v/>
      </c>
      <c r="L340" s="4" t="n">
        <v>39.99</v>
      </c>
      <c r="M340" s="15">
        <f>IFERROR(K340/L340,0)</f>
        <v/>
      </c>
      <c r="N340" s="3" t="n"/>
    </row>
    <row r="341" ht="15" customHeight="1">
      <c r="A341" s="16" t="inlineStr">
        <is>
          <t>Drinks</t>
        </is>
      </c>
      <c r="B341" s="17" t="inlineStr">
        <is>
          <t>Drinks</t>
        </is>
      </c>
      <c r="C341" s="18" t="inlineStr">
        <is>
          <t>Limoncello Spritz</t>
        </is>
      </c>
      <c r="D341" s="6">
        <f>IF(ISERROR(VLOOKUP(E341,'Estrutura Protheus'!A:A,1,FALSE)),"Não","Sim")</f>
        <v/>
      </c>
      <c r="E341" s="9" t="inlineStr">
        <is>
          <t>001956</t>
        </is>
      </c>
      <c r="F341" s="21" t="inlineStr">
        <is>
          <t>001222</t>
        </is>
      </c>
      <c r="G341" s="22" t="inlineStr">
        <is>
          <t>Não Encontrado na Base</t>
        </is>
      </c>
      <c r="H341" s="19" t="n">
        <v>0.12</v>
      </c>
      <c r="I341" s="9" t="n"/>
      <c r="J341" s="23">
        <f>IFERROR(VLOOKUP(F341,'Base Insumos'!$A:$C,3,FALSE()),"PENDENTE")</f>
        <v/>
      </c>
      <c r="K341" s="8">
        <f>IFERROR(IF(J341="PENDENTE",0,J341*H341),0)</f>
        <v/>
      </c>
      <c r="L341" s="8" t="n">
        <v>39.99</v>
      </c>
      <c r="M341" s="20">
        <f>IFERROR(K341/L341,0)</f>
        <v/>
      </c>
      <c r="N341" s="7" t="n"/>
    </row>
    <row r="342" ht="15" customHeight="1">
      <c r="A342" s="11" t="inlineStr">
        <is>
          <t>Drinks</t>
        </is>
      </c>
      <c r="B342" s="12" t="inlineStr">
        <is>
          <t>Drinks</t>
        </is>
      </c>
      <c r="C342" s="13" t="inlineStr">
        <is>
          <t>Limoncello Spritz</t>
        </is>
      </c>
      <c r="D342" s="2">
        <f>IF(ISERROR(VLOOKUP(E342,'Estrutura Protheus'!A:A,1,FALSE)),"Não","Sim")</f>
        <v/>
      </c>
      <c r="E342" s="5" t="inlineStr">
        <is>
          <t>001956</t>
        </is>
      </c>
      <c r="F342" s="5" t="inlineStr">
        <is>
          <t>000334</t>
        </is>
      </c>
      <c r="G342" s="3" t="inlineStr">
        <is>
          <t>Agua c/ Gas</t>
        </is>
      </c>
      <c r="H342" s="14" t="n">
        <v>0.02</v>
      </c>
      <c r="I342" s="5" t="inlineStr">
        <is>
          <t>UN</t>
        </is>
      </c>
      <c r="J342" s="4">
        <f>IFERROR(VLOOKUP(F342,'Base Insumos'!$A:$C,3,FALSE()),"PENDENTE")</f>
        <v/>
      </c>
      <c r="K342" s="4">
        <f>IFERROR(IF(J342="PENDENTE",0,J342*H342),0)</f>
        <v/>
      </c>
      <c r="L342" s="4" t="n">
        <v>39.99</v>
      </c>
      <c r="M342" s="15">
        <f>IFERROR(K342/L342,0)</f>
        <v/>
      </c>
      <c r="N342" s="3" t="n"/>
    </row>
    <row r="343" ht="15" customHeight="1">
      <c r="A343" s="16" t="inlineStr">
        <is>
          <t>Drinks</t>
        </is>
      </c>
      <c r="B343" s="17" t="inlineStr">
        <is>
          <t>Drinks</t>
        </is>
      </c>
      <c r="C343" s="18" t="inlineStr">
        <is>
          <t>Limoncello Spritz</t>
        </is>
      </c>
      <c r="D343" s="6">
        <f>IF(ISERROR(VLOOKUP(E343,'Estrutura Protheus'!A:A,1,FALSE)),"Não","Sim")</f>
        <v/>
      </c>
      <c r="E343" s="9" t="inlineStr">
        <is>
          <t>001956</t>
        </is>
      </c>
      <c r="F343" s="9" t="inlineStr">
        <is>
          <t>000492</t>
        </is>
      </c>
      <c r="G343" s="7" t="inlineStr">
        <is>
          <t>Limao Taiti Fruta</t>
        </is>
      </c>
      <c r="H343" s="19" t="n">
        <v>0.05</v>
      </c>
      <c r="I343" s="9" t="inlineStr">
        <is>
          <t>KG</t>
        </is>
      </c>
      <c r="J343" s="8">
        <f>IFERROR(VLOOKUP(F343,'Base Insumos'!$A:$C,3,FALSE()),"PENDENTE")</f>
        <v/>
      </c>
      <c r="K343" s="8">
        <f>IFERROR(IF(J343="PENDENTE",0,J343*H343),0)</f>
        <v/>
      </c>
      <c r="L343" s="8" t="n">
        <v>39.99</v>
      </c>
      <c r="M343" s="20">
        <f>IFERROR(K343/L343,0)</f>
        <v/>
      </c>
      <c r="N343" s="7" t="n"/>
    </row>
    <row r="344" ht="15" customHeight="1">
      <c r="A344" s="11" t="inlineStr">
        <is>
          <t>Drinks</t>
        </is>
      </c>
      <c r="B344" s="12" t="inlineStr">
        <is>
          <t>Drinks</t>
        </is>
      </c>
      <c r="C344" s="13" t="inlineStr">
        <is>
          <t>London Mule</t>
        </is>
      </c>
      <c r="D344" s="2">
        <f>IF(ISERROR(VLOOKUP(E344,'Estrutura Protheus'!A:A,1,FALSE)),"Não","Sim")</f>
        <v/>
      </c>
      <c r="E344" s="5" t="inlineStr">
        <is>
          <t>001479</t>
        </is>
      </c>
      <c r="F344" s="5" t="inlineStr">
        <is>
          <t>009820</t>
        </is>
      </c>
      <c r="G344" s="3" t="inlineStr">
        <is>
          <t>Gin Bacco Premium Bag 5lt</t>
        </is>
      </c>
      <c r="H344" s="14" t="n">
        <v>0.05</v>
      </c>
      <c r="I344" s="5" t="inlineStr">
        <is>
          <t>LT</t>
        </is>
      </c>
      <c r="J344" s="4">
        <f>IFERROR(VLOOKUP(F344,'Base Insumos'!$A:$C,3,FALSE()),"PENDENTE")</f>
        <v/>
      </c>
      <c r="K344" s="4">
        <f>IFERROR(IF(J344="PENDENTE",0,J344*H344),0)</f>
        <v/>
      </c>
      <c r="L344" s="4" t="n">
        <v>38.99</v>
      </c>
      <c r="M344" s="15">
        <f>IFERROR(K344/L344,0)</f>
        <v/>
      </c>
      <c r="N344" s="3" t="n"/>
    </row>
    <row r="345" ht="15" customHeight="1">
      <c r="A345" s="16" t="inlineStr">
        <is>
          <t>Drinks</t>
        </is>
      </c>
      <c r="B345" s="17" t="inlineStr">
        <is>
          <t>Drinks</t>
        </is>
      </c>
      <c r="C345" s="18" t="inlineStr">
        <is>
          <t>London Mule</t>
        </is>
      </c>
      <c r="D345" s="6">
        <f>IF(ISERROR(VLOOKUP(E345,'Estrutura Protheus'!A:A,1,FALSE)),"Não","Sim")</f>
        <v/>
      </c>
      <c r="E345" s="9" t="inlineStr">
        <is>
          <t>001479</t>
        </is>
      </c>
      <c r="F345" s="9" t="inlineStr">
        <is>
          <t>000619</t>
        </is>
      </c>
      <c r="G345" s="7" t="inlineStr">
        <is>
          <t>Limao Siciliano</t>
        </is>
      </c>
      <c r="H345" s="19" t="n">
        <v>0.1</v>
      </c>
      <c r="I345" s="9" t="inlineStr">
        <is>
          <t>KG</t>
        </is>
      </c>
      <c r="J345" s="8">
        <f>IFERROR(VLOOKUP(F345,'Base Insumos'!$A:$C,3,FALSE()),"PENDENTE")</f>
        <v/>
      </c>
      <c r="K345" s="8">
        <f>IFERROR(IF(J345="PENDENTE",0,J345*H345),0)</f>
        <v/>
      </c>
      <c r="L345" s="8" t="n">
        <v>38.99</v>
      </c>
      <c r="M345" s="20">
        <f>IFERROR(K345/L345,0)</f>
        <v/>
      </c>
      <c r="N345" s="7" t="n"/>
    </row>
    <row r="346" ht="15" customHeight="1">
      <c r="A346" s="11" t="inlineStr">
        <is>
          <t>Drinks</t>
        </is>
      </c>
      <c r="B346" s="12" t="inlineStr">
        <is>
          <t>Drinks</t>
        </is>
      </c>
      <c r="C346" s="13" t="inlineStr">
        <is>
          <t>London Mule</t>
        </is>
      </c>
      <c r="D346" s="2">
        <f>IF(ISERROR(VLOOKUP(E346,'Estrutura Protheus'!A:A,1,FALSE)),"Não","Sim")</f>
        <v/>
      </c>
      <c r="E346" s="5" t="inlineStr">
        <is>
          <t>001479</t>
        </is>
      </c>
      <c r="F346" s="5" t="inlineStr">
        <is>
          <t>009828</t>
        </is>
      </c>
      <c r="G346" s="3" t="inlineStr">
        <is>
          <t>Xarope Gengibre 3lt</t>
        </is>
      </c>
      <c r="H346" s="14" t="n">
        <v>0.025</v>
      </c>
      <c r="I346" s="5" t="inlineStr">
        <is>
          <t>LT</t>
        </is>
      </c>
      <c r="J346" s="4">
        <f>IFERROR(VLOOKUP(F346,'Base Insumos'!$A:$C,3,FALSE()),"PENDENTE")</f>
        <v/>
      </c>
      <c r="K346" s="4">
        <f>IFERROR(IF(J346="PENDENTE",0,J346*H346),0)</f>
        <v/>
      </c>
      <c r="L346" s="4" t="n">
        <v>38.99</v>
      </c>
      <c r="M346" s="15">
        <f>IFERROR(K346/L346,0)</f>
        <v/>
      </c>
      <c r="N346" s="3" t="n"/>
    </row>
    <row r="347" ht="15" customHeight="1">
      <c r="A347" s="16" t="inlineStr">
        <is>
          <t>Drinks</t>
        </is>
      </c>
      <c r="B347" s="17" t="inlineStr">
        <is>
          <t>Drinks</t>
        </is>
      </c>
      <c r="C347" s="18" t="inlineStr">
        <is>
          <t>Mango Negroni</t>
        </is>
      </c>
      <c r="D347" s="6">
        <f>IF(ISERROR(VLOOKUP(E347,'Estrutura Protheus'!A:A,1,FALSE)),"Não","Sim")</f>
        <v/>
      </c>
      <c r="E347" s="9" t="inlineStr">
        <is>
          <t>001944</t>
        </is>
      </c>
      <c r="F347" s="9" t="inlineStr">
        <is>
          <t>001921</t>
        </is>
      </c>
      <c r="G347" s="7" t="inlineStr">
        <is>
          <t>Negroni 750 Ml Aptk</t>
        </is>
      </c>
      <c r="H347" s="19" t="n">
        <v>0.075</v>
      </c>
      <c r="I347" s="9" t="inlineStr">
        <is>
          <t>LT</t>
        </is>
      </c>
      <c r="J347" s="8">
        <f>IFERROR(VLOOKUP(F347,'Base Insumos'!$A:$C,3,FALSE()),"PENDENTE")</f>
        <v/>
      </c>
      <c r="K347" s="8">
        <f>IFERROR(IF(J347="PENDENTE",0,J347*H347),0)</f>
        <v/>
      </c>
      <c r="L347" s="8" t="n">
        <v>38.99</v>
      </c>
      <c r="M347" s="20">
        <f>IFERROR(K347/L347,0)</f>
        <v/>
      </c>
      <c r="N347" s="7" t="n"/>
    </row>
    <row r="348" ht="15" customHeight="1">
      <c r="A348" s="11" t="inlineStr">
        <is>
          <t>Drinks</t>
        </is>
      </c>
      <c r="B348" s="12" t="inlineStr">
        <is>
          <t>Drinks</t>
        </is>
      </c>
      <c r="C348" s="13" t="inlineStr">
        <is>
          <t>Mango Negroni</t>
        </is>
      </c>
      <c r="D348" s="2">
        <f>IF(ISERROR(VLOOKUP(E348,'Estrutura Protheus'!A:A,1,FALSE)),"Não","Sim")</f>
        <v/>
      </c>
      <c r="E348" s="5" t="inlineStr">
        <is>
          <t>001944</t>
        </is>
      </c>
      <c r="F348" s="5" t="inlineStr">
        <is>
          <t>001914</t>
        </is>
      </c>
      <c r="G348" s="3" t="inlineStr">
        <is>
          <t>Xarope Monin Manga 700 Ml</t>
        </is>
      </c>
      <c r="H348" s="14" t="n">
        <v>0.025</v>
      </c>
      <c r="I348" s="5" t="inlineStr">
        <is>
          <t>LT</t>
        </is>
      </c>
      <c r="J348" s="4">
        <f>IFERROR(VLOOKUP(F348,'Base Insumos'!$A:$C,3,FALSE()),"PENDENTE")</f>
        <v/>
      </c>
      <c r="K348" s="4">
        <f>IFERROR(IF(J348="PENDENTE",0,J348*H348),0)</f>
        <v/>
      </c>
      <c r="L348" s="4" t="n">
        <v>38.99</v>
      </c>
      <c r="M348" s="15">
        <f>IFERROR(K348/L348,0)</f>
        <v/>
      </c>
      <c r="N348" s="3" t="n"/>
    </row>
    <row r="349" ht="15" customHeight="1">
      <c r="A349" s="16" t="inlineStr">
        <is>
          <t>Drinks</t>
        </is>
      </c>
      <c r="B349" s="17" t="inlineStr">
        <is>
          <t>Drinks</t>
        </is>
      </c>
      <c r="C349" s="18" t="inlineStr">
        <is>
          <t>Mango Negroni</t>
        </is>
      </c>
      <c r="D349" s="6">
        <f>IF(ISERROR(VLOOKUP(E349,'Estrutura Protheus'!A:A,1,FALSE)),"Não","Sim")</f>
        <v/>
      </c>
      <c r="E349" s="9" t="inlineStr">
        <is>
          <t>001944</t>
        </is>
      </c>
      <c r="F349" s="9" t="inlineStr">
        <is>
          <t>000492</t>
        </is>
      </c>
      <c r="G349" s="7" t="inlineStr">
        <is>
          <t>Limao Taiti Fruta</t>
        </is>
      </c>
      <c r="H349" s="19" t="n">
        <v>0.1</v>
      </c>
      <c r="I349" s="9" t="inlineStr">
        <is>
          <t>KG</t>
        </is>
      </c>
      <c r="J349" s="8">
        <f>IFERROR(VLOOKUP(F349,'Base Insumos'!$A:$C,3,FALSE()),"PENDENTE")</f>
        <v/>
      </c>
      <c r="K349" s="8">
        <f>IFERROR(IF(J349="PENDENTE",0,J349*H349),0)</f>
        <v/>
      </c>
      <c r="L349" s="8" t="n">
        <v>38.99</v>
      </c>
      <c r="M349" s="20">
        <f>IFERROR(K349/L349,0)</f>
        <v/>
      </c>
      <c r="N349" s="7" t="n"/>
    </row>
    <row r="350" ht="15" customHeight="1">
      <c r="A350" s="11" t="inlineStr">
        <is>
          <t>Drinks</t>
        </is>
      </c>
      <c r="B350" s="12" t="inlineStr">
        <is>
          <t>Drinks</t>
        </is>
      </c>
      <c r="C350" s="13" t="inlineStr">
        <is>
          <t>Maracujack</t>
        </is>
      </c>
      <c r="D350" s="2">
        <f>IF(ISERROR(VLOOKUP(E350,'Estrutura Protheus'!A:A,1,FALSE)),"Não","Sim")</f>
        <v/>
      </c>
      <c r="E350" s="5" t="inlineStr">
        <is>
          <t>001202</t>
        </is>
      </c>
      <c r="F350" s="5" t="inlineStr">
        <is>
          <t>001193</t>
        </is>
      </c>
      <c r="G350" s="3" t="inlineStr">
        <is>
          <t>Whisky Jack Daniels Tennessee 1lt</t>
        </is>
      </c>
      <c r="H350" s="14" t="n">
        <v>0.05</v>
      </c>
      <c r="I350" s="5" t="inlineStr">
        <is>
          <t>LT</t>
        </is>
      </c>
      <c r="J350" s="4">
        <f>IFERROR(VLOOKUP(F350,'Base Insumos'!$A:$C,3,FALSE()),"PENDENTE")</f>
        <v/>
      </c>
      <c r="K350" s="4">
        <f>IFERROR(IF(J350="PENDENTE",0,J350*H350),0)</f>
        <v/>
      </c>
      <c r="L350" s="24" t="inlineStr">
        <is>
          <t>PENDENTE</t>
        </is>
      </c>
      <c r="M350" s="5" t="inlineStr">
        <is>
          <t>-</t>
        </is>
      </c>
      <c r="N350" s="3" t="n"/>
    </row>
    <row r="351" ht="15" customHeight="1">
      <c r="A351" s="16" t="inlineStr">
        <is>
          <t>Drinks</t>
        </is>
      </c>
      <c r="B351" s="17" t="inlineStr">
        <is>
          <t>Drinks</t>
        </is>
      </c>
      <c r="C351" s="18" t="inlineStr">
        <is>
          <t>Maracujack</t>
        </is>
      </c>
      <c r="D351" s="6">
        <f>IF(ISERROR(VLOOKUP(E351,'Estrutura Protheus'!A:A,1,FALSE)),"Não","Sim")</f>
        <v/>
      </c>
      <c r="E351" s="9" t="inlineStr">
        <is>
          <t>001202</t>
        </is>
      </c>
      <c r="F351" s="9" t="inlineStr">
        <is>
          <t>000316</t>
        </is>
      </c>
      <c r="G351" s="7" t="inlineStr">
        <is>
          <t>Soda Lata 350ml</t>
        </is>
      </c>
      <c r="H351" s="19" t="n">
        <v>0.1</v>
      </c>
      <c r="I351" s="9" t="inlineStr">
        <is>
          <t>UN</t>
        </is>
      </c>
      <c r="J351" s="8">
        <f>IFERROR(VLOOKUP(F351,'Base Insumos'!$A:$C,3,FALSE()),"PENDENTE")</f>
        <v/>
      </c>
      <c r="K351" s="8">
        <f>IFERROR(IF(J351="PENDENTE",0,J351*H351),0)</f>
        <v/>
      </c>
      <c r="L351" s="24" t="inlineStr">
        <is>
          <t>PENDENTE</t>
        </is>
      </c>
      <c r="M351" s="9" t="inlineStr">
        <is>
          <t>-</t>
        </is>
      </c>
      <c r="N351" s="7" t="n"/>
    </row>
    <row r="352" ht="15" customHeight="1">
      <c r="A352" s="11" t="inlineStr">
        <is>
          <t>Drinks</t>
        </is>
      </c>
      <c r="B352" s="12" t="inlineStr">
        <is>
          <t>Drinks</t>
        </is>
      </c>
      <c r="C352" s="13" t="inlineStr">
        <is>
          <t>Maracujack</t>
        </is>
      </c>
      <c r="D352" s="2">
        <f>IF(ISERROR(VLOOKUP(E352,'Estrutura Protheus'!A:A,1,FALSE)),"Não","Sim")</f>
        <v/>
      </c>
      <c r="E352" s="5" t="inlineStr">
        <is>
          <t>001202</t>
        </is>
      </c>
      <c r="F352" s="5" t="inlineStr">
        <is>
          <t>000457</t>
        </is>
      </c>
      <c r="G352" s="3" t="inlineStr">
        <is>
          <t>Polpa Maracuja</t>
        </is>
      </c>
      <c r="H352" s="14" t="n">
        <v>0.1</v>
      </c>
      <c r="I352" s="5" t="inlineStr">
        <is>
          <t>KG</t>
        </is>
      </c>
      <c r="J352" s="4">
        <f>IFERROR(VLOOKUP(F352,'Base Insumos'!$A:$C,3,FALSE()),"PENDENTE")</f>
        <v/>
      </c>
      <c r="K352" s="4">
        <f>IFERROR(IF(J352="PENDENTE",0,J352*H352),0)</f>
        <v/>
      </c>
      <c r="L352" s="24" t="inlineStr">
        <is>
          <t>PENDENTE</t>
        </is>
      </c>
      <c r="M352" s="5" t="inlineStr">
        <is>
          <t>-</t>
        </is>
      </c>
      <c r="N352" s="3" t="n"/>
    </row>
    <row r="353" ht="15" customHeight="1">
      <c r="A353" s="16" t="inlineStr">
        <is>
          <t>Drinks</t>
        </is>
      </c>
      <c r="B353" s="17" t="inlineStr">
        <is>
          <t>Drinks</t>
        </is>
      </c>
      <c r="C353" s="18" t="inlineStr">
        <is>
          <t>Maracujack</t>
        </is>
      </c>
      <c r="D353" s="6">
        <f>IF(ISERROR(VLOOKUP(E353,'Estrutura Protheus'!A:A,1,FALSE)),"Não","Sim")</f>
        <v/>
      </c>
      <c r="E353" s="9" t="inlineStr">
        <is>
          <t>001202</t>
        </is>
      </c>
      <c r="F353" s="9" t="inlineStr">
        <is>
          <t>000400</t>
        </is>
      </c>
      <c r="G353" s="7" t="inlineStr">
        <is>
          <t>Mel Riomel</t>
        </is>
      </c>
      <c r="H353" s="19" t="n">
        <v>0.025</v>
      </c>
      <c r="I353" s="9" t="inlineStr">
        <is>
          <t>KG</t>
        </is>
      </c>
      <c r="J353" s="8">
        <f>IFERROR(VLOOKUP(F353,'Base Insumos'!$A:$C,3,FALSE()),"PENDENTE")</f>
        <v/>
      </c>
      <c r="K353" s="8">
        <f>IFERROR(IF(J353="PENDENTE",0,J353*H353),0)</f>
        <v/>
      </c>
      <c r="L353" s="24" t="inlineStr">
        <is>
          <t>PENDENTE</t>
        </is>
      </c>
      <c r="M353" s="9" t="inlineStr">
        <is>
          <t>-</t>
        </is>
      </c>
      <c r="N353" s="7" t="n"/>
    </row>
    <row r="354" ht="15" customHeight="1">
      <c r="A354" s="11" t="inlineStr">
        <is>
          <t>Drinks</t>
        </is>
      </c>
      <c r="B354" s="12" t="inlineStr">
        <is>
          <t>Drinks</t>
        </is>
      </c>
      <c r="C354" s="13" t="inlineStr">
        <is>
          <t>Margarita do Quintal</t>
        </is>
      </c>
      <c r="D354" s="2">
        <f>IF(ISERROR(VLOOKUP(E354,'Estrutura Protheus'!A:A,1,FALSE)),"Não","Sim")</f>
        <v/>
      </c>
      <c r="E354" s="5" t="inlineStr">
        <is>
          <t>001947</t>
        </is>
      </c>
      <c r="F354" s="5" t="inlineStr">
        <is>
          <t>009823</t>
        </is>
      </c>
      <c r="G354" s="3" t="inlineStr">
        <is>
          <t>Licor Limoncello Bag 5lt</t>
        </is>
      </c>
      <c r="H354" s="14" t="n">
        <v>0.025</v>
      </c>
      <c r="I354" s="5" t="inlineStr">
        <is>
          <t>LT</t>
        </is>
      </c>
      <c r="J354" s="4">
        <f>IFERROR(VLOOKUP(F354,'Base Insumos'!$A:$C,3,FALSE()),"PENDENTE")</f>
        <v/>
      </c>
      <c r="K354" s="4">
        <f>IFERROR(IF(J354="PENDENTE",0,J354*H354),0)</f>
        <v/>
      </c>
      <c r="L354" s="4" t="n">
        <v>39.99</v>
      </c>
      <c r="M354" s="15">
        <f>IFERROR(K354/L354,0)</f>
        <v/>
      </c>
      <c r="N354" s="3" t="n"/>
    </row>
    <row r="355" ht="15" customHeight="1">
      <c r="A355" s="16" t="inlineStr">
        <is>
          <t>Drinks</t>
        </is>
      </c>
      <c r="B355" s="17" t="inlineStr">
        <is>
          <t>Drinks</t>
        </is>
      </c>
      <c r="C355" s="18" t="inlineStr">
        <is>
          <t>Margarita do Quintal</t>
        </is>
      </c>
      <c r="D355" s="6">
        <f>IF(ISERROR(VLOOKUP(E355,'Estrutura Protheus'!A:A,1,FALSE)),"Não","Sim")</f>
        <v/>
      </c>
      <c r="E355" s="9" t="inlineStr">
        <is>
          <t>001947</t>
        </is>
      </c>
      <c r="F355" s="9" t="inlineStr">
        <is>
          <t>000492</t>
        </is>
      </c>
      <c r="G355" s="7" t="inlineStr">
        <is>
          <t>Limao Taiti Fruta</t>
        </is>
      </c>
      <c r="H355" s="19" t="n">
        <v>0.1</v>
      </c>
      <c r="I355" s="9" t="inlineStr">
        <is>
          <t>KG</t>
        </is>
      </c>
      <c r="J355" s="8">
        <f>IFERROR(VLOOKUP(F355,'Base Insumos'!$A:$C,3,FALSE()),"PENDENTE")</f>
        <v/>
      </c>
      <c r="K355" s="8">
        <f>IFERROR(IF(J355="PENDENTE",0,J355*H355),0)</f>
        <v/>
      </c>
      <c r="L355" s="8" t="n">
        <v>39.99</v>
      </c>
      <c r="M355" s="20">
        <f>IFERROR(K355/L355,0)</f>
        <v/>
      </c>
      <c r="N355" s="7" t="n"/>
    </row>
    <row r="356" ht="15" customHeight="1">
      <c r="A356" s="11" t="inlineStr">
        <is>
          <t>Drinks</t>
        </is>
      </c>
      <c r="B356" s="12" t="inlineStr">
        <is>
          <t>Drinks</t>
        </is>
      </c>
      <c r="C356" s="13" t="inlineStr">
        <is>
          <t>Margarita do Quintal</t>
        </is>
      </c>
      <c r="D356" s="2">
        <f>IF(ISERROR(VLOOKUP(E356,'Estrutura Protheus'!A:A,1,FALSE)),"Não","Sim")</f>
        <v/>
      </c>
      <c r="E356" s="5" t="inlineStr">
        <is>
          <t>001947</t>
        </is>
      </c>
      <c r="F356" s="5" t="inlineStr">
        <is>
          <t>001919</t>
        </is>
      </c>
      <c r="G356" s="3" t="inlineStr">
        <is>
          <t>Sur Lorange 750 Ml Aptk</t>
        </is>
      </c>
      <c r="H356" s="14" t="n">
        <v>0.01</v>
      </c>
      <c r="I356" s="5" t="inlineStr">
        <is>
          <t>LT</t>
        </is>
      </c>
      <c r="J356" s="4">
        <f>IFERROR(VLOOKUP(F356,'Base Insumos'!$A:$C,3,FALSE()),"PENDENTE")</f>
        <v/>
      </c>
      <c r="K356" s="4">
        <f>IFERROR(IF(J356="PENDENTE",0,J356*H356),0)</f>
        <v/>
      </c>
      <c r="L356" s="4" t="n">
        <v>39.99</v>
      </c>
      <c r="M356" s="15">
        <f>IFERROR(K356/L356,0)</f>
        <v/>
      </c>
      <c r="N356" s="3" t="n"/>
    </row>
    <row r="357" ht="15" customHeight="1">
      <c r="A357" s="16" t="inlineStr">
        <is>
          <t>Drinks</t>
        </is>
      </c>
      <c r="B357" s="17" t="inlineStr">
        <is>
          <t>Drinks</t>
        </is>
      </c>
      <c r="C357" s="18" t="inlineStr">
        <is>
          <t>Margarita do Quintal</t>
        </is>
      </c>
      <c r="D357" s="6">
        <f>IF(ISERROR(VLOOKUP(E357,'Estrutura Protheus'!A:A,1,FALSE)),"Não","Sim")</f>
        <v/>
      </c>
      <c r="E357" s="9" t="inlineStr">
        <is>
          <t>001947</t>
        </is>
      </c>
      <c r="F357" s="9" t="inlineStr">
        <is>
          <t>001912</t>
        </is>
      </c>
      <c r="G357" s="7" t="inlineStr">
        <is>
          <t>Xarope Monin Agave 700 Ml</t>
        </is>
      </c>
      <c r="H357" s="19" t="n">
        <v>0.01</v>
      </c>
      <c r="I357" s="9" t="inlineStr">
        <is>
          <t>LT</t>
        </is>
      </c>
      <c r="J357" s="8">
        <f>IFERROR(VLOOKUP(F357,'Base Insumos'!$A:$C,3,FALSE()),"PENDENTE")</f>
        <v/>
      </c>
      <c r="K357" s="8">
        <f>IFERROR(IF(J357="PENDENTE",0,J357*H357),0)</f>
        <v/>
      </c>
      <c r="L357" s="8" t="n">
        <v>39.99</v>
      </c>
      <c r="M357" s="20">
        <f>IFERROR(K357/L357,0)</f>
        <v/>
      </c>
      <c r="N357" s="7" t="n"/>
    </row>
    <row r="358" ht="15" customHeight="1">
      <c r="A358" s="11" t="inlineStr">
        <is>
          <t>Drinks</t>
        </is>
      </c>
      <c r="B358" s="12" t="inlineStr">
        <is>
          <t>Drinks</t>
        </is>
      </c>
      <c r="C358" s="13" t="inlineStr">
        <is>
          <t>Melancita Gin</t>
        </is>
      </c>
      <c r="D358" s="2">
        <f>IF(ISERROR(VLOOKUP(E358,'Estrutura Protheus'!A:A,1,FALSE)),"Não","Sim")</f>
        <v/>
      </c>
      <c r="E358" s="5" t="inlineStr">
        <is>
          <t>001170</t>
        </is>
      </c>
      <c r="F358" s="5" t="inlineStr">
        <is>
          <t>009820</t>
        </is>
      </c>
      <c r="G358" s="3" t="inlineStr">
        <is>
          <t>Gin Bacco Premium Bag 5lt</t>
        </is>
      </c>
      <c r="H358" s="14" t="n">
        <v>0.08</v>
      </c>
      <c r="I358" s="5" t="inlineStr">
        <is>
          <t>LT</t>
        </is>
      </c>
      <c r="J358" s="4">
        <f>IFERROR(VLOOKUP(F358,'Base Insumos'!$A:$C,3,FALSE()),"PENDENTE")</f>
        <v/>
      </c>
      <c r="K358" s="4">
        <f>IFERROR(IF(J358="PENDENTE",0,J358*H358),0)</f>
        <v/>
      </c>
      <c r="L358" s="4" t="n">
        <v>39.99</v>
      </c>
      <c r="M358" s="15">
        <f>IFERROR(K358/L358,0)</f>
        <v/>
      </c>
      <c r="N358" s="3" t="n"/>
    </row>
    <row r="359" ht="15" customHeight="1">
      <c r="A359" s="16" t="inlineStr">
        <is>
          <t>Drinks</t>
        </is>
      </c>
      <c r="B359" s="17" t="inlineStr">
        <is>
          <t>Drinks</t>
        </is>
      </c>
      <c r="C359" s="18" t="inlineStr">
        <is>
          <t>Melancita Gin</t>
        </is>
      </c>
      <c r="D359" s="6">
        <f>IF(ISERROR(VLOOKUP(E359,'Estrutura Protheus'!A:A,1,FALSE)),"Não","Sim")</f>
        <v/>
      </c>
      <c r="E359" s="9" t="inlineStr">
        <is>
          <t>001170</t>
        </is>
      </c>
      <c r="F359" s="9" t="inlineStr">
        <is>
          <t>001167</t>
        </is>
      </c>
      <c r="G359" s="7" t="inlineStr">
        <is>
          <t>Red Bull Melancia</t>
        </is>
      </c>
      <c r="H359" s="19" t="n">
        <v>1</v>
      </c>
      <c r="I359" s="9" t="inlineStr">
        <is>
          <t>UN</t>
        </is>
      </c>
      <c r="J359" s="8">
        <f>IFERROR(VLOOKUP(F359,'Base Insumos'!$A:$C,3,FALSE()),"PENDENTE")</f>
        <v/>
      </c>
      <c r="K359" s="8">
        <f>IFERROR(IF(J359="PENDENTE",0,J359*H359),0)</f>
        <v/>
      </c>
      <c r="L359" s="8" t="n">
        <v>39.99</v>
      </c>
      <c r="M359" s="20">
        <f>IFERROR(K359/L359,0)</f>
        <v/>
      </c>
      <c r="N359" s="7" t="n"/>
    </row>
    <row r="360" ht="15" customHeight="1">
      <c r="A360" s="11" t="inlineStr">
        <is>
          <t>Drinks</t>
        </is>
      </c>
      <c r="B360" s="12" t="inlineStr">
        <is>
          <t>Drinks</t>
        </is>
      </c>
      <c r="C360" s="13" t="inlineStr">
        <is>
          <t>Melancita Gin</t>
        </is>
      </c>
      <c r="D360" s="2">
        <f>IF(ISERROR(VLOOKUP(E360,'Estrutura Protheus'!A:A,1,FALSE)),"Não","Sim")</f>
        <v/>
      </c>
      <c r="E360" s="5" t="inlineStr">
        <is>
          <t>001170</t>
        </is>
      </c>
      <c r="F360" s="5" t="inlineStr">
        <is>
          <t>000492</t>
        </is>
      </c>
      <c r="G360" s="3" t="inlineStr">
        <is>
          <t>Limao Taiti Fruta</t>
        </is>
      </c>
      <c r="H360" s="14" t="n">
        <v>0.05</v>
      </c>
      <c r="I360" s="5" t="inlineStr">
        <is>
          <t>KG</t>
        </is>
      </c>
      <c r="J360" s="4">
        <f>IFERROR(VLOOKUP(F360,'Base Insumos'!$A:$C,3,FALSE()),"PENDENTE")</f>
        <v/>
      </c>
      <c r="K360" s="4">
        <f>IFERROR(IF(J360="PENDENTE",0,J360*H360),0)</f>
        <v/>
      </c>
      <c r="L360" s="4" t="n">
        <v>39.99</v>
      </c>
      <c r="M360" s="15">
        <f>IFERROR(K360/L360,0)</f>
        <v/>
      </c>
      <c r="N360" s="3" t="n"/>
    </row>
    <row r="361" ht="15" customHeight="1">
      <c r="A361" s="16" t="inlineStr">
        <is>
          <t>Drinks</t>
        </is>
      </c>
      <c r="B361" s="17" t="inlineStr">
        <is>
          <t>Drinks</t>
        </is>
      </c>
      <c r="C361" s="18" t="inlineStr">
        <is>
          <t>Melancita Gin</t>
        </is>
      </c>
      <c r="D361" s="6">
        <f>IF(ISERROR(VLOOKUP(E361,'Estrutura Protheus'!A:A,1,FALSE)),"Não","Sim")</f>
        <v/>
      </c>
      <c r="E361" s="9" t="inlineStr">
        <is>
          <t>001170</t>
        </is>
      </c>
      <c r="F361" s="9" t="inlineStr">
        <is>
          <t>000474</t>
        </is>
      </c>
      <c r="G361" s="7" t="inlineStr">
        <is>
          <t>Hortela Grande</t>
        </is>
      </c>
      <c r="H361" s="19" t="n">
        <v>0.03</v>
      </c>
      <c r="I361" s="9" t="inlineStr">
        <is>
          <t>KG</t>
        </is>
      </c>
      <c r="J361" s="8">
        <f>IFERROR(VLOOKUP(F361,'Base Insumos'!$A:$C,3,FALSE()),"PENDENTE")</f>
        <v/>
      </c>
      <c r="K361" s="8">
        <f>IFERROR(IF(J361="PENDENTE",0,J361*H361),0)</f>
        <v/>
      </c>
      <c r="L361" s="8" t="n">
        <v>39.99</v>
      </c>
      <c r="M361" s="20">
        <f>IFERROR(K361/L361,0)</f>
        <v/>
      </c>
      <c r="N361" s="7" t="n"/>
    </row>
    <row r="362" ht="15" customHeight="1">
      <c r="A362" s="11" t="inlineStr">
        <is>
          <t>Drinks</t>
        </is>
      </c>
      <c r="B362" s="12" t="inlineStr">
        <is>
          <t>Drinks</t>
        </is>
      </c>
      <c r="C362" s="13" t="inlineStr">
        <is>
          <t>Melancita Gin</t>
        </is>
      </c>
      <c r="D362" s="2">
        <f>IF(ISERROR(VLOOKUP(E362,'Estrutura Protheus'!A:A,1,FALSE)),"Não","Sim")</f>
        <v/>
      </c>
      <c r="E362" s="5" t="inlineStr">
        <is>
          <t>001170</t>
        </is>
      </c>
      <c r="F362" s="5" t="inlineStr">
        <is>
          <t>001176</t>
        </is>
      </c>
      <c r="G362" s="3" t="inlineStr">
        <is>
          <t>Anis Estrelado</t>
        </is>
      </c>
      <c r="H362" s="14" t="n">
        <v>0.005</v>
      </c>
      <c r="I362" s="5" t="inlineStr">
        <is>
          <t>KG</t>
        </is>
      </c>
      <c r="J362" s="4">
        <f>IFERROR(VLOOKUP(F362,'Base Insumos'!$A:$C,3,FALSE()),"PENDENTE")</f>
        <v/>
      </c>
      <c r="K362" s="4">
        <f>IFERROR(IF(J362="PENDENTE",0,J362*H362),0)</f>
        <v/>
      </c>
      <c r="L362" s="4" t="n">
        <v>39.99</v>
      </c>
      <c r="M362" s="15">
        <f>IFERROR(K362/L362,0)</f>
        <v/>
      </c>
      <c r="N362" s="3" t="n"/>
    </row>
    <row r="363" ht="15" customHeight="1">
      <c r="A363" s="16" t="inlineStr">
        <is>
          <t>Drinks</t>
        </is>
      </c>
      <c r="B363" s="17" t="inlineStr">
        <is>
          <t>Drinks</t>
        </is>
      </c>
      <c r="C363" s="18" t="inlineStr">
        <is>
          <t>Melão Gin</t>
        </is>
      </c>
      <c r="D363" s="6">
        <f>IF(ISERROR(VLOOKUP(E363,'Estrutura Protheus'!A:A,1,FALSE)),"Não","Sim")</f>
        <v/>
      </c>
      <c r="E363" s="9" t="inlineStr">
        <is>
          <t>002043</t>
        </is>
      </c>
      <c r="F363" s="9" t="inlineStr">
        <is>
          <t>009820</t>
        </is>
      </c>
      <c r="G363" s="7" t="inlineStr">
        <is>
          <t>Gin Bacco Premium Bag 5lt</t>
        </is>
      </c>
      <c r="H363" s="19" t="n">
        <v>0.075</v>
      </c>
      <c r="I363" s="9" t="inlineStr">
        <is>
          <t>LT</t>
        </is>
      </c>
      <c r="J363" s="8">
        <f>IFERROR(VLOOKUP(F363,'Base Insumos'!$A:$C,3,FALSE()),"PENDENTE")</f>
        <v/>
      </c>
      <c r="K363" s="8">
        <f>IFERROR(IF(J363="PENDENTE",0,J363*H363),0)</f>
        <v/>
      </c>
      <c r="L363" s="8" t="n">
        <v>39</v>
      </c>
      <c r="M363" s="20">
        <f>IFERROR(K363/L363,0)</f>
        <v/>
      </c>
      <c r="N363" s="7" t="n"/>
    </row>
    <row r="364" ht="15" customHeight="1">
      <c r="A364" s="11" t="inlineStr">
        <is>
          <t>Drinks</t>
        </is>
      </c>
      <c r="B364" s="12" t="inlineStr">
        <is>
          <t>Drinks</t>
        </is>
      </c>
      <c r="C364" s="13" t="inlineStr">
        <is>
          <t>Melão Gin</t>
        </is>
      </c>
      <c r="D364" s="2">
        <f>IF(ISERROR(VLOOKUP(E364,'Estrutura Protheus'!A:A,1,FALSE)),"Não","Sim")</f>
        <v/>
      </c>
      <c r="E364" s="5" t="inlineStr">
        <is>
          <t>002043</t>
        </is>
      </c>
      <c r="F364" s="5" t="inlineStr">
        <is>
          <t>002040</t>
        </is>
      </c>
      <c r="G364" s="3" t="inlineStr">
        <is>
          <t>Red Bull Melao e Maracuja</t>
        </is>
      </c>
      <c r="H364" s="14" t="n">
        <v>1</v>
      </c>
      <c r="I364" s="5" t="inlineStr">
        <is>
          <t>UN</t>
        </is>
      </c>
      <c r="J364" s="4">
        <f>IFERROR(VLOOKUP(F364,'Base Insumos'!$A:$C,3,FALSE()),"PENDENTE")</f>
        <v/>
      </c>
      <c r="K364" s="4">
        <f>IFERROR(IF(J364="PENDENTE",0,J364*H364),0)</f>
        <v/>
      </c>
      <c r="L364" s="4" t="n">
        <v>39</v>
      </c>
      <c r="M364" s="15">
        <f>IFERROR(K364/L364,0)</f>
        <v/>
      </c>
      <c r="N364" s="3" t="n"/>
    </row>
    <row r="365" ht="15" customHeight="1">
      <c r="A365" s="16" t="inlineStr">
        <is>
          <t>Drinks</t>
        </is>
      </c>
      <c r="B365" s="17" t="inlineStr">
        <is>
          <t>Drinks</t>
        </is>
      </c>
      <c r="C365" s="18" t="inlineStr">
        <is>
          <t>Melão Gin</t>
        </is>
      </c>
      <c r="D365" s="6">
        <f>IF(ISERROR(VLOOKUP(E365,'Estrutura Protheus'!A:A,1,FALSE)),"Não","Sim")</f>
        <v/>
      </c>
      <c r="E365" s="9" t="inlineStr">
        <is>
          <t>002043</t>
        </is>
      </c>
      <c r="F365" s="9" t="inlineStr">
        <is>
          <t>000492</t>
        </is>
      </c>
      <c r="G365" s="7" t="inlineStr">
        <is>
          <t>Limao Taiti Fruta</t>
        </is>
      </c>
      <c r="H365" s="19" t="n">
        <v>0.1</v>
      </c>
      <c r="I365" s="9" t="inlineStr">
        <is>
          <t>KG</t>
        </is>
      </c>
      <c r="J365" s="8">
        <f>IFERROR(VLOOKUP(F365,'Base Insumos'!$A:$C,3,FALSE()),"PENDENTE")</f>
        <v/>
      </c>
      <c r="K365" s="8">
        <f>IFERROR(IF(J365="PENDENTE",0,J365*H365),0)</f>
        <v/>
      </c>
      <c r="L365" s="8" t="n">
        <v>39</v>
      </c>
      <c r="M365" s="20">
        <f>IFERROR(K365/L365,0)</f>
        <v/>
      </c>
      <c r="N365" s="7" t="n"/>
    </row>
    <row r="366" ht="15" customHeight="1">
      <c r="A366" s="11" t="inlineStr">
        <is>
          <t>Drinks</t>
        </is>
      </c>
      <c r="B366" s="12" t="inlineStr">
        <is>
          <t>Drinks</t>
        </is>
      </c>
      <c r="C366" s="13" t="inlineStr">
        <is>
          <t>Melão Gin</t>
        </is>
      </c>
      <c r="D366" s="2">
        <f>IF(ISERROR(VLOOKUP(E366,'Estrutura Protheus'!A:A,1,FALSE)),"Não","Sim")</f>
        <v/>
      </c>
      <c r="E366" s="5" t="inlineStr">
        <is>
          <t>002043</t>
        </is>
      </c>
      <c r="F366" s="5" t="inlineStr">
        <is>
          <t>000474</t>
        </is>
      </c>
      <c r="G366" s="3" t="inlineStr">
        <is>
          <t>Hortela Grande</t>
        </is>
      </c>
      <c r="H366" s="14" t="n">
        <v>0.001</v>
      </c>
      <c r="I366" s="5" t="inlineStr">
        <is>
          <t>KG</t>
        </is>
      </c>
      <c r="J366" s="4">
        <f>IFERROR(VLOOKUP(F366,'Base Insumos'!$A:$C,3,FALSE()),"PENDENTE")</f>
        <v/>
      </c>
      <c r="K366" s="4">
        <f>IFERROR(IF(J366="PENDENTE",0,J366*H366),0)</f>
        <v/>
      </c>
      <c r="L366" s="4" t="n">
        <v>39</v>
      </c>
      <c r="M366" s="15">
        <f>IFERROR(K366/L366,0)</f>
        <v/>
      </c>
      <c r="N366" s="3" t="n"/>
    </row>
    <row r="367" ht="15" customHeight="1">
      <c r="A367" s="16" t="inlineStr">
        <is>
          <t>Drinks</t>
        </is>
      </c>
      <c r="B367" s="17" t="inlineStr">
        <is>
          <t>Drinks</t>
        </is>
      </c>
      <c r="C367" s="18" t="inlineStr">
        <is>
          <t>Mint Negroni</t>
        </is>
      </c>
      <c r="D367" s="6">
        <f>IF(ISERROR(VLOOKUP(E367,'Estrutura Protheus'!A:A,1,FALSE)),"Não","Sim")</f>
        <v/>
      </c>
      <c r="E367" s="9" t="inlineStr">
        <is>
          <t>001943</t>
        </is>
      </c>
      <c r="F367" s="9" t="inlineStr">
        <is>
          <t>001921</t>
        </is>
      </c>
      <c r="G367" s="7" t="inlineStr">
        <is>
          <t>Negroni 750 Ml Aptk</t>
        </is>
      </c>
      <c r="H367" s="19" t="n">
        <v>0.075</v>
      </c>
      <c r="I367" s="9" t="inlineStr">
        <is>
          <t>LT</t>
        </is>
      </c>
      <c r="J367" s="8">
        <f>IFERROR(VLOOKUP(F367,'Base Insumos'!$A:$C,3,FALSE()),"PENDENTE")</f>
        <v/>
      </c>
      <c r="K367" s="8">
        <f>IFERROR(IF(J367="PENDENTE",0,J367*H367),0)</f>
        <v/>
      </c>
      <c r="L367" s="8" t="n">
        <v>36</v>
      </c>
      <c r="M367" s="20">
        <f>IFERROR(K367/L367,0)</f>
        <v/>
      </c>
      <c r="N367" s="7" t="n"/>
    </row>
    <row r="368" ht="15" customHeight="1">
      <c r="A368" s="11" t="inlineStr">
        <is>
          <t>Drinks</t>
        </is>
      </c>
      <c r="B368" s="12" t="inlineStr">
        <is>
          <t>Drinks</t>
        </is>
      </c>
      <c r="C368" s="13" t="inlineStr">
        <is>
          <t>Mint Negroni</t>
        </is>
      </c>
      <c r="D368" s="2">
        <f>IF(ISERROR(VLOOKUP(E368,'Estrutura Protheus'!A:A,1,FALSE)),"Não","Sim")</f>
        <v/>
      </c>
      <c r="E368" s="5" t="inlineStr">
        <is>
          <t>001943</t>
        </is>
      </c>
      <c r="F368" s="5" t="inlineStr">
        <is>
          <t>001916</t>
        </is>
      </c>
      <c r="G368" s="3" t="inlineStr">
        <is>
          <t>Xarope Monin Menta Verde 700 Ml</t>
        </is>
      </c>
      <c r="H368" s="14" t="n">
        <v>0.015</v>
      </c>
      <c r="I368" s="5" t="inlineStr">
        <is>
          <t>LT</t>
        </is>
      </c>
      <c r="J368" s="4">
        <f>IFERROR(VLOOKUP(F368,'Base Insumos'!$A:$C,3,FALSE()),"PENDENTE")</f>
        <v/>
      </c>
      <c r="K368" s="4">
        <f>IFERROR(IF(J368="PENDENTE",0,J368*H368),0)</f>
        <v/>
      </c>
      <c r="L368" s="4" t="n">
        <v>36</v>
      </c>
      <c r="M368" s="15">
        <f>IFERROR(K368/L368,0)</f>
        <v/>
      </c>
      <c r="N368" s="3" t="n"/>
    </row>
    <row r="369" ht="15" customHeight="1">
      <c r="A369" s="16" t="inlineStr">
        <is>
          <t>Drinks</t>
        </is>
      </c>
      <c r="B369" s="17" t="inlineStr">
        <is>
          <t>Drinks</t>
        </is>
      </c>
      <c r="C369" s="18" t="inlineStr">
        <is>
          <t>Mojito</t>
        </is>
      </c>
      <c r="D369" s="6">
        <f>IF(ISERROR(VLOOKUP(E369,'Estrutura Protheus'!A:A,1,FALSE)),"Não","Sim")</f>
        <v/>
      </c>
      <c r="E369" s="9" t="inlineStr">
        <is>
          <t>002265</t>
        </is>
      </c>
      <c r="F369" s="9" t="inlineStr">
        <is>
          <t>000492</t>
        </is>
      </c>
      <c r="G369" s="7" t="inlineStr">
        <is>
          <t>Limao Taiti Fruta</t>
        </is>
      </c>
      <c r="H369" s="19" t="n">
        <v>0.03</v>
      </c>
      <c r="I369" s="9" t="inlineStr">
        <is>
          <t>KG</t>
        </is>
      </c>
      <c r="J369" s="8">
        <f>IFERROR(VLOOKUP(F369,'Base Insumos'!$A:$C,3,FALSE()),"PENDENTE")</f>
        <v/>
      </c>
      <c r="K369" s="8">
        <f>IFERROR(IF(J369="PENDENTE",0,J369*H369),0)</f>
        <v/>
      </c>
      <c r="L369" s="8" t="n">
        <v>38</v>
      </c>
      <c r="M369" s="20">
        <f>IFERROR(K369/L369,0)</f>
        <v/>
      </c>
      <c r="N369" s="7" t="n"/>
    </row>
    <row r="370" ht="15" customHeight="1">
      <c r="A370" s="11" t="inlineStr">
        <is>
          <t>Drinks</t>
        </is>
      </c>
      <c r="B370" s="12" t="inlineStr">
        <is>
          <t>Drinks</t>
        </is>
      </c>
      <c r="C370" s="13" t="inlineStr">
        <is>
          <t>Mojito</t>
        </is>
      </c>
      <c r="D370" s="2">
        <f>IF(ISERROR(VLOOKUP(E370,'Estrutura Protheus'!A:A,1,FALSE)),"Não","Sim")</f>
        <v/>
      </c>
      <c r="E370" s="5" t="inlineStr">
        <is>
          <t>002265</t>
        </is>
      </c>
      <c r="F370" s="5" t="inlineStr">
        <is>
          <t>000474</t>
        </is>
      </c>
      <c r="G370" s="3" t="inlineStr">
        <is>
          <t>Hortela Grande</t>
        </is>
      </c>
      <c r="H370" s="14" t="n">
        <v>0.02</v>
      </c>
      <c r="I370" s="5" t="inlineStr">
        <is>
          <t>KG</t>
        </is>
      </c>
      <c r="J370" s="4">
        <f>IFERROR(VLOOKUP(F370,'Base Insumos'!$A:$C,3,FALSE()),"PENDENTE")</f>
        <v/>
      </c>
      <c r="K370" s="4">
        <f>IFERROR(IF(J370="PENDENTE",0,J370*H370),0)</f>
        <v/>
      </c>
      <c r="L370" s="4" t="n">
        <v>38</v>
      </c>
      <c r="M370" s="15">
        <f>IFERROR(K370/L370,0)</f>
        <v/>
      </c>
      <c r="N370" s="3" t="n"/>
    </row>
    <row r="371" ht="15" customHeight="1">
      <c r="A371" s="16" t="inlineStr">
        <is>
          <t>Drinks</t>
        </is>
      </c>
      <c r="B371" s="17" t="inlineStr">
        <is>
          <t>Drinks</t>
        </is>
      </c>
      <c r="C371" s="18" t="inlineStr">
        <is>
          <t>Mojito</t>
        </is>
      </c>
      <c r="D371" s="6">
        <f>IF(ISERROR(VLOOKUP(E371,'Estrutura Protheus'!A:A,1,FALSE)),"Não","Sim")</f>
        <v/>
      </c>
      <c r="E371" s="9" t="inlineStr">
        <is>
          <t>002265</t>
        </is>
      </c>
      <c r="F371" s="9" t="inlineStr">
        <is>
          <t>000316</t>
        </is>
      </c>
      <c r="G371" s="7" t="inlineStr">
        <is>
          <t>Soda Lata 350ml</t>
        </is>
      </c>
      <c r="H371" s="19" t="n">
        <v>1</v>
      </c>
      <c r="I371" s="9" t="inlineStr">
        <is>
          <t>UN</t>
        </is>
      </c>
      <c r="J371" s="8">
        <f>IFERROR(VLOOKUP(F371,'Base Insumos'!$A:$C,3,FALSE()),"PENDENTE")</f>
        <v/>
      </c>
      <c r="K371" s="8">
        <f>IFERROR(IF(J371="PENDENTE",0,J371*H371),0)</f>
        <v/>
      </c>
      <c r="L371" s="8" t="n">
        <v>38</v>
      </c>
      <c r="M371" s="20">
        <f>IFERROR(K371/L371,0)</f>
        <v/>
      </c>
      <c r="N371" s="7" t="n"/>
    </row>
    <row r="372" ht="15" customHeight="1">
      <c r="A372" s="11" t="inlineStr">
        <is>
          <t>Drinks</t>
        </is>
      </c>
      <c r="B372" s="12" t="inlineStr">
        <is>
          <t>Drinks</t>
        </is>
      </c>
      <c r="C372" s="13" t="inlineStr">
        <is>
          <t>Moscow Mule</t>
        </is>
      </c>
      <c r="D372" s="2">
        <f>IF(ISERROR(VLOOKUP(E372,'Estrutura Protheus'!A:A,1,FALSE)),"Não","Sim")</f>
        <v/>
      </c>
      <c r="E372" s="5" t="inlineStr">
        <is>
          <t>000951</t>
        </is>
      </c>
      <c r="F372" s="5" t="inlineStr">
        <is>
          <t>000339</t>
        </is>
      </c>
      <c r="G372" s="3" t="inlineStr">
        <is>
          <t>Vodka Absolut Natural 1lt</t>
        </is>
      </c>
      <c r="H372" s="14" t="n">
        <v>0.05</v>
      </c>
      <c r="I372" s="5" t="inlineStr">
        <is>
          <t>LT</t>
        </is>
      </c>
      <c r="J372" s="4">
        <f>IFERROR(VLOOKUP(F372,'Base Insumos'!$A:$C,3,FALSE()),"PENDENTE")</f>
        <v/>
      </c>
      <c r="K372" s="4">
        <f>IFERROR(IF(J372="PENDENTE",0,J372*H372),0)</f>
        <v/>
      </c>
      <c r="L372" s="4" t="n">
        <v>36.99</v>
      </c>
      <c r="M372" s="15">
        <f>IFERROR(K372/L372,0)</f>
        <v/>
      </c>
      <c r="N372" s="3" t="n"/>
    </row>
    <row r="373" ht="15" customHeight="1">
      <c r="A373" s="16" t="inlineStr">
        <is>
          <t>Drinks</t>
        </is>
      </c>
      <c r="B373" s="17" t="inlineStr">
        <is>
          <t>Drinks</t>
        </is>
      </c>
      <c r="C373" s="18" t="inlineStr">
        <is>
          <t>Moscow Mule</t>
        </is>
      </c>
      <c r="D373" s="6">
        <f>IF(ISERROR(VLOOKUP(E373,'Estrutura Protheus'!A:A,1,FALSE)),"Não","Sim")</f>
        <v/>
      </c>
      <c r="E373" s="9" t="inlineStr">
        <is>
          <t>000951</t>
        </is>
      </c>
      <c r="F373" s="9" t="inlineStr">
        <is>
          <t>000492</t>
        </is>
      </c>
      <c r="G373" s="7" t="inlineStr">
        <is>
          <t>Limao Taiti Fruta</t>
        </is>
      </c>
      <c r="H373" s="19" t="n">
        <v>0.1</v>
      </c>
      <c r="I373" s="9" t="inlineStr">
        <is>
          <t>KG</t>
        </is>
      </c>
      <c r="J373" s="8">
        <f>IFERROR(VLOOKUP(F373,'Base Insumos'!$A:$C,3,FALSE()),"PENDENTE")</f>
        <v/>
      </c>
      <c r="K373" s="8">
        <f>IFERROR(IF(J373="PENDENTE",0,J373*H373),0)</f>
        <v/>
      </c>
      <c r="L373" s="8" t="n">
        <v>36.99</v>
      </c>
      <c r="M373" s="20">
        <f>IFERROR(K373/L373,0)</f>
        <v/>
      </c>
      <c r="N373" s="7" t="n"/>
    </row>
    <row r="374" ht="15" customHeight="1">
      <c r="A374" s="11" t="inlineStr">
        <is>
          <t>Drinks</t>
        </is>
      </c>
      <c r="B374" s="12" t="inlineStr">
        <is>
          <t>Drinks</t>
        </is>
      </c>
      <c r="C374" s="13" t="inlineStr">
        <is>
          <t>Moscow Mule</t>
        </is>
      </c>
      <c r="D374" s="2">
        <f>IF(ISERROR(VLOOKUP(E374,'Estrutura Protheus'!A:A,1,FALSE)),"Não","Sim")</f>
        <v/>
      </c>
      <c r="E374" s="5" t="inlineStr">
        <is>
          <t>000951</t>
        </is>
      </c>
      <c r="F374" s="5" t="inlineStr">
        <is>
          <t>009828</t>
        </is>
      </c>
      <c r="G374" s="3" t="inlineStr">
        <is>
          <t>Xarope Gengibre 3lt</t>
        </is>
      </c>
      <c r="H374" s="14" t="n">
        <v>0.02</v>
      </c>
      <c r="I374" s="5" t="inlineStr">
        <is>
          <t>LT</t>
        </is>
      </c>
      <c r="J374" s="4">
        <f>IFERROR(VLOOKUP(F374,'Base Insumos'!$A:$C,3,FALSE()),"PENDENTE")</f>
        <v/>
      </c>
      <c r="K374" s="4">
        <f>IFERROR(IF(J374="PENDENTE",0,J374*H374),0)</f>
        <v/>
      </c>
      <c r="L374" s="4" t="n">
        <v>36.99</v>
      </c>
      <c r="M374" s="15">
        <f>IFERROR(K374/L374,0)</f>
        <v/>
      </c>
      <c r="N374" s="3" t="n"/>
    </row>
    <row r="375" ht="15" customHeight="1">
      <c r="A375" s="16" t="inlineStr">
        <is>
          <t>Drinks</t>
        </is>
      </c>
      <c r="B375" s="17" t="inlineStr">
        <is>
          <t>Drinks</t>
        </is>
      </c>
      <c r="C375" s="18" t="inlineStr">
        <is>
          <t>Negroni</t>
        </is>
      </c>
      <c r="D375" s="6">
        <f>IF(ISERROR(VLOOKUP(E375,'Estrutura Protheus'!A:A,1,FALSE)),"Não","Sim")</f>
        <v/>
      </c>
      <c r="E375" s="9" t="inlineStr">
        <is>
          <t>000063</t>
        </is>
      </c>
      <c r="F375" s="9" t="inlineStr">
        <is>
          <t>001921</t>
        </is>
      </c>
      <c r="G375" s="7" t="inlineStr">
        <is>
          <t>Negroni 750 Ml Aptk</t>
        </is>
      </c>
      <c r="H375" s="19" t="n">
        <v>0.09</v>
      </c>
      <c r="I375" s="9" t="inlineStr">
        <is>
          <t>LT</t>
        </is>
      </c>
      <c r="J375" s="8">
        <f>IFERROR(VLOOKUP(F375,'Base Insumos'!$A:$C,3,FALSE()),"PENDENTE")</f>
        <v/>
      </c>
      <c r="K375" s="8">
        <f>IFERROR(IF(J375="PENDENTE",0,J375*H375),0)</f>
        <v/>
      </c>
      <c r="L375" s="8" t="n">
        <v>39.99</v>
      </c>
      <c r="M375" s="20">
        <f>IFERROR(K375/L375,0)</f>
        <v/>
      </c>
      <c r="N375" s="7" t="n"/>
    </row>
    <row r="376" ht="15" customHeight="1">
      <c r="A376" s="11" t="inlineStr">
        <is>
          <t>Drinks</t>
        </is>
      </c>
      <c r="B376" s="12" t="inlineStr">
        <is>
          <t>Drinks</t>
        </is>
      </c>
      <c r="C376" s="13" t="inlineStr">
        <is>
          <t>Negroni</t>
        </is>
      </c>
      <c r="D376" s="2">
        <f>IF(ISERROR(VLOOKUP(E376,'Estrutura Protheus'!A:A,1,FALSE)),"Não","Sim")</f>
        <v/>
      </c>
      <c r="E376" s="5" t="inlineStr">
        <is>
          <t>000063</t>
        </is>
      </c>
      <c r="F376" s="5" t="inlineStr">
        <is>
          <t>000490</t>
        </is>
      </c>
      <c r="G376" s="3" t="inlineStr">
        <is>
          <t>Laranja Pera Fruta</t>
        </is>
      </c>
      <c r="H376" s="14" t="n">
        <v>0.05</v>
      </c>
      <c r="I376" s="5" t="inlineStr">
        <is>
          <t>KG</t>
        </is>
      </c>
      <c r="J376" s="4">
        <f>IFERROR(VLOOKUP(F376,'Base Insumos'!$A:$C,3,FALSE()),"PENDENTE")</f>
        <v/>
      </c>
      <c r="K376" s="4">
        <f>IFERROR(IF(J376="PENDENTE",0,J376*H376),0)</f>
        <v/>
      </c>
      <c r="L376" s="4" t="n">
        <v>39.99</v>
      </c>
      <c r="M376" s="15">
        <f>IFERROR(K376/L376,0)</f>
        <v/>
      </c>
      <c r="N376" s="3" t="n"/>
    </row>
    <row r="377" ht="15" customHeight="1">
      <c r="A377" s="16" t="inlineStr">
        <is>
          <t>Drinks</t>
        </is>
      </c>
      <c r="B377" s="17" t="inlineStr">
        <is>
          <t>Drinks</t>
        </is>
      </c>
      <c r="C377" s="18" t="inlineStr">
        <is>
          <t>Old Fashioned</t>
        </is>
      </c>
      <c r="D377" s="6">
        <f>IF(ISERROR(VLOOKUP(E377,'Estrutura Protheus'!A:A,1,FALSE)),"Não","Sim")</f>
        <v/>
      </c>
      <c r="E377" s="9" t="inlineStr">
        <is>
          <t>001953</t>
        </is>
      </c>
      <c r="F377" s="9" t="inlineStr">
        <is>
          <t>001925</t>
        </is>
      </c>
      <c r="G377" s="7" t="inlineStr">
        <is>
          <t>Old Fashioned 750 Ml Aptk</t>
        </is>
      </c>
      <c r="H377" s="19" t="n">
        <v>0.09</v>
      </c>
      <c r="I377" s="9" t="inlineStr">
        <is>
          <t>LT</t>
        </is>
      </c>
      <c r="J377" s="8">
        <f>IFERROR(VLOOKUP(F377,'Base Insumos'!$A:$C,3,FALSE()),"PENDENTE")</f>
        <v/>
      </c>
      <c r="K377" s="8">
        <f>IFERROR(IF(J377="PENDENTE",0,J377*H377),0)</f>
        <v/>
      </c>
      <c r="L377" s="8" t="n">
        <v>38</v>
      </c>
      <c r="M377" s="20">
        <f>IFERROR(K377/L377,0)</f>
        <v/>
      </c>
      <c r="N377" s="7" t="n"/>
    </row>
    <row r="378" ht="15" customHeight="1">
      <c r="A378" s="11" t="inlineStr">
        <is>
          <t>Drinks</t>
        </is>
      </c>
      <c r="B378" s="12" t="inlineStr">
        <is>
          <t>Drinks</t>
        </is>
      </c>
      <c r="C378" s="13" t="inlineStr">
        <is>
          <t>Old Fashioned</t>
        </is>
      </c>
      <c r="D378" s="2">
        <f>IF(ISERROR(VLOOKUP(E378,'Estrutura Protheus'!A:A,1,FALSE)),"Não","Sim")</f>
        <v/>
      </c>
      <c r="E378" s="5" t="inlineStr">
        <is>
          <t>001953</t>
        </is>
      </c>
      <c r="F378" s="5" t="inlineStr">
        <is>
          <t>000490</t>
        </is>
      </c>
      <c r="G378" s="3" t="inlineStr">
        <is>
          <t>Laranja Pera Fruta</t>
        </is>
      </c>
      <c r="H378" s="14" t="n">
        <v>0.025</v>
      </c>
      <c r="I378" s="5" t="inlineStr">
        <is>
          <t>KG</t>
        </is>
      </c>
      <c r="J378" s="4">
        <f>IFERROR(VLOOKUP(F378,'Base Insumos'!$A:$C,3,FALSE()),"PENDENTE")</f>
        <v/>
      </c>
      <c r="K378" s="4">
        <f>IFERROR(IF(J378="PENDENTE",0,J378*H378),0)</f>
        <v/>
      </c>
      <c r="L378" s="4" t="n">
        <v>38</v>
      </c>
      <c r="M378" s="15">
        <f>IFERROR(K378/L378,0)</f>
        <v/>
      </c>
      <c r="N378" s="3" t="n"/>
    </row>
    <row r="379" ht="15" customHeight="1">
      <c r="A379" s="16" t="inlineStr">
        <is>
          <t>Drinks</t>
        </is>
      </c>
      <c r="B379" s="17" t="inlineStr">
        <is>
          <t>Drinks</t>
        </is>
      </c>
      <c r="C379" s="18" t="inlineStr">
        <is>
          <t>Penicilin</t>
        </is>
      </c>
      <c r="D379" s="6">
        <f>IF(ISERROR(VLOOKUP(E379,'Estrutura Protheus'!A:A,1,FALSE)),"Não","Sim")</f>
        <v/>
      </c>
      <c r="E379" s="9" t="inlineStr">
        <is>
          <t>001955</t>
        </is>
      </c>
      <c r="F379" s="9" t="inlineStr">
        <is>
          <t>001136</t>
        </is>
      </c>
      <c r="G379" s="7" t="inlineStr">
        <is>
          <t>Whisky Johnnie Walker Red Label 1lt</t>
        </is>
      </c>
      <c r="H379" s="19" t="n">
        <v>0.05</v>
      </c>
      <c r="I379" s="9" t="inlineStr">
        <is>
          <t>LT</t>
        </is>
      </c>
      <c r="J379" s="8">
        <f>IFERROR(VLOOKUP(F379,'Base Insumos'!$A:$C,3,FALSE()),"PENDENTE")</f>
        <v/>
      </c>
      <c r="K379" s="8">
        <f>IFERROR(IF(J379="PENDENTE",0,J379*H379),0)</f>
        <v/>
      </c>
      <c r="L379" s="8" t="n">
        <v>39</v>
      </c>
      <c r="M379" s="20">
        <f>IFERROR(K379/L379,0)</f>
        <v/>
      </c>
      <c r="N379" s="7" t="n"/>
    </row>
    <row r="380" ht="15" customHeight="1">
      <c r="A380" s="11" t="inlineStr">
        <is>
          <t>Drinks</t>
        </is>
      </c>
      <c r="B380" s="12" t="inlineStr">
        <is>
          <t>Drinks</t>
        </is>
      </c>
      <c r="C380" s="13" t="inlineStr">
        <is>
          <t>Penicilin</t>
        </is>
      </c>
      <c r="D380" s="2">
        <f>IF(ISERROR(VLOOKUP(E380,'Estrutura Protheus'!A:A,1,FALSE)),"Não","Sim")</f>
        <v/>
      </c>
      <c r="E380" s="5" t="inlineStr">
        <is>
          <t>001955</t>
        </is>
      </c>
      <c r="F380" s="5" t="inlineStr">
        <is>
          <t>000492</t>
        </is>
      </c>
      <c r="G380" s="3" t="inlineStr">
        <is>
          <t>Limao Taiti Fruta</t>
        </is>
      </c>
      <c r="H380" s="14" t="n">
        <v>0.1</v>
      </c>
      <c r="I380" s="5" t="inlineStr">
        <is>
          <t>KG</t>
        </is>
      </c>
      <c r="J380" s="4">
        <f>IFERROR(VLOOKUP(F380,'Base Insumos'!$A:$C,3,FALSE()),"PENDENTE")</f>
        <v/>
      </c>
      <c r="K380" s="4">
        <f>IFERROR(IF(J380="PENDENTE",0,J380*H380),0)</f>
        <v/>
      </c>
      <c r="L380" s="4" t="n">
        <v>39</v>
      </c>
      <c r="M380" s="15">
        <f>IFERROR(K380/L380,0)</f>
        <v/>
      </c>
      <c r="N380" s="3" t="n"/>
    </row>
    <row r="381" ht="15" customHeight="1">
      <c r="A381" s="16" t="inlineStr">
        <is>
          <t>Drinks</t>
        </is>
      </c>
      <c r="B381" s="17" t="inlineStr">
        <is>
          <t>Drinks</t>
        </is>
      </c>
      <c r="C381" s="18" t="inlineStr">
        <is>
          <t>Penicilin</t>
        </is>
      </c>
      <c r="D381" s="6">
        <f>IF(ISERROR(VLOOKUP(E381,'Estrutura Protheus'!A:A,1,FALSE)),"Não","Sim")</f>
        <v/>
      </c>
      <c r="E381" s="9" t="inlineStr">
        <is>
          <t>001955</t>
        </is>
      </c>
      <c r="F381" s="9" t="inlineStr">
        <is>
          <t>009828</t>
        </is>
      </c>
      <c r="G381" s="7" t="inlineStr">
        <is>
          <t>Xarope Gengibre 3lt</t>
        </is>
      </c>
      <c r="H381" s="19" t="n">
        <v>0.02</v>
      </c>
      <c r="I381" s="9" t="inlineStr">
        <is>
          <t>LT</t>
        </is>
      </c>
      <c r="J381" s="8">
        <f>IFERROR(VLOOKUP(F381,'Base Insumos'!$A:$C,3,FALSE()),"PENDENTE")</f>
        <v/>
      </c>
      <c r="K381" s="8">
        <f>IFERROR(IF(J381="PENDENTE",0,J381*H381),0)</f>
        <v/>
      </c>
      <c r="L381" s="8" t="n">
        <v>39</v>
      </c>
      <c r="M381" s="20">
        <f>IFERROR(K381/L381,0)</f>
        <v/>
      </c>
      <c r="N381" s="7" t="n"/>
    </row>
    <row r="382" ht="15" customHeight="1">
      <c r="A382" s="11" t="inlineStr">
        <is>
          <t>Drinks</t>
        </is>
      </c>
      <c r="B382" s="12" t="inlineStr">
        <is>
          <t>Drinks</t>
        </is>
      </c>
      <c r="C382" s="13" t="inlineStr">
        <is>
          <t>Penicilin</t>
        </is>
      </c>
      <c r="D382" s="2">
        <f>IF(ISERROR(VLOOKUP(E382,'Estrutura Protheus'!A:A,1,FALSE)),"Não","Sim")</f>
        <v/>
      </c>
      <c r="E382" s="5" t="inlineStr">
        <is>
          <t>001955</t>
        </is>
      </c>
      <c r="F382" s="5" t="inlineStr">
        <is>
          <t>000400</t>
        </is>
      </c>
      <c r="G382" s="3" t="inlineStr">
        <is>
          <t>Mel Riomel</t>
        </is>
      </c>
      <c r="H382" s="14" t="n">
        <v>0.01</v>
      </c>
      <c r="I382" s="5" t="inlineStr">
        <is>
          <t>KG</t>
        </is>
      </c>
      <c r="J382" s="4">
        <f>IFERROR(VLOOKUP(F382,'Base Insumos'!$A:$C,3,FALSE()),"PENDENTE")</f>
        <v/>
      </c>
      <c r="K382" s="4">
        <f>IFERROR(IF(J382="PENDENTE",0,J382*H382),0)</f>
        <v/>
      </c>
      <c r="L382" s="4" t="n">
        <v>39</v>
      </c>
      <c r="M382" s="15">
        <f>IFERROR(K382/L382,0)</f>
        <v/>
      </c>
      <c r="N382" s="3" t="n"/>
    </row>
    <row r="383" ht="15" customHeight="1">
      <c r="A383" s="16" t="inlineStr">
        <is>
          <t>Drinks</t>
        </is>
      </c>
      <c r="B383" s="17" t="inlineStr">
        <is>
          <t>Drinks</t>
        </is>
      </c>
      <c r="C383" s="18" t="inlineStr">
        <is>
          <t>Piranga</t>
        </is>
      </c>
      <c r="D383" s="6">
        <f>IF(ISERROR(VLOOKUP(E383,'Estrutura Protheus'!A:A,1,FALSE)),"Não","Sim")</f>
        <v/>
      </c>
      <c r="E383" s="9" t="inlineStr">
        <is>
          <t>001946</t>
        </is>
      </c>
      <c r="F383" s="9" t="inlineStr">
        <is>
          <t>009820</t>
        </is>
      </c>
      <c r="G383" s="7" t="inlineStr">
        <is>
          <t>Gin Bacco Premium Bag 5lt</t>
        </is>
      </c>
      <c r="H383" s="19" t="n">
        <v>0.05</v>
      </c>
      <c r="I383" s="9" t="inlineStr">
        <is>
          <t>LT</t>
        </is>
      </c>
      <c r="J383" s="8">
        <f>IFERROR(VLOOKUP(F383,'Base Insumos'!$A:$C,3,FALSE()),"PENDENTE")</f>
        <v/>
      </c>
      <c r="K383" s="8">
        <f>IFERROR(IF(J383="PENDENTE",0,J383*H383),0)</f>
        <v/>
      </c>
      <c r="L383" s="8" t="n">
        <v>37.99</v>
      </c>
      <c r="M383" s="20">
        <f>IFERROR(K383/L383,0)</f>
        <v/>
      </c>
      <c r="N383" s="7" t="n"/>
    </row>
    <row r="384" ht="15" customHeight="1">
      <c r="A384" s="11" t="inlineStr">
        <is>
          <t>Drinks</t>
        </is>
      </c>
      <c r="B384" s="12" t="inlineStr">
        <is>
          <t>Drinks</t>
        </is>
      </c>
      <c r="C384" s="13" t="inlineStr">
        <is>
          <t>Piranga</t>
        </is>
      </c>
      <c r="D384" s="2">
        <f>IF(ISERROR(VLOOKUP(E384,'Estrutura Protheus'!A:A,1,FALSE)),"Não","Sim")</f>
        <v/>
      </c>
      <c r="E384" s="5" t="inlineStr">
        <is>
          <t>001946</t>
        </is>
      </c>
      <c r="F384" s="5" t="inlineStr">
        <is>
          <t>000590</t>
        </is>
      </c>
      <c r="G384" s="3" t="inlineStr">
        <is>
          <t>Morango Fruta</t>
        </is>
      </c>
      <c r="H384" s="14" t="n">
        <v>0.025</v>
      </c>
      <c r="I384" s="5" t="inlineStr">
        <is>
          <t>KG</t>
        </is>
      </c>
      <c r="J384" s="4">
        <f>IFERROR(VLOOKUP(F384,'Base Insumos'!$A:$C,3,FALSE()),"PENDENTE")</f>
        <v/>
      </c>
      <c r="K384" s="4">
        <f>IFERROR(IF(J384="PENDENTE",0,J384*H384),0)</f>
        <v/>
      </c>
      <c r="L384" s="4" t="n">
        <v>37.99</v>
      </c>
      <c r="M384" s="15">
        <f>IFERROR(K384/L384,0)</f>
        <v/>
      </c>
      <c r="N384" s="3" t="n"/>
    </row>
    <row r="385" ht="15" customHeight="1">
      <c r="A385" s="16" t="inlineStr">
        <is>
          <t>Drinks</t>
        </is>
      </c>
      <c r="B385" s="17" t="inlineStr">
        <is>
          <t>Drinks</t>
        </is>
      </c>
      <c r="C385" s="18" t="inlineStr">
        <is>
          <t>Piranga</t>
        </is>
      </c>
      <c r="D385" s="6">
        <f>IF(ISERROR(VLOOKUP(E385,'Estrutura Protheus'!A:A,1,FALSE)),"Não","Sim")</f>
        <v/>
      </c>
      <c r="E385" s="9" t="inlineStr">
        <is>
          <t>001946</t>
        </is>
      </c>
      <c r="F385" s="9" t="inlineStr">
        <is>
          <t>009826</t>
        </is>
      </c>
      <c r="G385" s="7" t="inlineStr">
        <is>
          <t>Xarope Morango 3lt</t>
        </is>
      </c>
      <c r="H385" s="19" t="n">
        <v>0.025</v>
      </c>
      <c r="I385" s="9" t="inlineStr">
        <is>
          <t>LT</t>
        </is>
      </c>
      <c r="J385" s="8">
        <f>IFERROR(VLOOKUP(F385,'Base Insumos'!$A:$C,3,FALSE()),"PENDENTE")</f>
        <v/>
      </c>
      <c r="K385" s="8">
        <f>IFERROR(IF(J385="PENDENTE",0,J385*H385),0)</f>
        <v/>
      </c>
      <c r="L385" s="8" t="n">
        <v>37.99</v>
      </c>
      <c r="M385" s="20">
        <f>IFERROR(K385/L385,0)</f>
        <v/>
      </c>
      <c r="N385" s="7" t="n"/>
    </row>
    <row r="386" ht="15" customHeight="1">
      <c r="A386" s="11" t="inlineStr">
        <is>
          <t>Drinks</t>
        </is>
      </c>
      <c r="B386" s="12" t="inlineStr">
        <is>
          <t>Drinks</t>
        </is>
      </c>
      <c r="C386" s="13" t="inlineStr">
        <is>
          <t>Piranga</t>
        </is>
      </c>
      <c r="D386" s="2">
        <f>IF(ISERROR(VLOOKUP(E386,'Estrutura Protheus'!A:A,1,FALSE)),"Não","Sim")</f>
        <v/>
      </c>
      <c r="E386" s="5" t="inlineStr">
        <is>
          <t>001946</t>
        </is>
      </c>
      <c r="F386" s="5" t="inlineStr">
        <is>
          <t>000492</t>
        </is>
      </c>
      <c r="G386" s="3" t="inlineStr">
        <is>
          <t>Limao Taiti Fruta</t>
        </is>
      </c>
      <c r="H386" s="14" t="n">
        <v>0.1</v>
      </c>
      <c r="I386" s="5" t="inlineStr">
        <is>
          <t>KG</t>
        </is>
      </c>
      <c r="J386" s="4">
        <f>IFERROR(VLOOKUP(F386,'Base Insumos'!$A:$C,3,FALSE()),"PENDENTE")</f>
        <v/>
      </c>
      <c r="K386" s="4">
        <f>IFERROR(IF(J386="PENDENTE",0,J386*H386),0)</f>
        <v/>
      </c>
      <c r="L386" s="4" t="n">
        <v>37.99</v>
      </c>
      <c r="M386" s="15">
        <f>IFERROR(K386/L386,0)</f>
        <v/>
      </c>
      <c r="N386" s="3" t="n"/>
    </row>
    <row r="387" ht="15" customHeight="1">
      <c r="A387" s="16" t="inlineStr">
        <is>
          <t>Drinks</t>
        </is>
      </c>
      <c r="B387" s="17" t="inlineStr">
        <is>
          <t>Drinks</t>
        </is>
      </c>
      <c r="C387" s="18" t="inlineStr">
        <is>
          <t>Piranga</t>
        </is>
      </c>
      <c r="D387" s="6">
        <f>IF(ISERROR(VLOOKUP(E387,'Estrutura Protheus'!A:A,1,FALSE)),"Não","Sim")</f>
        <v/>
      </c>
      <c r="E387" s="9" t="inlineStr">
        <is>
          <t>001946</t>
        </is>
      </c>
      <c r="F387" s="9" t="inlineStr">
        <is>
          <t>000380</t>
        </is>
      </c>
      <c r="G387" s="7" t="inlineStr">
        <is>
          <t>Agua de Coco 330ml</t>
        </is>
      </c>
      <c r="H387" s="19" t="n">
        <v>0.1</v>
      </c>
      <c r="I387" s="9" t="inlineStr">
        <is>
          <t>UN</t>
        </is>
      </c>
      <c r="J387" s="8">
        <f>IFERROR(VLOOKUP(F387,'Base Insumos'!$A:$C,3,FALSE()),"PENDENTE")</f>
        <v/>
      </c>
      <c r="K387" s="8">
        <f>IFERROR(IF(J387="PENDENTE",0,J387*H387),0)</f>
        <v/>
      </c>
      <c r="L387" s="8" t="n">
        <v>37.99</v>
      </c>
      <c r="M387" s="20">
        <f>IFERROR(K387/L387,0)</f>
        <v/>
      </c>
      <c r="N387" s="7" t="n"/>
    </row>
    <row r="388" ht="15" customHeight="1">
      <c r="A388" s="11" t="inlineStr">
        <is>
          <t>Drinks</t>
        </is>
      </c>
      <c r="B388" s="12" t="inlineStr">
        <is>
          <t>Drinks</t>
        </is>
      </c>
      <c r="C388" s="13" t="inlineStr">
        <is>
          <t>Piña Colada</t>
        </is>
      </c>
      <c r="D388" s="2">
        <f>IF(ISERROR(VLOOKUP(E388,'Estrutura Protheus'!A:A,1,FALSE)),"Não","Sim")</f>
        <v/>
      </c>
      <c r="E388" s="5" t="inlineStr">
        <is>
          <t>000059</t>
        </is>
      </c>
      <c r="F388" s="5" t="inlineStr">
        <is>
          <t>000941</t>
        </is>
      </c>
      <c r="G388" s="3" t="inlineStr">
        <is>
          <t>Montilla Prata Garrafa 1lt</t>
        </is>
      </c>
      <c r="H388" s="14" t="n">
        <v>0.08</v>
      </c>
      <c r="I388" s="5" t="inlineStr">
        <is>
          <t>LT</t>
        </is>
      </c>
      <c r="J388" s="4">
        <f>IFERROR(VLOOKUP(F388,'Base Insumos'!$A:$C,3,FALSE()),"PENDENTE")</f>
        <v/>
      </c>
      <c r="K388" s="4">
        <f>IFERROR(IF(J388="PENDENTE",0,J388*H388),0)</f>
        <v/>
      </c>
      <c r="L388" s="4" t="n">
        <v>37.99</v>
      </c>
      <c r="M388" s="15">
        <f>IFERROR(K388/L388,0)</f>
        <v/>
      </c>
      <c r="N388" s="3" t="n"/>
    </row>
    <row r="389" ht="15" customHeight="1">
      <c r="A389" s="16" t="inlineStr">
        <is>
          <t>Drinks</t>
        </is>
      </c>
      <c r="B389" s="17" t="inlineStr">
        <is>
          <t>Drinks</t>
        </is>
      </c>
      <c r="C389" s="18" t="inlineStr">
        <is>
          <t>Piña Colada</t>
        </is>
      </c>
      <c r="D389" s="6">
        <f>IF(ISERROR(VLOOKUP(E389,'Estrutura Protheus'!A:A,1,FALSE)),"Não","Sim")</f>
        <v/>
      </c>
      <c r="E389" s="9" t="inlineStr">
        <is>
          <t>000059</t>
        </is>
      </c>
      <c r="F389" s="9" t="inlineStr">
        <is>
          <t>000487</t>
        </is>
      </c>
      <c r="G389" s="7" t="inlineStr">
        <is>
          <t>Abacaxi Perola Fruta</t>
        </is>
      </c>
      <c r="H389" s="19" t="n">
        <v>0.05</v>
      </c>
      <c r="I389" s="9" t="inlineStr">
        <is>
          <t>KG</t>
        </is>
      </c>
      <c r="J389" s="8">
        <f>IFERROR(VLOOKUP(F389,'Base Insumos'!$A:$C,3,FALSE()),"PENDENTE")</f>
        <v/>
      </c>
      <c r="K389" s="8">
        <f>IFERROR(IF(J389="PENDENTE",0,J389*H389),0)</f>
        <v/>
      </c>
      <c r="L389" s="8" t="n">
        <v>37.99</v>
      </c>
      <c r="M389" s="20">
        <f>IFERROR(K389/L389,0)</f>
        <v/>
      </c>
      <c r="N389" s="7" t="n"/>
    </row>
    <row r="390" ht="15" customHeight="1">
      <c r="A390" s="11" t="inlineStr">
        <is>
          <t>Drinks</t>
        </is>
      </c>
      <c r="B390" s="12" t="inlineStr">
        <is>
          <t>Drinks</t>
        </is>
      </c>
      <c r="C390" s="13" t="inlineStr">
        <is>
          <t>Piña Colada</t>
        </is>
      </c>
      <c r="D390" s="2">
        <f>IF(ISERROR(VLOOKUP(E390,'Estrutura Protheus'!A:A,1,FALSE)),"Não","Sim")</f>
        <v/>
      </c>
      <c r="E390" s="5" t="inlineStr">
        <is>
          <t>000059</t>
        </is>
      </c>
      <c r="F390" s="5" t="inlineStr">
        <is>
          <t>000396</t>
        </is>
      </c>
      <c r="G390" s="3" t="inlineStr">
        <is>
          <t>Leite Condensado Moca 2,6kg</t>
        </is>
      </c>
      <c r="H390" s="14" t="n">
        <v>0.06</v>
      </c>
      <c r="I390" s="5" t="inlineStr">
        <is>
          <t>KG</t>
        </is>
      </c>
      <c r="J390" s="4">
        <f>IFERROR(VLOOKUP(F390,'Base Insumos'!$A:$C,3,FALSE()),"PENDENTE")</f>
        <v/>
      </c>
      <c r="K390" s="4">
        <f>IFERROR(IF(J390="PENDENTE",0,J390*H390),0)</f>
        <v/>
      </c>
      <c r="L390" s="4" t="n">
        <v>37.99</v>
      </c>
      <c r="M390" s="15">
        <f>IFERROR(K390/L390,0)</f>
        <v/>
      </c>
      <c r="N390" s="3" t="n"/>
    </row>
    <row r="391" ht="15" customHeight="1">
      <c r="A391" s="16" t="inlineStr">
        <is>
          <t>Drinks</t>
        </is>
      </c>
      <c r="B391" s="17" t="inlineStr">
        <is>
          <t>Drinks</t>
        </is>
      </c>
      <c r="C391" s="18" t="inlineStr">
        <is>
          <t>Piña Colada</t>
        </is>
      </c>
      <c r="D391" s="6">
        <f>IF(ISERROR(VLOOKUP(E391,'Estrutura Protheus'!A:A,1,FALSE)),"Não","Sim")</f>
        <v/>
      </c>
      <c r="E391" s="9" t="inlineStr">
        <is>
          <t>000059</t>
        </is>
      </c>
      <c r="F391" s="9" t="inlineStr">
        <is>
          <t>000397</t>
        </is>
      </c>
      <c r="G391" s="7" t="inlineStr">
        <is>
          <t>Leite de Coco 200ml</t>
        </is>
      </c>
      <c r="H391" s="19" t="n">
        <v>0.03</v>
      </c>
      <c r="I391" s="9" t="inlineStr">
        <is>
          <t>LT</t>
        </is>
      </c>
      <c r="J391" s="8">
        <f>IFERROR(VLOOKUP(F391,'Base Insumos'!$A:$C,3,FALSE()),"PENDENTE")</f>
        <v/>
      </c>
      <c r="K391" s="8">
        <f>IFERROR(IF(J391="PENDENTE",0,J391*H391),0)</f>
        <v/>
      </c>
      <c r="L391" s="8" t="n">
        <v>37.99</v>
      </c>
      <c r="M391" s="20">
        <f>IFERROR(K391/L391,0)</f>
        <v/>
      </c>
      <c r="N391" s="7" t="n"/>
    </row>
    <row r="392" ht="15" customHeight="1">
      <c r="A392" s="11" t="inlineStr">
        <is>
          <t>Drinks</t>
        </is>
      </c>
      <c r="B392" s="12" t="inlineStr">
        <is>
          <t>Drinks</t>
        </is>
      </c>
      <c r="C392" s="13" t="inlineStr">
        <is>
          <t>Porção de Frutas</t>
        </is>
      </c>
      <c r="D392" s="2">
        <f>IF(ISERROR(VLOOKUP(E392,'Estrutura Protheus'!A:A,1,FALSE)),"Não","Sim")</f>
        <v/>
      </c>
      <c r="E392" s="5" t="inlineStr">
        <is>
          <t>001203</t>
        </is>
      </c>
      <c r="F392" s="5" t="inlineStr">
        <is>
          <t>000490</t>
        </is>
      </c>
      <c r="G392" s="3" t="inlineStr">
        <is>
          <t>Laranja Pera Fruta</t>
        </is>
      </c>
      <c r="H392" s="14" t="n">
        <v>0.05</v>
      </c>
      <c r="I392" s="5" t="inlineStr">
        <is>
          <t>KG</t>
        </is>
      </c>
      <c r="J392" s="4">
        <f>IFERROR(VLOOKUP(F392,'Base Insumos'!$A:$C,3,FALSE()),"PENDENTE")</f>
        <v/>
      </c>
      <c r="K392" s="4">
        <f>IFERROR(IF(J392="PENDENTE",0,J392*H392),0)</f>
        <v/>
      </c>
      <c r="L392" s="4" t="n">
        <v>10</v>
      </c>
      <c r="M392" s="15">
        <f>IFERROR(K392/L392,0)</f>
        <v/>
      </c>
      <c r="N392" s="3" t="n"/>
    </row>
    <row r="393" ht="15" customHeight="1">
      <c r="A393" s="16" t="inlineStr">
        <is>
          <t>Drinks</t>
        </is>
      </c>
      <c r="B393" s="17" t="inlineStr">
        <is>
          <t>Drinks</t>
        </is>
      </c>
      <c r="C393" s="18" t="inlineStr">
        <is>
          <t>Porção de Frutas</t>
        </is>
      </c>
      <c r="D393" s="6">
        <f>IF(ISERROR(VLOOKUP(E393,'Estrutura Protheus'!A:A,1,FALSE)),"Não","Sim")</f>
        <v/>
      </c>
      <c r="E393" s="9" t="inlineStr">
        <is>
          <t>001203</t>
        </is>
      </c>
      <c r="F393" s="9" t="inlineStr">
        <is>
          <t>000590</t>
        </is>
      </c>
      <c r="G393" s="7" t="inlineStr">
        <is>
          <t>Morango Fruta</t>
        </is>
      </c>
      <c r="H393" s="19" t="n">
        <v>0.05</v>
      </c>
      <c r="I393" s="9" t="inlineStr">
        <is>
          <t>KG</t>
        </is>
      </c>
      <c r="J393" s="8">
        <f>IFERROR(VLOOKUP(F393,'Base Insumos'!$A:$C,3,FALSE()),"PENDENTE")</f>
        <v/>
      </c>
      <c r="K393" s="8">
        <f>IFERROR(IF(J393="PENDENTE",0,J393*H393),0)</f>
        <v/>
      </c>
      <c r="L393" s="8" t="n">
        <v>10</v>
      </c>
      <c r="M393" s="20">
        <f>IFERROR(K393/L393,0)</f>
        <v/>
      </c>
      <c r="N393" s="7" t="n"/>
    </row>
    <row r="394" ht="15" customHeight="1">
      <c r="A394" s="11" t="inlineStr">
        <is>
          <t>Drinks</t>
        </is>
      </c>
      <c r="B394" s="12" t="inlineStr">
        <is>
          <t>Drinks</t>
        </is>
      </c>
      <c r="C394" s="13" t="inlineStr">
        <is>
          <t>Porção de Frutas</t>
        </is>
      </c>
      <c r="D394" s="2">
        <f>IF(ISERROR(VLOOKUP(E394,'Estrutura Protheus'!A:A,1,FALSE)),"Não","Sim")</f>
        <v/>
      </c>
      <c r="E394" s="5" t="inlineStr">
        <is>
          <t>001203</t>
        </is>
      </c>
      <c r="F394" s="5" t="inlineStr">
        <is>
          <t>000619</t>
        </is>
      </c>
      <c r="G394" s="3" t="inlineStr">
        <is>
          <t>Limao Siciliano</t>
        </is>
      </c>
      <c r="H394" s="14" t="n">
        <v>0.05</v>
      </c>
      <c r="I394" s="5" t="inlineStr">
        <is>
          <t>KG</t>
        </is>
      </c>
      <c r="J394" s="4">
        <f>IFERROR(VLOOKUP(F394,'Base Insumos'!$A:$C,3,FALSE()),"PENDENTE")</f>
        <v/>
      </c>
      <c r="K394" s="4">
        <f>IFERROR(IF(J394="PENDENTE",0,J394*H394),0)</f>
        <v/>
      </c>
      <c r="L394" s="4" t="n">
        <v>10</v>
      </c>
      <c r="M394" s="15">
        <f>IFERROR(K394/L394,0)</f>
        <v/>
      </c>
      <c r="N394" s="3" t="n"/>
    </row>
    <row r="395" ht="15" customHeight="1">
      <c r="A395" s="16" t="inlineStr">
        <is>
          <t>Drinks</t>
        </is>
      </c>
      <c r="B395" s="17" t="inlineStr">
        <is>
          <t>Drinks</t>
        </is>
      </c>
      <c r="C395" s="18" t="inlineStr">
        <is>
          <t>Porção de Frutas</t>
        </is>
      </c>
      <c r="D395" s="6">
        <f>IF(ISERROR(VLOOKUP(E395,'Estrutura Protheus'!A:A,1,FALSE)),"Não","Sim")</f>
        <v/>
      </c>
      <c r="E395" s="9" t="inlineStr">
        <is>
          <t>001203</t>
        </is>
      </c>
      <c r="F395" s="9" t="inlineStr">
        <is>
          <t>000492</t>
        </is>
      </c>
      <c r="G395" s="7" t="inlineStr">
        <is>
          <t>Limao Taiti Fruta</t>
        </is>
      </c>
      <c r="H395" s="19" t="n">
        <v>0.05</v>
      </c>
      <c r="I395" s="9" t="inlineStr">
        <is>
          <t>KG</t>
        </is>
      </c>
      <c r="J395" s="8">
        <f>IFERROR(VLOOKUP(F395,'Base Insumos'!$A:$C,3,FALSE()),"PENDENTE")</f>
        <v/>
      </c>
      <c r="K395" s="8">
        <f>IFERROR(IF(J395="PENDENTE",0,J395*H395),0)</f>
        <v/>
      </c>
      <c r="L395" s="8" t="n">
        <v>10</v>
      </c>
      <c r="M395" s="20">
        <f>IFERROR(K395/L395,0)</f>
        <v/>
      </c>
      <c r="N395" s="7" t="n"/>
    </row>
    <row r="396" ht="15" customHeight="1">
      <c r="A396" s="11" t="inlineStr">
        <is>
          <t>Drinks</t>
        </is>
      </c>
      <c r="B396" s="12" t="inlineStr">
        <is>
          <t>Drinks</t>
        </is>
      </c>
      <c r="C396" s="13" t="inlineStr">
        <is>
          <t>Porção de Frutas</t>
        </is>
      </c>
      <c r="D396" s="2">
        <f>IF(ISERROR(VLOOKUP(E396,'Estrutura Protheus'!A:A,1,FALSE)),"Não","Sim")</f>
        <v/>
      </c>
      <c r="E396" s="5" t="inlineStr">
        <is>
          <t>001203</t>
        </is>
      </c>
      <c r="F396" s="5" t="inlineStr">
        <is>
          <t>000474</t>
        </is>
      </c>
      <c r="G396" s="3" t="inlineStr">
        <is>
          <t>Hortela Grande</t>
        </is>
      </c>
      <c r="H396" s="14" t="n">
        <v>0.001</v>
      </c>
      <c r="I396" s="5" t="inlineStr">
        <is>
          <t>KG</t>
        </is>
      </c>
      <c r="J396" s="4">
        <f>IFERROR(VLOOKUP(F396,'Base Insumos'!$A:$C,3,FALSE()),"PENDENTE")</f>
        <v/>
      </c>
      <c r="K396" s="4">
        <f>IFERROR(IF(J396="PENDENTE",0,J396*H396),0)</f>
        <v/>
      </c>
      <c r="L396" s="4" t="n">
        <v>10</v>
      </c>
      <c r="M396" s="15">
        <f>IFERROR(K396/L396,0)</f>
        <v/>
      </c>
      <c r="N396" s="3" t="n"/>
    </row>
    <row r="397" ht="15" customHeight="1">
      <c r="A397" s="16" t="inlineStr">
        <is>
          <t>Drinks</t>
        </is>
      </c>
      <c r="B397" s="17" t="inlineStr">
        <is>
          <t>Drinks</t>
        </is>
      </c>
      <c r="C397" s="18" t="inlineStr">
        <is>
          <t>Purple Gin</t>
        </is>
      </c>
      <c r="D397" s="6">
        <f>IF(ISERROR(VLOOKUP(E397,'Estrutura Protheus'!A:A,1,FALSE)),"Não","Sim")</f>
        <v/>
      </c>
      <c r="E397" s="9" t="inlineStr">
        <is>
          <t>002034</t>
        </is>
      </c>
      <c r="F397" s="9" t="inlineStr">
        <is>
          <t>009820</t>
        </is>
      </c>
      <c r="G397" s="7" t="inlineStr">
        <is>
          <t>Gin Bacco Premium Bag 5lt</t>
        </is>
      </c>
      <c r="H397" s="19" t="n">
        <v>0.075</v>
      </c>
      <c r="I397" s="9" t="inlineStr">
        <is>
          <t>LT</t>
        </is>
      </c>
      <c r="J397" s="8">
        <f>IFERROR(VLOOKUP(F397,'Base Insumos'!$A:$C,3,FALSE()),"PENDENTE")</f>
        <v/>
      </c>
      <c r="K397" s="8">
        <f>IFERROR(IF(J397="PENDENTE",0,J397*H397),0)</f>
        <v/>
      </c>
      <c r="L397" s="8" t="n">
        <v>39</v>
      </c>
      <c r="M397" s="20">
        <f>IFERROR(K397/L397,0)</f>
        <v/>
      </c>
      <c r="N397" s="7" t="n"/>
    </row>
    <row r="398" ht="15" customHeight="1">
      <c r="A398" s="11" t="inlineStr">
        <is>
          <t>Drinks</t>
        </is>
      </c>
      <c r="B398" s="12" t="inlineStr">
        <is>
          <t>Drinks</t>
        </is>
      </c>
      <c r="C398" s="13" t="inlineStr">
        <is>
          <t>Purple Gin</t>
        </is>
      </c>
      <c r="D398" s="2">
        <f>IF(ISERROR(VLOOKUP(E398,'Estrutura Protheus'!A:A,1,FALSE)),"Não","Sim")</f>
        <v/>
      </c>
      <c r="E398" s="5" t="inlineStr">
        <is>
          <t>002034</t>
        </is>
      </c>
      <c r="F398" s="5" t="inlineStr">
        <is>
          <t>002038</t>
        </is>
      </c>
      <c r="G398" s="3" t="inlineStr">
        <is>
          <t>Red Bull Pomelo Sugarfree</t>
        </is>
      </c>
      <c r="H398" s="14" t="n">
        <v>0.18</v>
      </c>
      <c r="I398" s="5" t="inlineStr">
        <is>
          <t>UN</t>
        </is>
      </c>
      <c r="J398" s="4">
        <f>IFERROR(VLOOKUP(F398,'Base Insumos'!$A:$C,3,FALSE()),"PENDENTE")</f>
        <v/>
      </c>
      <c r="K398" s="4">
        <f>IFERROR(IF(J398="PENDENTE",0,J398*H398),0)</f>
        <v/>
      </c>
      <c r="L398" s="4" t="n">
        <v>39</v>
      </c>
      <c r="M398" s="15">
        <f>IFERROR(K398/L398,0)</f>
        <v/>
      </c>
      <c r="N398" s="3" t="n"/>
    </row>
    <row r="399" ht="15" customHeight="1">
      <c r="A399" s="16" t="inlineStr">
        <is>
          <t>Drinks</t>
        </is>
      </c>
      <c r="B399" s="17" t="inlineStr">
        <is>
          <t>Drinks</t>
        </is>
      </c>
      <c r="C399" s="18" t="inlineStr">
        <is>
          <t>Purple Gin</t>
        </is>
      </c>
      <c r="D399" s="6">
        <f>IF(ISERROR(VLOOKUP(E399,'Estrutura Protheus'!A:A,1,FALSE)),"Não","Sim")</f>
        <v/>
      </c>
      <c r="E399" s="9" t="inlineStr">
        <is>
          <t>002034</t>
        </is>
      </c>
      <c r="F399" s="9" t="inlineStr">
        <is>
          <t>000619</t>
        </is>
      </c>
      <c r="G399" s="7" t="inlineStr">
        <is>
          <t>Limao Siciliano</t>
        </is>
      </c>
      <c r="H399" s="19" t="n">
        <v>0.02</v>
      </c>
      <c r="I399" s="9" t="inlineStr">
        <is>
          <t>KG</t>
        </is>
      </c>
      <c r="J399" s="8">
        <f>IFERROR(VLOOKUP(F399,'Base Insumos'!$A:$C,3,FALSE()),"PENDENTE")</f>
        <v/>
      </c>
      <c r="K399" s="8">
        <f>IFERROR(IF(J399="PENDENTE",0,J399*H399),0)</f>
        <v/>
      </c>
      <c r="L399" s="8" t="n">
        <v>39</v>
      </c>
      <c r="M399" s="20">
        <f>IFERROR(K399/L399,0)</f>
        <v/>
      </c>
      <c r="N399" s="7" t="n"/>
    </row>
    <row r="400" ht="15" customHeight="1">
      <c r="A400" s="11" t="inlineStr">
        <is>
          <t>Drinks</t>
        </is>
      </c>
      <c r="B400" s="12" t="inlineStr">
        <is>
          <t>Drinks</t>
        </is>
      </c>
      <c r="C400" s="13" t="inlineStr">
        <is>
          <t>Purple Gin</t>
        </is>
      </c>
      <c r="D400" s="2">
        <f>IF(ISERROR(VLOOKUP(E400,'Estrutura Protheus'!A:A,1,FALSE)),"Não","Sim")</f>
        <v/>
      </c>
      <c r="E400" s="5" t="inlineStr">
        <is>
          <t>002034</t>
        </is>
      </c>
      <c r="F400" s="5" t="inlineStr">
        <is>
          <t>000474</t>
        </is>
      </c>
      <c r="G400" s="3" t="inlineStr">
        <is>
          <t>Hortela Grande</t>
        </is>
      </c>
      <c r="H400" s="14" t="n">
        <v>0.001</v>
      </c>
      <c r="I400" s="5" t="inlineStr">
        <is>
          <t>KG</t>
        </is>
      </c>
      <c r="J400" s="4">
        <f>IFERROR(VLOOKUP(F400,'Base Insumos'!$A:$C,3,FALSE()),"PENDENTE")</f>
        <v/>
      </c>
      <c r="K400" s="4">
        <f>IFERROR(IF(J400="PENDENTE",0,J400*H400),0)</f>
        <v/>
      </c>
      <c r="L400" s="4" t="n">
        <v>39</v>
      </c>
      <c r="M400" s="15">
        <f>IFERROR(K400/L400,0)</f>
        <v/>
      </c>
      <c r="N400" s="3" t="n"/>
    </row>
    <row r="401" ht="15" customHeight="1">
      <c r="A401" s="16" t="inlineStr">
        <is>
          <t>Drinks</t>
        </is>
      </c>
      <c r="B401" s="17" t="inlineStr">
        <is>
          <t>Drinks</t>
        </is>
      </c>
      <c r="C401" s="18" t="inlineStr">
        <is>
          <t>Purple Vodka</t>
        </is>
      </c>
      <c r="D401" s="6">
        <f>IF(ISERROR(VLOOKUP(E401,'Estrutura Protheus'!A:A,1,FALSE)),"Não","Sim")</f>
        <v/>
      </c>
      <c r="E401" s="9" t="inlineStr">
        <is>
          <t>002044</t>
        </is>
      </c>
      <c r="F401" s="9" t="inlineStr">
        <is>
          <t>000339</t>
        </is>
      </c>
      <c r="G401" s="7" t="inlineStr">
        <is>
          <t>Vodka Absolut Natural 1lt</t>
        </is>
      </c>
      <c r="H401" s="19" t="n">
        <v>0.08</v>
      </c>
      <c r="I401" s="9" t="inlineStr">
        <is>
          <t>LT</t>
        </is>
      </c>
      <c r="J401" s="8">
        <f>IFERROR(VLOOKUP(F401,'Base Insumos'!$A:$C,3,FALSE()),"PENDENTE")</f>
        <v/>
      </c>
      <c r="K401" s="8">
        <f>IFERROR(IF(J401="PENDENTE",0,J401*H401),0)</f>
        <v/>
      </c>
      <c r="L401" s="8" t="n">
        <v>39</v>
      </c>
      <c r="M401" s="20">
        <f>IFERROR(K401/L401,0)</f>
        <v/>
      </c>
      <c r="N401" s="7" t="n"/>
    </row>
    <row r="402" ht="15" customHeight="1">
      <c r="A402" s="11" t="inlineStr">
        <is>
          <t>Drinks</t>
        </is>
      </c>
      <c r="B402" s="12" t="inlineStr">
        <is>
          <t>Drinks</t>
        </is>
      </c>
      <c r="C402" s="13" t="inlineStr">
        <is>
          <t>Sangria</t>
        </is>
      </c>
      <c r="D402" s="2">
        <f>IF(ISERROR(VLOOKUP(E402,'Estrutura Protheus'!A:A,1,FALSE)),"Não","Sim")</f>
        <v/>
      </c>
      <c r="E402" s="5" t="inlineStr">
        <is>
          <t>000054</t>
        </is>
      </c>
      <c r="F402" s="5" t="inlineStr">
        <is>
          <t>000351</t>
        </is>
      </c>
      <c r="G402" s="3" t="inlineStr">
        <is>
          <t>Garrafao de Vinho Tinto Suave 4lt</t>
        </is>
      </c>
      <c r="H402" s="14" t="n">
        <v>0.5</v>
      </c>
      <c r="I402" s="5" t="inlineStr">
        <is>
          <t>LT</t>
        </is>
      </c>
      <c r="J402" s="4">
        <f>IFERROR(VLOOKUP(F402,'Base Insumos'!$A:$C,3,FALSE()),"PENDENTE")</f>
        <v/>
      </c>
      <c r="K402" s="4">
        <f>IFERROR(IF(J402="PENDENTE",0,J402*H402),0)</f>
        <v/>
      </c>
      <c r="L402" s="4" t="n">
        <v>89.98999999999999</v>
      </c>
      <c r="M402" s="15">
        <f>IFERROR(K402/L402,0)</f>
        <v/>
      </c>
      <c r="N402" s="3" t="n"/>
    </row>
    <row r="403" ht="15" customHeight="1">
      <c r="A403" s="16" t="inlineStr">
        <is>
          <t>Drinks</t>
        </is>
      </c>
      <c r="B403" s="17" t="inlineStr">
        <is>
          <t>Drinks</t>
        </is>
      </c>
      <c r="C403" s="18" t="inlineStr">
        <is>
          <t>Sangria</t>
        </is>
      </c>
      <c r="D403" s="6">
        <f>IF(ISERROR(VLOOKUP(E403,'Estrutura Protheus'!A:A,1,FALSE)),"Não","Sim")</f>
        <v/>
      </c>
      <c r="E403" s="9" t="inlineStr">
        <is>
          <t>000054</t>
        </is>
      </c>
      <c r="F403" s="9" t="inlineStr">
        <is>
          <t>000316</t>
        </is>
      </c>
      <c r="G403" s="7" t="inlineStr">
        <is>
          <t>Soda Lata 350ml</t>
        </is>
      </c>
      <c r="H403" s="19" t="n">
        <v>1</v>
      </c>
      <c r="I403" s="9" t="inlineStr">
        <is>
          <t>UN</t>
        </is>
      </c>
      <c r="J403" s="8">
        <f>IFERROR(VLOOKUP(F403,'Base Insumos'!$A:$C,3,FALSE()),"PENDENTE")</f>
        <v/>
      </c>
      <c r="K403" s="8">
        <f>IFERROR(IF(J403="PENDENTE",0,J403*H403),0)</f>
        <v/>
      </c>
      <c r="L403" s="8" t="n">
        <v>89.98999999999999</v>
      </c>
      <c r="M403" s="20">
        <f>IFERROR(K403/L403,0)</f>
        <v/>
      </c>
      <c r="N403" s="7" t="n"/>
    </row>
    <row r="404" ht="15" customHeight="1">
      <c r="A404" s="11" t="inlineStr">
        <is>
          <t>Drinks</t>
        </is>
      </c>
      <c r="B404" s="12" t="inlineStr">
        <is>
          <t>Drinks</t>
        </is>
      </c>
      <c r="C404" s="13" t="inlineStr">
        <is>
          <t>Sangria</t>
        </is>
      </c>
      <c r="D404" s="2">
        <f>IF(ISERROR(VLOOKUP(E404,'Estrutura Protheus'!A:A,1,FALSE)),"Não","Sim")</f>
        <v/>
      </c>
      <c r="E404" s="5" t="inlineStr">
        <is>
          <t>000054</t>
        </is>
      </c>
      <c r="F404" s="5" t="inlineStr">
        <is>
          <t>000359</t>
        </is>
      </c>
      <c r="G404" s="3" t="inlineStr">
        <is>
          <t>Licor Pessego Peach Stock 720ml</t>
        </is>
      </c>
      <c r="H404" s="14" t="n">
        <v>0.05</v>
      </c>
      <c r="I404" s="5" t="inlineStr">
        <is>
          <t>LT</t>
        </is>
      </c>
      <c r="J404" s="4">
        <f>IFERROR(VLOOKUP(F404,'Base Insumos'!$A:$C,3,FALSE()),"PENDENTE")</f>
        <v/>
      </c>
      <c r="K404" s="4">
        <f>IFERROR(IF(J404="PENDENTE",0,J404*H404),0)</f>
        <v/>
      </c>
      <c r="L404" s="4" t="n">
        <v>89.98999999999999</v>
      </c>
      <c r="M404" s="15">
        <f>IFERROR(K404/L404,0)</f>
        <v/>
      </c>
      <c r="N404" s="3" t="n"/>
    </row>
    <row r="405" ht="15" customHeight="1">
      <c r="A405" s="16" t="inlineStr">
        <is>
          <t>Drinks</t>
        </is>
      </c>
      <c r="B405" s="17" t="inlineStr">
        <is>
          <t>Drinks</t>
        </is>
      </c>
      <c r="C405" s="18" t="inlineStr">
        <is>
          <t>Sangria</t>
        </is>
      </c>
      <c r="D405" s="6">
        <f>IF(ISERROR(VLOOKUP(E405,'Estrutura Protheus'!A:A,1,FALSE)),"Não","Sim")</f>
        <v/>
      </c>
      <c r="E405" s="9" t="inlineStr">
        <is>
          <t>000054</t>
        </is>
      </c>
      <c r="F405" s="9" t="inlineStr">
        <is>
          <t>000346</t>
        </is>
      </c>
      <c r="G405" s="7" t="inlineStr">
        <is>
          <t>Licor Cointreau 700ml</t>
        </is>
      </c>
      <c r="H405" s="19" t="n">
        <v>0.05</v>
      </c>
      <c r="I405" s="9" t="inlineStr">
        <is>
          <t>LT</t>
        </is>
      </c>
      <c r="J405" s="8">
        <f>IFERROR(VLOOKUP(F405,'Base Insumos'!$A:$C,3,FALSE()),"PENDENTE")</f>
        <v/>
      </c>
      <c r="K405" s="8">
        <f>IFERROR(IF(J405="PENDENTE",0,J405*H405),0)</f>
        <v/>
      </c>
      <c r="L405" s="8" t="n">
        <v>89.98999999999999</v>
      </c>
      <c r="M405" s="20">
        <f>IFERROR(K405/L405,0)</f>
        <v/>
      </c>
      <c r="N405" s="7" t="n"/>
    </row>
    <row r="406" ht="15" customHeight="1">
      <c r="A406" s="11" t="inlineStr">
        <is>
          <t>Drinks</t>
        </is>
      </c>
      <c r="B406" s="12" t="inlineStr">
        <is>
          <t>Drinks</t>
        </is>
      </c>
      <c r="C406" s="13" t="inlineStr">
        <is>
          <t>Sangria</t>
        </is>
      </c>
      <c r="D406" s="2">
        <f>IF(ISERROR(VLOOKUP(E406,'Estrutura Protheus'!A:A,1,FALSE)),"Não","Sim")</f>
        <v/>
      </c>
      <c r="E406" s="5" t="inlineStr">
        <is>
          <t>000054</t>
        </is>
      </c>
      <c r="F406" s="5" t="inlineStr">
        <is>
          <t>000348</t>
        </is>
      </c>
      <c r="G406" s="3" t="inlineStr">
        <is>
          <t>Conhaque Domecq 1lt</t>
        </is>
      </c>
      <c r="H406" s="14" t="n">
        <v>0.03</v>
      </c>
      <c r="I406" s="5" t="inlineStr">
        <is>
          <t>LT</t>
        </is>
      </c>
      <c r="J406" s="4">
        <f>IFERROR(VLOOKUP(F406,'Base Insumos'!$A:$C,3,FALSE()),"PENDENTE")</f>
        <v/>
      </c>
      <c r="K406" s="4">
        <f>IFERROR(IF(J406="PENDENTE",0,J406*H406),0)</f>
        <v/>
      </c>
      <c r="L406" s="4" t="n">
        <v>89.98999999999999</v>
      </c>
      <c r="M406" s="15">
        <f>IFERROR(K406/L406,0)</f>
        <v/>
      </c>
      <c r="N406" s="3" t="n"/>
    </row>
    <row r="407" ht="15" customHeight="1">
      <c r="A407" s="16" t="inlineStr">
        <is>
          <t>Drinks</t>
        </is>
      </c>
      <c r="B407" s="17" t="inlineStr">
        <is>
          <t>Drinks</t>
        </is>
      </c>
      <c r="C407" s="18" t="inlineStr">
        <is>
          <t>Sangria</t>
        </is>
      </c>
      <c r="D407" s="6">
        <f>IF(ISERROR(VLOOKUP(E407,'Estrutura Protheus'!A:A,1,FALSE)),"Não","Sim")</f>
        <v/>
      </c>
      <c r="E407" s="9" t="inlineStr">
        <is>
          <t>000054</t>
        </is>
      </c>
      <c r="F407" s="9" t="inlineStr">
        <is>
          <t>000501</t>
        </is>
      </c>
      <c r="G407" s="7" t="inlineStr">
        <is>
          <t>Uva Italia Fruta</t>
        </is>
      </c>
      <c r="H407" s="19" t="n">
        <v>0.04</v>
      </c>
      <c r="I407" s="9" t="inlineStr">
        <is>
          <t>KG</t>
        </is>
      </c>
      <c r="J407" s="8">
        <f>IFERROR(VLOOKUP(F407,'Base Insumos'!$A:$C,3,FALSE()),"PENDENTE")</f>
        <v/>
      </c>
      <c r="K407" s="8">
        <f>IFERROR(IF(J407="PENDENTE",0,J407*H407),0)</f>
        <v/>
      </c>
      <c r="L407" s="8" t="n">
        <v>89.98999999999999</v>
      </c>
      <c r="M407" s="20">
        <f>IFERROR(K407/L407,0)</f>
        <v/>
      </c>
      <c r="N407" s="7" t="n"/>
    </row>
    <row r="408" ht="15" customHeight="1">
      <c r="A408" s="11" t="inlineStr">
        <is>
          <t>Drinks</t>
        </is>
      </c>
      <c r="B408" s="12" t="inlineStr">
        <is>
          <t>Drinks</t>
        </is>
      </c>
      <c r="C408" s="13" t="inlineStr">
        <is>
          <t>Sangria</t>
        </is>
      </c>
      <c r="D408" s="2">
        <f>IF(ISERROR(VLOOKUP(E408,'Estrutura Protheus'!A:A,1,FALSE)),"Não","Sim")</f>
        <v/>
      </c>
      <c r="E408" s="5" t="inlineStr">
        <is>
          <t>000054</t>
        </is>
      </c>
      <c r="F408" s="5" t="inlineStr">
        <is>
          <t>000487</t>
        </is>
      </c>
      <c r="G408" s="3" t="inlineStr">
        <is>
          <t>Abacaxi Perola Fruta</t>
        </is>
      </c>
      <c r="H408" s="14" t="n">
        <v>0.04</v>
      </c>
      <c r="I408" s="5" t="inlineStr">
        <is>
          <t>KG</t>
        </is>
      </c>
      <c r="J408" s="4">
        <f>IFERROR(VLOOKUP(F408,'Base Insumos'!$A:$C,3,FALSE()),"PENDENTE")</f>
        <v/>
      </c>
      <c r="K408" s="4">
        <f>IFERROR(IF(J408="PENDENTE",0,J408*H408),0)</f>
        <v/>
      </c>
      <c r="L408" s="4" t="n">
        <v>89.98999999999999</v>
      </c>
      <c r="M408" s="15">
        <f>IFERROR(K408/L408,0)</f>
        <v/>
      </c>
      <c r="N408" s="3" t="n"/>
    </row>
    <row r="409" ht="15" customHeight="1">
      <c r="A409" s="16" t="inlineStr">
        <is>
          <t>Drinks</t>
        </is>
      </c>
      <c r="B409" s="17" t="inlineStr">
        <is>
          <t>Drinks</t>
        </is>
      </c>
      <c r="C409" s="18" t="inlineStr">
        <is>
          <t>Sangria</t>
        </is>
      </c>
      <c r="D409" s="6">
        <f>IF(ISERROR(VLOOKUP(E409,'Estrutura Protheus'!A:A,1,FALSE)),"Não","Sim")</f>
        <v/>
      </c>
      <c r="E409" s="9" t="inlineStr">
        <is>
          <t>000054</t>
        </is>
      </c>
      <c r="F409" s="9" t="inlineStr">
        <is>
          <t>000590</t>
        </is>
      </c>
      <c r="G409" s="7" t="inlineStr">
        <is>
          <t>Morango Fruta</t>
        </is>
      </c>
      <c r="H409" s="19" t="n">
        <v>0.04</v>
      </c>
      <c r="I409" s="9" t="inlineStr">
        <is>
          <t>KG</t>
        </is>
      </c>
      <c r="J409" s="8">
        <f>IFERROR(VLOOKUP(F409,'Base Insumos'!$A:$C,3,FALSE()),"PENDENTE")</f>
        <v/>
      </c>
      <c r="K409" s="8">
        <f>IFERROR(IF(J409="PENDENTE",0,J409*H409),0)</f>
        <v/>
      </c>
      <c r="L409" s="8" t="n">
        <v>89.98999999999999</v>
      </c>
      <c r="M409" s="20">
        <f>IFERROR(K409/L409,0)</f>
        <v/>
      </c>
      <c r="N409" s="7" t="n"/>
    </row>
    <row r="410" ht="15" customHeight="1">
      <c r="A410" s="11" t="inlineStr">
        <is>
          <t>Drinks</t>
        </is>
      </c>
      <c r="B410" s="12" t="inlineStr">
        <is>
          <t>Drinks</t>
        </is>
      </c>
      <c r="C410" s="13" t="inlineStr">
        <is>
          <t>Sangria</t>
        </is>
      </c>
      <c r="D410" s="2">
        <f>IF(ISERROR(VLOOKUP(E410,'Estrutura Protheus'!A:A,1,FALSE)),"Não","Sim")</f>
        <v/>
      </c>
      <c r="E410" s="5" t="inlineStr">
        <is>
          <t>000054</t>
        </is>
      </c>
      <c r="F410" s="5" t="inlineStr">
        <is>
          <t>000490</t>
        </is>
      </c>
      <c r="G410" s="3" t="inlineStr">
        <is>
          <t>Laranja Pera Fruta</t>
        </is>
      </c>
      <c r="H410" s="14" t="n">
        <v>0.04</v>
      </c>
      <c r="I410" s="5" t="inlineStr">
        <is>
          <t>KG</t>
        </is>
      </c>
      <c r="J410" s="4">
        <f>IFERROR(VLOOKUP(F410,'Base Insumos'!$A:$C,3,FALSE()),"PENDENTE")</f>
        <v/>
      </c>
      <c r="K410" s="4">
        <f>IFERROR(IF(J410="PENDENTE",0,J410*H410),0)</f>
        <v/>
      </c>
      <c r="L410" s="4" t="n">
        <v>89.98999999999999</v>
      </c>
      <c r="M410" s="15">
        <f>IFERROR(K410/L410,0)</f>
        <v/>
      </c>
      <c r="N410" s="3" t="n"/>
    </row>
    <row r="411" ht="15" customHeight="1">
      <c r="A411" s="16" t="inlineStr">
        <is>
          <t>Drinks</t>
        </is>
      </c>
      <c r="B411" s="17" t="inlineStr">
        <is>
          <t>Drinks</t>
        </is>
      </c>
      <c r="C411" s="18" t="inlineStr">
        <is>
          <t>Sex on the Beach</t>
        </is>
      </c>
      <c r="D411" s="6">
        <f>IF(ISERROR(VLOOKUP(E411,'Estrutura Protheus'!A:A,1,FALSE)),"Não","Sim")</f>
        <v/>
      </c>
      <c r="E411" s="9" t="inlineStr">
        <is>
          <t>002264</t>
        </is>
      </c>
      <c r="F411" s="9" t="inlineStr">
        <is>
          <t>001399</t>
        </is>
      </c>
      <c r="G411" s="7" t="inlineStr">
        <is>
          <t>Vodka Smirnoff 600 Ml</t>
        </is>
      </c>
      <c r="H411" s="19" t="n">
        <v>0.05</v>
      </c>
      <c r="I411" s="9" t="inlineStr">
        <is>
          <t>LT</t>
        </is>
      </c>
      <c r="J411" s="8">
        <f>IFERROR(VLOOKUP(F411,'Base Insumos'!$A:$C,3,FALSE()),"PENDENTE")</f>
        <v/>
      </c>
      <c r="K411" s="8">
        <f>IFERROR(IF(J411="PENDENTE",0,J411*H411),0)</f>
        <v/>
      </c>
      <c r="L411" s="8" t="n">
        <v>38</v>
      </c>
      <c r="M411" s="20">
        <f>IFERROR(K411/L411,0)</f>
        <v/>
      </c>
      <c r="N411" s="7" t="n"/>
    </row>
    <row r="412" ht="15" customHeight="1">
      <c r="A412" s="11" t="inlineStr">
        <is>
          <t>Drinks</t>
        </is>
      </c>
      <c r="B412" s="12" t="inlineStr">
        <is>
          <t>Drinks</t>
        </is>
      </c>
      <c r="C412" s="13" t="inlineStr">
        <is>
          <t>Sex on the Beach</t>
        </is>
      </c>
      <c r="D412" s="2">
        <f>IF(ISERROR(VLOOKUP(E412,'Estrutura Protheus'!A:A,1,FALSE)),"Não","Sim")</f>
        <v/>
      </c>
      <c r="E412" s="5" t="inlineStr">
        <is>
          <t>002264</t>
        </is>
      </c>
      <c r="F412" s="5" t="inlineStr">
        <is>
          <t>000359</t>
        </is>
      </c>
      <c r="G412" s="3" t="inlineStr">
        <is>
          <t>Licor Pessego Peach Stock 720ml</t>
        </is>
      </c>
      <c r="H412" s="14" t="n">
        <v>0.02</v>
      </c>
      <c r="I412" s="5" t="inlineStr">
        <is>
          <t>LT</t>
        </is>
      </c>
      <c r="J412" s="4">
        <f>IFERROR(VLOOKUP(F412,'Base Insumos'!$A:$C,3,FALSE()),"PENDENTE")</f>
        <v/>
      </c>
      <c r="K412" s="4">
        <f>IFERROR(IF(J412="PENDENTE",0,J412*H412),0)</f>
        <v/>
      </c>
      <c r="L412" s="4" t="n">
        <v>38</v>
      </c>
      <c r="M412" s="15">
        <f>IFERROR(K412/L412,0)</f>
        <v/>
      </c>
      <c r="N412" s="3" t="n"/>
    </row>
    <row r="413" ht="15" customHeight="1">
      <c r="A413" s="16" t="inlineStr">
        <is>
          <t>Drinks</t>
        </is>
      </c>
      <c r="B413" s="17" t="inlineStr">
        <is>
          <t>Drinks</t>
        </is>
      </c>
      <c r="C413" s="18" t="inlineStr">
        <is>
          <t>Sex on the Beach</t>
        </is>
      </c>
      <c r="D413" s="6">
        <f>IF(ISERROR(VLOOKUP(E413,'Estrutura Protheus'!A:A,1,FALSE)),"Não","Sim")</f>
        <v/>
      </c>
      <c r="E413" s="9" t="inlineStr">
        <is>
          <t>002264</t>
        </is>
      </c>
      <c r="F413" s="9" t="inlineStr">
        <is>
          <t>000490</t>
        </is>
      </c>
      <c r="G413" s="7" t="inlineStr">
        <is>
          <t>Laranja Pera Fruta</t>
        </is>
      </c>
      <c r="H413" s="19" t="n">
        <v>0.1</v>
      </c>
      <c r="I413" s="9" t="inlineStr">
        <is>
          <t>KG</t>
        </is>
      </c>
      <c r="J413" s="8">
        <f>IFERROR(VLOOKUP(F413,'Base Insumos'!$A:$C,3,FALSE()),"PENDENTE")</f>
        <v/>
      </c>
      <c r="K413" s="8">
        <f>IFERROR(IF(J413="PENDENTE",0,J413*H413),0)</f>
        <v/>
      </c>
      <c r="L413" s="8" t="n">
        <v>38</v>
      </c>
      <c r="M413" s="20">
        <f>IFERROR(K413/L413,0)</f>
        <v/>
      </c>
      <c r="N413" s="7" t="n"/>
    </row>
    <row r="414" ht="15" customHeight="1">
      <c r="A414" s="11" t="inlineStr">
        <is>
          <t>Drinks</t>
        </is>
      </c>
      <c r="B414" s="12" t="inlineStr">
        <is>
          <t>Drinks</t>
        </is>
      </c>
      <c r="C414" s="13" t="inlineStr">
        <is>
          <t>Sex on the Beach</t>
        </is>
      </c>
      <c r="D414" s="2">
        <f>IF(ISERROR(VLOOKUP(E414,'Estrutura Protheus'!A:A,1,FALSE)),"Não","Sim")</f>
        <v/>
      </c>
      <c r="E414" s="5" t="inlineStr">
        <is>
          <t>002264</t>
        </is>
      </c>
      <c r="F414" s="5" t="inlineStr">
        <is>
          <t>000354</t>
        </is>
      </c>
      <c r="G414" s="3" t="inlineStr">
        <is>
          <t>Groselha Garrafa 900ml</t>
        </is>
      </c>
      <c r="H414" s="14" t="n">
        <v>0.03</v>
      </c>
      <c r="I414" s="5" t="inlineStr">
        <is>
          <t>LT</t>
        </is>
      </c>
      <c r="J414" s="4">
        <f>IFERROR(VLOOKUP(F414,'Base Insumos'!$A:$C,3,FALSE()),"PENDENTE")</f>
        <v/>
      </c>
      <c r="K414" s="4">
        <f>IFERROR(IF(J414="PENDENTE",0,J414*H414),0)</f>
        <v/>
      </c>
      <c r="L414" s="4" t="n">
        <v>38</v>
      </c>
      <c r="M414" s="15">
        <f>IFERROR(K414/L414,0)</f>
        <v/>
      </c>
      <c r="N414" s="3" t="n"/>
    </row>
    <row r="415" ht="15" customHeight="1">
      <c r="A415" s="16" t="inlineStr">
        <is>
          <t>Drinks</t>
        </is>
      </c>
      <c r="B415" s="17" t="inlineStr">
        <is>
          <t>Drinks</t>
        </is>
      </c>
      <c r="C415" s="18" t="inlineStr">
        <is>
          <t>Soda italiana - Limão Siciliano</t>
        </is>
      </c>
      <c r="D415" s="6">
        <f>IF(ISERROR(VLOOKUP(E415,'Estrutura Protheus'!A:A,1,FALSE)),"Não","Sim")</f>
        <v/>
      </c>
      <c r="E415" s="9" t="inlineStr">
        <is>
          <t>010315</t>
        </is>
      </c>
      <c r="F415" s="9" t="inlineStr">
        <is>
          <t>000334</t>
        </is>
      </c>
      <c r="G415" s="7" t="inlineStr">
        <is>
          <t>Agua c/ Gas</t>
        </is>
      </c>
      <c r="H415" s="19" t="n">
        <v>1</v>
      </c>
      <c r="I415" s="9" t="inlineStr">
        <is>
          <t>UN</t>
        </is>
      </c>
      <c r="J415" s="8">
        <f>IFERROR(VLOOKUP(F415,'Base Insumos'!$A:$C,3,FALSE()),"PENDENTE")</f>
        <v/>
      </c>
      <c r="K415" s="8">
        <f>IFERROR(IF(J415="PENDENTE",0,J415*H415),0)</f>
        <v/>
      </c>
      <c r="L415" s="8" t="n">
        <v>16.99</v>
      </c>
      <c r="M415" s="20">
        <f>IFERROR(K415/L415,0)</f>
        <v/>
      </c>
      <c r="N415" s="7" t="n"/>
    </row>
    <row r="416" ht="15" customHeight="1">
      <c r="A416" s="11" t="inlineStr">
        <is>
          <t>Drinks</t>
        </is>
      </c>
      <c r="B416" s="12" t="inlineStr">
        <is>
          <t>Drinks</t>
        </is>
      </c>
      <c r="C416" s="13" t="inlineStr">
        <is>
          <t>Soda italiana - Limão Siciliano</t>
        </is>
      </c>
      <c r="D416" s="2">
        <f>IF(ISERROR(VLOOKUP(E416,'Estrutura Protheus'!A:A,1,FALSE)),"Não","Sim")</f>
        <v/>
      </c>
      <c r="E416" s="5" t="inlineStr">
        <is>
          <t>010315</t>
        </is>
      </c>
      <c r="F416" s="5" t="inlineStr">
        <is>
          <t>009830</t>
        </is>
      </c>
      <c r="G416" s="3" t="inlineStr">
        <is>
          <t>Xarope Limao Siciliano 3lt</t>
        </is>
      </c>
      <c r="H416" s="14" t="n">
        <v>0.08</v>
      </c>
      <c r="I416" s="5" t="inlineStr">
        <is>
          <t>LT</t>
        </is>
      </c>
      <c r="J416" s="4">
        <f>IFERROR(VLOOKUP(F416,'Base Insumos'!$A:$C,3,FALSE()),"PENDENTE")</f>
        <v/>
      </c>
      <c r="K416" s="4">
        <f>IFERROR(IF(J416="PENDENTE",0,J416*H416),0)</f>
        <v/>
      </c>
      <c r="L416" s="4" t="n">
        <v>16.99</v>
      </c>
      <c r="M416" s="15">
        <f>IFERROR(K416/L416,0)</f>
        <v/>
      </c>
      <c r="N416" s="3" t="n"/>
    </row>
    <row r="417" ht="15" customHeight="1">
      <c r="A417" s="16" t="inlineStr">
        <is>
          <t>Drinks</t>
        </is>
      </c>
      <c r="B417" s="17" t="inlineStr">
        <is>
          <t>Drinks</t>
        </is>
      </c>
      <c r="C417" s="18" t="inlineStr">
        <is>
          <t>Soda italiana - Limão Siciliano</t>
        </is>
      </c>
      <c r="D417" s="6">
        <f>IF(ISERROR(VLOOKUP(E417,'Estrutura Protheus'!A:A,1,FALSE)),"Não","Sim")</f>
        <v/>
      </c>
      <c r="E417" s="9" t="inlineStr">
        <is>
          <t>010315</t>
        </is>
      </c>
      <c r="F417" s="9" t="inlineStr">
        <is>
          <t>000590</t>
        </is>
      </c>
      <c r="G417" s="7" t="inlineStr">
        <is>
          <t>Morango Fruta</t>
        </is>
      </c>
      <c r="H417" s="19" t="n">
        <v>0.01</v>
      </c>
      <c r="I417" s="9" t="inlineStr">
        <is>
          <t>KG</t>
        </is>
      </c>
      <c r="J417" s="8">
        <f>IFERROR(VLOOKUP(F417,'Base Insumos'!$A:$C,3,FALSE()),"PENDENTE")</f>
        <v/>
      </c>
      <c r="K417" s="8">
        <f>IFERROR(IF(J417="PENDENTE",0,J417*H417),0)</f>
        <v/>
      </c>
      <c r="L417" s="8" t="n">
        <v>16.99</v>
      </c>
      <c r="M417" s="20">
        <f>IFERROR(K417/L417,0)</f>
        <v/>
      </c>
      <c r="N417" s="7" t="n"/>
    </row>
    <row r="418" ht="15" customHeight="1">
      <c r="A418" s="11" t="inlineStr">
        <is>
          <t>Drinks</t>
        </is>
      </c>
      <c r="B418" s="12" t="inlineStr">
        <is>
          <t>Drinks</t>
        </is>
      </c>
      <c r="C418" s="13" t="inlineStr">
        <is>
          <t>Soda italiana - Limão Siciliano</t>
        </is>
      </c>
      <c r="D418" s="2">
        <f>IF(ISERROR(VLOOKUP(E418,'Estrutura Protheus'!A:A,1,FALSE)),"Não","Sim")</f>
        <v/>
      </c>
      <c r="E418" s="5" t="inlineStr">
        <is>
          <t>010315</t>
        </is>
      </c>
      <c r="F418" s="5" t="inlineStr">
        <is>
          <t>000619</t>
        </is>
      </c>
      <c r="G418" s="3" t="inlineStr">
        <is>
          <t>Limao Siciliano</t>
        </is>
      </c>
      <c r="H418" s="14" t="n">
        <v>0.01</v>
      </c>
      <c r="I418" s="5" t="inlineStr">
        <is>
          <t>KG</t>
        </is>
      </c>
      <c r="J418" s="4">
        <f>IFERROR(VLOOKUP(F418,'Base Insumos'!$A:$C,3,FALSE()),"PENDENTE")</f>
        <v/>
      </c>
      <c r="K418" s="4">
        <f>IFERROR(IF(J418="PENDENTE",0,J418*H418),0)</f>
        <v/>
      </c>
      <c r="L418" s="4" t="n">
        <v>16.99</v>
      </c>
      <c r="M418" s="15">
        <f>IFERROR(K418/L418,0)</f>
        <v/>
      </c>
      <c r="N418" s="3" t="n"/>
    </row>
    <row r="419" ht="15" customHeight="1">
      <c r="A419" s="16" t="inlineStr">
        <is>
          <t>Drinks</t>
        </is>
      </c>
      <c r="B419" s="17" t="inlineStr">
        <is>
          <t>Drinks</t>
        </is>
      </c>
      <c r="C419" s="18" t="inlineStr">
        <is>
          <t>Soda italiana - Limão Siciliano</t>
        </is>
      </c>
      <c r="D419" s="6">
        <f>IF(ISERROR(VLOOKUP(E419,'Estrutura Protheus'!A:A,1,FALSE)),"Não","Sim")</f>
        <v/>
      </c>
      <c r="E419" s="9" t="inlineStr">
        <is>
          <t>010315</t>
        </is>
      </c>
      <c r="F419" s="9" t="inlineStr">
        <is>
          <t>000474</t>
        </is>
      </c>
      <c r="G419" s="7" t="inlineStr">
        <is>
          <t>Hortela Grande</t>
        </is>
      </c>
      <c r="H419" s="19" t="n">
        <v>0.005</v>
      </c>
      <c r="I419" s="9" t="inlineStr">
        <is>
          <t>KG</t>
        </is>
      </c>
      <c r="J419" s="8">
        <f>IFERROR(VLOOKUP(F419,'Base Insumos'!$A:$C,3,FALSE()),"PENDENTE")</f>
        <v/>
      </c>
      <c r="K419" s="8">
        <f>IFERROR(IF(J419="PENDENTE",0,J419*H419),0)</f>
        <v/>
      </c>
      <c r="L419" s="8" t="n">
        <v>16.99</v>
      </c>
      <c r="M419" s="20">
        <f>IFERROR(K419/L419,0)</f>
        <v/>
      </c>
      <c r="N419" s="7" t="n"/>
    </row>
    <row r="420" ht="15" customHeight="1">
      <c r="A420" s="11" t="inlineStr">
        <is>
          <t>Drinks</t>
        </is>
      </c>
      <c r="B420" s="12" t="inlineStr">
        <is>
          <t>Drinks</t>
        </is>
      </c>
      <c r="C420" s="13" t="inlineStr">
        <is>
          <t>Soda italiana - Maracujá</t>
        </is>
      </c>
      <c r="D420" s="2">
        <f>IF(ISERROR(VLOOKUP(E420,'Estrutura Protheus'!A:A,1,FALSE)),"Não","Sim")</f>
        <v/>
      </c>
      <c r="E420" s="79" t="inlineStr">
        <is>
          <t>010316</t>
        </is>
      </c>
      <c r="F420" s="5" t="inlineStr">
        <is>
          <t>000334</t>
        </is>
      </c>
      <c r="G420" s="3" t="inlineStr">
        <is>
          <t>Agua c/ Gas</t>
        </is>
      </c>
      <c r="H420" s="14" t="n">
        <v>1</v>
      </c>
      <c r="I420" s="5" t="inlineStr">
        <is>
          <t>UN</t>
        </is>
      </c>
      <c r="J420" s="4">
        <f>IFERROR(VLOOKUP(F420,'Base Insumos'!$A:$C,3,FALSE()),"PENDENTE")</f>
        <v/>
      </c>
      <c r="K420" s="4">
        <f>IFERROR(IF(J420="PENDENTE",0,J420*H420),0)</f>
        <v/>
      </c>
      <c r="L420" s="4" t="n">
        <v>16.99</v>
      </c>
      <c r="M420" s="15">
        <f>IFERROR(K420/L420,0)</f>
        <v/>
      </c>
      <c r="N420" s="3" t="n"/>
    </row>
    <row r="421" ht="15" customHeight="1">
      <c r="A421" s="16" t="inlineStr">
        <is>
          <t>Drinks</t>
        </is>
      </c>
      <c r="B421" s="17" t="inlineStr">
        <is>
          <t>Drinks</t>
        </is>
      </c>
      <c r="C421" s="18" t="inlineStr">
        <is>
          <t>Soda italiana - Maracujá</t>
        </is>
      </c>
      <c r="D421" s="6">
        <f>IF(ISERROR(VLOOKUP(E421,'Estrutura Protheus'!A:A,1,FALSE)),"Não","Sim")</f>
        <v/>
      </c>
      <c r="E421" s="80" t="inlineStr">
        <is>
          <t>010316</t>
        </is>
      </c>
      <c r="F421" s="9" t="inlineStr">
        <is>
          <t>001915</t>
        </is>
      </c>
      <c r="G421" s="7" t="inlineStr">
        <is>
          <t>Xarope Monin Maracuja 700 Ml</t>
        </is>
      </c>
      <c r="H421" s="19" t="n">
        <v>0.08</v>
      </c>
      <c r="I421" s="9" t="inlineStr">
        <is>
          <t>LT</t>
        </is>
      </c>
      <c r="J421" s="8">
        <f>IFERROR(VLOOKUP(F421,'Base Insumos'!$A:$C,3,FALSE()),"PENDENTE")</f>
        <v/>
      </c>
      <c r="K421" s="8">
        <f>IFERROR(IF(J421="PENDENTE",0,J421*H421),0)</f>
        <v/>
      </c>
      <c r="L421" s="8" t="n">
        <v>16.99</v>
      </c>
      <c r="M421" s="20">
        <f>IFERROR(K421/L421,0)</f>
        <v/>
      </c>
      <c r="N421" s="7" t="n"/>
    </row>
    <row r="422" ht="15" customHeight="1">
      <c r="A422" s="11" t="inlineStr">
        <is>
          <t>Drinks</t>
        </is>
      </c>
      <c r="B422" s="12" t="inlineStr">
        <is>
          <t>Drinks</t>
        </is>
      </c>
      <c r="C422" s="13" t="inlineStr">
        <is>
          <t>Soda italiana - Maracujá</t>
        </is>
      </c>
      <c r="D422" s="2">
        <f>IF(ISERROR(VLOOKUP(E422,'Estrutura Protheus'!A:A,1,FALSE)),"Não","Sim")</f>
        <v/>
      </c>
      <c r="E422" s="79" t="inlineStr">
        <is>
          <t>010316</t>
        </is>
      </c>
      <c r="F422" s="5" t="inlineStr">
        <is>
          <t>000590</t>
        </is>
      </c>
      <c r="G422" s="3" t="inlineStr">
        <is>
          <t>Morango Fruta</t>
        </is>
      </c>
      <c r="H422" s="14" t="n">
        <v>0.01</v>
      </c>
      <c r="I422" s="5" t="inlineStr">
        <is>
          <t>KG</t>
        </is>
      </c>
      <c r="J422" s="4">
        <f>IFERROR(VLOOKUP(F422,'Base Insumos'!$A:$C,3,FALSE()),"PENDENTE")</f>
        <v/>
      </c>
      <c r="K422" s="4">
        <f>IFERROR(IF(J422="PENDENTE",0,J422*H422),0)</f>
        <v/>
      </c>
      <c r="L422" s="4" t="n">
        <v>16.99</v>
      </c>
      <c r="M422" s="15">
        <f>IFERROR(K422/L422,0)</f>
        <v/>
      </c>
      <c r="N422" s="3" t="n"/>
    </row>
    <row r="423" ht="15" customHeight="1">
      <c r="A423" s="16" t="inlineStr">
        <is>
          <t>Drinks</t>
        </is>
      </c>
      <c r="B423" s="17" t="inlineStr">
        <is>
          <t>Drinks</t>
        </is>
      </c>
      <c r="C423" s="18" t="inlineStr">
        <is>
          <t>Soda italiana - Maracujá</t>
        </is>
      </c>
      <c r="D423" s="6">
        <f>IF(ISERROR(VLOOKUP(E423,'Estrutura Protheus'!A:A,1,FALSE)),"Não","Sim")</f>
        <v/>
      </c>
      <c r="E423" s="80" t="inlineStr">
        <is>
          <t>010316</t>
        </is>
      </c>
      <c r="F423" s="9" t="inlineStr">
        <is>
          <t>000619</t>
        </is>
      </c>
      <c r="G423" s="7" t="inlineStr">
        <is>
          <t>Limao Siciliano</t>
        </is>
      </c>
      <c r="H423" s="19" t="n">
        <v>0.01</v>
      </c>
      <c r="I423" s="9" t="inlineStr">
        <is>
          <t>KG</t>
        </is>
      </c>
      <c r="J423" s="8">
        <f>IFERROR(VLOOKUP(F423,'Base Insumos'!$A:$C,3,FALSE()),"PENDENTE")</f>
        <v/>
      </c>
      <c r="K423" s="8">
        <f>IFERROR(IF(J423="PENDENTE",0,J423*H423),0)</f>
        <v/>
      </c>
      <c r="L423" s="8" t="n">
        <v>16.99</v>
      </c>
      <c r="M423" s="20">
        <f>IFERROR(K423/L423,0)</f>
        <v/>
      </c>
      <c r="N423" s="7" t="n"/>
    </row>
    <row r="424" ht="15" customHeight="1">
      <c r="A424" s="11" t="inlineStr">
        <is>
          <t>Drinks</t>
        </is>
      </c>
      <c r="B424" s="12" t="inlineStr">
        <is>
          <t>Drinks</t>
        </is>
      </c>
      <c r="C424" s="13" t="inlineStr">
        <is>
          <t>Soda italiana - Maracujá</t>
        </is>
      </c>
      <c r="D424" s="2">
        <f>IF(ISERROR(VLOOKUP(E424,'Estrutura Protheus'!A:A,1,FALSE)),"Não","Sim")</f>
        <v/>
      </c>
      <c r="E424" s="79" t="inlineStr">
        <is>
          <t>010316</t>
        </is>
      </c>
      <c r="F424" s="5" t="inlineStr">
        <is>
          <t>000474</t>
        </is>
      </c>
      <c r="G424" s="3" t="inlineStr">
        <is>
          <t>Hortela Grande</t>
        </is>
      </c>
      <c r="H424" s="14" t="n">
        <v>0.005</v>
      </c>
      <c r="I424" s="5" t="inlineStr">
        <is>
          <t>KG</t>
        </is>
      </c>
      <c r="J424" s="4">
        <f>IFERROR(VLOOKUP(F424,'Base Insumos'!$A:$C,3,FALSE()),"PENDENTE")</f>
        <v/>
      </c>
      <c r="K424" s="4">
        <f>IFERROR(IF(J424="PENDENTE",0,J424*H424),0)</f>
        <v/>
      </c>
      <c r="L424" s="4" t="n">
        <v>16.99</v>
      </c>
      <c r="M424" s="15">
        <f>IFERROR(K424/L424,0)</f>
        <v/>
      </c>
      <c r="N424" s="3" t="n"/>
    </row>
    <row r="425" ht="15" customHeight="1">
      <c r="A425" s="16" t="inlineStr">
        <is>
          <t>Drinks</t>
        </is>
      </c>
      <c r="B425" s="17" t="inlineStr">
        <is>
          <t>Drinks</t>
        </is>
      </c>
      <c r="C425" s="18" t="inlineStr">
        <is>
          <t>Soda italiana - Morango</t>
        </is>
      </c>
      <c r="D425" s="6">
        <f>IF(ISERROR(VLOOKUP(E425,'Estrutura Protheus'!A:A,1,FALSE)),"Não","Sim")</f>
        <v/>
      </c>
      <c r="E425" s="9" t="inlineStr">
        <is>
          <t>010314</t>
        </is>
      </c>
      <c r="F425" s="9" t="inlineStr">
        <is>
          <t>000334</t>
        </is>
      </c>
      <c r="G425" s="7" t="inlineStr">
        <is>
          <t>Agua c/ Gas</t>
        </is>
      </c>
      <c r="H425" s="19" t="n">
        <v>1</v>
      </c>
      <c r="I425" s="9" t="inlineStr">
        <is>
          <t>UN</t>
        </is>
      </c>
      <c r="J425" s="8">
        <f>IFERROR(VLOOKUP(F425,'Base Insumos'!$A:$C,3,FALSE()),"PENDENTE")</f>
        <v/>
      </c>
      <c r="K425" s="8">
        <f>IFERROR(IF(J425="PENDENTE",0,J425*H425),0)</f>
        <v/>
      </c>
      <c r="L425" s="8" t="n">
        <v>16.99</v>
      </c>
      <c r="M425" s="20">
        <f>IFERROR(K425/L425,0)</f>
        <v/>
      </c>
      <c r="N425" s="7" t="n"/>
    </row>
    <row r="426" ht="15" customHeight="1">
      <c r="A426" s="11" t="inlineStr">
        <is>
          <t>Drinks</t>
        </is>
      </c>
      <c r="B426" s="12" t="inlineStr">
        <is>
          <t>Drinks</t>
        </is>
      </c>
      <c r="C426" s="13" t="inlineStr">
        <is>
          <t>Soda italiana - Morango</t>
        </is>
      </c>
      <c r="D426" s="2">
        <f>IF(ISERROR(VLOOKUP(E426,'Estrutura Protheus'!A:A,1,FALSE)),"Não","Sim")</f>
        <v/>
      </c>
      <c r="E426" s="5" t="inlineStr">
        <is>
          <t>010314</t>
        </is>
      </c>
      <c r="F426" s="5" t="inlineStr">
        <is>
          <t>009826</t>
        </is>
      </c>
      <c r="G426" s="3" t="inlineStr">
        <is>
          <t>Xarope Morango 3lt</t>
        </is>
      </c>
      <c r="H426" s="14" t="n">
        <v>0.08</v>
      </c>
      <c r="I426" s="5" t="inlineStr">
        <is>
          <t>LT</t>
        </is>
      </c>
      <c r="J426" s="4">
        <f>IFERROR(VLOOKUP(F426,'Base Insumos'!$A:$C,3,FALSE()),"PENDENTE")</f>
        <v/>
      </c>
      <c r="K426" s="4">
        <f>IFERROR(IF(J426="PENDENTE",0,J426*H426),0)</f>
        <v/>
      </c>
      <c r="L426" s="4" t="n">
        <v>16.99</v>
      </c>
      <c r="M426" s="15">
        <f>IFERROR(K426/L426,0)</f>
        <v/>
      </c>
      <c r="N426" s="3" t="n"/>
    </row>
    <row r="427" ht="15" customHeight="1">
      <c r="A427" s="16" t="inlineStr">
        <is>
          <t>Drinks</t>
        </is>
      </c>
      <c r="B427" s="17" t="inlineStr">
        <is>
          <t>Drinks</t>
        </is>
      </c>
      <c r="C427" s="18" t="inlineStr">
        <is>
          <t>Soda italiana - Morango</t>
        </is>
      </c>
      <c r="D427" s="6">
        <f>IF(ISERROR(VLOOKUP(E427,'Estrutura Protheus'!A:A,1,FALSE)),"Não","Sim")</f>
        <v/>
      </c>
      <c r="E427" s="9" t="inlineStr">
        <is>
          <t>010314</t>
        </is>
      </c>
      <c r="F427" s="9" t="inlineStr">
        <is>
          <t>000590</t>
        </is>
      </c>
      <c r="G427" s="7" t="inlineStr">
        <is>
          <t>Morango Fruta</t>
        </is>
      </c>
      <c r="H427" s="19" t="n">
        <v>0.01</v>
      </c>
      <c r="I427" s="9" t="inlineStr">
        <is>
          <t>KG</t>
        </is>
      </c>
      <c r="J427" s="8">
        <f>IFERROR(VLOOKUP(F427,'Base Insumos'!$A:$C,3,FALSE()),"PENDENTE")</f>
        <v/>
      </c>
      <c r="K427" s="8">
        <f>IFERROR(IF(J427="PENDENTE",0,J427*H427),0)</f>
        <v/>
      </c>
      <c r="L427" s="8" t="n">
        <v>16.99</v>
      </c>
      <c r="M427" s="20">
        <f>IFERROR(K427/L427,0)</f>
        <v/>
      </c>
      <c r="N427" s="7" t="n"/>
    </row>
    <row r="428" ht="15" customHeight="1">
      <c r="A428" s="11" t="inlineStr">
        <is>
          <t>Drinks</t>
        </is>
      </c>
      <c r="B428" s="12" t="inlineStr">
        <is>
          <t>Drinks</t>
        </is>
      </c>
      <c r="C428" s="13" t="inlineStr">
        <is>
          <t>Soda italiana - Morango</t>
        </is>
      </c>
      <c r="D428" s="2">
        <f>IF(ISERROR(VLOOKUP(E428,'Estrutura Protheus'!A:A,1,FALSE)),"Não","Sim")</f>
        <v/>
      </c>
      <c r="E428" s="5" t="inlineStr">
        <is>
          <t>010314</t>
        </is>
      </c>
      <c r="F428" s="5" t="inlineStr">
        <is>
          <t>000619</t>
        </is>
      </c>
      <c r="G428" s="3" t="inlineStr">
        <is>
          <t>Limao Siciliano</t>
        </is>
      </c>
      <c r="H428" s="14" t="n">
        <v>0.01</v>
      </c>
      <c r="I428" s="5" t="inlineStr">
        <is>
          <t>KG</t>
        </is>
      </c>
      <c r="J428" s="4">
        <f>IFERROR(VLOOKUP(F428,'Base Insumos'!$A:$C,3,FALSE()),"PENDENTE")</f>
        <v/>
      </c>
      <c r="K428" s="4">
        <f>IFERROR(IF(J428="PENDENTE",0,J428*H428),0)</f>
        <v/>
      </c>
      <c r="L428" s="4" t="n">
        <v>16.99</v>
      </c>
      <c r="M428" s="15">
        <f>IFERROR(K428/L428,0)</f>
        <v/>
      </c>
      <c r="N428" s="3" t="n"/>
    </row>
    <row r="429" ht="15" customHeight="1">
      <c r="A429" s="16" t="inlineStr">
        <is>
          <t>Drinks</t>
        </is>
      </c>
      <c r="B429" s="17" t="inlineStr">
        <is>
          <t>Drinks</t>
        </is>
      </c>
      <c r="C429" s="18" t="inlineStr">
        <is>
          <t>Soda italiana - Morango</t>
        </is>
      </c>
      <c r="D429" s="6">
        <f>IF(ISERROR(VLOOKUP(E429,'Estrutura Protheus'!A:A,1,FALSE)),"Não","Sim")</f>
        <v/>
      </c>
      <c r="E429" s="9" t="inlineStr">
        <is>
          <t>010314</t>
        </is>
      </c>
      <c r="F429" s="9" t="inlineStr">
        <is>
          <t>000474</t>
        </is>
      </c>
      <c r="G429" s="7" t="inlineStr">
        <is>
          <t>Hortela Grande</t>
        </is>
      </c>
      <c r="H429" s="19" t="n">
        <v>0.005</v>
      </c>
      <c r="I429" s="9" t="inlineStr">
        <is>
          <t>KG</t>
        </is>
      </c>
      <c r="J429" s="8">
        <f>IFERROR(VLOOKUP(F429,'Base Insumos'!$A:$C,3,FALSE()),"PENDENTE")</f>
        <v/>
      </c>
      <c r="K429" s="8">
        <f>IFERROR(IF(J429="PENDENTE",0,J429*H429),0)</f>
        <v/>
      </c>
      <c r="L429" s="8" t="n">
        <v>16.99</v>
      </c>
      <c r="M429" s="20">
        <f>IFERROR(K429/L429,0)</f>
        <v/>
      </c>
      <c r="N429" s="7" t="n"/>
    </row>
    <row r="430" ht="15" customHeight="1">
      <c r="A430" s="11" t="inlineStr">
        <is>
          <t>Drinks</t>
        </is>
      </c>
      <c r="B430" s="12" t="inlineStr">
        <is>
          <t>Drinks</t>
        </is>
      </c>
      <c r="C430" s="13" t="inlineStr">
        <is>
          <t>Soda italiana - Maça verde</t>
        </is>
      </c>
      <c r="D430" s="2">
        <f>IF(ISERROR(VLOOKUP(E430,'Estrutura Protheus'!A:A,1,FALSE)),"Não","Sim")</f>
        <v/>
      </c>
      <c r="E430" s="79" t="inlineStr">
        <is>
          <t>010317</t>
        </is>
      </c>
      <c r="F430" s="5" t="inlineStr">
        <is>
          <t>000334</t>
        </is>
      </c>
      <c r="G430" s="3" t="inlineStr">
        <is>
          <t>Agua c/ Gas</t>
        </is>
      </c>
      <c r="H430" s="14" t="n">
        <v>1</v>
      </c>
      <c r="I430" s="5" t="inlineStr">
        <is>
          <t>UN</t>
        </is>
      </c>
      <c r="J430" s="4">
        <f>IFERROR(VLOOKUP(F430,'Base Insumos'!$A:$C,3,FALSE()),"PENDENTE")</f>
        <v/>
      </c>
      <c r="K430" s="4">
        <f>IFERROR(IF(J430="PENDENTE",0,J430*H430),0)</f>
        <v/>
      </c>
      <c r="L430" s="4" t="n">
        <v>16.99</v>
      </c>
      <c r="M430" s="15">
        <f>IFERROR(K430/L430,0)</f>
        <v/>
      </c>
      <c r="N430" s="3" t="n"/>
    </row>
    <row r="431" ht="15" customHeight="1">
      <c r="A431" s="16" t="inlineStr">
        <is>
          <t>Drinks</t>
        </is>
      </c>
      <c r="B431" s="17" t="inlineStr">
        <is>
          <t>Drinks</t>
        </is>
      </c>
      <c r="C431" s="18" t="inlineStr">
        <is>
          <t>Soda italiana - Maça verde</t>
        </is>
      </c>
      <c r="D431" s="6">
        <f>IF(ISERROR(VLOOKUP(E431,'Estrutura Protheus'!A:A,1,FALSE)),"Não","Sim")</f>
        <v/>
      </c>
      <c r="E431" s="80" t="inlineStr">
        <is>
          <t>010317</t>
        </is>
      </c>
      <c r="F431" s="9" t="inlineStr">
        <is>
          <t>009827</t>
        </is>
      </c>
      <c r="G431" s="7" t="inlineStr">
        <is>
          <t>Xarope Maca Verde 3lt</t>
        </is>
      </c>
      <c r="H431" s="19" t="n">
        <v>0.08</v>
      </c>
      <c r="I431" s="9" t="inlineStr">
        <is>
          <t>LT</t>
        </is>
      </c>
      <c r="J431" s="8">
        <f>IFERROR(VLOOKUP(F431,'Base Insumos'!$A:$C,3,FALSE()),"PENDENTE")</f>
        <v/>
      </c>
      <c r="K431" s="8">
        <f>IFERROR(IF(J431="PENDENTE",0,J431*H431),0)</f>
        <v/>
      </c>
      <c r="L431" s="8" t="n">
        <v>16.99</v>
      </c>
      <c r="M431" s="20">
        <f>IFERROR(K431/L431,0)</f>
        <v/>
      </c>
      <c r="N431" s="7" t="n"/>
    </row>
    <row r="432" ht="15" customHeight="1">
      <c r="A432" s="11" t="inlineStr">
        <is>
          <t>Drinks</t>
        </is>
      </c>
      <c r="B432" s="12" t="inlineStr">
        <is>
          <t>Drinks</t>
        </is>
      </c>
      <c r="C432" s="13" t="inlineStr">
        <is>
          <t>Soda italiana - Maça verde</t>
        </is>
      </c>
      <c r="D432" s="2">
        <f>IF(ISERROR(VLOOKUP(E432,'Estrutura Protheus'!A:A,1,FALSE)),"Não","Sim")</f>
        <v/>
      </c>
      <c r="E432" s="79" t="inlineStr">
        <is>
          <t>010317</t>
        </is>
      </c>
      <c r="F432" s="5" t="inlineStr">
        <is>
          <t>000590</t>
        </is>
      </c>
      <c r="G432" s="3" t="inlineStr">
        <is>
          <t>Morango Fruta</t>
        </is>
      </c>
      <c r="H432" s="14" t="n">
        <v>0.01</v>
      </c>
      <c r="I432" s="5" t="inlineStr">
        <is>
          <t>KG</t>
        </is>
      </c>
      <c r="J432" s="4">
        <f>IFERROR(VLOOKUP(F432,'Base Insumos'!$A:$C,3,FALSE()),"PENDENTE")</f>
        <v/>
      </c>
      <c r="K432" s="4">
        <f>IFERROR(IF(J432="PENDENTE",0,J432*H432),0)</f>
        <v/>
      </c>
      <c r="L432" s="4" t="n">
        <v>16.99</v>
      </c>
      <c r="M432" s="15">
        <f>IFERROR(K432/L432,0)</f>
        <v/>
      </c>
      <c r="N432" s="3" t="n"/>
    </row>
    <row r="433" ht="15" customHeight="1">
      <c r="A433" s="16" t="inlineStr">
        <is>
          <t>Drinks</t>
        </is>
      </c>
      <c r="B433" s="17" t="inlineStr">
        <is>
          <t>Drinks</t>
        </is>
      </c>
      <c r="C433" s="18" t="inlineStr">
        <is>
          <t>Soda italiana - Maça verde</t>
        </is>
      </c>
      <c r="D433" s="6">
        <f>IF(ISERROR(VLOOKUP(E433,'Estrutura Protheus'!A:A,1,FALSE)),"Não","Sim")</f>
        <v/>
      </c>
      <c r="E433" s="80" t="inlineStr">
        <is>
          <t>010317</t>
        </is>
      </c>
      <c r="F433" s="9" t="inlineStr">
        <is>
          <t>000619</t>
        </is>
      </c>
      <c r="G433" s="7" t="inlineStr">
        <is>
          <t>Limao Siciliano</t>
        </is>
      </c>
      <c r="H433" s="19" t="n">
        <v>0.01</v>
      </c>
      <c r="I433" s="9" t="inlineStr">
        <is>
          <t>KG</t>
        </is>
      </c>
      <c r="J433" s="8">
        <f>IFERROR(VLOOKUP(F433,'Base Insumos'!$A:$C,3,FALSE()),"PENDENTE")</f>
        <v/>
      </c>
      <c r="K433" s="8">
        <f>IFERROR(IF(J433="PENDENTE",0,J433*H433),0)</f>
        <v/>
      </c>
      <c r="L433" s="8" t="n">
        <v>16.99</v>
      </c>
      <c r="M433" s="20">
        <f>IFERROR(K433/L433,0)</f>
        <v/>
      </c>
      <c r="N433" s="7" t="n"/>
    </row>
    <row r="434" ht="15" customHeight="1">
      <c r="A434" s="11" t="inlineStr">
        <is>
          <t>Drinks</t>
        </is>
      </c>
      <c r="B434" s="12" t="inlineStr">
        <is>
          <t>Drinks</t>
        </is>
      </c>
      <c r="C434" s="13" t="inlineStr">
        <is>
          <t>Soda italiana - Maça verde</t>
        </is>
      </c>
      <c r="D434" s="2">
        <f>IF(ISERROR(VLOOKUP(E434,'Estrutura Protheus'!A:A,1,FALSE)),"Não","Sim")</f>
        <v/>
      </c>
      <c r="E434" s="79" t="inlineStr">
        <is>
          <t>010317</t>
        </is>
      </c>
      <c r="F434" s="5" t="inlineStr">
        <is>
          <t>000474</t>
        </is>
      </c>
      <c r="G434" s="3" t="inlineStr">
        <is>
          <t>Hortela Grande</t>
        </is>
      </c>
      <c r="H434" s="14" t="n">
        <v>0.005</v>
      </c>
      <c r="I434" s="5" t="inlineStr">
        <is>
          <t>KG</t>
        </is>
      </c>
      <c r="J434" s="4">
        <f>IFERROR(VLOOKUP(F434,'Base Insumos'!$A:$C,3,FALSE()),"PENDENTE")</f>
        <v/>
      </c>
      <c r="K434" s="4">
        <f>IFERROR(IF(J434="PENDENTE",0,J434*H434),0)</f>
        <v/>
      </c>
      <c r="L434" s="4" t="n">
        <v>16.99</v>
      </c>
      <c r="M434" s="15">
        <f>IFERROR(K434/L434,0)</f>
        <v/>
      </c>
      <c r="N434" s="3" t="n"/>
    </row>
    <row r="435" ht="15" customHeight="1">
      <c r="A435" s="16" t="inlineStr">
        <is>
          <t>Drinks</t>
        </is>
      </c>
      <c r="B435" s="17" t="inlineStr">
        <is>
          <t>Drinks</t>
        </is>
      </c>
      <c r="C435" s="18" t="inlineStr">
        <is>
          <t>Sunset Mule</t>
        </is>
      </c>
      <c r="D435" s="6">
        <f>IF(ISERROR(VLOOKUP(E435,'Estrutura Protheus'!A:A,1,FALSE)),"Não","Sim")</f>
        <v/>
      </c>
      <c r="E435" s="9" t="inlineStr">
        <is>
          <t>001471</t>
        </is>
      </c>
      <c r="F435" s="9" t="inlineStr">
        <is>
          <t>001399</t>
        </is>
      </c>
      <c r="G435" s="7" t="inlineStr">
        <is>
          <t>Vodka Smirnoff 600 Ml</t>
        </is>
      </c>
      <c r="H435" s="19" t="n">
        <v>0.05</v>
      </c>
      <c r="I435" s="9" t="inlineStr">
        <is>
          <t>LT</t>
        </is>
      </c>
      <c r="J435" s="8">
        <f>IFERROR(VLOOKUP(F435,'Base Insumos'!$A:$C,3,FALSE()),"PENDENTE")</f>
        <v/>
      </c>
      <c r="K435" s="8">
        <f>IFERROR(IF(J435="PENDENTE",0,J435*H435),0)</f>
        <v/>
      </c>
      <c r="L435" s="8" t="n">
        <v>39.99</v>
      </c>
      <c r="M435" s="20">
        <f>IFERROR(K435/L435,0)</f>
        <v/>
      </c>
      <c r="N435" s="7" t="n"/>
    </row>
    <row r="436" ht="15" customHeight="1">
      <c r="A436" s="11" t="inlineStr">
        <is>
          <t>Drinks</t>
        </is>
      </c>
      <c r="B436" s="12" t="inlineStr">
        <is>
          <t>Drinks</t>
        </is>
      </c>
      <c r="C436" s="13" t="inlineStr">
        <is>
          <t>Sunset Mule</t>
        </is>
      </c>
      <c r="D436" s="2">
        <f>IF(ISERROR(VLOOKUP(E436,'Estrutura Protheus'!A:A,1,FALSE)),"Não","Sim")</f>
        <v/>
      </c>
      <c r="E436" s="5" t="inlineStr">
        <is>
          <t>001471</t>
        </is>
      </c>
      <c r="F436" s="5" t="inlineStr">
        <is>
          <t>000492</t>
        </is>
      </c>
      <c r="G436" s="3" t="inlineStr">
        <is>
          <t>Limao Taiti Fruta</t>
        </is>
      </c>
      <c r="H436" s="14" t="n">
        <v>0.1</v>
      </c>
      <c r="I436" s="5" t="inlineStr">
        <is>
          <t>KG</t>
        </is>
      </c>
      <c r="J436" s="4">
        <f>IFERROR(VLOOKUP(F436,'Base Insumos'!$A:$C,3,FALSE()),"PENDENTE")</f>
        <v/>
      </c>
      <c r="K436" s="4">
        <f>IFERROR(IF(J436="PENDENTE",0,J436*H436),0)</f>
        <v/>
      </c>
      <c r="L436" s="4" t="n">
        <v>39.99</v>
      </c>
      <c r="M436" s="15">
        <f>IFERROR(K436/L436,0)</f>
        <v/>
      </c>
      <c r="N436" s="3" t="n"/>
    </row>
    <row r="437" ht="15" customHeight="1">
      <c r="A437" s="16" t="inlineStr">
        <is>
          <t>Drinks</t>
        </is>
      </c>
      <c r="B437" s="17" t="inlineStr">
        <is>
          <t>Drinks</t>
        </is>
      </c>
      <c r="C437" s="18" t="inlineStr">
        <is>
          <t>Teajuca</t>
        </is>
      </c>
      <c r="D437" s="6">
        <f>IF(ISERROR(VLOOKUP(E437,'Estrutura Protheus'!A:A,1,FALSE)),"Não","Sim")</f>
        <v/>
      </c>
      <c r="E437" s="9" t="inlineStr">
        <is>
          <t>001949</t>
        </is>
      </c>
      <c r="F437" s="9" t="inlineStr">
        <is>
          <t>001923</t>
        </is>
      </c>
      <c r="G437" s="7" t="inlineStr">
        <is>
          <t>Caju Amigo 750 Ml Aptk</t>
        </is>
      </c>
      <c r="H437" s="19" t="n">
        <v>0.05</v>
      </c>
      <c r="I437" s="9" t="inlineStr">
        <is>
          <t>LT</t>
        </is>
      </c>
      <c r="J437" s="8">
        <f>IFERROR(VLOOKUP(F437,'Base Insumos'!$A:$C,3,FALSE()),"PENDENTE")</f>
        <v/>
      </c>
      <c r="K437" s="8">
        <f>IFERROR(IF(J437="PENDENTE",0,J437*H437),0)</f>
        <v/>
      </c>
      <c r="L437" s="8" t="n">
        <v>34.99</v>
      </c>
      <c r="M437" s="20">
        <f>IFERROR(K437/L437,0)</f>
        <v/>
      </c>
      <c r="N437" s="7" t="n"/>
    </row>
    <row r="438" ht="15" customHeight="1">
      <c r="A438" s="11" t="inlineStr">
        <is>
          <t>Drinks</t>
        </is>
      </c>
      <c r="B438" s="12" t="inlineStr">
        <is>
          <t>Drinks</t>
        </is>
      </c>
      <c r="C438" s="13" t="inlineStr">
        <is>
          <t>Teajuca</t>
        </is>
      </c>
      <c r="D438" s="2">
        <f>IF(ISERROR(VLOOKUP(E438,'Estrutura Protheus'!A:A,1,FALSE)),"Não","Sim")</f>
        <v/>
      </c>
      <c r="E438" s="5" t="inlineStr">
        <is>
          <t>001949</t>
        </is>
      </c>
      <c r="F438" s="5" t="inlineStr">
        <is>
          <t>001928</t>
        </is>
      </c>
      <c r="G438" s="3" t="inlineStr">
        <is>
          <t>Cha Mate Original 1,5lt</t>
        </is>
      </c>
      <c r="H438" s="14" t="n">
        <v>0.05</v>
      </c>
      <c r="I438" s="5" t="inlineStr">
        <is>
          <t>LT</t>
        </is>
      </c>
      <c r="J438" s="4">
        <f>IFERROR(VLOOKUP(F438,'Base Insumos'!$A:$C,3,FALSE()),"PENDENTE")</f>
        <v/>
      </c>
      <c r="K438" s="4">
        <f>IFERROR(IF(J438="PENDENTE",0,J438*H438),0)</f>
        <v/>
      </c>
      <c r="L438" s="4" t="n">
        <v>34.99</v>
      </c>
      <c r="M438" s="15">
        <f>IFERROR(K438/L438,0)</f>
        <v/>
      </c>
      <c r="N438" s="3" t="n"/>
    </row>
    <row r="439" ht="15" customHeight="1">
      <c r="A439" s="16" t="inlineStr">
        <is>
          <t>Drinks</t>
        </is>
      </c>
      <c r="B439" s="17" t="inlineStr">
        <is>
          <t>Drinks</t>
        </is>
      </c>
      <c r="C439" s="18" t="inlineStr">
        <is>
          <t>Teajuca</t>
        </is>
      </c>
      <c r="D439" s="6">
        <f>IF(ISERROR(VLOOKUP(E439,'Estrutura Protheus'!A:A,1,FALSE)),"Não","Sim")</f>
        <v/>
      </c>
      <c r="E439" s="9" t="inlineStr">
        <is>
          <t>001949</t>
        </is>
      </c>
      <c r="F439" s="9" t="inlineStr">
        <is>
          <t>001399</t>
        </is>
      </c>
      <c r="G439" s="7" t="inlineStr">
        <is>
          <t>Vodka Smirnoff 600 Ml</t>
        </is>
      </c>
      <c r="H439" s="19" t="n">
        <v>0.025</v>
      </c>
      <c r="I439" s="9" t="inlineStr">
        <is>
          <t>LT</t>
        </is>
      </c>
      <c r="J439" s="8">
        <f>IFERROR(VLOOKUP(F439,'Base Insumos'!$A:$C,3,FALSE()),"PENDENTE")</f>
        <v/>
      </c>
      <c r="K439" s="8">
        <f>IFERROR(IF(J439="PENDENTE",0,J439*H439),0)</f>
        <v/>
      </c>
      <c r="L439" s="8" t="n">
        <v>34.99</v>
      </c>
      <c r="M439" s="20">
        <f>IFERROR(K439/L439,0)</f>
        <v/>
      </c>
      <c r="N439" s="7" t="n"/>
    </row>
    <row r="440" ht="15" customHeight="1">
      <c r="A440" s="11" t="inlineStr">
        <is>
          <t>Drinks</t>
        </is>
      </c>
      <c r="B440" s="12" t="inlineStr">
        <is>
          <t>Drinks</t>
        </is>
      </c>
      <c r="C440" s="13" t="inlineStr">
        <is>
          <t>Teajuca</t>
        </is>
      </c>
      <c r="D440" s="2">
        <f>IF(ISERROR(VLOOKUP(E440,'Estrutura Protheus'!A:A,1,FALSE)),"Não","Sim")</f>
        <v/>
      </c>
      <c r="E440" s="5" t="inlineStr">
        <is>
          <t>001949</t>
        </is>
      </c>
      <c r="F440" s="5" t="inlineStr">
        <is>
          <t>000492</t>
        </is>
      </c>
      <c r="G440" s="3" t="inlineStr">
        <is>
          <t>Limao Taiti Fruta</t>
        </is>
      </c>
      <c r="H440" s="14" t="n">
        <v>0.1</v>
      </c>
      <c r="I440" s="5" t="inlineStr">
        <is>
          <t>KG</t>
        </is>
      </c>
      <c r="J440" s="4">
        <f>IFERROR(VLOOKUP(F440,'Base Insumos'!$A:$C,3,FALSE()),"PENDENTE")</f>
        <v/>
      </c>
      <c r="K440" s="4">
        <f>IFERROR(IF(J440="PENDENTE",0,J440*H440),0)</f>
        <v/>
      </c>
      <c r="L440" s="4" t="n">
        <v>34.99</v>
      </c>
      <c r="M440" s="15">
        <f>IFERROR(K440/L440,0)</f>
        <v/>
      </c>
      <c r="N440" s="3" t="n"/>
    </row>
    <row r="441" ht="15" customHeight="1">
      <c r="A441" s="16" t="inlineStr">
        <is>
          <t>Sobremesas</t>
        </is>
      </c>
      <c r="B441" s="17" t="inlineStr">
        <is>
          <t>Sobremesas</t>
        </is>
      </c>
      <c r="C441" s="18" t="inlineStr">
        <is>
          <t>Espeto de Abacaxi com Chocolate</t>
        </is>
      </c>
      <c r="D441" s="6">
        <f>IF(ISERROR(VLOOKUP(E441,'Estrutura Protheus'!A:A,1,FALSE)),"Não","Sim")</f>
        <v/>
      </c>
      <c r="E441" s="9" t="inlineStr">
        <is>
          <t>000794</t>
        </is>
      </c>
      <c r="F441" s="9" t="inlineStr">
        <is>
          <t>000487</t>
        </is>
      </c>
      <c r="G441" s="7" t="inlineStr">
        <is>
          <t>Abacaxi Perola Fruta</t>
        </is>
      </c>
      <c r="H441" s="19" t="n">
        <v>0.09</v>
      </c>
      <c r="I441" s="9" t="inlineStr">
        <is>
          <t>KG</t>
        </is>
      </c>
      <c r="J441" s="8">
        <f>IFERROR(VLOOKUP(F441,'Base Insumos'!$A:$C,3,FALSE()),"PENDENTE")</f>
        <v/>
      </c>
      <c r="K441" s="8">
        <f>IFERROR(IF(J441="PENDENTE",0,J441*H441),0)</f>
        <v/>
      </c>
      <c r="L441" s="8" t="n">
        <v>18.99</v>
      </c>
      <c r="M441" s="20">
        <f>IFERROR(K441/L441,0)</f>
        <v/>
      </c>
      <c r="N441" s="7" t="n"/>
    </row>
    <row r="442" ht="15" customHeight="1">
      <c r="A442" s="11" t="inlineStr">
        <is>
          <t>Sobremesas</t>
        </is>
      </c>
      <c r="B442" s="12" t="inlineStr">
        <is>
          <t>Sobremesas</t>
        </is>
      </c>
      <c r="C442" s="13" t="inlineStr">
        <is>
          <t>Espeto de Abacaxi com Chocolate</t>
        </is>
      </c>
      <c r="D442" s="2">
        <f>IF(ISERROR(VLOOKUP(E442,'Estrutura Protheus'!A:A,1,FALSE)),"Não","Sim")</f>
        <v/>
      </c>
      <c r="E442" s="5" t="inlineStr">
        <is>
          <t>000794</t>
        </is>
      </c>
      <c r="F442" s="5" t="inlineStr">
        <is>
          <t>000437</t>
        </is>
      </c>
      <c r="G442" s="3" t="inlineStr">
        <is>
          <t>Chocolate Garoto Barra 2,1kg</t>
        </is>
      </c>
      <c r="H442" s="14" t="n">
        <v>0.03</v>
      </c>
      <c r="I442" s="5" t="inlineStr">
        <is>
          <t>KG</t>
        </is>
      </c>
      <c r="J442" s="4">
        <f>IFERROR(VLOOKUP(F442,'Base Insumos'!$A:$C,3,FALSE()),"PENDENTE")</f>
        <v/>
      </c>
      <c r="K442" s="4">
        <f>IFERROR(IF(J442="PENDENTE",0,J442*H442),0)</f>
        <v/>
      </c>
      <c r="L442" s="4" t="n">
        <v>18.99</v>
      </c>
      <c r="M442" s="15">
        <f>IFERROR(K442/L442,0)</f>
        <v/>
      </c>
      <c r="N442" s="3" t="n"/>
    </row>
    <row r="443" ht="15" customHeight="1">
      <c r="A443" s="16" t="inlineStr">
        <is>
          <t>Sobremesas</t>
        </is>
      </c>
      <c r="B443" s="17" t="inlineStr">
        <is>
          <t>Sobremesas</t>
        </is>
      </c>
      <c r="C443" s="18" t="inlineStr">
        <is>
          <t>Espeto de Banana com Chocolate</t>
        </is>
      </c>
      <c r="D443" s="6">
        <f>IF(ISERROR(VLOOKUP(E443,'Estrutura Protheus'!A:A,1,FALSE)),"Não","Sim")</f>
        <v/>
      </c>
      <c r="E443" s="9" t="inlineStr">
        <is>
          <t>000795</t>
        </is>
      </c>
      <c r="F443" s="9" t="inlineStr">
        <is>
          <t>000489</t>
        </is>
      </c>
      <c r="G443" s="7" t="inlineStr">
        <is>
          <t>Banana Prata Fruta</t>
        </is>
      </c>
      <c r="H443" s="19" t="n">
        <v>0.07000000000000001</v>
      </c>
      <c r="I443" s="9" t="inlineStr">
        <is>
          <t>KG</t>
        </is>
      </c>
      <c r="J443" s="8">
        <f>IFERROR(VLOOKUP(F443,'Base Insumos'!$A:$C,3,FALSE()),"PENDENTE")</f>
        <v/>
      </c>
      <c r="K443" s="8">
        <f>IFERROR(IF(J443="PENDENTE",0,J443*H443),0)</f>
        <v/>
      </c>
      <c r="L443" s="8" t="n">
        <v>18.99</v>
      </c>
      <c r="M443" s="20">
        <f>IFERROR(K443/L443,0)</f>
        <v/>
      </c>
      <c r="N443" s="7" t="n"/>
    </row>
    <row r="444" ht="15" customHeight="1">
      <c r="A444" s="11" t="inlineStr">
        <is>
          <t>Sobremesas</t>
        </is>
      </c>
      <c r="B444" s="12" t="inlineStr">
        <is>
          <t>Sobremesas</t>
        </is>
      </c>
      <c r="C444" s="13" t="inlineStr">
        <is>
          <t>Espeto de Banana com Chocolate</t>
        </is>
      </c>
      <c r="D444" s="2">
        <f>IF(ISERROR(VLOOKUP(E444,'Estrutura Protheus'!A:A,1,FALSE)),"Não","Sim")</f>
        <v/>
      </c>
      <c r="E444" s="5" t="inlineStr">
        <is>
          <t>000795</t>
        </is>
      </c>
      <c r="F444" s="5" t="inlineStr">
        <is>
          <t>000437</t>
        </is>
      </c>
      <c r="G444" s="3" t="inlineStr">
        <is>
          <t>Chocolate Garoto Barra 2,1kg</t>
        </is>
      </c>
      <c r="H444" s="14" t="n">
        <v>0.03</v>
      </c>
      <c r="I444" s="5" t="inlineStr">
        <is>
          <t>KG</t>
        </is>
      </c>
      <c r="J444" s="4">
        <f>IFERROR(VLOOKUP(F444,'Base Insumos'!$A:$C,3,FALSE()),"PENDENTE")</f>
        <v/>
      </c>
      <c r="K444" s="4">
        <f>IFERROR(IF(J444="PENDENTE",0,J444*H444),0)</f>
        <v/>
      </c>
      <c r="L444" s="4" t="n">
        <v>18.99</v>
      </c>
      <c r="M444" s="15">
        <f>IFERROR(K444/L444,0)</f>
        <v/>
      </c>
      <c r="N444" s="3" t="n"/>
    </row>
    <row r="445" ht="15" customHeight="1">
      <c r="A445" s="16" t="inlineStr">
        <is>
          <t>Sobremesas</t>
        </is>
      </c>
      <c r="B445" s="17" t="inlineStr">
        <is>
          <t>Sobremesas</t>
        </is>
      </c>
      <c r="C445" s="18" t="inlineStr">
        <is>
          <t>Espeto de Morango com Chocolate</t>
        </is>
      </c>
      <c r="D445" s="6">
        <f>IF(ISERROR(VLOOKUP(E445,'Estrutura Protheus'!A:A,1,FALSE)),"Não","Sim")</f>
        <v/>
      </c>
      <c r="E445" s="9" t="inlineStr">
        <is>
          <t>002046</t>
        </is>
      </c>
      <c r="F445" s="9" t="inlineStr">
        <is>
          <t>000590</t>
        </is>
      </c>
      <c r="G445" s="7" t="inlineStr">
        <is>
          <t>Morango Fruta</t>
        </is>
      </c>
      <c r="H445" s="19" t="n">
        <v>0.08</v>
      </c>
      <c r="I445" s="9" t="inlineStr">
        <is>
          <t>KG</t>
        </is>
      </c>
      <c r="J445" s="8">
        <f>IFERROR(VLOOKUP(F445,'Base Insumos'!$A:$C,3,FALSE()),"PENDENTE")</f>
        <v/>
      </c>
      <c r="K445" s="8">
        <f>IFERROR(IF(J445="PENDENTE",0,J445*H445),0)</f>
        <v/>
      </c>
      <c r="L445" s="8" t="n">
        <v>18.99</v>
      </c>
      <c r="M445" s="20">
        <f>IFERROR(K445/L445,0)</f>
        <v/>
      </c>
      <c r="N445" s="7" t="n"/>
    </row>
    <row r="446" ht="15" customHeight="1">
      <c r="A446" s="11" t="inlineStr">
        <is>
          <t>Sobremesas</t>
        </is>
      </c>
      <c r="B446" s="12" t="inlineStr">
        <is>
          <t>Sobremesas</t>
        </is>
      </c>
      <c r="C446" s="13" t="inlineStr">
        <is>
          <t>Espeto de Morango com Chocolate</t>
        </is>
      </c>
      <c r="D446" s="2">
        <f>IF(ISERROR(VLOOKUP(E446,'Estrutura Protheus'!A:A,1,FALSE)),"Não","Sim")</f>
        <v/>
      </c>
      <c r="E446" s="5" t="inlineStr">
        <is>
          <t>002046</t>
        </is>
      </c>
      <c r="F446" s="5" t="inlineStr">
        <is>
          <t>000437</t>
        </is>
      </c>
      <c r="G446" s="3" t="inlineStr">
        <is>
          <t>Chocolate Garoto Barra 2,1kg</t>
        </is>
      </c>
      <c r="H446" s="14" t="n">
        <v>0.03</v>
      </c>
      <c r="I446" s="5" t="inlineStr">
        <is>
          <t>KG</t>
        </is>
      </c>
      <c r="J446" s="4">
        <f>IFERROR(VLOOKUP(F446,'Base Insumos'!$A:$C,3,FALSE()),"PENDENTE")</f>
        <v/>
      </c>
      <c r="K446" s="4">
        <f>IFERROR(IF(J446="PENDENTE",0,J446*H446),0)</f>
        <v/>
      </c>
      <c r="L446" s="4" t="n">
        <v>18.99</v>
      </c>
      <c r="M446" s="15">
        <f>IFERROR(K446/L446,0)</f>
        <v/>
      </c>
      <c r="N446" s="3" t="n"/>
    </row>
    <row r="447" ht="15" customHeight="1">
      <c r="A447" s="16" t="inlineStr">
        <is>
          <t>Sobremesas</t>
        </is>
      </c>
      <c r="B447" s="17" t="inlineStr">
        <is>
          <t>Sobremesas</t>
        </is>
      </c>
      <c r="C447" s="18" t="inlineStr">
        <is>
          <t>Espeto de Uva com Chocolate</t>
        </is>
      </c>
      <c r="D447" s="6">
        <f>IF(ISERROR(VLOOKUP(E447,'Estrutura Protheus'!A:A,1,FALSE)),"Não","Sim")</f>
        <v/>
      </c>
      <c r="E447" s="9" t="inlineStr">
        <is>
          <t>000797</t>
        </is>
      </c>
      <c r="F447" s="9" t="inlineStr">
        <is>
          <t>000501</t>
        </is>
      </c>
      <c r="G447" s="7" t="inlineStr">
        <is>
          <t>Uva Italia Fruta</t>
        </is>
      </c>
      <c r="H447" s="19" t="n">
        <v>0.08</v>
      </c>
      <c r="I447" s="9" t="inlineStr">
        <is>
          <t>KG</t>
        </is>
      </c>
      <c r="J447" s="8">
        <f>IFERROR(VLOOKUP(F447,'Base Insumos'!$A:$C,3,FALSE()),"PENDENTE")</f>
        <v/>
      </c>
      <c r="K447" s="8">
        <f>IFERROR(IF(J447="PENDENTE",0,J447*H447),0)</f>
        <v/>
      </c>
      <c r="L447" s="8" t="n">
        <v>18.99</v>
      </c>
      <c r="M447" s="20">
        <f>IFERROR(K447/L447,0)</f>
        <v/>
      </c>
      <c r="N447" s="7" t="n"/>
    </row>
    <row r="448" ht="15" customHeight="1">
      <c r="A448" s="11" t="inlineStr">
        <is>
          <t>Sobremesas</t>
        </is>
      </c>
      <c r="B448" s="12" t="inlineStr">
        <is>
          <t>Sobremesas</t>
        </is>
      </c>
      <c r="C448" s="13" t="inlineStr">
        <is>
          <t>Espeto de Uva com Chocolate</t>
        </is>
      </c>
      <c r="D448" s="2">
        <f>IF(ISERROR(VLOOKUP(E448,'Estrutura Protheus'!A:A,1,FALSE)),"Não","Sim")</f>
        <v/>
      </c>
      <c r="E448" s="5" t="inlineStr">
        <is>
          <t>000797</t>
        </is>
      </c>
      <c r="F448" s="5" t="inlineStr">
        <is>
          <t>000437</t>
        </is>
      </c>
      <c r="G448" s="3" t="inlineStr">
        <is>
          <t>Chocolate Garoto Barra 2,1kg</t>
        </is>
      </c>
      <c r="H448" s="14" t="n">
        <v>0.03</v>
      </c>
      <c r="I448" s="5" t="inlineStr">
        <is>
          <t>KG</t>
        </is>
      </c>
      <c r="J448" s="4">
        <f>IFERROR(VLOOKUP(F448,'Base Insumos'!$A:$C,3,FALSE()),"PENDENTE")</f>
        <v/>
      </c>
      <c r="K448" s="4">
        <f>IFERROR(IF(J448="PENDENTE",0,J448*H448),0)</f>
        <v/>
      </c>
      <c r="L448" s="4" t="n">
        <v>18.99</v>
      </c>
      <c r="M448" s="15">
        <f>IFERROR(K448/L448,0)</f>
        <v/>
      </c>
      <c r="N448" s="3" t="n"/>
    </row>
    <row r="449" ht="15" customHeight="1">
      <c r="A449" s="16" t="inlineStr">
        <is>
          <t>Sobremesas</t>
        </is>
      </c>
      <c r="B449" s="17" t="inlineStr">
        <is>
          <t>Sobremesas</t>
        </is>
      </c>
      <c r="C449" s="18" t="inlineStr">
        <is>
          <t>Brigadeiro</t>
        </is>
      </c>
      <c r="D449" s="6">
        <f>IF(ISERROR(VLOOKUP(E449,'Estrutura Protheus'!A:A,1,FALSE)),"Não","Sim")</f>
        <v/>
      </c>
      <c r="E449" s="9" t="inlineStr">
        <is>
          <t>000800</t>
        </is>
      </c>
      <c r="F449" s="9" t="inlineStr">
        <is>
          <t>000396</t>
        </is>
      </c>
      <c r="G449" s="7" t="inlineStr">
        <is>
          <t>Leite Condensado Moca 2,6kg</t>
        </is>
      </c>
      <c r="H449" s="19" t="n">
        <v>0.065</v>
      </c>
      <c r="I449" s="9" t="inlineStr">
        <is>
          <t>KG</t>
        </is>
      </c>
      <c r="J449" s="8">
        <f>IFERROR(VLOOKUP(F449,'Base Insumos'!$A:$C,3,FALSE()),"PENDENTE")</f>
        <v/>
      </c>
      <c r="K449" s="8">
        <f>IFERROR(IF(J449="PENDENTE",0,J449*H449),0)</f>
        <v/>
      </c>
      <c r="L449" s="8" t="n">
        <v>16.99</v>
      </c>
      <c r="M449" s="20">
        <f>IFERROR(K449/L449,0)</f>
        <v/>
      </c>
      <c r="N449" s="7" t="n"/>
    </row>
    <row r="450" ht="15" customHeight="1">
      <c r="A450" s="11" t="inlineStr">
        <is>
          <t>Sobremesas</t>
        </is>
      </c>
      <c r="B450" s="12" t="inlineStr">
        <is>
          <t>Sobremesas</t>
        </is>
      </c>
      <c r="C450" s="13" t="inlineStr">
        <is>
          <t>Brigadeiro</t>
        </is>
      </c>
      <c r="D450" s="2">
        <f>IF(ISERROR(VLOOKUP(E450,'Estrutura Protheus'!A:A,1,FALSE)),"Não","Sim")</f>
        <v/>
      </c>
      <c r="E450" s="5" t="inlineStr">
        <is>
          <t>000800</t>
        </is>
      </c>
      <c r="F450" s="5" t="inlineStr">
        <is>
          <t>000437</t>
        </is>
      </c>
      <c r="G450" s="3" t="inlineStr">
        <is>
          <t>Chocolate Garoto Barra 2,1kg</t>
        </is>
      </c>
      <c r="H450" s="14" t="n">
        <v>0.01125</v>
      </c>
      <c r="I450" s="5" t="inlineStr">
        <is>
          <t>KG</t>
        </is>
      </c>
      <c r="J450" s="4">
        <f>IFERROR(VLOOKUP(F450,'Base Insumos'!$A:$C,3,FALSE()),"PENDENTE")</f>
        <v/>
      </c>
      <c r="K450" s="4">
        <f>IFERROR(IF(J450="PENDENTE",0,J450*H450),0)</f>
        <v/>
      </c>
      <c r="L450" s="4" t="n">
        <v>16.99</v>
      </c>
      <c r="M450" s="15">
        <f>IFERROR(K450/L450,0)</f>
        <v/>
      </c>
      <c r="N450" s="3" t="n"/>
    </row>
    <row r="451" ht="15" customHeight="1">
      <c r="A451" s="16" t="inlineStr">
        <is>
          <t>Sobremesas</t>
        </is>
      </c>
      <c r="B451" s="17" t="inlineStr">
        <is>
          <t>Sobremesas</t>
        </is>
      </c>
      <c r="C451" s="18" t="inlineStr">
        <is>
          <t>Brigadeiro</t>
        </is>
      </c>
      <c r="D451" s="6">
        <f>IF(ISERROR(VLOOKUP(E451,'Estrutura Protheus'!A:A,1,FALSE)),"Não","Sim")</f>
        <v/>
      </c>
      <c r="E451" s="9" t="inlineStr">
        <is>
          <t>000800</t>
        </is>
      </c>
      <c r="F451" s="9" t="inlineStr">
        <is>
          <t>000385</t>
        </is>
      </c>
      <c r="G451" s="7" t="inlineStr">
        <is>
          <t>Chocolate em Po Nestle</t>
        </is>
      </c>
      <c r="H451" s="19" t="n">
        <v>0.003125</v>
      </c>
      <c r="I451" s="9" t="inlineStr">
        <is>
          <t>KG</t>
        </is>
      </c>
      <c r="J451" s="8">
        <f>IFERROR(VLOOKUP(F451,'Base Insumos'!$A:$C,3,FALSE()),"PENDENTE")</f>
        <v/>
      </c>
      <c r="K451" s="8">
        <f>IFERROR(IF(J451="PENDENTE",0,J451*H451),0)</f>
        <v/>
      </c>
      <c r="L451" s="8" t="n">
        <v>16.99</v>
      </c>
      <c r="M451" s="20">
        <f>IFERROR(K451/L451,0)</f>
        <v/>
      </c>
      <c r="N451" s="7" t="n"/>
    </row>
    <row r="452" ht="15" customHeight="1">
      <c r="A452" s="11" t="inlineStr">
        <is>
          <t>Sobremesas</t>
        </is>
      </c>
      <c r="B452" s="12" t="inlineStr">
        <is>
          <t>Sobremesas</t>
        </is>
      </c>
      <c r="C452" s="13" t="inlineStr">
        <is>
          <t>Brigadeiro</t>
        </is>
      </c>
      <c r="D452" s="2">
        <f>IF(ISERROR(VLOOKUP(E452,'Estrutura Protheus'!A:A,1,FALSE)),"Não","Sim")</f>
        <v/>
      </c>
      <c r="E452" s="5" t="inlineStr">
        <is>
          <t>000800</t>
        </is>
      </c>
      <c r="F452" s="5" t="inlineStr">
        <is>
          <t>002068</t>
        </is>
      </c>
      <c r="G452" s="3" t="inlineStr">
        <is>
          <t>Manteiga S/sal 5kg</t>
        </is>
      </c>
      <c r="H452" s="14" t="n">
        <v>0.003125</v>
      </c>
      <c r="I452" s="5" t="inlineStr">
        <is>
          <t>KG</t>
        </is>
      </c>
      <c r="J452" s="4">
        <f>IFERROR(VLOOKUP(F452,'Base Insumos'!$A:$C,3,FALSE()),"PENDENTE")</f>
        <v/>
      </c>
      <c r="K452" s="4">
        <f>IFERROR(IF(J452="PENDENTE",0,J452*H452),0)</f>
        <v/>
      </c>
      <c r="L452" s="4" t="n">
        <v>16.99</v>
      </c>
      <c r="M452" s="15">
        <f>IFERROR(K452/L452,0)</f>
        <v/>
      </c>
      <c r="N452" s="3" t="n"/>
    </row>
    <row r="453" ht="15" customHeight="1">
      <c r="A453" s="16" t="inlineStr">
        <is>
          <t>Sobremesas</t>
        </is>
      </c>
      <c r="B453" s="17" t="inlineStr">
        <is>
          <t>Sobremesas</t>
        </is>
      </c>
      <c r="C453" s="18" t="inlineStr">
        <is>
          <t>Brigadeiro</t>
        </is>
      </c>
      <c r="D453" s="6">
        <f>IF(ISERROR(VLOOKUP(E453,'Estrutura Protheus'!A:A,1,FALSE)),"Não","Sim")</f>
        <v/>
      </c>
      <c r="E453" s="9" t="inlineStr">
        <is>
          <t>000800</t>
        </is>
      </c>
      <c r="F453" s="9" t="inlineStr">
        <is>
          <t>000386</t>
        </is>
      </c>
      <c r="G453" s="7" t="inlineStr">
        <is>
          <t>Chocolate Granulado</t>
        </is>
      </c>
      <c r="H453" s="19" t="n">
        <v>0.022</v>
      </c>
      <c r="I453" s="9" t="inlineStr">
        <is>
          <t>KG</t>
        </is>
      </c>
      <c r="J453" s="8">
        <f>IFERROR(VLOOKUP(F453,'Base Insumos'!$A:$C,3,FALSE()),"PENDENTE")</f>
        <v/>
      </c>
      <c r="K453" s="8">
        <f>IFERROR(IF(J453="PENDENTE",0,J453*H453),0)</f>
        <v/>
      </c>
      <c r="L453" s="8" t="n">
        <v>16.99</v>
      </c>
      <c r="M453" s="20">
        <f>IFERROR(K453/L453,0)</f>
        <v/>
      </c>
      <c r="N453" s="7" t="n"/>
    </row>
    <row r="454" ht="15" customHeight="1">
      <c r="A454" s="11" t="inlineStr">
        <is>
          <t>Sobremesas</t>
        </is>
      </c>
      <c r="B454" s="12" t="inlineStr">
        <is>
          <t>Sobremesas</t>
        </is>
      </c>
      <c r="C454" s="13" t="inlineStr">
        <is>
          <t>Mini Churros com Doce de Leite</t>
        </is>
      </c>
      <c r="D454" s="2">
        <f>IF(ISERROR(VLOOKUP(E454,'Estrutura Protheus'!A:A,1,FALSE)),"Não","Sim")</f>
        <v/>
      </c>
      <c r="E454" s="5" t="inlineStr">
        <is>
          <t>001056</t>
        </is>
      </c>
      <c r="F454" s="5" t="inlineStr">
        <is>
          <t>001044</t>
        </is>
      </c>
      <c r="G454" s="3" t="inlineStr">
        <is>
          <t>Mini Churros</t>
        </is>
      </c>
      <c r="H454" s="14" t="n">
        <v>4</v>
      </c>
      <c r="I454" s="5" t="inlineStr">
        <is>
          <t>UN</t>
        </is>
      </c>
      <c r="J454" s="4">
        <f>IFERROR(VLOOKUP(F454,'Base Insumos'!$A:$C,3,FALSE()),"PENDENTE")</f>
        <v/>
      </c>
      <c r="K454" s="4">
        <f>IFERROR(IF(J454="PENDENTE",0,J454*H454),0)</f>
        <v/>
      </c>
      <c r="L454" s="4" t="n">
        <v>15.99</v>
      </c>
      <c r="M454" s="15">
        <f>IFERROR(K454/L454,0)</f>
        <v/>
      </c>
      <c r="N454" s="3" t="n"/>
    </row>
    <row r="455" ht="15" customHeight="1">
      <c r="A455" s="16" t="inlineStr">
        <is>
          <t>Sobremesas</t>
        </is>
      </c>
      <c r="B455" s="17" t="inlineStr">
        <is>
          <t>Sobremesas</t>
        </is>
      </c>
      <c r="C455" s="18" t="inlineStr">
        <is>
          <t>Mini Churros com Doce de Leite</t>
        </is>
      </c>
      <c r="D455" s="6">
        <f>IF(ISERROR(VLOOKUP(E455,'Estrutura Protheus'!A:A,1,FALSE)),"Não","Sim")</f>
        <v/>
      </c>
      <c r="E455" s="9" t="inlineStr">
        <is>
          <t>001056</t>
        </is>
      </c>
      <c r="F455" s="9" t="inlineStr">
        <is>
          <t>000452</t>
        </is>
      </c>
      <c r="G455" s="7" t="inlineStr">
        <is>
          <t>Canela em Po</t>
        </is>
      </c>
      <c r="H455" s="19" t="n">
        <v>0.005</v>
      </c>
      <c r="I455" s="9" t="inlineStr">
        <is>
          <t>KG</t>
        </is>
      </c>
      <c r="J455" s="8">
        <f>IFERROR(VLOOKUP(F455,'Base Insumos'!$A:$C,3,FALSE()),"PENDENTE")</f>
        <v/>
      </c>
      <c r="K455" s="8">
        <f>IFERROR(IF(J455="PENDENTE",0,J455*H455),0)</f>
        <v/>
      </c>
      <c r="L455" s="8" t="n">
        <v>15.99</v>
      </c>
      <c r="M455" s="20">
        <f>IFERROR(K455/L455,0)</f>
        <v/>
      </c>
      <c r="N455" s="7" t="n"/>
    </row>
    <row r="456" ht="15" customHeight="1">
      <c r="A456" s="11" t="inlineStr">
        <is>
          <t>Sobremesas</t>
        </is>
      </c>
      <c r="B456" s="12" t="inlineStr">
        <is>
          <t>Sobremesas</t>
        </is>
      </c>
      <c r="C456" s="13" t="inlineStr">
        <is>
          <t>Mini Churros com Doce de Leite</t>
        </is>
      </c>
      <c r="D456" s="2">
        <f>IF(ISERROR(VLOOKUP(E456,'Estrutura Protheus'!A:A,1,FALSE)),"Não","Sim")</f>
        <v/>
      </c>
      <c r="E456" s="5" t="inlineStr">
        <is>
          <t>001056</t>
        </is>
      </c>
      <c r="F456" s="5" t="inlineStr">
        <is>
          <t>000374</t>
        </is>
      </c>
      <c r="G456" s="3" t="inlineStr">
        <is>
          <t>Acucar Refinado Uniao</t>
        </is>
      </c>
      <c r="H456" s="14" t="n">
        <v>0.02</v>
      </c>
      <c r="I456" s="5" t="inlineStr">
        <is>
          <t>KG</t>
        </is>
      </c>
      <c r="J456" s="4">
        <f>IFERROR(VLOOKUP(F456,'Base Insumos'!$A:$C,3,FALSE()),"PENDENTE")</f>
        <v/>
      </c>
      <c r="K456" s="4">
        <f>IFERROR(IF(J456="PENDENTE",0,J456*H456),0)</f>
        <v/>
      </c>
      <c r="L456" s="4" t="n">
        <v>15.99</v>
      </c>
      <c r="M456" s="15">
        <f>IFERROR(K456/L456,0)</f>
        <v/>
      </c>
      <c r="N456" s="3" t="n"/>
    </row>
    <row r="457" ht="15" customHeight="1">
      <c r="A457" s="16" t="inlineStr">
        <is>
          <t>Sazonais</t>
        </is>
      </c>
      <c r="B457" s="17" t="inlineStr">
        <is>
          <t>Sazonais</t>
        </is>
      </c>
      <c r="C457" s="18" t="inlineStr">
        <is>
          <t>Casquinha Sorvete de Baunilha</t>
        </is>
      </c>
      <c r="D457" s="6">
        <f>IF(ISERROR(VLOOKUP(E457,'Estrutura Protheus'!A:A,1,FALSE)),"Não","Sim")</f>
        <v/>
      </c>
      <c r="E457" s="9" t="inlineStr">
        <is>
          <t>010091</t>
        </is>
      </c>
      <c r="F457" s="9" t="inlineStr">
        <is>
          <t>009487</t>
        </is>
      </c>
      <c r="G457" s="7" t="inlineStr">
        <is>
          <t>Bag Massa de Sorvete Baunilha 20l</t>
        </is>
      </c>
      <c r="H457" s="19" t="n">
        <v>0.1</v>
      </c>
      <c r="I457" s="9" t="inlineStr">
        <is>
          <t>LT</t>
        </is>
      </c>
      <c r="J457" s="8">
        <f>IFERROR(VLOOKUP(F457,'Base Insumos'!$A:$C,3,FALSE()),"PENDENTE")</f>
        <v/>
      </c>
      <c r="K457" s="8">
        <f>IFERROR(IF(J457="PENDENTE",0,J457*H457),0)</f>
        <v/>
      </c>
      <c r="L457" s="8" t="n">
        <v>9.9</v>
      </c>
      <c r="M457" s="20">
        <f>IFERROR(K457/L457,0)</f>
        <v/>
      </c>
      <c r="N457" s="7" t="n"/>
    </row>
    <row r="458" ht="15" customHeight="1">
      <c r="A458" s="11" t="inlineStr">
        <is>
          <t>Sazonais</t>
        </is>
      </c>
      <c r="B458" s="12" t="inlineStr">
        <is>
          <t>Sazonais</t>
        </is>
      </c>
      <c r="C458" s="13" t="inlineStr">
        <is>
          <t>Casquinha Sorvete de Baunilha</t>
        </is>
      </c>
      <c r="D458" s="2">
        <f>IF(ISERROR(VLOOKUP(E458,'Estrutura Protheus'!A:A,1,FALSE)),"Não","Sim")</f>
        <v/>
      </c>
      <c r="E458" s="5" t="inlineStr">
        <is>
          <t>010091</t>
        </is>
      </c>
      <c r="F458" s="5" t="inlineStr">
        <is>
          <t>009488</t>
        </is>
      </c>
      <c r="G458" s="3" t="inlineStr">
        <is>
          <t>Casquinha para Sorvete Cx 300un</t>
        </is>
      </c>
      <c r="H458" s="14" t="n">
        <v>1</v>
      </c>
      <c r="I458" s="5" t="inlineStr">
        <is>
          <t>UN</t>
        </is>
      </c>
      <c r="J458" s="4">
        <f>IFERROR(VLOOKUP(F458,'Base Insumos'!$A:$C,3,FALSE()),"PENDENTE")</f>
        <v/>
      </c>
      <c r="K458" s="4">
        <f>IFERROR(IF(J458="PENDENTE",0,J458*H458),0)</f>
        <v/>
      </c>
      <c r="L458" s="4" t="n">
        <v>9.9</v>
      </c>
      <c r="M458" s="15">
        <f>IFERROR(K458/L458,0)</f>
        <v/>
      </c>
      <c r="N458" s="3" t="n"/>
    </row>
    <row r="459" ht="15" customHeight="1">
      <c r="A459" s="16" t="inlineStr">
        <is>
          <t>Sazonais</t>
        </is>
      </c>
      <c r="B459" s="17" t="inlineStr">
        <is>
          <t>Sazonais</t>
        </is>
      </c>
      <c r="C459" s="18" t="inlineStr">
        <is>
          <t>Casquinha Sorvete de Chocolate</t>
        </is>
      </c>
      <c r="D459" s="6">
        <f>IF(ISERROR(VLOOKUP(E459,'Estrutura Protheus'!A:A,1,FALSE)),"Não","Sim")</f>
        <v/>
      </c>
      <c r="E459" s="9" t="inlineStr">
        <is>
          <t>010095</t>
        </is>
      </c>
      <c r="F459" s="9" t="inlineStr">
        <is>
          <t>009486</t>
        </is>
      </c>
      <c r="G459" s="7" t="inlineStr">
        <is>
          <t>Bag Massa de Sorvete Chocolate 20l</t>
        </is>
      </c>
      <c r="H459" s="19" t="n">
        <v>0.1</v>
      </c>
      <c r="I459" s="9" t="inlineStr">
        <is>
          <t>LT</t>
        </is>
      </c>
      <c r="J459" s="8">
        <f>IFERROR(VLOOKUP(F459,'Base Insumos'!$A:$C,3,FALSE()),"PENDENTE")</f>
        <v/>
      </c>
      <c r="K459" s="8">
        <f>IFERROR(IF(J459="PENDENTE",0,J459*H459),0)</f>
        <v/>
      </c>
      <c r="L459" s="8" t="n">
        <v>9.9</v>
      </c>
      <c r="M459" s="20">
        <f>IFERROR(K459/L459,0)</f>
        <v/>
      </c>
      <c r="N459" s="7" t="n"/>
    </row>
    <row r="460" ht="15" customHeight="1">
      <c r="A460" s="11" t="inlineStr">
        <is>
          <t>Sazonais</t>
        </is>
      </c>
      <c r="B460" s="12" t="inlineStr">
        <is>
          <t>Sazonais</t>
        </is>
      </c>
      <c r="C460" s="13" t="inlineStr">
        <is>
          <t>Casquinha Sorvete de Chocolate</t>
        </is>
      </c>
      <c r="D460" s="2">
        <f>IF(ISERROR(VLOOKUP(E460,'Estrutura Protheus'!A:A,1,FALSE)),"Não","Sim")</f>
        <v/>
      </c>
      <c r="E460" s="5" t="inlineStr">
        <is>
          <t>010095</t>
        </is>
      </c>
      <c r="F460" s="5" t="inlineStr">
        <is>
          <t>009488</t>
        </is>
      </c>
      <c r="G460" s="3" t="inlineStr">
        <is>
          <t>Casquinha para Sorvete Cx 300un</t>
        </is>
      </c>
      <c r="H460" s="14" t="n">
        <v>1</v>
      </c>
      <c r="I460" s="5" t="inlineStr">
        <is>
          <t>UN</t>
        </is>
      </c>
      <c r="J460" s="4">
        <f>IFERROR(VLOOKUP(F460,'Base Insumos'!$A:$C,3,FALSE()),"PENDENTE")</f>
        <v/>
      </c>
      <c r="K460" s="4">
        <f>IFERROR(IF(J460="PENDENTE",0,J460*H460),0)</f>
        <v/>
      </c>
      <c r="L460" s="4" t="n">
        <v>9.9</v>
      </c>
      <c r="M460" s="15">
        <f>IFERROR(K460/L460,0)</f>
        <v/>
      </c>
      <c r="N460" s="3" t="n"/>
    </row>
    <row r="461" ht="15" customHeight="1">
      <c r="A461" s="16" t="inlineStr">
        <is>
          <t>Sazonais</t>
        </is>
      </c>
      <c r="B461" s="17" t="inlineStr">
        <is>
          <t>Sazonais</t>
        </is>
      </c>
      <c r="C461" s="18" t="inlineStr">
        <is>
          <t>Casquinha Sorvete Mista</t>
        </is>
      </c>
      <c r="D461" s="6">
        <f>IF(ISERROR(VLOOKUP(E461,'Estrutura Protheus'!A:A,1,FALSE)),"Não","Sim")</f>
        <v/>
      </c>
      <c r="E461" s="9" t="inlineStr">
        <is>
          <t>010096</t>
        </is>
      </c>
      <c r="F461" s="9" t="inlineStr">
        <is>
          <t>009487</t>
        </is>
      </c>
      <c r="G461" s="7" t="inlineStr">
        <is>
          <t>Bag Massa de Sorvete Baunilha 20l</t>
        </is>
      </c>
      <c r="H461" s="19" t="n">
        <v>0.05</v>
      </c>
      <c r="I461" s="9" t="inlineStr">
        <is>
          <t>LT</t>
        </is>
      </c>
      <c r="J461" s="8">
        <f>IFERROR(VLOOKUP(F461,'Base Insumos'!$A:$C,3,FALSE()),"PENDENTE")</f>
        <v/>
      </c>
      <c r="K461" s="8">
        <f>IFERROR(IF(J461="PENDENTE",0,J461*H461),0)</f>
        <v/>
      </c>
      <c r="L461" s="8" t="n">
        <v>9.9</v>
      </c>
      <c r="M461" s="20">
        <f>IFERROR(K461/L461,0)</f>
        <v/>
      </c>
      <c r="N461" s="7" t="n"/>
    </row>
    <row r="462" ht="15" customHeight="1">
      <c r="A462" s="11" t="inlineStr">
        <is>
          <t>Sazonais</t>
        </is>
      </c>
      <c r="B462" s="12" t="inlineStr">
        <is>
          <t>Sazonais</t>
        </is>
      </c>
      <c r="C462" s="13" t="inlineStr">
        <is>
          <t>Casquinha Sorvete Mista</t>
        </is>
      </c>
      <c r="D462" s="2">
        <f>IF(ISERROR(VLOOKUP(E462,'Estrutura Protheus'!A:A,1,FALSE)),"Não","Sim")</f>
        <v/>
      </c>
      <c r="E462" s="5" t="inlineStr">
        <is>
          <t>010096</t>
        </is>
      </c>
      <c r="F462" s="5" t="inlineStr">
        <is>
          <t>009486</t>
        </is>
      </c>
      <c r="G462" s="3" t="inlineStr">
        <is>
          <t>Bag Massa de Sorvete Chocolate 20l</t>
        </is>
      </c>
      <c r="H462" s="14" t="n">
        <v>0.05</v>
      </c>
      <c r="I462" s="5" t="inlineStr">
        <is>
          <t>LT</t>
        </is>
      </c>
      <c r="J462" s="4">
        <f>IFERROR(VLOOKUP(F462,'Base Insumos'!$A:$C,3,FALSE()),"PENDENTE")</f>
        <v/>
      </c>
      <c r="K462" s="4">
        <f>IFERROR(IF(J462="PENDENTE",0,J462*H462),0)</f>
        <v/>
      </c>
      <c r="L462" s="4" t="n">
        <v>9.9</v>
      </c>
      <c r="M462" s="15">
        <f>IFERROR(K462/L462,0)</f>
        <v/>
      </c>
      <c r="N462" s="3" t="n"/>
    </row>
    <row r="463" ht="15" customHeight="1">
      <c r="A463" s="16" t="inlineStr">
        <is>
          <t>Sazonais</t>
        </is>
      </c>
      <c r="B463" s="17" t="inlineStr">
        <is>
          <t>Sazonais</t>
        </is>
      </c>
      <c r="C463" s="18" t="inlineStr">
        <is>
          <t>Casquinha Sorvete Mista</t>
        </is>
      </c>
      <c r="D463" s="6">
        <f>IF(ISERROR(VLOOKUP(E463,'Estrutura Protheus'!A:A,1,FALSE)),"Não","Sim")</f>
        <v/>
      </c>
      <c r="E463" s="9" t="inlineStr">
        <is>
          <t>010096</t>
        </is>
      </c>
      <c r="F463" s="9" t="inlineStr">
        <is>
          <t>009488</t>
        </is>
      </c>
      <c r="G463" s="7" t="inlineStr">
        <is>
          <t>Casquinha para Sorvete Cx 300un</t>
        </is>
      </c>
      <c r="H463" s="19" t="n">
        <v>1</v>
      </c>
      <c r="I463" s="9" t="inlineStr">
        <is>
          <t>UN</t>
        </is>
      </c>
      <c r="J463" s="8">
        <f>IFERROR(VLOOKUP(F463,'Base Insumos'!$A:$C,3,FALSE()),"PENDENTE")</f>
        <v/>
      </c>
      <c r="K463" s="8">
        <f>IFERROR(IF(J463="PENDENTE",0,J463*H463),0)</f>
        <v/>
      </c>
      <c r="L463" s="8" t="n">
        <v>9.9</v>
      </c>
      <c r="M463" s="20">
        <f>IFERROR(K463/L463,0)</f>
        <v/>
      </c>
      <c r="N463" s="7" t="n"/>
    </row>
    <row r="464" ht="15" customHeight="1">
      <c r="A464" s="11" t="inlineStr">
        <is>
          <t>Delivery</t>
        </is>
      </c>
      <c r="B464" s="12" t="inlineStr">
        <is>
          <t>Delivery</t>
        </is>
      </c>
      <c r="C464" s="13" t="inlineStr">
        <is>
          <t>Combo Quintal Feliz</t>
        </is>
      </c>
      <c r="D464" s="2">
        <f>IF(ISERROR(VLOOKUP(E464,'Estrutura Protheus'!A:A,1,FALSE)),"Não","Sim")</f>
        <v/>
      </c>
      <c r="E464" s="5" t="inlineStr">
        <is>
          <t>009844</t>
        </is>
      </c>
      <c r="F464" s="5" t="inlineStr">
        <is>
          <t>000286</t>
        </is>
      </c>
      <c r="G464" s="3" t="inlineStr">
        <is>
          <t>Espeto Bovino</t>
        </is>
      </c>
      <c r="H464" s="14" t="n">
        <v>2</v>
      </c>
      <c r="I464" s="5" t="inlineStr">
        <is>
          <t>UN</t>
        </is>
      </c>
      <c r="J464" s="4">
        <f>IFERROR(VLOOKUP(F464,'Base Insumos'!$A:$C,3,FALSE()),"PENDENTE")</f>
        <v/>
      </c>
      <c r="K464" s="4">
        <f>IFERROR(IF(J464="PENDENTE",0,J464*H464),0)</f>
        <v/>
      </c>
      <c r="L464" s="4" t="n">
        <v>49.99</v>
      </c>
      <c r="M464" s="15">
        <f>IFERROR(K464/L464,0)</f>
        <v/>
      </c>
      <c r="N464" s="3" t="n"/>
    </row>
    <row r="465" ht="15" customHeight="1">
      <c r="A465" s="16" t="inlineStr">
        <is>
          <t>Delivery</t>
        </is>
      </c>
      <c r="B465" s="17" t="inlineStr">
        <is>
          <t>Delivery</t>
        </is>
      </c>
      <c r="C465" s="18" t="inlineStr">
        <is>
          <t>Combo Quintal Feliz</t>
        </is>
      </c>
      <c r="D465" s="6">
        <f>IF(ISERROR(VLOOKUP(E465,'Estrutura Protheus'!A:A,1,FALSE)),"Não","Sim")</f>
        <v/>
      </c>
      <c r="E465" s="9" t="inlineStr">
        <is>
          <t>009844</t>
        </is>
      </c>
      <c r="F465" s="9" t="inlineStr">
        <is>
          <t>000377</t>
        </is>
      </c>
      <c r="G465" s="7" t="inlineStr">
        <is>
          <t>Arroz Tipo 1</t>
        </is>
      </c>
      <c r="H465" s="19" t="n">
        <v>0.15</v>
      </c>
      <c r="I465" s="9" t="inlineStr">
        <is>
          <t>KG</t>
        </is>
      </c>
      <c r="J465" s="8">
        <f>IFERROR(VLOOKUP(F465,'Base Insumos'!$A:$C,3,FALSE()),"PENDENTE")</f>
        <v/>
      </c>
      <c r="K465" s="8">
        <f>IFERROR(IF(J465="PENDENTE",0,J465*H465),0)</f>
        <v/>
      </c>
      <c r="L465" s="8" t="n">
        <v>49.99</v>
      </c>
      <c r="M465" s="20">
        <f>IFERROR(K465/L465,0)</f>
        <v/>
      </c>
      <c r="N465" s="7" t="n"/>
    </row>
    <row r="466" ht="15" customHeight="1">
      <c r="A466" s="11" t="inlineStr">
        <is>
          <t>Delivery</t>
        </is>
      </c>
      <c r="B466" s="12" t="inlineStr">
        <is>
          <t>Delivery</t>
        </is>
      </c>
      <c r="C466" s="13" t="inlineStr">
        <is>
          <t>Combo Quintal Feliz</t>
        </is>
      </c>
      <c r="D466" s="2">
        <f>IF(ISERROR(VLOOKUP(E466,'Estrutura Protheus'!A:A,1,FALSE)),"Não","Sim")</f>
        <v/>
      </c>
      <c r="E466" s="5" t="inlineStr">
        <is>
          <t>009844</t>
        </is>
      </c>
      <c r="F466" s="5" t="inlineStr">
        <is>
          <t>000412</t>
        </is>
      </c>
      <c r="G466" s="3" t="inlineStr">
        <is>
          <t>Oleo de Soja Liza 900ml</t>
        </is>
      </c>
      <c r="H466" s="14" t="n">
        <v>0.059</v>
      </c>
      <c r="I466" s="5" t="inlineStr">
        <is>
          <t>LT</t>
        </is>
      </c>
      <c r="J466" s="4">
        <f>IFERROR(VLOOKUP(F466,'Base Insumos'!$A:$C,3,FALSE()),"PENDENTE")</f>
        <v/>
      </c>
      <c r="K466" s="4">
        <f>IFERROR(IF(J466="PENDENTE",0,J466*H466),0)</f>
        <v/>
      </c>
      <c r="L466" s="4" t="n">
        <v>49.99</v>
      </c>
      <c r="M466" s="15">
        <f>IFERROR(K466/L466,0)</f>
        <v/>
      </c>
      <c r="N466" s="3" t="n"/>
    </row>
    <row r="467" ht="15" customHeight="1">
      <c r="A467" s="16" t="inlineStr">
        <is>
          <t>Delivery</t>
        </is>
      </c>
      <c r="B467" s="17" t="inlineStr">
        <is>
          <t>Delivery</t>
        </is>
      </c>
      <c r="C467" s="18" t="inlineStr">
        <is>
          <t>Combo Quintal Feliz</t>
        </is>
      </c>
      <c r="D467" s="6">
        <f>IF(ISERROR(VLOOKUP(E467,'Estrutura Protheus'!A:A,1,FALSE)),"Não","Sim")</f>
        <v/>
      </c>
      <c r="E467" s="9" t="inlineStr">
        <is>
          <t>009844</t>
        </is>
      </c>
      <c r="F467" s="9" t="inlineStr">
        <is>
          <t>000614</t>
        </is>
      </c>
      <c r="G467" s="7" t="inlineStr">
        <is>
          <t>Sal Refinado</t>
        </is>
      </c>
      <c r="H467" s="19" t="n">
        <v>0.003</v>
      </c>
      <c r="I467" s="9" t="inlineStr">
        <is>
          <t>KG</t>
        </is>
      </c>
      <c r="J467" s="8">
        <f>IFERROR(VLOOKUP(F467,'Base Insumos'!$A:$C,3,FALSE()),"PENDENTE")</f>
        <v/>
      </c>
      <c r="K467" s="8">
        <f>IFERROR(IF(J467="PENDENTE",0,J467*H467),0)</f>
        <v/>
      </c>
      <c r="L467" s="8" t="n">
        <v>49.99</v>
      </c>
      <c r="M467" s="20">
        <f>IFERROR(K467/L467,0)</f>
        <v/>
      </c>
      <c r="N467" s="7" t="n"/>
    </row>
    <row r="468" ht="15" customHeight="1">
      <c r="A468" s="11" t="inlineStr">
        <is>
          <t>Delivery</t>
        </is>
      </c>
      <c r="B468" s="12" t="inlineStr">
        <is>
          <t>Delivery</t>
        </is>
      </c>
      <c r="C468" s="13" t="inlineStr">
        <is>
          <t>Combo Quintal Feliz</t>
        </is>
      </c>
      <c r="D468" s="2">
        <f>IF(ISERROR(VLOOKUP(E468,'Estrutura Protheus'!A:A,1,FALSE)),"Não","Sim")</f>
        <v/>
      </c>
      <c r="E468" s="5" t="inlineStr">
        <is>
          <t>009844</t>
        </is>
      </c>
      <c r="F468" s="5" t="inlineStr">
        <is>
          <t>000475</t>
        </is>
      </c>
      <c r="G468" s="3" t="inlineStr">
        <is>
          <t>Folha de Louro</t>
        </is>
      </c>
      <c r="H468" s="14" t="n">
        <v>0.002</v>
      </c>
      <c r="I468" s="5" t="inlineStr">
        <is>
          <t>KG</t>
        </is>
      </c>
      <c r="J468" s="4">
        <f>IFERROR(VLOOKUP(F468,'Base Insumos'!$A:$C,3,FALSE()),"PENDENTE")</f>
        <v/>
      </c>
      <c r="K468" s="4">
        <f>IFERROR(IF(J468="PENDENTE",0,J468*H468),0)</f>
        <v/>
      </c>
      <c r="L468" s="4" t="n">
        <v>49.99</v>
      </c>
      <c r="M468" s="15">
        <f>IFERROR(K468/L468,0)</f>
        <v/>
      </c>
      <c r="N468" s="3" t="n"/>
    </row>
    <row r="469" ht="15" customHeight="1">
      <c r="A469" s="16" t="inlineStr">
        <is>
          <t>Delivery</t>
        </is>
      </c>
      <c r="B469" s="17" t="inlineStr">
        <is>
          <t>Delivery</t>
        </is>
      </c>
      <c r="C469" s="18" t="inlineStr">
        <is>
          <t>Combo Quintal Feliz</t>
        </is>
      </c>
      <c r="D469" s="6">
        <f>IF(ISERROR(VLOOKUP(E469,'Estrutura Protheus'!A:A,1,FALSE)),"Não","Sim")</f>
        <v/>
      </c>
      <c r="E469" s="9" t="inlineStr">
        <is>
          <t>009844</t>
        </is>
      </c>
      <c r="F469" s="9" t="inlineStr">
        <is>
          <t>002068</t>
        </is>
      </c>
      <c r="G469" s="7" t="inlineStr">
        <is>
          <t>Manteiga S/sal 5kg</t>
        </is>
      </c>
      <c r="H469" s="19" t="n">
        <v>0.005</v>
      </c>
      <c r="I469" s="9" t="inlineStr">
        <is>
          <t>KG</t>
        </is>
      </c>
      <c r="J469" s="8">
        <f>IFERROR(VLOOKUP(F469,'Base Insumos'!$A:$C,3,FALSE()),"PENDENTE")</f>
        <v/>
      </c>
      <c r="K469" s="8">
        <f>IFERROR(IF(J469="PENDENTE",0,J469*H469),0)</f>
        <v/>
      </c>
      <c r="L469" s="8" t="n">
        <v>49.99</v>
      </c>
      <c r="M469" s="20">
        <f>IFERROR(K469/L469,0)</f>
        <v/>
      </c>
      <c r="N469" s="7" t="n"/>
    </row>
    <row r="470" ht="15" customHeight="1">
      <c r="A470" s="11" t="inlineStr">
        <is>
          <t>Delivery</t>
        </is>
      </c>
      <c r="B470" s="12" t="inlineStr">
        <is>
          <t>Delivery</t>
        </is>
      </c>
      <c r="C470" s="13" t="inlineStr">
        <is>
          <t>Combo Quintal Feliz</t>
        </is>
      </c>
      <c r="D470" s="2">
        <f>IF(ISERROR(VLOOKUP(E470,'Estrutura Protheus'!A:A,1,FALSE)),"Não","Sim")</f>
        <v/>
      </c>
      <c r="E470" s="5" t="inlineStr">
        <is>
          <t>009844</t>
        </is>
      </c>
      <c r="F470" s="5" t="inlineStr">
        <is>
          <t>000454</t>
        </is>
      </c>
      <c r="G470" s="3" t="inlineStr">
        <is>
          <t>Batata Mcaim 9 Mm 2,5kg</t>
        </is>
      </c>
      <c r="H470" s="14" t="n">
        <v>0.15</v>
      </c>
      <c r="I470" s="5" t="inlineStr">
        <is>
          <t>KG</t>
        </is>
      </c>
      <c r="J470" s="4">
        <f>IFERROR(VLOOKUP(F470,'Base Insumos'!$A:$C,3,FALSE()),"PENDENTE")</f>
        <v/>
      </c>
      <c r="K470" s="4">
        <f>IFERROR(IF(J470="PENDENTE",0,J470*H470),0)</f>
        <v/>
      </c>
      <c r="L470" s="4" t="n">
        <v>49.99</v>
      </c>
      <c r="M470" s="15">
        <f>IFERROR(K470/L470,0)</f>
        <v/>
      </c>
      <c r="N470" s="3" t="n"/>
    </row>
    <row r="471" ht="15" customHeight="1">
      <c r="A471" s="16" t="inlineStr">
        <is>
          <t>Delivery</t>
        </is>
      </c>
      <c r="B471" s="17" t="inlineStr">
        <is>
          <t>Delivery</t>
        </is>
      </c>
      <c r="C471" s="18" t="inlineStr">
        <is>
          <t>Combo Quintal Feliz</t>
        </is>
      </c>
      <c r="D471" s="6">
        <f>IF(ISERROR(VLOOKUP(E471,'Estrutura Protheus'!A:A,1,FALSE)),"Não","Sim")</f>
        <v/>
      </c>
      <c r="E471" s="9" t="inlineStr">
        <is>
          <t>009844</t>
        </is>
      </c>
      <c r="F471" s="9" t="inlineStr">
        <is>
          <t>001044</t>
        </is>
      </c>
      <c r="G471" s="7" t="inlineStr">
        <is>
          <t>Mini Churros</t>
        </is>
      </c>
      <c r="H471" s="19" t="n">
        <v>0.1</v>
      </c>
      <c r="I471" s="9" t="inlineStr">
        <is>
          <t>UN</t>
        </is>
      </c>
      <c r="J471" s="8">
        <f>IFERROR(VLOOKUP(F471,'Base Insumos'!$A:$C,3,FALSE()),"PENDENTE")</f>
        <v/>
      </c>
      <c r="K471" s="8">
        <f>IFERROR(IF(J471="PENDENTE",0,J471*H471),0)</f>
        <v/>
      </c>
      <c r="L471" s="8" t="n">
        <v>49.99</v>
      </c>
      <c r="M471" s="20">
        <f>IFERROR(K471/L471,0)</f>
        <v/>
      </c>
      <c r="N471" s="7" t="n"/>
    </row>
    <row r="472" ht="15" customHeight="1">
      <c r="A472" s="11" t="inlineStr">
        <is>
          <t>Delivery</t>
        </is>
      </c>
      <c r="B472" s="12" t="inlineStr">
        <is>
          <t>Delivery</t>
        </is>
      </c>
      <c r="C472" s="13" t="inlineStr">
        <is>
          <t>Combo Quintal Feliz</t>
        </is>
      </c>
      <c r="D472" s="2">
        <f>IF(ISERROR(VLOOKUP(E472,'Estrutura Protheus'!A:A,1,FALSE)),"Não","Sim")</f>
        <v/>
      </c>
      <c r="E472" s="5" t="inlineStr">
        <is>
          <t>009844</t>
        </is>
      </c>
      <c r="F472" s="5" t="inlineStr">
        <is>
          <t>000452</t>
        </is>
      </c>
      <c r="G472" s="3" t="inlineStr">
        <is>
          <t>Canela em Po</t>
        </is>
      </c>
      <c r="H472" s="14" t="n">
        <v>0.005</v>
      </c>
      <c r="I472" s="5" t="inlineStr">
        <is>
          <t>KG</t>
        </is>
      </c>
      <c r="J472" s="4">
        <f>IFERROR(VLOOKUP(F472,'Base Insumos'!$A:$C,3,FALSE()),"PENDENTE")</f>
        <v/>
      </c>
      <c r="K472" s="4">
        <f>IFERROR(IF(J472="PENDENTE",0,J472*H472),0)</f>
        <v/>
      </c>
      <c r="L472" s="4" t="n">
        <v>49.99</v>
      </c>
      <c r="M472" s="15">
        <f>IFERROR(K472/L472,0)</f>
        <v/>
      </c>
      <c r="N472" s="3" t="n"/>
    </row>
    <row r="473" ht="15" customHeight="1">
      <c r="A473" s="16" t="inlineStr">
        <is>
          <t>Delivery</t>
        </is>
      </c>
      <c r="B473" s="17" t="inlineStr">
        <is>
          <t>Delivery</t>
        </is>
      </c>
      <c r="C473" s="18" t="inlineStr">
        <is>
          <t>Combo Quintal Feliz</t>
        </is>
      </c>
      <c r="D473" s="6">
        <f>IF(ISERROR(VLOOKUP(E473,'Estrutura Protheus'!A:A,1,FALSE)),"Não","Sim")</f>
        <v/>
      </c>
      <c r="E473" s="9" t="inlineStr">
        <is>
          <t>009844</t>
        </is>
      </c>
      <c r="F473" s="9" t="inlineStr">
        <is>
          <t>000374</t>
        </is>
      </c>
      <c r="G473" s="7" t="inlineStr">
        <is>
          <t>Acucar Refinado Uniao</t>
        </is>
      </c>
      <c r="H473" s="19" t="n">
        <v>0.02</v>
      </c>
      <c r="I473" s="9" t="inlineStr">
        <is>
          <t>KG</t>
        </is>
      </c>
      <c r="J473" s="8">
        <f>IFERROR(VLOOKUP(F473,'Base Insumos'!$A:$C,3,FALSE()),"PENDENTE")</f>
        <v/>
      </c>
      <c r="K473" s="8">
        <f>IFERROR(IF(J473="PENDENTE",0,J473*H473),0)</f>
        <v/>
      </c>
      <c r="L473" s="8" t="n">
        <v>49.99</v>
      </c>
      <c r="M473" s="20">
        <f>IFERROR(K473/L473,0)</f>
        <v/>
      </c>
      <c r="N473" s="7" t="n"/>
    </row>
    <row r="474" ht="15" customHeight="1">
      <c r="A474" s="11" t="inlineStr">
        <is>
          <t>Delivery</t>
        </is>
      </c>
      <c r="B474" s="12" t="inlineStr">
        <is>
          <t>Delivery</t>
        </is>
      </c>
      <c r="C474" s="13" t="inlineStr">
        <is>
          <t>Combo Quintal Feliz</t>
        </is>
      </c>
      <c r="D474" s="2">
        <f>IF(ISERROR(VLOOKUP(E474,'Estrutura Protheus'!A:A,1,FALSE)),"Não","Sim")</f>
        <v/>
      </c>
      <c r="E474" s="5" t="inlineStr">
        <is>
          <t>009844</t>
        </is>
      </c>
      <c r="F474" s="21" t="inlineStr">
        <is>
          <t>009538</t>
        </is>
      </c>
      <c r="G474" s="22" t="inlineStr">
        <is>
          <t>Não Encontrado na Base</t>
        </is>
      </c>
      <c r="H474" s="14" t="n">
        <v>1</v>
      </c>
      <c r="I474" s="5" t="n"/>
      <c r="J474" s="23">
        <f>IFERROR(VLOOKUP(F474,'Base Insumos'!$A:$C,3,FALSE()),"PENDENTE")</f>
        <v/>
      </c>
      <c r="K474" s="4">
        <f>IFERROR(IF(J474="PENDENTE",0,J474*H474),0)</f>
        <v/>
      </c>
      <c r="L474" s="4" t="n">
        <v>49.99</v>
      </c>
      <c r="M474" s="15">
        <f>IFERROR(K474/L474,0)</f>
        <v/>
      </c>
      <c r="N474" s="3" t="n"/>
    </row>
    <row r="475" ht="15" customHeight="1">
      <c r="A475" s="16" t="inlineStr">
        <is>
          <t>Delivery</t>
        </is>
      </c>
      <c r="B475" s="17" t="inlineStr">
        <is>
          <t>Delivery</t>
        </is>
      </c>
      <c r="C475" s="18" t="inlineStr">
        <is>
          <t>Combo Indidual para 1</t>
        </is>
      </c>
      <c r="D475" s="6">
        <f>IF(ISERROR(VLOOKUP(E475,'Estrutura Protheus'!A:A,1,FALSE)),"Não","Sim")</f>
        <v/>
      </c>
      <c r="E475" s="9" t="inlineStr">
        <is>
          <t>002025</t>
        </is>
      </c>
      <c r="F475" s="9" t="inlineStr">
        <is>
          <t>000286</t>
        </is>
      </c>
      <c r="G475" s="7" t="inlineStr">
        <is>
          <t>Espeto Bovino</t>
        </is>
      </c>
      <c r="H475" s="19" t="n">
        <v>2</v>
      </c>
      <c r="I475" s="9" t="inlineStr">
        <is>
          <t>UN</t>
        </is>
      </c>
      <c r="J475" s="8">
        <f>IFERROR(VLOOKUP(F475,'Base Insumos'!$A:$C,3,FALSE()),"PENDENTE")</f>
        <v/>
      </c>
      <c r="K475" s="8">
        <f>IFERROR(IF(J475="PENDENTE",0,J475*H475),0)</f>
        <v/>
      </c>
      <c r="L475" s="8" t="n">
        <v>66.98999999999999</v>
      </c>
      <c r="M475" s="20">
        <f>IFERROR(K475/L475,0)</f>
        <v/>
      </c>
      <c r="N475" s="7" t="n"/>
    </row>
    <row r="476" ht="15" customHeight="1">
      <c r="A476" s="11" t="inlineStr">
        <is>
          <t>Delivery</t>
        </is>
      </c>
      <c r="B476" s="12" t="inlineStr">
        <is>
          <t>Delivery</t>
        </is>
      </c>
      <c r="C476" s="13" t="inlineStr">
        <is>
          <t>Combo Indidual para 1</t>
        </is>
      </c>
      <c r="D476" s="2">
        <f>IF(ISERROR(VLOOKUP(E476,'Estrutura Protheus'!A:A,1,FALSE)),"Não","Sim")</f>
        <v/>
      </c>
      <c r="E476" s="5" t="inlineStr">
        <is>
          <t>002025</t>
        </is>
      </c>
      <c r="F476" s="5" t="inlineStr">
        <is>
          <t>000291</t>
        </is>
      </c>
      <c r="G476" s="3" t="inlineStr">
        <is>
          <t>Espeto Frango</t>
        </is>
      </c>
      <c r="H476" s="14" t="n">
        <v>1</v>
      </c>
      <c r="I476" s="5" t="inlineStr">
        <is>
          <t>UN</t>
        </is>
      </c>
      <c r="J476" s="4">
        <f>IFERROR(VLOOKUP(F476,'Base Insumos'!$A:$C,3,FALSE()),"PENDENTE")</f>
        <v/>
      </c>
      <c r="K476" s="4">
        <f>IFERROR(IF(J476="PENDENTE",0,J476*H476),0)</f>
        <v/>
      </c>
      <c r="L476" s="4" t="n">
        <v>66.98999999999999</v>
      </c>
      <c r="M476" s="15">
        <f>IFERROR(K476/L476,0)</f>
        <v/>
      </c>
      <c r="N476" s="3" t="n"/>
    </row>
    <row r="477" ht="15" customHeight="1">
      <c r="A477" s="16" t="inlineStr">
        <is>
          <t>Delivery</t>
        </is>
      </c>
      <c r="B477" s="17" t="inlineStr">
        <is>
          <t>Delivery</t>
        </is>
      </c>
      <c r="C477" s="18" t="inlineStr">
        <is>
          <t>Combo Indidual para 1</t>
        </is>
      </c>
      <c r="D477" s="6">
        <f>IF(ISERROR(VLOOKUP(E477,'Estrutura Protheus'!A:A,1,FALSE)),"Não","Sim")</f>
        <v/>
      </c>
      <c r="E477" s="9" t="inlineStr">
        <is>
          <t>002025</t>
        </is>
      </c>
      <c r="F477" s="9" t="inlineStr">
        <is>
          <t>000590</t>
        </is>
      </c>
      <c r="G477" s="7" t="inlineStr">
        <is>
          <t>Morango Fruta</t>
        </is>
      </c>
      <c r="H477" s="19" t="n">
        <v>0.08</v>
      </c>
      <c r="I477" s="9" t="inlineStr">
        <is>
          <t>KG</t>
        </is>
      </c>
      <c r="J477" s="8">
        <f>IFERROR(VLOOKUP(F477,'Base Insumos'!$A:$C,3,FALSE()),"PENDENTE")</f>
        <v/>
      </c>
      <c r="K477" s="8">
        <f>IFERROR(IF(J477="PENDENTE",0,J477*H477),0)</f>
        <v/>
      </c>
      <c r="L477" s="8" t="n">
        <v>66.98999999999999</v>
      </c>
      <c r="M477" s="20">
        <f>IFERROR(K477/L477,0)</f>
        <v/>
      </c>
      <c r="N477" s="7" t="n"/>
    </row>
    <row r="478" ht="15" customHeight="1">
      <c r="A478" s="11" t="inlineStr">
        <is>
          <t>Delivery</t>
        </is>
      </c>
      <c r="B478" s="12" t="inlineStr">
        <is>
          <t>Delivery</t>
        </is>
      </c>
      <c r="C478" s="13" t="inlineStr">
        <is>
          <t>Combo Indidual para 1</t>
        </is>
      </c>
      <c r="D478" s="2">
        <f>IF(ISERROR(VLOOKUP(E478,'Estrutura Protheus'!A:A,1,FALSE)),"Não","Sim")</f>
        <v/>
      </c>
      <c r="E478" s="5" t="inlineStr">
        <is>
          <t>002025</t>
        </is>
      </c>
      <c r="F478" s="5" t="inlineStr">
        <is>
          <t>000437</t>
        </is>
      </c>
      <c r="G478" s="3" t="inlineStr">
        <is>
          <t>Chocolate Garoto Barra 2,1kg</t>
        </is>
      </c>
      <c r="H478" s="14" t="n">
        <v>0.03</v>
      </c>
      <c r="I478" s="5" t="inlineStr">
        <is>
          <t>KG</t>
        </is>
      </c>
      <c r="J478" s="4">
        <f>IFERROR(VLOOKUP(F478,'Base Insumos'!$A:$C,3,FALSE()),"PENDENTE")</f>
        <v/>
      </c>
      <c r="K478" s="4">
        <f>IFERROR(IF(J478="PENDENTE",0,J478*H478),0)</f>
        <v/>
      </c>
      <c r="L478" s="4" t="n">
        <v>66.98999999999999</v>
      </c>
      <c r="M478" s="15">
        <f>IFERROR(K478/L478,0)</f>
        <v/>
      </c>
      <c r="N478" s="3" t="n"/>
    </row>
    <row r="479" ht="15" customHeight="1">
      <c r="A479" s="16" t="inlineStr">
        <is>
          <t>Delivery</t>
        </is>
      </c>
      <c r="B479" s="17" t="inlineStr">
        <is>
          <t>Delivery</t>
        </is>
      </c>
      <c r="C479" s="18" t="inlineStr">
        <is>
          <t>Combo Indidual para 1</t>
        </is>
      </c>
      <c r="D479" s="6">
        <f>IF(ISERROR(VLOOKUP(E479,'Estrutura Protheus'!A:A,1,FALSE)),"Não","Sim")</f>
        <v/>
      </c>
      <c r="E479" s="9" t="inlineStr">
        <is>
          <t>002025</t>
        </is>
      </c>
      <c r="F479" s="9" t="inlineStr">
        <is>
          <t>000314</t>
        </is>
      </c>
      <c r="G479" s="7" t="inlineStr">
        <is>
          <t>Guarana Zero Lata 350ml</t>
        </is>
      </c>
      <c r="H479" s="19" t="n">
        <v>1</v>
      </c>
      <c r="I479" s="9" t="inlineStr">
        <is>
          <t>UN</t>
        </is>
      </c>
      <c r="J479" s="8">
        <f>IFERROR(VLOOKUP(F479,'Base Insumos'!$A:$C,3,FALSE()),"PENDENTE")</f>
        <v/>
      </c>
      <c r="K479" s="8">
        <f>IFERROR(IF(J479="PENDENTE",0,J479*H479),0)</f>
        <v/>
      </c>
      <c r="L479" s="8" t="n">
        <v>66.98999999999999</v>
      </c>
      <c r="M479" s="20">
        <f>IFERROR(K479/L479,0)</f>
        <v/>
      </c>
      <c r="N479" s="7" t="n"/>
    </row>
    <row r="480" ht="15" customHeight="1">
      <c r="A480" s="11" t="inlineStr">
        <is>
          <t>Delivery</t>
        </is>
      </c>
      <c r="B480" s="12" t="inlineStr">
        <is>
          <t>Delivery</t>
        </is>
      </c>
      <c r="C480" s="13" t="inlineStr">
        <is>
          <t>Combo Casal para 2</t>
        </is>
      </c>
      <c r="D480" s="2">
        <f>IF(ISERROR(VLOOKUP(E480,'Estrutura Protheus'!A:A,1,FALSE)),"Não","Sim")</f>
        <v/>
      </c>
      <c r="E480" s="5" t="inlineStr">
        <is>
          <t>002022</t>
        </is>
      </c>
      <c r="F480" s="5" t="inlineStr">
        <is>
          <t>000286</t>
        </is>
      </c>
      <c r="G480" s="3" t="inlineStr">
        <is>
          <t>Espeto Bovino</t>
        </is>
      </c>
      <c r="H480" s="14" t="n">
        <v>2</v>
      </c>
      <c r="I480" s="5" t="inlineStr">
        <is>
          <t>UN</t>
        </is>
      </c>
      <c r="J480" s="4">
        <f>IFERROR(VLOOKUP(F480,'Base Insumos'!$A:$C,3,FALSE()),"PENDENTE")</f>
        <v/>
      </c>
      <c r="K480" s="4">
        <f>IFERROR(IF(J480="PENDENTE",0,J480*H480),0)</f>
        <v/>
      </c>
      <c r="L480" s="4" t="n">
        <v>171.7</v>
      </c>
      <c r="M480" s="15">
        <f>IFERROR(K480/L480,0)</f>
        <v/>
      </c>
      <c r="N480" s="3" t="n"/>
    </row>
    <row r="481" ht="15" customHeight="1">
      <c r="A481" s="16" t="inlineStr">
        <is>
          <t>Delivery</t>
        </is>
      </c>
      <c r="B481" s="17" t="inlineStr">
        <is>
          <t>Delivery</t>
        </is>
      </c>
      <c r="C481" s="18" t="inlineStr">
        <is>
          <t>Combo Casal para 2</t>
        </is>
      </c>
      <c r="D481" s="6">
        <f>IF(ISERROR(VLOOKUP(E481,'Estrutura Protheus'!A:A,1,FALSE)),"Não","Sim")</f>
        <v/>
      </c>
      <c r="E481" s="9" t="inlineStr">
        <is>
          <t>002022</t>
        </is>
      </c>
      <c r="F481" s="9" t="inlineStr">
        <is>
          <t>000291</t>
        </is>
      </c>
      <c r="G481" s="7" t="inlineStr">
        <is>
          <t>Espeto Frango</t>
        </is>
      </c>
      <c r="H481" s="19" t="n">
        <v>2</v>
      </c>
      <c r="I481" s="9" t="inlineStr">
        <is>
          <t>UN</t>
        </is>
      </c>
      <c r="J481" s="8">
        <f>IFERROR(VLOOKUP(F481,'Base Insumos'!$A:$C,3,FALSE()),"PENDENTE")</f>
        <v/>
      </c>
      <c r="K481" s="8">
        <f>IFERROR(IF(J481="PENDENTE",0,J481*H481),0)</f>
        <v/>
      </c>
      <c r="L481" s="8" t="n">
        <v>171.7</v>
      </c>
      <c r="M481" s="20">
        <f>IFERROR(K481/L481,0)</f>
        <v/>
      </c>
      <c r="N481" s="7" t="n"/>
    </row>
    <row r="482" ht="15" customHeight="1">
      <c r="A482" s="11" t="inlineStr">
        <is>
          <t>Delivery</t>
        </is>
      </c>
      <c r="B482" s="12" t="inlineStr">
        <is>
          <t>Delivery</t>
        </is>
      </c>
      <c r="C482" s="13" t="inlineStr">
        <is>
          <t>Combo Casal para 2</t>
        </is>
      </c>
      <c r="D482" s="2">
        <f>IF(ISERROR(VLOOKUP(E482,'Estrutura Protheus'!A:A,1,FALSE)),"Não","Sim")</f>
        <v/>
      </c>
      <c r="E482" s="5" t="inlineStr">
        <is>
          <t>002022</t>
        </is>
      </c>
      <c r="F482" s="5" t="inlineStr">
        <is>
          <t>000296</t>
        </is>
      </c>
      <c r="G482" s="3" t="inlineStr">
        <is>
          <t>Espeto File Mignon</t>
        </is>
      </c>
      <c r="H482" s="14" t="n">
        <v>2</v>
      </c>
      <c r="I482" s="5" t="inlineStr">
        <is>
          <t>UN</t>
        </is>
      </c>
      <c r="J482" s="4">
        <f>IFERROR(VLOOKUP(F482,'Base Insumos'!$A:$C,3,FALSE()),"PENDENTE")</f>
        <v/>
      </c>
      <c r="K482" s="4">
        <f>IFERROR(IF(J482="PENDENTE",0,J482*H482),0)</f>
        <v/>
      </c>
      <c r="L482" s="4" t="n">
        <v>171.7</v>
      </c>
      <c r="M482" s="15">
        <f>IFERROR(K482/L482,0)</f>
        <v/>
      </c>
      <c r="N482" s="3" t="n"/>
    </row>
    <row r="483" ht="15" customHeight="1">
      <c r="A483" s="16" t="inlineStr">
        <is>
          <t>Delivery</t>
        </is>
      </c>
      <c r="B483" s="17" t="inlineStr">
        <is>
          <t>Delivery</t>
        </is>
      </c>
      <c r="C483" s="18" t="inlineStr">
        <is>
          <t>Combo Casal para 2</t>
        </is>
      </c>
      <c r="D483" s="6">
        <f>IF(ISERROR(VLOOKUP(E483,'Estrutura Protheus'!A:A,1,FALSE)),"Não","Sim")</f>
        <v/>
      </c>
      <c r="E483" s="9" t="inlineStr">
        <is>
          <t>002022</t>
        </is>
      </c>
      <c r="F483" s="21" t="inlineStr">
        <is>
          <t>000282</t>
        </is>
      </c>
      <c r="G483" s="22" t="inlineStr">
        <is>
          <t>Não Encontrado na Base</t>
        </is>
      </c>
      <c r="H483" s="19" t="n">
        <v>2</v>
      </c>
      <c r="I483" s="9" t="n"/>
      <c r="J483" s="23">
        <f>IFERROR(VLOOKUP(F483,'Base Insumos'!$A:$C,3,FALSE()),"PENDENTE")</f>
        <v/>
      </c>
      <c r="K483" s="8">
        <f>IFERROR(IF(J483="PENDENTE",0,J483*H483),0)</f>
        <v/>
      </c>
      <c r="L483" s="8" t="n">
        <v>171.7</v>
      </c>
      <c r="M483" s="20">
        <f>IFERROR(K483/L483,0)</f>
        <v/>
      </c>
      <c r="N483" s="7" t="n"/>
    </row>
    <row r="484" ht="15" customHeight="1">
      <c r="A484" s="11" t="inlineStr">
        <is>
          <t>Delivery</t>
        </is>
      </c>
      <c r="B484" s="12" t="inlineStr">
        <is>
          <t>Delivery</t>
        </is>
      </c>
      <c r="C484" s="13" t="inlineStr">
        <is>
          <t>Combo Casal para 2</t>
        </is>
      </c>
      <c r="D484" s="2">
        <f>IF(ISERROR(VLOOKUP(E484,'Estrutura Protheus'!A:A,1,FALSE)),"Não","Sim")</f>
        <v/>
      </c>
      <c r="E484" s="5" t="inlineStr">
        <is>
          <t>002022</t>
        </is>
      </c>
      <c r="F484" s="5" t="inlineStr">
        <is>
          <t>000288</t>
        </is>
      </c>
      <c r="G484" s="3" t="inlineStr">
        <is>
          <t>Espeto Calabresa s/ Pimenta</t>
        </is>
      </c>
      <c r="H484" s="14" t="n">
        <v>2</v>
      </c>
      <c r="I484" s="5" t="inlineStr">
        <is>
          <t>UN</t>
        </is>
      </c>
      <c r="J484" s="4">
        <f>IFERROR(VLOOKUP(F484,'Base Insumos'!$A:$C,3,FALSE()),"PENDENTE")</f>
        <v/>
      </c>
      <c r="K484" s="4">
        <f>IFERROR(IF(J484="PENDENTE",0,J484*H484),0)</f>
        <v/>
      </c>
      <c r="L484" s="4" t="n">
        <v>171.7</v>
      </c>
      <c r="M484" s="15">
        <f>IFERROR(K484/L484,0)</f>
        <v/>
      </c>
      <c r="N484" s="3" t="n"/>
    </row>
    <row r="485" ht="15" customHeight="1">
      <c r="A485" s="16" t="inlineStr">
        <is>
          <t>Delivery</t>
        </is>
      </c>
      <c r="B485" s="17" t="inlineStr">
        <is>
          <t>Delivery</t>
        </is>
      </c>
      <c r="C485" s="18" t="inlineStr">
        <is>
          <t>Combo Casal para 2</t>
        </is>
      </c>
      <c r="D485" s="6">
        <f>IF(ISERROR(VLOOKUP(E485,'Estrutura Protheus'!A:A,1,FALSE)),"Não","Sim")</f>
        <v/>
      </c>
      <c r="E485" s="9" t="inlineStr">
        <is>
          <t>002022</t>
        </is>
      </c>
      <c r="F485" s="9" t="inlineStr">
        <is>
          <t>000289</t>
        </is>
      </c>
      <c r="G485" s="7" t="inlineStr">
        <is>
          <t>Espeto Coracao</t>
        </is>
      </c>
      <c r="H485" s="19" t="n">
        <v>2</v>
      </c>
      <c r="I485" s="9" t="inlineStr">
        <is>
          <t>UN</t>
        </is>
      </c>
      <c r="J485" s="8">
        <f>IFERROR(VLOOKUP(F485,'Base Insumos'!$A:$C,3,FALSE()),"PENDENTE")</f>
        <v/>
      </c>
      <c r="K485" s="8">
        <f>IFERROR(IF(J485="PENDENTE",0,J485*H485),0)</f>
        <v/>
      </c>
      <c r="L485" s="8" t="n">
        <v>171.7</v>
      </c>
      <c r="M485" s="20">
        <f>IFERROR(K485/L485,0)</f>
        <v/>
      </c>
      <c r="N485" s="7" t="n"/>
    </row>
    <row r="486" ht="15" customHeight="1">
      <c r="A486" s="11" t="inlineStr">
        <is>
          <t>Delivery</t>
        </is>
      </c>
      <c r="B486" s="12" t="inlineStr">
        <is>
          <t>Delivery</t>
        </is>
      </c>
      <c r="C486" s="13" t="inlineStr">
        <is>
          <t>Combo Casal para 2</t>
        </is>
      </c>
      <c r="D486" s="2">
        <f>IF(ISERROR(VLOOKUP(E486,'Estrutura Protheus'!A:A,1,FALSE)),"Não","Sim")</f>
        <v/>
      </c>
      <c r="E486" s="5" t="inlineStr">
        <is>
          <t>002022</t>
        </is>
      </c>
      <c r="F486" s="5" t="inlineStr">
        <is>
          <t>000377</t>
        </is>
      </c>
      <c r="G486" s="3" t="inlineStr">
        <is>
          <t>Arroz Tipo 1</t>
        </is>
      </c>
      <c r="H486" s="14" t="n">
        <v>0.15</v>
      </c>
      <c r="I486" s="5" t="inlineStr">
        <is>
          <t>KG</t>
        </is>
      </c>
      <c r="J486" s="4">
        <f>IFERROR(VLOOKUP(F486,'Base Insumos'!$A:$C,3,FALSE()),"PENDENTE")</f>
        <v/>
      </c>
      <c r="K486" s="4">
        <f>IFERROR(IF(J486="PENDENTE",0,J486*H486),0)</f>
        <v/>
      </c>
      <c r="L486" s="4" t="n">
        <v>171.7</v>
      </c>
      <c r="M486" s="15">
        <f>IFERROR(K486/L486,0)</f>
        <v/>
      </c>
      <c r="N486" s="3" t="n"/>
    </row>
    <row r="487" ht="15" customHeight="1">
      <c r="A487" s="16" t="inlineStr">
        <is>
          <t>Delivery</t>
        </is>
      </c>
      <c r="B487" s="17" t="inlineStr">
        <is>
          <t>Delivery</t>
        </is>
      </c>
      <c r="C487" s="18" t="inlineStr">
        <is>
          <t>Combo Casal para 2</t>
        </is>
      </c>
      <c r="D487" s="6">
        <f>IF(ISERROR(VLOOKUP(E487,'Estrutura Protheus'!A:A,1,FALSE)),"Não","Sim")</f>
        <v/>
      </c>
      <c r="E487" s="9" t="inlineStr">
        <is>
          <t>002022</t>
        </is>
      </c>
      <c r="F487" s="9" t="inlineStr">
        <is>
          <t>000412</t>
        </is>
      </c>
      <c r="G487" s="7" t="inlineStr">
        <is>
          <t>Oleo de Soja Liza 900ml</t>
        </is>
      </c>
      <c r="H487" s="19" t="n">
        <v>0.059</v>
      </c>
      <c r="I487" s="9" t="inlineStr">
        <is>
          <t>LT</t>
        </is>
      </c>
      <c r="J487" s="8">
        <f>IFERROR(VLOOKUP(F487,'Base Insumos'!$A:$C,3,FALSE()),"PENDENTE")</f>
        <v/>
      </c>
      <c r="K487" s="8">
        <f>IFERROR(IF(J487="PENDENTE",0,J487*H487),0)</f>
        <v/>
      </c>
      <c r="L487" s="8" t="n">
        <v>171.7</v>
      </c>
      <c r="M487" s="20">
        <f>IFERROR(K487/L487,0)</f>
        <v/>
      </c>
      <c r="N487" s="7" t="n"/>
    </row>
    <row r="488" ht="15" customHeight="1">
      <c r="A488" s="11" t="inlineStr">
        <is>
          <t>Delivery</t>
        </is>
      </c>
      <c r="B488" s="12" t="inlineStr">
        <is>
          <t>Delivery</t>
        </is>
      </c>
      <c r="C488" s="13" t="inlineStr">
        <is>
          <t>Combo Casal para 2</t>
        </is>
      </c>
      <c r="D488" s="2">
        <f>IF(ISERROR(VLOOKUP(E488,'Estrutura Protheus'!A:A,1,FALSE)),"Não","Sim")</f>
        <v/>
      </c>
      <c r="E488" s="5" t="inlineStr">
        <is>
          <t>002022</t>
        </is>
      </c>
      <c r="F488" s="5" t="inlineStr">
        <is>
          <t>000614</t>
        </is>
      </c>
      <c r="G488" s="3" t="inlineStr">
        <is>
          <t>Sal Refinado</t>
        </is>
      </c>
      <c r="H488" s="14" t="n">
        <v>0.003</v>
      </c>
      <c r="I488" s="5" t="inlineStr">
        <is>
          <t>KG</t>
        </is>
      </c>
      <c r="J488" s="4">
        <f>IFERROR(VLOOKUP(F488,'Base Insumos'!$A:$C,3,FALSE()),"PENDENTE")</f>
        <v/>
      </c>
      <c r="K488" s="4">
        <f>IFERROR(IF(J488="PENDENTE",0,J488*H488),0)</f>
        <v/>
      </c>
      <c r="L488" s="4" t="n">
        <v>171.7</v>
      </c>
      <c r="M488" s="15">
        <f>IFERROR(K488/L488,0)</f>
        <v/>
      </c>
      <c r="N488" s="3" t="n"/>
    </row>
    <row r="489" ht="15" customHeight="1">
      <c r="A489" s="16" t="inlineStr">
        <is>
          <t>Delivery</t>
        </is>
      </c>
      <c r="B489" s="17" t="inlineStr">
        <is>
          <t>Delivery</t>
        </is>
      </c>
      <c r="C489" s="18" t="inlineStr">
        <is>
          <t>Combo Casal para 2</t>
        </is>
      </c>
      <c r="D489" s="6">
        <f>IF(ISERROR(VLOOKUP(E489,'Estrutura Protheus'!A:A,1,FALSE)),"Não","Sim")</f>
        <v/>
      </c>
      <c r="E489" s="9" t="inlineStr">
        <is>
          <t>002022</t>
        </is>
      </c>
      <c r="F489" s="9" t="inlineStr">
        <is>
          <t>000475</t>
        </is>
      </c>
      <c r="G489" s="7" t="inlineStr">
        <is>
          <t>Folha de Louro</t>
        </is>
      </c>
      <c r="H489" s="19" t="n">
        <v>0.002</v>
      </c>
      <c r="I489" s="9" t="inlineStr">
        <is>
          <t>KG</t>
        </is>
      </c>
      <c r="J489" s="8">
        <f>IFERROR(VLOOKUP(F489,'Base Insumos'!$A:$C,3,FALSE()),"PENDENTE")</f>
        <v/>
      </c>
      <c r="K489" s="8">
        <f>IFERROR(IF(J489="PENDENTE",0,J489*H489),0)</f>
        <v/>
      </c>
      <c r="L489" s="8" t="n">
        <v>171.7</v>
      </c>
      <c r="M489" s="20">
        <f>IFERROR(K489/L489,0)</f>
        <v/>
      </c>
      <c r="N489" s="7" t="n"/>
    </row>
    <row r="490" ht="15" customHeight="1">
      <c r="A490" s="11" t="inlineStr">
        <is>
          <t>Delivery</t>
        </is>
      </c>
      <c r="B490" s="12" t="inlineStr">
        <is>
          <t>Delivery</t>
        </is>
      </c>
      <c r="C490" s="13" t="inlineStr">
        <is>
          <t>Combo Casal para 2</t>
        </is>
      </c>
      <c r="D490" s="2">
        <f>IF(ISERROR(VLOOKUP(E490,'Estrutura Protheus'!A:A,1,FALSE)),"Não","Sim")</f>
        <v/>
      </c>
      <c r="E490" s="5" t="inlineStr">
        <is>
          <t>002022</t>
        </is>
      </c>
      <c r="F490" s="5" t="inlineStr">
        <is>
          <t>002068</t>
        </is>
      </c>
      <c r="G490" s="3" t="inlineStr">
        <is>
          <t>Manteiga S/sal 5kg</t>
        </is>
      </c>
      <c r="H490" s="14" t="n">
        <v>0.005</v>
      </c>
      <c r="I490" s="5" t="inlineStr">
        <is>
          <t>KG</t>
        </is>
      </c>
      <c r="J490" s="4">
        <f>IFERROR(VLOOKUP(F490,'Base Insumos'!$A:$C,3,FALSE()),"PENDENTE")</f>
        <v/>
      </c>
      <c r="K490" s="4">
        <f>IFERROR(IF(J490="PENDENTE",0,J490*H490),0)</f>
        <v/>
      </c>
      <c r="L490" s="4" t="n">
        <v>171.7</v>
      </c>
      <c r="M490" s="15">
        <f>IFERROR(K490/L490,0)</f>
        <v/>
      </c>
      <c r="N490" s="3" t="n"/>
    </row>
    <row r="491" ht="15" customHeight="1">
      <c r="A491" s="16" t="inlineStr">
        <is>
          <t>Delivery</t>
        </is>
      </c>
      <c r="B491" s="17" t="inlineStr">
        <is>
          <t>Delivery</t>
        </is>
      </c>
      <c r="C491" s="18" t="inlineStr">
        <is>
          <t>Combo Casal para 2</t>
        </is>
      </c>
      <c r="D491" s="6">
        <f>IF(ISERROR(VLOOKUP(E491,'Estrutura Protheus'!A:A,1,FALSE)),"Não","Sim")</f>
        <v/>
      </c>
      <c r="E491" s="9" t="inlineStr">
        <is>
          <t>002022</t>
        </is>
      </c>
      <c r="F491" s="9" t="inlineStr">
        <is>
          <t>002067</t>
        </is>
      </c>
      <c r="G491" s="7" t="inlineStr">
        <is>
          <t>Farinha Panko Empanar</t>
        </is>
      </c>
      <c r="H491" s="19" t="n">
        <v>0.02</v>
      </c>
      <c r="I491" s="9" t="inlineStr">
        <is>
          <t>KG</t>
        </is>
      </c>
      <c r="J491" s="8">
        <f>IFERROR(VLOOKUP(F491,'Base Insumos'!$A:$C,3,FALSE()),"PENDENTE")</f>
        <v/>
      </c>
      <c r="K491" s="8">
        <f>IFERROR(IF(J491="PENDENTE",0,J491*H491),0)</f>
        <v/>
      </c>
      <c r="L491" s="8" t="n">
        <v>171.7</v>
      </c>
      <c r="M491" s="20">
        <f>IFERROR(K491/L491,0)</f>
        <v/>
      </c>
      <c r="N491" s="7" t="n"/>
    </row>
    <row r="492" ht="15" customHeight="1">
      <c r="A492" s="11" t="inlineStr">
        <is>
          <t>Delivery</t>
        </is>
      </c>
      <c r="B492" s="12" t="inlineStr">
        <is>
          <t>Delivery</t>
        </is>
      </c>
      <c r="C492" s="13" t="inlineStr">
        <is>
          <t>Combo Casal para 2</t>
        </is>
      </c>
      <c r="D492" s="2">
        <f>IF(ISERROR(VLOOKUP(E492,'Estrutura Protheus'!A:A,1,FALSE)),"Não","Sim")</f>
        <v/>
      </c>
      <c r="E492" s="5" t="inlineStr">
        <is>
          <t>002022</t>
        </is>
      </c>
      <c r="F492" s="5" t="inlineStr">
        <is>
          <t>000426</t>
        </is>
      </c>
      <c r="G492" s="3" t="inlineStr">
        <is>
          <t>Bacon em Cubos</t>
        </is>
      </c>
      <c r="H492" s="14" t="n">
        <v>0.004</v>
      </c>
      <c r="I492" s="5" t="inlineStr">
        <is>
          <t>KG</t>
        </is>
      </c>
      <c r="J492" s="4">
        <f>IFERROR(VLOOKUP(F492,'Base Insumos'!$A:$C,3,FALSE()),"PENDENTE")</f>
        <v/>
      </c>
      <c r="K492" s="4">
        <f>IFERROR(IF(J492="PENDENTE",0,J492*H492),0)</f>
        <v/>
      </c>
      <c r="L492" s="4" t="n">
        <v>171.7</v>
      </c>
      <c r="M492" s="15">
        <f>IFERROR(K492/L492,0)</f>
        <v/>
      </c>
      <c r="N492" s="3" t="n"/>
    </row>
    <row r="493" ht="15" customHeight="1">
      <c r="A493" s="16" t="inlineStr">
        <is>
          <t>Delivery</t>
        </is>
      </c>
      <c r="B493" s="17" t="inlineStr">
        <is>
          <t>Delivery</t>
        </is>
      </c>
      <c r="C493" s="18" t="inlineStr">
        <is>
          <t>Combo Casal para 2</t>
        </is>
      </c>
      <c r="D493" s="6">
        <f>IF(ISERROR(VLOOKUP(E493,'Estrutura Protheus'!A:A,1,FALSE)),"Não","Sim")</f>
        <v/>
      </c>
      <c r="E493" s="9" t="inlineStr">
        <is>
          <t>002022</t>
        </is>
      </c>
      <c r="F493" s="9" t="inlineStr">
        <is>
          <t>002070</t>
        </is>
      </c>
      <c r="G493" s="7" t="inlineStr">
        <is>
          <t>Alho Poro</t>
        </is>
      </c>
      <c r="H493" s="19" t="n">
        <v>0.004</v>
      </c>
      <c r="I493" s="9" t="inlineStr">
        <is>
          <t>KG</t>
        </is>
      </c>
      <c r="J493" s="8">
        <f>IFERROR(VLOOKUP(F493,'Base Insumos'!$A:$C,3,FALSE()),"PENDENTE")</f>
        <v/>
      </c>
      <c r="K493" s="8">
        <f>IFERROR(IF(J493="PENDENTE",0,J493*H493),0)</f>
        <v/>
      </c>
      <c r="L493" s="8" t="n">
        <v>171.7</v>
      </c>
      <c r="M493" s="20">
        <f>IFERROR(K493/L493,0)</f>
        <v/>
      </c>
      <c r="N493" s="7" t="n"/>
    </row>
    <row r="494" ht="15" customHeight="1">
      <c r="A494" s="11" t="inlineStr">
        <is>
          <t>Delivery</t>
        </is>
      </c>
      <c r="B494" s="12" t="inlineStr">
        <is>
          <t>Delivery</t>
        </is>
      </c>
      <c r="C494" s="13" t="inlineStr">
        <is>
          <t>Combo Casal para 2</t>
        </is>
      </c>
      <c r="D494" s="2">
        <f>IF(ISERROR(VLOOKUP(E494,'Estrutura Protheus'!A:A,1,FALSE)),"Não","Sim")</f>
        <v/>
      </c>
      <c r="E494" s="5" t="inlineStr">
        <is>
          <t>002022</t>
        </is>
      </c>
      <c r="F494" s="5" t="inlineStr">
        <is>
          <t>000667</t>
        </is>
      </c>
      <c r="G494" s="3" t="inlineStr">
        <is>
          <t>Tomilho</t>
        </is>
      </c>
      <c r="H494" s="14" t="n">
        <v>0.0005999999999999999</v>
      </c>
      <c r="I494" s="5" t="inlineStr">
        <is>
          <t>KG</t>
        </is>
      </c>
      <c r="J494" s="4">
        <f>IFERROR(VLOOKUP(F494,'Base Insumos'!$A:$C,3,FALSE()),"PENDENTE")</f>
        <v/>
      </c>
      <c r="K494" s="4">
        <f>IFERROR(IF(J494="PENDENTE",0,J494*H494),0)</f>
        <v/>
      </c>
      <c r="L494" s="4" t="n">
        <v>171.7</v>
      </c>
      <c r="M494" s="15">
        <f>IFERROR(K494/L494,0)</f>
        <v/>
      </c>
      <c r="N494" s="3" t="n"/>
    </row>
    <row r="495" ht="15" customHeight="1">
      <c r="A495" s="16" t="inlineStr">
        <is>
          <t>Delivery</t>
        </is>
      </c>
      <c r="B495" s="17" t="inlineStr">
        <is>
          <t>Delivery</t>
        </is>
      </c>
      <c r="C495" s="18" t="inlineStr">
        <is>
          <t>Combo Casal para 2</t>
        </is>
      </c>
      <c r="D495" s="6">
        <f>IF(ISERROR(VLOOKUP(E495,'Estrutura Protheus'!A:A,1,FALSE)),"Não","Sim")</f>
        <v/>
      </c>
      <c r="E495" s="9" t="inlineStr">
        <is>
          <t>002022</t>
        </is>
      </c>
      <c r="F495" s="9" t="inlineStr">
        <is>
          <t>000668</t>
        </is>
      </c>
      <c r="G495" s="7" t="inlineStr">
        <is>
          <t>Alecrim</t>
        </is>
      </c>
      <c r="H495" s="19" t="n">
        <v>0.001</v>
      </c>
      <c r="I495" s="9" t="inlineStr">
        <is>
          <t>KG</t>
        </is>
      </c>
      <c r="J495" s="8">
        <f>IFERROR(VLOOKUP(F495,'Base Insumos'!$A:$C,3,FALSE()),"PENDENTE")</f>
        <v/>
      </c>
      <c r="K495" s="8">
        <f>IFERROR(IF(J495="PENDENTE",0,J495*H495),0)</f>
        <v/>
      </c>
      <c r="L495" s="8" t="n">
        <v>171.7</v>
      </c>
      <c r="M495" s="20">
        <f>IFERROR(K495/L495,0)</f>
        <v/>
      </c>
      <c r="N495" s="7" t="n"/>
    </row>
    <row r="496" ht="15" customHeight="1">
      <c r="A496" s="11" t="inlineStr">
        <is>
          <t>Delivery</t>
        </is>
      </c>
      <c r="B496" s="12" t="inlineStr">
        <is>
          <t>Delivery</t>
        </is>
      </c>
      <c r="C496" s="13" t="inlineStr">
        <is>
          <t>Combo Casal para 2</t>
        </is>
      </c>
      <c r="D496" s="2">
        <f>IF(ISERROR(VLOOKUP(E496,'Estrutura Protheus'!A:A,1,FALSE)),"Não","Sim")</f>
        <v/>
      </c>
      <c r="E496" s="5" t="inlineStr">
        <is>
          <t>002022</t>
        </is>
      </c>
      <c r="F496" s="5" t="inlineStr">
        <is>
          <t>002068</t>
        </is>
      </c>
      <c r="G496" s="3" t="inlineStr">
        <is>
          <t>Manteiga S/sal 5kg</t>
        </is>
      </c>
      <c r="H496" s="14" t="n">
        <v>0.004</v>
      </c>
      <c r="I496" s="5" t="inlineStr">
        <is>
          <t>KG</t>
        </is>
      </c>
      <c r="J496" s="4">
        <f>IFERROR(VLOOKUP(F496,'Base Insumos'!$A:$C,3,FALSE()),"PENDENTE")</f>
        <v/>
      </c>
      <c r="K496" s="4">
        <f>IFERROR(IF(J496="PENDENTE",0,J496*H496),0)</f>
        <v/>
      </c>
      <c r="L496" s="4" t="n">
        <v>171.7</v>
      </c>
      <c r="M496" s="15">
        <f>IFERROR(K496/L496,0)</f>
        <v/>
      </c>
      <c r="N496" s="3" t="n"/>
    </row>
    <row r="497" ht="15" customHeight="1">
      <c r="A497" s="16" t="inlineStr">
        <is>
          <t>Delivery</t>
        </is>
      </c>
      <c r="B497" s="17" t="inlineStr">
        <is>
          <t>Delivery</t>
        </is>
      </c>
      <c r="C497" s="18" t="inlineStr">
        <is>
          <t>Combo Casal para 2</t>
        </is>
      </c>
      <c r="D497" s="6">
        <f>IF(ISERROR(VLOOKUP(E497,'Estrutura Protheus'!A:A,1,FALSE)),"Não","Sim")</f>
        <v/>
      </c>
      <c r="E497" s="9" t="inlineStr">
        <is>
          <t>002022</t>
        </is>
      </c>
      <c r="F497" s="9" t="inlineStr">
        <is>
          <t>000390</t>
        </is>
      </c>
      <c r="G497" s="7" t="inlineStr">
        <is>
          <t>Farinha de Trigo Sol</t>
        </is>
      </c>
      <c r="H497" s="19" t="n">
        <v>0.002</v>
      </c>
      <c r="I497" s="9" t="inlineStr">
        <is>
          <t>KG</t>
        </is>
      </c>
      <c r="J497" s="8">
        <f>IFERROR(VLOOKUP(F497,'Base Insumos'!$A:$C,3,FALSE()),"PENDENTE")</f>
        <v/>
      </c>
      <c r="K497" s="8">
        <f>IFERROR(IF(J497="PENDENTE",0,J497*H497),0)</f>
        <v/>
      </c>
      <c r="L497" s="8" t="n">
        <v>171.7</v>
      </c>
      <c r="M497" s="20">
        <f>IFERROR(K497/L497,0)</f>
        <v/>
      </c>
      <c r="N497" s="7" t="n"/>
    </row>
    <row r="498" ht="15" customHeight="1">
      <c r="A498" s="11" t="inlineStr">
        <is>
          <t>Delivery</t>
        </is>
      </c>
      <c r="B498" s="12" t="inlineStr">
        <is>
          <t>Delivery</t>
        </is>
      </c>
      <c r="C498" s="13" t="inlineStr">
        <is>
          <t>Combo Casal para 2</t>
        </is>
      </c>
      <c r="D498" s="2">
        <f>IF(ISERROR(VLOOKUP(E498,'Estrutura Protheus'!A:A,1,FALSE)),"Não","Sim")</f>
        <v/>
      </c>
      <c r="E498" s="5" t="inlineStr">
        <is>
          <t>002022</t>
        </is>
      </c>
      <c r="F498" s="5" t="inlineStr">
        <is>
          <t>000331</t>
        </is>
      </c>
      <c r="G498" s="3" t="inlineStr">
        <is>
          <t>Barril Chopp Brahma Claro 50lt</t>
        </is>
      </c>
      <c r="H498" s="14" t="n">
        <v>0.003</v>
      </c>
      <c r="I498" s="5" t="inlineStr">
        <is>
          <t>LT</t>
        </is>
      </c>
      <c r="J498" s="4">
        <f>IFERROR(VLOOKUP(F498,'Base Insumos'!$A:$C,3,FALSE()),"PENDENTE")</f>
        <v/>
      </c>
      <c r="K498" s="4">
        <f>IFERROR(IF(J498="PENDENTE",0,J498*H498),0)</f>
        <v/>
      </c>
      <c r="L498" s="4" t="n">
        <v>171.7</v>
      </c>
      <c r="M498" s="15">
        <f>IFERROR(K498/L498,0)</f>
        <v/>
      </c>
      <c r="N498" s="3" t="n"/>
    </row>
    <row r="499" ht="15" customHeight="1">
      <c r="A499" s="16" t="inlineStr">
        <is>
          <t>Delivery</t>
        </is>
      </c>
      <c r="B499" s="17" t="inlineStr">
        <is>
          <t>Delivery</t>
        </is>
      </c>
      <c r="C499" s="18" t="inlineStr">
        <is>
          <t>Combo Casal para 2</t>
        </is>
      </c>
      <c r="D499" s="6">
        <f>IF(ISERROR(VLOOKUP(E499,'Estrutura Protheus'!A:A,1,FALSE)),"Não","Sim")</f>
        <v/>
      </c>
      <c r="E499" s="9" t="inlineStr">
        <is>
          <t>002022</t>
        </is>
      </c>
      <c r="F499" s="9" t="inlineStr">
        <is>
          <t>000614</t>
        </is>
      </c>
      <c r="G499" s="7" t="inlineStr">
        <is>
          <t>Sal Refinado</t>
        </is>
      </c>
      <c r="H499" s="19" t="n">
        <v>0.0002</v>
      </c>
      <c r="I499" s="9" t="inlineStr">
        <is>
          <t>KG</t>
        </is>
      </c>
      <c r="J499" s="8">
        <f>IFERROR(VLOOKUP(F499,'Base Insumos'!$A:$C,3,FALSE()),"PENDENTE")</f>
        <v/>
      </c>
      <c r="K499" s="8">
        <f>IFERROR(IF(J499="PENDENTE",0,J499*H499),0)</f>
        <v/>
      </c>
      <c r="L499" s="8" t="n">
        <v>171.7</v>
      </c>
      <c r="M499" s="20">
        <f>IFERROR(K499/L499,0)</f>
        <v/>
      </c>
      <c r="N499" s="7" t="n"/>
    </row>
    <row r="500" ht="15" customHeight="1">
      <c r="A500" s="11" t="inlineStr">
        <is>
          <t>Delivery</t>
        </is>
      </c>
      <c r="B500" s="12" t="inlineStr">
        <is>
          <t>Delivery</t>
        </is>
      </c>
      <c r="C500" s="13" t="inlineStr">
        <is>
          <t>Combo Casal para 2</t>
        </is>
      </c>
      <c r="D500" s="2">
        <f>IF(ISERROR(VLOOKUP(E500,'Estrutura Protheus'!A:A,1,FALSE)),"Não","Sim")</f>
        <v/>
      </c>
      <c r="E500" s="5" t="inlineStr">
        <is>
          <t>002022</t>
        </is>
      </c>
      <c r="F500" s="5" t="inlineStr">
        <is>
          <t>000414</t>
        </is>
      </c>
      <c r="G500" s="3" t="inlineStr">
        <is>
          <t>Pimenta do Reino Moida</t>
        </is>
      </c>
      <c r="H500" s="14" t="n">
        <v>6e-05</v>
      </c>
      <c r="I500" s="5" t="inlineStr">
        <is>
          <t>KG</t>
        </is>
      </c>
      <c r="J500" s="4">
        <f>IFERROR(VLOOKUP(F500,'Base Insumos'!$A:$C,3,FALSE()),"PENDENTE")</f>
        <v/>
      </c>
      <c r="K500" s="4">
        <f>IFERROR(IF(J500="PENDENTE",0,J500*H500),0)</f>
        <v/>
      </c>
      <c r="L500" s="4" t="n">
        <v>171.7</v>
      </c>
      <c r="M500" s="15">
        <f>IFERROR(K500/L500,0)</f>
        <v/>
      </c>
      <c r="N500" s="3" t="n"/>
    </row>
    <row r="501" ht="15" customHeight="1">
      <c r="A501" s="16" t="inlineStr">
        <is>
          <t>Delivery</t>
        </is>
      </c>
      <c r="B501" s="17" t="inlineStr">
        <is>
          <t>Delivery</t>
        </is>
      </c>
      <c r="C501" s="18" t="inlineStr">
        <is>
          <t>Combo Casal para 2</t>
        </is>
      </c>
      <c r="D501" s="6">
        <f>IF(ISERROR(VLOOKUP(E501,'Estrutura Protheus'!A:A,1,FALSE)),"Não","Sim")</f>
        <v/>
      </c>
      <c r="E501" s="9" t="inlineStr">
        <is>
          <t>002022</t>
        </is>
      </c>
      <c r="F501" s="9" t="inlineStr">
        <is>
          <t>000486</t>
        </is>
      </c>
      <c r="G501" s="7" t="inlineStr">
        <is>
          <t>Tomate Salada</t>
        </is>
      </c>
      <c r="H501" s="19" t="n">
        <v>0.026</v>
      </c>
      <c r="I501" s="9" t="inlineStr">
        <is>
          <t>KG</t>
        </is>
      </c>
      <c r="J501" s="8">
        <f>IFERROR(VLOOKUP(F501,'Base Insumos'!$A:$C,3,FALSE()),"PENDENTE")</f>
        <v/>
      </c>
      <c r="K501" s="8">
        <f>IFERROR(IF(J501="PENDENTE",0,J501*H501),0)</f>
        <v/>
      </c>
      <c r="L501" s="8" t="n">
        <v>171.7</v>
      </c>
      <c r="M501" s="20">
        <f>IFERROR(K501/L501,0)</f>
        <v/>
      </c>
      <c r="N501" s="7" t="n"/>
    </row>
    <row r="502" ht="15" customHeight="1">
      <c r="A502" s="11" t="inlineStr">
        <is>
          <t>Delivery</t>
        </is>
      </c>
      <c r="B502" s="12" t="inlineStr">
        <is>
          <t>Delivery</t>
        </is>
      </c>
      <c r="C502" s="13" t="inlineStr">
        <is>
          <t>Combo Casal para 2</t>
        </is>
      </c>
      <c r="D502" s="2">
        <f>IF(ISERROR(VLOOKUP(E502,'Estrutura Protheus'!A:A,1,FALSE)),"Não","Sim")</f>
        <v/>
      </c>
      <c r="E502" s="5" t="inlineStr">
        <is>
          <t>002022</t>
        </is>
      </c>
      <c r="F502" s="5" t="inlineStr">
        <is>
          <t>000468</t>
        </is>
      </c>
      <c r="G502" s="3" t="inlineStr">
        <is>
          <t>Cebola Media</t>
        </is>
      </c>
      <c r="H502" s="14" t="n">
        <v>0.013</v>
      </c>
      <c r="I502" s="5" t="inlineStr">
        <is>
          <t>KG</t>
        </is>
      </c>
      <c r="J502" s="4">
        <f>IFERROR(VLOOKUP(F502,'Base Insumos'!$A:$C,3,FALSE()),"PENDENTE")</f>
        <v/>
      </c>
      <c r="K502" s="4">
        <f>IFERROR(IF(J502="PENDENTE",0,J502*H502),0)</f>
        <v/>
      </c>
      <c r="L502" s="4" t="n">
        <v>171.7</v>
      </c>
      <c r="M502" s="15">
        <f>IFERROR(K502/L502,0)</f>
        <v/>
      </c>
      <c r="N502" s="3" t="n"/>
    </row>
    <row r="503" ht="15" customHeight="1">
      <c r="A503" s="16" t="inlineStr">
        <is>
          <t>Delivery</t>
        </is>
      </c>
      <c r="B503" s="17" t="inlineStr">
        <is>
          <t>Delivery</t>
        </is>
      </c>
      <c r="C503" s="18" t="inlineStr">
        <is>
          <t>Combo Casal para 2</t>
        </is>
      </c>
      <c r="D503" s="6">
        <f>IF(ISERROR(VLOOKUP(E503,'Estrutura Protheus'!A:A,1,FALSE)),"Não","Sim")</f>
        <v/>
      </c>
      <c r="E503" s="9" t="inlineStr">
        <is>
          <t>002022</t>
        </is>
      </c>
      <c r="F503" s="9" t="inlineStr">
        <is>
          <t>000484</t>
        </is>
      </c>
      <c r="G503" s="7" t="inlineStr">
        <is>
          <t>Salsa Lisa Industrial</t>
        </is>
      </c>
      <c r="H503" s="19" t="n">
        <v>0.008999999999999999</v>
      </c>
      <c r="I503" s="9" t="inlineStr">
        <is>
          <t>KG</t>
        </is>
      </c>
      <c r="J503" s="8">
        <f>IFERROR(VLOOKUP(F503,'Base Insumos'!$A:$C,3,FALSE()),"PENDENTE")</f>
        <v/>
      </c>
      <c r="K503" s="8">
        <f>IFERROR(IF(J503="PENDENTE",0,J503*H503),0)</f>
        <v/>
      </c>
      <c r="L503" s="8" t="n">
        <v>171.7</v>
      </c>
      <c r="M503" s="20">
        <f>IFERROR(K503/L503,0)</f>
        <v/>
      </c>
      <c r="N503" s="7" t="n"/>
    </row>
    <row r="504" ht="15" customHeight="1">
      <c r="A504" s="11" t="inlineStr">
        <is>
          <t>Delivery</t>
        </is>
      </c>
      <c r="B504" s="12" t="inlineStr">
        <is>
          <t>Delivery</t>
        </is>
      </c>
      <c r="C504" s="13" t="inlineStr">
        <is>
          <t>Combo Casal para 2</t>
        </is>
      </c>
      <c r="D504" s="2">
        <f>IF(ISERROR(VLOOKUP(E504,'Estrutura Protheus'!A:A,1,FALSE)),"Não","Sim")</f>
        <v/>
      </c>
      <c r="E504" s="5" t="inlineStr">
        <is>
          <t>002022</t>
        </is>
      </c>
      <c r="F504" s="5" t="inlineStr">
        <is>
          <t>000424</t>
        </is>
      </c>
      <c r="G504" s="3" t="inlineStr">
        <is>
          <t>Vinagre Agrin Branco Neval Garrafa 750ml</t>
        </is>
      </c>
      <c r="H504" s="14" t="n">
        <v>0.007</v>
      </c>
      <c r="I504" s="5" t="inlineStr">
        <is>
          <t>LT</t>
        </is>
      </c>
      <c r="J504" s="4">
        <f>IFERROR(VLOOKUP(F504,'Base Insumos'!$A:$C,3,FALSE()),"PENDENTE")</f>
        <v/>
      </c>
      <c r="K504" s="4">
        <f>IFERROR(IF(J504="PENDENTE",0,J504*H504),0)</f>
        <v/>
      </c>
      <c r="L504" s="4" t="n">
        <v>171.7</v>
      </c>
      <c r="M504" s="15">
        <f>IFERROR(K504/L504,0)</f>
        <v/>
      </c>
      <c r="N504" s="3" t="n"/>
    </row>
    <row r="505" ht="15" customHeight="1">
      <c r="A505" s="16" t="inlineStr">
        <is>
          <t>Delivery</t>
        </is>
      </c>
      <c r="B505" s="17" t="inlineStr">
        <is>
          <t>Delivery</t>
        </is>
      </c>
      <c r="C505" s="18" t="inlineStr">
        <is>
          <t>Combo Casal para 2</t>
        </is>
      </c>
      <c r="D505" s="6">
        <f>IF(ISERROR(VLOOKUP(E505,'Estrutura Protheus'!A:A,1,FALSE)),"Não","Sim")</f>
        <v/>
      </c>
      <c r="E505" s="9" t="inlineStr">
        <is>
          <t>002022</t>
        </is>
      </c>
      <c r="F505" s="9" t="inlineStr">
        <is>
          <t>001043</t>
        </is>
      </c>
      <c r="G505" s="7" t="inlineStr">
        <is>
          <t>Azeite 500 Ml</t>
        </is>
      </c>
      <c r="H505" s="19" t="n">
        <v>0.013</v>
      </c>
      <c r="I505" s="9" t="inlineStr">
        <is>
          <t>LT</t>
        </is>
      </c>
      <c r="J505" s="8">
        <f>IFERROR(VLOOKUP(F505,'Base Insumos'!$A:$C,3,FALSE()),"PENDENTE")</f>
        <v/>
      </c>
      <c r="K505" s="8">
        <f>IFERROR(IF(J505="PENDENTE",0,J505*H505),0)</f>
        <v/>
      </c>
      <c r="L505" s="8" t="n">
        <v>171.7</v>
      </c>
      <c r="M505" s="20">
        <f>IFERROR(K505/L505,0)</f>
        <v/>
      </c>
      <c r="N505" s="7" t="n"/>
    </row>
    <row r="506" ht="15" customHeight="1">
      <c r="A506" s="11" t="inlineStr">
        <is>
          <t>Delivery</t>
        </is>
      </c>
      <c r="B506" s="12" t="inlineStr">
        <is>
          <t>Delivery</t>
        </is>
      </c>
      <c r="C506" s="13" t="inlineStr">
        <is>
          <t>Combo Casal para 2</t>
        </is>
      </c>
      <c r="D506" s="2">
        <f>IF(ISERROR(VLOOKUP(E506,'Estrutura Protheus'!A:A,1,FALSE)),"Não","Sim")</f>
        <v/>
      </c>
      <c r="E506" s="5" t="inlineStr">
        <is>
          <t>002022</t>
        </is>
      </c>
      <c r="F506" s="5" t="inlineStr">
        <is>
          <t>000614</t>
        </is>
      </c>
      <c r="G506" s="3" t="inlineStr">
        <is>
          <t>Sal Refinado</t>
        </is>
      </c>
      <c r="H506" s="14" t="n">
        <v>0.0005</v>
      </c>
      <c r="I506" s="5" t="inlineStr">
        <is>
          <t>KG</t>
        </is>
      </c>
      <c r="J506" s="4">
        <f>IFERROR(VLOOKUP(F506,'Base Insumos'!$A:$C,3,FALSE()),"PENDENTE")</f>
        <v/>
      </c>
      <c r="K506" s="4">
        <f>IFERROR(IF(J506="PENDENTE",0,J506*H506),0)</f>
        <v/>
      </c>
      <c r="L506" s="4" t="n">
        <v>171.7</v>
      </c>
      <c r="M506" s="15">
        <f>IFERROR(K506/L506,0)</f>
        <v/>
      </c>
      <c r="N506" s="3" t="n"/>
    </row>
    <row r="507" ht="15" customHeight="1">
      <c r="A507" s="16" t="inlineStr">
        <is>
          <t>Delivery</t>
        </is>
      </c>
      <c r="B507" s="17" t="inlineStr">
        <is>
          <t>Delivery</t>
        </is>
      </c>
      <c r="C507" s="18" t="inlineStr">
        <is>
          <t>Combo Casal para 2</t>
        </is>
      </c>
      <c r="D507" s="6">
        <f>IF(ISERROR(VLOOKUP(E507,'Estrutura Protheus'!A:A,1,FALSE)),"Não","Sim")</f>
        <v/>
      </c>
      <c r="E507" s="9" t="inlineStr">
        <is>
          <t>002022</t>
        </is>
      </c>
      <c r="F507" s="9" t="inlineStr">
        <is>
          <t>000590</t>
        </is>
      </c>
      <c r="G507" s="7" t="inlineStr">
        <is>
          <t>Morango Fruta</t>
        </is>
      </c>
      <c r="H507" s="19" t="n">
        <v>0.08</v>
      </c>
      <c r="I507" s="9" t="inlineStr">
        <is>
          <t>KG</t>
        </is>
      </c>
      <c r="J507" s="8">
        <f>IFERROR(VLOOKUP(F507,'Base Insumos'!$A:$C,3,FALSE()),"PENDENTE")</f>
        <v/>
      </c>
      <c r="K507" s="8">
        <f>IFERROR(IF(J507="PENDENTE",0,J507*H507),0)</f>
        <v/>
      </c>
      <c r="L507" s="8" t="n">
        <v>171.7</v>
      </c>
      <c r="M507" s="20">
        <f>IFERROR(K507/L507,0)</f>
        <v/>
      </c>
      <c r="N507" s="7" t="n"/>
    </row>
    <row r="508" ht="15" customHeight="1">
      <c r="A508" s="11" t="inlineStr">
        <is>
          <t>Delivery</t>
        </is>
      </c>
      <c r="B508" s="12" t="inlineStr">
        <is>
          <t>Delivery</t>
        </is>
      </c>
      <c r="C508" s="13" t="inlineStr">
        <is>
          <t>Combo Casal para 2</t>
        </is>
      </c>
      <c r="D508" s="2">
        <f>IF(ISERROR(VLOOKUP(E508,'Estrutura Protheus'!A:A,1,FALSE)),"Não","Sim")</f>
        <v/>
      </c>
      <c r="E508" s="5" t="inlineStr">
        <is>
          <t>002022</t>
        </is>
      </c>
      <c r="F508" s="5" t="inlineStr">
        <is>
          <t>000437</t>
        </is>
      </c>
      <c r="G508" s="3" t="inlineStr">
        <is>
          <t>Chocolate Garoto Barra 2,1kg</t>
        </is>
      </c>
      <c r="H508" s="14" t="n">
        <v>0.03</v>
      </c>
      <c r="I508" s="5" t="inlineStr">
        <is>
          <t>KG</t>
        </is>
      </c>
      <c r="J508" s="4">
        <f>IFERROR(VLOOKUP(F508,'Base Insumos'!$A:$C,3,FALSE()),"PENDENTE")</f>
        <v/>
      </c>
      <c r="K508" s="4">
        <f>IFERROR(IF(J508="PENDENTE",0,J508*H508),0)</f>
        <v/>
      </c>
      <c r="L508" s="4" t="n">
        <v>171.7</v>
      </c>
      <c r="M508" s="15">
        <f>IFERROR(K508/L508,0)</f>
        <v/>
      </c>
      <c r="N508" s="3" t="n"/>
    </row>
    <row r="509" ht="15" customHeight="1">
      <c r="A509" s="16" t="inlineStr">
        <is>
          <t>Delivery</t>
        </is>
      </c>
      <c r="B509" s="17" t="inlineStr">
        <is>
          <t>Delivery</t>
        </is>
      </c>
      <c r="C509" s="18" t="inlineStr">
        <is>
          <t>Combo Casal para 2</t>
        </is>
      </c>
      <c r="D509" s="6">
        <f>IF(ISERROR(VLOOKUP(E509,'Estrutura Protheus'!A:A,1,FALSE)),"Não","Sim")</f>
        <v/>
      </c>
      <c r="E509" s="9" t="inlineStr">
        <is>
          <t>002022</t>
        </is>
      </c>
      <c r="F509" s="9" t="inlineStr">
        <is>
          <t>000314</t>
        </is>
      </c>
      <c r="G509" s="7" t="inlineStr">
        <is>
          <t>Guarana Zero Lata 350ml</t>
        </is>
      </c>
      <c r="H509" s="19" t="n">
        <v>2</v>
      </c>
      <c r="I509" s="9" t="inlineStr">
        <is>
          <t>UN</t>
        </is>
      </c>
      <c r="J509" s="8">
        <f>IFERROR(VLOOKUP(F509,'Base Insumos'!$A:$C,3,FALSE()),"PENDENTE")</f>
        <v/>
      </c>
      <c r="K509" s="8">
        <f>IFERROR(IF(J509="PENDENTE",0,J509*H509),0)</f>
        <v/>
      </c>
      <c r="L509" s="8" t="n">
        <v>171.7</v>
      </c>
      <c r="M509" s="20">
        <f>IFERROR(K509/L509,0)</f>
        <v/>
      </c>
      <c r="N509" s="7" t="n"/>
    </row>
    <row r="510" ht="15" customHeight="1">
      <c r="A510" s="11" t="inlineStr">
        <is>
          <t>Delivery</t>
        </is>
      </c>
      <c r="B510" s="12" t="inlineStr">
        <is>
          <t>Delivery</t>
        </is>
      </c>
      <c r="C510" s="13" t="inlineStr">
        <is>
          <t>Combo Família para 3</t>
        </is>
      </c>
      <c r="D510" s="2">
        <f>IF(ISERROR(VLOOKUP(E510,'Estrutura Protheus'!A:A,1,FALSE)),"Não","Sim")</f>
        <v/>
      </c>
      <c r="E510" s="5" t="inlineStr">
        <is>
          <t>002023</t>
        </is>
      </c>
      <c r="F510" s="5" t="inlineStr">
        <is>
          <t>000286</t>
        </is>
      </c>
      <c r="G510" s="3" t="inlineStr">
        <is>
          <t>Espeto Bovino</t>
        </is>
      </c>
      <c r="H510" s="14" t="n">
        <v>2</v>
      </c>
      <c r="I510" s="5" t="inlineStr">
        <is>
          <t>UN</t>
        </is>
      </c>
      <c r="J510" s="4">
        <f>IFERROR(VLOOKUP(F510,'Base Insumos'!$A:$C,3,FALSE()),"PENDENTE")</f>
        <v/>
      </c>
      <c r="K510" s="4">
        <f>IFERROR(IF(J510="PENDENTE",0,J510*H510),0)</f>
        <v/>
      </c>
      <c r="L510" s="4" t="n">
        <v>212.9</v>
      </c>
      <c r="M510" s="15">
        <f>IFERROR(K510/L510,0)</f>
        <v/>
      </c>
      <c r="N510" s="3" t="n"/>
    </row>
    <row r="511" ht="15" customHeight="1">
      <c r="A511" s="16" t="inlineStr">
        <is>
          <t>Delivery</t>
        </is>
      </c>
      <c r="B511" s="17" t="inlineStr">
        <is>
          <t>Delivery</t>
        </is>
      </c>
      <c r="C511" s="18" t="inlineStr">
        <is>
          <t>Combo Família para 3</t>
        </is>
      </c>
      <c r="D511" s="6">
        <f>IF(ISERROR(VLOOKUP(E511,'Estrutura Protheus'!A:A,1,FALSE)),"Não","Sim")</f>
        <v/>
      </c>
      <c r="E511" s="9" t="inlineStr">
        <is>
          <t>002023</t>
        </is>
      </c>
      <c r="F511" s="9" t="inlineStr">
        <is>
          <t>000291</t>
        </is>
      </c>
      <c r="G511" s="7" t="inlineStr">
        <is>
          <t>Espeto Frango</t>
        </is>
      </c>
      <c r="H511" s="19" t="n">
        <v>2</v>
      </c>
      <c r="I511" s="9" t="inlineStr">
        <is>
          <t>UN</t>
        </is>
      </c>
      <c r="J511" s="8">
        <f>IFERROR(VLOOKUP(F511,'Base Insumos'!$A:$C,3,FALSE()),"PENDENTE")</f>
        <v/>
      </c>
      <c r="K511" s="8">
        <f>IFERROR(IF(J511="PENDENTE",0,J511*H511),0)</f>
        <v/>
      </c>
      <c r="L511" s="8" t="n">
        <v>212.9</v>
      </c>
      <c r="M511" s="20">
        <f>IFERROR(K511/L511,0)</f>
        <v/>
      </c>
      <c r="N511" s="7" t="n"/>
    </row>
    <row r="512" ht="15" customHeight="1">
      <c r="A512" s="11" t="inlineStr">
        <is>
          <t>Delivery</t>
        </is>
      </c>
      <c r="B512" s="12" t="inlineStr">
        <is>
          <t>Delivery</t>
        </is>
      </c>
      <c r="C512" s="13" t="inlineStr">
        <is>
          <t>Combo Família para 3</t>
        </is>
      </c>
      <c r="D512" s="2">
        <f>IF(ISERROR(VLOOKUP(E512,'Estrutura Protheus'!A:A,1,FALSE)),"Não","Sim")</f>
        <v/>
      </c>
      <c r="E512" s="5" t="inlineStr">
        <is>
          <t>002023</t>
        </is>
      </c>
      <c r="F512" s="5" t="inlineStr">
        <is>
          <t>000296</t>
        </is>
      </c>
      <c r="G512" s="3" t="inlineStr">
        <is>
          <t>Espeto File Mignon</t>
        </is>
      </c>
      <c r="H512" s="14" t="n">
        <v>2</v>
      </c>
      <c r="I512" s="5" t="inlineStr">
        <is>
          <t>UN</t>
        </is>
      </c>
      <c r="J512" s="4">
        <f>IFERROR(VLOOKUP(F512,'Base Insumos'!$A:$C,3,FALSE()),"PENDENTE")</f>
        <v/>
      </c>
      <c r="K512" s="4">
        <f>IFERROR(IF(J512="PENDENTE",0,J512*H512),0)</f>
        <v/>
      </c>
      <c r="L512" s="4" t="n">
        <v>212.9</v>
      </c>
      <c r="M512" s="15">
        <f>IFERROR(K512/L512,0)</f>
        <v/>
      </c>
      <c r="N512" s="3" t="n"/>
    </row>
    <row r="513" ht="15" customHeight="1">
      <c r="A513" s="16" t="inlineStr">
        <is>
          <t>Delivery</t>
        </is>
      </c>
      <c r="B513" s="17" t="inlineStr">
        <is>
          <t>Delivery</t>
        </is>
      </c>
      <c r="C513" s="18" t="inlineStr">
        <is>
          <t>Combo Família para 3</t>
        </is>
      </c>
      <c r="D513" s="6">
        <f>IF(ISERROR(VLOOKUP(E513,'Estrutura Protheus'!A:A,1,FALSE)),"Não","Sim")</f>
        <v/>
      </c>
      <c r="E513" s="9" t="inlineStr">
        <is>
          <t>002023</t>
        </is>
      </c>
      <c r="F513" s="9" t="inlineStr">
        <is>
          <t>000439</t>
        </is>
      </c>
      <c r="G513" s="7" t="inlineStr">
        <is>
          <t>Espeto Queijo Coalho</t>
        </is>
      </c>
      <c r="H513" s="19" t="n">
        <v>0.12</v>
      </c>
      <c r="I513" s="9" t="inlineStr">
        <is>
          <t>KG</t>
        </is>
      </c>
      <c r="J513" s="8">
        <f>IFERROR(VLOOKUP(F513,'Base Insumos'!$A:$C,3,FALSE()),"PENDENTE")</f>
        <v/>
      </c>
      <c r="K513" s="8">
        <f>IFERROR(IF(J513="PENDENTE",0,J513*H513),0)</f>
        <v/>
      </c>
      <c r="L513" s="8" t="n">
        <v>212.9</v>
      </c>
      <c r="M513" s="20">
        <f>IFERROR(K513/L513,0)</f>
        <v/>
      </c>
      <c r="N513" s="7" t="n"/>
    </row>
    <row r="514" ht="15" customHeight="1">
      <c r="A514" s="11" t="inlineStr">
        <is>
          <t>Delivery</t>
        </is>
      </c>
      <c r="B514" s="12" t="inlineStr">
        <is>
          <t>Delivery</t>
        </is>
      </c>
      <c r="C514" s="13" t="inlineStr">
        <is>
          <t>Combo Família para 3</t>
        </is>
      </c>
      <c r="D514" s="2">
        <f>IF(ISERROR(VLOOKUP(E514,'Estrutura Protheus'!A:A,1,FALSE)),"Não","Sim")</f>
        <v/>
      </c>
      <c r="E514" s="5" t="inlineStr">
        <is>
          <t>002023</t>
        </is>
      </c>
      <c r="F514" s="5" t="inlineStr">
        <is>
          <t>000288</t>
        </is>
      </c>
      <c r="G514" s="3" t="inlineStr">
        <is>
          <t>Espeto Calabresa s/ Pimenta</t>
        </is>
      </c>
      <c r="H514" s="14" t="n">
        <v>2</v>
      </c>
      <c r="I514" s="5" t="inlineStr">
        <is>
          <t>UN</t>
        </is>
      </c>
      <c r="J514" s="4">
        <f>IFERROR(VLOOKUP(F514,'Base Insumos'!$A:$C,3,FALSE()),"PENDENTE")</f>
        <v/>
      </c>
      <c r="K514" s="4">
        <f>IFERROR(IF(J514="PENDENTE",0,J514*H514),0)</f>
        <v/>
      </c>
      <c r="L514" s="4" t="n">
        <v>212.9</v>
      </c>
      <c r="M514" s="15">
        <f>IFERROR(K514/L514,0)</f>
        <v/>
      </c>
      <c r="N514" s="3" t="n"/>
    </row>
    <row r="515" ht="15" customHeight="1">
      <c r="A515" s="16" t="inlineStr">
        <is>
          <t>Delivery</t>
        </is>
      </c>
      <c r="B515" s="17" t="inlineStr">
        <is>
          <t>Delivery</t>
        </is>
      </c>
      <c r="C515" s="18" t="inlineStr">
        <is>
          <t>Combo Família para 3</t>
        </is>
      </c>
      <c r="D515" s="6">
        <f>IF(ISERROR(VLOOKUP(E515,'Estrutura Protheus'!A:A,1,FALSE)),"Não","Sim")</f>
        <v/>
      </c>
      <c r="E515" s="9" t="inlineStr">
        <is>
          <t>002023</t>
        </is>
      </c>
      <c r="F515" s="9" t="inlineStr">
        <is>
          <t>000289</t>
        </is>
      </c>
      <c r="G515" s="7" t="inlineStr">
        <is>
          <t>Espeto Coracao</t>
        </is>
      </c>
      <c r="H515" s="19" t="n">
        <v>2</v>
      </c>
      <c r="I515" s="9" t="inlineStr">
        <is>
          <t>UN</t>
        </is>
      </c>
      <c r="J515" s="8">
        <f>IFERROR(VLOOKUP(F515,'Base Insumos'!$A:$C,3,FALSE()),"PENDENTE")</f>
        <v/>
      </c>
      <c r="K515" s="8">
        <f>IFERROR(IF(J515="PENDENTE",0,J515*H515),0)</f>
        <v/>
      </c>
      <c r="L515" s="8" t="n">
        <v>212.9</v>
      </c>
      <c r="M515" s="20">
        <f>IFERROR(K515/L515,0)</f>
        <v/>
      </c>
      <c r="N515" s="7" t="n"/>
    </row>
    <row r="516" ht="15" customHeight="1">
      <c r="A516" s="11" t="inlineStr">
        <is>
          <t>Delivery</t>
        </is>
      </c>
      <c r="B516" s="12" t="inlineStr">
        <is>
          <t>Delivery</t>
        </is>
      </c>
      <c r="C516" s="13" t="inlineStr">
        <is>
          <t>Combo Família para 3</t>
        </is>
      </c>
      <c r="D516" s="2">
        <f>IF(ISERROR(VLOOKUP(E516,'Estrutura Protheus'!A:A,1,FALSE)),"Não","Sim")</f>
        <v/>
      </c>
      <c r="E516" s="5" t="inlineStr">
        <is>
          <t>002023</t>
        </is>
      </c>
      <c r="F516" s="5" t="inlineStr">
        <is>
          <t>000377</t>
        </is>
      </c>
      <c r="G516" s="3" t="inlineStr">
        <is>
          <t>Arroz Tipo 1</t>
        </is>
      </c>
      <c r="H516" s="14" t="n">
        <v>0.15</v>
      </c>
      <c r="I516" s="5" t="inlineStr">
        <is>
          <t>KG</t>
        </is>
      </c>
      <c r="J516" s="4">
        <f>IFERROR(VLOOKUP(F516,'Base Insumos'!$A:$C,3,FALSE()),"PENDENTE")</f>
        <v/>
      </c>
      <c r="K516" s="4">
        <f>IFERROR(IF(J516="PENDENTE",0,J516*H516),0)</f>
        <v/>
      </c>
      <c r="L516" s="4" t="n">
        <v>212.9</v>
      </c>
      <c r="M516" s="15">
        <f>IFERROR(K516/L516,0)</f>
        <v/>
      </c>
      <c r="N516" s="3" t="n"/>
    </row>
    <row r="517" ht="15" customHeight="1">
      <c r="A517" s="16" t="inlineStr">
        <is>
          <t>Delivery</t>
        </is>
      </c>
      <c r="B517" s="17" t="inlineStr">
        <is>
          <t>Delivery</t>
        </is>
      </c>
      <c r="C517" s="18" t="inlineStr">
        <is>
          <t>Combo Família para 3</t>
        </is>
      </c>
      <c r="D517" s="6">
        <f>IF(ISERROR(VLOOKUP(E517,'Estrutura Protheus'!A:A,1,FALSE)),"Não","Sim")</f>
        <v/>
      </c>
      <c r="E517" s="9" t="inlineStr">
        <is>
          <t>002023</t>
        </is>
      </c>
      <c r="F517" s="9" t="inlineStr">
        <is>
          <t>000412</t>
        </is>
      </c>
      <c r="G517" s="7" t="inlineStr">
        <is>
          <t>Oleo de Soja Liza 900ml</t>
        </is>
      </c>
      <c r="H517" s="19" t="n">
        <v>0.059</v>
      </c>
      <c r="I517" s="9" t="inlineStr">
        <is>
          <t>LT</t>
        </is>
      </c>
      <c r="J517" s="8">
        <f>IFERROR(VLOOKUP(F517,'Base Insumos'!$A:$C,3,FALSE()),"PENDENTE")</f>
        <v/>
      </c>
      <c r="K517" s="8">
        <f>IFERROR(IF(J517="PENDENTE",0,J517*H517),0)</f>
        <v/>
      </c>
      <c r="L517" s="8" t="n">
        <v>212.9</v>
      </c>
      <c r="M517" s="20">
        <f>IFERROR(K517/L517,0)</f>
        <v/>
      </c>
      <c r="N517" s="7" t="n"/>
    </row>
    <row r="518" ht="15" customHeight="1">
      <c r="A518" s="11" t="inlineStr">
        <is>
          <t>Delivery</t>
        </is>
      </c>
      <c r="B518" s="12" t="inlineStr">
        <is>
          <t>Delivery</t>
        </is>
      </c>
      <c r="C518" s="13" t="inlineStr">
        <is>
          <t>Combo Família para 3</t>
        </is>
      </c>
      <c r="D518" s="2">
        <f>IF(ISERROR(VLOOKUP(E518,'Estrutura Protheus'!A:A,1,FALSE)),"Não","Sim")</f>
        <v/>
      </c>
      <c r="E518" s="5" t="inlineStr">
        <is>
          <t>002023</t>
        </is>
      </c>
      <c r="F518" s="5" t="inlineStr">
        <is>
          <t>000614</t>
        </is>
      </c>
      <c r="G518" s="3" t="inlineStr">
        <is>
          <t>Sal Refinado</t>
        </is>
      </c>
      <c r="H518" s="14" t="n">
        <v>0.003</v>
      </c>
      <c r="I518" s="5" t="inlineStr">
        <is>
          <t>KG</t>
        </is>
      </c>
      <c r="J518" s="4">
        <f>IFERROR(VLOOKUP(F518,'Base Insumos'!$A:$C,3,FALSE()),"PENDENTE")</f>
        <v/>
      </c>
      <c r="K518" s="4">
        <f>IFERROR(IF(J518="PENDENTE",0,J518*H518),0)</f>
        <v/>
      </c>
      <c r="L518" s="4" t="n">
        <v>212.9</v>
      </c>
      <c r="M518" s="15">
        <f>IFERROR(K518/L518,0)</f>
        <v/>
      </c>
      <c r="N518" s="3" t="n"/>
    </row>
    <row r="519" ht="15" customHeight="1">
      <c r="A519" s="16" t="inlineStr">
        <is>
          <t>Delivery</t>
        </is>
      </c>
      <c r="B519" s="17" t="inlineStr">
        <is>
          <t>Delivery</t>
        </is>
      </c>
      <c r="C519" s="18" t="inlineStr">
        <is>
          <t>Combo Família para 3</t>
        </is>
      </c>
      <c r="D519" s="6">
        <f>IF(ISERROR(VLOOKUP(E519,'Estrutura Protheus'!A:A,1,FALSE)),"Não","Sim")</f>
        <v/>
      </c>
      <c r="E519" s="9" t="inlineStr">
        <is>
          <t>002023</t>
        </is>
      </c>
      <c r="F519" s="9" t="inlineStr">
        <is>
          <t>000475</t>
        </is>
      </c>
      <c r="G519" s="7" t="inlineStr">
        <is>
          <t>Folha de Louro</t>
        </is>
      </c>
      <c r="H519" s="19" t="n">
        <v>0.002</v>
      </c>
      <c r="I519" s="9" t="inlineStr">
        <is>
          <t>KG</t>
        </is>
      </c>
      <c r="J519" s="8">
        <f>IFERROR(VLOOKUP(F519,'Base Insumos'!$A:$C,3,FALSE()),"PENDENTE")</f>
        <v/>
      </c>
      <c r="K519" s="8">
        <f>IFERROR(IF(J519="PENDENTE",0,J519*H519),0)</f>
        <v/>
      </c>
      <c r="L519" s="8" t="n">
        <v>212.9</v>
      </c>
      <c r="M519" s="20">
        <f>IFERROR(K519/L519,0)</f>
        <v/>
      </c>
      <c r="N519" s="7" t="n"/>
    </row>
    <row r="520" ht="15" customHeight="1">
      <c r="A520" s="11" t="inlineStr">
        <is>
          <t>Delivery</t>
        </is>
      </c>
      <c r="B520" s="12" t="inlineStr">
        <is>
          <t>Delivery</t>
        </is>
      </c>
      <c r="C520" s="13" t="inlineStr">
        <is>
          <t>Combo Família para 3</t>
        </is>
      </c>
      <c r="D520" s="2">
        <f>IF(ISERROR(VLOOKUP(E520,'Estrutura Protheus'!A:A,1,FALSE)),"Não","Sim")</f>
        <v/>
      </c>
      <c r="E520" s="5" t="inlineStr">
        <is>
          <t>002023</t>
        </is>
      </c>
      <c r="F520" s="5" t="inlineStr">
        <is>
          <t>002068</t>
        </is>
      </c>
      <c r="G520" s="3" t="inlineStr">
        <is>
          <t>Manteiga S/sal 5kg</t>
        </is>
      </c>
      <c r="H520" s="14" t="n">
        <v>0.005</v>
      </c>
      <c r="I520" s="5" t="inlineStr">
        <is>
          <t>KG</t>
        </is>
      </c>
      <c r="J520" s="4">
        <f>IFERROR(VLOOKUP(F520,'Base Insumos'!$A:$C,3,FALSE()),"PENDENTE")</f>
        <v/>
      </c>
      <c r="K520" s="4">
        <f>IFERROR(IF(J520="PENDENTE",0,J520*H520),0)</f>
        <v/>
      </c>
      <c r="L520" s="4" t="n">
        <v>212.9</v>
      </c>
      <c r="M520" s="15">
        <f>IFERROR(K520/L520,0)</f>
        <v/>
      </c>
      <c r="N520" s="3" t="n"/>
    </row>
    <row r="521" ht="15" customHeight="1">
      <c r="A521" s="16" t="inlineStr">
        <is>
          <t>Delivery</t>
        </is>
      </c>
      <c r="B521" s="17" t="inlineStr">
        <is>
          <t>Delivery</t>
        </is>
      </c>
      <c r="C521" s="18" t="inlineStr">
        <is>
          <t>Combo Família para 3</t>
        </is>
      </c>
      <c r="D521" s="6">
        <f>IF(ISERROR(VLOOKUP(E521,'Estrutura Protheus'!A:A,1,FALSE)),"Não","Sim")</f>
        <v/>
      </c>
      <c r="E521" s="9" t="inlineStr">
        <is>
          <t>002023</t>
        </is>
      </c>
      <c r="F521" s="9" t="inlineStr">
        <is>
          <t>002067</t>
        </is>
      </c>
      <c r="G521" s="7" t="inlineStr">
        <is>
          <t>Farinha Panko Empanar</t>
        </is>
      </c>
      <c r="H521" s="19" t="n">
        <v>0.02</v>
      </c>
      <c r="I521" s="9" t="inlineStr">
        <is>
          <t>KG</t>
        </is>
      </c>
      <c r="J521" s="8">
        <f>IFERROR(VLOOKUP(F521,'Base Insumos'!$A:$C,3,FALSE()),"PENDENTE")</f>
        <v/>
      </c>
      <c r="K521" s="8">
        <f>IFERROR(IF(J521="PENDENTE",0,J521*H521),0)</f>
        <v/>
      </c>
      <c r="L521" s="8" t="n">
        <v>212.9</v>
      </c>
      <c r="M521" s="20">
        <f>IFERROR(K521/L521,0)</f>
        <v/>
      </c>
      <c r="N521" s="7" t="n"/>
    </row>
    <row r="522" ht="15" customHeight="1">
      <c r="A522" s="11" t="inlineStr">
        <is>
          <t>Delivery</t>
        </is>
      </c>
      <c r="B522" s="12" t="inlineStr">
        <is>
          <t>Delivery</t>
        </is>
      </c>
      <c r="C522" s="13" t="inlineStr">
        <is>
          <t>Combo Família para 3</t>
        </is>
      </c>
      <c r="D522" s="2">
        <f>IF(ISERROR(VLOOKUP(E522,'Estrutura Protheus'!A:A,1,FALSE)),"Não","Sim")</f>
        <v/>
      </c>
      <c r="E522" s="5" t="inlineStr">
        <is>
          <t>002023</t>
        </is>
      </c>
      <c r="F522" s="5" t="inlineStr">
        <is>
          <t>000426</t>
        </is>
      </c>
      <c r="G522" s="3" t="inlineStr">
        <is>
          <t>Bacon em Cubos</t>
        </is>
      </c>
      <c r="H522" s="14" t="n">
        <v>0.004</v>
      </c>
      <c r="I522" s="5" t="inlineStr">
        <is>
          <t>KG</t>
        </is>
      </c>
      <c r="J522" s="4">
        <f>IFERROR(VLOOKUP(F522,'Base Insumos'!$A:$C,3,FALSE()),"PENDENTE")</f>
        <v/>
      </c>
      <c r="K522" s="4">
        <f>IFERROR(IF(J522="PENDENTE",0,J522*H522),0)</f>
        <v/>
      </c>
      <c r="L522" s="4" t="n">
        <v>212.9</v>
      </c>
      <c r="M522" s="15">
        <f>IFERROR(K522/L522,0)</f>
        <v/>
      </c>
      <c r="N522" s="3" t="n"/>
    </row>
    <row r="523" ht="15" customHeight="1">
      <c r="A523" s="16" t="inlineStr">
        <is>
          <t>Delivery</t>
        </is>
      </c>
      <c r="B523" s="17" t="inlineStr">
        <is>
          <t>Delivery</t>
        </is>
      </c>
      <c r="C523" s="18" t="inlineStr">
        <is>
          <t>Combo Família para 3</t>
        </is>
      </c>
      <c r="D523" s="6">
        <f>IF(ISERROR(VLOOKUP(E523,'Estrutura Protheus'!A:A,1,FALSE)),"Não","Sim")</f>
        <v/>
      </c>
      <c r="E523" s="9" t="inlineStr">
        <is>
          <t>002023</t>
        </is>
      </c>
      <c r="F523" s="9" t="inlineStr">
        <is>
          <t>002070</t>
        </is>
      </c>
      <c r="G523" s="7" t="inlineStr">
        <is>
          <t>Alho Poro</t>
        </is>
      </c>
      <c r="H523" s="19" t="n">
        <v>0.004</v>
      </c>
      <c r="I523" s="9" t="inlineStr">
        <is>
          <t>KG</t>
        </is>
      </c>
      <c r="J523" s="8">
        <f>IFERROR(VLOOKUP(F523,'Base Insumos'!$A:$C,3,FALSE()),"PENDENTE")</f>
        <v/>
      </c>
      <c r="K523" s="8">
        <f>IFERROR(IF(J523="PENDENTE",0,J523*H523),0)</f>
        <v/>
      </c>
      <c r="L523" s="8" t="n">
        <v>212.9</v>
      </c>
      <c r="M523" s="20">
        <f>IFERROR(K523/L523,0)</f>
        <v/>
      </c>
      <c r="N523" s="7" t="n"/>
    </row>
    <row r="524" ht="15" customHeight="1">
      <c r="A524" s="11" t="inlineStr">
        <is>
          <t>Delivery</t>
        </is>
      </c>
      <c r="B524" s="12" t="inlineStr">
        <is>
          <t>Delivery</t>
        </is>
      </c>
      <c r="C524" s="13" t="inlineStr">
        <is>
          <t>Combo Família para 3</t>
        </is>
      </c>
      <c r="D524" s="2">
        <f>IF(ISERROR(VLOOKUP(E524,'Estrutura Protheus'!A:A,1,FALSE)),"Não","Sim")</f>
        <v/>
      </c>
      <c r="E524" s="5" t="inlineStr">
        <is>
          <t>002023</t>
        </is>
      </c>
      <c r="F524" s="5" t="inlineStr">
        <is>
          <t>000667</t>
        </is>
      </c>
      <c r="G524" s="3" t="inlineStr">
        <is>
          <t>Tomilho</t>
        </is>
      </c>
      <c r="H524" s="14" t="n">
        <v>0.0005999999999999999</v>
      </c>
      <c r="I524" s="5" t="inlineStr">
        <is>
          <t>KG</t>
        </is>
      </c>
      <c r="J524" s="4">
        <f>IFERROR(VLOOKUP(F524,'Base Insumos'!$A:$C,3,FALSE()),"PENDENTE")</f>
        <v/>
      </c>
      <c r="K524" s="4">
        <f>IFERROR(IF(J524="PENDENTE",0,J524*H524),0)</f>
        <v/>
      </c>
      <c r="L524" s="4" t="n">
        <v>212.9</v>
      </c>
      <c r="M524" s="15">
        <f>IFERROR(K524/L524,0)</f>
        <v/>
      </c>
      <c r="N524" s="3" t="n"/>
    </row>
    <row r="525" ht="15" customHeight="1">
      <c r="A525" s="16" t="inlineStr">
        <is>
          <t>Delivery</t>
        </is>
      </c>
      <c r="B525" s="17" t="inlineStr">
        <is>
          <t>Delivery</t>
        </is>
      </c>
      <c r="C525" s="18" t="inlineStr">
        <is>
          <t>Combo Família para 3</t>
        </is>
      </c>
      <c r="D525" s="6">
        <f>IF(ISERROR(VLOOKUP(E525,'Estrutura Protheus'!A:A,1,FALSE)),"Não","Sim")</f>
        <v/>
      </c>
      <c r="E525" s="9" t="inlineStr">
        <is>
          <t>002023</t>
        </is>
      </c>
      <c r="F525" s="9" t="inlineStr">
        <is>
          <t>000668</t>
        </is>
      </c>
      <c r="G525" s="7" t="inlineStr">
        <is>
          <t>Alecrim</t>
        </is>
      </c>
      <c r="H525" s="19" t="n">
        <v>0.001</v>
      </c>
      <c r="I525" s="9" t="inlineStr">
        <is>
          <t>KG</t>
        </is>
      </c>
      <c r="J525" s="8">
        <f>IFERROR(VLOOKUP(F525,'Base Insumos'!$A:$C,3,FALSE()),"PENDENTE")</f>
        <v/>
      </c>
      <c r="K525" s="8">
        <f>IFERROR(IF(J525="PENDENTE",0,J525*H525),0)</f>
        <v/>
      </c>
      <c r="L525" s="8" t="n">
        <v>212.9</v>
      </c>
      <c r="M525" s="20">
        <f>IFERROR(K525/L525,0)</f>
        <v/>
      </c>
      <c r="N525" s="7" t="n"/>
    </row>
    <row r="526" ht="15" customHeight="1">
      <c r="A526" s="11" t="inlineStr">
        <is>
          <t>Delivery</t>
        </is>
      </c>
      <c r="B526" s="12" t="inlineStr">
        <is>
          <t>Delivery</t>
        </is>
      </c>
      <c r="C526" s="13" t="inlineStr">
        <is>
          <t>Combo Família para 3</t>
        </is>
      </c>
      <c r="D526" s="2">
        <f>IF(ISERROR(VLOOKUP(E526,'Estrutura Protheus'!A:A,1,FALSE)),"Não","Sim")</f>
        <v/>
      </c>
      <c r="E526" s="5" t="inlineStr">
        <is>
          <t>002023</t>
        </is>
      </c>
      <c r="F526" s="5" t="inlineStr">
        <is>
          <t>002068</t>
        </is>
      </c>
      <c r="G526" s="3" t="inlineStr">
        <is>
          <t>Manteiga S/sal 5kg</t>
        </is>
      </c>
      <c r="H526" s="14" t="n">
        <v>0.004</v>
      </c>
      <c r="I526" s="5" t="inlineStr">
        <is>
          <t>KG</t>
        </is>
      </c>
      <c r="J526" s="4">
        <f>IFERROR(VLOOKUP(F526,'Base Insumos'!$A:$C,3,FALSE()),"PENDENTE")</f>
        <v/>
      </c>
      <c r="K526" s="4">
        <f>IFERROR(IF(J526="PENDENTE",0,J526*H526),0)</f>
        <v/>
      </c>
      <c r="L526" s="4" t="n">
        <v>212.9</v>
      </c>
      <c r="M526" s="15">
        <f>IFERROR(K526/L526,0)</f>
        <v/>
      </c>
      <c r="N526" s="3" t="n"/>
    </row>
    <row r="527" ht="15" customHeight="1">
      <c r="A527" s="16" t="inlineStr">
        <is>
          <t>Delivery</t>
        </is>
      </c>
      <c r="B527" s="17" t="inlineStr">
        <is>
          <t>Delivery</t>
        </is>
      </c>
      <c r="C527" s="18" t="inlineStr">
        <is>
          <t>Combo Família para 3</t>
        </is>
      </c>
      <c r="D527" s="6">
        <f>IF(ISERROR(VLOOKUP(E527,'Estrutura Protheus'!A:A,1,FALSE)),"Não","Sim")</f>
        <v/>
      </c>
      <c r="E527" s="9" t="inlineStr">
        <is>
          <t>002023</t>
        </is>
      </c>
      <c r="F527" s="9" t="inlineStr">
        <is>
          <t>000390</t>
        </is>
      </c>
      <c r="G527" s="7" t="inlineStr">
        <is>
          <t>Farinha de Trigo Sol</t>
        </is>
      </c>
      <c r="H527" s="19" t="n">
        <v>0.002</v>
      </c>
      <c r="I527" s="9" t="inlineStr">
        <is>
          <t>KG</t>
        </is>
      </c>
      <c r="J527" s="8">
        <f>IFERROR(VLOOKUP(F527,'Base Insumos'!$A:$C,3,FALSE()),"PENDENTE")</f>
        <v/>
      </c>
      <c r="K527" s="8">
        <f>IFERROR(IF(J527="PENDENTE",0,J527*H527),0)</f>
        <v/>
      </c>
      <c r="L527" s="8" t="n">
        <v>212.9</v>
      </c>
      <c r="M527" s="20">
        <f>IFERROR(K527/L527,0)</f>
        <v/>
      </c>
      <c r="N527" s="7" t="n"/>
    </row>
    <row r="528" ht="15" customHeight="1">
      <c r="A528" s="11" t="inlineStr">
        <is>
          <t>Delivery</t>
        </is>
      </c>
      <c r="B528" s="12" t="inlineStr">
        <is>
          <t>Delivery</t>
        </is>
      </c>
      <c r="C528" s="13" t="inlineStr">
        <is>
          <t>Combo Família para 3</t>
        </is>
      </c>
      <c r="D528" s="2">
        <f>IF(ISERROR(VLOOKUP(E528,'Estrutura Protheus'!A:A,1,FALSE)),"Não","Sim")</f>
        <v/>
      </c>
      <c r="E528" s="5" t="inlineStr">
        <is>
          <t>002023</t>
        </is>
      </c>
      <c r="F528" s="5" t="inlineStr">
        <is>
          <t>000331</t>
        </is>
      </c>
      <c r="G528" s="3" t="inlineStr">
        <is>
          <t>Barril Chopp Brahma Claro 50lt</t>
        </is>
      </c>
      <c r="H528" s="14" t="n">
        <v>0.003</v>
      </c>
      <c r="I528" s="5" t="inlineStr">
        <is>
          <t>LT</t>
        </is>
      </c>
      <c r="J528" s="4">
        <f>IFERROR(VLOOKUP(F528,'Base Insumos'!$A:$C,3,FALSE()),"PENDENTE")</f>
        <v/>
      </c>
      <c r="K528" s="4">
        <f>IFERROR(IF(J528="PENDENTE",0,J528*H528),0)</f>
        <v/>
      </c>
      <c r="L528" s="4" t="n">
        <v>212.9</v>
      </c>
      <c r="M528" s="15">
        <f>IFERROR(K528/L528,0)</f>
        <v/>
      </c>
      <c r="N528" s="3" t="n"/>
    </row>
    <row r="529" ht="15" customHeight="1">
      <c r="A529" s="16" t="inlineStr">
        <is>
          <t>Delivery</t>
        </is>
      </c>
      <c r="B529" s="17" t="inlineStr">
        <is>
          <t>Delivery</t>
        </is>
      </c>
      <c r="C529" s="18" t="inlineStr">
        <is>
          <t>Combo Família para 3</t>
        </is>
      </c>
      <c r="D529" s="6">
        <f>IF(ISERROR(VLOOKUP(E529,'Estrutura Protheus'!A:A,1,FALSE)),"Não","Sim")</f>
        <v/>
      </c>
      <c r="E529" s="9" t="inlineStr">
        <is>
          <t>002023</t>
        </is>
      </c>
      <c r="F529" s="9" t="inlineStr">
        <is>
          <t>000614</t>
        </is>
      </c>
      <c r="G529" s="7" t="inlineStr">
        <is>
          <t>Sal Refinado</t>
        </is>
      </c>
      <c r="H529" s="19" t="n">
        <v>0.0002</v>
      </c>
      <c r="I529" s="9" t="inlineStr">
        <is>
          <t>KG</t>
        </is>
      </c>
      <c r="J529" s="8">
        <f>IFERROR(VLOOKUP(F529,'Base Insumos'!$A:$C,3,FALSE()),"PENDENTE")</f>
        <v/>
      </c>
      <c r="K529" s="8">
        <f>IFERROR(IF(J529="PENDENTE",0,J529*H529),0)</f>
        <v/>
      </c>
      <c r="L529" s="8" t="n">
        <v>212.9</v>
      </c>
      <c r="M529" s="20">
        <f>IFERROR(K529/L529,0)</f>
        <v/>
      </c>
      <c r="N529" s="7" t="n"/>
    </row>
    <row r="530" ht="15" customHeight="1">
      <c r="A530" s="11" t="inlineStr">
        <is>
          <t>Delivery</t>
        </is>
      </c>
      <c r="B530" s="12" t="inlineStr">
        <is>
          <t>Delivery</t>
        </is>
      </c>
      <c r="C530" s="13" t="inlineStr">
        <is>
          <t>Combo Família para 3</t>
        </is>
      </c>
      <c r="D530" s="2">
        <f>IF(ISERROR(VLOOKUP(E530,'Estrutura Protheus'!A:A,1,FALSE)),"Não","Sim")</f>
        <v/>
      </c>
      <c r="E530" s="5" t="inlineStr">
        <is>
          <t>002023</t>
        </is>
      </c>
      <c r="F530" s="5" t="inlineStr">
        <is>
          <t>000414</t>
        </is>
      </c>
      <c r="G530" s="3" t="inlineStr">
        <is>
          <t>Pimenta do Reino Moida</t>
        </is>
      </c>
      <c r="H530" s="14" t="n">
        <v>6e-05</v>
      </c>
      <c r="I530" s="5" t="inlineStr">
        <is>
          <t>KG</t>
        </is>
      </c>
      <c r="J530" s="4">
        <f>IFERROR(VLOOKUP(F530,'Base Insumos'!$A:$C,3,FALSE()),"PENDENTE")</f>
        <v/>
      </c>
      <c r="K530" s="4">
        <f>IFERROR(IF(J530="PENDENTE",0,J530*H530),0)</f>
        <v/>
      </c>
      <c r="L530" s="4" t="n">
        <v>212.9</v>
      </c>
      <c r="M530" s="15">
        <f>IFERROR(K530/L530,0)</f>
        <v/>
      </c>
      <c r="N530" s="3" t="n"/>
    </row>
    <row r="531" ht="15" customHeight="1">
      <c r="A531" s="16" t="inlineStr">
        <is>
          <t>Delivery</t>
        </is>
      </c>
      <c r="B531" s="17" t="inlineStr">
        <is>
          <t>Delivery</t>
        </is>
      </c>
      <c r="C531" s="18" t="inlineStr">
        <is>
          <t>Combo Família para 3</t>
        </is>
      </c>
      <c r="D531" s="6">
        <f>IF(ISERROR(VLOOKUP(E531,'Estrutura Protheus'!A:A,1,FALSE)),"Não","Sim")</f>
        <v/>
      </c>
      <c r="E531" s="9" t="inlineStr">
        <is>
          <t>002023</t>
        </is>
      </c>
      <c r="F531" s="9" t="inlineStr">
        <is>
          <t>000486</t>
        </is>
      </c>
      <c r="G531" s="7" t="inlineStr">
        <is>
          <t>Tomate Salada</t>
        </is>
      </c>
      <c r="H531" s="19" t="n">
        <v>0.026</v>
      </c>
      <c r="I531" s="9" t="inlineStr">
        <is>
          <t>KG</t>
        </is>
      </c>
      <c r="J531" s="8">
        <f>IFERROR(VLOOKUP(F531,'Base Insumos'!$A:$C,3,FALSE()),"PENDENTE")</f>
        <v/>
      </c>
      <c r="K531" s="8">
        <f>IFERROR(IF(J531="PENDENTE",0,J531*H531),0)</f>
        <v/>
      </c>
      <c r="L531" s="8" t="n">
        <v>212.9</v>
      </c>
      <c r="M531" s="20">
        <f>IFERROR(K531/L531,0)</f>
        <v/>
      </c>
      <c r="N531" s="7" t="n"/>
    </row>
    <row r="532" ht="15" customHeight="1">
      <c r="A532" s="11" t="inlineStr">
        <is>
          <t>Delivery</t>
        </is>
      </c>
      <c r="B532" s="12" t="inlineStr">
        <is>
          <t>Delivery</t>
        </is>
      </c>
      <c r="C532" s="13" t="inlineStr">
        <is>
          <t>Combo Família para 3</t>
        </is>
      </c>
      <c r="D532" s="2">
        <f>IF(ISERROR(VLOOKUP(E532,'Estrutura Protheus'!A:A,1,FALSE)),"Não","Sim")</f>
        <v/>
      </c>
      <c r="E532" s="5" t="inlineStr">
        <is>
          <t>002023</t>
        </is>
      </c>
      <c r="F532" s="5" t="inlineStr">
        <is>
          <t>000468</t>
        </is>
      </c>
      <c r="G532" s="3" t="inlineStr">
        <is>
          <t>Cebola Media</t>
        </is>
      </c>
      <c r="H532" s="14" t="n">
        <v>0.013</v>
      </c>
      <c r="I532" s="5" t="inlineStr">
        <is>
          <t>KG</t>
        </is>
      </c>
      <c r="J532" s="4">
        <f>IFERROR(VLOOKUP(F532,'Base Insumos'!$A:$C,3,FALSE()),"PENDENTE")</f>
        <v/>
      </c>
      <c r="K532" s="4">
        <f>IFERROR(IF(J532="PENDENTE",0,J532*H532),0)</f>
        <v/>
      </c>
      <c r="L532" s="4" t="n">
        <v>212.9</v>
      </c>
      <c r="M532" s="15">
        <f>IFERROR(K532/L532,0)</f>
        <v/>
      </c>
      <c r="N532" s="3" t="n"/>
    </row>
    <row r="533" ht="15" customHeight="1">
      <c r="A533" s="16" t="inlineStr">
        <is>
          <t>Delivery</t>
        </is>
      </c>
      <c r="B533" s="17" t="inlineStr">
        <is>
          <t>Delivery</t>
        </is>
      </c>
      <c r="C533" s="18" t="inlineStr">
        <is>
          <t>Combo Família para 3</t>
        </is>
      </c>
      <c r="D533" s="6">
        <f>IF(ISERROR(VLOOKUP(E533,'Estrutura Protheus'!A:A,1,FALSE)),"Não","Sim")</f>
        <v/>
      </c>
      <c r="E533" s="9" t="inlineStr">
        <is>
          <t>002023</t>
        </is>
      </c>
      <c r="F533" s="9" t="inlineStr">
        <is>
          <t>000484</t>
        </is>
      </c>
      <c r="G533" s="7" t="inlineStr">
        <is>
          <t>Salsa Lisa Industrial</t>
        </is>
      </c>
      <c r="H533" s="19" t="n">
        <v>0.008999999999999999</v>
      </c>
      <c r="I533" s="9" t="inlineStr">
        <is>
          <t>KG</t>
        </is>
      </c>
      <c r="J533" s="8">
        <f>IFERROR(VLOOKUP(F533,'Base Insumos'!$A:$C,3,FALSE()),"PENDENTE")</f>
        <v/>
      </c>
      <c r="K533" s="8">
        <f>IFERROR(IF(J533="PENDENTE",0,J533*H533),0)</f>
        <v/>
      </c>
      <c r="L533" s="8" t="n">
        <v>212.9</v>
      </c>
      <c r="M533" s="20">
        <f>IFERROR(K533/L533,0)</f>
        <v/>
      </c>
      <c r="N533" s="7" t="n"/>
    </row>
    <row r="534" ht="15" customHeight="1">
      <c r="A534" s="11" t="inlineStr">
        <is>
          <t>Delivery</t>
        </is>
      </c>
      <c r="B534" s="12" t="inlineStr">
        <is>
          <t>Delivery</t>
        </is>
      </c>
      <c r="C534" s="13" t="inlineStr">
        <is>
          <t>Combo Família para 3</t>
        </is>
      </c>
      <c r="D534" s="2">
        <f>IF(ISERROR(VLOOKUP(E534,'Estrutura Protheus'!A:A,1,FALSE)),"Não","Sim")</f>
        <v/>
      </c>
      <c r="E534" s="5" t="inlineStr">
        <is>
          <t>002023</t>
        </is>
      </c>
      <c r="F534" s="5" t="inlineStr">
        <is>
          <t>000424</t>
        </is>
      </c>
      <c r="G534" s="3" t="inlineStr">
        <is>
          <t>Vinagre Agrin Branco Neval Garrafa 750ml</t>
        </is>
      </c>
      <c r="H534" s="14" t="n">
        <v>0.007</v>
      </c>
      <c r="I534" s="5" t="inlineStr">
        <is>
          <t>LT</t>
        </is>
      </c>
      <c r="J534" s="4">
        <f>IFERROR(VLOOKUP(F534,'Base Insumos'!$A:$C,3,FALSE()),"PENDENTE")</f>
        <v/>
      </c>
      <c r="K534" s="4">
        <f>IFERROR(IF(J534="PENDENTE",0,J534*H534),0)</f>
        <v/>
      </c>
      <c r="L534" s="4" t="n">
        <v>212.9</v>
      </c>
      <c r="M534" s="15">
        <f>IFERROR(K534/L534,0)</f>
        <v/>
      </c>
      <c r="N534" s="3" t="n"/>
    </row>
    <row r="535" ht="15" customHeight="1">
      <c r="A535" s="16" t="inlineStr">
        <is>
          <t>Delivery</t>
        </is>
      </c>
      <c r="B535" s="17" t="inlineStr">
        <is>
          <t>Delivery</t>
        </is>
      </c>
      <c r="C535" s="18" t="inlineStr">
        <is>
          <t>Combo Família para 3</t>
        </is>
      </c>
      <c r="D535" s="6">
        <f>IF(ISERROR(VLOOKUP(E535,'Estrutura Protheus'!A:A,1,FALSE)),"Não","Sim")</f>
        <v/>
      </c>
      <c r="E535" s="9" t="inlineStr">
        <is>
          <t>002023</t>
        </is>
      </c>
      <c r="F535" s="9" t="inlineStr">
        <is>
          <t>001043</t>
        </is>
      </c>
      <c r="G535" s="7" t="inlineStr">
        <is>
          <t>Azeite 500 Ml</t>
        </is>
      </c>
      <c r="H535" s="19" t="n">
        <v>0.013</v>
      </c>
      <c r="I535" s="9" t="inlineStr">
        <is>
          <t>LT</t>
        </is>
      </c>
      <c r="J535" s="8">
        <f>IFERROR(VLOOKUP(F535,'Base Insumos'!$A:$C,3,FALSE()),"PENDENTE")</f>
        <v/>
      </c>
      <c r="K535" s="8">
        <f>IFERROR(IF(J535="PENDENTE",0,J535*H535),0)</f>
        <v/>
      </c>
      <c r="L535" s="8" t="n">
        <v>212.9</v>
      </c>
      <c r="M535" s="20">
        <f>IFERROR(K535/L535,0)</f>
        <v/>
      </c>
      <c r="N535" s="7" t="n"/>
    </row>
    <row r="536" ht="15" customHeight="1">
      <c r="A536" s="11" t="inlineStr">
        <is>
          <t>Delivery</t>
        </is>
      </c>
      <c r="B536" s="12" t="inlineStr">
        <is>
          <t>Delivery</t>
        </is>
      </c>
      <c r="C536" s="13" t="inlineStr">
        <is>
          <t>Combo Família para 3</t>
        </is>
      </c>
      <c r="D536" s="2">
        <f>IF(ISERROR(VLOOKUP(E536,'Estrutura Protheus'!A:A,1,FALSE)),"Não","Sim")</f>
        <v/>
      </c>
      <c r="E536" s="5" t="inlineStr">
        <is>
          <t>002023</t>
        </is>
      </c>
      <c r="F536" s="5" t="inlineStr">
        <is>
          <t>000614</t>
        </is>
      </c>
      <c r="G536" s="3" t="inlineStr">
        <is>
          <t>Sal Refinado</t>
        </is>
      </c>
      <c r="H536" s="14" t="n">
        <v>0.0005</v>
      </c>
      <c r="I536" s="5" t="inlineStr">
        <is>
          <t>KG</t>
        </is>
      </c>
      <c r="J536" s="4">
        <f>IFERROR(VLOOKUP(F536,'Base Insumos'!$A:$C,3,FALSE()),"PENDENTE")</f>
        <v/>
      </c>
      <c r="K536" s="4">
        <f>IFERROR(IF(J536="PENDENTE",0,J536*H536),0)</f>
        <v/>
      </c>
      <c r="L536" s="4" t="n">
        <v>212.9</v>
      </c>
      <c r="M536" s="15">
        <f>IFERROR(K536/L536,0)</f>
        <v/>
      </c>
      <c r="N536" s="3" t="n"/>
    </row>
    <row r="537" ht="15" customHeight="1">
      <c r="A537" s="16" t="inlineStr">
        <is>
          <t>Delivery</t>
        </is>
      </c>
      <c r="B537" s="17" t="inlineStr">
        <is>
          <t>Delivery</t>
        </is>
      </c>
      <c r="C537" s="18" t="inlineStr">
        <is>
          <t>Combo Big Family para 4</t>
        </is>
      </c>
      <c r="D537" s="6">
        <f>IF(ISERROR(VLOOKUP(E537,'Estrutura Protheus'!A:A,1,FALSE)),"Não","Sim")</f>
        <v/>
      </c>
      <c r="E537" s="9" t="inlineStr">
        <is>
          <t>002024</t>
        </is>
      </c>
      <c r="F537" s="9" t="inlineStr">
        <is>
          <t>000286</t>
        </is>
      </c>
      <c r="G537" s="7" t="inlineStr">
        <is>
          <t>Espeto Bovino</t>
        </is>
      </c>
      <c r="H537" s="19" t="n">
        <v>4</v>
      </c>
      <c r="I537" s="9" t="inlineStr">
        <is>
          <t>UN</t>
        </is>
      </c>
      <c r="J537" s="8">
        <f>IFERROR(VLOOKUP(F537,'Base Insumos'!$A:$C,3,FALSE()),"PENDENTE")</f>
        <v/>
      </c>
      <c r="K537" s="8">
        <f>IFERROR(IF(J537="PENDENTE",0,J537*H537),0)</f>
        <v/>
      </c>
      <c r="L537" s="8" t="n">
        <v>321.3</v>
      </c>
      <c r="M537" s="20">
        <f>IFERROR(K537/L537,0)</f>
        <v/>
      </c>
      <c r="N537" s="7" t="n"/>
    </row>
    <row r="538" ht="15" customHeight="1">
      <c r="A538" s="11" t="inlineStr">
        <is>
          <t>Delivery</t>
        </is>
      </c>
      <c r="B538" s="12" t="inlineStr">
        <is>
          <t>Delivery</t>
        </is>
      </c>
      <c r="C538" s="13" t="inlineStr">
        <is>
          <t>Combo Big Family para 4</t>
        </is>
      </c>
      <c r="D538" s="2">
        <f>IF(ISERROR(VLOOKUP(E538,'Estrutura Protheus'!A:A,1,FALSE)),"Não","Sim")</f>
        <v/>
      </c>
      <c r="E538" s="5" t="inlineStr">
        <is>
          <t>002024</t>
        </is>
      </c>
      <c r="F538" s="5" t="inlineStr">
        <is>
          <t>000291</t>
        </is>
      </c>
      <c r="G538" s="3" t="inlineStr">
        <is>
          <t>Espeto Frango</t>
        </is>
      </c>
      <c r="H538" s="14" t="n">
        <v>4</v>
      </c>
      <c r="I538" s="5" t="inlineStr">
        <is>
          <t>UN</t>
        </is>
      </c>
      <c r="J538" s="4">
        <f>IFERROR(VLOOKUP(F538,'Base Insumos'!$A:$C,3,FALSE()),"PENDENTE")</f>
        <v/>
      </c>
      <c r="K538" s="4">
        <f>IFERROR(IF(J538="PENDENTE",0,J538*H538),0)</f>
        <v/>
      </c>
      <c r="L538" s="4" t="n">
        <v>321.3</v>
      </c>
      <c r="M538" s="15">
        <f>IFERROR(K538/L538,0)</f>
        <v/>
      </c>
      <c r="N538" s="3" t="n"/>
    </row>
    <row r="539" ht="15" customHeight="1">
      <c r="A539" s="16" t="inlineStr">
        <is>
          <t>Delivery</t>
        </is>
      </c>
      <c r="B539" s="17" t="inlineStr">
        <is>
          <t>Delivery</t>
        </is>
      </c>
      <c r="C539" s="18" t="inlineStr">
        <is>
          <t>Combo Big Family para 4</t>
        </is>
      </c>
      <c r="D539" s="6">
        <f>IF(ISERROR(VLOOKUP(E539,'Estrutura Protheus'!A:A,1,FALSE)),"Não","Sim")</f>
        <v/>
      </c>
      <c r="E539" s="9" t="inlineStr">
        <is>
          <t>002024</t>
        </is>
      </c>
      <c r="F539" s="9" t="inlineStr">
        <is>
          <t>000296</t>
        </is>
      </c>
      <c r="G539" s="7" t="inlineStr">
        <is>
          <t>Espeto File Mignon</t>
        </is>
      </c>
      <c r="H539" s="19" t="n">
        <v>4</v>
      </c>
      <c r="I539" s="9" t="inlineStr">
        <is>
          <t>UN</t>
        </is>
      </c>
      <c r="J539" s="8">
        <f>IFERROR(VLOOKUP(F539,'Base Insumos'!$A:$C,3,FALSE()),"PENDENTE")</f>
        <v/>
      </c>
      <c r="K539" s="8">
        <f>IFERROR(IF(J539="PENDENTE",0,J539*H539),0)</f>
        <v/>
      </c>
      <c r="L539" s="8" t="n">
        <v>321.3</v>
      </c>
      <c r="M539" s="20">
        <f>IFERROR(K539/L539,0)</f>
        <v/>
      </c>
      <c r="N539" s="7" t="n"/>
    </row>
    <row r="540" ht="15" customHeight="1">
      <c r="A540" s="11" t="inlineStr">
        <is>
          <t>Delivery</t>
        </is>
      </c>
      <c r="B540" s="12" t="inlineStr">
        <is>
          <t>Delivery</t>
        </is>
      </c>
      <c r="C540" s="13" t="inlineStr">
        <is>
          <t>Combo Big Family para 4</t>
        </is>
      </c>
      <c r="D540" s="2">
        <f>IF(ISERROR(VLOOKUP(E540,'Estrutura Protheus'!A:A,1,FALSE)),"Não","Sim")</f>
        <v/>
      </c>
      <c r="E540" s="5" t="inlineStr">
        <is>
          <t>002024</t>
        </is>
      </c>
      <c r="F540" s="5" t="inlineStr">
        <is>
          <t>000288</t>
        </is>
      </c>
      <c r="G540" s="3" t="inlineStr">
        <is>
          <t>Espeto Calabresa s/ Pimenta</t>
        </is>
      </c>
      <c r="H540" s="14" t="n">
        <v>3</v>
      </c>
      <c r="I540" s="5" t="inlineStr">
        <is>
          <t>UN</t>
        </is>
      </c>
      <c r="J540" s="4">
        <f>IFERROR(VLOOKUP(F540,'Base Insumos'!$A:$C,3,FALSE()),"PENDENTE")</f>
        <v/>
      </c>
      <c r="K540" s="4">
        <f>IFERROR(IF(J540="PENDENTE",0,J540*H540),0)</f>
        <v/>
      </c>
      <c r="L540" s="4" t="n">
        <v>321.3</v>
      </c>
      <c r="M540" s="15">
        <f>IFERROR(K540/L540,0)</f>
        <v/>
      </c>
      <c r="N540" s="3" t="n"/>
    </row>
    <row r="541" ht="15" customHeight="1">
      <c r="A541" s="16" t="inlineStr">
        <is>
          <t>Delivery</t>
        </is>
      </c>
      <c r="B541" s="17" t="inlineStr">
        <is>
          <t>Delivery</t>
        </is>
      </c>
      <c r="C541" s="18" t="inlineStr">
        <is>
          <t>Combo Big Family para 4</t>
        </is>
      </c>
      <c r="D541" s="6">
        <f>IF(ISERROR(VLOOKUP(E541,'Estrutura Protheus'!A:A,1,FALSE)),"Não","Sim")</f>
        <v/>
      </c>
      <c r="E541" s="9" t="inlineStr">
        <is>
          <t>002024</t>
        </is>
      </c>
      <c r="F541" s="9" t="inlineStr">
        <is>
          <t>000289</t>
        </is>
      </c>
      <c r="G541" s="7" t="inlineStr">
        <is>
          <t>Espeto Coracao</t>
        </is>
      </c>
      <c r="H541" s="19" t="n">
        <v>3</v>
      </c>
      <c r="I541" s="9" t="inlineStr">
        <is>
          <t>UN</t>
        </is>
      </c>
      <c r="J541" s="8">
        <f>IFERROR(VLOOKUP(F541,'Base Insumos'!$A:$C,3,FALSE()),"PENDENTE")</f>
        <v/>
      </c>
      <c r="K541" s="8">
        <f>IFERROR(IF(J541="PENDENTE",0,J541*H541),0)</f>
        <v/>
      </c>
      <c r="L541" s="8" t="n">
        <v>321.3</v>
      </c>
      <c r="M541" s="20">
        <f>IFERROR(K541/L541,0)</f>
        <v/>
      </c>
      <c r="N541" s="7" t="n"/>
    </row>
    <row r="542" ht="15" customHeight="1">
      <c r="A542" s="11" t="inlineStr">
        <is>
          <t>Delivery</t>
        </is>
      </c>
      <c r="B542" s="12" t="inlineStr">
        <is>
          <t>Delivery</t>
        </is>
      </c>
      <c r="C542" s="13" t="inlineStr">
        <is>
          <t>Combo Big Family para 4</t>
        </is>
      </c>
      <c r="D542" s="2">
        <f>IF(ISERROR(VLOOKUP(E542,'Estrutura Protheus'!A:A,1,FALSE)),"Não","Sim")</f>
        <v/>
      </c>
      <c r="E542" s="5" t="inlineStr">
        <is>
          <t>002024</t>
        </is>
      </c>
      <c r="F542" s="5" t="inlineStr">
        <is>
          <t>000377</t>
        </is>
      </c>
      <c r="G542" s="3" t="inlineStr">
        <is>
          <t>Arroz Tipo 1</t>
        </is>
      </c>
      <c r="H542" s="14" t="n">
        <v>0.15</v>
      </c>
      <c r="I542" s="5" t="inlineStr">
        <is>
          <t>KG</t>
        </is>
      </c>
      <c r="J542" s="4">
        <f>IFERROR(VLOOKUP(F542,'Base Insumos'!$A:$C,3,FALSE()),"PENDENTE")</f>
        <v/>
      </c>
      <c r="K542" s="4">
        <f>IFERROR(IF(J542="PENDENTE",0,J542*H542),0)</f>
        <v/>
      </c>
      <c r="L542" s="4" t="n">
        <v>321.3</v>
      </c>
      <c r="M542" s="15">
        <f>IFERROR(K542/L542,0)</f>
        <v/>
      </c>
      <c r="N542" s="3" t="n"/>
    </row>
    <row r="543" ht="15" customHeight="1">
      <c r="A543" s="16" t="inlineStr">
        <is>
          <t>Delivery</t>
        </is>
      </c>
      <c r="B543" s="17" t="inlineStr">
        <is>
          <t>Delivery</t>
        </is>
      </c>
      <c r="C543" s="18" t="inlineStr">
        <is>
          <t>Combo Big Family para 4</t>
        </is>
      </c>
      <c r="D543" s="6">
        <f>IF(ISERROR(VLOOKUP(E543,'Estrutura Protheus'!A:A,1,FALSE)),"Não","Sim")</f>
        <v/>
      </c>
      <c r="E543" s="9" t="inlineStr">
        <is>
          <t>002024</t>
        </is>
      </c>
      <c r="F543" s="9" t="inlineStr">
        <is>
          <t>000412</t>
        </is>
      </c>
      <c r="G543" s="7" t="inlineStr">
        <is>
          <t>Oleo de Soja Liza 900ml</t>
        </is>
      </c>
      <c r="H543" s="19" t="n">
        <v>0.059</v>
      </c>
      <c r="I543" s="9" t="inlineStr">
        <is>
          <t>LT</t>
        </is>
      </c>
      <c r="J543" s="8">
        <f>IFERROR(VLOOKUP(F543,'Base Insumos'!$A:$C,3,FALSE()),"PENDENTE")</f>
        <v/>
      </c>
      <c r="K543" s="8">
        <f>IFERROR(IF(J543="PENDENTE",0,J543*H543),0)</f>
        <v/>
      </c>
      <c r="L543" s="8" t="n">
        <v>321.3</v>
      </c>
      <c r="M543" s="20">
        <f>IFERROR(K543/L543,0)</f>
        <v/>
      </c>
      <c r="N543" s="7" t="n"/>
    </row>
    <row r="544" ht="15" customHeight="1">
      <c r="A544" s="11" t="inlineStr">
        <is>
          <t>Delivery</t>
        </is>
      </c>
      <c r="B544" s="12" t="inlineStr">
        <is>
          <t>Delivery</t>
        </is>
      </c>
      <c r="C544" s="13" t="inlineStr">
        <is>
          <t>Combo Big Family para 4</t>
        </is>
      </c>
      <c r="D544" s="2">
        <f>IF(ISERROR(VLOOKUP(E544,'Estrutura Protheus'!A:A,1,FALSE)),"Não","Sim")</f>
        <v/>
      </c>
      <c r="E544" s="5" t="inlineStr">
        <is>
          <t>002024</t>
        </is>
      </c>
      <c r="F544" s="5" t="inlineStr">
        <is>
          <t>000614</t>
        </is>
      </c>
      <c r="G544" s="3" t="inlineStr">
        <is>
          <t>Sal Refinado</t>
        </is>
      </c>
      <c r="H544" s="14" t="n">
        <v>0.003</v>
      </c>
      <c r="I544" s="5" t="inlineStr">
        <is>
          <t>KG</t>
        </is>
      </c>
      <c r="J544" s="4">
        <f>IFERROR(VLOOKUP(F544,'Base Insumos'!$A:$C,3,FALSE()),"PENDENTE")</f>
        <v/>
      </c>
      <c r="K544" s="4">
        <f>IFERROR(IF(J544="PENDENTE",0,J544*H544),0)</f>
        <v/>
      </c>
      <c r="L544" s="4" t="n">
        <v>321.3</v>
      </c>
      <c r="M544" s="15">
        <f>IFERROR(K544/L544,0)</f>
        <v/>
      </c>
      <c r="N544" s="3" t="n"/>
    </row>
    <row r="545" ht="15" customHeight="1">
      <c r="A545" s="16" t="inlineStr">
        <is>
          <t>Delivery</t>
        </is>
      </c>
      <c r="B545" s="17" t="inlineStr">
        <is>
          <t>Delivery</t>
        </is>
      </c>
      <c r="C545" s="18" t="inlineStr">
        <is>
          <t>Combo Big Family para 4</t>
        </is>
      </c>
      <c r="D545" s="6">
        <f>IF(ISERROR(VLOOKUP(E545,'Estrutura Protheus'!A:A,1,FALSE)),"Não","Sim")</f>
        <v/>
      </c>
      <c r="E545" s="9" t="inlineStr">
        <is>
          <t>002024</t>
        </is>
      </c>
      <c r="F545" s="9" t="inlineStr">
        <is>
          <t>000475</t>
        </is>
      </c>
      <c r="G545" s="7" t="inlineStr">
        <is>
          <t>Folha de Louro</t>
        </is>
      </c>
      <c r="H545" s="19" t="n">
        <v>0.002</v>
      </c>
      <c r="I545" s="9" t="inlineStr">
        <is>
          <t>KG</t>
        </is>
      </c>
      <c r="J545" s="8">
        <f>IFERROR(VLOOKUP(F545,'Base Insumos'!$A:$C,3,FALSE()),"PENDENTE")</f>
        <v/>
      </c>
      <c r="K545" s="8">
        <f>IFERROR(IF(J545="PENDENTE",0,J545*H545),0)</f>
        <v/>
      </c>
      <c r="L545" s="8" t="n">
        <v>321.3</v>
      </c>
      <c r="M545" s="20">
        <f>IFERROR(K545/L545,0)</f>
        <v/>
      </c>
      <c r="N545" s="7" t="n"/>
    </row>
    <row r="546" ht="15" customHeight="1">
      <c r="A546" s="11" t="inlineStr">
        <is>
          <t>Delivery</t>
        </is>
      </c>
      <c r="B546" s="12" t="inlineStr">
        <is>
          <t>Delivery</t>
        </is>
      </c>
      <c r="C546" s="13" t="inlineStr">
        <is>
          <t>Combo Big Family para 4</t>
        </is>
      </c>
      <c r="D546" s="2">
        <f>IF(ISERROR(VLOOKUP(E546,'Estrutura Protheus'!A:A,1,FALSE)),"Não","Sim")</f>
        <v/>
      </c>
      <c r="E546" s="5" t="inlineStr">
        <is>
          <t>002024</t>
        </is>
      </c>
      <c r="F546" s="5" t="inlineStr">
        <is>
          <t>002068</t>
        </is>
      </c>
      <c r="G546" s="3" t="inlineStr">
        <is>
          <t>Manteiga S/sal 5kg</t>
        </is>
      </c>
      <c r="H546" s="14" t="n">
        <v>0.005</v>
      </c>
      <c r="I546" s="5" t="inlineStr">
        <is>
          <t>KG</t>
        </is>
      </c>
      <c r="J546" s="4">
        <f>IFERROR(VLOOKUP(F546,'Base Insumos'!$A:$C,3,FALSE()),"PENDENTE")</f>
        <v/>
      </c>
      <c r="K546" s="4">
        <f>IFERROR(IF(J546="PENDENTE",0,J546*H546),0)</f>
        <v/>
      </c>
      <c r="L546" s="4" t="n">
        <v>321.3</v>
      </c>
      <c r="M546" s="15">
        <f>IFERROR(K546/L546,0)</f>
        <v/>
      </c>
      <c r="N546" s="3" t="n"/>
    </row>
    <row r="547" ht="15" customHeight="1">
      <c r="A547" s="16" t="inlineStr">
        <is>
          <t>Delivery</t>
        </is>
      </c>
      <c r="B547" s="17" t="inlineStr">
        <is>
          <t>Delivery</t>
        </is>
      </c>
      <c r="C547" s="18" t="inlineStr">
        <is>
          <t>Combo Big Family para 4</t>
        </is>
      </c>
      <c r="D547" s="6">
        <f>IF(ISERROR(VLOOKUP(E547,'Estrutura Protheus'!A:A,1,FALSE)),"Não","Sim")</f>
        <v/>
      </c>
      <c r="E547" s="9" t="inlineStr">
        <is>
          <t>002024</t>
        </is>
      </c>
      <c r="F547" s="9" t="inlineStr">
        <is>
          <t>002067</t>
        </is>
      </c>
      <c r="G547" s="7" t="inlineStr">
        <is>
          <t>Farinha Panko Empanar</t>
        </is>
      </c>
      <c r="H547" s="19" t="n">
        <v>0.02</v>
      </c>
      <c r="I547" s="9" t="inlineStr">
        <is>
          <t>KG</t>
        </is>
      </c>
      <c r="J547" s="8">
        <f>IFERROR(VLOOKUP(F547,'Base Insumos'!$A:$C,3,FALSE()),"PENDENTE")</f>
        <v/>
      </c>
      <c r="K547" s="8">
        <f>IFERROR(IF(J547="PENDENTE",0,J547*H547),0)</f>
        <v/>
      </c>
      <c r="L547" s="8" t="n">
        <v>321.3</v>
      </c>
      <c r="M547" s="20">
        <f>IFERROR(K547/L547,0)</f>
        <v/>
      </c>
      <c r="N547" s="7" t="n"/>
    </row>
    <row r="548" ht="15" customHeight="1">
      <c r="A548" s="11" t="inlineStr">
        <is>
          <t>Delivery</t>
        </is>
      </c>
      <c r="B548" s="12" t="inlineStr">
        <is>
          <t>Delivery</t>
        </is>
      </c>
      <c r="C548" s="13" t="inlineStr">
        <is>
          <t>Combo Big Family para 4</t>
        </is>
      </c>
      <c r="D548" s="2">
        <f>IF(ISERROR(VLOOKUP(E548,'Estrutura Protheus'!A:A,1,FALSE)),"Não","Sim")</f>
        <v/>
      </c>
      <c r="E548" s="5" t="inlineStr">
        <is>
          <t>002024</t>
        </is>
      </c>
      <c r="F548" s="5" t="inlineStr">
        <is>
          <t>000426</t>
        </is>
      </c>
      <c r="G548" s="3" t="inlineStr">
        <is>
          <t>Bacon em Cubos</t>
        </is>
      </c>
      <c r="H548" s="14" t="n">
        <v>0.004</v>
      </c>
      <c r="I548" s="5" t="inlineStr">
        <is>
          <t>KG</t>
        </is>
      </c>
      <c r="J548" s="4">
        <f>IFERROR(VLOOKUP(F548,'Base Insumos'!$A:$C,3,FALSE()),"PENDENTE")</f>
        <v/>
      </c>
      <c r="K548" s="4">
        <f>IFERROR(IF(J548="PENDENTE",0,J548*H548),0)</f>
        <v/>
      </c>
      <c r="L548" s="4" t="n">
        <v>321.3</v>
      </c>
      <c r="M548" s="15">
        <f>IFERROR(K548/L548,0)</f>
        <v/>
      </c>
      <c r="N548" s="3" t="n"/>
    </row>
    <row r="549" ht="15" customHeight="1">
      <c r="A549" s="16" t="inlineStr">
        <is>
          <t>Delivery</t>
        </is>
      </c>
      <c r="B549" s="17" t="inlineStr">
        <is>
          <t>Delivery</t>
        </is>
      </c>
      <c r="C549" s="18" t="inlineStr">
        <is>
          <t>Combo Big Family para 4</t>
        </is>
      </c>
      <c r="D549" s="6">
        <f>IF(ISERROR(VLOOKUP(E549,'Estrutura Protheus'!A:A,1,FALSE)),"Não","Sim")</f>
        <v/>
      </c>
      <c r="E549" s="9" t="inlineStr">
        <is>
          <t>002024</t>
        </is>
      </c>
      <c r="F549" s="9" t="inlineStr">
        <is>
          <t>002070</t>
        </is>
      </c>
      <c r="G549" s="7" t="inlineStr">
        <is>
          <t>Alho Poro</t>
        </is>
      </c>
      <c r="H549" s="19" t="n">
        <v>0.004</v>
      </c>
      <c r="I549" s="9" t="inlineStr">
        <is>
          <t>KG</t>
        </is>
      </c>
      <c r="J549" s="8">
        <f>IFERROR(VLOOKUP(F549,'Base Insumos'!$A:$C,3,FALSE()),"PENDENTE")</f>
        <v/>
      </c>
      <c r="K549" s="8">
        <f>IFERROR(IF(J549="PENDENTE",0,J549*H549),0)</f>
        <v/>
      </c>
      <c r="L549" s="8" t="n">
        <v>321.3</v>
      </c>
      <c r="M549" s="20">
        <f>IFERROR(K549/L549,0)</f>
        <v/>
      </c>
      <c r="N549" s="7" t="n"/>
    </row>
    <row r="550" ht="15" customHeight="1">
      <c r="A550" s="11" t="inlineStr">
        <is>
          <t>Delivery</t>
        </is>
      </c>
      <c r="B550" s="12" t="inlineStr">
        <is>
          <t>Delivery</t>
        </is>
      </c>
      <c r="C550" s="13" t="inlineStr">
        <is>
          <t>Combo Big Family para 4</t>
        </is>
      </c>
      <c r="D550" s="2">
        <f>IF(ISERROR(VLOOKUP(E550,'Estrutura Protheus'!A:A,1,FALSE)),"Não","Sim")</f>
        <v/>
      </c>
      <c r="E550" s="5" t="inlineStr">
        <is>
          <t>002024</t>
        </is>
      </c>
      <c r="F550" s="5" t="inlineStr">
        <is>
          <t>000667</t>
        </is>
      </c>
      <c r="G550" s="3" t="inlineStr">
        <is>
          <t>Tomilho</t>
        </is>
      </c>
      <c r="H550" s="14" t="n">
        <v>0.0005999999999999999</v>
      </c>
      <c r="I550" s="5" t="inlineStr">
        <is>
          <t>KG</t>
        </is>
      </c>
      <c r="J550" s="4">
        <f>IFERROR(VLOOKUP(F550,'Base Insumos'!$A:$C,3,FALSE()),"PENDENTE")</f>
        <v/>
      </c>
      <c r="K550" s="4">
        <f>IFERROR(IF(J550="PENDENTE",0,J550*H550),0)</f>
        <v/>
      </c>
      <c r="L550" s="4" t="n">
        <v>321.3</v>
      </c>
      <c r="M550" s="15">
        <f>IFERROR(K550/L550,0)</f>
        <v/>
      </c>
      <c r="N550" s="3" t="n"/>
    </row>
    <row r="551" ht="15" customHeight="1">
      <c r="A551" s="16" t="inlineStr">
        <is>
          <t>Delivery</t>
        </is>
      </c>
      <c r="B551" s="17" t="inlineStr">
        <is>
          <t>Delivery</t>
        </is>
      </c>
      <c r="C551" s="18" t="inlineStr">
        <is>
          <t>Combo Big Family para 4</t>
        </is>
      </c>
      <c r="D551" s="6">
        <f>IF(ISERROR(VLOOKUP(E551,'Estrutura Protheus'!A:A,1,FALSE)),"Não","Sim")</f>
        <v/>
      </c>
      <c r="E551" s="9" t="inlineStr">
        <is>
          <t>002024</t>
        </is>
      </c>
      <c r="F551" s="9" t="inlineStr">
        <is>
          <t>000668</t>
        </is>
      </c>
      <c r="G551" s="7" t="inlineStr">
        <is>
          <t>Alecrim</t>
        </is>
      </c>
      <c r="H551" s="19" t="n">
        <v>0.001</v>
      </c>
      <c r="I551" s="9" t="inlineStr">
        <is>
          <t>KG</t>
        </is>
      </c>
      <c r="J551" s="8">
        <f>IFERROR(VLOOKUP(F551,'Base Insumos'!$A:$C,3,FALSE()),"PENDENTE")</f>
        <v/>
      </c>
      <c r="K551" s="8">
        <f>IFERROR(IF(J551="PENDENTE",0,J551*H551),0)</f>
        <v/>
      </c>
      <c r="L551" s="8" t="n">
        <v>321.3</v>
      </c>
      <c r="M551" s="20">
        <f>IFERROR(K551/L551,0)</f>
        <v/>
      </c>
      <c r="N551" s="7" t="n"/>
    </row>
    <row r="552" ht="15" customHeight="1">
      <c r="A552" s="11" t="inlineStr">
        <is>
          <t>Delivery</t>
        </is>
      </c>
      <c r="B552" s="12" t="inlineStr">
        <is>
          <t>Delivery</t>
        </is>
      </c>
      <c r="C552" s="13" t="inlineStr">
        <is>
          <t>Combo Big Family para 4</t>
        </is>
      </c>
      <c r="D552" s="2">
        <f>IF(ISERROR(VLOOKUP(E552,'Estrutura Protheus'!A:A,1,FALSE)),"Não","Sim")</f>
        <v/>
      </c>
      <c r="E552" s="5" t="inlineStr">
        <is>
          <t>002024</t>
        </is>
      </c>
      <c r="F552" s="5" t="inlineStr">
        <is>
          <t>002068</t>
        </is>
      </c>
      <c r="G552" s="3" t="inlineStr">
        <is>
          <t>Manteiga S/sal 5kg</t>
        </is>
      </c>
      <c r="H552" s="14" t="n">
        <v>0.004</v>
      </c>
      <c r="I552" s="5" t="inlineStr">
        <is>
          <t>KG</t>
        </is>
      </c>
      <c r="J552" s="4">
        <f>IFERROR(VLOOKUP(F552,'Base Insumos'!$A:$C,3,FALSE()),"PENDENTE")</f>
        <v/>
      </c>
      <c r="K552" s="4">
        <f>IFERROR(IF(J552="PENDENTE",0,J552*H552),0)</f>
        <v/>
      </c>
      <c r="L552" s="4" t="n">
        <v>321.3</v>
      </c>
      <c r="M552" s="15">
        <f>IFERROR(K552/L552,0)</f>
        <v/>
      </c>
      <c r="N552" s="3" t="n"/>
    </row>
    <row r="553" ht="15" customHeight="1">
      <c r="A553" s="16" t="inlineStr">
        <is>
          <t>Delivery</t>
        </is>
      </c>
      <c r="B553" s="17" t="inlineStr">
        <is>
          <t>Delivery</t>
        </is>
      </c>
      <c r="C553" s="18" t="inlineStr">
        <is>
          <t>Combo Big Family para 4</t>
        </is>
      </c>
      <c r="D553" s="6">
        <f>IF(ISERROR(VLOOKUP(E553,'Estrutura Protheus'!A:A,1,FALSE)),"Não","Sim")</f>
        <v/>
      </c>
      <c r="E553" s="9" t="inlineStr">
        <is>
          <t>002024</t>
        </is>
      </c>
      <c r="F553" s="9" t="inlineStr">
        <is>
          <t>000390</t>
        </is>
      </c>
      <c r="G553" s="7" t="inlineStr">
        <is>
          <t>Farinha de Trigo Sol</t>
        </is>
      </c>
      <c r="H553" s="19" t="n">
        <v>0.002</v>
      </c>
      <c r="I553" s="9" t="inlineStr">
        <is>
          <t>KG</t>
        </is>
      </c>
      <c r="J553" s="8">
        <f>IFERROR(VLOOKUP(F553,'Base Insumos'!$A:$C,3,FALSE()),"PENDENTE")</f>
        <v/>
      </c>
      <c r="K553" s="8">
        <f>IFERROR(IF(J553="PENDENTE",0,J553*H553),0)</f>
        <v/>
      </c>
      <c r="L553" s="8" t="n">
        <v>321.3</v>
      </c>
      <c r="M553" s="20">
        <f>IFERROR(K553/L553,0)</f>
        <v/>
      </c>
      <c r="N553" s="7" t="n"/>
    </row>
    <row r="554" ht="15" customHeight="1">
      <c r="A554" s="11" t="inlineStr">
        <is>
          <t>Delivery</t>
        </is>
      </c>
      <c r="B554" s="12" t="inlineStr">
        <is>
          <t>Delivery</t>
        </is>
      </c>
      <c r="C554" s="13" t="inlineStr">
        <is>
          <t>Combo Big Family para 4</t>
        </is>
      </c>
      <c r="D554" s="2">
        <f>IF(ISERROR(VLOOKUP(E554,'Estrutura Protheus'!A:A,1,FALSE)),"Não","Sim")</f>
        <v/>
      </c>
      <c r="E554" s="5" t="inlineStr">
        <is>
          <t>002024</t>
        </is>
      </c>
      <c r="F554" s="5" t="inlineStr">
        <is>
          <t>000331</t>
        </is>
      </c>
      <c r="G554" s="3" t="inlineStr">
        <is>
          <t>Barril Chopp Brahma Claro 50lt</t>
        </is>
      </c>
      <c r="H554" s="14" t="n">
        <v>0.003</v>
      </c>
      <c r="I554" s="5" t="inlineStr">
        <is>
          <t>LT</t>
        </is>
      </c>
      <c r="J554" s="4">
        <f>IFERROR(VLOOKUP(F554,'Base Insumos'!$A:$C,3,FALSE()),"PENDENTE")</f>
        <v/>
      </c>
      <c r="K554" s="4">
        <f>IFERROR(IF(J554="PENDENTE",0,J554*H554),0)</f>
        <v/>
      </c>
      <c r="L554" s="4" t="n">
        <v>321.3</v>
      </c>
      <c r="M554" s="15">
        <f>IFERROR(K554/L554,0)</f>
        <v/>
      </c>
      <c r="N554" s="3" t="n"/>
    </row>
    <row r="555" ht="15" customHeight="1">
      <c r="A555" s="16" t="inlineStr">
        <is>
          <t>Delivery</t>
        </is>
      </c>
      <c r="B555" s="17" t="inlineStr">
        <is>
          <t>Delivery</t>
        </is>
      </c>
      <c r="C555" s="18" t="inlineStr">
        <is>
          <t>Combo Big Family para 4</t>
        </is>
      </c>
      <c r="D555" s="6">
        <f>IF(ISERROR(VLOOKUP(E555,'Estrutura Protheus'!A:A,1,FALSE)),"Não","Sim")</f>
        <v/>
      </c>
      <c r="E555" s="9" t="inlineStr">
        <is>
          <t>002024</t>
        </is>
      </c>
      <c r="F555" s="9" t="inlineStr">
        <is>
          <t>000614</t>
        </is>
      </c>
      <c r="G555" s="7" t="inlineStr">
        <is>
          <t>Sal Refinado</t>
        </is>
      </c>
      <c r="H555" s="19" t="n">
        <v>0.0002</v>
      </c>
      <c r="I555" s="9" t="inlineStr">
        <is>
          <t>KG</t>
        </is>
      </c>
      <c r="J555" s="8">
        <f>IFERROR(VLOOKUP(F555,'Base Insumos'!$A:$C,3,FALSE()),"PENDENTE")</f>
        <v/>
      </c>
      <c r="K555" s="8">
        <f>IFERROR(IF(J555="PENDENTE",0,J555*H555),0)</f>
        <v/>
      </c>
      <c r="L555" s="8" t="n">
        <v>321.3</v>
      </c>
      <c r="M555" s="20">
        <f>IFERROR(K555/L555,0)</f>
        <v/>
      </c>
      <c r="N555" s="7" t="n"/>
    </row>
    <row r="556" ht="15" customHeight="1">
      <c r="A556" s="11" t="inlineStr">
        <is>
          <t>Delivery</t>
        </is>
      </c>
      <c r="B556" s="12" t="inlineStr">
        <is>
          <t>Delivery</t>
        </is>
      </c>
      <c r="C556" s="13" t="inlineStr">
        <is>
          <t>Combo Big Family para 4</t>
        </is>
      </c>
      <c r="D556" s="2">
        <f>IF(ISERROR(VLOOKUP(E556,'Estrutura Protheus'!A:A,1,FALSE)),"Não","Sim")</f>
        <v/>
      </c>
      <c r="E556" s="5" t="inlineStr">
        <is>
          <t>002024</t>
        </is>
      </c>
      <c r="F556" s="5" t="inlineStr">
        <is>
          <t>000414</t>
        </is>
      </c>
      <c r="G556" s="3" t="inlineStr">
        <is>
          <t>Pimenta do Reino Moida</t>
        </is>
      </c>
      <c r="H556" s="14" t="n">
        <v>6e-05</v>
      </c>
      <c r="I556" s="5" t="inlineStr">
        <is>
          <t>KG</t>
        </is>
      </c>
      <c r="J556" s="4">
        <f>IFERROR(VLOOKUP(F556,'Base Insumos'!$A:$C,3,FALSE()),"PENDENTE")</f>
        <v/>
      </c>
      <c r="K556" s="4">
        <f>IFERROR(IF(J556="PENDENTE",0,J556*H556),0)</f>
        <v/>
      </c>
      <c r="L556" s="4" t="n">
        <v>321.3</v>
      </c>
      <c r="M556" s="15">
        <f>IFERROR(K556/L556,0)</f>
        <v/>
      </c>
      <c r="N556" s="3" t="n"/>
    </row>
    <row r="557" ht="15" customHeight="1">
      <c r="A557" s="16" t="inlineStr">
        <is>
          <t>Delivery</t>
        </is>
      </c>
      <c r="B557" s="17" t="inlineStr">
        <is>
          <t>Delivery</t>
        </is>
      </c>
      <c r="C557" s="18" t="inlineStr">
        <is>
          <t>Combo Big Family para 4</t>
        </is>
      </c>
      <c r="D557" s="6">
        <f>IF(ISERROR(VLOOKUP(E557,'Estrutura Protheus'!A:A,1,FALSE)),"Não","Sim")</f>
        <v/>
      </c>
      <c r="E557" s="9" t="inlineStr">
        <is>
          <t>002024</t>
        </is>
      </c>
      <c r="F557" s="9" t="inlineStr">
        <is>
          <t>000486</t>
        </is>
      </c>
      <c r="G557" s="7" t="inlineStr">
        <is>
          <t>Tomate Salada</t>
        </is>
      </c>
      <c r="H557" s="19" t="n">
        <v>0.026</v>
      </c>
      <c r="I557" s="9" t="inlineStr">
        <is>
          <t>KG</t>
        </is>
      </c>
      <c r="J557" s="8">
        <f>IFERROR(VLOOKUP(F557,'Base Insumos'!$A:$C,3,FALSE()),"PENDENTE")</f>
        <v/>
      </c>
      <c r="K557" s="8">
        <f>IFERROR(IF(J557="PENDENTE",0,J557*H557),0)</f>
        <v/>
      </c>
      <c r="L557" s="8" t="n">
        <v>321.3</v>
      </c>
      <c r="M557" s="20">
        <f>IFERROR(K557/L557,0)</f>
        <v/>
      </c>
      <c r="N557" s="7" t="n"/>
    </row>
    <row r="558" ht="15" customHeight="1">
      <c r="A558" s="11" t="inlineStr">
        <is>
          <t>Delivery</t>
        </is>
      </c>
      <c r="B558" s="12" t="inlineStr">
        <is>
          <t>Delivery</t>
        </is>
      </c>
      <c r="C558" s="13" t="inlineStr">
        <is>
          <t>Combo Big Family para 4</t>
        </is>
      </c>
      <c r="D558" s="2">
        <f>IF(ISERROR(VLOOKUP(E558,'Estrutura Protheus'!A:A,1,FALSE)),"Não","Sim")</f>
        <v/>
      </c>
      <c r="E558" s="5" t="inlineStr">
        <is>
          <t>002024</t>
        </is>
      </c>
      <c r="F558" s="5" t="inlineStr">
        <is>
          <t>000468</t>
        </is>
      </c>
      <c r="G558" s="3" t="inlineStr">
        <is>
          <t>Cebola Media</t>
        </is>
      </c>
      <c r="H558" s="14" t="n">
        <v>0.013</v>
      </c>
      <c r="I558" s="5" t="inlineStr">
        <is>
          <t>KG</t>
        </is>
      </c>
      <c r="J558" s="4">
        <f>IFERROR(VLOOKUP(F558,'Base Insumos'!$A:$C,3,FALSE()),"PENDENTE")</f>
        <v/>
      </c>
      <c r="K558" s="4">
        <f>IFERROR(IF(J558="PENDENTE",0,J558*H558),0)</f>
        <v/>
      </c>
      <c r="L558" s="4" t="n">
        <v>321.3</v>
      </c>
      <c r="M558" s="15">
        <f>IFERROR(K558/L558,0)</f>
        <v/>
      </c>
      <c r="N558" s="3" t="n"/>
    </row>
    <row r="559" ht="15" customHeight="1">
      <c r="A559" s="16" t="inlineStr">
        <is>
          <t>Delivery</t>
        </is>
      </c>
      <c r="B559" s="17" t="inlineStr">
        <is>
          <t>Delivery</t>
        </is>
      </c>
      <c r="C559" s="18" t="inlineStr">
        <is>
          <t>Combo Big Family para 4</t>
        </is>
      </c>
      <c r="D559" s="6">
        <f>IF(ISERROR(VLOOKUP(E559,'Estrutura Protheus'!A:A,1,FALSE)),"Não","Sim")</f>
        <v/>
      </c>
      <c r="E559" s="9" t="inlineStr">
        <is>
          <t>002024</t>
        </is>
      </c>
      <c r="F559" s="9" t="inlineStr">
        <is>
          <t>000484</t>
        </is>
      </c>
      <c r="G559" s="7" t="inlineStr">
        <is>
          <t>Salsa Lisa Industrial</t>
        </is>
      </c>
      <c r="H559" s="19" t="n">
        <v>0.008999999999999999</v>
      </c>
      <c r="I559" s="9" t="inlineStr">
        <is>
          <t>KG</t>
        </is>
      </c>
      <c r="J559" s="8">
        <f>IFERROR(VLOOKUP(F559,'Base Insumos'!$A:$C,3,FALSE()),"PENDENTE")</f>
        <v/>
      </c>
      <c r="K559" s="8">
        <f>IFERROR(IF(J559="PENDENTE",0,J559*H559),0)</f>
        <v/>
      </c>
      <c r="L559" s="8" t="n">
        <v>321.3</v>
      </c>
      <c r="M559" s="20">
        <f>IFERROR(K559/L559,0)</f>
        <v/>
      </c>
      <c r="N559" s="7" t="n"/>
    </row>
    <row r="560" ht="15" customHeight="1">
      <c r="A560" s="11" t="inlineStr">
        <is>
          <t>Delivery</t>
        </is>
      </c>
      <c r="B560" s="12" t="inlineStr">
        <is>
          <t>Delivery</t>
        </is>
      </c>
      <c r="C560" s="13" t="inlineStr">
        <is>
          <t>Combo Big Family para 4</t>
        </is>
      </c>
      <c r="D560" s="2">
        <f>IF(ISERROR(VLOOKUP(E560,'Estrutura Protheus'!A:A,1,FALSE)),"Não","Sim")</f>
        <v/>
      </c>
      <c r="E560" s="5" t="inlineStr">
        <is>
          <t>002024</t>
        </is>
      </c>
      <c r="F560" s="5" t="inlineStr">
        <is>
          <t>000424</t>
        </is>
      </c>
      <c r="G560" s="3" t="inlineStr">
        <is>
          <t>Vinagre Agrin Branco Neval Garrafa 750ml</t>
        </is>
      </c>
      <c r="H560" s="14" t="n">
        <v>0.007</v>
      </c>
      <c r="I560" s="5" t="inlineStr">
        <is>
          <t>LT</t>
        </is>
      </c>
      <c r="J560" s="4">
        <f>IFERROR(VLOOKUP(F560,'Base Insumos'!$A:$C,3,FALSE()),"PENDENTE")</f>
        <v/>
      </c>
      <c r="K560" s="4">
        <f>IFERROR(IF(J560="PENDENTE",0,J560*H560),0)</f>
        <v/>
      </c>
      <c r="L560" s="4" t="n">
        <v>321.3</v>
      </c>
      <c r="M560" s="15">
        <f>IFERROR(K560/L560,0)</f>
        <v/>
      </c>
      <c r="N560" s="3" t="n"/>
    </row>
    <row r="561" ht="15" customHeight="1">
      <c r="A561" s="16" t="inlineStr">
        <is>
          <t>Delivery</t>
        </is>
      </c>
      <c r="B561" s="17" t="inlineStr">
        <is>
          <t>Delivery</t>
        </is>
      </c>
      <c r="C561" s="18" t="inlineStr">
        <is>
          <t>Combo Big Family para 4</t>
        </is>
      </c>
      <c r="D561" s="6">
        <f>IF(ISERROR(VLOOKUP(E561,'Estrutura Protheus'!A:A,1,FALSE)),"Não","Sim")</f>
        <v/>
      </c>
      <c r="E561" s="9" t="inlineStr">
        <is>
          <t>002024</t>
        </is>
      </c>
      <c r="F561" s="9" t="inlineStr">
        <is>
          <t>001043</t>
        </is>
      </c>
      <c r="G561" s="7" t="inlineStr">
        <is>
          <t>Azeite 500 Ml</t>
        </is>
      </c>
      <c r="H561" s="19" t="n">
        <v>0.013</v>
      </c>
      <c r="I561" s="9" t="inlineStr">
        <is>
          <t>LT</t>
        </is>
      </c>
      <c r="J561" s="8">
        <f>IFERROR(VLOOKUP(F561,'Base Insumos'!$A:$C,3,FALSE()),"PENDENTE")</f>
        <v/>
      </c>
      <c r="K561" s="8">
        <f>IFERROR(IF(J561="PENDENTE",0,J561*H561),0)</f>
        <v/>
      </c>
      <c r="L561" s="8" t="n">
        <v>321.3</v>
      </c>
      <c r="M561" s="20">
        <f>IFERROR(K561/L561,0)</f>
        <v/>
      </c>
      <c r="N561" s="7" t="n"/>
    </row>
    <row r="562" ht="15" customHeight="1">
      <c r="A562" s="11" t="inlineStr">
        <is>
          <t>Delivery</t>
        </is>
      </c>
      <c r="B562" s="12" t="inlineStr">
        <is>
          <t>Delivery</t>
        </is>
      </c>
      <c r="C562" s="13" t="inlineStr">
        <is>
          <t>Combo Big Family para 4</t>
        </is>
      </c>
      <c r="D562" s="2">
        <f>IF(ISERROR(VLOOKUP(E562,'Estrutura Protheus'!A:A,1,FALSE)),"Não","Sim")</f>
        <v/>
      </c>
      <c r="E562" s="5" t="inlineStr">
        <is>
          <t>002024</t>
        </is>
      </c>
      <c r="F562" s="5" t="inlineStr">
        <is>
          <t>000614</t>
        </is>
      </c>
      <c r="G562" s="3" t="inlineStr">
        <is>
          <t>Sal Refinado</t>
        </is>
      </c>
      <c r="H562" s="14" t="n">
        <v>0.0005</v>
      </c>
      <c r="I562" s="5" t="inlineStr">
        <is>
          <t>KG</t>
        </is>
      </c>
      <c r="J562" s="4">
        <f>IFERROR(VLOOKUP(F562,'Base Insumos'!$A:$C,3,FALSE()),"PENDENTE")</f>
        <v/>
      </c>
      <c r="K562" s="4">
        <f>IFERROR(IF(J562="PENDENTE",0,J562*H562),0)</f>
        <v/>
      </c>
      <c r="L562" s="4" t="n">
        <v>321.3</v>
      </c>
      <c r="M562" s="15">
        <f>IFERROR(K562/L562,0)</f>
        <v/>
      </c>
      <c r="N562" s="3" t="n"/>
    </row>
    <row r="563" ht="15" customHeight="1">
      <c r="A563" s="16" t="inlineStr">
        <is>
          <t>Delivery</t>
        </is>
      </c>
      <c r="B563" s="17" t="inlineStr">
        <is>
          <t>Delivery</t>
        </is>
      </c>
      <c r="C563" s="18" t="inlineStr">
        <is>
          <t>Marmita de Frango</t>
        </is>
      </c>
      <c r="D563" s="6">
        <f>IF(ISERROR(VLOOKUP(E563,'Estrutura Protheus'!A:A,1,FALSE)),"Não","Sim")</f>
        <v/>
      </c>
      <c r="E563" s="9" t="inlineStr">
        <is>
          <t>002077</t>
        </is>
      </c>
      <c r="F563" s="9" t="inlineStr">
        <is>
          <t>000291</t>
        </is>
      </c>
      <c r="G563" s="7" t="inlineStr">
        <is>
          <t>Espeto Frango</t>
        </is>
      </c>
      <c r="H563" s="19" t="n">
        <v>1</v>
      </c>
      <c r="I563" s="9" t="inlineStr">
        <is>
          <t>UN</t>
        </is>
      </c>
      <c r="J563" s="8">
        <f>IFERROR(VLOOKUP(F563,'Base Insumos'!$A:$C,3,FALSE()),"PENDENTE")</f>
        <v/>
      </c>
      <c r="K563" s="8">
        <f>IFERROR(IF(J563="PENDENTE",0,J563*H563),0)</f>
        <v/>
      </c>
      <c r="L563" s="8" t="n">
        <v>29.9</v>
      </c>
      <c r="M563" s="20">
        <f>IFERROR(K563/L563,0)</f>
        <v/>
      </c>
      <c r="N563" s="7" t="n"/>
    </row>
    <row r="564" ht="15" customHeight="1">
      <c r="A564" s="11" t="inlineStr">
        <is>
          <t>Delivery</t>
        </is>
      </c>
      <c r="B564" s="12" t="inlineStr">
        <is>
          <t>Delivery</t>
        </is>
      </c>
      <c r="C564" s="13" t="inlineStr">
        <is>
          <t>Marmita de Frango</t>
        </is>
      </c>
      <c r="D564" s="2">
        <f>IF(ISERROR(VLOOKUP(E564,'Estrutura Protheus'!A:A,1,FALSE)),"Não","Sim")</f>
        <v/>
      </c>
      <c r="E564" s="5" t="inlineStr">
        <is>
          <t>002077</t>
        </is>
      </c>
      <c r="F564" s="5" t="inlineStr">
        <is>
          <t>000377</t>
        </is>
      </c>
      <c r="G564" s="3" t="inlineStr">
        <is>
          <t>Arroz Tipo 1</t>
        </is>
      </c>
      <c r="H564" s="14" t="n">
        <v>0.15</v>
      </c>
      <c r="I564" s="5" t="inlineStr">
        <is>
          <t>KG</t>
        </is>
      </c>
      <c r="J564" s="4">
        <f>IFERROR(VLOOKUP(F564,'Base Insumos'!$A:$C,3,FALSE()),"PENDENTE")</f>
        <v/>
      </c>
      <c r="K564" s="4">
        <f>IFERROR(IF(J564="PENDENTE",0,J564*H564),0)</f>
        <v/>
      </c>
      <c r="L564" s="4" t="n">
        <v>29.9</v>
      </c>
      <c r="M564" s="15">
        <f>IFERROR(K564/L564,0)</f>
        <v/>
      </c>
      <c r="N564" s="3" t="n"/>
    </row>
    <row r="565" ht="15" customHeight="1">
      <c r="A565" s="16" t="inlineStr">
        <is>
          <t>Delivery</t>
        </is>
      </c>
      <c r="B565" s="17" t="inlineStr">
        <is>
          <t>Delivery</t>
        </is>
      </c>
      <c r="C565" s="18" t="inlineStr">
        <is>
          <t>Marmita de Frango</t>
        </is>
      </c>
      <c r="D565" s="6">
        <f>IF(ISERROR(VLOOKUP(E565,'Estrutura Protheus'!A:A,1,FALSE)),"Não","Sim")</f>
        <v/>
      </c>
      <c r="E565" s="9" t="inlineStr">
        <is>
          <t>002077</t>
        </is>
      </c>
      <c r="F565" s="9" t="inlineStr">
        <is>
          <t>000412</t>
        </is>
      </c>
      <c r="G565" s="7" t="inlineStr">
        <is>
          <t>Oleo de Soja Liza 900ml</t>
        </is>
      </c>
      <c r="H565" s="19" t="n">
        <v>0.06</v>
      </c>
      <c r="I565" s="9" t="inlineStr">
        <is>
          <t>LT</t>
        </is>
      </c>
      <c r="J565" s="8">
        <f>IFERROR(VLOOKUP(F565,'Base Insumos'!$A:$C,3,FALSE()),"PENDENTE")</f>
        <v/>
      </c>
      <c r="K565" s="8">
        <f>IFERROR(IF(J565="PENDENTE",0,J565*H565),0)</f>
        <v/>
      </c>
      <c r="L565" s="8" t="n">
        <v>29.9</v>
      </c>
      <c r="M565" s="20">
        <f>IFERROR(K565/L565,0)</f>
        <v/>
      </c>
      <c r="N565" s="7" t="n"/>
    </row>
    <row r="566" ht="15" customHeight="1">
      <c r="A566" s="11" t="inlineStr">
        <is>
          <t>Delivery</t>
        </is>
      </c>
      <c r="B566" s="12" t="inlineStr">
        <is>
          <t>Delivery</t>
        </is>
      </c>
      <c r="C566" s="13" t="inlineStr">
        <is>
          <t>Marmita de Frango</t>
        </is>
      </c>
      <c r="D566" s="2">
        <f>IF(ISERROR(VLOOKUP(E566,'Estrutura Protheus'!A:A,1,FALSE)),"Não","Sim")</f>
        <v/>
      </c>
      <c r="E566" s="5" t="inlineStr">
        <is>
          <t>002077</t>
        </is>
      </c>
      <c r="F566" s="5" t="inlineStr">
        <is>
          <t>000614</t>
        </is>
      </c>
      <c r="G566" s="3" t="inlineStr">
        <is>
          <t>Sal Refinado</t>
        </is>
      </c>
      <c r="H566" s="14" t="n">
        <v>0.003</v>
      </c>
      <c r="I566" s="5" t="inlineStr">
        <is>
          <t>KG</t>
        </is>
      </c>
      <c r="J566" s="4">
        <f>IFERROR(VLOOKUP(F566,'Base Insumos'!$A:$C,3,FALSE()),"PENDENTE")</f>
        <v/>
      </c>
      <c r="K566" s="4">
        <f>IFERROR(IF(J566="PENDENTE",0,J566*H566),0)</f>
        <v/>
      </c>
      <c r="L566" s="4" t="n">
        <v>29.9</v>
      </c>
      <c r="M566" s="15">
        <f>IFERROR(K566/L566,0)</f>
        <v/>
      </c>
      <c r="N566" s="3" t="n"/>
    </row>
    <row r="567" ht="15" customHeight="1">
      <c r="A567" s="16" t="inlineStr">
        <is>
          <t>Delivery</t>
        </is>
      </c>
      <c r="B567" s="17" t="inlineStr">
        <is>
          <t>Delivery</t>
        </is>
      </c>
      <c r="C567" s="18" t="inlineStr">
        <is>
          <t>Marmita de Frango</t>
        </is>
      </c>
      <c r="D567" s="6">
        <f>IF(ISERROR(VLOOKUP(E567,'Estrutura Protheus'!A:A,1,FALSE)),"Não","Sim")</f>
        <v/>
      </c>
      <c r="E567" s="9" t="inlineStr">
        <is>
          <t>002077</t>
        </is>
      </c>
      <c r="F567" s="9" t="inlineStr">
        <is>
          <t>000475</t>
        </is>
      </c>
      <c r="G567" s="7" t="inlineStr">
        <is>
          <t>Folha de Louro</t>
        </is>
      </c>
      <c r="H567" s="19" t="n">
        <v>0.002</v>
      </c>
      <c r="I567" s="9" t="inlineStr">
        <is>
          <t>KG</t>
        </is>
      </c>
      <c r="J567" s="8">
        <f>IFERROR(VLOOKUP(F567,'Base Insumos'!$A:$C,3,FALSE()),"PENDENTE")</f>
        <v/>
      </c>
      <c r="K567" s="8">
        <f>IFERROR(IF(J567="PENDENTE",0,J567*H567),0)</f>
        <v/>
      </c>
      <c r="L567" s="8" t="n">
        <v>29.9</v>
      </c>
      <c r="M567" s="20">
        <f>IFERROR(K567/L567,0)</f>
        <v/>
      </c>
      <c r="N567" s="7" t="n"/>
    </row>
    <row r="568" ht="15" customHeight="1">
      <c r="A568" s="11" t="inlineStr">
        <is>
          <t>Delivery</t>
        </is>
      </c>
      <c r="B568" s="12" t="inlineStr">
        <is>
          <t>Delivery</t>
        </is>
      </c>
      <c r="C568" s="13" t="inlineStr">
        <is>
          <t>Marmita de Frango</t>
        </is>
      </c>
      <c r="D568" s="2">
        <f>IF(ISERROR(VLOOKUP(E568,'Estrutura Protheus'!A:A,1,FALSE)),"Não","Sim")</f>
        <v/>
      </c>
      <c r="E568" s="5" t="inlineStr">
        <is>
          <t>002077</t>
        </is>
      </c>
      <c r="F568" s="5" t="inlineStr">
        <is>
          <t>002068</t>
        </is>
      </c>
      <c r="G568" s="3" t="inlineStr">
        <is>
          <t>Manteiga S/sal 5kg</t>
        </is>
      </c>
      <c r="H568" s="14" t="n">
        <v>0.005</v>
      </c>
      <c r="I568" s="5" t="inlineStr">
        <is>
          <t>KG</t>
        </is>
      </c>
      <c r="J568" s="4">
        <f>IFERROR(VLOOKUP(F568,'Base Insumos'!$A:$C,3,FALSE()),"PENDENTE")</f>
        <v/>
      </c>
      <c r="K568" s="4">
        <f>IFERROR(IF(J568="PENDENTE",0,J568*H568),0)</f>
        <v/>
      </c>
      <c r="L568" s="4" t="n">
        <v>29.9</v>
      </c>
      <c r="M568" s="15">
        <f>IFERROR(K568/L568,0)</f>
        <v/>
      </c>
      <c r="N568" s="3" t="n"/>
    </row>
    <row r="569" ht="15" customHeight="1">
      <c r="A569" s="16" t="inlineStr">
        <is>
          <t>Delivery</t>
        </is>
      </c>
      <c r="B569" s="17" t="inlineStr">
        <is>
          <t>Delivery</t>
        </is>
      </c>
      <c r="C569" s="18" t="inlineStr">
        <is>
          <t>Marmita de Frango</t>
        </is>
      </c>
      <c r="D569" s="6">
        <f>IF(ISERROR(VLOOKUP(E569,'Estrutura Protheus'!A:A,1,FALSE)),"Não","Sim")</f>
        <v/>
      </c>
      <c r="E569" s="9" t="inlineStr">
        <is>
          <t>002077</t>
        </is>
      </c>
      <c r="F569" s="9" t="inlineStr">
        <is>
          <t>002067</t>
        </is>
      </c>
      <c r="G569" s="7" t="inlineStr">
        <is>
          <t>Farinha Panko Empanar</t>
        </is>
      </c>
      <c r="H569" s="19" t="n">
        <v>0.02</v>
      </c>
      <c r="I569" s="9" t="inlineStr">
        <is>
          <t>KG</t>
        </is>
      </c>
      <c r="J569" s="8">
        <f>IFERROR(VLOOKUP(F569,'Base Insumos'!$A:$C,3,FALSE()),"PENDENTE")</f>
        <v/>
      </c>
      <c r="K569" s="8">
        <f>IFERROR(IF(J569="PENDENTE",0,J569*H569),0)</f>
        <v/>
      </c>
      <c r="L569" s="8" t="n">
        <v>29.9</v>
      </c>
      <c r="M569" s="20">
        <f>IFERROR(K569/L569,0)</f>
        <v/>
      </c>
      <c r="N569" s="7" t="n"/>
    </row>
    <row r="570" ht="15" customHeight="1">
      <c r="A570" s="11" t="inlineStr">
        <is>
          <t>Delivery</t>
        </is>
      </c>
      <c r="B570" s="12" t="inlineStr">
        <is>
          <t>Delivery</t>
        </is>
      </c>
      <c r="C570" s="13" t="inlineStr">
        <is>
          <t>Marmita de Frango</t>
        </is>
      </c>
      <c r="D570" s="2">
        <f>IF(ISERROR(VLOOKUP(E570,'Estrutura Protheus'!A:A,1,FALSE)),"Não","Sim")</f>
        <v/>
      </c>
      <c r="E570" s="5" t="inlineStr">
        <is>
          <t>002077</t>
        </is>
      </c>
      <c r="F570" s="5" t="inlineStr">
        <is>
          <t>000426</t>
        </is>
      </c>
      <c r="G570" s="3" t="inlineStr">
        <is>
          <t>Bacon em Cubos</t>
        </is>
      </c>
      <c r="H570" s="14" t="n">
        <v>0.004</v>
      </c>
      <c r="I570" s="5" t="inlineStr">
        <is>
          <t>KG</t>
        </is>
      </c>
      <c r="J570" s="4">
        <f>IFERROR(VLOOKUP(F570,'Base Insumos'!$A:$C,3,FALSE()),"PENDENTE")</f>
        <v/>
      </c>
      <c r="K570" s="4">
        <f>IFERROR(IF(J570="PENDENTE",0,J570*H570),0)</f>
        <v/>
      </c>
      <c r="L570" s="4" t="n">
        <v>29.9</v>
      </c>
      <c r="M570" s="15">
        <f>IFERROR(K570/L570,0)</f>
        <v/>
      </c>
      <c r="N570" s="3" t="n"/>
    </row>
    <row r="571" ht="15" customHeight="1">
      <c r="A571" s="16" t="inlineStr">
        <is>
          <t>Delivery</t>
        </is>
      </c>
      <c r="B571" s="17" t="inlineStr">
        <is>
          <t>Delivery</t>
        </is>
      </c>
      <c r="C571" s="18" t="inlineStr">
        <is>
          <t>Marmita de Frango</t>
        </is>
      </c>
      <c r="D571" s="6">
        <f>IF(ISERROR(VLOOKUP(E571,'Estrutura Protheus'!A:A,1,FALSE)),"Não","Sim")</f>
        <v/>
      </c>
      <c r="E571" s="9" t="inlineStr">
        <is>
          <t>002077</t>
        </is>
      </c>
      <c r="F571" s="9" t="inlineStr">
        <is>
          <t>002070</t>
        </is>
      </c>
      <c r="G571" s="7" t="inlineStr">
        <is>
          <t>Alho Poro</t>
        </is>
      </c>
      <c r="H571" s="19" t="n">
        <v>0.004</v>
      </c>
      <c r="I571" s="9" t="inlineStr">
        <is>
          <t>KG</t>
        </is>
      </c>
      <c r="J571" s="8">
        <f>IFERROR(VLOOKUP(F571,'Base Insumos'!$A:$C,3,FALSE()),"PENDENTE")</f>
        <v/>
      </c>
      <c r="K571" s="8">
        <f>IFERROR(IF(J571="PENDENTE",0,J571*H571),0)</f>
        <v/>
      </c>
      <c r="L571" s="8" t="n">
        <v>29.9</v>
      </c>
      <c r="M571" s="20">
        <f>IFERROR(K571/L571,0)</f>
        <v/>
      </c>
      <c r="N571" s="7" t="n"/>
    </row>
    <row r="572" ht="15" customHeight="1">
      <c r="A572" s="11" t="inlineStr">
        <is>
          <t>Delivery</t>
        </is>
      </c>
      <c r="B572" s="12" t="inlineStr">
        <is>
          <t>Delivery</t>
        </is>
      </c>
      <c r="C572" s="13" t="inlineStr">
        <is>
          <t>Marmita de Frango</t>
        </is>
      </c>
      <c r="D572" s="2">
        <f>IF(ISERROR(VLOOKUP(E572,'Estrutura Protheus'!A:A,1,FALSE)),"Não","Sim")</f>
        <v/>
      </c>
      <c r="E572" s="5" t="inlineStr">
        <is>
          <t>002077</t>
        </is>
      </c>
      <c r="F572" s="5" t="inlineStr">
        <is>
          <t>000667</t>
        </is>
      </c>
      <c r="G572" s="3" t="inlineStr">
        <is>
          <t>Tomilho</t>
        </is>
      </c>
      <c r="H572" s="14" t="n">
        <v>0.0005999999999999999</v>
      </c>
      <c r="I572" s="5" t="inlineStr">
        <is>
          <t>KG</t>
        </is>
      </c>
      <c r="J572" s="4">
        <f>IFERROR(VLOOKUP(F572,'Base Insumos'!$A:$C,3,FALSE()),"PENDENTE")</f>
        <v/>
      </c>
      <c r="K572" s="4">
        <f>IFERROR(IF(J572="PENDENTE",0,J572*H572),0)</f>
        <v/>
      </c>
      <c r="L572" s="4" t="n">
        <v>29.9</v>
      </c>
      <c r="M572" s="15">
        <f>IFERROR(K572/L572,0)</f>
        <v/>
      </c>
      <c r="N572" s="3" t="n"/>
    </row>
    <row r="573" ht="15" customHeight="1">
      <c r="A573" s="16" t="inlineStr">
        <is>
          <t>Delivery</t>
        </is>
      </c>
      <c r="B573" s="17" t="inlineStr">
        <is>
          <t>Delivery</t>
        </is>
      </c>
      <c r="C573" s="18" t="inlineStr">
        <is>
          <t>Marmita de Frango</t>
        </is>
      </c>
      <c r="D573" s="6">
        <f>IF(ISERROR(VLOOKUP(E573,'Estrutura Protheus'!A:A,1,FALSE)),"Não","Sim")</f>
        <v/>
      </c>
      <c r="E573" s="9" t="inlineStr">
        <is>
          <t>002077</t>
        </is>
      </c>
      <c r="F573" s="9" t="inlineStr">
        <is>
          <t>000668</t>
        </is>
      </c>
      <c r="G573" s="7" t="inlineStr">
        <is>
          <t>Alecrim</t>
        </is>
      </c>
      <c r="H573" s="19" t="n">
        <v>0.001</v>
      </c>
      <c r="I573" s="9" t="inlineStr">
        <is>
          <t>KG</t>
        </is>
      </c>
      <c r="J573" s="8">
        <f>IFERROR(VLOOKUP(F573,'Base Insumos'!$A:$C,3,FALSE()),"PENDENTE")</f>
        <v/>
      </c>
      <c r="K573" s="8">
        <f>IFERROR(IF(J573="PENDENTE",0,J573*H573),0)</f>
        <v/>
      </c>
      <c r="L573" s="8" t="n">
        <v>29.9</v>
      </c>
      <c r="M573" s="20">
        <f>IFERROR(K573/L573,0)</f>
        <v/>
      </c>
      <c r="N573" s="7" t="n"/>
    </row>
    <row r="574" ht="15" customHeight="1">
      <c r="A574" s="11" t="inlineStr">
        <is>
          <t>Delivery</t>
        </is>
      </c>
      <c r="B574" s="12" t="inlineStr">
        <is>
          <t>Delivery</t>
        </is>
      </c>
      <c r="C574" s="13" t="inlineStr">
        <is>
          <t>Marmita de Frango</t>
        </is>
      </c>
      <c r="D574" s="2">
        <f>IF(ISERROR(VLOOKUP(E574,'Estrutura Protheus'!A:A,1,FALSE)),"Não","Sim")</f>
        <v/>
      </c>
      <c r="E574" s="5" t="inlineStr">
        <is>
          <t>002077</t>
        </is>
      </c>
      <c r="F574" s="5" t="inlineStr">
        <is>
          <t>002068</t>
        </is>
      </c>
      <c r="G574" s="3" t="inlineStr">
        <is>
          <t>Manteiga S/sal 5kg</t>
        </is>
      </c>
      <c r="H574" s="14" t="n">
        <v>0.004</v>
      </c>
      <c r="I574" s="5" t="inlineStr">
        <is>
          <t>KG</t>
        </is>
      </c>
      <c r="J574" s="4">
        <f>IFERROR(VLOOKUP(F574,'Base Insumos'!$A:$C,3,FALSE()),"PENDENTE")</f>
        <v/>
      </c>
      <c r="K574" s="4">
        <f>IFERROR(IF(J574="PENDENTE",0,J574*H574),0)</f>
        <v/>
      </c>
      <c r="L574" s="4" t="n">
        <v>29.9</v>
      </c>
      <c r="M574" s="15">
        <f>IFERROR(K574/L574,0)</f>
        <v/>
      </c>
      <c r="N574" s="3" t="n"/>
    </row>
    <row r="575" ht="15" customHeight="1">
      <c r="A575" s="16" t="inlineStr">
        <is>
          <t>Delivery</t>
        </is>
      </c>
      <c r="B575" s="17" t="inlineStr">
        <is>
          <t>Delivery</t>
        </is>
      </c>
      <c r="C575" s="18" t="inlineStr">
        <is>
          <t>Marmita de Frango</t>
        </is>
      </c>
      <c r="D575" s="6">
        <f>IF(ISERROR(VLOOKUP(E575,'Estrutura Protheus'!A:A,1,FALSE)),"Não","Sim")</f>
        <v/>
      </c>
      <c r="E575" s="9" t="inlineStr">
        <is>
          <t>002077</t>
        </is>
      </c>
      <c r="F575" s="9" t="inlineStr">
        <is>
          <t>000390</t>
        </is>
      </c>
      <c r="G575" s="7" t="inlineStr">
        <is>
          <t>Farinha de Trigo Sol</t>
        </is>
      </c>
      <c r="H575" s="19" t="n">
        <v>0.002</v>
      </c>
      <c r="I575" s="9" t="inlineStr">
        <is>
          <t>KG</t>
        </is>
      </c>
      <c r="J575" s="8">
        <f>IFERROR(VLOOKUP(F575,'Base Insumos'!$A:$C,3,FALSE()),"PENDENTE")</f>
        <v/>
      </c>
      <c r="K575" s="8">
        <f>IFERROR(IF(J575="PENDENTE",0,J575*H575),0)</f>
        <v/>
      </c>
      <c r="L575" s="8" t="n">
        <v>29.9</v>
      </c>
      <c r="M575" s="20">
        <f>IFERROR(K575/L575,0)</f>
        <v/>
      </c>
      <c r="N575" s="7" t="n"/>
    </row>
    <row r="576" ht="15" customHeight="1">
      <c r="A576" s="11" t="inlineStr">
        <is>
          <t>Delivery</t>
        </is>
      </c>
      <c r="B576" s="12" t="inlineStr">
        <is>
          <t>Delivery</t>
        </is>
      </c>
      <c r="C576" s="13" t="inlineStr">
        <is>
          <t>Marmita de Frango</t>
        </is>
      </c>
      <c r="D576" s="2">
        <f>IF(ISERROR(VLOOKUP(E576,'Estrutura Protheus'!A:A,1,FALSE)),"Não","Sim")</f>
        <v/>
      </c>
      <c r="E576" s="5" t="inlineStr">
        <is>
          <t>002077</t>
        </is>
      </c>
      <c r="F576" s="5" t="inlineStr">
        <is>
          <t>000331</t>
        </is>
      </c>
      <c r="G576" s="3" t="inlineStr">
        <is>
          <t>Barril Chopp Brahma Claro 50lt</t>
        </is>
      </c>
      <c r="H576" s="14" t="n">
        <v>0.003</v>
      </c>
      <c r="I576" s="5" t="inlineStr">
        <is>
          <t>LT</t>
        </is>
      </c>
      <c r="J576" s="4">
        <f>IFERROR(VLOOKUP(F576,'Base Insumos'!$A:$C,3,FALSE()),"PENDENTE")</f>
        <v/>
      </c>
      <c r="K576" s="4">
        <f>IFERROR(IF(J576="PENDENTE",0,J576*H576),0)</f>
        <v/>
      </c>
      <c r="L576" s="4" t="n">
        <v>29.9</v>
      </c>
      <c r="M576" s="15">
        <f>IFERROR(K576/L576,0)</f>
        <v/>
      </c>
      <c r="N576" s="3" t="n"/>
    </row>
    <row r="577" ht="15" customHeight="1">
      <c r="A577" s="16" t="inlineStr">
        <is>
          <t>Delivery</t>
        </is>
      </c>
      <c r="B577" s="17" t="inlineStr">
        <is>
          <t>Delivery</t>
        </is>
      </c>
      <c r="C577" s="18" t="inlineStr">
        <is>
          <t>Marmita de Frango</t>
        </is>
      </c>
      <c r="D577" s="6">
        <f>IF(ISERROR(VLOOKUP(E577,'Estrutura Protheus'!A:A,1,FALSE)),"Não","Sim")</f>
        <v/>
      </c>
      <c r="E577" s="9" t="inlineStr">
        <is>
          <t>002077</t>
        </is>
      </c>
      <c r="F577" s="9" t="inlineStr">
        <is>
          <t>000614</t>
        </is>
      </c>
      <c r="G577" s="7" t="inlineStr">
        <is>
          <t>Sal Refinado</t>
        </is>
      </c>
      <c r="H577" s="19" t="n">
        <v>0.0002</v>
      </c>
      <c r="I577" s="9" t="inlineStr">
        <is>
          <t>KG</t>
        </is>
      </c>
      <c r="J577" s="8">
        <f>IFERROR(VLOOKUP(F577,'Base Insumos'!$A:$C,3,FALSE()),"PENDENTE")</f>
        <v/>
      </c>
      <c r="K577" s="8">
        <f>IFERROR(IF(J577="PENDENTE",0,J577*H577),0)</f>
        <v/>
      </c>
      <c r="L577" s="8" t="n">
        <v>29.9</v>
      </c>
      <c r="M577" s="20">
        <f>IFERROR(K577/L577,0)</f>
        <v/>
      </c>
      <c r="N577" s="7" t="n"/>
    </row>
    <row r="578" ht="15" customHeight="1">
      <c r="A578" s="11" t="inlineStr">
        <is>
          <t>Delivery</t>
        </is>
      </c>
      <c r="B578" s="12" t="inlineStr">
        <is>
          <t>Delivery</t>
        </is>
      </c>
      <c r="C578" s="13" t="inlineStr">
        <is>
          <t>Marmita de Frango</t>
        </is>
      </c>
      <c r="D578" s="2">
        <f>IF(ISERROR(VLOOKUP(E578,'Estrutura Protheus'!A:A,1,FALSE)),"Não","Sim")</f>
        <v/>
      </c>
      <c r="E578" s="5" t="inlineStr">
        <is>
          <t>002077</t>
        </is>
      </c>
      <c r="F578" s="5" t="inlineStr">
        <is>
          <t>000414</t>
        </is>
      </c>
      <c r="G578" s="3" t="inlineStr">
        <is>
          <t>Pimenta do Reino Moida</t>
        </is>
      </c>
      <c r="H578" s="14" t="n">
        <v>6e-05</v>
      </c>
      <c r="I578" s="5" t="inlineStr">
        <is>
          <t>KG</t>
        </is>
      </c>
      <c r="J578" s="4">
        <f>IFERROR(VLOOKUP(F578,'Base Insumos'!$A:$C,3,FALSE()),"PENDENTE")</f>
        <v/>
      </c>
      <c r="K578" s="4">
        <f>IFERROR(IF(J578="PENDENTE",0,J578*H578),0)</f>
        <v/>
      </c>
      <c r="L578" s="4" t="n">
        <v>29.9</v>
      </c>
      <c r="M578" s="15">
        <f>IFERROR(K578/L578,0)</f>
        <v/>
      </c>
      <c r="N578" s="3" t="n"/>
    </row>
    <row r="579" ht="15" customHeight="1">
      <c r="A579" s="16" t="inlineStr">
        <is>
          <t>Delivery</t>
        </is>
      </c>
      <c r="B579" s="17" t="inlineStr">
        <is>
          <t>Delivery</t>
        </is>
      </c>
      <c r="C579" s="18" t="inlineStr">
        <is>
          <t>Marmita de Frango</t>
        </is>
      </c>
      <c r="D579" s="6">
        <f>IF(ISERROR(VLOOKUP(E579,'Estrutura Protheus'!A:A,1,FALSE)),"Não","Sim")</f>
        <v/>
      </c>
      <c r="E579" s="9" t="inlineStr">
        <is>
          <t>002077</t>
        </is>
      </c>
      <c r="F579" s="9" t="inlineStr">
        <is>
          <t>000486</t>
        </is>
      </c>
      <c r="G579" s="7" t="inlineStr">
        <is>
          <t>Tomate Salada</t>
        </is>
      </c>
      <c r="H579" s="19" t="n">
        <v>0.026</v>
      </c>
      <c r="I579" s="9" t="inlineStr">
        <is>
          <t>KG</t>
        </is>
      </c>
      <c r="J579" s="8">
        <f>IFERROR(VLOOKUP(F579,'Base Insumos'!$A:$C,3,FALSE()),"PENDENTE")</f>
        <v/>
      </c>
      <c r="K579" s="8">
        <f>IFERROR(IF(J579="PENDENTE",0,J579*H579),0)</f>
        <v/>
      </c>
      <c r="L579" s="8" t="n">
        <v>29.9</v>
      </c>
      <c r="M579" s="20">
        <f>IFERROR(K579/L579,0)</f>
        <v/>
      </c>
      <c r="N579" s="7" t="n"/>
    </row>
    <row r="580" ht="15" customHeight="1">
      <c r="A580" s="11" t="inlineStr">
        <is>
          <t>Delivery</t>
        </is>
      </c>
      <c r="B580" s="12" t="inlineStr">
        <is>
          <t>Delivery</t>
        </is>
      </c>
      <c r="C580" s="13" t="inlineStr">
        <is>
          <t>Marmita de Frango</t>
        </is>
      </c>
      <c r="D580" s="2">
        <f>IF(ISERROR(VLOOKUP(E580,'Estrutura Protheus'!A:A,1,FALSE)),"Não","Sim")</f>
        <v/>
      </c>
      <c r="E580" s="5" t="inlineStr">
        <is>
          <t>002077</t>
        </is>
      </c>
      <c r="F580" s="5" t="inlineStr">
        <is>
          <t>000468</t>
        </is>
      </c>
      <c r="G580" s="3" t="inlineStr">
        <is>
          <t>Cebola Media</t>
        </is>
      </c>
      <c r="H580" s="14" t="n">
        <v>0.013</v>
      </c>
      <c r="I580" s="5" t="inlineStr">
        <is>
          <t>KG</t>
        </is>
      </c>
      <c r="J580" s="4">
        <f>IFERROR(VLOOKUP(F580,'Base Insumos'!$A:$C,3,FALSE()),"PENDENTE")</f>
        <v/>
      </c>
      <c r="K580" s="4">
        <f>IFERROR(IF(J580="PENDENTE",0,J580*H580),0)</f>
        <v/>
      </c>
      <c r="L580" s="4" t="n">
        <v>29.9</v>
      </c>
      <c r="M580" s="15">
        <f>IFERROR(K580/L580,0)</f>
        <v/>
      </c>
      <c r="N580" s="3" t="n"/>
    </row>
    <row r="581" ht="15" customHeight="1">
      <c r="A581" s="16" t="inlineStr">
        <is>
          <t>Delivery</t>
        </is>
      </c>
      <c r="B581" s="17" t="inlineStr">
        <is>
          <t>Delivery</t>
        </is>
      </c>
      <c r="C581" s="18" t="inlineStr">
        <is>
          <t>Marmita de Frango</t>
        </is>
      </c>
      <c r="D581" s="6">
        <f>IF(ISERROR(VLOOKUP(E581,'Estrutura Protheus'!A:A,1,FALSE)),"Não","Sim")</f>
        <v/>
      </c>
      <c r="E581" s="9" t="inlineStr">
        <is>
          <t>002077</t>
        </is>
      </c>
      <c r="F581" s="9" t="inlineStr">
        <is>
          <t>000484</t>
        </is>
      </c>
      <c r="G581" s="7" t="inlineStr">
        <is>
          <t>Salsa Lisa Industrial</t>
        </is>
      </c>
      <c r="H581" s="19" t="n">
        <v>0.008999999999999999</v>
      </c>
      <c r="I581" s="9" t="inlineStr">
        <is>
          <t>KG</t>
        </is>
      </c>
      <c r="J581" s="8">
        <f>IFERROR(VLOOKUP(F581,'Base Insumos'!$A:$C,3,FALSE()),"PENDENTE")</f>
        <v/>
      </c>
      <c r="K581" s="8">
        <f>IFERROR(IF(J581="PENDENTE",0,J581*H581),0)</f>
        <v/>
      </c>
      <c r="L581" s="8" t="n">
        <v>29.9</v>
      </c>
      <c r="M581" s="20">
        <f>IFERROR(K581/L581,0)</f>
        <v/>
      </c>
      <c r="N581" s="7" t="n"/>
    </row>
    <row r="582" ht="15" customHeight="1">
      <c r="A582" s="11" t="inlineStr">
        <is>
          <t>Delivery</t>
        </is>
      </c>
      <c r="B582" s="12" t="inlineStr">
        <is>
          <t>Delivery</t>
        </is>
      </c>
      <c r="C582" s="13" t="inlineStr">
        <is>
          <t>Marmita de Frango</t>
        </is>
      </c>
      <c r="D582" s="2">
        <f>IF(ISERROR(VLOOKUP(E582,'Estrutura Protheus'!A:A,1,FALSE)),"Não","Sim")</f>
        <v/>
      </c>
      <c r="E582" s="5" t="inlineStr">
        <is>
          <t>002077</t>
        </is>
      </c>
      <c r="F582" s="5" t="inlineStr">
        <is>
          <t>000424</t>
        </is>
      </c>
      <c r="G582" s="3" t="inlineStr">
        <is>
          <t>Vinagre Agrin Branco Neval Garrafa 750ml</t>
        </is>
      </c>
      <c r="H582" s="14" t="n">
        <v>0.007</v>
      </c>
      <c r="I582" s="5" t="inlineStr">
        <is>
          <t>LT</t>
        </is>
      </c>
      <c r="J582" s="4">
        <f>IFERROR(VLOOKUP(F582,'Base Insumos'!$A:$C,3,FALSE()),"PENDENTE")</f>
        <v/>
      </c>
      <c r="K582" s="4">
        <f>IFERROR(IF(J582="PENDENTE",0,J582*H582),0)</f>
        <v/>
      </c>
      <c r="L582" s="4" t="n">
        <v>29.9</v>
      </c>
      <c r="M582" s="15">
        <f>IFERROR(K582/L582,0)</f>
        <v/>
      </c>
      <c r="N582" s="3" t="n"/>
    </row>
    <row r="583" ht="15" customHeight="1">
      <c r="A583" s="16" t="inlineStr">
        <is>
          <t>Delivery</t>
        </is>
      </c>
      <c r="B583" s="17" t="inlineStr">
        <is>
          <t>Delivery</t>
        </is>
      </c>
      <c r="C583" s="18" t="inlineStr">
        <is>
          <t>Marmita de Frango</t>
        </is>
      </c>
      <c r="D583" s="6">
        <f>IF(ISERROR(VLOOKUP(E583,'Estrutura Protheus'!A:A,1,FALSE)),"Não","Sim")</f>
        <v/>
      </c>
      <c r="E583" s="9" t="inlineStr">
        <is>
          <t>002077</t>
        </is>
      </c>
      <c r="F583" s="9" t="inlineStr">
        <is>
          <t>001043</t>
        </is>
      </c>
      <c r="G583" s="7" t="inlineStr">
        <is>
          <t>Azeite 500 Ml</t>
        </is>
      </c>
      <c r="H583" s="19" t="n">
        <v>0.013</v>
      </c>
      <c r="I583" s="9" t="inlineStr">
        <is>
          <t>LT</t>
        </is>
      </c>
      <c r="J583" s="8">
        <f>IFERROR(VLOOKUP(F583,'Base Insumos'!$A:$C,3,FALSE()),"PENDENTE")</f>
        <v/>
      </c>
      <c r="K583" s="8">
        <f>IFERROR(IF(J583="PENDENTE",0,J583*H583),0)</f>
        <v/>
      </c>
      <c r="L583" s="8" t="n">
        <v>29.9</v>
      </c>
      <c r="M583" s="20">
        <f>IFERROR(K583/L583,0)</f>
        <v/>
      </c>
      <c r="N583" s="7" t="n"/>
    </row>
    <row r="584" ht="15" customHeight="1">
      <c r="A584" s="11" t="inlineStr">
        <is>
          <t>Delivery</t>
        </is>
      </c>
      <c r="B584" s="12" t="inlineStr">
        <is>
          <t>Delivery</t>
        </is>
      </c>
      <c r="C584" s="13" t="inlineStr">
        <is>
          <t>Marmita de Frango</t>
        </is>
      </c>
      <c r="D584" s="2">
        <f>IF(ISERROR(VLOOKUP(E584,'Estrutura Protheus'!A:A,1,FALSE)),"Não","Sim")</f>
        <v/>
      </c>
      <c r="E584" s="5" t="inlineStr">
        <is>
          <t>002077</t>
        </is>
      </c>
      <c r="F584" s="5" t="inlineStr">
        <is>
          <t>000614</t>
        </is>
      </c>
      <c r="G584" s="3" t="inlineStr">
        <is>
          <t>Sal Refinado</t>
        </is>
      </c>
      <c r="H584" s="14" t="n">
        <v>0.0005</v>
      </c>
      <c r="I584" s="5" t="inlineStr">
        <is>
          <t>KG</t>
        </is>
      </c>
      <c r="J584" s="4">
        <f>IFERROR(VLOOKUP(F584,'Base Insumos'!$A:$C,3,FALSE()),"PENDENTE")</f>
        <v/>
      </c>
      <c r="K584" s="4">
        <f>IFERROR(IF(J584="PENDENTE",0,J584*H584),0)</f>
        <v/>
      </c>
      <c r="L584" s="4" t="n">
        <v>29.9</v>
      </c>
      <c r="M584" s="15">
        <f>IFERROR(K584/L584,0)</f>
        <v/>
      </c>
      <c r="N584" s="3" t="n"/>
    </row>
    <row r="585" ht="15" customHeight="1">
      <c r="A585" s="16" t="inlineStr">
        <is>
          <t>Delivery</t>
        </is>
      </c>
      <c r="B585" s="17" t="inlineStr">
        <is>
          <t>Delivery</t>
        </is>
      </c>
      <c r="C585" s="18" t="inlineStr">
        <is>
          <t>Marmita de Bovino</t>
        </is>
      </c>
      <c r="D585" s="6">
        <f>IF(ISERROR(VLOOKUP(E585,'Estrutura Protheus'!A:A,1,FALSE)),"Não","Sim")</f>
        <v/>
      </c>
      <c r="E585" s="9" t="inlineStr">
        <is>
          <t>002078</t>
        </is>
      </c>
      <c r="F585" s="9" t="inlineStr">
        <is>
          <t>000286</t>
        </is>
      </c>
      <c r="G585" s="7" t="inlineStr">
        <is>
          <t>Espeto Bovino</t>
        </is>
      </c>
      <c r="H585" s="19" t="n">
        <v>1</v>
      </c>
      <c r="I585" s="9" t="inlineStr">
        <is>
          <t>UN</t>
        </is>
      </c>
      <c r="J585" s="8">
        <f>IFERROR(VLOOKUP(F585,'Base Insumos'!$A:$C,3,FALSE()),"PENDENTE")</f>
        <v/>
      </c>
      <c r="K585" s="8">
        <f>IFERROR(IF(J585="PENDENTE",0,J585*H585),0)</f>
        <v/>
      </c>
      <c r="L585" s="8" t="n">
        <v>31.9</v>
      </c>
      <c r="M585" s="20">
        <f>IFERROR(K585/L585,0)</f>
        <v/>
      </c>
      <c r="N585" s="7" t="n"/>
    </row>
    <row r="586" ht="15" customHeight="1">
      <c r="A586" s="11" t="inlineStr">
        <is>
          <t>Delivery</t>
        </is>
      </c>
      <c r="B586" s="12" t="inlineStr">
        <is>
          <t>Delivery</t>
        </is>
      </c>
      <c r="C586" s="13" t="inlineStr">
        <is>
          <t>Marmita de Bovino</t>
        </is>
      </c>
      <c r="D586" s="2">
        <f>IF(ISERROR(VLOOKUP(E586,'Estrutura Protheus'!A:A,1,FALSE)),"Não","Sim")</f>
        <v/>
      </c>
      <c r="E586" s="5" t="inlineStr">
        <is>
          <t>002078</t>
        </is>
      </c>
      <c r="F586" s="5" t="inlineStr">
        <is>
          <t>000377</t>
        </is>
      </c>
      <c r="G586" s="3" t="inlineStr">
        <is>
          <t>Arroz Tipo 1</t>
        </is>
      </c>
      <c r="H586" s="14" t="n">
        <v>0.15</v>
      </c>
      <c r="I586" s="5" t="inlineStr">
        <is>
          <t>KG</t>
        </is>
      </c>
      <c r="J586" s="4">
        <f>IFERROR(VLOOKUP(F586,'Base Insumos'!$A:$C,3,FALSE()),"PENDENTE")</f>
        <v/>
      </c>
      <c r="K586" s="4">
        <f>IFERROR(IF(J586="PENDENTE",0,J586*H586),0)</f>
        <v/>
      </c>
      <c r="L586" s="4" t="n">
        <v>31.9</v>
      </c>
      <c r="M586" s="15">
        <f>IFERROR(K586/L586,0)</f>
        <v/>
      </c>
      <c r="N586" s="3" t="n"/>
    </row>
    <row r="587" ht="15" customHeight="1">
      <c r="A587" s="16" t="inlineStr">
        <is>
          <t>Delivery</t>
        </is>
      </c>
      <c r="B587" s="17" t="inlineStr">
        <is>
          <t>Delivery</t>
        </is>
      </c>
      <c r="C587" s="18" t="inlineStr">
        <is>
          <t>Marmita de Bovino</t>
        </is>
      </c>
      <c r="D587" s="6">
        <f>IF(ISERROR(VLOOKUP(E587,'Estrutura Protheus'!A:A,1,FALSE)),"Não","Sim")</f>
        <v/>
      </c>
      <c r="E587" s="9" t="inlineStr">
        <is>
          <t>002078</t>
        </is>
      </c>
      <c r="F587" s="9" t="inlineStr">
        <is>
          <t>000412</t>
        </is>
      </c>
      <c r="G587" s="7" t="inlineStr">
        <is>
          <t>Oleo de Soja Liza 900ml</t>
        </is>
      </c>
      <c r="H587" s="19" t="n">
        <v>0.059</v>
      </c>
      <c r="I587" s="9" t="inlineStr">
        <is>
          <t>LT</t>
        </is>
      </c>
      <c r="J587" s="8">
        <f>IFERROR(VLOOKUP(F587,'Base Insumos'!$A:$C,3,FALSE()),"PENDENTE")</f>
        <v/>
      </c>
      <c r="K587" s="8">
        <f>IFERROR(IF(J587="PENDENTE",0,J587*H587),0)</f>
        <v/>
      </c>
      <c r="L587" s="8" t="n">
        <v>31.9</v>
      </c>
      <c r="M587" s="20">
        <f>IFERROR(K587/L587,0)</f>
        <v/>
      </c>
      <c r="N587" s="7" t="n"/>
    </row>
    <row r="588" ht="15" customHeight="1">
      <c r="A588" s="11" t="inlineStr">
        <is>
          <t>Delivery</t>
        </is>
      </c>
      <c r="B588" s="12" t="inlineStr">
        <is>
          <t>Delivery</t>
        </is>
      </c>
      <c r="C588" s="13" t="inlineStr">
        <is>
          <t>Marmita de Bovino</t>
        </is>
      </c>
      <c r="D588" s="2">
        <f>IF(ISERROR(VLOOKUP(E588,'Estrutura Protheus'!A:A,1,FALSE)),"Não","Sim")</f>
        <v/>
      </c>
      <c r="E588" s="5" t="inlineStr">
        <is>
          <t>002078</t>
        </is>
      </c>
      <c r="F588" s="5" t="inlineStr">
        <is>
          <t>000614</t>
        </is>
      </c>
      <c r="G588" s="3" t="inlineStr">
        <is>
          <t>Sal Refinado</t>
        </is>
      </c>
      <c r="H588" s="14" t="n">
        <v>0.003</v>
      </c>
      <c r="I588" s="5" t="inlineStr">
        <is>
          <t>KG</t>
        </is>
      </c>
      <c r="J588" s="4">
        <f>IFERROR(VLOOKUP(F588,'Base Insumos'!$A:$C,3,FALSE()),"PENDENTE")</f>
        <v/>
      </c>
      <c r="K588" s="4">
        <f>IFERROR(IF(J588="PENDENTE",0,J588*H588),0)</f>
        <v/>
      </c>
      <c r="L588" s="4" t="n">
        <v>31.9</v>
      </c>
      <c r="M588" s="15">
        <f>IFERROR(K588/L588,0)</f>
        <v/>
      </c>
      <c r="N588" s="3" t="n"/>
    </row>
    <row r="589" ht="15" customHeight="1">
      <c r="A589" s="16" t="inlineStr">
        <is>
          <t>Delivery</t>
        </is>
      </c>
      <c r="B589" s="17" t="inlineStr">
        <is>
          <t>Delivery</t>
        </is>
      </c>
      <c r="C589" s="18" t="inlineStr">
        <is>
          <t>Marmita de Bovino</t>
        </is>
      </c>
      <c r="D589" s="6">
        <f>IF(ISERROR(VLOOKUP(E589,'Estrutura Protheus'!A:A,1,FALSE)),"Não","Sim")</f>
        <v/>
      </c>
      <c r="E589" s="9" t="inlineStr">
        <is>
          <t>002078</t>
        </is>
      </c>
      <c r="F589" s="9" t="inlineStr">
        <is>
          <t>000475</t>
        </is>
      </c>
      <c r="G589" s="7" t="inlineStr">
        <is>
          <t>Folha de Louro</t>
        </is>
      </c>
      <c r="H589" s="19" t="n">
        <v>0.002</v>
      </c>
      <c r="I589" s="9" t="inlineStr">
        <is>
          <t>KG</t>
        </is>
      </c>
      <c r="J589" s="8">
        <f>IFERROR(VLOOKUP(F589,'Base Insumos'!$A:$C,3,FALSE()),"PENDENTE")</f>
        <v/>
      </c>
      <c r="K589" s="8">
        <f>IFERROR(IF(J589="PENDENTE",0,J589*H589),0)</f>
        <v/>
      </c>
      <c r="L589" s="8" t="n">
        <v>31.9</v>
      </c>
      <c r="M589" s="20">
        <f>IFERROR(K589/L589,0)</f>
        <v/>
      </c>
      <c r="N589" s="7" t="n"/>
    </row>
    <row r="590" ht="15" customHeight="1">
      <c r="A590" s="11" t="inlineStr">
        <is>
          <t>Delivery</t>
        </is>
      </c>
      <c r="B590" s="12" t="inlineStr">
        <is>
          <t>Delivery</t>
        </is>
      </c>
      <c r="C590" s="13" t="inlineStr">
        <is>
          <t>Marmita de Bovino</t>
        </is>
      </c>
      <c r="D590" s="2">
        <f>IF(ISERROR(VLOOKUP(E590,'Estrutura Protheus'!A:A,1,FALSE)),"Não","Sim")</f>
        <v/>
      </c>
      <c r="E590" s="5" t="inlineStr">
        <is>
          <t>002078</t>
        </is>
      </c>
      <c r="F590" s="5" t="inlineStr">
        <is>
          <t>002068</t>
        </is>
      </c>
      <c r="G590" s="3" t="inlineStr">
        <is>
          <t>Manteiga S/sal 5kg</t>
        </is>
      </c>
      <c r="H590" s="14" t="n">
        <v>0.005</v>
      </c>
      <c r="I590" s="5" t="inlineStr">
        <is>
          <t>KG</t>
        </is>
      </c>
      <c r="J590" s="4">
        <f>IFERROR(VLOOKUP(F590,'Base Insumos'!$A:$C,3,FALSE()),"PENDENTE")</f>
        <v/>
      </c>
      <c r="K590" s="4">
        <f>IFERROR(IF(J590="PENDENTE",0,J590*H590),0)</f>
        <v/>
      </c>
      <c r="L590" s="4" t="n">
        <v>31.9</v>
      </c>
      <c r="M590" s="15">
        <f>IFERROR(K590/L590,0)</f>
        <v/>
      </c>
      <c r="N590" s="3" t="n"/>
    </row>
    <row r="591" ht="15" customHeight="1">
      <c r="A591" s="16" t="inlineStr">
        <is>
          <t>Delivery</t>
        </is>
      </c>
      <c r="B591" s="17" t="inlineStr">
        <is>
          <t>Delivery</t>
        </is>
      </c>
      <c r="C591" s="18" t="inlineStr">
        <is>
          <t>Marmita de Bovino</t>
        </is>
      </c>
      <c r="D591" s="6">
        <f>IF(ISERROR(VLOOKUP(E591,'Estrutura Protheus'!A:A,1,FALSE)),"Não","Sim")</f>
        <v/>
      </c>
      <c r="E591" s="9" t="inlineStr">
        <is>
          <t>002078</t>
        </is>
      </c>
      <c r="F591" s="9" t="inlineStr">
        <is>
          <t>002067</t>
        </is>
      </c>
      <c r="G591" s="7" t="inlineStr">
        <is>
          <t>Farinha Panko Empanar</t>
        </is>
      </c>
      <c r="H591" s="19" t="n">
        <v>0.02</v>
      </c>
      <c r="I591" s="9" t="inlineStr">
        <is>
          <t>KG</t>
        </is>
      </c>
      <c r="J591" s="8">
        <f>IFERROR(VLOOKUP(F591,'Base Insumos'!$A:$C,3,FALSE()),"PENDENTE")</f>
        <v/>
      </c>
      <c r="K591" s="8">
        <f>IFERROR(IF(J591="PENDENTE",0,J591*H591),0)</f>
        <v/>
      </c>
      <c r="L591" s="8" t="n">
        <v>31.9</v>
      </c>
      <c r="M591" s="20">
        <f>IFERROR(K591/L591,0)</f>
        <v/>
      </c>
      <c r="N591" s="7" t="n"/>
    </row>
    <row r="592" ht="15" customHeight="1">
      <c r="A592" s="11" t="inlineStr">
        <is>
          <t>Delivery</t>
        </is>
      </c>
      <c r="B592" s="12" t="inlineStr">
        <is>
          <t>Delivery</t>
        </is>
      </c>
      <c r="C592" s="13" t="inlineStr">
        <is>
          <t>Marmita de Bovino</t>
        </is>
      </c>
      <c r="D592" s="2">
        <f>IF(ISERROR(VLOOKUP(E592,'Estrutura Protheus'!A:A,1,FALSE)),"Não","Sim")</f>
        <v/>
      </c>
      <c r="E592" s="5" t="inlineStr">
        <is>
          <t>002078</t>
        </is>
      </c>
      <c r="F592" s="5" t="inlineStr">
        <is>
          <t>000426</t>
        </is>
      </c>
      <c r="G592" s="3" t="inlineStr">
        <is>
          <t>Bacon em Cubos</t>
        </is>
      </c>
      <c r="H592" s="14" t="n">
        <v>0.004</v>
      </c>
      <c r="I592" s="5" t="inlineStr">
        <is>
          <t>KG</t>
        </is>
      </c>
      <c r="J592" s="4">
        <f>IFERROR(VLOOKUP(F592,'Base Insumos'!$A:$C,3,FALSE()),"PENDENTE")</f>
        <v/>
      </c>
      <c r="K592" s="4">
        <f>IFERROR(IF(J592="PENDENTE",0,J592*H592),0)</f>
        <v/>
      </c>
      <c r="L592" s="4" t="n">
        <v>31.9</v>
      </c>
      <c r="M592" s="15">
        <f>IFERROR(K592/L592,0)</f>
        <v/>
      </c>
      <c r="N592" s="3" t="n"/>
    </row>
    <row r="593" ht="15" customHeight="1">
      <c r="A593" s="16" t="inlineStr">
        <is>
          <t>Delivery</t>
        </is>
      </c>
      <c r="B593" s="17" t="inlineStr">
        <is>
          <t>Delivery</t>
        </is>
      </c>
      <c r="C593" s="18" t="inlineStr">
        <is>
          <t>Marmita de Bovino</t>
        </is>
      </c>
      <c r="D593" s="6">
        <f>IF(ISERROR(VLOOKUP(E593,'Estrutura Protheus'!A:A,1,FALSE)),"Não","Sim")</f>
        <v/>
      </c>
      <c r="E593" s="9" t="inlineStr">
        <is>
          <t>002078</t>
        </is>
      </c>
      <c r="F593" s="9" t="inlineStr">
        <is>
          <t>002070</t>
        </is>
      </c>
      <c r="G593" s="7" t="inlineStr">
        <is>
          <t>Alho Poro</t>
        </is>
      </c>
      <c r="H593" s="19" t="n">
        <v>0.004</v>
      </c>
      <c r="I593" s="9" t="inlineStr">
        <is>
          <t>KG</t>
        </is>
      </c>
      <c r="J593" s="8">
        <f>IFERROR(VLOOKUP(F593,'Base Insumos'!$A:$C,3,FALSE()),"PENDENTE")</f>
        <v/>
      </c>
      <c r="K593" s="8">
        <f>IFERROR(IF(J593="PENDENTE",0,J593*H593),0)</f>
        <v/>
      </c>
      <c r="L593" s="8" t="n">
        <v>31.9</v>
      </c>
      <c r="M593" s="20">
        <f>IFERROR(K593/L593,0)</f>
        <v/>
      </c>
      <c r="N593" s="7" t="n"/>
    </row>
    <row r="594" ht="15" customHeight="1">
      <c r="A594" s="11" t="inlineStr">
        <is>
          <t>Delivery</t>
        </is>
      </c>
      <c r="B594" s="12" t="inlineStr">
        <is>
          <t>Delivery</t>
        </is>
      </c>
      <c r="C594" s="13" t="inlineStr">
        <is>
          <t>Marmita de Bovino</t>
        </is>
      </c>
      <c r="D594" s="2">
        <f>IF(ISERROR(VLOOKUP(E594,'Estrutura Protheus'!A:A,1,FALSE)),"Não","Sim")</f>
        <v/>
      </c>
      <c r="E594" s="5" t="inlineStr">
        <is>
          <t>002078</t>
        </is>
      </c>
      <c r="F594" s="5" t="inlineStr">
        <is>
          <t>000667</t>
        </is>
      </c>
      <c r="G594" s="3" t="inlineStr">
        <is>
          <t>Tomilho</t>
        </is>
      </c>
      <c r="H594" s="14" t="n">
        <v>0.0005999999999999999</v>
      </c>
      <c r="I594" s="5" t="inlineStr">
        <is>
          <t>KG</t>
        </is>
      </c>
      <c r="J594" s="4">
        <f>IFERROR(VLOOKUP(F594,'Base Insumos'!$A:$C,3,FALSE()),"PENDENTE")</f>
        <v/>
      </c>
      <c r="K594" s="4">
        <f>IFERROR(IF(J594="PENDENTE",0,J594*H594),0)</f>
        <v/>
      </c>
      <c r="L594" s="4" t="n">
        <v>31.9</v>
      </c>
      <c r="M594" s="15">
        <f>IFERROR(K594/L594,0)</f>
        <v/>
      </c>
      <c r="N594" s="3" t="n"/>
    </row>
    <row r="595" ht="15" customHeight="1">
      <c r="A595" s="16" t="inlineStr">
        <is>
          <t>Delivery</t>
        </is>
      </c>
      <c r="B595" s="17" t="inlineStr">
        <is>
          <t>Delivery</t>
        </is>
      </c>
      <c r="C595" s="18" t="inlineStr">
        <is>
          <t>Marmita de Bovino</t>
        </is>
      </c>
      <c r="D595" s="6">
        <f>IF(ISERROR(VLOOKUP(E595,'Estrutura Protheus'!A:A,1,FALSE)),"Não","Sim")</f>
        <v/>
      </c>
      <c r="E595" s="9" t="inlineStr">
        <is>
          <t>002078</t>
        </is>
      </c>
      <c r="F595" s="9" t="inlineStr">
        <is>
          <t>000668</t>
        </is>
      </c>
      <c r="G595" s="7" t="inlineStr">
        <is>
          <t>Alecrim</t>
        </is>
      </c>
      <c r="H595" s="19" t="n">
        <v>0.001</v>
      </c>
      <c r="I595" s="9" t="inlineStr">
        <is>
          <t>KG</t>
        </is>
      </c>
      <c r="J595" s="8">
        <f>IFERROR(VLOOKUP(F595,'Base Insumos'!$A:$C,3,FALSE()),"PENDENTE")</f>
        <v/>
      </c>
      <c r="K595" s="8">
        <f>IFERROR(IF(J595="PENDENTE",0,J595*H595),0)</f>
        <v/>
      </c>
      <c r="L595" s="8" t="n">
        <v>31.9</v>
      </c>
      <c r="M595" s="20">
        <f>IFERROR(K595/L595,0)</f>
        <v/>
      </c>
      <c r="N595" s="7" t="n"/>
    </row>
    <row r="596" ht="15" customHeight="1">
      <c r="A596" s="11" t="inlineStr">
        <is>
          <t>Delivery</t>
        </is>
      </c>
      <c r="B596" s="12" t="inlineStr">
        <is>
          <t>Delivery</t>
        </is>
      </c>
      <c r="C596" s="13" t="inlineStr">
        <is>
          <t>Marmita de Bovino</t>
        </is>
      </c>
      <c r="D596" s="2">
        <f>IF(ISERROR(VLOOKUP(E596,'Estrutura Protheus'!A:A,1,FALSE)),"Não","Sim")</f>
        <v/>
      </c>
      <c r="E596" s="5" t="inlineStr">
        <is>
          <t>002078</t>
        </is>
      </c>
      <c r="F596" s="5" t="inlineStr">
        <is>
          <t>002068</t>
        </is>
      </c>
      <c r="G596" s="3" t="inlineStr">
        <is>
          <t>Manteiga S/sal 5kg</t>
        </is>
      </c>
      <c r="H596" s="14" t="n">
        <v>0.004</v>
      </c>
      <c r="I596" s="5" t="inlineStr">
        <is>
          <t>KG</t>
        </is>
      </c>
      <c r="J596" s="4">
        <f>IFERROR(VLOOKUP(F596,'Base Insumos'!$A:$C,3,FALSE()),"PENDENTE")</f>
        <v/>
      </c>
      <c r="K596" s="4">
        <f>IFERROR(IF(J596="PENDENTE",0,J596*H596),0)</f>
        <v/>
      </c>
      <c r="L596" s="4" t="n">
        <v>31.9</v>
      </c>
      <c r="M596" s="15">
        <f>IFERROR(K596/L596,0)</f>
        <v/>
      </c>
      <c r="N596" s="3" t="n"/>
    </row>
    <row r="597" ht="15" customHeight="1">
      <c r="A597" s="16" t="inlineStr">
        <is>
          <t>Delivery</t>
        </is>
      </c>
      <c r="B597" s="17" t="inlineStr">
        <is>
          <t>Delivery</t>
        </is>
      </c>
      <c r="C597" s="18" t="inlineStr">
        <is>
          <t>Marmita de Bovino</t>
        </is>
      </c>
      <c r="D597" s="6">
        <f>IF(ISERROR(VLOOKUP(E597,'Estrutura Protheus'!A:A,1,FALSE)),"Não","Sim")</f>
        <v/>
      </c>
      <c r="E597" s="9" t="inlineStr">
        <is>
          <t>002078</t>
        </is>
      </c>
      <c r="F597" s="9" t="inlineStr">
        <is>
          <t>000390</t>
        </is>
      </c>
      <c r="G597" s="7" t="inlineStr">
        <is>
          <t>Farinha de Trigo Sol</t>
        </is>
      </c>
      <c r="H597" s="19" t="n">
        <v>0.002</v>
      </c>
      <c r="I597" s="9" t="inlineStr">
        <is>
          <t>KG</t>
        </is>
      </c>
      <c r="J597" s="8">
        <f>IFERROR(VLOOKUP(F597,'Base Insumos'!$A:$C,3,FALSE()),"PENDENTE")</f>
        <v/>
      </c>
      <c r="K597" s="8">
        <f>IFERROR(IF(J597="PENDENTE",0,J597*H597),0)</f>
        <v/>
      </c>
      <c r="L597" s="8" t="n">
        <v>31.9</v>
      </c>
      <c r="M597" s="20">
        <f>IFERROR(K597/L597,0)</f>
        <v/>
      </c>
      <c r="N597" s="7" t="n"/>
    </row>
    <row r="598" ht="15" customHeight="1">
      <c r="A598" s="11" t="inlineStr">
        <is>
          <t>Delivery</t>
        </is>
      </c>
      <c r="B598" s="12" t="inlineStr">
        <is>
          <t>Delivery</t>
        </is>
      </c>
      <c r="C598" s="13" t="inlineStr">
        <is>
          <t>Marmita de Bovino</t>
        </is>
      </c>
      <c r="D598" s="2">
        <f>IF(ISERROR(VLOOKUP(E598,'Estrutura Protheus'!A:A,1,FALSE)),"Não","Sim")</f>
        <v/>
      </c>
      <c r="E598" s="5" t="inlineStr">
        <is>
          <t>002078</t>
        </is>
      </c>
      <c r="F598" s="5" t="inlineStr">
        <is>
          <t>000331</t>
        </is>
      </c>
      <c r="G598" s="3" t="inlineStr">
        <is>
          <t>Barril Chopp Brahma Claro 50lt</t>
        </is>
      </c>
      <c r="H598" s="14" t="n">
        <v>0.003</v>
      </c>
      <c r="I598" s="5" t="inlineStr">
        <is>
          <t>LT</t>
        </is>
      </c>
      <c r="J598" s="4">
        <f>IFERROR(VLOOKUP(F598,'Base Insumos'!$A:$C,3,FALSE()),"PENDENTE")</f>
        <v/>
      </c>
      <c r="K598" s="4">
        <f>IFERROR(IF(J598="PENDENTE",0,J598*H598),0)</f>
        <v/>
      </c>
      <c r="L598" s="4" t="n">
        <v>31.9</v>
      </c>
      <c r="M598" s="15">
        <f>IFERROR(K598/L598,0)</f>
        <v/>
      </c>
      <c r="N598" s="3" t="n"/>
    </row>
    <row r="599" ht="15" customHeight="1">
      <c r="A599" s="16" t="inlineStr">
        <is>
          <t>Delivery</t>
        </is>
      </c>
      <c r="B599" s="17" t="inlineStr">
        <is>
          <t>Delivery</t>
        </is>
      </c>
      <c r="C599" s="18" t="inlineStr">
        <is>
          <t>Marmita de Bovino</t>
        </is>
      </c>
      <c r="D599" s="6">
        <f>IF(ISERROR(VLOOKUP(E599,'Estrutura Protheus'!A:A,1,FALSE)),"Não","Sim")</f>
        <v/>
      </c>
      <c r="E599" s="9" t="inlineStr">
        <is>
          <t>002078</t>
        </is>
      </c>
      <c r="F599" s="9" t="inlineStr">
        <is>
          <t>000614</t>
        </is>
      </c>
      <c r="G599" s="7" t="inlineStr">
        <is>
          <t>Sal Refinado</t>
        </is>
      </c>
      <c r="H599" s="19" t="n">
        <v>0.0002</v>
      </c>
      <c r="I599" s="9" t="inlineStr">
        <is>
          <t>KG</t>
        </is>
      </c>
      <c r="J599" s="8">
        <f>IFERROR(VLOOKUP(F599,'Base Insumos'!$A:$C,3,FALSE()),"PENDENTE")</f>
        <v/>
      </c>
      <c r="K599" s="8">
        <f>IFERROR(IF(J599="PENDENTE",0,J599*H599),0)</f>
        <v/>
      </c>
      <c r="L599" s="8" t="n">
        <v>31.9</v>
      </c>
      <c r="M599" s="20">
        <f>IFERROR(K599/L599,0)</f>
        <v/>
      </c>
      <c r="N599" s="7" t="n"/>
    </row>
    <row r="600" ht="15" customHeight="1">
      <c r="A600" s="11" t="inlineStr">
        <is>
          <t>Delivery</t>
        </is>
      </c>
      <c r="B600" s="12" t="inlineStr">
        <is>
          <t>Delivery</t>
        </is>
      </c>
      <c r="C600" s="13" t="inlineStr">
        <is>
          <t>Marmita de Bovino</t>
        </is>
      </c>
      <c r="D600" s="2">
        <f>IF(ISERROR(VLOOKUP(E600,'Estrutura Protheus'!A:A,1,FALSE)),"Não","Sim")</f>
        <v/>
      </c>
      <c r="E600" s="5" t="inlineStr">
        <is>
          <t>002078</t>
        </is>
      </c>
      <c r="F600" s="5" t="inlineStr">
        <is>
          <t>000414</t>
        </is>
      </c>
      <c r="G600" s="3" t="inlineStr">
        <is>
          <t>Pimenta do Reino Moida</t>
        </is>
      </c>
      <c r="H600" s="14" t="n">
        <v>6e-05</v>
      </c>
      <c r="I600" s="5" t="inlineStr">
        <is>
          <t>KG</t>
        </is>
      </c>
      <c r="J600" s="4">
        <f>IFERROR(VLOOKUP(F600,'Base Insumos'!$A:$C,3,FALSE()),"PENDENTE")</f>
        <v/>
      </c>
      <c r="K600" s="4">
        <f>IFERROR(IF(J600="PENDENTE",0,J600*H600),0)</f>
        <v/>
      </c>
      <c r="L600" s="4" t="n">
        <v>31.9</v>
      </c>
      <c r="M600" s="15">
        <f>IFERROR(K600/L600,0)</f>
        <v/>
      </c>
      <c r="N600" s="3" t="n"/>
    </row>
    <row r="601" ht="15" customHeight="1">
      <c r="A601" s="16" t="inlineStr">
        <is>
          <t>Delivery</t>
        </is>
      </c>
      <c r="B601" s="17" t="inlineStr">
        <is>
          <t>Delivery</t>
        </is>
      </c>
      <c r="C601" s="18" t="inlineStr">
        <is>
          <t>Marmita de Bovino</t>
        </is>
      </c>
      <c r="D601" s="6">
        <f>IF(ISERROR(VLOOKUP(E601,'Estrutura Protheus'!A:A,1,FALSE)),"Não","Sim")</f>
        <v/>
      </c>
      <c r="E601" s="9" t="inlineStr">
        <is>
          <t>002078</t>
        </is>
      </c>
      <c r="F601" s="9" t="inlineStr">
        <is>
          <t>000486</t>
        </is>
      </c>
      <c r="G601" s="7" t="inlineStr">
        <is>
          <t>Tomate Salada</t>
        </is>
      </c>
      <c r="H601" s="19" t="n">
        <v>0.026</v>
      </c>
      <c r="I601" s="9" t="inlineStr">
        <is>
          <t>KG</t>
        </is>
      </c>
      <c r="J601" s="8">
        <f>IFERROR(VLOOKUP(F601,'Base Insumos'!$A:$C,3,FALSE()),"PENDENTE")</f>
        <v/>
      </c>
      <c r="K601" s="8">
        <f>IFERROR(IF(J601="PENDENTE",0,J601*H601),0)</f>
        <v/>
      </c>
      <c r="L601" s="8" t="n">
        <v>31.9</v>
      </c>
      <c r="M601" s="20">
        <f>IFERROR(K601/L601,0)</f>
        <v/>
      </c>
      <c r="N601" s="7" t="n"/>
    </row>
    <row r="602" ht="15" customHeight="1">
      <c r="A602" s="11" t="inlineStr">
        <is>
          <t>Delivery</t>
        </is>
      </c>
      <c r="B602" s="12" t="inlineStr">
        <is>
          <t>Delivery</t>
        </is>
      </c>
      <c r="C602" s="13" t="inlineStr">
        <is>
          <t>Marmita de Bovino</t>
        </is>
      </c>
      <c r="D602" s="2">
        <f>IF(ISERROR(VLOOKUP(E602,'Estrutura Protheus'!A:A,1,FALSE)),"Não","Sim")</f>
        <v/>
      </c>
      <c r="E602" s="5" t="inlineStr">
        <is>
          <t>002078</t>
        </is>
      </c>
      <c r="F602" s="5" t="inlineStr">
        <is>
          <t>000468</t>
        </is>
      </c>
      <c r="G602" s="3" t="inlineStr">
        <is>
          <t>Cebola Media</t>
        </is>
      </c>
      <c r="H602" s="14" t="n">
        <v>0.013</v>
      </c>
      <c r="I602" s="5" t="inlineStr">
        <is>
          <t>KG</t>
        </is>
      </c>
      <c r="J602" s="4">
        <f>IFERROR(VLOOKUP(F602,'Base Insumos'!$A:$C,3,FALSE()),"PENDENTE")</f>
        <v/>
      </c>
      <c r="K602" s="4">
        <f>IFERROR(IF(J602="PENDENTE",0,J602*H602),0)</f>
        <v/>
      </c>
      <c r="L602" s="4" t="n">
        <v>31.9</v>
      </c>
      <c r="M602" s="15">
        <f>IFERROR(K602/L602,0)</f>
        <v/>
      </c>
      <c r="N602" s="3" t="n"/>
    </row>
    <row r="603" ht="15" customHeight="1">
      <c r="A603" s="16" t="inlineStr">
        <is>
          <t>Delivery</t>
        </is>
      </c>
      <c r="B603" s="17" t="inlineStr">
        <is>
          <t>Delivery</t>
        </is>
      </c>
      <c r="C603" s="18" t="inlineStr">
        <is>
          <t>Marmita de Bovino</t>
        </is>
      </c>
      <c r="D603" s="6">
        <f>IF(ISERROR(VLOOKUP(E603,'Estrutura Protheus'!A:A,1,FALSE)),"Não","Sim")</f>
        <v/>
      </c>
      <c r="E603" s="9" t="inlineStr">
        <is>
          <t>002078</t>
        </is>
      </c>
      <c r="F603" s="9" t="inlineStr">
        <is>
          <t>000484</t>
        </is>
      </c>
      <c r="G603" s="7" t="inlineStr">
        <is>
          <t>Salsa Lisa Industrial</t>
        </is>
      </c>
      <c r="H603" s="19" t="n">
        <v>0.008999999999999999</v>
      </c>
      <c r="I603" s="9" t="inlineStr">
        <is>
          <t>KG</t>
        </is>
      </c>
      <c r="J603" s="8">
        <f>IFERROR(VLOOKUP(F603,'Base Insumos'!$A:$C,3,FALSE()),"PENDENTE")</f>
        <v/>
      </c>
      <c r="K603" s="8">
        <f>IFERROR(IF(J603="PENDENTE",0,J603*H603),0)</f>
        <v/>
      </c>
      <c r="L603" s="8" t="n">
        <v>31.9</v>
      </c>
      <c r="M603" s="20">
        <f>IFERROR(K603/L603,0)</f>
        <v/>
      </c>
      <c r="N603" s="7" t="n"/>
    </row>
    <row r="604" ht="15" customHeight="1">
      <c r="A604" s="11" t="inlineStr">
        <is>
          <t>Delivery</t>
        </is>
      </c>
      <c r="B604" s="12" t="inlineStr">
        <is>
          <t>Delivery</t>
        </is>
      </c>
      <c r="C604" s="13" t="inlineStr">
        <is>
          <t>Marmita de Bovino</t>
        </is>
      </c>
      <c r="D604" s="2">
        <f>IF(ISERROR(VLOOKUP(E604,'Estrutura Protheus'!A:A,1,FALSE)),"Não","Sim")</f>
        <v/>
      </c>
      <c r="E604" s="5" t="inlineStr">
        <is>
          <t>002078</t>
        </is>
      </c>
      <c r="F604" s="5" t="inlineStr">
        <is>
          <t>000424</t>
        </is>
      </c>
      <c r="G604" s="3" t="inlineStr">
        <is>
          <t>Vinagre Agrin Branco Neval Garrafa 750ml</t>
        </is>
      </c>
      <c r="H604" s="14" t="n">
        <v>0.007</v>
      </c>
      <c r="I604" s="5" t="inlineStr">
        <is>
          <t>LT</t>
        </is>
      </c>
      <c r="J604" s="4">
        <f>IFERROR(VLOOKUP(F604,'Base Insumos'!$A:$C,3,FALSE()),"PENDENTE")</f>
        <v/>
      </c>
      <c r="K604" s="4">
        <f>IFERROR(IF(J604="PENDENTE",0,J604*H604),0)</f>
        <v/>
      </c>
      <c r="L604" s="4" t="n">
        <v>31.9</v>
      </c>
      <c r="M604" s="15">
        <f>IFERROR(K604/L604,0)</f>
        <v/>
      </c>
      <c r="N604" s="3" t="n"/>
    </row>
    <row r="605" ht="15" customHeight="1">
      <c r="A605" s="16" t="inlineStr">
        <is>
          <t>Delivery</t>
        </is>
      </c>
      <c r="B605" s="17" t="inlineStr">
        <is>
          <t>Delivery</t>
        </is>
      </c>
      <c r="C605" s="18" t="inlineStr">
        <is>
          <t>Marmita de Bovino</t>
        </is>
      </c>
      <c r="D605" s="6">
        <f>IF(ISERROR(VLOOKUP(E605,'Estrutura Protheus'!A:A,1,FALSE)),"Não","Sim")</f>
        <v/>
      </c>
      <c r="E605" s="9" t="inlineStr">
        <is>
          <t>002078</t>
        </is>
      </c>
      <c r="F605" s="9" t="inlineStr">
        <is>
          <t>001043</t>
        </is>
      </c>
      <c r="G605" s="7" t="inlineStr">
        <is>
          <t>Azeite 500 Ml</t>
        </is>
      </c>
      <c r="H605" s="19" t="n">
        <v>0.013</v>
      </c>
      <c r="I605" s="9" t="inlineStr">
        <is>
          <t>LT</t>
        </is>
      </c>
      <c r="J605" s="8">
        <f>IFERROR(VLOOKUP(F605,'Base Insumos'!$A:$C,3,FALSE()),"PENDENTE")</f>
        <v/>
      </c>
      <c r="K605" s="8">
        <f>IFERROR(IF(J605="PENDENTE",0,J605*H605),0)</f>
        <v/>
      </c>
      <c r="L605" s="8" t="n">
        <v>31.9</v>
      </c>
      <c r="M605" s="20">
        <f>IFERROR(K605/L605,0)</f>
        <v/>
      </c>
      <c r="N605" s="7" t="n"/>
    </row>
    <row r="606" ht="15" customHeight="1">
      <c r="A606" s="11" t="inlineStr">
        <is>
          <t>Delivery</t>
        </is>
      </c>
      <c r="B606" s="12" t="inlineStr">
        <is>
          <t>Delivery</t>
        </is>
      </c>
      <c r="C606" s="13" t="inlineStr">
        <is>
          <t>Marmita de Bovino</t>
        </is>
      </c>
      <c r="D606" s="2">
        <f>IF(ISERROR(VLOOKUP(E606,'Estrutura Protheus'!A:A,1,FALSE)),"Não","Sim")</f>
        <v/>
      </c>
      <c r="E606" s="5" t="inlineStr">
        <is>
          <t>002078</t>
        </is>
      </c>
      <c r="F606" s="5" t="inlineStr">
        <is>
          <t>000614</t>
        </is>
      </c>
      <c r="G606" s="3" t="inlineStr">
        <is>
          <t>Sal Refinado</t>
        </is>
      </c>
      <c r="H606" s="14" t="n">
        <v>0.0005</v>
      </c>
      <c r="I606" s="5" t="inlineStr">
        <is>
          <t>KG</t>
        </is>
      </c>
      <c r="J606" s="4">
        <f>IFERROR(VLOOKUP(F606,'Base Insumos'!$A:$C,3,FALSE()),"PENDENTE")</f>
        <v/>
      </c>
      <c r="K606" s="4">
        <f>IFERROR(IF(J606="PENDENTE",0,J606*H606),0)</f>
        <v/>
      </c>
      <c r="L606" s="4" t="n">
        <v>31.9</v>
      </c>
      <c r="M606" s="15">
        <f>IFERROR(K606/L606,0)</f>
        <v/>
      </c>
      <c r="N606" s="3" t="n"/>
    </row>
    <row r="607" ht="15" customHeight="1">
      <c r="A607" s="16" t="inlineStr">
        <is>
          <t>Delivery</t>
        </is>
      </c>
      <c r="B607" s="17" t="inlineStr">
        <is>
          <t>Delivery</t>
        </is>
      </c>
      <c r="C607" s="18" t="inlineStr">
        <is>
          <t>Monte seu prato 1</t>
        </is>
      </c>
      <c r="D607" s="6">
        <f>IF(ISERROR(VLOOKUP(E607,'Estrutura Protheus'!A:A,1,FALSE)),"Não","Sim")</f>
        <v/>
      </c>
      <c r="E607" s="9" t="inlineStr">
        <is>
          <t>002079</t>
        </is>
      </c>
      <c r="F607" s="9" t="inlineStr">
        <is>
          <t>000286</t>
        </is>
      </c>
      <c r="G607" s="7" t="inlineStr">
        <is>
          <t>Espeto Bovino</t>
        </is>
      </c>
      <c r="H607" s="19" t="n">
        <v>1</v>
      </c>
      <c r="I607" s="9" t="inlineStr">
        <is>
          <t>UN</t>
        </is>
      </c>
      <c r="J607" s="8">
        <f>IFERROR(VLOOKUP(F607,'Base Insumos'!$A:$C,3,FALSE()),"PENDENTE")</f>
        <v/>
      </c>
      <c r="K607" s="8">
        <f>IFERROR(IF(J607="PENDENTE",0,J607*H607),0)</f>
        <v/>
      </c>
      <c r="L607" s="8" t="n">
        <v>31.9</v>
      </c>
      <c r="M607" s="20">
        <f>IFERROR(K607/L607,0)</f>
        <v/>
      </c>
      <c r="N607" s="7" t="n"/>
    </row>
    <row r="608" ht="15" customHeight="1">
      <c r="A608" s="11" t="inlineStr">
        <is>
          <t>Delivery</t>
        </is>
      </c>
      <c r="B608" s="12" t="inlineStr">
        <is>
          <t>Delivery</t>
        </is>
      </c>
      <c r="C608" s="13" t="inlineStr">
        <is>
          <t>Monte seu prato 1</t>
        </is>
      </c>
      <c r="D608" s="2">
        <f>IF(ISERROR(VLOOKUP(E608,'Estrutura Protheus'!A:A,1,FALSE)),"Não","Sim")</f>
        <v/>
      </c>
      <c r="E608" s="5" t="inlineStr">
        <is>
          <t>002079</t>
        </is>
      </c>
      <c r="F608" s="5" t="inlineStr">
        <is>
          <t>000377</t>
        </is>
      </c>
      <c r="G608" s="3" t="inlineStr">
        <is>
          <t>Arroz Tipo 1</t>
        </is>
      </c>
      <c r="H608" s="14" t="n">
        <v>0.15</v>
      </c>
      <c r="I608" s="5" t="inlineStr">
        <is>
          <t>KG</t>
        </is>
      </c>
      <c r="J608" s="4">
        <f>IFERROR(VLOOKUP(F608,'Base Insumos'!$A:$C,3,FALSE()),"PENDENTE")</f>
        <v/>
      </c>
      <c r="K608" s="4">
        <f>IFERROR(IF(J608="PENDENTE",0,J608*H608),0)</f>
        <v/>
      </c>
      <c r="L608" s="4" t="n">
        <v>31.9</v>
      </c>
      <c r="M608" s="15">
        <f>IFERROR(K608/L608,0)</f>
        <v/>
      </c>
      <c r="N608" s="3" t="n"/>
    </row>
    <row r="609" ht="15" customHeight="1">
      <c r="A609" s="16" t="inlineStr">
        <is>
          <t>Delivery</t>
        </is>
      </c>
      <c r="B609" s="17" t="inlineStr">
        <is>
          <t>Delivery</t>
        </is>
      </c>
      <c r="C609" s="18" t="inlineStr">
        <is>
          <t>Monte seu prato 1</t>
        </is>
      </c>
      <c r="D609" s="6">
        <f>IF(ISERROR(VLOOKUP(E609,'Estrutura Protheus'!A:A,1,FALSE)),"Não","Sim")</f>
        <v/>
      </c>
      <c r="E609" s="9" t="inlineStr">
        <is>
          <t>002079</t>
        </is>
      </c>
      <c r="F609" s="9" t="inlineStr">
        <is>
          <t>000412</t>
        </is>
      </c>
      <c r="G609" s="7" t="inlineStr">
        <is>
          <t>Oleo de Soja Liza 900ml</t>
        </is>
      </c>
      <c r="H609" s="19" t="n">
        <v>0.059</v>
      </c>
      <c r="I609" s="9" t="inlineStr">
        <is>
          <t>LT</t>
        </is>
      </c>
      <c r="J609" s="8">
        <f>IFERROR(VLOOKUP(F609,'Base Insumos'!$A:$C,3,FALSE()),"PENDENTE")</f>
        <v/>
      </c>
      <c r="K609" s="8">
        <f>IFERROR(IF(J609="PENDENTE",0,J609*H609),0)</f>
        <v/>
      </c>
      <c r="L609" s="8" t="n">
        <v>31.9</v>
      </c>
      <c r="M609" s="20">
        <f>IFERROR(K609/L609,0)</f>
        <v/>
      </c>
      <c r="N609" s="7" t="n"/>
    </row>
    <row r="610" ht="15" customHeight="1">
      <c r="A610" s="11" t="inlineStr">
        <is>
          <t>Delivery</t>
        </is>
      </c>
      <c r="B610" s="12" t="inlineStr">
        <is>
          <t>Delivery</t>
        </is>
      </c>
      <c r="C610" s="13" t="inlineStr">
        <is>
          <t>Monte seu prato 1</t>
        </is>
      </c>
      <c r="D610" s="2">
        <f>IF(ISERROR(VLOOKUP(E610,'Estrutura Protheus'!A:A,1,FALSE)),"Não","Sim")</f>
        <v/>
      </c>
      <c r="E610" s="5" t="inlineStr">
        <is>
          <t>002079</t>
        </is>
      </c>
      <c r="F610" s="5" t="inlineStr">
        <is>
          <t>000614</t>
        </is>
      </c>
      <c r="G610" s="3" t="inlineStr">
        <is>
          <t>Sal Refinado</t>
        </is>
      </c>
      <c r="H610" s="14" t="n">
        <v>0.003</v>
      </c>
      <c r="I610" s="5" t="inlineStr">
        <is>
          <t>KG</t>
        </is>
      </c>
      <c r="J610" s="4">
        <f>IFERROR(VLOOKUP(F610,'Base Insumos'!$A:$C,3,FALSE()),"PENDENTE")</f>
        <v/>
      </c>
      <c r="K610" s="4">
        <f>IFERROR(IF(J610="PENDENTE",0,J610*H610),0)</f>
        <v/>
      </c>
      <c r="L610" s="4" t="n">
        <v>31.9</v>
      </c>
      <c r="M610" s="15">
        <f>IFERROR(K610/L610,0)</f>
        <v/>
      </c>
      <c r="N610" s="3" t="n"/>
    </row>
    <row r="611" ht="15" customHeight="1">
      <c r="A611" s="16" t="inlineStr">
        <is>
          <t>Delivery</t>
        </is>
      </c>
      <c r="B611" s="17" t="inlineStr">
        <is>
          <t>Delivery</t>
        </is>
      </c>
      <c r="C611" s="18" t="inlineStr">
        <is>
          <t>Monte seu prato 1</t>
        </is>
      </c>
      <c r="D611" s="6">
        <f>IF(ISERROR(VLOOKUP(E611,'Estrutura Protheus'!A:A,1,FALSE)),"Não","Sim")</f>
        <v/>
      </c>
      <c r="E611" s="9" t="inlineStr">
        <is>
          <t>002079</t>
        </is>
      </c>
      <c r="F611" s="9" t="inlineStr">
        <is>
          <t>000475</t>
        </is>
      </c>
      <c r="G611" s="7" t="inlineStr">
        <is>
          <t>Folha de Louro</t>
        </is>
      </c>
      <c r="H611" s="19" t="n">
        <v>0.002</v>
      </c>
      <c r="I611" s="9" t="inlineStr">
        <is>
          <t>KG</t>
        </is>
      </c>
      <c r="J611" s="8">
        <f>IFERROR(VLOOKUP(F611,'Base Insumos'!$A:$C,3,FALSE()),"PENDENTE")</f>
        <v/>
      </c>
      <c r="K611" s="8">
        <f>IFERROR(IF(J611="PENDENTE",0,J611*H611),0)</f>
        <v/>
      </c>
      <c r="L611" s="8" t="n">
        <v>31.9</v>
      </c>
      <c r="M611" s="20">
        <f>IFERROR(K611/L611,0)</f>
        <v/>
      </c>
      <c r="N611" s="7" t="n"/>
    </row>
    <row r="612" ht="15" customHeight="1">
      <c r="A612" s="11" t="inlineStr">
        <is>
          <t>Delivery</t>
        </is>
      </c>
      <c r="B612" s="12" t="inlineStr">
        <is>
          <t>Delivery</t>
        </is>
      </c>
      <c r="C612" s="13" t="inlineStr">
        <is>
          <t>Monte seu prato 1</t>
        </is>
      </c>
      <c r="D612" s="2">
        <f>IF(ISERROR(VLOOKUP(E612,'Estrutura Protheus'!A:A,1,FALSE)),"Não","Sim")</f>
        <v/>
      </c>
      <c r="E612" s="5" t="inlineStr">
        <is>
          <t>002079</t>
        </is>
      </c>
      <c r="F612" s="5" t="inlineStr">
        <is>
          <t>002068</t>
        </is>
      </c>
      <c r="G612" s="3" t="inlineStr">
        <is>
          <t>Manteiga S/sal 5kg</t>
        </is>
      </c>
      <c r="H612" s="14" t="n">
        <v>0.005</v>
      </c>
      <c r="I612" s="5" t="inlineStr">
        <is>
          <t>KG</t>
        </is>
      </c>
      <c r="J612" s="4">
        <f>IFERROR(VLOOKUP(F612,'Base Insumos'!$A:$C,3,FALSE()),"PENDENTE")</f>
        <v/>
      </c>
      <c r="K612" s="4">
        <f>IFERROR(IF(J612="PENDENTE",0,J612*H612),0)</f>
        <v/>
      </c>
      <c r="L612" s="4" t="n">
        <v>31.9</v>
      </c>
      <c r="M612" s="15">
        <f>IFERROR(K612/L612,0)</f>
        <v/>
      </c>
      <c r="N612" s="3" t="n"/>
    </row>
    <row r="613" ht="15" customHeight="1">
      <c r="A613" s="16" t="inlineStr">
        <is>
          <t>Delivery</t>
        </is>
      </c>
      <c r="B613" s="17" t="inlineStr">
        <is>
          <t>Delivery</t>
        </is>
      </c>
      <c r="C613" s="18" t="inlineStr">
        <is>
          <t>Monte seu prato 1</t>
        </is>
      </c>
      <c r="D613" s="6">
        <f>IF(ISERROR(VLOOKUP(E613,'Estrutura Protheus'!A:A,1,FALSE)),"Não","Sim")</f>
        <v/>
      </c>
      <c r="E613" s="9" t="inlineStr">
        <is>
          <t>002079</t>
        </is>
      </c>
      <c r="F613" s="9" t="inlineStr">
        <is>
          <t>002067</t>
        </is>
      </c>
      <c r="G613" s="7" t="inlineStr">
        <is>
          <t>Farinha Panko Empanar</t>
        </is>
      </c>
      <c r="H613" s="19" t="n">
        <v>0.02</v>
      </c>
      <c r="I613" s="9" t="inlineStr">
        <is>
          <t>KG</t>
        </is>
      </c>
      <c r="J613" s="8">
        <f>IFERROR(VLOOKUP(F613,'Base Insumos'!$A:$C,3,FALSE()),"PENDENTE")</f>
        <v/>
      </c>
      <c r="K613" s="8">
        <f>IFERROR(IF(J613="PENDENTE",0,J613*H613),0)</f>
        <v/>
      </c>
      <c r="L613" s="8" t="n">
        <v>31.9</v>
      </c>
      <c r="M613" s="20">
        <f>IFERROR(K613/L613,0)</f>
        <v/>
      </c>
      <c r="N613" s="7" t="n"/>
    </row>
    <row r="614" ht="15" customHeight="1">
      <c r="A614" s="11" t="inlineStr">
        <is>
          <t>Delivery</t>
        </is>
      </c>
      <c r="B614" s="12" t="inlineStr">
        <is>
          <t>Delivery</t>
        </is>
      </c>
      <c r="C614" s="13" t="inlineStr">
        <is>
          <t>Monte seu prato 1</t>
        </is>
      </c>
      <c r="D614" s="2">
        <f>IF(ISERROR(VLOOKUP(E614,'Estrutura Protheus'!A:A,1,FALSE)),"Não","Sim")</f>
        <v/>
      </c>
      <c r="E614" s="5" t="inlineStr">
        <is>
          <t>002079</t>
        </is>
      </c>
      <c r="F614" s="5" t="inlineStr">
        <is>
          <t>000426</t>
        </is>
      </c>
      <c r="G614" s="3" t="inlineStr">
        <is>
          <t>Bacon em Cubos</t>
        </is>
      </c>
      <c r="H614" s="14" t="n">
        <v>0.004</v>
      </c>
      <c r="I614" s="5" t="inlineStr">
        <is>
          <t>KG</t>
        </is>
      </c>
      <c r="J614" s="4">
        <f>IFERROR(VLOOKUP(F614,'Base Insumos'!$A:$C,3,FALSE()),"PENDENTE")</f>
        <v/>
      </c>
      <c r="K614" s="4">
        <f>IFERROR(IF(J614="PENDENTE",0,J614*H614),0)</f>
        <v/>
      </c>
      <c r="L614" s="4" t="n">
        <v>31.9</v>
      </c>
      <c r="M614" s="15">
        <f>IFERROR(K614/L614,0)</f>
        <v/>
      </c>
      <c r="N614" s="3" t="n"/>
    </row>
    <row r="615" ht="15" customHeight="1">
      <c r="A615" s="16" t="inlineStr">
        <is>
          <t>Delivery</t>
        </is>
      </c>
      <c r="B615" s="17" t="inlineStr">
        <is>
          <t>Delivery</t>
        </is>
      </c>
      <c r="C615" s="18" t="inlineStr">
        <is>
          <t>Monte seu prato 1</t>
        </is>
      </c>
      <c r="D615" s="6">
        <f>IF(ISERROR(VLOOKUP(E615,'Estrutura Protheus'!A:A,1,FALSE)),"Não","Sim")</f>
        <v/>
      </c>
      <c r="E615" s="9" t="inlineStr">
        <is>
          <t>002079</t>
        </is>
      </c>
      <c r="F615" s="9" t="inlineStr">
        <is>
          <t>002070</t>
        </is>
      </c>
      <c r="G615" s="7" t="inlineStr">
        <is>
          <t>Alho Poro</t>
        </is>
      </c>
      <c r="H615" s="19" t="n">
        <v>0.004</v>
      </c>
      <c r="I615" s="9" t="inlineStr">
        <is>
          <t>KG</t>
        </is>
      </c>
      <c r="J615" s="8">
        <f>IFERROR(VLOOKUP(F615,'Base Insumos'!$A:$C,3,FALSE()),"PENDENTE")</f>
        <v/>
      </c>
      <c r="K615" s="8">
        <f>IFERROR(IF(J615="PENDENTE",0,J615*H615),0)</f>
        <v/>
      </c>
      <c r="L615" s="8" t="n">
        <v>31.9</v>
      </c>
      <c r="M615" s="20">
        <f>IFERROR(K615/L615,0)</f>
        <v/>
      </c>
      <c r="N615" s="7" t="n"/>
    </row>
    <row r="616" ht="15" customHeight="1">
      <c r="A616" s="11" t="inlineStr">
        <is>
          <t>Delivery</t>
        </is>
      </c>
      <c r="B616" s="12" t="inlineStr">
        <is>
          <t>Delivery</t>
        </is>
      </c>
      <c r="C616" s="13" t="inlineStr">
        <is>
          <t>Monte seu prato 1</t>
        </is>
      </c>
      <c r="D616" s="2">
        <f>IF(ISERROR(VLOOKUP(E616,'Estrutura Protheus'!A:A,1,FALSE)),"Não","Sim")</f>
        <v/>
      </c>
      <c r="E616" s="5" t="inlineStr">
        <is>
          <t>002079</t>
        </is>
      </c>
      <c r="F616" s="5" t="inlineStr">
        <is>
          <t>000667</t>
        </is>
      </c>
      <c r="G616" s="3" t="inlineStr">
        <is>
          <t>Tomilho</t>
        </is>
      </c>
      <c r="H616" s="14" t="n">
        <v>0.0005999999999999999</v>
      </c>
      <c r="I616" s="5" t="inlineStr">
        <is>
          <t>KG</t>
        </is>
      </c>
      <c r="J616" s="4">
        <f>IFERROR(VLOOKUP(F616,'Base Insumos'!$A:$C,3,FALSE()),"PENDENTE")</f>
        <v/>
      </c>
      <c r="K616" s="4">
        <f>IFERROR(IF(J616="PENDENTE",0,J616*H616),0)</f>
        <v/>
      </c>
      <c r="L616" s="4" t="n">
        <v>31.9</v>
      </c>
      <c r="M616" s="15">
        <f>IFERROR(K616/L616,0)</f>
        <v/>
      </c>
      <c r="N616" s="3" t="n"/>
    </row>
    <row r="617" ht="15" customHeight="1">
      <c r="A617" s="16" t="inlineStr">
        <is>
          <t>Delivery</t>
        </is>
      </c>
      <c r="B617" s="17" t="inlineStr">
        <is>
          <t>Delivery</t>
        </is>
      </c>
      <c r="C617" s="18" t="inlineStr">
        <is>
          <t>Monte seu prato 1</t>
        </is>
      </c>
      <c r="D617" s="6">
        <f>IF(ISERROR(VLOOKUP(E617,'Estrutura Protheus'!A:A,1,FALSE)),"Não","Sim")</f>
        <v/>
      </c>
      <c r="E617" s="9" t="inlineStr">
        <is>
          <t>002079</t>
        </is>
      </c>
      <c r="F617" s="9" t="inlineStr">
        <is>
          <t>000668</t>
        </is>
      </c>
      <c r="G617" s="7" t="inlineStr">
        <is>
          <t>Alecrim</t>
        </is>
      </c>
      <c r="H617" s="19" t="n">
        <v>0.001</v>
      </c>
      <c r="I617" s="9" t="inlineStr">
        <is>
          <t>KG</t>
        </is>
      </c>
      <c r="J617" s="8">
        <f>IFERROR(VLOOKUP(F617,'Base Insumos'!$A:$C,3,FALSE()),"PENDENTE")</f>
        <v/>
      </c>
      <c r="K617" s="8">
        <f>IFERROR(IF(J617="PENDENTE",0,J617*H617),0)</f>
        <v/>
      </c>
      <c r="L617" s="8" t="n">
        <v>31.9</v>
      </c>
      <c r="M617" s="20">
        <f>IFERROR(K617/L617,0)</f>
        <v/>
      </c>
      <c r="N617" s="7" t="n"/>
    </row>
    <row r="618" ht="15" customHeight="1">
      <c r="A618" s="11" t="inlineStr">
        <is>
          <t>Delivery</t>
        </is>
      </c>
      <c r="B618" s="12" t="inlineStr">
        <is>
          <t>Delivery</t>
        </is>
      </c>
      <c r="C618" s="13" t="inlineStr">
        <is>
          <t>Monte seu prato 1</t>
        </is>
      </c>
      <c r="D618" s="2">
        <f>IF(ISERROR(VLOOKUP(E618,'Estrutura Protheus'!A:A,1,FALSE)),"Não","Sim")</f>
        <v/>
      </c>
      <c r="E618" s="5" t="inlineStr">
        <is>
          <t>002079</t>
        </is>
      </c>
      <c r="F618" s="5" t="inlineStr">
        <is>
          <t>002068</t>
        </is>
      </c>
      <c r="G618" s="3" t="inlineStr">
        <is>
          <t>Manteiga S/sal 5kg</t>
        </is>
      </c>
      <c r="H618" s="14" t="n">
        <v>0.004</v>
      </c>
      <c r="I618" s="5" t="inlineStr">
        <is>
          <t>KG</t>
        </is>
      </c>
      <c r="J618" s="4">
        <f>IFERROR(VLOOKUP(F618,'Base Insumos'!$A:$C,3,FALSE()),"PENDENTE")</f>
        <v/>
      </c>
      <c r="K618" s="4">
        <f>IFERROR(IF(J618="PENDENTE",0,J618*H618),0)</f>
        <v/>
      </c>
      <c r="L618" s="4" t="n">
        <v>31.9</v>
      </c>
      <c r="M618" s="15">
        <f>IFERROR(K618/L618,0)</f>
        <v/>
      </c>
      <c r="N618" s="3" t="n"/>
    </row>
    <row r="619" ht="15" customHeight="1">
      <c r="A619" s="16" t="inlineStr">
        <is>
          <t>Delivery</t>
        </is>
      </c>
      <c r="B619" s="17" t="inlineStr">
        <is>
          <t>Delivery</t>
        </is>
      </c>
      <c r="C619" s="18" t="inlineStr">
        <is>
          <t>Monte seu prato 1</t>
        </is>
      </c>
      <c r="D619" s="6">
        <f>IF(ISERROR(VLOOKUP(E619,'Estrutura Protheus'!A:A,1,FALSE)),"Não","Sim")</f>
        <v/>
      </c>
      <c r="E619" s="9" t="inlineStr">
        <is>
          <t>002079</t>
        </is>
      </c>
      <c r="F619" s="9" t="inlineStr">
        <is>
          <t>000390</t>
        </is>
      </c>
      <c r="G619" s="7" t="inlineStr">
        <is>
          <t>Farinha de Trigo Sol</t>
        </is>
      </c>
      <c r="H619" s="19" t="n">
        <v>0.002</v>
      </c>
      <c r="I619" s="9" t="inlineStr">
        <is>
          <t>KG</t>
        </is>
      </c>
      <c r="J619" s="8">
        <f>IFERROR(VLOOKUP(F619,'Base Insumos'!$A:$C,3,FALSE()),"PENDENTE")</f>
        <v/>
      </c>
      <c r="K619" s="8">
        <f>IFERROR(IF(J619="PENDENTE",0,J619*H619),0)</f>
        <v/>
      </c>
      <c r="L619" s="8" t="n">
        <v>31.9</v>
      </c>
      <c r="M619" s="20">
        <f>IFERROR(K619/L619,0)</f>
        <v/>
      </c>
      <c r="N619" s="7" t="n"/>
    </row>
    <row r="620" ht="15" customHeight="1">
      <c r="A620" s="11" t="inlineStr">
        <is>
          <t>Delivery</t>
        </is>
      </c>
      <c r="B620" s="12" t="inlineStr">
        <is>
          <t>Delivery</t>
        </is>
      </c>
      <c r="C620" s="13" t="inlineStr">
        <is>
          <t>Monte seu prato 1</t>
        </is>
      </c>
      <c r="D620" s="2">
        <f>IF(ISERROR(VLOOKUP(E620,'Estrutura Protheus'!A:A,1,FALSE)),"Não","Sim")</f>
        <v/>
      </c>
      <c r="E620" s="5" t="inlineStr">
        <is>
          <t>002079</t>
        </is>
      </c>
      <c r="F620" s="5" t="inlineStr">
        <is>
          <t>000331</t>
        </is>
      </c>
      <c r="G620" s="3" t="inlineStr">
        <is>
          <t>Barril Chopp Brahma Claro 50lt</t>
        </is>
      </c>
      <c r="H620" s="14" t="n">
        <v>0.003</v>
      </c>
      <c r="I620" s="5" t="inlineStr">
        <is>
          <t>LT</t>
        </is>
      </c>
      <c r="J620" s="4">
        <f>IFERROR(VLOOKUP(F620,'Base Insumos'!$A:$C,3,FALSE()),"PENDENTE")</f>
        <v/>
      </c>
      <c r="K620" s="4">
        <f>IFERROR(IF(J620="PENDENTE",0,J620*H620),0)</f>
        <v/>
      </c>
      <c r="L620" s="4" t="n">
        <v>31.9</v>
      </c>
      <c r="M620" s="15">
        <f>IFERROR(K620/L620,0)</f>
        <v/>
      </c>
      <c r="N620" s="3" t="n"/>
    </row>
    <row r="621" ht="15" customHeight="1">
      <c r="A621" s="16" t="inlineStr">
        <is>
          <t>Delivery</t>
        </is>
      </c>
      <c r="B621" s="17" t="inlineStr">
        <is>
          <t>Delivery</t>
        </is>
      </c>
      <c r="C621" s="18" t="inlineStr">
        <is>
          <t>Monte seu prato 1</t>
        </is>
      </c>
      <c r="D621" s="6">
        <f>IF(ISERROR(VLOOKUP(E621,'Estrutura Protheus'!A:A,1,FALSE)),"Não","Sim")</f>
        <v/>
      </c>
      <c r="E621" s="9" t="inlineStr">
        <is>
          <t>002079</t>
        </is>
      </c>
      <c r="F621" s="9" t="inlineStr">
        <is>
          <t>000614</t>
        </is>
      </c>
      <c r="G621" s="7" t="inlineStr">
        <is>
          <t>Sal Refinado</t>
        </is>
      </c>
      <c r="H621" s="19" t="n">
        <v>0.0002</v>
      </c>
      <c r="I621" s="9" t="inlineStr">
        <is>
          <t>KG</t>
        </is>
      </c>
      <c r="J621" s="8">
        <f>IFERROR(VLOOKUP(F621,'Base Insumos'!$A:$C,3,FALSE()),"PENDENTE")</f>
        <v/>
      </c>
      <c r="K621" s="8">
        <f>IFERROR(IF(J621="PENDENTE",0,J621*H621),0)</f>
        <v/>
      </c>
      <c r="L621" s="8" t="n">
        <v>31.9</v>
      </c>
      <c r="M621" s="20">
        <f>IFERROR(K621/L621,0)</f>
        <v/>
      </c>
      <c r="N621" s="7" t="n"/>
    </row>
    <row r="622" ht="15" customHeight="1">
      <c r="A622" s="11" t="inlineStr">
        <is>
          <t>Delivery</t>
        </is>
      </c>
      <c r="B622" s="12" t="inlineStr">
        <is>
          <t>Delivery</t>
        </is>
      </c>
      <c r="C622" s="13" t="inlineStr">
        <is>
          <t>Monte seu prato 1</t>
        </is>
      </c>
      <c r="D622" s="2">
        <f>IF(ISERROR(VLOOKUP(E622,'Estrutura Protheus'!A:A,1,FALSE)),"Não","Sim")</f>
        <v/>
      </c>
      <c r="E622" s="5" t="inlineStr">
        <is>
          <t>002079</t>
        </is>
      </c>
      <c r="F622" s="5" t="inlineStr">
        <is>
          <t>000414</t>
        </is>
      </c>
      <c r="G622" s="3" t="inlineStr">
        <is>
          <t>Pimenta do Reino Moida</t>
        </is>
      </c>
      <c r="H622" s="14" t="n">
        <v>6e-05</v>
      </c>
      <c r="I622" s="5" t="inlineStr">
        <is>
          <t>KG</t>
        </is>
      </c>
      <c r="J622" s="4">
        <f>IFERROR(VLOOKUP(F622,'Base Insumos'!$A:$C,3,FALSE()),"PENDENTE")</f>
        <v/>
      </c>
      <c r="K622" s="4">
        <f>IFERROR(IF(J622="PENDENTE",0,J622*H622),0)</f>
        <v/>
      </c>
      <c r="L622" s="4" t="n">
        <v>31.9</v>
      </c>
      <c r="M622" s="15">
        <f>IFERROR(K622/L622,0)</f>
        <v/>
      </c>
      <c r="N622" s="3" t="n"/>
    </row>
    <row r="623" ht="15" customHeight="1">
      <c r="A623" s="16" t="inlineStr">
        <is>
          <t>Delivery</t>
        </is>
      </c>
      <c r="B623" s="17" t="inlineStr">
        <is>
          <t>Delivery</t>
        </is>
      </c>
      <c r="C623" s="18" t="inlineStr">
        <is>
          <t>Monte seu prato 1</t>
        </is>
      </c>
      <c r="D623" s="6">
        <f>IF(ISERROR(VLOOKUP(E623,'Estrutura Protheus'!A:A,1,FALSE)),"Não","Sim")</f>
        <v/>
      </c>
      <c r="E623" s="9" t="inlineStr">
        <is>
          <t>002079</t>
        </is>
      </c>
      <c r="F623" s="9" t="inlineStr">
        <is>
          <t>000486</t>
        </is>
      </c>
      <c r="G623" s="7" t="inlineStr">
        <is>
          <t>Tomate Salada</t>
        </is>
      </c>
      <c r="H623" s="19" t="n">
        <v>0.026</v>
      </c>
      <c r="I623" s="9" t="inlineStr">
        <is>
          <t>KG</t>
        </is>
      </c>
      <c r="J623" s="8">
        <f>IFERROR(VLOOKUP(F623,'Base Insumos'!$A:$C,3,FALSE()),"PENDENTE")</f>
        <v/>
      </c>
      <c r="K623" s="8">
        <f>IFERROR(IF(J623="PENDENTE",0,J623*H623),0)</f>
        <v/>
      </c>
      <c r="L623" s="8" t="n">
        <v>31.9</v>
      </c>
      <c r="M623" s="20">
        <f>IFERROR(K623/L623,0)</f>
        <v/>
      </c>
      <c r="N623" s="7" t="n"/>
    </row>
    <row r="624" ht="15" customHeight="1">
      <c r="A624" s="11" t="inlineStr">
        <is>
          <t>Delivery</t>
        </is>
      </c>
      <c r="B624" s="12" t="inlineStr">
        <is>
          <t>Delivery</t>
        </is>
      </c>
      <c r="C624" s="13" t="inlineStr">
        <is>
          <t>Monte seu prato 1</t>
        </is>
      </c>
      <c r="D624" s="2">
        <f>IF(ISERROR(VLOOKUP(E624,'Estrutura Protheus'!A:A,1,FALSE)),"Não","Sim")</f>
        <v/>
      </c>
      <c r="E624" s="5" t="inlineStr">
        <is>
          <t>002079</t>
        </is>
      </c>
      <c r="F624" s="5" t="inlineStr">
        <is>
          <t>000468</t>
        </is>
      </c>
      <c r="G624" s="3" t="inlineStr">
        <is>
          <t>Cebola Media</t>
        </is>
      </c>
      <c r="H624" s="14" t="n">
        <v>0.013</v>
      </c>
      <c r="I624" s="5" t="inlineStr">
        <is>
          <t>KG</t>
        </is>
      </c>
      <c r="J624" s="4">
        <f>IFERROR(VLOOKUP(F624,'Base Insumos'!$A:$C,3,FALSE()),"PENDENTE")</f>
        <v/>
      </c>
      <c r="K624" s="4">
        <f>IFERROR(IF(J624="PENDENTE",0,J624*H624),0)</f>
        <v/>
      </c>
      <c r="L624" s="4" t="n">
        <v>31.9</v>
      </c>
      <c r="M624" s="15">
        <f>IFERROR(K624/L624,0)</f>
        <v/>
      </c>
      <c r="N624" s="3" t="n"/>
    </row>
    <row r="625" ht="15" customHeight="1">
      <c r="A625" s="16" t="inlineStr">
        <is>
          <t>Delivery</t>
        </is>
      </c>
      <c r="B625" s="17" t="inlineStr">
        <is>
          <t>Delivery</t>
        </is>
      </c>
      <c r="C625" s="18" t="inlineStr">
        <is>
          <t>Monte seu prato 1</t>
        </is>
      </c>
      <c r="D625" s="6">
        <f>IF(ISERROR(VLOOKUP(E625,'Estrutura Protheus'!A:A,1,FALSE)),"Não","Sim")</f>
        <v/>
      </c>
      <c r="E625" s="9" t="inlineStr">
        <is>
          <t>002079</t>
        </is>
      </c>
      <c r="F625" s="9" t="inlineStr">
        <is>
          <t>000484</t>
        </is>
      </c>
      <c r="G625" s="7" t="inlineStr">
        <is>
          <t>Salsa Lisa Industrial</t>
        </is>
      </c>
      <c r="H625" s="19" t="n">
        <v>0.008999999999999999</v>
      </c>
      <c r="I625" s="9" t="inlineStr">
        <is>
          <t>KG</t>
        </is>
      </c>
      <c r="J625" s="8">
        <f>IFERROR(VLOOKUP(F625,'Base Insumos'!$A:$C,3,FALSE()),"PENDENTE")</f>
        <v/>
      </c>
      <c r="K625" s="8">
        <f>IFERROR(IF(J625="PENDENTE",0,J625*H625),0)</f>
        <v/>
      </c>
      <c r="L625" s="8" t="n">
        <v>31.9</v>
      </c>
      <c r="M625" s="20">
        <f>IFERROR(K625/L625,0)</f>
        <v/>
      </c>
      <c r="N625" s="7" t="n"/>
    </row>
    <row r="626" ht="15" customHeight="1">
      <c r="A626" s="11" t="inlineStr">
        <is>
          <t>Delivery</t>
        </is>
      </c>
      <c r="B626" s="12" t="inlineStr">
        <is>
          <t>Delivery</t>
        </is>
      </c>
      <c r="C626" s="13" t="inlineStr">
        <is>
          <t>Monte seu prato 1</t>
        </is>
      </c>
      <c r="D626" s="2">
        <f>IF(ISERROR(VLOOKUP(E626,'Estrutura Protheus'!A:A,1,FALSE)),"Não","Sim")</f>
        <v/>
      </c>
      <c r="E626" s="5" t="inlineStr">
        <is>
          <t>002079</t>
        </is>
      </c>
      <c r="F626" s="5" t="inlineStr">
        <is>
          <t>000424</t>
        </is>
      </c>
      <c r="G626" s="3" t="inlineStr">
        <is>
          <t>Vinagre Agrin Branco Neval Garrafa 750ml</t>
        </is>
      </c>
      <c r="H626" s="14" t="n">
        <v>0.007</v>
      </c>
      <c r="I626" s="5" t="inlineStr">
        <is>
          <t>LT</t>
        </is>
      </c>
      <c r="J626" s="4">
        <f>IFERROR(VLOOKUP(F626,'Base Insumos'!$A:$C,3,FALSE()),"PENDENTE")</f>
        <v/>
      </c>
      <c r="K626" s="4">
        <f>IFERROR(IF(J626="PENDENTE",0,J626*H626),0)</f>
        <v/>
      </c>
      <c r="L626" s="4" t="n">
        <v>31.9</v>
      </c>
      <c r="M626" s="15">
        <f>IFERROR(K626/L626,0)</f>
        <v/>
      </c>
      <c r="N626" s="3" t="n"/>
    </row>
    <row r="627" ht="15" customHeight="1">
      <c r="A627" s="16" t="inlineStr">
        <is>
          <t>Delivery</t>
        </is>
      </c>
      <c r="B627" s="17" t="inlineStr">
        <is>
          <t>Delivery</t>
        </is>
      </c>
      <c r="C627" s="18" t="inlineStr">
        <is>
          <t>Monte seu prato 1</t>
        </is>
      </c>
      <c r="D627" s="6">
        <f>IF(ISERROR(VLOOKUP(E627,'Estrutura Protheus'!A:A,1,FALSE)),"Não","Sim")</f>
        <v/>
      </c>
      <c r="E627" s="9" t="inlineStr">
        <is>
          <t>002079</t>
        </is>
      </c>
      <c r="F627" s="9" t="inlineStr">
        <is>
          <t>001043</t>
        </is>
      </c>
      <c r="G627" s="7" t="inlineStr">
        <is>
          <t>Azeite 500 Ml</t>
        </is>
      </c>
      <c r="H627" s="19" t="n">
        <v>0.013</v>
      </c>
      <c r="I627" s="9" t="inlineStr">
        <is>
          <t>LT</t>
        </is>
      </c>
      <c r="J627" s="8">
        <f>IFERROR(VLOOKUP(F627,'Base Insumos'!$A:$C,3,FALSE()),"PENDENTE")</f>
        <v/>
      </c>
      <c r="K627" s="8">
        <f>IFERROR(IF(J627="PENDENTE",0,J627*H627),0)</f>
        <v/>
      </c>
      <c r="L627" s="8" t="n">
        <v>31.9</v>
      </c>
      <c r="M627" s="20">
        <f>IFERROR(K627/L627,0)</f>
        <v/>
      </c>
      <c r="N627" s="7" t="n"/>
    </row>
    <row r="628" ht="15" customHeight="1">
      <c r="A628" s="11" t="inlineStr">
        <is>
          <t>Delivery</t>
        </is>
      </c>
      <c r="B628" s="12" t="inlineStr">
        <is>
          <t>Delivery</t>
        </is>
      </c>
      <c r="C628" s="13" t="inlineStr">
        <is>
          <t>Monte seu prato 1</t>
        </is>
      </c>
      <c r="D628" s="2">
        <f>IF(ISERROR(VLOOKUP(E628,'Estrutura Protheus'!A:A,1,FALSE)),"Não","Sim")</f>
        <v/>
      </c>
      <c r="E628" s="5" t="inlineStr">
        <is>
          <t>002079</t>
        </is>
      </c>
      <c r="F628" s="5" t="inlineStr">
        <is>
          <t>000614</t>
        </is>
      </c>
      <c r="G628" s="3" t="inlineStr">
        <is>
          <t>Sal Refinado</t>
        </is>
      </c>
      <c r="H628" s="14" t="n">
        <v>0.0005</v>
      </c>
      <c r="I628" s="5" t="inlineStr">
        <is>
          <t>KG</t>
        </is>
      </c>
      <c r="J628" s="4">
        <f>IFERROR(VLOOKUP(F628,'Base Insumos'!$A:$C,3,FALSE()),"PENDENTE")</f>
        <v/>
      </c>
      <c r="K628" s="4">
        <f>IFERROR(IF(J628="PENDENTE",0,J628*H628),0)</f>
        <v/>
      </c>
      <c r="L628" s="4" t="n">
        <v>31.9</v>
      </c>
      <c r="M628" s="15">
        <f>IFERROR(K628/L628,0)</f>
        <v/>
      </c>
      <c r="N628" s="3" t="n"/>
    </row>
    <row r="629" ht="15" customHeight="1">
      <c r="A629" s="16" t="inlineStr">
        <is>
          <t>Delivery</t>
        </is>
      </c>
      <c r="B629" s="17" t="inlineStr">
        <is>
          <t>Delivery</t>
        </is>
      </c>
      <c r="C629" s="18" t="inlineStr">
        <is>
          <t>Monte seu prato 2</t>
        </is>
      </c>
      <c r="D629" s="6">
        <f>IF(ISERROR(VLOOKUP(E629,'Estrutura Protheus'!A:A,1,FALSE)),"Não","Sim")</f>
        <v/>
      </c>
      <c r="E629" s="9" t="inlineStr">
        <is>
          <t>002080</t>
        </is>
      </c>
      <c r="F629" s="9" t="inlineStr">
        <is>
          <t>000286</t>
        </is>
      </c>
      <c r="G629" s="7" t="inlineStr">
        <is>
          <t>Espeto Bovino</t>
        </is>
      </c>
      <c r="H629" s="19" t="n">
        <v>2</v>
      </c>
      <c r="I629" s="9" t="inlineStr">
        <is>
          <t>UN</t>
        </is>
      </c>
      <c r="J629" s="8">
        <f>IFERROR(VLOOKUP(F629,'Base Insumos'!$A:$C,3,FALSE()),"PENDENTE")</f>
        <v/>
      </c>
      <c r="K629" s="8">
        <f>IFERROR(IF(J629="PENDENTE",0,J629*H629),0)</f>
        <v/>
      </c>
      <c r="L629" s="8" t="n">
        <v>31.9</v>
      </c>
      <c r="M629" s="20">
        <f>IFERROR(K629/L629,0)</f>
        <v/>
      </c>
      <c r="N629" s="7" t="n"/>
    </row>
    <row r="630" ht="15" customHeight="1">
      <c r="A630" s="11" t="inlineStr">
        <is>
          <t>Delivery</t>
        </is>
      </c>
      <c r="B630" s="12" t="inlineStr">
        <is>
          <t>Delivery</t>
        </is>
      </c>
      <c r="C630" s="13" t="inlineStr">
        <is>
          <t>Monte seu prato 2</t>
        </is>
      </c>
      <c r="D630" s="2">
        <f>IF(ISERROR(VLOOKUP(E630,'Estrutura Protheus'!A:A,1,FALSE)),"Não","Sim")</f>
        <v/>
      </c>
      <c r="E630" s="5" t="inlineStr">
        <is>
          <t>002080</t>
        </is>
      </c>
      <c r="F630" s="5" t="inlineStr">
        <is>
          <t>000377</t>
        </is>
      </c>
      <c r="G630" s="3" t="inlineStr">
        <is>
          <t>Arroz Tipo 1</t>
        </is>
      </c>
      <c r="H630" s="14" t="n">
        <v>0.15</v>
      </c>
      <c r="I630" s="5" t="inlineStr">
        <is>
          <t>KG</t>
        </is>
      </c>
      <c r="J630" s="4">
        <f>IFERROR(VLOOKUP(F630,'Base Insumos'!$A:$C,3,FALSE()),"PENDENTE")</f>
        <v/>
      </c>
      <c r="K630" s="4">
        <f>IFERROR(IF(J630="PENDENTE",0,J630*H630),0)</f>
        <v/>
      </c>
      <c r="L630" s="4" t="n">
        <v>31.9</v>
      </c>
      <c r="M630" s="15">
        <f>IFERROR(K630/L630,0)</f>
        <v/>
      </c>
      <c r="N630" s="3" t="n"/>
    </row>
    <row r="631" ht="15" customHeight="1">
      <c r="A631" s="16" t="inlineStr">
        <is>
          <t>Delivery</t>
        </is>
      </c>
      <c r="B631" s="17" t="inlineStr">
        <is>
          <t>Delivery</t>
        </is>
      </c>
      <c r="C631" s="18" t="inlineStr">
        <is>
          <t>Monte seu prato 2</t>
        </is>
      </c>
      <c r="D631" s="6">
        <f>IF(ISERROR(VLOOKUP(E631,'Estrutura Protheus'!A:A,1,FALSE)),"Não","Sim")</f>
        <v/>
      </c>
      <c r="E631" s="9" t="inlineStr">
        <is>
          <t>002080</t>
        </is>
      </c>
      <c r="F631" s="9" t="inlineStr">
        <is>
          <t>000412</t>
        </is>
      </c>
      <c r="G631" s="7" t="inlineStr">
        <is>
          <t>Oleo de Soja Liza 900ml</t>
        </is>
      </c>
      <c r="H631" s="19" t="n">
        <v>0.059</v>
      </c>
      <c r="I631" s="9" t="inlineStr">
        <is>
          <t>LT</t>
        </is>
      </c>
      <c r="J631" s="8">
        <f>IFERROR(VLOOKUP(F631,'Base Insumos'!$A:$C,3,FALSE()),"PENDENTE")</f>
        <v/>
      </c>
      <c r="K631" s="8">
        <f>IFERROR(IF(J631="PENDENTE",0,J631*H631),0)</f>
        <v/>
      </c>
      <c r="L631" s="8" t="n">
        <v>31.9</v>
      </c>
      <c r="M631" s="20">
        <f>IFERROR(K631/L631,0)</f>
        <v/>
      </c>
      <c r="N631" s="7" t="n"/>
    </row>
    <row r="632" ht="15" customHeight="1">
      <c r="A632" s="11" t="inlineStr">
        <is>
          <t>Delivery</t>
        </is>
      </c>
      <c r="B632" s="12" t="inlineStr">
        <is>
          <t>Delivery</t>
        </is>
      </c>
      <c r="C632" s="13" t="inlineStr">
        <is>
          <t>Monte seu prato 2</t>
        </is>
      </c>
      <c r="D632" s="2">
        <f>IF(ISERROR(VLOOKUP(E632,'Estrutura Protheus'!A:A,1,FALSE)),"Não","Sim")</f>
        <v/>
      </c>
      <c r="E632" s="5" t="inlineStr">
        <is>
          <t>002080</t>
        </is>
      </c>
      <c r="F632" s="5" t="inlineStr">
        <is>
          <t>000614</t>
        </is>
      </c>
      <c r="G632" s="3" t="inlineStr">
        <is>
          <t>Sal Refinado</t>
        </is>
      </c>
      <c r="H632" s="14" t="n">
        <v>0.003</v>
      </c>
      <c r="I632" s="5" t="inlineStr">
        <is>
          <t>KG</t>
        </is>
      </c>
      <c r="J632" s="4">
        <f>IFERROR(VLOOKUP(F632,'Base Insumos'!$A:$C,3,FALSE()),"PENDENTE")</f>
        <v/>
      </c>
      <c r="K632" s="4">
        <f>IFERROR(IF(J632="PENDENTE",0,J632*H632),0)</f>
        <v/>
      </c>
      <c r="L632" s="4" t="n">
        <v>31.9</v>
      </c>
      <c r="M632" s="15">
        <f>IFERROR(K632/L632,0)</f>
        <v/>
      </c>
      <c r="N632" s="3" t="n"/>
    </row>
    <row r="633" ht="15" customHeight="1">
      <c r="A633" s="16" t="inlineStr">
        <is>
          <t>Delivery</t>
        </is>
      </c>
      <c r="B633" s="17" t="inlineStr">
        <is>
          <t>Delivery</t>
        </is>
      </c>
      <c r="C633" s="18" t="inlineStr">
        <is>
          <t>Monte seu prato 2</t>
        </is>
      </c>
      <c r="D633" s="6">
        <f>IF(ISERROR(VLOOKUP(E633,'Estrutura Protheus'!A:A,1,FALSE)),"Não","Sim")</f>
        <v/>
      </c>
      <c r="E633" s="9" t="inlineStr">
        <is>
          <t>002080</t>
        </is>
      </c>
      <c r="F633" s="9" t="inlineStr">
        <is>
          <t>000475</t>
        </is>
      </c>
      <c r="G633" s="7" t="inlineStr">
        <is>
          <t>Folha de Louro</t>
        </is>
      </c>
      <c r="H633" s="19" t="n">
        <v>0.002</v>
      </c>
      <c r="I633" s="9" t="inlineStr">
        <is>
          <t>KG</t>
        </is>
      </c>
      <c r="J633" s="8">
        <f>IFERROR(VLOOKUP(F633,'Base Insumos'!$A:$C,3,FALSE()),"PENDENTE")</f>
        <v/>
      </c>
      <c r="K633" s="8">
        <f>IFERROR(IF(J633="PENDENTE",0,J633*H633),0)</f>
        <v/>
      </c>
      <c r="L633" s="8" t="n">
        <v>31.9</v>
      </c>
      <c r="M633" s="20">
        <f>IFERROR(K633/L633,0)</f>
        <v/>
      </c>
      <c r="N633" s="7" t="n"/>
    </row>
    <row r="634" ht="15" customHeight="1">
      <c r="A634" s="11" t="inlineStr">
        <is>
          <t>Delivery</t>
        </is>
      </c>
      <c r="B634" s="12" t="inlineStr">
        <is>
          <t>Delivery</t>
        </is>
      </c>
      <c r="C634" s="13" t="inlineStr">
        <is>
          <t>Monte seu prato 2</t>
        </is>
      </c>
      <c r="D634" s="2">
        <f>IF(ISERROR(VLOOKUP(E634,'Estrutura Protheus'!A:A,1,FALSE)),"Não","Sim")</f>
        <v/>
      </c>
      <c r="E634" s="5" t="inlineStr">
        <is>
          <t>002080</t>
        </is>
      </c>
      <c r="F634" s="5" t="inlineStr">
        <is>
          <t>002068</t>
        </is>
      </c>
      <c r="G634" s="3" t="inlineStr">
        <is>
          <t>Manteiga S/sal 5kg</t>
        </is>
      </c>
      <c r="H634" s="14" t="n">
        <v>0.005</v>
      </c>
      <c r="I634" s="5" t="inlineStr">
        <is>
          <t>KG</t>
        </is>
      </c>
      <c r="J634" s="4">
        <f>IFERROR(VLOOKUP(F634,'Base Insumos'!$A:$C,3,FALSE()),"PENDENTE")</f>
        <v/>
      </c>
      <c r="K634" s="4">
        <f>IFERROR(IF(J634="PENDENTE",0,J634*H634),0)</f>
        <v/>
      </c>
      <c r="L634" s="4" t="n">
        <v>31.9</v>
      </c>
      <c r="M634" s="15">
        <f>IFERROR(K634/L634,0)</f>
        <v/>
      </c>
      <c r="N634" s="3" t="n"/>
    </row>
    <row r="635" ht="15" customHeight="1">
      <c r="A635" s="16" t="inlineStr">
        <is>
          <t>Delivery</t>
        </is>
      </c>
      <c r="B635" s="17" t="inlineStr">
        <is>
          <t>Delivery</t>
        </is>
      </c>
      <c r="C635" s="18" t="inlineStr">
        <is>
          <t>Monte seu prato 2</t>
        </is>
      </c>
      <c r="D635" s="6">
        <f>IF(ISERROR(VLOOKUP(E635,'Estrutura Protheus'!A:A,1,FALSE)),"Não","Sim")</f>
        <v/>
      </c>
      <c r="E635" s="9" t="inlineStr">
        <is>
          <t>002080</t>
        </is>
      </c>
      <c r="F635" s="9" t="inlineStr">
        <is>
          <t>002067</t>
        </is>
      </c>
      <c r="G635" s="7" t="inlineStr">
        <is>
          <t>Farinha Panko Empanar</t>
        </is>
      </c>
      <c r="H635" s="19" t="n">
        <v>0.02</v>
      </c>
      <c r="I635" s="9" t="inlineStr">
        <is>
          <t>KG</t>
        </is>
      </c>
      <c r="J635" s="8">
        <f>IFERROR(VLOOKUP(F635,'Base Insumos'!$A:$C,3,FALSE()),"PENDENTE")</f>
        <v/>
      </c>
      <c r="K635" s="8">
        <f>IFERROR(IF(J635="PENDENTE",0,J635*H635),0)</f>
        <v/>
      </c>
      <c r="L635" s="8" t="n">
        <v>31.9</v>
      </c>
      <c r="M635" s="20">
        <f>IFERROR(K635/L635,0)</f>
        <v/>
      </c>
      <c r="N635" s="7" t="n"/>
    </row>
    <row r="636" ht="15" customHeight="1">
      <c r="A636" s="11" t="inlineStr">
        <is>
          <t>Delivery</t>
        </is>
      </c>
      <c r="B636" s="12" t="inlineStr">
        <is>
          <t>Delivery</t>
        </is>
      </c>
      <c r="C636" s="13" t="inlineStr">
        <is>
          <t>Monte seu prato 2</t>
        </is>
      </c>
      <c r="D636" s="2">
        <f>IF(ISERROR(VLOOKUP(E636,'Estrutura Protheus'!A:A,1,FALSE)),"Não","Sim")</f>
        <v/>
      </c>
      <c r="E636" s="5" t="inlineStr">
        <is>
          <t>002080</t>
        </is>
      </c>
      <c r="F636" s="5" t="inlineStr">
        <is>
          <t>000426</t>
        </is>
      </c>
      <c r="G636" s="3" t="inlineStr">
        <is>
          <t>Bacon em Cubos</t>
        </is>
      </c>
      <c r="H636" s="14" t="n">
        <v>0.004</v>
      </c>
      <c r="I636" s="5" t="inlineStr">
        <is>
          <t>KG</t>
        </is>
      </c>
      <c r="J636" s="4">
        <f>IFERROR(VLOOKUP(F636,'Base Insumos'!$A:$C,3,FALSE()),"PENDENTE")</f>
        <v/>
      </c>
      <c r="K636" s="4">
        <f>IFERROR(IF(J636="PENDENTE",0,J636*H636),0)</f>
        <v/>
      </c>
      <c r="L636" s="4" t="n">
        <v>31.9</v>
      </c>
      <c r="M636" s="15">
        <f>IFERROR(K636/L636,0)</f>
        <v/>
      </c>
      <c r="N636" s="3" t="n"/>
    </row>
    <row r="637" ht="15" customHeight="1">
      <c r="A637" s="16" t="inlineStr">
        <is>
          <t>Delivery</t>
        </is>
      </c>
      <c r="B637" s="17" t="inlineStr">
        <is>
          <t>Delivery</t>
        </is>
      </c>
      <c r="C637" s="18" t="inlineStr">
        <is>
          <t>Monte seu prato 2</t>
        </is>
      </c>
      <c r="D637" s="6">
        <f>IF(ISERROR(VLOOKUP(E637,'Estrutura Protheus'!A:A,1,FALSE)),"Não","Sim")</f>
        <v/>
      </c>
      <c r="E637" s="9" t="inlineStr">
        <is>
          <t>002080</t>
        </is>
      </c>
      <c r="F637" s="9" t="inlineStr">
        <is>
          <t>002070</t>
        </is>
      </c>
      <c r="G637" s="7" t="inlineStr">
        <is>
          <t>Alho Poro</t>
        </is>
      </c>
      <c r="H637" s="19" t="n">
        <v>0.004</v>
      </c>
      <c r="I637" s="9" t="inlineStr">
        <is>
          <t>KG</t>
        </is>
      </c>
      <c r="J637" s="8">
        <f>IFERROR(VLOOKUP(F637,'Base Insumos'!$A:$C,3,FALSE()),"PENDENTE")</f>
        <v/>
      </c>
      <c r="K637" s="8">
        <f>IFERROR(IF(J637="PENDENTE",0,J637*H637),0)</f>
        <v/>
      </c>
      <c r="L637" s="8" t="n">
        <v>31.9</v>
      </c>
      <c r="M637" s="20">
        <f>IFERROR(K637/L637,0)</f>
        <v/>
      </c>
      <c r="N637" s="7" t="n"/>
    </row>
    <row r="638" ht="15" customHeight="1">
      <c r="A638" s="11" t="inlineStr">
        <is>
          <t>Delivery</t>
        </is>
      </c>
      <c r="B638" s="12" t="inlineStr">
        <is>
          <t>Delivery</t>
        </is>
      </c>
      <c r="C638" s="13" t="inlineStr">
        <is>
          <t>Monte seu prato 2</t>
        </is>
      </c>
      <c r="D638" s="2">
        <f>IF(ISERROR(VLOOKUP(E638,'Estrutura Protheus'!A:A,1,FALSE)),"Não","Sim")</f>
        <v/>
      </c>
      <c r="E638" s="5" t="inlineStr">
        <is>
          <t>002080</t>
        </is>
      </c>
      <c r="F638" s="5" t="inlineStr">
        <is>
          <t>000667</t>
        </is>
      </c>
      <c r="G638" s="3" t="inlineStr">
        <is>
          <t>Tomilho</t>
        </is>
      </c>
      <c r="H638" s="14" t="n">
        <v>0.0005999999999999999</v>
      </c>
      <c r="I638" s="5" t="inlineStr">
        <is>
          <t>KG</t>
        </is>
      </c>
      <c r="J638" s="4">
        <f>IFERROR(VLOOKUP(F638,'Base Insumos'!$A:$C,3,FALSE()),"PENDENTE")</f>
        <v/>
      </c>
      <c r="K638" s="4">
        <f>IFERROR(IF(J638="PENDENTE",0,J638*H638),0)</f>
        <v/>
      </c>
      <c r="L638" s="4" t="n">
        <v>31.9</v>
      </c>
      <c r="M638" s="15">
        <f>IFERROR(K638/L638,0)</f>
        <v/>
      </c>
      <c r="N638" s="3" t="n"/>
    </row>
    <row r="639" ht="15" customHeight="1">
      <c r="A639" s="16" t="inlineStr">
        <is>
          <t>Delivery</t>
        </is>
      </c>
      <c r="B639" s="17" t="inlineStr">
        <is>
          <t>Delivery</t>
        </is>
      </c>
      <c r="C639" s="18" t="inlineStr">
        <is>
          <t>Monte seu prato 2</t>
        </is>
      </c>
      <c r="D639" s="6">
        <f>IF(ISERROR(VLOOKUP(E639,'Estrutura Protheus'!A:A,1,FALSE)),"Não","Sim")</f>
        <v/>
      </c>
      <c r="E639" s="9" t="inlineStr">
        <is>
          <t>002080</t>
        </is>
      </c>
      <c r="F639" s="9" t="inlineStr">
        <is>
          <t>000668</t>
        </is>
      </c>
      <c r="G639" s="7" t="inlineStr">
        <is>
          <t>Alecrim</t>
        </is>
      </c>
      <c r="H639" s="19" t="n">
        <v>0.001</v>
      </c>
      <c r="I639" s="9" t="inlineStr">
        <is>
          <t>KG</t>
        </is>
      </c>
      <c r="J639" s="8">
        <f>IFERROR(VLOOKUP(F639,'Base Insumos'!$A:$C,3,FALSE()),"PENDENTE")</f>
        <v/>
      </c>
      <c r="K639" s="8">
        <f>IFERROR(IF(J639="PENDENTE",0,J639*H639),0)</f>
        <v/>
      </c>
      <c r="L639" s="8" t="n">
        <v>31.9</v>
      </c>
      <c r="M639" s="20">
        <f>IFERROR(K639/L639,0)</f>
        <v/>
      </c>
      <c r="N639" s="7" t="n"/>
    </row>
    <row r="640" ht="15" customHeight="1">
      <c r="A640" s="11" t="inlineStr">
        <is>
          <t>Delivery</t>
        </is>
      </c>
      <c r="B640" s="12" t="inlineStr">
        <is>
          <t>Delivery</t>
        </is>
      </c>
      <c r="C640" s="13" t="inlineStr">
        <is>
          <t>Monte seu prato 2</t>
        </is>
      </c>
      <c r="D640" s="2">
        <f>IF(ISERROR(VLOOKUP(E640,'Estrutura Protheus'!A:A,1,FALSE)),"Não","Sim")</f>
        <v/>
      </c>
      <c r="E640" s="5" t="inlineStr">
        <is>
          <t>002080</t>
        </is>
      </c>
      <c r="F640" s="5" t="inlineStr">
        <is>
          <t>002068</t>
        </is>
      </c>
      <c r="G640" s="3" t="inlineStr">
        <is>
          <t>Manteiga S/sal 5kg</t>
        </is>
      </c>
      <c r="H640" s="14" t="n">
        <v>0.004</v>
      </c>
      <c r="I640" s="5" t="inlineStr">
        <is>
          <t>KG</t>
        </is>
      </c>
      <c r="J640" s="4">
        <f>IFERROR(VLOOKUP(F640,'Base Insumos'!$A:$C,3,FALSE()),"PENDENTE")</f>
        <v/>
      </c>
      <c r="K640" s="4">
        <f>IFERROR(IF(J640="PENDENTE",0,J640*H640),0)</f>
        <v/>
      </c>
      <c r="L640" s="4" t="n">
        <v>31.9</v>
      </c>
      <c r="M640" s="15">
        <f>IFERROR(K640/L640,0)</f>
        <v/>
      </c>
      <c r="N640" s="3" t="n"/>
    </row>
    <row r="641" ht="15" customHeight="1">
      <c r="A641" s="16" t="inlineStr">
        <is>
          <t>Delivery</t>
        </is>
      </c>
      <c r="B641" s="17" t="inlineStr">
        <is>
          <t>Delivery</t>
        </is>
      </c>
      <c r="C641" s="18" t="inlineStr">
        <is>
          <t>Monte seu prato 2</t>
        </is>
      </c>
      <c r="D641" s="6">
        <f>IF(ISERROR(VLOOKUP(E641,'Estrutura Protheus'!A:A,1,FALSE)),"Não","Sim")</f>
        <v/>
      </c>
      <c r="E641" s="9" t="inlineStr">
        <is>
          <t>002080</t>
        </is>
      </c>
      <c r="F641" s="9" t="inlineStr">
        <is>
          <t>000390</t>
        </is>
      </c>
      <c r="G641" s="7" t="inlineStr">
        <is>
          <t>Farinha de Trigo Sol</t>
        </is>
      </c>
      <c r="H641" s="19" t="n">
        <v>0.002</v>
      </c>
      <c r="I641" s="9" t="inlineStr">
        <is>
          <t>KG</t>
        </is>
      </c>
      <c r="J641" s="8">
        <f>IFERROR(VLOOKUP(F641,'Base Insumos'!$A:$C,3,FALSE()),"PENDENTE")</f>
        <v/>
      </c>
      <c r="K641" s="8">
        <f>IFERROR(IF(J641="PENDENTE",0,J641*H641),0)</f>
        <v/>
      </c>
      <c r="L641" s="8" t="n">
        <v>31.9</v>
      </c>
      <c r="M641" s="20">
        <f>IFERROR(K641/L641,0)</f>
        <v/>
      </c>
      <c r="N641" s="7" t="n"/>
    </row>
    <row r="642" ht="15" customHeight="1">
      <c r="A642" s="11" t="inlineStr">
        <is>
          <t>Delivery</t>
        </is>
      </c>
      <c r="B642" s="12" t="inlineStr">
        <is>
          <t>Delivery</t>
        </is>
      </c>
      <c r="C642" s="13" t="inlineStr">
        <is>
          <t>Monte seu prato 2</t>
        </is>
      </c>
      <c r="D642" s="2">
        <f>IF(ISERROR(VLOOKUP(E642,'Estrutura Protheus'!A:A,1,FALSE)),"Não","Sim")</f>
        <v/>
      </c>
      <c r="E642" s="5" t="inlineStr">
        <is>
          <t>002080</t>
        </is>
      </c>
      <c r="F642" s="5" t="inlineStr">
        <is>
          <t>000331</t>
        </is>
      </c>
      <c r="G642" s="3" t="inlineStr">
        <is>
          <t>Barril Chopp Brahma Claro 50lt</t>
        </is>
      </c>
      <c r="H642" s="14" t="n">
        <v>0.003</v>
      </c>
      <c r="I642" s="5" t="inlineStr">
        <is>
          <t>LT</t>
        </is>
      </c>
      <c r="J642" s="4">
        <f>IFERROR(VLOOKUP(F642,'Base Insumos'!$A:$C,3,FALSE()),"PENDENTE")</f>
        <v/>
      </c>
      <c r="K642" s="4">
        <f>IFERROR(IF(J642="PENDENTE",0,J642*H642),0)</f>
        <v/>
      </c>
      <c r="L642" s="4" t="n">
        <v>31.9</v>
      </c>
      <c r="M642" s="15">
        <f>IFERROR(K642/L642,0)</f>
        <v/>
      </c>
      <c r="N642" s="3" t="n"/>
    </row>
    <row r="643" ht="15" customHeight="1">
      <c r="A643" s="16" t="inlineStr">
        <is>
          <t>Delivery</t>
        </is>
      </c>
      <c r="B643" s="17" t="inlineStr">
        <is>
          <t>Delivery</t>
        </is>
      </c>
      <c r="C643" s="18" t="inlineStr">
        <is>
          <t>Monte seu prato 2</t>
        </is>
      </c>
      <c r="D643" s="6">
        <f>IF(ISERROR(VLOOKUP(E643,'Estrutura Protheus'!A:A,1,FALSE)),"Não","Sim")</f>
        <v/>
      </c>
      <c r="E643" s="9" t="inlineStr">
        <is>
          <t>002080</t>
        </is>
      </c>
      <c r="F643" s="9" t="inlineStr">
        <is>
          <t>000614</t>
        </is>
      </c>
      <c r="G643" s="7" t="inlineStr">
        <is>
          <t>Sal Refinado</t>
        </is>
      </c>
      <c r="H643" s="19" t="n">
        <v>0.0002</v>
      </c>
      <c r="I643" s="9" t="inlineStr">
        <is>
          <t>KG</t>
        </is>
      </c>
      <c r="J643" s="8">
        <f>IFERROR(VLOOKUP(F643,'Base Insumos'!$A:$C,3,FALSE()),"PENDENTE")</f>
        <v/>
      </c>
      <c r="K643" s="8">
        <f>IFERROR(IF(J643="PENDENTE",0,J643*H643),0)</f>
        <v/>
      </c>
      <c r="L643" s="8" t="n">
        <v>31.9</v>
      </c>
      <c r="M643" s="20">
        <f>IFERROR(K643/L643,0)</f>
        <v/>
      </c>
      <c r="N643" s="7" t="n"/>
    </row>
    <row r="644" ht="15" customHeight="1">
      <c r="A644" s="11" t="inlineStr">
        <is>
          <t>Delivery</t>
        </is>
      </c>
      <c r="B644" s="12" t="inlineStr">
        <is>
          <t>Delivery</t>
        </is>
      </c>
      <c r="C644" s="13" t="inlineStr">
        <is>
          <t>Monte seu prato 2</t>
        </is>
      </c>
      <c r="D644" s="2">
        <f>IF(ISERROR(VLOOKUP(E644,'Estrutura Protheus'!A:A,1,FALSE)),"Não","Sim")</f>
        <v/>
      </c>
      <c r="E644" s="5" t="inlineStr">
        <is>
          <t>002080</t>
        </is>
      </c>
      <c r="F644" s="5" t="inlineStr">
        <is>
          <t>000414</t>
        </is>
      </c>
      <c r="G644" s="3" t="inlineStr">
        <is>
          <t>Pimenta do Reino Moida</t>
        </is>
      </c>
      <c r="H644" s="14" t="n">
        <v>6e-05</v>
      </c>
      <c r="I644" s="5" t="inlineStr">
        <is>
          <t>KG</t>
        </is>
      </c>
      <c r="J644" s="4">
        <f>IFERROR(VLOOKUP(F644,'Base Insumos'!$A:$C,3,FALSE()),"PENDENTE")</f>
        <v/>
      </c>
      <c r="K644" s="4">
        <f>IFERROR(IF(J644="PENDENTE",0,J644*H644),0)</f>
        <v/>
      </c>
      <c r="L644" s="4" t="n">
        <v>31.9</v>
      </c>
      <c r="M644" s="15">
        <f>IFERROR(K644/L644,0)</f>
        <v/>
      </c>
      <c r="N644" s="3" t="n"/>
    </row>
    <row r="645" ht="15" customHeight="1">
      <c r="A645" s="16" t="inlineStr">
        <is>
          <t>Delivery</t>
        </is>
      </c>
      <c r="B645" s="17" t="inlineStr">
        <is>
          <t>Delivery</t>
        </is>
      </c>
      <c r="C645" s="18" t="inlineStr">
        <is>
          <t>Monte seu prato 2</t>
        </is>
      </c>
      <c r="D645" s="6">
        <f>IF(ISERROR(VLOOKUP(E645,'Estrutura Protheus'!A:A,1,FALSE)),"Não","Sim")</f>
        <v/>
      </c>
      <c r="E645" s="9" t="inlineStr">
        <is>
          <t>002080</t>
        </is>
      </c>
      <c r="F645" s="9" t="inlineStr">
        <is>
          <t>000486</t>
        </is>
      </c>
      <c r="G645" s="7" t="inlineStr">
        <is>
          <t>Tomate Salada</t>
        </is>
      </c>
      <c r="H645" s="19" t="n">
        <v>0.026</v>
      </c>
      <c r="I645" s="9" t="inlineStr">
        <is>
          <t>KG</t>
        </is>
      </c>
      <c r="J645" s="8">
        <f>IFERROR(VLOOKUP(F645,'Base Insumos'!$A:$C,3,FALSE()),"PENDENTE")</f>
        <v/>
      </c>
      <c r="K645" s="8">
        <f>IFERROR(IF(J645="PENDENTE",0,J645*H645),0)</f>
        <v/>
      </c>
      <c r="L645" s="8" t="n">
        <v>31.9</v>
      </c>
      <c r="M645" s="20">
        <f>IFERROR(K645/L645,0)</f>
        <v/>
      </c>
      <c r="N645" s="7" t="n"/>
    </row>
    <row r="646" ht="15" customHeight="1">
      <c r="A646" s="11" t="inlineStr">
        <is>
          <t>Delivery</t>
        </is>
      </c>
      <c r="B646" s="12" t="inlineStr">
        <is>
          <t>Delivery</t>
        </is>
      </c>
      <c r="C646" s="13" t="inlineStr">
        <is>
          <t>Monte seu prato 2</t>
        </is>
      </c>
      <c r="D646" s="2">
        <f>IF(ISERROR(VLOOKUP(E646,'Estrutura Protheus'!A:A,1,FALSE)),"Não","Sim")</f>
        <v/>
      </c>
      <c r="E646" s="5" t="inlineStr">
        <is>
          <t>002080</t>
        </is>
      </c>
      <c r="F646" s="5" t="inlineStr">
        <is>
          <t>000468</t>
        </is>
      </c>
      <c r="G646" s="3" t="inlineStr">
        <is>
          <t>Cebola Media</t>
        </is>
      </c>
      <c r="H646" s="14" t="n">
        <v>0.013</v>
      </c>
      <c r="I646" s="5" t="inlineStr">
        <is>
          <t>KG</t>
        </is>
      </c>
      <c r="J646" s="4">
        <f>IFERROR(VLOOKUP(F646,'Base Insumos'!$A:$C,3,FALSE()),"PENDENTE")</f>
        <v/>
      </c>
      <c r="K646" s="4">
        <f>IFERROR(IF(J646="PENDENTE",0,J646*H646),0)</f>
        <v/>
      </c>
      <c r="L646" s="4" t="n">
        <v>31.9</v>
      </c>
      <c r="M646" s="15">
        <f>IFERROR(K646/L646,0)</f>
        <v/>
      </c>
      <c r="N646" s="3" t="n"/>
    </row>
    <row r="647" ht="15" customHeight="1">
      <c r="A647" s="16" t="inlineStr">
        <is>
          <t>Delivery</t>
        </is>
      </c>
      <c r="B647" s="17" t="inlineStr">
        <is>
          <t>Delivery</t>
        </is>
      </c>
      <c r="C647" s="18" t="inlineStr">
        <is>
          <t>Monte seu prato 2</t>
        </is>
      </c>
      <c r="D647" s="6">
        <f>IF(ISERROR(VLOOKUP(E647,'Estrutura Protheus'!A:A,1,FALSE)),"Não","Sim")</f>
        <v/>
      </c>
      <c r="E647" s="9" t="inlineStr">
        <is>
          <t>002080</t>
        </is>
      </c>
      <c r="F647" s="9" t="inlineStr">
        <is>
          <t>000484</t>
        </is>
      </c>
      <c r="G647" s="7" t="inlineStr">
        <is>
          <t>Salsa Lisa Industrial</t>
        </is>
      </c>
      <c r="H647" s="19" t="n">
        <v>0.008999999999999999</v>
      </c>
      <c r="I647" s="9" t="inlineStr">
        <is>
          <t>KG</t>
        </is>
      </c>
      <c r="J647" s="8">
        <f>IFERROR(VLOOKUP(F647,'Base Insumos'!$A:$C,3,FALSE()),"PENDENTE")</f>
        <v/>
      </c>
      <c r="K647" s="8">
        <f>IFERROR(IF(J647="PENDENTE",0,J647*H647),0)</f>
        <v/>
      </c>
      <c r="L647" s="8" t="n">
        <v>31.9</v>
      </c>
      <c r="M647" s="20">
        <f>IFERROR(K647/L647,0)</f>
        <v/>
      </c>
      <c r="N647" s="7" t="n"/>
    </row>
    <row r="648" ht="15" customHeight="1">
      <c r="A648" s="11" t="inlineStr">
        <is>
          <t>Delivery</t>
        </is>
      </c>
      <c r="B648" s="12" t="inlineStr">
        <is>
          <t>Delivery</t>
        </is>
      </c>
      <c r="C648" s="13" t="inlineStr">
        <is>
          <t>Monte seu prato 2</t>
        </is>
      </c>
      <c r="D648" s="2">
        <f>IF(ISERROR(VLOOKUP(E648,'Estrutura Protheus'!A:A,1,FALSE)),"Não","Sim")</f>
        <v/>
      </c>
      <c r="E648" s="5" t="inlineStr">
        <is>
          <t>002080</t>
        </is>
      </c>
      <c r="F648" s="5" t="inlineStr">
        <is>
          <t>000424</t>
        </is>
      </c>
      <c r="G648" s="3" t="inlineStr">
        <is>
          <t>Vinagre Agrin Branco Neval Garrafa 750ml</t>
        </is>
      </c>
      <c r="H648" s="14" t="n">
        <v>0.007</v>
      </c>
      <c r="I648" s="5" t="inlineStr">
        <is>
          <t>LT</t>
        </is>
      </c>
      <c r="J648" s="4">
        <f>IFERROR(VLOOKUP(F648,'Base Insumos'!$A:$C,3,FALSE()),"PENDENTE")</f>
        <v/>
      </c>
      <c r="K648" s="4">
        <f>IFERROR(IF(J648="PENDENTE",0,J648*H648),0)</f>
        <v/>
      </c>
      <c r="L648" s="4" t="n">
        <v>31.9</v>
      </c>
      <c r="M648" s="15">
        <f>IFERROR(K648/L648,0)</f>
        <v/>
      </c>
      <c r="N648" s="3" t="n"/>
    </row>
    <row r="649" ht="15" customHeight="1">
      <c r="A649" s="16" t="inlineStr">
        <is>
          <t>Delivery</t>
        </is>
      </c>
      <c r="B649" s="17" t="inlineStr">
        <is>
          <t>Delivery</t>
        </is>
      </c>
      <c r="C649" s="18" t="inlineStr">
        <is>
          <t>Monte seu prato 2</t>
        </is>
      </c>
      <c r="D649" s="6">
        <f>IF(ISERROR(VLOOKUP(E649,'Estrutura Protheus'!A:A,1,FALSE)),"Não","Sim")</f>
        <v/>
      </c>
      <c r="E649" s="9" t="inlineStr">
        <is>
          <t>002080</t>
        </is>
      </c>
      <c r="F649" s="9" t="inlineStr">
        <is>
          <t>001043</t>
        </is>
      </c>
      <c r="G649" s="7" t="inlineStr">
        <is>
          <t>Azeite 500 Ml</t>
        </is>
      </c>
      <c r="H649" s="19" t="n">
        <v>0.013</v>
      </c>
      <c r="I649" s="9" t="inlineStr">
        <is>
          <t>LT</t>
        </is>
      </c>
      <c r="J649" s="8">
        <f>IFERROR(VLOOKUP(F649,'Base Insumos'!$A:$C,3,FALSE()),"PENDENTE")</f>
        <v/>
      </c>
      <c r="K649" s="8">
        <f>IFERROR(IF(J649="PENDENTE",0,J649*H649),0)</f>
        <v/>
      </c>
      <c r="L649" s="8" t="n">
        <v>31.9</v>
      </c>
      <c r="M649" s="20">
        <f>IFERROR(K649/L649,0)</f>
        <v/>
      </c>
      <c r="N649" s="7" t="n"/>
    </row>
    <row r="650" ht="15" customHeight="1">
      <c r="A650" s="11" t="inlineStr">
        <is>
          <t>Delivery</t>
        </is>
      </c>
      <c r="B650" s="12" t="inlineStr">
        <is>
          <t>Delivery</t>
        </is>
      </c>
      <c r="C650" s="13" t="inlineStr">
        <is>
          <t>Monte seu prato 2</t>
        </is>
      </c>
      <c r="D650" s="2">
        <f>IF(ISERROR(VLOOKUP(E650,'Estrutura Protheus'!A:A,1,FALSE)),"Não","Sim")</f>
        <v/>
      </c>
      <c r="E650" s="5" t="inlineStr">
        <is>
          <t>002080</t>
        </is>
      </c>
      <c r="F650" s="5" t="inlineStr">
        <is>
          <t>000614</t>
        </is>
      </c>
      <c r="G650" s="3" t="inlineStr">
        <is>
          <t>Sal Refinado</t>
        </is>
      </c>
      <c r="H650" s="14" t="n">
        <v>0.0005</v>
      </c>
      <c r="I650" s="5" t="inlineStr">
        <is>
          <t>KG</t>
        </is>
      </c>
      <c r="J650" s="4">
        <f>IFERROR(VLOOKUP(F650,'Base Insumos'!$A:$C,3,FALSE()),"PENDENTE")</f>
        <v/>
      </c>
      <c r="K650" s="4">
        <f>IFERROR(IF(J650="PENDENTE",0,J650*H650),0)</f>
        <v/>
      </c>
      <c r="L650" s="4" t="n">
        <v>31.9</v>
      </c>
      <c r="M650" s="15">
        <f>IFERROR(K650/L650,0)</f>
        <v/>
      </c>
      <c r="N650" s="3" t="n"/>
    </row>
    <row r="651" ht="15" customHeight="1">
      <c r="A651" s="16" t="inlineStr">
        <is>
          <t>Delivery</t>
        </is>
      </c>
      <c r="B651" s="17" t="inlineStr">
        <is>
          <t>Delivery</t>
        </is>
      </c>
      <c r="C651" s="18" t="inlineStr">
        <is>
          <t>Monte seu prato 3</t>
        </is>
      </c>
      <c r="D651" s="6">
        <f>IF(ISERROR(VLOOKUP(E651,'Estrutura Protheus'!A:A,1,FALSE)),"Não","Sim")</f>
        <v/>
      </c>
      <c r="E651" s="9" t="inlineStr">
        <is>
          <t>002081</t>
        </is>
      </c>
      <c r="F651" s="9" t="inlineStr">
        <is>
          <t>000286</t>
        </is>
      </c>
      <c r="G651" s="7" t="inlineStr">
        <is>
          <t>Espeto Bovino</t>
        </is>
      </c>
      <c r="H651" s="19" t="n">
        <v>1</v>
      </c>
      <c r="I651" s="9" t="inlineStr">
        <is>
          <t>UN</t>
        </is>
      </c>
      <c r="J651" s="8">
        <f>IFERROR(VLOOKUP(F651,'Base Insumos'!$A:$C,3,FALSE()),"PENDENTE")</f>
        <v/>
      </c>
      <c r="K651" s="8">
        <f>IFERROR(IF(J651="PENDENTE",0,J651*H651),0)</f>
        <v/>
      </c>
      <c r="L651" s="8" t="n">
        <v>31.9</v>
      </c>
      <c r="M651" s="20">
        <f>IFERROR(K651/L651,0)</f>
        <v/>
      </c>
      <c r="N651" s="7" t="n"/>
    </row>
    <row r="652" ht="15" customHeight="1">
      <c r="A652" s="11" t="inlineStr">
        <is>
          <t>Delivery</t>
        </is>
      </c>
      <c r="B652" s="12" t="inlineStr">
        <is>
          <t>Delivery</t>
        </is>
      </c>
      <c r="C652" s="13" t="inlineStr">
        <is>
          <t>Monte seu prato 3</t>
        </is>
      </c>
      <c r="D652" s="2">
        <f>IF(ISERROR(VLOOKUP(E652,'Estrutura Protheus'!A:A,1,FALSE)),"Não","Sim")</f>
        <v/>
      </c>
      <c r="E652" s="5" t="inlineStr">
        <is>
          <t>002081</t>
        </is>
      </c>
      <c r="F652" s="5" t="inlineStr">
        <is>
          <t>000297</t>
        </is>
      </c>
      <c r="G652" s="3" t="inlineStr">
        <is>
          <t>Espeto Picanha c/ Gordura</t>
        </is>
      </c>
      <c r="H652" s="14" t="n">
        <v>1</v>
      </c>
      <c r="I652" s="5" t="inlineStr">
        <is>
          <t>UN</t>
        </is>
      </c>
      <c r="J652" s="4">
        <f>IFERROR(VLOOKUP(F652,'Base Insumos'!$A:$C,3,FALSE()),"PENDENTE")</f>
        <v/>
      </c>
      <c r="K652" s="4">
        <f>IFERROR(IF(J652="PENDENTE",0,J652*H652),0)</f>
        <v/>
      </c>
      <c r="L652" s="4" t="n">
        <v>31.9</v>
      </c>
      <c r="M652" s="15">
        <f>IFERROR(K652/L652,0)</f>
        <v/>
      </c>
      <c r="N652" s="3" t="n"/>
    </row>
    <row r="653" ht="15" customHeight="1">
      <c r="A653" s="16" t="inlineStr">
        <is>
          <t>Delivery</t>
        </is>
      </c>
      <c r="B653" s="17" t="inlineStr">
        <is>
          <t>Delivery</t>
        </is>
      </c>
      <c r="C653" s="18" t="inlineStr">
        <is>
          <t>Monte seu prato 3</t>
        </is>
      </c>
      <c r="D653" s="6">
        <f>IF(ISERROR(VLOOKUP(E653,'Estrutura Protheus'!A:A,1,FALSE)),"Não","Sim")</f>
        <v/>
      </c>
      <c r="E653" s="9" t="inlineStr">
        <is>
          <t>002081</t>
        </is>
      </c>
      <c r="F653" s="9" t="inlineStr">
        <is>
          <t>000377</t>
        </is>
      </c>
      <c r="G653" s="7" t="inlineStr">
        <is>
          <t>Arroz Tipo 1</t>
        </is>
      </c>
      <c r="H653" s="19" t="n">
        <v>0.15</v>
      </c>
      <c r="I653" s="9" t="inlineStr">
        <is>
          <t>KG</t>
        </is>
      </c>
      <c r="J653" s="8">
        <f>IFERROR(VLOOKUP(F653,'Base Insumos'!$A:$C,3,FALSE()),"PENDENTE")</f>
        <v/>
      </c>
      <c r="K653" s="8">
        <f>IFERROR(IF(J653="PENDENTE",0,J653*H653),0)</f>
        <v/>
      </c>
      <c r="L653" s="8" t="n">
        <v>31.9</v>
      </c>
      <c r="M653" s="20">
        <f>IFERROR(K653/L653,0)</f>
        <v/>
      </c>
      <c r="N653" s="7" t="n"/>
    </row>
    <row r="654" ht="15" customHeight="1">
      <c r="A654" s="11" t="inlineStr">
        <is>
          <t>Delivery</t>
        </is>
      </c>
      <c r="B654" s="12" t="inlineStr">
        <is>
          <t>Delivery</t>
        </is>
      </c>
      <c r="C654" s="13" t="inlineStr">
        <is>
          <t>Monte seu prato 3</t>
        </is>
      </c>
      <c r="D654" s="2">
        <f>IF(ISERROR(VLOOKUP(E654,'Estrutura Protheus'!A:A,1,FALSE)),"Não","Sim")</f>
        <v/>
      </c>
      <c r="E654" s="5" t="inlineStr">
        <is>
          <t>002081</t>
        </is>
      </c>
      <c r="F654" s="5" t="inlineStr">
        <is>
          <t>000412</t>
        </is>
      </c>
      <c r="G654" s="3" t="inlineStr">
        <is>
          <t>Oleo de Soja Liza 900ml</t>
        </is>
      </c>
      <c r="H654" s="14" t="n">
        <v>0.059</v>
      </c>
      <c r="I654" s="5" t="inlineStr">
        <is>
          <t>LT</t>
        </is>
      </c>
      <c r="J654" s="4">
        <f>IFERROR(VLOOKUP(F654,'Base Insumos'!$A:$C,3,FALSE()),"PENDENTE")</f>
        <v/>
      </c>
      <c r="K654" s="4">
        <f>IFERROR(IF(J654="PENDENTE",0,J654*H654),0)</f>
        <v/>
      </c>
      <c r="L654" s="4" t="n">
        <v>31.9</v>
      </c>
      <c r="M654" s="15">
        <f>IFERROR(K654/L654,0)</f>
        <v/>
      </c>
      <c r="N654" s="3" t="n"/>
    </row>
    <row r="655" ht="15" customHeight="1">
      <c r="A655" s="16" t="inlineStr">
        <is>
          <t>Delivery</t>
        </is>
      </c>
      <c r="B655" s="17" t="inlineStr">
        <is>
          <t>Delivery</t>
        </is>
      </c>
      <c r="C655" s="18" t="inlineStr">
        <is>
          <t>Monte seu prato 3</t>
        </is>
      </c>
      <c r="D655" s="6">
        <f>IF(ISERROR(VLOOKUP(E655,'Estrutura Protheus'!A:A,1,FALSE)),"Não","Sim")</f>
        <v/>
      </c>
      <c r="E655" s="9" t="inlineStr">
        <is>
          <t>002081</t>
        </is>
      </c>
      <c r="F655" s="9" t="inlineStr">
        <is>
          <t>000614</t>
        </is>
      </c>
      <c r="G655" s="7" t="inlineStr">
        <is>
          <t>Sal Refinado</t>
        </is>
      </c>
      <c r="H655" s="19" t="n">
        <v>0.003</v>
      </c>
      <c r="I655" s="9" t="inlineStr">
        <is>
          <t>KG</t>
        </is>
      </c>
      <c r="J655" s="8">
        <f>IFERROR(VLOOKUP(F655,'Base Insumos'!$A:$C,3,FALSE()),"PENDENTE")</f>
        <v/>
      </c>
      <c r="K655" s="8">
        <f>IFERROR(IF(J655="PENDENTE",0,J655*H655),0)</f>
        <v/>
      </c>
      <c r="L655" s="8" t="n">
        <v>31.9</v>
      </c>
      <c r="M655" s="20">
        <f>IFERROR(K655/L655,0)</f>
        <v/>
      </c>
      <c r="N655" s="7" t="n"/>
    </row>
    <row r="656" ht="15" customHeight="1">
      <c r="A656" s="11" t="inlineStr">
        <is>
          <t>Delivery</t>
        </is>
      </c>
      <c r="B656" s="12" t="inlineStr">
        <is>
          <t>Delivery</t>
        </is>
      </c>
      <c r="C656" s="13" t="inlineStr">
        <is>
          <t>Monte seu prato 3</t>
        </is>
      </c>
      <c r="D656" s="2">
        <f>IF(ISERROR(VLOOKUP(E656,'Estrutura Protheus'!A:A,1,FALSE)),"Não","Sim")</f>
        <v/>
      </c>
      <c r="E656" s="5" t="inlineStr">
        <is>
          <t>002081</t>
        </is>
      </c>
      <c r="F656" s="5" t="inlineStr">
        <is>
          <t>000475</t>
        </is>
      </c>
      <c r="G656" s="3" t="inlineStr">
        <is>
          <t>Folha de Louro</t>
        </is>
      </c>
      <c r="H656" s="14" t="n">
        <v>0.002</v>
      </c>
      <c r="I656" s="5" t="inlineStr">
        <is>
          <t>KG</t>
        </is>
      </c>
      <c r="J656" s="4">
        <f>IFERROR(VLOOKUP(F656,'Base Insumos'!$A:$C,3,FALSE()),"PENDENTE")</f>
        <v/>
      </c>
      <c r="K656" s="4">
        <f>IFERROR(IF(J656="PENDENTE",0,J656*H656),0)</f>
        <v/>
      </c>
      <c r="L656" s="4" t="n">
        <v>31.9</v>
      </c>
      <c r="M656" s="15">
        <f>IFERROR(K656/L656,0)</f>
        <v/>
      </c>
      <c r="N656" s="3" t="n"/>
    </row>
    <row r="657" ht="15" customHeight="1">
      <c r="A657" s="16" t="inlineStr">
        <is>
          <t>Delivery</t>
        </is>
      </c>
      <c r="B657" s="17" t="inlineStr">
        <is>
          <t>Delivery</t>
        </is>
      </c>
      <c r="C657" s="18" t="inlineStr">
        <is>
          <t>Monte seu prato 3</t>
        </is>
      </c>
      <c r="D657" s="6">
        <f>IF(ISERROR(VLOOKUP(E657,'Estrutura Protheus'!A:A,1,FALSE)),"Não","Sim")</f>
        <v/>
      </c>
      <c r="E657" s="9" t="inlineStr">
        <is>
          <t>002081</t>
        </is>
      </c>
      <c r="F657" s="9" t="inlineStr">
        <is>
          <t>002068</t>
        </is>
      </c>
      <c r="G657" s="7" t="inlineStr">
        <is>
          <t>Manteiga S/sal 5kg</t>
        </is>
      </c>
      <c r="H657" s="19" t="n">
        <v>0.005</v>
      </c>
      <c r="I657" s="9" t="inlineStr">
        <is>
          <t>KG</t>
        </is>
      </c>
      <c r="J657" s="8">
        <f>IFERROR(VLOOKUP(F657,'Base Insumos'!$A:$C,3,FALSE()),"PENDENTE")</f>
        <v/>
      </c>
      <c r="K657" s="8">
        <f>IFERROR(IF(J657="PENDENTE",0,J657*H657),0)</f>
        <v/>
      </c>
      <c r="L657" s="8" t="n">
        <v>31.9</v>
      </c>
      <c r="M657" s="20">
        <f>IFERROR(K657/L657,0)</f>
        <v/>
      </c>
      <c r="N657" s="7" t="n"/>
    </row>
    <row r="658" ht="15" customHeight="1">
      <c r="A658" s="11" t="inlineStr">
        <is>
          <t>Delivery</t>
        </is>
      </c>
      <c r="B658" s="12" t="inlineStr">
        <is>
          <t>Delivery</t>
        </is>
      </c>
      <c r="C658" s="13" t="inlineStr">
        <is>
          <t>Monte seu prato 3</t>
        </is>
      </c>
      <c r="D658" s="2">
        <f>IF(ISERROR(VLOOKUP(E658,'Estrutura Protheus'!A:A,1,FALSE)),"Não","Sim")</f>
        <v/>
      </c>
      <c r="E658" s="5" t="inlineStr">
        <is>
          <t>002081</t>
        </is>
      </c>
      <c r="F658" s="5" t="inlineStr">
        <is>
          <t>002067</t>
        </is>
      </c>
      <c r="G658" s="3" t="inlineStr">
        <is>
          <t>Farinha Panko Empanar</t>
        </is>
      </c>
      <c r="H658" s="14" t="n">
        <v>0.02</v>
      </c>
      <c r="I658" s="5" t="inlineStr">
        <is>
          <t>KG</t>
        </is>
      </c>
      <c r="J658" s="4">
        <f>IFERROR(VLOOKUP(F658,'Base Insumos'!$A:$C,3,FALSE()),"PENDENTE")</f>
        <v/>
      </c>
      <c r="K658" s="4">
        <f>IFERROR(IF(J658="PENDENTE",0,J658*H658),0)</f>
        <v/>
      </c>
      <c r="L658" s="4" t="n">
        <v>31.9</v>
      </c>
      <c r="M658" s="15">
        <f>IFERROR(K658/L658,0)</f>
        <v/>
      </c>
      <c r="N658" s="3" t="n"/>
    </row>
    <row r="659" ht="15" customHeight="1">
      <c r="A659" s="16" t="inlineStr">
        <is>
          <t>Delivery</t>
        </is>
      </c>
      <c r="B659" s="17" t="inlineStr">
        <is>
          <t>Delivery</t>
        </is>
      </c>
      <c r="C659" s="18" t="inlineStr">
        <is>
          <t>Monte seu prato 3</t>
        </is>
      </c>
      <c r="D659" s="6">
        <f>IF(ISERROR(VLOOKUP(E659,'Estrutura Protheus'!A:A,1,FALSE)),"Não","Sim")</f>
        <v/>
      </c>
      <c r="E659" s="9" t="inlineStr">
        <is>
          <t>002081</t>
        </is>
      </c>
      <c r="F659" s="9" t="inlineStr">
        <is>
          <t>000426</t>
        </is>
      </c>
      <c r="G659" s="7" t="inlineStr">
        <is>
          <t>Bacon em Cubos</t>
        </is>
      </c>
      <c r="H659" s="19" t="n">
        <v>0.004</v>
      </c>
      <c r="I659" s="9" t="inlineStr">
        <is>
          <t>KG</t>
        </is>
      </c>
      <c r="J659" s="8">
        <f>IFERROR(VLOOKUP(F659,'Base Insumos'!$A:$C,3,FALSE()),"PENDENTE")</f>
        <v/>
      </c>
      <c r="K659" s="8">
        <f>IFERROR(IF(J659="PENDENTE",0,J659*H659),0)</f>
        <v/>
      </c>
      <c r="L659" s="8" t="n">
        <v>31.9</v>
      </c>
      <c r="M659" s="20">
        <f>IFERROR(K659/L659,0)</f>
        <v/>
      </c>
      <c r="N659" s="7" t="n"/>
    </row>
    <row r="660" ht="15" customHeight="1">
      <c r="A660" s="11" t="inlineStr">
        <is>
          <t>Delivery</t>
        </is>
      </c>
      <c r="B660" s="12" t="inlineStr">
        <is>
          <t>Delivery</t>
        </is>
      </c>
      <c r="C660" s="13" t="inlineStr">
        <is>
          <t>Monte seu prato 3</t>
        </is>
      </c>
      <c r="D660" s="2">
        <f>IF(ISERROR(VLOOKUP(E660,'Estrutura Protheus'!A:A,1,FALSE)),"Não","Sim")</f>
        <v/>
      </c>
      <c r="E660" s="5" t="inlineStr">
        <is>
          <t>002081</t>
        </is>
      </c>
      <c r="F660" s="5" t="inlineStr">
        <is>
          <t>002070</t>
        </is>
      </c>
      <c r="G660" s="3" t="inlineStr">
        <is>
          <t>Alho Poro</t>
        </is>
      </c>
      <c r="H660" s="14" t="n">
        <v>0.004</v>
      </c>
      <c r="I660" s="5" t="inlineStr">
        <is>
          <t>KG</t>
        </is>
      </c>
      <c r="J660" s="4">
        <f>IFERROR(VLOOKUP(F660,'Base Insumos'!$A:$C,3,FALSE()),"PENDENTE")</f>
        <v/>
      </c>
      <c r="K660" s="4">
        <f>IFERROR(IF(J660="PENDENTE",0,J660*H660),0)</f>
        <v/>
      </c>
      <c r="L660" s="4" t="n">
        <v>31.9</v>
      </c>
      <c r="M660" s="15">
        <f>IFERROR(K660/L660,0)</f>
        <v/>
      </c>
      <c r="N660" s="3" t="n"/>
    </row>
    <row r="661" ht="15" customHeight="1">
      <c r="A661" s="16" t="inlineStr">
        <is>
          <t>Delivery</t>
        </is>
      </c>
      <c r="B661" s="17" t="inlineStr">
        <is>
          <t>Delivery</t>
        </is>
      </c>
      <c r="C661" s="18" t="inlineStr">
        <is>
          <t>Monte seu prato 3</t>
        </is>
      </c>
      <c r="D661" s="6">
        <f>IF(ISERROR(VLOOKUP(E661,'Estrutura Protheus'!A:A,1,FALSE)),"Não","Sim")</f>
        <v/>
      </c>
      <c r="E661" s="9" t="inlineStr">
        <is>
          <t>002081</t>
        </is>
      </c>
      <c r="F661" s="9" t="inlineStr">
        <is>
          <t>000667</t>
        </is>
      </c>
      <c r="G661" s="7" t="inlineStr">
        <is>
          <t>Tomilho</t>
        </is>
      </c>
      <c r="H661" s="19" t="n">
        <v>0.0005999999999999999</v>
      </c>
      <c r="I661" s="9" t="inlineStr">
        <is>
          <t>KG</t>
        </is>
      </c>
      <c r="J661" s="8">
        <f>IFERROR(VLOOKUP(F661,'Base Insumos'!$A:$C,3,FALSE()),"PENDENTE")</f>
        <v/>
      </c>
      <c r="K661" s="8">
        <f>IFERROR(IF(J661="PENDENTE",0,J661*H661),0)</f>
        <v/>
      </c>
      <c r="L661" s="8" t="n">
        <v>31.9</v>
      </c>
      <c r="M661" s="20">
        <f>IFERROR(K661/L661,0)</f>
        <v/>
      </c>
      <c r="N661" s="7" t="n"/>
    </row>
    <row r="662" ht="15" customHeight="1">
      <c r="A662" s="11" t="inlineStr">
        <is>
          <t>Delivery</t>
        </is>
      </c>
      <c r="B662" s="12" t="inlineStr">
        <is>
          <t>Delivery</t>
        </is>
      </c>
      <c r="C662" s="13" t="inlineStr">
        <is>
          <t>Monte seu prato 3</t>
        </is>
      </c>
      <c r="D662" s="2">
        <f>IF(ISERROR(VLOOKUP(E662,'Estrutura Protheus'!A:A,1,FALSE)),"Não","Sim")</f>
        <v/>
      </c>
      <c r="E662" s="5" t="inlineStr">
        <is>
          <t>002081</t>
        </is>
      </c>
      <c r="F662" s="5" t="inlineStr">
        <is>
          <t>000668</t>
        </is>
      </c>
      <c r="G662" s="3" t="inlineStr">
        <is>
          <t>Alecrim</t>
        </is>
      </c>
      <c r="H662" s="14" t="n">
        <v>0.001</v>
      </c>
      <c r="I662" s="5" t="inlineStr">
        <is>
          <t>KG</t>
        </is>
      </c>
      <c r="J662" s="4">
        <f>IFERROR(VLOOKUP(F662,'Base Insumos'!$A:$C,3,FALSE()),"PENDENTE")</f>
        <v/>
      </c>
      <c r="K662" s="4">
        <f>IFERROR(IF(J662="PENDENTE",0,J662*H662),0)</f>
        <v/>
      </c>
      <c r="L662" s="4" t="n">
        <v>31.9</v>
      </c>
      <c r="M662" s="15">
        <f>IFERROR(K662/L662,0)</f>
        <v/>
      </c>
      <c r="N662" s="3" t="n"/>
    </row>
    <row r="663" ht="15" customHeight="1">
      <c r="A663" s="16" t="inlineStr">
        <is>
          <t>Delivery</t>
        </is>
      </c>
      <c r="B663" s="17" t="inlineStr">
        <is>
          <t>Delivery</t>
        </is>
      </c>
      <c r="C663" s="18" t="inlineStr">
        <is>
          <t>Monte seu prato 3</t>
        </is>
      </c>
      <c r="D663" s="6">
        <f>IF(ISERROR(VLOOKUP(E663,'Estrutura Protheus'!A:A,1,FALSE)),"Não","Sim")</f>
        <v/>
      </c>
      <c r="E663" s="9" t="inlineStr">
        <is>
          <t>002081</t>
        </is>
      </c>
      <c r="F663" s="9" t="inlineStr">
        <is>
          <t>002068</t>
        </is>
      </c>
      <c r="G663" s="7" t="inlineStr">
        <is>
          <t>Manteiga S/sal 5kg</t>
        </is>
      </c>
      <c r="H663" s="19" t="n">
        <v>0.004</v>
      </c>
      <c r="I663" s="9" t="inlineStr">
        <is>
          <t>KG</t>
        </is>
      </c>
      <c r="J663" s="8">
        <f>IFERROR(VLOOKUP(F663,'Base Insumos'!$A:$C,3,FALSE()),"PENDENTE")</f>
        <v/>
      </c>
      <c r="K663" s="8">
        <f>IFERROR(IF(J663="PENDENTE",0,J663*H663),0)</f>
        <v/>
      </c>
      <c r="L663" s="8" t="n">
        <v>31.9</v>
      </c>
      <c r="M663" s="20">
        <f>IFERROR(K663/L663,0)</f>
        <v/>
      </c>
      <c r="N663" s="7" t="n"/>
    </row>
    <row r="664" ht="15" customHeight="1">
      <c r="A664" s="11" t="inlineStr">
        <is>
          <t>Delivery</t>
        </is>
      </c>
      <c r="B664" s="12" t="inlineStr">
        <is>
          <t>Delivery</t>
        </is>
      </c>
      <c r="C664" s="13" t="inlineStr">
        <is>
          <t>Monte seu prato 3</t>
        </is>
      </c>
      <c r="D664" s="2">
        <f>IF(ISERROR(VLOOKUP(E664,'Estrutura Protheus'!A:A,1,FALSE)),"Não","Sim")</f>
        <v/>
      </c>
      <c r="E664" s="5" t="inlineStr">
        <is>
          <t>002081</t>
        </is>
      </c>
      <c r="F664" s="5" t="inlineStr">
        <is>
          <t>000390</t>
        </is>
      </c>
      <c r="G664" s="3" t="inlineStr">
        <is>
          <t>Farinha de Trigo Sol</t>
        </is>
      </c>
      <c r="H664" s="14" t="n">
        <v>0.002</v>
      </c>
      <c r="I664" s="5" t="inlineStr">
        <is>
          <t>KG</t>
        </is>
      </c>
      <c r="J664" s="4">
        <f>IFERROR(VLOOKUP(F664,'Base Insumos'!$A:$C,3,FALSE()),"PENDENTE")</f>
        <v/>
      </c>
      <c r="K664" s="4">
        <f>IFERROR(IF(J664="PENDENTE",0,J664*H664),0)</f>
        <v/>
      </c>
      <c r="L664" s="4" t="n">
        <v>31.9</v>
      </c>
      <c r="M664" s="15">
        <f>IFERROR(K664/L664,0)</f>
        <v/>
      </c>
      <c r="N664" s="3" t="n"/>
    </row>
    <row r="665" ht="15" customHeight="1">
      <c r="A665" s="16" t="inlineStr">
        <is>
          <t>Delivery</t>
        </is>
      </c>
      <c r="B665" s="17" t="inlineStr">
        <is>
          <t>Delivery</t>
        </is>
      </c>
      <c r="C665" s="18" t="inlineStr">
        <is>
          <t>Monte seu prato 3</t>
        </is>
      </c>
      <c r="D665" s="6">
        <f>IF(ISERROR(VLOOKUP(E665,'Estrutura Protheus'!A:A,1,FALSE)),"Não","Sim")</f>
        <v/>
      </c>
      <c r="E665" s="9" t="inlineStr">
        <is>
          <t>002081</t>
        </is>
      </c>
      <c r="F665" s="9" t="inlineStr">
        <is>
          <t>000331</t>
        </is>
      </c>
      <c r="G665" s="7" t="inlineStr">
        <is>
          <t>Barril Chopp Brahma Claro 50lt</t>
        </is>
      </c>
      <c r="H665" s="19" t="n">
        <v>0.003</v>
      </c>
      <c r="I665" s="9" t="inlineStr">
        <is>
          <t>LT</t>
        </is>
      </c>
      <c r="J665" s="8">
        <f>IFERROR(VLOOKUP(F665,'Base Insumos'!$A:$C,3,FALSE()),"PENDENTE")</f>
        <v/>
      </c>
      <c r="K665" s="8">
        <f>IFERROR(IF(J665="PENDENTE",0,J665*H665),0)</f>
        <v/>
      </c>
      <c r="L665" s="8" t="n">
        <v>31.9</v>
      </c>
      <c r="M665" s="20">
        <f>IFERROR(K665/L665,0)</f>
        <v/>
      </c>
      <c r="N665" s="7" t="n"/>
    </row>
    <row r="666" ht="15" customHeight="1">
      <c r="A666" s="11" t="inlineStr">
        <is>
          <t>Delivery</t>
        </is>
      </c>
      <c r="B666" s="12" t="inlineStr">
        <is>
          <t>Delivery</t>
        </is>
      </c>
      <c r="C666" s="13" t="inlineStr">
        <is>
          <t>Monte seu prato 3</t>
        </is>
      </c>
      <c r="D666" s="2">
        <f>IF(ISERROR(VLOOKUP(E666,'Estrutura Protheus'!A:A,1,FALSE)),"Não","Sim")</f>
        <v/>
      </c>
      <c r="E666" s="5" t="inlineStr">
        <is>
          <t>002081</t>
        </is>
      </c>
      <c r="F666" s="5" t="inlineStr">
        <is>
          <t>000614</t>
        </is>
      </c>
      <c r="G666" s="3" t="inlineStr">
        <is>
          <t>Sal Refinado</t>
        </is>
      </c>
      <c r="H666" s="14" t="n">
        <v>0.0002</v>
      </c>
      <c r="I666" s="5" t="inlineStr">
        <is>
          <t>KG</t>
        </is>
      </c>
      <c r="J666" s="4">
        <f>IFERROR(VLOOKUP(F666,'Base Insumos'!$A:$C,3,FALSE()),"PENDENTE")</f>
        <v/>
      </c>
      <c r="K666" s="4">
        <f>IFERROR(IF(J666="PENDENTE",0,J666*H666),0)</f>
        <v/>
      </c>
      <c r="L666" s="4" t="n">
        <v>31.9</v>
      </c>
      <c r="M666" s="15">
        <f>IFERROR(K666/L666,0)</f>
        <v/>
      </c>
      <c r="N666" s="3" t="n"/>
    </row>
    <row r="667" ht="15" customHeight="1">
      <c r="A667" s="16" t="inlineStr">
        <is>
          <t>Delivery</t>
        </is>
      </c>
      <c r="B667" s="17" t="inlineStr">
        <is>
          <t>Delivery</t>
        </is>
      </c>
      <c r="C667" s="18" t="inlineStr">
        <is>
          <t>Monte seu prato 3</t>
        </is>
      </c>
      <c r="D667" s="6">
        <f>IF(ISERROR(VLOOKUP(E667,'Estrutura Protheus'!A:A,1,FALSE)),"Não","Sim")</f>
        <v/>
      </c>
      <c r="E667" s="9" t="inlineStr">
        <is>
          <t>002081</t>
        </is>
      </c>
      <c r="F667" s="9" t="inlineStr">
        <is>
          <t>000414</t>
        </is>
      </c>
      <c r="G667" s="7" t="inlineStr">
        <is>
          <t>Pimenta do Reino Moida</t>
        </is>
      </c>
      <c r="H667" s="19" t="n">
        <v>6e-05</v>
      </c>
      <c r="I667" s="9" t="inlineStr">
        <is>
          <t>KG</t>
        </is>
      </c>
      <c r="J667" s="8">
        <f>IFERROR(VLOOKUP(F667,'Base Insumos'!$A:$C,3,FALSE()),"PENDENTE")</f>
        <v/>
      </c>
      <c r="K667" s="8">
        <f>IFERROR(IF(J667="PENDENTE",0,J667*H667),0)</f>
        <v/>
      </c>
      <c r="L667" s="8" t="n">
        <v>31.9</v>
      </c>
      <c r="M667" s="20">
        <f>IFERROR(K667/L667,0)</f>
        <v/>
      </c>
      <c r="N667" s="7" t="n"/>
    </row>
    <row r="668" ht="15" customHeight="1">
      <c r="A668" s="11" t="inlineStr">
        <is>
          <t>Delivery</t>
        </is>
      </c>
      <c r="B668" s="12" t="inlineStr">
        <is>
          <t>Delivery</t>
        </is>
      </c>
      <c r="C668" s="13" t="inlineStr">
        <is>
          <t>Monte seu prato 3</t>
        </is>
      </c>
      <c r="D668" s="2">
        <f>IF(ISERROR(VLOOKUP(E668,'Estrutura Protheus'!A:A,1,FALSE)),"Não","Sim")</f>
        <v/>
      </c>
      <c r="E668" s="5" t="inlineStr">
        <is>
          <t>002081</t>
        </is>
      </c>
      <c r="F668" s="5" t="inlineStr">
        <is>
          <t>000486</t>
        </is>
      </c>
      <c r="G668" s="3" t="inlineStr">
        <is>
          <t>Tomate Salada</t>
        </is>
      </c>
      <c r="H668" s="14" t="n">
        <v>0.026</v>
      </c>
      <c r="I668" s="5" t="inlineStr">
        <is>
          <t>KG</t>
        </is>
      </c>
      <c r="J668" s="4">
        <f>IFERROR(VLOOKUP(F668,'Base Insumos'!$A:$C,3,FALSE()),"PENDENTE")</f>
        <v/>
      </c>
      <c r="K668" s="4">
        <f>IFERROR(IF(J668="PENDENTE",0,J668*H668),0)</f>
        <v/>
      </c>
      <c r="L668" s="4" t="n">
        <v>31.9</v>
      </c>
      <c r="M668" s="15">
        <f>IFERROR(K668/L668,0)</f>
        <v/>
      </c>
      <c r="N668" s="3" t="n"/>
    </row>
    <row r="669" ht="15" customHeight="1">
      <c r="A669" s="16" t="inlineStr">
        <is>
          <t>Delivery</t>
        </is>
      </c>
      <c r="B669" s="17" t="inlineStr">
        <is>
          <t>Delivery</t>
        </is>
      </c>
      <c r="C669" s="18" t="inlineStr">
        <is>
          <t>Monte seu prato 3</t>
        </is>
      </c>
      <c r="D669" s="6">
        <f>IF(ISERROR(VLOOKUP(E669,'Estrutura Protheus'!A:A,1,FALSE)),"Não","Sim")</f>
        <v/>
      </c>
      <c r="E669" s="9" t="inlineStr">
        <is>
          <t>002081</t>
        </is>
      </c>
      <c r="F669" s="9" t="inlineStr">
        <is>
          <t>000468</t>
        </is>
      </c>
      <c r="G669" s="7" t="inlineStr">
        <is>
          <t>Cebola Media</t>
        </is>
      </c>
      <c r="H669" s="19" t="n">
        <v>0.013</v>
      </c>
      <c r="I669" s="9" t="inlineStr">
        <is>
          <t>KG</t>
        </is>
      </c>
      <c r="J669" s="8">
        <f>IFERROR(VLOOKUP(F669,'Base Insumos'!$A:$C,3,FALSE()),"PENDENTE")</f>
        <v/>
      </c>
      <c r="K669" s="8">
        <f>IFERROR(IF(J669="PENDENTE",0,J669*H669),0)</f>
        <v/>
      </c>
      <c r="L669" s="8" t="n">
        <v>31.9</v>
      </c>
      <c r="M669" s="20">
        <f>IFERROR(K669/L669,0)</f>
        <v/>
      </c>
      <c r="N669" s="7" t="n"/>
    </row>
    <row r="670" ht="15" customHeight="1">
      <c r="A670" s="11" t="inlineStr">
        <is>
          <t>Delivery</t>
        </is>
      </c>
      <c r="B670" s="12" t="inlineStr">
        <is>
          <t>Delivery</t>
        </is>
      </c>
      <c r="C670" s="13" t="inlineStr">
        <is>
          <t>Monte seu prato 3</t>
        </is>
      </c>
      <c r="D670" s="2">
        <f>IF(ISERROR(VLOOKUP(E670,'Estrutura Protheus'!A:A,1,FALSE)),"Não","Sim")</f>
        <v/>
      </c>
      <c r="E670" s="5" t="inlineStr">
        <is>
          <t>002081</t>
        </is>
      </c>
      <c r="F670" s="5" t="inlineStr">
        <is>
          <t>000484</t>
        </is>
      </c>
      <c r="G670" s="3" t="inlineStr">
        <is>
          <t>Salsa Lisa Industrial</t>
        </is>
      </c>
      <c r="H670" s="14" t="n">
        <v>0.008999999999999999</v>
      </c>
      <c r="I670" s="5" t="inlineStr">
        <is>
          <t>KG</t>
        </is>
      </c>
      <c r="J670" s="4">
        <f>IFERROR(VLOOKUP(F670,'Base Insumos'!$A:$C,3,FALSE()),"PENDENTE")</f>
        <v/>
      </c>
      <c r="K670" s="4">
        <f>IFERROR(IF(J670="PENDENTE",0,J670*H670),0)</f>
        <v/>
      </c>
      <c r="L670" s="4" t="n">
        <v>31.9</v>
      </c>
      <c r="M670" s="15">
        <f>IFERROR(K670/L670,0)</f>
        <v/>
      </c>
      <c r="N670" s="3" t="n"/>
    </row>
    <row r="671" ht="15" customHeight="1">
      <c r="A671" s="16" t="inlineStr">
        <is>
          <t>Delivery</t>
        </is>
      </c>
      <c r="B671" s="17" t="inlineStr">
        <is>
          <t>Delivery</t>
        </is>
      </c>
      <c r="C671" s="18" t="inlineStr">
        <is>
          <t>Monte seu prato 3</t>
        </is>
      </c>
      <c r="D671" s="6">
        <f>IF(ISERROR(VLOOKUP(E671,'Estrutura Protheus'!A:A,1,FALSE)),"Não","Sim")</f>
        <v/>
      </c>
      <c r="E671" s="9" t="inlineStr">
        <is>
          <t>002081</t>
        </is>
      </c>
      <c r="F671" s="9" t="inlineStr">
        <is>
          <t>000424</t>
        </is>
      </c>
      <c r="G671" s="7" t="inlineStr">
        <is>
          <t>Vinagre Agrin Branco Neval Garrafa 750ml</t>
        </is>
      </c>
      <c r="H671" s="19" t="n">
        <v>0.007</v>
      </c>
      <c r="I671" s="9" t="inlineStr">
        <is>
          <t>LT</t>
        </is>
      </c>
      <c r="J671" s="8">
        <f>IFERROR(VLOOKUP(F671,'Base Insumos'!$A:$C,3,FALSE()),"PENDENTE")</f>
        <v/>
      </c>
      <c r="K671" s="8">
        <f>IFERROR(IF(J671="PENDENTE",0,J671*H671),0)</f>
        <v/>
      </c>
      <c r="L671" s="8" t="n">
        <v>31.9</v>
      </c>
      <c r="M671" s="20">
        <f>IFERROR(K671/L671,0)</f>
        <v/>
      </c>
      <c r="N671" s="7" t="n"/>
    </row>
    <row r="672" ht="15" customHeight="1">
      <c r="A672" s="11" t="inlineStr">
        <is>
          <t>Delivery</t>
        </is>
      </c>
      <c r="B672" s="12" t="inlineStr">
        <is>
          <t>Delivery</t>
        </is>
      </c>
      <c r="C672" s="13" t="inlineStr">
        <is>
          <t>Monte seu prato 3</t>
        </is>
      </c>
      <c r="D672" s="2">
        <f>IF(ISERROR(VLOOKUP(E672,'Estrutura Protheus'!A:A,1,FALSE)),"Não","Sim")</f>
        <v/>
      </c>
      <c r="E672" s="5" t="inlineStr">
        <is>
          <t>002081</t>
        </is>
      </c>
      <c r="F672" s="5" t="inlineStr">
        <is>
          <t>001043</t>
        </is>
      </c>
      <c r="G672" s="3" t="inlineStr">
        <is>
          <t>Azeite 500 Ml</t>
        </is>
      </c>
      <c r="H672" s="14" t="n">
        <v>0.013</v>
      </c>
      <c r="I672" s="5" t="inlineStr">
        <is>
          <t>LT</t>
        </is>
      </c>
      <c r="J672" s="4">
        <f>IFERROR(VLOOKUP(F672,'Base Insumos'!$A:$C,3,FALSE()),"PENDENTE")</f>
        <v/>
      </c>
      <c r="K672" s="4">
        <f>IFERROR(IF(J672="PENDENTE",0,J672*H672),0)</f>
        <v/>
      </c>
      <c r="L672" s="4" t="n">
        <v>31.9</v>
      </c>
      <c r="M672" s="15">
        <f>IFERROR(K672/L672,0)</f>
        <v/>
      </c>
      <c r="N672" s="3" t="n"/>
    </row>
    <row r="673" ht="15" customHeight="1">
      <c r="A673" s="16" t="inlineStr">
        <is>
          <t>Delivery</t>
        </is>
      </c>
      <c r="B673" s="17" t="inlineStr">
        <is>
          <t>Delivery</t>
        </is>
      </c>
      <c r="C673" s="18" t="inlineStr">
        <is>
          <t>Monte seu prato 3</t>
        </is>
      </c>
      <c r="D673" s="6">
        <f>IF(ISERROR(VLOOKUP(E673,'Estrutura Protheus'!A:A,1,FALSE)),"Não","Sim")</f>
        <v/>
      </c>
      <c r="E673" s="9" t="inlineStr">
        <is>
          <t>002081</t>
        </is>
      </c>
      <c r="F673" s="9" t="inlineStr">
        <is>
          <t>000614</t>
        </is>
      </c>
      <c r="G673" s="7" t="inlineStr">
        <is>
          <t>Sal Refinado</t>
        </is>
      </c>
      <c r="H673" s="19" t="n">
        <v>0.0005</v>
      </c>
      <c r="I673" s="9" t="inlineStr">
        <is>
          <t>KG</t>
        </is>
      </c>
      <c r="J673" s="8">
        <f>IFERROR(VLOOKUP(F673,'Base Insumos'!$A:$C,3,FALSE()),"PENDENTE")</f>
        <v/>
      </c>
      <c r="K673" s="8">
        <f>IFERROR(IF(J673="PENDENTE",0,J673*H673),0)</f>
        <v/>
      </c>
      <c r="L673" s="8" t="n">
        <v>31.9</v>
      </c>
      <c r="M673" s="20">
        <f>IFERROR(K673/L673,0)</f>
        <v/>
      </c>
      <c r="N673" s="7" t="n"/>
    </row>
    <row r="674" ht="15" customHeight="1">
      <c r="A674" s="11" t="inlineStr">
        <is>
          <t>Delivery</t>
        </is>
      </c>
      <c r="B674" s="12" t="inlineStr">
        <is>
          <t>Delivery</t>
        </is>
      </c>
      <c r="C674" s="13" t="inlineStr">
        <is>
          <t>Marmita de Frango + Refrigerante + Sobremesa</t>
        </is>
      </c>
      <c r="D674" s="2">
        <f>IF(ISERROR(VLOOKUP(E674,'Estrutura Protheus'!A:A,1,FALSE)),"Não","Sim")</f>
        <v/>
      </c>
      <c r="E674" s="5" t="n"/>
      <c r="F674" s="5" t="inlineStr">
        <is>
          <t>000291</t>
        </is>
      </c>
      <c r="G674" s="3" t="inlineStr">
        <is>
          <t>Espeto Frango</t>
        </is>
      </c>
      <c r="H674" s="14" t="n">
        <v>1</v>
      </c>
      <c r="I674" s="5" t="inlineStr">
        <is>
          <t>UN</t>
        </is>
      </c>
      <c r="J674" s="4">
        <f>IFERROR(VLOOKUP(F674,'Base Insumos'!$A:$C,3,FALSE()),"PENDENTE")</f>
        <v/>
      </c>
      <c r="K674" s="4">
        <f>IFERROR(IF(J674="PENDENTE",0,J674*H674),0)</f>
        <v/>
      </c>
      <c r="L674" s="4" t="n">
        <v>29.9</v>
      </c>
      <c r="M674" s="15">
        <f>IFERROR(K674/L674,0)</f>
        <v/>
      </c>
      <c r="N674" s="3" t="n"/>
    </row>
    <row r="675" ht="15" customHeight="1">
      <c r="A675" s="16" t="inlineStr">
        <is>
          <t>Delivery</t>
        </is>
      </c>
      <c r="B675" s="17" t="inlineStr">
        <is>
          <t>Delivery</t>
        </is>
      </c>
      <c r="C675" s="18" t="inlineStr">
        <is>
          <t>Marmita de Frango + Refrigerante + Sobremesa</t>
        </is>
      </c>
      <c r="D675" s="6">
        <f>IF(ISERROR(VLOOKUP(E675,'Estrutura Protheus'!A:A,1,FALSE)),"Não","Sim")</f>
        <v/>
      </c>
      <c r="E675" s="9" t="n"/>
      <c r="F675" s="9" t="inlineStr">
        <is>
          <t>000377</t>
        </is>
      </c>
      <c r="G675" s="7" t="inlineStr">
        <is>
          <t>Arroz Tipo 1</t>
        </is>
      </c>
      <c r="H675" s="19" t="n">
        <v>0.15</v>
      </c>
      <c r="I675" s="9" t="inlineStr">
        <is>
          <t>KG</t>
        </is>
      </c>
      <c r="J675" s="8">
        <f>IFERROR(VLOOKUP(F675,'Base Insumos'!$A:$C,3,FALSE()),"PENDENTE")</f>
        <v/>
      </c>
      <c r="K675" s="8">
        <f>IFERROR(IF(J675="PENDENTE",0,J675*H675),0)</f>
        <v/>
      </c>
      <c r="L675" s="8" t="n">
        <v>29.9</v>
      </c>
      <c r="M675" s="20">
        <f>IFERROR(K675/L675,0)</f>
        <v/>
      </c>
      <c r="N675" s="7" t="n"/>
    </row>
    <row r="676" ht="15" customHeight="1">
      <c r="A676" s="11" t="inlineStr">
        <is>
          <t>Delivery</t>
        </is>
      </c>
      <c r="B676" s="12" t="inlineStr">
        <is>
          <t>Delivery</t>
        </is>
      </c>
      <c r="C676" s="13" t="inlineStr">
        <is>
          <t>Marmita de Frango + Refrigerante + Sobremesa</t>
        </is>
      </c>
      <c r="D676" s="2">
        <f>IF(ISERROR(VLOOKUP(E676,'Estrutura Protheus'!A:A,1,FALSE)),"Não","Sim")</f>
        <v/>
      </c>
      <c r="E676" s="5" t="n"/>
      <c r="F676" s="5" t="inlineStr">
        <is>
          <t>000412</t>
        </is>
      </c>
      <c r="G676" s="3" t="inlineStr">
        <is>
          <t>Oleo de Soja Liza 900ml</t>
        </is>
      </c>
      <c r="H676" s="14" t="n">
        <v>0.059</v>
      </c>
      <c r="I676" s="5" t="inlineStr">
        <is>
          <t>LT</t>
        </is>
      </c>
      <c r="J676" s="4">
        <f>IFERROR(VLOOKUP(F676,'Base Insumos'!$A:$C,3,FALSE()),"PENDENTE")</f>
        <v/>
      </c>
      <c r="K676" s="4">
        <f>IFERROR(IF(J676="PENDENTE",0,J676*H676),0)</f>
        <v/>
      </c>
      <c r="L676" s="4" t="n">
        <v>29.9</v>
      </c>
      <c r="M676" s="15">
        <f>IFERROR(K676/L676,0)</f>
        <v/>
      </c>
      <c r="N676" s="3" t="n"/>
    </row>
    <row r="677" ht="15" customHeight="1">
      <c r="A677" s="16" t="inlineStr">
        <is>
          <t>Delivery</t>
        </is>
      </c>
      <c r="B677" s="17" t="inlineStr">
        <is>
          <t>Delivery</t>
        </is>
      </c>
      <c r="C677" s="18" t="inlineStr">
        <is>
          <t>Marmita de Frango + Refrigerante + Sobremesa</t>
        </is>
      </c>
      <c r="D677" s="6">
        <f>IF(ISERROR(VLOOKUP(E677,'Estrutura Protheus'!A:A,1,FALSE)),"Não","Sim")</f>
        <v/>
      </c>
      <c r="E677" s="9" t="n"/>
      <c r="F677" s="9" t="inlineStr">
        <is>
          <t>000614</t>
        </is>
      </c>
      <c r="G677" s="7" t="inlineStr">
        <is>
          <t>Sal Refinado</t>
        </is>
      </c>
      <c r="H677" s="19" t="n">
        <v>0.003</v>
      </c>
      <c r="I677" s="9" t="inlineStr">
        <is>
          <t>KG</t>
        </is>
      </c>
      <c r="J677" s="8">
        <f>IFERROR(VLOOKUP(F677,'Base Insumos'!$A:$C,3,FALSE()),"PENDENTE")</f>
        <v/>
      </c>
      <c r="K677" s="8">
        <f>IFERROR(IF(J677="PENDENTE",0,J677*H677),0)</f>
        <v/>
      </c>
      <c r="L677" s="8" t="n">
        <v>29.9</v>
      </c>
      <c r="M677" s="20">
        <f>IFERROR(K677/L677,0)</f>
        <v/>
      </c>
      <c r="N677" s="7" t="n"/>
    </row>
    <row r="678" ht="15" customHeight="1">
      <c r="A678" s="11" t="inlineStr">
        <is>
          <t>Delivery</t>
        </is>
      </c>
      <c r="B678" s="12" t="inlineStr">
        <is>
          <t>Delivery</t>
        </is>
      </c>
      <c r="C678" s="13" t="inlineStr">
        <is>
          <t>Marmita de Frango + Refrigerante + Sobremesa</t>
        </is>
      </c>
      <c r="D678" s="2">
        <f>IF(ISERROR(VLOOKUP(E678,'Estrutura Protheus'!A:A,1,FALSE)),"Não","Sim")</f>
        <v/>
      </c>
      <c r="E678" s="5" t="n"/>
      <c r="F678" s="5" t="inlineStr">
        <is>
          <t>000475</t>
        </is>
      </c>
      <c r="G678" s="3" t="inlineStr">
        <is>
          <t>Folha de Louro</t>
        </is>
      </c>
      <c r="H678" s="14" t="n">
        <v>0.002</v>
      </c>
      <c r="I678" s="5" t="inlineStr">
        <is>
          <t>KG</t>
        </is>
      </c>
      <c r="J678" s="4">
        <f>IFERROR(VLOOKUP(F678,'Base Insumos'!$A:$C,3,FALSE()),"PENDENTE")</f>
        <v/>
      </c>
      <c r="K678" s="4">
        <f>IFERROR(IF(J678="PENDENTE",0,J678*H678),0)</f>
        <v/>
      </c>
      <c r="L678" s="4" t="n">
        <v>29.9</v>
      </c>
      <c r="M678" s="15">
        <f>IFERROR(K678/L678,0)</f>
        <v/>
      </c>
      <c r="N678" s="3" t="n"/>
    </row>
    <row r="679" ht="15" customHeight="1">
      <c r="A679" s="16" t="inlineStr">
        <is>
          <t>Delivery</t>
        </is>
      </c>
      <c r="B679" s="17" t="inlineStr">
        <is>
          <t>Delivery</t>
        </is>
      </c>
      <c r="C679" s="18" t="inlineStr">
        <is>
          <t>Marmita de Frango + Refrigerante + Sobremesa</t>
        </is>
      </c>
      <c r="D679" s="6">
        <f>IF(ISERROR(VLOOKUP(E679,'Estrutura Protheus'!A:A,1,FALSE)),"Não","Sim")</f>
        <v/>
      </c>
      <c r="E679" s="9" t="n"/>
      <c r="F679" s="9" t="inlineStr">
        <is>
          <t>002068</t>
        </is>
      </c>
      <c r="G679" s="7" t="inlineStr">
        <is>
          <t>Manteiga S/sal 5kg</t>
        </is>
      </c>
      <c r="H679" s="19" t="n">
        <v>0.005</v>
      </c>
      <c r="I679" s="9" t="inlineStr">
        <is>
          <t>KG</t>
        </is>
      </c>
      <c r="J679" s="8">
        <f>IFERROR(VLOOKUP(F679,'Base Insumos'!$A:$C,3,FALSE()),"PENDENTE")</f>
        <v/>
      </c>
      <c r="K679" s="8">
        <f>IFERROR(IF(J679="PENDENTE",0,J679*H679),0)</f>
        <v/>
      </c>
      <c r="L679" s="8" t="n">
        <v>29.9</v>
      </c>
      <c r="M679" s="20">
        <f>IFERROR(K679/L679,0)</f>
        <v/>
      </c>
      <c r="N679" s="7" t="n"/>
    </row>
    <row r="680" ht="15" customHeight="1">
      <c r="A680" s="11" t="inlineStr">
        <is>
          <t>Delivery</t>
        </is>
      </c>
      <c r="B680" s="12" t="inlineStr">
        <is>
          <t>Delivery</t>
        </is>
      </c>
      <c r="C680" s="13" t="inlineStr">
        <is>
          <t>Marmita de Frango + Refrigerante + Sobremesa</t>
        </is>
      </c>
      <c r="D680" s="2">
        <f>IF(ISERROR(VLOOKUP(E680,'Estrutura Protheus'!A:A,1,FALSE)),"Não","Sim")</f>
        <v/>
      </c>
      <c r="E680" s="5" t="n"/>
      <c r="F680" s="5" t="inlineStr">
        <is>
          <t>002067</t>
        </is>
      </c>
      <c r="G680" s="3" t="inlineStr">
        <is>
          <t>Farinha Panko Empanar</t>
        </is>
      </c>
      <c r="H680" s="14" t="n">
        <v>0.02</v>
      </c>
      <c r="I680" s="5" t="inlineStr">
        <is>
          <t>KG</t>
        </is>
      </c>
      <c r="J680" s="4">
        <f>IFERROR(VLOOKUP(F680,'Base Insumos'!$A:$C,3,FALSE()),"PENDENTE")</f>
        <v/>
      </c>
      <c r="K680" s="4">
        <f>IFERROR(IF(J680="PENDENTE",0,J680*H680),0)</f>
        <v/>
      </c>
      <c r="L680" s="4" t="n">
        <v>29.9</v>
      </c>
      <c r="M680" s="15">
        <f>IFERROR(K680/L680,0)</f>
        <v/>
      </c>
      <c r="N680" s="3" t="n"/>
    </row>
    <row r="681" ht="15" customHeight="1">
      <c r="A681" s="16" t="inlineStr">
        <is>
          <t>Delivery</t>
        </is>
      </c>
      <c r="B681" s="17" t="inlineStr">
        <is>
          <t>Delivery</t>
        </is>
      </c>
      <c r="C681" s="18" t="inlineStr">
        <is>
          <t>Marmita de Frango + Refrigerante + Sobremesa</t>
        </is>
      </c>
      <c r="D681" s="6">
        <f>IF(ISERROR(VLOOKUP(E681,'Estrutura Protheus'!A:A,1,FALSE)),"Não","Sim")</f>
        <v/>
      </c>
      <c r="E681" s="9" t="n"/>
      <c r="F681" s="9" t="inlineStr">
        <is>
          <t>000426</t>
        </is>
      </c>
      <c r="G681" s="7" t="inlineStr">
        <is>
          <t>Bacon em Cubos</t>
        </is>
      </c>
      <c r="H681" s="19" t="n">
        <v>0.004</v>
      </c>
      <c r="I681" s="9" t="inlineStr">
        <is>
          <t>KG</t>
        </is>
      </c>
      <c r="J681" s="8">
        <f>IFERROR(VLOOKUP(F681,'Base Insumos'!$A:$C,3,FALSE()),"PENDENTE")</f>
        <v/>
      </c>
      <c r="K681" s="8">
        <f>IFERROR(IF(J681="PENDENTE",0,J681*H681),0)</f>
        <v/>
      </c>
      <c r="L681" s="8" t="n">
        <v>29.9</v>
      </c>
      <c r="M681" s="20">
        <f>IFERROR(K681/L681,0)</f>
        <v/>
      </c>
      <c r="N681" s="7" t="n"/>
    </row>
    <row r="682" ht="15" customHeight="1">
      <c r="A682" s="11" t="inlineStr">
        <is>
          <t>Delivery</t>
        </is>
      </c>
      <c r="B682" s="12" t="inlineStr">
        <is>
          <t>Delivery</t>
        </is>
      </c>
      <c r="C682" s="13" t="inlineStr">
        <is>
          <t>Marmita de Frango + Refrigerante + Sobremesa</t>
        </is>
      </c>
      <c r="D682" s="2">
        <f>IF(ISERROR(VLOOKUP(E682,'Estrutura Protheus'!A:A,1,FALSE)),"Não","Sim")</f>
        <v/>
      </c>
      <c r="E682" s="5" t="n"/>
      <c r="F682" s="5" t="inlineStr">
        <is>
          <t>002070</t>
        </is>
      </c>
      <c r="G682" s="3" t="inlineStr">
        <is>
          <t>Alho Poro</t>
        </is>
      </c>
      <c r="H682" s="14" t="n">
        <v>0.004</v>
      </c>
      <c r="I682" s="5" t="inlineStr">
        <is>
          <t>KG</t>
        </is>
      </c>
      <c r="J682" s="4">
        <f>IFERROR(VLOOKUP(F682,'Base Insumos'!$A:$C,3,FALSE()),"PENDENTE")</f>
        <v/>
      </c>
      <c r="K682" s="4">
        <f>IFERROR(IF(J682="PENDENTE",0,J682*H682),0)</f>
        <v/>
      </c>
      <c r="L682" s="4" t="n">
        <v>29.9</v>
      </c>
      <c r="M682" s="15">
        <f>IFERROR(K682/L682,0)</f>
        <v/>
      </c>
      <c r="N682" s="3" t="n"/>
    </row>
    <row r="683" ht="15" customHeight="1">
      <c r="A683" s="16" t="inlineStr">
        <is>
          <t>Delivery</t>
        </is>
      </c>
      <c r="B683" s="17" t="inlineStr">
        <is>
          <t>Delivery</t>
        </is>
      </c>
      <c r="C683" s="18" t="inlineStr">
        <is>
          <t>Marmita de Frango + Refrigerante + Sobremesa</t>
        </is>
      </c>
      <c r="D683" s="6">
        <f>IF(ISERROR(VLOOKUP(E683,'Estrutura Protheus'!A:A,1,FALSE)),"Não","Sim")</f>
        <v/>
      </c>
      <c r="E683" s="9" t="n"/>
      <c r="F683" s="9" t="inlineStr">
        <is>
          <t>000667</t>
        </is>
      </c>
      <c r="G683" s="7" t="inlineStr">
        <is>
          <t>Tomilho</t>
        </is>
      </c>
      <c r="H683" s="19" t="n">
        <v>0.0005999999999999999</v>
      </c>
      <c r="I683" s="9" t="inlineStr">
        <is>
          <t>KG</t>
        </is>
      </c>
      <c r="J683" s="8">
        <f>IFERROR(VLOOKUP(F683,'Base Insumos'!$A:$C,3,FALSE()),"PENDENTE")</f>
        <v/>
      </c>
      <c r="K683" s="8">
        <f>IFERROR(IF(J683="PENDENTE",0,J683*H683),0)</f>
        <v/>
      </c>
      <c r="L683" s="8" t="n">
        <v>29.9</v>
      </c>
      <c r="M683" s="20">
        <f>IFERROR(K683/L683,0)</f>
        <v/>
      </c>
      <c r="N683" s="7" t="n"/>
    </row>
    <row r="684" ht="15" customHeight="1">
      <c r="A684" s="11" t="inlineStr">
        <is>
          <t>Delivery</t>
        </is>
      </c>
      <c r="B684" s="12" t="inlineStr">
        <is>
          <t>Delivery</t>
        </is>
      </c>
      <c r="C684" s="13" t="inlineStr">
        <is>
          <t>Marmita de Frango + Refrigerante + Sobremesa</t>
        </is>
      </c>
      <c r="D684" s="2">
        <f>IF(ISERROR(VLOOKUP(E684,'Estrutura Protheus'!A:A,1,FALSE)),"Não","Sim")</f>
        <v/>
      </c>
      <c r="E684" s="5" t="n"/>
      <c r="F684" s="5" t="inlineStr">
        <is>
          <t>000668</t>
        </is>
      </c>
      <c r="G684" s="3" t="inlineStr">
        <is>
          <t>Alecrim</t>
        </is>
      </c>
      <c r="H684" s="14" t="n">
        <v>0.001</v>
      </c>
      <c r="I684" s="5" t="inlineStr">
        <is>
          <t>KG</t>
        </is>
      </c>
      <c r="J684" s="4">
        <f>IFERROR(VLOOKUP(F684,'Base Insumos'!$A:$C,3,FALSE()),"PENDENTE")</f>
        <v/>
      </c>
      <c r="K684" s="4">
        <f>IFERROR(IF(J684="PENDENTE",0,J684*H684),0)</f>
        <v/>
      </c>
      <c r="L684" s="4" t="n">
        <v>29.9</v>
      </c>
      <c r="M684" s="15">
        <f>IFERROR(K684/L684,0)</f>
        <v/>
      </c>
      <c r="N684" s="3" t="n"/>
    </row>
    <row r="685" ht="15" customHeight="1">
      <c r="A685" s="16" t="inlineStr">
        <is>
          <t>Delivery</t>
        </is>
      </c>
      <c r="B685" s="17" t="inlineStr">
        <is>
          <t>Delivery</t>
        </is>
      </c>
      <c r="C685" s="18" t="inlineStr">
        <is>
          <t>Marmita de Frango + Refrigerante + Sobremesa</t>
        </is>
      </c>
      <c r="D685" s="6">
        <f>IF(ISERROR(VLOOKUP(E685,'Estrutura Protheus'!A:A,1,FALSE)),"Não","Sim")</f>
        <v/>
      </c>
      <c r="E685" s="9" t="n"/>
      <c r="F685" s="9" t="inlineStr">
        <is>
          <t>002068</t>
        </is>
      </c>
      <c r="G685" s="7" t="inlineStr">
        <is>
          <t>Manteiga S/sal 5kg</t>
        </is>
      </c>
      <c r="H685" s="19" t="n">
        <v>0.004</v>
      </c>
      <c r="I685" s="9" t="inlineStr">
        <is>
          <t>KG</t>
        </is>
      </c>
      <c r="J685" s="8">
        <f>IFERROR(VLOOKUP(F685,'Base Insumos'!$A:$C,3,FALSE()),"PENDENTE")</f>
        <v/>
      </c>
      <c r="K685" s="8">
        <f>IFERROR(IF(J685="PENDENTE",0,J685*H685),0)</f>
        <v/>
      </c>
      <c r="L685" s="8" t="n">
        <v>29.9</v>
      </c>
      <c r="M685" s="20">
        <f>IFERROR(K685/L685,0)</f>
        <v/>
      </c>
      <c r="N685" s="7" t="n"/>
    </row>
    <row r="686" ht="15" customHeight="1">
      <c r="A686" s="11" t="inlineStr">
        <is>
          <t>Delivery</t>
        </is>
      </c>
      <c r="B686" s="12" t="inlineStr">
        <is>
          <t>Delivery</t>
        </is>
      </c>
      <c r="C686" s="13" t="inlineStr">
        <is>
          <t>Marmita de Frango + Refrigerante + Sobremesa</t>
        </is>
      </c>
      <c r="D686" s="2">
        <f>IF(ISERROR(VLOOKUP(E686,'Estrutura Protheus'!A:A,1,FALSE)),"Não","Sim")</f>
        <v/>
      </c>
      <c r="E686" s="5" t="n"/>
      <c r="F686" s="5" t="inlineStr">
        <is>
          <t>000390</t>
        </is>
      </c>
      <c r="G686" s="3" t="inlineStr">
        <is>
          <t>Farinha de Trigo Sol</t>
        </is>
      </c>
      <c r="H686" s="14" t="n">
        <v>0.002</v>
      </c>
      <c r="I686" s="5" t="inlineStr">
        <is>
          <t>KG</t>
        </is>
      </c>
      <c r="J686" s="4">
        <f>IFERROR(VLOOKUP(F686,'Base Insumos'!$A:$C,3,FALSE()),"PENDENTE")</f>
        <v/>
      </c>
      <c r="K686" s="4">
        <f>IFERROR(IF(J686="PENDENTE",0,J686*H686),0)</f>
        <v/>
      </c>
      <c r="L686" s="4" t="n">
        <v>29.9</v>
      </c>
      <c r="M686" s="15">
        <f>IFERROR(K686/L686,0)</f>
        <v/>
      </c>
      <c r="N686" s="3" t="n"/>
    </row>
    <row r="687" ht="15" customHeight="1">
      <c r="A687" s="16" t="inlineStr">
        <is>
          <t>Delivery</t>
        </is>
      </c>
      <c r="B687" s="17" t="inlineStr">
        <is>
          <t>Delivery</t>
        </is>
      </c>
      <c r="C687" s="18" t="inlineStr">
        <is>
          <t>Marmita de Frango + Refrigerante + Sobremesa</t>
        </is>
      </c>
      <c r="D687" s="6">
        <f>IF(ISERROR(VLOOKUP(E687,'Estrutura Protheus'!A:A,1,FALSE)),"Não","Sim")</f>
        <v/>
      </c>
      <c r="E687" s="9" t="n"/>
      <c r="F687" s="9" t="inlineStr">
        <is>
          <t>000331</t>
        </is>
      </c>
      <c r="G687" s="7" t="inlineStr">
        <is>
          <t>Barril Chopp Brahma Claro 50lt</t>
        </is>
      </c>
      <c r="H687" s="19" t="n">
        <v>0.003</v>
      </c>
      <c r="I687" s="9" t="inlineStr">
        <is>
          <t>LT</t>
        </is>
      </c>
      <c r="J687" s="8">
        <f>IFERROR(VLOOKUP(F687,'Base Insumos'!$A:$C,3,FALSE()),"PENDENTE")</f>
        <v/>
      </c>
      <c r="K687" s="8">
        <f>IFERROR(IF(J687="PENDENTE",0,J687*H687),0)</f>
        <v/>
      </c>
      <c r="L687" s="8" t="n">
        <v>29.9</v>
      </c>
      <c r="M687" s="20">
        <f>IFERROR(K687/L687,0)</f>
        <v/>
      </c>
      <c r="N687" s="7" t="n"/>
    </row>
    <row r="688" ht="15" customHeight="1">
      <c r="A688" s="11" t="inlineStr">
        <is>
          <t>Delivery</t>
        </is>
      </c>
      <c r="B688" s="12" t="inlineStr">
        <is>
          <t>Delivery</t>
        </is>
      </c>
      <c r="C688" s="13" t="inlineStr">
        <is>
          <t>Marmita de Frango + Refrigerante + Sobremesa</t>
        </is>
      </c>
      <c r="D688" s="2">
        <f>IF(ISERROR(VLOOKUP(E688,'Estrutura Protheus'!A:A,1,FALSE)),"Não","Sim")</f>
        <v/>
      </c>
      <c r="E688" s="5" t="n"/>
      <c r="F688" s="5" t="inlineStr">
        <is>
          <t>000614</t>
        </is>
      </c>
      <c r="G688" s="3" t="inlineStr">
        <is>
          <t>Sal Refinado</t>
        </is>
      </c>
      <c r="H688" s="14" t="n">
        <v>0.0002</v>
      </c>
      <c r="I688" s="5" t="inlineStr">
        <is>
          <t>KG</t>
        </is>
      </c>
      <c r="J688" s="4">
        <f>IFERROR(VLOOKUP(F688,'Base Insumos'!$A:$C,3,FALSE()),"PENDENTE")</f>
        <v/>
      </c>
      <c r="K688" s="4">
        <f>IFERROR(IF(J688="PENDENTE",0,J688*H688),0)</f>
        <v/>
      </c>
      <c r="L688" s="4" t="n">
        <v>29.9</v>
      </c>
      <c r="M688" s="15">
        <f>IFERROR(K688/L688,0)</f>
        <v/>
      </c>
      <c r="N688" s="3" t="n"/>
    </row>
    <row r="689" ht="15" customHeight="1">
      <c r="A689" s="16" t="inlineStr">
        <is>
          <t>Delivery</t>
        </is>
      </c>
      <c r="B689" s="17" t="inlineStr">
        <is>
          <t>Delivery</t>
        </is>
      </c>
      <c r="C689" s="18" t="inlineStr">
        <is>
          <t>Marmita de Frango + Refrigerante + Sobremesa</t>
        </is>
      </c>
      <c r="D689" s="6">
        <f>IF(ISERROR(VLOOKUP(E689,'Estrutura Protheus'!A:A,1,FALSE)),"Não","Sim")</f>
        <v/>
      </c>
      <c r="E689" s="9" t="n"/>
      <c r="F689" s="9" t="inlineStr">
        <is>
          <t>000414</t>
        </is>
      </c>
      <c r="G689" s="7" t="inlineStr">
        <is>
          <t>Pimenta do Reino Moida</t>
        </is>
      </c>
      <c r="H689" s="19" t="n">
        <v>6e-05</v>
      </c>
      <c r="I689" s="9" t="inlineStr">
        <is>
          <t>KG</t>
        </is>
      </c>
      <c r="J689" s="8">
        <f>IFERROR(VLOOKUP(F689,'Base Insumos'!$A:$C,3,FALSE()),"PENDENTE")</f>
        <v/>
      </c>
      <c r="K689" s="8">
        <f>IFERROR(IF(J689="PENDENTE",0,J689*H689),0)</f>
        <v/>
      </c>
      <c r="L689" s="8" t="n">
        <v>29.9</v>
      </c>
      <c r="M689" s="20">
        <f>IFERROR(K689/L689,0)</f>
        <v/>
      </c>
      <c r="N689" s="7" t="n"/>
    </row>
    <row r="690" ht="15" customHeight="1">
      <c r="A690" s="11" t="inlineStr">
        <is>
          <t>Delivery</t>
        </is>
      </c>
      <c r="B690" s="12" t="inlineStr">
        <is>
          <t>Delivery</t>
        </is>
      </c>
      <c r="C690" s="13" t="inlineStr">
        <is>
          <t>Marmita de Frango + Refrigerante + Sobremesa</t>
        </is>
      </c>
      <c r="D690" s="2">
        <f>IF(ISERROR(VLOOKUP(E690,'Estrutura Protheus'!A:A,1,FALSE)),"Não","Sim")</f>
        <v/>
      </c>
      <c r="E690" s="5" t="n"/>
      <c r="F690" s="5" t="inlineStr">
        <is>
          <t>000486</t>
        </is>
      </c>
      <c r="G690" s="3" t="inlineStr">
        <is>
          <t>Tomate Salada</t>
        </is>
      </c>
      <c r="H690" s="14" t="n">
        <v>0.026</v>
      </c>
      <c r="I690" s="5" t="inlineStr">
        <is>
          <t>KG</t>
        </is>
      </c>
      <c r="J690" s="4">
        <f>IFERROR(VLOOKUP(F690,'Base Insumos'!$A:$C,3,FALSE()),"PENDENTE")</f>
        <v/>
      </c>
      <c r="K690" s="4">
        <f>IFERROR(IF(J690="PENDENTE",0,J690*H690),0)</f>
        <v/>
      </c>
      <c r="L690" s="4" t="n">
        <v>29.9</v>
      </c>
      <c r="M690" s="15">
        <f>IFERROR(K690/L690,0)</f>
        <v/>
      </c>
      <c r="N690" s="3" t="n"/>
    </row>
    <row r="691" ht="15" customHeight="1">
      <c r="A691" s="16" t="inlineStr">
        <is>
          <t>Delivery</t>
        </is>
      </c>
      <c r="B691" s="17" t="inlineStr">
        <is>
          <t>Delivery</t>
        </is>
      </c>
      <c r="C691" s="18" t="inlineStr">
        <is>
          <t>Marmita de Frango + Refrigerante + Sobremesa</t>
        </is>
      </c>
      <c r="D691" s="6">
        <f>IF(ISERROR(VLOOKUP(E691,'Estrutura Protheus'!A:A,1,FALSE)),"Não","Sim")</f>
        <v/>
      </c>
      <c r="E691" s="9" t="n"/>
      <c r="F691" s="9" t="inlineStr">
        <is>
          <t>000468</t>
        </is>
      </c>
      <c r="G691" s="7" t="inlineStr">
        <is>
          <t>Cebola Media</t>
        </is>
      </c>
      <c r="H691" s="19" t="n">
        <v>0.013</v>
      </c>
      <c r="I691" s="9" t="inlineStr">
        <is>
          <t>KG</t>
        </is>
      </c>
      <c r="J691" s="8">
        <f>IFERROR(VLOOKUP(F691,'Base Insumos'!$A:$C,3,FALSE()),"PENDENTE")</f>
        <v/>
      </c>
      <c r="K691" s="8">
        <f>IFERROR(IF(J691="PENDENTE",0,J691*H691),0)</f>
        <v/>
      </c>
      <c r="L691" s="8" t="n">
        <v>29.9</v>
      </c>
      <c r="M691" s="20">
        <f>IFERROR(K691/L691,0)</f>
        <v/>
      </c>
      <c r="N691" s="7" t="n"/>
    </row>
    <row r="692" ht="15" customHeight="1">
      <c r="A692" s="11" t="inlineStr">
        <is>
          <t>Delivery</t>
        </is>
      </c>
      <c r="B692" s="12" t="inlineStr">
        <is>
          <t>Delivery</t>
        </is>
      </c>
      <c r="C692" s="13" t="inlineStr">
        <is>
          <t>Marmita de Frango + Refrigerante + Sobremesa</t>
        </is>
      </c>
      <c r="D692" s="2">
        <f>IF(ISERROR(VLOOKUP(E692,'Estrutura Protheus'!A:A,1,FALSE)),"Não","Sim")</f>
        <v/>
      </c>
      <c r="E692" s="5" t="n"/>
      <c r="F692" s="5" t="inlineStr">
        <is>
          <t>000484</t>
        </is>
      </c>
      <c r="G692" s="3" t="inlineStr">
        <is>
          <t>Salsa Lisa Industrial</t>
        </is>
      </c>
      <c r="H692" s="14" t="n">
        <v>0.008999999999999999</v>
      </c>
      <c r="I692" s="5" t="inlineStr">
        <is>
          <t>KG</t>
        </is>
      </c>
      <c r="J692" s="4">
        <f>IFERROR(VLOOKUP(F692,'Base Insumos'!$A:$C,3,FALSE()),"PENDENTE")</f>
        <v/>
      </c>
      <c r="K692" s="4">
        <f>IFERROR(IF(J692="PENDENTE",0,J692*H692),0)</f>
        <v/>
      </c>
      <c r="L692" s="4" t="n">
        <v>29.9</v>
      </c>
      <c r="M692" s="15">
        <f>IFERROR(K692/L692,0)</f>
        <v/>
      </c>
      <c r="N692" s="3" t="n"/>
    </row>
    <row r="693" ht="15" customHeight="1">
      <c r="A693" s="16" t="inlineStr">
        <is>
          <t>Delivery</t>
        </is>
      </c>
      <c r="B693" s="17" t="inlineStr">
        <is>
          <t>Delivery</t>
        </is>
      </c>
      <c r="C693" s="18" t="inlineStr">
        <is>
          <t>Marmita de Frango + Refrigerante + Sobremesa</t>
        </is>
      </c>
      <c r="D693" s="6">
        <f>IF(ISERROR(VLOOKUP(E693,'Estrutura Protheus'!A:A,1,FALSE)),"Não","Sim")</f>
        <v/>
      </c>
      <c r="E693" s="9" t="n"/>
      <c r="F693" s="9" t="inlineStr">
        <is>
          <t>000424</t>
        </is>
      </c>
      <c r="G693" s="7" t="inlineStr">
        <is>
          <t>Vinagre Agrin Branco Neval Garrafa 750ml</t>
        </is>
      </c>
      <c r="H693" s="19" t="n">
        <v>0.007</v>
      </c>
      <c r="I693" s="9" t="inlineStr">
        <is>
          <t>LT</t>
        </is>
      </c>
      <c r="J693" s="8">
        <f>IFERROR(VLOOKUP(F693,'Base Insumos'!$A:$C,3,FALSE()),"PENDENTE")</f>
        <v/>
      </c>
      <c r="K693" s="8">
        <f>IFERROR(IF(J693="PENDENTE",0,J693*H693),0)</f>
        <v/>
      </c>
      <c r="L693" s="8" t="n">
        <v>29.9</v>
      </c>
      <c r="M693" s="20">
        <f>IFERROR(K693/L693,0)</f>
        <v/>
      </c>
      <c r="N693" s="7" t="n"/>
    </row>
    <row r="694" ht="15" customHeight="1">
      <c r="A694" s="11" t="inlineStr">
        <is>
          <t>Delivery</t>
        </is>
      </c>
      <c r="B694" s="12" t="inlineStr">
        <is>
          <t>Delivery</t>
        </is>
      </c>
      <c r="C694" s="13" t="inlineStr">
        <is>
          <t>Marmita de Frango + Refrigerante + Sobremesa</t>
        </is>
      </c>
      <c r="D694" s="2">
        <f>IF(ISERROR(VLOOKUP(E694,'Estrutura Protheus'!A:A,1,FALSE)),"Não","Sim")</f>
        <v/>
      </c>
      <c r="E694" s="5" t="n"/>
      <c r="F694" s="5" t="inlineStr">
        <is>
          <t>001043</t>
        </is>
      </c>
      <c r="G694" s="3" t="inlineStr">
        <is>
          <t>Azeite 500 Ml</t>
        </is>
      </c>
      <c r="H694" s="14" t="n">
        <v>0.013</v>
      </c>
      <c r="I694" s="5" t="inlineStr">
        <is>
          <t>LT</t>
        </is>
      </c>
      <c r="J694" s="4">
        <f>IFERROR(VLOOKUP(F694,'Base Insumos'!$A:$C,3,FALSE()),"PENDENTE")</f>
        <v/>
      </c>
      <c r="K694" s="4">
        <f>IFERROR(IF(J694="PENDENTE",0,J694*H694),0)</f>
        <v/>
      </c>
      <c r="L694" s="4" t="n">
        <v>29.9</v>
      </c>
      <c r="M694" s="15">
        <f>IFERROR(K694/L694,0)</f>
        <v/>
      </c>
      <c r="N694" s="3" t="n"/>
    </row>
    <row r="695" ht="15" customHeight="1">
      <c r="A695" s="16" t="inlineStr">
        <is>
          <t>Delivery</t>
        </is>
      </c>
      <c r="B695" s="17" t="inlineStr">
        <is>
          <t>Delivery</t>
        </is>
      </c>
      <c r="C695" s="18" t="inlineStr">
        <is>
          <t>Marmita de Frango + Refrigerante + Sobremesa</t>
        </is>
      </c>
      <c r="D695" s="6">
        <f>IF(ISERROR(VLOOKUP(E695,'Estrutura Protheus'!A:A,1,FALSE)),"Não","Sim")</f>
        <v/>
      </c>
      <c r="E695" s="9" t="n"/>
      <c r="F695" s="9" t="inlineStr">
        <is>
          <t>000614</t>
        </is>
      </c>
      <c r="G695" s="7" t="inlineStr">
        <is>
          <t>Sal Refinado</t>
        </is>
      </c>
      <c r="H695" s="19" t="n">
        <v>0.0005</v>
      </c>
      <c r="I695" s="9" t="inlineStr">
        <is>
          <t>KG</t>
        </is>
      </c>
      <c r="J695" s="8">
        <f>IFERROR(VLOOKUP(F695,'Base Insumos'!$A:$C,3,FALSE()),"PENDENTE")</f>
        <v/>
      </c>
      <c r="K695" s="8">
        <f>IFERROR(IF(J695="PENDENTE",0,J695*H695),0)</f>
        <v/>
      </c>
      <c r="L695" s="8" t="n">
        <v>29.9</v>
      </c>
      <c r="M695" s="20">
        <f>IFERROR(K695/L695,0)</f>
        <v/>
      </c>
      <c r="N695" s="7" t="n"/>
    </row>
    <row r="696" ht="15" customHeight="1">
      <c r="A696" s="11" t="inlineStr">
        <is>
          <t>Delivery</t>
        </is>
      </c>
      <c r="B696" s="12" t="inlineStr">
        <is>
          <t>Delivery</t>
        </is>
      </c>
      <c r="C696" s="13" t="inlineStr">
        <is>
          <t>Marmita de Frango + Refrigerante + Sobremesa</t>
        </is>
      </c>
      <c r="D696" s="2">
        <f>IF(ISERROR(VLOOKUP(E696,'Estrutura Protheus'!A:A,1,FALSE)),"Não","Sim")</f>
        <v/>
      </c>
      <c r="E696" s="5" t="n"/>
      <c r="F696" s="5" t="inlineStr">
        <is>
          <t>000590</t>
        </is>
      </c>
      <c r="G696" s="3" t="inlineStr">
        <is>
          <t>Morango Fruta</t>
        </is>
      </c>
      <c r="H696" s="14" t="n">
        <v>0.08</v>
      </c>
      <c r="I696" s="5" t="inlineStr">
        <is>
          <t>KG</t>
        </is>
      </c>
      <c r="J696" s="4">
        <f>IFERROR(VLOOKUP(F696,'Base Insumos'!$A:$C,3,FALSE()),"PENDENTE")</f>
        <v/>
      </c>
      <c r="K696" s="4">
        <f>IFERROR(IF(J696="PENDENTE",0,J696*H696),0)</f>
        <v/>
      </c>
      <c r="L696" s="4" t="n">
        <v>29.9</v>
      </c>
      <c r="M696" s="15">
        <f>IFERROR(K696/L696,0)</f>
        <v/>
      </c>
      <c r="N696" s="3" t="n"/>
    </row>
    <row r="697" ht="15" customHeight="1">
      <c r="A697" s="16" t="inlineStr">
        <is>
          <t>Delivery</t>
        </is>
      </c>
      <c r="B697" s="17" t="inlineStr">
        <is>
          <t>Delivery</t>
        </is>
      </c>
      <c r="C697" s="18" t="inlineStr">
        <is>
          <t>Marmita de Frango + Refrigerante + Sobremesa</t>
        </is>
      </c>
      <c r="D697" s="6">
        <f>IF(ISERROR(VLOOKUP(E697,'Estrutura Protheus'!A:A,1,FALSE)),"Não","Sim")</f>
        <v/>
      </c>
      <c r="E697" s="9" t="n"/>
      <c r="F697" s="9" t="inlineStr">
        <is>
          <t>000437</t>
        </is>
      </c>
      <c r="G697" s="7" t="inlineStr">
        <is>
          <t>Chocolate Garoto Barra 2,1kg</t>
        </is>
      </c>
      <c r="H697" s="19" t="n">
        <v>0.03</v>
      </c>
      <c r="I697" s="9" t="inlineStr">
        <is>
          <t>KG</t>
        </is>
      </c>
      <c r="J697" s="8">
        <f>IFERROR(VLOOKUP(F697,'Base Insumos'!$A:$C,3,FALSE()),"PENDENTE")</f>
        <v/>
      </c>
      <c r="K697" s="8">
        <f>IFERROR(IF(J697="PENDENTE",0,J697*H697),0)</f>
        <v/>
      </c>
      <c r="L697" s="8" t="n">
        <v>29.9</v>
      </c>
      <c r="M697" s="20">
        <f>IFERROR(K697/L697,0)</f>
        <v/>
      </c>
      <c r="N697" s="7" t="n"/>
    </row>
    <row r="698" ht="15" customHeight="1">
      <c r="A698" s="11" t="inlineStr">
        <is>
          <t>Delivery</t>
        </is>
      </c>
      <c r="B698" s="12" t="inlineStr">
        <is>
          <t>Delivery</t>
        </is>
      </c>
      <c r="C698" s="13" t="inlineStr">
        <is>
          <t>Marmita de Frango + Refrigerante + Sobremesa</t>
        </is>
      </c>
      <c r="D698" s="2">
        <f>IF(ISERROR(VLOOKUP(E698,'Estrutura Protheus'!A:A,1,FALSE)),"Não","Sim")</f>
        <v/>
      </c>
      <c r="E698" s="5" t="n"/>
      <c r="F698" s="5" t="inlineStr">
        <is>
          <t>000314</t>
        </is>
      </c>
      <c r="G698" s="3" t="inlineStr">
        <is>
          <t>Guarana Zero Lata 350ml</t>
        </is>
      </c>
      <c r="H698" s="14" t="n">
        <v>1</v>
      </c>
      <c r="I698" s="5" t="inlineStr">
        <is>
          <t>UN</t>
        </is>
      </c>
      <c r="J698" s="4">
        <f>IFERROR(VLOOKUP(F698,'Base Insumos'!$A:$C,3,FALSE()),"PENDENTE")</f>
        <v/>
      </c>
      <c r="K698" s="4">
        <f>IFERROR(IF(J698="PENDENTE",0,J698*H698),0)</f>
        <v/>
      </c>
      <c r="L698" s="4" t="n">
        <v>29.9</v>
      </c>
      <c r="M698" s="15">
        <f>IFERROR(K698/L698,0)</f>
        <v/>
      </c>
      <c r="N698" s="3" t="n"/>
    </row>
    <row r="699" ht="15" customHeight="1">
      <c r="A699" s="16" t="inlineStr">
        <is>
          <t>Delivery</t>
        </is>
      </c>
      <c r="B699" s="17" t="inlineStr">
        <is>
          <t>Delivery</t>
        </is>
      </c>
      <c r="C699" s="18" t="inlineStr">
        <is>
          <t>Marmita de Bovino + Refrigerante + Sobremesa</t>
        </is>
      </c>
      <c r="D699" s="6">
        <f>IF(ISERROR(VLOOKUP(E699,'Estrutura Protheus'!A:A,1,FALSE)),"Não","Sim")</f>
        <v/>
      </c>
      <c r="E699" s="9" t="n"/>
      <c r="F699" s="9" t="inlineStr">
        <is>
          <t>000286</t>
        </is>
      </c>
      <c r="G699" s="7" t="inlineStr">
        <is>
          <t>Espeto Bovino</t>
        </is>
      </c>
      <c r="H699" s="19" t="n">
        <v>1</v>
      </c>
      <c r="I699" s="9" t="inlineStr">
        <is>
          <t>UN</t>
        </is>
      </c>
      <c r="J699" s="8">
        <f>IFERROR(VLOOKUP(F699,'Base Insumos'!$A:$C,3,FALSE()),"PENDENTE")</f>
        <v/>
      </c>
      <c r="K699" s="8">
        <f>IFERROR(IF(J699="PENDENTE",0,J699*H699),0)</f>
        <v/>
      </c>
      <c r="L699" s="8" t="n">
        <v>31.9</v>
      </c>
      <c r="M699" s="20">
        <f>IFERROR(K699/L699,0)</f>
        <v/>
      </c>
      <c r="N699" s="7" t="n"/>
    </row>
    <row r="700" ht="15" customHeight="1">
      <c r="A700" s="11" t="inlineStr">
        <is>
          <t>Delivery</t>
        </is>
      </c>
      <c r="B700" s="12" t="inlineStr">
        <is>
          <t>Delivery</t>
        </is>
      </c>
      <c r="C700" s="13" t="inlineStr">
        <is>
          <t>Marmita de Bovino + Refrigerante + Sobremesa</t>
        </is>
      </c>
      <c r="D700" s="2">
        <f>IF(ISERROR(VLOOKUP(E700,'Estrutura Protheus'!A:A,1,FALSE)),"Não","Sim")</f>
        <v/>
      </c>
      <c r="E700" s="5" t="n"/>
      <c r="F700" s="5" t="inlineStr">
        <is>
          <t>000377</t>
        </is>
      </c>
      <c r="G700" s="3" t="inlineStr">
        <is>
          <t>Arroz Tipo 1</t>
        </is>
      </c>
      <c r="H700" s="14" t="n">
        <v>0.15</v>
      </c>
      <c r="I700" s="5" t="inlineStr">
        <is>
          <t>KG</t>
        </is>
      </c>
      <c r="J700" s="4">
        <f>IFERROR(VLOOKUP(F700,'Base Insumos'!$A:$C,3,FALSE()),"PENDENTE")</f>
        <v/>
      </c>
      <c r="K700" s="4">
        <f>IFERROR(IF(J700="PENDENTE",0,J700*H700),0)</f>
        <v/>
      </c>
      <c r="L700" s="4" t="n">
        <v>31.9</v>
      </c>
      <c r="M700" s="15">
        <f>IFERROR(K700/L700,0)</f>
        <v/>
      </c>
      <c r="N700" s="3" t="n"/>
    </row>
    <row r="701" ht="15" customHeight="1">
      <c r="A701" s="16" t="inlineStr">
        <is>
          <t>Delivery</t>
        </is>
      </c>
      <c r="B701" s="17" t="inlineStr">
        <is>
          <t>Delivery</t>
        </is>
      </c>
      <c r="C701" s="18" t="inlineStr">
        <is>
          <t>Marmita de Bovino + Refrigerante + Sobremesa</t>
        </is>
      </c>
      <c r="D701" s="6">
        <f>IF(ISERROR(VLOOKUP(E701,'Estrutura Protheus'!A:A,1,FALSE)),"Não","Sim")</f>
        <v/>
      </c>
      <c r="E701" s="9" t="n"/>
      <c r="F701" s="9" t="inlineStr">
        <is>
          <t>000412</t>
        </is>
      </c>
      <c r="G701" s="7" t="inlineStr">
        <is>
          <t>Oleo de Soja Liza 900ml</t>
        </is>
      </c>
      <c r="H701" s="19" t="n">
        <v>0.059</v>
      </c>
      <c r="I701" s="9" t="inlineStr">
        <is>
          <t>LT</t>
        </is>
      </c>
      <c r="J701" s="8">
        <f>IFERROR(VLOOKUP(F701,'Base Insumos'!$A:$C,3,FALSE()),"PENDENTE")</f>
        <v/>
      </c>
      <c r="K701" s="8">
        <f>IFERROR(IF(J701="PENDENTE",0,J701*H701),0)</f>
        <v/>
      </c>
      <c r="L701" s="8" t="n">
        <v>31.9</v>
      </c>
      <c r="M701" s="20">
        <f>IFERROR(K701/L701,0)</f>
        <v/>
      </c>
      <c r="N701" s="7" t="n"/>
    </row>
    <row r="702" ht="15" customHeight="1">
      <c r="A702" s="11" t="inlineStr">
        <is>
          <t>Delivery</t>
        </is>
      </c>
      <c r="B702" s="12" t="inlineStr">
        <is>
          <t>Delivery</t>
        </is>
      </c>
      <c r="C702" s="13" t="inlineStr">
        <is>
          <t>Marmita de Bovino + Refrigerante + Sobremesa</t>
        </is>
      </c>
      <c r="D702" s="2">
        <f>IF(ISERROR(VLOOKUP(E702,'Estrutura Protheus'!A:A,1,FALSE)),"Não","Sim")</f>
        <v/>
      </c>
      <c r="E702" s="5" t="n"/>
      <c r="F702" s="5" t="inlineStr">
        <is>
          <t>000614</t>
        </is>
      </c>
      <c r="G702" s="3" t="inlineStr">
        <is>
          <t>Sal Refinado</t>
        </is>
      </c>
      <c r="H702" s="14" t="n">
        <v>0.003</v>
      </c>
      <c r="I702" s="5" t="inlineStr">
        <is>
          <t>KG</t>
        </is>
      </c>
      <c r="J702" s="4">
        <f>IFERROR(VLOOKUP(F702,'Base Insumos'!$A:$C,3,FALSE()),"PENDENTE")</f>
        <v/>
      </c>
      <c r="K702" s="4">
        <f>IFERROR(IF(J702="PENDENTE",0,J702*H702),0)</f>
        <v/>
      </c>
      <c r="L702" s="4" t="n">
        <v>31.9</v>
      </c>
      <c r="M702" s="15">
        <f>IFERROR(K702/L702,0)</f>
        <v/>
      </c>
      <c r="N702" s="3" t="n"/>
    </row>
    <row r="703" ht="15" customHeight="1">
      <c r="A703" s="16" t="inlineStr">
        <is>
          <t>Delivery</t>
        </is>
      </c>
      <c r="B703" s="17" t="inlineStr">
        <is>
          <t>Delivery</t>
        </is>
      </c>
      <c r="C703" s="18" t="inlineStr">
        <is>
          <t>Marmita de Bovino + Refrigerante + Sobremesa</t>
        </is>
      </c>
      <c r="D703" s="6">
        <f>IF(ISERROR(VLOOKUP(E703,'Estrutura Protheus'!A:A,1,FALSE)),"Não","Sim")</f>
        <v/>
      </c>
      <c r="E703" s="9" t="n"/>
      <c r="F703" s="9" t="inlineStr">
        <is>
          <t>000475</t>
        </is>
      </c>
      <c r="G703" s="7" t="inlineStr">
        <is>
          <t>Folha de Louro</t>
        </is>
      </c>
      <c r="H703" s="19" t="n">
        <v>0.002</v>
      </c>
      <c r="I703" s="9" t="inlineStr">
        <is>
          <t>KG</t>
        </is>
      </c>
      <c r="J703" s="8">
        <f>IFERROR(VLOOKUP(F703,'Base Insumos'!$A:$C,3,FALSE()),"PENDENTE")</f>
        <v/>
      </c>
      <c r="K703" s="8">
        <f>IFERROR(IF(J703="PENDENTE",0,J703*H703),0)</f>
        <v/>
      </c>
      <c r="L703" s="8" t="n">
        <v>31.9</v>
      </c>
      <c r="M703" s="20">
        <f>IFERROR(K703/L703,0)</f>
        <v/>
      </c>
      <c r="N703" s="7" t="n"/>
    </row>
    <row r="704" ht="15" customHeight="1">
      <c r="A704" s="11" t="inlineStr">
        <is>
          <t>Delivery</t>
        </is>
      </c>
      <c r="B704" s="12" t="inlineStr">
        <is>
          <t>Delivery</t>
        </is>
      </c>
      <c r="C704" s="13" t="inlineStr">
        <is>
          <t>Marmita de Bovino + Refrigerante + Sobremesa</t>
        </is>
      </c>
      <c r="D704" s="2">
        <f>IF(ISERROR(VLOOKUP(E704,'Estrutura Protheus'!A:A,1,FALSE)),"Não","Sim")</f>
        <v/>
      </c>
      <c r="E704" s="5" t="n"/>
      <c r="F704" s="5" t="inlineStr">
        <is>
          <t>002068</t>
        </is>
      </c>
      <c r="G704" s="3" t="inlineStr">
        <is>
          <t>Manteiga S/sal 5kg</t>
        </is>
      </c>
      <c r="H704" s="14" t="n">
        <v>0.005</v>
      </c>
      <c r="I704" s="5" t="inlineStr">
        <is>
          <t>KG</t>
        </is>
      </c>
      <c r="J704" s="4">
        <f>IFERROR(VLOOKUP(F704,'Base Insumos'!$A:$C,3,FALSE()),"PENDENTE")</f>
        <v/>
      </c>
      <c r="K704" s="4">
        <f>IFERROR(IF(J704="PENDENTE",0,J704*H704),0)</f>
        <v/>
      </c>
      <c r="L704" s="4" t="n">
        <v>31.9</v>
      </c>
      <c r="M704" s="15">
        <f>IFERROR(K704/L704,0)</f>
        <v/>
      </c>
      <c r="N704" s="3" t="n"/>
    </row>
    <row r="705" ht="15" customHeight="1">
      <c r="A705" s="16" t="inlineStr">
        <is>
          <t>Delivery</t>
        </is>
      </c>
      <c r="B705" s="17" t="inlineStr">
        <is>
          <t>Delivery</t>
        </is>
      </c>
      <c r="C705" s="18" t="inlineStr">
        <is>
          <t>Marmita de Bovino + Refrigerante + Sobremesa</t>
        </is>
      </c>
      <c r="D705" s="6">
        <f>IF(ISERROR(VLOOKUP(E705,'Estrutura Protheus'!A:A,1,FALSE)),"Não","Sim")</f>
        <v/>
      </c>
      <c r="E705" s="9" t="n"/>
      <c r="F705" s="9" t="inlineStr">
        <is>
          <t>002067</t>
        </is>
      </c>
      <c r="G705" s="7" t="inlineStr">
        <is>
          <t>Farinha Panko Empanar</t>
        </is>
      </c>
      <c r="H705" s="19" t="n">
        <v>0.02</v>
      </c>
      <c r="I705" s="9" t="inlineStr">
        <is>
          <t>KG</t>
        </is>
      </c>
      <c r="J705" s="8">
        <f>IFERROR(VLOOKUP(F705,'Base Insumos'!$A:$C,3,FALSE()),"PENDENTE")</f>
        <v/>
      </c>
      <c r="K705" s="8">
        <f>IFERROR(IF(J705="PENDENTE",0,J705*H705),0)</f>
        <v/>
      </c>
      <c r="L705" s="8" t="n">
        <v>31.9</v>
      </c>
      <c r="M705" s="20">
        <f>IFERROR(K705/L705,0)</f>
        <v/>
      </c>
      <c r="N705" s="7" t="n"/>
    </row>
    <row r="706" ht="15" customHeight="1">
      <c r="A706" s="11" t="inlineStr">
        <is>
          <t>Delivery</t>
        </is>
      </c>
      <c r="B706" s="12" t="inlineStr">
        <is>
          <t>Delivery</t>
        </is>
      </c>
      <c r="C706" s="13" t="inlineStr">
        <is>
          <t>Marmita de Bovino + Refrigerante + Sobremesa</t>
        </is>
      </c>
      <c r="D706" s="2">
        <f>IF(ISERROR(VLOOKUP(E706,'Estrutura Protheus'!A:A,1,FALSE)),"Não","Sim")</f>
        <v/>
      </c>
      <c r="E706" s="5" t="n"/>
      <c r="F706" s="5" t="inlineStr">
        <is>
          <t>000426</t>
        </is>
      </c>
      <c r="G706" s="3" t="inlineStr">
        <is>
          <t>Bacon em Cubos</t>
        </is>
      </c>
      <c r="H706" s="14" t="n">
        <v>0.004</v>
      </c>
      <c r="I706" s="5" t="inlineStr">
        <is>
          <t>KG</t>
        </is>
      </c>
      <c r="J706" s="4">
        <f>IFERROR(VLOOKUP(F706,'Base Insumos'!$A:$C,3,FALSE()),"PENDENTE")</f>
        <v/>
      </c>
      <c r="K706" s="4">
        <f>IFERROR(IF(J706="PENDENTE",0,J706*H706),0)</f>
        <v/>
      </c>
      <c r="L706" s="4" t="n">
        <v>31.9</v>
      </c>
      <c r="M706" s="15">
        <f>IFERROR(K706/L706,0)</f>
        <v/>
      </c>
      <c r="N706" s="3" t="n"/>
    </row>
    <row r="707" ht="15" customHeight="1">
      <c r="A707" s="16" t="inlineStr">
        <is>
          <t>Delivery</t>
        </is>
      </c>
      <c r="B707" s="17" t="inlineStr">
        <is>
          <t>Delivery</t>
        </is>
      </c>
      <c r="C707" s="18" t="inlineStr">
        <is>
          <t>Marmita de Bovino + Refrigerante + Sobremesa</t>
        </is>
      </c>
      <c r="D707" s="6">
        <f>IF(ISERROR(VLOOKUP(E707,'Estrutura Protheus'!A:A,1,FALSE)),"Não","Sim")</f>
        <v/>
      </c>
      <c r="E707" s="9" t="n"/>
      <c r="F707" s="9" t="inlineStr">
        <is>
          <t>002070</t>
        </is>
      </c>
      <c r="G707" s="7" t="inlineStr">
        <is>
          <t>Alho Poro</t>
        </is>
      </c>
      <c r="H707" s="19" t="n">
        <v>0.004</v>
      </c>
      <c r="I707" s="9" t="inlineStr">
        <is>
          <t>KG</t>
        </is>
      </c>
      <c r="J707" s="8">
        <f>IFERROR(VLOOKUP(F707,'Base Insumos'!$A:$C,3,FALSE()),"PENDENTE")</f>
        <v/>
      </c>
      <c r="K707" s="8">
        <f>IFERROR(IF(J707="PENDENTE",0,J707*H707),0)</f>
        <v/>
      </c>
      <c r="L707" s="8" t="n">
        <v>31.9</v>
      </c>
      <c r="M707" s="20">
        <f>IFERROR(K707/L707,0)</f>
        <v/>
      </c>
      <c r="N707" s="7" t="n"/>
    </row>
    <row r="708" ht="15" customHeight="1">
      <c r="A708" s="11" t="inlineStr">
        <is>
          <t>Delivery</t>
        </is>
      </c>
      <c r="B708" s="12" t="inlineStr">
        <is>
          <t>Delivery</t>
        </is>
      </c>
      <c r="C708" s="13" t="inlineStr">
        <is>
          <t>Marmita de Bovino + Refrigerante + Sobremesa</t>
        </is>
      </c>
      <c r="D708" s="2">
        <f>IF(ISERROR(VLOOKUP(E708,'Estrutura Protheus'!A:A,1,FALSE)),"Não","Sim")</f>
        <v/>
      </c>
      <c r="E708" s="5" t="n"/>
      <c r="F708" s="5" t="inlineStr">
        <is>
          <t>000667</t>
        </is>
      </c>
      <c r="G708" s="3" t="inlineStr">
        <is>
          <t>Tomilho</t>
        </is>
      </c>
      <c r="H708" s="14" t="n">
        <v>0.0005999999999999999</v>
      </c>
      <c r="I708" s="5" t="inlineStr">
        <is>
          <t>KG</t>
        </is>
      </c>
      <c r="J708" s="4">
        <f>IFERROR(VLOOKUP(F708,'Base Insumos'!$A:$C,3,FALSE()),"PENDENTE")</f>
        <v/>
      </c>
      <c r="K708" s="4">
        <f>IFERROR(IF(J708="PENDENTE",0,J708*H708),0)</f>
        <v/>
      </c>
      <c r="L708" s="4" t="n">
        <v>31.9</v>
      </c>
      <c r="M708" s="15">
        <f>IFERROR(K708/L708,0)</f>
        <v/>
      </c>
      <c r="N708" s="3" t="n"/>
    </row>
    <row r="709" ht="15" customHeight="1">
      <c r="A709" s="16" t="inlineStr">
        <is>
          <t>Delivery</t>
        </is>
      </c>
      <c r="B709" s="17" t="inlineStr">
        <is>
          <t>Delivery</t>
        </is>
      </c>
      <c r="C709" s="18" t="inlineStr">
        <is>
          <t>Marmita de Bovino + Refrigerante + Sobremesa</t>
        </is>
      </c>
      <c r="D709" s="6">
        <f>IF(ISERROR(VLOOKUP(E709,'Estrutura Protheus'!A:A,1,FALSE)),"Não","Sim")</f>
        <v/>
      </c>
      <c r="E709" s="9" t="n"/>
      <c r="F709" s="9" t="inlineStr">
        <is>
          <t>000668</t>
        </is>
      </c>
      <c r="G709" s="7" t="inlineStr">
        <is>
          <t>Alecrim</t>
        </is>
      </c>
      <c r="H709" s="19" t="n">
        <v>0.001</v>
      </c>
      <c r="I709" s="9" t="inlineStr">
        <is>
          <t>KG</t>
        </is>
      </c>
      <c r="J709" s="8">
        <f>IFERROR(VLOOKUP(F709,'Base Insumos'!$A:$C,3,FALSE()),"PENDENTE")</f>
        <v/>
      </c>
      <c r="K709" s="8">
        <f>IFERROR(IF(J709="PENDENTE",0,J709*H709),0)</f>
        <v/>
      </c>
      <c r="L709" s="8" t="n">
        <v>31.9</v>
      </c>
      <c r="M709" s="20">
        <f>IFERROR(K709/L709,0)</f>
        <v/>
      </c>
      <c r="N709" s="7" t="n"/>
    </row>
    <row r="710" ht="15" customHeight="1">
      <c r="A710" s="11" t="inlineStr">
        <is>
          <t>Delivery</t>
        </is>
      </c>
      <c r="B710" s="12" t="inlineStr">
        <is>
          <t>Delivery</t>
        </is>
      </c>
      <c r="C710" s="13" t="inlineStr">
        <is>
          <t>Marmita de Bovino + Refrigerante + Sobremesa</t>
        </is>
      </c>
      <c r="D710" s="2">
        <f>IF(ISERROR(VLOOKUP(E710,'Estrutura Protheus'!A:A,1,FALSE)),"Não","Sim")</f>
        <v/>
      </c>
      <c r="E710" s="5" t="n"/>
      <c r="F710" s="5" t="inlineStr">
        <is>
          <t>002068</t>
        </is>
      </c>
      <c r="G710" s="3" t="inlineStr">
        <is>
          <t>Manteiga S/sal 5kg</t>
        </is>
      </c>
      <c r="H710" s="14" t="n">
        <v>0.004</v>
      </c>
      <c r="I710" s="5" t="inlineStr">
        <is>
          <t>KG</t>
        </is>
      </c>
      <c r="J710" s="4">
        <f>IFERROR(VLOOKUP(F710,'Base Insumos'!$A:$C,3,FALSE()),"PENDENTE")</f>
        <v/>
      </c>
      <c r="K710" s="4">
        <f>IFERROR(IF(J710="PENDENTE",0,J710*H710),0)</f>
        <v/>
      </c>
      <c r="L710" s="4" t="n">
        <v>31.9</v>
      </c>
      <c r="M710" s="15">
        <f>IFERROR(K710/L710,0)</f>
        <v/>
      </c>
      <c r="N710" s="3" t="n"/>
    </row>
    <row r="711" ht="15" customHeight="1">
      <c r="A711" s="16" t="inlineStr">
        <is>
          <t>Delivery</t>
        </is>
      </c>
      <c r="B711" s="17" t="inlineStr">
        <is>
          <t>Delivery</t>
        </is>
      </c>
      <c r="C711" s="18" t="inlineStr">
        <is>
          <t>Marmita de Bovino + Refrigerante + Sobremesa</t>
        </is>
      </c>
      <c r="D711" s="6">
        <f>IF(ISERROR(VLOOKUP(E711,'Estrutura Protheus'!A:A,1,FALSE)),"Não","Sim")</f>
        <v/>
      </c>
      <c r="E711" s="9" t="n"/>
      <c r="F711" s="9" t="inlineStr">
        <is>
          <t>000390</t>
        </is>
      </c>
      <c r="G711" s="7" t="inlineStr">
        <is>
          <t>Farinha de Trigo Sol</t>
        </is>
      </c>
      <c r="H711" s="19" t="n">
        <v>0.002</v>
      </c>
      <c r="I711" s="9" t="inlineStr">
        <is>
          <t>KG</t>
        </is>
      </c>
      <c r="J711" s="8">
        <f>IFERROR(VLOOKUP(F711,'Base Insumos'!$A:$C,3,FALSE()),"PENDENTE")</f>
        <v/>
      </c>
      <c r="K711" s="8">
        <f>IFERROR(IF(J711="PENDENTE",0,J711*H711),0)</f>
        <v/>
      </c>
      <c r="L711" s="8" t="n">
        <v>31.9</v>
      </c>
      <c r="M711" s="20">
        <f>IFERROR(K711/L711,0)</f>
        <v/>
      </c>
      <c r="N711" s="7" t="n"/>
    </row>
    <row r="712" ht="15" customHeight="1">
      <c r="A712" s="11" t="inlineStr">
        <is>
          <t>Delivery</t>
        </is>
      </c>
      <c r="B712" s="12" t="inlineStr">
        <is>
          <t>Delivery</t>
        </is>
      </c>
      <c r="C712" s="13" t="inlineStr">
        <is>
          <t>Marmita de Bovino + Refrigerante + Sobremesa</t>
        </is>
      </c>
      <c r="D712" s="2">
        <f>IF(ISERROR(VLOOKUP(E712,'Estrutura Protheus'!A:A,1,FALSE)),"Não","Sim")</f>
        <v/>
      </c>
      <c r="E712" s="5" t="n"/>
      <c r="F712" s="5" t="inlineStr">
        <is>
          <t>000331</t>
        </is>
      </c>
      <c r="G712" s="3" t="inlineStr">
        <is>
          <t>Barril Chopp Brahma Claro 50lt</t>
        </is>
      </c>
      <c r="H712" s="14" t="n">
        <v>0.003</v>
      </c>
      <c r="I712" s="5" t="inlineStr">
        <is>
          <t>LT</t>
        </is>
      </c>
      <c r="J712" s="4">
        <f>IFERROR(VLOOKUP(F712,'Base Insumos'!$A:$C,3,FALSE()),"PENDENTE")</f>
        <v/>
      </c>
      <c r="K712" s="4">
        <f>IFERROR(IF(J712="PENDENTE",0,J712*H712),0)</f>
        <v/>
      </c>
      <c r="L712" s="4" t="n">
        <v>31.9</v>
      </c>
      <c r="M712" s="15">
        <f>IFERROR(K712/L712,0)</f>
        <v/>
      </c>
      <c r="N712" s="3" t="n"/>
    </row>
    <row r="713" ht="15" customHeight="1">
      <c r="A713" s="16" t="inlineStr">
        <is>
          <t>Delivery</t>
        </is>
      </c>
      <c r="B713" s="17" t="inlineStr">
        <is>
          <t>Delivery</t>
        </is>
      </c>
      <c r="C713" s="18" t="inlineStr">
        <is>
          <t>Marmita de Bovino + Refrigerante + Sobremesa</t>
        </is>
      </c>
      <c r="D713" s="6">
        <f>IF(ISERROR(VLOOKUP(E713,'Estrutura Protheus'!A:A,1,FALSE)),"Não","Sim")</f>
        <v/>
      </c>
      <c r="E713" s="9" t="n"/>
      <c r="F713" s="9" t="inlineStr">
        <is>
          <t>000614</t>
        </is>
      </c>
      <c r="G713" s="7" t="inlineStr">
        <is>
          <t>Sal Refinado</t>
        </is>
      </c>
      <c r="H713" s="19" t="n">
        <v>0.0002</v>
      </c>
      <c r="I713" s="9" t="inlineStr">
        <is>
          <t>KG</t>
        </is>
      </c>
      <c r="J713" s="8">
        <f>IFERROR(VLOOKUP(F713,'Base Insumos'!$A:$C,3,FALSE()),"PENDENTE")</f>
        <v/>
      </c>
      <c r="K713" s="8">
        <f>IFERROR(IF(J713="PENDENTE",0,J713*H713),0)</f>
        <v/>
      </c>
      <c r="L713" s="8" t="n">
        <v>31.9</v>
      </c>
      <c r="M713" s="20">
        <f>IFERROR(K713/L713,0)</f>
        <v/>
      </c>
      <c r="N713" s="7" t="n"/>
    </row>
    <row r="714" ht="15" customHeight="1">
      <c r="A714" s="11" t="inlineStr">
        <is>
          <t>Delivery</t>
        </is>
      </c>
      <c r="B714" s="12" t="inlineStr">
        <is>
          <t>Delivery</t>
        </is>
      </c>
      <c r="C714" s="13" t="inlineStr">
        <is>
          <t>Marmita de Bovino + Refrigerante + Sobremesa</t>
        </is>
      </c>
      <c r="D714" s="2">
        <f>IF(ISERROR(VLOOKUP(E714,'Estrutura Protheus'!A:A,1,FALSE)),"Não","Sim")</f>
        <v/>
      </c>
      <c r="E714" s="5" t="n"/>
      <c r="F714" s="5" t="inlineStr">
        <is>
          <t>000414</t>
        </is>
      </c>
      <c r="G714" s="3" t="inlineStr">
        <is>
          <t>Pimenta do Reino Moida</t>
        </is>
      </c>
      <c r="H714" s="14" t="n">
        <v>6e-05</v>
      </c>
      <c r="I714" s="5" t="inlineStr">
        <is>
          <t>KG</t>
        </is>
      </c>
      <c r="J714" s="4">
        <f>IFERROR(VLOOKUP(F714,'Base Insumos'!$A:$C,3,FALSE()),"PENDENTE")</f>
        <v/>
      </c>
      <c r="K714" s="4">
        <f>IFERROR(IF(J714="PENDENTE",0,J714*H714),0)</f>
        <v/>
      </c>
      <c r="L714" s="4" t="n">
        <v>31.9</v>
      </c>
      <c r="M714" s="15">
        <f>IFERROR(K714/L714,0)</f>
        <v/>
      </c>
      <c r="N714" s="3" t="n"/>
    </row>
    <row r="715" ht="15" customHeight="1">
      <c r="A715" s="16" t="inlineStr">
        <is>
          <t>Delivery</t>
        </is>
      </c>
      <c r="B715" s="17" t="inlineStr">
        <is>
          <t>Delivery</t>
        </is>
      </c>
      <c r="C715" s="18" t="inlineStr">
        <is>
          <t>Marmita de Bovino + Refrigerante + Sobremesa</t>
        </is>
      </c>
      <c r="D715" s="6">
        <f>IF(ISERROR(VLOOKUP(E715,'Estrutura Protheus'!A:A,1,FALSE)),"Não","Sim")</f>
        <v/>
      </c>
      <c r="E715" s="9" t="n"/>
      <c r="F715" s="9" t="inlineStr">
        <is>
          <t>000486</t>
        </is>
      </c>
      <c r="G715" s="7" t="inlineStr">
        <is>
          <t>Tomate Salada</t>
        </is>
      </c>
      <c r="H715" s="19" t="n">
        <v>0.026</v>
      </c>
      <c r="I715" s="9" t="inlineStr">
        <is>
          <t>KG</t>
        </is>
      </c>
      <c r="J715" s="8">
        <f>IFERROR(VLOOKUP(F715,'Base Insumos'!$A:$C,3,FALSE()),"PENDENTE")</f>
        <v/>
      </c>
      <c r="K715" s="8">
        <f>IFERROR(IF(J715="PENDENTE",0,J715*H715),0)</f>
        <v/>
      </c>
      <c r="L715" s="8" t="n">
        <v>31.9</v>
      </c>
      <c r="M715" s="20">
        <f>IFERROR(K715/L715,0)</f>
        <v/>
      </c>
      <c r="N715" s="7" t="n"/>
    </row>
    <row r="716" ht="15" customHeight="1">
      <c r="A716" s="11" t="inlineStr">
        <is>
          <t>Delivery</t>
        </is>
      </c>
      <c r="B716" s="12" t="inlineStr">
        <is>
          <t>Delivery</t>
        </is>
      </c>
      <c r="C716" s="13" t="inlineStr">
        <is>
          <t>Marmita de Bovino + Refrigerante + Sobremesa</t>
        </is>
      </c>
      <c r="D716" s="2">
        <f>IF(ISERROR(VLOOKUP(E716,'Estrutura Protheus'!A:A,1,FALSE)),"Não","Sim")</f>
        <v/>
      </c>
      <c r="E716" s="5" t="n"/>
      <c r="F716" s="5" t="inlineStr">
        <is>
          <t>000468</t>
        </is>
      </c>
      <c r="G716" s="3" t="inlineStr">
        <is>
          <t>Cebola Media</t>
        </is>
      </c>
      <c r="H716" s="14" t="n">
        <v>0.013</v>
      </c>
      <c r="I716" s="5" t="inlineStr">
        <is>
          <t>KG</t>
        </is>
      </c>
      <c r="J716" s="4">
        <f>IFERROR(VLOOKUP(F716,'Base Insumos'!$A:$C,3,FALSE()),"PENDENTE")</f>
        <v/>
      </c>
      <c r="K716" s="4">
        <f>IFERROR(IF(J716="PENDENTE",0,J716*H716),0)</f>
        <v/>
      </c>
      <c r="L716" s="4" t="n">
        <v>31.9</v>
      </c>
      <c r="M716" s="15">
        <f>IFERROR(K716/L716,0)</f>
        <v/>
      </c>
      <c r="N716" s="3" t="n"/>
    </row>
    <row r="717" ht="15" customHeight="1">
      <c r="A717" s="16" t="inlineStr">
        <is>
          <t>Delivery</t>
        </is>
      </c>
      <c r="B717" s="17" t="inlineStr">
        <is>
          <t>Delivery</t>
        </is>
      </c>
      <c r="C717" s="18" t="inlineStr">
        <is>
          <t>Marmita de Bovino + Refrigerante + Sobremesa</t>
        </is>
      </c>
      <c r="D717" s="6">
        <f>IF(ISERROR(VLOOKUP(E717,'Estrutura Protheus'!A:A,1,FALSE)),"Não","Sim")</f>
        <v/>
      </c>
      <c r="E717" s="9" t="n"/>
      <c r="F717" s="9" t="inlineStr">
        <is>
          <t>000484</t>
        </is>
      </c>
      <c r="G717" s="7" t="inlineStr">
        <is>
          <t>Salsa Lisa Industrial</t>
        </is>
      </c>
      <c r="H717" s="19" t="n">
        <v>0.008999999999999999</v>
      </c>
      <c r="I717" s="9" t="inlineStr">
        <is>
          <t>KG</t>
        </is>
      </c>
      <c r="J717" s="8">
        <f>IFERROR(VLOOKUP(F717,'Base Insumos'!$A:$C,3,FALSE()),"PENDENTE")</f>
        <v/>
      </c>
      <c r="K717" s="8">
        <f>IFERROR(IF(J717="PENDENTE",0,J717*H717),0)</f>
        <v/>
      </c>
      <c r="L717" s="8" t="n">
        <v>31.9</v>
      </c>
      <c r="M717" s="20">
        <f>IFERROR(K717/L717,0)</f>
        <v/>
      </c>
      <c r="N717" s="7" t="n"/>
    </row>
    <row r="718" ht="15" customHeight="1">
      <c r="A718" s="11" t="inlineStr">
        <is>
          <t>Delivery</t>
        </is>
      </c>
      <c r="B718" s="12" t="inlineStr">
        <is>
          <t>Delivery</t>
        </is>
      </c>
      <c r="C718" s="13" t="inlineStr">
        <is>
          <t>Marmita de Bovino + Refrigerante + Sobremesa</t>
        </is>
      </c>
      <c r="D718" s="2">
        <f>IF(ISERROR(VLOOKUP(E718,'Estrutura Protheus'!A:A,1,FALSE)),"Não","Sim")</f>
        <v/>
      </c>
      <c r="E718" s="5" t="n"/>
      <c r="F718" s="5" t="inlineStr">
        <is>
          <t>000424</t>
        </is>
      </c>
      <c r="G718" s="3" t="inlineStr">
        <is>
          <t>Vinagre Agrin Branco Neval Garrafa 750ml</t>
        </is>
      </c>
      <c r="H718" s="14" t="n">
        <v>0.007</v>
      </c>
      <c r="I718" s="5" t="inlineStr">
        <is>
          <t>LT</t>
        </is>
      </c>
      <c r="J718" s="4">
        <f>IFERROR(VLOOKUP(F718,'Base Insumos'!$A:$C,3,FALSE()),"PENDENTE")</f>
        <v/>
      </c>
      <c r="K718" s="4">
        <f>IFERROR(IF(J718="PENDENTE",0,J718*H718),0)</f>
        <v/>
      </c>
      <c r="L718" s="4" t="n">
        <v>31.9</v>
      </c>
      <c r="M718" s="15">
        <f>IFERROR(K718/L718,0)</f>
        <v/>
      </c>
      <c r="N718" s="3" t="n"/>
    </row>
    <row r="719" ht="15" customHeight="1">
      <c r="A719" s="16" t="inlineStr">
        <is>
          <t>Delivery</t>
        </is>
      </c>
      <c r="B719" s="17" t="inlineStr">
        <is>
          <t>Delivery</t>
        </is>
      </c>
      <c r="C719" s="18" t="inlineStr">
        <is>
          <t>Marmita de Bovino + Refrigerante + Sobremesa</t>
        </is>
      </c>
      <c r="D719" s="6">
        <f>IF(ISERROR(VLOOKUP(E719,'Estrutura Protheus'!A:A,1,FALSE)),"Não","Sim")</f>
        <v/>
      </c>
      <c r="E719" s="9" t="n"/>
      <c r="F719" s="9" t="inlineStr">
        <is>
          <t>001043</t>
        </is>
      </c>
      <c r="G719" s="7" t="inlineStr">
        <is>
          <t>Azeite 500 Ml</t>
        </is>
      </c>
      <c r="H719" s="19" t="n">
        <v>0.013</v>
      </c>
      <c r="I719" s="9" t="inlineStr">
        <is>
          <t>LT</t>
        </is>
      </c>
      <c r="J719" s="8">
        <f>IFERROR(VLOOKUP(F719,'Base Insumos'!$A:$C,3,FALSE()),"PENDENTE")</f>
        <v/>
      </c>
      <c r="K719" s="8">
        <f>IFERROR(IF(J719="PENDENTE",0,J719*H719),0)</f>
        <v/>
      </c>
      <c r="L719" s="8" t="n">
        <v>31.9</v>
      </c>
      <c r="M719" s="20">
        <f>IFERROR(K719/L719,0)</f>
        <v/>
      </c>
      <c r="N719" s="7" t="n"/>
    </row>
    <row r="720" ht="15" customHeight="1">
      <c r="A720" s="11" t="inlineStr">
        <is>
          <t>Delivery</t>
        </is>
      </c>
      <c r="B720" s="12" t="inlineStr">
        <is>
          <t>Delivery</t>
        </is>
      </c>
      <c r="C720" s="13" t="inlineStr">
        <is>
          <t>Marmita de Bovino + Refrigerante + Sobremesa</t>
        </is>
      </c>
      <c r="D720" s="2">
        <f>IF(ISERROR(VLOOKUP(E720,'Estrutura Protheus'!A:A,1,FALSE)),"Não","Sim")</f>
        <v/>
      </c>
      <c r="E720" s="5" t="n"/>
      <c r="F720" s="5" t="inlineStr">
        <is>
          <t>000614</t>
        </is>
      </c>
      <c r="G720" s="3" t="inlineStr">
        <is>
          <t>Sal Refinado</t>
        </is>
      </c>
      <c r="H720" s="14" t="n">
        <v>0.0005</v>
      </c>
      <c r="I720" s="5" t="inlineStr">
        <is>
          <t>KG</t>
        </is>
      </c>
      <c r="J720" s="4">
        <f>IFERROR(VLOOKUP(F720,'Base Insumos'!$A:$C,3,FALSE()),"PENDENTE")</f>
        <v/>
      </c>
      <c r="K720" s="4">
        <f>IFERROR(IF(J720="PENDENTE",0,J720*H720),0)</f>
        <v/>
      </c>
      <c r="L720" s="4" t="n">
        <v>31.9</v>
      </c>
      <c r="M720" s="15">
        <f>IFERROR(K720/L720,0)</f>
        <v/>
      </c>
      <c r="N720" s="3" t="n"/>
    </row>
    <row r="721" ht="15" customHeight="1">
      <c r="A721" s="16" t="inlineStr">
        <is>
          <t>Delivery</t>
        </is>
      </c>
      <c r="B721" s="17" t="inlineStr">
        <is>
          <t>Delivery</t>
        </is>
      </c>
      <c r="C721" s="18" t="inlineStr">
        <is>
          <t>Marmita de Bovino + Refrigerante + Sobremesa</t>
        </is>
      </c>
      <c r="D721" s="6">
        <f>IF(ISERROR(VLOOKUP(E721,'Estrutura Protheus'!A:A,1,FALSE)),"Não","Sim")</f>
        <v/>
      </c>
      <c r="E721" s="9" t="n"/>
      <c r="F721" s="9" t="inlineStr">
        <is>
          <t>000590</t>
        </is>
      </c>
      <c r="G721" s="7" t="inlineStr">
        <is>
          <t>Morango Fruta</t>
        </is>
      </c>
      <c r="H721" s="19" t="n">
        <v>0.08</v>
      </c>
      <c r="I721" s="9" t="inlineStr">
        <is>
          <t>KG</t>
        </is>
      </c>
      <c r="J721" s="8">
        <f>IFERROR(VLOOKUP(F721,'Base Insumos'!$A:$C,3,FALSE()),"PENDENTE")</f>
        <v/>
      </c>
      <c r="K721" s="8">
        <f>IFERROR(IF(J721="PENDENTE",0,J721*H721),0)</f>
        <v/>
      </c>
      <c r="L721" s="8" t="n">
        <v>31.9</v>
      </c>
      <c r="M721" s="20">
        <f>IFERROR(K721/L721,0)</f>
        <v/>
      </c>
      <c r="N721" s="7" t="n"/>
    </row>
    <row r="722" ht="15" customHeight="1">
      <c r="A722" s="11" t="inlineStr">
        <is>
          <t>Delivery</t>
        </is>
      </c>
      <c r="B722" s="12" t="inlineStr">
        <is>
          <t>Delivery</t>
        </is>
      </c>
      <c r="C722" s="13" t="inlineStr">
        <is>
          <t>Marmita de Bovino + Refrigerante + Sobremesa</t>
        </is>
      </c>
      <c r="D722" s="2">
        <f>IF(ISERROR(VLOOKUP(E722,'Estrutura Protheus'!A:A,1,FALSE)),"Não","Sim")</f>
        <v/>
      </c>
      <c r="E722" s="5" t="n"/>
      <c r="F722" s="5" t="inlineStr">
        <is>
          <t>000437</t>
        </is>
      </c>
      <c r="G722" s="3" t="inlineStr">
        <is>
          <t>Chocolate Garoto Barra 2,1kg</t>
        </is>
      </c>
      <c r="H722" s="14" t="n">
        <v>0.03</v>
      </c>
      <c r="I722" s="5" t="inlineStr">
        <is>
          <t>KG</t>
        </is>
      </c>
      <c r="J722" s="4">
        <f>IFERROR(VLOOKUP(F722,'Base Insumos'!$A:$C,3,FALSE()),"PENDENTE")</f>
        <v/>
      </c>
      <c r="K722" s="4">
        <f>IFERROR(IF(J722="PENDENTE",0,J722*H722),0)</f>
        <v/>
      </c>
      <c r="L722" s="4" t="n">
        <v>31.9</v>
      </c>
      <c r="M722" s="15">
        <f>IFERROR(K722/L722,0)</f>
        <v/>
      </c>
      <c r="N722" s="3" t="n"/>
    </row>
    <row r="723" ht="15" customHeight="1">
      <c r="A723" s="16" t="inlineStr">
        <is>
          <t>Delivery</t>
        </is>
      </c>
      <c r="B723" s="17" t="inlineStr">
        <is>
          <t>Delivery</t>
        </is>
      </c>
      <c r="C723" s="18" t="inlineStr">
        <is>
          <t>Marmita de Bovino + Refrigerante + Sobremesa</t>
        </is>
      </c>
      <c r="D723" s="6">
        <f>IF(ISERROR(VLOOKUP(E723,'Estrutura Protheus'!A:A,1,FALSE)),"Não","Sim")</f>
        <v/>
      </c>
      <c r="E723" s="9" t="n"/>
      <c r="F723" s="9" t="inlineStr">
        <is>
          <t>000314</t>
        </is>
      </c>
      <c r="G723" s="7" t="inlineStr">
        <is>
          <t>Guarana Zero Lata 350ml</t>
        </is>
      </c>
      <c r="H723" s="19" t="n">
        <v>1</v>
      </c>
      <c r="I723" s="9" t="inlineStr">
        <is>
          <t>UN</t>
        </is>
      </c>
      <c r="J723" s="8">
        <f>IFERROR(VLOOKUP(F723,'Base Insumos'!$A:$C,3,FALSE()),"PENDENTE")</f>
        <v/>
      </c>
      <c r="K723" s="8">
        <f>IFERROR(IF(J723="PENDENTE",0,J723*H723),0)</f>
        <v/>
      </c>
      <c r="L723" s="8" t="n">
        <v>31.9</v>
      </c>
      <c r="M723" s="20">
        <f>IFERROR(K723/L723,0)</f>
        <v/>
      </c>
      <c r="N723" s="7" t="n"/>
    </row>
    <row r="724" ht="15" customHeight="1">
      <c r="A724" s="11" t="inlineStr">
        <is>
          <t>Delivery</t>
        </is>
      </c>
      <c r="B724" s="12" t="inlineStr">
        <is>
          <t>Delivery</t>
        </is>
      </c>
      <c r="C724" s="13" t="inlineStr">
        <is>
          <t>Prato Feito Quintal</t>
        </is>
      </c>
      <c r="D724" s="2">
        <f>IF(ISERROR(VLOOKUP(E724,'Estrutura Protheus'!A:A,1,FALSE)),"Não","Sim")</f>
        <v/>
      </c>
      <c r="E724" s="5" t="inlineStr">
        <is>
          <t>002216</t>
        </is>
      </c>
      <c r="F724" s="5" t="inlineStr">
        <is>
          <t>000286</t>
        </is>
      </c>
      <c r="G724" s="3" t="inlineStr">
        <is>
          <t>Espeto Bovino</t>
        </is>
      </c>
      <c r="H724" s="14" t="n">
        <v>2</v>
      </c>
      <c r="I724" s="5" t="inlineStr">
        <is>
          <t>UN</t>
        </is>
      </c>
      <c r="J724" s="4">
        <f>IFERROR(VLOOKUP(F724,'Base Insumos'!$A:$C,3,FALSE()),"PENDENTE")</f>
        <v/>
      </c>
      <c r="K724" s="4">
        <f>IFERROR(IF(J724="PENDENTE",0,J724*H724),0)</f>
        <v/>
      </c>
      <c r="L724" s="4" t="n">
        <v>39.9</v>
      </c>
      <c r="M724" s="15">
        <f>IFERROR(K724/L724,0)</f>
        <v/>
      </c>
      <c r="N724" s="3" t="n"/>
    </row>
    <row r="725" ht="15" customHeight="1">
      <c r="A725" s="16" t="inlineStr">
        <is>
          <t>Delivery</t>
        </is>
      </c>
      <c r="B725" s="17" t="inlineStr">
        <is>
          <t>Delivery</t>
        </is>
      </c>
      <c r="C725" s="18" t="inlineStr">
        <is>
          <t>Prato Feito Quintal</t>
        </is>
      </c>
      <c r="D725" s="6">
        <f>IF(ISERROR(VLOOKUP(E725,'Estrutura Protheus'!A:A,1,FALSE)),"Não","Sim")</f>
        <v/>
      </c>
      <c r="E725" s="9" t="inlineStr">
        <is>
          <t>002216</t>
        </is>
      </c>
      <c r="F725" s="9" t="inlineStr">
        <is>
          <t>000377</t>
        </is>
      </c>
      <c r="G725" s="7" t="inlineStr">
        <is>
          <t>Arroz Tipo 1</t>
        </is>
      </c>
      <c r="H725" s="19" t="n">
        <v>0.15</v>
      </c>
      <c r="I725" s="9" t="inlineStr">
        <is>
          <t>KG</t>
        </is>
      </c>
      <c r="J725" s="8">
        <f>IFERROR(VLOOKUP(F725,'Base Insumos'!$A:$C,3,FALSE()),"PENDENTE")</f>
        <v/>
      </c>
      <c r="K725" s="8">
        <f>IFERROR(IF(J725="PENDENTE",0,J725*H725),0)</f>
        <v/>
      </c>
      <c r="L725" s="8" t="n">
        <v>39.9</v>
      </c>
      <c r="M725" s="20">
        <f>IFERROR(K725/L725,0)</f>
        <v/>
      </c>
      <c r="N725" s="7" t="n"/>
    </row>
    <row r="726" ht="15" customHeight="1">
      <c r="A726" s="11" t="inlineStr">
        <is>
          <t>Delivery</t>
        </is>
      </c>
      <c r="B726" s="12" t="inlineStr">
        <is>
          <t>Delivery</t>
        </is>
      </c>
      <c r="C726" s="13" t="inlineStr">
        <is>
          <t>Prato Feito Quintal</t>
        </is>
      </c>
      <c r="D726" s="2">
        <f>IF(ISERROR(VLOOKUP(E726,'Estrutura Protheus'!A:A,1,FALSE)),"Não","Sim")</f>
        <v/>
      </c>
      <c r="E726" s="5" t="inlineStr">
        <is>
          <t>002216</t>
        </is>
      </c>
      <c r="F726" s="5" t="inlineStr">
        <is>
          <t>000412</t>
        </is>
      </c>
      <c r="G726" s="3" t="inlineStr">
        <is>
          <t>Oleo de Soja Liza 900ml</t>
        </is>
      </c>
      <c r="H726" s="14" t="n">
        <v>0.059</v>
      </c>
      <c r="I726" s="5" t="inlineStr">
        <is>
          <t>LT</t>
        </is>
      </c>
      <c r="J726" s="4">
        <f>IFERROR(VLOOKUP(F726,'Base Insumos'!$A:$C,3,FALSE()),"PENDENTE")</f>
        <v/>
      </c>
      <c r="K726" s="4">
        <f>IFERROR(IF(J726="PENDENTE",0,J726*H726),0)</f>
        <v/>
      </c>
      <c r="L726" s="4" t="n">
        <v>39.9</v>
      </c>
      <c r="M726" s="15">
        <f>IFERROR(K726/L726,0)</f>
        <v/>
      </c>
      <c r="N726" s="3" t="n"/>
    </row>
    <row r="727" ht="15" customHeight="1">
      <c r="A727" s="16" t="inlineStr">
        <is>
          <t>Delivery</t>
        </is>
      </c>
      <c r="B727" s="17" t="inlineStr">
        <is>
          <t>Delivery</t>
        </is>
      </c>
      <c r="C727" s="18" t="inlineStr">
        <is>
          <t>Prato Feito Quintal</t>
        </is>
      </c>
      <c r="D727" s="6">
        <f>IF(ISERROR(VLOOKUP(E727,'Estrutura Protheus'!A:A,1,FALSE)),"Não","Sim")</f>
        <v/>
      </c>
      <c r="E727" s="9" t="inlineStr">
        <is>
          <t>002216</t>
        </is>
      </c>
      <c r="F727" s="9" t="inlineStr">
        <is>
          <t>000614</t>
        </is>
      </c>
      <c r="G727" s="7" t="inlineStr">
        <is>
          <t>Sal Refinado</t>
        </is>
      </c>
      <c r="H727" s="19" t="n">
        <v>0.003</v>
      </c>
      <c r="I727" s="9" t="inlineStr">
        <is>
          <t>KG</t>
        </is>
      </c>
      <c r="J727" s="8">
        <f>IFERROR(VLOOKUP(F727,'Base Insumos'!$A:$C,3,FALSE()),"PENDENTE")</f>
        <v/>
      </c>
      <c r="K727" s="8">
        <f>IFERROR(IF(J727="PENDENTE",0,J727*H727),0)</f>
        <v/>
      </c>
      <c r="L727" s="8" t="n">
        <v>39.9</v>
      </c>
      <c r="M727" s="20">
        <f>IFERROR(K727/L727,0)</f>
        <v/>
      </c>
      <c r="N727" s="7" t="n"/>
    </row>
    <row r="728" ht="15" customHeight="1">
      <c r="A728" s="11" t="inlineStr">
        <is>
          <t>Delivery</t>
        </is>
      </c>
      <c r="B728" s="12" t="inlineStr">
        <is>
          <t>Delivery</t>
        </is>
      </c>
      <c r="C728" s="13" t="inlineStr">
        <is>
          <t>Prato Feito Quintal</t>
        </is>
      </c>
      <c r="D728" s="2">
        <f>IF(ISERROR(VLOOKUP(E728,'Estrutura Protheus'!A:A,1,FALSE)),"Não","Sim")</f>
        <v/>
      </c>
      <c r="E728" s="5" t="inlineStr">
        <is>
          <t>002216</t>
        </is>
      </c>
      <c r="F728" s="5" t="inlineStr">
        <is>
          <t>000475</t>
        </is>
      </c>
      <c r="G728" s="3" t="inlineStr">
        <is>
          <t>Folha de Louro</t>
        </is>
      </c>
      <c r="H728" s="14" t="n">
        <v>0.002</v>
      </c>
      <c r="I728" s="5" t="inlineStr">
        <is>
          <t>KG</t>
        </is>
      </c>
      <c r="J728" s="4">
        <f>IFERROR(VLOOKUP(F728,'Base Insumos'!$A:$C,3,FALSE()),"PENDENTE")</f>
        <v/>
      </c>
      <c r="K728" s="4">
        <f>IFERROR(IF(J728="PENDENTE",0,J728*H728),0)</f>
        <v/>
      </c>
      <c r="L728" s="4" t="n">
        <v>39.9</v>
      </c>
      <c r="M728" s="15">
        <f>IFERROR(K728/L728,0)</f>
        <v/>
      </c>
      <c r="N728" s="3" t="n"/>
    </row>
    <row r="729" ht="15" customHeight="1">
      <c r="A729" s="16" t="inlineStr">
        <is>
          <t>Delivery</t>
        </is>
      </c>
      <c r="B729" s="17" t="inlineStr">
        <is>
          <t>Delivery</t>
        </is>
      </c>
      <c r="C729" s="18" t="inlineStr">
        <is>
          <t>Prato Feito Quintal</t>
        </is>
      </c>
      <c r="D729" s="6">
        <f>IF(ISERROR(VLOOKUP(E729,'Estrutura Protheus'!A:A,1,FALSE)),"Não","Sim")</f>
        <v/>
      </c>
      <c r="E729" s="9" t="inlineStr">
        <is>
          <t>002216</t>
        </is>
      </c>
      <c r="F729" s="9" t="inlineStr">
        <is>
          <t>002068</t>
        </is>
      </c>
      <c r="G729" s="7" t="inlineStr">
        <is>
          <t>Manteiga S/sal 5kg</t>
        </is>
      </c>
      <c r="H729" s="19" t="n">
        <v>0.005</v>
      </c>
      <c r="I729" s="9" t="inlineStr">
        <is>
          <t>KG</t>
        </is>
      </c>
      <c r="J729" s="8">
        <f>IFERROR(VLOOKUP(F729,'Base Insumos'!$A:$C,3,FALSE()),"PENDENTE")</f>
        <v/>
      </c>
      <c r="K729" s="8">
        <f>IFERROR(IF(J729="PENDENTE",0,J729*H729),0)</f>
        <v/>
      </c>
      <c r="L729" s="8" t="n">
        <v>39.9</v>
      </c>
      <c r="M729" s="20">
        <f>IFERROR(K729/L729,0)</f>
        <v/>
      </c>
      <c r="N729" s="7" t="n"/>
    </row>
    <row r="730" ht="15" customHeight="1">
      <c r="A730" s="11" t="inlineStr">
        <is>
          <t>Delivery</t>
        </is>
      </c>
      <c r="B730" s="12" t="inlineStr">
        <is>
          <t>Delivery</t>
        </is>
      </c>
      <c r="C730" s="13" t="inlineStr">
        <is>
          <t>Prato Feito Quintal</t>
        </is>
      </c>
      <c r="D730" s="2">
        <f>IF(ISERROR(VLOOKUP(E730,'Estrutura Protheus'!A:A,1,FALSE)),"Não","Sim")</f>
        <v/>
      </c>
      <c r="E730" s="5" t="inlineStr">
        <is>
          <t>002216</t>
        </is>
      </c>
      <c r="F730" s="5" t="inlineStr">
        <is>
          <t>000392</t>
        </is>
      </c>
      <c r="G730" s="3" t="inlineStr">
        <is>
          <t>Feijao Carioca</t>
        </is>
      </c>
      <c r="H730" s="14" t="n">
        <v>0.038</v>
      </c>
      <c r="I730" s="5" t="inlineStr">
        <is>
          <t>KG</t>
        </is>
      </c>
      <c r="J730" s="4">
        <f>IFERROR(VLOOKUP(F730,'Base Insumos'!$A:$C,3,FALSE()),"PENDENTE")</f>
        <v/>
      </c>
      <c r="K730" s="4">
        <f>IFERROR(IF(J730="PENDENTE",0,J730*H730),0)</f>
        <v/>
      </c>
      <c r="L730" s="4" t="n">
        <v>39.9</v>
      </c>
      <c r="M730" s="15">
        <f>IFERROR(K730/L730,0)</f>
        <v/>
      </c>
      <c r="N730" s="3" t="n"/>
    </row>
    <row r="731" ht="15" customHeight="1">
      <c r="A731" s="16" t="inlineStr">
        <is>
          <t>Delivery</t>
        </is>
      </c>
      <c r="B731" s="17" t="inlineStr">
        <is>
          <t>Delivery</t>
        </is>
      </c>
      <c r="C731" s="18" t="inlineStr">
        <is>
          <t>Prato Feito Quintal</t>
        </is>
      </c>
      <c r="D731" s="6">
        <f>IF(ISERROR(VLOOKUP(E731,'Estrutura Protheus'!A:A,1,FALSE)),"Não","Sim")</f>
        <v/>
      </c>
      <c r="E731" s="9" t="inlineStr">
        <is>
          <t>002216</t>
        </is>
      </c>
      <c r="F731" s="9" t="inlineStr">
        <is>
          <t>000426</t>
        </is>
      </c>
      <c r="G731" s="7" t="inlineStr">
        <is>
          <t>Bacon em Cubos</t>
        </is>
      </c>
      <c r="H731" s="19" t="n">
        <v>0.008</v>
      </c>
      <c r="I731" s="9" t="inlineStr">
        <is>
          <t>KG</t>
        </is>
      </c>
      <c r="J731" s="8">
        <f>IFERROR(VLOOKUP(F731,'Base Insumos'!$A:$C,3,FALSE()),"PENDENTE")</f>
        <v/>
      </c>
      <c r="K731" s="8">
        <f>IFERROR(IF(J731="PENDENTE",0,J731*H731),0)</f>
        <v/>
      </c>
      <c r="L731" s="8" t="n">
        <v>39.9</v>
      </c>
      <c r="M731" s="20">
        <f>IFERROR(K731/L731,0)</f>
        <v/>
      </c>
      <c r="N731" s="7" t="n"/>
    </row>
    <row r="732" ht="15" customHeight="1">
      <c r="A732" s="11" t="inlineStr">
        <is>
          <t>Delivery</t>
        </is>
      </c>
      <c r="B732" s="12" t="inlineStr">
        <is>
          <t>Delivery</t>
        </is>
      </c>
      <c r="C732" s="13" t="inlineStr">
        <is>
          <t>Prato Feito Quintal</t>
        </is>
      </c>
      <c r="D732" s="2">
        <f>IF(ISERROR(VLOOKUP(E732,'Estrutura Protheus'!A:A,1,FALSE)),"Não","Sim")</f>
        <v/>
      </c>
      <c r="E732" s="5" t="inlineStr">
        <is>
          <t>002216</t>
        </is>
      </c>
      <c r="F732" s="5" t="inlineStr">
        <is>
          <t>000475</t>
        </is>
      </c>
      <c r="G732" s="3" t="inlineStr">
        <is>
          <t>Folha de Louro</t>
        </is>
      </c>
      <c r="H732" s="14" t="n">
        <v>0.0001</v>
      </c>
      <c r="I732" s="5" t="inlineStr">
        <is>
          <t>KG</t>
        </is>
      </c>
      <c r="J732" s="4">
        <f>IFERROR(VLOOKUP(F732,'Base Insumos'!$A:$C,3,FALSE()),"PENDENTE")</f>
        <v/>
      </c>
      <c r="K732" s="4">
        <f>IFERROR(IF(J732="PENDENTE",0,J732*H732),0)</f>
        <v/>
      </c>
      <c r="L732" s="4" t="n">
        <v>39.9</v>
      </c>
      <c r="M732" s="15">
        <f>IFERROR(K732/L732,0)</f>
        <v/>
      </c>
      <c r="N732" s="3" t="n"/>
    </row>
    <row r="733" ht="15" customHeight="1">
      <c r="A733" s="16" t="inlineStr">
        <is>
          <t>Delivery</t>
        </is>
      </c>
      <c r="B733" s="17" t="inlineStr">
        <is>
          <t>Delivery</t>
        </is>
      </c>
      <c r="C733" s="18" t="inlineStr">
        <is>
          <t>Prato Feito Quintal</t>
        </is>
      </c>
      <c r="D733" s="6">
        <f>IF(ISERROR(VLOOKUP(E733,'Estrutura Protheus'!A:A,1,FALSE)),"Não","Sim")</f>
        <v/>
      </c>
      <c r="E733" s="9" t="inlineStr">
        <is>
          <t>002216</t>
        </is>
      </c>
      <c r="F733" s="9" t="inlineStr">
        <is>
          <t>000463</t>
        </is>
      </c>
      <c r="G733" s="7" t="inlineStr">
        <is>
          <t>Alho Descascado</t>
        </is>
      </c>
      <c r="H733" s="19" t="n">
        <v>0.003</v>
      </c>
      <c r="I733" s="9" t="inlineStr">
        <is>
          <t>KG</t>
        </is>
      </c>
      <c r="J733" s="8">
        <f>IFERROR(VLOOKUP(F733,'Base Insumos'!$A:$C,3,FALSE()),"PENDENTE")</f>
        <v/>
      </c>
      <c r="K733" s="8">
        <f>IFERROR(IF(J733="PENDENTE",0,J733*H733),0)</f>
        <v/>
      </c>
      <c r="L733" s="8" t="n">
        <v>39.9</v>
      </c>
      <c r="M733" s="20">
        <f>IFERROR(K733/L733,0)</f>
        <v/>
      </c>
      <c r="N733" s="7" t="n"/>
    </row>
    <row r="734" ht="15" customHeight="1">
      <c r="A734" s="11" t="inlineStr">
        <is>
          <t>Delivery</t>
        </is>
      </c>
      <c r="B734" s="12" t="inlineStr">
        <is>
          <t>Delivery</t>
        </is>
      </c>
      <c r="C734" s="13" t="inlineStr">
        <is>
          <t>Prato Feito Quintal</t>
        </is>
      </c>
      <c r="D734" s="2">
        <f>IF(ISERROR(VLOOKUP(E734,'Estrutura Protheus'!A:A,1,FALSE)),"Não","Sim")</f>
        <v/>
      </c>
      <c r="E734" s="5" t="inlineStr">
        <is>
          <t>002216</t>
        </is>
      </c>
      <c r="F734" s="5" t="inlineStr">
        <is>
          <t>000468</t>
        </is>
      </c>
      <c r="G734" s="3" t="inlineStr">
        <is>
          <t>Cebola Media</t>
        </is>
      </c>
      <c r="H734" s="14" t="n">
        <v>0.0003</v>
      </c>
      <c r="I734" s="5" t="inlineStr">
        <is>
          <t>KG</t>
        </is>
      </c>
      <c r="J734" s="4">
        <f>IFERROR(VLOOKUP(F734,'Base Insumos'!$A:$C,3,FALSE()),"PENDENTE")</f>
        <v/>
      </c>
      <c r="K734" s="4">
        <f>IFERROR(IF(J734="PENDENTE",0,J734*H734),0)</f>
        <v/>
      </c>
      <c r="L734" s="4" t="n">
        <v>39.9</v>
      </c>
      <c r="M734" s="15">
        <f>IFERROR(K734/L734,0)</f>
        <v/>
      </c>
      <c r="N734" s="3" t="n"/>
    </row>
    <row r="735" ht="15" customHeight="1">
      <c r="A735" s="16" t="inlineStr">
        <is>
          <t>Delivery</t>
        </is>
      </c>
      <c r="B735" s="17" t="inlineStr">
        <is>
          <t>Delivery</t>
        </is>
      </c>
      <c r="C735" s="18" t="inlineStr">
        <is>
          <t>Prato Feito Quintal</t>
        </is>
      </c>
      <c r="D735" s="6">
        <f>IF(ISERROR(VLOOKUP(E735,'Estrutura Protheus'!A:A,1,FALSE)),"Não","Sim")</f>
        <v/>
      </c>
      <c r="E735" s="9" t="inlineStr">
        <is>
          <t>002216</t>
        </is>
      </c>
      <c r="F735" s="9" t="inlineStr">
        <is>
          <t>000412</t>
        </is>
      </c>
      <c r="G735" s="7" t="inlineStr">
        <is>
          <t>Oleo de Soja Liza 900ml</t>
        </is>
      </c>
      <c r="H735" s="19" t="n">
        <v>0.003</v>
      </c>
      <c r="I735" s="9" t="inlineStr">
        <is>
          <t>LT</t>
        </is>
      </c>
      <c r="J735" s="8">
        <f>IFERROR(VLOOKUP(F735,'Base Insumos'!$A:$C,3,FALSE()),"PENDENTE")</f>
        <v/>
      </c>
      <c r="K735" s="8">
        <f>IFERROR(IF(J735="PENDENTE",0,J735*H735),0)</f>
        <v/>
      </c>
      <c r="L735" s="8" t="n">
        <v>39.9</v>
      </c>
      <c r="M735" s="20">
        <f>IFERROR(K735/L735,0)</f>
        <v/>
      </c>
      <c r="N735" s="7" t="n"/>
    </row>
    <row r="736" ht="15" customHeight="1">
      <c r="A736" s="11" t="inlineStr">
        <is>
          <t>Delivery</t>
        </is>
      </c>
      <c r="B736" s="12" t="inlineStr">
        <is>
          <t>Delivery</t>
        </is>
      </c>
      <c r="C736" s="13" t="inlineStr">
        <is>
          <t>Prato Feito Quintal</t>
        </is>
      </c>
      <c r="D736" s="2">
        <f>IF(ISERROR(VLOOKUP(E736,'Estrutura Protheus'!A:A,1,FALSE)),"Não","Sim")</f>
        <v/>
      </c>
      <c r="E736" s="5" t="inlineStr">
        <is>
          <t>002216</t>
        </is>
      </c>
      <c r="F736" s="5" t="inlineStr">
        <is>
          <t>002067</t>
        </is>
      </c>
      <c r="G736" s="3" t="inlineStr">
        <is>
          <t>Farinha Panko Empanar</t>
        </is>
      </c>
      <c r="H736" s="14" t="n">
        <v>0.02</v>
      </c>
      <c r="I736" s="5" t="inlineStr">
        <is>
          <t>KG</t>
        </is>
      </c>
      <c r="J736" s="4">
        <f>IFERROR(VLOOKUP(F736,'Base Insumos'!$A:$C,3,FALSE()),"PENDENTE")</f>
        <v/>
      </c>
      <c r="K736" s="4">
        <f>IFERROR(IF(J736="PENDENTE",0,J736*H736),0)</f>
        <v/>
      </c>
      <c r="L736" s="4" t="n">
        <v>39.9</v>
      </c>
      <c r="M736" s="15">
        <f>IFERROR(K736/L736,0)</f>
        <v/>
      </c>
      <c r="N736" s="3" t="n"/>
    </row>
    <row r="737" ht="15" customHeight="1">
      <c r="A737" s="16" t="inlineStr">
        <is>
          <t>Delivery</t>
        </is>
      </c>
      <c r="B737" s="17" t="inlineStr">
        <is>
          <t>Delivery</t>
        </is>
      </c>
      <c r="C737" s="18" t="inlineStr">
        <is>
          <t>Prato Feito Quintal</t>
        </is>
      </c>
      <c r="D737" s="6">
        <f>IF(ISERROR(VLOOKUP(E737,'Estrutura Protheus'!A:A,1,FALSE)),"Não","Sim")</f>
        <v/>
      </c>
      <c r="E737" s="9" t="inlineStr">
        <is>
          <t>002216</t>
        </is>
      </c>
      <c r="F737" s="9" t="inlineStr">
        <is>
          <t>000426</t>
        </is>
      </c>
      <c r="G737" s="7" t="inlineStr">
        <is>
          <t>Bacon em Cubos</t>
        </is>
      </c>
      <c r="H737" s="19" t="n">
        <v>0.004</v>
      </c>
      <c r="I737" s="9" t="inlineStr">
        <is>
          <t>KG</t>
        </is>
      </c>
      <c r="J737" s="8">
        <f>IFERROR(VLOOKUP(F737,'Base Insumos'!$A:$C,3,FALSE()),"PENDENTE")</f>
        <v/>
      </c>
      <c r="K737" s="8">
        <f>IFERROR(IF(J737="PENDENTE",0,J737*H737),0)</f>
        <v/>
      </c>
      <c r="L737" s="8" t="n">
        <v>39.9</v>
      </c>
      <c r="M737" s="20">
        <f>IFERROR(K737/L737,0)</f>
        <v/>
      </c>
      <c r="N737" s="7" t="n"/>
    </row>
    <row r="738" ht="15" customHeight="1">
      <c r="A738" s="11" t="inlineStr">
        <is>
          <t>Delivery</t>
        </is>
      </c>
      <c r="B738" s="12" t="inlineStr">
        <is>
          <t>Delivery</t>
        </is>
      </c>
      <c r="C738" s="13" t="inlineStr">
        <is>
          <t>Prato Feito Quintal</t>
        </is>
      </c>
      <c r="D738" s="2">
        <f>IF(ISERROR(VLOOKUP(E738,'Estrutura Protheus'!A:A,1,FALSE)),"Não","Sim")</f>
        <v/>
      </c>
      <c r="E738" s="5" t="inlineStr">
        <is>
          <t>002216</t>
        </is>
      </c>
      <c r="F738" s="5" t="inlineStr">
        <is>
          <t>002070</t>
        </is>
      </c>
      <c r="G738" s="3" t="inlineStr">
        <is>
          <t>Alho Poro</t>
        </is>
      </c>
      <c r="H738" s="14" t="n">
        <v>0.004</v>
      </c>
      <c r="I738" s="5" t="inlineStr">
        <is>
          <t>KG</t>
        </is>
      </c>
      <c r="J738" s="4">
        <f>IFERROR(VLOOKUP(F738,'Base Insumos'!$A:$C,3,FALSE()),"PENDENTE")</f>
        <v/>
      </c>
      <c r="K738" s="4">
        <f>IFERROR(IF(J738="PENDENTE",0,J738*H738),0)</f>
        <v/>
      </c>
      <c r="L738" s="4" t="n">
        <v>39.9</v>
      </c>
      <c r="M738" s="15">
        <f>IFERROR(K738/L738,0)</f>
        <v/>
      </c>
      <c r="N738" s="3" t="n"/>
    </row>
    <row r="739" ht="15" customHeight="1">
      <c r="A739" s="16" t="inlineStr">
        <is>
          <t>Delivery</t>
        </is>
      </c>
      <c r="B739" s="17" t="inlineStr">
        <is>
          <t>Delivery</t>
        </is>
      </c>
      <c r="C739" s="18" t="inlineStr">
        <is>
          <t>Prato Feito Quintal</t>
        </is>
      </c>
      <c r="D739" s="6">
        <f>IF(ISERROR(VLOOKUP(E739,'Estrutura Protheus'!A:A,1,FALSE)),"Não","Sim")</f>
        <v/>
      </c>
      <c r="E739" s="9" t="inlineStr">
        <is>
          <t>002216</t>
        </is>
      </c>
      <c r="F739" s="9" t="inlineStr">
        <is>
          <t>000667</t>
        </is>
      </c>
      <c r="G739" s="7" t="inlineStr">
        <is>
          <t>Tomilho</t>
        </is>
      </c>
      <c r="H739" s="19" t="n">
        <v>0.0005999999999999999</v>
      </c>
      <c r="I739" s="9" t="inlineStr">
        <is>
          <t>KG</t>
        </is>
      </c>
      <c r="J739" s="8">
        <f>IFERROR(VLOOKUP(F739,'Base Insumos'!$A:$C,3,FALSE()),"PENDENTE")</f>
        <v/>
      </c>
      <c r="K739" s="8">
        <f>IFERROR(IF(J739="PENDENTE",0,J739*H739),0)</f>
        <v/>
      </c>
      <c r="L739" s="8" t="n">
        <v>39.9</v>
      </c>
      <c r="M739" s="20">
        <f>IFERROR(K739/L739,0)</f>
        <v/>
      </c>
      <c r="N739" s="7" t="n"/>
    </row>
    <row r="740" ht="15" customHeight="1">
      <c r="A740" s="11" t="inlineStr">
        <is>
          <t>Delivery</t>
        </is>
      </c>
      <c r="B740" s="12" t="inlineStr">
        <is>
          <t>Delivery</t>
        </is>
      </c>
      <c r="C740" s="13" t="inlineStr">
        <is>
          <t>Prato Feito Quintal</t>
        </is>
      </c>
      <c r="D740" s="2">
        <f>IF(ISERROR(VLOOKUP(E740,'Estrutura Protheus'!A:A,1,FALSE)),"Não","Sim")</f>
        <v/>
      </c>
      <c r="E740" s="5" t="inlineStr">
        <is>
          <t>002216</t>
        </is>
      </c>
      <c r="F740" s="5" t="inlineStr">
        <is>
          <t>000668</t>
        </is>
      </c>
      <c r="G740" s="3" t="inlineStr">
        <is>
          <t>Alecrim</t>
        </is>
      </c>
      <c r="H740" s="14" t="n">
        <v>0.001</v>
      </c>
      <c r="I740" s="5" t="inlineStr">
        <is>
          <t>KG</t>
        </is>
      </c>
      <c r="J740" s="4">
        <f>IFERROR(VLOOKUP(F740,'Base Insumos'!$A:$C,3,FALSE()),"PENDENTE")</f>
        <v/>
      </c>
      <c r="K740" s="4">
        <f>IFERROR(IF(J740="PENDENTE",0,J740*H740),0)</f>
        <v/>
      </c>
      <c r="L740" s="4" t="n">
        <v>39.9</v>
      </c>
      <c r="M740" s="15">
        <f>IFERROR(K740/L740,0)</f>
        <v/>
      </c>
      <c r="N740" s="3" t="n"/>
    </row>
    <row r="741" ht="15" customHeight="1">
      <c r="A741" s="16" t="inlineStr">
        <is>
          <t>Delivery</t>
        </is>
      </c>
      <c r="B741" s="17" t="inlineStr">
        <is>
          <t>Delivery</t>
        </is>
      </c>
      <c r="C741" s="18" t="inlineStr">
        <is>
          <t>Prato Feito Quintal</t>
        </is>
      </c>
      <c r="D741" s="6">
        <f>IF(ISERROR(VLOOKUP(E741,'Estrutura Protheus'!A:A,1,FALSE)),"Não","Sim")</f>
        <v/>
      </c>
      <c r="E741" s="9" t="inlineStr">
        <is>
          <t>002216</t>
        </is>
      </c>
      <c r="F741" s="9" t="inlineStr">
        <is>
          <t>002068</t>
        </is>
      </c>
      <c r="G741" s="7" t="inlineStr">
        <is>
          <t>Manteiga S/sal 5kg</t>
        </is>
      </c>
      <c r="H741" s="19" t="n">
        <v>0.004</v>
      </c>
      <c r="I741" s="9" t="inlineStr">
        <is>
          <t>KG</t>
        </is>
      </c>
      <c r="J741" s="8">
        <f>IFERROR(VLOOKUP(F741,'Base Insumos'!$A:$C,3,FALSE()),"PENDENTE")</f>
        <v/>
      </c>
      <c r="K741" s="8">
        <f>IFERROR(IF(J741="PENDENTE",0,J741*H741),0)</f>
        <v/>
      </c>
      <c r="L741" s="8" t="n">
        <v>39.9</v>
      </c>
      <c r="M741" s="20">
        <f>IFERROR(K741/L741,0)</f>
        <v/>
      </c>
      <c r="N741" s="7" t="n"/>
    </row>
    <row r="742" ht="15" customHeight="1">
      <c r="A742" s="11" t="inlineStr">
        <is>
          <t>Delivery</t>
        </is>
      </c>
      <c r="B742" s="12" t="inlineStr">
        <is>
          <t>Delivery</t>
        </is>
      </c>
      <c r="C742" s="13" t="inlineStr">
        <is>
          <t>Prato Feito Quintal</t>
        </is>
      </c>
      <c r="D742" s="2">
        <f>IF(ISERROR(VLOOKUP(E742,'Estrutura Protheus'!A:A,1,FALSE)),"Não","Sim")</f>
        <v/>
      </c>
      <c r="E742" s="5" t="inlineStr">
        <is>
          <t>002216</t>
        </is>
      </c>
      <c r="F742" s="5" t="inlineStr">
        <is>
          <t>000390</t>
        </is>
      </c>
      <c r="G742" s="3" t="inlineStr">
        <is>
          <t>Farinha de Trigo Sol</t>
        </is>
      </c>
      <c r="H742" s="14" t="n">
        <v>0.002</v>
      </c>
      <c r="I742" s="5" t="inlineStr">
        <is>
          <t>KG</t>
        </is>
      </c>
      <c r="J742" s="4">
        <f>IFERROR(VLOOKUP(F742,'Base Insumos'!$A:$C,3,FALSE()),"PENDENTE")</f>
        <v/>
      </c>
      <c r="K742" s="4">
        <f>IFERROR(IF(J742="PENDENTE",0,J742*H742),0)</f>
        <v/>
      </c>
      <c r="L742" s="4" t="n">
        <v>39.9</v>
      </c>
      <c r="M742" s="15">
        <f>IFERROR(K742/L742,0)</f>
        <v/>
      </c>
      <c r="N742" s="3" t="n"/>
    </row>
    <row r="743" ht="15" customHeight="1">
      <c r="A743" s="16" t="inlineStr">
        <is>
          <t>Delivery</t>
        </is>
      </c>
      <c r="B743" s="17" t="inlineStr">
        <is>
          <t>Delivery</t>
        </is>
      </c>
      <c r="C743" s="18" t="inlineStr">
        <is>
          <t>Prato Feito Quintal</t>
        </is>
      </c>
      <c r="D743" s="6">
        <f>IF(ISERROR(VLOOKUP(E743,'Estrutura Protheus'!A:A,1,FALSE)),"Não","Sim")</f>
        <v/>
      </c>
      <c r="E743" s="9" t="inlineStr">
        <is>
          <t>002216</t>
        </is>
      </c>
      <c r="F743" s="9" t="inlineStr">
        <is>
          <t>000331</t>
        </is>
      </c>
      <c r="G743" s="7" t="inlineStr">
        <is>
          <t>Barril Chopp Brahma Claro 50lt</t>
        </is>
      </c>
      <c r="H743" s="19" t="n">
        <v>0.003</v>
      </c>
      <c r="I743" s="9" t="inlineStr">
        <is>
          <t>LT</t>
        </is>
      </c>
      <c r="J743" s="8">
        <f>IFERROR(VLOOKUP(F743,'Base Insumos'!$A:$C,3,FALSE()),"PENDENTE")</f>
        <v/>
      </c>
      <c r="K743" s="8">
        <f>IFERROR(IF(J743="PENDENTE",0,J743*H743),0)</f>
        <v/>
      </c>
      <c r="L743" s="8" t="n">
        <v>39.9</v>
      </c>
      <c r="M743" s="20">
        <f>IFERROR(K743/L743,0)</f>
        <v/>
      </c>
      <c r="N743" s="7" t="n"/>
    </row>
    <row r="744" ht="15" customHeight="1">
      <c r="A744" s="11" t="inlineStr">
        <is>
          <t>Delivery</t>
        </is>
      </c>
      <c r="B744" s="12" t="inlineStr">
        <is>
          <t>Delivery</t>
        </is>
      </c>
      <c r="C744" s="13" t="inlineStr">
        <is>
          <t>Prato Feito Quintal</t>
        </is>
      </c>
      <c r="D744" s="2">
        <f>IF(ISERROR(VLOOKUP(E744,'Estrutura Protheus'!A:A,1,FALSE)),"Não","Sim")</f>
        <v/>
      </c>
      <c r="E744" s="5" t="inlineStr">
        <is>
          <t>002216</t>
        </is>
      </c>
      <c r="F744" s="5" t="inlineStr">
        <is>
          <t>000614</t>
        </is>
      </c>
      <c r="G744" s="3" t="inlineStr">
        <is>
          <t>Sal Refinado</t>
        </is>
      </c>
      <c r="H744" s="14" t="n">
        <v>0.0002</v>
      </c>
      <c r="I744" s="5" t="inlineStr">
        <is>
          <t>KG</t>
        </is>
      </c>
      <c r="J744" s="4">
        <f>IFERROR(VLOOKUP(F744,'Base Insumos'!$A:$C,3,FALSE()),"PENDENTE")</f>
        <v/>
      </c>
      <c r="K744" s="4">
        <f>IFERROR(IF(J744="PENDENTE",0,J744*H744),0)</f>
        <v/>
      </c>
      <c r="L744" s="4" t="n">
        <v>39.9</v>
      </c>
      <c r="M744" s="15">
        <f>IFERROR(K744/L744,0)</f>
        <v/>
      </c>
      <c r="N744" s="3" t="n"/>
    </row>
    <row r="745" ht="15" customHeight="1">
      <c r="A745" s="16" t="inlineStr">
        <is>
          <t>Delivery</t>
        </is>
      </c>
      <c r="B745" s="17" t="inlineStr">
        <is>
          <t>Delivery</t>
        </is>
      </c>
      <c r="C745" s="18" t="inlineStr">
        <is>
          <t>Prato Feito Quintal</t>
        </is>
      </c>
      <c r="D745" s="6">
        <f>IF(ISERROR(VLOOKUP(E745,'Estrutura Protheus'!A:A,1,FALSE)),"Não","Sim")</f>
        <v/>
      </c>
      <c r="E745" s="9" t="inlineStr">
        <is>
          <t>002216</t>
        </is>
      </c>
      <c r="F745" s="9" t="inlineStr">
        <is>
          <t>000414</t>
        </is>
      </c>
      <c r="G745" s="7" t="inlineStr">
        <is>
          <t>Pimenta do Reino Moida</t>
        </is>
      </c>
      <c r="H745" s="19" t="n">
        <v>6e-05</v>
      </c>
      <c r="I745" s="9" t="inlineStr">
        <is>
          <t>KG</t>
        </is>
      </c>
      <c r="J745" s="8">
        <f>IFERROR(VLOOKUP(F745,'Base Insumos'!$A:$C,3,FALSE()),"PENDENTE")</f>
        <v/>
      </c>
      <c r="K745" s="8">
        <f>IFERROR(IF(J745="PENDENTE",0,J745*H745),0)</f>
        <v/>
      </c>
      <c r="L745" s="8" t="n">
        <v>39.9</v>
      </c>
      <c r="M745" s="20">
        <f>IFERROR(K745/L745,0)</f>
        <v/>
      </c>
      <c r="N745" s="7" t="n"/>
    </row>
    <row r="746" ht="15" customHeight="1">
      <c r="A746" s="11" t="inlineStr">
        <is>
          <t>Delivery</t>
        </is>
      </c>
      <c r="B746" s="12" t="inlineStr">
        <is>
          <t>Delivery</t>
        </is>
      </c>
      <c r="C746" s="13" t="inlineStr">
        <is>
          <t>Executivo</t>
        </is>
      </c>
      <c r="D746" s="2">
        <f>IF(ISERROR(VLOOKUP(E746,'Estrutura Protheus'!A:A,1,FALSE)),"Não","Sim")</f>
        <v/>
      </c>
      <c r="E746" s="5" t="inlineStr">
        <is>
          <t>009594</t>
        </is>
      </c>
      <c r="F746" s="5" t="inlineStr">
        <is>
          <t>000286</t>
        </is>
      </c>
      <c r="G746" s="3" t="inlineStr">
        <is>
          <t>Espeto Bovino</t>
        </is>
      </c>
      <c r="H746" s="14" t="n">
        <v>2</v>
      </c>
      <c r="I746" s="5" t="inlineStr">
        <is>
          <t>UN</t>
        </is>
      </c>
      <c r="J746" s="4">
        <f>IFERROR(VLOOKUP(F746,'Base Insumos'!$A:$C,3,FALSE()),"PENDENTE")</f>
        <v/>
      </c>
      <c r="K746" s="4">
        <f>IFERROR(IF(J746="PENDENTE",0,J746*H746),0)</f>
        <v/>
      </c>
      <c r="L746" s="4" t="n">
        <v>39.9</v>
      </c>
      <c r="M746" s="15">
        <f>IFERROR(K746/L746,0)</f>
        <v/>
      </c>
      <c r="N746" s="3" t="n"/>
    </row>
    <row r="747" ht="15" customHeight="1">
      <c r="A747" s="16" t="inlineStr">
        <is>
          <t>Delivery</t>
        </is>
      </c>
      <c r="B747" s="17" t="inlineStr">
        <is>
          <t>Delivery</t>
        </is>
      </c>
      <c r="C747" s="18" t="inlineStr">
        <is>
          <t>Executivo</t>
        </is>
      </c>
      <c r="D747" s="6">
        <f>IF(ISERROR(VLOOKUP(E747,'Estrutura Protheus'!A:A,1,FALSE)),"Não","Sim")</f>
        <v/>
      </c>
      <c r="E747" s="9" t="inlineStr">
        <is>
          <t>009594</t>
        </is>
      </c>
      <c r="F747" s="9" t="inlineStr">
        <is>
          <t>000377</t>
        </is>
      </c>
      <c r="G747" s="7" t="inlineStr">
        <is>
          <t>Arroz Tipo 1</t>
        </is>
      </c>
      <c r="H747" s="19" t="n">
        <v>0.15</v>
      </c>
      <c r="I747" s="9" t="inlineStr">
        <is>
          <t>KG</t>
        </is>
      </c>
      <c r="J747" s="8">
        <f>IFERROR(VLOOKUP(F747,'Base Insumos'!$A:$C,3,FALSE()),"PENDENTE")</f>
        <v/>
      </c>
      <c r="K747" s="8">
        <f>IFERROR(IF(J747="PENDENTE",0,J747*H747),0)</f>
        <v/>
      </c>
      <c r="L747" s="8" t="n">
        <v>39.9</v>
      </c>
      <c r="M747" s="20">
        <f>IFERROR(K747/L747,0)</f>
        <v/>
      </c>
      <c r="N747" s="7" t="n"/>
    </row>
    <row r="748" ht="15" customHeight="1">
      <c r="A748" s="11" t="inlineStr">
        <is>
          <t>Delivery</t>
        </is>
      </c>
      <c r="B748" s="12" t="inlineStr">
        <is>
          <t>Delivery</t>
        </is>
      </c>
      <c r="C748" s="13" t="inlineStr">
        <is>
          <t>Executivo</t>
        </is>
      </c>
      <c r="D748" s="2">
        <f>IF(ISERROR(VLOOKUP(E748,'Estrutura Protheus'!A:A,1,FALSE)),"Não","Sim")</f>
        <v/>
      </c>
      <c r="E748" s="5" t="inlineStr">
        <is>
          <t>009594</t>
        </is>
      </c>
      <c r="F748" s="5" t="inlineStr">
        <is>
          <t>000412</t>
        </is>
      </c>
      <c r="G748" s="3" t="inlineStr">
        <is>
          <t>Oleo de Soja Liza 900ml</t>
        </is>
      </c>
      <c r="H748" s="14" t="n">
        <v>0.059</v>
      </c>
      <c r="I748" s="5" t="inlineStr">
        <is>
          <t>LT</t>
        </is>
      </c>
      <c r="J748" s="4">
        <f>IFERROR(VLOOKUP(F748,'Base Insumos'!$A:$C,3,FALSE()),"PENDENTE")</f>
        <v/>
      </c>
      <c r="K748" s="4">
        <f>IFERROR(IF(J748="PENDENTE",0,J748*H748),0)</f>
        <v/>
      </c>
      <c r="L748" s="4" t="n">
        <v>39.9</v>
      </c>
      <c r="M748" s="15">
        <f>IFERROR(K748/L748,0)</f>
        <v/>
      </c>
      <c r="N748" s="3" t="n"/>
    </row>
    <row r="749" ht="15" customHeight="1">
      <c r="A749" s="16" t="inlineStr">
        <is>
          <t>Delivery</t>
        </is>
      </c>
      <c r="B749" s="17" t="inlineStr">
        <is>
          <t>Delivery</t>
        </is>
      </c>
      <c r="C749" s="18" t="inlineStr">
        <is>
          <t>Executivo</t>
        </is>
      </c>
      <c r="D749" s="6">
        <f>IF(ISERROR(VLOOKUP(E749,'Estrutura Protheus'!A:A,1,FALSE)),"Não","Sim")</f>
        <v/>
      </c>
      <c r="E749" s="9" t="inlineStr">
        <is>
          <t>009594</t>
        </is>
      </c>
      <c r="F749" s="9" t="inlineStr">
        <is>
          <t>000614</t>
        </is>
      </c>
      <c r="G749" s="7" t="inlineStr">
        <is>
          <t>Sal Refinado</t>
        </is>
      </c>
      <c r="H749" s="19" t="n">
        <v>0.003</v>
      </c>
      <c r="I749" s="9" t="inlineStr">
        <is>
          <t>KG</t>
        </is>
      </c>
      <c r="J749" s="8">
        <f>IFERROR(VLOOKUP(F749,'Base Insumos'!$A:$C,3,FALSE()),"PENDENTE")</f>
        <v/>
      </c>
      <c r="K749" s="8">
        <f>IFERROR(IF(J749="PENDENTE",0,J749*H749),0)</f>
        <v/>
      </c>
      <c r="L749" s="8" t="n">
        <v>39.9</v>
      </c>
      <c r="M749" s="20">
        <f>IFERROR(K749/L749,0)</f>
        <v/>
      </c>
      <c r="N749" s="7" t="n"/>
    </row>
    <row r="750" ht="15" customHeight="1">
      <c r="A750" s="11" t="inlineStr">
        <is>
          <t>Delivery</t>
        </is>
      </c>
      <c r="B750" s="12" t="inlineStr">
        <is>
          <t>Delivery</t>
        </is>
      </c>
      <c r="C750" s="13" t="inlineStr">
        <is>
          <t>Executivo</t>
        </is>
      </c>
      <c r="D750" s="2">
        <f>IF(ISERROR(VLOOKUP(E750,'Estrutura Protheus'!A:A,1,FALSE)),"Não","Sim")</f>
        <v/>
      </c>
      <c r="E750" s="5" t="inlineStr">
        <is>
          <t>009594</t>
        </is>
      </c>
      <c r="F750" s="5" t="inlineStr">
        <is>
          <t>000475</t>
        </is>
      </c>
      <c r="G750" s="3" t="inlineStr">
        <is>
          <t>Folha de Louro</t>
        </is>
      </c>
      <c r="H750" s="14" t="n">
        <v>0.002</v>
      </c>
      <c r="I750" s="5" t="inlineStr">
        <is>
          <t>KG</t>
        </is>
      </c>
      <c r="J750" s="4">
        <f>IFERROR(VLOOKUP(F750,'Base Insumos'!$A:$C,3,FALSE()),"PENDENTE")</f>
        <v/>
      </c>
      <c r="K750" s="4">
        <f>IFERROR(IF(J750="PENDENTE",0,J750*H750),0)</f>
        <v/>
      </c>
      <c r="L750" s="4" t="n">
        <v>39.9</v>
      </c>
      <c r="M750" s="15">
        <f>IFERROR(K750/L750,0)</f>
        <v/>
      </c>
      <c r="N750" s="3" t="n"/>
    </row>
    <row r="751" ht="15" customHeight="1">
      <c r="A751" s="16" t="inlineStr">
        <is>
          <t>Delivery</t>
        </is>
      </c>
      <c r="B751" s="17" t="inlineStr">
        <is>
          <t>Delivery</t>
        </is>
      </c>
      <c r="C751" s="18" t="inlineStr">
        <is>
          <t>Executivo</t>
        </is>
      </c>
      <c r="D751" s="6">
        <f>IF(ISERROR(VLOOKUP(E751,'Estrutura Protheus'!A:A,1,FALSE)),"Não","Sim")</f>
        <v/>
      </c>
      <c r="E751" s="9" t="inlineStr">
        <is>
          <t>009594</t>
        </is>
      </c>
      <c r="F751" s="9" t="inlineStr">
        <is>
          <t>002068</t>
        </is>
      </c>
      <c r="G751" s="7" t="inlineStr">
        <is>
          <t>Manteiga S/sal 5kg</t>
        </is>
      </c>
      <c r="H751" s="19" t="n">
        <v>0.005</v>
      </c>
      <c r="I751" s="9" t="inlineStr">
        <is>
          <t>KG</t>
        </is>
      </c>
      <c r="J751" s="8">
        <f>IFERROR(VLOOKUP(F751,'Base Insumos'!$A:$C,3,FALSE()),"PENDENTE")</f>
        <v/>
      </c>
      <c r="K751" s="8">
        <f>IFERROR(IF(J751="PENDENTE",0,J751*H751),0)</f>
        <v/>
      </c>
      <c r="L751" s="8" t="n">
        <v>39.9</v>
      </c>
      <c r="M751" s="20">
        <f>IFERROR(K751/L751,0)</f>
        <v/>
      </c>
      <c r="N751" s="7" t="n"/>
    </row>
    <row r="752" ht="15" customHeight="1">
      <c r="A752" s="11" t="inlineStr">
        <is>
          <t>Delivery</t>
        </is>
      </c>
      <c r="B752" s="12" t="inlineStr">
        <is>
          <t>Delivery</t>
        </is>
      </c>
      <c r="C752" s="13" t="inlineStr">
        <is>
          <t>Executivo</t>
        </is>
      </c>
      <c r="D752" s="2">
        <f>IF(ISERROR(VLOOKUP(E752,'Estrutura Protheus'!A:A,1,FALSE)),"Não","Sim")</f>
        <v/>
      </c>
      <c r="E752" s="5" t="inlineStr">
        <is>
          <t>009594</t>
        </is>
      </c>
      <c r="F752" s="5" t="inlineStr">
        <is>
          <t>000392</t>
        </is>
      </c>
      <c r="G752" s="3" t="inlineStr">
        <is>
          <t>Feijao Carioca</t>
        </is>
      </c>
      <c r="H752" s="14" t="n">
        <v>0.038</v>
      </c>
      <c r="I752" s="5" t="inlineStr">
        <is>
          <t>KG</t>
        </is>
      </c>
      <c r="J752" s="4">
        <f>IFERROR(VLOOKUP(F752,'Base Insumos'!$A:$C,3,FALSE()),"PENDENTE")</f>
        <v/>
      </c>
      <c r="K752" s="4">
        <f>IFERROR(IF(J752="PENDENTE",0,J752*H752),0)</f>
        <v/>
      </c>
      <c r="L752" s="4" t="n">
        <v>39.9</v>
      </c>
      <c r="M752" s="15">
        <f>IFERROR(K752/L752,0)</f>
        <v/>
      </c>
      <c r="N752" s="3" t="n"/>
    </row>
    <row r="753" ht="15" customHeight="1">
      <c r="A753" s="16" t="inlineStr">
        <is>
          <t>Delivery</t>
        </is>
      </c>
      <c r="B753" s="17" t="inlineStr">
        <is>
          <t>Delivery</t>
        </is>
      </c>
      <c r="C753" s="18" t="inlineStr">
        <is>
          <t>Executivo</t>
        </is>
      </c>
      <c r="D753" s="6">
        <f>IF(ISERROR(VLOOKUP(E753,'Estrutura Protheus'!A:A,1,FALSE)),"Não","Sim")</f>
        <v/>
      </c>
      <c r="E753" s="9" t="inlineStr">
        <is>
          <t>009594</t>
        </is>
      </c>
      <c r="F753" s="9" t="inlineStr">
        <is>
          <t>000426</t>
        </is>
      </c>
      <c r="G753" s="7" t="inlineStr">
        <is>
          <t>Bacon em Cubos</t>
        </is>
      </c>
      <c r="H753" s="19" t="n">
        <v>0.008</v>
      </c>
      <c r="I753" s="9" t="inlineStr">
        <is>
          <t>KG</t>
        </is>
      </c>
      <c r="J753" s="8">
        <f>IFERROR(VLOOKUP(F753,'Base Insumos'!$A:$C,3,FALSE()),"PENDENTE")</f>
        <v/>
      </c>
      <c r="K753" s="8">
        <f>IFERROR(IF(J753="PENDENTE",0,J753*H753),0)</f>
        <v/>
      </c>
      <c r="L753" s="8" t="n">
        <v>39.9</v>
      </c>
      <c r="M753" s="20">
        <f>IFERROR(K753/L753,0)</f>
        <v/>
      </c>
      <c r="N753" s="7" t="n"/>
    </row>
    <row r="754" ht="15" customHeight="1">
      <c r="A754" s="11" t="inlineStr">
        <is>
          <t>Delivery</t>
        </is>
      </c>
      <c r="B754" s="12" t="inlineStr">
        <is>
          <t>Delivery</t>
        </is>
      </c>
      <c r="C754" s="13" t="inlineStr">
        <is>
          <t>Executivo</t>
        </is>
      </c>
      <c r="D754" s="2">
        <f>IF(ISERROR(VLOOKUP(E754,'Estrutura Protheus'!A:A,1,FALSE)),"Não","Sim")</f>
        <v/>
      </c>
      <c r="E754" s="5" t="inlineStr">
        <is>
          <t>009594</t>
        </is>
      </c>
      <c r="F754" s="5" t="inlineStr">
        <is>
          <t>000475</t>
        </is>
      </c>
      <c r="G754" s="3" t="inlineStr">
        <is>
          <t>Folha de Louro</t>
        </is>
      </c>
      <c r="H754" s="14" t="n">
        <v>0.0001</v>
      </c>
      <c r="I754" s="5" t="inlineStr">
        <is>
          <t>KG</t>
        </is>
      </c>
      <c r="J754" s="4">
        <f>IFERROR(VLOOKUP(F754,'Base Insumos'!$A:$C,3,FALSE()),"PENDENTE")</f>
        <v/>
      </c>
      <c r="K754" s="4">
        <f>IFERROR(IF(J754="PENDENTE",0,J754*H754),0)</f>
        <v/>
      </c>
      <c r="L754" s="4" t="n">
        <v>39.9</v>
      </c>
      <c r="M754" s="15">
        <f>IFERROR(K754/L754,0)</f>
        <v/>
      </c>
      <c r="N754" s="3" t="n"/>
    </row>
    <row r="755" ht="15" customHeight="1">
      <c r="A755" s="16" t="inlineStr">
        <is>
          <t>Delivery</t>
        </is>
      </c>
      <c r="B755" s="17" t="inlineStr">
        <is>
          <t>Delivery</t>
        </is>
      </c>
      <c r="C755" s="18" t="inlineStr">
        <is>
          <t>Executivo</t>
        </is>
      </c>
      <c r="D755" s="6">
        <f>IF(ISERROR(VLOOKUP(E755,'Estrutura Protheus'!A:A,1,FALSE)),"Não","Sim")</f>
        <v/>
      </c>
      <c r="E755" s="9" t="inlineStr">
        <is>
          <t>009594</t>
        </is>
      </c>
      <c r="F755" s="9" t="inlineStr">
        <is>
          <t>000463</t>
        </is>
      </c>
      <c r="G755" s="7" t="inlineStr">
        <is>
          <t>Alho Descascado</t>
        </is>
      </c>
      <c r="H755" s="19" t="n">
        <v>0.003</v>
      </c>
      <c r="I755" s="9" t="inlineStr">
        <is>
          <t>KG</t>
        </is>
      </c>
      <c r="J755" s="8">
        <f>IFERROR(VLOOKUP(F755,'Base Insumos'!$A:$C,3,FALSE()),"PENDENTE")</f>
        <v/>
      </c>
      <c r="K755" s="8">
        <f>IFERROR(IF(J755="PENDENTE",0,J755*H755),0)</f>
        <v/>
      </c>
      <c r="L755" s="8" t="n">
        <v>39.9</v>
      </c>
      <c r="M755" s="20">
        <f>IFERROR(K755/L755,0)</f>
        <v/>
      </c>
      <c r="N755" s="7" t="n"/>
    </row>
    <row r="756" ht="15" customHeight="1">
      <c r="A756" s="11" t="inlineStr">
        <is>
          <t>Delivery</t>
        </is>
      </c>
      <c r="B756" s="12" t="inlineStr">
        <is>
          <t>Delivery</t>
        </is>
      </c>
      <c r="C756" s="13" t="inlineStr">
        <is>
          <t>Executivo</t>
        </is>
      </c>
      <c r="D756" s="2">
        <f>IF(ISERROR(VLOOKUP(E756,'Estrutura Protheus'!A:A,1,FALSE)),"Não","Sim")</f>
        <v/>
      </c>
      <c r="E756" s="5" t="inlineStr">
        <is>
          <t>009594</t>
        </is>
      </c>
      <c r="F756" s="5" t="inlineStr">
        <is>
          <t>000468</t>
        </is>
      </c>
      <c r="G756" s="3" t="inlineStr">
        <is>
          <t>Cebola Media</t>
        </is>
      </c>
      <c r="H756" s="14" t="n">
        <v>0.0003</v>
      </c>
      <c r="I756" s="5" t="inlineStr">
        <is>
          <t>KG</t>
        </is>
      </c>
      <c r="J756" s="4">
        <f>IFERROR(VLOOKUP(F756,'Base Insumos'!$A:$C,3,FALSE()),"PENDENTE")</f>
        <v/>
      </c>
      <c r="K756" s="4">
        <f>IFERROR(IF(J756="PENDENTE",0,J756*H756),0)</f>
        <v/>
      </c>
      <c r="L756" s="4" t="n">
        <v>39.9</v>
      </c>
      <c r="M756" s="15">
        <f>IFERROR(K756/L756,0)</f>
        <v/>
      </c>
      <c r="N756" s="3" t="n"/>
    </row>
    <row r="757" ht="15" customHeight="1">
      <c r="A757" s="16" t="inlineStr">
        <is>
          <t>Delivery</t>
        </is>
      </c>
      <c r="B757" s="17" t="inlineStr">
        <is>
          <t>Delivery</t>
        </is>
      </c>
      <c r="C757" s="18" t="inlineStr">
        <is>
          <t>Executivo</t>
        </is>
      </c>
      <c r="D757" s="6">
        <f>IF(ISERROR(VLOOKUP(E757,'Estrutura Protheus'!A:A,1,FALSE)),"Não","Sim")</f>
        <v/>
      </c>
      <c r="E757" s="9" t="inlineStr">
        <is>
          <t>009594</t>
        </is>
      </c>
      <c r="F757" s="9" t="inlineStr">
        <is>
          <t>000412</t>
        </is>
      </c>
      <c r="G757" s="7" t="inlineStr">
        <is>
          <t>Oleo de Soja Liza 900ml</t>
        </is>
      </c>
      <c r="H757" s="19" t="n">
        <v>0.003</v>
      </c>
      <c r="I757" s="9" t="inlineStr">
        <is>
          <t>LT</t>
        </is>
      </c>
      <c r="J757" s="8">
        <f>IFERROR(VLOOKUP(F757,'Base Insumos'!$A:$C,3,FALSE()),"PENDENTE")</f>
        <v/>
      </c>
      <c r="K757" s="8">
        <f>IFERROR(IF(J757="PENDENTE",0,J757*H757),0)</f>
        <v/>
      </c>
      <c r="L757" s="8" t="n">
        <v>39.9</v>
      </c>
      <c r="M757" s="20">
        <f>IFERROR(K757/L757,0)</f>
        <v/>
      </c>
      <c r="N757" s="7" t="n"/>
    </row>
    <row r="758" ht="15" customHeight="1">
      <c r="A758" s="11" t="inlineStr">
        <is>
          <t>Delivery</t>
        </is>
      </c>
      <c r="B758" s="12" t="inlineStr">
        <is>
          <t>Delivery</t>
        </is>
      </c>
      <c r="C758" s="13" t="inlineStr">
        <is>
          <t>Executivo</t>
        </is>
      </c>
      <c r="D758" s="2">
        <f>IF(ISERROR(VLOOKUP(E758,'Estrutura Protheus'!A:A,1,FALSE)),"Não","Sim")</f>
        <v/>
      </c>
      <c r="E758" s="5" t="inlineStr">
        <is>
          <t>009594</t>
        </is>
      </c>
      <c r="F758" s="5" t="inlineStr">
        <is>
          <t>002067</t>
        </is>
      </c>
      <c r="G758" s="3" t="inlineStr">
        <is>
          <t>Farinha Panko Empanar</t>
        </is>
      </c>
      <c r="H758" s="14" t="n">
        <v>0.02</v>
      </c>
      <c r="I758" s="5" t="inlineStr">
        <is>
          <t>KG</t>
        </is>
      </c>
      <c r="J758" s="4">
        <f>IFERROR(VLOOKUP(F758,'Base Insumos'!$A:$C,3,FALSE()),"PENDENTE")</f>
        <v/>
      </c>
      <c r="K758" s="4">
        <f>IFERROR(IF(J758="PENDENTE",0,J758*H758),0)</f>
        <v/>
      </c>
      <c r="L758" s="4" t="n">
        <v>39.9</v>
      </c>
      <c r="M758" s="15">
        <f>IFERROR(K758/L758,0)</f>
        <v/>
      </c>
      <c r="N758" s="3" t="n"/>
    </row>
    <row r="759" ht="15" customHeight="1">
      <c r="A759" s="16" t="inlineStr">
        <is>
          <t>Delivery</t>
        </is>
      </c>
      <c r="B759" s="17" t="inlineStr">
        <is>
          <t>Delivery</t>
        </is>
      </c>
      <c r="C759" s="18" t="inlineStr">
        <is>
          <t>Executivo</t>
        </is>
      </c>
      <c r="D759" s="6">
        <f>IF(ISERROR(VLOOKUP(E759,'Estrutura Protheus'!A:A,1,FALSE)),"Não","Sim")</f>
        <v/>
      </c>
      <c r="E759" s="9" t="inlineStr">
        <is>
          <t>009594</t>
        </is>
      </c>
      <c r="F759" s="9" t="inlineStr">
        <is>
          <t>000426</t>
        </is>
      </c>
      <c r="G759" s="7" t="inlineStr">
        <is>
          <t>Bacon em Cubos</t>
        </is>
      </c>
      <c r="H759" s="19" t="n">
        <v>0.004</v>
      </c>
      <c r="I759" s="9" t="inlineStr">
        <is>
          <t>KG</t>
        </is>
      </c>
      <c r="J759" s="8">
        <f>IFERROR(VLOOKUP(F759,'Base Insumos'!$A:$C,3,FALSE()),"PENDENTE")</f>
        <v/>
      </c>
      <c r="K759" s="8">
        <f>IFERROR(IF(J759="PENDENTE",0,J759*H759),0)</f>
        <v/>
      </c>
      <c r="L759" s="8" t="n">
        <v>39.9</v>
      </c>
      <c r="M759" s="20">
        <f>IFERROR(K759/L759,0)</f>
        <v/>
      </c>
      <c r="N759" s="7" t="n"/>
    </row>
    <row r="760" ht="15" customHeight="1">
      <c r="A760" s="11" t="inlineStr">
        <is>
          <t>Delivery</t>
        </is>
      </c>
      <c r="B760" s="12" t="inlineStr">
        <is>
          <t>Delivery</t>
        </is>
      </c>
      <c r="C760" s="13" t="inlineStr">
        <is>
          <t>Executivo</t>
        </is>
      </c>
      <c r="D760" s="2">
        <f>IF(ISERROR(VLOOKUP(E760,'Estrutura Protheus'!A:A,1,FALSE)),"Não","Sim")</f>
        <v/>
      </c>
      <c r="E760" s="5" t="inlineStr">
        <is>
          <t>009594</t>
        </is>
      </c>
      <c r="F760" s="5" t="inlineStr">
        <is>
          <t>002070</t>
        </is>
      </c>
      <c r="G760" s="3" t="inlineStr">
        <is>
          <t>Alho Poro</t>
        </is>
      </c>
      <c r="H760" s="14" t="n">
        <v>0.004</v>
      </c>
      <c r="I760" s="5" t="inlineStr">
        <is>
          <t>KG</t>
        </is>
      </c>
      <c r="J760" s="4">
        <f>IFERROR(VLOOKUP(F760,'Base Insumos'!$A:$C,3,FALSE()),"PENDENTE")</f>
        <v/>
      </c>
      <c r="K760" s="4">
        <f>IFERROR(IF(J760="PENDENTE",0,J760*H760),0)</f>
        <v/>
      </c>
      <c r="L760" s="4" t="n">
        <v>39.9</v>
      </c>
      <c r="M760" s="15">
        <f>IFERROR(K760/L760,0)</f>
        <v/>
      </c>
      <c r="N760" s="3" t="n"/>
    </row>
    <row r="761" ht="15" customHeight="1">
      <c r="A761" s="16" t="inlineStr">
        <is>
          <t>Delivery</t>
        </is>
      </c>
      <c r="B761" s="17" t="inlineStr">
        <is>
          <t>Delivery</t>
        </is>
      </c>
      <c r="C761" s="18" t="inlineStr">
        <is>
          <t>Executivo</t>
        </is>
      </c>
      <c r="D761" s="6">
        <f>IF(ISERROR(VLOOKUP(E761,'Estrutura Protheus'!A:A,1,FALSE)),"Não","Sim")</f>
        <v/>
      </c>
      <c r="E761" s="9" t="inlineStr">
        <is>
          <t>009594</t>
        </is>
      </c>
      <c r="F761" s="9" t="inlineStr">
        <is>
          <t>000667</t>
        </is>
      </c>
      <c r="G761" s="7" t="inlineStr">
        <is>
          <t>Tomilho</t>
        </is>
      </c>
      <c r="H761" s="19" t="n">
        <v>0.0005999999999999999</v>
      </c>
      <c r="I761" s="9" t="inlineStr">
        <is>
          <t>KG</t>
        </is>
      </c>
      <c r="J761" s="8">
        <f>IFERROR(VLOOKUP(F761,'Base Insumos'!$A:$C,3,FALSE()),"PENDENTE")</f>
        <v/>
      </c>
      <c r="K761" s="8">
        <f>IFERROR(IF(J761="PENDENTE",0,J761*H761),0)</f>
        <v/>
      </c>
      <c r="L761" s="8" t="n">
        <v>39.9</v>
      </c>
      <c r="M761" s="20">
        <f>IFERROR(K761/L761,0)</f>
        <v/>
      </c>
      <c r="N761" s="7" t="n"/>
    </row>
    <row r="762" ht="15" customHeight="1">
      <c r="A762" s="11" t="inlineStr">
        <is>
          <t>Delivery</t>
        </is>
      </c>
      <c r="B762" s="12" t="inlineStr">
        <is>
          <t>Delivery</t>
        </is>
      </c>
      <c r="C762" s="13" t="inlineStr">
        <is>
          <t>Executivo</t>
        </is>
      </c>
      <c r="D762" s="2">
        <f>IF(ISERROR(VLOOKUP(E762,'Estrutura Protheus'!A:A,1,FALSE)),"Não","Sim")</f>
        <v/>
      </c>
      <c r="E762" s="5" t="inlineStr">
        <is>
          <t>009594</t>
        </is>
      </c>
      <c r="F762" s="5" t="inlineStr">
        <is>
          <t>000668</t>
        </is>
      </c>
      <c r="G762" s="3" t="inlineStr">
        <is>
          <t>Alecrim</t>
        </is>
      </c>
      <c r="H762" s="14" t="n">
        <v>0.001</v>
      </c>
      <c r="I762" s="5" t="inlineStr">
        <is>
          <t>KG</t>
        </is>
      </c>
      <c r="J762" s="4">
        <f>IFERROR(VLOOKUP(F762,'Base Insumos'!$A:$C,3,FALSE()),"PENDENTE")</f>
        <v/>
      </c>
      <c r="K762" s="4">
        <f>IFERROR(IF(J762="PENDENTE",0,J762*H762),0)</f>
        <v/>
      </c>
      <c r="L762" s="4" t="n">
        <v>39.9</v>
      </c>
      <c r="M762" s="15">
        <f>IFERROR(K762/L762,0)</f>
        <v/>
      </c>
      <c r="N762" s="3" t="n"/>
    </row>
    <row r="763" ht="15" customHeight="1">
      <c r="A763" s="16" t="inlineStr">
        <is>
          <t>Delivery</t>
        </is>
      </c>
      <c r="B763" s="17" t="inlineStr">
        <is>
          <t>Delivery</t>
        </is>
      </c>
      <c r="C763" s="18" t="inlineStr">
        <is>
          <t>Executivo</t>
        </is>
      </c>
      <c r="D763" s="6">
        <f>IF(ISERROR(VLOOKUP(E763,'Estrutura Protheus'!A:A,1,FALSE)),"Não","Sim")</f>
        <v/>
      </c>
      <c r="E763" s="9" t="inlineStr">
        <is>
          <t>009594</t>
        </is>
      </c>
      <c r="F763" s="9" t="inlineStr">
        <is>
          <t>002068</t>
        </is>
      </c>
      <c r="G763" s="7" t="inlineStr">
        <is>
          <t>Manteiga S/sal 5kg</t>
        </is>
      </c>
      <c r="H763" s="19" t="n">
        <v>0.004</v>
      </c>
      <c r="I763" s="9" t="inlineStr">
        <is>
          <t>KG</t>
        </is>
      </c>
      <c r="J763" s="8">
        <f>IFERROR(VLOOKUP(F763,'Base Insumos'!$A:$C,3,FALSE()),"PENDENTE")</f>
        <v/>
      </c>
      <c r="K763" s="8">
        <f>IFERROR(IF(J763="PENDENTE",0,J763*H763),0)</f>
        <v/>
      </c>
      <c r="L763" s="8" t="n">
        <v>39.9</v>
      </c>
      <c r="M763" s="20">
        <f>IFERROR(K763/L763,0)</f>
        <v/>
      </c>
      <c r="N763" s="7" t="n"/>
    </row>
    <row r="764" ht="15" customHeight="1">
      <c r="A764" s="11" t="inlineStr">
        <is>
          <t>Delivery</t>
        </is>
      </c>
      <c r="B764" s="12" t="inlineStr">
        <is>
          <t>Delivery</t>
        </is>
      </c>
      <c r="C764" s="13" t="inlineStr">
        <is>
          <t>Executivo</t>
        </is>
      </c>
      <c r="D764" s="2">
        <f>IF(ISERROR(VLOOKUP(E764,'Estrutura Protheus'!A:A,1,FALSE)),"Não","Sim")</f>
        <v/>
      </c>
      <c r="E764" s="5" t="inlineStr">
        <is>
          <t>009594</t>
        </is>
      </c>
      <c r="F764" s="5" t="inlineStr">
        <is>
          <t>000390</t>
        </is>
      </c>
      <c r="G764" s="3" t="inlineStr">
        <is>
          <t>Farinha de Trigo Sol</t>
        </is>
      </c>
      <c r="H764" s="14" t="n">
        <v>0.002</v>
      </c>
      <c r="I764" s="5" t="inlineStr">
        <is>
          <t>KG</t>
        </is>
      </c>
      <c r="J764" s="4">
        <f>IFERROR(VLOOKUP(F764,'Base Insumos'!$A:$C,3,FALSE()),"PENDENTE")</f>
        <v/>
      </c>
      <c r="K764" s="4">
        <f>IFERROR(IF(J764="PENDENTE",0,J764*H764),0)</f>
        <v/>
      </c>
      <c r="L764" s="4" t="n">
        <v>39.9</v>
      </c>
      <c r="M764" s="15">
        <f>IFERROR(K764/L764,0)</f>
        <v/>
      </c>
      <c r="N764" s="3" t="n"/>
    </row>
    <row r="765" ht="15" customHeight="1">
      <c r="A765" s="16" t="inlineStr">
        <is>
          <t>Delivery</t>
        </is>
      </c>
      <c r="B765" s="17" t="inlineStr">
        <is>
          <t>Delivery</t>
        </is>
      </c>
      <c r="C765" s="18" t="inlineStr">
        <is>
          <t>Executivo</t>
        </is>
      </c>
      <c r="D765" s="6">
        <f>IF(ISERROR(VLOOKUP(E765,'Estrutura Protheus'!A:A,1,FALSE)),"Não","Sim")</f>
        <v/>
      </c>
      <c r="E765" s="9" t="inlineStr">
        <is>
          <t>009594</t>
        </is>
      </c>
      <c r="F765" s="9" t="inlineStr">
        <is>
          <t>000331</t>
        </is>
      </c>
      <c r="G765" s="7" t="inlineStr">
        <is>
          <t>Barril Chopp Brahma Claro 50lt</t>
        </is>
      </c>
      <c r="H765" s="19" t="n">
        <v>0.003</v>
      </c>
      <c r="I765" s="9" t="inlineStr">
        <is>
          <t>LT</t>
        </is>
      </c>
      <c r="J765" s="8">
        <f>IFERROR(VLOOKUP(F765,'Base Insumos'!$A:$C,3,FALSE()),"PENDENTE")</f>
        <v/>
      </c>
      <c r="K765" s="8">
        <f>IFERROR(IF(J765="PENDENTE",0,J765*H765),0)</f>
        <v/>
      </c>
      <c r="L765" s="8" t="n">
        <v>39.9</v>
      </c>
      <c r="M765" s="20">
        <f>IFERROR(K765/L765,0)</f>
        <v/>
      </c>
      <c r="N765" s="7" t="n"/>
    </row>
    <row r="766" ht="15" customHeight="1">
      <c r="A766" s="11" t="inlineStr">
        <is>
          <t>Delivery</t>
        </is>
      </c>
      <c r="B766" s="12" t="inlineStr">
        <is>
          <t>Delivery</t>
        </is>
      </c>
      <c r="C766" s="13" t="inlineStr">
        <is>
          <t>Executivo</t>
        </is>
      </c>
      <c r="D766" s="2">
        <f>IF(ISERROR(VLOOKUP(E766,'Estrutura Protheus'!A:A,1,FALSE)),"Não","Sim")</f>
        <v/>
      </c>
      <c r="E766" s="5" t="inlineStr">
        <is>
          <t>009594</t>
        </is>
      </c>
      <c r="F766" s="5" t="inlineStr">
        <is>
          <t>000614</t>
        </is>
      </c>
      <c r="G766" s="3" t="inlineStr">
        <is>
          <t>Sal Refinado</t>
        </is>
      </c>
      <c r="H766" s="14" t="n">
        <v>0.0002</v>
      </c>
      <c r="I766" s="5" t="inlineStr">
        <is>
          <t>KG</t>
        </is>
      </c>
      <c r="J766" s="4">
        <f>IFERROR(VLOOKUP(F766,'Base Insumos'!$A:$C,3,FALSE()),"PENDENTE")</f>
        <v/>
      </c>
      <c r="K766" s="4">
        <f>IFERROR(IF(J766="PENDENTE",0,J766*H766),0)</f>
        <v/>
      </c>
      <c r="L766" s="4" t="n">
        <v>39.9</v>
      </c>
      <c r="M766" s="15">
        <f>IFERROR(K766/L766,0)</f>
        <v/>
      </c>
      <c r="N766" s="3" t="n"/>
    </row>
    <row r="767" ht="15" customHeight="1">
      <c r="A767" s="16" t="inlineStr">
        <is>
          <t>Delivery</t>
        </is>
      </c>
      <c r="B767" s="17" t="inlineStr">
        <is>
          <t>Delivery</t>
        </is>
      </c>
      <c r="C767" s="18" t="inlineStr">
        <is>
          <t>Executivo</t>
        </is>
      </c>
      <c r="D767" s="6">
        <f>IF(ISERROR(VLOOKUP(E767,'Estrutura Protheus'!A:A,1,FALSE)),"Não","Sim")</f>
        <v/>
      </c>
      <c r="E767" s="9" t="inlineStr">
        <is>
          <t>009594</t>
        </is>
      </c>
      <c r="F767" s="9" t="inlineStr">
        <is>
          <t>000414</t>
        </is>
      </c>
      <c r="G767" s="7" t="inlineStr">
        <is>
          <t>Pimenta do Reino Moida</t>
        </is>
      </c>
      <c r="H767" s="19" t="n">
        <v>6e-05</v>
      </c>
      <c r="I767" s="9" t="inlineStr">
        <is>
          <t>KG</t>
        </is>
      </c>
      <c r="J767" s="8">
        <f>IFERROR(VLOOKUP(F767,'Base Insumos'!$A:$C,3,FALSE()),"PENDENTE")</f>
        <v/>
      </c>
      <c r="K767" s="8">
        <f>IFERROR(IF(J767="PENDENTE",0,J767*H767),0)</f>
        <v/>
      </c>
      <c r="L767" s="8" t="n">
        <v>39.9</v>
      </c>
      <c r="M767" s="20">
        <f>IFERROR(K767/L767,0)</f>
        <v/>
      </c>
      <c r="N767" s="7" t="n"/>
    </row>
    <row r="768" ht="15" customHeight="1">
      <c r="A768" s="11" t="inlineStr">
        <is>
          <t>Delivery</t>
        </is>
      </c>
      <c r="B768" s="12" t="inlineStr">
        <is>
          <t>Delivery</t>
        </is>
      </c>
      <c r="C768" s="13" t="inlineStr">
        <is>
          <t>Executivo</t>
        </is>
      </c>
      <c r="D768" s="2">
        <f>IF(ISERROR(VLOOKUP(E768,'Estrutura Protheus'!A:A,1,FALSE)),"Não","Sim")</f>
        <v/>
      </c>
      <c r="E768" s="5" t="inlineStr">
        <is>
          <t>009594</t>
        </is>
      </c>
      <c r="F768" s="5" t="inlineStr">
        <is>
          <t>000486</t>
        </is>
      </c>
      <c r="G768" s="3" t="inlineStr">
        <is>
          <t>Tomate Salada</t>
        </is>
      </c>
      <c r="H768" s="14" t="n">
        <v>0.026</v>
      </c>
      <c r="I768" s="5" t="inlineStr">
        <is>
          <t>KG</t>
        </is>
      </c>
      <c r="J768" s="4">
        <f>IFERROR(VLOOKUP(F768,'Base Insumos'!$A:$C,3,FALSE()),"PENDENTE")</f>
        <v/>
      </c>
      <c r="K768" s="4">
        <f>IFERROR(IF(J768="PENDENTE",0,J768*H768),0)</f>
        <v/>
      </c>
      <c r="L768" s="4" t="n">
        <v>39.9</v>
      </c>
      <c r="M768" s="15">
        <f>IFERROR(K768/L768,0)</f>
        <v/>
      </c>
      <c r="N768" s="3" t="n"/>
    </row>
    <row r="769" ht="15" customHeight="1">
      <c r="A769" s="16" t="inlineStr">
        <is>
          <t>Delivery</t>
        </is>
      </c>
      <c r="B769" s="17" t="inlineStr">
        <is>
          <t>Delivery</t>
        </is>
      </c>
      <c r="C769" s="18" t="inlineStr">
        <is>
          <t>Executivo</t>
        </is>
      </c>
      <c r="D769" s="6">
        <f>IF(ISERROR(VLOOKUP(E769,'Estrutura Protheus'!A:A,1,FALSE)),"Não","Sim")</f>
        <v/>
      </c>
      <c r="E769" s="9" t="inlineStr">
        <is>
          <t>009594</t>
        </is>
      </c>
      <c r="F769" s="9" t="inlineStr">
        <is>
          <t>000468</t>
        </is>
      </c>
      <c r="G769" s="7" t="inlineStr">
        <is>
          <t>Cebola Media</t>
        </is>
      </c>
      <c r="H769" s="19" t="n">
        <v>0.013</v>
      </c>
      <c r="I769" s="9" t="inlineStr">
        <is>
          <t>KG</t>
        </is>
      </c>
      <c r="J769" s="8">
        <f>IFERROR(VLOOKUP(F769,'Base Insumos'!$A:$C,3,FALSE()),"PENDENTE")</f>
        <v/>
      </c>
      <c r="K769" s="8">
        <f>IFERROR(IF(J769="PENDENTE",0,J769*H769),0)</f>
        <v/>
      </c>
      <c r="L769" s="8" t="n">
        <v>39.9</v>
      </c>
      <c r="M769" s="20">
        <f>IFERROR(K769/L769,0)</f>
        <v/>
      </c>
      <c r="N769" s="7" t="n"/>
    </row>
    <row r="770" ht="15" customHeight="1">
      <c r="A770" s="11" t="inlineStr">
        <is>
          <t>Delivery</t>
        </is>
      </c>
      <c r="B770" s="12" t="inlineStr">
        <is>
          <t>Delivery</t>
        </is>
      </c>
      <c r="C770" s="13" t="inlineStr">
        <is>
          <t>Executivo</t>
        </is>
      </c>
      <c r="D770" s="2">
        <f>IF(ISERROR(VLOOKUP(E770,'Estrutura Protheus'!A:A,1,FALSE)),"Não","Sim")</f>
        <v/>
      </c>
      <c r="E770" s="5" t="inlineStr">
        <is>
          <t>009594</t>
        </is>
      </c>
      <c r="F770" s="5" t="inlineStr">
        <is>
          <t>000484</t>
        </is>
      </c>
      <c r="G770" s="3" t="inlineStr">
        <is>
          <t>Salsa Lisa Industrial</t>
        </is>
      </c>
      <c r="H770" s="14" t="n">
        <v>0.008999999999999999</v>
      </c>
      <c r="I770" s="5" t="inlineStr">
        <is>
          <t>KG</t>
        </is>
      </c>
      <c r="J770" s="4">
        <f>IFERROR(VLOOKUP(F770,'Base Insumos'!$A:$C,3,FALSE()),"PENDENTE")</f>
        <v/>
      </c>
      <c r="K770" s="4">
        <f>IFERROR(IF(J770="PENDENTE",0,J770*H770),0)</f>
        <v/>
      </c>
      <c r="L770" s="4" t="n">
        <v>39.9</v>
      </c>
      <c r="M770" s="15">
        <f>IFERROR(K770/L770,0)</f>
        <v/>
      </c>
      <c r="N770" s="3" t="n"/>
    </row>
    <row r="771" ht="15" customHeight="1">
      <c r="A771" s="16" t="inlineStr">
        <is>
          <t>Delivery</t>
        </is>
      </c>
      <c r="B771" s="17" t="inlineStr">
        <is>
          <t>Delivery</t>
        </is>
      </c>
      <c r="C771" s="18" t="inlineStr">
        <is>
          <t>Executivo</t>
        </is>
      </c>
      <c r="D771" s="6">
        <f>IF(ISERROR(VLOOKUP(E771,'Estrutura Protheus'!A:A,1,FALSE)),"Não","Sim")</f>
        <v/>
      </c>
      <c r="E771" s="9" t="inlineStr">
        <is>
          <t>009594</t>
        </is>
      </c>
      <c r="F771" s="9" t="inlineStr">
        <is>
          <t>000424</t>
        </is>
      </c>
      <c r="G771" s="7" t="inlineStr">
        <is>
          <t>Vinagre Agrin Branco Neval Garrafa 750ml</t>
        </is>
      </c>
      <c r="H771" s="19" t="n">
        <v>0.007</v>
      </c>
      <c r="I771" s="9" t="inlineStr">
        <is>
          <t>LT</t>
        </is>
      </c>
      <c r="J771" s="8">
        <f>IFERROR(VLOOKUP(F771,'Base Insumos'!$A:$C,3,FALSE()),"PENDENTE")</f>
        <v/>
      </c>
      <c r="K771" s="8">
        <f>IFERROR(IF(J771="PENDENTE",0,J771*H771),0)</f>
        <v/>
      </c>
      <c r="L771" s="8" t="n">
        <v>39.9</v>
      </c>
      <c r="M771" s="20">
        <f>IFERROR(K771/L771,0)</f>
        <v/>
      </c>
      <c r="N771" s="7" t="n"/>
    </row>
    <row r="772" ht="15" customHeight="1">
      <c r="A772" s="11" t="inlineStr">
        <is>
          <t>Delivery</t>
        </is>
      </c>
      <c r="B772" s="12" t="inlineStr">
        <is>
          <t>Delivery</t>
        </is>
      </c>
      <c r="C772" s="13" t="inlineStr">
        <is>
          <t>Executivo</t>
        </is>
      </c>
      <c r="D772" s="2">
        <f>IF(ISERROR(VLOOKUP(E772,'Estrutura Protheus'!A:A,1,FALSE)),"Não","Sim")</f>
        <v/>
      </c>
      <c r="E772" s="5" t="inlineStr">
        <is>
          <t>009594</t>
        </is>
      </c>
      <c r="F772" s="5" t="inlineStr">
        <is>
          <t>001043</t>
        </is>
      </c>
      <c r="G772" s="3" t="inlineStr">
        <is>
          <t>Azeite 500 Ml</t>
        </is>
      </c>
      <c r="H772" s="14" t="n">
        <v>0.013</v>
      </c>
      <c r="I772" s="5" t="inlineStr">
        <is>
          <t>LT</t>
        </is>
      </c>
      <c r="J772" s="4">
        <f>IFERROR(VLOOKUP(F772,'Base Insumos'!$A:$C,3,FALSE()),"PENDENTE")</f>
        <v/>
      </c>
      <c r="K772" s="4">
        <f>IFERROR(IF(J772="PENDENTE",0,J772*H772),0)</f>
        <v/>
      </c>
      <c r="L772" s="4" t="n">
        <v>39.9</v>
      </c>
      <c r="M772" s="15">
        <f>IFERROR(K772/L772,0)</f>
        <v/>
      </c>
      <c r="N772" s="3" t="n"/>
    </row>
    <row r="773" ht="15" customHeight="1">
      <c r="A773" s="16" t="inlineStr">
        <is>
          <t>Delivery</t>
        </is>
      </c>
      <c r="B773" s="17" t="inlineStr">
        <is>
          <t>Delivery</t>
        </is>
      </c>
      <c r="C773" s="18" t="inlineStr">
        <is>
          <t>Executivo</t>
        </is>
      </c>
      <c r="D773" s="6">
        <f>IF(ISERROR(VLOOKUP(E773,'Estrutura Protheus'!A:A,1,FALSE)),"Não","Sim")</f>
        <v/>
      </c>
      <c r="E773" s="9" t="inlineStr">
        <is>
          <t>009594</t>
        </is>
      </c>
      <c r="F773" s="9" t="inlineStr">
        <is>
          <t>000614</t>
        </is>
      </c>
      <c r="G773" s="7" t="inlineStr">
        <is>
          <t>Sal Refinado</t>
        </is>
      </c>
      <c r="H773" s="19" t="n">
        <v>0.0005</v>
      </c>
      <c r="I773" s="9" t="inlineStr">
        <is>
          <t>KG</t>
        </is>
      </c>
      <c r="J773" s="8">
        <f>IFERROR(VLOOKUP(F773,'Base Insumos'!$A:$C,3,FALSE()),"PENDENTE")</f>
        <v/>
      </c>
      <c r="K773" s="8">
        <f>IFERROR(IF(J773="PENDENTE",0,J773*H773),0)</f>
        <v/>
      </c>
      <c r="L773" s="8" t="n">
        <v>39.9</v>
      </c>
      <c r="M773" s="20">
        <f>IFERROR(K773/L773,0)</f>
        <v/>
      </c>
      <c r="N773" s="7" t="n"/>
    </row>
    <row r="774" ht="15" customHeight="1">
      <c r="A774" s="11" t="inlineStr">
        <is>
          <t>Delivery</t>
        </is>
      </c>
      <c r="B774" s="12" t="inlineStr">
        <is>
          <t>Delivery</t>
        </is>
      </c>
      <c r="C774" s="13" t="inlineStr">
        <is>
          <t>Executivo</t>
        </is>
      </c>
      <c r="D774" s="2">
        <f>IF(ISERROR(VLOOKUP(E774,'Estrutura Protheus'!A:A,1,FALSE)),"Não","Sim")</f>
        <v/>
      </c>
      <c r="E774" s="5" t="inlineStr">
        <is>
          <t>009594</t>
        </is>
      </c>
      <c r="F774" s="5" t="inlineStr">
        <is>
          <t>000461</t>
        </is>
      </c>
      <c r="G774" s="3" t="inlineStr">
        <is>
          <t>Alface Americana</t>
        </is>
      </c>
      <c r="H774" s="14" t="n">
        <v>0.02</v>
      </c>
      <c r="I774" s="5" t="inlineStr">
        <is>
          <t>KG</t>
        </is>
      </c>
      <c r="J774" s="4">
        <f>IFERROR(VLOOKUP(F774,'Base Insumos'!$A:$C,3,FALSE()),"PENDENTE")</f>
        <v/>
      </c>
      <c r="K774" s="4">
        <f>IFERROR(IF(J774="PENDENTE",0,J774*H774),0)</f>
        <v/>
      </c>
      <c r="L774" s="4" t="n">
        <v>39.9</v>
      </c>
      <c r="M774" s="15">
        <f>IFERROR(K774/L774,0)</f>
        <v/>
      </c>
      <c r="N774" s="3" t="n"/>
    </row>
    <row r="775" ht="15" customHeight="1">
      <c r="A775" s="16" t="inlineStr">
        <is>
          <t>Delivery</t>
        </is>
      </c>
      <c r="B775" s="17" t="inlineStr">
        <is>
          <t>Delivery</t>
        </is>
      </c>
      <c r="C775" s="18" t="inlineStr">
        <is>
          <t>Executivo</t>
        </is>
      </c>
      <c r="D775" s="6">
        <f>IF(ISERROR(VLOOKUP(E775,'Estrutura Protheus'!A:A,1,FALSE)),"Não","Sim")</f>
        <v/>
      </c>
      <c r="E775" s="9" t="inlineStr">
        <is>
          <t>009594</t>
        </is>
      </c>
      <c r="F775" s="9" t="inlineStr">
        <is>
          <t>000483</t>
        </is>
      </c>
      <c r="G775" s="7" t="inlineStr">
        <is>
          <t>Rucula Hidroponica</t>
        </is>
      </c>
      <c r="H775" s="19" t="n">
        <v>0.005</v>
      </c>
      <c r="I775" s="9" t="inlineStr">
        <is>
          <t>KG</t>
        </is>
      </c>
      <c r="J775" s="8">
        <f>IFERROR(VLOOKUP(F775,'Base Insumos'!$A:$C,3,FALSE()),"PENDENTE")</f>
        <v/>
      </c>
      <c r="K775" s="8">
        <f>IFERROR(IF(J775="PENDENTE",0,J775*H775),0)</f>
        <v/>
      </c>
      <c r="L775" s="8" t="n">
        <v>39.9</v>
      </c>
      <c r="M775" s="20">
        <f>IFERROR(K775/L775,0)</f>
        <v/>
      </c>
      <c r="N775" s="7" t="n"/>
    </row>
    <row r="776" ht="15" customHeight="1">
      <c r="A776" s="11" t="inlineStr">
        <is>
          <t>Delivery</t>
        </is>
      </c>
      <c r="B776" s="12" t="inlineStr">
        <is>
          <t>Delivery</t>
        </is>
      </c>
      <c r="C776" s="13" t="inlineStr">
        <is>
          <t>Executivo</t>
        </is>
      </c>
      <c r="D776" s="2">
        <f>IF(ISERROR(VLOOKUP(E776,'Estrutura Protheus'!A:A,1,FALSE)),"Não","Sim")</f>
        <v/>
      </c>
      <c r="E776" s="5" t="inlineStr">
        <is>
          <t>009594</t>
        </is>
      </c>
      <c r="F776" s="5" t="inlineStr">
        <is>
          <t>000460</t>
        </is>
      </c>
      <c r="G776" s="3" t="inlineStr">
        <is>
          <t>Agriao Hidroponico</t>
        </is>
      </c>
      <c r="H776" s="14" t="n">
        <v>0.005</v>
      </c>
      <c r="I776" s="5" t="inlineStr">
        <is>
          <t>KG</t>
        </is>
      </c>
      <c r="J776" s="4">
        <f>IFERROR(VLOOKUP(F776,'Base Insumos'!$A:$C,3,FALSE()),"PENDENTE")</f>
        <v/>
      </c>
      <c r="K776" s="4">
        <f>IFERROR(IF(J776="PENDENTE",0,J776*H776),0)</f>
        <v/>
      </c>
      <c r="L776" s="4" t="n">
        <v>39.9</v>
      </c>
      <c r="M776" s="15">
        <f>IFERROR(K776/L776,0)</f>
        <v/>
      </c>
      <c r="N776" s="3" t="n"/>
    </row>
    <row r="777" ht="15" customHeight="1">
      <c r="A777" s="16" t="inlineStr">
        <is>
          <t>Delivery</t>
        </is>
      </c>
      <c r="B777" s="17" t="inlineStr">
        <is>
          <t>Delivery</t>
        </is>
      </c>
      <c r="C777" s="18" t="inlineStr">
        <is>
          <t>Executivo</t>
        </is>
      </c>
      <c r="D777" s="6">
        <f>IF(ISERROR(VLOOKUP(E777,'Estrutura Protheus'!A:A,1,FALSE)),"Não","Sim")</f>
        <v/>
      </c>
      <c r="E777" s="9" t="inlineStr">
        <is>
          <t>009594</t>
        </is>
      </c>
      <c r="F777" s="9" t="inlineStr">
        <is>
          <t>000462</t>
        </is>
      </c>
      <c r="G777" s="7" t="inlineStr">
        <is>
          <t>Alface Crespa</t>
        </is>
      </c>
      <c r="H777" s="19" t="n">
        <v>0.02</v>
      </c>
      <c r="I777" s="9" t="inlineStr">
        <is>
          <t>KG</t>
        </is>
      </c>
      <c r="J777" s="8">
        <f>IFERROR(VLOOKUP(F777,'Base Insumos'!$A:$C,3,FALSE()),"PENDENTE")</f>
        <v/>
      </c>
      <c r="K777" s="8">
        <f>IFERROR(IF(J777="PENDENTE",0,J777*H777),0)</f>
        <v/>
      </c>
      <c r="L777" s="8" t="n">
        <v>39.9</v>
      </c>
      <c r="M777" s="20">
        <f>IFERROR(K777/L777,0)</f>
        <v/>
      </c>
      <c r="N777" s="7" t="n"/>
    </row>
    <row r="778" ht="15" customHeight="1">
      <c r="A778" s="11" t="inlineStr">
        <is>
          <t>Delivery</t>
        </is>
      </c>
      <c r="B778" s="12" t="inlineStr">
        <is>
          <t>Delivery</t>
        </is>
      </c>
      <c r="C778" s="13" t="inlineStr">
        <is>
          <t>Executivo</t>
        </is>
      </c>
      <c r="D778" s="2">
        <f>IF(ISERROR(VLOOKUP(E778,'Estrutura Protheus'!A:A,1,FALSE)),"Não","Sim")</f>
        <v/>
      </c>
      <c r="E778" s="5" t="inlineStr">
        <is>
          <t>009594</t>
        </is>
      </c>
      <c r="F778" s="5" t="inlineStr">
        <is>
          <t>000470</t>
        </is>
      </c>
      <c r="G778" s="3" t="inlineStr">
        <is>
          <t>Cenoura</t>
        </is>
      </c>
      <c r="H778" s="14" t="n">
        <v>0.01</v>
      </c>
      <c r="I778" s="5" t="inlineStr">
        <is>
          <t>KG</t>
        </is>
      </c>
      <c r="J778" s="4">
        <f>IFERROR(VLOOKUP(F778,'Base Insumos'!$A:$C,3,FALSE()),"PENDENTE")</f>
        <v/>
      </c>
      <c r="K778" s="4">
        <f>IFERROR(IF(J778="PENDENTE",0,J778*H778),0)</f>
        <v/>
      </c>
      <c r="L778" s="4" t="n">
        <v>39.9</v>
      </c>
      <c r="M778" s="15">
        <f>IFERROR(K778/L778,0)</f>
        <v/>
      </c>
      <c r="N778" s="3" t="n"/>
    </row>
    <row r="779" ht="15" customHeight="1">
      <c r="A779" s="16" t="inlineStr">
        <is>
          <t>Delivery</t>
        </is>
      </c>
      <c r="B779" s="17" t="inlineStr">
        <is>
          <t>Delivery</t>
        </is>
      </c>
      <c r="C779" s="18" t="inlineStr">
        <is>
          <t>Executivo</t>
        </is>
      </c>
      <c r="D779" s="6">
        <f>IF(ISERROR(VLOOKUP(E779,'Estrutura Protheus'!A:A,1,FALSE)),"Não","Sim")</f>
        <v/>
      </c>
      <c r="E779" s="9" t="inlineStr">
        <is>
          <t>009594</t>
        </is>
      </c>
      <c r="F779" s="9" t="inlineStr">
        <is>
          <t>000485</t>
        </is>
      </c>
      <c r="G779" s="7" t="inlineStr">
        <is>
          <t>Tomate Cereja</t>
        </is>
      </c>
      <c r="H779" s="19" t="n">
        <v>0.02</v>
      </c>
      <c r="I779" s="9" t="inlineStr">
        <is>
          <t>KG</t>
        </is>
      </c>
      <c r="J779" s="8">
        <f>IFERROR(VLOOKUP(F779,'Base Insumos'!$A:$C,3,FALSE()),"PENDENTE")</f>
        <v/>
      </c>
      <c r="K779" s="8">
        <f>IFERROR(IF(J779="PENDENTE",0,J779*H779),0)</f>
        <v/>
      </c>
      <c r="L779" s="8" t="n">
        <v>39.9</v>
      </c>
      <c r="M779" s="20">
        <f>IFERROR(K779/L779,0)</f>
        <v/>
      </c>
      <c r="N779" s="7" t="n"/>
    </row>
    <row r="780" ht="15" customHeight="1">
      <c r="A780" s="11" t="inlineStr">
        <is>
          <t>Delivery</t>
        </is>
      </c>
      <c r="B780" s="12" t="inlineStr">
        <is>
          <t>Delivery</t>
        </is>
      </c>
      <c r="C780" s="13" t="inlineStr">
        <is>
          <t>Executivo</t>
        </is>
      </c>
      <c r="D780" s="2">
        <f>IF(ISERROR(VLOOKUP(E780,'Estrutura Protheus'!A:A,1,FALSE)),"Não","Sim")</f>
        <v/>
      </c>
      <c r="E780" s="5" t="inlineStr">
        <is>
          <t>009594</t>
        </is>
      </c>
      <c r="F780" s="5" t="inlineStr">
        <is>
          <t>000753</t>
        </is>
      </c>
      <c r="G780" s="3" t="inlineStr">
        <is>
          <t>Cebola Roxa</t>
        </is>
      </c>
      <c r="H780" s="14" t="n">
        <v>0.01</v>
      </c>
      <c r="I780" s="5" t="inlineStr">
        <is>
          <t>KG</t>
        </is>
      </c>
      <c r="J780" s="4">
        <f>IFERROR(VLOOKUP(F780,'Base Insumos'!$A:$C,3,FALSE()),"PENDENTE")</f>
        <v/>
      </c>
      <c r="K780" s="4">
        <f>IFERROR(IF(J780="PENDENTE",0,J780*H780),0)</f>
        <v/>
      </c>
      <c r="L780" s="4" t="n">
        <v>39.9</v>
      </c>
      <c r="M780" s="15">
        <f>IFERROR(K780/L780,0)</f>
        <v/>
      </c>
      <c r="N780" s="3" t="n"/>
    </row>
    <row r="781">
      <c r="A781" s="197" t="inlineStr">
        <is>
          <t>Saladas e Molhos</t>
        </is>
      </c>
      <c r="B781" s="198" t="inlineStr">
        <is>
          <t>Saladas</t>
        </is>
      </c>
      <c r="C781" s="199" t="inlineStr">
        <is>
          <t>Salada Caprese</t>
        </is>
      </c>
      <c r="D781" s="160">
        <f>IF(ISERROR(VLOOKUP(E781,'Estrutura Protheus'!A:A,1,FALSE)),"Não","Sim")</f>
        <v/>
      </c>
      <c r="E781" s="163" t="inlineStr">
        <is>
          <t>000869</t>
        </is>
      </c>
      <c r="F781" s="163" t="inlineStr">
        <is>
          <t>000461</t>
        </is>
      </c>
      <c r="G781" s="161">
        <f>IFERROR(VLOOKUP(F781,'Base Insumos'!$A:$B,2,FALSE()),"PENDENTE")</f>
        <v/>
      </c>
      <c r="H781" s="200" t="n">
        <v>0.08</v>
      </c>
      <c r="I781" s="163">
        <f>IFERROR(VLOOKUP(F781,'Base Insumos'!$A:$D,4,FALSE()),"")</f>
        <v/>
      </c>
      <c r="J781" s="162">
        <f>IFERROR(VLOOKUP(F781,'Base Insumos'!$A:$C,3,FALSE()),"PENDENTE")</f>
        <v/>
      </c>
      <c r="K781" s="162">
        <f>IFERROR(IF(J781="PENDENTE",0,J781*H781),0)</f>
        <v/>
      </c>
      <c r="L781" s="162" t="n">
        <v>29.99</v>
      </c>
      <c r="M781" s="201">
        <f>IFERROR(K781/L781,0)</f>
        <v/>
      </c>
      <c r="N781" s="161" t="n"/>
    </row>
    <row r="782">
      <c r="A782" s="197" t="inlineStr">
        <is>
          <t>Saladas e Molhos</t>
        </is>
      </c>
      <c r="B782" s="198" t="inlineStr">
        <is>
          <t>Saladas</t>
        </is>
      </c>
      <c r="C782" s="199" t="inlineStr">
        <is>
          <t>Salada Caprese</t>
        </is>
      </c>
      <c r="D782" s="160">
        <f>IF(ISERROR(VLOOKUP(E782,'Estrutura Protheus'!A:A,1,FALSE)),"Não","Sim")</f>
        <v/>
      </c>
      <c r="E782" s="163" t="inlineStr">
        <is>
          <t>000869</t>
        </is>
      </c>
      <c r="F782" s="163" t="inlineStr">
        <is>
          <t>000483</t>
        </is>
      </c>
      <c r="G782" s="161">
        <f>IFERROR(VLOOKUP(F782,'Base Insumos'!$A:$B,2,FALSE()),"PENDENTE")</f>
        <v/>
      </c>
      <c r="H782" s="200" t="n">
        <v>0.02</v>
      </c>
      <c r="I782" s="163">
        <f>IFERROR(VLOOKUP(F782,'Base Insumos'!$A:$D,4,FALSE()),"")</f>
        <v/>
      </c>
      <c r="J782" s="162">
        <f>IFERROR(VLOOKUP(F782,'Base Insumos'!$A:$C,3,FALSE()),"PENDENTE")</f>
        <v/>
      </c>
      <c r="K782" s="162">
        <f>IFERROR(IF(J782="PENDENTE",0,J782*H782),0)</f>
        <v/>
      </c>
      <c r="L782" s="162" t="n">
        <v>29.99</v>
      </c>
      <c r="M782" s="201">
        <f>IFERROR(K782/L782,0)</f>
        <v/>
      </c>
      <c r="N782" s="161" t="n"/>
    </row>
    <row r="783">
      <c r="A783" s="197" t="inlineStr">
        <is>
          <t>Saladas e Molhos</t>
        </is>
      </c>
      <c r="B783" s="198" t="inlineStr">
        <is>
          <t>Saladas</t>
        </is>
      </c>
      <c r="C783" s="199" t="inlineStr">
        <is>
          <t>Salada Caprese</t>
        </is>
      </c>
      <c r="D783" s="160">
        <f>IF(ISERROR(VLOOKUP(E783,'Estrutura Protheus'!A:A,1,FALSE)),"Não","Sim")</f>
        <v/>
      </c>
      <c r="E783" s="163" t="inlineStr">
        <is>
          <t>000869</t>
        </is>
      </c>
      <c r="F783" s="163" t="inlineStr">
        <is>
          <t>000460</t>
        </is>
      </c>
      <c r="G783" s="161">
        <f>IFERROR(VLOOKUP(F783,'Base Insumos'!$A:$B,2,FALSE()),"PENDENTE")</f>
        <v/>
      </c>
      <c r="H783" s="200" t="n">
        <v>0.02</v>
      </c>
      <c r="I783" s="163">
        <f>IFERROR(VLOOKUP(F783,'Base Insumos'!$A:$D,4,FALSE()),"")</f>
        <v/>
      </c>
      <c r="J783" s="162">
        <f>IFERROR(VLOOKUP(F783,'Base Insumos'!$A:$C,3,FALSE()),"PENDENTE")</f>
        <v/>
      </c>
      <c r="K783" s="162">
        <f>IFERROR(IF(J783="PENDENTE",0,J783*H783),0)</f>
        <v/>
      </c>
      <c r="L783" s="162" t="n">
        <v>29.99</v>
      </c>
      <c r="M783" s="201">
        <f>IFERROR(K783/L783,0)</f>
        <v/>
      </c>
      <c r="N783" s="161" t="n"/>
    </row>
    <row r="784">
      <c r="A784" s="197" t="inlineStr">
        <is>
          <t>Saladas e Molhos</t>
        </is>
      </c>
      <c r="B784" s="198" t="inlineStr">
        <is>
          <t>Saladas</t>
        </is>
      </c>
      <c r="C784" s="199" t="inlineStr">
        <is>
          <t>Salada Caprese</t>
        </is>
      </c>
      <c r="D784" s="160">
        <f>IF(ISERROR(VLOOKUP(E784,'Estrutura Protheus'!A:A,1,FALSE)),"Não","Sim")</f>
        <v/>
      </c>
      <c r="E784" s="163" t="inlineStr">
        <is>
          <t>000869</t>
        </is>
      </c>
      <c r="F784" s="163" t="inlineStr">
        <is>
          <t>000462</t>
        </is>
      </c>
      <c r="G784" s="161">
        <f>IFERROR(VLOOKUP(F784,'Base Insumos'!$A:$B,2,FALSE()),"PENDENTE")</f>
        <v/>
      </c>
      <c r="H784" s="200" t="n">
        <v>0.05</v>
      </c>
      <c r="I784" s="163">
        <f>IFERROR(VLOOKUP(F784,'Base Insumos'!$A:$D,4,FALSE()),"")</f>
        <v/>
      </c>
      <c r="J784" s="162">
        <f>IFERROR(VLOOKUP(F784,'Base Insumos'!$A:$C,3,FALSE()),"PENDENTE")</f>
        <v/>
      </c>
      <c r="K784" s="162">
        <f>IFERROR(IF(J784="PENDENTE",0,J784*H784),0)</f>
        <v/>
      </c>
      <c r="L784" s="162" t="n">
        <v>29.99</v>
      </c>
      <c r="M784" s="201">
        <f>IFERROR(K784/L784,0)</f>
        <v/>
      </c>
      <c r="N784" s="161" t="n"/>
    </row>
    <row r="785">
      <c r="A785" s="197" t="inlineStr">
        <is>
          <t>Saladas e Molhos</t>
        </is>
      </c>
      <c r="B785" s="198" t="inlineStr">
        <is>
          <t>Saladas</t>
        </is>
      </c>
      <c r="C785" s="199" t="inlineStr">
        <is>
          <t>Salada Caprese</t>
        </is>
      </c>
      <c r="D785" s="160">
        <f>IF(ISERROR(VLOOKUP(E785,'Estrutura Protheus'!A:A,1,FALSE)),"Não","Sim")</f>
        <v/>
      </c>
      <c r="E785" s="163" t="inlineStr">
        <is>
          <t>000869</t>
        </is>
      </c>
      <c r="F785" s="163" t="inlineStr">
        <is>
          <t>000442</t>
        </is>
      </c>
      <c r="G785" s="161">
        <f>IFERROR(VLOOKUP(F785,'Base Insumos'!$A:$B,2,FALSE()),"PENDENTE")</f>
        <v/>
      </c>
      <c r="H785" s="200" t="n">
        <v>0.08</v>
      </c>
      <c r="I785" s="163">
        <f>IFERROR(VLOOKUP(F785,'Base Insumos'!$A:$D,4,FALSE()),"")</f>
        <v/>
      </c>
      <c r="J785" s="162">
        <f>IFERROR(VLOOKUP(F785,'Base Insumos'!$A:$C,3,FALSE()),"PENDENTE")</f>
        <v/>
      </c>
      <c r="K785" s="162">
        <f>IFERROR(IF(J785="PENDENTE",0,J785*H785),0)</f>
        <v/>
      </c>
      <c r="L785" s="162" t="n">
        <v>29.99</v>
      </c>
      <c r="M785" s="201">
        <f>IFERROR(K785/L785,0)</f>
        <v/>
      </c>
      <c r="N785" s="161" t="n"/>
    </row>
    <row r="786">
      <c r="A786" s="197" t="inlineStr">
        <is>
          <t>Saladas e Molhos</t>
        </is>
      </c>
      <c r="B786" s="198" t="inlineStr">
        <is>
          <t>Saladas</t>
        </is>
      </c>
      <c r="C786" s="199" t="inlineStr">
        <is>
          <t>Salada Caprese</t>
        </is>
      </c>
      <c r="D786" s="160">
        <f>IF(ISERROR(VLOOKUP(E786,'Estrutura Protheus'!A:A,1,FALSE)),"Não","Sim")</f>
        <v/>
      </c>
      <c r="E786" s="163" t="inlineStr">
        <is>
          <t>000869</t>
        </is>
      </c>
      <c r="F786" s="163" t="inlineStr">
        <is>
          <t>000485</t>
        </is>
      </c>
      <c r="G786" s="161">
        <f>IFERROR(VLOOKUP(F786,'Base Insumos'!$A:$B,2,FALSE()),"PENDENTE")</f>
        <v/>
      </c>
      <c r="H786" s="200" t="n">
        <v>0.06</v>
      </c>
      <c r="I786" s="163">
        <f>IFERROR(VLOOKUP(F786,'Base Insumos'!$A:$D,4,FALSE()),"")</f>
        <v/>
      </c>
      <c r="J786" s="162">
        <f>IFERROR(VLOOKUP(F786,'Base Insumos'!$A:$C,3,FALSE()),"PENDENTE")</f>
        <v/>
      </c>
      <c r="K786" s="162">
        <f>IFERROR(IF(J786="PENDENTE",0,J786*H786),0)</f>
        <v/>
      </c>
      <c r="L786" s="162" t="n">
        <v>29.99</v>
      </c>
      <c r="M786" s="201">
        <f>IFERROR(K786/L786,0)</f>
        <v/>
      </c>
      <c r="N786" s="161" t="n"/>
    </row>
    <row r="787">
      <c r="A787" s="197" t="inlineStr">
        <is>
          <t>Saladas e Molhos</t>
        </is>
      </c>
      <c r="B787" s="198" t="inlineStr">
        <is>
          <t>Saladas</t>
        </is>
      </c>
      <c r="C787" s="199" t="inlineStr">
        <is>
          <t>Salada Caprese</t>
        </is>
      </c>
      <c r="D787" s="160">
        <f>IF(ISERROR(VLOOKUP(E787,'Estrutura Protheus'!A:A,1,FALSE)),"Não","Sim")</f>
        <v/>
      </c>
      <c r="E787" s="163" t="inlineStr">
        <is>
          <t>000869</t>
        </is>
      </c>
      <c r="F787" s="163" t="inlineStr">
        <is>
          <t>000477</t>
        </is>
      </c>
      <c r="G787" s="161">
        <f>IFERROR(VLOOKUP(F787,'Base Insumos'!$A:$B,2,FALSE()),"PENDENTE")</f>
        <v/>
      </c>
      <c r="H787" s="200" t="n">
        <v>0.0115</v>
      </c>
      <c r="I787" s="163">
        <f>IFERROR(VLOOKUP(F787,'Base Insumos'!$A:$D,4,FALSE()),"")</f>
        <v/>
      </c>
      <c r="J787" s="162">
        <f>IFERROR(VLOOKUP(F787,'Base Insumos'!$A:$C,3,FALSE()),"PENDENTE")</f>
        <v/>
      </c>
      <c r="K787" s="162">
        <f>IFERROR(IF(J787="PENDENTE",0,J787*H787),0)</f>
        <v/>
      </c>
      <c r="L787" s="162" t="n">
        <v>29.99</v>
      </c>
      <c r="M787" s="201">
        <f>IFERROR(K787/L787,0)</f>
        <v/>
      </c>
      <c r="N787" s="161" t="n"/>
    </row>
    <row r="788">
      <c r="A788" s="197" t="inlineStr">
        <is>
          <t>Saladas e Molhos</t>
        </is>
      </c>
      <c r="B788" s="198" t="inlineStr">
        <is>
          <t>Saladas</t>
        </is>
      </c>
      <c r="C788" s="199" t="inlineStr">
        <is>
          <t>Salada Caprese</t>
        </is>
      </c>
      <c r="D788" s="160">
        <f>IF(ISERROR(VLOOKUP(E788,'Estrutura Protheus'!A:A,1,FALSE)),"Não","Sim")</f>
        <v/>
      </c>
      <c r="E788" s="163" t="inlineStr">
        <is>
          <t>000869</t>
        </is>
      </c>
      <c r="F788" s="163" t="inlineStr">
        <is>
          <t>000411</t>
        </is>
      </c>
      <c r="G788" s="161">
        <f>IFERROR(VLOOKUP(F788,'Base Insumos'!$A:$B,2,FALSE()),"PENDENTE")</f>
        <v/>
      </c>
      <c r="H788" s="200" t="n">
        <v>0.005</v>
      </c>
      <c r="I788" s="163">
        <f>IFERROR(VLOOKUP(F788,'Base Insumos'!$A:$D,4,FALSE()),"")</f>
        <v/>
      </c>
      <c r="J788" s="162">
        <f>IFERROR(VLOOKUP(F788,'Base Insumos'!$A:$C,3,FALSE()),"PENDENTE")</f>
        <v/>
      </c>
      <c r="K788" s="162">
        <f>IFERROR(IF(J788="PENDENTE",0,J788*H788),0)</f>
        <v/>
      </c>
      <c r="L788" s="162" t="n">
        <v>29.99</v>
      </c>
      <c r="M788" s="201">
        <f>IFERROR(K788/L788,0)</f>
        <v/>
      </c>
      <c r="N788" s="161" t="n"/>
    </row>
    <row r="789">
      <c r="A789" s="197" t="inlineStr">
        <is>
          <t>Saladas e Molhos</t>
        </is>
      </c>
      <c r="B789" s="198" t="inlineStr">
        <is>
          <t>Saladas</t>
        </is>
      </c>
      <c r="C789" s="199" t="inlineStr">
        <is>
          <t>Salada Caprese</t>
        </is>
      </c>
      <c r="D789" s="160">
        <f>IF(ISERROR(VLOOKUP(E789,'Estrutura Protheus'!A:A,1,FALSE)),"Não","Sim")</f>
        <v/>
      </c>
      <c r="E789" s="163" t="inlineStr">
        <is>
          <t>000869</t>
        </is>
      </c>
      <c r="F789" s="163" t="inlineStr">
        <is>
          <t>001043</t>
        </is>
      </c>
      <c r="G789" s="161">
        <f>IFERROR(VLOOKUP(F789,'Base Insumos'!$A:$B,2,FALSE()),"PENDENTE")</f>
        <v/>
      </c>
      <c r="H789" s="200" t="n">
        <v>0.035</v>
      </c>
      <c r="I789" s="163">
        <f>IFERROR(VLOOKUP(F789,'Base Insumos'!$A:$D,4,FALSE()),"")</f>
        <v/>
      </c>
      <c r="J789" s="162">
        <f>IFERROR(VLOOKUP(F789,'Base Insumos'!$A:$C,3,FALSE()),"PENDENTE")</f>
        <v/>
      </c>
      <c r="K789" s="162">
        <f>IFERROR(IF(J789="PENDENTE",0,J789*H789),0)</f>
        <v/>
      </c>
      <c r="L789" s="162" t="n">
        <v>29.99</v>
      </c>
      <c r="M789" s="201">
        <f>IFERROR(K789/L789,0)</f>
        <v/>
      </c>
      <c r="N789" s="161" t="n"/>
    </row>
    <row r="790">
      <c r="A790" s="197" t="inlineStr">
        <is>
          <t>Saladas e Molhos</t>
        </is>
      </c>
      <c r="B790" s="198" t="inlineStr">
        <is>
          <t>Saladas</t>
        </is>
      </c>
      <c r="C790" s="199" t="inlineStr">
        <is>
          <t>Salada Caprese</t>
        </is>
      </c>
      <c r="D790" s="160">
        <f>IF(ISERROR(VLOOKUP(E790,'Estrutura Protheus'!A:A,1,FALSE)),"Não","Sim")</f>
        <v/>
      </c>
      <c r="E790" s="163" t="inlineStr">
        <is>
          <t>000869</t>
        </is>
      </c>
      <c r="F790" s="163" t="inlineStr">
        <is>
          <t>000463</t>
        </is>
      </c>
      <c r="G790" s="161">
        <f>IFERROR(VLOOKUP(F790,'Base Insumos'!$A:$B,2,FALSE()),"PENDENTE")</f>
        <v/>
      </c>
      <c r="H790" s="200" t="n">
        <v>0.0015</v>
      </c>
      <c r="I790" s="163">
        <f>IFERROR(VLOOKUP(F790,'Base Insumos'!$A:$D,4,FALSE()),"")</f>
        <v/>
      </c>
      <c r="J790" s="162">
        <f>IFERROR(VLOOKUP(F790,'Base Insumos'!$A:$C,3,FALSE()),"PENDENTE")</f>
        <v/>
      </c>
      <c r="K790" s="162">
        <f>IFERROR(IF(J790="PENDENTE",0,J790*H790),0)</f>
        <v/>
      </c>
      <c r="L790" s="162" t="n">
        <v>29.99</v>
      </c>
      <c r="M790" s="201">
        <f>IFERROR(K790/L790,0)</f>
        <v/>
      </c>
      <c r="N790" s="161" t="n"/>
    </row>
    <row r="791">
      <c r="A791" s="197" t="inlineStr">
        <is>
          <t>Saladas e Molhos</t>
        </is>
      </c>
      <c r="B791" s="198" t="inlineStr">
        <is>
          <t>Saladas</t>
        </is>
      </c>
      <c r="C791" s="199" t="inlineStr">
        <is>
          <t>Salada Caprese</t>
        </is>
      </c>
      <c r="D791" s="160">
        <f>IF(ISERROR(VLOOKUP(E791,'Estrutura Protheus'!A:A,1,FALSE)),"Não","Sim")</f>
        <v/>
      </c>
      <c r="E791" s="163" t="inlineStr">
        <is>
          <t>000869</t>
        </is>
      </c>
      <c r="F791" s="163" t="inlineStr">
        <is>
          <t>000414</t>
        </is>
      </c>
      <c r="G791" s="161">
        <f>IFERROR(VLOOKUP(F791,'Base Insumos'!$A:$B,2,FALSE()),"PENDENTE")</f>
        <v/>
      </c>
      <c r="H791" s="200" t="n">
        <v>0.0003</v>
      </c>
      <c r="I791" s="163">
        <f>IFERROR(VLOOKUP(F791,'Base Insumos'!$A:$D,4,FALSE()),"")</f>
        <v/>
      </c>
      <c r="J791" s="162">
        <f>IFERROR(VLOOKUP(F791,'Base Insumos'!$A:$C,3,FALSE()),"PENDENTE")</f>
        <v/>
      </c>
      <c r="K791" s="162">
        <f>IFERROR(IF(J791="PENDENTE",0,J791*H791),0)</f>
        <v/>
      </c>
      <c r="L791" s="162" t="n">
        <v>29.99</v>
      </c>
      <c r="M791" s="201">
        <f>IFERROR(K791/L791,0)</f>
        <v/>
      </c>
      <c r="N791" s="161" t="n"/>
    </row>
    <row r="792">
      <c r="A792" s="197" t="inlineStr">
        <is>
          <t>Saladas e Molhos</t>
        </is>
      </c>
      <c r="B792" s="198" t="inlineStr">
        <is>
          <t>Saladas</t>
        </is>
      </c>
      <c r="C792" s="199" t="inlineStr">
        <is>
          <t>Salada Caprese</t>
        </is>
      </c>
      <c r="D792" s="160">
        <f>IF(ISERROR(VLOOKUP(E792,'Estrutura Protheus'!A:A,1,FALSE)),"Não","Sim")</f>
        <v/>
      </c>
      <c r="E792" s="163" t="inlineStr">
        <is>
          <t>000869</t>
        </is>
      </c>
      <c r="F792" s="163" t="inlineStr">
        <is>
          <t>000614</t>
        </is>
      </c>
      <c r="G792" s="161">
        <f>IFERROR(VLOOKUP(F792,'Base Insumos'!$A:$B,2,FALSE()),"PENDENTE")</f>
        <v/>
      </c>
      <c r="H792" s="200" t="n">
        <v>0.001</v>
      </c>
      <c r="I792" s="163">
        <f>IFERROR(VLOOKUP(F792,'Base Insumos'!$A:$D,4,FALSE()),"")</f>
        <v/>
      </c>
      <c r="J792" s="162">
        <f>IFERROR(VLOOKUP(F792,'Base Insumos'!$A:$C,3,FALSE()),"PENDENTE")</f>
        <v/>
      </c>
      <c r="K792" s="162">
        <f>IFERROR(IF(J792="PENDENTE",0,J792*H792),0)</f>
        <v/>
      </c>
      <c r="L792" s="162" t="n">
        <v>29.99</v>
      </c>
      <c r="M792" s="201">
        <f>IFERROR(K792/L792,0)</f>
        <v/>
      </c>
      <c r="N792" s="161" t="n"/>
    </row>
    <row r="793">
      <c r="A793" s="197" t="inlineStr">
        <is>
          <t>Saladas e Molhos</t>
        </is>
      </c>
      <c r="B793" s="198" t="inlineStr">
        <is>
          <t>Saladas</t>
        </is>
      </c>
      <c r="C793" s="199" t="inlineStr">
        <is>
          <t>Salada da Casa</t>
        </is>
      </c>
      <c r="D793" s="160">
        <f>IF(ISERROR(VLOOKUP(E793,'Estrutura Protheus'!A:A,1,FALSE)),"Não","Sim")</f>
        <v/>
      </c>
      <c r="E793" s="163" t="inlineStr">
        <is>
          <t>000870</t>
        </is>
      </c>
      <c r="F793" s="163" t="inlineStr">
        <is>
          <t>000461</t>
        </is>
      </c>
      <c r="G793" s="161">
        <f>IFERROR(VLOOKUP(F793,'Base Insumos'!$A:$B,2,FALSE()),"PENDENTE")</f>
        <v/>
      </c>
      <c r="H793" s="200" t="n">
        <v>0.08</v>
      </c>
      <c r="I793" s="163">
        <f>IFERROR(VLOOKUP(F793,'Base Insumos'!$A:$D,4,FALSE()),"")</f>
        <v/>
      </c>
      <c r="J793" s="162">
        <f>IFERROR(VLOOKUP(F793,'Base Insumos'!$A:$C,3,FALSE()),"PENDENTE")</f>
        <v/>
      </c>
      <c r="K793" s="162">
        <f>IFERROR(IF(J793="PENDENTE",0,J793*H793),0)</f>
        <v/>
      </c>
      <c r="L793" s="162" t="n">
        <v>29.99</v>
      </c>
      <c r="M793" s="201">
        <f>IFERROR(K793/L793,0)</f>
        <v/>
      </c>
      <c r="N793" s="161" t="n"/>
    </row>
    <row r="794">
      <c r="A794" s="197" t="inlineStr">
        <is>
          <t>Saladas e Molhos</t>
        </is>
      </c>
      <c r="B794" s="198" t="inlineStr">
        <is>
          <t>Saladas</t>
        </is>
      </c>
      <c r="C794" s="199" t="inlineStr">
        <is>
          <t>Salada da Casa</t>
        </is>
      </c>
      <c r="D794" s="160">
        <f>IF(ISERROR(VLOOKUP(E794,'Estrutura Protheus'!A:A,1,FALSE)),"Não","Sim")</f>
        <v/>
      </c>
      <c r="E794" s="163" t="inlineStr">
        <is>
          <t>000870</t>
        </is>
      </c>
      <c r="F794" s="163" t="inlineStr">
        <is>
          <t>000483</t>
        </is>
      </c>
      <c r="G794" s="161">
        <f>IFERROR(VLOOKUP(F794,'Base Insumos'!$A:$B,2,FALSE()),"PENDENTE")</f>
        <v/>
      </c>
      <c r="H794" s="200" t="n">
        <v>0.02</v>
      </c>
      <c r="I794" s="163">
        <f>IFERROR(VLOOKUP(F794,'Base Insumos'!$A:$D,4,FALSE()),"")</f>
        <v/>
      </c>
      <c r="J794" s="162">
        <f>IFERROR(VLOOKUP(F794,'Base Insumos'!$A:$C,3,FALSE()),"PENDENTE")</f>
        <v/>
      </c>
      <c r="K794" s="162">
        <f>IFERROR(IF(J794="PENDENTE",0,J794*H794),0)</f>
        <v/>
      </c>
      <c r="L794" s="162" t="n">
        <v>29.99</v>
      </c>
      <c r="M794" s="201">
        <f>IFERROR(K794/L794,0)</f>
        <v/>
      </c>
      <c r="N794" s="161" t="n"/>
    </row>
    <row r="795">
      <c r="A795" s="197" t="inlineStr">
        <is>
          <t>Saladas e Molhos</t>
        </is>
      </c>
      <c r="B795" s="198" t="inlineStr">
        <is>
          <t>Saladas</t>
        </is>
      </c>
      <c r="C795" s="199" t="inlineStr">
        <is>
          <t>Salada da Casa</t>
        </is>
      </c>
      <c r="D795" s="160">
        <f>IF(ISERROR(VLOOKUP(E795,'Estrutura Protheus'!A:A,1,FALSE)),"Não","Sim")</f>
        <v/>
      </c>
      <c r="E795" s="163" t="inlineStr">
        <is>
          <t>000870</t>
        </is>
      </c>
      <c r="F795" s="163" t="inlineStr">
        <is>
          <t>000460</t>
        </is>
      </c>
      <c r="G795" s="161">
        <f>IFERROR(VLOOKUP(F795,'Base Insumos'!$A:$B,2,FALSE()),"PENDENTE")</f>
        <v/>
      </c>
      <c r="H795" s="200" t="n">
        <v>0.02</v>
      </c>
      <c r="I795" s="163">
        <f>IFERROR(VLOOKUP(F795,'Base Insumos'!$A:$D,4,FALSE()),"")</f>
        <v/>
      </c>
      <c r="J795" s="162">
        <f>IFERROR(VLOOKUP(F795,'Base Insumos'!$A:$C,3,FALSE()),"PENDENTE")</f>
        <v/>
      </c>
      <c r="K795" s="162">
        <f>IFERROR(IF(J795="PENDENTE",0,J795*H795),0)</f>
        <v/>
      </c>
      <c r="L795" s="162" t="n">
        <v>29.99</v>
      </c>
      <c r="M795" s="201">
        <f>IFERROR(K795/L795,0)</f>
        <v/>
      </c>
      <c r="N795" s="161" t="n"/>
    </row>
    <row r="796">
      <c r="A796" s="197" t="inlineStr">
        <is>
          <t>Saladas e Molhos</t>
        </is>
      </c>
      <c r="B796" s="198" t="inlineStr">
        <is>
          <t>Saladas</t>
        </is>
      </c>
      <c r="C796" s="199" t="inlineStr">
        <is>
          <t>Salada da Casa</t>
        </is>
      </c>
      <c r="D796" s="160">
        <f>IF(ISERROR(VLOOKUP(E796,'Estrutura Protheus'!A:A,1,FALSE)),"Não","Sim")</f>
        <v/>
      </c>
      <c r="E796" s="163" t="inlineStr">
        <is>
          <t>000870</t>
        </is>
      </c>
      <c r="F796" s="163" t="inlineStr">
        <is>
          <t>000462</t>
        </is>
      </c>
      <c r="G796" s="161">
        <f>IFERROR(VLOOKUP(F796,'Base Insumos'!$A:$B,2,FALSE()),"PENDENTE")</f>
        <v/>
      </c>
      <c r="H796" s="200" t="n">
        <v>0.05</v>
      </c>
      <c r="I796" s="163">
        <f>IFERROR(VLOOKUP(F796,'Base Insumos'!$A:$D,4,FALSE()),"")</f>
        <v/>
      </c>
      <c r="J796" s="162">
        <f>IFERROR(VLOOKUP(F796,'Base Insumos'!$A:$C,3,FALSE()),"PENDENTE")</f>
        <v/>
      </c>
      <c r="K796" s="162">
        <f>IFERROR(IF(J796="PENDENTE",0,J796*H796),0)</f>
        <v/>
      </c>
      <c r="L796" s="162" t="n">
        <v>29.99</v>
      </c>
      <c r="M796" s="201">
        <f>IFERROR(K796/L796,0)</f>
        <v/>
      </c>
      <c r="N796" s="161" t="n"/>
    </row>
    <row r="797">
      <c r="A797" s="197" t="inlineStr">
        <is>
          <t>Saladas e Molhos</t>
        </is>
      </c>
      <c r="B797" s="198" t="inlineStr">
        <is>
          <t>Saladas</t>
        </is>
      </c>
      <c r="C797" s="199" t="inlineStr">
        <is>
          <t>Salada da Casa</t>
        </is>
      </c>
      <c r="D797" s="160">
        <f>IF(ISERROR(VLOOKUP(E797,'Estrutura Protheus'!A:A,1,FALSE)),"Não","Sim")</f>
        <v/>
      </c>
      <c r="E797" s="163" t="inlineStr">
        <is>
          <t>000870</t>
        </is>
      </c>
      <c r="F797" s="163" t="inlineStr">
        <is>
          <t>000468</t>
        </is>
      </c>
      <c r="G797" s="161">
        <f>IFERROR(VLOOKUP(F797,'Base Insumos'!$A:$B,2,FALSE()),"PENDENTE")</f>
        <v/>
      </c>
      <c r="H797" s="200" t="n">
        <v>0.02</v>
      </c>
      <c r="I797" s="163">
        <f>IFERROR(VLOOKUP(F797,'Base Insumos'!$A:$D,4,FALSE()),"")</f>
        <v/>
      </c>
      <c r="J797" s="162">
        <f>IFERROR(VLOOKUP(F797,'Base Insumos'!$A:$C,3,FALSE()),"PENDENTE")</f>
        <v/>
      </c>
      <c r="K797" s="162">
        <f>IFERROR(IF(J797="PENDENTE",0,J797*H797),0)</f>
        <v/>
      </c>
      <c r="L797" s="162" t="n">
        <v>29.99</v>
      </c>
      <c r="M797" s="201">
        <f>IFERROR(K797/L797,0)</f>
        <v/>
      </c>
      <c r="N797" s="161" t="n"/>
    </row>
    <row r="798">
      <c r="A798" s="197" t="inlineStr">
        <is>
          <t>Saladas e Molhos</t>
        </is>
      </c>
      <c r="B798" s="198" t="inlineStr">
        <is>
          <t>Saladas</t>
        </is>
      </c>
      <c r="C798" s="199" t="inlineStr">
        <is>
          <t>Salada da Casa</t>
        </is>
      </c>
      <c r="D798" s="160">
        <f>IF(ISERROR(VLOOKUP(E798,'Estrutura Protheus'!A:A,1,FALSE)),"Não","Sim")</f>
        <v/>
      </c>
      <c r="E798" s="163" t="inlineStr">
        <is>
          <t>000870</t>
        </is>
      </c>
      <c r="F798" s="163" t="inlineStr">
        <is>
          <t>000470</t>
        </is>
      </c>
      <c r="G798" s="161">
        <f>IFERROR(VLOOKUP(F798,'Base Insumos'!$A:$B,2,FALSE()),"PENDENTE")</f>
        <v/>
      </c>
      <c r="H798" s="200" t="n">
        <v>0.04</v>
      </c>
      <c r="I798" s="163">
        <f>IFERROR(VLOOKUP(F798,'Base Insumos'!$A:$D,4,FALSE()),"")</f>
        <v/>
      </c>
      <c r="J798" s="162">
        <f>IFERROR(VLOOKUP(F798,'Base Insumos'!$A:$C,3,FALSE()),"PENDENTE")</f>
        <v/>
      </c>
      <c r="K798" s="162">
        <f>IFERROR(IF(J798="PENDENTE",0,J798*H798),0)</f>
        <v/>
      </c>
      <c r="L798" s="162" t="n">
        <v>29.99</v>
      </c>
      <c r="M798" s="201">
        <f>IFERROR(K798/L798,0)</f>
        <v/>
      </c>
      <c r="N798" s="161" t="n"/>
    </row>
    <row r="799">
      <c r="A799" s="197" t="inlineStr">
        <is>
          <t>Saladas e Molhos</t>
        </is>
      </c>
      <c r="B799" s="198" t="inlineStr">
        <is>
          <t>Saladas</t>
        </is>
      </c>
      <c r="C799" s="199" t="inlineStr">
        <is>
          <t>Salada da Casa</t>
        </is>
      </c>
      <c r="D799" s="160">
        <f>IF(ISERROR(VLOOKUP(E799,'Estrutura Protheus'!A:A,1,FALSE)),"Não","Sim")</f>
        <v/>
      </c>
      <c r="E799" s="163" t="inlineStr">
        <is>
          <t>000870</t>
        </is>
      </c>
      <c r="F799" s="163" t="inlineStr">
        <is>
          <t>000485</t>
        </is>
      </c>
      <c r="G799" s="161">
        <f>IFERROR(VLOOKUP(F799,'Base Insumos'!$A:$B,2,FALSE()),"PENDENTE")</f>
        <v/>
      </c>
      <c r="H799" s="200" t="n">
        <v>0.06</v>
      </c>
      <c r="I799" s="163">
        <f>IFERROR(VLOOKUP(F799,'Base Insumos'!$A:$D,4,FALSE()),"")</f>
        <v/>
      </c>
      <c r="J799" s="162">
        <f>IFERROR(VLOOKUP(F799,'Base Insumos'!$A:$C,3,FALSE()),"PENDENTE")</f>
        <v/>
      </c>
      <c r="K799" s="162">
        <f>IFERROR(IF(J799="PENDENTE",0,J799*H799),0)</f>
        <v/>
      </c>
      <c r="L799" s="162" t="n">
        <v>29.99</v>
      </c>
      <c r="M799" s="201">
        <f>IFERROR(K799/L799,0)</f>
        <v/>
      </c>
      <c r="N799" s="161" t="n"/>
    </row>
    <row r="800">
      <c r="A800" s="197" t="inlineStr">
        <is>
          <t>Saladas e Molhos</t>
        </is>
      </c>
      <c r="B800" s="198" t="inlineStr">
        <is>
          <t>Saladas</t>
        </is>
      </c>
      <c r="C800" s="199" t="inlineStr">
        <is>
          <t>Salada da Casa</t>
        </is>
      </c>
      <c r="D800" s="160">
        <f>IF(ISERROR(VLOOKUP(E800,'Estrutura Protheus'!A:A,1,FALSE)),"Não","Sim")</f>
        <v/>
      </c>
      <c r="E800" s="163" t="inlineStr">
        <is>
          <t>000870</t>
        </is>
      </c>
      <c r="F800" s="163" t="inlineStr">
        <is>
          <t>000445</t>
        </is>
      </c>
      <c r="G800" s="161">
        <f>IFERROR(VLOOKUP(F800,'Base Insumos'!$A:$B,2,FALSE()),"PENDENTE")</f>
        <v/>
      </c>
      <c r="H800" s="200" t="n">
        <v>0.06</v>
      </c>
      <c r="I800" s="163">
        <f>IFERROR(VLOOKUP(F800,'Base Insumos'!$A:$D,4,FALSE()),"")</f>
        <v/>
      </c>
      <c r="J800" s="162">
        <f>IFERROR(VLOOKUP(F800,'Base Insumos'!$A:$C,3,FALSE()),"PENDENTE")</f>
        <v/>
      </c>
      <c r="K800" s="162">
        <f>IFERROR(IF(J800="PENDENTE",0,J800*H800),0)</f>
        <v/>
      </c>
      <c r="L800" s="162" t="n">
        <v>29.99</v>
      </c>
      <c r="M800" s="201">
        <f>IFERROR(K800/L800,0)</f>
        <v/>
      </c>
      <c r="N800" s="161" t="n"/>
    </row>
    <row r="801">
      <c r="A801" s="197" t="inlineStr">
        <is>
          <t>Saladas e Molhos</t>
        </is>
      </c>
      <c r="B801" s="198" t="inlineStr">
        <is>
          <t>Saladas</t>
        </is>
      </c>
      <c r="C801" s="199" t="inlineStr">
        <is>
          <t>Salada Juliana</t>
        </is>
      </c>
      <c r="D801" s="160">
        <f>IF(ISERROR(VLOOKUP(E801,'Estrutura Protheus'!A:A,1,FALSE)),"Não","Sim")</f>
        <v/>
      </c>
      <c r="E801" s="163" t="inlineStr">
        <is>
          <t>000871</t>
        </is>
      </c>
      <c r="F801" s="163" t="inlineStr">
        <is>
          <t>000461</t>
        </is>
      </c>
      <c r="G801" s="161">
        <f>IFERROR(VLOOKUP(F801,'Base Insumos'!$A:$B,2,FALSE()),"PENDENTE")</f>
        <v/>
      </c>
      <c r="H801" s="200" t="n">
        <v>0.08</v>
      </c>
      <c r="I801" s="163">
        <f>IFERROR(VLOOKUP(F801,'Base Insumos'!$A:$D,4,FALSE()),"")</f>
        <v/>
      </c>
      <c r="J801" s="162">
        <f>IFERROR(VLOOKUP(F801,'Base Insumos'!$A:$C,3,FALSE()),"PENDENTE")</f>
        <v/>
      </c>
      <c r="K801" s="162">
        <f>IFERROR(IF(J801="PENDENTE",0,J801*H801),0)</f>
        <v/>
      </c>
      <c r="L801" s="162" t="n">
        <v>29.99</v>
      </c>
      <c r="M801" s="201">
        <f>IFERROR(K801/L801,0)</f>
        <v/>
      </c>
      <c r="N801" s="161" t="n"/>
    </row>
    <row r="802">
      <c r="A802" s="197" t="inlineStr">
        <is>
          <t>Saladas e Molhos</t>
        </is>
      </c>
      <c r="B802" s="198" t="inlineStr">
        <is>
          <t>Saladas</t>
        </is>
      </c>
      <c r="C802" s="199" t="inlineStr">
        <is>
          <t>Salada Juliana</t>
        </is>
      </c>
      <c r="D802" s="160">
        <f>IF(ISERROR(VLOOKUP(E802,'Estrutura Protheus'!A:A,1,FALSE)),"Não","Sim")</f>
        <v/>
      </c>
      <c r="E802" s="163" t="inlineStr">
        <is>
          <t>000871</t>
        </is>
      </c>
      <c r="F802" s="163" t="inlineStr">
        <is>
          <t>000483</t>
        </is>
      </c>
      <c r="G802" s="161">
        <f>IFERROR(VLOOKUP(F802,'Base Insumos'!$A:$B,2,FALSE()),"PENDENTE")</f>
        <v/>
      </c>
      <c r="H802" s="200" t="n">
        <v>0.02</v>
      </c>
      <c r="I802" s="163">
        <f>IFERROR(VLOOKUP(F802,'Base Insumos'!$A:$D,4,FALSE()),"")</f>
        <v/>
      </c>
      <c r="J802" s="162">
        <f>IFERROR(VLOOKUP(F802,'Base Insumos'!$A:$C,3,FALSE()),"PENDENTE")</f>
        <v/>
      </c>
      <c r="K802" s="162">
        <f>IFERROR(IF(J802="PENDENTE",0,J802*H802),0)</f>
        <v/>
      </c>
      <c r="L802" s="162" t="n">
        <v>29.99</v>
      </c>
      <c r="M802" s="201">
        <f>IFERROR(K802/L802,0)</f>
        <v/>
      </c>
      <c r="N802" s="161" t="n"/>
    </row>
    <row r="803">
      <c r="A803" s="197" t="inlineStr">
        <is>
          <t>Saladas e Molhos</t>
        </is>
      </c>
      <c r="B803" s="198" t="inlineStr">
        <is>
          <t>Saladas</t>
        </is>
      </c>
      <c r="C803" s="199" t="inlineStr">
        <is>
          <t>Salada Juliana</t>
        </is>
      </c>
      <c r="D803" s="160">
        <f>IF(ISERROR(VLOOKUP(E803,'Estrutura Protheus'!A:A,1,FALSE)),"Não","Sim")</f>
        <v/>
      </c>
      <c r="E803" s="163" t="inlineStr">
        <is>
          <t>000871</t>
        </is>
      </c>
      <c r="F803" s="163" t="inlineStr">
        <is>
          <t>000460</t>
        </is>
      </c>
      <c r="G803" s="161">
        <f>IFERROR(VLOOKUP(F803,'Base Insumos'!$A:$B,2,FALSE()),"PENDENTE")</f>
        <v/>
      </c>
      <c r="H803" s="200" t="n">
        <v>0.02</v>
      </c>
      <c r="I803" s="163">
        <f>IFERROR(VLOOKUP(F803,'Base Insumos'!$A:$D,4,FALSE()),"")</f>
        <v/>
      </c>
      <c r="J803" s="162">
        <f>IFERROR(VLOOKUP(F803,'Base Insumos'!$A:$C,3,FALSE()),"PENDENTE")</f>
        <v/>
      </c>
      <c r="K803" s="162">
        <f>IFERROR(IF(J803="PENDENTE",0,J803*H803),0)</f>
        <v/>
      </c>
      <c r="L803" s="162" t="n">
        <v>29.99</v>
      </c>
      <c r="M803" s="201">
        <f>IFERROR(K803/L803,0)</f>
        <v/>
      </c>
      <c r="N803" s="161" t="n"/>
    </row>
    <row r="804">
      <c r="A804" s="197" t="inlineStr">
        <is>
          <t>Saladas e Molhos</t>
        </is>
      </c>
      <c r="B804" s="198" t="inlineStr">
        <is>
          <t>Saladas</t>
        </is>
      </c>
      <c r="C804" s="199" t="inlineStr">
        <is>
          <t>Salada Juliana</t>
        </is>
      </c>
      <c r="D804" s="160">
        <f>IF(ISERROR(VLOOKUP(E804,'Estrutura Protheus'!A:A,1,FALSE)),"Não","Sim")</f>
        <v/>
      </c>
      <c r="E804" s="163" t="inlineStr">
        <is>
          <t>000871</t>
        </is>
      </c>
      <c r="F804" s="163" t="inlineStr">
        <is>
          <t>000462</t>
        </is>
      </c>
      <c r="G804" s="161">
        <f>IFERROR(VLOOKUP(F804,'Base Insumos'!$A:$B,2,FALSE()),"PENDENTE")</f>
        <v/>
      </c>
      <c r="H804" s="200" t="n">
        <v>0.05</v>
      </c>
      <c r="I804" s="163">
        <f>IFERROR(VLOOKUP(F804,'Base Insumos'!$A:$D,4,FALSE()),"")</f>
        <v/>
      </c>
      <c r="J804" s="162">
        <f>IFERROR(VLOOKUP(F804,'Base Insumos'!$A:$C,3,FALSE()),"PENDENTE")</f>
        <v/>
      </c>
      <c r="K804" s="162">
        <f>IFERROR(IF(J804="PENDENTE",0,J804*H804),0)</f>
        <v/>
      </c>
      <c r="L804" s="162" t="n">
        <v>29.99</v>
      </c>
      <c r="M804" s="201">
        <f>IFERROR(K804/L804,0)</f>
        <v/>
      </c>
      <c r="N804" s="161" t="n"/>
    </row>
    <row r="805">
      <c r="A805" s="197" t="inlineStr">
        <is>
          <t>Saladas e Molhos</t>
        </is>
      </c>
      <c r="B805" s="198" t="inlineStr">
        <is>
          <t>Saladas</t>
        </is>
      </c>
      <c r="C805" s="199" t="inlineStr">
        <is>
          <t>Salada Juliana</t>
        </is>
      </c>
      <c r="D805" s="160">
        <f>IF(ISERROR(VLOOKUP(E805,'Estrutura Protheus'!A:A,1,FALSE)),"Não","Sim")</f>
        <v/>
      </c>
      <c r="E805" s="163" t="inlineStr">
        <is>
          <t>000871</t>
        </is>
      </c>
      <c r="F805" s="163" t="inlineStr">
        <is>
          <t>000470</t>
        </is>
      </c>
      <c r="G805" s="161">
        <f>IFERROR(VLOOKUP(F805,'Base Insumos'!$A:$B,2,FALSE()),"PENDENTE")</f>
        <v/>
      </c>
      <c r="H805" s="200" t="n">
        <v>0.04</v>
      </c>
      <c r="I805" s="163">
        <f>IFERROR(VLOOKUP(F805,'Base Insumos'!$A:$D,4,FALSE()),"")</f>
        <v/>
      </c>
      <c r="J805" s="162">
        <f>IFERROR(VLOOKUP(F805,'Base Insumos'!$A:$C,3,FALSE()),"PENDENTE")</f>
        <v/>
      </c>
      <c r="K805" s="162">
        <f>IFERROR(IF(J805="PENDENTE",0,J805*H805),0)</f>
        <v/>
      </c>
      <c r="L805" s="162" t="n">
        <v>29.99</v>
      </c>
      <c r="M805" s="201">
        <f>IFERROR(K805/L805,0)</f>
        <v/>
      </c>
      <c r="N805" s="161" t="n"/>
    </row>
    <row r="806">
      <c r="A806" s="197" t="inlineStr">
        <is>
          <t>Saladas e Molhos</t>
        </is>
      </c>
      <c r="B806" s="198" t="inlineStr">
        <is>
          <t>Saladas</t>
        </is>
      </c>
      <c r="C806" s="199" t="inlineStr">
        <is>
          <t>Salada Juliana</t>
        </is>
      </c>
      <c r="D806" s="160">
        <f>IF(ISERROR(VLOOKUP(E806,'Estrutura Protheus'!A:A,1,FALSE)),"Não","Sim")</f>
        <v/>
      </c>
      <c r="E806" s="163" t="inlineStr">
        <is>
          <t>000871</t>
        </is>
      </c>
      <c r="F806" s="163" t="inlineStr">
        <is>
          <t>000485</t>
        </is>
      </c>
      <c r="G806" s="161">
        <f>IFERROR(VLOOKUP(F806,'Base Insumos'!$A:$B,2,FALSE()),"PENDENTE")</f>
        <v/>
      </c>
      <c r="H806" s="200" t="n">
        <v>0.06</v>
      </c>
      <c r="I806" s="163">
        <f>IFERROR(VLOOKUP(F806,'Base Insumos'!$A:$D,4,FALSE()),"")</f>
        <v/>
      </c>
      <c r="J806" s="162">
        <f>IFERROR(VLOOKUP(F806,'Base Insumos'!$A:$C,3,FALSE()),"PENDENTE")</f>
        <v/>
      </c>
      <c r="K806" s="162">
        <f>IFERROR(IF(J806="PENDENTE",0,J806*H806),0)</f>
        <v/>
      </c>
      <c r="L806" s="162" t="n">
        <v>29.99</v>
      </c>
      <c r="M806" s="201">
        <f>IFERROR(K806/L806,0)</f>
        <v/>
      </c>
      <c r="N806" s="161" t="n"/>
    </row>
    <row r="807">
      <c r="A807" s="197" t="inlineStr">
        <is>
          <t>Saladas e Molhos</t>
        </is>
      </c>
      <c r="B807" s="198" t="inlineStr">
        <is>
          <t>Saladas</t>
        </is>
      </c>
      <c r="C807" s="199" t="inlineStr">
        <is>
          <t>Salada Juliana</t>
        </is>
      </c>
      <c r="D807" s="160">
        <f>IF(ISERROR(VLOOKUP(E807,'Estrutura Protheus'!A:A,1,FALSE)),"Não","Sim")</f>
        <v/>
      </c>
      <c r="E807" s="163" t="inlineStr">
        <is>
          <t>000871</t>
        </is>
      </c>
      <c r="F807" s="163" t="inlineStr">
        <is>
          <t>000408</t>
        </is>
      </c>
      <c r="G807" s="161">
        <f>IFERROR(VLOOKUP(F807,'Base Insumos'!$A:$B,2,FALSE()),"PENDENTE")</f>
        <v/>
      </c>
      <c r="H807" s="200" t="n">
        <v>0.0115</v>
      </c>
      <c r="I807" s="163">
        <f>IFERROR(VLOOKUP(F807,'Base Insumos'!$A:$D,4,FALSE()),"")</f>
        <v/>
      </c>
      <c r="J807" s="162">
        <f>IFERROR(VLOOKUP(F807,'Base Insumos'!$A:$C,3,FALSE()),"PENDENTE")</f>
        <v/>
      </c>
      <c r="K807" s="162">
        <f>IFERROR(IF(J807="PENDENTE",0,J807*H807),0)</f>
        <v/>
      </c>
      <c r="L807" s="162" t="n">
        <v>29.99</v>
      </c>
      <c r="M807" s="201">
        <f>IFERROR(K807/L807,0)</f>
        <v/>
      </c>
      <c r="N807" s="161" t="n"/>
    </row>
    <row r="808">
      <c r="A808" s="197" t="inlineStr">
        <is>
          <t>Saladas e Molhos</t>
        </is>
      </c>
      <c r="B808" s="198" t="inlineStr">
        <is>
          <t>Saladas</t>
        </is>
      </c>
      <c r="C808" s="199" t="inlineStr">
        <is>
          <t>Salada Juliana</t>
        </is>
      </c>
      <c r="D808" s="160">
        <f>IF(ISERROR(VLOOKUP(E808,'Estrutura Protheus'!A:A,1,FALSE)),"Não","Sim")</f>
        <v/>
      </c>
      <c r="E808" s="163" t="inlineStr">
        <is>
          <t>000871</t>
        </is>
      </c>
      <c r="F808" s="163" t="inlineStr">
        <is>
          <t>000400</t>
        </is>
      </c>
      <c r="G808" s="161">
        <f>IFERROR(VLOOKUP(F808,'Base Insumos'!$A:$B,2,FALSE()),"PENDENTE")</f>
        <v/>
      </c>
      <c r="H808" s="200" t="n">
        <v>0.005</v>
      </c>
      <c r="I808" s="163">
        <f>IFERROR(VLOOKUP(F808,'Base Insumos'!$A:$D,4,FALSE()),"")</f>
        <v/>
      </c>
      <c r="J808" s="162">
        <f>IFERROR(VLOOKUP(F808,'Base Insumos'!$A:$C,3,FALSE()),"PENDENTE")</f>
        <v/>
      </c>
      <c r="K808" s="162">
        <f>IFERROR(IF(J808="PENDENTE",0,J808*H808),0)</f>
        <v/>
      </c>
      <c r="L808" s="162" t="n">
        <v>29.99</v>
      </c>
      <c r="M808" s="201">
        <f>IFERROR(K808/L808,0)</f>
        <v/>
      </c>
      <c r="N808" s="161" t="n"/>
    </row>
    <row r="809">
      <c r="A809" s="197" t="inlineStr">
        <is>
          <t>Saladas e Molhos</t>
        </is>
      </c>
      <c r="B809" s="198" t="inlineStr">
        <is>
          <t>Saladas</t>
        </is>
      </c>
      <c r="C809" s="199" t="inlineStr">
        <is>
          <t>Salada Juliana</t>
        </is>
      </c>
      <c r="D809" s="160">
        <f>IF(ISERROR(VLOOKUP(E809,'Estrutura Protheus'!A:A,1,FALSE)),"Não","Sim")</f>
        <v/>
      </c>
      <c r="E809" s="163" t="inlineStr">
        <is>
          <t>000871</t>
        </is>
      </c>
      <c r="F809" s="163" t="inlineStr">
        <is>
          <t>000614</t>
        </is>
      </c>
      <c r="G809" s="161">
        <f>IFERROR(VLOOKUP(F809,'Base Insumos'!$A:$B,2,FALSE()),"PENDENTE")</f>
        <v/>
      </c>
      <c r="H809" s="200" t="n">
        <v>0.035</v>
      </c>
      <c r="I809" s="163">
        <f>IFERROR(VLOOKUP(F809,'Base Insumos'!$A:$D,4,FALSE()),"")</f>
        <v/>
      </c>
      <c r="J809" s="162">
        <f>IFERROR(VLOOKUP(F809,'Base Insumos'!$A:$C,3,FALSE()),"PENDENTE")</f>
        <v/>
      </c>
      <c r="K809" s="162">
        <f>IFERROR(IF(J809="PENDENTE",0,J809*H809),0)</f>
        <v/>
      </c>
      <c r="L809" s="162" t="n">
        <v>29.99</v>
      </c>
      <c r="M809" s="201">
        <f>IFERROR(K809/L809,0)</f>
        <v/>
      </c>
      <c r="N809" s="161" t="n"/>
    </row>
    <row r="810">
      <c r="A810" s="197" t="inlineStr">
        <is>
          <t>Saladas e Molhos</t>
        </is>
      </c>
      <c r="B810" s="198" t="inlineStr">
        <is>
          <t>Saladas</t>
        </is>
      </c>
      <c r="C810" s="199" t="inlineStr">
        <is>
          <t>Salada Juliana</t>
        </is>
      </c>
      <c r="D810" s="160">
        <f>IF(ISERROR(VLOOKUP(E810,'Estrutura Protheus'!A:A,1,FALSE)),"Não","Sim")</f>
        <v/>
      </c>
      <c r="E810" s="163" t="inlineStr">
        <is>
          <t>000871</t>
        </is>
      </c>
      <c r="F810" s="163" t="inlineStr">
        <is>
          <t>000414</t>
        </is>
      </c>
      <c r="G810" s="161">
        <f>IFERROR(VLOOKUP(F810,'Base Insumos'!$A:$B,2,FALSE()),"PENDENTE")</f>
        <v/>
      </c>
      <c r="H810" s="200" t="n">
        <v>0.0015</v>
      </c>
      <c r="I810" s="163">
        <f>IFERROR(VLOOKUP(F810,'Base Insumos'!$A:$D,4,FALSE()),"")</f>
        <v/>
      </c>
      <c r="J810" s="162">
        <f>IFERROR(VLOOKUP(F810,'Base Insumos'!$A:$C,3,FALSE()),"PENDENTE")</f>
        <v/>
      </c>
      <c r="K810" s="162">
        <f>IFERROR(IF(J810="PENDENTE",0,J810*H810),0)</f>
        <v/>
      </c>
      <c r="L810" s="162" t="n">
        <v>29.99</v>
      </c>
      <c r="M810" s="201">
        <f>IFERROR(K810/L810,0)</f>
        <v/>
      </c>
      <c r="N810" s="161" t="n"/>
    </row>
    <row r="811">
      <c r="A811" s="197" t="inlineStr">
        <is>
          <t>Saladas e Molhos</t>
        </is>
      </c>
      <c r="B811" s="198" t="inlineStr">
        <is>
          <t>Saladas</t>
        </is>
      </c>
      <c r="C811" s="199" t="inlineStr">
        <is>
          <t>Salada Juliana</t>
        </is>
      </c>
      <c r="D811" s="160">
        <f>IF(ISERROR(VLOOKUP(E811,'Estrutura Protheus'!A:A,1,FALSE)),"Não","Sim")</f>
        <v/>
      </c>
      <c r="E811" s="163" t="inlineStr">
        <is>
          <t>000871</t>
        </is>
      </c>
      <c r="F811" s="163" t="inlineStr">
        <is>
          <t>000664</t>
        </is>
      </c>
      <c r="G811" s="161">
        <f>IFERROR(VLOOKUP(F811,'Base Insumos'!$A:$B,2,FALSE()),"PENDENTE")</f>
        <v/>
      </c>
      <c r="H811" s="200" t="n">
        <v>0.025</v>
      </c>
      <c r="I811" s="163">
        <f>IFERROR(VLOOKUP(F811,'Base Insumos'!$A:$D,4,FALSE()),"")</f>
        <v/>
      </c>
      <c r="J811" s="162">
        <f>IFERROR(VLOOKUP(F811,'Base Insumos'!$A:$C,3,FALSE()),"PENDENTE")</f>
        <v/>
      </c>
      <c r="K811" s="162">
        <f>IFERROR(IF(J811="PENDENTE",0,J811*H811),0)</f>
        <v/>
      </c>
      <c r="L811" s="162" t="n">
        <v>29.99</v>
      </c>
      <c r="M811" s="201">
        <f>IFERROR(K811/L811,0)</f>
        <v/>
      </c>
      <c r="N811" s="161" t="n"/>
    </row>
    <row r="812">
      <c r="A812" s="197" t="inlineStr">
        <is>
          <t>Saladas e Molhos</t>
        </is>
      </c>
      <c r="B812" s="198" t="inlineStr">
        <is>
          <t>Saladas</t>
        </is>
      </c>
      <c r="C812" s="199" t="inlineStr">
        <is>
          <t>Salada Juliana</t>
        </is>
      </c>
      <c r="D812" s="160">
        <f>IF(ISERROR(VLOOKUP(E812,'Estrutura Protheus'!A:A,1,FALSE)),"Não","Sim")</f>
        <v/>
      </c>
      <c r="E812" s="163" t="inlineStr">
        <is>
          <t>000871</t>
        </is>
      </c>
      <c r="F812" s="163" t="inlineStr">
        <is>
          <t>000426</t>
        </is>
      </c>
      <c r="G812" s="161">
        <f>IFERROR(VLOOKUP(F812,'Base Insumos'!$A:$B,2,FALSE()),"PENDENTE")</f>
        <v/>
      </c>
      <c r="H812" s="200" t="n">
        <v>0.03</v>
      </c>
      <c r="I812" s="163">
        <f>IFERROR(VLOOKUP(F812,'Base Insumos'!$A:$D,4,FALSE()),"")</f>
        <v/>
      </c>
      <c r="J812" s="162">
        <f>IFERROR(VLOOKUP(F812,'Base Insumos'!$A:$C,3,FALSE()),"PENDENTE")</f>
        <v/>
      </c>
      <c r="K812" s="162">
        <f>IFERROR(IF(J812="PENDENTE",0,J812*H812),0)</f>
        <v/>
      </c>
      <c r="L812" s="162" t="n">
        <v>29.99</v>
      </c>
      <c r="M812" s="201">
        <f>IFERROR(K812/L812,0)</f>
        <v/>
      </c>
      <c r="N812" s="161" t="n"/>
    </row>
    <row r="813">
      <c r="A813" s="197" t="inlineStr">
        <is>
          <t>Saladas e Molhos</t>
        </is>
      </c>
      <c r="B813" s="198" t="inlineStr">
        <is>
          <t>Saladas</t>
        </is>
      </c>
      <c r="C813" s="199" t="inlineStr">
        <is>
          <t>Salada California</t>
        </is>
      </c>
      <c r="D813" s="160">
        <f>IF(ISERROR(VLOOKUP(E813,'Estrutura Protheus'!A:A,1,FALSE)),"Não","Sim")</f>
        <v/>
      </c>
      <c r="E813" s="163" t="inlineStr">
        <is>
          <t>002215</t>
        </is>
      </c>
      <c r="F813" s="163" t="inlineStr">
        <is>
          <t>000461</t>
        </is>
      </c>
      <c r="G813" s="161">
        <f>IFERROR(VLOOKUP(F813,'Base Insumos'!$A:$B,2,FALSE()),"PENDENTE")</f>
        <v/>
      </c>
      <c r="H813" s="200" t="n">
        <v>0.08</v>
      </c>
      <c r="I813" s="163">
        <f>IFERROR(VLOOKUP(F813,'Base Insumos'!$A:$D,4,FALSE()),"")</f>
        <v/>
      </c>
      <c r="J813" s="162">
        <f>IFERROR(VLOOKUP(F813,'Base Insumos'!$A:$C,3,FALSE()),"PENDENTE")</f>
        <v/>
      </c>
      <c r="K813" s="162">
        <f>IFERROR(IF(J813="PENDENTE",0,J813*H813),0)</f>
        <v/>
      </c>
      <c r="L813" s="162" t="n">
        <v>24.9</v>
      </c>
      <c r="M813" s="201">
        <f>IFERROR(K813/L813,0)</f>
        <v/>
      </c>
      <c r="N813" s="161" t="n"/>
    </row>
    <row r="814">
      <c r="A814" s="197" t="inlineStr">
        <is>
          <t>Saladas e Molhos</t>
        </is>
      </c>
      <c r="B814" s="198" t="inlineStr">
        <is>
          <t>Saladas</t>
        </is>
      </c>
      <c r="C814" s="199" t="inlineStr">
        <is>
          <t>Salada California</t>
        </is>
      </c>
      <c r="D814" s="160">
        <f>IF(ISERROR(VLOOKUP(E814,'Estrutura Protheus'!A:A,1,FALSE)),"Não","Sim")</f>
        <v/>
      </c>
      <c r="E814" s="163" t="inlineStr">
        <is>
          <t>002215</t>
        </is>
      </c>
      <c r="F814" s="163" t="inlineStr">
        <is>
          <t>000483</t>
        </is>
      </c>
      <c r="G814" s="161">
        <f>IFERROR(VLOOKUP(F814,'Base Insumos'!$A:$B,2,FALSE()),"PENDENTE")</f>
        <v/>
      </c>
      <c r="H814" s="200" t="n">
        <v>0.02</v>
      </c>
      <c r="I814" s="163">
        <f>IFERROR(VLOOKUP(F814,'Base Insumos'!$A:$D,4,FALSE()),"")</f>
        <v/>
      </c>
      <c r="J814" s="162">
        <f>IFERROR(VLOOKUP(F814,'Base Insumos'!$A:$C,3,FALSE()),"PENDENTE")</f>
        <v/>
      </c>
      <c r="K814" s="162">
        <f>IFERROR(IF(J814="PENDENTE",0,J814*H814),0)</f>
        <v/>
      </c>
      <c r="L814" s="162" t="n">
        <v>24.9</v>
      </c>
      <c r="M814" s="201">
        <f>IFERROR(K814/L814,0)</f>
        <v/>
      </c>
      <c r="N814" s="161" t="n"/>
    </row>
    <row r="815">
      <c r="A815" s="197" t="inlineStr">
        <is>
          <t>Saladas e Molhos</t>
        </is>
      </c>
      <c r="B815" s="198" t="inlineStr">
        <is>
          <t>Saladas</t>
        </is>
      </c>
      <c r="C815" s="199" t="inlineStr">
        <is>
          <t>Salada California</t>
        </is>
      </c>
      <c r="D815" s="160">
        <f>IF(ISERROR(VLOOKUP(E815,'Estrutura Protheus'!A:A,1,FALSE)),"Não","Sim")</f>
        <v/>
      </c>
      <c r="E815" s="163" t="inlineStr">
        <is>
          <t>002215</t>
        </is>
      </c>
      <c r="F815" s="163" t="inlineStr">
        <is>
          <t>000460</t>
        </is>
      </c>
      <c r="G815" s="161">
        <f>IFERROR(VLOOKUP(F815,'Base Insumos'!$A:$B,2,FALSE()),"PENDENTE")</f>
        <v/>
      </c>
      <c r="H815" s="200" t="n">
        <v>0.02</v>
      </c>
      <c r="I815" s="163">
        <f>IFERROR(VLOOKUP(F815,'Base Insumos'!$A:$D,4,FALSE()),"")</f>
        <v/>
      </c>
      <c r="J815" s="162">
        <f>IFERROR(VLOOKUP(F815,'Base Insumos'!$A:$C,3,FALSE()),"PENDENTE")</f>
        <v/>
      </c>
      <c r="K815" s="162">
        <f>IFERROR(IF(J815="PENDENTE",0,J815*H815),0)</f>
        <v/>
      </c>
      <c r="L815" s="162" t="n">
        <v>24.9</v>
      </c>
      <c r="M815" s="201">
        <f>IFERROR(K815/L815,0)</f>
        <v/>
      </c>
      <c r="N815" s="161" t="n"/>
    </row>
    <row r="816">
      <c r="A816" s="197" t="inlineStr">
        <is>
          <t>Saladas e Molhos</t>
        </is>
      </c>
      <c r="B816" s="198" t="inlineStr">
        <is>
          <t>Saladas</t>
        </is>
      </c>
      <c r="C816" s="199" t="inlineStr">
        <is>
          <t>Salada California</t>
        </is>
      </c>
      <c r="D816" s="160">
        <f>IF(ISERROR(VLOOKUP(E816,'Estrutura Protheus'!A:A,1,FALSE)),"Não","Sim")</f>
        <v/>
      </c>
      <c r="E816" s="163" t="inlineStr">
        <is>
          <t>002215</t>
        </is>
      </c>
      <c r="F816" s="163" t="inlineStr">
        <is>
          <t>000462</t>
        </is>
      </c>
      <c r="G816" s="161">
        <f>IFERROR(VLOOKUP(F816,'Base Insumos'!$A:$B,2,FALSE()),"PENDENTE")</f>
        <v/>
      </c>
      <c r="H816" s="200" t="n">
        <v>0.05</v>
      </c>
      <c r="I816" s="163">
        <f>IFERROR(VLOOKUP(F816,'Base Insumos'!$A:$D,4,FALSE()),"")</f>
        <v/>
      </c>
      <c r="J816" s="162">
        <f>IFERROR(VLOOKUP(F816,'Base Insumos'!$A:$C,3,FALSE()),"PENDENTE")</f>
        <v/>
      </c>
      <c r="K816" s="162">
        <f>IFERROR(IF(J816="PENDENTE",0,J816*H816),0)</f>
        <v/>
      </c>
      <c r="L816" s="162" t="n">
        <v>24.9</v>
      </c>
      <c r="M816" s="201">
        <f>IFERROR(K816/L816,0)</f>
        <v/>
      </c>
      <c r="N816" s="161" t="n"/>
    </row>
    <row r="817">
      <c r="A817" s="197" t="inlineStr">
        <is>
          <t>Saladas e Molhos</t>
        </is>
      </c>
      <c r="B817" s="198" t="inlineStr">
        <is>
          <t>Saladas</t>
        </is>
      </c>
      <c r="C817" s="199" t="inlineStr">
        <is>
          <t>Salada California</t>
        </is>
      </c>
      <c r="D817" s="160">
        <f>IF(ISERROR(VLOOKUP(E817,'Estrutura Protheus'!A:A,1,FALSE)),"Não","Sim")</f>
        <v/>
      </c>
      <c r="E817" s="163" t="inlineStr">
        <is>
          <t>002215</t>
        </is>
      </c>
      <c r="F817" s="163" t="inlineStr">
        <is>
          <t>000590</t>
        </is>
      </c>
      <c r="G817" s="161">
        <f>IFERROR(VLOOKUP(F817,'Base Insumos'!$A:$B,2,FALSE()),"PENDENTE")</f>
        <v/>
      </c>
      <c r="H817" s="200" t="n">
        <v>0.04</v>
      </c>
      <c r="I817" s="163">
        <f>IFERROR(VLOOKUP(F817,'Base Insumos'!$A:$D,4,FALSE()),"")</f>
        <v/>
      </c>
      <c r="J817" s="162">
        <f>IFERROR(VLOOKUP(F817,'Base Insumos'!$A:$C,3,FALSE()),"PENDENTE")</f>
        <v/>
      </c>
      <c r="K817" s="162">
        <f>IFERROR(IF(J817="PENDENTE",0,J817*H817),0)</f>
        <v/>
      </c>
      <c r="L817" s="162" t="n">
        <v>24.9</v>
      </c>
      <c r="M817" s="201">
        <f>IFERROR(K817/L817,0)</f>
        <v/>
      </c>
      <c r="N817" s="161" t="n"/>
    </row>
    <row r="818">
      <c r="A818" s="197" t="inlineStr">
        <is>
          <t>Saladas e Molhos</t>
        </is>
      </c>
      <c r="B818" s="198" t="inlineStr">
        <is>
          <t>Saladas</t>
        </is>
      </c>
      <c r="C818" s="199" t="inlineStr">
        <is>
          <t>Salada California</t>
        </is>
      </c>
      <c r="D818" s="160">
        <f>IF(ISERROR(VLOOKUP(E818,'Estrutura Protheus'!A:A,1,FALSE)),"Não","Sim")</f>
        <v/>
      </c>
      <c r="E818" s="163" t="inlineStr">
        <is>
          <t>002215</t>
        </is>
      </c>
      <c r="F818" s="163" t="inlineStr">
        <is>
          <t>000501</t>
        </is>
      </c>
      <c r="G818" s="161">
        <f>IFERROR(VLOOKUP(F818,'Base Insumos'!$A:$B,2,FALSE()),"PENDENTE")</f>
        <v/>
      </c>
      <c r="H818" s="200" t="n">
        <v>0.04</v>
      </c>
      <c r="I818" s="163">
        <f>IFERROR(VLOOKUP(F818,'Base Insumos'!$A:$D,4,FALSE()),"")</f>
        <v/>
      </c>
      <c r="J818" s="162">
        <f>IFERROR(VLOOKUP(F818,'Base Insumos'!$A:$C,3,FALSE()),"PENDENTE")</f>
        <v/>
      </c>
      <c r="K818" s="162">
        <f>IFERROR(IF(J818="PENDENTE",0,J818*H818),0)</f>
        <v/>
      </c>
      <c r="L818" s="162" t="n">
        <v>24.9</v>
      </c>
      <c r="M818" s="201">
        <f>IFERROR(K818/L818,0)</f>
        <v/>
      </c>
      <c r="N818" s="161" t="n"/>
    </row>
    <row r="819">
      <c r="A819" s="197" t="inlineStr">
        <is>
          <t>Saladas e Molhos</t>
        </is>
      </c>
      <c r="B819" s="198" t="inlineStr">
        <is>
          <t>Saladas</t>
        </is>
      </c>
      <c r="C819" s="199" t="inlineStr">
        <is>
          <t>Salada California</t>
        </is>
      </c>
      <c r="D819" s="160">
        <f>IF(ISERROR(VLOOKUP(E819,'Estrutura Protheus'!A:A,1,FALSE)),"Não","Sim")</f>
        <v/>
      </c>
      <c r="E819" s="163" t="inlineStr">
        <is>
          <t>002215</t>
        </is>
      </c>
      <c r="F819" s="163" t="inlineStr">
        <is>
          <t>000498</t>
        </is>
      </c>
      <c r="G819" s="161">
        <f>IFERROR(VLOOKUP(F819,'Base Insumos'!$A:$B,2,FALSE()),"PENDENTE")</f>
        <v/>
      </c>
      <c r="H819" s="200" t="n">
        <v>0.04</v>
      </c>
      <c r="I819" s="163">
        <f>IFERROR(VLOOKUP(F819,'Base Insumos'!$A:$D,4,FALSE()),"")</f>
        <v/>
      </c>
      <c r="J819" s="162">
        <f>IFERROR(VLOOKUP(F819,'Base Insumos'!$A:$C,3,FALSE()),"PENDENTE")</f>
        <v/>
      </c>
      <c r="K819" s="162">
        <f>IFERROR(IF(J819="PENDENTE",0,J819*H819),0)</f>
        <v/>
      </c>
      <c r="L819" s="162" t="n">
        <v>24.9</v>
      </c>
      <c r="M819" s="201">
        <f>IFERROR(K819/L819,0)</f>
        <v/>
      </c>
      <c r="N819" s="161" t="n"/>
    </row>
    <row r="820">
      <c r="A820" s="197" t="inlineStr">
        <is>
          <t>Saladas e Molhos</t>
        </is>
      </c>
      <c r="B820" s="198" t="inlineStr">
        <is>
          <t>Saladas</t>
        </is>
      </c>
      <c r="C820" s="199" t="inlineStr">
        <is>
          <t>Mini Salada Fresca</t>
        </is>
      </c>
      <c r="D820" s="160">
        <f>IF(ISERROR(VLOOKUP(E820,'Estrutura Protheus'!A:A,1,FALSE)),"Não","Sim")</f>
        <v/>
      </c>
      <c r="E820" s="163" t="inlineStr">
        <is>
          <t>002239</t>
        </is>
      </c>
      <c r="F820" s="163" t="inlineStr">
        <is>
          <t>000461</t>
        </is>
      </c>
      <c r="G820" s="161">
        <f>IFERROR(VLOOKUP(F820,'Base Insumos'!$A:$B,2,FALSE()),"PENDENTE")</f>
        <v/>
      </c>
      <c r="H820" s="200" t="n">
        <v>0.02</v>
      </c>
      <c r="I820" s="163">
        <f>IFERROR(VLOOKUP(F820,'Base Insumos'!$A:$D,4,FALSE()),"")</f>
        <v/>
      </c>
      <c r="J820" s="162">
        <f>IFERROR(VLOOKUP(F820,'Base Insumos'!$A:$C,3,FALSE()),"PENDENTE")</f>
        <v/>
      </c>
      <c r="K820" s="162">
        <f>IFERROR(IF(J820="PENDENTE",0,J820*H820),0)</f>
        <v/>
      </c>
      <c r="L820" s="162" t="n">
        <v>9.9</v>
      </c>
      <c r="M820" s="201">
        <f>IFERROR(K820/L820,0)</f>
        <v/>
      </c>
      <c r="N820" s="161" t="n"/>
    </row>
    <row r="821">
      <c r="A821" s="197" t="inlineStr">
        <is>
          <t>Saladas e Molhos</t>
        </is>
      </c>
      <c r="B821" s="198" t="inlineStr">
        <is>
          <t>Saladas</t>
        </is>
      </c>
      <c r="C821" s="199" t="inlineStr">
        <is>
          <t>Mini Salada Fresca</t>
        </is>
      </c>
      <c r="D821" s="160">
        <f>IF(ISERROR(VLOOKUP(E821,'Estrutura Protheus'!A:A,1,FALSE)),"Não","Sim")</f>
        <v/>
      </c>
      <c r="E821" s="163" t="inlineStr">
        <is>
          <t>002239</t>
        </is>
      </c>
      <c r="F821" s="163" t="inlineStr">
        <is>
          <t>000483</t>
        </is>
      </c>
      <c r="G821" s="161">
        <f>IFERROR(VLOOKUP(F821,'Base Insumos'!$A:$B,2,FALSE()),"PENDENTE")</f>
        <v/>
      </c>
      <c r="H821" s="200" t="n">
        <v>0.005</v>
      </c>
      <c r="I821" s="163">
        <f>IFERROR(VLOOKUP(F821,'Base Insumos'!$A:$D,4,FALSE()),"")</f>
        <v/>
      </c>
      <c r="J821" s="162">
        <f>IFERROR(VLOOKUP(F821,'Base Insumos'!$A:$C,3,FALSE()),"PENDENTE")</f>
        <v/>
      </c>
      <c r="K821" s="162">
        <f>IFERROR(IF(J821="PENDENTE",0,J821*H821),0)</f>
        <v/>
      </c>
      <c r="L821" s="162" t="n">
        <v>9.9</v>
      </c>
      <c r="M821" s="201">
        <f>IFERROR(K821/L821,0)</f>
        <v/>
      </c>
      <c r="N821" s="161" t="n"/>
    </row>
    <row r="822">
      <c r="A822" s="197" t="inlineStr">
        <is>
          <t>Saladas e Molhos</t>
        </is>
      </c>
      <c r="B822" s="198" t="inlineStr">
        <is>
          <t>Saladas</t>
        </is>
      </c>
      <c r="C822" s="199" t="inlineStr">
        <is>
          <t>Mini Salada Fresca</t>
        </is>
      </c>
      <c r="D822" s="160">
        <f>IF(ISERROR(VLOOKUP(E822,'Estrutura Protheus'!A:A,1,FALSE)),"Não","Sim")</f>
        <v/>
      </c>
      <c r="E822" s="163" t="inlineStr">
        <is>
          <t>002239</t>
        </is>
      </c>
      <c r="F822" s="163" t="inlineStr">
        <is>
          <t>000460</t>
        </is>
      </c>
      <c r="G822" s="161">
        <f>IFERROR(VLOOKUP(F822,'Base Insumos'!$A:$B,2,FALSE()),"PENDENTE")</f>
        <v/>
      </c>
      <c r="H822" s="200" t="n">
        <v>0.005</v>
      </c>
      <c r="I822" s="163">
        <f>IFERROR(VLOOKUP(F822,'Base Insumos'!$A:$D,4,FALSE()),"")</f>
        <v/>
      </c>
      <c r="J822" s="162">
        <f>IFERROR(VLOOKUP(F822,'Base Insumos'!$A:$C,3,FALSE()),"PENDENTE")</f>
        <v/>
      </c>
      <c r="K822" s="162">
        <f>IFERROR(IF(J822="PENDENTE",0,J822*H822),0)</f>
        <v/>
      </c>
      <c r="L822" s="162" t="n">
        <v>9.9</v>
      </c>
      <c r="M822" s="201">
        <f>IFERROR(K822/L822,0)</f>
        <v/>
      </c>
      <c r="N822" s="161" t="n"/>
    </row>
    <row r="823">
      <c r="A823" s="197" t="inlineStr">
        <is>
          <t>Saladas e Molhos</t>
        </is>
      </c>
      <c r="B823" s="198" t="inlineStr">
        <is>
          <t>Saladas</t>
        </is>
      </c>
      <c r="C823" s="199" t="inlineStr">
        <is>
          <t>Mini Salada Fresca</t>
        </is>
      </c>
      <c r="D823" s="160">
        <f>IF(ISERROR(VLOOKUP(E823,'Estrutura Protheus'!A:A,1,FALSE)),"Não","Sim")</f>
        <v/>
      </c>
      <c r="E823" s="163" t="inlineStr">
        <is>
          <t>002239</t>
        </is>
      </c>
      <c r="F823" s="163" t="inlineStr">
        <is>
          <t>000462</t>
        </is>
      </c>
      <c r="G823" s="161">
        <f>IFERROR(VLOOKUP(F823,'Base Insumos'!$A:$B,2,FALSE()),"PENDENTE")</f>
        <v/>
      </c>
      <c r="H823" s="200" t="n">
        <v>0.02</v>
      </c>
      <c r="I823" s="163">
        <f>IFERROR(VLOOKUP(F823,'Base Insumos'!$A:$D,4,FALSE()),"")</f>
        <v/>
      </c>
      <c r="J823" s="162">
        <f>IFERROR(VLOOKUP(F823,'Base Insumos'!$A:$C,3,FALSE()),"PENDENTE")</f>
        <v/>
      </c>
      <c r="K823" s="162">
        <f>IFERROR(IF(J823="PENDENTE",0,J823*H823),0)</f>
        <v/>
      </c>
      <c r="L823" s="162" t="n">
        <v>9.9</v>
      </c>
      <c r="M823" s="201">
        <f>IFERROR(K823/L823,0)</f>
        <v/>
      </c>
      <c r="N823" s="161" t="n"/>
    </row>
    <row r="824">
      <c r="A824" s="197" t="inlineStr">
        <is>
          <t>Saladas e Molhos</t>
        </is>
      </c>
      <c r="B824" s="198" t="inlineStr">
        <is>
          <t>Saladas</t>
        </is>
      </c>
      <c r="C824" s="199" t="inlineStr">
        <is>
          <t>Mini Salada Fresca</t>
        </is>
      </c>
      <c r="D824" s="160">
        <f>IF(ISERROR(VLOOKUP(E824,'Estrutura Protheus'!A:A,1,FALSE)),"Não","Sim")</f>
        <v/>
      </c>
      <c r="E824" s="163" t="inlineStr">
        <is>
          <t>002239</t>
        </is>
      </c>
      <c r="F824" s="163" t="inlineStr">
        <is>
          <t>000470</t>
        </is>
      </c>
      <c r="G824" s="161">
        <f>IFERROR(VLOOKUP(F824,'Base Insumos'!$A:$B,2,FALSE()),"PENDENTE")</f>
        <v/>
      </c>
      <c r="H824" s="200" t="n">
        <v>0.01</v>
      </c>
      <c r="I824" s="163">
        <f>IFERROR(VLOOKUP(F824,'Base Insumos'!$A:$D,4,FALSE()),"")</f>
        <v/>
      </c>
      <c r="J824" s="162">
        <f>IFERROR(VLOOKUP(F824,'Base Insumos'!$A:$C,3,FALSE()),"PENDENTE")</f>
        <v/>
      </c>
      <c r="K824" s="162">
        <f>IFERROR(IF(J824="PENDENTE",0,J824*H824),0)</f>
        <v/>
      </c>
      <c r="L824" s="162" t="n">
        <v>9.9</v>
      </c>
      <c r="M824" s="201">
        <f>IFERROR(K824/L824,0)</f>
        <v/>
      </c>
      <c r="N824" s="161" t="n"/>
    </row>
    <row r="825">
      <c r="A825" s="197" t="inlineStr">
        <is>
          <t>Saladas e Molhos</t>
        </is>
      </c>
      <c r="B825" s="198" t="inlineStr">
        <is>
          <t>Saladas</t>
        </is>
      </c>
      <c r="C825" s="199" t="inlineStr">
        <is>
          <t>Mini Salada Fresca</t>
        </is>
      </c>
      <c r="D825" s="160">
        <f>IF(ISERROR(VLOOKUP(E825,'Estrutura Protheus'!A:A,1,FALSE)),"Não","Sim")</f>
        <v/>
      </c>
      <c r="E825" s="163" t="inlineStr">
        <is>
          <t>002239</t>
        </is>
      </c>
      <c r="F825" s="163" t="inlineStr">
        <is>
          <t>000485</t>
        </is>
      </c>
      <c r="G825" s="161">
        <f>IFERROR(VLOOKUP(F825,'Base Insumos'!$A:$B,2,FALSE()),"PENDENTE")</f>
        <v/>
      </c>
      <c r="H825" s="200" t="n">
        <v>0.02</v>
      </c>
      <c r="I825" s="163">
        <f>IFERROR(VLOOKUP(F825,'Base Insumos'!$A:$D,4,FALSE()),"")</f>
        <v/>
      </c>
      <c r="J825" s="162">
        <f>IFERROR(VLOOKUP(F825,'Base Insumos'!$A:$C,3,FALSE()),"PENDENTE")</f>
        <v/>
      </c>
      <c r="K825" s="162">
        <f>IFERROR(IF(J825="PENDENTE",0,J825*H825),0)</f>
        <v/>
      </c>
      <c r="L825" s="162" t="n">
        <v>9.9</v>
      </c>
      <c r="M825" s="201">
        <f>IFERROR(K825/L825,0)</f>
        <v/>
      </c>
      <c r="N825" s="161" t="n"/>
    </row>
    <row r="826">
      <c r="A826" s="197" t="inlineStr">
        <is>
          <t>Saladas e Molhos</t>
        </is>
      </c>
      <c r="B826" s="198" t="inlineStr">
        <is>
          <t>Saladas</t>
        </is>
      </c>
      <c r="C826" s="199" t="inlineStr">
        <is>
          <t>Mini Salada Fresca</t>
        </is>
      </c>
      <c r="D826" s="160">
        <f>IF(ISERROR(VLOOKUP(E826,'Estrutura Protheus'!A:A,1,FALSE)),"Não","Sim")</f>
        <v/>
      </c>
      <c r="E826" s="163" t="inlineStr">
        <is>
          <t>002239</t>
        </is>
      </c>
      <c r="F826" s="163" t="inlineStr">
        <is>
          <t>000753</t>
        </is>
      </c>
      <c r="G826" s="161">
        <f>IFERROR(VLOOKUP(F826,'Base Insumos'!$A:$B,2,FALSE()),"PENDENTE")</f>
        <v/>
      </c>
      <c r="H826" s="200" t="n">
        <v>0.01</v>
      </c>
      <c r="I826" s="163">
        <f>IFERROR(VLOOKUP(F826,'Base Insumos'!$A:$D,4,FALSE()),"")</f>
        <v/>
      </c>
      <c r="J826" s="162">
        <f>IFERROR(VLOOKUP(F826,'Base Insumos'!$A:$C,3,FALSE()),"PENDENTE")</f>
        <v/>
      </c>
      <c r="K826" s="162">
        <f>IFERROR(IF(J826="PENDENTE",0,J826*H826),0)</f>
        <v/>
      </c>
      <c r="L826" s="162" t="n">
        <v>9.9</v>
      </c>
      <c r="M826" s="201">
        <f>IFERROR(K826/L826,0)</f>
        <v/>
      </c>
      <c r="N826" s="161" t="n"/>
    </row>
    <row r="827">
      <c r="A827" s="197" t="inlineStr">
        <is>
          <t>Saladas e Molhos</t>
        </is>
      </c>
      <c r="B827" s="198" t="inlineStr">
        <is>
          <t>Saladas</t>
        </is>
      </c>
      <c r="C827" s="199" t="inlineStr">
        <is>
          <t>Mini Salada Quintal</t>
        </is>
      </c>
      <c r="D827" s="160">
        <f>IF(ISERROR(VLOOKUP(E827,'Estrutura Protheus'!A:A,1,FALSE)),"Não","Sim")</f>
        <v/>
      </c>
      <c r="E827" s="163" t="inlineStr">
        <is>
          <t>002262</t>
        </is>
      </c>
      <c r="F827" s="163" t="inlineStr">
        <is>
          <t>000461</t>
        </is>
      </c>
      <c r="G827" s="161">
        <f>IFERROR(VLOOKUP(F827,'Base Insumos'!$A:$B,2,FALSE()),"PENDENTE")</f>
        <v/>
      </c>
      <c r="H827" s="200" t="n">
        <v>0.02</v>
      </c>
      <c r="I827" s="163">
        <f>IFERROR(VLOOKUP(F827,'Base Insumos'!$A:$D,4,FALSE()),"")</f>
        <v/>
      </c>
      <c r="J827" s="162">
        <f>IFERROR(VLOOKUP(F827,'Base Insumos'!$A:$C,3,FALSE()),"PENDENTE")</f>
        <v/>
      </c>
      <c r="K827" s="162">
        <f>IFERROR(IF(J827="PENDENTE",0,J827*H827),0)</f>
        <v/>
      </c>
      <c r="L827" s="162" t="n">
        <v>9.9</v>
      </c>
      <c r="M827" s="201">
        <f>IFERROR(K827/L827,0)</f>
        <v/>
      </c>
      <c r="N827" s="161" t="n"/>
    </row>
    <row r="828">
      <c r="A828" s="197" t="inlineStr">
        <is>
          <t>Saladas e Molhos</t>
        </is>
      </c>
      <c r="B828" s="198" t="inlineStr">
        <is>
          <t>Saladas</t>
        </is>
      </c>
      <c r="C828" s="199" t="inlineStr">
        <is>
          <t>Mini Salada Quintal</t>
        </is>
      </c>
      <c r="D828" s="160">
        <f>IF(ISERROR(VLOOKUP(E828,'Estrutura Protheus'!A:A,1,FALSE)),"Não","Sim")</f>
        <v/>
      </c>
      <c r="E828" s="163" t="inlineStr">
        <is>
          <t>002262</t>
        </is>
      </c>
      <c r="F828" s="163" t="inlineStr">
        <is>
          <t>000483</t>
        </is>
      </c>
      <c r="G828" s="161">
        <f>IFERROR(VLOOKUP(F828,'Base Insumos'!$A:$B,2,FALSE()),"PENDENTE")</f>
        <v/>
      </c>
      <c r="H828" s="200" t="n">
        <v>0.005</v>
      </c>
      <c r="I828" s="163">
        <f>IFERROR(VLOOKUP(F828,'Base Insumos'!$A:$D,4,FALSE()),"")</f>
        <v/>
      </c>
      <c r="J828" s="162">
        <f>IFERROR(VLOOKUP(F828,'Base Insumos'!$A:$C,3,FALSE()),"PENDENTE")</f>
        <v/>
      </c>
      <c r="K828" s="162">
        <f>IFERROR(IF(J828="PENDENTE",0,J828*H828),0)</f>
        <v/>
      </c>
      <c r="L828" s="162" t="n">
        <v>9.9</v>
      </c>
      <c r="M828" s="201">
        <f>IFERROR(K828/L828,0)</f>
        <v/>
      </c>
      <c r="N828" s="161" t="n"/>
    </row>
    <row r="829">
      <c r="A829" s="197" t="inlineStr">
        <is>
          <t>Saladas e Molhos</t>
        </is>
      </c>
      <c r="B829" s="198" t="inlineStr">
        <is>
          <t>Saladas</t>
        </is>
      </c>
      <c r="C829" s="199" t="inlineStr">
        <is>
          <t>Mini Salada Quintal</t>
        </is>
      </c>
      <c r="D829" s="160">
        <f>IF(ISERROR(VLOOKUP(E829,'Estrutura Protheus'!A:A,1,FALSE)),"Não","Sim")</f>
        <v/>
      </c>
      <c r="E829" s="163" t="inlineStr">
        <is>
          <t>002262</t>
        </is>
      </c>
      <c r="F829" s="163" t="inlineStr">
        <is>
          <t>000460</t>
        </is>
      </c>
      <c r="G829" s="161">
        <f>IFERROR(VLOOKUP(F829,'Base Insumos'!$A:$B,2,FALSE()),"PENDENTE")</f>
        <v/>
      </c>
      <c r="H829" s="200" t="n">
        <v>0.02</v>
      </c>
      <c r="I829" s="163">
        <f>IFERROR(VLOOKUP(F829,'Base Insumos'!$A:$D,4,FALSE()),"")</f>
        <v/>
      </c>
      <c r="J829" s="162">
        <f>IFERROR(VLOOKUP(F829,'Base Insumos'!$A:$C,3,FALSE()),"PENDENTE")</f>
        <v/>
      </c>
      <c r="K829" s="162">
        <f>IFERROR(IF(J829="PENDENTE",0,J829*H829),0)</f>
        <v/>
      </c>
      <c r="L829" s="162" t="n">
        <v>9.9</v>
      </c>
      <c r="M829" s="201">
        <f>IFERROR(K829/L829,0)</f>
        <v/>
      </c>
      <c r="N829" s="161" t="n"/>
    </row>
    <row r="830">
      <c r="A830" s="197" t="inlineStr">
        <is>
          <t>Saladas e Molhos</t>
        </is>
      </c>
      <c r="B830" s="198" t="inlineStr">
        <is>
          <t>Saladas</t>
        </is>
      </c>
      <c r="C830" s="199" t="inlineStr">
        <is>
          <t>Mini Salada Quintal</t>
        </is>
      </c>
      <c r="D830" s="160">
        <f>IF(ISERROR(VLOOKUP(E830,'Estrutura Protheus'!A:A,1,FALSE)),"Não","Sim")</f>
        <v/>
      </c>
      <c r="E830" s="163" t="inlineStr">
        <is>
          <t>002262</t>
        </is>
      </c>
      <c r="F830" s="163" t="inlineStr">
        <is>
          <t>000462</t>
        </is>
      </c>
      <c r="G830" s="161">
        <f>IFERROR(VLOOKUP(F830,'Base Insumos'!$A:$B,2,FALSE()),"PENDENTE")</f>
        <v/>
      </c>
      <c r="H830" s="200" t="n">
        <v>0.05</v>
      </c>
      <c r="I830" s="163">
        <f>IFERROR(VLOOKUP(F830,'Base Insumos'!$A:$D,4,FALSE()),"")</f>
        <v/>
      </c>
      <c r="J830" s="162">
        <f>IFERROR(VLOOKUP(F830,'Base Insumos'!$A:$C,3,FALSE()),"PENDENTE")</f>
        <v/>
      </c>
      <c r="K830" s="162">
        <f>IFERROR(IF(J830="PENDENTE",0,J830*H830),0)</f>
        <v/>
      </c>
      <c r="L830" s="162" t="n">
        <v>9.9</v>
      </c>
      <c r="M830" s="201">
        <f>IFERROR(K830/L830,0)</f>
        <v/>
      </c>
      <c r="N830" s="161" t="n"/>
    </row>
    <row r="831">
      <c r="A831" s="197" t="inlineStr">
        <is>
          <t>Saladas e Molhos</t>
        </is>
      </c>
      <c r="B831" s="198" t="inlineStr">
        <is>
          <t>Saladas</t>
        </is>
      </c>
      <c r="C831" s="199" t="inlineStr">
        <is>
          <t>Mini Salada Quintal</t>
        </is>
      </c>
      <c r="D831" s="160">
        <f>IF(ISERROR(VLOOKUP(E831,'Estrutura Protheus'!A:A,1,FALSE)),"Não","Sim")</f>
        <v/>
      </c>
      <c r="E831" s="163" t="inlineStr">
        <is>
          <t>002262</t>
        </is>
      </c>
      <c r="F831" s="163" t="inlineStr">
        <is>
          <t>000444</t>
        </is>
      </c>
      <c r="G831" s="161">
        <f>IFERROR(VLOOKUP(F831,'Base Insumos'!$A:$B,2,FALSE()),"PENDENTE")</f>
        <v/>
      </c>
      <c r="H831" s="200" t="n">
        <v>0.02</v>
      </c>
      <c r="I831" s="163">
        <f>IFERROR(VLOOKUP(F831,'Base Insumos'!$A:$D,4,FALSE()),"")</f>
        <v/>
      </c>
      <c r="J831" s="162">
        <f>IFERROR(VLOOKUP(F831,'Base Insumos'!$A:$C,3,FALSE()),"PENDENTE")</f>
        <v/>
      </c>
      <c r="K831" s="162">
        <f>IFERROR(IF(J831="PENDENTE",0,J831*H831),0)</f>
        <v/>
      </c>
      <c r="L831" s="162" t="n">
        <v>9.9</v>
      </c>
      <c r="M831" s="201">
        <f>IFERROR(K831/L831,0)</f>
        <v/>
      </c>
      <c r="N831" s="161" t="n"/>
    </row>
    <row r="832">
      <c r="A832" s="197" t="inlineStr">
        <is>
          <t>Saladas e Molhos</t>
        </is>
      </c>
      <c r="B832" s="198" t="inlineStr">
        <is>
          <t>Saladas</t>
        </is>
      </c>
      <c r="C832" s="199" t="inlineStr">
        <is>
          <t>Mini Salada Quintal</t>
        </is>
      </c>
      <c r="D832" s="160">
        <f>IF(ISERROR(VLOOKUP(E832,'Estrutura Protheus'!A:A,1,FALSE)),"Não","Sim")</f>
        <v/>
      </c>
      <c r="E832" s="163" t="inlineStr">
        <is>
          <t>002262</t>
        </is>
      </c>
      <c r="F832" s="163" t="inlineStr">
        <is>
          <t>009517</t>
        </is>
      </c>
      <c r="G832" s="161">
        <f>IFERROR(VLOOKUP(F832,'Base Insumos'!$A:$B,2,FALSE()),"PENDENTE")</f>
        <v/>
      </c>
      <c r="H832" s="200" t="n">
        <v>0.02</v>
      </c>
      <c r="I832" s="163">
        <f>IFERROR(VLOOKUP(F832,'Base Insumos'!$A:$D,4,FALSE()),"")</f>
        <v/>
      </c>
      <c r="J832" s="162">
        <f>IFERROR(VLOOKUP(F832,'Base Insumos'!$A:$C,3,FALSE()),"PENDENTE")</f>
        <v/>
      </c>
      <c r="K832" s="162">
        <f>IFERROR(IF(J832="PENDENTE",0,J832*H832),0)</f>
        <v/>
      </c>
      <c r="L832" s="162" t="n">
        <v>9.9</v>
      </c>
      <c r="M832" s="201">
        <f>IFERROR(K832/L832,0)</f>
        <v/>
      </c>
      <c r="N832" s="161" t="n"/>
    </row>
    <row r="833">
      <c r="A833" s="197" t="inlineStr">
        <is>
          <t>Saladas e Molhos</t>
        </is>
      </c>
      <c r="B833" s="198" t="inlineStr">
        <is>
          <t>Molhos</t>
        </is>
      </c>
      <c r="C833" s="199" t="inlineStr">
        <is>
          <t>Chimichurri do Quintal</t>
        </is>
      </c>
      <c r="D833" s="160" t="inlineStr">
        <is>
          <t>Não</t>
        </is>
      </c>
      <c r="E833" s="163" t="inlineStr">
        <is>
          <t>PENDENTE</t>
        </is>
      </c>
      <c r="F833" s="163" t="inlineStr">
        <is>
          <t>000450</t>
        </is>
      </c>
      <c r="G833" s="161">
        <f>IFERROR(VLOOKUP(F833,'Base Insumos'!$A:$B,2,FALSE()),"PENDENTE")</f>
        <v/>
      </c>
      <c r="H833" s="200" t="n">
        <v>0.015</v>
      </c>
      <c r="I833" s="163">
        <f>IFERROR(VLOOKUP(F833,'Base Insumos'!$A:$D,4,FALSE()),"")</f>
        <v/>
      </c>
      <c r="J833" s="162">
        <f>IFERROR(VLOOKUP(F833,'Base Insumos'!$A:$C,3,FALSE()),"PENDENTE")</f>
        <v/>
      </c>
      <c r="K833" s="162">
        <f>IFERROR(IF(J833="PENDENTE",0,J833*H833),0)</f>
        <v/>
      </c>
      <c r="L833" s="162" t="inlineStr">
        <is>
          <t>PENDENTE</t>
        </is>
      </c>
      <c r="M833" s="201">
        <f>IFERROR(K833/L833,0)</f>
        <v/>
      </c>
      <c r="N833" s="161" t="inlineStr">
        <is>
          <t>CAD-002 | Código PA pendente</t>
        </is>
      </c>
    </row>
    <row r="834">
      <c r="A834" s="197" t="inlineStr">
        <is>
          <t>Saladas e Molhos</t>
        </is>
      </c>
      <c r="B834" s="198" t="inlineStr">
        <is>
          <t>Molhos</t>
        </is>
      </c>
      <c r="C834" s="199" t="inlineStr">
        <is>
          <t>Chimichurri do Quintal</t>
        </is>
      </c>
      <c r="D834" s="160" t="inlineStr">
        <is>
          <t>Não</t>
        </is>
      </c>
      <c r="E834" s="163" t="inlineStr">
        <is>
          <t>PENDENTE</t>
        </is>
      </c>
      <c r="F834" s="163" t="inlineStr">
        <is>
          <t>000747</t>
        </is>
      </c>
      <c r="G834" s="161">
        <f>IFERROR(VLOOKUP(F834,'Base Insumos'!$A:$B,2,FALSE()),"PENDENTE")</f>
        <v/>
      </c>
      <c r="H834" s="200" t="n">
        <v>0.012</v>
      </c>
      <c r="I834" s="163">
        <f>IFERROR(VLOOKUP(F834,'Base Insumos'!$A:$D,4,FALSE()),"")</f>
        <v/>
      </c>
      <c r="J834" s="162">
        <f>IFERROR(VLOOKUP(F834,'Base Insumos'!$A:$C,3,FALSE()),"PENDENTE")</f>
        <v/>
      </c>
      <c r="K834" s="162">
        <f>IFERROR(IF(J834="PENDENTE",0,J834*H834),0)</f>
        <v/>
      </c>
      <c r="L834" s="162" t="inlineStr">
        <is>
          <t>PENDENTE</t>
        </is>
      </c>
      <c r="M834" s="201">
        <f>IFERROR(K834/L834,0)</f>
        <v/>
      </c>
      <c r="N834" s="161" t="inlineStr">
        <is>
          <t>CAD-002 | Código PA pendente</t>
        </is>
      </c>
    </row>
    <row r="835">
      <c r="A835" s="197" t="inlineStr">
        <is>
          <t>Saladas e Molhos</t>
        </is>
      </c>
      <c r="B835" s="198" t="inlineStr">
        <is>
          <t>Molhos</t>
        </is>
      </c>
      <c r="C835" s="199" t="inlineStr">
        <is>
          <t>Chimichurri do Quintal</t>
        </is>
      </c>
      <c r="D835" s="160" t="inlineStr">
        <is>
          <t>Não</t>
        </is>
      </c>
      <c r="E835" s="163" t="inlineStr">
        <is>
          <t>PENDENTE</t>
        </is>
      </c>
      <c r="F835" s="163" t="inlineStr">
        <is>
          <t>000424</t>
        </is>
      </c>
      <c r="G835" s="161">
        <f>IFERROR(VLOOKUP(F835,'Base Insumos'!$A:$B,2,FALSE()),"PENDENTE")</f>
        <v/>
      </c>
      <c r="H835" s="200" t="n">
        <v>0.006</v>
      </c>
      <c r="I835" s="163">
        <f>IFERROR(VLOOKUP(F835,'Base Insumos'!$A:$D,4,FALSE()),"")</f>
        <v/>
      </c>
      <c r="J835" s="162">
        <f>IFERROR(VLOOKUP(F835,'Base Insumos'!$A:$C,3,FALSE()),"PENDENTE")</f>
        <v/>
      </c>
      <c r="K835" s="162">
        <f>IFERROR(IF(J835="PENDENTE",0,J835*H835),0)</f>
        <v/>
      </c>
      <c r="L835" s="162" t="inlineStr">
        <is>
          <t>PENDENTE</t>
        </is>
      </c>
      <c r="M835" s="201">
        <f>IFERROR(K835/L835,0)</f>
        <v/>
      </c>
      <c r="N835" s="161" t="inlineStr">
        <is>
          <t>CAD-002 | Código PA pendente</t>
        </is>
      </c>
    </row>
    <row r="836">
      <c r="A836" s="197" t="inlineStr">
        <is>
          <t>Saladas e Molhos</t>
        </is>
      </c>
      <c r="B836" s="198" t="inlineStr">
        <is>
          <t>Molhos</t>
        </is>
      </c>
      <c r="C836" s="199" t="inlineStr">
        <is>
          <t>Chimichurri do Quintal</t>
        </is>
      </c>
      <c r="D836" s="160" t="inlineStr">
        <is>
          <t>Não</t>
        </is>
      </c>
      <c r="E836" s="163" t="inlineStr">
        <is>
          <t>PENDENTE</t>
        </is>
      </c>
      <c r="F836" s="163" t="inlineStr">
        <is>
          <t>001343</t>
        </is>
      </c>
      <c r="G836" s="161">
        <f>IFERROR(VLOOKUP(F836,'Base Insumos'!$A:$B,2,FALSE()),"PENDENTE")</f>
        <v/>
      </c>
      <c r="H836" s="200" t="n">
        <v>0.0007</v>
      </c>
      <c r="I836" s="163">
        <f>IFERROR(VLOOKUP(F836,'Base Insumos'!$A:$D,4,FALSE()),"")</f>
        <v/>
      </c>
      <c r="J836" s="162">
        <f>IFERROR(VLOOKUP(F836,'Base Insumos'!$A:$C,3,FALSE()),"PENDENTE")</f>
        <v/>
      </c>
      <c r="K836" s="162">
        <f>IFERROR(IF(J836="PENDENTE",0,J836*H836),0)</f>
        <v/>
      </c>
      <c r="L836" s="162" t="inlineStr">
        <is>
          <t>PENDENTE</t>
        </is>
      </c>
      <c r="M836" s="201">
        <f>IFERROR(K836/L836,0)</f>
        <v/>
      </c>
      <c r="N836" s="161" t="inlineStr">
        <is>
          <t>CAD-002 | Código PA pendente</t>
        </is>
      </c>
    </row>
    <row r="837">
      <c r="A837" s="197" t="inlineStr">
        <is>
          <t>Saladas e Molhos</t>
        </is>
      </c>
      <c r="B837" s="198" t="inlineStr">
        <is>
          <t>Molhos</t>
        </is>
      </c>
      <c r="C837" s="199" t="inlineStr">
        <is>
          <t>Chimichurri do Quintal</t>
        </is>
      </c>
      <c r="D837" s="160" t="inlineStr">
        <is>
          <t>Não</t>
        </is>
      </c>
      <c r="E837" s="163" t="inlineStr">
        <is>
          <t>PENDENTE</t>
        </is>
      </c>
      <c r="F837" s="163" t="inlineStr">
        <is>
          <t>000614</t>
        </is>
      </c>
      <c r="G837" s="161">
        <f>IFERROR(VLOOKUP(F837,'Base Insumos'!$A:$B,2,FALSE()),"PENDENTE")</f>
        <v/>
      </c>
      <c r="H837" s="200" t="n">
        <v>0</v>
      </c>
      <c r="I837" s="163">
        <f>IFERROR(VLOOKUP(F837,'Base Insumos'!$A:$D,4,FALSE()),"")</f>
        <v/>
      </c>
      <c r="J837" s="162">
        <f>IFERROR(VLOOKUP(F837,'Base Insumos'!$A:$C,3,FALSE()),"PENDENTE")</f>
        <v/>
      </c>
      <c r="K837" s="162">
        <f>IFERROR(IF(J837="PENDENTE",0,J837*H837),0)</f>
        <v/>
      </c>
      <c r="L837" s="162" t="inlineStr">
        <is>
          <t>PENDENTE</t>
        </is>
      </c>
      <c r="M837" s="201">
        <f>IFERROR(K837/L837,0)</f>
        <v/>
      </c>
      <c r="N837" s="161" t="inlineStr">
        <is>
          <t>CAD-002 | Código PA pendente</t>
        </is>
      </c>
    </row>
    <row r="838">
      <c r="A838" s="197" t="inlineStr">
        <is>
          <t>Saladas e Molhos</t>
        </is>
      </c>
      <c r="B838" s="198" t="inlineStr">
        <is>
          <t>Molhos</t>
        </is>
      </c>
      <c r="C838" s="199" t="inlineStr">
        <is>
          <t>Geleia de Pimenta</t>
        </is>
      </c>
      <c r="D838" s="160" t="inlineStr">
        <is>
          <t>Não</t>
        </is>
      </c>
      <c r="E838" s="163" t="inlineStr">
        <is>
          <t>PENDENTE</t>
        </is>
      </c>
      <c r="F838" s="163" t="inlineStr">
        <is>
          <t>001251</t>
        </is>
      </c>
      <c r="G838" s="161">
        <f>IFERROR(VLOOKUP(F838,'Base Insumos'!$A:$B,2,FALSE()),"PENDENTE")</f>
        <v/>
      </c>
      <c r="H838" s="200" t="n">
        <v>0.05</v>
      </c>
      <c r="I838" s="163">
        <f>IFERROR(VLOOKUP(F838,'Base Insumos'!$A:$D,4,FALSE()),"")</f>
        <v/>
      </c>
      <c r="J838" s="162">
        <f>IFERROR(VLOOKUP(F838,'Base Insumos'!$A:$C,3,FALSE()),"PENDENTE")</f>
        <v/>
      </c>
      <c r="K838" s="162">
        <f>IFERROR(IF(J838="PENDENTE",0,J838*H838),0)</f>
        <v/>
      </c>
      <c r="L838" s="162" t="inlineStr">
        <is>
          <t>PENDENTE</t>
        </is>
      </c>
      <c r="M838" s="201">
        <f>IFERROR(K838/L838,0)</f>
        <v/>
      </c>
      <c r="N838" s="161" t="inlineStr">
        <is>
          <t>CAD-002 | Código PA pendente</t>
        </is>
      </c>
    </row>
    <row r="839">
      <c r="A839" s="197" t="inlineStr">
        <is>
          <t>Saladas e Molhos</t>
        </is>
      </c>
      <c r="B839" s="198" t="inlineStr">
        <is>
          <t>Molhos</t>
        </is>
      </c>
      <c r="C839" s="199" t="inlineStr">
        <is>
          <t>Maionese de Alho e Sal Quintal</t>
        </is>
      </c>
      <c r="D839" s="160" t="inlineStr">
        <is>
          <t>Não</t>
        </is>
      </c>
      <c r="E839" s="163" t="inlineStr">
        <is>
          <t>PENDENTE</t>
        </is>
      </c>
      <c r="F839" s="163" t="inlineStr">
        <is>
          <t>001582</t>
        </is>
      </c>
      <c r="G839" s="161">
        <f>IFERROR(VLOOKUP(F839,'Base Insumos'!$A:$B,2,FALSE()),"PENDENTE")</f>
        <v/>
      </c>
      <c r="H839" s="200" t="n">
        <v>0.03125</v>
      </c>
      <c r="I839" s="163">
        <f>IFERROR(VLOOKUP(F839,'Base Insumos'!$A:$D,4,FALSE()),"")</f>
        <v/>
      </c>
      <c r="J839" s="162">
        <f>IFERROR(VLOOKUP(F839,'Base Insumos'!$A:$C,3,FALSE()),"PENDENTE")</f>
        <v/>
      </c>
      <c r="K839" s="162">
        <f>IFERROR(IF(J839="PENDENTE",0,J839*H839),0)</f>
        <v/>
      </c>
      <c r="L839" s="162" t="inlineStr">
        <is>
          <t>PENDENTE</t>
        </is>
      </c>
      <c r="M839" s="201">
        <f>IFERROR(K839/L839,0)</f>
        <v/>
      </c>
      <c r="N839" s="161" t="inlineStr">
        <is>
          <t>CAD-002 | Código PA pendente</t>
        </is>
      </c>
    </row>
    <row r="840">
      <c r="A840" s="197" t="inlineStr">
        <is>
          <t>Saladas e Molhos</t>
        </is>
      </c>
      <c r="B840" s="198" t="inlineStr">
        <is>
          <t>Molhos</t>
        </is>
      </c>
      <c r="C840" s="199" t="inlineStr">
        <is>
          <t>Maionese de Alho e Sal Quintal</t>
        </is>
      </c>
      <c r="D840" s="160" t="inlineStr">
        <is>
          <t>Não</t>
        </is>
      </c>
      <c r="E840" s="163" t="inlineStr">
        <is>
          <t>PENDENTE</t>
        </is>
      </c>
      <c r="F840" s="163" t="inlineStr">
        <is>
          <t>000463</t>
        </is>
      </c>
      <c r="G840" s="161">
        <f>IFERROR(VLOOKUP(F840,'Base Insumos'!$A:$B,2,FALSE()),"PENDENTE")</f>
        <v/>
      </c>
      <c r="H840" s="200" t="n">
        <v>0.003125</v>
      </c>
      <c r="I840" s="163">
        <f>IFERROR(VLOOKUP(F840,'Base Insumos'!$A:$D,4,FALSE()),"")</f>
        <v/>
      </c>
      <c r="J840" s="162">
        <f>IFERROR(VLOOKUP(F840,'Base Insumos'!$A:$C,3,FALSE()),"PENDENTE")</f>
        <v/>
      </c>
      <c r="K840" s="162">
        <f>IFERROR(IF(J840="PENDENTE",0,J840*H840),0)</f>
        <v/>
      </c>
      <c r="L840" s="162" t="inlineStr">
        <is>
          <t>PENDENTE</t>
        </is>
      </c>
      <c r="M840" s="201">
        <f>IFERROR(K840/L840,0)</f>
        <v/>
      </c>
      <c r="N840" s="161" t="inlineStr">
        <is>
          <t>CAD-002 | Código PA pendente</t>
        </is>
      </c>
    </row>
    <row r="841">
      <c r="A841" s="197" t="inlineStr">
        <is>
          <t>Saladas e Molhos</t>
        </is>
      </c>
      <c r="B841" s="198" t="inlineStr">
        <is>
          <t>Molhos</t>
        </is>
      </c>
      <c r="C841" s="199" t="inlineStr">
        <is>
          <t>Maionese de Alho e Sal Quintal</t>
        </is>
      </c>
      <c r="D841" s="160" t="inlineStr">
        <is>
          <t>Não</t>
        </is>
      </c>
      <c r="E841" s="163" t="inlineStr">
        <is>
          <t>PENDENTE</t>
        </is>
      </c>
      <c r="F841" s="163" t="inlineStr">
        <is>
          <t>000484</t>
        </is>
      </c>
      <c r="G841" s="161">
        <f>IFERROR(VLOOKUP(F841,'Base Insumos'!$A:$B,2,FALSE()),"PENDENTE")</f>
        <v/>
      </c>
      <c r="H841" s="200" t="n">
        <v>0.001875</v>
      </c>
      <c r="I841" s="163">
        <f>IFERROR(VLOOKUP(F841,'Base Insumos'!$A:$D,4,FALSE()),"")</f>
        <v/>
      </c>
      <c r="J841" s="162">
        <f>IFERROR(VLOOKUP(F841,'Base Insumos'!$A:$C,3,FALSE()),"PENDENTE")</f>
        <v/>
      </c>
      <c r="K841" s="162">
        <f>IFERROR(IF(J841="PENDENTE",0,J841*H841),0)</f>
        <v/>
      </c>
      <c r="L841" s="162" t="inlineStr">
        <is>
          <t>PENDENTE</t>
        </is>
      </c>
      <c r="M841" s="201">
        <f>IFERROR(K841/L841,0)</f>
        <v/>
      </c>
      <c r="N841" s="161" t="inlineStr">
        <is>
          <t>CAD-002 | Código PA pendente</t>
        </is>
      </c>
    </row>
    <row r="842">
      <c r="A842" s="197" t="inlineStr">
        <is>
          <t>Saladas e Molhos</t>
        </is>
      </c>
      <c r="B842" s="198" t="inlineStr">
        <is>
          <t>Molhos</t>
        </is>
      </c>
      <c r="C842" s="199" t="inlineStr">
        <is>
          <t>Maionese de Alho e Sal Quintal</t>
        </is>
      </c>
      <c r="D842" s="160" t="inlineStr">
        <is>
          <t>Não</t>
        </is>
      </c>
      <c r="E842" s="163" t="inlineStr">
        <is>
          <t>PENDENTE</t>
        </is>
      </c>
      <c r="F842" s="163" t="inlineStr">
        <is>
          <t>000614</t>
        </is>
      </c>
      <c r="G842" s="161">
        <f>IFERROR(VLOOKUP(F842,'Base Insumos'!$A:$B,2,FALSE()),"PENDENTE")</f>
        <v/>
      </c>
      <c r="H842" s="200" t="n">
        <v>0.0003125</v>
      </c>
      <c r="I842" s="163">
        <f>IFERROR(VLOOKUP(F842,'Base Insumos'!$A:$D,4,FALSE()),"")</f>
        <v/>
      </c>
      <c r="J842" s="162">
        <f>IFERROR(VLOOKUP(F842,'Base Insumos'!$A:$C,3,FALSE()),"PENDENTE")</f>
        <v/>
      </c>
      <c r="K842" s="162">
        <f>IFERROR(IF(J842="PENDENTE",0,J842*H842),0)</f>
        <v/>
      </c>
      <c r="L842" s="162" t="inlineStr">
        <is>
          <t>PENDENTE</t>
        </is>
      </c>
      <c r="M842" s="201">
        <f>IFERROR(K842/L842,0)</f>
        <v/>
      </c>
      <c r="N842" s="161" t="inlineStr">
        <is>
          <t>CAD-002 | Código PA pendente</t>
        </is>
      </c>
    </row>
    <row r="843">
      <c r="A843" s="197" t="inlineStr">
        <is>
          <t>Saladas e Molhos</t>
        </is>
      </c>
      <c r="B843" s="198" t="inlineStr">
        <is>
          <t>Molhos</t>
        </is>
      </c>
      <c r="C843" s="199" t="inlineStr">
        <is>
          <t>Maionese de Alho e Sal Quintal</t>
        </is>
      </c>
      <c r="D843" s="160" t="inlineStr">
        <is>
          <t>Não</t>
        </is>
      </c>
      <c r="E843" s="163" t="inlineStr">
        <is>
          <t>PENDENTE</t>
        </is>
      </c>
      <c r="F843" s="163" t="inlineStr">
        <is>
          <t>000414</t>
        </is>
      </c>
      <c r="G843" s="161">
        <f>IFERROR(VLOOKUP(F843,'Base Insumos'!$A:$B,2,FALSE()),"PENDENTE")</f>
        <v/>
      </c>
      <c r="H843" s="200" t="n">
        <v>0.000125</v>
      </c>
      <c r="I843" s="163">
        <f>IFERROR(VLOOKUP(F843,'Base Insumos'!$A:$D,4,FALSE()),"")</f>
        <v/>
      </c>
      <c r="J843" s="162">
        <f>IFERROR(VLOOKUP(F843,'Base Insumos'!$A:$C,3,FALSE()),"PENDENTE")</f>
        <v/>
      </c>
      <c r="K843" s="162">
        <f>IFERROR(IF(J843="PENDENTE",0,J843*H843),0)</f>
        <v/>
      </c>
      <c r="L843" s="162" t="inlineStr">
        <is>
          <t>PENDENTE</t>
        </is>
      </c>
      <c r="M843" s="201">
        <f>IFERROR(K843/L843,0)</f>
        <v/>
      </c>
      <c r="N843" s="161" t="inlineStr">
        <is>
          <t>CAD-002 | Código PA pendente</t>
        </is>
      </c>
    </row>
    <row r="844">
      <c r="A844" s="197" t="inlineStr">
        <is>
          <t>Saladas e Molhos</t>
        </is>
      </c>
      <c r="B844" s="198" t="inlineStr">
        <is>
          <t>Molhos</t>
        </is>
      </c>
      <c r="C844" s="199" t="inlineStr">
        <is>
          <t>Maionese de Alho e Sal Quintal</t>
        </is>
      </c>
      <c r="D844" s="160" t="inlineStr">
        <is>
          <t>Não</t>
        </is>
      </c>
      <c r="E844" s="163" t="inlineStr">
        <is>
          <t>PENDENTE</t>
        </is>
      </c>
      <c r="F844" s="163" t="inlineStr">
        <is>
          <t>000983</t>
        </is>
      </c>
      <c r="G844" s="161">
        <f>IFERROR(VLOOKUP(F844,'Base Insumos'!$A:$B,2,FALSE()),"PENDENTE")</f>
        <v/>
      </c>
      <c r="H844" s="200" t="n">
        <v>0.0003125</v>
      </c>
      <c r="I844" s="163">
        <f>IFERROR(VLOOKUP(F844,'Base Insumos'!$A:$D,4,FALSE()),"")</f>
        <v/>
      </c>
      <c r="J844" s="162">
        <f>IFERROR(VLOOKUP(F844,'Base Insumos'!$A:$C,3,FALSE()),"PENDENTE")</f>
        <v/>
      </c>
      <c r="K844" s="162">
        <f>IFERROR(IF(J844="PENDENTE",0,J844*H844),0)</f>
        <v/>
      </c>
      <c r="L844" s="162" t="inlineStr">
        <is>
          <t>PENDENTE</t>
        </is>
      </c>
      <c r="M844" s="201">
        <f>IFERROR(K844/L844,0)</f>
        <v/>
      </c>
      <c r="N844" s="161" t="inlineStr">
        <is>
          <t>CAD-002 | Código PA pendente</t>
        </is>
      </c>
    </row>
    <row r="845">
      <c r="A845" s="197" t="inlineStr">
        <is>
          <t>Saladas e Molhos</t>
        </is>
      </c>
      <c r="B845" s="198" t="inlineStr">
        <is>
          <t>Molhos</t>
        </is>
      </c>
      <c r="C845" s="199" t="inlineStr">
        <is>
          <t>Molho Pesto</t>
        </is>
      </c>
      <c r="D845" s="160" t="inlineStr">
        <is>
          <t>Não</t>
        </is>
      </c>
      <c r="E845" s="163" t="inlineStr">
        <is>
          <t>PENDENTE</t>
        </is>
      </c>
      <c r="F845" s="163" t="inlineStr">
        <is>
          <t>000411</t>
        </is>
      </c>
      <c r="G845" s="161">
        <f>IFERROR(VLOOKUP(F845,'Base Insumos'!$A:$B,2,FALSE()),"PENDENTE")</f>
        <v/>
      </c>
      <c r="H845" s="200" t="n">
        <v>0.005</v>
      </c>
      <c r="I845" s="163">
        <f>IFERROR(VLOOKUP(F845,'Base Insumos'!$A:$D,4,FALSE()),"")</f>
        <v/>
      </c>
      <c r="J845" s="162">
        <f>IFERROR(VLOOKUP(F845,'Base Insumos'!$A:$C,3,FALSE()),"PENDENTE")</f>
        <v/>
      </c>
      <c r="K845" s="162">
        <f>IFERROR(IF(J845="PENDENTE",0,J845*H845),0)</f>
        <v/>
      </c>
      <c r="L845" s="162" t="inlineStr">
        <is>
          <t>PENDENTE</t>
        </is>
      </c>
      <c r="M845" s="201">
        <f>IFERROR(K845/L845,0)</f>
        <v/>
      </c>
      <c r="N845" s="161" t="inlineStr">
        <is>
          <t>CAD-002 | Código PA pendente</t>
        </is>
      </c>
    </row>
    <row r="846">
      <c r="A846" s="197" t="inlineStr">
        <is>
          <t>Saladas e Molhos</t>
        </is>
      </c>
      <c r="B846" s="198" t="inlineStr">
        <is>
          <t>Molhos</t>
        </is>
      </c>
      <c r="C846" s="199" t="inlineStr">
        <is>
          <t>Molho Pesto</t>
        </is>
      </c>
      <c r="D846" s="160" t="inlineStr">
        <is>
          <t>Não</t>
        </is>
      </c>
      <c r="E846" s="163" t="inlineStr">
        <is>
          <t>PENDENTE</t>
        </is>
      </c>
      <c r="F846" s="163" t="inlineStr">
        <is>
          <t>001043</t>
        </is>
      </c>
      <c r="G846" s="161">
        <f>IFERROR(VLOOKUP(F846,'Base Insumos'!$A:$B,2,FALSE()),"PENDENTE")</f>
        <v/>
      </c>
      <c r="H846" s="200" t="n">
        <v>0.035</v>
      </c>
      <c r="I846" s="163">
        <f>IFERROR(VLOOKUP(F846,'Base Insumos'!$A:$D,4,FALSE()),"")</f>
        <v/>
      </c>
      <c r="J846" s="162">
        <f>IFERROR(VLOOKUP(F846,'Base Insumos'!$A:$C,3,FALSE()),"PENDENTE")</f>
        <v/>
      </c>
      <c r="K846" s="162">
        <f>IFERROR(IF(J846="PENDENTE",0,J846*H846),0)</f>
        <v/>
      </c>
      <c r="L846" s="162" t="inlineStr">
        <is>
          <t>PENDENTE</t>
        </is>
      </c>
      <c r="M846" s="201">
        <f>IFERROR(K846/L846,0)</f>
        <v/>
      </c>
      <c r="N846" s="161" t="inlineStr">
        <is>
          <t>CAD-002 | Código PA pendente</t>
        </is>
      </c>
    </row>
    <row r="847">
      <c r="A847" s="197" t="inlineStr">
        <is>
          <t>Saladas e Molhos</t>
        </is>
      </c>
      <c r="B847" s="198" t="inlineStr">
        <is>
          <t>Molhos</t>
        </is>
      </c>
      <c r="C847" s="199" t="inlineStr">
        <is>
          <t>Molho Pesto</t>
        </is>
      </c>
      <c r="D847" s="160" t="inlineStr">
        <is>
          <t>Não</t>
        </is>
      </c>
      <c r="E847" s="163" t="inlineStr">
        <is>
          <t>PENDENTE</t>
        </is>
      </c>
      <c r="F847" s="163" t="inlineStr">
        <is>
          <t>000463</t>
        </is>
      </c>
      <c r="G847" s="161">
        <f>IFERROR(VLOOKUP(F847,'Base Insumos'!$A:$B,2,FALSE()),"PENDENTE")</f>
        <v/>
      </c>
      <c r="H847" s="200" t="n">
        <v>0.0015</v>
      </c>
      <c r="I847" s="163">
        <f>IFERROR(VLOOKUP(F847,'Base Insumos'!$A:$D,4,FALSE()),"")</f>
        <v/>
      </c>
      <c r="J847" s="162">
        <f>IFERROR(VLOOKUP(F847,'Base Insumos'!$A:$C,3,FALSE()),"PENDENTE")</f>
        <v/>
      </c>
      <c r="K847" s="162">
        <f>IFERROR(IF(J847="PENDENTE",0,J847*H847),0)</f>
        <v/>
      </c>
      <c r="L847" s="162" t="inlineStr">
        <is>
          <t>PENDENTE</t>
        </is>
      </c>
      <c r="M847" s="201">
        <f>IFERROR(K847/L847,0)</f>
        <v/>
      </c>
      <c r="N847" s="161" t="inlineStr">
        <is>
          <t>CAD-002 | Código PA pendente</t>
        </is>
      </c>
    </row>
    <row r="848">
      <c r="A848" s="197" t="inlineStr">
        <is>
          <t>Saladas e Molhos</t>
        </is>
      </c>
      <c r="B848" s="198" t="inlineStr">
        <is>
          <t>Molhos</t>
        </is>
      </c>
      <c r="C848" s="199" t="inlineStr">
        <is>
          <t>Molho Pesto</t>
        </is>
      </c>
      <c r="D848" s="160" t="inlineStr">
        <is>
          <t>Não</t>
        </is>
      </c>
      <c r="E848" s="163" t="inlineStr">
        <is>
          <t>PENDENTE</t>
        </is>
      </c>
      <c r="F848" s="163" t="inlineStr">
        <is>
          <t>000414</t>
        </is>
      </c>
      <c r="G848" s="161">
        <f>IFERROR(VLOOKUP(F848,'Base Insumos'!$A:$B,2,FALSE()),"PENDENTE")</f>
        <v/>
      </c>
      <c r="H848" s="200" t="n">
        <v>0.0003</v>
      </c>
      <c r="I848" s="163">
        <f>IFERROR(VLOOKUP(F848,'Base Insumos'!$A:$D,4,FALSE()),"")</f>
        <v/>
      </c>
      <c r="J848" s="162">
        <f>IFERROR(VLOOKUP(F848,'Base Insumos'!$A:$C,3,FALSE()),"PENDENTE")</f>
        <v/>
      </c>
      <c r="K848" s="162">
        <f>IFERROR(IF(J848="PENDENTE",0,J848*H848),0)</f>
        <v/>
      </c>
      <c r="L848" s="162" t="inlineStr">
        <is>
          <t>PENDENTE</t>
        </is>
      </c>
      <c r="M848" s="201">
        <f>IFERROR(K848/L848,0)</f>
        <v/>
      </c>
      <c r="N848" s="161" t="inlineStr">
        <is>
          <t>CAD-002 | Código PA pendente</t>
        </is>
      </c>
    </row>
    <row r="849">
      <c r="A849" s="197" t="inlineStr">
        <is>
          <t>Saladas e Molhos</t>
        </is>
      </c>
      <c r="B849" s="198" t="inlineStr">
        <is>
          <t>Molhos</t>
        </is>
      </c>
      <c r="C849" s="199" t="inlineStr">
        <is>
          <t>Molho Pesto</t>
        </is>
      </c>
      <c r="D849" s="160" t="inlineStr">
        <is>
          <t>Não</t>
        </is>
      </c>
      <c r="E849" s="163" t="inlineStr">
        <is>
          <t>PENDENTE</t>
        </is>
      </c>
      <c r="F849" s="163" t="inlineStr">
        <is>
          <t>000614</t>
        </is>
      </c>
      <c r="G849" s="161">
        <f>IFERROR(VLOOKUP(F849,'Base Insumos'!$A:$B,2,FALSE()),"PENDENTE")</f>
        <v/>
      </c>
      <c r="H849" s="200" t="n">
        <v>0.001</v>
      </c>
      <c r="I849" s="163">
        <f>IFERROR(VLOOKUP(F849,'Base Insumos'!$A:$D,4,FALSE()),"")</f>
        <v/>
      </c>
      <c r="J849" s="162">
        <f>IFERROR(VLOOKUP(F849,'Base Insumos'!$A:$C,3,FALSE()),"PENDENTE")</f>
        <v/>
      </c>
      <c r="K849" s="162">
        <f>IFERROR(IF(J849="PENDENTE",0,J849*H849),0)</f>
        <v/>
      </c>
      <c r="L849" s="162" t="inlineStr">
        <is>
          <t>PENDENTE</t>
        </is>
      </c>
      <c r="M849" s="201">
        <f>IFERROR(K849/L849,0)</f>
        <v/>
      </c>
      <c r="N849" s="161" t="inlineStr">
        <is>
          <t>CAD-002 | Código PA pendente</t>
        </is>
      </c>
    </row>
    <row r="850">
      <c r="A850" s="197" t="inlineStr">
        <is>
          <t>Saladas e Molhos</t>
        </is>
      </c>
      <c r="B850" s="198" t="inlineStr">
        <is>
          <t>Molhos</t>
        </is>
      </c>
      <c r="C850" s="199" t="inlineStr">
        <is>
          <t>Molho Mostarda e Mel</t>
        </is>
      </c>
      <c r="D850" s="160" t="inlineStr">
        <is>
          <t>Não</t>
        </is>
      </c>
      <c r="E850" s="163" t="inlineStr">
        <is>
          <t>PENDENTE</t>
        </is>
      </c>
      <c r="F850" s="163" t="inlineStr">
        <is>
          <t>000408</t>
        </is>
      </c>
      <c r="G850" s="161">
        <f>IFERROR(VLOOKUP(F850,'Base Insumos'!$A:$B,2,FALSE()),"PENDENTE")</f>
        <v/>
      </c>
      <c r="H850" s="200" t="n">
        <v>0.0115</v>
      </c>
      <c r="I850" s="163">
        <f>IFERROR(VLOOKUP(F850,'Base Insumos'!$A:$D,4,FALSE()),"")</f>
        <v/>
      </c>
      <c r="J850" s="162">
        <f>IFERROR(VLOOKUP(F850,'Base Insumos'!$A:$C,3,FALSE()),"PENDENTE")</f>
        <v/>
      </c>
      <c r="K850" s="162">
        <f>IFERROR(IF(J850="PENDENTE",0,J850*H850),0)</f>
        <v/>
      </c>
      <c r="L850" s="162" t="inlineStr">
        <is>
          <t>PENDENTE</t>
        </is>
      </c>
      <c r="M850" s="201">
        <f>IFERROR(K850/L850,0)</f>
        <v/>
      </c>
      <c r="N850" s="161" t="inlineStr">
        <is>
          <t>CAD-002 | Código PA pendente</t>
        </is>
      </c>
    </row>
    <row r="851">
      <c r="A851" s="197" t="inlineStr">
        <is>
          <t>Saladas e Molhos</t>
        </is>
      </c>
      <c r="B851" s="198" t="inlineStr">
        <is>
          <t>Molhos</t>
        </is>
      </c>
      <c r="C851" s="199" t="inlineStr">
        <is>
          <t>Molho Mostarda e Mel</t>
        </is>
      </c>
      <c r="D851" s="160" t="inlineStr">
        <is>
          <t>Não</t>
        </is>
      </c>
      <c r="E851" s="163" t="inlineStr">
        <is>
          <t>PENDENTE</t>
        </is>
      </c>
      <c r="F851" s="163" t="inlineStr">
        <is>
          <t>000400</t>
        </is>
      </c>
      <c r="G851" s="161">
        <f>IFERROR(VLOOKUP(F851,'Base Insumos'!$A:$B,2,FALSE()),"PENDENTE")</f>
        <v/>
      </c>
      <c r="H851" s="200" t="n">
        <v>0.005</v>
      </c>
      <c r="I851" s="163">
        <f>IFERROR(VLOOKUP(F851,'Base Insumos'!$A:$D,4,FALSE()),"")</f>
        <v/>
      </c>
      <c r="J851" s="162">
        <f>IFERROR(VLOOKUP(F851,'Base Insumos'!$A:$C,3,FALSE()),"PENDENTE")</f>
        <v/>
      </c>
      <c r="K851" s="162">
        <f>IFERROR(IF(J851="PENDENTE",0,J851*H851),0)</f>
        <v/>
      </c>
      <c r="L851" s="162" t="inlineStr">
        <is>
          <t>PENDENTE</t>
        </is>
      </c>
      <c r="M851" s="201">
        <f>IFERROR(K851/L851,0)</f>
        <v/>
      </c>
      <c r="N851" s="161" t="inlineStr">
        <is>
          <t>CAD-002 | Código PA pendente</t>
        </is>
      </c>
    </row>
    <row r="852">
      <c r="A852" s="197" t="inlineStr">
        <is>
          <t>Saladas e Molhos</t>
        </is>
      </c>
      <c r="B852" s="198" t="inlineStr">
        <is>
          <t>Molhos</t>
        </is>
      </c>
      <c r="C852" s="199" t="inlineStr">
        <is>
          <t>Molho Mostarda e Mel</t>
        </is>
      </c>
      <c r="D852" s="160" t="inlineStr">
        <is>
          <t>Não</t>
        </is>
      </c>
      <c r="E852" s="163" t="inlineStr">
        <is>
          <t>PENDENTE</t>
        </is>
      </c>
      <c r="F852" s="163" t="inlineStr">
        <is>
          <t>000614</t>
        </is>
      </c>
      <c r="G852" s="161">
        <f>IFERROR(VLOOKUP(F852,'Base Insumos'!$A:$B,2,FALSE()),"PENDENTE")</f>
        <v/>
      </c>
      <c r="H852" s="200" t="n">
        <v>0.035</v>
      </c>
      <c r="I852" s="163">
        <f>IFERROR(VLOOKUP(F852,'Base Insumos'!$A:$D,4,FALSE()),"")</f>
        <v/>
      </c>
      <c r="J852" s="162">
        <f>IFERROR(VLOOKUP(F852,'Base Insumos'!$A:$C,3,FALSE()),"PENDENTE")</f>
        <v/>
      </c>
      <c r="K852" s="162">
        <f>IFERROR(IF(J852="PENDENTE",0,J852*H852),0)</f>
        <v/>
      </c>
      <c r="L852" s="162" t="inlineStr">
        <is>
          <t>PENDENTE</t>
        </is>
      </c>
      <c r="M852" s="201">
        <f>IFERROR(K852/L852,0)</f>
        <v/>
      </c>
      <c r="N852" s="161" t="inlineStr">
        <is>
          <t>CAD-002 | Código PA pendente</t>
        </is>
      </c>
    </row>
    <row r="853">
      <c r="A853" s="197" t="inlineStr">
        <is>
          <t>Saladas e Molhos</t>
        </is>
      </c>
      <c r="B853" s="198" t="inlineStr">
        <is>
          <t>Molhos</t>
        </is>
      </c>
      <c r="C853" s="199" t="inlineStr">
        <is>
          <t>Molho Mostarda e Mel</t>
        </is>
      </c>
      <c r="D853" s="160" t="inlineStr">
        <is>
          <t>Não</t>
        </is>
      </c>
      <c r="E853" s="163" t="inlineStr">
        <is>
          <t>PENDENTE</t>
        </is>
      </c>
      <c r="F853" s="163" t="inlineStr">
        <is>
          <t>000414</t>
        </is>
      </c>
      <c r="G853" s="161">
        <f>IFERROR(VLOOKUP(F853,'Base Insumos'!$A:$B,2,FALSE()),"PENDENTE")</f>
        <v/>
      </c>
      <c r="H853" s="200" t="n">
        <v>0.0015</v>
      </c>
      <c r="I853" s="163">
        <f>IFERROR(VLOOKUP(F853,'Base Insumos'!$A:$D,4,FALSE()),"")</f>
        <v/>
      </c>
      <c r="J853" s="162">
        <f>IFERROR(VLOOKUP(F853,'Base Insumos'!$A:$C,3,FALSE()),"PENDENTE")</f>
        <v/>
      </c>
      <c r="K853" s="162">
        <f>IFERROR(IF(J853="PENDENTE",0,J853*H853),0)</f>
        <v/>
      </c>
      <c r="L853" s="162" t="inlineStr">
        <is>
          <t>PENDENTE</t>
        </is>
      </c>
      <c r="M853" s="201">
        <f>IFERROR(K853/L853,0)</f>
        <v/>
      </c>
      <c r="N853" s="161" t="inlineStr">
        <is>
          <t>CAD-002 | Código PA pendente</t>
        </is>
      </c>
    </row>
    <row r="854">
      <c r="A854" s="197" t="inlineStr">
        <is>
          <t>Saladas e Molhos</t>
        </is>
      </c>
      <c r="B854" s="198" t="inlineStr">
        <is>
          <t>Molhos</t>
        </is>
      </c>
      <c r="C854" s="199" t="inlineStr">
        <is>
          <t>Molho de Hortelã</t>
        </is>
      </c>
      <c r="D854" s="160" t="inlineStr">
        <is>
          <t>Não</t>
        </is>
      </c>
      <c r="E854" s="163" t="inlineStr">
        <is>
          <t>PENDENTE</t>
        </is>
      </c>
      <c r="F854" s="163" t="inlineStr">
        <is>
          <t>000474</t>
        </is>
      </c>
      <c r="G854" s="161">
        <f>IFERROR(VLOOKUP(F854,'Base Insumos'!$A:$B,2,FALSE()),"PENDENTE")</f>
        <v/>
      </c>
      <c r="H854" s="200" t="n">
        <v>0.013</v>
      </c>
      <c r="I854" s="163">
        <f>IFERROR(VLOOKUP(F854,'Base Insumos'!$A:$D,4,FALSE()),"")</f>
        <v/>
      </c>
      <c r="J854" s="162">
        <f>IFERROR(VLOOKUP(F854,'Base Insumos'!$A:$C,3,FALSE()),"PENDENTE")</f>
        <v/>
      </c>
      <c r="K854" s="162">
        <f>IFERROR(IF(J854="PENDENTE",0,J854*H854),0)</f>
        <v/>
      </c>
      <c r="L854" s="162" t="inlineStr">
        <is>
          <t>PENDENTE</t>
        </is>
      </c>
      <c r="M854" s="201">
        <f>IFERROR(K854/L854,0)</f>
        <v/>
      </c>
      <c r="N854" s="161" t="inlineStr">
        <is>
          <t>CAD-002 | Código PA pendente</t>
        </is>
      </c>
    </row>
    <row r="855">
      <c r="A855" s="197" t="inlineStr">
        <is>
          <t>Saladas e Molhos</t>
        </is>
      </c>
      <c r="B855" s="198" t="inlineStr">
        <is>
          <t>Molhos</t>
        </is>
      </c>
      <c r="C855" s="199" t="inlineStr">
        <is>
          <t>Molho de Hortelã</t>
        </is>
      </c>
      <c r="D855" s="160" t="inlineStr">
        <is>
          <t>Não</t>
        </is>
      </c>
      <c r="E855" s="163" t="inlineStr">
        <is>
          <t>PENDENTE</t>
        </is>
      </c>
      <c r="F855" s="163" t="inlineStr">
        <is>
          <t>000393</t>
        </is>
      </c>
      <c r="G855" s="161">
        <f>IFERROR(VLOOKUP(F855,'Base Insumos'!$A:$B,2,FALSE()),"PENDENTE")</f>
        <v/>
      </c>
      <c r="H855" s="200" t="n">
        <v>0.029</v>
      </c>
      <c r="I855" s="163">
        <f>IFERROR(VLOOKUP(F855,'Base Insumos'!$A:$D,4,FALSE()),"")</f>
        <v/>
      </c>
      <c r="J855" s="162">
        <f>IFERROR(VLOOKUP(F855,'Base Insumos'!$A:$C,3,FALSE()),"PENDENTE")</f>
        <v/>
      </c>
      <c r="K855" s="162">
        <f>IFERROR(IF(J855="PENDENTE",0,J855*H855),0)</f>
        <v/>
      </c>
      <c r="L855" s="162" t="inlineStr">
        <is>
          <t>PENDENTE</t>
        </is>
      </c>
      <c r="M855" s="201">
        <f>IFERROR(K855/L855,0)</f>
        <v/>
      </c>
      <c r="N855" s="161" t="inlineStr">
        <is>
          <t>CAD-002 | Código PA pendente</t>
        </is>
      </c>
    </row>
    <row r="856">
      <c r="A856" s="197" t="inlineStr">
        <is>
          <t>Saladas e Molhos</t>
        </is>
      </c>
      <c r="B856" s="198" t="inlineStr">
        <is>
          <t>Molhos</t>
        </is>
      </c>
      <c r="C856" s="199" t="inlineStr">
        <is>
          <t>Molho de Hortelã</t>
        </is>
      </c>
      <c r="D856" s="160" t="inlineStr">
        <is>
          <t>Não</t>
        </is>
      </c>
      <c r="E856" s="163" t="inlineStr">
        <is>
          <t>PENDENTE</t>
        </is>
      </c>
      <c r="F856" s="163" t="inlineStr">
        <is>
          <t>000424</t>
        </is>
      </c>
      <c r="G856" s="161">
        <f>IFERROR(VLOOKUP(F856,'Base Insumos'!$A:$B,2,FALSE()),"PENDENTE")</f>
        <v/>
      </c>
      <c r="H856" s="200" t="n">
        <v>0.013</v>
      </c>
      <c r="I856" s="163">
        <f>IFERROR(VLOOKUP(F856,'Base Insumos'!$A:$D,4,FALSE()),"")</f>
        <v/>
      </c>
      <c r="J856" s="162">
        <f>IFERROR(VLOOKUP(F856,'Base Insumos'!$A:$C,3,FALSE()),"PENDENTE")</f>
        <v/>
      </c>
      <c r="K856" s="162">
        <f>IFERROR(IF(J856="PENDENTE",0,J856*H856),0)</f>
        <v/>
      </c>
      <c r="L856" s="162" t="inlineStr">
        <is>
          <t>PENDENTE</t>
        </is>
      </c>
      <c r="M856" s="201">
        <f>IFERROR(K856/L856,0)</f>
        <v/>
      </c>
      <c r="N856" s="161" t="inlineStr">
        <is>
          <t>CAD-002 | Código PA pendente</t>
        </is>
      </c>
    </row>
    <row r="857">
      <c r="A857" s="197" t="inlineStr">
        <is>
          <t>Saladas e Molhos</t>
        </is>
      </c>
      <c r="B857" s="198" t="inlineStr">
        <is>
          <t>Molhos</t>
        </is>
      </c>
      <c r="C857" s="199" t="inlineStr">
        <is>
          <t>Molho de Hortelã</t>
        </is>
      </c>
      <c r="D857" s="160" t="inlineStr">
        <is>
          <t>Não</t>
        </is>
      </c>
      <c r="E857" s="163" t="inlineStr">
        <is>
          <t>PENDENTE</t>
        </is>
      </c>
      <c r="F857" s="163" t="inlineStr">
        <is>
          <t>000614</t>
        </is>
      </c>
      <c r="G857" s="161">
        <f>IFERROR(VLOOKUP(F857,'Base Insumos'!$A:$B,2,FALSE()),"PENDENTE")</f>
        <v/>
      </c>
      <c r="H857" s="200" t="n">
        <v>0.0001</v>
      </c>
      <c r="I857" s="163">
        <f>IFERROR(VLOOKUP(F857,'Base Insumos'!$A:$D,4,FALSE()),"")</f>
        <v/>
      </c>
      <c r="J857" s="162">
        <f>IFERROR(VLOOKUP(F857,'Base Insumos'!$A:$C,3,FALSE()),"PENDENTE")</f>
        <v/>
      </c>
      <c r="K857" s="162">
        <f>IFERROR(IF(J857="PENDENTE",0,J857*H857),0)</f>
        <v/>
      </c>
      <c r="L857" s="162" t="inlineStr">
        <is>
          <t>PENDENTE</t>
        </is>
      </c>
      <c r="M857" s="201">
        <f>IFERROR(K857/L857,0)</f>
        <v/>
      </c>
      <c r="N857" s="161" t="inlineStr">
        <is>
          <t>CAD-002 | Código PA pendente</t>
        </is>
      </c>
    </row>
    <row r="858">
      <c r="A858" s="197" t="inlineStr">
        <is>
          <t>Saladas e Molhos</t>
        </is>
      </c>
      <c r="B858" s="198" t="inlineStr">
        <is>
          <t>Molhos</t>
        </is>
      </c>
      <c r="C858" s="199" t="inlineStr">
        <is>
          <t>Molho Azeite de Ervas</t>
        </is>
      </c>
      <c r="D858" s="160" t="inlineStr">
        <is>
          <t>Não</t>
        </is>
      </c>
      <c r="E858" s="163" t="inlineStr">
        <is>
          <t>PENDENTE</t>
        </is>
      </c>
      <c r="F858" s="163" t="inlineStr">
        <is>
          <t>001043</t>
        </is>
      </c>
      <c r="G858" s="161">
        <f>IFERROR(VLOOKUP(F858,'Base Insumos'!$A:$B,2,FALSE()),"PENDENTE")</f>
        <v/>
      </c>
      <c r="H858" s="200" t="n">
        <v>0.04167</v>
      </c>
      <c r="I858" s="163">
        <f>IFERROR(VLOOKUP(F858,'Base Insumos'!$A:$D,4,FALSE()),"")</f>
        <v/>
      </c>
      <c r="J858" s="162">
        <f>IFERROR(VLOOKUP(F858,'Base Insumos'!$A:$C,3,FALSE()),"PENDENTE")</f>
        <v/>
      </c>
      <c r="K858" s="162">
        <f>IFERROR(IF(J858="PENDENTE",0,J858*H858),0)</f>
        <v/>
      </c>
      <c r="L858" s="162" t="inlineStr">
        <is>
          <t>PENDENTE</t>
        </is>
      </c>
      <c r="M858" s="201">
        <f>IFERROR(K858/L858,0)</f>
        <v/>
      </c>
      <c r="N858" s="161" t="inlineStr">
        <is>
          <t>CAD-002 | Código PA pendente</t>
        </is>
      </c>
    </row>
    <row r="859">
      <c r="A859" s="197" t="inlineStr">
        <is>
          <t>Saladas e Molhos</t>
        </is>
      </c>
      <c r="B859" s="198" t="inlineStr">
        <is>
          <t>Molhos</t>
        </is>
      </c>
      <c r="C859" s="199" t="inlineStr">
        <is>
          <t>Molho Azeite de Ervas</t>
        </is>
      </c>
      <c r="D859" s="160" t="inlineStr">
        <is>
          <t>Não</t>
        </is>
      </c>
      <c r="E859" s="163" t="inlineStr">
        <is>
          <t>PENDENTE</t>
        </is>
      </c>
      <c r="F859" s="163" t="inlineStr">
        <is>
          <t>000667</t>
        </is>
      </c>
      <c r="G859" s="161">
        <f>IFERROR(VLOOKUP(F859,'Base Insumos'!$A:$B,2,FALSE()),"PENDENTE")</f>
        <v/>
      </c>
      <c r="H859" s="200" t="n">
        <v>0.00417</v>
      </c>
      <c r="I859" s="163">
        <f>IFERROR(VLOOKUP(F859,'Base Insumos'!$A:$D,4,FALSE()),"")</f>
        <v/>
      </c>
      <c r="J859" s="162">
        <f>IFERROR(VLOOKUP(F859,'Base Insumos'!$A:$C,3,FALSE()),"PENDENTE")</f>
        <v/>
      </c>
      <c r="K859" s="162">
        <f>IFERROR(IF(J859="PENDENTE",0,J859*H859),0)</f>
        <v/>
      </c>
      <c r="L859" s="162" t="inlineStr">
        <is>
          <t>PENDENTE</t>
        </is>
      </c>
      <c r="M859" s="201">
        <f>IFERROR(K859/L859,0)</f>
        <v/>
      </c>
      <c r="N859" s="161" t="inlineStr">
        <is>
          <t>CAD-002 | Código PA pendente</t>
        </is>
      </c>
    </row>
    <row r="860">
      <c r="A860" s="197" t="inlineStr">
        <is>
          <t>Saladas e Molhos</t>
        </is>
      </c>
      <c r="B860" s="198" t="inlineStr">
        <is>
          <t>Molhos</t>
        </is>
      </c>
      <c r="C860" s="199" t="inlineStr">
        <is>
          <t>Molho Azeite de Ervas</t>
        </is>
      </c>
      <c r="D860" s="160" t="inlineStr">
        <is>
          <t>Não</t>
        </is>
      </c>
      <c r="E860" s="163" t="inlineStr">
        <is>
          <t>PENDENTE</t>
        </is>
      </c>
      <c r="F860" s="163" t="inlineStr">
        <is>
          <t>000668</t>
        </is>
      </c>
      <c r="G860" s="161">
        <f>IFERROR(VLOOKUP(F860,'Base Insumos'!$A:$B,2,FALSE()),"PENDENTE")</f>
        <v/>
      </c>
      <c r="H860" s="200" t="n">
        <v>0.00417</v>
      </c>
      <c r="I860" s="163">
        <f>IFERROR(VLOOKUP(F860,'Base Insumos'!$A:$D,4,FALSE()),"")</f>
        <v/>
      </c>
      <c r="J860" s="162">
        <f>IFERROR(VLOOKUP(F860,'Base Insumos'!$A:$C,3,FALSE()),"PENDENTE")</f>
        <v/>
      </c>
      <c r="K860" s="162">
        <f>IFERROR(IF(J860="PENDENTE",0,J860*H860),0)</f>
        <v/>
      </c>
      <c r="L860" s="162" t="inlineStr">
        <is>
          <t>PENDENTE</t>
        </is>
      </c>
      <c r="M860" s="201">
        <f>IFERROR(K860/L860,0)</f>
        <v/>
      </c>
      <c r="N860" s="161" t="inlineStr">
        <is>
          <t>CAD-002 | Código PA pendente</t>
        </is>
      </c>
    </row>
    <row r="861">
      <c r="A861" s="197" t="inlineStr">
        <is>
          <t>Saladas e Molhos</t>
        </is>
      </c>
      <c r="B861" s="198" t="inlineStr">
        <is>
          <t>Molhos</t>
        </is>
      </c>
      <c r="C861" s="199" t="inlineStr">
        <is>
          <t>Molho Azeite de Ervas</t>
        </is>
      </c>
      <c r="D861" s="160" t="inlineStr">
        <is>
          <t>Não</t>
        </is>
      </c>
      <c r="E861" s="163" t="inlineStr">
        <is>
          <t>PENDENTE</t>
        </is>
      </c>
      <c r="F861" s="163" t="inlineStr">
        <is>
          <t>000477</t>
        </is>
      </c>
      <c r="G861" s="161">
        <f>IFERROR(VLOOKUP(F861,'Base Insumos'!$A:$B,2,FALSE()),"PENDENTE")</f>
        <v/>
      </c>
      <c r="H861" s="200" t="n">
        <v>0.00208</v>
      </c>
      <c r="I861" s="163">
        <f>IFERROR(VLOOKUP(F861,'Base Insumos'!$A:$D,4,FALSE()),"")</f>
        <v/>
      </c>
      <c r="J861" s="162">
        <f>IFERROR(VLOOKUP(F861,'Base Insumos'!$A:$C,3,FALSE()),"PENDENTE")</f>
        <v/>
      </c>
      <c r="K861" s="162">
        <f>IFERROR(IF(J861="PENDENTE",0,J861*H861),0)</f>
        <v/>
      </c>
      <c r="L861" s="162" t="inlineStr">
        <is>
          <t>PENDENTE</t>
        </is>
      </c>
      <c r="M861" s="201">
        <f>IFERROR(K861/L861,0)</f>
        <v/>
      </c>
      <c r="N861" s="161" t="inlineStr">
        <is>
          <t>CAD-002 | Código PA pendente</t>
        </is>
      </c>
    </row>
    <row r="862">
      <c r="A862" s="197" t="inlineStr">
        <is>
          <t>Saladas e Molhos</t>
        </is>
      </c>
      <c r="B862" s="198" t="inlineStr">
        <is>
          <t>Molhos</t>
        </is>
      </c>
      <c r="C862" s="199" t="inlineStr">
        <is>
          <t>Molho Azeite de Ervas</t>
        </is>
      </c>
      <c r="D862" s="160" t="inlineStr">
        <is>
          <t>Não</t>
        </is>
      </c>
      <c r="E862" s="163" t="inlineStr">
        <is>
          <t>PENDENTE</t>
        </is>
      </c>
      <c r="F862" s="163" t="inlineStr">
        <is>
          <t>000463</t>
        </is>
      </c>
      <c r="G862" s="161">
        <f>IFERROR(VLOOKUP(F862,'Base Insumos'!$A:$B,2,FALSE()),"PENDENTE")</f>
        <v/>
      </c>
      <c r="H862" s="200" t="n">
        <v>0.08333</v>
      </c>
      <c r="I862" s="163">
        <f>IFERROR(VLOOKUP(F862,'Base Insumos'!$A:$D,4,FALSE()),"")</f>
        <v/>
      </c>
      <c r="J862" s="162">
        <f>IFERROR(VLOOKUP(F862,'Base Insumos'!$A:$C,3,FALSE()),"PENDENTE")</f>
        <v/>
      </c>
      <c r="K862" s="162">
        <f>IFERROR(IF(J862="PENDENTE",0,J862*H862),0)</f>
        <v/>
      </c>
      <c r="L862" s="162" t="inlineStr">
        <is>
          <t>PENDENTE</t>
        </is>
      </c>
      <c r="M862" s="201">
        <f>IFERROR(K862/L862,0)</f>
        <v/>
      </c>
      <c r="N862" s="161" t="inlineStr">
        <is>
          <t>CAD-002 | Código PA pendente</t>
        </is>
      </c>
    </row>
    <row r="863">
      <c r="A863" s="197" t="inlineStr">
        <is>
          <t>Saladas e Molhos</t>
        </is>
      </c>
      <c r="B863" s="198" t="inlineStr">
        <is>
          <t>Molhos</t>
        </is>
      </c>
      <c r="C863" s="199" t="inlineStr">
        <is>
          <t>Molho Azeite de Ervas</t>
        </is>
      </c>
      <c r="D863" s="160" t="inlineStr">
        <is>
          <t>Não</t>
        </is>
      </c>
      <c r="E863" s="163" t="inlineStr">
        <is>
          <t>PENDENTE</t>
        </is>
      </c>
      <c r="F863" s="163" t="inlineStr">
        <is>
          <t>000484</t>
        </is>
      </c>
      <c r="G863" s="161">
        <f>IFERROR(VLOOKUP(F863,'Base Insumos'!$A:$B,2,FALSE()),"PENDENTE")</f>
        <v/>
      </c>
      <c r="H863" s="200" t="n">
        <v>0.001</v>
      </c>
      <c r="I863" s="163">
        <f>IFERROR(VLOOKUP(F863,'Base Insumos'!$A:$D,4,FALSE()),"")</f>
        <v/>
      </c>
      <c r="J863" s="162">
        <f>IFERROR(VLOOKUP(F863,'Base Insumos'!$A:$C,3,FALSE()),"PENDENTE")</f>
        <v/>
      </c>
      <c r="K863" s="162">
        <f>IFERROR(IF(J863="PENDENTE",0,J863*H863),0)</f>
        <v/>
      </c>
      <c r="L863" s="162" t="inlineStr">
        <is>
          <t>PENDENTE</t>
        </is>
      </c>
      <c r="M863" s="201">
        <f>IFERROR(K863/L863,0)</f>
        <v/>
      </c>
      <c r="N863" s="161" t="inlineStr">
        <is>
          <t>CAD-002 | Código PA pendente</t>
        </is>
      </c>
    </row>
    <row r="864">
      <c r="A864" s="197" t="inlineStr">
        <is>
          <t>Saladas e Molhos</t>
        </is>
      </c>
      <c r="B864" s="198" t="inlineStr">
        <is>
          <t>Molhos</t>
        </is>
      </c>
      <c r="C864" s="199" t="inlineStr">
        <is>
          <t>Molho Azeite de Ervas</t>
        </is>
      </c>
      <c r="D864" s="160" t="inlineStr">
        <is>
          <t>Não</t>
        </is>
      </c>
      <c r="E864" s="163" t="inlineStr">
        <is>
          <t>PENDENTE</t>
        </is>
      </c>
      <c r="F864" s="163" t="inlineStr">
        <is>
          <t>000469</t>
        </is>
      </c>
      <c r="G864" s="161">
        <f>IFERROR(VLOOKUP(F864,'Base Insumos'!$A:$B,2,FALSE()),"PENDENTE")</f>
        <v/>
      </c>
      <c r="H864" s="200" t="n">
        <v>0.001</v>
      </c>
      <c r="I864" s="163">
        <f>IFERROR(VLOOKUP(F864,'Base Insumos'!$A:$D,4,FALSE()),"")</f>
        <v/>
      </c>
      <c r="J864" s="162">
        <f>IFERROR(VLOOKUP(F864,'Base Insumos'!$A:$C,3,FALSE()),"PENDENTE")</f>
        <v/>
      </c>
      <c r="K864" s="162">
        <f>IFERROR(IF(J864="PENDENTE",0,J864*H864),0)</f>
        <v/>
      </c>
      <c r="L864" s="162" t="inlineStr">
        <is>
          <t>PENDENTE</t>
        </is>
      </c>
      <c r="M864" s="201">
        <f>IFERROR(K864/L864,0)</f>
        <v/>
      </c>
      <c r="N864" s="161" t="inlineStr">
        <is>
          <t>CAD-002 | Código PA pendente</t>
        </is>
      </c>
    </row>
    <row r="865">
      <c r="A865" s="197" t="inlineStr">
        <is>
          <t>Saladas e Molhos</t>
        </is>
      </c>
      <c r="B865" s="198" t="inlineStr">
        <is>
          <t>Molhos</t>
        </is>
      </c>
      <c r="C865" s="199" t="inlineStr">
        <is>
          <t>Molho Azeite de Ervas</t>
        </is>
      </c>
      <c r="D865" s="160" t="inlineStr">
        <is>
          <t>Não</t>
        </is>
      </c>
      <c r="E865" s="163" t="inlineStr">
        <is>
          <t>PENDENTE</t>
        </is>
      </c>
      <c r="F865" s="163" t="inlineStr">
        <is>
          <t>000416</t>
        </is>
      </c>
      <c r="G865" s="161">
        <f>IFERROR(VLOOKUP(F865,'Base Insumos'!$A:$B,2,FALSE()),"PENDENTE")</f>
        <v/>
      </c>
      <c r="H865" s="200" t="n">
        <v>0.00417</v>
      </c>
      <c r="I865" s="163">
        <f>IFERROR(VLOOKUP(F865,'Base Insumos'!$A:$D,4,FALSE()),"")</f>
        <v/>
      </c>
      <c r="J865" s="162">
        <f>IFERROR(VLOOKUP(F865,'Base Insumos'!$A:$C,3,FALSE()),"PENDENTE")</f>
        <v/>
      </c>
      <c r="K865" s="162">
        <f>IFERROR(IF(J865="PENDENTE",0,J865*H865),0)</f>
        <v/>
      </c>
      <c r="L865" s="162" t="inlineStr">
        <is>
          <t>PENDENTE</t>
        </is>
      </c>
      <c r="M865" s="201">
        <f>IFERROR(K865/L865,0)</f>
        <v/>
      </c>
      <c r="N865" s="161" t="inlineStr">
        <is>
          <t>CAD-002 | Código PA pendente</t>
        </is>
      </c>
    </row>
    <row r="866">
      <c r="A866" s="197" t="inlineStr">
        <is>
          <t>Saladas e Molhos</t>
        </is>
      </c>
      <c r="B866" s="198" t="inlineStr">
        <is>
          <t>Molhos</t>
        </is>
      </c>
      <c r="C866" s="199" t="inlineStr">
        <is>
          <t>Molho Azeite de Ervas</t>
        </is>
      </c>
      <c r="D866" s="160" t="inlineStr">
        <is>
          <t>Não</t>
        </is>
      </c>
      <c r="E866" s="163" t="inlineStr">
        <is>
          <t>PENDENTE</t>
        </is>
      </c>
      <c r="F866" s="163" t="inlineStr">
        <is>
          <t>000414</t>
        </is>
      </c>
      <c r="G866" s="161">
        <f>IFERROR(VLOOKUP(F866,'Base Insumos'!$A:$B,2,FALSE()),"PENDENTE")</f>
        <v/>
      </c>
      <c r="H866" s="200" t="n">
        <v>0.00125</v>
      </c>
      <c r="I866" s="163">
        <f>IFERROR(VLOOKUP(F866,'Base Insumos'!$A:$D,4,FALSE()),"")</f>
        <v/>
      </c>
      <c r="J866" s="162">
        <f>IFERROR(VLOOKUP(F866,'Base Insumos'!$A:$C,3,FALSE()),"PENDENTE")</f>
        <v/>
      </c>
      <c r="K866" s="162">
        <f>IFERROR(IF(J866="PENDENTE",0,J866*H866),0)</f>
        <v/>
      </c>
      <c r="L866" s="162" t="inlineStr">
        <is>
          <t>PENDENTE</t>
        </is>
      </c>
      <c r="M866" s="201">
        <f>IFERROR(K866/L866,0)</f>
        <v/>
      </c>
      <c r="N866" s="161" t="inlineStr">
        <is>
          <t>CAD-002 | Código PA pendente</t>
        </is>
      </c>
    </row>
    <row r="867">
      <c r="A867" s="197" t="inlineStr">
        <is>
          <t>Saladas e Molhos</t>
        </is>
      </c>
      <c r="B867" s="198" t="inlineStr">
        <is>
          <t>Molhos</t>
        </is>
      </c>
      <c r="C867" s="199" t="inlineStr">
        <is>
          <t>Molho Manteiga</t>
        </is>
      </c>
      <c r="D867" s="160" t="inlineStr">
        <is>
          <t>Não</t>
        </is>
      </c>
      <c r="E867" s="163" t="inlineStr">
        <is>
          <t>PENDENTE</t>
        </is>
      </c>
      <c r="F867" s="163" t="inlineStr">
        <is>
          <t>002068</t>
        </is>
      </c>
      <c r="G867" s="161">
        <f>IFERROR(VLOOKUP(F867,'Base Insumos'!$A:$B,2,FALSE()),"PENDENTE")</f>
        <v/>
      </c>
      <c r="H867" s="200" t="n">
        <v>0</v>
      </c>
      <c r="I867" s="163">
        <f>IFERROR(VLOOKUP(F867,'Base Insumos'!$A:$D,4,FALSE()),"")</f>
        <v/>
      </c>
      <c r="J867" s="162">
        <f>IFERROR(VLOOKUP(F867,'Base Insumos'!$A:$C,3,FALSE()),"PENDENTE")</f>
        <v/>
      </c>
      <c r="K867" s="162">
        <f>IFERROR(IF(J867="PENDENTE",0,J867*H867),0)</f>
        <v/>
      </c>
      <c r="L867" s="162" t="inlineStr">
        <is>
          <t>PENDENTE</t>
        </is>
      </c>
      <c r="M867" s="201">
        <f>IFERROR(K867/L867,0)</f>
        <v/>
      </c>
      <c r="N867" s="161" t="inlineStr">
        <is>
          <t>CAD-002 | Código PA pendente</t>
        </is>
      </c>
    </row>
    <row r="868">
      <c r="A868" s="197" t="inlineStr">
        <is>
          <t>Saladas e Molhos</t>
        </is>
      </c>
      <c r="B868" s="198" t="inlineStr">
        <is>
          <t>Molhos</t>
        </is>
      </c>
      <c r="C868" s="199" t="inlineStr">
        <is>
          <t>Molho Manteiga</t>
        </is>
      </c>
      <c r="D868" s="160" t="inlineStr">
        <is>
          <t>Não</t>
        </is>
      </c>
      <c r="E868" s="163" t="inlineStr">
        <is>
          <t>PENDENTE</t>
        </is>
      </c>
      <c r="F868" s="163" t="inlineStr">
        <is>
          <t>000412</t>
        </is>
      </c>
      <c r="G868" s="161">
        <f>IFERROR(VLOOKUP(F868,'Base Insumos'!$A:$B,2,FALSE()),"PENDENTE")</f>
        <v/>
      </c>
      <c r="H868" s="200" t="n">
        <v>0</v>
      </c>
      <c r="I868" s="163">
        <f>IFERROR(VLOOKUP(F868,'Base Insumos'!$A:$D,4,FALSE()),"")</f>
        <v/>
      </c>
      <c r="J868" s="162">
        <f>IFERROR(VLOOKUP(F868,'Base Insumos'!$A:$C,3,FALSE()),"PENDENTE")</f>
        <v/>
      </c>
      <c r="K868" s="162">
        <f>IFERROR(IF(J868="PENDENTE",0,J868*H868),0)</f>
        <v/>
      </c>
      <c r="L868" s="162" t="inlineStr">
        <is>
          <t>PENDENTE</t>
        </is>
      </c>
      <c r="M868" s="201">
        <f>IFERROR(K868/L868,0)</f>
        <v/>
      </c>
      <c r="N868" s="161" t="inlineStr">
        <is>
          <t>CAD-002 | Código PA pendente</t>
        </is>
      </c>
    </row>
    <row r="869">
      <c r="A869" s="197" t="inlineStr">
        <is>
          <t>Saladas e Molhos</t>
        </is>
      </c>
      <c r="B869" s="198" t="inlineStr">
        <is>
          <t>Molhos</t>
        </is>
      </c>
      <c r="C869" s="199" t="inlineStr">
        <is>
          <t>Molho Manteiga</t>
        </is>
      </c>
      <c r="D869" s="160" t="inlineStr">
        <is>
          <t>Não</t>
        </is>
      </c>
      <c r="E869" s="163" t="inlineStr">
        <is>
          <t>PENDENTE</t>
        </is>
      </c>
      <c r="F869" s="163" t="inlineStr">
        <is>
          <t>000484</t>
        </is>
      </c>
      <c r="G869" s="161">
        <f>IFERROR(VLOOKUP(F869,'Base Insumos'!$A:$B,2,FALSE()),"PENDENTE")</f>
        <v/>
      </c>
      <c r="H869" s="200" t="n">
        <v>0</v>
      </c>
      <c r="I869" s="163">
        <f>IFERROR(VLOOKUP(F869,'Base Insumos'!$A:$D,4,FALSE()),"")</f>
        <v/>
      </c>
      <c r="J869" s="162">
        <f>IFERROR(VLOOKUP(F869,'Base Insumos'!$A:$C,3,FALSE()),"PENDENTE")</f>
        <v/>
      </c>
      <c r="K869" s="162">
        <f>IFERROR(IF(J869="PENDENTE",0,J869*H869),0)</f>
        <v/>
      </c>
      <c r="L869" s="162" t="inlineStr">
        <is>
          <t>PENDENTE</t>
        </is>
      </c>
      <c r="M869" s="201">
        <f>IFERROR(K869/L869,0)</f>
        <v/>
      </c>
      <c r="N869" s="161" t="inlineStr">
        <is>
          <t>CAD-002 | Código PA pendente</t>
        </is>
      </c>
    </row>
    <row r="870">
      <c r="A870" s="197" t="inlineStr">
        <is>
          <t>Saladas e Molhos</t>
        </is>
      </c>
      <c r="B870" s="198" t="inlineStr">
        <is>
          <t>Molhos</t>
        </is>
      </c>
      <c r="C870" s="199" t="inlineStr">
        <is>
          <t>Molho Manteiga</t>
        </is>
      </c>
      <c r="D870" s="160" t="inlineStr">
        <is>
          <t>Não</t>
        </is>
      </c>
      <c r="E870" s="163" t="inlineStr">
        <is>
          <t>PENDENTE</t>
        </is>
      </c>
      <c r="F870" s="163" t="inlineStr">
        <is>
          <t>000469</t>
        </is>
      </c>
      <c r="G870" s="161">
        <f>IFERROR(VLOOKUP(F870,'Base Insumos'!$A:$B,2,FALSE()),"PENDENTE")</f>
        <v/>
      </c>
      <c r="H870" s="200" t="n">
        <v>0</v>
      </c>
      <c r="I870" s="163">
        <f>IFERROR(VLOOKUP(F870,'Base Insumos'!$A:$D,4,FALSE()),"")</f>
        <v/>
      </c>
      <c r="J870" s="162">
        <f>IFERROR(VLOOKUP(F870,'Base Insumos'!$A:$C,3,FALSE()),"PENDENTE")</f>
        <v/>
      </c>
      <c r="K870" s="162">
        <f>IFERROR(IF(J870="PENDENTE",0,J870*H870),0)</f>
        <v/>
      </c>
      <c r="L870" s="162" t="inlineStr">
        <is>
          <t>PENDENTE</t>
        </is>
      </c>
      <c r="M870" s="201">
        <f>IFERROR(K870/L870,0)</f>
        <v/>
      </c>
      <c r="N870" s="161" t="inlineStr">
        <is>
          <t>CAD-002 | Código PA pendente</t>
        </is>
      </c>
    </row>
    <row r="871">
      <c r="A871" s="197" t="inlineStr">
        <is>
          <t>Cardápio Principal</t>
        </is>
      </c>
      <c r="B871" s="198" t="inlineStr">
        <is>
          <t>Sazonais</t>
        </is>
      </c>
      <c r="C871" s="199" t="inlineStr">
        <is>
          <t>Caldo de Feijão</t>
        </is>
      </c>
      <c r="D871" s="160">
        <f>IF(ISERROR(VLOOKUP(E871,'Estrutura Protheus'!A:A,1,FALSE)),"Não","Sim")</f>
        <v/>
      </c>
      <c r="E871" s="163" t="inlineStr">
        <is>
          <t>001340</t>
        </is>
      </c>
      <c r="F871" s="163" t="inlineStr">
        <is>
          <t>000426</t>
        </is>
      </c>
      <c r="G871" s="161">
        <f>IFERROR(VLOOKUP(F871,'Base Insumos'!$A:$B,2,FALSE()),"PENDENTE")</f>
        <v/>
      </c>
      <c r="H871" s="200" t="n">
        <v>0.2</v>
      </c>
      <c r="I871" s="163">
        <f>IFERROR(VLOOKUP(F871,'Base Insumos'!$A:$D,4,FALSE()),"")</f>
        <v/>
      </c>
      <c r="J871" s="162">
        <f>IFERROR(VLOOKUP(F871,'Base Insumos'!$A:$C,3,FALSE()),"PENDENTE")</f>
        <v/>
      </c>
      <c r="K871" s="162">
        <f>IFERROR(IF(J871="PENDENTE",0,J871*H871),0)</f>
        <v/>
      </c>
      <c r="L871" s="162" t="n">
        <v>19.99</v>
      </c>
      <c r="M871" s="201">
        <f>IFERROR(K871/L871,0)</f>
        <v/>
      </c>
      <c r="N871" s="161" t="n"/>
    </row>
    <row r="872">
      <c r="A872" s="197" t="inlineStr">
        <is>
          <t>Cardápio Principal</t>
        </is>
      </c>
      <c r="B872" s="198" t="inlineStr">
        <is>
          <t>Sazonais</t>
        </is>
      </c>
      <c r="C872" s="199" t="inlineStr">
        <is>
          <t>Caldo de Feijão</t>
        </is>
      </c>
      <c r="D872" s="160">
        <f>IF(ISERROR(VLOOKUP(E872,'Estrutura Protheus'!A:A,1,FALSE)),"Não","Sim")</f>
        <v/>
      </c>
      <c r="E872" s="163" t="inlineStr">
        <is>
          <t>001340</t>
        </is>
      </c>
      <c r="F872" s="163" t="inlineStr">
        <is>
          <t>001129</t>
        </is>
      </c>
      <c r="G872" s="161">
        <f>IFERROR(VLOOKUP(F872,'Base Insumos'!$A:$B,2,FALSE()),"PENDENTE")</f>
        <v/>
      </c>
      <c r="H872" s="200" t="n">
        <v>0.15</v>
      </c>
      <c r="I872" s="163">
        <f>IFERROR(VLOOKUP(F872,'Base Insumos'!$A:$D,4,FALSE()),"")</f>
        <v/>
      </c>
      <c r="J872" s="162">
        <f>IFERROR(VLOOKUP(F872,'Base Insumos'!$A:$C,3,FALSE()),"PENDENTE")</f>
        <v/>
      </c>
      <c r="K872" s="162">
        <f>IFERROR(IF(J872="PENDENTE",0,J872*H872),0)</f>
        <v/>
      </c>
      <c r="L872" s="162" t="n">
        <v>19.99</v>
      </c>
      <c r="M872" s="201">
        <f>IFERROR(K872/L872,0)</f>
        <v/>
      </c>
      <c r="N872" s="161" t="n"/>
    </row>
    <row r="873">
      <c r="A873" s="197" t="inlineStr">
        <is>
          <t>Cardápio Principal</t>
        </is>
      </c>
      <c r="B873" s="198" t="inlineStr">
        <is>
          <t>Sazonais</t>
        </is>
      </c>
      <c r="C873" s="199" t="inlineStr">
        <is>
          <t>Caldo de Feijão</t>
        </is>
      </c>
      <c r="D873" s="160">
        <f>IF(ISERROR(VLOOKUP(E873,'Estrutura Protheus'!A:A,1,FALSE)),"Não","Sim")</f>
        <v/>
      </c>
      <c r="E873" s="163" t="inlineStr">
        <is>
          <t>001340</t>
        </is>
      </c>
      <c r="F873" s="163" t="inlineStr">
        <is>
          <t>000484</t>
        </is>
      </c>
      <c r="G873" s="161">
        <f>IFERROR(VLOOKUP(F873,'Base Insumos'!$A:$B,2,FALSE()),"PENDENTE")</f>
        <v/>
      </c>
      <c r="H873" s="200" t="n">
        <v>0.15</v>
      </c>
      <c r="I873" s="163">
        <f>IFERROR(VLOOKUP(F873,'Base Insumos'!$A:$D,4,FALSE()),"")</f>
        <v/>
      </c>
      <c r="J873" s="162">
        <f>IFERROR(VLOOKUP(F873,'Base Insumos'!$A:$C,3,FALSE()),"PENDENTE")</f>
        <v/>
      </c>
      <c r="K873" s="162">
        <f>IFERROR(IF(J873="PENDENTE",0,J873*H873),0)</f>
        <v/>
      </c>
      <c r="L873" s="162" t="n">
        <v>19.99</v>
      </c>
      <c r="M873" s="201">
        <f>IFERROR(K873/L873,0)</f>
        <v/>
      </c>
      <c r="N873" s="161" t="n"/>
    </row>
    <row r="874">
      <c r="A874" s="197" t="inlineStr">
        <is>
          <t>Cardápio Principal</t>
        </is>
      </c>
      <c r="B874" s="198" t="inlineStr">
        <is>
          <t>Sazonais</t>
        </is>
      </c>
      <c r="C874" s="199" t="inlineStr">
        <is>
          <t>Caldo de Feijão</t>
        </is>
      </c>
      <c r="D874" s="160">
        <f>IF(ISERROR(VLOOKUP(E874,'Estrutura Protheus'!A:A,1,FALSE)),"Não","Sim")</f>
        <v/>
      </c>
      <c r="E874" s="163" t="inlineStr">
        <is>
          <t>001340</t>
        </is>
      </c>
      <c r="F874" s="163" t="inlineStr">
        <is>
          <t>000392</t>
        </is>
      </c>
      <c r="G874" s="161">
        <f>IFERROR(VLOOKUP(F874,'Base Insumos'!$A:$B,2,FALSE()),"PENDENTE")</f>
        <v/>
      </c>
      <c r="H874" s="200" t="n">
        <v>0.038</v>
      </c>
      <c r="I874" s="163">
        <f>IFERROR(VLOOKUP(F874,'Base Insumos'!$A:$D,4,FALSE()),"")</f>
        <v/>
      </c>
      <c r="J874" s="162">
        <f>IFERROR(VLOOKUP(F874,'Base Insumos'!$A:$C,3,FALSE()),"PENDENTE")</f>
        <v/>
      </c>
      <c r="K874" s="162">
        <f>IFERROR(IF(J874="PENDENTE",0,J874*H874),0)</f>
        <v/>
      </c>
      <c r="L874" s="162" t="n">
        <v>19.99</v>
      </c>
      <c r="M874" s="201">
        <f>IFERROR(K874/L874,0)</f>
        <v/>
      </c>
      <c r="N874" s="161" t="n"/>
    </row>
    <row r="875">
      <c r="A875" s="197" t="inlineStr">
        <is>
          <t>Cardápio Principal</t>
        </is>
      </c>
      <c r="B875" s="198" t="inlineStr">
        <is>
          <t>Sazonais</t>
        </is>
      </c>
      <c r="C875" s="199" t="inlineStr">
        <is>
          <t>Caldo de Feijão</t>
        </is>
      </c>
      <c r="D875" s="160">
        <f>IF(ISERROR(VLOOKUP(E875,'Estrutura Protheus'!A:A,1,FALSE)),"Não","Sim")</f>
        <v/>
      </c>
      <c r="E875" s="163" t="inlineStr">
        <is>
          <t>001340</t>
        </is>
      </c>
      <c r="F875" s="163" t="inlineStr">
        <is>
          <t>000426</t>
        </is>
      </c>
      <c r="G875" s="161">
        <f>IFERROR(VLOOKUP(F875,'Base Insumos'!$A:$B,2,FALSE()),"PENDENTE")</f>
        <v/>
      </c>
      <c r="H875" s="200" t="n">
        <v>0.008</v>
      </c>
      <c r="I875" s="163">
        <f>IFERROR(VLOOKUP(F875,'Base Insumos'!$A:$D,4,FALSE()),"")</f>
        <v/>
      </c>
      <c r="J875" s="162">
        <f>IFERROR(VLOOKUP(F875,'Base Insumos'!$A:$C,3,FALSE()),"PENDENTE")</f>
        <v/>
      </c>
      <c r="K875" s="162">
        <f>IFERROR(IF(J875="PENDENTE",0,J875*H875),0)</f>
        <v/>
      </c>
      <c r="L875" s="162" t="n">
        <v>19.99</v>
      </c>
      <c r="M875" s="201">
        <f>IFERROR(K875/L875,0)</f>
        <v/>
      </c>
      <c r="N875" s="161" t="n"/>
    </row>
    <row r="876">
      <c r="A876" s="197" t="inlineStr">
        <is>
          <t>Cardápio Principal</t>
        </is>
      </c>
      <c r="B876" s="198" t="inlineStr">
        <is>
          <t>Sazonais</t>
        </is>
      </c>
      <c r="C876" s="199" t="inlineStr">
        <is>
          <t>Caldo de Feijão</t>
        </is>
      </c>
      <c r="D876" s="160">
        <f>IF(ISERROR(VLOOKUP(E876,'Estrutura Protheus'!A:A,1,FALSE)),"Não","Sim")</f>
        <v/>
      </c>
      <c r="E876" s="163" t="inlineStr">
        <is>
          <t>001340</t>
        </is>
      </c>
      <c r="F876" s="163" t="inlineStr">
        <is>
          <t>000475</t>
        </is>
      </c>
      <c r="G876" s="161">
        <f>IFERROR(VLOOKUP(F876,'Base Insumos'!$A:$B,2,FALSE()),"PENDENTE")</f>
        <v/>
      </c>
      <c r="H876" s="200" t="n">
        <v>0.001</v>
      </c>
      <c r="I876" s="163">
        <f>IFERROR(VLOOKUP(F876,'Base Insumos'!$A:$D,4,FALSE()),"")</f>
        <v/>
      </c>
      <c r="J876" s="162">
        <f>IFERROR(VLOOKUP(F876,'Base Insumos'!$A:$C,3,FALSE()),"PENDENTE")</f>
        <v/>
      </c>
      <c r="K876" s="162">
        <f>IFERROR(IF(J876="PENDENTE",0,J876*H876),0)</f>
        <v/>
      </c>
      <c r="L876" s="162" t="n">
        <v>19.99</v>
      </c>
      <c r="M876" s="201">
        <f>IFERROR(K876/L876,0)</f>
        <v/>
      </c>
      <c r="N876" s="161" t="n"/>
    </row>
    <row r="877">
      <c r="A877" s="197" t="inlineStr">
        <is>
          <t>Cardápio Principal</t>
        </is>
      </c>
      <c r="B877" s="198" t="inlineStr">
        <is>
          <t>Sazonais</t>
        </is>
      </c>
      <c r="C877" s="199" t="inlineStr">
        <is>
          <t>Caldo de Feijão</t>
        </is>
      </c>
      <c r="D877" s="160">
        <f>IF(ISERROR(VLOOKUP(E877,'Estrutura Protheus'!A:A,1,FALSE)),"Não","Sim")</f>
        <v/>
      </c>
      <c r="E877" s="163" t="inlineStr">
        <is>
          <t>001340</t>
        </is>
      </c>
      <c r="F877" s="163" t="inlineStr">
        <is>
          <t>000463</t>
        </is>
      </c>
      <c r="G877" s="161">
        <f>IFERROR(VLOOKUP(F877,'Base Insumos'!$A:$B,2,FALSE()),"PENDENTE")</f>
        <v/>
      </c>
      <c r="H877" s="200" t="n">
        <v>0.003</v>
      </c>
      <c r="I877" s="163">
        <f>IFERROR(VLOOKUP(F877,'Base Insumos'!$A:$D,4,FALSE()),"")</f>
        <v/>
      </c>
      <c r="J877" s="162">
        <f>IFERROR(VLOOKUP(F877,'Base Insumos'!$A:$C,3,FALSE()),"PENDENTE")</f>
        <v/>
      </c>
      <c r="K877" s="162">
        <f>IFERROR(IF(J877="PENDENTE",0,J877*H877),0)</f>
        <v/>
      </c>
      <c r="L877" s="162" t="n">
        <v>19.99</v>
      </c>
      <c r="M877" s="201">
        <f>IFERROR(K877/L877,0)</f>
        <v/>
      </c>
      <c r="N877" s="161" t="n"/>
    </row>
    <row r="878">
      <c r="A878" s="197" t="inlineStr">
        <is>
          <t>Cardápio Principal</t>
        </is>
      </c>
      <c r="B878" s="198" t="inlineStr">
        <is>
          <t>Sazonais</t>
        </is>
      </c>
      <c r="C878" s="199" t="inlineStr">
        <is>
          <t>Caldo de Feijão</t>
        </is>
      </c>
      <c r="D878" s="160">
        <f>IF(ISERROR(VLOOKUP(E878,'Estrutura Protheus'!A:A,1,FALSE)),"Não","Sim")</f>
        <v/>
      </c>
      <c r="E878" s="163" t="inlineStr">
        <is>
          <t>001340</t>
        </is>
      </c>
      <c r="F878" s="163" t="inlineStr">
        <is>
          <t>000468</t>
        </is>
      </c>
      <c r="G878" s="161">
        <f>IFERROR(VLOOKUP(F878,'Base Insumos'!$A:$B,2,FALSE()),"PENDENTE")</f>
        <v/>
      </c>
      <c r="H878" s="200" t="n">
        <v>0.001</v>
      </c>
      <c r="I878" s="163">
        <f>IFERROR(VLOOKUP(F878,'Base Insumos'!$A:$D,4,FALSE()),"")</f>
        <v/>
      </c>
      <c r="J878" s="162">
        <f>IFERROR(VLOOKUP(F878,'Base Insumos'!$A:$C,3,FALSE()),"PENDENTE")</f>
        <v/>
      </c>
      <c r="K878" s="162">
        <f>IFERROR(IF(J878="PENDENTE",0,J878*H878),0)</f>
        <v/>
      </c>
      <c r="L878" s="162" t="n">
        <v>19.99</v>
      </c>
      <c r="M878" s="201">
        <f>IFERROR(K878/L878,0)</f>
        <v/>
      </c>
      <c r="N878" s="161" t="n"/>
    </row>
    <row r="879">
      <c r="A879" s="197" t="inlineStr">
        <is>
          <t>Cardápio Principal</t>
        </is>
      </c>
      <c r="B879" s="198" t="inlineStr">
        <is>
          <t>Sazonais</t>
        </is>
      </c>
      <c r="C879" s="199" t="inlineStr">
        <is>
          <t>Caldo de Feijão</t>
        </is>
      </c>
      <c r="D879" s="160">
        <f>IF(ISERROR(VLOOKUP(E879,'Estrutura Protheus'!A:A,1,FALSE)),"Não","Sim")</f>
        <v/>
      </c>
      <c r="E879" s="163" t="inlineStr">
        <is>
          <t>001340</t>
        </is>
      </c>
      <c r="F879" s="163" t="inlineStr">
        <is>
          <t>000412</t>
        </is>
      </c>
      <c r="G879" s="161">
        <f>IFERROR(VLOOKUP(F879,'Base Insumos'!$A:$B,2,FALSE()),"PENDENTE")</f>
        <v/>
      </c>
      <c r="H879" s="200" t="n">
        <v>0.003</v>
      </c>
      <c r="I879" s="163">
        <f>IFERROR(VLOOKUP(F879,'Base Insumos'!$A:$D,4,FALSE()),"")</f>
        <v/>
      </c>
      <c r="J879" s="162">
        <f>IFERROR(VLOOKUP(F879,'Base Insumos'!$A:$C,3,FALSE()),"PENDENTE")</f>
        <v/>
      </c>
      <c r="K879" s="162">
        <f>IFERROR(IF(J879="PENDENTE",0,J879*H879),0)</f>
        <v/>
      </c>
      <c r="L879" s="162" t="n">
        <v>19.99</v>
      </c>
      <c r="M879" s="201">
        <f>IFERROR(K879/L879,0)</f>
        <v/>
      </c>
      <c r="N879" s="161" t="n"/>
    </row>
  </sheetData>
  <autoFilter ref="A1:N780"/>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FCE4D6"/>
    <outlinePr summaryBelow="1" summaryRight="1"/>
    <pageSetUpPr/>
  </sheetPr>
  <dimension ref="A1:V241"/>
  <sheetViews>
    <sheetView showGridLines="0" zoomScaleNormal="100" workbookViewId="0">
      <pane xSplit="3" ySplit="2" topLeftCell="D222" activePane="bottomRight" state="frozen"/>
      <selection pane="topRight" activeCell="D1" sqref="D1"/>
      <selection pane="bottomLeft" activeCell="A3" sqref="A3"/>
      <selection pane="bottomRight" activeCell="E242" sqref="E242"/>
    </sheetView>
  </sheetViews>
  <sheetFormatPr baseColWidth="8" defaultColWidth="8.7109375" defaultRowHeight="15"/>
  <cols>
    <col width="13" customWidth="1" min="1" max="1"/>
    <col width="20" customWidth="1" min="2" max="2"/>
    <col width="30" customWidth="1" min="3" max="4"/>
    <col width="11" customWidth="1" min="5" max="5"/>
    <col width="16" customWidth="1" style="115" min="6" max="6"/>
    <col width="16" customWidth="1" min="7" max="7"/>
    <col width="10" customWidth="1" min="8" max="8"/>
    <col width="16" customWidth="1" min="9" max="9"/>
    <col width="14" customWidth="1" min="10" max="10"/>
    <col width="20" customWidth="1" min="11" max="11"/>
    <col width="20" customWidth="1" style="115" min="12" max="12"/>
    <col width="20" customWidth="1" min="13" max="13"/>
    <col width="10" customWidth="1" min="14" max="14"/>
    <col width="16" customWidth="1" min="15" max="15"/>
    <col width="14" customWidth="1" min="16" max="16"/>
    <col width="16" customWidth="1" min="17" max="17"/>
    <col width="14" customWidth="1" min="18" max="19"/>
    <col width="12" customWidth="1" min="20" max="20"/>
    <col width="26.28515625" customWidth="1" min="21" max="21"/>
    <col width="30" customWidth="1" min="22" max="22"/>
  </cols>
  <sheetData>
    <row r="1" ht="19.5" customHeight="1">
      <c r="A1" s="184" t="inlineStr">
        <is>
          <t>Identificação</t>
        </is>
      </c>
      <c r="B1" s="182" t="n"/>
      <c r="C1" s="182" t="n"/>
      <c r="D1" s="182" t="n"/>
      <c r="E1" s="183" t="n"/>
      <c r="F1" s="185" t="inlineStr">
        <is>
          <t>Semana Atual</t>
        </is>
      </c>
      <c r="G1" s="182" t="n"/>
      <c r="H1" s="182" t="n"/>
      <c r="I1" s="182" t="n"/>
      <c r="J1" s="182" t="n"/>
      <c r="K1" s="183" t="n"/>
      <c r="L1" s="186" t="inlineStr">
        <is>
          <t>Semana Anterior</t>
        </is>
      </c>
      <c r="M1" s="182" t="n"/>
      <c r="N1" s="182" t="n"/>
      <c r="O1" s="182" t="n"/>
      <c r="P1" s="182" t="n"/>
      <c r="Q1" s="183" t="n"/>
      <c r="R1" s="181" t="inlineStr">
        <is>
          <t>Análise</t>
        </is>
      </c>
      <c r="S1" s="182" t="n"/>
      <c r="T1" s="182" t="n"/>
      <c r="U1" s="182" t="n"/>
      <c r="V1" s="183" t="n"/>
    </row>
    <row r="2" ht="36" customHeight="1">
      <c r="A2" s="25" t="inlineStr">
        <is>
          <t>Categoria</t>
        </is>
      </c>
      <c r="B2" s="25" t="inlineStr">
        <is>
          <t>Subcategoria</t>
        </is>
      </c>
      <c r="C2" s="156" t="inlineStr">
        <is>
          <t>Item</t>
        </is>
      </c>
      <c r="D2" s="155" t="inlineStr">
        <is>
          <t>Nome da PA no Protheus</t>
        </is>
      </c>
      <c r="E2" s="25" t="inlineStr">
        <is>
          <t>Código PA</t>
        </is>
      </c>
      <c r="F2" s="26" t="inlineStr">
        <is>
          <t>Preço Venda
(R$)</t>
        </is>
      </c>
      <c r="G2" s="26" t="inlineStr">
        <is>
          <t>Custo CMV
(R$)</t>
        </is>
      </c>
      <c r="H2" s="26" t="inlineStr">
        <is>
          <t>CMV
(%)</t>
        </is>
      </c>
      <c r="I2" s="26" t="inlineStr">
        <is>
          <t>Marg. Contrib.
(R$)</t>
        </is>
      </c>
      <c r="J2" s="26" t="inlineStr">
        <is>
          <t>Marg. Contrib.
(%)</t>
        </is>
      </c>
      <c r="K2" s="26" t="inlineStr">
        <is>
          <t>Preço Sugerido
CMV 30%</t>
        </is>
      </c>
      <c r="L2" s="27" t="inlineStr">
        <is>
          <t>Preço Venda
(R$)</t>
        </is>
      </c>
      <c r="M2" s="27" t="inlineStr">
        <is>
          <t>Custo CMV
(R$)</t>
        </is>
      </c>
      <c r="N2" s="27" t="inlineStr">
        <is>
          <t>CMV
(%)</t>
        </is>
      </c>
      <c r="O2" s="27" t="inlineStr">
        <is>
          <t>Marg. Contrib.
(R$)</t>
        </is>
      </c>
      <c r="P2" s="27" t="inlineStr">
        <is>
          <t>Marg. Contrib.
(%)</t>
        </is>
      </c>
      <c r="Q2" s="27" t="inlineStr">
        <is>
          <t>Data Ref.</t>
        </is>
      </c>
      <c r="R2" s="28" t="inlineStr">
        <is>
          <t>Variação
CMV %</t>
        </is>
      </c>
      <c r="S2" s="126" t="inlineStr">
        <is>
          <t>No Cardápio Digital</t>
        </is>
      </c>
      <c r="T2" s="28" t="inlineStr">
        <is>
          <t>Status</t>
        </is>
      </c>
      <c r="U2" s="28" t="inlineStr">
        <is>
          <t>Ação</t>
        </is>
      </c>
      <c r="V2" s="28" t="inlineStr">
        <is>
          <t>Observação</t>
        </is>
      </c>
    </row>
    <row r="3" ht="15" customHeight="1">
      <c r="A3" s="150" t="inlineStr">
        <is>
          <t>Bebidas Frias</t>
        </is>
      </c>
      <c r="B3" s="136" t="inlineStr">
        <is>
          <t>Vodka</t>
        </is>
      </c>
      <c r="C3" s="145" t="inlineStr">
        <is>
          <t>Absolut</t>
        </is>
      </c>
      <c r="D3" s="147">
        <f>VLOOKUP(E3,_Protheus_Cadastro!A:I,2,FALSE)</f>
        <v/>
      </c>
      <c r="E3" s="137" t="inlineStr">
        <is>
          <t>000049</t>
        </is>
      </c>
      <c r="F3" s="202">
        <f>IFERROR(INDEX(Vendidos!$H:$H,MATCH(E3,Vendidos!$B:$B,0)),"—")</f>
        <v/>
      </c>
      <c r="G3" s="138">
        <f>SUMIF('Fichas Flat'!$E$2:$E$880,E3,'Fichas Flat'!$K$2:$K$880)</f>
        <v/>
      </c>
      <c r="H3" s="139">
        <f>IFERROR(G3/F3,0)</f>
        <v/>
      </c>
      <c r="I3" s="138">
        <f>IFERROR(F3-G3,0)</f>
        <v/>
      </c>
      <c r="J3" s="139">
        <f>IFERROR(I3/F3,0)</f>
        <v/>
      </c>
      <c r="K3" s="138">
        <f>IFERROR(G3/0.3,0)</f>
        <v/>
      </c>
      <c r="L3" s="154" t="inlineStr">
        <is>
          <t>PENDENTE</t>
        </is>
      </c>
      <c r="M3" s="140" t="n">
        <v>106.899975</v>
      </c>
      <c r="N3" s="141" t="inlineStr">
        <is>
          <t>-</t>
        </is>
      </c>
      <c r="O3" s="140" t="inlineStr">
        <is>
          <t>-</t>
        </is>
      </c>
      <c r="P3" s="141" t="inlineStr">
        <is>
          <t>-</t>
        </is>
      </c>
      <c r="Q3" s="142" t="n">
        <v>46148</v>
      </c>
      <c r="R3" s="203">
        <f>IFERROR(IF(M3="","—",H3-N3),"—")</f>
        <v/>
      </c>
      <c r="S3" s="204" t="inlineStr">
        <is>
          <t>Sim</t>
        </is>
      </c>
      <c r="T3" s="137">
        <f>IFERROR(IF(H3=0,"—",IF(H3&lt;=0.25,"✔  OK",IF(H3&lt;=0.35,"⚠  Atenção","✖  Crítico"))),"—")</f>
        <v/>
      </c>
      <c r="U3" s="136" t="n"/>
      <c r="V3" s="136" t="n"/>
    </row>
    <row r="4" ht="15" customHeight="1">
      <c r="A4" s="150" t="inlineStr">
        <is>
          <t>Drinks</t>
        </is>
      </c>
      <c r="B4" s="136" t="inlineStr">
        <is>
          <t>Drinks</t>
        </is>
      </c>
      <c r="C4" s="145" t="inlineStr">
        <is>
          <t>Maracujack</t>
        </is>
      </c>
      <c r="D4" s="147">
        <f>VLOOKUP(E4,_Protheus_Cadastro!A:I,2,FALSE)</f>
        <v/>
      </c>
      <c r="E4" s="137" t="inlineStr">
        <is>
          <t>001202</t>
        </is>
      </c>
      <c r="F4" s="202">
        <f>IFERROR(INDEX(Vendidos!$H:$H,MATCH(E4,Vendidos!$B:$B,0)),"—")</f>
        <v/>
      </c>
      <c r="G4" s="138">
        <f>SUMIF('Fichas Flat'!$E$2:$E$880,E4,'Fichas Flat'!$K$2:$K$880)</f>
        <v/>
      </c>
      <c r="H4" s="139">
        <f>IFERROR(G4/F4,0)</f>
        <v/>
      </c>
      <c r="I4" s="138">
        <f>IFERROR(F4-G4,0)</f>
        <v/>
      </c>
      <c r="J4" s="139">
        <f>IFERROR(I4/F4,0)</f>
        <v/>
      </c>
      <c r="K4" s="138">
        <f>IFERROR(G4/0.3,0)</f>
        <v/>
      </c>
      <c r="L4" s="154" t="inlineStr">
        <is>
          <t>PENDENTE</t>
        </is>
      </c>
      <c r="M4" s="140" t="n">
        <v>8.254200000000001</v>
      </c>
      <c r="N4" s="141" t="inlineStr">
        <is>
          <t>-</t>
        </is>
      </c>
      <c r="O4" s="140" t="inlineStr">
        <is>
          <t>-</t>
        </is>
      </c>
      <c r="P4" s="141" t="inlineStr">
        <is>
          <t>-</t>
        </is>
      </c>
      <c r="Q4" s="142" t="n">
        <v>46148</v>
      </c>
      <c r="R4" s="203">
        <f>IFERROR(IF(M4="","—",H4-N4),"—")</f>
        <v/>
      </c>
      <c r="S4" s="204" t="inlineStr">
        <is>
          <t>Não</t>
        </is>
      </c>
      <c r="T4" s="137">
        <f>IFERROR(IF(H4=0,"—",IF(H4&lt;=0.25,"✔  OK",IF(H4&lt;=0.35,"⚠  Atenção","✖  Crítico"))),"—")</f>
        <v/>
      </c>
      <c r="U4" s="136" t="n"/>
      <c r="V4" s="136" t="n"/>
    </row>
    <row r="5" ht="15" customHeight="1">
      <c r="A5" s="150" t="inlineStr">
        <is>
          <t>Bebidas Frias</t>
        </is>
      </c>
      <c r="B5" s="136" t="inlineStr">
        <is>
          <t>Bebidas Prontas</t>
        </is>
      </c>
      <c r="C5" s="145" t="inlineStr">
        <is>
          <t>Beats Senses</t>
        </is>
      </c>
      <c r="D5" s="147">
        <f>VLOOKUP(E5,_Protheus_Cadastro!A:I,2,FALSE)</f>
        <v/>
      </c>
      <c r="E5" s="137" t="inlineStr">
        <is>
          <t>001336</t>
        </is>
      </c>
      <c r="F5" s="202">
        <f>IFERROR(INDEX(Vendidos!$H:$H,MATCH(E5,Vendidos!$B:$B,0)),"—")</f>
        <v/>
      </c>
      <c r="G5" s="138">
        <f>SUMIF('Fichas Flat'!$E$2:$E$880,E5,'Fichas Flat'!$K$2:$K$880)</f>
        <v/>
      </c>
      <c r="H5" s="139">
        <f>IFERROR(G5/F5,0)</f>
        <v/>
      </c>
      <c r="I5" s="138">
        <f>IFERROR(F5-G5,0)</f>
        <v/>
      </c>
      <c r="J5" s="139">
        <f>IFERROR(I5/F5,0)</f>
        <v/>
      </c>
      <c r="K5" s="138">
        <f>IFERROR(G5/0.3,0)</f>
        <v/>
      </c>
      <c r="L5" s="154" t="inlineStr">
        <is>
          <t>PENDENTE</t>
        </is>
      </c>
      <c r="M5" s="140" t="n">
        <v>230.900025</v>
      </c>
      <c r="N5" s="141" t="inlineStr">
        <is>
          <t>-</t>
        </is>
      </c>
      <c r="O5" s="140" t="inlineStr">
        <is>
          <t>-</t>
        </is>
      </c>
      <c r="P5" s="141" t="inlineStr">
        <is>
          <t>-</t>
        </is>
      </c>
      <c r="Q5" s="142" t="n">
        <v>46148</v>
      </c>
      <c r="R5" s="203">
        <f>IFERROR(IF(M5="","—",H5-N5),"—")</f>
        <v/>
      </c>
      <c r="S5" s="204" t="inlineStr">
        <is>
          <t>Não</t>
        </is>
      </c>
      <c r="T5" s="137">
        <f>IFERROR(IF(H5=0,"—",IF(H5&lt;=0.25,"✔  OK",IF(H5&lt;=0.35,"⚠  Atenção","✖  Crítico"))),"—")</f>
        <v/>
      </c>
      <c r="U5" s="136" t="n"/>
      <c r="V5" s="136" t="n"/>
    </row>
    <row r="6" ht="15" customHeight="1">
      <c r="A6" s="149" t="inlineStr">
        <is>
          <t>Espetos</t>
        </is>
      </c>
      <c r="B6" s="127" t="inlineStr">
        <is>
          <t>Veggie</t>
        </is>
      </c>
      <c r="C6" s="146" t="inlineStr">
        <is>
          <t>Espeto de Brócolis com Couve Flor</t>
        </is>
      </c>
      <c r="D6" s="148">
        <f>VLOOKUP(E6,_Protheus_Cadastro!A:I,2,FALSE)</f>
        <v/>
      </c>
      <c r="E6" s="128" t="inlineStr">
        <is>
          <t>PENDENTE</t>
        </is>
      </c>
      <c r="F6" s="205">
        <f>IFERROR(INDEX(Vendidos!$H:$H,MATCH(E6,Vendidos!$B:$B,0)),"—")</f>
        <v/>
      </c>
      <c r="G6" s="129">
        <f>SUMIF('Fichas Flat'!$E$2:$E$880,E6,'Fichas Flat'!$K$2:$K$880)</f>
        <v/>
      </c>
      <c r="H6" s="130">
        <f>IFERROR(G6/F6,0)</f>
        <v/>
      </c>
      <c r="I6" s="129">
        <f>IFERROR(F6-G6,0)</f>
        <v/>
      </c>
      <c r="J6" s="130">
        <f>IFERROR(I6/F6,0)</f>
        <v/>
      </c>
      <c r="K6" s="129">
        <f>IFERROR(G6/0.3,0)</f>
        <v/>
      </c>
      <c r="L6" s="153" t="n"/>
      <c r="M6" s="131" t="n"/>
      <c r="N6" s="132" t="n"/>
      <c r="O6" s="131" t="n"/>
      <c r="P6" s="132" t="n"/>
      <c r="Q6" s="133" t="n">
        <v>46148</v>
      </c>
      <c r="R6" s="206">
        <f>IFERROR(IF(M6="","—",H6-N6),"—")</f>
        <v/>
      </c>
      <c r="S6" s="207" t="inlineStr">
        <is>
          <t>Não</t>
        </is>
      </c>
      <c r="T6" s="128">
        <f>IFERROR(IF(H6=0,"—",IF(H6&lt;=0.25,"✔  OK",IF(H6&lt;=0.35,"⚠  Atenção","✖  Crítico"))),"—")</f>
        <v/>
      </c>
      <c r="U6" s="127" t="n"/>
      <c r="V6" s="127" t="n"/>
    </row>
    <row r="7" ht="15" customHeight="1">
      <c r="A7" s="150" t="inlineStr">
        <is>
          <t>Espetos</t>
        </is>
      </c>
      <c r="B7" s="136" t="inlineStr">
        <is>
          <t>Veggie</t>
        </is>
      </c>
      <c r="C7" s="145" t="inlineStr">
        <is>
          <t>Espeto de Mix de Legumes</t>
        </is>
      </c>
      <c r="D7" s="147">
        <f>VLOOKUP(E7,_Protheus_Cadastro!A:I,2,FALSE)</f>
        <v/>
      </c>
      <c r="E7" s="137" t="inlineStr">
        <is>
          <t>PENDENTE</t>
        </is>
      </c>
      <c r="F7" s="202">
        <f>IFERROR(INDEX(Vendidos!$H:$H,MATCH(E7,Vendidos!$B:$B,0)),"—")</f>
        <v/>
      </c>
      <c r="G7" s="138">
        <f>SUMIF('Fichas Flat'!$E$2:$E$880,E7,'Fichas Flat'!$K$2:$K$880)</f>
        <v/>
      </c>
      <c r="H7" s="139">
        <f>IFERROR(G7/F7,0)</f>
        <v/>
      </c>
      <c r="I7" s="138">
        <f>IFERROR(F7-G7,0)</f>
        <v/>
      </c>
      <c r="J7" s="139">
        <f>IFERROR(I7/F7,0)</f>
        <v/>
      </c>
      <c r="K7" s="138">
        <f>IFERROR(G7/0.3,0)</f>
        <v/>
      </c>
      <c r="L7" s="154" t="n"/>
      <c r="M7" s="140" t="n"/>
      <c r="N7" s="141" t="n"/>
      <c r="O7" s="140" t="n"/>
      <c r="P7" s="141" t="n"/>
      <c r="Q7" s="142" t="n">
        <v>46148</v>
      </c>
      <c r="R7" s="203">
        <f>IFERROR(IF(M7="","—",H7-N7),"—")</f>
        <v/>
      </c>
      <c r="S7" s="204" t="inlineStr">
        <is>
          <t>Não</t>
        </is>
      </c>
      <c r="T7" s="137">
        <f>IFERROR(IF(H7=0,"—",IF(H7&lt;=0.25,"✔  OK",IF(H7&lt;=0.35,"⚠  Atenção","✖  Crítico"))),"—")</f>
        <v/>
      </c>
      <c r="U7" s="136" t="n"/>
      <c r="V7" s="136" t="n"/>
    </row>
    <row r="8" ht="15" customHeight="1">
      <c r="A8" s="149" t="inlineStr">
        <is>
          <t>Espetos</t>
        </is>
      </c>
      <c r="B8" s="127" t="inlineStr">
        <is>
          <t>Veggie</t>
        </is>
      </c>
      <c r="C8" s="146" t="inlineStr">
        <is>
          <t>Espeto de Queijo Coalho com Abobrinha</t>
        </is>
      </c>
      <c r="D8" s="148">
        <f>VLOOKUP(E8,_Protheus_Cadastro!A:I,2,FALSE)</f>
        <v/>
      </c>
      <c r="E8" s="128" t="inlineStr">
        <is>
          <t>PENDENTE</t>
        </is>
      </c>
      <c r="F8" s="205">
        <f>IFERROR(INDEX(Vendidos!$H:$H,MATCH(E8,Vendidos!$B:$B,0)),"—")</f>
        <v/>
      </c>
      <c r="G8" s="129">
        <f>SUMIF('Fichas Flat'!$E$2:$E$880,E8,'Fichas Flat'!$K$2:$K$880)</f>
        <v/>
      </c>
      <c r="H8" s="130">
        <f>IFERROR(G8/F8,0)</f>
        <v/>
      </c>
      <c r="I8" s="129">
        <f>IFERROR(F8-G8,0)</f>
        <v/>
      </c>
      <c r="J8" s="130">
        <f>IFERROR(I8/F8,0)</f>
        <v/>
      </c>
      <c r="K8" s="129">
        <f>IFERROR(G8/0.3,0)</f>
        <v/>
      </c>
      <c r="L8" s="153" t="n"/>
      <c r="M8" s="131" t="n"/>
      <c r="N8" s="132" t="n"/>
      <c r="O8" s="131" t="n"/>
      <c r="P8" s="132" t="n"/>
      <c r="Q8" s="133" t="n">
        <v>46148</v>
      </c>
      <c r="R8" s="206">
        <f>IFERROR(IF(M8="","—",H8-N8),"—")</f>
        <v/>
      </c>
      <c r="S8" s="207" t="inlineStr">
        <is>
          <t>Sim</t>
        </is>
      </c>
      <c r="T8" s="128">
        <f>IFERROR(IF(H8=0,"—",IF(H8&lt;=0.25,"✔  OK",IF(H8&lt;=0.35,"⚠  Atenção","✖  Crítico"))),"—")</f>
        <v/>
      </c>
      <c r="U8" s="127" t="n"/>
      <c r="V8" s="127" t="n"/>
    </row>
    <row r="9" ht="15" customHeight="1">
      <c r="A9" s="150" t="inlineStr">
        <is>
          <t>Bebidas Frias</t>
        </is>
      </c>
      <c r="B9" s="136" t="inlineStr">
        <is>
          <t>Gin</t>
        </is>
      </c>
      <c r="C9" s="145" t="inlineStr">
        <is>
          <t>Gin Bacco Quintal 700ml</t>
        </is>
      </c>
      <c r="D9" s="147">
        <f>VLOOKUP(E9,_Protheus_Cadastro!A:I,2,FALSE)</f>
        <v/>
      </c>
      <c r="E9" s="137" t="inlineStr">
        <is>
          <t>010011</t>
        </is>
      </c>
      <c r="F9" s="202">
        <f>IFERROR(INDEX(Vendidos!$H:$H,MATCH(E9,Vendidos!$B:$B,0)),"—")</f>
        <v/>
      </c>
      <c r="G9" s="138">
        <f>SUMIF('Fichas Flat'!$E$2:$E$880,E9,'Fichas Flat'!$K$2:$K$880)</f>
        <v/>
      </c>
      <c r="H9" s="139">
        <f>IFERROR(G9/F9,0)</f>
        <v/>
      </c>
      <c r="I9" s="138">
        <f>IFERROR(F9-G9,0)</f>
        <v/>
      </c>
      <c r="J9" s="139">
        <f>IFERROR(I9/F9,0)</f>
        <v/>
      </c>
      <c r="K9" s="138">
        <f>IFERROR(G9/0.3,0)</f>
        <v/>
      </c>
      <c r="L9" s="154" t="inlineStr">
        <is>
          <t>PENDENTE</t>
        </is>
      </c>
      <c r="M9" s="140" t="n">
        <v>5.4277</v>
      </c>
      <c r="N9" s="141" t="inlineStr">
        <is>
          <t>-</t>
        </is>
      </c>
      <c r="O9" s="140" t="inlineStr">
        <is>
          <t>-</t>
        </is>
      </c>
      <c r="P9" s="141" t="inlineStr">
        <is>
          <t>-</t>
        </is>
      </c>
      <c r="Q9" s="142" t="n">
        <v>46148</v>
      </c>
      <c r="R9" s="203">
        <f>IFERROR(IF(M9="","—",H9-N9),"—")</f>
        <v/>
      </c>
      <c r="S9" s="204" t="inlineStr">
        <is>
          <t>Não</t>
        </is>
      </c>
      <c r="T9" s="137">
        <f>IFERROR(IF(H9=0,"—",IF(H9&lt;=0.25,"✔  OK",IF(H9&lt;=0.35,"⚠  Atenção","✖  Crítico"))),"—")</f>
        <v/>
      </c>
      <c r="U9" s="136" t="n"/>
      <c r="V9" s="136" t="n"/>
    </row>
    <row r="10" ht="15" customHeight="1">
      <c r="A10" s="149" t="inlineStr">
        <is>
          <t>Bebidas Frias</t>
        </is>
      </c>
      <c r="B10" s="127" t="inlineStr">
        <is>
          <t>Vodka</t>
        </is>
      </c>
      <c r="C10" s="146" t="inlineStr">
        <is>
          <t>Vodka Bacco Quintal 1LT</t>
        </is>
      </c>
      <c r="D10" s="148">
        <f>VLOOKUP(E10,_Protheus_Cadastro!A:I,2,FALSE)</f>
        <v/>
      </c>
      <c r="E10" s="128" t="inlineStr">
        <is>
          <t>010012</t>
        </is>
      </c>
      <c r="F10" s="205">
        <f>IFERROR(INDEX(Vendidos!$H:$H,MATCH(E10,Vendidos!$B:$B,0)),"—")</f>
        <v/>
      </c>
      <c r="G10" s="129">
        <f>SUMIF('Fichas Flat'!$E$2:$E$880,E10,'Fichas Flat'!$K$2:$K$880)</f>
        <v/>
      </c>
      <c r="H10" s="130">
        <f>IFERROR(G10/F10,0)</f>
        <v/>
      </c>
      <c r="I10" s="129">
        <f>IFERROR(F10-G10,0)</f>
        <v/>
      </c>
      <c r="J10" s="130">
        <f>IFERROR(I10/F10,0)</f>
        <v/>
      </c>
      <c r="K10" s="129">
        <f>IFERROR(G10/0.3,0)</f>
        <v/>
      </c>
      <c r="L10" s="153" t="inlineStr">
        <is>
          <t>PENDENTE</t>
        </is>
      </c>
      <c r="M10" s="131" t="n">
        <v>37.24</v>
      </c>
      <c r="N10" s="132" t="inlineStr">
        <is>
          <t>-</t>
        </is>
      </c>
      <c r="O10" s="131" t="inlineStr">
        <is>
          <t>-</t>
        </is>
      </c>
      <c r="P10" s="132" t="inlineStr">
        <is>
          <t>-</t>
        </is>
      </c>
      <c r="Q10" s="133" t="n">
        <v>46148</v>
      </c>
      <c r="R10" s="206">
        <f>IFERROR(IF(M10="","—",H10-N10),"—")</f>
        <v/>
      </c>
      <c r="S10" s="207" t="inlineStr">
        <is>
          <t>Não</t>
        </is>
      </c>
      <c r="T10" s="128">
        <f>IFERROR(IF(H10=0,"—",IF(H10&lt;=0.25,"✔  OK",IF(H10&lt;=0.35,"⚠  Atenção","✖  Crítico"))),"—")</f>
        <v/>
      </c>
      <c r="U10" s="127" t="n"/>
      <c r="V10" s="127" t="n"/>
    </row>
    <row r="11" ht="15" customHeight="1">
      <c r="A11" s="150" t="inlineStr">
        <is>
          <t>Saladas e Molhos</t>
        </is>
      </c>
      <c r="B11" s="136" t="inlineStr">
        <is>
          <t>Saladas</t>
        </is>
      </c>
      <c r="C11" s="145" t="inlineStr">
        <is>
          <t>Salada Caprese</t>
        </is>
      </c>
      <c r="D11" s="147">
        <f>VLOOKUP(E11,_Protheus_Cadastro!A:I,2,FALSE)</f>
        <v/>
      </c>
      <c r="E11" s="137" t="inlineStr">
        <is>
          <t>000869</t>
        </is>
      </c>
      <c r="F11" s="202">
        <f>IFERROR(INDEX(Vendidos!$H:$H,MATCH(E11,Vendidos!$B:$B,0)),"—")</f>
        <v/>
      </c>
      <c r="G11" s="138">
        <f>SUMIF('Fichas Flat'!$E$2:$E$880,E11,'Fichas Flat'!$K$2:$K$880)</f>
        <v/>
      </c>
      <c r="H11" s="139">
        <f>IFERROR(G11/F11,0)</f>
        <v/>
      </c>
      <c r="I11" s="138">
        <f>IFERROR(F11-G11,0)</f>
        <v/>
      </c>
      <c r="J11" s="139">
        <f>IFERROR(I11/F11,0)</f>
        <v/>
      </c>
      <c r="K11" s="138">
        <f>IFERROR(G11/0.3,0)</f>
        <v/>
      </c>
      <c r="L11" s="154" t="n"/>
      <c r="M11" s="140" t="n"/>
      <c r="N11" s="141" t="n"/>
      <c r="O11" s="140" t="n"/>
      <c r="P11" s="141" t="n"/>
      <c r="Q11" s="142" t="n">
        <v>46148</v>
      </c>
      <c r="R11" s="203">
        <f>IFERROR(IF(M11="","—",H11-N11),"—")</f>
        <v/>
      </c>
      <c r="S11" s="204" t="inlineStr">
        <is>
          <t>Sim</t>
        </is>
      </c>
      <c r="T11" s="137">
        <f>IFERROR(IF(H11=0,"—",IF(H11&lt;=0.25,"✔  OK",IF(H11&lt;=0.35,"⚠  Atenção","✖  Crítico"))),"—")</f>
        <v/>
      </c>
      <c r="U11" s="136" t="n"/>
      <c r="V11" s="136" t="n"/>
    </row>
    <row r="12" ht="15" customHeight="1">
      <c r="A12" s="149" t="inlineStr">
        <is>
          <t>Saladas e Molhos</t>
        </is>
      </c>
      <c r="B12" s="127" t="inlineStr">
        <is>
          <t>Saladas</t>
        </is>
      </c>
      <c r="C12" s="146" t="inlineStr">
        <is>
          <t>Salada da Casa</t>
        </is>
      </c>
      <c r="D12" s="148">
        <f>VLOOKUP(E12,_Protheus_Cadastro!A:I,2,FALSE)</f>
        <v/>
      </c>
      <c r="E12" s="128" t="inlineStr">
        <is>
          <t>000870</t>
        </is>
      </c>
      <c r="F12" s="205">
        <f>IFERROR(INDEX(Vendidos!$H:$H,MATCH(E12,Vendidos!$B:$B,0)),"—")</f>
        <v/>
      </c>
      <c r="G12" s="129">
        <f>SUMIF('Fichas Flat'!$E$2:$E$880,E12,'Fichas Flat'!$K$2:$K$880)</f>
        <v/>
      </c>
      <c r="H12" s="130">
        <f>IFERROR(G12/F12,0)</f>
        <v/>
      </c>
      <c r="I12" s="129">
        <f>IFERROR(F12-G12,0)</f>
        <v/>
      </c>
      <c r="J12" s="130">
        <f>IFERROR(I12/F12,0)</f>
        <v/>
      </c>
      <c r="K12" s="129">
        <f>IFERROR(G12/0.3,0)</f>
        <v/>
      </c>
      <c r="L12" s="153" t="n"/>
      <c r="M12" s="131" t="n"/>
      <c r="N12" s="132" t="n"/>
      <c r="O12" s="131" t="n"/>
      <c r="P12" s="132" t="n"/>
      <c r="Q12" s="133" t="n">
        <v>46148</v>
      </c>
      <c r="R12" s="206">
        <f>IFERROR(IF(M12="","—",H12-N12),"—")</f>
        <v/>
      </c>
      <c r="S12" s="207" t="inlineStr">
        <is>
          <t>Sim</t>
        </is>
      </c>
      <c r="T12" s="128">
        <f>IFERROR(IF(H12=0,"—",IF(H12&lt;=0.25,"✔  OK",IF(H12&lt;=0.35,"⚠  Atenção","✖  Crítico"))),"—")</f>
        <v/>
      </c>
      <c r="U12" s="127" t="n"/>
      <c r="V12" s="127" t="n"/>
    </row>
    <row r="13" ht="15" customHeight="1">
      <c r="A13" s="150" t="inlineStr">
        <is>
          <t>Saladas e Molhos</t>
        </is>
      </c>
      <c r="B13" s="136" t="inlineStr">
        <is>
          <t>Saladas</t>
        </is>
      </c>
      <c r="C13" s="145" t="inlineStr">
        <is>
          <t>Salada Juliana</t>
        </is>
      </c>
      <c r="D13" s="147">
        <f>VLOOKUP(E13,_Protheus_Cadastro!A:I,2,FALSE)</f>
        <v/>
      </c>
      <c r="E13" s="137" t="inlineStr">
        <is>
          <t>000871</t>
        </is>
      </c>
      <c r="F13" s="202">
        <f>IFERROR(INDEX(Vendidos!$H:$H,MATCH(E13,Vendidos!$B:$B,0)),"—")</f>
        <v/>
      </c>
      <c r="G13" s="138">
        <f>SUMIF('Fichas Flat'!$E$2:$E$880,E13,'Fichas Flat'!$K$2:$K$880)</f>
        <v/>
      </c>
      <c r="H13" s="139">
        <f>IFERROR(G13/F13,0)</f>
        <v/>
      </c>
      <c r="I13" s="138">
        <f>IFERROR(F13-G13,0)</f>
        <v/>
      </c>
      <c r="J13" s="139">
        <f>IFERROR(I13/F13,0)</f>
        <v/>
      </c>
      <c r="K13" s="138">
        <f>IFERROR(G13/0.3,0)</f>
        <v/>
      </c>
      <c r="L13" s="154" t="n"/>
      <c r="M13" s="140" t="n"/>
      <c r="N13" s="141" t="n"/>
      <c r="O13" s="140" t="n"/>
      <c r="P13" s="141" t="n"/>
      <c r="Q13" s="142" t="n">
        <v>46148</v>
      </c>
      <c r="R13" s="203">
        <f>IFERROR(IF(M13="","—",H13-N13),"—")</f>
        <v/>
      </c>
      <c r="S13" s="204" t="inlineStr">
        <is>
          <t>Sim</t>
        </is>
      </c>
      <c r="T13" s="137">
        <f>IFERROR(IF(H13=0,"—",IF(H13&lt;=0.25,"✔  OK",IF(H13&lt;=0.35,"⚠  Atenção","✖  Crítico"))),"—")</f>
        <v/>
      </c>
      <c r="U13" s="136" t="n"/>
      <c r="V13" s="136" t="n"/>
    </row>
    <row r="14" ht="15" customHeight="1">
      <c r="A14" s="149" t="inlineStr">
        <is>
          <t>Saladas e Molhos</t>
        </is>
      </c>
      <c r="B14" s="127" t="inlineStr">
        <is>
          <t>Saladas</t>
        </is>
      </c>
      <c r="C14" s="146" t="inlineStr">
        <is>
          <t>Salada California</t>
        </is>
      </c>
      <c r="D14" s="148">
        <f>VLOOKUP(E14,_Protheus_Cadastro!A:I,2,FALSE)</f>
        <v/>
      </c>
      <c r="E14" s="128" t="inlineStr">
        <is>
          <t>002215</t>
        </is>
      </c>
      <c r="F14" s="205">
        <f>IFERROR(INDEX(Vendidos!$H:$H,MATCH(E14,Vendidos!$B:$B,0)),"—")</f>
        <v/>
      </c>
      <c r="G14" s="129">
        <f>SUMIF('Fichas Flat'!$E$2:$E$880,E14,'Fichas Flat'!$K$2:$K$880)</f>
        <v/>
      </c>
      <c r="H14" s="130">
        <f>IFERROR(G14/F14,0)</f>
        <v/>
      </c>
      <c r="I14" s="129">
        <f>IFERROR(F14-G14,0)</f>
        <v/>
      </c>
      <c r="J14" s="130">
        <f>IFERROR(I14/F14,0)</f>
        <v/>
      </c>
      <c r="K14" s="129">
        <f>IFERROR(G14/0.3,0)</f>
        <v/>
      </c>
      <c r="L14" s="153" t="n"/>
      <c r="M14" s="131" t="n"/>
      <c r="N14" s="132" t="n"/>
      <c r="O14" s="131" t="n"/>
      <c r="P14" s="132" t="n"/>
      <c r="Q14" s="133" t="n">
        <v>46148</v>
      </c>
      <c r="R14" s="206">
        <f>IFERROR(IF(M14="","—",H14-N14),"—")</f>
        <v/>
      </c>
      <c r="S14" s="207" t="inlineStr">
        <is>
          <t>Não</t>
        </is>
      </c>
      <c r="T14" s="128">
        <f>IFERROR(IF(H14=0,"—",IF(H14&lt;=0.25,"✔  OK",IF(H14&lt;=0.35,"⚠  Atenção","✖  Crítico"))),"—")</f>
        <v/>
      </c>
      <c r="U14" s="127" t="n"/>
      <c r="V14" s="127" t="n"/>
    </row>
    <row r="15" ht="15" customHeight="1">
      <c r="A15" s="150" t="inlineStr">
        <is>
          <t>Saladas e Molhos</t>
        </is>
      </c>
      <c r="B15" s="136" t="inlineStr">
        <is>
          <t>Saladas</t>
        </is>
      </c>
      <c r="C15" s="145" t="inlineStr">
        <is>
          <t>Mini Salada Quintal</t>
        </is>
      </c>
      <c r="D15" s="147">
        <f>VLOOKUP(E15,_Protheus_Cadastro!A:I,2,FALSE)</f>
        <v/>
      </c>
      <c r="E15" s="137" t="inlineStr">
        <is>
          <t>002262</t>
        </is>
      </c>
      <c r="F15" s="202">
        <f>IFERROR(INDEX(Vendidos!$H:$H,MATCH(E15,Vendidos!$B:$B,0)),"—")</f>
        <v/>
      </c>
      <c r="G15" s="138">
        <f>SUMIF('Fichas Flat'!$E$2:$E$880,E15,'Fichas Flat'!$K$2:$K$880)</f>
        <v/>
      </c>
      <c r="H15" s="139">
        <f>IFERROR(G15/F15,0)</f>
        <v/>
      </c>
      <c r="I15" s="138">
        <f>IFERROR(F15-G15,0)</f>
        <v/>
      </c>
      <c r="J15" s="139">
        <f>IFERROR(I15/F15,0)</f>
        <v/>
      </c>
      <c r="K15" s="138">
        <f>IFERROR(G15/0.3,0)</f>
        <v/>
      </c>
      <c r="L15" s="154" t="n"/>
      <c r="M15" s="140" t="n"/>
      <c r="N15" s="141" t="n"/>
      <c r="O15" s="140" t="n"/>
      <c r="P15" s="141" t="n"/>
      <c r="Q15" s="142" t="n">
        <v>46148</v>
      </c>
      <c r="R15" s="203">
        <f>IFERROR(IF(M15="","—",H15-N15),"—")</f>
        <v/>
      </c>
      <c r="S15" s="204" t="inlineStr">
        <is>
          <t>Não</t>
        </is>
      </c>
      <c r="T15" s="137">
        <f>IFERROR(IF(H15=0,"—",IF(H15&lt;=0.25,"✔  OK",IF(H15&lt;=0.35,"⚠  Atenção","✖  Crítico"))),"—")</f>
        <v/>
      </c>
      <c r="U15" s="136" t="n"/>
      <c r="V15" s="136" t="n"/>
    </row>
    <row r="16" ht="15" customHeight="1">
      <c r="A16" s="212" t="inlineStr">
        <is>
          <t>Saladas e Molhos</t>
        </is>
      </c>
      <c r="B16" s="147" t="inlineStr">
        <is>
          <t>Saladas</t>
        </is>
      </c>
      <c r="C16" s="213" t="inlineStr">
        <is>
          <t>Mini Salada Fresca</t>
        </is>
      </c>
      <c r="D16" s="147">
        <f>IFERROR(VLOOKUP(E16,_Protheus_Cadastro!$A:$B,2,FALSE),"—")</f>
        <v/>
      </c>
      <c r="E16" s="214" t="inlineStr">
        <is>
          <t>002239</t>
        </is>
      </c>
      <c r="F16" s="215">
        <f>IFERROR(INDEX(Vendidos!$H:$H,MATCH(E16,Vendidos!$B:$B,0)),"—")</f>
        <v/>
      </c>
      <c r="G16" s="216">
        <f>SUMIF('Fichas Flat'!$E$2:$E$880,E16,'Fichas Flat'!$K$2:$K$880)</f>
        <v/>
      </c>
      <c r="H16" s="217">
        <f>IFERROR(G16/F16,0)</f>
        <v/>
      </c>
      <c r="I16" s="216">
        <f>IFERROR(F16-G16,0)</f>
        <v/>
      </c>
      <c r="J16" s="217">
        <f>IFERROR(I16/F16,0)</f>
        <v/>
      </c>
      <c r="K16" s="216">
        <f>IFERROR(G16/0.3,0)</f>
        <v/>
      </c>
      <c r="L16" s="218" t="n"/>
      <c r="M16" s="219" t="n"/>
      <c r="N16" s="220" t="n"/>
      <c r="O16" s="219" t="n"/>
      <c r="P16" s="220" t="n"/>
      <c r="Q16" s="221" t="n"/>
      <c r="R16" s="204">
        <f>IFERROR(IF(G16=0,"—",IF(H16&lt;=0.25,"✔  OK",IF(H16&lt;=0.35,"⚠  Atenção","✖  Crítico"))),"—")</f>
        <v/>
      </c>
      <c r="S16" s="204" t="inlineStr">
        <is>
          <t>Não</t>
        </is>
      </c>
      <c r="T16" s="214" t="n"/>
      <c r="U16" s="147" t="n"/>
    </row>
    <row r="17" ht="15" customHeight="1">
      <c r="A17" s="149" t="inlineStr">
        <is>
          <t>Cardápio Principal</t>
        </is>
      </c>
      <c r="B17" s="127" t="inlineStr">
        <is>
          <t>Sazonais</t>
        </is>
      </c>
      <c r="C17" s="146" t="inlineStr">
        <is>
          <t>Caldo de Feijão</t>
        </is>
      </c>
      <c r="D17" s="148">
        <f>VLOOKUP(E17,_Protheus_Cadastro!A:I,2,FALSE)</f>
        <v/>
      </c>
      <c r="E17" s="128" t="inlineStr">
        <is>
          <t>001340</t>
        </is>
      </c>
      <c r="F17" s="205">
        <f>IFERROR(INDEX(Vendidos!$H:$H,MATCH(E17,Vendidos!$B:$B,0)),"—")</f>
        <v/>
      </c>
      <c r="G17" s="129">
        <f>SUMIF('Fichas Flat'!$E$2:$E$880,E17,'Fichas Flat'!$K$2:$K$880)</f>
        <v/>
      </c>
      <c r="H17" s="130">
        <f>IFERROR(G17/F17,0)</f>
        <v/>
      </c>
      <c r="I17" s="129">
        <f>IFERROR(F17-G17,0)</f>
        <v/>
      </c>
      <c r="J17" s="130">
        <f>IFERROR(I17/F17,0)</f>
        <v/>
      </c>
      <c r="K17" s="129">
        <f>IFERROR(G17/0.3,0)</f>
        <v/>
      </c>
      <c r="L17" s="153" t="n"/>
      <c r="M17" s="131" t="n"/>
      <c r="N17" s="132" t="n"/>
      <c r="O17" s="131" t="n"/>
      <c r="P17" s="132" t="n"/>
      <c r="Q17" s="133" t="n">
        <v>46148</v>
      </c>
      <c r="R17" s="206">
        <f>IFERROR(IF(M16="","—",H17-N16),"—")</f>
        <v/>
      </c>
      <c r="S17" s="207" t="inlineStr">
        <is>
          <t>Sim</t>
        </is>
      </c>
      <c r="T17" s="128">
        <f>IFERROR(IF(H16=0,"—",IF(H16&lt;=0.25,"✔  OK",IF(H16&lt;=0.35,"⚠  Atenção","✖  Crítico"))),"—")</f>
        <v/>
      </c>
      <c r="U17" s="127" t="n"/>
      <c r="V17" s="127" t="n"/>
    </row>
    <row r="18" ht="15" customHeight="1">
      <c r="A18" s="150" t="inlineStr">
        <is>
          <t>Saladas e Molhos</t>
        </is>
      </c>
      <c r="B18" s="136" t="inlineStr">
        <is>
          <t>Sazonais</t>
        </is>
      </c>
      <c r="C18" s="145" t="inlineStr">
        <is>
          <t>Caldo Verde</t>
        </is>
      </c>
      <c r="D18" s="147">
        <f>VLOOKUP(E18,_Protheus_Cadastro!A:I,2,FALSE)</f>
        <v/>
      </c>
      <c r="E18" s="137" t="inlineStr">
        <is>
          <t>001341</t>
        </is>
      </c>
      <c r="F18" s="202">
        <f>IFERROR(INDEX(Vendidos!$H:$H,MATCH(E18,Vendidos!$B:$B,0)),"—")</f>
        <v/>
      </c>
      <c r="G18" s="138">
        <f>SUMIF('Fichas Flat'!$E$2:$E$880,E18,'Fichas Flat'!$K$2:$K$880)</f>
        <v/>
      </c>
      <c r="H18" s="139">
        <f>IFERROR(G18/F18,0)</f>
        <v/>
      </c>
      <c r="I18" s="138">
        <f>IFERROR(F18-G18,0)</f>
        <v/>
      </c>
      <c r="J18" s="139">
        <f>IFERROR(I18/F18,0)</f>
        <v/>
      </c>
      <c r="K18" s="138">
        <f>IFERROR(G18/0.3,0)</f>
        <v/>
      </c>
      <c r="L18" s="154" t="n"/>
      <c r="M18" s="140" t="n"/>
      <c r="N18" s="141" t="n"/>
      <c r="O18" s="140" t="n"/>
      <c r="P18" s="141" t="n"/>
      <c r="Q18" s="142" t="n">
        <v>46148</v>
      </c>
      <c r="R18" s="203">
        <f>IFERROR(IF(M17="","—",H18-N17),"—")</f>
        <v/>
      </c>
      <c r="S18" s="204" t="inlineStr">
        <is>
          <t>Sim</t>
        </is>
      </c>
      <c r="T18" s="137">
        <f>IFERROR(IF(H17=0,"—",IF(H17&lt;=0.25,"✔  OK",IF(H17&lt;=0.35,"⚠  Atenção","✖  Crítico"))),"—")</f>
        <v/>
      </c>
      <c r="U18" s="136" t="n"/>
      <c r="V18" s="136" t="n"/>
    </row>
    <row r="19" ht="15" customHeight="1">
      <c r="A19" s="149" t="inlineStr">
        <is>
          <t>Saladas e Molhos</t>
        </is>
      </c>
      <c r="B19" s="127" t="inlineStr">
        <is>
          <t>Sazonais</t>
        </is>
      </c>
      <c r="C19" s="146" t="inlineStr">
        <is>
          <t>Vinho Quente</t>
        </is>
      </c>
      <c r="D19" s="148">
        <f>VLOOKUP(E19,_Protheus_Cadastro!A:I,2,FALSE)</f>
        <v/>
      </c>
      <c r="E19" s="128" t="inlineStr">
        <is>
          <t>001076</t>
        </is>
      </c>
      <c r="F19" s="205">
        <f>IFERROR(INDEX(Vendidos!$H:$H,MATCH(E19,Vendidos!$B:$B,0)),"—")</f>
        <v/>
      </c>
      <c r="G19" s="129">
        <f>SUMIF('Fichas Flat'!$E$2:$E$880,E19,'Fichas Flat'!$K$2:$K$880)</f>
        <v/>
      </c>
      <c r="H19" s="130">
        <f>IFERROR(G19/F19,0)</f>
        <v/>
      </c>
      <c r="I19" s="129">
        <f>IFERROR(F19-G19,0)</f>
        <v/>
      </c>
      <c r="J19" s="130">
        <f>IFERROR(I19/F19,0)</f>
        <v/>
      </c>
      <c r="K19" s="129">
        <f>IFERROR(G19/0.3,0)</f>
        <v/>
      </c>
      <c r="L19" s="153" t="n"/>
      <c r="M19" s="131" t="n"/>
      <c r="N19" s="132" t="n"/>
      <c r="O19" s="131" t="n"/>
      <c r="P19" s="132" t="n"/>
      <c r="Q19" s="133" t="n">
        <v>46148</v>
      </c>
      <c r="R19" s="206">
        <f>IFERROR(IF(M18="","—",H19-N18),"—")</f>
        <v/>
      </c>
      <c r="S19" s="207" t="inlineStr">
        <is>
          <t>Sim</t>
        </is>
      </c>
      <c r="T19" s="128">
        <f>IFERROR(IF(H18=0,"—",IF(H18&lt;=0.25,"✔  OK",IF(H18&lt;=0.35,"⚠  Atenção","✖  Crítico"))),"—")</f>
        <v/>
      </c>
      <c r="U19" s="127" t="n"/>
      <c r="V19" s="127" t="n"/>
    </row>
    <row r="20" ht="15" customHeight="1">
      <c r="A20" s="150" t="inlineStr">
        <is>
          <t>Saladas e Molhos</t>
        </is>
      </c>
      <c r="B20" s="136" t="inlineStr">
        <is>
          <t>Molhos</t>
        </is>
      </c>
      <c r="C20" s="145" t="inlineStr">
        <is>
          <t>Chimichurri do Quintal</t>
        </is>
      </c>
      <c r="D20" s="147">
        <f>VLOOKUP(E20,_Protheus_Cadastro!A:I,2,FALSE)</f>
        <v/>
      </c>
      <c r="E20" s="137" t="inlineStr">
        <is>
          <t>PENDENTE</t>
        </is>
      </c>
      <c r="F20" s="202">
        <f>IFERROR(INDEX(Vendidos!$H:$H,MATCH(E20,Vendidos!$B:$B,0)),"—")</f>
        <v/>
      </c>
      <c r="G20" s="138">
        <f>SUMIF('Fichas Flat'!$E$2:$E$880,E20,'Fichas Flat'!$K$2:$K$880)</f>
        <v/>
      </c>
      <c r="H20" s="139">
        <f>IFERROR(G20/F20,0)</f>
        <v/>
      </c>
      <c r="I20" s="138">
        <f>IFERROR(F20-G20,0)</f>
        <v/>
      </c>
      <c r="J20" s="139">
        <f>IFERROR(I20/F20,0)</f>
        <v/>
      </c>
      <c r="K20" s="138">
        <f>IFERROR(G20/0.3,0)</f>
        <v/>
      </c>
      <c r="L20" s="154" t="n"/>
      <c r="M20" s="140" t="n"/>
      <c r="N20" s="141" t="n"/>
      <c r="O20" s="140" t="n"/>
      <c r="P20" s="141" t="n"/>
      <c r="Q20" s="142" t="n">
        <v>46148</v>
      </c>
      <c r="R20" s="203">
        <f>IFERROR(IF(M19="","—",H20-N19),"—")</f>
        <v/>
      </c>
      <c r="S20" s="204" t="inlineStr">
        <is>
          <t>Não</t>
        </is>
      </c>
      <c r="T20" s="137">
        <f>IFERROR(IF(H19=0,"—",IF(H19&lt;=0.25,"✔  OK",IF(H19&lt;=0.35,"⚠  Atenção","✖  Crítico"))),"—")</f>
        <v/>
      </c>
      <c r="U20" s="136" t="n"/>
      <c r="V20" s="136" t="n"/>
    </row>
    <row r="21" ht="15" customHeight="1">
      <c r="A21" s="149" t="inlineStr">
        <is>
          <t>Saladas e Molhos</t>
        </is>
      </c>
      <c r="B21" s="127" t="inlineStr">
        <is>
          <t>Molhos</t>
        </is>
      </c>
      <c r="C21" s="146" t="inlineStr">
        <is>
          <t>Geleia de Pimenta</t>
        </is>
      </c>
      <c r="D21" s="148">
        <f>VLOOKUP(E21,_Protheus_Cadastro!A:I,2,FALSE)</f>
        <v/>
      </c>
      <c r="E21" s="128" t="inlineStr">
        <is>
          <t>PENDENTE</t>
        </is>
      </c>
      <c r="F21" s="205">
        <f>IFERROR(INDEX(Vendidos!$H:$H,MATCH(E21,Vendidos!$B:$B,0)),"—")</f>
        <v/>
      </c>
      <c r="G21" s="129">
        <f>SUMIF('Fichas Flat'!$E$2:$E$880,E21,'Fichas Flat'!$K$2:$K$880)</f>
        <v/>
      </c>
      <c r="H21" s="130">
        <f>IFERROR(G21/F21,0)</f>
        <v/>
      </c>
      <c r="I21" s="129">
        <f>IFERROR(F21-G21,0)</f>
        <v/>
      </c>
      <c r="J21" s="130">
        <f>IFERROR(I21/F21,0)</f>
        <v/>
      </c>
      <c r="K21" s="129">
        <f>IFERROR(G21/0.3,0)</f>
        <v/>
      </c>
      <c r="L21" s="153" t="n"/>
      <c r="M21" s="131" t="n"/>
      <c r="N21" s="132" t="n"/>
      <c r="O21" s="131" t="n"/>
      <c r="P21" s="132" t="n"/>
      <c r="Q21" s="133" t="n">
        <v>46148</v>
      </c>
      <c r="R21" s="206">
        <f>IFERROR(IF(M20="","—",H21-N20),"—")</f>
        <v/>
      </c>
      <c r="S21" s="207" t="inlineStr">
        <is>
          <t>Não</t>
        </is>
      </c>
      <c r="T21" s="128">
        <f>IFERROR(IF(H20=0,"—",IF(H20&lt;=0.25,"✔  OK",IF(H20&lt;=0.35,"⚠  Atenção","✖  Crítico"))),"—")</f>
        <v/>
      </c>
      <c r="U21" s="127" t="n"/>
      <c r="V21" s="127" t="n"/>
    </row>
    <row r="22" ht="15" customHeight="1">
      <c r="A22" s="150" t="inlineStr">
        <is>
          <t>Saladas e Molhos</t>
        </is>
      </c>
      <c r="B22" s="136" t="inlineStr">
        <is>
          <t>Molhos</t>
        </is>
      </c>
      <c r="C22" s="145" t="inlineStr">
        <is>
          <t>Maionese de Alho e Sal Quintal</t>
        </is>
      </c>
      <c r="D22" s="147">
        <f>VLOOKUP(E22,_Protheus_Cadastro!A:I,2,FALSE)</f>
        <v/>
      </c>
      <c r="E22" s="137" t="inlineStr">
        <is>
          <t>PENDENTE</t>
        </is>
      </c>
      <c r="F22" s="202">
        <f>IFERROR(INDEX(Vendidos!$H:$H,MATCH(E22,Vendidos!$B:$B,0)),"—")</f>
        <v/>
      </c>
      <c r="G22" s="138">
        <f>SUMIF('Fichas Flat'!$E$2:$E$880,E22,'Fichas Flat'!$K$2:$K$880)</f>
        <v/>
      </c>
      <c r="H22" s="139">
        <f>IFERROR(G22/F22,0)</f>
        <v/>
      </c>
      <c r="I22" s="138">
        <f>IFERROR(F22-G22,0)</f>
        <v/>
      </c>
      <c r="J22" s="139">
        <f>IFERROR(I22/F22,0)</f>
        <v/>
      </c>
      <c r="K22" s="138">
        <f>IFERROR(G22/0.3,0)</f>
        <v/>
      </c>
      <c r="L22" s="154" t="n"/>
      <c r="M22" s="140" t="n"/>
      <c r="N22" s="141" t="n"/>
      <c r="O22" s="140" t="n"/>
      <c r="P22" s="141" t="n"/>
      <c r="Q22" s="142" t="n">
        <v>46148</v>
      </c>
      <c r="R22" s="203">
        <f>IFERROR(IF(M21="","—",H22-N21),"—")</f>
        <v/>
      </c>
      <c r="S22" s="204" t="inlineStr">
        <is>
          <t>Não</t>
        </is>
      </c>
      <c r="T22" s="137">
        <f>IFERROR(IF(H21=0,"—",IF(H21&lt;=0.25,"✔  OK",IF(H21&lt;=0.35,"⚠  Atenção","✖  Crítico"))),"—")</f>
        <v/>
      </c>
      <c r="U22" s="136" t="n"/>
      <c r="V22" s="136" t="n"/>
    </row>
    <row r="23" ht="15" customHeight="1">
      <c r="A23" s="149" t="inlineStr">
        <is>
          <t>Saladas e Molhos</t>
        </is>
      </c>
      <c r="B23" s="127" t="inlineStr">
        <is>
          <t>Molhos</t>
        </is>
      </c>
      <c r="C23" s="146" t="inlineStr">
        <is>
          <t>Molho Pesto</t>
        </is>
      </c>
      <c r="D23" s="148">
        <f>VLOOKUP(E23,_Protheus_Cadastro!A:I,2,FALSE)</f>
        <v/>
      </c>
      <c r="E23" s="128" t="inlineStr">
        <is>
          <t>PENDENTE</t>
        </is>
      </c>
      <c r="F23" s="205">
        <f>IFERROR(INDEX(Vendidos!$H:$H,MATCH(E23,Vendidos!$B:$B,0)),"—")</f>
        <v/>
      </c>
      <c r="G23" s="129">
        <f>SUMIF('Fichas Flat'!$E$2:$E$880,E23,'Fichas Flat'!$K$2:$K$880)</f>
        <v/>
      </c>
      <c r="H23" s="130">
        <f>IFERROR(G23/F23,0)</f>
        <v/>
      </c>
      <c r="I23" s="129">
        <f>IFERROR(F23-G23,0)</f>
        <v/>
      </c>
      <c r="J23" s="130">
        <f>IFERROR(I23/F23,0)</f>
        <v/>
      </c>
      <c r="K23" s="129">
        <f>IFERROR(G23/0.3,0)</f>
        <v/>
      </c>
      <c r="L23" s="153" t="n"/>
      <c r="M23" s="131" t="n"/>
      <c r="N23" s="132" t="n"/>
      <c r="O23" s="131" t="n"/>
      <c r="P23" s="132" t="n"/>
      <c r="Q23" s="133" t="n">
        <v>46148</v>
      </c>
      <c r="R23" s="206">
        <f>IFERROR(IF(M22="","—",H23-N22),"—")</f>
        <v/>
      </c>
      <c r="S23" s="207" t="inlineStr">
        <is>
          <t>Não</t>
        </is>
      </c>
      <c r="T23" s="128">
        <f>IFERROR(IF(H22=0,"—",IF(H22&lt;=0.25,"✔  OK",IF(H22&lt;=0.35,"⚠  Atenção","✖  Crítico"))),"—")</f>
        <v/>
      </c>
      <c r="U23" s="127" t="n"/>
      <c r="V23" s="127" t="n"/>
    </row>
    <row r="24" ht="15" customHeight="1">
      <c r="A24" s="150" t="inlineStr">
        <is>
          <t>Saladas e Molhos</t>
        </is>
      </c>
      <c r="B24" s="136" t="inlineStr">
        <is>
          <t>Molhos</t>
        </is>
      </c>
      <c r="C24" s="145" t="inlineStr">
        <is>
          <t>Molho Mostarda e Mel</t>
        </is>
      </c>
      <c r="D24" s="147">
        <f>VLOOKUP(E24,_Protheus_Cadastro!A:I,2,FALSE)</f>
        <v/>
      </c>
      <c r="E24" s="137" t="inlineStr">
        <is>
          <t>PENDENTE</t>
        </is>
      </c>
      <c r="F24" s="202">
        <f>IFERROR(INDEX(Vendidos!$H:$H,MATCH(E24,Vendidos!$B:$B,0)),"—")</f>
        <v/>
      </c>
      <c r="G24" s="138">
        <f>SUMIF('Fichas Flat'!$E$2:$E$880,E24,'Fichas Flat'!$K$2:$K$880)</f>
        <v/>
      </c>
      <c r="H24" s="139">
        <f>IFERROR(G24/F24,0)</f>
        <v/>
      </c>
      <c r="I24" s="138">
        <f>IFERROR(F24-G24,0)</f>
        <v/>
      </c>
      <c r="J24" s="139">
        <f>IFERROR(I24/F24,0)</f>
        <v/>
      </c>
      <c r="K24" s="138">
        <f>IFERROR(G24/0.3,0)</f>
        <v/>
      </c>
      <c r="L24" s="154" t="n"/>
      <c r="M24" s="140" t="n"/>
      <c r="N24" s="141" t="n"/>
      <c r="O24" s="140" t="n"/>
      <c r="P24" s="141" t="n"/>
      <c r="Q24" s="142" t="n">
        <v>46148</v>
      </c>
      <c r="R24" s="203">
        <f>IFERROR(IF(M23="","—",H24-N23),"—")</f>
        <v/>
      </c>
      <c r="S24" s="204" t="inlineStr">
        <is>
          <t>Não</t>
        </is>
      </c>
      <c r="T24" s="137">
        <f>IFERROR(IF(H23=0,"—",IF(H23&lt;=0.25,"✔  OK",IF(H23&lt;=0.35,"⚠  Atenção","✖  Crítico"))),"—")</f>
        <v/>
      </c>
      <c r="U24" s="136" t="n"/>
      <c r="V24" s="136" t="n"/>
    </row>
    <row r="25" ht="15" customHeight="1">
      <c r="A25" s="149" t="inlineStr">
        <is>
          <t>Saladas e Molhos</t>
        </is>
      </c>
      <c r="B25" s="127" t="inlineStr">
        <is>
          <t>Molhos</t>
        </is>
      </c>
      <c r="C25" s="146" t="inlineStr">
        <is>
          <t>Molho de Hortelã</t>
        </is>
      </c>
      <c r="D25" s="148">
        <f>VLOOKUP(E25,_Protheus_Cadastro!A:I,2,FALSE)</f>
        <v/>
      </c>
      <c r="E25" s="128" t="inlineStr">
        <is>
          <t>PENDENTE</t>
        </is>
      </c>
      <c r="F25" s="205">
        <f>IFERROR(INDEX(Vendidos!$H:$H,MATCH(E25,Vendidos!$B:$B,0)),"—")</f>
        <v/>
      </c>
      <c r="G25" s="129">
        <f>SUMIF('Fichas Flat'!$E$2:$E$880,E25,'Fichas Flat'!$K$2:$K$880)</f>
        <v/>
      </c>
      <c r="H25" s="130">
        <f>IFERROR(G25/F25,0)</f>
        <v/>
      </c>
      <c r="I25" s="129">
        <f>IFERROR(F25-G25,0)</f>
        <v/>
      </c>
      <c r="J25" s="130">
        <f>IFERROR(I25/F25,0)</f>
        <v/>
      </c>
      <c r="K25" s="129">
        <f>IFERROR(G25/0.3,0)</f>
        <v/>
      </c>
      <c r="L25" s="153" t="n"/>
      <c r="M25" s="131" t="n"/>
      <c r="N25" s="132" t="n"/>
      <c r="O25" s="131" t="n"/>
      <c r="P25" s="132" t="n"/>
      <c r="Q25" s="133" t="n">
        <v>46148</v>
      </c>
      <c r="R25" s="206">
        <f>IFERROR(IF(M24="","—",H25-N24),"—")</f>
        <v/>
      </c>
      <c r="S25" s="207" t="inlineStr">
        <is>
          <t>Sim</t>
        </is>
      </c>
      <c r="T25" s="128">
        <f>IFERROR(IF(H24=0,"—",IF(H24&lt;=0.25,"✔  OK",IF(H24&lt;=0.35,"⚠  Atenção","✖  Crítico"))),"—")</f>
        <v/>
      </c>
      <c r="U25" s="127" t="n"/>
      <c r="V25" s="127" t="n"/>
    </row>
    <row r="26" ht="15" customHeight="1">
      <c r="A26" s="150" t="inlineStr">
        <is>
          <t>Saladas e Molhos</t>
        </is>
      </c>
      <c r="B26" s="136" t="inlineStr">
        <is>
          <t>Molhos</t>
        </is>
      </c>
      <c r="C26" s="145" t="inlineStr">
        <is>
          <t>Molho Azeite de Ervas</t>
        </is>
      </c>
      <c r="D26" s="147">
        <f>VLOOKUP(E26,_Protheus_Cadastro!A:I,2,FALSE)</f>
        <v/>
      </c>
      <c r="E26" s="137" t="inlineStr">
        <is>
          <t>PENDENTE</t>
        </is>
      </c>
      <c r="F26" s="202">
        <f>IFERROR(INDEX(Vendidos!$H:$H,MATCH(E26,Vendidos!$B:$B,0)),"—")</f>
        <v/>
      </c>
      <c r="G26" s="138">
        <f>SUMIF('Fichas Flat'!$E$2:$E$880,E26,'Fichas Flat'!$K$2:$K$880)</f>
        <v/>
      </c>
      <c r="H26" s="139">
        <f>IFERROR(G26/F26,0)</f>
        <v/>
      </c>
      <c r="I26" s="138">
        <f>IFERROR(F26-G26,0)</f>
        <v/>
      </c>
      <c r="J26" s="139">
        <f>IFERROR(I26/F26,0)</f>
        <v/>
      </c>
      <c r="K26" s="138">
        <f>IFERROR(G26/0.3,0)</f>
        <v/>
      </c>
      <c r="L26" s="154" t="n"/>
      <c r="M26" s="140" t="n"/>
      <c r="N26" s="141" t="n"/>
      <c r="O26" s="140" t="n"/>
      <c r="P26" s="141" t="n"/>
      <c r="Q26" s="142" t="n">
        <v>46148</v>
      </c>
      <c r="R26" s="203">
        <f>IFERROR(IF(M25="","—",H26-N25),"—")</f>
        <v/>
      </c>
      <c r="S26" s="204" t="inlineStr">
        <is>
          <t>Não</t>
        </is>
      </c>
      <c r="T26" s="137">
        <f>IFERROR(IF(H25=0,"—",IF(H25&lt;=0.25,"✔  OK",IF(H25&lt;=0.35,"⚠  Atenção","✖  Crítico"))),"—")</f>
        <v/>
      </c>
      <c r="U26" s="136" t="n"/>
      <c r="V26" s="136" t="n"/>
    </row>
    <row r="27" ht="15" customHeight="1">
      <c r="A27" s="149" t="inlineStr">
        <is>
          <t>Saladas e Molhos</t>
        </is>
      </c>
      <c r="B27" s="127" t="inlineStr">
        <is>
          <t>Molhos</t>
        </is>
      </c>
      <c r="C27" s="146" t="inlineStr">
        <is>
          <t>Molho Manteiga</t>
        </is>
      </c>
      <c r="D27" s="148">
        <f>VLOOKUP(E27,_Protheus_Cadastro!A:I,2,FALSE)</f>
        <v/>
      </c>
      <c r="E27" s="128" t="inlineStr">
        <is>
          <t>PENDENTE</t>
        </is>
      </c>
      <c r="F27" s="205">
        <f>IFERROR(INDEX(Vendidos!$H:$H,MATCH(E27,Vendidos!$B:$B,0)),"—")</f>
        <v/>
      </c>
      <c r="G27" s="129">
        <f>SUMIF('Fichas Flat'!$E$2:$E$880,E27,'Fichas Flat'!$K$2:$K$880)</f>
        <v/>
      </c>
      <c r="H27" s="130">
        <f>IFERROR(G27/F27,0)</f>
        <v/>
      </c>
      <c r="I27" s="129">
        <f>IFERROR(F27-G27,0)</f>
        <v/>
      </c>
      <c r="J27" s="130">
        <f>IFERROR(I27/F27,0)</f>
        <v/>
      </c>
      <c r="K27" s="129">
        <f>IFERROR(G27/0.3,0)</f>
        <v/>
      </c>
      <c r="L27" s="153" t="n"/>
      <c r="M27" s="131" t="n"/>
      <c r="N27" s="132" t="n"/>
      <c r="O27" s="131" t="n"/>
      <c r="P27" s="132" t="n"/>
      <c r="Q27" s="133" t="n">
        <v>46148</v>
      </c>
      <c r="R27" s="206">
        <f>IFERROR(IF(M26="","—",H27-N26),"—")</f>
        <v/>
      </c>
      <c r="S27" s="207" t="inlineStr">
        <is>
          <t>Não</t>
        </is>
      </c>
      <c r="T27" s="128">
        <f>IFERROR(IF(H26=0,"—",IF(H26&lt;=0.25,"✔  OK",IF(H26&lt;=0.35,"⚠  Atenção","✖  Crítico"))),"—")</f>
        <v/>
      </c>
      <c r="U27" s="127" t="n"/>
      <c r="V27" s="127" t="n"/>
    </row>
    <row r="28" ht="15" customHeight="1">
      <c r="A28" s="150" t="inlineStr">
        <is>
          <t>Drinks</t>
        </is>
      </c>
      <c r="B28" s="136" t="inlineStr">
        <is>
          <t>Drinks</t>
        </is>
      </c>
      <c r="C28" s="145" t="inlineStr">
        <is>
          <t>Soda italiana - Maracujá</t>
        </is>
      </c>
      <c r="D28" s="147">
        <f>VLOOKUP(E28,_Protheus_Cadastro!A:I,2,FALSE)</f>
        <v/>
      </c>
      <c r="E28" s="137" t="inlineStr">
        <is>
          <t>010314</t>
        </is>
      </c>
      <c r="F28" s="202">
        <f>IFERROR(INDEX(Vendidos!$H:$H,MATCH(E28,Vendidos!$B:$B,0)),"—")</f>
        <v/>
      </c>
      <c r="G28" s="138">
        <f>SUMIF('Fichas Flat'!$E$2:$E$880,E28,'Fichas Flat'!$K$2:$K$880)</f>
        <v/>
      </c>
      <c r="H28" s="139">
        <f>IFERROR(G28/F28,0)</f>
        <v/>
      </c>
      <c r="I28" s="138">
        <f>IFERROR(F28-G28,0)</f>
        <v/>
      </c>
      <c r="J28" s="139">
        <f>IFERROR(I28/F28,0)</f>
        <v/>
      </c>
      <c r="K28" s="138">
        <f>IFERROR(G28/0.3,0)</f>
        <v/>
      </c>
      <c r="L28" s="154" t="n">
        <v>16.99</v>
      </c>
      <c r="M28" s="140" t="n">
        <v>1.0778</v>
      </c>
      <c r="N28" s="141" t="n">
        <v>0.06343731606827546</v>
      </c>
      <c r="O28" s="140" t="n">
        <v>15.9122</v>
      </c>
      <c r="P28" s="141" t="n">
        <v>0.9365626839317246</v>
      </c>
      <c r="Q28" s="142" t="n">
        <v>46148</v>
      </c>
      <c r="R28" s="203">
        <f>IFERROR(IF(M11="","—",H11-N11),"—")</f>
        <v/>
      </c>
      <c r="S28" s="204" t="inlineStr">
        <is>
          <t>Não</t>
        </is>
      </c>
      <c r="T28" s="137">
        <f>IFERROR(IF(H11=0,"—",IF(H11&lt;=0.25,"✔  OK",IF(H11&lt;=0.35,"⚠  Atenção","✖  Crítico"))),"—")</f>
        <v/>
      </c>
      <c r="U28" s="136" t="n"/>
      <c r="V28" s="136" t="n"/>
    </row>
    <row r="29" ht="15" customHeight="1">
      <c r="A29" s="149" t="inlineStr">
        <is>
          <t>Drinks</t>
        </is>
      </c>
      <c r="B29" s="127" t="inlineStr">
        <is>
          <t>Drinks</t>
        </is>
      </c>
      <c r="C29" s="146" t="inlineStr">
        <is>
          <t>Soda italiana - Limão Siciliano</t>
        </is>
      </c>
      <c r="D29" s="148">
        <f>VLOOKUP(E29,_Protheus_Cadastro!A:I,2,FALSE)</f>
        <v/>
      </c>
      <c r="E29" s="128" t="inlineStr">
        <is>
          <t>010315</t>
        </is>
      </c>
      <c r="F29" s="205">
        <f>IFERROR(INDEX(Vendidos!$H:$H,MATCH(E29,Vendidos!$B:$B,0)),"—")</f>
        <v/>
      </c>
      <c r="G29" s="129">
        <f>SUMIF('Fichas Flat'!$E$2:$E$880,E29,'Fichas Flat'!$K$2:$K$880)</f>
        <v/>
      </c>
      <c r="H29" s="130">
        <f>IFERROR(G29/F29,0)</f>
        <v/>
      </c>
      <c r="I29" s="129">
        <f>IFERROR(F29-G29,0)</f>
        <v/>
      </c>
      <c r="J29" s="130">
        <f>IFERROR(I29/F29,0)</f>
        <v/>
      </c>
      <c r="K29" s="129">
        <f>IFERROR(G29/0.3,0)</f>
        <v/>
      </c>
      <c r="L29" s="153" t="n">
        <v>16.99</v>
      </c>
      <c r="M29" s="131" t="n">
        <v>13.633278</v>
      </c>
      <c r="N29" s="132" t="n">
        <v>0.8024295467922309</v>
      </c>
      <c r="O29" s="131" t="n">
        <v>3.356721999999998</v>
      </c>
      <c r="P29" s="132" t="n">
        <v>0.1975704532077692</v>
      </c>
      <c r="Q29" s="133" t="n">
        <v>46148</v>
      </c>
      <c r="R29" s="206">
        <f>IFERROR(IF(M12="","—",H12-N12),"—")</f>
        <v/>
      </c>
      <c r="S29" s="207" t="inlineStr">
        <is>
          <t>Não</t>
        </is>
      </c>
      <c r="T29" s="128">
        <f>IFERROR(IF(H12=0,"—",IF(H12&lt;=0.25,"✔  OK",IF(H12&lt;=0.35,"⚠  Atenção","✖  Crítico"))),"—")</f>
        <v/>
      </c>
      <c r="U29" s="127" t="n"/>
      <c r="V29" s="127" t="n"/>
    </row>
    <row r="30" ht="15" customHeight="1">
      <c r="A30" s="150" t="inlineStr">
        <is>
          <t>Drinks</t>
        </is>
      </c>
      <c r="B30" s="136" t="inlineStr">
        <is>
          <t>Drinks</t>
        </is>
      </c>
      <c r="C30" s="145" t="inlineStr">
        <is>
          <t>Jack Fire Ginger</t>
        </is>
      </c>
      <c r="D30" s="147">
        <f>VLOOKUP(E30,_Protheus_Cadastro!A:I,2,FALSE)</f>
        <v/>
      </c>
      <c r="E30" s="137" t="inlineStr">
        <is>
          <t>001324</t>
        </is>
      </c>
      <c r="F30" s="202">
        <f>IFERROR(INDEX(Vendidos!$H:$H,MATCH(E30,Vendidos!$B:$B,0)),"—")</f>
        <v/>
      </c>
      <c r="G30" s="138">
        <f>SUMIF('Fichas Flat'!$E$2:$E$880,E30,'Fichas Flat'!$K$2:$K$880)</f>
        <v/>
      </c>
      <c r="H30" s="139">
        <f>IFERROR(G30/F30,0)</f>
        <v/>
      </c>
      <c r="I30" s="138">
        <f>IFERROR(F30-G30,0)</f>
        <v/>
      </c>
      <c r="J30" s="139">
        <f>IFERROR(I30/F30,0)</f>
        <v/>
      </c>
      <c r="K30" s="138">
        <f>IFERROR(G30/0.3,0)</f>
        <v/>
      </c>
      <c r="L30" s="154" t="n"/>
      <c r="M30" s="140" t="n"/>
      <c r="N30" s="141" t="n"/>
      <c r="O30" s="140" t="n"/>
      <c r="P30" s="141" t="n"/>
      <c r="Q30" s="142" t="n">
        <v>46148</v>
      </c>
      <c r="R30" s="203">
        <f>IFERROR(IF(M29="","—",H30-N29),"—")</f>
        <v/>
      </c>
      <c r="S30" s="204" t="inlineStr">
        <is>
          <t>Não</t>
        </is>
      </c>
      <c r="T30" s="137">
        <f>IFERROR(IF(H29=0,"—",IF(H29&lt;=0.25,"✔  OK",IF(H29&lt;=0.35,"⚠  Atenção","✖  Crítico"))),"—")</f>
        <v/>
      </c>
      <c r="U30" s="136" t="n"/>
      <c r="V30" s="136" t="n"/>
    </row>
    <row r="31" ht="15" customHeight="1">
      <c r="A31" s="149" t="inlineStr">
        <is>
          <t>Drinks</t>
        </is>
      </c>
      <c r="B31" s="127" t="inlineStr">
        <is>
          <t>Drinks</t>
        </is>
      </c>
      <c r="C31" s="146" t="inlineStr">
        <is>
          <t>Jack Honey e Lemonade</t>
        </is>
      </c>
      <c r="D31" s="148">
        <f>VLOOKUP(E31,_Protheus_Cadastro!A:I,2,FALSE)</f>
        <v/>
      </c>
      <c r="E31" s="128" t="inlineStr">
        <is>
          <t>PENDENTE</t>
        </is>
      </c>
      <c r="F31" s="205">
        <f>IFERROR(INDEX(Vendidos!$H:$H,MATCH(E31,Vendidos!$B:$B,0)),"—")</f>
        <v/>
      </c>
      <c r="G31" s="129">
        <f>SUMIF('Fichas Flat'!$E$2:$E$880,E31,'Fichas Flat'!$K$2:$K$880)</f>
        <v/>
      </c>
      <c r="H31" s="130">
        <f>IFERROR(G31/F31,0)</f>
        <v/>
      </c>
      <c r="I31" s="129">
        <f>IFERROR(F31-G31,0)</f>
        <v/>
      </c>
      <c r="J31" s="130">
        <f>IFERROR(I31/F31,0)</f>
        <v/>
      </c>
      <c r="K31" s="129">
        <f>IFERROR(G31/0.3,0)</f>
        <v/>
      </c>
      <c r="L31" s="153" t="n"/>
      <c r="M31" s="131" t="n"/>
      <c r="N31" s="132" t="n"/>
      <c r="O31" s="131" t="n"/>
      <c r="P31" s="132" t="n"/>
      <c r="Q31" s="133" t="n">
        <v>46148</v>
      </c>
      <c r="R31" s="206">
        <f>IFERROR(IF(M30="","—",H31-N30),"—")</f>
        <v/>
      </c>
      <c r="S31" s="207" t="inlineStr">
        <is>
          <t>Não</t>
        </is>
      </c>
      <c r="T31" s="128">
        <f>IFERROR(IF(H30=0,"—",IF(H30&lt;=0.25,"✔  OK",IF(H30&lt;=0.35,"⚠  Atenção","✖  Crítico"))),"—")</f>
        <v/>
      </c>
      <c r="U31" s="127" t="n"/>
      <c r="V31" s="127" t="n"/>
    </row>
    <row r="32" ht="15" customHeight="1">
      <c r="A32" s="150" t="inlineStr">
        <is>
          <t>Drinks</t>
        </is>
      </c>
      <c r="B32" s="136" t="inlineStr">
        <is>
          <t>Drinks</t>
        </is>
      </c>
      <c r="C32" s="145" t="inlineStr">
        <is>
          <t>Gin Tônica Maça Verde</t>
        </is>
      </c>
      <c r="D32" s="147">
        <f>VLOOKUP(E32,_Protheus_Cadastro!A:I,2,FALSE)</f>
        <v/>
      </c>
      <c r="E32" s="137" t="inlineStr">
        <is>
          <t>001966</t>
        </is>
      </c>
      <c r="F32" s="202">
        <f>IFERROR(INDEX(Vendidos!$H:$H,MATCH(E32,Vendidos!$B:$B,0)),"—")</f>
        <v/>
      </c>
      <c r="G32" s="138">
        <f>SUMIF('Fichas Flat'!$E$2:$E$880,E32,'Fichas Flat'!$K$2:$K$880)</f>
        <v/>
      </c>
      <c r="H32" s="139">
        <f>IFERROR(G32/F32,0)</f>
        <v/>
      </c>
      <c r="I32" s="138">
        <f>IFERROR(F32-G32,0)</f>
        <v/>
      </c>
      <c r="J32" s="139">
        <f>IFERROR(I32/F32,0)</f>
        <v/>
      </c>
      <c r="K32" s="138">
        <f>IFERROR(G32/0.3,0)</f>
        <v/>
      </c>
      <c r="L32" s="154" t="n"/>
      <c r="M32" s="140" t="n"/>
      <c r="N32" s="141" t="n"/>
      <c r="O32" s="140" t="n"/>
      <c r="P32" s="141" t="n"/>
      <c r="Q32" s="142" t="n">
        <v>46148</v>
      </c>
      <c r="R32" s="203">
        <f>IFERROR(IF(M13="","—",H13-N13),"—")</f>
        <v/>
      </c>
      <c r="S32" s="204" t="inlineStr">
        <is>
          <t>Não</t>
        </is>
      </c>
      <c r="T32" s="137">
        <f>IFERROR(IF(H13=0,"—",IF(H13&lt;=0.25,"✔  OK",IF(H13&lt;=0.35,"⚠  Atenção","✖  Crítico"))),"—")</f>
        <v/>
      </c>
      <c r="U32" s="136" t="n"/>
      <c r="V32" s="136" t="n"/>
    </row>
    <row r="33" ht="15" customHeight="1">
      <c r="A33" s="149" t="inlineStr">
        <is>
          <t>Drinks</t>
        </is>
      </c>
      <c r="B33" s="127" t="inlineStr">
        <is>
          <t>Sucos</t>
        </is>
      </c>
      <c r="C33" s="146" t="inlineStr">
        <is>
          <t>Jarra Suco de Maracujá</t>
        </is>
      </c>
      <c r="D33" s="148">
        <f>VLOOKUP(E33,_Protheus_Cadastro!A:I,2,FALSE)</f>
        <v/>
      </c>
      <c r="E33" s="128" t="inlineStr">
        <is>
          <t>002029</t>
        </is>
      </c>
      <c r="F33" s="205">
        <f>IFERROR(INDEX(Vendidos!$H:$H,MATCH(E33,Vendidos!$B:$B,0)),"—")</f>
        <v/>
      </c>
      <c r="G33" s="129">
        <f>SUMIF('Fichas Flat'!$E$2:$E$880,E33,'Fichas Flat'!$K$2:$K$880)</f>
        <v/>
      </c>
      <c r="H33" s="130">
        <f>IFERROR(G33/F33,0)</f>
        <v/>
      </c>
      <c r="I33" s="129">
        <f>IFERROR(F33-G33,0)</f>
        <v/>
      </c>
      <c r="J33" s="130">
        <f>IFERROR(I33/F33,0)</f>
        <v/>
      </c>
      <c r="K33" s="129">
        <f>IFERROR(G33/0.3,0)</f>
        <v/>
      </c>
      <c r="L33" s="153" t="n"/>
      <c r="M33" s="131" t="n"/>
      <c r="N33" s="132" t="n"/>
      <c r="O33" s="131" t="n"/>
      <c r="P33" s="132" t="n"/>
      <c r="Q33" s="133" t="n">
        <v>46148</v>
      </c>
      <c r="R33" s="206">
        <f>IFERROR(IF(M14="","—",H14-N14),"—")</f>
        <v/>
      </c>
      <c r="S33" s="207" t="inlineStr">
        <is>
          <t>Não</t>
        </is>
      </c>
      <c r="T33" s="128">
        <f>IFERROR(IF(H14=0,"—",IF(H14&lt;=0.25,"✔  OK",IF(H14&lt;=0.35,"⚠  Atenção","✖  Crítico"))),"—")</f>
        <v/>
      </c>
      <c r="U33" s="127" t="n"/>
      <c r="V33" s="127" t="n"/>
    </row>
    <row r="34" ht="15" customHeight="1">
      <c r="A34" s="150" t="inlineStr">
        <is>
          <t>Drinks</t>
        </is>
      </c>
      <c r="B34" s="136" t="inlineStr">
        <is>
          <t>Sucos</t>
        </is>
      </c>
      <c r="C34" s="145" t="inlineStr">
        <is>
          <t>Jarra Suco de Laranja</t>
        </is>
      </c>
      <c r="D34" s="147">
        <f>VLOOKUP(E34,_Protheus_Cadastro!A:I,2,FALSE)</f>
        <v/>
      </c>
      <c r="E34" s="137" t="inlineStr">
        <is>
          <t>002026</t>
        </is>
      </c>
      <c r="F34" s="202">
        <f>IFERROR(INDEX(Vendidos!$H:$H,MATCH(E34,Vendidos!$B:$B,0)),"—")</f>
        <v/>
      </c>
      <c r="G34" s="138">
        <f>SUMIF('Fichas Flat'!$E$2:$E$880,E34,'Fichas Flat'!$K$2:$K$880)</f>
        <v/>
      </c>
      <c r="H34" s="139">
        <f>IFERROR(G34/F34,0)</f>
        <v/>
      </c>
      <c r="I34" s="138">
        <f>IFERROR(F34-G34,0)</f>
        <v/>
      </c>
      <c r="J34" s="139">
        <f>IFERROR(I34/F34,0)</f>
        <v/>
      </c>
      <c r="K34" s="138">
        <f>IFERROR(G34/0.3,0)</f>
        <v/>
      </c>
      <c r="L34" s="154" t="n"/>
      <c r="M34" s="140" t="n"/>
      <c r="N34" s="141" t="n"/>
      <c r="O34" s="140" t="n"/>
      <c r="P34" s="141" t="n"/>
      <c r="Q34" s="142" t="n">
        <v>46148</v>
      </c>
      <c r="R34" s="203">
        <f>IFERROR(IF(M15="","—",H15-N15),"—")</f>
        <v/>
      </c>
      <c r="S34" s="204" t="inlineStr">
        <is>
          <t>Não</t>
        </is>
      </c>
      <c r="T34" s="137">
        <f>IFERROR(IF(H15=0,"—",IF(H15&lt;=0.25,"✔  OK",IF(H15&lt;=0.35,"⚠  Atenção","✖  Crítico"))),"—")</f>
        <v/>
      </c>
      <c r="U34" s="136" t="n"/>
      <c r="V34" s="136" t="n"/>
    </row>
    <row r="35" ht="15" customHeight="1">
      <c r="A35" s="149" t="inlineStr">
        <is>
          <t>Drinks</t>
        </is>
      </c>
      <c r="B35" s="127" t="inlineStr">
        <is>
          <t>Sucos</t>
        </is>
      </c>
      <c r="C35" s="146" t="inlineStr">
        <is>
          <t>Jarra Suco de Limão</t>
        </is>
      </c>
      <c r="D35" s="148">
        <f>VLOOKUP(E35,_Protheus_Cadastro!A:I,2,FALSE)</f>
        <v/>
      </c>
      <c r="E35" s="128" t="inlineStr">
        <is>
          <t>002028</t>
        </is>
      </c>
      <c r="F35" s="205">
        <f>IFERROR(INDEX(Vendidos!$H:$H,MATCH(E35,Vendidos!$B:$B,0)),"—")</f>
        <v/>
      </c>
      <c r="G35" s="129">
        <f>SUMIF('Fichas Flat'!$E$2:$E$880,E35,'Fichas Flat'!$K$2:$K$880)</f>
        <v/>
      </c>
      <c r="H35" s="130">
        <f>IFERROR(G35/F35,0)</f>
        <v/>
      </c>
      <c r="I35" s="129">
        <f>IFERROR(F35-G35,0)</f>
        <v/>
      </c>
      <c r="J35" s="130">
        <f>IFERROR(I35/F35,0)</f>
        <v/>
      </c>
      <c r="K35" s="129">
        <f>IFERROR(G35/0.3,0)</f>
        <v/>
      </c>
      <c r="L35" s="153" t="n"/>
      <c r="M35" s="131" t="n"/>
      <c r="N35" s="132" t="n"/>
      <c r="O35" s="131" t="n"/>
      <c r="P35" s="132" t="n"/>
      <c r="Q35" s="133" t="n">
        <v>46148</v>
      </c>
      <c r="R35" s="206">
        <f>IFERROR(IF(M16="","—",H16-N16),"—")</f>
        <v/>
      </c>
      <c r="S35" s="207" t="inlineStr">
        <is>
          <t>Não</t>
        </is>
      </c>
      <c r="T35" s="128">
        <f>IFERROR(IF(H16=0,"—",IF(H16&lt;=0.25,"✔  OK",IF(H16&lt;=0.35,"⚠  Atenção","✖  Crítico"))),"—")</f>
        <v/>
      </c>
      <c r="U35" s="127" t="n"/>
      <c r="V35" s="127" t="n"/>
    </row>
    <row r="36" ht="15" customHeight="1">
      <c r="A36" s="150" t="inlineStr">
        <is>
          <t>Drinks</t>
        </is>
      </c>
      <c r="B36" s="136" t="inlineStr">
        <is>
          <t>Sucos</t>
        </is>
      </c>
      <c r="C36" s="145" t="inlineStr">
        <is>
          <t>Jarra Suco de Morango</t>
        </is>
      </c>
      <c r="D36" s="147">
        <f>VLOOKUP(E36,_Protheus_Cadastro!A:I,2,FALSE)</f>
        <v/>
      </c>
      <c r="E36" s="137" t="inlineStr">
        <is>
          <t>002031</t>
        </is>
      </c>
      <c r="F36" s="202">
        <f>IFERROR(INDEX(Vendidos!$H:$H,MATCH(E36,Vendidos!$B:$B,0)),"—")</f>
        <v/>
      </c>
      <c r="G36" s="138">
        <f>SUMIF('Fichas Flat'!$E$2:$E$880,E36,'Fichas Flat'!$K$2:$K$880)</f>
        <v/>
      </c>
      <c r="H36" s="139">
        <f>IFERROR(G36/F36,0)</f>
        <v/>
      </c>
      <c r="I36" s="138">
        <f>IFERROR(F36-G36,0)</f>
        <v/>
      </c>
      <c r="J36" s="139">
        <f>IFERROR(I36/F36,0)</f>
        <v/>
      </c>
      <c r="K36" s="138">
        <f>IFERROR(G36/0.3,0)</f>
        <v/>
      </c>
      <c r="L36" s="154" t="n"/>
      <c r="M36" s="140" t="n"/>
      <c r="N36" s="141" t="n"/>
      <c r="O36" s="140" t="n"/>
      <c r="P36" s="141" t="n"/>
      <c r="Q36" s="142" t="n">
        <v>46148</v>
      </c>
      <c r="R36" s="203">
        <f>IFERROR(IF(M17="","—",H17-N17),"—")</f>
        <v/>
      </c>
      <c r="S36" s="204" t="inlineStr">
        <is>
          <t>Não</t>
        </is>
      </c>
      <c r="T36" s="137">
        <f>IFERROR(IF(H17=0,"—",IF(H17&lt;=0.25,"✔  OK",IF(H17&lt;=0.35,"⚠  Atenção","✖  Crítico"))),"—")</f>
        <v/>
      </c>
      <c r="U36" s="136" t="n"/>
      <c r="V36" s="136" t="n"/>
    </row>
    <row r="37" ht="15" customHeight="1">
      <c r="A37" s="149" t="inlineStr">
        <is>
          <t>Drinks</t>
        </is>
      </c>
      <c r="B37" s="127" t="inlineStr">
        <is>
          <t>Sucos</t>
        </is>
      </c>
      <c r="C37" s="146" t="inlineStr">
        <is>
          <t>Jarra Suco de Abacaxi com Hortelã</t>
        </is>
      </c>
      <c r="D37" s="148">
        <f>VLOOKUP(E37,_Protheus_Cadastro!A:I,2,FALSE)</f>
        <v/>
      </c>
      <c r="E37" s="128" t="inlineStr">
        <is>
          <t>002032</t>
        </is>
      </c>
      <c r="F37" s="205">
        <f>IFERROR(INDEX(Vendidos!$H:$H,MATCH(E37,Vendidos!$B:$B,0)),"—")</f>
        <v/>
      </c>
      <c r="G37" s="129">
        <f>SUMIF('Fichas Flat'!$E$2:$E$880,E37,'Fichas Flat'!$K$2:$K$880)</f>
        <v/>
      </c>
      <c r="H37" s="130">
        <f>IFERROR(G37/F37,0)</f>
        <v/>
      </c>
      <c r="I37" s="129">
        <f>IFERROR(F37-G37,0)</f>
        <v/>
      </c>
      <c r="J37" s="130">
        <f>IFERROR(I37/F37,0)</f>
        <v/>
      </c>
      <c r="K37" s="129">
        <f>IFERROR(G37/0.3,0)</f>
        <v/>
      </c>
      <c r="L37" s="153" t="n"/>
      <c r="M37" s="131" t="n"/>
      <c r="N37" s="132" t="n"/>
      <c r="O37" s="131" t="n"/>
      <c r="P37" s="132" t="n"/>
      <c r="Q37" s="133" t="n">
        <v>46148</v>
      </c>
      <c r="R37" s="206">
        <f>IFERROR(IF(M18="","—",H18-N18),"—")</f>
        <v/>
      </c>
      <c r="S37" s="207" t="inlineStr">
        <is>
          <t>Não</t>
        </is>
      </c>
      <c r="T37" s="128">
        <f>IFERROR(IF(H18=0,"—",IF(H18&lt;=0.25,"✔  OK",IF(H18&lt;=0.35,"⚠  Atenção","✖  Crítico"))),"—")</f>
        <v/>
      </c>
      <c r="U37" s="127" t="n"/>
      <c r="V37" s="127" t="n"/>
    </row>
    <row r="38" ht="15" customHeight="1">
      <c r="A38" s="150" t="inlineStr">
        <is>
          <t>Drinks</t>
        </is>
      </c>
      <c r="B38" s="136" t="inlineStr">
        <is>
          <t>Sucos</t>
        </is>
      </c>
      <c r="C38" s="145" t="inlineStr">
        <is>
          <t>Jarra Suco de Abacaxi</t>
        </is>
      </c>
      <c r="D38" s="147">
        <f>VLOOKUP(E38,_Protheus_Cadastro!A:I,2,FALSE)</f>
        <v/>
      </c>
      <c r="E38" s="137" t="inlineStr">
        <is>
          <t>002056</t>
        </is>
      </c>
      <c r="F38" s="202">
        <f>IFERROR(INDEX(Vendidos!$H:$H,MATCH(E38,Vendidos!$B:$B,0)),"—")</f>
        <v/>
      </c>
      <c r="G38" s="138">
        <f>SUMIF('Fichas Flat'!$E$2:$E$880,E38,'Fichas Flat'!$K$2:$K$880)</f>
        <v/>
      </c>
      <c r="H38" s="139">
        <f>IFERROR(G38/F38,0)</f>
        <v/>
      </c>
      <c r="I38" s="138">
        <f>IFERROR(F38-G38,0)</f>
        <v/>
      </c>
      <c r="J38" s="139">
        <f>IFERROR(I38/F38,0)</f>
        <v/>
      </c>
      <c r="K38" s="138">
        <f>IFERROR(G38/0.3,0)</f>
        <v/>
      </c>
      <c r="L38" s="154" t="n"/>
      <c r="M38" s="140" t="n"/>
      <c r="N38" s="141" t="n"/>
      <c r="O38" s="140" t="n"/>
      <c r="P38" s="141" t="n"/>
      <c r="Q38" s="142" t="n">
        <v>46148</v>
      </c>
      <c r="R38" s="203">
        <f>IFERROR(IF(M19="","—",H19-N19),"—")</f>
        <v/>
      </c>
      <c r="S38" s="204" t="inlineStr">
        <is>
          <t>Não</t>
        </is>
      </c>
      <c r="T38" s="137">
        <f>IFERROR(IF(H19=0,"—",IF(H19&lt;=0.25,"✔  OK",IF(H19&lt;=0.35,"⚠  Atenção","✖  Crítico"))),"—")</f>
        <v/>
      </c>
      <c r="U38" s="136" t="n"/>
      <c r="V38" s="136" t="n"/>
    </row>
    <row r="39" ht="15" customHeight="1">
      <c r="A39" s="149" t="inlineStr">
        <is>
          <t>Caipirinhas</t>
        </is>
      </c>
      <c r="B39" s="127" t="inlineStr">
        <is>
          <t>Caipirinha</t>
        </is>
      </c>
      <c r="C39" s="146" t="inlineStr">
        <is>
          <t>Cachaça do Quintal - Ouro</t>
        </is>
      </c>
      <c r="D39" s="148">
        <f>VLOOKUP(E39,_Protheus_Cadastro!A:I,2,FALSE)</f>
        <v/>
      </c>
      <c r="E39" s="128" t="inlineStr">
        <is>
          <t>000959</t>
        </is>
      </c>
      <c r="F39" s="205">
        <f>IFERROR(INDEX(Vendidos!$H:$H,MATCH(E39,Vendidos!$B:$B,0)),"—")</f>
        <v/>
      </c>
      <c r="G39" s="129">
        <f>SUMIF('Fichas Flat'!$E$2:$E$880,E39,'Fichas Flat'!$K$2:$K$880)</f>
        <v/>
      </c>
      <c r="H39" s="130">
        <f>IFERROR(G39/F39,0)</f>
        <v/>
      </c>
      <c r="I39" s="129">
        <f>IFERROR(F39-G39,0)</f>
        <v/>
      </c>
      <c r="J39" s="130">
        <f>IFERROR(I39/F39,0)</f>
        <v/>
      </c>
      <c r="K39" s="129">
        <f>IFERROR(G39/0.3,0)</f>
        <v/>
      </c>
      <c r="L39" s="153" t="n"/>
      <c r="M39" s="131" t="n"/>
      <c r="N39" s="132" t="n"/>
      <c r="O39" s="131" t="n"/>
      <c r="P39" s="132" t="n"/>
      <c r="Q39" s="133" t="n">
        <v>46148</v>
      </c>
      <c r="R39" s="206">
        <f>IFERROR(IF(M36="","—",H36-N36),"—")</f>
        <v/>
      </c>
      <c r="S39" s="207" t="inlineStr">
        <is>
          <t>Sim</t>
        </is>
      </c>
      <c r="T39" s="128">
        <f>IFERROR(IF(H36=0,"—",IF(H36&lt;=0.25,"✔  OK",IF(H36&lt;=0.35,"⚠  Atenção","✖  Crítico"))),"—")</f>
        <v/>
      </c>
      <c r="U39" s="127" t="n"/>
      <c r="V39" s="127" t="n"/>
    </row>
    <row r="40" ht="15" customHeight="1">
      <c r="A40" s="150" t="inlineStr">
        <is>
          <t>Caipirinhas</t>
        </is>
      </c>
      <c r="B40" s="136" t="inlineStr">
        <is>
          <t>Caipirinha</t>
        </is>
      </c>
      <c r="C40" s="145" t="inlineStr">
        <is>
          <t>Cachaça do Quintal - Prata</t>
        </is>
      </c>
      <c r="D40" s="147">
        <f>VLOOKUP(E40,_Protheus_Cadastro!A:I,2,FALSE)</f>
        <v/>
      </c>
      <c r="E40" s="137" t="inlineStr">
        <is>
          <t>000958</t>
        </is>
      </c>
      <c r="F40" s="202">
        <f>IFERROR(INDEX(Vendidos!$H:$H,MATCH(E40,Vendidos!$B:$B,0)),"—")</f>
        <v/>
      </c>
      <c r="G40" s="138">
        <f>SUMIF('Fichas Flat'!$E$2:$E$880,E40,'Fichas Flat'!$K$2:$K$880)</f>
        <v/>
      </c>
      <c r="H40" s="139">
        <f>IFERROR(G40/F40,0)</f>
        <v/>
      </c>
      <c r="I40" s="138">
        <f>IFERROR(F40-G40,0)</f>
        <v/>
      </c>
      <c r="J40" s="139">
        <f>IFERROR(I40/F40,0)</f>
        <v/>
      </c>
      <c r="K40" s="138">
        <f>IFERROR(G40/0.3,0)</f>
        <v/>
      </c>
      <c r="L40" s="154" t="n"/>
      <c r="M40" s="140" t="n"/>
      <c r="N40" s="141" t="n"/>
      <c r="O40" s="140" t="n"/>
      <c r="P40" s="141" t="n"/>
      <c r="Q40" s="142" t="n">
        <v>46148</v>
      </c>
      <c r="R40" s="203">
        <f>IFERROR(IF(M37="","—",H37-N37),"—")</f>
        <v/>
      </c>
      <c r="S40" s="204" t="inlineStr">
        <is>
          <t>Sim</t>
        </is>
      </c>
      <c r="T40" s="137">
        <f>IFERROR(IF(H37=0,"—",IF(H37&lt;=0.25,"✔  OK",IF(H37&lt;=0.35,"⚠  Atenção","✖  Crítico"))),"—")</f>
        <v/>
      </c>
      <c r="U40" s="136" t="n"/>
      <c r="V40" s="136" t="n"/>
    </row>
    <row r="41" ht="15" customHeight="1">
      <c r="A41" s="149" t="inlineStr">
        <is>
          <t>Caipirinhas</t>
        </is>
      </c>
      <c r="B41" s="127" t="inlineStr">
        <is>
          <t>Caipirinha</t>
        </is>
      </c>
      <c r="C41" s="146" t="inlineStr">
        <is>
          <t>Especial - Absolut</t>
        </is>
      </c>
      <c r="D41" s="148">
        <f>VLOOKUP(E41,_Protheus_Cadastro!A:I,2,FALSE)</f>
        <v/>
      </c>
      <c r="E41" s="128" t="inlineStr">
        <is>
          <t>000966</t>
        </is>
      </c>
      <c r="F41" s="205">
        <f>IFERROR(INDEX(Vendidos!$H:$H,MATCH(E41,Vendidos!$B:$B,0)),"—")</f>
        <v/>
      </c>
      <c r="G41" s="129">
        <f>SUMIF('Fichas Flat'!$E$2:$E$880,E41,'Fichas Flat'!$K$2:$K$880)</f>
        <v/>
      </c>
      <c r="H41" s="130">
        <f>IFERROR(G41/F41,0)</f>
        <v/>
      </c>
      <c r="I41" s="129">
        <f>IFERROR(F41-G41,0)</f>
        <v/>
      </c>
      <c r="J41" s="130">
        <f>IFERROR(I41/F41,0)</f>
        <v/>
      </c>
      <c r="K41" s="129">
        <f>IFERROR(G41/0.3,0)</f>
        <v/>
      </c>
      <c r="L41" s="153" t="n"/>
      <c r="M41" s="131" t="n"/>
      <c r="N41" s="132" t="n"/>
      <c r="O41" s="131" t="n"/>
      <c r="P41" s="132" t="n"/>
      <c r="Q41" s="133" t="n">
        <v>46148</v>
      </c>
      <c r="R41" s="206">
        <f>IFERROR(IF(M38="","—",H38-N38),"—")</f>
        <v/>
      </c>
      <c r="S41" s="207" t="inlineStr">
        <is>
          <t>Sim</t>
        </is>
      </c>
      <c r="T41" s="128">
        <f>IFERROR(IF(H38=0,"—",IF(H38&lt;=0.25,"✔  OK",IF(H38&lt;=0.35,"⚠  Atenção","✖  Crítico"))),"—")</f>
        <v/>
      </c>
      <c r="U41" s="127" t="n"/>
      <c r="V41" s="127" t="n"/>
    </row>
    <row r="42" ht="15" customHeight="1">
      <c r="A42" s="150" t="inlineStr">
        <is>
          <t>Caipirinhas</t>
        </is>
      </c>
      <c r="B42" s="136" t="inlineStr">
        <is>
          <t>Caipirinha</t>
        </is>
      </c>
      <c r="C42" s="145" t="inlineStr">
        <is>
          <t>Especial - Cachaça do Quintal - Mel &amp; Limão</t>
        </is>
      </c>
      <c r="D42" s="147">
        <f>VLOOKUP(E42,_Protheus_Cadastro!A:I,2,FALSE)</f>
        <v/>
      </c>
      <c r="E42" s="137" t="inlineStr">
        <is>
          <t>000960</t>
        </is>
      </c>
      <c r="F42" s="202">
        <f>IFERROR(INDEX(Vendidos!$H:$H,MATCH(E42,Vendidos!$B:$B,0)),"—")</f>
        <v/>
      </c>
      <c r="G42" s="138">
        <f>SUMIF('Fichas Flat'!$E$2:$E$880,E42,'Fichas Flat'!$K$2:$K$880)</f>
        <v/>
      </c>
      <c r="H42" s="139">
        <f>IFERROR(G42/F42,0)</f>
        <v/>
      </c>
      <c r="I42" s="138">
        <f>IFERROR(F42-G42,0)</f>
        <v/>
      </c>
      <c r="J42" s="139">
        <f>IFERROR(I42/F42,0)</f>
        <v/>
      </c>
      <c r="K42" s="138">
        <f>IFERROR(G42/0.3,0)</f>
        <v/>
      </c>
      <c r="L42" s="154" t="n"/>
      <c r="M42" s="140" t="n"/>
      <c r="N42" s="141" t="n"/>
      <c r="O42" s="140" t="n"/>
      <c r="P42" s="141" t="n"/>
      <c r="Q42" s="142" t="n">
        <v>46148</v>
      </c>
      <c r="R42" s="203">
        <f>IFERROR(IF(M39="","—",H39-N39),"—")</f>
        <v/>
      </c>
      <c r="S42" s="204" t="inlineStr">
        <is>
          <t>Sim</t>
        </is>
      </c>
      <c r="T42" s="137">
        <f>IFERROR(IF(H39=0,"—",IF(H39&lt;=0.25,"✔  OK",IF(H39&lt;=0.35,"⚠  Atenção","✖  Crítico"))),"—")</f>
        <v/>
      </c>
      <c r="U42" s="136" t="n"/>
      <c r="V42" s="136" t="n"/>
    </row>
    <row r="43" ht="15" customHeight="1">
      <c r="A43" s="149" t="inlineStr">
        <is>
          <t>Caipirinhas</t>
        </is>
      </c>
      <c r="B43" s="127" t="inlineStr">
        <is>
          <t>Caipirinha</t>
        </is>
      </c>
      <c r="C43" s="146" t="inlineStr">
        <is>
          <t>Especial - São Francisco</t>
        </is>
      </c>
      <c r="D43" s="148">
        <f>VLOOKUP(E43,_Protheus_Cadastro!A:I,2,FALSE)</f>
        <v/>
      </c>
      <c r="E43" s="128" t="inlineStr">
        <is>
          <t>001032</t>
        </is>
      </c>
      <c r="F43" s="205">
        <f>IFERROR(INDEX(Vendidos!$H:$H,MATCH(E43,Vendidos!$B:$B,0)),"—")</f>
        <v/>
      </c>
      <c r="G43" s="129">
        <f>SUMIF('Fichas Flat'!$E$2:$E$880,E43,'Fichas Flat'!$K$2:$K$880)</f>
        <v/>
      </c>
      <c r="H43" s="130">
        <f>IFERROR(G43/F43,0)</f>
        <v/>
      </c>
      <c r="I43" s="129">
        <f>IFERROR(F43-G43,0)</f>
        <v/>
      </c>
      <c r="J43" s="130">
        <f>IFERROR(I43/F43,0)</f>
        <v/>
      </c>
      <c r="K43" s="129">
        <f>IFERROR(G43/0.3,0)</f>
        <v/>
      </c>
      <c r="L43" s="153" t="n"/>
      <c r="M43" s="131" t="n"/>
      <c r="N43" s="132" t="n"/>
      <c r="O43" s="131" t="n"/>
      <c r="P43" s="132" t="n"/>
      <c r="Q43" s="133" t="n">
        <v>46148</v>
      </c>
      <c r="R43" s="206">
        <f>IFERROR(IF(M40="","—",H40-N40),"—")</f>
        <v/>
      </c>
      <c r="S43" s="207" t="inlineStr">
        <is>
          <t>Sim</t>
        </is>
      </c>
      <c r="T43" s="128">
        <f>IFERROR(IF(H40=0,"—",IF(H40&lt;=0.25,"✔  OK",IF(H40&lt;=0.35,"⚠  Atenção","✖  Crítico"))),"—")</f>
        <v/>
      </c>
      <c r="U43" s="127" t="n"/>
      <c r="V43" s="127" t="n"/>
    </row>
    <row r="44" ht="15" customHeight="1">
      <c r="A44" s="150" t="inlineStr">
        <is>
          <t>Caipirinhas</t>
        </is>
      </c>
      <c r="B44" s="136" t="inlineStr">
        <is>
          <t>Caipirinha</t>
        </is>
      </c>
      <c r="C44" s="145" t="inlineStr">
        <is>
          <t>Tradicional - Cachaça</t>
        </is>
      </c>
      <c r="D44" s="147">
        <f>VLOOKUP(E44,_Protheus_Cadastro!A:I,2,FALSE)</f>
        <v/>
      </c>
      <c r="E44" s="137" t="inlineStr">
        <is>
          <t>001023</t>
        </is>
      </c>
      <c r="F44" s="202">
        <f>IFERROR(INDEX(Vendidos!$H:$H,MATCH(E44,Vendidos!$B:$B,0)),"—")</f>
        <v/>
      </c>
      <c r="G44" s="138">
        <f>SUMIF('Fichas Flat'!$E$2:$E$880,E44,'Fichas Flat'!$K$2:$K$880)</f>
        <v/>
      </c>
      <c r="H44" s="139">
        <f>IFERROR(G44/F44,0)</f>
        <v/>
      </c>
      <c r="I44" s="138">
        <f>IFERROR(F44-G44,0)</f>
        <v/>
      </c>
      <c r="J44" s="139">
        <f>IFERROR(I44/F44,0)</f>
        <v/>
      </c>
      <c r="K44" s="138">
        <f>IFERROR(G44/0.3,0)</f>
        <v/>
      </c>
      <c r="L44" s="154" t="n"/>
      <c r="M44" s="140" t="n"/>
      <c r="N44" s="141" t="n"/>
      <c r="O44" s="140" t="n"/>
      <c r="P44" s="141" t="n"/>
      <c r="Q44" s="142" t="n">
        <v>46148</v>
      </c>
      <c r="R44" s="203">
        <f>IFERROR(IF(M41="","—",H41-N41),"—")</f>
        <v/>
      </c>
      <c r="S44" s="204" t="inlineStr">
        <is>
          <t>Sim</t>
        </is>
      </c>
      <c r="T44" s="137">
        <f>IFERROR(IF(H41=0,"—",IF(H41&lt;=0.25,"✔  OK",IF(H41&lt;=0.35,"⚠  Atenção","✖  Crítico"))),"—")</f>
        <v/>
      </c>
      <c r="U44" s="136" t="n"/>
      <c r="V44" s="136" t="n"/>
    </row>
    <row r="45" ht="15" customHeight="1">
      <c r="A45" s="149" t="inlineStr">
        <is>
          <t>Caipirinhas</t>
        </is>
      </c>
      <c r="B45" s="127" t="inlineStr">
        <is>
          <t>Caipirinha</t>
        </is>
      </c>
      <c r="C45" s="146" t="inlineStr">
        <is>
          <t>Tradicional - Sake</t>
        </is>
      </c>
      <c r="D45" s="148">
        <f>VLOOKUP(E45,_Protheus_Cadastro!A:I,2,FALSE)</f>
        <v/>
      </c>
      <c r="E45" s="128" t="inlineStr">
        <is>
          <t>000922</t>
        </is>
      </c>
      <c r="F45" s="205">
        <f>IFERROR(INDEX(Vendidos!$H:$H,MATCH(E45,Vendidos!$B:$B,0)),"—")</f>
        <v/>
      </c>
      <c r="G45" s="129">
        <f>SUMIF('Fichas Flat'!$E$2:$E$880,E45,'Fichas Flat'!$K$2:$K$880)</f>
        <v/>
      </c>
      <c r="H45" s="130">
        <f>IFERROR(G45/F45,0)</f>
        <v/>
      </c>
      <c r="I45" s="129">
        <f>IFERROR(F45-G45,0)</f>
        <v/>
      </c>
      <c r="J45" s="130">
        <f>IFERROR(I45/F45,0)</f>
        <v/>
      </c>
      <c r="K45" s="129">
        <f>IFERROR(G45/0.3,0)</f>
        <v/>
      </c>
      <c r="L45" s="153" t="n"/>
      <c r="M45" s="131" t="n"/>
      <c r="N45" s="132" t="n"/>
      <c r="O45" s="131" t="n"/>
      <c r="P45" s="132" t="n"/>
      <c r="Q45" s="133" t="n">
        <v>46148</v>
      </c>
      <c r="R45" s="206">
        <f>IFERROR(IF(M42="","—",H42-N42),"—")</f>
        <v/>
      </c>
      <c r="S45" s="207" t="inlineStr">
        <is>
          <t>Sim</t>
        </is>
      </c>
      <c r="T45" s="128">
        <f>IFERROR(IF(H42=0,"—",IF(H42&lt;=0.25,"✔  OK",IF(H42&lt;=0.35,"⚠  Atenção","✖  Crítico"))),"—")</f>
        <v/>
      </c>
      <c r="U45" s="127" t="n"/>
      <c r="V45" s="127" t="n"/>
    </row>
    <row r="46" ht="15" customHeight="1">
      <c r="A46" s="150" t="inlineStr">
        <is>
          <t>Caipirinhas</t>
        </is>
      </c>
      <c r="B46" s="136" t="inlineStr">
        <is>
          <t>Caipirinha</t>
        </is>
      </c>
      <c r="C46" s="145" t="inlineStr">
        <is>
          <t>Tradicional - Vodka</t>
        </is>
      </c>
      <c r="D46" s="147">
        <f>VLOOKUP(E46,_Protheus_Cadastro!A:I,2,FALSE)</f>
        <v/>
      </c>
      <c r="E46" s="137" t="inlineStr">
        <is>
          <t>001027</t>
        </is>
      </c>
      <c r="F46" s="202">
        <f>IFERROR(INDEX(Vendidos!$H:$H,MATCH(E46,Vendidos!$B:$B,0)),"—")</f>
        <v/>
      </c>
      <c r="G46" s="138">
        <f>SUMIF('Fichas Flat'!$E$2:$E$880,E46,'Fichas Flat'!$K$2:$K$880)</f>
        <v/>
      </c>
      <c r="H46" s="139">
        <f>IFERROR(G46/F46,0)</f>
        <v/>
      </c>
      <c r="I46" s="138">
        <f>IFERROR(F46-G46,0)</f>
        <v/>
      </c>
      <c r="J46" s="139">
        <f>IFERROR(I46/F46,0)</f>
        <v/>
      </c>
      <c r="K46" s="138">
        <f>IFERROR(G46/0.3,0)</f>
        <v/>
      </c>
      <c r="L46" s="154" t="n"/>
      <c r="M46" s="140" t="n"/>
      <c r="N46" s="141" t="n"/>
      <c r="O46" s="140" t="n"/>
      <c r="P46" s="141" t="n"/>
      <c r="Q46" s="142" t="n">
        <v>46148</v>
      </c>
      <c r="R46" s="203">
        <f>IFERROR(IF(M43="","—",H43-N43),"—")</f>
        <v/>
      </c>
      <c r="S46" s="204" t="inlineStr">
        <is>
          <t>Sim</t>
        </is>
      </c>
      <c r="T46" s="137">
        <f>IFERROR(IF(H43=0,"—",IF(H43&lt;=0.25,"✔  OK",IF(H43&lt;=0.35,"⚠  Atenção","✖  Crítico"))),"—")</f>
        <v/>
      </c>
      <c r="U46" s="136" t="n"/>
      <c r="V46" s="136" t="n"/>
    </row>
    <row r="47" ht="15" customHeight="1">
      <c r="A47" s="149" t="inlineStr">
        <is>
          <t>Espetos</t>
        </is>
      </c>
      <c r="B47" s="127" t="inlineStr">
        <is>
          <t>In Natura</t>
        </is>
      </c>
      <c r="C47" s="146" t="inlineStr">
        <is>
          <t>Bovino</t>
        </is>
      </c>
      <c r="D47" s="148">
        <f>VLOOKUP(E47,_Protheus_Cadastro!A:I,2,FALSE)</f>
        <v/>
      </c>
      <c r="E47" s="128" t="inlineStr">
        <is>
          <t>000001</t>
        </is>
      </c>
      <c r="F47" s="205">
        <f>IFERROR(INDEX(Vendidos!$H:$H,MATCH(E47,Vendidos!$B:$B,0)),"—")</f>
        <v/>
      </c>
      <c r="G47" s="129">
        <f>SUMIF('Fichas Flat'!$E$2:$E$880,E47,'Fichas Flat'!$K$2:$K$880)</f>
        <v/>
      </c>
      <c r="H47" s="130">
        <f>IFERROR(G47/F47,0)</f>
        <v/>
      </c>
      <c r="I47" s="129">
        <f>IFERROR(F47-G47,0)</f>
        <v/>
      </c>
      <c r="J47" s="130">
        <f>IFERROR(I47/F47,0)</f>
        <v/>
      </c>
      <c r="K47" s="129">
        <f>IFERROR(G47/0.3,0)</f>
        <v/>
      </c>
      <c r="L47" s="153" t="n">
        <v>29.9</v>
      </c>
      <c r="M47" s="131" t="n">
        <v>0</v>
      </c>
      <c r="N47" s="132" t="n">
        <v>0</v>
      </c>
      <c r="O47" s="131" t="n">
        <v>29.9</v>
      </c>
      <c r="P47" s="132" t="n">
        <v>1</v>
      </c>
      <c r="Q47" s="133" t="n">
        <v>46148</v>
      </c>
      <c r="R47" s="206">
        <f>IFERROR(IF(M46="","—",H47-N46),"—")</f>
        <v/>
      </c>
      <c r="S47" s="207" t="inlineStr">
        <is>
          <t>Sim</t>
        </is>
      </c>
      <c r="T47" s="128">
        <f>IFERROR(IF(H46=0,"—",IF(H46&lt;=0.25,"✔  OK",IF(H46&lt;=0.35,"⚠  Atenção","✖  Crítico"))),"—")</f>
        <v/>
      </c>
      <c r="U47" s="127" t="n"/>
      <c r="V47" s="127" t="n"/>
    </row>
    <row r="48" ht="15" customHeight="1">
      <c r="A48" s="149" t="inlineStr">
        <is>
          <t>Espetos</t>
        </is>
      </c>
      <c r="B48" s="127" t="inlineStr">
        <is>
          <t>Boteco no Espeto</t>
        </is>
      </c>
      <c r="C48" s="146" t="inlineStr">
        <is>
          <t>Sticks de Muçarela</t>
        </is>
      </c>
      <c r="D48" s="148">
        <f>VLOOKUP(E48,_Protheus_Cadastro!A:I,2,FALSE)</f>
        <v/>
      </c>
      <c r="E48" s="128" t="inlineStr">
        <is>
          <t>001472</t>
        </is>
      </c>
      <c r="F48" s="205">
        <f>IFERROR(INDEX(Vendidos!$H:$H,MATCH(E48,Vendidos!$B:$B,0)),"—")</f>
        <v/>
      </c>
      <c r="G48" s="129">
        <f>SUMIF('Fichas Flat'!$E$2:$E$880,E48,'Fichas Flat'!$K$2:$K$880)</f>
        <v/>
      </c>
      <c r="H48" s="130">
        <f>IFERROR(G48/F48,0)</f>
        <v/>
      </c>
      <c r="I48" s="129">
        <f>IFERROR(F48-G48,0)</f>
        <v/>
      </c>
      <c r="J48" s="130">
        <f>IFERROR(I48/F48,0)</f>
        <v/>
      </c>
      <c r="K48" s="129">
        <f>IFERROR(G48/0.3,0)</f>
        <v/>
      </c>
      <c r="L48" s="153" t="n">
        <v>14.99</v>
      </c>
      <c r="M48" s="131" t="n">
        <v>2.199</v>
      </c>
      <c r="N48" s="132" t="n">
        <v>0.1466977985323549</v>
      </c>
      <c r="O48" s="131" t="n">
        <v>12.791</v>
      </c>
      <c r="P48" s="132" t="n">
        <v>0.8533022014676451</v>
      </c>
      <c r="Q48" s="133" t="n">
        <v>46148</v>
      </c>
      <c r="R48" s="206">
        <f>IFERROR(IF(M47="","—",H48-N47),"—")</f>
        <v/>
      </c>
      <c r="S48" s="207" t="inlineStr">
        <is>
          <t>Sim</t>
        </is>
      </c>
      <c r="T48" s="128">
        <f>IFERROR(IF(H47=0,"—",IF(H47&lt;=0.25,"✔  OK",IF(H47&lt;=0.35,"⚠  Atenção","✖  Crítico"))),"—")</f>
        <v/>
      </c>
      <c r="U48" s="127" t="n"/>
      <c r="V48" s="127" t="n"/>
    </row>
    <row r="49" ht="15" customHeight="1">
      <c r="A49" s="149" t="inlineStr">
        <is>
          <t>Drinks</t>
        </is>
      </c>
      <c r="B49" s="127" t="inlineStr">
        <is>
          <t>Drinks</t>
        </is>
      </c>
      <c r="C49" s="146" t="inlineStr">
        <is>
          <t>Fiufiu cajá lemon</t>
        </is>
      </c>
      <c r="D49" s="148">
        <f>VLOOKUP(E49,_Protheus_Cadastro!A:I,2,FALSE)</f>
        <v/>
      </c>
      <c r="E49" s="128" t="inlineStr">
        <is>
          <t>002015</t>
        </is>
      </c>
      <c r="F49" s="205">
        <f>IFERROR(INDEX(Vendidos!$H:$H,MATCH(E49,Vendidos!$B:$B,0)),"—")</f>
        <v/>
      </c>
      <c r="G49" s="129">
        <f>SUMIF('Fichas Flat'!$E$2:$E$880,E49,'Fichas Flat'!$K$2:$K$880)</f>
        <v/>
      </c>
      <c r="H49" s="130">
        <f>IFERROR(G49/F49,0)</f>
        <v/>
      </c>
      <c r="I49" s="129">
        <f>IFERROR(F49-G49,0)</f>
        <v/>
      </c>
      <c r="J49" s="130">
        <f>IFERROR(I49/F49,0)</f>
        <v/>
      </c>
      <c r="K49" s="129">
        <f>IFERROR(G49/0.3,0)</f>
        <v/>
      </c>
      <c r="L49" s="153" t="n">
        <v>34</v>
      </c>
      <c r="M49" s="131" t="n">
        <v>9.9375</v>
      </c>
      <c r="N49" s="132" t="n">
        <v>0.2922794117647059</v>
      </c>
      <c r="O49" s="131" t="n">
        <v>24.0625</v>
      </c>
      <c r="P49" s="132" t="n">
        <v>0.7077205882352942</v>
      </c>
      <c r="Q49" s="133" t="n">
        <v>46148</v>
      </c>
      <c r="R49" s="206">
        <f>IFERROR(IF(M48="","—",H49-N48),"—")</f>
        <v/>
      </c>
      <c r="S49" s="207" t="inlineStr">
        <is>
          <t>Sim</t>
        </is>
      </c>
      <c r="T49" s="128">
        <f>IFERROR(IF(H48=0,"—",IF(H48&lt;=0.25,"✔  OK",IF(H48&lt;=0.35,"⚠  Atenção","✖  Crítico"))),"—")</f>
        <v/>
      </c>
      <c r="U49" s="127" t="n"/>
      <c r="V49" s="127" t="n"/>
    </row>
    <row r="50" ht="15" customHeight="1">
      <c r="A50" s="150" t="inlineStr">
        <is>
          <t>Espetos</t>
        </is>
      </c>
      <c r="B50" s="136" t="inlineStr">
        <is>
          <t>In Natura</t>
        </is>
      </c>
      <c r="C50" s="145" t="inlineStr">
        <is>
          <t>Coração</t>
        </is>
      </c>
      <c r="D50" s="147">
        <f>VLOOKUP(E50,_Protheus_Cadastro!A:I,2,FALSE)</f>
        <v/>
      </c>
      <c r="E50" s="137" t="inlineStr">
        <is>
          <t>000004</t>
        </is>
      </c>
      <c r="F50" s="202">
        <f>IFERROR(INDEX(Vendidos!$H:$H,MATCH(E50,Vendidos!$B:$B,0)),"—")</f>
        <v/>
      </c>
      <c r="G50" s="138">
        <f>SUMIF('Fichas Flat'!$E$2:$E$880,E50,'Fichas Flat'!$K$2:$K$880)</f>
        <v/>
      </c>
      <c r="H50" s="139">
        <f>IFERROR(G50/F50,0)</f>
        <v/>
      </c>
      <c r="I50" s="138">
        <f>IFERROR(F50-G50,0)</f>
        <v/>
      </c>
      <c r="J50" s="139">
        <f>IFERROR(I50/F50,0)</f>
        <v/>
      </c>
      <c r="K50" s="138">
        <f>IFERROR(G50/0.3,0)</f>
        <v/>
      </c>
      <c r="L50" s="154" t="n">
        <v>29.9</v>
      </c>
      <c r="M50" s="140" t="n">
        <v>10.5</v>
      </c>
      <c r="N50" s="141" t="n">
        <v>0.351170568561873</v>
      </c>
      <c r="O50" s="140" t="n">
        <v>19.4</v>
      </c>
      <c r="P50" s="141" t="n">
        <v>0.6488294314381271</v>
      </c>
      <c r="Q50" s="142" t="n">
        <v>46148</v>
      </c>
      <c r="R50" s="203">
        <f>IFERROR(IF(M49="","—",H50-N49),"—")</f>
        <v/>
      </c>
      <c r="S50" s="204" t="inlineStr">
        <is>
          <t>Sim</t>
        </is>
      </c>
      <c r="T50" s="137">
        <f>IFERROR(IF(H49=0,"—",IF(H49&lt;=0.25,"✔  OK",IF(H49&lt;=0.35,"⚠  Atenção","✖  Crítico"))),"—")</f>
        <v/>
      </c>
      <c r="U50" s="136" t="n"/>
      <c r="V50" s="136" t="n"/>
    </row>
    <row r="51" ht="15" customHeight="1">
      <c r="A51" s="150" t="inlineStr">
        <is>
          <t>Espetos</t>
        </is>
      </c>
      <c r="B51" s="136" t="inlineStr">
        <is>
          <t>In Natura</t>
        </is>
      </c>
      <c r="C51" s="145" t="inlineStr">
        <is>
          <t>Picanha</t>
        </is>
      </c>
      <c r="D51" s="147">
        <f>VLOOKUP(E51,_Protheus_Cadastro!A:I,2,FALSE)</f>
        <v/>
      </c>
      <c r="E51" s="137" t="inlineStr">
        <is>
          <t>000011</t>
        </is>
      </c>
      <c r="F51" s="202">
        <f>IFERROR(INDEX(Vendidos!$H:$H,MATCH(E51,Vendidos!$B:$B,0)),"—")</f>
        <v/>
      </c>
      <c r="G51" s="138">
        <f>SUMIF('Fichas Flat'!$E$2:$E$880,E51,'Fichas Flat'!$K$2:$K$880)</f>
        <v/>
      </c>
      <c r="H51" s="139">
        <f>IFERROR(G51/F51,0)</f>
        <v/>
      </c>
      <c r="I51" s="138">
        <f>IFERROR(F51-G51,0)</f>
        <v/>
      </c>
      <c r="J51" s="139">
        <f>IFERROR(I51/F51,0)</f>
        <v/>
      </c>
      <c r="K51" s="138">
        <f>IFERROR(G51/0.3,0)</f>
        <v/>
      </c>
      <c r="L51" s="154" t="n">
        <v>69.90000000000001</v>
      </c>
      <c r="M51" s="140" t="n">
        <v>20.9</v>
      </c>
      <c r="N51" s="141" t="n">
        <v>0.2989985693848354</v>
      </c>
      <c r="O51" s="140" t="n">
        <v>49.00000000000001</v>
      </c>
      <c r="P51" s="141" t="n">
        <v>0.7010014306151645</v>
      </c>
      <c r="Q51" s="142" t="n">
        <v>46148</v>
      </c>
      <c r="R51" s="203">
        <f>IFERROR(IF(M50="","—",H51-N50),"—")</f>
        <v/>
      </c>
      <c r="S51" s="204" t="inlineStr">
        <is>
          <t>Sim</t>
        </is>
      </c>
      <c r="T51" s="137">
        <f>IFERROR(IF(H50=0,"—",IF(H50&lt;=0.25,"✔  OK",IF(H50&lt;=0.35,"⚠  Atenção","✖  Crítico"))),"—")</f>
        <v/>
      </c>
      <c r="U51" s="136" t="n"/>
      <c r="V51" s="136" t="n"/>
    </row>
    <row r="52" ht="15" customHeight="1">
      <c r="A52" s="149" t="inlineStr">
        <is>
          <t>Espetos</t>
        </is>
      </c>
      <c r="B52" s="127" t="inlineStr">
        <is>
          <t>In Natura</t>
        </is>
      </c>
      <c r="C52" s="146" t="inlineStr">
        <is>
          <t>Cordeiro</t>
        </is>
      </c>
      <c r="D52" s="148">
        <f>VLOOKUP(E52,_Protheus_Cadastro!A:I,2,FALSE)</f>
        <v/>
      </c>
      <c r="E52" s="128" t="inlineStr">
        <is>
          <t>000016</t>
        </is>
      </c>
      <c r="F52" s="205">
        <f>IFERROR(INDEX(Vendidos!$H:$H,MATCH(E52,Vendidos!$B:$B,0)),"—")</f>
        <v/>
      </c>
      <c r="G52" s="129">
        <f>SUMIF('Fichas Flat'!$E$2:$E$880,E52,'Fichas Flat'!$K$2:$K$880)</f>
        <v/>
      </c>
      <c r="H52" s="130">
        <f>IFERROR(G52/F52,0)</f>
        <v/>
      </c>
      <c r="I52" s="129">
        <f>IFERROR(F52-G52,0)</f>
        <v/>
      </c>
      <c r="J52" s="130">
        <f>IFERROR(I52/F52,0)</f>
        <v/>
      </c>
      <c r="K52" s="129">
        <f>IFERROR(G52/0.3,0)</f>
        <v/>
      </c>
      <c r="L52" s="153" t="n">
        <v>69.90000000000001</v>
      </c>
      <c r="M52" s="131" t="n">
        <v>11.858</v>
      </c>
      <c r="N52" s="132" t="n">
        <v>0.1696423462088698</v>
      </c>
      <c r="O52" s="131" t="n">
        <v>58.042</v>
      </c>
      <c r="P52" s="132" t="n">
        <v>0.8303576537911301</v>
      </c>
      <c r="Q52" s="133" t="n">
        <v>46148</v>
      </c>
      <c r="R52" s="206">
        <f>IFERROR(IF(M51="","—",H52-N51),"—")</f>
        <v/>
      </c>
      <c r="S52" s="207" t="inlineStr">
        <is>
          <t>Sim</t>
        </is>
      </c>
      <c r="T52" s="128">
        <f>IFERROR(IF(H51=0,"—",IF(H51&lt;=0.25,"✔  OK",IF(H51&lt;=0.35,"⚠  Atenção","✖  Crítico"))),"—")</f>
        <v/>
      </c>
      <c r="U52" s="127" t="n"/>
      <c r="V52" s="127" t="n"/>
    </row>
    <row r="53" ht="15" customHeight="1">
      <c r="A53" s="149" t="inlineStr">
        <is>
          <t>Bebidas Frias</t>
        </is>
      </c>
      <c r="B53" s="127" t="inlineStr">
        <is>
          <t>Whiskies</t>
        </is>
      </c>
      <c r="C53" s="146" t="inlineStr">
        <is>
          <t>Black Label</t>
        </is>
      </c>
      <c r="D53" s="148">
        <f>VLOOKUP(E53,_Protheus_Cadastro!A:I,2,FALSE)</f>
        <v/>
      </c>
      <c r="E53" s="128" t="inlineStr">
        <is>
          <t>001338</t>
        </is>
      </c>
      <c r="F53" s="205">
        <f>IFERROR(INDEX(Vendidos!$H:$H,MATCH(E53,Vendidos!$B:$B,0)),"—")</f>
        <v/>
      </c>
      <c r="G53" s="129">
        <f>SUMIF('Fichas Flat'!$E$2:$E$880,E53,'Fichas Flat'!$K$2:$K$880)</f>
        <v/>
      </c>
      <c r="H53" s="130">
        <f>IFERROR(G53/F53,0)</f>
        <v/>
      </c>
      <c r="I53" s="129">
        <f>IFERROR(F53-G53,0)</f>
        <v/>
      </c>
      <c r="J53" s="130">
        <f>IFERROR(I53/F53,0)</f>
        <v/>
      </c>
      <c r="K53" s="129">
        <f>IFERROR(G53/0.3,0)</f>
        <v/>
      </c>
      <c r="L53" s="153" t="n">
        <v>239.99</v>
      </c>
      <c r="M53" s="131" t="n">
        <v>0</v>
      </c>
      <c r="N53" s="132" t="n">
        <v>0</v>
      </c>
      <c r="O53" s="131" t="n">
        <v>239.99</v>
      </c>
      <c r="P53" s="132" t="n">
        <v>1</v>
      </c>
      <c r="Q53" s="133" t="n">
        <v>46148</v>
      </c>
      <c r="R53" s="206">
        <f>IFERROR(IF(M52="","—",H53-N52),"—")</f>
        <v/>
      </c>
      <c r="S53" s="207" t="inlineStr">
        <is>
          <t>Sim</t>
        </is>
      </c>
      <c r="T53" s="128">
        <f>IFERROR(IF(H52=0,"—",IF(H52&lt;=0.25,"✔  OK",IF(H52&lt;=0.35,"⚠  Atenção","✖  Crítico"))),"—")</f>
        <v/>
      </c>
      <c r="U53" s="127" t="n"/>
      <c r="V53" s="127" t="n"/>
    </row>
    <row r="54" ht="15" customHeight="1">
      <c r="A54" s="150" t="inlineStr">
        <is>
          <t>Drinks</t>
        </is>
      </c>
      <c r="B54" s="136" t="inlineStr">
        <is>
          <t>Drinks</t>
        </is>
      </c>
      <c r="C54" s="145" t="inlineStr">
        <is>
          <t>Combo Tanqueray com 3 Red Bull</t>
        </is>
      </c>
      <c r="D54" s="147">
        <f>VLOOKUP(E54,_Protheus_Cadastro!A:I,2,FALSE)</f>
        <v/>
      </c>
      <c r="E54" s="137" t="inlineStr">
        <is>
          <t>001204</t>
        </is>
      </c>
      <c r="F54" s="202">
        <f>IFERROR(INDEX(Vendidos!$H:$H,MATCH(E54,Vendidos!$B:$B,0)),"—")</f>
        <v/>
      </c>
      <c r="G54" s="138">
        <f>SUMIF('Fichas Flat'!$E$2:$E$880,E54,'Fichas Flat'!$K$2:$K$880)</f>
        <v/>
      </c>
      <c r="H54" s="139">
        <f>IFERROR(G54/F54,0)</f>
        <v/>
      </c>
      <c r="I54" s="138">
        <f>IFERROR(F54-G54,0)</f>
        <v/>
      </c>
      <c r="J54" s="139">
        <f>IFERROR(I54/F54,0)</f>
        <v/>
      </c>
      <c r="K54" s="138">
        <f>IFERROR(G54/0.3,0)</f>
        <v/>
      </c>
      <c r="L54" s="154" t="n">
        <v>329.99</v>
      </c>
      <c r="M54" s="140" t="n">
        <v>2.10467</v>
      </c>
      <c r="N54" s="141" t="n">
        <v>0.006377981150943968</v>
      </c>
      <c r="O54" s="140" t="n">
        <v>327.88533</v>
      </c>
      <c r="P54" s="141" t="n">
        <v>0.993622018849056</v>
      </c>
      <c r="Q54" s="142" t="n">
        <v>46148</v>
      </c>
      <c r="R54" s="203">
        <f>IFERROR(IF(M53="","—",H54-N53),"—")</f>
        <v/>
      </c>
      <c r="S54" s="204" t="inlineStr">
        <is>
          <t>Sim</t>
        </is>
      </c>
      <c r="T54" s="137">
        <f>IFERROR(IF(H53=0,"—",IF(H53&lt;=0.25,"✔  OK",IF(H53&lt;=0.35,"⚠  Atenção","✖  Crítico"))),"—")</f>
        <v/>
      </c>
      <c r="U54" s="136" t="n"/>
      <c r="V54" s="136" t="n"/>
    </row>
    <row r="55" ht="15" customHeight="1">
      <c r="A55" s="150" t="inlineStr">
        <is>
          <t>Delivery</t>
        </is>
      </c>
      <c r="B55" s="136" t="inlineStr">
        <is>
          <t>Delivery</t>
        </is>
      </c>
      <c r="C55" s="145" t="inlineStr">
        <is>
          <t>Prato Feito Quintal</t>
        </is>
      </c>
      <c r="D55" s="147">
        <f>VLOOKUP(E55,_Protheus_Cadastro!A:I,2,FALSE)</f>
        <v/>
      </c>
      <c r="E55" s="137" t="inlineStr">
        <is>
          <t>002216</t>
        </is>
      </c>
      <c r="F55" s="202">
        <f>IFERROR(INDEX(Vendidos!$H:$H,MATCH(E55,Vendidos!$B:$B,0)),"—")</f>
        <v/>
      </c>
      <c r="G55" s="138">
        <f>SUMIF('Fichas Flat'!$E$2:$E$880,E55,'Fichas Flat'!$K$2:$K$880)</f>
        <v/>
      </c>
      <c r="H55" s="139">
        <f>IFERROR(G55/F55,0)</f>
        <v/>
      </c>
      <c r="I55" s="138">
        <f>IFERROR(F55-G55,0)</f>
        <v/>
      </c>
      <c r="J55" s="139">
        <f>IFERROR(I55/F55,0)</f>
        <v/>
      </c>
      <c r="K55" s="138">
        <f>IFERROR(G55/0.3,0)</f>
        <v/>
      </c>
      <c r="L55" s="154" t="n">
        <v>39.9</v>
      </c>
      <c r="M55" s="140" t="n">
        <v>1.783836</v>
      </c>
      <c r="N55" s="141" t="n">
        <v>0.04470766917293233</v>
      </c>
      <c r="O55" s="140" t="n">
        <v>38.116164</v>
      </c>
      <c r="P55" s="141" t="n">
        <v>0.9552923308270677</v>
      </c>
      <c r="Q55" s="142" t="n">
        <v>46148</v>
      </c>
      <c r="R55" s="203">
        <f>IFERROR(IF(M54="","—",H55-N54),"—")</f>
        <v/>
      </c>
      <c r="S55" s="204" t="inlineStr">
        <is>
          <t>Não</t>
        </is>
      </c>
      <c r="T55" s="137">
        <f>IFERROR(IF(H54=0,"—",IF(H54&lt;=0.25,"✔  OK",IF(H54&lt;=0.35,"⚠  Atenção","✖  Crítico"))),"—")</f>
        <v/>
      </c>
      <c r="U55" s="136" t="n"/>
      <c r="V55" s="136" t="n"/>
    </row>
    <row r="56" ht="15" customHeight="1">
      <c r="A56" s="149" t="inlineStr">
        <is>
          <t>Delivery</t>
        </is>
      </c>
      <c r="B56" s="127" t="inlineStr">
        <is>
          <t>Delivery</t>
        </is>
      </c>
      <c r="C56" s="146" t="inlineStr">
        <is>
          <t>Combo Quintal Feliz</t>
        </is>
      </c>
      <c r="D56" s="148">
        <f>VLOOKUP(E56,_Protheus_Cadastro!A:I,2,FALSE)</f>
        <v/>
      </c>
      <c r="E56" s="128" t="inlineStr">
        <is>
          <t>009844</t>
        </is>
      </c>
      <c r="F56" s="205">
        <f>IFERROR(INDEX(Vendidos!$H:$H,MATCH(E56,Vendidos!$B:$B,0)),"—")</f>
        <v/>
      </c>
      <c r="G56" s="129">
        <f>SUMIF('Fichas Flat'!$E$2:$E$880,E56,'Fichas Flat'!$K$2:$K$880)</f>
        <v/>
      </c>
      <c r="H56" s="130">
        <f>IFERROR(G56/F56,0)</f>
        <v/>
      </c>
      <c r="I56" s="129">
        <f>IFERROR(F56-G56,0)</f>
        <v/>
      </c>
      <c r="J56" s="130">
        <f>IFERROR(I56/F56,0)</f>
        <v/>
      </c>
      <c r="K56" s="129">
        <f>IFERROR(G56/0.3,0)</f>
        <v/>
      </c>
      <c r="L56" s="153" t="n">
        <v>49.99</v>
      </c>
      <c r="M56" s="131" t="n">
        <v>0.947255</v>
      </c>
      <c r="N56" s="132" t="n">
        <v>0.01894888977795559</v>
      </c>
      <c r="O56" s="131" t="n">
        <v>49.042745</v>
      </c>
      <c r="P56" s="132" t="n">
        <v>0.9810511102220444</v>
      </c>
      <c r="Q56" s="133" t="n">
        <v>46148</v>
      </c>
      <c r="R56" s="206">
        <f>IFERROR(IF(M55="","—",H56-N55),"—")</f>
        <v/>
      </c>
      <c r="S56" s="207" t="inlineStr">
        <is>
          <t>Sim</t>
        </is>
      </c>
      <c r="T56" s="128">
        <f>IFERROR(IF(H55=0,"—",IF(H55&lt;=0.25,"✔  OK",IF(H55&lt;=0.35,"⚠  Atenção","✖  Crítico"))),"—")</f>
        <v/>
      </c>
      <c r="U56" s="127" t="n"/>
      <c r="V56" s="127" t="n"/>
    </row>
    <row r="57" ht="15" customHeight="1">
      <c r="A57" s="149" t="inlineStr">
        <is>
          <t>Bebidas Frias</t>
        </is>
      </c>
      <c r="B57" s="127" t="inlineStr">
        <is>
          <t>Tequila</t>
        </is>
      </c>
      <c r="C57" s="146" t="inlineStr">
        <is>
          <t>Jose Cuervo Ouro</t>
        </is>
      </c>
      <c r="D57" s="148">
        <f>VLOOKUP(E57,_Protheus_Cadastro!A:I,2,FALSE)</f>
        <v/>
      </c>
      <c r="E57" s="128" t="inlineStr">
        <is>
          <t>000045</t>
        </is>
      </c>
      <c r="F57" s="205">
        <f>IFERROR(INDEX(Vendidos!$H:$H,MATCH(E57,Vendidos!$B:$B,0)),"—")</f>
        <v/>
      </c>
      <c r="G57" s="129">
        <f>SUMIF('Fichas Flat'!$E$2:$E$880,E57,'Fichas Flat'!$K$2:$K$880)</f>
        <v/>
      </c>
      <c r="H57" s="130">
        <f>IFERROR(G57/F57,0)</f>
        <v/>
      </c>
      <c r="I57" s="129">
        <f>IFERROR(F57-G57,0)</f>
        <v/>
      </c>
      <c r="J57" s="130">
        <f>IFERROR(I57/F57,0)</f>
        <v/>
      </c>
      <c r="K57" s="129">
        <f>IFERROR(G57/0.3,0)</f>
        <v/>
      </c>
      <c r="L57" s="153" t="n">
        <v>290.99</v>
      </c>
      <c r="M57" s="131" t="n">
        <v>5.89</v>
      </c>
      <c r="N57" s="132" t="n">
        <v>0.02024124540362212</v>
      </c>
      <c r="O57" s="131" t="n">
        <v>285.1</v>
      </c>
      <c r="P57" s="132" t="n">
        <v>0.979758754596378</v>
      </c>
      <c r="Q57" s="133" t="n">
        <v>46148</v>
      </c>
      <c r="R57" s="206">
        <f>IFERROR(IF(M56="","—",H57-N56),"—")</f>
        <v/>
      </c>
      <c r="S57" s="207" t="inlineStr">
        <is>
          <t>Sim</t>
        </is>
      </c>
      <c r="T57" s="128">
        <f>IFERROR(IF(H56=0,"—",IF(H56&lt;=0.25,"✔  OK",IF(H56&lt;=0.35,"⚠  Atenção","✖  Crítico"))),"—")</f>
        <v/>
      </c>
      <c r="U57" s="127" t="n"/>
      <c r="V57" s="127" t="n"/>
    </row>
    <row r="58" ht="15" customHeight="1">
      <c r="A58" s="149" t="inlineStr">
        <is>
          <t>Bebidas Frias</t>
        </is>
      </c>
      <c r="B58" s="127" t="inlineStr">
        <is>
          <t>Whiskies</t>
        </is>
      </c>
      <c r="C58" s="146" t="inlineStr">
        <is>
          <t>Gold Label</t>
        </is>
      </c>
      <c r="D58" s="148">
        <f>VLOOKUP(E58,_Protheus_Cadastro!A:I,2,FALSE)</f>
        <v/>
      </c>
      <c r="E58" s="128" t="inlineStr">
        <is>
          <t>001334</t>
        </is>
      </c>
      <c r="F58" s="205">
        <f>IFERROR(INDEX(Vendidos!$H:$H,MATCH(E58,Vendidos!$B:$B,0)),"—")</f>
        <v/>
      </c>
      <c r="G58" s="129">
        <f>SUMIF('Fichas Flat'!$E$2:$E$880,E58,'Fichas Flat'!$K$2:$K$880)</f>
        <v/>
      </c>
      <c r="H58" s="130">
        <f>IFERROR(G58/F58,0)</f>
        <v/>
      </c>
      <c r="I58" s="129">
        <f>IFERROR(F58-G58,0)</f>
        <v/>
      </c>
      <c r="J58" s="130">
        <f>IFERROR(I58/F58,0)</f>
        <v/>
      </c>
      <c r="K58" s="129">
        <f>IFERROR(G58/0.3,0)</f>
        <v/>
      </c>
      <c r="L58" s="153" t="n">
        <v>690.99</v>
      </c>
      <c r="M58" s="131" t="n">
        <v>4.0117</v>
      </c>
      <c r="N58" s="132" t="n">
        <v>0.005805728013430007</v>
      </c>
      <c r="O58" s="131" t="n">
        <v>686.9783</v>
      </c>
      <c r="P58" s="132" t="n">
        <v>0.99419427198657</v>
      </c>
      <c r="Q58" s="133" t="n">
        <v>46148</v>
      </c>
      <c r="R58" s="206">
        <f>IFERROR(IF(M57="","—",H58-N57),"—")</f>
        <v/>
      </c>
      <c r="S58" s="207" t="inlineStr">
        <is>
          <t>Sim</t>
        </is>
      </c>
      <c r="T58" s="128">
        <f>IFERROR(IF(H57=0,"—",IF(H57&lt;=0.25,"✔  OK",IF(H57&lt;=0.35,"⚠  Atenção","✖  Crítico"))),"—")</f>
        <v/>
      </c>
      <c r="U58" s="127" t="n"/>
      <c r="V58" s="127" t="n"/>
    </row>
    <row r="59" ht="15" customHeight="1">
      <c r="A59" s="149" t="inlineStr">
        <is>
          <t>Bebidas Frias</t>
        </is>
      </c>
      <c r="B59" s="127" t="inlineStr">
        <is>
          <t>Whiskies</t>
        </is>
      </c>
      <c r="C59" s="146" t="inlineStr">
        <is>
          <t>Jack Daniel's Apple</t>
        </is>
      </c>
      <c r="D59" s="148">
        <f>VLOOKUP(E59,_Protheus_Cadastro!A:I,2,FALSE)</f>
        <v/>
      </c>
      <c r="E59" s="128" t="inlineStr">
        <is>
          <t>001320</t>
        </is>
      </c>
      <c r="F59" s="205">
        <f>IFERROR(INDEX(Vendidos!$H:$H,MATCH(E59,Vendidos!$B:$B,0)),"—")</f>
        <v/>
      </c>
      <c r="G59" s="129">
        <f>SUMIF('Fichas Flat'!$E$2:$E$880,E59,'Fichas Flat'!$K$2:$K$880)</f>
        <v/>
      </c>
      <c r="H59" s="130">
        <f>IFERROR(G59/F59,0)</f>
        <v/>
      </c>
      <c r="I59" s="129">
        <f>IFERROR(F59-G59,0)</f>
        <v/>
      </c>
      <c r="J59" s="130">
        <f>IFERROR(I59/F59,0)</f>
        <v/>
      </c>
      <c r="K59" s="129">
        <f>IFERROR(G59/0.3,0)</f>
        <v/>
      </c>
      <c r="L59" s="153" t="n">
        <v>390.99</v>
      </c>
      <c r="M59" s="131" t="n">
        <v>2.97142</v>
      </c>
      <c r="N59" s="132" t="n">
        <v>0.007599734008542418</v>
      </c>
      <c r="O59" s="131" t="n">
        <v>388.01858</v>
      </c>
      <c r="P59" s="132" t="n">
        <v>0.9924002659914575</v>
      </c>
      <c r="Q59" s="133" t="n">
        <v>46148</v>
      </c>
      <c r="R59" s="206">
        <f>IFERROR(IF(M58="","—",H59-N58),"—")</f>
        <v/>
      </c>
      <c r="S59" s="207" t="inlineStr">
        <is>
          <t>Sim</t>
        </is>
      </c>
      <c r="T59" s="128">
        <f>IFERROR(IF(H58=0,"—",IF(H58&lt;=0.25,"✔  OK",IF(H58&lt;=0.35,"⚠  Atenção","✖  Crítico"))),"—")</f>
        <v/>
      </c>
      <c r="U59" s="127" t="n"/>
      <c r="V59" s="127" t="n"/>
    </row>
    <row r="60" ht="15" customHeight="1">
      <c r="A60" s="149" t="inlineStr">
        <is>
          <t>Bebidas Frias</t>
        </is>
      </c>
      <c r="B60" s="127" t="inlineStr">
        <is>
          <t>Cachaça</t>
        </is>
      </c>
      <c r="C60" s="146" t="inlineStr">
        <is>
          <t>Campari</t>
        </is>
      </c>
      <c r="D60" s="148">
        <f>VLOOKUP(E60,_Protheus_Cadastro!A:I,2,FALSE)</f>
        <v/>
      </c>
      <c r="E60" s="128" t="inlineStr">
        <is>
          <t>000942</t>
        </is>
      </c>
      <c r="F60" s="205">
        <f>IFERROR(INDEX(Vendidos!$H:$H,MATCH(E60,Vendidos!$B:$B,0)),"—")</f>
        <v/>
      </c>
      <c r="G60" s="129">
        <f>SUMIF('Fichas Flat'!$E$2:$E$880,E60,'Fichas Flat'!$K$2:$K$880)</f>
        <v/>
      </c>
      <c r="H60" s="130">
        <f>IFERROR(G60/F60,0)</f>
        <v/>
      </c>
      <c r="I60" s="129">
        <f>IFERROR(F60-G60,0)</f>
        <v/>
      </c>
      <c r="J60" s="130">
        <f>IFERROR(I60/F60,0)</f>
        <v/>
      </c>
      <c r="K60" s="129">
        <f>IFERROR(G60/0.3,0)</f>
        <v/>
      </c>
      <c r="L60" s="153" t="n">
        <v>139.99</v>
      </c>
      <c r="M60" s="131" t="n">
        <v>4.7566</v>
      </c>
      <c r="N60" s="132" t="n">
        <v>0.03397814129580684</v>
      </c>
      <c r="O60" s="131" t="n">
        <v>135.2334</v>
      </c>
      <c r="P60" s="132" t="n">
        <v>0.9660218587041932</v>
      </c>
      <c r="Q60" s="133" t="n">
        <v>46148</v>
      </c>
      <c r="R60" s="206">
        <f>IFERROR(IF(M59="","—",H60-N59),"—")</f>
        <v/>
      </c>
      <c r="S60" s="207" t="inlineStr">
        <is>
          <t>Sim</t>
        </is>
      </c>
      <c r="T60" s="128">
        <f>IFERROR(IF(H59=0,"—",IF(H59&lt;=0.25,"✔  OK",IF(H59&lt;=0.35,"⚠  Atenção","✖  Crítico"))),"—")</f>
        <v/>
      </c>
      <c r="U60" s="127" t="n"/>
      <c r="V60" s="127" t="n"/>
    </row>
    <row r="61" ht="15" customHeight="1">
      <c r="A61" s="150" t="inlineStr">
        <is>
          <t>Bebidas Frias</t>
        </is>
      </c>
      <c r="B61" s="136" t="inlineStr">
        <is>
          <t>Whiskies</t>
        </is>
      </c>
      <c r="C61" s="145" t="inlineStr">
        <is>
          <t>Jack Daniel's</t>
        </is>
      </c>
      <c r="D61" s="147">
        <f>VLOOKUP(E61,_Protheus_Cadastro!A:I,2,FALSE)</f>
        <v/>
      </c>
      <c r="E61" s="137" t="inlineStr">
        <is>
          <t>001196</t>
        </is>
      </c>
      <c r="F61" s="202">
        <f>IFERROR(INDEX(Vendidos!$H:$H,MATCH(E61,Vendidos!$B:$B,0)),"—")</f>
        <v/>
      </c>
      <c r="G61" s="138">
        <f>SUMIF('Fichas Flat'!$E$2:$E$880,E61,'Fichas Flat'!$K$2:$K$880)</f>
        <v/>
      </c>
      <c r="H61" s="139">
        <f>IFERROR(G61/F61,0)</f>
        <v/>
      </c>
      <c r="I61" s="138">
        <f>IFERROR(F61-G61,0)</f>
        <v/>
      </c>
      <c r="J61" s="139">
        <f>IFERROR(I61/F61,0)</f>
        <v/>
      </c>
      <c r="K61" s="138">
        <f>IFERROR(G61/0.3,0)</f>
        <v/>
      </c>
      <c r="L61" s="154" t="n">
        <v>390.99</v>
      </c>
      <c r="M61" s="140" t="n">
        <v>5.942853</v>
      </c>
      <c r="N61" s="141" t="n">
        <v>0.01519950126601703</v>
      </c>
      <c r="O61" s="140" t="n">
        <v>385.047147</v>
      </c>
      <c r="P61" s="141" t="n">
        <v>0.9848004987339829</v>
      </c>
      <c r="Q61" s="142" t="n">
        <v>46148</v>
      </c>
      <c r="R61" s="203">
        <f>IFERROR(IF(M60="","—",H61-N60),"—")</f>
        <v/>
      </c>
      <c r="S61" s="204" t="inlineStr">
        <is>
          <t>Sim</t>
        </is>
      </c>
      <c r="T61" s="137">
        <f>IFERROR(IF(H60=0,"—",IF(H60&lt;=0.25,"✔  OK",IF(H60&lt;=0.35,"⚠  Atenção","✖  Crítico"))),"—")</f>
        <v/>
      </c>
      <c r="U61" s="136" t="n"/>
      <c r="V61" s="136" t="n"/>
    </row>
    <row r="62" ht="15" customHeight="1">
      <c r="A62" s="150" t="inlineStr">
        <is>
          <t>Bebidas Frias</t>
        </is>
      </c>
      <c r="B62" s="136" t="inlineStr">
        <is>
          <t>Gin</t>
        </is>
      </c>
      <c r="C62" s="145" t="inlineStr">
        <is>
          <t>Tanqueray</t>
        </is>
      </c>
      <c r="D62" s="147">
        <f>VLOOKUP(E62,_Protheus_Cadastro!A:I,2,FALSE)</f>
        <v/>
      </c>
      <c r="E62" s="137" t="inlineStr">
        <is>
          <t>001128</t>
        </is>
      </c>
      <c r="F62" s="202">
        <f>IFERROR(INDEX(Vendidos!$H:$H,MATCH(E62,Vendidos!$B:$B,0)),"—")</f>
        <v/>
      </c>
      <c r="G62" s="138">
        <f>SUMIF('Fichas Flat'!$E$2:$E$880,E62,'Fichas Flat'!$K$2:$K$880)</f>
        <v/>
      </c>
      <c r="H62" s="139">
        <f>IFERROR(G62/F62,0)</f>
        <v/>
      </c>
      <c r="I62" s="138">
        <f>IFERROR(F62-G62,0)</f>
        <v/>
      </c>
      <c r="J62" s="139">
        <f>IFERROR(I62/F62,0)</f>
        <v/>
      </c>
      <c r="K62" s="138">
        <f>IFERROR(G62/0.3,0)</f>
        <v/>
      </c>
      <c r="L62" s="154" t="n">
        <v>299.99</v>
      </c>
      <c r="M62" s="140" t="n">
        <v>4.18</v>
      </c>
      <c r="N62" s="141" t="n">
        <v>0.01393379779325977</v>
      </c>
      <c r="O62" s="140" t="n">
        <v>295.81</v>
      </c>
      <c r="P62" s="141" t="n">
        <v>0.9860662022067402</v>
      </c>
      <c r="Q62" s="142" t="n">
        <v>46148</v>
      </c>
      <c r="R62" s="203">
        <f>IFERROR(IF(M61="","—",H62-N61),"—")</f>
        <v/>
      </c>
      <c r="S62" s="204" t="inlineStr">
        <is>
          <t>Sim</t>
        </is>
      </c>
      <c r="T62" s="137">
        <f>IFERROR(IF(H61=0,"—",IF(H61&lt;=0.25,"✔  OK",IF(H61&lt;=0.35,"⚠  Atenção","✖  Crítico"))),"—")</f>
        <v/>
      </c>
      <c r="U62" s="136" t="n"/>
      <c r="V62" s="136" t="n"/>
    </row>
    <row r="63" ht="15" customHeight="1">
      <c r="A63" s="149" t="inlineStr">
        <is>
          <t>Espetos</t>
        </is>
      </c>
      <c r="B63" s="127" t="inlineStr">
        <is>
          <t>Premium</t>
        </is>
      </c>
      <c r="C63" s="146" t="inlineStr">
        <is>
          <t>Camarão</t>
        </is>
      </c>
      <c r="D63" s="148">
        <f>VLOOKUP(E63,_Protheus_Cadastro!A:I,2,FALSE)</f>
        <v/>
      </c>
      <c r="E63" s="128" t="inlineStr">
        <is>
          <t>000364</t>
        </is>
      </c>
      <c r="F63" s="205">
        <f>IFERROR(INDEX(Vendidos!$H:$H,MATCH(E63,Vendidos!$B:$B,0)),"—")</f>
        <v/>
      </c>
      <c r="G63" s="129">
        <f>SUMIF('Fichas Flat'!$E$2:$E$880,E63,'Fichas Flat'!$K$2:$K$880)</f>
        <v/>
      </c>
      <c r="H63" s="130">
        <f>IFERROR(G63/F63,0)</f>
        <v/>
      </c>
      <c r="I63" s="129">
        <f>IFERROR(F63-G63,0)</f>
        <v/>
      </c>
      <c r="J63" s="130">
        <f>IFERROR(I63/F63,0)</f>
        <v/>
      </c>
      <c r="K63" s="129">
        <f>IFERROR(G63/0.3,0)</f>
        <v/>
      </c>
      <c r="L63" s="153" t="n">
        <v>19.99</v>
      </c>
      <c r="M63" s="131" t="n">
        <v>0</v>
      </c>
      <c r="N63" s="132" t="n">
        <v>0</v>
      </c>
      <c r="O63" s="131" t="n">
        <v>19.99</v>
      </c>
      <c r="P63" s="132" t="n">
        <v>1</v>
      </c>
      <c r="Q63" s="133" t="n">
        <v>46148</v>
      </c>
      <c r="R63" s="206">
        <f>IFERROR(IF(M62="","—",H63-N62),"—")</f>
        <v/>
      </c>
      <c r="S63" s="207" t="inlineStr">
        <is>
          <t>Sim</t>
        </is>
      </c>
      <c r="T63" s="128">
        <f>IFERROR(IF(H62=0,"—",IF(H62&lt;=0.25,"✔  OK",IF(H62&lt;=0.35,"⚠  Atenção","✖  Crítico"))),"—")</f>
        <v/>
      </c>
      <c r="U63" s="127" t="n"/>
      <c r="V63" s="127" t="n"/>
    </row>
    <row r="64" ht="15" customHeight="1">
      <c r="A64" s="150" t="inlineStr">
        <is>
          <t>Bebidas Frias</t>
        </is>
      </c>
      <c r="B64" s="136" t="inlineStr">
        <is>
          <t>Vinhos - Espumante</t>
        </is>
      </c>
      <c r="C64" s="145" t="inlineStr">
        <is>
          <t>Espumante Brasileiro Viva La Vida Brut 750ml</t>
        </is>
      </c>
      <c r="D64" s="147">
        <f>VLOOKUP(E64,_Protheus_Cadastro!A:I,2,FALSE)</f>
        <v/>
      </c>
      <c r="E64" s="137" t="inlineStr">
        <is>
          <t>010032</t>
        </is>
      </c>
      <c r="F64" s="202">
        <f>IFERROR(INDEX(Vendidos!$H:$H,MATCH(E64,Vendidos!$B:$B,0)),"—")</f>
        <v/>
      </c>
      <c r="G64" s="138">
        <f>SUMIF('Fichas Flat'!$E$2:$E$880,E64,'Fichas Flat'!$K$2:$K$880)</f>
        <v/>
      </c>
      <c r="H64" s="139">
        <f>IFERROR(G64/F64,0)</f>
        <v/>
      </c>
      <c r="I64" s="138">
        <f>IFERROR(F64-G64,0)</f>
        <v/>
      </c>
      <c r="J64" s="139">
        <f>IFERROR(I64/F64,0)</f>
        <v/>
      </c>
      <c r="K64" s="138">
        <f>IFERROR(G64/0.3,0)</f>
        <v/>
      </c>
      <c r="L64" s="154" t="n">
        <v>135.99</v>
      </c>
      <c r="M64" s="140" t="n">
        <v>0</v>
      </c>
      <c r="N64" s="141" t="n">
        <v>0</v>
      </c>
      <c r="O64" s="140" t="n">
        <v>135.99</v>
      </c>
      <c r="P64" s="141" t="n">
        <v>1</v>
      </c>
      <c r="Q64" s="142" t="n">
        <v>46148</v>
      </c>
      <c r="R64" s="203">
        <f>IFERROR(IF(M63="","—",H64-N63),"—")</f>
        <v/>
      </c>
      <c r="S64" s="204" t="inlineStr">
        <is>
          <t>Sim</t>
        </is>
      </c>
      <c r="T64" s="137">
        <f>IFERROR(IF(H63=0,"—",IF(H63&lt;=0.25,"✔  OK",IF(H63&lt;=0.35,"⚠  Atenção","✖  Crítico"))),"—")</f>
        <v/>
      </c>
      <c r="U64" s="136" t="n"/>
      <c r="V64" s="136" t="n"/>
    </row>
    <row r="65" ht="15" customHeight="1">
      <c r="A65" s="150" t="inlineStr">
        <is>
          <t>Espetos</t>
        </is>
      </c>
      <c r="B65" s="136" t="inlineStr">
        <is>
          <t>Premium</t>
        </is>
      </c>
      <c r="C65" s="145" t="inlineStr">
        <is>
          <t>Picanha</t>
        </is>
      </c>
      <c r="D65" s="147">
        <f>VLOOKUP(E65,_Protheus_Cadastro!A:I,2,FALSE)</f>
        <v/>
      </c>
      <c r="E65" s="137" t="inlineStr">
        <is>
          <t>000770</t>
        </is>
      </c>
      <c r="F65" s="202">
        <f>IFERROR(INDEX(Vendidos!$H:$H,MATCH(E65,Vendidos!$B:$B,0)),"—")</f>
        <v/>
      </c>
      <c r="G65" s="138">
        <f>SUMIF('Fichas Flat'!$E$2:$E$880,E65,'Fichas Flat'!$K$2:$K$880)</f>
        <v/>
      </c>
      <c r="H65" s="139">
        <f>IFERROR(G65/F65,0)</f>
        <v/>
      </c>
      <c r="I65" s="138">
        <f>IFERROR(F65-G65,0)</f>
        <v/>
      </c>
      <c r="J65" s="139">
        <f>IFERROR(I65/F65,0)</f>
        <v/>
      </c>
      <c r="K65" s="138">
        <f>IFERROR(G65/0.3,0)</f>
        <v/>
      </c>
      <c r="L65" s="154" t="n">
        <v>19.99</v>
      </c>
      <c r="M65" s="140" t="n">
        <v>3.4</v>
      </c>
      <c r="N65" s="141" t="n">
        <v>0.1700850425212606</v>
      </c>
      <c r="O65" s="140" t="n">
        <v>16.59</v>
      </c>
      <c r="P65" s="141" t="n">
        <v>0.8299149574787394</v>
      </c>
      <c r="Q65" s="142" t="n">
        <v>46148</v>
      </c>
      <c r="R65" s="203">
        <f>IFERROR(IF(M64="","—",H65-N64),"—")</f>
        <v/>
      </c>
      <c r="S65" s="204" t="inlineStr">
        <is>
          <t>Sim</t>
        </is>
      </c>
      <c r="T65" s="137">
        <f>IFERROR(IF(H64=0,"—",IF(H64&lt;=0.25,"✔  OK",IF(H64&lt;=0.35,"⚠  Atenção","✖  Crítico"))),"—")</f>
        <v/>
      </c>
      <c r="U65" s="136" t="n"/>
      <c r="V65" s="136" t="n"/>
    </row>
    <row r="66" ht="15" customHeight="1">
      <c r="A66" s="150" t="inlineStr">
        <is>
          <t>Bebidas Frias</t>
        </is>
      </c>
      <c r="B66" s="136" t="inlineStr">
        <is>
          <t>Vinhos - Branco</t>
        </is>
      </c>
      <c r="C66" s="145" t="inlineStr">
        <is>
          <t>Norton Porteño Chardonay</t>
        </is>
      </c>
      <c r="D66" s="147">
        <f>VLOOKUP(E66,_Protheus_Cadastro!A:I,2,FALSE)</f>
        <v/>
      </c>
      <c r="E66" s="137" t="inlineStr">
        <is>
          <t>001391</t>
        </is>
      </c>
      <c r="F66" s="202">
        <f>IFERROR(INDEX(Vendidos!$H:$H,MATCH(E66,Vendidos!$B:$B,0)),"—")</f>
        <v/>
      </c>
      <c r="G66" s="138">
        <f>SUMIF('Fichas Flat'!$E$2:$E$880,E66,'Fichas Flat'!$K$2:$K$880)</f>
        <v/>
      </c>
      <c r="H66" s="139">
        <f>IFERROR(G66/F66,0)</f>
        <v/>
      </c>
      <c r="I66" s="138">
        <f>IFERROR(F66-G66,0)</f>
        <v/>
      </c>
      <c r="J66" s="139">
        <f>IFERROR(I66/F66,0)</f>
        <v/>
      </c>
      <c r="K66" s="138">
        <f>IFERROR(G66/0.3,0)</f>
        <v/>
      </c>
      <c r="L66" s="154" t="n">
        <v>99.98999999999999</v>
      </c>
      <c r="M66" s="140" t="n">
        <v>5.0058</v>
      </c>
      <c r="N66" s="141" t="n">
        <v>0.05006300630063006</v>
      </c>
      <c r="O66" s="140" t="n">
        <v>94.9842</v>
      </c>
      <c r="P66" s="141" t="n">
        <v>0.94993699369937</v>
      </c>
      <c r="Q66" s="142" t="n">
        <v>46148</v>
      </c>
      <c r="R66" s="203">
        <f>IFERROR(IF(M65="","—",H66-N65),"—")</f>
        <v/>
      </c>
      <c r="S66" s="204" t="inlineStr">
        <is>
          <t>Sim</t>
        </is>
      </c>
      <c r="T66" s="137">
        <f>IFERROR(IF(H65=0,"—",IF(H65&lt;=0.25,"✔  OK",IF(H65&lt;=0.35,"⚠  Atenção","✖  Crítico"))),"—")</f>
        <v/>
      </c>
      <c r="U66" s="136" t="n"/>
      <c r="V66" s="136" t="n"/>
    </row>
    <row r="67" ht="15" customHeight="1">
      <c r="A67" s="150" t="inlineStr">
        <is>
          <t>Guarnições</t>
        </is>
      </c>
      <c r="B67" s="136" t="inlineStr">
        <is>
          <t>Guarnições</t>
        </is>
      </c>
      <c r="C67" s="145" t="inlineStr">
        <is>
          <t>Porção de Pastéis</t>
        </is>
      </c>
      <c r="D67" s="147">
        <f>VLOOKUP(E67,_Protheus_Cadastro!A:I,2,FALSE)</f>
        <v/>
      </c>
      <c r="E67" s="137" t="inlineStr">
        <is>
          <t>001069</t>
        </is>
      </c>
      <c r="F67" s="202">
        <f>IFERROR(INDEX(Vendidos!$H:$H,MATCH(E67,Vendidos!$B:$B,0)),"—")</f>
        <v/>
      </c>
      <c r="G67" s="138">
        <f>SUMIF('Fichas Flat'!$E$2:$E$880,E67,'Fichas Flat'!$K$2:$K$880)</f>
        <v/>
      </c>
      <c r="H67" s="139">
        <f>IFERROR(G67/F67,0)</f>
        <v/>
      </c>
      <c r="I67" s="138">
        <f>IFERROR(F67-G67,0)</f>
        <v/>
      </c>
      <c r="J67" s="139">
        <f>IFERROR(I67/F67,0)</f>
        <v/>
      </c>
      <c r="K67" s="138">
        <f>IFERROR(G67/0.3,0)</f>
        <v/>
      </c>
      <c r="L67" s="154" t="n">
        <v>17.99</v>
      </c>
      <c r="M67" s="140" t="n">
        <v>0</v>
      </c>
      <c r="N67" s="141" t="n">
        <v>0</v>
      </c>
      <c r="O67" s="140" t="n">
        <v>17.99</v>
      </c>
      <c r="P67" s="141" t="n">
        <v>1</v>
      </c>
      <c r="Q67" s="142" t="n">
        <v>46148</v>
      </c>
      <c r="R67" s="203">
        <f>IFERROR(IF(M66="","—",H67-N66),"—")</f>
        <v/>
      </c>
      <c r="S67" s="204" t="inlineStr">
        <is>
          <t>Sim</t>
        </is>
      </c>
      <c r="T67" s="137">
        <f>IFERROR(IF(H66=0,"—",IF(H66&lt;=0.25,"✔  OK",IF(H66&lt;=0.35,"⚠  Atenção","✖  Crítico"))),"—")</f>
        <v/>
      </c>
      <c r="U67" s="136" t="n"/>
      <c r="V67" s="136" t="n"/>
    </row>
    <row r="68" ht="15" customHeight="1">
      <c r="A68" s="150" t="inlineStr">
        <is>
          <t>Espetos</t>
        </is>
      </c>
      <c r="B68" s="136" t="inlineStr">
        <is>
          <t>Boteco no Espeto</t>
        </is>
      </c>
      <c r="C68" s="145" t="inlineStr">
        <is>
          <t>Crispy de Gouda</t>
        </is>
      </c>
      <c r="D68" s="147">
        <f>VLOOKUP(E68,_Protheus_Cadastro!A:I,2,FALSE)</f>
        <v/>
      </c>
      <c r="E68" s="137" t="inlineStr">
        <is>
          <t>001495</t>
        </is>
      </c>
      <c r="F68" s="202">
        <f>IFERROR(INDEX(Vendidos!$H:$H,MATCH(E68,Vendidos!$B:$B,0)),"—")</f>
        <v/>
      </c>
      <c r="G68" s="138">
        <f>SUMIF('Fichas Flat'!$E$2:$E$880,E68,'Fichas Flat'!$K$2:$K$880)</f>
        <v/>
      </c>
      <c r="H68" s="139">
        <f>IFERROR(G68/F68,0)</f>
        <v/>
      </c>
      <c r="I68" s="138">
        <f>IFERROR(F68-G68,0)</f>
        <v/>
      </c>
      <c r="J68" s="139">
        <f>IFERROR(I68/F68,0)</f>
        <v/>
      </c>
      <c r="K68" s="138">
        <f>IFERROR(G68/0.3,0)</f>
        <v/>
      </c>
      <c r="L68" s="154" t="n">
        <v>17.99</v>
      </c>
      <c r="M68" s="140" t="n">
        <v>1.6604344</v>
      </c>
      <c r="N68" s="141" t="n">
        <v>0.09229763201778766</v>
      </c>
      <c r="O68" s="140" t="n">
        <v>16.3295656</v>
      </c>
      <c r="P68" s="141" t="n">
        <v>0.9077023679822124</v>
      </c>
      <c r="Q68" s="142" t="n">
        <v>46148</v>
      </c>
      <c r="R68" s="203">
        <f>IFERROR(IF(M67="","—",H68-N67),"—")</f>
        <v/>
      </c>
      <c r="S68" s="204" t="inlineStr">
        <is>
          <t>Sim</t>
        </is>
      </c>
      <c r="T68" s="137">
        <f>IFERROR(IF(H67=0,"—",IF(H67&lt;=0.25,"✔  OK",IF(H67&lt;=0.35,"⚠  Atenção","✖  Crítico"))),"—")</f>
        <v/>
      </c>
      <c r="U68" s="136" t="n"/>
      <c r="V68" s="136" t="n"/>
    </row>
    <row r="69" ht="15" customHeight="1">
      <c r="A69" s="150" t="inlineStr">
        <is>
          <t>Drinks</t>
        </is>
      </c>
      <c r="B69" s="136" t="inlineStr">
        <is>
          <t>Drinks</t>
        </is>
      </c>
      <c r="C69" s="145" t="inlineStr">
        <is>
          <t>Sex on the Beach</t>
        </is>
      </c>
      <c r="D69" s="147">
        <f>VLOOKUP(E69,_Protheus_Cadastro!A:I,2,FALSE)</f>
        <v/>
      </c>
      <c r="E69" s="137" t="inlineStr">
        <is>
          <t>002264</t>
        </is>
      </c>
      <c r="F69" s="202">
        <f>IFERROR(INDEX(Vendidos!$H:$H,MATCH(E69,Vendidos!$B:$B,0)),"—")</f>
        <v/>
      </c>
      <c r="G69" s="138">
        <f>SUMIF('Fichas Flat'!$E$2:$E$880,E69,'Fichas Flat'!$K$2:$K$880)</f>
        <v/>
      </c>
      <c r="H69" s="139">
        <f>IFERROR(G69/F69,0)</f>
        <v/>
      </c>
      <c r="I69" s="138">
        <f>IFERROR(F69-G69,0)</f>
        <v/>
      </c>
      <c r="J69" s="139">
        <f>IFERROR(I69/F69,0)</f>
        <v/>
      </c>
      <c r="K69" s="138">
        <f>IFERROR(G69/0.3,0)</f>
        <v/>
      </c>
      <c r="L69" s="154" t="n">
        <v>38</v>
      </c>
      <c r="M69" s="140" t="n">
        <v>1.793256</v>
      </c>
      <c r="N69" s="141" t="n">
        <v>0.04719094736842105</v>
      </c>
      <c r="O69" s="140" t="n">
        <v>36.206744</v>
      </c>
      <c r="P69" s="141" t="n">
        <v>0.952809052631579</v>
      </c>
      <c r="Q69" s="142" t="n">
        <v>46148</v>
      </c>
      <c r="R69" s="203">
        <f>IFERROR(IF(M68="","—",H69-N68),"—")</f>
        <v/>
      </c>
      <c r="S69" s="204" t="inlineStr">
        <is>
          <t>Não</t>
        </is>
      </c>
      <c r="T69" s="137">
        <f>IFERROR(IF(H68=0,"—",IF(H68&lt;=0.25,"✔  OK",IF(H68&lt;=0.35,"⚠  Atenção","✖  Crítico"))),"—")</f>
        <v/>
      </c>
      <c r="U69" s="136" t="n"/>
      <c r="V69" s="136" t="n"/>
    </row>
    <row r="70" ht="15" customHeight="1">
      <c r="A70" s="150" t="inlineStr">
        <is>
          <t>Bebidas Frias</t>
        </is>
      </c>
      <c r="B70" s="136" t="inlineStr">
        <is>
          <t>Vinhos - Branco</t>
        </is>
      </c>
      <c r="C70" s="145" t="inlineStr">
        <is>
          <t>Villa Fabrizia Lambrusco</t>
        </is>
      </c>
      <c r="D70" s="147">
        <f>VLOOKUP(E70,_Protheus_Cadastro!A:I,2,FALSE)</f>
        <v/>
      </c>
      <c r="E70" s="137" t="inlineStr">
        <is>
          <t>000283</t>
        </is>
      </c>
      <c r="F70" s="202">
        <f>IFERROR(INDEX(Vendidos!$H:$H,MATCH(E70,Vendidos!$B:$B,0)),"—")</f>
        <v/>
      </c>
      <c r="G70" s="138">
        <f>SUMIF('Fichas Flat'!$E$2:$E$880,E70,'Fichas Flat'!$K$2:$K$880)</f>
        <v/>
      </c>
      <c r="H70" s="139">
        <f>IFERROR(G70/F70,0)</f>
        <v/>
      </c>
      <c r="I70" s="138">
        <f>IFERROR(F70-G70,0)</f>
        <v/>
      </c>
      <c r="J70" s="139">
        <f>IFERROR(I70/F70,0)</f>
        <v/>
      </c>
      <c r="K70" s="138">
        <f>IFERROR(G70/0.3,0)</f>
        <v/>
      </c>
      <c r="L70" s="154" t="n">
        <v>135.99</v>
      </c>
      <c r="M70" s="140" t="n">
        <v>2.49</v>
      </c>
      <c r="N70" s="141" t="n">
        <v>0.01831016986543128</v>
      </c>
      <c r="O70" s="140" t="n">
        <v>133.5</v>
      </c>
      <c r="P70" s="141" t="n">
        <v>0.9816898301345687</v>
      </c>
      <c r="Q70" s="142" t="n">
        <v>46148</v>
      </c>
      <c r="R70" s="203">
        <f>IFERROR(IF(M69="","—",H70-N69),"—")</f>
        <v/>
      </c>
      <c r="S70" s="204" t="inlineStr">
        <is>
          <t>Sim</t>
        </is>
      </c>
      <c r="T70" s="137">
        <f>IFERROR(IF(H69=0,"—",IF(H69&lt;=0.25,"✔  OK",IF(H69&lt;=0.35,"⚠  Atenção","✖  Crítico"))),"—")</f>
        <v/>
      </c>
      <c r="U70" s="136" t="n"/>
      <c r="V70" s="136" t="n"/>
    </row>
    <row r="71" ht="15" customHeight="1">
      <c r="A71" s="149" t="inlineStr">
        <is>
          <t>Espetos</t>
        </is>
      </c>
      <c r="B71" s="127" t="inlineStr">
        <is>
          <t>In Natura</t>
        </is>
      </c>
      <c r="C71" s="146" t="inlineStr">
        <is>
          <t>Kafta</t>
        </is>
      </c>
      <c r="D71" s="148">
        <f>VLOOKUP(E71,_Protheus_Cadastro!A:I,2,FALSE)</f>
        <v/>
      </c>
      <c r="E71" s="128" t="inlineStr">
        <is>
          <t>000007</t>
        </is>
      </c>
      <c r="F71" s="205">
        <f>IFERROR(INDEX(Vendidos!$H:$H,MATCH(E71,Vendidos!$B:$B,0)),"—")</f>
        <v/>
      </c>
      <c r="G71" s="129">
        <f>SUMIF('Fichas Flat'!$E$2:$E$880,E71,'Fichas Flat'!$K$2:$K$880)</f>
        <v/>
      </c>
      <c r="H71" s="130">
        <f>IFERROR(G71/F71,0)</f>
        <v/>
      </c>
      <c r="I71" s="129">
        <f>IFERROR(F71-G71,0)</f>
        <v/>
      </c>
      <c r="J71" s="130">
        <f>IFERROR(I71/F71,0)</f>
        <v/>
      </c>
      <c r="K71" s="129">
        <f>IFERROR(G71/0.3,0)</f>
        <v/>
      </c>
      <c r="L71" s="153" t="n">
        <v>29.9</v>
      </c>
      <c r="M71" s="131" t="n">
        <v>16.4969</v>
      </c>
      <c r="N71" s="132" t="n">
        <v>0.5517357859531773</v>
      </c>
      <c r="O71" s="131" t="n">
        <v>13.4031</v>
      </c>
      <c r="P71" s="132" t="n">
        <v>0.4482642140468227</v>
      </c>
      <c r="Q71" s="133" t="n">
        <v>46148</v>
      </c>
      <c r="R71" s="206">
        <f>IFERROR(IF(M70="","—",H71-N70),"—")</f>
        <v/>
      </c>
      <c r="S71" s="207" t="inlineStr">
        <is>
          <t>Sim</t>
        </is>
      </c>
      <c r="T71" s="128">
        <f>IFERROR(IF(H70=0,"—",IF(H70&lt;=0.25,"✔  OK",IF(H70&lt;=0.35,"⚠  Atenção","✖  Crítico"))),"—")</f>
        <v/>
      </c>
      <c r="U71" s="127" t="n"/>
      <c r="V71" s="127" t="n"/>
    </row>
    <row r="72" ht="15" customHeight="1">
      <c r="A72" s="149" t="inlineStr">
        <is>
          <t>Bebidas Frias</t>
        </is>
      </c>
      <c r="B72" s="127" t="inlineStr">
        <is>
          <t>Soft Drinks</t>
        </is>
      </c>
      <c r="C72" s="146" t="inlineStr">
        <is>
          <t>Red Bull</t>
        </is>
      </c>
      <c r="D72" s="148">
        <f>VLOOKUP(E72,_Protheus_Cadastro!A:I,2,FALSE)</f>
        <v/>
      </c>
      <c r="E72" s="128" t="inlineStr">
        <is>
          <t>000891</t>
        </is>
      </c>
      <c r="F72" s="205">
        <f>IFERROR(INDEX(Vendidos!$H:$H,MATCH(E72,Vendidos!$B:$B,0)),"—")</f>
        <v/>
      </c>
      <c r="G72" s="129">
        <f>SUMIF('Fichas Flat'!$E$2:$E$880,E72,'Fichas Flat'!$K$2:$K$880)</f>
        <v/>
      </c>
      <c r="H72" s="130">
        <f>IFERROR(G72/F72,0)</f>
        <v/>
      </c>
      <c r="I72" s="129">
        <f>IFERROR(F72-G72,0)</f>
        <v/>
      </c>
      <c r="J72" s="130">
        <f>IFERROR(I72/F72,0)</f>
        <v/>
      </c>
      <c r="K72" s="129">
        <f>IFERROR(G72/0.3,0)</f>
        <v/>
      </c>
      <c r="L72" s="153" t="n">
        <v>20.99</v>
      </c>
      <c r="M72" s="131" t="n">
        <v>3.8811</v>
      </c>
      <c r="N72" s="132" t="n">
        <v>0.1849023344449738</v>
      </c>
      <c r="O72" s="131" t="n">
        <v>17.1089</v>
      </c>
      <c r="P72" s="132" t="n">
        <v>0.8150976655550262</v>
      </c>
      <c r="Q72" s="133" t="n">
        <v>46148</v>
      </c>
      <c r="R72" s="206">
        <f>IFERROR(IF(M71="","—",H72-N71),"—")</f>
        <v/>
      </c>
      <c r="S72" s="207" t="inlineStr">
        <is>
          <t>Sim</t>
        </is>
      </c>
      <c r="T72" s="128">
        <f>IFERROR(IF(H71=0,"—",IF(H71&lt;=0.25,"✔  OK",IF(H71&lt;=0.35,"⚠  Atenção","✖  Crítico"))),"—")</f>
        <v/>
      </c>
      <c r="U72" s="127" t="n"/>
      <c r="V72" s="127" t="n"/>
    </row>
    <row r="73" ht="15" customHeight="1">
      <c r="A73" s="149" t="inlineStr">
        <is>
          <t>Sazonais</t>
        </is>
      </c>
      <c r="B73" s="127" t="inlineStr">
        <is>
          <t>Sazonais</t>
        </is>
      </c>
      <c r="C73" s="146" t="inlineStr">
        <is>
          <t>Casquinha Sorvete de Baunilha</t>
        </is>
      </c>
      <c r="D73" s="148">
        <f>VLOOKUP(E73,_Protheus_Cadastro!A:I,2,FALSE)</f>
        <v/>
      </c>
      <c r="E73" s="128" t="inlineStr">
        <is>
          <t>010091</t>
        </is>
      </c>
      <c r="F73" s="205">
        <f>IFERROR(INDEX(Vendidos!$H:$H,MATCH(E73,Vendidos!$B:$B,0)),"—")</f>
        <v/>
      </c>
      <c r="G73" s="129">
        <f>SUMIF('Fichas Flat'!$E$2:$E$880,E73,'Fichas Flat'!$K$2:$K$880)</f>
        <v/>
      </c>
      <c r="H73" s="130">
        <f>IFERROR(G73/F73,0)</f>
        <v/>
      </c>
      <c r="I73" s="129">
        <f>IFERROR(F73-G73,0)</f>
        <v/>
      </c>
      <c r="J73" s="130">
        <f>IFERROR(I73/F73,0)</f>
        <v/>
      </c>
      <c r="K73" s="129">
        <f>IFERROR(G73/0.3,0)</f>
        <v/>
      </c>
      <c r="L73" s="153" t="n">
        <v>9.9</v>
      </c>
      <c r="M73" s="131" t="n">
        <v>0</v>
      </c>
      <c r="N73" s="132" t="n">
        <v>0</v>
      </c>
      <c r="O73" s="131" t="n">
        <v>9.9</v>
      </c>
      <c r="P73" s="132" t="n">
        <v>1</v>
      </c>
      <c r="Q73" s="133" t="n">
        <v>46148</v>
      </c>
      <c r="R73" s="206">
        <f>IFERROR(IF(M72="","—",H73-N72),"—")</f>
        <v/>
      </c>
      <c r="S73" s="207" t="inlineStr">
        <is>
          <t>Não</t>
        </is>
      </c>
      <c r="T73" s="128">
        <f>IFERROR(IF(H72=0,"—",IF(H72&lt;=0.25,"✔  OK",IF(H72&lt;=0.35,"⚠  Atenção","✖  Crítico"))),"—")</f>
        <v/>
      </c>
      <c r="U73" s="127" t="n"/>
      <c r="V73" s="127" t="n"/>
    </row>
    <row r="74" ht="15" customHeight="1">
      <c r="A74" s="149" t="inlineStr">
        <is>
          <t>Drinks</t>
        </is>
      </c>
      <c r="B74" s="127" t="inlineStr">
        <is>
          <t>Drinks</t>
        </is>
      </c>
      <c r="C74" s="146" t="inlineStr">
        <is>
          <t>Mojito</t>
        </is>
      </c>
      <c r="D74" s="148">
        <f>VLOOKUP(E74,_Protheus_Cadastro!A:I,2,FALSE)</f>
        <v/>
      </c>
      <c r="E74" s="128" t="inlineStr">
        <is>
          <t>002265</t>
        </is>
      </c>
      <c r="F74" s="205">
        <f>IFERROR(INDEX(Vendidos!$H:$H,MATCH(E74,Vendidos!$B:$B,0)),"—")</f>
        <v/>
      </c>
      <c r="G74" s="129">
        <f>SUMIF('Fichas Flat'!$E$2:$E$880,E74,'Fichas Flat'!$K$2:$K$880)</f>
        <v/>
      </c>
      <c r="H74" s="130">
        <f>IFERROR(G74/F74,0)</f>
        <v/>
      </c>
      <c r="I74" s="129">
        <f>IFERROR(F74-G74,0)</f>
        <v/>
      </c>
      <c r="J74" s="130">
        <f>IFERROR(I74/F74,0)</f>
        <v/>
      </c>
      <c r="K74" s="129">
        <f>IFERROR(G74/0.3,0)</f>
        <v/>
      </c>
      <c r="L74" s="153" t="n">
        <v>38</v>
      </c>
      <c r="M74" s="131" t="n">
        <v>3.557612</v>
      </c>
      <c r="N74" s="132" t="n">
        <v>0.09362136842105263</v>
      </c>
      <c r="O74" s="131" t="n">
        <v>34.442388</v>
      </c>
      <c r="P74" s="132" t="n">
        <v>0.9063786315789474</v>
      </c>
      <c r="Q74" s="133" t="n">
        <v>46148</v>
      </c>
      <c r="R74" s="206">
        <f>IFERROR(IF(M73="","—",H74-N73),"—")</f>
        <v/>
      </c>
      <c r="S74" s="207" t="inlineStr">
        <is>
          <t>Não</t>
        </is>
      </c>
      <c r="T74" s="128">
        <f>IFERROR(IF(H73=0,"—",IF(H73&lt;=0.25,"✔  OK",IF(H73&lt;=0.35,"⚠  Atenção","✖  Crítico"))),"—")</f>
        <v/>
      </c>
      <c r="U74" s="127" t="n"/>
      <c r="V74" s="127" t="n"/>
    </row>
    <row r="75" ht="15" customHeight="1">
      <c r="A75" s="150" t="inlineStr">
        <is>
          <t>Drinks</t>
        </is>
      </c>
      <c r="B75" s="136" t="inlineStr">
        <is>
          <t>Drinks</t>
        </is>
      </c>
      <c r="C75" s="145" t="inlineStr">
        <is>
          <t>Caramelito Mule</t>
        </is>
      </c>
      <c r="D75" s="147">
        <f>VLOOKUP(E75,_Protheus_Cadastro!A:I,2,FALSE)</f>
        <v/>
      </c>
      <c r="E75" s="137" t="inlineStr">
        <is>
          <t>001501</t>
        </is>
      </c>
      <c r="F75" s="202">
        <f>IFERROR(INDEX(Vendidos!$H:$H,MATCH(E75,Vendidos!$B:$B,0)),"—")</f>
        <v/>
      </c>
      <c r="G75" s="138">
        <f>SUMIF('Fichas Flat'!$E$2:$E$880,E75,'Fichas Flat'!$K$2:$K$880)</f>
        <v/>
      </c>
      <c r="H75" s="139">
        <f>IFERROR(G75/F75,0)</f>
        <v/>
      </c>
      <c r="I75" s="138">
        <f>IFERROR(F75-G75,0)</f>
        <v/>
      </c>
      <c r="J75" s="139">
        <f>IFERROR(I75/F75,0)</f>
        <v/>
      </c>
      <c r="K75" s="138">
        <f>IFERROR(G75/0.3,0)</f>
        <v/>
      </c>
      <c r="L75" s="154" t="n">
        <v>40.99</v>
      </c>
      <c r="M75" s="140" t="n">
        <v>3.87079</v>
      </c>
      <c r="N75" s="141" t="n">
        <v>0.0944325445230544</v>
      </c>
      <c r="O75" s="140" t="n">
        <v>37.11921</v>
      </c>
      <c r="P75" s="141" t="n">
        <v>0.9055674554769456</v>
      </c>
      <c r="Q75" s="142" t="n">
        <v>46148</v>
      </c>
      <c r="R75" s="203">
        <f>IFERROR(IF(M74="","—",H75-N74),"—")</f>
        <v/>
      </c>
      <c r="S75" s="204" t="inlineStr">
        <is>
          <t>Não</t>
        </is>
      </c>
      <c r="T75" s="137">
        <f>IFERROR(IF(H74=0,"—",IF(H74&lt;=0.25,"✔  OK",IF(H74&lt;=0.35,"⚠  Atenção","✖  Crítico"))),"—")</f>
        <v/>
      </c>
      <c r="U75" s="136" t="n"/>
      <c r="V75" s="136" t="n"/>
    </row>
    <row r="76" ht="15" customHeight="1">
      <c r="A76" s="149" t="inlineStr">
        <is>
          <t>Drinks</t>
        </is>
      </c>
      <c r="B76" s="127" t="inlineStr">
        <is>
          <t>Drinks</t>
        </is>
      </c>
      <c r="C76" s="146" t="inlineStr">
        <is>
          <t>Fitz Gerald</t>
        </is>
      </c>
      <c r="D76" s="148">
        <f>VLOOKUP(E76,_Protheus_Cadastro!A:I,2,FALSE)</f>
        <v/>
      </c>
      <c r="E76" s="128" t="inlineStr">
        <is>
          <t>001951</t>
        </is>
      </c>
      <c r="F76" s="205">
        <f>IFERROR(INDEX(Vendidos!$H:$H,MATCH(E76,Vendidos!$B:$B,0)),"—")</f>
        <v/>
      </c>
      <c r="G76" s="129">
        <f>SUMIF('Fichas Flat'!$E$2:$E$880,E76,'Fichas Flat'!$K$2:$K$880)</f>
        <v/>
      </c>
      <c r="H76" s="130">
        <f>IFERROR(G76/F76,0)</f>
        <v/>
      </c>
      <c r="I76" s="129">
        <f>IFERROR(F76-G76,0)</f>
        <v/>
      </c>
      <c r="J76" s="130">
        <f>IFERROR(I76/F76,0)</f>
        <v/>
      </c>
      <c r="K76" s="129">
        <f>IFERROR(G76/0.3,0)</f>
        <v/>
      </c>
      <c r="L76" s="153" t="n">
        <v>38.99</v>
      </c>
      <c r="M76" s="131" t="n">
        <v>1.846</v>
      </c>
      <c r="N76" s="132" t="n">
        <v>0.04734547319825597</v>
      </c>
      <c r="O76" s="131" t="n">
        <v>37.14400000000001</v>
      </c>
      <c r="P76" s="132" t="n">
        <v>0.9526545268017441</v>
      </c>
      <c r="Q76" s="133" t="n">
        <v>46148</v>
      </c>
      <c r="R76" s="206">
        <f>IFERROR(IF(M75="","—",H76-N75),"—")</f>
        <v/>
      </c>
      <c r="S76" s="207" t="inlineStr">
        <is>
          <t>Sim</t>
        </is>
      </c>
      <c r="T76" s="128">
        <f>IFERROR(IF(H75=0,"—",IF(H75&lt;=0.25,"✔  OK",IF(H75&lt;=0.35,"⚠  Atenção","✖  Crítico"))),"—")</f>
        <v/>
      </c>
      <c r="U76" s="127" t="n"/>
      <c r="V76" s="127" t="n"/>
    </row>
    <row r="77" ht="15" customHeight="1">
      <c r="A77" s="149" t="inlineStr">
        <is>
          <t>Espetos</t>
        </is>
      </c>
      <c r="B77" s="127" t="inlineStr">
        <is>
          <t>Direto da Fazenda</t>
        </is>
      </c>
      <c r="C77" s="146" t="inlineStr">
        <is>
          <t>Queijo Coalho</t>
        </is>
      </c>
      <c r="D77" s="148">
        <f>VLOOKUP(E77,_Protheus_Cadastro!A:I,2,FALSE)</f>
        <v/>
      </c>
      <c r="E77" s="128" t="inlineStr">
        <is>
          <t>000282</t>
        </is>
      </c>
      <c r="F77" s="205">
        <f>IFERROR(INDEX(Vendidos!$H:$H,MATCH(E77,Vendidos!$B:$B,0)),"—")</f>
        <v/>
      </c>
      <c r="G77" s="129">
        <f>SUMIF('Fichas Flat'!$E$2:$E$880,E77,'Fichas Flat'!$K$2:$K$880)</f>
        <v/>
      </c>
      <c r="H77" s="130">
        <f>IFERROR(G77/F77,0)</f>
        <v/>
      </c>
      <c r="I77" s="129">
        <f>IFERROR(F77-G77,0)</f>
        <v/>
      </c>
      <c r="J77" s="130">
        <f>IFERROR(I77/F77,0)</f>
        <v/>
      </c>
      <c r="K77" s="129">
        <f>IFERROR(G77/0.3,0)</f>
        <v/>
      </c>
      <c r="L77" s="153" t="n">
        <v>13.99</v>
      </c>
      <c r="M77" s="131" t="n">
        <v>0</v>
      </c>
      <c r="N77" s="132" t="n">
        <v>0</v>
      </c>
      <c r="O77" s="131" t="n">
        <v>13.99</v>
      </c>
      <c r="P77" s="132" t="n">
        <v>1</v>
      </c>
      <c r="Q77" s="133" t="n">
        <v>46148</v>
      </c>
      <c r="R77" s="206">
        <f>IFERROR(IF(M76="","—",H77-N76),"—")</f>
        <v/>
      </c>
      <c r="S77" s="207" t="inlineStr">
        <is>
          <t>Sim</t>
        </is>
      </c>
      <c r="T77" s="128">
        <f>IFERROR(IF(H76=0,"—",IF(H76&lt;=0.25,"✔  OK",IF(H76&lt;=0.35,"⚠  Atenção","✖  Crítico"))),"—")</f>
        <v/>
      </c>
      <c r="U77" s="127" t="n"/>
      <c r="V77" s="127" t="n"/>
    </row>
    <row r="78" ht="15" customHeight="1">
      <c r="A78" s="149" t="inlineStr">
        <is>
          <t>Espetos</t>
        </is>
      </c>
      <c r="B78" s="127" t="inlineStr">
        <is>
          <t>Tradicional</t>
        </is>
      </c>
      <c r="C78" s="146" t="inlineStr">
        <is>
          <t>Coração</t>
        </is>
      </c>
      <c r="D78" s="148">
        <f>VLOOKUP(E78,_Protheus_Cadastro!A:I,2,FALSE)</f>
        <v/>
      </c>
      <c r="E78" s="128" t="inlineStr">
        <is>
          <t>000023</t>
        </is>
      </c>
      <c r="F78" s="205">
        <f>IFERROR(INDEX(Vendidos!$H:$H,MATCH(E78,Vendidos!$B:$B,0)),"—")</f>
        <v/>
      </c>
      <c r="G78" s="129">
        <f>SUMIF('Fichas Flat'!$E$2:$E$880,E78,'Fichas Flat'!$K$2:$K$880)</f>
        <v/>
      </c>
      <c r="H78" s="130">
        <f>IFERROR(G78/F78,0)</f>
        <v/>
      </c>
      <c r="I78" s="129">
        <f>IFERROR(F78-G78,0)</f>
        <v/>
      </c>
      <c r="J78" s="130">
        <f>IFERROR(I78/F78,0)</f>
        <v/>
      </c>
      <c r="K78" s="129">
        <f>IFERROR(G78/0.3,0)</f>
        <v/>
      </c>
      <c r="L78" s="153" t="n">
        <v>13.99</v>
      </c>
      <c r="M78" s="131" t="n">
        <v>1.75</v>
      </c>
      <c r="N78" s="132" t="n">
        <v>0.1250893495353824</v>
      </c>
      <c r="O78" s="131" t="n">
        <v>12.24</v>
      </c>
      <c r="P78" s="132" t="n">
        <v>0.8749106504646176</v>
      </c>
      <c r="Q78" s="133" t="n">
        <v>46148</v>
      </c>
      <c r="R78" s="206">
        <f>IFERROR(IF(M77="","—",H78-N77),"—")</f>
        <v/>
      </c>
      <c r="S78" s="207" t="inlineStr">
        <is>
          <t>Sim</t>
        </is>
      </c>
      <c r="T78" s="128">
        <f>IFERROR(IF(H77=0,"—",IF(H77&lt;=0.25,"✔  OK",IF(H77&lt;=0.35,"⚠  Atenção","✖  Crítico"))),"—")</f>
        <v/>
      </c>
      <c r="U78" s="127" t="n"/>
      <c r="V78" s="127" t="n"/>
    </row>
    <row r="79" ht="15" customHeight="1">
      <c r="A79" s="149" t="inlineStr">
        <is>
          <t>Bebidas Frias</t>
        </is>
      </c>
      <c r="B79" s="127" t="inlineStr">
        <is>
          <t>Cerveja</t>
        </is>
      </c>
      <c r="C79" s="146" t="inlineStr">
        <is>
          <t>Malzbier</t>
        </is>
      </c>
      <c r="D79" s="148">
        <f>VLOOKUP(E79,_Protheus_Cadastro!A:I,2,FALSE)</f>
        <v/>
      </c>
      <c r="E79" s="128" t="inlineStr">
        <is>
          <t>000903</t>
        </is>
      </c>
      <c r="F79" s="205">
        <f>IFERROR(INDEX(Vendidos!$H:$H,MATCH(E79,Vendidos!$B:$B,0)),"—")</f>
        <v/>
      </c>
      <c r="G79" s="129">
        <f>SUMIF('Fichas Flat'!$E$2:$E$880,E79,'Fichas Flat'!$K$2:$K$880)</f>
        <v/>
      </c>
      <c r="H79" s="130">
        <f>IFERROR(G79/F79,0)</f>
        <v/>
      </c>
      <c r="I79" s="129">
        <f>IFERROR(F79-G79,0)</f>
        <v/>
      </c>
      <c r="J79" s="130">
        <f>IFERROR(I79/F79,0)</f>
        <v/>
      </c>
      <c r="K79" s="129">
        <f>IFERROR(G79/0.3,0)</f>
        <v/>
      </c>
      <c r="L79" s="153" t="n">
        <v>13.99</v>
      </c>
      <c r="M79" s="131" t="n">
        <v>1.849539</v>
      </c>
      <c r="N79" s="132" t="n">
        <v>0.1322043602573267</v>
      </c>
      <c r="O79" s="131" t="n">
        <v>12.140461</v>
      </c>
      <c r="P79" s="132" t="n">
        <v>0.8677956397426734</v>
      </c>
      <c r="Q79" s="133" t="n">
        <v>46148</v>
      </c>
      <c r="R79" s="206">
        <f>IFERROR(IF(M78="","—",H79-N78),"—")</f>
        <v/>
      </c>
      <c r="S79" s="207" t="inlineStr">
        <is>
          <t>Sim</t>
        </is>
      </c>
      <c r="T79" s="128">
        <f>IFERROR(IF(H78=0,"—",IF(H78&lt;=0.25,"✔  OK",IF(H78&lt;=0.35,"⚠  Atenção","✖  Crítico"))),"—")</f>
        <v/>
      </c>
      <c r="U79" s="127" t="n"/>
      <c r="V79" s="127" t="n"/>
    </row>
    <row r="80" ht="15" customHeight="1">
      <c r="A80" s="150" t="inlineStr">
        <is>
          <t>Drinks</t>
        </is>
      </c>
      <c r="B80" s="136" t="inlineStr">
        <is>
          <t>Drinks</t>
        </is>
      </c>
      <c r="C80" s="145" t="inlineStr">
        <is>
          <t>Negroni</t>
        </is>
      </c>
      <c r="D80" s="147">
        <f>VLOOKUP(E80,_Protheus_Cadastro!A:I,2,FALSE)</f>
        <v/>
      </c>
      <c r="E80" s="137" t="inlineStr">
        <is>
          <t>000063</t>
        </is>
      </c>
      <c r="F80" s="202">
        <f>IFERROR(INDEX(Vendidos!$H:$H,MATCH(E80,Vendidos!$B:$B,0)),"—")</f>
        <v/>
      </c>
      <c r="G80" s="138">
        <f>SUMIF('Fichas Flat'!$E$2:$E$880,E80,'Fichas Flat'!$K$2:$K$880)</f>
        <v/>
      </c>
      <c r="H80" s="139">
        <f>IFERROR(G80/F80,0)</f>
        <v/>
      </c>
      <c r="I80" s="138">
        <f>IFERROR(F80-G80,0)</f>
        <v/>
      </c>
      <c r="J80" s="139">
        <f>IFERROR(I80/F80,0)</f>
        <v/>
      </c>
      <c r="K80" s="138">
        <f>IFERROR(G80/0.3,0)</f>
        <v/>
      </c>
      <c r="L80" s="154" t="n">
        <v>39.99</v>
      </c>
      <c r="M80" s="140" t="n">
        <v>3.9288</v>
      </c>
      <c r="N80" s="141" t="n">
        <v>0.09824456114028507</v>
      </c>
      <c r="O80" s="140" t="n">
        <v>36.0612</v>
      </c>
      <c r="P80" s="141" t="n">
        <v>0.9017554388597149</v>
      </c>
      <c r="Q80" s="142" t="n">
        <v>46148</v>
      </c>
      <c r="R80" s="203">
        <f>IFERROR(IF(M79="","—",H80-N79),"—")</f>
        <v/>
      </c>
      <c r="S80" s="204" t="inlineStr">
        <is>
          <t>Sim</t>
        </is>
      </c>
      <c r="T80" s="137">
        <f>IFERROR(IF(H79=0,"—",IF(H79&lt;=0.25,"✔  OK",IF(H79&lt;=0.35,"⚠  Atenção","✖  Crítico"))),"—")</f>
        <v/>
      </c>
      <c r="U80" s="136" t="n"/>
      <c r="V80" s="136" t="n"/>
    </row>
    <row r="81" ht="15" customHeight="1">
      <c r="A81" s="150" t="inlineStr">
        <is>
          <t>Guarnições</t>
        </is>
      </c>
      <c r="B81" s="136" t="inlineStr">
        <is>
          <t>Porção</t>
        </is>
      </c>
      <c r="C81" s="145" t="inlineStr">
        <is>
          <t>Batata Smiles - Mc Cain</t>
        </is>
      </c>
      <c r="D81" s="147">
        <f>VLOOKUP(E81,_Protheus_Cadastro!A:I,2,FALSE)</f>
        <v/>
      </c>
      <c r="E81" s="137" t="inlineStr">
        <is>
          <t>001506</t>
        </is>
      </c>
      <c r="F81" s="202">
        <f>IFERROR(INDEX(Vendidos!$H:$H,MATCH(E81,Vendidos!$B:$B,0)),"—")</f>
        <v/>
      </c>
      <c r="G81" s="138">
        <f>SUMIF('Fichas Flat'!$E$2:$E$880,E81,'Fichas Flat'!$K$2:$K$880)</f>
        <v/>
      </c>
      <c r="H81" s="139">
        <f>IFERROR(G81/F81,0)</f>
        <v/>
      </c>
      <c r="I81" s="138">
        <f>IFERROR(F81-G81,0)</f>
        <v/>
      </c>
      <c r="J81" s="139">
        <f>IFERROR(I81/F81,0)</f>
        <v/>
      </c>
      <c r="K81" s="138">
        <f>IFERROR(G81/0.3,0)</f>
        <v/>
      </c>
      <c r="L81" s="154" t="n">
        <v>17.99</v>
      </c>
      <c r="M81" s="140" t="n">
        <v>1.133</v>
      </c>
      <c r="N81" s="141" t="n">
        <v>0.06297943301834354</v>
      </c>
      <c r="O81" s="140" t="n">
        <v>16.857</v>
      </c>
      <c r="P81" s="141" t="n">
        <v>0.9370205669816565</v>
      </c>
      <c r="Q81" s="142" t="n">
        <v>46148</v>
      </c>
      <c r="R81" s="203">
        <f>IFERROR(IF(M80="","—",H81-N80),"—")</f>
        <v/>
      </c>
      <c r="S81" s="204" t="inlineStr">
        <is>
          <t>Sim</t>
        </is>
      </c>
      <c r="T81" s="137">
        <f>IFERROR(IF(H80=0,"—",IF(H80&lt;=0.25,"✔  OK",IF(H80&lt;=0.35,"⚠  Atenção","✖  Crítico"))),"—")</f>
        <v/>
      </c>
      <c r="U81" s="136" t="n"/>
      <c r="V81" s="136" t="n"/>
    </row>
    <row r="82" ht="15" customHeight="1">
      <c r="A82" s="150" t="inlineStr">
        <is>
          <t>Bebidas Frias</t>
        </is>
      </c>
      <c r="B82" s="136" t="inlineStr">
        <is>
          <t>Soft Drinks</t>
        </is>
      </c>
      <c r="C82" s="145" t="inlineStr">
        <is>
          <t>H2OH</t>
        </is>
      </c>
      <c r="D82" s="147">
        <f>VLOOKUP(E82,_Protheus_Cadastro!A:I,2,FALSE)</f>
        <v/>
      </c>
      <c r="E82" s="137" t="inlineStr">
        <is>
          <t>000884</t>
        </is>
      </c>
      <c r="F82" s="202">
        <f>IFERROR(INDEX(Vendidos!$H:$H,MATCH(E82,Vendidos!$B:$B,0)),"—")</f>
        <v/>
      </c>
      <c r="G82" s="138">
        <f>SUMIF('Fichas Flat'!$E$2:$E$880,E82,'Fichas Flat'!$K$2:$K$880)</f>
        <v/>
      </c>
      <c r="H82" s="139">
        <f>IFERROR(G82/F82,0)</f>
        <v/>
      </c>
      <c r="I82" s="138">
        <f>IFERROR(F82-G82,0)</f>
        <v/>
      </c>
      <c r="J82" s="139">
        <f>IFERROR(I82/F82,0)</f>
        <v/>
      </c>
      <c r="K82" s="138">
        <f>IFERROR(G82/0.3,0)</f>
        <v/>
      </c>
      <c r="L82" s="154" t="n">
        <v>10.99</v>
      </c>
      <c r="M82" s="140" t="n">
        <v>2.1721</v>
      </c>
      <c r="N82" s="141" t="n">
        <v>0.1976433121019108</v>
      </c>
      <c r="O82" s="140" t="n">
        <v>8.8179</v>
      </c>
      <c r="P82" s="141" t="n">
        <v>0.8023566878980891</v>
      </c>
      <c r="Q82" s="142" t="n">
        <v>46148</v>
      </c>
      <c r="R82" s="203">
        <f>IFERROR(IF(M81="","—",H82-N81),"—")</f>
        <v/>
      </c>
      <c r="S82" s="204" t="inlineStr">
        <is>
          <t>Sim</t>
        </is>
      </c>
      <c r="T82" s="137">
        <f>IFERROR(IF(H81=0,"—",IF(H81&lt;=0.25,"✔  OK",IF(H81&lt;=0.35,"⚠  Atenção","✖  Crítico"))),"—")</f>
        <v/>
      </c>
      <c r="U82" s="136" t="n"/>
      <c r="V82" s="136" t="n"/>
    </row>
    <row r="83" ht="15" customHeight="1">
      <c r="A83" s="149" t="inlineStr">
        <is>
          <t>Drinks</t>
        </is>
      </c>
      <c r="B83" s="127" t="inlineStr">
        <is>
          <t>Drinks</t>
        </is>
      </c>
      <c r="C83" s="146" t="inlineStr">
        <is>
          <t>Gold Rush</t>
        </is>
      </c>
      <c r="D83" s="148">
        <f>VLOOKUP(E83,_Protheus_Cadastro!A:I,2,FALSE)</f>
        <v/>
      </c>
      <c r="E83" s="128" t="inlineStr">
        <is>
          <t>001959</t>
        </is>
      </c>
      <c r="F83" s="205">
        <f>IFERROR(INDEX(Vendidos!$H:$H,MATCH(E83,Vendidos!$B:$B,0)),"—")</f>
        <v/>
      </c>
      <c r="G83" s="129">
        <f>SUMIF('Fichas Flat'!$E$2:$E$880,E83,'Fichas Flat'!$K$2:$K$880)</f>
        <v/>
      </c>
      <c r="H83" s="130">
        <f>IFERROR(G83/F83,0)</f>
        <v/>
      </c>
      <c r="I83" s="129">
        <f>IFERROR(F83-G83,0)</f>
        <v/>
      </c>
      <c r="J83" s="130">
        <f>IFERROR(I83/F83,0)</f>
        <v/>
      </c>
      <c r="K83" s="129">
        <f>IFERROR(G83/0.3,0)</f>
        <v/>
      </c>
      <c r="L83" s="153" t="n">
        <v>38.99</v>
      </c>
      <c r="M83" s="131" t="n">
        <v>2.494</v>
      </c>
      <c r="N83" s="132" t="n">
        <v>0.06396511926134907</v>
      </c>
      <c r="O83" s="131" t="n">
        <v>36.496</v>
      </c>
      <c r="P83" s="132" t="n">
        <v>0.9360348807386509</v>
      </c>
      <c r="Q83" s="133" t="n">
        <v>46148</v>
      </c>
      <c r="R83" s="206">
        <f>IFERROR(IF(M82="","—",H83-N82),"—")</f>
        <v/>
      </c>
      <c r="S83" s="207" t="inlineStr">
        <is>
          <t>Sim</t>
        </is>
      </c>
      <c r="T83" s="128">
        <f>IFERROR(IF(H82=0,"—",IF(H82&lt;=0.25,"✔  OK",IF(H82&lt;=0.35,"⚠  Atenção","✖  Crítico"))),"—")</f>
        <v/>
      </c>
      <c r="U83" s="127" t="n"/>
      <c r="V83" s="127" t="n"/>
    </row>
    <row r="84" ht="15" customHeight="1">
      <c r="A84" s="149" t="inlineStr">
        <is>
          <t>Bebidas Frias</t>
        </is>
      </c>
      <c r="B84" s="127" t="inlineStr">
        <is>
          <t>Whiskies</t>
        </is>
      </c>
      <c r="C84" s="146" t="inlineStr">
        <is>
          <t>Chivas Regal 12 anos</t>
        </is>
      </c>
      <c r="D84" s="148">
        <f>VLOOKUP(E84,_Protheus_Cadastro!A:I,2,FALSE)</f>
        <v/>
      </c>
      <c r="E84" s="128" t="inlineStr">
        <is>
          <t>000050</t>
        </is>
      </c>
      <c r="F84" s="205">
        <f>IFERROR(INDEX(Vendidos!$H:$H,MATCH(E84,Vendidos!$B:$B,0)),"—")</f>
        <v/>
      </c>
      <c r="G84" s="129">
        <f>SUMIF('Fichas Flat'!$E$2:$E$880,E84,'Fichas Flat'!$K$2:$K$880)</f>
        <v/>
      </c>
      <c r="H84" s="130">
        <f>IFERROR(G84/F84,0)</f>
        <v/>
      </c>
      <c r="I84" s="129">
        <f>IFERROR(F84-G84,0)</f>
        <v/>
      </c>
      <c r="J84" s="130">
        <f>IFERROR(I84/F84,0)</f>
        <v/>
      </c>
      <c r="K84" s="129">
        <f>IFERROR(G84/0.3,0)</f>
        <v/>
      </c>
      <c r="L84" s="153" t="n">
        <v>390.99</v>
      </c>
      <c r="M84" s="131" t="n">
        <v>67.5</v>
      </c>
      <c r="N84" s="132" t="n">
        <v>0.1726386864114172</v>
      </c>
      <c r="O84" s="131" t="n">
        <v>323.49</v>
      </c>
      <c r="P84" s="132" t="n">
        <v>0.8273613135885828</v>
      </c>
      <c r="Q84" s="133" t="n">
        <v>46148</v>
      </c>
      <c r="R84" s="206">
        <f>IFERROR(IF(M83="","—",H84-N83),"—")</f>
        <v/>
      </c>
      <c r="S84" s="207" t="inlineStr">
        <is>
          <t>Sim</t>
        </is>
      </c>
      <c r="T84" s="128">
        <f>IFERROR(IF(H83=0,"—",IF(H83&lt;=0.25,"✔  OK",IF(H83&lt;=0.35,"⚠  Atenção","✖  Crítico"))),"—")</f>
        <v/>
      </c>
      <c r="U84" s="127" t="n"/>
      <c r="V84" s="127" t="n"/>
    </row>
    <row r="85" ht="15" customHeight="1">
      <c r="A85" s="149" t="inlineStr">
        <is>
          <t>Bebidas Frias</t>
        </is>
      </c>
      <c r="B85" s="127" t="inlineStr">
        <is>
          <t>Gin</t>
        </is>
      </c>
      <c r="C85" s="146" t="inlineStr">
        <is>
          <t>Beefeater London Dry</t>
        </is>
      </c>
      <c r="D85" s="148">
        <f>VLOOKUP(E85,_Protheus_Cadastro!A:I,2,FALSE)</f>
        <v/>
      </c>
      <c r="E85" s="128" t="inlineStr">
        <is>
          <t>000052</t>
        </is>
      </c>
      <c r="F85" s="205">
        <f>IFERROR(INDEX(Vendidos!$H:$H,MATCH(E85,Vendidos!$B:$B,0)),"—")</f>
        <v/>
      </c>
      <c r="G85" s="129">
        <f>SUMIF('Fichas Flat'!$E$2:$E$880,E85,'Fichas Flat'!$K$2:$K$880)</f>
        <v/>
      </c>
      <c r="H85" s="130">
        <f>IFERROR(G85/F85,0)</f>
        <v/>
      </c>
      <c r="I85" s="129">
        <f>IFERROR(F85-G85,0)</f>
        <v/>
      </c>
      <c r="J85" s="130">
        <f>IFERROR(I85/F85,0)</f>
        <v/>
      </c>
      <c r="K85" s="129">
        <f>IFERROR(G85/0.3,0)</f>
        <v/>
      </c>
      <c r="L85" s="153" t="n">
        <v>279.99</v>
      </c>
      <c r="M85" s="131" t="n">
        <v>27.890022</v>
      </c>
      <c r="N85" s="132" t="n">
        <v>0.0996107789563913</v>
      </c>
      <c r="O85" s="131" t="n">
        <v>252.099978</v>
      </c>
      <c r="P85" s="132" t="n">
        <v>0.9003892210436087</v>
      </c>
      <c r="Q85" s="133" t="n">
        <v>46148</v>
      </c>
      <c r="R85" s="206">
        <f>IFERROR(IF(M84="","—",H85-N84),"—")</f>
        <v/>
      </c>
      <c r="S85" s="207" t="inlineStr">
        <is>
          <t>Sim</t>
        </is>
      </c>
      <c r="T85" s="128">
        <f>IFERROR(IF(H84=0,"—",IF(H84&lt;=0.25,"✔  OK",IF(H84&lt;=0.35,"⚠  Atenção","✖  Crítico"))),"—")</f>
        <v/>
      </c>
      <c r="U85" s="127" t="n"/>
      <c r="V85" s="127" t="n"/>
    </row>
    <row r="86" ht="15" customHeight="1">
      <c r="A86" s="150" t="inlineStr">
        <is>
          <t>Delivery</t>
        </is>
      </c>
      <c r="B86" s="136" t="inlineStr">
        <is>
          <t>Delivery</t>
        </is>
      </c>
      <c r="C86" s="145" t="inlineStr">
        <is>
          <t>Combo Big Family para 4</t>
        </is>
      </c>
      <c r="D86" s="147">
        <f>VLOOKUP(E86,_Protheus_Cadastro!A:I,2,FALSE)</f>
        <v/>
      </c>
      <c r="E86" s="137" t="inlineStr">
        <is>
          <t>002024</t>
        </is>
      </c>
      <c r="F86" s="202">
        <f>IFERROR(INDEX(Vendidos!$H:$H,MATCH(E86,Vendidos!$B:$B,0)),"—")</f>
        <v/>
      </c>
      <c r="G86" s="138">
        <f>SUMIF('Fichas Flat'!$E$2:$E$880,E86,'Fichas Flat'!$K$2:$K$880)</f>
        <v/>
      </c>
      <c r="H86" s="139">
        <f>IFERROR(G86/F86,0)</f>
        <v/>
      </c>
      <c r="I86" s="138">
        <f>IFERROR(F86-G86,0)</f>
        <v/>
      </c>
      <c r="J86" s="139">
        <f>IFERROR(I86/F86,0)</f>
        <v/>
      </c>
      <c r="K86" s="138">
        <f>IFERROR(G86/0.3,0)</f>
        <v/>
      </c>
      <c r="L86" s="154" t="n">
        <v>321.3</v>
      </c>
      <c r="M86" s="140" t="n">
        <v>41.7589779</v>
      </c>
      <c r="N86" s="141" t="n">
        <v>0.1299688076563959</v>
      </c>
      <c r="O86" s="140" t="n">
        <v>279.5410221</v>
      </c>
      <c r="P86" s="141" t="n">
        <v>0.8700311923436042</v>
      </c>
      <c r="Q86" s="142" t="n">
        <v>46148</v>
      </c>
      <c r="R86" s="203">
        <f>IFERROR(IF(M85="","—",H86-N85),"—")</f>
        <v/>
      </c>
      <c r="S86" s="204" t="inlineStr">
        <is>
          <t>Não</t>
        </is>
      </c>
      <c r="T86" s="137">
        <f>IFERROR(IF(H85=0,"—",IF(H85&lt;=0.25,"✔  OK",IF(H85&lt;=0.35,"⚠  Atenção","✖  Crítico"))),"—")</f>
        <v/>
      </c>
      <c r="U86" s="136" t="n"/>
      <c r="V86" s="136" t="n"/>
    </row>
    <row r="87" ht="15" customHeight="1">
      <c r="A87" s="150" t="inlineStr">
        <is>
          <t>Delivery</t>
        </is>
      </c>
      <c r="B87" s="136" t="inlineStr">
        <is>
          <t>Delivery</t>
        </is>
      </c>
      <c r="C87" s="145" t="inlineStr">
        <is>
          <t>Combo Casal para 2</t>
        </is>
      </c>
      <c r="D87" s="147">
        <f>VLOOKUP(E87,_Protheus_Cadastro!A:I,2,FALSE)</f>
        <v/>
      </c>
      <c r="E87" s="137" t="inlineStr">
        <is>
          <t>002022</t>
        </is>
      </c>
      <c r="F87" s="202">
        <f>IFERROR(INDEX(Vendidos!$H:$H,MATCH(E87,Vendidos!$B:$B,0)),"—")</f>
        <v/>
      </c>
      <c r="G87" s="138">
        <f>SUMIF('Fichas Flat'!$E$2:$E$880,E87,'Fichas Flat'!$K$2:$K$880)</f>
        <v/>
      </c>
      <c r="H87" s="139">
        <f>IFERROR(G87/F87,0)</f>
        <v/>
      </c>
      <c r="I87" s="138">
        <f>IFERROR(F87-G87,0)</f>
        <v/>
      </c>
      <c r="J87" s="139">
        <f>IFERROR(I87/F87,0)</f>
        <v/>
      </c>
      <c r="K87" s="138">
        <f>IFERROR(G87/0.3,0)</f>
        <v/>
      </c>
      <c r="L87" s="154" t="n">
        <v>171.7</v>
      </c>
      <c r="M87" s="140" t="n">
        <v>32.98298</v>
      </c>
      <c r="N87" s="141" t="n">
        <v>0.1920965637740245</v>
      </c>
      <c r="O87" s="140" t="n">
        <v>138.71702</v>
      </c>
      <c r="P87" s="141" t="n">
        <v>0.8079034362259755</v>
      </c>
      <c r="Q87" s="142" t="n">
        <v>46148</v>
      </c>
      <c r="R87" s="203">
        <f>IFERROR(IF(M86="","—",H87-N86),"—")</f>
        <v/>
      </c>
      <c r="S87" s="204" t="inlineStr">
        <is>
          <t>Não</t>
        </is>
      </c>
      <c r="T87" s="137">
        <f>IFERROR(IF(H86=0,"—",IF(H86&lt;=0.25,"✔  OK",IF(H86&lt;=0.35,"⚠  Atenção","✖  Crítico"))),"—")</f>
        <v/>
      </c>
      <c r="U87" s="136" t="n"/>
      <c r="V87" s="136" t="n"/>
    </row>
    <row r="88" ht="15" customHeight="1">
      <c r="A88" s="150" t="inlineStr">
        <is>
          <t>Bebidas Frias</t>
        </is>
      </c>
      <c r="B88" s="136" t="inlineStr">
        <is>
          <t>Licor</t>
        </is>
      </c>
      <c r="C88" s="145" t="inlineStr">
        <is>
          <t>Licor 43</t>
        </is>
      </c>
      <c r="D88" s="147">
        <f>VLOOKUP(E88,_Protheus_Cadastro!A:I,2,FALSE)</f>
        <v/>
      </c>
      <c r="E88" s="137" t="inlineStr">
        <is>
          <t>001225</t>
        </is>
      </c>
      <c r="F88" s="202">
        <f>IFERROR(INDEX(Vendidos!$H:$H,MATCH(E88,Vendidos!$B:$B,0)),"—")</f>
        <v/>
      </c>
      <c r="G88" s="138">
        <f>SUMIF('Fichas Flat'!$E$2:$E$880,E88,'Fichas Flat'!$K$2:$K$880)</f>
        <v/>
      </c>
      <c r="H88" s="139">
        <f>IFERROR(G88/F88,0)</f>
        <v/>
      </c>
      <c r="I88" s="138">
        <f>IFERROR(F88-G88,0)</f>
        <v/>
      </c>
      <c r="J88" s="139">
        <f>IFERROR(I88/F88,0)</f>
        <v/>
      </c>
      <c r="K88" s="138">
        <f>IFERROR(G88/0.3,0)</f>
        <v/>
      </c>
      <c r="L88" s="154" t="n">
        <v>349.99</v>
      </c>
      <c r="M88" s="140" t="n">
        <v>94.124645</v>
      </c>
      <c r="N88" s="141" t="n">
        <v>0.2689352410068859</v>
      </c>
      <c r="O88" s="140" t="n">
        <v>255.865355</v>
      </c>
      <c r="P88" s="141" t="n">
        <v>0.7310647589931142</v>
      </c>
      <c r="Q88" s="142" t="n">
        <v>46148</v>
      </c>
      <c r="R88" s="203">
        <f>IFERROR(IF(M87="","—",H88-N87),"—")</f>
        <v/>
      </c>
      <c r="S88" s="204" t="inlineStr">
        <is>
          <t>Sim</t>
        </is>
      </c>
      <c r="T88" s="137">
        <f>IFERROR(IF(H87=0,"—",IF(H87&lt;=0.25,"✔  OK",IF(H87&lt;=0.35,"⚠  Atenção","✖  Crítico"))),"—")</f>
        <v/>
      </c>
      <c r="U88" s="136" t="n"/>
      <c r="V88" s="136" t="n"/>
    </row>
    <row r="89" ht="15" customHeight="1">
      <c r="A89" s="149" t="inlineStr">
        <is>
          <t>Drinks</t>
        </is>
      </c>
      <c r="B89" s="127" t="inlineStr">
        <is>
          <t>Drinks</t>
        </is>
      </c>
      <c r="C89" s="146" t="inlineStr">
        <is>
          <t>Mint Negroni</t>
        </is>
      </c>
      <c r="D89" s="148">
        <f>VLOOKUP(E89,_Protheus_Cadastro!A:I,2,FALSE)</f>
        <v/>
      </c>
      <c r="E89" s="128" t="inlineStr">
        <is>
          <t>001943</t>
        </is>
      </c>
      <c r="F89" s="205">
        <f>IFERROR(INDEX(Vendidos!$H:$H,MATCH(E89,Vendidos!$B:$B,0)),"—")</f>
        <v/>
      </c>
      <c r="G89" s="129">
        <f>SUMIF('Fichas Flat'!$E$2:$E$880,E89,'Fichas Flat'!$K$2:$K$880)</f>
        <v/>
      </c>
      <c r="H89" s="130">
        <f>IFERROR(G89/F89,0)</f>
        <v/>
      </c>
      <c r="I89" s="129">
        <f>IFERROR(F89-G89,0)</f>
        <v/>
      </c>
      <c r="J89" s="130">
        <f>IFERROR(I89/F89,0)</f>
        <v/>
      </c>
      <c r="K89" s="129">
        <f>IFERROR(G89/0.3,0)</f>
        <v/>
      </c>
      <c r="L89" s="153" t="n">
        <v>36</v>
      </c>
      <c r="M89" s="131" t="n">
        <v>4.9221</v>
      </c>
      <c r="N89" s="132" t="n">
        <v>0.136725</v>
      </c>
      <c r="O89" s="131" t="n">
        <v>31.0779</v>
      </c>
      <c r="P89" s="132" t="n">
        <v>0.863275</v>
      </c>
      <c r="Q89" s="133" t="n">
        <v>46148</v>
      </c>
      <c r="R89" s="206">
        <f>IFERROR(IF(M88="","—",H89-N88),"—")</f>
        <v/>
      </c>
      <c r="S89" s="207" t="inlineStr">
        <is>
          <t>Não</t>
        </is>
      </c>
      <c r="T89" s="128">
        <f>IFERROR(IF(H88=0,"—",IF(H88&lt;=0.25,"✔  OK",IF(H88&lt;=0.35,"⚠  Atenção","✖  Crítico"))),"—")</f>
        <v/>
      </c>
      <c r="U89" s="127" t="n"/>
      <c r="V89" s="127" t="n"/>
    </row>
    <row r="90" ht="15" customHeight="1">
      <c r="A90" s="150" t="inlineStr">
        <is>
          <t>Bebidas Frias</t>
        </is>
      </c>
      <c r="B90" s="136" t="inlineStr">
        <is>
          <t>Cachaça</t>
        </is>
      </c>
      <c r="C90" s="145" t="inlineStr">
        <is>
          <t>Cachaça do Quintal - Prata</t>
        </is>
      </c>
      <c r="D90" s="147">
        <f>VLOOKUP(E90,_Protheus_Cadastro!A:I,2,FALSE)</f>
        <v/>
      </c>
      <c r="E90" s="137" t="inlineStr">
        <is>
          <t>000953</t>
        </is>
      </c>
      <c r="F90" s="202">
        <f>IFERROR(INDEX(Vendidos!$H:$H,MATCH(E90,Vendidos!$B:$B,0)),"—")</f>
        <v/>
      </c>
      <c r="G90" s="138">
        <f>SUMIF('Fichas Flat'!$E$2:$E$880,E90,'Fichas Flat'!$K$2:$K$880)</f>
        <v/>
      </c>
      <c r="H90" s="139">
        <f>IFERROR(G90/F90,0)</f>
        <v/>
      </c>
      <c r="I90" s="138">
        <f>IFERROR(F90-G90,0)</f>
        <v/>
      </c>
      <c r="J90" s="139">
        <f>IFERROR(I90/F90,0)</f>
        <v/>
      </c>
      <c r="K90" s="138">
        <f>IFERROR(G90/0.3,0)</f>
        <v/>
      </c>
      <c r="L90" s="154" t="n">
        <v>99.98999999999999</v>
      </c>
      <c r="M90" s="140" t="n">
        <v>4.460666</v>
      </c>
      <c r="N90" s="141" t="n">
        <v>0.04461112111211121</v>
      </c>
      <c r="O90" s="140" t="n">
        <v>95.52933399999999</v>
      </c>
      <c r="P90" s="141" t="n">
        <v>0.9553888788878887</v>
      </c>
      <c r="Q90" s="142" t="n">
        <v>46148</v>
      </c>
      <c r="R90" s="203">
        <f>IFERROR(IF(M89="","—",H90-N89),"—")</f>
        <v/>
      </c>
      <c r="S90" s="204" t="inlineStr">
        <is>
          <t>Sim</t>
        </is>
      </c>
      <c r="T90" s="137">
        <f>IFERROR(IF(H89=0,"—",IF(H89&lt;=0.25,"✔  OK",IF(H89&lt;=0.35,"⚠  Atenção","✖  Crítico"))),"—")</f>
        <v/>
      </c>
      <c r="U90" s="136" t="n"/>
      <c r="V90" s="136" t="n"/>
    </row>
    <row r="91" ht="15" customHeight="1">
      <c r="A91" s="149" t="inlineStr">
        <is>
          <t>Drinks</t>
        </is>
      </c>
      <c r="B91" s="127" t="inlineStr">
        <is>
          <t>Drinks</t>
        </is>
      </c>
      <c r="C91" s="146" t="inlineStr">
        <is>
          <t>Aperol Spritz</t>
        </is>
      </c>
      <c r="D91" s="148">
        <f>VLOOKUP(E91,_Protheus_Cadastro!A:I,2,FALSE)</f>
        <v/>
      </c>
      <c r="E91" s="128" t="inlineStr">
        <is>
          <t>001029</t>
        </is>
      </c>
      <c r="F91" s="205">
        <f>IFERROR(INDEX(Vendidos!$H:$H,MATCH(E91,Vendidos!$B:$B,0)),"—")</f>
        <v/>
      </c>
      <c r="G91" s="129">
        <f>SUMIF('Fichas Flat'!$E$2:$E$880,E91,'Fichas Flat'!$K$2:$K$880)</f>
        <v/>
      </c>
      <c r="H91" s="130">
        <f>IFERROR(G91/F91,0)</f>
        <v/>
      </c>
      <c r="I91" s="129">
        <f>IFERROR(F91-G91,0)</f>
        <v/>
      </c>
      <c r="J91" s="130">
        <f>IFERROR(I91/F91,0)</f>
        <v/>
      </c>
      <c r="K91" s="129">
        <f>IFERROR(G91/0.3,0)</f>
        <v/>
      </c>
      <c r="L91" s="153" t="n">
        <v>39.99</v>
      </c>
      <c r="M91" s="131" t="n">
        <v>4.9016</v>
      </c>
      <c r="N91" s="132" t="n">
        <v>0.1225706426606652</v>
      </c>
      <c r="O91" s="131" t="n">
        <v>35.0884</v>
      </c>
      <c r="P91" s="132" t="n">
        <v>0.8774293573393348</v>
      </c>
      <c r="Q91" s="133" t="n">
        <v>46148</v>
      </c>
      <c r="R91" s="206">
        <f>IFERROR(IF(M90="","—",H91-N90),"—")</f>
        <v/>
      </c>
      <c r="S91" s="207" t="inlineStr">
        <is>
          <t>Sim</t>
        </is>
      </c>
      <c r="T91" s="128">
        <f>IFERROR(IF(H90=0,"—",IF(H90&lt;=0.25,"✔  OK",IF(H90&lt;=0.35,"⚠  Atenção","✖  Crítico"))),"—")</f>
        <v/>
      </c>
      <c r="U91" s="127" t="n"/>
      <c r="V91" s="127" t="n"/>
    </row>
    <row r="92" ht="15" customHeight="1">
      <c r="A92" s="150" t="inlineStr">
        <is>
          <t>Sazonais</t>
        </is>
      </c>
      <c r="B92" s="136" t="inlineStr">
        <is>
          <t>Sazonais</t>
        </is>
      </c>
      <c r="C92" s="145" t="inlineStr">
        <is>
          <t>Casquinha Sorvete de Chocolate</t>
        </is>
      </c>
      <c r="D92" s="147">
        <f>VLOOKUP(E92,_Protheus_Cadastro!A:I,2,FALSE)</f>
        <v/>
      </c>
      <c r="E92" s="137" t="inlineStr">
        <is>
          <t>010095</t>
        </is>
      </c>
      <c r="F92" s="202">
        <f>IFERROR(INDEX(Vendidos!$H:$H,MATCH(E92,Vendidos!$B:$B,0)),"—")</f>
        <v/>
      </c>
      <c r="G92" s="138">
        <f>SUMIF('Fichas Flat'!$E$2:$E$880,E92,'Fichas Flat'!$K$2:$K$880)</f>
        <v/>
      </c>
      <c r="H92" s="139">
        <f>IFERROR(G92/F92,0)</f>
        <v/>
      </c>
      <c r="I92" s="138">
        <f>IFERROR(F92-G92,0)</f>
        <v/>
      </c>
      <c r="J92" s="139">
        <f>IFERROR(I92/F92,0)</f>
        <v/>
      </c>
      <c r="K92" s="138">
        <f>IFERROR(G92/0.3,0)</f>
        <v/>
      </c>
      <c r="L92" s="154" t="n">
        <v>9.9</v>
      </c>
      <c r="M92" s="140" t="n">
        <v>1.0428</v>
      </c>
      <c r="N92" s="141" t="n">
        <v>0.1053333333333333</v>
      </c>
      <c r="O92" s="140" t="n">
        <v>8.857200000000001</v>
      </c>
      <c r="P92" s="141" t="n">
        <v>0.8946666666666667</v>
      </c>
      <c r="Q92" s="142" t="n">
        <v>46148</v>
      </c>
      <c r="R92" s="203">
        <f>IFERROR(IF(M91="","—",H92-N91),"—")</f>
        <v/>
      </c>
      <c r="S92" s="204" t="inlineStr">
        <is>
          <t>Não</t>
        </is>
      </c>
      <c r="T92" s="137">
        <f>IFERROR(IF(H91=0,"—",IF(H91&lt;=0.25,"✔  OK",IF(H91&lt;=0.35,"⚠  Atenção","✖  Crítico"))),"—")</f>
        <v/>
      </c>
      <c r="U92" s="136" t="n"/>
      <c r="V92" s="136" t="n"/>
    </row>
    <row r="93" ht="15" customHeight="1">
      <c r="A93" s="149" t="inlineStr">
        <is>
          <t>Drinks</t>
        </is>
      </c>
      <c r="B93" s="127" t="inlineStr">
        <is>
          <t>Drinks</t>
        </is>
      </c>
      <c r="C93" s="146" t="inlineStr">
        <is>
          <t>Melão Gin</t>
        </is>
      </c>
      <c r="D93" s="148">
        <f>VLOOKUP(E93,_Protheus_Cadastro!A:I,2,FALSE)</f>
        <v/>
      </c>
      <c r="E93" s="128" t="inlineStr">
        <is>
          <t>002043</t>
        </is>
      </c>
      <c r="F93" s="205">
        <f>IFERROR(INDEX(Vendidos!$H:$H,MATCH(E93,Vendidos!$B:$B,0)),"—")</f>
        <v/>
      </c>
      <c r="G93" s="129">
        <f>SUMIF('Fichas Flat'!$E$2:$E$880,E93,'Fichas Flat'!$K$2:$K$880)</f>
        <v/>
      </c>
      <c r="H93" s="130">
        <f>IFERROR(G93/F93,0)</f>
        <v/>
      </c>
      <c r="I93" s="129">
        <f>IFERROR(F93-G93,0)</f>
        <v/>
      </c>
      <c r="J93" s="130">
        <f>IFERROR(I93/F93,0)</f>
        <v/>
      </c>
      <c r="K93" s="129">
        <f>IFERROR(G93/0.3,0)</f>
        <v/>
      </c>
      <c r="L93" s="153" t="n">
        <v>39</v>
      </c>
      <c r="M93" s="131" t="n">
        <v>3.037192</v>
      </c>
      <c r="N93" s="132" t="n">
        <v>0.07787671794871795</v>
      </c>
      <c r="O93" s="131" t="n">
        <v>35.962808</v>
      </c>
      <c r="P93" s="132" t="n">
        <v>0.9221232820512821</v>
      </c>
      <c r="Q93" s="133" t="n">
        <v>46148</v>
      </c>
      <c r="R93" s="206">
        <f>IFERROR(IF(M92="","—",H93-N92),"—")</f>
        <v/>
      </c>
      <c r="S93" s="207" t="inlineStr">
        <is>
          <t>Não</t>
        </is>
      </c>
      <c r="T93" s="128">
        <f>IFERROR(IF(H92=0,"—",IF(H92&lt;=0.25,"✔  OK",IF(H92&lt;=0.35,"⚠  Atenção","✖  Crítico"))),"—")</f>
        <v/>
      </c>
      <c r="U93" s="127" t="n"/>
      <c r="V93" s="127" t="n"/>
    </row>
    <row r="94" ht="15" customHeight="1">
      <c r="A94" s="150" t="inlineStr">
        <is>
          <t>Drinks</t>
        </is>
      </c>
      <c r="B94" s="136" t="inlineStr">
        <is>
          <t>Drinks</t>
        </is>
      </c>
      <c r="C94" s="145" t="inlineStr">
        <is>
          <t>Limoncello Spritz</t>
        </is>
      </c>
      <c r="D94" s="147">
        <f>VLOOKUP(E94,_Protheus_Cadastro!A:I,2,FALSE)</f>
        <v/>
      </c>
      <c r="E94" s="137" t="inlineStr">
        <is>
          <t>001956</t>
        </is>
      </c>
      <c r="F94" s="202">
        <f>IFERROR(INDEX(Vendidos!$H:$H,MATCH(E94,Vendidos!$B:$B,0)),"—")</f>
        <v/>
      </c>
      <c r="G94" s="138">
        <f>SUMIF('Fichas Flat'!$E$2:$E$880,E94,'Fichas Flat'!$K$2:$K$880)</f>
        <v/>
      </c>
      <c r="H94" s="139">
        <f>IFERROR(G94/F94,0)</f>
        <v/>
      </c>
      <c r="I94" s="138">
        <f>IFERROR(F94-G94,0)</f>
        <v/>
      </c>
      <c r="J94" s="139">
        <f>IFERROR(I94/F94,0)</f>
        <v/>
      </c>
      <c r="K94" s="138">
        <f>IFERROR(G94/0.3,0)</f>
        <v/>
      </c>
      <c r="L94" s="154" t="n">
        <v>39.99</v>
      </c>
      <c r="M94" s="140" t="n">
        <v>5.755646</v>
      </c>
      <c r="N94" s="141" t="n">
        <v>0.1439271317829457</v>
      </c>
      <c r="O94" s="140" t="n">
        <v>34.234354</v>
      </c>
      <c r="P94" s="141" t="n">
        <v>0.8560728682170543</v>
      </c>
      <c r="Q94" s="142" t="n">
        <v>46148</v>
      </c>
      <c r="R94" s="203">
        <f>IFERROR(IF(M93="","—",H94-N93),"—")</f>
        <v/>
      </c>
      <c r="S94" s="204" t="inlineStr">
        <is>
          <t>Sim</t>
        </is>
      </c>
      <c r="T94" s="137">
        <f>IFERROR(IF(H93=0,"—",IF(H93&lt;=0.25,"✔  OK",IF(H93&lt;=0.35,"⚠  Atenção","✖  Crítico"))),"—")</f>
        <v/>
      </c>
      <c r="U94" s="136" t="n"/>
      <c r="V94" s="136" t="n"/>
    </row>
    <row r="95" ht="15" customHeight="1">
      <c r="A95" s="150" t="inlineStr">
        <is>
          <t>Espetos</t>
        </is>
      </c>
      <c r="B95" s="136" t="inlineStr">
        <is>
          <t>Boteco no Espeto</t>
        </is>
      </c>
      <c r="C95" s="145" t="inlineStr">
        <is>
          <t>Medalhão de Alcatra</t>
        </is>
      </c>
      <c r="D95" s="147">
        <f>VLOOKUP(E95,_Protheus_Cadastro!A:I,2,FALSE)</f>
        <v/>
      </c>
      <c r="E95" s="137" t="inlineStr">
        <is>
          <t>010009</t>
        </is>
      </c>
      <c r="F95" s="202">
        <f>IFERROR(INDEX(Vendidos!$H:$H,MATCH(E95,Vendidos!$B:$B,0)),"—")</f>
        <v/>
      </c>
      <c r="G95" s="138">
        <f>SUMIF('Fichas Flat'!$E$2:$E$880,E95,'Fichas Flat'!$K$2:$K$880)</f>
        <v/>
      </c>
      <c r="H95" s="139">
        <f>IFERROR(G95/F95,0)</f>
        <v/>
      </c>
      <c r="I95" s="138">
        <f>IFERROR(F95-G95,0)</f>
        <v/>
      </c>
      <c r="J95" s="139">
        <f>IFERROR(I95/F95,0)</f>
        <v/>
      </c>
      <c r="K95" s="138">
        <f>IFERROR(G95/0.3,0)</f>
        <v/>
      </c>
      <c r="L95" s="154" t="n">
        <v>19.99</v>
      </c>
      <c r="M95" s="140" t="n">
        <v>3.15</v>
      </c>
      <c r="N95" s="141" t="n">
        <v>0.1575787893946974</v>
      </c>
      <c r="O95" s="140" t="n">
        <v>16.84</v>
      </c>
      <c r="P95" s="141" t="n">
        <v>0.8424212106053027</v>
      </c>
      <c r="Q95" s="142" t="n">
        <v>46148</v>
      </c>
      <c r="R95" s="203">
        <f>IFERROR(IF(M94="","—",H95-N94),"—")</f>
        <v/>
      </c>
      <c r="S95" s="204" t="inlineStr">
        <is>
          <t>Sim</t>
        </is>
      </c>
      <c r="T95" s="137">
        <f>IFERROR(IF(H94=0,"—",IF(H94&lt;=0.25,"✔  OK",IF(H94&lt;=0.35,"⚠  Atenção","✖  Crítico"))),"—")</f>
        <v/>
      </c>
      <c r="U95" s="136" t="n"/>
      <c r="V95" s="136" t="n"/>
    </row>
    <row r="96" ht="15" customHeight="1">
      <c r="A96" s="150" t="inlineStr">
        <is>
          <t>Bebidas Frias</t>
        </is>
      </c>
      <c r="B96" s="136" t="inlineStr">
        <is>
          <t>Cachaça</t>
        </is>
      </c>
      <c r="C96" s="145" t="inlineStr">
        <is>
          <t>Cachaça do Quintal - Mel &amp; Limão</t>
        </is>
      </c>
      <c r="D96" s="147">
        <f>VLOOKUP(E96,_Protheus_Cadastro!A:I,2,FALSE)</f>
        <v/>
      </c>
      <c r="E96" s="137" t="inlineStr">
        <is>
          <t>000957</t>
        </is>
      </c>
      <c r="F96" s="202">
        <f>IFERROR(INDEX(Vendidos!$H:$H,MATCH(E96,Vendidos!$B:$B,0)),"—")</f>
        <v/>
      </c>
      <c r="G96" s="138">
        <f>SUMIF('Fichas Flat'!$E$2:$E$880,E96,'Fichas Flat'!$K$2:$K$880)</f>
        <v/>
      </c>
      <c r="H96" s="139">
        <f>IFERROR(G96/F96,0)</f>
        <v/>
      </c>
      <c r="I96" s="138">
        <f>IFERROR(F96-G96,0)</f>
        <v/>
      </c>
      <c r="J96" s="139">
        <f>IFERROR(I96/F96,0)</f>
        <v/>
      </c>
      <c r="K96" s="138">
        <f>IFERROR(G96/0.3,0)</f>
        <v/>
      </c>
      <c r="L96" s="154" t="n">
        <v>119.99</v>
      </c>
      <c r="M96" s="140" t="n">
        <v>18.8000335</v>
      </c>
      <c r="N96" s="141" t="n">
        <v>0.1566800025002084</v>
      </c>
      <c r="O96" s="140" t="n">
        <v>101.1899665</v>
      </c>
      <c r="P96" s="141" t="n">
        <v>0.8433199974997917</v>
      </c>
      <c r="Q96" s="142" t="n">
        <v>46148</v>
      </c>
      <c r="R96" s="203">
        <f>IFERROR(IF(M95="","—",H96-N95),"—")</f>
        <v/>
      </c>
      <c r="S96" s="204" t="inlineStr">
        <is>
          <t>Sim</t>
        </is>
      </c>
      <c r="T96" s="137">
        <f>IFERROR(IF(H95=0,"—",IF(H95&lt;=0.25,"✔  OK",IF(H95&lt;=0.35,"⚠  Atenção","✖  Crítico"))),"—")</f>
        <v/>
      </c>
      <c r="U96" s="136" t="n"/>
      <c r="V96" s="136" t="n"/>
    </row>
    <row r="97" ht="15" customHeight="1">
      <c r="A97" s="150" t="inlineStr">
        <is>
          <t>Delivery</t>
        </is>
      </c>
      <c r="B97" s="136" t="inlineStr">
        <is>
          <t>Delivery</t>
        </is>
      </c>
      <c r="C97" s="145" t="inlineStr">
        <is>
          <t>Executivo</t>
        </is>
      </c>
      <c r="D97" s="147">
        <f>VLOOKUP(E97,_Protheus_Cadastro!A:I,2,FALSE)</f>
        <v/>
      </c>
      <c r="E97" s="137" t="inlineStr">
        <is>
          <t>009594</t>
        </is>
      </c>
      <c r="F97" s="202">
        <f>IFERROR(INDEX(Vendidos!$H:$H,MATCH(E97,Vendidos!$B:$B,0)),"—")</f>
        <v/>
      </c>
      <c r="G97" s="138">
        <f>SUMIF('Fichas Flat'!$E$2:$E$880,E97,'Fichas Flat'!$K$2:$K$880)</f>
        <v/>
      </c>
      <c r="H97" s="139">
        <f>IFERROR(G97/F97,0)</f>
        <v/>
      </c>
      <c r="I97" s="138">
        <f>IFERROR(F97-G97,0)</f>
        <v/>
      </c>
      <c r="J97" s="139">
        <f>IFERROR(I97/F97,0)</f>
        <v/>
      </c>
      <c r="K97" s="138">
        <f>IFERROR(G97/0.3,0)</f>
        <v/>
      </c>
      <c r="L97" s="154" t="n">
        <v>39.9</v>
      </c>
      <c r="M97" s="140" t="n">
        <v>3.0352</v>
      </c>
      <c r="N97" s="141" t="n">
        <v>0.0760701754385965</v>
      </c>
      <c r="O97" s="140" t="n">
        <v>36.8648</v>
      </c>
      <c r="P97" s="141" t="n">
        <v>0.9239298245614034</v>
      </c>
      <c r="Q97" s="142" t="n">
        <v>46148</v>
      </c>
      <c r="R97" s="203">
        <f>IFERROR(IF(M96="","—",H97-N96),"—")</f>
        <v/>
      </c>
      <c r="S97" s="204" t="inlineStr">
        <is>
          <t>Sim</t>
        </is>
      </c>
      <c r="T97" s="137">
        <f>IFERROR(IF(H96=0,"—",IF(H96&lt;=0.25,"✔  OK",IF(H96&lt;=0.35,"⚠  Atenção","✖  Crítico"))),"—")</f>
        <v/>
      </c>
      <c r="U97" s="136" t="n"/>
      <c r="V97" s="136" t="n"/>
    </row>
    <row r="98" ht="15" customHeight="1">
      <c r="A98" s="150" t="inlineStr">
        <is>
          <t>Espetos</t>
        </is>
      </c>
      <c r="B98" s="136" t="inlineStr">
        <is>
          <t>Premium</t>
        </is>
      </c>
      <c r="C98" s="145" t="inlineStr">
        <is>
          <t>Linguiça Cuiabana</t>
        </is>
      </c>
      <c r="D98" s="147">
        <f>VLOOKUP(E98,_Protheus_Cadastro!A:I,2,FALSE)</f>
        <v/>
      </c>
      <c r="E98" s="137" t="inlineStr">
        <is>
          <t>000028</t>
        </is>
      </c>
      <c r="F98" s="202">
        <f>IFERROR(INDEX(Vendidos!$H:$H,MATCH(E98,Vendidos!$B:$B,0)),"—")</f>
        <v/>
      </c>
      <c r="G98" s="138">
        <f>SUMIF('Fichas Flat'!$E$2:$E$880,E98,'Fichas Flat'!$K$2:$K$880)</f>
        <v/>
      </c>
      <c r="H98" s="139">
        <f>IFERROR(G98/F98,0)</f>
        <v/>
      </c>
      <c r="I98" s="138">
        <f>IFERROR(F98-G98,0)</f>
        <v/>
      </c>
      <c r="J98" s="139">
        <f>IFERROR(I98/F98,0)</f>
        <v/>
      </c>
      <c r="K98" s="138">
        <f>IFERROR(G98/0.3,0)</f>
        <v/>
      </c>
      <c r="L98" s="154" t="n">
        <v>15.99</v>
      </c>
      <c r="M98" s="140" t="n">
        <v>2.705</v>
      </c>
      <c r="N98" s="141" t="n">
        <v>0.1691682301438399</v>
      </c>
      <c r="O98" s="140" t="n">
        <v>13.285</v>
      </c>
      <c r="P98" s="141" t="n">
        <v>0.8308317698561601</v>
      </c>
      <c r="Q98" s="142" t="n">
        <v>46148</v>
      </c>
      <c r="R98" s="203">
        <f>IFERROR(IF(M97="","—",H98-N97),"—")</f>
        <v/>
      </c>
      <c r="S98" s="204" t="inlineStr">
        <is>
          <t>Sim</t>
        </is>
      </c>
      <c r="T98" s="137">
        <f>IFERROR(IF(H97=0,"—",IF(H97&lt;=0.25,"✔  OK",IF(H97&lt;=0.35,"⚠  Atenção","✖  Crítico"))),"—")</f>
        <v/>
      </c>
      <c r="U98" s="136" t="n"/>
      <c r="V98" s="136" t="n"/>
    </row>
    <row r="99" ht="15" customHeight="1">
      <c r="A99" s="149" t="inlineStr">
        <is>
          <t>Espetos</t>
        </is>
      </c>
      <c r="B99" s="127" t="inlineStr">
        <is>
          <t>In Natura</t>
        </is>
      </c>
      <c r="C99" s="146" t="inlineStr">
        <is>
          <t>Tulipa</t>
        </is>
      </c>
      <c r="D99" s="148">
        <f>VLOOKUP(E99,_Protheus_Cadastro!A:I,2,FALSE)</f>
        <v/>
      </c>
      <c r="E99" s="128" t="inlineStr">
        <is>
          <t>000010</t>
        </is>
      </c>
      <c r="F99" s="205">
        <f>IFERROR(INDEX(Vendidos!$H:$H,MATCH(E99,Vendidos!$B:$B,0)),"—")</f>
        <v/>
      </c>
      <c r="G99" s="129">
        <f>SUMIF('Fichas Flat'!$E$2:$E$880,E99,'Fichas Flat'!$K$2:$K$880)</f>
        <v/>
      </c>
      <c r="H99" s="130">
        <f>IFERROR(G99/F99,0)</f>
        <v/>
      </c>
      <c r="I99" s="129">
        <f>IFERROR(F99-G99,0)</f>
        <v/>
      </c>
      <c r="J99" s="130">
        <f>IFERROR(I99/F99,0)</f>
        <v/>
      </c>
      <c r="K99" s="129">
        <f>IFERROR(G99/0.3,0)</f>
        <v/>
      </c>
      <c r="L99" s="153" t="n">
        <v>29.9</v>
      </c>
      <c r="M99" s="131" t="n">
        <v>17.43</v>
      </c>
      <c r="N99" s="132" t="n">
        <v>0.5829431438127091</v>
      </c>
      <c r="O99" s="131" t="n">
        <v>12.47</v>
      </c>
      <c r="P99" s="132" t="n">
        <v>0.4170568561872909</v>
      </c>
      <c r="Q99" s="133" t="n">
        <v>46148</v>
      </c>
      <c r="R99" s="206">
        <f>IFERROR(IF(M98="","—",H99-N98),"—")</f>
        <v/>
      </c>
      <c r="S99" s="207" t="inlineStr">
        <is>
          <t>Sim</t>
        </is>
      </c>
      <c r="T99" s="128">
        <f>IFERROR(IF(H98=0,"—",IF(H98&lt;=0.25,"✔  OK",IF(H98&lt;=0.35,"⚠  Atenção","✖  Crítico"))),"—")</f>
        <v/>
      </c>
      <c r="U99" s="127" t="n"/>
      <c r="V99" s="127" t="n"/>
    </row>
    <row r="100" ht="15" customHeight="1">
      <c r="A100" s="149" t="inlineStr">
        <is>
          <t>Espetos</t>
        </is>
      </c>
      <c r="B100" s="127" t="inlineStr">
        <is>
          <t>In Natura</t>
        </is>
      </c>
      <c r="C100" s="146" t="inlineStr">
        <is>
          <t>Costela Bovina</t>
        </is>
      </c>
      <c r="D100" s="148">
        <f>VLOOKUP(E100,_Protheus_Cadastro!A:I,2,FALSE)</f>
        <v/>
      </c>
      <c r="E100" s="128" t="inlineStr">
        <is>
          <t>000005</t>
        </is>
      </c>
      <c r="F100" s="205">
        <f>IFERROR(INDEX(Vendidos!$H:$H,MATCH(E100,Vendidos!$B:$B,0)),"—")</f>
        <v/>
      </c>
      <c r="G100" s="129">
        <f>SUMIF('Fichas Flat'!$E$2:$E$880,E100,'Fichas Flat'!$K$2:$K$880)</f>
        <v/>
      </c>
      <c r="H100" s="130">
        <f>IFERROR(G100/F100,0)</f>
        <v/>
      </c>
      <c r="I100" s="129">
        <f>IFERROR(F100-G100,0)</f>
        <v/>
      </c>
      <c r="J100" s="130">
        <f>IFERROR(I100/F100,0)</f>
        <v/>
      </c>
      <c r="K100" s="129">
        <f>IFERROR(G100/0.3,0)</f>
        <v/>
      </c>
      <c r="L100" s="153" t="n">
        <v>39.9</v>
      </c>
      <c r="M100" s="131" t="n">
        <v>29.26</v>
      </c>
      <c r="N100" s="132" t="n">
        <v>0.7333333333333334</v>
      </c>
      <c r="O100" s="131" t="n">
        <v>10.64</v>
      </c>
      <c r="P100" s="132" t="n">
        <v>0.2666666666666666</v>
      </c>
      <c r="Q100" s="133" t="n">
        <v>46148</v>
      </c>
      <c r="R100" s="206">
        <f>IFERROR(IF(M99="","—",H100-N99),"—")</f>
        <v/>
      </c>
      <c r="S100" s="207" t="inlineStr">
        <is>
          <t>Sim</t>
        </is>
      </c>
      <c r="T100" s="128">
        <f>IFERROR(IF(H99=0,"—",IF(H99&lt;=0.25,"✔  OK",IF(H99&lt;=0.35,"⚠  Atenção","✖  Crítico"))),"—")</f>
        <v/>
      </c>
      <c r="U100" s="127" t="n"/>
      <c r="V100" s="127" t="n"/>
    </row>
    <row r="101" ht="15" customHeight="1">
      <c r="A101" s="149" t="inlineStr">
        <is>
          <t>Sobremesas</t>
        </is>
      </c>
      <c r="B101" s="127" t="inlineStr">
        <is>
          <t>Sobremesas</t>
        </is>
      </c>
      <c r="C101" s="146" t="inlineStr">
        <is>
          <t>Espeto de Uva com Chocolate</t>
        </is>
      </c>
      <c r="D101" s="148">
        <f>VLOOKUP(E101,_Protheus_Cadastro!A:I,2,FALSE)</f>
        <v/>
      </c>
      <c r="E101" s="128" t="inlineStr">
        <is>
          <t>000797</t>
        </is>
      </c>
      <c r="F101" s="205">
        <f>IFERROR(INDEX(Vendidos!$H:$H,MATCH(E101,Vendidos!$B:$B,0)),"—")</f>
        <v/>
      </c>
      <c r="G101" s="129">
        <f>SUMIF('Fichas Flat'!$E$2:$E$880,E101,'Fichas Flat'!$K$2:$K$880)</f>
        <v/>
      </c>
      <c r="H101" s="130">
        <f>IFERROR(G101/F101,0)</f>
        <v/>
      </c>
      <c r="I101" s="129">
        <f>IFERROR(F101-G101,0)</f>
        <v/>
      </c>
      <c r="J101" s="130">
        <f>IFERROR(I101/F101,0)</f>
        <v/>
      </c>
      <c r="K101" s="129">
        <f>IFERROR(G101/0.3,0)</f>
        <v/>
      </c>
      <c r="L101" s="153" t="n">
        <v>18.99</v>
      </c>
      <c r="M101" s="131" t="n">
        <v>2.668013</v>
      </c>
      <c r="N101" s="132" t="n">
        <v>0.140495681937862</v>
      </c>
      <c r="O101" s="131" t="n">
        <v>16.321987</v>
      </c>
      <c r="P101" s="132" t="n">
        <v>0.859504318062138</v>
      </c>
      <c r="Q101" s="133" t="n">
        <v>46148</v>
      </c>
      <c r="R101" s="206">
        <f>IFERROR(IF(M100="","—",H101-N100),"—")</f>
        <v/>
      </c>
      <c r="S101" s="207" t="inlineStr">
        <is>
          <t>Não</t>
        </is>
      </c>
      <c r="T101" s="128">
        <f>IFERROR(IF(H100=0,"—",IF(H100&lt;=0.25,"✔  OK",IF(H100&lt;=0.35,"⚠  Atenção","✖  Crítico"))),"—")</f>
        <v/>
      </c>
      <c r="U101" s="127" t="n"/>
      <c r="V101" s="127" t="n"/>
    </row>
    <row r="102" ht="15" customHeight="1">
      <c r="A102" s="150" t="inlineStr">
        <is>
          <t>Delivery</t>
        </is>
      </c>
      <c r="B102" s="136" t="inlineStr">
        <is>
          <t>Delivery</t>
        </is>
      </c>
      <c r="C102" s="145" t="inlineStr">
        <is>
          <t>Marmita de Frango</t>
        </is>
      </c>
      <c r="D102" s="147">
        <f>VLOOKUP(E102,_Protheus_Cadastro!A:I,2,FALSE)</f>
        <v/>
      </c>
      <c r="E102" s="137" t="inlineStr">
        <is>
          <t>002077</t>
        </is>
      </c>
      <c r="F102" s="202">
        <f>IFERROR(INDEX(Vendidos!$H:$H,MATCH(E102,Vendidos!$B:$B,0)),"—")</f>
        <v/>
      </c>
      <c r="G102" s="138">
        <f>SUMIF('Fichas Flat'!$E$2:$E$880,E102,'Fichas Flat'!$K$2:$K$880)</f>
        <v/>
      </c>
      <c r="H102" s="139">
        <f>IFERROR(G102/F102,0)</f>
        <v/>
      </c>
      <c r="I102" s="138">
        <f>IFERROR(F102-G102,0)</f>
        <v/>
      </c>
      <c r="J102" s="139">
        <f>IFERROR(I102/F102,0)</f>
        <v/>
      </c>
      <c r="K102" s="138">
        <f>IFERROR(G102/0.3,0)</f>
        <v/>
      </c>
      <c r="L102" s="154" t="n">
        <v>29.9</v>
      </c>
      <c r="M102" s="140" t="n">
        <v>4.041713</v>
      </c>
      <c r="N102" s="141" t="n">
        <v>0.1351743478260869</v>
      </c>
      <c r="O102" s="140" t="n">
        <v>25.858287</v>
      </c>
      <c r="P102" s="141" t="n">
        <v>0.8648256521739129</v>
      </c>
      <c r="Q102" s="142" t="n">
        <v>46148</v>
      </c>
      <c r="R102" s="203">
        <f>IFERROR(IF(M101="","—",H102-N101),"—")</f>
        <v/>
      </c>
      <c r="S102" s="204" t="inlineStr">
        <is>
          <t>Não</t>
        </is>
      </c>
      <c r="T102" s="137">
        <f>IFERROR(IF(H101=0,"—",IF(H101&lt;=0.25,"✔  OK",IF(H101&lt;=0.35,"⚠  Atenção","✖  Crítico"))),"—")</f>
        <v/>
      </c>
      <c r="U102" s="136" t="n"/>
      <c r="V102" s="136" t="n"/>
    </row>
    <row r="103" ht="15" customHeight="1">
      <c r="A103" s="150" t="inlineStr">
        <is>
          <t>Drinks</t>
        </is>
      </c>
      <c r="B103" s="136" t="inlineStr">
        <is>
          <t>Drinks</t>
        </is>
      </c>
      <c r="C103" s="145" t="inlineStr">
        <is>
          <t>Espeto Ice Tea</t>
        </is>
      </c>
      <c r="D103" s="147">
        <f>VLOOKUP(E103,_Protheus_Cadastro!A:I,2,FALSE)</f>
        <v/>
      </c>
      <c r="E103" s="137" t="inlineStr">
        <is>
          <t>001948</t>
        </is>
      </c>
      <c r="F103" s="202">
        <f>IFERROR(INDEX(Vendidos!$H:$H,MATCH(E103,Vendidos!$B:$B,0)),"—")</f>
        <v/>
      </c>
      <c r="G103" s="138">
        <f>SUMIF('Fichas Flat'!$E$2:$E$880,E103,'Fichas Flat'!$K$2:$K$880)</f>
        <v/>
      </c>
      <c r="H103" s="139">
        <f>IFERROR(G103/F103,0)</f>
        <v/>
      </c>
      <c r="I103" s="138">
        <f>IFERROR(F103-G103,0)</f>
        <v/>
      </c>
      <c r="J103" s="139">
        <f>IFERROR(I103/F103,0)</f>
        <v/>
      </c>
      <c r="K103" s="138">
        <f>IFERROR(G103/0.3,0)</f>
        <v/>
      </c>
      <c r="L103" s="154" t="n">
        <v>37.99</v>
      </c>
      <c r="M103" s="140" t="n">
        <v>3.9794195</v>
      </c>
      <c r="N103" s="141" t="n">
        <v>0.1047491313503554</v>
      </c>
      <c r="O103" s="140" t="n">
        <v>34.0105805</v>
      </c>
      <c r="P103" s="141" t="n">
        <v>0.8952508686496446</v>
      </c>
      <c r="Q103" s="142" t="n">
        <v>46148</v>
      </c>
      <c r="R103" s="203">
        <f>IFERROR(IF(M102="","—",H103-N102),"—")</f>
        <v/>
      </c>
      <c r="S103" s="204" t="inlineStr">
        <is>
          <t>Sim</t>
        </is>
      </c>
      <c r="T103" s="137">
        <f>IFERROR(IF(H102=0,"—",IF(H102&lt;=0.25,"✔  OK",IF(H102&lt;=0.35,"⚠  Atenção","✖  Crítico"))),"—")</f>
        <v/>
      </c>
      <c r="U103" s="136" t="n"/>
      <c r="V103" s="136" t="n"/>
    </row>
    <row r="104" ht="15" customHeight="1">
      <c r="A104" s="149" t="inlineStr">
        <is>
          <t>Delivery</t>
        </is>
      </c>
      <c r="B104" s="127" t="inlineStr">
        <is>
          <t>Delivery</t>
        </is>
      </c>
      <c r="C104" s="146" t="inlineStr">
        <is>
          <t>Monte seu prato 2</t>
        </is>
      </c>
      <c r="D104" s="148">
        <f>VLOOKUP(E104,_Protheus_Cadastro!A:I,2,FALSE)</f>
        <v/>
      </c>
      <c r="E104" s="128" t="inlineStr">
        <is>
          <t>002080</t>
        </is>
      </c>
      <c r="F104" s="205">
        <f>IFERROR(INDEX(Vendidos!$H:$H,MATCH(E104,Vendidos!$B:$B,0)),"—")</f>
        <v/>
      </c>
      <c r="G104" s="129">
        <f>SUMIF('Fichas Flat'!$E$2:$E$880,E104,'Fichas Flat'!$K$2:$K$880)</f>
        <v/>
      </c>
      <c r="H104" s="130">
        <f>IFERROR(G104/F104,0)</f>
        <v/>
      </c>
      <c r="I104" s="129">
        <f>IFERROR(F104-G104,0)</f>
        <v/>
      </c>
      <c r="J104" s="130">
        <f>IFERROR(I104/F104,0)</f>
        <v/>
      </c>
      <c r="K104" s="129">
        <f>IFERROR(G104/0.3,0)</f>
        <v/>
      </c>
      <c r="L104" s="153" t="n">
        <v>31.9</v>
      </c>
      <c r="M104" s="131" t="n">
        <v>7.6635779</v>
      </c>
      <c r="N104" s="132" t="n">
        <v>0.2402375517241379</v>
      </c>
      <c r="O104" s="131" t="n">
        <v>24.2364221</v>
      </c>
      <c r="P104" s="132" t="n">
        <v>0.759762448275862</v>
      </c>
      <c r="Q104" s="133" t="n">
        <v>46148</v>
      </c>
      <c r="R104" s="206">
        <f>IFERROR(IF(M103="","—",H104-N103),"—")</f>
        <v/>
      </c>
      <c r="S104" s="207" t="inlineStr">
        <is>
          <t>Não</t>
        </is>
      </c>
      <c r="T104" s="128">
        <f>IFERROR(IF(H103=0,"—",IF(H103&lt;=0.25,"✔  OK",IF(H103&lt;=0.35,"⚠  Atenção","✖  Crítico"))),"—")</f>
        <v/>
      </c>
      <c r="U104" s="127" t="n"/>
      <c r="V104" s="127" t="n"/>
    </row>
    <row r="105" ht="15" customHeight="1">
      <c r="A105" s="149" t="inlineStr">
        <is>
          <t>Drinks</t>
        </is>
      </c>
      <c r="B105" s="127" t="inlineStr">
        <is>
          <t>Drinks</t>
        </is>
      </c>
      <c r="C105" s="146" t="inlineStr">
        <is>
          <t>Old Fashioned</t>
        </is>
      </c>
      <c r="D105" s="148">
        <f>VLOOKUP(E105,_Protheus_Cadastro!A:I,2,FALSE)</f>
        <v/>
      </c>
      <c r="E105" s="128" t="inlineStr">
        <is>
          <t>001953</t>
        </is>
      </c>
      <c r="F105" s="205">
        <f>IFERROR(INDEX(Vendidos!$H:$H,MATCH(E105,Vendidos!$B:$B,0)),"—")</f>
        <v/>
      </c>
      <c r="G105" s="129">
        <f>SUMIF('Fichas Flat'!$E$2:$E$880,E105,'Fichas Flat'!$K$2:$K$880)</f>
        <v/>
      </c>
      <c r="H105" s="130">
        <f>IFERROR(G105/F105,0)</f>
        <v/>
      </c>
      <c r="I105" s="129">
        <f>IFERROR(F105-G105,0)</f>
        <v/>
      </c>
      <c r="J105" s="130">
        <f>IFERROR(I105/F105,0)</f>
        <v/>
      </c>
      <c r="K105" s="129">
        <f>IFERROR(G105/0.3,0)</f>
        <v/>
      </c>
      <c r="L105" s="153" t="n">
        <v>38</v>
      </c>
      <c r="M105" s="131" t="n">
        <v>7.394747</v>
      </c>
      <c r="N105" s="132" t="n">
        <v>0.1945986052631579</v>
      </c>
      <c r="O105" s="131" t="n">
        <v>30.605253</v>
      </c>
      <c r="P105" s="132" t="n">
        <v>0.8054013947368421</v>
      </c>
      <c r="Q105" s="133" t="n">
        <v>46148</v>
      </c>
      <c r="R105" s="206">
        <f>IFERROR(IF(M104="","—",H105-N104),"—")</f>
        <v/>
      </c>
      <c r="S105" s="207" t="inlineStr">
        <is>
          <t>Sim</t>
        </is>
      </c>
      <c r="T105" s="128">
        <f>IFERROR(IF(H104=0,"—",IF(H104&lt;=0.25,"✔  OK",IF(H104&lt;=0.35,"⚠  Atenção","✖  Crítico"))),"—")</f>
        <v/>
      </c>
      <c r="U105" s="127" t="n"/>
      <c r="V105" s="127" t="n"/>
    </row>
    <row r="106" ht="15" customHeight="1">
      <c r="A106" s="149" t="inlineStr">
        <is>
          <t>Bebidas Frias</t>
        </is>
      </c>
      <c r="B106" s="127" t="inlineStr">
        <is>
          <t>Cerveja</t>
        </is>
      </c>
      <c r="C106" s="146" t="inlineStr">
        <is>
          <t>Corona Garrafa</t>
        </is>
      </c>
      <c r="D106" s="148">
        <f>VLOOKUP(E106,_Protheus_Cadastro!A:I,2,FALSE)</f>
        <v/>
      </c>
      <c r="E106" s="128" t="inlineStr">
        <is>
          <t>001560</t>
        </is>
      </c>
      <c r="F106" s="205">
        <f>IFERROR(INDEX(Vendidos!$H:$H,MATCH(E106,Vendidos!$B:$B,0)),"—")</f>
        <v/>
      </c>
      <c r="G106" s="129">
        <f>SUMIF('Fichas Flat'!$E$2:$E$880,E106,'Fichas Flat'!$K$2:$K$880)</f>
        <v/>
      </c>
      <c r="H106" s="130">
        <f>IFERROR(G106/F106,0)</f>
        <v/>
      </c>
      <c r="I106" s="129">
        <f>IFERROR(F106-G106,0)</f>
        <v/>
      </c>
      <c r="J106" s="130">
        <f>IFERROR(I106/F106,0)</f>
        <v/>
      </c>
      <c r="K106" s="129">
        <f>IFERROR(G106/0.3,0)</f>
        <v/>
      </c>
      <c r="L106" s="153" t="n">
        <v>22.99</v>
      </c>
      <c r="M106" s="131" t="n">
        <v>2.75757</v>
      </c>
      <c r="N106" s="132" t="n">
        <v>0.119946498477599</v>
      </c>
      <c r="O106" s="131" t="n">
        <v>20.23243</v>
      </c>
      <c r="P106" s="132" t="n">
        <v>0.880053501522401</v>
      </c>
      <c r="Q106" s="133" t="n">
        <v>46148</v>
      </c>
      <c r="R106" s="206">
        <f>IFERROR(IF(M105="","—",H106-N105),"—")</f>
        <v/>
      </c>
      <c r="S106" s="207" t="inlineStr">
        <is>
          <t>Não</t>
        </is>
      </c>
      <c r="T106" s="128">
        <f>IFERROR(IF(H105=0,"—",IF(H105&lt;=0.25,"✔  OK",IF(H105&lt;=0.35,"⚠  Atenção","✖  Crítico"))),"—")</f>
        <v/>
      </c>
      <c r="U106" s="127" t="n"/>
      <c r="V106" s="127" t="n"/>
    </row>
    <row r="107" ht="15" customHeight="1">
      <c r="A107" s="150" t="inlineStr">
        <is>
          <t>Espetos</t>
        </is>
      </c>
      <c r="B107" s="136" t="inlineStr">
        <is>
          <t>Premium</t>
        </is>
      </c>
      <c r="C107" s="145" t="inlineStr">
        <is>
          <t>Mignon</t>
        </is>
      </c>
      <c r="D107" s="147">
        <f>VLOOKUP(E107,_Protheus_Cadastro!A:I,2,FALSE)</f>
        <v/>
      </c>
      <c r="E107" s="137" t="inlineStr">
        <is>
          <t>000773</t>
        </is>
      </c>
      <c r="F107" s="202">
        <f>IFERROR(INDEX(Vendidos!$H:$H,MATCH(E107,Vendidos!$B:$B,0)),"—")</f>
        <v/>
      </c>
      <c r="G107" s="138">
        <f>SUMIF('Fichas Flat'!$E$2:$E$880,E107,'Fichas Flat'!$K$2:$K$880)</f>
        <v/>
      </c>
      <c r="H107" s="139">
        <f>IFERROR(G107/F107,0)</f>
        <v/>
      </c>
      <c r="I107" s="138">
        <f>IFERROR(F107-G107,0)</f>
        <v/>
      </c>
      <c r="J107" s="139">
        <f>IFERROR(I107/F107,0)</f>
        <v/>
      </c>
      <c r="K107" s="138">
        <f>IFERROR(G107/0.3,0)</f>
        <v/>
      </c>
      <c r="L107" s="154" t="n">
        <v>19.99</v>
      </c>
      <c r="M107" s="140" t="n">
        <v>7.4481</v>
      </c>
      <c r="N107" s="141" t="n">
        <v>0.372591295647824</v>
      </c>
      <c r="O107" s="140" t="n">
        <v>12.5419</v>
      </c>
      <c r="P107" s="141" t="n">
        <v>0.6274087043521761</v>
      </c>
      <c r="Q107" s="142" t="n">
        <v>46148</v>
      </c>
      <c r="R107" s="203">
        <f>IFERROR(IF(M106="","—",H107-N106),"—")</f>
        <v/>
      </c>
      <c r="S107" s="204" t="inlineStr">
        <is>
          <t>Sim</t>
        </is>
      </c>
      <c r="T107" s="137">
        <f>IFERROR(IF(H106=0,"—",IF(H106&lt;=0.25,"✔  OK",IF(H106&lt;=0.35,"⚠  Atenção","✖  Crítico"))),"—")</f>
        <v/>
      </c>
      <c r="U107" s="136" t="n"/>
      <c r="V107" s="136" t="n"/>
    </row>
    <row r="108" ht="15" customHeight="1">
      <c r="A108" s="149" t="inlineStr">
        <is>
          <t>Drinks</t>
        </is>
      </c>
      <c r="B108" s="127" t="inlineStr">
        <is>
          <t>Drinks</t>
        </is>
      </c>
      <c r="C108" s="146" t="inlineStr">
        <is>
          <t>Sangria</t>
        </is>
      </c>
      <c r="D108" s="148">
        <f>VLOOKUP(E108,_Protheus_Cadastro!A:I,2,FALSE)</f>
        <v/>
      </c>
      <c r="E108" s="128" t="inlineStr">
        <is>
          <t>000054</t>
        </is>
      </c>
      <c r="F108" s="205">
        <f>IFERROR(INDEX(Vendidos!$H:$H,MATCH(E108,Vendidos!$B:$B,0)),"—")</f>
        <v/>
      </c>
      <c r="G108" s="129">
        <f>SUMIF('Fichas Flat'!$E$2:$E$880,E108,'Fichas Flat'!$K$2:$K$880)</f>
        <v/>
      </c>
      <c r="H108" s="130">
        <f>IFERROR(G108/F108,0)</f>
        <v/>
      </c>
      <c r="I108" s="129">
        <f>IFERROR(F108-G108,0)</f>
        <v/>
      </c>
      <c r="J108" s="130">
        <f>IFERROR(I108/F108,0)</f>
        <v/>
      </c>
      <c r="K108" s="129">
        <f>IFERROR(G108/0.3,0)</f>
        <v/>
      </c>
      <c r="L108" s="153" t="n">
        <v>89.98999999999999</v>
      </c>
      <c r="M108" s="131" t="n">
        <v>13.614205</v>
      </c>
      <c r="N108" s="132" t="n">
        <v>0.1512857539726636</v>
      </c>
      <c r="O108" s="131" t="n">
        <v>76.375795</v>
      </c>
      <c r="P108" s="132" t="n">
        <v>0.8487142460273364</v>
      </c>
      <c r="Q108" s="133" t="n">
        <v>46148</v>
      </c>
      <c r="R108" s="206">
        <f>IFERROR(IF(M107="","—",H108-N107),"—")</f>
        <v/>
      </c>
      <c r="S108" s="207" t="inlineStr">
        <is>
          <t>Sim</t>
        </is>
      </c>
      <c r="T108" s="128">
        <f>IFERROR(IF(H107=0,"—",IF(H107&lt;=0.25,"✔  OK",IF(H107&lt;=0.35,"⚠  Atenção","✖  Crítico"))),"—")</f>
        <v/>
      </c>
      <c r="U108" s="127" t="n"/>
      <c r="V108" s="127" t="n"/>
    </row>
    <row r="109" ht="15" customHeight="1">
      <c r="A109" s="149" t="inlineStr">
        <is>
          <t>Espetos</t>
        </is>
      </c>
      <c r="B109" s="127" t="inlineStr">
        <is>
          <t>Tradicional</t>
        </is>
      </c>
      <c r="C109" s="146" t="inlineStr">
        <is>
          <t>Kafta</t>
        </is>
      </c>
      <c r="D109" s="148">
        <f>VLOOKUP(E109,_Protheus_Cadastro!A:I,2,FALSE)</f>
        <v/>
      </c>
      <c r="E109" s="128" t="inlineStr">
        <is>
          <t>000025</t>
        </is>
      </c>
      <c r="F109" s="205">
        <f>IFERROR(INDEX(Vendidos!$H:$H,MATCH(E109,Vendidos!$B:$B,0)),"—")</f>
        <v/>
      </c>
      <c r="G109" s="129">
        <f>SUMIF('Fichas Flat'!$E$2:$E$880,E109,'Fichas Flat'!$K$2:$K$880)</f>
        <v/>
      </c>
      <c r="H109" s="130">
        <f>IFERROR(G109/F109,0)</f>
        <v/>
      </c>
      <c r="I109" s="129">
        <f>IFERROR(F109-G109,0)</f>
        <v/>
      </c>
      <c r="J109" s="130">
        <f>IFERROR(I109/F109,0)</f>
        <v/>
      </c>
      <c r="K109" s="129">
        <f>IFERROR(G109/0.3,0)</f>
        <v/>
      </c>
      <c r="L109" s="153" t="n">
        <v>13.99</v>
      </c>
      <c r="M109" s="131" t="n">
        <v>2.3567</v>
      </c>
      <c r="N109" s="132" t="n">
        <v>0.1684560400285919</v>
      </c>
      <c r="O109" s="131" t="n">
        <v>11.6333</v>
      </c>
      <c r="P109" s="132" t="n">
        <v>0.8315439599714082</v>
      </c>
      <c r="Q109" s="133" t="n">
        <v>46148</v>
      </c>
      <c r="R109" s="206">
        <f>IFERROR(IF(M108="","—",H109-N108),"—")</f>
        <v/>
      </c>
      <c r="S109" s="207" t="inlineStr">
        <is>
          <t>Sim</t>
        </is>
      </c>
      <c r="T109" s="128">
        <f>IFERROR(IF(H108=0,"—",IF(H108&lt;=0.25,"✔  OK",IF(H108&lt;=0.35,"⚠  Atenção","✖  Crítico"))),"—")</f>
        <v/>
      </c>
      <c r="U109" s="127" t="n"/>
      <c r="V109" s="127" t="n"/>
    </row>
    <row r="110" ht="15" customHeight="1">
      <c r="A110" s="149" t="inlineStr">
        <is>
          <t>Espetos</t>
        </is>
      </c>
      <c r="B110" s="127" t="inlineStr">
        <is>
          <t>Tradicional</t>
        </is>
      </c>
      <c r="C110" s="146" t="inlineStr">
        <is>
          <t>Salsichão</t>
        </is>
      </c>
      <c r="D110" s="148">
        <f>VLOOKUP(E110,_Protheus_Cadastro!A:I,2,FALSE)</f>
        <v/>
      </c>
      <c r="E110" s="128" t="inlineStr">
        <is>
          <t>000027</t>
        </is>
      </c>
      <c r="F110" s="205">
        <f>IFERROR(INDEX(Vendidos!$H:$H,MATCH(E110,Vendidos!$B:$B,0)),"—")</f>
        <v/>
      </c>
      <c r="G110" s="129">
        <f>SUMIF('Fichas Flat'!$E$2:$E$880,E110,'Fichas Flat'!$K$2:$K$880)</f>
        <v/>
      </c>
      <c r="H110" s="130">
        <f>IFERROR(G110/F110,0)</f>
        <v/>
      </c>
      <c r="I110" s="129">
        <f>IFERROR(F110-G110,0)</f>
        <v/>
      </c>
      <c r="J110" s="130">
        <f>IFERROR(I110/F110,0)</f>
        <v/>
      </c>
      <c r="K110" s="129">
        <f>IFERROR(G110/0.3,0)</f>
        <v/>
      </c>
      <c r="L110" s="153" t="n">
        <v>14.99</v>
      </c>
      <c r="M110" s="131" t="n">
        <v>1.694</v>
      </c>
      <c r="N110" s="132" t="n">
        <v>0.1130086724482989</v>
      </c>
      <c r="O110" s="131" t="n">
        <v>13.296</v>
      </c>
      <c r="P110" s="132" t="n">
        <v>0.8869913275517011</v>
      </c>
      <c r="Q110" s="133" t="n">
        <v>46148</v>
      </c>
      <c r="R110" s="206">
        <f>IFERROR(IF(M109="","—",H110-N109),"—")</f>
        <v/>
      </c>
      <c r="S110" s="207" t="inlineStr">
        <is>
          <t>Sim</t>
        </is>
      </c>
      <c r="T110" s="128">
        <f>IFERROR(IF(H109=0,"—",IF(H109&lt;=0.25,"✔  OK",IF(H109&lt;=0.35,"⚠  Atenção","✖  Crítico"))),"—")</f>
        <v/>
      </c>
      <c r="U110" s="127" t="n"/>
      <c r="V110" s="127" t="n"/>
    </row>
    <row r="111" ht="15" customHeight="1">
      <c r="A111" s="149" t="inlineStr">
        <is>
          <t>Drinks</t>
        </is>
      </c>
      <c r="B111" s="127" t="inlineStr">
        <is>
          <t>Drinks</t>
        </is>
      </c>
      <c r="C111" s="146" t="inlineStr">
        <is>
          <t>Caipirinha Abacaxi com Hortelã</t>
        </is>
      </c>
      <c r="D111" s="148">
        <f>VLOOKUP(E111,_Protheus_Cadastro!A:I,2,FALSE)</f>
        <v/>
      </c>
      <c r="E111" s="128" t="inlineStr">
        <is>
          <t>001961</t>
        </is>
      </c>
      <c r="F111" s="205">
        <f>IFERROR(INDEX(Vendidos!$H:$H,MATCH(E111,Vendidos!$B:$B,0)),"—")</f>
        <v/>
      </c>
      <c r="G111" s="129">
        <f>SUMIF('Fichas Flat'!$E$2:$E$880,E111,'Fichas Flat'!$K$2:$K$880)</f>
        <v/>
      </c>
      <c r="H111" s="130">
        <f>IFERROR(G111/F111,0)</f>
        <v/>
      </c>
      <c r="I111" s="129">
        <f>IFERROR(F111-G111,0)</f>
        <v/>
      </c>
      <c r="J111" s="130">
        <f>IFERROR(I111/F111,0)</f>
        <v/>
      </c>
      <c r="K111" s="129">
        <f>IFERROR(G111/0.3,0)</f>
        <v/>
      </c>
      <c r="L111" s="153" t="n">
        <v>36</v>
      </c>
      <c r="M111" s="131" t="n">
        <v>2.1947325</v>
      </c>
      <c r="N111" s="132" t="n">
        <v>0.06096479166666667</v>
      </c>
      <c r="O111" s="131" t="n">
        <v>33.8052675</v>
      </c>
      <c r="P111" s="132" t="n">
        <v>0.9390352083333333</v>
      </c>
      <c r="Q111" s="133" t="n">
        <v>46148</v>
      </c>
      <c r="R111" s="206">
        <f>IFERROR(IF(M110="","—",H111-N110),"—")</f>
        <v/>
      </c>
      <c r="S111" s="207" t="inlineStr">
        <is>
          <t>Não</t>
        </is>
      </c>
      <c r="T111" s="128">
        <f>IFERROR(IF(H110=0,"—",IF(H110&lt;=0.25,"✔  OK",IF(H110&lt;=0.35,"⚠  Atenção","✖  Crítico"))),"—")</f>
        <v/>
      </c>
      <c r="U111" s="127" t="n"/>
      <c r="V111" s="127" t="n"/>
    </row>
    <row r="112" ht="15" customHeight="1">
      <c r="A112" s="150" t="inlineStr">
        <is>
          <t>Guarnições</t>
        </is>
      </c>
      <c r="B112" s="136" t="inlineStr">
        <is>
          <t>Porção</t>
        </is>
      </c>
      <c r="C112" s="145" t="inlineStr">
        <is>
          <t>Anéis de Cebola</t>
        </is>
      </c>
      <c r="D112" s="147">
        <f>VLOOKUP(E112,_Protheus_Cadastro!A:I,2,FALSE)</f>
        <v/>
      </c>
      <c r="E112" s="137" t="inlineStr">
        <is>
          <t>001511</t>
        </is>
      </c>
      <c r="F112" s="202">
        <f>IFERROR(INDEX(Vendidos!$H:$H,MATCH(E112,Vendidos!$B:$B,0)),"—")</f>
        <v/>
      </c>
      <c r="G112" s="138">
        <f>SUMIF('Fichas Flat'!$E$2:$E$880,E112,'Fichas Flat'!$K$2:$K$880)</f>
        <v/>
      </c>
      <c r="H112" s="139">
        <f>IFERROR(G112/F112,0)</f>
        <v/>
      </c>
      <c r="I112" s="138">
        <f>IFERROR(F112-G112,0)</f>
        <v/>
      </c>
      <c r="J112" s="139">
        <f>IFERROR(I112/F112,0)</f>
        <v/>
      </c>
      <c r="K112" s="138">
        <f>IFERROR(G112/0.3,0)</f>
        <v/>
      </c>
      <c r="L112" s="154" t="n">
        <v>14.99</v>
      </c>
      <c r="M112" s="140" t="n">
        <v>1.343464</v>
      </c>
      <c r="N112" s="141" t="n">
        <v>0.08962401601067378</v>
      </c>
      <c r="O112" s="140" t="n">
        <v>13.646536</v>
      </c>
      <c r="P112" s="141" t="n">
        <v>0.9103759839893263</v>
      </c>
      <c r="Q112" s="142" t="n">
        <v>46148</v>
      </c>
      <c r="R112" s="203">
        <f>IFERROR(IF(M111="","—",H112-N111),"—")</f>
        <v/>
      </c>
      <c r="S112" s="204" t="inlineStr">
        <is>
          <t>Sim</t>
        </is>
      </c>
      <c r="T112" s="137">
        <f>IFERROR(IF(H111=0,"—",IF(H111&lt;=0.25,"✔  OK",IF(H111&lt;=0.35,"⚠  Atenção","✖  Crítico"))),"—")</f>
        <v/>
      </c>
      <c r="U112" s="136" t="n"/>
      <c r="V112" s="136" t="n"/>
    </row>
    <row r="113" ht="15" customHeight="1">
      <c r="A113" s="150" t="inlineStr">
        <is>
          <t>Bebidas Frias</t>
        </is>
      </c>
      <c r="B113" s="136" t="inlineStr">
        <is>
          <t>Soft Drinks</t>
        </is>
      </c>
      <c r="C113" s="145" t="inlineStr">
        <is>
          <t>Pepsi</t>
        </is>
      </c>
      <c r="D113" s="147">
        <f>VLOOKUP(E113,_Protheus_Cadastro!A:I,2,FALSE)</f>
        <v/>
      </c>
      <c r="E113" s="137" t="inlineStr">
        <is>
          <t>000880</t>
        </is>
      </c>
      <c r="F113" s="202">
        <f>IFERROR(INDEX(Vendidos!$H:$H,MATCH(E113,Vendidos!$B:$B,0)),"—")</f>
        <v/>
      </c>
      <c r="G113" s="138">
        <f>SUMIF('Fichas Flat'!$E$2:$E$880,E113,'Fichas Flat'!$K$2:$K$880)</f>
        <v/>
      </c>
      <c r="H113" s="139">
        <f>IFERROR(G113/F113,0)</f>
        <v/>
      </c>
      <c r="I113" s="138">
        <f>IFERROR(F113-G113,0)</f>
        <v/>
      </c>
      <c r="J113" s="139">
        <f>IFERROR(I113/F113,0)</f>
        <v/>
      </c>
      <c r="K113" s="138">
        <f>IFERROR(G113/0.3,0)</f>
        <v/>
      </c>
      <c r="L113" s="154" t="n">
        <v>9.99</v>
      </c>
      <c r="M113" s="140" t="n">
        <v>1.4417</v>
      </c>
      <c r="N113" s="141" t="n">
        <v>0.1443143143143143</v>
      </c>
      <c r="O113" s="140" t="n">
        <v>8.548300000000001</v>
      </c>
      <c r="P113" s="141" t="n">
        <v>0.8556856856856858</v>
      </c>
      <c r="Q113" s="142" t="n">
        <v>46148</v>
      </c>
      <c r="R113" s="203">
        <f>IFERROR(IF(M112="","—",H113-N112),"—")</f>
        <v/>
      </c>
      <c r="S113" s="204" t="inlineStr">
        <is>
          <t>Sim</t>
        </is>
      </c>
      <c r="T113" s="137">
        <f>IFERROR(IF(H112=0,"—",IF(H112&lt;=0.25,"✔  OK",IF(H112&lt;=0.35,"⚠  Atenção","✖  Crítico"))),"—")</f>
        <v/>
      </c>
      <c r="U113" s="136" t="n"/>
      <c r="V113" s="136" t="n"/>
    </row>
    <row r="114" ht="15" customHeight="1">
      <c r="A114" s="150" t="inlineStr">
        <is>
          <t>Espetos</t>
        </is>
      </c>
      <c r="B114" s="136" t="inlineStr">
        <is>
          <t>Veggie</t>
        </is>
      </c>
      <c r="C114" s="145" t="inlineStr">
        <is>
          <t>Espeto de Berinjela no Shoyu</t>
        </is>
      </c>
      <c r="D114" s="147">
        <f>VLOOKUP(E114,_Protheus_Cadastro!A:I,2,FALSE)</f>
        <v/>
      </c>
      <c r="E114" s="137" t="inlineStr">
        <is>
          <t>002125</t>
        </is>
      </c>
      <c r="F114" s="202">
        <f>IFERROR(INDEX(Vendidos!$H:$H,MATCH(E114,Vendidos!$B:$B,0)),"—")</f>
        <v/>
      </c>
      <c r="G114" s="138">
        <f>SUMIF('Fichas Flat'!$E$2:$E$880,E114,'Fichas Flat'!$K$2:$K$880)</f>
        <v/>
      </c>
      <c r="H114" s="139">
        <f>IFERROR(G114/F114,0)</f>
        <v/>
      </c>
      <c r="I114" s="138">
        <f>IFERROR(F114-G114,0)</f>
        <v/>
      </c>
      <c r="J114" s="139">
        <f>IFERROR(I114/F114,0)</f>
        <v/>
      </c>
      <c r="K114" s="138">
        <f>IFERROR(G114/0.3,0)</f>
        <v/>
      </c>
      <c r="L114" s="154" t="n">
        <v>12.99</v>
      </c>
      <c r="M114" s="140" t="n">
        <v>0.6516</v>
      </c>
      <c r="N114" s="141" t="n">
        <v>0.05016166281755196</v>
      </c>
      <c r="O114" s="140" t="n">
        <v>12.3384</v>
      </c>
      <c r="P114" s="141" t="n">
        <v>0.949838337182448</v>
      </c>
      <c r="Q114" s="142" t="n">
        <v>46148</v>
      </c>
      <c r="R114" s="203">
        <f>IFERROR(IF(M113="","—",H114-N113),"—")</f>
        <v/>
      </c>
      <c r="S114" s="204" t="inlineStr">
        <is>
          <t>Sim</t>
        </is>
      </c>
      <c r="T114" s="137">
        <f>IFERROR(IF(H113=0,"—",IF(H113&lt;=0.25,"✔  OK",IF(H113&lt;=0.35,"⚠  Atenção","✖  Crítico"))),"—")</f>
        <v/>
      </c>
      <c r="U114" s="136" t="n"/>
      <c r="V114" s="136" t="n"/>
    </row>
    <row r="115" ht="15" customHeight="1">
      <c r="A115" s="150" t="inlineStr">
        <is>
          <t>Bebidas Frias</t>
        </is>
      </c>
      <c r="B115" s="136" t="inlineStr">
        <is>
          <t>Cerveja</t>
        </is>
      </c>
      <c r="C115" s="145" t="inlineStr">
        <is>
          <t>Cerveja do Quintal IPA Garrafa</t>
        </is>
      </c>
      <c r="D115" s="147">
        <f>VLOOKUP(E115,_Protheus_Cadastro!A:I,2,FALSE)</f>
        <v/>
      </c>
      <c r="E115" s="137" t="inlineStr">
        <is>
          <t>001414</t>
        </is>
      </c>
      <c r="F115" s="202">
        <f>IFERROR(INDEX(Vendidos!$H:$H,MATCH(E115,Vendidos!$B:$B,0)),"—")</f>
        <v/>
      </c>
      <c r="G115" s="138">
        <f>SUMIF('Fichas Flat'!$E$2:$E$880,E115,'Fichas Flat'!$K$2:$K$880)</f>
        <v/>
      </c>
      <c r="H115" s="139">
        <f>IFERROR(G115/F115,0)</f>
        <v/>
      </c>
      <c r="I115" s="138">
        <f>IFERROR(F115-G115,0)</f>
        <v/>
      </c>
      <c r="J115" s="139">
        <f>IFERROR(I115/F115,0)</f>
        <v/>
      </c>
      <c r="K115" s="138">
        <f>IFERROR(G115/0.3,0)</f>
        <v/>
      </c>
      <c r="L115" s="154" t="n">
        <v>28.99</v>
      </c>
      <c r="M115" s="140" t="n">
        <v>9.5</v>
      </c>
      <c r="N115" s="141" t="n">
        <v>0.3276992066229735</v>
      </c>
      <c r="O115" s="140" t="n">
        <v>19.49</v>
      </c>
      <c r="P115" s="141" t="n">
        <v>0.6723007933770265</v>
      </c>
      <c r="Q115" s="142" t="n">
        <v>46148</v>
      </c>
      <c r="R115" s="203">
        <f>IFERROR(IF(M114="","—",H115-N114),"—")</f>
        <v/>
      </c>
      <c r="S115" s="204" t="inlineStr">
        <is>
          <t>Sim</t>
        </is>
      </c>
      <c r="T115" s="137">
        <f>IFERROR(IF(H114=0,"—",IF(H114&lt;=0.25,"✔  OK",IF(H114&lt;=0.35,"⚠  Atenção","✖  Crítico"))),"—")</f>
        <v/>
      </c>
      <c r="U115" s="136" t="n"/>
      <c r="V115" s="136" t="n"/>
    </row>
    <row r="116" ht="15" customHeight="1">
      <c r="A116" s="149" t="inlineStr">
        <is>
          <t>Espetos</t>
        </is>
      </c>
      <c r="B116" s="127" t="inlineStr">
        <is>
          <t>In Natura</t>
        </is>
      </c>
      <c r="C116" s="146" t="inlineStr">
        <is>
          <t>Calabresa sem Pimenta</t>
        </is>
      </c>
      <c r="D116" s="148">
        <f>VLOOKUP(E116,_Protheus_Cadastro!A:I,2,FALSE)</f>
        <v/>
      </c>
      <c r="E116" s="128" t="inlineStr">
        <is>
          <t>000003</t>
        </is>
      </c>
      <c r="F116" s="205">
        <f>IFERROR(INDEX(Vendidos!$H:$H,MATCH(E116,Vendidos!$B:$B,0)),"—")</f>
        <v/>
      </c>
      <c r="G116" s="129">
        <f>SUMIF('Fichas Flat'!$E$2:$E$880,E116,'Fichas Flat'!$K$2:$K$880)</f>
        <v/>
      </c>
      <c r="H116" s="130">
        <f>IFERROR(G116/F116,0)</f>
        <v/>
      </c>
      <c r="I116" s="129">
        <f>IFERROR(F116-G116,0)</f>
        <v/>
      </c>
      <c r="J116" s="130">
        <f>IFERROR(I116/F116,0)</f>
        <v/>
      </c>
      <c r="K116" s="129">
        <f>IFERROR(G116/0.3,0)</f>
        <v/>
      </c>
      <c r="L116" s="153" t="n">
        <v>34.9</v>
      </c>
      <c r="M116" s="131" t="n">
        <v>10.5</v>
      </c>
      <c r="N116" s="132" t="n">
        <v>0.3008595988538682</v>
      </c>
      <c r="O116" s="131" t="n">
        <v>24.4</v>
      </c>
      <c r="P116" s="132" t="n">
        <v>0.6991404011461317</v>
      </c>
      <c r="Q116" s="133" t="n">
        <v>46148</v>
      </c>
      <c r="R116" s="206">
        <f>IFERROR(IF(M115="","—",H116-N115),"—")</f>
        <v/>
      </c>
      <c r="S116" s="207" t="inlineStr">
        <is>
          <t>Sim</t>
        </is>
      </c>
      <c r="T116" s="128">
        <f>IFERROR(IF(H115=0,"—",IF(H115&lt;=0.25,"✔  OK",IF(H115&lt;=0.35,"⚠  Atenção","✖  Crítico"))),"—")</f>
        <v/>
      </c>
      <c r="U116" s="127" t="n"/>
      <c r="V116" s="127" t="n"/>
    </row>
    <row r="117" ht="15" customHeight="1">
      <c r="A117" s="150" t="inlineStr">
        <is>
          <t>Espetos</t>
        </is>
      </c>
      <c r="B117" s="136" t="inlineStr">
        <is>
          <t>In Natura</t>
        </is>
      </c>
      <c r="C117" s="145" t="inlineStr">
        <is>
          <t>Queijo Coalho</t>
        </is>
      </c>
      <c r="D117" s="147">
        <f>VLOOKUP(E117,_Protheus_Cadastro!A:I,2,FALSE)</f>
        <v/>
      </c>
      <c r="E117" s="137" t="inlineStr">
        <is>
          <t>000008</t>
        </is>
      </c>
      <c r="F117" s="202">
        <f>IFERROR(INDEX(Vendidos!$H:$H,MATCH(E117,Vendidos!$B:$B,0)),"—")</f>
        <v/>
      </c>
      <c r="G117" s="138">
        <f>SUMIF('Fichas Flat'!$E$2:$E$880,E117,'Fichas Flat'!$K$2:$K$880)</f>
        <v/>
      </c>
      <c r="H117" s="139">
        <f>IFERROR(G117/F117,0)</f>
        <v/>
      </c>
      <c r="I117" s="138">
        <f>IFERROR(F117-G117,0)</f>
        <v/>
      </c>
      <c r="J117" s="139">
        <f>IFERROR(I117/F117,0)</f>
        <v/>
      </c>
      <c r="K117" s="138">
        <f>IFERROR(G117/0.3,0)</f>
        <v/>
      </c>
      <c r="L117" s="154" t="n">
        <v>29.9</v>
      </c>
      <c r="M117" s="140" t="n">
        <v>17.2298</v>
      </c>
      <c r="N117" s="141" t="n">
        <v>0.5762474916387961</v>
      </c>
      <c r="O117" s="140" t="n">
        <v>12.6702</v>
      </c>
      <c r="P117" s="141" t="n">
        <v>0.423752508361204</v>
      </c>
      <c r="Q117" s="142" t="n">
        <v>46148</v>
      </c>
      <c r="R117" s="203">
        <f>IFERROR(IF(M116="","—",H117-N116),"—")</f>
        <v/>
      </c>
      <c r="S117" s="204" t="inlineStr">
        <is>
          <t>Sim</t>
        </is>
      </c>
      <c r="T117" s="137">
        <f>IFERROR(IF(H116=0,"—",IF(H116&lt;=0.25,"✔  OK",IF(H116&lt;=0.35,"⚠  Atenção","✖  Crítico"))),"—")</f>
        <v/>
      </c>
      <c r="U117" s="136" t="n"/>
      <c r="V117" s="136" t="n"/>
    </row>
    <row r="118" ht="15" customHeight="1">
      <c r="A118" s="150" t="inlineStr">
        <is>
          <t>Drinks</t>
        </is>
      </c>
      <c r="B118" s="136" t="inlineStr">
        <is>
          <t>Drinks</t>
        </is>
      </c>
      <c r="C118" s="145" t="inlineStr">
        <is>
          <t>London Mule</t>
        </is>
      </c>
      <c r="D118" s="147">
        <f>VLOOKUP(E118,_Protheus_Cadastro!A:I,2,FALSE)</f>
        <v/>
      </c>
      <c r="E118" s="137" t="inlineStr">
        <is>
          <t>001479</t>
        </is>
      </c>
      <c r="F118" s="202">
        <f>IFERROR(INDEX(Vendidos!$H:$H,MATCH(E118,Vendidos!$B:$B,0)),"—")</f>
        <v/>
      </c>
      <c r="G118" s="138">
        <f>SUMIF('Fichas Flat'!$E$2:$E$880,E118,'Fichas Flat'!$K$2:$K$880)</f>
        <v/>
      </c>
      <c r="H118" s="139">
        <f>IFERROR(G118/F118,0)</f>
        <v/>
      </c>
      <c r="I118" s="138">
        <f>IFERROR(F118-G118,0)</f>
        <v/>
      </c>
      <c r="J118" s="139">
        <f>IFERROR(I118/F118,0)</f>
        <v/>
      </c>
      <c r="K118" s="138">
        <f>IFERROR(G118/0.3,0)</f>
        <v/>
      </c>
      <c r="L118" s="154" t="n">
        <v>38.99</v>
      </c>
      <c r="M118" s="140" t="n">
        <v>1.88118</v>
      </c>
      <c r="N118" s="141" t="n">
        <v>0.04824775583482944</v>
      </c>
      <c r="O118" s="140" t="n">
        <v>37.10882</v>
      </c>
      <c r="P118" s="141" t="n">
        <v>0.9517522441651706</v>
      </c>
      <c r="Q118" s="142" t="n">
        <v>46148</v>
      </c>
      <c r="R118" s="203">
        <f>IFERROR(IF(M117="","—",H118-N117),"—")</f>
        <v/>
      </c>
      <c r="S118" s="204" t="inlineStr">
        <is>
          <t>Não</t>
        </is>
      </c>
      <c r="T118" s="137">
        <f>IFERROR(IF(H117=0,"—",IF(H117&lt;=0.25,"✔  OK",IF(H117&lt;=0.35,"⚠  Atenção","✖  Crítico"))),"—")</f>
        <v/>
      </c>
      <c r="U118" s="136" t="n"/>
      <c r="V118" s="136" t="n"/>
    </row>
    <row r="119" ht="15" customHeight="1">
      <c r="A119" s="149" t="inlineStr">
        <is>
          <t>Drinks</t>
        </is>
      </c>
      <c r="B119" s="127" t="inlineStr">
        <is>
          <t>Drinks</t>
        </is>
      </c>
      <c r="C119" s="146" t="inlineStr">
        <is>
          <t>Piña Colada</t>
        </is>
      </c>
      <c r="D119" s="148">
        <f>VLOOKUP(E119,_Protheus_Cadastro!A:I,2,FALSE)</f>
        <v/>
      </c>
      <c r="E119" s="128" t="inlineStr">
        <is>
          <t>000059</t>
        </is>
      </c>
      <c r="F119" s="205">
        <f>IFERROR(INDEX(Vendidos!$H:$H,MATCH(E119,Vendidos!$B:$B,0)),"—")</f>
        <v/>
      </c>
      <c r="G119" s="129">
        <f>SUMIF('Fichas Flat'!$E$2:$E$880,E119,'Fichas Flat'!$K$2:$K$880)</f>
        <v/>
      </c>
      <c r="H119" s="130">
        <f>IFERROR(G119/F119,0)</f>
        <v/>
      </c>
      <c r="I119" s="129">
        <f>IFERROR(F119-G119,0)</f>
        <v/>
      </c>
      <c r="J119" s="130">
        <f>IFERROR(I119/F119,0)</f>
        <v/>
      </c>
      <c r="K119" s="129">
        <f>IFERROR(G119/0.3,0)</f>
        <v/>
      </c>
      <c r="L119" s="153" t="n">
        <v>37.99</v>
      </c>
      <c r="M119" s="131" t="n">
        <v>3.03411</v>
      </c>
      <c r="N119" s="132" t="n">
        <v>0.07986601737299288</v>
      </c>
      <c r="O119" s="131" t="n">
        <v>34.95589</v>
      </c>
      <c r="P119" s="132" t="n">
        <v>0.9201339826270072</v>
      </c>
      <c r="Q119" s="133" t="n">
        <v>46148</v>
      </c>
      <c r="R119" s="206">
        <f>IFERROR(IF(M118="","—",H119-N118),"—")</f>
        <v/>
      </c>
      <c r="S119" s="207" t="inlineStr">
        <is>
          <t>Sim</t>
        </is>
      </c>
      <c r="T119" s="128">
        <f>IFERROR(IF(H118=0,"—",IF(H118&lt;=0.25,"✔  OK",IF(H118&lt;=0.35,"⚠  Atenção","✖  Crítico"))),"—")</f>
        <v/>
      </c>
      <c r="U119" s="127" t="n"/>
      <c r="V119" s="127" t="n"/>
    </row>
    <row r="120" ht="15" customHeight="1">
      <c r="A120" s="150" t="inlineStr">
        <is>
          <t>Drinks</t>
        </is>
      </c>
      <c r="B120" s="136" t="inlineStr">
        <is>
          <t>Drinks</t>
        </is>
      </c>
      <c r="C120" s="145" t="inlineStr">
        <is>
          <t>Mango Negroni</t>
        </is>
      </c>
      <c r="D120" s="147">
        <f>VLOOKUP(E120,_Protheus_Cadastro!A:I,2,FALSE)</f>
        <v/>
      </c>
      <c r="E120" s="137" t="inlineStr">
        <is>
          <t>001944</t>
        </is>
      </c>
      <c r="F120" s="202">
        <f>IFERROR(INDEX(Vendidos!$H:$H,MATCH(E120,Vendidos!$B:$B,0)),"—")</f>
        <v/>
      </c>
      <c r="G120" s="138">
        <f>SUMIF('Fichas Flat'!$E$2:$E$880,E120,'Fichas Flat'!$K$2:$K$880)</f>
        <v/>
      </c>
      <c r="H120" s="139">
        <f>IFERROR(G120/F120,0)</f>
        <v/>
      </c>
      <c r="I120" s="138">
        <f>IFERROR(F120-G120,0)</f>
        <v/>
      </c>
      <c r="J120" s="139">
        <f>IFERROR(I120/F120,0)</f>
        <v/>
      </c>
      <c r="K120" s="138">
        <f>IFERROR(G120/0.3,0)</f>
        <v/>
      </c>
      <c r="L120" s="154" t="n">
        <v>38.99</v>
      </c>
      <c r="M120" s="140" t="n">
        <v>9.0240975</v>
      </c>
      <c r="N120" s="141" t="n">
        <v>0.231446460630931</v>
      </c>
      <c r="O120" s="140" t="n">
        <v>29.9659025</v>
      </c>
      <c r="P120" s="141" t="n">
        <v>0.768553539369069</v>
      </c>
      <c r="Q120" s="142" t="n">
        <v>46148</v>
      </c>
      <c r="R120" s="203">
        <f>IFERROR(IF(M119="","—",H120-N119),"—")</f>
        <v/>
      </c>
      <c r="S120" s="204" t="inlineStr">
        <is>
          <t>Sim</t>
        </is>
      </c>
      <c r="T120" s="137">
        <f>IFERROR(IF(H119=0,"—",IF(H119&lt;=0.25,"✔  OK",IF(H119&lt;=0.35,"⚠  Atenção","✖  Crítico"))),"—")</f>
        <v/>
      </c>
      <c r="U120" s="136" t="n"/>
      <c r="V120" s="136" t="n"/>
    </row>
    <row r="121" ht="15" customHeight="1">
      <c r="A121" s="150" t="inlineStr">
        <is>
          <t>Drinks</t>
        </is>
      </c>
      <c r="B121" s="136" t="inlineStr">
        <is>
          <t>Drinks</t>
        </is>
      </c>
      <c r="C121" s="145" t="inlineStr">
        <is>
          <t>Caipirinha Kiwi com Maça Verde</t>
        </is>
      </c>
      <c r="D121" s="147">
        <f>VLOOKUP(E121,_Protheus_Cadastro!A:I,2,FALSE)</f>
        <v/>
      </c>
      <c r="E121" s="137" t="inlineStr">
        <is>
          <t>001963</t>
        </is>
      </c>
      <c r="F121" s="202">
        <f>IFERROR(INDEX(Vendidos!$H:$H,MATCH(E121,Vendidos!$B:$B,0)),"—")</f>
        <v/>
      </c>
      <c r="G121" s="138">
        <f>SUMIF('Fichas Flat'!$E$2:$E$880,E121,'Fichas Flat'!$K$2:$K$880)</f>
        <v/>
      </c>
      <c r="H121" s="139">
        <f>IFERROR(G121/F121,0)</f>
        <v/>
      </c>
      <c r="I121" s="138">
        <f>IFERROR(F121-G121,0)</f>
        <v/>
      </c>
      <c r="J121" s="139">
        <f>IFERROR(I121/F121,0)</f>
        <v/>
      </c>
      <c r="K121" s="138">
        <f>IFERROR(G121/0.3,0)</f>
        <v/>
      </c>
      <c r="L121" s="154" t="n">
        <v>36</v>
      </c>
      <c r="M121" s="140" t="n">
        <v>2.83002</v>
      </c>
      <c r="N121" s="141" t="n">
        <v>0.07861166666666668</v>
      </c>
      <c r="O121" s="140" t="n">
        <v>33.16998</v>
      </c>
      <c r="P121" s="141" t="n">
        <v>0.9213883333333334</v>
      </c>
      <c r="Q121" s="142" t="n">
        <v>46148</v>
      </c>
      <c r="R121" s="203">
        <f>IFERROR(IF(M120="","—",H121-N120),"—")</f>
        <v/>
      </c>
      <c r="S121" s="204" t="inlineStr">
        <is>
          <t>Não</t>
        </is>
      </c>
      <c r="T121" s="137">
        <f>IFERROR(IF(H120=0,"—",IF(H120&lt;=0.25,"✔  OK",IF(H120&lt;=0.35,"⚠  Atenção","✖  Crítico"))),"—")</f>
        <v/>
      </c>
      <c r="U121" s="136" t="n"/>
      <c r="V121" s="136" t="n"/>
    </row>
    <row r="122" ht="15" customHeight="1">
      <c r="A122" s="149" t="inlineStr">
        <is>
          <t>Guarnições</t>
        </is>
      </c>
      <c r="B122" s="127" t="inlineStr">
        <is>
          <t>Guarnições</t>
        </is>
      </c>
      <c r="C122" s="146" t="inlineStr">
        <is>
          <t>Vinagrete</t>
        </is>
      </c>
      <c r="D122" s="148">
        <f>VLOOKUP(E122,_Protheus_Cadastro!A:I,2,FALSE)</f>
        <v/>
      </c>
      <c r="E122" s="128" t="inlineStr">
        <is>
          <t>001509</t>
        </is>
      </c>
      <c r="F122" s="205">
        <f>IFERROR(INDEX(Vendidos!$H:$H,MATCH(E122,Vendidos!$B:$B,0)),"—")</f>
        <v/>
      </c>
      <c r="G122" s="129">
        <f>SUMIF('Fichas Flat'!$E$2:$E$880,E122,'Fichas Flat'!$K$2:$K$880)</f>
        <v/>
      </c>
      <c r="H122" s="130">
        <f>IFERROR(G122/F122,0)</f>
        <v/>
      </c>
      <c r="I122" s="129">
        <f>IFERROR(F122-G122,0)</f>
        <v/>
      </c>
      <c r="J122" s="130">
        <f>IFERROR(I122/F122,0)</f>
        <v/>
      </c>
      <c r="K122" s="129">
        <f>IFERROR(G122/0.3,0)</f>
        <v/>
      </c>
      <c r="L122" s="153" t="n">
        <v>9.99</v>
      </c>
      <c r="M122" s="131" t="n">
        <v>1.054</v>
      </c>
      <c r="N122" s="132" t="n">
        <v>0.1055055055055055</v>
      </c>
      <c r="O122" s="131" t="n">
        <v>8.936</v>
      </c>
      <c r="P122" s="132" t="n">
        <v>0.8944944944944945</v>
      </c>
      <c r="Q122" s="133" t="n">
        <v>46148</v>
      </c>
      <c r="R122" s="206">
        <f>IFERROR(IF(M121="","—",H122-N121),"—")</f>
        <v/>
      </c>
      <c r="S122" s="207" t="inlineStr">
        <is>
          <t>Sim</t>
        </is>
      </c>
      <c r="T122" s="128">
        <f>IFERROR(IF(H121=0,"—",IF(H121&lt;=0.25,"✔  OK",IF(H121&lt;=0.35,"⚠  Atenção","✖  Crítico"))),"—")</f>
        <v/>
      </c>
      <c r="U122" s="127" t="n"/>
      <c r="V122" s="127" t="n"/>
    </row>
    <row r="123" ht="15" customHeight="1">
      <c r="A123" s="149" t="inlineStr">
        <is>
          <t>Espetos</t>
        </is>
      </c>
      <c r="B123" s="127" t="inlineStr">
        <is>
          <t>Premium</t>
        </is>
      </c>
      <c r="C123" s="146" t="inlineStr">
        <is>
          <t>Bolinho de Bacalhau</t>
        </is>
      </c>
      <c r="D123" s="148">
        <f>VLOOKUP(E123,_Protheus_Cadastro!A:I,2,FALSE)</f>
        <v/>
      </c>
      <c r="E123" s="128" t="inlineStr">
        <is>
          <t>000766</t>
        </is>
      </c>
      <c r="F123" s="205">
        <f>IFERROR(INDEX(Vendidos!$H:$H,MATCH(E123,Vendidos!$B:$B,0)),"—")</f>
        <v/>
      </c>
      <c r="G123" s="129">
        <f>SUMIF('Fichas Flat'!$E$2:$E$880,E123,'Fichas Flat'!$K$2:$K$880)</f>
        <v/>
      </c>
      <c r="H123" s="130">
        <f>IFERROR(G123/F123,0)</f>
        <v/>
      </c>
      <c r="I123" s="129">
        <f>IFERROR(F123-G123,0)</f>
        <v/>
      </c>
      <c r="J123" s="130">
        <f>IFERROR(I123/F123,0)</f>
        <v/>
      </c>
      <c r="K123" s="129">
        <f>IFERROR(G123/0.3,0)</f>
        <v/>
      </c>
      <c r="L123" s="153" t="n">
        <v>14.99</v>
      </c>
      <c r="M123" s="131" t="n">
        <v>3.84</v>
      </c>
      <c r="N123" s="132" t="n">
        <v>0.2561707805203469</v>
      </c>
      <c r="O123" s="131" t="n">
        <v>11.15</v>
      </c>
      <c r="P123" s="132" t="n">
        <v>0.7438292194796531</v>
      </c>
      <c r="Q123" s="133" t="n">
        <v>46148</v>
      </c>
      <c r="R123" s="206">
        <f>IFERROR(IF(M122="","—",H123-N122),"—")</f>
        <v/>
      </c>
      <c r="S123" s="207" t="inlineStr">
        <is>
          <t>Sim</t>
        </is>
      </c>
      <c r="T123" s="128">
        <f>IFERROR(IF(H122=0,"—",IF(H122&lt;=0.25,"✔  OK",IF(H122&lt;=0.35,"⚠  Atenção","✖  Crítico"))),"—")</f>
        <v/>
      </c>
      <c r="U123" s="127" t="n"/>
      <c r="V123" s="127" t="n"/>
    </row>
    <row r="124" ht="15" customHeight="1">
      <c r="A124" s="149" t="inlineStr">
        <is>
          <t>Delivery</t>
        </is>
      </c>
      <c r="B124" s="127" t="inlineStr">
        <is>
          <t>Delivery</t>
        </is>
      </c>
      <c r="C124" s="146" t="inlineStr">
        <is>
          <t>Combo Família para 3</t>
        </is>
      </c>
      <c r="D124" s="148">
        <f>VLOOKUP(E124,_Protheus_Cadastro!A:I,2,FALSE)</f>
        <v/>
      </c>
      <c r="E124" s="128" t="inlineStr">
        <is>
          <t>002023</t>
        </is>
      </c>
      <c r="F124" s="205">
        <f>IFERROR(INDEX(Vendidos!$H:$H,MATCH(E124,Vendidos!$B:$B,0)),"—")</f>
        <v/>
      </c>
      <c r="G124" s="129">
        <f>SUMIF('Fichas Flat'!$E$2:$E$880,E124,'Fichas Flat'!$K$2:$K$880)</f>
        <v/>
      </c>
      <c r="H124" s="130">
        <f>IFERROR(G124/F124,0)</f>
        <v/>
      </c>
      <c r="I124" s="129">
        <f>IFERROR(F124-G124,0)</f>
        <v/>
      </c>
      <c r="J124" s="130">
        <f>IFERROR(I124/F124,0)</f>
        <v/>
      </c>
      <c r="K124" s="129">
        <f>IFERROR(G124/0.3,0)</f>
        <v/>
      </c>
      <c r="L124" s="153" t="n">
        <v>212.9</v>
      </c>
      <c r="M124" s="131" t="n">
        <v>45.6944909</v>
      </c>
      <c r="N124" s="132" t="n">
        <v>0.2146288910286519</v>
      </c>
      <c r="O124" s="131" t="n">
        <v>167.2055091</v>
      </c>
      <c r="P124" s="132" t="n">
        <v>0.785371108971348</v>
      </c>
      <c r="Q124" s="133" t="n">
        <v>46148</v>
      </c>
      <c r="R124" s="206">
        <f>IFERROR(IF(M123="","—",H124-N123),"—")</f>
        <v/>
      </c>
      <c r="S124" s="207" t="inlineStr">
        <is>
          <t>Não</t>
        </is>
      </c>
      <c r="T124" s="128">
        <f>IFERROR(IF(H123=0,"—",IF(H123&lt;=0.25,"✔  OK",IF(H123&lt;=0.35,"⚠  Atenção","✖  Crítico"))),"—")</f>
        <v/>
      </c>
      <c r="U124" s="127" t="n"/>
      <c r="V124" s="127" t="n"/>
    </row>
    <row r="125" ht="15" customHeight="1">
      <c r="A125" s="149" t="inlineStr">
        <is>
          <t>Bebidas Frias</t>
        </is>
      </c>
      <c r="B125" s="127" t="inlineStr">
        <is>
          <t>Cerveja</t>
        </is>
      </c>
      <c r="C125" s="146" t="inlineStr">
        <is>
          <t>Stella Artois Long Neck</t>
        </is>
      </c>
      <c r="D125" s="148">
        <f>VLOOKUP(E125,_Protheus_Cadastro!A:I,2,FALSE)</f>
        <v/>
      </c>
      <c r="E125" s="128" t="inlineStr">
        <is>
          <t>000910</t>
        </is>
      </c>
      <c r="F125" s="205">
        <f>IFERROR(INDEX(Vendidos!$H:$H,MATCH(E125,Vendidos!$B:$B,0)),"—")</f>
        <v/>
      </c>
      <c r="G125" s="129">
        <f>SUMIF('Fichas Flat'!$E$2:$E$880,E125,'Fichas Flat'!$K$2:$K$880)</f>
        <v/>
      </c>
      <c r="H125" s="130">
        <f>IFERROR(G125/F125,0)</f>
        <v/>
      </c>
      <c r="I125" s="129">
        <f>IFERROR(F125-G125,0)</f>
        <v/>
      </c>
      <c r="J125" s="130">
        <f>IFERROR(I125/F125,0)</f>
        <v/>
      </c>
      <c r="K125" s="129">
        <f>IFERROR(G125/0.3,0)</f>
        <v/>
      </c>
      <c r="L125" s="153" t="n">
        <v>14.99</v>
      </c>
      <c r="M125" s="131" t="n">
        <v>3.6495</v>
      </c>
      <c r="N125" s="132" t="n">
        <v>0.2434623082054703</v>
      </c>
      <c r="O125" s="131" t="n">
        <v>11.3405</v>
      </c>
      <c r="P125" s="132" t="n">
        <v>0.7565376917945297</v>
      </c>
      <c r="Q125" s="133" t="n">
        <v>46148</v>
      </c>
      <c r="R125" s="206">
        <f>IFERROR(IF(M124="","—",H125-N124),"—")</f>
        <v/>
      </c>
      <c r="S125" s="207" t="inlineStr">
        <is>
          <t>Sim</t>
        </is>
      </c>
      <c r="T125" s="128">
        <f>IFERROR(IF(H124=0,"—",IF(H124&lt;=0.25,"✔  OK",IF(H124&lt;=0.35,"⚠  Atenção","✖  Crítico"))),"—")</f>
        <v/>
      </c>
      <c r="U125" s="127" t="n"/>
      <c r="V125" s="127" t="n"/>
    </row>
    <row r="126" ht="15" customHeight="1">
      <c r="A126" s="149" t="inlineStr">
        <is>
          <t>Drinks</t>
        </is>
      </c>
      <c r="B126" s="127" t="inlineStr">
        <is>
          <t>Drinks</t>
        </is>
      </c>
      <c r="C126" s="146" t="inlineStr">
        <is>
          <t>Combo Absolut com 3 Red Bull</t>
        </is>
      </c>
      <c r="D126" s="148">
        <f>VLOOKUP(E126,_Protheus_Cadastro!A:I,2,FALSE)</f>
        <v/>
      </c>
      <c r="E126" s="128" t="inlineStr">
        <is>
          <t>001150</t>
        </is>
      </c>
      <c r="F126" s="205">
        <f>IFERROR(INDEX(Vendidos!$H:$H,MATCH(E126,Vendidos!$B:$B,0)),"—")</f>
        <v/>
      </c>
      <c r="G126" s="129">
        <f>SUMIF('Fichas Flat'!$E$2:$E$880,E126,'Fichas Flat'!$K$2:$K$880)</f>
        <v/>
      </c>
      <c r="H126" s="130">
        <f>IFERROR(G126/F126,0)</f>
        <v/>
      </c>
      <c r="I126" s="129">
        <f>IFERROR(F126-G126,0)</f>
        <v/>
      </c>
      <c r="J126" s="130">
        <f>IFERROR(I126/F126,0)</f>
        <v/>
      </c>
      <c r="K126" s="129">
        <f>IFERROR(G126/0.3,0)</f>
        <v/>
      </c>
      <c r="L126" s="153" t="n">
        <v>279.99</v>
      </c>
      <c r="M126" s="131" t="n">
        <v>83.22</v>
      </c>
      <c r="N126" s="132" t="n">
        <v>0.2972249008893175</v>
      </c>
      <c r="O126" s="131" t="n">
        <v>196.77</v>
      </c>
      <c r="P126" s="132" t="n">
        <v>0.7027750991106826</v>
      </c>
      <c r="Q126" s="133" t="n">
        <v>46148</v>
      </c>
      <c r="R126" s="206">
        <f>IFERROR(IF(M125="","—",H126-N125),"—")</f>
        <v/>
      </c>
      <c r="S126" s="207" t="inlineStr">
        <is>
          <t>Sim</t>
        </is>
      </c>
      <c r="T126" s="128">
        <f>IFERROR(IF(H125=0,"—",IF(H125&lt;=0.25,"✔  OK",IF(H125&lt;=0.35,"⚠  Atenção","✖  Crítico"))),"—")</f>
        <v/>
      </c>
      <c r="U126" s="127" t="n"/>
      <c r="V126" s="127" t="n"/>
    </row>
    <row r="127" ht="15" customHeight="1">
      <c r="A127" s="149" t="inlineStr">
        <is>
          <t>Espetos</t>
        </is>
      </c>
      <c r="B127" s="127" t="inlineStr">
        <is>
          <t>Veggie</t>
        </is>
      </c>
      <c r="C127" s="146" t="inlineStr">
        <is>
          <t>Pupunha na Brasa</t>
        </is>
      </c>
      <c r="D127" s="148">
        <f>VLOOKUP(E127,_Protheus_Cadastro!A:I,2,FALSE)</f>
        <v/>
      </c>
      <c r="E127" s="128" t="inlineStr">
        <is>
          <t>001070</t>
        </is>
      </c>
      <c r="F127" s="205">
        <f>IFERROR(INDEX(Vendidos!$H:$H,MATCH(E127,Vendidos!$B:$B,0)),"—")</f>
        <v/>
      </c>
      <c r="G127" s="129">
        <f>SUMIF('Fichas Flat'!$E$2:$E$880,E127,'Fichas Flat'!$K$2:$K$880)</f>
        <v/>
      </c>
      <c r="H127" s="130">
        <f>IFERROR(G127/F127,0)</f>
        <v/>
      </c>
      <c r="I127" s="129">
        <f>IFERROR(F127-G127,0)</f>
        <v/>
      </c>
      <c r="J127" s="130">
        <f>IFERROR(I127/F127,0)</f>
        <v/>
      </c>
      <c r="K127" s="129">
        <f>IFERROR(G127/0.3,0)</f>
        <v/>
      </c>
      <c r="L127" s="153" t="n">
        <v>16.99</v>
      </c>
      <c r="M127" s="131" t="n">
        <v>4.25</v>
      </c>
      <c r="N127" s="132" t="n">
        <v>0.2501471453796351</v>
      </c>
      <c r="O127" s="131" t="n">
        <v>12.74</v>
      </c>
      <c r="P127" s="132" t="n">
        <v>0.7498528546203649</v>
      </c>
      <c r="Q127" s="133" t="n">
        <v>46148</v>
      </c>
      <c r="R127" s="206">
        <f>IFERROR(IF(M126="","—",H127-N126),"—")</f>
        <v/>
      </c>
      <c r="S127" s="207" t="inlineStr">
        <is>
          <t>Sim</t>
        </is>
      </c>
      <c r="T127" s="128">
        <f>IFERROR(IF(H126=0,"—",IF(H126&lt;=0.25,"✔  OK",IF(H126&lt;=0.35,"⚠  Atenção","✖  Crítico"))),"—")</f>
        <v/>
      </c>
      <c r="U127" s="127" t="n"/>
      <c r="V127" s="127" t="n"/>
    </row>
    <row r="128" ht="15" customHeight="1">
      <c r="A128" s="150" t="inlineStr">
        <is>
          <t>Guarnições</t>
        </is>
      </c>
      <c r="B128" s="136" t="inlineStr">
        <is>
          <t>Porção</t>
        </is>
      </c>
      <c r="C128" s="145" t="inlineStr">
        <is>
          <t>Batata Frita</t>
        </is>
      </c>
      <c r="D128" s="147">
        <f>VLOOKUP(E128,_Protheus_Cadastro!A:I,2,FALSE)</f>
        <v/>
      </c>
      <c r="E128" s="137" t="inlineStr">
        <is>
          <t>001482</t>
        </is>
      </c>
      <c r="F128" s="202">
        <f>IFERROR(INDEX(Vendidos!$H:$H,MATCH(E128,Vendidos!$B:$B,0)),"—")</f>
        <v/>
      </c>
      <c r="G128" s="138">
        <f>SUMIF('Fichas Flat'!$E$2:$E$880,E128,'Fichas Flat'!$K$2:$K$880)</f>
        <v/>
      </c>
      <c r="H128" s="139">
        <f>IFERROR(G128/F128,0)</f>
        <v/>
      </c>
      <c r="I128" s="138">
        <f>IFERROR(F128-G128,0)</f>
        <v/>
      </c>
      <c r="J128" s="139">
        <f>IFERROR(I128/F128,0)</f>
        <v/>
      </c>
      <c r="K128" s="138">
        <f>IFERROR(G128/0.3,0)</f>
        <v/>
      </c>
      <c r="L128" s="154" t="n">
        <v>16.99</v>
      </c>
      <c r="M128" s="140" t="n">
        <v>1.8333</v>
      </c>
      <c r="N128" s="141" t="n">
        <v>0.1079046497939965</v>
      </c>
      <c r="O128" s="140" t="n">
        <v>15.1567</v>
      </c>
      <c r="P128" s="141" t="n">
        <v>0.8920953502060035</v>
      </c>
      <c r="Q128" s="142" t="n">
        <v>46148</v>
      </c>
      <c r="R128" s="203">
        <f>IFERROR(IF(M127="","—",H128-N127),"—")</f>
        <v/>
      </c>
      <c r="S128" s="204" t="inlineStr">
        <is>
          <t>Sim</t>
        </is>
      </c>
      <c r="T128" s="137">
        <f>IFERROR(IF(H127=0,"—",IF(H127&lt;=0.25,"✔  OK",IF(H127&lt;=0.35,"⚠  Atenção","✖  Crítico"))),"—")</f>
        <v/>
      </c>
      <c r="U128" s="136" t="n"/>
      <c r="V128" s="136" t="n"/>
    </row>
    <row r="129" ht="15" customHeight="1">
      <c r="A129" s="150" t="inlineStr">
        <is>
          <t>Drinks</t>
        </is>
      </c>
      <c r="B129" s="136" t="inlineStr">
        <is>
          <t>Drinks</t>
        </is>
      </c>
      <c r="C129" s="145" t="inlineStr">
        <is>
          <t>Kit para Gin</t>
        </is>
      </c>
      <c r="D129" s="147">
        <f>VLOOKUP(E129,_Protheus_Cadastro!A:I,2,FALSE)</f>
        <v/>
      </c>
      <c r="E129" s="137" t="inlineStr">
        <is>
          <t>001407</t>
        </is>
      </c>
      <c r="F129" s="202">
        <f>IFERROR(INDEX(Vendidos!$H:$H,MATCH(E129,Vendidos!$B:$B,0)),"—")</f>
        <v/>
      </c>
      <c r="G129" s="138">
        <f>SUMIF('Fichas Flat'!$E$2:$E$880,E129,'Fichas Flat'!$K$2:$K$880)</f>
        <v/>
      </c>
      <c r="H129" s="139">
        <f>IFERROR(G129/F129,0)</f>
        <v/>
      </c>
      <c r="I129" s="138">
        <f>IFERROR(F129-G129,0)</f>
        <v/>
      </c>
      <c r="J129" s="139">
        <f>IFERROR(I129/F129,0)</f>
        <v/>
      </c>
      <c r="K129" s="138">
        <f>IFERROR(G129/0.3,0)</f>
        <v/>
      </c>
      <c r="L129" s="154" t="n">
        <v>80.98999999999999</v>
      </c>
      <c r="M129" s="140" t="n">
        <v>30.8408</v>
      </c>
      <c r="N129" s="141" t="n">
        <v>0.3807976293369552</v>
      </c>
      <c r="O129" s="140" t="n">
        <v>50.14919999999999</v>
      </c>
      <c r="P129" s="141" t="n">
        <v>0.6192023706630447</v>
      </c>
      <c r="Q129" s="142" t="n">
        <v>46148</v>
      </c>
      <c r="R129" s="203">
        <f>IFERROR(IF(M128="","—",H129-N128),"—")</f>
        <v/>
      </c>
      <c r="S129" s="204" t="inlineStr">
        <is>
          <t>Sim</t>
        </is>
      </c>
      <c r="T129" s="137">
        <f>IFERROR(IF(H128=0,"—",IF(H128&lt;=0.25,"✔  OK",IF(H128&lt;=0.35,"⚠  Atenção","✖  Crítico"))),"—")</f>
        <v/>
      </c>
      <c r="U129" s="136" t="n"/>
      <c r="V129" s="136" t="n"/>
    </row>
    <row r="130" ht="15" customHeight="1">
      <c r="A130" s="150" t="inlineStr">
        <is>
          <t>Espetos</t>
        </is>
      </c>
      <c r="B130" s="136" t="inlineStr">
        <is>
          <t>Veggie</t>
        </is>
      </c>
      <c r="C130" s="145" t="inlineStr">
        <is>
          <t>Abobrinha Grelhada</t>
        </is>
      </c>
      <c r="D130" s="147">
        <f>VLOOKUP(E130,_Protheus_Cadastro!A:I,2,FALSE)</f>
        <v/>
      </c>
      <c r="E130" s="137" t="inlineStr">
        <is>
          <t>001508</t>
        </is>
      </c>
      <c r="F130" s="202">
        <f>IFERROR(INDEX(Vendidos!$H:$H,MATCH(E130,Vendidos!$B:$B,0)),"—")</f>
        <v/>
      </c>
      <c r="G130" s="138">
        <f>SUMIF('Fichas Flat'!$E$2:$E$880,E130,'Fichas Flat'!$K$2:$K$880)</f>
        <v/>
      </c>
      <c r="H130" s="139">
        <f>IFERROR(G130/F130,0)</f>
        <v/>
      </c>
      <c r="I130" s="138">
        <f>IFERROR(F130-G130,0)</f>
        <v/>
      </c>
      <c r="J130" s="139">
        <f>IFERROR(I130/F130,0)</f>
        <v/>
      </c>
      <c r="K130" s="138">
        <f>IFERROR(G130/0.3,0)</f>
        <v/>
      </c>
      <c r="L130" s="154" t="n">
        <v>10.99</v>
      </c>
      <c r="M130" s="140" t="n">
        <v>0.676</v>
      </c>
      <c r="N130" s="141" t="n">
        <v>0.06151046405823477</v>
      </c>
      <c r="O130" s="140" t="n">
        <v>10.314</v>
      </c>
      <c r="P130" s="141" t="n">
        <v>0.9384895359417652</v>
      </c>
      <c r="Q130" s="142" t="n">
        <v>46148</v>
      </c>
      <c r="R130" s="203">
        <f>IFERROR(IF(M129="","—",H130-N129),"—")</f>
        <v/>
      </c>
      <c r="S130" s="204" t="inlineStr">
        <is>
          <t>Não</t>
        </is>
      </c>
      <c r="T130" s="137">
        <f>IFERROR(IF(H129=0,"—",IF(H129&lt;=0.25,"✔  OK",IF(H129&lt;=0.35,"⚠  Atenção","✖  Crítico"))),"—")</f>
        <v/>
      </c>
      <c r="U130" s="136" t="n"/>
      <c r="V130" s="136" t="n"/>
    </row>
    <row r="131" ht="15" customHeight="1">
      <c r="A131" s="150" t="inlineStr">
        <is>
          <t>Bebidas Frias</t>
        </is>
      </c>
      <c r="B131" s="136" t="inlineStr">
        <is>
          <t>Cerveja</t>
        </is>
      </c>
      <c r="C131" s="145" t="inlineStr">
        <is>
          <t>Stella Artois Garrafa</t>
        </is>
      </c>
      <c r="D131" s="147">
        <f>VLOOKUP(E131,_Protheus_Cadastro!A:I,2,FALSE)</f>
        <v/>
      </c>
      <c r="E131" s="137" t="inlineStr">
        <is>
          <t>000897</t>
        </is>
      </c>
      <c r="F131" s="202">
        <f>IFERROR(INDEX(Vendidos!$H:$H,MATCH(E131,Vendidos!$B:$B,0)),"—")</f>
        <v/>
      </c>
      <c r="G131" s="138">
        <f>SUMIF('Fichas Flat'!$E$2:$E$880,E131,'Fichas Flat'!$K$2:$K$880)</f>
        <v/>
      </c>
      <c r="H131" s="139">
        <f>IFERROR(G131/F131,0)</f>
        <v/>
      </c>
      <c r="I131" s="138">
        <f>IFERROR(F131-G131,0)</f>
        <v/>
      </c>
      <c r="J131" s="139">
        <f>IFERROR(I131/F131,0)</f>
        <v/>
      </c>
      <c r="K131" s="138">
        <f>IFERROR(G131/0.3,0)</f>
        <v/>
      </c>
      <c r="L131" s="154" t="n">
        <v>20.99</v>
      </c>
      <c r="M131" s="140" t="n">
        <v>3.482</v>
      </c>
      <c r="N131" s="141" t="n">
        <v>0.1658885183420677</v>
      </c>
      <c r="O131" s="140" t="n">
        <v>17.508</v>
      </c>
      <c r="P131" s="141" t="n">
        <v>0.8341114816579324</v>
      </c>
      <c r="Q131" s="142" t="n">
        <v>46148</v>
      </c>
      <c r="R131" s="203">
        <f>IFERROR(IF(M130="","—",H131-N130),"—")</f>
        <v/>
      </c>
      <c r="S131" s="204" t="inlineStr">
        <is>
          <t>Sim</t>
        </is>
      </c>
      <c r="T131" s="137">
        <f>IFERROR(IF(H130=0,"—",IF(H130&lt;=0.25,"✔  OK",IF(H130&lt;=0.35,"⚠  Atenção","✖  Crítico"))),"—")</f>
        <v/>
      </c>
      <c r="U131" s="136" t="n"/>
      <c r="V131" s="136" t="n"/>
    </row>
    <row r="132" ht="15" customHeight="1">
      <c r="A132" s="149" t="inlineStr">
        <is>
          <t>Espetos</t>
        </is>
      </c>
      <c r="B132" s="127" t="inlineStr">
        <is>
          <t>Premium</t>
        </is>
      </c>
      <c r="C132" s="146" t="inlineStr">
        <is>
          <t>Tulipa</t>
        </is>
      </c>
      <c r="D132" s="148">
        <f>VLOOKUP(E132,_Protheus_Cadastro!A:I,2,FALSE)</f>
        <v/>
      </c>
      <c r="E132" s="128" t="inlineStr">
        <is>
          <t>001082</t>
        </is>
      </c>
      <c r="F132" s="205">
        <f>IFERROR(INDEX(Vendidos!$H:$H,MATCH(E132,Vendidos!$B:$B,0)),"—")</f>
        <v/>
      </c>
      <c r="G132" s="129">
        <f>SUMIF('Fichas Flat'!$E$2:$E$880,E132,'Fichas Flat'!$K$2:$K$880)</f>
        <v/>
      </c>
      <c r="H132" s="130">
        <f>IFERROR(G132/F132,0)</f>
        <v/>
      </c>
      <c r="I132" s="129">
        <f>IFERROR(F132-G132,0)</f>
        <v/>
      </c>
      <c r="J132" s="130">
        <f>IFERROR(I132/F132,0)</f>
        <v/>
      </c>
      <c r="K132" s="129">
        <f>IFERROR(G132/0.3,0)</f>
        <v/>
      </c>
      <c r="L132" s="153" t="n">
        <v>13.99</v>
      </c>
      <c r="M132" s="131" t="n">
        <v>3.717</v>
      </c>
      <c r="N132" s="132" t="n">
        <v>0.2656897784131523</v>
      </c>
      <c r="O132" s="131" t="n">
        <v>10.273</v>
      </c>
      <c r="P132" s="132" t="n">
        <v>0.7343102215868477</v>
      </c>
      <c r="Q132" s="133" t="n">
        <v>46148</v>
      </c>
      <c r="R132" s="206">
        <f>IFERROR(IF(M131="","—",H132-N131),"—")</f>
        <v/>
      </c>
      <c r="S132" s="207" t="inlineStr">
        <is>
          <t>Sim</t>
        </is>
      </c>
      <c r="T132" s="128">
        <f>IFERROR(IF(H131=0,"—",IF(H131&lt;=0.25,"✔  OK",IF(H131&lt;=0.35,"⚠  Atenção","✖  Crítico"))),"—")</f>
        <v/>
      </c>
      <c r="U132" s="127" t="n"/>
      <c r="V132" s="127" t="n"/>
    </row>
    <row r="133" ht="15" customHeight="1">
      <c r="A133" s="150" t="inlineStr">
        <is>
          <t>Bebidas Frias</t>
        </is>
      </c>
      <c r="B133" s="136" t="inlineStr">
        <is>
          <t>Cerveja</t>
        </is>
      </c>
      <c r="C133" s="145" t="inlineStr">
        <is>
          <t>Corona Extra</t>
        </is>
      </c>
      <c r="D133" s="147">
        <f>VLOOKUP(E133,_Protheus_Cadastro!A:I,2,FALSE)</f>
        <v/>
      </c>
      <c r="E133" s="137" t="inlineStr">
        <is>
          <t>000917</t>
        </is>
      </c>
      <c r="F133" s="202">
        <f>IFERROR(INDEX(Vendidos!$H:$H,MATCH(E133,Vendidos!$B:$B,0)),"—")</f>
        <v/>
      </c>
      <c r="G133" s="138">
        <f>SUMIF('Fichas Flat'!$E$2:$E$880,E133,'Fichas Flat'!$K$2:$K$880)</f>
        <v/>
      </c>
      <c r="H133" s="139">
        <f>IFERROR(G133/F133,0)</f>
        <v/>
      </c>
      <c r="I133" s="138">
        <f>IFERROR(F133-G133,0)</f>
        <v/>
      </c>
      <c r="J133" s="139">
        <f>IFERROR(I133/F133,0)</f>
        <v/>
      </c>
      <c r="K133" s="138">
        <f>IFERROR(G133/0.3,0)</f>
        <v/>
      </c>
      <c r="L133" s="154" t="n">
        <v>15.99</v>
      </c>
      <c r="M133" s="140" t="n">
        <v>4.2716</v>
      </c>
      <c r="N133" s="141" t="n">
        <v>0.2671419637273296</v>
      </c>
      <c r="O133" s="140" t="n">
        <v>11.7184</v>
      </c>
      <c r="P133" s="141" t="n">
        <v>0.7328580362726703</v>
      </c>
      <c r="Q133" s="142" t="n">
        <v>46148</v>
      </c>
      <c r="R133" s="203">
        <f>IFERROR(IF(M132="","—",H133-N132),"—")</f>
        <v/>
      </c>
      <c r="S133" s="204" t="inlineStr">
        <is>
          <t>Sim</t>
        </is>
      </c>
      <c r="T133" s="137">
        <f>IFERROR(IF(H132=0,"—",IF(H132&lt;=0.25,"✔  OK",IF(H132&lt;=0.35,"⚠  Atenção","✖  Crítico"))),"—")</f>
        <v/>
      </c>
      <c r="U133" s="136" t="n"/>
      <c r="V133" s="136" t="n"/>
    </row>
    <row r="134" ht="15" customHeight="1">
      <c r="A134" s="150" t="inlineStr">
        <is>
          <t>Drinks</t>
        </is>
      </c>
      <c r="B134" s="136" t="inlineStr">
        <is>
          <t>Drinks</t>
        </is>
      </c>
      <c r="C134" s="145" t="inlineStr">
        <is>
          <t>Piranga</t>
        </is>
      </c>
      <c r="D134" s="147">
        <f>VLOOKUP(E134,_Protheus_Cadastro!A:I,2,FALSE)</f>
        <v/>
      </c>
      <c r="E134" s="137" t="inlineStr">
        <is>
          <t>001946</t>
        </is>
      </c>
      <c r="F134" s="202">
        <f>IFERROR(INDEX(Vendidos!$H:$H,MATCH(E134,Vendidos!$B:$B,0)),"—")</f>
        <v/>
      </c>
      <c r="G134" s="138">
        <f>SUMIF('Fichas Flat'!$E$2:$E$880,E134,'Fichas Flat'!$K$2:$K$880)</f>
        <v/>
      </c>
      <c r="H134" s="139">
        <f>IFERROR(G134/F134,0)</f>
        <v/>
      </c>
      <c r="I134" s="138">
        <f>IFERROR(F134-G134,0)</f>
        <v/>
      </c>
      <c r="J134" s="139">
        <f>IFERROR(I134/F134,0)</f>
        <v/>
      </c>
      <c r="K134" s="138">
        <f>IFERROR(G134/0.3,0)</f>
        <v/>
      </c>
      <c r="L134" s="154" t="n">
        <v>37.99</v>
      </c>
      <c r="M134" s="140" t="n">
        <v>2.95517</v>
      </c>
      <c r="N134" s="141" t="n">
        <v>0.07778810213214003</v>
      </c>
      <c r="O134" s="140" t="n">
        <v>35.03483</v>
      </c>
      <c r="P134" s="141" t="n">
        <v>0.92221189786786</v>
      </c>
      <c r="Q134" s="142" t="n">
        <v>46148</v>
      </c>
      <c r="R134" s="203">
        <f>IFERROR(IF(M133="","—",H134-N133),"—")</f>
        <v/>
      </c>
      <c r="S134" s="204" t="inlineStr">
        <is>
          <t>Sim</t>
        </is>
      </c>
      <c r="T134" s="137">
        <f>IFERROR(IF(H133=0,"—",IF(H133&lt;=0.25,"✔  OK",IF(H133&lt;=0.35,"⚠  Atenção","✖  Crítico"))),"—")</f>
        <v/>
      </c>
      <c r="U134" s="136" t="n"/>
      <c r="V134" s="136" t="n"/>
    </row>
    <row r="135" ht="15" customHeight="1">
      <c r="A135" s="149" t="inlineStr">
        <is>
          <t>Drinks</t>
        </is>
      </c>
      <c r="B135" s="127" t="inlineStr">
        <is>
          <t>Drinks</t>
        </is>
      </c>
      <c r="C135" s="146" t="inlineStr">
        <is>
          <t>Margarita do Quintal</t>
        </is>
      </c>
      <c r="D135" s="148">
        <f>VLOOKUP(E135,_Protheus_Cadastro!A:I,2,FALSE)</f>
        <v/>
      </c>
      <c r="E135" s="128" t="inlineStr">
        <is>
          <t>001947</t>
        </is>
      </c>
      <c r="F135" s="205">
        <f>IFERROR(INDEX(Vendidos!$H:$H,MATCH(E135,Vendidos!$B:$B,0)),"—")</f>
        <v/>
      </c>
      <c r="G135" s="129">
        <f>SUMIF('Fichas Flat'!$E$2:$E$880,E135,'Fichas Flat'!$K$2:$K$880)</f>
        <v/>
      </c>
      <c r="H135" s="130">
        <f>IFERROR(G135/F135,0)</f>
        <v/>
      </c>
      <c r="I135" s="129">
        <f>IFERROR(F135-G135,0)</f>
        <v/>
      </c>
      <c r="J135" s="130">
        <f>IFERROR(I135/F135,0)</f>
        <v/>
      </c>
      <c r="K135" s="129">
        <f>IFERROR(G135/0.3,0)</f>
        <v/>
      </c>
      <c r="L135" s="153" t="n">
        <v>39.99</v>
      </c>
      <c r="M135" s="131" t="n">
        <v>3.6215025</v>
      </c>
      <c r="N135" s="132" t="n">
        <v>0.09056020255063765</v>
      </c>
      <c r="O135" s="131" t="n">
        <v>36.3684975</v>
      </c>
      <c r="P135" s="132" t="n">
        <v>0.9094397974493624</v>
      </c>
      <c r="Q135" s="133" t="n">
        <v>46148</v>
      </c>
      <c r="R135" s="206">
        <f>IFERROR(IF(M134="","—",H135-N134),"—")</f>
        <v/>
      </c>
      <c r="S135" s="207" t="inlineStr">
        <is>
          <t>Sim</t>
        </is>
      </c>
      <c r="T135" s="128">
        <f>IFERROR(IF(H134=0,"—",IF(H134&lt;=0.25,"✔  OK",IF(H134&lt;=0.35,"⚠  Atenção","✖  Crítico"))),"—")</f>
        <v/>
      </c>
      <c r="U135" s="127" t="n"/>
      <c r="V135" s="127" t="n"/>
    </row>
    <row r="136" ht="15" customHeight="1">
      <c r="A136" s="149" t="inlineStr">
        <is>
          <t>Bebidas Frias</t>
        </is>
      </c>
      <c r="B136" s="127" t="inlineStr">
        <is>
          <t>Cerveja</t>
        </is>
      </c>
      <c r="C136" s="146" t="inlineStr">
        <is>
          <t>Stella s/ glúten</t>
        </is>
      </c>
      <c r="D136" s="148">
        <f>VLOOKUP(E136,_Protheus_Cadastro!A:I,2,FALSE)</f>
        <v/>
      </c>
      <c r="E136" s="128" t="inlineStr">
        <is>
          <t>001389</t>
        </is>
      </c>
      <c r="F136" s="205">
        <f>IFERROR(INDEX(Vendidos!$H:$H,MATCH(E136,Vendidos!$B:$B,0)),"—")</f>
        <v/>
      </c>
      <c r="G136" s="129">
        <f>SUMIF('Fichas Flat'!$E$2:$E$880,E136,'Fichas Flat'!$K$2:$K$880)</f>
        <v/>
      </c>
      <c r="H136" s="130">
        <f>IFERROR(G136/F136,0)</f>
        <v/>
      </c>
      <c r="I136" s="129">
        <f>IFERROR(F136-G136,0)</f>
        <v/>
      </c>
      <c r="J136" s="130">
        <f>IFERROR(I136/F136,0)</f>
        <v/>
      </c>
      <c r="K136" s="129">
        <f>IFERROR(G136/0.3,0)</f>
        <v/>
      </c>
      <c r="L136" s="153" t="n">
        <v>14.99</v>
      </c>
      <c r="M136" s="131" t="n">
        <v>4.593</v>
      </c>
      <c r="N136" s="132" t="n">
        <v>0.3064042695130086</v>
      </c>
      <c r="O136" s="131" t="n">
        <v>10.397</v>
      </c>
      <c r="P136" s="132" t="n">
        <v>0.6935957304869913</v>
      </c>
      <c r="Q136" s="133" t="n">
        <v>46148</v>
      </c>
      <c r="R136" s="206">
        <f>IFERROR(IF(M135="","—",H136-N135),"—")</f>
        <v/>
      </c>
      <c r="S136" s="207" t="inlineStr">
        <is>
          <t>Sim</t>
        </is>
      </c>
      <c r="T136" s="128">
        <f>IFERROR(IF(H135=0,"—",IF(H135&lt;=0.25,"✔  OK",IF(H135&lt;=0.35,"⚠  Atenção","✖  Crítico"))),"—")</f>
        <v/>
      </c>
      <c r="U136" s="127" t="n"/>
      <c r="V136" s="127" t="n"/>
    </row>
    <row r="137" ht="15" customHeight="1">
      <c r="A137" s="149" t="inlineStr">
        <is>
          <t>Bebidas Frias</t>
        </is>
      </c>
      <c r="B137" s="127" t="inlineStr">
        <is>
          <t>Cachaça</t>
        </is>
      </c>
      <c r="C137" s="146" t="inlineStr">
        <is>
          <t>Cachaça do Quintal - Ouro</t>
        </is>
      </c>
      <c r="D137" s="148">
        <f>VLOOKUP(E137,_Protheus_Cadastro!A:I,2,FALSE)</f>
        <v/>
      </c>
      <c r="E137" s="128" t="inlineStr">
        <is>
          <t>000955</t>
        </is>
      </c>
      <c r="F137" s="205">
        <f>IFERROR(INDEX(Vendidos!$H:$H,MATCH(E137,Vendidos!$B:$B,0)),"—")</f>
        <v/>
      </c>
      <c r="G137" s="129">
        <f>SUMIF('Fichas Flat'!$E$2:$E$880,E137,'Fichas Flat'!$K$2:$K$880)</f>
        <v/>
      </c>
      <c r="H137" s="130">
        <f>IFERROR(G137/F137,0)</f>
        <v/>
      </c>
      <c r="I137" s="129">
        <f>IFERROR(F137-G137,0)</f>
        <v/>
      </c>
      <c r="J137" s="130">
        <f>IFERROR(I137/F137,0)</f>
        <v/>
      </c>
      <c r="K137" s="129">
        <f>IFERROR(G137/0.3,0)</f>
        <v/>
      </c>
      <c r="L137" s="153" t="n">
        <v>119.99</v>
      </c>
      <c r="M137" s="131" t="n">
        <v>16.90002</v>
      </c>
      <c r="N137" s="132" t="n">
        <v>0.1408452371030919</v>
      </c>
      <c r="O137" s="131" t="n">
        <v>103.08998</v>
      </c>
      <c r="P137" s="132" t="n">
        <v>0.8591547628969081</v>
      </c>
      <c r="Q137" s="133" t="n">
        <v>46148</v>
      </c>
      <c r="R137" s="206">
        <f>IFERROR(IF(M136="","—",H137-N136),"—")</f>
        <v/>
      </c>
      <c r="S137" s="207" t="inlineStr">
        <is>
          <t>Sim</t>
        </is>
      </c>
      <c r="T137" s="128">
        <f>IFERROR(IF(H136=0,"—",IF(H136&lt;=0.25,"✔  OK",IF(H136&lt;=0.35,"⚠  Atenção","✖  Crítico"))),"—")</f>
        <v/>
      </c>
      <c r="U137" s="127" t="n"/>
      <c r="V137" s="127" t="n"/>
    </row>
    <row r="138" ht="15" customHeight="1">
      <c r="A138" s="150" t="inlineStr">
        <is>
          <t>Espetos</t>
        </is>
      </c>
      <c r="B138" s="136" t="inlineStr">
        <is>
          <t>Veggie</t>
        </is>
      </c>
      <c r="C138" s="145" t="inlineStr">
        <is>
          <t>Espeto de Mussarela de Búfala com Rucula e Tomate Seco</t>
        </is>
      </c>
      <c r="D138" s="147">
        <f>VLOOKUP(E138,_Protheus_Cadastro!A:I,2,FALSE)</f>
        <v/>
      </c>
      <c r="E138" s="137" t="inlineStr">
        <is>
          <t>000279</t>
        </is>
      </c>
      <c r="F138" s="202">
        <f>IFERROR(INDEX(Vendidos!$H:$H,MATCH(E138,Vendidos!$B:$B,0)),"—")</f>
        <v/>
      </c>
      <c r="G138" s="138">
        <f>SUMIF('Fichas Flat'!$E$2:$E$880,E138,'Fichas Flat'!$K$2:$K$880)</f>
        <v/>
      </c>
      <c r="H138" s="139">
        <f>IFERROR(G138/F138,0)</f>
        <v/>
      </c>
      <c r="I138" s="138">
        <f>IFERROR(F138-G138,0)</f>
        <v/>
      </c>
      <c r="J138" s="139">
        <f>IFERROR(I138/F138,0)</f>
        <v/>
      </c>
      <c r="K138" s="138">
        <f>IFERROR(G138/0.3,0)</f>
        <v/>
      </c>
      <c r="L138" s="154" t="n">
        <v>14.99</v>
      </c>
      <c r="M138" s="140" t="n">
        <v>3.85</v>
      </c>
      <c r="N138" s="141" t="n">
        <v>0.256837891927952</v>
      </c>
      <c r="O138" s="140" t="n">
        <v>11.14</v>
      </c>
      <c r="P138" s="141" t="n">
        <v>0.7431621080720481</v>
      </c>
      <c r="Q138" s="142" t="n">
        <v>46148</v>
      </c>
      <c r="R138" s="203">
        <f>IFERROR(IF(M137="","—",H138-N137),"—")</f>
        <v/>
      </c>
      <c r="S138" s="204" t="inlineStr">
        <is>
          <t>Sim</t>
        </is>
      </c>
      <c r="T138" s="137">
        <f>IFERROR(IF(H137=0,"—",IF(H137&lt;=0.25,"✔  OK",IF(H137&lt;=0.35,"⚠  Atenção","✖  Crítico"))),"—")</f>
        <v/>
      </c>
      <c r="U138" s="136" t="n"/>
      <c r="V138" s="136" t="n"/>
    </row>
    <row r="139" ht="15" customHeight="1">
      <c r="A139" s="150" t="inlineStr">
        <is>
          <t>Guarnições</t>
        </is>
      </c>
      <c r="B139" s="136" t="inlineStr">
        <is>
          <t>Guarnições</t>
        </is>
      </c>
      <c r="C139" s="145" t="inlineStr">
        <is>
          <t>Porção de arroz biro biro</t>
        </is>
      </c>
      <c r="D139" s="147">
        <f>VLOOKUP(E139,_Protheus_Cadastro!A:I,2,FALSE)</f>
        <v/>
      </c>
      <c r="E139" s="137" t="inlineStr">
        <is>
          <t>000902</t>
        </is>
      </c>
      <c r="F139" s="202">
        <f>IFERROR(INDEX(Vendidos!$H:$H,MATCH(E139,Vendidos!$B:$B,0)),"—")</f>
        <v/>
      </c>
      <c r="G139" s="138">
        <f>SUMIF('Fichas Flat'!$E$2:$E$880,E139,'Fichas Flat'!$K$2:$K$880)</f>
        <v/>
      </c>
      <c r="H139" s="139">
        <f>IFERROR(G139/F139,0)</f>
        <v/>
      </c>
      <c r="I139" s="138">
        <f>IFERROR(F139-G139,0)</f>
        <v/>
      </c>
      <c r="J139" s="139">
        <f>IFERROR(I139/F139,0)</f>
        <v/>
      </c>
      <c r="K139" s="138">
        <f>IFERROR(G139/0.3,0)</f>
        <v/>
      </c>
      <c r="L139" s="154" t="n">
        <v>15.99</v>
      </c>
      <c r="M139" s="140" t="n">
        <v>1.53207</v>
      </c>
      <c r="N139" s="141" t="n">
        <v>0.09581425891181988</v>
      </c>
      <c r="O139" s="140" t="n">
        <v>14.45793</v>
      </c>
      <c r="P139" s="141" t="n">
        <v>0.9041857410881802</v>
      </c>
      <c r="Q139" s="142" t="n">
        <v>46148</v>
      </c>
      <c r="R139" s="203">
        <f>IFERROR(IF(M138="","—",H139-N138),"—")</f>
        <v/>
      </c>
      <c r="S139" s="204" t="inlineStr">
        <is>
          <t>Sim</t>
        </is>
      </c>
      <c r="T139" s="137">
        <f>IFERROR(IF(H138=0,"—",IF(H138&lt;=0.25,"✔  OK",IF(H138&lt;=0.35,"⚠  Atenção","✖  Crítico"))),"—")</f>
        <v/>
      </c>
      <c r="U139" s="136" t="n"/>
      <c r="V139" s="136" t="n"/>
    </row>
    <row r="140" ht="15" customHeight="1">
      <c r="A140" s="149" t="inlineStr">
        <is>
          <t>Espetos</t>
        </is>
      </c>
      <c r="B140" s="127" t="inlineStr">
        <is>
          <t>In Natura</t>
        </is>
      </c>
      <c r="C140" s="146" t="inlineStr">
        <is>
          <t>Panceta</t>
        </is>
      </c>
      <c r="D140" s="148">
        <f>VLOOKUP(E140,_Protheus_Cadastro!A:I,2,FALSE)</f>
        <v/>
      </c>
      <c r="E140" s="128" t="inlineStr">
        <is>
          <t>001012</t>
        </is>
      </c>
      <c r="F140" s="205">
        <f>IFERROR(INDEX(Vendidos!$H:$H,MATCH(E140,Vendidos!$B:$B,0)),"—")</f>
        <v/>
      </c>
      <c r="G140" s="129">
        <f>SUMIF('Fichas Flat'!$E$2:$E$880,E140,'Fichas Flat'!$K$2:$K$880)</f>
        <v/>
      </c>
      <c r="H140" s="130">
        <f>IFERROR(G140/F140,0)</f>
        <v/>
      </c>
      <c r="I140" s="129">
        <f>IFERROR(F140-G140,0)</f>
        <v/>
      </c>
      <c r="J140" s="130">
        <f>IFERROR(I140/F140,0)</f>
        <v/>
      </c>
      <c r="K140" s="129">
        <f>IFERROR(G140/0.3,0)</f>
        <v/>
      </c>
      <c r="L140" s="153" t="n">
        <v>29.9</v>
      </c>
      <c r="M140" s="131" t="n">
        <v>25.5</v>
      </c>
      <c r="N140" s="132" t="n">
        <v>0.8528428093645485</v>
      </c>
      <c r="O140" s="131" t="n">
        <v>4.399999999999999</v>
      </c>
      <c r="P140" s="132" t="n">
        <v>0.1471571906354515</v>
      </c>
      <c r="Q140" s="133" t="n">
        <v>46148</v>
      </c>
      <c r="R140" s="206">
        <f>IFERROR(IF(M139="","—",H140-N139),"—")</f>
        <v/>
      </c>
      <c r="S140" s="207" t="inlineStr">
        <is>
          <t>Sim</t>
        </is>
      </c>
      <c r="T140" s="128">
        <f>IFERROR(IF(H139=0,"—",IF(H139&lt;=0.25,"✔  OK",IF(H139&lt;=0.35,"⚠  Atenção","✖  Crítico"))),"—")</f>
        <v/>
      </c>
      <c r="U140" s="127" t="n"/>
      <c r="V140" s="127" t="n"/>
    </row>
    <row r="141" ht="15" customHeight="1">
      <c r="A141" s="149" t="inlineStr">
        <is>
          <t>Guarnições</t>
        </is>
      </c>
      <c r="B141" s="127" t="inlineStr">
        <is>
          <t>Porção</t>
        </is>
      </c>
      <c r="C141" s="146" t="inlineStr">
        <is>
          <t>Mandioca Frita</t>
        </is>
      </c>
      <c r="D141" s="148">
        <f>VLOOKUP(E141,_Protheus_Cadastro!A:I,2,FALSE)</f>
        <v/>
      </c>
      <c r="E141" s="128" t="inlineStr">
        <is>
          <t>001478</t>
        </is>
      </c>
      <c r="F141" s="205">
        <f>IFERROR(INDEX(Vendidos!$H:$H,MATCH(E141,Vendidos!$B:$B,0)),"—")</f>
        <v/>
      </c>
      <c r="G141" s="129">
        <f>SUMIF('Fichas Flat'!$E$2:$E$880,E141,'Fichas Flat'!$K$2:$K$880)</f>
        <v/>
      </c>
      <c r="H141" s="130">
        <f>IFERROR(G141/F141,0)</f>
        <v/>
      </c>
      <c r="I141" s="129">
        <f>IFERROR(F141-G141,0)</f>
        <v/>
      </c>
      <c r="J141" s="130">
        <f>IFERROR(I141/F141,0)</f>
        <v/>
      </c>
      <c r="K141" s="129">
        <f>IFERROR(G141/0.3,0)</f>
        <v/>
      </c>
      <c r="L141" s="153" t="n">
        <v>14.99</v>
      </c>
      <c r="M141" s="131" t="n">
        <v>1.871289</v>
      </c>
      <c r="N141" s="132" t="n">
        <v>0.1248358238825884</v>
      </c>
      <c r="O141" s="131" t="n">
        <v>13.118711</v>
      </c>
      <c r="P141" s="132" t="n">
        <v>0.8751641761174117</v>
      </c>
      <c r="Q141" s="133" t="n">
        <v>46148</v>
      </c>
      <c r="R141" s="206">
        <f>IFERROR(IF(M140="","—",H141-N140),"—")</f>
        <v/>
      </c>
      <c r="S141" s="207" t="inlineStr">
        <is>
          <t>Sim</t>
        </is>
      </c>
      <c r="T141" s="128">
        <f>IFERROR(IF(H140=0,"—",IF(H140&lt;=0.25,"✔  OK",IF(H140&lt;=0.35,"⚠  Atenção","✖  Crítico"))),"—")</f>
        <v/>
      </c>
      <c r="U141" s="127" t="n"/>
      <c r="V141" s="127" t="n"/>
    </row>
    <row r="142" ht="15" customHeight="1">
      <c r="A142" s="150" t="inlineStr">
        <is>
          <t>Espetos</t>
        </is>
      </c>
      <c r="B142" s="136" t="inlineStr">
        <is>
          <t>Tradicional</t>
        </is>
      </c>
      <c r="C142" s="145" t="inlineStr">
        <is>
          <t>Calabresa sem Pimenta</t>
        </is>
      </c>
      <c r="D142" s="147">
        <f>VLOOKUP(E142,_Protheus_Cadastro!A:I,2,FALSE)</f>
        <v/>
      </c>
      <c r="E142" s="137" t="inlineStr">
        <is>
          <t>000022</t>
        </is>
      </c>
      <c r="F142" s="202">
        <f>IFERROR(INDEX(Vendidos!$H:$H,MATCH(E142,Vendidos!$B:$B,0)),"—")</f>
        <v/>
      </c>
      <c r="G142" s="138">
        <f>SUMIF('Fichas Flat'!$E$2:$E$880,E142,'Fichas Flat'!$K$2:$K$880)</f>
        <v/>
      </c>
      <c r="H142" s="139">
        <f>IFERROR(G142/F142,0)</f>
        <v/>
      </c>
      <c r="I142" s="138">
        <f>IFERROR(F142-G142,0)</f>
        <v/>
      </c>
      <c r="J142" s="139">
        <f>IFERROR(I142/F142,0)</f>
        <v/>
      </c>
      <c r="K142" s="138">
        <f>IFERROR(G142/0.3,0)</f>
        <v/>
      </c>
      <c r="L142" s="154" t="n">
        <v>13.99</v>
      </c>
      <c r="M142" s="140" t="n">
        <v>1.75</v>
      </c>
      <c r="N142" s="141" t="n">
        <v>0.1250893495353824</v>
      </c>
      <c r="O142" s="140" t="n">
        <v>12.24</v>
      </c>
      <c r="P142" s="141" t="n">
        <v>0.8749106504646176</v>
      </c>
      <c r="Q142" s="142" t="n">
        <v>46148</v>
      </c>
      <c r="R142" s="203">
        <f>IFERROR(IF(M141="","—",H142-N141),"—")</f>
        <v/>
      </c>
      <c r="S142" s="204" t="inlineStr">
        <is>
          <t>Sim</t>
        </is>
      </c>
      <c r="T142" s="137">
        <f>IFERROR(IF(H141=0,"—",IF(H141&lt;=0.25,"✔  OK",IF(H141&lt;=0.35,"⚠  Atenção","✖  Crítico"))),"—")</f>
        <v/>
      </c>
      <c r="U142" s="136" t="n"/>
      <c r="V142" s="136" t="n"/>
    </row>
    <row r="143" ht="15" customHeight="1">
      <c r="A143" s="149" t="inlineStr">
        <is>
          <t>Bebidas Frias</t>
        </is>
      </c>
      <c r="B143" s="127" t="inlineStr">
        <is>
          <t>Vinhos - Tinto</t>
        </is>
      </c>
      <c r="C143" s="146" t="inlineStr">
        <is>
          <t>Norton Porteño Malbec</t>
        </is>
      </c>
      <c r="D143" s="148">
        <f>VLOOKUP(E143,_Protheus_Cadastro!A:I,2,FALSE)</f>
        <v/>
      </c>
      <c r="E143" s="128" t="inlineStr">
        <is>
          <t>001392</t>
        </is>
      </c>
      <c r="F143" s="205">
        <f>IFERROR(INDEX(Vendidos!$H:$H,MATCH(E143,Vendidos!$B:$B,0)),"—")</f>
        <v/>
      </c>
      <c r="G143" s="129">
        <f>SUMIF('Fichas Flat'!$E$2:$E$880,E143,'Fichas Flat'!$K$2:$K$880)</f>
        <v/>
      </c>
      <c r="H143" s="130">
        <f>IFERROR(G143/F143,0)</f>
        <v/>
      </c>
      <c r="I143" s="129">
        <f>IFERROR(F143-G143,0)</f>
        <v/>
      </c>
      <c r="J143" s="130">
        <f>IFERROR(I143/F143,0)</f>
        <v/>
      </c>
      <c r="K143" s="129">
        <f>IFERROR(G143/0.3,0)</f>
        <v/>
      </c>
      <c r="L143" s="153" t="n">
        <v>99.98999999999999</v>
      </c>
      <c r="M143" s="131" t="n">
        <v>30.8413</v>
      </c>
      <c r="N143" s="132" t="n">
        <v>0.3084438443844384</v>
      </c>
      <c r="O143" s="131" t="n">
        <v>69.14869999999999</v>
      </c>
      <c r="P143" s="132" t="n">
        <v>0.6915561556155615</v>
      </c>
      <c r="Q143" s="133" t="n">
        <v>46148</v>
      </c>
      <c r="R143" s="206">
        <f>IFERROR(IF(M142="","—",H143-N142),"—")</f>
        <v/>
      </c>
      <c r="S143" s="207" t="inlineStr">
        <is>
          <t>Sim</t>
        </is>
      </c>
      <c r="T143" s="128">
        <f>IFERROR(IF(H142=0,"—",IF(H142&lt;=0.25,"✔  OK",IF(H142&lt;=0.35,"⚠  Atenção","✖  Crítico"))),"—")</f>
        <v/>
      </c>
      <c r="U143" s="127" t="n"/>
      <c r="V143" s="127" t="n"/>
    </row>
    <row r="144" ht="15" customHeight="1">
      <c r="A144" s="150" t="inlineStr">
        <is>
          <t>Bebidas Frias</t>
        </is>
      </c>
      <c r="B144" s="136" t="inlineStr">
        <is>
          <t>Soft Drinks</t>
        </is>
      </c>
      <c r="C144" s="145" t="inlineStr">
        <is>
          <t>Guaraná Antarctica</t>
        </is>
      </c>
      <c r="D144" s="147">
        <f>VLOOKUP(E144,_Protheus_Cadastro!A:I,2,FALSE)</f>
        <v/>
      </c>
      <c r="E144" s="137" t="inlineStr">
        <is>
          <t>000882</t>
        </is>
      </c>
      <c r="F144" s="202">
        <f>IFERROR(INDEX(Vendidos!$H:$H,MATCH(E144,Vendidos!$B:$B,0)),"—")</f>
        <v/>
      </c>
      <c r="G144" s="138">
        <f>SUMIF('Fichas Flat'!$E$2:$E$880,E144,'Fichas Flat'!$K$2:$K$880)</f>
        <v/>
      </c>
      <c r="H144" s="139">
        <f>IFERROR(G144/F144,0)</f>
        <v/>
      </c>
      <c r="I144" s="138">
        <f>IFERROR(F144-G144,0)</f>
        <v/>
      </c>
      <c r="J144" s="139">
        <f>IFERROR(I144/F144,0)</f>
        <v/>
      </c>
      <c r="K144" s="138">
        <f>IFERROR(G144/0.3,0)</f>
        <v/>
      </c>
      <c r="L144" s="154" t="n">
        <v>9.99</v>
      </c>
      <c r="M144" s="140" t="n">
        <v>2.11</v>
      </c>
      <c r="N144" s="141" t="n">
        <v>0.2112112112112112</v>
      </c>
      <c r="O144" s="140" t="n">
        <v>7.880000000000001</v>
      </c>
      <c r="P144" s="141" t="n">
        <v>0.7887887887887889</v>
      </c>
      <c r="Q144" s="142" t="n">
        <v>46148</v>
      </c>
      <c r="R144" s="203">
        <f>IFERROR(IF(M143="","—",H144-N143),"—")</f>
        <v/>
      </c>
      <c r="S144" s="204" t="inlineStr">
        <is>
          <t>Sim</t>
        </is>
      </c>
      <c r="T144" s="137">
        <f>IFERROR(IF(H143=0,"—",IF(H143&lt;=0.25,"✔  OK",IF(H143&lt;=0.35,"⚠  Atenção","✖  Crítico"))),"—")</f>
        <v/>
      </c>
      <c r="U144" s="136" t="n"/>
      <c r="V144" s="136" t="n"/>
    </row>
    <row r="145" ht="15" customHeight="1">
      <c r="A145" s="150" t="inlineStr">
        <is>
          <t>Bebidas Frias</t>
        </is>
      </c>
      <c r="B145" s="136" t="inlineStr">
        <is>
          <t>Whiskies</t>
        </is>
      </c>
      <c r="C145" s="145" t="inlineStr">
        <is>
          <t>Red Label</t>
        </is>
      </c>
      <c r="D145" s="147">
        <f>VLOOKUP(E145,_Protheus_Cadastro!A:I,2,FALSE)</f>
        <v/>
      </c>
      <c r="E145" s="137" t="inlineStr">
        <is>
          <t>001149</t>
        </is>
      </c>
      <c r="F145" s="202">
        <f>IFERROR(INDEX(Vendidos!$H:$H,MATCH(E145,Vendidos!$B:$B,0)),"—")</f>
        <v/>
      </c>
      <c r="G145" s="138">
        <f>SUMIF('Fichas Flat'!$E$2:$E$880,E145,'Fichas Flat'!$K$2:$K$880)</f>
        <v/>
      </c>
      <c r="H145" s="139">
        <f>IFERROR(G145/F145,0)</f>
        <v/>
      </c>
      <c r="I145" s="138">
        <f>IFERROR(F145-G145,0)</f>
        <v/>
      </c>
      <c r="J145" s="139">
        <f>IFERROR(I145/F145,0)</f>
        <v/>
      </c>
      <c r="K145" s="138">
        <f>IFERROR(G145/0.3,0)</f>
        <v/>
      </c>
      <c r="L145" s="154" t="n">
        <v>269.99</v>
      </c>
      <c r="M145" s="140" t="n">
        <v>82.90000000000001</v>
      </c>
      <c r="N145" s="141" t="n">
        <v>0.3070484092003408</v>
      </c>
      <c r="O145" s="140" t="n">
        <v>187.09</v>
      </c>
      <c r="P145" s="141" t="n">
        <v>0.6929515907996593</v>
      </c>
      <c r="Q145" s="142" t="n">
        <v>46148</v>
      </c>
      <c r="R145" s="203">
        <f>IFERROR(IF(M144="","—",H145-N144),"—")</f>
        <v/>
      </c>
      <c r="S145" s="204" t="inlineStr">
        <is>
          <t>Sim</t>
        </is>
      </c>
      <c r="T145" s="137">
        <f>IFERROR(IF(H144=0,"—",IF(H144&lt;=0.25,"✔  OK",IF(H144&lt;=0.35,"⚠  Atenção","✖  Crítico"))),"—")</f>
        <v/>
      </c>
      <c r="U145" s="136" t="n"/>
      <c r="V145" s="136" t="n"/>
    </row>
    <row r="146" ht="15" customHeight="1">
      <c r="A146" s="150" t="inlineStr">
        <is>
          <t>Sobremesas</t>
        </is>
      </c>
      <c r="B146" s="136" t="inlineStr">
        <is>
          <t>Sobremesas</t>
        </is>
      </c>
      <c r="C146" s="145" t="inlineStr">
        <is>
          <t>Espeto de Banana com Chocolate</t>
        </is>
      </c>
      <c r="D146" s="147">
        <f>VLOOKUP(E146,_Protheus_Cadastro!A:I,2,FALSE)</f>
        <v/>
      </c>
      <c r="E146" s="137" t="inlineStr">
        <is>
          <t>000795</t>
        </is>
      </c>
      <c r="F146" s="202">
        <f>IFERROR(INDEX(Vendidos!$H:$H,MATCH(E146,Vendidos!$B:$B,0)),"—")</f>
        <v/>
      </c>
      <c r="G146" s="138">
        <f>SUMIF('Fichas Flat'!$E$2:$E$880,E146,'Fichas Flat'!$K$2:$K$880)</f>
        <v/>
      </c>
      <c r="H146" s="139">
        <f>IFERROR(G146/F146,0)</f>
        <v/>
      </c>
      <c r="I146" s="138">
        <f>IFERROR(F146-G146,0)</f>
        <v/>
      </c>
      <c r="J146" s="139">
        <f>IFERROR(I146/F146,0)</f>
        <v/>
      </c>
      <c r="K146" s="138">
        <f>IFERROR(G146/0.3,0)</f>
        <v/>
      </c>
      <c r="L146" s="154" t="n">
        <v>18.99</v>
      </c>
      <c r="M146" s="140" t="n">
        <v>2.724813</v>
      </c>
      <c r="N146" s="141" t="n">
        <v>0.1434867298578199</v>
      </c>
      <c r="O146" s="140" t="n">
        <v>16.265187</v>
      </c>
      <c r="P146" s="141" t="n">
        <v>0.85651327014218</v>
      </c>
      <c r="Q146" s="142" t="n">
        <v>46148</v>
      </c>
      <c r="R146" s="203">
        <f>IFERROR(IF(M145="","—",H146-N145),"—")</f>
        <v/>
      </c>
      <c r="S146" s="204" t="inlineStr">
        <is>
          <t>Não</t>
        </is>
      </c>
      <c r="T146" s="137">
        <f>IFERROR(IF(H145=0,"—",IF(H145&lt;=0.25,"✔  OK",IF(H145&lt;=0.35,"⚠  Atenção","✖  Crítico"))),"—")</f>
        <v/>
      </c>
      <c r="U146" s="136" t="n"/>
      <c r="V146" s="136" t="n"/>
    </row>
    <row r="147" ht="15" customHeight="1">
      <c r="A147" s="149" t="inlineStr">
        <is>
          <t>Sazonais</t>
        </is>
      </c>
      <c r="B147" s="127" t="inlineStr">
        <is>
          <t>Sazonais</t>
        </is>
      </c>
      <c r="C147" s="146" t="inlineStr">
        <is>
          <t>Casquinha Sorvete Mista</t>
        </is>
      </c>
      <c r="D147" s="148">
        <f>VLOOKUP(E147,_Protheus_Cadastro!A:I,2,FALSE)</f>
        <v/>
      </c>
      <c r="E147" s="128" t="inlineStr">
        <is>
          <t>010096</t>
        </is>
      </c>
      <c r="F147" s="205">
        <f>IFERROR(INDEX(Vendidos!$H:$H,MATCH(E147,Vendidos!$B:$B,0)),"—")</f>
        <v/>
      </c>
      <c r="G147" s="129">
        <f>SUMIF('Fichas Flat'!$E$2:$E$880,E147,'Fichas Flat'!$K$2:$K$880)</f>
        <v/>
      </c>
      <c r="H147" s="130">
        <f>IFERROR(G147/F147,0)</f>
        <v/>
      </c>
      <c r="I147" s="129">
        <f>IFERROR(F147-G147,0)</f>
        <v/>
      </c>
      <c r="J147" s="130">
        <f>IFERROR(I147/F147,0)</f>
        <v/>
      </c>
      <c r="K147" s="129">
        <f>IFERROR(G147/0.3,0)</f>
        <v/>
      </c>
      <c r="L147" s="153" t="n">
        <v>9.9</v>
      </c>
      <c r="M147" s="131" t="n">
        <v>1.1128</v>
      </c>
      <c r="N147" s="132" t="n">
        <v>0.1124040404040404</v>
      </c>
      <c r="O147" s="131" t="n">
        <v>8.7872</v>
      </c>
      <c r="P147" s="132" t="n">
        <v>0.8875959595959596</v>
      </c>
      <c r="Q147" s="133" t="n">
        <v>46148</v>
      </c>
      <c r="R147" s="206">
        <f>IFERROR(IF(M146="","—",H147-N146),"—")</f>
        <v/>
      </c>
      <c r="S147" s="207" t="inlineStr">
        <is>
          <t>Não</t>
        </is>
      </c>
      <c r="T147" s="128">
        <f>IFERROR(IF(H146=0,"—",IF(H146&lt;=0.25,"✔  OK",IF(H146&lt;=0.35,"⚠  Atenção","✖  Crítico"))),"—")</f>
        <v/>
      </c>
      <c r="U147" s="127" t="n"/>
      <c r="V147" s="127" t="n"/>
    </row>
    <row r="148" ht="15" customHeight="1">
      <c r="A148" s="149" t="inlineStr">
        <is>
          <t>Drinks</t>
        </is>
      </c>
      <c r="B148" s="127" t="inlineStr">
        <is>
          <t>Drinks</t>
        </is>
      </c>
      <c r="C148" s="146" t="inlineStr">
        <is>
          <t>Combo Black Label com 3 Red Bull</t>
        </is>
      </c>
      <c r="D148" s="148">
        <f>VLOOKUP(E148,_Protheus_Cadastro!A:I,2,FALSE)</f>
        <v/>
      </c>
      <c r="E148" s="128" t="inlineStr">
        <is>
          <t>002208</t>
        </is>
      </c>
      <c r="F148" s="205">
        <f>IFERROR(INDEX(Vendidos!$H:$H,MATCH(E148,Vendidos!$B:$B,0)),"—")</f>
        <v/>
      </c>
      <c r="G148" s="129">
        <f>SUMIF('Fichas Flat'!$E$2:$E$880,E148,'Fichas Flat'!$K$2:$K$880)</f>
        <v/>
      </c>
      <c r="H148" s="130">
        <f>IFERROR(G148/F148,0)</f>
        <v/>
      </c>
      <c r="I148" s="129">
        <f>IFERROR(F148-G148,0)</f>
        <v/>
      </c>
      <c r="J148" s="130">
        <f>IFERROR(I148/F148,0)</f>
        <v/>
      </c>
      <c r="K148" s="129">
        <f>IFERROR(G148/0.3,0)</f>
        <v/>
      </c>
      <c r="L148" s="153" t="n">
        <v>449.99</v>
      </c>
      <c r="M148" s="131" t="n">
        <v>2.2407325</v>
      </c>
      <c r="N148" s="132" t="n">
        <v>0.004979516211471366</v>
      </c>
      <c r="O148" s="131" t="n">
        <v>447.7492675</v>
      </c>
      <c r="P148" s="132" t="n">
        <v>0.9950204837885287</v>
      </c>
      <c r="Q148" s="133" t="n">
        <v>46148</v>
      </c>
      <c r="R148" s="206">
        <f>IFERROR(IF(M147="","—",H148-N147),"—")</f>
        <v/>
      </c>
      <c r="S148" s="207" t="inlineStr">
        <is>
          <t>Sim</t>
        </is>
      </c>
      <c r="T148" s="128">
        <f>IFERROR(IF(H147=0,"—",IF(H147&lt;=0.25,"✔  OK",IF(H147&lt;=0.35,"⚠  Atenção","✖  Crítico"))),"—")</f>
        <v/>
      </c>
      <c r="U148" s="127" t="n"/>
      <c r="V148" s="127" t="n"/>
    </row>
    <row r="149" ht="15" customHeight="1">
      <c r="A149" s="150" t="inlineStr">
        <is>
          <t>Bebidas Frias</t>
        </is>
      </c>
      <c r="B149" s="136" t="inlineStr">
        <is>
          <t>Cerveja</t>
        </is>
      </c>
      <c r="C149" s="145" t="inlineStr">
        <is>
          <t>Beck's Long Neck</t>
        </is>
      </c>
      <c r="D149" s="147">
        <f>VLOOKUP(E149,_Protheus_Cadastro!A:I,2,FALSE)</f>
        <v/>
      </c>
      <c r="E149" s="137" t="inlineStr">
        <is>
          <t>001333</t>
        </is>
      </c>
      <c r="F149" s="202">
        <f>IFERROR(INDEX(Vendidos!$H:$H,MATCH(E149,Vendidos!$B:$B,0)),"—")</f>
        <v/>
      </c>
      <c r="G149" s="138">
        <f>SUMIF('Fichas Flat'!$E$2:$E$880,E149,'Fichas Flat'!$K$2:$K$880)</f>
        <v/>
      </c>
      <c r="H149" s="139">
        <f>IFERROR(G149/F149,0)</f>
        <v/>
      </c>
      <c r="I149" s="138">
        <f>IFERROR(F149-G149,0)</f>
        <v/>
      </c>
      <c r="J149" s="139">
        <f>IFERROR(I149/F149,0)</f>
        <v/>
      </c>
      <c r="K149" s="138">
        <f>IFERROR(G149/0.3,0)</f>
        <v/>
      </c>
      <c r="L149" s="154" t="n">
        <v>14.99</v>
      </c>
      <c r="M149" s="140" t="n">
        <v>4.0357</v>
      </c>
      <c r="N149" s="141" t="n">
        <v>0.2692261507671782</v>
      </c>
      <c r="O149" s="140" t="n">
        <v>10.9543</v>
      </c>
      <c r="P149" s="141" t="n">
        <v>0.7307738492328218</v>
      </c>
      <c r="Q149" s="142" t="n">
        <v>46148</v>
      </c>
      <c r="R149" s="203">
        <f>IFERROR(IF(M148="","—",H149-N148),"—")</f>
        <v/>
      </c>
      <c r="S149" s="204" t="inlineStr">
        <is>
          <t>Não</t>
        </is>
      </c>
      <c r="T149" s="137">
        <f>IFERROR(IF(H148=0,"—",IF(H148&lt;=0.25,"✔  OK",IF(H148&lt;=0.35,"⚠  Atenção","✖  Crítico"))),"—")</f>
        <v/>
      </c>
      <c r="U149" s="136" t="n"/>
      <c r="V149" s="136" t="n"/>
    </row>
    <row r="150" ht="15" customHeight="1">
      <c r="A150" s="149" t="inlineStr">
        <is>
          <t>Guarnições</t>
        </is>
      </c>
      <c r="B150" s="127" t="inlineStr">
        <is>
          <t>Guarnições</t>
        </is>
      </c>
      <c r="C150" s="146" t="inlineStr">
        <is>
          <t>Purê de Batata</t>
        </is>
      </c>
      <c r="D150" s="148">
        <f>VLOOKUP(E150,_Protheus_Cadastro!A:I,2,FALSE)</f>
        <v/>
      </c>
      <c r="E150" s="128" t="inlineStr">
        <is>
          <t>002213</t>
        </is>
      </c>
      <c r="F150" s="205">
        <f>IFERROR(INDEX(Vendidos!$H:$H,MATCH(E150,Vendidos!$B:$B,0)),"—")</f>
        <v/>
      </c>
      <c r="G150" s="129">
        <f>SUMIF('Fichas Flat'!$E$2:$E$880,E150,'Fichas Flat'!$K$2:$K$880)</f>
        <v/>
      </c>
      <c r="H150" s="130">
        <f>IFERROR(G150/F150,0)</f>
        <v/>
      </c>
      <c r="I150" s="129">
        <f>IFERROR(F150-G150,0)</f>
        <v/>
      </c>
      <c r="J150" s="130">
        <f>IFERROR(I150/F150,0)</f>
        <v/>
      </c>
      <c r="K150" s="129">
        <f>IFERROR(G150/0.3,0)</f>
        <v/>
      </c>
      <c r="L150" s="153" t="n">
        <v>9.99</v>
      </c>
      <c r="M150" s="131" t="n">
        <v>0.8671069</v>
      </c>
      <c r="N150" s="132" t="n">
        <v>0.08679748748748749</v>
      </c>
      <c r="O150" s="131" t="n">
        <v>9.122893100000001</v>
      </c>
      <c r="P150" s="132" t="n">
        <v>0.9132025125125126</v>
      </c>
      <c r="Q150" s="133" t="n">
        <v>46148</v>
      </c>
      <c r="R150" s="206">
        <f>IFERROR(IF(M149="","—",H150-N149),"—")</f>
        <v/>
      </c>
      <c r="S150" s="207" t="inlineStr">
        <is>
          <t>Não</t>
        </is>
      </c>
      <c r="T150" s="128">
        <f>IFERROR(IF(H149=0,"—",IF(H149&lt;=0.25,"✔  OK",IF(H149&lt;=0.35,"⚠  Atenção","✖  Crítico"))),"—")</f>
        <v/>
      </c>
      <c r="U150" s="127" t="n"/>
      <c r="V150" s="127" t="n"/>
    </row>
    <row r="151" ht="15" customHeight="1">
      <c r="A151" s="149" t="inlineStr">
        <is>
          <t>Bebidas Frias</t>
        </is>
      </c>
      <c r="B151" s="127" t="inlineStr">
        <is>
          <t>Soft Drinks</t>
        </is>
      </c>
      <c r="C151" s="146" t="inlineStr">
        <is>
          <t>Sukita Laranja</t>
        </is>
      </c>
      <c r="D151" s="148">
        <f>VLOOKUP(E151,_Protheus_Cadastro!A:I,2,FALSE)</f>
        <v/>
      </c>
      <c r="E151" s="128" t="inlineStr">
        <is>
          <t>000881</t>
        </is>
      </c>
      <c r="F151" s="205">
        <f>IFERROR(INDEX(Vendidos!$H:$H,MATCH(E151,Vendidos!$B:$B,0)),"—")</f>
        <v/>
      </c>
      <c r="G151" s="129">
        <f>SUMIF('Fichas Flat'!$E$2:$E$880,E151,'Fichas Flat'!$K$2:$K$880)</f>
        <v/>
      </c>
      <c r="H151" s="130">
        <f>IFERROR(G151/F151,0)</f>
        <v/>
      </c>
      <c r="I151" s="129">
        <f>IFERROR(F151-G151,0)</f>
        <v/>
      </c>
      <c r="J151" s="130">
        <f>IFERROR(I151/F151,0)</f>
        <v/>
      </c>
      <c r="K151" s="129">
        <f>IFERROR(G151/0.3,0)</f>
        <v/>
      </c>
      <c r="L151" s="153" t="n">
        <v>9.99</v>
      </c>
      <c r="M151" s="131" t="n">
        <v>2.3225</v>
      </c>
      <c r="N151" s="132" t="n">
        <v>0.2324824824824825</v>
      </c>
      <c r="O151" s="131" t="n">
        <v>7.6675</v>
      </c>
      <c r="P151" s="132" t="n">
        <v>0.7675175175175175</v>
      </c>
      <c r="Q151" s="133" t="n">
        <v>46148</v>
      </c>
      <c r="R151" s="206">
        <f>IFERROR(IF(M150="","—",H151-N150),"—")</f>
        <v/>
      </c>
      <c r="S151" s="207" t="inlineStr">
        <is>
          <t>Sim</t>
        </is>
      </c>
      <c r="T151" s="128">
        <f>IFERROR(IF(H150=0,"—",IF(H150&lt;=0.25,"✔  OK",IF(H150&lt;=0.35,"⚠  Atenção","✖  Crítico"))),"—")</f>
        <v/>
      </c>
      <c r="U151" s="127" t="n"/>
      <c r="V151" s="127" t="n"/>
    </row>
    <row r="152" ht="15" customHeight="1">
      <c r="A152" s="150" t="inlineStr">
        <is>
          <t>Bebidas Frias</t>
        </is>
      </c>
      <c r="B152" s="136" t="inlineStr">
        <is>
          <t>Cerveja</t>
        </is>
      </c>
      <c r="C152" s="145" t="inlineStr">
        <is>
          <t>Budweiser Long Neck</t>
        </is>
      </c>
      <c r="D152" s="147">
        <f>VLOOKUP(E152,_Protheus_Cadastro!A:I,2,FALSE)</f>
        <v/>
      </c>
      <c r="E152" s="137" t="inlineStr">
        <is>
          <t>000904</t>
        </is>
      </c>
      <c r="F152" s="202">
        <f>IFERROR(INDEX(Vendidos!$H:$H,MATCH(E152,Vendidos!$B:$B,0)),"—")</f>
        <v/>
      </c>
      <c r="G152" s="138">
        <f>SUMIF('Fichas Flat'!$E$2:$E$880,E152,'Fichas Flat'!$K$2:$K$880)</f>
        <v/>
      </c>
      <c r="H152" s="139">
        <f>IFERROR(G152/F152,0)</f>
        <v/>
      </c>
      <c r="I152" s="138">
        <f>IFERROR(F152-G152,0)</f>
        <v/>
      </c>
      <c r="J152" s="139">
        <f>IFERROR(I152/F152,0)</f>
        <v/>
      </c>
      <c r="K152" s="138">
        <f>IFERROR(G152/0.3,0)</f>
        <v/>
      </c>
      <c r="L152" s="154" t="n">
        <v>13.99</v>
      </c>
      <c r="M152" s="140" t="n">
        <v>4.1671</v>
      </c>
      <c r="N152" s="141" t="n">
        <v>0.2978627591136526</v>
      </c>
      <c r="O152" s="140" t="n">
        <v>9.822900000000001</v>
      </c>
      <c r="P152" s="141" t="n">
        <v>0.7021372408863474</v>
      </c>
      <c r="Q152" s="142" t="n">
        <v>46148</v>
      </c>
      <c r="R152" s="203">
        <f>IFERROR(IF(M151="","—",H152-N151),"—")</f>
        <v/>
      </c>
      <c r="S152" s="204" t="inlineStr">
        <is>
          <t>Não</t>
        </is>
      </c>
      <c r="T152" s="137">
        <f>IFERROR(IF(H151=0,"—",IF(H151&lt;=0.25,"✔  OK",IF(H151&lt;=0.35,"⚠  Atenção","✖  Crítico"))),"—")</f>
        <v/>
      </c>
      <c r="U152" s="136" t="n"/>
      <c r="V152" s="136" t="n"/>
    </row>
    <row r="153" ht="15" customHeight="1">
      <c r="A153" s="150" t="inlineStr">
        <is>
          <t>Sobremesas</t>
        </is>
      </c>
      <c r="B153" s="136" t="inlineStr">
        <is>
          <t>Sobremesas</t>
        </is>
      </c>
      <c r="C153" s="145" t="inlineStr">
        <is>
          <t>Brigadeiro</t>
        </is>
      </c>
      <c r="D153" s="147">
        <f>VLOOKUP(E153,_Protheus_Cadastro!A:I,2,FALSE)</f>
        <v/>
      </c>
      <c r="E153" s="137" t="inlineStr">
        <is>
          <t>000800</t>
        </is>
      </c>
      <c r="F153" s="202">
        <f>IFERROR(INDEX(Vendidos!$H:$H,MATCH(E153,Vendidos!$B:$B,0)),"—")</f>
        <v/>
      </c>
      <c r="G153" s="138">
        <f>SUMIF('Fichas Flat'!$E$2:$E$880,E153,'Fichas Flat'!$K$2:$K$880)</f>
        <v/>
      </c>
      <c r="H153" s="139">
        <f>IFERROR(G153/F153,0)</f>
        <v/>
      </c>
      <c r="I153" s="138">
        <f>IFERROR(F153-G153,0)</f>
        <v/>
      </c>
      <c r="J153" s="139">
        <f>IFERROR(I153/F153,0)</f>
        <v/>
      </c>
      <c r="K153" s="138">
        <f>IFERROR(G153/0.3,0)</f>
        <v/>
      </c>
      <c r="L153" s="154" t="n">
        <v>16.99</v>
      </c>
      <c r="M153" s="140" t="n">
        <v>3.891313</v>
      </c>
      <c r="N153" s="141" t="n">
        <v>0.229035491465568</v>
      </c>
      <c r="O153" s="140" t="n">
        <v>13.098687</v>
      </c>
      <c r="P153" s="141" t="n">
        <v>0.770964508534432</v>
      </c>
      <c r="Q153" s="142" t="n">
        <v>46148</v>
      </c>
      <c r="R153" s="203">
        <f>IFERROR(IF(M152="","—",H153-N152),"—")</f>
        <v/>
      </c>
      <c r="S153" s="204" t="inlineStr">
        <is>
          <t>Sim</t>
        </is>
      </c>
      <c r="T153" s="137">
        <f>IFERROR(IF(H152=0,"—",IF(H152&lt;=0.25,"✔  OK",IF(H152&lt;=0.35,"⚠  Atenção","✖  Crítico"))),"—")</f>
        <v/>
      </c>
      <c r="U153" s="136" t="n"/>
      <c r="V153" s="136" t="n"/>
    </row>
    <row r="154" ht="15" customHeight="1">
      <c r="A154" s="149" t="inlineStr">
        <is>
          <t>Espetos</t>
        </is>
      </c>
      <c r="B154" s="127" t="inlineStr">
        <is>
          <t>Veggie</t>
        </is>
      </c>
      <c r="C154" s="146" t="inlineStr">
        <is>
          <t>Espeto de Pupunha com Tomate Seco e Rúcula</t>
        </is>
      </c>
      <c r="D154" s="148">
        <f>VLOOKUP(E154,_Protheus_Cadastro!A:I,2,FALSE)</f>
        <v/>
      </c>
      <c r="E154" s="128" t="inlineStr">
        <is>
          <t>000280</t>
        </is>
      </c>
      <c r="F154" s="205">
        <f>IFERROR(INDEX(Vendidos!$H:$H,MATCH(E154,Vendidos!$B:$B,0)),"—")</f>
        <v/>
      </c>
      <c r="G154" s="129">
        <f>SUMIF('Fichas Flat'!$E$2:$E$880,E154,'Fichas Flat'!$K$2:$K$880)</f>
        <v/>
      </c>
      <c r="H154" s="130">
        <f>IFERROR(G154/F154,0)</f>
        <v/>
      </c>
      <c r="I154" s="129">
        <f>IFERROR(F154-G154,0)</f>
        <v/>
      </c>
      <c r="J154" s="130">
        <f>IFERROR(I154/F154,0)</f>
        <v/>
      </c>
      <c r="K154" s="129">
        <f>IFERROR(G154/0.3,0)</f>
        <v/>
      </c>
      <c r="L154" s="153" t="n">
        <v>18.99</v>
      </c>
      <c r="M154" s="131" t="n">
        <v>4.3166</v>
      </c>
      <c r="N154" s="132" t="n">
        <v>0.2273091100579253</v>
      </c>
      <c r="O154" s="131" t="n">
        <v>14.6734</v>
      </c>
      <c r="P154" s="132" t="n">
        <v>0.7726908899420747</v>
      </c>
      <c r="Q154" s="133" t="n">
        <v>46148</v>
      </c>
      <c r="R154" s="206">
        <f>IFERROR(IF(M153="","—",H154-N153),"—")</f>
        <v/>
      </c>
      <c r="S154" s="207" t="inlineStr">
        <is>
          <t>Sim</t>
        </is>
      </c>
      <c r="T154" s="128">
        <f>IFERROR(IF(H153=0,"—",IF(H153&lt;=0.25,"✔  OK",IF(H153&lt;=0.35,"⚠  Atenção","✖  Crítico"))),"—")</f>
        <v/>
      </c>
      <c r="U154" s="127" t="n"/>
      <c r="V154" s="127" t="n"/>
    </row>
    <row r="155" ht="15" customHeight="1">
      <c r="A155" s="149" t="inlineStr">
        <is>
          <t>Bebidas Frias</t>
        </is>
      </c>
      <c r="B155" s="127" t="inlineStr">
        <is>
          <t>Soft Drinks</t>
        </is>
      </c>
      <c r="C155" s="146" t="inlineStr">
        <is>
          <t>Soda Limonada</t>
        </is>
      </c>
      <c r="D155" s="148">
        <f>VLOOKUP(E155,_Protheus_Cadastro!A:I,2,FALSE)</f>
        <v/>
      </c>
      <c r="E155" s="128" t="inlineStr">
        <is>
          <t>000883</t>
        </is>
      </c>
      <c r="F155" s="205">
        <f>IFERROR(INDEX(Vendidos!$H:$H,MATCH(E155,Vendidos!$B:$B,0)),"—")</f>
        <v/>
      </c>
      <c r="G155" s="129">
        <f>SUMIF('Fichas Flat'!$E$2:$E$880,E155,'Fichas Flat'!$K$2:$K$880)</f>
        <v/>
      </c>
      <c r="H155" s="130">
        <f>IFERROR(G155/F155,0)</f>
        <v/>
      </c>
      <c r="I155" s="129">
        <f>IFERROR(F155-G155,0)</f>
        <v/>
      </c>
      <c r="J155" s="130">
        <f>IFERROR(I155/F155,0)</f>
        <v/>
      </c>
      <c r="K155" s="129">
        <f>IFERROR(G155/0.3,0)</f>
        <v/>
      </c>
      <c r="L155" s="153" t="n">
        <v>9.99</v>
      </c>
      <c r="M155" s="131" t="n">
        <v>2.3656</v>
      </c>
      <c r="N155" s="132" t="n">
        <v>0.2367967967967968</v>
      </c>
      <c r="O155" s="131" t="n">
        <v>7.6244</v>
      </c>
      <c r="P155" s="132" t="n">
        <v>0.7632032032032031</v>
      </c>
      <c r="Q155" s="133" t="n">
        <v>46148</v>
      </c>
      <c r="R155" s="206">
        <f>IFERROR(IF(M154="","—",H155-N154),"—")</f>
        <v/>
      </c>
      <c r="S155" s="207" t="inlineStr">
        <is>
          <t>Sim</t>
        </is>
      </c>
      <c r="T155" s="128">
        <f>IFERROR(IF(H154=0,"—",IF(H154&lt;=0.25,"✔  OK",IF(H154&lt;=0.35,"⚠  Atenção","✖  Crítico"))),"—")</f>
        <v/>
      </c>
      <c r="U155" s="127" t="n"/>
      <c r="V155" s="127" t="n"/>
    </row>
    <row r="156" ht="15" customHeight="1">
      <c r="A156" s="150" t="inlineStr">
        <is>
          <t>Espetos</t>
        </is>
      </c>
      <c r="B156" s="136" t="inlineStr">
        <is>
          <t>Premium</t>
        </is>
      </c>
      <c r="C156" s="145" t="inlineStr">
        <is>
          <t>Kibe c/ Queijo</t>
        </is>
      </c>
      <c r="D156" s="147">
        <f>VLOOKUP(E156,_Protheus_Cadastro!A:I,2,FALSE)</f>
        <v/>
      </c>
      <c r="E156" s="137" t="inlineStr">
        <is>
          <t>000767</t>
        </is>
      </c>
      <c r="F156" s="202">
        <f>IFERROR(INDEX(Vendidos!$H:$H,MATCH(E156,Vendidos!$B:$B,0)),"—")</f>
        <v/>
      </c>
      <c r="G156" s="138">
        <f>SUMIF('Fichas Flat'!$E$2:$E$880,E156,'Fichas Flat'!$K$2:$K$880)</f>
        <v/>
      </c>
      <c r="H156" s="139">
        <f>IFERROR(G156/F156,0)</f>
        <v/>
      </c>
      <c r="I156" s="138">
        <f>IFERROR(F156-G156,0)</f>
        <v/>
      </c>
      <c r="J156" s="139">
        <f>IFERROR(I156/F156,0)</f>
        <v/>
      </c>
      <c r="K156" s="138">
        <f>IFERROR(G156/0.3,0)</f>
        <v/>
      </c>
      <c r="L156" s="154" t="n">
        <v>14.99</v>
      </c>
      <c r="M156" s="140" t="n">
        <v>4.4</v>
      </c>
      <c r="N156" s="141" t="n">
        <v>0.2935290193462308</v>
      </c>
      <c r="O156" s="140" t="n">
        <v>10.59</v>
      </c>
      <c r="P156" s="141" t="n">
        <v>0.7064709806537691</v>
      </c>
      <c r="Q156" s="142" t="n">
        <v>46148</v>
      </c>
      <c r="R156" s="203">
        <f>IFERROR(IF(M155="","—",H156-N155),"—")</f>
        <v/>
      </c>
      <c r="S156" s="204" t="inlineStr">
        <is>
          <t>Sim</t>
        </is>
      </c>
      <c r="T156" s="137">
        <f>IFERROR(IF(H155=0,"—",IF(H155&lt;=0.25,"✔  OK",IF(H155&lt;=0.35,"⚠  Atenção","✖  Crítico"))),"—")</f>
        <v/>
      </c>
      <c r="U156" s="136" t="n"/>
      <c r="V156" s="136" t="n"/>
    </row>
    <row r="157" ht="15" customHeight="1">
      <c r="A157" s="150" t="inlineStr">
        <is>
          <t>Bebidas Frias</t>
        </is>
      </c>
      <c r="B157" s="136" t="inlineStr">
        <is>
          <t>Vinhos - Tinto</t>
        </is>
      </c>
      <c r="C157" s="145" t="inlineStr">
        <is>
          <t>Antares Carmenere, 2020</t>
        </is>
      </c>
      <c r="D157" s="147">
        <f>VLOOKUP(E157,_Protheus_Cadastro!A:I,2,FALSE)</f>
        <v/>
      </c>
      <c r="E157" s="137" t="inlineStr">
        <is>
          <t>000281</t>
        </is>
      </c>
      <c r="F157" s="202">
        <f>IFERROR(INDEX(Vendidos!$H:$H,MATCH(E157,Vendidos!$B:$B,0)),"—")</f>
        <v/>
      </c>
      <c r="G157" s="138">
        <f>SUMIF('Fichas Flat'!$E$2:$E$880,E157,'Fichas Flat'!$K$2:$K$880)</f>
        <v/>
      </c>
      <c r="H157" s="139">
        <f>IFERROR(G157/F157,0)</f>
        <v/>
      </c>
      <c r="I157" s="138">
        <f>IFERROR(F157-G157,0)</f>
        <v/>
      </c>
      <c r="J157" s="139">
        <f>IFERROR(I157/F157,0)</f>
        <v/>
      </c>
      <c r="K157" s="138">
        <f>IFERROR(G157/0.3,0)</f>
        <v/>
      </c>
      <c r="L157" s="154" t="n">
        <v>118.99</v>
      </c>
      <c r="M157" s="140" t="n">
        <v>4.065703</v>
      </c>
      <c r="N157" s="141" t="n">
        <v>0.03416844272627952</v>
      </c>
      <c r="O157" s="140" t="n">
        <v>114.924297</v>
      </c>
      <c r="P157" s="141" t="n">
        <v>0.9658315572737205</v>
      </c>
      <c r="Q157" s="142" t="n">
        <v>46148</v>
      </c>
      <c r="R157" s="203">
        <f>IFERROR(IF(M156="","—",H157-N156),"—")</f>
        <v/>
      </c>
      <c r="S157" s="204" t="inlineStr">
        <is>
          <t>Sim</t>
        </is>
      </c>
      <c r="T157" s="137">
        <f>IFERROR(IF(H156=0,"—",IF(H156&lt;=0.25,"✔  OK",IF(H156&lt;=0.35,"⚠  Atenção","✖  Crítico"))),"—")</f>
        <v/>
      </c>
      <c r="U157" s="136" t="n"/>
      <c r="V157" s="136" t="n"/>
    </row>
    <row r="158" ht="15" customHeight="1">
      <c r="A158" s="149" t="inlineStr">
        <is>
          <t>Espetos</t>
        </is>
      </c>
      <c r="B158" s="127" t="inlineStr">
        <is>
          <t>Boteco no Espeto</t>
        </is>
      </c>
      <c r="C158" s="146" t="inlineStr">
        <is>
          <t>Bolinho de Queijo</t>
        </is>
      </c>
      <c r="D158" s="148">
        <f>VLOOKUP(E158,_Protheus_Cadastro!A:I,2,FALSE)</f>
        <v/>
      </c>
      <c r="E158" s="128" t="inlineStr">
        <is>
          <t>000769</t>
        </is>
      </c>
      <c r="F158" s="205">
        <f>IFERROR(INDEX(Vendidos!$H:$H,MATCH(E158,Vendidos!$B:$B,0)),"—")</f>
        <v/>
      </c>
      <c r="G158" s="129">
        <f>SUMIF('Fichas Flat'!$E$2:$E$880,E158,'Fichas Flat'!$K$2:$K$880)</f>
        <v/>
      </c>
      <c r="H158" s="130">
        <f>IFERROR(G158/F158,0)</f>
        <v/>
      </c>
      <c r="I158" s="129">
        <f>IFERROR(F158-G158,0)</f>
        <v/>
      </c>
      <c r="J158" s="130">
        <f>IFERROR(I158/F158,0)</f>
        <v/>
      </c>
      <c r="K158" s="129">
        <f>IFERROR(G158/0.3,0)</f>
        <v/>
      </c>
      <c r="L158" s="153" t="n">
        <v>14.99</v>
      </c>
      <c r="M158" s="131" t="n">
        <v>3.96</v>
      </c>
      <c r="N158" s="132" t="n">
        <v>0.2641761174116077</v>
      </c>
      <c r="O158" s="131" t="n">
        <v>11.03</v>
      </c>
      <c r="P158" s="132" t="n">
        <v>0.7358238825883924</v>
      </c>
      <c r="Q158" s="133" t="n">
        <v>46148</v>
      </c>
      <c r="R158" s="206">
        <f>IFERROR(IF(M157="","—",H158-N157),"—")</f>
        <v/>
      </c>
      <c r="S158" s="207" t="inlineStr">
        <is>
          <t>Sim</t>
        </is>
      </c>
      <c r="T158" s="128">
        <f>IFERROR(IF(H157=0,"—",IF(H157&lt;=0.25,"✔  OK",IF(H157&lt;=0.35,"⚠  Atenção","✖  Crítico"))),"—")</f>
        <v/>
      </c>
      <c r="U158" s="127" t="n"/>
      <c r="V158" s="127" t="n"/>
    </row>
    <row r="159" ht="15" customHeight="1">
      <c r="A159" s="150" t="inlineStr">
        <is>
          <t>Drinks</t>
        </is>
      </c>
      <c r="B159" s="136" t="inlineStr">
        <is>
          <t>Drinks</t>
        </is>
      </c>
      <c r="C159" s="145" t="inlineStr">
        <is>
          <t>Caipirinha Morango com Lichia</t>
        </is>
      </c>
      <c r="D159" s="147">
        <f>VLOOKUP(E159,_Protheus_Cadastro!A:I,2,FALSE)</f>
        <v/>
      </c>
      <c r="E159" s="137" t="inlineStr">
        <is>
          <t>002207</t>
        </is>
      </c>
      <c r="F159" s="202">
        <f>IFERROR(INDEX(Vendidos!$H:$H,MATCH(E159,Vendidos!$B:$B,0)),"—")</f>
        <v/>
      </c>
      <c r="G159" s="138">
        <f>SUMIF('Fichas Flat'!$E$2:$E$880,E159,'Fichas Flat'!$K$2:$K$880)</f>
        <v/>
      </c>
      <c r="H159" s="139">
        <f>IFERROR(G159/F159,0)</f>
        <v/>
      </c>
      <c r="I159" s="138">
        <f>IFERROR(F159-G159,0)</f>
        <v/>
      </c>
      <c r="J159" s="139">
        <f>IFERROR(I159/F159,0)</f>
        <v/>
      </c>
      <c r="K159" s="138">
        <f>IFERROR(G159/0.3,0)</f>
        <v/>
      </c>
      <c r="L159" s="154" t="n">
        <v>36</v>
      </c>
      <c r="M159" s="140" t="n">
        <v>1.3596</v>
      </c>
      <c r="N159" s="141" t="n">
        <v>0.03776666666666666</v>
      </c>
      <c r="O159" s="140" t="n">
        <v>34.6404</v>
      </c>
      <c r="P159" s="141" t="n">
        <v>0.9622333333333333</v>
      </c>
      <c r="Q159" s="142" t="n">
        <v>46148</v>
      </c>
      <c r="R159" s="203">
        <f>IFERROR(IF(M158="","—",H159-N158),"—")</f>
        <v/>
      </c>
      <c r="S159" s="204" t="inlineStr">
        <is>
          <t>Não</t>
        </is>
      </c>
      <c r="T159" s="137">
        <f>IFERROR(IF(H158=0,"—",IF(H158&lt;=0.25,"✔  OK",IF(H158&lt;=0.35,"⚠  Atenção","✖  Crítico"))),"—")</f>
        <v/>
      </c>
      <c r="U159" s="136" t="n"/>
      <c r="V159" s="136" t="n"/>
    </row>
    <row r="160" ht="15" customHeight="1">
      <c r="A160" s="149" t="inlineStr">
        <is>
          <t>Espetos</t>
        </is>
      </c>
      <c r="B160" s="127" t="inlineStr">
        <is>
          <t>Tradicional</t>
        </is>
      </c>
      <c r="C160" s="146" t="inlineStr">
        <is>
          <t>Panceta</t>
        </is>
      </c>
      <c r="D160" s="148">
        <f>VLOOKUP(E160,_Protheus_Cadastro!A:I,2,FALSE)</f>
        <v/>
      </c>
      <c r="E160" s="128" t="inlineStr">
        <is>
          <t>000029</t>
        </is>
      </c>
      <c r="F160" s="205">
        <f>IFERROR(INDEX(Vendidos!$H:$H,MATCH(E160,Vendidos!$B:$B,0)),"—")</f>
        <v/>
      </c>
      <c r="G160" s="129">
        <f>SUMIF('Fichas Flat'!$E$2:$E$880,E160,'Fichas Flat'!$K$2:$K$880)</f>
        <v/>
      </c>
      <c r="H160" s="130">
        <f>IFERROR(G160/F160,0)</f>
        <v/>
      </c>
      <c r="I160" s="129">
        <f>IFERROR(F160-G160,0)</f>
        <v/>
      </c>
      <c r="J160" s="130">
        <f>IFERROR(I160/F160,0)</f>
        <v/>
      </c>
      <c r="K160" s="129">
        <f>IFERROR(G160/0.3,0)</f>
        <v/>
      </c>
      <c r="L160" s="153" t="n">
        <v>13.99</v>
      </c>
      <c r="M160" s="131" t="n">
        <v>4.2331</v>
      </c>
      <c r="N160" s="132" t="n">
        <v>0.3025804145818442</v>
      </c>
      <c r="O160" s="131" t="n">
        <v>9.7569</v>
      </c>
      <c r="P160" s="132" t="n">
        <v>0.6974195854181559</v>
      </c>
      <c r="Q160" s="133" t="n">
        <v>46148</v>
      </c>
      <c r="R160" s="206">
        <f>IFERROR(IF(M159="","—",H160-N159),"—")</f>
        <v/>
      </c>
      <c r="S160" s="207" t="inlineStr">
        <is>
          <t>Sim</t>
        </is>
      </c>
      <c r="T160" s="128">
        <f>IFERROR(IF(H159=0,"—",IF(H159&lt;=0.25,"✔  OK",IF(H159&lt;=0.35,"⚠  Atenção","✖  Crítico"))),"—")</f>
        <v/>
      </c>
      <c r="U160" s="127" t="n"/>
      <c r="V160" s="127" t="n"/>
    </row>
    <row r="161" ht="15" customHeight="1">
      <c r="A161" s="149" t="inlineStr">
        <is>
          <t>Drinks</t>
        </is>
      </c>
      <c r="B161" s="127" t="inlineStr">
        <is>
          <t>Drinks</t>
        </is>
      </c>
      <c r="C161" s="146" t="inlineStr">
        <is>
          <t>Penicilin</t>
        </is>
      </c>
      <c r="D161" s="148">
        <f>VLOOKUP(E161,_Protheus_Cadastro!A:I,2,FALSE)</f>
        <v/>
      </c>
      <c r="E161" s="128" t="inlineStr">
        <is>
          <t>001955</t>
        </is>
      </c>
      <c r="F161" s="205">
        <f>IFERROR(INDEX(Vendidos!$H:$H,MATCH(E161,Vendidos!$B:$B,0)),"—")</f>
        <v/>
      </c>
      <c r="G161" s="129">
        <f>SUMIF('Fichas Flat'!$E$2:$E$880,E161,'Fichas Flat'!$K$2:$K$880)</f>
        <v/>
      </c>
      <c r="H161" s="130">
        <f>IFERROR(G161/F161,0)</f>
        <v/>
      </c>
      <c r="I161" s="129">
        <f>IFERROR(F161-G161,0)</f>
        <v/>
      </c>
      <c r="J161" s="130">
        <f>IFERROR(I161/F161,0)</f>
        <v/>
      </c>
      <c r="K161" s="129">
        <f>IFERROR(G161/0.3,0)</f>
        <v/>
      </c>
      <c r="L161" s="153" t="n">
        <v>39</v>
      </c>
      <c r="M161" s="131" t="n">
        <v>7.2545</v>
      </c>
      <c r="N161" s="132" t="n">
        <v>0.1860128205128205</v>
      </c>
      <c r="O161" s="131" t="n">
        <v>31.7455</v>
      </c>
      <c r="P161" s="132" t="n">
        <v>0.8139871794871795</v>
      </c>
      <c r="Q161" s="133" t="n">
        <v>46148</v>
      </c>
      <c r="R161" s="206">
        <f>IFERROR(IF(M160="","—",H161-N160),"—")</f>
        <v/>
      </c>
      <c r="S161" s="207" t="inlineStr">
        <is>
          <t>Não</t>
        </is>
      </c>
      <c r="T161" s="128">
        <f>IFERROR(IF(H160=0,"—",IF(H160&lt;=0.25,"✔  OK",IF(H160&lt;=0.35,"⚠  Atenção","✖  Crítico"))),"—")</f>
        <v/>
      </c>
      <c r="U161" s="127" t="n"/>
      <c r="V161" s="127" t="n"/>
    </row>
    <row r="162" ht="15" customHeight="1">
      <c r="A162" s="150" t="inlineStr">
        <is>
          <t>Drinks</t>
        </is>
      </c>
      <c r="B162" s="136" t="inlineStr">
        <is>
          <t>Drinks</t>
        </is>
      </c>
      <c r="C162" s="145" t="inlineStr">
        <is>
          <t>Espanhola</t>
        </is>
      </c>
      <c r="D162" s="147">
        <f>VLOOKUP(E162,_Protheus_Cadastro!A:I,2,FALSE)</f>
        <v/>
      </c>
      <c r="E162" s="137" t="inlineStr">
        <is>
          <t>000061</t>
        </is>
      </c>
      <c r="F162" s="202">
        <f>IFERROR(INDEX(Vendidos!$H:$H,MATCH(E162,Vendidos!$B:$B,0)),"—")</f>
        <v/>
      </c>
      <c r="G162" s="138">
        <f>SUMIF('Fichas Flat'!$E$2:$E$880,E162,'Fichas Flat'!$K$2:$K$880)</f>
        <v/>
      </c>
      <c r="H162" s="139">
        <f>IFERROR(G162/F162,0)</f>
        <v/>
      </c>
      <c r="I162" s="138">
        <f>IFERROR(F162-G162,0)</f>
        <v/>
      </c>
      <c r="J162" s="139">
        <f>IFERROR(I162/F162,0)</f>
        <v/>
      </c>
      <c r="K162" s="138">
        <f>IFERROR(G162/0.3,0)</f>
        <v/>
      </c>
      <c r="L162" s="154" t="n">
        <v>37.99</v>
      </c>
      <c r="M162" s="140" t="n">
        <v>5.36759</v>
      </c>
      <c r="N162" s="141" t="n">
        <v>0.1412895498815478</v>
      </c>
      <c r="O162" s="140" t="n">
        <v>32.62241</v>
      </c>
      <c r="P162" s="141" t="n">
        <v>0.8587104501184523</v>
      </c>
      <c r="Q162" s="142" t="n">
        <v>46148</v>
      </c>
      <c r="R162" s="203">
        <f>IFERROR(IF(M161="","—",H162-N161),"—")</f>
        <v/>
      </c>
      <c r="S162" s="204" t="inlineStr">
        <is>
          <t>Sim</t>
        </is>
      </c>
      <c r="T162" s="137">
        <f>IFERROR(IF(H161=0,"—",IF(H161&lt;=0.25,"✔  OK",IF(H161&lt;=0.35,"⚠  Atenção","✖  Crítico"))),"—")</f>
        <v/>
      </c>
      <c r="U162" s="136" t="n"/>
      <c r="V162" s="136" t="n"/>
    </row>
    <row r="163" ht="15" customHeight="1">
      <c r="A163" s="149" t="inlineStr">
        <is>
          <t>Bebidas Frias</t>
        </is>
      </c>
      <c r="B163" s="127" t="inlineStr">
        <is>
          <t>Vinhos - Espumante</t>
        </is>
      </c>
      <c r="C163" s="146" t="inlineStr">
        <is>
          <t>Chandon Rose</t>
        </is>
      </c>
      <c r="D163" s="148">
        <f>VLOOKUP(E163,_Protheus_Cadastro!A:I,2,FALSE)</f>
        <v/>
      </c>
      <c r="E163" s="128" t="inlineStr">
        <is>
          <t>001147</t>
        </is>
      </c>
      <c r="F163" s="205">
        <f>IFERROR(INDEX(Vendidos!$H:$H,MATCH(E163,Vendidos!$B:$B,0)),"—")</f>
        <v/>
      </c>
      <c r="G163" s="129">
        <f>SUMIF('Fichas Flat'!$E$2:$E$880,E163,'Fichas Flat'!$K$2:$K$880)</f>
        <v/>
      </c>
      <c r="H163" s="130">
        <f>IFERROR(G163/F163,0)</f>
        <v/>
      </c>
      <c r="I163" s="129">
        <f>IFERROR(F163-G163,0)</f>
        <v/>
      </c>
      <c r="J163" s="130">
        <f>IFERROR(I163/F163,0)</f>
        <v/>
      </c>
      <c r="K163" s="129">
        <f>IFERROR(G163/0.3,0)</f>
        <v/>
      </c>
      <c r="L163" s="153" t="n">
        <v>239.99</v>
      </c>
      <c r="M163" s="131" t="n">
        <v>93.09</v>
      </c>
      <c r="N163" s="132" t="n">
        <v>0.3878911621317555</v>
      </c>
      <c r="O163" s="131" t="n">
        <v>146.9</v>
      </c>
      <c r="P163" s="132" t="n">
        <v>0.6121088378682445</v>
      </c>
      <c r="Q163" s="133" t="n">
        <v>46148</v>
      </c>
      <c r="R163" s="206">
        <f>IFERROR(IF(M162="","—",H163-N162),"—")</f>
        <v/>
      </c>
      <c r="S163" s="207" t="inlineStr">
        <is>
          <t>Sim</t>
        </is>
      </c>
      <c r="T163" s="128">
        <f>IFERROR(IF(H162=0,"—",IF(H162&lt;=0.25,"✔  OK",IF(H162&lt;=0.35,"⚠  Atenção","✖  Crítico"))),"—")</f>
        <v/>
      </c>
      <c r="U163" s="127" t="n"/>
      <c r="V163" s="127" t="n"/>
    </row>
    <row r="164" ht="15" customHeight="1">
      <c r="A164" s="149" t="inlineStr">
        <is>
          <t>Drinks</t>
        </is>
      </c>
      <c r="B164" s="127" t="inlineStr">
        <is>
          <t>Drinks</t>
        </is>
      </c>
      <c r="C164" s="146" t="inlineStr">
        <is>
          <t>Teajuca</t>
        </is>
      </c>
      <c r="D164" s="148">
        <f>VLOOKUP(E164,_Protheus_Cadastro!A:I,2,FALSE)</f>
        <v/>
      </c>
      <c r="E164" s="128" t="inlineStr">
        <is>
          <t>001949</t>
        </is>
      </c>
      <c r="F164" s="205">
        <f>IFERROR(INDEX(Vendidos!$H:$H,MATCH(E164,Vendidos!$B:$B,0)),"—")</f>
        <v/>
      </c>
      <c r="G164" s="129">
        <f>SUMIF('Fichas Flat'!$E$2:$E$880,E164,'Fichas Flat'!$K$2:$K$880)</f>
        <v/>
      </c>
      <c r="H164" s="130">
        <f>IFERROR(G164/F164,0)</f>
        <v/>
      </c>
      <c r="I164" s="129">
        <f>IFERROR(F164-G164,0)</f>
        <v/>
      </c>
      <c r="J164" s="130">
        <f>IFERROR(I164/F164,0)</f>
        <v/>
      </c>
      <c r="K164" s="129">
        <f>IFERROR(G164/0.3,0)</f>
        <v/>
      </c>
      <c r="L164" s="153" t="n">
        <v>34.99</v>
      </c>
      <c r="M164" s="131" t="n">
        <v>7.0349025</v>
      </c>
      <c r="N164" s="132" t="n">
        <v>0.2010546584738497</v>
      </c>
      <c r="O164" s="131" t="n">
        <v>27.9550975</v>
      </c>
      <c r="P164" s="132" t="n">
        <v>0.7989453415261503</v>
      </c>
      <c r="Q164" s="133" t="n">
        <v>46148</v>
      </c>
      <c r="R164" s="206">
        <f>IFERROR(IF(M163="","—",H164-N163),"—")</f>
        <v/>
      </c>
      <c r="S164" s="207" t="inlineStr">
        <is>
          <t>Sim</t>
        </is>
      </c>
      <c r="T164" s="128">
        <f>IFERROR(IF(H163=0,"—",IF(H163&lt;=0.25,"✔  OK",IF(H163&lt;=0.35,"⚠  Atenção","✖  Crítico"))),"—")</f>
        <v/>
      </c>
      <c r="U164" s="127" t="n"/>
      <c r="V164" s="127" t="n"/>
    </row>
    <row r="165" ht="15" customHeight="1">
      <c r="A165" s="149" t="inlineStr">
        <is>
          <t>Espetos</t>
        </is>
      </c>
      <c r="B165" s="127" t="inlineStr">
        <is>
          <t>Veggie</t>
        </is>
      </c>
      <c r="C165" s="146" t="inlineStr">
        <is>
          <t>Espeto de Shimeji na Brasa</t>
        </is>
      </c>
      <c r="D165" s="148">
        <f>VLOOKUP(E165,_Protheus_Cadastro!A:I,2,FALSE)</f>
        <v/>
      </c>
      <c r="E165" s="128" t="inlineStr">
        <is>
          <t>001470</t>
        </is>
      </c>
      <c r="F165" s="205">
        <f>IFERROR(INDEX(Vendidos!$H:$H,MATCH(E165,Vendidos!$B:$B,0)),"—")</f>
        <v/>
      </c>
      <c r="G165" s="129">
        <f>SUMIF('Fichas Flat'!$E$2:$E$880,E165,'Fichas Flat'!$K$2:$K$880)</f>
        <v/>
      </c>
      <c r="H165" s="130">
        <f>IFERROR(G165/F165,0)</f>
        <v/>
      </c>
      <c r="I165" s="129">
        <f>IFERROR(F165-G165,0)</f>
        <v/>
      </c>
      <c r="J165" s="130">
        <f>IFERROR(I165/F165,0)</f>
        <v/>
      </c>
      <c r="K165" s="129">
        <f>IFERROR(G165/0.3,0)</f>
        <v/>
      </c>
      <c r="L165" s="153" t="n">
        <v>15.99</v>
      </c>
      <c r="M165" s="131" t="n">
        <v>10.3</v>
      </c>
      <c r="N165" s="132" t="n">
        <v>0.6441525953721076</v>
      </c>
      <c r="O165" s="131" t="n">
        <v>5.69</v>
      </c>
      <c r="P165" s="132" t="n">
        <v>0.3558474046278924</v>
      </c>
      <c r="Q165" s="133" t="n">
        <v>46148</v>
      </c>
      <c r="R165" s="206">
        <f>IFERROR(IF(M164="","—",H165-N164),"—")</f>
        <v/>
      </c>
      <c r="S165" s="207" t="inlineStr">
        <is>
          <t>Sim</t>
        </is>
      </c>
      <c r="T165" s="128">
        <f>IFERROR(IF(H164=0,"—",IF(H164&lt;=0.25,"✔  OK",IF(H164&lt;=0.35,"⚠  Atenção","✖  Crítico"))),"—")</f>
        <v/>
      </c>
      <c r="U165" s="127" t="n"/>
      <c r="V165" s="127" t="n"/>
    </row>
    <row r="166" ht="15" customHeight="1">
      <c r="A166" s="150" t="inlineStr">
        <is>
          <t>Espetos</t>
        </is>
      </c>
      <c r="B166" s="136" t="inlineStr">
        <is>
          <t>Premium</t>
        </is>
      </c>
      <c r="C166" s="145" t="inlineStr">
        <is>
          <t>Salsichão c/ Provolone</t>
        </is>
      </c>
      <c r="D166" s="147">
        <f>VLOOKUP(E166,_Protheus_Cadastro!A:I,2,FALSE)</f>
        <v/>
      </c>
      <c r="E166" s="137" t="inlineStr">
        <is>
          <t>000765</t>
        </is>
      </c>
      <c r="F166" s="202">
        <f>IFERROR(INDEX(Vendidos!$H:$H,MATCH(E166,Vendidos!$B:$B,0)),"—")</f>
        <v/>
      </c>
      <c r="G166" s="138">
        <f>SUMIF('Fichas Flat'!$E$2:$E$880,E166,'Fichas Flat'!$K$2:$K$880)</f>
        <v/>
      </c>
      <c r="H166" s="139">
        <f>IFERROR(G166/F166,0)</f>
        <v/>
      </c>
      <c r="I166" s="138">
        <f>IFERROR(F166-G166,0)</f>
        <v/>
      </c>
      <c r="J166" s="139">
        <f>IFERROR(I166/F166,0)</f>
        <v/>
      </c>
      <c r="K166" s="138">
        <f>IFERROR(G166/0.3,0)</f>
        <v/>
      </c>
      <c r="L166" s="154" t="n">
        <v>17.99</v>
      </c>
      <c r="M166" s="140" t="n">
        <v>4.75</v>
      </c>
      <c r="N166" s="141" t="n">
        <v>0.264035575319622</v>
      </c>
      <c r="O166" s="140" t="n">
        <v>13.24</v>
      </c>
      <c r="P166" s="141" t="n">
        <v>0.7359644246803779</v>
      </c>
      <c r="Q166" s="142" t="n">
        <v>46148</v>
      </c>
      <c r="R166" s="203">
        <f>IFERROR(IF(M165="","—",H166-N165),"—")</f>
        <v/>
      </c>
      <c r="S166" s="204" t="inlineStr">
        <is>
          <t>Sim</t>
        </is>
      </c>
      <c r="T166" s="137">
        <f>IFERROR(IF(H165=0,"—",IF(H165&lt;=0.25,"✔  OK",IF(H165&lt;=0.35,"⚠  Atenção","✖  Crítico"))),"—")</f>
        <v/>
      </c>
      <c r="U166" s="136" t="n"/>
      <c r="V166" s="136" t="n"/>
    </row>
    <row r="167" ht="15" customHeight="1">
      <c r="A167" s="150" t="inlineStr">
        <is>
          <t>Espetos</t>
        </is>
      </c>
      <c r="B167" s="136" t="inlineStr">
        <is>
          <t>Premium</t>
        </is>
      </c>
      <c r="C167" s="145" t="inlineStr">
        <is>
          <t>Costela Bovina</t>
        </is>
      </c>
      <c r="D167" s="147">
        <f>VLOOKUP(E167,_Protheus_Cadastro!A:I,2,FALSE)</f>
        <v/>
      </c>
      <c r="E167" s="137" t="inlineStr">
        <is>
          <t>001072</t>
        </is>
      </c>
      <c r="F167" s="202">
        <f>IFERROR(INDEX(Vendidos!$H:$H,MATCH(E167,Vendidos!$B:$B,0)),"—")</f>
        <v/>
      </c>
      <c r="G167" s="138">
        <f>SUMIF('Fichas Flat'!$E$2:$E$880,E167,'Fichas Flat'!$K$2:$K$880)</f>
        <v/>
      </c>
      <c r="H167" s="139">
        <f>IFERROR(G167/F167,0)</f>
        <v/>
      </c>
      <c r="I167" s="138">
        <f>IFERROR(F167-G167,0)</f>
        <v/>
      </c>
      <c r="J167" s="139">
        <f>IFERROR(I167/F167,0)</f>
        <v/>
      </c>
      <c r="K167" s="138">
        <f>IFERROR(G167/0.3,0)</f>
        <v/>
      </c>
      <c r="L167" s="154" t="n">
        <v>15.99</v>
      </c>
      <c r="M167" s="140" t="n">
        <v>4.7315114</v>
      </c>
      <c r="N167" s="141" t="n">
        <v>0.2959044027517198</v>
      </c>
      <c r="O167" s="140" t="n">
        <v>11.2584886</v>
      </c>
      <c r="P167" s="141" t="n">
        <v>0.7040955972482802</v>
      </c>
      <c r="Q167" s="142" t="n">
        <v>46148</v>
      </c>
      <c r="R167" s="203">
        <f>IFERROR(IF(M166="","—",H167-N166),"—")</f>
        <v/>
      </c>
      <c r="S167" s="204" t="inlineStr">
        <is>
          <t>Sim</t>
        </is>
      </c>
      <c r="T167" s="137">
        <f>IFERROR(IF(H166=0,"—",IF(H166&lt;=0.25,"✔  OK",IF(H166&lt;=0.35,"⚠  Atenção","✖  Crítico"))),"—")</f>
        <v/>
      </c>
      <c r="U167" s="136" t="n"/>
      <c r="V167" s="136" t="n"/>
    </row>
    <row r="168" ht="15" customHeight="1">
      <c r="A168" s="150" t="inlineStr">
        <is>
          <t>Espetos</t>
        </is>
      </c>
      <c r="B168" s="136" t="inlineStr">
        <is>
          <t>Tradicional</t>
        </is>
      </c>
      <c r="C168" s="145" t="inlineStr">
        <is>
          <t>Pão de alho recheado com muçarela</t>
        </is>
      </c>
      <c r="D168" s="147">
        <f>VLOOKUP(E168,_Protheus_Cadastro!A:I,2,FALSE)</f>
        <v/>
      </c>
      <c r="E168" s="137" t="inlineStr">
        <is>
          <t>000026</t>
        </is>
      </c>
      <c r="F168" s="202">
        <f>IFERROR(INDEX(Vendidos!$H:$H,MATCH(E168,Vendidos!$B:$B,0)),"—")</f>
        <v/>
      </c>
      <c r="G168" s="138">
        <f>SUMIF('Fichas Flat'!$E$2:$E$880,E168,'Fichas Flat'!$K$2:$K$880)</f>
        <v/>
      </c>
      <c r="H168" s="139">
        <f>IFERROR(G168/F168,0)</f>
        <v/>
      </c>
      <c r="I168" s="138">
        <f>IFERROR(F168-G168,0)</f>
        <v/>
      </c>
      <c r="J168" s="139">
        <f>IFERROR(I168/F168,0)</f>
        <v/>
      </c>
      <c r="K168" s="138">
        <f>IFERROR(G168/0.3,0)</f>
        <v/>
      </c>
      <c r="L168" s="154" t="n">
        <v>13.99</v>
      </c>
      <c r="M168" s="140" t="n">
        <v>2.4614</v>
      </c>
      <c r="N168" s="141" t="n">
        <v>0.175939957112223</v>
      </c>
      <c r="O168" s="140" t="n">
        <v>11.5286</v>
      </c>
      <c r="P168" s="141" t="n">
        <v>0.824060042887777</v>
      </c>
      <c r="Q168" s="142" t="n">
        <v>46148</v>
      </c>
      <c r="R168" s="203">
        <f>IFERROR(IF(M167="","—",H168-N167),"—")</f>
        <v/>
      </c>
      <c r="S168" s="204" t="inlineStr">
        <is>
          <t>Sim</t>
        </is>
      </c>
      <c r="T168" s="137">
        <f>IFERROR(IF(H167=0,"—",IF(H167&lt;=0.25,"✔  OK",IF(H167&lt;=0.35,"⚠  Atenção","✖  Crítico"))),"—")</f>
        <v/>
      </c>
      <c r="U168" s="136" t="n"/>
      <c r="V168" s="136" t="n"/>
    </row>
    <row r="169" ht="15" customHeight="1">
      <c r="A169" s="149" t="inlineStr">
        <is>
          <t>Guarnições</t>
        </is>
      </c>
      <c r="B169" s="127" t="inlineStr">
        <is>
          <t>Guarnições</t>
        </is>
      </c>
      <c r="C169" s="146" t="inlineStr">
        <is>
          <t>Farofa</t>
        </is>
      </c>
      <c r="D169" s="148">
        <f>VLOOKUP(E169,_Protheus_Cadastro!A:I,2,FALSE)</f>
        <v/>
      </c>
      <c r="E169" s="128" t="inlineStr">
        <is>
          <t>001484</t>
        </is>
      </c>
      <c r="F169" s="205">
        <f>IFERROR(INDEX(Vendidos!$H:$H,MATCH(E169,Vendidos!$B:$B,0)),"—")</f>
        <v/>
      </c>
      <c r="G169" s="129">
        <f>SUMIF('Fichas Flat'!$E$2:$E$880,E169,'Fichas Flat'!$K$2:$K$880)</f>
        <v/>
      </c>
      <c r="H169" s="130">
        <f>IFERROR(G169/F169,0)</f>
        <v/>
      </c>
      <c r="I169" s="129">
        <f>IFERROR(F169-G169,0)</f>
        <v/>
      </c>
      <c r="J169" s="130">
        <f>IFERROR(I169/F169,0)</f>
        <v/>
      </c>
      <c r="K169" s="129">
        <f>IFERROR(G169/0.3,0)</f>
        <v/>
      </c>
      <c r="L169" s="153" t="n">
        <v>9.99</v>
      </c>
      <c r="M169" s="131" t="n">
        <v>2.167995</v>
      </c>
      <c r="N169" s="132" t="n">
        <v>0.2170165165165165</v>
      </c>
      <c r="O169" s="131" t="n">
        <v>7.822005000000001</v>
      </c>
      <c r="P169" s="132" t="n">
        <v>0.7829834834834836</v>
      </c>
      <c r="Q169" s="133" t="n">
        <v>46148</v>
      </c>
      <c r="R169" s="206">
        <f>IFERROR(IF(M168="","—",H169-N168),"—")</f>
        <v/>
      </c>
      <c r="S169" s="207" t="inlineStr">
        <is>
          <t>Sim</t>
        </is>
      </c>
      <c r="T169" s="128">
        <f>IFERROR(IF(H168=0,"—",IF(H168&lt;=0.25,"✔  OK",IF(H168&lt;=0.35,"⚠  Atenção","✖  Crítico"))),"—")</f>
        <v/>
      </c>
      <c r="U169" s="127" t="n"/>
      <c r="V169" s="127" t="n"/>
    </row>
    <row r="170" ht="15" customHeight="1">
      <c r="A170" s="150" t="inlineStr">
        <is>
          <t>Drinks</t>
        </is>
      </c>
      <c r="B170" s="136" t="inlineStr">
        <is>
          <t>Drinks</t>
        </is>
      </c>
      <c r="C170" s="145" t="inlineStr">
        <is>
          <t>Fitz Florinda</t>
        </is>
      </c>
      <c r="D170" s="147">
        <f>VLOOKUP(E170,_Protheus_Cadastro!A:I,2,FALSE)</f>
        <v/>
      </c>
      <c r="E170" s="137" t="inlineStr">
        <is>
          <t>001950</t>
        </is>
      </c>
      <c r="F170" s="202">
        <f>IFERROR(INDEX(Vendidos!$H:$H,MATCH(E170,Vendidos!$B:$B,0)),"—")</f>
        <v/>
      </c>
      <c r="G170" s="138">
        <f>SUMIF('Fichas Flat'!$E$2:$E$880,E170,'Fichas Flat'!$K$2:$K$880)</f>
        <v/>
      </c>
      <c r="H170" s="139">
        <f>IFERROR(G170/F170,0)</f>
        <v/>
      </c>
      <c r="I170" s="138">
        <f>IFERROR(F170-G170,0)</f>
        <v/>
      </c>
      <c r="J170" s="139">
        <f>IFERROR(I170/F170,0)</f>
        <v/>
      </c>
      <c r="K170" s="138">
        <f>IFERROR(G170/0.3,0)</f>
        <v/>
      </c>
      <c r="L170" s="154" t="n">
        <v>37.99</v>
      </c>
      <c r="M170" s="140" t="n">
        <v>5.560665</v>
      </c>
      <c r="N170" s="141" t="n">
        <v>0.1463718083706239</v>
      </c>
      <c r="O170" s="140" t="n">
        <v>32.429335</v>
      </c>
      <c r="P170" s="141" t="n">
        <v>0.8536281916293762</v>
      </c>
      <c r="Q170" s="142" t="n">
        <v>46148</v>
      </c>
      <c r="R170" s="203">
        <f>IFERROR(IF(M169="","—",H170-N169),"—")</f>
        <v/>
      </c>
      <c r="S170" s="204" t="inlineStr">
        <is>
          <t>Sim</t>
        </is>
      </c>
      <c r="T170" s="137">
        <f>IFERROR(IF(H169=0,"—",IF(H169&lt;=0.25,"✔  OK",IF(H169&lt;=0.35,"⚠  Atenção","✖  Crítico"))),"—")</f>
        <v/>
      </c>
      <c r="U170" s="136" t="n"/>
      <c r="V170" s="136" t="n"/>
    </row>
    <row r="171" ht="15" customHeight="1">
      <c r="A171" s="149" t="inlineStr">
        <is>
          <t>Sobremesas</t>
        </is>
      </c>
      <c r="B171" s="127" t="inlineStr">
        <is>
          <t>Sobremesas</t>
        </is>
      </c>
      <c r="C171" s="146" t="inlineStr">
        <is>
          <t>Espeto de Morango com Chocolate</t>
        </is>
      </c>
      <c r="D171" s="148">
        <f>VLOOKUP(E171,_Protheus_Cadastro!A:I,2,FALSE)</f>
        <v/>
      </c>
      <c r="E171" s="128" t="inlineStr">
        <is>
          <t>002046</t>
        </is>
      </c>
      <c r="F171" s="205">
        <f>IFERROR(INDEX(Vendidos!$H:$H,MATCH(E171,Vendidos!$B:$B,0)),"—")</f>
        <v/>
      </c>
      <c r="G171" s="129">
        <f>SUMIF('Fichas Flat'!$E$2:$E$880,E171,'Fichas Flat'!$K$2:$K$880)</f>
        <v/>
      </c>
      <c r="H171" s="130">
        <f>IFERROR(G171/F171,0)</f>
        <v/>
      </c>
      <c r="I171" s="129">
        <f>IFERROR(F171-G171,0)</f>
        <v/>
      </c>
      <c r="J171" s="130">
        <f>IFERROR(I171/F171,0)</f>
        <v/>
      </c>
      <c r="K171" s="129">
        <f>IFERROR(G171/0.3,0)</f>
        <v/>
      </c>
      <c r="L171" s="153" t="n">
        <v>18.99</v>
      </c>
      <c r="M171" s="131" t="n">
        <v>5.4</v>
      </c>
      <c r="N171" s="132" t="n">
        <v>0.2843601895734598</v>
      </c>
      <c r="O171" s="131" t="n">
        <v>13.59</v>
      </c>
      <c r="P171" s="132" t="n">
        <v>0.7156398104265402</v>
      </c>
      <c r="Q171" s="133" t="n">
        <v>46148</v>
      </c>
      <c r="R171" s="206">
        <f>IFERROR(IF(M170="","—",H171-N170),"—")</f>
        <v/>
      </c>
      <c r="S171" s="207" t="inlineStr">
        <is>
          <t>Sim</t>
        </is>
      </c>
      <c r="T171" s="128">
        <f>IFERROR(IF(H170=0,"—",IF(H170&lt;=0.25,"✔  OK",IF(H170&lt;=0.35,"⚠  Atenção","✖  Crítico"))),"—")</f>
        <v/>
      </c>
      <c r="U171" s="127" t="n"/>
      <c r="V171" s="127" t="n"/>
    </row>
    <row r="172" ht="15" customHeight="1">
      <c r="A172" s="150" t="inlineStr">
        <is>
          <t>Espetos</t>
        </is>
      </c>
      <c r="B172" s="136" t="inlineStr">
        <is>
          <t>Veggie</t>
        </is>
      </c>
      <c r="C172" s="145" t="inlineStr">
        <is>
          <t>Dadinho de Tapioca</t>
        </is>
      </c>
      <c r="D172" s="147">
        <f>VLOOKUP(E172,_Protheus_Cadastro!A:I,2,FALSE)</f>
        <v/>
      </c>
      <c r="E172" s="137" t="inlineStr">
        <is>
          <t>001254</t>
        </is>
      </c>
      <c r="F172" s="202">
        <f>IFERROR(INDEX(Vendidos!$H:$H,MATCH(E172,Vendidos!$B:$B,0)),"—")</f>
        <v/>
      </c>
      <c r="G172" s="138">
        <f>SUMIF('Fichas Flat'!$E$2:$E$880,E172,'Fichas Flat'!$K$2:$K$880)</f>
        <v/>
      </c>
      <c r="H172" s="139">
        <f>IFERROR(G172/F172,0)</f>
        <v/>
      </c>
      <c r="I172" s="138">
        <f>IFERROR(F172-G172,0)</f>
        <v/>
      </c>
      <c r="J172" s="139">
        <f>IFERROR(I172/F172,0)</f>
        <v/>
      </c>
      <c r="K172" s="138">
        <f>IFERROR(G172/0.3,0)</f>
        <v/>
      </c>
      <c r="L172" s="154" t="n">
        <v>15.99</v>
      </c>
      <c r="M172" s="140" t="n">
        <v>4.26</v>
      </c>
      <c r="N172" s="141" t="n">
        <v>0.2664165103189493</v>
      </c>
      <c r="O172" s="140" t="n">
        <v>11.73</v>
      </c>
      <c r="P172" s="141" t="n">
        <v>0.7335834896810507</v>
      </c>
      <c r="Q172" s="142" t="n">
        <v>46148</v>
      </c>
      <c r="R172" s="203">
        <f>IFERROR(IF(M171="","—",H172-N171),"—")</f>
        <v/>
      </c>
      <c r="S172" s="204" t="inlineStr">
        <is>
          <t>Sim</t>
        </is>
      </c>
      <c r="T172" s="137">
        <f>IFERROR(IF(H171=0,"—",IF(H171&lt;=0.25,"✔  OK",IF(H171&lt;=0.35,"⚠  Atenção","✖  Crítico"))),"—")</f>
        <v/>
      </c>
      <c r="U172" s="136" t="n"/>
      <c r="V172" s="136" t="n"/>
    </row>
    <row r="173" ht="15" customHeight="1">
      <c r="A173" s="150" t="inlineStr">
        <is>
          <t>Delivery</t>
        </is>
      </c>
      <c r="B173" s="136" t="inlineStr">
        <is>
          <t>Delivery</t>
        </is>
      </c>
      <c r="C173" s="145" t="inlineStr">
        <is>
          <t>Monte seu prato 3</t>
        </is>
      </c>
      <c r="D173" s="147">
        <f>VLOOKUP(E173,_Protheus_Cadastro!A:I,2,FALSE)</f>
        <v/>
      </c>
      <c r="E173" s="137" t="inlineStr">
        <is>
          <t>002081</t>
        </is>
      </c>
      <c r="F173" s="202">
        <f>IFERROR(INDEX(Vendidos!$H:$H,MATCH(E173,Vendidos!$B:$B,0)),"—")</f>
        <v/>
      </c>
      <c r="G173" s="138">
        <f>SUMIF('Fichas Flat'!$E$2:$E$880,E173,'Fichas Flat'!$K$2:$K$880)</f>
        <v/>
      </c>
      <c r="H173" s="139">
        <f>IFERROR(G173/F173,0)</f>
        <v/>
      </c>
      <c r="I173" s="138">
        <f>IFERROR(F173-G173,0)</f>
        <v/>
      </c>
      <c r="J173" s="139">
        <f>IFERROR(I173/F173,0)</f>
        <v/>
      </c>
      <c r="K173" s="138">
        <f>IFERROR(G173/0.3,0)</f>
        <v/>
      </c>
      <c r="L173" s="154" t="n">
        <v>31.9</v>
      </c>
      <c r="M173" s="140" t="n">
        <v>11.5135779</v>
      </c>
      <c r="N173" s="141" t="n">
        <v>0.3609272068965517</v>
      </c>
      <c r="O173" s="140" t="n">
        <v>20.3864221</v>
      </c>
      <c r="P173" s="141" t="n">
        <v>0.6390727931034482</v>
      </c>
      <c r="Q173" s="142" t="n">
        <v>46148</v>
      </c>
      <c r="R173" s="203">
        <f>IFERROR(IF(M172="","—",H173-N172),"—")</f>
        <v/>
      </c>
      <c r="S173" s="204" t="inlineStr">
        <is>
          <t>Não</t>
        </is>
      </c>
      <c r="T173" s="137">
        <f>IFERROR(IF(H172=0,"—",IF(H172&lt;=0.25,"✔  OK",IF(H172&lt;=0.35,"⚠  Atenção","✖  Crítico"))),"—")</f>
        <v/>
      </c>
      <c r="U173" s="136" t="n"/>
      <c r="V173" s="136" t="n"/>
    </row>
    <row r="174" ht="15" customHeight="1">
      <c r="A174" s="149" t="inlineStr">
        <is>
          <t>Espetos</t>
        </is>
      </c>
      <c r="B174" s="127" t="inlineStr">
        <is>
          <t>Premium</t>
        </is>
      </c>
      <c r="C174" s="146" t="inlineStr">
        <is>
          <t>Medalhão de Frango</t>
        </is>
      </c>
      <c r="D174" s="148">
        <f>VLOOKUP(E174,_Protheus_Cadastro!A:I,2,FALSE)</f>
        <v/>
      </c>
      <c r="E174" s="128" t="inlineStr">
        <is>
          <t>010010</t>
        </is>
      </c>
      <c r="F174" s="205">
        <f>IFERROR(INDEX(Vendidos!$H:$H,MATCH(E174,Vendidos!$B:$B,0)),"—")</f>
        <v/>
      </c>
      <c r="G174" s="129">
        <f>SUMIF('Fichas Flat'!$E$2:$E$880,E174,'Fichas Flat'!$K$2:$K$880)</f>
        <v/>
      </c>
      <c r="H174" s="130">
        <f>IFERROR(G174/F174,0)</f>
        <v/>
      </c>
      <c r="I174" s="129">
        <f>IFERROR(F174-G174,0)</f>
        <v/>
      </c>
      <c r="J174" s="130">
        <f>IFERROR(I174/F174,0)</f>
        <v/>
      </c>
      <c r="K174" s="129">
        <f>IFERROR(G174/0.3,0)</f>
        <v/>
      </c>
      <c r="L174" s="153" t="n">
        <v>19.99</v>
      </c>
      <c r="M174" s="131" t="n">
        <v>6.7303</v>
      </c>
      <c r="N174" s="132" t="n">
        <v>0.3366833416708354</v>
      </c>
      <c r="O174" s="131" t="n">
        <v>13.2597</v>
      </c>
      <c r="P174" s="132" t="n">
        <v>0.6633166583291645</v>
      </c>
      <c r="Q174" s="133" t="n">
        <v>46148</v>
      </c>
      <c r="R174" s="206">
        <f>IFERROR(IF(M173="","—",H174-N173),"—")</f>
        <v/>
      </c>
      <c r="S174" s="207" t="inlineStr">
        <is>
          <t>Sim</t>
        </is>
      </c>
      <c r="T174" s="128">
        <f>IFERROR(IF(H173=0,"—",IF(H173&lt;=0.25,"✔  OK",IF(H173&lt;=0.35,"⚠  Atenção","✖  Crítico"))),"—")</f>
        <v/>
      </c>
      <c r="U174" s="127" t="n"/>
      <c r="V174" s="127" t="n"/>
    </row>
    <row r="175" ht="15" customHeight="1">
      <c r="A175" s="150" t="inlineStr">
        <is>
          <t>Drinks</t>
        </is>
      </c>
      <c r="B175" s="136" t="inlineStr">
        <is>
          <t>Drinks</t>
        </is>
      </c>
      <c r="C175" s="145" t="inlineStr">
        <is>
          <t>Boulevardier</t>
        </is>
      </c>
      <c r="D175" s="147">
        <f>VLOOKUP(E175,_Protheus_Cadastro!A:I,2,FALSE)</f>
        <v/>
      </c>
      <c r="E175" s="137" t="inlineStr">
        <is>
          <t>001954</t>
        </is>
      </c>
      <c r="F175" s="202">
        <f>IFERROR(INDEX(Vendidos!$H:$H,MATCH(E175,Vendidos!$B:$B,0)),"—")</f>
        <v/>
      </c>
      <c r="G175" s="138">
        <f>SUMIF('Fichas Flat'!$E$2:$E$880,E175,'Fichas Flat'!$K$2:$K$880)</f>
        <v/>
      </c>
      <c r="H175" s="139">
        <f>IFERROR(G175/F175,0)</f>
        <v/>
      </c>
      <c r="I175" s="138">
        <f>IFERROR(F175-G175,0)</f>
        <v/>
      </c>
      <c r="J175" s="139">
        <f>IFERROR(I175/F175,0)</f>
        <v/>
      </c>
      <c r="K175" s="138">
        <f>IFERROR(G175/0.3,0)</f>
        <v/>
      </c>
      <c r="L175" s="154" t="n">
        <v>38.99</v>
      </c>
      <c r="M175" s="140" t="n">
        <v>10.254497</v>
      </c>
      <c r="N175" s="141" t="n">
        <v>0.2630032572454475</v>
      </c>
      <c r="O175" s="140" t="n">
        <v>28.735503</v>
      </c>
      <c r="P175" s="141" t="n">
        <v>0.7369967427545524</v>
      </c>
      <c r="Q175" s="142" t="n">
        <v>46148</v>
      </c>
      <c r="R175" s="203">
        <f>IFERROR(IF(M174="","—",H175-N174),"—")</f>
        <v/>
      </c>
      <c r="S175" s="204" t="inlineStr">
        <is>
          <t>Sim</t>
        </is>
      </c>
      <c r="T175" s="137">
        <f>IFERROR(IF(H174=0,"—",IF(H174&lt;=0.25,"✔  OK",IF(H174&lt;=0.35,"⚠  Atenção","✖  Crítico"))),"—")</f>
        <v/>
      </c>
      <c r="U175" s="136" t="n"/>
      <c r="V175" s="136" t="n"/>
    </row>
    <row r="176" ht="15" customHeight="1">
      <c r="A176" s="149" t="inlineStr">
        <is>
          <t>Espetos</t>
        </is>
      </c>
      <c r="B176" s="127" t="inlineStr">
        <is>
          <t>Premium</t>
        </is>
      </c>
      <c r="C176" s="146" t="inlineStr">
        <is>
          <t>Provolone Defumado</t>
        </is>
      </c>
      <c r="D176" s="148">
        <f>VLOOKUP(E176,_Protheus_Cadastro!A:I,2,FALSE)</f>
        <v/>
      </c>
      <c r="E176" s="128" t="inlineStr">
        <is>
          <t>010008</t>
        </is>
      </c>
      <c r="F176" s="205">
        <f>IFERROR(INDEX(Vendidos!$H:$H,MATCH(E176,Vendidos!$B:$B,0)),"—")</f>
        <v/>
      </c>
      <c r="G176" s="129">
        <f>SUMIF('Fichas Flat'!$E$2:$E$880,E176,'Fichas Flat'!$K$2:$K$880)</f>
        <v/>
      </c>
      <c r="H176" s="130">
        <f>IFERROR(G176/F176,0)</f>
        <v/>
      </c>
      <c r="I176" s="129">
        <f>IFERROR(F176-G176,0)</f>
        <v/>
      </c>
      <c r="J176" s="130">
        <f>IFERROR(I176/F176,0)</f>
        <v/>
      </c>
      <c r="K176" s="129">
        <f>IFERROR(G176/0.3,0)</f>
        <v/>
      </c>
      <c r="L176" s="153" t="n">
        <v>13.99</v>
      </c>
      <c r="M176" s="131" t="n">
        <v>3.664</v>
      </c>
      <c r="N176" s="132" t="n">
        <v>0.2619013581129378</v>
      </c>
      <c r="O176" s="131" t="n">
        <v>10.326</v>
      </c>
      <c r="P176" s="132" t="n">
        <v>0.7380986418870622</v>
      </c>
      <c r="Q176" s="133" t="n">
        <v>46148</v>
      </c>
      <c r="R176" s="206">
        <f>IFERROR(IF(M175="","—",H176-N175),"—")</f>
        <v/>
      </c>
      <c r="S176" s="207" t="inlineStr">
        <is>
          <t>Sim</t>
        </is>
      </c>
      <c r="T176" s="128">
        <f>IFERROR(IF(H175=0,"—",IF(H175&lt;=0.25,"✔  OK",IF(H175&lt;=0.35,"⚠  Atenção","✖  Crítico"))),"—")</f>
        <v/>
      </c>
      <c r="U176" s="127" t="n"/>
      <c r="V176" s="127" t="n"/>
    </row>
    <row r="177" ht="15" customHeight="1">
      <c r="A177" s="149" t="inlineStr">
        <is>
          <t>Sobremesas</t>
        </is>
      </c>
      <c r="B177" s="127" t="inlineStr">
        <is>
          <t>Sobremesas</t>
        </is>
      </c>
      <c r="C177" s="146" t="inlineStr">
        <is>
          <t>Espeto de Abacaxi com Chocolate</t>
        </is>
      </c>
      <c r="D177" s="148">
        <f>VLOOKUP(E177,_Protheus_Cadastro!A:I,2,FALSE)</f>
        <v/>
      </c>
      <c r="E177" s="128" t="inlineStr">
        <is>
          <t>000794</t>
        </is>
      </c>
      <c r="F177" s="205">
        <f>IFERROR(INDEX(Vendidos!$H:$H,MATCH(E177,Vendidos!$B:$B,0)),"—")</f>
        <v/>
      </c>
      <c r="G177" s="129">
        <f>SUMIF('Fichas Flat'!$E$2:$E$880,E177,'Fichas Flat'!$K$2:$K$880)</f>
        <v/>
      </c>
      <c r="H177" s="130">
        <f>IFERROR(G177/F177,0)</f>
        <v/>
      </c>
      <c r="I177" s="129">
        <f>IFERROR(F177-G177,0)</f>
        <v/>
      </c>
      <c r="J177" s="130">
        <f>IFERROR(I177/F177,0)</f>
        <v/>
      </c>
      <c r="K177" s="129">
        <f>IFERROR(G177/0.3,0)</f>
        <v/>
      </c>
      <c r="L177" s="153" t="n">
        <v>18.99</v>
      </c>
      <c r="M177" s="131" t="n">
        <v>4.346</v>
      </c>
      <c r="N177" s="132" t="n">
        <v>0.2288572933122696</v>
      </c>
      <c r="O177" s="131" t="n">
        <v>14.644</v>
      </c>
      <c r="P177" s="132" t="n">
        <v>0.7711427066877303</v>
      </c>
      <c r="Q177" s="133" t="n">
        <v>46148</v>
      </c>
      <c r="R177" s="206">
        <f>IFERROR(IF(M176="","—",H177-N176),"—")</f>
        <v/>
      </c>
      <c r="S177" s="207" t="inlineStr">
        <is>
          <t>Não</t>
        </is>
      </c>
      <c r="T177" s="128">
        <f>IFERROR(IF(H176=0,"—",IF(H176&lt;=0.25,"✔  OK",IF(H176&lt;=0.35,"⚠  Atenção","✖  Crítico"))),"—")</f>
        <v/>
      </c>
      <c r="U177" s="127" t="n"/>
      <c r="V177" s="127" t="n"/>
    </row>
    <row r="178" ht="15" customHeight="1">
      <c r="A178" s="149" t="inlineStr">
        <is>
          <t>Drinks</t>
        </is>
      </c>
      <c r="B178" s="127" t="inlineStr">
        <is>
          <t>Drinks</t>
        </is>
      </c>
      <c r="C178" s="146" t="inlineStr">
        <is>
          <t>Combo Beefeater com 3 Red Bull</t>
        </is>
      </c>
      <c r="D178" s="148">
        <f>VLOOKUP(E178,_Protheus_Cadastro!A:I,2,FALSE)</f>
        <v/>
      </c>
      <c r="E178" s="128" t="inlineStr">
        <is>
          <t>001205</t>
        </is>
      </c>
      <c r="F178" s="205">
        <f>IFERROR(INDEX(Vendidos!$H:$H,MATCH(E178,Vendidos!$B:$B,0)),"—")</f>
        <v/>
      </c>
      <c r="G178" s="129">
        <f>SUMIF('Fichas Flat'!$E$2:$E$880,E178,'Fichas Flat'!$K$2:$K$880)</f>
        <v/>
      </c>
      <c r="H178" s="130">
        <f>IFERROR(G178/F178,0)</f>
        <v/>
      </c>
      <c r="I178" s="129">
        <f>IFERROR(F178-G178,0)</f>
        <v/>
      </c>
      <c r="J178" s="130">
        <f>IFERROR(I178/F178,0)</f>
        <v/>
      </c>
      <c r="K178" s="129">
        <f>IFERROR(G178/0.3,0)</f>
        <v/>
      </c>
      <c r="L178" s="153" t="n">
        <v>299.99</v>
      </c>
      <c r="M178" s="131" t="n">
        <v>119.31467</v>
      </c>
      <c r="N178" s="132" t="n">
        <v>0.3977288242941431</v>
      </c>
      <c r="O178" s="131" t="n">
        <v>180.67533</v>
      </c>
      <c r="P178" s="132" t="n">
        <v>0.6022711757058569</v>
      </c>
      <c r="Q178" s="133" t="n">
        <v>46148</v>
      </c>
      <c r="R178" s="206">
        <f>IFERROR(IF(M177="","—",H178-N177),"—")</f>
        <v/>
      </c>
      <c r="S178" s="207" t="inlineStr">
        <is>
          <t>Sim</t>
        </is>
      </c>
      <c r="T178" s="128">
        <f>IFERROR(IF(H177=0,"—",IF(H177&lt;=0.25,"✔  OK",IF(H177&lt;=0.35,"⚠  Atenção","✖  Crítico"))),"—")</f>
        <v/>
      </c>
      <c r="U178" s="127" t="n"/>
      <c r="V178" s="127" t="n"/>
    </row>
    <row r="179" ht="15" customHeight="1">
      <c r="A179" s="149" t="inlineStr">
        <is>
          <t>Drinks</t>
        </is>
      </c>
      <c r="B179" s="127" t="inlineStr">
        <is>
          <t>Drinks</t>
        </is>
      </c>
      <c r="C179" s="146" t="inlineStr">
        <is>
          <t>Gin Tônica</t>
        </is>
      </c>
      <c r="D179" s="148">
        <f>VLOOKUP(E179,_Protheus_Cadastro!A:I,2,FALSE)</f>
        <v/>
      </c>
      <c r="E179" s="128" t="inlineStr">
        <is>
          <t>000062</t>
        </is>
      </c>
      <c r="F179" s="205">
        <f>IFERROR(INDEX(Vendidos!$H:$H,MATCH(E179,Vendidos!$B:$B,0)),"—")</f>
        <v/>
      </c>
      <c r="G179" s="129">
        <f>SUMIF('Fichas Flat'!$E$2:$E$880,E179,'Fichas Flat'!$K$2:$K$880)</f>
        <v/>
      </c>
      <c r="H179" s="130">
        <f>IFERROR(G179/F179,0)</f>
        <v/>
      </c>
      <c r="I179" s="129">
        <f>IFERROR(F179-G179,0)</f>
        <v/>
      </c>
      <c r="J179" s="130">
        <f>IFERROR(I179/F179,0)</f>
        <v/>
      </c>
      <c r="K179" s="129">
        <f>IFERROR(G179/0.3,0)</f>
        <v/>
      </c>
      <c r="L179" s="153" t="n">
        <v>37.99</v>
      </c>
      <c r="M179" s="131" t="n">
        <v>3.167028</v>
      </c>
      <c r="N179" s="132" t="n">
        <v>0.08336478020531719</v>
      </c>
      <c r="O179" s="131" t="n">
        <v>34.822972</v>
      </c>
      <c r="P179" s="132" t="n">
        <v>0.9166352197946828</v>
      </c>
      <c r="Q179" s="133" t="n">
        <v>46148</v>
      </c>
      <c r="R179" s="206">
        <f>IFERROR(IF(M178="","—",H179-N178),"—")</f>
        <v/>
      </c>
      <c r="S179" s="207" t="inlineStr">
        <is>
          <t>Sim</t>
        </is>
      </c>
      <c r="T179" s="128">
        <f>IFERROR(IF(H178=0,"—",IF(H178&lt;=0.25,"✔  OK",IF(H178&lt;=0.35,"⚠  Atenção","✖  Crítico"))),"—")</f>
        <v/>
      </c>
      <c r="U179" s="127" t="n"/>
      <c r="V179" s="127" t="n"/>
    </row>
    <row r="180" ht="15" customHeight="1">
      <c r="A180" s="149" t="inlineStr">
        <is>
          <t>Drinks</t>
        </is>
      </c>
      <c r="B180" s="127" t="inlineStr">
        <is>
          <t>Drinks</t>
        </is>
      </c>
      <c r="C180" s="146" t="inlineStr">
        <is>
          <t>Hugo Spritz</t>
        </is>
      </c>
      <c r="D180" s="148">
        <f>VLOOKUP(E180,_Protheus_Cadastro!A:I,2,FALSE)</f>
        <v/>
      </c>
      <c r="E180" s="128" t="inlineStr">
        <is>
          <t>001957</t>
        </is>
      </c>
      <c r="F180" s="205">
        <f>IFERROR(INDEX(Vendidos!$H:$H,MATCH(E180,Vendidos!$B:$B,0)),"—")</f>
        <v/>
      </c>
      <c r="G180" s="129">
        <f>SUMIF('Fichas Flat'!$E$2:$E$880,E180,'Fichas Flat'!$K$2:$K$880)</f>
        <v/>
      </c>
      <c r="H180" s="130">
        <f>IFERROR(G180/F180,0)</f>
        <v/>
      </c>
      <c r="I180" s="129">
        <f>IFERROR(F180-G180,0)</f>
        <v/>
      </c>
      <c r="J180" s="130">
        <f>IFERROR(I180/F180,0)</f>
        <v/>
      </c>
      <c r="K180" s="129">
        <f>IFERROR(G180/0.3,0)</f>
        <v/>
      </c>
      <c r="L180" s="153" t="n">
        <v>39.99</v>
      </c>
      <c r="M180" s="131" t="n">
        <v>9.823429000000001</v>
      </c>
      <c r="N180" s="132" t="n">
        <v>0.2456471367841961</v>
      </c>
      <c r="O180" s="131" t="n">
        <v>30.166571</v>
      </c>
      <c r="P180" s="132" t="n">
        <v>0.754352863215804</v>
      </c>
      <c r="Q180" s="133" t="n">
        <v>46148</v>
      </c>
      <c r="R180" s="206">
        <f>IFERROR(IF(M179="","—",H180-N179),"—")</f>
        <v/>
      </c>
      <c r="S180" s="207" t="inlineStr">
        <is>
          <t>Sim</t>
        </is>
      </c>
      <c r="T180" s="128">
        <f>IFERROR(IF(H179=0,"—",IF(H179&lt;=0.25,"✔  OK",IF(H179&lt;=0.35,"⚠  Atenção","✖  Crítico"))),"—")</f>
        <v/>
      </c>
      <c r="U180" s="127" t="n"/>
      <c r="V180" s="127" t="n"/>
    </row>
    <row r="181" ht="15" customHeight="1">
      <c r="A181" s="149" t="inlineStr">
        <is>
          <t>Bebidas Frias</t>
        </is>
      </c>
      <c r="B181" s="127" t="inlineStr">
        <is>
          <t>Cerveja</t>
        </is>
      </c>
      <c r="C181" s="146" t="inlineStr">
        <is>
          <t>Original 600ml</t>
        </is>
      </c>
      <c r="D181" s="148">
        <f>VLOOKUP(E181,_Protheus_Cadastro!A:I,2,FALSE)</f>
        <v/>
      </c>
      <c r="E181" s="128" t="inlineStr">
        <is>
          <t>000894</t>
        </is>
      </c>
      <c r="F181" s="205">
        <f>IFERROR(INDEX(Vendidos!$H:$H,MATCH(E181,Vendidos!$B:$B,0)),"—")</f>
        <v/>
      </c>
      <c r="G181" s="129">
        <f>SUMIF('Fichas Flat'!$E$2:$E$880,E181,'Fichas Flat'!$K$2:$K$880)</f>
        <v/>
      </c>
      <c r="H181" s="130">
        <f>IFERROR(G181/F181,0)</f>
        <v/>
      </c>
      <c r="I181" s="129">
        <f>IFERROR(F181-G181,0)</f>
        <v/>
      </c>
      <c r="J181" s="130">
        <f>IFERROR(I181/F181,0)</f>
        <v/>
      </c>
      <c r="K181" s="129">
        <f>IFERROR(G181/0.3,0)</f>
        <v/>
      </c>
      <c r="L181" s="153" t="n">
        <v>19.99</v>
      </c>
      <c r="M181" s="131" t="n">
        <v>5.0917</v>
      </c>
      <c r="N181" s="132" t="n">
        <v>0.2547123561780891</v>
      </c>
      <c r="O181" s="131" t="n">
        <v>14.8983</v>
      </c>
      <c r="P181" s="132" t="n">
        <v>0.7452876438219109</v>
      </c>
      <c r="Q181" s="133" t="n">
        <v>46148</v>
      </c>
      <c r="R181" s="206">
        <f>IFERROR(IF(M180="","—",H181-N180),"—")</f>
        <v/>
      </c>
      <c r="S181" s="207" t="inlineStr">
        <is>
          <t>Não</t>
        </is>
      </c>
      <c r="T181" s="128">
        <f>IFERROR(IF(H180=0,"—",IF(H180&lt;=0.25,"✔  OK",IF(H180&lt;=0.35,"⚠  Atenção","✖  Crítico"))),"—")</f>
        <v/>
      </c>
      <c r="U181" s="127" t="n"/>
      <c r="V181" s="127" t="n"/>
    </row>
    <row r="182" ht="15" customHeight="1">
      <c r="A182" s="150" t="inlineStr">
        <is>
          <t>Drinks</t>
        </is>
      </c>
      <c r="B182" s="136" t="inlineStr">
        <is>
          <t>Drinks</t>
        </is>
      </c>
      <c r="C182" s="145" t="inlineStr">
        <is>
          <t>Caju Amigo</t>
        </is>
      </c>
      <c r="D182" s="147">
        <f>VLOOKUP(E182,_Protheus_Cadastro!A:I,2,FALSE)</f>
        <v/>
      </c>
      <c r="E182" s="137" t="inlineStr">
        <is>
          <t>001952</t>
        </is>
      </c>
      <c r="F182" s="202">
        <f>IFERROR(INDEX(Vendidos!$H:$H,MATCH(E182,Vendidos!$B:$B,0)),"—")</f>
        <v/>
      </c>
      <c r="G182" s="138">
        <f>SUMIF('Fichas Flat'!$E$2:$E$880,E182,'Fichas Flat'!$K$2:$K$880)</f>
        <v/>
      </c>
      <c r="H182" s="139">
        <f>IFERROR(G182/F182,0)</f>
        <v/>
      </c>
      <c r="I182" s="138">
        <f>IFERROR(F182-G182,0)</f>
        <v/>
      </c>
      <c r="J182" s="139">
        <f>IFERROR(I182/F182,0)</f>
        <v/>
      </c>
      <c r="K182" s="138">
        <f>IFERROR(G182/0.3,0)</f>
        <v/>
      </c>
      <c r="L182" s="154" t="n">
        <v>38.99</v>
      </c>
      <c r="M182" s="140" t="n">
        <v>10.847497</v>
      </c>
      <c r="N182" s="141" t="n">
        <v>0.2782122852013337</v>
      </c>
      <c r="O182" s="140" t="n">
        <v>28.142503</v>
      </c>
      <c r="P182" s="141" t="n">
        <v>0.7217877147986663</v>
      </c>
      <c r="Q182" s="142" t="n">
        <v>46148</v>
      </c>
      <c r="R182" s="203">
        <f>IFERROR(IF(M181="","—",H182-N181),"—")</f>
        <v/>
      </c>
      <c r="S182" s="204" t="inlineStr">
        <is>
          <t>Sim</t>
        </is>
      </c>
      <c r="T182" s="137">
        <f>IFERROR(IF(H181=0,"—",IF(H181&lt;=0.25,"✔  OK",IF(H181&lt;=0.35,"⚠  Atenção","✖  Crítico"))),"—")</f>
        <v/>
      </c>
      <c r="U182" s="136" t="n"/>
      <c r="V182" s="136" t="n"/>
    </row>
    <row r="183" ht="15" customHeight="1">
      <c r="A183" s="150" t="inlineStr">
        <is>
          <t>Drinks</t>
        </is>
      </c>
      <c r="B183" s="136" t="inlineStr">
        <is>
          <t>Drinks</t>
        </is>
      </c>
      <c r="C183" s="145" t="inlineStr">
        <is>
          <t>Gin Tropical</t>
        </is>
      </c>
      <c r="D183" s="147">
        <f>VLOOKUP(E183,_Protheus_Cadastro!A:I,2,FALSE)</f>
        <v/>
      </c>
      <c r="E183" s="137" t="inlineStr">
        <is>
          <t>000950</t>
        </is>
      </c>
      <c r="F183" s="202">
        <f>IFERROR(INDEX(Vendidos!$H:$H,MATCH(E183,Vendidos!$B:$B,0)),"—")</f>
        <v/>
      </c>
      <c r="G183" s="138">
        <f>SUMIF('Fichas Flat'!$E$2:$E$880,E183,'Fichas Flat'!$K$2:$K$880)</f>
        <v/>
      </c>
      <c r="H183" s="139">
        <f>IFERROR(G183/F183,0)</f>
        <v/>
      </c>
      <c r="I183" s="138">
        <f>IFERROR(F183-G183,0)</f>
        <v/>
      </c>
      <c r="J183" s="139">
        <f>IFERROR(I183/F183,0)</f>
        <v/>
      </c>
      <c r="K183" s="138">
        <f>IFERROR(G183/0.3,0)</f>
        <v/>
      </c>
      <c r="L183" s="154" t="n">
        <v>39.99</v>
      </c>
      <c r="M183" s="140" t="n">
        <v>3.850143</v>
      </c>
      <c r="N183" s="141" t="n">
        <v>0.09627764441110277</v>
      </c>
      <c r="O183" s="140" t="n">
        <v>36.139857</v>
      </c>
      <c r="P183" s="141" t="n">
        <v>0.9037223555888971</v>
      </c>
      <c r="Q183" s="142" t="n">
        <v>46148</v>
      </c>
      <c r="R183" s="203">
        <f>IFERROR(IF(M182="","—",H183-N182),"—")</f>
        <v/>
      </c>
      <c r="S183" s="204" t="inlineStr">
        <is>
          <t>Sim</t>
        </is>
      </c>
      <c r="T183" s="137">
        <f>IFERROR(IF(H182=0,"—",IF(H182&lt;=0.25,"✔  OK",IF(H182&lt;=0.35,"⚠  Atenção","✖  Crítico"))),"—")</f>
        <v/>
      </c>
      <c r="U183" s="136" t="n"/>
      <c r="V183" s="136" t="n"/>
    </row>
    <row r="184" ht="15" customHeight="1">
      <c r="A184" s="150" t="inlineStr">
        <is>
          <t>Drinks</t>
        </is>
      </c>
      <c r="B184" s="136" t="inlineStr">
        <is>
          <t>Drinks</t>
        </is>
      </c>
      <c r="C184" s="145" t="inlineStr">
        <is>
          <t>Basil Smash</t>
        </is>
      </c>
      <c r="D184" s="147">
        <f>VLOOKUP(E184,_Protheus_Cadastro!A:I,2,FALSE)</f>
        <v/>
      </c>
      <c r="E184" s="137" t="inlineStr">
        <is>
          <t>001958</t>
        </is>
      </c>
      <c r="F184" s="202">
        <f>IFERROR(INDEX(Vendidos!$H:$H,MATCH(E184,Vendidos!$B:$B,0)),"—")</f>
        <v/>
      </c>
      <c r="G184" s="138">
        <f>SUMIF('Fichas Flat'!$E$2:$E$880,E184,'Fichas Flat'!$K$2:$K$880)</f>
        <v/>
      </c>
      <c r="H184" s="139">
        <f>IFERROR(G184/F184,0)</f>
        <v/>
      </c>
      <c r="I184" s="138">
        <f>IFERROR(F184-G184,0)</f>
        <v/>
      </c>
      <c r="J184" s="139">
        <f>IFERROR(I184/F184,0)</f>
        <v/>
      </c>
      <c r="K184" s="138">
        <f>IFERROR(G184/0.3,0)</f>
        <v/>
      </c>
      <c r="L184" s="154" t="n">
        <v>39.99</v>
      </c>
      <c r="M184" s="140" t="n">
        <v>6.449496</v>
      </c>
      <c r="N184" s="141" t="n">
        <v>0.1612777194298574</v>
      </c>
      <c r="O184" s="140" t="n">
        <v>33.540504</v>
      </c>
      <c r="P184" s="141" t="n">
        <v>0.8387222805701424</v>
      </c>
      <c r="Q184" s="142" t="n">
        <v>46148</v>
      </c>
      <c r="R184" s="203">
        <f>IFERROR(IF(M183="","—",H184-N183),"—")</f>
        <v/>
      </c>
      <c r="S184" s="204" t="inlineStr">
        <is>
          <t>Sim</t>
        </is>
      </c>
      <c r="T184" s="137">
        <f>IFERROR(IF(H183=0,"—",IF(H183&lt;=0.25,"✔  OK",IF(H183&lt;=0.35,"⚠  Atenção","✖  Crítico"))),"—")</f>
        <v/>
      </c>
      <c r="U184" s="136" t="n"/>
      <c r="V184" s="136" t="n"/>
    </row>
    <row r="185" ht="15" customHeight="1">
      <c r="A185" s="150" t="inlineStr">
        <is>
          <t>Espetos</t>
        </is>
      </c>
      <c r="B185" s="136" t="inlineStr">
        <is>
          <t>Tradicional</t>
        </is>
      </c>
      <c r="C185" s="145" t="inlineStr">
        <is>
          <t>Frango</t>
        </is>
      </c>
      <c r="D185" s="147">
        <f>VLOOKUP(E185,_Protheus_Cadastro!A:I,2,FALSE)</f>
        <v/>
      </c>
      <c r="E185" s="137" t="inlineStr">
        <is>
          <t>000024</t>
        </is>
      </c>
      <c r="F185" s="202">
        <f>IFERROR(INDEX(Vendidos!$H:$H,MATCH(E185,Vendidos!$B:$B,0)),"—")</f>
        <v/>
      </c>
      <c r="G185" s="138">
        <f>SUMIF('Fichas Flat'!$E$2:$E$880,E185,'Fichas Flat'!$K$2:$K$880)</f>
        <v/>
      </c>
      <c r="H185" s="139">
        <f>IFERROR(G185/F185,0)</f>
        <v/>
      </c>
      <c r="I185" s="138">
        <f>IFERROR(F185-G185,0)</f>
        <v/>
      </c>
      <c r="J185" s="139">
        <f>IFERROR(I185/F185,0)</f>
        <v/>
      </c>
      <c r="K185" s="138">
        <f>IFERROR(G185/0.3,0)</f>
        <v/>
      </c>
      <c r="L185" s="154" t="n">
        <v>13.99</v>
      </c>
      <c r="M185" s="140" t="n">
        <v>4.18</v>
      </c>
      <c r="N185" s="141" t="n">
        <v>0.2987848463187991</v>
      </c>
      <c r="O185" s="140" t="n">
        <v>9.81</v>
      </c>
      <c r="P185" s="141" t="n">
        <v>0.7012151536812009</v>
      </c>
      <c r="Q185" s="142" t="n">
        <v>46148</v>
      </c>
      <c r="R185" s="203">
        <f>IFERROR(IF(M184="","—",H185-N184),"—")</f>
        <v/>
      </c>
      <c r="S185" s="204" t="inlineStr">
        <is>
          <t>Sim</t>
        </is>
      </c>
      <c r="T185" s="137">
        <f>IFERROR(IF(H184=0,"—",IF(H184&lt;=0.25,"✔  OK",IF(H184&lt;=0.35,"⚠  Atenção","✖  Crítico"))),"—")</f>
        <v/>
      </c>
      <c r="U185" s="136" t="n"/>
      <c r="V185" s="136" t="n"/>
    </row>
    <row r="186" ht="15" customHeight="1">
      <c r="A186" s="149" t="inlineStr">
        <is>
          <t>Espetos</t>
        </is>
      </c>
      <c r="B186" s="127" t="inlineStr">
        <is>
          <t>In Natura</t>
        </is>
      </c>
      <c r="C186" s="146" t="inlineStr">
        <is>
          <t>Filé Mignon</t>
        </is>
      </c>
      <c r="D186" s="148">
        <f>VLOOKUP(E186,_Protheus_Cadastro!A:I,2,FALSE)</f>
        <v/>
      </c>
      <c r="E186" s="128" t="inlineStr">
        <is>
          <t>000012</t>
        </is>
      </c>
      <c r="F186" s="205">
        <f>IFERROR(INDEX(Vendidos!$H:$H,MATCH(E186,Vendidos!$B:$B,0)),"—")</f>
        <v/>
      </c>
      <c r="G186" s="129">
        <f>SUMIF('Fichas Flat'!$E$2:$E$880,E186,'Fichas Flat'!$K$2:$K$880)</f>
        <v/>
      </c>
      <c r="H186" s="130">
        <f>IFERROR(G186/F186,0)</f>
        <v/>
      </c>
      <c r="I186" s="129">
        <f>IFERROR(F186-G186,0)</f>
        <v/>
      </c>
      <c r="J186" s="130">
        <f>IFERROR(I186/F186,0)</f>
        <v/>
      </c>
      <c r="K186" s="129">
        <f>IFERROR(G186/0.3,0)</f>
        <v/>
      </c>
      <c r="L186" s="153" t="n">
        <v>69.90000000000001</v>
      </c>
      <c r="M186" s="131" t="n">
        <v>69.93000000000001</v>
      </c>
      <c r="N186" s="132" t="n">
        <v>1.000429184549356</v>
      </c>
      <c r="O186" s="131" t="n">
        <v>-0.03000000000000114</v>
      </c>
      <c r="P186" s="132" t="n">
        <v>-0.0004291845493562394</v>
      </c>
      <c r="Q186" s="133" t="n">
        <v>46148</v>
      </c>
      <c r="R186" s="206">
        <f>IFERROR(IF(M185="","—",H186-N185),"—")</f>
        <v/>
      </c>
      <c r="S186" s="207" t="inlineStr">
        <is>
          <t>Sim</t>
        </is>
      </c>
      <c r="T186" s="128">
        <f>IFERROR(IF(H185=0,"—",IF(H185&lt;=0.25,"✔  OK",IF(H185&lt;=0.35,"⚠  Atenção","✖  Crítico"))),"—")</f>
        <v/>
      </c>
      <c r="U186" s="127" t="n"/>
      <c r="V186" s="127" t="n"/>
    </row>
    <row r="187" ht="15" customHeight="1">
      <c r="A187" s="149" t="inlineStr">
        <is>
          <t>Drinks</t>
        </is>
      </c>
      <c r="B187" s="127" t="inlineStr">
        <is>
          <t>Drinks</t>
        </is>
      </c>
      <c r="C187" s="146" t="inlineStr">
        <is>
          <t>Gin Tônica Maracujá</t>
        </is>
      </c>
      <c r="D187" s="148">
        <f>VLOOKUP(E187,_Protheus_Cadastro!A:I,2,FALSE)</f>
        <v/>
      </c>
      <c r="E187" s="128" t="inlineStr">
        <is>
          <t>001964</t>
        </is>
      </c>
      <c r="F187" s="205">
        <f>IFERROR(INDEX(Vendidos!$H:$H,MATCH(E187,Vendidos!$B:$B,0)),"—")</f>
        <v/>
      </c>
      <c r="G187" s="129">
        <f>SUMIF('Fichas Flat'!$E$2:$E$880,E187,'Fichas Flat'!$K$2:$K$880)</f>
        <v/>
      </c>
      <c r="H187" s="130">
        <f>IFERROR(G187/F187,0)</f>
        <v/>
      </c>
      <c r="I187" s="129">
        <f>IFERROR(F187-G187,0)</f>
        <v/>
      </c>
      <c r="J187" s="130">
        <f>IFERROR(I187/F187,0)</f>
        <v/>
      </c>
      <c r="K187" s="129">
        <f>IFERROR(G187/0.3,0)</f>
        <v/>
      </c>
      <c r="L187" s="153" t="n">
        <v>39.99</v>
      </c>
      <c r="M187" s="131" t="n">
        <v>4.4727325</v>
      </c>
      <c r="N187" s="132" t="n">
        <v>0.1118462740685171</v>
      </c>
      <c r="O187" s="131" t="n">
        <v>35.5172675</v>
      </c>
      <c r="P187" s="132" t="n">
        <v>0.8881537259314829</v>
      </c>
      <c r="Q187" s="133" t="n">
        <v>46148</v>
      </c>
      <c r="R187" s="206">
        <f>IFERROR(IF(M186="","—",H187-N186),"—")</f>
        <v/>
      </c>
      <c r="S187" s="207" t="inlineStr">
        <is>
          <t>Não</t>
        </is>
      </c>
      <c r="T187" s="128">
        <f>IFERROR(IF(H186=0,"—",IF(H186&lt;=0.25,"✔  OK",IF(H186&lt;=0.35,"⚠  Atenção","✖  Crítico"))),"—")</f>
        <v/>
      </c>
      <c r="U187" s="127" t="n"/>
      <c r="V187" s="127" t="n"/>
    </row>
    <row r="188" ht="15" customHeight="1">
      <c r="A188" s="149" t="inlineStr">
        <is>
          <t>Espetos</t>
        </is>
      </c>
      <c r="B188" s="127" t="inlineStr">
        <is>
          <t>Veggie</t>
        </is>
      </c>
      <c r="C188" s="146" t="inlineStr">
        <is>
          <t>Abóbora Assada</t>
        </is>
      </c>
      <c r="D188" s="148">
        <f>VLOOKUP(E188,_Protheus_Cadastro!A:I,2,FALSE)</f>
        <v/>
      </c>
      <c r="E188" s="128" t="inlineStr">
        <is>
          <t>002124</t>
        </is>
      </c>
      <c r="F188" s="205">
        <f>IFERROR(INDEX(Vendidos!$H:$H,MATCH(E188,Vendidos!$B:$B,0)),"—")</f>
        <v/>
      </c>
      <c r="G188" s="129">
        <f>SUMIF('Fichas Flat'!$E$2:$E$880,E188,'Fichas Flat'!$K$2:$K$880)</f>
        <v/>
      </c>
      <c r="H188" s="130">
        <f>IFERROR(G188/F188,0)</f>
        <v/>
      </c>
      <c r="I188" s="129">
        <f>IFERROR(F188-G188,0)</f>
        <v/>
      </c>
      <c r="J188" s="130">
        <f>IFERROR(I188/F188,0)</f>
        <v/>
      </c>
      <c r="K188" s="129">
        <f>IFERROR(G188/0.3,0)</f>
        <v/>
      </c>
      <c r="L188" s="153" t="n">
        <v>10.99</v>
      </c>
      <c r="M188" s="131" t="n">
        <v>1.889</v>
      </c>
      <c r="N188" s="132" t="n">
        <v>0.1718835304822566</v>
      </c>
      <c r="O188" s="131" t="n">
        <v>9.101000000000001</v>
      </c>
      <c r="P188" s="132" t="n">
        <v>0.8281164695177434</v>
      </c>
      <c r="Q188" s="133" t="n">
        <v>46148</v>
      </c>
      <c r="R188" s="206">
        <f>IFERROR(IF(M187="","—",H188-N187),"—")</f>
        <v/>
      </c>
      <c r="S188" s="207" t="inlineStr">
        <is>
          <t>Sim</t>
        </is>
      </c>
      <c r="T188" s="128">
        <f>IFERROR(IF(H187=0,"—",IF(H187&lt;=0.25,"✔  OK",IF(H187&lt;=0.35,"⚠  Atenção","✖  Crítico"))),"—")</f>
        <v/>
      </c>
      <c r="U188" s="127" t="n"/>
      <c r="V188" s="127" t="n"/>
    </row>
    <row r="189" ht="15" customHeight="1">
      <c r="A189" s="150" t="inlineStr">
        <is>
          <t>Drinks</t>
        </is>
      </c>
      <c r="B189" s="136" t="inlineStr">
        <is>
          <t>Drinks</t>
        </is>
      </c>
      <c r="C189" s="145" t="inlineStr">
        <is>
          <t>Purple Vodka</t>
        </is>
      </c>
      <c r="D189" s="147">
        <f>VLOOKUP(E189,_Protheus_Cadastro!A:I,2,FALSE)</f>
        <v/>
      </c>
      <c r="E189" s="137" t="inlineStr">
        <is>
          <t>002044</t>
        </is>
      </c>
      <c r="F189" s="202">
        <f>IFERROR(INDEX(Vendidos!$H:$H,MATCH(E189,Vendidos!$B:$B,0)),"—")</f>
        <v/>
      </c>
      <c r="G189" s="138">
        <f>SUMIF('Fichas Flat'!$E$2:$E$880,E189,'Fichas Flat'!$K$2:$K$880)</f>
        <v/>
      </c>
      <c r="H189" s="139">
        <f>IFERROR(G189/F189,0)</f>
        <v/>
      </c>
      <c r="I189" s="138">
        <f>IFERROR(F189-G189,0)</f>
        <v/>
      </c>
      <c r="J189" s="139">
        <f>IFERROR(I189/F189,0)</f>
        <v/>
      </c>
      <c r="K189" s="138">
        <f>IFERROR(G189/0.3,0)</f>
        <v/>
      </c>
      <c r="L189" s="154" t="n">
        <v>39</v>
      </c>
      <c r="M189" s="140" t="n">
        <v>10.00267</v>
      </c>
      <c r="N189" s="141" t="n">
        <v>0.256478717948718</v>
      </c>
      <c r="O189" s="140" t="n">
        <v>28.99733</v>
      </c>
      <c r="P189" s="141" t="n">
        <v>0.743521282051282</v>
      </c>
      <c r="Q189" s="142" t="n">
        <v>46148</v>
      </c>
      <c r="R189" s="203">
        <f>IFERROR(IF(M188="","—",H189-N188),"—")</f>
        <v/>
      </c>
      <c r="S189" s="204" t="inlineStr">
        <is>
          <t>Não</t>
        </is>
      </c>
      <c r="T189" s="137">
        <f>IFERROR(IF(H188=0,"—",IF(H188&lt;=0.25,"✔  OK",IF(H188&lt;=0.35,"⚠  Atenção","✖  Crítico"))),"—")</f>
        <v/>
      </c>
      <c r="U189" s="136" t="n"/>
      <c r="V189" s="136" t="n"/>
    </row>
    <row r="190" ht="15" customHeight="1">
      <c r="A190" s="150" t="inlineStr">
        <is>
          <t>Espetos</t>
        </is>
      </c>
      <c r="B190" s="136" t="inlineStr">
        <is>
          <t>Veggie</t>
        </is>
      </c>
      <c r="C190" s="145" t="inlineStr">
        <is>
          <t>Ratatouile no Espeto</t>
        </is>
      </c>
      <c r="D190" s="147">
        <f>VLOOKUP(E190,_Protheus_Cadastro!A:I,2,FALSE)</f>
        <v/>
      </c>
      <c r="E190" s="137" t="inlineStr">
        <is>
          <t>002123</t>
        </is>
      </c>
      <c r="F190" s="202">
        <f>IFERROR(INDEX(Vendidos!$H:$H,MATCH(E190,Vendidos!$B:$B,0)),"—")</f>
        <v/>
      </c>
      <c r="G190" s="138">
        <f>SUMIF('Fichas Flat'!$E$2:$E$880,E190,'Fichas Flat'!$K$2:$K$880)</f>
        <v/>
      </c>
      <c r="H190" s="139">
        <f>IFERROR(G190/F190,0)</f>
        <v/>
      </c>
      <c r="I190" s="138">
        <f>IFERROR(F190-G190,0)</f>
        <v/>
      </c>
      <c r="J190" s="139">
        <f>IFERROR(I190/F190,0)</f>
        <v/>
      </c>
      <c r="K190" s="138">
        <f>IFERROR(G190/0.3,0)</f>
        <v/>
      </c>
      <c r="L190" s="154" t="n">
        <v>11.9</v>
      </c>
      <c r="M190" s="140" t="n">
        <v>3.092</v>
      </c>
      <c r="N190" s="141" t="n">
        <v>0.2598319327731092</v>
      </c>
      <c r="O190" s="140" t="n">
        <v>8.808</v>
      </c>
      <c r="P190" s="141" t="n">
        <v>0.7401680672268908</v>
      </c>
      <c r="Q190" s="142" t="n">
        <v>46148</v>
      </c>
      <c r="R190" s="203">
        <f>IFERROR(IF(M189="","—",H190-N189),"—")</f>
        <v/>
      </c>
      <c r="S190" s="204" t="inlineStr">
        <is>
          <t>Não</t>
        </is>
      </c>
      <c r="T190" s="137">
        <f>IFERROR(IF(H189=0,"—",IF(H189&lt;=0.25,"✔  OK",IF(H189&lt;=0.35,"⚠  Atenção","✖  Crítico"))),"—")</f>
        <v/>
      </c>
      <c r="U190" s="136" t="n"/>
      <c r="V190" s="136" t="n"/>
    </row>
    <row r="191" ht="15" customHeight="1">
      <c r="A191" s="149" t="inlineStr">
        <is>
          <t>Drinks</t>
        </is>
      </c>
      <c r="B191" s="127" t="inlineStr">
        <is>
          <t>Drinks</t>
        </is>
      </c>
      <c r="C191" s="146" t="inlineStr">
        <is>
          <t>Canarinho</t>
        </is>
      </c>
      <c r="D191" s="148">
        <f>VLOOKUP(E191,_Protheus_Cadastro!A:I,2,FALSE)</f>
        <v/>
      </c>
      <c r="E191" s="128" t="inlineStr">
        <is>
          <t>001945</t>
        </is>
      </c>
      <c r="F191" s="205">
        <f>IFERROR(INDEX(Vendidos!$H:$H,MATCH(E191,Vendidos!$B:$B,0)),"—")</f>
        <v/>
      </c>
      <c r="G191" s="129">
        <f>SUMIF('Fichas Flat'!$E$2:$E$880,E191,'Fichas Flat'!$K$2:$K$880)</f>
        <v/>
      </c>
      <c r="H191" s="130">
        <f>IFERROR(G191/F191,0)</f>
        <v/>
      </c>
      <c r="I191" s="129">
        <f>IFERROR(F191-G191,0)</f>
        <v/>
      </c>
      <c r="J191" s="130">
        <f>IFERROR(I191/F191,0)</f>
        <v/>
      </c>
      <c r="K191" s="129">
        <f>IFERROR(G191/0.3,0)</f>
        <v/>
      </c>
      <c r="L191" s="153" t="n">
        <v>37.99</v>
      </c>
      <c r="M191" s="131" t="n">
        <v>9.095997499999999</v>
      </c>
      <c r="N191" s="132" t="n">
        <v>0.2394313635167149</v>
      </c>
      <c r="O191" s="131" t="n">
        <v>28.8940025</v>
      </c>
      <c r="P191" s="132" t="n">
        <v>0.7605686364832851</v>
      </c>
      <c r="Q191" s="133" t="n">
        <v>46148</v>
      </c>
      <c r="R191" s="206">
        <f>IFERROR(IF(M190="","—",H191-N190),"—")</f>
        <v/>
      </c>
      <c r="S191" s="207" t="inlineStr">
        <is>
          <t>Sim</t>
        </is>
      </c>
      <c r="T191" s="128">
        <f>IFERROR(IF(H190=0,"—",IF(H190&lt;=0.25,"✔  OK",IF(H190&lt;=0.35,"⚠  Atenção","✖  Crítico"))),"—")</f>
        <v/>
      </c>
      <c r="U191" s="127" t="n"/>
      <c r="V191" s="127" t="n"/>
    </row>
    <row r="192" ht="15" customHeight="1">
      <c r="A192" s="149" t="inlineStr">
        <is>
          <t>Drinks</t>
        </is>
      </c>
      <c r="B192" s="127" t="inlineStr">
        <is>
          <t>Drinks</t>
        </is>
      </c>
      <c r="C192" s="146" t="inlineStr">
        <is>
          <t>Gin Siciliano</t>
        </is>
      </c>
      <c r="D192" s="148">
        <f>VLOOKUP(E192,_Protheus_Cadastro!A:I,2,FALSE)</f>
        <v/>
      </c>
      <c r="E192" s="128" t="inlineStr">
        <is>
          <t>001185</t>
        </is>
      </c>
      <c r="F192" s="205">
        <f>IFERROR(INDEX(Vendidos!$H:$H,MATCH(E192,Vendidos!$B:$B,0)),"—")</f>
        <v/>
      </c>
      <c r="G192" s="129">
        <f>SUMIF('Fichas Flat'!$E$2:$E$880,E192,'Fichas Flat'!$K$2:$K$880)</f>
        <v/>
      </c>
      <c r="H192" s="130">
        <f>IFERROR(G192/F192,0)</f>
        <v/>
      </c>
      <c r="I192" s="129">
        <f>IFERROR(F192-G192,0)</f>
        <v/>
      </c>
      <c r="J192" s="130">
        <f>IFERROR(I192/F192,0)</f>
        <v/>
      </c>
      <c r="K192" s="129">
        <f>IFERROR(G192/0.3,0)</f>
        <v/>
      </c>
      <c r="L192" s="153" t="n">
        <v>39.99</v>
      </c>
      <c r="M192" s="131" t="n">
        <v>5.0058</v>
      </c>
      <c r="N192" s="132" t="n">
        <v>0.1251762940735184</v>
      </c>
      <c r="O192" s="131" t="n">
        <v>34.9842</v>
      </c>
      <c r="P192" s="132" t="n">
        <v>0.8748237059264816</v>
      </c>
      <c r="Q192" s="133" t="n">
        <v>46148</v>
      </c>
      <c r="R192" s="206">
        <f>IFERROR(IF(M191="","—",H192-N191),"—")</f>
        <v/>
      </c>
      <c r="S192" s="207" t="inlineStr">
        <is>
          <t>Sim</t>
        </is>
      </c>
      <c r="T192" s="128">
        <f>IFERROR(IF(H191=0,"—",IF(H191&lt;=0.25,"✔  OK",IF(H191&lt;=0.35,"⚠  Atenção","✖  Crítico"))),"—")</f>
        <v/>
      </c>
      <c r="U192" s="127" t="n"/>
      <c r="V192" s="127" t="n"/>
    </row>
    <row r="193" ht="15" customHeight="1">
      <c r="A193" s="149" t="inlineStr">
        <is>
          <t>Espetos</t>
        </is>
      </c>
      <c r="B193" s="127" t="inlineStr">
        <is>
          <t>Premium</t>
        </is>
      </c>
      <c r="C193" s="146" t="inlineStr">
        <is>
          <t>Cordeiro / Hortelã</t>
        </is>
      </c>
      <c r="D193" s="148">
        <f>VLOOKUP(E193,_Protheus_Cadastro!A:I,2,FALSE)</f>
        <v/>
      </c>
      <c r="E193" s="128" t="inlineStr">
        <is>
          <t>000772</t>
        </is>
      </c>
      <c r="F193" s="205">
        <f>IFERROR(INDEX(Vendidos!$H:$H,MATCH(E193,Vendidos!$B:$B,0)),"—")</f>
        <v/>
      </c>
      <c r="G193" s="129">
        <f>SUMIF('Fichas Flat'!$E$2:$E$880,E193,'Fichas Flat'!$K$2:$K$880)</f>
        <v/>
      </c>
      <c r="H193" s="130">
        <f>IFERROR(G193/F193,0)</f>
        <v/>
      </c>
      <c r="I193" s="129">
        <f>IFERROR(F193-G193,0)</f>
        <v/>
      </c>
      <c r="J193" s="130">
        <f>IFERROR(I193/F193,0)</f>
        <v/>
      </c>
      <c r="K193" s="129">
        <f>IFERROR(G193/0.3,0)</f>
        <v/>
      </c>
      <c r="L193" s="153" t="n">
        <v>19.99</v>
      </c>
      <c r="M193" s="131" t="n">
        <v>9.99</v>
      </c>
      <c r="N193" s="132" t="n">
        <v>0.4997498749374688</v>
      </c>
      <c r="O193" s="131" t="n">
        <v>9.999999999999998</v>
      </c>
      <c r="P193" s="132" t="n">
        <v>0.5002501250625312</v>
      </c>
      <c r="Q193" s="133" t="n">
        <v>46148</v>
      </c>
      <c r="R193" s="206">
        <f>IFERROR(IF(M192="","—",H193-N192),"—")</f>
        <v/>
      </c>
      <c r="S193" s="207" t="inlineStr">
        <is>
          <t>Sim</t>
        </is>
      </c>
      <c r="T193" s="128">
        <f>IFERROR(IF(H192=0,"—",IF(H192&lt;=0.25,"✔  OK",IF(H192&lt;=0.35,"⚠  Atenção","✖  Crítico"))),"—")</f>
        <v/>
      </c>
      <c r="U193" s="127" t="n"/>
      <c r="V193" s="127" t="n"/>
    </row>
    <row r="194" ht="15" customHeight="1">
      <c r="A194" s="149" t="inlineStr">
        <is>
          <t>Espetos</t>
        </is>
      </c>
      <c r="B194" s="127" t="inlineStr">
        <is>
          <t>Boteco no Espeto</t>
        </is>
      </c>
      <c r="C194" s="146" t="inlineStr">
        <is>
          <t>Coxinha de Frango</t>
        </is>
      </c>
      <c r="D194" s="148">
        <f>VLOOKUP(E194,_Protheus_Cadastro!A:I,2,FALSE)</f>
        <v/>
      </c>
      <c r="E194" s="128" t="inlineStr">
        <is>
          <t>001496</t>
        </is>
      </c>
      <c r="F194" s="205">
        <f>IFERROR(INDEX(Vendidos!$H:$H,MATCH(E194,Vendidos!$B:$B,0)),"—")</f>
        <v/>
      </c>
      <c r="G194" s="129">
        <f>SUMIF('Fichas Flat'!$E$2:$E$880,E194,'Fichas Flat'!$K$2:$K$880)</f>
        <v/>
      </c>
      <c r="H194" s="130">
        <f>IFERROR(G194/F194,0)</f>
        <v/>
      </c>
      <c r="I194" s="129">
        <f>IFERROR(F194-G194,0)</f>
        <v/>
      </c>
      <c r="J194" s="130">
        <f>IFERROR(I194/F194,0)</f>
        <v/>
      </c>
      <c r="K194" s="129">
        <f>IFERROR(G194/0.3,0)</f>
        <v/>
      </c>
      <c r="L194" s="153" t="n">
        <v>14.99</v>
      </c>
      <c r="M194" s="131" t="n">
        <v>5.81033</v>
      </c>
      <c r="N194" s="132" t="n">
        <v>0.3876137424949967</v>
      </c>
      <c r="O194" s="131" t="n">
        <v>9.17967</v>
      </c>
      <c r="P194" s="132" t="n">
        <v>0.6123862575050033</v>
      </c>
      <c r="Q194" s="133" t="n">
        <v>46148</v>
      </c>
      <c r="R194" s="206">
        <f>IFERROR(IF(M193="","—",H194-N193),"—")</f>
        <v/>
      </c>
      <c r="S194" s="207" t="inlineStr">
        <is>
          <t>Sim</t>
        </is>
      </c>
      <c r="T194" s="128">
        <f>IFERROR(IF(H193=0,"—",IF(H193&lt;=0.25,"✔  OK",IF(H193&lt;=0.35,"⚠  Atenção","✖  Crítico"))),"—")</f>
        <v/>
      </c>
      <c r="U194" s="127" t="n"/>
      <c r="V194" s="127" t="n"/>
    </row>
    <row r="195" ht="15" customHeight="1">
      <c r="A195" s="150" t="inlineStr">
        <is>
          <t>Guarnições</t>
        </is>
      </c>
      <c r="B195" s="136" t="inlineStr">
        <is>
          <t>Guarnições</t>
        </is>
      </c>
      <c r="C195" s="145" t="inlineStr">
        <is>
          <t>Farofa (Executivo)</t>
        </is>
      </c>
      <c r="D195" s="147">
        <f>VLOOKUP(E195,_Protheus_Cadastro!A:I,2,FALSE)</f>
        <v/>
      </c>
      <c r="E195" s="137" t="inlineStr">
        <is>
          <t>009637</t>
        </is>
      </c>
      <c r="F195" s="202">
        <f>IFERROR(INDEX(Vendidos!$H:$H,MATCH(E195,Vendidos!$B:$B,0)),"—")</f>
        <v/>
      </c>
      <c r="G195" s="138">
        <f>SUMIF('Fichas Flat'!$E$2:$E$880,E195,'Fichas Flat'!$K$2:$K$880)</f>
        <v/>
      </c>
      <c r="H195" s="139">
        <f>IFERROR(G195/F195,0)</f>
        <v/>
      </c>
      <c r="I195" s="138">
        <f>IFERROR(F195-G195,0)</f>
        <v/>
      </c>
      <c r="J195" s="139">
        <f>IFERROR(I195/F195,0)</f>
        <v/>
      </c>
      <c r="K195" s="138">
        <f>IFERROR(G195/0.3,0)</f>
        <v/>
      </c>
      <c r="L195" s="154" t="n">
        <v>4.99</v>
      </c>
      <c r="M195" s="140" t="n">
        <v>0.7022988</v>
      </c>
      <c r="N195" s="141" t="n">
        <v>0.1407412424849699</v>
      </c>
      <c r="O195" s="140" t="n">
        <v>4.2877012</v>
      </c>
      <c r="P195" s="141" t="n">
        <v>0.85925875751503</v>
      </c>
      <c r="Q195" s="142" t="n">
        <v>46148</v>
      </c>
      <c r="R195" s="203">
        <f>IFERROR(IF(M194="","—",H195-N194),"—")</f>
        <v/>
      </c>
      <c r="S195" s="204" t="inlineStr">
        <is>
          <t>Não</t>
        </is>
      </c>
      <c r="T195" s="137">
        <f>IFERROR(IF(H194=0,"—",IF(H194&lt;=0.25,"✔  OK",IF(H194&lt;=0.35,"⚠  Atenção","✖  Crítico"))),"—")</f>
        <v/>
      </c>
      <c r="U195" s="136" t="n"/>
      <c r="V195" s="136" t="n"/>
    </row>
    <row r="196" ht="15" customHeight="1">
      <c r="A196" s="150" t="inlineStr">
        <is>
          <t>Bebidas Frias</t>
        </is>
      </c>
      <c r="B196" s="136" t="inlineStr">
        <is>
          <t>Cerveja</t>
        </is>
      </c>
      <c r="C196" s="145" t="inlineStr">
        <is>
          <t>Corona cero</t>
        </is>
      </c>
      <c r="D196" s="147">
        <f>VLOOKUP(E196,_Protheus_Cadastro!A:I,2,FALSE)</f>
        <v/>
      </c>
      <c r="E196" s="137" t="inlineStr">
        <is>
          <t>001660</t>
        </is>
      </c>
      <c r="F196" s="202">
        <f>IFERROR(INDEX(Vendidos!$H:$H,MATCH(E196,Vendidos!$B:$B,0)),"—")</f>
        <v/>
      </c>
      <c r="G196" s="138">
        <f>SUMIF('Fichas Flat'!$E$2:$E$880,E196,'Fichas Flat'!$K$2:$K$880)</f>
        <v/>
      </c>
      <c r="H196" s="139">
        <f>IFERROR(G196/F196,0)</f>
        <v/>
      </c>
      <c r="I196" s="138">
        <f>IFERROR(F196-G196,0)</f>
        <v/>
      </c>
      <c r="J196" s="139">
        <f>IFERROR(I196/F196,0)</f>
        <v/>
      </c>
      <c r="K196" s="138">
        <f>IFERROR(G196/0.3,0)</f>
        <v/>
      </c>
      <c r="L196" s="154" t="n">
        <v>15.99</v>
      </c>
      <c r="M196" s="140" t="n">
        <v>7.4658</v>
      </c>
      <c r="N196" s="141" t="n">
        <v>0.4669043151969981</v>
      </c>
      <c r="O196" s="140" t="n">
        <v>8.5242</v>
      </c>
      <c r="P196" s="141" t="n">
        <v>0.5330956848030018</v>
      </c>
      <c r="Q196" s="142" t="n">
        <v>46148</v>
      </c>
      <c r="R196" s="203">
        <f>IFERROR(IF(M195="","—",H196-N195),"—")</f>
        <v/>
      </c>
      <c r="S196" s="204" t="inlineStr">
        <is>
          <t>Sim</t>
        </is>
      </c>
      <c r="T196" s="137">
        <f>IFERROR(IF(H195=0,"—",IF(H195&lt;=0.25,"✔  OK",IF(H195&lt;=0.35,"⚠  Atenção","✖  Crítico"))),"—")</f>
        <v/>
      </c>
      <c r="U196" s="136" t="n"/>
      <c r="V196" s="136" t="n"/>
    </row>
    <row r="197" ht="15" customHeight="1">
      <c r="A197" s="150" t="inlineStr">
        <is>
          <t>Drinks</t>
        </is>
      </c>
      <c r="B197" s="136" t="inlineStr">
        <is>
          <t>Drinks</t>
        </is>
      </c>
      <c r="C197" s="145" t="inlineStr">
        <is>
          <t>Caipirinha Maracujá com Gengibre</t>
        </is>
      </c>
      <c r="D197" s="147">
        <f>VLOOKUP(E197,_Protheus_Cadastro!A:I,2,FALSE)</f>
        <v/>
      </c>
      <c r="E197" s="137" t="inlineStr">
        <is>
          <t>001960</t>
        </is>
      </c>
      <c r="F197" s="202">
        <f>IFERROR(INDEX(Vendidos!$H:$H,MATCH(E197,Vendidos!$B:$B,0)),"—")</f>
        <v/>
      </c>
      <c r="G197" s="138">
        <f>SUMIF('Fichas Flat'!$E$2:$E$880,E197,'Fichas Flat'!$K$2:$K$880)</f>
        <v/>
      </c>
      <c r="H197" s="139">
        <f>IFERROR(G197/F197,0)</f>
        <v/>
      </c>
      <c r="I197" s="138">
        <f>IFERROR(F197-G197,0)</f>
        <v/>
      </c>
      <c r="J197" s="139">
        <f>IFERROR(I197/F197,0)</f>
        <v/>
      </c>
      <c r="K197" s="138">
        <f>IFERROR(G197/0.3,0)</f>
        <v/>
      </c>
      <c r="L197" s="154" t="n">
        <v>36</v>
      </c>
      <c r="M197" s="140" t="n">
        <v>8.013199999999999</v>
      </c>
      <c r="N197" s="141" t="n">
        <v>0.2225888888888889</v>
      </c>
      <c r="O197" s="140" t="n">
        <v>27.9868</v>
      </c>
      <c r="P197" s="141" t="n">
        <v>0.7774111111111112</v>
      </c>
      <c r="Q197" s="142" t="n">
        <v>46148</v>
      </c>
      <c r="R197" s="203">
        <f>IFERROR(IF(M196="","—",H197-N196),"—")</f>
        <v/>
      </c>
      <c r="S197" s="204" t="inlineStr">
        <is>
          <t>Não</t>
        </is>
      </c>
      <c r="T197" s="137">
        <f>IFERROR(IF(H196=0,"—",IF(H196&lt;=0.25,"✔  OK",IF(H196&lt;=0.35,"⚠  Atenção","✖  Crítico"))),"—")</f>
        <v/>
      </c>
      <c r="U197" s="136" t="n"/>
      <c r="V197" s="136" t="n"/>
    </row>
    <row r="198" ht="15" customHeight="1">
      <c r="A198" s="150" t="inlineStr">
        <is>
          <t>Drinks</t>
        </is>
      </c>
      <c r="B198" s="136" t="inlineStr">
        <is>
          <t>Drinks</t>
        </is>
      </c>
      <c r="C198" s="145" t="inlineStr">
        <is>
          <t>Gin com Red Bull Melancia</t>
        </is>
      </c>
      <c r="D198" s="147">
        <f>VLOOKUP(E198,_Protheus_Cadastro!A:I,2,FALSE)</f>
        <v/>
      </c>
      <c r="E198" s="137" t="inlineStr">
        <is>
          <t>001967</t>
        </is>
      </c>
      <c r="F198" s="202">
        <f>IFERROR(INDEX(Vendidos!$H:$H,MATCH(E198,Vendidos!$B:$B,0)),"—")</f>
        <v/>
      </c>
      <c r="G198" s="138">
        <f>SUMIF('Fichas Flat'!$E$2:$E$880,E198,'Fichas Flat'!$K$2:$K$880)</f>
        <v/>
      </c>
      <c r="H198" s="139">
        <f>IFERROR(G198/F198,0)</f>
        <v/>
      </c>
      <c r="I198" s="138">
        <f>IFERROR(F198-G198,0)</f>
        <v/>
      </c>
      <c r="J198" s="139">
        <f>IFERROR(I198/F198,0)</f>
        <v/>
      </c>
      <c r="K198" s="138">
        <f>IFERROR(G198/0.3,0)</f>
        <v/>
      </c>
      <c r="L198" s="154" t="n">
        <v>45</v>
      </c>
      <c r="M198" s="140" t="n">
        <v>8.2645</v>
      </c>
      <c r="N198" s="141" t="n">
        <v>0.1836555555555555</v>
      </c>
      <c r="O198" s="140" t="n">
        <v>36.7355</v>
      </c>
      <c r="P198" s="141" t="n">
        <v>0.8163444444444445</v>
      </c>
      <c r="Q198" s="142" t="n">
        <v>46148</v>
      </c>
      <c r="R198" s="203">
        <f>IFERROR(IF(M197="","—",H198-N197),"—")</f>
        <v/>
      </c>
      <c r="S198" s="204" t="inlineStr">
        <is>
          <t>Não</t>
        </is>
      </c>
      <c r="T198" s="137">
        <f>IFERROR(IF(H197=0,"—",IF(H197&lt;=0.25,"✔  OK",IF(H197&lt;=0.35,"⚠  Atenção","✖  Crítico"))),"—")</f>
        <v/>
      </c>
      <c r="U198" s="136" t="n"/>
      <c r="V198" s="136" t="n"/>
    </row>
    <row r="199" ht="15" customHeight="1">
      <c r="A199" s="150" t="inlineStr">
        <is>
          <t>Bebidas Frias</t>
        </is>
      </c>
      <c r="B199" s="136" t="inlineStr">
        <is>
          <t>Bebidas Prontas</t>
        </is>
      </c>
      <c r="C199" s="145" t="inlineStr">
        <is>
          <t>Smirnoff Ice</t>
        </is>
      </c>
      <c r="D199" s="147">
        <f>VLOOKUP(E199,_Protheus_Cadastro!A:I,2,FALSE)</f>
        <v/>
      </c>
      <c r="E199" s="137" t="inlineStr">
        <is>
          <t>000030</t>
        </is>
      </c>
      <c r="F199" s="202">
        <f>IFERROR(INDEX(Vendidos!$H:$H,MATCH(E199,Vendidos!$B:$B,0)),"—")</f>
        <v/>
      </c>
      <c r="G199" s="138">
        <f>SUMIF('Fichas Flat'!$E$2:$E$880,E199,'Fichas Flat'!$K$2:$K$880)</f>
        <v/>
      </c>
      <c r="H199" s="139">
        <f>IFERROR(G199/F199,0)</f>
        <v/>
      </c>
      <c r="I199" s="138">
        <f>IFERROR(F199-G199,0)</f>
        <v/>
      </c>
      <c r="J199" s="139">
        <f>IFERROR(I199/F199,0)</f>
        <v/>
      </c>
      <c r="K199" s="138">
        <f>IFERROR(G199/0.3,0)</f>
        <v/>
      </c>
      <c r="L199" s="154" t="n">
        <v>19.99</v>
      </c>
      <c r="M199" s="140" t="n">
        <v>3.6739</v>
      </c>
      <c r="N199" s="141" t="n">
        <v>0.1837868934467234</v>
      </c>
      <c r="O199" s="140" t="n">
        <v>16.3161</v>
      </c>
      <c r="P199" s="141" t="n">
        <v>0.8162131065532766</v>
      </c>
      <c r="Q199" s="142" t="n">
        <v>46148</v>
      </c>
      <c r="R199" s="203">
        <f>IFERROR(IF(M198="","—",H199-N198),"—")</f>
        <v/>
      </c>
      <c r="S199" s="204" t="inlineStr">
        <is>
          <t>Sim</t>
        </is>
      </c>
      <c r="T199" s="137">
        <f>IFERROR(IF(H198=0,"—",IF(H198&lt;=0.25,"✔  OK",IF(H198&lt;=0.35,"⚠  Atenção","✖  Crítico"))),"—")</f>
        <v/>
      </c>
      <c r="U199" s="136" t="n"/>
      <c r="V199" s="136" t="n"/>
    </row>
    <row r="200" ht="15" customHeight="1">
      <c r="A200" s="150" t="inlineStr">
        <is>
          <t>Drinks</t>
        </is>
      </c>
      <c r="B200" s="136" t="inlineStr">
        <is>
          <t>Drinks</t>
        </is>
      </c>
      <c r="C200" s="145" t="inlineStr">
        <is>
          <t>Sunset Mule</t>
        </is>
      </c>
      <c r="D200" s="147">
        <f>VLOOKUP(E200,_Protheus_Cadastro!A:I,2,FALSE)</f>
        <v/>
      </c>
      <c r="E200" s="137" t="inlineStr">
        <is>
          <t>001471</t>
        </is>
      </c>
      <c r="F200" s="202">
        <f>IFERROR(INDEX(Vendidos!$H:$H,MATCH(E200,Vendidos!$B:$B,0)),"—")</f>
        <v/>
      </c>
      <c r="G200" s="138">
        <f>SUMIF('Fichas Flat'!$E$2:$E$880,E200,'Fichas Flat'!$K$2:$K$880)</f>
        <v/>
      </c>
      <c r="H200" s="139">
        <f>IFERROR(G200/F200,0)</f>
        <v/>
      </c>
      <c r="I200" s="138">
        <f>IFERROR(F200-G200,0)</f>
        <v/>
      </c>
      <c r="J200" s="139">
        <f>IFERROR(I200/F200,0)</f>
        <v/>
      </c>
      <c r="K200" s="138">
        <f>IFERROR(G200/0.3,0)</f>
        <v/>
      </c>
      <c r="L200" s="154" t="n">
        <v>39.99</v>
      </c>
      <c r="M200" s="140" t="n">
        <v>9.554</v>
      </c>
      <c r="N200" s="141" t="n">
        <v>0.238909727431858</v>
      </c>
      <c r="O200" s="140" t="n">
        <v>30.436</v>
      </c>
      <c r="P200" s="141" t="n">
        <v>0.761090272568142</v>
      </c>
      <c r="Q200" s="142" t="n">
        <v>46148</v>
      </c>
      <c r="R200" s="203">
        <f>IFERROR(IF(M199="","—",H200-N199),"—")</f>
        <v/>
      </c>
      <c r="S200" s="204" t="inlineStr">
        <is>
          <t>Sim</t>
        </is>
      </c>
      <c r="T200" s="137">
        <f>IFERROR(IF(H199=0,"—",IF(H199&lt;=0.25,"✔  OK",IF(H199&lt;=0.35,"⚠  Atenção","✖  Crítico"))),"—")</f>
        <v/>
      </c>
      <c r="U200" s="136" t="n"/>
      <c r="V200" s="136" t="n"/>
    </row>
    <row r="201" ht="15" customHeight="1">
      <c r="A201" s="149" t="inlineStr">
        <is>
          <t>Bebidas Frias</t>
        </is>
      </c>
      <c r="B201" s="127" t="inlineStr">
        <is>
          <t>Soft Drinks</t>
        </is>
      </c>
      <c r="C201" s="146" t="inlineStr">
        <is>
          <t>Gelo de Coco</t>
        </is>
      </c>
      <c r="D201" s="148">
        <f>VLOOKUP(E201,_Protheus_Cadastro!A:I,2,FALSE)</f>
        <v/>
      </c>
      <c r="E201" s="128" t="inlineStr">
        <is>
          <t>001481</t>
        </is>
      </c>
      <c r="F201" s="205">
        <f>IFERROR(INDEX(Vendidos!$H:$H,MATCH(E201,Vendidos!$B:$B,0)),"—")</f>
        <v/>
      </c>
      <c r="G201" s="129">
        <f>SUMIF('Fichas Flat'!$E$2:$E$880,E201,'Fichas Flat'!$K$2:$K$880)</f>
        <v/>
      </c>
      <c r="H201" s="130">
        <f>IFERROR(G201/F201,0)</f>
        <v/>
      </c>
      <c r="I201" s="129">
        <f>IFERROR(F201-G201,0)</f>
        <v/>
      </c>
      <c r="J201" s="130">
        <f>IFERROR(I201/F201,0)</f>
        <v/>
      </c>
      <c r="K201" s="129">
        <f>IFERROR(G201/0.3,0)</f>
        <v/>
      </c>
      <c r="L201" s="153" t="n">
        <v>12.99</v>
      </c>
      <c r="M201" s="131" t="n">
        <v>3.5283325</v>
      </c>
      <c r="N201" s="132" t="n">
        <v>0.271619130100077</v>
      </c>
      <c r="O201" s="131" t="n">
        <v>9.461667500000001</v>
      </c>
      <c r="P201" s="132" t="n">
        <v>0.728380869899923</v>
      </c>
      <c r="Q201" s="133" t="n">
        <v>46148</v>
      </c>
      <c r="R201" s="206">
        <f>IFERROR(IF(M200="","—",H201-N200),"—")</f>
        <v/>
      </c>
      <c r="S201" s="207" t="inlineStr">
        <is>
          <t>Sim</t>
        </is>
      </c>
      <c r="T201" s="128">
        <f>IFERROR(IF(H200=0,"—",IF(H200&lt;=0.25,"✔  OK",IF(H200&lt;=0.35,"⚠  Atenção","✖  Crítico"))),"—")</f>
        <v/>
      </c>
      <c r="U201" s="127" t="n"/>
      <c r="V201" s="127" t="n"/>
    </row>
    <row r="202" ht="15" customHeight="1">
      <c r="A202" s="149" t="inlineStr">
        <is>
          <t>Bebidas Frias</t>
        </is>
      </c>
      <c r="B202" s="127" t="inlineStr">
        <is>
          <t>Cerveja</t>
        </is>
      </c>
      <c r="C202" s="146" t="inlineStr">
        <is>
          <t>Brahma Duplo Malte Garrafa</t>
        </is>
      </c>
      <c r="D202" s="148">
        <f>VLOOKUP(E202,_Protheus_Cadastro!A:I,2,FALSE)</f>
        <v/>
      </c>
      <c r="E202" s="128" t="inlineStr">
        <is>
          <t>001057</t>
        </is>
      </c>
      <c r="F202" s="205">
        <f>IFERROR(INDEX(Vendidos!$H:$H,MATCH(E202,Vendidos!$B:$B,0)),"—")</f>
        <v/>
      </c>
      <c r="G202" s="129">
        <f>SUMIF('Fichas Flat'!$E$2:$E$880,E202,'Fichas Flat'!$K$2:$K$880)</f>
        <v/>
      </c>
      <c r="H202" s="130">
        <f>IFERROR(G202/F202,0)</f>
        <v/>
      </c>
      <c r="I202" s="129">
        <f>IFERROR(F202-G202,0)</f>
        <v/>
      </c>
      <c r="J202" s="130">
        <f>IFERROR(I202/F202,0)</f>
        <v/>
      </c>
      <c r="K202" s="129">
        <f>IFERROR(G202/0.3,0)</f>
        <v/>
      </c>
      <c r="L202" s="153" t="n">
        <v>17.9</v>
      </c>
      <c r="M202" s="131" t="n">
        <v>4.0435</v>
      </c>
      <c r="N202" s="132" t="n">
        <v>0.2258938547486034</v>
      </c>
      <c r="O202" s="131" t="n">
        <v>13.8565</v>
      </c>
      <c r="P202" s="132" t="n">
        <v>0.7741061452513966</v>
      </c>
      <c r="Q202" s="133" t="n">
        <v>46148</v>
      </c>
      <c r="R202" s="206">
        <f>IFERROR(IF(M201="","—",H202-N201),"—")</f>
        <v/>
      </c>
      <c r="S202" s="207" t="inlineStr">
        <is>
          <t>Sim</t>
        </is>
      </c>
      <c r="T202" s="128">
        <f>IFERROR(IF(H201=0,"—",IF(H201&lt;=0.25,"✔  OK",IF(H201&lt;=0.35,"⚠  Atenção","✖  Crítico"))),"—")</f>
        <v/>
      </c>
      <c r="U202" s="127" t="n"/>
      <c r="V202" s="127" t="n"/>
    </row>
    <row r="203" ht="15" customHeight="1">
      <c r="A203" s="150" t="inlineStr">
        <is>
          <t>Espetos</t>
        </is>
      </c>
      <c r="B203" s="136" t="inlineStr">
        <is>
          <t>In Natura</t>
        </is>
      </c>
      <c r="C203" s="145" t="inlineStr">
        <is>
          <t>Frango</t>
        </is>
      </c>
      <c r="D203" s="147">
        <f>VLOOKUP(E203,_Protheus_Cadastro!A:I,2,FALSE)</f>
        <v/>
      </c>
      <c r="E203" s="137" t="inlineStr">
        <is>
          <t>000006</t>
        </is>
      </c>
      <c r="F203" s="202">
        <f>IFERROR(INDEX(Vendidos!$H:$H,MATCH(E203,Vendidos!$B:$B,0)),"—")</f>
        <v/>
      </c>
      <c r="G203" s="138">
        <f>SUMIF('Fichas Flat'!$E$2:$E$880,E203,'Fichas Flat'!$K$2:$K$880)</f>
        <v/>
      </c>
      <c r="H203" s="139">
        <f>IFERROR(G203/F203,0)</f>
        <v/>
      </c>
      <c r="I203" s="138">
        <f>IFERROR(F203-G203,0)</f>
        <v/>
      </c>
      <c r="J203" s="139">
        <f>IFERROR(I203/F203,0)</f>
        <v/>
      </c>
      <c r="K203" s="138">
        <f>IFERROR(G203/0.3,0)</f>
        <v/>
      </c>
      <c r="L203" s="154" t="n">
        <v>29.9</v>
      </c>
      <c r="M203" s="140" t="n">
        <v>26.019</v>
      </c>
      <c r="N203" s="141" t="n">
        <v>0.8702006688963211</v>
      </c>
      <c r="O203" s="140" t="n">
        <v>3.881</v>
      </c>
      <c r="P203" s="141" t="n">
        <v>0.1297993311036789</v>
      </c>
      <c r="Q203" s="142" t="n">
        <v>46148</v>
      </c>
      <c r="R203" s="203">
        <f>IFERROR(IF(M202="","—",H203-N202),"—")</f>
        <v/>
      </c>
      <c r="S203" s="204" t="inlineStr">
        <is>
          <t>Sim</t>
        </is>
      </c>
      <c r="T203" s="137">
        <f>IFERROR(IF(H202=0,"—",IF(H202&lt;=0.25,"✔  OK",IF(H202&lt;=0.35,"⚠  Atenção","✖  Crítico"))),"—")</f>
        <v/>
      </c>
      <c r="U203" s="136" t="n"/>
      <c r="V203" s="136" t="n"/>
    </row>
    <row r="204" ht="15" customHeight="1">
      <c r="A204" s="150" t="inlineStr">
        <is>
          <t>Bebidas Frias</t>
        </is>
      </c>
      <c r="B204" s="136" t="inlineStr">
        <is>
          <t>Soft Drinks</t>
        </is>
      </c>
      <c r="C204" s="145" t="inlineStr">
        <is>
          <t>Água de Coco</t>
        </is>
      </c>
      <c r="D204" s="147">
        <f>VLOOKUP(E204,_Protheus_Cadastro!A:I,2,FALSE)</f>
        <v/>
      </c>
      <c r="E204" s="137" t="inlineStr">
        <is>
          <t>000892</t>
        </is>
      </c>
      <c r="F204" s="202">
        <f>IFERROR(INDEX(Vendidos!$H:$H,MATCH(E204,Vendidos!$B:$B,0)),"—")</f>
        <v/>
      </c>
      <c r="G204" s="138">
        <f>SUMIF('Fichas Flat'!$E$2:$E$880,E204,'Fichas Flat'!$K$2:$K$880)</f>
        <v/>
      </c>
      <c r="H204" s="139">
        <f>IFERROR(G204/F204,0)</f>
        <v/>
      </c>
      <c r="I204" s="138">
        <f>IFERROR(F204-G204,0)</f>
        <v/>
      </c>
      <c r="J204" s="139">
        <f>IFERROR(I204/F204,0)</f>
        <v/>
      </c>
      <c r="K204" s="138">
        <f>IFERROR(G204/0.3,0)</f>
        <v/>
      </c>
      <c r="L204" s="154" t="n">
        <v>11.99</v>
      </c>
      <c r="M204" s="140" t="n">
        <v>8.039999999999999</v>
      </c>
      <c r="N204" s="141" t="n">
        <v>0.6705587989991659</v>
      </c>
      <c r="O204" s="140" t="n">
        <v>3.950000000000001</v>
      </c>
      <c r="P204" s="141" t="n">
        <v>0.3294412010008341</v>
      </c>
      <c r="Q204" s="142" t="n">
        <v>46148</v>
      </c>
      <c r="R204" s="203">
        <f>IFERROR(IF(M203="","—",H204-N203),"—")</f>
        <v/>
      </c>
      <c r="S204" s="204" t="inlineStr">
        <is>
          <t>Sim</t>
        </is>
      </c>
      <c r="T204" s="137">
        <f>IFERROR(IF(H203=0,"—",IF(H203&lt;=0.25,"✔  OK",IF(H203&lt;=0.35,"⚠  Atenção","✖  Crítico"))),"—")</f>
        <v/>
      </c>
      <c r="U204" s="136" t="n"/>
      <c r="V204" s="136" t="n"/>
    </row>
    <row r="205" ht="15" customHeight="1">
      <c r="A205" s="149" t="inlineStr">
        <is>
          <t>Bebidas Frias</t>
        </is>
      </c>
      <c r="B205" s="127" t="inlineStr">
        <is>
          <t>Soft Drinks</t>
        </is>
      </c>
      <c r="C205" s="146" t="inlineStr">
        <is>
          <t>Água Mineral</t>
        </is>
      </c>
      <c r="D205" s="148">
        <f>VLOOKUP(E205,_Protheus_Cadastro!A:I,2,FALSE)</f>
        <v/>
      </c>
      <c r="E205" s="128" t="inlineStr">
        <is>
          <t>000878</t>
        </is>
      </c>
      <c r="F205" s="205">
        <f>IFERROR(INDEX(Vendidos!$H:$H,MATCH(E205,Vendidos!$B:$B,0)),"—")</f>
        <v/>
      </c>
      <c r="G205" s="129">
        <f>SUMIF('Fichas Flat'!$E$2:$E$880,E205,'Fichas Flat'!$K$2:$K$880)</f>
        <v/>
      </c>
      <c r="H205" s="130">
        <f>IFERROR(G205/F205,0)</f>
        <v/>
      </c>
      <c r="I205" s="129">
        <f>IFERROR(F205-G205,0)</f>
        <v/>
      </c>
      <c r="J205" s="130">
        <f>IFERROR(I205/F205,0)</f>
        <v/>
      </c>
      <c r="K205" s="129">
        <f>IFERROR(G205/0.3,0)</f>
        <v/>
      </c>
      <c r="L205" s="153" t="n">
        <v>6.99</v>
      </c>
      <c r="M205" s="131" t="n">
        <v>3.35254465</v>
      </c>
      <c r="N205" s="132" t="n">
        <v>0.479620121602289</v>
      </c>
      <c r="O205" s="131" t="n">
        <v>3.63745535</v>
      </c>
      <c r="P205" s="132" t="n">
        <v>0.520379878397711</v>
      </c>
      <c r="Q205" s="133" t="n">
        <v>46148</v>
      </c>
      <c r="R205" s="206">
        <f>IFERROR(IF(M204="","—",H205-N204),"—")</f>
        <v/>
      </c>
      <c r="S205" s="207" t="inlineStr">
        <is>
          <t>Sim</t>
        </is>
      </c>
      <c r="T205" s="128">
        <f>IFERROR(IF(H204=0,"—",IF(H204&lt;=0.25,"✔  OK",IF(H204&lt;=0.35,"⚠  Atenção","✖  Crítico"))),"—")</f>
        <v/>
      </c>
      <c r="U205" s="127" t="n"/>
      <c r="V205" s="127" t="n"/>
    </row>
    <row r="206" ht="15" customHeight="1">
      <c r="A206" s="149" t="inlineStr">
        <is>
          <t>Drinks</t>
        </is>
      </c>
      <c r="B206" s="127" t="inlineStr">
        <is>
          <t>Drinks</t>
        </is>
      </c>
      <c r="C206" s="146" t="inlineStr">
        <is>
          <t>Moscow Mule</t>
        </is>
      </c>
      <c r="D206" s="148">
        <f>VLOOKUP(E206,_Protheus_Cadastro!A:I,2,FALSE)</f>
        <v/>
      </c>
      <c r="E206" s="128" t="inlineStr">
        <is>
          <t>000951</t>
        </is>
      </c>
      <c r="F206" s="205">
        <f>IFERROR(INDEX(Vendidos!$H:$H,MATCH(E206,Vendidos!$B:$B,0)),"—")</f>
        <v/>
      </c>
      <c r="G206" s="129">
        <f>SUMIF('Fichas Flat'!$E$2:$E$880,E206,'Fichas Flat'!$K$2:$K$880)</f>
        <v/>
      </c>
      <c r="H206" s="130">
        <f>IFERROR(G206/F206,0)</f>
        <v/>
      </c>
      <c r="I206" s="129">
        <f>IFERROR(F206-G206,0)</f>
        <v/>
      </c>
      <c r="J206" s="130">
        <f>IFERROR(I206/F206,0)</f>
        <v/>
      </c>
      <c r="K206" s="129">
        <f>IFERROR(G206/0.3,0)</f>
        <v/>
      </c>
      <c r="L206" s="153" t="n">
        <v>36.99</v>
      </c>
      <c r="M206" s="131" t="n">
        <v>10.2645</v>
      </c>
      <c r="N206" s="132" t="n">
        <v>0.2774939172749392</v>
      </c>
      <c r="O206" s="131" t="n">
        <v>26.7255</v>
      </c>
      <c r="P206" s="132" t="n">
        <v>0.7225060827250609</v>
      </c>
      <c r="Q206" s="133" t="n">
        <v>46148</v>
      </c>
      <c r="R206" s="206">
        <f>IFERROR(IF(M205="","—",H206-N205),"—")</f>
        <v/>
      </c>
      <c r="S206" s="207" t="inlineStr">
        <is>
          <t>Não</t>
        </is>
      </c>
      <c r="T206" s="128">
        <f>IFERROR(IF(H205=0,"—",IF(H205&lt;=0.25,"✔  OK",IF(H205&lt;=0.35,"⚠  Atenção","✖  Crítico"))),"—")</f>
        <v/>
      </c>
      <c r="U206" s="127" t="n"/>
      <c r="V206" s="127" t="n"/>
    </row>
    <row r="207" ht="15" customHeight="1">
      <c r="A207" s="149" t="inlineStr">
        <is>
          <t>Drinks</t>
        </is>
      </c>
      <c r="B207" s="127" t="inlineStr">
        <is>
          <t>Drinks</t>
        </is>
      </c>
      <c r="C207" s="146" t="inlineStr">
        <is>
          <t>Gin Tônica Pink</t>
        </is>
      </c>
      <c r="D207" s="148">
        <f>VLOOKUP(E207,_Protheus_Cadastro!A:I,2,FALSE)</f>
        <v/>
      </c>
      <c r="E207" s="128" t="inlineStr">
        <is>
          <t>000949</t>
        </is>
      </c>
      <c r="F207" s="205">
        <f>IFERROR(INDEX(Vendidos!$H:$H,MATCH(E207,Vendidos!$B:$B,0)),"—")</f>
        <v/>
      </c>
      <c r="G207" s="129">
        <f>SUMIF('Fichas Flat'!$E$2:$E$880,E207,'Fichas Flat'!$K$2:$K$880)</f>
        <v/>
      </c>
      <c r="H207" s="130">
        <f>IFERROR(G207/F207,0)</f>
        <v/>
      </c>
      <c r="I207" s="129">
        <f>IFERROR(F207-G207,0)</f>
        <v/>
      </c>
      <c r="J207" s="130">
        <f>IFERROR(I207/F207,0)</f>
        <v/>
      </c>
      <c r="K207" s="129">
        <f>IFERROR(G207/0.3,0)</f>
        <v/>
      </c>
      <c r="L207" s="153" t="n">
        <v>39.99</v>
      </c>
      <c r="M207" s="131" t="n">
        <v>11.404396</v>
      </c>
      <c r="N207" s="132" t="n">
        <v>0.2851811952988247</v>
      </c>
      <c r="O207" s="131" t="n">
        <v>28.585604</v>
      </c>
      <c r="P207" s="132" t="n">
        <v>0.7148188047011753</v>
      </c>
      <c r="Q207" s="133" t="n">
        <v>46148</v>
      </c>
      <c r="R207" s="206">
        <f>IFERROR(IF(M206="","—",H207-N206),"—")</f>
        <v/>
      </c>
      <c r="S207" s="207" t="inlineStr">
        <is>
          <t>Sim</t>
        </is>
      </c>
      <c r="T207" s="128">
        <f>IFERROR(IF(H206=0,"—",IF(H206&lt;=0.25,"✔  OK",IF(H206&lt;=0.35,"⚠  Atenção","✖  Crítico"))),"—")</f>
        <v/>
      </c>
      <c r="U207" s="127" t="n"/>
      <c r="V207" s="127" t="n"/>
    </row>
    <row r="208" ht="15" customHeight="1">
      <c r="A208" s="149" t="inlineStr">
        <is>
          <t>Drinks</t>
        </is>
      </c>
      <c r="B208" s="127" t="inlineStr">
        <is>
          <t>Drinks</t>
        </is>
      </c>
      <c r="C208" s="146" t="inlineStr">
        <is>
          <t>Gin Tônica de  Frutas Vermelhas</t>
        </is>
      </c>
      <c r="D208" s="148">
        <f>VLOOKUP(E208,_Protheus_Cadastro!A:I,2,FALSE)</f>
        <v/>
      </c>
      <c r="E208" s="128" t="inlineStr">
        <is>
          <t>001179</t>
        </is>
      </c>
      <c r="F208" s="205">
        <f>IFERROR(INDEX(Vendidos!$H:$H,MATCH(E208,Vendidos!$B:$B,0)),"—")</f>
        <v/>
      </c>
      <c r="G208" s="129">
        <f>SUMIF('Fichas Flat'!$E$2:$E$880,E208,'Fichas Flat'!$K$2:$K$880)</f>
        <v/>
      </c>
      <c r="H208" s="130">
        <f>IFERROR(G208/F208,0)</f>
        <v/>
      </c>
      <c r="I208" s="129">
        <f>IFERROR(F208-G208,0)</f>
        <v/>
      </c>
      <c r="J208" s="130">
        <f>IFERROR(I208/F208,0)</f>
        <v/>
      </c>
      <c r="K208" s="129">
        <f>IFERROR(G208/0.3,0)</f>
        <v/>
      </c>
      <c r="L208" s="153" t="n">
        <v>39.99</v>
      </c>
      <c r="M208" s="131" t="n">
        <v>11.74765</v>
      </c>
      <c r="N208" s="132" t="n">
        <v>0.2937646911727932</v>
      </c>
      <c r="O208" s="131" t="n">
        <v>28.24235</v>
      </c>
      <c r="P208" s="132" t="n">
        <v>0.7062353088272069</v>
      </c>
      <c r="Q208" s="133" t="n">
        <v>46148</v>
      </c>
      <c r="R208" s="206">
        <f>IFERROR(IF(M207="","—",H208-N207),"—")</f>
        <v/>
      </c>
      <c r="S208" s="207" t="inlineStr">
        <is>
          <t>Sim</t>
        </is>
      </c>
      <c r="T208" s="128">
        <f>IFERROR(IF(H207=0,"—",IF(H207&lt;=0.25,"✔  OK",IF(H207&lt;=0.35,"⚠  Atenção","✖  Crítico"))),"—")</f>
        <v/>
      </c>
      <c r="U208" s="127" t="n"/>
      <c r="V208" s="127" t="n"/>
    </row>
    <row r="209" ht="15" customHeight="1">
      <c r="A209" s="149" t="inlineStr">
        <is>
          <t>Espetos</t>
        </is>
      </c>
      <c r="B209" s="127" t="inlineStr">
        <is>
          <t>Veggie</t>
        </is>
      </c>
      <c r="C209" s="146" t="inlineStr">
        <is>
          <t>Batata Bolinha</t>
        </is>
      </c>
      <c r="D209" s="148">
        <f>VLOOKUP(E209,_Protheus_Cadastro!A:I,2,FALSE)</f>
        <v/>
      </c>
      <c r="E209" s="128" t="inlineStr">
        <is>
          <t>001507</t>
        </is>
      </c>
      <c r="F209" s="205">
        <f>IFERROR(INDEX(Vendidos!$H:$H,MATCH(E209,Vendidos!$B:$B,0)),"—")</f>
        <v/>
      </c>
      <c r="G209" s="129">
        <f>SUMIF('Fichas Flat'!$E$2:$E$880,E209,'Fichas Flat'!$K$2:$K$880)</f>
        <v/>
      </c>
      <c r="H209" s="130">
        <f>IFERROR(G209/F209,0)</f>
        <v/>
      </c>
      <c r="I209" s="129">
        <f>IFERROR(F209-G209,0)</f>
        <v/>
      </c>
      <c r="J209" s="130">
        <f>IFERROR(I209/F209,0)</f>
        <v/>
      </c>
      <c r="K209" s="129">
        <f>IFERROR(G209/0.3,0)</f>
        <v/>
      </c>
      <c r="L209" s="153" t="n">
        <v>10.99</v>
      </c>
      <c r="M209" s="131" t="n">
        <v>3.919491</v>
      </c>
      <c r="N209" s="132" t="n">
        <v>0.3566415832575068</v>
      </c>
      <c r="O209" s="131" t="n">
        <v>7.070509</v>
      </c>
      <c r="P209" s="132" t="n">
        <v>0.6433584167424932</v>
      </c>
      <c r="Q209" s="133" t="n">
        <v>46148</v>
      </c>
      <c r="R209" s="206">
        <f>IFERROR(IF(M208="","—",H209-N208),"—")</f>
        <v/>
      </c>
      <c r="S209" s="207" t="inlineStr">
        <is>
          <t>Sim</t>
        </is>
      </c>
      <c r="T209" s="128">
        <f>IFERROR(IF(H208=0,"—",IF(H208&lt;=0.25,"✔  OK",IF(H208&lt;=0.35,"⚠  Atenção","✖  Crítico"))),"—")</f>
        <v/>
      </c>
      <c r="U209" s="127" t="n"/>
      <c r="V209" s="127" t="n"/>
    </row>
    <row r="210" ht="15" customHeight="1">
      <c r="A210" s="150" t="inlineStr">
        <is>
          <t>Espetos</t>
        </is>
      </c>
      <c r="B210" s="136" t="inlineStr">
        <is>
          <t>In Natura</t>
        </is>
      </c>
      <c r="C210" s="145" t="inlineStr">
        <is>
          <t>Camarão</t>
        </is>
      </c>
      <c r="D210" s="147">
        <f>VLOOKUP(E210,_Protheus_Cadastro!A:I,2,FALSE)</f>
        <v/>
      </c>
      <c r="E210" s="137" t="inlineStr">
        <is>
          <t>000017</t>
        </is>
      </c>
      <c r="F210" s="202">
        <f>IFERROR(INDEX(Vendidos!$H:$H,MATCH(E210,Vendidos!$B:$B,0)),"—")</f>
        <v/>
      </c>
      <c r="G210" s="138">
        <f>SUMIF('Fichas Flat'!$E$2:$E$880,E210,'Fichas Flat'!$K$2:$K$880)</f>
        <v/>
      </c>
      <c r="H210" s="139">
        <f>IFERROR(G210/F210,0)</f>
        <v/>
      </c>
      <c r="I210" s="138">
        <f>IFERROR(F210-G210,0)</f>
        <v/>
      </c>
      <c r="J210" s="139">
        <f>IFERROR(I210/F210,0)</f>
        <v/>
      </c>
      <c r="K210" s="138">
        <f>IFERROR(G210/0.3,0)</f>
        <v/>
      </c>
      <c r="L210" s="154" t="n">
        <v>39.9</v>
      </c>
      <c r="M210" s="140" t="n">
        <v>52.1367</v>
      </c>
      <c r="N210" s="141" t="n">
        <v>1.306684210526316</v>
      </c>
      <c r="O210" s="140" t="n">
        <v>-12.2367</v>
      </c>
      <c r="P210" s="141" t="n">
        <v>-0.3066842105263158</v>
      </c>
      <c r="Q210" s="142" t="n">
        <v>46148</v>
      </c>
      <c r="R210" s="203">
        <f>IFERROR(IF(M209="","—",H210-N209),"—")</f>
        <v/>
      </c>
      <c r="S210" s="204" t="inlineStr">
        <is>
          <t>Sim</t>
        </is>
      </c>
      <c r="T210" s="137">
        <f>IFERROR(IF(H209=0,"—",IF(H209&lt;=0.25,"✔  OK",IF(H209&lt;=0.35,"⚠  Atenção","✖  Crítico"))),"—")</f>
        <v/>
      </c>
      <c r="U210" s="136" t="n"/>
      <c r="V210" s="136" t="n"/>
    </row>
    <row r="211" ht="15" customHeight="1">
      <c r="A211" s="149" t="inlineStr">
        <is>
          <t>Delivery</t>
        </is>
      </c>
      <c r="B211" s="127" t="inlineStr">
        <is>
          <t>Delivery</t>
        </is>
      </c>
      <c r="C211" s="146" t="inlineStr">
        <is>
          <t>Marmita de Bovino</t>
        </is>
      </c>
      <c r="D211" s="148">
        <f>VLOOKUP(E211,_Protheus_Cadastro!A:I,2,FALSE)</f>
        <v/>
      </c>
      <c r="E211" s="128" t="inlineStr">
        <is>
          <t>002078</t>
        </is>
      </c>
      <c r="F211" s="205">
        <f>IFERROR(INDEX(Vendidos!$H:$H,MATCH(E211,Vendidos!$B:$B,0)),"—")</f>
        <v/>
      </c>
      <c r="G211" s="129">
        <f>SUMIF('Fichas Flat'!$E$2:$E$880,E211,'Fichas Flat'!$K$2:$K$880)</f>
        <v/>
      </c>
      <c r="H211" s="130">
        <f>IFERROR(G211/F211,0)</f>
        <v/>
      </c>
      <c r="I211" s="129">
        <f>IFERROR(F211-G211,0)</f>
        <v/>
      </c>
      <c r="J211" s="130">
        <f>IFERROR(I211/F211,0)</f>
        <v/>
      </c>
      <c r="K211" s="129">
        <f>IFERROR(G211/0.3,0)</f>
        <v/>
      </c>
      <c r="L211" s="153" t="n">
        <v>31.9</v>
      </c>
      <c r="M211" s="131" t="n">
        <v>18.8283799</v>
      </c>
      <c r="N211" s="132" t="n">
        <v>0.5902313448275863</v>
      </c>
      <c r="O211" s="131" t="n">
        <v>13.0716201</v>
      </c>
      <c r="P211" s="132" t="n">
        <v>0.4097686551724137</v>
      </c>
      <c r="Q211" s="133" t="n">
        <v>46148</v>
      </c>
      <c r="R211" s="206">
        <f>IFERROR(IF(M210="","—",H211-N210),"—")</f>
        <v/>
      </c>
      <c r="S211" s="207" t="inlineStr">
        <is>
          <t>Não</t>
        </is>
      </c>
      <c r="T211" s="128">
        <f>IFERROR(IF(H210=0,"—",IF(H210&lt;=0.25,"✔  OK",IF(H210&lt;=0.35,"⚠  Atenção","✖  Crítico"))),"—")</f>
        <v/>
      </c>
      <c r="U211" s="127" t="n"/>
      <c r="V211" s="127" t="n"/>
    </row>
    <row r="212" ht="15" customHeight="1">
      <c r="A212" s="150" t="inlineStr">
        <is>
          <t>Sobremesas</t>
        </is>
      </c>
      <c r="B212" s="136" t="inlineStr">
        <is>
          <t>Sobremesas</t>
        </is>
      </c>
      <c r="C212" s="145" t="inlineStr">
        <is>
          <t>Mini Churros com Doce de Leite</t>
        </is>
      </c>
      <c r="D212" s="147">
        <f>VLOOKUP(E212,_Protheus_Cadastro!A:I,2,FALSE)</f>
        <v/>
      </c>
      <c r="E212" s="137" t="inlineStr">
        <is>
          <t>001056</t>
        </is>
      </c>
      <c r="F212" s="202">
        <f>IFERROR(INDEX(Vendidos!$H:$H,MATCH(E212,Vendidos!$B:$B,0)),"—")</f>
        <v/>
      </c>
      <c r="G212" s="138">
        <f>SUMIF('Fichas Flat'!$E$2:$E$880,E212,'Fichas Flat'!$K$2:$K$880)</f>
        <v/>
      </c>
      <c r="H212" s="139">
        <f>IFERROR(G212/F212,0)</f>
        <v/>
      </c>
      <c r="I212" s="138">
        <f>IFERROR(F212-G212,0)</f>
        <v/>
      </c>
      <c r="J212" s="139">
        <f>IFERROR(I212/F212,0)</f>
        <v/>
      </c>
      <c r="K212" s="138">
        <f>IFERROR(G212/0.3,0)</f>
        <v/>
      </c>
      <c r="L212" s="154" t="n">
        <v>15.99</v>
      </c>
      <c r="M212" s="140" t="n">
        <v>9.447996</v>
      </c>
      <c r="N212" s="141" t="n">
        <v>0.59086904315197</v>
      </c>
      <c r="O212" s="140" t="n">
        <v>6.542004</v>
      </c>
      <c r="P212" s="141" t="n">
        <v>0.40913095684803</v>
      </c>
      <c r="Q212" s="142" t="n">
        <v>46148</v>
      </c>
      <c r="R212" s="203">
        <f>IFERROR(IF(M211="","—",H212-N211),"—")</f>
        <v/>
      </c>
      <c r="S212" s="204" t="inlineStr">
        <is>
          <t>Sim</t>
        </is>
      </c>
      <c r="T212" s="137">
        <f>IFERROR(IF(H211=0,"—",IF(H211&lt;=0.25,"✔  OK",IF(H211&lt;=0.35,"⚠  Atenção","✖  Crítico"))),"—")</f>
        <v/>
      </c>
      <c r="U212" s="136" t="n"/>
      <c r="V212" s="136" t="n"/>
    </row>
    <row r="213" ht="15" customHeight="1">
      <c r="A213" s="150" t="inlineStr">
        <is>
          <t>Drinks</t>
        </is>
      </c>
      <c r="B213" s="136" t="inlineStr">
        <is>
          <t>Drinks</t>
        </is>
      </c>
      <c r="C213" s="145" t="inlineStr">
        <is>
          <t>Purple Gin</t>
        </is>
      </c>
      <c r="D213" s="147">
        <f>VLOOKUP(E213,_Protheus_Cadastro!A:I,2,FALSE)</f>
        <v/>
      </c>
      <c r="E213" s="137" t="inlineStr">
        <is>
          <t>002034</t>
        </is>
      </c>
      <c r="F213" s="202">
        <f>IFERROR(INDEX(Vendidos!$H:$H,MATCH(E213,Vendidos!$B:$B,0)),"—")</f>
        <v/>
      </c>
      <c r="G213" s="138">
        <f>SUMIF('Fichas Flat'!$E$2:$E$880,E213,'Fichas Flat'!$K$2:$K$880)</f>
        <v/>
      </c>
      <c r="H213" s="139">
        <f>IFERROR(G213/F213,0)</f>
        <v/>
      </c>
      <c r="I213" s="138">
        <f>IFERROR(F213-G213,0)</f>
        <v/>
      </c>
      <c r="J213" s="139">
        <f>IFERROR(I213/F213,0)</f>
        <v/>
      </c>
      <c r="K213" s="138">
        <f>IFERROR(G213/0.3,0)</f>
        <v/>
      </c>
      <c r="L213" s="154" t="n">
        <v>39</v>
      </c>
      <c r="M213" s="140" t="n">
        <v>16.535313</v>
      </c>
      <c r="N213" s="141" t="n">
        <v>0.4239823846153846</v>
      </c>
      <c r="O213" s="140" t="n">
        <v>22.464687</v>
      </c>
      <c r="P213" s="141" t="n">
        <v>0.5760176153846154</v>
      </c>
      <c r="Q213" s="142" t="n">
        <v>46148</v>
      </c>
      <c r="R213" s="203">
        <f>IFERROR(IF(M212="","—",H213-N212),"—")</f>
        <v/>
      </c>
      <c r="S213" s="204" t="inlineStr">
        <is>
          <t>Não</t>
        </is>
      </c>
      <c r="T213" s="137">
        <f>IFERROR(IF(H212=0,"—",IF(H212&lt;=0.25,"✔  OK",IF(H212&lt;=0.35,"⚠  Atenção","✖  Crítico"))),"—")</f>
        <v/>
      </c>
      <c r="U213" s="136" t="n"/>
      <c r="V213" s="136" t="n"/>
    </row>
    <row r="214" ht="15" customHeight="1">
      <c r="A214" s="150" t="inlineStr">
        <is>
          <t>Drinks</t>
        </is>
      </c>
      <c r="B214" s="136" t="inlineStr">
        <is>
          <t>Drinks</t>
        </is>
      </c>
      <c r="C214" s="145" t="inlineStr">
        <is>
          <t>Gin Tônica Quintal</t>
        </is>
      </c>
      <c r="D214" s="147">
        <f>VLOOKUP(E214,_Protheus_Cadastro!A:I,2,FALSE)</f>
        <v/>
      </c>
      <c r="E214" s="137" t="inlineStr">
        <is>
          <t>001183</t>
        </is>
      </c>
      <c r="F214" s="202">
        <f>IFERROR(INDEX(Vendidos!$H:$H,MATCH(E214,Vendidos!$B:$B,0)),"—")</f>
        <v/>
      </c>
      <c r="G214" s="138">
        <f>SUMIF('Fichas Flat'!$E$2:$E$880,E214,'Fichas Flat'!$K$2:$K$880)</f>
        <v/>
      </c>
      <c r="H214" s="139">
        <f>IFERROR(G214/F214,0)</f>
        <v/>
      </c>
      <c r="I214" s="138">
        <f>IFERROR(F214-G214,0)</f>
        <v/>
      </c>
      <c r="J214" s="139">
        <f>IFERROR(I214/F214,0)</f>
        <v/>
      </c>
      <c r="K214" s="138">
        <f>IFERROR(G214/0.3,0)</f>
        <v/>
      </c>
      <c r="L214" s="154" t="n">
        <v>37.99</v>
      </c>
      <c r="M214" s="140" t="n">
        <v>14.28205</v>
      </c>
      <c r="N214" s="141" t="n">
        <v>0.3759423532508555</v>
      </c>
      <c r="O214" s="140" t="n">
        <v>23.70795</v>
      </c>
      <c r="P214" s="141" t="n">
        <v>0.6240576467491445</v>
      </c>
      <c r="Q214" s="142" t="n">
        <v>46148</v>
      </c>
      <c r="R214" s="203">
        <f>IFERROR(IF(M213="","—",H214-N213),"—")</f>
        <v/>
      </c>
      <c r="S214" s="204" t="inlineStr">
        <is>
          <t>Não</t>
        </is>
      </c>
      <c r="T214" s="137">
        <f>IFERROR(IF(H213=0,"—",IF(H213&lt;=0.25,"✔  OK",IF(H213&lt;=0.35,"⚠  Atenção","✖  Crítico"))),"—")</f>
        <v/>
      </c>
      <c r="U214" s="136" t="n"/>
      <c r="V214" s="136" t="n"/>
    </row>
    <row r="215" ht="15" customHeight="1">
      <c r="A215" s="149" t="inlineStr">
        <is>
          <t>Bebidas Frias</t>
        </is>
      </c>
      <c r="B215" s="127" t="inlineStr">
        <is>
          <t>Cerveja</t>
        </is>
      </c>
      <c r="C215" s="146" t="inlineStr">
        <is>
          <t>Spaten Long Neck</t>
        </is>
      </c>
      <c r="D215" s="148">
        <f>VLOOKUP(E215,_Protheus_Cadastro!A:I,2,FALSE)</f>
        <v/>
      </c>
      <c r="E215" s="128" t="inlineStr">
        <is>
          <t>001332</t>
        </is>
      </c>
      <c r="F215" s="205">
        <f>IFERROR(INDEX(Vendidos!$H:$H,MATCH(E215,Vendidos!$B:$B,0)),"—")</f>
        <v/>
      </c>
      <c r="G215" s="129">
        <f>SUMIF('Fichas Flat'!$E$2:$E$880,E215,'Fichas Flat'!$K$2:$K$880)</f>
        <v/>
      </c>
      <c r="H215" s="130">
        <f>IFERROR(G215/F215,0)</f>
        <v/>
      </c>
      <c r="I215" s="129">
        <f>IFERROR(F215-G215,0)</f>
        <v/>
      </c>
      <c r="J215" s="130">
        <f>IFERROR(I215/F215,0)</f>
        <v/>
      </c>
      <c r="K215" s="129">
        <f>IFERROR(G215/0.3,0)</f>
        <v/>
      </c>
      <c r="L215" s="153" t="n">
        <v>14.99</v>
      </c>
      <c r="M215" s="131" t="n">
        <v>9.9622995</v>
      </c>
      <c r="N215" s="132" t="n">
        <v>0.6645963642428285</v>
      </c>
      <c r="O215" s="131" t="n">
        <v>5.0277005</v>
      </c>
      <c r="P215" s="132" t="n">
        <v>0.3354036357571714</v>
      </c>
      <c r="Q215" s="133" t="n">
        <v>46148</v>
      </c>
      <c r="R215" s="206">
        <f>IFERROR(IF(M214="","—",H215-N214),"—")</f>
        <v/>
      </c>
      <c r="S215" s="207" t="inlineStr">
        <is>
          <t>Não</t>
        </is>
      </c>
      <c r="T215" s="128">
        <f>IFERROR(IF(H214=0,"—",IF(H214&lt;=0.25,"✔  OK",IF(H214&lt;=0.35,"⚠  Atenção","✖  Crítico"))),"—")</f>
        <v/>
      </c>
      <c r="U215" s="127" t="n"/>
      <c r="V215" s="127" t="n"/>
    </row>
    <row r="216" ht="15" customHeight="1">
      <c r="A216" s="150" t="inlineStr">
        <is>
          <t>Drinks</t>
        </is>
      </c>
      <c r="B216" s="136" t="inlineStr">
        <is>
          <t>Drinks</t>
        </is>
      </c>
      <c r="C216" s="145" t="inlineStr">
        <is>
          <t>Coquetel de Frutas</t>
        </is>
      </c>
      <c r="D216" s="147">
        <f>VLOOKUP(E216,_Protheus_Cadastro!A:I,2,FALSE)</f>
        <v/>
      </c>
      <c r="E216" s="137" t="inlineStr">
        <is>
          <t>000057</t>
        </is>
      </c>
      <c r="F216" s="202">
        <f>IFERROR(INDEX(Vendidos!$H:$H,MATCH(E216,Vendidos!$B:$B,0)),"—")</f>
        <v/>
      </c>
      <c r="G216" s="138">
        <f>SUMIF('Fichas Flat'!$E$2:$E$880,E216,'Fichas Flat'!$K$2:$K$880)</f>
        <v/>
      </c>
      <c r="H216" s="139">
        <f>IFERROR(G216/F216,0)</f>
        <v/>
      </c>
      <c r="I216" s="138">
        <f>IFERROR(F216-G216,0)</f>
        <v/>
      </c>
      <c r="J216" s="139">
        <f>IFERROR(I216/F216,0)</f>
        <v/>
      </c>
      <c r="K216" s="138">
        <f>IFERROR(G216/0.3,0)</f>
        <v/>
      </c>
      <c r="L216" s="154" t="n">
        <v>34.99</v>
      </c>
      <c r="M216" s="140" t="n">
        <v>17.676695</v>
      </c>
      <c r="N216" s="141" t="n">
        <v>0.505192769362675</v>
      </c>
      <c r="O216" s="140" t="n">
        <v>17.313305</v>
      </c>
      <c r="P216" s="141" t="n">
        <v>0.494807230637325</v>
      </c>
      <c r="Q216" s="142" t="n">
        <v>46148</v>
      </c>
      <c r="R216" s="203">
        <f>IFERROR(IF(M215="","—",H216-N215),"—")</f>
        <v/>
      </c>
      <c r="S216" s="204" t="inlineStr">
        <is>
          <t>Sim</t>
        </is>
      </c>
      <c r="T216" s="137">
        <f>IFERROR(IF(H215=0,"—",IF(H215&lt;=0.25,"✔  OK",IF(H215&lt;=0.35,"⚠  Atenção","✖  Crítico"))),"—")</f>
        <v/>
      </c>
      <c r="U216" s="136" t="n"/>
      <c r="V216" s="136" t="n"/>
    </row>
    <row r="217" ht="15" customHeight="1">
      <c r="A217" s="150" t="inlineStr">
        <is>
          <t>Espetos</t>
        </is>
      </c>
      <c r="B217" s="136" t="inlineStr">
        <is>
          <t>In Natura</t>
        </is>
      </c>
      <c r="C217" s="145" t="inlineStr">
        <is>
          <t>Calabresa com Pimenta</t>
        </is>
      </c>
      <c r="D217" s="147">
        <f>VLOOKUP(E217,_Protheus_Cadastro!A:I,2,FALSE)</f>
        <v/>
      </c>
      <c r="E217" s="137" t="inlineStr">
        <is>
          <t>000002</t>
        </is>
      </c>
      <c r="F217" s="202">
        <f>IFERROR(INDEX(Vendidos!$H:$H,MATCH(E217,Vendidos!$B:$B,0)),"—")</f>
        <v/>
      </c>
      <c r="G217" s="138">
        <f>SUMIF('Fichas Flat'!$E$2:$E$880,E217,'Fichas Flat'!$K$2:$K$880)</f>
        <v/>
      </c>
      <c r="H217" s="139">
        <f>IFERROR(G217/F217,0)</f>
        <v/>
      </c>
      <c r="I217" s="138">
        <f>IFERROR(F217-G217,0)</f>
        <v/>
      </c>
      <c r="J217" s="139">
        <f>IFERROR(I217/F217,0)</f>
        <v/>
      </c>
      <c r="K217" s="138">
        <f>IFERROR(G217/0.3,0)</f>
        <v/>
      </c>
      <c r="L217" s="154" t="n">
        <v>34.9</v>
      </c>
      <c r="M217" s="140" t="n">
        <v>26.95</v>
      </c>
      <c r="N217" s="141" t="n">
        <v>0.7722063037249284</v>
      </c>
      <c r="O217" s="140" t="n">
        <v>7.949999999999999</v>
      </c>
      <c r="P217" s="141" t="n">
        <v>0.2277936962750716</v>
      </c>
      <c r="Q217" s="142" t="n">
        <v>46148</v>
      </c>
      <c r="R217" s="203">
        <f>IFERROR(IF(M216="","—",H217-N216),"—")</f>
        <v/>
      </c>
      <c r="S217" s="204" t="inlineStr">
        <is>
          <t>Sim</t>
        </is>
      </c>
      <c r="T217" s="137">
        <f>IFERROR(IF(H216=0,"—",IF(H216&lt;=0.25,"✔  OK",IF(H216&lt;=0.35,"⚠  Atenção","✖  Crítico"))),"—")</f>
        <v/>
      </c>
      <c r="U217" s="136" t="n"/>
      <c r="V217" s="136" t="n"/>
    </row>
    <row r="218" ht="15" customHeight="1">
      <c r="A218" s="150" t="inlineStr">
        <is>
          <t>Delivery</t>
        </is>
      </c>
      <c r="B218" s="136" t="inlineStr">
        <is>
          <t>Delivery</t>
        </is>
      </c>
      <c r="C218" s="145" t="inlineStr">
        <is>
          <t>Monte seu prato 1</t>
        </is>
      </c>
      <c r="D218" s="147">
        <f>VLOOKUP(E218,_Protheus_Cadastro!A:I,2,FALSE)</f>
        <v/>
      </c>
      <c r="E218" s="137" t="inlineStr">
        <is>
          <t>002079</t>
        </is>
      </c>
      <c r="F218" s="202">
        <f>IFERROR(INDEX(Vendidos!$H:$H,MATCH(E218,Vendidos!$B:$B,0)),"—")</f>
        <v/>
      </c>
      <c r="G218" s="138">
        <f>SUMIF('Fichas Flat'!$E$2:$E$880,E218,'Fichas Flat'!$K$2:$K$880)</f>
        <v/>
      </c>
      <c r="H218" s="139">
        <f>IFERROR(G218/F218,0)</f>
        <v/>
      </c>
      <c r="I218" s="138">
        <f>IFERROR(F218-G218,0)</f>
        <v/>
      </c>
      <c r="J218" s="139">
        <f>IFERROR(I218/F218,0)</f>
        <v/>
      </c>
      <c r="K218" s="138">
        <f>IFERROR(G218/0.3,0)</f>
        <v/>
      </c>
      <c r="L218" s="154" t="n">
        <v>31.9</v>
      </c>
      <c r="M218" s="140" t="n">
        <v>21.8057688</v>
      </c>
      <c r="N218" s="141" t="n">
        <v>0.683566420062696</v>
      </c>
      <c r="O218" s="140" t="n">
        <v>10.0942312</v>
      </c>
      <c r="P218" s="141" t="n">
        <v>0.3164335799373041</v>
      </c>
      <c r="Q218" s="142" t="n">
        <v>46148</v>
      </c>
      <c r="R218" s="203">
        <f>IFERROR(IF(M217="","—",H218-N217),"—")</f>
        <v/>
      </c>
      <c r="S218" s="204" t="inlineStr">
        <is>
          <t>Não</t>
        </is>
      </c>
      <c r="T218" s="137">
        <f>IFERROR(IF(H217=0,"—",IF(H217&lt;=0.25,"✔  OK",IF(H217&lt;=0.35,"⚠  Atenção","✖  Crítico"))),"—")</f>
        <v/>
      </c>
      <c r="U218" s="136" t="n"/>
      <c r="V218" s="136" t="n"/>
    </row>
    <row r="219" ht="15" customHeight="1">
      <c r="A219" s="149" t="inlineStr">
        <is>
          <t>Guarnições</t>
        </is>
      </c>
      <c r="B219" s="127" t="inlineStr">
        <is>
          <t>Guarnições</t>
        </is>
      </c>
      <c r="C219" s="146" t="inlineStr">
        <is>
          <t>Porção de arroz branco</t>
        </is>
      </c>
      <c r="D219" s="148">
        <f>VLOOKUP(E219,_Protheus_Cadastro!A:I,2,FALSE)</f>
        <v/>
      </c>
      <c r="E219" s="128" t="inlineStr">
        <is>
          <t>000900</t>
        </is>
      </c>
      <c r="F219" s="205">
        <f>IFERROR(INDEX(Vendidos!$H:$H,MATCH(E219,Vendidos!$B:$B,0)),"—")</f>
        <v/>
      </c>
      <c r="G219" s="129">
        <f>SUMIF('Fichas Flat'!$E$2:$E$880,E219,'Fichas Flat'!$K$2:$K$880)</f>
        <v/>
      </c>
      <c r="H219" s="130">
        <f>IFERROR(G219/F219,0)</f>
        <v/>
      </c>
      <c r="I219" s="129">
        <f>IFERROR(F219-G219,0)</f>
        <v/>
      </c>
      <c r="J219" s="130">
        <f>IFERROR(I219/F219,0)</f>
        <v/>
      </c>
      <c r="K219" s="129">
        <f>IFERROR(G219/0.3,0)</f>
        <v/>
      </c>
      <c r="L219" s="153" t="n">
        <v>9.99</v>
      </c>
      <c r="M219" s="131" t="n">
        <v>7.0328</v>
      </c>
      <c r="N219" s="132" t="n">
        <v>0.703983983983984</v>
      </c>
      <c r="O219" s="131" t="n">
        <v>2.9572</v>
      </c>
      <c r="P219" s="132" t="n">
        <v>0.296016016016016</v>
      </c>
      <c r="Q219" s="133" t="n">
        <v>46148</v>
      </c>
      <c r="R219" s="206">
        <f>IFERROR(IF(M218="","—",H219-N218),"—")</f>
        <v/>
      </c>
      <c r="S219" s="207" t="inlineStr">
        <is>
          <t>Sim</t>
        </is>
      </c>
      <c r="T219" s="128">
        <f>IFERROR(IF(H218=0,"—",IF(H218&lt;=0.25,"✔  OK",IF(H218&lt;=0.35,"⚠  Atenção","✖  Crítico"))),"—")</f>
        <v/>
      </c>
      <c r="U219" s="127" t="n"/>
      <c r="V219" s="127" t="n"/>
    </row>
    <row r="220" ht="15" customHeight="1">
      <c r="A220" s="150" t="inlineStr">
        <is>
          <t>Drinks</t>
        </is>
      </c>
      <c r="B220" s="136" t="inlineStr">
        <is>
          <t>Drinks</t>
        </is>
      </c>
      <c r="C220" s="145" t="inlineStr">
        <is>
          <t>Clericot</t>
        </is>
      </c>
      <c r="D220" s="147">
        <f>VLOOKUP(E220,_Protheus_Cadastro!A:I,2,FALSE)</f>
        <v/>
      </c>
      <c r="E220" s="137" t="inlineStr">
        <is>
          <t>000053</t>
        </is>
      </c>
      <c r="F220" s="202">
        <f>IFERROR(INDEX(Vendidos!$H:$H,MATCH(E220,Vendidos!$B:$B,0)),"—")</f>
        <v/>
      </c>
      <c r="G220" s="138">
        <f>SUMIF('Fichas Flat'!$E$2:$E$880,E220,'Fichas Flat'!$K$2:$K$880)</f>
        <v/>
      </c>
      <c r="H220" s="139">
        <f>IFERROR(G220/F220,0)</f>
        <v/>
      </c>
      <c r="I220" s="138">
        <f>IFERROR(F220-G220,0)</f>
        <v/>
      </c>
      <c r="J220" s="139">
        <f>IFERROR(I220/F220,0)</f>
        <v/>
      </c>
      <c r="K220" s="138">
        <f>IFERROR(G220/0.3,0)</f>
        <v/>
      </c>
      <c r="L220" s="154" t="n">
        <v>89.98999999999999</v>
      </c>
      <c r="M220" s="140" t="n">
        <v>67.899975</v>
      </c>
      <c r="N220" s="141" t="n">
        <v>0.7545280031114568</v>
      </c>
      <c r="O220" s="140" t="n">
        <v>22.090025</v>
      </c>
      <c r="P220" s="141" t="n">
        <v>0.2454719968885432</v>
      </c>
      <c r="Q220" s="142" t="n">
        <v>46148</v>
      </c>
      <c r="R220" s="203">
        <f>IFERROR(IF(M219="","—",H220-N219),"—")</f>
        <v/>
      </c>
      <c r="S220" s="204" t="inlineStr">
        <is>
          <t>Sim</t>
        </is>
      </c>
      <c r="T220" s="137">
        <f>IFERROR(IF(H219=0,"—",IF(H219&lt;=0.25,"✔  OK",IF(H219&lt;=0.35,"⚠  Atenção","✖  Crítico"))),"—")</f>
        <v/>
      </c>
      <c r="U220" s="136" t="n"/>
      <c r="V220" s="136" t="n"/>
    </row>
    <row r="221" ht="15" customHeight="1">
      <c r="A221" s="150" t="inlineStr">
        <is>
          <t>Bebidas Frias</t>
        </is>
      </c>
      <c r="B221" s="136" t="inlineStr">
        <is>
          <t>Cachaça</t>
        </is>
      </c>
      <c r="C221" s="145" t="inlineStr">
        <is>
          <t>São Francisco</t>
        </is>
      </c>
      <c r="D221" s="147">
        <f>VLOOKUP(E221,_Protheus_Cadastro!A:I,2,FALSE)</f>
        <v/>
      </c>
      <c r="E221" s="137" t="inlineStr">
        <is>
          <t>000051</t>
        </is>
      </c>
      <c r="F221" s="202">
        <f>IFERROR(INDEX(Vendidos!$H:$H,MATCH(E221,Vendidos!$B:$B,0)),"—")</f>
        <v/>
      </c>
      <c r="G221" s="138">
        <f>SUMIF('Fichas Flat'!$E$2:$E$880,E221,'Fichas Flat'!$K$2:$K$880)</f>
        <v/>
      </c>
      <c r="H221" s="139">
        <f>IFERROR(G221/F221,0)</f>
        <v/>
      </c>
      <c r="I221" s="138">
        <f>IFERROR(F221-G221,0)</f>
        <v/>
      </c>
      <c r="J221" s="139">
        <f>IFERROR(I221/F221,0)</f>
        <v/>
      </c>
      <c r="K221" s="138">
        <f>IFERROR(G221/0.3,0)</f>
        <v/>
      </c>
      <c r="L221" s="154" t="n">
        <v>139.99</v>
      </c>
      <c r="M221" s="140" t="n">
        <v>117</v>
      </c>
      <c r="N221" s="141" t="n">
        <v>0.8357739838559897</v>
      </c>
      <c r="O221" s="140" t="n">
        <v>22.99000000000001</v>
      </c>
      <c r="P221" s="141" t="n">
        <v>0.1642260161440103</v>
      </c>
      <c r="Q221" s="142" t="n">
        <v>46148</v>
      </c>
      <c r="R221" s="203">
        <f>IFERROR(IF(M220="","—",H221-N220),"—")</f>
        <v/>
      </c>
      <c r="S221" s="204" t="inlineStr">
        <is>
          <t>Sim</t>
        </is>
      </c>
      <c r="T221" s="137">
        <f>IFERROR(IF(H220=0,"—",IF(H220&lt;=0.25,"✔  OK",IF(H220&lt;=0.35,"⚠  Atenção","✖  Crítico"))),"—")</f>
        <v/>
      </c>
      <c r="U221" s="136" t="n"/>
      <c r="V221" s="136" t="n"/>
    </row>
    <row r="222" ht="15" customHeight="1">
      <c r="A222" s="150" t="inlineStr">
        <is>
          <t>Espetos</t>
        </is>
      </c>
      <c r="B222" s="136" t="inlineStr">
        <is>
          <t>Boteco no Espeto</t>
        </is>
      </c>
      <c r="C222" s="145" t="inlineStr">
        <is>
          <t>Medalhão de Mandioca</t>
        </is>
      </c>
      <c r="D222" s="147">
        <f>VLOOKUP(E222,_Protheus_Cadastro!A:I,2,FALSE)</f>
        <v/>
      </c>
      <c r="E222" s="137" t="inlineStr">
        <is>
          <t>010007</t>
        </is>
      </c>
      <c r="F222" s="202">
        <f>IFERROR(INDEX(Vendidos!$H:$H,MATCH(E222,Vendidos!$B:$B,0)),"—")</f>
        <v/>
      </c>
      <c r="G222" s="138">
        <f>SUMIF('Fichas Flat'!$E$2:$E$880,E222,'Fichas Flat'!$K$2:$K$880)</f>
        <v/>
      </c>
      <c r="H222" s="139">
        <f>IFERROR(G222/F222,0)</f>
        <v/>
      </c>
      <c r="I222" s="138">
        <f>IFERROR(F222-G222,0)</f>
        <v/>
      </c>
      <c r="J222" s="139">
        <f>IFERROR(I222/F222,0)</f>
        <v/>
      </c>
      <c r="K222" s="138">
        <f>IFERROR(G222/0.3,0)</f>
        <v/>
      </c>
      <c r="L222" s="154" t="n">
        <v>13.99</v>
      </c>
      <c r="M222" s="140" t="n">
        <v>11.7293539</v>
      </c>
      <c r="N222" s="141" t="n">
        <v>0.8384098570407433</v>
      </c>
      <c r="O222" s="140" t="n">
        <v>2.260646100000001</v>
      </c>
      <c r="P222" s="141" t="n">
        <v>0.1615901429592567</v>
      </c>
      <c r="Q222" s="142" t="n">
        <v>46148</v>
      </c>
      <c r="R222" s="203">
        <f>IFERROR(IF(M221="","—",H222-N221),"—")</f>
        <v/>
      </c>
      <c r="S222" s="204" t="inlineStr">
        <is>
          <t>Sim</t>
        </is>
      </c>
      <c r="T222" s="137">
        <f>IFERROR(IF(H221=0,"—",IF(H221&lt;=0.25,"✔  OK",IF(H221&lt;=0.35,"⚠  Atenção","✖  Crítico"))),"—")</f>
        <v/>
      </c>
      <c r="U222" s="136" t="n"/>
      <c r="V222" s="136" t="n"/>
    </row>
    <row r="223" ht="15" customHeight="1">
      <c r="A223" s="149" t="inlineStr">
        <is>
          <t>Delivery</t>
        </is>
      </c>
      <c r="B223" s="127" t="inlineStr">
        <is>
          <t>Delivery</t>
        </is>
      </c>
      <c r="C223" s="146" t="inlineStr">
        <is>
          <t>Combo Indidual para 1</t>
        </is>
      </c>
      <c r="D223" s="148">
        <f>VLOOKUP(E223,_Protheus_Cadastro!A:I,2,FALSE)</f>
        <v/>
      </c>
      <c r="E223" s="128" t="inlineStr">
        <is>
          <t>002025</t>
        </is>
      </c>
      <c r="F223" s="205">
        <f>IFERROR(INDEX(Vendidos!$H:$H,MATCH(E223,Vendidos!$B:$B,0)),"—")</f>
        <v/>
      </c>
      <c r="G223" s="129">
        <f>SUMIF('Fichas Flat'!$E$2:$E$880,E223,'Fichas Flat'!$K$2:$K$880)</f>
        <v/>
      </c>
      <c r="H223" s="130">
        <f>IFERROR(G223/F223,0)</f>
        <v/>
      </c>
      <c r="I223" s="129">
        <f>IFERROR(F223-G223,0)</f>
        <v/>
      </c>
      <c r="J223" s="130">
        <f>IFERROR(I223/F223,0)</f>
        <v/>
      </c>
      <c r="K223" s="129">
        <f>IFERROR(G223/0.3,0)</f>
        <v/>
      </c>
      <c r="L223" s="153" t="n">
        <v>66.98999999999999</v>
      </c>
      <c r="M223" s="131" t="n">
        <v>63.8143779</v>
      </c>
      <c r="N223" s="132" t="n">
        <v>0.9525955799373041</v>
      </c>
      <c r="O223" s="131" t="n">
        <v>3.175622099999998</v>
      </c>
      <c r="P223" s="132" t="n">
        <v>0.0474044200626959</v>
      </c>
      <c r="Q223" s="133" t="n">
        <v>46148</v>
      </c>
      <c r="R223" s="206">
        <f>IFERROR(IF(M222="","—",H223-N222),"—")</f>
        <v/>
      </c>
      <c r="S223" s="207" t="inlineStr">
        <is>
          <t>Não</t>
        </is>
      </c>
      <c r="T223" s="128">
        <f>IFERROR(IF(H222=0,"—",IF(H222&lt;=0.25,"✔  OK",IF(H222&lt;=0.35,"⚠  Atenção","✖  Crítico"))),"—")</f>
        <v/>
      </c>
      <c r="U223" s="127" t="n"/>
      <c r="V223" s="127" t="n"/>
    </row>
    <row r="224" ht="15" customHeight="1">
      <c r="A224" s="149" t="inlineStr">
        <is>
          <t>Espetos</t>
        </is>
      </c>
      <c r="B224" s="127" t="inlineStr">
        <is>
          <t>Tradicional</t>
        </is>
      </c>
      <c r="C224" s="146" t="inlineStr">
        <is>
          <t>Carne Bovina</t>
        </is>
      </c>
      <c r="D224" s="148">
        <f>VLOOKUP(E224,_Protheus_Cadastro!A:I,2,FALSE)</f>
        <v/>
      </c>
      <c r="E224" s="157" t="inlineStr">
        <is>
          <t>000286</t>
        </is>
      </c>
      <c r="F224" s="205">
        <f>IFERROR(INDEX(Vendidos!$H:$H,MATCH(E224,Vendidos!$B:$B,0)),"—")</f>
        <v/>
      </c>
      <c r="G224" s="129">
        <f>SUMIF('Fichas Flat'!$E$2:$E$880,E224,'Fichas Flat'!$K$2:$K$880)</f>
        <v/>
      </c>
      <c r="H224" s="130">
        <f>IFERROR(G224/F224,0)</f>
        <v/>
      </c>
      <c r="I224" s="129">
        <f>IFERROR(F224-G224,0)</f>
        <v/>
      </c>
      <c r="J224" s="130">
        <f>IFERROR(I224/F224,0)</f>
        <v/>
      </c>
      <c r="K224" s="129">
        <f>IFERROR(G224/0.3,0)</f>
        <v/>
      </c>
      <c r="L224" s="153" t="n">
        <v>13.99</v>
      </c>
      <c r="M224" s="131" t="n">
        <v>10.308997</v>
      </c>
      <c r="N224" s="132" t="n">
        <v>0.7368832737669764</v>
      </c>
      <c r="O224" s="131" t="n">
        <v>3.681003</v>
      </c>
      <c r="P224" s="132" t="n">
        <v>0.2631167262330236</v>
      </c>
      <c r="Q224" s="133" t="n">
        <v>46148</v>
      </c>
      <c r="R224" s="206">
        <f>IFERROR(IF(M223="","—",H224-N223),"—")</f>
        <v/>
      </c>
      <c r="S224" s="207" t="inlineStr">
        <is>
          <t>Sim</t>
        </is>
      </c>
      <c r="T224" s="128">
        <f>IFERROR(IF(H223=0,"—",IF(H223&lt;=0.25,"✔  OK",IF(H223&lt;=0.35,"⚠  Atenção","✖  Crítico"))),"—")</f>
        <v/>
      </c>
      <c r="U224" s="127" t="n"/>
      <c r="V224" s="127" t="n"/>
    </row>
    <row r="225" ht="15" customHeight="1">
      <c r="A225" s="150" t="inlineStr">
        <is>
          <t>Espetos</t>
        </is>
      </c>
      <c r="B225" s="136" t="inlineStr">
        <is>
          <t>In Natura</t>
        </is>
      </c>
      <c r="C225" s="145" t="inlineStr">
        <is>
          <t>Pão com Mussarela</t>
        </is>
      </c>
      <c r="D225" s="147">
        <f>VLOOKUP(E225,_Protheus_Cadastro!A:I,2,FALSE)</f>
        <v/>
      </c>
      <c r="E225" s="137" t="inlineStr">
        <is>
          <t>000014</t>
        </is>
      </c>
      <c r="F225" s="202">
        <f>IFERROR(INDEX(Vendidos!$H:$H,MATCH(E225,Vendidos!$B:$B,0)),"—")</f>
        <v/>
      </c>
      <c r="G225" s="138">
        <f>SUMIF('Fichas Flat'!$E$2:$E$880,E225,'Fichas Flat'!$K$2:$K$880)</f>
        <v/>
      </c>
      <c r="H225" s="139">
        <f>IFERROR(G225/F225,0)</f>
        <v/>
      </c>
      <c r="I225" s="138">
        <f>IFERROR(F225-G225,0)</f>
        <v/>
      </c>
      <c r="J225" s="139">
        <f>IFERROR(I225/F225,0)</f>
        <v/>
      </c>
      <c r="K225" s="138">
        <f>IFERROR(G225/0.3,0)</f>
        <v/>
      </c>
      <c r="L225" s="154" t="n">
        <v>24.9</v>
      </c>
      <c r="M225" s="140" t="n">
        <v>30.422</v>
      </c>
      <c r="N225" s="141" t="n">
        <v>1.221767068273093</v>
      </c>
      <c r="O225" s="140" t="n">
        <v>-5.522000000000002</v>
      </c>
      <c r="P225" s="141" t="n">
        <v>-0.2217670682730925</v>
      </c>
      <c r="Q225" s="142" t="n">
        <v>46148</v>
      </c>
      <c r="R225" s="203">
        <f>IFERROR(IF(M224="","—",H225-N224),"—")</f>
        <v/>
      </c>
      <c r="S225" s="204" t="inlineStr">
        <is>
          <t>Sim</t>
        </is>
      </c>
      <c r="T225" s="137">
        <f>IFERROR(IF(H224=0,"—",IF(H224&lt;=0.25,"✔  OK",IF(H224&lt;=0.35,"⚠  Atenção","✖  Crítico"))),"—")</f>
        <v/>
      </c>
      <c r="U225" s="136" t="n"/>
      <c r="V225" s="136" t="n"/>
    </row>
    <row r="226" ht="15" customHeight="1">
      <c r="A226" s="149" t="inlineStr">
        <is>
          <t>Drinks</t>
        </is>
      </c>
      <c r="B226" s="127" t="inlineStr">
        <is>
          <t>Drinks</t>
        </is>
      </c>
      <c r="C226" s="146" t="inlineStr">
        <is>
          <t>Porção de Frutas</t>
        </is>
      </c>
      <c r="D226" s="148">
        <f>VLOOKUP(E226,_Protheus_Cadastro!A:I,2,FALSE)</f>
        <v/>
      </c>
      <c r="E226" s="128" t="inlineStr">
        <is>
          <t>001203</t>
        </is>
      </c>
      <c r="F226" s="205">
        <f>IFERROR(INDEX(Vendidos!$H:$H,MATCH(E226,Vendidos!$B:$B,0)),"—")</f>
        <v/>
      </c>
      <c r="G226" s="129">
        <f>SUMIF('Fichas Flat'!$E$2:$E$880,E226,'Fichas Flat'!$K$2:$K$880)</f>
        <v/>
      </c>
      <c r="H226" s="130">
        <f>IFERROR(G226/F226,0)</f>
        <v/>
      </c>
      <c r="I226" s="129">
        <f>IFERROR(F226-G226,0)</f>
        <v/>
      </c>
      <c r="J226" s="130">
        <f>IFERROR(I226/F226,0)</f>
        <v/>
      </c>
      <c r="K226" s="129">
        <f>IFERROR(G226/0.3,0)</f>
        <v/>
      </c>
      <c r="L226" s="153" t="n">
        <v>10</v>
      </c>
      <c r="M226" s="131" t="n">
        <v>10.00766</v>
      </c>
      <c r="N226" s="132" t="n">
        <v>1.000766</v>
      </c>
      <c r="O226" s="131" t="n">
        <v>-0.007659999999999556</v>
      </c>
      <c r="P226" s="132" t="n">
        <v>-0.0007659999999999556</v>
      </c>
      <c r="Q226" s="133" t="n">
        <v>46148</v>
      </c>
      <c r="R226" s="206">
        <f>IFERROR(IF(M225="","—",H226-N225),"—")</f>
        <v/>
      </c>
      <c r="S226" s="207" t="inlineStr">
        <is>
          <t>Sim</t>
        </is>
      </c>
      <c r="T226" s="128">
        <f>IFERROR(IF(H225=0,"—",IF(H225&lt;=0.25,"✔  OK",IF(H225&lt;=0.35,"⚠  Atenção","✖  Crítico"))),"—")</f>
        <v/>
      </c>
      <c r="U226" s="127" t="n"/>
      <c r="V226" s="127" t="n"/>
    </row>
    <row r="227" ht="15" customHeight="1">
      <c r="A227" s="150" t="inlineStr">
        <is>
          <t>Guarnições</t>
        </is>
      </c>
      <c r="B227" s="136" t="inlineStr">
        <is>
          <t>Porção</t>
        </is>
      </c>
      <c r="C227" s="145" t="inlineStr">
        <is>
          <t>Polenta Frita</t>
        </is>
      </c>
      <c r="D227" s="147">
        <f>VLOOKUP(E227,_Protheus_Cadastro!A:I,2,FALSE)</f>
        <v/>
      </c>
      <c r="E227" s="137" t="inlineStr">
        <is>
          <t>001475</t>
        </is>
      </c>
      <c r="F227" s="202">
        <f>IFERROR(INDEX(Vendidos!$H:$H,MATCH(E227,Vendidos!$B:$B,0)),"—")</f>
        <v/>
      </c>
      <c r="G227" s="138">
        <f>SUMIF('Fichas Flat'!$E$2:$E$880,E227,'Fichas Flat'!$K$2:$K$880)</f>
        <v/>
      </c>
      <c r="H227" s="139">
        <f>IFERROR(G227/F227,0)</f>
        <v/>
      </c>
      <c r="I227" s="138">
        <f>IFERROR(F227-G227,0)</f>
        <v/>
      </c>
      <c r="J227" s="139">
        <f>IFERROR(I227/F227,0)</f>
        <v/>
      </c>
      <c r="K227" s="138">
        <f>IFERROR(G227/0.3,0)</f>
        <v/>
      </c>
      <c r="L227" s="154" t="n">
        <v>14.99</v>
      </c>
      <c r="M227" s="140" t="n">
        <v>13.636326</v>
      </c>
      <c r="N227" s="141" t="n">
        <v>0.9096948632421614</v>
      </c>
      <c r="O227" s="140" t="n">
        <v>1.353674</v>
      </c>
      <c r="P227" s="141" t="n">
        <v>0.09030513675783855</v>
      </c>
      <c r="Q227" s="142" t="n">
        <v>46148</v>
      </c>
      <c r="R227" s="203">
        <f>IFERROR(IF(M226="","—",H227-N226),"—")</f>
        <v/>
      </c>
      <c r="S227" s="204" t="inlineStr">
        <is>
          <t>Sim</t>
        </is>
      </c>
      <c r="T227" s="137">
        <f>IFERROR(IF(H226=0,"—",IF(H226&lt;=0.25,"✔  OK",IF(H226&lt;=0.35,"⚠  Atenção","✖  Crítico"))),"—")</f>
        <v/>
      </c>
      <c r="U227" s="136" t="n"/>
      <c r="V227" s="136" t="n"/>
    </row>
    <row r="228" ht="15" customHeight="1">
      <c r="A228" s="149" t="inlineStr">
        <is>
          <t>Bebidas Frias</t>
        </is>
      </c>
      <c r="B228" s="127" t="inlineStr">
        <is>
          <t>Cerveja</t>
        </is>
      </c>
      <c r="C228" s="146" t="inlineStr">
        <is>
          <t>Cerveja do Quintal Pilsen Garrafa</t>
        </is>
      </c>
      <c r="D228" s="148">
        <f>VLOOKUP(E228,_Protheus_Cadastro!A:I,2,FALSE)</f>
        <v/>
      </c>
      <c r="E228" s="128" t="inlineStr">
        <is>
          <t>001413</t>
        </is>
      </c>
      <c r="F228" s="205">
        <f>IFERROR(INDEX(Vendidos!$H:$H,MATCH(E228,Vendidos!$B:$B,0)),"—")</f>
        <v/>
      </c>
      <c r="G228" s="129">
        <f>SUMIF('Fichas Flat'!$E$2:$E$880,E228,'Fichas Flat'!$K$2:$K$880)</f>
        <v/>
      </c>
      <c r="H228" s="130">
        <f>IFERROR(G228/F228,0)</f>
        <v/>
      </c>
      <c r="I228" s="129">
        <f>IFERROR(F228-G228,0)</f>
        <v/>
      </c>
      <c r="J228" s="130">
        <f>IFERROR(I228/F228,0)</f>
        <v/>
      </c>
      <c r="K228" s="129">
        <f>IFERROR(G228/0.3,0)</f>
        <v/>
      </c>
      <c r="L228" s="153" t="n">
        <v>23.99</v>
      </c>
      <c r="M228" s="131" t="n">
        <v>32.31857</v>
      </c>
      <c r="N228" s="132" t="n">
        <v>1.347168403501459</v>
      </c>
      <c r="O228" s="131" t="n">
        <v>-8.328570000000003</v>
      </c>
      <c r="P228" s="132" t="n">
        <v>-0.3471684035014591</v>
      </c>
      <c r="Q228" s="133" t="n">
        <v>46148</v>
      </c>
      <c r="R228" s="206">
        <f>IFERROR(IF(M227="","—",H228-N227),"—")</f>
        <v/>
      </c>
      <c r="S228" s="207" t="inlineStr">
        <is>
          <t>Sim</t>
        </is>
      </c>
      <c r="T228" s="128">
        <f>IFERROR(IF(H227=0,"—",IF(H227&lt;=0.25,"✔  OK",IF(H227&lt;=0.35,"⚠  Atenção","✖  Crítico"))),"—")</f>
        <v/>
      </c>
      <c r="U228" s="127" t="n"/>
      <c r="V228" s="127" t="n"/>
    </row>
    <row r="229" ht="15" customHeight="1">
      <c r="A229" s="150" t="inlineStr">
        <is>
          <t>Bebidas Frias</t>
        </is>
      </c>
      <c r="B229" s="136" t="inlineStr">
        <is>
          <t>Cerveja</t>
        </is>
      </c>
      <c r="C229" s="145" t="inlineStr">
        <is>
          <t>Beck's Garrafa</t>
        </is>
      </c>
      <c r="D229" s="147">
        <f>VLOOKUP(E229,_Protheus_Cadastro!A:I,2,FALSE)</f>
        <v/>
      </c>
      <c r="E229" s="137" t="inlineStr">
        <is>
          <t>001017</t>
        </is>
      </c>
      <c r="F229" s="202">
        <f>IFERROR(INDEX(Vendidos!$H:$H,MATCH(E229,Vendidos!$B:$B,0)),"—")</f>
        <v/>
      </c>
      <c r="G229" s="138">
        <f>SUMIF('Fichas Flat'!$E$2:$E$880,E229,'Fichas Flat'!$K$2:$K$880)</f>
        <v/>
      </c>
      <c r="H229" s="139">
        <f>IFERROR(G229/F229,0)</f>
        <v/>
      </c>
      <c r="I229" s="138">
        <f>IFERROR(F229-G229,0)</f>
        <v/>
      </c>
      <c r="J229" s="139">
        <f>IFERROR(I229/F229,0)</f>
        <v/>
      </c>
      <c r="K229" s="138">
        <f>IFERROR(G229/0.3,0)</f>
        <v/>
      </c>
      <c r="L229" s="154" t="n">
        <v>21.99</v>
      </c>
      <c r="M229" s="140" t="n">
        <v>25.7173</v>
      </c>
      <c r="N229" s="141" t="n">
        <v>1.16949977262392</v>
      </c>
      <c r="O229" s="140" t="n">
        <v>-3.727300000000003</v>
      </c>
      <c r="P229" s="141" t="n">
        <v>-0.1694997726239201</v>
      </c>
      <c r="Q229" s="142" t="n">
        <v>46148</v>
      </c>
      <c r="R229" s="203">
        <f>IFERROR(IF(M228="","—",H229-N228),"—")</f>
        <v/>
      </c>
      <c r="S229" s="204" t="inlineStr">
        <is>
          <t>Não</t>
        </is>
      </c>
      <c r="T229" s="137">
        <f>IFERROR(IF(H228=0,"—",IF(H228&lt;=0.25,"✔  OK",IF(H228&lt;=0.35,"⚠  Atenção","✖  Crítico"))),"—")</f>
        <v/>
      </c>
      <c r="U229" s="136" t="n"/>
      <c r="V229" s="136" t="n"/>
    </row>
    <row r="230" ht="15" customHeight="1">
      <c r="A230" s="149" t="inlineStr">
        <is>
          <t>Espetos</t>
        </is>
      </c>
      <c r="B230" s="127" t="inlineStr">
        <is>
          <t>Veggie</t>
        </is>
      </c>
      <c r="C230" s="146" t="inlineStr">
        <is>
          <t>Berinjela Grelhada</t>
        </is>
      </c>
      <c r="D230" s="148">
        <f>VLOOKUP(E230,_Protheus_Cadastro!A:I,2,FALSE)</f>
        <v/>
      </c>
      <c r="E230" s="128" t="inlineStr">
        <is>
          <t>001505</t>
        </is>
      </c>
      <c r="F230" s="205">
        <f>IFERROR(INDEX(Vendidos!$H:$H,MATCH(E230,Vendidos!$B:$B,0)),"—")</f>
        <v/>
      </c>
      <c r="G230" s="129">
        <f>SUMIF('Fichas Flat'!$E$2:$E$880,E230,'Fichas Flat'!$K$2:$K$880)</f>
        <v/>
      </c>
      <c r="H230" s="130">
        <f>IFERROR(G230/F230,0)</f>
        <v/>
      </c>
      <c r="I230" s="129">
        <f>IFERROR(F230-G230,0)</f>
        <v/>
      </c>
      <c r="J230" s="130">
        <f>IFERROR(I230/F230,0)</f>
        <v/>
      </c>
      <c r="K230" s="129">
        <f>IFERROR(G230/0.3,0)</f>
        <v/>
      </c>
      <c r="L230" s="153" t="n">
        <v>10.99</v>
      </c>
      <c r="M230" s="131" t="n">
        <v>12.112511</v>
      </c>
      <c r="N230" s="132" t="n">
        <v>1.102139308462238</v>
      </c>
      <c r="O230" s="131" t="n">
        <v>-1.122510999999999</v>
      </c>
      <c r="P230" s="132" t="n">
        <v>-0.1021393084622383</v>
      </c>
      <c r="Q230" s="133" t="n">
        <v>46148</v>
      </c>
      <c r="R230" s="206">
        <f>IFERROR(IF(M229="","—",H230-N229),"—")</f>
        <v/>
      </c>
      <c r="S230" s="207" t="inlineStr">
        <is>
          <t>Não</t>
        </is>
      </c>
      <c r="T230" s="128">
        <f>IFERROR(IF(H229=0,"—",IF(H229&lt;=0.25,"✔  OK",IF(H229&lt;=0.35,"⚠  Atenção","✖  Crítico"))),"—")</f>
        <v/>
      </c>
      <c r="U230" s="127" t="n"/>
      <c r="V230" s="127" t="n"/>
    </row>
    <row r="231" ht="15" customHeight="1">
      <c r="A231" s="149" t="inlineStr">
        <is>
          <t>Guarnições</t>
        </is>
      </c>
      <c r="B231" s="127" t="inlineStr">
        <is>
          <t>Guarnições</t>
        </is>
      </c>
      <c r="C231" s="146" t="inlineStr">
        <is>
          <t>Purê de Abóbora</t>
        </is>
      </c>
      <c r="D231" s="148">
        <f>VLOOKUP(E231,_Protheus_Cadastro!A:I,2,FALSE)</f>
        <v/>
      </c>
      <c r="E231" s="128" t="inlineStr">
        <is>
          <t>002246</t>
        </is>
      </c>
      <c r="F231" s="205">
        <f>IFERROR(INDEX(Vendidos!$H:$H,MATCH(E231,Vendidos!$B:$B,0)),"—")</f>
        <v/>
      </c>
      <c r="G231" s="129">
        <f>SUMIF('Fichas Flat'!$E$2:$E$880,E231,'Fichas Flat'!$K$2:$K$880)</f>
        <v/>
      </c>
      <c r="H231" s="130">
        <f>IFERROR(G231/F231,0)</f>
        <v/>
      </c>
      <c r="I231" s="129">
        <f>IFERROR(F231-G231,0)</f>
        <v/>
      </c>
      <c r="J231" s="130">
        <f>IFERROR(I231/F231,0)</f>
        <v/>
      </c>
      <c r="K231" s="129">
        <f>IFERROR(G231/0.3,0)</f>
        <v/>
      </c>
      <c r="L231" s="153" t="n">
        <v>9.99</v>
      </c>
      <c r="M231" s="131" t="n">
        <v>10.9705098</v>
      </c>
      <c r="N231" s="132" t="n">
        <v>1.098149129129129</v>
      </c>
      <c r="O231" s="131" t="n">
        <v>-0.9805098000000001</v>
      </c>
      <c r="P231" s="132" t="n">
        <v>-0.09814912912912914</v>
      </c>
      <c r="Q231" s="133" t="n">
        <v>46148</v>
      </c>
      <c r="R231" s="206">
        <f>IFERROR(IF(M230="","—",H231-N230),"—")</f>
        <v/>
      </c>
      <c r="S231" s="207" t="inlineStr">
        <is>
          <t>Não</t>
        </is>
      </c>
      <c r="T231" s="128">
        <f>IFERROR(IF(H230=0,"—",IF(H230&lt;=0.25,"✔  OK",IF(H230&lt;=0.35,"⚠  Atenção","✖  Crítico"))),"—")</f>
        <v/>
      </c>
      <c r="U231" s="127" t="n"/>
      <c r="V231" s="127" t="n"/>
    </row>
    <row r="232" ht="15" customHeight="1">
      <c r="A232" s="149" t="inlineStr">
        <is>
          <t>Espetos</t>
        </is>
      </c>
      <c r="B232" s="127" t="inlineStr">
        <is>
          <t>Veggie</t>
        </is>
      </c>
      <c r="C232" s="146" t="inlineStr">
        <is>
          <t>Espeto de Alho Poró com Tomate Cereja</t>
        </is>
      </c>
      <c r="D232" s="148">
        <f>VLOOKUP(E232,_Protheus_Cadastro!A:I,2,FALSE)</f>
        <v/>
      </c>
      <c r="E232" s="128" t="inlineStr">
        <is>
          <t>002122</t>
        </is>
      </c>
      <c r="F232" s="205">
        <f>IFERROR(INDEX(Vendidos!$H:$H,MATCH(E232,Vendidos!$B:$B,0)),"—")</f>
        <v/>
      </c>
      <c r="G232" s="129">
        <f>SUMIF('Fichas Flat'!$E$2:$E$880,E232,'Fichas Flat'!$K$2:$K$880)</f>
        <v/>
      </c>
      <c r="H232" s="130">
        <f>IFERROR(G232/F232,0)</f>
        <v/>
      </c>
      <c r="I232" s="129">
        <f>IFERROR(F232-G232,0)</f>
        <v/>
      </c>
      <c r="J232" s="130">
        <f>IFERROR(I232/F232,0)</f>
        <v/>
      </c>
      <c r="K232" s="129">
        <f>IFERROR(G232/0.3,0)</f>
        <v/>
      </c>
      <c r="L232" s="153" t="n">
        <v>12.99</v>
      </c>
      <c r="M232" s="131" t="n">
        <v>17.6535779</v>
      </c>
      <c r="N232" s="132" t="n">
        <v>1.359012925327175</v>
      </c>
      <c r="O232" s="131" t="n">
        <v>-4.663577899999998</v>
      </c>
      <c r="P232" s="132" t="n">
        <v>-0.3590129253271746</v>
      </c>
      <c r="Q232" s="133" t="n">
        <v>46148</v>
      </c>
      <c r="R232" s="206">
        <f>IFERROR(IF(M231="","—",H232-N231),"—")</f>
        <v/>
      </c>
      <c r="S232" s="207" t="inlineStr">
        <is>
          <t>Sim</t>
        </is>
      </c>
      <c r="T232" s="128">
        <f>IFERROR(IF(H231=0,"—",IF(H231&lt;=0.25,"✔  OK",IF(H231&lt;=0.35,"⚠  Atenção","✖  Crítico"))),"—")</f>
        <v/>
      </c>
      <c r="U232" s="127" t="n"/>
      <c r="V232" s="127" t="n"/>
    </row>
    <row r="233" ht="15" customHeight="1">
      <c r="A233" s="150" t="inlineStr">
        <is>
          <t>Drinks</t>
        </is>
      </c>
      <c r="B233" s="136" t="inlineStr">
        <is>
          <t>Drinks</t>
        </is>
      </c>
      <c r="C233" s="145" t="inlineStr">
        <is>
          <t>Gin Tônica Morango</t>
        </is>
      </c>
      <c r="D233" s="147">
        <f>VLOOKUP(E233,_Protheus_Cadastro!A:I,2,FALSE)</f>
        <v/>
      </c>
      <c r="E233" s="137" t="inlineStr">
        <is>
          <t>000948</t>
        </is>
      </c>
      <c r="F233" s="202">
        <f>IFERROR(INDEX(Vendidos!$H:$H,MATCH(E233,Vendidos!$B:$B,0)),"—")</f>
        <v/>
      </c>
      <c r="G233" s="138">
        <f>SUMIF('Fichas Flat'!$E$2:$E$880,E233,'Fichas Flat'!$K$2:$K$880)</f>
        <v/>
      </c>
      <c r="H233" s="139">
        <f>IFERROR(G233/F233,0)</f>
        <v/>
      </c>
      <c r="I233" s="138">
        <f>IFERROR(F233-G233,0)</f>
        <v/>
      </c>
      <c r="J233" s="139">
        <f>IFERROR(I233/F233,0)</f>
        <v/>
      </c>
      <c r="K233" s="138">
        <f>IFERROR(G233/0.3,0)</f>
        <v/>
      </c>
      <c r="L233" s="154" t="n">
        <v>39.99</v>
      </c>
      <c r="M233" s="140" t="n">
        <v>49.90998</v>
      </c>
      <c r="N233" s="141" t="n">
        <v>1.248061515378845</v>
      </c>
      <c r="O233" s="140" t="n">
        <v>-9.919979999999995</v>
      </c>
      <c r="P233" s="141" t="n">
        <v>-0.2480615153788446</v>
      </c>
      <c r="Q233" s="142" t="n">
        <v>46148</v>
      </c>
      <c r="R233" s="203">
        <f>IFERROR(IF(M232="","—",H233-N232),"—")</f>
        <v/>
      </c>
      <c r="S233" s="204" t="inlineStr">
        <is>
          <t>Não</t>
        </is>
      </c>
      <c r="T233" s="137">
        <f>IFERROR(IF(H232=0,"—",IF(H232&lt;=0.25,"✔  OK",IF(H232&lt;=0.35,"⚠  Atenção","✖  Crítico"))),"—")</f>
        <v/>
      </c>
      <c r="U233" s="136" t="n"/>
      <c r="V233" s="136" t="n"/>
    </row>
    <row r="234" ht="15" customHeight="1">
      <c r="A234" s="149" t="inlineStr">
        <is>
          <t>Espetos</t>
        </is>
      </c>
      <c r="B234" s="127" t="inlineStr">
        <is>
          <t>Tradicional</t>
        </is>
      </c>
      <c r="C234" s="146" t="inlineStr">
        <is>
          <t>Calabresa com Pimenta</t>
        </is>
      </c>
      <c r="D234" s="148">
        <f>VLOOKUP(E234,_Protheus_Cadastro!A:I,2,FALSE)</f>
        <v/>
      </c>
      <c r="E234" s="128" t="inlineStr">
        <is>
          <t>000021</t>
        </is>
      </c>
      <c r="F234" s="205">
        <f>IFERROR(INDEX(Vendidos!$H:$H,MATCH(E234,Vendidos!$B:$B,0)),"—")</f>
        <v/>
      </c>
      <c r="G234" s="129">
        <f>SUMIF('Fichas Flat'!$E$2:$E$880,E234,'Fichas Flat'!$K$2:$K$880)</f>
        <v/>
      </c>
      <c r="H234" s="130">
        <f>IFERROR(G234/F234,0)</f>
        <v/>
      </c>
      <c r="I234" s="129">
        <f>IFERROR(F234-G234,0)</f>
        <v/>
      </c>
      <c r="J234" s="130">
        <f>IFERROR(I234/F234,0)</f>
        <v/>
      </c>
      <c r="K234" s="129">
        <f>IFERROR(G234/0.3,0)</f>
        <v/>
      </c>
      <c r="L234" s="153" t="n">
        <v>13.99</v>
      </c>
      <c r="M234" s="131" t="n">
        <v>33.25</v>
      </c>
      <c r="N234" s="132" t="n">
        <v>2.376697641172266</v>
      </c>
      <c r="O234" s="131" t="n">
        <v>-19.26</v>
      </c>
      <c r="P234" s="132" t="n">
        <v>-1.376697641172266</v>
      </c>
      <c r="Q234" s="133" t="n">
        <v>46148</v>
      </c>
      <c r="R234" s="206">
        <f>IFERROR(IF(M233="","—",H234-N233),"—")</f>
        <v/>
      </c>
      <c r="S234" s="207" t="inlineStr">
        <is>
          <t>Sim</t>
        </is>
      </c>
      <c r="T234" s="128">
        <f>IFERROR(IF(H233=0,"—",IF(H233&lt;=0.25,"✔  OK",IF(H233&lt;=0.35,"⚠  Atenção","✖  Crítico"))),"—")</f>
        <v/>
      </c>
      <c r="U234" s="127" t="n"/>
      <c r="V234" s="127" t="n"/>
    </row>
    <row r="235" ht="15" customHeight="1">
      <c r="A235" s="150" t="inlineStr">
        <is>
          <t>Drinks</t>
        </is>
      </c>
      <c r="B235" s="136" t="inlineStr">
        <is>
          <t>Drinks</t>
        </is>
      </c>
      <c r="C235" s="145" t="inlineStr">
        <is>
          <t>Melancita Gin</t>
        </is>
      </c>
      <c r="D235" s="147">
        <f>VLOOKUP(E235,_Protheus_Cadastro!A:I,2,FALSE)</f>
        <v/>
      </c>
      <c r="E235" s="137" t="inlineStr">
        <is>
          <t>001170</t>
        </is>
      </c>
      <c r="F235" s="202">
        <f>IFERROR(INDEX(Vendidos!$H:$H,MATCH(E235,Vendidos!$B:$B,0)),"—")</f>
        <v/>
      </c>
      <c r="G235" s="138">
        <f>SUMIF('Fichas Flat'!$E$2:$E$880,E235,'Fichas Flat'!$K$2:$K$880)</f>
        <v/>
      </c>
      <c r="H235" s="139">
        <f>IFERROR(G235/F235,0)</f>
        <v/>
      </c>
      <c r="I235" s="138">
        <f>IFERROR(F235-G235,0)</f>
        <v/>
      </c>
      <c r="J235" s="139">
        <f>IFERROR(I235/F235,0)</f>
        <v/>
      </c>
      <c r="K235" s="138">
        <f>IFERROR(G235/0.3,0)</f>
        <v/>
      </c>
      <c r="L235" s="154" t="n">
        <v>39.99</v>
      </c>
      <c r="M235" s="140" t="n">
        <v>91.62</v>
      </c>
      <c r="N235" s="141" t="n">
        <v>2.291072768192048</v>
      </c>
      <c r="O235" s="140" t="n">
        <v>-51.63</v>
      </c>
      <c r="P235" s="141" t="n">
        <v>-1.291072768192048</v>
      </c>
      <c r="Q235" s="142" t="n">
        <v>46148</v>
      </c>
      <c r="R235" s="203">
        <f>IFERROR(IF(M234="","—",H235-N234),"—")</f>
        <v/>
      </c>
      <c r="S235" s="204" t="inlineStr">
        <is>
          <t>Sim</t>
        </is>
      </c>
      <c r="T235" s="137">
        <f>IFERROR(IF(H234=0,"—",IF(H234&lt;=0.25,"✔  OK",IF(H234&lt;=0.35,"⚠  Atenção","✖  Crítico"))),"—")</f>
        <v/>
      </c>
      <c r="U235" s="136" t="n"/>
      <c r="V235" s="136" t="n"/>
    </row>
    <row r="236" ht="15" customHeight="1">
      <c r="A236" s="149" t="inlineStr">
        <is>
          <t>Guarnições</t>
        </is>
      </c>
      <c r="B236" s="127" t="inlineStr">
        <is>
          <t>Guarnições</t>
        </is>
      </c>
      <c r="C236" s="146" t="inlineStr">
        <is>
          <t>Vinagrete (Executivo)</t>
        </is>
      </c>
      <c r="D236" s="148">
        <f>VLOOKUP(E236,_Protheus_Cadastro!A:I,2,FALSE)</f>
        <v/>
      </c>
      <c r="E236" s="128" t="inlineStr">
        <is>
          <t>009636</t>
        </is>
      </c>
      <c r="F236" s="205">
        <f>IFERROR(INDEX(Vendidos!$H:$H,MATCH(E236,Vendidos!$B:$B,0)),"—")</f>
        <v/>
      </c>
      <c r="G236" s="129">
        <f>SUMIF('Fichas Flat'!$E$2:$E$880,E236,'Fichas Flat'!$K$2:$K$880)</f>
        <v/>
      </c>
      <c r="H236" s="130">
        <f>IFERROR(G236/F236,0)</f>
        <v/>
      </c>
      <c r="I236" s="129">
        <f>IFERROR(F236-G236,0)</f>
        <v/>
      </c>
      <c r="J236" s="130">
        <f>IFERROR(I236/F236,0)</f>
        <v/>
      </c>
      <c r="K236" s="129">
        <f>IFERROR(G236/0.3,0)</f>
        <v/>
      </c>
      <c r="L236" s="153" t="n">
        <v>4.99</v>
      </c>
      <c r="M236" s="131" t="n">
        <v>13.8395738</v>
      </c>
      <c r="N236" s="132" t="n">
        <v>2.773461683366734</v>
      </c>
      <c r="O236" s="131" t="n">
        <v>-8.8495738</v>
      </c>
      <c r="P236" s="132" t="n">
        <v>-1.773461683366733</v>
      </c>
      <c r="Q236" s="133" t="n">
        <v>46148</v>
      </c>
      <c r="R236" s="206">
        <f>IFERROR(IF(M235="","—",H236-N235),"—")</f>
        <v/>
      </c>
      <c r="S236" s="207" t="inlineStr">
        <is>
          <t>Não</t>
        </is>
      </c>
      <c r="T236" s="128">
        <f>IFERROR(IF(H235=0,"—",IF(H235&lt;=0.25,"✔  OK",IF(H235&lt;=0.35,"⚠  Atenção","✖  Crítico"))),"—")</f>
        <v/>
      </c>
      <c r="U236" s="127" t="n"/>
      <c r="V236" s="127" t="n"/>
    </row>
    <row r="237" ht="15" customHeight="1">
      <c r="A237" s="149" t="inlineStr">
        <is>
          <t>Drinks</t>
        </is>
      </c>
      <c r="B237" s="127" t="inlineStr">
        <is>
          <t>Drinks</t>
        </is>
      </c>
      <c r="C237" s="146" t="inlineStr">
        <is>
          <t>Jack e Coke</t>
        </is>
      </c>
      <c r="D237" s="148">
        <f>VLOOKUP(E237,_Protheus_Cadastro!A:I,2,FALSE)</f>
        <v/>
      </c>
      <c r="E237" s="128" t="inlineStr">
        <is>
          <t>001201</t>
        </is>
      </c>
      <c r="F237" s="205">
        <f>IFERROR(INDEX(Vendidos!$H:$H,MATCH(E237,Vendidos!$B:$B,0)),"—")</f>
        <v/>
      </c>
      <c r="G237" s="129">
        <f>SUMIF('Fichas Flat'!$E$2:$E$880,E237,'Fichas Flat'!$K$2:$K$880)</f>
        <v/>
      </c>
      <c r="H237" s="130">
        <f>IFERROR(G237/F237,0)</f>
        <v/>
      </c>
      <c r="I237" s="129">
        <f>IFERROR(F237-G237,0)</f>
        <v/>
      </c>
      <c r="J237" s="130">
        <f>IFERROR(I237/F237,0)</f>
        <v/>
      </c>
      <c r="K237" s="129">
        <f>IFERROR(G237/0.3,0)</f>
        <v/>
      </c>
      <c r="L237" s="153" t="n">
        <v>39.99</v>
      </c>
      <c r="M237" s="131" t="n">
        <v>122.36</v>
      </c>
      <c r="N237" s="132" t="n">
        <v>3.059764941235309</v>
      </c>
      <c r="O237" s="131" t="n">
        <v>-82.37</v>
      </c>
      <c r="P237" s="132" t="n">
        <v>-2.059764941235309</v>
      </c>
      <c r="Q237" s="133" t="n">
        <v>46148</v>
      </c>
      <c r="R237" s="206">
        <f>IFERROR(IF(M236="","—",H237-N236),"—")</f>
        <v/>
      </c>
      <c r="S237" s="207" t="inlineStr">
        <is>
          <t>Sim</t>
        </is>
      </c>
      <c r="T237" s="128">
        <f>IFERROR(IF(H236=0,"—",IF(H236&lt;=0.25,"✔  OK",IF(H236&lt;=0.35,"⚠  Atenção","✖  Crítico"))),"—")</f>
        <v/>
      </c>
      <c r="U237" s="127" t="n"/>
      <c r="V237" s="127" t="n"/>
    </row>
    <row r="238" ht="15" customHeight="1">
      <c r="A238" s="150" t="inlineStr">
        <is>
          <t>Drinks</t>
        </is>
      </c>
      <c r="B238" s="136" t="inlineStr">
        <is>
          <t>Drinks</t>
        </is>
      </c>
      <c r="C238" s="145" t="inlineStr">
        <is>
          <t>Jack Apple e Tonic</t>
        </is>
      </c>
      <c r="D238" s="147">
        <f>VLOOKUP(E238,_Protheus_Cadastro!A:I,2,FALSE)</f>
        <v/>
      </c>
      <c r="E238" s="137" t="inlineStr">
        <is>
          <t>001325</t>
        </is>
      </c>
      <c r="F238" s="202">
        <f>IFERROR(INDEX(Vendidos!$H:$H,MATCH(E238,Vendidos!$B:$B,0)),"—")</f>
        <v/>
      </c>
      <c r="G238" s="138">
        <f>SUMIF('Fichas Flat'!$E$2:$E$880,E238,'Fichas Flat'!$K$2:$K$880)</f>
        <v/>
      </c>
      <c r="H238" s="139">
        <f>IFERROR(G238/F238,0)</f>
        <v/>
      </c>
      <c r="I238" s="138">
        <f>IFERROR(F238-G238,0)</f>
        <v/>
      </c>
      <c r="J238" s="139">
        <f>IFERROR(I238/F238,0)</f>
        <v/>
      </c>
      <c r="K238" s="138">
        <f>IFERROR(G238/0.3,0)</f>
        <v/>
      </c>
      <c r="L238" s="154" t="n">
        <v>45.99</v>
      </c>
      <c r="M238" s="140" t="n">
        <v>140.84</v>
      </c>
      <c r="N238" s="141" t="n">
        <v>3.062404870624049</v>
      </c>
      <c r="O238" s="140" t="n">
        <v>-94.84999999999999</v>
      </c>
      <c r="P238" s="141" t="n">
        <v>-2.062404870624048</v>
      </c>
      <c r="Q238" s="142" t="n">
        <v>46148</v>
      </c>
      <c r="R238" s="203">
        <f>IFERROR(IF(M237="","—",H238-N237),"—")</f>
        <v/>
      </c>
      <c r="S238" s="204" t="inlineStr">
        <is>
          <t>Sim</t>
        </is>
      </c>
      <c r="T238" s="137">
        <f>IFERROR(IF(H237=0,"—",IF(H237&lt;=0.25,"✔  OK",IF(H237&lt;=0.35,"⚠  Atenção","✖  Crítico"))),"—")</f>
        <v/>
      </c>
      <c r="U238" s="136" t="n"/>
      <c r="V238" s="136" t="n"/>
    </row>
    <row r="239" ht="15" customHeight="1">
      <c r="A239" s="149" t="inlineStr">
        <is>
          <t>Bebidas Frias</t>
        </is>
      </c>
      <c r="B239" s="127" t="inlineStr">
        <is>
          <t>Cerveja</t>
        </is>
      </c>
      <c r="C239" s="146" t="inlineStr">
        <is>
          <t>Spaten Garrafa</t>
        </is>
      </c>
      <c r="D239" s="148">
        <f>VLOOKUP(E239,_Protheus_Cadastro!A:I,2,FALSE)</f>
        <v/>
      </c>
      <c r="E239" s="128" t="inlineStr">
        <is>
          <t>001228</t>
        </is>
      </c>
      <c r="F239" s="205">
        <f>IFERROR(INDEX(Vendidos!$H:$H,MATCH(E239,Vendidos!$B:$B,0)),"—")</f>
        <v/>
      </c>
      <c r="G239" s="129">
        <f>SUMIF('Fichas Flat'!$E$2:$E$880,E239,'Fichas Flat'!$K$2:$K$880)</f>
        <v/>
      </c>
      <c r="H239" s="130">
        <f>IFERROR(G239/F239,0)</f>
        <v/>
      </c>
      <c r="I239" s="129">
        <f>IFERROR(F239-G239,0)</f>
        <v/>
      </c>
      <c r="J239" s="130">
        <f>IFERROR(I239/F239,0)</f>
        <v/>
      </c>
      <c r="K239" s="129">
        <f>IFERROR(G239/0.3,0)</f>
        <v/>
      </c>
      <c r="L239" s="153" t="n">
        <v>19.99</v>
      </c>
      <c r="M239" s="131" t="n">
        <v>139.90389</v>
      </c>
      <c r="N239" s="132" t="n">
        <v>6.998693846923461</v>
      </c>
      <c r="O239" s="131" t="n">
        <v>-119.91389</v>
      </c>
      <c r="P239" s="132" t="n">
        <v>-5.998693846923462</v>
      </c>
      <c r="Q239" s="133" t="n">
        <v>46148</v>
      </c>
      <c r="R239" s="206">
        <f>IFERROR(IF(M238="","—",H239-N238),"—")</f>
        <v/>
      </c>
      <c r="S239" s="207" t="inlineStr">
        <is>
          <t>Não</t>
        </is>
      </c>
      <c r="T239" s="128">
        <f>IFERROR(IF(H238=0,"—",IF(H238&lt;=0.25,"✔  OK",IF(H238&lt;=0.35,"⚠  Atenção","✖  Crítico"))),"—")</f>
        <v/>
      </c>
      <c r="U239" s="127" t="n"/>
      <c r="V239" s="127" t="n"/>
    </row>
    <row r="240" ht="15" customHeight="1">
      <c r="A240" s="150" t="inlineStr">
        <is>
          <t>Bebidas Frias</t>
        </is>
      </c>
      <c r="B240" s="136" t="inlineStr">
        <is>
          <t>Cerveja</t>
        </is>
      </c>
      <c r="C240" s="145" t="inlineStr">
        <is>
          <t>Budweiser Long Neck Zero</t>
        </is>
      </c>
      <c r="D240" s="147">
        <f>VLOOKUP(E240,_Protheus_Cadastro!A:I,2,FALSE)</f>
        <v/>
      </c>
      <c r="E240" s="137" t="inlineStr">
        <is>
          <t>001347</t>
        </is>
      </c>
      <c r="F240" s="202">
        <f>IFERROR(INDEX(Vendidos!$H:$H,MATCH(E240,Vendidos!$B:$B,0)),"—")</f>
        <v/>
      </c>
      <c r="G240" s="138">
        <f>SUMIF('Fichas Flat'!$E$2:$E$880,E240,'Fichas Flat'!$K$2:$K$880)</f>
        <v/>
      </c>
      <c r="H240" s="139">
        <f>IFERROR(G240/F240,0)</f>
        <v/>
      </c>
      <c r="I240" s="138">
        <f>IFERROR(F240-G240,0)</f>
        <v/>
      </c>
      <c r="J240" s="139">
        <f>IFERROR(I240/F240,0)</f>
        <v/>
      </c>
      <c r="K240" s="138">
        <f>IFERROR(G240/0.3,0)</f>
        <v/>
      </c>
      <c r="L240" s="154" t="n">
        <v>13.99</v>
      </c>
      <c r="M240" s="140" t="n">
        <v>161.46</v>
      </c>
      <c r="N240" s="141" t="n">
        <v>11.54110078627591</v>
      </c>
      <c r="O240" s="140" t="n">
        <v>-147.47</v>
      </c>
      <c r="P240" s="141" t="n">
        <v>-10.54110078627591</v>
      </c>
      <c r="Q240" s="142" t="n">
        <v>46148</v>
      </c>
      <c r="R240" s="203">
        <f>IFERROR(IF(M239="","—",H240-N239),"—")</f>
        <v/>
      </c>
      <c r="S240" s="204" t="inlineStr">
        <is>
          <t>Sim</t>
        </is>
      </c>
      <c r="T240" s="137">
        <f>IFERROR(IF(H239=0,"—",IF(H239&lt;=0.25,"✔  OK",IF(H239&lt;=0.35,"⚠  Atenção","✖  Crítico"))),"—")</f>
        <v/>
      </c>
      <c r="U240" s="136" t="n"/>
      <c r="V240" s="136" t="n"/>
    </row>
    <row r="241">
      <c r="A241" s="150" t="inlineStr">
        <is>
          <t>Guarnições</t>
        </is>
      </c>
      <c r="B241" s="136" t="inlineStr">
        <is>
          <t>Guarnições</t>
        </is>
      </c>
      <c r="C241" s="145" t="inlineStr">
        <is>
          <t>Feijão</t>
        </is>
      </c>
      <c r="D241" s="147">
        <f>VLOOKUP(E241,_Protheus_Cadastro!A:I,2,FALSE)</f>
        <v/>
      </c>
      <c r="E241" s="137" t="inlineStr">
        <is>
          <t>002209</t>
        </is>
      </c>
      <c r="F241" s="202">
        <f>IFERROR(INDEX(Vendidos!$H:$H,MATCH(E241,Vendidos!$B:$B,0)),"—")</f>
        <v/>
      </c>
      <c r="G241" s="138">
        <f>SUMIF('Fichas Flat'!$E$2:$E$880,E241,'Fichas Flat'!$K$2:$K$880)</f>
        <v/>
      </c>
      <c r="H241" s="139">
        <f>IFERROR(G241/F241,0)</f>
        <v/>
      </c>
      <c r="I241" s="138">
        <f>IFERROR(F241-G241,0)</f>
        <v/>
      </c>
      <c r="J241" s="139">
        <f>IFERROR(I241/F241,0)</f>
        <v/>
      </c>
      <c r="K241" s="138">
        <f>IFERROR(G241/0.3,0)</f>
        <v/>
      </c>
      <c r="L241" s="154" t="n">
        <v>9.9</v>
      </c>
      <c r="M241" s="140" t="n">
        <v>185.58</v>
      </c>
      <c r="N241" s="141" t="n">
        <v>18.74545454545455</v>
      </c>
      <c r="O241" s="140" t="n">
        <v>-175.68</v>
      </c>
      <c r="P241" s="141" t="n">
        <v>-17.74545454545455</v>
      </c>
      <c r="Q241" s="142" t="n">
        <v>46148</v>
      </c>
      <c r="R241" s="203">
        <f>IFERROR(IF(M240="","—",H241-N240),"—")</f>
        <v/>
      </c>
      <c r="S241" s="204" t="inlineStr">
        <is>
          <t>Sim</t>
        </is>
      </c>
      <c r="T241" s="137">
        <f>IFERROR(IF(H240=0,"—",IF(H240&lt;=0.25,"✔  OK",IF(H240&lt;=0.35,"⚠  Atenção","✖  Crítico"))),"—")</f>
        <v/>
      </c>
      <c r="U241" s="136" t="n"/>
      <c r="V241" s="136" t="n"/>
    </row>
  </sheetData>
  <autoFilter ref="A2:V240">
    <sortState ref="A3:V240">
      <sortCondition descending="1" ref="R2:R240"/>
    </sortState>
  </autoFilter>
  <mergeCells count="4">
    <mergeCell ref="R1:V1"/>
    <mergeCell ref="A1:E1"/>
    <mergeCell ref="F1:K1"/>
    <mergeCell ref="L1:Q1"/>
  </mergeCells>
  <conditionalFormatting sqref="A1:XFD1048576">
    <cfRule type="containsText" priority="1" operator="containsText" dxfId="18" text="Pendente">
      <formula>NOT(ISERROR(SEARCH("Pendente",A1)))</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D9E1F2"/>
    <outlinePr summaryBelow="1" summaryRight="1"/>
    <pageSetUpPr/>
  </sheetPr>
  <dimension ref="A1:AK793"/>
  <sheetViews>
    <sheetView showGridLines="0" zoomScale="115" zoomScaleNormal="115" workbookViewId="0">
      <pane xSplit="2" ySplit="2" topLeftCell="C581" activePane="bottomRight" state="frozen"/>
      <selection pane="topRight" activeCell="A1" sqref="A1"/>
      <selection pane="bottomLeft" activeCell="A1" sqref="A1"/>
      <selection pane="bottomRight" activeCell="C591" sqref="C591"/>
    </sheetView>
  </sheetViews>
  <sheetFormatPr baseColWidth="8" defaultColWidth="8.7109375" defaultRowHeight="15"/>
  <cols>
    <col width="10" customWidth="1" min="1" max="1"/>
    <col width="13" customWidth="1" min="2" max="2"/>
    <col width="34" customWidth="1" min="3" max="3"/>
    <col width="7" customWidth="1" min="4" max="4"/>
    <col width="6" customWidth="1" min="5" max="5"/>
    <col width="10.140625" customWidth="1" min="6" max="6"/>
    <col width="11" customWidth="1" min="7" max="7"/>
    <col width="16" bestFit="1" customWidth="1" style="208" min="8" max="8"/>
    <col width="40.28515625" customWidth="1" min="9" max="9"/>
    <col width="22" customWidth="1" min="10" max="10"/>
    <col width="28" customWidth="1" min="11" max="11"/>
    <col width="21.85546875" bestFit="1" customWidth="1" min="12" max="12"/>
    <col hidden="1" width="8" customWidth="1" min="14" max="35"/>
    <col hidden="1" width="10" customWidth="1" min="36" max="36"/>
    <col width="104.85546875" bestFit="1" customWidth="1" min="37" max="37"/>
  </cols>
  <sheetData>
    <row r="1" ht="18" customHeight="1">
      <c r="A1" s="189" t="inlineStr">
        <is>
          <t>Identificação Protheus</t>
        </is>
      </c>
      <c r="B1" s="182" t="n"/>
      <c r="C1" s="182" t="n"/>
      <c r="D1" s="182" t="n"/>
      <c r="E1" s="182" t="n"/>
      <c r="F1" s="182" t="n"/>
      <c r="G1" s="183" t="n"/>
      <c r="H1" s="188" t="inlineStr">
        <is>
          <t>Dados ZIG</t>
        </is>
      </c>
      <c r="I1" s="182" t="n"/>
      <c r="J1" s="182" t="n"/>
      <c r="K1" s="182" t="n"/>
      <c r="L1" s="182" t="n"/>
      <c r="M1" s="183" t="n"/>
      <c r="N1" s="187" t="inlineStr">
        <is>
          <t>Locais</t>
        </is>
      </c>
      <c r="O1" s="182" t="n"/>
      <c r="P1" s="182" t="n"/>
      <c r="Q1" s="182" t="n"/>
      <c r="R1" s="182" t="n"/>
      <c r="S1" s="182" t="n"/>
      <c r="T1" s="182" t="n"/>
      <c r="U1" s="182" t="n"/>
      <c r="V1" s="182" t="n"/>
      <c r="W1" s="182" t="n"/>
      <c r="X1" s="182" t="n"/>
      <c r="Y1" s="182" t="n"/>
      <c r="Z1" s="182" t="n"/>
      <c r="AA1" s="182" t="n"/>
      <c r="AB1" s="182" t="n"/>
      <c r="AC1" s="182" t="n"/>
      <c r="AD1" s="182" t="n"/>
      <c r="AE1" s="182" t="n"/>
      <c r="AF1" s="182" t="n"/>
      <c r="AG1" s="182" t="n"/>
      <c r="AH1" s="182" t="n"/>
      <c r="AI1" s="182" t="n"/>
      <c r="AJ1" s="183" t="n"/>
      <c r="AK1" s="183" t="n"/>
    </row>
    <row r="2" ht="36" customHeight="1">
      <c r="A2" s="81" t="inlineStr">
        <is>
          <t>Origem</t>
        </is>
      </c>
      <c r="B2" s="81" t="inlineStr">
        <is>
          <t>Código
Protheus</t>
        </is>
      </c>
      <c r="C2" s="81" t="inlineStr">
        <is>
          <t>Nome PA
(Protheus)</t>
        </is>
      </c>
      <c r="D2" s="81" t="inlineStr">
        <is>
          <t>Tipo</t>
        </is>
      </c>
      <c r="E2" s="81" t="inlineStr">
        <is>
          <t>Und.</t>
        </is>
      </c>
      <c r="F2" s="81" t="inlineStr">
        <is>
          <t>Estrutura Protheus</t>
        </is>
      </c>
      <c r="G2" s="81" t="inlineStr">
        <is>
          <t>Bloqueado
Protheus</t>
        </is>
      </c>
      <c r="H2" s="209" t="inlineStr">
        <is>
          <t>Preço Venda
(ZIG)</t>
        </is>
      </c>
      <c r="I2" s="188" t="inlineStr">
        <is>
          <t>SKU ZIG</t>
        </is>
      </c>
      <c r="J2" s="188" t="inlineStr">
        <is>
          <t>Nome
(ZIG)</t>
        </is>
      </c>
      <c r="K2" s="188" t="inlineStr">
        <is>
          <t>Categoria
(ZIG)</t>
        </is>
      </c>
      <c r="L2" s="188" t="inlineStr">
        <is>
          <t>Status
Validação</t>
        </is>
      </c>
      <c r="M2" s="188" t="inlineStr">
        <is>
          <t>Situação
ZIG</t>
        </is>
      </c>
      <c r="N2" s="83" t="inlineStr">
        <is>
          <t>Locais
(completo)</t>
        </is>
      </c>
      <c r="O2" s="84" t="inlineStr">
        <is>
          <t>Carinás</t>
        </is>
      </c>
      <c r="P2" s="84" t="inlineStr">
        <is>
          <t>Lapa</t>
        </is>
      </c>
      <c r="Q2" s="84" t="inlineStr">
        <is>
          <t>Tatuapé</t>
        </is>
      </c>
      <c r="R2" s="84" t="inlineStr">
        <is>
          <t>Pavão</t>
        </is>
      </c>
      <c r="S2" s="84" t="inlineStr">
        <is>
          <t>Chac.</t>
        </is>
      </c>
      <c r="T2" s="84" t="inlineStr">
        <is>
          <t>V. Madalena</t>
        </is>
      </c>
      <c r="U2" s="84" t="inlineStr">
        <is>
          <t>V. Mariana</t>
        </is>
      </c>
      <c r="V2" s="84" t="inlineStr">
        <is>
          <t>Perdizes</t>
        </is>
      </c>
      <c r="W2" s="84" t="inlineStr">
        <is>
          <t>Santana</t>
        </is>
      </c>
      <c r="X2" s="84" t="inlineStr">
        <is>
          <t>Sto. André</t>
        </is>
      </c>
      <c r="Y2" s="85" t="inlineStr">
        <is>
          <t>Del. Carinás</t>
        </is>
      </c>
      <c r="Z2" s="85" t="inlineStr">
        <is>
          <t>Del. Lapa</t>
        </is>
      </c>
      <c r="AA2" s="85" t="inlineStr">
        <is>
          <t>Del. Tatuapé</t>
        </is>
      </c>
      <c r="AB2" s="85" t="inlineStr">
        <is>
          <t>Del. Pavão</t>
        </is>
      </c>
      <c r="AC2" s="85" t="inlineStr">
        <is>
          <t>Del. Chac.</t>
        </is>
      </c>
      <c r="AD2" s="85" t="inlineStr">
        <is>
          <t>Del. V. Madalena</t>
        </is>
      </c>
      <c r="AE2" s="85" t="inlineStr">
        <is>
          <t>Del. V. Mariana</t>
        </is>
      </c>
      <c r="AF2" s="85" t="inlineStr">
        <is>
          <t>Del. Perdizes</t>
        </is>
      </c>
      <c r="AG2" s="85" t="inlineStr">
        <is>
          <t>Del. Santana</t>
        </is>
      </c>
      <c r="AH2" s="85" t="inlineStr">
        <is>
          <t>Del. Sto. André</t>
        </is>
      </c>
      <c r="AI2" s="86" t="inlineStr">
        <is>
          <t>Interlagos</t>
        </is>
      </c>
      <c r="AJ2" s="86" t="inlineStr">
        <is>
          <t>Quiosque</t>
        </is>
      </c>
      <c r="AK2" s="87" t="inlineStr">
        <is>
          <t>Observação</t>
        </is>
      </c>
    </row>
    <row r="3">
      <c r="A3" s="88" t="inlineStr">
        <is>
          <t>Protheus</t>
        </is>
      </c>
      <c r="B3" s="89" t="inlineStr">
        <is>
          <t>001408</t>
        </is>
      </c>
      <c r="C3" s="90">
        <f>IF(B3="—","—",IFERROR(VLOOKUP(B3,_Protheus_Cadastro!$A:$B,2,FALSE),"—"))</f>
        <v/>
      </c>
      <c r="D3" s="91">
        <f>IF(B3="—",IFERROR(INDEX(_ZIG_Cadastro!$D:$D,MATCH(H3,_ZIG_Cadastro!$A:$A,0)),"Produto"),IFERROR(VLOOKUP(B3,_Protheus_Cadastro!$A:$C,3,FALSE),"—"))</f>
        <v/>
      </c>
      <c r="E3" s="91">
        <f>IF(B3="—","—",IFERROR(VLOOKUP(B3,_Protheus_Cadastro!$A:$D,4,FALSE),"—"))</f>
        <v/>
      </c>
      <c r="F3" s="91">
        <f>IF(ISERROR(VLOOKUP(B3,'Estrutura Protheus'!A:A,1,FALSE)),"Não","Sim")</f>
        <v/>
      </c>
      <c r="G3" s="92">
        <f>IFERROR(INDEX(_Protheus_Cadastro!$H:$H,MATCH(B3,_Protheus_Cadastro!$A:$A,0)),"—")</f>
        <v/>
      </c>
      <c r="H3" s="210">
        <f>IFERROR(INDEX(_ZIG_Precos!$D:$D,MATCH(I3,_ZIG_Precos!$F:$F,0)),"—")</f>
        <v/>
      </c>
      <c r="I3" s="95">
        <f>IFERROR(VLOOKUP(B3,_Protheus_Cadastro!$A:$I,9,FALSE),"—")</f>
        <v/>
      </c>
      <c r="J3" s="93">
        <f>IFERROR(INDEX(_ZIG_Cadastro!$B:$B,MATCH(I3,_ZIG_Cadastro!$A:$A,0)),IFERROR(INDEX(_Entradas_ZIG!$B:$B,MATCH(I3,_Entradas_ZIG!$C:$C,0)),"—"))</f>
        <v/>
      </c>
      <c r="K3" s="93">
        <f>IFERROR(INDEX(_ZIG_Cadastro!$C:$C,MATCH(I3,_ZIG_Cadastro!$A:$A,0)),IFERROR(INDEX(_Entradas_ZIG!$D:$D,MATCH(I3,_Entradas_ZIG!$C:$C,0)),"—"))</f>
        <v/>
      </c>
      <c r="L3" s="92">
        <f>IF(I3="","Sem SKU ZIG",IF(I3="—","Sem SKU ZIG",IF(NOT(ISERROR(MATCH(I3,_ZIG_Cadastro!$A:$A,0))),IF(EXACT(UPPER(TRIM(C3)),UPPER(TRIM(INDEX(_ZIG_Cadastro!$B:$B,MATCH(I3,_ZIG_Cadastro!$A:$A,0))))),"OK","Atencao - Nome diverge"),IF(NOT(ISERROR(MATCH(I3,_Entradas_ZIG!$C:$C,0))),"OK","Erro - SKU nao encontrado"))))</f>
        <v/>
      </c>
      <c r="M3" s="92">
        <f>IFERROR(INDEX(_ZIG_Cadastro!$G:$G,MATCH(I3,_ZIG_Cadastro!$A:$A,0)),IF(NOT(ISERROR(MATCH(I3,_Entradas_ZIG!$C:$C,0))),"Ativo","—"))</f>
        <v/>
      </c>
      <c r="N3" s="94">
        <f>IFERROR(INDEX(_ZIG_Cadastro!$E:$E,MATCH(I3,_ZIG_Cadastro!$A:$A,0)),IFERROR(INDEX(_Entradas_ZIG!$F:$F,MATCH(I3,_Entradas_ZIG!$C:$C,0)),"—"))</f>
        <v/>
      </c>
      <c r="O3" s="92">
        <f>IF(AND(ISNUMBER(SEARCH("Espeto",N3)),ISNUMBER(SEARCH("Carin",N3))),"SIM","")</f>
        <v/>
      </c>
      <c r="P3" s="92">
        <f>IF(AND(ISNUMBER(SEARCH("Espeto",N3)),ISNUMBER(SEARCH("Lapa",N3))),"SIM","")</f>
        <v/>
      </c>
      <c r="Q3" s="92">
        <f>IF(AND(ISNUMBER(SEARCH("Espeto",N3)),ISNUMBER(SEARCH("Tatuapé",N3))),"SIM","")</f>
        <v/>
      </c>
      <c r="R3" s="92">
        <f>IF(AND(ISNUMBER(SEARCH("Espeto",N3)),ISNUMBER(SEARCH("Pavão",N3))),"SIM","")</f>
        <v/>
      </c>
      <c r="S3" s="92">
        <f>IF(AND(ISNUMBER(SEARCH("Espeto",N3)),ISNUMBER(SEARCH("Chac",N3))),"SIM","")</f>
        <v/>
      </c>
      <c r="T3" s="92">
        <f>IF(AND(ISNUMBER(SEARCH("Espeto",N3)),ISNUMBER(SEARCH("Madalena",N3))),"SIM","")</f>
        <v/>
      </c>
      <c r="U3" s="92">
        <f>IF(AND(ISNUMBER(SEARCH("Espeto",N3)),ISNUMBER(SEARCH("Mariana",N3))),"SIM","")</f>
        <v/>
      </c>
      <c r="V3" s="92">
        <f>IF(AND(ISNUMBER(SEARCH("Espeto",N3)),ISNUMBER(SEARCH("Perdizes",N3))),"SIM","")</f>
        <v/>
      </c>
      <c r="W3" s="92">
        <f>IF(AND(ISNUMBER(SEARCH("Espeto",N3)),ISNUMBER(SEARCH("Santana",N3))),"SIM","")</f>
        <v/>
      </c>
      <c r="X3" s="92">
        <f>IF(AND(ISNUMBER(SEARCH("Espeto",N3)),ISNUMBER(SEARCH("André",N3))),"SIM","")</f>
        <v/>
      </c>
      <c r="Y3" s="92">
        <f>IF(AND(ISNUMBER(SEARCH("Delivery",N3)),ISNUMBER(SEARCH("Carin",N3))),"SIM","")</f>
        <v/>
      </c>
      <c r="Z3" s="92">
        <f>IF(AND(ISNUMBER(SEARCH("Delivery",N3)),ISNUMBER(SEARCH("Lapa",N3))),"SIM","")</f>
        <v/>
      </c>
      <c r="AA3" s="92">
        <f>IF(AND(ISNUMBER(SEARCH("Delivery",N3)),ISNUMBER(SEARCH("Tatuapé",N3))),"SIM","")</f>
        <v/>
      </c>
      <c r="AB3" s="92">
        <f>IF(AND(ISNUMBER(SEARCH("Delivery",N3)),ISNUMBER(SEARCH("Pavão",N3))),"SIM","")</f>
        <v/>
      </c>
      <c r="AC3" s="92">
        <f>IF(AND(ISNUMBER(SEARCH("Delivery",N3)),ISNUMBER(SEARCH("Chac",N3))),"SIM","")</f>
        <v/>
      </c>
      <c r="AD3" s="92">
        <f>IF(AND(ISNUMBER(SEARCH("Delivery",N3)),ISNUMBER(SEARCH("Madalena",N3))),"SIM","")</f>
        <v/>
      </c>
      <c r="AE3" s="99">
        <f>IF(AND(ISNUMBER(SEARCH("Delivery",N3)),ISNUMBER(SEARCH("Mariana",N3))),"SIM","")</f>
        <v/>
      </c>
      <c r="AF3" s="99">
        <f>IF(AND(ISNUMBER(SEARCH("Delivery",N3)),ISNUMBER(SEARCH("Perdizes",N3))),"SIM","")</f>
        <v/>
      </c>
      <c r="AG3" s="99">
        <f>IF(AND(ISNUMBER(SEARCH("Delivery",N3)),ISNUMBER(SEARCH("Santana",N3))),"SIM","")</f>
        <v/>
      </c>
      <c r="AH3" s="99">
        <f>IF(AND(ISNUMBER(SEARCH("Delivery",N3)),ISNUMBER(SEARCH("André",N3))),"SIM","")</f>
        <v/>
      </c>
      <c r="AI3" s="99">
        <f>IF(ISNUMBER(SEARCH("Interlagos",N3)),"SIM","")</f>
        <v/>
      </c>
      <c r="AJ3" s="99">
        <f>IF(ISNUMBER(SEARCH("Quiosque",N3)),"SIM","")</f>
        <v/>
      </c>
      <c r="AK3" s="101" t="n"/>
    </row>
    <row r="4">
      <c r="A4" s="88" t="inlineStr">
        <is>
          <t>Protheus</t>
        </is>
      </c>
      <c r="B4" s="96" t="inlineStr">
        <is>
          <t>001257</t>
        </is>
      </c>
      <c r="C4" s="97">
        <f>IF(B4="—","—",IFERROR(VLOOKUP(B4,_Protheus_Cadastro!$A:$B,2,FALSE),"—"))</f>
        <v/>
      </c>
      <c r="D4" s="98">
        <f>IF(B4="—",IFERROR(INDEX(_ZIG_Cadastro!$D:$D,MATCH(H4,_ZIG_Cadastro!$A:$A,0)),"Produto"),IFERROR(VLOOKUP(B4,_Protheus_Cadastro!$A:$C,3,FALSE),"—"))</f>
        <v/>
      </c>
      <c r="E4" s="98">
        <f>IF(B4="—","—",IFERROR(VLOOKUP(B4,_Protheus_Cadastro!$A:$D,4,FALSE),"—"))</f>
        <v/>
      </c>
      <c r="F4" s="98">
        <f>IF(ISERROR(VLOOKUP(B4,'Estrutura Protheus'!A:A,1,FALSE)),"Não","Sim")</f>
        <v/>
      </c>
      <c r="G4" s="99">
        <f>IFERROR(INDEX(_Protheus_Cadastro!$H:$H,MATCH(B4,_Protheus_Cadastro!$A:$A,0)),"—")</f>
        <v/>
      </c>
      <c r="H4" s="211">
        <f>IFERROR(INDEX(_ZIG_Precos!$D:$D,MATCH(I4,_ZIG_Precos!$F:$F,0)),"—")</f>
        <v/>
      </c>
      <c r="I4" s="103">
        <f>IFERROR(VLOOKUP(B4,_Protheus_Cadastro!$A:$I,9,FALSE),"—")</f>
        <v/>
      </c>
      <c r="J4" s="101">
        <f>IFERROR(INDEX(_ZIG_Cadastro!$B:$B,MATCH(I4,_ZIG_Cadastro!$A:$A,0)),IFERROR(INDEX(_Entradas_ZIG!$B:$B,MATCH(I4,_Entradas_ZIG!$C:$C,0)),"—"))</f>
        <v/>
      </c>
      <c r="K4" s="101">
        <f>IFERROR(INDEX(_ZIG_Cadastro!$C:$C,MATCH(I4,_ZIG_Cadastro!$A:$A,0)),IFERROR(INDEX(_Entradas_ZIG!$D:$D,MATCH(I4,_Entradas_ZIG!$C:$C,0)),"—"))</f>
        <v/>
      </c>
      <c r="L4" s="99">
        <f>IF(I4="","Sem SKU ZIG",IF(I4="—","Sem SKU ZIG",IF(NOT(ISERROR(MATCH(I4,_ZIG_Cadastro!$A:$A,0))),IF(EXACT(UPPER(TRIM(C4)),UPPER(TRIM(INDEX(_ZIG_Cadastro!$B:$B,MATCH(I4,_ZIG_Cadastro!$A:$A,0))))),"OK","Atencao - Nome diverge"),IF(NOT(ISERROR(MATCH(I4,_Entradas_ZIG!$C:$C,0))),"OK","Erro - SKU nao encontrado"))))</f>
        <v/>
      </c>
      <c r="M4" s="99">
        <f>IFERROR(INDEX(_ZIG_Cadastro!$G:$G,MATCH(I4,_ZIG_Cadastro!$A:$A,0)),IF(NOT(ISERROR(MATCH(I4,_Entradas_ZIG!$C:$C,0))),"Ativo","—"))</f>
        <v/>
      </c>
      <c r="N4" s="102">
        <f>IFERROR(INDEX(_ZIG_Cadastro!$E:$E,MATCH(I4,_ZIG_Cadastro!$A:$A,0)),IFERROR(INDEX(_Entradas_ZIG!$F:$F,MATCH(I4,_Entradas_ZIG!$C:$C,0)),"—"))</f>
        <v/>
      </c>
      <c r="O4" s="99">
        <f>IF(AND(ISNUMBER(SEARCH("Espeto",N4)),ISNUMBER(SEARCH("Carin",N4))),"SIM","")</f>
        <v/>
      </c>
      <c r="P4" s="99">
        <f>IF(AND(ISNUMBER(SEARCH("Espeto",N4)),ISNUMBER(SEARCH("Lapa",N4))),"SIM","")</f>
        <v/>
      </c>
      <c r="Q4" s="99">
        <f>IF(AND(ISNUMBER(SEARCH("Espeto",N4)),ISNUMBER(SEARCH("Tatuapé",N4))),"SIM","")</f>
        <v/>
      </c>
      <c r="R4" s="99">
        <f>IF(AND(ISNUMBER(SEARCH("Espeto",N4)),ISNUMBER(SEARCH("Pavão",N4))),"SIM","")</f>
        <v/>
      </c>
      <c r="S4" s="99">
        <f>IF(AND(ISNUMBER(SEARCH("Espeto",N4)),ISNUMBER(SEARCH("Chac",N4))),"SIM","")</f>
        <v/>
      </c>
      <c r="T4" s="99">
        <f>IF(AND(ISNUMBER(SEARCH("Espeto",N4)),ISNUMBER(SEARCH("Madalena",N4))),"SIM","")</f>
        <v/>
      </c>
      <c r="U4" s="99">
        <f>IF(AND(ISNUMBER(SEARCH("Espeto",N4)),ISNUMBER(SEARCH("Mariana",N4))),"SIM","")</f>
        <v/>
      </c>
      <c r="V4" s="99">
        <f>IF(AND(ISNUMBER(SEARCH("Espeto",N4)),ISNUMBER(SEARCH("Perdizes",N4))),"SIM","")</f>
        <v/>
      </c>
      <c r="W4" s="99">
        <f>IF(AND(ISNUMBER(SEARCH("Espeto",N4)),ISNUMBER(SEARCH("Santana",N4))),"SIM","")</f>
        <v/>
      </c>
      <c r="X4" s="99">
        <f>IF(AND(ISNUMBER(SEARCH("Espeto",N4)),ISNUMBER(SEARCH("André",N4))),"SIM","")</f>
        <v/>
      </c>
      <c r="Y4" s="99">
        <f>IF(AND(ISNUMBER(SEARCH("Delivery",N4)),ISNUMBER(SEARCH("Carin",N4))),"SIM","")</f>
        <v/>
      </c>
      <c r="Z4" s="99">
        <f>IF(AND(ISNUMBER(SEARCH("Delivery",N4)),ISNUMBER(SEARCH("Lapa",N4))),"SIM","")</f>
        <v/>
      </c>
      <c r="AA4" s="99">
        <f>IF(AND(ISNUMBER(SEARCH("Delivery",N4)),ISNUMBER(SEARCH("Tatuapé",N4))),"SIM","")</f>
        <v/>
      </c>
      <c r="AB4" s="99">
        <f>IF(AND(ISNUMBER(SEARCH("Delivery",N4)),ISNUMBER(SEARCH("Pavão",N4))),"SIM","")</f>
        <v/>
      </c>
      <c r="AC4" s="99">
        <f>IF(AND(ISNUMBER(SEARCH("Delivery",N4)),ISNUMBER(SEARCH("Chac",N4))),"SIM","")</f>
        <v/>
      </c>
      <c r="AD4" s="99">
        <f>IF(AND(ISNUMBER(SEARCH("Delivery",N4)),ISNUMBER(SEARCH("Madalena",N4))),"SIM","")</f>
        <v/>
      </c>
      <c r="AE4" s="92">
        <f>IF(AND(ISNUMBER(SEARCH("Delivery",N4)),ISNUMBER(SEARCH("Mariana",N4))),"SIM","")</f>
        <v/>
      </c>
      <c r="AF4" s="92">
        <f>IF(AND(ISNUMBER(SEARCH("Delivery",N4)),ISNUMBER(SEARCH("Perdizes",N4))),"SIM","")</f>
        <v/>
      </c>
      <c r="AG4" s="92">
        <f>IF(AND(ISNUMBER(SEARCH("Delivery",N4)),ISNUMBER(SEARCH("Santana",N4))),"SIM","")</f>
        <v/>
      </c>
      <c r="AH4" s="92">
        <f>IF(AND(ISNUMBER(SEARCH("Delivery",N4)),ISNUMBER(SEARCH("André",N4))),"SIM","")</f>
        <v/>
      </c>
      <c r="AI4" s="92">
        <f>IF(ISNUMBER(SEARCH("Interlagos",N4)),"SIM","")</f>
        <v/>
      </c>
      <c r="AJ4" s="92">
        <f>IF(ISNUMBER(SEARCH("Quiosque",N4)),"SIM","")</f>
        <v/>
      </c>
      <c r="AK4" s="93" t="n"/>
    </row>
    <row r="5">
      <c r="A5" s="88" t="inlineStr">
        <is>
          <t>Protheus</t>
        </is>
      </c>
      <c r="B5" s="89" t="inlineStr">
        <is>
          <t>001266</t>
        </is>
      </c>
      <c r="C5" s="90">
        <f>IF(B5="—","—",IFERROR(VLOOKUP(B5,_Protheus_Cadastro!$A:$B,2,FALSE),"—"))</f>
        <v/>
      </c>
      <c r="D5" s="91">
        <f>IF(B5="—",IFERROR(INDEX(_ZIG_Cadastro!$D:$D,MATCH(H5,_ZIG_Cadastro!$A:$A,0)),"Produto"),IFERROR(VLOOKUP(B5,_Protheus_Cadastro!$A:$C,3,FALSE),"—"))</f>
        <v/>
      </c>
      <c r="E5" s="91">
        <f>IF(B5="—","—",IFERROR(VLOOKUP(B5,_Protheus_Cadastro!$A:$D,4,FALSE),"—"))</f>
        <v/>
      </c>
      <c r="F5" s="91">
        <f>IF(ISERROR(VLOOKUP(B5,'Estrutura Protheus'!A:A,1,FALSE)),"Não","Sim")</f>
        <v/>
      </c>
      <c r="G5" s="92">
        <f>IFERROR(INDEX(_Protheus_Cadastro!$H:$H,MATCH(B5,_Protheus_Cadastro!$A:$A,0)),"—")</f>
        <v/>
      </c>
      <c r="H5" s="210">
        <f>IFERROR(INDEX(_ZIG_Precos!$D:$D,MATCH(I5,_ZIG_Precos!$F:$F,0)),"—")</f>
        <v/>
      </c>
      <c r="I5" s="95">
        <f>IFERROR(VLOOKUP(B5,_Protheus_Cadastro!$A:$I,9,FALSE),"—")</f>
        <v/>
      </c>
      <c r="J5" s="93">
        <f>IFERROR(INDEX(_ZIG_Cadastro!$B:$B,MATCH(I5,_ZIG_Cadastro!$A:$A,0)),IFERROR(INDEX(_Entradas_ZIG!$B:$B,MATCH(I5,_Entradas_ZIG!$C:$C,0)),"—"))</f>
        <v/>
      </c>
      <c r="K5" s="93">
        <f>IFERROR(INDEX(_ZIG_Cadastro!$C:$C,MATCH(I5,_ZIG_Cadastro!$A:$A,0)),IFERROR(INDEX(_Entradas_ZIG!$D:$D,MATCH(I5,_Entradas_ZIG!$C:$C,0)),"—"))</f>
        <v/>
      </c>
      <c r="L5" s="92">
        <f>IF(I5="","Sem SKU ZIG",IF(I5="—","Sem SKU ZIG",IF(NOT(ISERROR(MATCH(I5,_ZIG_Cadastro!$A:$A,0))),IF(EXACT(UPPER(TRIM(C5)),UPPER(TRIM(INDEX(_ZIG_Cadastro!$B:$B,MATCH(I5,_ZIG_Cadastro!$A:$A,0))))),"OK","Atencao - Nome diverge"),IF(NOT(ISERROR(MATCH(I5,_Entradas_ZIG!$C:$C,0))),"OK","Erro - SKU nao encontrado"))))</f>
        <v/>
      </c>
      <c r="M5" s="92">
        <f>IFERROR(INDEX(_ZIG_Cadastro!$G:$G,MATCH(I5,_ZIG_Cadastro!$A:$A,0)),IF(NOT(ISERROR(MATCH(I5,_Entradas_ZIG!$C:$C,0))),"Ativo","—"))</f>
        <v/>
      </c>
      <c r="N5" s="94">
        <f>IFERROR(INDEX(_ZIG_Cadastro!$E:$E,MATCH(I5,_ZIG_Cadastro!$A:$A,0)),IFERROR(INDEX(_Entradas_ZIG!$F:$F,MATCH(I5,_Entradas_ZIG!$C:$C,0)),"—"))</f>
        <v/>
      </c>
      <c r="O5" s="92">
        <f>IF(AND(ISNUMBER(SEARCH("Espeto",N5)),ISNUMBER(SEARCH("Carin",N5))),"SIM","")</f>
        <v/>
      </c>
      <c r="P5" s="92">
        <f>IF(AND(ISNUMBER(SEARCH("Espeto",N5)),ISNUMBER(SEARCH("Lapa",N5))),"SIM","")</f>
        <v/>
      </c>
      <c r="Q5" s="92">
        <f>IF(AND(ISNUMBER(SEARCH("Espeto",N5)),ISNUMBER(SEARCH("Tatuapé",N5))),"SIM","")</f>
        <v/>
      </c>
      <c r="R5" s="92">
        <f>IF(AND(ISNUMBER(SEARCH("Espeto",N5)),ISNUMBER(SEARCH("Pavão",N5))),"SIM","")</f>
        <v/>
      </c>
      <c r="S5" s="92">
        <f>IF(AND(ISNUMBER(SEARCH("Espeto",N5)),ISNUMBER(SEARCH("Chac",N5))),"SIM","")</f>
        <v/>
      </c>
      <c r="T5" s="92">
        <f>IF(AND(ISNUMBER(SEARCH("Espeto",N5)),ISNUMBER(SEARCH("Madalena",N5))),"SIM","")</f>
        <v/>
      </c>
      <c r="U5" s="92">
        <f>IF(AND(ISNUMBER(SEARCH("Espeto",N5)),ISNUMBER(SEARCH("Mariana",N5))),"SIM","")</f>
        <v/>
      </c>
      <c r="V5" s="92">
        <f>IF(AND(ISNUMBER(SEARCH("Espeto",N5)),ISNUMBER(SEARCH("Perdizes",N5))),"SIM","")</f>
        <v/>
      </c>
      <c r="W5" s="92">
        <f>IF(AND(ISNUMBER(SEARCH("Espeto",N5)),ISNUMBER(SEARCH("Santana",N5))),"SIM","")</f>
        <v/>
      </c>
      <c r="X5" s="92">
        <f>IF(AND(ISNUMBER(SEARCH("Espeto",N5)),ISNUMBER(SEARCH("André",N5))),"SIM","")</f>
        <v/>
      </c>
      <c r="Y5" s="92">
        <f>IF(AND(ISNUMBER(SEARCH("Delivery",N5)),ISNUMBER(SEARCH("Carin",N5))),"SIM","")</f>
        <v/>
      </c>
      <c r="Z5" s="92">
        <f>IF(AND(ISNUMBER(SEARCH("Delivery",N5)),ISNUMBER(SEARCH("Lapa",N5))),"SIM","")</f>
        <v/>
      </c>
      <c r="AA5" s="92">
        <f>IF(AND(ISNUMBER(SEARCH("Delivery",N5)),ISNUMBER(SEARCH("Tatuapé",N5))),"SIM","")</f>
        <v/>
      </c>
      <c r="AB5" s="92">
        <f>IF(AND(ISNUMBER(SEARCH("Delivery",N5)),ISNUMBER(SEARCH("Pavão",N5))),"SIM","")</f>
        <v/>
      </c>
      <c r="AC5" s="92">
        <f>IF(AND(ISNUMBER(SEARCH("Delivery",N5)),ISNUMBER(SEARCH("Chac",N5))),"SIM","")</f>
        <v/>
      </c>
      <c r="AD5" s="92">
        <f>IF(AND(ISNUMBER(SEARCH("Delivery",N5)),ISNUMBER(SEARCH("Madalena",N5))),"SIM","")</f>
        <v/>
      </c>
      <c r="AE5" s="99">
        <f>IF(AND(ISNUMBER(SEARCH("Delivery",N5)),ISNUMBER(SEARCH("Mariana",N5))),"SIM","")</f>
        <v/>
      </c>
      <c r="AF5" s="99">
        <f>IF(AND(ISNUMBER(SEARCH("Delivery",N5)),ISNUMBER(SEARCH("Perdizes",N5))),"SIM","")</f>
        <v/>
      </c>
      <c r="AG5" s="99">
        <f>IF(AND(ISNUMBER(SEARCH("Delivery",N5)),ISNUMBER(SEARCH("Santana",N5))),"SIM","")</f>
        <v/>
      </c>
      <c r="AH5" s="99">
        <f>IF(AND(ISNUMBER(SEARCH("Delivery",N5)),ISNUMBER(SEARCH("André",N5))),"SIM","")</f>
        <v/>
      </c>
      <c r="AI5" s="99">
        <f>IF(ISNUMBER(SEARCH("Interlagos",N5)),"SIM","")</f>
        <v/>
      </c>
      <c r="AJ5" s="99">
        <f>IF(ISNUMBER(SEARCH("Quiosque",N5)),"SIM","")</f>
        <v/>
      </c>
      <c r="AK5" s="101" t="n"/>
    </row>
    <row r="6">
      <c r="A6" s="88" t="inlineStr">
        <is>
          <t>Protheus</t>
        </is>
      </c>
      <c r="B6" s="96" t="inlineStr">
        <is>
          <t>001267</t>
        </is>
      </c>
      <c r="C6" s="97">
        <f>IF(B6="—","—",IFERROR(VLOOKUP(B6,_Protheus_Cadastro!$A:$B,2,FALSE),"—"))</f>
        <v/>
      </c>
      <c r="D6" s="98">
        <f>IF(B6="—",IFERROR(INDEX(_ZIG_Cadastro!$D:$D,MATCH(H6,_ZIG_Cadastro!$A:$A,0)),"Produto"),IFERROR(VLOOKUP(B6,_Protheus_Cadastro!$A:$C,3,FALSE),"—"))</f>
        <v/>
      </c>
      <c r="E6" s="98">
        <f>IF(B6="—","—",IFERROR(VLOOKUP(B6,_Protheus_Cadastro!$A:$D,4,FALSE),"—"))</f>
        <v/>
      </c>
      <c r="F6" s="98">
        <f>IF(ISERROR(VLOOKUP(B6,'Estrutura Protheus'!A:A,1,FALSE)),"Não","Sim")</f>
        <v/>
      </c>
      <c r="G6" s="99">
        <f>IFERROR(INDEX(_Protheus_Cadastro!$H:$H,MATCH(B6,_Protheus_Cadastro!$A:$A,0)),"—")</f>
        <v/>
      </c>
      <c r="H6" s="211">
        <f>IFERROR(INDEX(_ZIG_Precos!$D:$D,MATCH(I6,_ZIG_Precos!$F:$F,0)),"—")</f>
        <v/>
      </c>
      <c r="I6" s="103">
        <f>IFERROR(VLOOKUP(B6,_Protheus_Cadastro!$A:$I,9,FALSE),"—")</f>
        <v/>
      </c>
      <c r="J6" s="101">
        <f>IFERROR(INDEX(_ZIG_Cadastro!$B:$B,MATCH(I6,_ZIG_Cadastro!$A:$A,0)),IFERROR(INDEX(_Entradas_ZIG!$B:$B,MATCH(I6,_Entradas_ZIG!$C:$C,0)),"—"))</f>
        <v/>
      </c>
      <c r="K6" s="101">
        <f>IFERROR(INDEX(_ZIG_Cadastro!$C:$C,MATCH(I6,_ZIG_Cadastro!$A:$A,0)),IFERROR(INDEX(_Entradas_ZIG!$D:$D,MATCH(I6,_Entradas_ZIG!$C:$C,0)),"—"))</f>
        <v/>
      </c>
      <c r="L6" s="99">
        <f>IF(I6="","Sem SKU ZIG",IF(I6="—","Sem SKU ZIG",IF(NOT(ISERROR(MATCH(I6,_ZIG_Cadastro!$A:$A,0))),IF(EXACT(UPPER(TRIM(C6)),UPPER(TRIM(INDEX(_ZIG_Cadastro!$B:$B,MATCH(I6,_ZIG_Cadastro!$A:$A,0))))),"OK","Atencao - Nome diverge"),IF(NOT(ISERROR(MATCH(I6,_Entradas_ZIG!$C:$C,0))),"OK","Erro - SKU nao encontrado"))))</f>
        <v/>
      </c>
      <c r="M6" s="99">
        <f>IFERROR(INDEX(_ZIG_Cadastro!$G:$G,MATCH(I6,_ZIG_Cadastro!$A:$A,0)),IF(NOT(ISERROR(MATCH(I6,_Entradas_ZIG!$C:$C,0))),"Ativo","—"))</f>
        <v/>
      </c>
      <c r="N6" s="102">
        <f>IFERROR(INDEX(_ZIG_Cadastro!$E:$E,MATCH(I6,_ZIG_Cadastro!$A:$A,0)),IFERROR(INDEX(_Entradas_ZIG!$F:$F,MATCH(I6,_Entradas_ZIG!$C:$C,0)),"—"))</f>
        <v/>
      </c>
      <c r="O6" s="99">
        <f>IF(AND(ISNUMBER(SEARCH("Espeto",N6)),ISNUMBER(SEARCH("Carin",N6))),"SIM","")</f>
        <v/>
      </c>
      <c r="P6" s="99">
        <f>IF(AND(ISNUMBER(SEARCH("Espeto",N6)),ISNUMBER(SEARCH("Lapa",N6))),"SIM","")</f>
        <v/>
      </c>
      <c r="Q6" s="99">
        <f>IF(AND(ISNUMBER(SEARCH("Espeto",N6)),ISNUMBER(SEARCH("Tatuapé",N6))),"SIM","")</f>
        <v/>
      </c>
      <c r="R6" s="99">
        <f>IF(AND(ISNUMBER(SEARCH("Espeto",N6)),ISNUMBER(SEARCH("Pavão",N6))),"SIM","")</f>
        <v/>
      </c>
      <c r="S6" s="99">
        <f>IF(AND(ISNUMBER(SEARCH("Espeto",N6)),ISNUMBER(SEARCH("Chac",N6))),"SIM","")</f>
        <v/>
      </c>
      <c r="T6" s="99">
        <f>IF(AND(ISNUMBER(SEARCH("Espeto",N6)),ISNUMBER(SEARCH("Madalena",N6))),"SIM","")</f>
        <v/>
      </c>
      <c r="U6" s="99">
        <f>IF(AND(ISNUMBER(SEARCH("Espeto",N6)),ISNUMBER(SEARCH("Mariana",N6))),"SIM","")</f>
        <v/>
      </c>
      <c r="V6" s="99">
        <f>IF(AND(ISNUMBER(SEARCH("Espeto",N6)),ISNUMBER(SEARCH("Perdizes",N6))),"SIM","")</f>
        <v/>
      </c>
      <c r="W6" s="99">
        <f>IF(AND(ISNUMBER(SEARCH("Espeto",N6)),ISNUMBER(SEARCH("Santana",N6))),"SIM","")</f>
        <v/>
      </c>
      <c r="X6" s="99">
        <f>IF(AND(ISNUMBER(SEARCH("Espeto",N6)),ISNUMBER(SEARCH("André",N6))),"SIM","")</f>
        <v/>
      </c>
      <c r="Y6" s="99">
        <f>IF(AND(ISNUMBER(SEARCH("Delivery",N6)),ISNUMBER(SEARCH("Carin",N6))),"SIM","")</f>
        <v/>
      </c>
      <c r="Z6" s="99">
        <f>IF(AND(ISNUMBER(SEARCH("Delivery",N6)),ISNUMBER(SEARCH("Lapa",N6))),"SIM","")</f>
        <v/>
      </c>
      <c r="AA6" s="99">
        <f>IF(AND(ISNUMBER(SEARCH("Delivery",N6)),ISNUMBER(SEARCH("Tatuapé",N6))),"SIM","")</f>
        <v/>
      </c>
      <c r="AB6" s="99">
        <f>IF(AND(ISNUMBER(SEARCH("Delivery",N6)),ISNUMBER(SEARCH("Pavão",N6))),"SIM","")</f>
        <v/>
      </c>
      <c r="AC6" s="99">
        <f>IF(AND(ISNUMBER(SEARCH("Delivery",N6)),ISNUMBER(SEARCH("Chac",N6))),"SIM","")</f>
        <v/>
      </c>
      <c r="AD6" s="99">
        <f>IF(AND(ISNUMBER(SEARCH("Delivery",N6)),ISNUMBER(SEARCH("Madalena",N6))),"SIM","")</f>
        <v/>
      </c>
      <c r="AE6" s="92">
        <f>IF(AND(ISNUMBER(SEARCH("Delivery",N6)),ISNUMBER(SEARCH("Mariana",N6))),"SIM","")</f>
        <v/>
      </c>
      <c r="AF6" s="92">
        <f>IF(AND(ISNUMBER(SEARCH("Delivery",N6)),ISNUMBER(SEARCH("Perdizes",N6))),"SIM","")</f>
        <v/>
      </c>
      <c r="AG6" s="92">
        <f>IF(AND(ISNUMBER(SEARCH("Delivery",N6)),ISNUMBER(SEARCH("Santana",N6))),"SIM","")</f>
        <v/>
      </c>
      <c r="AH6" s="92">
        <f>IF(AND(ISNUMBER(SEARCH("Delivery",N6)),ISNUMBER(SEARCH("André",N6))),"SIM","")</f>
        <v/>
      </c>
      <c r="AI6" s="92">
        <f>IF(ISNUMBER(SEARCH("Interlagos",N6)),"SIM","")</f>
        <v/>
      </c>
      <c r="AJ6" s="92">
        <f>IF(ISNUMBER(SEARCH("Quiosque",N6)),"SIM","")</f>
        <v/>
      </c>
      <c r="AK6" s="93" t="n"/>
    </row>
    <row r="7">
      <c r="A7" s="88" t="inlineStr">
        <is>
          <t>Protheus</t>
        </is>
      </c>
      <c r="B7" s="89" t="inlineStr">
        <is>
          <t>001329</t>
        </is>
      </c>
      <c r="C7" s="90">
        <f>IF(B7="—","—",IFERROR(VLOOKUP(B7,_Protheus_Cadastro!$A:$B,2,FALSE),"—"))</f>
        <v/>
      </c>
      <c r="D7" s="91">
        <f>IF(B7="—",IFERROR(INDEX(_ZIG_Cadastro!$D:$D,MATCH(H7,_ZIG_Cadastro!$A:$A,0)),"Produto"),IFERROR(VLOOKUP(B7,_Protheus_Cadastro!$A:$C,3,FALSE),"—"))</f>
        <v/>
      </c>
      <c r="E7" s="91">
        <f>IF(B7="—","—",IFERROR(VLOOKUP(B7,_Protheus_Cadastro!$A:$D,4,FALSE),"—"))</f>
        <v/>
      </c>
      <c r="F7" s="119">
        <f>IF(ISERROR(VLOOKUP(B7,'Estrutura Protheus'!A:A,1,FALSE)),"Não","Sim")</f>
        <v/>
      </c>
      <c r="G7" s="92">
        <f>IFERROR(INDEX(_Protheus_Cadastro!$H:$H,MATCH(B7,_Protheus_Cadastro!$A:$A,0)),"—")</f>
        <v/>
      </c>
      <c r="H7" s="210">
        <f>IFERROR(INDEX(_ZIG_Precos!$D:$D,MATCH(I7,_ZIG_Precos!$F:$F,0)),"—")</f>
        <v/>
      </c>
      <c r="I7" s="95">
        <f>IFERROR(VLOOKUP(B7,_Protheus_Cadastro!$A:$I,9,FALSE),"—")</f>
        <v/>
      </c>
      <c r="J7" s="93">
        <f>IFERROR(INDEX(_ZIG_Cadastro!$B:$B,MATCH(I7,_ZIG_Cadastro!$A:$A,0)),IFERROR(INDEX(_Entradas_ZIG!$B:$B,MATCH(I7,_Entradas_ZIG!$C:$C,0)),"—"))</f>
        <v/>
      </c>
      <c r="K7" s="93">
        <f>IFERROR(INDEX(_ZIG_Cadastro!$C:$C,MATCH(I7,_ZIG_Cadastro!$A:$A,0)),IFERROR(INDEX(_Entradas_ZIG!$D:$D,MATCH(I7,_Entradas_ZIG!$C:$C,0)),"—"))</f>
        <v/>
      </c>
      <c r="L7" s="92">
        <f>IF(I7="","Sem SKU ZIG",IF(I7="—","Sem SKU ZIG",IF(NOT(ISERROR(MATCH(I7,_ZIG_Cadastro!$A:$A,0))),IF(EXACT(UPPER(TRIM(C7)),UPPER(TRIM(INDEX(_ZIG_Cadastro!$B:$B,MATCH(I7,_ZIG_Cadastro!$A:$A,0))))),"OK","Atencao - Nome diverge"),IF(NOT(ISERROR(MATCH(I7,_Entradas_ZIG!$C:$C,0))),"OK","Erro - SKU nao encontrado"))))</f>
        <v/>
      </c>
      <c r="M7" s="92">
        <f>IFERROR(INDEX(_ZIG_Cadastro!$G:$G,MATCH(I7,_ZIG_Cadastro!$A:$A,0)),IF(NOT(ISERROR(MATCH(I7,_Entradas_ZIG!$C:$C,0))),"Ativo","—"))</f>
        <v/>
      </c>
      <c r="N7" s="94">
        <f>IFERROR(INDEX(_ZIG_Cadastro!$E:$E,MATCH(I7,_ZIG_Cadastro!$A:$A,0)),IFERROR(INDEX(_Entradas_ZIG!$F:$F,MATCH(I7,_Entradas_ZIG!$C:$C,0)),"—"))</f>
        <v/>
      </c>
      <c r="O7" s="92">
        <f>IF(AND(ISNUMBER(SEARCH("Espeto",N7)),ISNUMBER(SEARCH("Carin",N7))),"SIM","")</f>
        <v/>
      </c>
      <c r="P7" s="92">
        <f>IF(AND(ISNUMBER(SEARCH("Espeto",N7)),ISNUMBER(SEARCH("Lapa",N7))),"SIM","")</f>
        <v/>
      </c>
      <c r="Q7" s="92">
        <f>IF(AND(ISNUMBER(SEARCH("Espeto",N7)),ISNUMBER(SEARCH("Tatuapé",N7))),"SIM","")</f>
        <v/>
      </c>
      <c r="R7" s="92">
        <f>IF(AND(ISNUMBER(SEARCH("Espeto",N7)),ISNUMBER(SEARCH("Pavão",N7))),"SIM","")</f>
        <v/>
      </c>
      <c r="S7" s="92">
        <f>IF(AND(ISNUMBER(SEARCH("Espeto",N7)),ISNUMBER(SEARCH("Chac",N7))),"SIM","")</f>
        <v/>
      </c>
      <c r="T7" s="92">
        <f>IF(AND(ISNUMBER(SEARCH("Espeto",N7)),ISNUMBER(SEARCH("Madalena",N7))),"SIM","")</f>
        <v/>
      </c>
      <c r="U7" s="92">
        <f>IF(AND(ISNUMBER(SEARCH("Espeto",N7)),ISNUMBER(SEARCH("Mariana",N7))),"SIM","")</f>
        <v/>
      </c>
      <c r="V7" s="92">
        <f>IF(AND(ISNUMBER(SEARCH("Espeto",N7)),ISNUMBER(SEARCH("Perdizes",N7))),"SIM","")</f>
        <v/>
      </c>
      <c r="W7" s="92">
        <f>IF(AND(ISNUMBER(SEARCH("Espeto",N7)),ISNUMBER(SEARCH("Santana",N7))),"SIM","")</f>
        <v/>
      </c>
      <c r="X7" s="92">
        <f>IF(AND(ISNUMBER(SEARCH("Espeto",N7)),ISNUMBER(SEARCH("André",N7))),"SIM","")</f>
        <v/>
      </c>
      <c r="Y7" s="92">
        <f>IF(AND(ISNUMBER(SEARCH("Delivery",N7)),ISNUMBER(SEARCH("Carin",N7))),"SIM","")</f>
        <v/>
      </c>
      <c r="Z7" s="92">
        <f>IF(AND(ISNUMBER(SEARCH("Delivery",N7)),ISNUMBER(SEARCH("Lapa",N7))),"SIM","")</f>
        <v/>
      </c>
      <c r="AA7" s="92">
        <f>IF(AND(ISNUMBER(SEARCH("Delivery",N7)),ISNUMBER(SEARCH("Tatuapé",N7))),"SIM","")</f>
        <v/>
      </c>
      <c r="AB7" s="92">
        <f>IF(AND(ISNUMBER(SEARCH("Delivery",N7)),ISNUMBER(SEARCH("Pavão",N7))),"SIM","")</f>
        <v/>
      </c>
      <c r="AC7" s="92">
        <f>IF(AND(ISNUMBER(SEARCH("Delivery",N7)),ISNUMBER(SEARCH("Chac",N7))),"SIM","")</f>
        <v/>
      </c>
      <c r="AD7" s="92">
        <f>IF(AND(ISNUMBER(SEARCH("Delivery",N7)),ISNUMBER(SEARCH("Madalena",N7))),"SIM","")</f>
        <v/>
      </c>
      <c r="AE7" s="99">
        <f>IF(AND(ISNUMBER(SEARCH("Delivery",N7)),ISNUMBER(SEARCH("Mariana",N7))),"SIM","")</f>
        <v/>
      </c>
      <c r="AF7" s="99">
        <f>IF(AND(ISNUMBER(SEARCH("Delivery",N7)),ISNUMBER(SEARCH("Perdizes",N7))),"SIM","")</f>
        <v/>
      </c>
      <c r="AG7" s="99">
        <f>IF(AND(ISNUMBER(SEARCH("Delivery",N7)),ISNUMBER(SEARCH("Santana",N7))),"SIM","")</f>
        <v/>
      </c>
      <c r="AH7" s="99">
        <f>IF(AND(ISNUMBER(SEARCH("Delivery",N7)),ISNUMBER(SEARCH("André",N7))),"SIM","")</f>
        <v/>
      </c>
      <c r="AI7" s="99">
        <f>IF(ISNUMBER(SEARCH("Interlagos",N7)),"SIM","")</f>
        <v/>
      </c>
      <c r="AJ7" s="99">
        <f>IF(ISNUMBER(SEARCH("Quiosque",N7)),"SIM","")</f>
        <v/>
      </c>
      <c r="AK7" s="101" t="n"/>
    </row>
    <row r="8">
      <c r="A8" s="88" t="inlineStr">
        <is>
          <t>Protheus</t>
        </is>
      </c>
      <c r="B8" s="96" t="inlineStr">
        <is>
          <t>001330</t>
        </is>
      </c>
      <c r="C8" s="97">
        <f>IF(B8="—","—",IFERROR(VLOOKUP(B8,_Protheus_Cadastro!$A:$B,2,FALSE),"—"))</f>
        <v/>
      </c>
      <c r="D8" s="98">
        <f>IF(B8="—",IFERROR(INDEX(_ZIG_Cadastro!$D:$D,MATCH(H8,_ZIG_Cadastro!$A:$A,0)),"Produto"),IFERROR(VLOOKUP(B8,_Protheus_Cadastro!$A:$C,3,FALSE),"—"))</f>
        <v/>
      </c>
      <c r="E8" s="98">
        <f>IF(B8="—","—",IFERROR(VLOOKUP(B8,_Protheus_Cadastro!$A:$D,4,FALSE),"—"))</f>
        <v/>
      </c>
      <c r="F8" s="120">
        <f>IF(ISERROR(VLOOKUP(B8,'Estrutura Protheus'!A:A,1,FALSE)),"Não","Sim")</f>
        <v/>
      </c>
      <c r="G8" s="99">
        <f>IFERROR(INDEX(_Protheus_Cadastro!$H:$H,MATCH(B8,_Protheus_Cadastro!$A:$A,0)),"—")</f>
        <v/>
      </c>
      <c r="H8" s="211">
        <f>IFERROR(INDEX(_ZIG_Precos!$D:$D,MATCH(I8,_ZIG_Precos!$F:$F,0)),"—")</f>
        <v/>
      </c>
      <c r="I8" s="103">
        <f>IFERROR(VLOOKUP(B8,_Protheus_Cadastro!$A:$I,9,FALSE),"—")</f>
        <v/>
      </c>
      <c r="J8" s="101">
        <f>IFERROR(INDEX(_ZIG_Cadastro!$B:$B,MATCH(I8,_ZIG_Cadastro!$A:$A,0)),IFERROR(INDEX(_Entradas_ZIG!$B:$B,MATCH(I8,_Entradas_ZIG!$C:$C,0)),"—"))</f>
        <v/>
      </c>
      <c r="K8" s="101">
        <f>IFERROR(INDEX(_ZIG_Cadastro!$C:$C,MATCH(I8,_ZIG_Cadastro!$A:$A,0)),IFERROR(INDEX(_Entradas_ZIG!$D:$D,MATCH(I8,_Entradas_ZIG!$C:$C,0)),"—"))</f>
        <v/>
      </c>
      <c r="L8" s="99">
        <f>IF(I8="","Sem SKU ZIG",IF(I8="—","Sem SKU ZIG",IF(NOT(ISERROR(MATCH(I8,_ZIG_Cadastro!$A:$A,0))),IF(EXACT(UPPER(TRIM(C8)),UPPER(TRIM(INDEX(_ZIG_Cadastro!$B:$B,MATCH(I8,_ZIG_Cadastro!$A:$A,0))))),"OK","Atencao - Nome diverge"),IF(NOT(ISERROR(MATCH(I8,_Entradas_ZIG!$C:$C,0))),"OK","Erro - SKU nao encontrado"))))</f>
        <v/>
      </c>
      <c r="M8" s="99">
        <f>IFERROR(INDEX(_ZIG_Cadastro!$G:$G,MATCH(I8,_ZIG_Cadastro!$A:$A,0)),IF(NOT(ISERROR(MATCH(I8,_Entradas_ZIG!$C:$C,0))),"Ativo","—"))</f>
        <v/>
      </c>
      <c r="N8" s="102">
        <f>IFERROR(INDEX(_ZIG_Cadastro!$E:$E,MATCH(I8,_ZIG_Cadastro!$A:$A,0)),IFERROR(INDEX(_Entradas_ZIG!$F:$F,MATCH(I8,_Entradas_ZIG!$C:$C,0)),"—"))</f>
        <v/>
      </c>
      <c r="O8" s="99">
        <f>IF(AND(ISNUMBER(SEARCH("Espeto",N8)),ISNUMBER(SEARCH("Carin",N8))),"SIM","")</f>
        <v/>
      </c>
      <c r="P8" s="99">
        <f>IF(AND(ISNUMBER(SEARCH("Espeto",N8)),ISNUMBER(SEARCH("Lapa",N8))),"SIM","")</f>
        <v/>
      </c>
      <c r="Q8" s="99">
        <f>IF(AND(ISNUMBER(SEARCH("Espeto",N8)),ISNUMBER(SEARCH("Tatuapé",N8))),"SIM","")</f>
        <v/>
      </c>
      <c r="R8" s="99">
        <f>IF(AND(ISNUMBER(SEARCH("Espeto",N8)),ISNUMBER(SEARCH("Pavão",N8))),"SIM","")</f>
        <v/>
      </c>
      <c r="S8" s="99">
        <f>IF(AND(ISNUMBER(SEARCH("Espeto",N8)),ISNUMBER(SEARCH("Chac",N8))),"SIM","")</f>
        <v/>
      </c>
      <c r="T8" s="99">
        <f>IF(AND(ISNUMBER(SEARCH("Espeto",N8)),ISNUMBER(SEARCH("Madalena",N8))),"SIM","")</f>
        <v/>
      </c>
      <c r="U8" s="99">
        <f>IF(AND(ISNUMBER(SEARCH("Espeto",N8)),ISNUMBER(SEARCH("Mariana",N8))),"SIM","")</f>
        <v/>
      </c>
      <c r="V8" s="99">
        <f>IF(AND(ISNUMBER(SEARCH("Espeto",N8)),ISNUMBER(SEARCH("Perdizes",N8))),"SIM","")</f>
        <v/>
      </c>
      <c r="W8" s="99">
        <f>IF(AND(ISNUMBER(SEARCH("Espeto",N8)),ISNUMBER(SEARCH("Santana",N8))),"SIM","")</f>
        <v/>
      </c>
      <c r="X8" s="99">
        <f>IF(AND(ISNUMBER(SEARCH("Espeto",N8)),ISNUMBER(SEARCH("André",N8))),"SIM","")</f>
        <v/>
      </c>
      <c r="Y8" s="99">
        <f>IF(AND(ISNUMBER(SEARCH("Delivery",N8)),ISNUMBER(SEARCH("Carin",N8))),"SIM","")</f>
        <v/>
      </c>
      <c r="Z8" s="99">
        <f>IF(AND(ISNUMBER(SEARCH("Delivery",N8)),ISNUMBER(SEARCH("Lapa",N8))),"SIM","")</f>
        <v/>
      </c>
      <c r="AA8" s="99">
        <f>IF(AND(ISNUMBER(SEARCH("Delivery",N8)),ISNUMBER(SEARCH("Tatuapé",N8))),"SIM","")</f>
        <v/>
      </c>
      <c r="AB8" s="99">
        <f>IF(AND(ISNUMBER(SEARCH("Delivery",N8)),ISNUMBER(SEARCH("Pavão",N8))),"SIM","")</f>
        <v/>
      </c>
      <c r="AC8" s="99">
        <f>IF(AND(ISNUMBER(SEARCH("Delivery",N8)),ISNUMBER(SEARCH("Chac",N8))),"SIM","")</f>
        <v/>
      </c>
      <c r="AD8" s="99">
        <f>IF(AND(ISNUMBER(SEARCH("Delivery",N8)),ISNUMBER(SEARCH("Madalena",N8))),"SIM","")</f>
        <v/>
      </c>
      <c r="AE8" s="92">
        <f>IF(AND(ISNUMBER(SEARCH("Delivery",N8)),ISNUMBER(SEARCH("Mariana",N8))),"SIM","")</f>
        <v/>
      </c>
      <c r="AF8" s="92">
        <f>IF(AND(ISNUMBER(SEARCH("Delivery",N8)),ISNUMBER(SEARCH("Perdizes",N8))),"SIM","")</f>
        <v/>
      </c>
      <c r="AG8" s="92">
        <f>IF(AND(ISNUMBER(SEARCH("Delivery",N8)),ISNUMBER(SEARCH("Santana",N8))),"SIM","")</f>
        <v/>
      </c>
      <c r="AH8" s="92">
        <f>IF(AND(ISNUMBER(SEARCH("Delivery",N8)),ISNUMBER(SEARCH("André",N8))),"SIM","")</f>
        <v/>
      </c>
      <c r="AI8" s="92">
        <f>IF(ISNUMBER(SEARCH("Interlagos",N8)),"SIM","")</f>
        <v/>
      </c>
      <c r="AJ8" s="92">
        <f>IF(ISNUMBER(SEARCH("Quiosque",N8)),"SIM","")</f>
        <v/>
      </c>
      <c r="AK8" s="93" t="n"/>
    </row>
    <row r="9">
      <c r="A9" s="88" t="inlineStr">
        <is>
          <t>Protheus</t>
        </is>
      </c>
      <c r="B9" s="89" t="inlineStr">
        <is>
          <t>001260</t>
        </is>
      </c>
      <c r="C9" s="90">
        <f>IF(B9="—","—",IFERROR(VLOOKUP(B9,_Protheus_Cadastro!$A:$B,2,FALSE),"—"))</f>
        <v/>
      </c>
      <c r="D9" s="91">
        <f>IF(B9="—",IFERROR(INDEX(_ZIG_Cadastro!$D:$D,MATCH(H9,_ZIG_Cadastro!$A:$A,0)),"Produto"),IFERROR(VLOOKUP(B9,_Protheus_Cadastro!$A:$C,3,FALSE),"—"))</f>
        <v/>
      </c>
      <c r="E9" s="91">
        <f>IF(B9="—","—",IFERROR(VLOOKUP(B9,_Protheus_Cadastro!$A:$D,4,FALSE),"—"))</f>
        <v/>
      </c>
      <c r="F9" s="91">
        <f>IF(ISERROR(VLOOKUP(B9,'Estrutura Protheus'!A:A,1,FALSE)),"Não","Sim")</f>
        <v/>
      </c>
      <c r="G9" s="92">
        <f>IFERROR(INDEX(_Protheus_Cadastro!$H:$H,MATCH(B9,_Protheus_Cadastro!$A:$A,0)),"—")</f>
        <v/>
      </c>
      <c r="H9" s="210">
        <f>IFERROR(INDEX(_ZIG_Precos!$D:$D,MATCH(I9,_ZIG_Precos!$F:$F,0)),"—")</f>
        <v/>
      </c>
      <c r="I9" s="95">
        <f>IFERROR(VLOOKUP(B9,_Protheus_Cadastro!$A:$I,9,FALSE),"—")</f>
        <v/>
      </c>
      <c r="J9" s="93">
        <f>IFERROR(INDEX(_ZIG_Cadastro!$B:$B,MATCH(I9,_ZIG_Cadastro!$A:$A,0)),IFERROR(INDEX(_Entradas_ZIG!$B:$B,MATCH(I9,_Entradas_ZIG!$C:$C,0)),"—"))</f>
        <v/>
      </c>
      <c r="K9" s="93">
        <f>IFERROR(INDEX(_ZIG_Cadastro!$C:$C,MATCH(I9,_ZIG_Cadastro!$A:$A,0)),IFERROR(INDEX(_Entradas_ZIG!$D:$D,MATCH(I9,_Entradas_ZIG!$C:$C,0)),"—"))</f>
        <v/>
      </c>
      <c r="L9" s="92">
        <f>IF(I9="","Sem SKU ZIG",IF(I9="—","Sem SKU ZIG",IF(NOT(ISERROR(MATCH(I9,_ZIG_Cadastro!$A:$A,0))),IF(EXACT(UPPER(TRIM(C9)),UPPER(TRIM(INDEX(_ZIG_Cadastro!$B:$B,MATCH(I9,_ZIG_Cadastro!$A:$A,0))))),"OK","Atencao - Nome diverge"),IF(NOT(ISERROR(MATCH(I9,_Entradas_ZIG!$C:$C,0))),"OK","Erro - SKU nao encontrado"))))</f>
        <v/>
      </c>
      <c r="M9" s="92">
        <f>IFERROR(INDEX(_ZIG_Cadastro!$G:$G,MATCH(I9,_ZIG_Cadastro!$A:$A,0)),IF(NOT(ISERROR(MATCH(I9,_Entradas_ZIG!$C:$C,0))),"Ativo","—"))</f>
        <v/>
      </c>
      <c r="N9" s="94">
        <f>IFERROR(INDEX(_ZIG_Cadastro!$E:$E,MATCH(I9,_ZIG_Cadastro!$A:$A,0)),IFERROR(INDEX(_Entradas_ZIG!$F:$F,MATCH(I9,_Entradas_ZIG!$C:$C,0)),"—"))</f>
        <v/>
      </c>
      <c r="O9" s="92">
        <f>IF(AND(ISNUMBER(SEARCH("Espeto",N9)),ISNUMBER(SEARCH("Carin",N9))),"SIM","")</f>
        <v/>
      </c>
      <c r="P9" s="92">
        <f>IF(AND(ISNUMBER(SEARCH("Espeto",N9)),ISNUMBER(SEARCH("Lapa",N9))),"SIM","")</f>
        <v/>
      </c>
      <c r="Q9" s="92">
        <f>IF(AND(ISNUMBER(SEARCH("Espeto",N9)),ISNUMBER(SEARCH("Tatuapé",N9))),"SIM","")</f>
        <v/>
      </c>
      <c r="R9" s="92">
        <f>IF(AND(ISNUMBER(SEARCH("Espeto",N9)),ISNUMBER(SEARCH("Pavão",N9))),"SIM","")</f>
        <v/>
      </c>
      <c r="S9" s="92">
        <f>IF(AND(ISNUMBER(SEARCH("Espeto",N9)),ISNUMBER(SEARCH("Chac",N9))),"SIM","")</f>
        <v/>
      </c>
      <c r="T9" s="92">
        <f>IF(AND(ISNUMBER(SEARCH("Espeto",N9)),ISNUMBER(SEARCH("Madalena",N9))),"SIM","")</f>
        <v/>
      </c>
      <c r="U9" s="92">
        <f>IF(AND(ISNUMBER(SEARCH("Espeto",N9)),ISNUMBER(SEARCH("Mariana",N9))),"SIM","")</f>
        <v/>
      </c>
      <c r="V9" s="92">
        <f>IF(AND(ISNUMBER(SEARCH("Espeto",N9)),ISNUMBER(SEARCH("Perdizes",N9))),"SIM","")</f>
        <v/>
      </c>
      <c r="W9" s="92">
        <f>IF(AND(ISNUMBER(SEARCH("Espeto",N9)),ISNUMBER(SEARCH("Santana",N9))),"SIM","")</f>
        <v/>
      </c>
      <c r="X9" s="92">
        <f>IF(AND(ISNUMBER(SEARCH("Espeto",N9)),ISNUMBER(SEARCH("André",N9))),"SIM","")</f>
        <v/>
      </c>
      <c r="Y9" s="92">
        <f>IF(AND(ISNUMBER(SEARCH("Delivery",N9)),ISNUMBER(SEARCH("Carin",N9))),"SIM","")</f>
        <v/>
      </c>
      <c r="Z9" s="92">
        <f>IF(AND(ISNUMBER(SEARCH("Delivery",N9)),ISNUMBER(SEARCH("Lapa",N9))),"SIM","")</f>
        <v/>
      </c>
      <c r="AA9" s="92">
        <f>IF(AND(ISNUMBER(SEARCH("Delivery",N9)),ISNUMBER(SEARCH("Tatuapé",N9))),"SIM","")</f>
        <v/>
      </c>
      <c r="AB9" s="92">
        <f>IF(AND(ISNUMBER(SEARCH("Delivery",N9)),ISNUMBER(SEARCH("Pavão",N9))),"SIM","")</f>
        <v/>
      </c>
      <c r="AC9" s="92">
        <f>IF(AND(ISNUMBER(SEARCH("Delivery",N9)),ISNUMBER(SEARCH("Chac",N9))),"SIM","")</f>
        <v/>
      </c>
      <c r="AD9" s="92">
        <f>IF(AND(ISNUMBER(SEARCH("Delivery",N9)),ISNUMBER(SEARCH("Madalena",N9))),"SIM","")</f>
        <v/>
      </c>
      <c r="AE9" s="99">
        <f>IF(AND(ISNUMBER(SEARCH("Delivery",N9)),ISNUMBER(SEARCH("Mariana",N9))),"SIM","")</f>
        <v/>
      </c>
      <c r="AF9" s="99">
        <f>IF(AND(ISNUMBER(SEARCH("Delivery",N9)),ISNUMBER(SEARCH("Perdizes",N9))),"SIM","")</f>
        <v/>
      </c>
      <c r="AG9" s="99">
        <f>IF(AND(ISNUMBER(SEARCH("Delivery",N9)),ISNUMBER(SEARCH("Santana",N9))),"SIM","")</f>
        <v/>
      </c>
      <c r="AH9" s="99">
        <f>IF(AND(ISNUMBER(SEARCH("Delivery",N9)),ISNUMBER(SEARCH("André",N9))),"SIM","")</f>
        <v/>
      </c>
      <c r="AI9" s="99">
        <f>IF(ISNUMBER(SEARCH("Interlagos",N9)),"SIM","")</f>
        <v/>
      </c>
      <c r="AJ9" s="99">
        <f>IF(ISNUMBER(SEARCH("Quiosque",N9)),"SIM","")</f>
        <v/>
      </c>
      <c r="AK9" s="101" t="n"/>
    </row>
    <row r="10">
      <c r="A10" s="88" t="inlineStr">
        <is>
          <t>Protheus</t>
        </is>
      </c>
      <c r="B10" s="96" t="inlineStr">
        <is>
          <t>001313</t>
        </is>
      </c>
      <c r="C10" s="97">
        <f>IF(B10="—","—",IFERROR(VLOOKUP(B10,_Protheus_Cadastro!$A:$B,2,FALSE),"—"))</f>
        <v/>
      </c>
      <c r="D10" s="98">
        <f>IF(B10="—",IFERROR(INDEX(_ZIG_Cadastro!$D:$D,MATCH(H10,_ZIG_Cadastro!$A:$A,0)),"Produto"),IFERROR(VLOOKUP(B10,_Protheus_Cadastro!$A:$C,3,FALSE),"—"))</f>
        <v/>
      </c>
      <c r="E10" s="98">
        <f>IF(B10="—","—",IFERROR(VLOOKUP(B10,_Protheus_Cadastro!$A:$D,4,FALSE),"—"))</f>
        <v/>
      </c>
      <c r="F10" s="98">
        <f>IF(ISERROR(VLOOKUP(B10,'Estrutura Protheus'!A:A,1,FALSE)),"Não","Sim")</f>
        <v/>
      </c>
      <c r="G10" s="99">
        <f>IFERROR(INDEX(_Protheus_Cadastro!$H:$H,MATCH(B10,_Protheus_Cadastro!$A:$A,0)),"—")</f>
        <v/>
      </c>
      <c r="H10" s="211">
        <f>IFERROR(INDEX(_ZIG_Precos!$D:$D,MATCH(I10,_ZIG_Precos!$F:$F,0)),"—")</f>
        <v/>
      </c>
      <c r="I10" s="103">
        <f>IFERROR(VLOOKUP(B10,_Protheus_Cadastro!$A:$I,9,FALSE),"—")</f>
        <v/>
      </c>
      <c r="J10" s="101">
        <f>IFERROR(INDEX(_ZIG_Cadastro!$B:$B,MATCH(I10,_ZIG_Cadastro!$A:$A,0)),IFERROR(INDEX(_Entradas_ZIG!$B:$B,MATCH(I10,_Entradas_ZIG!$C:$C,0)),"—"))</f>
        <v/>
      </c>
      <c r="K10" s="101">
        <f>IFERROR(INDEX(_ZIG_Cadastro!$C:$C,MATCH(I10,_ZIG_Cadastro!$A:$A,0)),IFERROR(INDEX(_Entradas_ZIG!$D:$D,MATCH(I10,_Entradas_ZIG!$C:$C,0)),"—"))</f>
        <v/>
      </c>
      <c r="L10" s="99">
        <f>IF(I10="","Sem SKU ZIG",IF(I10="—","Sem SKU ZIG",IF(NOT(ISERROR(MATCH(I10,_ZIG_Cadastro!$A:$A,0))),IF(EXACT(UPPER(TRIM(C10)),UPPER(TRIM(INDEX(_ZIG_Cadastro!$B:$B,MATCH(I10,_ZIG_Cadastro!$A:$A,0))))),"OK","Atencao - Nome diverge"),IF(NOT(ISERROR(MATCH(I10,_Entradas_ZIG!$C:$C,0))),"OK","Erro - SKU nao encontrado"))))</f>
        <v/>
      </c>
      <c r="M10" s="99">
        <f>IFERROR(INDEX(_ZIG_Cadastro!$G:$G,MATCH(I10,_ZIG_Cadastro!$A:$A,0)),IF(NOT(ISERROR(MATCH(I10,_Entradas_ZIG!$C:$C,0))),"Ativo","—"))</f>
        <v/>
      </c>
      <c r="N10" s="102">
        <f>IFERROR(INDEX(_ZIG_Cadastro!$E:$E,MATCH(I10,_ZIG_Cadastro!$A:$A,0)),IFERROR(INDEX(_Entradas_ZIG!$F:$F,MATCH(I10,_Entradas_ZIG!$C:$C,0)),"—"))</f>
        <v/>
      </c>
      <c r="O10" s="99">
        <f>IF(AND(ISNUMBER(SEARCH("Espeto",N10)),ISNUMBER(SEARCH("Carin",N10))),"SIM","")</f>
        <v/>
      </c>
      <c r="P10" s="99">
        <f>IF(AND(ISNUMBER(SEARCH("Espeto",N10)),ISNUMBER(SEARCH("Lapa",N10))),"SIM","")</f>
        <v/>
      </c>
      <c r="Q10" s="99">
        <f>IF(AND(ISNUMBER(SEARCH("Espeto",N10)),ISNUMBER(SEARCH("Tatuapé",N10))),"SIM","")</f>
        <v/>
      </c>
      <c r="R10" s="99">
        <f>IF(AND(ISNUMBER(SEARCH("Espeto",N10)),ISNUMBER(SEARCH("Pavão",N10))),"SIM","")</f>
        <v/>
      </c>
      <c r="S10" s="99">
        <f>IF(AND(ISNUMBER(SEARCH("Espeto",N10)),ISNUMBER(SEARCH("Chac",N10))),"SIM","")</f>
        <v/>
      </c>
      <c r="T10" s="99">
        <f>IF(AND(ISNUMBER(SEARCH("Espeto",N10)),ISNUMBER(SEARCH("Madalena",N10))),"SIM","")</f>
        <v/>
      </c>
      <c r="U10" s="99">
        <f>IF(AND(ISNUMBER(SEARCH("Espeto",N10)),ISNUMBER(SEARCH("Mariana",N10))),"SIM","")</f>
        <v/>
      </c>
      <c r="V10" s="99">
        <f>IF(AND(ISNUMBER(SEARCH("Espeto",N10)),ISNUMBER(SEARCH("Perdizes",N10))),"SIM","")</f>
        <v/>
      </c>
      <c r="W10" s="99">
        <f>IF(AND(ISNUMBER(SEARCH("Espeto",N10)),ISNUMBER(SEARCH("Santana",N10))),"SIM","")</f>
        <v/>
      </c>
      <c r="X10" s="99">
        <f>IF(AND(ISNUMBER(SEARCH("Espeto",N10)),ISNUMBER(SEARCH("André",N10))),"SIM","")</f>
        <v/>
      </c>
      <c r="Y10" s="99">
        <f>IF(AND(ISNUMBER(SEARCH("Delivery",N10)),ISNUMBER(SEARCH("Carin",N10))),"SIM","")</f>
        <v/>
      </c>
      <c r="Z10" s="99">
        <f>IF(AND(ISNUMBER(SEARCH("Delivery",N10)),ISNUMBER(SEARCH("Lapa",N10))),"SIM","")</f>
        <v/>
      </c>
      <c r="AA10" s="99">
        <f>IF(AND(ISNUMBER(SEARCH("Delivery",N10)),ISNUMBER(SEARCH("Tatuapé",N10))),"SIM","")</f>
        <v/>
      </c>
      <c r="AB10" s="99">
        <f>IF(AND(ISNUMBER(SEARCH("Delivery",N10)),ISNUMBER(SEARCH("Pavão",N10))),"SIM","")</f>
        <v/>
      </c>
      <c r="AC10" s="99">
        <f>IF(AND(ISNUMBER(SEARCH("Delivery",N10)),ISNUMBER(SEARCH("Chac",N10))),"SIM","")</f>
        <v/>
      </c>
      <c r="AD10" s="99">
        <f>IF(AND(ISNUMBER(SEARCH("Delivery",N10)),ISNUMBER(SEARCH("Madalena",N10))),"SIM","")</f>
        <v/>
      </c>
      <c r="AE10" s="92">
        <f>IF(AND(ISNUMBER(SEARCH("Delivery",N10)),ISNUMBER(SEARCH("Mariana",N10))),"SIM","")</f>
        <v/>
      </c>
      <c r="AF10" s="92">
        <f>IF(AND(ISNUMBER(SEARCH("Delivery",N10)),ISNUMBER(SEARCH("Perdizes",N10))),"SIM","")</f>
        <v/>
      </c>
      <c r="AG10" s="92">
        <f>IF(AND(ISNUMBER(SEARCH("Delivery",N10)),ISNUMBER(SEARCH("Santana",N10))),"SIM","")</f>
        <v/>
      </c>
      <c r="AH10" s="92">
        <f>IF(AND(ISNUMBER(SEARCH("Delivery",N10)),ISNUMBER(SEARCH("André",N10))),"SIM","")</f>
        <v/>
      </c>
      <c r="AI10" s="92">
        <f>IF(ISNUMBER(SEARCH("Interlagos",N10)),"SIM","")</f>
        <v/>
      </c>
      <c r="AJ10" s="92">
        <f>IF(ISNUMBER(SEARCH("Quiosque",N10)),"SIM","")</f>
        <v/>
      </c>
      <c r="AK10" s="93" t="n"/>
    </row>
    <row r="11">
      <c r="A11" s="88" t="inlineStr">
        <is>
          <t>Protheus</t>
        </is>
      </c>
      <c r="B11" s="89" t="inlineStr">
        <is>
          <t>001294</t>
        </is>
      </c>
      <c r="C11" s="90">
        <f>IF(B11="—","—",IFERROR(VLOOKUP(B11,_Protheus_Cadastro!$A:$B,2,FALSE),"—"))</f>
        <v/>
      </c>
      <c r="D11" s="91">
        <f>IF(B11="—",IFERROR(INDEX(_ZIG_Cadastro!$D:$D,MATCH(H11,_ZIG_Cadastro!$A:$A,0)),"Produto"),IFERROR(VLOOKUP(B11,_Protheus_Cadastro!$A:$C,3,FALSE),"—"))</f>
        <v/>
      </c>
      <c r="E11" s="91">
        <f>IF(B11="—","—",IFERROR(VLOOKUP(B11,_Protheus_Cadastro!$A:$D,4,FALSE),"—"))</f>
        <v/>
      </c>
      <c r="F11" s="91">
        <f>IF(ISERROR(VLOOKUP(B11,'Estrutura Protheus'!A:A,1,FALSE)),"Não","Sim")</f>
        <v/>
      </c>
      <c r="G11" s="92">
        <f>IFERROR(INDEX(_Protheus_Cadastro!$H:$H,MATCH(B11,_Protheus_Cadastro!$A:$A,0)),"—")</f>
        <v/>
      </c>
      <c r="H11" s="210">
        <f>IFERROR(INDEX(_ZIG_Precos!$D:$D,MATCH(I11,_ZIG_Precos!$F:$F,0)),"—")</f>
        <v/>
      </c>
      <c r="I11" s="95">
        <f>IFERROR(VLOOKUP(B11,_Protheus_Cadastro!$A:$I,9,FALSE),"—")</f>
        <v/>
      </c>
      <c r="J11" s="93">
        <f>IFERROR(INDEX(_ZIG_Cadastro!$B:$B,MATCH(I11,_ZIG_Cadastro!$A:$A,0)),IFERROR(INDEX(_Entradas_ZIG!$B:$B,MATCH(I11,_Entradas_ZIG!$C:$C,0)),"—"))</f>
        <v/>
      </c>
      <c r="K11" s="93">
        <f>IFERROR(INDEX(_ZIG_Cadastro!$C:$C,MATCH(I11,_ZIG_Cadastro!$A:$A,0)),IFERROR(INDEX(_Entradas_ZIG!$D:$D,MATCH(I11,_Entradas_ZIG!$C:$C,0)),"—"))</f>
        <v/>
      </c>
      <c r="L11" s="92">
        <f>IF(I11="","Sem SKU ZIG",IF(I11="—","Sem SKU ZIG",IF(NOT(ISERROR(MATCH(I11,_ZIG_Cadastro!$A:$A,0))),IF(EXACT(UPPER(TRIM(C11)),UPPER(TRIM(INDEX(_ZIG_Cadastro!$B:$B,MATCH(I11,_ZIG_Cadastro!$A:$A,0))))),"OK","Atencao - Nome diverge"),IF(NOT(ISERROR(MATCH(I11,_Entradas_ZIG!$C:$C,0))),"OK","Erro - SKU nao encontrado"))))</f>
        <v/>
      </c>
      <c r="M11" s="92">
        <f>IFERROR(INDEX(_ZIG_Cadastro!$G:$G,MATCH(I11,_ZIG_Cadastro!$A:$A,0)),IF(NOT(ISERROR(MATCH(I11,_Entradas_ZIG!$C:$C,0))),"Ativo","—"))</f>
        <v/>
      </c>
      <c r="N11" s="94">
        <f>IFERROR(INDEX(_ZIG_Cadastro!$E:$E,MATCH(I11,_ZIG_Cadastro!$A:$A,0)),IFERROR(INDEX(_Entradas_ZIG!$F:$F,MATCH(I11,_Entradas_ZIG!$C:$C,0)),"—"))</f>
        <v/>
      </c>
      <c r="O11" s="92">
        <f>IF(AND(ISNUMBER(SEARCH("Espeto",N11)),ISNUMBER(SEARCH("Carin",N11))),"SIM","")</f>
        <v/>
      </c>
      <c r="P11" s="92">
        <f>IF(AND(ISNUMBER(SEARCH("Espeto",N11)),ISNUMBER(SEARCH("Lapa",N11))),"SIM","")</f>
        <v/>
      </c>
      <c r="Q11" s="92">
        <f>IF(AND(ISNUMBER(SEARCH("Espeto",N11)),ISNUMBER(SEARCH("Tatuapé",N11))),"SIM","")</f>
        <v/>
      </c>
      <c r="R11" s="92">
        <f>IF(AND(ISNUMBER(SEARCH("Espeto",N11)),ISNUMBER(SEARCH("Pavão",N11))),"SIM","")</f>
        <v/>
      </c>
      <c r="S11" s="92">
        <f>IF(AND(ISNUMBER(SEARCH("Espeto",N11)),ISNUMBER(SEARCH("Chac",N11))),"SIM","")</f>
        <v/>
      </c>
      <c r="T11" s="92">
        <f>IF(AND(ISNUMBER(SEARCH("Espeto",N11)),ISNUMBER(SEARCH("Madalena",N11))),"SIM","")</f>
        <v/>
      </c>
      <c r="U11" s="92">
        <f>IF(AND(ISNUMBER(SEARCH("Espeto",N11)),ISNUMBER(SEARCH("Mariana",N11))),"SIM","")</f>
        <v/>
      </c>
      <c r="V11" s="92">
        <f>IF(AND(ISNUMBER(SEARCH("Espeto",N11)),ISNUMBER(SEARCH("Perdizes",N11))),"SIM","")</f>
        <v/>
      </c>
      <c r="W11" s="92">
        <f>IF(AND(ISNUMBER(SEARCH("Espeto",N11)),ISNUMBER(SEARCH("Santana",N11))),"SIM","")</f>
        <v/>
      </c>
      <c r="X11" s="92">
        <f>IF(AND(ISNUMBER(SEARCH("Espeto",N11)),ISNUMBER(SEARCH("André",N11))),"SIM","")</f>
        <v/>
      </c>
      <c r="Y11" s="92">
        <f>IF(AND(ISNUMBER(SEARCH("Delivery",N11)),ISNUMBER(SEARCH("Carin",N11))),"SIM","")</f>
        <v/>
      </c>
      <c r="Z11" s="92">
        <f>IF(AND(ISNUMBER(SEARCH("Delivery",N11)),ISNUMBER(SEARCH("Lapa",N11))),"SIM","")</f>
        <v/>
      </c>
      <c r="AA11" s="92">
        <f>IF(AND(ISNUMBER(SEARCH("Delivery",N11)),ISNUMBER(SEARCH("Tatuapé",N11))),"SIM","")</f>
        <v/>
      </c>
      <c r="AB11" s="92">
        <f>IF(AND(ISNUMBER(SEARCH("Delivery",N11)),ISNUMBER(SEARCH("Pavão",N11))),"SIM","")</f>
        <v/>
      </c>
      <c r="AC11" s="92">
        <f>IF(AND(ISNUMBER(SEARCH("Delivery",N11)),ISNUMBER(SEARCH("Chac",N11))),"SIM","")</f>
        <v/>
      </c>
      <c r="AD11" s="92">
        <f>IF(AND(ISNUMBER(SEARCH("Delivery",N11)),ISNUMBER(SEARCH("Madalena",N11))),"SIM","")</f>
        <v/>
      </c>
      <c r="AE11" s="99">
        <f>IF(AND(ISNUMBER(SEARCH("Delivery",N11)),ISNUMBER(SEARCH("Mariana",N11))),"SIM","")</f>
        <v/>
      </c>
      <c r="AF11" s="99">
        <f>IF(AND(ISNUMBER(SEARCH("Delivery",N11)),ISNUMBER(SEARCH("Perdizes",N11))),"SIM","")</f>
        <v/>
      </c>
      <c r="AG11" s="99">
        <f>IF(AND(ISNUMBER(SEARCH("Delivery",N11)),ISNUMBER(SEARCH("Santana",N11))),"SIM","")</f>
        <v/>
      </c>
      <c r="AH11" s="99">
        <f>IF(AND(ISNUMBER(SEARCH("Delivery",N11)),ISNUMBER(SEARCH("André",N11))),"SIM","")</f>
        <v/>
      </c>
      <c r="AI11" s="99">
        <f>IF(ISNUMBER(SEARCH("Interlagos",N11)),"SIM","")</f>
        <v/>
      </c>
      <c r="AJ11" s="99">
        <f>IF(ISNUMBER(SEARCH("Quiosque",N11)),"SIM","")</f>
        <v/>
      </c>
      <c r="AK11" s="101" t="n"/>
    </row>
    <row r="12">
      <c r="A12" s="88" t="inlineStr">
        <is>
          <t>Protheus</t>
        </is>
      </c>
      <c r="B12" s="96" t="inlineStr">
        <is>
          <t>001263</t>
        </is>
      </c>
      <c r="C12" s="97">
        <f>IF(B12="—","—",IFERROR(VLOOKUP(B12,_Protheus_Cadastro!$A:$B,2,FALSE),"—"))</f>
        <v/>
      </c>
      <c r="D12" s="98">
        <f>IF(B12="—",IFERROR(INDEX(_ZIG_Cadastro!$D:$D,MATCH(H12,_ZIG_Cadastro!$A:$A,0)),"Produto"),IFERROR(VLOOKUP(B12,_Protheus_Cadastro!$A:$C,3,FALSE),"—"))</f>
        <v/>
      </c>
      <c r="E12" s="98">
        <f>IF(B12="—","—",IFERROR(VLOOKUP(B12,_Protheus_Cadastro!$A:$D,4,FALSE),"—"))</f>
        <v/>
      </c>
      <c r="F12" s="98">
        <f>IF(ISERROR(VLOOKUP(B12,'Estrutura Protheus'!A:A,1,FALSE)),"Não","Sim")</f>
        <v/>
      </c>
      <c r="G12" s="99">
        <f>IFERROR(INDEX(_Protheus_Cadastro!$H:$H,MATCH(B12,_Protheus_Cadastro!$A:$A,0)),"—")</f>
        <v/>
      </c>
      <c r="H12" s="211">
        <f>IFERROR(INDEX(_ZIG_Precos!$D:$D,MATCH(I12,_ZIG_Precos!$F:$F,0)),"—")</f>
        <v/>
      </c>
      <c r="I12" s="103">
        <f>IFERROR(VLOOKUP(B12,_Protheus_Cadastro!$A:$I,9,FALSE),"—")</f>
        <v/>
      </c>
      <c r="J12" s="101">
        <f>IFERROR(INDEX(_ZIG_Cadastro!$B:$B,MATCH(I12,_ZIG_Cadastro!$A:$A,0)),IFERROR(INDEX(_Entradas_ZIG!$B:$B,MATCH(I12,_Entradas_ZIG!$C:$C,0)),"—"))</f>
        <v/>
      </c>
      <c r="K12" s="101">
        <f>IFERROR(INDEX(_ZIG_Cadastro!$C:$C,MATCH(I12,_ZIG_Cadastro!$A:$A,0)),IFERROR(INDEX(_Entradas_ZIG!$D:$D,MATCH(I12,_Entradas_ZIG!$C:$C,0)),"—"))</f>
        <v/>
      </c>
      <c r="L12" s="99">
        <f>IF(I12="","Sem SKU ZIG",IF(I12="—","Sem SKU ZIG",IF(NOT(ISERROR(MATCH(I12,_ZIG_Cadastro!$A:$A,0))),IF(EXACT(UPPER(TRIM(C12)),UPPER(TRIM(INDEX(_ZIG_Cadastro!$B:$B,MATCH(I12,_ZIG_Cadastro!$A:$A,0))))),"OK","Atencao - Nome diverge"),IF(NOT(ISERROR(MATCH(I12,_Entradas_ZIG!$C:$C,0))),"OK","Erro - SKU nao encontrado"))))</f>
        <v/>
      </c>
      <c r="M12" s="99">
        <f>IFERROR(INDEX(_ZIG_Cadastro!$G:$G,MATCH(I12,_ZIG_Cadastro!$A:$A,0)),IF(NOT(ISERROR(MATCH(I12,_Entradas_ZIG!$C:$C,0))),"Ativo","—"))</f>
        <v/>
      </c>
      <c r="N12" s="102">
        <f>IFERROR(INDEX(_ZIG_Cadastro!$E:$E,MATCH(I12,_ZIG_Cadastro!$A:$A,0)),IFERROR(INDEX(_Entradas_ZIG!$F:$F,MATCH(I12,_Entradas_ZIG!$C:$C,0)),"—"))</f>
        <v/>
      </c>
      <c r="O12" s="99">
        <f>IF(AND(ISNUMBER(SEARCH("Espeto",N12)),ISNUMBER(SEARCH("Carin",N12))),"SIM","")</f>
        <v/>
      </c>
      <c r="P12" s="99">
        <f>IF(AND(ISNUMBER(SEARCH("Espeto",N12)),ISNUMBER(SEARCH("Lapa",N12))),"SIM","")</f>
        <v/>
      </c>
      <c r="Q12" s="99">
        <f>IF(AND(ISNUMBER(SEARCH("Espeto",N12)),ISNUMBER(SEARCH("Tatuapé",N12))),"SIM","")</f>
        <v/>
      </c>
      <c r="R12" s="99">
        <f>IF(AND(ISNUMBER(SEARCH("Espeto",N12)),ISNUMBER(SEARCH("Pavão",N12))),"SIM","")</f>
        <v/>
      </c>
      <c r="S12" s="99">
        <f>IF(AND(ISNUMBER(SEARCH("Espeto",N12)),ISNUMBER(SEARCH("Chac",N12))),"SIM","")</f>
        <v/>
      </c>
      <c r="T12" s="99">
        <f>IF(AND(ISNUMBER(SEARCH("Espeto",N12)),ISNUMBER(SEARCH("Madalena",N12))),"SIM","")</f>
        <v/>
      </c>
      <c r="U12" s="99">
        <f>IF(AND(ISNUMBER(SEARCH("Espeto",N12)),ISNUMBER(SEARCH("Mariana",N12))),"SIM","")</f>
        <v/>
      </c>
      <c r="V12" s="99">
        <f>IF(AND(ISNUMBER(SEARCH("Espeto",N12)),ISNUMBER(SEARCH("Perdizes",N12))),"SIM","")</f>
        <v/>
      </c>
      <c r="W12" s="99">
        <f>IF(AND(ISNUMBER(SEARCH("Espeto",N12)),ISNUMBER(SEARCH("Santana",N12))),"SIM","")</f>
        <v/>
      </c>
      <c r="X12" s="99">
        <f>IF(AND(ISNUMBER(SEARCH("Espeto",N12)),ISNUMBER(SEARCH("André",N12))),"SIM","")</f>
        <v/>
      </c>
      <c r="Y12" s="99">
        <f>IF(AND(ISNUMBER(SEARCH("Delivery",N12)),ISNUMBER(SEARCH("Carin",N12))),"SIM","")</f>
        <v/>
      </c>
      <c r="Z12" s="99">
        <f>IF(AND(ISNUMBER(SEARCH("Delivery",N12)),ISNUMBER(SEARCH("Lapa",N12))),"SIM","")</f>
        <v/>
      </c>
      <c r="AA12" s="99">
        <f>IF(AND(ISNUMBER(SEARCH("Delivery",N12)),ISNUMBER(SEARCH("Tatuapé",N12))),"SIM","")</f>
        <v/>
      </c>
      <c r="AB12" s="99">
        <f>IF(AND(ISNUMBER(SEARCH("Delivery",N12)),ISNUMBER(SEARCH("Pavão",N12))),"SIM","")</f>
        <v/>
      </c>
      <c r="AC12" s="99">
        <f>IF(AND(ISNUMBER(SEARCH("Delivery",N12)),ISNUMBER(SEARCH("Chac",N12))),"SIM","")</f>
        <v/>
      </c>
      <c r="AD12" s="99">
        <f>IF(AND(ISNUMBER(SEARCH("Delivery",N12)),ISNUMBER(SEARCH("Madalena",N12))),"SIM","")</f>
        <v/>
      </c>
      <c r="AE12" s="92">
        <f>IF(AND(ISNUMBER(SEARCH("Delivery",N12)),ISNUMBER(SEARCH("Mariana",N12))),"SIM","")</f>
        <v/>
      </c>
      <c r="AF12" s="92">
        <f>IF(AND(ISNUMBER(SEARCH("Delivery",N12)),ISNUMBER(SEARCH("Perdizes",N12))),"SIM","")</f>
        <v/>
      </c>
      <c r="AG12" s="92">
        <f>IF(AND(ISNUMBER(SEARCH("Delivery",N12)),ISNUMBER(SEARCH("Santana",N12))),"SIM","")</f>
        <v/>
      </c>
      <c r="AH12" s="92">
        <f>IF(AND(ISNUMBER(SEARCH("Delivery",N12)),ISNUMBER(SEARCH("André",N12))),"SIM","")</f>
        <v/>
      </c>
      <c r="AI12" s="92">
        <f>IF(ISNUMBER(SEARCH("Interlagos",N12)),"SIM","")</f>
        <v/>
      </c>
      <c r="AJ12" s="92">
        <f>IF(ISNUMBER(SEARCH("Quiosque",N12)),"SIM","")</f>
        <v/>
      </c>
      <c r="AK12" s="93" t="n"/>
    </row>
    <row r="13">
      <c r="A13" s="88" t="inlineStr">
        <is>
          <t>Protheus</t>
        </is>
      </c>
      <c r="B13" s="89" t="inlineStr">
        <is>
          <t>001331</t>
        </is>
      </c>
      <c r="C13" s="90">
        <f>IF(B13="—","—",IFERROR(VLOOKUP(B13,_Protheus_Cadastro!$A:$B,2,FALSE),"—"))</f>
        <v/>
      </c>
      <c r="D13" s="91">
        <f>IF(B13="—",IFERROR(INDEX(_ZIG_Cadastro!$D:$D,MATCH(H13,_ZIG_Cadastro!$A:$A,0)),"Produto"),IFERROR(VLOOKUP(B13,_Protheus_Cadastro!$A:$C,3,FALSE),"—"))</f>
        <v/>
      </c>
      <c r="E13" s="91">
        <f>IF(B13="—","—",IFERROR(VLOOKUP(B13,_Protheus_Cadastro!$A:$D,4,FALSE),"—"))</f>
        <v/>
      </c>
      <c r="F13" s="91">
        <f>IF(ISERROR(VLOOKUP(B13,'Estrutura Protheus'!A:A,1,FALSE)),"Não","Sim")</f>
        <v/>
      </c>
      <c r="G13" s="92">
        <f>IFERROR(INDEX(_Protheus_Cadastro!$H:$H,MATCH(B13,_Protheus_Cadastro!$A:$A,0)),"—")</f>
        <v/>
      </c>
      <c r="H13" s="210">
        <f>IFERROR(INDEX(_ZIG_Precos!$D:$D,MATCH(I13,_ZIG_Precos!$F:$F,0)),"—")</f>
        <v/>
      </c>
      <c r="I13" s="95">
        <f>IFERROR(VLOOKUP(B13,_Protheus_Cadastro!$A:$I,9,FALSE),"—")</f>
        <v/>
      </c>
      <c r="J13" s="93">
        <f>IFERROR(INDEX(_ZIG_Cadastro!$B:$B,MATCH(I13,_ZIG_Cadastro!$A:$A,0)),IFERROR(INDEX(_Entradas_ZIG!$B:$B,MATCH(I13,_Entradas_ZIG!$C:$C,0)),"—"))</f>
        <v/>
      </c>
      <c r="K13" s="93">
        <f>IFERROR(INDEX(_ZIG_Cadastro!$C:$C,MATCH(I13,_ZIG_Cadastro!$A:$A,0)),IFERROR(INDEX(_Entradas_ZIG!$D:$D,MATCH(I13,_Entradas_ZIG!$C:$C,0)),"—"))</f>
        <v/>
      </c>
      <c r="L13" s="92">
        <f>IF(I13="","Sem SKU ZIG",IF(I13="—","Sem SKU ZIG",IF(NOT(ISERROR(MATCH(I13,_ZIG_Cadastro!$A:$A,0))),IF(EXACT(UPPER(TRIM(C13)),UPPER(TRIM(INDEX(_ZIG_Cadastro!$B:$B,MATCH(I13,_ZIG_Cadastro!$A:$A,0))))),"OK","Atencao - Nome diverge"),IF(NOT(ISERROR(MATCH(I13,_Entradas_ZIG!$C:$C,0))),"OK","Erro - SKU nao encontrado"))))</f>
        <v/>
      </c>
      <c r="M13" s="92">
        <f>IFERROR(INDEX(_ZIG_Cadastro!$G:$G,MATCH(I13,_ZIG_Cadastro!$A:$A,0)),IF(NOT(ISERROR(MATCH(I13,_Entradas_ZIG!$C:$C,0))),"Ativo","—"))</f>
        <v/>
      </c>
      <c r="N13" s="94">
        <f>IFERROR(INDEX(_ZIG_Cadastro!$E:$E,MATCH(I13,_ZIG_Cadastro!$A:$A,0)),IFERROR(INDEX(_Entradas_ZIG!$F:$F,MATCH(I13,_Entradas_ZIG!$C:$C,0)),"—"))</f>
        <v/>
      </c>
      <c r="O13" s="92">
        <f>IF(AND(ISNUMBER(SEARCH("Espeto",N13)),ISNUMBER(SEARCH("Carin",N13))),"SIM","")</f>
        <v/>
      </c>
      <c r="P13" s="92">
        <f>IF(AND(ISNUMBER(SEARCH("Espeto",N13)),ISNUMBER(SEARCH("Lapa",N13))),"SIM","")</f>
        <v/>
      </c>
      <c r="Q13" s="92">
        <f>IF(AND(ISNUMBER(SEARCH("Espeto",N13)),ISNUMBER(SEARCH("Tatuapé",N13))),"SIM","")</f>
        <v/>
      </c>
      <c r="R13" s="92">
        <f>IF(AND(ISNUMBER(SEARCH("Espeto",N13)),ISNUMBER(SEARCH("Pavão",N13))),"SIM","")</f>
        <v/>
      </c>
      <c r="S13" s="92">
        <f>IF(AND(ISNUMBER(SEARCH("Espeto",N13)),ISNUMBER(SEARCH("Chac",N13))),"SIM","")</f>
        <v/>
      </c>
      <c r="T13" s="92">
        <f>IF(AND(ISNUMBER(SEARCH("Espeto",N13)),ISNUMBER(SEARCH("Madalena",N13))),"SIM","")</f>
        <v/>
      </c>
      <c r="U13" s="92">
        <f>IF(AND(ISNUMBER(SEARCH("Espeto",N13)),ISNUMBER(SEARCH("Mariana",N13))),"SIM","")</f>
        <v/>
      </c>
      <c r="V13" s="92">
        <f>IF(AND(ISNUMBER(SEARCH("Espeto",N13)),ISNUMBER(SEARCH("Perdizes",N13))),"SIM","")</f>
        <v/>
      </c>
      <c r="W13" s="92">
        <f>IF(AND(ISNUMBER(SEARCH("Espeto",N13)),ISNUMBER(SEARCH("Santana",N13))),"SIM","")</f>
        <v/>
      </c>
      <c r="X13" s="92">
        <f>IF(AND(ISNUMBER(SEARCH("Espeto",N13)),ISNUMBER(SEARCH("André",N13))),"SIM","")</f>
        <v/>
      </c>
      <c r="Y13" s="92">
        <f>IF(AND(ISNUMBER(SEARCH("Delivery",N13)),ISNUMBER(SEARCH("Carin",N13))),"SIM","")</f>
        <v/>
      </c>
      <c r="Z13" s="92">
        <f>IF(AND(ISNUMBER(SEARCH("Delivery",N13)),ISNUMBER(SEARCH("Lapa",N13))),"SIM","")</f>
        <v/>
      </c>
      <c r="AA13" s="92">
        <f>IF(AND(ISNUMBER(SEARCH("Delivery",N13)),ISNUMBER(SEARCH("Tatuapé",N13))),"SIM","")</f>
        <v/>
      </c>
      <c r="AB13" s="92">
        <f>IF(AND(ISNUMBER(SEARCH("Delivery",N13)),ISNUMBER(SEARCH("Pavão",N13))),"SIM","")</f>
        <v/>
      </c>
      <c r="AC13" s="92">
        <f>IF(AND(ISNUMBER(SEARCH("Delivery",N13)),ISNUMBER(SEARCH("Chac",N13))),"SIM","")</f>
        <v/>
      </c>
      <c r="AD13" s="92">
        <f>IF(AND(ISNUMBER(SEARCH("Delivery",N13)),ISNUMBER(SEARCH("Madalena",N13))),"SIM","")</f>
        <v/>
      </c>
      <c r="AE13" s="99">
        <f>IF(AND(ISNUMBER(SEARCH("Delivery",N13)),ISNUMBER(SEARCH("Mariana",N13))),"SIM","")</f>
        <v/>
      </c>
      <c r="AF13" s="99">
        <f>IF(AND(ISNUMBER(SEARCH("Delivery",N13)),ISNUMBER(SEARCH("Perdizes",N13))),"SIM","")</f>
        <v/>
      </c>
      <c r="AG13" s="99">
        <f>IF(AND(ISNUMBER(SEARCH("Delivery",N13)),ISNUMBER(SEARCH("Santana",N13))),"SIM","")</f>
        <v/>
      </c>
      <c r="AH13" s="99">
        <f>IF(AND(ISNUMBER(SEARCH("Delivery",N13)),ISNUMBER(SEARCH("André",N13))),"SIM","")</f>
        <v/>
      </c>
      <c r="AI13" s="99">
        <f>IF(ISNUMBER(SEARCH("Interlagos",N13)),"SIM","")</f>
        <v/>
      </c>
      <c r="AJ13" s="99">
        <f>IF(ISNUMBER(SEARCH("Quiosque",N13)),"SIM","")</f>
        <v/>
      </c>
      <c r="AK13" s="101" t="n"/>
    </row>
    <row r="14">
      <c r="A14" s="88" t="inlineStr">
        <is>
          <t>Protheus</t>
        </is>
      </c>
      <c r="B14" s="96" t="inlineStr">
        <is>
          <t>001396</t>
        </is>
      </c>
      <c r="C14" s="97">
        <f>IF(B14="—","—",IFERROR(VLOOKUP(B14,_Protheus_Cadastro!$A:$B,2,FALSE),"—"))</f>
        <v/>
      </c>
      <c r="D14" s="98">
        <f>IF(B14="—",IFERROR(INDEX(_ZIG_Cadastro!$D:$D,MATCH(H14,_ZIG_Cadastro!$A:$A,0)),"Produto"),IFERROR(VLOOKUP(B14,_Protheus_Cadastro!$A:$C,3,FALSE),"—"))</f>
        <v/>
      </c>
      <c r="E14" s="98">
        <f>IF(B14="—","—",IFERROR(VLOOKUP(B14,_Protheus_Cadastro!$A:$D,4,FALSE),"—"))</f>
        <v/>
      </c>
      <c r="F14" s="98">
        <f>IF(ISERROR(VLOOKUP(B14,'Estrutura Protheus'!A:A,1,FALSE)),"Não","Sim")</f>
        <v/>
      </c>
      <c r="G14" s="99">
        <f>IFERROR(INDEX(_Protheus_Cadastro!$H:$H,MATCH(B14,_Protheus_Cadastro!$A:$A,0)),"—")</f>
        <v/>
      </c>
      <c r="H14" s="211">
        <f>IFERROR(INDEX(_ZIG_Precos!$D:$D,MATCH(I14,_ZIG_Precos!$F:$F,0)),"—")</f>
        <v/>
      </c>
      <c r="I14" s="103">
        <f>IFERROR(VLOOKUP(B14,_Protheus_Cadastro!$A:$I,9,FALSE),"—")</f>
        <v/>
      </c>
      <c r="J14" s="101">
        <f>IFERROR(INDEX(_ZIG_Cadastro!$B:$B,MATCH(I14,_ZIG_Cadastro!$A:$A,0)),IFERROR(INDEX(_Entradas_ZIG!$B:$B,MATCH(I14,_Entradas_ZIG!$C:$C,0)),"—"))</f>
        <v/>
      </c>
      <c r="K14" s="101">
        <f>IFERROR(INDEX(_ZIG_Cadastro!$C:$C,MATCH(I14,_ZIG_Cadastro!$A:$A,0)),IFERROR(INDEX(_Entradas_ZIG!$D:$D,MATCH(I14,_Entradas_ZIG!$C:$C,0)),"—"))</f>
        <v/>
      </c>
      <c r="L14" s="99">
        <f>IF(I14="","Sem SKU ZIG",IF(I14="—","Sem SKU ZIG",IF(NOT(ISERROR(MATCH(I14,_ZIG_Cadastro!$A:$A,0))),IF(EXACT(UPPER(TRIM(C14)),UPPER(TRIM(INDEX(_ZIG_Cadastro!$B:$B,MATCH(I14,_ZIG_Cadastro!$A:$A,0))))),"OK","Atencao - Nome diverge"),IF(NOT(ISERROR(MATCH(I14,_Entradas_ZIG!$C:$C,0))),"OK","Erro - SKU nao encontrado"))))</f>
        <v/>
      </c>
      <c r="M14" s="99">
        <f>IFERROR(INDEX(_ZIG_Cadastro!$G:$G,MATCH(I14,_ZIG_Cadastro!$A:$A,0)),IF(NOT(ISERROR(MATCH(I14,_Entradas_ZIG!$C:$C,0))),"Ativo","—"))</f>
        <v/>
      </c>
      <c r="N14" s="102">
        <f>IFERROR(INDEX(_ZIG_Cadastro!$E:$E,MATCH(I14,_ZIG_Cadastro!$A:$A,0)),IFERROR(INDEX(_Entradas_ZIG!$F:$F,MATCH(I14,_Entradas_ZIG!$C:$C,0)),"—"))</f>
        <v/>
      </c>
      <c r="O14" s="99">
        <f>IF(AND(ISNUMBER(SEARCH("Espeto",N14)),ISNUMBER(SEARCH("Carin",N14))),"SIM","")</f>
        <v/>
      </c>
      <c r="P14" s="99">
        <f>IF(AND(ISNUMBER(SEARCH("Espeto",N14)),ISNUMBER(SEARCH("Lapa",N14))),"SIM","")</f>
        <v/>
      </c>
      <c r="Q14" s="99">
        <f>IF(AND(ISNUMBER(SEARCH("Espeto",N14)),ISNUMBER(SEARCH("Tatuapé",N14))),"SIM","")</f>
        <v/>
      </c>
      <c r="R14" s="99">
        <f>IF(AND(ISNUMBER(SEARCH("Espeto",N14)),ISNUMBER(SEARCH("Pavão",N14))),"SIM","")</f>
        <v/>
      </c>
      <c r="S14" s="99">
        <f>IF(AND(ISNUMBER(SEARCH("Espeto",N14)),ISNUMBER(SEARCH("Chac",N14))),"SIM","")</f>
        <v/>
      </c>
      <c r="T14" s="99">
        <f>IF(AND(ISNUMBER(SEARCH("Espeto",N14)),ISNUMBER(SEARCH("Madalena",N14))),"SIM","")</f>
        <v/>
      </c>
      <c r="U14" s="99">
        <f>IF(AND(ISNUMBER(SEARCH("Espeto",N14)),ISNUMBER(SEARCH("Mariana",N14))),"SIM","")</f>
        <v/>
      </c>
      <c r="V14" s="99">
        <f>IF(AND(ISNUMBER(SEARCH("Espeto",N14)),ISNUMBER(SEARCH("Perdizes",N14))),"SIM","")</f>
        <v/>
      </c>
      <c r="W14" s="99">
        <f>IF(AND(ISNUMBER(SEARCH("Espeto",N14)),ISNUMBER(SEARCH("Santana",N14))),"SIM","")</f>
        <v/>
      </c>
      <c r="X14" s="99">
        <f>IF(AND(ISNUMBER(SEARCH("Espeto",N14)),ISNUMBER(SEARCH("André",N14))),"SIM","")</f>
        <v/>
      </c>
      <c r="Y14" s="99">
        <f>IF(AND(ISNUMBER(SEARCH("Delivery",N14)),ISNUMBER(SEARCH("Carin",N14))),"SIM","")</f>
        <v/>
      </c>
      <c r="Z14" s="99">
        <f>IF(AND(ISNUMBER(SEARCH("Delivery",N14)),ISNUMBER(SEARCH("Lapa",N14))),"SIM","")</f>
        <v/>
      </c>
      <c r="AA14" s="99">
        <f>IF(AND(ISNUMBER(SEARCH("Delivery",N14)),ISNUMBER(SEARCH("Tatuapé",N14))),"SIM","")</f>
        <v/>
      </c>
      <c r="AB14" s="99">
        <f>IF(AND(ISNUMBER(SEARCH("Delivery",N14)),ISNUMBER(SEARCH("Pavão",N14))),"SIM","")</f>
        <v/>
      </c>
      <c r="AC14" s="99">
        <f>IF(AND(ISNUMBER(SEARCH("Delivery",N14)),ISNUMBER(SEARCH("Chac",N14))),"SIM","")</f>
        <v/>
      </c>
      <c r="AD14" s="99">
        <f>IF(AND(ISNUMBER(SEARCH("Delivery",N14)),ISNUMBER(SEARCH("Madalena",N14))),"SIM","")</f>
        <v/>
      </c>
      <c r="AE14" s="92">
        <f>IF(AND(ISNUMBER(SEARCH("Delivery",N14)),ISNUMBER(SEARCH("Mariana",N14))),"SIM","")</f>
        <v/>
      </c>
      <c r="AF14" s="92">
        <f>IF(AND(ISNUMBER(SEARCH("Delivery",N14)),ISNUMBER(SEARCH("Perdizes",N14))),"SIM","")</f>
        <v/>
      </c>
      <c r="AG14" s="92">
        <f>IF(AND(ISNUMBER(SEARCH("Delivery",N14)),ISNUMBER(SEARCH("Santana",N14))),"SIM","")</f>
        <v/>
      </c>
      <c r="AH14" s="92">
        <f>IF(AND(ISNUMBER(SEARCH("Delivery",N14)),ISNUMBER(SEARCH("André",N14))),"SIM","")</f>
        <v/>
      </c>
      <c r="AI14" s="92">
        <f>IF(ISNUMBER(SEARCH("Interlagos",N14)),"SIM","")</f>
        <v/>
      </c>
      <c r="AJ14" s="92">
        <f>IF(ISNUMBER(SEARCH("Quiosque",N14)),"SIM","")</f>
        <v/>
      </c>
      <c r="AK14" s="93" t="n"/>
    </row>
    <row r="15">
      <c r="A15" s="88" t="inlineStr">
        <is>
          <t>Protheus</t>
        </is>
      </c>
      <c r="B15" s="96" t="inlineStr">
        <is>
          <t>001295</t>
        </is>
      </c>
      <c r="C15" s="97">
        <f>IF(B15="—","—",IFERROR(VLOOKUP(B15,_Protheus_Cadastro!$A:$B,2,FALSE),"—"))</f>
        <v/>
      </c>
      <c r="D15" s="98">
        <f>IF(B15="—",IFERROR(INDEX(_ZIG_Cadastro!$D:$D,MATCH(H15,_ZIG_Cadastro!$A:$A,0)),"Produto"),IFERROR(VLOOKUP(B15,_Protheus_Cadastro!$A:$C,3,FALSE),"—"))</f>
        <v/>
      </c>
      <c r="E15" s="98">
        <f>IF(B15="—","—",IFERROR(VLOOKUP(B15,_Protheus_Cadastro!$A:$D,4,FALSE),"—"))</f>
        <v/>
      </c>
      <c r="F15" s="98">
        <f>IF(ISERROR(VLOOKUP(B15,'Estrutura Protheus'!A:A,1,FALSE)),"Não","Sim")</f>
        <v/>
      </c>
      <c r="G15" s="99">
        <f>IFERROR(INDEX(_Protheus_Cadastro!$H:$H,MATCH(B15,_Protheus_Cadastro!$A:$A,0)),"—")</f>
        <v/>
      </c>
      <c r="H15" s="211">
        <f>IFERROR(INDEX(_ZIG_Precos!$D:$D,MATCH(I15,_ZIG_Precos!$F:$F,0)),"—")</f>
        <v/>
      </c>
      <c r="I15" s="103">
        <f>IFERROR(VLOOKUP(B15,_Protheus_Cadastro!$A:$I,9,FALSE),"—")</f>
        <v/>
      </c>
      <c r="J15" s="101">
        <f>IFERROR(INDEX(_ZIG_Cadastro!$B:$B,MATCH(I15,_ZIG_Cadastro!$A:$A,0)),IFERROR(INDEX(_Entradas_ZIG!$B:$B,MATCH(I15,_Entradas_ZIG!$C:$C,0)),"—"))</f>
        <v/>
      </c>
      <c r="K15" s="101">
        <f>IFERROR(INDEX(_ZIG_Cadastro!$C:$C,MATCH(I15,_ZIG_Cadastro!$A:$A,0)),IFERROR(INDEX(_Entradas_ZIG!$D:$D,MATCH(I15,_Entradas_ZIG!$C:$C,0)),"—"))</f>
        <v/>
      </c>
      <c r="L15" s="99">
        <f>IF(I15="","Sem SKU ZIG",IF(I15="—","Sem SKU ZIG",IF(NOT(ISERROR(MATCH(I15,_ZIG_Cadastro!$A:$A,0))),IF(EXACT(UPPER(TRIM(C15)),UPPER(TRIM(INDEX(_ZIG_Cadastro!$B:$B,MATCH(I15,_ZIG_Cadastro!$A:$A,0))))),"OK","Atencao - Nome diverge"),IF(NOT(ISERROR(MATCH(I15,_Entradas_ZIG!$C:$C,0))),"OK","Erro - SKU nao encontrado"))))</f>
        <v/>
      </c>
      <c r="M15" s="99">
        <f>IFERROR(INDEX(_ZIG_Cadastro!$G:$G,MATCH(I15,_ZIG_Cadastro!$A:$A,0)),IF(NOT(ISERROR(MATCH(I15,_Entradas_ZIG!$C:$C,0))),"Ativo","—"))</f>
        <v/>
      </c>
      <c r="N15" s="102">
        <f>IFERROR(INDEX(_ZIG_Cadastro!$E:$E,MATCH(I15,_ZIG_Cadastro!$A:$A,0)),IFERROR(INDEX(_Entradas_ZIG!$F:$F,MATCH(I15,_Entradas_ZIG!$C:$C,0)),"—"))</f>
        <v/>
      </c>
      <c r="O15" s="99">
        <f>IF(AND(ISNUMBER(SEARCH("Espeto",N15)),ISNUMBER(SEARCH("Carin",N15))),"SIM","")</f>
        <v/>
      </c>
      <c r="P15" s="99">
        <f>IF(AND(ISNUMBER(SEARCH("Espeto",N15)),ISNUMBER(SEARCH("Lapa",N15))),"SIM","")</f>
        <v/>
      </c>
      <c r="Q15" s="99">
        <f>IF(AND(ISNUMBER(SEARCH("Espeto",N15)),ISNUMBER(SEARCH("Tatuapé",N15))),"SIM","")</f>
        <v/>
      </c>
      <c r="R15" s="99">
        <f>IF(AND(ISNUMBER(SEARCH("Espeto",N15)),ISNUMBER(SEARCH("Pavão",N15))),"SIM","")</f>
        <v/>
      </c>
      <c r="S15" s="99">
        <f>IF(AND(ISNUMBER(SEARCH("Espeto",N15)),ISNUMBER(SEARCH("Chac",N15))),"SIM","")</f>
        <v/>
      </c>
      <c r="T15" s="99">
        <f>IF(AND(ISNUMBER(SEARCH("Espeto",N15)),ISNUMBER(SEARCH("Madalena",N15))),"SIM","")</f>
        <v/>
      </c>
      <c r="U15" s="99">
        <f>IF(AND(ISNUMBER(SEARCH("Espeto",N15)),ISNUMBER(SEARCH("Mariana",N15))),"SIM","")</f>
        <v/>
      </c>
      <c r="V15" s="99">
        <f>IF(AND(ISNUMBER(SEARCH("Espeto",N15)),ISNUMBER(SEARCH("Perdizes",N15))),"SIM","")</f>
        <v/>
      </c>
      <c r="W15" s="99">
        <f>IF(AND(ISNUMBER(SEARCH("Espeto",N15)),ISNUMBER(SEARCH("Santana",N15))),"SIM","")</f>
        <v/>
      </c>
      <c r="X15" s="99">
        <f>IF(AND(ISNUMBER(SEARCH("Espeto",N15)),ISNUMBER(SEARCH("André",N15))),"SIM","")</f>
        <v/>
      </c>
      <c r="Y15" s="99">
        <f>IF(AND(ISNUMBER(SEARCH("Delivery",N15)),ISNUMBER(SEARCH("Carin",N15))),"SIM","")</f>
        <v/>
      </c>
      <c r="Z15" s="99">
        <f>IF(AND(ISNUMBER(SEARCH("Delivery",N15)),ISNUMBER(SEARCH("Lapa",N15))),"SIM","")</f>
        <v/>
      </c>
      <c r="AA15" s="99">
        <f>IF(AND(ISNUMBER(SEARCH("Delivery",N15)),ISNUMBER(SEARCH("Tatuapé",N15))),"SIM","")</f>
        <v/>
      </c>
      <c r="AB15" s="99">
        <f>IF(AND(ISNUMBER(SEARCH("Delivery",N15)),ISNUMBER(SEARCH("Pavão",N15))),"SIM","")</f>
        <v/>
      </c>
      <c r="AC15" s="99">
        <f>IF(AND(ISNUMBER(SEARCH("Delivery",N15)),ISNUMBER(SEARCH("Chac",N15))),"SIM","")</f>
        <v/>
      </c>
      <c r="AD15" s="99">
        <f>IF(AND(ISNUMBER(SEARCH("Delivery",N15)),ISNUMBER(SEARCH("Madalena",N15))),"SIM","")</f>
        <v/>
      </c>
      <c r="AE15" s="92">
        <f>IF(AND(ISNUMBER(SEARCH("Delivery",N15)),ISNUMBER(SEARCH("Mariana",N15))),"SIM","")</f>
        <v/>
      </c>
      <c r="AF15" s="92">
        <f>IF(AND(ISNUMBER(SEARCH("Delivery",N15)),ISNUMBER(SEARCH("Perdizes",N15))),"SIM","")</f>
        <v/>
      </c>
      <c r="AG15" s="92">
        <f>IF(AND(ISNUMBER(SEARCH("Delivery",N15)),ISNUMBER(SEARCH("Santana",N15))),"SIM","")</f>
        <v/>
      </c>
      <c r="AH15" s="92">
        <f>IF(AND(ISNUMBER(SEARCH("Delivery",N15)),ISNUMBER(SEARCH("André",N15))),"SIM","")</f>
        <v/>
      </c>
      <c r="AI15" s="92">
        <f>IF(ISNUMBER(SEARCH("Interlagos",N15)),"SIM","")</f>
        <v/>
      </c>
      <c r="AJ15" s="92">
        <f>IF(ISNUMBER(SEARCH("Quiosque",N15)),"SIM","")</f>
        <v/>
      </c>
      <c r="AK15" s="93" t="n"/>
    </row>
    <row r="16">
      <c r="A16" s="88" t="inlineStr">
        <is>
          <t>Protheus</t>
        </is>
      </c>
      <c r="B16" s="89" t="inlineStr">
        <is>
          <t>001265</t>
        </is>
      </c>
      <c r="C16" s="90">
        <f>IF(B16="—","—",IFERROR(VLOOKUP(B16,_Protheus_Cadastro!$A:$B,2,FALSE),"—"))</f>
        <v/>
      </c>
      <c r="D16" s="91">
        <f>IF(B16="—",IFERROR(INDEX(_ZIG_Cadastro!$D:$D,MATCH(H16,_ZIG_Cadastro!$A:$A,0)),"Produto"),IFERROR(VLOOKUP(B16,_Protheus_Cadastro!$A:$C,3,FALSE),"—"))</f>
        <v/>
      </c>
      <c r="E16" s="91">
        <f>IF(B16="—","—",IFERROR(VLOOKUP(B16,_Protheus_Cadastro!$A:$D,4,FALSE),"—"))</f>
        <v/>
      </c>
      <c r="F16" s="91">
        <f>IF(ISERROR(VLOOKUP(B16,'Estrutura Protheus'!A:A,1,FALSE)),"Não","Sim")</f>
        <v/>
      </c>
      <c r="G16" s="92">
        <f>IFERROR(INDEX(_Protheus_Cadastro!$H:$H,MATCH(B16,_Protheus_Cadastro!$A:$A,0)),"—")</f>
        <v/>
      </c>
      <c r="H16" s="210">
        <f>IFERROR(INDEX(_ZIG_Precos!$D:$D,MATCH(I16,_ZIG_Precos!$F:$F,0)),"—")</f>
        <v/>
      </c>
      <c r="I16" s="95">
        <f>IFERROR(VLOOKUP(B16,_Protheus_Cadastro!$A:$I,9,FALSE),"—")</f>
        <v/>
      </c>
      <c r="J16" s="93">
        <f>IFERROR(INDEX(_ZIG_Cadastro!$B:$B,MATCH(I16,_ZIG_Cadastro!$A:$A,0)),IFERROR(INDEX(_Entradas_ZIG!$B:$B,MATCH(I16,_Entradas_ZIG!$C:$C,0)),"—"))</f>
        <v/>
      </c>
      <c r="K16" s="93">
        <f>IFERROR(INDEX(_ZIG_Cadastro!$C:$C,MATCH(I16,_ZIG_Cadastro!$A:$A,0)),IFERROR(INDEX(_Entradas_ZIG!$D:$D,MATCH(I16,_Entradas_ZIG!$C:$C,0)),"—"))</f>
        <v/>
      </c>
      <c r="L16" s="92">
        <f>IF(I16="","Sem SKU ZIG",IF(I16="—","Sem SKU ZIG",IF(NOT(ISERROR(MATCH(I16,_ZIG_Cadastro!$A:$A,0))),IF(EXACT(UPPER(TRIM(C16)),UPPER(TRIM(INDEX(_ZIG_Cadastro!$B:$B,MATCH(I16,_ZIG_Cadastro!$A:$A,0))))),"OK","Atencao - Nome diverge"),IF(NOT(ISERROR(MATCH(I16,_Entradas_ZIG!$C:$C,0))),"OK","Erro - SKU nao encontrado"))))</f>
        <v/>
      </c>
      <c r="M16" s="92">
        <f>IFERROR(INDEX(_ZIG_Cadastro!$G:$G,MATCH(I16,_ZIG_Cadastro!$A:$A,0)),IF(NOT(ISERROR(MATCH(I16,_Entradas_ZIG!$C:$C,0))),"Ativo","—"))</f>
        <v/>
      </c>
      <c r="N16" s="94">
        <f>IFERROR(INDEX(_ZIG_Cadastro!$E:$E,MATCH(I16,_ZIG_Cadastro!$A:$A,0)),IFERROR(INDEX(_Entradas_ZIG!$F:$F,MATCH(I16,_Entradas_ZIG!$C:$C,0)),"—"))</f>
        <v/>
      </c>
      <c r="O16" s="92">
        <f>IF(AND(ISNUMBER(SEARCH("Espeto",N16)),ISNUMBER(SEARCH("Carin",N16))),"SIM","")</f>
        <v/>
      </c>
      <c r="P16" s="92">
        <f>IF(AND(ISNUMBER(SEARCH("Espeto",N16)),ISNUMBER(SEARCH("Lapa",N16))),"SIM","")</f>
        <v/>
      </c>
      <c r="Q16" s="92">
        <f>IF(AND(ISNUMBER(SEARCH("Espeto",N16)),ISNUMBER(SEARCH("Tatuapé",N16))),"SIM","")</f>
        <v/>
      </c>
      <c r="R16" s="92">
        <f>IF(AND(ISNUMBER(SEARCH("Espeto",N16)),ISNUMBER(SEARCH("Pavão",N16))),"SIM","")</f>
        <v/>
      </c>
      <c r="S16" s="92">
        <f>IF(AND(ISNUMBER(SEARCH("Espeto",N16)),ISNUMBER(SEARCH("Chac",N16))),"SIM","")</f>
        <v/>
      </c>
      <c r="T16" s="92">
        <f>IF(AND(ISNUMBER(SEARCH("Espeto",N16)),ISNUMBER(SEARCH("Madalena",N16))),"SIM","")</f>
        <v/>
      </c>
      <c r="U16" s="92">
        <f>IF(AND(ISNUMBER(SEARCH("Espeto",N16)),ISNUMBER(SEARCH("Mariana",N16))),"SIM","")</f>
        <v/>
      </c>
      <c r="V16" s="92">
        <f>IF(AND(ISNUMBER(SEARCH("Espeto",N16)),ISNUMBER(SEARCH("Perdizes",N16))),"SIM","")</f>
        <v/>
      </c>
      <c r="W16" s="92">
        <f>IF(AND(ISNUMBER(SEARCH("Espeto",N16)),ISNUMBER(SEARCH("Santana",N16))),"SIM","")</f>
        <v/>
      </c>
      <c r="X16" s="92">
        <f>IF(AND(ISNUMBER(SEARCH("Espeto",N16)),ISNUMBER(SEARCH("André",N16))),"SIM","")</f>
        <v/>
      </c>
      <c r="Y16" s="92">
        <f>IF(AND(ISNUMBER(SEARCH("Delivery",N16)),ISNUMBER(SEARCH("Carin",N16))),"SIM","")</f>
        <v/>
      </c>
      <c r="Z16" s="92">
        <f>IF(AND(ISNUMBER(SEARCH("Delivery",N16)),ISNUMBER(SEARCH("Lapa",N16))),"SIM","")</f>
        <v/>
      </c>
      <c r="AA16" s="92">
        <f>IF(AND(ISNUMBER(SEARCH("Delivery",N16)),ISNUMBER(SEARCH("Tatuapé",N16))),"SIM","")</f>
        <v/>
      </c>
      <c r="AB16" s="92">
        <f>IF(AND(ISNUMBER(SEARCH("Delivery",N16)),ISNUMBER(SEARCH("Pavão",N16))),"SIM","")</f>
        <v/>
      </c>
      <c r="AC16" s="92">
        <f>IF(AND(ISNUMBER(SEARCH("Delivery",N16)),ISNUMBER(SEARCH("Chac",N16))),"SIM","")</f>
        <v/>
      </c>
      <c r="AD16" s="92">
        <f>IF(AND(ISNUMBER(SEARCH("Delivery",N16)),ISNUMBER(SEARCH("Madalena",N16))),"SIM","")</f>
        <v/>
      </c>
      <c r="AE16" s="99">
        <f>IF(AND(ISNUMBER(SEARCH("Delivery",N16)),ISNUMBER(SEARCH("Mariana",N16))),"SIM","")</f>
        <v/>
      </c>
      <c r="AF16" s="99">
        <f>IF(AND(ISNUMBER(SEARCH("Delivery",N16)),ISNUMBER(SEARCH("Perdizes",N16))),"SIM","")</f>
        <v/>
      </c>
      <c r="AG16" s="99">
        <f>IF(AND(ISNUMBER(SEARCH("Delivery",N16)),ISNUMBER(SEARCH("Santana",N16))),"SIM","")</f>
        <v/>
      </c>
      <c r="AH16" s="99">
        <f>IF(AND(ISNUMBER(SEARCH("Delivery",N16)),ISNUMBER(SEARCH("André",N16))),"SIM","")</f>
        <v/>
      </c>
      <c r="AI16" s="99">
        <f>IF(ISNUMBER(SEARCH("Interlagos",N16)),"SIM","")</f>
        <v/>
      </c>
      <c r="AJ16" s="99">
        <f>IF(ISNUMBER(SEARCH("Quiosque",N16)),"SIM","")</f>
        <v/>
      </c>
      <c r="AK16" s="101" t="n"/>
    </row>
    <row r="17">
      <c r="A17" s="88" t="inlineStr">
        <is>
          <t>Protheus</t>
        </is>
      </c>
      <c r="B17" s="96" t="inlineStr">
        <is>
          <t>001262</t>
        </is>
      </c>
      <c r="C17" s="97">
        <f>IF(B17="—","—",IFERROR(VLOOKUP(B17,_Protheus_Cadastro!$A:$B,2,FALSE),"—"))</f>
        <v/>
      </c>
      <c r="D17" s="98">
        <f>IF(B17="—",IFERROR(INDEX(_ZIG_Cadastro!$D:$D,MATCH(H17,_ZIG_Cadastro!$A:$A,0)),"Produto"),IFERROR(VLOOKUP(B17,_Protheus_Cadastro!$A:$C,3,FALSE),"—"))</f>
        <v/>
      </c>
      <c r="E17" s="98">
        <f>IF(B17="—","—",IFERROR(VLOOKUP(B17,_Protheus_Cadastro!$A:$D,4,FALSE),"—"))</f>
        <v/>
      </c>
      <c r="F17" s="98">
        <f>IF(ISERROR(VLOOKUP(B17,'Estrutura Protheus'!A:A,1,FALSE)),"Não","Sim")</f>
        <v/>
      </c>
      <c r="G17" s="99">
        <f>IFERROR(INDEX(_Protheus_Cadastro!$H:$H,MATCH(B17,_Protheus_Cadastro!$A:$A,0)),"—")</f>
        <v/>
      </c>
      <c r="H17" s="211">
        <f>IFERROR(INDEX(_ZIG_Precos!$D:$D,MATCH(I17,_ZIG_Precos!$F:$F,0)),"—")</f>
        <v/>
      </c>
      <c r="I17" s="103">
        <f>IFERROR(VLOOKUP(B17,_Protheus_Cadastro!$A:$I,9,FALSE),"—")</f>
        <v/>
      </c>
      <c r="J17" s="101">
        <f>IFERROR(INDEX(_ZIG_Cadastro!$B:$B,MATCH(I17,_ZIG_Cadastro!$A:$A,0)),IFERROR(INDEX(_Entradas_ZIG!$B:$B,MATCH(I17,_Entradas_ZIG!$C:$C,0)),"—"))</f>
        <v/>
      </c>
      <c r="K17" s="101">
        <f>IFERROR(INDEX(_ZIG_Cadastro!$C:$C,MATCH(I17,_ZIG_Cadastro!$A:$A,0)),IFERROR(INDEX(_Entradas_ZIG!$D:$D,MATCH(I17,_Entradas_ZIG!$C:$C,0)),"—"))</f>
        <v/>
      </c>
      <c r="L17" s="99">
        <f>IF(I17="","Sem SKU ZIG",IF(I17="—","Sem SKU ZIG",IF(NOT(ISERROR(MATCH(I17,_ZIG_Cadastro!$A:$A,0))),IF(EXACT(UPPER(TRIM(C17)),UPPER(TRIM(INDEX(_ZIG_Cadastro!$B:$B,MATCH(I17,_ZIG_Cadastro!$A:$A,0))))),"OK","Atencao - Nome diverge"),IF(NOT(ISERROR(MATCH(I17,_Entradas_ZIG!$C:$C,0))),"OK","Erro - SKU nao encontrado"))))</f>
        <v/>
      </c>
      <c r="M17" s="99">
        <f>IFERROR(INDEX(_ZIG_Cadastro!$G:$G,MATCH(I17,_ZIG_Cadastro!$A:$A,0)),IF(NOT(ISERROR(MATCH(I17,_Entradas_ZIG!$C:$C,0))),"Ativo","—"))</f>
        <v/>
      </c>
      <c r="N17" s="102">
        <f>IFERROR(INDEX(_ZIG_Cadastro!$E:$E,MATCH(I17,_ZIG_Cadastro!$A:$A,0)),IFERROR(INDEX(_Entradas_ZIG!$F:$F,MATCH(I17,_Entradas_ZIG!$C:$C,0)),"—"))</f>
        <v/>
      </c>
      <c r="O17" s="99">
        <f>IF(AND(ISNUMBER(SEARCH("Espeto",N17)),ISNUMBER(SEARCH("Carin",N17))),"SIM","")</f>
        <v/>
      </c>
      <c r="P17" s="99">
        <f>IF(AND(ISNUMBER(SEARCH("Espeto",N17)),ISNUMBER(SEARCH("Lapa",N17))),"SIM","")</f>
        <v/>
      </c>
      <c r="Q17" s="99">
        <f>IF(AND(ISNUMBER(SEARCH("Espeto",N17)),ISNUMBER(SEARCH("Tatuapé",N17))),"SIM","")</f>
        <v/>
      </c>
      <c r="R17" s="99">
        <f>IF(AND(ISNUMBER(SEARCH("Espeto",N17)),ISNUMBER(SEARCH("Pavão",N17))),"SIM","")</f>
        <v/>
      </c>
      <c r="S17" s="99">
        <f>IF(AND(ISNUMBER(SEARCH("Espeto",N17)),ISNUMBER(SEARCH("Chac",N17))),"SIM","")</f>
        <v/>
      </c>
      <c r="T17" s="99">
        <f>IF(AND(ISNUMBER(SEARCH("Espeto",N17)),ISNUMBER(SEARCH("Madalena",N17))),"SIM","")</f>
        <v/>
      </c>
      <c r="U17" s="99">
        <f>IF(AND(ISNUMBER(SEARCH("Espeto",N17)),ISNUMBER(SEARCH("Mariana",N17))),"SIM","")</f>
        <v/>
      </c>
      <c r="V17" s="99">
        <f>IF(AND(ISNUMBER(SEARCH("Espeto",N17)),ISNUMBER(SEARCH("Perdizes",N17))),"SIM","")</f>
        <v/>
      </c>
      <c r="W17" s="99">
        <f>IF(AND(ISNUMBER(SEARCH("Espeto",N17)),ISNUMBER(SEARCH("Santana",N17))),"SIM","")</f>
        <v/>
      </c>
      <c r="X17" s="99">
        <f>IF(AND(ISNUMBER(SEARCH("Espeto",N17)),ISNUMBER(SEARCH("André",N17))),"SIM","")</f>
        <v/>
      </c>
      <c r="Y17" s="99">
        <f>IF(AND(ISNUMBER(SEARCH("Delivery",N17)),ISNUMBER(SEARCH("Carin",N17))),"SIM","")</f>
        <v/>
      </c>
      <c r="Z17" s="99">
        <f>IF(AND(ISNUMBER(SEARCH("Delivery",N17)),ISNUMBER(SEARCH("Lapa",N17))),"SIM","")</f>
        <v/>
      </c>
      <c r="AA17" s="99">
        <f>IF(AND(ISNUMBER(SEARCH("Delivery",N17)),ISNUMBER(SEARCH("Tatuapé",N17))),"SIM","")</f>
        <v/>
      </c>
      <c r="AB17" s="99">
        <f>IF(AND(ISNUMBER(SEARCH("Delivery",N17)),ISNUMBER(SEARCH("Pavão",N17))),"SIM","")</f>
        <v/>
      </c>
      <c r="AC17" s="99">
        <f>IF(AND(ISNUMBER(SEARCH("Delivery",N17)),ISNUMBER(SEARCH("Chac",N17))),"SIM","")</f>
        <v/>
      </c>
      <c r="AD17" s="99">
        <f>IF(AND(ISNUMBER(SEARCH("Delivery",N17)),ISNUMBER(SEARCH("Madalena",N17))),"SIM","")</f>
        <v/>
      </c>
      <c r="AE17" s="92">
        <f>IF(AND(ISNUMBER(SEARCH("Delivery",N17)),ISNUMBER(SEARCH("Mariana",N17))),"SIM","")</f>
        <v/>
      </c>
      <c r="AF17" s="92">
        <f>IF(AND(ISNUMBER(SEARCH("Delivery",N17)),ISNUMBER(SEARCH("Perdizes",N17))),"SIM","")</f>
        <v/>
      </c>
      <c r="AG17" s="92">
        <f>IF(AND(ISNUMBER(SEARCH("Delivery",N17)),ISNUMBER(SEARCH("Santana",N17))),"SIM","")</f>
        <v/>
      </c>
      <c r="AH17" s="92">
        <f>IF(AND(ISNUMBER(SEARCH("Delivery",N17)),ISNUMBER(SEARCH("André",N17))),"SIM","")</f>
        <v/>
      </c>
      <c r="AI17" s="92">
        <f>IF(ISNUMBER(SEARCH("Interlagos",N17)),"SIM","")</f>
        <v/>
      </c>
      <c r="AJ17" s="92">
        <f>IF(ISNUMBER(SEARCH("Quiosque",N17)),"SIM","")</f>
        <v/>
      </c>
      <c r="AK17" s="93" t="n"/>
    </row>
    <row r="18">
      <c r="A18" s="88" t="inlineStr">
        <is>
          <t>Protheus</t>
        </is>
      </c>
      <c r="B18" s="96" t="inlineStr">
        <is>
          <t>001261</t>
        </is>
      </c>
      <c r="C18" s="97">
        <f>IF(B18="—","—",IFERROR(VLOOKUP(B18,_Protheus_Cadastro!$A:$B,2,FALSE),"—"))</f>
        <v/>
      </c>
      <c r="D18" s="98">
        <f>IF(B18="—",IFERROR(INDEX(_ZIG_Cadastro!$D:$D,MATCH(H18,_ZIG_Cadastro!$A:$A,0)),"Produto"),IFERROR(VLOOKUP(B18,_Protheus_Cadastro!$A:$C,3,FALSE),"—"))</f>
        <v/>
      </c>
      <c r="E18" s="98">
        <f>IF(B18="—","—",IFERROR(VLOOKUP(B18,_Protheus_Cadastro!$A:$D,4,FALSE),"—"))</f>
        <v/>
      </c>
      <c r="F18" s="98">
        <f>IF(ISERROR(VLOOKUP(B18,'Estrutura Protheus'!A:A,1,FALSE)),"Não","Sim")</f>
        <v/>
      </c>
      <c r="G18" s="99">
        <f>IFERROR(INDEX(_Protheus_Cadastro!$H:$H,MATCH(B18,_Protheus_Cadastro!$A:$A,0)),"—")</f>
        <v/>
      </c>
      <c r="H18" s="211">
        <f>IFERROR(INDEX(_ZIG_Precos!$D:$D,MATCH(I18,_ZIG_Precos!$F:$F,0)),"—")</f>
        <v/>
      </c>
      <c r="I18" s="103">
        <f>IFERROR(VLOOKUP(B18,_Protheus_Cadastro!$A:$I,9,FALSE),"—")</f>
        <v/>
      </c>
      <c r="J18" s="101">
        <f>IFERROR(INDEX(_ZIG_Cadastro!$B:$B,MATCH(I18,_ZIG_Cadastro!$A:$A,0)),IFERROR(INDEX(_Entradas_ZIG!$B:$B,MATCH(I18,_Entradas_ZIG!$C:$C,0)),"—"))</f>
        <v/>
      </c>
      <c r="K18" s="101">
        <f>IFERROR(INDEX(_ZIG_Cadastro!$C:$C,MATCH(I18,_ZIG_Cadastro!$A:$A,0)),IFERROR(INDEX(_Entradas_ZIG!$D:$D,MATCH(I18,_Entradas_ZIG!$C:$C,0)),"—"))</f>
        <v/>
      </c>
      <c r="L18" s="99">
        <f>IF(I18="","Sem SKU ZIG",IF(I18="—","Sem SKU ZIG",IF(NOT(ISERROR(MATCH(I18,_ZIG_Cadastro!$A:$A,0))),IF(EXACT(UPPER(TRIM(C18)),UPPER(TRIM(INDEX(_ZIG_Cadastro!$B:$B,MATCH(I18,_ZIG_Cadastro!$A:$A,0))))),"OK","Atencao - Nome diverge"),IF(NOT(ISERROR(MATCH(I18,_Entradas_ZIG!$C:$C,0))),"OK","Erro - SKU nao encontrado"))))</f>
        <v/>
      </c>
      <c r="M18" s="99">
        <f>IFERROR(INDEX(_ZIG_Cadastro!$G:$G,MATCH(I18,_ZIG_Cadastro!$A:$A,0)),IF(NOT(ISERROR(MATCH(I18,_Entradas_ZIG!$C:$C,0))),"Ativo","—"))</f>
        <v/>
      </c>
      <c r="N18" s="102">
        <f>IFERROR(INDEX(_ZIG_Cadastro!$E:$E,MATCH(I18,_ZIG_Cadastro!$A:$A,0)),IFERROR(INDEX(_Entradas_ZIG!$F:$F,MATCH(I18,_Entradas_ZIG!$C:$C,0)),"—"))</f>
        <v/>
      </c>
      <c r="O18" s="99">
        <f>IF(AND(ISNUMBER(SEARCH("Espeto",N18)),ISNUMBER(SEARCH("Carin",N18))),"SIM","")</f>
        <v/>
      </c>
      <c r="P18" s="99">
        <f>IF(AND(ISNUMBER(SEARCH("Espeto",N18)),ISNUMBER(SEARCH("Lapa",N18))),"SIM","")</f>
        <v/>
      </c>
      <c r="Q18" s="99">
        <f>IF(AND(ISNUMBER(SEARCH("Espeto",N18)),ISNUMBER(SEARCH("Tatuapé",N18))),"SIM","")</f>
        <v/>
      </c>
      <c r="R18" s="99">
        <f>IF(AND(ISNUMBER(SEARCH("Espeto",N18)),ISNUMBER(SEARCH("Pavão",N18))),"SIM","")</f>
        <v/>
      </c>
      <c r="S18" s="99">
        <f>IF(AND(ISNUMBER(SEARCH("Espeto",N18)),ISNUMBER(SEARCH("Chac",N18))),"SIM","")</f>
        <v/>
      </c>
      <c r="T18" s="99">
        <f>IF(AND(ISNUMBER(SEARCH("Espeto",N18)),ISNUMBER(SEARCH("Madalena",N18))),"SIM","")</f>
        <v/>
      </c>
      <c r="U18" s="99">
        <f>IF(AND(ISNUMBER(SEARCH("Espeto",N18)),ISNUMBER(SEARCH("Mariana",N18))),"SIM","")</f>
        <v/>
      </c>
      <c r="V18" s="99">
        <f>IF(AND(ISNUMBER(SEARCH("Espeto",N18)),ISNUMBER(SEARCH("Perdizes",N18))),"SIM","")</f>
        <v/>
      </c>
      <c r="W18" s="99">
        <f>IF(AND(ISNUMBER(SEARCH("Espeto",N18)),ISNUMBER(SEARCH("Santana",N18))),"SIM","")</f>
        <v/>
      </c>
      <c r="X18" s="99">
        <f>IF(AND(ISNUMBER(SEARCH("Espeto",N18)),ISNUMBER(SEARCH("André",N18))),"SIM","")</f>
        <v/>
      </c>
      <c r="Y18" s="99">
        <f>IF(AND(ISNUMBER(SEARCH("Delivery",N18)),ISNUMBER(SEARCH("Carin",N18))),"SIM","")</f>
        <v/>
      </c>
      <c r="Z18" s="99">
        <f>IF(AND(ISNUMBER(SEARCH("Delivery",N18)),ISNUMBER(SEARCH("Lapa",N18))),"SIM","")</f>
        <v/>
      </c>
      <c r="AA18" s="99">
        <f>IF(AND(ISNUMBER(SEARCH("Delivery",N18)),ISNUMBER(SEARCH("Tatuapé",N18))),"SIM","")</f>
        <v/>
      </c>
      <c r="AB18" s="99">
        <f>IF(AND(ISNUMBER(SEARCH("Delivery",N18)),ISNUMBER(SEARCH("Pavão",N18))),"SIM","")</f>
        <v/>
      </c>
      <c r="AC18" s="99">
        <f>IF(AND(ISNUMBER(SEARCH("Delivery",N18)),ISNUMBER(SEARCH("Chac",N18))),"SIM","")</f>
        <v/>
      </c>
      <c r="AD18" s="99">
        <f>IF(AND(ISNUMBER(SEARCH("Delivery",N18)),ISNUMBER(SEARCH("Madalena",N18))),"SIM","")</f>
        <v/>
      </c>
      <c r="AE18" s="92">
        <f>IF(AND(ISNUMBER(SEARCH("Delivery",N18)),ISNUMBER(SEARCH("Mariana",N18))),"SIM","")</f>
        <v/>
      </c>
      <c r="AF18" s="92">
        <f>IF(AND(ISNUMBER(SEARCH("Delivery",N18)),ISNUMBER(SEARCH("Perdizes",N18))),"SIM","")</f>
        <v/>
      </c>
      <c r="AG18" s="92">
        <f>IF(AND(ISNUMBER(SEARCH("Delivery",N18)),ISNUMBER(SEARCH("Santana",N18))),"SIM","")</f>
        <v/>
      </c>
      <c r="AH18" s="92">
        <f>IF(AND(ISNUMBER(SEARCH("Delivery",N18)),ISNUMBER(SEARCH("André",N18))),"SIM","")</f>
        <v/>
      </c>
      <c r="AI18" s="92">
        <f>IF(ISNUMBER(SEARCH("Interlagos",N18)),"SIM","")</f>
        <v/>
      </c>
      <c r="AJ18" s="92">
        <f>IF(ISNUMBER(SEARCH("Quiosque",N18)),"SIM","")</f>
        <v/>
      </c>
      <c r="AK18" s="93" t="n"/>
    </row>
    <row r="19">
      <c r="A19" s="88" t="inlineStr">
        <is>
          <t>Protheus</t>
        </is>
      </c>
      <c r="B19" s="89" t="inlineStr">
        <is>
          <t>001258</t>
        </is>
      </c>
      <c r="C19" s="90">
        <f>IF(B19="—","—",IFERROR(VLOOKUP(B19,_Protheus_Cadastro!$A:$B,2,FALSE),"—"))</f>
        <v/>
      </c>
      <c r="D19" s="91">
        <f>IF(B19="—",IFERROR(INDEX(_ZIG_Cadastro!$D:$D,MATCH(H19,_ZIG_Cadastro!$A:$A,0)),"Produto"),IFERROR(VLOOKUP(B19,_Protheus_Cadastro!$A:$C,3,FALSE),"—"))</f>
        <v/>
      </c>
      <c r="E19" s="91">
        <f>IF(B19="—","—",IFERROR(VLOOKUP(B19,_Protheus_Cadastro!$A:$D,4,FALSE),"—"))</f>
        <v/>
      </c>
      <c r="F19" s="91">
        <f>IF(ISERROR(VLOOKUP(B19,'Estrutura Protheus'!A:A,1,FALSE)),"Não","Sim")</f>
        <v/>
      </c>
      <c r="G19" s="92">
        <f>IFERROR(INDEX(_Protheus_Cadastro!$H:$H,MATCH(B19,_Protheus_Cadastro!$A:$A,0)),"—")</f>
        <v/>
      </c>
      <c r="H19" s="210">
        <f>IFERROR(INDEX(_ZIG_Precos!$D:$D,MATCH(I19,_ZIG_Precos!$F:$F,0)),"—")</f>
        <v/>
      </c>
      <c r="I19" s="95">
        <f>IFERROR(VLOOKUP(B19,_Protheus_Cadastro!$A:$I,9,FALSE),"—")</f>
        <v/>
      </c>
      <c r="J19" s="93">
        <f>IFERROR(INDEX(_ZIG_Cadastro!$B:$B,MATCH(I19,_ZIG_Cadastro!$A:$A,0)),IFERROR(INDEX(_Entradas_ZIG!$B:$B,MATCH(I19,_Entradas_ZIG!$C:$C,0)),"—"))</f>
        <v/>
      </c>
      <c r="K19" s="93">
        <f>IFERROR(INDEX(_ZIG_Cadastro!$C:$C,MATCH(I19,_ZIG_Cadastro!$A:$A,0)),IFERROR(INDEX(_Entradas_ZIG!$D:$D,MATCH(I19,_Entradas_ZIG!$C:$C,0)),"—"))</f>
        <v/>
      </c>
      <c r="L19" s="92">
        <f>IF(I19="","Sem SKU ZIG",IF(I19="—","Sem SKU ZIG",IF(NOT(ISERROR(MATCH(I19,_ZIG_Cadastro!$A:$A,0))),IF(EXACT(UPPER(TRIM(C19)),UPPER(TRIM(INDEX(_ZIG_Cadastro!$B:$B,MATCH(I19,_ZIG_Cadastro!$A:$A,0))))),"OK","Atencao - Nome diverge"),IF(NOT(ISERROR(MATCH(I19,_Entradas_ZIG!$C:$C,0))),"OK","Erro - SKU nao encontrado"))))</f>
        <v/>
      </c>
      <c r="M19" s="92">
        <f>IFERROR(INDEX(_ZIG_Cadastro!$G:$G,MATCH(I19,_ZIG_Cadastro!$A:$A,0)),IF(NOT(ISERROR(MATCH(I19,_Entradas_ZIG!$C:$C,0))),"Ativo","—"))</f>
        <v/>
      </c>
      <c r="N19" s="94">
        <f>IFERROR(INDEX(_ZIG_Cadastro!$E:$E,MATCH(I19,_ZIG_Cadastro!$A:$A,0)),IFERROR(INDEX(_Entradas_ZIG!$F:$F,MATCH(I19,_Entradas_ZIG!$C:$C,0)),"—"))</f>
        <v/>
      </c>
      <c r="O19" s="92">
        <f>IF(AND(ISNUMBER(SEARCH("Espeto",N19)),ISNUMBER(SEARCH("Carin",N19))),"SIM","")</f>
        <v/>
      </c>
      <c r="P19" s="92">
        <f>IF(AND(ISNUMBER(SEARCH("Espeto",N19)),ISNUMBER(SEARCH("Lapa",N19))),"SIM","")</f>
        <v/>
      </c>
      <c r="Q19" s="92">
        <f>IF(AND(ISNUMBER(SEARCH("Espeto",N19)),ISNUMBER(SEARCH("Tatuapé",N19))),"SIM","")</f>
        <v/>
      </c>
      <c r="R19" s="92">
        <f>IF(AND(ISNUMBER(SEARCH("Espeto",N19)),ISNUMBER(SEARCH("Pavão",N19))),"SIM","")</f>
        <v/>
      </c>
      <c r="S19" s="92">
        <f>IF(AND(ISNUMBER(SEARCH("Espeto",N19)),ISNUMBER(SEARCH("Chac",N19))),"SIM","")</f>
        <v/>
      </c>
      <c r="T19" s="92">
        <f>IF(AND(ISNUMBER(SEARCH("Espeto",N19)),ISNUMBER(SEARCH("Madalena",N19))),"SIM","")</f>
        <v/>
      </c>
      <c r="U19" s="92">
        <f>IF(AND(ISNUMBER(SEARCH("Espeto",N19)),ISNUMBER(SEARCH("Mariana",N19))),"SIM","")</f>
        <v/>
      </c>
      <c r="V19" s="92">
        <f>IF(AND(ISNUMBER(SEARCH("Espeto",N19)),ISNUMBER(SEARCH("Perdizes",N19))),"SIM","")</f>
        <v/>
      </c>
      <c r="W19" s="92">
        <f>IF(AND(ISNUMBER(SEARCH("Espeto",N19)),ISNUMBER(SEARCH("Santana",N19))),"SIM","")</f>
        <v/>
      </c>
      <c r="X19" s="92">
        <f>IF(AND(ISNUMBER(SEARCH("Espeto",N19)),ISNUMBER(SEARCH("André",N19))),"SIM","")</f>
        <v/>
      </c>
      <c r="Y19" s="92">
        <f>IF(AND(ISNUMBER(SEARCH("Delivery",N19)),ISNUMBER(SEARCH("Carin",N19))),"SIM","")</f>
        <v/>
      </c>
      <c r="Z19" s="92">
        <f>IF(AND(ISNUMBER(SEARCH("Delivery",N19)),ISNUMBER(SEARCH("Lapa",N19))),"SIM","")</f>
        <v/>
      </c>
      <c r="AA19" s="92">
        <f>IF(AND(ISNUMBER(SEARCH("Delivery",N19)),ISNUMBER(SEARCH("Tatuapé",N19))),"SIM","")</f>
        <v/>
      </c>
      <c r="AB19" s="92">
        <f>IF(AND(ISNUMBER(SEARCH("Delivery",N19)),ISNUMBER(SEARCH("Pavão",N19))),"SIM","")</f>
        <v/>
      </c>
      <c r="AC19" s="92">
        <f>IF(AND(ISNUMBER(SEARCH("Delivery",N19)),ISNUMBER(SEARCH("Chac",N19))),"SIM","")</f>
        <v/>
      </c>
      <c r="AD19" s="92">
        <f>IF(AND(ISNUMBER(SEARCH("Delivery",N19)),ISNUMBER(SEARCH("Madalena",N19))),"SIM","")</f>
        <v/>
      </c>
      <c r="AE19" s="99">
        <f>IF(AND(ISNUMBER(SEARCH("Delivery",N19)),ISNUMBER(SEARCH("Mariana",N19))),"SIM","")</f>
        <v/>
      </c>
      <c r="AF19" s="99">
        <f>IF(AND(ISNUMBER(SEARCH("Delivery",N19)),ISNUMBER(SEARCH("Perdizes",N19))),"SIM","")</f>
        <v/>
      </c>
      <c r="AG19" s="99">
        <f>IF(AND(ISNUMBER(SEARCH("Delivery",N19)),ISNUMBER(SEARCH("Santana",N19))),"SIM","")</f>
        <v/>
      </c>
      <c r="AH19" s="99">
        <f>IF(AND(ISNUMBER(SEARCH("Delivery",N19)),ISNUMBER(SEARCH("André",N19))),"SIM","")</f>
        <v/>
      </c>
      <c r="AI19" s="99">
        <f>IF(ISNUMBER(SEARCH("Interlagos",N19)),"SIM","")</f>
        <v/>
      </c>
      <c r="AJ19" s="99">
        <f>IF(ISNUMBER(SEARCH("Quiosque",N19)),"SIM","")</f>
        <v/>
      </c>
      <c r="AK19" s="101" t="n"/>
    </row>
    <row r="20">
      <c r="A20" s="88" t="inlineStr">
        <is>
          <t>Protheus</t>
        </is>
      </c>
      <c r="B20" s="96" t="inlineStr">
        <is>
          <t>001259</t>
        </is>
      </c>
      <c r="C20" s="97">
        <f>IF(B20="—","—",IFERROR(VLOOKUP(B20,_Protheus_Cadastro!$A:$B,2,FALSE),"—"))</f>
        <v/>
      </c>
      <c r="D20" s="98">
        <f>IF(B20="—",IFERROR(INDEX(_ZIG_Cadastro!$D:$D,MATCH(H20,_ZIG_Cadastro!$A:$A,0)),"Produto"),IFERROR(VLOOKUP(B20,_Protheus_Cadastro!$A:$C,3,FALSE),"—"))</f>
        <v/>
      </c>
      <c r="E20" s="98">
        <f>IF(B20="—","—",IFERROR(VLOOKUP(B20,_Protheus_Cadastro!$A:$D,4,FALSE),"—"))</f>
        <v/>
      </c>
      <c r="F20" s="98">
        <f>IF(ISERROR(VLOOKUP(B20,'Estrutura Protheus'!A:A,1,FALSE)),"Não","Sim")</f>
        <v/>
      </c>
      <c r="G20" s="99">
        <f>IFERROR(INDEX(_Protheus_Cadastro!$H:$H,MATCH(B20,_Protheus_Cadastro!$A:$A,0)),"—")</f>
        <v/>
      </c>
      <c r="H20" s="211">
        <f>IFERROR(INDEX(_ZIG_Precos!$D:$D,MATCH(I20,_ZIG_Precos!$F:$F,0)),"—")</f>
        <v/>
      </c>
      <c r="I20" s="103">
        <f>IFERROR(VLOOKUP(B20,_Protheus_Cadastro!$A:$I,9,FALSE),"—")</f>
        <v/>
      </c>
      <c r="J20" s="101">
        <f>IFERROR(INDEX(_ZIG_Cadastro!$B:$B,MATCH(I20,_ZIG_Cadastro!$A:$A,0)),IFERROR(INDEX(_Entradas_ZIG!$B:$B,MATCH(I20,_Entradas_ZIG!$C:$C,0)),"—"))</f>
        <v/>
      </c>
      <c r="K20" s="101">
        <f>IFERROR(INDEX(_ZIG_Cadastro!$C:$C,MATCH(I20,_ZIG_Cadastro!$A:$A,0)),IFERROR(INDEX(_Entradas_ZIG!$D:$D,MATCH(I20,_Entradas_ZIG!$C:$C,0)),"—"))</f>
        <v/>
      </c>
      <c r="L20" s="99">
        <f>IF(I20="","Sem SKU ZIG",IF(I20="—","Sem SKU ZIG",IF(NOT(ISERROR(MATCH(I20,_ZIG_Cadastro!$A:$A,0))),IF(EXACT(UPPER(TRIM(C20)),UPPER(TRIM(INDEX(_ZIG_Cadastro!$B:$B,MATCH(I20,_ZIG_Cadastro!$A:$A,0))))),"OK","Atencao - Nome diverge"),IF(NOT(ISERROR(MATCH(I20,_Entradas_ZIG!$C:$C,0))),"OK","Erro - SKU nao encontrado"))))</f>
        <v/>
      </c>
      <c r="M20" s="99">
        <f>IFERROR(INDEX(_ZIG_Cadastro!$G:$G,MATCH(I20,_ZIG_Cadastro!$A:$A,0)),IF(NOT(ISERROR(MATCH(I20,_Entradas_ZIG!$C:$C,0))),"Ativo","—"))</f>
        <v/>
      </c>
      <c r="N20" s="102">
        <f>IFERROR(INDEX(_ZIG_Cadastro!$E:$E,MATCH(I20,_ZIG_Cadastro!$A:$A,0)),IFERROR(INDEX(_Entradas_ZIG!$F:$F,MATCH(I20,_Entradas_ZIG!$C:$C,0)),"—"))</f>
        <v/>
      </c>
      <c r="O20" s="99">
        <f>IF(AND(ISNUMBER(SEARCH("Espeto",N20)),ISNUMBER(SEARCH("Carin",N20))),"SIM","")</f>
        <v/>
      </c>
      <c r="P20" s="99">
        <f>IF(AND(ISNUMBER(SEARCH("Espeto",N20)),ISNUMBER(SEARCH("Lapa",N20))),"SIM","")</f>
        <v/>
      </c>
      <c r="Q20" s="99">
        <f>IF(AND(ISNUMBER(SEARCH("Espeto",N20)),ISNUMBER(SEARCH("Tatuapé",N20))),"SIM","")</f>
        <v/>
      </c>
      <c r="R20" s="99">
        <f>IF(AND(ISNUMBER(SEARCH("Espeto",N20)),ISNUMBER(SEARCH("Pavão",N20))),"SIM","")</f>
        <v/>
      </c>
      <c r="S20" s="99">
        <f>IF(AND(ISNUMBER(SEARCH("Espeto",N20)),ISNUMBER(SEARCH("Chac",N20))),"SIM","")</f>
        <v/>
      </c>
      <c r="T20" s="99">
        <f>IF(AND(ISNUMBER(SEARCH("Espeto",N20)),ISNUMBER(SEARCH("Madalena",N20))),"SIM","")</f>
        <v/>
      </c>
      <c r="U20" s="99">
        <f>IF(AND(ISNUMBER(SEARCH("Espeto",N20)),ISNUMBER(SEARCH("Mariana",N20))),"SIM","")</f>
        <v/>
      </c>
      <c r="V20" s="99">
        <f>IF(AND(ISNUMBER(SEARCH("Espeto",N20)),ISNUMBER(SEARCH("Perdizes",N20))),"SIM","")</f>
        <v/>
      </c>
      <c r="W20" s="99">
        <f>IF(AND(ISNUMBER(SEARCH("Espeto",N20)),ISNUMBER(SEARCH("Santana",N20))),"SIM","")</f>
        <v/>
      </c>
      <c r="X20" s="99">
        <f>IF(AND(ISNUMBER(SEARCH("Espeto",N20)),ISNUMBER(SEARCH("André",N20))),"SIM","")</f>
        <v/>
      </c>
      <c r="Y20" s="99">
        <f>IF(AND(ISNUMBER(SEARCH("Delivery",N20)),ISNUMBER(SEARCH("Carin",N20))),"SIM","")</f>
        <v/>
      </c>
      <c r="Z20" s="99">
        <f>IF(AND(ISNUMBER(SEARCH("Delivery",N20)),ISNUMBER(SEARCH("Lapa",N20))),"SIM","")</f>
        <v/>
      </c>
      <c r="AA20" s="99">
        <f>IF(AND(ISNUMBER(SEARCH("Delivery",N20)),ISNUMBER(SEARCH("Tatuapé",N20))),"SIM","")</f>
        <v/>
      </c>
      <c r="AB20" s="99">
        <f>IF(AND(ISNUMBER(SEARCH("Delivery",N20)),ISNUMBER(SEARCH("Pavão",N20))),"SIM","")</f>
        <v/>
      </c>
      <c r="AC20" s="99">
        <f>IF(AND(ISNUMBER(SEARCH("Delivery",N20)),ISNUMBER(SEARCH("Chac",N20))),"SIM","")</f>
        <v/>
      </c>
      <c r="AD20" s="99">
        <f>IF(AND(ISNUMBER(SEARCH("Delivery",N20)),ISNUMBER(SEARCH("Madalena",N20))),"SIM","")</f>
        <v/>
      </c>
      <c r="AE20" s="92">
        <f>IF(AND(ISNUMBER(SEARCH("Delivery",N20)),ISNUMBER(SEARCH("Mariana",N20))),"SIM","")</f>
        <v/>
      </c>
      <c r="AF20" s="92">
        <f>IF(AND(ISNUMBER(SEARCH("Delivery",N20)),ISNUMBER(SEARCH("Perdizes",N20))),"SIM","")</f>
        <v/>
      </c>
      <c r="AG20" s="92">
        <f>IF(AND(ISNUMBER(SEARCH("Delivery",N20)),ISNUMBER(SEARCH("Santana",N20))),"SIM","")</f>
        <v/>
      </c>
      <c r="AH20" s="92">
        <f>IF(AND(ISNUMBER(SEARCH("Delivery",N20)),ISNUMBER(SEARCH("André",N20))),"SIM","")</f>
        <v/>
      </c>
      <c r="AI20" s="92">
        <f>IF(ISNUMBER(SEARCH("Interlagos",N20)),"SIM","")</f>
        <v/>
      </c>
      <c r="AJ20" s="92">
        <f>IF(ISNUMBER(SEARCH("Quiosque",N20)),"SIM","")</f>
        <v/>
      </c>
      <c r="AK20" s="93" t="n"/>
    </row>
    <row r="21">
      <c r="A21" s="88" t="inlineStr">
        <is>
          <t>Protheus</t>
        </is>
      </c>
      <c r="B21" s="89" t="inlineStr">
        <is>
          <t>001289</t>
        </is>
      </c>
      <c r="C21" s="90">
        <f>IF(B21="—","—",IFERROR(VLOOKUP(B21,_Protheus_Cadastro!$A:$B,2,FALSE),"—"))</f>
        <v/>
      </c>
      <c r="D21" s="91">
        <f>IF(B21="—",IFERROR(INDEX(_ZIG_Cadastro!$D:$D,MATCH(H21,_ZIG_Cadastro!$A:$A,0)),"Produto"),IFERROR(VLOOKUP(B21,_Protheus_Cadastro!$A:$C,3,FALSE),"—"))</f>
        <v/>
      </c>
      <c r="E21" s="91">
        <f>IF(B21="—","—",IFERROR(VLOOKUP(B21,_Protheus_Cadastro!$A:$D,4,FALSE),"—"))</f>
        <v/>
      </c>
      <c r="F21" s="91">
        <f>IF(ISERROR(VLOOKUP(B21,'Estrutura Protheus'!A:A,1,FALSE)),"Não","Sim")</f>
        <v/>
      </c>
      <c r="G21" s="92">
        <f>IFERROR(INDEX(_Protheus_Cadastro!$H:$H,MATCH(B21,_Protheus_Cadastro!$A:$A,0)),"—")</f>
        <v/>
      </c>
      <c r="H21" s="210">
        <f>IFERROR(INDEX(_ZIG_Precos!$D:$D,MATCH(I21,_ZIG_Precos!$F:$F,0)),"—")</f>
        <v/>
      </c>
      <c r="I21" s="95">
        <f>IFERROR(VLOOKUP(B21,_Protheus_Cadastro!$A:$I,9,FALSE),"—")</f>
        <v/>
      </c>
      <c r="J21" s="93">
        <f>IFERROR(INDEX(_ZIG_Cadastro!$B:$B,MATCH(I21,_ZIG_Cadastro!$A:$A,0)),IFERROR(INDEX(_Entradas_ZIG!$B:$B,MATCH(I21,_Entradas_ZIG!$C:$C,0)),"—"))</f>
        <v/>
      </c>
      <c r="K21" s="93">
        <f>IFERROR(INDEX(_ZIG_Cadastro!$C:$C,MATCH(I21,_ZIG_Cadastro!$A:$A,0)),IFERROR(INDEX(_Entradas_ZIG!$D:$D,MATCH(I21,_Entradas_ZIG!$C:$C,0)),"—"))</f>
        <v/>
      </c>
      <c r="L21" s="92">
        <f>IF(I21="","Sem SKU ZIG",IF(I21="—","Sem SKU ZIG",IF(NOT(ISERROR(MATCH(I21,_ZIG_Cadastro!$A:$A,0))),IF(EXACT(UPPER(TRIM(C21)),UPPER(TRIM(INDEX(_ZIG_Cadastro!$B:$B,MATCH(I21,_ZIG_Cadastro!$A:$A,0))))),"OK","Atencao - Nome diverge"),IF(NOT(ISERROR(MATCH(I21,_Entradas_ZIG!$C:$C,0))),"OK","Erro - SKU nao encontrado"))))</f>
        <v/>
      </c>
      <c r="M21" s="92">
        <f>IFERROR(INDEX(_ZIG_Cadastro!$G:$G,MATCH(I21,_ZIG_Cadastro!$A:$A,0)),IF(NOT(ISERROR(MATCH(I21,_Entradas_ZIG!$C:$C,0))),"Ativo","—"))</f>
        <v/>
      </c>
      <c r="N21" s="94">
        <f>IFERROR(INDEX(_ZIG_Cadastro!$E:$E,MATCH(I21,_ZIG_Cadastro!$A:$A,0)),IFERROR(INDEX(_Entradas_ZIG!$F:$F,MATCH(I21,_Entradas_ZIG!$C:$C,0)),"—"))</f>
        <v/>
      </c>
      <c r="O21" s="92">
        <f>IF(AND(ISNUMBER(SEARCH("Espeto",N21)),ISNUMBER(SEARCH("Carin",N21))),"SIM","")</f>
        <v/>
      </c>
      <c r="P21" s="92">
        <f>IF(AND(ISNUMBER(SEARCH("Espeto",N21)),ISNUMBER(SEARCH("Lapa",N21))),"SIM","")</f>
        <v/>
      </c>
      <c r="Q21" s="92">
        <f>IF(AND(ISNUMBER(SEARCH("Espeto",N21)),ISNUMBER(SEARCH("Tatuapé",N21))),"SIM","")</f>
        <v/>
      </c>
      <c r="R21" s="92">
        <f>IF(AND(ISNUMBER(SEARCH("Espeto",N21)),ISNUMBER(SEARCH("Pavão",N21))),"SIM","")</f>
        <v/>
      </c>
      <c r="S21" s="92">
        <f>IF(AND(ISNUMBER(SEARCH("Espeto",N21)),ISNUMBER(SEARCH("Chac",N21))),"SIM","")</f>
        <v/>
      </c>
      <c r="T21" s="92">
        <f>IF(AND(ISNUMBER(SEARCH("Espeto",N21)),ISNUMBER(SEARCH("Madalena",N21))),"SIM","")</f>
        <v/>
      </c>
      <c r="U21" s="92">
        <f>IF(AND(ISNUMBER(SEARCH("Espeto",N21)),ISNUMBER(SEARCH("Mariana",N21))),"SIM","")</f>
        <v/>
      </c>
      <c r="V21" s="92">
        <f>IF(AND(ISNUMBER(SEARCH("Espeto",N21)),ISNUMBER(SEARCH("Perdizes",N21))),"SIM","")</f>
        <v/>
      </c>
      <c r="W21" s="92">
        <f>IF(AND(ISNUMBER(SEARCH("Espeto",N21)),ISNUMBER(SEARCH("Santana",N21))),"SIM","")</f>
        <v/>
      </c>
      <c r="X21" s="92">
        <f>IF(AND(ISNUMBER(SEARCH("Espeto",N21)),ISNUMBER(SEARCH("André",N21))),"SIM","")</f>
        <v/>
      </c>
      <c r="Y21" s="92">
        <f>IF(AND(ISNUMBER(SEARCH("Delivery",N21)),ISNUMBER(SEARCH("Carin",N21))),"SIM","")</f>
        <v/>
      </c>
      <c r="Z21" s="92">
        <f>IF(AND(ISNUMBER(SEARCH("Delivery",N21)),ISNUMBER(SEARCH("Lapa",N21))),"SIM","")</f>
        <v/>
      </c>
      <c r="AA21" s="92">
        <f>IF(AND(ISNUMBER(SEARCH("Delivery",N21)),ISNUMBER(SEARCH("Tatuapé",N21))),"SIM","")</f>
        <v/>
      </c>
      <c r="AB21" s="92">
        <f>IF(AND(ISNUMBER(SEARCH("Delivery",N21)),ISNUMBER(SEARCH("Pavão",N21))),"SIM","")</f>
        <v/>
      </c>
      <c r="AC21" s="92">
        <f>IF(AND(ISNUMBER(SEARCH("Delivery",N21)),ISNUMBER(SEARCH("Chac",N21))),"SIM","")</f>
        <v/>
      </c>
      <c r="AD21" s="92">
        <f>IF(AND(ISNUMBER(SEARCH("Delivery",N21)),ISNUMBER(SEARCH("Madalena",N21))),"SIM","")</f>
        <v/>
      </c>
      <c r="AE21" s="99">
        <f>IF(AND(ISNUMBER(SEARCH("Delivery",N21)),ISNUMBER(SEARCH("Mariana",N21))),"SIM","")</f>
        <v/>
      </c>
      <c r="AF21" s="99">
        <f>IF(AND(ISNUMBER(SEARCH("Delivery",N21)),ISNUMBER(SEARCH("Perdizes",N21))),"SIM","")</f>
        <v/>
      </c>
      <c r="AG21" s="99">
        <f>IF(AND(ISNUMBER(SEARCH("Delivery",N21)),ISNUMBER(SEARCH("Santana",N21))),"SIM","")</f>
        <v/>
      </c>
      <c r="AH21" s="99">
        <f>IF(AND(ISNUMBER(SEARCH("Delivery",N21)),ISNUMBER(SEARCH("André",N21))),"SIM","")</f>
        <v/>
      </c>
      <c r="AI21" s="99">
        <f>IF(ISNUMBER(SEARCH("Interlagos",N21)),"SIM","")</f>
        <v/>
      </c>
      <c r="AJ21" s="99">
        <f>IF(ISNUMBER(SEARCH("Quiosque",N21)),"SIM","")</f>
        <v/>
      </c>
      <c r="AK21" s="101" t="n"/>
    </row>
    <row r="22">
      <c r="A22" s="88" t="inlineStr">
        <is>
          <t>Protheus</t>
        </is>
      </c>
      <c r="B22" s="96" t="inlineStr">
        <is>
          <t>001268</t>
        </is>
      </c>
      <c r="C22" s="97">
        <f>IF(B22="—","—",IFERROR(VLOOKUP(B22,_Protheus_Cadastro!$A:$B,2,FALSE),"—"))</f>
        <v/>
      </c>
      <c r="D22" s="98">
        <f>IF(B22="—",IFERROR(INDEX(_ZIG_Cadastro!$D:$D,MATCH(H22,_ZIG_Cadastro!$A:$A,0)),"Produto"),IFERROR(VLOOKUP(B22,_Protheus_Cadastro!$A:$C,3,FALSE),"—"))</f>
        <v/>
      </c>
      <c r="E22" s="98">
        <f>IF(B22="—","—",IFERROR(VLOOKUP(B22,_Protheus_Cadastro!$A:$D,4,FALSE),"—"))</f>
        <v/>
      </c>
      <c r="F22" s="98">
        <f>IF(ISERROR(VLOOKUP(B22,'Estrutura Protheus'!A:A,1,FALSE)),"Não","Sim")</f>
        <v/>
      </c>
      <c r="G22" s="99">
        <f>IFERROR(INDEX(_Protheus_Cadastro!$H:$H,MATCH(B22,_Protheus_Cadastro!$A:$A,0)),"—")</f>
        <v/>
      </c>
      <c r="H22" s="211">
        <f>IFERROR(INDEX(_ZIG_Precos!$D:$D,MATCH(I22,_ZIG_Precos!$F:$F,0)),"—")</f>
        <v/>
      </c>
      <c r="I22" s="103">
        <f>IFERROR(VLOOKUP(B22,_Protheus_Cadastro!$A:$I,9,FALSE),"—")</f>
        <v/>
      </c>
      <c r="J22" s="101">
        <f>IFERROR(INDEX(_ZIG_Cadastro!$B:$B,MATCH(I22,_ZIG_Cadastro!$A:$A,0)),IFERROR(INDEX(_Entradas_ZIG!$B:$B,MATCH(I22,_Entradas_ZIG!$C:$C,0)),"—"))</f>
        <v/>
      </c>
      <c r="K22" s="101">
        <f>IFERROR(INDEX(_ZIG_Cadastro!$C:$C,MATCH(I22,_ZIG_Cadastro!$A:$A,0)),IFERROR(INDEX(_Entradas_ZIG!$D:$D,MATCH(I22,_Entradas_ZIG!$C:$C,0)),"—"))</f>
        <v/>
      </c>
      <c r="L22" s="99">
        <f>IF(I22="","Sem SKU ZIG",IF(I22="—","Sem SKU ZIG",IF(NOT(ISERROR(MATCH(I22,_ZIG_Cadastro!$A:$A,0))),IF(EXACT(UPPER(TRIM(C22)),UPPER(TRIM(INDEX(_ZIG_Cadastro!$B:$B,MATCH(I22,_ZIG_Cadastro!$A:$A,0))))),"OK","Atencao - Nome diverge"),IF(NOT(ISERROR(MATCH(I22,_Entradas_ZIG!$C:$C,0))),"OK","Erro - SKU nao encontrado"))))</f>
        <v/>
      </c>
      <c r="M22" s="99">
        <f>IFERROR(INDEX(_ZIG_Cadastro!$G:$G,MATCH(I22,_ZIG_Cadastro!$A:$A,0)),IF(NOT(ISERROR(MATCH(I22,_Entradas_ZIG!$C:$C,0))),"Ativo","—"))</f>
        <v/>
      </c>
      <c r="N22" s="102">
        <f>IFERROR(INDEX(_ZIG_Cadastro!$E:$E,MATCH(I22,_ZIG_Cadastro!$A:$A,0)),IFERROR(INDEX(_Entradas_ZIG!$F:$F,MATCH(I22,_Entradas_ZIG!$C:$C,0)),"—"))</f>
        <v/>
      </c>
      <c r="O22" s="99">
        <f>IF(AND(ISNUMBER(SEARCH("Espeto",N22)),ISNUMBER(SEARCH("Carin",N22))),"SIM","")</f>
        <v/>
      </c>
      <c r="P22" s="99">
        <f>IF(AND(ISNUMBER(SEARCH("Espeto",N22)),ISNUMBER(SEARCH("Lapa",N22))),"SIM","")</f>
        <v/>
      </c>
      <c r="Q22" s="99">
        <f>IF(AND(ISNUMBER(SEARCH("Espeto",N22)),ISNUMBER(SEARCH("Tatuapé",N22))),"SIM","")</f>
        <v/>
      </c>
      <c r="R22" s="99">
        <f>IF(AND(ISNUMBER(SEARCH("Espeto",N22)),ISNUMBER(SEARCH("Pavão",N22))),"SIM","")</f>
        <v/>
      </c>
      <c r="S22" s="99">
        <f>IF(AND(ISNUMBER(SEARCH("Espeto",N22)),ISNUMBER(SEARCH("Chac",N22))),"SIM","")</f>
        <v/>
      </c>
      <c r="T22" s="99">
        <f>IF(AND(ISNUMBER(SEARCH("Espeto",N22)),ISNUMBER(SEARCH("Madalena",N22))),"SIM","")</f>
        <v/>
      </c>
      <c r="U22" s="99">
        <f>IF(AND(ISNUMBER(SEARCH("Espeto",N22)),ISNUMBER(SEARCH("Mariana",N22))),"SIM","")</f>
        <v/>
      </c>
      <c r="V22" s="99">
        <f>IF(AND(ISNUMBER(SEARCH("Espeto",N22)),ISNUMBER(SEARCH("Perdizes",N22))),"SIM","")</f>
        <v/>
      </c>
      <c r="W22" s="99">
        <f>IF(AND(ISNUMBER(SEARCH("Espeto",N22)),ISNUMBER(SEARCH("Santana",N22))),"SIM","")</f>
        <v/>
      </c>
      <c r="X22" s="99">
        <f>IF(AND(ISNUMBER(SEARCH("Espeto",N22)),ISNUMBER(SEARCH("André",N22))),"SIM","")</f>
        <v/>
      </c>
      <c r="Y22" s="99">
        <f>IF(AND(ISNUMBER(SEARCH("Delivery",N22)),ISNUMBER(SEARCH("Carin",N22))),"SIM","")</f>
        <v/>
      </c>
      <c r="Z22" s="99">
        <f>IF(AND(ISNUMBER(SEARCH("Delivery",N22)),ISNUMBER(SEARCH("Lapa",N22))),"SIM","")</f>
        <v/>
      </c>
      <c r="AA22" s="99">
        <f>IF(AND(ISNUMBER(SEARCH("Delivery",N22)),ISNUMBER(SEARCH("Tatuapé",N22))),"SIM","")</f>
        <v/>
      </c>
      <c r="AB22" s="99">
        <f>IF(AND(ISNUMBER(SEARCH("Delivery",N22)),ISNUMBER(SEARCH("Pavão",N22))),"SIM","")</f>
        <v/>
      </c>
      <c r="AC22" s="99">
        <f>IF(AND(ISNUMBER(SEARCH("Delivery",N22)),ISNUMBER(SEARCH("Chac",N22))),"SIM","")</f>
        <v/>
      </c>
      <c r="AD22" s="99">
        <f>IF(AND(ISNUMBER(SEARCH("Delivery",N22)),ISNUMBER(SEARCH("Madalena",N22))),"SIM","")</f>
        <v/>
      </c>
      <c r="AE22" s="92">
        <f>IF(AND(ISNUMBER(SEARCH("Delivery",N22)),ISNUMBER(SEARCH("Mariana",N22))),"SIM","")</f>
        <v/>
      </c>
      <c r="AF22" s="92">
        <f>IF(AND(ISNUMBER(SEARCH("Delivery",N22)),ISNUMBER(SEARCH("Perdizes",N22))),"SIM","")</f>
        <v/>
      </c>
      <c r="AG22" s="92">
        <f>IF(AND(ISNUMBER(SEARCH("Delivery",N22)),ISNUMBER(SEARCH("Santana",N22))),"SIM","")</f>
        <v/>
      </c>
      <c r="AH22" s="92">
        <f>IF(AND(ISNUMBER(SEARCH("Delivery",N22)),ISNUMBER(SEARCH("André",N22))),"SIM","")</f>
        <v/>
      </c>
      <c r="AI22" s="92">
        <f>IF(ISNUMBER(SEARCH("Interlagos",N22)),"SIM","")</f>
        <v/>
      </c>
      <c r="AJ22" s="92">
        <f>IF(ISNUMBER(SEARCH("Quiosque",N22)),"SIM","")</f>
        <v/>
      </c>
      <c r="AK22" s="93" t="n"/>
    </row>
    <row r="23">
      <c r="A23" s="88" t="inlineStr">
        <is>
          <t>Protheus</t>
        </is>
      </c>
      <c r="B23" s="96" t="inlineStr">
        <is>
          <t>001264</t>
        </is>
      </c>
      <c r="C23" s="97">
        <f>IF(B23="—","—",IFERROR(VLOOKUP(B23,_Protheus_Cadastro!$A:$B,2,FALSE),"—"))</f>
        <v/>
      </c>
      <c r="D23" s="98">
        <f>IF(B23="—",IFERROR(INDEX(_ZIG_Cadastro!$D:$D,MATCH(H23,_ZIG_Cadastro!$A:$A,0)),"Produto"),IFERROR(VLOOKUP(B23,_Protheus_Cadastro!$A:$C,3,FALSE),"—"))</f>
        <v/>
      </c>
      <c r="E23" s="98">
        <f>IF(B23="—","—",IFERROR(VLOOKUP(B23,_Protheus_Cadastro!$A:$D,4,FALSE),"—"))</f>
        <v/>
      </c>
      <c r="F23" s="98">
        <f>IF(ISERROR(VLOOKUP(B23,'Estrutura Protheus'!A:A,1,FALSE)),"Não","Sim")</f>
        <v/>
      </c>
      <c r="G23" s="99">
        <f>IFERROR(INDEX(_Protheus_Cadastro!$H:$H,MATCH(B23,_Protheus_Cadastro!$A:$A,0)),"—")</f>
        <v/>
      </c>
      <c r="H23" s="211">
        <f>IFERROR(INDEX(_ZIG_Precos!$D:$D,MATCH(I23,_ZIG_Precos!$F:$F,0)),"—")</f>
        <v/>
      </c>
      <c r="I23" s="103">
        <f>IFERROR(VLOOKUP(B23,_Protheus_Cadastro!$A:$I,9,FALSE),"—")</f>
        <v/>
      </c>
      <c r="J23" s="101">
        <f>IFERROR(INDEX(_ZIG_Cadastro!$B:$B,MATCH(I23,_ZIG_Cadastro!$A:$A,0)),IFERROR(INDEX(_Entradas_ZIG!$B:$B,MATCH(I23,_Entradas_ZIG!$C:$C,0)),"—"))</f>
        <v/>
      </c>
      <c r="K23" s="101">
        <f>IFERROR(INDEX(_ZIG_Cadastro!$C:$C,MATCH(I23,_ZIG_Cadastro!$A:$A,0)),IFERROR(INDEX(_Entradas_ZIG!$D:$D,MATCH(I23,_Entradas_ZIG!$C:$C,0)),"—"))</f>
        <v/>
      </c>
      <c r="L23" s="99">
        <f>IF(I23="","Sem SKU ZIG",IF(I23="—","Sem SKU ZIG",IF(NOT(ISERROR(MATCH(I23,_ZIG_Cadastro!$A:$A,0))),IF(EXACT(UPPER(TRIM(C23)),UPPER(TRIM(INDEX(_ZIG_Cadastro!$B:$B,MATCH(I23,_ZIG_Cadastro!$A:$A,0))))),"OK","Atencao - Nome diverge"),IF(NOT(ISERROR(MATCH(I23,_Entradas_ZIG!$C:$C,0))),"OK","Erro - SKU nao encontrado"))))</f>
        <v/>
      </c>
      <c r="M23" s="99">
        <f>IFERROR(INDEX(_ZIG_Cadastro!$G:$G,MATCH(I23,_ZIG_Cadastro!$A:$A,0)),IF(NOT(ISERROR(MATCH(I23,_Entradas_ZIG!$C:$C,0))),"Ativo","—"))</f>
        <v/>
      </c>
      <c r="N23" s="102">
        <f>IFERROR(INDEX(_ZIG_Cadastro!$E:$E,MATCH(I23,_ZIG_Cadastro!$A:$A,0)),IFERROR(INDEX(_Entradas_ZIG!$F:$F,MATCH(I23,_Entradas_ZIG!$C:$C,0)),"—"))</f>
        <v/>
      </c>
      <c r="O23" s="99">
        <f>IF(AND(ISNUMBER(SEARCH("Espeto",N23)),ISNUMBER(SEARCH("Carin",N23))),"SIM","")</f>
        <v/>
      </c>
      <c r="P23" s="99">
        <f>IF(AND(ISNUMBER(SEARCH("Espeto",N23)),ISNUMBER(SEARCH("Lapa",N23))),"SIM","")</f>
        <v/>
      </c>
      <c r="Q23" s="99">
        <f>IF(AND(ISNUMBER(SEARCH("Espeto",N23)),ISNUMBER(SEARCH("Tatuapé",N23))),"SIM","")</f>
        <v/>
      </c>
      <c r="R23" s="99">
        <f>IF(AND(ISNUMBER(SEARCH("Espeto",N23)),ISNUMBER(SEARCH("Pavão",N23))),"SIM","")</f>
        <v/>
      </c>
      <c r="S23" s="99">
        <f>IF(AND(ISNUMBER(SEARCH("Espeto",N23)),ISNUMBER(SEARCH("Chac",N23))),"SIM","")</f>
        <v/>
      </c>
      <c r="T23" s="99">
        <f>IF(AND(ISNUMBER(SEARCH("Espeto",N23)),ISNUMBER(SEARCH("Madalena",N23))),"SIM","")</f>
        <v/>
      </c>
      <c r="U23" s="99">
        <f>IF(AND(ISNUMBER(SEARCH("Espeto",N23)),ISNUMBER(SEARCH("Mariana",N23))),"SIM","")</f>
        <v/>
      </c>
      <c r="V23" s="99">
        <f>IF(AND(ISNUMBER(SEARCH("Espeto",N23)),ISNUMBER(SEARCH("Perdizes",N23))),"SIM","")</f>
        <v/>
      </c>
      <c r="W23" s="99">
        <f>IF(AND(ISNUMBER(SEARCH("Espeto",N23)),ISNUMBER(SEARCH("Santana",N23))),"SIM","")</f>
        <v/>
      </c>
      <c r="X23" s="99">
        <f>IF(AND(ISNUMBER(SEARCH("Espeto",N23)),ISNUMBER(SEARCH("André",N23))),"SIM","")</f>
        <v/>
      </c>
      <c r="Y23" s="99">
        <f>IF(AND(ISNUMBER(SEARCH("Delivery",N23)),ISNUMBER(SEARCH("Carin",N23))),"SIM","")</f>
        <v/>
      </c>
      <c r="Z23" s="99">
        <f>IF(AND(ISNUMBER(SEARCH("Delivery",N23)),ISNUMBER(SEARCH("Lapa",N23))),"SIM","")</f>
        <v/>
      </c>
      <c r="AA23" s="99">
        <f>IF(AND(ISNUMBER(SEARCH("Delivery",N23)),ISNUMBER(SEARCH("Tatuapé",N23))),"SIM","")</f>
        <v/>
      </c>
      <c r="AB23" s="99">
        <f>IF(AND(ISNUMBER(SEARCH("Delivery",N23)),ISNUMBER(SEARCH("Pavão",N23))),"SIM","")</f>
        <v/>
      </c>
      <c r="AC23" s="99">
        <f>IF(AND(ISNUMBER(SEARCH("Delivery",N23)),ISNUMBER(SEARCH("Chac",N23))),"SIM","")</f>
        <v/>
      </c>
      <c r="AD23" s="99">
        <f>IF(AND(ISNUMBER(SEARCH("Delivery",N23)),ISNUMBER(SEARCH("Madalena",N23))),"SIM","")</f>
        <v/>
      </c>
      <c r="AE23" s="99">
        <f>IF(AND(ISNUMBER(SEARCH("Delivery",N23)),ISNUMBER(SEARCH("Mariana",N23))),"SIM","")</f>
        <v/>
      </c>
      <c r="AF23" s="99">
        <f>IF(AND(ISNUMBER(SEARCH("Delivery",N23)),ISNUMBER(SEARCH("Perdizes",N23))),"SIM","")</f>
        <v/>
      </c>
      <c r="AG23" s="99">
        <f>IF(AND(ISNUMBER(SEARCH("Delivery",N23)),ISNUMBER(SEARCH("Santana",N23))),"SIM","")</f>
        <v/>
      </c>
      <c r="AH23" s="99">
        <f>IF(AND(ISNUMBER(SEARCH("Delivery",N23)),ISNUMBER(SEARCH("André",N23))),"SIM","")</f>
        <v/>
      </c>
      <c r="AI23" s="99">
        <f>IF(ISNUMBER(SEARCH("Interlagos",N23)),"SIM","")</f>
        <v/>
      </c>
      <c r="AJ23" s="99">
        <f>IF(ISNUMBER(SEARCH("Quiosque",N23)),"SIM","")</f>
        <v/>
      </c>
      <c r="AK23" s="101" t="n"/>
    </row>
    <row r="24">
      <c r="A24" s="88" t="inlineStr">
        <is>
          <t>Protheus</t>
        </is>
      </c>
      <c r="B24" s="89" t="inlineStr">
        <is>
          <t>001306</t>
        </is>
      </c>
      <c r="C24" s="90">
        <f>IF(B24="—","—",IFERROR(VLOOKUP(B24,_Protheus_Cadastro!$A:$B,2,FALSE),"—"))</f>
        <v/>
      </c>
      <c r="D24" s="91">
        <f>IF(B24="—",IFERROR(INDEX(_ZIG_Cadastro!$D:$D,MATCH(H24,_ZIG_Cadastro!$A:$A,0)),"Produto"),IFERROR(VLOOKUP(B24,_Protheus_Cadastro!$A:$C,3,FALSE),"—"))</f>
        <v/>
      </c>
      <c r="E24" s="91">
        <f>IF(B24="—","—",IFERROR(VLOOKUP(B24,_Protheus_Cadastro!$A:$D,4,FALSE),"—"))</f>
        <v/>
      </c>
      <c r="F24" s="91">
        <f>IF(ISERROR(VLOOKUP(B24,'Estrutura Protheus'!A:A,1,FALSE)),"Não","Sim")</f>
        <v/>
      </c>
      <c r="G24" s="92">
        <f>IFERROR(INDEX(_Protheus_Cadastro!$H:$H,MATCH(B24,_Protheus_Cadastro!$A:$A,0)),"—")</f>
        <v/>
      </c>
      <c r="H24" s="210">
        <f>IFERROR(INDEX(_ZIG_Precos!$D:$D,MATCH(I24,_ZIG_Precos!$F:$F,0)),"—")</f>
        <v/>
      </c>
      <c r="I24" s="95">
        <f>IFERROR(VLOOKUP(B24,_Protheus_Cadastro!$A:$I,9,FALSE),"—")</f>
        <v/>
      </c>
      <c r="J24" s="93">
        <f>IFERROR(INDEX(_ZIG_Cadastro!$B:$B,MATCH(I24,_ZIG_Cadastro!$A:$A,0)),IFERROR(INDEX(_Entradas_ZIG!$B:$B,MATCH(I24,_Entradas_ZIG!$C:$C,0)),"—"))</f>
        <v/>
      </c>
      <c r="K24" s="93">
        <f>IFERROR(INDEX(_ZIG_Cadastro!$C:$C,MATCH(I24,_ZIG_Cadastro!$A:$A,0)),IFERROR(INDEX(_Entradas_ZIG!$D:$D,MATCH(I24,_Entradas_ZIG!$C:$C,0)),"—"))</f>
        <v/>
      </c>
      <c r="L24" s="92">
        <f>IF(I24="","Sem SKU ZIG",IF(I24="—","Sem SKU ZIG",IF(NOT(ISERROR(MATCH(I24,_ZIG_Cadastro!$A:$A,0))),IF(EXACT(UPPER(TRIM(C24)),UPPER(TRIM(INDEX(_ZIG_Cadastro!$B:$B,MATCH(I24,_ZIG_Cadastro!$A:$A,0))))),"OK","Atencao - Nome diverge"),IF(NOT(ISERROR(MATCH(I24,_Entradas_ZIG!$C:$C,0))),"OK","Erro - SKU nao encontrado"))))</f>
        <v/>
      </c>
      <c r="M24" s="92">
        <f>IFERROR(INDEX(_ZIG_Cadastro!$G:$G,MATCH(I24,_ZIG_Cadastro!$A:$A,0)),IF(NOT(ISERROR(MATCH(I24,_Entradas_ZIG!$C:$C,0))),"Ativo","—"))</f>
        <v/>
      </c>
      <c r="N24" s="94">
        <f>IFERROR(INDEX(_ZIG_Cadastro!$E:$E,MATCH(I24,_ZIG_Cadastro!$A:$A,0)),IFERROR(INDEX(_Entradas_ZIG!$F:$F,MATCH(I24,_Entradas_ZIG!$C:$C,0)),"—"))</f>
        <v/>
      </c>
      <c r="O24" s="92">
        <f>IF(AND(ISNUMBER(SEARCH("Espeto",N24)),ISNUMBER(SEARCH("Carin",N24))),"SIM","")</f>
        <v/>
      </c>
      <c r="P24" s="92">
        <f>IF(AND(ISNUMBER(SEARCH("Espeto",N24)),ISNUMBER(SEARCH("Lapa",N24))),"SIM","")</f>
        <v/>
      </c>
      <c r="Q24" s="92">
        <f>IF(AND(ISNUMBER(SEARCH("Espeto",N24)),ISNUMBER(SEARCH("Tatuapé",N24))),"SIM","")</f>
        <v/>
      </c>
      <c r="R24" s="92">
        <f>IF(AND(ISNUMBER(SEARCH("Espeto",N24)),ISNUMBER(SEARCH("Pavão",N24))),"SIM","")</f>
        <v/>
      </c>
      <c r="S24" s="92">
        <f>IF(AND(ISNUMBER(SEARCH("Espeto",N24)),ISNUMBER(SEARCH("Chac",N24))),"SIM","")</f>
        <v/>
      </c>
      <c r="T24" s="92">
        <f>IF(AND(ISNUMBER(SEARCH("Espeto",N24)),ISNUMBER(SEARCH("Madalena",N24))),"SIM","")</f>
        <v/>
      </c>
      <c r="U24" s="92">
        <f>IF(AND(ISNUMBER(SEARCH("Espeto",N24)),ISNUMBER(SEARCH("Mariana",N24))),"SIM","")</f>
        <v/>
      </c>
      <c r="V24" s="92">
        <f>IF(AND(ISNUMBER(SEARCH("Espeto",N24)),ISNUMBER(SEARCH("Perdizes",N24))),"SIM","")</f>
        <v/>
      </c>
      <c r="W24" s="92">
        <f>IF(AND(ISNUMBER(SEARCH("Espeto",N24)),ISNUMBER(SEARCH("Santana",N24))),"SIM","")</f>
        <v/>
      </c>
      <c r="X24" s="92">
        <f>IF(AND(ISNUMBER(SEARCH("Espeto",N24)),ISNUMBER(SEARCH("André",N24))),"SIM","")</f>
        <v/>
      </c>
      <c r="Y24" s="92">
        <f>IF(AND(ISNUMBER(SEARCH("Delivery",N24)),ISNUMBER(SEARCH("Carin",N24))),"SIM","")</f>
        <v/>
      </c>
      <c r="Z24" s="92">
        <f>IF(AND(ISNUMBER(SEARCH("Delivery",N24)),ISNUMBER(SEARCH("Lapa",N24))),"SIM","")</f>
        <v/>
      </c>
      <c r="AA24" s="92">
        <f>IF(AND(ISNUMBER(SEARCH("Delivery",N24)),ISNUMBER(SEARCH("Tatuapé",N24))),"SIM","")</f>
        <v/>
      </c>
      <c r="AB24" s="92">
        <f>IF(AND(ISNUMBER(SEARCH("Delivery",N24)),ISNUMBER(SEARCH("Pavão",N24))),"SIM","")</f>
        <v/>
      </c>
      <c r="AC24" s="92">
        <f>IF(AND(ISNUMBER(SEARCH("Delivery",N24)),ISNUMBER(SEARCH("Chac",N24))),"SIM","")</f>
        <v/>
      </c>
      <c r="AD24" s="92">
        <f>IF(AND(ISNUMBER(SEARCH("Delivery",N24)),ISNUMBER(SEARCH("Madalena",N24))),"SIM","")</f>
        <v/>
      </c>
      <c r="AE24" s="92">
        <f>IF(AND(ISNUMBER(SEARCH("Delivery",N24)),ISNUMBER(SEARCH("Mariana",N24))),"SIM","")</f>
        <v/>
      </c>
      <c r="AF24" s="92">
        <f>IF(AND(ISNUMBER(SEARCH("Delivery",N24)),ISNUMBER(SEARCH("Perdizes",N24))),"SIM","")</f>
        <v/>
      </c>
      <c r="AG24" s="92">
        <f>IF(AND(ISNUMBER(SEARCH("Delivery",N24)),ISNUMBER(SEARCH("Santana",N24))),"SIM","")</f>
        <v/>
      </c>
      <c r="AH24" s="92">
        <f>IF(AND(ISNUMBER(SEARCH("Delivery",N24)),ISNUMBER(SEARCH("André",N24))),"SIM","")</f>
        <v/>
      </c>
      <c r="AI24" s="92">
        <f>IF(ISNUMBER(SEARCH("Interlagos",N24)),"SIM","")</f>
        <v/>
      </c>
      <c r="AJ24" s="92">
        <f>IF(ISNUMBER(SEARCH("Quiosque",N24)),"SIM","")</f>
        <v/>
      </c>
      <c r="AK24" s="93" t="n"/>
    </row>
    <row r="25">
      <c r="A25" s="88" t="inlineStr">
        <is>
          <t>Protheus</t>
        </is>
      </c>
      <c r="B25" s="96" t="inlineStr">
        <is>
          <t>010315</t>
        </is>
      </c>
      <c r="C25" s="97">
        <f>IF(B25="—","—",IFERROR(VLOOKUP(B25,_Protheus_Cadastro!$A:$B,2,FALSE),"—"))</f>
        <v/>
      </c>
      <c r="D25" s="98">
        <f>IF(B25="—",IFERROR(INDEX(_ZIG_Cadastro!$D:$D,MATCH(H25,_ZIG_Cadastro!$A:$A,0)),"Produto"),IFERROR(VLOOKUP(B25,_Protheus_Cadastro!$A:$C,3,FALSE),"—"))</f>
        <v/>
      </c>
      <c r="E25" s="98">
        <f>IF(B25="—","—",IFERROR(VLOOKUP(B25,_Protheus_Cadastro!$A:$D,4,FALSE),"—"))</f>
        <v/>
      </c>
      <c r="F25" s="98">
        <f>IF(ISERROR(VLOOKUP(B25,'Estrutura Protheus'!A:A,1,FALSE)),"Não","Sim")</f>
        <v/>
      </c>
      <c r="G25" s="99">
        <f>IFERROR(INDEX(_Protheus_Cadastro!$H:$H,MATCH(B25,_Protheus_Cadastro!$A:$A,0)),"—")</f>
        <v/>
      </c>
      <c r="H25" s="211">
        <f>IFERROR(INDEX(_ZIG_Precos!$D:$D,MATCH(I25,_ZIG_Precos!$F:$F,0)),"—")</f>
        <v/>
      </c>
      <c r="I25" s="103">
        <f>IFERROR(VLOOKUP(B25,_Protheus_Cadastro!$A:$I,9,FALSE),"—")</f>
        <v/>
      </c>
      <c r="J25" s="101">
        <f>IFERROR(INDEX(_ZIG_Cadastro!$B:$B,MATCH(I25,_ZIG_Cadastro!$A:$A,0)),IFERROR(INDEX(_Entradas_ZIG!$B:$B,MATCH(I25,_Entradas_ZIG!$C:$C,0)),"—"))</f>
        <v/>
      </c>
      <c r="K25" s="101">
        <f>IFERROR(INDEX(_ZIG_Cadastro!$C:$C,MATCH(I25,_ZIG_Cadastro!$A:$A,0)),IFERROR(INDEX(_Entradas_ZIG!$D:$D,MATCH(I25,_Entradas_ZIG!$C:$C,0)),"—"))</f>
        <v/>
      </c>
      <c r="L25" s="99">
        <f>IF(I25="","Sem SKU ZIG",IF(I25="—","Sem SKU ZIG",IF(NOT(ISERROR(MATCH(I25,_ZIG_Cadastro!$A:$A,0))),IF(EXACT(UPPER(TRIM(C25)),UPPER(TRIM(INDEX(_ZIG_Cadastro!$B:$B,MATCH(I25,_ZIG_Cadastro!$A:$A,0))))),"OK","Atencao - Nome diverge"),IF(NOT(ISERROR(MATCH(I25,_Entradas_ZIG!$C:$C,0))),"OK","Erro - SKU nao encontrado"))))</f>
        <v/>
      </c>
      <c r="M25" s="99">
        <f>IFERROR(INDEX(_ZIG_Cadastro!$G:$G,MATCH(I25,_ZIG_Cadastro!$A:$A,0)),IF(NOT(ISERROR(MATCH(I25,_Entradas_ZIG!$C:$C,0))),"Ativo","—"))</f>
        <v/>
      </c>
      <c r="N25" s="102">
        <f>IFERROR(INDEX(_ZIG_Cadastro!$E:$E,MATCH(I25,_ZIG_Cadastro!$A:$A,0)),IFERROR(INDEX(_Entradas_ZIG!$F:$F,MATCH(I25,_Entradas_ZIG!$C:$C,0)),"—"))</f>
        <v/>
      </c>
      <c r="O25" s="99">
        <f>IF(AND(ISNUMBER(SEARCH("Espeto",N25)),ISNUMBER(SEARCH("Carin",N25))),"SIM","")</f>
        <v/>
      </c>
      <c r="P25" s="99">
        <f>IF(AND(ISNUMBER(SEARCH("Espeto",N25)),ISNUMBER(SEARCH("Lapa",N25))),"SIM","")</f>
        <v/>
      </c>
      <c r="Q25" s="99">
        <f>IF(AND(ISNUMBER(SEARCH("Espeto",N25)),ISNUMBER(SEARCH("Tatuapé",N25))),"SIM","")</f>
        <v/>
      </c>
      <c r="R25" s="99">
        <f>IF(AND(ISNUMBER(SEARCH("Espeto",N25)),ISNUMBER(SEARCH("Pavão",N25))),"SIM","")</f>
        <v/>
      </c>
      <c r="S25" s="99">
        <f>IF(AND(ISNUMBER(SEARCH("Espeto",N25)),ISNUMBER(SEARCH("Chac",N25))),"SIM","")</f>
        <v/>
      </c>
      <c r="T25" s="99">
        <f>IF(AND(ISNUMBER(SEARCH("Espeto",N25)),ISNUMBER(SEARCH("Madalena",N25))),"SIM","")</f>
        <v/>
      </c>
      <c r="U25" s="99">
        <f>IF(AND(ISNUMBER(SEARCH("Espeto",N25)),ISNUMBER(SEARCH("Mariana",N25))),"SIM","")</f>
        <v/>
      </c>
      <c r="V25" s="99">
        <f>IF(AND(ISNUMBER(SEARCH("Espeto",N25)),ISNUMBER(SEARCH("Perdizes",N25))),"SIM","")</f>
        <v/>
      </c>
      <c r="W25" s="99">
        <f>IF(AND(ISNUMBER(SEARCH("Espeto",N25)),ISNUMBER(SEARCH("Santana",N25))),"SIM","")</f>
        <v/>
      </c>
      <c r="X25" s="99">
        <f>IF(AND(ISNUMBER(SEARCH("Espeto",N25)),ISNUMBER(SEARCH("André",N25))),"SIM","")</f>
        <v/>
      </c>
      <c r="Y25" s="99">
        <f>IF(AND(ISNUMBER(SEARCH("Delivery",N25)),ISNUMBER(SEARCH("Carin",N25))),"SIM","")</f>
        <v/>
      </c>
      <c r="Z25" s="99">
        <f>IF(AND(ISNUMBER(SEARCH("Delivery",N25)),ISNUMBER(SEARCH("Lapa",N25))),"SIM","")</f>
        <v/>
      </c>
      <c r="AA25" s="99">
        <f>IF(AND(ISNUMBER(SEARCH("Delivery",N25)),ISNUMBER(SEARCH("Tatuapé",N25))),"SIM","")</f>
        <v/>
      </c>
      <c r="AB25" s="99">
        <f>IF(AND(ISNUMBER(SEARCH("Delivery",N25)),ISNUMBER(SEARCH("Pavão",N25))),"SIM","")</f>
        <v/>
      </c>
      <c r="AC25" s="99">
        <f>IF(AND(ISNUMBER(SEARCH("Delivery",N25)),ISNUMBER(SEARCH("Chac",N25))),"SIM","")</f>
        <v/>
      </c>
      <c r="AD25" s="99">
        <f>IF(AND(ISNUMBER(SEARCH("Delivery",N25)),ISNUMBER(SEARCH("Madalena",N25))),"SIM","")</f>
        <v/>
      </c>
      <c r="AE25" s="99">
        <f>IF(AND(ISNUMBER(SEARCH("Delivery",N25)),ISNUMBER(SEARCH("Mariana",N25))),"SIM","")</f>
        <v/>
      </c>
      <c r="AF25" s="99">
        <f>IF(AND(ISNUMBER(SEARCH("Delivery",N25)),ISNUMBER(SEARCH("Perdizes",N25))),"SIM","")</f>
        <v/>
      </c>
      <c r="AG25" s="99">
        <f>IF(AND(ISNUMBER(SEARCH("Delivery",N25)),ISNUMBER(SEARCH("Santana",N25))),"SIM","")</f>
        <v/>
      </c>
      <c r="AH25" s="99">
        <f>IF(AND(ISNUMBER(SEARCH("Delivery",N25)),ISNUMBER(SEARCH("André",N25))),"SIM","")</f>
        <v/>
      </c>
      <c r="AI25" s="99">
        <f>IF(ISNUMBER(SEARCH("Interlagos",N25)),"SIM","")</f>
        <v/>
      </c>
      <c r="AJ25" s="99">
        <f>IF(ISNUMBER(SEARCH("Quiosque",N25)),"SIM","")</f>
        <v/>
      </c>
      <c r="AK25" s="101" t="n"/>
    </row>
    <row r="26">
      <c r="A26" s="88" t="inlineStr">
        <is>
          <t>Protheus</t>
        </is>
      </c>
      <c r="B26" s="96" t="inlineStr">
        <is>
          <t>010317</t>
        </is>
      </c>
      <c r="C26" s="97">
        <f>IF(B26="—","—",IFERROR(VLOOKUP(B26,_Protheus_Cadastro!$A:$B,2,FALSE),"—"))</f>
        <v/>
      </c>
      <c r="D26" s="98">
        <f>IF(B26="—",IFERROR(INDEX(_ZIG_Cadastro!$D:$D,MATCH(H26,_ZIG_Cadastro!$A:$A,0)),"Produto"),IFERROR(VLOOKUP(B26,_Protheus_Cadastro!$A:$C,3,FALSE),"—"))</f>
        <v/>
      </c>
      <c r="E26" s="98">
        <f>IF(B26="—","—",IFERROR(VLOOKUP(B26,_Protheus_Cadastro!$A:$D,4,FALSE),"—"))</f>
        <v/>
      </c>
      <c r="F26" s="98">
        <f>IF(ISERROR(VLOOKUP(B26,'Estrutura Protheus'!A:A,1,FALSE)),"Não","Sim")</f>
        <v/>
      </c>
      <c r="G26" s="99">
        <f>IFERROR(INDEX(_Protheus_Cadastro!$H:$H,MATCH(B26,_Protheus_Cadastro!$A:$A,0)),"—")</f>
        <v/>
      </c>
      <c r="H26" s="211">
        <f>IFERROR(INDEX(_ZIG_Precos!$D:$D,MATCH(I26,_ZIG_Precos!$F:$F,0)),"—")</f>
        <v/>
      </c>
      <c r="I26" s="103">
        <f>IFERROR(VLOOKUP(B26,_Protheus_Cadastro!$A:$I,9,FALSE),"—")</f>
        <v/>
      </c>
      <c r="J26" s="101">
        <f>IFERROR(INDEX(_ZIG_Cadastro!$B:$B,MATCH(I26,_ZIG_Cadastro!$A:$A,0)),IFERROR(INDEX(_Entradas_ZIG!$B:$B,MATCH(I26,_Entradas_ZIG!$C:$C,0)),"—"))</f>
        <v/>
      </c>
      <c r="K26" s="101">
        <f>IFERROR(INDEX(_ZIG_Cadastro!$C:$C,MATCH(I26,_ZIG_Cadastro!$A:$A,0)),IFERROR(INDEX(_Entradas_ZIG!$D:$D,MATCH(I26,_Entradas_ZIG!$C:$C,0)),"—"))</f>
        <v/>
      </c>
      <c r="L26" s="99">
        <f>IF(I26="","Sem SKU ZIG",IF(I26="—","Sem SKU ZIG",IF(NOT(ISERROR(MATCH(I26,_ZIG_Cadastro!$A:$A,0))),IF(EXACT(UPPER(TRIM(C26)),UPPER(TRIM(INDEX(_ZIG_Cadastro!$B:$B,MATCH(I26,_ZIG_Cadastro!$A:$A,0))))),"OK","Atencao - Nome diverge"),IF(NOT(ISERROR(MATCH(I26,_Entradas_ZIG!$C:$C,0))),"OK","Erro - SKU nao encontrado"))))</f>
        <v/>
      </c>
      <c r="M26" s="99">
        <f>IFERROR(INDEX(_ZIG_Cadastro!$G:$G,MATCH(I26,_ZIG_Cadastro!$A:$A,0)),IF(NOT(ISERROR(MATCH(I26,_Entradas_ZIG!$C:$C,0))),"Ativo","—"))</f>
        <v/>
      </c>
      <c r="N26" s="102">
        <f>IFERROR(INDEX(_ZIG_Cadastro!$E:$E,MATCH(I26,_ZIG_Cadastro!$A:$A,0)),IFERROR(INDEX(_Entradas_ZIG!$F:$F,MATCH(I26,_Entradas_ZIG!$C:$C,0)),"—"))</f>
        <v/>
      </c>
      <c r="O26" s="99">
        <f>IF(AND(ISNUMBER(SEARCH("Espeto",N26)),ISNUMBER(SEARCH("Carin",N26))),"SIM","")</f>
        <v/>
      </c>
      <c r="P26" s="99">
        <f>IF(AND(ISNUMBER(SEARCH("Espeto",N26)),ISNUMBER(SEARCH("Lapa",N26))),"SIM","")</f>
        <v/>
      </c>
      <c r="Q26" s="99">
        <f>IF(AND(ISNUMBER(SEARCH("Espeto",N26)),ISNUMBER(SEARCH("Tatuapé",N26))),"SIM","")</f>
        <v/>
      </c>
      <c r="R26" s="99">
        <f>IF(AND(ISNUMBER(SEARCH("Espeto",N26)),ISNUMBER(SEARCH("Pavão",N26))),"SIM","")</f>
        <v/>
      </c>
      <c r="S26" s="99">
        <f>IF(AND(ISNUMBER(SEARCH("Espeto",N26)),ISNUMBER(SEARCH("Chac",N26))),"SIM","")</f>
        <v/>
      </c>
      <c r="T26" s="99">
        <f>IF(AND(ISNUMBER(SEARCH("Espeto",N26)),ISNUMBER(SEARCH("Madalena",N26))),"SIM","")</f>
        <v/>
      </c>
      <c r="U26" s="99">
        <f>IF(AND(ISNUMBER(SEARCH("Espeto",N26)),ISNUMBER(SEARCH("Mariana",N26))),"SIM","")</f>
        <v/>
      </c>
      <c r="V26" s="99">
        <f>IF(AND(ISNUMBER(SEARCH("Espeto",N26)),ISNUMBER(SEARCH("Perdizes",N26))),"SIM","")</f>
        <v/>
      </c>
      <c r="W26" s="99">
        <f>IF(AND(ISNUMBER(SEARCH("Espeto",N26)),ISNUMBER(SEARCH("Santana",N26))),"SIM","")</f>
        <v/>
      </c>
      <c r="X26" s="99">
        <f>IF(AND(ISNUMBER(SEARCH("Espeto",N26)),ISNUMBER(SEARCH("André",N26))),"SIM","")</f>
        <v/>
      </c>
      <c r="Y26" s="99">
        <f>IF(AND(ISNUMBER(SEARCH("Delivery",N26)),ISNUMBER(SEARCH("Carin",N26))),"SIM","")</f>
        <v/>
      </c>
      <c r="Z26" s="99">
        <f>IF(AND(ISNUMBER(SEARCH("Delivery",N26)),ISNUMBER(SEARCH("Lapa",N26))),"SIM","")</f>
        <v/>
      </c>
      <c r="AA26" s="99">
        <f>IF(AND(ISNUMBER(SEARCH("Delivery",N26)),ISNUMBER(SEARCH("Tatuapé",N26))),"SIM","")</f>
        <v/>
      </c>
      <c r="AB26" s="99">
        <f>IF(AND(ISNUMBER(SEARCH("Delivery",N26)),ISNUMBER(SEARCH("Pavão",N26))),"SIM","")</f>
        <v/>
      </c>
      <c r="AC26" s="99">
        <f>IF(AND(ISNUMBER(SEARCH("Delivery",N26)),ISNUMBER(SEARCH("Chac",N26))),"SIM","")</f>
        <v/>
      </c>
      <c r="AD26" s="99">
        <f>IF(AND(ISNUMBER(SEARCH("Delivery",N26)),ISNUMBER(SEARCH("Madalena",N26))),"SIM","")</f>
        <v/>
      </c>
      <c r="AE26" s="92">
        <f>IF(AND(ISNUMBER(SEARCH("Delivery",N26)),ISNUMBER(SEARCH("Mariana",N26))),"SIM","")</f>
        <v/>
      </c>
      <c r="AF26" s="92">
        <f>IF(AND(ISNUMBER(SEARCH("Delivery",N26)),ISNUMBER(SEARCH("Perdizes",N26))),"SIM","")</f>
        <v/>
      </c>
      <c r="AG26" s="92">
        <f>IF(AND(ISNUMBER(SEARCH("Delivery",N26)),ISNUMBER(SEARCH("Santana",N26))),"SIM","")</f>
        <v/>
      </c>
      <c r="AH26" s="92">
        <f>IF(AND(ISNUMBER(SEARCH("Delivery",N26)),ISNUMBER(SEARCH("André",N26))),"SIM","")</f>
        <v/>
      </c>
      <c r="AI26" s="92">
        <f>IF(ISNUMBER(SEARCH("Interlagos",N26)),"SIM","")</f>
        <v/>
      </c>
      <c r="AJ26" s="92">
        <f>IF(ISNUMBER(SEARCH("Quiosque",N26)),"SIM","")</f>
        <v/>
      </c>
      <c r="AK26" s="93" t="n"/>
    </row>
    <row r="27">
      <c r="A27" s="88" t="inlineStr">
        <is>
          <t>Protheus</t>
        </is>
      </c>
      <c r="B27" s="89" t="inlineStr">
        <is>
          <t>010316</t>
        </is>
      </c>
      <c r="C27" s="90">
        <f>IF(B27="—","—",IFERROR(VLOOKUP(B27,_Protheus_Cadastro!$A:$B,2,FALSE),"—"))</f>
        <v/>
      </c>
      <c r="D27" s="91">
        <f>IF(B27="—",IFERROR(INDEX(_ZIG_Cadastro!$D:$D,MATCH(H27,_ZIG_Cadastro!$A:$A,0)),"Produto"),IFERROR(VLOOKUP(B27,_Protheus_Cadastro!$A:$C,3,FALSE),"—"))</f>
        <v/>
      </c>
      <c r="E27" s="91">
        <f>IF(B27="—","—",IFERROR(VLOOKUP(B27,_Protheus_Cadastro!$A:$D,4,FALSE),"—"))</f>
        <v/>
      </c>
      <c r="F27" s="91">
        <f>IF(ISERROR(VLOOKUP(B27,'Estrutura Protheus'!A:A,1,FALSE)),"Não","Sim")</f>
        <v/>
      </c>
      <c r="G27" s="92">
        <f>IFERROR(INDEX(_Protheus_Cadastro!$H:$H,MATCH(B27,_Protheus_Cadastro!$A:$A,0)),"—")</f>
        <v/>
      </c>
      <c r="H27" s="210">
        <f>IFERROR(INDEX(_ZIG_Precos!$D:$D,MATCH(I27,_ZIG_Precos!$F:$F,0)),"—")</f>
        <v/>
      </c>
      <c r="I27" s="95">
        <f>IFERROR(VLOOKUP(B27,_Protheus_Cadastro!$A:$I,9,FALSE),"—")</f>
        <v/>
      </c>
      <c r="J27" s="93">
        <f>IFERROR(INDEX(_ZIG_Cadastro!$B:$B,MATCH(I27,_ZIG_Cadastro!$A:$A,0)),IFERROR(INDEX(_Entradas_ZIG!$B:$B,MATCH(I27,_Entradas_ZIG!$C:$C,0)),"—"))</f>
        <v/>
      </c>
      <c r="K27" s="93">
        <f>IFERROR(INDEX(_ZIG_Cadastro!$C:$C,MATCH(I27,_ZIG_Cadastro!$A:$A,0)),IFERROR(INDEX(_Entradas_ZIG!$D:$D,MATCH(I27,_Entradas_ZIG!$C:$C,0)),"—"))</f>
        <v/>
      </c>
      <c r="L27" s="92">
        <f>IF(I27="","Sem SKU ZIG",IF(I27="—","Sem SKU ZIG",IF(NOT(ISERROR(MATCH(I27,_ZIG_Cadastro!$A:$A,0))),IF(EXACT(UPPER(TRIM(C27)),UPPER(TRIM(INDEX(_ZIG_Cadastro!$B:$B,MATCH(I27,_ZIG_Cadastro!$A:$A,0))))),"OK","Atencao - Nome diverge"),IF(NOT(ISERROR(MATCH(I27,_Entradas_ZIG!$C:$C,0))),"OK","Erro - SKU nao encontrado"))))</f>
        <v/>
      </c>
      <c r="M27" s="92">
        <f>IFERROR(INDEX(_ZIG_Cadastro!$G:$G,MATCH(I27,_ZIG_Cadastro!$A:$A,0)),IF(NOT(ISERROR(MATCH(I27,_Entradas_ZIG!$C:$C,0))),"Ativo","—"))</f>
        <v/>
      </c>
      <c r="N27" s="94">
        <f>IFERROR(INDEX(_ZIG_Cadastro!$E:$E,MATCH(I27,_ZIG_Cadastro!$A:$A,0)),IFERROR(INDEX(_Entradas_ZIG!$F:$F,MATCH(I27,_Entradas_ZIG!$C:$C,0)),"—"))</f>
        <v/>
      </c>
      <c r="O27" s="92">
        <f>IF(AND(ISNUMBER(SEARCH("Espeto",N27)),ISNUMBER(SEARCH("Carin",N27))),"SIM","")</f>
        <v/>
      </c>
      <c r="P27" s="92">
        <f>IF(AND(ISNUMBER(SEARCH("Espeto",N27)),ISNUMBER(SEARCH("Lapa",N27))),"SIM","")</f>
        <v/>
      </c>
      <c r="Q27" s="92">
        <f>IF(AND(ISNUMBER(SEARCH("Espeto",N27)),ISNUMBER(SEARCH("Tatuapé",N27))),"SIM","")</f>
        <v/>
      </c>
      <c r="R27" s="92">
        <f>IF(AND(ISNUMBER(SEARCH("Espeto",N27)),ISNUMBER(SEARCH("Pavão",N27))),"SIM","")</f>
        <v/>
      </c>
      <c r="S27" s="92">
        <f>IF(AND(ISNUMBER(SEARCH("Espeto",N27)),ISNUMBER(SEARCH("Chac",N27))),"SIM","")</f>
        <v/>
      </c>
      <c r="T27" s="92">
        <f>IF(AND(ISNUMBER(SEARCH("Espeto",N27)),ISNUMBER(SEARCH("Madalena",N27))),"SIM","")</f>
        <v/>
      </c>
      <c r="U27" s="92">
        <f>IF(AND(ISNUMBER(SEARCH("Espeto",N27)),ISNUMBER(SEARCH("Mariana",N27))),"SIM","")</f>
        <v/>
      </c>
      <c r="V27" s="92">
        <f>IF(AND(ISNUMBER(SEARCH("Espeto",N27)),ISNUMBER(SEARCH("Perdizes",N27))),"SIM","")</f>
        <v/>
      </c>
      <c r="W27" s="92">
        <f>IF(AND(ISNUMBER(SEARCH("Espeto",N27)),ISNUMBER(SEARCH("Santana",N27))),"SIM","")</f>
        <v/>
      </c>
      <c r="X27" s="92">
        <f>IF(AND(ISNUMBER(SEARCH("Espeto",N27)),ISNUMBER(SEARCH("André",N27))),"SIM","")</f>
        <v/>
      </c>
      <c r="Y27" s="92">
        <f>IF(AND(ISNUMBER(SEARCH("Delivery",N27)),ISNUMBER(SEARCH("Carin",N27))),"SIM","")</f>
        <v/>
      </c>
      <c r="Z27" s="92">
        <f>IF(AND(ISNUMBER(SEARCH("Delivery",N27)),ISNUMBER(SEARCH("Lapa",N27))),"SIM","")</f>
        <v/>
      </c>
      <c r="AA27" s="92">
        <f>IF(AND(ISNUMBER(SEARCH("Delivery",N27)),ISNUMBER(SEARCH("Tatuapé",N27))),"SIM","")</f>
        <v/>
      </c>
      <c r="AB27" s="92">
        <f>IF(AND(ISNUMBER(SEARCH("Delivery",N27)),ISNUMBER(SEARCH("Pavão",N27))),"SIM","")</f>
        <v/>
      </c>
      <c r="AC27" s="92">
        <f>IF(AND(ISNUMBER(SEARCH("Delivery",N27)),ISNUMBER(SEARCH("Chac",N27))),"SIM","")</f>
        <v/>
      </c>
      <c r="AD27" s="92">
        <f>IF(AND(ISNUMBER(SEARCH("Delivery",N27)),ISNUMBER(SEARCH("Madalena",N27))),"SIM","")</f>
        <v/>
      </c>
      <c r="AE27" s="99">
        <f>IF(AND(ISNUMBER(SEARCH("Delivery",N27)),ISNUMBER(SEARCH("Mariana",N27))),"SIM","")</f>
        <v/>
      </c>
      <c r="AF27" s="99">
        <f>IF(AND(ISNUMBER(SEARCH("Delivery",N27)),ISNUMBER(SEARCH("Perdizes",N27))),"SIM","")</f>
        <v/>
      </c>
      <c r="AG27" s="99">
        <f>IF(AND(ISNUMBER(SEARCH("Delivery",N27)),ISNUMBER(SEARCH("Santana",N27))),"SIM","")</f>
        <v/>
      </c>
      <c r="AH27" s="99">
        <f>IF(AND(ISNUMBER(SEARCH("Delivery",N27)),ISNUMBER(SEARCH("André",N27))),"SIM","")</f>
        <v/>
      </c>
      <c r="AI27" s="99">
        <f>IF(ISNUMBER(SEARCH("Interlagos",N27)),"SIM","")</f>
        <v/>
      </c>
      <c r="AJ27" s="99">
        <f>IF(ISNUMBER(SEARCH("Quiosque",N27)),"SIM","")</f>
        <v/>
      </c>
      <c r="AK27" s="101" t="n"/>
    </row>
    <row r="28">
      <c r="A28" s="88" t="inlineStr">
        <is>
          <t>Protheus</t>
        </is>
      </c>
      <c r="B28" s="89" t="inlineStr">
        <is>
          <t>010314</t>
        </is>
      </c>
      <c r="C28" s="90">
        <f>IF(B28="—","—",IFERROR(VLOOKUP(B28,_Protheus_Cadastro!$A:$B,2,FALSE),"—"))</f>
        <v/>
      </c>
      <c r="D28" s="91">
        <f>IF(B28="—",IFERROR(INDEX(_ZIG_Cadastro!$D:$D,MATCH(H28,_ZIG_Cadastro!$A:$A,0)),"Produto"),IFERROR(VLOOKUP(B28,_Protheus_Cadastro!$A:$C,3,FALSE),"—"))</f>
        <v/>
      </c>
      <c r="E28" s="91">
        <f>IF(B28="—","—",IFERROR(VLOOKUP(B28,_Protheus_Cadastro!$A:$D,4,FALSE),"—"))</f>
        <v/>
      </c>
      <c r="F28" s="91">
        <f>IF(ISERROR(VLOOKUP(B28,'Estrutura Protheus'!A:A,1,FALSE)),"Não","Sim")</f>
        <v/>
      </c>
      <c r="G28" s="92">
        <f>IFERROR(INDEX(_Protheus_Cadastro!$H:$H,MATCH(B28,_Protheus_Cadastro!$A:$A,0)),"—")</f>
        <v/>
      </c>
      <c r="H28" s="210">
        <f>IFERROR(INDEX(_ZIG_Precos!$D:$D,MATCH(I28,_ZIG_Precos!$F:$F,0)),"—")</f>
        <v/>
      </c>
      <c r="I28" s="95">
        <f>IFERROR(VLOOKUP(B28,_Protheus_Cadastro!$A:$I,9,FALSE),"—")</f>
        <v/>
      </c>
      <c r="J28" s="93">
        <f>IFERROR(INDEX(_ZIG_Cadastro!$B:$B,MATCH(I28,_ZIG_Cadastro!$A:$A,0)),IFERROR(INDEX(_Entradas_ZIG!$B:$B,MATCH(I28,_Entradas_ZIG!$C:$C,0)),"—"))</f>
        <v/>
      </c>
      <c r="K28" s="93">
        <f>IFERROR(INDEX(_ZIG_Cadastro!$C:$C,MATCH(I28,_ZIG_Cadastro!$A:$A,0)),IFERROR(INDEX(_Entradas_ZIG!$D:$D,MATCH(I28,_Entradas_ZIG!$C:$C,0)),"—"))</f>
        <v/>
      </c>
      <c r="L28" s="92">
        <f>IF(I28="","Sem SKU ZIG",IF(I28="—","Sem SKU ZIG",IF(NOT(ISERROR(MATCH(I28,_ZIG_Cadastro!$A:$A,0))),IF(EXACT(UPPER(TRIM(C28)),UPPER(TRIM(INDEX(_ZIG_Cadastro!$B:$B,MATCH(I28,_ZIG_Cadastro!$A:$A,0))))),"OK","Atencao - Nome diverge"),IF(NOT(ISERROR(MATCH(I28,_Entradas_ZIG!$C:$C,0))),"OK","Erro - SKU nao encontrado"))))</f>
        <v/>
      </c>
      <c r="M28" s="92">
        <f>IFERROR(INDEX(_ZIG_Cadastro!$G:$G,MATCH(I28,_ZIG_Cadastro!$A:$A,0)),IF(NOT(ISERROR(MATCH(I28,_Entradas_ZIG!$C:$C,0))),"Ativo","—"))</f>
        <v/>
      </c>
      <c r="N28" s="94">
        <f>IFERROR(INDEX(_ZIG_Cadastro!$E:$E,MATCH(I28,_ZIG_Cadastro!$A:$A,0)),IFERROR(INDEX(_Entradas_ZIG!$F:$F,MATCH(I28,_Entradas_ZIG!$C:$C,0)),"—"))</f>
        <v/>
      </c>
      <c r="O28" s="92">
        <f>IF(AND(ISNUMBER(SEARCH("Espeto",N28)),ISNUMBER(SEARCH("Carin",N28))),"SIM","")</f>
        <v/>
      </c>
      <c r="P28" s="92">
        <f>IF(AND(ISNUMBER(SEARCH("Espeto",N28)),ISNUMBER(SEARCH("Lapa",N28))),"SIM","")</f>
        <v/>
      </c>
      <c r="Q28" s="92">
        <f>IF(AND(ISNUMBER(SEARCH("Espeto",N28)),ISNUMBER(SEARCH("Tatuapé",N28))),"SIM","")</f>
        <v/>
      </c>
      <c r="R28" s="92">
        <f>IF(AND(ISNUMBER(SEARCH("Espeto",N28)),ISNUMBER(SEARCH("Pavão",N28))),"SIM","")</f>
        <v/>
      </c>
      <c r="S28" s="92">
        <f>IF(AND(ISNUMBER(SEARCH("Espeto",N28)),ISNUMBER(SEARCH("Chac",N28))),"SIM","")</f>
        <v/>
      </c>
      <c r="T28" s="92">
        <f>IF(AND(ISNUMBER(SEARCH("Espeto",N28)),ISNUMBER(SEARCH("Madalena",N28))),"SIM","")</f>
        <v/>
      </c>
      <c r="U28" s="92">
        <f>IF(AND(ISNUMBER(SEARCH("Espeto",N28)),ISNUMBER(SEARCH("Mariana",N28))),"SIM","")</f>
        <v/>
      </c>
      <c r="V28" s="92">
        <f>IF(AND(ISNUMBER(SEARCH("Espeto",N28)),ISNUMBER(SEARCH("Perdizes",N28))),"SIM","")</f>
        <v/>
      </c>
      <c r="W28" s="92">
        <f>IF(AND(ISNUMBER(SEARCH("Espeto",N28)),ISNUMBER(SEARCH("Santana",N28))),"SIM","")</f>
        <v/>
      </c>
      <c r="X28" s="92">
        <f>IF(AND(ISNUMBER(SEARCH("Espeto",N28)),ISNUMBER(SEARCH("André",N28))),"SIM","")</f>
        <v/>
      </c>
      <c r="Y28" s="92">
        <f>IF(AND(ISNUMBER(SEARCH("Delivery",N28)),ISNUMBER(SEARCH("Carin",N28))),"SIM","")</f>
        <v/>
      </c>
      <c r="Z28" s="92">
        <f>IF(AND(ISNUMBER(SEARCH("Delivery",N28)),ISNUMBER(SEARCH("Lapa",N28))),"SIM","")</f>
        <v/>
      </c>
      <c r="AA28" s="92">
        <f>IF(AND(ISNUMBER(SEARCH("Delivery",N28)),ISNUMBER(SEARCH("Tatuapé",N28))),"SIM","")</f>
        <v/>
      </c>
      <c r="AB28" s="92">
        <f>IF(AND(ISNUMBER(SEARCH("Delivery",N28)),ISNUMBER(SEARCH("Pavão",N28))),"SIM","")</f>
        <v/>
      </c>
      <c r="AC28" s="92">
        <f>IF(AND(ISNUMBER(SEARCH("Delivery",N28)),ISNUMBER(SEARCH("Chac",N28))),"SIM","")</f>
        <v/>
      </c>
      <c r="AD28" s="92">
        <f>IF(AND(ISNUMBER(SEARCH("Delivery",N28)),ISNUMBER(SEARCH("Madalena",N28))),"SIM","")</f>
        <v/>
      </c>
      <c r="AE28" s="92">
        <f>IF(AND(ISNUMBER(SEARCH("Delivery",N28)),ISNUMBER(SEARCH("Mariana",N28))),"SIM","")</f>
        <v/>
      </c>
      <c r="AF28" s="92">
        <f>IF(AND(ISNUMBER(SEARCH("Delivery",N28)),ISNUMBER(SEARCH("Perdizes",N28))),"SIM","")</f>
        <v/>
      </c>
      <c r="AG28" s="92">
        <f>IF(AND(ISNUMBER(SEARCH("Delivery",N28)),ISNUMBER(SEARCH("Santana",N28))),"SIM","")</f>
        <v/>
      </c>
      <c r="AH28" s="92">
        <f>IF(AND(ISNUMBER(SEARCH("Delivery",N28)),ISNUMBER(SEARCH("André",N28))),"SIM","")</f>
        <v/>
      </c>
      <c r="AI28" s="92">
        <f>IF(ISNUMBER(SEARCH("Interlagos",N28)),"SIM","")</f>
        <v/>
      </c>
      <c r="AJ28" s="92">
        <f>IF(ISNUMBER(SEARCH("Quiosque",N28)),"SIM","")</f>
        <v/>
      </c>
      <c r="AK28" s="93" t="n"/>
    </row>
    <row r="29">
      <c r="A29" s="88" t="inlineStr">
        <is>
          <t>Protheus</t>
        </is>
      </c>
      <c r="B29" s="96" t="inlineStr">
        <is>
          <t>009476</t>
        </is>
      </c>
      <c r="C29" s="97">
        <f>IF(B29="—","—",IFERROR(VLOOKUP(B29,_Protheus_Cadastro!$A:$B,2,FALSE),"—"))</f>
        <v/>
      </c>
      <c r="D29" s="98">
        <f>IF(B29="—",IFERROR(INDEX(_ZIG_Cadastro!$D:$D,MATCH(H29,_ZIG_Cadastro!$A:$A,0)),"Produto"),IFERROR(VLOOKUP(B29,_Protheus_Cadastro!$A:$C,3,FALSE),"—"))</f>
        <v/>
      </c>
      <c r="E29" s="98">
        <f>IF(B29="—","—",IFERROR(VLOOKUP(B29,_Protheus_Cadastro!$A:$D,4,FALSE),"—"))</f>
        <v/>
      </c>
      <c r="F29" s="120">
        <f>IF(ISERROR(VLOOKUP(B29,'Estrutura Protheus'!A:A,1,FALSE)),"Não","Sim")</f>
        <v/>
      </c>
      <c r="G29" s="99">
        <f>IFERROR(INDEX(_Protheus_Cadastro!$H:$H,MATCH(B29,_Protheus_Cadastro!$A:$A,0)),"—")</f>
        <v/>
      </c>
      <c r="H29" s="211">
        <f>IFERROR(INDEX(_ZIG_Precos!$D:$D,MATCH(I29,_ZIG_Precos!$F:$F,0)),"—")</f>
        <v/>
      </c>
      <c r="I29" s="103">
        <f>IFERROR(VLOOKUP(B29,_Protheus_Cadastro!$A:$I,9,FALSE),"—")</f>
        <v/>
      </c>
      <c r="J29" s="101">
        <f>IFERROR(INDEX(_ZIG_Cadastro!$B:$B,MATCH(I29,_ZIG_Cadastro!$A:$A,0)),IFERROR(INDEX(_Entradas_ZIG!$B:$B,MATCH(I29,_Entradas_ZIG!$C:$C,0)),"—"))</f>
        <v/>
      </c>
      <c r="K29" s="101">
        <f>IFERROR(INDEX(_ZIG_Cadastro!$C:$C,MATCH(I29,_ZIG_Cadastro!$A:$A,0)),IFERROR(INDEX(_Entradas_ZIG!$D:$D,MATCH(I29,_Entradas_ZIG!$C:$C,0)),"—"))</f>
        <v/>
      </c>
      <c r="L29" s="99">
        <f>IF(I29="","Sem SKU ZIG",IF(I29="—","Sem SKU ZIG",IF(NOT(ISERROR(MATCH(I29,_ZIG_Cadastro!$A:$A,0))),IF(EXACT(UPPER(TRIM(C29)),UPPER(TRIM(INDEX(_ZIG_Cadastro!$B:$B,MATCH(I29,_ZIG_Cadastro!$A:$A,0))))),"OK","Atencao - Nome diverge"),IF(NOT(ISERROR(MATCH(I29,_Entradas_ZIG!$C:$C,0))),"OK","Erro - SKU nao encontrado"))))</f>
        <v/>
      </c>
      <c r="M29" s="99">
        <f>IFERROR(INDEX(_ZIG_Cadastro!$G:$G,MATCH(I29,_ZIG_Cadastro!$A:$A,0)),IF(NOT(ISERROR(MATCH(I29,_Entradas_ZIG!$C:$C,0))),"Ativo","—"))</f>
        <v/>
      </c>
      <c r="N29" s="102">
        <f>IFERROR(INDEX(_ZIG_Cadastro!$E:$E,MATCH(I29,_ZIG_Cadastro!$A:$A,0)),IFERROR(INDEX(_Entradas_ZIG!$F:$F,MATCH(I29,_Entradas_ZIG!$C:$C,0)),"—"))</f>
        <v/>
      </c>
      <c r="O29" s="99">
        <f>IF(AND(ISNUMBER(SEARCH("Espeto",N29)),ISNUMBER(SEARCH("Carin",N29))),"SIM","")</f>
        <v/>
      </c>
      <c r="P29" s="99">
        <f>IF(AND(ISNUMBER(SEARCH("Espeto",N29)),ISNUMBER(SEARCH("Lapa",N29))),"SIM","")</f>
        <v/>
      </c>
      <c r="Q29" s="99">
        <f>IF(AND(ISNUMBER(SEARCH("Espeto",N29)),ISNUMBER(SEARCH("Tatuapé",N29))),"SIM","")</f>
        <v/>
      </c>
      <c r="R29" s="99">
        <f>IF(AND(ISNUMBER(SEARCH("Espeto",N29)),ISNUMBER(SEARCH("Pavão",N29))),"SIM","")</f>
        <v/>
      </c>
      <c r="S29" s="99">
        <f>IF(AND(ISNUMBER(SEARCH("Espeto",N29)),ISNUMBER(SEARCH("Chac",N29))),"SIM","")</f>
        <v/>
      </c>
      <c r="T29" s="99">
        <f>IF(AND(ISNUMBER(SEARCH("Espeto",N29)),ISNUMBER(SEARCH("Madalena",N29))),"SIM","")</f>
        <v/>
      </c>
      <c r="U29" s="99">
        <f>IF(AND(ISNUMBER(SEARCH("Espeto",N29)),ISNUMBER(SEARCH("Mariana",N29))),"SIM","")</f>
        <v/>
      </c>
      <c r="V29" s="99">
        <f>IF(AND(ISNUMBER(SEARCH("Espeto",N29)),ISNUMBER(SEARCH("Perdizes",N29))),"SIM","")</f>
        <v/>
      </c>
      <c r="W29" s="99">
        <f>IF(AND(ISNUMBER(SEARCH("Espeto",N29)),ISNUMBER(SEARCH("Santana",N29))),"SIM","")</f>
        <v/>
      </c>
      <c r="X29" s="99">
        <f>IF(AND(ISNUMBER(SEARCH("Espeto",N29)),ISNUMBER(SEARCH("André",N29))),"SIM","")</f>
        <v/>
      </c>
      <c r="Y29" s="99">
        <f>IF(AND(ISNUMBER(SEARCH("Delivery",N29)),ISNUMBER(SEARCH("Carin",N29))),"SIM","")</f>
        <v/>
      </c>
      <c r="Z29" s="99">
        <f>IF(AND(ISNUMBER(SEARCH("Delivery",N29)),ISNUMBER(SEARCH("Lapa",N29))),"SIM","")</f>
        <v/>
      </c>
      <c r="AA29" s="99">
        <f>IF(AND(ISNUMBER(SEARCH("Delivery",N29)),ISNUMBER(SEARCH("Tatuapé",N29))),"SIM","")</f>
        <v/>
      </c>
      <c r="AB29" s="99">
        <f>IF(AND(ISNUMBER(SEARCH("Delivery",N29)),ISNUMBER(SEARCH("Pavão",N29))),"SIM","")</f>
        <v/>
      </c>
      <c r="AC29" s="99">
        <f>IF(AND(ISNUMBER(SEARCH("Delivery",N29)),ISNUMBER(SEARCH("Chac",N29))),"SIM","")</f>
        <v/>
      </c>
      <c r="AD29" s="99">
        <f>IF(AND(ISNUMBER(SEARCH("Delivery",N29)),ISNUMBER(SEARCH("Madalena",N29))),"SIM","")</f>
        <v/>
      </c>
      <c r="AE29" s="99">
        <f>IF(AND(ISNUMBER(SEARCH("Delivery",N29)),ISNUMBER(SEARCH("Mariana",N29))),"SIM","")</f>
        <v/>
      </c>
      <c r="AF29" s="99">
        <f>IF(AND(ISNUMBER(SEARCH("Delivery",N29)),ISNUMBER(SEARCH("Perdizes",N29))),"SIM","")</f>
        <v/>
      </c>
      <c r="AG29" s="99">
        <f>IF(AND(ISNUMBER(SEARCH("Delivery",N29)),ISNUMBER(SEARCH("Santana",N29))),"SIM","")</f>
        <v/>
      </c>
      <c r="AH29" s="99">
        <f>IF(AND(ISNUMBER(SEARCH("Delivery",N29)),ISNUMBER(SEARCH("André",N29))),"SIM","")</f>
        <v/>
      </c>
      <c r="AI29" s="99">
        <f>IF(ISNUMBER(SEARCH("Interlagos",N29)),"SIM","")</f>
        <v/>
      </c>
      <c r="AJ29" s="99">
        <f>IF(ISNUMBER(SEARCH("Quiosque",N29)),"SIM","")</f>
        <v/>
      </c>
      <c r="AK29" s="101" t="n"/>
    </row>
    <row r="30">
      <c r="A30" s="88" t="inlineStr">
        <is>
          <t>Protheus</t>
        </is>
      </c>
      <c r="B30" s="89" t="inlineStr">
        <is>
          <t>009478</t>
        </is>
      </c>
      <c r="C30" s="90">
        <f>IF(B30="—","—",IFERROR(VLOOKUP(B30,_Protheus_Cadastro!$A:$B,2,FALSE),"—"))</f>
        <v/>
      </c>
      <c r="D30" s="91">
        <f>IF(B30="—",IFERROR(INDEX(_ZIG_Cadastro!$D:$D,MATCH(H30,_ZIG_Cadastro!$A:$A,0)),"Produto"),IFERROR(VLOOKUP(B30,_Protheus_Cadastro!$A:$C,3,FALSE),"—"))</f>
        <v/>
      </c>
      <c r="E30" s="91">
        <f>IF(B30="—","—",IFERROR(VLOOKUP(B30,_Protheus_Cadastro!$A:$D,4,FALSE),"—"))</f>
        <v/>
      </c>
      <c r="F30" s="120">
        <f>IF(ISERROR(VLOOKUP(B30,'Estrutura Protheus'!A:A,1,FALSE)),"Não","Sim")</f>
        <v/>
      </c>
      <c r="G30" s="92">
        <f>IFERROR(INDEX(_Protheus_Cadastro!$H:$H,MATCH(B30,_Protheus_Cadastro!$A:$A,0)),"—")</f>
        <v/>
      </c>
      <c r="H30" s="210">
        <f>IFERROR(INDEX(_ZIG_Precos!$D:$D,MATCH(I30,_ZIG_Precos!$F:$F,0)),"—")</f>
        <v/>
      </c>
      <c r="I30" s="95">
        <f>IFERROR(VLOOKUP(B30,_Protheus_Cadastro!$A:$I,9,FALSE),"—")</f>
        <v/>
      </c>
      <c r="J30" s="93">
        <f>IFERROR(INDEX(_ZIG_Cadastro!$B:$B,MATCH(I30,_ZIG_Cadastro!$A:$A,0)),IFERROR(INDEX(_Entradas_ZIG!$B:$B,MATCH(I30,_Entradas_ZIG!$C:$C,0)),"—"))</f>
        <v/>
      </c>
      <c r="K30" s="93">
        <f>IFERROR(INDEX(_ZIG_Cadastro!$C:$C,MATCH(I30,_ZIG_Cadastro!$A:$A,0)),IFERROR(INDEX(_Entradas_ZIG!$D:$D,MATCH(I30,_Entradas_ZIG!$C:$C,0)),"—"))</f>
        <v/>
      </c>
      <c r="L30" s="92">
        <f>IF(I30="","Sem SKU ZIG",IF(I30="—","Sem SKU ZIG",IF(NOT(ISERROR(MATCH(I30,_ZIG_Cadastro!$A:$A,0))),IF(EXACT(UPPER(TRIM(C30)),UPPER(TRIM(INDEX(_ZIG_Cadastro!$B:$B,MATCH(I30,_ZIG_Cadastro!$A:$A,0))))),"OK","Atencao - Nome diverge"),IF(NOT(ISERROR(MATCH(I30,_Entradas_ZIG!$C:$C,0))),"OK","Erro - SKU nao encontrado"))))</f>
        <v/>
      </c>
      <c r="M30" s="92">
        <f>IFERROR(INDEX(_ZIG_Cadastro!$G:$G,MATCH(I30,_ZIG_Cadastro!$A:$A,0)),IF(NOT(ISERROR(MATCH(I30,_Entradas_ZIG!$C:$C,0))),"Ativo","—"))</f>
        <v/>
      </c>
      <c r="N30" s="94">
        <f>IFERROR(INDEX(_ZIG_Cadastro!$E:$E,MATCH(I30,_ZIG_Cadastro!$A:$A,0)),IFERROR(INDEX(_Entradas_ZIG!$F:$F,MATCH(I30,_Entradas_ZIG!$C:$C,0)),"—"))</f>
        <v/>
      </c>
      <c r="O30" s="92">
        <f>IF(AND(ISNUMBER(SEARCH("Espeto",N30)),ISNUMBER(SEARCH("Carin",N30))),"SIM","")</f>
        <v/>
      </c>
      <c r="P30" s="92">
        <f>IF(AND(ISNUMBER(SEARCH("Espeto",N30)),ISNUMBER(SEARCH("Lapa",N30))),"SIM","")</f>
        <v/>
      </c>
      <c r="Q30" s="92">
        <f>IF(AND(ISNUMBER(SEARCH("Espeto",N30)),ISNUMBER(SEARCH("Tatuapé",N30))),"SIM","")</f>
        <v/>
      </c>
      <c r="R30" s="92">
        <f>IF(AND(ISNUMBER(SEARCH("Espeto",N30)),ISNUMBER(SEARCH("Pavão",N30))),"SIM","")</f>
        <v/>
      </c>
      <c r="S30" s="92">
        <f>IF(AND(ISNUMBER(SEARCH("Espeto",N30)),ISNUMBER(SEARCH("Chac",N30))),"SIM","")</f>
        <v/>
      </c>
      <c r="T30" s="92">
        <f>IF(AND(ISNUMBER(SEARCH("Espeto",N30)),ISNUMBER(SEARCH("Madalena",N30))),"SIM","")</f>
        <v/>
      </c>
      <c r="U30" s="92">
        <f>IF(AND(ISNUMBER(SEARCH("Espeto",N30)),ISNUMBER(SEARCH("Mariana",N30))),"SIM","")</f>
        <v/>
      </c>
      <c r="V30" s="92">
        <f>IF(AND(ISNUMBER(SEARCH("Espeto",N30)),ISNUMBER(SEARCH("Perdizes",N30))),"SIM","")</f>
        <v/>
      </c>
      <c r="W30" s="92">
        <f>IF(AND(ISNUMBER(SEARCH("Espeto",N30)),ISNUMBER(SEARCH("Santana",N30))),"SIM","")</f>
        <v/>
      </c>
      <c r="X30" s="92">
        <f>IF(AND(ISNUMBER(SEARCH("Espeto",N30)),ISNUMBER(SEARCH("André",N30))),"SIM","")</f>
        <v/>
      </c>
      <c r="Y30" s="92">
        <f>IF(AND(ISNUMBER(SEARCH("Delivery",N30)),ISNUMBER(SEARCH("Carin",N30))),"SIM","")</f>
        <v/>
      </c>
      <c r="Z30" s="92">
        <f>IF(AND(ISNUMBER(SEARCH("Delivery",N30)),ISNUMBER(SEARCH("Lapa",N30))),"SIM","")</f>
        <v/>
      </c>
      <c r="AA30" s="92">
        <f>IF(AND(ISNUMBER(SEARCH("Delivery",N30)),ISNUMBER(SEARCH("Tatuapé",N30))),"SIM","")</f>
        <v/>
      </c>
      <c r="AB30" s="92">
        <f>IF(AND(ISNUMBER(SEARCH("Delivery",N30)),ISNUMBER(SEARCH("Pavão",N30))),"SIM","")</f>
        <v/>
      </c>
      <c r="AC30" s="92">
        <f>IF(AND(ISNUMBER(SEARCH("Delivery",N30)),ISNUMBER(SEARCH("Chac",N30))),"SIM","")</f>
        <v/>
      </c>
      <c r="AD30" s="92">
        <f>IF(AND(ISNUMBER(SEARCH("Delivery",N30)),ISNUMBER(SEARCH("Madalena",N30))),"SIM","")</f>
        <v/>
      </c>
      <c r="AE30" s="92">
        <f>IF(AND(ISNUMBER(SEARCH("Delivery",N30)),ISNUMBER(SEARCH("Mariana",N30))),"SIM","")</f>
        <v/>
      </c>
      <c r="AF30" s="92">
        <f>IF(AND(ISNUMBER(SEARCH("Delivery",N30)),ISNUMBER(SEARCH("Perdizes",N30))),"SIM","")</f>
        <v/>
      </c>
      <c r="AG30" s="92">
        <f>IF(AND(ISNUMBER(SEARCH("Delivery",N30)),ISNUMBER(SEARCH("Santana",N30))),"SIM","")</f>
        <v/>
      </c>
      <c r="AH30" s="92">
        <f>IF(AND(ISNUMBER(SEARCH("Delivery",N30)),ISNUMBER(SEARCH("André",N30))),"SIM","")</f>
        <v/>
      </c>
      <c r="AI30" s="92">
        <f>IF(ISNUMBER(SEARCH("Interlagos",N30)),"SIM","")</f>
        <v/>
      </c>
      <c r="AJ30" s="92">
        <f>IF(ISNUMBER(SEARCH("Quiosque",N30)),"SIM","")</f>
        <v/>
      </c>
      <c r="AK30" s="93" t="n"/>
    </row>
    <row r="31">
      <c r="A31" s="88" t="inlineStr">
        <is>
          <t>Protheus</t>
        </is>
      </c>
      <c r="B31" s="96" t="inlineStr">
        <is>
          <t>009477</t>
        </is>
      </c>
      <c r="C31" s="117">
        <f>IF(B31="—","—",IFERROR(VLOOKUP(B31,_Protheus_Cadastro!$A:$B,2,FALSE),"—"))</f>
        <v/>
      </c>
      <c r="D31" s="98">
        <f>IF(B31="—",IFERROR(INDEX(_ZIG_Cadastro!$D:$D,MATCH(H31,_ZIG_Cadastro!$A:$A,0)),"Produto"),IFERROR(VLOOKUP(B31,_Protheus_Cadastro!$A:$C,3,FALSE),"—"))</f>
        <v/>
      </c>
      <c r="E31" s="98">
        <f>IF(B31="—","—",IFERROR(VLOOKUP(B31,_Protheus_Cadastro!$A:$D,4,FALSE),"—"))</f>
        <v/>
      </c>
      <c r="F31" s="120">
        <f>IF(ISERROR(VLOOKUP(B31,'Estrutura Protheus'!A:A,1,FALSE)),"Não","Sim")</f>
        <v/>
      </c>
      <c r="G31" s="99">
        <f>IFERROR(INDEX(_Protheus_Cadastro!$H:$H,MATCH(B31,_Protheus_Cadastro!$A:$A,0)),"—")</f>
        <v/>
      </c>
      <c r="H31" s="211">
        <f>IFERROR(INDEX(_ZIG_Precos!$D:$D,MATCH(I31,_ZIG_Precos!$F:$F,0)),"—")</f>
        <v/>
      </c>
      <c r="I31" s="103">
        <f>IFERROR(VLOOKUP(B31,_Protheus_Cadastro!$A:$I,9,FALSE),"—")</f>
        <v/>
      </c>
      <c r="J31" s="101">
        <f>IFERROR(INDEX(_ZIG_Cadastro!$B:$B,MATCH(I31,_ZIG_Cadastro!$A:$A,0)),IFERROR(INDEX(_Entradas_ZIG!$B:$B,MATCH(I31,_Entradas_ZIG!$C:$C,0)),"—"))</f>
        <v/>
      </c>
      <c r="K31" s="101">
        <f>IFERROR(INDEX(_ZIG_Cadastro!$C:$C,MATCH(I31,_ZIG_Cadastro!$A:$A,0)),IFERROR(INDEX(_Entradas_ZIG!$D:$D,MATCH(I31,_Entradas_ZIG!$C:$C,0)),"—"))</f>
        <v/>
      </c>
      <c r="L31" s="99">
        <f>IF(I31="","Sem SKU ZIG",IF(I31="—","Sem SKU ZIG",IF(NOT(ISERROR(MATCH(I31,_ZIG_Cadastro!$A:$A,0))),IF(EXACT(UPPER(TRIM(C31)),UPPER(TRIM(INDEX(_ZIG_Cadastro!$B:$B,MATCH(I31,_ZIG_Cadastro!$A:$A,0))))),"OK","Atencao - Nome diverge"),IF(NOT(ISERROR(MATCH(I31,_Entradas_ZIG!$C:$C,0))),"OK","Erro - SKU nao encontrado"))))</f>
        <v/>
      </c>
      <c r="M31" s="99">
        <f>IFERROR(INDEX(_ZIG_Cadastro!$G:$G,MATCH(I31,_ZIG_Cadastro!$A:$A,0)),IF(NOT(ISERROR(MATCH(I31,_Entradas_ZIG!$C:$C,0))),"Ativo","—"))</f>
        <v/>
      </c>
      <c r="N31" s="102">
        <f>IFERROR(INDEX(_ZIG_Cadastro!$E:$E,MATCH(I31,_ZIG_Cadastro!$A:$A,0)),IFERROR(INDEX(_Entradas_ZIG!$F:$F,MATCH(I31,_Entradas_ZIG!$C:$C,0)),"—"))</f>
        <v/>
      </c>
      <c r="O31" s="99">
        <f>IF(AND(ISNUMBER(SEARCH("Espeto",N31)),ISNUMBER(SEARCH("Carin",N31))),"SIM","")</f>
        <v/>
      </c>
      <c r="P31" s="99">
        <f>IF(AND(ISNUMBER(SEARCH("Espeto",N31)),ISNUMBER(SEARCH("Lapa",N31))),"SIM","")</f>
        <v/>
      </c>
      <c r="Q31" s="99">
        <f>IF(AND(ISNUMBER(SEARCH("Espeto",N31)),ISNUMBER(SEARCH("Tatuapé",N31))),"SIM","")</f>
        <v/>
      </c>
      <c r="R31" s="99">
        <f>IF(AND(ISNUMBER(SEARCH("Espeto",N31)),ISNUMBER(SEARCH("Pavão",N31))),"SIM","")</f>
        <v/>
      </c>
      <c r="S31" s="99">
        <f>IF(AND(ISNUMBER(SEARCH("Espeto",N31)),ISNUMBER(SEARCH("Chac",N31))),"SIM","")</f>
        <v/>
      </c>
      <c r="T31" s="99">
        <f>IF(AND(ISNUMBER(SEARCH("Espeto",N31)),ISNUMBER(SEARCH("Madalena",N31))),"SIM","")</f>
        <v/>
      </c>
      <c r="U31" s="99">
        <f>IF(AND(ISNUMBER(SEARCH("Espeto",N31)),ISNUMBER(SEARCH("Mariana",N31))),"SIM","")</f>
        <v/>
      </c>
      <c r="V31" s="99">
        <f>IF(AND(ISNUMBER(SEARCH("Espeto",N31)),ISNUMBER(SEARCH("Perdizes",N31))),"SIM","")</f>
        <v/>
      </c>
      <c r="W31" s="99">
        <f>IF(AND(ISNUMBER(SEARCH("Espeto",N31)),ISNUMBER(SEARCH("Santana",N31))),"SIM","")</f>
        <v/>
      </c>
      <c r="X31" s="99">
        <f>IF(AND(ISNUMBER(SEARCH("Espeto",N31)),ISNUMBER(SEARCH("André",N31))),"SIM","")</f>
        <v/>
      </c>
      <c r="Y31" s="99">
        <f>IF(AND(ISNUMBER(SEARCH("Delivery",N31)),ISNUMBER(SEARCH("Carin",N31))),"SIM","")</f>
        <v/>
      </c>
      <c r="Z31" s="99">
        <f>IF(AND(ISNUMBER(SEARCH("Delivery",N31)),ISNUMBER(SEARCH("Lapa",N31))),"SIM","")</f>
        <v/>
      </c>
      <c r="AA31" s="99">
        <f>IF(AND(ISNUMBER(SEARCH("Delivery",N31)),ISNUMBER(SEARCH("Tatuapé",N31))),"SIM","")</f>
        <v/>
      </c>
      <c r="AB31" s="99">
        <f>IF(AND(ISNUMBER(SEARCH("Delivery",N31)),ISNUMBER(SEARCH("Pavão",N31))),"SIM","")</f>
        <v/>
      </c>
      <c r="AC31" s="99">
        <f>IF(AND(ISNUMBER(SEARCH("Delivery",N31)),ISNUMBER(SEARCH("Chac",N31))),"SIM","")</f>
        <v/>
      </c>
      <c r="AD31" s="99">
        <f>IF(AND(ISNUMBER(SEARCH("Delivery",N31)),ISNUMBER(SEARCH("Madalena",N31))),"SIM","")</f>
        <v/>
      </c>
      <c r="AE31" s="99">
        <f>IF(AND(ISNUMBER(SEARCH("Delivery",N31)),ISNUMBER(SEARCH("Mariana",N31))),"SIM","")</f>
        <v/>
      </c>
      <c r="AF31" s="99">
        <f>IF(AND(ISNUMBER(SEARCH("Delivery",N31)),ISNUMBER(SEARCH("Perdizes",N31))),"SIM","")</f>
        <v/>
      </c>
      <c r="AG31" s="99">
        <f>IF(AND(ISNUMBER(SEARCH("Delivery",N31)),ISNUMBER(SEARCH("Santana",N31))),"SIM","")</f>
        <v/>
      </c>
      <c r="AH31" s="99">
        <f>IF(AND(ISNUMBER(SEARCH("Delivery",N31)),ISNUMBER(SEARCH("André",N31))),"SIM","")</f>
        <v/>
      </c>
      <c r="AI31" s="99">
        <f>IF(ISNUMBER(SEARCH("Interlagos",N31)),"SIM","")</f>
        <v/>
      </c>
      <c r="AJ31" s="99">
        <f>IF(ISNUMBER(SEARCH("Quiosque",N31)),"SIM","")</f>
        <v/>
      </c>
      <c r="AK31" s="101" t="n"/>
    </row>
    <row r="32">
      <c r="A32" s="88" t="inlineStr">
        <is>
          <t>Protheus</t>
        </is>
      </c>
      <c r="B32" s="89" t="inlineStr">
        <is>
          <t>009475</t>
        </is>
      </c>
      <c r="C32" s="90">
        <f>IF(B32="—","—",IFERROR(VLOOKUP(B32,_Protheus_Cadastro!$A:$B,2,FALSE),"—"))</f>
        <v/>
      </c>
      <c r="D32" s="121">
        <f>IF(B32="—",IFERROR(INDEX(_ZIG_Cadastro!$D:$D,MATCH(H32,_ZIG_Cadastro!$A:$A,0)),"Produto"),IFERROR(VLOOKUP(B32,_Protheus_Cadastro!$A:$C,3,FALSE),"—"))</f>
        <v/>
      </c>
      <c r="E32" s="91">
        <f>IF(B32="—","—",IFERROR(VLOOKUP(B32,_Protheus_Cadastro!$A:$D,4,FALSE),"—"))</f>
        <v/>
      </c>
      <c r="F32" s="91">
        <f>IF(ISERROR(VLOOKUP(B32,'Estrutura Protheus'!A:A,1,FALSE)),"Não","Sim")</f>
        <v/>
      </c>
      <c r="G32" s="92">
        <f>IFERROR(INDEX(_Protheus_Cadastro!$H:$H,MATCH(B32,_Protheus_Cadastro!$A:$A,0)),"—")</f>
        <v/>
      </c>
      <c r="H32" s="210">
        <f>IFERROR(INDEX(_ZIG_Precos!$D:$D,MATCH(I32,_ZIG_Precos!$F:$F,0)),"—")</f>
        <v/>
      </c>
      <c r="I32" s="95">
        <f>IFERROR(VLOOKUP(B32,_Protheus_Cadastro!$A:$I,9,FALSE),"—")</f>
        <v/>
      </c>
      <c r="J32" s="93">
        <f>IFERROR(INDEX(_ZIG_Cadastro!$B:$B,MATCH(I32,_ZIG_Cadastro!$A:$A,0)),IFERROR(INDEX(_Entradas_ZIG!$B:$B,MATCH(I32,_Entradas_ZIG!$C:$C,0)),"—"))</f>
        <v/>
      </c>
      <c r="K32" s="93">
        <f>IFERROR(INDEX(_ZIG_Cadastro!$C:$C,MATCH(I32,_ZIG_Cadastro!$A:$A,0)),IFERROR(INDEX(_Entradas_ZIG!$D:$D,MATCH(I32,_Entradas_ZIG!$C:$C,0)),"—"))</f>
        <v/>
      </c>
      <c r="L32" s="92">
        <f>IF(I32="","Sem SKU ZIG",IF(I32="—","Sem SKU ZIG",IF(NOT(ISERROR(MATCH(I32,_ZIG_Cadastro!$A:$A,0))),IF(EXACT(UPPER(TRIM(C32)),UPPER(TRIM(INDEX(_ZIG_Cadastro!$B:$B,MATCH(I32,_ZIG_Cadastro!$A:$A,0))))),"OK","Atencao - Nome diverge"),IF(NOT(ISERROR(MATCH(I32,_Entradas_ZIG!$C:$C,0))),"OK","Erro - SKU nao encontrado"))))</f>
        <v/>
      </c>
      <c r="M32" s="92">
        <f>IFERROR(INDEX(_ZIG_Cadastro!$G:$G,MATCH(I32,_ZIG_Cadastro!$A:$A,0)),IF(NOT(ISERROR(MATCH(I32,_Entradas_ZIG!$C:$C,0))),"Ativo","—"))</f>
        <v/>
      </c>
      <c r="N32" s="94">
        <f>IFERROR(INDEX(_ZIG_Cadastro!$E:$E,MATCH(I32,_ZIG_Cadastro!$A:$A,0)),IFERROR(INDEX(_Entradas_ZIG!$F:$F,MATCH(I32,_Entradas_ZIG!$C:$C,0)),"—"))</f>
        <v/>
      </c>
      <c r="O32" s="92">
        <f>IF(AND(ISNUMBER(SEARCH("Espeto",N32)),ISNUMBER(SEARCH("Carin",N32))),"SIM","")</f>
        <v/>
      </c>
      <c r="P32" s="92">
        <f>IF(AND(ISNUMBER(SEARCH("Espeto",N32)),ISNUMBER(SEARCH("Lapa",N32))),"SIM","")</f>
        <v/>
      </c>
      <c r="Q32" s="92">
        <f>IF(AND(ISNUMBER(SEARCH("Espeto",N32)),ISNUMBER(SEARCH("Tatuapé",N32))),"SIM","")</f>
        <v/>
      </c>
      <c r="R32" s="92">
        <f>IF(AND(ISNUMBER(SEARCH("Espeto",N32)),ISNUMBER(SEARCH("Pavão",N32))),"SIM","")</f>
        <v/>
      </c>
      <c r="S32" s="92">
        <f>IF(AND(ISNUMBER(SEARCH("Espeto",N32)),ISNUMBER(SEARCH("Chac",N32))),"SIM","")</f>
        <v/>
      </c>
      <c r="T32" s="92">
        <f>IF(AND(ISNUMBER(SEARCH("Espeto",N32)),ISNUMBER(SEARCH("Madalena",N32))),"SIM","")</f>
        <v/>
      </c>
      <c r="U32" s="92">
        <f>IF(AND(ISNUMBER(SEARCH("Espeto",N32)),ISNUMBER(SEARCH("Mariana",N32))),"SIM","")</f>
        <v/>
      </c>
      <c r="V32" s="92">
        <f>IF(AND(ISNUMBER(SEARCH("Espeto",N32)),ISNUMBER(SEARCH("Perdizes",N32))),"SIM","")</f>
        <v/>
      </c>
      <c r="W32" s="92">
        <f>IF(AND(ISNUMBER(SEARCH("Espeto",N32)),ISNUMBER(SEARCH("Santana",N32))),"SIM","")</f>
        <v/>
      </c>
      <c r="X32" s="92">
        <f>IF(AND(ISNUMBER(SEARCH("Espeto",N32)),ISNUMBER(SEARCH("André",N32))),"SIM","")</f>
        <v/>
      </c>
      <c r="Y32" s="92">
        <f>IF(AND(ISNUMBER(SEARCH("Delivery",N32)),ISNUMBER(SEARCH("Carin",N32))),"SIM","")</f>
        <v/>
      </c>
      <c r="Z32" s="92">
        <f>IF(AND(ISNUMBER(SEARCH("Delivery",N32)),ISNUMBER(SEARCH("Lapa",N32))),"SIM","")</f>
        <v/>
      </c>
      <c r="AA32" s="92">
        <f>IF(AND(ISNUMBER(SEARCH("Delivery",N32)),ISNUMBER(SEARCH("Tatuapé",N32))),"SIM","")</f>
        <v/>
      </c>
      <c r="AB32" s="92">
        <f>IF(AND(ISNUMBER(SEARCH("Delivery",N32)),ISNUMBER(SEARCH("Pavão",N32))),"SIM","")</f>
        <v/>
      </c>
      <c r="AC32" s="92">
        <f>IF(AND(ISNUMBER(SEARCH("Delivery",N32)),ISNUMBER(SEARCH("Chac",N32))),"SIM","")</f>
        <v/>
      </c>
      <c r="AD32" s="92">
        <f>IF(AND(ISNUMBER(SEARCH("Delivery",N32)),ISNUMBER(SEARCH("Madalena",N32))),"SIM","")</f>
        <v/>
      </c>
      <c r="AE32" s="92">
        <f>IF(AND(ISNUMBER(SEARCH("Delivery",N32)),ISNUMBER(SEARCH("Mariana",N32))),"SIM","")</f>
        <v/>
      </c>
      <c r="AF32" s="92">
        <f>IF(AND(ISNUMBER(SEARCH("Delivery",N32)),ISNUMBER(SEARCH("Perdizes",N32))),"SIM","")</f>
        <v/>
      </c>
      <c r="AG32" s="92">
        <f>IF(AND(ISNUMBER(SEARCH("Delivery",N32)),ISNUMBER(SEARCH("Santana",N32))),"SIM","")</f>
        <v/>
      </c>
      <c r="AH32" s="92">
        <f>IF(AND(ISNUMBER(SEARCH("Delivery",N32)),ISNUMBER(SEARCH("André",N32))),"SIM","")</f>
        <v/>
      </c>
      <c r="AI32" s="92">
        <f>IF(ISNUMBER(SEARCH("Interlagos",N32)),"SIM","")</f>
        <v/>
      </c>
      <c r="AJ32" s="92">
        <f>IF(ISNUMBER(SEARCH("Quiosque",N32)),"SIM","")</f>
        <v/>
      </c>
      <c r="AK32" s="93" t="n"/>
    </row>
    <row r="33">
      <c r="A33" s="88" t="inlineStr">
        <is>
          <t>Protheus</t>
        </is>
      </c>
      <c r="B33" s="96" t="inlineStr">
        <is>
          <t>000794</t>
        </is>
      </c>
      <c r="C33" s="97">
        <f>IF(B33="—","—",IFERROR(VLOOKUP(B33,_Protheus_Cadastro!$A:$B,2,FALSE),"—"))</f>
        <v/>
      </c>
      <c r="D33" s="98">
        <f>IF(B33="—",IFERROR(INDEX(_ZIG_Cadastro!$D:$D,MATCH(H33,_ZIG_Cadastro!$A:$A,0)),"Produto"),IFERROR(VLOOKUP(B33,_Protheus_Cadastro!$A:$C,3,FALSE),"—"))</f>
        <v/>
      </c>
      <c r="E33" s="98">
        <f>IF(B33="—","—",IFERROR(VLOOKUP(B33,_Protheus_Cadastro!$A:$D,4,FALSE),"—"))</f>
        <v/>
      </c>
      <c r="F33" s="98">
        <f>IF(ISERROR(VLOOKUP(B33,'Estrutura Protheus'!A:A,1,FALSE)),"Não","Sim")</f>
        <v/>
      </c>
      <c r="G33" s="99">
        <f>IFERROR(INDEX(_Protheus_Cadastro!$H:$H,MATCH(B33,_Protheus_Cadastro!$A:$A,0)),"—")</f>
        <v/>
      </c>
      <c r="H33" s="211">
        <f>IFERROR(INDEX(_ZIG_Precos!$D:$D,MATCH(I33,_ZIG_Precos!$F:$F,0)),"—")</f>
        <v/>
      </c>
      <c r="I33" s="103">
        <f>IFERROR(VLOOKUP(B33,_Protheus_Cadastro!$A:$I,9,FALSE),"—")</f>
        <v/>
      </c>
      <c r="J33" s="101">
        <f>IFERROR(INDEX(_ZIG_Cadastro!$B:$B,MATCH(I33,_ZIG_Cadastro!$A:$A,0)),IFERROR(INDEX(_Entradas_ZIG!$B:$B,MATCH(I33,_Entradas_ZIG!$C:$C,0)),"—"))</f>
        <v/>
      </c>
      <c r="K33" s="101">
        <f>IFERROR(INDEX(_ZIG_Cadastro!$C:$C,MATCH(I33,_ZIG_Cadastro!$A:$A,0)),IFERROR(INDEX(_Entradas_ZIG!$D:$D,MATCH(I33,_Entradas_ZIG!$C:$C,0)),"—"))</f>
        <v/>
      </c>
      <c r="L33" s="99">
        <f>IF(I33="","Sem SKU ZIG",IF(I33="—","Sem SKU ZIG",IF(NOT(ISERROR(MATCH(I33,_ZIG_Cadastro!$A:$A,0))),IF(EXACT(UPPER(TRIM(C33)),UPPER(TRIM(INDEX(_ZIG_Cadastro!$B:$B,MATCH(I33,_ZIG_Cadastro!$A:$A,0))))),"OK","Atencao - Nome diverge"),IF(NOT(ISERROR(MATCH(I33,_Entradas_ZIG!$C:$C,0))),"OK","Erro - SKU nao encontrado"))))</f>
        <v/>
      </c>
      <c r="M33" s="99">
        <f>IFERROR(INDEX(_ZIG_Cadastro!$G:$G,MATCH(I33,_ZIG_Cadastro!$A:$A,0)),IF(NOT(ISERROR(MATCH(I33,_Entradas_ZIG!$C:$C,0))),"Ativo","—"))</f>
        <v/>
      </c>
      <c r="N33" s="102">
        <f>IFERROR(INDEX(_ZIG_Cadastro!$E:$E,MATCH(I33,_ZIG_Cadastro!$A:$A,0)),IFERROR(INDEX(_Entradas_ZIG!$F:$F,MATCH(I33,_Entradas_ZIG!$C:$C,0)),"—"))</f>
        <v/>
      </c>
      <c r="O33" s="99">
        <f>IF(AND(ISNUMBER(SEARCH("Espeto",N33)),ISNUMBER(SEARCH("Carin",N33))),"SIM","")</f>
        <v/>
      </c>
      <c r="P33" s="99">
        <f>IF(AND(ISNUMBER(SEARCH("Espeto",N33)),ISNUMBER(SEARCH("Lapa",N33))),"SIM","")</f>
        <v/>
      </c>
      <c r="Q33" s="99">
        <f>IF(AND(ISNUMBER(SEARCH("Espeto",N33)),ISNUMBER(SEARCH("Tatuapé",N33))),"SIM","")</f>
        <v/>
      </c>
      <c r="R33" s="99">
        <f>IF(AND(ISNUMBER(SEARCH("Espeto",N33)),ISNUMBER(SEARCH("Pavão",N33))),"SIM","")</f>
        <v/>
      </c>
      <c r="S33" s="99">
        <f>IF(AND(ISNUMBER(SEARCH("Espeto",N33)),ISNUMBER(SEARCH("Chac",N33))),"SIM","")</f>
        <v/>
      </c>
      <c r="T33" s="99">
        <f>IF(AND(ISNUMBER(SEARCH("Espeto",N33)),ISNUMBER(SEARCH("Madalena",N33))),"SIM","")</f>
        <v/>
      </c>
      <c r="U33" s="99">
        <f>IF(AND(ISNUMBER(SEARCH("Espeto",N33)),ISNUMBER(SEARCH("Mariana",N33))),"SIM","")</f>
        <v/>
      </c>
      <c r="V33" s="99">
        <f>IF(AND(ISNUMBER(SEARCH("Espeto",N33)),ISNUMBER(SEARCH("Perdizes",N33))),"SIM","")</f>
        <v/>
      </c>
      <c r="W33" s="99">
        <f>IF(AND(ISNUMBER(SEARCH("Espeto",N33)),ISNUMBER(SEARCH("Santana",N33))),"SIM","")</f>
        <v/>
      </c>
      <c r="X33" s="99">
        <f>IF(AND(ISNUMBER(SEARCH("Espeto",N33)),ISNUMBER(SEARCH("André",N33))),"SIM","")</f>
        <v/>
      </c>
      <c r="Y33" s="99">
        <f>IF(AND(ISNUMBER(SEARCH("Delivery",N33)),ISNUMBER(SEARCH("Carin",N33))),"SIM","")</f>
        <v/>
      </c>
      <c r="Z33" s="99">
        <f>IF(AND(ISNUMBER(SEARCH("Delivery",N33)),ISNUMBER(SEARCH("Lapa",N33))),"SIM","")</f>
        <v/>
      </c>
      <c r="AA33" s="99">
        <f>IF(AND(ISNUMBER(SEARCH("Delivery",N33)),ISNUMBER(SEARCH("Tatuapé",N33))),"SIM","")</f>
        <v/>
      </c>
      <c r="AB33" s="99">
        <f>IF(AND(ISNUMBER(SEARCH("Delivery",N33)),ISNUMBER(SEARCH("Pavão",N33))),"SIM","")</f>
        <v/>
      </c>
      <c r="AC33" s="99">
        <f>IF(AND(ISNUMBER(SEARCH("Delivery",N33)),ISNUMBER(SEARCH("Chac",N33))),"SIM","")</f>
        <v/>
      </c>
      <c r="AD33" s="99">
        <f>IF(AND(ISNUMBER(SEARCH("Delivery",N33)),ISNUMBER(SEARCH("Madalena",N33))),"SIM","")</f>
        <v/>
      </c>
      <c r="AE33" s="99">
        <f>IF(AND(ISNUMBER(SEARCH("Delivery",N33)),ISNUMBER(SEARCH("Mariana",N33))),"SIM","")</f>
        <v/>
      </c>
      <c r="AF33" s="99">
        <f>IF(AND(ISNUMBER(SEARCH("Delivery",N33)),ISNUMBER(SEARCH("Perdizes",N33))),"SIM","")</f>
        <v/>
      </c>
      <c r="AG33" s="99">
        <f>IF(AND(ISNUMBER(SEARCH("Delivery",N33)),ISNUMBER(SEARCH("Santana",N33))),"SIM","")</f>
        <v/>
      </c>
      <c r="AH33" s="99">
        <f>IF(AND(ISNUMBER(SEARCH("Delivery",N33)),ISNUMBER(SEARCH("André",N33))),"SIM","")</f>
        <v/>
      </c>
      <c r="AI33" s="99">
        <f>IF(ISNUMBER(SEARCH("Interlagos",N33)),"SIM","")</f>
        <v/>
      </c>
      <c r="AJ33" s="99">
        <f>IF(ISNUMBER(SEARCH("Quiosque",N33)),"SIM","")</f>
        <v/>
      </c>
      <c r="AK33" s="101" t="n"/>
    </row>
    <row r="34">
      <c r="A34" s="88" t="inlineStr">
        <is>
          <t>Protheus</t>
        </is>
      </c>
      <c r="B34" s="89" t="inlineStr">
        <is>
          <t>001368</t>
        </is>
      </c>
      <c r="C34" s="90">
        <f>IF(B34="—","—",IFERROR(VLOOKUP(B34,_Protheus_Cadastro!$A:$B,2,FALSE),"—"))</f>
        <v/>
      </c>
      <c r="D34" s="91">
        <f>IF(B34="—",IFERROR(INDEX(_ZIG_Cadastro!$D:$D,MATCH(H34,_ZIG_Cadastro!$A:$A,0)),"Produto"),IFERROR(VLOOKUP(B34,_Protheus_Cadastro!$A:$C,3,FALSE),"—"))</f>
        <v/>
      </c>
      <c r="E34" s="91">
        <f>IF(B34="—","—",IFERROR(VLOOKUP(B34,_Protheus_Cadastro!$A:$D,4,FALSE),"—"))</f>
        <v/>
      </c>
      <c r="F34" s="91">
        <f>IF(ISERROR(VLOOKUP(B34,'Estrutura Protheus'!A:A,1,FALSE)),"Não","Sim")</f>
        <v/>
      </c>
      <c r="G34" s="92">
        <f>IFERROR(INDEX(_Protheus_Cadastro!$H:$H,MATCH(B34,_Protheus_Cadastro!$A:$A,0)),"—")</f>
        <v/>
      </c>
      <c r="H34" s="210">
        <f>IFERROR(INDEX(_ZIG_Precos!$D:$D,MATCH(I34,_ZIG_Precos!$F:$F,0)),"—")</f>
        <v/>
      </c>
      <c r="I34" s="95">
        <f>IFERROR(VLOOKUP(B34,_Protheus_Cadastro!$A:$I,9,FALSE),"—")</f>
        <v/>
      </c>
      <c r="J34" s="93">
        <f>IFERROR(INDEX(_ZIG_Cadastro!$B:$B,MATCH(I34,_ZIG_Cadastro!$A:$A,0)),IFERROR(INDEX(_Entradas_ZIG!$B:$B,MATCH(I34,_Entradas_ZIG!$C:$C,0)),"—"))</f>
        <v/>
      </c>
      <c r="K34" s="93">
        <f>IFERROR(INDEX(_ZIG_Cadastro!$C:$C,MATCH(I34,_ZIG_Cadastro!$A:$A,0)),IFERROR(INDEX(_Entradas_ZIG!$D:$D,MATCH(I34,_Entradas_ZIG!$C:$C,0)),"—"))</f>
        <v/>
      </c>
      <c r="L34" s="92">
        <f>IF(I34="","Sem SKU ZIG",IF(I34="—","Sem SKU ZIG",IF(NOT(ISERROR(MATCH(I34,_ZIG_Cadastro!$A:$A,0))),IF(EXACT(UPPER(TRIM(C34)),UPPER(TRIM(INDEX(_ZIG_Cadastro!$B:$B,MATCH(I34,_ZIG_Cadastro!$A:$A,0))))),"OK","Atencao - Nome diverge"),IF(NOT(ISERROR(MATCH(I34,_Entradas_ZIG!$C:$C,0))),"OK","Erro - SKU nao encontrado"))))</f>
        <v/>
      </c>
      <c r="M34" s="92">
        <f>IFERROR(INDEX(_ZIG_Cadastro!$G:$G,MATCH(I34,_ZIG_Cadastro!$A:$A,0)),IF(NOT(ISERROR(MATCH(I34,_Entradas_ZIG!$C:$C,0))),"Ativo","—"))</f>
        <v/>
      </c>
      <c r="N34" s="94">
        <f>IFERROR(INDEX(_ZIG_Cadastro!$E:$E,MATCH(I34,_ZIG_Cadastro!$A:$A,0)),IFERROR(INDEX(_Entradas_ZIG!$F:$F,MATCH(I34,_Entradas_ZIG!$C:$C,0)),"—"))</f>
        <v/>
      </c>
      <c r="O34" s="92">
        <f>IF(AND(ISNUMBER(SEARCH("Espeto",N34)),ISNUMBER(SEARCH("Carin",N34))),"SIM","")</f>
        <v/>
      </c>
      <c r="P34" s="92">
        <f>IF(AND(ISNUMBER(SEARCH("Espeto",N34)),ISNUMBER(SEARCH("Lapa",N34))),"SIM","")</f>
        <v/>
      </c>
      <c r="Q34" s="92">
        <f>IF(AND(ISNUMBER(SEARCH("Espeto",N34)),ISNUMBER(SEARCH("Tatuapé",N34))),"SIM","")</f>
        <v/>
      </c>
      <c r="R34" s="92">
        <f>IF(AND(ISNUMBER(SEARCH("Espeto",N34)),ISNUMBER(SEARCH("Pavão",N34))),"SIM","")</f>
        <v/>
      </c>
      <c r="S34" s="92">
        <f>IF(AND(ISNUMBER(SEARCH("Espeto",N34)),ISNUMBER(SEARCH("Chac",N34))),"SIM","")</f>
        <v/>
      </c>
      <c r="T34" s="92">
        <f>IF(AND(ISNUMBER(SEARCH("Espeto",N34)),ISNUMBER(SEARCH("Madalena",N34))),"SIM","")</f>
        <v/>
      </c>
      <c r="U34" s="92">
        <f>IF(AND(ISNUMBER(SEARCH("Espeto",N34)),ISNUMBER(SEARCH("Mariana",N34))),"SIM","")</f>
        <v/>
      </c>
      <c r="V34" s="92">
        <f>IF(AND(ISNUMBER(SEARCH("Espeto",N34)),ISNUMBER(SEARCH("Perdizes",N34))),"SIM","")</f>
        <v/>
      </c>
      <c r="W34" s="92">
        <f>IF(AND(ISNUMBER(SEARCH("Espeto",N34)),ISNUMBER(SEARCH("Santana",N34))),"SIM","")</f>
        <v/>
      </c>
      <c r="X34" s="92">
        <f>IF(AND(ISNUMBER(SEARCH("Espeto",N34)),ISNUMBER(SEARCH("André",N34))),"SIM","")</f>
        <v/>
      </c>
      <c r="Y34" s="92">
        <f>IF(AND(ISNUMBER(SEARCH("Delivery",N34)),ISNUMBER(SEARCH("Carin",N34))),"SIM","")</f>
        <v/>
      </c>
      <c r="Z34" s="92">
        <f>IF(AND(ISNUMBER(SEARCH("Delivery",N34)),ISNUMBER(SEARCH("Lapa",N34))),"SIM","")</f>
        <v/>
      </c>
      <c r="AA34" s="92">
        <f>IF(AND(ISNUMBER(SEARCH("Delivery",N34)),ISNUMBER(SEARCH("Tatuapé",N34))),"SIM","")</f>
        <v/>
      </c>
      <c r="AB34" s="92">
        <f>IF(AND(ISNUMBER(SEARCH("Delivery",N34)),ISNUMBER(SEARCH("Pavão",N34))),"SIM","")</f>
        <v/>
      </c>
      <c r="AC34" s="92">
        <f>IF(AND(ISNUMBER(SEARCH("Delivery",N34)),ISNUMBER(SEARCH("Chac",N34))),"SIM","")</f>
        <v/>
      </c>
      <c r="AD34" s="92">
        <f>IF(AND(ISNUMBER(SEARCH("Delivery",N34)),ISNUMBER(SEARCH("Madalena",N34))),"SIM","")</f>
        <v/>
      </c>
      <c r="AE34" s="92">
        <f>IF(AND(ISNUMBER(SEARCH("Delivery",N34)),ISNUMBER(SEARCH("Mariana",N34))),"SIM","")</f>
        <v/>
      </c>
      <c r="AF34" s="92">
        <f>IF(AND(ISNUMBER(SEARCH("Delivery",N34)),ISNUMBER(SEARCH("Perdizes",N34))),"SIM","")</f>
        <v/>
      </c>
      <c r="AG34" s="92">
        <f>IF(AND(ISNUMBER(SEARCH("Delivery",N34)),ISNUMBER(SEARCH("Santana",N34))),"SIM","")</f>
        <v/>
      </c>
      <c r="AH34" s="92">
        <f>IF(AND(ISNUMBER(SEARCH("Delivery",N34)),ISNUMBER(SEARCH("André",N34))),"SIM","")</f>
        <v/>
      </c>
      <c r="AI34" s="92">
        <f>IF(ISNUMBER(SEARCH("Interlagos",N34)),"SIM","")</f>
        <v/>
      </c>
      <c r="AJ34" s="92">
        <f>IF(ISNUMBER(SEARCH("Quiosque",N34)),"SIM","")</f>
        <v/>
      </c>
      <c r="AK34" s="93" t="n"/>
    </row>
    <row r="35">
      <c r="A35" s="88" t="inlineStr">
        <is>
          <t>Protheus</t>
        </is>
      </c>
      <c r="B35" s="89" t="inlineStr">
        <is>
          <t>002124</t>
        </is>
      </c>
      <c r="C35" s="90">
        <f>IF(B35="—","—",IFERROR(VLOOKUP(B35,_Protheus_Cadastro!$A:$B,2,FALSE),"—"))</f>
        <v/>
      </c>
      <c r="D35" s="91">
        <f>IF(B35="—",IFERROR(INDEX(_ZIG_Cadastro!$D:$D,MATCH(H35,_ZIG_Cadastro!$A:$A,0)),"Produto"),IFERROR(VLOOKUP(B35,_Protheus_Cadastro!$A:$C,3,FALSE),"—"))</f>
        <v/>
      </c>
      <c r="E35" s="91">
        <f>IF(B35="—","—",IFERROR(VLOOKUP(B35,_Protheus_Cadastro!$A:$D,4,FALSE),"—"))</f>
        <v/>
      </c>
      <c r="F35" s="91">
        <f>IF(ISERROR(VLOOKUP(B35,'Estrutura Protheus'!A:A,1,FALSE)),"Não","Sim")</f>
        <v/>
      </c>
      <c r="G35" s="92">
        <f>IFERROR(INDEX(_Protheus_Cadastro!$H:$H,MATCH(B35,_Protheus_Cadastro!$A:$A,0)),"—")</f>
        <v/>
      </c>
      <c r="H35" s="210">
        <f>IFERROR(INDEX(_ZIG_Precos!$D:$D,MATCH(I35,_ZIG_Precos!$F:$F,0)),"—")</f>
        <v/>
      </c>
      <c r="I35" s="95">
        <f>IFERROR(VLOOKUP(B35,_Protheus_Cadastro!$A:$I,9,FALSE),"—")</f>
        <v/>
      </c>
      <c r="J35" s="93">
        <f>IFERROR(INDEX(_ZIG_Cadastro!$B:$B,MATCH(I35,_ZIG_Cadastro!$A:$A,0)),IFERROR(INDEX(_Entradas_ZIG!$B:$B,MATCH(I35,_Entradas_ZIG!$C:$C,0)),"—"))</f>
        <v/>
      </c>
      <c r="K35" s="93">
        <f>IFERROR(INDEX(_ZIG_Cadastro!$C:$C,MATCH(I35,_ZIG_Cadastro!$A:$A,0)),IFERROR(INDEX(_Entradas_ZIG!$D:$D,MATCH(I35,_Entradas_ZIG!$C:$C,0)),"—"))</f>
        <v/>
      </c>
      <c r="L35" s="92">
        <f>IF(I35="","Sem SKU ZIG",IF(I35="—","Sem SKU ZIG",IF(NOT(ISERROR(MATCH(I35,_ZIG_Cadastro!$A:$A,0))),IF(EXACT(UPPER(TRIM(C35)),UPPER(TRIM(INDEX(_ZIG_Cadastro!$B:$B,MATCH(I35,_ZIG_Cadastro!$A:$A,0))))),"OK","Atencao - Nome diverge"),IF(NOT(ISERROR(MATCH(I35,_Entradas_ZIG!$C:$C,0))),"OK","Erro - SKU nao encontrado"))))</f>
        <v/>
      </c>
      <c r="M35" s="92">
        <f>IFERROR(INDEX(_ZIG_Cadastro!$G:$G,MATCH(I35,_ZIG_Cadastro!$A:$A,0)),IF(NOT(ISERROR(MATCH(I35,_Entradas_ZIG!$C:$C,0))),"Ativo","—"))</f>
        <v/>
      </c>
      <c r="N35" s="94">
        <f>IFERROR(INDEX(_ZIG_Cadastro!$E:$E,MATCH(I35,_ZIG_Cadastro!$A:$A,0)),IFERROR(INDEX(_Entradas_ZIG!$F:$F,MATCH(I35,_Entradas_ZIG!$C:$C,0)),"—"))</f>
        <v/>
      </c>
      <c r="O35" s="92">
        <f>IF(AND(ISNUMBER(SEARCH("Espeto",N35)),ISNUMBER(SEARCH("Carin",N35))),"SIM","")</f>
        <v/>
      </c>
      <c r="P35" s="92">
        <f>IF(AND(ISNUMBER(SEARCH("Espeto",N35)),ISNUMBER(SEARCH("Lapa",N35))),"SIM","")</f>
        <v/>
      </c>
      <c r="Q35" s="92">
        <f>IF(AND(ISNUMBER(SEARCH("Espeto",N35)),ISNUMBER(SEARCH("Tatuapé",N35))),"SIM","")</f>
        <v/>
      </c>
      <c r="R35" s="92">
        <f>IF(AND(ISNUMBER(SEARCH("Espeto",N35)),ISNUMBER(SEARCH("Pavão",N35))),"SIM","")</f>
        <v/>
      </c>
      <c r="S35" s="92">
        <f>IF(AND(ISNUMBER(SEARCH("Espeto",N35)),ISNUMBER(SEARCH("Chac",N35))),"SIM","")</f>
        <v/>
      </c>
      <c r="T35" s="92">
        <f>IF(AND(ISNUMBER(SEARCH("Espeto",N35)),ISNUMBER(SEARCH("Madalena",N35))),"SIM","")</f>
        <v/>
      </c>
      <c r="U35" s="92">
        <f>IF(AND(ISNUMBER(SEARCH("Espeto",N35)),ISNUMBER(SEARCH("Mariana",N35))),"SIM","")</f>
        <v/>
      </c>
      <c r="V35" s="92">
        <f>IF(AND(ISNUMBER(SEARCH("Espeto",N35)),ISNUMBER(SEARCH("Perdizes",N35))),"SIM","")</f>
        <v/>
      </c>
      <c r="W35" s="92">
        <f>IF(AND(ISNUMBER(SEARCH("Espeto",N35)),ISNUMBER(SEARCH("Santana",N35))),"SIM","")</f>
        <v/>
      </c>
      <c r="X35" s="92">
        <f>IF(AND(ISNUMBER(SEARCH("Espeto",N35)),ISNUMBER(SEARCH("André",N35))),"SIM","")</f>
        <v/>
      </c>
      <c r="Y35" s="92">
        <f>IF(AND(ISNUMBER(SEARCH("Delivery",N35)),ISNUMBER(SEARCH("Carin",N35))),"SIM","")</f>
        <v/>
      </c>
      <c r="Z35" s="92">
        <f>IF(AND(ISNUMBER(SEARCH("Delivery",N35)),ISNUMBER(SEARCH("Lapa",N35))),"SIM","")</f>
        <v/>
      </c>
      <c r="AA35" s="92">
        <f>IF(AND(ISNUMBER(SEARCH("Delivery",N35)),ISNUMBER(SEARCH("Tatuapé",N35))),"SIM","")</f>
        <v/>
      </c>
      <c r="AB35" s="92">
        <f>IF(AND(ISNUMBER(SEARCH("Delivery",N35)),ISNUMBER(SEARCH("Pavão",N35))),"SIM","")</f>
        <v/>
      </c>
      <c r="AC35" s="92">
        <f>IF(AND(ISNUMBER(SEARCH("Delivery",N35)),ISNUMBER(SEARCH("Chac",N35))),"SIM","")</f>
        <v/>
      </c>
      <c r="AD35" s="92">
        <f>IF(AND(ISNUMBER(SEARCH("Delivery",N35)),ISNUMBER(SEARCH("Madalena",N35))),"SIM","")</f>
        <v/>
      </c>
      <c r="AE35" s="92">
        <f>IF(AND(ISNUMBER(SEARCH("Delivery",N35)),ISNUMBER(SEARCH("Mariana",N35))),"SIM","")</f>
        <v/>
      </c>
      <c r="AF35" s="92">
        <f>IF(AND(ISNUMBER(SEARCH("Delivery",N35)),ISNUMBER(SEARCH("Perdizes",N35))),"SIM","")</f>
        <v/>
      </c>
      <c r="AG35" s="92">
        <f>IF(AND(ISNUMBER(SEARCH("Delivery",N35)),ISNUMBER(SEARCH("Santana",N35))),"SIM","")</f>
        <v/>
      </c>
      <c r="AH35" s="92">
        <f>IF(AND(ISNUMBER(SEARCH("Delivery",N35)),ISNUMBER(SEARCH("André",N35))),"SIM","")</f>
        <v/>
      </c>
      <c r="AI35" s="92">
        <f>IF(ISNUMBER(SEARCH("Interlagos",N35)),"SIM","")</f>
        <v/>
      </c>
      <c r="AJ35" s="92">
        <f>IF(ISNUMBER(SEARCH("Quiosque",N35)),"SIM","")</f>
        <v/>
      </c>
      <c r="AK35" s="93" t="n"/>
    </row>
    <row r="36">
      <c r="A36" s="88" t="inlineStr">
        <is>
          <t>Protheus</t>
        </is>
      </c>
      <c r="B36" s="96" t="inlineStr">
        <is>
          <t>009484</t>
        </is>
      </c>
      <c r="C36" s="97">
        <f>IF(B36="—","—",IFERROR(VLOOKUP(B36,_Protheus_Cadastro!$A:$B,2,FALSE),"—"))</f>
        <v/>
      </c>
      <c r="D36" s="98">
        <f>IF(B36="—",IFERROR(INDEX(_ZIG_Cadastro!$D:$D,MATCH(H36,_ZIG_Cadastro!$A:$A,0)),"Produto"),IFERROR(VLOOKUP(B36,_Protheus_Cadastro!$A:$C,3,FALSE),"—"))</f>
        <v/>
      </c>
      <c r="E36" s="98">
        <f>IF(B36="—","—",IFERROR(VLOOKUP(B36,_Protheus_Cadastro!$A:$D,4,FALSE),"—"))</f>
        <v/>
      </c>
      <c r="F36" s="98">
        <f>IF(ISERROR(VLOOKUP(B36,'Estrutura Protheus'!A:A,1,FALSE)),"Não","Sim")</f>
        <v/>
      </c>
      <c r="G36" s="99">
        <f>IFERROR(INDEX(_Protheus_Cadastro!$H:$H,MATCH(B36,_Protheus_Cadastro!$A:$A,0)),"—")</f>
        <v/>
      </c>
      <c r="H36" s="211">
        <f>IFERROR(INDEX(_ZIG_Precos!$D:$D,MATCH(I36,_ZIG_Precos!$F:$F,0)),"—")</f>
        <v/>
      </c>
      <c r="I36" s="103">
        <f>IFERROR(VLOOKUP(B36,_Protheus_Cadastro!$A:$I,9,FALSE),"—")</f>
        <v/>
      </c>
      <c r="J36" s="101">
        <f>IFERROR(INDEX(_ZIG_Cadastro!$B:$B,MATCH(I36,_ZIG_Cadastro!$A:$A,0)),IFERROR(INDEX(_Entradas_ZIG!$B:$B,MATCH(I36,_Entradas_ZIG!$C:$C,0)),"—"))</f>
        <v/>
      </c>
      <c r="K36" s="101">
        <f>IFERROR(INDEX(_ZIG_Cadastro!$C:$C,MATCH(I36,_ZIG_Cadastro!$A:$A,0)),IFERROR(INDEX(_Entradas_ZIG!$D:$D,MATCH(I36,_Entradas_ZIG!$C:$C,0)),"—"))</f>
        <v/>
      </c>
      <c r="L36" s="99">
        <f>IF(I36="","Sem SKU ZIG",IF(I36="—","Sem SKU ZIG",IF(NOT(ISERROR(MATCH(I36,_ZIG_Cadastro!$A:$A,0))),IF(EXACT(UPPER(TRIM(C36)),UPPER(TRIM(INDEX(_ZIG_Cadastro!$B:$B,MATCH(I36,_ZIG_Cadastro!$A:$A,0))))),"OK","Atencao - Nome diverge"),IF(NOT(ISERROR(MATCH(I36,_Entradas_ZIG!$C:$C,0))),"OK","Erro - SKU nao encontrado"))))</f>
        <v/>
      </c>
      <c r="M36" s="99">
        <f>IFERROR(INDEX(_ZIG_Cadastro!$G:$G,MATCH(I36,_ZIG_Cadastro!$A:$A,0)),IF(NOT(ISERROR(MATCH(I36,_Entradas_ZIG!$C:$C,0))),"Ativo","—"))</f>
        <v/>
      </c>
      <c r="N36" s="102">
        <f>IFERROR(INDEX(_ZIG_Cadastro!$E:$E,MATCH(I36,_ZIG_Cadastro!$A:$A,0)),IFERROR(INDEX(_Entradas_ZIG!$F:$F,MATCH(I36,_Entradas_ZIG!$C:$C,0)),"—"))</f>
        <v/>
      </c>
      <c r="O36" s="99">
        <f>IF(AND(ISNUMBER(SEARCH("Espeto",N36)),ISNUMBER(SEARCH("Carin",N36))),"SIM","")</f>
        <v/>
      </c>
      <c r="P36" s="99">
        <f>IF(AND(ISNUMBER(SEARCH("Espeto",N36)),ISNUMBER(SEARCH("Lapa",N36))),"SIM","")</f>
        <v/>
      </c>
      <c r="Q36" s="99">
        <f>IF(AND(ISNUMBER(SEARCH("Espeto",N36)),ISNUMBER(SEARCH("Tatuapé",N36))),"SIM","")</f>
        <v/>
      </c>
      <c r="R36" s="99">
        <f>IF(AND(ISNUMBER(SEARCH("Espeto",N36)),ISNUMBER(SEARCH("Pavão",N36))),"SIM","")</f>
        <v/>
      </c>
      <c r="S36" s="99">
        <f>IF(AND(ISNUMBER(SEARCH("Espeto",N36)),ISNUMBER(SEARCH("Chac",N36))),"SIM","")</f>
        <v/>
      </c>
      <c r="T36" s="99">
        <f>IF(AND(ISNUMBER(SEARCH("Espeto",N36)),ISNUMBER(SEARCH("Madalena",N36))),"SIM","")</f>
        <v/>
      </c>
      <c r="U36" s="99">
        <f>IF(AND(ISNUMBER(SEARCH("Espeto",N36)),ISNUMBER(SEARCH("Mariana",N36))),"SIM","")</f>
        <v/>
      </c>
      <c r="V36" s="99">
        <f>IF(AND(ISNUMBER(SEARCH("Espeto",N36)),ISNUMBER(SEARCH("Perdizes",N36))),"SIM","")</f>
        <v/>
      </c>
      <c r="W36" s="99">
        <f>IF(AND(ISNUMBER(SEARCH("Espeto",N36)),ISNUMBER(SEARCH("Santana",N36))),"SIM","")</f>
        <v/>
      </c>
      <c r="X36" s="99">
        <f>IF(AND(ISNUMBER(SEARCH("Espeto",N36)),ISNUMBER(SEARCH("André",N36))),"SIM","")</f>
        <v/>
      </c>
      <c r="Y36" s="99">
        <f>IF(AND(ISNUMBER(SEARCH("Delivery",N36)),ISNUMBER(SEARCH("Carin",N36))),"SIM","")</f>
        <v/>
      </c>
      <c r="Z36" s="99">
        <f>IF(AND(ISNUMBER(SEARCH("Delivery",N36)),ISNUMBER(SEARCH("Lapa",N36))),"SIM","")</f>
        <v/>
      </c>
      <c r="AA36" s="99">
        <f>IF(AND(ISNUMBER(SEARCH("Delivery",N36)),ISNUMBER(SEARCH("Tatuapé",N36))),"SIM","")</f>
        <v/>
      </c>
      <c r="AB36" s="99">
        <f>IF(AND(ISNUMBER(SEARCH("Delivery",N36)),ISNUMBER(SEARCH("Pavão",N36))),"SIM","")</f>
        <v/>
      </c>
      <c r="AC36" s="99">
        <f>IF(AND(ISNUMBER(SEARCH("Delivery",N36)),ISNUMBER(SEARCH("Chac",N36))),"SIM","")</f>
        <v/>
      </c>
      <c r="AD36" s="99">
        <f>IF(AND(ISNUMBER(SEARCH("Delivery",N36)),ISNUMBER(SEARCH("Madalena",N36))),"SIM","")</f>
        <v/>
      </c>
      <c r="AE36" s="99">
        <f>IF(AND(ISNUMBER(SEARCH("Delivery",N36)),ISNUMBER(SEARCH("Mariana",N36))),"SIM","")</f>
        <v/>
      </c>
      <c r="AF36" s="99">
        <f>IF(AND(ISNUMBER(SEARCH("Delivery",N36)),ISNUMBER(SEARCH("Perdizes",N36))),"SIM","")</f>
        <v/>
      </c>
      <c r="AG36" s="99">
        <f>IF(AND(ISNUMBER(SEARCH("Delivery",N36)),ISNUMBER(SEARCH("Santana",N36))),"SIM","")</f>
        <v/>
      </c>
      <c r="AH36" s="99">
        <f>IF(AND(ISNUMBER(SEARCH("Delivery",N36)),ISNUMBER(SEARCH("André",N36))),"SIM","")</f>
        <v/>
      </c>
      <c r="AI36" s="99">
        <f>IF(ISNUMBER(SEARCH("Interlagos",N36)),"SIM","")</f>
        <v/>
      </c>
      <c r="AJ36" s="99">
        <f>IF(ISNUMBER(SEARCH("Quiosque",N36)),"SIM","")</f>
        <v/>
      </c>
      <c r="AK36" s="101" t="n"/>
    </row>
    <row r="37">
      <c r="A37" s="88" t="inlineStr">
        <is>
          <t>Protheus</t>
        </is>
      </c>
      <c r="B37" s="89" t="inlineStr">
        <is>
          <t>001037</t>
        </is>
      </c>
      <c r="C37" s="90">
        <f>IF(B37="—","—",IFERROR(VLOOKUP(B37,_Protheus_Cadastro!$A:$B,2,FALSE),"—"))</f>
        <v/>
      </c>
      <c r="D37" s="91">
        <f>IF(B37="—",IFERROR(INDEX(_ZIG_Cadastro!$D:$D,MATCH(H37,_ZIG_Cadastro!$A:$A,0)),"Produto"),IFERROR(VLOOKUP(B37,_Protheus_Cadastro!$A:$C,3,FALSE),"—"))</f>
        <v/>
      </c>
      <c r="E37" s="91">
        <f>IF(B37="—","—",IFERROR(VLOOKUP(B37,_Protheus_Cadastro!$A:$D,4,FALSE),"—"))</f>
        <v/>
      </c>
      <c r="F37" s="91">
        <f>IF(ISERROR(VLOOKUP(B37,'Estrutura Protheus'!A:A,1,FALSE)),"Não","Sim")</f>
        <v/>
      </c>
      <c r="G37" s="92">
        <f>IFERROR(INDEX(_Protheus_Cadastro!$H:$H,MATCH(B37,_Protheus_Cadastro!$A:$A,0)),"—")</f>
        <v/>
      </c>
      <c r="H37" s="210">
        <f>IFERROR(INDEX(_ZIG_Precos!$D:$D,MATCH(I37,_ZIG_Precos!$F:$F,0)),"—")</f>
        <v/>
      </c>
      <c r="I37" s="95">
        <f>IFERROR(VLOOKUP(B37,_Protheus_Cadastro!$A:$I,9,FALSE),"—")</f>
        <v/>
      </c>
      <c r="J37" s="93">
        <f>IFERROR(INDEX(_ZIG_Cadastro!$B:$B,MATCH(I37,_ZIG_Cadastro!$A:$A,0)),IFERROR(INDEX(_Entradas_ZIG!$B:$B,MATCH(I37,_Entradas_ZIG!$C:$C,0)),"—"))</f>
        <v/>
      </c>
      <c r="K37" s="93">
        <f>IFERROR(INDEX(_ZIG_Cadastro!$C:$C,MATCH(I37,_ZIG_Cadastro!$A:$A,0)),IFERROR(INDEX(_Entradas_ZIG!$D:$D,MATCH(I37,_Entradas_ZIG!$C:$C,0)),"—"))</f>
        <v/>
      </c>
      <c r="L37" s="92">
        <f>IF(I37="","Sem SKU ZIG",IF(I37="—","Sem SKU ZIG",IF(NOT(ISERROR(MATCH(I37,_ZIG_Cadastro!$A:$A,0))),IF(EXACT(UPPER(TRIM(C37)),UPPER(TRIM(INDEX(_ZIG_Cadastro!$B:$B,MATCH(I37,_ZIG_Cadastro!$A:$A,0))))),"OK","Atencao - Nome diverge"),IF(NOT(ISERROR(MATCH(I37,_Entradas_ZIG!$C:$C,0))),"OK","Erro - SKU nao encontrado"))))</f>
        <v/>
      </c>
      <c r="M37" s="92">
        <f>IFERROR(INDEX(_ZIG_Cadastro!$G:$G,MATCH(I37,_ZIG_Cadastro!$A:$A,0)),IF(NOT(ISERROR(MATCH(I37,_Entradas_ZIG!$C:$C,0))),"Ativo","—"))</f>
        <v/>
      </c>
      <c r="N37" s="94">
        <f>IFERROR(INDEX(_ZIG_Cadastro!$E:$E,MATCH(I37,_ZIG_Cadastro!$A:$A,0)),IFERROR(INDEX(_Entradas_ZIG!$F:$F,MATCH(I37,_Entradas_ZIG!$C:$C,0)),"—"))</f>
        <v/>
      </c>
      <c r="O37" s="92">
        <f>IF(AND(ISNUMBER(SEARCH("Espeto",N37)),ISNUMBER(SEARCH("Carin",N37))),"SIM","")</f>
        <v/>
      </c>
      <c r="P37" s="92">
        <f>IF(AND(ISNUMBER(SEARCH("Espeto",N37)),ISNUMBER(SEARCH("Lapa",N37))),"SIM","")</f>
        <v/>
      </c>
      <c r="Q37" s="92">
        <f>IF(AND(ISNUMBER(SEARCH("Espeto",N37)),ISNUMBER(SEARCH("Tatuapé",N37))),"SIM","")</f>
        <v/>
      </c>
      <c r="R37" s="92">
        <f>IF(AND(ISNUMBER(SEARCH("Espeto",N37)),ISNUMBER(SEARCH("Pavão",N37))),"SIM","")</f>
        <v/>
      </c>
      <c r="S37" s="92">
        <f>IF(AND(ISNUMBER(SEARCH("Espeto",N37)),ISNUMBER(SEARCH("Chac",N37))),"SIM","")</f>
        <v/>
      </c>
      <c r="T37" s="92">
        <f>IF(AND(ISNUMBER(SEARCH("Espeto",N37)),ISNUMBER(SEARCH("Madalena",N37))),"SIM","")</f>
        <v/>
      </c>
      <c r="U37" s="92">
        <f>IF(AND(ISNUMBER(SEARCH("Espeto",N37)),ISNUMBER(SEARCH("Mariana",N37))),"SIM","")</f>
        <v/>
      </c>
      <c r="V37" s="92">
        <f>IF(AND(ISNUMBER(SEARCH("Espeto",N37)),ISNUMBER(SEARCH("Perdizes",N37))),"SIM","")</f>
        <v/>
      </c>
      <c r="W37" s="92">
        <f>IF(AND(ISNUMBER(SEARCH("Espeto",N37)),ISNUMBER(SEARCH("Santana",N37))),"SIM","")</f>
        <v/>
      </c>
      <c r="X37" s="92">
        <f>IF(AND(ISNUMBER(SEARCH("Espeto",N37)),ISNUMBER(SEARCH("André",N37))),"SIM","")</f>
        <v/>
      </c>
      <c r="Y37" s="92">
        <f>IF(AND(ISNUMBER(SEARCH("Delivery",N37)),ISNUMBER(SEARCH("Carin",N37))),"SIM","")</f>
        <v/>
      </c>
      <c r="Z37" s="92">
        <f>IF(AND(ISNUMBER(SEARCH("Delivery",N37)),ISNUMBER(SEARCH("Lapa",N37))),"SIM","")</f>
        <v/>
      </c>
      <c r="AA37" s="92">
        <f>IF(AND(ISNUMBER(SEARCH("Delivery",N37)),ISNUMBER(SEARCH("Tatuapé",N37))),"SIM","")</f>
        <v/>
      </c>
      <c r="AB37" s="92">
        <f>IF(AND(ISNUMBER(SEARCH("Delivery",N37)),ISNUMBER(SEARCH("Pavão",N37))),"SIM","")</f>
        <v/>
      </c>
      <c r="AC37" s="92">
        <f>IF(AND(ISNUMBER(SEARCH("Delivery",N37)),ISNUMBER(SEARCH("Chac",N37))),"SIM","")</f>
        <v/>
      </c>
      <c r="AD37" s="92">
        <f>IF(AND(ISNUMBER(SEARCH("Delivery",N37)),ISNUMBER(SEARCH("Madalena",N37))),"SIM","")</f>
        <v/>
      </c>
      <c r="AE37" s="92">
        <f>IF(AND(ISNUMBER(SEARCH("Delivery",N37)),ISNUMBER(SEARCH("Mariana",N37))),"SIM","")</f>
        <v/>
      </c>
      <c r="AF37" s="92">
        <f>IF(AND(ISNUMBER(SEARCH("Delivery",N37)),ISNUMBER(SEARCH("Perdizes",N37))),"SIM","")</f>
        <v/>
      </c>
      <c r="AG37" s="92">
        <f>IF(AND(ISNUMBER(SEARCH("Delivery",N37)),ISNUMBER(SEARCH("Santana",N37))),"SIM","")</f>
        <v/>
      </c>
      <c r="AH37" s="92">
        <f>IF(AND(ISNUMBER(SEARCH("Delivery",N37)),ISNUMBER(SEARCH("André",N37))),"SIM","")</f>
        <v/>
      </c>
      <c r="AI37" s="92">
        <f>IF(ISNUMBER(SEARCH("Interlagos",N37)),"SIM","")</f>
        <v/>
      </c>
      <c r="AJ37" s="92">
        <f>IF(ISNUMBER(SEARCH("Quiosque",N37)),"SIM","")</f>
        <v/>
      </c>
      <c r="AK37" s="93" t="n"/>
    </row>
    <row r="38">
      <c r="A38" s="88" t="inlineStr">
        <is>
          <t>Protheus</t>
        </is>
      </c>
      <c r="B38" s="96" t="inlineStr">
        <is>
          <t>000049</t>
        </is>
      </c>
      <c r="C38" s="97">
        <f>IF(B38="—","—",IFERROR(VLOOKUP(B38,_Protheus_Cadastro!$A:$B,2,FALSE),"—"))</f>
        <v/>
      </c>
      <c r="D38" s="98">
        <f>IF(B38="—",IFERROR(INDEX(_ZIG_Cadastro!$D:$D,MATCH(H38,_ZIG_Cadastro!$A:$A,0)),"Produto"),IFERROR(VLOOKUP(B38,_Protheus_Cadastro!$A:$C,3,FALSE),"—"))</f>
        <v/>
      </c>
      <c r="E38" s="98">
        <f>IF(B38="—","—",IFERROR(VLOOKUP(B38,_Protheus_Cadastro!$A:$D,4,FALSE),"—"))</f>
        <v/>
      </c>
      <c r="F38" s="98">
        <f>IF(ISERROR(VLOOKUP(B38,'Estrutura Protheus'!A:A,1,FALSE)),"Não","Sim")</f>
        <v/>
      </c>
      <c r="G38" s="99">
        <f>IFERROR(INDEX(_Protheus_Cadastro!$H:$H,MATCH(B38,_Protheus_Cadastro!$A:$A,0)),"—")</f>
        <v/>
      </c>
      <c r="H38" s="211">
        <f>IFERROR(INDEX(_ZIG_Precos!$D:$D,MATCH(I38,_ZIG_Precos!$F:$F,0)),"—")</f>
        <v/>
      </c>
      <c r="I38" s="103">
        <f>IFERROR(VLOOKUP(B38,_Protheus_Cadastro!$A:$I,9,FALSE),"—")</f>
        <v/>
      </c>
      <c r="J38" s="101">
        <f>IFERROR(INDEX(_ZIG_Cadastro!$B:$B,MATCH(I38,_ZIG_Cadastro!$A:$A,0)),IFERROR(INDEX(_Entradas_ZIG!$B:$B,MATCH(I38,_Entradas_ZIG!$C:$C,0)),"—"))</f>
        <v/>
      </c>
      <c r="K38" s="101">
        <f>IFERROR(INDEX(_ZIG_Cadastro!$C:$C,MATCH(I38,_ZIG_Cadastro!$A:$A,0)),IFERROR(INDEX(_Entradas_ZIG!$D:$D,MATCH(I38,_Entradas_ZIG!$C:$C,0)),"—"))</f>
        <v/>
      </c>
      <c r="L38" s="99">
        <f>IF(I38="","Sem SKU ZIG",IF(I38="—","Sem SKU ZIG",IF(NOT(ISERROR(MATCH(I38,_ZIG_Cadastro!$A:$A,0))),IF(EXACT(UPPER(TRIM(C38)),UPPER(TRIM(INDEX(_ZIG_Cadastro!$B:$B,MATCH(I38,_ZIG_Cadastro!$A:$A,0))))),"OK","Atencao - Nome diverge"),IF(NOT(ISERROR(MATCH(I38,_Entradas_ZIG!$C:$C,0))),"OK","Erro - SKU nao encontrado"))))</f>
        <v/>
      </c>
      <c r="M38" s="99">
        <f>IFERROR(INDEX(_ZIG_Cadastro!$G:$G,MATCH(I38,_ZIG_Cadastro!$A:$A,0)),IF(NOT(ISERROR(MATCH(I38,_Entradas_ZIG!$C:$C,0))),"Ativo","—"))</f>
        <v/>
      </c>
      <c r="N38" s="102">
        <f>IFERROR(INDEX(_ZIG_Cadastro!$E:$E,MATCH(I38,_ZIG_Cadastro!$A:$A,0)),IFERROR(INDEX(_Entradas_ZIG!$F:$F,MATCH(I38,_Entradas_ZIG!$C:$C,0)),"—"))</f>
        <v/>
      </c>
      <c r="O38" s="99">
        <f>IF(AND(ISNUMBER(SEARCH("Espeto",N38)),ISNUMBER(SEARCH("Carin",N38))),"SIM","")</f>
        <v/>
      </c>
      <c r="P38" s="99">
        <f>IF(AND(ISNUMBER(SEARCH("Espeto",N38)),ISNUMBER(SEARCH("Lapa",N38))),"SIM","")</f>
        <v/>
      </c>
      <c r="Q38" s="99">
        <f>IF(AND(ISNUMBER(SEARCH("Espeto",N38)),ISNUMBER(SEARCH("Tatuapé",N38))),"SIM","")</f>
        <v/>
      </c>
      <c r="R38" s="99">
        <f>IF(AND(ISNUMBER(SEARCH("Espeto",N38)),ISNUMBER(SEARCH("Pavão",N38))),"SIM","")</f>
        <v/>
      </c>
      <c r="S38" s="99">
        <f>IF(AND(ISNUMBER(SEARCH("Espeto",N38)),ISNUMBER(SEARCH("Chac",N38))),"SIM","")</f>
        <v/>
      </c>
      <c r="T38" s="99">
        <f>IF(AND(ISNUMBER(SEARCH("Espeto",N38)),ISNUMBER(SEARCH("Madalena",N38))),"SIM","")</f>
        <v/>
      </c>
      <c r="U38" s="99">
        <f>IF(AND(ISNUMBER(SEARCH("Espeto",N38)),ISNUMBER(SEARCH("Mariana",N38))),"SIM","")</f>
        <v/>
      </c>
      <c r="V38" s="99">
        <f>IF(AND(ISNUMBER(SEARCH("Espeto",N38)),ISNUMBER(SEARCH("Perdizes",N38))),"SIM","")</f>
        <v/>
      </c>
      <c r="W38" s="99">
        <f>IF(AND(ISNUMBER(SEARCH("Espeto",N38)),ISNUMBER(SEARCH("Santana",N38))),"SIM","")</f>
        <v/>
      </c>
      <c r="X38" s="99">
        <f>IF(AND(ISNUMBER(SEARCH("Espeto",N38)),ISNUMBER(SEARCH("André",N38))),"SIM","")</f>
        <v/>
      </c>
      <c r="Y38" s="99">
        <f>IF(AND(ISNUMBER(SEARCH("Delivery",N38)),ISNUMBER(SEARCH("Carin",N38))),"SIM","")</f>
        <v/>
      </c>
      <c r="Z38" s="99">
        <f>IF(AND(ISNUMBER(SEARCH("Delivery",N38)),ISNUMBER(SEARCH("Lapa",N38))),"SIM","")</f>
        <v/>
      </c>
      <c r="AA38" s="99">
        <f>IF(AND(ISNUMBER(SEARCH("Delivery",N38)),ISNUMBER(SEARCH("Tatuapé",N38))),"SIM","")</f>
        <v/>
      </c>
      <c r="AB38" s="99">
        <f>IF(AND(ISNUMBER(SEARCH("Delivery",N38)),ISNUMBER(SEARCH("Pavão",N38))),"SIM","")</f>
        <v/>
      </c>
      <c r="AC38" s="99">
        <f>IF(AND(ISNUMBER(SEARCH("Delivery",N38)),ISNUMBER(SEARCH("Chac",N38))),"SIM","")</f>
        <v/>
      </c>
      <c r="AD38" s="99">
        <f>IF(AND(ISNUMBER(SEARCH("Delivery",N38)),ISNUMBER(SEARCH("Madalena",N38))),"SIM","")</f>
        <v/>
      </c>
      <c r="AE38" s="99">
        <f>IF(AND(ISNUMBER(SEARCH("Delivery",N38)),ISNUMBER(SEARCH("Mariana",N38))),"SIM","")</f>
        <v/>
      </c>
      <c r="AF38" s="99">
        <f>IF(AND(ISNUMBER(SEARCH("Delivery",N38)),ISNUMBER(SEARCH("Perdizes",N38))),"SIM","")</f>
        <v/>
      </c>
      <c r="AG38" s="99">
        <f>IF(AND(ISNUMBER(SEARCH("Delivery",N38)),ISNUMBER(SEARCH("Santana",N38))),"SIM","")</f>
        <v/>
      </c>
      <c r="AH38" s="99">
        <f>IF(AND(ISNUMBER(SEARCH("Delivery",N38)),ISNUMBER(SEARCH("André",N38))),"SIM","")</f>
        <v/>
      </c>
      <c r="AI38" s="99">
        <f>IF(ISNUMBER(SEARCH("Interlagos",N38)),"SIM","")</f>
        <v/>
      </c>
      <c r="AJ38" s="99">
        <f>IF(ISNUMBER(SEARCH("Quiosque",N38)),"SIM","")</f>
        <v/>
      </c>
      <c r="AK38" s="101" t="n"/>
    </row>
    <row r="39">
      <c r="A39" s="88" t="inlineStr">
        <is>
          <t>Protheus</t>
        </is>
      </c>
      <c r="B39" s="89" t="inlineStr">
        <is>
          <t>000890</t>
        </is>
      </c>
      <c r="C39" s="90">
        <f>IF(B39="—","—",IFERROR(VLOOKUP(B39,_Protheus_Cadastro!$A:$B,2,FALSE),"—"))</f>
        <v/>
      </c>
      <c r="D39" s="91">
        <f>IF(B39="—",IFERROR(INDEX(_ZIG_Cadastro!$D:$D,MATCH(H39,_ZIG_Cadastro!$A:$A,0)),"Produto"),IFERROR(VLOOKUP(B39,_Protheus_Cadastro!$A:$C,3,FALSE),"—"))</f>
        <v/>
      </c>
      <c r="E39" s="91">
        <f>IF(B39="—","—",IFERROR(VLOOKUP(B39,_Protheus_Cadastro!$A:$D,4,FALSE),"—"))</f>
        <v/>
      </c>
      <c r="F39" s="91">
        <f>IF(ISERROR(VLOOKUP(B39,'Estrutura Protheus'!A:A,1,FALSE)),"Não","Sim")</f>
        <v/>
      </c>
      <c r="G39" s="92">
        <f>IFERROR(INDEX(_Protheus_Cadastro!$H:$H,MATCH(B39,_Protheus_Cadastro!$A:$A,0)),"—")</f>
        <v/>
      </c>
      <c r="H39" s="210">
        <f>IFERROR(INDEX(_ZIG_Precos!$D:$D,MATCH(I39,_ZIG_Precos!$F:$F,0)),"—")</f>
        <v/>
      </c>
      <c r="I39" s="95">
        <f>IFERROR(VLOOKUP(B39,_Protheus_Cadastro!$A:$I,9,FALSE),"—")</f>
        <v/>
      </c>
      <c r="J39" s="93">
        <f>IFERROR(INDEX(_ZIG_Cadastro!$B:$B,MATCH(I39,_ZIG_Cadastro!$A:$A,0)),IFERROR(INDEX(_Entradas_ZIG!$B:$B,MATCH(I39,_Entradas_ZIG!$C:$C,0)),"—"))</f>
        <v/>
      </c>
      <c r="K39" s="93">
        <f>IFERROR(INDEX(_ZIG_Cadastro!$C:$C,MATCH(I39,_ZIG_Cadastro!$A:$A,0)),IFERROR(INDEX(_Entradas_ZIG!$D:$D,MATCH(I39,_Entradas_ZIG!$C:$C,0)),"—"))</f>
        <v/>
      </c>
      <c r="L39" s="92">
        <f>IF(I39="","Sem SKU ZIG",IF(I39="—","Sem SKU ZIG",IF(NOT(ISERROR(MATCH(I39,_ZIG_Cadastro!$A:$A,0))),IF(EXACT(UPPER(TRIM(C39)),UPPER(TRIM(INDEX(_ZIG_Cadastro!$B:$B,MATCH(I39,_ZIG_Cadastro!$A:$A,0))))),"OK","Atencao - Nome diverge"),IF(NOT(ISERROR(MATCH(I39,_Entradas_ZIG!$C:$C,0))),"OK","Erro - SKU nao encontrado"))))</f>
        <v/>
      </c>
      <c r="M39" s="92">
        <f>IFERROR(INDEX(_ZIG_Cadastro!$G:$G,MATCH(I39,_ZIG_Cadastro!$A:$A,0)),IF(NOT(ISERROR(MATCH(I39,_Entradas_ZIG!$C:$C,0))),"Ativo","—"))</f>
        <v/>
      </c>
      <c r="N39" s="94">
        <f>IFERROR(INDEX(_ZIG_Cadastro!$E:$E,MATCH(I39,_ZIG_Cadastro!$A:$A,0)),IFERROR(INDEX(_Entradas_ZIG!$F:$F,MATCH(I39,_Entradas_ZIG!$C:$C,0)),"—"))</f>
        <v/>
      </c>
      <c r="O39" s="92">
        <f>IF(AND(ISNUMBER(SEARCH("Espeto",N39)),ISNUMBER(SEARCH("Carin",N39))),"SIM","")</f>
        <v/>
      </c>
      <c r="P39" s="92">
        <f>IF(AND(ISNUMBER(SEARCH("Espeto",N39)),ISNUMBER(SEARCH("Lapa",N39))),"SIM","")</f>
        <v/>
      </c>
      <c r="Q39" s="92">
        <f>IF(AND(ISNUMBER(SEARCH("Espeto",N39)),ISNUMBER(SEARCH("Tatuapé",N39))),"SIM","")</f>
        <v/>
      </c>
      <c r="R39" s="92">
        <f>IF(AND(ISNUMBER(SEARCH("Espeto",N39)),ISNUMBER(SEARCH("Pavão",N39))),"SIM","")</f>
        <v/>
      </c>
      <c r="S39" s="92">
        <f>IF(AND(ISNUMBER(SEARCH("Espeto",N39)),ISNUMBER(SEARCH("Chac",N39))),"SIM","")</f>
        <v/>
      </c>
      <c r="T39" s="92">
        <f>IF(AND(ISNUMBER(SEARCH("Espeto",N39)),ISNUMBER(SEARCH("Madalena",N39))),"SIM","")</f>
        <v/>
      </c>
      <c r="U39" s="92">
        <f>IF(AND(ISNUMBER(SEARCH("Espeto",N39)),ISNUMBER(SEARCH("Mariana",N39))),"SIM","")</f>
        <v/>
      </c>
      <c r="V39" s="92">
        <f>IF(AND(ISNUMBER(SEARCH("Espeto",N39)),ISNUMBER(SEARCH("Perdizes",N39))),"SIM","")</f>
        <v/>
      </c>
      <c r="W39" s="92">
        <f>IF(AND(ISNUMBER(SEARCH("Espeto",N39)),ISNUMBER(SEARCH("Santana",N39))),"SIM","")</f>
        <v/>
      </c>
      <c r="X39" s="92">
        <f>IF(AND(ISNUMBER(SEARCH("Espeto",N39)),ISNUMBER(SEARCH("André",N39))),"SIM","")</f>
        <v/>
      </c>
      <c r="Y39" s="92">
        <f>IF(AND(ISNUMBER(SEARCH("Delivery",N39)),ISNUMBER(SEARCH("Carin",N39))),"SIM","")</f>
        <v/>
      </c>
      <c r="Z39" s="92">
        <f>IF(AND(ISNUMBER(SEARCH("Delivery",N39)),ISNUMBER(SEARCH("Lapa",N39))),"SIM","")</f>
        <v/>
      </c>
      <c r="AA39" s="92">
        <f>IF(AND(ISNUMBER(SEARCH("Delivery",N39)),ISNUMBER(SEARCH("Tatuapé",N39))),"SIM","")</f>
        <v/>
      </c>
      <c r="AB39" s="92">
        <f>IF(AND(ISNUMBER(SEARCH("Delivery",N39)),ISNUMBER(SEARCH("Pavão",N39))),"SIM","")</f>
        <v/>
      </c>
      <c r="AC39" s="92">
        <f>IF(AND(ISNUMBER(SEARCH("Delivery",N39)),ISNUMBER(SEARCH("Chac",N39))),"SIM","")</f>
        <v/>
      </c>
      <c r="AD39" s="92">
        <f>IF(AND(ISNUMBER(SEARCH("Delivery",N39)),ISNUMBER(SEARCH("Madalena",N39))),"SIM","")</f>
        <v/>
      </c>
      <c r="AE39" s="92">
        <f>IF(AND(ISNUMBER(SEARCH("Delivery",N39)),ISNUMBER(SEARCH("Mariana",N39))),"SIM","")</f>
        <v/>
      </c>
      <c r="AF39" s="92">
        <f>IF(AND(ISNUMBER(SEARCH("Delivery",N39)),ISNUMBER(SEARCH("Perdizes",N39))),"SIM","")</f>
        <v/>
      </c>
      <c r="AG39" s="92">
        <f>IF(AND(ISNUMBER(SEARCH("Delivery",N39)),ISNUMBER(SEARCH("Santana",N39))),"SIM","")</f>
        <v/>
      </c>
      <c r="AH39" s="92">
        <f>IF(AND(ISNUMBER(SEARCH("Delivery",N39)),ISNUMBER(SEARCH("André",N39))),"SIM","")</f>
        <v/>
      </c>
      <c r="AI39" s="92">
        <f>IF(ISNUMBER(SEARCH("Interlagos",N39)),"SIM","")</f>
        <v/>
      </c>
      <c r="AJ39" s="92">
        <f>IF(ISNUMBER(SEARCH("Quiosque",N39)),"SIM","")</f>
        <v/>
      </c>
      <c r="AK39" s="93" t="n"/>
    </row>
    <row r="40">
      <c r="A40" s="88" t="inlineStr">
        <is>
          <t>Protheus</t>
        </is>
      </c>
      <c r="B40" s="96" t="inlineStr">
        <is>
          <t>002182</t>
        </is>
      </c>
      <c r="C40" s="97">
        <f>IF(B40="—","—",IFERROR(VLOOKUP(B40,_Protheus_Cadastro!$A:$B,2,FALSE),"—"))</f>
        <v/>
      </c>
      <c r="D40" s="98">
        <f>IF(B40="—",IFERROR(INDEX(_ZIG_Cadastro!$D:$D,MATCH(H40,_ZIG_Cadastro!$A:$A,0)),"Produto"),IFERROR(VLOOKUP(B40,_Protheus_Cadastro!$A:$C,3,FALSE),"—"))</f>
        <v/>
      </c>
      <c r="E40" s="98">
        <f>IF(B40="—","—",IFERROR(VLOOKUP(B40,_Protheus_Cadastro!$A:$D,4,FALSE),"—"))</f>
        <v/>
      </c>
      <c r="F40" s="98">
        <f>IF(ISERROR(VLOOKUP(B40,'Estrutura Protheus'!A:A,1,FALSE)),"Não","Sim")</f>
        <v/>
      </c>
      <c r="G40" s="99">
        <f>IFERROR(INDEX(_Protheus_Cadastro!$H:$H,MATCH(B40,_Protheus_Cadastro!$A:$A,0)),"—")</f>
        <v/>
      </c>
      <c r="H40" s="211">
        <f>IFERROR(INDEX(_ZIG_Precos!$D:$D,MATCH(I40,_ZIG_Precos!$F:$F,0)),"—")</f>
        <v/>
      </c>
      <c r="I40" s="103">
        <f>IFERROR(VLOOKUP(B40,_Protheus_Cadastro!$A:$I,9,FALSE),"—")</f>
        <v/>
      </c>
      <c r="J40" s="101">
        <f>IFERROR(INDEX(_ZIG_Cadastro!$B:$B,MATCH(I40,_ZIG_Cadastro!$A:$A,0)),IFERROR(INDEX(_Entradas_ZIG!$B:$B,MATCH(I40,_Entradas_ZIG!$C:$C,0)),"—"))</f>
        <v/>
      </c>
      <c r="K40" s="101">
        <f>IFERROR(INDEX(_ZIG_Cadastro!$C:$C,MATCH(I40,_ZIG_Cadastro!$A:$A,0)),IFERROR(INDEX(_Entradas_ZIG!$D:$D,MATCH(I40,_Entradas_ZIG!$C:$C,0)),"—"))</f>
        <v/>
      </c>
      <c r="L40" s="99">
        <f>IF(I40="","Sem SKU ZIG",IF(I40="—","Sem SKU ZIG",IF(NOT(ISERROR(MATCH(I40,_ZIG_Cadastro!$A:$A,0))),IF(EXACT(UPPER(TRIM(C40)),UPPER(TRIM(INDEX(_ZIG_Cadastro!$B:$B,MATCH(I40,_ZIG_Cadastro!$A:$A,0))))),"OK","Atencao - Nome diverge"),IF(NOT(ISERROR(MATCH(I40,_Entradas_ZIG!$C:$C,0))),"OK","Erro - SKU nao encontrado"))))</f>
        <v/>
      </c>
      <c r="M40" s="99">
        <f>IFERROR(INDEX(_ZIG_Cadastro!$G:$G,MATCH(I40,_ZIG_Cadastro!$A:$A,0)),IF(NOT(ISERROR(MATCH(I40,_Entradas_ZIG!$C:$C,0))),"Ativo","—"))</f>
        <v/>
      </c>
      <c r="N40" s="102">
        <f>IFERROR(INDEX(_ZIG_Cadastro!$E:$E,MATCH(I40,_ZIG_Cadastro!$A:$A,0)),IFERROR(INDEX(_Entradas_ZIG!$F:$F,MATCH(I40,_Entradas_ZIG!$C:$C,0)),"—"))</f>
        <v/>
      </c>
      <c r="O40" s="99">
        <f>IF(AND(ISNUMBER(SEARCH("Espeto",N40)),ISNUMBER(SEARCH("Carin",N40))),"SIM","")</f>
        <v/>
      </c>
      <c r="P40" s="99">
        <f>IF(AND(ISNUMBER(SEARCH("Espeto",N40)),ISNUMBER(SEARCH("Lapa",N40))),"SIM","")</f>
        <v/>
      </c>
      <c r="Q40" s="99">
        <f>IF(AND(ISNUMBER(SEARCH("Espeto",N40)),ISNUMBER(SEARCH("Tatuapé",N40))),"SIM","")</f>
        <v/>
      </c>
      <c r="R40" s="99">
        <f>IF(AND(ISNUMBER(SEARCH("Espeto",N40)),ISNUMBER(SEARCH("Pavão",N40))),"SIM","")</f>
        <v/>
      </c>
      <c r="S40" s="99">
        <f>IF(AND(ISNUMBER(SEARCH("Espeto",N40)),ISNUMBER(SEARCH("Chac",N40))),"SIM","")</f>
        <v/>
      </c>
      <c r="T40" s="99">
        <f>IF(AND(ISNUMBER(SEARCH("Espeto",N40)),ISNUMBER(SEARCH("Madalena",N40))),"SIM","")</f>
        <v/>
      </c>
      <c r="U40" s="99">
        <f>IF(AND(ISNUMBER(SEARCH("Espeto",N40)),ISNUMBER(SEARCH("Mariana",N40))),"SIM","")</f>
        <v/>
      </c>
      <c r="V40" s="99">
        <f>IF(AND(ISNUMBER(SEARCH("Espeto",N40)),ISNUMBER(SEARCH("Perdizes",N40))),"SIM","")</f>
        <v/>
      </c>
      <c r="W40" s="99">
        <f>IF(AND(ISNUMBER(SEARCH("Espeto",N40)),ISNUMBER(SEARCH("Santana",N40))),"SIM","")</f>
        <v/>
      </c>
      <c r="X40" s="99">
        <f>IF(AND(ISNUMBER(SEARCH("Espeto",N40)),ISNUMBER(SEARCH("André",N40))),"SIM","")</f>
        <v/>
      </c>
      <c r="Y40" s="99">
        <f>IF(AND(ISNUMBER(SEARCH("Delivery",N40)),ISNUMBER(SEARCH("Carin",N40))),"SIM","")</f>
        <v/>
      </c>
      <c r="Z40" s="99">
        <f>IF(AND(ISNUMBER(SEARCH("Delivery",N40)),ISNUMBER(SEARCH("Lapa",N40))),"SIM","")</f>
        <v/>
      </c>
      <c r="AA40" s="99">
        <f>IF(AND(ISNUMBER(SEARCH("Delivery",N40)),ISNUMBER(SEARCH("Tatuapé",N40))),"SIM","")</f>
        <v/>
      </c>
      <c r="AB40" s="99">
        <f>IF(AND(ISNUMBER(SEARCH("Delivery",N40)),ISNUMBER(SEARCH("Pavão",N40))),"SIM","")</f>
        <v/>
      </c>
      <c r="AC40" s="99">
        <f>IF(AND(ISNUMBER(SEARCH("Delivery",N40)),ISNUMBER(SEARCH("Chac",N40))),"SIM","")</f>
        <v/>
      </c>
      <c r="AD40" s="99">
        <f>IF(AND(ISNUMBER(SEARCH("Delivery",N40)),ISNUMBER(SEARCH("Madalena",N40))),"SIM","")</f>
        <v/>
      </c>
      <c r="AE40" s="99">
        <f>IF(AND(ISNUMBER(SEARCH("Delivery",N40)),ISNUMBER(SEARCH("Mariana",N40))),"SIM","")</f>
        <v/>
      </c>
      <c r="AF40" s="99">
        <f>IF(AND(ISNUMBER(SEARCH("Delivery",N40)),ISNUMBER(SEARCH("Perdizes",N40))),"SIM","")</f>
        <v/>
      </c>
      <c r="AG40" s="99">
        <f>IF(AND(ISNUMBER(SEARCH("Delivery",N40)),ISNUMBER(SEARCH("Santana",N40))),"SIM","")</f>
        <v/>
      </c>
      <c r="AH40" s="99">
        <f>IF(AND(ISNUMBER(SEARCH("Delivery",N40)),ISNUMBER(SEARCH("André",N40))),"SIM","")</f>
        <v/>
      </c>
      <c r="AI40" s="99">
        <f>IF(ISNUMBER(SEARCH("Interlagos",N40)),"SIM","")</f>
        <v/>
      </c>
      <c r="AJ40" s="99">
        <f>IF(ISNUMBER(SEARCH("Quiosque",N40)),"SIM","")</f>
        <v/>
      </c>
      <c r="AK40" s="101" t="n"/>
    </row>
    <row r="41">
      <c r="A41" s="88" t="inlineStr">
        <is>
          <t>Protheus</t>
        </is>
      </c>
      <c r="B41" s="96" t="inlineStr">
        <is>
          <t>000892</t>
        </is>
      </c>
      <c r="C41" s="97">
        <f>IF(B41="—","—",IFERROR(VLOOKUP(B41,_Protheus_Cadastro!$A:$B,2,FALSE),"—"))</f>
        <v/>
      </c>
      <c r="D41" s="98">
        <f>IF(B41="—",IFERROR(INDEX(_ZIG_Cadastro!$D:$D,MATCH(H41,_ZIG_Cadastro!$A:$A,0)),"Produto"),IFERROR(VLOOKUP(B41,_Protheus_Cadastro!$A:$C,3,FALSE),"—"))</f>
        <v/>
      </c>
      <c r="E41" s="98">
        <f>IF(B41="—","—",IFERROR(VLOOKUP(B41,_Protheus_Cadastro!$A:$D,4,FALSE),"—"))</f>
        <v/>
      </c>
      <c r="F41" s="98">
        <f>IF(ISERROR(VLOOKUP(B41,'Estrutura Protheus'!A:A,1,FALSE)),"Não","Sim")</f>
        <v/>
      </c>
      <c r="G41" s="99">
        <f>IFERROR(INDEX(_Protheus_Cadastro!$H:$H,MATCH(B41,_Protheus_Cadastro!$A:$A,0)),"—")</f>
        <v/>
      </c>
      <c r="H41" s="211">
        <f>IFERROR(INDEX(_ZIG_Precos!$D:$D,MATCH(I41,_ZIG_Precos!$F:$F,0)),"—")</f>
        <v/>
      </c>
      <c r="I41" s="103">
        <f>IFERROR(VLOOKUP(B41,_Protheus_Cadastro!$A:$I,9,FALSE),"—")</f>
        <v/>
      </c>
      <c r="J41" s="101">
        <f>IFERROR(INDEX(_ZIG_Cadastro!$B:$B,MATCH(I41,_ZIG_Cadastro!$A:$A,0)),IFERROR(INDEX(_Entradas_ZIG!$B:$B,MATCH(I41,_Entradas_ZIG!$C:$C,0)),"—"))</f>
        <v/>
      </c>
      <c r="K41" s="101">
        <f>IFERROR(INDEX(_ZIG_Cadastro!$C:$C,MATCH(I41,_ZIG_Cadastro!$A:$A,0)),IFERROR(INDEX(_Entradas_ZIG!$D:$D,MATCH(I41,_Entradas_ZIG!$C:$C,0)),"—"))</f>
        <v/>
      </c>
      <c r="L41" s="99">
        <f>IF(I41="","Sem SKU ZIG",IF(I41="—","Sem SKU ZIG",IF(NOT(ISERROR(MATCH(I41,_ZIG_Cadastro!$A:$A,0))),IF(EXACT(UPPER(TRIM(C41)),UPPER(TRIM(INDEX(_ZIG_Cadastro!$B:$B,MATCH(I41,_ZIG_Cadastro!$A:$A,0))))),"OK","Atencao - Nome diverge"),IF(NOT(ISERROR(MATCH(I41,_Entradas_ZIG!$C:$C,0))),"OK","Erro - SKU nao encontrado"))))</f>
        <v/>
      </c>
      <c r="M41" s="99">
        <f>IFERROR(INDEX(_ZIG_Cadastro!$G:$G,MATCH(I41,_ZIG_Cadastro!$A:$A,0)),IF(NOT(ISERROR(MATCH(I41,_Entradas_ZIG!$C:$C,0))),"Ativo","—"))</f>
        <v/>
      </c>
      <c r="N41" s="102">
        <f>IFERROR(INDEX(_ZIG_Cadastro!$E:$E,MATCH(I41,_ZIG_Cadastro!$A:$A,0)),IFERROR(INDEX(_Entradas_ZIG!$F:$F,MATCH(I41,_Entradas_ZIG!$C:$C,0)),"—"))</f>
        <v/>
      </c>
      <c r="O41" s="99">
        <f>IF(AND(ISNUMBER(SEARCH("Espeto",N41)),ISNUMBER(SEARCH("Carin",N41))),"SIM","")</f>
        <v/>
      </c>
      <c r="P41" s="99">
        <f>IF(AND(ISNUMBER(SEARCH("Espeto",N41)),ISNUMBER(SEARCH("Lapa",N41))),"SIM","")</f>
        <v/>
      </c>
      <c r="Q41" s="99">
        <f>IF(AND(ISNUMBER(SEARCH("Espeto",N41)),ISNUMBER(SEARCH("Tatuapé",N41))),"SIM","")</f>
        <v/>
      </c>
      <c r="R41" s="99">
        <f>IF(AND(ISNUMBER(SEARCH("Espeto",N41)),ISNUMBER(SEARCH("Pavão",N41))),"SIM","")</f>
        <v/>
      </c>
      <c r="S41" s="99">
        <f>IF(AND(ISNUMBER(SEARCH("Espeto",N41)),ISNUMBER(SEARCH("Chac",N41))),"SIM","")</f>
        <v/>
      </c>
      <c r="T41" s="99">
        <f>IF(AND(ISNUMBER(SEARCH("Espeto",N41)),ISNUMBER(SEARCH("Madalena",N41))),"SIM","")</f>
        <v/>
      </c>
      <c r="U41" s="99">
        <f>IF(AND(ISNUMBER(SEARCH("Espeto",N41)),ISNUMBER(SEARCH("Mariana",N41))),"SIM","")</f>
        <v/>
      </c>
      <c r="V41" s="99">
        <f>IF(AND(ISNUMBER(SEARCH("Espeto",N41)),ISNUMBER(SEARCH("Perdizes",N41))),"SIM","")</f>
        <v/>
      </c>
      <c r="W41" s="99">
        <f>IF(AND(ISNUMBER(SEARCH("Espeto",N41)),ISNUMBER(SEARCH("Santana",N41))),"SIM","")</f>
        <v/>
      </c>
      <c r="X41" s="99">
        <f>IF(AND(ISNUMBER(SEARCH("Espeto",N41)),ISNUMBER(SEARCH("André",N41))),"SIM","")</f>
        <v/>
      </c>
      <c r="Y41" s="99">
        <f>IF(AND(ISNUMBER(SEARCH("Delivery",N41)),ISNUMBER(SEARCH("Carin",N41))),"SIM","")</f>
        <v/>
      </c>
      <c r="Z41" s="99">
        <f>IF(AND(ISNUMBER(SEARCH("Delivery",N41)),ISNUMBER(SEARCH("Lapa",N41))),"SIM","")</f>
        <v/>
      </c>
      <c r="AA41" s="99">
        <f>IF(AND(ISNUMBER(SEARCH("Delivery",N41)),ISNUMBER(SEARCH("Tatuapé",N41))),"SIM","")</f>
        <v/>
      </c>
      <c r="AB41" s="99">
        <f>IF(AND(ISNUMBER(SEARCH("Delivery",N41)),ISNUMBER(SEARCH("Pavão",N41))),"SIM","")</f>
        <v/>
      </c>
      <c r="AC41" s="99">
        <f>IF(AND(ISNUMBER(SEARCH("Delivery",N41)),ISNUMBER(SEARCH("Chac",N41))),"SIM","")</f>
        <v/>
      </c>
      <c r="AD41" s="99">
        <f>IF(AND(ISNUMBER(SEARCH("Delivery",N41)),ISNUMBER(SEARCH("Madalena",N41))),"SIM","")</f>
        <v/>
      </c>
      <c r="AE41" s="99">
        <f>IF(AND(ISNUMBER(SEARCH("Delivery",N41)),ISNUMBER(SEARCH("Mariana",N41))),"SIM","")</f>
        <v/>
      </c>
      <c r="AF41" s="99">
        <f>IF(AND(ISNUMBER(SEARCH("Delivery",N41)),ISNUMBER(SEARCH("Perdizes",N41))),"SIM","")</f>
        <v/>
      </c>
      <c r="AG41" s="99">
        <f>IF(AND(ISNUMBER(SEARCH("Delivery",N41)),ISNUMBER(SEARCH("Santana",N41))),"SIM","")</f>
        <v/>
      </c>
      <c r="AH41" s="99">
        <f>IF(AND(ISNUMBER(SEARCH("Delivery",N41)),ISNUMBER(SEARCH("André",N41))),"SIM","")</f>
        <v/>
      </c>
      <c r="AI41" s="99">
        <f>IF(ISNUMBER(SEARCH("Interlagos",N41)),"SIM","")</f>
        <v/>
      </c>
      <c r="AJ41" s="99">
        <f>IF(ISNUMBER(SEARCH("Quiosque",N41)),"SIM","")</f>
        <v/>
      </c>
      <c r="AK41" s="101" t="n"/>
    </row>
    <row r="42">
      <c r="A42" s="88" t="inlineStr">
        <is>
          <t>Protheus</t>
        </is>
      </c>
      <c r="B42" s="89" t="inlineStr">
        <is>
          <t>000878</t>
        </is>
      </c>
      <c r="C42" s="90">
        <f>IF(B42="—","—",IFERROR(VLOOKUP(B42,_Protheus_Cadastro!$A:$B,2,FALSE),"—"))</f>
        <v/>
      </c>
      <c r="D42" s="91">
        <f>IF(B42="—",IFERROR(INDEX(_ZIG_Cadastro!$D:$D,MATCH(H42,_ZIG_Cadastro!$A:$A,0)),"Produto"),IFERROR(VLOOKUP(B42,_Protheus_Cadastro!$A:$C,3,FALSE),"—"))</f>
        <v/>
      </c>
      <c r="E42" s="91">
        <f>IF(B42="—","—",IFERROR(VLOOKUP(B42,_Protheus_Cadastro!$A:$D,4,FALSE),"—"))</f>
        <v/>
      </c>
      <c r="F42" s="91">
        <f>IF(ISERROR(VLOOKUP(B42,'Estrutura Protheus'!A:A,1,FALSE)),"Não","Sim")</f>
        <v/>
      </c>
      <c r="G42" s="92">
        <f>IFERROR(INDEX(_Protheus_Cadastro!$H:$H,MATCH(B42,_Protheus_Cadastro!$A:$A,0)),"—")</f>
        <v/>
      </c>
      <c r="H42" s="210">
        <f>IFERROR(INDEX(_ZIG_Precos!$D:$D,MATCH(I42,_ZIG_Precos!$F:$F,0)),"—")</f>
        <v/>
      </c>
      <c r="I42" s="95">
        <f>IFERROR(VLOOKUP(B42,_Protheus_Cadastro!$A:$I,9,FALSE),"—")</f>
        <v/>
      </c>
      <c r="J42" s="93">
        <f>IFERROR(INDEX(_ZIG_Cadastro!$B:$B,MATCH(I42,_ZIG_Cadastro!$A:$A,0)),IFERROR(INDEX(_Entradas_ZIG!$B:$B,MATCH(I42,_Entradas_ZIG!$C:$C,0)),"—"))</f>
        <v/>
      </c>
      <c r="K42" s="93">
        <f>IFERROR(INDEX(_ZIG_Cadastro!$C:$C,MATCH(I42,_ZIG_Cadastro!$A:$A,0)),IFERROR(INDEX(_Entradas_ZIG!$D:$D,MATCH(I42,_Entradas_ZIG!$C:$C,0)),"—"))</f>
        <v/>
      </c>
      <c r="L42" s="92">
        <f>IF(I42="","Sem SKU ZIG",IF(I42="—","Sem SKU ZIG",IF(NOT(ISERROR(MATCH(I42,_ZIG_Cadastro!$A:$A,0))),IF(EXACT(UPPER(TRIM(C42)),UPPER(TRIM(INDEX(_ZIG_Cadastro!$B:$B,MATCH(I42,_ZIG_Cadastro!$A:$A,0))))),"OK","Atencao - Nome diverge"),IF(NOT(ISERROR(MATCH(I42,_Entradas_ZIG!$C:$C,0))),"OK","Erro - SKU nao encontrado"))))</f>
        <v/>
      </c>
      <c r="M42" s="92">
        <f>IFERROR(INDEX(_ZIG_Cadastro!$G:$G,MATCH(I42,_ZIG_Cadastro!$A:$A,0)),IF(NOT(ISERROR(MATCH(I42,_Entradas_ZIG!$C:$C,0))),"Ativo","—"))</f>
        <v/>
      </c>
      <c r="N42" s="94">
        <f>IFERROR(INDEX(_ZIG_Cadastro!$E:$E,MATCH(I42,_ZIG_Cadastro!$A:$A,0)),IFERROR(INDEX(_Entradas_ZIG!$F:$F,MATCH(I42,_Entradas_ZIG!$C:$C,0)),"—"))</f>
        <v/>
      </c>
      <c r="O42" s="92">
        <f>IF(AND(ISNUMBER(SEARCH("Espeto",N42)),ISNUMBER(SEARCH("Carin",N42))),"SIM","")</f>
        <v/>
      </c>
      <c r="P42" s="92">
        <f>IF(AND(ISNUMBER(SEARCH("Espeto",N42)),ISNUMBER(SEARCH("Lapa",N42))),"SIM","")</f>
        <v/>
      </c>
      <c r="Q42" s="92">
        <f>IF(AND(ISNUMBER(SEARCH("Espeto",N42)),ISNUMBER(SEARCH("Tatuapé",N42))),"SIM","")</f>
        <v/>
      </c>
      <c r="R42" s="92">
        <f>IF(AND(ISNUMBER(SEARCH("Espeto",N42)),ISNUMBER(SEARCH("Pavão",N42))),"SIM","")</f>
        <v/>
      </c>
      <c r="S42" s="92">
        <f>IF(AND(ISNUMBER(SEARCH("Espeto",N42)),ISNUMBER(SEARCH("Chac",N42))),"SIM","")</f>
        <v/>
      </c>
      <c r="T42" s="92">
        <f>IF(AND(ISNUMBER(SEARCH("Espeto",N42)),ISNUMBER(SEARCH("Madalena",N42))),"SIM","")</f>
        <v/>
      </c>
      <c r="U42" s="92">
        <f>IF(AND(ISNUMBER(SEARCH("Espeto",N42)),ISNUMBER(SEARCH("Mariana",N42))),"SIM","")</f>
        <v/>
      </c>
      <c r="V42" s="92">
        <f>IF(AND(ISNUMBER(SEARCH("Espeto",N42)),ISNUMBER(SEARCH("Perdizes",N42))),"SIM","")</f>
        <v/>
      </c>
      <c r="W42" s="92">
        <f>IF(AND(ISNUMBER(SEARCH("Espeto",N42)),ISNUMBER(SEARCH("Santana",N42))),"SIM","")</f>
        <v/>
      </c>
      <c r="X42" s="92">
        <f>IF(AND(ISNUMBER(SEARCH("Espeto",N42)),ISNUMBER(SEARCH("André",N42))),"SIM","")</f>
        <v/>
      </c>
      <c r="Y42" s="92">
        <f>IF(AND(ISNUMBER(SEARCH("Delivery",N42)),ISNUMBER(SEARCH("Carin",N42))),"SIM","")</f>
        <v/>
      </c>
      <c r="Z42" s="92">
        <f>IF(AND(ISNUMBER(SEARCH("Delivery",N42)),ISNUMBER(SEARCH("Lapa",N42))),"SIM","")</f>
        <v/>
      </c>
      <c r="AA42" s="92">
        <f>IF(AND(ISNUMBER(SEARCH("Delivery",N42)),ISNUMBER(SEARCH("Tatuapé",N42))),"SIM","")</f>
        <v/>
      </c>
      <c r="AB42" s="92">
        <f>IF(AND(ISNUMBER(SEARCH("Delivery",N42)),ISNUMBER(SEARCH("Pavão",N42))),"SIM","")</f>
        <v/>
      </c>
      <c r="AC42" s="92">
        <f>IF(AND(ISNUMBER(SEARCH("Delivery",N42)),ISNUMBER(SEARCH("Chac",N42))),"SIM","")</f>
        <v/>
      </c>
      <c r="AD42" s="92">
        <f>IF(AND(ISNUMBER(SEARCH("Delivery",N42)),ISNUMBER(SEARCH("Madalena",N42))),"SIM","")</f>
        <v/>
      </c>
      <c r="AE42" s="92">
        <f>IF(AND(ISNUMBER(SEARCH("Delivery",N42)),ISNUMBER(SEARCH("Mariana",N42))),"SIM","")</f>
        <v/>
      </c>
      <c r="AF42" s="92">
        <f>IF(AND(ISNUMBER(SEARCH("Delivery",N42)),ISNUMBER(SEARCH("Perdizes",N42))),"SIM","")</f>
        <v/>
      </c>
      <c r="AG42" s="92">
        <f>IF(AND(ISNUMBER(SEARCH("Delivery",N42)),ISNUMBER(SEARCH("Santana",N42))),"SIM","")</f>
        <v/>
      </c>
      <c r="AH42" s="92">
        <f>IF(AND(ISNUMBER(SEARCH("Delivery",N42)),ISNUMBER(SEARCH("André",N42))),"SIM","")</f>
        <v/>
      </c>
      <c r="AI42" s="92">
        <f>IF(ISNUMBER(SEARCH("Interlagos",N42)),"SIM","")</f>
        <v/>
      </c>
      <c r="AJ42" s="92">
        <f>IF(ISNUMBER(SEARCH("Quiosque",N42)),"SIM","")</f>
        <v/>
      </c>
      <c r="AK42" s="93" t="n"/>
    </row>
    <row r="43">
      <c r="A43" s="88" t="inlineStr">
        <is>
          <t>Protheus</t>
        </is>
      </c>
      <c r="B43" s="89" t="inlineStr">
        <is>
          <t>002183</t>
        </is>
      </c>
      <c r="C43" s="90">
        <f>IF(B43="—","—",IFERROR(VLOOKUP(B43,_Protheus_Cadastro!$A:$B,2,FALSE),"—"))</f>
        <v/>
      </c>
      <c r="D43" s="91">
        <f>IF(B43="—",IFERROR(INDEX(_ZIG_Cadastro!$D:$D,MATCH(H43,_ZIG_Cadastro!$A:$A,0)),"Produto"),IFERROR(VLOOKUP(B43,_Protheus_Cadastro!$A:$C,3,FALSE),"—"))</f>
        <v/>
      </c>
      <c r="E43" s="91">
        <f>IF(B43="—","—",IFERROR(VLOOKUP(B43,_Protheus_Cadastro!$A:$D,4,FALSE),"—"))</f>
        <v/>
      </c>
      <c r="F43" s="91">
        <f>IF(ISERROR(VLOOKUP(B43,'Estrutura Protheus'!A:A,1,FALSE)),"Não","Sim")</f>
        <v/>
      </c>
      <c r="G43" s="92">
        <f>IFERROR(INDEX(_Protheus_Cadastro!$H:$H,MATCH(B43,_Protheus_Cadastro!$A:$A,0)),"—")</f>
        <v/>
      </c>
      <c r="H43" s="210">
        <f>IFERROR(INDEX(_ZIG_Precos!$D:$D,MATCH(I43,_ZIG_Precos!$F:$F,0)),"—")</f>
        <v/>
      </c>
      <c r="I43" s="95">
        <f>IFERROR(VLOOKUP(B43,_Protheus_Cadastro!$A:$I,9,FALSE),"—")</f>
        <v/>
      </c>
      <c r="J43" s="93">
        <f>IFERROR(INDEX(_ZIG_Cadastro!$B:$B,MATCH(I43,_ZIG_Cadastro!$A:$A,0)),IFERROR(INDEX(_Entradas_ZIG!$B:$B,MATCH(I43,_Entradas_ZIG!$C:$C,0)),"—"))</f>
        <v/>
      </c>
      <c r="K43" s="93">
        <f>IFERROR(INDEX(_ZIG_Cadastro!$C:$C,MATCH(I43,_ZIG_Cadastro!$A:$A,0)),IFERROR(INDEX(_Entradas_ZIG!$D:$D,MATCH(I43,_Entradas_ZIG!$C:$C,0)),"—"))</f>
        <v/>
      </c>
      <c r="L43" s="92">
        <f>IF(I43="","Sem SKU ZIG",IF(I43="—","Sem SKU ZIG",IF(NOT(ISERROR(MATCH(I43,_ZIG_Cadastro!$A:$A,0))),IF(EXACT(UPPER(TRIM(C43)),UPPER(TRIM(INDEX(_ZIG_Cadastro!$B:$B,MATCH(I43,_ZIG_Cadastro!$A:$A,0))))),"OK","Atencao - Nome diverge"),IF(NOT(ISERROR(MATCH(I43,_Entradas_ZIG!$C:$C,0))),"OK","Erro - SKU nao encontrado"))))</f>
        <v/>
      </c>
      <c r="M43" s="92">
        <f>IFERROR(INDEX(_ZIG_Cadastro!$G:$G,MATCH(I43,_ZIG_Cadastro!$A:$A,0)),IF(NOT(ISERROR(MATCH(I43,_Entradas_ZIG!$C:$C,0))),"Ativo","—"))</f>
        <v/>
      </c>
      <c r="N43" s="94">
        <f>IFERROR(INDEX(_ZIG_Cadastro!$E:$E,MATCH(I43,_ZIG_Cadastro!$A:$A,0)),IFERROR(INDEX(_Entradas_ZIG!$F:$F,MATCH(I43,_Entradas_ZIG!$C:$C,0)),"—"))</f>
        <v/>
      </c>
      <c r="O43" s="92">
        <f>IF(AND(ISNUMBER(SEARCH("Espeto",N43)),ISNUMBER(SEARCH("Carin",N43))),"SIM","")</f>
        <v/>
      </c>
      <c r="P43" s="92">
        <f>IF(AND(ISNUMBER(SEARCH("Espeto",N43)),ISNUMBER(SEARCH("Lapa",N43))),"SIM","")</f>
        <v/>
      </c>
      <c r="Q43" s="92">
        <f>IF(AND(ISNUMBER(SEARCH("Espeto",N43)),ISNUMBER(SEARCH("Tatuapé",N43))),"SIM","")</f>
        <v/>
      </c>
      <c r="R43" s="92">
        <f>IF(AND(ISNUMBER(SEARCH("Espeto",N43)),ISNUMBER(SEARCH("Pavão",N43))),"SIM","")</f>
        <v/>
      </c>
      <c r="S43" s="92">
        <f>IF(AND(ISNUMBER(SEARCH("Espeto",N43)),ISNUMBER(SEARCH("Chac",N43))),"SIM","")</f>
        <v/>
      </c>
      <c r="T43" s="92">
        <f>IF(AND(ISNUMBER(SEARCH("Espeto",N43)),ISNUMBER(SEARCH("Madalena",N43))),"SIM","")</f>
        <v/>
      </c>
      <c r="U43" s="92">
        <f>IF(AND(ISNUMBER(SEARCH("Espeto",N43)),ISNUMBER(SEARCH("Mariana",N43))),"SIM","")</f>
        <v/>
      </c>
      <c r="V43" s="92">
        <f>IF(AND(ISNUMBER(SEARCH("Espeto",N43)),ISNUMBER(SEARCH("Perdizes",N43))),"SIM","")</f>
        <v/>
      </c>
      <c r="W43" s="92">
        <f>IF(AND(ISNUMBER(SEARCH("Espeto",N43)),ISNUMBER(SEARCH("Santana",N43))),"SIM","")</f>
        <v/>
      </c>
      <c r="X43" s="92">
        <f>IF(AND(ISNUMBER(SEARCH("Espeto",N43)),ISNUMBER(SEARCH("André",N43))),"SIM","")</f>
        <v/>
      </c>
      <c r="Y43" s="92">
        <f>IF(AND(ISNUMBER(SEARCH("Delivery",N43)),ISNUMBER(SEARCH("Carin",N43))),"SIM","")</f>
        <v/>
      </c>
      <c r="Z43" s="92">
        <f>IF(AND(ISNUMBER(SEARCH("Delivery",N43)),ISNUMBER(SEARCH("Lapa",N43))),"SIM","")</f>
        <v/>
      </c>
      <c r="AA43" s="92">
        <f>IF(AND(ISNUMBER(SEARCH("Delivery",N43)),ISNUMBER(SEARCH("Tatuapé",N43))),"SIM","")</f>
        <v/>
      </c>
      <c r="AB43" s="92">
        <f>IF(AND(ISNUMBER(SEARCH("Delivery",N43)),ISNUMBER(SEARCH("Pavão",N43))),"SIM","")</f>
        <v/>
      </c>
      <c r="AC43" s="92">
        <f>IF(AND(ISNUMBER(SEARCH("Delivery",N43)),ISNUMBER(SEARCH("Chac",N43))),"SIM","")</f>
        <v/>
      </c>
      <c r="AD43" s="92">
        <f>IF(AND(ISNUMBER(SEARCH("Delivery",N43)),ISNUMBER(SEARCH("Madalena",N43))),"SIM","")</f>
        <v/>
      </c>
      <c r="AE43" s="92">
        <f>IF(AND(ISNUMBER(SEARCH("Delivery",N43)),ISNUMBER(SEARCH("Mariana",N43))),"SIM","")</f>
        <v/>
      </c>
      <c r="AF43" s="92">
        <f>IF(AND(ISNUMBER(SEARCH("Delivery",N43)),ISNUMBER(SEARCH("Perdizes",N43))),"SIM","")</f>
        <v/>
      </c>
      <c r="AG43" s="92">
        <f>IF(AND(ISNUMBER(SEARCH("Delivery",N43)),ISNUMBER(SEARCH("Santana",N43))),"SIM","")</f>
        <v/>
      </c>
      <c r="AH43" s="92">
        <f>IF(AND(ISNUMBER(SEARCH("Delivery",N43)),ISNUMBER(SEARCH("André",N43))),"SIM","")</f>
        <v/>
      </c>
      <c r="AI43" s="92">
        <f>IF(ISNUMBER(SEARCH("Interlagos",N43)),"SIM","")</f>
        <v/>
      </c>
      <c r="AJ43" s="92">
        <f>IF(ISNUMBER(SEARCH("Quiosque",N43)),"SIM","")</f>
        <v/>
      </c>
      <c r="AK43" s="93" t="n"/>
    </row>
    <row r="44">
      <c r="A44" s="88" t="inlineStr">
        <is>
          <t>Protheus</t>
        </is>
      </c>
      <c r="B44" s="96" t="inlineStr">
        <is>
          <t>000879</t>
        </is>
      </c>
      <c r="C44" s="97">
        <f>IF(B44="—","—",IFERROR(VLOOKUP(B44,_Protheus_Cadastro!$A:$B,2,FALSE),"—"))</f>
        <v/>
      </c>
      <c r="D44" s="98">
        <f>IF(B44="—",IFERROR(INDEX(_ZIG_Cadastro!$D:$D,MATCH(H44,_ZIG_Cadastro!$A:$A,0)),"Produto"),IFERROR(VLOOKUP(B44,_Protheus_Cadastro!$A:$C,3,FALSE),"—"))</f>
        <v/>
      </c>
      <c r="E44" s="98">
        <f>IF(B44="—","—",IFERROR(VLOOKUP(B44,_Protheus_Cadastro!$A:$D,4,FALSE),"—"))</f>
        <v/>
      </c>
      <c r="F44" s="98">
        <f>IF(ISERROR(VLOOKUP(B44,'Estrutura Protheus'!A:A,1,FALSE)),"Não","Sim")</f>
        <v/>
      </c>
      <c r="G44" s="99">
        <f>IFERROR(INDEX(_Protheus_Cadastro!$H:$H,MATCH(B44,_Protheus_Cadastro!$A:$A,0)),"—")</f>
        <v/>
      </c>
      <c r="H44" s="211">
        <f>IFERROR(INDEX(_ZIG_Precos!$D:$D,MATCH(I44,_ZIG_Precos!$F:$F,0)),"—")</f>
        <v/>
      </c>
      <c r="I44" s="103">
        <f>IFERROR(VLOOKUP(B44,_Protheus_Cadastro!$A:$I,9,FALSE),"—")</f>
        <v/>
      </c>
      <c r="J44" s="101">
        <f>IFERROR(INDEX(_ZIG_Cadastro!$B:$B,MATCH(I44,_ZIG_Cadastro!$A:$A,0)),IFERROR(INDEX(_Entradas_ZIG!$B:$B,MATCH(I44,_Entradas_ZIG!$C:$C,0)),"—"))</f>
        <v/>
      </c>
      <c r="K44" s="101">
        <f>IFERROR(INDEX(_ZIG_Cadastro!$C:$C,MATCH(I44,_ZIG_Cadastro!$A:$A,0)),IFERROR(INDEX(_Entradas_ZIG!$D:$D,MATCH(I44,_Entradas_ZIG!$C:$C,0)),"—"))</f>
        <v/>
      </c>
      <c r="L44" s="99">
        <f>IF(I44="","Sem SKU ZIG",IF(I44="—","Sem SKU ZIG",IF(NOT(ISERROR(MATCH(I44,_ZIG_Cadastro!$A:$A,0))),IF(EXACT(UPPER(TRIM(C44)),UPPER(TRIM(INDEX(_ZIG_Cadastro!$B:$B,MATCH(I44,_ZIG_Cadastro!$A:$A,0))))),"OK","Atencao - Nome diverge"),IF(NOT(ISERROR(MATCH(I44,_Entradas_ZIG!$C:$C,0))),"OK","Erro - SKU nao encontrado"))))</f>
        <v/>
      </c>
      <c r="M44" s="99">
        <f>IFERROR(INDEX(_ZIG_Cadastro!$G:$G,MATCH(I44,_ZIG_Cadastro!$A:$A,0)),IF(NOT(ISERROR(MATCH(I44,_Entradas_ZIG!$C:$C,0))),"Ativo","—"))</f>
        <v/>
      </c>
      <c r="N44" s="102">
        <f>IFERROR(INDEX(_ZIG_Cadastro!$E:$E,MATCH(I44,_ZIG_Cadastro!$A:$A,0)),IFERROR(INDEX(_Entradas_ZIG!$F:$F,MATCH(I44,_Entradas_ZIG!$C:$C,0)),"—"))</f>
        <v/>
      </c>
      <c r="O44" s="99">
        <f>IF(AND(ISNUMBER(SEARCH("Espeto",N44)),ISNUMBER(SEARCH("Carin",N44))),"SIM","")</f>
        <v/>
      </c>
      <c r="P44" s="99">
        <f>IF(AND(ISNUMBER(SEARCH("Espeto",N44)),ISNUMBER(SEARCH("Lapa",N44))),"SIM","")</f>
        <v/>
      </c>
      <c r="Q44" s="99">
        <f>IF(AND(ISNUMBER(SEARCH("Espeto",N44)),ISNUMBER(SEARCH("Tatuapé",N44))),"SIM","")</f>
        <v/>
      </c>
      <c r="R44" s="99">
        <f>IF(AND(ISNUMBER(SEARCH("Espeto",N44)),ISNUMBER(SEARCH("Pavão",N44))),"SIM","")</f>
        <v/>
      </c>
      <c r="S44" s="99">
        <f>IF(AND(ISNUMBER(SEARCH("Espeto",N44)),ISNUMBER(SEARCH("Chac",N44))),"SIM","")</f>
        <v/>
      </c>
      <c r="T44" s="99">
        <f>IF(AND(ISNUMBER(SEARCH("Espeto",N44)),ISNUMBER(SEARCH("Madalena",N44))),"SIM","")</f>
        <v/>
      </c>
      <c r="U44" s="99">
        <f>IF(AND(ISNUMBER(SEARCH("Espeto",N44)),ISNUMBER(SEARCH("Mariana",N44))),"SIM","")</f>
        <v/>
      </c>
      <c r="V44" s="99">
        <f>IF(AND(ISNUMBER(SEARCH("Espeto",N44)),ISNUMBER(SEARCH("Perdizes",N44))),"SIM","")</f>
        <v/>
      </c>
      <c r="W44" s="99">
        <f>IF(AND(ISNUMBER(SEARCH("Espeto",N44)),ISNUMBER(SEARCH("Santana",N44))),"SIM","")</f>
        <v/>
      </c>
      <c r="X44" s="99">
        <f>IF(AND(ISNUMBER(SEARCH("Espeto",N44)),ISNUMBER(SEARCH("André",N44))),"SIM","")</f>
        <v/>
      </c>
      <c r="Y44" s="99">
        <f>IF(AND(ISNUMBER(SEARCH("Delivery",N44)),ISNUMBER(SEARCH("Carin",N44))),"SIM","")</f>
        <v/>
      </c>
      <c r="Z44" s="99">
        <f>IF(AND(ISNUMBER(SEARCH("Delivery",N44)),ISNUMBER(SEARCH("Lapa",N44))),"SIM","")</f>
        <v/>
      </c>
      <c r="AA44" s="99">
        <f>IF(AND(ISNUMBER(SEARCH("Delivery",N44)),ISNUMBER(SEARCH("Tatuapé",N44))),"SIM","")</f>
        <v/>
      </c>
      <c r="AB44" s="99">
        <f>IF(AND(ISNUMBER(SEARCH("Delivery",N44)),ISNUMBER(SEARCH("Pavão",N44))),"SIM","")</f>
        <v/>
      </c>
      <c r="AC44" s="99">
        <f>IF(AND(ISNUMBER(SEARCH("Delivery",N44)),ISNUMBER(SEARCH("Chac",N44))),"SIM","")</f>
        <v/>
      </c>
      <c r="AD44" s="99">
        <f>IF(AND(ISNUMBER(SEARCH("Delivery",N44)),ISNUMBER(SEARCH("Madalena",N44))),"SIM","")</f>
        <v/>
      </c>
      <c r="AE44" s="99">
        <f>IF(AND(ISNUMBER(SEARCH("Delivery",N44)),ISNUMBER(SEARCH("Mariana",N44))),"SIM","")</f>
        <v/>
      </c>
      <c r="AF44" s="99">
        <f>IF(AND(ISNUMBER(SEARCH("Delivery",N44)),ISNUMBER(SEARCH("Perdizes",N44))),"SIM","")</f>
        <v/>
      </c>
      <c r="AG44" s="99">
        <f>IF(AND(ISNUMBER(SEARCH("Delivery",N44)),ISNUMBER(SEARCH("Santana",N44))),"SIM","")</f>
        <v/>
      </c>
      <c r="AH44" s="99">
        <f>IF(AND(ISNUMBER(SEARCH("Delivery",N44)),ISNUMBER(SEARCH("André",N44))),"SIM","")</f>
        <v/>
      </c>
      <c r="AI44" s="99">
        <f>IF(ISNUMBER(SEARCH("Interlagos",N44)),"SIM","")</f>
        <v/>
      </c>
      <c r="AJ44" s="99">
        <f>IF(ISNUMBER(SEARCH("Quiosque",N44)),"SIM","")</f>
        <v/>
      </c>
      <c r="AK44" s="101" t="n"/>
    </row>
    <row r="45">
      <c r="A45" s="88" t="inlineStr">
        <is>
          <t>Protheus</t>
        </is>
      </c>
      <c r="B45" s="89" t="inlineStr">
        <is>
          <t>000885</t>
        </is>
      </c>
      <c r="C45" s="90">
        <f>IF(B45="—","—",IFERROR(VLOOKUP(B45,_Protheus_Cadastro!$A:$B,2,FALSE),"—"))</f>
        <v/>
      </c>
      <c r="D45" s="91">
        <f>IF(B45="—",IFERROR(INDEX(_ZIG_Cadastro!$D:$D,MATCH(H45,_ZIG_Cadastro!$A:$A,0)),"Produto"),IFERROR(VLOOKUP(B45,_Protheus_Cadastro!$A:$C,3,FALSE),"—"))</f>
        <v/>
      </c>
      <c r="E45" s="91">
        <f>IF(B45="—","—",IFERROR(VLOOKUP(B45,_Protheus_Cadastro!$A:$D,4,FALSE),"—"))</f>
        <v/>
      </c>
      <c r="F45" s="91">
        <f>IF(ISERROR(VLOOKUP(B45,'Estrutura Protheus'!A:A,1,FALSE)),"Não","Sim")</f>
        <v/>
      </c>
      <c r="G45" s="92">
        <f>IFERROR(INDEX(_Protheus_Cadastro!$H:$H,MATCH(B45,_Protheus_Cadastro!$A:$A,0)),"—")</f>
        <v/>
      </c>
      <c r="H45" s="210">
        <f>IFERROR(INDEX(_ZIG_Precos!$D:$D,MATCH(I45,_ZIG_Precos!$F:$F,0)),"—")</f>
        <v/>
      </c>
      <c r="I45" s="95">
        <f>IFERROR(VLOOKUP(B45,_Protheus_Cadastro!$A:$I,9,FALSE),"—")</f>
        <v/>
      </c>
      <c r="J45" s="93">
        <f>IFERROR(INDEX(_ZIG_Cadastro!$B:$B,MATCH(I45,_ZIG_Cadastro!$A:$A,0)),IFERROR(INDEX(_Entradas_ZIG!$B:$B,MATCH(I45,_Entradas_ZIG!$C:$C,0)),"—"))</f>
        <v/>
      </c>
      <c r="K45" s="93">
        <f>IFERROR(INDEX(_ZIG_Cadastro!$C:$C,MATCH(I45,_ZIG_Cadastro!$A:$A,0)),IFERROR(INDEX(_Entradas_ZIG!$D:$D,MATCH(I45,_Entradas_ZIG!$C:$C,0)),"—"))</f>
        <v/>
      </c>
      <c r="L45" s="92">
        <f>IF(I45="","Sem SKU ZIG",IF(I45="—","Sem SKU ZIG",IF(NOT(ISERROR(MATCH(I45,_ZIG_Cadastro!$A:$A,0))),IF(EXACT(UPPER(TRIM(C45)),UPPER(TRIM(INDEX(_ZIG_Cadastro!$B:$B,MATCH(I45,_ZIG_Cadastro!$A:$A,0))))),"OK","Atencao - Nome diverge"),IF(NOT(ISERROR(MATCH(I45,_Entradas_ZIG!$C:$C,0))),"OK","Erro - SKU nao encontrado"))))</f>
        <v/>
      </c>
      <c r="M45" s="92">
        <f>IFERROR(INDEX(_ZIG_Cadastro!$G:$G,MATCH(I45,_ZIG_Cadastro!$A:$A,0)),IF(NOT(ISERROR(MATCH(I45,_Entradas_ZIG!$C:$C,0))),"Ativo","—"))</f>
        <v/>
      </c>
      <c r="N45" s="94">
        <f>IFERROR(INDEX(_ZIG_Cadastro!$E:$E,MATCH(I45,_ZIG_Cadastro!$A:$A,0)),IFERROR(INDEX(_Entradas_ZIG!$F:$F,MATCH(I45,_Entradas_ZIG!$C:$C,0)),"—"))</f>
        <v/>
      </c>
      <c r="O45" s="92">
        <f>IF(AND(ISNUMBER(SEARCH("Espeto",N45)),ISNUMBER(SEARCH("Carin",N45))),"SIM","")</f>
        <v/>
      </c>
      <c r="P45" s="92">
        <f>IF(AND(ISNUMBER(SEARCH("Espeto",N45)),ISNUMBER(SEARCH("Lapa",N45))),"SIM","")</f>
        <v/>
      </c>
      <c r="Q45" s="92">
        <f>IF(AND(ISNUMBER(SEARCH("Espeto",N45)),ISNUMBER(SEARCH("Tatuapé",N45))),"SIM","")</f>
        <v/>
      </c>
      <c r="R45" s="92">
        <f>IF(AND(ISNUMBER(SEARCH("Espeto",N45)),ISNUMBER(SEARCH("Pavão",N45))),"SIM","")</f>
        <v/>
      </c>
      <c r="S45" s="92">
        <f>IF(AND(ISNUMBER(SEARCH("Espeto",N45)),ISNUMBER(SEARCH("Chac",N45))),"SIM","")</f>
        <v/>
      </c>
      <c r="T45" s="92">
        <f>IF(AND(ISNUMBER(SEARCH("Espeto",N45)),ISNUMBER(SEARCH("Madalena",N45))),"SIM","")</f>
        <v/>
      </c>
      <c r="U45" s="92">
        <f>IF(AND(ISNUMBER(SEARCH("Espeto",N45)),ISNUMBER(SEARCH("Mariana",N45))),"SIM","")</f>
        <v/>
      </c>
      <c r="V45" s="92">
        <f>IF(AND(ISNUMBER(SEARCH("Espeto",N45)),ISNUMBER(SEARCH("Perdizes",N45))),"SIM","")</f>
        <v/>
      </c>
      <c r="W45" s="92">
        <f>IF(AND(ISNUMBER(SEARCH("Espeto",N45)),ISNUMBER(SEARCH("Santana",N45))),"SIM","")</f>
        <v/>
      </c>
      <c r="X45" s="92">
        <f>IF(AND(ISNUMBER(SEARCH("Espeto",N45)),ISNUMBER(SEARCH("André",N45))),"SIM","")</f>
        <v/>
      </c>
      <c r="Y45" s="92">
        <f>IF(AND(ISNUMBER(SEARCH("Delivery",N45)),ISNUMBER(SEARCH("Carin",N45))),"SIM","")</f>
        <v/>
      </c>
      <c r="Z45" s="92">
        <f>IF(AND(ISNUMBER(SEARCH("Delivery",N45)),ISNUMBER(SEARCH("Lapa",N45))),"SIM","")</f>
        <v/>
      </c>
      <c r="AA45" s="92">
        <f>IF(AND(ISNUMBER(SEARCH("Delivery",N45)),ISNUMBER(SEARCH("Tatuapé",N45))),"SIM","")</f>
        <v/>
      </c>
      <c r="AB45" s="92">
        <f>IF(AND(ISNUMBER(SEARCH("Delivery",N45)),ISNUMBER(SEARCH("Pavão",N45))),"SIM","")</f>
        <v/>
      </c>
      <c r="AC45" s="92">
        <f>IF(AND(ISNUMBER(SEARCH("Delivery",N45)),ISNUMBER(SEARCH("Chac",N45))),"SIM","")</f>
        <v/>
      </c>
      <c r="AD45" s="92">
        <f>IF(AND(ISNUMBER(SEARCH("Delivery",N45)),ISNUMBER(SEARCH("Madalena",N45))),"SIM","")</f>
        <v/>
      </c>
      <c r="AE45" s="92">
        <f>IF(AND(ISNUMBER(SEARCH("Delivery",N45)),ISNUMBER(SEARCH("Mariana",N45))),"SIM","")</f>
        <v/>
      </c>
      <c r="AF45" s="92">
        <f>IF(AND(ISNUMBER(SEARCH("Delivery",N45)),ISNUMBER(SEARCH("Perdizes",N45))),"SIM","")</f>
        <v/>
      </c>
      <c r="AG45" s="92">
        <f>IF(AND(ISNUMBER(SEARCH("Delivery",N45)),ISNUMBER(SEARCH("Santana",N45))),"SIM","")</f>
        <v/>
      </c>
      <c r="AH45" s="92">
        <f>IF(AND(ISNUMBER(SEARCH("Delivery",N45)),ISNUMBER(SEARCH("André",N45))),"SIM","")</f>
        <v/>
      </c>
      <c r="AI45" s="92">
        <f>IF(ISNUMBER(SEARCH("Interlagos",N45)),"SIM","")</f>
        <v/>
      </c>
      <c r="AJ45" s="92">
        <f>IF(ISNUMBER(SEARCH("Quiosque",N45)),"SIM","")</f>
        <v/>
      </c>
      <c r="AK45" s="93" t="n"/>
    </row>
    <row r="46">
      <c r="A46" s="88" t="inlineStr">
        <is>
          <t>Protheus</t>
        </is>
      </c>
      <c r="B46" s="96" t="inlineStr">
        <is>
          <t>002122</t>
        </is>
      </c>
      <c r="C46" s="97">
        <f>IF(B46="—","—",IFERROR(VLOOKUP(B46,_Protheus_Cadastro!$A:$B,2,FALSE),"—"))</f>
        <v/>
      </c>
      <c r="D46" s="98">
        <f>IF(B46="—",IFERROR(INDEX(_ZIG_Cadastro!$D:$D,MATCH(H46,_ZIG_Cadastro!$A:$A,0)),"Produto"),IFERROR(VLOOKUP(B46,_Protheus_Cadastro!$A:$C,3,FALSE),"—"))</f>
        <v/>
      </c>
      <c r="E46" s="98">
        <f>IF(B46="—","—",IFERROR(VLOOKUP(B46,_Protheus_Cadastro!$A:$D,4,FALSE),"—"))</f>
        <v/>
      </c>
      <c r="F46" s="98">
        <f>IF(ISERROR(VLOOKUP(B46,'Estrutura Protheus'!A:A,1,FALSE)),"Não","Sim")</f>
        <v/>
      </c>
      <c r="G46" s="99">
        <f>IFERROR(INDEX(_Protheus_Cadastro!$H:$H,MATCH(B46,_Protheus_Cadastro!$A:$A,0)),"—")</f>
        <v/>
      </c>
      <c r="H46" s="211">
        <f>IFERROR(INDEX(_ZIG_Precos!$D:$D,MATCH(I46,_ZIG_Precos!$F:$F,0)),"—")</f>
        <v/>
      </c>
      <c r="I46" s="103">
        <f>IFERROR(VLOOKUP(B46,_Protheus_Cadastro!$A:$I,9,FALSE),"—")</f>
        <v/>
      </c>
      <c r="J46" s="101">
        <f>IFERROR(INDEX(_ZIG_Cadastro!$B:$B,MATCH(I46,_ZIG_Cadastro!$A:$A,0)),IFERROR(INDEX(_Entradas_ZIG!$B:$B,MATCH(I46,_Entradas_ZIG!$C:$C,0)),"—"))</f>
        <v/>
      </c>
      <c r="K46" s="101">
        <f>IFERROR(INDEX(_ZIG_Cadastro!$C:$C,MATCH(I46,_ZIG_Cadastro!$A:$A,0)),IFERROR(INDEX(_Entradas_ZIG!$D:$D,MATCH(I46,_Entradas_ZIG!$C:$C,0)),"—"))</f>
        <v/>
      </c>
      <c r="L46" s="99">
        <f>IF(I46="","Sem SKU ZIG",IF(I46="—","Sem SKU ZIG",IF(NOT(ISERROR(MATCH(I46,_ZIG_Cadastro!$A:$A,0))),IF(EXACT(UPPER(TRIM(C46)),UPPER(TRIM(INDEX(_ZIG_Cadastro!$B:$B,MATCH(I46,_ZIG_Cadastro!$A:$A,0))))),"OK","Atencao - Nome diverge"),IF(NOT(ISERROR(MATCH(I46,_Entradas_ZIG!$C:$C,0))),"OK","Erro - SKU nao encontrado"))))</f>
        <v/>
      </c>
      <c r="M46" s="99">
        <f>IFERROR(INDEX(_ZIG_Cadastro!$G:$G,MATCH(I46,_ZIG_Cadastro!$A:$A,0)),IF(NOT(ISERROR(MATCH(I46,_Entradas_ZIG!$C:$C,0))),"Ativo","—"))</f>
        <v/>
      </c>
      <c r="N46" s="102">
        <f>IFERROR(INDEX(_ZIG_Cadastro!$E:$E,MATCH(I46,_ZIG_Cadastro!$A:$A,0)),IFERROR(INDEX(_Entradas_ZIG!$F:$F,MATCH(I46,_Entradas_ZIG!$C:$C,0)),"—"))</f>
        <v/>
      </c>
      <c r="O46" s="99">
        <f>IF(AND(ISNUMBER(SEARCH("Espeto",N46)),ISNUMBER(SEARCH("Carin",N46))),"SIM","")</f>
        <v/>
      </c>
      <c r="P46" s="99">
        <f>IF(AND(ISNUMBER(SEARCH("Espeto",N46)),ISNUMBER(SEARCH("Lapa",N46))),"SIM","")</f>
        <v/>
      </c>
      <c r="Q46" s="99">
        <f>IF(AND(ISNUMBER(SEARCH("Espeto",N46)),ISNUMBER(SEARCH("Tatuapé",N46))),"SIM","")</f>
        <v/>
      </c>
      <c r="R46" s="99">
        <f>IF(AND(ISNUMBER(SEARCH("Espeto",N46)),ISNUMBER(SEARCH("Pavão",N46))),"SIM","")</f>
        <v/>
      </c>
      <c r="S46" s="99">
        <f>IF(AND(ISNUMBER(SEARCH("Espeto",N46)),ISNUMBER(SEARCH("Chac",N46))),"SIM","")</f>
        <v/>
      </c>
      <c r="T46" s="99">
        <f>IF(AND(ISNUMBER(SEARCH("Espeto",N46)),ISNUMBER(SEARCH("Madalena",N46))),"SIM","")</f>
        <v/>
      </c>
      <c r="U46" s="99">
        <f>IF(AND(ISNUMBER(SEARCH("Espeto",N46)),ISNUMBER(SEARCH("Mariana",N46))),"SIM","")</f>
        <v/>
      </c>
      <c r="V46" s="99">
        <f>IF(AND(ISNUMBER(SEARCH("Espeto",N46)),ISNUMBER(SEARCH("Perdizes",N46))),"SIM","")</f>
        <v/>
      </c>
      <c r="W46" s="99">
        <f>IF(AND(ISNUMBER(SEARCH("Espeto",N46)),ISNUMBER(SEARCH("Santana",N46))),"SIM","")</f>
        <v/>
      </c>
      <c r="X46" s="99">
        <f>IF(AND(ISNUMBER(SEARCH("Espeto",N46)),ISNUMBER(SEARCH("André",N46))),"SIM","")</f>
        <v/>
      </c>
      <c r="Y46" s="99">
        <f>IF(AND(ISNUMBER(SEARCH("Delivery",N46)),ISNUMBER(SEARCH("Carin",N46))),"SIM","")</f>
        <v/>
      </c>
      <c r="Z46" s="99">
        <f>IF(AND(ISNUMBER(SEARCH("Delivery",N46)),ISNUMBER(SEARCH("Lapa",N46))),"SIM","")</f>
        <v/>
      </c>
      <c r="AA46" s="99">
        <f>IF(AND(ISNUMBER(SEARCH("Delivery",N46)),ISNUMBER(SEARCH("Tatuapé",N46))),"SIM","")</f>
        <v/>
      </c>
      <c r="AB46" s="99">
        <f>IF(AND(ISNUMBER(SEARCH("Delivery",N46)),ISNUMBER(SEARCH("Pavão",N46))),"SIM","")</f>
        <v/>
      </c>
      <c r="AC46" s="99">
        <f>IF(AND(ISNUMBER(SEARCH("Delivery",N46)),ISNUMBER(SEARCH("Chac",N46))),"SIM","")</f>
        <v/>
      </c>
      <c r="AD46" s="99">
        <f>IF(AND(ISNUMBER(SEARCH("Delivery",N46)),ISNUMBER(SEARCH("Madalena",N46))),"SIM","")</f>
        <v/>
      </c>
      <c r="AE46" s="99">
        <f>IF(AND(ISNUMBER(SEARCH("Delivery",N46)),ISNUMBER(SEARCH("Mariana",N46))),"SIM","")</f>
        <v/>
      </c>
      <c r="AF46" s="99">
        <f>IF(AND(ISNUMBER(SEARCH("Delivery",N46)),ISNUMBER(SEARCH("Perdizes",N46))),"SIM","")</f>
        <v/>
      </c>
      <c r="AG46" s="99">
        <f>IF(AND(ISNUMBER(SEARCH("Delivery",N46)),ISNUMBER(SEARCH("Santana",N46))),"SIM","")</f>
        <v/>
      </c>
      <c r="AH46" s="99">
        <f>IF(AND(ISNUMBER(SEARCH("Delivery",N46)),ISNUMBER(SEARCH("André",N46))),"SIM","")</f>
        <v/>
      </c>
      <c r="AI46" s="99">
        <f>IF(ISNUMBER(SEARCH("Interlagos",N46)),"SIM","")</f>
        <v/>
      </c>
      <c r="AJ46" s="99">
        <f>IF(ISNUMBER(SEARCH("Quiosque",N46)),"SIM","")</f>
        <v/>
      </c>
      <c r="AK46" s="101" t="n"/>
    </row>
    <row r="47">
      <c r="A47" s="88" t="inlineStr">
        <is>
          <t>Protheus</t>
        </is>
      </c>
      <c r="B47" s="96" t="inlineStr">
        <is>
          <t>000071</t>
        </is>
      </c>
      <c r="C47" s="190">
        <f>IF(B47="—","—",IFERROR(VLOOKUP(B47,_Protheus_Cadastro!$A:$B,2,FALSE),"—"))</f>
        <v/>
      </c>
      <c r="D47" s="98">
        <f>IF(B47="—",IFERROR(INDEX(_ZIG_Cadastro!$D:$D,MATCH(H47,_ZIG_Cadastro!$A:$A,0)),"Produto"),IFERROR(VLOOKUP(B47,_Protheus_Cadastro!$A:$C,3,FALSE),"—"))</f>
        <v/>
      </c>
      <c r="E47" s="98">
        <f>IF(B47="—","—",IFERROR(VLOOKUP(B47,_Protheus_Cadastro!$A:$D,4,FALSE),"—"))</f>
        <v/>
      </c>
      <c r="F47" s="98">
        <f>IF(ISERROR(VLOOKUP(B47,'Estrutura Protheus'!A:A,1,FALSE)),"Não","Sim")</f>
        <v/>
      </c>
      <c r="G47" s="99">
        <f>IFERROR(INDEX(_Protheus_Cadastro!$H:$H,MATCH(B47,_Protheus_Cadastro!$A:$A,0)),"—")</f>
        <v/>
      </c>
      <c r="H47" s="211">
        <f>IFERROR(INDEX(_ZIG_Precos!$D:$D,MATCH(I47,_ZIG_Precos!$F:$F,0)),"—")</f>
        <v/>
      </c>
      <c r="I47" s="103">
        <f>IFERROR(VLOOKUP(B47,_Protheus_Cadastro!$A:$I,9,FALSE),"—")</f>
        <v/>
      </c>
      <c r="J47" s="101">
        <f>IFERROR(INDEX(_ZIG_Cadastro!$B:$B,MATCH(I47,_ZIG_Cadastro!$A:$A,0)),IFERROR(INDEX(_Entradas_ZIG!$B:$B,MATCH(I47,_Entradas_ZIG!$C:$C,0)),"—"))</f>
        <v/>
      </c>
      <c r="K47" s="101">
        <f>IFERROR(INDEX(_ZIG_Cadastro!$C:$C,MATCH(I47,_ZIG_Cadastro!$A:$A,0)),IFERROR(INDEX(_Entradas_ZIG!$D:$D,MATCH(I47,_Entradas_ZIG!$C:$C,0)),"—"))</f>
        <v/>
      </c>
      <c r="L47" s="99">
        <f>IF(I47="","Sem SKU ZIG",IF(I47="—","Sem SKU ZIG",IF(NOT(ISERROR(MATCH(I47,_ZIG_Cadastro!$A:$A,0))),IF(EXACT(UPPER(TRIM(C47)),UPPER(TRIM(INDEX(_ZIG_Cadastro!$B:$B,MATCH(I47,_ZIG_Cadastro!$A:$A,0))))),"OK","Atencao - Nome diverge"),IF(NOT(ISERROR(MATCH(I47,_Entradas_ZIG!$C:$C,0))),"OK","Erro - SKU nao encontrado"))))</f>
        <v/>
      </c>
      <c r="M47" s="99">
        <f>IFERROR(INDEX(_ZIG_Cadastro!$G:$G,MATCH(I47,_ZIG_Cadastro!$A:$A,0)),IF(NOT(ISERROR(MATCH(I47,_Entradas_ZIG!$C:$C,0))),"Ativo","—"))</f>
        <v/>
      </c>
      <c r="N47" s="102">
        <f>IFERROR(INDEX(_ZIG_Cadastro!$E:$E,MATCH(I47,_ZIG_Cadastro!$A:$A,0)),IFERROR(INDEX(_Entradas_ZIG!$F:$F,MATCH(I47,_Entradas_ZIG!$C:$C,0)),"—"))</f>
        <v/>
      </c>
      <c r="O47" s="99">
        <f>IF(AND(ISNUMBER(SEARCH("Espeto",N47)),ISNUMBER(SEARCH("Carin",N47))),"SIM","")</f>
        <v/>
      </c>
      <c r="P47" s="99">
        <f>IF(AND(ISNUMBER(SEARCH("Espeto",N47)),ISNUMBER(SEARCH("Lapa",N47))),"SIM","")</f>
        <v/>
      </c>
      <c r="Q47" s="99">
        <f>IF(AND(ISNUMBER(SEARCH("Espeto",N47)),ISNUMBER(SEARCH("Tatuapé",N47))),"SIM","")</f>
        <v/>
      </c>
      <c r="R47" s="99">
        <f>IF(AND(ISNUMBER(SEARCH("Espeto",N47)),ISNUMBER(SEARCH("Pavão",N47))),"SIM","")</f>
        <v/>
      </c>
      <c r="S47" s="99">
        <f>IF(AND(ISNUMBER(SEARCH("Espeto",N47)),ISNUMBER(SEARCH("Chac",N47))),"SIM","")</f>
        <v/>
      </c>
      <c r="T47" s="99">
        <f>IF(AND(ISNUMBER(SEARCH("Espeto",N47)),ISNUMBER(SEARCH("Madalena",N47))),"SIM","")</f>
        <v/>
      </c>
      <c r="U47" s="99">
        <f>IF(AND(ISNUMBER(SEARCH("Espeto",N47)),ISNUMBER(SEARCH("Mariana",N47))),"SIM","")</f>
        <v/>
      </c>
      <c r="V47" s="99">
        <f>IF(AND(ISNUMBER(SEARCH("Espeto",N47)),ISNUMBER(SEARCH("Perdizes",N47))),"SIM","")</f>
        <v/>
      </c>
      <c r="W47" s="99">
        <f>IF(AND(ISNUMBER(SEARCH("Espeto",N47)),ISNUMBER(SEARCH("Santana",N47))),"SIM","")</f>
        <v/>
      </c>
      <c r="X47" s="99">
        <f>IF(AND(ISNUMBER(SEARCH("Espeto",N47)),ISNUMBER(SEARCH("André",N47))),"SIM","")</f>
        <v/>
      </c>
      <c r="Y47" s="99">
        <f>IF(AND(ISNUMBER(SEARCH("Delivery",N47)),ISNUMBER(SEARCH("Carin",N47))),"SIM","")</f>
        <v/>
      </c>
      <c r="Z47" s="99">
        <f>IF(AND(ISNUMBER(SEARCH("Delivery",N47)),ISNUMBER(SEARCH("Lapa",N47))),"SIM","")</f>
        <v/>
      </c>
      <c r="AA47" s="99">
        <f>IF(AND(ISNUMBER(SEARCH("Delivery",N47)),ISNUMBER(SEARCH("Tatuapé",N47))),"SIM","")</f>
        <v/>
      </c>
      <c r="AB47" s="99">
        <f>IF(AND(ISNUMBER(SEARCH("Delivery",N47)),ISNUMBER(SEARCH("Pavão",N47))),"SIM","")</f>
        <v/>
      </c>
      <c r="AC47" s="99">
        <f>IF(AND(ISNUMBER(SEARCH("Delivery",N47)),ISNUMBER(SEARCH("Chac",N47))),"SIM","")</f>
        <v/>
      </c>
      <c r="AD47" s="99">
        <f>IF(AND(ISNUMBER(SEARCH("Delivery",N47)),ISNUMBER(SEARCH("Madalena",N47))),"SIM","")</f>
        <v/>
      </c>
      <c r="AE47" s="99">
        <f>IF(AND(ISNUMBER(SEARCH("Delivery",N47)),ISNUMBER(SEARCH("Mariana",N47))),"SIM","")</f>
        <v/>
      </c>
      <c r="AF47" s="99">
        <f>IF(AND(ISNUMBER(SEARCH("Delivery",N47)),ISNUMBER(SEARCH("Perdizes",N47))),"SIM","")</f>
        <v/>
      </c>
      <c r="AG47" s="99">
        <f>IF(AND(ISNUMBER(SEARCH("Delivery",N47)),ISNUMBER(SEARCH("Santana",N47))),"SIM","")</f>
        <v/>
      </c>
      <c r="AH47" s="99">
        <f>IF(AND(ISNUMBER(SEARCH("Delivery",N47)),ISNUMBER(SEARCH("André",N47))),"SIM","")</f>
        <v/>
      </c>
      <c r="AI47" s="99">
        <f>IF(ISNUMBER(SEARCH("Interlagos",N47)),"SIM","")</f>
        <v/>
      </c>
      <c r="AJ47" s="99">
        <f>IF(ISNUMBER(SEARCH("Quiosque",N47)),"SIM","")</f>
        <v/>
      </c>
      <c r="AK47" s="101" t="n"/>
    </row>
    <row r="48">
      <c r="A48" s="88" t="inlineStr">
        <is>
          <t>Protheus</t>
        </is>
      </c>
      <c r="B48" s="89" t="inlineStr">
        <is>
          <t>000031</t>
        </is>
      </c>
      <c r="C48" s="90">
        <f>IF(B48="—","—",IFERROR(VLOOKUP(B48,_Protheus_Cadastro!$A:$B,2,FALSE),"—"))</f>
        <v/>
      </c>
      <c r="D48" s="91">
        <f>IF(B48="—",IFERROR(INDEX(_ZIG_Cadastro!$D:$D,MATCH(H48,_ZIG_Cadastro!$A:$A,0)),"Produto"),IFERROR(VLOOKUP(B48,_Protheus_Cadastro!$A:$C,3,FALSE),"—"))</f>
        <v/>
      </c>
      <c r="E48" s="91">
        <f>IF(B48="—","—",IFERROR(VLOOKUP(B48,_Protheus_Cadastro!$A:$D,4,FALSE),"—"))</f>
        <v/>
      </c>
      <c r="F48" s="91">
        <f>IF(ISERROR(VLOOKUP(B48,'Estrutura Protheus'!A:A,1,FALSE)),"Não","Sim")</f>
        <v/>
      </c>
      <c r="G48" s="92">
        <f>IFERROR(INDEX(_Protheus_Cadastro!$H:$H,MATCH(B48,_Protheus_Cadastro!$A:$A,0)),"—")</f>
        <v/>
      </c>
      <c r="H48" s="210">
        <f>IFERROR(INDEX(_ZIG_Precos!$D:$D,MATCH(I48,_ZIG_Precos!$F:$F,0)),"—")</f>
        <v/>
      </c>
      <c r="I48" s="95">
        <f>IFERROR(VLOOKUP(B48,_Protheus_Cadastro!$A:$I,9,FALSE),"—")</f>
        <v/>
      </c>
      <c r="J48" s="93">
        <f>IFERROR(INDEX(_ZIG_Cadastro!$B:$B,MATCH(I48,_ZIG_Cadastro!$A:$A,0)),IFERROR(INDEX(_Entradas_ZIG!$B:$B,MATCH(I48,_Entradas_ZIG!$C:$C,0)),"—"))</f>
        <v/>
      </c>
      <c r="K48" s="93">
        <f>IFERROR(INDEX(_ZIG_Cadastro!$C:$C,MATCH(I48,_ZIG_Cadastro!$A:$A,0)),IFERROR(INDEX(_Entradas_ZIG!$D:$D,MATCH(I48,_Entradas_ZIG!$C:$C,0)),"—"))</f>
        <v/>
      </c>
      <c r="L48" s="92">
        <f>IF(I48="","Sem SKU ZIG",IF(I48="—","Sem SKU ZIG",IF(NOT(ISERROR(MATCH(I48,_ZIG_Cadastro!$A:$A,0))),IF(EXACT(UPPER(TRIM(C48)),UPPER(TRIM(INDEX(_ZIG_Cadastro!$B:$B,MATCH(I48,_ZIG_Cadastro!$A:$A,0))))),"OK","Atencao - Nome diverge"),IF(NOT(ISERROR(MATCH(I48,_Entradas_ZIG!$C:$C,0))),"OK","Erro - SKU nao encontrado"))))</f>
        <v/>
      </c>
      <c r="M48" s="92">
        <f>IFERROR(INDEX(_ZIG_Cadastro!$G:$G,MATCH(I48,_ZIG_Cadastro!$A:$A,0)),IF(NOT(ISERROR(MATCH(I48,_Entradas_ZIG!$C:$C,0))),"Ativo","—"))</f>
        <v/>
      </c>
      <c r="N48" s="94">
        <f>IFERROR(INDEX(_ZIG_Cadastro!$E:$E,MATCH(I48,_ZIG_Cadastro!$A:$A,0)),IFERROR(INDEX(_Entradas_ZIG!$F:$F,MATCH(I48,_Entradas_ZIG!$C:$C,0)),"—"))</f>
        <v/>
      </c>
      <c r="O48" s="92">
        <f>IF(AND(ISNUMBER(SEARCH("Espeto",N48)),ISNUMBER(SEARCH("Carin",N48))),"SIM","")</f>
        <v/>
      </c>
      <c r="P48" s="92">
        <f>IF(AND(ISNUMBER(SEARCH("Espeto",N48)),ISNUMBER(SEARCH("Lapa",N48))),"SIM","")</f>
        <v/>
      </c>
      <c r="Q48" s="92">
        <f>IF(AND(ISNUMBER(SEARCH("Espeto",N48)),ISNUMBER(SEARCH("Tatuapé",N48))),"SIM","")</f>
        <v/>
      </c>
      <c r="R48" s="92">
        <f>IF(AND(ISNUMBER(SEARCH("Espeto",N48)),ISNUMBER(SEARCH("Pavão",N48))),"SIM","")</f>
        <v/>
      </c>
      <c r="S48" s="92">
        <f>IF(AND(ISNUMBER(SEARCH("Espeto",N48)),ISNUMBER(SEARCH("Chac",N48))),"SIM","")</f>
        <v/>
      </c>
      <c r="T48" s="92">
        <f>IF(AND(ISNUMBER(SEARCH("Espeto",N48)),ISNUMBER(SEARCH("Madalena",N48))),"SIM","")</f>
        <v/>
      </c>
      <c r="U48" s="92">
        <f>IF(AND(ISNUMBER(SEARCH("Espeto",N48)),ISNUMBER(SEARCH("Mariana",N48))),"SIM","")</f>
        <v/>
      </c>
      <c r="V48" s="92">
        <f>IF(AND(ISNUMBER(SEARCH("Espeto",N48)),ISNUMBER(SEARCH("Perdizes",N48))),"SIM","")</f>
        <v/>
      </c>
      <c r="W48" s="92">
        <f>IF(AND(ISNUMBER(SEARCH("Espeto",N48)),ISNUMBER(SEARCH("Santana",N48))),"SIM","")</f>
        <v/>
      </c>
      <c r="X48" s="92">
        <f>IF(AND(ISNUMBER(SEARCH("Espeto",N48)),ISNUMBER(SEARCH("André",N48))),"SIM","")</f>
        <v/>
      </c>
      <c r="Y48" s="92">
        <f>IF(AND(ISNUMBER(SEARCH("Delivery",N48)),ISNUMBER(SEARCH("Carin",N48))),"SIM","")</f>
        <v/>
      </c>
      <c r="Z48" s="92">
        <f>IF(AND(ISNUMBER(SEARCH("Delivery",N48)),ISNUMBER(SEARCH("Lapa",N48))),"SIM","")</f>
        <v/>
      </c>
      <c r="AA48" s="92">
        <f>IF(AND(ISNUMBER(SEARCH("Delivery",N48)),ISNUMBER(SEARCH("Tatuapé",N48))),"SIM","")</f>
        <v/>
      </c>
      <c r="AB48" s="92">
        <f>IF(AND(ISNUMBER(SEARCH("Delivery",N48)),ISNUMBER(SEARCH("Pavão",N48))),"SIM","")</f>
        <v/>
      </c>
      <c r="AC48" s="92">
        <f>IF(AND(ISNUMBER(SEARCH("Delivery",N48)),ISNUMBER(SEARCH("Chac",N48))),"SIM","")</f>
        <v/>
      </c>
      <c r="AD48" s="92">
        <f>IF(AND(ISNUMBER(SEARCH("Delivery",N48)),ISNUMBER(SEARCH("Madalena",N48))),"SIM","")</f>
        <v/>
      </c>
      <c r="AE48" s="92">
        <f>IF(AND(ISNUMBER(SEARCH("Delivery",N48)),ISNUMBER(SEARCH("Mariana",N48))),"SIM","")</f>
        <v/>
      </c>
      <c r="AF48" s="92">
        <f>IF(AND(ISNUMBER(SEARCH("Delivery",N48)),ISNUMBER(SEARCH("Perdizes",N48))),"SIM","")</f>
        <v/>
      </c>
      <c r="AG48" s="92">
        <f>IF(AND(ISNUMBER(SEARCH("Delivery",N48)),ISNUMBER(SEARCH("Santana",N48))),"SIM","")</f>
        <v/>
      </c>
      <c r="AH48" s="92">
        <f>IF(AND(ISNUMBER(SEARCH("Delivery",N48)),ISNUMBER(SEARCH("André",N48))),"SIM","")</f>
        <v/>
      </c>
      <c r="AI48" s="92">
        <f>IF(ISNUMBER(SEARCH("Interlagos",N48)),"SIM","")</f>
        <v/>
      </c>
      <c r="AJ48" s="92">
        <f>IF(ISNUMBER(SEARCH("Quiosque",N48)),"SIM","")</f>
        <v/>
      </c>
      <c r="AK48" s="93" t="n"/>
    </row>
    <row r="49">
      <c r="A49" s="88" t="inlineStr">
        <is>
          <t>Protheus</t>
        </is>
      </c>
      <c r="B49" s="96" t="inlineStr">
        <is>
          <t>010356</t>
        </is>
      </c>
      <c r="C49" s="97">
        <f>IF(B49="—","—",IFERROR(VLOOKUP(B49,_Protheus_Cadastro!$A:$B,2,FALSE),"—"))</f>
        <v/>
      </c>
      <c r="D49" s="98">
        <f>IF(B49="—",IFERROR(INDEX(_ZIG_Cadastro!$D:$D,MATCH(H49,_ZIG_Cadastro!$A:$A,0)),"Produto"),IFERROR(VLOOKUP(B49,_Protheus_Cadastro!$A:$C,3,FALSE),"—"))</f>
        <v/>
      </c>
      <c r="E49" s="98">
        <f>IF(B49="—","—",IFERROR(VLOOKUP(B49,_Protheus_Cadastro!$A:$D,4,FALSE),"—"))</f>
        <v/>
      </c>
      <c r="F49" s="98">
        <f>IF(ISERROR(VLOOKUP(B49,'Estrutura Protheus'!A:A,1,FALSE)),"Não","Sim")</f>
        <v/>
      </c>
      <c r="G49" s="99">
        <f>IFERROR(INDEX(_Protheus_Cadastro!$H:$H,MATCH(B49,_Protheus_Cadastro!$A:$A,0)),"—")</f>
        <v/>
      </c>
      <c r="H49" s="211">
        <f>IFERROR(INDEX(_ZIG_Precos!$D:$D,MATCH(I49,_ZIG_Precos!$F:$F,0)),"—")</f>
        <v/>
      </c>
      <c r="I49" s="103">
        <f>IFERROR(VLOOKUP(B49,_Protheus_Cadastro!$A:$I,9,FALSE),"—")</f>
        <v/>
      </c>
      <c r="J49" s="101">
        <f>IFERROR(INDEX(_ZIG_Cadastro!$B:$B,MATCH(I49,_ZIG_Cadastro!$A:$A,0)),IFERROR(INDEX(_Entradas_ZIG!$B:$B,MATCH(I49,_Entradas_ZIG!$C:$C,0)),"—"))</f>
        <v/>
      </c>
      <c r="K49" s="101">
        <f>IFERROR(INDEX(_ZIG_Cadastro!$C:$C,MATCH(I49,_ZIG_Cadastro!$A:$A,0)),IFERROR(INDEX(_Entradas_ZIG!$D:$D,MATCH(I49,_Entradas_ZIG!$C:$C,0)),"—"))</f>
        <v/>
      </c>
      <c r="L49" s="99">
        <f>IF(I49="","Sem SKU ZIG",IF(I49="—","Sem SKU ZIG",IF(NOT(ISERROR(MATCH(I49,_ZIG_Cadastro!$A:$A,0))),IF(EXACT(UPPER(TRIM(C49)),UPPER(TRIM(INDEX(_ZIG_Cadastro!$B:$B,MATCH(I49,_ZIG_Cadastro!$A:$A,0))))),"OK","Atencao - Nome diverge"),IF(NOT(ISERROR(MATCH(I49,_Entradas_ZIG!$C:$C,0))),"OK","Erro - SKU nao encontrado"))))</f>
        <v/>
      </c>
      <c r="M49" s="99">
        <f>IFERROR(INDEX(_ZIG_Cadastro!$G:$G,MATCH(I49,_ZIG_Cadastro!$A:$A,0)),IF(NOT(ISERROR(MATCH(I49,_Entradas_ZIG!$C:$C,0))),"Ativo","—"))</f>
        <v/>
      </c>
      <c r="N49" s="102">
        <f>IFERROR(INDEX(_ZIG_Cadastro!$E:$E,MATCH(I49,_ZIG_Cadastro!$A:$A,0)),IFERROR(INDEX(_Entradas_ZIG!$F:$F,MATCH(I49,_Entradas_ZIG!$C:$C,0)),"—"))</f>
        <v/>
      </c>
      <c r="O49" s="99">
        <f>IF(AND(ISNUMBER(SEARCH("Espeto",N49)),ISNUMBER(SEARCH("Carin",N49))),"SIM","")</f>
        <v/>
      </c>
      <c r="P49" s="99">
        <f>IF(AND(ISNUMBER(SEARCH("Espeto",N49)),ISNUMBER(SEARCH("Lapa",N49))),"SIM","")</f>
        <v/>
      </c>
      <c r="Q49" s="99">
        <f>IF(AND(ISNUMBER(SEARCH("Espeto",N49)),ISNUMBER(SEARCH("Tatuapé",N49))),"SIM","")</f>
        <v/>
      </c>
      <c r="R49" s="99">
        <f>IF(AND(ISNUMBER(SEARCH("Espeto",N49)),ISNUMBER(SEARCH("Pavão",N49))),"SIM","")</f>
        <v/>
      </c>
      <c r="S49" s="99">
        <f>IF(AND(ISNUMBER(SEARCH("Espeto",N49)),ISNUMBER(SEARCH("Chac",N49))),"SIM","")</f>
        <v/>
      </c>
      <c r="T49" s="99">
        <f>IF(AND(ISNUMBER(SEARCH("Espeto",N49)),ISNUMBER(SEARCH("Madalena",N49))),"SIM","")</f>
        <v/>
      </c>
      <c r="U49" s="99">
        <f>IF(AND(ISNUMBER(SEARCH("Espeto",N49)),ISNUMBER(SEARCH("Mariana",N49))),"SIM","")</f>
        <v/>
      </c>
      <c r="V49" s="99">
        <f>IF(AND(ISNUMBER(SEARCH("Espeto",N49)),ISNUMBER(SEARCH("Perdizes",N49))),"SIM","")</f>
        <v/>
      </c>
      <c r="W49" s="99">
        <f>IF(AND(ISNUMBER(SEARCH("Espeto",N49)),ISNUMBER(SEARCH("Santana",N49))),"SIM","")</f>
        <v/>
      </c>
      <c r="X49" s="99">
        <f>IF(AND(ISNUMBER(SEARCH("Espeto",N49)),ISNUMBER(SEARCH("André",N49))),"SIM","")</f>
        <v/>
      </c>
      <c r="Y49" s="99">
        <f>IF(AND(ISNUMBER(SEARCH("Delivery",N49)),ISNUMBER(SEARCH("Carin",N49))),"SIM","")</f>
        <v/>
      </c>
      <c r="Z49" s="99">
        <f>IF(AND(ISNUMBER(SEARCH("Delivery",N49)),ISNUMBER(SEARCH("Lapa",N49))),"SIM","")</f>
        <v/>
      </c>
      <c r="AA49" s="99">
        <f>IF(AND(ISNUMBER(SEARCH("Delivery",N49)),ISNUMBER(SEARCH("Tatuapé",N49))),"SIM","")</f>
        <v/>
      </c>
      <c r="AB49" s="99">
        <f>IF(AND(ISNUMBER(SEARCH("Delivery",N49)),ISNUMBER(SEARCH("Pavão",N49))),"SIM","")</f>
        <v/>
      </c>
      <c r="AC49" s="99">
        <f>IF(AND(ISNUMBER(SEARCH("Delivery",N49)),ISNUMBER(SEARCH("Chac",N49))),"SIM","")</f>
        <v/>
      </c>
      <c r="AD49" s="99">
        <f>IF(AND(ISNUMBER(SEARCH("Delivery",N49)),ISNUMBER(SEARCH("Madalena",N49))),"SIM","")</f>
        <v/>
      </c>
      <c r="AE49" s="99">
        <f>IF(AND(ISNUMBER(SEARCH("Delivery",N49)),ISNUMBER(SEARCH("Mariana",N49))),"SIM","")</f>
        <v/>
      </c>
      <c r="AF49" s="99">
        <f>IF(AND(ISNUMBER(SEARCH("Delivery",N49)),ISNUMBER(SEARCH("Perdizes",N49))),"SIM","")</f>
        <v/>
      </c>
      <c r="AG49" s="99">
        <f>IF(AND(ISNUMBER(SEARCH("Delivery",N49)),ISNUMBER(SEARCH("Santana",N49))),"SIM","")</f>
        <v/>
      </c>
      <c r="AH49" s="99">
        <f>IF(AND(ISNUMBER(SEARCH("Delivery",N49)),ISNUMBER(SEARCH("André",N49))),"SIM","")</f>
        <v/>
      </c>
      <c r="AI49" s="99">
        <f>IF(ISNUMBER(SEARCH("Interlagos",N49)),"SIM","")</f>
        <v/>
      </c>
      <c r="AJ49" s="99">
        <f>IF(ISNUMBER(SEARCH("Quiosque",N49)),"SIM","")</f>
        <v/>
      </c>
      <c r="AK49" s="101" t="n"/>
    </row>
    <row r="50">
      <c r="A50" s="88" t="inlineStr">
        <is>
          <t>Protheus</t>
        </is>
      </c>
      <c r="B50" s="89" t="inlineStr">
        <is>
          <t>000032</t>
        </is>
      </c>
      <c r="C50" s="90">
        <f>IF(B50="—","—",IFERROR(VLOOKUP(B50,_Protheus_Cadastro!$A:$B,2,FALSE),"—"))</f>
        <v/>
      </c>
      <c r="D50" s="91">
        <f>IF(B50="—",IFERROR(INDEX(_ZIG_Cadastro!$D:$D,MATCH(H50,_ZIG_Cadastro!$A:$A,0)),"Produto"),IFERROR(VLOOKUP(B50,_Protheus_Cadastro!$A:$C,3,FALSE),"—"))</f>
        <v/>
      </c>
      <c r="E50" s="91">
        <f>IF(B50="—","—",IFERROR(VLOOKUP(B50,_Protheus_Cadastro!$A:$D,4,FALSE),"—"))</f>
        <v/>
      </c>
      <c r="F50" s="91">
        <f>IF(ISERROR(VLOOKUP(B50,'Estrutura Protheus'!A:A,1,FALSE)),"Não","Sim")</f>
        <v/>
      </c>
      <c r="G50" s="92">
        <f>IFERROR(INDEX(_Protheus_Cadastro!$H:$H,MATCH(B50,_Protheus_Cadastro!$A:$A,0)),"—")</f>
        <v/>
      </c>
      <c r="H50" s="210">
        <f>IFERROR(INDEX(_ZIG_Precos!$D:$D,MATCH(I50,_ZIG_Precos!$F:$F,0)),"—")</f>
        <v/>
      </c>
      <c r="I50" s="95">
        <f>IFERROR(VLOOKUP(B50,_Protheus_Cadastro!$A:$I,9,FALSE),"—")</f>
        <v/>
      </c>
      <c r="J50" s="93">
        <f>IFERROR(INDEX(_ZIG_Cadastro!$B:$B,MATCH(I50,_ZIG_Cadastro!$A:$A,0)),IFERROR(INDEX(_Entradas_ZIG!$B:$B,MATCH(I50,_Entradas_ZIG!$C:$C,0)),"—"))</f>
        <v/>
      </c>
      <c r="K50" s="93">
        <f>IFERROR(INDEX(_ZIG_Cadastro!$C:$C,MATCH(I50,_ZIG_Cadastro!$A:$A,0)),IFERROR(INDEX(_Entradas_ZIG!$D:$D,MATCH(I50,_Entradas_ZIG!$C:$C,0)),"—"))</f>
        <v/>
      </c>
      <c r="L50" s="92">
        <f>IF(I50="","Sem SKU ZIG",IF(I50="—","Sem SKU ZIG",IF(NOT(ISERROR(MATCH(I50,_ZIG_Cadastro!$A:$A,0))),IF(EXACT(UPPER(TRIM(C50)),UPPER(TRIM(INDEX(_ZIG_Cadastro!$B:$B,MATCH(I50,_ZIG_Cadastro!$A:$A,0))))),"OK","Atencao - Nome diverge"),IF(NOT(ISERROR(MATCH(I50,_Entradas_ZIG!$C:$C,0))),"OK","Erro - SKU nao encontrado"))))</f>
        <v/>
      </c>
      <c r="M50" s="92">
        <f>IFERROR(INDEX(_ZIG_Cadastro!$G:$G,MATCH(I50,_ZIG_Cadastro!$A:$A,0)),IF(NOT(ISERROR(MATCH(I50,_Entradas_ZIG!$C:$C,0))),"Ativo","—"))</f>
        <v/>
      </c>
      <c r="N50" s="94">
        <f>IFERROR(INDEX(_ZIG_Cadastro!$E:$E,MATCH(I50,_ZIG_Cadastro!$A:$A,0)),IFERROR(INDEX(_Entradas_ZIG!$F:$F,MATCH(I50,_Entradas_ZIG!$C:$C,0)),"—"))</f>
        <v/>
      </c>
      <c r="O50" s="92">
        <f>IF(AND(ISNUMBER(SEARCH("Espeto",N50)),ISNUMBER(SEARCH("Carin",N50))),"SIM","")</f>
        <v/>
      </c>
      <c r="P50" s="92">
        <f>IF(AND(ISNUMBER(SEARCH("Espeto",N50)),ISNUMBER(SEARCH("Lapa",N50))),"SIM","")</f>
        <v/>
      </c>
      <c r="Q50" s="92">
        <f>IF(AND(ISNUMBER(SEARCH("Espeto",N50)),ISNUMBER(SEARCH("Tatuapé",N50))),"SIM","")</f>
        <v/>
      </c>
      <c r="R50" s="92">
        <f>IF(AND(ISNUMBER(SEARCH("Espeto",N50)),ISNUMBER(SEARCH("Pavão",N50))),"SIM","")</f>
        <v/>
      </c>
      <c r="S50" s="92">
        <f>IF(AND(ISNUMBER(SEARCH("Espeto",N50)),ISNUMBER(SEARCH("Chac",N50))),"SIM","")</f>
        <v/>
      </c>
      <c r="T50" s="92">
        <f>IF(AND(ISNUMBER(SEARCH("Espeto",N50)),ISNUMBER(SEARCH("Madalena",N50))),"SIM","")</f>
        <v/>
      </c>
      <c r="U50" s="92">
        <f>IF(AND(ISNUMBER(SEARCH("Espeto",N50)),ISNUMBER(SEARCH("Mariana",N50))),"SIM","")</f>
        <v/>
      </c>
      <c r="V50" s="92">
        <f>IF(AND(ISNUMBER(SEARCH("Espeto",N50)),ISNUMBER(SEARCH("Perdizes",N50))),"SIM","")</f>
        <v/>
      </c>
      <c r="W50" s="92">
        <f>IF(AND(ISNUMBER(SEARCH("Espeto",N50)),ISNUMBER(SEARCH("Santana",N50))),"SIM","")</f>
        <v/>
      </c>
      <c r="X50" s="92">
        <f>IF(AND(ISNUMBER(SEARCH("Espeto",N50)),ISNUMBER(SEARCH("André",N50))),"SIM","")</f>
        <v/>
      </c>
      <c r="Y50" s="92">
        <f>IF(AND(ISNUMBER(SEARCH("Delivery",N50)),ISNUMBER(SEARCH("Carin",N50))),"SIM","")</f>
        <v/>
      </c>
      <c r="Z50" s="92">
        <f>IF(AND(ISNUMBER(SEARCH("Delivery",N50)),ISNUMBER(SEARCH("Lapa",N50))),"SIM","")</f>
        <v/>
      </c>
      <c r="AA50" s="92">
        <f>IF(AND(ISNUMBER(SEARCH("Delivery",N50)),ISNUMBER(SEARCH("Tatuapé",N50))),"SIM","")</f>
        <v/>
      </c>
      <c r="AB50" s="92">
        <f>IF(AND(ISNUMBER(SEARCH("Delivery",N50)),ISNUMBER(SEARCH("Pavão",N50))),"SIM","")</f>
        <v/>
      </c>
      <c r="AC50" s="92">
        <f>IF(AND(ISNUMBER(SEARCH("Delivery",N50)),ISNUMBER(SEARCH("Chac",N50))),"SIM","")</f>
        <v/>
      </c>
      <c r="AD50" s="92">
        <f>IF(AND(ISNUMBER(SEARCH("Delivery",N50)),ISNUMBER(SEARCH("Madalena",N50))),"SIM","")</f>
        <v/>
      </c>
      <c r="AE50" s="92">
        <f>IF(AND(ISNUMBER(SEARCH("Delivery",N50)),ISNUMBER(SEARCH("Mariana",N50))),"SIM","")</f>
        <v/>
      </c>
      <c r="AF50" s="92">
        <f>IF(AND(ISNUMBER(SEARCH("Delivery",N50)),ISNUMBER(SEARCH("Perdizes",N50))),"SIM","")</f>
        <v/>
      </c>
      <c r="AG50" s="92">
        <f>IF(AND(ISNUMBER(SEARCH("Delivery",N50)),ISNUMBER(SEARCH("Santana",N50))),"SIM","")</f>
        <v/>
      </c>
      <c r="AH50" s="92">
        <f>IF(AND(ISNUMBER(SEARCH("Delivery",N50)),ISNUMBER(SEARCH("André",N50))),"SIM","")</f>
        <v/>
      </c>
      <c r="AI50" s="92">
        <f>IF(ISNUMBER(SEARCH("Interlagos",N50)),"SIM","")</f>
        <v/>
      </c>
      <c r="AJ50" s="92">
        <f>IF(ISNUMBER(SEARCH("Quiosque",N50)),"SIM","")</f>
        <v/>
      </c>
      <c r="AK50" s="93" t="n"/>
    </row>
    <row r="51">
      <c r="A51" s="88" t="inlineStr">
        <is>
          <t>Protheus</t>
        </is>
      </c>
      <c r="B51" s="96" t="inlineStr">
        <is>
          <t>009594</t>
        </is>
      </c>
      <c r="C51" s="97">
        <f>IF(B51="—","—",IFERROR(VLOOKUP(B51,_Protheus_Cadastro!$A:$B,2,FALSE),"—"))</f>
        <v/>
      </c>
      <c r="D51" s="98">
        <f>IF(B51="—",IFERROR(INDEX(_ZIG_Cadastro!$D:$D,MATCH(H51,_ZIG_Cadastro!$A:$A,0)),"Produto"),IFERROR(VLOOKUP(B51,_Protheus_Cadastro!$A:$C,3,FALSE),"—"))</f>
        <v/>
      </c>
      <c r="E51" s="98">
        <f>IF(B51="—","—",IFERROR(VLOOKUP(B51,_Protheus_Cadastro!$A:$D,4,FALSE),"—"))</f>
        <v/>
      </c>
      <c r="F51" s="98">
        <f>IF(ISERROR(VLOOKUP(B51,'Estrutura Protheus'!A:A,1,FALSE)),"Não","Sim")</f>
        <v/>
      </c>
      <c r="G51" s="99">
        <f>IFERROR(INDEX(_Protheus_Cadastro!$H:$H,MATCH(B51,_Protheus_Cadastro!$A:$A,0)),"—")</f>
        <v/>
      </c>
      <c r="H51" s="211">
        <f>IFERROR(INDEX(_ZIG_Precos!$D:$D,MATCH(I51,_ZIG_Precos!$F:$F,0)),"—")</f>
        <v/>
      </c>
      <c r="I51" s="103">
        <f>IFERROR(VLOOKUP(B51,_Protheus_Cadastro!$A:$I,9,FALSE),"—")</f>
        <v/>
      </c>
      <c r="J51" s="101">
        <f>IFERROR(INDEX(_ZIG_Cadastro!$B:$B,MATCH(I51,_ZIG_Cadastro!$A:$A,0)),IFERROR(INDEX(_Entradas_ZIG!$B:$B,MATCH(I51,_Entradas_ZIG!$C:$C,0)),"—"))</f>
        <v/>
      </c>
      <c r="K51" s="101">
        <f>IFERROR(INDEX(_ZIG_Cadastro!$C:$C,MATCH(I51,_ZIG_Cadastro!$A:$A,0)),IFERROR(INDEX(_Entradas_ZIG!$D:$D,MATCH(I51,_Entradas_ZIG!$C:$C,0)),"—"))</f>
        <v/>
      </c>
      <c r="L51" s="99">
        <f>IF(I51="","Sem SKU ZIG",IF(I51="—","Sem SKU ZIG",IF(NOT(ISERROR(MATCH(I51,_ZIG_Cadastro!$A:$A,0))),IF(EXACT(UPPER(TRIM(C51)),UPPER(TRIM(INDEX(_ZIG_Cadastro!$B:$B,MATCH(I51,_ZIG_Cadastro!$A:$A,0))))),"OK","Atencao - Nome diverge"),IF(NOT(ISERROR(MATCH(I51,_Entradas_ZIG!$C:$C,0))),"OK","Erro - SKU nao encontrado"))))</f>
        <v/>
      </c>
      <c r="M51" s="99">
        <f>IFERROR(INDEX(_ZIG_Cadastro!$G:$G,MATCH(I51,_ZIG_Cadastro!$A:$A,0)),IF(NOT(ISERROR(MATCH(I51,_Entradas_ZIG!$C:$C,0))),"Ativo","—"))</f>
        <v/>
      </c>
      <c r="N51" s="102">
        <f>IFERROR(INDEX(_ZIG_Cadastro!$E:$E,MATCH(I51,_ZIG_Cadastro!$A:$A,0)),IFERROR(INDEX(_Entradas_ZIG!$F:$F,MATCH(I51,_Entradas_ZIG!$C:$C,0)),"—"))</f>
        <v/>
      </c>
      <c r="O51" s="99">
        <f>IF(AND(ISNUMBER(SEARCH("Espeto",N51)),ISNUMBER(SEARCH("Carin",N51))),"SIM","")</f>
        <v/>
      </c>
      <c r="P51" s="99">
        <f>IF(AND(ISNUMBER(SEARCH("Espeto",N51)),ISNUMBER(SEARCH("Lapa",N51))),"SIM","")</f>
        <v/>
      </c>
      <c r="Q51" s="99">
        <f>IF(AND(ISNUMBER(SEARCH("Espeto",N51)),ISNUMBER(SEARCH("Tatuapé",N51))),"SIM","")</f>
        <v/>
      </c>
      <c r="R51" s="99">
        <f>IF(AND(ISNUMBER(SEARCH("Espeto",N51)),ISNUMBER(SEARCH("Pavão",N51))),"SIM","")</f>
        <v/>
      </c>
      <c r="S51" s="99">
        <f>IF(AND(ISNUMBER(SEARCH("Espeto",N51)),ISNUMBER(SEARCH("Chac",N51))),"SIM","")</f>
        <v/>
      </c>
      <c r="T51" s="99">
        <f>IF(AND(ISNUMBER(SEARCH("Espeto",N51)),ISNUMBER(SEARCH("Madalena",N51))),"SIM","")</f>
        <v/>
      </c>
      <c r="U51" s="99">
        <f>IF(AND(ISNUMBER(SEARCH("Espeto",N51)),ISNUMBER(SEARCH("Mariana",N51))),"SIM","")</f>
        <v/>
      </c>
      <c r="V51" s="99">
        <f>IF(AND(ISNUMBER(SEARCH("Espeto",N51)),ISNUMBER(SEARCH("Perdizes",N51))),"SIM","")</f>
        <v/>
      </c>
      <c r="W51" s="99">
        <f>IF(AND(ISNUMBER(SEARCH("Espeto",N51)),ISNUMBER(SEARCH("Santana",N51))),"SIM","")</f>
        <v/>
      </c>
      <c r="X51" s="99">
        <f>IF(AND(ISNUMBER(SEARCH("Espeto",N51)),ISNUMBER(SEARCH("André",N51))),"SIM","")</f>
        <v/>
      </c>
      <c r="Y51" s="99">
        <f>IF(AND(ISNUMBER(SEARCH("Delivery",N51)),ISNUMBER(SEARCH("Carin",N51))),"SIM","")</f>
        <v/>
      </c>
      <c r="Z51" s="99">
        <f>IF(AND(ISNUMBER(SEARCH("Delivery",N51)),ISNUMBER(SEARCH("Lapa",N51))),"SIM","")</f>
        <v/>
      </c>
      <c r="AA51" s="99">
        <f>IF(AND(ISNUMBER(SEARCH("Delivery",N51)),ISNUMBER(SEARCH("Tatuapé",N51))),"SIM","")</f>
        <v/>
      </c>
      <c r="AB51" s="99">
        <f>IF(AND(ISNUMBER(SEARCH("Delivery",N51)),ISNUMBER(SEARCH("Pavão",N51))),"SIM","")</f>
        <v/>
      </c>
      <c r="AC51" s="99">
        <f>IF(AND(ISNUMBER(SEARCH("Delivery",N51)),ISNUMBER(SEARCH("Chac",N51))),"SIM","")</f>
        <v/>
      </c>
      <c r="AD51" s="99">
        <f>IF(AND(ISNUMBER(SEARCH("Delivery",N51)),ISNUMBER(SEARCH("Madalena",N51))),"SIM","")</f>
        <v/>
      </c>
      <c r="AE51" s="99">
        <f>IF(AND(ISNUMBER(SEARCH("Delivery",N51)),ISNUMBER(SEARCH("Mariana",N51))),"SIM","")</f>
        <v/>
      </c>
      <c r="AF51" s="99">
        <f>IF(AND(ISNUMBER(SEARCH("Delivery",N51)),ISNUMBER(SEARCH("Perdizes",N51))),"SIM","")</f>
        <v/>
      </c>
      <c r="AG51" s="99">
        <f>IF(AND(ISNUMBER(SEARCH("Delivery",N51)),ISNUMBER(SEARCH("Santana",N51))),"SIM","")</f>
        <v/>
      </c>
      <c r="AH51" s="99">
        <f>IF(AND(ISNUMBER(SEARCH("Delivery",N51)),ISNUMBER(SEARCH("André",N51))),"SIM","")</f>
        <v/>
      </c>
      <c r="AI51" s="99">
        <f>IF(ISNUMBER(SEARCH("Interlagos",N51)),"SIM","")</f>
        <v/>
      </c>
      <c r="AJ51" s="99">
        <f>IF(ISNUMBER(SEARCH("Quiosque",N51)),"SIM","")</f>
        <v/>
      </c>
      <c r="AK51" s="101" t="n"/>
    </row>
    <row r="52">
      <c r="A52" s="88" t="inlineStr">
        <is>
          <t>Protheus</t>
        </is>
      </c>
      <c r="B52" s="96" t="inlineStr">
        <is>
          <t>009632</t>
        </is>
      </c>
      <c r="C52" s="97">
        <f>IF(B52="—","—",IFERROR(VLOOKUP(B52,_Protheus_Cadastro!$A:$B,2,FALSE),"—"))</f>
        <v/>
      </c>
      <c r="D52" s="98">
        <f>IF(B52="—",IFERROR(INDEX(_ZIG_Cadastro!$D:$D,MATCH(H52,_ZIG_Cadastro!$A:$A,0)),"Produto"),IFERROR(VLOOKUP(B52,_Protheus_Cadastro!$A:$C,3,FALSE),"—"))</f>
        <v/>
      </c>
      <c r="E52" s="98">
        <f>IF(B52="—","—",IFERROR(VLOOKUP(B52,_Protheus_Cadastro!$A:$D,4,FALSE),"—"))</f>
        <v/>
      </c>
      <c r="F52" s="98">
        <f>IF(ISERROR(VLOOKUP(B52,'Estrutura Protheus'!A:A,1,FALSE)),"Não","Sim")</f>
        <v/>
      </c>
      <c r="G52" s="99">
        <f>IFERROR(INDEX(_Protheus_Cadastro!$H:$H,MATCH(B52,_Protheus_Cadastro!$A:$A,0)),"—")</f>
        <v/>
      </c>
      <c r="H52" s="211">
        <f>IFERROR(INDEX(_ZIG_Precos!$D:$D,MATCH(I52,_ZIG_Precos!$F:$F,0)),"—")</f>
        <v/>
      </c>
      <c r="I52" s="103">
        <f>IFERROR(VLOOKUP(B52,_Protheus_Cadastro!$A:$I,9,FALSE),"—")</f>
        <v/>
      </c>
      <c r="J52" s="101">
        <f>IFERROR(INDEX(_ZIG_Cadastro!$B:$B,MATCH(I52,_ZIG_Cadastro!$A:$A,0)),IFERROR(INDEX(_Entradas_ZIG!$B:$B,MATCH(I52,_Entradas_ZIG!$C:$C,0)),"—"))</f>
        <v/>
      </c>
      <c r="K52" s="101">
        <f>IFERROR(INDEX(_ZIG_Cadastro!$C:$C,MATCH(I52,_ZIG_Cadastro!$A:$A,0)),IFERROR(INDEX(_Entradas_ZIG!$D:$D,MATCH(I52,_Entradas_ZIG!$C:$C,0)),"—"))</f>
        <v/>
      </c>
      <c r="L52" s="99">
        <f>IF(I52="","Sem SKU ZIG",IF(I52="—","Sem SKU ZIG",IF(NOT(ISERROR(MATCH(I52,_ZIG_Cadastro!$A:$A,0))),IF(EXACT(UPPER(TRIM(C52)),UPPER(TRIM(INDEX(_ZIG_Cadastro!$B:$B,MATCH(I52,_ZIG_Cadastro!$A:$A,0))))),"OK","Atencao - Nome diverge"),IF(NOT(ISERROR(MATCH(I52,_Entradas_ZIG!$C:$C,0))),"OK","Erro - SKU nao encontrado"))))</f>
        <v/>
      </c>
      <c r="M52" s="99">
        <f>IFERROR(INDEX(_ZIG_Cadastro!$G:$G,MATCH(I52,_ZIG_Cadastro!$A:$A,0)),IF(NOT(ISERROR(MATCH(I52,_Entradas_ZIG!$C:$C,0))),"Ativo","—"))</f>
        <v/>
      </c>
      <c r="N52" s="102">
        <f>IFERROR(INDEX(_ZIG_Cadastro!$E:$E,MATCH(I52,_ZIG_Cadastro!$A:$A,0)),IFERROR(INDEX(_Entradas_ZIG!$F:$F,MATCH(I52,_Entradas_ZIG!$C:$C,0)),"—"))</f>
        <v/>
      </c>
      <c r="O52" s="99">
        <f>IF(AND(ISNUMBER(SEARCH("Espeto",N52)),ISNUMBER(SEARCH("Carin",N52))),"SIM","")</f>
        <v/>
      </c>
      <c r="P52" s="99">
        <f>IF(AND(ISNUMBER(SEARCH("Espeto",N52)),ISNUMBER(SEARCH("Lapa",N52))),"SIM","")</f>
        <v/>
      </c>
      <c r="Q52" s="99">
        <f>IF(AND(ISNUMBER(SEARCH("Espeto",N52)),ISNUMBER(SEARCH("Tatuapé",N52))),"SIM","")</f>
        <v/>
      </c>
      <c r="R52" s="99">
        <f>IF(AND(ISNUMBER(SEARCH("Espeto",N52)),ISNUMBER(SEARCH("Pavão",N52))),"SIM","")</f>
        <v/>
      </c>
      <c r="S52" s="99">
        <f>IF(AND(ISNUMBER(SEARCH("Espeto",N52)),ISNUMBER(SEARCH("Chac",N52))),"SIM","")</f>
        <v/>
      </c>
      <c r="T52" s="99">
        <f>IF(AND(ISNUMBER(SEARCH("Espeto",N52)),ISNUMBER(SEARCH("Madalena",N52))),"SIM","")</f>
        <v/>
      </c>
      <c r="U52" s="99">
        <f>IF(AND(ISNUMBER(SEARCH("Espeto",N52)),ISNUMBER(SEARCH("Mariana",N52))),"SIM","")</f>
        <v/>
      </c>
      <c r="V52" s="99">
        <f>IF(AND(ISNUMBER(SEARCH("Espeto",N52)),ISNUMBER(SEARCH("Perdizes",N52))),"SIM","")</f>
        <v/>
      </c>
      <c r="W52" s="99">
        <f>IF(AND(ISNUMBER(SEARCH("Espeto",N52)),ISNUMBER(SEARCH("Santana",N52))),"SIM","")</f>
        <v/>
      </c>
      <c r="X52" s="99">
        <f>IF(AND(ISNUMBER(SEARCH("Espeto",N52)),ISNUMBER(SEARCH("André",N52))),"SIM","")</f>
        <v/>
      </c>
      <c r="Y52" s="99">
        <f>IF(AND(ISNUMBER(SEARCH("Delivery",N52)),ISNUMBER(SEARCH("Carin",N52))),"SIM","")</f>
        <v/>
      </c>
      <c r="Z52" s="99">
        <f>IF(AND(ISNUMBER(SEARCH("Delivery",N52)),ISNUMBER(SEARCH("Lapa",N52))),"SIM","")</f>
        <v/>
      </c>
      <c r="AA52" s="99">
        <f>IF(AND(ISNUMBER(SEARCH("Delivery",N52)),ISNUMBER(SEARCH("Tatuapé",N52))),"SIM","")</f>
        <v/>
      </c>
      <c r="AB52" s="99">
        <f>IF(AND(ISNUMBER(SEARCH("Delivery",N52)),ISNUMBER(SEARCH("Pavão",N52))),"SIM","")</f>
        <v/>
      </c>
      <c r="AC52" s="99">
        <f>IF(AND(ISNUMBER(SEARCH("Delivery",N52)),ISNUMBER(SEARCH("Chac",N52))),"SIM","")</f>
        <v/>
      </c>
      <c r="AD52" s="99">
        <f>IF(AND(ISNUMBER(SEARCH("Delivery",N52)),ISNUMBER(SEARCH("Madalena",N52))),"SIM","")</f>
        <v/>
      </c>
      <c r="AE52" s="92">
        <f>IF(AND(ISNUMBER(SEARCH("Delivery",N52)),ISNUMBER(SEARCH("Mariana",N52))),"SIM","")</f>
        <v/>
      </c>
      <c r="AF52" s="92">
        <f>IF(AND(ISNUMBER(SEARCH("Delivery",N52)),ISNUMBER(SEARCH("Perdizes",N52))),"SIM","")</f>
        <v/>
      </c>
      <c r="AG52" s="92">
        <f>IF(AND(ISNUMBER(SEARCH("Delivery",N52)),ISNUMBER(SEARCH("Santana",N52))),"SIM","")</f>
        <v/>
      </c>
      <c r="AH52" s="92">
        <f>IF(AND(ISNUMBER(SEARCH("Delivery",N52)),ISNUMBER(SEARCH("André",N52))),"SIM","")</f>
        <v/>
      </c>
      <c r="AI52" s="92">
        <f>IF(ISNUMBER(SEARCH("Interlagos",N52)),"SIM","")</f>
        <v/>
      </c>
      <c r="AJ52" s="92">
        <f>IF(ISNUMBER(SEARCH("Quiosque",N52)),"SIM","")</f>
        <v/>
      </c>
      <c r="AK52" s="93" t="n"/>
    </row>
    <row r="53">
      <c r="A53" s="88" t="inlineStr">
        <is>
          <t>Protheus</t>
        </is>
      </c>
      <c r="B53" s="89" t="inlineStr">
        <is>
          <t>001511</t>
        </is>
      </c>
      <c r="C53" s="90">
        <f>IF(B53="—","—",IFERROR(VLOOKUP(B53,_Protheus_Cadastro!$A:$B,2,FALSE),"—"))</f>
        <v/>
      </c>
      <c r="D53" s="91">
        <f>IF(B53="—",IFERROR(INDEX(_ZIG_Cadastro!$D:$D,MATCH(H53,_ZIG_Cadastro!$A:$A,0)),"Produto"),IFERROR(VLOOKUP(B53,_Protheus_Cadastro!$A:$C,3,FALSE),"—"))</f>
        <v/>
      </c>
      <c r="E53" s="91">
        <f>IF(B53="—","—",IFERROR(VLOOKUP(B53,_Protheus_Cadastro!$A:$D,4,FALSE),"—"))</f>
        <v/>
      </c>
      <c r="F53" s="91">
        <f>IF(ISERROR(VLOOKUP(B53,'Estrutura Protheus'!A:A,1,FALSE)),"Não","Sim")</f>
        <v/>
      </c>
      <c r="G53" s="92">
        <f>IFERROR(INDEX(_Protheus_Cadastro!$H:$H,MATCH(B53,_Protheus_Cadastro!$A:$A,0)),"—")</f>
        <v/>
      </c>
      <c r="H53" s="210">
        <f>IFERROR(INDEX(_ZIG_Precos!$D:$D,MATCH(I53,_ZIG_Precos!$F:$F,0)),"—")</f>
        <v/>
      </c>
      <c r="I53" s="95">
        <f>IFERROR(VLOOKUP(B53,_Protheus_Cadastro!$A:$I,9,FALSE),"—")</f>
        <v/>
      </c>
      <c r="J53" s="93">
        <f>IFERROR(INDEX(_ZIG_Cadastro!$B:$B,MATCH(I53,_ZIG_Cadastro!$A:$A,0)),IFERROR(INDEX(_Entradas_ZIG!$B:$B,MATCH(I53,_Entradas_ZIG!$C:$C,0)),"—"))</f>
        <v/>
      </c>
      <c r="K53" s="93">
        <f>IFERROR(INDEX(_ZIG_Cadastro!$C:$C,MATCH(I53,_ZIG_Cadastro!$A:$A,0)),IFERROR(INDEX(_Entradas_ZIG!$D:$D,MATCH(I53,_Entradas_ZIG!$C:$C,0)),"—"))</f>
        <v/>
      </c>
      <c r="L53" s="92">
        <f>IF(I53="","Sem SKU ZIG",IF(I53="—","Sem SKU ZIG",IF(NOT(ISERROR(MATCH(I53,_ZIG_Cadastro!$A:$A,0))),IF(EXACT(UPPER(TRIM(C53)),UPPER(TRIM(INDEX(_ZIG_Cadastro!$B:$B,MATCH(I53,_ZIG_Cadastro!$A:$A,0))))),"OK","Atencao - Nome diverge"),IF(NOT(ISERROR(MATCH(I53,_Entradas_ZIG!$C:$C,0))),"OK","Erro - SKU nao encontrado"))))</f>
        <v/>
      </c>
      <c r="M53" s="92">
        <f>IFERROR(INDEX(_ZIG_Cadastro!$G:$G,MATCH(I53,_ZIG_Cadastro!$A:$A,0)),IF(NOT(ISERROR(MATCH(I53,_Entradas_ZIG!$C:$C,0))),"Ativo","—"))</f>
        <v/>
      </c>
      <c r="N53" s="94">
        <f>IFERROR(INDEX(_ZIG_Cadastro!$E:$E,MATCH(I53,_ZIG_Cadastro!$A:$A,0)),IFERROR(INDEX(_Entradas_ZIG!$F:$F,MATCH(I53,_Entradas_ZIG!$C:$C,0)),"—"))</f>
        <v/>
      </c>
      <c r="O53" s="92">
        <f>IF(AND(ISNUMBER(SEARCH("Espeto",N53)),ISNUMBER(SEARCH("Carin",N53))),"SIM","")</f>
        <v/>
      </c>
      <c r="P53" s="92">
        <f>IF(AND(ISNUMBER(SEARCH("Espeto",N53)),ISNUMBER(SEARCH("Lapa",N53))),"SIM","")</f>
        <v/>
      </c>
      <c r="Q53" s="92">
        <f>IF(AND(ISNUMBER(SEARCH("Espeto",N53)),ISNUMBER(SEARCH("Tatuapé",N53))),"SIM","")</f>
        <v/>
      </c>
      <c r="R53" s="92">
        <f>IF(AND(ISNUMBER(SEARCH("Espeto",N53)),ISNUMBER(SEARCH("Pavão",N53))),"SIM","")</f>
        <v/>
      </c>
      <c r="S53" s="92">
        <f>IF(AND(ISNUMBER(SEARCH("Espeto",N53)),ISNUMBER(SEARCH("Chac",N53))),"SIM","")</f>
        <v/>
      </c>
      <c r="T53" s="92">
        <f>IF(AND(ISNUMBER(SEARCH("Espeto",N53)),ISNUMBER(SEARCH("Madalena",N53))),"SIM","")</f>
        <v/>
      </c>
      <c r="U53" s="92">
        <f>IF(AND(ISNUMBER(SEARCH("Espeto",N53)),ISNUMBER(SEARCH("Mariana",N53))),"SIM","")</f>
        <v/>
      </c>
      <c r="V53" s="92">
        <f>IF(AND(ISNUMBER(SEARCH("Espeto",N53)),ISNUMBER(SEARCH("Perdizes",N53))),"SIM","")</f>
        <v/>
      </c>
      <c r="W53" s="92">
        <f>IF(AND(ISNUMBER(SEARCH("Espeto",N53)),ISNUMBER(SEARCH("Santana",N53))),"SIM","")</f>
        <v/>
      </c>
      <c r="X53" s="92">
        <f>IF(AND(ISNUMBER(SEARCH("Espeto",N53)),ISNUMBER(SEARCH("André",N53))),"SIM","")</f>
        <v/>
      </c>
      <c r="Y53" s="92">
        <f>IF(AND(ISNUMBER(SEARCH("Delivery",N53)),ISNUMBER(SEARCH("Carin",N53))),"SIM","")</f>
        <v/>
      </c>
      <c r="Z53" s="92">
        <f>IF(AND(ISNUMBER(SEARCH("Delivery",N53)),ISNUMBER(SEARCH("Lapa",N53))),"SIM","")</f>
        <v/>
      </c>
      <c r="AA53" s="92">
        <f>IF(AND(ISNUMBER(SEARCH("Delivery",N53)),ISNUMBER(SEARCH("Tatuapé",N53))),"SIM","")</f>
        <v/>
      </c>
      <c r="AB53" s="92">
        <f>IF(AND(ISNUMBER(SEARCH("Delivery",N53)),ISNUMBER(SEARCH("Pavão",N53))),"SIM","")</f>
        <v/>
      </c>
      <c r="AC53" s="92">
        <f>IF(AND(ISNUMBER(SEARCH("Delivery",N53)),ISNUMBER(SEARCH("Chac",N53))),"SIM","")</f>
        <v/>
      </c>
      <c r="AD53" s="92">
        <f>IF(AND(ISNUMBER(SEARCH("Delivery",N53)),ISNUMBER(SEARCH("Madalena",N53))),"SIM","")</f>
        <v/>
      </c>
      <c r="AE53" s="99">
        <f>IF(AND(ISNUMBER(SEARCH("Delivery",N53)),ISNUMBER(SEARCH("Mariana",N53))),"SIM","")</f>
        <v/>
      </c>
      <c r="AF53" s="99">
        <f>IF(AND(ISNUMBER(SEARCH("Delivery",N53)),ISNUMBER(SEARCH("Perdizes",N53))),"SIM","")</f>
        <v/>
      </c>
      <c r="AG53" s="99">
        <f>IF(AND(ISNUMBER(SEARCH("Delivery",N53)),ISNUMBER(SEARCH("Santana",N53))),"SIM","")</f>
        <v/>
      </c>
      <c r="AH53" s="99">
        <f>IF(AND(ISNUMBER(SEARCH("Delivery",N53)),ISNUMBER(SEARCH("André",N53))),"SIM","")</f>
        <v/>
      </c>
      <c r="AI53" s="99">
        <f>IF(ISNUMBER(SEARCH("Interlagos",N53)),"SIM","")</f>
        <v/>
      </c>
      <c r="AJ53" s="99">
        <f>IF(ISNUMBER(SEARCH("Quiosque",N53)),"SIM","")</f>
        <v/>
      </c>
      <c r="AK53" s="101" t="n"/>
    </row>
    <row r="54">
      <c r="A54" s="88" t="inlineStr">
        <is>
          <t>Protheus</t>
        </is>
      </c>
      <c r="B54" s="89" t="inlineStr">
        <is>
          <t>001029</t>
        </is>
      </c>
      <c r="C54" s="90">
        <f>IF(B54="—","—",IFERROR(VLOOKUP(B54,_Protheus_Cadastro!$A:$B,2,FALSE),"—"))</f>
        <v/>
      </c>
      <c r="D54" s="91">
        <f>IF(B54="—",IFERROR(INDEX(_ZIG_Cadastro!$D:$D,MATCH(H54,_ZIG_Cadastro!$A:$A,0)),"Produto"),IFERROR(VLOOKUP(B54,_Protheus_Cadastro!$A:$C,3,FALSE),"—"))</f>
        <v/>
      </c>
      <c r="E54" s="91">
        <f>IF(B54="—","—",IFERROR(VLOOKUP(B54,_Protheus_Cadastro!$A:$D,4,FALSE),"—"))</f>
        <v/>
      </c>
      <c r="F54" s="91">
        <f>IF(ISERROR(VLOOKUP(B54,'Estrutura Protheus'!A:A,1,FALSE)),"Não","Sim")</f>
        <v/>
      </c>
      <c r="G54" s="92">
        <f>IFERROR(INDEX(_Protheus_Cadastro!$H:$H,MATCH(B54,_Protheus_Cadastro!$A:$A,0)),"—")</f>
        <v/>
      </c>
      <c r="H54" s="210">
        <f>IFERROR(INDEX(_ZIG_Precos!$D:$D,MATCH(I54,_ZIG_Precos!$F:$F,0)),"—")</f>
        <v/>
      </c>
      <c r="I54" s="95">
        <f>IFERROR(VLOOKUP(B54,_Protheus_Cadastro!$A:$I,9,FALSE),"—")</f>
        <v/>
      </c>
      <c r="J54" s="93">
        <f>IFERROR(INDEX(_ZIG_Cadastro!$B:$B,MATCH(I54,_ZIG_Cadastro!$A:$A,0)),IFERROR(INDEX(_Entradas_ZIG!$B:$B,MATCH(I54,_Entradas_ZIG!$C:$C,0)),"—"))</f>
        <v/>
      </c>
      <c r="K54" s="93">
        <f>IFERROR(INDEX(_ZIG_Cadastro!$C:$C,MATCH(I54,_ZIG_Cadastro!$A:$A,0)),IFERROR(INDEX(_Entradas_ZIG!$D:$D,MATCH(I54,_Entradas_ZIG!$C:$C,0)),"—"))</f>
        <v/>
      </c>
      <c r="L54" s="92">
        <f>IF(I54="","Sem SKU ZIG",IF(I54="—","Sem SKU ZIG",IF(NOT(ISERROR(MATCH(I54,_ZIG_Cadastro!$A:$A,0))),IF(EXACT(UPPER(TRIM(C54)),UPPER(TRIM(INDEX(_ZIG_Cadastro!$B:$B,MATCH(I54,_ZIG_Cadastro!$A:$A,0))))),"OK","Atencao - Nome diverge"),IF(NOT(ISERROR(MATCH(I54,_Entradas_ZIG!$C:$C,0))),"OK","Erro - SKU nao encontrado"))))</f>
        <v/>
      </c>
      <c r="M54" s="92">
        <f>IFERROR(INDEX(_ZIG_Cadastro!$G:$G,MATCH(I54,_ZIG_Cadastro!$A:$A,0)),IF(NOT(ISERROR(MATCH(I54,_Entradas_ZIG!$C:$C,0))),"Ativo","—"))</f>
        <v/>
      </c>
      <c r="N54" s="94">
        <f>IFERROR(INDEX(_ZIG_Cadastro!$E:$E,MATCH(I54,_ZIG_Cadastro!$A:$A,0)),IFERROR(INDEX(_Entradas_ZIG!$F:$F,MATCH(I54,_Entradas_ZIG!$C:$C,0)),"—"))</f>
        <v/>
      </c>
      <c r="O54" s="92">
        <f>IF(AND(ISNUMBER(SEARCH("Espeto",N54)),ISNUMBER(SEARCH("Carin",N54))),"SIM","")</f>
        <v/>
      </c>
      <c r="P54" s="92">
        <f>IF(AND(ISNUMBER(SEARCH("Espeto",N54)),ISNUMBER(SEARCH("Lapa",N54))),"SIM","")</f>
        <v/>
      </c>
      <c r="Q54" s="92">
        <f>IF(AND(ISNUMBER(SEARCH("Espeto",N54)),ISNUMBER(SEARCH("Tatuapé",N54))),"SIM","")</f>
        <v/>
      </c>
      <c r="R54" s="92">
        <f>IF(AND(ISNUMBER(SEARCH("Espeto",N54)),ISNUMBER(SEARCH("Pavão",N54))),"SIM","")</f>
        <v/>
      </c>
      <c r="S54" s="92">
        <f>IF(AND(ISNUMBER(SEARCH("Espeto",N54)),ISNUMBER(SEARCH("Chac",N54))),"SIM","")</f>
        <v/>
      </c>
      <c r="T54" s="92">
        <f>IF(AND(ISNUMBER(SEARCH("Espeto",N54)),ISNUMBER(SEARCH("Madalena",N54))),"SIM","")</f>
        <v/>
      </c>
      <c r="U54" s="92">
        <f>IF(AND(ISNUMBER(SEARCH("Espeto",N54)),ISNUMBER(SEARCH("Mariana",N54))),"SIM","")</f>
        <v/>
      </c>
      <c r="V54" s="92">
        <f>IF(AND(ISNUMBER(SEARCH("Espeto",N54)),ISNUMBER(SEARCH("Perdizes",N54))),"SIM","")</f>
        <v/>
      </c>
      <c r="W54" s="92">
        <f>IF(AND(ISNUMBER(SEARCH("Espeto",N54)),ISNUMBER(SEARCH("Santana",N54))),"SIM","")</f>
        <v/>
      </c>
      <c r="X54" s="92">
        <f>IF(AND(ISNUMBER(SEARCH("Espeto",N54)),ISNUMBER(SEARCH("André",N54))),"SIM","")</f>
        <v/>
      </c>
      <c r="Y54" s="92">
        <f>IF(AND(ISNUMBER(SEARCH("Delivery",N54)),ISNUMBER(SEARCH("Carin",N54))),"SIM","")</f>
        <v/>
      </c>
      <c r="Z54" s="92">
        <f>IF(AND(ISNUMBER(SEARCH("Delivery",N54)),ISNUMBER(SEARCH("Lapa",N54))),"SIM","")</f>
        <v/>
      </c>
      <c r="AA54" s="92">
        <f>IF(AND(ISNUMBER(SEARCH("Delivery",N54)),ISNUMBER(SEARCH("Tatuapé",N54))),"SIM","")</f>
        <v/>
      </c>
      <c r="AB54" s="92">
        <f>IF(AND(ISNUMBER(SEARCH("Delivery",N54)),ISNUMBER(SEARCH("Pavão",N54))),"SIM","")</f>
        <v/>
      </c>
      <c r="AC54" s="92">
        <f>IF(AND(ISNUMBER(SEARCH("Delivery",N54)),ISNUMBER(SEARCH("Chac",N54))),"SIM","")</f>
        <v/>
      </c>
      <c r="AD54" s="92">
        <f>IF(AND(ISNUMBER(SEARCH("Delivery",N54)),ISNUMBER(SEARCH("Madalena",N54))),"SIM","")</f>
        <v/>
      </c>
      <c r="AE54" s="92">
        <f>IF(AND(ISNUMBER(SEARCH("Delivery",N54)),ISNUMBER(SEARCH("Mariana",N54))),"SIM","")</f>
        <v/>
      </c>
      <c r="AF54" s="92">
        <f>IF(AND(ISNUMBER(SEARCH("Delivery",N54)),ISNUMBER(SEARCH("Perdizes",N54))),"SIM","")</f>
        <v/>
      </c>
      <c r="AG54" s="92">
        <f>IF(AND(ISNUMBER(SEARCH("Delivery",N54)),ISNUMBER(SEARCH("Santana",N54))),"SIM","")</f>
        <v/>
      </c>
      <c r="AH54" s="92">
        <f>IF(AND(ISNUMBER(SEARCH("Delivery",N54)),ISNUMBER(SEARCH("André",N54))),"SIM","")</f>
        <v/>
      </c>
      <c r="AI54" s="92">
        <f>IF(ISNUMBER(SEARCH("Interlagos",N54)),"SIM","")</f>
        <v/>
      </c>
      <c r="AJ54" s="92">
        <f>IF(ISNUMBER(SEARCH("Quiosque",N54)),"SIM","")</f>
        <v/>
      </c>
      <c r="AK54" s="93" t="n"/>
    </row>
    <row r="55">
      <c r="A55" s="88" t="inlineStr">
        <is>
          <t>Protheus</t>
        </is>
      </c>
      <c r="B55" s="96" t="inlineStr">
        <is>
          <t>000902</t>
        </is>
      </c>
      <c r="C55" s="97">
        <f>IF(B55="—","—",IFERROR(VLOOKUP(B55,_Protheus_Cadastro!$A:$B,2,FALSE),"—"))</f>
        <v/>
      </c>
      <c r="D55" s="98">
        <f>IF(B55="—",IFERROR(INDEX(_ZIG_Cadastro!$D:$D,MATCH(H55,_ZIG_Cadastro!$A:$A,0)),"Produto"),IFERROR(VLOOKUP(B55,_Protheus_Cadastro!$A:$C,3,FALSE),"—"))</f>
        <v/>
      </c>
      <c r="E55" s="98">
        <f>IF(B55="—","—",IFERROR(VLOOKUP(B55,_Protheus_Cadastro!$A:$D,4,FALSE),"—"))</f>
        <v/>
      </c>
      <c r="F55" s="98">
        <f>IF(ISERROR(VLOOKUP(B55,'Estrutura Protheus'!A:A,1,FALSE)),"Não","Sim")</f>
        <v/>
      </c>
      <c r="G55" s="99">
        <f>IFERROR(INDEX(_Protheus_Cadastro!$H:$H,MATCH(B55,_Protheus_Cadastro!$A:$A,0)),"—")</f>
        <v/>
      </c>
      <c r="H55" s="211">
        <f>IFERROR(INDEX(_ZIG_Precos!$D:$D,MATCH(I55,_ZIG_Precos!$F:$F,0)),"—")</f>
        <v/>
      </c>
      <c r="I55" s="103">
        <f>IFERROR(VLOOKUP(B55,_Protheus_Cadastro!$A:$I,9,FALSE),"—")</f>
        <v/>
      </c>
      <c r="J55" s="101">
        <f>IFERROR(INDEX(_ZIG_Cadastro!$B:$B,MATCH(I55,_ZIG_Cadastro!$A:$A,0)),IFERROR(INDEX(_Entradas_ZIG!$B:$B,MATCH(I55,_Entradas_ZIG!$C:$C,0)),"—"))</f>
        <v/>
      </c>
      <c r="K55" s="101">
        <f>IFERROR(INDEX(_ZIG_Cadastro!$C:$C,MATCH(I55,_ZIG_Cadastro!$A:$A,0)),IFERROR(INDEX(_Entradas_ZIG!$D:$D,MATCH(I55,_Entradas_ZIG!$C:$C,0)),"—"))</f>
        <v/>
      </c>
      <c r="L55" s="99">
        <f>IF(I55="","Sem SKU ZIG",IF(I55="—","Sem SKU ZIG",IF(NOT(ISERROR(MATCH(I55,_ZIG_Cadastro!$A:$A,0))),IF(EXACT(UPPER(TRIM(C55)),UPPER(TRIM(INDEX(_ZIG_Cadastro!$B:$B,MATCH(I55,_ZIG_Cadastro!$A:$A,0))))),"OK","Atencao - Nome diverge"),IF(NOT(ISERROR(MATCH(I55,_Entradas_ZIG!$C:$C,0))),"OK","Erro - SKU nao encontrado"))))</f>
        <v/>
      </c>
      <c r="M55" s="99">
        <f>IFERROR(INDEX(_ZIG_Cadastro!$G:$G,MATCH(I55,_ZIG_Cadastro!$A:$A,0)),IF(NOT(ISERROR(MATCH(I55,_Entradas_ZIG!$C:$C,0))),"Ativo","—"))</f>
        <v/>
      </c>
      <c r="N55" s="102">
        <f>IFERROR(INDEX(_ZIG_Cadastro!$E:$E,MATCH(I55,_ZIG_Cadastro!$A:$A,0)),IFERROR(INDEX(_Entradas_ZIG!$F:$F,MATCH(I55,_Entradas_ZIG!$C:$C,0)),"—"))</f>
        <v/>
      </c>
      <c r="O55" s="99">
        <f>IF(AND(ISNUMBER(SEARCH("Espeto",N55)),ISNUMBER(SEARCH("Carin",N55))),"SIM","")</f>
        <v/>
      </c>
      <c r="P55" s="99">
        <f>IF(AND(ISNUMBER(SEARCH("Espeto",N55)),ISNUMBER(SEARCH("Lapa",N55))),"SIM","")</f>
        <v/>
      </c>
      <c r="Q55" s="99">
        <f>IF(AND(ISNUMBER(SEARCH("Espeto",N55)),ISNUMBER(SEARCH("Tatuapé",N55))),"SIM","")</f>
        <v/>
      </c>
      <c r="R55" s="99">
        <f>IF(AND(ISNUMBER(SEARCH("Espeto",N55)),ISNUMBER(SEARCH("Pavão",N55))),"SIM","")</f>
        <v/>
      </c>
      <c r="S55" s="99">
        <f>IF(AND(ISNUMBER(SEARCH("Espeto",N55)),ISNUMBER(SEARCH("Chac",N55))),"SIM","")</f>
        <v/>
      </c>
      <c r="T55" s="99">
        <f>IF(AND(ISNUMBER(SEARCH("Espeto",N55)),ISNUMBER(SEARCH("Madalena",N55))),"SIM","")</f>
        <v/>
      </c>
      <c r="U55" s="99">
        <f>IF(AND(ISNUMBER(SEARCH("Espeto",N55)),ISNUMBER(SEARCH("Mariana",N55))),"SIM","")</f>
        <v/>
      </c>
      <c r="V55" s="99">
        <f>IF(AND(ISNUMBER(SEARCH("Espeto",N55)),ISNUMBER(SEARCH("Perdizes",N55))),"SIM","")</f>
        <v/>
      </c>
      <c r="W55" s="99">
        <f>IF(AND(ISNUMBER(SEARCH("Espeto",N55)),ISNUMBER(SEARCH("Santana",N55))),"SIM","")</f>
        <v/>
      </c>
      <c r="X55" s="99">
        <f>IF(AND(ISNUMBER(SEARCH("Espeto",N55)),ISNUMBER(SEARCH("André",N55))),"SIM","")</f>
        <v/>
      </c>
      <c r="Y55" s="99">
        <f>IF(AND(ISNUMBER(SEARCH("Delivery",N55)),ISNUMBER(SEARCH("Carin",N55))),"SIM","")</f>
        <v/>
      </c>
      <c r="Z55" s="99">
        <f>IF(AND(ISNUMBER(SEARCH("Delivery",N55)),ISNUMBER(SEARCH("Lapa",N55))),"SIM","")</f>
        <v/>
      </c>
      <c r="AA55" s="99">
        <f>IF(AND(ISNUMBER(SEARCH("Delivery",N55)),ISNUMBER(SEARCH("Tatuapé",N55))),"SIM","")</f>
        <v/>
      </c>
      <c r="AB55" s="99">
        <f>IF(AND(ISNUMBER(SEARCH("Delivery",N55)),ISNUMBER(SEARCH("Pavão",N55))),"SIM","")</f>
        <v/>
      </c>
      <c r="AC55" s="99">
        <f>IF(AND(ISNUMBER(SEARCH("Delivery",N55)),ISNUMBER(SEARCH("Chac",N55))),"SIM","")</f>
        <v/>
      </c>
      <c r="AD55" s="99">
        <f>IF(AND(ISNUMBER(SEARCH("Delivery",N55)),ISNUMBER(SEARCH("Madalena",N55))),"SIM","")</f>
        <v/>
      </c>
      <c r="AE55" s="99">
        <f>IF(AND(ISNUMBER(SEARCH("Delivery",N55)),ISNUMBER(SEARCH("Mariana",N55))),"SIM","")</f>
        <v/>
      </c>
      <c r="AF55" s="99">
        <f>IF(AND(ISNUMBER(SEARCH("Delivery",N55)),ISNUMBER(SEARCH("Perdizes",N55))),"SIM","")</f>
        <v/>
      </c>
      <c r="AG55" s="99">
        <f>IF(AND(ISNUMBER(SEARCH("Delivery",N55)),ISNUMBER(SEARCH("Santana",N55))),"SIM","")</f>
        <v/>
      </c>
      <c r="AH55" s="99">
        <f>IF(AND(ISNUMBER(SEARCH("Delivery",N55)),ISNUMBER(SEARCH("André",N55))),"SIM","")</f>
        <v/>
      </c>
      <c r="AI55" s="99">
        <f>IF(ISNUMBER(SEARCH("Interlagos",N55)),"SIM","")</f>
        <v/>
      </c>
      <c r="AJ55" s="99">
        <f>IF(ISNUMBER(SEARCH("Quiosque",N55)),"SIM","")</f>
        <v/>
      </c>
      <c r="AK55" s="101" t="n"/>
    </row>
    <row r="56">
      <c r="A56" s="88" t="inlineStr">
        <is>
          <t>Protheus</t>
        </is>
      </c>
      <c r="B56" s="89" t="inlineStr">
        <is>
          <t>009638</t>
        </is>
      </c>
      <c r="C56" s="90">
        <f>IF(B56="—","—",IFERROR(VLOOKUP(B56,_Protheus_Cadastro!$A:$B,2,FALSE),"—"))</f>
        <v/>
      </c>
      <c r="D56" s="91">
        <f>IF(B56="—",IFERROR(INDEX(_ZIG_Cadastro!$D:$D,MATCH(H56,_ZIG_Cadastro!$A:$A,0)),"Produto"),IFERROR(VLOOKUP(B56,_Protheus_Cadastro!$A:$C,3,FALSE),"—"))</f>
        <v/>
      </c>
      <c r="E56" s="91">
        <f>IF(B56="—","—",IFERROR(VLOOKUP(B56,_Protheus_Cadastro!$A:$D,4,FALSE),"—"))</f>
        <v/>
      </c>
      <c r="F56" s="91">
        <f>IF(ISERROR(VLOOKUP(B56,'Estrutura Protheus'!A:A,1,FALSE)),"Não","Sim")</f>
        <v/>
      </c>
      <c r="G56" s="92">
        <f>IFERROR(INDEX(_Protheus_Cadastro!$H:$H,MATCH(B56,_Protheus_Cadastro!$A:$A,0)),"—")</f>
        <v/>
      </c>
      <c r="H56" s="210">
        <f>IFERROR(INDEX(_ZIG_Precos!$D:$D,MATCH(I56,_ZIG_Precos!$F:$F,0)),"—")</f>
        <v/>
      </c>
      <c r="I56" s="95">
        <f>IFERROR(VLOOKUP(B56,_Protheus_Cadastro!$A:$I,9,FALSE),"—")</f>
        <v/>
      </c>
      <c r="J56" s="93">
        <f>IFERROR(INDEX(_ZIG_Cadastro!$B:$B,MATCH(I56,_ZIG_Cadastro!$A:$A,0)),IFERROR(INDEX(_Entradas_ZIG!$B:$B,MATCH(I56,_Entradas_ZIG!$C:$C,0)),"—"))</f>
        <v/>
      </c>
      <c r="K56" s="93">
        <f>IFERROR(INDEX(_ZIG_Cadastro!$C:$C,MATCH(I56,_ZIG_Cadastro!$A:$A,0)),IFERROR(INDEX(_Entradas_ZIG!$D:$D,MATCH(I56,_Entradas_ZIG!$C:$C,0)),"—"))</f>
        <v/>
      </c>
      <c r="L56" s="92">
        <f>IF(I56="","Sem SKU ZIG",IF(I56="—","Sem SKU ZIG",IF(NOT(ISERROR(MATCH(I56,_ZIG_Cadastro!$A:$A,0))),IF(EXACT(UPPER(TRIM(C56)),UPPER(TRIM(INDEX(_ZIG_Cadastro!$B:$B,MATCH(I56,_ZIG_Cadastro!$A:$A,0))))),"OK","Atencao - Nome diverge"),IF(NOT(ISERROR(MATCH(I56,_Entradas_ZIG!$C:$C,0))),"OK","Erro - SKU nao encontrado"))))</f>
        <v/>
      </c>
      <c r="M56" s="92">
        <f>IFERROR(INDEX(_ZIG_Cadastro!$G:$G,MATCH(I56,_ZIG_Cadastro!$A:$A,0)),IF(NOT(ISERROR(MATCH(I56,_Entradas_ZIG!$C:$C,0))),"Ativo","—"))</f>
        <v/>
      </c>
      <c r="N56" s="94">
        <f>IFERROR(INDEX(_ZIG_Cadastro!$E:$E,MATCH(I56,_ZIG_Cadastro!$A:$A,0)),IFERROR(INDEX(_Entradas_ZIG!$F:$F,MATCH(I56,_Entradas_ZIG!$C:$C,0)),"—"))</f>
        <v/>
      </c>
      <c r="O56" s="92">
        <f>IF(AND(ISNUMBER(SEARCH("Espeto",N56)),ISNUMBER(SEARCH("Carin",N56))),"SIM","")</f>
        <v/>
      </c>
      <c r="P56" s="92">
        <f>IF(AND(ISNUMBER(SEARCH("Espeto",N56)),ISNUMBER(SEARCH("Lapa",N56))),"SIM","")</f>
        <v/>
      </c>
      <c r="Q56" s="92">
        <f>IF(AND(ISNUMBER(SEARCH("Espeto",N56)),ISNUMBER(SEARCH("Tatuapé",N56))),"SIM","")</f>
        <v/>
      </c>
      <c r="R56" s="92">
        <f>IF(AND(ISNUMBER(SEARCH("Espeto",N56)),ISNUMBER(SEARCH("Pavão",N56))),"SIM","")</f>
        <v/>
      </c>
      <c r="S56" s="92">
        <f>IF(AND(ISNUMBER(SEARCH("Espeto",N56)),ISNUMBER(SEARCH("Chac",N56))),"SIM","")</f>
        <v/>
      </c>
      <c r="T56" s="92">
        <f>IF(AND(ISNUMBER(SEARCH("Espeto",N56)),ISNUMBER(SEARCH("Madalena",N56))),"SIM","")</f>
        <v/>
      </c>
      <c r="U56" s="92">
        <f>IF(AND(ISNUMBER(SEARCH("Espeto",N56)),ISNUMBER(SEARCH("Mariana",N56))),"SIM","")</f>
        <v/>
      </c>
      <c r="V56" s="92">
        <f>IF(AND(ISNUMBER(SEARCH("Espeto",N56)),ISNUMBER(SEARCH("Perdizes",N56))),"SIM","")</f>
        <v/>
      </c>
      <c r="W56" s="92">
        <f>IF(AND(ISNUMBER(SEARCH("Espeto",N56)),ISNUMBER(SEARCH("Santana",N56))),"SIM","")</f>
        <v/>
      </c>
      <c r="X56" s="92">
        <f>IF(AND(ISNUMBER(SEARCH("Espeto",N56)),ISNUMBER(SEARCH("André",N56))),"SIM","")</f>
        <v/>
      </c>
      <c r="Y56" s="92">
        <f>IF(AND(ISNUMBER(SEARCH("Delivery",N56)),ISNUMBER(SEARCH("Carin",N56))),"SIM","")</f>
        <v/>
      </c>
      <c r="Z56" s="92">
        <f>IF(AND(ISNUMBER(SEARCH("Delivery",N56)),ISNUMBER(SEARCH("Lapa",N56))),"SIM","")</f>
        <v/>
      </c>
      <c r="AA56" s="92">
        <f>IF(AND(ISNUMBER(SEARCH("Delivery",N56)),ISNUMBER(SEARCH("Tatuapé",N56))),"SIM","")</f>
        <v/>
      </c>
      <c r="AB56" s="92">
        <f>IF(AND(ISNUMBER(SEARCH("Delivery",N56)),ISNUMBER(SEARCH("Pavão",N56))),"SIM","")</f>
        <v/>
      </c>
      <c r="AC56" s="92">
        <f>IF(AND(ISNUMBER(SEARCH("Delivery",N56)),ISNUMBER(SEARCH("Chac",N56))),"SIM","")</f>
        <v/>
      </c>
      <c r="AD56" s="92">
        <f>IF(AND(ISNUMBER(SEARCH("Delivery",N56)),ISNUMBER(SEARCH("Madalena",N56))),"SIM","")</f>
        <v/>
      </c>
      <c r="AE56" s="92">
        <f>IF(AND(ISNUMBER(SEARCH("Delivery",N56)),ISNUMBER(SEARCH("Mariana",N56))),"SIM","")</f>
        <v/>
      </c>
      <c r="AF56" s="92">
        <f>IF(AND(ISNUMBER(SEARCH("Delivery",N56)),ISNUMBER(SEARCH("Perdizes",N56))),"SIM","")</f>
        <v/>
      </c>
      <c r="AG56" s="92">
        <f>IF(AND(ISNUMBER(SEARCH("Delivery",N56)),ISNUMBER(SEARCH("Santana",N56))),"SIM","")</f>
        <v/>
      </c>
      <c r="AH56" s="92">
        <f>IF(AND(ISNUMBER(SEARCH("Delivery",N56)),ISNUMBER(SEARCH("André",N56))),"SIM","")</f>
        <v/>
      </c>
      <c r="AI56" s="92">
        <f>IF(ISNUMBER(SEARCH("Interlagos",N56)),"SIM","")</f>
        <v/>
      </c>
      <c r="AJ56" s="92">
        <f>IF(ISNUMBER(SEARCH("Quiosque",N56)),"SIM","")</f>
        <v/>
      </c>
      <c r="AK56" s="93" t="n"/>
    </row>
    <row r="57">
      <c r="A57" s="88" t="inlineStr">
        <is>
          <t>Protheus</t>
        </is>
      </c>
      <c r="B57" s="96" t="inlineStr">
        <is>
          <t>001624</t>
        </is>
      </c>
      <c r="C57" s="97">
        <f>IF(B57="—","—",IFERROR(VLOOKUP(B57,_Protheus_Cadastro!$A:$B,2,FALSE),"—"))</f>
        <v/>
      </c>
      <c r="D57" s="98">
        <f>IF(B57="—",IFERROR(INDEX(_ZIG_Cadastro!$D:$D,MATCH(H57,_ZIG_Cadastro!$A:$A,0)),"Produto"),IFERROR(VLOOKUP(B57,_Protheus_Cadastro!$A:$C,3,FALSE),"—"))</f>
        <v/>
      </c>
      <c r="E57" s="98">
        <f>IF(B57="—","—",IFERROR(VLOOKUP(B57,_Protheus_Cadastro!$A:$D,4,FALSE),"—"))</f>
        <v/>
      </c>
      <c r="F57" s="98">
        <f>IF(ISERROR(VLOOKUP(B57,'Estrutura Protheus'!A:A,1,FALSE)),"Não","Sim")</f>
        <v/>
      </c>
      <c r="G57" s="99">
        <f>IFERROR(INDEX(_Protheus_Cadastro!$H:$H,MATCH(B57,_Protheus_Cadastro!$A:$A,0)),"—")</f>
        <v/>
      </c>
      <c r="H57" s="211">
        <f>IFERROR(INDEX(_ZIG_Precos!$D:$D,MATCH(I57,_ZIG_Precos!$F:$F,0)),"—")</f>
        <v/>
      </c>
      <c r="I57" s="103">
        <f>IFERROR(VLOOKUP(B57,_Protheus_Cadastro!$A:$I,9,FALSE),"—")</f>
        <v/>
      </c>
      <c r="J57" s="101">
        <f>IFERROR(INDEX(_ZIG_Cadastro!$B:$B,MATCH(I57,_ZIG_Cadastro!$A:$A,0)),IFERROR(INDEX(_Entradas_ZIG!$B:$B,MATCH(I57,_Entradas_ZIG!$C:$C,0)),"—"))</f>
        <v/>
      </c>
      <c r="K57" s="101">
        <f>IFERROR(INDEX(_ZIG_Cadastro!$C:$C,MATCH(I57,_ZIG_Cadastro!$A:$A,0)),IFERROR(INDEX(_Entradas_ZIG!$D:$D,MATCH(I57,_Entradas_ZIG!$C:$C,0)),"—"))</f>
        <v/>
      </c>
      <c r="L57" s="99">
        <f>IF(I57="","Sem SKU ZIG",IF(I57="—","Sem SKU ZIG",IF(NOT(ISERROR(MATCH(I57,_ZIG_Cadastro!$A:$A,0))),IF(EXACT(UPPER(TRIM(C57)),UPPER(TRIM(INDEX(_ZIG_Cadastro!$B:$B,MATCH(I57,_ZIG_Cadastro!$A:$A,0))))),"OK","Atencao - Nome diverge"),IF(NOT(ISERROR(MATCH(I57,_Entradas_ZIG!$C:$C,0))),"OK","Erro - SKU nao encontrado"))))</f>
        <v/>
      </c>
      <c r="M57" s="99">
        <f>IFERROR(INDEX(_ZIG_Cadastro!$G:$G,MATCH(I57,_ZIG_Cadastro!$A:$A,0)),IF(NOT(ISERROR(MATCH(I57,_Entradas_ZIG!$C:$C,0))),"Ativo","—"))</f>
        <v/>
      </c>
      <c r="N57" s="102">
        <f>IFERROR(INDEX(_ZIG_Cadastro!$E:$E,MATCH(I57,_ZIG_Cadastro!$A:$A,0)),IFERROR(INDEX(_Entradas_ZIG!$F:$F,MATCH(I57,_Entradas_ZIG!$C:$C,0)),"—"))</f>
        <v/>
      </c>
      <c r="O57" s="99">
        <f>IF(AND(ISNUMBER(SEARCH("Espeto",N57)),ISNUMBER(SEARCH("Carin",N57))),"SIM","")</f>
        <v/>
      </c>
      <c r="P57" s="99">
        <f>IF(AND(ISNUMBER(SEARCH("Espeto",N57)),ISNUMBER(SEARCH("Lapa",N57))),"SIM","")</f>
        <v/>
      </c>
      <c r="Q57" s="99">
        <f>IF(AND(ISNUMBER(SEARCH("Espeto",N57)),ISNUMBER(SEARCH("Tatuapé",N57))),"SIM","")</f>
        <v/>
      </c>
      <c r="R57" s="99">
        <f>IF(AND(ISNUMBER(SEARCH("Espeto",N57)),ISNUMBER(SEARCH("Pavão",N57))),"SIM","")</f>
        <v/>
      </c>
      <c r="S57" s="99">
        <f>IF(AND(ISNUMBER(SEARCH("Espeto",N57)),ISNUMBER(SEARCH("Chac",N57))),"SIM","")</f>
        <v/>
      </c>
      <c r="T57" s="99">
        <f>IF(AND(ISNUMBER(SEARCH("Espeto",N57)),ISNUMBER(SEARCH("Madalena",N57))),"SIM","")</f>
        <v/>
      </c>
      <c r="U57" s="99">
        <f>IF(AND(ISNUMBER(SEARCH("Espeto",N57)),ISNUMBER(SEARCH("Mariana",N57))),"SIM","")</f>
        <v/>
      </c>
      <c r="V57" s="99">
        <f>IF(AND(ISNUMBER(SEARCH("Espeto",N57)),ISNUMBER(SEARCH("Perdizes",N57))),"SIM","")</f>
        <v/>
      </c>
      <c r="W57" s="99">
        <f>IF(AND(ISNUMBER(SEARCH("Espeto",N57)),ISNUMBER(SEARCH("Santana",N57))),"SIM","")</f>
        <v/>
      </c>
      <c r="X57" s="99">
        <f>IF(AND(ISNUMBER(SEARCH("Espeto",N57)),ISNUMBER(SEARCH("André",N57))),"SIM","")</f>
        <v/>
      </c>
      <c r="Y57" s="99">
        <f>IF(AND(ISNUMBER(SEARCH("Delivery",N57)),ISNUMBER(SEARCH("Carin",N57))),"SIM","")</f>
        <v/>
      </c>
      <c r="Z57" s="99">
        <f>IF(AND(ISNUMBER(SEARCH("Delivery",N57)),ISNUMBER(SEARCH("Lapa",N57))),"SIM","")</f>
        <v/>
      </c>
      <c r="AA57" s="99">
        <f>IF(AND(ISNUMBER(SEARCH("Delivery",N57)),ISNUMBER(SEARCH("Tatuapé",N57))),"SIM","")</f>
        <v/>
      </c>
      <c r="AB57" s="99">
        <f>IF(AND(ISNUMBER(SEARCH("Delivery",N57)),ISNUMBER(SEARCH("Pavão",N57))),"SIM","")</f>
        <v/>
      </c>
      <c r="AC57" s="99">
        <f>IF(AND(ISNUMBER(SEARCH("Delivery",N57)),ISNUMBER(SEARCH("Chac",N57))),"SIM","")</f>
        <v/>
      </c>
      <c r="AD57" s="99">
        <f>IF(AND(ISNUMBER(SEARCH("Delivery",N57)),ISNUMBER(SEARCH("Madalena",N57))),"SIM","")</f>
        <v/>
      </c>
      <c r="AE57" s="99">
        <f>IF(AND(ISNUMBER(SEARCH("Delivery",N57)),ISNUMBER(SEARCH("Mariana",N57))),"SIM","")</f>
        <v/>
      </c>
      <c r="AF57" s="99">
        <f>IF(AND(ISNUMBER(SEARCH("Delivery",N57)),ISNUMBER(SEARCH("Perdizes",N57))),"SIM","")</f>
        <v/>
      </c>
      <c r="AG57" s="99">
        <f>IF(AND(ISNUMBER(SEARCH("Delivery",N57)),ISNUMBER(SEARCH("Santana",N57))),"SIM","")</f>
        <v/>
      </c>
      <c r="AH57" s="99">
        <f>IF(AND(ISNUMBER(SEARCH("Delivery",N57)),ISNUMBER(SEARCH("André",N57))),"SIM","")</f>
        <v/>
      </c>
      <c r="AI57" s="99">
        <f>IF(ISNUMBER(SEARCH("Interlagos",N57)),"SIM","")</f>
        <v/>
      </c>
      <c r="AJ57" s="99">
        <f>IF(ISNUMBER(SEARCH("Quiosque",N57)),"SIM","")</f>
        <v/>
      </c>
      <c r="AK57" s="101" t="n"/>
    </row>
    <row r="58">
      <c r="A58" s="88" t="inlineStr">
        <is>
          <t>Protheus</t>
        </is>
      </c>
      <c r="B58" s="89" t="inlineStr">
        <is>
          <t>002117</t>
        </is>
      </c>
      <c r="C58" s="90">
        <f>IF(B58="—","—",IFERROR(VLOOKUP(B58,_Protheus_Cadastro!$A:$B,2,FALSE),"—"))</f>
        <v/>
      </c>
      <c r="D58" s="91">
        <f>IF(B58="—",IFERROR(INDEX(_ZIG_Cadastro!$D:$D,MATCH(H58,_ZIG_Cadastro!$A:$A,0)),"Produto"),IFERROR(VLOOKUP(B58,_Protheus_Cadastro!$A:$C,3,FALSE),"—"))</f>
        <v/>
      </c>
      <c r="E58" s="91">
        <f>IF(B58="—","—",IFERROR(VLOOKUP(B58,_Protheus_Cadastro!$A:$D,4,FALSE),"—"))</f>
        <v/>
      </c>
      <c r="F58" s="91">
        <f>IF(ISERROR(VLOOKUP(B58,'Estrutura Protheus'!A:A,1,FALSE)),"Não","Sim")</f>
        <v/>
      </c>
      <c r="G58" s="92">
        <f>IFERROR(INDEX(_Protheus_Cadastro!$H:$H,MATCH(B58,_Protheus_Cadastro!$A:$A,0)),"—")</f>
        <v/>
      </c>
      <c r="H58" s="210">
        <f>IFERROR(INDEX(_ZIG_Precos!$D:$D,MATCH(I58,_ZIG_Precos!$F:$F,0)),"—")</f>
        <v/>
      </c>
      <c r="I58" s="95">
        <f>IFERROR(VLOOKUP(B58,_Protheus_Cadastro!$A:$I,9,FALSE),"—")</f>
        <v/>
      </c>
      <c r="J58" s="93">
        <f>IFERROR(INDEX(_ZIG_Cadastro!$B:$B,MATCH(I58,_ZIG_Cadastro!$A:$A,0)),IFERROR(INDEX(_Entradas_ZIG!$B:$B,MATCH(I58,_Entradas_ZIG!$C:$C,0)),"—"))</f>
        <v/>
      </c>
      <c r="K58" s="93">
        <f>IFERROR(INDEX(_ZIG_Cadastro!$C:$C,MATCH(I58,_ZIG_Cadastro!$A:$A,0)),IFERROR(INDEX(_Entradas_ZIG!$D:$D,MATCH(I58,_Entradas_ZIG!$C:$C,0)),"—"))</f>
        <v/>
      </c>
      <c r="L58" s="92">
        <f>IF(I58="","Sem SKU ZIG",IF(I58="—","Sem SKU ZIG",IF(NOT(ISERROR(MATCH(I58,_ZIG_Cadastro!$A:$A,0))),IF(EXACT(UPPER(TRIM(C58)),UPPER(TRIM(INDEX(_ZIG_Cadastro!$B:$B,MATCH(I58,_ZIG_Cadastro!$A:$A,0))))),"OK","Atencao - Nome diverge"),IF(NOT(ISERROR(MATCH(I58,_Entradas_ZIG!$C:$C,0))),"OK","Erro - SKU nao encontrado"))))</f>
        <v/>
      </c>
      <c r="M58" s="92">
        <f>IFERROR(INDEX(_ZIG_Cadastro!$G:$G,MATCH(I58,_ZIG_Cadastro!$A:$A,0)),IF(NOT(ISERROR(MATCH(I58,_Entradas_ZIG!$C:$C,0))),"Ativo","—"))</f>
        <v/>
      </c>
      <c r="N58" s="94">
        <f>IFERROR(INDEX(_ZIG_Cadastro!$E:$E,MATCH(I58,_ZIG_Cadastro!$A:$A,0)),IFERROR(INDEX(_Entradas_ZIG!$F:$F,MATCH(I58,_Entradas_ZIG!$C:$C,0)),"—"))</f>
        <v/>
      </c>
      <c r="O58" s="92">
        <f>IF(AND(ISNUMBER(SEARCH("Espeto",N58)),ISNUMBER(SEARCH("Carin",N58))),"SIM","")</f>
        <v/>
      </c>
      <c r="P58" s="92">
        <f>IF(AND(ISNUMBER(SEARCH("Espeto",N58)),ISNUMBER(SEARCH("Lapa",N58))),"SIM","")</f>
        <v/>
      </c>
      <c r="Q58" s="92">
        <f>IF(AND(ISNUMBER(SEARCH("Espeto",N58)),ISNUMBER(SEARCH("Tatuapé",N58))),"SIM","")</f>
        <v/>
      </c>
      <c r="R58" s="92">
        <f>IF(AND(ISNUMBER(SEARCH("Espeto",N58)),ISNUMBER(SEARCH("Pavão",N58))),"SIM","")</f>
        <v/>
      </c>
      <c r="S58" s="92">
        <f>IF(AND(ISNUMBER(SEARCH("Espeto",N58)),ISNUMBER(SEARCH("Chac",N58))),"SIM","")</f>
        <v/>
      </c>
      <c r="T58" s="92">
        <f>IF(AND(ISNUMBER(SEARCH("Espeto",N58)),ISNUMBER(SEARCH("Madalena",N58))),"SIM","")</f>
        <v/>
      </c>
      <c r="U58" s="92">
        <f>IF(AND(ISNUMBER(SEARCH("Espeto",N58)),ISNUMBER(SEARCH("Mariana",N58))),"SIM","")</f>
        <v/>
      </c>
      <c r="V58" s="92">
        <f>IF(AND(ISNUMBER(SEARCH("Espeto",N58)),ISNUMBER(SEARCH("Perdizes",N58))),"SIM","")</f>
        <v/>
      </c>
      <c r="W58" s="92">
        <f>IF(AND(ISNUMBER(SEARCH("Espeto",N58)),ISNUMBER(SEARCH("Santana",N58))),"SIM","")</f>
        <v/>
      </c>
      <c r="X58" s="92">
        <f>IF(AND(ISNUMBER(SEARCH("Espeto",N58)),ISNUMBER(SEARCH("André",N58))),"SIM","")</f>
        <v/>
      </c>
      <c r="Y58" s="92">
        <f>IF(AND(ISNUMBER(SEARCH("Delivery",N58)),ISNUMBER(SEARCH("Carin",N58))),"SIM","")</f>
        <v/>
      </c>
      <c r="Z58" s="92">
        <f>IF(AND(ISNUMBER(SEARCH("Delivery",N58)),ISNUMBER(SEARCH("Lapa",N58))),"SIM","")</f>
        <v/>
      </c>
      <c r="AA58" s="92">
        <f>IF(AND(ISNUMBER(SEARCH("Delivery",N58)),ISNUMBER(SEARCH("Tatuapé",N58))),"SIM","")</f>
        <v/>
      </c>
      <c r="AB58" s="92">
        <f>IF(AND(ISNUMBER(SEARCH("Delivery",N58)),ISNUMBER(SEARCH("Pavão",N58))),"SIM","")</f>
        <v/>
      </c>
      <c r="AC58" s="92">
        <f>IF(AND(ISNUMBER(SEARCH("Delivery",N58)),ISNUMBER(SEARCH("Chac",N58))),"SIM","")</f>
        <v/>
      </c>
      <c r="AD58" s="92">
        <f>IF(AND(ISNUMBER(SEARCH("Delivery",N58)),ISNUMBER(SEARCH("Madalena",N58))),"SIM","")</f>
        <v/>
      </c>
      <c r="AE58" s="92">
        <f>IF(AND(ISNUMBER(SEARCH("Delivery",N58)),ISNUMBER(SEARCH("Mariana",N58))),"SIM","")</f>
        <v/>
      </c>
      <c r="AF58" s="92">
        <f>IF(AND(ISNUMBER(SEARCH("Delivery",N58)),ISNUMBER(SEARCH("Perdizes",N58))),"SIM","")</f>
        <v/>
      </c>
      <c r="AG58" s="92">
        <f>IF(AND(ISNUMBER(SEARCH("Delivery",N58)),ISNUMBER(SEARCH("Santana",N58))),"SIM","")</f>
        <v/>
      </c>
      <c r="AH58" s="92">
        <f>IF(AND(ISNUMBER(SEARCH("Delivery",N58)),ISNUMBER(SEARCH("André",N58))),"SIM","")</f>
        <v/>
      </c>
      <c r="AI58" s="92">
        <f>IF(ISNUMBER(SEARCH("Interlagos",N58)),"SIM","")</f>
        <v/>
      </c>
      <c r="AJ58" s="92">
        <f>IF(ISNUMBER(SEARCH("Quiosque",N58)),"SIM","")</f>
        <v/>
      </c>
      <c r="AK58" s="93" t="n"/>
    </row>
    <row r="59">
      <c r="A59" s="88" t="inlineStr">
        <is>
          <t>Protheus</t>
        </is>
      </c>
      <c r="B59" s="96" t="inlineStr">
        <is>
          <t>002118</t>
        </is>
      </c>
      <c r="C59" s="97">
        <f>IF(B59="—","—",IFERROR(VLOOKUP(B59,_Protheus_Cadastro!$A:$B,2,FALSE),"—"))</f>
        <v/>
      </c>
      <c r="D59" s="98">
        <f>IF(B59="—",IFERROR(INDEX(_ZIG_Cadastro!$D:$D,MATCH(H59,_ZIG_Cadastro!$A:$A,0)),"Produto"),IFERROR(VLOOKUP(B59,_Protheus_Cadastro!$A:$C,3,FALSE),"—"))</f>
        <v/>
      </c>
      <c r="E59" s="98">
        <f>IF(B59="—","—",IFERROR(VLOOKUP(B59,_Protheus_Cadastro!$A:$D,4,FALSE),"—"))</f>
        <v/>
      </c>
      <c r="F59" s="98">
        <f>IF(ISERROR(VLOOKUP(B59,'Estrutura Protheus'!A:A,1,FALSE)),"Não","Sim")</f>
        <v/>
      </c>
      <c r="G59" s="99">
        <f>IFERROR(INDEX(_Protheus_Cadastro!$H:$H,MATCH(B59,_Protheus_Cadastro!$A:$A,0)),"—")</f>
        <v/>
      </c>
      <c r="H59" s="211">
        <f>IFERROR(INDEX(_ZIG_Precos!$D:$D,MATCH(I59,_ZIG_Precos!$F:$F,0)),"—")</f>
        <v/>
      </c>
      <c r="I59" s="103">
        <f>IFERROR(VLOOKUP(B59,_Protheus_Cadastro!$A:$I,9,FALSE),"—")</f>
        <v/>
      </c>
      <c r="J59" s="101">
        <f>IFERROR(INDEX(_ZIG_Cadastro!$B:$B,MATCH(I59,_ZIG_Cadastro!$A:$A,0)),IFERROR(INDEX(_Entradas_ZIG!$B:$B,MATCH(I59,_Entradas_ZIG!$C:$C,0)),"—"))</f>
        <v/>
      </c>
      <c r="K59" s="101">
        <f>IFERROR(INDEX(_ZIG_Cadastro!$C:$C,MATCH(I59,_ZIG_Cadastro!$A:$A,0)),IFERROR(INDEX(_Entradas_ZIG!$D:$D,MATCH(I59,_Entradas_ZIG!$C:$C,0)),"—"))</f>
        <v/>
      </c>
      <c r="L59" s="99">
        <f>IF(I59="","Sem SKU ZIG",IF(I59="—","Sem SKU ZIG",IF(NOT(ISERROR(MATCH(I59,_ZIG_Cadastro!$A:$A,0))),IF(EXACT(UPPER(TRIM(C59)),UPPER(TRIM(INDEX(_ZIG_Cadastro!$B:$B,MATCH(I59,_ZIG_Cadastro!$A:$A,0))))),"OK","Atencao - Nome diverge"),IF(NOT(ISERROR(MATCH(I59,_Entradas_ZIG!$C:$C,0))),"OK","Erro - SKU nao encontrado"))))</f>
        <v/>
      </c>
      <c r="M59" s="99">
        <f>IFERROR(INDEX(_ZIG_Cadastro!$G:$G,MATCH(I59,_ZIG_Cadastro!$A:$A,0)),IF(NOT(ISERROR(MATCH(I59,_Entradas_ZIG!$C:$C,0))),"Ativo","—"))</f>
        <v/>
      </c>
      <c r="N59" s="102">
        <f>IFERROR(INDEX(_ZIG_Cadastro!$E:$E,MATCH(I59,_ZIG_Cadastro!$A:$A,0)),IFERROR(INDEX(_Entradas_ZIG!$F:$F,MATCH(I59,_Entradas_ZIG!$C:$C,0)),"—"))</f>
        <v/>
      </c>
      <c r="O59" s="99">
        <f>IF(AND(ISNUMBER(SEARCH("Espeto",N59)),ISNUMBER(SEARCH("Carin",N59))),"SIM","")</f>
        <v/>
      </c>
      <c r="P59" s="99">
        <f>IF(AND(ISNUMBER(SEARCH("Espeto",N59)),ISNUMBER(SEARCH("Lapa",N59))),"SIM","")</f>
        <v/>
      </c>
      <c r="Q59" s="99">
        <f>IF(AND(ISNUMBER(SEARCH("Espeto",N59)),ISNUMBER(SEARCH("Tatuapé",N59))),"SIM","")</f>
        <v/>
      </c>
      <c r="R59" s="99">
        <f>IF(AND(ISNUMBER(SEARCH("Espeto",N59)),ISNUMBER(SEARCH("Pavão",N59))),"SIM","")</f>
        <v/>
      </c>
      <c r="S59" s="99">
        <f>IF(AND(ISNUMBER(SEARCH("Espeto",N59)),ISNUMBER(SEARCH("Chac",N59))),"SIM","")</f>
        <v/>
      </c>
      <c r="T59" s="99">
        <f>IF(AND(ISNUMBER(SEARCH("Espeto",N59)),ISNUMBER(SEARCH("Madalena",N59))),"SIM","")</f>
        <v/>
      </c>
      <c r="U59" s="99">
        <f>IF(AND(ISNUMBER(SEARCH("Espeto",N59)),ISNUMBER(SEARCH("Mariana",N59))),"SIM","")</f>
        <v/>
      </c>
      <c r="V59" s="99">
        <f>IF(AND(ISNUMBER(SEARCH("Espeto",N59)),ISNUMBER(SEARCH("Perdizes",N59))),"SIM","")</f>
        <v/>
      </c>
      <c r="W59" s="99">
        <f>IF(AND(ISNUMBER(SEARCH("Espeto",N59)),ISNUMBER(SEARCH("Santana",N59))),"SIM","")</f>
        <v/>
      </c>
      <c r="X59" s="99">
        <f>IF(AND(ISNUMBER(SEARCH("Espeto",N59)),ISNUMBER(SEARCH("André",N59))),"SIM","")</f>
        <v/>
      </c>
      <c r="Y59" s="99">
        <f>IF(AND(ISNUMBER(SEARCH("Delivery",N59)),ISNUMBER(SEARCH("Carin",N59))),"SIM","")</f>
        <v/>
      </c>
      <c r="Z59" s="99">
        <f>IF(AND(ISNUMBER(SEARCH("Delivery",N59)),ISNUMBER(SEARCH("Lapa",N59))),"SIM","")</f>
        <v/>
      </c>
      <c r="AA59" s="99">
        <f>IF(AND(ISNUMBER(SEARCH("Delivery",N59)),ISNUMBER(SEARCH("Tatuapé",N59))),"SIM","")</f>
        <v/>
      </c>
      <c r="AB59" s="99">
        <f>IF(AND(ISNUMBER(SEARCH("Delivery",N59)),ISNUMBER(SEARCH("Pavão",N59))),"SIM","")</f>
        <v/>
      </c>
      <c r="AC59" s="99">
        <f>IF(AND(ISNUMBER(SEARCH("Delivery",N59)),ISNUMBER(SEARCH("Chac",N59))),"SIM","")</f>
        <v/>
      </c>
      <c r="AD59" s="99">
        <f>IF(AND(ISNUMBER(SEARCH("Delivery",N59)),ISNUMBER(SEARCH("Madalena",N59))),"SIM","")</f>
        <v/>
      </c>
      <c r="AE59" s="99">
        <f>IF(AND(ISNUMBER(SEARCH("Delivery",N59)),ISNUMBER(SEARCH("Mariana",N59))),"SIM","")</f>
        <v/>
      </c>
      <c r="AF59" s="99">
        <f>IF(AND(ISNUMBER(SEARCH("Delivery",N59)),ISNUMBER(SEARCH("Perdizes",N59))),"SIM","")</f>
        <v/>
      </c>
      <c r="AG59" s="99">
        <f>IF(AND(ISNUMBER(SEARCH("Delivery",N59)),ISNUMBER(SEARCH("Santana",N59))),"SIM","")</f>
        <v/>
      </c>
      <c r="AH59" s="99">
        <f>IF(AND(ISNUMBER(SEARCH("Delivery",N59)),ISNUMBER(SEARCH("André",N59))),"SIM","")</f>
        <v/>
      </c>
      <c r="AI59" s="99">
        <f>IF(ISNUMBER(SEARCH("Interlagos",N59)),"SIM","")</f>
        <v/>
      </c>
      <c r="AJ59" s="99">
        <f>IF(ISNUMBER(SEARCH("Quiosque",N59)),"SIM","")</f>
        <v/>
      </c>
      <c r="AK59" s="101" t="n"/>
    </row>
    <row r="60">
      <c r="A60" s="88" t="inlineStr">
        <is>
          <t>Protheus</t>
        </is>
      </c>
      <c r="B60" s="89" t="inlineStr">
        <is>
          <t>002119</t>
        </is>
      </c>
      <c r="C60" s="90">
        <f>IF(B60="—","—",IFERROR(VLOOKUP(B60,_Protheus_Cadastro!$A:$B,2,FALSE),"—"))</f>
        <v/>
      </c>
      <c r="D60" s="91">
        <f>IF(B60="—",IFERROR(INDEX(_ZIG_Cadastro!$D:$D,MATCH(H60,_ZIG_Cadastro!$A:$A,0)),"Produto"),IFERROR(VLOOKUP(B60,_Protheus_Cadastro!$A:$C,3,FALSE),"—"))</f>
        <v/>
      </c>
      <c r="E60" s="91">
        <f>IF(B60="—","—",IFERROR(VLOOKUP(B60,_Protheus_Cadastro!$A:$D,4,FALSE),"—"))</f>
        <v/>
      </c>
      <c r="F60" s="91">
        <f>IF(ISERROR(VLOOKUP(B60,'Estrutura Protheus'!A:A,1,FALSE)),"Não","Sim")</f>
        <v/>
      </c>
      <c r="G60" s="92">
        <f>IFERROR(INDEX(_Protheus_Cadastro!$H:$H,MATCH(B60,_Protheus_Cadastro!$A:$A,0)),"—")</f>
        <v/>
      </c>
      <c r="H60" s="210">
        <f>IFERROR(INDEX(_ZIG_Precos!$D:$D,MATCH(I60,_ZIG_Precos!$F:$F,0)),"—")</f>
        <v/>
      </c>
      <c r="I60" s="95">
        <f>IFERROR(VLOOKUP(B60,_Protheus_Cadastro!$A:$I,9,FALSE),"—")</f>
        <v/>
      </c>
      <c r="J60" s="93">
        <f>IFERROR(INDEX(_ZIG_Cadastro!$B:$B,MATCH(I60,_ZIG_Cadastro!$A:$A,0)),IFERROR(INDEX(_Entradas_ZIG!$B:$B,MATCH(I60,_Entradas_ZIG!$C:$C,0)),"—"))</f>
        <v/>
      </c>
      <c r="K60" s="93">
        <f>IFERROR(INDEX(_ZIG_Cadastro!$C:$C,MATCH(I60,_ZIG_Cadastro!$A:$A,0)),IFERROR(INDEX(_Entradas_ZIG!$D:$D,MATCH(I60,_Entradas_ZIG!$C:$C,0)),"—"))</f>
        <v/>
      </c>
      <c r="L60" s="92">
        <f>IF(I60="","Sem SKU ZIG",IF(I60="—","Sem SKU ZIG",IF(NOT(ISERROR(MATCH(I60,_ZIG_Cadastro!$A:$A,0))),IF(EXACT(UPPER(TRIM(C60)),UPPER(TRIM(INDEX(_ZIG_Cadastro!$B:$B,MATCH(I60,_ZIG_Cadastro!$A:$A,0))))),"OK","Atencao - Nome diverge"),IF(NOT(ISERROR(MATCH(I60,_Entradas_ZIG!$C:$C,0))),"OK","Erro - SKU nao encontrado"))))</f>
        <v/>
      </c>
      <c r="M60" s="92">
        <f>IFERROR(INDEX(_ZIG_Cadastro!$G:$G,MATCH(I60,_ZIG_Cadastro!$A:$A,0)),IF(NOT(ISERROR(MATCH(I60,_Entradas_ZIG!$C:$C,0))),"Ativo","—"))</f>
        <v/>
      </c>
      <c r="N60" s="94">
        <f>IFERROR(INDEX(_ZIG_Cadastro!$E:$E,MATCH(I60,_ZIG_Cadastro!$A:$A,0)),IFERROR(INDEX(_Entradas_ZIG!$F:$F,MATCH(I60,_Entradas_ZIG!$C:$C,0)),"—"))</f>
        <v/>
      </c>
      <c r="O60" s="92">
        <f>IF(AND(ISNUMBER(SEARCH("Espeto",N60)),ISNUMBER(SEARCH("Carin",N60))),"SIM","")</f>
        <v/>
      </c>
      <c r="P60" s="92">
        <f>IF(AND(ISNUMBER(SEARCH("Espeto",N60)),ISNUMBER(SEARCH("Lapa",N60))),"SIM","")</f>
        <v/>
      </c>
      <c r="Q60" s="92">
        <f>IF(AND(ISNUMBER(SEARCH("Espeto",N60)),ISNUMBER(SEARCH("Tatuapé",N60))),"SIM","")</f>
        <v/>
      </c>
      <c r="R60" s="92">
        <f>IF(AND(ISNUMBER(SEARCH("Espeto",N60)),ISNUMBER(SEARCH("Pavão",N60))),"SIM","")</f>
        <v/>
      </c>
      <c r="S60" s="92">
        <f>IF(AND(ISNUMBER(SEARCH("Espeto",N60)),ISNUMBER(SEARCH("Chac",N60))),"SIM","")</f>
        <v/>
      </c>
      <c r="T60" s="92">
        <f>IF(AND(ISNUMBER(SEARCH("Espeto",N60)),ISNUMBER(SEARCH("Madalena",N60))),"SIM","")</f>
        <v/>
      </c>
      <c r="U60" s="92">
        <f>IF(AND(ISNUMBER(SEARCH("Espeto",N60)),ISNUMBER(SEARCH("Mariana",N60))),"SIM","")</f>
        <v/>
      </c>
      <c r="V60" s="92">
        <f>IF(AND(ISNUMBER(SEARCH("Espeto",N60)),ISNUMBER(SEARCH("Perdizes",N60))),"SIM","")</f>
        <v/>
      </c>
      <c r="W60" s="92">
        <f>IF(AND(ISNUMBER(SEARCH("Espeto",N60)),ISNUMBER(SEARCH("Santana",N60))),"SIM","")</f>
        <v/>
      </c>
      <c r="X60" s="92">
        <f>IF(AND(ISNUMBER(SEARCH("Espeto",N60)),ISNUMBER(SEARCH("André",N60))),"SIM","")</f>
        <v/>
      </c>
      <c r="Y60" s="92">
        <f>IF(AND(ISNUMBER(SEARCH("Delivery",N60)),ISNUMBER(SEARCH("Carin",N60))),"SIM","")</f>
        <v/>
      </c>
      <c r="Z60" s="92">
        <f>IF(AND(ISNUMBER(SEARCH("Delivery",N60)),ISNUMBER(SEARCH("Lapa",N60))),"SIM","")</f>
        <v/>
      </c>
      <c r="AA60" s="92">
        <f>IF(AND(ISNUMBER(SEARCH("Delivery",N60)),ISNUMBER(SEARCH("Tatuapé",N60))),"SIM","")</f>
        <v/>
      </c>
      <c r="AB60" s="92">
        <f>IF(AND(ISNUMBER(SEARCH("Delivery",N60)),ISNUMBER(SEARCH("Pavão",N60))),"SIM","")</f>
        <v/>
      </c>
      <c r="AC60" s="92">
        <f>IF(AND(ISNUMBER(SEARCH("Delivery",N60)),ISNUMBER(SEARCH("Chac",N60))),"SIM","")</f>
        <v/>
      </c>
      <c r="AD60" s="92">
        <f>IF(AND(ISNUMBER(SEARCH("Delivery",N60)),ISNUMBER(SEARCH("Madalena",N60))),"SIM","")</f>
        <v/>
      </c>
      <c r="AE60" s="92">
        <f>IF(AND(ISNUMBER(SEARCH("Delivery",N60)),ISNUMBER(SEARCH("Mariana",N60))),"SIM","")</f>
        <v/>
      </c>
      <c r="AF60" s="92">
        <f>IF(AND(ISNUMBER(SEARCH("Delivery",N60)),ISNUMBER(SEARCH("Perdizes",N60))),"SIM","")</f>
        <v/>
      </c>
      <c r="AG60" s="92">
        <f>IF(AND(ISNUMBER(SEARCH("Delivery",N60)),ISNUMBER(SEARCH("Santana",N60))),"SIM","")</f>
        <v/>
      </c>
      <c r="AH60" s="92">
        <f>IF(AND(ISNUMBER(SEARCH("Delivery",N60)),ISNUMBER(SEARCH("André",N60))),"SIM","")</f>
        <v/>
      </c>
      <c r="AI60" s="92">
        <f>IF(ISNUMBER(SEARCH("Interlagos",N60)),"SIM","")</f>
        <v/>
      </c>
      <c r="AJ60" s="92">
        <f>IF(ISNUMBER(SEARCH("Quiosque",N60)),"SIM","")</f>
        <v/>
      </c>
      <c r="AK60" s="93" t="n"/>
    </row>
    <row r="61">
      <c r="A61" s="88" t="inlineStr">
        <is>
          <t>Protheus</t>
        </is>
      </c>
      <c r="B61" s="96" t="inlineStr">
        <is>
          <t>002087</t>
        </is>
      </c>
      <c r="C61" s="97">
        <f>IF(B61="—","—",IFERROR(VLOOKUP(B61,_Protheus_Cadastro!$A:$B,2,FALSE),"—"))</f>
        <v/>
      </c>
      <c r="D61" s="98">
        <f>IF(B61="—",IFERROR(INDEX(_ZIG_Cadastro!$D:$D,MATCH(H61,_ZIG_Cadastro!$A:$A,0)),"Produto"),IFERROR(VLOOKUP(B61,_Protheus_Cadastro!$A:$C,3,FALSE),"—"))</f>
        <v/>
      </c>
      <c r="E61" s="98">
        <f>IF(B61="—","—",IFERROR(VLOOKUP(B61,_Protheus_Cadastro!$A:$D,4,FALSE),"—"))</f>
        <v/>
      </c>
      <c r="F61" s="98">
        <f>IF(ISERROR(VLOOKUP(B61,'Estrutura Protheus'!A:A,1,FALSE)),"Não","Sim")</f>
        <v/>
      </c>
      <c r="G61" s="99">
        <f>IFERROR(INDEX(_Protheus_Cadastro!$H:$H,MATCH(B61,_Protheus_Cadastro!$A:$A,0)),"—")</f>
        <v/>
      </c>
      <c r="H61" s="211">
        <f>IFERROR(INDEX(_ZIG_Precos!$D:$D,MATCH(I61,_ZIG_Precos!$F:$F,0)),"—")</f>
        <v/>
      </c>
      <c r="I61" s="103">
        <f>IFERROR(VLOOKUP(B61,_Protheus_Cadastro!$A:$I,9,FALSE),"—")</f>
        <v/>
      </c>
      <c r="J61" s="101">
        <f>IFERROR(INDEX(_ZIG_Cadastro!$B:$B,MATCH(I61,_ZIG_Cadastro!$A:$A,0)),IFERROR(INDEX(_Entradas_ZIG!$B:$B,MATCH(I61,_Entradas_ZIG!$C:$C,0)),"—"))</f>
        <v/>
      </c>
      <c r="K61" s="101">
        <f>IFERROR(INDEX(_ZIG_Cadastro!$C:$C,MATCH(I61,_ZIG_Cadastro!$A:$A,0)),IFERROR(INDEX(_Entradas_ZIG!$D:$D,MATCH(I61,_Entradas_ZIG!$C:$C,0)),"—"))</f>
        <v/>
      </c>
      <c r="L61" s="99">
        <f>IF(I61="","Sem SKU ZIG",IF(I61="—","Sem SKU ZIG",IF(NOT(ISERROR(MATCH(I61,_ZIG_Cadastro!$A:$A,0))),IF(EXACT(UPPER(TRIM(C61)),UPPER(TRIM(INDEX(_ZIG_Cadastro!$B:$B,MATCH(I61,_ZIG_Cadastro!$A:$A,0))))),"OK","Atencao - Nome diverge"),IF(NOT(ISERROR(MATCH(I61,_Entradas_ZIG!$C:$C,0))),"OK","Erro - SKU nao encontrado"))))</f>
        <v/>
      </c>
      <c r="M61" s="99">
        <f>IFERROR(INDEX(_ZIG_Cadastro!$G:$G,MATCH(I61,_ZIG_Cadastro!$A:$A,0)),IF(NOT(ISERROR(MATCH(I61,_Entradas_ZIG!$C:$C,0))),"Ativo","—"))</f>
        <v/>
      </c>
      <c r="N61" s="102">
        <f>IFERROR(INDEX(_ZIG_Cadastro!$E:$E,MATCH(I61,_ZIG_Cadastro!$A:$A,0)),IFERROR(INDEX(_Entradas_ZIG!$F:$F,MATCH(I61,_Entradas_ZIG!$C:$C,0)),"—"))</f>
        <v/>
      </c>
      <c r="O61" s="99">
        <f>IF(AND(ISNUMBER(SEARCH("Espeto",N61)),ISNUMBER(SEARCH("Carin",N61))),"SIM","")</f>
        <v/>
      </c>
      <c r="P61" s="99">
        <f>IF(AND(ISNUMBER(SEARCH("Espeto",N61)),ISNUMBER(SEARCH("Lapa",N61))),"SIM","")</f>
        <v/>
      </c>
      <c r="Q61" s="99">
        <f>IF(AND(ISNUMBER(SEARCH("Espeto",N61)),ISNUMBER(SEARCH("Tatuapé",N61))),"SIM","")</f>
        <v/>
      </c>
      <c r="R61" s="99">
        <f>IF(AND(ISNUMBER(SEARCH("Espeto",N61)),ISNUMBER(SEARCH("Pavão",N61))),"SIM","")</f>
        <v/>
      </c>
      <c r="S61" s="99">
        <f>IF(AND(ISNUMBER(SEARCH("Espeto",N61)),ISNUMBER(SEARCH("Chac",N61))),"SIM","")</f>
        <v/>
      </c>
      <c r="T61" s="99">
        <f>IF(AND(ISNUMBER(SEARCH("Espeto",N61)),ISNUMBER(SEARCH("Madalena",N61))),"SIM","")</f>
        <v/>
      </c>
      <c r="U61" s="99">
        <f>IF(AND(ISNUMBER(SEARCH("Espeto",N61)),ISNUMBER(SEARCH("Mariana",N61))),"SIM","")</f>
        <v/>
      </c>
      <c r="V61" s="99">
        <f>IF(AND(ISNUMBER(SEARCH("Espeto",N61)),ISNUMBER(SEARCH("Perdizes",N61))),"SIM","")</f>
        <v/>
      </c>
      <c r="W61" s="99">
        <f>IF(AND(ISNUMBER(SEARCH("Espeto",N61)),ISNUMBER(SEARCH("Santana",N61))),"SIM","")</f>
        <v/>
      </c>
      <c r="X61" s="99">
        <f>IF(AND(ISNUMBER(SEARCH("Espeto",N61)),ISNUMBER(SEARCH("André",N61))),"SIM","")</f>
        <v/>
      </c>
      <c r="Y61" s="99">
        <f>IF(AND(ISNUMBER(SEARCH("Delivery",N61)),ISNUMBER(SEARCH("Carin",N61))),"SIM","")</f>
        <v/>
      </c>
      <c r="Z61" s="99">
        <f>IF(AND(ISNUMBER(SEARCH("Delivery",N61)),ISNUMBER(SEARCH("Lapa",N61))),"SIM","")</f>
        <v/>
      </c>
      <c r="AA61" s="99">
        <f>IF(AND(ISNUMBER(SEARCH("Delivery",N61)),ISNUMBER(SEARCH("Tatuapé",N61))),"SIM","")</f>
        <v/>
      </c>
      <c r="AB61" s="99">
        <f>IF(AND(ISNUMBER(SEARCH("Delivery",N61)),ISNUMBER(SEARCH("Pavão",N61))),"SIM","")</f>
        <v/>
      </c>
      <c r="AC61" s="99">
        <f>IF(AND(ISNUMBER(SEARCH("Delivery",N61)),ISNUMBER(SEARCH("Chac",N61))),"SIM","")</f>
        <v/>
      </c>
      <c r="AD61" s="99">
        <f>IF(AND(ISNUMBER(SEARCH("Delivery",N61)),ISNUMBER(SEARCH("Madalena",N61))),"SIM","")</f>
        <v/>
      </c>
      <c r="AE61" s="99">
        <f>IF(AND(ISNUMBER(SEARCH("Delivery",N61)),ISNUMBER(SEARCH("Mariana",N61))),"SIM","")</f>
        <v/>
      </c>
      <c r="AF61" s="99">
        <f>IF(AND(ISNUMBER(SEARCH("Delivery",N61)),ISNUMBER(SEARCH("Perdizes",N61))),"SIM","")</f>
        <v/>
      </c>
      <c r="AG61" s="99">
        <f>IF(AND(ISNUMBER(SEARCH("Delivery",N61)),ISNUMBER(SEARCH("Santana",N61))),"SIM","")</f>
        <v/>
      </c>
      <c r="AH61" s="99">
        <f>IF(AND(ISNUMBER(SEARCH("Delivery",N61)),ISNUMBER(SEARCH("André",N61))),"SIM","")</f>
        <v/>
      </c>
      <c r="AI61" s="99">
        <f>IF(ISNUMBER(SEARCH("Interlagos",N61)),"SIM","")</f>
        <v/>
      </c>
      <c r="AJ61" s="99">
        <f>IF(ISNUMBER(SEARCH("Quiosque",N61)),"SIM","")</f>
        <v/>
      </c>
      <c r="AK61" s="101" t="n"/>
    </row>
    <row r="62">
      <c r="A62" s="88" t="inlineStr">
        <is>
          <t>Protheus</t>
        </is>
      </c>
      <c r="B62" s="89" t="inlineStr">
        <is>
          <t>002090</t>
        </is>
      </c>
      <c r="C62" s="90">
        <f>IF(B62="—","—",IFERROR(VLOOKUP(B62,_Protheus_Cadastro!$A:$B,2,FALSE),"—"))</f>
        <v/>
      </c>
      <c r="D62" s="91">
        <f>IF(B62="—",IFERROR(INDEX(_ZIG_Cadastro!$D:$D,MATCH(H62,_ZIG_Cadastro!$A:$A,0)),"Produto"),IFERROR(VLOOKUP(B62,_Protheus_Cadastro!$A:$C,3,FALSE),"—"))</f>
        <v/>
      </c>
      <c r="E62" s="91">
        <f>IF(B62="—","—",IFERROR(VLOOKUP(B62,_Protheus_Cadastro!$A:$D,4,FALSE),"—"))</f>
        <v/>
      </c>
      <c r="F62" s="91">
        <f>IF(ISERROR(VLOOKUP(B62,'Estrutura Protheus'!A:A,1,FALSE)),"Não","Sim")</f>
        <v/>
      </c>
      <c r="G62" s="92">
        <f>IFERROR(INDEX(_Protheus_Cadastro!$H:$H,MATCH(B62,_Protheus_Cadastro!$A:$A,0)),"—")</f>
        <v/>
      </c>
      <c r="H62" s="210">
        <f>IFERROR(INDEX(_ZIG_Precos!$D:$D,MATCH(I62,_ZIG_Precos!$F:$F,0)),"—")</f>
        <v/>
      </c>
      <c r="I62" s="95">
        <f>IFERROR(VLOOKUP(B62,_Protheus_Cadastro!$A:$I,9,FALSE),"—")</f>
        <v/>
      </c>
      <c r="J62" s="93">
        <f>IFERROR(INDEX(_ZIG_Cadastro!$B:$B,MATCH(I62,_ZIG_Cadastro!$A:$A,0)),IFERROR(INDEX(_Entradas_ZIG!$B:$B,MATCH(I62,_Entradas_ZIG!$C:$C,0)),"—"))</f>
        <v/>
      </c>
      <c r="K62" s="93">
        <f>IFERROR(INDEX(_ZIG_Cadastro!$C:$C,MATCH(I62,_ZIG_Cadastro!$A:$A,0)),IFERROR(INDEX(_Entradas_ZIG!$D:$D,MATCH(I62,_Entradas_ZIG!$C:$C,0)),"—"))</f>
        <v/>
      </c>
      <c r="L62" s="92">
        <f>IF(I62="","Sem SKU ZIG",IF(I62="—","Sem SKU ZIG",IF(NOT(ISERROR(MATCH(I62,_ZIG_Cadastro!$A:$A,0))),IF(EXACT(UPPER(TRIM(C62)),UPPER(TRIM(INDEX(_ZIG_Cadastro!$B:$B,MATCH(I62,_ZIG_Cadastro!$A:$A,0))))),"OK","Atencao - Nome diverge"),IF(NOT(ISERROR(MATCH(I62,_Entradas_ZIG!$C:$C,0))),"OK","Erro - SKU nao encontrado"))))</f>
        <v/>
      </c>
      <c r="M62" s="92">
        <f>IFERROR(INDEX(_ZIG_Cadastro!$G:$G,MATCH(I62,_ZIG_Cadastro!$A:$A,0)),IF(NOT(ISERROR(MATCH(I62,_Entradas_ZIG!$C:$C,0))),"Ativo","—"))</f>
        <v/>
      </c>
      <c r="N62" s="94">
        <f>IFERROR(INDEX(_ZIG_Cadastro!$E:$E,MATCH(I62,_ZIG_Cadastro!$A:$A,0)),IFERROR(INDEX(_Entradas_ZIG!$F:$F,MATCH(I62,_Entradas_ZIG!$C:$C,0)),"—"))</f>
        <v/>
      </c>
      <c r="O62" s="92">
        <f>IF(AND(ISNUMBER(SEARCH("Espeto",N62)),ISNUMBER(SEARCH("Carin",N62))),"SIM","")</f>
        <v/>
      </c>
      <c r="P62" s="92">
        <f>IF(AND(ISNUMBER(SEARCH("Espeto",N62)),ISNUMBER(SEARCH("Lapa",N62))),"SIM","")</f>
        <v/>
      </c>
      <c r="Q62" s="92">
        <f>IF(AND(ISNUMBER(SEARCH("Espeto",N62)),ISNUMBER(SEARCH("Tatuapé",N62))),"SIM","")</f>
        <v/>
      </c>
      <c r="R62" s="92">
        <f>IF(AND(ISNUMBER(SEARCH("Espeto",N62)),ISNUMBER(SEARCH("Pavão",N62))),"SIM","")</f>
        <v/>
      </c>
      <c r="S62" s="92">
        <f>IF(AND(ISNUMBER(SEARCH("Espeto",N62)),ISNUMBER(SEARCH("Chac",N62))),"SIM","")</f>
        <v/>
      </c>
      <c r="T62" s="92">
        <f>IF(AND(ISNUMBER(SEARCH("Espeto",N62)),ISNUMBER(SEARCH("Madalena",N62))),"SIM","")</f>
        <v/>
      </c>
      <c r="U62" s="92">
        <f>IF(AND(ISNUMBER(SEARCH("Espeto",N62)),ISNUMBER(SEARCH("Mariana",N62))),"SIM","")</f>
        <v/>
      </c>
      <c r="V62" s="92">
        <f>IF(AND(ISNUMBER(SEARCH("Espeto",N62)),ISNUMBER(SEARCH("Perdizes",N62))),"SIM","")</f>
        <v/>
      </c>
      <c r="W62" s="92">
        <f>IF(AND(ISNUMBER(SEARCH("Espeto",N62)),ISNUMBER(SEARCH("Santana",N62))),"SIM","")</f>
        <v/>
      </c>
      <c r="X62" s="92">
        <f>IF(AND(ISNUMBER(SEARCH("Espeto",N62)),ISNUMBER(SEARCH("André",N62))),"SIM","")</f>
        <v/>
      </c>
      <c r="Y62" s="92">
        <f>IF(AND(ISNUMBER(SEARCH("Delivery",N62)),ISNUMBER(SEARCH("Carin",N62))),"SIM","")</f>
        <v/>
      </c>
      <c r="Z62" s="92">
        <f>IF(AND(ISNUMBER(SEARCH("Delivery",N62)),ISNUMBER(SEARCH("Lapa",N62))),"SIM","")</f>
        <v/>
      </c>
      <c r="AA62" s="92">
        <f>IF(AND(ISNUMBER(SEARCH("Delivery",N62)),ISNUMBER(SEARCH("Tatuapé",N62))),"SIM","")</f>
        <v/>
      </c>
      <c r="AB62" s="92">
        <f>IF(AND(ISNUMBER(SEARCH("Delivery",N62)),ISNUMBER(SEARCH("Pavão",N62))),"SIM","")</f>
        <v/>
      </c>
      <c r="AC62" s="92">
        <f>IF(AND(ISNUMBER(SEARCH("Delivery",N62)),ISNUMBER(SEARCH("Chac",N62))),"SIM","")</f>
        <v/>
      </c>
      <c r="AD62" s="92">
        <f>IF(AND(ISNUMBER(SEARCH("Delivery",N62)),ISNUMBER(SEARCH("Madalena",N62))),"SIM","")</f>
        <v/>
      </c>
      <c r="AE62" s="92">
        <f>IF(AND(ISNUMBER(SEARCH("Delivery",N62)),ISNUMBER(SEARCH("Mariana",N62))),"SIM","")</f>
        <v/>
      </c>
      <c r="AF62" s="92">
        <f>IF(AND(ISNUMBER(SEARCH("Delivery",N62)),ISNUMBER(SEARCH("Perdizes",N62))),"SIM","")</f>
        <v/>
      </c>
      <c r="AG62" s="92">
        <f>IF(AND(ISNUMBER(SEARCH("Delivery",N62)),ISNUMBER(SEARCH("Santana",N62))),"SIM","")</f>
        <v/>
      </c>
      <c r="AH62" s="92">
        <f>IF(AND(ISNUMBER(SEARCH("Delivery",N62)),ISNUMBER(SEARCH("André",N62))),"SIM","")</f>
        <v/>
      </c>
      <c r="AI62" s="92">
        <f>IF(ISNUMBER(SEARCH("Interlagos",N62)),"SIM","")</f>
        <v/>
      </c>
      <c r="AJ62" s="92">
        <f>IF(ISNUMBER(SEARCH("Quiosque",N62)),"SIM","")</f>
        <v/>
      </c>
      <c r="AK62" s="93" t="n"/>
    </row>
    <row r="63">
      <c r="A63" s="88" t="inlineStr">
        <is>
          <t>Protheus</t>
        </is>
      </c>
      <c r="B63" s="96" t="inlineStr">
        <is>
          <t>002088</t>
        </is>
      </c>
      <c r="C63" s="97">
        <f>IF(B63="—","—",IFERROR(VLOOKUP(B63,_Protheus_Cadastro!$A:$B,2,FALSE),"—"))</f>
        <v/>
      </c>
      <c r="D63" s="98">
        <f>IF(B63="—",IFERROR(INDEX(_ZIG_Cadastro!$D:$D,MATCH(H63,_ZIG_Cadastro!$A:$A,0)),"Produto"),IFERROR(VLOOKUP(B63,_Protheus_Cadastro!$A:$C,3,FALSE),"—"))</f>
        <v/>
      </c>
      <c r="E63" s="98">
        <f>IF(B63="—","—",IFERROR(VLOOKUP(B63,_Protheus_Cadastro!$A:$D,4,FALSE),"—"))</f>
        <v/>
      </c>
      <c r="F63" s="98">
        <f>IF(ISERROR(VLOOKUP(B63,'Estrutura Protheus'!A:A,1,FALSE)),"Não","Sim")</f>
        <v/>
      </c>
      <c r="G63" s="99">
        <f>IFERROR(INDEX(_Protheus_Cadastro!$H:$H,MATCH(B63,_Protheus_Cadastro!$A:$A,0)),"—")</f>
        <v/>
      </c>
      <c r="H63" s="211">
        <f>IFERROR(INDEX(_ZIG_Precos!$D:$D,MATCH(I63,_ZIG_Precos!$F:$F,0)),"—")</f>
        <v/>
      </c>
      <c r="I63" s="103">
        <f>IFERROR(VLOOKUP(B63,_Protheus_Cadastro!$A:$I,9,FALSE),"—")</f>
        <v/>
      </c>
      <c r="J63" s="101">
        <f>IFERROR(INDEX(_ZIG_Cadastro!$B:$B,MATCH(I63,_ZIG_Cadastro!$A:$A,0)),IFERROR(INDEX(_Entradas_ZIG!$B:$B,MATCH(I63,_Entradas_ZIG!$C:$C,0)),"—"))</f>
        <v/>
      </c>
      <c r="K63" s="101">
        <f>IFERROR(INDEX(_ZIG_Cadastro!$C:$C,MATCH(I63,_ZIG_Cadastro!$A:$A,0)),IFERROR(INDEX(_Entradas_ZIG!$D:$D,MATCH(I63,_Entradas_ZIG!$C:$C,0)),"—"))</f>
        <v/>
      </c>
      <c r="L63" s="99">
        <f>IF(I63="","Sem SKU ZIG",IF(I63="—","Sem SKU ZIG",IF(NOT(ISERROR(MATCH(I63,_ZIG_Cadastro!$A:$A,0))),IF(EXACT(UPPER(TRIM(C63)),UPPER(TRIM(INDEX(_ZIG_Cadastro!$B:$B,MATCH(I63,_ZIG_Cadastro!$A:$A,0))))),"OK","Atencao - Nome diverge"),IF(NOT(ISERROR(MATCH(I63,_Entradas_ZIG!$C:$C,0))),"OK","Erro - SKU nao encontrado"))))</f>
        <v/>
      </c>
      <c r="M63" s="99">
        <f>IFERROR(INDEX(_ZIG_Cadastro!$G:$G,MATCH(I63,_ZIG_Cadastro!$A:$A,0)),IF(NOT(ISERROR(MATCH(I63,_Entradas_ZIG!$C:$C,0))),"Ativo","—"))</f>
        <v/>
      </c>
      <c r="N63" s="102">
        <f>IFERROR(INDEX(_ZIG_Cadastro!$E:$E,MATCH(I63,_ZIG_Cadastro!$A:$A,0)),IFERROR(INDEX(_Entradas_ZIG!$F:$F,MATCH(I63,_Entradas_ZIG!$C:$C,0)),"—"))</f>
        <v/>
      </c>
      <c r="O63" s="99">
        <f>IF(AND(ISNUMBER(SEARCH("Espeto",N63)),ISNUMBER(SEARCH("Carin",N63))),"SIM","")</f>
        <v/>
      </c>
      <c r="P63" s="99">
        <f>IF(AND(ISNUMBER(SEARCH("Espeto",N63)),ISNUMBER(SEARCH("Lapa",N63))),"SIM","")</f>
        <v/>
      </c>
      <c r="Q63" s="99">
        <f>IF(AND(ISNUMBER(SEARCH("Espeto",N63)),ISNUMBER(SEARCH("Tatuapé",N63))),"SIM","")</f>
        <v/>
      </c>
      <c r="R63" s="99">
        <f>IF(AND(ISNUMBER(SEARCH("Espeto",N63)),ISNUMBER(SEARCH("Pavão",N63))),"SIM","")</f>
        <v/>
      </c>
      <c r="S63" s="99">
        <f>IF(AND(ISNUMBER(SEARCH("Espeto",N63)),ISNUMBER(SEARCH("Chac",N63))),"SIM","")</f>
        <v/>
      </c>
      <c r="T63" s="99">
        <f>IF(AND(ISNUMBER(SEARCH("Espeto",N63)),ISNUMBER(SEARCH("Madalena",N63))),"SIM","")</f>
        <v/>
      </c>
      <c r="U63" s="99">
        <f>IF(AND(ISNUMBER(SEARCH("Espeto",N63)),ISNUMBER(SEARCH("Mariana",N63))),"SIM","")</f>
        <v/>
      </c>
      <c r="V63" s="99">
        <f>IF(AND(ISNUMBER(SEARCH("Espeto",N63)),ISNUMBER(SEARCH("Perdizes",N63))),"SIM","")</f>
        <v/>
      </c>
      <c r="W63" s="99">
        <f>IF(AND(ISNUMBER(SEARCH("Espeto",N63)),ISNUMBER(SEARCH("Santana",N63))),"SIM","")</f>
        <v/>
      </c>
      <c r="X63" s="99">
        <f>IF(AND(ISNUMBER(SEARCH("Espeto",N63)),ISNUMBER(SEARCH("André",N63))),"SIM","")</f>
        <v/>
      </c>
      <c r="Y63" s="99">
        <f>IF(AND(ISNUMBER(SEARCH("Delivery",N63)),ISNUMBER(SEARCH("Carin",N63))),"SIM","")</f>
        <v/>
      </c>
      <c r="Z63" s="99">
        <f>IF(AND(ISNUMBER(SEARCH("Delivery",N63)),ISNUMBER(SEARCH("Lapa",N63))),"SIM","")</f>
        <v/>
      </c>
      <c r="AA63" s="99">
        <f>IF(AND(ISNUMBER(SEARCH("Delivery",N63)),ISNUMBER(SEARCH("Tatuapé",N63))),"SIM","")</f>
        <v/>
      </c>
      <c r="AB63" s="99">
        <f>IF(AND(ISNUMBER(SEARCH("Delivery",N63)),ISNUMBER(SEARCH("Pavão",N63))),"SIM","")</f>
        <v/>
      </c>
      <c r="AC63" s="99">
        <f>IF(AND(ISNUMBER(SEARCH("Delivery",N63)),ISNUMBER(SEARCH("Chac",N63))),"SIM","")</f>
        <v/>
      </c>
      <c r="AD63" s="99">
        <f>IF(AND(ISNUMBER(SEARCH("Delivery",N63)),ISNUMBER(SEARCH("Madalena",N63))),"SIM","")</f>
        <v/>
      </c>
      <c r="AE63" s="99">
        <f>IF(AND(ISNUMBER(SEARCH("Delivery",N63)),ISNUMBER(SEARCH("Mariana",N63))),"SIM","")</f>
        <v/>
      </c>
      <c r="AF63" s="99">
        <f>IF(AND(ISNUMBER(SEARCH("Delivery",N63)),ISNUMBER(SEARCH("Perdizes",N63))),"SIM","")</f>
        <v/>
      </c>
      <c r="AG63" s="99">
        <f>IF(AND(ISNUMBER(SEARCH("Delivery",N63)),ISNUMBER(SEARCH("Santana",N63))),"SIM","")</f>
        <v/>
      </c>
      <c r="AH63" s="99">
        <f>IF(AND(ISNUMBER(SEARCH("Delivery",N63)),ISNUMBER(SEARCH("André",N63))),"SIM","")</f>
        <v/>
      </c>
      <c r="AI63" s="99">
        <f>IF(ISNUMBER(SEARCH("Interlagos",N63)),"SIM","")</f>
        <v/>
      </c>
      <c r="AJ63" s="99">
        <f>IF(ISNUMBER(SEARCH("Quiosque",N63)),"SIM","")</f>
        <v/>
      </c>
      <c r="AK63" s="101" t="n"/>
    </row>
    <row r="64">
      <c r="A64" s="88" t="inlineStr">
        <is>
          <t>Protheus</t>
        </is>
      </c>
      <c r="B64" s="89" t="inlineStr">
        <is>
          <t>002092</t>
        </is>
      </c>
      <c r="C64" s="90">
        <f>IF(B64="—","—",IFERROR(VLOOKUP(B64,_Protheus_Cadastro!$A:$B,2,FALSE),"—"))</f>
        <v/>
      </c>
      <c r="D64" s="91">
        <f>IF(B64="—",IFERROR(INDEX(_ZIG_Cadastro!$D:$D,MATCH(H64,_ZIG_Cadastro!$A:$A,0)),"Produto"),IFERROR(VLOOKUP(B64,_Protheus_Cadastro!$A:$C,3,FALSE),"—"))</f>
        <v/>
      </c>
      <c r="E64" s="91">
        <f>IF(B64="—","—",IFERROR(VLOOKUP(B64,_Protheus_Cadastro!$A:$D,4,FALSE),"—"))</f>
        <v/>
      </c>
      <c r="F64" s="91">
        <f>IF(ISERROR(VLOOKUP(B64,'Estrutura Protheus'!A:A,1,FALSE)),"Não","Sim")</f>
        <v/>
      </c>
      <c r="G64" s="92">
        <f>IFERROR(INDEX(_Protheus_Cadastro!$H:$H,MATCH(B64,_Protheus_Cadastro!$A:$A,0)),"—")</f>
        <v/>
      </c>
      <c r="H64" s="210">
        <f>IFERROR(INDEX(_ZIG_Precos!$D:$D,MATCH(I64,_ZIG_Precos!$F:$F,0)),"—")</f>
        <v/>
      </c>
      <c r="I64" s="95">
        <f>IFERROR(VLOOKUP(B64,_Protheus_Cadastro!$A:$I,9,FALSE),"—")</f>
        <v/>
      </c>
      <c r="J64" s="93">
        <f>IFERROR(INDEX(_ZIG_Cadastro!$B:$B,MATCH(I64,_ZIG_Cadastro!$A:$A,0)),IFERROR(INDEX(_Entradas_ZIG!$B:$B,MATCH(I64,_Entradas_ZIG!$C:$C,0)),"—"))</f>
        <v/>
      </c>
      <c r="K64" s="93">
        <f>IFERROR(INDEX(_ZIG_Cadastro!$C:$C,MATCH(I64,_ZIG_Cadastro!$A:$A,0)),IFERROR(INDEX(_Entradas_ZIG!$D:$D,MATCH(I64,_Entradas_ZIG!$C:$C,0)),"—"))</f>
        <v/>
      </c>
      <c r="L64" s="92">
        <f>IF(I64="","Sem SKU ZIG",IF(I64="—","Sem SKU ZIG",IF(NOT(ISERROR(MATCH(I64,_ZIG_Cadastro!$A:$A,0))),IF(EXACT(UPPER(TRIM(C64)),UPPER(TRIM(INDEX(_ZIG_Cadastro!$B:$B,MATCH(I64,_ZIG_Cadastro!$A:$A,0))))),"OK","Atencao - Nome diverge"),IF(NOT(ISERROR(MATCH(I64,_Entradas_ZIG!$C:$C,0))),"OK","Erro - SKU nao encontrado"))))</f>
        <v/>
      </c>
      <c r="M64" s="92">
        <f>IFERROR(INDEX(_ZIG_Cadastro!$G:$G,MATCH(I64,_ZIG_Cadastro!$A:$A,0)),IF(NOT(ISERROR(MATCH(I64,_Entradas_ZIG!$C:$C,0))),"Ativo","—"))</f>
        <v/>
      </c>
      <c r="N64" s="94">
        <f>IFERROR(INDEX(_ZIG_Cadastro!$E:$E,MATCH(I64,_ZIG_Cadastro!$A:$A,0)),IFERROR(INDEX(_Entradas_ZIG!$F:$F,MATCH(I64,_Entradas_ZIG!$C:$C,0)),"—"))</f>
        <v/>
      </c>
      <c r="O64" s="92">
        <f>IF(AND(ISNUMBER(SEARCH("Espeto",N64)),ISNUMBER(SEARCH("Carin",N64))),"SIM","")</f>
        <v/>
      </c>
      <c r="P64" s="92">
        <f>IF(AND(ISNUMBER(SEARCH("Espeto",N64)),ISNUMBER(SEARCH("Lapa",N64))),"SIM","")</f>
        <v/>
      </c>
      <c r="Q64" s="92">
        <f>IF(AND(ISNUMBER(SEARCH("Espeto",N64)),ISNUMBER(SEARCH("Tatuapé",N64))),"SIM","")</f>
        <v/>
      </c>
      <c r="R64" s="92">
        <f>IF(AND(ISNUMBER(SEARCH("Espeto",N64)),ISNUMBER(SEARCH("Pavão",N64))),"SIM","")</f>
        <v/>
      </c>
      <c r="S64" s="92">
        <f>IF(AND(ISNUMBER(SEARCH("Espeto",N64)),ISNUMBER(SEARCH("Chac",N64))),"SIM","")</f>
        <v/>
      </c>
      <c r="T64" s="92">
        <f>IF(AND(ISNUMBER(SEARCH("Espeto",N64)),ISNUMBER(SEARCH("Madalena",N64))),"SIM","")</f>
        <v/>
      </c>
      <c r="U64" s="92">
        <f>IF(AND(ISNUMBER(SEARCH("Espeto",N64)),ISNUMBER(SEARCH("Mariana",N64))),"SIM","")</f>
        <v/>
      </c>
      <c r="V64" s="92">
        <f>IF(AND(ISNUMBER(SEARCH("Espeto",N64)),ISNUMBER(SEARCH("Perdizes",N64))),"SIM","")</f>
        <v/>
      </c>
      <c r="W64" s="92">
        <f>IF(AND(ISNUMBER(SEARCH("Espeto",N64)),ISNUMBER(SEARCH("Santana",N64))),"SIM","")</f>
        <v/>
      </c>
      <c r="X64" s="92">
        <f>IF(AND(ISNUMBER(SEARCH("Espeto",N64)),ISNUMBER(SEARCH("André",N64))),"SIM","")</f>
        <v/>
      </c>
      <c r="Y64" s="92">
        <f>IF(AND(ISNUMBER(SEARCH("Delivery",N64)),ISNUMBER(SEARCH("Carin",N64))),"SIM","")</f>
        <v/>
      </c>
      <c r="Z64" s="92">
        <f>IF(AND(ISNUMBER(SEARCH("Delivery",N64)),ISNUMBER(SEARCH("Lapa",N64))),"SIM","")</f>
        <v/>
      </c>
      <c r="AA64" s="92">
        <f>IF(AND(ISNUMBER(SEARCH("Delivery",N64)),ISNUMBER(SEARCH("Tatuapé",N64))),"SIM","")</f>
        <v/>
      </c>
      <c r="AB64" s="92">
        <f>IF(AND(ISNUMBER(SEARCH("Delivery",N64)),ISNUMBER(SEARCH("Pavão",N64))),"SIM","")</f>
        <v/>
      </c>
      <c r="AC64" s="92">
        <f>IF(AND(ISNUMBER(SEARCH("Delivery",N64)),ISNUMBER(SEARCH("Chac",N64))),"SIM","")</f>
        <v/>
      </c>
      <c r="AD64" s="92">
        <f>IF(AND(ISNUMBER(SEARCH("Delivery",N64)),ISNUMBER(SEARCH("Madalena",N64))),"SIM","")</f>
        <v/>
      </c>
      <c r="AE64" s="92">
        <f>IF(AND(ISNUMBER(SEARCH("Delivery",N64)),ISNUMBER(SEARCH("Mariana",N64))),"SIM","")</f>
        <v/>
      </c>
      <c r="AF64" s="92">
        <f>IF(AND(ISNUMBER(SEARCH("Delivery",N64)),ISNUMBER(SEARCH("Perdizes",N64))),"SIM","")</f>
        <v/>
      </c>
      <c r="AG64" s="92">
        <f>IF(AND(ISNUMBER(SEARCH("Delivery",N64)),ISNUMBER(SEARCH("Santana",N64))),"SIM","")</f>
        <v/>
      </c>
      <c r="AH64" s="92">
        <f>IF(AND(ISNUMBER(SEARCH("Delivery",N64)),ISNUMBER(SEARCH("André",N64))),"SIM","")</f>
        <v/>
      </c>
      <c r="AI64" s="92">
        <f>IF(ISNUMBER(SEARCH("Interlagos",N64)),"SIM","")</f>
        <v/>
      </c>
      <c r="AJ64" s="92">
        <f>IF(ISNUMBER(SEARCH("Quiosque",N64)),"SIM","")</f>
        <v/>
      </c>
      <c r="AK64" s="93" t="n"/>
    </row>
    <row r="65">
      <c r="A65" s="88" t="inlineStr">
        <is>
          <t>Protheus</t>
        </is>
      </c>
      <c r="B65" s="96" t="inlineStr">
        <is>
          <t>002084</t>
        </is>
      </c>
      <c r="C65" s="97">
        <f>IF(B65="—","—",IFERROR(VLOOKUP(B65,_Protheus_Cadastro!$A:$B,2,FALSE),"—"))</f>
        <v/>
      </c>
      <c r="D65" s="98">
        <f>IF(B65="—",IFERROR(INDEX(_ZIG_Cadastro!$D:$D,MATCH(H65,_ZIG_Cadastro!$A:$A,0)),"Produto"),IFERROR(VLOOKUP(B65,_Protheus_Cadastro!$A:$C,3,FALSE),"—"))</f>
        <v/>
      </c>
      <c r="E65" s="98">
        <f>IF(B65="—","—",IFERROR(VLOOKUP(B65,_Protheus_Cadastro!$A:$D,4,FALSE),"—"))</f>
        <v/>
      </c>
      <c r="F65" s="98">
        <f>IF(ISERROR(VLOOKUP(B65,'Estrutura Protheus'!A:A,1,FALSE)),"Não","Sim")</f>
        <v/>
      </c>
      <c r="G65" s="99">
        <f>IFERROR(INDEX(_Protheus_Cadastro!$H:$H,MATCH(B65,_Protheus_Cadastro!$A:$A,0)),"—")</f>
        <v/>
      </c>
      <c r="H65" s="211">
        <f>IFERROR(INDEX(_ZIG_Precos!$D:$D,MATCH(I65,_ZIG_Precos!$F:$F,0)),"—")</f>
        <v/>
      </c>
      <c r="I65" s="103">
        <f>IFERROR(VLOOKUP(B65,_Protheus_Cadastro!$A:$I,9,FALSE),"—")</f>
        <v/>
      </c>
      <c r="J65" s="101">
        <f>IFERROR(INDEX(_ZIG_Cadastro!$B:$B,MATCH(I65,_ZIG_Cadastro!$A:$A,0)),IFERROR(INDEX(_Entradas_ZIG!$B:$B,MATCH(I65,_Entradas_ZIG!$C:$C,0)),"—"))</f>
        <v/>
      </c>
      <c r="K65" s="101">
        <f>IFERROR(INDEX(_ZIG_Cadastro!$C:$C,MATCH(I65,_ZIG_Cadastro!$A:$A,0)),IFERROR(INDEX(_Entradas_ZIG!$D:$D,MATCH(I65,_Entradas_ZIG!$C:$C,0)),"—"))</f>
        <v/>
      </c>
      <c r="L65" s="99">
        <f>IF(I65="","Sem SKU ZIG",IF(I65="—","Sem SKU ZIG",IF(NOT(ISERROR(MATCH(I65,_ZIG_Cadastro!$A:$A,0))),IF(EXACT(UPPER(TRIM(C65)),UPPER(TRIM(INDEX(_ZIG_Cadastro!$B:$B,MATCH(I65,_ZIG_Cadastro!$A:$A,0))))),"OK","Atencao - Nome diverge"),IF(NOT(ISERROR(MATCH(I65,_Entradas_ZIG!$C:$C,0))),"OK","Erro - SKU nao encontrado"))))</f>
        <v/>
      </c>
      <c r="M65" s="99">
        <f>IFERROR(INDEX(_ZIG_Cadastro!$G:$G,MATCH(I65,_ZIG_Cadastro!$A:$A,0)),IF(NOT(ISERROR(MATCH(I65,_Entradas_ZIG!$C:$C,0))),"Ativo","—"))</f>
        <v/>
      </c>
      <c r="N65" s="102">
        <f>IFERROR(INDEX(_ZIG_Cadastro!$E:$E,MATCH(I65,_ZIG_Cadastro!$A:$A,0)),IFERROR(INDEX(_Entradas_ZIG!$F:$F,MATCH(I65,_Entradas_ZIG!$C:$C,0)),"—"))</f>
        <v/>
      </c>
      <c r="O65" s="99">
        <f>IF(AND(ISNUMBER(SEARCH("Espeto",N65)),ISNUMBER(SEARCH("Carin",N65))),"SIM","")</f>
        <v/>
      </c>
      <c r="P65" s="99">
        <f>IF(AND(ISNUMBER(SEARCH("Espeto",N65)),ISNUMBER(SEARCH("Lapa",N65))),"SIM","")</f>
        <v/>
      </c>
      <c r="Q65" s="99">
        <f>IF(AND(ISNUMBER(SEARCH("Espeto",N65)),ISNUMBER(SEARCH("Tatuapé",N65))),"SIM","")</f>
        <v/>
      </c>
      <c r="R65" s="99">
        <f>IF(AND(ISNUMBER(SEARCH("Espeto",N65)),ISNUMBER(SEARCH("Pavão",N65))),"SIM","")</f>
        <v/>
      </c>
      <c r="S65" s="99">
        <f>IF(AND(ISNUMBER(SEARCH("Espeto",N65)),ISNUMBER(SEARCH("Chac",N65))),"SIM","")</f>
        <v/>
      </c>
      <c r="T65" s="99">
        <f>IF(AND(ISNUMBER(SEARCH("Espeto",N65)),ISNUMBER(SEARCH("Madalena",N65))),"SIM","")</f>
        <v/>
      </c>
      <c r="U65" s="99">
        <f>IF(AND(ISNUMBER(SEARCH("Espeto",N65)),ISNUMBER(SEARCH("Mariana",N65))),"SIM","")</f>
        <v/>
      </c>
      <c r="V65" s="99">
        <f>IF(AND(ISNUMBER(SEARCH("Espeto",N65)),ISNUMBER(SEARCH("Perdizes",N65))),"SIM","")</f>
        <v/>
      </c>
      <c r="W65" s="99">
        <f>IF(AND(ISNUMBER(SEARCH("Espeto",N65)),ISNUMBER(SEARCH("Santana",N65))),"SIM","")</f>
        <v/>
      </c>
      <c r="X65" s="99">
        <f>IF(AND(ISNUMBER(SEARCH("Espeto",N65)),ISNUMBER(SEARCH("André",N65))),"SIM","")</f>
        <v/>
      </c>
      <c r="Y65" s="99">
        <f>IF(AND(ISNUMBER(SEARCH("Delivery",N65)),ISNUMBER(SEARCH("Carin",N65))),"SIM","")</f>
        <v/>
      </c>
      <c r="Z65" s="99">
        <f>IF(AND(ISNUMBER(SEARCH("Delivery",N65)),ISNUMBER(SEARCH("Lapa",N65))),"SIM","")</f>
        <v/>
      </c>
      <c r="AA65" s="99">
        <f>IF(AND(ISNUMBER(SEARCH("Delivery",N65)),ISNUMBER(SEARCH("Tatuapé",N65))),"SIM","")</f>
        <v/>
      </c>
      <c r="AB65" s="99">
        <f>IF(AND(ISNUMBER(SEARCH("Delivery",N65)),ISNUMBER(SEARCH("Pavão",N65))),"SIM","")</f>
        <v/>
      </c>
      <c r="AC65" s="99">
        <f>IF(AND(ISNUMBER(SEARCH("Delivery",N65)),ISNUMBER(SEARCH("Chac",N65))),"SIM","")</f>
        <v/>
      </c>
      <c r="AD65" s="99">
        <f>IF(AND(ISNUMBER(SEARCH("Delivery",N65)),ISNUMBER(SEARCH("Madalena",N65))),"SIM","")</f>
        <v/>
      </c>
      <c r="AE65" s="99">
        <f>IF(AND(ISNUMBER(SEARCH("Delivery",N65)),ISNUMBER(SEARCH("Mariana",N65))),"SIM","")</f>
        <v/>
      </c>
      <c r="AF65" s="99">
        <f>IF(AND(ISNUMBER(SEARCH("Delivery",N65)),ISNUMBER(SEARCH("Perdizes",N65))),"SIM","")</f>
        <v/>
      </c>
      <c r="AG65" s="99">
        <f>IF(AND(ISNUMBER(SEARCH("Delivery",N65)),ISNUMBER(SEARCH("Santana",N65))),"SIM","")</f>
        <v/>
      </c>
      <c r="AH65" s="99">
        <f>IF(AND(ISNUMBER(SEARCH("Delivery",N65)),ISNUMBER(SEARCH("André",N65))),"SIM","")</f>
        <v/>
      </c>
      <c r="AI65" s="99">
        <f>IF(ISNUMBER(SEARCH("Interlagos",N65)),"SIM","")</f>
        <v/>
      </c>
      <c r="AJ65" s="99">
        <f>IF(ISNUMBER(SEARCH("Quiosque",N65)),"SIM","")</f>
        <v/>
      </c>
      <c r="AK65" s="101" t="n"/>
    </row>
    <row r="66">
      <c r="A66" s="88" t="inlineStr">
        <is>
          <t>Protheus</t>
        </is>
      </c>
      <c r="B66" s="89" t="inlineStr">
        <is>
          <t>002201</t>
        </is>
      </c>
      <c r="C66" s="90">
        <f>IF(B66="—","—",IFERROR(VLOOKUP(B66,_Protheus_Cadastro!$A:$B,2,FALSE),"—"))</f>
        <v/>
      </c>
      <c r="D66" s="91">
        <f>IF(B66="—",IFERROR(INDEX(_ZIG_Cadastro!$D:$D,MATCH(H66,_ZIG_Cadastro!$A:$A,0)),"Produto"),IFERROR(VLOOKUP(B66,_Protheus_Cadastro!$A:$C,3,FALSE),"—"))</f>
        <v/>
      </c>
      <c r="E66" s="91">
        <f>IF(B66="—","—",IFERROR(VLOOKUP(B66,_Protheus_Cadastro!$A:$D,4,FALSE),"—"))</f>
        <v/>
      </c>
      <c r="F66" s="91">
        <f>IF(ISERROR(VLOOKUP(B66,'Estrutura Protheus'!A:A,1,FALSE)),"Não","Sim")</f>
        <v/>
      </c>
      <c r="G66" s="92">
        <f>IFERROR(INDEX(_Protheus_Cadastro!$H:$H,MATCH(B66,_Protheus_Cadastro!$A:$A,0)),"—")</f>
        <v/>
      </c>
      <c r="H66" s="210">
        <f>IFERROR(INDEX(_ZIG_Precos!$D:$D,MATCH(I66,_ZIG_Precos!$F:$F,0)),"—")</f>
        <v/>
      </c>
      <c r="I66" s="95">
        <f>IFERROR(VLOOKUP(B66,_Protheus_Cadastro!$A:$I,9,FALSE),"—")</f>
        <v/>
      </c>
      <c r="J66" s="93">
        <f>IFERROR(INDEX(_ZIG_Cadastro!$B:$B,MATCH(I66,_ZIG_Cadastro!$A:$A,0)),IFERROR(INDEX(_Entradas_ZIG!$B:$B,MATCH(I66,_Entradas_ZIG!$C:$C,0)),"—"))</f>
        <v/>
      </c>
      <c r="K66" s="93">
        <f>IFERROR(INDEX(_ZIG_Cadastro!$C:$C,MATCH(I66,_ZIG_Cadastro!$A:$A,0)),IFERROR(INDEX(_Entradas_ZIG!$D:$D,MATCH(I66,_Entradas_ZIG!$C:$C,0)),"—"))</f>
        <v/>
      </c>
      <c r="L66" s="92">
        <f>IF(I66="","Sem SKU ZIG",IF(I66="—","Sem SKU ZIG",IF(NOT(ISERROR(MATCH(I66,_ZIG_Cadastro!$A:$A,0))),IF(EXACT(UPPER(TRIM(C66)),UPPER(TRIM(INDEX(_ZIG_Cadastro!$B:$B,MATCH(I66,_ZIG_Cadastro!$A:$A,0))))),"OK","Atencao - Nome diverge"),IF(NOT(ISERROR(MATCH(I66,_Entradas_ZIG!$C:$C,0))),"OK","Erro - SKU nao encontrado"))))</f>
        <v/>
      </c>
      <c r="M66" s="92">
        <f>IFERROR(INDEX(_ZIG_Cadastro!$G:$G,MATCH(I66,_ZIG_Cadastro!$A:$A,0)),IF(NOT(ISERROR(MATCH(I66,_Entradas_ZIG!$C:$C,0))),"Ativo","—"))</f>
        <v/>
      </c>
      <c r="N66" s="94">
        <f>IFERROR(INDEX(_ZIG_Cadastro!$E:$E,MATCH(I66,_ZIG_Cadastro!$A:$A,0)),IFERROR(INDEX(_Entradas_ZIG!$F:$F,MATCH(I66,_Entradas_ZIG!$C:$C,0)),"—"))</f>
        <v/>
      </c>
      <c r="O66" s="92">
        <f>IF(AND(ISNUMBER(SEARCH("Espeto",N66)),ISNUMBER(SEARCH("Carin",N66))),"SIM","")</f>
        <v/>
      </c>
      <c r="P66" s="92">
        <f>IF(AND(ISNUMBER(SEARCH("Espeto",N66)),ISNUMBER(SEARCH("Lapa",N66))),"SIM","")</f>
        <v/>
      </c>
      <c r="Q66" s="92">
        <f>IF(AND(ISNUMBER(SEARCH("Espeto",N66)),ISNUMBER(SEARCH("Tatuapé",N66))),"SIM","")</f>
        <v/>
      </c>
      <c r="R66" s="92">
        <f>IF(AND(ISNUMBER(SEARCH("Espeto",N66)),ISNUMBER(SEARCH("Pavão",N66))),"SIM","")</f>
        <v/>
      </c>
      <c r="S66" s="92">
        <f>IF(AND(ISNUMBER(SEARCH("Espeto",N66)),ISNUMBER(SEARCH("Chac",N66))),"SIM","")</f>
        <v/>
      </c>
      <c r="T66" s="92">
        <f>IF(AND(ISNUMBER(SEARCH("Espeto",N66)),ISNUMBER(SEARCH("Madalena",N66))),"SIM","")</f>
        <v/>
      </c>
      <c r="U66" s="92">
        <f>IF(AND(ISNUMBER(SEARCH("Espeto",N66)),ISNUMBER(SEARCH("Mariana",N66))),"SIM","")</f>
        <v/>
      </c>
      <c r="V66" s="92">
        <f>IF(AND(ISNUMBER(SEARCH("Espeto",N66)),ISNUMBER(SEARCH("Perdizes",N66))),"SIM","")</f>
        <v/>
      </c>
      <c r="W66" s="92">
        <f>IF(AND(ISNUMBER(SEARCH("Espeto",N66)),ISNUMBER(SEARCH("Santana",N66))),"SIM","")</f>
        <v/>
      </c>
      <c r="X66" s="92">
        <f>IF(AND(ISNUMBER(SEARCH("Espeto",N66)),ISNUMBER(SEARCH("André",N66))),"SIM","")</f>
        <v/>
      </c>
      <c r="Y66" s="92">
        <f>IF(AND(ISNUMBER(SEARCH("Delivery",N66)),ISNUMBER(SEARCH("Carin",N66))),"SIM","")</f>
        <v/>
      </c>
      <c r="Z66" s="92">
        <f>IF(AND(ISNUMBER(SEARCH("Delivery",N66)),ISNUMBER(SEARCH("Lapa",N66))),"SIM","")</f>
        <v/>
      </c>
      <c r="AA66" s="92">
        <f>IF(AND(ISNUMBER(SEARCH("Delivery",N66)),ISNUMBER(SEARCH("Tatuapé",N66))),"SIM","")</f>
        <v/>
      </c>
      <c r="AB66" s="92">
        <f>IF(AND(ISNUMBER(SEARCH("Delivery",N66)),ISNUMBER(SEARCH("Pavão",N66))),"SIM","")</f>
        <v/>
      </c>
      <c r="AC66" s="92">
        <f>IF(AND(ISNUMBER(SEARCH("Delivery",N66)),ISNUMBER(SEARCH("Chac",N66))),"SIM","")</f>
        <v/>
      </c>
      <c r="AD66" s="92">
        <f>IF(AND(ISNUMBER(SEARCH("Delivery",N66)),ISNUMBER(SEARCH("Madalena",N66))),"SIM","")</f>
        <v/>
      </c>
      <c r="AE66" s="92">
        <f>IF(AND(ISNUMBER(SEARCH("Delivery",N66)),ISNUMBER(SEARCH("Mariana",N66))),"SIM","")</f>
        <v/>
      </c>
      <c r="AF66" s="92">
        <f>IF(AND(ISNUMBER(SEARCH("Delivery",N66)),ISNUMBER(SEARCH("Perdizes",N66))),"SIM","")</f>
        <v/>
      </c>
      <c r="AG66" s="92">
        <f>IF(AND(ISNUMBER(SEARCH("Delivery",N66)),ISNUMBER(SEARCH("Santana",N66))),"SIM","")</f>
        <v/>
      </c>
      <c r="AH66" s="92">
        <f>IF(AND(ISNUMBER(SEARCH("Delivery",N66)),ISNUMBER(SEARCH("André",N66))),"SIM","")</f>
        <v/>
      </c>
      <c r="AI66" s="92">
        <f>IF(ISNUMBER(SEARCH("Interlagos",N66)),"SIM","")</f>
        <v/>
      </c>
      <c r="AJ66" s="92">
        <f>IF(ISNUMBER(SEARCH("Quiosque",N66)),"SIM","")</f>
        <v/>
      </c>
      <c r="AK66" s="93" t="n"/>
    </row>
    <row r="67">
      <c r="A67" s="88" t="inlineStr">
        <is>
          <t>Protheus</t>
        </is>
      </c>
      <c r="B67" s="96" t="inlineStr">
        <is>
          <t>002085</t>
        </is>
      </c>
      <c r="C67" s="97">
        <f>IF(B67="—","—",IFERROR(VLOOKUP(B67,_Protheus_Cadastro!$A:$B,2,FALSE),"—"))</f>
        <v/>
      </c>
      <c r="D67" s="98">
        <f>IF(B67="—",IFERROR(INDEX(_ZIG_Cadastro!$D:$D,MATCH(H67,_ZIG_Cadastro!$A:$A,0)),"Produto"),IFERROR(VLOOKUP(B67,_Protheus_Cadastro!$A:$C,3,FALSE),"—"))</f>
        <v/>
      </c>
      <c r="E67" s="98">
        <f>IF(B67="—","—",IFERROR(VLOOKUP(B67,_Protheus_Cadastro!$A:$D,4,FALSE),"—"))</f>
        <v/>
      </c>
      <c r="F67" s="98">
        <f>IF(ISERROR(VLOOKUP(B67,'Estrutura Protheus'!A:A,1,FALSE)),"Não","Sim")</f>
        <v/>
      </c>
      <c r="G67" s="99">
        <f>IFERROR(INDEX(_Protheus_Cadastro!$H:$H,MATCH(B67,_Protheus_Cadastro!$A:$A,0)),"—")</f>
        <v/>
      </c>
      <c r="H67" s="211">
        <f>IFERROR(INDEX(_ZIG_Precos!$D:$D,MATCH(I67,_ZIG_Precos!$F:$F,0)),"—")</f>
        <v/>
      </c>
      <c r="I67" s="103">
        <f>IFERROR(VLOOKUP(B67,_Protheus_Cadastro!$A:$I,9,FALSE),"—")</f>
        <v/>
      </c>
      <c r="J67" s="101">
        <f>IFERROR(INDEX(_ZIG_Cadastro!$B:$B,MATCH(I67,_ZIG_Cadastro!$A:$A,0)),IFERROR(INDEX(_Entradas_ZIG!$B:$B,MATCH(I67,_Entradas_ZIG!$C:$C,0)),"—"))</f>
        <v/>
      </c>
      <c r="K67" s="101">
        <f>IFERROR(INDEX(_ZIG_Cadastro!$C:$C,MATCH(I67,_ZIG_Cadastro!$A:$A,0)),IFERROR(INDEX(_Entradas_ZIG!$D:$D,MATCH(I67,_Entradas_ZIG!$C:$C,0)),"—"))</f>
        <v/>
      </c>
      <c r="L67" s="99">
        <f>IF(I67="","Sem SKU ZIG",IF(I67="—","Sem SKU ZIG",IF(NOT(ISERROR(MATCH(I67,_ZIG_Cadastro!$A:$A,0))),IF(EXACT(UPPER(TRIM(C67)),UPPER(TRIM(INDEX(_ZIG_Cadastro!$B:$B,MATCH(I67,_ZIG_Cadastro!$A:$A,0))))),"OK","Atencao - Nome diverge"),IF(NOT(ISERROR(MATCH(I67,_Entradas_ZIG!$C:$C,0))),"OK","Erro - SKU nao encontrado"))))</f>
        <v/>
      </c>
      <c r="M67" s="99">
        <f>IFERROR(INDEX(_ZIG_Cadastro!$G:$G,MATCH(I67,_ZIG_Cadastro!$A:$A,0)),IF(NOT(ISERROR(MATCH(I67,_Entradas_ZIG!$C:$C,0))),"Ativo","—"))</f>
        <v/>
      </c>
      <c r="N67" s="102">
        <f>IFERROR(INDEX(_ZIG_Cadastro!$E:$E,MATCH(I67,_ZIG_Cadastro!$A:$A,0)),IFERROR(INDEX(_Entradas_ZIG!$F:$F,MATCH(I67,_Entradas_ZIG!$C:$C,0)),"—"))</f>
        <v/>
      </c>
      <c r="O67" s="99">
        <f>IF(AND(ISNUMBER(SEARCH("Espeto",N67)),ISNUMBER(SEARCH("Carin",N67))),"SIM","")</f>
        <v/>
      </c>
      <c r="P67" s="99">
        <f>IF(AND(ISNUMBER(SEARCH("Espeto",N67)),ISNUMBER(SEARCH("Lapa",N67))),"SIM","")</f>
        <v/>
      </c>
      <c r="Q67" s="99">
        <f>IF(AND(ISNUMBER(SEARCH("Espeto",N67)),ISNUMBER(SEARCH("Tatuapé",N67))),"SIM","")</f>
        <v/>
      </c>
      <c r="R67" s="99">
        <f>IF(AND(ISNUMBER(SEARCH("Espeto",N67)),ISNUMBER(SEARCH("Pavão",N67))),"SIM","")</f>
        <v/>
      </c>
      <c r="S67" s="99">
        <f>IF(AND(ISNUMBER(SEARCH("Espeto",N67)),ISNUMBER(SEARCH("Chac",N67))),"SIM","")</f>
        <v/>
      </c>
      <c r="T67" s="99">
        <f>IF(AND(ISNUMBER(SEARCH("Espeto",N67)),ISNUMBER(SEARCH("Madalena",N67))),"SIM","")</f>
        <v/>
      </c>
      <c r="U67" s="99">
        <f>IF(AND(ISNUMBER(SEARCH("Espeto",N67)),ISNUMBER(SEARCH("Mariana",N67))),"SIM","")</f>
        <v/>
      </c>
      <c r="V67" s="99">
        <f>IF(AND(ISNUMBER(SEARCH("Espeto",N67)),ISNUMBER(SEARCH("Perdizes",N67))),"SIM","")</f>
        <v/>
      </c>
      <c r="W67" s="99">
        <f>IF(AND(ISNUMBER(SEARCH("Espeto",N67)),ISNUMBER(SEARCH("Santana",N67))),"SIM","")</f>
        <v/>
      </c>
      <c r="X67" s="99">
        <f>IF(AND(ISNUMBER(SEARCH("Espeto",N67)),ISNUMBER(SEARCH("André",N67))),"SIM","")</f>
        <v/>
      </c>
      <c r="Y67" s="99">
        <f>IF(AND(ISNUMBER(SEARCH("Delivery",N67)),ISNUMBER(SEARCH("Carin",N67))),"SIM","")</f>
        <v/>
      </c>
      <c r="Z67" s="99">
        <f>IF(AND(ISNUMBER(SEARCH("Delivery",N67)),ISNUMBER(SEARCH("Lapa",N67))),"SIM","")</f>
        <v/>
      </c>
      <c r="AA67" s="99">
        <f>IF(AND(ISNUMBER(SEARCH("Delivery",N67)),ISNUMBER(SEARCH("Tatuapé",N67))),"SIM","")</f>
        <v/>
      </c>
      <c r="AB67" s="99">
        <f>IF(AND(ISNUMBER(SEARCH("Delivery",N67)),ISNUMBER(SEARCH("Pavão",N67))),"SIM","")</f>
        <v/>
      </c>
      <c r="AC67" s="99">
        <f>IF(AND(ISNUMBER(SEARCH("Delivery",N67)),ISNUMBER(SEARCH("Chac",N67))),"SIM","")</f>
        <v/>
      </c>
      <c r="AD67" s="99">
        <f>IF(AND(ISNUMBER(SEARCH("Delivery",N67)),ISNUMBER(SEARCH("Madalena",N67))),"SIM","")</f>
        <v/>
      </c>
      <c r="AE67" s="99">
        <f>IF(AND(ISNUMBER(SEARCH("Delivery",N67)),ISNUMBER(SEARCH("Mariana",N67))),"SIM","")</f>
        <v/>
      </c>
      <c r="AF67" s="99">
        <f>IF(AND(ISNUMBER(SEARCH("Delivery",N67)),ISNUMBER(SEARCH("Perdizes",N67))),"SIM","")</f>
        <v/>
      </c>
      <c r="AG67" s="99">
        <f>IF(AND(ISNUMBER(SEARCH("Delivery",N67)),ISNUMBER(SEARCH("Santana",N67))),"SIM","")</f>
        <v/>
      </c>
      <c r="AH67" s="99">
        <f>IF(AND(ISNUMBER(SEARCH("Delivery",N67)),ISNUMBER(SEARCH("André",N67))),"SIM","")</f>
        <v/>
      </c>
      <c r="AI67" s="99">
        <f>IF(ISNUMBER(SEARCH("Interlagos",N67)),"SIM","")</f>
        <v/>
      </c>
      <c r="AJ67" s="99">
        <f>IF(ISNUMBER(SEARCH("Quiosque",N67)),"SIM","")</f>
        <v/>
      </c>
      <c r="AK67" s="101" t="n"/>
    </row>
    <row r="68">
      <c r="A68" s="88" t="inlineStr">
        <is>
          <t>Protheus</t>
        </is>
      </c>
      <c r="B68" s="89" t="inlineStr">
        <is>
          <t>002200</t>
        </is>
      </c>
      <c r="C68" s="90">
        <f>IF(B68="—","—",IFERROR(VLOOKUP(B68,_Protheus_Cadastro!$A:$B,2,FALSE),"—"))</f>
        <v/>
      </c>
      <c r="D68" s="91">
        <f>IF(B68="—",IFERROR(INDEX(_ZIG_Cadastro!$D:$D,MATCH(H68,_ZIG_Cadastro!$A:$A,0)),"Produto"),IFERROR(VLOOKUP(B68,_Protheus_Cadastro!$A:$C,3,FALSE),"—"))</f>
        <v/>
      </c>
      <c r="E68" s="91">
        <f>IF(B68="—","—",IFERROR(VLOOKUP(B68,_Protheus_Cadastro!$A:$D,4,FALSE),"—"))</f>
        <v/>
      </c>
      <c r="F68" s="91">
        <f>IF(ISERROR(VLOOKUP(B68,'Estrutura Protheus'!A:A,1,FALSE)),"Não","Sim")</f>
        <v/>
      </c>
      <c r="G68" s="92">
        <f>IFERROR(INDEX(_Protheus_Cadastro!$H:$H,MATCH(B68,_Protheus_Cadastro!$A:$A,0)),"—")</f>
        <v/>
      </c>
      <c r="H68" s="210">
        <f>IFERROR(INDEX(_ZIG_Precos!$D:$D,MATCH(I68,_ZIG_Precos!$F:$F,0)),"—")</f>
        <v/>
      </c>
      <c r="I68" s="95">
        <f>IFERROR(VLOOKUP(B68,_Protheus_Cadastro!$A:$I,9,FALSE),"—")</f>
        <v/>
      </c>
      <c r="J68" s="93">
        <f>IFERROR(INDEX(_ZIG_Cadastro!$B:$B,MATCH(I68,_ZIG_Cadastro!$A:$A,0)),IFERROR(INDEX(_Entradas_ZIG!$B:$B,MATCH(I68,_Entradas_ZIG!$C:$C,0)),"—"))</f>
        <v/>
      </c>
      <c r="K68" s="93">
        <f>IFERROR(INDEX(_ZIG_Cadastro!$C:$C,MATCH(I68,_ZIG_Cadastro!$A:$A,0)),IFERROR(INDEX(_Entradas_ZIG!$D:$D,MATCH(I68,_Entradas_ZIG!$C:$C,0)),"—"))</f>
        <v/>
      </c>
      <c r="L68" s="92">
        <f>IF(I68="","Sem SKU ZIG",IF(I68="—","Sem SKU ZIG",IF(NOT(ISERROR(MATCH(I68,_ZIG_Cadastro!$A:$A,0))),IF(EXACT(UPPER(TRIM(C68)),UPPER(TRIM(INDEX(_ZIG_Cadastro!$B:$B,MATCH(I68,_ZIG_Cadastro!$A:$A,0))))),"OK","Atencao - Nome diverge"),IF(NOT(ISERROR(MATCH(I68,_Entradas_ZIG!$C:$C,0))),"OK","Erro - SKU nao encontrado"))))</f>
        <v/>
      </c>
      <c r="M68" s="92">
        <f>IFERROR(INDEX(_ZIG_Cadastro!$G:$G,MATCH(I68,_ZIG_Cadastro!$A:$A,0)),IF(NOT(ISERROR(MATCH(I68,_Entradas_ZIG!$C:$C,0))),"Ativo","—"))</f>
        <v/>
      </c>
      <c r="N68" s="94">
        <f>IFERROR(INDEX(_ZIG_Cadastro!$E:$E,MATCH(I68,_ZIG_Cadastro!$A:$A,0)),IFERROR(INDEX(_Entradas_ZIG!$F:$F,MATCH(I68,_Entradas_ZIG!$C:$C,0)),"—"))</f>
        <v/>
      </c>
      <c r="O68" s="92">
        <f>IF(AND(ISNUMBER(SEARCH("Espeto",N68)),ISNUMBER(SEARCH("Carin",N68))),"SIM","")</f>
        <v/>
      </c>
      <c r="P68" s="92">
        <f>IF(AND(ISNUMBER(SEARCH("Espeto",N68)),ISNUMBER(SEARCH("Lapa",N68))),"SIM","")</f>
        <v/>
      </c>
      <c r="Q68" s="92">
        <f>IF(AND(ISNUMBER(SEARCH("Espeto",N68)),ISNUMBER(SEARCH("Tatuapé",N68))),"SIM","")</f>
        <v/>
      </c>
      <c r="R68" s="92">
        <f>IF(AND(ISNUMBER(SEARCH("Espeto",N68)),ISNUMBER(SEARCH("Pavão",N68))),"SIM","")</f>
        <v/>
      </c>
      <c r="S68" s="92">
        <f>IF(AND(ISNUMBER(SEARCH("Espeto",N68)),ISNUMBER(SEARCH("Chac",N68))),"SIM","")</f>
        <v/>
      </c>
      <c r="T68" s="92">
        <f>IF(AND(ISNUMBER(SEARCH("Espeto",N68)),ISNUMBER(SEARCH("Madalena",N68))),"SIM","")</f>
        <v/>
      </c>
      <c r="U68" s="92">
        <f>IF(AND(ISNUMBER(SEARCH("Espeto",N68)),ISNUMBER(SEARCH("Mariana",N68))),"SIM","")</f>
        <v/>
      </c>
      <c r="V68" s="92">
        <f>IF(AND(ISNUMBER(SEARCH("Espeto",N68)),ISNUMBER(SEARCH("Perdizes",N68))),"SIM","")</f>
        <v/>
      </c>
      <c r="W68" s="92">
        <f>IF(AND(ISNUMBER(SEARCH("Espeto",N68)),ISNUMBER(SEARCH("Santana",N68))),"SIM","")</f>
        <v/>
      </c>
      <c r="X68" s="92">
        <f>IF(AND(ISNUMBER(SEARCH("Espeto",N68)),ISNUMBER(SEARCH("André",N68))),"SIM","")</f>
        <v/>
      </c>
      <c r="Y68" s="92">
        <f>IF(AND(ISNUMBER(SEARCH("Delivery",N68)),ISNUMBER(SEARCH("Carin",N68))),"SIM","")</f>
        <v/>
      </c>
      <c r="Z68" s="92">
        <f>IF(AND(ISNUMBER(SEARCH("Delivery",N68)),ISNUMBER(SEARCH("Lapa",N68))),"SIM","")</f>
        <v/>
      </c>
      <c r="AA68" s="92">
        <f>IF(AND(ISNUMBER(SEARCH("Delivery",N68)),ISNUMBER(SEARCH("Tatuapé",N68))),"SIM","")</f>
        <v/>
      </c>
      <c r="AB68" s="92">
        <f>IF(AND(ISNUMBER(SEARCH("Delivery",N68)),ISNUMBER(SEARCH("Pavão",N68))),"SIM","")</f>
        <v/>
      </c>
      <c r="AC68" s="92">
        <f>IF(AND(ISNUMBER(SEARCH("Delivery",N68)),ISNUMBER(SEARCH("Chac",N68))),"SIM","")</f>
        <v/>
      </c>
      <c r="AD68" s="92">
        <f>IF(AND(ISNUMBER(SEARCH("Delivery",N68)),ISNUMBER(SEARCH("Madalena",N68))),"SIM","")</f>
        <v/>
      </c>
      <c r="AE68" s="92">
        <f>IF(AND(ISNUMBER(SEARCH("Delivery",N68)),ISNUMBER(SEARCH("Mariana",N68))),"SIM","")</f>
        <v/>
      </c>
      <c r="AF68" s="92">
        <f>IF(AND(ISNUMBER(SEARCH("Delivery",N68)),ISNUMBER(SEARCH("Perdizes",N68))),"SIM","")</f>
        <v/>
      </c>
      <c r="AG68" s="92">
        <f>IF(AND(ISNUMBER(SEARCH("Delivery",N68)),ISNUMBER(SEARCH("Santana",N68))),"SIM","")</f>
        <v/>
      </c>
      <c r="AH68" s="92">
        <f>IF(AND(ISNUMBER(SEARCH("Delivery",N68)),ISNUMBER(SEARCH("André",N68))),"SIM","")</f>
        <v/>
      </c>
      <c r="AI68" s="92">
        <f>IF(ISNUMBER(SEARCH("Interlagos",N68)),"SIM","")</f>
        <v/>
      </c>
      <c r="AJ68" s="92">
        <f>IF(ISNUMBER(SEARCH("Quiosque",N68)),"SIM","")</f>
        <v/>
      </c>
      <c r="AK68" s="93" t="n"/>
    </row>
    <row r="69">
      <c r="A69" s="88" t="inlineStr">
        <is>
          <t>Protheus</t>
        </is>
      </c>
      <c r="B69" s="96" t="inlineStr">
        <is>
          <t>002091</t>
        </is>
      </c>
      <c r="C69" s="97">
        <f>IF(B69="—","—",IFERROR(VLOOKUP(B69,_Protheus_Cadastro!$A:$B,2,FALSE),"—"))</f>
        <v/>
      </c>
      <c r="D69" s="98">
        <f>IF(B69="—",IFERROR(INDEX(_ZIG_Cadastro!$D:$D,MATCH(H69,_ZIG_Cadastro!$A:$A,0)),"Produto"),IFERROR(VLOOKUP(B69,_Protheus_Cadastro!$A:$C,3,FALSE),"—"))</f>
        <v/>
      </c>
      <c r="E69" s="98">
        <f>IF(B69="—","—",IFERROR(VLOOKUP(B69,_Protheus_Cadastro!$A:$D,4,FALSE),"—"))</f>
        <v/>
      </c>
      <c r="F69" s="98">
        <f>IF(ISERROR(VLOOKUP(B69,'Estrutura Protheus'!A:A,1,FALSE)),"Não","Sim")</f>
        <v/>
      </c>
      <c r="G69" s="99">
        <f>IFERROR(INDEX(_Protheus_Cadastro!$H:$H,MATCH(B69,_Protheus_Cadastro!$A:$A,0)),"—")</f>
        <v/>
      </c>
      <c r="H69" s="211">
        <f>IFERROR(INDEX(_ZIG_Precos!$D:$D,MATCH(I69,_ZIG_Precos!$F:$F,0)),"—")</f>
        <v/>
      </c>
      <c r="I69" s="103">
        <f>IFERROR(VLOOKUP(B69,_Protheus_Cadastro!$A:$I,9,FALSE),"—")</f>
        <v/>
      </c>
      <c r="J69" s="101">
        <f>IFERROR(INDEX(_ZIG_Cadastro!$B:$B,MATCH(I69,_ZIG_Cadastro!$A:$A,0)),IFERROR(INDEX(_Entradas_ZIG!$B:$B,MATCH(I69,_Entradas_ZIG!$C:$C,0)),"—"))</f>
        <v/>
      </c>
      <c r="K69" s="101">
        <f>IFERROR(INDEX(_ZIG_Cadastro!$C:$C,MATCH(I69,_ZIG_Cadastro!$A:$A,0)),IFERROR(INDEX(_Entradas_ZIG!$D:$D,MATCH(I69,_Entradas_ZIG!$C:$C,0)),"—"))</f>
        <v/>
      </c>
      <c r="L69" s="99">
        <f>IF(I69="","Sem SKU ZIG",IF(I69="—","Sem SKU ZIG",IF(NOT(ISERROR(MATCH(I69,_ZIG_Cadastro!$A:$A,0))),IF(EXACT(UPPER(TRIM(C69)),UPPER(TRIM(INDEX(_ZIG_Cadastro!$B:$B,MATCH(I69,_ZIG_Cadastro!$A:$A,0))))),"OK","Atencao - Nome diverge"),IF(NOT(ISERROR(MATCH(I69,_Entradas_ZIG!$C:$C,0))),"OK","Erro - SKU nao encontrado"))))</f>
        <v/>
      </c>
      <c r="M69" s="99">
        <f>IFERROR(INDEX(_ZIG_Cadastro!$G:$G,MATCH(I69,_ZIG_Cadastro!$A:$A,0)),IF(NOT(ISERROR(MATCH(I69,_Entradas_ZIG!$C:$C,0))),"Ativo","—"))</f>
        <v/>
      </c>
      <c r="N69" s="102">
        <f>IFERROR(INDEX(_ZIG_Cadastro!$E:$E,MATCH(I69,_ZIG_Cadastro!$A:$A,0)),IFERROR(INDEX(_Entradas_ZIG!$F:$F,MATCH(I69,_Entradas_ZIG!$C:$C,0)),"—"))</f>
        <v/>
      </c>
      <c r="O69" s="99">
        <f>IF(AND(ISNUMBER(SEARCH("Espeto",N69)),ISNUMBER(SEARCH("Carin",N69))),"SIM","")</f>
        <v/>
      </c>
      <c r="P69" s="99">
        <f>IF(AND(ISNUMBER(SEARCH("Espeto",N69)),ISNUMBER(SEARCH("Lapa",N69))),"SIM","")</f>
        <v/>
      </c>
      <c r="Q69" s="99">
        <f>IF(AND(ISNUMBER(SEARCH("Espeto",N69)),ISNUMBER(SEARCH("Tatuapé",N69))),"SIM","")</f>
        <v/>
      </c>
      <c r="R69" s="99">
        <f>IF(AND(ISNUMBER(SEARCH("Espeto",N69)),ISNUMBER(SEARCH("Pavão",N69))),"SIM","")</f>
        <v/>
      </c>
      <c r="S69" s="99">
        <f>IF(AND(ISNUMBER(SEARCH("Espeto",N69)),ISNUMBER(SEARCH("Chac",N69))),"SIM","")</f>
        <v/>
      </c>
      <c r="T69" s="99">
        <f>IF(AND(ISNUMBER(SEARCH("Espeto",N69)),ISNUMBER(SEARCH("Madalena",N69))),"SIM","")</f>
        <v/>
      </c>
      <c r="U69" s="99">
        <f>IF(AND(ISNUMBER(SEARCH("Espeto",N69)),ISNUMBER(SEARCH("Mariana",N69))),"SIM","")</f>
        <v/>
      </c>
      <c r="V69" s="99">
        <f>IF(AND(ISNUMBER(SEARCH("Espeto",N69)),ISNUMBER(SEARCH("Perdizes",N69))),"SIM","")</f>
        <v/>
      </c>
      <c r="W69" s="99">
        <f>IF(AND(ISNUMBER(SEARCH("Espeto",N69)),ISNUMBER(SEARCH("Santana",N69))),"SIM","")</f>
        <v/>
      </c>
      <c r="X69" s="99">
        <f>IF(AND(ISNUMBER(SEARCH("Espeto",N69)),ISNUMBER(SEARCH("André",N69))),"SIM","")</f>
        <v/>
      </c>
      <c r="Y69" s="99">
        <f>IF(AND(ISNUMBER(SEARCH("Delivery",N69)),ISNUMBER(SEARCH("Carin",N69))),"SIM","")</f>
        <v/>
      </c>
      <c r="Z69" s="99">
        <f>IF(AND(ISNUMBER(SEARCH("Delivery",N69)),ISNUMBER(SEARCH("Lapa",N69))),"SIM","")</f>
        <v/>
      </c>
      <c r="AA69" s="99">
        <f>IF(AND(ISNUMBER(SEARCH("Delivery",N69)),ISNUMBER(SEARCH("Tatuapé",N69))),"SIM","")</f>
        <v/>
      </c>
      <c r="AB69" s="99">
        <f>IF(AND(ISNUMBER(SEARCH("Delivery",N69)),ISNUMBER(SEARCH("Pavão",N69))),"SIM","")</f>
        <v/>
      </c>
      <c r="AC69" s="99">
        <f>IF(AND(ISNUMBER(SEARCH("Delivery",N69)),ISNUMBER(SEARCH("Chac",N69))),"SIM","")</f>
        <v/>
      </c>
      <c r="AD69" s="99">
        <f>IF(AND(ISNUMBER(SEARCH("Delivery",N69)),ISNUMBER(SEARCH("Madalena",N69))),"SIM","")</f>
        <v/>
      </c>
      <c r="AE69" s="99">
        <f>IF(AND(ISNUMBER(SEARCH("Delivery",N69)),ISNUMBER(SEARCH("Mariana",N69))),"SIM","")</f>
        <v/>
      </c>
      <c r="AF69" s="99">
        <f>IF(AND(ISNUMBER(SEARCH("Delivery",N69)),ISNUMBER(SEARCH("Perdizes",N69))),"SIM","")</f>
        <v/>
      </c>
      <c r="AG69" s="99">
        <f>IF(AND(ISNUMBER(SEARCH("Delivery",N69)),ISNUMBER(SEARCH("Santana",N69))),"SIM","")</f>
        <v/>
      </c>
      <c r="AH69" s="99">
        <f>IF(AND(ISNUMBER(SEARCH("Delivery",N69)),ISNUMBER(SEARCH("André",N69))),"SIM","")</f>
        <v/>
      </c>
      <c r="AI69" s="99">
        <f>IF(ISNUMBER(SEARCH("Interlagos",N69)),"SIM","")</f>
        <v/>
      </c>
      <c r="AJ69" s="99">
        <f>IF(ISNUMBER(SEARCH("Quiosque",N69)),"SIM","")</f>
        <v/>
      </c>
      <c r="AK69" s="101" t="n"/>
    </row>
    <row r="70">
      <c r="A70" s="88" t="inlineStr">
        <is>
          <t>Protheus</t>
        </is>
      </c>
      <c r="B70" s="89" t="inlineStr">
        <is>
          <t>002086</t>
        </is>
      </c>
      <c r="C70" s="90">
        <f>IF(B70="—","—",IFERROR(VLOOKUP(B70,_Protheus_Cadastro!$A:$B,2,FALSE),"—"))</f>
        <v/>
      </c>
      <c r="D70" s="91">
        <f>IF(B70="—",IFERROR(INDEX(_ZIG_Cadastro!$D:$D,MATCH(H70,_ZIG_Cadastro!$A:$A,0)),"Produto"),IFERROR(VLOOKUP(B70,_Protheus_Cadastro!$A:$C,3,FALSE),"—"))</f>
        <v/>
      </c>
      <c r="E70" s="91">
        <f>IF(B70="—","—",IFERROR(VLOOKUP(B70,_Protheus_Cadastro!$A:$D,4,FALSE),"—"))</f>
        <v/>
      </c>
      <c r="F70" s="91">
        <f>IF(ISERROR(VLOOKUP(B70,'Estrutura Protheus'!A:A,1,FALSE)),"Não","Sim")</f>
        <v/>
      </c>
      <c r="G70" s="92">
        <f>IFERROR(INDEX(_Protheus_Cadastro!$H:$H,MATCH(B70,_Protheus_Cadastro!$A:$A,0)),"—")</f>
        <v/>
      </c>
      <c r="H70" s="210">
        <f>IFERROR(INDEX(_ZIG_Precos!$D:$D,MATCH(I70,_ZIG_Precos!$F:$F,0)),"—")</f>
        <v/>
      </c>
      <c r="I70" s="95">
        <f>IFERROR(VLOOKUP(B70,_Protheus_Cadastro!$A:$I,9,FALSE),"—")</f>
        <v/>
      </c>
      <c r="J70" s="93">
        <f>IFERROR(INDEX(_ZIG_Cadastro!$B:$B,MATCH(I70,_ZIG_Cadastro!$A:$A,0)),IFERROR(INDEX(_Entradas_ZIG!$B:$B,MATCH(I70,_Entradas_ZIG!$C:$C,0)),"—"))</f>
        <v/>
      </c>
      <c r="K70" s="93">
        <f>IFERROR(INDEX(_ZIG_Cadastro!$C:$C,MATCH(I70,_ZIG_Cadastro!$A:$A,0)),IFERROR(INDEX(_Entradas_ZIG!$D:$D,MATCH(I70,_Entradas_ZIG!$C:$C,0)),"—"))</f>
        <v/>
      </c>
      <c r="L70" s="92">
        <f>IF(I70="","Sem SKU ZIG",IF(I70="—","Sem SKU ZIG",IF(NOT(ISERROR(MATCH(I70,_ZIG_Cadastro!$A:$A,0))),IF(EXACT(UPPER(TRIM(C70)),UPPER(TRIM(INDEX(_ZIG_Cadastro!$B:$B,MATCH(I70,_ZIG_Cadastro!$A:$A,0))))),"OK","Atencao - Nome diverge"),IF(NOT(ISERROR(MATCH(I70,_Entradas_ZIG!$C:$C,0))),"OK","Erro - SKU nao encontrado"))))</f>
        <v/>
      </c>
      <c r="M70" s="92">
        <f>IFERROR(INDEX(_ZIG_Cadastro!$G:$G,MATCH(I70,_ZIG_Cadastro!$A:$A,0)),IF(NOT(ISERROR(MATCH(I70,_Entradas_ZIG!$C:$C,0))),"Ativo","—"))</f>
        <v/>
      </c>
      <c r="N70" s="94">
        <f>IFERROR(INDEX(_ZIG_Cadastro!$E:$E,MATCH(I70,_ZIG_Cadastro!$A:$A,0)),IFERROR(INDEX(_Entradas_ZIG!$F:$F,MATCH(I70,_Entradas_ZIG!$C:$C,0)),"—"))</f>
        <v/>
      </c>
      <c r="O70" s="92">
        <f>IF(AND(ISNUMBER(SEARCH("Espeto",N70)),ISNUMBER(SEARCH("Carin",N70))),"SIM","")</f>
        <v/>
      </c>
      <c r="P70" s="92">
        <f>IF(AND(ISNUMBER(SEARCH("Espeto",N70)),ISNUMBER(SEARCH("Lapa",N70))),"SIM","")</f>
        <v/>
      </c>
      <c r="Q70" s="92">
        <f>IF(AND(ISNUMBER(SEARCH("Espeto",N70)),ISNUMBER(SEARCH("Tatuapé",N70))),"SIM","")</f>
        <v/>
      </c>
      <c r="R70" s="92">
        <f>IF(AND(ISNUMBER(SEARCH("Espeto",N70)),ISNUMBER(SEARCH("Pavão",N70))),"SIM","")</f>
        <v/>
      </c>
      <c r="S70" s="92">
        <f>IF(AND(ISNUMBER(SEARCH("Espeto",N70)),ISNUMBER(SEARCH("Chac",N70))),"SIM","")</f>
        <v/>
      </c>
      <c r="T70" s="92">
        <f>IF(AND(ISNUMBER(SEARCH("Espeto",N70)),ISNUMBER(SEARCH("Madalena",N70))),"SIM","")</f>
        <v/>
      </c>
      <c r="U70" s="92">
        <f>IF(AND(ISNUMBER(SEARCH("Espeto",N70)),ISNUMBER(SEARCH("Mariana",N70))),"SIM","")</f>
        <v/>
      </c>
      <c r="V70" s="92">
        <f>IF(AND(ISNUMBER(SEARCH("Espeto",N70)),ISNUMBER(SEARCH("Perdizes",N70))),"SIM","")</f>
        <v/>
      </c>
      <c r="W70" s="92">
        <f>IF(AND(ISNUMBER(SEARCH("Espeto",N70)),ISNUMBER(SEARCH("Santana",N70))),"SIM","")</f>
        <v/>
      </c>
      <c r="X70" s="92">
        <f>IF(AND(ISNUMBER(SEARCH("Espeto",N70)),ISNUMBER(SEARCH("André",N70))),"SIM","")</f>
        <v/>
      </c>
      <c r="Y70" s="92">
        <f>IF(AND(ISNUMBER(SEARCH("Delivery",N70)),ISNUMBER(SEARCH("Carin",N70))),"SIM","")</f>
        <v/>
      </c>
      <c r="Z70" s="92">
        <f>IF(AND(ISNUMBER(SEARCH("Delivery",N70)),ISNUMBER(SEARCH("Lapa",N70))),"SIM","")</f>
        <v/>
      </c>
      <c r="AA70" s="92">
        <f>IF(AND(ISNUMBER(SEARCH("Delivery",N70)),ISNUMBER(SEARCH("Tatuapé",N70))),"SIM","")</f>
        <v/>
      </c>
      <c r="AB70" s="92">
        <f>IF(AND(ISNUMBER(SEARCH("Delivery",N70)),ISNUMBER(SEARCH("Pavão",N70))),"SIM","")</f>
        <v/>
      </c>
      <c r="AC70" s="92">
        <f>IF(AND(ISNUMBER(SEARCH("Delivery",N70)),ISNUMBER(SEARCH("Chac",N70))),"SIM","")</f>
        <v/>
      </c>
      <c r="AD70" s="92">
        <f>IF(AND(ISNUMBER(SEARCH("Delivery",N70)),ISNUMBER(SEARCH("Madalena",N70))),"SIM","")</f>
        <v/>
      </c>
      <c r="AE70" s="92">
        <f>IF(AND(ISNUMBER(SEARCH("Delivery",N70)),ISNUMBER(SEARCH("Mariana",N70))),"SIM","")</f>
        <v/>
      </c>
      <c r="AF70" s="92">
        <f>IF(AND(ISNUMBER(SEARCH("Delivery",N70)),ISNUMBER(SEARCH("Perdizes",N70))),"SIM","")</f>
        <v/>
      </c>
      <c r="AG70" s="92">
        <f>IF(AND(ISNUMBER(SEARCH("Delivery",N70)),ISNUMBER(SEARCH("Santana",N70))),"SIM","")</f>
        <v/>
      </c>
      <c r="AH70" s="92">
        <f>IF(AND(ISNUMBER(SEARCH("Delivery",N70)),ISNUMBER(SEARCH("André",N70))),"SIM","")</f>
        <v/>
      </c>
      <c r="AI70" s="92">
        <f>IF(ISNUMBER(SEARCH("Interlagos",N70)),"SIM","")</f>
        <v/>
      </c>
      <c r="AJ70" s="92">
        <f>IF(ISNUMBER(SEARCH("Quiosque",N70)),"SIM","")</f>
        <v/>
      </c>
      <c r="AK70" s="93" t="n"/>
    </row>
    <row r="71">
      <c r="A71" s="88" t="inlineStr">
        <is>
          <t>Protheus</t>
        </is>
      </c>
      <c r="B71" s="96" t="inlineStr">
        <is>
          <t>002089</t>
        </is>
      </c>
      <c r="C71" s="97">
        <f>IF(B71="—","—",IFERROR(VLOOKUP(B71,_Protheus_Cadastro!$A:$B,2,FALSE),"—"))</f>
        <v/>
      </c>
      <c r="D71" s="98">
        <f>IF(B71="—",IFERROR(INDEX(_ZIG_Cadastro!$D:$D,MATCH(H71,_ZIG_Cadastro!$A:$A,0)),"Produto"),IFERROR(VLOOKUP(B71,_Protheus_Cadastro!$A:$C,3,FALSE),"—"))</f>
        <v/>
      </c>
      <c r="E71" s="98">
        <f>IF(B71="—","—",IFERROR(VLOOKUP(B71,_Protheus_Cadastro!$A:$D,4,FALSE),"—"))</f>
        <v/>
      </c>
      <c r="F71" s="98">
        <f>IF(ISERROR(VLOOKUP(B71,'Estrutura Protheus'!A:A,1,FALSE)),"Não","Sim")</f>
        <v/>
      </c>
      <c r="G71" s="99">
        <f>IFERROR(INDEX(_Protheus_Cadastro!$H:$H,MATCH(B71,_Protheus_Cadastro!$A:$A,0)),"—")</f>
        <v/>
      </c>
      <c r="H71" s="211">
        <f>IFERROR(INDEX(_ZIG_Precos!$D:$D,MATCH(I71,_ZIG_Precos!$F:$F,0)),"—")</f>
        <v/>
      </c>
      <c r="I71" s="103">
        <f>IFERROR(VLOOKUP(B71,_Protheus_Cadastro!$A:$I,9,FALSE),"—")</f>
        <v/>
      </c>
      <c r="J71" s="101">
        <f>IFERROR(INDEX(_ZIG_Cadastro!$B:$B,MATCH(I71,_ZIG_Cadastro!$A:$A,0)),IFERROR(INDEX(_Entradas_ZIG!$B:$B,MATCH(I71,_Entradas_ZIG!$C:$C,0)),"—"))</f>
        <v/>
      </c>
      <c r="K71" s="101">
        <f>IFERROR(INDEX(_ZIG_Cadastro!$C:$C,MATCH(I71,_ZIG_Cadastro!$A:$A,0)),IFERROR(INDEX(_Entradas_ZIG!$D:$D,MATCH(I71,_Entradas_ZIG!$C:$C,0)),"—"))</f>
        <v/>
      </c>
      <c r="L71" s="99">
        <f>IF(I71="","Sem SKU ZIG",IF(I71="—","Sem SKU ZIG",IF(NOT(ISERROR(MATCH(I71,_ZIG_Cadastro!$A:$A,0))),IF(EXACT(UPPER(TRIM(C71)),UPPER(TRIM(INDEX(_ZIG_Cadastro!$B:$B,MATCH(I71,_ZIG_Cadastro!$A:$A,0))))),"OK","Atencao - Nome diverge"),IF(NOT(ISERROR(MATCH(I71,_Entradas_ZIG!$C:$C,0))),"OK","Erro - SKU nao encontrado"))))</f>
        <v/>
      </c>
      <c r="M71" s="99">
        <f>IFERROR(INDEX(_ZIG_Cadastro!$G:$G,MATCH(I71,_ZIG_Cadastro!$A:$A,0)),IF(NOT(ISERROR(MATCH(I71,_Entradas_ZIG!$C:$C,0))),"Ativo","—"))</f>
        <v/>
      </c>
      <c r="N71" s="102">
        <f>IFERROR(INDEX(_ZIG_Cadastro!$E:$E,MATCH(I71,_ZIG_Cadastro!$A:$A,0)),IFERROR(INDEX(_Entradas_ZIG!$F:$F,MATCH(I71,_Entradas_ZIG!$C:$C,0)),"—"))</f>
        <v/>
      </c>
      <c r="O71" s="99">
        <f>IF(AND(ISNUMBER(SEARCH("Espeto",N71)),ISNUMBER(SEARCH("Carin",N71))),"SIM","")</f>
        <v/>
      </c>
      <c r="P71" s="99">
        <f>IF(AND(ISNUMBER(SEARCH("Espeto",N71)),ISNUMBER(SEARCH("Lapa",N71))),"SIM","")</f>
        <v/>
      </c>
      <c r="Q71" s="99">
        <f>IF(AND(ISNUMBER(SEARCH("Espeto",N71)),ISNUMBER(SEARCH("Tatuapé",N71))),"SIM","")</f>
        <v/>
      </c>
      <c r="R71" s="99">
        <f>IF(AND(ISNUMBER(SEARCH("Espeto",N71)),ISNUMBER(SEARCH("Pavão",N71))),"SIM","")</f>
        <v/>
      </c>
      <c r="S71" s="99">
        <f>IF(AND(ISNUMBER(SEARCH("Espeto",N71)),ISNUMBER(SEARCH("Chac",N71))),"SIM","")</f>
        <v/>
      </c>
      <c r="T71" s="99">
        <f>IF(AND(ISNUMBER(SEARCH("Espeto",N71)),ISNUMBER(SEARCH("Madalena",N71))),"SIM","")</f>
        <v/>
      </c>
      <c r="U71" s="99">
        <f>IF(AND(ISNUMBER(SEARCH("Espeto",N71)),ISNUMBER(SEARCH("Mariana",N71))),"SIM","")</f>
        <v/>
      </c>
      <c r="V71" s="99">
        <f>IF(AND(ISNUMBER(SEARCH("Espeto",N71)),ISNUMBER(SEARCH("Perdizes",N71))),"SIM","")</f>
        <v/>
      </c>
      <c r="W71" s="99">
        <f>IF(AND(ISNUMBER(SEARCH("Espeto",N71)),ISNUMBER(SEARCH("Santana",N71))),"SIM","")</f>
        <v/>
      </c>
      <c r="X71" s="99">
        <f>IF(AND(ISNUMBER(SEARCH("Espeto",N71)),ISNUMBER(SEARCH("André",N71))),"SIM","")</f>
        <v/>
      </c>
      <c r="Y71" s="99">
        <f>IF(AND(ISNUMBER(SEARCH("Delivery",N71)),ISNUMBER(SEARCH("Carin",N71))),"SIM","")</f>
        <v/>
      </c>
      <c r="Z71" s="99">
        <f>IF(AND(ISNUMBER(SEARCH("Delivery",N71)),ISNUMBER(SEARCH("Lapa",N71))),"SIM","")</f>
        <v/>
      </c>
      <c r="AA71" s="99">
        <f>IF(AND(ISNUMBER(SEARCH("Delivery",N71)),ISNUMBER(SEARCH("Tatuapé",N71))),"SIM","")</f>
        <v/>
      </c>
      <c r="AB71" s="99">
        <f>IF(AND(ISNUMBER(SEARCH("Delivery",N71)),ISNUMBER(SEARCH("Pavão",N71))),"SIM","")</f>
        <v/>
      </c>
      <c r="AC71" s="99">
        <f>IF(AND(ISNUMBER(SEARCH("Delivery",N71)),ISNUMBER(SEARCH("Chac",N71))),"SIM","")</f>
        <v/>
      </c>
      <c r="AD71" s="99">
        <f>IF(AND(ISNUMBER(SEARCH("Delivery",N71)),ISNUMBER(SEARCH("Madalena",N71))),"SIM","")</f>
        <v/>
      </c>
      <c r="AE71" s="99">
        <f>IF(AND(ISNUMBER(SEARCH("Delivery",N71)),ISNUMBER(SEARCH("Mariana",N71))),"SIM","")</f>
        <v/>
      </c>
      <c r="AF71" s="99">
        <f>IF(AND(ISNUMBER(SEARCH("Delivery",N71)),ISNUMBER(SEARCH("Perdizes",N71))),"SIM","")</f>
        <v/>
      </c>
      <c r="AG71" s="99">
        <f>IF(AND(ISNUMBER(SEARCH("Delivery",N71)),ISNUMBER(SEARCH("Santana",N71))),"SIM","")</f>
        <v/>
      </c>
      <c r="AH71" s="99">
        <f>IF(AND(ISNUMBER(SEARCH("Delivery",N71)),ISNUMBER(SEARCH("André",N71))),"SIM","")</f>
        <v/>
      </c>
      <c r="AI71" s="99">
        <f>IF(ISNUMBER(SEARCH("Interlagos",N71)),"SIM","")</f>
        <v/>
      </c>
      <c r="AJ71" s="99">
        <f>IF(ISNUMBER(SEARCH("Quiosque",N71)),"SIM","")</f>
        <v/>
      </c>
      <c r="AK71" s="101" t="n"/>
    </row>
    <row r="72">
      <c r="A72" s="88" t="inlineStr">
        <is>
          <t>Protheus</t>
        </is>
      </c>
      <c r="B72" s="89" t="inlineStr">
        <is>
          <t>002241</t>
        </is>
      </c>
      <c r="C72" s="90">
        <f>IF(B72="—","—",IFERROR(VLOOKUP(B72,_Protheus_Cadastro!$A:$B,2,FALSE),"—"))</f>
        <v/>
      </c>
      <c r="D72" s="91">
        <f>IF(B72="—",IFERROR(INDEX(_ZIG_Cadastro!$D:$D,MATCH(H72,_ZIG_Cadastro!$A:$A,0)),"Produto"),IFERROR(VLOOKUP(B72,_Protheus_Cadastro!$A:$C,3,FALSE),"—"))</f>
        <v/>
      </c>
      <c r="E72" s="91">
        <f>IF(B72="—","—",IFERROR(VLOOKUP(B72,_Protheus_Cadastro!$A:$D,4,FALSE),"—"))</f>
        <v/>
      </c>
      <c r="F72" s="91">
        <f>IF(ISERROR(VLOOKUP(B72,'Estrutura Protheus'!A:A,1,FALSE)),"Não","Sim")</f>
        <v/>
      </c>
      <c r="G72" s="92">
        <f>IFERROR(INDEX(_Protheus_Cadastro!$H:$H,MATCH(B72,_Protheus_Cadastro!$A:$A,0)),"—")</f>
        <v/>
      </c>
      <c r="H72" s="210">
        <f>IFERROR(INDEX(_ZIG_Precos!$D:$D,MATCH(I72,_ZIG_Precos!$F:$F,0)),"—")</f>
        <v/>
      </c>
      <c r="I72" s="95">
        <f>IFERROR(VLOOKUP(B72,_Protheus_Cadastro!$A:$I,9,FALSE),"—")</f>
        <v/>
      </c>
      <c r="J72" s="93">
        <f>IFERROR(INDEX(_ZIG_Cadastro!$B:$B,MATCH(I72,_ZIG_Cadastro!$A:$A,0)),IFERROR(INDEX(_Entradas_ZIG!$B:$B,MATCH(I72,_Entradas_ZIG!$C:$C,0)),"—"))</f>
        <v/>
      </c>
      <c r="K72" s="93">
        <f>IFERROR(INDEX(_ZIG_Cadastro!$C:$C,MATCH(I72,_ZIG_Cadastro!$A:$A,0)),IFERROR(INDEX(_Entradas_ZIG!$D:$D,MATCH(I72,_Entradas_ZIG!$C:$C,0)),"—"))</f>
        <v/>
      </c>
      <c r="L72" s="92">
        <f>IF(I72="","Sem SKU ZIG",IF(I72="—","Sem SKU ZIG",IF(NOT(ISERROR(MATCH(I72,_ZIG_Cadastro!$A:$A,0))),IF(EXACT(UPPER(TRIM(C72)),UPPER(TRIM(INDEX(_ZIG_Cadastro!$B:$B,MATCH(I72,_ZIG_Cadastro!$A:$A,0))))),"OK","Atencao - Nome diverge"),IF(NOT(ISERROR(MATCH(I72,_Entradas_ZIG!$C:$C,0))),"OK","Erro - SKU nao encontrado"))))</f>
        <v/>
      </c>
      <c r="M72" s="92">
        <f>IFERROR(INDEX(_ZIG_Cadastro!$G:$G,MATCH(I72,_ZIG_Cadastro!$A:$A,0)),IF(NOT(ISERROR(MATCH(I72,_Entradas_ZIG!$C:$C,0))),"Ativo","—"))</f>
        <v/>
      </c>
      <c r="N72" s="94">
        <f>IFERROR(INDEX(_ZIG_Cadastro!$E:$E,MATCH(I72,_ZIG_Cadastro!$A:$A,0)),IFERROR(INDEX(_Entradas_ZIG!$F:$F,MATCH(I72,_Entradas_ZIG!$C:$C,0)),"—"))</f>
        <v/>
      </c>
      <c r="O72" s="92">
        <f>IF(AND(ISNUMBER(SEARCH("Espeto",N72)),ISNUMBER(SEARCH("Carin",N72))),"SIM","")</f>
        <v/>
      </c>
      <c r="P72" s="92">
        <f>IF(AND(ISNUMBER(SEARCH("Espeto",N72)),ISNUMBER(SEARCH("Lapa",N72))),"SIM","")</f>
        <v/>
      </c>
      <c r="Q72" s="92">
        <f>IF(AND(ISNUMBER(SEARCH("Espeto",N72)),ISNUMBER(SEARCH("Tatuapé",N72))),"SIM","")</f>
        <v/>
      </c>
      <c r="R72" s="92">
        <f>IF(AND(ISNUMBER(SEARCH("Espeto",N72)),ISNUMBER(SEARCH("Pavão",N72))),"SIM","")</f>
        <v/>
      </c>
      <c r="S72" s="92">
        <f>IF(AND(ISNUMBER(SEARCH("Espeto",N72)),ISNUMBER(SEARCH("Chac",N72))),"SIM","")</f>
        <v/>
      </c>
      <c r="T72" s="92">
        <f>IF(AND(ISNUMBER(SEARCH("Espeto",N72)),ISNUMBER(SEARCH("Madalena",N72))),"SIM","")</f>
        <v/>
      </c>
      <c r="U72" s="92">
        <f>IF(AND(ISNUMBER(SEARCH("Espeto",N72)),ISNUMBER(SEARCH("Mariana",N72))),"SIM","")</f>
        <v/>
      </c>
      <c r="V72" s="92">
        <f>IF(AND(ISNUMBER(SEARCH("Espeto",N72)),ISNUMBER(SEARCH("Perdizes",N72))),"SIM","")</f>
        <v/>
      </c>
      <c r="W72" s="92">
        <f>IF(AND(ISNUMBER(SEARCH("Espeto",N72)),ISNUMBER(SEARCH("Santana",N72))),"SIM","")</f>
        <v/>
      </c>
      <c r="X72" s="92">
        <f>IF(AND(ISNUMBER(SEARCH("Espeto",N72)),ISNUMBER(SEARCH("André",N72))),"SIM","")</f>
        <v/>
      </c>
      <c r="Y72" s="92">
        <f>IF(AND(ISNUMBER(SEARCH("Delivery",N72)),ISNUMBER(SEARCH("Carin",N72))),"SIM","")</f>
        <v/>
      </c>
      <c r="Z72" s="92">
        <f>IF(AND(ISNUMBER(SEARCH("Delivery",N72)),ISNUMBER(SEARCH("Lapa",N72))),"SIM","")</f>
        <v/>
      </c>
      <c r="AA72" s="92">
        <f>IF(AND(ISNUMBER(SEARCH("Delivery",N72)),ISNUMBER(SEARCH("Tatuapé",N72))),"SIM","")</f>
        <v/>
      </c>
      <c r="AB72" s="92">
        <f>IF(AND(ISNUMBER(SEARCH("Delivery",N72)),ISNUMBER(SEARCH("Pavão",N72))),"SIM","")</f>
        <v/>
      </c>
      <c r="AC72" s="92">
        <f>IF(AND(ISNUMBER(SEARCH("Delivery",N72)),ISNUMBER(SEARCH("Chac",N72))),"SIM","")</f>
        <v/>
      </c>
      <c r="AD72" s="92">
        <f>IF(AND(ISNUMBER(SEARCH("Delivery",N72)),ISNUMBER(SEARCH("Madalena",N72))),"SIM","")</f>
        <v/>
      </c>
      <c r="AE72" s="92">
        <f>IF(AND(ISNUMBER(SEARCH("Delivery",N72)),ISNUMBER(SEARCH("Mariana",N72))),"SIM","")</f>
        <v/>
      </c>
      <c r="AF72" s="92">
        <f>IF(AND(ISNUMBER(SEARCH("Delivery",N72)),ISNUMBER(SEARCH("Perdizes",N72))),"SIM","")</f>
        <v/>
      </c>
      <c r="AG72" s="92">
        <f>IF(AND(ISNUMBER(SEARCH("Delivery",N72)),ISNUMBER(SEARCH("Santana",N72))),"SIM","")</f>
        <v/>
      </c>
      <c r="AH72" s="92">
        <f>IF(AND(ISNUMBER(SEARCH("Delivery",N72)),ISNUMBER(SEARCH("André",N72))),"SIM","")</f>
        <v/>
      </c>
      <c r="AI72" s="92">
        <f>IF(ISNUMBER(SEARCH("Interlagos",N72)),"SIM","")</f>
        <v/>
      </c>
      <c r="AJ72" s="92">
        <f>IF(ISNUMBER(SEARCH("Quiosque",N72)),"SIM","")</f>
        <v/>
      </c>
      <c r="AK72" s="93" t="n"/>
    </row>
    <row r="73">
      <c r="A73" s="88" t="inlineStr">
        <is>
          <t>Protheus</t>
        </is>
      </c>
      <c r="B73" s="89" t="inlineStr">
        <is>
          <t>002120</t>
        </is>
      </c>
      <c r="C73" s="90">
        <f>IF(B73="—","—",IFERROR(VLOOKUP(B73,_Protheus_Cadastro!$A:$B,2,FALSE),"—"))</f>
        <v/>
      </c>
      <c r="D73" s="91">
        <f>IF(B73="—",IFERROR(INDEX(_ZIG_Cadastro!$D:$D,MATCH(H73,_ZIG_Cadastro!$A:$A,0)),"Produto"),IFERROR(VLOOKUP(B73,_Protheus_Cadastro!$A:$C,3,FALSE),"—"))</f>
        <v/>
      </c>
      <c r="E73" s="91">
        <f>IF(B73="—","—",IFERROR(VLOOKUP(B73,_Protheus_Cadastro!$A:$D,4,FALSE),"—"))</f>
        <v/>
      </c>
      <c r="F73" s="91">
        <f>IF(ISERROR(VLOOKUP(B73,'Estrutura Protheus'!A:A,1,FALSE)),"Não","Sim")</f>
        <v/>
      </c>
      <c r="G73" s="92">
        <f>IFERROR(INDEX(_Protheus_Cadastro!$H:$H,MATCH(B73,_Protheus_Cadastro!$A:$A,0)),"—")</f>
        <v/>
      </c>
      <c r="H73" s="210">
        <f>IFERROR(INDEX(_ZIG_Precos!$D:$D,MATCH(I73,_ZIG_Precos!$F:$F,0)),"—")</f>
        <v/>
      </c>
      <c r="I73" s="95">
        <f>IFERROR(VLOOKUP(B73,_Protheus_Cadastro!$A:$I,9,FALSE),"—")</f>
        <v/>
      </c>
      <c r="J73" s="93">
        <f>IFERROR(INDEX(_ZIG_Cadastro!$B:$B,MATCH(I73,_ZIG_Cadastro!$A:$A,0)),IFERROR(INDEX(_Entradas_ZIG!$B:$B,MATCH(I73,_Entradas_ZIG!$C:$C,0)),"—"))</f>
        <v/>
      </c>
      <c r="K73" s="93">
        <f>IFERROR(INDEX(_ZIG_Cadastro!$C:$C,MATCH(I73,_ZIG_Cadastro!$A:$A,0)),IFERROR(INDEX(_Entradas_ZIG!$D:$D,MATCH(I73,_Entradas_ZIG!$C:$C,0)),"—"))</f>
        <v/>
      </c>
      <c r="L73" s="92">
        <f>IF(I73="","Sem SKU ZIG",IF(I73="—","Sem SKU ZIG",IF(NOT(ISERROR(MATCH(I73,_ZIG_Cadastro!$A:$A,0))),IF(EXACT(UPPER(TRIM(C73)),UPPER(TRIM(INDEX(_ZIG_Cadastro!$B:$B,MATCH(I73,_ZIG_Cadastro!$A:$A,0))))),"OK","Atencao - Nome diverge"),IF(NOT(ISERROR(MATCH(I73,_Entradas_ZIG!$C:$C,0))),"OK","Erro - SKU nao encontrado"))))</f>
        <v/>
      </c>
      <c r="M73" s="92">
        <f>IFERROR(INDEX(_ZIG_Cadastro!$G:$G,MATCH(I73,_ZIG_Cadastro!$A:$A,0)),IF(NOT(ISERROR(MATCH(I73,_Entradas_ZIG!$C:$C,0))),"Ativo","—"))</f>
        <v/>
      </c>
      <c r="N73" s="94">
        <f>IFERROR(INDEX(_ZIG_Cadastro!$E:$E,MATCH(I73,_ZIG_Cadastro!$A:$A,0)),IFERROR(INDEX(_Entradas_ZIG!$F:$F,MATCH(I73,_Entradas_ZIG!$C:$C,0)),"—"))</f>
        <v/>
      </c>
      <c r="O73" s="92">
        <f>IF(AND(ISNUMBER(SEARCH("Espeto",N73)),ISNUMBER(SEARCH("Carin",N73))),"SIM","")</f>
        <v/>
      </c>
      <c r="P73" s="92">
        <f>IF(AND(ISNUMBER(SEARCH("Espeto",N73)),ISNUMBER(SEARCH("Lapa",N73))),"SIM","")</f>
        <v/>
      </c>
      <c r="Q73" s="92">
        <f>IF(AND(ISNUMBER(SEARCH("Espeto",N73)),ISNUMBER(SEARCH("Tatuapé",N73))),"SIM","")</f>
        <v/>
      </c>
      <c r="R73" s="92">
        <f>IF(AND(ISNUMBER(SEARCH("Espeto",N73)),ISNUMBER(SEARCH("Pavão",N73))),"SIM","")</f>
        <v/>
      </c>
      <c r="S73" s="92">
        <f>IF(AND(ISNUMBER(SEARCH("Espeto",N73)),ISNUMBER(SEARCH("Chac",N73))),"SIM","")</f>
        <v/>
      </c>
      <c r="T73" s="92">
        <f>IF(AND(ISNUMBER(SEARCH("Espeto",N73)),ISNUMBER(SEARCH("Madalena",N73))),"SIM","")</f>
        <v/>
      </c>
      <c r="U73" s="92">
        <f>IF(AND(ISNUMBER(SEARCH("Espeto",N73)),ISNUMBER(SEARCH("Mariana",N73))),"SIM","")</f>
        <v/>
      </c>
      <c r="V73" s="92">
        <f>IF(AND(ISNUMBER(SEARCH("Espeto",N73)),ISNUMBER(SEARCH("Perdizes",N73))),"SIM","")</f>
        <v/>
      </c>
      <c r="W73" s="92">
        <f>IF(AND(ISNUMBER(SEARCH("Espeto",N73)),ISNUMBER(SEARCH("Santana",N73))),"SIM","")</f>
        <v/>
      </c>
      <c r="X73" s="92">
        <f>IF(AND(ISNUMBER(SEARCH("Espeto",N73)),ISNUMBER(SEARCH("André",N73))),"SIM","")</f>
        <v/>
      </c>
      <c r="Y73" s="92">
        <f>IF(AND(ISNUMBER(SEARCH("Delivery",N73)),ISNUMBER(SEARCH("Carin",N73))),"SIM","")</f>
        <v/>
      </c>
      <c r="Z73" s="92">
        <f>IF(AND(ISNUMBER(SEARCH("Delivery",N73)),ISNUMBER(SEARCH("Lapa",N73))),"SIM","")</f>
        <v/>
      </c>
      <c r="AA73" s="92">
        <f>IF(AND(ISNUMBER(SEARCH("Delivery",N73)),ISNUMBER(SEARCH("Tatuapé",N73))),"SIM","")</f>
        <v/>
      </c>
      <c r="AB73" s="92">
        <f>IF(AND(ISNUMBER(SEARCH("Delivery",N73)),ISNUMBER(SEARCH("Pavão",N73))),"SIM","")</f>
        <v/>
      </c>
      <c r="AC73" s="92">
        <f>IF(AND(ISNUMBER(SEARCH("Delivery",N73)),ISNUMBER(SEARCH("Chac",N73))),"SIM","")</f>
        <v/>
      </c>
      <c r="AD73" s="92">
        <f>IF(AND(ISNUMBER(SEARCH("Delivery",N73)),ISNUMBER(SEARCH("Madalena",N73))),"SIM","")</f>
        <v/>
      </c>
      <c r="AE73" s="92">
        <f>IF(AND(ISNUMBER(SEARCH("Delivery",N73)),ISNUMBER(SEARCH("Mariana",N73))),"SIM","")</f>
        <v/>
      </c>
      <c r="AF73" s="92">
        <f>IF(AND(ISNUMBER(SEARCH("Delivery",N73)),ISNUMBER(SEARCH("Perdizes",N73))),"SIM","")</f>
        <v/>
      </c>
      <c r="AG73" s="92">
        <f>IF(AND(ISNUMBER(SEARCH("Delivery",N73)),ISNUMBER(SEARCH("Santana",N73))),"SIM","")</f>
        <v/>
      </c>
      <c r="AH73" s="92">
        <f>IF(AND(ISNUMBER(SEARCH("Delivery",N73)),ISNUMBER(SEARCH("André",N73))),"SIM","")</f>
        <v/>
      </c>
      <c r="AI73" s="92">
        <f>IF(ISNUMBER(SEARCH("Interlagos",N73)),"SIM","")</f>
        <v/>
      </c>
      <c r="AJ73" s="92">
        <f>IF(ISNUMBER(SEARCH("Quiosque",N73)),"SIM","")</f>
        <v/>
      </c>
      <c r="AK73" s="93" t="n"/>
    </row>
    <row r="74">
      <c r="A74" s="88" t="inlineStr">
        <is>
          <t>Protheus</t>
        </is>
      </c>
      <c r="B74" s="89" t="inlineStr">
        <is>
          <t>000795</t>
        </is>
      </c>
      <c r="C74" s="90">
        <f>IF(B74="—","—",IFERROR(VLOOKUP(B74,_Protheus_Cadastro!$A:$B,2,FALSE),"—"))</f>
        <v/>
      </c>
      <c r="D74" s="91">
        <f>IF(B74="—",IFERROR(INDEX(_ZIG_Cadastro!$D:$D,MATCH(H74,_ZIG_Cadastro!$A:$A,0)),"Produto"),IFERROR(VLOOKUP(B74,_Protheus_Cadastro!$A:$C,3,FALSE),"—"))</f>
        <v/>
      </c>
      <c r="E74" s="91">
        <f>IF(B74="—","—",IFERROR(VLOOKUP(B74,_Protheus_Cadastro!$A:$D,4,FALSE),"—"))</f>
        <v/>
      </c>
      <c r="F74" s="91">
        <f>IF(ISERROR(VLOOKUP(B74,'Estrutura Protheus'!A:A,1,FALSE)),"Não","Sim")</f>
        <v/>
      </c>
      <c r="G74" s="92">
        <f>IFERROR(INDEX(_Protheus_Cadastro!$H:$H,MATCH(B74,_Protheus_Cadastro!$A:$A,0)),"—")</f>
        <v/>
      </c>
      <c r="H74" s="210">
        <f>IFERROR(INDEX(_ZIG_Precos!$D:$D,MATCH(I74,_ZIG_Precos!$F:$F,0)),"—")</f>
        <v/>
      </c>
      <c r="I74" s="95">
        <f>IFERROR(VLOOKUP(B74,_Protheus_Cadastro!$A:$I,9,FALSE),"—")</f>
        <v/>
      </c>
      <c r="J74" s="93">
        <f>IFERROR(INDEX(_ZIG_Cadastro!$B:$B,MATCH(I74,_ZIG_Cadastro!$A:$A,0)),IFERROR(INDEX(_Entradas_ZIG!$B:$B,MATCH(I74,_Entradas_ZIG!$C:$C,0)),"—"))</f>
        <v/>
      </c>
      <c r="K74" s="93">
        <f>IFERROR(INDEX(_ZIG_Cadastro!$C:$C,MATCH(I74,_ZIG_Cadastro!$A:$A,0)),IFERROR(INDEX(_Entradas_ZIG!$D:$D,MATCH(I74,_Entradas_ZIG!$C:$C,0)),"—"))</f>
        <v/>
      </c>
      <c r="L74" s="92">
        <f>IF(I74="","Sem SKU ZIG",IF(I74="—","Sem SKU ZIG",IF(NOT(ISERROR(MATCH(I74,_ZIG_Cadastro!$A:$A,0))),IF(EXACT(UPPER(TRIM(C74)),UPPER(TRIM(INDEX(_ZIG_Cadastro!$B:$B,MATCH(I74,_ZIG_Cadastro!$A:$A,0))))),"OK","Atencao - Nome diverge"),IF(NOT(ISERROR(MATCH(I74,_Entradas_ZIG!$C:$C,0))),"OK","Erro - SKU nao encontrado"))))</f>
        <v/>
      </c>
      <c r="M74" s="92">
        <f>IFERROR(INDEX(_ZIG_Cadastro!$G:$G,MATCH(I74,_ZIG_Cadastro!$A:$A,0)),IF(NOT(ISERROR(MATCH(I74,_Entradas_ZIG!$C:$C,0))),"Ativo","—"))</f>
        <v/>
      </c>
      <c r="N74" s="94">
        <f>IFERROR(INDEX(_ZIG_Cadastro!$E:$E,MATCH(I74,_ZIG_Cadastro!$A:$A,0)),IFERROR(INDEX(_Entradas_ZIG!$F:$F,MATCH(I74,_Entradas_ZIG!$C:$C,0)),"—"))</f>
        <v/>
      </c>
      <c r="O74" s="92">
        <f>IF(AND(ISNUMBER(SEARCH("Espeto",N74)),ISNUMBER(SEARCH("Carin",N74))),"SIM","")</f>
        <v/>
      </c>
      <c r="P74" s="92">
        <f>IF(AND(ISNUMBER(SEARCH("Espeto",N74)),ISNUMBER(SEARCH("Lapa",N74))),"SIM","")</f>
        <v/>
      </c>
      <c r="Q74" s="92">
        <f>IF(AND(ISNUMBER(SEARCH("Espeto",N74)),ISNUMBER(SEARCH("Tatuapé",N74))),"SIM","")</f>
        <v/>
      </c>
      <c r="R74" s="92">
        <f>IF(AND(ISNUMBER(SEARCH("Espeto",N74)),ISNUMBER(SEARCH("Pavão",N74))),"SIM","")</f>
        <v/>
      </c>
      <c r="S74" s="92">
        <f>IF(AND(ISNUMBER(SEARCH("Espeto",N74)),ISNUMBER(SEARCH("Chac",N74))),"SIM","")</f>
        <v/>
      </c>
      <c r="T74" s="92">
        <f>IF(AND(ISNUMBER(SEARCH("Espeto",N74)),ISNUMBER(SEARCH("Madalena",N74))),"SIM","")</f>
        <v/>
      </c>
      <c r="U74" s="92">
        <f>IF(AND(ISNUMBER(SEARCH("Espeto",N74)),ISNUMBER(SEARCH("Mariana",N74))),"SIM","")</f>
        <v/>
      </c>
      <c r="V74" s="92">
        <f>IF(AND(ISNUMBER(SEARCH("Espeto",N74)),ISNUMBER(SEARCH("Perdizes",N74))),"SIM","")</f>
        <v/>
      </c>
      <c r="W74" s="92">
        <f>IF(AND(ISNUMBER(SEARCH("Espeto",N74)),ISNUMBER(SEARCH("Santana",N74))),"SIM","")</f>
        <v/>
      </c>
      <c r="X74" s="92">
        <f>IF(AND(ISNUMBER(SEARCH("Espeto",N74)),ISNUMBER(SEARCH("André",N74))),"SIM","")</f>
        <v/>
      </c>
      <c r="Y74" s="92">
        <f>IF(AND(ISNUMBER(SEARCH("Delivery",N74)),ISNUMBER(SEARCH("Carin",N74))),"SIM","")</f>
        <v/>
      </c>
      <c r="Z74" s="92">
        <f>IF(AND(ISNUMBER(SEARCH("Delivery",N74)),ISNUMBER(SEARCH("Lapa",N74))),"SIM","")</f>
        <v/>
      </c>
      <c r="AA74" s="92">
        <f>IF(AND(ISNUMBER(SEARCH("Delivery",N74)),ISNUMBER(SEARCH("Tatuapé",N74))),"SIM","")</f>
        <v/>
      </c>
      <c r="AB74" s="92">
        <f>IF(AND(ISNUMBER(SEARCH("Delivery",N74)),ISNUMBER(SEARCH("Pavão",N74))),"SIM","")</f>
        <v/>
      </c>
      <c r="AC74" s="92">
        <f>IF(AND(ISNUMBER(SEARCH("Delivery",N74)),ISNUMBER(SEARCH("Chac",N74))),"SIM","")</f>
        <v/>
      </c>
      <c r="AD74" s="92">
        <f>IF(AND(ISNUMBER(SEARCH("Delivery",N74)),ISNUMBER(SEARCH("Madalena",N74))),"SIM","")</f>
        <v/>
      </c>
      <c r="AE74" s="92">
        <f>IF(AND(ISNUMBER(SEARCH("Delivery",N74)),ISNUMBER(SEARCH("Mariana",N74))),"SIM","")</f>
        <v/>
      </c>
      <c r="AF74" s="92">
        <f>IF(AND(ISNUMBER(SEARCH("Delivery",N74)),ISNUMBER(SEARCH("Perdizes",N74))),"SIM","")</f>
        <v/>
      </c>
      <c r="AG74" s="92">
        <f>IF(AND(ISNUMBER(SEARCH("Delivery",N74)),ISNUMBER(SEARCH("Santana",N74))),"SIM","")</f>
        <v/>
      </c>
      <c r="AH74" s="92">
        <f>IF(AND(ISNUMBER(SEARCH("Delivery",N74)),ISNUMBER(SEARCH("André",N74))),"SIM","")</f>
        <v/>
      </c>
      <c r="AI74" s="92">
        <f>IF(ISNUMBER(SEARCH("Interlagos",N74)),"SIM","")</f>
        <v/>
      </c>
      <c r="AJ74" s="92">
        <f>IF(ISNUMBER(SEARCH("Quiosque",N74)),"SIM","")</f>
        <v/>
      </c>
      <c r="AK74" s="93" t="n"/>
    </row>
    <row r="75">
      <c r="A75" s="88" t="inlineStr">
        <is>
          <t>Protheus</t>
        </is>
      </c>
      <c r="B75" s="89" t="inlineStr">
        <is>
          <t>000945</t>
        </is>
      </c>
      <c r="C75" s="90">
        <f>IF(B75="—","—",IFERROR(VLOOKUP(B75,_Protheus_Cadastro!$A:$B,2,FALSE),"—"))</f>
        <v/>
      </c>
      <c r="D75" s="91">
        <f>IF(B75="—",IFERROR(INDEX(_ZIG_Cadastro!$D:$D,MATCH(H75,_ZIG_Cadastro!$A:$A,0)),"Produto"),IFERROR(VLOOKUP(B75,_Protheus_Cadastro!$A:$C,3,FALSE),"—"))</f>
        <v/>
      </c>
      <c r="E75" s="91">
        <f>IF(B75="—","—",IFERROR(VLOOKUP(B75,_Protheus_Cadastro!$A:$D,4,FALSE),"—"))</f>
        <v/>
      </c>
      <c r="F75" s="91">
        <f>IF(ISERROR(VLOOKUP(B75,'Estrutura Protheus'!A:A,1,FALSE)),"Não","Sim")</f>
        <v/>
      </c>
      <c r="G75" s="92">
        <f>IFERROR(INDEX(_Protheus_Cadastro!$H:$H,MATCH(B75,_Protheus_Cadastro!$A:$A,0)),"—")</f>
        <v/>
      </c>
      <c r="H75" s="210">
        <f>IFERROR(INDEX(_ZIG_Precos!$D:$D,MATCH(I75,_ZIG_Precos!$F:$F,0)),"—")</f>
        <v/>
      </c>
      <c r="I75" s="95">
        <f>IFERROR(VLOOKUP(B75,_Protheus_Cadastro!$A:$I,9,FALSE),"—")</f>
        <v/>
      </c>
      <c r="J75" s="93">
        <f>IFERROR(INDEX(_ZIG_Cadastro!$B:$B,MATCH(I75,_ZIG_Cadastro!$A:$A,0)),IFERROR(INDEX(_Entradas_ZIG!$B:$B,MATCH(I75,_Entradas_ZIG!$C:$C,0)),"—"))</f>
        <v/>
      </c>
      <c r="K75" s="93">
        <f>IFERROR(INDEX(_ZIG_Cadastro!$C:$C,MATCH(I75,_ZIG_Cadastro!$A:$A,0)),IFERROR(INDEX(_Entradas_ZIG!$D:$D,MATCH(I75,_Entradas_ZIG!$C:$C,0)),"—"))</f>
        <v/>
      </c>
      <c r="L75" s="92">
        <f>IF(I75="","Sem SKU ZIG",IF(I75="—","Sem SKU ZIG",IF(NOT(ISERROR(MATCH(I75,_ZIG_Cadastro!$A:$A,0))),IF(EXACT(UPPER(TRIM(C75)),UPPER(TRIM(INDEX(_ZIG_Cadastro!$B:$B,MATCH(I75,_ZIG_Cadastro!$A:$A,0))))),"OK","Atencao - Nome diverge"),IF(NOT(ISERROR(MATCH(I75,_Entradas_ZIG!$C:$C,0))),"OK","Erro - SKU nao encontrado"))))</f>
        <v/>
      </c>
      <c r="M75" s="92">
        <f>IFERROR(INDEX(_ZIG_Cadastro!$G:$G,MATCH(I75,_ZIG_Cadastro!$A:$A,0)),IF(NOT(ISERROR(MATCH(I75,_Entradas_ZIG!$C:$C,0))),"Ativo","—"))</f>
        <v/>
      </c>
      <c r="N75" s="94">
        <f>IFERROR(INDEX(_ZIG_Cadastro!$E:$E,MATCH(I75,_ZIG_Cadastro!$A:$A,0)),IFERROR(INDEX(_Entradas_ZIG!$F:$F,MATCH(I75,_Entradas_ZIG!$C:$C,0)),"—"))</f>
        <v/>
      </c>
      <c r="O75" s="92">
        <f>IF(AND(ISNUMBER(SEARCH("Espeto",N75)),ISNUMBER(SEARCH("Carin",N75))),"SIM","")</f>
        <v/>
      </c>
      <c r="P75" s="92">
        <f>IF(AND(ISNUMBER(SEARCH("Espeto",N75)),ISNUMBER(SEARCH("Lapa",N75))),"SIM","")</f>
        <v/>
      </c>
      <c r="Q75" s="92">
        <f>IF(AND(ISNUMBER(SEARCH("Espeto",N75)),ISNUMBER(SEARCH("Tatuapé",N75))),"SIM","")</f>
        <v/>
      </c>
      <c r="R75" s="92">
        <f>IF(AND(ISNUMBER(SEARCH("Espeto",N75)),ISNUMBER(SEARCH("Pavão",N75))),"SIM","")</f>
        <v/>
      </c>
      <c r="S75" s="92">
        <f>IF(AND(ISNUMBER(SEARCH("Espeto",N75)),ISNUMBER(SEARCH("Chac",N75))),"SIM","")</f>
        <v/>
      </c>
      <c r="T75" s="92">
        <f>IF(AND(ISNUMBER(SEARCH("Espeto",N75)),ISNUMBER(SEARCH("Madalena",N75))),"SIM","")</f>
        <v/>
      </c>
      <c r="U75" s="92">
        <f>IF(AND(ISNUMBER(SEARCH("Espeto",N75)),ISNUMBER(SEARCH("Mariana",N75))),"SIM","")</f>
        <v/>
      </c>
      <c r="V75" s="92">
        <f>IF(AND(ISNUMBER(SEARCH("Espeto",N75)),ISNUMBER(SEARCH("Perdizes",N75))),"SIM","")</f>
        <v/>
      </c>
      <c r="W75" s="92">
        <f>IF(AND(ISNUMBER(SEARCH("Espeto",N75)),ISNUMBER(SEARCH("Santana",N75))),"SIM","")</f>
        <v/>
      </c>
      <c r="X75" s="92">
        <f>IF(AND(ISNUMBER(SEARCH("Espeto",N75)),ISNUMBER(SEARCH("André",N75))),"SIM","")</f>
        <v/>
      </c>
      <c r="Y75" s="92">
        <f>IF(AND(ISNUMBER(SEARCH("Delivery",N75)),ISNUMBER(SEARCH("Carin",N75))),"SIM","")</f>
        <v/>
      </c>
      <c r="Z75" s="92">
        <f>IF(AND(ISNUMBER(SEARCH("Delivery",N75)),ISNUMBER(SEARCH("Lapa",N75))),"SIM","")</f>
        <v/>
      </c>
      <c r="AA75" s="92">
        <f>IF(AND(ISNUMBER(SEARCH("Delivery",N75)),ISNUMBER(SEARCH("Tatuapé",N75))),"SIM","")</f>
        <v/>
      </c>
      <c r="AB75" s="92">
        <f>IF(AND(ISNUMBER(SEARCH("Delivery",N75)),ISNUMBER(SEARCH("Pavão",N75))),"SIM","")</f>
        <v/>
      </c>
      <c r="AC75" s="92">
        <f>IF(AND(ISNUMBER(SEARCH("Delivery",N75)),ISNUMBER(SEARCH("Chac",N75))),"SIM","")</f>
        <v/>
      </c>
      <c r="AD75" s="92">
        <f>IF(AND(ISNUMBER(SEARCH("Delivery",N75)),ISNUMBER(SEARCH("Madalena",N75))),"SIM","")</f>
        <v/>
      </c>
      <c r="AE75" s="92">
        <f>IF(AND(ISNUMBER(SEARCH("Delivery",N75)),ISNUMBER(SEARCH("Mariana",N75))),"SIM","")</f>
        <v/>
      </c>
      <c r="AF75" s="92">
        <f>IF(AND(ISNUMBER(SEARCH("Delivery",N75)),ISNUMBER(SEARCH("Perdizes",N75))),"SIM","")</f>
        <v/>
      </c>
      <c r="AG75" s="92">
        <f>IF(AND(ISNUMBER(SEARCH("Delivery",N75)),ISNUMBER(SEARCH("Santana",N75))),"SIM","")</f>
        <v/>
      </c>
      <c r="AH75" s="92">
        <f>IF(AND(ISNUMBER(SEARCH("Delivery",N75)),ISNUMBER(SEARCH("André",N75))),"SIM","")</f>
        <v/>
      </c>
      <c r="AI75" s="92">
        <f>IF(ISNUMBER(SEARCH("Interlagos",N75)),"SIM","")</f>
        <v/>
      </c>
      <c r="AJ75" s="92">
        <f>IF(ISNUMBER(SEARCH("Quiosque",N75)),"SIM","")</f>
        <v/>
      </c>
      <c r="AK75" s="93" t="n"/>
    </row>
    <row r="76">
      <c r="A76" s="88" t="inlineStr">
        <is>
          <t>Protheus</t>
        </is>
      </c>
      <c r="B76" s="96" t="inlineStr">
        <is>
          <t>001958</t>
        </is>
      </c>
      <c r="C76" s="97">
        <f>IF(B76="—","—",IFERROR(VLOOKUP(B76,_Protheus_Cadastro!$A:$B,2,FALSE),"—"))</f>
        <v/>
      </c>
      <c r="D76" s="98">
        <f>IF(B76="—",IFERROR(INDEX(_ZIG_Cadastro!$D:$D,MATCH(H76,_ZIG_Cadastro!$A:$A,0)),"Produto"),IFERROR(VLOOKUP(B76,_Protheus_Cadastro!$A:$C,3,FALSE),"—"))</f>
        <v/>
      </c>
      <c r="E76" s="98">
        <f>IF(B76="—","—",IFERROR(VLOOKUP(B76,_Protheus_Cadastro!$A:$D,4,FALSE),"—"))</f>
        <v/>
      </c>
      <c r="F76" s="98">
        <f>IF(ISERROR(VLOOKUP(B76,'Estrutura Protheus'!A:A,1,FALSE)),"Não","Sim")</f>
        <v/>
      </c>
      <c r="G76" s="99">
        <f>IFERROR(INDEX(_Protheus_Cadastro!$H:$H,MATCH(B76,_Protheus_Cadastro!$A:$A,0)),"—")</f>
        <v/>
      </c>
      <c r="H76" s="211">
        <f>IFERROR(INDEX(_ZIG_Precos!$D:$D,MATCH(I76,_ZIG_Precos!$F:$F,0)),"—")</f>
        <v/>
      </c>
      <c r="I76" s="103">
        <f>IFERROR(VLOOKUP(B76,_Protheus_Cadastro!$A:$I,9,FALSE),"—")</f>
        <v/>
      </c>
      <c r="J76" s="101">
        <f>IFERROR(INDEX(_ZIG_Cadastro!$B:$B,MATCH(I76,_ZIG_Cadastro!$A:$A,0)),IFERROR(INDEX(_Entradas_ZIG!$B:$B,MATCH(I76,_Entradas_ZIG!$C:$C,0)),"—"))</f>
        <v/>
      </c>
      <c r="K76" s="101">
        <f>IFERROR(INDEX(_ZIG_Cadastro!$C:$C,MATCH(I76,_ZIG_Cadastro!$A:$A,0)),IFERROR(INDEX(_Entradas_ZIG!$D:$D,MATCH(I76,_Entradas_ZIG!$C:$C,0)),"—"))</f>
        <v/>
      </c>
      <c r="L76" s="99">
        <f>IF(I76="","Sem SKU ZIG",IF(I76="—","Sem SKU ZIG",IF(NOT(ISERROR(MATCH(I76,_ZIG_Cadastro!$A:$A,0))),IF(EXACT(UPPER(TRIM(C76)),UPPER(TRIM(INDEX(_ZIG_Cadastro!$B:$B,MATCH(I76,_ZIG_Cadastro!$A:$A,0))))),"OK","Atencao - Nome diverge"),IF(NOT(ISERROR(MATCH(I76,_Entradas_ZIG!$C:$C,0))),"OK","Erro - SKU nao encontrado"))))</f>
        <v/>
      </c>
      <c r="M76" s="99">
        <f>IFERROR(INDEX(_ZIG_Cadastro!$G:$G,MATCH(I76,_ZIG_Cadastro!$A:$A,0)),IF(NOT(ISERROR(MATCH(I76,_Entradas_ZIG!$C:$C,0))),"Ativo","—"))</f>
        <v/>
      </c>
      <c r="N76" s="102">
        <f>IFERROR(INDEX(_ZIG_Cadastro!$E:$E,MATCH(I76,_ZIG_Cadastro!$A:$A,0)),IFERROR(INDEX(_Entradas_ZIG!$F:$F,MATCH(I76,_Entradas_ZIG!$C:$C,0)),"—"))</f>
        <v/>
      </c>
      <c r="O76" s="99">
        <f>IF(AND(ISNUMBER(SEARCH("Espeto",N76)),ISNUMBER(SEARCH("Carin",N76))),"SIM","")</f>
        <v/>
      </c>
      <c r="P76" s="99">
        <f>IF(AND(ISNUMBER(SEARCH("Espeto",N76)),ISNUMBER(SEARCH("Lapa",N76))),"SIM","")</f>
        <v/>
      </c>
      <c r="Q76" s="99">
        <f>IF(AND(ISNUMBER(SEARCH("Espeto",N76)),ISNUMBER(SEARCH("Tatuapé",N76))),"SIM","")</f>
        <v/>
      </c>
      <c r="R76" s="99">
        <f>IF(AND(ISNUMBER(SEARCH("Espeto",N76)),ISNUMBER(SEARCH("Pavão",N76))),"SIM","")</f>
        <v/>
      </c>
      <c r="S76" s="99">
        <f>IF(AND(ISNUMBER(SEARCH("Espeto",N76)),ISNUMBER(SEARCH("Chac",N76))),"SIM","")</f>
        <v/>
      </c>
      <c r="T76" s="99">
        <f>IF(AND(ISNUMBER(SEARCH("Espeto",N76)),ISNUMBER(SEARCH("Madalena",N76))),"SIM","")</f>
        <v/>
      </c>
      <c r="U76" s="99">
        <f>IF(AND(ISNUMBER(SEARCH("Espeto",N76)),ISNUMBER(SEARCH("Mariana",N76))),"SIM","")</f>
        <v/>
      </c>
      <c r="V76" s="99">
        <f>IF(AND(ISNUMBER(SEARCH("Espeto",N76)),ISNUMBER(SEARCH("Perdizes",N76))),"SIM","")</f>
        <v/>
      </c>
      <c r="W76" s="99">
        <f>IF(AND(ISNUMBER(SEARCH("Espeto",N76)),ISNUMBER(SEARCH("Santana",N76))),"SIM","")</f>
        <v/>
      </c>
      <c r="X76" s="99">
        <f>IF(AND(ISNUMBER(SEARCH("Espeto",N76)),ISNUMBER(SEARCH("André",N76))),"SIM","")</f>
        <v/>
      </c>
      <c r="Y76" s="99">
        <f>IF(AND(ISNUMBER(SEARCH("Delivery",N76)),ISNUMBER(SEARCH("Carin",N76))),"SIM","")</f>
        <v/>
      </c>
      <c r="Z76" s="99">
        <f>IF(AND(ISNUMBER(SEARCH("Delivery",N76)),ISNUMBER(SEARCH("Lapa",N76))),"SIM","")</f>
        <v/>
      </c>
      <c r="AA76" s="99">
        <f>IF(AND(ISNUMBER(SEARCH("Delivery",N76)),ISNUMBER(SEARCH("Tatuapé",N76))),"SIM","")</f>
        <v/>
      </c>
      <c r="AB76" s="99">
        <f>IF(AND(ISNUMBER(SEARCH("Delivery",N76)),ISNUMBER(SEARCH("Pavão",N76))),"SIM","")</f>
        <v/>
      </c>
      <c r="AC76" s="99">
        <f>IF(AND(ISNUMBER(SEARCH("Delivery",N76)),ISNUMBER(SEARCH("Chac",N76))),"SIM","")</f>
        <v/>
      </c>
      <c r="AD76" s="99">
        <f>IF(AND(ISNUMBER(SEARCH("Delivery",N76)),ISNUMBER(SEARCH("Madalena",N76))),"SIM","")</f>
        <v/>
      </c>
      <c r="AE76" s="99">
        <f>IF(AND(ISNUMBER(SEARCH("Delivery",N76)),ISNUMBER(SEARCH("Mariana",N76))),"SIM","")</f>
        <v/>
      </c>
      <c r="AF76" s="99">
        <f>IF(AND(ISNUMBER(SEARCH("Delivery",N76)),ISNUMBER(SEARCH("Perdizes",N76))),"SIM","")</f>
        <v/>
      </c>
      <c r="AG76" s="99">
        <f>IF(AND(ISNUMBER(SEARCH("Delivery",N76)),ISNUMBER(SEARCH("Santana",N76))),"SIM","")</f>
        <v/>
      </c>
      <c r="AH76" s="99">
        <f>IF(AND(ISNUMBER(SEARCH("Delivery",N76)),ISNUMBER(SEARCH("André",N76))),"SIM","")</f>
        <v/>
      </c>
      <c r="AI76" s="99">
        <f>IF(ISNUMBER(SEARCH("Interlagos",N76)),"SIM","")</f>
        <v/>
      </c>
      <c r="AJ76" s="99">
        <f>IF(ISNUMBER(SEARCH("Quiosque",N76)),"SIM","")</f>
        <v/>
      </c>
      <c r="AK76" s="101" t="n"/>
    </row>
    <row r="77">
      <c r="A77" s="88" t="inlineStr">
        <is>
          <t>Protheus</t>
        </is>
      </c>
      <c r="B77" s="89" t="inlineStr">
        <is>
          <t>002238</t>
        </is>
      </c>
      <c r="C77" s="90">
        <f>IF(B77="—","—",IFERROR(VLOOKUP(B77,_Protheus_Cadastro!$A:$B,2,FALSE),"—"))</f>
        <v/>
      </c>
      <c r="D77" s="91">
        <f>IF(B77="—",IFERROR(INDEX(_ZIG_Cadastro!$D:$D,MATCH(H77,_ZIG_Cadastro!$A:$A,0)),"Produto"),IFERROR(VLOOKUP(B77,_Protheus_Cadastro!$A:$C,3,FALSE),"—"))</f>
        <v/>
      </c>
      <c r="E77" s="91">
        <f>IF(B77="—","—",IFERROR(VLOOKUP(B77,_Protheus_Cadastro!$A:$D,4,FALSE),"—"))</f>
        <v/>
      </c>
      <c r="F77" s="91">
        <f>IF(ISERROR(VLOOKUP(B77,'Estrutura Protheus'!A:A,1,FALSE)),"Não","Sim")</f>
        <v/>
      </c>
      <c r="G77" s="92">
        <f>IFERROR(INDEX(_Protheus_Cadastro!$H:$H,MATCH(B77,_Protheus_Cadastro!$A:$A,0)),"—")</f>
        <v/>
      </c>
      <c r="H77" s="210">
        <f>IFERROR(INDEX(_ZIG_Precos!$D:$D,MATCH(I77,_ZIG_Precos!$F:$F,0)),"—")</f>
        <v/>
      </c>
      <c r="I77" s="95">
        <f>IFERROR(VLOOKUP(B77,_Protheus_Cadastro!$A:$I,9,FALSE),"—")</f>
        <v/>
      </c>
      <c r="J77" s="93">
        <f>IFERROR(INDEX(_ZIG_Cadastro!$B:$B,MATCH(I77,_ZIG_Cadastro!$A:$A,0)),IFERROR(INDEX(_Entradas_ZIG!$B:$B,MATCH(I77,_Entradas_ZIG!$C:$C,0)),"—"))</f>
        <v/>
      </c>
      <c r="K77" s="93">
        <f>IFERROR(INDEX(_ZIG_Cadastro!$C:$C,MATCH(I77,_ZIG_Cadastro!$A:$A,0)),IFERROR(INDEX(_Entradas_ZIG!$D:$D,MATCH(I77,_Entradas_ZIG!$C:$C,0)),"—"))</f>
        <v/>
      </c>
      <c r="L77" s="92">
        <f>IF(I77="","Sem SKU ZIG",IF(I77="—","Sem SKU ZIG",IF(NOT(ISERROR(MATCH(I77,_ZIG_Cadastro!$A:$A,0))),IF(EXACT(UPPER(TRIM(C77)),UPPER(TRIM(INDEX(_ZIG_Cadastro!$B:$B,MATCH(I77,_ZIG_Cadastro!$A:$A,0))))),"OK","Atencao - Nome diverge"),IF(NOT(ISERROR(MATCH(I77,_Entradas_ZIG!$C:$C,0))),"OK","Erro - SKU nao encontrado"))))</f>
        <v/>
      </c>
      <c r="M77" s="92">
        <f>IFERROR(INDEX(_ZIG_Cadastro!$G:$G,MATCH(I77,_ZIG_Cadastro!$A:$A,0)),IF(NOT(ISERROR(MATCH(I77,_Entradas_ZIG!$C:$C,0))),"Ativo","—"))</f>
        <v/>
      </c>
      <c r="N77" s="94">
        <f>IFERROR(INDEX(_ZIG_Cadastro!$E:$E,MATCH(I77,_ZIG_Cadastro!$A:$A,0)),IFERROR(INDEX(_Entradas_ZIG!$F:$F,MATCH(I77,_Entradas_ZIG!$C:$C,0)),"—"))</f>
        <v/>
      </c>
      <c r="O77" s="92">
        <f>IF(AND(ISNUMBER(SEARCH("Espeto",N77)),ISNUMBER(SEARCH("Carin",N77))),"SIM","")</f>
        <v/>
      </c>
      <c r="P77" s="92">
        <f>IF(AND(ISNUMBER(SEARCH("Espeto",N77)),ISNUMBER(SEARCH("Lapa",N77))),"SIM","")</f>
        <v/>
      </c>
      <c r="Q77" s="92">
        <f>IF(AND(ISNUMBER(SEARCH("Espeto",N77)),ISNUMBER(SEARCH("Tatuapé",N77))),"SIM","")</f>
        <v/>
      </c>
      <c r="R77" s="92">
        <f>IF(AND(ISNUMBER(SEARCH("Espeto",N77)),ISNUMBER(SEARCH("Pavão",N77))),"SIM","")</f>
        <v/>
      </c>
      <c r="S77" s="92">
        <f>IF(AND(ISNUMBER(SEARCH("Espeto",N77)),ISNUMBER(SEARCH("Chac",N77))),"SIM","")</f>
        <v/>
      </c>
      <c r="T77" s="92">
        <f>IF(AND(ISNUMBER(SEARCH("Espeto",N77)),ISNUMBER(SEARCH("Madalena",N77))),"SIM","")</f>
        <v/>
      </c>
      <c r="U77" s="92">
        <f>IF(AND(ISNUMBER(SEARCH("Espeto",N77)),ISNUMBER(SEARCH("Mariana",N77))),"SIM","")</f>
        <v/>
      </c>
      <c r="V77" s="92">
        <f>IF(AND(ISNUMBER(SEARCH("Espeto",N77)),ISNUMBER(SEARCH("Perdizes",N77))),"SIM","")</f>
        <v/>
      </c>
      <c r="W77" s="92">
        <f>IF(AND(ISNUMBER(SEARCH("Espeto",N77)),ISNUMBER(SEARCH("Santana",N77))),"SIM","")</f>
        <v/>
      </c>
      <c r="X77" s="92">
        <f>IF(AND(ISNUMBER(SEARCH("Espeto",N77)),ISNUMBER(SEARCH("André",N77))),"SIM","")</f>
        <v/>
      </c>
      <c r="Y77" s="92">
        <f>IF(AND(ISNUMBER(SEARCH("Delivery",N77)),ISNUMBER(SEARCH("Carin",N77))),"SIM","")</f>
        <v/>
      </c>
      <c r="Z77" s="92">
        <f>IF(AND(ISNUMBER(SEARCH("Delivery",N77)),ISNUMBER(SEARCH("Lapa",N77))),"SIM","")</f>
        <v/>
      </c>
      <c r="AA77" s="92">
        <f>IF(AND(ISNUMBER(SEARCH("Delivery",N77)),ISNUMBER(SEARCH("Tatuapé",N77))),"SIM","")</f>
        <v/>
      </c>
      <c r="AB77" s="92">
        <f>IF(AND(ISNUMBER(SEARCH("Delivery",N77)),ISNUMBER(SEARCH("Pavão",N77))),"SIM","")</f>
        <v/>
      </c>
      <c r="AC77" s="92">
        <f>IF(AND(ISNUMBER(SEARCH("Delivery",N77)),ISNUMBER(SEARCH("Chac",N77))),"SIM","")</f>
        <v/>
      </c>
      <c r="AD77" s="92">
        <f>IF(AND(ISNUMBER(SEARCH("Delivery",N77)),ISNUMBER(SEARCH("Madalena",N77))),"SIM","")</f>
        <v/>
      </c>
      <c r="AE77" s="92">
        <f>IF(AND(ISNUMBER(SEARCH("Delivery",N77)),ISNUMBER(SEARCH("Mariana",N77))),"SIM","")</f>
        <v/>
      </c>
      <c r="AF77" s="92">
        <f>IF(AND(ISNUMBER(SEARCH("Delivery",N77)),ISNUMBER(SEARCH("Perdizes",N77))),"SIM","")</f>
        <v/>
      </c>
      <c r="AG77" s="92">
        <f>IF(AND(ISNUMBER(SEARCH("Delivery",N77)),ISNUMBER(SEARCH("Santana",N77))),"SIM","")</f>
        <v/>
      </c>
      <c r="AH77" s="92">
        <f>IF(AND(ISNUMBER(SEARCH("Delivery",N77)),ISNUMBER(SEARCH("André",N77))),"SIM","")</f>
        <v/>
      </c>
      <c r="AI77" s="92">
        <f>IF(ISNUMBER(SEARCH("Interlagos",N77)),"SIM","")</f>
        <v/>
      </c>
      <c r="AJ77" s="92">
        <f>IF(ISNUMBER(SEARCH("Quiosque",N77)),"SIM","")</f>
        <v/>
      </c>
      <c r="AK77" s="93" t="n"/>
    </row>
    <row r="78">
      <c r="A78" s="88" t="inlineStr">
        <is>
          <t>Protheus</t>
        </is>
      </c>
      <c r="B78" s="89" t="inlineStr">
        <is>
          <t>010379</t>
        </is>
      </c>
      <c r="C78" s="90">
        <f>IF(B78="—","—",IFERROR(VLOOKUP(B78,_Protheus_Cadastro!$A:$B,2,FALSE),"—"))</f>
        <v/>
      </c>
      <c r="D78" s="91">
        <f>IF(B78="—",IFERROR(INDEX(_ZIG_Cadastro!$D:$D,MATCH(H78,_ZIG_Cadastro!$A:$A,0)),"Produto"),IFERROR(VLOOKUP(B78,_Protheus_Cadastro!$A:$C,3,FALSE),"—"))</f>
        <v/>
      </c>
      <c r="E78" s="91">
        <f>IF(B78="—","—",IFERROR(VLOOKUP(B78,_Protheus_Cadastro!$A:$D,4,FALSE),"—"))</f>
        <v/>
      </c>
      <c r="F78" s="91">
        <f>IF(ISERROR(VLOOKUP(B78,'Estrutura Protheus'!A:A,1,FALSE)),"Não","Sim")</f>
        <v/>
      </c>
      <c r="G78" s="92">
        <f>IFERROR(INDEX(_Protheus_Cadastro!$H:$H,MATCH(B78,_Protheus_Cadastro!$A:$A,0)),"—")</f>
        <v/>
      </c>
      <c r="H78" s="210">
        <f>IFERROR(INDEX(_ZIG_Precos!$D:$D,MATCH(I78,_ZIG_Precos!$F:$F,0)),"—")</f>
        <v/>
      </c>
      <c r="I78" s="95">
        <f>IFERROR(VLOOKUP(B78,_Protheus_Cadastro!$A:$I,9,FALSE),"—")</f>
        <v/>
      </c>
      <c r="J78" s="93">
        <f>IFERROR(INDEX(_ZIG_Cadastro!$B:$B,MATCH(I78,_ZIG_Cadastro!$A:$A,0)),IFERROR(INDEX(_Entradas_ZIG!$B:$B,MATCH(I78,_Entradas_ZIG!$C:$C,0)),"—"))</f>
        <v/>
      </c>
      <c r="K78" s="93">
        <f>IFERROR(INDEX(_ZIG_Cadastro!$C:$C,MATCH(I78,_ZIG_Cadastro!$A:$A,0)),IFERROR(INDEX(_Entradas_ZIG!$D:$D,MATCH(I78,_Entradas_ZIG!$C:$C,0)),"—"))</f>
        <v/>
      </c>
      <c r="L78" s="92">
        <f>IF(I78="","Sem SKU ZIG",IF(I78="—","Sem SKU ZIG",IF(NOT(ISERROR(MATCH(I78,_ZIG_Cadastro!$A:$A,0))),IF(EXACT(UPPER(TRIM(C78)),UPPER(TRIM(INDEX(_ZIG_Cadastro!$B:$B,MATCH(I78,_ZIG_Cadastro!$A:$A,0))))),"OK","Atencao - Nome diverge"),IF(NOT(ISERROR(MATCH(I78,_Entradas_ZIG!$C:$C,0))),"OK","Erro - SKU nao encontrado"))))</f>
        <v/>
      </c>
      <c r="M78" s="92">
        <f>IFERROR(INDEX(_ZIG_Cadastro!$G:$G,MATCH(I78,_ZIG_Cadastro!$A:$A,0)),IF(NOT(ISERROR(MATCH(I78,_Entradas_ZIG!$C:$C,0))),"Ativo","—"))</f>
        <v/>
      </c>
      <c r="N78" s="94">
        <f>IFERROR(INDEX(_ZIG_Cadastro!$E:$E,MATCH(I78,_ZIG_Cadastro!$A:$A,0)),IFERROR(INDEX(_Entradas_ZIG!$F:$F,MATCH(I78,_Entradas_ZIG!$C:$C,0)),"—"))</f>
        <v/>
      </c>
      <c r="O78" s="92">
        <f>IF(AND(ISNUMBER(SEARCH("Espeto",N78)),ISNUMBER(SEARCH("Carin",N78))),"SIM","")</f>
        <v/>
      </c>
      <c r="P78" s="92">
        <f>IF(AND(ISNUMBER(SEARCH("Espeto",N78)),ISNUMBER(SEARCH("Lapa",N78))),"SIM","")</f>
        <v/>
      </c>
      <c r="Q78" s="92">
        <f>IF(AND(ISNUMBER(SEARCH("Espeto",N78)),ISNUMBER(SEARCH("Tatuapé",N78))),"SIM","")</f>
        <v/>
      </c>
      <c r="R78" s="92">
        <f>IF(AND(ISNUMBER(SEARCH("Espeto",N78)),ISNUMBER(SEARCH("Pavão",N78))),"SIM","")</f>
        <v/>
      </c>
      <c r="S78" s="92">
        <f>IF(AND(ISNUMBER(SEARCH("Espeto",N78)),ISNUMBER(SEARCH("Chac",N78))),"SIM","")</f>
        <v/>
      </c>
      <c r="T78" s="92">
        <f>IF(AND(ISNUMBER(SEARCH("Espeto",N78)),ISNUMBER(SEARCH("Madalena",N78))),"SIM","")</f>
        <v/>
      </c>
      <c r="U78" s="92">
        <f>IF(AND(ISNUMBER(SEARCH("Espeto",N78)),ISNUMBER(SEARCH("Mariana",N78))),"SIM","")</f>
        <v/>
      </c>
      <c r="V78" s="92">
        <f>IF(AND(ISNUMBER(SEARCH("Espeto",N78)),ISNUMBER(SEARCH("Perdizes",N78))),"SIM","")</f>
        <v/>
      </c>
      <c r="W78" s="92">
        <f>IF(AND(ISNUMBER(SEARCH("Espeto",N78)),ISNUMBER(SEARCH("Santana",N78))),"SIM","")</f>
        <v/>
      </c>
      <c r="X78" s="92">
        <f>IF(AND(ISNUMBER(SEARCH("Espeto",N78)),ISNUMBER(SEARCH("André",N78))),"SIM","")</f>
        <v/>
      </c>
      <c r="Y78" s="92">
        <f>IF(AND(ISNUMBER(SEARCH("Delivery",N78)),ISNUMBER(SEARCH("Carin",N78))),"SIM","")</f>
        <v/>
      </c>
      <c r="Z78" s="92">
        <f>IF(AND(ISNUMBER(SEARCH("Delivery",N78)),ISNUMBER(SEARCH("Lapa",N78))),"SIM","")</f>
        <v/>
      </c>
      <c r="AA78" s="92">
        <f>IF(AND(ISNUMBER(SEARCH("Delivery",N78)),ISNUMBER(SEARCH("Tatuapé",N78))),"SIM","")</f>
        <v/>
      </c>
      <c r="AB78" s="92">
        <f>IF(AND(ISNUMBER(SEARCH("Delivery",N78)),ISNUMBER(SEARCH("Pavão",N78))),"SIM","")</f>
        <v/>
      </c>
      <c r="AC78" s="92">
        <f>IF(AND(ISNUMBER(SEARCH("Delivery",N78)),ISNUMBER(SEARCH("Chac",N78))),"SIM","")</f>
        <v/>
      </c>
      <c r="AD78" s="92">
        <f>IF(AND(ISNUMBER(SEARCH("Delivery",N78)),ISNUMBER(SEARCH("Madalena",N78))),"SIM","")</f>
        <v/>
      </c>
      <c r="AE78" s="92">
        <f>IF(AND(ISNUMBER(SEARCH("Delivery",N78)),ISNUMBER(SEARCH("Mariana",N78))),"SIM","")</f>
        <v/>
      </c>
      <c r="AF78" s="92">
        <f>IF(AND(ISNUMBER(SEARCH("Delivery",N78)),ISNUMBER(SEARCH("Perdizes",N78))),"SIM","")</f>
        <v/>
      </c>
      <c r="AG78" s="92">
        <f>IF(AND(ISNUMBER(SEARCH("Delivery",N78)),ISNUMBER(SEARCH("Santana",N78))),"SIM","")</f>
        <v/>
      </c>
      <c r="AH78" s="92">
        <f>IF(AND(ISNUMBER(SEARCH("Delivery",N78)),ISNUMBER(SEARCH("André",N78))),"SIM","")</f>
        <v/>
      </c>
      <c r="AI78" s="92">
        <f>IF(ISNUMBER(SEARCH("Interlagos",N78)),"SIM","")</f>
        <v/>
      </c>
      <c r="AJ78" s="92">
        <f>IF(ISNUMBER(SEARCH("Quiosque",N78)),"SIM","")</f>
        <v/>
      </c>
      <c r="AK78" s="93" t="n"/>
    </row>
    <row r="79">
      <c r="A79" s="88" t="inlineStr">
        <is>
          <t>Protheus</t>
        </is>
      </c>
      <c r="B79" s="96" t="inlineStr">
        <is>
          <t>001520</t>
        </is>
      </c>
      <c r="C79" s="97">
        <f>IF(B79="—","—",IFERROR(VLOOKUP(B79,_Protheus_Cadastro!$A:$B,2,FALSE),"—"))</f>
        <v/>
      </c>
      <c r="D79" s="98">
        <f>IF(B79="—",IFERROR(INDEX(_ZIG_Cadastro!$D:$D,MATCH(H79,_ZIG_Cadastro!$A:$A,0)),"Produto"),IFERROR(VLOOKUP(B79,_Protheus_Cadastro!$A:$C,3,FALSE),"—"))</f>
        <v/>
      </c>
      <c r="E79" s="98">
        <f>IF(B79="—","—",IFERROR(VLOOKUP(B79,_Protheus_Cadastro!$A:$D,4,FALSE),"—"))</f>
        <v/>
      </c>
      <c r="F79" s="98">
        <f>IF(ISERROR(VLOOKUP(B79,'Estrutura Protheus'!A:A,1,FALSE)),"Não","Sim")</f>
        <v/>
      </c>
      <c r="G79" s="99">
        <f>IFERROR(INDEX(_Protheus_Cadastro!$H:$H,MATCH(B79,_Protheus_Cadastro!$A:$A,0)),"—")</f>
        <v/>
      </c>
      <c r="H79" s="211">
        <f>IFERROR(INDEX(_ZIG_Precos!$D:$D,MATCH(I79,_ZIG_Precos!$F:$F,0)),"—")</f>
        <v/>
      </c>
      <c r="I79" s="103">
        <f>IFERROR(VLOOKUP(B79,_Protheus_Cadastro!$A:$I,9,FALSE),"—")</f>
        <v/>
      </c>
      <c r="J79" s="101">
        <f>IFERROR(INDEX(_ZIG_Cadastro!$B:$B,MATCH(I79,_ZIG_Cadastro!$A:$A,0)),IFERROR(INDEX(_Entradas_ZIG!$B:$B,MATCH(I79,_Entradas_ZIG!$C:$C,0)),"—"))</f>
        <v/>
      </c>
      <c r="K79" s="101">
        <f>IFERROR(INDEX(_ZIG_Cadastro!$C:$C,MATCH(I79,_ZIG_Cadastro!$A:$A,0)),IFERROR(INDEX(_Entradas_ZIG!$D:$D,MATCH(I79,_Entradas_ZIG!$C:$C,0)),"—"))</f>
        <v/>
      </c>
      <c r="L79" s="99">
        <f>IF(I79="","Sem SKU ZIG",IF(I79="—","Sem SKU ZIG",IF(NOT(ISERROR(MATCH(I79,_ZIG_Cadastro!$A:$A,0))),IF(EXACT(UPPER(TRIM(C79)),UPPER(TRIM(INDEX(_ZIG_Cadastro!$B:$B,MATCH(I79,_ZIG_Cadastro!$A:$A,0))))),"OK","Atencao - Nome diverge"),IF(NOT(ISERROR(MATCH(I79,_Entradas_ZIG!$C:$C,0))),"OK","Erro - SKU nao encontrado"))))</f>
        <v/>
      </c>
      <c r="M79" s="99">
        <f>IFERROR(INDEX(_ZIG_Cadastro!$G:$G,MATCH(I79,_ZIG_Cadastro!$A:$A,0)),IF(NOT(ISERROR(MATCH(I79,_Entradas_ZIG!$C:$C,0))),"Ativo","—"))</f>
        <v/>
      </c>
      <c r="N79" s="102">
        <f>IFERROR(INDEX(_ZIG_Cadastro!$E:$E,MATCH(I79,_ZIG_Cadastro!$A:$A,0)),IFERROR(INDEX(_Entradas_ZIG!$F:$F,MATCH(I79,_Entradas_ZIG!$C:$C,0)),"—"))</f>
        <v/>
      </c>
      <c r="O79" s="99">
        <f>IF(AND(ISNUMBER(SEARCH("Espeto",N79)),ISNUMBER(SEARCH("Carin",N79))),"SIM","")</f>
        <v/>
      </c>
      <c r="P79" s="99">
        <f>IF(AND(ISNUMBER(SEARCH("Espeto",N79)),ISNUMBER(SEARCH("Lapa",N79))),"SIM","")</f>
        <v/>
      </c>
      <c r="Q79" s="99">
        <f>IF(AND(ISNUMBER(SEARCH("Espeto",N79)),ISNUMBER(SEARCH("Tatuapé",N79))),"SIM","")</f>
        <v/>
      </c>
      <c r="R79" s="99">
        <f>IF(AND(ISNUMBER(SEARCH("Espeto",N79)),ISNUMBER(SEARCH("Pavão",N79))),"SIM","")</f>
        <v/>
      </c>
      <c r="S79" s="99">
        <f>IF(AND(ISNUMBER(SEARCH("Espeto",N79)),ISNUMBER(SEARCH("Chac",N79))),"SIM","")</f>
        <v/>
      </c>
      <c r="T79" s="99">
        <f>IF(AND(ISNUMBER(SEARCH("Espeto",N79)),ISNUMBER(SEARCH("Madalena",N79))),"SIM","")</f>
        <v/>
      </c>
      <c r="U79" s="99">
        <f>IF(AND(ISNUMBER(SEARCH("Espeto",N79)),ISNUMBER(SEARCH("Mariana",N79))),"SIM","")</f>
        <v/>
      </c>
      <c r="V79" s="99">
        <f>IF(AND(ISNUMBER(SEARCH("Espeto",N79)),ISNUMBER(SEARCH("Perdizes",N79))),"SIM","")</f>
        <v/>
      </c>
      <c r="W79" s="99">
        <f>IF(AND(ISNUMBER(SEARCH("Espeto",N79)),ISNUMBER(SEARCH("Santana",N79))),"SIM","")</f>
        <v/>
      </c>
      <c r="X79" s="99">
        <f>IF(AND(ISNUMBER(SEARCH("Espeto",N79)),ISNUMBER(SEARCH("André",N79))),"SIM","")</f>
        <v/>
      </c>
      <c r="Y79" s="99">
        <f>IF(AND(ISNUMBER(SEARCH("Delivery",N79)),ISNUMBER(SEARCH("Carin",N79))),"SIM","")</f>
        <v/>
      </c>
      <c r="Z79" s="99">
        <f>IF(AND(ISNUMBER(SEARCH("Delivery",N79)),ISNUMBER(SEARCH("Lapa",N79))),"SIM","")</f>
        <v/>
      </c>
      <c r="AA79" s="99">
        <f>IF(AND(ISNUMBER(SEARCH("Delivery",N79)),ISNUMBER(SEARCH("Tatuapé",N79))),"SIM","")</f>
        <v/>
      </c>
      <c r="AB79" s="99">
        <f>IF(AND(ISNUMBER(SEARCH("Delivery",N79)),ISNUMBER(SEARCH("Pavão",N79))),"SIM","")</f>
        <v/>
      </c>
      <c r="AC79" s="99">
        <f>IF(AND(ISNUMBER(SEARCH("Delivery",N79)),ISNUMBER(SEARCH("Chac",N79))),"SIM","")</f>
        <v/>
      </c>
      <c r="AD79" s="99">
        <f>IF(AND(ISNUMBER(SEARCH("Delivery",N79)),ISNUMBER(SEARCH("Madalena",N79))),"SIM","")</f>
        <v/>
      </c>
      <c r="AE79" s="99">
        <f>IF(AND(ISNUMBER(SEARCH("Delivery",N79)),ISNUMBER(SEARCH("Mariana",N79))),"SIM","")</f>
        <v/>
      </c>
      <c r="AF79" s="99">
        <f>IF(AND(ISNUMBER(SEARCH("Delivery",N79)),ISNUMBER(SEARCH("Perdizes",N79))),"SIM","")</f>
        <v/>
      </c>
      <c r="AG79" s="99">
        <f>IF(AND(ISNUMBER(SEARCH("Delivery",N79)),ISNUMBER(SEARCH("Santana",N79))),"SIM","")</f>
        <v/>
      </c>
      <c r="AH79" s="99">
        <f>IF(AND(ISNUMBER(SEARCH("Delivery",N79)),ISNUMBER(SEARCH("André",N79))),"SIM","")</f>
        <v/>
      </c>
      <c r="AI79" s="99">
        <f>IF(ISNUMBER(SEARCH("Interlagos",N79)),"SIM","")</f>
        <v/>
      </c>
      <c r="AJ79" s="99">
        <f>IF(ISNUMBER(SEARCH("Quiosque",N79)),"SIM","")</f>
        <v/>
      </c>
      <c r="AK79" s="101" t="n"/>
    </row>
    <row r="80">
      <c r="A80" s="88" t="inlineStr">
        <is>
          <t>Protheus</t>
        </is>
      </c>
      <c r="B80" s="89" t="inlineStr">
        <is>
          <t>001506</t>
        </is>
      </c>
      <c r="C80" s="90">
        <f>IF(B80="—","—",IFERROR(VLOOKUP(B80,_Protheus_Cadastro!$A:$B,2,FALSE),"—"))</f>
        <v/>
      </c>
      <c r="D80" s="91">
        <f>IF(B80="—",IFERROR(INDEX(_ZIG_Cadastro!$D:$D,MATCH(H80,_ZIG_Cadastro!$A:$A,0)),"Produto"),IFERROR(VLOOKUP(B80,_Protheus_Cadastro!$A:$C,3,FALSE),"—"))</f>
        <v/>
      </c>
      <c r="E80" s="91">
        <f>IF(B80="—","—",IFERROR(VLOOKUP(B80,_Protheus_Cadastro!$A:$D,4,FALSE),"—"))</f>
        <v/>
      </c>
      <c r="F80" s="91">
        <f>IF(ISERROR(VLOOKUP(B80,'Estrutura Protheus'!A:A,1,FALSE)),"Não","Sim")</f>
        <v/>
      </c>
      <c r="G80" s="92">
        <f>IFERROR(INDEX(_Protheus_Cadastro!$H:$H,MATCH(B80,_Protheus_Cadastro!$A:$A,0)),"—")</f>
        <v/>
      </c>
      <c r="H80" s="210">
        <f>IFERROR(INDEX(_ZIG_Precos!$D:$D,MATCH(I80,_ZIG_Precos!$F:$F,0)),"—")</f>
        <v/>
      </c>
      <c r="I80" s="95">
        <f>IFERROR(VLOOKUP(B80,_Protheus_Cadastro!$A:$I,9,FALSE),"—")</f>
        <v/>
      </c>
      <c r="J80" s="93">
        <f>IFERROR(INDEX(_ZIG_Cadastro!$B:$B,MATCH(I80,_ZIG_Cadastro!$A:$A,0)),IFERROR(INDEX(_Entradas_ZIG!$B:$B,MATCH(I80,_Entradas_ZIG!$C:$C,0)),"—"))</f>
        <v/>
      </c>
      <c r="K80" s="93">
        <f>IFERROR(INDEX(_ZIG_Cadastro!$C:$C,MATCH(I80,_ZIG_Cadastro!$A:$A,0)),IFERROR(INDEX(_Entradas_ZIG!$D:$D,MATCH(I80,_Entradas_ZIG!$C:$C,0)),"—"))</f>
        <v/>
      </c>
      <c r="L80" s="92">
        <f>IF(I80="","Sem SKU ZIG",IF(I80="—","Sem SKU ZIG",IF(NOT(ISERROR(MATCH(I80,_ZIG_Cadastro!$A:$A,0))),IF(EXACT(UPPER(TRIM(C80)),UPPER(TRIM(INDEX(_ZIG_Cadastro!$B:$B,MATCH(I80,_ZIG_Cadastro!$A:$A,0))))),"OK","Atencao - Nome diverge"),IF(NOT(ISERROR(MATCH(I80,_Entradas_ZIG!$C:$C,0))),"OK","Erro - SKU nao encontrado"))))</f>
        <v/>
      </c>
      <c r="M80" s="92">
        <f>IFERROR(INDEX(_ZIG_Cadastro!$G:$G,MATCH(I80,_ZIG_Cadastro!$A:$A,0)),IF(NOT(ISERROR(MATCH(I80,_Entradas_ZIG!$C:$C,0))),"Ativo","—"))</f>
        <v/>
      </c>
      <c r="N80" s="94">
        <f>IFERROR(INDEX(_ZIG_Cadastro!$E:$E,MATCH(I80,_ZIG_Cadastro!$A:$A,0)),IFERROR(INDEX(_Entradas_ZIG!$F:$F,MATCH(I80,_Entradas_ZIG!$C:$C,0)),"—"))</f>
        <v/>
      </c>
      <c r="O80" s="92">
        <f>IF(AND(ISNUMBER(SEARCH("Espeto",N80)),ISNUMBER(SEARCH("Carin",N80))),"SIM","")</f>
        <v/>
      </c>
      <c r="P80" s="92">
        <f>IF(AND(ISNUMBER(SEARCH("Espeto",N80)),ISNUMBER(SEARCH("Lapa",N80))),"SIM","")</f>
        <v/>
      </c>
      <c r="Q80" s="92">
        <f>IF(AND(ISNUMBER(SEARCH("Espeto",N80)),ISNUMBER(SEARCH("Tatuapé",N80))),"SIM","")</f>
        <v/>
      </c>
      <c r="R80" s="92">
        <f>IF(AND(ISNUMBER(SEARCH("Espeto",N80)),ISNUMBER(SEARCH("Pavão",N80))),"SIM","")</f>
        <v/>
      </c>
      <c r="S80" s="92">
        <f>IF(AND(ISNUMBER(SEARCH("Espeto",N80)),ISNUMBER(SEARCH("Chac",N80))),"SIM","")</f>
        <v/>
      </c>
      <c r="T80" s="92">
        <f>IF(AND(ISNUMBER(SEARCH("Espeto",N80)),ISNUMBER(SEARCH("Madalena",N80))),"SIM","")</f>
        <v/>
      </c>
      <c r="U80" s="92">
        <f>IF(AND(ISNUMBER(SEARCH("Espeto",N80)),ISNUMBER(SEARCH("Mariana",N80))),"SIM","")</f>
        <v/>
      </c>
      <c r="V80" s="92">
        <f>IF(AND(ISNUMBER(SEARCH("Espeto",N80)),ISNUMBER(SEARCH("Perdizes",N80))),"SIM","")</f>
        <v/>
      </c>
      <c r="W80" s="92">
        <f>IF(AND(ISNUMBER(SEARCH("Espeto",N80)),ISNUMBER(SEARCH("Santana",N80))),"SIM","")</f>
        <v/>
      </c>
      <c r="X80" s="92">
        <f>IF(AND(ISNUMBER(SEARCH("Espeto",N80)),ISNUMBER(SEARCH("André",N80))),"SIM","")</f>
        <v/>
      </c>
      <c r="Y80" s="92">
        <f>IF(AND(ISNUMBER(SEARCH("Delivery",N80)),ISNUMBER(SEARCH("Carin",N80))),"SIM","")</f>
        <v/>
      </c>
      <c r="Z80" s="92">
        <f>IF(AND(ISNUMBER(SEARCH("Delivery",N80)),ISNUMBER(SEARCH("Lapa",N80))),"SIM","")</f>
        <v/>
      </c>
      <c r="AA80" s="92">
        <f>IF(AND(ISNUMBER(SEARCH("Delivery",N80)),ISNUMBER(SEARCH("Tatuapé",N80))),"SIM","")</f>
        <v/>
      </c>
      <c r="AB80" s="92">
        <f>IF(AND(ISNUMBER(SEARCH("Delivery",N80)),ISNUMBER(SEARCH("Pavão",N80))),"SIM","")</f>
        <v/>
      </c>
      <c r="AC80" s="92">
        <f>IF(AND(ISNUMBER(SEARCH("Delivery",N80)),ISNUMBER(SEARCH("Chac",N80))),"SIM","")</f>
        <v/>
      </c>
      <c r="AD80" s="92">
        <f>IF(AND(ISNUMBER(SEARCH("Delivery",N80)),ISNUMBER(SEARCH("Madalena",N80))),"SIM","")</f>
        <v/>
      </c>
      <c r="AE80" s="92">
        <f>IF(AND(ISNUMBER(SEARCH("Delivery",N80)),ISNUMBER(SEARCH("Mariana",N80))),"SIM","")</f>
        <v/>
      </c>
      <c r="AF80" s="92">
        <f>IF(AND(ISNUMBER(SEARCH("Delivery",N80)),ISNUMBER(SEARCH("Perdizes",N80))),"SIM","")</f>
        <v/>
      </c>
      <c r="AG80" s="92">
        <f>IF(AND(ISNUMBER(SEARCH("Delivery",N80)),ISNUMBER(SEARCH("Santana",N80))),"SIM","")</f>
        <v/>
      </c>
      <c r="AH80" s="92">
        <f>IF(AND(ISNUMBER(SEARCH("Delivery",N80)),ISNUMBER(SEARCH("André",N80))),"SIM","")</f>
        <v/>
      </c>
      <c r="AI80" s="92">
        <f>IF(ISNUMBER(SEARCH("Interlagos",N80)),"SIM","")</f>
        <v/>
      </c>
      <c r="AJ80" s="92">
        <f>IF(ISNUMBER(SEARCH("Quiosque",N80)),"SIM","")</f>
        <v/>
      </c>
      <c r="AK80" s="93" t="n"/>
    </row>
    <row r="81">
      <c r="A81" s="88" t="inlineStr">
        <is>
          <t>Protheus</t>
        </is>
      </c>
      <c r="B81" s="96" t="inlineStr">
        <is>
          <t>002130</t>
        </is>
      </c>
      <c r="C81" s="190">
        <f>IF(B81="—","—",IFERROR(VLOOKUP(B81,_Protheus_Cadastro!$A:$B,2,FALSE),"—"))</f>
        <v/>
      </c>
      <c r="D81" s="98">
        <f>IF(B81="—",IFERROR(INDEX(_ZIG_Cadastro!$D:$D,MATCH(H81,_ZIG_Cadastro!$A:$A,0)),"Produto"),IFERROR(VLOOKUP(B81,_Protheus_Cadastro!$A:$C,3,FALSE),"—"))</f>
        <v/>
      </c>
      <c r="E81" s="98">
        <f>IF(B81="—","—",IFERROR(VLOOKUP(B81,_Protheus_Cadastro!$A:$D,4,FALSE),"—"))</f>
        <v/>
      </c>
      <c r="F81" s="98">
        <f>IF(ISERROR(VLOOKUP(B81,'Estrutura Protheus'!A:A,1,FALSE)),"Não","Sim")</f>
        <v/>
      </c>
      <c r="G81" s="99">
        <f>IFERROR(INDEX(_Protheus_Cadastro!$H:$H,MATCH(B81,_Protheus_Cadastro!$A:$A,0)),"—")</f>
        <v/>
      </c>
      <c r="H81" s="211">
        <f>IFERROR(INDEX(_ZIG_Precos!$D:$D,MATCH(I81,_ZIG_Precos!$F:$F,0)),"—")</f>
        <v/>
      </c>
      <c r="I81" s="103">
        <f>IFERROR(VLOOKUP(B81,_Protheus_Cadastro!$A:$I,9,FALSE),"—")</f>
        <v/>
      </c>
      <c r="J81" s="101">
        <f>IFERROR(INDEX(_ZIG_Cadastro!$B:$B,MATCH(I81,_ZIG_Cadastro!$A:$A,0)),IFERROR(INDEX(_Entradas_ZIG!$B:$B,MATCH(I81,_Entradas_ZIG!$C:$C,0)),"—"))</f>
        <v/>
      </c>
      <c r="K81" s="101">
        <f>IFERROR(INDEX(_ZIG_Cadastro!$C:$C,MATCH(I81,_ZIG_Cadastro!$A:$A,0)),IFERROR(INDEX(_Entradas_ZIG!$D:$D,MATCH(I81,_Entradas_ZIG!$C:$C,0)),"—"))</f>
        <v/>
      </c>
      <c r="L81" s="99">
        <f>IF(I81="","Sem SKU ZIG",IF(I81="—","Sem SKU ZIG",IF(NOT(ISERROR(MATCH(I81,_ZIG_Cadastro!$A:$A,0))),IF(EXACT(UPPER(TRIM(C81)),UPPER(TRIM(INDEX(_ZIG_Cadastro!$B:$B,MATCH(I81,_ZIG_Cadastro!$A:$A,0))))),"OK","Atencao - Nome diverge"),IF(NOT(ISERROR(MATCH(I81,_Entradas_ZIG!$C:$C,0))),"OK","Erro - SKU nao encontrado"))))</f>
        <v/>
      </c>
      <c r="M81" s="99">
        <f>IFERROR(INDEX(_ZIG_Cadastro!$G:$G,MATCH(I81,_ZIG_Cadastro!$A:$A,0)),IF(NOT(ISERROR(MATCH(I81,_Entradas_ZIG!$C:$C,0))),"Ativo","—"))</f>
        <v/>
      </c>
      <c r="N81" s="102">
        <f>IFERROR(INDEX(_ZIG_Cadastro!$E:$E,MATCH(I81,_ZIG_Cadastro!$A:$A,0)),IFERROR(INDEX(_Entradas_ZIG!$F:$F,MATCH(I81,_Entradas_ZIG!$C:$C,0)),"—"))</f>
        <v/>
      </c>
      <c r="O81" s="99">
        <f>IF(AND(ISNUMBER(SEARCH("Espeto",N81)),ISNUMBER(SEARCH("Carin",N81))),"SIM","")</f>
        <v/>
      </c>
      <c r="P81" s="99">
        <f>IF(AND(ISNUMBER(SEARCH("Espeto",N81)),ISNUMBER(SEARCH("Lapa",N81))),"SIM","")</f>
        <v/>
      </c>
      <c r="Q81" s="99">
        <f>IF(AND(ISNUMBER(SEARCH("Espeto",N81)),ISNUMBER(SEARCH("Tatuapé",N81))),"SIM","")</f>
        <v/>
      </c>
      <c r="R81" s="99">
        <f>IF(AND(ISNUMBER(SEARCH("Espeto",N81)),ISNUMBER(SEARCH("Pavão",N81))),"SIM","")</f>
        <v/>
      </c>
      <c r="S81" s="99">
        <f>IF(AND(ISNUMBER(SEARCH("Espeto",N81)),ISNUMBER(SEARCH("Chac",N81))),"SIM","")</f>
        <v/>
      </c>
      <c r="T81" s="99">
        <f>IF(AND(ISNUMBER(SEARCH("Espeto",N81)),ISNUMBER(SEARCH("Madalena",N81))),"SIM","")</f>
        <v/>
      </c>
      <c r="U81" s="99">
        <f>IF(AND(ISNUMBER(SEARCH("Espeto",N81)),ISNUMBER(SEARCH("Mariana",N81))),"SIM","")</f>
        <v/>
      </c>
      <c r="V81" s="99">
        <f>IF(AND(ISNUMBER(SEARCH("Espeto",N81)),ISNUMBER(SEARCH("Perdizes",N81))),"SIM","")</f>
        <v/>
      </c>
      <c r="W81" s="99">
        <f>IF(AND(ISNUMBER(SEARCH("Espeto",N81)),ISNUMBER(SEARCH("Santana",N81))),"SIM","")</f>
        <v/>
      </c>
      <c r="X81" s="99">
        <f>IF(AND(ISNUMBER(SEARCH("Espeto",N81)),ISNUMBER(SEARCH("André",N81))),"SIM","")</f>
        <v/>
      </c>
      <c r="Y81" s="99">
        <f>IF(AND(ISNUMBER(SEARCH("Delivery",N81)),ISNUMBER(SEARCH("Carin",N81))),"SIM","")</f>
        <v/>
      </c>
      <c r="Z81" s="99">
        <f>IF(AND(ISNUMBER(SEARCH("Delivery",N81)),ISNUMBER(SEARCH("Lapa",N81))),"SIM","")</f>
        <v/>
      </c>
      <c r="AA81" s="99">
        <f>IF(AND(ISNUMBER(SEARCH("Delivery",N81)),ISNUMBER(SEARCH("Tatuapé",N81))),"SIM","")</f>
        <v/>
      </c>
      <c r="AB81" s="99">
        <f>IF(AND(ISNUMBER(SEARCH("Delivery",N81)),ISNUMBER(SEARCH("Pavão",N81))),"SIM","")</f>
        <v/>
      </c>
      <c r="AC81" s="99">
        <f>IF(AND(ISNUMBER(SEARCH("Delivery",N81)),ISNUMBER(SEARCH("Chac",N81))),"SIM","")</f>
        <v/>
      </c>
      <c r="AD81" s="99">
        <f>IF(AND(ISNUMBER(SEARCH("Delivery",N81)),ISNUMBER(SEARCH("Madalena",N81))),"SIM","")</f>
        <v/>
      </c>
      <c r="AE81" s="99">
        <f>IF(AND(ISNUMBER(SEARCH("Delivery",N81)),ISNUMBER(SEARCH("Mariana",N81))),"SIM","")</f>
        <v/>
      </c>
      <c r="AF81" s="99">
        <f>IF(AND(ISNUMBER(SEARCH("Delivery",N81)),ISNUMBER(SEARCH("Perdizes",N81))),"SIM","")</f>
        <v/>
      </c>
      <c r="AG81" s="99">
        <f>IF(AND(ISNUMBER(SEARCH("Delivery",N81)),ISNUMBER(SEARCH("Santana",N81))),"SIM","")</f>
        <v/>
      </c>
      <c r="AH81" s="99">
        <f>IF(AND(ISNUMBER(SEARCH("Delivery",N81)),ISNUMBER(SEARCH("André",N81))),"SIM","")</f>
        <v/>
      </c>
      <c r="AI81" s="99">
        <f>IF(ISNUMBER(SEARCH("Interlagos",N81)),"SIM","")</f>
        <v/>
      </c>
      <c r="AJ81" s="99">
        <f>IF(ISNUMBER(SEARCH("Quiosque",N81)),"SIM","")</f>
        <v/>
      </c>
      <c r="AK81" s="101" t="n"/>
    </row>
    <row r="82">
      <c r="A82" s="88" t="inlineStr">
        <is>
          <t>Protheus</t>
        </is>
      </c>
      <c r="B82" s="89" t="inlineStr">
        <is>
          <t>001502</t>
        </is>
      </c>
      <c r="C82" s="190">
        <f>IF(B82="—","—",IFERROR(VLOOKUP(B82,_Protheus_Cadastro!$A:$B,2,FALSE),"—"))</f>
        <v/>
      </c>
      <c r="D82" s="91">
        <f>IF(B82="—",IFERROR(INDEX(_ZIG_Cadastro!$D:$D,MATCH(H82,_ZIG_Cadastro!$A:$A,0)),"Produto"),IFERROR(VLOOKUP(B82,_Protheus_Cadastro!$A:$C,3,FALSE),"—"))</f>
        <v/>
      </c>
      <c r="E82" s="91">
        <f>IF(B82="—","—",IFERROR(VLOOKUP(B82,_Protheus_Cadastro!$A:$D,4,FALSE),"—"))</f>
        <v/>
      </c>
      <c r="F82" s="91">
        <f>IF(ISERROR(VLOOKUP(B82,'Estrutura Protheus'!A:A,1,FALSE)),"Não","Sim")</f>
        <v/>
      </c>
      <c r="G82" s="92">
        <f>IFERROR(INDEX(_Protheus_Cadastro!$H:$H,MATCH(B82,_Protheus_Cadastro!$A:$A,0)),"—")</f>
        <v/>
      </c>
      <c r="H82" s="210">
        <f>IFERROR(INDEX(_ZIG_Precos!$D:$D,MATCH(I82,_ZIG_Precos!$F:$F,0)),"—")</f>
        <v/>
      </c>
      <c r="I82" s="95">
        <f>IFERROR(VLOOKUP(B82,_Protheus_Cadastro!$A:$I,9,FALSE),"—")</f>
        <v/>
      </c>
      <c r="J82" s="93">
        <f>IFERROR(INDEX(_ZIG_Cadastro!$B:$B,MATCH(I82,_ZIG_Cadastro!$A:$A,0)),IFERROR(INDEX(_Entradas_ZIG!$B:$B,MATCH(I82,_Entradas_ZIG!$C:$C,0)),"—"))</f>
        <v/>
      </c>
      <c r="K82" s="93">
        <f>IFERROR(INDEX(_ZIG_Cadastro!$C:$C,MATCH(I82,_ZIG_Cadastro!$A:$A,0)),IFERROR(INDEX(_Entradas_ZIG!$D:$D,MATCH(I82,_Entradas_ZIG!$C:$C,0)),"—"))</f>
        <v/>
      </c>
      <c r="L82" s="92">
        <f>IF(I82="","Sem SKU ZIG",IF(I82="—","Sem SKU ZIG",IF(NOT(ISERROR(MATCH(I82,_ZIG_Cadastro!$A:$A,0))),IF(EXACT(UPPER(TRIM(C82)),UPPER(TRIM(INDEX(_ZIG_Cadastro!$B:$B,MATCH(I82,_ZIG_Cadastro!$A:$A,0))))),"OK","Atencao - Nome diverge"),IF(NOT(ISERROR(MATCH(I82,_Entradas_ZIG!$C:$C,0))),"OK","Erro - SKU nao encontrado"))))</f>
        <v/>
      </c>
      <c r="M82" s="92">
        <f>IFERROR(INDEX(_ZIG_Cadastro!$G:$G,MATCH(I82,_ZIG_Cadastro!$A:$A,0)),IF(NOT(ISERROR(MATCH(I82,_Entradas_ZIG!$C:$C,0))),"Ativo","—"))</f>
        <v/>
      </c>
      <c r="N82" s="94">
        <f>IFERROR(INDEX(_ZIG_Cadastro!$E:$E,MATCH(I82,_ZIG_Cadastro!$A:$A,0)),IFERROR(INDEX(_Entradas_ZIG!$F:$F,MATCH(I82,_Entradas_ZIG!$C:$C,0)),"—"))</f>
        <v/>
      </c>
      <c r="O82" s="92">
        <f>IF(AND(ISNUMBER(SEARCH("Espeto",N82)),ISNUMBER(SEARCH("Carin",N82))),"SIM","")</f>
        <v/>
      </c>
      <c r="P82" s="92">
        <f>IF(AND(ISNUMBER(SEARCH("Espeto",N82)),ISNUMBER(SEARCH("Lapa",N82))),"SIM","")</f>
        <v/>
      </c>
      <c r="Q82" s="92">
        <f>IF(AND(ISNUMBER(SEARCH("Espeto",N82)),ISNUMBER(SEARCH("Tatuapé",N82))),"SIM","")</f>
        <v/>
      </c>
      <c r="R82" s="92">
        <f>IF(AND(ISNUMBER(SEARCH("Espeto",N82)),ISNUMBER(SEARCH("Pavão",N82))),"SIM","")</f>
        <v/>
      </c>
      <c r="S82" s="92">
        <f>IF(AND(ISNUMBER(SEARCH("Espeto",N82)),ISNUMBER(SEARCH("Chac",N82))),"SIM","")</f>
        <v/>
      </c>
      <c r="T82" s="92">
        <f>IF(AND(ISNUMBER(SEARCH("Espeto",N82)),ISNUMBER(SEARCH("Madalena",N82))),"SIM","")</f>
        <v/>
      </c>
      <c r="U82" s="92">
        <f>IF(AND(ISNUMBER(SEARCH("Espeto",N82)),ISNUMBER(SEARCH("Mariana",N82))),"SIM","")</f>
        <v/>
      </c>
      <c r="V82" s="92">
        <f>IF(AND(ISNUMBER(SEARCH("Espeto",N82)),ISNUMBER(SEARCH("Perdizes",N82))),"SIM","")</f>
        <v/>
      </c>
      <c r="W82" s="92">
        <f>IF(AND(ISNUMBER(SEARCH("Espeto",N82)),ISNUMBER(SEARCH("Santana",N82))),"SIM","")</f>
        <v/>
      </c>
      <c r="X82" s="92">
        <f>IF(AND(ISNUMBER(SEARCH("Espeto",N82)),ISNUMBER(SEARCH("André",N82))),"SIM","")</f>
        <v/>
      </c>
      <c r="Y82" s="92">
        <f>IF(AND(ISNUMBER(SEARCH("Delivery",N82)),ISNUMBER(SEARCH("Carin",N82))),"SIM","")</f>
        <v/>
      </c>
      <c r="Z82" s="92">
        <f>IF(AND(ISNUMBER(SEARCH("Delivery",N82)),ISNUMBER(SEARCH("Lapa",N82))),"SIM","")</f>
        <v/>
      </c>
      <c r="AA82" s="92">
        <f>IF(AND(ISNUMBER(SEARCH("Delivery",N82)),ISNUMBER(SEARCH("Tatuapé",N82))),"SIM","")</f>
        <v/>
      </c>
      <c r="AB82" s="92">
        <f>IF(AND(ISNUMBER(SEARCH("Delivery",N82)),ISNUMBER(SEARCH("Pavão",N82))),"SIM","")</f>
        <v/>
      </c>
      <c r="AC82" s="92">
        <f>IF(AND(ISNUMBER(SEARCH("Delivery",N82)),ISNUMBER(SEARCH("Chac",N82))),"SIM","")</f>
        <v/>
      </c>
      <c r="AD82" s="92">
        <f>IF(AND(ISNUMBER(SEARCH("Delivery",N82)),ISNUMBER(SEARCH("Madalena",N82))),"SIM","")</f>
        <v/>
      </c>
      <c r="AE82" s="92">
        <f>IF(AND(ISNUMBER(SEARCH("Delivery",N82)),ISNUMBER(SEARCH("Mariana",N82))),"SIM","")</f>
        <v/>
      </c>
      <c r="AF82" s="92">
        <f>IF(AND(ISNUMBER(SEARCH("Delivery",N82)),ISNUMBER(SEARCH("Perdizes",N82))),"SIM","")</f>
        <v/>
      </c>
      <c r="AG82" s="92">
        <f>IF(AND(ISNUMBER(SEARCH("Delivery",N82)),ISNUMBER(SEARCH("Santana",N82))),"SIM","")</f>
        <v/>
      </c>
      <c r="AH82" s="92">
        <f>IF(AND(ISNUMBER(SEARCH("Delivery",N82)),ISNUMBER(SEARCH("André",N82))),"SIM","")</f>
        <v/>
      </c>
      <c r="AI82" s="92">
        <f>IF(ISNUMBER(SEARCH("Interlagos",N82)),"SIM","")</f>
        <v/>
      </c>
      <c r="AJ82" s="92">
        <f>IF(ISNUMBER(SEARCH("Quiosque",N82)),"SIM","")</f>
        <v/>
      </c>
      <c r="AK82" s="93" t="n"/>
    </row>
    <row r="83">
      <c r="A83" s="88" t="inlineStr">
        <is>
          <t>Protheus</t>
        </is>
      </c>
      <c r="B83" s="89" t="inlineStr">
        <is>
          <t>001333</t>
        </is>
      </c>
      <c r="C83" s="90">
        <f>IF(B83="—","—",IFERROR(VLOOKUP(B83,_Protheus_Cadastro!$A:$B,2,FALSE),"—"))</f>
        <v/>
      </c>
      <c r="D83" s="91">
        <f>IF(B83="—",IFERROR(INDEX(_ZIG_Cadastro!$D:$D,MATCH(H83,_ZIG_Cadastro!$A:$A,0)),"Produto"),IFERROR(VLOOKUP(B83,_Protheus_Cadastro!$A:$C,3,FALSE),"—"))</f>
        <v/>
      </c>
      <c r="E83" s="91">
        <f>IF(B83="—","—",IFERROR(VLOOKUP(B83,_Protheus_Cadastro!$A:$D,4,FALSE),"—"))</f>
        <v/>
      </c>
      <c r="F83" s="91">
        <f>IF(ISERROR(VLOOKUP(B83,'Estrutura Protheus'!A:A,1,FALSE)),"Não","Sim")</f>
        <v/>
      </c>
      <c r="G83" s="92">
        <f>IFERROR(INDEX(_Protheus_Cadastro!$H:$H,MATCH(B83,_Protheus_Cadastro!$A:$A,0)),"—")</f>
        <v/>
      </c>
      <c r="H83" s="210">
        <f>IFERROR(INDEX(_ZIG_Precos!$D:$D,MATCH(I83,_ZIG_Precos!$F:$F,0)),"—")</f>
        <v/>
      </c>
      <c r="I83" s="95">
        <f>IFERROR(VLOOKUP(B83,_Protheus_Cadastro!$A:$I,9,FALSE),"—")</f>
        <v/>
      </c>
      <c r="J83" s="93">
        <f>IFERROR(INDEX(_ZIG_Cadastro!$B:$B,MATCH(I83,_ZIG_Cadastro!$A:$A,0)),IFERROR(INDEX(_Entradas_ZIG!$B:$B,MATCH(I83,_Entradas_ZIG!$C:$C,0)),"—"))</f>
        <v/>
      </c>
      <c r="K83" s="93">
        <f>IFERROR(INDEX(_ZIG_Cadastro!$C:$C,MATCH(I83,_ZIG_Cadastro!$A:$A,0)),IFERROR(INDEX(_Entradas_ZIG!$D:$D,MATCH(I83,_Entradas_ZIG!$C:$C,0)),"—"))</f>
        <v/>
      </c>
      <c r="L83" s="92">
        <f>IF(I83="","Sem SKU ZIG",IF(I83="—","Sem SKU ZIG",IF(NOT(ISERROR(MATCH(I83,_ZIG_Cadastro!$A:$A,0))),IF(EXACT(UPPER(TRIM(C83)),UPPER(TRIM(INDEX(_ZIG_Cadastro!$B:$B,MATCH(I83,_ZIG_Cadastro!$A:$A,0))))),"OK","Atencao - Nome diverge"),IF(NOT(ISERROR(MATCH(I83,_Entradas_ZIG!$C:$C,0))),"OK","Erro - SKU nao encontrado"))))</f>
        <v/>
      </c>
      <c r="M83" s="92">
        <f>IFERROR(INDEX(_ZIG_Cadastro!$G:$G,MATCH(I83,_ZIG_Cadastro!$A:$A,0)),IF(NOT(ISERROR(MATCH(I83,_Entradas_ZIG!$C:$C,0))),"Ativo","—"))</f>
        <v/>
      </c>
      <c r="N83" s="94">
        <f>IFERROR(INDEX(_ZIG_Cadastro!$E:$E,MATCH(I83,_ZIG_Cadastro!$A:$A,0)),IFERROR(INDEX(_Entradas_ZIG!$F:$F,MATCH(I83,_Entradas_ZIG!$C:$C,0)),"—"))</f>
        <v/>
      </c>
      <c r="O83" s="92">
        <f>IF(AND(ISNUMBER(SEARCH("Espeto",N83)),ISNUMBER(SEARCH("Carin",N83))),"SIM","")</f>
        <v/>
      </c>
      <c r="P83" s="92">
        <f>IF(AND(ISNUMBER(SEARCH("Espeto",N83)),ISNUMBER(SEARCH("Lapa",N83))),"SIM","")</f>
        <v/>
      </c>
      <c r="Q83" s="92">
        <f>IF(AND(ISNUMBER(SEARCH("Espeto",N83)),ISNUMBER(SEARCH("Tatuapé",N83))),"SIM","")</f>
        <v/>
      </c>
      <c r="R83" s="92">
        <f>IF(AND(ISNUMBER(SEARCH("Espeto",N83)),ISNUMBER(SEARCH("Pavão",N83))),"SIM","")</f>
        <v/>
      </c>
      <c r="S83" s="92">
        <f>IF(AND(ISNUMBER(SEARCH("Espeto",N83)),ISNUMBER(SEARCH("Chac",N83))),"SIM","")</f>
        <v/>
      </c>
      <c r="T83" s="92">
        <f>IF(AND(ISNUMBER(SEARCH("Espeto",N83)),ISNUMBER(SEARCH("Madalena",N83))),"SIM","")</f>
        <v/>
      </c>
      <c r="U83" s="92">
        <f>IF(AND(ISNUMBER(SEARCH("Espeto",N83)),ISNUMBER(SEARCH("Mariana",N83))),"SIM","")</f>
        <v/>
      </c>
      <c r="V83" s="92">
        <f>IF(AND(ISNUMBER(SEARCH("Espeto",N83)),ISNUMBER(SEARCH("Perdizes",N83))),"SIM","")</f>
        <v/>
      </c>
      <c r="W83" s="92">
        <f>IF(AND(ISNUMBER(SEARCH("Espeto",N83)),ISNUMBER(SEARCH("Santana",N83))),"SIM","")</f>
        <v/>
      </c>
      <c r="X83" s="92">
        <f>IF(AND(ISNUMBER(SEARCH("Espeto",N83)),ISNUMBER(SEARCH("André",N83))),"SIM","")</f>
        <v/>
      </c>
      <c r="Y83" s="92">
        <f>IF(AND(ISNUMBER(SEARCH("Delivery",N83)),ISNUMBER(SEARCH("Carin",N83))),"SIM","")</f>
        <v/>
      </c>
      <c r="Z83" s="92">
        <f>IF(AND(ISNUMBER(SEARCH("Delivery",N83)),ISNUMBER(SEARCH("Lapa",N83))),"SIM","")</f>
        <v/>
      </c>
      <c r="AA83" s="92">
        <f>IF(AND(ISNUMBER(SEARCH("Delivery",N83)),ISNUMBER(SEARCH("Tatuapé",N83))),"SIM","")</f>
        <v/>
      </c>
      <c r="AB83" s="92">
        <f>IF(AND(ISNUMBER(SEARCH("Delivery",N83)),ISNUMBER(SEARCH("Pavão",N83))),"SIM","")</f>
        <v/>
      </c>
      <c r="AC83" s="92">
        <f>IF(AND(ISNUMBER(SEARCH("Delivery",N83)),ISNUMBER(SEARCH("Chac",N83))),"SIM","")</f>
        <v/>
      </c>
      <c r="AD83" s="92">
        <f>IF(AND(ISNUMBER(SEARCH("Delivery",N83)),ISNUMBER(SEARCH("Madalena",N83))),"SIM","")</f>
        <v/>
      </c>
      <c r="AE83" s="92">
        <f>IF(AND(ISNUMBER(SEARCH("Delivery",N83)),ISNUMBER(SEARCH("Mariana",N83))),"SIM","")</f>
        <v/>
      </c>
      <c r="AF83" s="92">
        <f>IF(AND(ISNUMBER(SEARCH("Delivery",N83)),ISNUMBER(SEARCH("Perdizes",N83))),"SIM","")</f>
        <v/>
      </c>
      <c r="AG83" s="92">
        <f>IF(AND(ISNUMBER(SEARCH("Delivery",N83)),ISNUMBER(SEARCH("Santana",N83))),"SIM","")</f>
        <v/>
      </c>
      <c r="AH83" s="92">
        <f>IF(AND(ISNUMBER(SEARCH("Delivery",N83)),ISNUMBER(SEARCH("André",N83))),"SIM","")</f>
        <v/>
      </c>
      <c r="AI83" s="92">
        <f>IF(ISNUMBER(SEARCH("Interlagos",N83)),"SIM","")</f>
        <v/>
      </c>
      <c r="AJ83" s="92">
        <f>IF(ISNUMBER(SEARCH("Quiosque",N83)),"SIM","")</f>
        <v/>
      </c>
      <c r="AK83" s="93" t="n"/>
    </row>
    <row r="84">
      <c r="A84" s="88" t="inlineStr">
        <is>
          <t>Protheus</t>
        </is>
      </c>
      <c r="B84" s="96" t="inlineStr">
        <is>
          <t>009569</t>
        </is>
      </c>
      <c r="C84" s="97">
        <f>IF(B84="—","—",IFERROR(VLOOKUP(B84,_Protheus_Cadastro!$A:$B,2,FALSE),"—"))</f>
        <v/>
      </c>
      <c r="D84" s="98">
        <f>IF(B84="—",IFERROR(INDEX(_ZIG_Cadastro!$D:$D,MATCH(H84,_ZIG_Cadastro!$A:$A,0)),"Produto"),IFERROR(VLOOKUP(B84,_Protheus_Cadastro!$A:$C,3,FALSE),"—"))</f>
        <v/>
      </c>
      <c r="E84" s="98">
        <f>IF(B84="—","—",IFERROR(VLOOKUP(B84,_Protheus_Cadastro!$A:$D,4,FALSE),"—"))</f>
        <v/>
      </c>
      <c r="F84" s="98">
        <f>IF(ISERROR(VLOOKUP(B84,'Estrutura Protheus'!A:A,1,FALSE)),"Não","Sim")</f>
        <v/>
      </c>
      <c r="G84" s="99">
        <f>IFERROR(INDEX(_Protheus_Cadastro!$H:$H,MATCH(B84,_Protheus_Cadastro!$A:$A,0)),"—")</f>
        <v/>
      </c>
      <c r="H84" s="211">
        <f>IFERROR(INDEX(_ZIG_Precos!$D:$D,MATCH(I84,_ZIG_Precos!$F:$F,0)),"—")</f>
        <v/>
      </c>
      <c r="I84" s="103">
        <f>IFERROR(VLOOKUP(B84,_Protheus_Cadastro!$A:$I,9,FALSE),"—")</f>
        <v/>
      </c>
      <c r="J84" s="101">
        <f>IFERROR(INDEX(_ZIG_Cadastro!$B:$B,MATCH(I84,_ZIG_Cadastro!$A:$A,0)),IFERROR(INDEX(_Entradas_ZIG!$B:$B,MATCH(I84,_Entradas_ZIG!$C:$C,0)),"—"))</f>
        <v/>
      </c>
      <c r="K84" s="101">
        <f>IFERROR(INDEX(_ZIG_Cadastro!$C:$C,MATCH(I84,_ZIG_Cadastro!$A:$A,0)),IFERROR(INDEX(_Entradas_ZIG!$D:$D,MATCH(I84,_Entradas_ZIG!$C:$C,0)),"—"))</f>
        <v/>
      </c>
      <c r="L84" s="99">
        <f>IF(I84="","Sem SKU ZIG",IF(I84="—","Sem SKU ZIG",IF(NOT(ISERROR(MATCH(I84,_ZIG_Cadastro!$A:$A,0))),IF(EXACT(UPPER(TRIM(C84)),UPPER(TRIM(INDEX(_ZIG_Cadastro!$B:$B,MATCH(I84,_ZIG_Cadastro!$A:$A,0))))),"OK","Atencao - Nome diverge"),IF(NOT(ISERROR(MATCH(I84,_Entradas_ZIG!$C:$C,0))),"OK","Erro - SKU nao encontrado"))))</f>
        <v/>
      </c>
      <c r="M84" s="99">
        <f>IFERROR(INDEX(_ZIG_Cadastro!$G:$G,MATCH(I84,_ZIG_Cadastro!$A:$A,0)),IF(NOT(ISERROR(MATCH(I84,_Entradas_ZIG!$C:$C,0))),"Ativo","—"))</f>
        <v/>
      </c>
      <c r="N84" s="102">
        <f>IFERROR(INDEX(_ZIG_Cadastro!$E:$E,MATCH(I84,_ZIG_Cadastro!$A:$A,0)),IFERROR(INDEX(_Entradas_ZIG!$F:$F,MATCH(I84,_Entradas_ZIG!$C:$C,0)),"—"))</f>
        <v/>
      </c>
      <c r="O84" s="99">
        <f>IF(AND(ISNUMBER(SEARCH("Espeto",N84)),ISNUMBER(SEARCH("Carin",N84))),"SIM","")</f>
        <v/>
      </c>
      <c r="P84" s="99">
        <f>IF(AND(ISNUMBER(SEARCH("Espeto",N84)),ISNUMBER(SEARCH("Lapa",N84))),"SIM","")</f>
        <v/>
      </c>
      <c r="Q84" s="99">
        <f>IF(AND(ISNUMBER(SEARCH("Espeto",N84)),ISNUMBER(SEARCH("Tatuapé",N84))),"SIM","")</f>
        <v/>
      </c>
      <c r="R84" s="99">
        <f>IF(AND(ISNUMBER(SEARCH("Espeto",N84)),ISNUMBER(SEARCH("Pavão",N84))),"SIM","")</f>
        <v/>
      </c>
      <c r="S84" s="99">
        <f>IF(AND(ISNUMBER(SEARCH("Espeto",N84)),ISNUMBER(SEARCH("Chac",N84))),"SIM","")</f>
        <v/>
      </c>
      <c r="T84" s="99">
        <f>IF(AND(ISNUMBER(SEARCH("Espeto",N84)),ISNUMBER(SEARCH("Madalena",N84))),"SIM","")</f>
        <v/>
      </c>
      <c r="U84" s="99">
        <f>IF(AND(ISNUMBER(SEARCH("Espeto",N84)),ISNUMBER(SEARCH("Mariana",N84))),"SIM","")</f>
        <v/>
      </c>
      <c r="V84" s="99">
        <f>IF(AND(ISNUMBER(SEARCH("Espeto",N84)),ISNUMBER(SEARCH("Perdizes",N84))),"SIM","")</f>
        <v/>
      </c>
      <c r="W84" s="99">
        <f>IF(AND(ISNUMBER(SEARCH("Espeto",N84)),ISNUMBER(SEARCH("Santana",N84))),"SIM","")</f>
        <v/>
      </c>
      <c r="X84" s="99">
        <f>IF(AND(ISNUMBER(SEARCH("Espeto",N84)),ISNUMBER(SEARCH("André",N84))),"SIM","")</f>
        <v/>
      </c>
      <c r="Y84" s="99">
        <f>IF(AND(ISNUMBER(SEARCH("Delivery",N84)),ISNUMBER(SEARCH("Carin",N84))),"SIM","")</f>
        <v/>
      </c>
      <c r="Z84" s="99">
        <f>IF(AND(ISNUMBER(SEARCH("Delivery",N84)),ISNUMBER(SEARCH("Lapa",N84))),"SIM","")</f>
        <v/>
      </c>
      <c r="AA84" s="99">
        <f>IF(AND(ISNUMBER(SEARCH("Delivery",N84)),ISNUMBER(SEARCH("Tatuapé",N84))),"SIM","")</f>
        <v/>
      </c>
      <c r="AB84" s="99">
        <f>IF(AND(ISNUMBER(SEARCH("Delivery",N84)),ISNUMBER(SEARCH("Pavão",N84))),"SIM","")</f>
        <v/>
      </c>
      <c r="AC84" s="99">
        <f>IF(AND(ISNUMBER(SEARCH("Delivery",N84)),ISNUMBER(SEARCH("Chac",N84))),"SIM","")</f>
        <v/>
      </c>
      <c r="AD84" s="99">
        <f>IF(AND(ISNUMBER(SEARCH("Delivery",N84)),ISNUMBER(SEARCH("Madalena",N84))),"SIM","")</f>
        <v/>
      </c>
      <c r="AE84" s="99">
        <f>IF(AND(ISNUMBER(SEARCH("Delivery",N84)),ISNUMBER(SEARCH("Mariana",N84))),"SIM","")</f>
        <v/>
      </c>
      <c r="AF84" s="99">
        <f>IF(AND(ISNUMBER(SEARCH("Delivery",N84)),ISNUMBER(SEARCH("Perdizes",N84))),"SIM","")</f>
        <v/>
      </c>
      <c r="AG84" s="99">
        <f>IF(AND(ISNUMBER(SEARCH("Delivery",N84)),ISNUMBER(SEARCH("Santana",N84))),"SIM","")</f>
        <v/>
      </c>
      <c r="AH84" s="99">
        <f>IF(AND(ISNUMBER(SEARCH("Delivery",N84)),ISNUMBER(SEARCH("André",N84))),"SIM","")</f>
        <v/>
      </c>
      <c r="AI84" s="99">
        <f>IF(ISNUMBER(SEARCH("Interlagos",N84)),"SIM","")</f>
        <v/>
      </c>
      <c r="AJ84" s="99">
        <f>IF(ISNUMBER(SEARCH("Quiosque",N84)),"SIM","")</f>
        <v/>
      </c>
      <c r="AK84" s="101" t="n"/>
    </row>
    <row r="85">
      <c r="A85" s="88" t="inlineStr">
        <is>
          <t>Protheus</t>
        </is>
      </c>
      <c r="B85" s="89" t="inlineStr">
        <is>
          <t>000044</t>
        </is>
      </c>
      <c r="C85" s="90">
        <f>IF(B85="—","—",IFERROR(VLOOKUP(B85,_Protheus_Cadastro!$A:$B,2,FALSE),"—"))</f>
        <v/>
      </c>
      <c r="D85" s="91">
        <f>IF(B85="—",IFERROR(INDEX(_ZIG_Cadastro!$D:$D,MATCH(H85,_ZIG_Cadastro!$A:$A,0)),"Produto"),IFERROR(VLOOKUP(B85,_Protheus_Cadastro!$A:$C,3,FALSE),"—"))</f>
        <v/>
      </c>
      <c r="E85" s="91">
        <f>IF(B85="—","—",IFERROR(VLOOKUP(B85,_Protheus_Cadastro!$A:$D,4,FALSE),"—"))</f>
        <v/>
      </c>
      <c r="F85" s="91">
        <f>IF(ISERROR(VLOOKUP(B85,'Estrutura Protheus'!A:A,1,FALSE)),"Não","Sim")</f>
        <v/>
      </c>
      <c r="G85" s="92">
        <f>IFERROR(INDEX(_Protheus_Cadastro!$H:$H,MATCH(B85,_Protheus_Cadastro!$A:$A,0)),"—")</f>
        <v/>
      </c>
      <c r="H85" s="210">
        <f>IFERROR(INDEX(_ZIG_Precos!$D:$D,MATCH(I85,_ZIG_Precos!$F:$F,0)),"—")</f>
        <v/>
      </c>
      <c r="I85" s="95">
        <f>IFERROR(VLOOKUP(B85,_Protheus_Cadastro!$A:$I,9,FALSE),"—")</f>
        <v/>
      </c>
      <c r="J85" s="93">
        <f>IFERROR(INDEX(_ZIG_Cadastro!$B:$B,MATCH(I85,_ZIG_Cadastro!$A:$A,0)),IFERROR(INDEX(_Entradas_ZIG!$B:$B,MATCH(I85,_Entradas_ZIG!$C:$C,0)),"—"))</f>
        <v/>
      </c>
      <c r="K85" s="93">
        <f>IFERROR(INDEX(_ZIG_Cadastro!$C:$C,MATCH(I85,_ZIG_Cadastro!$A:$A,0)),IFERROR(INDEX(_Entradas_ZIG!$D:$D,MATCH(I85,_Entradas_ZIG!$C:$C,0)),"—"))</f>
        <v/>
      </c>
      <c r="L85" s="92">
        <f>IF(I85="","Sem SKU ZIG",IF(I85="—","Sem SKU ZIG",IF(NOT(ISERROR(MATCH(I85,_ZIG_Cadastro!$A:$A,0))),IF(EXACT(UPPER(TRIM(C85)),UPPER(TRIM(INDEX(_ZIG_Cadastro!$B:$B,MATCH(I85,_ZIG_Cadastro!$A:$A,0))))),"OK","Atencao - Nome diverge"),IF(NOT(ISERROR(MATCH(I85,_Entradas_ZIG!$C:$C,0))),"OK","Erro - SKU nao encontrado"))))</f>
        <v/>
      </c>
      <c r="M85" s="92">
        <f>IFERROR(INDEX(_ZIG_Cadastro!$G:$G,MATCH(I85,_ZIG_Cadastro!$A:$A,0)),IF(NOT(ISERROR(MATCH(I85,_Entradas_ZIG!$C:$C,0))),"Ativo","—"))</f>
        <v/>
      </c>
      <c r="N85" s="94">
        <f>IFERROR(INDEX(_ZIG_Cadastro!$E:$E,MATCH(I85,_ZIG_Cadastro!$A:$A,0)),IFERROR(INDEX(_Entradas_ZIG!$F:$F,MATCH(I85,_Entradas_ZIG!$C:$C,0)),"—"))</f>
        <v/>
      </c>
      <c r="O85" s="92">
        <f>IF(AND(ISNUMBER(SEARCH("Espeto",N85)),ISNUMBER(SEARCH("Carin",N85))),"SIM","")</f>
        <v/>
      </c>
      <c r="P85" s="92">
        <f>IF(AND(ISNUMBER(SEARCH("Espeto",N85)),ISNUMBER(SEARCH("Lapa",N85))),"SIM","")</f>
        <v/>
      </c>
      <c r="Q85" s="92">
        <f>IF(AND(ISNUMBER(SEARCH("Espeto",N85)),ISNUMBER(SEARCH("Tatuapé",N85))),"SIM","")</f>
        <v/>
      </c>
      <c r="R85" s="92">
        <f>IF(AND(ISNUMBER(SEARCH("Espeto",N85)),ISNUMBER(SEARCH("Pavão",N85))),"SIM","")</f>
        <v/>
      </c>
      <c r="S85" s="92">
        <f>IF(AND(ISNUMBER(SEARCH("Espeto",N85)),ISNUMBER(SEARCH("Chac",N85))),"SIM","")</f>
        <v/>
      </c>
      <c r="T85" s="92">
        <f>IF(AND(ISNUMBER(SEARCH("Espeto",N85)),ISNUMBER(SEARCH("Madalena",N85))),"SIM","")</f>
        <v/>
      </c>
      <c r="U85" s="92">
        <f>IF(AND(ISNUMBER(SEARCH("Espeto",N85)),ISNUMBER(SEARCH("Mariana",N85))),"SIM","")</f>
        <v/>
      </c>
      <c r="V85" s="92">
        <f>IF(AND(ISNUMBER(SEARCH("Espeto",N85)),ISNUMBER(SEARCH("Perdizes",N85))),"SIM","")</f>
        <v/>
      </c>
      <c r="W85" s="92">
        <f>IF(AND(ISNUMBER(SEARCH("Espeto",N85)),ISNUMBER(SEARCH("Santana",N85))),"SIM","")</f>
        <v/>
      </c>
      <c r="X85" s="92">
        <f>IF(AND(ISNUMBER(SEARCH("Espeto",N85)),ISNUMBER(SEARCH("André",N85))),"SIM","")</f>
        <v/>
      </c>
      <c r="Y85" s="92">
        <f>IF(AND(ISNUMBER(SEARCH("Delivery",N85)),ISNUMBER(SEARCH("Carin",N85))),"SIM","")</f>
        <v/>
      </c>
      <c r="Z85" s="92">
        <f>IF(AND(ISNUMBER(SEARCH("Delivery",N85)),ISNUMBER(SEARCH("Lapa",N85))),"SIM","")</f>
        <v/>
      </c>
      <c r="AA85" s="92">
        <f>IF(AND(ISNUMBER(SEARCH("Delivery",N85)),ISNUMBER(SEARCH("Tatuapé",N85))),"SIM","")</f>
        <v/>
      </c>
      <c r="AB85" s="92">
        <f>IF(AND(ISNUMBER(SEARCH("Delivery",N85)),ISNUMBER(SEARCH("Pavão",N85))),"SIM","")</f>
        <v/>
      </c>
      <c r="AC85" s="92">
        <f>IF(AND(ISNUMBER(SEARCH("Delivery",N85)),ISNUMBER(SEARCH("Chac",N85))),"SIM","")</f>
        <v/>
      </c>
      <c r="AD85" s="92">
        <f>IF(AND(ISNUMBER(SEARCH("Delivery",N85)),ISNUMBER(SEARCH("Madalena",N85))),"SIM","")</f>
        <v/>
      </c>
      <c r="AE85" s="92">
        <f>IF(AND(ISNUMBER(SEARCH("Delivery",N85)),ISNUMBER(SEARCH("Mariana",N85))),"SIM","")</f>
        <v/>
      </c>
      <c r="AF85" s="92">
        <f>IF(AND(ISNUMBER(SEARCH("Delivery",N85)),ISNUMBER(SEARCH("Perdizes",N85))),"SIM","")</f>
        <v/>
      </c>
      <c r="AG85" s="92">
        <f>IF(AND(ISNUMBER(SEARCH("Delivery",N85)),ISNUMBER(SEARCH("Santana",N85))),"SIM","")</f>
        <v/>
      </c>
      <c r="AH85" s="92">
        <f>IF(AND(ISNUMBER(SEARCH("Delivery",N85)),ISNUMBER(SEARCH("André",N85))),"SIM","")</f>
        <v/>
      </c>
      <c r="AI85" s="92">
        <f>IF(ISNUMBER(SEARCH("Interlagos",N85)),"SIM","")</f>
        <v/>
      </c>
      <c r="AJ85" s="92">
        <f>IF(ISNUMBER(SEARCH("Quiosque",N85)),"SIM","")</f>
        <v/>
      </c>
      <c r="AK85" s="93" t="n"/>
    </row>
    <row r="86">
      <c r="A86" s="88" t="inlineStr">
        <is>
          <t>Protheus</t>
        </is>
      </c>
      <c r="B86" s="89" t="inlineStr">
        <is>
          <t>002125</t>
        </is>
      </c>
      <c r="C86" s="90">
        <f>IF(B86="—","—",IFERROR(VLOOKUP(B86,_Protheus_Cadastro!$A:$B,2,FALSE),"—"))</f>
        <v/>
      </c>
      <c r="D86" s="91">
        <f>IF(B86="—",IFERROR(INDEX(_ZIG_Cadastro!$D:$D,MATCH(H86,_ZIG_Cadastro!$A:$A,0)),"Produto"),IFERROR(VLOOKUP(B86,_Protheus_Cadastro!$A:$C,3,FALSE),"—"))</f>
        <v/>
      </c>
      <c r="E86" s="91">
        <f>IF(B86="—","—",IFERROR(VLOOKUP(B86,_Protheus_Cadastro!$A:$D,4,FALSE),"—"))</f>
        <v/>
      </c>
      <c r="F86" s="91">
        <f>IF(ISERROR(VLOOKUP(B86,'Estrutura Protheus'!A:A,1,FALSE)),"Não","Sim")</f>
        <v/>
      </c>
      <c r="G86" s="92">
        <f>IFERROR(INDEX(_Protheus_Cadastro!$H:$H,MATCH(B86,_Protheus_Cadastro!$A:$A,0)),"—")</f>
        <v/>
      </c>
      <c r="H86" s="210">
        <f>IFERROR(INDEX(_ZIG_Precos!$D:$D,MATCH(I86,_ZIG_Precos!$F:$F,0)),"—")</f>
        <v/>
      </c>
      <c r="I86" s="95">
        <f>IFERROR(VLOOKUP(B86,_Protheus_Cadastro!$A:$I,9,FALSE),"—")</f>
        <v/>
      </c>
      <c r="J86" s="93">
        <f>IFERROR(INDEX(_ZIG_Cadastro!$B:$B,MATCH(I86,_ZIG_Cadastro!$A:$A,0)),IFERROR(INDEX(_Entradas_ZIG!$B:$B,MATCH(I86,_Entradas_ZIG!$C:$C,0)),"—"))</f>
        <v/>
      </c>
      <c r="K86" s="93">
        <f>IFERROR(INDEX(_ZIG_Cadastro!$C:$C,MATCH(I86,_ZIG_Cadastro!$A:$A,0)),IFERROR(INDEX(_Entradas_ZIG!$D:$D,MATCH(I86,_Entradas_ZIG!$C:$C,0)),"—"))</f>
        <v/>
      </c>
      <c r="L86" s="92">
        <f>IF(I86="","Sem SKU ZIG",IF(I86="—","Sem SKU ZIG",IF(NOT(ISERROR(MATCH(I86,_ZIG_Cadastro!$A:$A,0))),IF(EXACT(UPPER(TRIM(C86)),UPPER(TRIM(INDEX(_ZIG_Cadastro!$B:$B,MATCH(I86,_ZIG_Cadastro!$A:$A,0))))),"OK","Atencao - Nome diverge"),IF(NOT(ISERROR(MATCH(I86,_Entradas_ZIG!$C:$C,0))),"OK","Erro - SKU nao encontrado"))))</f>
        <v/>
      </c>
      <c r="M86" s="92">
        <f>IFERROR(INDEX(_ZIG_Cadastro!$G:$G,MATCH(I86,_ZIG_Cadastro!$A:$A,0)),IF(NOT(ISERROR(MATCH(I86,_Entradas_ZIG!$C:$C,0))),"Ativo","—"))</f>
        <v/>
      </c>
      <c r="N86" s="94">
        <f>IFERROR(INDEX(_ZIG_Cadastro!$E:$E,MATCH(I86,_ZIG_Cadastro!$A:$A,0)),IFERROR(INDEX(_Entradas_ZIG!$F:$F,MATCH(I86,_Entradas_ZIG!$C:$C,0)),"—"))</f>
        <v/>
      </c>
      <c r="O86" s="92">
        <f>IF(AND(ISNUMBER(SEARCH("Espeto",N86)),ISNUMBER(SEARCH("Carin",N86))),"SIM","")</f>
        <v/>
      </c>
      <c r="P86" s="92">
        <f>IF(AND(ISNUMBER(SEARCH("Espeto",N86)),ISNUMBER(SEARCH("Lapa",N86))),"SIM","")</f>
        <v/>
      </c>
      <c r="Q86" s="92">
        <f>IF(AND(ISNUMBER(SEARCH("Espeto",N86)),ISNUMBER(SEARCH("Tatuapé",N86))),"SIM","")</f>
        <v/>
      </c>
      <c r="R86" s="92">
        <f>IF(AND(ISNUMBER(SEARCH("Espeto",N86)),ISNUMBER(SEARCH("Pavão",N86))),"SIM","")</f>
        <v/>
      </c>
      <c r="S86" s="92">
        <f>IF(AND(ISNUMBER(SEARCH("Espeto",N86)),ISNUMBER(SEARCH("Chac",N86))),"SIM","")</f>
        <v/>
      </c>
      <c r="T86" s="92">
        <f>IF(AND(ISNUMBER(SEARCH("Espeto",N86)),ISNUMBER(SEARCH("Madalena",N86))),"SIM","")</f>
        <v/>
      </c>
      <c r="U86" s="92">
        <f>IF(AND(ISNUMBER(SEARCH("Espeto",N86)),ISNUMBER(SEARCH("Mariana",N86))),"SIM","")</f>
        <v/>
      </c>
      <c r="V86" s="92">
        <f>IF(AND(ISNUMBER(SEARCH("Espeto",N86)),ISNUMBER(SEARCH("Perdizes",N86))),"SIM","")</f>
        <v/>
      </c>
      <c r="W86" s="92">
        <f>IF(AND(ISNUMBER(SEARCH("Espeto",N86)),ISNUMBER(SEARCH("Santana",N86))),"SIM","")</f>
        <v/>
      </c>
      <c r="X86" s="92">
        <f>IF(AND(ISNUMBER(SEARCH("Espeto",N86)),ISNUMBER(SEARCH("André",N86))),"SIM","")</f>
        <v/>
      </c>
      <c r="Y86" s="92">
        <f>IF(AND(ISNUMBER(SEARCH("Delivery",N86)),ISNUMBER(SEARCH("Carin",N86))),"SIM","")</f>
        <v/>
      </c>
      <c r="Z86" s="92">
        <f>IF(AND(ISNUMBER(SEARCH("Delivery",N86)),ISNUMBER(SEARCH("Lapa",N86))),"SIM","")</f>
        <v/>
      </c>
      <c r="AA86" s="92">
        <f>IF(AND(ISNUMBER(SEARCH("Delivery",N86)),ISNUMBER(SEARCH("Tatuapé",N86))),"SIM","")</f>
        <v/>
      </c>
      <c r="AB86" s="92">
        <f>IF(AND(ISNUMBER(SEARCH("Delivery",N86)),ISNUMBER(SEARCH("Pavão",N86))),"SIM","")</f>
        <v/>
      </c>
      <c r="AC86" s="92">
        <f>IF(AND(ISNUMBER(SEARCH("Delivery",N86)),ISNUMBER(SEARCH("Chac",N86))),"SIM","")</f>
        <v/>
      </c>
      <c r="AD86" s="92">
        <f>IF(AND(ISNUMBER(SEARCH("Delivery",N86)),ISNUMBER(SEARCH("Madalena",N86))),"SIM","")</f>
        <v/>
      </c>
      <c r="AE86" s="92">
        <f>IF(AND(ISNUMBER(SEARCH("Delivery",N86)),ISNUMBER(SEARCH("Mariana",N86))),"SIM","")</f>
        <v/>
      </c>
      <c r="AF86" s="92">
        <f>IF(AND(ISNUMBER(SEARCH("Delivery",N86)),ISNUMBER(SEARCH("Perdizes",N86))),"SIM","")</f>
        <v/>
      </c>
      <c r="AG86" s="92">
        <f>IF(AND(ISNUMBER(SEARCH("Delivery",N86)),ISNUMBER(SEARCH("Santana",N86))),"SIM","")</f>
        <v/>
      </c>
      <c r="AH86" s="92">
        <f>IF(AND(ISNUMBER(SEARCH("Delivery",N86)),ISNUMBER(SEARCH("André",N86))),"SIM","")</f>
        <v/>
      </c>
      <c r="AI86" s="92">
        <f>IF(ISNUMBER(SEARCH("Interlagos",N86)),"SIM","")</f>
        <v/>
      </c>
      <c r="AJ86" s="92">
        <f>IF(ISNUMBER(SEARCH("Quiosque",N86)),"SIM","")</f>
        <v/>
      </c>
      <c r="AK86" s="93" t="n"/>
    </row>
    <row r="87">
      <c r="A87" s="88" t="inlineStr">
        <is>
          <t>Protheus</t>
        </is>
      </c>
      <c r="B87" s="96" t="inlineStr">
        <is>
          <t>009842</t>
        </is>
      </c>
      <c r="C87" s="97">
        <f>IF(B87="—","—",IFERROR(VLOOKUP(B87,_Protheus_Cadastro!$A:$B,2,FALSE),"—"))</f>
        <v/>
      </c>
      <c r="D87" s="98">
        <f>IF(B87="—",IFERROR(INDEX(_ZIG_Cadastro!$D:$D,MATCH(H87,_ZIG_Cadastro!$A:$A,0)),"Produto"),IFERROR(VLOOKUP(B87,_Protheus_Cadastro!$A:$C,3,FALSE),"—"))</f>
        <v/>
      </c>
      <c r="E87" s="98">
        <f>IF(B87="—","—",IFERROR(VLOOKUP(B87,_Protheus_Cadastro!$A:$D,4,FALSE),"—"))</f>
        <v/>
      </c>
      <c r="F87" s="98">
        <f>IF(ISERROR(VLOOKUP(B87,'Estrutura Protheus'!A:A,1,FALSE)),"Não","Sim")</f>
        <v/>
      </c>
      <c r="G87" s="99">
        <f>IFERROR(INDEX(_Protheus_Cadastro!$H:$H,MATCH(B87,_Protheus_Cadastro!$A:$A,0)),"—")</f>
        <v/>
      </c>
      <c r="H87" s="211">
        <f>IFERROR(INDEX(_ZIG_Precos!$D:$D,MATCH(I87,_ZIG_Precos!$F:$F,0)),"—")</f>
        <v/>
      </c>
      <c r="I87" s="103">
        <f>IFERROR(VLOOKUP(B87,_Protheus_Cadastro!$A:$I,9,FALSE),"—")</f>
        <v/>
      </c>
      <c r="J87" s="101">
        <f>IFERROR(INDEX(_ZIG_Cadastro!$B:$B,MATCH(I87,_ZIG_Cadastro!$A:$A,0)),IFERROR(INDEX(_Entradas_ZIG!$B:$B,MATCH(I87,_Entradas_ZIG!$C:$C,0)),"—"))</f>
        <v/>
      </c>
      <c r="K87" s="101">
        <f>IFERROR(INDEX(_ZIG_Cadastro!$C:$C,MATCH(I87,_ZIG_Cadastro!$A:$A,0)),IFERROR(INDEX(_Entradas_ZIG!$D:$D,MATCH(I87,_Entradas_ZIG!$C:$C,0)),"—"))</f>
        <v/>
      </c>
      <c r="L87" s="99">
        <f>IF(I87="","Sem SKU ZIG",IF(I87="—","Sem SKU ZIG",IF(NOT(ISERROR(MATCH(I87,_ZIG_Cadastro!$A:$A,0))),IF(EXACT(UPPER(TRIM(C87)),UPPER(TRIM(INDEX(_ZIG_Cadastro!$B:$B,MATCH(I87,_ZIG_Cadastro!$A:$A,0))))),"OK","Atencao - Nome diverge"),IF(NOT(ISERROR(MATCH(I87,_Entradas_ZIG!$C:$C,0))),"OK","Erro - SKU nao encontrado"))))</f>
        <v/>
      </c>
      <c r="M87" s="99">
        <f>IFERROR(INDEX(_ZIG_Cadastro!$G:$G,MATCH(I87,_ZIG_Cadastro!$A:$A,0)),IF(NOT(ISERROR(MATCH(I87,_Entradas_ZIG!$C:$C,0))),"Ativo","—"))</f>
        <v/>
      </c>
      <c r="N87" s="102">
        <f>IFERROR(INDEX(_ZIG_Cadastro!$E:$E,MATCH(I87,_ZIG_Cadastro!$A:$A,0)),IFERROR(INDEX(_Entradas_ZIG!$F:$F,MATCH(I87,_Entradas_ZIG!$C:$C,0)),"—"))</f>
        <v/>
      </c>
      <c r="O87" s="99">
        <f>IF(AND(ISNUMBER(SEARCH("Espeto",N87)),ISNUMBER(SEARCH("Carin",N87))),"SIM","")</f>
        <v/>
      </c>
      <c r="P87" s="99">
        <f>IF(AND(ISNUMBER(SEARCH("Espeto",N87)),ISNUMBER(SEARCH("Lapa",N87))),"SIM","")</f>
        <v/>
      </c>
      <c r="Q87" s="99">
        <f>IF(AND(ISNUMBER(SEARCH("Espeto",N87)),ISNUMBER(SEARCH("Tatuapé",N87))),"SIM","")</f>
        <v/>
      </c>
      <c r="R87" s="99">
        <f>IF(AND(ISNUMBER(SEARCH("Espeto",N87)),ISNUMBER(SEARCH("Pavão",N87))),"SIM","")</f>
        <v/>
      </c>
      <c r="S87" s="99">
        <f>IF(AND(ISNUMBER(SEARCH("Espeto",N87)),ISNUMBER(SEARCH("Chac",N87))),"SIM","")</f>
        <v/>
      </c>
      <c r="T87" s="99">
        <f>IF(AND(ISNUMBER(SEARCH("Espeto",N87)),ISNUMBER(SEARCH("Madalena",N87))),"SIM","")</f>
        <v/>
      </c>
      <c r="U87" s="99">
        <f>IF(AND(ISNUMBER(SEARCH("Espeto",N87)),ISNUMBER(SEARCH("Mariana",N87))),"SIM","")</f>
        <v/>
      </c>
      <c r="V87" s="99">
        <f>IF(AND(ISNUMBER(SEARCH("Espeto",N87)),ISNUMBER(SEARCH("Perdizes",N87))),"SIM","")</f>
        <v/>
      </c>
      <c r="W87" s="99">
        <f>IF(AND(ISNUMBER(SEARCH("Espeto",N87)),ISNUMBER(SEARCH("Santana",N87))),"SIM","")</f>
        <v/>
      </c>
      <c r="X87" s="99">
        <f>IF(AND(ISNUMBER(SEARCH("Espeto",N87)),ISNUMBER(SEARCH("André",N87))),"SIM","")</f>
        <v/>
      </c>
      <c r="Y87" s="99">
        <f>IF(AND(ISNUMBER(SEARCH("Delivery",N87)),ISNUMBER(SEARCH("Carin",N87))),"SIM","")</f>
        <v/>
      </c>
      <c r="Z87" s="99">
        <f>IF(AND(ISNUMBER(SEARCH("Delivery",N87)),ISNUMBER(SEARCH("Lapa",N87))),"SIM","")</f>
        <v/>
      </c>
      <c r="AA87" s="99">
        <f>IF(AND(ISNUMBER(SEARCH("Delivery",N87)),ISNUMBER(SEARCH("Tatuapé",N87))),"SIM","")</f>
        <v/>
      </c>
      <c r="AB87" s="99">
        <f>IF(AND(ISNUMBER(SEARCH("Delivery",N87)),ISNUMBER(SEARCH("Pavão",N87))),"SIM","")</f>
        <v/>
      </c>
      <c r="AC87" s="99">
        <f>IF(AND(ISNUMBER(SEARCH("Delivery",N87)),ISNUMBER(SEARCH("Chac",N87))),"SIM","")</f>
        <v/>
      </c>
      <c r="AD87" s="99">
        <f>IF(AND(ISNUMBER(SEARCH("Delivery",N87)),ISNUMBER(SEARCH("Madalena",N87))),"SIM","")</f>
        <v/>
      </c>
      <c r="AE87" s="99">
        <f>IF(AND(ISNUMBER(SEARCH("Delivery",N87)),ISNUMBER(SEARCH("Mariana",N87))),"SIM","")</f>
        <v/>
      </c>
      <c r="AF87" s="99">
        <f>IF(AND(ISNUMBER(SEARCH("Delivery",N87)),ISNUMBER(SEARCH("Perdizes",N87))),"SIM","")</f>
        <v/>
      </c>
      <c r="AG87" s="99">
        <f>IF(AND(ISNUMBER(SEARCH("Delivery",N87)),ISNUMBER(SEARCH("Santana",N87))),"SIM","")</f>
        <v/>
      </c>
      <c r="AH87" s="99">
        <f>IF(AND(ISNUMBER(SEARCH("Delivery",N87)),ISNUMBER(SEARCH("André",N87))),"SIM","")</f>
        <v/>
      </c>
      <c r="AI87" s="99">
        <f>IF(ISNUMBER(SEARCH("Interlagos",N87)),"SIM","")</f>
        <v/>
      </c>
      <c r="AJ87" s="99">
        <f>IF(ISNUMBER(SEARCH("Quiosque",N87)),"SIM","")</f>
        <v/>
      </c>
      <c r="AK87" s="101" t="n"/>
    </row>
    <row r="88">
      <c r="A88" s="88" t="inlineStr">
        <is>
          <t>Protheus</t>
        </is>
      </c>
      <c r="B88" s="89" t="inlineStr">
        <is>
          <t>001910</t>
        </is>
      </c>
      <c r="C88" s="90">
        <f>IF(B88="—","—",IFERROR(VLOOKUP(B88,_Protheus_Cadastro!$A:$B,2,FALSE),"—"))</f>
        <v/>
      </c>
      <c r="D88" s="91">
        <f>IF(B88="—",IFERROR(INDEX(_ZIG_Cadastro!$D:$D,MATCH(H88,_ZIG_Cadastro!$A:$A,0)),"Produto"),IFERROR(VLOOKUP(B88,_Protheus_Cadastro!$A:$C,3,FALSE),"—"))</f>
        <v/>
      </c>
      <c r="E88" s="91">
        <f>IF(B88="—","—",IFERROR(VLOOKUP(B88,_Protheus_Cadastro!$A:$D,4,FALSE),"—"))</f>
        <v/>
      </c>
      <c r="F88" s="91">
        <f>IF(ISERROR(VLOOKUP(B88,'Estrutura Protheus'!A:A,1,FALSE)),"Não","Sim")</f>
        <v/>
      </c>
      <c r="G88" s="92">
        <f>IFERROR(INDEX(_Protheus_Cadastro!$H:$H,MATCH(B88,_Protheus_Cadastro!$A:$A,0)),"—")</f>
        <v/>
      </c>
      <c r="H88" s="210">
        <f>IFERROR(INDEX(_ZIG_Precos!$D:$D,MATCH(I88,_ZIG_Precos!$F:$F,0)),"—")</f>
        <v/>
      </c>
      <c r="I88" s="95">
        <f>IFERROR(VLOOKUP(B88,_Protheus_Cadastro!$A:$I,9,FALSE),"—")</f>
        <v/>
      </c>
      <c r="J88" s="93">
        <f>IFERROR(INDEX(_ZIG_Cadastro!$B:$B,MATCH(I88,_ZIG_Cadastro!$A:$A,0)),IFERROR(INDEX(_Entradas_ZIG!$B:$B,MATCH(I88,_Entradas_ZIG!$C:$C,0)),"—"))</f>
        <v/>
      </c>
      <c r="K88" s="93">
        <f>IFERROR(INDEX(_ZIG_Cadastro!$C:$C,MATCH(I88,_ZIG_Cadastro!$A:$A,0)),IFERROR(INDEX(_Entradas_ZIG!$D:$D,MATCH(I88,_Entradas_ZIG!$C:$C,0)),"—"))</f>
        <v/>
      </c>
      <c r="L88" s="92">
        <f>IF(I88="","Sem SKU ZIG",IF(I88="—","Sem SKU ZIG",IF(NOT(ISERROR(MATCH(I88,_ZIG_Cadastro!$A:$A,0))),IF(EXACT(UPPER(TRIM(C88)),UPPER(TRIM(INDEX(_ZIG_Cadastro!$B:$B,MATCH(I88,_ZIG_Cadastro!$A:$A,0))))),"OK","Atencao - Nome diverge"),IF(NOT(ISERROR(MATCH(I88,_Entradas_ZIG!$C:$C,0))),"OK","Erro - SKU nao encontrado"))))</f>
        <v/>
      </c>
      <c r="M88" s="92">
        <f>IFERROR(INDEX(_ZIG_Cadastro!$G:$G,MATCH(I88,_ZIG_Cadastro!$A:$A,0)),IF(NOT(ISERROR(MATCH(I88,_Entradas_ZIG!$C:$C,0))),"Ativo","—"))</f>
        <v/>
      </c>
      <c r="N88" s="94">
        <f>IFERROR(INDEX(_ZIG_Cadastro!$E:$E,MATCH(I88,_ZIG_Cadastro!$A:$A,0)),IFERROR(INDEX(_Entradas_ZIG!$F:$F,MATCH(I88,_Entradas_ZIG!$C:$C,0)),"—"))</f>
        <v/>
      </c>
      <c r="O88" s="92">
        <f>IF(AND(ISNUMBER(SEARCH("Espeto",N88)),ISNUMBER(SEARCH("Carin",N88))),"SIM","")</f>
        <v/>
      </c>
      <c r="P88" s="92">
        <f>IF(AND(ISNUMBER(SEARCH("Espeto",N88)),ISNUMBER(SEARCH("Lapa",N88))),"SIM","")</f>
        <v/>
      </c>
      <c r="Q88" s="92">
        <f>IF(AND(ISNUMBER(SEARCH("Espeto",N88)),ISNUMBER(SEARCH("Tatuapé",N88))),"SIM","")</f>
        <v/>
      </c>
      <c r="R88" s="92">
        <f>IF(AND(ISNUMBER(SEARCH("Espeto",N88)),ISNUMBER(SEARCH("Pavão",N88))),"SIM","")</f>
        <v/>
      </c>
      <c r="S88" s="92">
        <f>IF(AND(ISNUMBER(SEARCH("Espeto",N88)),ISNUMBER(SEARCH("Chac",N88))),"SIM","")</f>
        <v/>
      </c>
      <c r="T88" s="92">
        <f>IF(AND(ISNUMBER(SEARCH("Espeto",N88)),ISNUMBER(SEARCH("Madalena",N88))),"SIM","")</f>
        <v/>
      </c>
      <c r="U88" s="92">
        <f>IF(AND(ISNUMBER(SEARCH("Espeto",N88)),ISNUMBER(SEARCH("Mariana",N88))),"SIM","")</f>
        <v/>
      </c>
      <c r="V88" s="92">
        <f>IF(AND(ISNUMBER(SEARCH("Espeto",N88)),ISNUMBER(SEARCH("Perdizes",N88))),"SIM","")</f>
        <v/>
      </c>
      <c r="W88" s="92">
        <f>IF(AND(ISNUMBER(SEARCH("Espeto",N88)),ISNUMBER(SEARCH("Santana",N88))),"SIM","")</f>
        <v/>
      </c>
      <c r="X88" s="92">
        <f>IF(AND(ISNUMBER(SEARCH("Espeto",N88)),ISNUMBER(SEARCH("André",N88))),"SIM","")</f>
        <v/>
      </c>
      <c r="Y88" s="92">
        <f>IF(AND(ISNUMBER(SEARCH("Delivery",N88)),ISNUMBER(SEARCH("Carin",N88))),"SIM","")</f>
        <v/>
      </c>
      <c r="Z88" s="92">
        <f>IF(AND(ISNUMBER(SEARCH("Delivery",N88)),ISNUMBER(SEARCH("Lapa",N88))),"SIM","")</f>
        <v/>
      </c>
      <c r="AA88" s="92">
        <f>IF(AND(ISNUMBER(SEARCH("Delivery",N88)),ISNUMBER(SEARCH("Tatuapé",N88))),"SIM","")</f>
        <v/>
      </c>
      <c r="AB88" s="92">
        <f>IF(AND(ISNUMBER(SEARCH("Delivery",N88)),ISNUMBER(SEARCH("Pavão",N88))),"SIM","")</f>
        <v/>
      </c>
      <c r="AC88" s="92">
        <f>IF(AND(ISNUMBER(SEARCH("Delivery",N88)),ISNUMBER(SEARCH("Chac",N88))),"SIM","")</f>
        <v/>
      </c>
      <c r="AD88" s="92">
        <f>IF(AND(ISNUMBER(SEARCH("Delivery",N88)),ISNUMBER(SEARCH("Madalena",N88))),"SIM","")</f>
        <v/>
      </c>
      <c r="AE88" s="92">
        <f>IF(AND(ISNUMBER(SEARCH("Delivery",N88)),ISNUMBER(SEARCH("Mariana",N88))),"SIM","")</f>
        <v/>
      </c>
      <c r="AF88" s="92">
        <f>IF(AND(ISNUMBER(SEARCH("Delivery",N88)),ISNUMBER(SEARCH("Perdizes",N88))),"SIM","")</f>
        <v/>
      </c>
      <c r="AG88" s="92">
        <f>IF(AND(ISNUMBER(SEARCH("Delivery",N88)),ISNUMBER(SEARCH("Santana",N88))),"SIM","")</f>
        <v/>
      </c>
      <c r="AH88" s="92">
        <f>IF(AND(ISNUMBER(SEARCH("Delivery",N88)),ISNUMBER(SEARCH("André",N88))),"SIM","")</f>
        <v/>
      </c>
      <c r="AI88" s="92">
        <f>IF(ISNUMBER(SEARCH("Interlagos",N88)),"SIM","")</f>
        <v/>
      </c>
      <c r="AJ88" s="92">
        <f>IF(ISNUMBER(SEARCH("Quiosque",N88)),"SIM","")</f>
        <v/>
      </c>
      <c r="AK88" s="93" t="n"/>
    </row>
    <row r="89">
      <c r="A89" s="88" t="inlineStr">
        <is>
          <t>Protheus</t>
        </is>
      </c>
      <c r="B89" s="96" t="inlineStr">
        <is>
          <t>002208</t>
        </is>
      </c>
      <c r="C89" s="97">
        <f>IF(B89="—","—",IFERROR(VLOOKUP(B89,_Protheus_Cadastro!$A:$B,2,FALSE),"—"))</f>
        <v/>
      </c>
      <c r="D89" s="98">
        <f>IF(B89="—",IFERROR(INDEX(_ZIG_Cadastro!$D:$D,MATCH(H89,_ZIG_Cadastro!$A:$A,0)),"Produto"),IFERROR(VLOOKUP(B89,_Protheus_Cadastro!$A:$C,3,FALSE),"—"))</f>
        <v/>
      </c>
      <c r="E89" s="98">
        <f>IF(B89="—","—",IFERROR(VLOOKUP(B89,_Protheus_Cadastro!$A:$D,4,FALSE),"—"))</f>
        <v/>
      </c>
      <c r="F89" s="98">
        <f>IF(ISERROR(VLOOKUP(B89,'Estrutura Protheus'!A:A,1,FALSE)),"Não","Sim")</f>
        <v/>
      </c>
      <c r="G89" s="99">
        <f>IFERROR(INDEX(_Protheus_Cadastro!$H:$H,MATCH(B89,_Protheus_Cadastro!$A:$A,0)),"—")</f>
        <v/>
      </c>
      <c r="H89" s="211">
        <f>IFERROR(INDEX(_ZIG_Precos!$D:$D,MATCH(I89,_ZIG_Precos!$F:$F,0)),"—")</f>
        <v/>
      </c>
      <c r="I89" s="103">
        <f>IFERROR(VLOOKUP(B89,_Protheus_Cadastro!$A:$I,9,FALSE),"—")</f>
        <v/>
      </c>
      <c r="J89" s="101">
        <f>IFERROR(INDEX(_ZIG_Cadastro!$B:$B,MATCH(I89,_ZIG_Cadastro!$A:$A,0)),IFERROR(INDEX(_Entradas_ZIG!$B:$B,MATCH(I89,_Entradas_ZIG!$C:$C,0)),"—"))</f>
        <v/>
      </c>
      <c r="K89" s="101">
        <f>IFERROR(INDEX(_ZIG_Cadastro!$C:$C,MATCH(I89,_ZIG_Cadastro!$A:$A,0)),IFERROR(INDEX(_Entradas_ZIG!$D:$D,MATCH(I89,_Entradas_ZIG!$C:$C,0)),"—"))</f>
        <v/>
      </c>
      <c r="L89" s="99">
        <f>IF(I89="","Sem SKU ZIG",IF(I89="—","Sem SKU ZIG",IF(NOT(ISERROR(MATCH(I89,_ZIG_Cadastro!$A:$A,0))),IF(EXACT(UPPER(TRIM(C89)),UPPER(TRIM(INDEX(_ZIG_Cadastro!$B:$B,MATCH(I89,_ZIG_Cadastro!$A:$A,0))))),"OK","Atencao - Nome diverge"),IF(NOT(ISERROR(MATCH(I89,_Entradas_ZIG!$C:$C,0))),"OK","Erro - SKU nao encontrado"))))</f>
        <v/>
      </c>
      <c r="M89" s="99">
        <f>IFERROR(INDEX(_ZIG_Cadastro!$G:$G,MATCH(I89,_ZIG_Cadastro!$A:$A,0)),IF(NOT(ISERROR(MATCH(I89,_Entradas_ZIG!$C:$C,0))),"Ativo","—"))</f>
        <v/>
      </c>
      <c r="N89" s="102">
        <f>IFERROR(INDEX(_ZIG_Cadastro!$E:$E,MATCH(I89,_ZIG_Cadastro!$A:$A,0)),IFERROR(INDEX(_Entradas_ZIG!$F:$F,MATCH(I89,_Entradas_ZIG!$C:$C,0)),"—"))</f>
        <v/>
      </c>
      <c r="O89" s="99">
        <f>IF(AND(ISNUMBER(SEARCH("Espeto",N89)),ISNUMBER(SEARCH("Carin",N89))),"SIM","")</f>
        <v/>
      </c>
      <c r="P89" s="99">
        <f>IF(AND(ISNUMBER(SEARCH("Espeto",N89)),ISNUMBER(SEARCH("Lapa",N89))),"SIM","")</f>
        <v/>
      </c>
      <c r="Q89" s="99">
        <f>IF(AND(ISNUMBER(SEARCH("Espeto",N89)),ISNUMBER(SEARCH("Tatuapé",N89))),"SIM","")</f>
        <v/>
      </c>
      <c r="R89" s="99">
        <f>IF(AND(ISNUMBER(SEARCH("Espeto",N89)),ISNUMBER(SEARCH("Pavão",N89))),"SIM","")</f>
        <v/>
      </c>
      <c r="S89" s="99">
        <f>IF(AND(ISNUMBER(SEARCH("Espeto",N89)),ISNUMBER(SEARCH("Chac",N89))),"SIM","")</f>
        <v/>
      </c>
      <c r="T89" s="99">
        <f>IF(AND(ISNUMBER(SEARCH("Espeto",N89)),ISNUMBER(SEARCH("Madalena",N89))),"SIM","")</f>
        <v/>
      </c>
      <c r="U89" s="99">
        <f>IF(AND(ISNUMBER(SEARCH("Espeto",N89)),ISNUMBER(SEARCH("Mariana",N89))),"SIM","")</f>
        <v/>
      </c>
      <c r="V89" s="99">
        <f>IF(AND(ISNUMBER(SEARCH("Espeto",N89)),ISNUMBER(SEARCH("Perdizes",N89))),"SIM","")</f>
        <v/>
      </c>
      <c r="W89" s="99">
        <f>IF(AND(ISNUMBER(SEARCH("Espeto",N89)),ISNUMBER(SEARCH("Santana",N89))),"SIM","")</f>
        <v/>
      </c>
      <c r="X89" s="99">
        <f>IF(AND(ISNUMBER(SEARCH("Espeto",N89)),ISNUMBER(SEARCH("André",N89))),"SIM","")</f>
        <v/>
      </c>
      <c r="Y89" s="99">
        <f>IF(AND(ISNUMBER(SEARCH("Delivery",N89)),ISNUMBER(SEARCH("Carin",N89))),"SIM","")</f>
        <v/>
      </c>
      <c r="Z89" s="99">
        <f>IF(AND(ISNUMBER(SEARCH("Delivery",N89)),ISNUMBER(SEARCH("Lapa",N89))),"SIM","")</f>
        <v/>
      </c>
      <c r="AA89" s="99">
        <f>IF(AND(ISNUMBER(SEARCH("Delivery",N89)),ISNUMBER(SEARCH("Tatuapé",N89))),"SIM","")</f>
        <v/>
      </c>
      <c r="AB89" s="99">
        <f>IF(AND(ISNUMBER(SEARCH("Delivery",N89)),ISNUMBER(SEARCH("Pavão",N89))),"SIM","")</f>
        <v/>
      </c>
      <c r="AC89" s="99">
        <f>IF(AND(ISNUMBER(SEARCH("Delivery",N89)),ISNUMBER(SEARCH("Chac",N89))),"SIM","")</f>
        <v/>
      </c>
      <c r="AD89" s="99">
        <f>IF(AND(ISNUMBER(SEARCH("Delivery",N89)),ISNUMBER(SEARCH("Madalena",N89))),"SIM","")</f>
        <v/>
      </c>
      <c r="AE89" s="99">
        <f>IF(AND(ISNUMBER(SEARCH("Delivery",N89)),ISNUMBER(SEARCH("Mariana",N89))),"SIM","")</f>
        <v/>
      </c>
      <c r="AF89" s="99">
        <f>IF(AND(ISNUMBER(SEARCH("Delivery",N89)),ISNUMBER(SEARCH("Perdizes",N89))),"SIM","")</f>
        <v/>
      </c>
      <c r="AG89" s="99">
        <f>IF(AND(ISNUMBER(SEARCH("Delivery",N89)),ISNUMBER(SEARCH("Santana",N89))),"SIM","")</f>
        <v/>
      </c>
      <c r="AH89" s="99">
        <f>IF(AND(ISNUMBER(SEARCH("Delivery",N89)),ISNUMBER(SEARCH("André",N89))),"SIM","")</f>
        <v/>
      </c>
      <c r="AI89" s="99">
        <f>IF(ISNUMBER(SEARCH("Interlagos",N89)),"SIM","")</f>
        <v/>
      </c>
      <c r="AJ89" s="99">
        <f>IF(ISNUMBER(SEARCH("Quiosque",N89)),"SIM","")</f>
        <v/>
      </c>
      <c r="AK89" s="101" t="n"/>
    </row>
    <row r="90">
      <c r="A90" s="88" t="inlineStr">
        <is>
          <t>Protheus</t>
        </is>
      </c>
      <c r="B90" s="89" t="inlineStr">
        <is>
          <t>001146</t>
        </is>
      </c>
      <c r="C90" s="90">
        <f>IF(B90="—","—",IFERROR(VLOOKUP(B90,_Protheus_Cadastro!$A:$B,2,FALSE),"—"))</f>
        <v/>
      </c>
      <c r="D90" s="91">
        <f>IF(B90="—",IFERROR(INDEX(_ZIG_Cadastro!$D:$D,MATCH(H90,_ZIG_Cadastro!$A:$A,0)),"Produto"),IFERROR(VLOOKUP(B90,_Protheus_Cadastro!$A:$C,3,FALSE),"—"))</f>
        <v/>
      </c>
      <c r="E90" s="91">
        <f>IF(B90="—","—",IFERROR(VLOOKUP(B90,_Protheus_Cadastro!$A:$D,4,FALSE),"—"))</f>
        <v/>
      </c>
      <c r="F90" s="91">
        <f>IF(ISERROR(VLOOKUP(B90,'Estrutura Protheus'!A:A,1,FALSE)),"Não","Sim")</f>
        <v/>
      </c>
      <c r="G90" s="92">
        <f>IFERROR(INDEX(_Protheus_Cadastro!$H:$H,MATCH(B90,_Protheus_Cadastro!$A:$A,0)),"—")</f>
        <v/>
      </c>
      <c r="H90" s="210">
        <f>IFERROR(INDEX(_ZIG_Precos!$D:$D,MATCH(I90,_ZIG_Precos!$F:$F,0)),"—")</f>
        <v/>
      </c>
      <c r="I90" s="95">
        <f>IFERROR(VLOOKUP(B90,_Protheus_Cadastro!$A:$I,9,FALSE),"—")</f>
        <v/>
      </c>
      <c r="J90" s="93">
        <f>IFERROR(INDEX(_ZIG_Cadastro!$B:$B,MATCH(I90,_ZIG_Cadastro!$A:$A,0)),IFERROR(INDEX(_Entradas_ZIG!$B:$B,MATCH(I90,_Entradas_ZIG!$C:$C,0)),"—"))</f>
        <v/>
      </c>
      <c r="K90" s="93">
        <f>IFERROR(INDEX(_ZIG_Cadastro!$C:$C,MATCH(I90,_ZIG_Cadastro!$A:$A,0)),IFERROR(INDEX(_Entradas_ZIG!$D:$D,MATCH(I90,_Entradas_ZIG!$C:$C,0)),"—"))</f>
        <v/>
      </c>
      <c r="L90" s="92">
        <f>IF(I90="","Sem SKU ZIG",IF(I90="—","Sem SKU ZIG",IF(NOT(ISERROR(MATCH(I90,_ZIG_Cadastro!$A:$A,0))),IF(EXACT(UPPER(TRIM(C90)),UPPER(TRIM(INDEX(_ZIG_Cadastro!$B:$B,MATCH(I90,_ZIG_Cadastro!$A:$A,0))))),"OK","Atencao - Nome diverge"),IF(NOT(ISERROR(MATCH(I90,_Entradas_ZIG!$C:$C,0))),"OK","Erro - SKU nao encontrado"))))</f>
        <v/>
      </c>
      <c r="M90" s="92">
        <f>IFERROR(INDEX(_ZIG_Cadastro!$G:$G,MATCH(I90,_ZIG_Cadastro!$A:$A,0)),IF(NOT(ISERROR(MATCH(I90,_Entradas_ZIG!$C:$C,0))),"Ativo","—"))</f>
        <v/>
      </c>
      <c r="N90" s="94">
        <f>IFERROR(INDEX(_ZIG_Cadastro!$E:$E,MATCH(I90,_ZIG_Cadastro!$A:$A,0)),IFERROR(INDEX(_Entradas_ZIG!$F:$F,MATCH(I90,_Entradas_ZIG!$C:$C,0)),"—"))</f>
        <v/>
      </c>
      <c r="O90" s="92">
        <f>IF(AND(ISNUMBER(SEARCH("Espeto",N90)),ISNUMBER(SEARCH("Carin",N90))),"SIM","")</f>
        <v/>
      </c>
      <c r="P90" s="92">
        <f>IF(AND(ISNUMBER(SEARCH("Espeto",N90)),ISNUMBER(SEARCH("Lapa",N90))),"SIM","")</f>
        <v/>
      </c>
      <c r="Q90" s="92">
        <f>IF(AND(ISNUMBER(SEARCH("Espeto",N90)),ISNUMBER(SEARCH("Tatuapé",N90))),"SIM","")</f>
        <v/>
      </c>
      <c r="R90" s="92">
        <f>IF(AND(ISNUMBER(SEARCH("Espeto",N90)),ISNUMBER(SEARCH("Pavão",N90))),"SIM","")</f>
        <v/>
      </c>
      <c r="S90" s="92">
        <f>IF(AND(ISNUMBER(SEARCH("Espeto",N90)),ISNUMBER(SEARCH("Chac",N90))),"SIM","")</f>
        <v/>
      </c>
      <c r="T90" s="92">
        <f>IF(AND(ISNUMBER(SEARCH("Espeto",N90)),ISNUMBER(SEARCH("Madalena",N90))),"SIM","")</f>
        <v/>
      </c>
      <c r="U90" s="92">
        <f>IF(AND(ISNUMBER(SEARCH("Espeto",N90)),ISNUMBER(SEARCH("Mariana",N90))),"SIM","")</f>
        <v/>
      </c>
      <c r="V90" s="92">
        <f>IF(AND(ISNUMBER(SEARCH("Espeto",N90)),ISNUMBER(SEARCH("Perdizes",N90))),"SIM","")</f>
        <v/>
      </c>
      <c r="W90" s="92">
        <f>IF(AND(ISNUMBER(SEARCH("Espeto",N90)),ISNUMBER(SEARCH("Santana",N90))),"SIM","")</f>
        <v/>
      </c>
      <c r="X90" s="92">
        <f>IF(AND(ISNUMBER(SEARCH("Espeto",N90)),ISNUMBER(SEARCH("André",N90))),"SIM","")</f>
        <v/>
      </c>
      <c r="Y90" s="92">
        <f>IF(AND(ISNUMBER(SEARCH("Delivery",N90)),ISNUMBER(SEARCH("Carin",N90))),"SIM","")</f>
        <v/>
      </c>
      <c r="Z90" s="92">
        <f>IF(AND(ISNUMBER(SEARCH("Delivery",N90)),ISNUMBER(SEARCH("Lapa",N90))),"SIM","")</f>
        <v/>
      </c>
      <c r="AA90" s="92">
        <f>IF(AND(ISNUMBER(SEARCH("Delivery",N90)),ISNUMBER(SEARCH("Tatuapé",N90))),"SIM","")</f>
        <v/>
      </c>
      <c r="AB90" s="92">
        <f>IF(AND(ISNUMBER(SEARCH("Delivery",N90)),ISNUMBER(SEARCH("Pavão",N90))),"SIM","")</f>
        <v/>
      </c>
      <c r="AC90" s="92">
        <f>IF(AND(ISNUMBER(SEARCH("Delivery",N90)),ISNUMBER(SEARCH("Chac",N90))),"SIM","")</f>
        <v/>
      </c>
      <c r="AD90" s="92">
        <f>IF(AND(ISNUMBER(SEARCH("Delivery",N90)),ISNUMBER(SEARCH("Madalena",N90))),"SIM","")</f>
        <v/>
      </c>
      <c r="AE90" s="92">
        <f>IF(AND(ISNUMBER(SEARCH("Delivery",N90)),ISNUMBER(SEARCH("Mariana",N90))),"SIM","")</f>
        <v/>
      </c>
      <c r="AF90" s="92">
        <f>IF(AND(ISNUMBER(SEARCH("Delivery",N90)),ISNUMBER(SEARCH("Perdizes",N90))),"SIM","")</f>
        <v/>
      </c>
      <c r="AG90" s="92">
        <f>IF(AND(ISNUMBER(SEARCH("Delivery",N90)),ISNUMBER(SEARCH("Santana",N90))),"SIM","")</f>
        <v/>
      </c>
      <c r="AH90" s="92">
        <f>IF(AND(ISNUMBER(SEARCH("Delivery",N90)),ISNUMBER(SEARCH("André",N90))),"SIM","")</f>
        <v/>
      </c>
      <c r="AI90" s="92">
        <f>IF(ISNUMBER(SEARCH("Interlagos",N90)),"SIM","")</f>
        <v/>
      </c>
      <c r="AJ90" s="92">
        <f>IF(ISNUMBER(SEARCH("Quiosque",N90)),"SIM","")</f>
        <v/>
      </c>
      <c r="AK90" s="93" t="n"/>
    </row>
    <row r="91">
      <c r="A91" s="88" t="inlineStr">
        <is>
          <t>Protheus</t>
        </is>
      </c>
      <c r="B91" s="96" t="inlineStr">
        <is>
          <t>001338</t>
        </is>
      </c>
      <c r="C91" s="97">
        <f>IF(B91="—","—",IFERROR(VLOOKUP(B91,_Protheus_Cadastro!$A:$B,2,FALSE),"—"))</f>
        <v/>
      </c>
      <c r="D91" s="98">
        <f>IF(B91="—",IFERROR(INDEX(_ZIG_Cadastro!$D:$D,MATCH(H91,_ZIG_Cadastro!$A:$A,0)),"Produto"),IFERROR(VLOOKUP(B91,_Protheus_Cadastro!$A:$C,3,FALSE),"—"))</f>
        <v/>
      </c>
      <c r="E91" s="98">
        <f>IF(B91="—","—",IFERROR(VLOOKUP(B91,_Protheus_Cadastro!$A:$D,4,FALSE),"—"))</f>
        <v/>
      </c>
      <c r="F91" s="98">
        <f>IF(ISERROR(VLOOKUP(B91,'Estrutura Protheus'!A:A,1,FALSE)),"Não","Sim")</f>
        <v/>
      </c>
      <c r="G91" s="99">
        <f>IFERROR(INDEX(_Protheus_Cadastro!$H:$H,MATCH(B91,_Protheus_Cadastro!$A:$A,0)),"—")</f>
        <v/>
      </c>
      <c r="H91" s="211">
        <f>IFERROR(INDEX(_ZIG_Precos!$D:$D,MATCH(I91,_ZIG_Precos!$F:$F,0)),"—")</f>
        <v/>
      </c>
      <c r="I91" s="103">
        <f>IFERROR(VLOOKUP(B91,_Protheus_Cadastro!$A:$I,9,FALSE),"—")</f>
        <v/>
      </c>
      <c r="J91" s="101">
        <f>IFERROR(INDEX(_ZIG_Cadastro!$B:$B,MATCH(I91,_ZIG_Cadastro!$A:$A,0)),IFERROR(INDEX(_Entradas_ZIG!$B:$B,MATCH(I91,_Entradas_ZIG!$C:$C,0)),"—"))</f>
        <v/>
      </c>
      <c r="K91" s="101">
        <f>IFERROR(INDEX(_ZIG_Cadastro!$C:$C,MATCH(I91,_ZIG_Cadastro!$A:$A,0)),IFERROR(INDEX(_Entradas_ZIG!$D:$D,MATCH(I91,_Entradas_ZIG!$C:$C,0)),"—"))</f>
        <v/>
      </c>
      <c r="L91" s="99">
        <f>IF(I91="","Sem SKU ZIG",IF(I91="—","Sem SKU ZIG",IF(NOT(ISERROR(MATCH(I91,_ZIG_Cadastro!$A:$A,0))),IF(EXACT(UPPER(TRIM(C91)),UPPER(TRIM(INDEX(_ZIG_Cadastro!$B:$B,MATCH(I91,_ZIG_Cadastro!$A:$A,0))))),"OK","Atencao - Nome diverge"),IF(NOT(ISERROR(MATCH(I91,_Entradas_ZIG!$C:$C,0))),"OK","Erro - SKU nao encontrado"))))</f>
        <v/>
      </c>
      <c r="M91" s="99">
        <f>IFERROR(INDEX(_ZIG_Cadastro!$G:$G,MATCH(I91,_ZIG_Cadastro!$A:$A,0)),IF(NOT(ISERROR(MATCH(I91,_Entradas_ZIG!$C:$C,0))),"Ativo","—"))</f>
        <v/>
      </c>
      <c r="N91" s="102">
        <f>IFERROR(INDEX(_ZIG_Cadastro!$E:$E,MATCH(I91,_ZIG_Cadastro!$A:$A,0)),IFERROR(INDEX(_Entradas_ZIG!$F:$F,MATCH(I91,_Entradas_ZIG!$C:$C,0)),"—"))</f>
        <v/>
      </c>
      <c r="O91" s="99">
        <f>IF(AND(ISNUMBER(SEARCH("Espeto",N91)),ISNUMBER(SEARCH("Carin",N91))),"SIM","")</f>
        <v/>
      </c>
      <c r="P91" s="99">
        <f>IF(AND(ISNUMBER(SEARCH("Espeto",N91)),ISNUMBER(SEARCH("Lapa",N91))),"SIM","")</f>
        <v/>
      </c>
      <c r="Q91" s="99">
        <f>IF(AND(ISNUMBER(SEARCH("Espeto",N91)),ISNUMBER(SEARCH("Tatuapé",N91))),"SIM","")</f>
        <v/>
      </c>
      <c r="R91" s="99">
        <f>IF(AND(ISNUMBER(SEARCH("Espeto",N91)),ISNUMBER(SEARCH("Pavão",N91))),"SIM","")</f>
        <v/>
      </c>
      <c r="S91" s="99">
        <f>IF(AND(ISNUMBER(SEARCH("Espeto",N91)),ISNUMBER(SEARCH("Chac",N91))),"SIM","")</f>
        <v/>
      </c>
      <c r="T91" s="99">
        <f>IF(AND(ISNUMBER(SEARCH("Espeto",N91)),ISNUMBER(SEARCH("Madalena",N91))),"SIM","")</f>
        <v/>
      </c>
      <c r="U91" s="99">
        <f>IF(AND(ISNUMBER(SEARCH("Espeto",N91)),ISNUMBER(SEARCH("Mariana",N91))),"SIM","")</f>
        <v/>
      </c>
      <c r="V91" s="99">
        <f>IF(AND(ISNUMBER(SEARCH("Espeto",N91)),ISNUMBER(SEARCH("Perdizes",N91))),"SIM","")</f>
        <v/>
      </c>
      <c r="W91" s="99">
        <f>IF(AND(ISNUMBER(SEARCH("Espeto",N91)),ISNUMBER(SEARCH("Santana",N91))),"SIM","")</f>
        <v/>
      </c>
      <c r="X91" s="99">
        <f>IF(AND(ISNUMBER(SEARCH("Espeto",N91)),ISNUMBER(SEARCH("André",N91))),"SIM","")</f>
        <v/>
      </c>
      <c r="Y91" s="99">
        <f>IF(AND(ISNUMBER(SEARCH("Delivery",N91)),ISNUMBER(SEARCH("Carin",N91))),"SIM","")</f>
        <v/>
      </c>
      <c r="Z91" s="99">
        <f>IF(AND(ISNUMBER(SEARCH("Delivery",N91)),ISNUMBER(SEARCH("Lapa",N91))),"SIM","")</f>
        <v/>
      </c>
      <c r="AA91" s="99">
        <f>IF(AND(ISNUMBER(SEARCH("Delivery",N91)),ISNUMBER(SEARCH("Tatuapé",N91))),"SIM","")</f>
        <v/>
      </c>
      <c r="AB91" s="99">
        <f>IF(AND(ISNUMBER(SEARCH("Delivery",N91)),ISNUMBER(SEARCH("Pavão",N91))),"SIM","")</f>
        <v/>
      </c>
      <c r="AC91" s="99">
        <f>IF(AND(ISNUMBER(SEARCH("Delivery",N91)),ISNUMBER(SEARCH("Chac",N91))),"SIM","")</f>
        <v/>
      </c>
      <c r="AD91" s="99">
        <f>IF(AND(ISNUMBER(SEARCH("Delivery",N91)),ISNUMBER(SEARCH("Madalena",N91))),"SIM","")</f>
        <v/>
      </c>
      <c r="AE91" s="99">
        <f>IF(AND(ISNUMBER(SEARCH("Delivery",N91)),ISNUMBER(SEARCH("Mariana",N91))),"SIM","")</f>
        <v/>
      </c>
      <c r="AF91" s="99">
        <f>IF(AND(ISNUMBER(SEARCH("Delivery",N91)),ISNUMBER(SEARCH("Perdizes",N91))),"SIM","")</f>
        <v/>
      </c>
      <c r="AG91" s="99">
        <f>IF(AND(ISNUMBER(SEARCH("Delivery",N91)),ISNUMBER(SEARCH("Santana",N91))),"SIM","")</f>
        <v/>
      </c>
      <c r="AH91" s="99">
        <f>IF(AND(ISNUMBER(SEARCH("Delivery",N91)),ISNUMBER(SEARCH("André",N91))),"SIM","")</f>
        <v/>
      </c>
      <c r="AI91" s="99">
        <f>IF(ISNUMBER(SEARCH("Interlagos",N91)),"SIM","")</f>
        <v/>
      </c>
      <c r="AJ91" s="99">
        <f>IF(ISNUMBER(SEARCH("Quiosque",N91)),"SIM","")</f>
        <v/>
      </c>
      <c r="AK91" s="101" t="n"/>
    </row>
    <row r="92">
      <c r="A92" s="88" t="inlineStr">
        <is>
          <t>Protheus</t>
        </is>
      </c>
      <c r="B92" s="89" t="inlineStr">
        <is>
          <t>001362</t>
        </is>
      </c>
      <c r="C92" s="90">
        <f>IF(B92="—","—",IFERROR(VLOOKUP(B92,_Protheus_Cadastro!$A:$B,2,FALSE),"—"))</f>
        <v/>
      </c>
      <c r="D92" s="91">
        <f>IF(B92="—",IFERROR(INDEX(_ZIG_Cadastro!$D:$D,MATCH(H92,_ZIG_Cadastro!$A:$A,0)),"Produto"),IFERROR(VLOOKUP(B92,_Protheus_Cadastro!$A:$C,3,FALSE),"—"))</f>
        <v/>
      </c>
      <c r="E92" s="91">
        <f>IF(B92="—","—",IFERROR(VLOOKUP(B92,_Protheus_Cadastro!$A:$D,4,FALSE),"—"))</f>
        <v/>
      </c>
      <c r="F92" s="91">
        <f>IF(ISERROR(VLOOKUP(B92,'Estrutura Protheus'!A:A,1,FALSE)),"Não","Sim")</f>
        <v/>
      </c>
      <c r="G92" s="92">
        <f>IFERROR(INDEX(_Protheus_Cadastro!$H:$H,MATCH(B92,_Protheus_Cadastro!$A:$A,0)),"—")</f>
        <v/>
      </c>
      <c r="H92" s="210">
        <f>IFERROR(INDEX(_ZIG_Precos!$D:$D,MATCH(I92,_ZIG_Precos!$F:$F,0)),"—")</f>
        <v/>
      </c>
      <c r="I92" s="95">
        <f>IFERROR(VLOOKUP(B92,_Protheus_Cadastro!$A:$I,9,FALSE),"—")</f>
        <v/>
      </c>
      <c r="J92" s="93">
        <f>IFERROR(INDEX(_ZIG_Cadastro!$B:$B,MATCH(I92,_ZIG_Cadastro!$A:$A,0)),IFERROR(INDEX(_Entradas_ZIG!$B:$B,MATCH(I92,_Entradas_ZIG!$C:$C,0)),"—"))</f>
        <v/>
      </c>
      <c r="K92" s="93">
        <f>IFERROR(INDEX(_ZIG_Cadastro!$C:$C,MATCH(I92,_ZIG_Cadastro!$A:$A,0)),IFERROR(INDEX(_Entradas_ZIG!$D:$D,MATCH(I92,_Entradas_ZIG!$C:$C,0)),"—"))</f>
        <v/>
      </c>
      <c r="L92" s="92">
        <f>IF(I92="","Sem SKU ZIG",IF(I92="—","Sem SKU ZIG",IF(NOT(ISERROR(MATCH(I92,_ZIG_Cadastro!$A:$A,0))),IF(EXACT(UPPER(TRIM(C92)),UPPER(TRIM(INDEX(_ZIG_Cadastro!$B:$B,MATCH(I92,_ZIG_Cadastro!$A:$A,0))))),"OK","Atencao - Nome diverge"),IF(NOT(ISERROR(MATCH(I92,_Entradas_ZIG!$C:$C,0))),"OK","Erro - SKU nao encontrado"))))</f>
        <v/>
      </c>
      <c r="M92" s="92">
        <f>IFERROR(INDEX(_ZIG_Cadastro!$G:$G,MATCH(I92,_ZIG_Cadastro!$A:$A,0)),IF(NOT(ISERROR(MATCH(I92,_Entradas_ZIG!$C:$C,0))),"Ativo","—"))</f>
        <v/>
      </c>
      <c r="N92" s="94">
        <f>IFERROR(INDEX(_ZIG_Cadastro!$E:$E,MATCH(I92,_ZIG_Cadastro!$A:$A,0)),IFERROR(INDEX(_Entradas_ZIG!$F:$F,MATCH(I92,_Entradas_ZIG!$C:$C,0)),"—"))</f>
        <v/>
      </c>
      <c r="O92" s="92">
        <f>IF(AND(ISNUMBER(SEARCH("Espeto",N92)),ISNUMBER(SEARCH("Carin",N92))),"SIM","")</f>
        <v/>
      </c>
      <c r="P92" s="92">
        <f>IF(AND(ISNUMBER(SEARCH("Espeto",N92)),ISNUMBER(SEARCH("Lapa",N92))),"SIM","")</f>
        <v/>
      </c>
      <c r="Q92" s="92">
        <f>IF(AND(ISNUMBER(SEARCH("Espeto",N92)),ISNUMBER(SEARCH("Tatuapé",N92))),"SIM","")</f>
        <v/>
      </c>
      <c r="R92" s="92">
        <f>IF(AND(ISNUMBER(SEARCH("Espeto",N92)),ISNUMBER(SEARCH("Pavão",N92))),"SIM","")</f>
        <v/>
      </c>
      <c r="S92" s="92">
        <f>IF(AND(ISNUMBER(SEARCH("Espeto",N92)),ISNUMBER(SEARCH("Chac",N92))),"SIM","")</f>
        <v/>
      </c>
      <c r="T92" s="92">
        <f>IF(AND(ISNUMBER(SEARCH("Espeto",N92)),ISNUMBER(SEARCH("Madalena",N92))),"SIM","")</f>
        <v/>
      </c>
      <c r="U92" s="92">
        <f>IF(AND(ISNUMBER(SEARCH("Espeto",N92)),ISNUMBER(SEARCH("Mariana",N92))),"SIM","")</f>
        <v/>
      </c>
      <c r="V92" s="92">
        <f>IF(AND(ISNUMBER(SEARCH("Espeto",N92)),ISNUMBER(SEARCH("Perdizes",N92))),"SIM","")</f>
        <v/>
      </c>
      <c r="W92" s="92">
        <f>IF(AND(ISNUMBER(SEARCH("Espeto",N92)),ISNUMBER(SEARCH("Santana",N92))),"SIM","")</f>
        <v/>
      </c>
      <c r="X92" s="92">
        <f>IF(AND(ISNUMBER(SEARCH("Espeto",N92)),ISNUMBER(SEARCH("André",N92))),"SIM","")</f>
        <v/>
      </c>
      <c r="Y92" s="92">
        <f>IF(AND(ISNUMBER(SEARCH("Delivery",N92)),ISNUMBER(SEARCH("Carin",N92))),"SIM","")</f>
        <v/>
      </c>
      <c r="Z92" s="92">
        <f>IF(AND(ISNUMBER(SEARCH("Delivery",N92)),ISNUMBER(SEARCH("Lapa",N92))),"SIM","")</f>
        <v/>
      </c>
      <c r="AA92" s="92">
        <f>IF(AND(ISNUMBER(SEARCH("Delivery",N92)),ISNUMBER(SEARCH("Tatuapé",N92))),"SIM","")</f>
        <v/>
      </c>
      <c r="AB92" s="92">
        <f>IF(AND(ISNUMBER(SEARCH("Delivery",N92)),ISNUMBER(SEARCH("Pavão",N92))),"SIM","")</f>
        <v/>
      </c>
      <c r="AC92" s="92">
        <f>IF(AND(ISNUMBER(SEARCH("Delivery",N92)),ISNUMBER(SEARCH("Chac",N92))),"SIM","")</f>
        <v/>
      </c>
      <c r="AD92" s="92">
        <f>IF(AND(ISNUMBER(SEARCH("Delivery",N92)),ISNUMBER(SEARCH("Madalena",N92))),"SIM","")</f>
        <v/>
      </c>
      <c r="AE92" s="92">
        <f>IF(AND(ISNUMBER(SEARCH("Delivery",N92)),ISNUMBER(SEARCH("Mariana",N92))),"SIM","")</f>
        <v/>
      </c>
      <c r="AF92" s="92">
        <f>IF(AND(ISNUMBER(SEARCH("Delivery",N92)),ISNUMBER(SEARCH("Perdizes",N92))),"SIM","")</f>
        <v/>
      </c>
      <c r="AG92" s="92">
        <f>IF(AND(ISNUMBER(SEARCH("Delivery",N92)),ISNUMBER(SEARCH("Santana",N92))),"SIM","")</f>
        <v/>
      </c>
      <c r="AH92" s="92">
        <f>IF(AND(ISNUMBER(SEARCH("Delivery",N92)),ISNUMBER(SEARCH("André",N92))),"SIM","")</f>
        <v/>
      </c>
      <c r="AI92" s="92">
        <f>IF(ISNUMBER(SEARCH("Interlagos",N92)),"SIM","")</f>
        <v/>
      </c>
      <c r="AJ92" s="92">
        <f>IF(ISNUMBER(SEARCH("Quiosque",N92)),"SIM","")</f>
        <v/>
      </c>
      <c r="AK92" s="93" t="n"/>
    </row>
    <row r="93">
      <c r="A93" s="88" t="inlineStr">
        <is>
          <t>Protheus</t>
        </is>
      </c>
      <c r="B93" s="96" t="inlineStr">
        <is>
          <t>000766</t>
        </is>
      </c>
      <c r="C93" s="97">
        <f>IF(B93="—","—",IFERROR(VLOOKUP(B93,_Protheus_Cadastro!$A:$B,2,FALSE),"—"))</f>
        <v/>
      </c>
      <c r="D93" s="98">
        <f>IF(B93="—",IFERROR(INDEX(_ZIG_Cadastro!$D:$D,MATCH(H93,_ZIG_Cadastro!$A:$A,0)),"Produto"),IFERROR(VLOOKUP(B93,_Protheus_Cadastro!$A:$C,3,FALSE),"—"))</f>
        <v/>
      </c>
      <c r="E93" s="98">
        <f>IF(B93="—","—",IFERROR(VLOOKUP(B93,_Protheus_Cadastro!$A:$D,4,FALSE),"—"))</f>
        <v/>
      </c>
      <c r="F93" s="98">
        <f>IF(ISERROR(VLOOKUP(B93,'Estrutura Protheus'!A:A,1,FALSE)),"Não","Sim")</f>
        <v/>
      </c>
      <c r="G93" s="99">
        <f>IFERROR(INDEX(_Protheus_Cadastro!$H:$H,MATCH(B93,_Protheus_Cadastro!$A:$A,0)),"—")</f>
        <v/>
      </c>
      <c r="H93" s="211">
        <f>IFERROR(INDEX(_ZIG_Precos!$D:$D,MATCH(I93,_ZIG_Precos!$F:$F,0)),"—")</f>
        <v/>
      </c>
      <c r="I93" s="103">
        <f>IFERROR(VLOOKUP(B93,_Protheus_Cadastro!$A:$I,9,FALSE),"—")</f>
        <v/>
      </c>
      <c r="J93" s="101">
        <f>IFERROR(INDEX(_ZIG_Cadastro!$B:$B,MATCH(I93,_ZIG_Cadastro!$A:$A,0)),IFERROR(INDEX(_Entradas_ZIG!$B:$B,MATCH(I93,_Entradas_ZIG!$C:$C,0)),"—"))</f>
        <v/>
      </c>
      <c r="K93" s="101">
        <f>IFERROR(INDEX(_ZIG_Cadastro!$C:$C,MATCH(I93,_ZIG_Cadastro!$A:$A,0)),IFERROR(INDEX(_Entradas_ZIG!$D:$D,MATCH(I93,_Entradas_ZIG!$C:$C,0)),"—"))</f>
        <v/>
      </c>
      <c r="L93" s="99">
        <f>IF(I93="","Sem SKU ZIG",IF(I93="—","Sem SKU ZIG",IF(NOT(ISERROR(MATCH(I93,_ZIG_Cadastro!$A:$A,0))),IF(EXACT(UPPER(TRIM(C93)),UPPER(TRIM(INDEX(_ZIG_Cadastro!$B:$B,MATCH(I93,_ZIG_Cadastro!$A:$A,0))))),"OK","Atencao - Nome diverge"),IF(NOT(ISERROR(MATCH(I93,_Entradas_ZIG!$C:$C,0))),"OK","Erro - SKU nao encontrado"))))</f>
        <v/>
      </c>
      <c r="M93" s="99">
        <f>IFERROR(INDEX(_ZIG_Cadastro!$G:$G,MATCH(I93,_ZIG_Cadastro!$A:$A,0)),IF(NOT(ISERROR(MATCH(I93,_Entradas_ZIG!$C:$C,0))),"Ativo","—"))</f>
        <v/>
      </c>
      <c r="N93" s="102">
        <f>IFERROR(INDEX(_ZIG_Cadastro!$E:$E,MATCH(I93,_ZIG_Cadastro!$A:$A,0)),IFERROR(INDEX(_Entradas_ZIG!$F:$F,MATCH(I93,_Entradas_ZIG!$C:$C,0)),"—"))</f>
        <v/>
      </c>
      <c r="O93" s="99">
        <f>IF(AND(ISNUMBER(SEARCH("Espeto",N93)),ISNUMBER(SEARCH("Carin",N93))),"SIM","")</f>
        <v/>
      </c>
      <c r="P93" s="99">
        <f>IF(AND(ISNUMBER(SEARCH("Espeto",N93)),ISNUMBER(SEARCH("Lapa",N93))),"SIM","")</f>
        <v/>
      </c>
      <c r="Q93" s="99">
        <f>IF(AND(ISNUMBER(SEARCH("Espeto",N93)),ISNUMBER(SEARCH("Tatuapé",N93))),"SIM","")</f>
        <v/>
      </c>
      <c r="R93" s="99">
        <f>IF(AND(ISNUMBER(SEARCH("Espeto",N93)),ISNUMBER(SEARCH("Pavão",N93))),"SIM","")</f>
        <v/>
      </c>
      <c r="S93" s="99">
        <f>IF(AND(ISNUMBER(SEARCH("Espeto",N93)),ISNUMBER(SEARCH("Chac",N93))),"SIM","")</f>
        <v/>
      </c>
      <c r="T93" s="99">
        <f>IF(AND(ISNUMBER(SEARCH("Espeto",N93)),ISNUMBER(SEARCH("Madalena",N93))),"SIM","")</f>
        <v/>
      </c>
      <c r="U93" s="99">
        <f>IF(AND(ISNUMBER(SEARCH("Espeto",N93)),ISNUMBER(SEARCH("Mariana",N93))),"SIM","")</f>
        <v/>
      </c>
      <c r="V93" s="99">
        <f>IF(AND(ISNUMBER(SEARCH("Espeto",N93)),ISNUMBER(SEARCH("Perdizes",N93))),"SIM","")</f>
        <v/>
      </c>
      <c r="W93" s="99">
        <f>IF(AND(ISNUMBER(SEARCH("Espeto",N93)),ISNUMBER(SEARCH("Santana",N93))),"SIM","")</f>
        <v/>
      </c>
      <c r="X93" s="99">
        <f>IF(AND(ISNUMBER(SEARCH("Espeto",N93)),ISNUMBER(SEARCH("André",N93))),"SIM","")</f>
        <v/>
      </c>
      <c r="Y93" s="99">
        <f>IF(AND(ISNUMBER(SEARCH("Delivery",N93)),ISNUMBER(SEARCH("Carin",N93))),"SIM","")</f>
        <v/>
      </c>
      <c r="Z93" s="99">
        <f>IF(AND(ISNUMBER(SEARCH("Delivery",N93)),ISNUMBER(SEARCH("Lapa",N93))),"SIM","")</f>
        <v/>
      </c>
      <c r="AA93" s="99">
        <f>IF(AND(ISNUMBER(SEARCH("Delivery",N93)),ISNUMBER(SEARCH("Tatuapé",N93))),"SIM","")</f>
        <v/>
      </c>
      <c r="AB93" s="99">
        <f>IF(AND(ISNUMBER(SEARCH("Delivery",N93)),ISNUMBER(SEARCH("Pavão",N93))),"SIM","")</f>
        <v/>
      </c>
      <c r="AC93" s="99">
        <f>IF(AND(ISNUMBER(SEARCH("Delivery",N93)),ISNUMBER(SEARCH("Chac",N93))),"SIM","")</f>
        <v/>
      </c>
      <c r="AD93" s="99">
        <f>IF(AND(ISNUMBER(SEARCH("Delivery",N93)),ISNUMBER(SEARCH("Madalena",N93))),"SIM","")</f>
        <v/>
      </c>
      <c r="AE93" s="99">
        <f>IF(AND(ISNUMBER(SEARCH("Delivery",N93)),ISNUMBER(SEARCH("Mariana",N93))),"SIM","")</f>
        <v/>
      </c>
      <c r="AF93" s="99">
        <f>IF(AND(ISNUMBER(SEARCH("Delivery",N93)),ISNUMBER(SEARCH("Perdizes",N93))),"SIM","")</f>
        <v/>
      </c>
      <c r="AG93" s="99">
        <f>IF(AND(ISNUMBER(SEARCH("Delivery",N93)),ISNUMBER(SEARCH("Santana",N93))),"SIM","")</f>
        <v/>
      </c>
      <c r="AH93" s="99">
        <f>IF(AND(ISNUMBER(SEARCH("Delivery",N93)),ISNUMBER(SEARCH("André",N93))),"SIM","")</f>
        <v/>
      </c>
      <c r="AI93" s="99">
        <f>IF(ISNUMBER(SEARCH("Interlagos",N93)),"SIM","")</f>
        <v/>
      </c>
      <c r="AJ93" s="99">
        <f>IF(ISNUMBER(SEARCH("Quiosque",N93)),"SIM","")</f>
        <v/>
      </c>
      <c r="AK93" s="101" t="n"/>
    </row>
    <row r="94">
      <c r="A94" s="88" t="inlineStr">
        <is>
          <t>Protheus</t>
        </is>
      </c>
      <c r="B94" s="89" t="inlineStr">
        <is>
          <t>001504</t>
        </is>
      </c>
      <c r="C94" s="90">
        <f>IF(B94="—","—",IFERROR(VLOOKUP(B94,_Protheus_Cadastro!$A:$B,2,FALSE),"—"))</f>
        <v/>
      </c>
      <c r="D94" s="91">
        <f>IF(B94="—",IFERROR(INDEX(_ZIG_Cadastro!$D:$D,MATCH(H94,_ZIG_Cadastro!$A:$A,0)),"Produto"),IFERROR(VLOOKUP(B94,_Protheus_Cadastro!$A:$C,3,FALSE),"—"))</f>
        <v/>
      </c>
      <c r="E94" s="91">
        <f>IF(B94="—","—",IFERROR(VLOOKUP(B94,_Protheus_Cadastro!$A:$D,4,FALSE),"—"))</f>
        <v/>
      </c>
      <c r="F94" s="91">
        <f>IF(ISERROR(VLOOKUP(B94,'Estrutura Protheus'!A:A,1,FALSE)),"Não","Sim")</f>
        <v/>
      </c>
      <c r="G94" s="92">
        <f>IFERROR(INDEX(_Protheus_Cadastro!$H:$H,MATCH(B94,_Protheus_Cadastro!$A:$A,0)),"—")</f>
        <v/>
      </c>
      <c r="H94" s="210">
        <f>IFERROR(INDEX(_ZIG_Precos!$D:$D,MATCH(I94,_ZIG_Precos!$F:$F,0)),"—")</f>
        <v/>
      </c>
      <c r="I94" s="95">
        <f>IFERROR(VLOOKUP(B94,_Protheus_Cadastro!$A:$I,9,FALSE),"—")</f>
        <v/>
      </c>
      <c r="J94" s="93">
        <f>IFERROR(INDEX(_ZIG_Cadastro!$B:$B,MATCH(I94,_ZIG_Cadastro!$A:$A,0)),IFERROR(INDEX(_Entradas_ZIG!$B:$B,MATCH(I94,_Entradas_ZIG!$C:$C,0)),"—"))</f>
        <v/>
      </c>
      <c r="K94" s="93">
        <f>IFERROR(INDEX(_ZIG_Cadastro!$C:$C,MATCH(I94,_ZIG_Cadastro!$A:$A,0)),IFERROR(INDEX(_Entradas_ZIG!$D:$D,MATCH(I94,_Entradas_ZIG!$C:$C,0)),"—"))</f>
        <v/>
      </c>
      <c r="L94" s="92">
        <f>IF(I94="","Sem SKU ZIG",IF(I94="—","Sem SKU ZIG",IF(NOT(ISERROR(MATCH(I94,_ZIG_Cadastro!$A:$A,0))),IF(EXACT(UPPER(TRIM(C94)),UPPER(TRIM(INDEX(_ZIG_Cadastro!$B:$B,MATCH(I94,_ZIG_Cadastro!$A:$A,0))))),"OK","Atencao - Nome diverge"),IF(NOT(ISERROR(MATCH(I94,_Entradas_ZIG!$C:$C,0))),"OK","Erro - SKU nao encontrado"))))</f>
        <v/>
      </c>
      <c r="M94" s="92">
        <f>IFERROR(INDEX(_ZIG_Cadastro!$G:$G,MATCH(I94,_ZIG_Cadastro!$A:$A,0)),IF(NOT(ISERROR(MATCH(I94,_Entradas_ZIG!$C:$C,0))),"Ativo","—"))</f>
        <v/>
      </c>
      <c r="N94" s="94">
        <f>IFERROR(INDEX(_ZIG_Cadastro!$E:$E,MATCH(I94,_ZIG_Cadastro!$A:$A,0)),IFERROR(INDEX(_Entradas_ZIG!$F:$F,MATCH(I94,_Entradas_ZIG!$C:$C,0)),"—"))</f>
        <v/>
      </c>
      <c r="O94" s="92">
        <f>IF(AND(ISNUMBER(SEARCH("Espeto",N94)),ISNUMBER(SEARCH("Carin",N94))),"SIM","")</f>
        <v/>
      </c>
      <c r="P94" s="92">
        <f>IF(AND(ISNUMBER(SEARCH("Espeto",N94)),ISNUMBER(SEARCH("Lapa",N94))),"SIM","")</f>
        <v/>
      </c>
      <c r="Q94" s="92">
        <f>IF(AND(ISNUMBER(SEARCH("Espeto",N94)),ISNUMBER(SEARCH("Tatuapé",N94))),"SIM","")</f>
        <v/>
      </c>
      <c r="R94" s="92">
        <f>IF(AND(ISNUMBER(SEARCH("Espeto",N94)),ISNUMBER(SEARCH("Pavão",N94))),"SIM","")</f>
        <v/>
      </c>
      <c r="S94" s="92">
        <f>IF(AND(ISNUMBER(SEARCH("Espeto",N94)),ISNUMBER(SEARCH("Chac",N94))),"SIM","")</f>
        <v/>
      </c>
      <c r="T94" s="92">
        <f>IF(AND(ISNUMBER(SEARCH("Espeto",N94)),ISNUMBER(SEARCH("Madalena",N94))),"SIM","")</f>
        <v/>
      </c>
      <c r="U94" s="92">
        <f>IF(AND(ISNUMBER(SEARCH("Espeto",N94)),ISNUMBER(SEARCH("Mariana",N94))),"SIM","")</f>
        <v/>
      </c>
      <c r="V94" s="92">
        <f>IF(AND(ISNUMBER(SEARCH("Espeto",N94)),ISNUMBER(SEARCH("Perdizes",N94))),"SIM","")</f>
        <v/>
      </c>
      <c r="W94" s="92">
        <f>IF(AND(ISNUMBER(SEARCH("Espeto",N94)),ISNUMBER(SEARCH("Santana",N94))),"SIM","")</f>
        <v/>
      </c>
      <c r="X94" s="92">
        <f>IF(AND(ISNUMBER(SEARCH("Espeto",N94)),ISNUMBER(SEARCH("André",N94))),"SIM","")</f>
        <v/>
      </c>
      <c r="Y94" s="92">
        <f>IF(AND(ISNUMBER(SEARCH("Delivery",N94)),ISNUMBER(SEARCH("Carin",N94))),"SIM","")</f>
        <v/>
      </c>
      <c r="Z94" s="92">
        <f>IF(AND(ISNUMBER(SEARCH("Delivery",N94)),ISNUMBER(SEARCH("Lapa",N94))),"SIM","")</f>
        <v/>
      </c>
      <c r="AA94" s="92">
        <f>IF(AND(ISNUMBER(SEARCH("Delivery",N94)),ISNUMBER(SEARCH("Tatuapé",N94))),"SIM","")</f>
        <v/>
      </c>
      <c r="AB94" s="92">
        <f>IF(AND(ISNUMBER(SEARCH("Delivery",N94)),ISNUMBER(SEARCH("Pavão",N94))),"SIM","")</f>
        <v/>
      </c>
      <c r="AC94" s="92">
        <f>IF(AND(ISNUMBER(SEARCH("Delivery",N94)),ISNUMBER(SEARCH("Chac",N94))),"SIM","")</f>
        <v/>
      </c>
      <c r="AD94" s="92">
        <f>IF(AND(ISNUMBER(SEARCH("Delivery",N94)),ISNUMBER(SEARCH("Madalena",N94))),"SIM","")</f>
        <v/>
      </c>
      <c r="AE94" s="92">
        <f>IF(AND(ISNUMBER(SEARCH("Delivery",N94)),ISNUMBER(SEARCH("Mariana",N94))),"SIM","")</f>
        <v/>
      </c>
      <c r="AF94" s="92">
        <f>IF(AND(ISNUMBER(SEARCH("Delivery",N94)),ISNUMBER(SEARCH("Perdizes",N94))),"SIM","")</f>
        <v/>
      </c>
      <c r="AG94" s="92">
        <f>IF(AND(ISNUMBER(SEARCH("Delivery",N94)),ISNUMBER(SEARCH("Santana",N94))),"SIM","")</f>
        <v/>
      </c>
      <c r="AH94" s="92">
        <f>IF(AND(ISNUMBER(SEARCH("Delivery",N94)),ISNUMBER(SEARCH("André",N94))),"SIM","")</f>
        <v/>
      </c>
      <c r="AI94" s="92">
        <f>IF(ISNUMBER(SEARCH("Interlagos",N94)),"SIM","")</f>
        <v/>
      </c>
      <c r="AJ94" s="92">
        <f>IF(ISNUMBER(SEARCH("Quiosque",N94)),"SIM","")</f>
        <v/>
      </c>
      <c r="AK94" s="93" t="n"/>
    </row>
    <row r="95">
      <c r="A95" s="88" t="inlineStr">
        <is>
          <t>Protheus</t>
        </is>
      </c>
      <c r="B95" s="96" t="inlineStr">
        <is>
          <t>000769</t>
        </is>
      </c>
      <c r="C95" s="97">
        <f>IF(B95="—","—",IFERROR(VLOOKUP(B95,_Protheus_Cadastro!$A:$B,2,FALSE),"—"))</f>
        <v/>
      </c>
      <c r="D95" s="98">
        <f>IF(B95="—",IFERROR(INDEX(_ZIG_Cadastro!$D:$D,MATCH(H95,_ZIG_Cadastro!$A:$A,0)),"Produto"),IFERROR(VLOOKUP(B95,_Protheus_Cadastro!$A:$C,3,FALSE),"—"))</f>
        <v/>
      </c>
      <c r="E95" s="98">
        <f>IF(B95="—","—",IFERROR(VLOOKUP(B95,_Protheus_Cadastro!$A:$D,4,FALSE),"—"))</f>
        <v/>
      </c>
      <c r="F95" s="98">
        <f>IF(ISERROR(VLOOKUP(B95,'Estrutura Protheus'!A:A,1,FALSE)),"Não","Sim")</f>
        <v/>
      </c>
      <c r="G95" s="99">
        <f>IFERROR(INDEX(_Protheus_Cadastro!$H:$H,MATCH(B95,_Protheus_Cadastro!$A:$A,0)),"—")</f>
        <v/>
      </c>
      <c r="H95" s="211">
        <f>IFERROR(INDEX(_ZIG_Precos!$D:$D,MATCH(I95,_ZIG_Precos!$F:$F,0)),"—")</f>
        <v/>
      </c>
      <c r="I95" s="103">
        <f>IFERROR(VLOOKUP(B95,_Protheus_Cadastro!$A:$I,9,FALSE),"—")</f>
        <v/>
      </c>
      <c r="J95" s="101">
        <f>IFERROR(INDEX(_ZIG_Cadastro!$B:$B,MATCH(I95,_ZIG_Cadastro!$A:$A,0)),IFERROR(INDEX(_Entradas_ZIG!$B:$B,MATCH(I95,_Entradas_ZIG!$C:$C,0)),"—"))</f>
        <v/>
      </c>
      <c r="K95" s="101">
        <f>IFERROR(INDEX(_ZIG_Cadastro!$C:$C,MATCH(I95,_ZIG_Cadastro!$A:$A,0)),IFERROR(INDEX(_Entradas_ZIG!$D:$D,MATCH(I95,_Entradas_ZIG!$C:$C,0)),"—"))</f>
        <v/>
      </c>
      <c r="L95" s="99">
        <f>IF(I95="","Sem SKU ZIG",IF(I95="—","Sem SKU ZIG",IF(NOT(ISERROR(MATCH(I95,_ZIG_Cadastro!$A:$A,0))),IF(EXACT(UPPER(TRIM(C95)),UPPER(TRIM(INDEX(_ZIG_Cadastro!$B:$B,MATCH(I95,_ZIG_Cadastro!$A:$A,0))))),"OK","Atencao - Nome diverge"),IF(NOT(ISERROR(MATCH(I95,_Entradas_ZIG!$C:$C,0))),"OK","Erro - SKU nao encontrado"))))</f>
        <v/>
      </c>
      <c r="M95" s="99">
        <f>IFERROR(INDEX(_ZIG_Cadastro!$G:$G,MATCH(I95,_ZIG_Cadastro!$A:$A,0)),IF(NOT(ISERROR(MATCH(I95,_Entradas_ZIG!$C:$C,0))),"Ativo","—"))</f>
        <v/>
      </c>
      <c r="N95" s="102">
        <f>IFERROR(INDEX(_ZIG_Cadastro!$E:$E,MATCH(I95,_ZIG_Cadastro!$A:$A,0)),IFERROR(INDEX(_Entradas_ZIG!$F:$F,MATCH(I95,_Entradas_ZIG!$C:$C,0)),"—"))</f>
        <v/>
      </c>
      <c r="O95" s="99">
        <f>IF(AND(ISNUMBER(SEARCH("Espeto",N95)),ISNUMBER(SEARCH("Carin",N95))),"SIM","")</f>
        <v/>
      </c>
      <c r="P95" s="99">
        <f>IF(AND(ISNUMBER(SEARCH("Espeto",N95)),ISNUMBER(SEARCH("Lapa",N95))),"SIM","")</f>
        <v/>
      </c>
      <c r="Q95" s="99">
        <f>IF(AND(ISNUMBER(SEARCH("Espeto",N95)),ISNUMBER(SEARCH("Tatuapé",N95))),"SIM","")</f>
        <v/>
      </c>
      <c r="R95" s="99">
        <f>IF(AND(ISNUMBER(SEARCH("Espeto",N95)),ISNUMBER(SEARCH("Pavão",N95))),"SIM","")</f>
        <v/>
      </c>
      <c r="S95" s="99">
        <f>IF(AND(ISNUMBER(SEARCH("Espeto",N95)),ISNUMBER(SEARCH("Chac",N95))),"SIM","")</f>
        <v/>
      </c>
      <c r="T95" s="99">
        <f>IF(AND(ISNUMBER(SEARCH("Espeto",N95)),ISNUMBER(SEARCH("Madalena",N95))),"SIM","")</f>
        <v/>
      </c>
      <c r="U95" s="99">
        <f>IF(AND(ISNUMBER(SEARCH("Espeto",N95)),ISNUMBER(SEARCH("Mariana",N95))),"SIM","")</f>
        <v/>
      </c>
      <c r="V95" s="99">
        <f>IF(AND(ISNUMBER(SEARCH("Espeto",N95)),ISNUMBER(SEARCH("Perdizes",N95))),"SIM","")</f>
        <v/>
      </c>
      <c r="W95" s="99">
        <f>IF(AND(ISNUMBER(SEARCH("Espeto",N95)),ISNUMBER(SEARCH("Santana",N95))),"SIM","")</f>
        <v/>
      </c>
      <c r="X95" s="99">
        <f>IF(AND(ISNUMBER(SEARCH("Espeto",N95)),ISNUMBER(SEARCH("André",N95))),"SIM","")</f>
        <v/>
      </c>
      <c r="Y95" s="99">
        <f>IF(AND(ISNUMBER(SEARCH("Delivery",N95)),ISNUMBER(SEARCH("Carin",N95))),"SIM","")</f>
        <v/>
      </c>
      <c r="Z95" s="99">
        <f>IF(AND(ISNUMBER(SEARCH("Delivery",N95)),ISNUMBER(SEARCH("Lapa",N95))),"SIM","")</f>
        <v/>
      </c>
      <c r="AA95" s="99">
        <f>IF(AND(ISNUMBER(SEARCH("Delivery",N95)),ISNUMBER(SEARCH("Tatuapé",N95))),"SIM","")</f>
        <v/>
      </c>
      <c r="AB95" s="99">
        <f>IF(AND(ISNUMBER(SEARCH("Delivery",N95)),ISNUMBER(SEARCH("Pavão",N95))),"SIM","")</f>
        <v/>
      </c>
      <c r="AC95" s="99">
        <f>IF(AND(ISNUMBER(SEARCH("Delivery",N95)),ISNUMBER(SEARCH("Chac",N95))),"SIM","")</f>
        <v/>
      </c>
      <c r="AD95" s="99">
        <f>IF(AND(ISNUMBER(SEARCH("Delivery",N95)),ISNUMBER(SEARCH("Madalena",N95))),"SIM","")</f>
        <v/>
      </c>
      <c r="AE95" s="99">
        <f>IF(AND(ISNUMBER(SEARCH("Delivery",N95)),ISNUMBER(SEARCH("Mariana",N95))),"SIM","")</f>
        <v/>
      </c>
      <c r="AF95" s="99">
        <f>IF(AND(ISNUMBER(SEARCH("Delivery",N95)),ISNUMBER(SEARCH("Perdizes",N95))),"SIM","")</f>
        <v/>
      </c>
      <c r="AG95" s="99">
        <f>IF(AND(ISNUMBER(SEARCH("Delivery",N95)),ISNUMBER(SEARCH("Santana",N95))),"SIM","")</f>
        <v/>
      </c>
      <c r="AH95" s="99">
        <f>IF(AND(ISNUMBER(SEARCH("Delivery",N95)),ISNUMBER(SEARCH("André",N95))),"SIM","")</f>
        <v/>
      </c>
      <c r="AI95" s="99">
        <f>IF(ISNUMBER(SEARCH("Interlagos",N95)),"SIM","")</f>
        <v/>
      </c>
      <c r="AJ95" s="99">
        <f>IF(ISNUMBER(SEARCH("Quiosque",N95)),"SIM","")</f>
        <v/>
      </c>
      <c r="AK95" s="101" t="n"/>
    </row>
    <row r="96">
      <c r="A96" s="88" t="inlineStr">
        <is>
          <t>Protheus</t>
        </is>
      </c>
      <c r="B96" s="89" t="inlineStr">
        <is>
          <t>010224</t>
        </is>
      </c>
      <c r="C96" s="90">
        <f>IF(B96="—","—",IFERROR(VLOOKUP(B96,_Protheus_Cadastro!$A:$B,2,FALSE),"—"))</f>
        <v/>
      </c>
      <c r="D96" s="91">
        <f>IF(B96="—",IFERROR(INDEX(_ZIG_Cadastro!$D:$D,MATCH(H96,_ZIG_Cadastro!$A:$A,0)),"Produto"),IFERROR(VLOOKUP(B96,_Protheus_Cadastro!$A:$C,3,FALSE),"—"))</f>
        <v/>
      </c>
      <c r="E96" s="91">
        <f>IF(B96="—","—",IFERROR(VLOOKUP(B96,_Protheus_Cadastro!$A:$D,4,FALSE),"—"))</f>
        <v/>
      </c>
      <c r="F96" s="91">
        <f>IF(ISERROR(VLOOKUP(B96,'Estrutura Protheus'!A:A,1,FALSE)),"Não","Sim")</f>
        <v/>
      </c>
      <c r="G96" s="92">
        <f>IFERROR(INDEX(_Protheus_Cadastro!$H:$H,MATCH(B96,_Protheus_Cadastro!$A:$A,0)),"—")</f>
        <v/>
      </c>
      <c r="H96" s="210">
        <f>IFERROR(INDEX(_ZIG_Precos!$D:$D,MATCH(I96,_ZIG_Precos!$F:$F,0)),"—")</f>
        <v/>
      </c>
      <c r="I96" s="95">
        <f>IFERROR(VLOOKUP(B96,_Protheus_Cadastro!$A:$I,9,FALSE),"—")</f>
        <v/>
      </c>
      <c r="J96" s="93">
        <f>IFERROR(INDEX(_ZIG_Cadastro!$B:$B,MATCH(I96,_ZIG_Cadastro!$A:$A,0)),IFERROR(INDEX(_Entradas_ZIG!$B:$B,MATCH(I96,_Entradas_ZIG!$C:$C,0)),"—"))</f>
        <v/>
      </c>
      <c r="K96" s="93">
        <f>IFERROR(INDEX(_ZIG_Cadastro!$C:$C,MATCH(I96,_ZIG_Cadastro!$A:$A,0)),IFERROR(INDEX(_Entradas_ZIG!$D:$D,MATCH(I96,_Entradas_ZIG!$C:$C,0)),"—"))</f>
        <v/>
      </c>
      <c r="L96" s="92">
        <f>IF(I96="","Sem SKU ZIG",IF(I96="—","Sem SKU ZIG",IF(NOT(ISERROR(MATCH(I96,_ZIG_Cadastro!$A:$A,0))),IF(EXACT(UPPER(TRIM(C96)),UPPER(TRIM(INDEX(_ZIG_Cadastro!$B:$B,MATCH(I96,_ZIG_Cadastro!$A:$A,0))))),"OK","Atencao - Nome diverge"),IF(NOT(ISERROR(MATCH(I96,_Entradas_ZIG!$C:$C,0))),"OK","Erro - SKU nao encontrado"))))</f>
        <v/>
      </c>
      <c r="M96" s="92">
        <f>IFERROR(INDEX(_ZIG_Cadastro!$G:$G,MATCH(I96,_ZIG_Cadastro!$A:$A,0)),IF(NOT(ISERROR(MATCH(I96,_Entradas_ZIG!$C:$C,0))),"Ativo","—"))</f>
        <v/>
      </c>
      <c r="N96" s="94">
        <f>IFERROR(INDEX(_ZIG_Cadastro!$E:$E,MATCH(I96,_ZIG_Cadastro!$A:$A,0)),IFERROR(INDEX(_Entradas_ZIG!$F:$F,MATCH(I96,_Entradas_ZIG!$C:$C,0)),"—"))</f>
        <v/>
      </c>
      <c r="O96" s="92">
        <f>IF(AND(ISNUMBER(SEARCH("Espeto",N96)),ISNUMBER(SEARCH("Carin",N96))),"SIM","")</f>
        <v/>
      </c>
      <c r="P96" s="92">
        <f>IF(AND(ISNUMBER(SEARCH("Espeto",N96)),ISNUMBER(SEARCH("Lapa",N96))),"SIM","")</f>
        <v/>
      </c>
      <c r="Q96" s="92">
        <f>IF(AND(ISNUMBER(SEARCH("Espeto",N96)),ISNUMBER(SEARCH("Tatuapé",N96))),"SIM","")</f>
        <v/>
      </c>
      <c r="R96" s="92">
        <f>IF(AND(ISNUMBER(SEARCH("Espeto",N96)),ISNUMBER(SEARCH("Pavão",N96))),"SIM","")</f>
        <v/>
      </c>
      <c r="S96" s="92">
        <f>IF(AND(ISNUMBER(SEARCH("Espeto",N96)),ISNUMBER(SEARCH("Chac",N96))),"SIM","")</f>
        <v/>
      </c>
      <c r="T96" s="92">
        <f>IF(AND(ISNUMBER(SEARCH("Espeto",N96)),ISNUMBER(SEARCH("Madalena",N96))),"SIM","")</f>
        <v/>
      </c>
      <c r="U96" s="92">
        <f>IF(AND(ISNUMBER(SEARCH("Espeto",N96)),ISNUMBER(SEARCH("Mariana",N96))),"SIM","")</f>
        <v/>
      </c>
      <c r="V96" s="92">
        <f>IF(AND(ISNUMBER(SEARCH("Espeto",N96)),ISNUMBER(SEARCH("Perdizes",N96))),"SIM","")</f>
        <v/>
      </c>
      <c r="W96" s="92">
        <f>IF(AND(ISNUMBER(SEARCH("Espeto",N96)),ISNUMBER(SEARCH("Santana",N96))),"SIM","")</f>
        <v/>
      </c>
      <c r="X96" s="92">
        <f>IF(AND(ISNUMBER(SEARCH("Espeto",N96)),ISNUMBER(SEARCH("André",N96))),"SIM","")</f>
        <v/>
      </c>
      <c r="Y96" s="92">
        <f>IF(AND(ISNUMBER(SEARCH("Delivery",N96)),ISNUMBER(SEARCH("Carin",N96))),"SIM","")</f>
        <v/>
      </c>
      <c r="Z96" s="92">
        <f>IF(AND(ISNUMBER(SEARCH("Delivery",N96)),ISNUMBER(SEARCH("Lapa",N96))),"SIM","")</f>
        <v/>
      </c>
      <c r="AA96" s="92">
        <f>IF(AND(ISNUMBER(SEARCH("Delivery",N96)),ISNUMBER(SEARCH("Tatuapé",N96))),"SIM","")</f>
        <v/>
      </c>
      <c r="AB96" s="92">
        <f>IF(AND(ISNUMBER(SEARCH("Delivery",N96)),ISNUMBER(SEARCH("Pavão",N96))),"SIM","")</f>
        <v/>
      </c>
      <c r="AC96" s="92">
        <f>IF(AND(ISNUMBER(SEARCH("Delivery",N96)),ISNUMBER(SEARCH("Chac",N96))),"SIM","")</f>
        <v/>
      </c>
      <c r="AD96" s="92">
        <f>IF(AND(ISNUMBER(SEARCH("Delivery",N96)),ISNUMBER(SEARCH("Madalena",N96))),"SIM","")</f>
        <v/>
      </c>
      <c r="AE96" s="92">
        <f>IF(AND(ISNUMBER(SEARCH("Delivery",N96)),ISNUMBER(SEARCH("Mariana",N96))),"SIM","")</f>
        <v/>
      </c>
      <c r="AF96" s="92">
        <f>IF(AND(ISNUMBER(SEARCH("Delivery",N96)),ISNUMBER(SEARCH("Perdizes",N96))),"SIM","")</f>
        <v/>
      </c>
      <c r="AG96" s="92">
        <f>IF(AND(ISNUMBER(SEARCH("Delivery",N96)),ISNUMBER(SEARCH("Santana",N96))),"SIM","")</f>
        <v/>
      </c>
      <c r="AH96" s="92">
        <f>IF(AND(ISNUMBER(SEARCH("Delivery",N96)),ISNUMBER(SEARCH("André",N96))),"SIM","")</f>
        <v/>
      </c>
      <c r="AI96" s="92">
        <f>IF(ISNUMBER(SEARCH("Interlagos",N96)),"SIM","")</f>
        <v/>
      </c>
      <c r="AJ96" s="92">
        <f>IF(ISNUMBER(SEARCH("Quiosque",N96)),"SIM","")</f>
        <v/>
      </c>
      <c r="AK96" s="93" t="n"/>
    </row>
    <row r="97">
      <c r="A97" s="88" t="inlineStr">
        <is>
          <t>Protheus</t>
        </is>
      </c>
      <c r="B97" s="96" t="inlineStr">
        <is>
          <t>002007</t>
        </is>
      </c>
      <c r="C97" s="97">
        <f>IF(B97="—","—",IFERROR(VLOOKUP(B97,_Protheus_Cadastro!$A:$B,2,FALSE),"—"))</f>
        <v/>
      </c>
      <c r="D97" s="98">
        <f>IF(B97="—",IFERROR(INDEX(_ZIG_Cadastro!$D:$D,MATCH(H97,_ZIG_Cadastro!$A:$A,0)),"Produto"),IFERROR(VLOOKUP(B97,_Protheus_Cadastro!$A:$C,3,FALSE),"—"))</f>
        <v/>
      </c>
      <c r="E97" s="98">
        <f>IF(B97="—","—",IFERROR(VLOOKUP(B97,_Protheus_Cadastro!$A:$D,4,FALSE),"—"))</f>
        <v/>
      </c>
      <c r="F97" s="98">
        <f>IF(ISERROR(VLOOKUP(B97,'Estrutura Protheus'!A:A,1,FALSE)),"Não","Sim")</f>
        <v/>
      </c>
      <c r="G97" s="99">
        <f>IFERROR(INDEX(_Protheus_Cadastro!$H:$H,MATCH(B97,_Protheus_Cadastro!$A:$A,0)),"—")</f>
        <v/>
      </c>
      <c r="H97" s="211">
        <f>IFERROR(INDEX(_ZIG_Precos!$D:$D,MATCH(I97,_ZIG_Precos!$F:$F,0)),"—")</f>
        <v/>
      </c>
      <c r="I97" s="103">
        <f>IFERROR(VLOOKUP(B97,_Protheus_Cadastro!$A:$I,9,FALSE),"—")</f>
        <v/>
      </c>
      <c r="J97" s="101">
        <f>IFERROR(INDEX(_ZIG_Cadastro!$B:$B,MATCH(I97,_ZIG_Cadastro!$A:$A,0)),IFERROR(INDEX(_Entradas_ZIG!$B:$B,MATCH(I97,_Entradas_ZIG!$C:$C,0)),"—"))</f>
        <v/>
      </c>
      <c r="K97" s="101">
        <f>IFERROR(INDEX(_ZIG_Cadastro!$C:$C,MATCH(I97,_ZIG_Cadastro!$A:$A,0)),IFERROR(INDEX(_Entradas_ZIG!$D:$D,MATCH(I97,_Entradas_ZIG!$C:$C,0)),"—"))</f>
        <v/>
      </c>
      <c r="L97" s="99">
        <f>IF(I97="","Sem SKU ZIG",IF(I97="—","Sem SKU ZIG",IF(NOT(ISERROR(MATCH(I97,_ZIG_Cadastro!$A:$A,0))),IF(EXACT(UPPER(TRIM(C97)),UPPER(TRIM(INDEX(_ZIG_Cadastro!$B:$B,MATCH(I97,_ZIG_Cadastro!$A:$A,0))))),"OK","Atencao - Nome diverge"),IF(NOT(ISERROR(MATCH(I97,_Entradas_ZIG!$C:$C,0))),"OK","Erro - SKU nao encontrado"))))</f>
        <v/>
      </c>
      <c r="M97" s="99">
        <f>IFERROR(INDEX(_ZIG_Cadastro!$G:$G,MATCH(I97,_ZIG_Cadastro!$A:$A,0)),IF(NOT(ISERROR(MATCH(I97,_Entradas_ZIG!$C:$C,0))),"Ativo","—"))</f>
        <v/>
      </c>
      <c r="N97" s="102">
        <f>IFERROR(INDEX(_ZIG_Cadastro!$E:$E,MATCH(I97,_ZIG_Cadastro!$A:$A,0)),IFERROR(INDEX(_Entradas_ZIG!$F:$F,MATCH(I97,_Entradas_ZIG!$C:$C,0)),"—"))</f>
        <v/>
      </c>
      <c r="O97" s="99">
        <f>IF(AND(ISNUMBER(SEARCH("Espeto",N97)),ISNUMBER(SEARCH("Carin",N97))),"SIM","")</f>
        <v/>
      </c>
      <c r="P97" s="99">
        <f>IF(AND(ISNUMBER(SEARCH("Espeto",N97)),ISNUMBER(SEARCH("Lapa",N97))),"SIM","")</f>
        <v/>
      </c>
      <c r="Q97" s="99">
        <f>IF(AND(ISNUMBER(SEARCH("Espeto",N97)),ISNUMBER(SEARCH("Tatuapé",N97))),"SIM","")</f>
        <v/>
      </c>
      <c r="R97" s="99">
        <f>IF(AND(ISNUMBER(SEARCH("Espeto",N97)),ISNUMBER(SEARCH("Pavão",N97))),"SIM","")</f>
        <v/>
      </c>
      <c r="S97" s="99">
        <f>IF(AND(ISNUMBER(SEARCH("Espeto",N97)),ISNUMBER(SEARCH("Chac",N97))),"SIM","")</f>
        <v/>
      </c>
      <c r="T97" s="99">
        <f>IF(AND(ISNUMBER(SEARCH("Espeto",N97)),ISNUMBER(SEARCH("Madalena",N97))),"SIM","")</f>
        <v/>
      </c>
      <c r="U97" s="99">
        <f>IF(AND(ISNUMBER(SEARCH("Espeto",N97)),ISNUMBER(SEARCH("Mariana",N97))),"SIM","")</f>
        <v/>
      </c>
      <c r="V97" s="99">
        <f>IF(AND(ISNUMBER(SEARCH("Espeto",N97)),ISNUMBER(SEARCH("Perdizes",N97))),"SIM","")</f>
        <v/>
      </c>
      <c r="W97" s="99">
        <f>IF(AND(ISNUMBER(SEARCH("Espeto",N97)),ISNUMBER(SEARCH("Santana",N97))),"SIM","")</f>
        <v/>
      </c>
      <c r="X97" s="99">
        <f>IF(AND(ISNUMBER(SEARCH("Espeto",N97)),ISNUMBER(SEARCH("André",N97))),"SIM","")</f>
        <v/>
      </c>
      <c r="Y97" s="99">
        <f>IF(AND(ISNUMBER(SEARCH("Delivery",N97)),ISNUMBER(SEARCH("Carin",N97))),"SIM","")</f>
        <v/>
      </c>
      <c r="Z97" s="99">
        <f>IF(AND(ISNUMBER(SEARCH("Delivery",N97)),ISNUMBER(SEARCH("Lapa",N97))),"SIM","")</f>
        <v/>
      </c>
      <c r="AA97" s="99">
        <f>IF(AND(ISNUMBER(SEARCH("Delivery",N97)),ISNUMBER(SEARCH("Tatuapé",N97))),"SIM","")</f>
        <v/>
      </c>
      <c r="AB97" s="99">
        <f>IF(AND(ISNUMBER(SEARCH("Delivery",N97)),ISNUMBER(SEARCH("Pavão",N97))),"SIM","")</f>
        <v/>
      </c>
      <c r="AC97" s="99">
        <f>IF(AND(ISNUMBER(SEARCH("Delivery",N97)),ISNUMBER(SEARCH("Chac",N97))),"SIM","")</f>
        <v/>
      </c>
      <c r="AD97" s="99">
        <f>IF(AND(ISNUMBER(SEARCH("Delivery",N97)),ISNUMBER(SEARCH("Madalena",N97))),"SIM","")</f>
        <v/>
      </c>
      <c r="AE97" s="99">
        <f>IF(AND(ISNUMBER(SEARCH("Delivery",N97)),ISNUMBER(SEARCH("Mariana",N97))),"SIM","")</f>
        <v/>
      </c>
      <c r="AF97" s="99">
        <f>IF(AND(ISNUMBER(SEARCH("Delivery",N97)),ISNUMBER(SEARCH("Perdizes",N97))),"SIM","")</f>
        <v/>
      </c>
      <c r="AG97" s="99">
        <f>IF(AND(ISNUMBER(SEARCH("Delivery",N97)),ISNUMBER(SEARCH("Santana",N97))),"SIM","")</f>
        <v/>
      </c>
      <c r="AH97" s="99">
        <f>IF(AND(ISNUMBER(SEARCH("Delivery",N97)),ISNUMBER(SEARCH("André",N97))),"SIM","")</f>
        <v/>
      </c>
      <c r="AI97" s="99">
        <f>IF(ISNUMBER(SEARCH("Interlagos",N97)),"SIM","")</f>
        <v/>
      </c>
      <c r="AJ97" s="99">
        <f>IF(ISNUMBER(SEARCH("Quiosque",N97)),"SIM","")</f>
        <v/>
      </c>
      <c r="AK97" s="101" t="n"/>
    </row>
    <row r="98">
      <c r="A98" s="88" t="inlineStr">
        <is>
          <t>Protheus</t>
        </is>
      </c>
      <c r="B98" s="89" t="inlineStr">
        <is>
          <t>001503</t>
        </is>
      </c>
      <c r="C98" s="90">
        <f>IF(B98="—","—",IFERROR(VLOOKUP(B98,_Protheus_Cadastro!$A:$B,2,FALSE),"—"))</f>
        <v/>
      </c>
      <c r="D98" s="91">
        <f>IF(B98="—",IFERROR(INDEX(_ZIG_Cadastro!$D:$D,MATCH(H98,_ZIG_Cadastro!$A:$A,0)),"Produto"),IFERROR(VLOOKUP(B98,_Protheus_Cadastro!$A:$C,3,FALSE),"—"))</f>
        <v/>
      </c>
      <c r="E98" s="91">
        <f>IF(B98="—","—",IFERROR(VLOOKUP(B98,_Protheus_Cadastro!$A:$D,4,FALSE),"—"))</f>
        <v/>
      </c>
      <c r="F98" s="91">
        <f>IF(ISERROR(VLOOKUP(B98,'Estrutura Protheus'!A:A,1,FALSE)),"Não","Sim")</f>
        <v/>
      </c>
      <c r="G98" s="92">
        <f>IFERROR(INDEX(_Protheus_Cadastro!$H:$H,MATCH(B98,_Protheus_Cadastro!$A:$A,0)),"—")</f>
        <v/>
      </c>
      <c r="H98" s="210">
        <f>IFERROR(INDEX(_ZIG_Precos!$D:$D,MATCH(I98,_ZIG_Precos!$F:$F,0)),"—")</f>
        <v/>
      </c>
      <c r="I98" s="95">
        <f>IFERROR(VLOOKUP(B98,_Protheus_Cadastro!$A:$I,9,FALSE),"—")</f>
        <v/>
      </c>
      <c r="J98" s="93">
        <f>IFERROR(INDEX(_ZIG_Cadastro!$B:$B,MATCH(I98,_ZIG_Cadastro!$A:$A,0)),IFERROR(INDEX(_Entradas_ZIG!$B:$B,MATCH(I98,_Entradas_ZIG!$C:$C,0)),"—"))</f>
        <v/>
      </c>
      <c r="K98" s="93">
        <f>IFERROR(INDEX(_ZIG_Cadastro!$C:$C,MATCH(I98,_ZIG_Cadastro!$A:$A,0)),IFERROR(INDEX(_Entradas_ZIG!$D:$D,MATCH(I98,_Entradas_ZIG!$C:$C,0)),"—"))</f>
        <v/>
      </c>
      <c r="L98" s="92">
        <f>IF(I98="","Sem SKU ZIG",IF(I98="—","Sem SKU ZIG",IF(NOT(ISERROR(MATCH(I98,_ZIG_Cadastro!$A:$A,0))),IF(EXACT(UPPER(TRIM(C98)),UPPER(TRIM(INDEX(_ZIG_Cadastro!$B:$B,MATCH(I98,_ZIG_Cadastro!$A:$A,0))))),"OK","Atencao - Nome diverge"),IF(NOT(ISERROR(MATCH(I98,_Entradas_ZIG!$C:$C,0))),"OK","Erro - SKU nao encontrado"))))</f>
        <v/>
      </c>
      <c r="M98" s="92">
        <f>IFERROR(INDEX(_ZIG_Cadastro!$G:$G,MATCH(I98,_ZIG_Cadastro!$A:$A,0)),IF(NOT(ISERROR(MATCH(I98,_Entradas_ZIG!$C:$C,0))),"Ativo","—"))</f>
        <v/>
      </c>
      <c r="N98" s="94">
        <f>IFERROR(INDEX(_ZIG_Cadastro!$E:$E,MATCH(I98,_ZIG_Cadastro!$A:$A,0)),IFERROR(INDEX(_Entradas_ZIG!$F:$F,MATCH(I98,_Entradas_ZIG!$C:$C,0)),"—"))</f>
        <v/>
      </c>
      <c r="O98" s="92">
        <f>IF(AND(ISNUMBER(SEARCH("Espeto",N98)),ISNUMBER(SEARCH("Carin",N98))),"SIM","")</f>
        <v/>
      </c>
      <c r="P98" s="92">
        <f>IF(AND(ISNUMBER(SEARCH("Espeto",N98)),ISNUMBER(SEARCH("Lapa",N98))),"SIM","")</f>
        <v/>
      </c>
      <c r="Q98" s="92">
        <f>IF(AND(ISNUMBER(SEARCH("Espeto",N98)),ISNUMBER(SEARCH("Tatuapé",N98))),"SIM","")</f>
        <v/>
      </c>
      <c r="R98" s="92">
        <f>IF(AND(ISNUMBER(SEARCH("Espeto",N98)),ISNUMBER(SEARCH("Pavão",N98))),"SIM","")</f>
        <v/>
      </c>
      <c r="S98" s="92">
        <f>IF(AND(ISNUMBER(SEARCH("Espeto",N98)),ISNUMBER(SEARCH("Chac",N98))),"SIM","")</f>
        <v/>
      </c>
      <c r="T98" s="92">
        <f>IF(AND(ISNUMBER(SEARCH("Espeto",N98)),ISNUMBER(SEARCH("Madalena",N98))),"SIM","")</f>
        <v/>
      </c>
      <c r="U98" s="92">
        <f>IF(AND(ISNUMBER(SEARCH("Espeto",N98)),ISNUMBER(SEARCH("Mariana",N98))),"SIM","")</f>
        <v/>
      </c>
      <c r="V98" s="92">
        <f>IF(AND(ISNUMBER(SEARCH("Espeto",N98)),ISNUMBER(SEARCH("Perdizes",N98))),"SIM","")</f>
        <v/>
      </c>
      <c r="W98" s="92">
        <f>IF(AND(ISNUMBER(SEARCH("Espeto",N98)),ISNUMBER(SEARCH("Santana",N98))),"SIM","")</f>
        <v/>
      </c>
      <c r="X98" s="92">
        <f>IF(AND(ISNUMBER(SEARCH("Espeto",N98)),ISNUMBER(SEARCH("André",N98))),"SIM","")</f>
        <v/>
      </c>
      <c r="Y98" s="92">
        <f>IF(AND(ISNUMBER(SEARCH("Delivery",N98)),ISNUMBER(SEARCH("Carin",N98))),"SIM","")</f>
        <v/>
      </c>
      <c r="Z98" s="92">
        <f>IF(AND(ISNUMBER(SEARCH("Delivery",N98)),ISNUMBER(SEARCH("Lapa",N98))),"SIM","")</f>
        <v/>
      </c>
      <c r="AA98" s="92">
        <f>IF(AND(ISNUMBER(SEARCH("Delivery",N98)),ISNUMBER(SEARCH("Tatuapé",N98))),"SIM","")</f>
        <v/>
      </c>
      <c r="AB98" s="92">
        <f>IF(AND(ISNUMBER(SEARCH("Delivery",N98)),ISNUMBER(SEARCH("Pavão",N98))),"SIM","")</f>
        <v/>
      </c>
      <c r="AC98" s="92">
        <f>IF(AND(ISNUMBER(SEARCH("Delivery",N98)),ISNUMBER(SEARCH("Chac",N98))),"SIM","")</f>
        <v/>
      </c>
      <c r="AD98" s="92">
        <f>IF(AND(ISNUMBER(SEARCH("Delivery",N98)),ISNUMBER(SEARCH("Madalena",N98))),"SIM","")</f>
        <v/>
      </c>
      <c r="AE98" s="92">
        <f>IF(AND(ISNUMBER(SEARCH("Delivery",N98)),ISNUMBER(SEARCH("Mariana",N98))),"SIM","")</f>
        <v/>
      </c>
      <c r="AF98" s="92">
        <f>IF(AND(ISNUMBER(SEARCH("Delivery",N98)),ISNUMBER(SEARCH("Perdizes",N98))),"SIM","")</f>
        <v/>
      </c>
      <c r="AG98" s="92">
        <f>IF(AND(ISNUMBER(SEARCH("Delivery",N98)),ISNUMBER(SEARCH("Santana",N98))),"SIM","")</f>
        <v/>
      </c>
      <c r="AH98" s="92">
        <f>IF(AND(ISNUMBER(SEARCH("Delivery",N98)),ISNUMBER(SEARCH("André",N98))),"SIM","")</f>
        <v/>
      </c>
      <c r="AI98" s="92">
        <f>IF(ISNUMBER(SEARCH("Interlagos",N98)),"SIM","")</f>
        <v/>
      </c>
      <c r="AJ98" s="92">
        <f>IF(ISNUMBER(SEARCH("Quiosque",N98)),"SIM","")</f>
        <v/>
      </c>
      <c r="AK98" s="93" t="n"/>
    </row>
    <row r="99">
      <c r="A99" s="88" t="inlineStr">
        <is>
          <t>Protheus</t>
        </is>
      </c>
      <c r="B99" s="96" t="inlineStr">
        <is>
          <t>001954</t>
        </is>
      </c>
      <c r="C99" s="97">
        <f>IF(B99="—","—",IFERROR(VLOOKUP(B99,_Protheus_Cadastro!$A:$B,2,FALSE),"—"))</f>
        <v/>
      </c>
      <c r="D99" s="98">
        <f>IF(B99="—",IFERROR(INDEX(_ZIG_Cadastro!$D:$D,MATCH(H99,_ZIG_Cadastro!$A:$A,0)),"Produto"),IFERROR(VLOOKUP(B99,_Protheus_Cadastro!$A:$C,3,FALSE),"—"))</f>
        <v/>
      </c>
      <c r="E99" s="98">
        <f>IF(B99="—","—",IFERROR(VLOOKUP(B99,_Protheus_Cadastro!$A:$D,4,FALSE),"—"))</f>
        <v/>
      </c>
      <c r="F99" s="98">
        <f>IF(ISERROR(VLOOKUP(B99,'Estrutura Protheus'!A:A,1,FALSE)),"Não","Sim")</f>
        <v/>
      </c>
      <c r="G99" s="99">
        <f>IFERROR(INDEX(_Protheus_Cadastro!$H:$H,MATCH(B99,_Protheus_Cadastro!$A:$A,0)),"—")</f>
        <v/>
      </c>
      <c r="H99" s="211">
        <f>IFERROR(INDEX(_ZIG_Precos!$D:$D,MATCH(I99,_ZIG_Precos!$F:$F,0)),"—")</f>
        <v/>
      </c>
      <c r="I99" s="103">
        <f>IFERROR(VLOOKUP(B99,_Protheus_Cadastro!$A:$I,9,FALSE),"—")</f>
        <v/>
      </c>
      <c r="J99" s="101">
        <f>IFERROR(INDEX(_ZIG_Cadastro!$B:$B,MATCH(I99,_ZIG_Cadastro!$A:$A,0)),IFERROR(INDEX(_Entradas_ZIG!$B:$B,MATCH(I99,_Entradas_ZIG!$C:$C,0)),"—"))</f>
        <v/>
      </c>
      <c r="K99" s="101">
        <f>IFERROR(INDEX(_ZIG_Cadastro!$C:$C,MATCH(I99,_ZIG_Cadastro!$A:$A,0)),IFERROR(INDEX(_Entradas_ZIG!$D:$D,MATCH(I99,_Entradas_ZIG!$C:$C,0)),"—"))</f>
        <v/>
      </c>
      <c r="L99" s="99">
        <f>IF(I99="","Sem SKU ZIG",IF(I99="—","Sem SKU ZIG",IF(NOT(ISERROR(MATCH(I99,_ZIG_Cadastro!$A:$A,0))),IF(EXACT(UPPER(TRIM(C99)),UPPER(TRIM(INDEX(_ZIG_Cadastro!$B:$B,MATCH(I99,_ZIG_Cadastro!$A:$A,0))))),"OK","Atencao - Nome diverge"),IF(NOT(ISERROR(MATCH(I99,_Entradas_ZIG!$C:$C,0))),"OK","Erro - SKU nao encontrado"))))</f>
        <v/>
      </c>
      <c r="M99" s="99">
        <f>IFERROR(INDEX(_ZIG_Cadastro!$G:$G,MATCH(I99,_ZIG_Cadastro!$A:$A,0)),IF(NOT(ISERROR(MATCH(I99,_Entradas_ZIG!$C:$C,0))),"Ativo","—"))</f>
        <v/>
      </c>
      <c r="N99" s="102">
        <f>IFERROR(INDEX(_ZIG_Cadastro!$E:$E,MATCH(I99,_ZIG_Cadastro!$A:$A,0)),IFERROR(INDEX(_Entradas_ZIG!$F:$F,MATCH(I99,_Entradas_ZIG!$C:$C,0)),"—"))</f>
        <v/>
      </c>
      <c r="O99" s="99">
        <f>IF(AND(ISNUMBER(SEARCH("Espeto",N99)),ISNUMBER(SEARCH("Carin",N99))),"SIM","")</f>
        <v/>
      </c>
      <c r="P99" s="99">
        <f>IF(AND(ISNUMBER(SEARCH("Espeto",N99)),ISNUMBER(SEARCH("Lapa",N99))),"SIM","")</f>
        <v/>
      </c>
      <c r="Q99" s="99">
        <f>IF(AND(ISNUMBER(SEARCH("Espeto",N99)),ISNUMBER(SEARCH("Tatuapé",N99))),"SIM","")</f>
        <v/>
      </c>
      <c r="R99" s="99">
        <f>IF(AND(ISNUMBER(SEARCH("Espeto",N99)),ISNUMBER(SEARCH("Pavão",N99))),"SIM","")</f>
        <v/>
      </c>
      <c r="S99" s="99">
        <f>IF(AND(ISNUMBER(SEARCH("Espeto",N99)),ISNUMBER(SEARCH("Chac",N99))),"SIM","")</f>
        <v/>
      </c>
      <c r="T99" s="99">
        <f>IF(AND(ISNUMBER(SEARCH("Espeto",N99)),ISNUMBER(SEARCH("Madalena",N99))),"SIM","")</f>
        <v/>
      </c>
      <c r="U99" s="99">
        <f>IF(AND(ISNUMBER(SEARCH("Espeto",N99)),ISNUMBER(SEARCH("Mariana",N99))),"SIM","")</f>
        <v/>
      </c>
      <c r="V99" s="99">
        <f>IF(AND(ISNUMBER(SEARCH("Espeto",N99)),ISNUMBER(SEARCH("Perdizes",N99))),"SIM","")</f>
        <v/>
      </c>
      <c r="W99" s="99">
        <f>IF(AND(ISNUMBER(SEARCH("Espeto",N99)),ISNUMBER(SEARCH("Santana",N99))),"SIM","")</f>
        <v/>
      </c>
      <c r="X99" s="99">
        <f>IF(AND(ISNUMBER(SEARCH("Espeto",N99)),ISNUMBER(SEARCH("André",N99))),"SIM","")</f>
        <v/>
      </c>
      <c r="Y99" s="99">
        <f>IF(AND(ISNUMBER(SEARCH("Delivery",N99)),ISNUMBER(SEARCH("Carin",N99))),"SIM","")</f>
        <v/>
      </c>
      <c r="Z99" s="99">
        <f>IF(AND(ISNUMBER(SEARCH("Delivery",N99)),ISNUMBER(SEARCH("Lapa",N99))),"SIM","")</f>
        <v/>
      </c>
      <c r="AA99" s="99">
        <f>IF(AND(ISNUMBER(SEARCH("Delivery",N99)),ISNUMBER(SEARCH("Tatuapé",N99))),"SIM","")</f>
        <v/>
      </c>
      <c r="AB99" s="99">
        <f>IF(AND(ISNUMBER(SEARCH("Delivery",N99)),ISNUMBER(SEARCH("Pavão",N99))),"SIM","")</f>
        <v/>
      </c>
      <c r="AC99" s="99">
        <f>IF(AND(ISNUMBER(SEARCH("Delivery",N99)),ISNUMBER(SEARCH("Chac",N99))),"SIM","")</f>
        <v/>
      </c>
      <c r="AD99" s="99">
        <f>IF(AND(ISNUMBER(SEARCH("Delivery",N99)),ISNUMBER(SEARCH("Madalena",N99))),"SIM","")</f>
        <v/>
      </c>
      <c r="AE99" s="99">
        <f>IF(AND(ISNUMBER(SEARCH("Delivery",N99)),ISNUMBER(SEARCH("Mariana",N99))),"SIM","")</f>
        <v/>
      </c>
      <c r="AF99" s="99">
        <f>IF(AND(ISNUMBER(SEARCH("Delivery",N99)),ISNUMBER(SEARCH("Perdizes",N99))),"SIM","")</f>
        <v/>
      </c>
      <c r="AG99" s="99">
        <f>IF(AND(ISNUMBER(SEARCH("Delivery",N99)),ISNUMBER(SEARCH("Santana",N99))),"SIM","")</f>
        <v/>
      </c>
      <c r="AH99" s="99">
        <f>IF(AND(ISNUMBER(SEARCH("Delivery",N99)),ISNUMBER(SEARCH("André",N99))),"SIM","")</f>
        <v/>
      </c>
      <c r="AI99" s="99">
        <f>IF(ISNUMBER(SEARCH("Interlagos",N99)),"SIM","")</f>
        <v/>
      </c>
      <c r="AJ99" s="99">
        <f>IF(ISNUMBER(SEARCH("Quiosque",N99)),"SIM","")</f>
        <v/>
      </c>
      <c r="AK99" s="101" t="n"/>
    </row>
    <row r="100">
      <c r="A100" s="88" t="inlineStr">
        <is>
          <t>Protheus</t>
        </is>
      </c>
      <c r="B100" s="89" t="inlineStr">
        <is>
          <t>000020</t>
        </is>
      </c>
      <c r="C100" s="90">
        <f>IF(B100="—","—",IFERROR(VLOOKUP(B100,_Protheus_Cadastro!$A:$B,2,FALSE),"—"))</f>
        <v/>
      </c>
      <c r="D100" s="91">
        <f>IF(B100="—",IFERROR(INDEX(_ZIG_Cadastro!$D:$D,MATCH(H100,_ZIG_Cadastro!$A:$A,0)),"Produto"),IFERROR(VLOOKUP(B100,_Protheus_Cadastro!$A:$C,3,FALSE),"—"))</f>
        <v/>
      </c>
      <c r="E100" s="91">
        <f>IF(B100="—","—",IFERROR(VLOOKUP(B100,_Protheus_Cadastro!$A:$D,4,FALSE),"—"))</f>
        <v/>
      </c>
      <c r="F100" s="91">
        <f>IF(ISERROR(VLOOKUP(B100,'Estrutura Protheus'!A:A,1,FALSE)),"Não","Sim")</f>
        <v/>
      </c>
      <c r="G100" s="92">
        <f>IFERROR(INDEX(_Protheus_Cadastro!$H:$H,MATCH(B100,_Protheus_Cadastro!$A:$A,0)),"—")</f>
        <v/>
      </c>
      <c r="H100" s="210">
        <f>IFERROR(INDEX(_ZIG_Precos!$D:$D,MATCH(I100,_ZIG_Precos!$F:$F,0)),"—")</f>
        <v/>
      </c>
      <c r="I100" s="95">
        <f>IFERROR(VLOOKUP(B100,_Protheus_Cadastro!$A:$I,9,FALSE),"—")</f>
        <v/>
      </c>
      <c r="J100" s="93">
        <f>IFERROR(INDEX(_ZIG_Cadastro!$B:$B,MATCH(I100,_ZIG_Cadastro!$A:$A,0)),IFERROR(INDEX(_Entradas_ZIG!$B:$B,MATCH(I100,_Entradas_ZIG!$C:$C,0)),"—"))</f>
        <v/>
      </c>
      <c r="K100" s="93">
        <f>IFERROR(INDEX(_ZIG_Cadastro!$C:$C,MATCH(I100,_ZIG_Cadastro!$A:$A,0)),IFERROR(INDEX(_Entradas_ZIG!$D:$D,MATCH(I100,_Entradas_ZIG!$C:$C,0)),"—"))</f>
        <v/>
      </c>
      <c r="L100" s="92">
        <f>IF(I100="","Sem SKU ZIG",IF(I100="—","Sem SKU ZIG",IF(NOT(ISERROR(MATCH(I100,_ZIG_Cadastro!$A:$A,0))),IF(EXACT(UPPER(TRIM(C100)),UPPER(TRIM(INDEX(_ZIG_Cadastro!$B:$B,MATCH(I100,_ZIG_Cadastro!$A:$A,0))))),"OK","Atencao - Nome diverge"),IF(NOT(ISERROR(MATCH(I100,_Entradas_ZIG!$C:$C,0))),"OK","Erro - SKU nao encontrado"))))</f>
        <v/>
      </c>
      <c r="M100" s="92">
        <f>IFERROR(INDEX(_ZIG_Cadastro!$G:$G,MATCH(I100,_ZIG_Cadastro!$A:$A,0)),IF(NOT(ISERROR(MATCH(I100,_Entradas_ZIG!$C:$C,0))),"Ativo","—"))</f>
        <v/>
      </c>
      <c r="N100" s="94">
        <f>IFERROR(INDEX(_ZIG_Cadastro!$E:$E,MATCH(I100,_ZIG_Cadastro!$A:$A,0)),IFERROR(INDEX(_Entradas_ZIG!$F:$F,MATCH(I100,_Entradas_ZIG!$C:$C,0)),"—"))</f>
        <v/>
      </c>
      <c r="O100" s="92">
        <f>IF(AND(ISNUMBER(SEARCH("Espeto",N100)),ISNUMBER(SEARCH("Carin",N100))),"SIM","")</f>
        <v/>
      </c>
      <c r="P100" s="92">
        <f>IF(AND(ISNUMBER(SEARCH("Espeto",N100)),ISNUMBER(SEARCH("Lapa",N100))),"SIM","")</f>
        <v/>
      </c>
      <c r="Q100" s="92">
        <f>IF(AND(ISNUMBER(SEARCH("Espeto",N100)),ISNUMBER(SEARCH("Tatuapé",N100))),"SIM","")</f>
        <v/>
      </c>
      <c r="R100" s="92">
        <f>IF(AND(ISNUMBER(SEARCH("Espeto",N100)),ISNUMBER(SEARCH("Pavão",N100))),"SIM","")</f>
        <v/>
      </c>
      <c r="S100" s="92">
        <f>IF(AND(ISNUMBER(SEARCH("Espeto",N100)),ISNUMBER(SEARCH("Chac",N100))),"SIM","")</f>
        <v/>
      </c>
      <c r="T100" s="92">
        <f>IF(AND(ISNUMBER(SEARCH("Espeto",N100)),ISNUMBER(SEARCH("Madalena",N100))),"SIM","")</f>
        <v/>
      </c>
      <c r="U100" s="92">
        <f>IF(AND(ISNUMBER(SEARCH("Espeto",N100)),ISNUMBER(SEARCH("Mariana",N100))),"SIM","")</f>
        <v/>
      </c>
      <c r="V100" s="92">
        <f>IF(AND(ISNUMBER(SEARCH("Espeto",N100)),ISNUMBER(SEARCH("Perdizes",N100))),"SIM","")</f>
        <v/>
      </c>
      <c r="W100" s="92">
        <f>IF(AND(ISNUMBER(SEARCH("Espeto",N100)),ISNUMBER(SEARCH("Santana",N100))),"SIM","")</f>
        <v/>
      </c>
      <c r="X100" s="92">
        <f>IF(AND(ISNUMBER(SEARCH("Espeto",N100)),ISNUMBER(SEARCH("André",N100))),"SIM","")</f>
        <v/>
      </c>
      <c r="Y100" s="92">
        <f>IF(AND(ISNUMBER(SEARCH("Delivery",N100)),ISNUMBER(SEARCH("Carin",N100))),"SIM","")</f>
        <v/>
      </c>
      <c r="Z100" s="92">
        <f>IF(AND(ISNUMBER(SEARCH("Delivery",N100)),ISNUMBER(SEARCH("Lapa",N100))),"SIM","")</f>
        <v/>
      </c>
      <c r="AA100" s="92">
        <f>IF(AND(ISNUMBER(SEARCH("Delivery",N100)),ISNUMBER(SEARCH("Tatuapé",N100))),"SIM","")</f>
        <v/>
      </c>
      <c r="AB100" s="92">
        <f>IF(AND(ISNUMBER(SEARCH("Delivery",N100)),ISNUMBER(SEARCH("Pavão",N100))),"SIM","")</f>
        <v/>
      </c>
      <c r="AC100" s="92">
        <f>IF(AND(ISNUMBER(SEARCH("Delivery",N100)),ISNUMBER(SEARCH("Chac",N100))),"SIM","")</f>
        <v/>
      </c>
      <c r="AD100" s="92">
        <f>IF(AND(ISNUMBER(SEARCH("Delivery",N100)),ISNUMBER(SEARCH("Madalena",N100))),"SIM","")</f>
        <v/>
      </c>
      <c r="AE100" s="92">
        <f>IF(AND(ISNUMBER(SEARCH("Delivery",N100)),ISNUMBER(SEARCH("Mariana",N100))),"SIM","")</f>
        <v/>
      </c>
      <c r="AF100" s="92">
        <f>IF(AND(ISNUMBER(SEARCH("Delivery",N100)),ISNUMBER(SEARCH("Perdizes",N100))),"SIM","")</f>
        <v/>
      </c>
      <c r="AG100" s="92">
        <f>IF(AND(ISNUMBER(SEARCH("Delivery",N100)),ISNUMBER(SEARCH("Santana",N100))),"SIM","")</f>
        <v/>
      </c>
      <c r="AH100" s="92">
        <f>IF(AND(ISNUMBER(SEARCH("Delivery",N100)),ISNUMBER(SEARCH("André",N100))),"SIM","")</f>
        <v/>
      </c>
      <c r="AI100" s="92">
        <f>IF(ISNUMBER(SEARCH("Interlagos",N100)),"SIM","")</f>
        <v/>
      </c>
      <c r="AJ100" s="92">
        <f>IF(ISNUMBER(SEARCH("Quiosque",N100)),"SIM","")</f>
        <v/>
      </c>
      <c r="AK100" s="93" t="n"/>
    </row>
    <row r="101">
      <c r="A101" s="88" t="inlineStr">
        <is>
          <t>Protheus</t>
        </is>
      </c>
      <c r="B101" s="96" t="inlineStr">
        <is>
          <t>000001</t>
        </is>
      </c>
      <c r="C101" s="97">
        <f>IF(B101="—","—",IFERROR(VLOOKUP(B101,_Protheus_Cadastro!$A:$B,2,FALSE),"—"))</f>
        <v/>
      </c>
      <c r="D101" s="98">
        <f>IF(B101="—",IFERROR(INDEX(_ZIG_Cadastro!$D:$D,MATCH(H101,_ZIG_Cadastro!$A:$A,0)),"Produto"),IFERROR(VLOOKUP(B101,_Protheus_Cadastro!$A:$C,3,FALSE),"—"))</f>
        <v/>
      </c>
      <c r="E101" s="98">
        <f>IF(B101="—","—",IFERROR(VLOOKUP(B101,_Protheus_Cadastro!$A:$D,4,FALSE),"—"))</f>
        <v/>
      </c>
      <c r="F101" s="98">
        <f>IF(ISERROR(VLOOKUP(B101,'Estrutura Protheus'!A:A,1,FALSE)),"Não","Sim")</f>
        <v/>
      </c>
      <c r="G101" s="99">
        <f>IFERROR(INDEX(_Protheus_Cadastro!$H:$H,MATCH(B101,_Protheus_Cadastro!$A:$A,0)),"—")</f>
        <v/>
      </c>
      <c r="H101" s="211">
        <f>IFERROR(INDEX(_ZIG_Precos!$D:$D,MATCH(I101,_ZIG_Precos!$F:$F,0)),"—")</f>
        <v/>
      </c>
      <c r="I101" s="103">
        <f>IFERROR(VLOOKUP(B101,_Protheus_Cadastro!$A:$I,9,FALSE),"—")</f>
        <v/>
      </c>
      <c r="J101" s="101">
        <f>IFERROR(INDEX(_ZIG_Cadastro!$B:$B,MATCH(I101,_ZIG_Cadastro!$A:$A,0)),IFERROR(INDEX(_Entradas_ZIG!$B:$B,MATCH(I101,_Entradas_ZIG!$C:$C,0)),"—"))</f>
        <v/>
      </c>
      <c r="K101" s="101">
        <f>IFERROR(INDEX(_ZIG_Cadastro!$C:$C,MATCH(I101,_ZIG_Cadastro!$A:$A,0)),IFERROR(INDEX(_Entradas_ZIG!$D:$D,MATCH(I101,_Entradas_ZIG!$C:$C,0)),"—"))</f>
        <v/>
      </c>
      <c r="L101" s="99">
        <f>IF(I101="","Sem SKU ZIG",IF(I101="—","Sem SKU ZIG",IF(NOT(ISERROR(MATCH(I101,_ZIG_Cadastro!$A:$A,0))),IF(EXACT(UPPER(TRIM(C101)),UPPER(TRIM(INDEX(_ZIG_Cadastro!$B:$B,MATCH(I101,_ZIG_Cadastro!$A:$A,0))))),"OK","Atencao - Nome diverge"),IF(NOT(ISERROR(MATCH(I101,_Entradas_ZIG!$C:$C,0))),"OK","Erro - SKU nao encontrado"))))</f>
        <v/>
      </c>
      <c r="M101" s="99">
        <f>IFERROR(INDEX(_ZIG_Cadastro!$G:$G,MATCH(I101,_ZIG_Cadastro!$A:$A,0)),IF(NOT(ISERROR(MATCH(I101,_Entradas_ZIG!$C:$C,0))),"Ativo","—"))</f>
        <v/>
      </c>
      <c r="N101" s="102">
        <f>IFERROR(INDEX(_ZIG_Cadastro!$E:$E,MATCH(I101,_ZIG_Cadastro!$A:$A,0)),IFERROR(INDEX(_Entradas_ZIG!$F:$F,MATCH(I101,_Entradas_ZIG!$C:$C,0)),"—"))</f>
        <v/>
      </c>
      <c r="O101" s="99">
        <f>IF(AND(ISNUMBER(SEARCH("Espeto",N101)),ISNUMBER(SEARCH("Carin",N101))),"SIM","")</f>
        <v/>
      </c>
      <c r="P101" s="99">
        <f>IF(AND(ISNUMBER(SEARCH("Espeto",N101)),ISNUMBER(SEARCH("Lapa",N101))),"SIM","")</f>
        <v/>
      </c>
      <c r="Q101" s="99">
        <f>IF(AND(ISNUMBER(SEARCH("Espeto",N101)),ISNUMBER(SEARCH("Tatuapé",N101))),"SIM","")</f>
        <v/>
      </c>
      <c r="R101" s="99">
        <f>IF(AND(ISNUMBER(SEARCH("Espeto",N101)),ISNUMBER(SEARCH("Pavão",N101))),"SIM","")</f>
        <v/>
      </c>
      <c r="S101" s="99">
        <f>IF(AND(ISNUMBER(SEARCH("Espeto",N101)),ISNUMBER(SEARCH("Chac",N101))),"SIM","")</f>
        <v/>
      </c>
      <c r="T101" s="99">
        <f>IF(AND(ISNUMBER(SEARCH("Espeto",N101)),ISNUMBER(SEARCH("Madalena",N101))),"SIM","")</f>
        <v/>
      </c>
      <c r="U101" s="99">
        <f>IF(AND(ISNUMBER(SEARCH("Espeto",N101)),ISNUMBER(SEARCH("Mariana",N101))),"SIM","")</f>
        <v/>
      </c>
      <c r="V101" s="99">
        <f>IF(AND(ISNUMBER(SEARCH("Espeto",N101)),ISNUMBER(SEARCH("Perdizes",N101))),"SIM","")</f>
        <v/>
      </c>
      <c r="W101" s="99">
        <f>IF(AND(ISNUMBER(SEARCH("Espeto",N101)),ISNUMBER(SEARCH("Santana",N101))),"SIM","")</f>
        <v/>
      </c>
      <c r="X101" s="99">
        <f>IF(AND(ISNUMBER(SEARCH("Espeto",N101)),ISNUMBER(SEARCH("André",N101))),"SIM","")</f>
        <v/>
      </c>
      <c r="Y101" s="99">
        <f>IF(AND(ISNUMBER(SEARCH("Delivery",N101)),ISNUMBER(SEARCH("Carin",N101))),"SIM","")</f>
        <v/>
      </c>
      <c r="Z101" s="99">
        <f>IF(AND(ISNUMBER(SEARCH("Delivery",N101)),ISNUMBER(SEARCH("Lapa",N101))),"SIM","")</f>
        <v/>
      </c>
      <c r="AA101" s="99">
        <f>IF(AND(ISNUMBER(SEARCH("Delivery",N101)),ISNUMBER(SEARCH("Tatuapé",N101))),"SIM","")</f>
        <v/>
      </c>
      <c r="AB101" s="99">
        <f>IF(AND(ISNUMBER(SEARCH("Delivery",N101)),ISNUMBER(SEARCH("Pavão",N101))),"SIM","")</f>
        <v/>
      </c>
      <c r="AC101" s="99">
        <f>IF(AND(ISNUMBER(SEARCH("Delivery",N101)),ISNUMBER(SEARCH("Chac",N101))),"SIM","")</f>
        <v/>
      </c>
      <c r="AD101" s="99">
        <f>IF(AND(ISNUMBER(SEARCH("Delivery",N101)),ISNUMBER(SEARCH("Madalena",N101))),"SIM","")</f>
        <v/>
      </c>
      <c r="AE101" s="99">
        <f>IF(AND(ISNUMBER(SEARCH("Delivery",N101)),ISNUMBER(SEARCH("Mariana",N101))),"SIM","")</f>
        <v/>
      </c>
      <c r="AF101" s="99">
        <f>IF(AND(ISNUMBER(SEARCH("Delivery",N101)),ISNUMBER(SEARCH("Perdizes",N101))),"SIM","")</f>
        <v/>
      </c>
      <c r="AG101" s="99">
        <f>IF(AND(ISNUMBER(SEARCH("Delivery",N101)),ISNUMBER(SEARCH("Santana",N101))),"SIM","")</f>
        <v/>
      </c>
      <c r="AH101" s="99">
        <f>IF(AND(ISNUMBER(SEARCH("Delivery",N101)),ISNUMBER(SEARCH("André",N101))),"SIM","")</f>
        <v/>
      </c>
      <c r="AI101" s="99">
        <f>IF(ISNUMBER(SEARCH("Interlagos",N101)),"SIM","")</f>
        <v/>
      </c>
      <c r="AJ101" s="99">
        <f>IF(ISNUMBER(SEARCH("Quiosque",N101)),"SIM","")</f>
        <v/>
      </c>
      <c r="AK101" s="101" t="n"/>
    </row>
    <row r="102">
      <c r="A102" s="88" t="inlineStr">
        <is>
          <t>Protheus</t>
        </is>
      </c>
      <c r="B102" s="89" t="inlineStr">
        <is>
          <t>002189</t>
        </is>
      </c>
      <c r="C102" s="90">
        <f>IF(B102="—","—",IFERROR(VLOOKUP(B102,_Protheus_Cadastro!$A:$B,2,FALSE),"—"))</f>
        <v/>
      </c>
      <c r="D102" s="91">
        <f>IF(B102="—",IFERROR(INDEX(_ZIG_Cadastro!$D:$D,MATCH(H102,_ZIG_Cadastro!$A:$A,0)),"Produto"),IFERROR(VLOOKUP(B102,_Protheus_Cadastro!$A:$C,3,FALSE),"—"))</f>
        <v/>
      </c>
      <c r="E102" s="91">
        <f>IF(B102="—","—",IFERROR(VLOOKUP(B102,_Protheus_Cadastro!$A:$D,4,FALSE),"—"))</f>
        <v/>
      </c>
      <c r="F102" s="91">
        <f>IF(ISERROR(VLOOKUP(B102,'Estrutura Protheus'!A:A,1,FALSE)),"Não","Sim")</f>
        <v/>
      </c>
      <c r="G102" s="92">
        <f>IFERROR(INDEX(_Protheus_Cadastro!$H:$H,MATCH(B102,_Protheus_Cadastro!$A:$A,0)),"—")</f>
        <v/>
      </c>
      <c r="H102" s="210">
        <f>IFERROR(INDEX(_ZIG_Precos!$D:$D,MATCH(I102,_ZIG_Precos!$F:$F,0)),"—")</f>
        <v/>
      </c>
      <c r="I102" s="95">
        <f>IFERROR(VLOOKUP(B102,_Protheus_Cadastro!$A:$I,9,FALSE),"—")</f>
        <v/>
      </c>
      <c r="J102" s="93">
        <f>IFERROR(INDEX(_ZIG_Cadastro!$B:$B,MATCH(I102,_ZIG_Cadastro!$A:$A,0)),IFERROR(INDEX(_Entradas_ZIG!$B:$B,MATCH(I102,_Entradas_ZIG!$C:$C,0)),"—"))</f>
        <v/>
      </c>
      <c r="K102" s="93">
        <f>IFERROR(INDEX(_ZIG_Cadastro!$C:$C,MATCH(I102,_ZIG_Cadastro!$A:$A,0)),IFERROR(INDEX(_Entradas_ZIG!$D:$D,MATCH(I102,_Entradas_ZIG!$C:$C,0)),"—"))</f>
        <v/>
      </c>
      <c r="L102" s="92">
        <f>IF(I102="","Sem SKU ZIG",IF(I102="—","Sem SKU ZIG",IF(NOT(ISERROR(MATCH(I102,_ZIG_Cadastro!$A:$A,0))),IF(EXACT(UPPER(TRIM(C102)),UPPER(TRIM(INDEX(_ZIG_Cadastro!$B:$B,MATCH(I102,_ZIG_Cadastro!$A:$A,0))))),"OK","Atencao - Nome diverge"),IF(NOT(ISERROR(MATCH(I102,_Entradas_ZIG!$C:$C,0))),"OK","Erro - SKU nao encontrado"))))</f>
        <v/>
      </c>
      <c r="M102" s="92">
        <f>IFERROR(INDEX(_ZIG_Cadastro!$G:$G,MATCH(I102,_ZIG_Cadastro!$A:$A,0)),IF(NOT(ISERROR(MATCH(I102,_Entradas_ZIG!$C:$C,0))),"Ativo","—"))</f>
        <v/>
      </c>
      <c r="N102" s="94">
        <f>IFERROR(INDEX(_ZIG_Cadastro!$E:$E,MATCH(I102,_ZIG_Cadastro!$A:$A,0)),IFERROR(INDEX(_Entradas_ZIG!$F:$F,MATCH(I102,_Entradas_ZIG!$C:$C,0)),"—"))</f>
        <v/>
      </c>
      <c r="O102" s="92">
        <f>IF(AND(ISNUMBER(SEARCH("Espeto",N102)),ISNUMBER(SEARCH("Carin",N102))),"SIM","")</f>
        <v/>
      </c>
      <c r="P102" s="92">
        <f>IF(AND(ISNUMBER(SEARCH("Espeto",N102)),ISNUMBER(SEARCH("Lapa",N102))),"SIM","")</f>
        <v/>
      </c>
      <c r="Q102" s="92">
        <f>IF(AND(ISNUMBER(SEARCH("Espeto",N102)),ISNUMBER(SEARCH("Tatuapé",N102))),"SIM","")</f>
        <v/>
      </c>
      <c r="R102" s="92">
        <f>IF(AND(ISNUMBER(SEARCH("Espeto",N102)),ISNUMBER(SEARCH("Pavão",N102))),"SIM","")</f>
        <v/>
      </c>
      <c r="S102" s="92">
        <f>IF(AND(ISNUMBER(SEARCH("Espeto",N102)),ISNUMBER(SEARCH("Chac",N102))),"SIM","")</f>
        <v/>
      </c>
      <c r="T102" s="92">
        <f>IF(AND(ISNUMBER(SEARCH("Espeto",N102)),ISNUMBER(SEARCH("Madalena",N102))),"SIM","")</f>
        <v/>
      </c>
      <c r="U102" s="92">
        <f>IF(AND(ISNUMBER(SEARCH("Espeto",N102)),ISNUMBER(SEARCH("Mariana",N102))),"SIM","")</f>
        <v/>
      </c>
      <c r="V102" s="92">
        <f>IF(AND(ISNUMBER(SEARCH("Espeto",N102)),ISNUMBER(SEARCH("Perdizes",N102))),"SIM","")</f>
        <v/>
      </c>
      <c r="W102" s="92">
        <f>IF(AND(ISNUMBER(SEARCH("Espeto",N102)),ISNUMBER(SEARCH("Santana",N102))),"SIM","")</f>
        <v/>
      </c>
      <c r="X102" s="92">
        <f>IF(AND(ISNUMBER(SEARCH("Espeto",N102)),ISNUMBER(SEARCH("André",N102))),"SIM","")</f>
        <v/>
      </c>
      <c r="Y102" s="92">
        <f>IF(AND(ISNUMBER(SEARCH("Delivery",N102)),ISNUMBER(SEARCH("Carin",N102))),"SIM","")</f>
        <v/>
      </c>
      <c r="Z102" s="92">
        <f>IF(AND(ISNUMBER(SEARCH("Delivery",N102)),ISNUMBER(SEARCH("Lapa",N102))),"SIM","")</f>
        <v/>
      </c>
      <c r="AA102" s="92">
        <f>IF(AND(ISNUMBER(SEARCH("Delivery",N102)),ISNUMBER(SEARCH("Tatuapé",N102))),"SIM","")</f>
        <v/>
      </c>
      <c r="AB102" s="92">
        <f>IF(AND(ISNUMBER(SEARCH("Delivery",N102)),ISNUMBER(SEARCH("Pavão",N102))),"SIM","")</f>
        <v/>
      </c>
      <c r="AC102" s="92">
        <f>IF(AND(ISNUMBER(SEARCH("Delivery",N102)),ISNUMBER(SEARCH("Chac",N102))),"SIM","")</f>
        <v/>
      </c>
      <c r="AD102" s="92">
        <f>IF(AND(ISNUMBER(SEARCH("Delivery",N102)),ISNUMBER(SEARCH("Madalena",N102))),"SIM","")</f>
        <v/>
      </c>
      <c r="AE102" s="92">
        <f>IF(AND(ISNUMBER(SEARCH("Delivery",N102)),ISNUMBER(SEARCH("Mariana",N102))),"SIM","")</f>
        <v/>
      </c>
      <c r="AF102" s="92">
        <f>IF(AND(ISNUMBER(SEARCH("Delivery",N102)),ISNUMBER(SEARCH("Perdizes",N102))),"SIM","")</f>
        <v/>
      </c>
      <c r="AG102" s="92">
        <f>IF(AND(ISNUMBER(SEARCH("Delivery",N102)),ISNUMBER(SEARCH("Santana",N102))),"SIM","")</f>
        <v/>
      </c>
      <c r="AH102" s="92">
        <f>IF(AND(ISNUMBER(SEARCH("Delivery",N102)),ISNUMBER(SEARCH("André",N102))),"SIM","")</f>
        <v/>
      </c>
      <c r="AI102" s="92">
        <f>IF(ISNUMBER(SEARCH("Interlagos",N102)),"SIM","")</f>
        <v/>
      </c>
      <c r="AJ102" s="92">
        <f>IF(ISNUMBER(SEARCH("Quiosque",N102)),"SIM","")</f>
        <v/>
      </c>
      <c r="AK102" s="93" t="n"/>
    </row>
    <row r="103">
      <c r="A103" s="88" t="inlineStr">
        <is>
          <t>Protheus</t>
        </is>
      </c>
      <c r="B103" s="96" t="inlineStr">
        <is>
          <t>001057</t>
        </is>
      </c>
      <c r="C103" s="97">
        <f>IF(B103="—","—",IFERROR(VLOOKUP(B103,_Protheus_Cadastro!$A:$B,2,FALSE),"—"))</f>
        <v/>
      </c>
      <c r="D103" s="98">
        <f>IF(B103="—",IFERROR(INDEX(_ZIG_Cadastro!$D:$D,MATCH(H103,_ZIG_Cadastro!$A:$A,0)),"Produto"),IFERROR(VLOOKUP(B103,_Protheus_Cadastro!$A:$C,3,FALSE),"—"))</f>
        <v/>
      </c>
      <c r="E103" s="98">
        <f>IF(B103="—","—",IFERROR(VLOOKUP(B103,_Protheus_Cadastro!$A:$D,4,FALSE),"—"))</f>
        <v/>
      </c>
      <c r="F103" s="98">
        <f>IF(ISERROR(VLOOKUP(B103,'Estrutura Protheus'!A:A,1,FALSE)),"Não","Sim")</f>
        <v/>
      </c>
      <c r="G103" s="99">
        <f>IFERROR(INDEX(_Protheus_Cadastro!$H:$H,MATCH(B103,_Protheus_Cadastro!$A:$A,0)),"—")</f>
        <v/>
      </c>
      <c r="H103" s="211">
        <f>IFERROR(INDEX(_ZIG_Precos!$D:$D,MATCH(I103,_ZIG_Precos!$F:$F,0)),"—")</f>
        <v/>
      </c>
      <c r="I103" s="103">
        <f>IFERROR(VLOOKUP(B103,_Protheus_Cadastro!$A:$I,9,FALSE),"—")</f>
        <v/>
      </c>
      <c r="J103" s="101">
        <f>IFERROR(INDEX(_ZIG_Cadastro!$B:$B,MATCH(I103,_ZIG_Cadastro!$A:$A,0)),IFERROR(INDEX(_Entradas_ZIG!$B:$B,MATCH(I103,_Entradas_ZIG!$C:$C,0)),"—"))</f>
        <v/>
      </c>
      <c r="K103" s="101">
        <f>IFERROR(INDEX(_ZIG_Cadastro!$C:$C,MATCH(I103,_ZIG_Cadastro!$A:$A,0)),IFERROR(INDEX(_Entradas_ZIG!$D:$D,MATCH(I103,_Entradas_ZIG!$C:$C,0)),"—"))</f>
        <v/>
      </c>
      <c r="L103" s="99">
        <f>IF(I103="","Sem SKU ZIG",IF(I103="—","Sem SKU ZIG",IF(NOT(ISERROR(MATCH(I103,_ZIG_Cadastro!$A:$A,0))),IF(EXACT(UPPER(TRIM(C103)),UPPER(TRIM(INDEX(_ZIG_Cadastro!$B:$B,MATCH(I103,_ZIG_Cadastro!$A:$A,0))))),"OK","Atencao - Nome diverge"),IF(NOT(ISERROR(MATCH(I103,_Entradas_ZIG!$C:$C,0))),"OK","Erro - SKU nao encontrado"))))</f>
        <v/>
      </c>
      <c r="M103" s="99">
        <f>IFERROR(INDEX(_ZIG_Cadastro!$G:$G,MATCH(I103,_ZIG_Cadastro!$A:$A,0)),IF(NOT(ISERROR(MATCH(I103,_Entradas_ZIG!$C:$C,0))),"Ativo","—"))</f>
        <v/>
      </c>
      <c r="N103" s="102">
        <f>IFERROR(INDEX(_ZIG_Cadastro!$E:$E,MATCH(I103,_ZIG_Cadastro!$A:$A,0)),IFERROR(INDEX(_Entradas_ZIG!$F:$F,MATCH(I103,_Entradas_ZIG!$C:$C,0)),"—"))</f>
        <v/>
      </c>
      <c r="O103" s="99">
        <f>IF(AND(ISNUMBER(SEARCH("Espeto",N103)),ISNUMBER(SEARCH("Carin",N103))),"SIM","")</f>
        <v/>
      </c>
      <c r="P103" s="99">
        <f>IF(AND(ISNUMBER(SEARCH("Espeto",N103)),ISNUMBER(SEARCH("Lapa",N103))),"SIM","")</f>
        <v/>
      </c>
      <c r="Q103" s="99">
        <f>IF(AND(ISNUMBER(SEARCH("Espeto",N103)),ISNUMBER(SEARCH("Tatuapé",N103))),"SIM","")</f>
        <v/>
      </c>
      <c r="R103" s="99">
        <f>IF(AND(ISNUMBER(SEARCH("Espeto",N103)),ISNUMBER(SEARCH("Pavão",N103))),"SIM","")</f>
        <v/>
      </c>
      <c r="S103" s="99">
        <f>IF(AND(ISNUMBER(SEARCH("Espeto",N103)),ISNUMBER(SEARCH("Chac",N103))),"SIM","")</f>
        <v/>
      </c>
      <c r="T103" s="99">
        <f>IF(AND(ISNUMBER(SEARCH("Espeto",N103)),ISNUMBER(SEARCH("Madalena",N103))),"SIM","")</f>
        <v/>
      </c>
      <c r="U103" s="99">
        <f>IF(AND(ISNUMBER(SEARCH("Espeto",N103)),ISNUMBER(SEARCH("Mariana",N103))),"SIM","")</f>
        <v/>
      </c>
      <c r="V103" s="99">
        <f>IF(AND(ISNUMBER(SEARCH("Espeto",N103)),ISNUMBER(SEARCH("Perdizes",N103))),"SIM","")</f>
        <v/>
      </c>
      <c r="W103" s="99">
        <f>IF(AND(ISNUMBER(SEARCH("Espeto",N103)),ISNUMBER(SEARCH("Santana",N103))),"SIM","")</f>
        <v/>
      </c>
      <c r="X103" s="99">
        <f>IF(AND(ISNUMBER(SEARCH("Espeto",N103)),ISNUMBER(SEARCH("André",N103))),"SIM","")</f>
        <v/>
      </c>
      <c r="Y103" s="99">
        <f>IF(AND(ISNUMBER(SEARCH("Delivery",N103)),ISNUMBER(SEARCH("Carin",N103))),"SIM","")</f>
        <v/>
      </c>
      <c r="Z103" s="99">
        <f>IF(AND(ISNUMBER(SEARCH("Delivery",N103)),ISNUMBER(SEARCH("Lapa",N103))),"SIM","")</f>
        <v/>
      </c>
      <c r="AA103" s="99">
        <f>IF(AND(ISNUMBER(SEARCH("Delivery",N103)),ISNUMBER(SEARCH("Tatuapé",N103))),"SIM","")</f>
        <v/>
      </c>
      <c r="AB103" s="99">
        <f>IF(AND(ISNUMBER(SEARCH("Delivery",N103)),ISNUMBER(SEARCH("Pavão",N103))),"SIM","")</f>
        <v/>
      </c>
      <c r="AC103" s="99">
        <f>IF(AND(ISNUMBER(SEARCH("Delivery",N103)),ISNUMBER(SEARCH("Chac",N103))),"SIM","")</f>
        <v/>
      </c>
      <c r="AD103" s="99">
        <f>IF(AND(ISNUMBER(SEARCH("Delivery",N103)),ISNUMBER(SEARCH("Madalena",N103))),"SIM","")</f>
        <v/>
      </c>
      <c r="AE103" s="99">
        <f>IF(AND(ISNUMBER(SEARCH("Delivery",N103)),ISNUMBER(SEARCH("Mariana",N103))),"SIM","")</f>
        <v/>
      </c>
      <c r="AF103" s="99">
        <f>IF(AND(ISNUMBER(SEARCH("Delivery",N103)),ISNUMBER(SEARCH("Perdizes",N103))),"SIM","")</f>
        <v/>
      </c>
      <c r="AG103" s="99">
        <f>IF(AND(ISNUMBER(SEARCH("Delivery",N103)),ISNUMBER(SEARCH("Santana",N103))),"SIM","")</f>
        <v/>
      </c>
      <c r="AH103" s="99">
        <f>IF(AND(ISNUMBER(SEARCH("Delivery",N103)),ISNUMBER(SEARCH("André",N103))),"SIM","")</f>
        <v/>
      </c>
      <c r="AI103" s="99">
        <f>IF(ISNUMBER(SEARCH("Interlagos",N103)),"SIM","")</f>
        <v/>
      </c>
      <c r="AJ103" s="99">
        <f>IF(ISNUMBER(SEARCH("Quiosque",N103)),"SIM","")</f>
        <v/>
      </c>
      <c r="AK103" s="101" t="n"/>
    </row>
    <row r="104">
      <c r="A104" s="88" t="inlineStr">
        <is>
          <t>Protheus</t>
        </is>
      </c>
      <c r="B104" s="89" t="inlineStr">
        <is>
          <t>000800</t>
        </is>
      </c>
      <c r="C104" s="90">
        <f>IF(B104="—","—",IFERROR(VLOOKUP(B104,_Protheus_Cadastro!$A:$B,2,FALSE),"—"))</f>
        <v/>
      </c>
      <c r="D104" s="91">
        <f>IF(B104="—",IFERROR(INDEX(_ZIG_Cadastro!$D:$D,MATCH(H104,_ZIG_Cadastro!$A:$A,0)),"Produto"),IFERROR(VLOOKUP(B104,_Protheus_Cadastro!$A:$C,3,FALSE),"—"))</f>
        <v/>
      </c>
      <c r="E104" s="91">
        <f>IF(B104="—","—",IFERROR(VLOOKUP(B104,_Protheus_Cadastro!$A:$D,4,FALSE),"—"))</f>
        <v/>
      </c>
      <c r="F104" s="91">
        <f>IF(ISERROR(VLOOKUP(B104,'Estrutura Protheus'!A:A,1,FALSE)),"Não","Sim")</f>
        <v/>
      </c>
      <c r="G104" s="92">
        <f>IFERROR(INDEX(_Protheus_Cadastro!$H:$H,MATCH(B104,_Protheus_Cadastro!$A:$A,0)),"—")</f>
        <v/>
      </c>
      <c r="H104" s="210">
        <f>IFERROR(INDEX(_ZIG_Precos!$D:$D,MATCH(I104,_ZIG_Precos!$F:$F,0)),"—")</f>
        <v/>
      </c>
      <c r="I104" s="95">
        <f>IFERROR(VLOOKUP(B104,_Protheus_Cadastro!$A:$I,9,FALSE),"—")</f>
        <v/>
      </c>
      <c r="J104" s="93">
        <f>IFERROR(INDEX(_ZIG_Cadastro!$B:$B,MATCH(I104,_ZIG_Cadastro!$A:$A,0)),IFERROR(INDEX(_Entradas_ZIG!$B:$B,MATCH(I104,_Entradas_ZIG!$C:$C,0)),"—"))</f>
        <v/>
      </c>
      <c r="K104" s="93">
        <f>IFERROR(INDEX(_ZIG_Cadastro!$C:$C,MATCH(I104,_ZIG_Cadastro!$A:$A,0)),IFERROR(INDEX(_Entradas_ZIG!$D:$D,MATCH(I104,_Entradas_ZIG!$C:$C,0)),"—"))</f>
        <v/>
      </c>
      <c r="L104" s="92">
        <f>IF(I104="","Sem SKU ZIG",IF(I104="—","Sem SKU ZIG",IF(NOT(ISERROR(MATCH(I104,_ZIG_Cadastro!$A:$A,0))),IF(EXACT(UPPER(TRIM(C104)),UPPER(TRIM(INDEX(_ZIG_Cadastro!$B:$B,MATCH(I104,_ZIG_Cadastro!$A:$A,0))))),"OK","Atencao - Nome diverge"),IF(NOT(ISERROR(MATCH(I104,_Entradas_ZIG!$C:$C,0))),"OK","Erro - SKU nao encontrado"))))</f>
        <v/>
      </c>
      <c r="M104" s="92">
        <f>IFERROR(INDEX(_ZIG_Cadastro!$G:$G,MATCH(I104,_ZIG_Cadastro!$A:$A,0)),IF(NOT(ISERROR(MATCH(I104,_Entradas_ZIG!$C:$C,0))),"Ativo","—"))</f>
        <v/>
      </c>
      <c r="N104" s="94">
        <f>IFERROR(INDEX(_ZIG_Cadastro!$E:$E,MATCH(I104,_ZIG_Cadastro!$A:$A,0)),IFERROR(INDEX(_Entradas_ZIG!$F:$F,MATCH(I104,_Entradas_ZIG!$C:$C,0)),"—"))</f>
        <v/>
      </c>
      <c r="O104" s="92">
        <f>IF(AND(ISNUMBER(SEARCH("Espeto",N104)),ISNUMBER(SEARCH("Carin",N104))),"SIM","")</f>
        <v/>
      </c>
      <c r="P104" s="92">
        <f>IF(AND(ISNUMBER(SEARCH("Espeto",N104)),ISNUMBER(SEARCH("Lapa",N104))),"SIM","")</f>
        <v/>
      </c>
      <c r="Q104" s="92">
        <f>IF(AND(ISNUMBER(SEARCH("Espeto",N104)),ISNUMBER(SEARCH("Tatuapé",N104))),"SIM","")</f>
        <v/>
      </c>
      <c r="R104" s="92">
        <f>IF(AND(ISNUMBER(SEARCH("Espeto",N104)),ISNUMBER(SEARCH("Pavão",N104))),"SIM","")</f>
        <v/>
      </c>
      <c r="S104" s="92">
        <f>IF(AND(ISNUMBER(SEARCH("Espeto",N104)),ISNUMBER(SEARCH("Chac",N104))),"SIM","")</f>
        <v/>
      </c>
      <c r="T104" s="92">
        <f>IF(AND(ISNUMBER(SEARCH("Espeto",N104)),ISNUMBER(SEARCH("Madalena",N104))),"SIM","")</f>
        <v/>
      </c>
      <c r="U104" s="92">
        <f>IF(AND(ISNUMBER(SEARCH("Espeto",N104)),ISNUMBER(SEARCH("Mariana",N104))),"SIM","")</f>
        <v/>
      </c>
      <c r="V104" s="92">
        <f>IF(AND(ISNUMBER(SEARCH("Espeto",N104)),ISNUMBER(SEARCH("Perdizes",N104))),"SIM","")</f>
        <v/>
      </c>
      <c r="W104" s="92">
        <f>IF(AND(ISNUMBER(SEARCH("Espeto",N104)),ISNUMBER(SEARCH("Santana",N104))),"SIM","")</f>
        <v/>
      </c>
      <c r="X104" s="92">
        <f>IF(AND(ISNUMBER(SEARCH("Espeto",N104)),ISNUMBER(SEARCH("André",N104))),"SIM","")</f>
        <v/>
      </c>
      <c r="Y104" s="92">
        <f>IF(AND(ISNUMBER(SEARCH("Delivery",N104)),ISNUMBER(SEARCH("Carin",N104))),"SIM","")</f>
        <v/>
      </c>
      <c r="Z104" s="92">
        <f>IF(AND(ISNUMBER(SEARCH("Delivery",N104)),ISNUMBER(SEARCH("Lapa",N104))),"SIM","")</f>
        <v/>
      </c>
      <c r="AA104" s="92">
        <f>IF(AND(ISNUMBER(SEARCH("Delivery",N104)),ISNUMBER(SEARCH("Tatuapé",N104))),"SIM","")</f>
        <v/>
      </c>
      <c r="AB104" s="92">
        <f>IF(AND(ISNUMBER(SEARCH("Delivery",N104)),ISNUMBER(SEARCH("Pavão",N104))),"SIM","")</f>
        <v/>
      </c>
      <c r="AC104" s="92">
        <f>IF(AND(ISNUMBER(SEARCH("Delivery",N104)),ISNUMBER(SEARCH("Chac",N104))),"SIM","")</f>
        <v/>
      </c>
      <c r="AD104" s="92">
        <f>IF(AND(ISNUMBER(SEARCH("Delivery",N104)),ISNUMBER(SEARCH("Madalena",N104))),"SIM","")</f>
        <v/>
      </c>
      <c r="AE104" s="92">
        <f>IF(AND(ISNUMBER(SEARCH("Delivery",N104)),ISNUMBER(SEARCH("Mariana",N104))),"SIM","")</f>
        <v/>
      </c>
      <c r="AF104" s="92">
        <f>IF(AND(ISNUMBER(SEARCH("Delivery",N104)),ISNUMBER(SEARCH("Perdizes",N104))),"SIM","")</f>
        <v/>
      </c>
      <c r="AG104" s="92">
        <f>IF(AND(ISNUMBER(SEARCH("Delivery",N104)),ISNUMBER(SEARCH("Santana",N104))),"SIM","")</f>
        <v/>
      </c>
      <c r="AH104" s="92">
        <f>IF(AND(ISNUMBER(SEARCH("Delivery",N104)),ISNUMBER(SEARCH("André",N104))),"SIM","")</f>
        <v/>
      </c>
      <c r="AI104" s="92">
        <f>IF(ISNUMBER(SEARCH("Interlagos",N104)),"SIM","")</f>
        <v/>
      </c>
      <c r="AJ104" s="92">
        <f>IF(ISNUMBER(SEARCH("Quiosque",N104)),"SIM","")</f>
        <v/>
      </c>
      <c r="AK104" s="93" t="n"/>
    </row>
    <row r="105">
      <c r="A105" s="88" t="inlineStr">
        <is>
          <t>Protheus</t>
        </is>
      </c>
      <c r="B105" s="96" t="inlineStr">
        <is>
          <t>001999</t>
        </is>
      </c>
      <c r="C105" s="97">
        <f>IF(B105="—","—",IFERROR(VLOOKUP(B105,_Protheus_Cadastro!$A:$B,2,FALSE),"—"))</f>
        <v/>
      </c>
      <c r="D105" s="98">
        <f>IF(B105="—",IFERROR(INDEX(_ZIG_Cadastro!$D:$D,MATCH(H105,_ZIG_Cadastro!$A:$A,0)),"Produto"),IFERROR(VLOOKUP(B105,_Protheus_Cadastro!$A:$C,3,FALSE),"—"))</f>
        <v/>
      </c>
      <c r="E105" s="98">
        <f>IF(B105="—","—",IFERROR(VLOOKUP(B105,_Protheus_Cadastro!$A:$D,4,FALSE),"—"))</f>
        <v/>
      </c>
      <c r="F105" s="98">
        <f>IF(ISERROR(VLOOKUP(B105,'Estrutura Protheus'!A:A,1,FALSE)),"Não","Sim")</f>
        <v/>
      </c>
      <c r="G105" s="99">
        <f>IFERROR(INDEX(_Protheus_Cadastro!$H:$H,MATCH(B105,_Protheus_Cadastro!$A:$A,0)),"—")</f>
        <v/>
      </c>
      <c r="H105" s="211">
        <f>IFERROR(INDEX(_ZIG_Precos!$D:$D,MATCH(I105,_ZIG_Precos!$F:$F,0)),"—")</f>
        <v/>
      </c>
      <c r="I105" s="103">
        <f>IFERROR(VLOOKUP(B105,_Protheus_Cadastro!$A:$I,9,FALSE),"—")</f>
        <v/>
      </c>
      <c r="J105" s="101">
        <f>IFERROR(INDEX(_ZIG_Cadastro!$B:$B,MATCH(I105,_ZIG_Cadastro!$A:$A,0)),IFERROR(INDEX(_Entradas_ZIG!$B:$B,MATCH(I105,_Entradas_ZIG!$C:$C,0)),"—"))</f>
        <v/>
      </c>
      <c r="K105" s="101">
        <f>IFERROR(INDEX(_ZIG_Cadastro!$C:$C,MATCH(I105,_ZIG_Cadastro!$A:$A,0)),IFERROR(INDEX(_Entradas_ZIG!$D:$D,MATCH(I105,_Entradas_ZIG!$C:$C,0)),"—"))</f>
        <v/>
      </c>
      <c r="L105" s="99">
        <f>IF(I105="","Sem SKU ZIG",IF(I105="—","Sem SKU ZIG",IF(NOT(ISERROR(MATCH(I105,_ZIG_Cadastro!$A:$A,0))),IF(EXACT(UPPER(TRIM(C105)),UPPER(TRIM(INDEX(_ZIG_Cadastro!$B:$B,MATCH(I105,_ZIG_Cadastro!$A:$A,0))))),"OK","Atencao - Nome diverge"),IF(NOT(ISERROR(MATCH(I105,_Entradas_ZIG!$C:$C,0))),"OK","Erro - SKU nao encontrado"))))</f>
        <v/>
      </c>
      <c r="M105" s="99">
        <f>IFERROR(INDEX(_ZIG_Cadastro!$G:$G,MATCH(I105,_ZIG_Cadastro!$A:$A,0)),IF(NOT(ISERROR(MATCH(I105,_Entradas_ZIG!$C:$C,0))),"Ativo","—"))</f>
        <v/>
      </c>
      <c r="N105" s="102">
        <f>IFERROR(INDEX(_ZIG_Cadastro!$E:$E,MATCH(I105,_ZIG_Cadastro!$A:$A,0)),IFERROR(INDEX(_Entradas_ZIG!$F:$F,MATCH(I105,_Entradas_ZIG!$C:$C,0)),"—"))</f>
        <v/>
      </c>
      <c r="O105" s="99">
        <f>IF(AND(ISNUMBER(SEARCH("Espeto",N105)),ISNUMBER(SEARCH("Carin",N105))),"SIM","")</f>
        <v/>
      </c>
      <c r="P105" s="99">
        <f>IF(AND(ISNUMBER(SEARCH("Espeto",N105)),ISNUMBER(SEARCH("Lapa",N105))),"SIM","")</f>
        <v/>
      </c>
      <c r="Q105" s="99">
        <f>IF(AND(ISNUMBER(SEARCH("Espeto",N105)),ISNUMBER(SEARCH("Tatuapé",N105))),"SIM","")</f>
        <v/>
      </c>
      <c r="R105" s="99">
        <f>IF(AND(ISNUMBER(SEARCH("Espeto",N105)),ISNUMBER(SEARCH("Pavão",N105))),"SIM","")</f>
        <v/>
      </c>
      <c r="S105" s="99">
        <f>IF(AND(ISNUMBER(SEARCH("Espeto",N105)),ISNUMBER(SEARCH("Chac",N105))),"SIM","")</f>
        <v/>
      </c>
      <c r="T105" s="99">
        <f>IF(AND(ISNUMBER(SEARCH("Espeto",N105)),ISNUMBER(SEARCH("Madalena",N105))),"SIM","")</f>
        <v/>
      </c>
      <c r="U105" s="99">
        <f>IF(AND(ISNUMBER(SEARCH("Espeto",N105)),ISNUMBER(SEARCH("Mariana",N105))),"SIM","")</f>
        <v/>
      </c>
      <c r="V105" s="99">
        <f>IF(AND(ISNUMBER(SEARCH("Espeto",N105)),ISNUMBER(SEARCH("Perdizes",N105))),"SIM","")</f>
        <v/>
      </c>
      <c r="W105" s="99">
        <f>IF(AND(ISNUMBER(SEARCH("Espeto",N105)),ISNUMBER(SEARCH("Santana",N105))),"SIM","")</f>
        <v/>
      </c>
      <c r="X105" s="99">
        <f>IF(AND(ISNUMBER(SEARCH("Espeto",N105)),ISNUMBER(SEARCH("André",N105))),"SIM","")</f>
        <v/>
      </c>
      <c r="Y105" s="99">
        <f>IF(AND(ISNUMBER(SEARCH("Delivery",N105)),ISNUMBER(SEARCH("Carin",N105))),"SIM","")</f>
        <v/>
      </c>
      <c r="Z105" s="99">
        <f>IF(AND(ISNUMBER(SEARCH("Delivery",N105)),ISNUMBER(SEARCH("Lapa",N105))),"SIM","")</f>
        <v/>
      </c>
      <c r="AA105" s="99">
        <f>IF(AND(ISNUMBER(SEARCH("Delivery",N105)),ISNUMBER(SEARCH("Tatuapé",N105))),"SIM","")</f>
        <v/>
      </c>
      <c r="AB105" s="99">
        <f>IF(AND(ISNUMBER(SEARCH("Delivery",N105)),ISNUMBER(SEARCH("Pavão",N105))),"SIM","")</f>
        <v/>
      </c>
      <c r="AC105" s="99">
        <f>IF(AND(ISNUMBER(SEARCH("Delivery",N105)),ISNUMBER(SEARCH("Chac",N105))),"SIM","")</f>
        <v/>
      </c>
      <c r="AD105" s="99">
        <f>IF(AND(ISNUMBER(SEARCH("Delivery",N105)),ISNUMBER(SEARCH("Madalena",N105))),"SIM","")</f>
        <v/>
      </c>
      <c r="AE105" s="99">
        <f>IF(AND(ISNUMBER(SEARCH("Delivery",N105)),ISNUMBER(SEARCH("Mariana",N105))),"SIM","")</f>
        <v/>
      </c>
      <c r="AF105" s="99">
        <f>IF(AND(ISNUMBER(SEARCH("Delivery",N105)),ISNUMBER(SEARCH("Perdizes",N105))),"SIM","")</f>
        <v/>
      </c>
      <c r="AG105" s="99">
        <f>IF(AND(ISNUMBER(SEARCH("Delivery",N105)),ISNUMBER(SEARCH("Santana",N105))),"SIM","")</f>
        <v/>
      </c>
      <c r="AH105" s="99">
        <f>IF(AND(ISNUMBER(SEARCH("Delivery",N105)),ISNUMBER(SEARCH("André",N105))),"SIM","")</f>
        <v/>
      </c>
      <c r="AI105" s="99">
        <f>IF(ISNUMBER(SEARCH("Interlagos",N105)),"SIM","")</f>
        <v/>
      </c>
      <c r="AJ105" s="99">
        <f>IF(ISNUMBER(SEARCH("Quiosque",N105)),"SIM","")</f>
        <v/>
      </c>
      <c r="AK105" s="101" t="n"/>
    </row>
    <row r="106">
      <c r="A106" s="88" t="inlineStr">
        <is>
          <t>Protheus</t>
        </is>
      </c>
      <c r="B106" s="89" t="inlineStr">
        <is>
          <t>010084</t>
        </is>
      </c>
      <c r="C106" s="90">
        <f>IF(B106="—","—",IFERROR(VLOOKUP(B106,_Protheus_Cadastro!$A:$B,2,FALSE),"—"))</f>
        <v/>
      </c>
      <c r="D106" s="91">
        <f>IF(B106="—",IFERROR(INDEX(_ZIG_Cadastro!$D:$D,MATCH(H106,_ZIG_Cadastro!$A:$A,0)),"Produto"),IFERROR(VLOOKUP(B106,_Protheus_Cadastro!$A:$C,3,FALSE),"—"))</f>
        <v/>
      </c>
      <c r="E106" s="91">
        <f>IF(B106="—","—",IFERROR(VLOOKUP(B106,_Protheus_Cadastro!$A:$D,4,FALSE),"—"))</f>
        <v/>
      </c>
      <c r="F106" s="91">
        <f>IF(ISERROR(VLOOKUP(B106,'Estrutura Protheus'!A:A,1,FALSE)),"Não","Sim")</f>
        <v/>
      </c>
      <c r="G106" s="92">
        <f>IFERROR(INDEX(_Protheus_Cadastro!$H:$H,MATCH(B106,_Protheus_Cadastro!$A:$A,0)),"—")</f>
        <v/>
      </c>
      <c r="H106" s="210">
        <f>IFERROR(INDEX(_ZIG_Precos!$D:$D,MATCH(I106,_ZIG_Precos!$F:$F,0)),"—")</f>
        <v/>
      </c>
      <c r="I106" s="95">
        <f>IFERROR(VLOOKUP(B106,_Protheus_Cadastro!$A:$I,9,FALSE),"—")</f>
        <v/>
      </c>
      <c r="J106" s="93">
        <f>IFERROR(INDEX(_ZIG_Cadastro!$B:$B,MATCH(I106,_ZIG_Cadastro!$A:$A,0)),IFERROR(INDEX(_Entradas_ZIG!$B:$B,MATCH(I106,_Entradas_ZIG!$C:$C,0)),"—"))</f>
        <v/>
      </c>
      <c r="K106" s="93">
        <f>IFERROR(INDEX(_ZIG_Cadastro!$C:$C,MATCH(I106,_ZIG_Cadastro!$A:$A,0)),IFERROR(INDEX(_Entradas_ZIG!$D:$D,MATCH(I106,_Entradas_ZIG!$C:$C,0)),"—"))</f>
        <v/>
      </c>
      <c r="L106" s="92">
        <f>IF(I106="","Sem SKU ZIG",IF(I106="—","Sem SKU ZIG",IF(NOT(ISERROR(MATCH(I106,_ZIG_Cadastro!$A:$A,0))),IF(EXACT(UPPER(TRIM(C106)),UPPER(TRIM(INDEX(_ZIG_Cadastro!$B:$B,MATCH(I106,_ZIG_Cadastro!$A:$A,0))))),"OK","Atencao - Nome diverge"),IF(NOT(ISERROR(MATCH(I106,_Entradas_ZIG!$C:$C,0))),"OK","Erro - SKU nao encontrado"))))</f>
        <v/>
      </c>
      <c r="M106" s="92">
        <f>IFERROR(INDEX(_ZIG_Cadastro!$G:$G,MATCH(I106,_ZIG_Cadastro!$A:$A,0)),IF(NOT(ISERROR(MATCH(I106,_Entradas_ZIG!$C:$C,0))),"Ativo","—"))</f>
        <v/>
      </c>
      <c r="N106" s="94">
        <f>IFERROR(INDEX(_ZIG_Cadastro!$E:$E,MATCH(I106,_ZIG_Cadastro!$A:$A,0)),IFERROR(INDEX(_Entradas_ZIG!$F:$F,MATCH(I106,_Entradas_ZIG!$C:$C,0)),"—"))</f>
        <v/>
      </c>
      <c r="O106" s="92">
        <f>IF(AND(ISNUMBER(SEARCH("Espeto",N106)),ISNUMBER(SEARCH("Carin",N106))),"SIM","")</f>
        <v/>
      </c>
      <c r="P106" s="92">
        <f>IF(AND(ISNUMBER(SEARCH("Espeto",N106)),ISNUMBER(SEARCH("Lapa",N106))),"SIM","")</f>
        <v/>
      </c>
      <c r="Q106" s="92">
        <f>IF(AND(ISNUMBER(SEARCH("Espeto",N106)),ISNUMBER(SEARCH("Tatuapé",N106))),"SIM","")</f>
        <v/>
      </c>
      <c r="R106" s="92">
        <f>IF(AND(ISNUMBER(SEARCH("Espeto",N106)),ISNUMBER(SEARCH("Pavão",N106))),"SIM","")</f>
        <v/>
      </c>
      <c r="S106" s="92">
        <f>IF(AND(ISNUMBER(SEARCH("Espeto",N106)),ISNUMBER(SEARCH("Chac",N106))),"SIM","")</f>
        <v/>
      </c>
      <c r="T106" s="92">
        <f>IF(AND(ISNUMBER(SEARCH("Espeto",N106)),ISNUMBER(SEARCH("Madalena",N106))),"SIM","")</f>
        <v/>
      </c>
      <c r="U106" s="92">
        <f>IF(AND(ISNUMBER(SEARCH("Espeto",N106)),ISNUMBER(SEARCH("Mariana",N106))),"SIM","")</f>
        <v/>
      </c>
      <c r="V106" s="92">
        <f>IF(AND(ISNUMBER(SEARCH("Espeto",N106)),ISNUMBER(SEARCH("Perdizes",N106))),"SIM","")</f>
        <v/>
      </c>
      <c r="W106" s="92">
        <f>IF(AND(ISNUMBER(SEARCH("Espeto",N106)),ISNUMBER(SEARCH("Santana",N106))),"SIM","")</f>
        <v/>
      </c>
      <c r="X106" s="92">
        <f>IF(AND(ISNUMBER(SEARCH("Espeto",N106)),ISNUMBER(SEARCH("André",N106))),"SIM","")</f>
        <v/>
      </c>
      <c r="Y106" s="92">
        <f>IF(AND(ISNUMBER(SEARCH("Delivery",N106)),ISNUMBER(SEARCH("Carin",N106))),"SIM","")</f>
        <v/>
      </c>
      <c r="Z106" s="92">
        <f>IF(AND(ISNUMBER(SEARCH("Delivery",N106)),ISNUMBER(SEARCH("Lapa",N106))),"SIM","")</f>
        <v/>
      </c>
      <c r="AA106" s="92">
        <f>IF(AND(ISNUMBER(SEARCH("Delivery",N106)),ISNUMBER(SEARCH("Tatuapé",N106))),"SIM","")</f>
        <v/>
      </c>
      <c r="AB106" s="92">
        <f>IF(AND(ISNUMBER(SEARCH("Delivery",N106)),ISNUMBER(SEARCH("Pavão",N106))),"SIM","")</f>
        <v/>
      </c>
      <c r="AC106" s="92">
        <f>IF(AND(ISNUMBER(SEARCH("Delivery",N106)),ISNUMBER(SEARCH("Chac",N106))),"SIM","")</f>
        <v/>
      </c>
      <c r="AD106" s="92">
        <f>IF(AND(ISNUMBER(SEARCH("Delivery",N106)),ISNUMBER(SEARCH("Madalena",N106))),"SIM","")</f>
        <v/>
      </c>
      <c r="AE106" s="92">
        <f>IF(AND(ISNUMBER(SEARCH("Delivery",N106)),ISNUMBER(SEARCH("Mariana",N106))),"SIM","")</f>
        <v/>
      </c>
      <c r="AF106" s="92">
        <f>IF(AND(ISNUMBER(SEARCH("Delivery",N106)),ISNUMBER(SEARCH("Perdizes",N106))),"SIM","")</f>
        <v/>
      </c>
      <c r="AG106" s="92">
        <f>IF(AND(ISNUMBER(SEARCH("Delivery",N106)),ISNUMBER(SEARCH("Santana",N106))),"SIM","")</f>
        <v/>
      </c>
      <c r="AH106" s="92">
        <f>IF(AND(ISNUMBER(SEARCH("Delivery",N106)),ISNUMBER(SEARCH("André",N106))),"SIM","")</f>
        <v/>
      </c>
      <c r="AI106" s="92">
        <f>IF(ISNUMBER(SEARCH("Interlagos",N106)),"SIM","")</f>
        <v/>
      </c>
      <c r="AJ106" s="92">
        <f>IF(ISNUMBER(SEARCH("Quiosque",N106)),"SIM","")</f>
        <v/>
      </c>
      <c r="AK106" s="93" t="n"/>
    </row>
    <row r="107">
      <c r="A107" s="88" t="inlineStr">
        <is>
          <t>Protheus</t>
        </is>
      </c>
      <c r="B107" s="96" t="inlineStr">
        <is>
          <t>009992</t>
        </is>
      </c>
      <c r="C107" s="97">
        <f>IF(B107="—","—",IFERROR(VLOOKUP(B107,_Protheus_Cadastro!$A:$B,2,FALSE),"—"))</f>
        <v/>
      </c>
      <c r="D107" s="98">
        <f>IF(B107="—",IFERROR(INDEX(_ZIG_Cadastro!$D:$D,MATCH(H107,_ZIG_Cadastro!$A:$A,0)),"Produto"),IFERROR(VLOOKUP(B107,_Protheus_Cadastro!$A:$C,3,FALSE),"—"))</f>
        <v/>
      </c>
      <c r="E107" s="98">
        <f>IF(B107="—","—",IFERROR(VLOOKUP(B107,_Protheus_Cadastro!$A:$D,4,FALSE),"—"))</f>
        <v/>
      </c>
      <c r="F107" s="98">
        <f>IF(ISERROR(VLOOKUP(B107,'Estrutura Protheus'!A:A,1,FALSE)),"Não","Sim")</f>
        <v/>
      </c>
      <c r="G107" s="99">
        <f>IFERROR(INDEX(_Protheus_Cadastro!$H:$H,MATCH(B107,_Protheus_Cadastro!$A:$A,0)),"—")</f>
        <v/>
      </c>
      <c r="H107" s="211">
        <f>IFERROR(INDEX(_ZIG_Precos!$D:$D,MATCH(I107,_ZIG_Precos!$F:$F,0)),"—")</f>
        <v/>
      </c>
      <c r="I107" s="103">
        <f>IFERROR(VLOOKUP(B107,_Protheus_Cadastro!$A:$I,9,FALSE),"—")</f>
        <v/>
      </c>
      <c r="J107" s="101">
        <f>IFERROR(INDEX(_ZIG_Cadastro!$B:$B,MATCH(I107,_ZIG_Cadastro!$A:$A,0)),IFERROR(INDEX(_Entradas_ZIG!$B:$B,MATCH(I107,_Entradas_ZIG!$C:$C,0)),"—"))</f>
        <v/>
      </c>
      <c r="K107" s="101">
        <f>IFERROR(INDEX(_ZIG_Cadastro!$C:$C,MATCH(I107,_ZIG_Cadastro!$A:$A,0)),IFERROR(INDEX(_Entradas_ZIG!$D:$D,MATCH(I107,_Entradas_ZIG!$C:$C,0)),"—"))</f>
        <v/>
      </c>
      <c r="L107" s="99">
        <f>IF(I107="","Sem SKU ZIG",IF(I107="—","Sem SKU ZIG",IF(NOT(ISERROR(MATCH(I107,_ZIG_Cadastro!$A:$A,0))),IF(EXACT(UPPER(TRIM(C107)),UPPER(TRIM(INDEX(_ZIG_Cadastro!$B:$B,MATCH(I107,_ZIG_Cadastro!$A:$A,0))))),"OK","Atencao - Nome diverge"),IF(NOT(ISERROR(MATCH(I107,_Entradas_ZIG!$C:$C,0))),"OK","Erro - SKU nao encontrado"))))</f>
        <v/>
      </c>
      <c r="M107" s="99">
        <f>IFERROR(INDEX(_ZIG_Cadastro!$G:$G,MATCH(I107,_ZIG_Cadastro!$A:$A,0)),IF(NOT(ISERROR(MATCH(I107,_Entradas_ZIG!$C:$C,0))),"Ativo","—"))</f>
        <v/>
      </c>
      <c r="N107" s="102">
        <f>IFERROR(INDEX(_ZIG_Cadastro!$E:$E,MATCH(I107,_ZIG_Cadastro!$A:$A,0)),IFERROR(INDEX(_Entradas_ZIG!$F:$F,MATCH(I107,_Entradas_ZIG!$C:$C,0)),"—"))</f>
        <v/>
      </c>
      <c r="O107" s="99">
        <f>IF(AND(ISNUMBER(SEARCH("Espeto",N107)),ISNUMBER(SEARCH("Carin",N107))),"SIM","")</f>
        <v/>
      </c>
      <c r="P107" s="99">
        <f>IF(AND(ISNUMBER(SEARCH("Espeto",N107)),ISNUMBER(SEARCH("Lapa",N107))),"SIM","")</f>
        <v/>
      </c>
      <c r="Q107" s="99">
        <f>IF(AND(ISNUMBER(SEARCH("Espeto",N107)),ISNUMBER(SEARCH("Tatuapé",N107))),"SIM","")</f>
        <v/>
      </c>
      <c r="R107" s="99">
        <f>IF(AND(ISNUMBER(SEARCH("Espeto",N107)),ISNUMBER(SEARCH("Pavão",N107))),"SIM","")</f>
        <v/>
      </c>
      <c r="S107" s="99">
        <f>IF(AND(ISNUMBER(SEARCH("Espeto",N107)),ISNUMBER(SEARCH("Chac",N107))),"SIM","")</f>
        <v/>
      </c>
      <c r="T107" s="99">
        <f>IF(AND(ISNUMBER(SEARCH("Espeto",N107)),ISNUMBER(SEARCH("Madalena",N107))),"SIM","")</f>
        <v/>
      </c>
      <c r="U107" s="99">
        <f>IF(AND(ISNUMBER(SEARCH("Espeto",N107)),ISNUMBER(SEARCH("Mariana",N107))),"SIM","")</f>
        <v/>
      </c>
      <c r="V107" s="99">
        <f>IF(AND(ISNUMBER(SEARCH("Espeto",N107)),ISNUMBER(SEARCH("Perdizes",N107))),"SIM","")</f>
        <v/>
      </c>
      <c r="W107" s="99">
        <f>IF(AND(ISNUMBER(SEARCH("Espeto",N107)),ISNUMBER(SEARCH("Santana",N107))),"SIM","")</f>
        <v/>
      </c>
      <c r="X107" s="99">
        <f>IF(AND(ISNUMBER(SEARCH("Espeto",N107)),ISNUMBER(SEARCH("André",N107))),"SIM","")</f>
        <v/>
      </c>
      <c r="Y107" s="99">
        <f>IF(AND(ISNUMBER(SEARCH("Delivery",N107)),ISNUMBER(SEARCH("Carin",N107))),"SIM","")</f>
        <v/>
      </c>
      <c r="Z107" s="99">
        <f>IF(AND(ISNUMBER(SEARCH("Delivery",N107)),ISNUMBER(SEARCH("Lapa",N107))),"SIM","")</f>
        <v/>
      </c>
      <c r="AA107" s="99">
        <f>IF(AND(ISNUMBER(SEARCH("Delivery",N107)),ISNUMBER(SEARCH("Tatuapé",N107))),"SIM","")</f>
        <v/>
      </c>
      <c r="AB107" s="99">
        <f>IF(AND(ISNUMBER(SEARCH("Delivery",N107)),ISNUMBER(SEARCH("Pavão",N107))),"SIM","")</f>
        <v/>
      </c>
      <c r="AC107" s="99">
        <f>IF(AND(ISNUMBER(SEARCH("Delivery",N107)),ISNUMBER(SEARCH("Chac",N107))),"SIM","")</f>
        <v/>
      </c>
      <c r="AD107" s="99">
        <f>IF(AND(ISNUMBER(SEARCH("Delivery",N107)),ISNUMBER(SEARCH("Madalena",N107))),"SIM","")</f>
        <v/>
      </c>
      <c r="AE107" s="99">
        <f>IF(AND(ISNUMBER(SEARCH("Delivery",N107)),ISNUMBER(SEARCH("Mariana",N107))),"SIM","")</f>
        <v/>
      </c>
      <c r="AF107" s="99">
        <f>IF(AND(ISNUMBER(SEARCH("Delivery",N107)),ISNUMBER(SEARCH("Perdizes",N107))),"SIM","")</f>
        <v/>
      </c>
      <c r="AG107" s="99">
        <f>IF(AND(ISNUMBER(SEARCH("Delivery",N107)),ISNUMBER(SEARCH("Santana",N107))),"SIM","")</f>
        <v/>
      </c>
      <c r="AH107" s="99">
        <f>IF(AND(ISNUMBER(SEARCH("Delivery",N107)),ISNUMBER(SEARCH("André",N107))),"SIM","")</f>
        <v/>
      </c>
      <c r="AI107" s="99">
        <f>IF(ISNUMBER(SEARCH("Interlagos",N107)),"SIM","")</f>
        <v/>
      </c>
      <c r="AJ107" s="99">
        <f>IF(ISNUMBER(SEARCH("Quiosque",N107)),"SIM","")</f>
        <v/>
      </c>
      <c r="AK107" s="101" t="n"/>
    </row>
    <row r="108">
      <c r="A108" s="88" t="inlineStr">
        <is>
          <t>Protheus</t>
        </is>
      </c>
      <c r="B108" s="89" t="inlineStr">
        <is>
          <t>009481</t>
        </is>
      </c>
      <c r="C108" s="90">
        <f>IF(B108="—","—",IFERROR(VLOOKUP(B108,_Protheus_Cadastro!$A:$B,2,FALSE),"—"))</f>
        <v/>
      </c>
      <c r="D108" s="91">
        <f>IF(B108="—",IFERROR(INDEX(_ZIG_Cadastro!$D:$D,MATCH(H108,_ZIG_Cadastro!$A:$A,0)),"Produto"),IFERROR(VLOOKUP(B108,_Protheus_Cadastro!$A:$C,3,FALSE),"—"))</f>
        <v/>
      </c>
      <c r="E108" s="91">
        <f>IF(B108="—","—",IFERROR(VLOOKUP(B108,_Protheus_Cadastro!$A:$D,4,FALSE),"—"))</f>
        <v/>
      </c>
      <c r="F108" s="91">
        <f>IF(ISERROR(VLOOKUP(B108,'Estrutura Protheus'!A:A,1,FALSE)),"Não","Sim")</f>
        <v/>
      </c>
      <c r="G108" s="92">
        <f>IFERROR(INDEX(_Protheus_Cadastro!$H:$H,MATCH(B108,_Protheus_Cadastro!$A:$A,0)),"—")</f>
        <v/>
      </c>
      <c r="H108" s="210">
        <f>IFERROR(INDEX(_ZIG_Precos!$D:$D,MATCH(I108,_ZIG_Precos!$F:$F,0)),"—")</f>
        <v/>
      </c>
      <c r="I108" s="95">
        <f>IFERROR(VLOOKUP(B108,_Protheus_Cadastro!$A:$I,9,FALSE),"—")</f>
        <v/>
      </c>
      <c r="J108" s="93">
        <f>IFERROR(INDEX(_ZIG_Cadastro!$B:$B,MATCH(I108,_ZIG_Cadastro!$A:$A,0)),IFERROR(INDEX(_Entradas_ZIG!$B:$B,MATCH(I108,_Entradas_ZIG!$C:$C,0)),"—"))</f>
        <v/>
      </c>
      <c r="K108" s="93">
        <f>IFERROR(INDEX(_ZIG_Cadastro!$C:$C,MATCH(I108,_ZIG_Cadastro!$A:$A,0)),IFERROR(INDEX(_Entradas_ZIG!$D:$D,MATCH(I108,_Entradas_ZIG!$C:$C,0)),"—"))</f>
        <v/>
      </c>
      <c r="L108" s="92">
        <f>IF(I108="","Sem SKU ZIG",IF(I108="—","Sem SKU ZIG",IF(NOT(ISERROR(MATCH(I108,_ZIG_Cadastro!$A:$A,0))),IF(EXACT(UPPER(TRIM(C108)),UPPER(TRIM(INDEX(_ZIG_Cadastro!$B:$B,MATCH(I108,_ZIG_Cadastro!$A:$A,0))))),"OK","Atencao - Nome diverge"),IF(NOT(ISERROR(MATCH(I108,_Entradas_ZIG!$C:$C,0))),"OK","Erro - SKU nao encontrado"))))</f>
        <v/>
      </c>
      <c r="M108" s="92">
        <f>IFERROR(INDEX(_ZIG_Cadastro!$G:$G,MATCH(I108,_ZIG_Cadastro!$A:$A,0)),IF(NOT(ISERROR(MATCH(I108,_Entradas_ZIG!$C:$C,0))),"Ativo","—"))</f>
        <v/>
      </c>
      <c r="N108" s="94">
        <f>IFERROR(INDEX(_ZIG_Cadastro!$E:$E,MATCH(I108,_ZIG_Cadastro!$A:$A,0)),IFERROR(INDEX(_Entradas_ZIG!$F:$F,MATCH(I108,_Entradas_ZIG!$C:$C,0)),"—"))</f>
        <v/>
      </c>
      <c r="O108" s="92">
        <f>IF(AND(ISNUMBER(SEARCH("Espeto",N108)),ISNUMBER(SEARCH("Carin",N108))),"SIM","")</f>
        <v/>
      </c>
      <c r="P108" s="92">
        <f>IF(AND(ISNUMBER(SEARCH("Espeto",N108)),ISNUMBER(SEARCH("Lapa",N108))),"SIM","")</f>
        <v/>
      </c>
      <c r="Q108" s="92">
        <f>IF(AND(ISNUMBER(SEARCH("Espeto",N108)),ISNUMBER(SEARCH("Tatuapé",N108))),"SIM","")</f>
        <v/>
      </c>
      <c r="R108" s="92">
        <f>IF(AND(ISNUMBER(SEARCH("Espeto",N108)),ISNUMBER(SEARCH("Pavão",N108))),"SIM","")</f>
        <v/>
      </c>
      <c r="S108" s="92">
        <f>IF(AND(ISNUMBER(SEARCH("Espeto",N108)),ISNUMBER(SEARCH("Chac",N108))),"SIM","")</f>
        <v/>
      </c>
      <c r="T108" s="92">
        <f>IF(AND(ISNUMBER(SEARCH("Espeto",N108)),ISNUMBER(SEARCH("Madalena",N108))),"SIM","")</f>
        <v/>
      </c>
      <c r="U108" s="92">
        <f>IF(AND(ISNUMBER(SEARCH("Espeto",N108)),ISNUMBER(SEARCH("Mariana",N108))),"SIM","")</f>
        <v/>
      </c>
      <c r="V108" s="92">
        <f>IF(AND(ISNUMBER(SEARCH("Espeto",N108)),ISNUMBER(SEARCH("Perdizes",N108))),"SIM","")</f>
        <v/>
      </c>
      <c r="W108" s="92">
        <f>IF(AND(ISNUMBER(SEARCH("Espeto",N108)),ISNUMBER(SEARCH("Santana",N108))),"SIM","")</f>
        <v/>
      </c>
      <c r="X108" s="92">
        <f>IF(AND(ISNUMBER(SEARCH("Espeto",N108)),ISNUMBER(SEARCH("André",N108))),"SIM","")</f>
        <v/>
      </c>
      <c r="Y108" s="92">
        <f>IF(AND(ISNUMBER(SEARCH("Delivery",N108)),ISNUMBER(SEARCH("Carin",N108))),"SIM","")</f>
        <v/>
      </c>
      <c r="Z108" s="92">
        <f>IF(AND(ISNUMBER(SEARCH("Delivery",N108)),ISNUMBER(SEARCH("Lapa",N108))),"SIM","")</f>
        <v/>
      </c>
      <c r="AA108" s="92">
        <f>IF(AND(ISNUMBER(SEARCH("Delivery",N108)),ISNUMBER(SEARCH("Tatuapé",N108))),"SIM","")</f>
        <v/>
      </c>
      <c r="AB108" s="92">
        <f>IF(AND(ISNUMBER(SEARCH("Delivery",N108)),ISNUMBER(SEARCH("Pavão",N108))),"SIM","")</f>
        <v/>
      </c>
      <c r="AC108" s="92">
        <f>IF(AND(ISNUMBER(SEARCH("Delivery",N108)),ISNUMBER(SEARCH("Chac",N108))),"SIM","")</f>
        <v/>
      </c>
      <c r="AD108" s="92">
        <f>IF(AND(ISNUMBER(SEARCH("Delivery",N108)),ISNUMBER(SEARCH("Madalena",N108))),"SIM","")</f>
        <v/>
      </c>
      <c r="AE108" s="92">
        <f>IF(AND(ISNUMBER(SEARCH("Delivery",N108)),ISNUMBER(SEARCH("Mariana",N108))),"SIM","")</f>
        <v/>
      </c>
      <c r="AF108" s="92">
        <f>IF(AND(ISNUMBER(SEARCH("Delivery",N108)),ISNUMBER(SEARCH("Perdizes",N108))),"SIM","")</f>
        <v/>
      </c>
      <c r="AG108" s="92">
        <f>IF(AND(ISNUMBER(SEARCH("Delivery",N108)),ISNUMBER(SEARCH("Santana",N108))),"SIM","")</f>
        <v/>
      </c>
      <c r="AH108" s="92">
        <f>IF(AND(ISNUMBER(SEARCH("Delivery",N108)),ISNUMBER(SEARCH("André",N108))),"SIM","")</f>
        <v/>
      </c>
      <c r="AI108" s="92">
        <f>IF(ISNUMBER(SEARCH("Interlagos",N108)),"SIM","")</f>
        <v/>
      </c>
      <c r="AJ108" s="92">
        <f>IF(ISNUMBER(SEARCH("Quiosque",N108)),"SIM","")</f>
        <v/>
      </c>
      <c r="AK108" s="93" t="n"/>
    </row>
    <row r="109">
      <c r="A109" s="88" t="inlineStr">
        <is>
          <t>Protheus</t>
        </is>
      </c>
      <c r="B109" s="96" t="inlineStr">
        <is>
          <t>000904</t>
        </is>
      </c>
      <c r="C109" s="97">
        <f>IF(B109="—","—",IFERROR(VLOOKUP(B109,_Protheus_Cadastro!$A:$B,2,FALSE),"—"))</f>
        <v/>
      </c>
      <c r="D109" s="98">
        <f>IF(B109="—",IFERROR(INDEX(_ZIG_Cadastro!$D:$D,MATCH(H109,_ZIG_Cadastro!$A:$A,0)),"Produto"),IFERROR(VLOOKUP(B109,_Protheus_Cadastro!$A:$C,3,FALSE),"—"))</f>
        <v/>
      </c>
      <c r="E109" s="98">
        <f>IF(B109="—","—",IFERROR(VLOOKUP(B109,_Protheus_Cadastro!$A:$D,4,FALSE),"—"))</f>
        <v/>
      </c>
      <c r="F109" s="98">
        <f>IF(ISERROR(VLOOKUP(B109,'Estrutura Protheus'!A:A,1,FALSE)),"Não","Sim")</f>
        <v/>
      </c>
      <c r="G109" s="99">
        <f>IFERROR(INDEX(_Protheus_Cadastro!$H:$H,MATCH(B109,_Protheus_Cadastro!$A:$A,0)),"—")</f>
        <v/>
      </c>
      <c r="H109" s="211">
        <f>IFERROR(INDEX(_ZIG_Precos!$D:$D,MATCH(I109,_ZIG_Precos!$F:$F,0)),"—")</f>
        <v/>
      </c>
      <c r="I109" s="103">
        <f>IFERROR(VLOOKUP(B109,_Protheus_Cadastro!$A:$I,9,FALSE),"—")</f>
        <v/>
      </c>
      <c r="J109" s="101">
        <f>IFERROR(INDEX(_ZIG_Cadastro!$B:$B,MATCH(I109,_ZIG_Cadastro!$A:$A,0)),IFERROR(INDEX(_Entradas_ZIG!$B:$B,MATCH(I109,_Entradas_ZIG!$C:$C,0)),"—"))</f>
        <v/>
      </c>
      <c r="K109" s="101">
        <f>IFERROR(INDEX(_ZIG_Cadastro!$C:$C,MATCH(I109,_ZIG_Cadastro!$A:$A,0)),IFERROR(INDEX(_Entradas_ZIG!$D:$D,MATCH(I109,_Entradas_ZIG!$C:$C,0)),"—"))</f>
        <v/>
      </c>
      <c r="L109" s="99">
        <f>IF(I109="","Sem SKU ZIG",IF(I109="—","Sem SKU ZIG",IF(NOT(ISERROR(MATCH(I109,_ZIG_Cadastro!$A:$A,0))),IF(EXACT(UPPER(TRIM(C109)),UPPER(TRIM(INDEX(_ZIG_Cadastro!$B:$B,MATCH(I109,_ZIG_Cadastro!$A:$A,0))))),"OK","Atencao - Nome diverge"),IF(NOT(ISERROR(MATCH(I109,_Entradas_ZIG!$C:$C,0))),"OK","Erro - SKU nao encontrado"))))</f>
        <v/>
      </c>
      <c r="M109" s="99">
        <f>IFERROR(INDEX(_ZIG_Cadastro!$G:$G,MATCH(I109,_ZIG_Cadastro!$A:$A,0)),IF(NOT(ISERROR(MATCH(I109,_Entradas_ZIG!$C:$C,0))),"Ativo","—"))</f>
        <v/>
      </c>
      <c r="N109" s="102">
        <f>IFERROR(INDEX(_ZIG_Cadastro!$E:$E,MATCH(I109,_ZIG_Cadastro!$A:$A,0)),IFERROR(INDEX(_Entradas_ZIG!$F:$F,MATCH(I109,_Entradas_ZIG!$C:$C,0)),"—"))</f>
        <v/>
      </c>
      <c r="O109" s="99">
        <f>IF(AND(ISNUMBER(SEARCH("Espeto",N109)),ISNUMBER(SEARCH("Carin",N109))),"SIM","")</f>
        <v/>
      </c>
      <c r="P109" s="99">
        <f>IF(AND(ISNUMBER(SEARCH("Espeto",N109)),ISNUMBER(SEARCH("Lapa",N109))),"SIM","")</f>
        <v/>
      </c>
      <c r="Q109" s="99">
        <f>IF(AND(ISNUMBER(SEARCH("Espeto",N109)),ISNUMBER(SEARCH("Tatuapé",N109))),"SIM","")</f>
        <v/>
      </c>
      <c r="R109" s="99">
        <f>IF(AND(ISNUMBER(SEARCH("Espeto",N109)),ISNUMBER(SEARCH("Pavão",N109))),"SIM","")</f>
        <v/>
      </c>
      <c r="S109" s="99">
        <f>IF(AND(ISNUMBER(SEARCH("Espeto",N109)),ISNUMBER(SEARCH("Chac",N109))),"SIM","")</f>
        <v/>
      </c>
      <c r="T109" s="99">
        <f>IF(AND(ISNUMBER(SEARCH("Espeto",N109)),ISNUMBER(SEARCH("Madalena",N109))),"SIM","")</f>
        <v/>
      </c>
      <c r="U109" s="99">
        <f>IF(AND(ISNUMBER(SEARCH("Espeto",N109)),ISNUMBER(SEARCH("Mariana",N109))),"SIM","")</f>
        <v/>
      </c>
      <c r="V109" s="99">
        <f>IF(AND(ISNUMBER(SEARCH("Espeto",N109)),ISNUMBER(SEARCH("Perdizes",N109))),"SIM","")</f>
        <v/>
      </c>
      <c r="W109" s="99">
        <f>IF(AND(ISNUMBER(SEARCH("Espeto",N109)),ISNUMBER(SEARCH("Santana",N109))),"SIM","")</f>
        <v/>
      </c>
      <c r="X109" s="99">
        <f>IF(AND(ISNUMBER(SEARCH("Espeto",N109)),ISNUMBER(SEARCH("André",N109))),"SIM","")</f>
        <v/>
      </c>
      <c r="Y109" s="99">
        <f>IF(AND(ISNUMBER(SEARCH("Delivery",N109)),ISNUMBER(SEARCH("Carin",N109))),"SIM","")</f>
        <v/>
      </c>
      <c r="Z109" s="99">
        <f>IF(AND(ISNUMBER(SEARCH("Delivery",N109)),ISNUMBER(SEARCH("Lapa",N109))),"SIM","")</f>
        <v/>
      </c>
      <c r="AA109" s="99">
        <f>IF(AND(ISNUMBER(SEARCH("Delivery",N109)),ISNUMBER(SEARCH("Tatuapé",N109))),"SIM","")</f>
        <v/>
      </c>
      <c r="AB109" s="99">
        <f>IF(AND(ISNUMBER(SEARCH("Delivery",N109)),ISNUMBER(SEARCH("Pavão",N109))),"SIM","")</f>
        <v/>
      </c>
      <c r="AC109" s="99">
        <f>IF(AND(ISNUMBER(SEARCH("Delivery",N109)),ISNUMBER(SEARCH("Chac",N109))),"SIM","")</f>
        <v/>
      </c>
      <c r="AD109" s="99">
        <f>IF(AND(ISNUMBER(SEARCH("Delivery",N109)),ISNUMBER(SEARCH("Madalena",N109))),"SIM","")</f>
        <v/>
      </c>
      <c r="AE109" s="99">
        <f>IF(AND(ISNUMBER(SEARCH("Delivery",N109)),ISNUMBER(SEARCH("Mariana",N109))),"SIM","")</f>
        <v/>
      </c>
      <c r="AF109" s="99">
        <f>IF(AND(ISNUMBER(SEARCH("Delivery",N109)),ISNUMBER(SEARCH("Perdizes",N109))),"SIM","")</f>
        <v/>
      </c>
      <c r="AG109" s="99">
        <f>IF(AND(ISNUMBER(SEARCH("Delivery",N109)),ISNUMBER(SEARCH("Santana",N109))),"SIM","")</f>
        <v/>
      </c>
      <c r="AH109" s="99">
        <f>IF(AND(ISNUMBER(SEARCH("Delivery",N109)),ISNUMBER(SEARCH("André",N109))),"SIM","")</f>
        <v/>
      </c>
      <c r="AI109" s="99">
        <f>IF(ISNUMBER(SEARCH("Interlagos",N109)),"SIM","")</f>
        <v/>
      </c>
      <c r="AJ109" s="99">
        <f>IF(ISNUMBER(SEARCH("Quiosque",N109)),"SIM","")</f>
        <v/>
      </c>
      <c r="AK109" s="101" t="n"/>
    </row>
    <row r="110">
      <c r="A110" s="88" t="inlineStr">
        <is>
          <t>Protheus</t>
        </is>
      </c>
      <c r="B110" s="89" t="inlineStr">
        <is>
          <t>001347</t>
        </is>
      </c>
      <c r="C110" s="90">
        <f>IF(B110="—","—",IFERROR(VLOOKUP(B110,_Protheus_Cadastro!$A:$B,2,FALSE),"—"))</f>
        <v/>
      </c>
      <c r="D110" s="91">
        <f>IF(B110="—",IFERROR(INDEX(_ZIG_Cadastro!$D:$D,MATCH(H110,_ZIG_Cadastro!$A:$A,0)),"Produto"),IFERROR(VLOOKUP(B110,_Protheus_Cadastro!$A:$C,3,FALSE),"—"))</f>
        <v/>
      </c>
      <c r="E110" s="91">
        <f>IF(B110="—","—",IFERROR(VLOOKUP(B110,_Protheus_Cadastro!$A:$D,4,FALSE),"—"))</f>
        <v/>
      </c>
      <c r="F110" s="91">
        <f>IF(ISERROR(VLOOKUP(B110,'Estrutura Protheus'!A:A,1,FALSE)),"Não","Sim")</f>
        <v/>
      </c>
      <c r="G110" s="92">
        <f>IFERROR(INDEX(_Protheus_Cadastro!$H:$H,MATCH(B110,_Protheus_Cadastro!$A:$A,0)),"—")</f>
        <v/>
      </c>
      <c r="H110" s="210">
        <f>IFERROR(INDEX(_ZIG_Precos!$D:$D,MATCH(I110,_ZIG_Precos!$F:$F,0)),"—")</f>
        <v/>
      </c>
      <c r="I110" s="95">
        <f>IFERROR(VLOOKUP(B110,_Protheus_Cadastro!$A:$I,9,FALSE),"—")</f>
        <v/>
      </c>
      <c r="J110" s="93">
        <f>IFERROR(INDEX(_ZIG_Cadastro!$B:$B,MATCH(I110,_ZIG_Cadastro!$A:$A,0)),IFERROR(INDEX(_Entradas_ZIG!$B:$B,MATCH(I110,_Entradas_ZIG!$C:$C,0)),"—"))</f>
        <v/>
      </c>
      <c r="K110" s="93">
        <f>IFERROR(INDEX(_ZIG_Cadastro!$C:$C,MATCH(I110,_ZIG_Cadastro!$A:$A,0)),IFERROR(INDEX(_Entradas_ZIG!$D:$D,MATCH(I110,_Entradas_ZIG!$C:$C,0)),"—"))</f>
        <v/>
      </c>
      <c r="L110" s="92">
        <f>IF(I110="","Sem SKU ZIG",IF(I110="—","Sem SKU ZIG",IF(NOT(ISERROR(MATCH(I110,_ZIG_Cadastro!$A:$A,0))),IF(EXACT(UPPER(TRIM(C110)),UPPER(TRIM(INDEX(_ZIG_Cadastro!$B:$B,MATCH(I110,_ZIG_Cadastro!$A:$A,0))))),"OK","Atencao - Nome diverge"),IF(NOT(ISERROR(MATCH(I110,_Entradas_ZIG!$C:$C,0))),"OK","Erro - SKU nao encontrado"))))</f>
        <v/>
      </c>
      <c r="M110" s="92">
        <f>IFERROR(INDEX(_ZIG_Cadastro!$G:$G,MATCH(I110,_ZIG_Cadastro!$A:$A,0)),IF(NOT(ISERROR(MATCH(I110,_Entradas_ZIG!$C:$C,0))),"Ativo","—"))</f>
        <v/>
      </c>
      <c r="N110" s="94">
        <f>IFERROR(INDEX(_ZIG_Cadastro!$E:$E,MATCH(I110,_ZIG_Cadastro!$A:$A,0)),IFERROR(INDEX(_Entradas_ZIG!$F:$F,MATCH(I110,_Entradas_ZIG!$C:$C,0)),"—"))</f>
        <v/>
      </c>
      <c r="O110" s="92">
        <f>IF(AND(ISNUMBER(SEARCH("Espeto",N110)),ISNUMBER(SEARCH("Carin",N110))),"SIM","")</f>
        <v/>
      </c>
      <c r="P110" s="92">
        <f>IF(AND(ISNUMBER(SEARCH("Espeto",N110)),ISNUMBER(SEARCH("Lapa",N110))),"SIM","")</f>
        <v/>
      </c>
      <c r="Q110" s="92">
        <f>IF(AND(ISNUMBER(SEARCH("Espeto",N110)),ISNUMBER(SEARCH("Tatuapé",N110))),"SIM","")</f>
        <v/>
      </c>
      <c r="R110" s="92">
        <f>IF(AND(ISNUMBER(SEARCH("Espeto",N110)),ISNUMBER(SEARCH("Pavão",N110))),"SIM","")</f>
        <v/>
      </c>
      <c r="S110" s="92">
        <f>IF(AND(ISNUMBER(SEARCH("Espeto",N110)),ISNUMBER(SEARCH("Chac",N110))),"SIM","")</f>
        <v/>
      </c>
      <c r="T110" s="92">
        <f>IF(AND(ISNUMBER(SEARCH("Espeto",N110)),ISNUMBER(SEARCH("Madalena",N110))),"SIM","")</f>
        <v/>
      </c>
      <c r="U110" s="92">
        <f>IF(AND(ISNUMBER(SEARCH("Espeto",N110)),ISNUMBER(SEARCH("Mariana",N110))),"SIM","")</f>
        <v/>
      </c>
      <c r="V110" s="92">
        <f>IF(AND(ISNUMBER(SEARCH("Espeto",N110)),ISNUMBER(SEARCH("Perdizes",N110))),"SIM","")</f>
        <v/>
      </c>
      <c r="W110" s="92">
        <f>IF(AND(ISNUMBER(SEARCH("Espeto",N110)),ISNUMBER(SEARCH("Santana",N110))),"SIM","")</f>
        <v/>
      </c>
      <c r="X110" s="92">
        <f>IF(AND(ISNUMBER(SEARCH("Espeto",N110)),ISNUMBER(SEARCH("André",N110))),"SIM","")</f>
        <v/>
      </c>
      <c r="Y110" s="92">
        <f>IF(AND(ISNUMBER(SEARCH("Delivery",N110)),ISNUMBER(SEARCH("Carin",N110))),"SIM","")</f>
        <v/>
      </c>
      <c r="Z110" s="92">
        <f>IF(AND(ISNUMBER(SEARCH("Delivery",N110)),ISNUMBER(SEARCH("Lapa",N110))),"SIM","")</f>
        <v/>
      </c>
      <c r="AA110" s="92">
        <f>IF(AND(ISNUMBER(SEARCH("Delivery",N110)),ISNUMBER(SEARCH("Tatuapé",N110))),"SIM","")</f>
        <v/>
      </c>
      <c r="AB110" s="92">
        <f>IF(AND(ISNUMBER(SEARCH("Delivery",N110)),ISNUMBER(SEARCH("Pavão",N110))),"SIM","")</f>
        <v/>
      </c>
      <c r="AC110" s="92">
        <f>IF(AND(ISNUMBER(SEARCH("Delivery",N110)),ISNUMBER(SEARCH("Chac",N110))),"SIM","")</f>
        <v/>
      </c>
      <c r="AD110" s="92">
        <f>IF(AND(ISNUMBER(SEARCH("Delivery",N110)),ISNUMBER(SEARCH("Madalena",N110))),"SIM","")</f>
        <v/>
      </c>
      <c r="AE110" s="92">
        <f>IF(AND(ISNUMBER(SEARCH("Delivery",N110)),ISNUMBER(SEARCH("Mariana",N110))),"SIM","")</f>
        <v/>
      </c>
      <c r="AF110" s="92">
        <f>IF(AND(ISNUMBER(SEARCH("Delivery",N110)),ISNUMBER(SEARCH("Perdizes",N110))),"SIM","")</f>
        <v/>
      </c>
      <c r="AG110" s="92">
        <f>IF(AND(ISNUMBER(SEARCH("Delivery",N110)),ISNUMBER(SEARCH("Santana",N110))),"SIM","")</f>
        <v/>
      </c>
      <c r="AH110" s="92">
        <f>IF(AND(ISNUMBER(SEARCH("Delivery",N110)),ISNUMBER(SEARCH("André",N110))),"SIM","")</f>
        <v/>
      </c>
      <c r="AI110" s="92">
        <f>IF(ISNUMBER(SEARCH("Interlagos",N110)),"SIM","")</f>
        <v/>
      </c>
      <c r="AJ110" s="92">
        <f>IF(ISNUMBER(SEARCH("Quiosque",N110)),"SIM","")</f>
        <v/>
      </c>
      <c r="AK110" s="93" t="n"/>
    </row>
    <row r="111">
      <c r="A111" s="88" t="inlineStr">
        <is>
          <t>Protheus</t>
        </is>
      </c>
      <c r="B111" s="96" t="inlineStr">
        <is>
          <t>001108</t>
        </is>
      </c>
      <c r="C111" s="97">
        <f>IF(B111="—","—",IFERROR(VLOOKUP(B111,_Protheus_Cadastro!$A:$B,2,FALSE),"—"))</f>
        <v/>
      </c>
      <c r="D111" s="98">
        <f>IF(B111="—",IFERROR(INDEX(_ZIG_Cadastro!$D:$D,MATCH(H111,_ZIG_Cadastro!$A:$A,0)),"Produto"),IFERROR(VLOOKUP(B111,_Protheus_Cadastro!$A:$C,3,FALSE),"—"))</f>
        <v/>
      </c>
      <c r="E111" s="98">
        <f>IF(B111="—","—",IFERROR(VLOOKUP(B111,_Protheus_Cadastro!$A:$D,4,FALSE),"—"))</f>
        <v/>
      </c>
      <c r="F111" s="98">
        <f>IF(ISERROR(VLOOKUP(B111,'Estrutura Protheus'!A:A,1,FALSE)),"Não","Sim")</f>
        <v/>
      </c>
      <c r="G111" s="99">
        <f>IFERROR(INDEX(_Protheus_Cadastro!$H:$H,MATCH(B111,_Protheus_Cadastro!$A:$A,0)),"—")</f>
        <v/>
      </c>
      <c r="H111" s="211">
        <f>IFERROR(INDEX(_ZIG_Precos!$D:$D,MATCH(I111,_ZIG_Precos!$F:$F,0)),"—")</f>
        <v/>
      </c>
      <c r="I111" s="103">
        <f>IFERROR(VLOOKUP(B111,_Protheus_Cadastro!$A:$I,9,FALSE),"—")</f>
        <v/>
      </c>
      <c r="J111" s="101">
        <f>IFERROR(INDEX(_ZIG_Cadastro!$B:$B,MATCH(I111,_ZIG_Cadastro!$A:$A,0)),IFERROR(INDEX(_Entradas_ZIG!$B:$B,MATCH(I111,_Entradas_ZIG!$C:$C,0)),"—"))</f>
        <v/>
      </c>
      <c r="K111" s="101">
        <f>IFERROR(INDEX(_ZIG_Cadastro!$C:$C,MATCH(I111,_ZIG_Cadastro!$A:$A,0)),IFERROR(INDEX(_Entradas_ZIG!$D:$D,MATCH(I111,_Entradas_ZIG!$C:$C,0)),"—"))</f>
        <v/>
      </c>
      <c r="L111" s="99">
        <f>IF(I111="","Sem SKU ZIG",IF(I111="—","Sem SKU ZIG",IF(NOT(ISERROR(MATCH(I111,_ZIG_Cadastro!$A:$A,0))),IF(EXACT(UPPER(TRIM(C111)),UPPER(TRIM(INDEX(_ZIG_Cadastro!$B:$B,MATCH(I111,_ZIG_Cadastro!$A:$A,0))))),"OK","Atencao - Nome diverge"),IF(NOT(ISERROR(MATCH(I111,_Entradas_ZIG!$C:$C,0))),"OK","Erro - SKU nao encontrado"))))</f>
        <v/>
      </c>
      <c r="M111" s="99">
        <f>IFERROR(INDEX(_ZIG_Cadastro!$G:$G,MATCH(I111,_ZIG_Cadastro!$A:$A,0)),IF(NOT(ISERROR(MATCH(I111,_Entradas_ZIG!$C:$C,0))),"Ativo","—"))</f>
        <v/>
      </c>
      <c r="N111" s="102">
        <f>IFERROR(INDEX(_ZIG_Cadastro!$E:$E,MATCH(I111,_ZIG_Cadastro!$A:$A,0)),IFERROR(INDEX(_Entradas_ZIG!$F:$F,MATCH(I111,_Entradas_ZIG!$C:$C,0)),"—"))</f>
        <v/>
      </c>
      <c r="O111" s="99">
        <f>IF(AND(ISNUMBER(SEARCH("Espeto",N111)),ISNUMBER(SEARCH("Carin",N111))),"SIM","")</f>
        <v/>
      </c>
      <c r="P111" s="99">
        <f>IF(AND(ISNUMBER(SEARCH("Espeto",N111)),ISNUMBER(SEARCH("Lapa",N111))),"SIM","")</f>
        <v/>
      </c>
      <c r="Q111" s="99">
        <f>IF(AND(ISNUMBER(SEARCH("Espeto",N111)),ISNUMBER(SEARCH("Tatuapé",N111))),"SIM","")</f>
        <v/>
      </c>
      <c r="R111" s="99">
        <f>IF(AND(ISNUMBER(SEARCH("Espeto",N111)),ISNUMBER(SEARCH("Pavão",N111))),"SIM","")</f>
        <v/>
      </c>
      <c r="S111" s="99">
        <f>IF(AND(ISNUMBER(SEARCH("Espeto",N111)),ISNUMBER(SEARCH("Chac",N111))),"SIM","")</f>
        <v/>
      </c>
      <c r="T111" s="99">
        <f>IF(AND(ISNUMBER(SEARCH("Espeto",N111)),ISNUMBER(SEARCH("Madalena",N111))),"SIM","")</f>
        <v/>
      </c>
      <c r="U111" s="99">
        <f>IF(AND(ISNUMBER(SEARCH("Espeto",N111)),ISNUMBER(SEARCH("Mariana",N111))),"SIM","")</f>
        <v/>
      </c>
      <c r="V111" s="99">
        <f>IF(AND(ISNUMBER(SEARCH("Espeto",N111)),ISNUMBER(SEARCH("Perdizes",N111))),"SIM","")</f>
        <v/>
      </c>
      <c r="W111" s="99">
        <f>IF(AND(ISNUMBER(SEARCH("Espeto",N111)),ISNUMBER(SEARCH("Santana",N111))),"SIM","")</f>
        <v/>
      </c>
      <c r="X111" s="99">
        <f>IF(AND(ISNUMBER(SEARCH("Espeto",N111)),ISNUMBER(SEARCH("André",N111))),"SIM","")</f>
        <v/>
      </c>
      <c r="Y111" s="99">
        <f>IF(AND(ISNUMBER(SEARCH("Delivery",N111)),ISNUMBER(SEARCH("Carin",N111))),"SIM","")</f>
        <v/>
      </c>
      <c r="Z111" s="99">
        <f>IF(AND(ISNUMBER(SEARCH("Delivery",N111)),ISNUMBER(SEARCH("Lapa",N111))),"SIM","")</f>
        <v/>
      </c>
      <c r="AA111" s="99">
        <f>IF(AND(ISNUMBER(SEARCH("Delivery",N111)),ISNUMBER(SEARCH("Tatuapé",N111))),"SIM","")</f>
        <v/>
      </c>
      <c r="AB111" s="99">
        <f>IF(AND(ISNUMBER(SEARCH("Delivery",N111)),ISNUMBER(SEARCH("Pavão",N111))),"SIM","")</f>
        <v/>
      </c>
      <c r="AC111" s="99">
        <f>IF(AND(ISNUMBER(SEARCH("Delivery",N111)),ISNUMBER(SEARCH("Chac",N111))),"SIM","")</f>
        <v/>
      </c>
      <c r="AD111" s="99">
        <f>IF(AND(ISNUMBER(SEARCH("Delivery",N111)),ISNUMBER(SEARCH("Madalena",N111))),"SIM","")</f>
        <v/>
      </c>
      <c r="AE111" s="99">
        <f>IF(AND(ISNUMBER(SEARCH("Delivery",N111)),ISNUMBER(SEARCH("Mariana",N111))),"SIM","")</f>
        <v/>
      </c>
      <c r="AF111" s="99">
        <f>IF(AND(ISNUMBER(SEARCH("Delivery",N111)),ISNUMBER(SEARCH("Perdizes",N111))),"SIM","")</f>
        <v/>
      </c>
      <c r="AG111" s="99">
        <f>IF(AND(ISNUMBER(SEARCH("Delivery",N111)),ISNUMBER(SEARCH("Santana",N111))),"SIM","")</f>
        <v/>
      </c>
      <c r="AH111" s="99">
        <f>IF(AND(ISNUMBER(SEARCH("Delivery",N111)),ISNUMBER(SEARCH("André",N111))),"SIM","")</f>
        <v/>
      </c>
      <c r="AI111" s="99">
        <f>IF(ISNUMBER(SEARCH("Interlagos",N111)),"SIM","")</f>
        <v/>
      </c>
      <c r="AJ111" s="99">
        <f>IF(ISNUMBER(SEARCH("Quiosque",N111)),"SIM","")</f>
        <v/>
      </c>
      <c r="AK111" s="101" t="n"/>
    </row>
    <row r="112">
      <c r="A112" s="88" t="inlineStr">
        <is>
          <t>Protheus</t>
        </is>
      </c>
      <c r="B112" s="89" t="inlineStr">
        <is>
          <t>000956</t>
        </is>
      </c>
      <c r="C112" s="90">
        <f>IF(B112="—","—",IFERROR(VLOOKUP(B112,_Protheus_Cadastro!$A:$B,2,FALSE),"—"))</f>
        <v/>
      </c>
      <c r="D112" s="91">
        <f>IF(B112="—",IFERROR(INDEX(_ZIG_Cadastro!$D:$D,MATCH(H112,_ZIG_Cadastro!$A:$A,0)),"Produto"),IFERROR(VLOOKUP(B112,_Protheus_Cadastro!$A:$C,3,FALSE),"—"))</f>
        <v/>
      </c>
      <c r="E112" s="91">
        <f>IF(B112="—","—",IFERROR(VLOOKUP(B112,_Protheus_Cadastro!$A:$D,4,FALSE),"—"))</f>
        <v/>
      </c>
      <c r="F112" s="91">
        <f>IF(ISERROR(VLOOKUP(B112,'Estrutura Protheus'!A:A,1,FALSE)),"Não","Sim")</f>
        <v/>
      </c>
      <c r="G112" s="92">
        <f>IFERROR(INDEX(_Protheus_Cadastro!$H:$H,MATCH(B112,_Protheus_Cadastro!$A:$A,0)),"—")</f>
        <v/>
      </c>
      <c r="H112" s="210">
        <f>IFERROR(INDEX(_ZIG_Precos!$D:$D,MATCH(I112,_ZIG_Precos!$F:$F,0)),"—")</f>
        <v/>
      </c>
      <c r="I112" s="95">
        <f>IFERROR(VLOOKUP(B112,_Protheus_Cadastro!$A:$I,9,FALSE),"—")</f>
        <v/>
      </c>
      <c r="J112" s="93">
        <f>IFERROR(INDEX(_ZIG_Cadastro!$B:$B,MATCH(I112,_ZIG_Cadastro!$A:$A,0)),IFERROR(INDEX(_Entradas_ZIG!$B:$B,MATCH(I112,_Entradas_ZIG!$C:$C,0)),"—"))</f>
        <v/>
      </c>
      <c r="K112" s="93">
        <f>IFERROR(INDEX(_ZIG_Cadastro!$C:$C,MATCH(I112,_ZIG_Cadastro!$A:$A,0)),IFERROR(INDEX(_Entradas_ZIG!$D:$D,MATCH(I112,_Entradas_ZIG!$C:$C,0)),"—"))</f>
        <v/>
      </c>
      <c r="L112" s="92">
        <f>IF(I112="","Sem SKU ZIG",IF(I112="—","Sem SKU ZIG",IF(NOT(ISERROR(MATCH(I112,_ZIG_Cadastro!$A:$A,0))),IF(EXACT(UPPER(TRIM(C112)),UPPER(TRIM(INDEX(_ZIG_Cadastro!$B:$B,MATCH(I112,_ZIG_Cadastro!$A:$A,0))))),"OK","Atencao - Nome diverge"),IF(NOT(ISERROR(MATCH(I112,_Entradas_ZIG!$C:$C,0))),"OK","Erro - SKU nao encontrado"))))</f>
        <v/>
      </c>
      <c r="M112" s="92">
        <f>IFERROR(INDEX(_ZIG_Cadastro!$G:$G,MATCH(I112,_ZIG_Cadastro!$A:$A,0)),IF(NOT(ISERROR(MATCH(I112,_Entradas_ZIG!$C:$C,0))),"Ativo","—"))</f>
        <v/>
      </c>
      <c r="N112" s="94">
        <f>IFERROR(INDEX(_ZIG_Cadastro!$E:$E,MATCH(I112,_ZIG_Cadastro!$A:$A,0)),IFERROR(INDEX(_Entradas_ZIG!$F:$F,MATCH(I112,_Entradas_ZIG!$C:$C,0)),"—"))</f>
        <v/>
      </c>
      <c r="O112" s="92">
        <f>IF(AND(ISNUMBER(SEARCH("Espeto",N112)),ISNUMBER(SEARCH("Carin",N112))),"SIM","")</f>
        <v/>
      </c>
      <c r="P112" s="92">
        <f>IF(AND(ISNUMBER(SEARCH("Espeto",N112)),ISNUMBER(SEARCH("Lapa",N112))),"SIM","")</f>
        <v/>
      </c>
      <c r="Q112" s="92">
        <f>IF(AND(ISNUMBER(SEARCH("Espeto",N112)),ISNUMBER(SEARCH("Tatuapé",N112))),"SIM","")</f>
        <v/>
      </c>
      <c r="R112" s="92">
        <f>IF(AND(ISNUMBER(SEARCH("Espeto",N112)),ISNUMBER(SEARCH("Pavão",N112))),"SIM","")</f>
        <v/>
      </c>
      <c r="S112" s="92">
        <f>IF(AND(ISNUMBER(SEARCH("Espeto",N112)),ISNUMBER(SEARCH("Chac",N112))),"SIM","")</f>
        <v/>
      </c>
      <c r="T112" s="92">
        <f>IF(AND(ISNUMBER(SEARCH("Espeto",N112)),ISNUMBER(SEARCH("Madalena",N112))),"SIM","")</f>
        <v/>
      </c>
      <c r="U112" s="92">
        <f>IF(AND(ISNUMBER(SEARCH("Espeto",N112)),ISNUMBER(SEARCH("Mariana",N112))),"SIM","")</f>
        <v/>
      </c>
      <c r="V112" s="92">
        <f>IF(AND(ISNUMBER(SEARCH("Espeto",N112)),ISNUMBER(SEARCH("Perdizes",N112))),"SIM","")</f>
        <v/>
      </c>
      <c r="W112" s="92">
        <f>IF(AND(ISNUMBER(SEARCH("Espeto",N112)),ISNUMBER(SEARCH("Santana",N112))),"SIM","")</f>
        <v/>
      </c>
      <c r="X112" s="92">
        <f>IF(AND(ISNUMBER(SEARCH("Espeto",N112)),ISNUMBER(SEARCH("André",N112))),"SIM","")</f>
        <v/>
      </c>
      <c r="Y112" s="92">
        <f>IF(AND(ISNUMBER(SEARCH("Delivery",N112)),ISNUMBER(SEARCH("Carin",N112))),"SIM","")</f>
        <v/>
      </c>
      <c r="Z112" s="92">
        <f>IF(AND(ISNUMBER(SEARCH("Delivery",N112)),ISNUMBER(SEARCH("Lapa",N112))),"SIM","")</f>
        <v/>
      </c>
      <c r="AA112" s="92">
        <f>IF(AND(ISNUMBER(SEARCH("Delivery",N112)),ISNUMBER(SEARCH("Tatuapé",N112))),"SIM","")</f>
        <v/>
      </c>
      <c r="AB112" s="92">
        <f>IF(AND(ISNUMBER(SEARCH("Delivery",N112)),ISNUMBER(SEARCH("Pavão",N112))),"SIM","")</f>
        <v/>
      </c>
      <c r="AC112" s="92">
        <f>IF(AND(ISNUMBER(SEARCH("Delivery",N112)),ISNUMBER(SEARCH("Chac",N112))),"SIM","")</f>
        <v/>
      </c>
      <c r="AD112" s="92">
        <f>IF(AND(ISNUMBER(SEARCH("Delivery",N112)),ISNUMBER(SEARCH("Madalena",N112))),"SIM","")</f>
        <v/>
      </c>
      <c r="AE112" s="92">
        <f>IF(AND(ISNUMBER(SEARCH("Delivery",N112)),ISNUMBER(SEARCH("Mariana",N112))),"SIM","")</f>
        <v/>
      </c>
      <c r="AF112" s="92">
        <f>IF(AND(ISNUMBER(SEARCH("Delivery",N112)),ISNUMBER(SEARCH("Perdizes",N112))),"SIM","")</f>
        <v/>
      </c>
      <c r="AG112" s="92">
        <f>IF(AND(ISNUMBER(SEARCH("Delivery",N112)),ISNUMBER(SEARCH("Santana",N112))),"SIM","")</f>
        <v/>
      </c>
      <c r="AH112" s="92">
        <f>IF(AND(ISNUMBER(SEARCH("Delivery",N112)),ISNUMBER(SEARCH("André",N112))),"SIM","")</f>
        <v/>
      </c>
      <c r="AI112" s="92">
        <f>IF(ISNUMBER(SEARCH("Interlagos",N112)),"SIM","")</f>
        <v/>
      </c>
      <c r="AJ112" s="92">
        <f>IF(ISNUMBER(SEARCH("Quiosque",N112)),"SIM","")</f>
        <v/>
      </c>
      <c r="AK112" s="93" t="n"/>
    </row>
    <row r="113">
      <c r="A113" s="88" t="inlineStr">
        <is>
          <t>Protheus</t>
        </is>
      </c>
      <c r="B113" s="96" t="inlineStr">
        <is>
          <t>000957</t>
        </is>
      </c>
      <c r="C113" s="97">
        <f>IF(B113="—","—",IFERROR(VLOOKUP(B113,_Protheus_Cadastro!$A:$B,2,FALSE),"—"))</f>
        <v/>
      </c>
      <c r="D113" s="98">
        <f>IF(B113="—",IFERROR(INDEX(_ZIG_Cadastro!$D:$D,MATCH(H113,_ZIG_Cadastro!$A:$A,0)),"Produto"),IFERROR(VLOOKUP(B113,_Protheus_Cadastro!$A:$C,3,FALSE),"—"))</f>
        <v/>
      </c>
      <c r="E113" s="98">
        <f>IF(B113="—","—",IFERROR(VLOOKUP(B113,_Protheus_Cadastro!$A:$D,4,FALSE),"—"))</f>
        <v/>
      </c>
      <c r="F113" s="98">
        <f>IF(ISERROR(VLOOKUP(B113,'Estrutura Protheus'!A:A,1,FALSE)),"Não","Sim")</f>
        <v/>
      </c>
      <c r="G113" s="99">
        <f>IFERROR(INDEX(_Protheus_Cadastro!$H:$H,MATCH(B113,_Protheus_Cadastro!$A:$A,0)),"—")</f>
        <v/>
      </c>
      <c r="H113" s="211">
        <f>IFERROR(INDEX(_ZIG_Precos!$D:$D,MATCH(I113,_ZIG_Precos!$F:$F,0)),"—")</f>
        <v/>
      </c>
      <c r="I113" s="103">
        <f>IFERROR(VLOOKUP(B113,_Protheus_Cadastro!$A:$I,9,FALSE),"—")</f>
        <v/>
      </c>
      <c r="J113" s="101">
        <f>IFERROR(INDEX(_ZIG_Cadastro!$B:$B,MATCH(I113,_ZIG_Cadastro!$A:$A,0)),IFERROR(INDEX(_Entradas_ZIG!$B:$B,MATCH(I113,_Entradas_ZIG!$C:$C,0)),"—"))</f>
        <v/>
      </c>
      <c r="K113" s="101">
        <f>IFERROR(INDEX(_ZIG_Cadastro!$C:$C,MATCH(I113,_ZIG_Cadastro!$A:$A,0)),IFERROR(INDEX(_Entradas_ZIG!$D:$D,MATCH(I113,_Entradas_ZIG!$C:$C,0)),"—"))</f>
        <v/>
      </c>
      <c r="L113" s="99">
        <f>IF(I113="","Sem SKU ZIG",IF(I113="—","Sem SKU ZIG",IF(NOT(ISERROR(MATCH(I113,_ZIG_Cadastro!$A:$A,0))),IF(EXACT(UPPER(TRIM(C113)),UPPER(TRIM(INDEX(_ZIG_Cadastro!$B:$B,MATCH(I113,_ZIG_Cadastro!$A:$A,0))))),"OK","Atencao - Nome diverge"),IF(NOT(ISERROR(MATCH(I113,_Entradas_ZIG!$C:$C,0))),"OK","Erro - SKU nao encontrado"))))</f>
        <v/>
      </c>
      <c r="M113" s="99">
        <f>IFERROR(INDEX(_ZIG_Cadastro!$G:$G,MATCH(I113,_ZIG_Cadastro!$A:$A,0)),IF(NOT(ISERROR(MATCH(I113,_Entradas_ZIG!$C:$C,0))),"Ativo","—"))</f>
        <v/>
      </c>
      <c r="N113" s="102">
        <f>IFERROR(INDEX(_ZIG_Cadastro!$E:$E,MATCH(I113,_ZIG_Cadastro!$A:$A,0)),IFERROR(INDEX(_Entradas_ZIG!$F:$F,MATCH(I113,_Entradas_ZIG!$C:$C,0)),"—"))</f>
        <v/>
      </c>
      <c r="O113" s="99">
        <f>IF(AND(ISNUMBER(SEARCH("Espeto",N113)),ISNUMBER(SEARCH("Carin",N113))),"SIM","")</f>
        <v/>
      </c>
      <c r="P113" s="99">
        <f>IF(AND(ISNUMBER(SEARCH("Espeto",N113)),ISNUMBER(SEARCH("Lapa",N113))),"SIM","")</f>
        <v/>
      </c>
      <c r="Q113" s="99">
        <f>IF(AND(ISNUMBER(SEARCH("Espeto",N113)),ISNUMBER(SEARCH("Tatuapé",N113))),"SIM","")</f>
        <v/>
      </c>
      <c r="R113" s="99">
        <f>IF(AND(ISNUMBER(SEARCH("Espeto",N113)),ISNUMBER(SEARCH("Pavão",N113))),"SIM","")</f>
        <v/>
      </c>
      <c r="S113" s="99">
        <f>IF(AND(ISNUMBER(SEARCH("Espeto",N113)),ISNUMBER(SEARCH("Chac",N113))),"SIM","")</f>
        <v/>
      </c>
      <c r="T113" s="99">
        <f>IF(AND(ISNUMBER(SEARCH("Espeto",N113)),ISNUMBER(SEARCH("Madalena",N113))),"SIM","")</f>
        <v/>
      </c>
      <c r="U113" s="99">
        <f>IF(AND(ISNUMBER(SEARCH("Espeto",N113)),ISNUMBER(SEARCH("Mariana",N113))),"SIM","")</f>
        <v/>
      </c>
      <c r="V113" s="99">
        <f>IF(AND(ISNUMBER(SEARCH("Espeto",N113)),ISNUMBER(SEARCH("Perdizes",N113))),"SIM","")</f>
        <v/>
      </c>
      <c r="W113" s="99">
        <f>IF(AND(ISNUMBER(SEARCH("Espeto",N113)),ISNUMBER(SEARCH("Santana",N113))),"SIM","")</f>
        <v/>
      </c>
      <c r="X113" s="99">
        <f>IF(AND(ISNUMBER(SEARCH("Espeto",N113)),ISNUMBER(SEARCH("André",N113))),"SIM","")</f>
        <v/>
      </c>
      <c r="Y113" s="99">
        <f>IF(AND(ISNUMBER(SEARCH("Delivery",N113)),ISNUMBER(SEARCH("Carin",N113))),"SIM","")</f>
        <v/>
      </c>
      <c r="Z113" s="99">
        <f>IF(AND(ISNUMBER(SEARCH("Delivery",N113)),ISNUMBER(SEARCH("Lapa",N113))),"SIM","")</f>
        <v/>
      </c>
      <c r="AA113" s="99">
        <f>IF(AND(ISNUMBER(SEARCH("Delivery",N113)),ISNUMBER(SEARCH("Tatuapé",N113))),"SIM","")</f>
        <v/>
      </c>
      <c r="AB113" s="99">
        <f>IF(AND(ISNUMBER(SEARCH("Delivery",N113)),ISNUMBER(SEARCH("Pavão",N113))),"SIM","")</f>
        <v/>
      </c>
      <c r="AC113" s="99">
        <f>IF(AND(ISNUMBER(SEARCH("Delivery",N113)),ISNUMBER(SEARCH("Chac",N113))),"SIM","")</f>
        <v/>
      </c>
      <c r="AD113" s="99">
        <f>IF(AND(ISNUMBER(SEARCH("Delivery",N113)),ISNUMBER(SEARCH("Madalena",N113))),"SIM","")</f>
        <v/>
      </c>
      <c r="AE113" s="99">
        <f>IF(AND(ISNUMBER(SEARCH("Delivery",N113)),ISNUMBER(SEARCH("Mariana",N113))),"SIM","")</f>
        <v/>
      </c>
      <c r="AF113" s="99">
        <f>IF(AND(ISNUMBER(SEARCH("Delivery",N113)),ISNUMBER(SEARCH("Perdizes",N113))),"SIM","")</f>
        <v/>
      </c>
      <c r="AG113" s="99">
        <f>IF(AND(ISNUMBER(SEARCH("Delivery",N113)),ISNUMBER(SEARCH("Santana",N113))),"SIM","")</f>
        <v/>
      </c>
      <c r="AH113" s="99">
        <f>IF(AND(ISNUMBER(SEARCH("Delivery",N113)),ISNUMBER(SEARCH("André",N113))),"SIM","")</f>
        <v/>
      </c>
      <c r="AI113" s="99">
        <f>IF(ISNUMBER(SEARCH("Interlagos",N113)),"SIM","")</f>
        <v/>
      </c>
      <c r="AJ113" s="99">
        <f>IF(ISNUMBER(SEARCH("Quiosque",N113)),"SIM","")</f>
        <v/>
      </c>
      <c r="AK113" s="101" t="n"/>
    </row>
    <row r="114">
      <c r="A114" s="88" t="inlineStr">
        <is>
          <t>Protheus</t>
        </is>
      </c>
      <c r="B114" s="89" t="inlineStr">
        <is>
          <t>000954</t>
        </is>
      </c>
      <c r="C114" s="90">
        <f>IF(B114="—","—",IFERROR(VLOOKUP(B114,_Protheus_Cadastro!$A:$B,2,FALSE),"—"))</f>
        <v/>
      </c>
      <c r="D114" s="91">
        <f>IF(B114="—",IFERROR(INDEX(_ZIG_Cadastro!$D:$D,MATCH(H114,_ZIG_Cadastro!$A:$A,0)),"Produto"),IFERROR(VLOOKUP(B114,_Protheus_Cadastro!$A:$C,3,FALSE),"—"))</f>
        <v/>
      </c>
      <c r="E114" s="91">
        <f>IF(B114="—","—",IFERROR(VLOOKUP(B114,_Protheus_Cadastro!$A:$D,4,FALSE),"—"))</f>
        <v/>
      </c>
      <c r="F114" s="91">
        <f>IF(ISERROR(VLOOKUP(B114,'Estrutura Protheus'!A:A,1,FALSE)),"Não","Sim")</f>
        <v/>
      </c>
      <c r="G114" s="92">
        <f>IFERROR(INDEX(_Protheus_Cadastro!$H:$H,MATCH(B114,_Protheus_Cadastro!$A:$A,0)),"—")</f>
        <v/>
      </c>
      <c r="H114" s="210">
        <f>IFERROR(INDEX(_ZIG_Precos!$D:$D,MATCH(I114,_ZIG_Precos!$F:$F,0)),"—")</f>
        <v/>
      </c>
      <c r="I114" s="95">
        <f>IFERROR(VLOOKUP(B114,_Protheus_Cadastro!$A:$I,9,FALSE),"—")</f>
        <v/>
      </c>
      <c r="J114" s="93">
        <f>IFERROR(INDEX(_ZIG_Cadastro!$B:$B,MATCH(I114,_ZIG_Cadastro!$A:$A,0)),IFERROR(INDEX(_Entradas_ZIG!$B:$B,MATCH(I114,_Entradas_ZIG!$C:$C,0)),"—"))</f>
        <v/>
      </c>
      <c r="K114" s="93">
        <f>IFERROR(INDEX(_ZIG_Cadastro!$C:$C,MATCH(I114,_ZIG_Cadastro!$A:$A,0)),IFERROR(INDEX(_Entradas_ZIG!$D:$D,MATCH(I114,_Entradas_ZIG!$C:$C,0)),"—"))</f>
        <v/>
      </c>
      <c r="L114" s="92">
        <f>IF(I114="","Sem SKU ZIG",IF(I114="—","Sem SKU ZIG",IF(NOT(ISERROR(MATCH(I114,_ZIG_Cadastro!$A:$A,0))),IF(EXACT(UPPER(TRIM(C114)),UPPER(TRIM(INDEX(_ZIG_Cadastro!$B:$B,MATCH(I114,_ZIG_Cadastro!$A:$A,0))))),"OK","Atencao - Nome diverge"),IF(NOT(ISERROR(MATCH(I114,_Entradas_ZIG!$C:$C,0))),"OK","Erro - SKU nao encontrado"))))</f>
        <v/>
      </c>
      <c r="M114" s="92">
        <f>IFERROR(INDEX(_ZIG_Cadastro!$G:$G,MATCH(I114,_ZIG_Cadastro!$A:$A,0)),IF(NOT(ISERROR(MATCH(I114,_Entradas_ZIG!$C:$C,0))),"Ativo","—"))</f>
        <v/>
      </c>
      <c r="N114" s="94">
        <f>IFERROR(INDEX(_ZIG_Cadastro!$E:$E,MATCH(I114,_ZIG_Cadastro!$A:$A,0)),IFERROR(INDEX(_Entradas_ZIG!$F:$F,MATCH(I114,_Entradas_ZIG!$C:$C,0)),"—"))</f>
        <v/>
      </c>
      <c r="O114" s="92">
        <f>IF(AND(ISNUMBER(SEARCH("Espeto",N114)),ISNUMBER(SEARCH("Carin",N114))),"SIM","")</f>
        <v/>
      </c>
      <c r="P114" s="92">
        <f>IF(AND(ISNUMBER(SEARCH("Espeto",N114)),ISNUMBER(SEARCH("Lapa",N114))),"SIM","")</f>
        <v/>
      </c>
      <c r="Q114" s="92">
        <f>IF(AND(ISNUMBER(SEARCH("Espeto",N114)),ISNUMBER(SEARCH("Tatuapé",N114))),"SIM","")</f>
        <v/>
      </c>
      <c r="R114" s="92">
        <f>IF(AND(ISNUMBER(SEARCH("Espeto",N114)),ISNUMBER(SEARCH("Pavão",N114))),"SIM","")</f>
        <v/>
      </c>
      <c r="S114" s="92">
        <f>IF(AND(ISNUMBER(SEARCH("Espeto",N114)),ISNUMBER(SEARCH("Chac",N114))),"SIM","")</f>
        <v/>
      </c>
      <c r="T114" s="92">
        <f>IF(AND(ISNUMBER(SEARCH("Espeto",N114)),ISNUMBER(SEARCH("Madalena",N114))),"SIM","")</f>
        <v/>
      </c>
      <c r="U114" s="92">
        <f>IF(AND(ISNUMBER(SEARCH("Espeto",N114)),ISNUMBER(SEARCH("Mariana",N114))),"SIM","")</f>
        <v/>
      </c>
      <c r="V114" s="92">
        <f>IF(AND(ISNUMBER(SEARCH("Espeto",N114)),ISNUMBER(SEARCH("Perdizes",N114))),"SIM","")</f>
        <v/>
      </c>
      <c r="W114" s="92">
        <f>IF(AND(ISNUMBER(SEARCH("Espeto",N114)),ISNUMBER(SEARCH("Santana",N114))),"SIM","")</f>
        <v/>
      </c>
      <c r="X114" s="92">
        <f>IF(AND(ISNUMBER(SEARCH("Espeto",N114)),ISNUMBER(SEARCH("André",N114))),"SIM","")</f>
        <v/>
      </c>
      <c r="Y114" s="92">
        <f>IF(AND(ISNUMBER(SEARCH("Delivery",N114)),ISNUMBER(SEARCH("Carin",N114))),"SIM","")</f>
        <v/>
      </c>
      <c r="Z114" s="92">
        <f>IF(AND(ISNUMBER(SEARCH("Delivery",N114)),ISNUMBER(SEARCH("Lapa",N114))),"SIM","")</f>
        <v/>
      </c>
      <c r="AA114" s="92">
        <f>IF(AND(ISNUMBER(SEARCH("Delivery",N114)),ISNUMBER(SEARCH("Tatuapé",N114))),"SIM","")</f>
        <v/>
      </c>
      <c r="AB114" s="92">
        <f>IF(AND(ISNUMBER(SEARCH("Delivery",N114)),ISNUMBER(SEARCH("Pavão",N114))),"SIM","")</f>
        <v/>
      </c>
      <c r="AC114" s="92">
        <f>IF(AND(ISNUMBER(SEARCH("Delivery",N114)),ISNUMBER(SEARCH("Chac",N114))),"SIM","")</f>
        <v/>
      </c>
      <c r="AD114" s="92">
        <f>IF(AND(ISNUMBER(SEARCH("Delivery",N114)),ISNUMBER(SEARCH("Madalena",N114))),"SIM","")</f>
        <v/>
      </c>
      <c r="AE114" s="92">
        <f>IF(AND(ISNUMBER(SEARCH("Delivery",N114)),ISNUMBER(SEARCH("Mariana",N114))),"SIM","")</f>
        <v/>
      </c>
      <c r="AF114" s="92">
        <f>IF(AND(ISNUMBER(SEARCH("Delivery",N114)),ISNUMBER(SEARCH("Perdizes",N114))),"SIM","")</f>
        <v/>
      </c>
      <c r="AG114" s="92">
        <f>IF(AND(ISNUMBER(SEARCH("Delivery",N114)),ISNUMBER(SEARCH("Santana",N114))),"SIM","")</f>
        <v/>
      </c>
      <c r="AH114" s="92">
        <f>IF(AND(ISNUMBER(SEARCH("Delivery",N114)),ISNUMBER(SEARCH("André",N114))),"SIM","")</f>
        <v/>
      </c>
      <c r="AI114" s="92">
        <f>IF(ISNUMBER(SEARCH("Interlagos",N114)),"SIM","")</f>
        <v/>
      </c>
      <c r="AJ114" s="92">
        <f>IF(ISNUMBER(SEARCH("Quiosque",N114)),"SIM","")</f>
        <v/>
      </c>
      <c r="AK114" s="93" t="n"/>
    </row>
    <row r="115">
      <c r="A115" s="88" t="inlineStr">
        <is>
          <t>Protheus</t>
        </is>
      </c>
      <c r="B115" s="96" t="inlineStr">
        <is>
          <t>000955</t>
        </is>
      </c>
      <c r="C115" s="97">
        <f>IF(B115="—","—",IFERROR(VLOOKUP(B115,_Protheus_Cadastro!$A:$B,2,FALSE),"—"))</f>
        <v/>
      </c>
      <c r="D115" s="98">
        <f>IF(B115="—",IFERROR(INDEX(_ZIG_Cadastro!$D:$D,MATCH(H115,_ZIG_Cadastro!$A:$A,0)),"Produto"),IFERROR(VLOOKUP(B115,_Protheus_Cadastro!$A:$C,3,FALSE),"—"))</f>
        <v/>
      </c>
      <c r="E115" s="98">
        <f>IF(B115="—","—",IFERROR(VLOOKUP(B115,_Protheus_Cadastro!$A:$D,4,FALSE),"—"))</f>
        <v/>
      </c>
      <c r="F115" s="98">
        <f>IF(ISERROR(VLOOKUP(B115,'Estrutura Protheus'!A:A,1,FALSE)),"Não","Sim")</f>
        <v/>
      </c>
      <c r="G115" s="99">
        <f>IFERROR(INDEX(_Protheus_Cadastro!$H:$H,MATCH(B115,_Protheus_Cadastro!$A:$A,0)),"—")</f>
        <v/>
      </c>
      <c r="H115" s="211">
        <f>IFERROR(INDEX(_ZIG_Precos!$D:$D,MATCH(I115,_ZIG_Precos!$F:$F,0)),"—")</f>
        <v/>
      </c>
      <c r="I115" s="103">
        <f>IFERROR(VLOOKUP(B115,_Protheus_Cadastro!$A:$I,9,FALSE),"—")</f>
        <v/>
      </c>
      <c r="J115" s="101">
        <f>IFERROR(INDEX(_ZIG_Cadastro!$B:$B,MATCH(I115,_ZIG_Cadastro!$A:$A,0)),IFERROR(INDEX(_Entradas_ZIG!$B:$B,MATCH(I115,_Entradas_ZIG!$C:$C,0)),"—"))</f>
        <v/>
      </c>
      <c r="K115" s="101">
        <f>IFERROR(INDEX(_ZIG_Cadastro!$C:$C,MATCH(I115,_ZIG_Cadastro!$A:$A,0)),IFERROR(INDEX(_Entradas_ZIG!$D:$D,MATCH(I115,_Entradas_ZIG!$C:$C,0)),"—"))</f>
        <v/>
      </c>
      <c r="L115" s="99">
        <f>IF(I115="","Sem SKU ZIG",IF(I115="—","Sem SKU ZIG",IF(NOT(ISERROR(MATCH(I115,_ZIG_Cadastro!$A:$A,0))),IF(EXACT(UPPER(TRIM(C115)),UPPER(TRIM(INDEX(_ZIG_Cadastro!$B:$B,MATCH(I115,_ZIG_Cadastro!$A:$A,0))))),"OK","Atencao - Nome diverge"),IF(NOT(ISERROR(MATCH(I115,_Entradas_ZIG!$C:$C,0))),"OK","Erro - SKU nao encontrado"))))</f>
        <v/>
      </c>
      <c r="M115" s="99">
        <f>IFERROR(INDEX(_ZIG_Cadastro!$G:$G,MATCH(I115,_ZIG_Cadastro!$A:$A,0)),IF(NOT(ISERROR(MATCH(I115,_Entradas_ZIG!$C:$C,0))),"Ativo","—"))</f>
        <v/>
      </c>
      <c r="N115" s="102">
        <f>IFERROR(INDEX(_ZIG_Cadastro!$E:$E,MATCH(I115,_ZIG_Cadastro!$A:$A,0)),IFERROR(INDEX(_Entradas_ZIG!$F:$F,MATCH(I115,_Entradas_ZIG!$C:$C,0)),"—"))</f>
        <v/>
      </c>
      <c r="O115" s="99">
        <f>IF(AND(ISNUMBER(SEARCH("Espeto",N115)),ISNUMBER(SEARCH("Carin",N115))),"SIM","")</f>
        <v/>
      </c>
      <c r="P115" s="99">
        <f>IF(AND(ISNUMBER(SEARCH("Espeto",N115)),ISNUMBER(SEARCH("Lapa",N115))),"SIM","")</f>
        <v/>
      </c>
      <c r="Q115" s="99">
        <f>IF(AND(ISNUMBER(SEARCH("Espeto",N115)),ISNUMBER(SEARCH("Tatuapé",N115))),"SIM","")</f>
        <v/>
      </c>
      <c r="R115" s="99">
        <f>IF(AND(ISNUMBER(SEARCH("Espeto",N115)),ISNUMBER(SEARCH("Pavão",N115))),"SIM","")</f>
        <v/>
      </c>
      <c r="S115" s="99">
        <f>IF(AND(ISNUMBER(SEARCH("Espeto",N115)),ISNUMBER(SEARCH("Chac",N115))),"SIM","")</f>
        <v/>
      </c>
      <c r="T115" s="99">
        <f>IF(AND(ISNUMBER(SEARCH("Espeto",N115)),ISNUMBER(SEARCH("Madalena",N115))),"SIM","")</f>
        <v/>
      </c>
      <c r="U115" s="99">
        <f>IF(AND(ISNUMBER(SEARCH("Espeto",N115)),ISNUMBER(SEARCH("Mariana",N115))),"SIM","")</f>
        <v/>
      </c>
      <c r="V115" s="99">
        <f>IF(AND(ISNUMBER(SEARCH("Espeto",N115)),ISNUMBER(SEARCH("Perdizes",N115))),"SIM","")</f>
        <v/>
      </c>
      <c r="W115" s="99">
        <f>IF(AND(ISNUMBER(SEARCH("Espeto",N115)),ISNUMBER(SEARCH("Santana",N115))),"SIM","")</f>
        <v/>
      </c>
      <c r="X115" s="99">
        <f>IF(AND(ISNUMBER(SEARCH("Espeto",N115)),ISNUMBER(SEARCH("André",N115))),"SIM","")</f>
        <v/>
      </c>
      <c r="Y115" s="99">
        <f>IF(AND(ISNUMBER(SEARCH("Delivery",N115)),ISNUMBER(SEARCH("Carin",N115))),"SIM","")</f>
        <v/>
      </c>
      <c r="Z115" s="99">
        <f>IF(AND(ISNUMBER(SEARCH("Delivery",N115)),ISNUMBER(SEARCH("Lapa",N115))),"SIM","")</f>
        <v/>
      </c>
      <c r="AA115" s="99">
        <f>IF(AND(ISNUMBER(SEARCH("Delivery",N115)),ISNUMBER(SEARCH("Tatuapé",N115))),"SIM","")</f>
        <v/>
      </c>
      <c r="AB115" s="99">
        <f>IF(AND(ISNUMBER(SEARCH("Delivery",N115)),ISNUMBER(SEARCH("Pavão",N115))),"SIM","")</f>
        <v/>
      </c>
      <c r="AC115" s="99">
        <f>IF(AND(ISNUMBER(SEARCH("Delivery",N115)),ISNUMBER(SEARCH("Chac",N115))),"SIM","")</f>
        <v/>
      </c>
      <c r="AD115" s="99">
        <f>IF(AND(ISNUMBER(SEARCH("Delivery",N115)),ISNUMBER(SEARCH("Madalena",N115))),"SIM","")</f>
        <v/>
      </c>
      <c r="AE115" s="99">
        <f>IF(AND(ISNUMBER(SEARCH("Delivery",N115)),ISNUMBER(SEARCH("Mariana",N115))),"SIM","")</f>
        <v/>
      </c>
      <c r="AF115" s="99">
        <f>IF(AND(ISNUMBER(SEARCH("Delivery",N115)),ISNUMBER(SEARCH("Perdizes",N115))),"SIM","")</f>
        <v/>
      </c>
      <c r="AG115" s="99">
        <f>IF(AND(ISNUMBER(SEARCH("Delivery",N115)),ISNUMBER(SEARCH("Santana",N115))),"SIM","")</f>
        <v/>
      </c>
      <c r="AH115" s="99">
        <f>IF(AND(ISNUMBER(SEARCH("Delivery",N115)),ISNUMBER(SEARCH("André",N115))),"SIM","")</f>
        <v/>
      </c>
      <c r="AI115" s="99">
        <f>IF(ISNUMBER(SEARCH("Interlagos",N115)),"SIM","")</f>
        <v/>
      </c>
      <c r="AJ115" s="99">
        <f>IF(ISNUMBER(SEARCH("Quiosque",N115)),"SIM","")</f>
        <v/>
      </c>
      <c r="AK115" s="101" t="n"/>
    </row>
    <row r="116">
      <c r="A116" s="88" t="inlineStr">
        <is>
          <t>Protheus</t>
        </is>
      </c>
      <c r="B116" s="89" t="inlineStr">
        <is>
          <t>000952</t>
        </is>
      </c>
      <c r="C116" s="90">
        <f>IF(B116="—","—",IFERROR(VLOOKUP(B116,_Protheus_Cadastro!$A:$B,2,FALSE),"—"))</f>
        <v/>
      </c>
      <c r="D116" s="91">
        <f>IF(B116="—",IFERROR(INDEX(_ZIG_Cadastro!$D:$D,MATCH(H116,_ZIG_Cadastro!$A:$A,0)),"Produto"),IFERROR(VLOOKUP(B116,_Protheus_Cadastro!$A:$C,3,FALSE),"—"))</f>
        <v/>
      </c>
      <c r="E116" s="91">
        <f>IF(B116="—","—",IFERROR(VLOOKUP(B116,_Protheus_Cadastro!$A:$D,4,FALSE),"—"))</f>
        <v/>
      </c>
      <c r="F116" s="91">
        <f>IF(ISERROR(VLOOKUP(B116,'Estrutura Protheus'!A:A,1,FALSE)),"Não","Sim")</f>
        <v/>
      </c>
      <c r="G116" s="92">
        <f>IFERROR(INDEX(_Protheus_Cadastro!$H:$H,MATCH(B116,_Protheus_Cadastro!$A:$A,0)),"—")</f>
        <v/>
      </c>
      <c r="H116" s="210">
        <f>IFERROR(INDEX(_ZIG_Precos!$D:$D,MATCH(I116,_ZIG_Precos!$F:$F,0)),"—")</f>
        <v/>
      </c>
      <c r="I116" s="95">
        <f>IFERROR(VLOOKUP(B116,_Protheus_Cadastro!$A:$I,9,FALSE),"—")</f>
        <v/>
      </c>
      <c r="J116" s="93">
        <f>IFERROR(INDEX(_ZIG_Cadastro!$B:$B,MATCH(I116,_ZIG_Cadastro!$A:$A,0)),IFERROR(INDEX(_Entradas_ZIG!$B:$B,MATCH(I116,_Entradas_ZIG!$C:$C,0)),"—"))</f>
        <v/>
      </c>
      <c r="K116" s="93">
        <f>IFERROR(INDEX(_ZIG_Cadastro!$C:$C,MATCH(I116,_ZIG_Cadastro!$A:$A,0)),IFERROR(INDEX(_Entradas_ZIG!$D:$D,MATCH(I116,_Entradas_ZIG!$C:$C,0)),"—"))</f>
        <v/>
      </c>
      <c r="L116" s="92">
        <f>IF(I116="","Sem SKU ZIG",IF(I116="—","Sem SKU ZIG",IF(NOT(ISERROR(MATCH(I116,_ZIG_Cadastro!$A:$A,0))),IF(EXACT(UPPER(TRIM(C116)),UPPER(TRIM(INDEX(_ZIG_Cadastro!$B:$B,MATCH(I116,_ZIG_Cadastro!$A:$A,0))))),"OK","Atencao - Nome diverge"),IF(NOT(ISERROR(MATCH(I116,_Entradas_ZIG!$C:$C,0))),"OK","Erro - SKU nao encontrado"))))</f>
        <v/>
      </c>
      <c r="M116" s="92">
        <f>IFERROR(INDEX(_ZIG_Cadastro!$G:$G,MATCH(I116,_ZIG_Cadastro!$A:$A,0)),IF(NOT(ISERROR(MATCH(I116,_Entradas_ZIG!$C:$C,0))),"Ativo","—"))</f>
        <v/>
      </c>
      <c r="N116" s="94">
        <f>IFERROR(INDEX(_ZIG_Cadastro!$E:$E,MATCH(I116,_ZIG_Cadastro!$A:$A,0)),IFERROR(INDEX(_Entradas_ZIG!$F:$F,MATCH(I116,_Entradas_ZIG!$C:$C,0)),"—"))</f>
        <v/>
      </c>
      <c r="O116" s="92">
        <f>IF(AND(ISNUMBER(SEARCH("Espeto",N116)),ISNUMBER(SEARCH("Carin",N116))),"SIM","")</f>
        <v/>
      </c>
      <c r="P116" s="92">
        <f>IF(AND(ISNUMBER(SEARCH("Espeto",N116)),ISNUMBER(SEARCH("Lapa",N116))),"SIM","")</f>
        <v/>
      </c>
      <c r="Q116" s="92">
        <f>IF(AND(ISNUMBER(SEARCH("Espeto",N116)),ISNUMBER(SEARCH("Tatuapé",N116))),"SIM","")</f>
        <v/>
      </c>
      <c r="R116" s="92">
        <f>IF(AND(ISNUMBER(SEARCH("Espeto",N116)),ISNUMBER(SEARCH("Pavão",N116))),"SIM","")</f>
        <v/>
      </c>
      <c r="S116" s="92">
        <f>IF(AND(ISNUMBER(SEARCH("Espeto",N116)),ISNUMBER(SEARCH("Chac",N116))),"SIM","")</f>
        <v/>
      </c>
      <c r="T116" s="92">
        <f>IF(AND(ISNUMBER(SEARCH("Espeto",N116)),ISNUMBER(SEARCH("Madalena",N116))),"SIM","")</f>
        <v/>
      </c>
      <c r="U116" s="92">
        <f>IF(AND(ISNUMBER(SEARCH("Espeto",N116)),ISNUMBER(SEARCH("Mariana",N116))),"SIM","")</f>
        <v/>
      </c>
      <c r="V116" s="92">
        <f>IF(AND(ISNUMBER(SEARCH("Espeto",N116)),ISNUMBER(SEARCH("Perdizes",N116))),"SIM","")</f>
        <v/>
      </c>
      <c r="W116" s="92">
        <f>IF(AND(ISNUMBER(SEARCH("Espeto",N116)),ISNUMBER(SEARCH("Santana",N116))),"SIM","")</f>
        <v/>
      </c>
      <c r="X116" s="92">
        <f>IF(AND(ISNUMBER(SEARCH("Espeto",N116)),ISNUMBER(SEARCH("André",N116))),"SIM","")</f>
        <v/>
      </c>
      <c r="Y116" s="92">
        <f>IF(AND(ISNUMBER(SEARCH("Delivery",N116)),ISNUMBER(SEARCH("Carin",N116))),"SIM","")</f>
        <v/>
      </c>
      <c r="Z116" s="92">
        <f>IF(AND(ISNUMBER(SEARCH("Delivery",N116)),ISNUMBER(SEARCH("Lapa",N116))),"SIM","")</f>
        <v/>
      </c>
      <c r="AA116" s="92">
        <f>IF(AND(ISNUMBER(SEARCH("Delivery",N116)),ISNUMBER(SEARCH("Tatuapé",N116))),"SIM","")</f>
        <v/>
      </c>
      <c r="AB116" s="92">
        <f>IF(AND(ISNUMBER(SEARCH("Delivery",N116)),ISNUMBER(SEARCH("Pavão",N116))),"SIM","")</f>
        <v/>
      </c>
      <c r="AC116" s="92">
        <f>IF(AND(ISNUMBER(SEARCH("Delivery",N116)),ISNUMBER(SEARCH("Chac",N116))),"SIM","")</f>
        <v/>
      </c>
      <c r="AD116" s="92">
        <f>IF(AND(ISNUMBER(SEARCH("Delivery",N116)),ISNUMBER(SEARCH("Madalena",N116))),"SIM","")</f>
        <v/>
      </c>
      <c r="AE116" s="92">
        <f>IF(AND(ISNUMBER(SEARCH("Delivery",N116)),ISNUMBER(SEARCH("Mariana",N116))),"SIM","")</f>
        <v/>
      </c>
      <c r="AF116" s="92">
        <f>IF(AND(ISNUMBER(SEARCH("Delivery",N116)),ISNUMBER(SEARCH("Perdizes",N116))),"SIM","")</f>
        <v/>
      </c>
      <c r="AG116" s="92">
        <f>IF(AND(ISNUMBER(SEARCH("Delivery",N116)),ISNUMBER(SEARCH("Santana",N116))),"SIM","")</f>
        <v/>
      </c>
      <c r="AH116" s="92">
        <f>IF(AND(ISNUMBER(SEARCH("Delivery",N116)),ISNUMBER(SEARCH("André",N116))),"SIM","")</f>
        <v/>
      </c>
      <c r="AI116" s="92">
        <f>IF(ISNUMBER(SEARCH("Interlagos",N116)),"SIM","")</f>
        <v/>
      </c>
      <c r="AJ116" s="92">
        <f>IF(ISNUMBER(SEARCH("Quiosque",N116)),"SIM","")</f>
        <v/>
      </c>
      <c r="AK116" s="93" t="n"/>
    </row>
    <row r="117">
      <c r="A117" s="88" t="inlineStr">
        <is>
          <t>Protheus</t>
        </is>
      </c>
      <c r="B117" s="96" t="inlineStr">
        <is>
          <t>000953</t>
        </is>
      </c>
      <c r="C117" s="97">
        <f>IF(B117="—","—",IFERROR(VLOOKUP(B117,_Protheus_Cadastro!$A:$B,2,FALSE),"—"))</f>
        <v/>
      </c>
      <c r="D117" s="98">
        <f>IF(B117="—",IFERROR(INDEX(_ZIG_Cadastro!$D:$D,MATCH(H117,_ZIG_Cadastro!$A:$A,0)),"Produto"),IFERROR(VLOOKUP(B117,_Protheus_Cadastro!$A:$C,3,FALSE),"—"))</f>
        <v/>
      </c>
      <c r="E117" s="98">
        <f>IF(B117="—","—",IFERROR(VLOOKUP(B117,_Protheus_Cadastro!$A:$D,4,FALSE),"—"))</f>
        <v/>
      </c>
      <c r="F117" s="98">
        <f>IF(ISERROR(VLOOKUP(B117,'Estrutura Protheus'!A:A,1,FALSE)),"Não","Sim")</f>
        <v/>
      </c>
      <c r="G117" s="99">
        <f>IFERROR(INDEX(_Protheus_Cadastro!$H:$H,MATCH(B117,_Protheus_Cadastro!$A:$A,0)),"—")</f>
        <v/>
      </c>
      <c r="H117" s="211">
        <f>IFERROR(INDEX(_ZIG_Precos!$D:$D,MATCH(I117,_ZIG_Precos!$F:$F,0)),"—")</f>
        <v/>
      </c>
      <c r="I117" s="103">
        <f>IFERROR(VLOOKUP(B117,_Protheus_Cadastro!$A:$I,9,FALSE),"—")</f>
        <v/>
      </c>
      <c r="J117" s="101">
        <f>IFERROR(INDEX(_ZIG_Cadastro!$B:$B,MATCH(I117,_ZIG_Cadastro!$A:$A,0)),IFERROR(INDEX(_Entradas_ZIG!$B:$B,MATCH(I117,_Entradas_ZIG!$C:$C,0)),"—"))</f>
        <v/>
      </c>
      <c r="K117" s="101">
        <f>IFERROR(INDEX(_ZIG_Cadastro!$C:$C,MATCH(I117,_ZIG_Cadastro!$A:$A,0)),IFERROR(INDEX(_Entradas_ZIG!$D:$D,MATCH(I117,_Entradas_ZIG!$C:$C,0)),"—"))</f>
        <v/>
      </c>
      <c r="L117" s="99">
        <f>IF(I117="","Sem SKU ZIG",IF(I117="—","Sem SKU ZIG",IF(NOT(ISERROR(MATCH(I117,_ZIG_Cadastro!$A:$A,0))),IF(EXACT(UPPER(TRIM(C117)),UPPER(TRIM(INDEX(_ZIG_Cadastro!$B:$B,MATCH(I117,_ZIG_Cadastro!$A:$A,0))))),"OK","Atencao - Nome diverge"),IF(NOT(ISERROR(MATCH(I117,_Entradas_ZIG!$C:$C,0))),"OK","Erro - SKU nao encontrado"))))</f>
        <v/>
      </c>
      <c r="M117" s="99">
        <f>IFERROR(INDEX(_ZIG_Cadastro!$G:$G,MATCH(I117,_ZIG_Cadastro!$A:$A,0)),IF(NOT(ISERROR(MATCH(I117,_Entradas_ZIG!$C:$C,0))),"Ativo","—"))</f>
        <v/>
      </c>
      <c r="N117" s="102">
        <f>IFERROR(INDEX(_ZIG_Cadastro!$E:$E,MATCH(I117,_ZIG_Cadastro!$A:$A,0)),IFERROR(INDEX(_Entradas_ZIG!$F:$F,MATCH(I117,_Entradas_ZIG!$C:$C,0)),"—"))</f>
        <v/>
      </c>
      <c r="O117" s="99">
        <f>IF(AND(ISNUMBER(SEARCH("Espeto",N117)),ISNUMBER(SEARCH("Carin",N117))),"SIM","")</f>
        <v/>
      </c>
      <c r="P117" s="99">
        <f>IF(AND(ISNUMBER(SEARCH("Espeto",N117)),ISNUMBER(SEARCH("Lapa",N117))),"SIM","")</f>
        <v/>
      </c>
      <c r="Q117" s="99">
        <f>IF(AND(ISNUMBER(SEARCH("Espeto",N117)),ISNUMBER(SEARCH("Tatuapé",N117))),"SIM","")</f>
        <v/>
      </c>
      <c r="R117" s="99">
        <f>IF(AND(ISNUMBER(SEARCH("Espeto",N117)),ISNUMBER(SEARCH("Pavão",N117))),"SIM","")</f>
        <v/>
      </c>
      <c r="S117" s="99">
        <f>IF(AND(ISNUMBER(SEARCH("Espeto",N117)),ISNUMBER(SEARCH("Chac",N117))),"SIM","")</f>
        <v/>
      </c>
      <c r="T117" s="99">
        <f>IF(AND(ISNUMBER(SEARCH("Espeto",N117)),ISNUMBER(SEARCH("Madalena",N117))),"SIM","")</f>
        <v/>
      </c>
      <c r="U117" s="99">
        <f>IF(AND(ISNUMBER(SEARCH("Espeto",N117)),ISNUMBER(SEARCH("Mariana",N117))),"SIM","")</f>
        <v/>
      </c>
      <c r="V117" s="99">
        <f>IF(AND(ISNUMBER(SEARCH("Espeto",N117)),ISNUMBER(SEARCH("Perdizes",N117))),"SIM","")</f>
        <v/>
      </c>
      <c r="W117" s="99">
        <f>IF(AND(ISNUMBER(SEARCH("Espeto",N117)),ISNUMBER(SEARCH("Santana",N117))),"SIM","")</f>
        <v/>
      </c>
      <c r="X117" s="99">
        <f>IF(AND(ISNUMBER(SEARCH("Espeto",N117)),ISNUMBER(SEARCH("André",N117))),"SIM","")</f>
        <v/>
      </c>
      <c r="Y117" s="99">
        <f>IF(AND(ISNUMBER(SEARCH("Delivery",N117)),ISNUMBER(SEARCH("Carin",N117))),"SIM","")</f>
        <v/>
      </c>
      <c r="Z117" s="99">
        <f>IF(AND(ISNUMBER(SEARCH("Delivery",N117)),ISNUMBER(SEARCH("Lapa",N117))),"SIM","")</f>
        <v/>
      </c>
      <c r="AA117" s="99">
        <f>IF(AND(ISNUMBER(SEARCH("Delivery",N117)),ISNUMBER(SEARCH("Tatuapé",N117))),"SIM","")</f>
        <v/>
      </c>
      <c r="AB117" s="99">
        <f>IF(AND(ISNUMBER(SEARCH("Delivery",N117)),ISNUMBER(SEARCH("Pavão",N117))),"SIM","")</f>
        <v/>
      </c>
      <c r="AC117" s="99">
        <f>IF(AND(ISNUMBER(SEARCH("Delivery",N117)),ISNUMBER(SEARCH("Chac",N117))),"SIM","")</f>
        <v/>
      </c>
      <c r="AD117" s="99">
        <f>IF(AND(ISNUMBER(SEARCH("Delivery",N117)),ISNUMBER(SEARCH("Madalena",N117))),"SIM","")</f>
        <v/>
      </c>
      <c r="AE117" s="99">
        <f>IF(AND(ISNUMBER(SEARCH("Delivery",N117)),ISNUMBER(SEARCH("Mariana",N117))),"SIM","")</f>
        <v/>
      </c>
      <c r="AF117" s="99">
        <f>IF(AND(ISNUMBER(SEARCH("Delivery",N117)),ISNUMBER(SEARCH("Perdizes",N117))),"SIM","")</f>
        <v/>
      </c>
      <c r="AG117" s="99">
        <f>IF(AND(ISNUMBER(SEARCH("Delivery",N117)),ISNUMBER(SEARCH("Santana",N117))),"SIM","")</f>
        <v/>
      </c>
      <c r="AH117" s="99">
        <f>IF(AND(ISNUMBER(SEARCH("Delivery",N117)),ISNUMBER(SEARCH("André",N117))),"SIM","")</f>
        <v/>
      </c>
      <c r="AI117" s="99">
        <f>IF(ISNUMBER(SEARCH("Interlagos",N117)),"SIM","")</f>
        <v/>
      </c>
      <c r="AJ117" s="99">
        <f>IF(ISNUMBER(SEARCH("Quiosque",N117)),"SIM","")</f>
        <v/>
      </c>
      <c r="AK117" s="101" t="n"/>
    </row>
    <row r="118">
      <c r="A118" s="88" t="inlineStr">
        <is>
          <t>Protheus</t>
        </is>
      </c>
      <c r="B118" s="89" t="inlineStr">
        <is>
          <t>001365</t>
        </is>
      </c>
      <c r="C118" s="90">
        <f>IF(B118="—","—",IFERROR(VLOOKUP(B118,_Protheus_Cadastro!$A:$B,2,FALSE),"—"))</f>
        <v/>
      </c>
      <c r="D118" s="91">
        <f>IF(B118="—",IFERROR(INDEX(_ZIG_Cadastro!$D:$D,MATCH(H118,_ZIG_Cadastro!$A:$A,0)),"Produto"),IFERROR(VLOOKUP(B118,_Protheus_Cadastro!$A:$C,3,FALSE),"—"))</f>
        <v/>
      </c>
      <c r="E118" s="91">
        <f>IF(B118="—","—",IFERROR(VLOOKUP(B118,_Protheus_Cadastro!$A:$D,4,FALSE),"—"))</f>
        <v/>
      </c>
      <c r="F118" s="91">
        <f>IF(ISERROR(VLOOKUP(B118,'Estrutura Protheus'!A:A,1,FALSE)),"Não","Sim")</f>
        <v/>
      </c>
      <c r="G118" s="92">
        <f>IFERROR(INDEX(_Protheus_Cadastro!$H:$H,MATCH(B118,_Protheus_Cadastro!$A:$A,0)),"—")</f>
        <v/>
      </c>
      <c r="H118" s="210">
        <f>IFERROR(INDEX(_ZIG_Precos!$D:$D,MATCH(I118,_ZIG_Precos!$F:$F,0)),"—")</f>
        <v/>
      </c>
      <c r="I118" s="95">
        <f>IFERROR(VLOOKUP(B118,_Protheus_Cadastro!$A:$I,9,FALSE),"—")</f>
        <v/>
      </c>
      <c r="J118" s="93">
        <f>IFERROR(INDEX(_ZIG_Cadastro!$B:$B,MATCH(I118,_ZIG_Cadastro!$A:$A,0)),IFERROR(INDEX(_Entradas_ZIG!$B:$B,MATCH(I118,_Entradas_ZIG!$C:$C,0)),"—"))</f>
        <v/>
      </c>
      <c r="K118" s="93">
        <f>IFERROR(INDEX(_ZIG_Cadastro!$C:$C,MATCH(I118,_ZIG_Cadastro!$A:$A,0)),IFERROR(INDEX(_Entradas_ZIG!$D:$D,MATCH(I118,_Entradas_ZIG!$C:$C,0)),"—"))</f>
        <v/>
      </c>
      <c r="L118" s="92">
        <f>IF(I118="","Sem SKU ZIG",IF(I118="—","Sem SKU ZIG",IF(NOT(ISERROR(MATCH(I118,_ZIG_Cadastro!$A:$A,0))),IF(EXACT(UPPER(TRIM(C118)),UPPER(TRIM(INDEX(_ZIG_Cadastro!$B:$B,MATCH(I118,_ZIG_Cadastro!$A:$A,0))))),"OK","Atencao - Nome diverge"),IF(NOT(ISERROR(MATCH(I118,_Entradas_ZIG!$C:$C,0))),"OK","Erro - SKU nao encontrado"))))</f>
        <v/>
      </c>
      <c r="M118" s="92">
        <f>IFERROR(INDEX(_ZIG_Cadastro!$G:$G,MATCH(I118,_ZIG_Cadastro!$A:$A,0)),IF(NOT(ISERROR(MATCH(I118,_Entradas_ZIG!$C:$C,0))),"Ativo","—"))</f>
        <v/>
      </c>
      <c r="N118" s="94">
        <f>IFERROR(INDEX(_ZIG_Cadastro!$E:$E,MATCH(I118,_ZIG_Cadastro!$A:$A,0)),IFERROR(INDEX(_Entradas_ZIG!$F:$F,MATCH(I118,_Entradas_ZIG!$C:$C,0)),"—"))</f>
        <v/>
      </c>
      <c r="O118" s="92">
        <f>IF(AND(ISNUMBER(SEARCH("Espeto",N118)),ISNUMBER(SEARCH("Carin",N118))),"SIM","")</f>
        <v/>
      </c>
      <c r="P118" s="92">
        <f>IF(AND(ISNUMBER(SEARCH("Espeto",N118)),ISNUMBER(SEARCH("Lapa",N118))),"SIM","")</f>
        <v/>
      </c>
      <c r="Q118" s="92">
        <f>IF(AND(ISNUMBER(SEARCH("Espeto",N118)),ISNUMBER(SEARCH("Tatuapé",N118))),"SIM","")</f>
        <v/>
      </c>
      <c r="R118" s="92">
        <f>IF(AND(ISNUMBER(SEARCH("Espeto",N118)),ISNUMBER(SEARCH("Pavão",N118))),"SIM","")</f>
        <v/>
      </c>
      <c r="S118" s="92">
        <f>IF(AND(ISNUMBER(SEARCH("Espeto",N118)),ISNUMBER(SEARCH("Chac",N118))),"SIM","")</f>
        <v/>
      </c>
      <c r="T118" s="92">
        <f>IF(AND(ISNUMBER(SEARCH("Espeto",N118)),ISNUMBER(SEARCH("Madalena",N118))),"SIM","")</f>
        <v/>
      </c>
      <c r="U118" s="92">
        <f>IF(AND(ISNUMBER(SEARCH("Espeto",N118)),ISNUMBER(SEARCH("Mariana",N118))),"SIM","")</f>
        <v/>
      </c>
      <c r="V118" s="92">
        <f>IF(AND(ISNUMBER(SEARCH("Espeto",N118)),ISNUMBER(SEARCH("Perdizes",N118))),"SIM","")</f>
        <v/>
      </c>
      <c r="W118" s="92">
        <f>IF(AND(ISNUMBER(SEARCH("Espeto",N118)),ISNUMBER(SEARCH("Santana",N118))),"SIM","")</f>
        <v/>
      </c>
      <c r="X118" s="92">
        <f>IF(AND(ISNUMBER(SEARCH("Espeto",N118)),ISNUMBER(SEARCH("André",N118))),"SIM","")</f>
        <v/>
      </c>
      <c r="Y118" s="92">
        <f>IF(AND(ISNUMBER(SEARCH("Delivery",N118)),ISNUMBER(SEARCH("Carin",N118))),"SIM","")</f>
        <v/>
      </c>
      <c r="Z118" s="92">
        <f>IF(AND(ISNUMBER(SEARCH("Delivery",N118)),ISNUMBER(SEARCH("Lapa",N118))),"SIM","")</f>
        <v/>
      </c>
      <c r="AA118" s="92">
        <f>IF(AND(ISNUMBER(SEARCH("Delivery",N118)),ISNUMBER(SEARCH("Tatuapé",N118))),"SIM","")</f>
        <v/>
      </c>
      <c r="AB118" s="92">
        <f>IF(AND(ISNUMBER(SEARCH("Delivery",N118)),ISNUMBER(SEARCH("Pavão",N118))),"SIM","")</f>
        <v/>
      </c>
      <c r="AC118" s="92">
        <f>IF(AND(ISNUMBER(SEARCH("Delivery",N118)),ISNUMBER(SEARCH("Chac",N118))),"SIM","")</f>
        <v/>
      </c>
      <c r="AD118" s="92">
        <f>IF(AND(ISNUMBER(SEARCH("Delivery",N118)),ISNUMBER(SEARCH("Madalena",N118))),"SIM","")</f>
        <v/>
      </c>
      <c r="AE118" s="92">
        <f>IF(AND(ISNUMBER(SEARCH("Delivery",N118)),ISNUMBER(SEARCH("Mariana",N118))),"SIM","")</f>
        <v/>
      </c>
      <c r="AF118" s="92">
        <f>IF(AND(ISNUMBER(SEARCH("Delivery",N118)),ISNUMBER(SEARCH("Perdizes",N118))),"SIM","")</f>
        <v/>
      </c>
      <c r="AG118" s="92">
        <f>IF(AND(ISNUMBER(SEARCH("Delivery",N118)),ISNUMBER(SEARCH("Santana",N118))),"SIM","")</f>
        <v/>
      </c>
      <c r="AH118" s="92">
        <f>IF(AND(ISNUMBER(SEARCH("Delivery",N118)),ISNUMBER(SEARCH("André",N118))),"SIM","")</f>
        <v/>
      </c>
      <c r="AI118" s="92">
        <f>IF(ISNUMBER(SEARCH("Interlagos",N118)),"SIM","")</f>
        <v/>
      </c>
      <c r="AJ118" s="92">
        <f>IF(ISNUMBER(SEARCH("Quiosque",N118)),"SIM","")</f>
        <v/>
      </c>
      <c r="AK118" s="93" t="n"/>
    </row>
    <row r="119">
      <c r="A119" s="88" t="inlineStr">
        <is>
          <t>Protheus</t>
        </is>
      </c>
      <c r="B119" s="96" t="inlineStr">
        <is>
          <t>001961</t>
        </is>
      </c>
      <c r="C119" s="97">
        <f>IF(B119="—","—",IFERROR(VLOOKUP(B119,_Protheus_Cadastro!$A:$B,2,FALSE),"—"))</f>
        <v/>
      </c>
      <c r="D119" s="98">
        <f>IF(B119="—",IFERROR(INDEX(_ZIG_Cadastro!$D:$D,MATCH(H119,_ZIG_Cadastro!$A:$A,0)),"Produto"),IFERROR(VLOOKUP(B119,_Protheus_Cadastro!$A:$C,3,FALSE),"—"))</f>
        <v/>
      </c>
      <c r="E119" s="98">
        <f>IF(B119="—","—",IFERROR(VLOOKUP(B119,_Protheus_Cadastro!$A:$D,4,FALSE),"—"))</f>
        <v/>
      </c>
      <c r="F119" s="98">
        <f>IF(ISERROR(VLOOKUP(B119,'Estrutura Protheus'!A:A,1,FALSE)),"Não","Sim")</f>
        <v/>
      </c>
      <c r="G119" s="99">
        <f>IFERROR(INDEX(_Protheus_Cadastro!$H:$H,MATCH(B119,_Protheus_Cadastro!$A:$A,0)),"—")</f>
        <v/>
      </c>
      <c r="H119" s="211">
        <f>IFERROR(INDEX(_ZIG_Precos!$D:$D,MATCH(I119,_ZIG_Precos!$F:$F,0)),"—")</f>
        <v/>
      </c>
      <c r="I119" s="103">
        <f>IFERROR(VLOOKUP(B119,_Protheus_Cadastro!$A:$I,9,FALSE),"—")</f>
        <v/>
      </c>
      <c r="J119" s="101">
        <f>IFERROR(INDEX(_ZIG_Cadastro!$B:$B,MATCH(I119,_ZIG_Cadastro!$A:$A,0)),IFERROR(INDEX(_Entradas_ZIG!$B:$B,MATCH(I119,_Entradas_ZIG!$C:$C,0)),"—"))</f>
        <v/>
      </c>
      <c r="K119" s="101">
        <f>IFERROR(INDEX(_ZIG_Cadastro!$C:$C,MATCH(I119,_ZIG_Cadastro!$A:$A,0)),IFERROR(INDEX(_Entradas_ZIG!$D:$D,MATCH(I119,_Entradas_ZIG!$C:$C,0)),"—"))</f>
        <v/>
      </c>
      <c r="L119" s="99">
        <f>IF(I119="","Sem SKU ZIG",IF(I119="—","Sem SKU ZIG",IF(NOT(ISERROR(MATCH(I119,_ZIG_Cadastro!$A:$A,0))),IF(EXACT(UPPER(TRIM(C119)),UPPER(TRIM(INDEX(_ZIG_Cadastro!$B:$B,MATCH(I119,_ZIG_Cadastro!$A:$A,0))))),"OK","Atencao - Nome diverge"),IF(NOT(ISERROR(MATCH(I119,_Entradas_ZIG!$C:$C,0))),"OK","Erro - SKU nao encontrado"))))</f>
        <v/>
      </c>
      <c r="M119" s="99">
        <f>IFERROR(INDEX(_ZIG_Cadastro!$G:$G,MATCH(I119,_ZIG_Cadastro!$A:$A,0)),IF(NOT(ISERROR(MATCH(I119,_Entradas_ZIG!$C:$C,0))),"Ativo","—"))</f>
        <v/>
      </c>
      <c r="N119" s="102">
        <f>IFERROR(INDEX(_ZIG_Cadastro!$E:$E,MATCH(I119,_ZIG_Cadastro!$A:$A,0)),IFERROR(INDEX(_Entradas_ZIG!$F:$F,MATCH(I119,_Entradas_ZIG!$C:$C,0)),"—"))</f>
        <v/>
      </c>
      <c r="O119" s="99">
        <f>IF(AND(ISNUMBER(SEARCH("Espeto",N119)),ISNUMBER(SEARCH("Carin",N119))),"SIM","")</f>
        <v/>
      </c>
      <c r="P119" s="99">
        <f>IF(AND(ISNUMBER(SEARCH("Espeto",N119)),ISNUMBER(SEARCH("Lapa",N119))),"SIM","")</f>
        <v/>
      </c>
      <c r="Q119" s="99">
        <f>IF(AND(ISNUMBER(SEARCH("Espeto",N119)),ISNUMBER(SEARCH("Tatuapé",N119))),"SIM","")</f>
        <v/>
      </c>
      <c r="R119" s="99">
        <f>IF(AND(ISNUMBER(SEARCH("Espeto",N119)),ISNUMBER(SEARCH("Pavão",N119))),"SIM","")</f>
        <v/>
      </c>
      <c r="S119" s="99">
        <f>IF(AND(ISNUMBER(SEARCH("Espeto",N119)),ISNUMBER(SEARCH("Chac",N119))),"SIM","")</f>
        <v/>
      </c>
      <c r="T119" s="99">
        <f>IF(AND(ISNUMBER(SEARCH("Espeto",N119)),ISNUMBER(SEARCH("Madalena",N119))),"SIM","")</f>
        <v/>
      </c>
      <c r="U119" s="99">
        <f>IF(AND(ISNUMBER(SEARCH("Espeto",N119)),ISNUMBER(SEARCH("Mariana",N119))),"SIM","")</f>
        <v/>
      </c>
      <c r="V119" s="99">
        <f>IF(AND(ISNUMBER(SEARCH("Espeto",N119)),ISNUMBER(SEARCH("Perdizes",N119))),"SIM","")</f>
        <v/>
      </c>
      <c r="W119" s="99">
        <f>IF(AND(ISNUMBER(SEARCH("Espeto",N119)),ISNUMBER(SEARCH("Santana",N119))),"SIM","")</f>
        <v/>
      </c>
      <c r="X119" s="99">
        <f>IF(AND(ISNUMBER(SEARCH("Espeto",N119)),ISNUMBER(SEARCH("André",N119))),"SIM","")</f>
        <v/>
      </c>
      <c r="Y119" s="99">
        <f>IF(AND(ISNUMBER(SEARCH("Delivery",N119)),ISNUMBER(SEARCH("Carin",N119))),"SIM","")</f>
        <v/>
      </c>
      <c r="Z119" s="99">
        <f>IF(AND(ISNUMBER(SEARCH("Delivery",N119)),ISNUMBER(SEARCH("Lapa",N119))),"SIM","")</f>
        <v/>
      </c>
      <c r="AA119" s="99">
        <f>IF(AND(ISNUMBER(SEARCH("Delivery",N119)),ISNUMBER(SEARCH("Tatuapé",N119))),"SIM","")</f>
        <v/>
      </c>
      <c r="AB119" s="99">
        <f>IF(AND(ISNUMBER(SEARCH("Delivery",N119)),ISNUMBER(SEARCH("Pavão",N119))),"SIM","")</f>
        <v/>
      </c>
      <c r="AC119" s="99">
        <f>IF(AND(ISNUMBER(SEARCH("Delivery",N119)),ISNUMBER(SEARCH("Chac",N119))),"SIM","")</f>
        <v/>
      </c>
      <c r="AD119" s="99">
        <f>IF(AND(ISNUMBER(SEARCH("Delivery",N119)),ISNUMBER(SEARCH("Madalena",N119))),"SIM","")</f>
        <v/>
      </c>
      <c r="AE119" s="99">
        <f>IF(AND(ISNUMBER(SEARCH("Delivery",N119)),ISNUMBER(SEARCH("Mariana",N119))),"SIM","")</f>
        <v/>
      </c>
      <c r="AF119" s="99">
        <f>IF(AND(ISNUMBER(SEARCH("Delivery",N119)),ISNUMBER(SEARCH("Perdizes",N119))),"SIM","")</f>
        <v/>
      </c>
      <c r="AG119" s="99">
        <f>IF(AND(ISNUMBER(SEARCH("Delivery",N119)),ISNUMBER(SEARCH("Santana",N119))),"SIM","")</f>
        <v/>
      </c>
      <c r="AH119" s="99">
        <f>IF(AND(ISNUMBER(SEARCH("Delivery",N119)),ISNUMBER(SEARCH("André",N119))),"SIM","")</f>
        <v/>
      </c>
      <c r="AI119" s="99">
        <f>IF(ISNUMBER(SEARCH("Interlagos",N119)),"SIM","")</f>
        <v/>
      </c>
      <c r="AJ119" s="99">
        <f>IF(ISNUMBER(SEARCH("Quiosque",N119)),"SIM","")</f>
        <v/>
      </c>
      <c r="AK119" s="101" t="n"/>
    </row>
    <row r="120">
      <c r="A120" s="88" t="inlineStr">
        <is>
          <t>Protheus</t>
        </is>
      </c>
      <c r="B120" s="89" t="inlineStr">
        <is>
          <t>000966</t>
        </is>
      </c>
      <c r="C120" s="90">
        <f>IF(B120="—","—",IFERROR(VLOOKUP(B120,_Protheus_Cadastro!$A:$B,2,FALSE),"—"))</f>
        <v/>
      </c>
      <c r="D120" s="91">
        <f>IF(B120="—",IFERROR(INDEX(_ZIG_Cadastro!$D:$D,MATCH(H120,_ZIG_Cadastro!$A:$A,0)),"Produto"),IFERROR(VLOOKUP(B120,_Protheus_Cadastro!$A:$C,3,FALSE),"—"))</f>
        <v/>
      </c>
      <c r="E120" s="91">
        <f>IF(B120="—","—",IFERROR(VLOOKUP(B120,_Protheus_Cadastro!$A:$D,4,FALSE),"—"))</f>
        <v/>
      </c>
      <c r="F120" s="91">
        <f>IF(ISERROR(VLOOKUP(B120,'Estrutura Protheus'!A:A,1,FALSE)),"Não","Sim")</f>
        <v/>
      </c>
      <c r="G120" s="92">
        <f>IFERROR(INDEX(_Protheus_Cadastro!$H:$H,MATCH(B120,_Protheus_Cadastro!$A:$A,0)),"—")</f>
        <v/>
      </c>
      <c r="H120" s="210">
        <f>IFERROR(INDEX(_ZIG_Precos!$D:$D,MATCH(I120,_ZIG_Precos!$F:$F,0)),"—")</f>
        <v/>
      </c>
      <c r="I120" s="95">
        <f>IFERROR(VLOOKUP(B120,_Protheus_Cadastro!$A:$I,9,FALSE),"—")</f>
        <v/>
      </c>
      <c r="J120" s="93">
        <f>IFERROR(INDEX(_ZIG_Cadastro!$B:$B,MATCH(I120,_ZIG_Cadastro!$A:$A,0)),IFERROR(INDEX(_Entradas_ZIG!$B:$B,MATCH(I120,_Entradas_ZIG!$C:$C,0)),"—"))</f>
        <v/>
      </c>
      <c r="K120" s="93">
        <f>IFERROR(INDEX(_ZIG_Cadastro!$C:$C,MATCH(I120,_ZIG_Cadastro!$A:$A,0)),IFERROR(INDEX(_Entradas_ZIG!$D:$D,MATCH(I120,_Entradas_ZIG!$C:$C,0)),"—"))</f>
        <v/>
      </c>
      <c r="L120" s="92">
        <f>IF(I120="","Sem SKU ZIG",IF(I120="—","Sem SKU ZIG",IF(NOT(ISERROR(MATCH(I120,_ZIG_Cadastro!$A:$A,0))),IF(EXACT(UPPER(TRIM(C120)),UPPER(TRIM(INDEX(_ZIG_Cadastro!$B:$B,MATCH(I120,_ZIG_Cadastro!$A:$A,0))))),"OK","Atencao - Nome diverge"),IF(NOT(ISERROR(MATCH(I120,_Entradas_ZIG!$C:$C,0))),"OK","Erro - SKU nao encontrado"))))</f>
        <v/>
      </c>
      <c r="M120" s="92">
        <f>IFERROR(INDEX(_ZIG_Cadastro!$G:$G,MATCH(I120,_ZIG_Cadastro!$A:$A,0)),IF(NOT(ISERROR(MATCH(I120,_Entradas_ZIG!$C:$C,0))),"Ativo","—"))</f>
        <v/>
      </c>
      <c r="N120" s="94">
        <f>IFERROR(INDEX(_ZIG_Cadastro!$E:$E,MATCH(I120,_ZIG_Cadastro!$A:$A,0)),IFERROR(INDEX(_Entradas_ZIG!$F:$F,MATCH(I120,_Entradas_ZIG!$C:$C,0)),"—"))</f>
        <v/>
      </c>
      <c r="O120" s="92">
        <f>IF(AND(ISNUMBER(SEARCH("Espeto",N120)),ISNUMBER(SEARCH("Carin",N120))),"SIM","")</f>
        <v/>
      </c>
      <c r="P120" s="92">
        <f>IF(AND(ISNUMBER(SEARCH("Espeto",N120)),ISNUMBER(SEARCH("Lapa",N120))),"SIM","")</f>
        <v/>
      </c>
      <c r="Q120" s="92">
        <f>IF(AND(ISNUMBER(SEARCH("Espeto",N120)),ISNUMBER(SEARCH("Tatuapé",N120))),"SIM","")</f>
        <v/>
      </c>
      <c r="R120" s="92">
        <f>IF(AND(ISNUMBER(SEARCH("Espeto",N120)),ISNUMBER(SEARCH("Pavão",N120))),"SIM","")</f>
        <v/>
      </c>
      <c r="S120" s="92">
        <f>IF(AND(ISNUMBER(SEARCH("Espeto",N120)),ISNUMBER(SEARCH("Chac",N120))),"SIM","")</f>
        <v/>
      </c>
      <c r="T120" s="92">
        <f>IF(AND(ISNUMBER(SEARCH("Espeto",N120)),ISNUMBER(SEARCH("Madalena",N120))),"SIM","")</f>
        <v/>
      </c>
      <c r="U120" s="92">
        <f>IF(AND(ISNUMBER(SEARCH("Espeto",N120)),ISNUMBER(SEARCH("Mariana",N120))),"SIM","")</f>
        <v/>
      </c>
      <c r="V120" s="92">
        <f>IF(AND(ISNUMBER(SEARCH("Espeto",N120)),ISNUMBER(SEARCH("Perdizes",N120))),"SIM","")</f>
        <v/>
      </c>
      <c r="W120" s="92">
        <f>IF(AND(ISNUMBER(SEARCH("Espeto",N120)),ISNUMBER(SEARCH("Santana",N120))),"SIM","")</f>
        <v/>
      </c>
      <c r="X120" s="92">
        <f>IF(AND(ISNUMBER(SEARCH("Espeto",N120)),ISNUMBER(SEARCH("André",N120))),"SIM","")</f>
        <v/>
      </c>
      <c r="Y120" s="92">
        <f>IF(AND(ISNUMBER(SEARCH("Delivery",N120)),ISNUMBER(SEARCH("Carin",N120))),"SIM","")</f>
        <v/>
      </c>
      <c r="Z120" s="92">
        <f>IF(AND(ISNUMBER(SEARCH("Delivery",N120)),ISNUMBER(SEARCH("Lapa",N120))),"SIM","")</f>
        <v/>
      </c>
      <c r="AA120" s="92">
        <f>IF(AND(ISNUMBER(SEARCH("Delivery",N120)),ISNUMBER(SEARCH("Tatuapé",N120))),"SIM","")</f>
        <v/>
      </c>
      <c r="AB120" s="92">
        <f>IF(AND(ISNUMBER(SEARCH("Delivery",N120)),ISNUMBER(SEARCH("Pavão",N120))),"SIM","")</f>
        <v/>
      </c>
      <c r="AC120" s="92">
        <f>IF(AND(ISNUMBER(SEARCH("Delivery",N120)),ISNUMBER(SEARCH("Chac",N120))),"SIM","")</f>
        <v/>
      </c>
      <c r="AD120" s="92">
        <f>IF(AND(ISNUMBER(SEARCH("Delivery",N120)),ISNUMBER(SEARCH("Madalena",N120))),"SIM","")</f>
        <v/>
      </c>
      <c r="AE120" s="92">
        <f>IF(AND(ISNUMBER(SEARCH("Delivery",N120)),ISNUMBER(SEARCH("Mariana",N120))),"SIM","")</f>
        <v/>
      </c>
      <c r="AF120" s="92">
        <f>IF(AND(ISNUMBER(SEARCH("Delivery",N120)),ISNUMBER(SEARCH("Perdizes",N120))),"SIM","")</f>
        <v/>
      </c>
      <c r="AG120" s="92">
        <f>IF(AND(ISNUMBER(SEARCH("Delivery",N120)),ISNUMBER(SEARCH("Santana",N120))),"SIM","")</f>
        <v/>
      </c>
      <c r="AH120" s="92">
        <f>IF(AND(ISNUMBER(SEARCH("Delivery",N120)),ISNUMBER(SEARCH("André",N120))),"SIM","")</f>
        <v/>
      </c>
      <c r="AI120" s="92">
        <f>IF(ISNUMBER(SEARCH("Interlagos",N120)),"SIM","")</f>
        <v/>
      </c>
      <c r="AJ120" s="92">
        <f>IF(ISNUMBER(SEARCH("Quiosque",N120)),"SIM","")</f>
        <v/>
      </c>
      <c r="AK120" s="93" t="n"/>
    </row>
    <row r="121">
      <c r="A121" s="88" t="inlineStr">
        <is>
          <t>Protheus</t>
        </is>
      </c>
      <c r="B121" s="96" t="inlineStr">
        <is>
          <t>001023</t>
        </is>
      </c>
      <c r="C121" s="97">
        <f>IF(B121="—","—",IFERROR(VLOOKUP(B121,_Protheus_Cadastro!$A:$B,2,FALSE),"—"))</f>
        <v/>
      </c>
      <c r="D121" s="98">
        <f>IF(B121="—",IFERROR(INDEX(_ZIG_Cadastro!$D:$D,MATCH(H121,_ZIG_Cadastro!$A:$A,0)),"Produto"),IFERROR(VLOOKUP(B121,_Protheus_Cadastro!$A:$C,3,FALSE),"—"))</f>
        <v/>
      </c>
      <c r="E121" s="98">
        <f>IF(B121="—","—",IFERROR(VLOOKUP(B121,_Protheus_Cadastro!$A:$D,4,FALSE),"—"))</f>
        <v/>
      </c>
      <c r="F121" s="98">
        <f>IF(ISERROR(VLOOKUP(B121,'Estrutura Protheus'!A:A,1,FALSE)),"Não","Sim")</f>
        <v/>
      </c>
      <c r="G121" s="99">
        <f>IFERROR(INDEX(_Protheus_Cadastro!$H:$H,MATCH(B121,_Protheus_Cadastro!$A:$A,0)),"—")</f>
        <v/>
      </c>
      <c r="H121" s="211">
        <f>IFERROR(INDEX(_ZIG_Precos!$D:$D,MATCH(I121,_ZIG_Precos!$F:$F,0)),"—")</f>
        <v/>
      </c>
      <c r="I121" s="103">
        <f>IFERROR(VLOOKUP(B121,_Protheus_Cadastro!$A:$I,9,FALSE),"—")</f>
        <v/>
      </c>
      <c r="J121" s="101">
        <f>IFERROR(INDEX(_ZIG_Cadastro!$B:$B,MATCH(I121,_ZIG_Cadastro!$A:$A,0)),IFERROR(INDEX(_Entradas_ZIG!$B:$B,MATCH(I121,_Entradas_ZIG!$C:$C,0)),"—"))</f>
        <v/>
      </c>
      <c r="K121" s="101">
        <f>IFERROR(INDEX(_ZIG_Cadastro!$C:$C,MATCH(I121,_ZIG_Cadastro!$A:$A,0)),IFERROR(INDEX(_Entradas_ZIG!$D:$D,MATCH(I121,_Entradas_ZIG!$C:$C,0)),"—"))</f>
        <v/>
      </c>
      <c r="L121" s="99">
        <f>IF(I121="","Sem SKU ZIG",IF(I121="—","Sem SKU ZIG",IF(NOT(ISERROR(MATCH(I121,_ZIG_Cadastro!$A:$A,0))),IF(EXACT(UPPER(TRIM(C121)),UPPER(TRIM(INDEX(_ZIG_Cadastro!$B:$B,MATCH(I121,_ZIG_Cadastro!$A:$A,0))))),"OK","Atencao - Nome diverge"),IF(NOT(ISERROR(MATCH(I121,_Entradas_ZIG!$C:$C,0))),"OK","Erro - SKU nao encontrado"))))</f>
        <v/>
      </c>
      <c r="M121" s="99">
        <f>IFERROR(INDEX(_ZIG_Cadastro!$G:$G,MATCH(I121,_ZIG_Cadastro!$A:$A,0)),IF(NOT(ISERROR(MATCH(I121,_Entradas_ZIG!$C:$C,0))),"Ativo","—"))</f>
        <v/>
      </c>
      <c r="N121" s="102">
        <f>IFERROR(INDEX(_ZIG_Cadastro!$E:$E,MATCH(I121,_ZIG_Cadastro!$A:$A,0)),IFERROR(INDEX(_Entradas_ZIG!$F:$F,MATCH(I121,_Entradas_ZIG!$C:$C,0)),"—"))</f>
        <v/>
      </c>
      <c r="O121" s="99">
        <f>IF(AND(ISNUMBER(SEARCH("Espeto",N121)),ISNUMBER(SEARCH("Carin",N121))),"SIM","")</f>
        <v/>
      </c>
      <c r="P121" s="99">
        <f>IF(AND(ISNUMBER(SEARCH("Espeto",N121)),ISNUMBER(SEARCH("Lapa",N121))),"SIM","")</f>
        <v/>
      </c>
      <c r="Q121" s="99">
        <f>IF(AND(ISNUMBER(SEARCH("Espeto",N121)),ISNUMBER(SEARCH("Tatuapé",N121))),"SIM","")</f>
        <v/>
      </c>
      <c r="R121" s="99">
        <f>IF(AND(ISNUMBER(SEARCH("Espeto",N121)),ISNUMBER(SEARCH("Pavão",N121))),"SIM","")</f>
        <v/>
      </c>
      <c r="S121" s="99">
        <f>IF(AND(ISNUMBER(SEARCH("Espeto",N121)),ISNUMBER(SEARCH("Chac",N121))),"SIM","")</f>
        <v/>
      </c>
      <c r="T121" s="99">
        <f>IF(AND(ISNUMBER(SEARCH("Espeto",N121)),ISNUMBER(SEARCH("Madalena",N121))),"SIM","")</f>
        <v/>
      </c>
      <c r="U121" s="99">
        <f>IF(AND(ISNUMBER(SEARCH("Espeto",N121)),ISNUMBER(SEARCH("Mariana",N121))),"SIM","")</f>
        <v/>
      </c>
      <c r="V121" s="99">
        <f>IF(AND(ISNUMBER(SEARCH("Espeto",N121)),ISNUMBER(SEARCH("Perdizes",N121))),"SIM","")</f>
        <v/>
      </c>
      <c r="W121" s="99">
        <f>IF(AND(ISNUMBER(SEARCH("Espeto",N121)),ISNUMBER(SEARCH("Santana",N121))),"SIM","")</f>
        <v/>
      </c>
      <c r="X121" s="99">
        <f>IF(AND(ISNUMBER(SEARCH("Espeto",N121)),ISNUMBER(SEARCH("André",N121))),"SIM","")</f>
        <v/>
      </c>
      <c r="Y121" s="99">
        <f>IF(AND(ISNUMBER(SEARCH("Delivery",N121)),ISNUMBER(SEARCH("Carin",N121))),"SIM","")</f>
        <v/>
      </c>
      <c r="Z121" s="99">
        <f>IF(AND(ISNUMBER(SEARCH("Delivery",N121)),ISNUMBER(SEARCH("Lapa",N121))),"SIM","")</f>
        <v/>
      </c>
      <c r="AA121" s="99">
        <f>IF(AND(ISNUMBER(SEARCH("Delivery",N121)),ISNUMBER(SEARCH("Tatuapé",N121))),"SIM","")</f>
        <v/>
      </c>
      <c r="AB121" s="99">
        <f>IF(AND(ISNUMBER(SEARCH("Delivery",N121)),ISNUMBER(SEARCH("Pavão",N121))),"SIM","")</f>
        <v/>
      </c>
      <c r="AC121" s="99">
        <f>IF(AND(ISNUMBER(SEARCH("Delivery",N121)),ISNUMBER(SEARCH("Chac",N121))),"SIM","")</f>
        <v/>
      </c>
      <c r="AD121" s="99">
        <f>IF(AND(ISNUMBER(SEARCH("Delivery",N121)),ISNUMBER(SEARCH("Madalena",N121))),"SIM","")</f>
        <v/>
      </c>
      <c r="AE121" s="99">
        <f>IF(AND(ISNUMBER(SEARCH("Delivery",N121)),ISNUMBER(SEARCH("Mariana",N121))),"SIM","")</f>
        <v/>
      </c>
      <c r="AF121" s="99">
        <f>IF(AND(ISNUMBER(SEARCH("Delivery",N121)),ISNUMBER(SEARCH("Perdizes",N121))),"SIM","")</f>
        <v/>
      </c>
      <c r="AG121" s="99">
        <f>IF(AND(ISNUMBER(SEARCH("Delivery",N121)),ISNUMBER(SEARCH("Santana",N121))),"SIM","")</f>
        <v/>
      </c>
      <c r="AH121" s="99">
        <f>IF(AND(ISNUMBER(SEARCH("Delivery",N121)),ISNUMBER(SEARCH("André",N121))),"SIM","")</f>
        <v/>
      </c>
      <c r="AI121" s="99">
        <f>IF(ISNUMBER(SEARCH("Interlagos",N121)),"SIM","")</f>
        <v/>
      </c>
      <c r="AJ121" s="99">
        <f>IF(ISNUMBER(SEARCH("Quiosque",N121)),"SIM","")</f>
        <v/>
      </c>
      <c r="AK121" s="101" t="n"/>
    </row>
    <row r="122">
      <c r="A122" s="88" t="inlineStr">
        <is>
          <t>Protheus</t>
        </is>
      </c>
      <c r="B122" s="89" t="inlineStr">
        <is>
          <t>000960</t>
        </is>
      </c>
      <c r="C122" s="90">
        <f>IF(B122="—","—",IFERROR(VLOOKUP(B122,_Protheus_Cadastro!$A:$B,2,FALSE),"—"))</f>
        <v/>
      </c>
      <c r="D122" s="91">
        <f>IF(B122="—",IFERROR(INDEX(_ZIG_Cadastro!$D:$D,MATCH(H122,_ZIG_Cadastro!$A:$A,0)),"Produto"),IFERROR(VLOOKUP(B122,_Protheus_Cadastro!$A:$C,3,FALSE),"—"))</f>
        <v/>
      </c>
      <c r="E122" s="91">
        <f>IF(B122="—","—",IFERROR(VLOOKUP(B122,_Protheus_Cadastro!$A:$D,4,FALSE),"—"))</f>
        <v/>
      </c>
      <c r="F122" s="91">
        <f>IF(ISERROR(VLOOKUP(B122,'Estrutura Protheus'!A:A,1,FALSE)),"Não","Sim")</f>
        <v/>
      </c>
      <c r="G122" s="92">
        <f>IFERROR(INDEX(_Protheus_Cadastro!$H:$H,MATCH(B122,_Protheus_Cadastro!$A:$A,0)),"—")</f>
        <v/>
      </c>
      <c r="H122" s="210">
        <f>IFERROR(INDEX(_ZIG_Precos!$D:$D,MATCH(I122,_ZIG_Precos!$F:$F,0)),"—")</f>
        <v/>
      </c>
      <c r="I122" s="95">
        <f>IFERROR(VLOOKUP(B122,_Protheus_Cadastro!$A:$I,9,FALSE),"—")</f>
        <v/>
      </c>
      <c r="J122" s="93">
        <f>IFERROR(INDEX(_ZIG_Cadastro!$B:$B,MATCH(I122,_ZIG_Cadastro!$A:$A,0)),IFERROR(INDEX(_Entradas_ZIG!$B:$B,MATCH(I122,_Entradas_ZIG!$C:$C,0)),"—"))</f>
        <v/>
      </c>
      <c r="K122" s="93">
        <f>IFERROR(INDEX(_ZIG_Cadastro!$C:$C,MATCH(I122,_ZIG_Cadastro!$A:$A,0)),IFERROR(INDEX(_Entradas_ZIG!$D:$D,MATCH(I122,_Entradas_ZIG!$C:$C,0)),"—"))</f>
        <v/>
      </c>
      <c r="L122" s="92">
        <f>IF(I122="","Sem SKU ZIG",IF(I122="—","Sem SKU ZIG",IF(NOT(ISERROR(MATCH(I122,_ZIG_Cadastro!$A:$A,0))),IF(EXACT(UPPER(TRIM(C122)),UPPER(TRIM(INDEX(_ZIG_Cadastro!$B:$B,MATCH(I122,_ZIG_Cadastro!$A:$A,0))))),"OK","Atencao - Nome diverge"),IF(NOT(ISERROR(MATCH(I122,_Entradas_ZIG!$C:$C,0))),"OK","Erro - SKU nao encontrado"))))</f>
        <v/>
      </c>
      <c r="M122" s="92">
        <f>IFERROR(INDEX(_ZIG_Cadastro!$G:$G,MATCH(I122,_ZIG_Cadastro!$A:$A,0)),IF(NOT(ISERROR(MATCH(I122,_Entradas_ZIG!$C:$C,0))),"Ativo","—"))</f>
        <v/>
      </c>
      <c r="N122" s="94">
        <f>IFERROR(INDEX(_ZIG_Cadastro!$E:$E,MATCH(I122,_ZIG_Cadastro!$A:$A,0)),IFERROR(INDEX(_Entradas_ZIG!$F:$F,MATCH(I122,_Entradas_ZIG!$C:$C,0)),"—"))</f>
        <v/>
      </c>
      <c r="O122" s="92">
        <f>IF(AND(ISNUMBER(SEARCH("Espeto",N122)),ISNUMBER(SEARCH("Carin",N122))),"SIM","")</f>
        <v/>
      </c>
      <c r="P122" s="92">
        <f>IF(AND(ISNUMBER(SEARCH("Espeto",N122)),ISNUMBER(SEARCH("Lapa",N122))),"SIM","")</f>
        <v/>
      </c>
      <c r="Q122" s="92">
        <f>IF(AND(ISNUMBER(SEARCH("Espeto",N122)),ISNUMBER(SEARCH("Tatuapé",N122))),"SIM","")</f>
        <v/>
      </c>
      <c r="R122" s="92">
        <f>IF(AND(ISNUMBER(SEARCH("Espeto",N122)),ISNUMBER(SEARCH("Pavão",N122))),"SIM","")</f>
        <v/>
      </c>
      <c r="S122" s="92">
        <f>IF(AND(ISNUMBER(SEARCH("Espeto",N122)),ISNUMBER(SEARCH("Chac",N122))),"SIM","")</f>
        <v/>
      </c>
      <c r="T122" s="92">
        <f>IF(AND(ISNUMBER(SEARCH("Espeto",N122)),ISNUMBER(SEARCH("Madalena",N122))),"SIM","")</f>
        <v/>
      </c>
      <c r="U122" s="92">
        <f>IF(AND(ISNUMBER(SEARCH("Espeto",N122)),ISNUMBER(SEARCH("Mariana",N122))),"SIM","")</f>
        <v/>
      </c>
      <c r="V122" s="92">
        <f>IF(AND(ISNUMBER(SEARCH("Espeto",N122)),ISNUMBER(SEARCH("Perdizes",N122))),"SIM","")</f>
        <v/>
      </c>
      <c r="W122" s="92">
        <f>IF(AND(ISNUMBER(SEARCH("Espeto",N122)),ISNUMBER(SEARCH("Santana",N122))),"SIM","")</f>
        <v/>
      </c>
      <c r="X122" s="92">
        <f>IF(AND(ISNUMBER(SEARCH("Espeto",N122)),ISNUMBER(SEARCH("André",N122))),"SIM","")</f>
        <v/>
      </c>
      <c r="Y122" s="92">
        <f>IF(AND(ISNUMBER(SEARCH("Delivery",N122)),ISNUMBER(SEARCH("Carin",N122))),"SIM","")</f>
        <v/>
      </c>
      <c r="Z122" s="92">
        <f>IF(AND(ISNUMBER(SEARCH("Delivery",N122)),ISNUMBER(SEARCH("Lapa",N122))),"SIM","")</f>
        <v/>
      </c>
      <c r="AA122" s="92">
        <f>IF(AND(ISNUMBER(SEARCH("Delivery",N122)),ISNUMBER(SEARCH("Tatuapé",N122))),"SIM","")</f>
        <v/>
      </c>
      <c r="AB122" s="92">
        <f>IF(AND(ISNUMBER(SEARCH("Delivery",N122)),ISNUMBER(SEARCH("Pavão",N122))),"SIM","")</f>
        <v/>
      </c>
      <c r="AC122" s="92">
        <f>IF(AND(ISNUMBER(SEARCH("Delivery",N122)),ISNUMBER(SEARCH("Chac",N122))),"SIM","")</f>
        <v/>
      </c>
      <c r="AD122" s="92">
        <f>IF(AND(ISNUMBER(SEARCH("Delivery",N122)),ISNUMBER(SEARCH("Madalena",N122))),"SIM","")</f>
        <v/>
      </c>
      <c r="AE122" s="92">
        <f>IF(AND(ISNUMBER(SEARCH("Delivery",N122)),ISNUMBER(SEARCH("Mariana",N122))),"SIM","")</f>
        <v/>
      </c>
      <c r="AF122" s="92">
        <f>IF(AND(ISNUMBER(SEARCH("Delivery",N122)),ISNUMBER(SEARCH("Perdizes",N122))),"SIM","")</f>
        <v/>
      </c>
      <c r="AG122" s="92">
        <f>IF(AND(ISNUMBER(SEARCH("Delivery",N122)),ISNUMBER(SEARCH("Santana",N122))),"SIM","")</f>
        <v/>
      </c>
      <c r="AH122" s="92">
        <f>IF(AND(ISNUMBER(SEARCH("Delivery",N122)),ISNUMBER(SEARCH("André",N122))),"SIM","")</f>
        <v/>
      </c>
      <c r="AI122" s="92">
        <f>IF(ISNUMBER(SEARCH("Interlagos",N122)),"SIM","")</f>
        <v/>
      </c>
      <c r="AJ122" s="92">
        <f>IF(ISNUMBER(SEARCH("Quiosque",N122)),"SIM","")</f>
        <v/>
      </c>
      <c r="AK122" s="93" t="n"/>
    </row>
    <row r="123">
      <c r="A123" s="88" t="inlineStr">
        <is>
          <t>Protheus</t>
        </is>
      </c>
      <c r="B123" s="96" t="inlineStr">
        <is>
          <t>000959</t>
        </is>
      </c>
      <c r="C123" s="97">
        <f>IF(B123="—","—",IFERROR(VLOOKUP(B123,_Protheus_Cadastro!$A:$B,2,FALSE),"—"))</f>
        <v/>
      </c>
      <c r="D123" s="98">
        <f>IF(B123="—",IFERROR(INDEX(_ZIG_Cadastro!$D:$D,MATCH(H123,_ZIG_Cadastro!$A:$A,0)),"Produto"),IFERROR(VLOOKUP(B123,_Protheus_Cadastro!$A:$C,3,FALSE),"—"))</f>
        <v/>
      </c>
      <c r="E123" s="98">
        <f>IF(B123="—","—",IFERROR(VLOOKUP(B123,_Protheus_Cadastro!$A:$D,4,FALSE),"—"))</f>
        <v/>
      </c>
      <c r="F123" s="98">
        <f>IF(ISERROR(VLOOKUP(B123,'Estrutura Protheus'!A:A,1,FALSE)),"Não","Sim")</f>
        <v/>
      </c>
      <c r="G123" s="99">
        <f>IFERROR(INDEX(_Protheus_Cadastro!$H:$H,MATCH(B123,_Protheus_Cadastro!$A:$A,0)),"—")</f>
        <v/>
      </c>
      <c r="H123" s="211">
        <f>IFERROR(INDEX(_ZIG_Precos!$D:$D,MATCH(I123,_ZIG_Precos!$F:$F,0)),"—")</f>
        <v/>
      </c>
      <c r="I123" s="103">
        <f>IFERROR(VLOOKUP(B123,_Protheus_Cadastro!$A:$I,9,FALSE),"—")</f>
        <v/>
      </c>
      <c r="J123" s="101">
        <f>IFERROR(INDEX(_ZIG_Cadastro!$B:$B,MATCH(I123,_ZIG_Cadastro!$A:$A,0)),IFERROR(INDEX(_Entradas_ZIG!$B:$B,MATCH(I123,_Entradas_ZIG!$C:$C,0)),"—"))</f>
        <v/>
      </c>
      <c r="K123" s="101">
        <f>IFERROR(INDEX(_ZIG_Cadastro!$C:$C,MATCH(I123,_ZIG_Cadastro!$A:$A,0)),IFERROR(INDEX(_Entradas_ZIG!$D:$D,MATCH(I123,_Entradas_ZIG!$C:$C,0)),"—"))</f>
        <v/>
      </c>
      <c r="L123" s="99">
        <f>IF(I123="","Sem SKU ZIG",IF(I123="—","Sem SKU ZIG",IF(NOT(ISERROR(MATCH(I123,_ZIG_Cadastro!$A:$A,0))),IF(EXACT(UPPER(TRIM(C123)),UPPER(TRIM(INDEX(_ZIG_Cadastro!$B:$B,MATCH(I123,_ZIG_Cadastro!$A:$A,0))))),"OK","Atencao - Nome diverge"),IF(NOT(ISERROR(MATCH(I123,_Entradas_ZIG!$C:$C,0))),"OK","Erro - SKU nao encontrado"))))</f>
        <v/>
      </c>
      <c r="M123" s="99">
        <f>IFERROR(INDEX(_ZIG_Cadastro!$G:$G,MATCH(I123,_ZIG_Cadastro!$A:$A,0)),IF(NOT(ISERROR(MATCH(I123,_Entradas_ZIG!$C:$C,0))),"Ativo","—"))</f>
        <v/>
      </c>
      <c r="N123" s="102">
        <f>IFERROR(INDEX(_ZIG_Cadastro!$E:$E,MATCH(I123,_ZIG_Cadastro!$A:$A,0)),IFERROR(INDEX(_Entradas_ZIG!$F:$F,MATCH(I123,_Entradas_ZIG!$C:$C,0)),"—"))</f>
        <v/>
      </c>
      <c r="O123" s="99">
        <f>IF(AND(ISNUMBER(SEARCH("Espeto",N123)),ISNUMBER(SEARCH("Carin",N123))),"SIM","")</f>
        <v/>
      </c>
      <c r="P123" s="99">
        <f>IF(AND(ISNUMBER(SEARCH("Espeto",N123)),ISNUMBER(SEARCH("Lapa",N123))),"SIM","")</f>
        <v/>
      </c>
      <c r="Q123" s="99">
        <f>IF(AND(ISNUMBER(SEARCH("Espeto",N123)),ISNUMBER(SEARCH("Tatuapé",N123))),"SIM","")</f>
        <v/>
      </c>
      <c r="R123" s="99">
        <f>IF(AND(ISNUMBER(SEARCH("Espeto",N123)),ISNUMBER(SEARCH("Pavão",N123))),"SIM","")</f>
        <v/>
      </c>
      <c r="S123" s="99">
        <f>IF(AND(ISNUMBER(SEARCH("Espeto",N123)),ISNUMBER(SEARCH("Chac",N123))),"SIM","")</f>
        <v/>
      </c>
      <c r="T123" s="99">
        <f>IF(AND(ISNUMBER(SEARCH("Espeto",N123)),ISNUMBER(SEARCH("Madalena",N123))),"SIM","")</f>
        <v/>
      </c>
      <c r="U123" s="99">
        <f>IF(AND(ISNUMBER(SEARCH("Espeto",N123)),ISNUMBER(SEARCH("Mariana",N123))),"SIM","")</f>
        <v/>
      </c>
      <c r="V123" s="99">
        <f>IF(AND(ISNUMBER(SEARCH("Espeto",N123)),ISNUMBER(SEARCH("Perdizes",N123))),"SIM","")</f>
        <v/>
      </c>
      <c r="W123" s="99">
        <f>IF(AND(ISNUMBER(SEARCH("Espeto",N123)),ISNUMBER(SEARCH("Santana",N123))),"SIM","")</f>
        <v/>
      </c>
      <c r="X123" s="99">
        <f>IF(AND(ISNUMBER(SEARCH("Espeto",N123)),ISNUMBER(SEARCH("André",N123))),"SIM","")</f>
        <v/>
      </c>
      <c r="Y123" s="99">
        <f>IF(AND(ISNUMBER(SEARCH("Delivery",N123)),ISNUMBER(SEARCH("Carin",N123))),"SIM","")</f>
        <v/>
      </c>
      <c r="Z123" s="99">
        <f>IF(AND(ISNUMBER(SEARCH("Delivery",N123)),ISNUMBER(SEARCH("Lapa",N123))),"SIM","")</f>
        <v/>
      </c>
      <c r="AA123" s="99">
        <f>IF(AND(ISNUMBER(SEARCH("Delivery",N123)),ISNUMBER(SEARCH("Tatuapé",N123))),"SIM","")</f>
        <v/>
      </c>
      <c r="AB123" s="99">
        <f>IF(AND(ISNUMBER(SEARCH("Delivery",N123)),ISNUMBER(SEARCH("Pavão",N123))),"SIM","")</f>
        <v/>
      </c>
      <c r="AC123" s="99">
        <f>IF(AND(ISNUMBER(SEARCH("Delivery",N123)),ISNUMBER(SEARCH("Chac",N123))),"SIM","")</f>
        <v/>
      </c>
      <c r="AD123" s="99">
        <f>IF(AND(ISNUMBER(SEARCH("Delivery",N123)),ISNUMBER(SEARCH("Madalena",N123))),"SIM","")</f>
        <v/>
      </c>
      <c r="AE123" s="99">
        <f>IF(AND(ISNUMBER(SEARCH("Delivery",N123)),ISNUMBER(SEARCH("Mariana",N123))),"SIM","")</f>
        <v/>
      </c>
      <c r="AF123" s="99">
        <f>IF(AND(ISNUMBER(SEARCH("Delivery",N123)),ISNUMBER(SEARCH("Perdizes",N123))),"SIM","")</f>
        <v/>
      </c>
      <c r="AG123" s="99">
        <f>IF(AND(ISNUMBER(SEARCH("Delivery",N123)),ISNUMBER(SEARCH("Santana",N123))),"SIM","")</f>
        <v/>
      </c>
      <c r="AH123" s="99">
        <f>IF(AND(ISNUMBER(SEARCH("Delivery",N123)),ISNUMBER(SEARCH("André",N123))),"SIM","")</f>
        <v/>
      </c>
      <c r="AI123" s="99">
        <f>IF(ISNUMBER(SEARCH("Interlagos",N123)),"SIM","")</f>
        <v/>
      </c>
      <c r="AJ123" s="99">
        <f>IF(ISNUMBER(SEARCH("Quiosque",N123)),"SIM","")</f>
        <v/>
      </c>
      <c r="AK123" s="101" t="n"/>
    </row>
    <row r="124">
      <c r="A124" s="88" t="inlineStr">
        <is>
          <t>Protheus</t>
        </is>
      </c>
      <c r="B124" s="89" t="inlineStr">
        <is>
          <t>000958</t>
        </is>
      </c>
      <c r="C124" s="90">
        <f>IF(B124="—","—",IFERROR(VLOOKUP(B124,_Protheus_Cadastro!$A:$B,2,FALSE),"—"))</f>
        <v/>
      </c>
      <c r="D124" s="91">
        <f>IF(B124="—",IFERROR(INDEX(_ZIG_Cadastro!$D:$D,MATCH(H124,_ZIG_Cadastro!$A:$A,0)),"Produto"),IFERROR(VLOOKUP(B124,_Protheus_Cadastro!$A:$C,3,FALSE),"—"))</f>
        <v/>
      </c>
      <c r="E124" s="91">
        <f>IF(B124="—","—",IFERROR(VLOOKUP(B124,_Protheus_Cadastro!$A:$D,4,FALSE),"—"))</f>
        <v/>
      </c>
      <c r="F124" s="91">
        <f>IF(ISERROR(VLOOKUP(B124,'Estrutura Protheus'!A:A,1,FALSE)),"Não","Sim")</f>
        <v/>
      </c>
      <c r="G124" s="92">
        <f>IFERROR(INDEX(_Protheus_Cadastro!$H:$H,MATCH(B124,_Protheus_Cadastro!$A:$A,0)),"—")</f>
        <v/>
      </c>
      <c r="H124" s="210">
        <f>IFERROR(INDEX(_ZIG_Precos!$D:$D,MATCH(I124,_ZIG_Precos!$F:$F,0)),"—")</f>
        <v/>
      </c>
      <c r="I124" s="95">
        <f>IFERROR(VLOOKUP(B124,_Protheus_Cadastro!$A:$I,9,FALSE),"—")</f>
        <v/>
      </c>
      <c r="J124" s="93">
        <f>IFERROR(INDEX(_ZIG_Cadastro!$B:$B,MATCH(I124,_ZIG_Cadastro!$A:$A,0)),IFERROR(INDEX(_Entradas_ZIG!$B:$B,MATCH(I124,_Entradas_ZIG!$C:$C,0)),"—"))</f>
        <v/>
      </c>
      <c r="K124" s="93">
        <f>IFERROR(INDEX(_ZIG_Cadastro!$C:$C,MATCH(I124,_ZIG_Cadastro!$A:$A,0)),IFERROR(INDEX(_Entradas_ZIG!$D:$D,MATCH(I124,_Entradas_ZIG!$C:$C,0)),"—"))</f>
        <v/>
      </c>
      <c r="L124" s="92">
        <f>IF(I124="","Sem SKU ZIG",IF(I124="—","Sem SKU ZIG",IF(NOT(ISERROR(MATCH(I124,_ZIG_Cadastro!$A:$A,0))),IF(EXACT(UPPER(TRIM(C124)),UPPER(TRIM(INDEX(_ZIG_Cadastro!$B:$B,MATCH(I124,_ZIG_Cadastro!$A:$A,0))))),"OK","Atencao - Nome diverge"),IF(NOT(ISERROR(MATCH(I124,_Entradas_ZIG!$C:$C,0))),"OK","Erro - SKU nao encontrado"))))</f>
        <v/>
      </c>
      <c r="M124" s="92">
        <f>IFERROR(INDEX(_ZIG_Cadastro!$G:$G,MATCH(I124,_ZIG_Cadastro!$A:$A,0)),IF(NOT(ISERROR(MATCH(I124,_Entradas_ZIG!$C:$C,0))),"Ativo","—"))</f>
        <v/>
      </c>
      <c r="N124" s="94">
        <f>IFERROR(INDEX(_ZIG_Cadastro!$E:$E,MATCH(I124,_ZIG_Cadastro!$A:$A,0)),IFERROR(INDEX(_Entradas_ZIG!$F:$F,MATCH(I124,_Entradas_ZIG!$C:$C,0)),"—"))</f>
        <v/>
      </c>
      <c r="O124" s="92">
        <f>IF(AND(ISNUMBER(SEARCH("Espeto",N124)),ISNUMBER(SEARCH("Carin",N124))),"SIM","")</f>
        <v/>
      </c>
      <c r="P124" s="92">
        <f>IF(AND(ISNUMBER(SEARCH("Espeto",N124)),ISNUMBER(SEARCH("Lapa",N124))),"SIM","")</f>
        <v/>
      </c>
      <c r="Q124" s="92">
        <f>IF(AND(ISNUMBER(SEARCH("Espeto",N124)),ISNUMBER(SEARCH("Tatuapé",N124))),"SIM","")</f>
        <v/>
      </c>
      <c r="R124" s="92">
        <f>IF(AND(ISNUMBER(SEARCH("Espeto",N124)),ISNUMBER(SEARCH("Pavão",N124))),"SIM","")</f>
        <v/>
      </c>
      <c r="S124" s="92">
        <f>IF(AND(ISNUMBER(SEARCH("Espeto",N124)),ISNUMBER(SEARCH("Chac",N124))),"SIM","")</f>
        <v/>
      </c>
      <c r="T124" s="92">
        <f>IF(AND(ISNUMBER(SEARCH("Espeto",N124)),ISNUMBER(SEARCH("Madalena",N124))),"SIM","")</f>
        <v/>
      </c>
      <c r="U124" s="92">
        <f>IF(AND(ISNUMBER(SEARCH("Espeto",N124)),ISNUMBER(SEARCH("Mariana",N124))),"SIM","")</f>
        <v/>
      </c>
      <c r="V124" s="92">
        <f>IF(AND(ISNUMBER(SEARCH("Espeto",N124)),ISNUMBER(SEARCH("Perdizes",N124))),"SIM","")</f>
        <v/>
      </c>
      <c r="W124" s="92">
        <f>IF(AND(ISNUMBER(SEARCH("Espeto",N124)),ISNUMBER(SEARCH("Santana",N124))),"SIM","")</f>
        <v/>
      </c>
      <c r="X124" s="92">
        <f>IF(AND(ISNUMBER(SEARCH("Espeto",N124)),ISNUMBER(SEARCH("André",N124))),"SIM","")</f>
        <v/>
      </c>
      <c r="Y124" s="92">
        <f>IF(AND(ISNUMBER(SEARCH("Delivery",N124)),ISNUMBER(SEARCH("Carin",N124))),"SIM","")</f>
        <v/>
      </c>
      <c r="Z124" s="92">
        <f>IF(AND(ISNUMBER(SEARCH("Delivery",N124)),ISNUMBER(SEARCH("Lapa",N124))),"SIM","")</f>
        <v/>
      </c>
      <c r="AA124" s="92">
        <f>IF(AND(ISNUMBER(SEARCH("Delivery",N124)),ISNUMBER(SEARCH("Tatuapé",N124))),"SIM","")</f>
        <v/>
      </c>
      <c r="AB124" s="92">
        <f>IF(AND(ISNUMBER(SEARCH("Delivery",N124)),ISNUMBER(SEARCH("Pavão",N124))),"SIM","")</f>
        <v/>
      </c>
      <c r="AC124" s="92">
        <f>IF(AND(ISNUMBER(SEARCH("Delivery",N124)),ISNUMBER(SEARCH("Chac",N124))),"SIM","")</f>
        <v/>
      </c>
      <c r="AD124" s="92">
        <f>IF(AND(ISNUMBER(SEARCH("Delivery",N124)),ISNUMBER(SEARCH("Madalena",N124))),"SIM","")</f>
        <v/>
      </c>
      <c r="AE124" s="92">
        <f>IF(AND(ISNUMBER(SEARCH("Delivery",N124)),ISNUMBER(SEARCH("Mariana",N124))),"SIM","")</f>
        <v/>
      </c>
      <c r="AF124" s="92">
        <f>IF(AND(ISNUMBER(SEARCH("Delivery",N124)),ISNUMBER(SEARCH("Perdizes",N124))),"SIM","")</f>
        <v/>
      </c>
      <c r="AG124" s="92">
        <f>IF(AND(ISNUMBER(SEARCH("Delivery",N124)),ISNUMBER(SEARCH("Santana",N124))),"SIM","")</f>
        <v/>
      </c>
      <c r="AH124" s="92">
        <f>IF(AND(ISNUMBER(SEARCH("Delivery",N124)),ISNUMBER(SEARCH("André",N124))),"SIM","")</f>
        <v/>
      </c>
      <c r="AI124" s="92">
        <f>IF(ISNUMBER(SEARCH("Interlagos",N124)),"SIM","")</f>
        <v/>
      </c>
      <c r="AJ124" s="92">
        <f>IF(ISNUMBER(SEARCH("Quiosque",N124)),"SIM","")</f>
        <v/>
      </c>
      <c r="AK124" s="93" t="n"/>
    </row>
    <row r="125">
      <c r="A125" s="88" t="inlineStr">
        <is>
          <t>Protheus</t>
        </is>
      </c>
      <c r="B125" s="96" t="inlineStr">
        <is>
          <t>001963</t>
        </is>
      </c>
      <c r="C125" s="97">
        <f>IF(B125="—","—",IFERROR(VLOOKUP(B125,_Protheus_Cadastro!$A:$B,2,FALSE),"—"))</f>
        <v/>
      </c>
      <c r="D125" s="98">
        <f>IF(B125="—",IFERROR(INDEX(_ZIG_Cadastro!$D:$D,MATCH(H125,_ZIG_Cadastro!$A:$A,0)),"Produto"),IFERROR(VLOOKUP(B125,_Protheus_Cadastro!$A:$C,3,FALSE),"—"))</f>
        <v/>
      </c>
      <c r="E125" s="98">
        <f>IF(B125="—","—",IFERROR(VLOOKUP(B125,_Protheus_Cadastro!$A:$D,4,FALSE),"—"))</f>
        <v/>
      </c>
      <c r="F125" s="98">
        <f>IF(ISERROR(VLOOKUP(B125,'Estrutura Protheus'!A:A,1,FALSE)),"Não","Sim")</f>
        <v/>
      </c>
      <c r="G125" s="99">
        <f>IFERROR(INDEX(_Protheus_Cadastro!$H:$H,MATCH(B125,_Protheus_Cadastro!$A:$A,0)),"—")</f>
        <v/>
      </c>
      <c r="H125" s="211">
        <f>IFERROR(INDEX(_ZIG_Precos!$D:$D,MATCH(I125,_ZIG_Precos!$F:$F,0)),"—")</f>
        <v/>
      </c>
      <c r="I125" s="103">
        <f>IFERROR(VLOOKUP(B125,_Protheus_Cadastro!$A:$I,9,FALSE),"—")</f>
        <v/>
      </c>
      <c r="J125" s="101">
        <f>IFERROR(INDEX(_ZIG_Cadastro!$B:$B,MATCH(I125,_ZIG_Cadastro!$A:$A,0)),IFERROR(INDEX(_Entradas_ZIG!$B:$B,MATCH(I125,_Entradas_ZIG!$C:$C,0)),"—"))</f>
        <v/>
      </c>
      <c r="K125" s="101">
        <f>IFERROR(INDEX(_ZIG_Cadastro!$C:$C,MATCH(I125,_ZIG_Cadastro!$A:$A,0)),IFERROR(INDEX(_Entradas_ZIG!$D:$D,MATCH(I125,_Entradas_ZIG!$C:$C,0)),"—"))</f>
        <v/>
      </c>
      <c r="L125" s="99">
        <f>IF(I125="","Sem SKU ZIG",IF(I125="—","Sem SKU ZIG",IF(NOT(ISERROR(MATCH(I125,_ZIG_Cadastro!$A:$A,0))),IF(EXACT(UPPER(TRIM(C125)),UPPER(TRIM(INDEX(_ZIG_Cadastro!$B:$B,MATCH(I125,_ZIG_Cadastro!$A:$A,0))))),"OK","Atencao - Nome diverge"),IF(NOT(ISERROR(MATCH(I125,_Entradas_ZIG!$C:$C,0))),"OK","Erro - SKU nao encontrado"))))</f>
        <v/>
      </c>
      <c r="M125" s="99">
        <f>IFERROR(INDEX(_ZIG_Cadastro!$G:$G,MATCH(I125,_ZIG_Cadastro!$A:$A,0)),IF(NOT(ISERROR(MATCH(I125,_Entradas_ZIG!$C:$C,0))),"Ativo","—"))</f>
        <v/>
      </c>
      <c r="N125" s="102">
        <f>IFERROR(INDEX(_ZIG_Cadastro!$E:$E,MATCH(I125,_ZIG_Cadastro!$A:$A,0)),IFERROR(INDEX(_Entradas_ZIG!$F:$F,MATCH(I125,_Entradas_ZIG!$C:$C,0)),"—"))</f>
        <v/>
      </c>
      <c r="O125" s="99">
        <f>IF(AND(ISNUMBER(SEARCH("Espeto",N125)),ISNUMBER(SEARCH("Carin",N125))),"SIM","")</f>
        <v/>
      </c>
      <c r="P125" s="99">
        <f>IF(AND(ISNUMBER(SEARCH("Espeto",N125)),ISNUMBER(SEARCH("Lapa",N125))),"SIM","")</f>
        <v/>
      </c>
      <c r="Q125" s="99">
        <f>IF(AND(ISNUMBER(SEARCH("Espeto",N125)),ISNUMBER(SEARCH("Tatuapé",N125))),"SIM","")</f>
        <v/>
      </c>
      <c r="R125" s="99">
        <f>IF(AND(ISNUMBER(SEARCH("Espeto",N125)),ISNUMBER(SEARCH("Pavão",N125))),"SIM","")</f>
        <v/>
      </c>
      <c r="S125" s="99">
        <f>IF(AND(ISNUMBER(SEARCH("Espeto",N125)),ISNUMBER(SEARCH("Chac",N125))),"SIM","")</f>
        <v/>
      </c>
      <c r="T125" s="99">
        <f>IF(AND(ISNUMBER(SEARCH("Espeto",N125)),ISNUMBER(SEARCH("Madalena",N125))),"SIM","")</f>
        <v/>
      </c>
      <c r="U125" s="99">
        <f>IF(AND(ISNUMBER(SEARCH("Espeto",N125)),ISNUMBER(SEARCH("Mariana",N125))),"SIM","")</f>
        <v/>
      </c>
      <c r="V125" s="99">
        <f>IF(AND(ISNUMBER(SEARCH("Espeto",N125)),ISNUMBER(SEARCH("Perdizes",N125))),"SIM","")</f>
        <v/>
      </c>
      <c r="W125" s="99">
        <f>IF(AND(ISNUMBER(SEARCH("Espeto",N125)),ISNUMBER(SEARCH("Santana",N125))),"SIM","")</f>
        <v/>
      </c>
      <c r="X125" s="99">
        <f>IF(AND(ISNUMBER(SEARCH("Espeto",N125)),ISNUMBER(SEARCH("André",N125))),"SIM","")</f>
        <v/>
      </c>
      <c r="Y125" s="99">
        <f>IF(AND(ISNUMBER(SEARCH("Delivery",N125)),ISNUMBER(SEARCH("Carin",N125))),"SIM","")</f>
        <v/>
      </c>
      <c r="Z125" s="99">
        <f>IF(AND(ISNUMBER(SEARCH("Delivery",N125)),ISNUMBER(SEARCH("Lapa",N125))),"SIM","")</f>
        <v/>
      </c>
      <c r="AA125" s="99">
        <f>IF(AND(ISNUMBER(SEARCH("Delivery",N125)),ISNUMBER(SEARCH("Tatuapé",N125))),"SIM","")</f>
        <v/>
      </c>
      <c r="AB125" s="99">
        <f>IF(AND(ISNUMBER(SEARCH("Delivery",N125)),ISNUMBER(SEARCH("Pavão",N125))),"SIM","")</f>
        <v/>
      </c>
      <c r="AC125" s="99">
        <f>IF(AND(ISNUMBER(SEARCH("Delivery",N125)),ISNUMBER(SEARCH("Chac",N125))),"SIM","")</f>
        <v/>
      </c>
      <c r="AD125" s="99">
        <f>IF(AND(ISNUMBER(SEARCH("Delivery",N125)),ISNUMBER(SEARCH("Madalena",N125))),"SIM","")</f>
        <v/>
      </c>
      <c r="AE125" s="99">
        <f>IF(AND(ISNUMBER(SEARCH("Delivery",N125)),ISNUMBER(SEARCH("Mariana",N125))),"SIM","")</f>
        <v/>
      </c>
      <c r="AF125" s="99">
        <f>IF(AND(ISNUMBER(SEARCH("Delivery",N125)),ISNUMBER(SEARCH("Perdizes",N125))),"SIM","")</f>
        <v/>
      </c>
      <c r="AG125" s="99">
        <f>IF(AND(ISNUMBER(SEARCH("Delivery",N125)),ISNUMBER(SEARCH("Santana",N125))),"SIM","")</f>
        <v/>
      </c>
      <c r="AH125" s="99">
        <f>IF(AND(ISNUMBER(SEARCH("Delivery",N125)),ISNUMBER(SEARCH("André",N125))),"SIM","")</f>
        <v/>
      </c>
      <c r="AI125" s="99">
        <f>IF(ISNUMBER(SEARCH("Interlagos",N125)),"SIM","")</f>
        <v/>
      </c>
      <c r="AJ125" s="99">
        <f>IF(ISNUMBER(SEARCH("Quiosque",N125)),"SIM","")</f>
        <v/>
      </c>
      <c r="AK125" s="101" t="n"/>
    </row>
    <row r="126">
      <c r="A126" s="88" t="inlineStr">
        <is>
          <t>Protheus</t>
        </is>
      </c>
      <c r="B126" s="89" t="inlineStr">
        <is>
          <t>001960</t>
        </is>
      </c>
      <c r="C126" s="90">
        <f>IF(B126="—","—",IFERROR(VLOOKUP(B126,_Protheus_Cadastro!$A:$B,2,FALSE),"—"))</f>
        <v/>
      </c>
      <c r="D126" s="91">
        <f>IF(B126="—",IFERROR(INDEX(_ZIG_Cadastro!$D:$D,MATCH(H126,_ZIG_Cadastro!$A:$A,0)),"Produto"),IFERROR(VLOOKUP(B126,_Protheus_Cadastro!$A:$C,3,FALSE),"—"))</f>
        <v/>
      </c>
      <c r="E126" s="91">
        <f>IF(B126="—","—",IFERROR(VLOOKUP(B126,_Protheus_Cadastro!$A:$D,4,FALSE),"—"))</f>
        <v/>
      </c>
      <c r="F126" s="91">
        <f>IF(ISERROR(VLOOKUP(B126,'Estrutura Protheus'!A:A,1,FALSE)),"Não","Sim")</f>
        <v/>
      </c>
      <c r="G126" s="92">
        <f>IFERROR(INDEX(_Protheus_Cadastro!$H:$H,MATCH(B126,_Protheus_Cadastro!$A:$A,0)),"—")</f>
        <v/>
      </c>
      <c r="H126" s="210">
        <f>IFERROR(INDEX(_ZIG_Precos!$D:$D,MATCH(I126,_ZIG_Precos!$F:$F,0)),"—")</f>
        <v/>
      </c>
      <c r="I126" s="95">
        <f>IFERROR(VLOOKUP(B126,_Protheus_Cadastro!$A:$I,9,FALSE),"—")</f>
        <v/>
      </c>
      <c r="J126" s="93">
        <f>IFERROR(INDEX(_ZIG_Cadastro!$B:$B,MATCH(I126,_ZIG_Cadastro!$A:$A,0)),IFERROR(INDEX(_Entradas_ZIG!$B:$B,MATCH(I126,_Entradas_ZIG!$C:$C,0)),"—"))</f>
        <v/>
      </c>
      <c r="K126" s="93">
        <f>IFERROR(INDEX(_ZIG_Cadastro!$C:$C,MATCH(I126,_ZIG_Cadastro!$A:$A,0)),IFERROR(INDEX(_Entradas_ZIG!$D:$D,MATCH(I126,_Entradas_ZIG!$C:$C,0)),"—"))</f>
        <v/>
      </c>
      <c r="L126" s="92">
        <f>IF(I126="","Sem SKU ZIG",IF(I126="—","Sem SKU ZIG",IF(NOT(ISERROR(MATCH(I126,_ZIG_Cadastro!$A:$A,0))),IF(EXACT(UPPER(TRIM(C126)),UPPER(TRIM(INDEX(_ZIG_Cadastro!$B:$B,MATCH(I126,_ZIG_Cadastro!$A:$A,0))))),"OK","Atencao - Nome diverge"),IF(NOT(ISERROR(MATCH(I126,_Entradas_ZIG!$C:$C,0))),"OK","Erro - SKU nao encontrado"))))</f>
        <v/>
      </c>
      <c r="M126" s="92">
        <f>IFERROR(INDEX(_ZIG_Cadastro!$G:$G,MATCH(I126,_ZIG_Cadastro!$A:$A,0)),IF(NOT(ISERROR(MATCH(I126,_Entradas_ZIG!$C:$C,0))),"Ativo","—"))</f>
        <v/>
      </c>
      <c r="N126" s="94">
        <f>IFERROR(INDEX(_ZIG_Cadastro!$E:$E,MATCH(I126,_ZIG_Cadastro!$A:$A,0)),IFERROR(INDEX(_Entradas_ZIG!$F:$F,MATCH(I126,_Entradas_ZIG!$C:$C,0)),"—"))</f>
        <v/>
      </c>
      <c r="O126" s="92">
        <f>IF(AND(ISNUMBER(SEARCH("Espeto",N126)),ISNUMBER(SEARCH("Carin",N126))),"SIM","")</f>
        <v/>
      </c>
      <c r="P126" s="92">
        <f>IF(AND(ISNUMBER(SEARCH("Espeto",N126)),ISNUMBER(SEARCH("Lapa",N126))),"SIM","")</f>
        <v/>
      </c>
      <c r="Q126" s="92">
        <f>IF(AND(ISNUMBER(SEARCH("Espeto",N126)),ISNUMBER(SEARCH("Tatuapé",N126))),"SIM","")</f>
        <v/>
      </c>
      <c r="R126" s="92">
        <f>IF(AND(ISNUMBER(SEARCH("Espeto",N126)),ISNUMBER(SEARCH("Pavão",N126))),"SIM","")</f>
        <v/>
      </c>
      <c r="S126" s="92">
        <f>IF(AND(ISNUMBER(SEARCH("Espeto",N126)),ISNUMBER(SEARCH("Chac",N126))),"SIM","")</f>
        <v/>
      </c>
      <c r="T126" s="92">
        <f>IF(AND(ISNUMBER(SEARCH("Espeto",N126)),ISNUMBER(SEARCH("Madalena",N126))),"SIM","")</f>
        <v/>
      </c>
      <c r="U126" s="92">
        <f>IF(AND(ISNUMBER(SEARCH("Espeto",N126)),ISNUMBER(SEARCH("Mariana",N126))),"SIM","")</f>
        <v/>
      </c>
      <c r="V126" s="92">
        <f>IF(AND(ISNUMBER(SEARCH("Espeto",N126)),ISNUMBER(SEARCH("Perdizes",N126))),"SIM","")</f>
        <v/>
      </c>
      <c r="W126" s="92">
        <f>IF(AND(ISNUMBER(SEARCH("Espeto",N126)),ISNUMBER(SEARCH("Santana",N126))),"SIM","")</f>
        <v/>
      </c>
      <c r="X126" s="92">
        <f>IF(AND(ISNUMBER(SEARCH("Espeto",N126)),ISNUMBER(SEARCH("André",N126))),"SIM","")</f>
        <v/>
      </c>
      <c r="Y126" s="92">
        <f>IF(AND(ISNUMBER(SEARCH("Delivery",N126)),ISNUMBER(SEARCH("Carin",N126))),"SIM","")</f>
        <v/>
      </c>
      <c r="Z126" s="92">
        <f>IF(AND(ISNUMBER(SEARCH("Delivery",N126)),ISNUMBER(SEARCH("Lapa",N126))),"SIM","")</f>
        <v/>
      </c>
      <c r="AA126" s="92">
        <f>IF(AND(ISNUMBER(SEARCH("Delivery",N126)),ISNUMBER(SEARCH("Tatuapé",N126))),"SIM","")</f>
        <v/>
      </c>
      <c r="AB126" s="92">
        <f>IF(AND(ISNUMBER(SEARCH("Delivery",N126)),ISNUMBER(SEARCH("Pavão",N126))),"SIM","")</f>
        <v/>
      </c>
      <c r="AC126" s="92">
        <f>IF(AND(ISNUMBER(SEARCH("Delivery",N126)),ISNUMBER(SEARCH("Chac",N126))),"SIM","")</f>
        <v/>
      </c>
      <c r="AD126" s="92">
        <f>IF(AND(ISNUMBER(SEARCH("Delivery",N126)),ISNUMBER(SEARCH("Madalena",N126))),"SIM","")</f>
        <v/>
      </c>
      <c r="AE126" s="92">
        <f>IF(AND(ISNUMBER(SEARCH("Delivery",N126)),ISNUMBER(SEARCH("Mariana",N126))),"SIM","")</f>
        <v/>
      </c>
      <c r="AF126" s="92">
        <f>IF(AND(ISNUMBER(SEARCH("Delivery",N126)),ISNUMBER(SEARCH("Perdizes",N126))),"SIM","")</f>
        <v/>
      </c>
      <c r="AG126" s="92">
        <f>IF(AND(ISNUMBER(SEARCH("Delivery",N126)),ISNUMBER(SEARCH("Santana",N126))),"SIM","")</f>
        <v/>
      </c>
      <c r="AH126" s="92">
        <f>IF(AND(ISNUMBER(SEARCH("Delivery",N126)),ISNUMBER(SEARCH("André",N126))),"SIM","")</f>
        <v/>
      </c>
      <c r="AI126" s="92">
        <f>IF(ISNUMBER(SEARCH("Interlagos",N126)),"SIM","")</f>
        <v/>
      </c>
      <c r="AJ126" s="92">
        <f>IF(ISNUMBER(SEARCH("Quiosque",N126)),"SIM","")</f>
        <v/>
      </c>
      <c r="AK126" s="93" t="n"/>
    </row>
    <row r="127">
      <c r="A127" s="88" t="inlineStr">
        <is>
          <t>Protheus</t>
        </is>
      </c>
      <c r="B127" s="96" t="inlineStr">
        <is>
          <t>002207</t>
        </is>
      </c>
      <c r="C127" s="97">
        <f>IF(B127="—","—",IFERROR(VLOOKUP(B127,_Protheus_Cadastro!$A:$B,2,FALSE),"—"))</f>
        <v/>
      </c>
      <c r="D127" s="98">
        <f>IF(B127="—",IFERROR(INDEX(_ZIG_Cadastro!$D:$D,MATCH(H127,_ZIG_Cadastro!$A:$A,0)),"Produto"),IFERROR(VLOOKUP(B127,_Protheus_Cadastro!$A:$C,3,FALSE),"—"))</f>
        <v/>
      </c>
      <c r="E127" s="98">
        <f>IF(B127="—","—",IFERROR(VLOOKUP(B127,_Protheus_Cadastro!$A:$D,4,FALSE),"—"))</f>
        <v/>
      </c>
      <c r="F127" s="98">
        <f>IF(ISERROR(VLOOKUP(B127,'Estrutura Protheus'!A:A,1,FALSE)),"Não","Sim")</f>
        <v/>
      </c>
      <c r="G127" s="99">
        <f>IFERROR(INDEX(_Protheus_Cadastro!$H:$H,MATCH(B127,_Protheus_Cadastro!$A:$A,0)),"—")</f>
        <v/>
      </c>
      <c r="H127" s="211">
        <f>IFERROR(INDEX(_ZIG_Precos!$D:$D,MATCH(I127,_ZIG_Precos!$F:$F,0)),"—")</f>
        <v/>
      </c>
      <c r="I127" s="103">
        <f>IFERROR(VLOOKUP(B127,_Protheus_Cadastro!$A:$I,9,FALSE),"—")</f>
        <v/>
      </c>
      <c r="J127" s="101">
        <f>IFERROR(INDEX(_ZIG_Cadastro!$B:$B,MATCH(I127,_ZIG_Cadastro!$A:$A,0)),IFERROR(INDEX(_Entradas_ZIG!$B:$B,MATCH(I127,_Entradas_ZIG!$C:$C,0)),"—"))</f>
        <v/>
      </c>
      <c r="K127" s="101">
        <f>IFERROR(INDEX(_ZIG_Cadastro!$C:$C,MATCH(I127,_ZIG_Cadastro!$A:$A,0)),IFERROR(INDEX(_Entradas_ZIG!$D:$D,MATCH(I127,_Entradas_ZIG!$C:$C,0)),"—"))</f>
        <v/>
      </c>
      <c r="L127" s="99">
        <f>IF(I127="","Sem SKU ZIG",IF(I127="—","Sem SKU ZIG",IF(NOT(ISERROR(MATCH(I127,_ZIG_Cadastro!$A:$A,0))),IF(EXACT(UPPER(TRIM(C127)),UPPER(TRIM(INDEX(_ZIG_Cadastro!$B:$B,MATCH(I127,_ZIG_Cadastro!$A:$A,0))))),"OK","Atencao - Nome diverge"),IF(NOT(ISERROR(MATCH(I127,_Entradas_ZIG!$C:$C,0))),"OK","Erro - SKU nao encontrado"))))</f>
        <v/>
      </c>
      <c r="M127" s="99">
        <f>IFERROR(INDEX(_ZIG_Cadastro!$G:$G,MATCH(I127,_ZIG_Cadastro!$A:$A,0)),IF(NOT(ISERROR(MATCH(I127,_Entradas_ZIG!$C:$C,0))),"Ativo","—"))</f>
        <v/>
      </c>
      <c r="N127" s="102">
        <f>IFERROR(INDEX(_ZIG_Cadastro!$E:$E,MATCH(I127,_ZIG_Cadastro!$A:$A,0)),IFERROR(INDEX(_Entradas_ZIG!$F:$F,MATCH(I127,_Entradas_ZIG!$C:$C,0)),"—"))</f>
        <v/>
      </c>
      <c r="O127" s="99">
        <f>IF(AND(ISNUMBER(SEARCH("Espeto",N127)),ISNUMBER(SEARCH("Carin",N127))),"SIM","")</f>
        <v/>
      </c>
      <c r="P127" s="99">
        <f>IF(AND(ISNUMBER(SEARCH("Espeto",N127)),ISNUMBER(SEARCH("Lapa",N127))),"SIM","")</f>
        <v/>
      </c>
      <c r="Q127" s="99">
        <f>IF(AND(ISNUMBER(SEARCH("Espeto",N127)),ISNUMBER(SEARCH("Tatuapé",N127))),"SIM","")</f>
        <v/>
      </c>
      <c r="R127" s="99">
        <f>IF(AND(ISNUMBER(SEARCH("Espeto",N127)),ISNUMBER(SEARCH("Pavão",N127))),"SIM","")</f>
        <v/>
      </c>
      <c r="S127" s="99">
        <f>IF(AND(ISNUMBER(SEARCH("Espeto",N127)),ISNUMBER(SEARCH("Chac",N127))),"SIM","")</f>
        <v/>
      </c>
      <c r="T127" s="99">
        <f>IF(AND(ISNUMBER(SEARCH("Espeto",N127)),ISNUMBER(SEARCH("Madalena",N127))),"SIM","")</f>
        <v/>
      </c>
      <c r="U127" s="99">
        <f>IF(AND(ISNUMBER(SEARCH("Espeto",N127)),ISNUMBER(SEARCH("Mariana",N127))),"SIM","")</f>
        <v/>
      </c>
      <c r="V127" s="99">
        <f>IF(AND(ISNUMBER(SEARCH("Espeto",N127)),ISNUMBER(SEARCH("Perdizes",N127))),"SIM","")</f>
        <v/>
      </c>
      <c r="W127" s="99">
        <f>IF(AND(ISNUMBER(SEARCH("Espeto",N127)),ISNUMBER(SEARCH("Santana",N127))),"SIM","")</f>
        <v/>
      </c>
      <c r="X127" s="99">
        <f>IF(AND(ISNUMBER(SEARCH("Espeto",N127)),ISNUMBER(SEARCH("André",N127))),"SIM","")</f>
        <v/>
      </c>
      <c r="Y127" s="99">
        <f>IF(AND(ISNUMBER(SEARCH("Delivery",N127)),ISNUMBER(SEARCH("Carin",N127))),"SIM","")</f>
        <v/>
      </c>
      <c r="Z127" s="99">
        <f>IF(AND(ISNUMBER(SEARCH("Delivery",N127)),ISNUMBER(SEARCH("Lapa",N127))),"SIM","")</f>
        <v/>
      </c>
      <c r="AA127" s="99">
        <f>IF(AND(ISNUMBER(SEARCH("Delivery",N127)),ISNUMBER(SEARCH("Tatuapé",N127))),"SIM","")</f>
        <v/>
      </c>
      <c r="AB127" s="99">
        <f>IF(AND(ISNUMBER(SEARCH("Delivery",N127)),ISNUMBER(SEARCH("Pavão",N127))),"SIM","")</f>
        <v/>
      </c>
      <c r="AC127" s="99">
        <f>IF(AND(ISNUMBER(SEARCH("Delivery",N127)),ISNUMBER(SEARCH("Chac",N127))),"SIM","")</f>
        <v/>
      </c>
      <c r="AD127" s="99">
        <f>IF(AND(ISNUMBER(SEARCH("Delivery",N127)),ISNUMBER(SEARCH("Madalena",N127))),"SIM","")</f>
        <v/>
      </c>
      <c r="AE127" s="99">
        <f>IF(AND(ISNUMBER(SEARCH("Delivery",N127)),ISNUMBER(SEARCH("Mariana",N127))),"SIM","")</f>
        <v/>
      </c>
      <c r="AF127" s="99">
        <f>IF(AND(ISNUMBER(SEARCH("Delivery",N127)),ISNUMBER(SEARCH("Perdizes",N127))),"SIM","")</f>
        <v/>
      </c>
      <c r="AG127" s="99">
        <f>IF(AND(ISNUMBER(SEARCH("Delivery",N127)),ISNUMBER(SEARCH("Santana",N127))),"SIM","")</f>
        <v/>
      </c>
      <c r="AH127" s="99">
        <f>IF(AND(ISNUMBER(SEARCH("Delivery",N127)),ISNUMBER(SEARCH("André",N127))),"SIM","")</f>
        <v/>
      </c>
      <c r="AI127" s="99">
        <f>IF(ISNUMBER(SEARCH("Interlagos",N127)),"SIM","")</f>
        <v/>
      </c>
      <c r="AJ127" s="99">
        <f>IF(ISNUMBER(SEARCH("Quiosque",N127)),"SIM","")</f>
        <v/>
      </c>
      <c r="AK127" s="101" t="n"/>
    </row>
    <row r="128">
      <c r="A128" s="88" t="inlineStr">
        <is>
          <t>Protheus</t>
        </is>
      </c>
      <c r="B128" s="89" t="inlineStr">
        <is>
          <t>000937</t>
        </is>
      </c>
      <c r="C128" s="90">
        <f>IF(B128="—","—",IFERROR(VLOOKUP(B128,_Protheus_Cadastro!$A:$B,2,FALSE),"—"))</f>
        <v/>
      </c>
      <c r="D128" s="91">
        <f>IF(B128="—",IFERROR(INDEX(_ZIG_Cadastro!$D:$D,MATCH(H128,_ZIG_Cadastro!$A:$A,0)),"Produto"),IFERROR(VLOOKUP(B128,_Protheus_Cadastro!$A:$C,3,FALSE),"—"))</f>
        <v/>
      </c>
      <c r="E128" s="91">
        <f>IF(B128="—","—",IFERROR(VLOOKUP(B128,_Protheus_Cadastro!$A:$D,4,FALSE),"—"))</f>
        <v/>
      </c>
      <c r="F128" s="91">
        <f>IF(ISERROR(VLOOKUP(B128,'Estrutura Protheus'!A:A,1,FALSE)),"Não","Sim")</f>
        <v/>
      </c>
      <c r="G128" s="92">
        <f>IFERROR(INDEX(_Protheus_Cadastro!$H:$H,MATCH(B128,_Protheus_Cadastro!$A:$A,0)),"—")</f>
        <v/>
      </c>
      <c r="H128" s="210">
        <f>IFERROR(INDEX(_ZIG_Precos!$D:$D,MATCH(I128,_ZIG_Precos!$F:$F,0)),"—")</f>
        <v/>
      </c>
      <c r="I128" s="95">
        <f>IFERROR(VLOOKUP(B128,_Protheus_Cadastro!$A:$I,9,FALSE),"—")</f>
        <v/>
      </c>
      <c r="J128" s="93">
        <f>IFERROR(INDEX(_ZIG_Cadastro!$B:$B,MATCH(I128,_ZIG_Cadastro!$A:$A,0)),IFERROR(INDEX(_Entradas_ZIG!$B:$B,MATCH(I128,_Entradas_ZIG!$C:$C,0)),"—"))</f>
        <v/>
      </c>
      <c r="K128" s="93">
        <f>IFERROR(INDEX(_ZIG_Cadastro!$C:$C,MATCH(I128,_ZIG_Cadastro!$A:$A,0)),IFERROR(INDEX(_Entradas_ZIG!$D:$D,MATCH(I128,_Entradas_ZIG!$C:$C,0)),"—"))</f>
        <v/>
      </c>
      <c r="L128" s="92">
        <f>IF(I128="","Sem SKU ZIG",IF(I128="—","Sem SKU ZIG",IF(NOT(ISERROR(MATCH(I128,_ZIG_Cadastro!$A:$A,0))),IF(EXACT(UPPER(TRIM(C128)),UPPER(TRIM(INDEX(_ZIG_Cadastro!$B:$B,MATCH(I128,_ZIG_Cadastro!$A:$A,0))))),"OK","Atencao - Nome diverge"),IF(NOT(ISERROR(MATCH(I128,_Entradas_ZIG!$C:$C,0))),"OK","Erro - SKU nao encontrado"))))</f>
        <v/>
      </c>
      <c r="M128" s="92">
        <f>IFERROR(INDEX(_ZIG_Cadastro!$G:$G,MATCH(I128,_ZIG_Cadastro!$A:$A,0)),IF(NOT(ISERROR(MATCH(I128,_Entradas_ZIG!$C:$C,0))),"Ativo","—"))</f>
        <v/>
      </c>
      <c r="N128" s="94">
        <f>IFERROR(INDEX(_ZIG_Cadastro!$E:$E,MATCH(I128,_ZIG_Cadastro!$A:$A,0)),IFERROR(INDEX(_Entradas_ZIG!$F:$F,MATCH(I128,_Entradas_ZIG!$C:$C,0)),"—"))</f>
        <v/>
      </c>
      <c r="O128" s="92">
        <f>IF(AND(ISNUMBER(SEARCH("Espeto",N128)),ISNUMBER(SEARCH("Carin",N128))),"SIM","")</f>
        <v/>
      </c>
      <c r="P128" s="92">
        <f>IF(AND(ISNUMBER(SEARCH("Espeto",N128)),ISNUMBER(SEARCH("Lapa",N128))),"SIM","")</f>
        <v/>
      </c>
      <c r="Q128" s="92">
        <f>IF(AND(ISNUMBER(SEARCH("Espeto",N128)),ISNUMBER(SEARCH("Tatuapé",N128))),"SIM","")</f>
        <v/>
      </c>
      <c r="R128" s="92">
        <f>IF(AND(ISNUMBER(SEARCH("Espeto",N128)),ISNUMBER(SEARCH("Pavão",N128))),"SIM","")</f>
        <v/>
      </c>
      <c r="S128" s="92">
        <f>IF(AND(ISNUMBER(SEARCH("Espeto",N128)),ISNUMBER(SEARCH("Chac",N128))),"SIM","")</f>
        <v/>
      </c>
      <c r="T128" s="92">
        <f>IF(AND(ISNUMBER(SEARCH("Espeto",N128)),ISNUMBER(SEARCH("Madalena",N128))),"SIM","")</f>
        <v/>
      </c>
      <c r="U128" s="92">
        <f>IF(AND(ISNUMBER(SEARCH("Espeto",N128)),ISNUMBER(SEARCH("Mariana",N128))),"SIM","")</f>
        <v/>
      </c>
      <c r="V128" s="92">
        <f>IF(AND(ISNUMBER(SEARCH("Espeto",N128)),ISNUMBER(SEARCH("Perdizes",N128))),"SIM","")</f>
        <v/>
      </c>
      <c r="W128" s="92">
        <f>IF(AND(ISNUMBER(SEARCH("Espeto",N128)),ISNUMBER(SEARCH("Santana",N128))),"SIM","")</f>
        <v/>
      </c>
      <c r="X128" s="92">
        <f>IF(AND(ISNUMBER(SEARCH("Espeto",N128)),ISNUMBER(SEARCH("André",N128))),"SIM","")</f>
        <v/>
      </c>
      <c r="Y128" s="92">
        <f>IF(AND(ISNUMBER(SEARCH("Delivery",N128)),ISNUMBER(SEARCH("Carin",N128))),"SIM","")</f>
        <v/>
      </c>
      <c r="Z128" s="92">
        <f>IF(AND(ISNUMBER(SEARCH("Delivery",N128)),ISNUMBER(SEARCH("Lapa",N128))),"SIM","")</f>
        <v/>
      </c>
      <c r="AA128" s="92">
        <f>IF(AND(ISNUMBER(SEARCH("Delivery",N128)),ISNUMBER(SEARCH("Tatuapé",N128))),"SIM","")</f>
        <v/>
      </c>
      <c r="AB128" s="92">
        <f>IF(AND(ISNUMBER(SEARCH("Delivery",N128)),ISNUMBER(SEARCH("Pavão",N128))),"SIM","")</f>
        <v/>
      </c>
      <c r="AC128" s="92">
        <f>IF(AND(ISNUMBER(SEARCH("Delivery",N128)),ISNUMBER(SEARCH("Chac",N128))),"SIM","")</f>
        <v/>
      </c>
      <c r="AD128" s="92">
        <f>IF(AND(ISNUMBER(SEARCH("Delivery",N128)),ISNUMBER(SEARCH("Madalena",N128))),"SIM","")</f>
        <v/>
      </c>
      <c r="AE128" s="92">
        <f>IF(AND(ISNUMBER(SEARCH("Delivery",N128)),ISNUMBER(SEARCH("Mariana",N128))),"SIM","")</f>
        <v/>
      </c>
      <c r="AF128" s="92">
        <f>IF(AND(ISNUMBER(SEARCH("Delivery",N128)),ISNUMBER(SEARCH("Perdizes",N128))),"SIM","")</f>
        <v/>
      </c>
      <c r="AG128" s="92">
        <f>IF(AND(ISNUMBER(SEARCH("Delivery",N128)),ISNUMBER(SEARCH("Santana",N128))),"SIM","")</f>
        <v/>
      </c>
      <c r="AH128" s="92">
        <f>IF(AND(ISNUMBER(SEARCH("Delivery",N128)),ISNUMBER(SEARCH("André",N128))),"SIM","")</f>
        <v/>
      </c>
      <c r="AI128" s="92">
        <f>IF(ISNUMBER(SEARCH("Interlagos",N128)),"SIM","")</f>
        <v/>
      </c>
      <c r="AJ128" s="92">
        <f>IF(ISNUMBER(SEARCH("Quiosque",N128)),"SIM","")</f>
        <v/>
      </c>
      <c r="AK128" s="93" t="n"/>
    </row>
    <row r="129">
      <c r="A129" s="88" t="inlineStr">
        <is>
          <t>Protheus</t>
        </is>
      </c>
      <c r="B129" s="96" t="inlineStr">
        <is>
          <t>000922</t>
        </is>
      </c>
      <c r="C129" s="97">
        <f>IF(B129="—","—",IFERROR(VLOOKUP(B129,_Protheus_Cadastro!$A:$B,2,FALSE),"—"))</f>
        <v/>
      </c>
      <c r="D129" s="98">
        <f>IF(B129="—",IFERROR(INDEX(_ZIG_Cadastro!$D:$D,MATCH(H129,_ZIG_Cadastro!$A:$A,0)),"Produto"),IFERROR(VLOOKUP(B129,_Protheus_Cadastro!$A:$C,3,FALSE),"—"))</f>
        <v/>
      </c>
      <c r="E129" s="98">
        <f>IF(B129="—","—",IFERROR(VLOOKUP(B129,_Protheus_Cadastro!$A:$D,4,FALSE),"—"))</f>
        <v/>
      </c>
      <c r="F129" s="98">
        <f>IF(ISERROR(VLOOKUP(B129,'Estrutura Protheus'!A:A,1,FALSE)),"Não","Sim")</f>
        <v/>
      </c>
      <c r="G129" s="99">
        <f>IFERROR(INDEX(_Protheus_Cadastro!$H:$H,MATCH(B129,_Protheus_Cadastro!$A:$A,0)),"—")</f>
        <v/>
      </c>
      <c r="H129" s="211">
        <f>IFERROR(INDEX(_ZIG_Precos!$D:$D,MATCH(I129,_ZIG_Precos!$F:$F,0)),"—")</f>
        <v/>
      </c>
      <c r="I129" s="103">
        <f>IFERROR(VLOOKUP(B129,_Protheus_Cadastro!$A:$I,9,FALSE),"—")</f>
        <v/>
      </c>
      <c r="J129" s="101">
        <f>IFERROR(INDEX(_ZIG_Cadastro!$B:$B,MATCH(I129,_ZIG_Cadastro!$A:$A,0)),IFERROR(INDEX(_Entradas_ZIG!$B:$B,MATCH(I129,_Entradas_ZIG!$C:$C,0)),"—"))</f>
        <v/>
      </c>
      <c r="K129" s="101">
        <f>IFERROR(INDEX(_ZIG_Cadastro!$C:$C,MATCH(I129,_ZIG_Cadastro!$A:$A,0)),IFERROR(INDEX(_Entradas_ZIG!$D:$D,MATCH(I129,_Entradas_ZIG!$C:$C,0)),"—"))</f>
        <v/>
      </c>
      <c r="L129" s="99">
        <f>IF(I129="","Sem SKU ZIG",IF(I129="—","Sem SKU ZIG",IF(NOT(ISERROR(MATCH(I129,_ZIG_Cadastro!$A:$A,0))),IF(EXACT(UPPER(TRIM(C129)),UPPER(TRIM(INDEX(_ZIG_Cadastro!$B:$B,MATCH(I129,_ZIG_Cadastro!$A:$A,0))))),"OK","Atencao - Nome diverge"),IF(NOT(ISERROR(MATCH(I129,_Entradas_ZIG!$C:$C,0))),"OK","Erro - SKU nao encontrado"))))</f>
        <v/>
      </c>
      <c r="M129" s="99">
        <f>IFERROR(INDEX(_ZIG_Cadastro!$G:$G,MATCH(I129,_ZIG_Cadastro!$A:$A,0)),IF(NOT(ISERROR(MATCH(I129,_Entradas_ZIG!$C:$C,0))),"Ativo","—"))</f>
        <v/>
      </c>
      <c r="N129" s="102">
        <f>IFERROR(INDEX(_ZIG_Cadastro!$E:$E,MATCH(I129,_ZIG_Cadastro!$A:$A,0)),IFERROR(INDEX(_Entradas_ZIG!$F:$F,MATCH(I129,_Entradas_ZIG!$C:$C,0)),"—"))</f>
        <v/>
      </c>
      <c r="O129" s="99">
        <f>IF(AND(ISNUMBER(SEARCH("Espeto",N129)),ISNUMBER(SEARCH("Carin",N129))),"SIM","")</f>
        <v/>
      </c>
      <c r="P129" s="99">
        <f>IF(AND(ISNUMBER(SEARCH("Espeto",N129)),ISNUMBER(SEARCH("Lapa",N129))),"SIM","")</f>
        <v/>
      </c>
      <c r="Q129" s="99">
        <f>IF(AND(ISNUMBER(SEARCH("Espeto",N129)),ISNUMBER(SEARCH("Tatuapé",N129))),"SIM","")</f>
        <v/>
      </c>
      <c r="R129" s="99">
        <f>IF(AND(ISNUMBER(SEARCH("Espeto",N129)),ISNUMBER(SEARCH("Pavão",N129))),"SIM","")</f>
        <v/>
      </c>
      <c r="S129" s="99">
        <f>IF(AND(ISNUMBER(SEARCH("Espeto",N129)),ISNUMBER(SEARCH("Chac",N129))),"SIM","")</f>
        <v/>
      </c>
      <c r="T129" s="99">
        <f>IF(AND(ISNUMBER(SEARCH("Espeto",N129)),ISNUMBER(SEARCH("Madalena",N129))),"SIM","")</f>
        <v/>
      </c>
      <c r="U129" s="99">
        <f>IF(AND(ISNUMBER(SEARCH("Espeto",N129)),ISNUMBER(SEARCH("Mariana",N129))),"SIM","")</f>
        <v/>
      </c>
      <c r="V129" s="99">
        <f>IF(AND(ISNUMBER(SEARCH("Espeto",N129)),ISNUMBER(SEARCH("Perdizes",N129))),"SIM","")</f>
        <v/>
      </c>
      <c r="W129" s="99">
        <f>IF(AND(ISNUMBER(SEARCH("Espeto",N129)),ISNUMBER(SEARCH("Santana",N129))),"SIM","")</f>
        <v/>
      </c>
      <c r="X129" s="99">
        <f>IF(AND(ISNUMBER(SEARCH("Espeto",N129)),ISNUMBER(SEARCH("André",N129))),"SIM","")</f>
        <v/>
      </c>
      <c r="Y129" s="99">
        <f>IF(AND(ISNUMBER(SEARCH("Delivery",N129)),ISNUMBER(SEARCH("Carin",N129))),"SIM","")</f>
        <v/>
      </c>
      <c r="Z129" s="99">
        <f>IF(AND(ISNUMBER(SEARCH("Delivery",N129)),ISNUMBER(SEARCH("Lapa",N129))),"SIM","")</f>
        <v/>
      </c>
      <c r="AA129" s="99">
        <f>IF(AND(ISNUMBER(SEARCH("Delivery",N129)),ISNUMBER(SEARCH("Tatuapé",N129))),"SIM","")</f>
        <v/>
      </c>
      <c r="AB129" s="99">
        <f>IF(AND(ISNUMBER(SEARCH("Delivery",N129)),ISNUMBER(SEARCH("Pavão",N129))),"SIM","")</f>
        <v/>
      </c>
      <c r="AC129" s="99">
        <f>IF(AND(ISNUMBER(SEARCH("Delivery",N129)),ISNUMBER(SEARCH("Chac",N129))),"SIM","")</f>
        <v/>
      </c>
      <c r="AD129" s="99">
        <f>IF(AND(ISNUMBER(SEARCH("Delivery",N129)),ISNUMBER(SEARCH("Madalena",N129))),"SIM","")</f>
        <v/>
      </c>
      <c r="AE129" s="99">
        <f>IF(AND(ISNUMBER(SEARCH("Delivery",N129)),ISNUMBER(SEARCH("Mariana",N129))),"SIM","")</f>
        <v/>
      </c>
      <c r="AF129" s="99">
        <f>IF(AND(ISNUMBER(SEARCH("Delivery",N129)),ISNUMBER(SEARCH("Perdizes",N129))),"SIM","")</f>
        <v/>
      </c>
      <c r="AG129" s="99">
        <f>IF(AND(ISNUMBER(SEARCH("Delivery",N129)),ISNUMBER(SEARCH("Santana",N129))),"SIM","")</f>
        <v/>
      </c>
      <c r="AH129" s="99">
        <f>IF(AND(ISNUMBER(SEARCH("Delivery",N129)),ISNUMBER(SEARCH("André",N129))),"SIM","")</f>
        <v/>
      </c>
      <c r="AI129" s="99">
        <f>IF(ISNUMBER(SEARCH("Interlagos",N129)),"SIM","")</f>
        <v/>
      </c>
      <c r="AJ129" s="99">
        <f>IF(ISNUMBER(SEARCH("Quiosque",N129)),"SIM","")</f>
        <v/>
      </c>
      <c r="AK129" s="101" t="n"/>
    </row>
    <row r="130">
      <c r="A130" s="88" t="inlineStr">
        <is>
          <t>Protheus</t>
        </is>
      </c>
      <c r="B130" s="89" t="inlineStr">
        <is>
          <t>001032</t>
        </is>
      </c>
      <c r="C130" s="90">
        <f>IF(B130="—","—",IFERROR(VLOOKUP(B130,_Protheus_Cadastro!$A:$B,2,FALSE),"—"))</f>
        <v/>
      </c>
      <c r="D130" s="91">
        <f>IF(B130="—",IFERROR(INDEX(_ZIG_Cadastro!$D:$D,MATCH(H130,_ZIG_Cadastro!$A:$A,0)),"Produto"),IFERROR(VLOOKUP(B130,_Protheus_Cadastro!$A:$C,3,FALSE),"—"))</f>
        <v/>
      </c>
      <c r="E130" s="91">
        <f>IF(B130="—","—",IFERROR(VLOOKUP(B130,_Protheus_Cadastro!$A:$D,4,FALSE),"—"))</f>
        <v/>
      </c>
      <c r="F130" s="91">
        <f>IF(ISERROR(VLOOKUP(B130,'Estrutura Protheus'!A:A,1,FALSE)),"Não","Sim")</f>
        <v/>
      </c>
      <c r="G130" s="92">
        <f>IFERROR(INDEX(_Protheus_Cadastro!$H:$H,MATCH(B130,_Protheus_Cadastro!$A:$A,0)),"—")</f>
        <v/>
      </c>
      <c r="H130" s="210">
        <f>IFERROR(INDEX(_ZIG_Precos!$D:$D,MATCH(I130,_ZIG_Precos!$F:$F,0)),"—")</f>
        <v/>
      </c>
      <c r="I130" s="95">
        <f>IFERROR(VLOOKUP(B130,_Protheus_Cadastro!$A:$I,9,FALSE),"—")</f>
        <v/>
      </c>
      <c r="J130" s="93">
        <f>IFERROR(INDEX(_ZIG_Cadastro!$B:$B,MATCH(I130,_ZIG_Cadastro!$A:$A,0)),IFERROR(INDEX(_Entradas_ZIG!$B:$B,MATCH(I130,_Entradas_ZIG!$C:$C,0)),"—"))</f>
        <v/>
      </c>
      <c r="K130" s="93">
        <f>IFERROR(INDEX(_ZIG_Cadastro!$C:$C,MATCH(I130,_ZIG_Cadastro!$A:$A,0)),IFERROR(INDEX(_Entradas_ZIG!$D:$D,MATCH(I130,_Entradas_ZIG!$C:$C,0)),"—"))</f>
        <v/>
      </c>
      <c r="L130" s="92">
        <f>IF(I130="","Sem SKU ZIG",IF(I130="—","Sem SKU ZIG",IF(NOT(ISERROR(MATCH(I130,_ZIG_Cadastro!$A:$A,0))),IF(EXACT(UPPER(TRIM(C130)),UPPER(TRIM(INDEX(_ZIG_Cadastro!$B:$B,MATCH(I130,_ZIG_Cadastro!$A:$A,0))))),"OK","Atencao - Nome diverge"),IF(NOT(ISERROR(MATCH(I130,_Entradas_ZIG!$C:$C,0))),"OK","Erro - SKU nao encontrado"))))</f>
        <v/>
      </c>
      <c r="M130" s="92">
        <f>IFERROR(INDEX(_ZIG_Cadastro!$G:$G,MATCH(I130,_ZIG_Cadastro!$A:$A,0)),IF(NOT(ISERROR(MATCH(I130,_Entradas_ZIG!$C:$C,0))),"Ativo","—"))</f>
        <v/>
      </c>
      <c r="N130" s="94">
        <f>IFERROR(INDEX(_ZIG_Cadastro!$E:$E,MATCH(I130,_ZIG_Cadastro!$A:$A,0)),IFERROR(INDEX(_Entradas_ZIG!$F:$F,MATCH(I130,_Entradas_ZIG!$C:$C,0)),"—"))</f>
        <v/>
      </c>
      <c r="O130" s="92">
        <f>IF(AND(ISNUMBER(SEARCH("Espeto",N130)),ISNUMBER(SEARCH("Carin",N130))),"SIM","")</f>
        <v/>
      </c>
      <c r="P130" s="92">
        <f>IF(AND(ISNUMBER(SEARCH("Espeto",N130)),ISNUMBER(SEARCH("Lapa",N130))),"SIM","")</f>
        <v/>
      </c>
      <c r="Q130" s="92">
        <f>IF(AND(ISNUMBER(SEARCH("Espeto",N130)),ISNUMBER(SEARCH("Tatuapé",N130))),"SIM","")</f>
        <v/>
      </c>
      <c r="R130" s="92">
        <f>IF(AND(ISNUMBER(SEARCH("Espeto",N130)),ISNUMBER(SEARCH("Pavão",N130))),"SIM","")</f>
        <v/>
      </c>
      <c r="S130" s="92">
        <f>IF(AND(ISNUMBER(SEARCH("Espeto",N130)),ISNUMBER(SEARCH("Chac",N130))),"SIM","")</f>
        <v/>
      </c>
      <c r="T130" s="92">
        <f>IF(AND(ISNUMBER(SEARCH("Espeto",N130)),ISNUMBER(SEARCH("Madalena",N130))),"SIM","")</f>
        <v/>
      </c>
      <c r="U130" s="92">
        <f>IF(AND(ISNUMBER(SEARCH("Espeto",N130)),ISNUMBER(SEARCH("Mariana",N130))),"SIM","")</f>
        <v/>
      </c>
      <c r="V130" s="92">
        <f>IF(AND(ISNUMBER(SEARCH("Espeto",N130)),ISNUMBER(SEARCH("Perdizes",N130))),"SIM","")</f>
        <v/>
      </c>
      <c r="W130" s="92">
        <f>IF(AND(ISNUMBER(SEARCH("Espeto",N130)),ISNUMBER(SEARCH("Santana",N130))),"SIM","")</f>
        <v/>
      </c>
      <c r="X130" s="92">
        <f>IF(AND(ISNUMBER(SEARCH("Espeto",N130)),ISNUMBER(SEARCH("André",N130))),"SIM","")</f>
        <v/>
      </c>
      <c r="Y130" s="92">
        <f>IF(AND(ISNUMBER(SEARCH("Delivery",N130)),ISNUMBER(SEARCH("Carin",N130))),"SIM","")</f>
        <v/>
      </c>
      <c r="Z130" s="92">
        <f>IF(AND(ISNUMBER(SEARCH("Delivery",N130)),ISNUMBER(SEARCH("Lapa",N130))),"SIM","")</f>
        <v/>
      </c>
      <c r="AA130" s="92">
        <f>IF(AND(ISNUMBER(SEARCH("Delivery",N130)),ISNUMBER(SEARCH("Tatuapé",N130))),"SIM","")</f>
        <v/>
      </c>
      <c r="AB130" s="92">
        <f>IF(AND(ISNUMBER(SEARCH("Delivery",N130)),ISNUMBER(SEARCH("Pavão",N130))),"SIM","")</f>
        <v/>
      </c>
      <c r="AC130" s="92">
        <f>IF(AND(ISNUMBER(SEARCH("Delivery",N130)),ISNUMBER(SEARCH("Chac",N130))),"SIM","")</f>
        <v/>
      </c>
      <c r="AD130" s="92">
        <f>IF(AND(ISNUMBER(SEARCH("Delivery",N130)),ISNUMBER(SEARCH("Madalena",N130))),"SIM","")</f>
        <v/>
      </c>
      <c r="AE130" s="92">
        <f>IF(AND(ISNUMBER(SEARCH("Delivery",N130)),ISNUMBER(SEARCH("Mariana",N130))),"SIM","")</f>
        <v/>
      </c>
      <c r="AF130" s="92">
        <f>IF(AND(ISNUMBER(SEARCH("Delivery",N130)),ISNUMBER(SEARCH("Perdizes",N130))),"SIM","")</f>
        <v/>
      </c>
      <c r="AG130" s="92">
        <f>IF(AND(ISNUMBER(SEARCH("Delivery",N130)),ISNUMBER(SEARCH("Santana",N130))),"SIM","")</f>
        <v/>
      </c>
      <c r="AH130" s="92">
        <f>IF(AND(ISNUMBER(SEARCH("Delivery",N130)),ISNUMBER(SEARCH("André",N130))),"SIM","")</f>
        <v/>
      </c>
      <c r="AI130" s="92">
        <f>IF(ISNUMBER(SEARCH("Interlagos",N130)),"SIM","")</f>
        <v/>
      </c>
      <c r="AJ130" s="92">
        <f>IF(ISNUMBER(SEARCH("Quiosque",N130)),"SIM","")</f>
        <v/>
      </c>
      <c r="AK130" s="93" t="n"/>
    </row>
    <row r="131">
      <c r="A131" s="88" t="inlineStr">
        <is>
          <t>Protheus</t>
        </is>
      </c>
      <c r="B131" s="96" t="inlineStr">
        <is>
          <t>001027</t>
        </is>
      </c>
      <c r="C131" s="97">
        <f>IF(B131="—","—",IFERROR(VLOOKUP(B131,_Protheus_Cadastro!$A:$B,2,FALSE),"—"))</f>
        <v/>
      </c>
      <c r="D131" s="98">
        <f>IF(B131="—",IFERROR(INDEX(_ZIG_Cadastro!$D:$D,MATCH(H131,_ZIG_Cadastro!$A:$A,0)),"Produto"),IFERROR(VLOOKUP(B131,_Protheus_Cadastro!$A:$C,3,FALSE),"—"))</f>
        <v/>
      </c>
      <c r="E131" s="98">
        <f>IF(B131="—","—",IFERROR(VLOOKUP(B131,_Protheus_Cadastro!$A:$D,4,FALSE),"—"))</f>
        <v/>
      </c>
      <c r="F131" s="98">
        <f>IF(ISERROR(VLOOKUP(B131,'Estrutura Protheus'!A:A,1,FALSE)),"Não","Sim")</f>
        <v/>
      </c>
      <c r="G131" s="99">
        <f>IFERROR(INDEX(_Protheus_Cadastro!$H:$H,MATCH(B131,_Protheus_Cadastro!$A:$A,0)),"—")</f>
        <v/>
      </c>
      <c r="H131" s="211">
        <f>IFERROR(INDEX(_ZIG_Precos!$D:$D,MATCH(I131,_ZIG_Precos!$F:$F,0)),"—")</f>
        <v/>
      </c>
      <c r="I131" s="103">
        <f>IFERROR(VLOOKUP(B131,_Protheus_Cadastro!$A:$I,9,FALSE),"—")</f>
        <v/>
      </c>
      <c r="J131" s="101">
        <f>IFERROR(INDEX(_ZIG_Cadastro!$B:$B,MATCH(I131,_ZIG_Cadastro!$A:$A,0)),IFERROR(INDEX(_Entradas_ZIG!$B:$B,MATCH(I131,_Entradas_ZIG!$C:$C,0)),"—"))</f>
        <v/>
      </c>
      <c r="K131" s="101">
        <f>IFERROR(INDEX(_ZIG_Cadastro!$C:$C,MATCH(I131,_ZIG_Cadastro!$A:$A,0)),IFERROR(INDEX(_Entradas_ZIG!$D:$D,MATCH(I131,_Entradas_ZIG!$C:$C,0)),"—"))</f>
        <v/>
      </c>
      <c r="L131" s="99">
        <f>IF(I131="","Sem SKU ZIG",IF(I131="—","Sem SKU ZIG",IF(NOT(ISERROR(MATCH(I131,_ZIG_Cadastro!$A:$A,0))),IF(EXACT(UPPER(TRIM(C131)),UPPER(TRIM(INDEX(_ZIG_Cadastro!$B:$B,MATCH(I131,_ZIG_Cadastro!$A:$A,0))))),"OK","Atencao - Nome diverge"),IF(NOT(ISERROR(MATCH(I131,_Entradas_ZIG!$C:$C,0))),"OK","Erro - SKU nao encontrado"))))</f>
        <v/>
      </c>
      <c r="M131" s="99">
        <f>IFERROR(INDEX(_ZIG_Cadastro!$G:$G,MATCH(I131,_ZIG_Cadastro!$A:$A,0)),IF(NOT(ISERROR(MATCH(I131,_Entradas_ZIG!$C:$C,0))),"Ativo","—"))</f>
        <v/>
      </c>
      <c r="N131" s="102">
        <f>IFERROR(INDEX(_ZIG_Cadastro!$E:$E,MATCH(I131,_ZIG_Cadastro!$A:$A,0)),IFERROR(INDEX(_Entradas_ZIG!$F:$F,MATCH(I131,_Entradas_ZIG!$C:$C,0)),"—"))</f>
        <v/>
      </c>
      <c r="O131" s="99">
        <f>IF(AND(ISNUMBER(SEARCH("Espeto",N131)),ISNUMBER(SEARCH("Carin",N131))),"SIM","")</f>
        <v/>
      </c>
      <c r="P131" s="99">
        <f>IF(AND(ISNUMBER(SEARCH("Espeto",N131)),ISNUMBER(SEARCH("Lapa",N131))),"SIM","")</f>
        <v/>
      </c>
      <c r="Q131" s="99">
        <f>IF(AND(ISNUMBER(SEARCH("Espeto",N131)),ISNUMBER(SEARCH("Tatuapé",N131))),"SIM","")</f>
        <v/>
      </c>
      <c r="R131" s="99">
        <f>IF(AND(ISNUMBER(SEARCH("Espeto",N131)),ISNUMBER(SEARCH("Pavão",N131))),"SIM","")</f>
        <v/>
      </c>
      <c r="S131" s="99">
        <f>IF(AND(ISNUMBER(SEARCH("Espeto",N131)),ISNUMBER(SEARCH("Chac",N131))),"SIM","")</f>
        <v/>
      </c>
      <c r="T131" s="99">
        <f>IF(AND(ISNUMBER(SEARCH("Espeto",N131)),ISNUMBER(SEARCH("Madalena",N131))),"SIM","")</f>
        <v/>
      </c>
      <c r="U131" s="99">
        <f>IF(AND(ISNUMBER(SEARCH("Espeto",N131)),ISNUMBER(SEARCH("Mariana",N131))),"SIM","")</f>
        <v/>
      </c>
      <c r="V131" s="99">
        <f>IF(AND(ISNUMBER(SEARCH("Espeto",N131)),ISNUMBER(SEARCH("Perdizes",N131))),"SIM","")</f>
        <v/>
      </c>
      <c r="W131" s="99">
        <f>IF(AND(ISNUMBER(SEARCH("Espeto",N131)),ISNUMBER(SEARCH("Santana",N131))),"SIM","")</f>
        <v/>
      </c>
      <c r="X131" s="99">
        <f>IF(AND(ISNUMBER(SEARCH("Espeto",N131)),ISNUMBER(SEARCH("André",N131))),"SIM","")</f>
        <v/>
      </c>
      <c r="Y131" s="99">
        <f>IF(AND(ISNUMBER(SEARCH("Delivery",N131)),ISNUMBER(SEARCH("Carin",N131))),"SIM","")</f>
        <v/>
      </c>
      <c r="Z131" s="99">
        <f>IF(AND(ISNUMBER(SEARCH("Delivery",N131)),ISNUMBER(SEARCH("Lapa",N131))),"SIM","")</f>
        <v/>
      </c>
      <c r="AA131" s="99">
        <f>IF(AND(ISNUMBER(SEARCH("Delivery",N131)),ISNUMBER(SEARCH("Tatuapé",N131))),"SIM","")</f>
        <v/>
      </c>
      <c r="AB131" s="99">
        <f>IF(AND(ISNUMBER(SEARCH("Delivery",N131)),ISNUMBER(SEARCH("Pavão",N131))),"SIM","")</f>
        <v/>
      </c>
      <c r="AC131" s="99">
        <f>IF(AND(ISNUMBER(SEARCH("Delivery",N131)),ISNUMBER(SEARCH("Chac",N131))),"SIM","")</f>
        <v/>
      </c>
      <c r="AD131" s="99">
        <f>IF(AND(ISNUMBER(SEARCH("Delivery",N131)),ISNUMBER(SEARCH("Madalena",N131))),"SIM","")</f>
        <v/>
      </c>
      <c r="AE131" s="99">
        <f>IF(AND(ISNUMBER(SEARCH("Delivery",N131)),ISNUMBER(SEARCH("Mariana",N131))),"SIM","")</f>
        <v/>
      </c>
      <c r="AF131" s="99">
        <f>IF(AND(ISNUMBER(SEARCH("Delivery",N131)),ISNUMBER(SEARCH("Perdizes",N131))),"SIM","")</f>
        <v/>
      </c>
      <c r="AG131" s="99">
        <f>IF(AND(ISNUMBER(SEARCH("Delivery",N131)),ISNUMBER(SEARCH("Santana",N131))),"SIM","")</f>
        <v/>
      </c>
      <c r="AH131" s="99">
        <f>IF(AND(ISNUMBER(SEARCH("Delivery",N131)),ISNUMBER(SEARCH("André",N131))),"SIM","")</f>
        <v/>
      </c>
      <c r="AI131" s="99">
        <f>IF(ISNUMBER(SEARCH("Interlagos",N131)),"SIM","")</f>
        <v/>
      </c>
      <c r="AJ131" s="99">
        <f>IF(ISNUMBER(SEARCH("Quiosque",N131)),"SIM","")</f>
        <v/>
      </c>
      <c r="AK131" s="101" t="n"/>
    </row>
    <row r="132">
      <c r="A132" s="88" t="inlineStr">
        <is>
          <t>Protheus</t>
        </is>
      </c>
      <c r="B132" s="89" t="inlineStr">
        <is>
          <t>001952</t>
        </is>
      </c>
      <c r="C132" s="90">
        <f>IF(B132="—","—",IFERROR(VLOOKUP(B132,_Protheus_Cadastro!$A:$B,2,FALSE),"—"))</f>
        <v/>
      </c>
      <c r="D132" s="91">
        <f>IF(B132="—",IFERROR(INDEX(_ZIG_Cadastro!$D:$D,MATCH(H132,_ZIG_Cadastro!$A:$A,0)),"Produto"),IFERROR(VLOOKUP(B132,_Protheus_Cadastro!$A:$C,3,FALSE),"—"))</f>
        <v/>
      </c>
      <c r="E132" s="91">
        <f>IF(B132="—","—",IFERROR(VLOOKUP(B132,_Protheus_Cadastro!$A:$D,4,FALSE),"—"))</f>
        <v/>
      </c>
      <c r="F132" s="91">
        <f>IF(ISERROR(VLOOKUP(B132,'Estrutura Protheus'!A:A,1,FALSE)),"Não","Sim")</f>
        <v/>
      </c>
      <c r="G132" s="92">
        <f>IFERROR(INDEX(_Protheus_Cadastro!$H:$H,MATCH(B132,_Protheus_Cadastro!$A:$A,0)),"—")</f>
        <v/>
      </c>
      <c r="H132" s="210">
        <f>IFERROR(INDEX(_ZIG_Precos!$D:$D,MATCH(I132,_ZIG_Precos!$F:$F,0)),"—")</f>
        <v/>
      </c>
      <c r="I132" s="95">
        <f>IFERROR(VLOOKUP(B132,_Protheus_Cadastro!$A:$I,9,FALSE),"—")</f>
        <v/>
      </c>
      <c r="J132" s="93">
        <f>IFERROR(INDEX(_ZIG_Cadastro!$B:$B,MATCH(I132,_ZIG_Cadastro!$A:$A,0)),IFERROR(INDEX(_Entradas_ZIG!$B:$B,MATCH(I132,_Entradas_ZIG!$C:$C,0)),"—"))</f>
        <v/>
      </c>
      <c r="K132" s="93">
        <f>IFERROR(INDEX(_ZIG_Cadastro!$C:$C,MATCH(I132,_ZIG_Cadastro!$A:$A,0)),IFERROR(INDEX(_Entradas_ZIG!$D:$D,MATCH(I132,_Entradas_ZIG!$C:$C,0)),"—"))</f>
        <v/>
      </c>
      <c r="L132" s="92">
        <f>IF(I132="","Sem SKU ZIG",IF(I132="—","Sem SKU ZIG",IF(NOT(ISERROR(MATCH(I132,_ZIG_Cadastro!$A:$A,0))),IF(EXACT(UPPER(TRIM(C132)),UPPER(TRIM(INDEX(_ZIG_Cadastro!$B:$B,MATCH(I132,_ZIG_Cadastro!$A:$A,0))))),"OK","Atencao - Nome diverge"),IF(NOT(ISERROR(MATCH(I132,_Entradas_ZIG!$C:$C,0))),"OK","Erro - SKU nao encontrado"))))</f>
        <v/>
      </c>
      <c r="M132" s="92">
        <f>IFERROR(INDEX(_ZIG_Cadastro!$G:$G,MATCH(I132,_ZIG_Cadastro!$A:$A,0)),IF(NOT(ISERROR(MATCH(I132,_Entradas_ZIG!$C:$C,0))),"Ativo","—"))</f>
        <v/>
      </c>
      <c r="N132" s="94">
        <f>IFERROR(INDEX(_ZIG_Cadastro!$E:$E,MATCH(I132,_ZIG_Cadastro!$A:$A,0)),IFERROR(INDEX(_Entradas_ZIG!$F:$F,MATCH(I132,_Entradas_ZIG!$C:$C,0)),"—"))</f>
        <v/>
      </c>
      <c r="O132" s="92">
        <f>IF(AND(ISNUMBER(SEARCH("Espeto",N132)),ISNUMBER(SEARCH("Carin",N132))),"SIM","")</f>
        <v/>
      </c>
      <c r="P132" s="92">
        <f>IF(AND(ISNUMBER(SEARCH("Espeto",N132)),ISNUMBER(SEARCH("Lapa",N132))),"SIM","")</f>
        <v/>
      </c>
      <c r="Q132" s="92">
        <f>IF(AND(ISNUMBER(SEARCH("Espeto",N132)),ISNUMBER(SEARCH("Tatuapé",N132))),"SIM","")</f>
        <v/>
      </c>
      <c r="R132" s="92">
        <f>IF(AND(ISNUMBER(SEARCH("Espeto",N132)),ISNUMBER(SEARCH("Pavão",N132))),"SIM","")</f>
        <v/>
      </c>
      <c r="S132" s="92">
        <f>IF(AND(ISNUMBER(SEARCH("Espeto",N132)),ISNUMBER(SEARCH("Chac",N132))),"SIM","")</f>
        <v/>
      </c>
      <c r="T132" s="92">
        <f>IF(AND(ISNUMBER(SEARCH("Espeto",N132)),ISNUMBER(SEARCH("Madalena",N132))),"SIM","")</f>
        <v/>
      </c>
      <c r="U132" s="92">
        <f>IF(AND(ISNUMBER(SEARCH("Espeto",N132)),ISNUMBER(SEARCH("Mariana",N132))),"SIM","")</f>
        <v/>
      </c>
      <c r="V132" s="92">
        <f>IF(AND(ISNUMBER(SEARCH("Espeto",N132)),ISNUMBER(SEARCH("Perdizes",N132))),"SIM","")</f>
        <v/>
      </c>
      <c r="W132" s="92">
        <f>IF(AND(ISNUMBER(SEARCH("Espeto",N132)),ISNUMBER(SEARCH("Santana",N132))),"SIM","")</f>
        <v/>
      </c>
      <c r="X132" s="92">
        <f>IF(AND(ISNUMBER(SEARCH("Espeto",N132)),ISNUMBER(SEARCH("André",N132))),"SIM","")</f>
        <v/>
      </c>
      <c r="Y132" s="92">
        <f>IF(AND(ISNUMBER(SEARCH("Delivery",N132)),ISNUMBER(SEARCH("Carin",N132))),"SIM","")</f>
        <v/>
      </c>
      <c r="Z132" s="92">
        <f>IF(AND(ISNUMBER(SEARCH("Delivery",N132)),ISNUMBER(SEARCH("Lapa",N132))),"SIM","")</f>
        <v/>
      </c>
      <c r="AA132" s="92">
        <f>IF(AND(ISNUMBER(SEARCH("Delivery",N132)),ISNUMBER(SEARCH("Tatuapé",N132))),"SIM","")</f>
        <v/>
      </c>
      <c r="AB132" s="92">
        <f>IF(AND(ISNUMBER(SEARCH("Delivery",N132)),ISNUMBER(SEARCH("Pavão",N132))),"SIM","")</f>
        <v/>
      </c>
      <c r="AC132" s="92">
        <f>IF(AND(ISNUMBER(SEARCH("Delivery",N132)),ISNUMBER(SEARCH("Chac",N132))),"SIM","")</f>
        <v/>
      </c>
      <c r="AD132" s="92">
        <f>IF(AND(ISNUMBER(SEARCH("Delivery",N132)),ISNUMBER(SEARCH("Madalena",N132))),"SIM","")</f>
        <v/>
      </c>
      <c r="AE132" s="92">
        <f>IF(AND(ISNUMBER(SEARCH("Delivery",N132)),ISNUMBER(SEARCH("Mariana",N132))),"SIM","")</f>
        <v/>
      </c>
      <c r="AF132" s="92">
        <f>IF(AND(ISNUMBER(SEARCH("Delivery",N132)),ISNUMBER(SEARCH("Perdizes",N132))),"SIM","")</f>
        <v/>
      </c>
      <c r="AG132" s="92">
        <f>IF(AND(ISNUMBER(SEARCH("Delivery",N132)),ISNUMBER(SEARCH("Santana",N132))),"SIM","")</f>
        <v/>
      </c>
      <c r="AH132" s="92">
        <f>IF(AND(ISNUMBER(SEARCH("Delivery",N132)),ISNUMBER(SEARCH("André",N132))),"SIM","")</f>
        <v/>
      </c>
      <c r="AI132" s="92">
        <f>IF(ISNUMBER(SEARCH("Interlagos",N132)),"SIM","")</f>
        <v/>
      </c>
      <c r="AJ132" s="92">
        <f>IF(ISNUMBER(SEARCH("Quiosque",N132)),"SIM","")</f>
        <v/>
      </c>
      <c r="AK132" s="93" t="n"/>
    </row>
    <row r="133">
      <c r="A133" s="88" t="inlineStr">
        <is>
          <t>Protheus</t>
        </is>
      </c>
      <c r="B133" s="96" t="inlineStr">
        <is>
          <t>000021</t>
        </is>
      </c>
      <c r="C133" s="97">
        <f>IF(B133="—","—",IFERROR(VLOOKUP(B133,_Protheus_Cadastro!$A:$B,2,FALSE),"—"))</f>
        <v/>
      </c>
      <c r="D133" s="98">
        <f>IF(B133="—",IFERROR(INDEX(_ZIG_Cadastro!$D:$D,MATCH(H133,_ZIG_Cadastro!$A:$A,0)),"Produto"),IFERROR(VLOOKUP(B133,_Protheus_Cadastro!$A:$C,3,FALSE),"—"))</f>
        <v/>
      </c>
      <c r="E133" s="98">
        <f>IF(B133="—","—",IFERROR(VLOOKUP(B133,_Protheus_Cadastro!$A:$D,4,FALSE),"—"))</f>
        <v/>
      </c>
      <c r="F133" s="98">
        <f>IF(ISERROR(VLOOKUP(B133,'Estrutura Protheus'!A:A,1,FALSE)),"Não","Sim")</f>
        <v/>
      </c>
      <c r="G133" s="99">
        <f>IFERROR(INDEX(_Protheus_Cadastro!$H:$H,MATCH(B133,_Protheus_Cadastro!$A:$A,0)),"—")</f>
        <v/>
      </c>
      <c r="H133" s="211">
        <f>IFERROR(INDEX(_ZIG_Precos!$D:$D,MATCH(I133,_ZIG_Precos!$F:$F,0)),"—")</f>
        <v/>
      </c>
      <c r="I133" s="103">
        <f>IFERROR(VLOOKUP(B133,_Protheus_Cadastro!$A:$I,9,FALSE),"—")</f>
        <v/>
      </c>
      <c r="J133" s="101">
        <f>IFERROR(INDEX(_ZIG_Cadastro!$B:$B,MATCH(I133,_ZIG_Cadastro!$A:$A,0)),IFERROR(INDEX(_Entradas_ZIG!$B:$B,MATCH(I133,_Entradas_ZIG!$C:$C,0)),"—"))</f>
        <v/>
      </c>
      <c r="K133" s="101">
        <f>IFERROR(INDEX(_ZIG_Cadastro!$C:$C,MATCH(I133,_ZIG_Cadastro!$A:$A,0)),IFERROR(INDEX(_Entradas_ZIG!$D:$D,MATCH(I133,_Entradas_ZIG!$C:$C,0)),"—"))</f>
        <v/>
      </c>
      <c r="L133" s="99">
        <f>IF(I133="","Sem SKU ZIG",IF(I133="—","Sem SKU ZIG",IF(NOT(ISERROR(MATCH(I133,_ZIG_Cadastro!$A:$A,0))),IF(EXACT(UPPER(TRIM(C133)),UPPER(TRIM(INDEX(_ZIG_Cadastro!$B:$B,MATCH(I133,_ZIG_Cadastro!$A:$A,0))))),"OK","Atencao - Nome diverge"),IF(NOT(ISERROR(MATCH(I133,_Entradas_ZIG!$C:$C,0))),"OK","Erro - SKU nao encontrado"))))</f>
        <v/>
      </c>
      <c r="M133" s="99">
        <f>IFERROR(INDEX(_ZIG_Cadastro!$G:$G,MATCH(I133,_ZIG_Cadastro!$A:$A,0)),IF(NOT(ISERROR(MATCH(I133,_Entradas_ZIG!$C:$C,0))),"Ativo","—"))</f>
        <v/>
      </c>
      <c r="N133" s="102">
        <f>IFERROR(INDEX(_ZIG_Cadastro!$E:$E,MATCH(I133,_ZIG_Cadastro!$A:$A,0)),IFERROR(INDEX(_Entradas_ZIG!$F:$F,MATCH(I133,_Entradas_ZIG!$C:$C,0)),"—"))</f>
        <v/>
      </c>
      <c r="O133" s="99">
        <f>IF(AND(ISNUMBER(SEARCH("Espeto",N133)),ISNUMBER(SEARCH("Carin",N133))),"SIM","")</f>
        <v/>
      </c>
      <c r="P133" s="99">
        <f>IF(AND(ISNUMBER(SEARCH("Espeto",N133)),ISNUMBER(SEARCH("Lapa",N133))),"SIM","")</f>
        <v/>
      </c>
      <c r="Q133" s="99">
        <f>IF(AND(ISNUMBER(SEARCH("Espeto",N133)),ISNUMBER(SEARCH("Tatuapé",N133))),"SIM","")</f>
        <v/>
      </c>
      <c r="R133" s="99">
        <f>IF(AND(ISNUMBER(SEARCH("Espeto",N133)),ISNUMBER(SEARCH("Pavão",N133))),"SIM","")</f>
        <v/>
      </c>
      <c r="S133" s="99">
        <f>IF(AND(ISNUMBER(SEARCH("Espeto",N133)),ISNUMBER(SEARCH("Chac",N133))),"SIM","")</f>
        <v/>
      </c>
      <c r="T133" s="99">
        <f>IF(AND(ISNUMBER(SEARCH("Espeto",N133)),ISNUMBER(SEARCH("Madalena",N133))),"SIM","")</f>
        <v/>
      </c>
      <c r="U133" s="99">
        <f>IF(AND(ISNUMBER(SEARCH("Espeto",N133)),ISNUMBER(SEARCH("Mariana",N133))),"SIM","")</f>
        <v/>
      </c>
      <c r="V133" s="99">
        <f>IF(AND(ISNUMBER(SEARCH("Espeto",N133)),ISNUMBER(SEARCH("Perdizes",N133))),"SIM","")</f>
        <v/>
      </c>
      <c r="W133" s="99">
        <f>IF(AND(ISNUMBER(SEARCH("Espeto",N133)),ISNUMBER(SEARCH("Santana",N133))),"SIM","")</f>
        <v/>
      </c>
      <c r="X133" s="99">
        <f>IF(AND(ISNUMBER(SEARCH("Espeto",N133)),ISNUMBER(SEARCH("André",N133))),"SIM","")</f>
        <v/>
      </c>
      <c r="Y133" s="99">
        <f>IF(AND(ISNUMBER(SEARCH("Delivery",N133)),ISNUMBER(SEARCH("Carin",N133))),"SIM","")</f>
        <v/>
      </c>
      <c r="Z133" s="99">
        <f>IF(AND(ISNUMBER(SEARCH("Delivery",N133)),ISNUMBER(SEARCH("Lapa",N133))),"SIM","")</f>
        <v/>
      </c>
      <c r="AA133" s="99">
        <f>IF(AND(ISNUMBER(SEARCH("Delivery",N133)),ISNUMBER(SEARCH("Tatuapé",N133))),"SIM","")</f>
        <v/>
      </c>
      <c r="AB133" s="99">
        <f>IF(AND(ISNUMBER(SEARCH("Delivery",N133)),ISNUMBER(SEARCH("Pavão",N133))),"SIM","")</f>
        <v/>
      </c>
      <c r="AC133" s="99">
        <f>IF(AND(ISNUMBER(SEARCH("Delivery",N133)),ISNUMBER(SEARCH("Chac",N133))),"SIM","")</f>
        <v/>
      </c>
      <c r="AD133" s="99">
        <f>IF(AND(ISNUMBER(SEARCH("Delivery",N133)),ISNUMBER(SEARCH("Madalena",N133))),"SIM","")</f>
        <v/>
      </c>
      <c r="AE133" s="99">
        <f>IF(AND(ISNUMBER(SEARCH("Delivery",N133)),ISNUMBER(SEARCH("Mariana",N133))),"SIM","")</f>
        <v/>
      </c>
      <c r="AF133" s="99">
        <f>IF(AND(ISNUMBER(SEARCH("Delivery",N133)),ISNUMBER(SEARCH("Perdizes",N133))),"SIM","")</f>
        <v/>
      </c>
      <c r="AG133" s="99">
        <f>IF(AND(ISNUMBER(SEARCH("Delivery",N133)),ISNUMBER(SEARCH("Santana",N133))),"SIM","")</f>
        <v/>
      </c>
      <c r="AH133" s="99">
        <f>IF(AND(ISNUMBER(SEARCH("Delivery",N133)),ISNUMBER(SEARCH("André",N133))),"SIM","")</f>
        <v/>
      </c>
      <c r="AI133" s="99">
        <f>IF(ISNUMBER(SEARCH("Interlagos",N133)),"SIM","")</f>
        <v/>
      </c>
      <c r="AJ133" s="99">
        <f>IF(ISNUMBER(SEARCH("Quiosque",N133)),"SIM","")</f>
        <v/>
      </c>
      <c r="AK133" s="101" t="n"/>
    </row>
    <row r="134">
      <c r="A134" s="88" t="inlineStr">
        <is>
          <t>Protheus</t>
        </is>
      </c>
      <c r="B134" s="89" t="inlineStr">
        <is>
          <t>002191</t>
        </is>
      </c>
      <c r="C134" s="90">
        <f>IF(B134="—","—",IFERROR(VLOOKUP(B134,_Protheus_Cadastro!$A:$B,2,FALSE),"—"))</f>
        <v/>
      </c>
      <c r="D134" s="91">
        <f>IF(B134="—",IFERROR(INDEX(_ZIG_Cadastro!$D:$D,MATCH(H134,_ZIG_Cadastro!$A:$A,0)),"Produto"),IFERROR(VLOOKUP(B134,_Protheus_Cadastro!$A:$C,3,FALSE),"—"))</f>
        <v/>
      </c>
      <c r="E134" s="91">
        <f>IF(B134="—","—",IFERROR(VLOOKUP(B134,_Protheus_Cadastro!$A:$D,4,FALSE),"—"))</f>
        <v/>
      </c>
      <c r="F134" s="91">
        <f>IF(ISERROR(VLOOKUP(B134,'Estrutura Protheus'!A:A,1,FALSE)),"Não","Sim")</f>
        <v/>
      </c>
      <c r="G134" s="92">
        <f>IFERROR(INDEX(_Protheus_Cadastro!$H:$H,MATCH(B134,_Protheus_Cadastro!$A:$A,0)),"—")</f>
        <v/>
      </c>
      <c r="H134" s="210">
        <f>IFERROR(INDEX(_ZIG_Precos!$D:$D,MATCH(I134,_ZIG_Precos!$F:$F,0)),"—")</f>
        <v/>
      </c>
      <c r="I134" s="95">
        <f>IFERROR(VLOOKUP(B134,_Protheus_Cadastro!$A:$I,9,FALSE),"—")</f>
        <v/>
      </c>
      <c r="J134" s="93">
        <f>IFERROR(INDEX(_ZIG_Cadastro!$B:$B,MATCH(I134,_ZIG_Cadastro!$A:$A,0)),IFERROR(INDEX(_Entradas_ZIG!$B:$B,MATCH(I134,_Entradas_ZIG!$C:$C,0)),"—"))</f>
        <v/>
      </c>
      <c r="K134" s="93">
        <f>IFERROR(INDEX(_ZIG_Cadastro!$C:$C,MATCH(I134,_ZIG_Cadastro!$A:$A,0)),IFERROR(INDEX(_Entradas_ZIG!$D:$D,MATCH(I134,_Entradas_ZIG!$C:$C,0)),"—"))</f>
        <v/>
      </c>
      <c r="L134" s="92">
        <f>IF(I134="","Sem SKU ZIG",IF(I134="—","Sem SKU ZIG",IF(NOT(ISERROR(MATCH(I134,_ZIG_Cadastro!$A:$A,0))),IF(EXACT(UPPER(TRIM(C134)),UPPER(TRIM(INDEX(_ZIG_Cadastro!$B:$B,MATCH(I134,_ZIG_Cadastro!$A:$A,0))))),"OK","Atencao - Nome diverge"),IF(NOT(ISERROR(MATCH(I134,_Entradas_ZIG!$C:$C,0))),"OK","Erro - SKU nao encontrado"))))</f>
        <v/>
      </c>
      <c r="M134" s="92">
        <f>IFERROR(INDEX(_ZIG_Cadastro!$G:$G,MATCH(I134,_ZIG_Cadastro!$A:$A,0)),IF(NOT(ISERROR(MATCH(I134,_Entradas_ZIG!$C:$C,0))),"Ativo","—"))</f>
        <v/>
      </c>
      <c r="N134" s="94">
        <f>IFERROR(INDEX(_ZIG_Cadastro!$E:$E,MATCH(I134,_ZIG_Cadastro!$A:$A,0)),IFERROR(INDEX(_Entradas_ZIG!$F:$F,MATCH(I134,_Entradas_ZIG!$C:$C,0)),"—"))</f>
        <v/>
      </c>
      <c r="O134" s="92">
        <f>IF(AND(ISNUMBER(SEARCH("Espeto",N134)),ISNUMBER(SEARCH("Carin",N134))),"SIM","")</f>
        <v/>
      </c>
      <c r="P134" s="92">
        <f>IF(AND(ISNUMBER(SEARCH("Espeto",N134)),ISNUMBER(SEARCH("Lapa",N134))),"SIM","")</f>
        <v/>
      </c>
      <c r="Q134" s="92">
        <f>IF(AND(ISNUMBER(SEARCH("Espeto",N134)),ISNUMBER(SEARCH("Tatuapé",N134))),"SIM","")</f>
        <v/>
      </c>
      <c r="R134" s="92">
        <f>IF(AND(ISNUMBER(SEARCH("Espeto",N134)),ISNUMBER(SEARCH("Pavão",N134))),"SIM","")</f>
        <v/>
      </c>
      <c r="S134" s="92">
        <f>IF(AND(ISNUMBER(SEARCH("Espeto",N134)),ISNUMBER(SEARCH("Chac",N134))),"SIM","")</f>
        <v/>
      </c>
      <c r="T134" s="92">
        <f>IF(AND(ISNUMBER(SEARCH("Espeto",N134)),ISNUMBER(SEARCH("Madalena",N134))),"SIM","")</f>
        <v/>
      </c>
      <c r="U134" s="92">
        <f>IF(AND(ISNUMBER(SEARCH("Espeto",N134)),ISNUMBER(SEARCH("Mariana",N134))),"SIM","")</f>
        <v/>
      </c>
      <c r="V134" s="92">
        <f>IF(AND(ISNUMBER(SEARCH("Espeto",N134)),ISNUMBER(SEARCH("Perdizes",N134))),"SIM","")</f>
        <v/>
      </c>
      <c r="W134" s="92">
        <f>IF(AND(ISNUMBER(SEARCH("Espeto",N134)),ISNUMBER(SEARCH("Santana",N134))),"SIM","")</f>
        <v/>
      </c>
      <c r="X134" s="92">
        <f>IF(AND(ISNUMBER(SEARCH("Espeto",N134)),ISNUMBER(SEARCH("André",N134))),"SIM","")</f>
        <v/>
      </c>
      <c r="Y134" s="92">
        <f>IF(AND(ISNUMBER(SEARCH("Delivery",N134)),ISNUMBER(SEARCH("Carin",N134))),"SIM","")</f>
        <v/>
      </c>
      <c r="Z134" s="92">
        <f>IF(AND(ISNUMBER(SEARCH("Delivery",N134)),ISNUMBER(SEARCH("Lapa",N134))),"SIM","")</f>
        <v/>
      </c>
      <c r="AA134" s="92">
        <f>IF(AND(ISNUMBER(SEARCH("Delivery",N134)),ISNUMBER(SEARCH("Tatuapé",N134))),"SIM","")</f>
        <v/>
      </c>
      <c r="AB134" s="92">
        <f>IF(AND(ISNUMBER(SEARCH("Delivery",N134)),ISNUMBER(SEARCH("Pavão",N134))),"SIM","")</f>
        <v/>
      </c>
      <c r="AC134" s="92">
        <f>IF(AND(ISNUMBER(SEARCH("Delivery",N134)),ISNUMBER(SEARCH("Chac",N134))),"SIM","")</f>
        <v/>
      </c>
      <c r="AD134" s="92">
        <f>IF(AND(ISNUMBER(SEARCH("Delivery",N134)),ISNUMBER(SEARCH("Madalena",N134))),"SIM","")</f>
        <v/>
      </c>
      <c r="AE134" s="92">
        <f>IF(AND(ISNUMBER(SEARCH("Delivery",N134)),ISNUMBER(SEARCH("Mariana",N134))),"SIM","")</f>
        <v/>
      </c>
      <c r="AF134" s="92">
        <f>IF(AND(ISNUMBER(SEARCH("Delivery",N134)),ISNUMBER(SEARCH("Perdizes",N134))),"SIM","")</f>
        <v/>
      </c>
      <c r="AG134" s="92">
        <f>IF(AND(ISNUMBER(SEARCH("Delivery",N134)),ISNUMBER(SEARCH("Santana",N134))),"SIM","")</f>
        <v/>
      </c>
      <c r="AH134" s="92">
        <f>IF(AND(ISNUMBER(SEARCH("Delivery",N134)),ISNUMBER(SEARCH("André",N134))),"SIM","")</f>
        <v/>
      </c>
      <c r="AI134" s="92">
        <f>IF(ISNUMBER(SEARCH("Interlagos",N134)),"SIM","")</f>
        <v/>
      </c>
      <c r="AJ134" s="92">
        <f>IF(ISNUMBER(SEARCH("Quiosque",N134)),"SIM","")</f>
        <v/>
      </c>
      <c r="AK134" s="93" t="n"/>
    </row>
    <row r="135">
      <c r="A135" s="88" t="inlineStr">
        <is>
          <t>Protheus</t>
        </is>
      </c>
      <c r="B135" s="96" t="inlineStr">
        <is>
          <t>000002</t>
        </is>
      </c>
      <c r="C135" s="97">
        <f>IF(B135="—","—",IFERROR(VLOOKUP(B135,_Protheus_Cadastro!$A:$B,2,FALSE),"—"))</f>
        <v/>
      </c>
      <c r="D135" s="98">
        <f>IF(B135="—",IFERROR(INDEX(_ZIG_Cadastro!$D:$D,MATCH(H135,_ZIG_Cadastro!$A:$A,0)),"Produto"),IFERROR(VLOOKUP(B135,_Protheus_Cadastro!$A:$C,3,FALSE),"—"))</f>
        <v/>
      </c>
      <c r="E135" s="98">
        <f>IF(B135="—","—",IFERROR(VLOOKUP(B135,_Protheus_Cadastro!$A:$D,4,FALSE),"—"))</f>
        <v/>
      </c>
      <c r="F135" s="98">
        <f>IF(ISERROR(VLOOKUP(B135,'Estrutura Protheus'!A:A,1,FALSE)),"Não","Sim")</f>
        <v/>
      </c>
      <c r="G135" s="99">
        <f>IFERROR(INDEX(_Protheus_Cadastro!$H:$H,MATCH(B135,_Protheus_Cadastro!$A:$A,0)),"—")</f>
        <v/>
      </c>
      <c r="H135" s="211">
        <f>IFERROR(INDEX(_ZIG_Precos!$D:$D,MATCH(I135,_ZIG_Precos!$F:$F,0)),"—")</f>
        <v/>
      </c>
      <c r="I135" s="103">
        <f>IFERROR(VLOOKUP(B135,_Protheus_Cadastro!$A:$I,9,FALSE),"—")</f>
        <v/>
      </c>
      <c r="J135" s="101">
        <f>IFERROR(INDEX(_ZIG_Cadastro!$B:$B,MATCH(I135,_ZIG_Cadastro!$A:$A,0)),IFERROR(INDEX(_Entradas_ZIG!$B:$B,MATCH(I135,_Entradas_ZIG!$C:$C,0)),"—"))</f>
        <v/>
      </c>
      <c r="K135" s="101">
        <f>IFERROR(INDEX(_ZIG_Cadastro!$C:$C,MATCH(I135,_ZIG_Cadastro!$A:$A,0)),IFERROR(INDEX(_Entradas_ZIG!$D:$D,MATCH(I135,_Entradas_ZIG!$C:$C,0)),"—"))</f>
        <v/>
      </c>
      <c r="L135" s="99">
        <f>IF(I135="","Sem SKU ZIG",IF(I135="—","Sem SKU ZIG",IF(NOT(ISERROR(MATCH(I135,_ZIG_Cadastro!$A:$A,0))),IF(EXACT(UPPER(TRIM(C135)),UPPER(TRIM(INDEX(_ZIG_Cadastro!$B:$B,MATCH(I135,_ZIG_Cadastro!$A:$A,0))))),"OK","Atencao - Nome diverge"),IF(NOT(ISERROR(MATCH(I135,_Entradas_ZIG!$C:$C,0))),"OK","Erro - SKU nao encontrado"))))</f>
        <v/>
      </c>
      <c r="M135" s="99">
        <f>IFERROR(INDEX(_ZIG_Cadastro!$G:$G,MATCH(I135,_ZIG_Cadastro!$A:$A,0)),IF(NOT(ISERROR(MATCH(I135,_Entradas_ZIG!$C:$C,0))),"Ativo","—"))</f>
        <v/>
      </c>
      <c r="N135" s="102">
        <f>IFERROR(INDEX(_ZIG_Cadastro!$E:$E,MATCH(I135,_ZIG_Cadastro!$A:$A,0)),IFERROR(INDEX(_Entradas_ZIG!$F:$F,MATCH(I135,_Entradas_ZIG!$C:$C,0)),"—"))</f>
        <v/>
      </c>
      <c r="O135" s="99">
        <f>IF(AND(ISNUMBER(SEARCH("Espeto",N135)),ISNUMBER(SEARCH("Carin",N135))),"SIM","")</f>
        <v/>
      </c>
      <c r="P135" s="99">
        <f>IF(AND(ISNUMBER(SEARCH("Espeto",N135)),ISNUMBER(SEARCH("Lapa",N135))),"SIM","")</f>
        <v/>
      </c>
      <c r="Q135" s="99">
        <f>IF(AND(ISNUMBER(SEARCH("Espeto",N135)),ISNUMBER(SEARCH("Tatuapé",N135))),"SIM","")</f>
        <v/>
      </c>
      <c r="R135" s="99">
        <f>IF(AND(ISNUMBER(SEARCH("Espeto",N135)),ISNUMBER(SEARCH("Pavão",N135))),"SIM","")</f>
        <v/>
      </c>
      <c r="S135" s="99">
        <f>IF(AND(ISNUMBER(SEARCH("Espeto",N135)),ISNUMBER(SEARCH("Chac",N135))),"SIM","")</f>
        <v/>
      </c>
      <c r="T135" s="99">
        <f>IF(AND(ISNUMBER(SEARCH("Espeto",N135)),ISNUMBER(SEARCH("Madalena",N135))),"SIM","")</f>
        <v/>
      </c>
      <c r="U135" s="99">
        <f>IF(AND(ISNUMBER(SEARCH("Espeto",N135)),ISNUMBER(SEARCH("Mariana",N135))),"SIM","")</f>
        <v/>
      </c>
      <c r="V135" s="99">
        <f>IF(AND(ISNUMBER(SEARCH("Espeto",N135)),ISNUMBER(SEARCH("Perdizes",N135))),"SIM","")</f>
        <v/>
      </c>
      <c r="W135" s="99">
        <f>IF(AND(ISNUMBER(SEARCH("Espeto",N135)),ISNUMBER(SEARCH("Santana",N135))),"SIM","")</f>
        <v/>
      </c>
      <c r="X135" s="99">
        <f>IF(AND(ISNUMBER(SEARCH("Espeto",N135)),ISNUMBER(SEARCH("André",N135))),"SIM","")</f>
        <v/>
      </c>
      <c r="Y135" s="99">
        <f>IF(AND(ISNUMBER(SEARCH("Delivery",N135)),ISNUMBER(SEARCH("Carin",N135))),"SIM","")</f>
        <v/>
      </c>
      <c r="Z135" s="99">
        <f>IF(AND(ISNUMBER(SEARCH("Delivery",N135)),ISNUMBER(SEARCH("Lapa",N135))),"SIM","")</f>
        <v/>
      </c>
      <c r="AA135" s="99">
        <f>IF(AND(ISNUMBER(SEARCH("Delivery",N135)),ISNUMBER(SEARCH("Tatuapé",N135))),"SIM","")</f>
        <v/>
      </c>
      <c r="AB135" s="99">
        <f>IF(AND(ISNUMBER(SEARCH("Delivery",N135)),ISNUMBER(SEARCH("Pavão",N135))),"SIM","")</f>
        <v/>
      </c>
      <c r="AC135" s="99">
        <f>IF(AND(ISNUMBER(SEARCH("Delivery",N135)),ISNUMBER(SEARCH("Chac",N135))),"SIM","")</f>
        <v/>
      </c>
      <c r="AD135" s="99">
        <f>IF(AND(ISNUMBER(SEARCH("Delivery",N135)),ISNUMBER(SEARCH("Madalena",N135))),"SIM","")</f>
        <v/>
      </c>
      <c r="AE135" s="99">
        <f>IF(AND(ISNUMBER(SEARCH("Delivery",N135)),ISNUMBER(SEARCH("Mariana",N135))),"SIM","")</f>
        <v/>
      </c>
      <c r="AF135" s="99">
        <f>IF(AND(ISNUMBER(SEARCH("Delivery",N135)),ISNUMBER(SEARCH("Perdizes",N135))),"SIM","")</f>
        <v/>
      </c>
      <c r="AG135" s="99">
        <f>IF(AND(ISNUMBER(SEARCH("Delivery",N135)),ISNUMBER(SEARCH("Santana",N135))),"SIM","")</f>
        <v/>
      </c>
      <c r="AH135" s="99">
        <f>IF(AND(ISNUMBER(SEARCH("Delivery",N135)),ISNUMBER(SEARCH("André",N135))),"SIM","")</f>
        <v/>
      </c>
      <c r="AI135" s="99">
        <f>IF(ISNUMBER(SEARCH("Interlagos",N135)),"SIM","")</f>
        <v/>
      </c>
      <c r="AJ135" s="99">
        <f>IF(ISNUMBER(SEARCH("Quiosque",N135)),"SIM","")</f>
        <v/>
      </c>
      <c r="AK135" s="101" t="n"/>
    </row>
    <row r="136">
      <c r="A136" s="88" t="inlineStr">
        <is>
          <t>Protheus</t>
        </is>
      </c>
      <c r="B136" s="89" t="inlineStr">
        <is>
          <t>000022</t>
        </is>
      </c>
      <c r="C136" s="90">
        <f>IF(B136="—","—",IFERROR(VLOOKUP(B136,_Protheus_Cadastro!$A:$B,2,FALSE),"—"))</f>
        <v/>
      </c>
      <c r="D136" s="91">
        <f>IF(B136="—",IFERROR(INDEX(_ZIG_Cadastro!$D:$D,MATCH(H136,_ZIG_Cadastro!$A:$A,0)),"Produto"),IFERROR(VLOOKUP(B136,_Protheus_Cadastro!$A:$C,3,FALSE),"—"))</f>
        <v/>
      </c>
      <c r="E136" s="91">
        <f>IF(B136="—","—",IFERROR(VLOOKUP(B136,_Protheus_Cadastro!$A:$D,4,FALSE),"—"))</f>
        <v/>
      </c>
      <c r="F136" s="91">
        <f>IF(ISERROR(VLOOKUP(B136,'Estrutura Protheus'!A:A,1,FALSE)),"Não","Sim")</f>
        <v/>
      </c>
      <c r="G136" s="92">
        <f>IFERROR(INDEX(_Protheus_Cadastro!$H:$H,MATCH(B136,_Protheus_Cadastro!$A:$A,0)),"—")</f>
        <v/>
      </c>
      <c r="H136" s="210">
        <f>IFERROR(INDEX(_ZIG_Precos!$D:$D,MATCH(I136,_ZIG_Precos!$F:$F,0)),"—")</f>
        <v/>
      </c>
      <c r="I136" s="95">
        <f>IFERROR(VLOOKUP(B136,_Protheus_Cadastro!$A:$I,9,FALSE),"—")</f>
        <v/>
      </c>
      <c r="J136" s="93">
        <f>IFERROR(INDEX(_ZIG_Cadastro!$B:$B,MATCH(I136,_ZIG_Cadastro!$A:$A,0)),IFERROR(INDEX(_Entradas_ZIG!$B:$B,MATCH(I136,_Entradas_ZIG!$C:$C,0)),"—"))</f>
        <v/>
      </c>
      <c r="K136" s="93">
        <f>IFERROR(INDEX(_ZIG_Cadastro!$C:$C,MATCH(I136,_ZIG_Cadastro!$A:$A,0)),IFERROR(INDEX(_Entradas_ZIG!$D:$D,MATCH(I136,_Entradas_ZIG!$C:$C,0)),"—"))</f>
        <v/>
      </c>
      <c r="L136" s="92">
        <f>IF(I136="","Sem SKU ZIG",IF(I136="—","Sem SKU ZIG",IF(NOT(ISERROR(MATCH(I136,_ZIG_Cadastro!$A:$A,0))),IF(EXACT(UPPER(TRIM(C136)),UPPER(TRIM(INDEX(_ZIG_Cadastro!$B:$B,MATCH(I136,_ZIG_Cadastro!$A:$A,0))))),"OK","Atencao - Nome diverge"),IF(NOT(ISERROR(MATCH(I136,_Entradas_ZIG!$C:$C,0))),"OK","Erro - SKU nao encontrado"))))</f>
        <v/>
      </c>
      <c r="M136" s="92">
        <f>IFERROR(INDEX(_ZIG_Cadastro!$G:$G,MATCH(I136,_ZIG_Cadastro!$A:$A,0)),IF(NOT(ISERROR(MATCH(I136,_Entradas_ZIG!$C:$C,0))),"Ativo","—"))</f>
        <v/>
      </c>
      <c r="N136" s="94">
        <f>IFERROR(INDEX(_ZIG_Cadastro!$E:$E,MATCH(I136,_ZIG_Cadastro!$A:$A,0)),IFERROR(INDEX(_Entradas_ZIG!$F:$F,MATCH(I136,_Entradas_ZIG!$C:$C,0)),"—"))</f>
        <v/>
      </c>
      <c r="O136" s="92">
        <f>IF(AND(ISNUMBER(SEARCH("Espeto",N136)),ISNUMBER(SEARCH("Carin",N136))),"SIM","")</f>
        <v/>
      </c>
      <c r="P136" s="92">
        <f>IF(AND(ISNUMBER(SEARCH("Espeto",N136)),ISNUMBER(SEARCH("Lapa",N136))),"SIM","")</f>
        <v/>
      </c>
      <c r="Q136" s="92">
        <f>IF(AND(ISNUMBER(SEARCH("Espeto",N136)),ISNUMBER(SEARCH("Tatuapé",N136))),"SIM","")</f>
        <v/>
      </c>
      <c r="R136" s="92">
        <f>IF(AND(ISNUMBER(SEARCH("Espeto",N136)),ISNUMBER(SEARCH("Pavão",N136))),"SIM","")</f>
        <v/>
      </c>
      <c r="S136" s="92">
        <f>IF(AND(ISNUMBER(SEARCH("Espeto",N136)),ISNUMBER(SEARCH("Chac",N136))),"SIM","")</f>
        <v/>
      </c>
      <c r="T136" s="92">
        <f>IF(AND(ISNUMBER(SEARCH("Espeto",N136)),ISNUMBER(SEARCH("Madalena",N136))),"SIM","")</f>
        <v/>
      </c>
      <c r="U136" s="92">
        <f>IF(AND(ISNUMBER(SEARCH("Espeto",N136)),ISNUMBER(SEARCH("Mariana",N136))),"SIM","")</f>
        <v/>
      </c>
      <c r="V136" s="92">
        <f>IF(AND(ISNUMBER(SEARCH("Espeto",N136)),ISNUMBER(SEARCH("Perdizes",N136))),"SIM","")</f>
        <v/>
      </c>
      <c r="W136" s="92">
        <f>IF(AND(ISNUMBER(SEARCH("Espeto",N136)),ISNUMBER(SEARCH("Santana",N136))),"SIM","")</f>
        <v/>
      </c>
      <c r="X136" s="92">
        <f>IF(AND(ISNUMBER(SEARCH("Espeto",N136)),ISNUMBER(SEARCH("André",N136))),"SIM","")</f>
        <v/>
      </c>
      <c r="Y136" s="92">
        <f>IF(AND(ISNUMBER(SEARCH("Delivery",N136)),ISNUMBER(SEARCH("Carin",N136))),"SIM","")</f>
        <v/>
      </c>
      <c r="Z136" s="92">
        <f>IF(AND(ISNUMBER(SEARCH("Delivery",N136)),ISNUMBER(SEARCH("Lapa",N136))),"SIM","")</f>
        <v/>
      </c>
      <c r="AA136" s="92">
        <f>IF(AND(ISNUMBER(SEARCH("Delivery",N136)),ISNUMBER(SEARCH("Tatuapé",N136))),"SIM","")</f>
        <v/>
      </c>
      <c r="AB136" s="92">
        <f>IF(AND(ISNUMBER(SEARCH("Delivery",N136)),ISNUMBER(SEARCH("Pavão",N136))),"SIM","")</f>
        <v/>
      </c>
      <c r="AC136" s="92">
        <f>IF(AND(ISNUMBER(SEARCH("Delivery",N136)),ISNUMBER(SEARCH("Chac",N136))),"SIM","")</f>
        <v/>
      </c>
      <c r="AD136" s="92">
        <f>IF(AND(ISNUMBER(SEARCH("Delivery",N136)),ISNUMBER(SEARCH("Madalena",N136))),"SIM","")</f>
        <v/>
      </c>
      <c r="AE136" s="92">
        <f>IF(AND(ISNUMBER(SEARCH("Delivery",N136)),ISNUMBER(SEARCH("Mariana",N136))),"SIM","")</f>
        <v/>
      </c>
      <c r="AF136" s="92">
        <f>IF(AND(ISNUMBER(SEARCH("Delivery",N136)),ISNUMBER(SEARCH("Perdizes",N136))),"SIM","")</f>
        <v/>
      </c>
      <c r="AG136" s="92">
        <f>IF(AND(ISNUMBER(SEARCH("Delivery",N136)),ISNUMBER(SEARCH("Santana",N136))),"SIM","")</f>
        <v/>
      </c>
      <c r="AH136" s="92">
        <f>IF(AND(ISNUMBER(SEARCH("Delivery",N136)),ISNUMBER(SEARCH("André",N136))),"SIM","")</f>
        <v/>
      </c>
      <c r="AI136" s="92">
        <f>IF(ISNUMBER(SEARCH("Interlagos",N136)),"SIM","")</f>
        <v/>
      </c>
      <c r="AJ136" s="92">
        <f>IF(ISNUMBER(SEARCH("Quiosque",N136)),"SIM","")</f>
        <v/>
      </c>
      <c r="AK136" s="93" t="n"/>
    </row>
    <row r="137">
      <c r="A137" s="88" t="inlineStr">
        <is>
          <t>Protheus</t>
        </is>
      </c>
      <c r="B137" s="96" t="inlineStr">
        <is>
          <t>002190</t>
        </is>
      </c>
      <c r="C137" s="97">
        <f>IF(B137="—","—",IFERROR(VLOOKUP(B137,_Protheus_Cadastro!$A:$B,2,FALSE),"—"))</f>
        <v/>
      </c>
      <c r="D137" s="98">
        <f>IF(B137="—",IFERROR(INDEX(_ZIG_Cadastro!$D:$D,MATCH(H137,_ZIG_Cadastro!$A:$A,0)),"Produto"),IFERROR(VLOOKUP(B137,_Protheus_Cadastro!$A:$C,3,FALSE),"—"))</f>
        <v/>
      </c>
      <c r="E137" s="98">
        <f>IF(B137="—","—",IFERROR(VLOOKUP(B137,_Protheus_Cadastro!$A:$D,4,FALSE),"—"))</f>
        <v/>
      </c>
      <c r="F137" s="98">
        <f>IF(ISERROR(VLOOKUP(B137,'Estrutura Protheus'!A:A,1,FALSE)),"Não","Sim")</f>
        <v/>
      </c>
      <c r="G137" s="99">
        <f>IFERROR(INDEX(_Protheus_Cadastro!$H:$H,MATCH(B137,_Protheus_Cadastro!$A:$A,0)),"—")</f>
        <v/>
      </c>
      <c r="H137" s="211">
        <f>IFERROR(INDEX(_ZIG_Precos!$D:$D,MATCH(I137,_ZIG_Precos!$F:$F,0)),"—")</f>
        <v/>
      </c>
      <c r="I137" s="103">
        <f>IFERROR(VLOOKUP(B137,_Protheus_Cadastro!$A:$I,9,FALSE),"—")</f>
        <v/>
      </c>
      <c r="J137" s="101">
        <f>IFERROR(INDEX(_ZIG_Cadastro!$B:$B,MATCH(I137,_ZIG_Cadastro!$A:$A,0)),IFERROR(INDEX(_Entradas_ZIG!$B:$B,MATCH(I137,_Entradas_ZIG!$C:$C,0)),"—"))</f>
        <v/>
      </c>
      <c r="K137" s="101">
        <f>IFERROR(INDEX(_ZIG_Cadastro!$C:$C,MATCH(I137,_ZIG_Cadastro!$A:$A,0)),IFERROR(INDEX(_Entradas_ZIG!$D:$D,MATCH(I137,_Entradas_ZIG!$C:$C,0)),"—"))</f>
        <v/>
      </c>
      <c r="L137" s="99">
        <f>IF(I137="","Sem SKU ZIG",IF(I137="—","Sem SKU ZIG",IF(NOT(ISERROR(MATCH(I137,_ZIG_Cadastro!$A:$A,0))),IF(EXACT(UPPER(TRIM(C137)),UPPER(TRIM(INDEX(_ZIG_Cadastro!$B:$B,MATCH(I137,_ZIG_Cadastro!$A:$A,0))))),"OK","Atencao - Nome diverge"),IF(NOT(ISERROR(MATCH(I137,_Entradas_ZIG!$C:$C,0))),"OK","Erro - SKU nao encontrado"))))</f>
        <v/>
      </c>
      <c r="M137" s="99">
        <f>IFERROR(INDEX(_ZIG_Cadastro!$G:$G,MATCH(I137,_ZIG_Cadastro!$A:$A,0)),IF(NOT(ISERROR(MATCH(I137,_Entradas_ZIG!$C:$C,0))),"Ativo","—"))</f>
        <v/>
      </c>
      <c r="N137" s="102">
        <f>IFERROR(INDEX(_ZIG_Cadastro!$E:$E,MATCH(I137,_ZIG_Cadastro!$A:$A,0)),IFERROR(INDEX(_Entradas_ZIG!$F:$F,MATCH(I137,_Entradas_ZIG!$C:$C,0)),"—"))</f>
        <v/>
      </c>
      <c r="O137" s="99">
        <f>IF(AND(ISNUMBER(SEARCH("Espeto",N137)),ISNUMBER(SEARCH("Carin",N137))),"SIM","")</f>
        <v/>
      </c>
      <c r="P137" s="99">
        <f>IF(AND(ISNUMBER(SEARCH("Espeto",N137)),ISNUMBER(SEARCH("Lapa",N137))),"SIM","")</f>
        <v/>
      </c>
      <c r="Q137" s="99">
        <f>IF(AND(ISNUMBER(SEARCH("Espeto",N137)),ISNUMBER(SEARCH("Tatuapé",N137))),"SIM","")</f>
        <v/>
      </c>
      <c r="R137" s="99">
        <f>IF(AND(ISNUMBER(SEARCH("Espeto",N137)),ISNUMBER(SEARCH("Pavão",N137))),"SIM","")</f>
        <v/>
      </c>
      <c r="S137" s="99">
        <f>IF(AND(ISNUMBER(SEARCH("Espeto",N137)),ISNUMBER(SEARCH("Chac",N137))),"SIM","")</f>
        <v/>
      </c>
      <c r="T137" s="99">
        <f>IF(AND(ISNUMBER(SEARCH("Espeto",N137)),ISNUMBER(SEARCH("Madalena",N137))),"SIM","")</f>
        <v/>
      </c>
      <c r="U137" s="99">
        <f>IF(AND(ISNUMBER(SEARCH("Espeto",N137)),ISNUMBER(SEARCH("Mariana",N137))),"SIM","")</f>
        <v/>
      </c>
      <c r="V137" s="99">
        <f>IF(AND(ISNUMBER(SEARCH("Espeto",N137)),ISNUMBER(SEARCH("Perdizes",N137))),"SIM","")</f>
        <v/>
      </c>
      <c r="W137" s="99">
        <f>IF(AND(ISNUMBER(SEARCH("Espeto",N137)),ISNUMBER(SEARCH("Santana",N137))),"SIM","")</f>
        <v/>
      </c>
      <c r="X137" s="99">
        <f>IF(AND(ISNUMBER(SEARCH("Espeto",N137)),ISNUMBER(SEARCH("André",N137))),"SIM","")</f>
        <v/>
      </c>
      <c r="Y137" s="99">
        <f>IF(AND(ISNUMBER(SEARCH("Delivery",N137)),ISNUMBER(SEARCH("Carin",N137))),"SIM","")</f>
        <v/>
      </c>
      <c r="Z137" s="99">
        <f>IF(AND(ISNUMBER(SEARCH("Delivery",N137)),ISNUMBER(SEARCH("Lapa",N137))),"SIM","")</f>
        <v/>
      </c>
      <c r="AA137" s="99">
        <f>IF(AND(ISNUMBER(SEARCH("Delivery",N137)),ISNUMBER(SEARCH("Tatuapé",N137))),"SIM","")</f>
        <v/>
      </c>
      <c r="AB137" s="99">
        <f>IF(AND(ISNUMBER(SEARCH("Delivery",N137)),ISNUMBER(SEARCH("Pavão",N137))),"SIM","")</f>
        <v/>
      </c>
      <c r="AC137" s="99">
        <f>IF(AND(ISNUMBER(SEARCH("Delivery",N137)),ISNUMBER(SEARCH("Chac",N137))),"SIM","")</f>
        <v/>
      </c>
      <c r="AD137" s="99">
        <f>IF(AND(ISNUMBER(SEARCH("Delivery",N137)),ISNUMBER(SEARCH("Madalena",N137))),"SIM","")</f>
        <v/>
      </c>
      <c r="AE137" s="99">
        <f>IF(AND(ISNUMBER(SEARCH("Delivery",N137)),ISNUMBER(SEARCH("Mariana",N137))),"SIM","")</f>
        <v/>
      </c>
      <c r="AF137" s="99">
        <f>IF(AND(ISNUMBER(SEARCH("Delivery",N137)),ISNUMBER(SEARCH("Perdizes",N137))),"SIM","")</f>
        <v/>
      </c>
      <c r="AG137" s="99">
        <f>IF(AND(ISNUMBER(SEARCH("Delivery",N137)),ISNUMBER(SEARCH("Santana",N137))),"SIM","")</f>
        <v/>
      </c>
      <c r="AH137" s="99">
        <f>IF(AND(ISNUMBER(SEARCH("Delivery",N137)),ISNUMBER(SEARCH("André",N137))),"SIM","")</f>
        <v/>
      </c>
      <c r="AI137" s="99">
        <f>IF(ISNUMBER(SEARCH("Interlagos",N137)),"SIM","")</f>
        <v/>
      </c>
      <c r="AJ137" s="99">
        <f>IF(ISNUMBER(SEARCH("Quiosque",N137)),"SIM","")</f>
        <v/>
      </c>
      <c r="AK137" s="101" t="n"/>
    </row>
    <row r="138">
      <c r="A138" s="88" t="inlineStr">
        <is>
          <t>Protheus</t>
        </is>
      </c>
      <c r="B138" s="89" t="inlineStr">
        <is>
          <t>000003</t>
        </is>
      </c>
      <c r="C138" s="90">
        <f>IF(B138="—","—",IFERROR(VLOOKUP(B138,_Protheus_Cadastro!$A:$B,2,FALSE),"—"))</f>
        <v/>
      </c>
      <c r="D138" s="91">
        <f>IF(B138="—",IFERROR(INDEX(_ZIG_Cadastro!$D:$D,MATCH(H138,_ZIG_Cadastro!$A:$A,0)),"Produto"),IFERROR(VLOOKUP(B138,_Protheus_Cadastro!$A:$C,3,FALSE),"—"))</f>
        <v/>
      </c>
      <c r="E138" s="91">
        <f>IF(B138="—","—",IFERROR(VLOOKUP(B138,_Protheus_Cadastro!$A:$D,4,FALSE),"—"))</f>
        <v/>
      </c>
      <c r="F138" s="91">
        <f>IF(ISERROR(VLOOKUP(B138,'Estrutura Protheus'!A:A,1,FALSE)),"Não","Sim")</f>
        <v/>
      </c>
      <c r="G138" s="92">
        <f>IFERROR(INDEX(_Protheus_Cadastro!$H:$H,MATCH(B138,_Protheus_Cadastro!$A:$A,0)),"—")</f>
        <v/>
      </c>
      <c r="H138" s="210">
        <f>IFERROR(INDEX(_ZIG_Precos!$D:$D,MATCH(I138,_ZIG_Precos!$F:$F,0)),"—")</f>
        <v/>
      </c>
      <c r="I138" s="95">
        <f>IFERROR(VLOOKUP(B138,_Protheus_Cadastro!$A:$I,9,FALSE),"—")</f>
        <v/>
      </c>
      <c r="J138" s="93">
        <f>IFERROR(INDEX(_ZIG_Cadastro!$B:$B,MATCH(I138,_ZIG_Cadastro!$A:$A,0)),IFERROR(INDEX(_Entradas_ZIG!$B:$B,MATCH(I138,_Entradas_ZIG!$C:$C,0)),"—"))</f>
        <v/>
      </c>
      <c r="K138" s="93">
        <f>IFERROR(INDEX(_ZIG_Cadastro!$C:$C,MATCH(I138,_ZIG_Cadastro!$A:$A,0)),IFERROR(INDEX(_Entradas_ZIG!$D:$D,MATCH(I138,_Entradas_ZIG!$C:$C,0)),"—"))</f>
        <v/>
      </c>
      <c r="L138" s="92">
        <f>IF(I138="","Sem SKU ZIG",IF(I138="—","Sem SKU ZIG",IF(NOT(ISERROR(MATCH(I138,_ZIG_Cadastro!$A:$A,0))),IF(EXACT(UPPER(TRIM(C138)),UPPER(TRIM(INDEX(_ZIG_Cadastro!$B:$B,MATCH(I138,_ZIG_Cadastro!$A:$A,0))))),"OK","Atencao - Nome diverge"),IF(NOT(ISERROR(MATCH(I138,_Entradas_ZIG!$C:$C,0))),"OK","Erro - SKU nao encontrado"))))</f>
        <v/>
      </c>
      <c r="M138" s="92">
        <f>IFERROR(INDEX(_ZIG_Cadastro!$G:$G,MATCH(I138,_ZIG_Cadastro!$A:$A,0)),IF(NOT(ISERROR(MATCH(I138,_Entradas_ZIG!$C:$C,0))),"Ativo","—"))</f>
        <v/>
      </c>
      <c r="N138" s="94">
        <f>IFERROR(INDEX(_ZIG_Cadastro!$E:$E,MATCH(I138,_ZIG_Cadastro!$A:$A,0)),IFERROR(INDEX(_Entradas_ZIG!$F:$F,MATCH(I138,_Entradas_ZIG!$C:$C,0)),"—"))</f>
        <v/>
      </c>
      <c r="O138" s="92">
        <f>IF(AND(ISNUMBER(SEARCH("Espeto",N138)),ISNUMBER(SEARCH("Carin",N138))),"SIM","")</f>
        <v/>
      </c>
      <c r="P138" s="92">
        <f>IF(AND(ISNUMBER(SEARCH("Espeto",N138)),ISNUMBER(SEARCH("Lapa",N138))),"SIM","")</f>
        <v/>
      </c>
      <c r="Q138" s="92">
        <f>IF(AND(ISNUMBER(SEARCH("Espeto",N138)),ISNUMBER(SEARCH("Tatuapé",N138))),"SIM","")</f>
        <v/>
      </c>
      <c r="R138" s="92">
        <f>IF(AND(ISNUMBER(SEARCH("Espeto",N138)),ISNUMBER(SEARCH("Pavão",N138))),"SIM","")</f>
        <v/>
      </c>
      <c r="S138" s="92">
        <f>IF(AND(ISNUMBER(SEARCH("Espeto",N138)),ISNUMBER(SEARCH("Chac",N138))),"SIM","")</f>
        <v/>
      </c>
      <c r="T138" s="92">
        <f>IF(AND(ISNUMBER(SEARCH("Espeto",N138)),ISNUMBER(SEARCH("Madalena",N138))),"SIM","")</f>
        <v/>
      </c>
      <c r="U138" s="92">
        <f>IF(AND(ISNUMBER(SEARCH("Espeto",N138)),ISNUMBER(SEARCH("Mariana",N138))),"SIM","")</f>
        <v/>
      </c>
      <c r="V138" s="92">
        <f>IF(AND(ISNUMBER(SEARCH("Espeto",N138)),ISNUMBER(SEARCH("Perdizes",N138))),"SIM","")</f>
        <v/>
      </c>
      <c r="W138" s="92">
        <f>IF(AND(ISNUMBER(SEARCH("Espeto",N138)),ISNUMBER(SEARCH("Santana",N138))),"SIM","")</f>
        <v/>
      </c>
      <c r="X138" s="92">
        <f>IF(AND(ISNUMBER(SEARCH("Espeto",N138)),ISNUMBER(SEARCH("André",N138))),"SIM","")</f>
        <v/>
      </c>
      <c r="Y138" s="92">
        <f>IF(AND(ISNUMBER(SEARCH("Delivery",N138)),ISNUMBER(SEARCH("Carin",N138))),"SIM","")</f>
        <v/>
      </c>
      <c r="Z138" s="92">
        <f>IF(AND(ISNUMBER(SEARCH("Delivery",N138)),ISNUMBER(SEARCH("Lapa",N138))),"SIM","")</f>
        <v/>
      </c>
      <c r="AA138" s="92">
        <f>IF(AND(ISNUMBER(SEARCH("Delivery",N138)),ISNUMBER(SEARCH("Tatuapé",N138))),"SIM","")</f>
        <v/>
      </c>
      <c r="AB138" s="92">
        <f>IF(AND(ISNUMBER(SEARCH("Delivery",N138)),ISNUMBER(SEARCH("Pavão",N138))),"SIM","")</f>
        <v/>
      </c>
      <c r="AC138" s="92">
        <f>IF(AND(ISNUMBER(SEARCH("Delivery",N138)),ISNUMBER(SEARCH("Chac",N138))),"SIM","")</f>
        <v/>
      </c>
      <c r="AD138" s="92">
        <f>IF(AND(ISNUMBER(SEARCH("Delivery",N138)),ISNUMBER(SEARCH("Madalena",N138))),"SIM","")</f>
        <v/>
      </c>
      <c r="AE138" s="92">
        <f>IF(AND(ISNUMBER(SEARCH("Delivery",N138)),ISNUMBER(SEARCH("Mariana",N138))),"SIM","")</f>
        <v/>
      </c>
      <c r="AF138" s="92">
        <f>IF(AND(ISNUMBER(SEARCH("Delivery",N138)),ISNUMBER(SEARCH("Perdizes",N138))),"SIM","")</f>
        <v/>
      </c>
      <c r="AG138" s="92">
        <f>IF(AND(ISNUMBER(SEARCH("Delivery",N138)),ISNUMBER(SEARCH("Santana",N138))),"SIM","")</f>
        <v/>
      </c>
      <c r="AH138" s="92">
        <f>IF(AND(ISNUMBER(SEARCH("Delivery",N138)),ISNUMBER(SEARCH("André",N138))),"SIM","")</f>
        <v/>
      </c>
      <c r="AI138" s="92">
        <f>IF(ISNUMBER(SEARCH("Interlagos",N138)),"SIM","")</f>
        <v/>
      </c>
      <c r="AJ138" s="92">
        <f>IF(ISNUMBER(SEARCH("Quiosque",N138)),"SIM","")</f>
        <v/>
      </c>
      <c r="AK138" s="93" t="n"/>
    </row>
    <row r="139">
      <c r="A139" s="88" t="inlineStr">
        <is>
          <t>Protheus</t>
        </is>
      </c>
      <c r="B139" s="96" t="inlineStr">
        <is>
          <t>001340</t>
        </is>
      </c>
      <c r="C139" s="97">
        <f>IF(B139="—","—",IFERROR(VLOOKUP(B139,_Protheus_Cadastro!$A:$B,2,FALSE),"—"))</f>
        <v/>
      </c>
      <c r="D139" s="98">
        <f>IF(B139="—",IFERROR(INDEX(_ZIG_Cadastro!$D:$D,MATCH(H139,_ZIG_Cadastro!$A:$A,0)),"Produto"),IFERROR(VLOOKUP(B139,_Protheus_Cadastro!$A:$C,3,FALSE),"—"))</f>
        <v/>
      </c>
      <c r="E139" s="98">
        <f>IF(B139="—","—",IFERROR(VLOOKUP(B139,_Protheus_Cadastro!$A:$D,4,FALSE),"—"))</f>
        <v/>
      </c>
      <c r="F139" s="98">
        <f>IF(ISERROR(VLOOKUP(B139,'Estrutura Protheus'!A:A,1,FALSE)),"Não","Sim")</f>
        <v/>
      </c>
      <c r="G139" s="99">
        <f>IFERROR(INDEX(_Protheus_Cadastro!$H:$H,MATCH(B139,_Protheus_Cadastro!$A:$A,0)),"—")</f>
        <v/>
      </c>
      <c r="H139" s="211">
        <f>IFERROR(INDEX(_ZIG_Precos!$D:$D,MATCH(I139,_ZIG_Precos!$F:$F,0)),"—")</f>
        <v/>
      </c>
      <c r="I139" s="103">
        <f>IFERROR(VLOOKUP(B139,_Protheus_Cadastro!$A:$I,9,FALSE),"—")</f>
        <v/>
      </c>
      <c r="J139" s="101">
        <f>IFERROR(INDEX(_ZIG_Cadastro!$B:$B,MATCH(I139,_ZIG_Cadastro!$A:$A,0)),IFERROR(INDEX(_Entradas_ZIG!$B:$B,MATCH(I139,_Entradas_ZIG!$C:$C,0)),"—"))</f>
        <v/>
      </c>
      <c r="K139" s="101">
        <f>IFERROR(INDEX(_ZIG_Cadastro!$C:$C,MATCH(I139,_ZIG_Cadastro!$A:$A,0)),IFERROR(INDEX(_Entradas_ZIG!$D:$D,MATCH(I139,_Entradas_ZIG!$C:$C,0)),"—"))</f>
        <v/>
      </c>
      <c r="L139" s="99">
        <f>IF(I139="","Sem SKU ZIG",IF(I139="—","Sem SKU ZIG",IF(NOT(ISERROR(MATCH(I139,_ZIG_Cadastro!$A:$A,0))),IF(EXACT(UPPER(TRIM(C139)),UPPER(TRIM(INDEX(_ZIG_Cadastro!$B:$B,MATCH(I139,_ZIG_Cadastro!$A:$A,0))))),"OK","Atencao - Nome diverge"),IF(NOT(ISERROR(MATCH(I139,_Entradas_ZIG!$C:$C,0))),"OK","Erro - SKU nao encontrado"))))</f>
        <v/>
      </c>
      <c r="M139" s="99">
        <f>IFERROR(INDEX(_ZIG_Cadastro!$G:$G,MATCH(I139,_ZIG_Cadastro!$A:$A,0)),IF(NOT(ISERROR(MATCH(I139,_Entradas_ZIG!$C:$C,0))),"Ativo","—"))</f>
        <v/>
      </c>
      <c r="N139" s="102">
        <f>IFERROR(INDEX(_ZIG_Cadastro!$E:$E,MATCH(I139,_ZIG_Cadastro!$A:$A,0)),IFERROR(INDEX(_Entradas_ZIG!$F:$F,MATCH(I139,_Entradas_ZIG!$C:$C,0)),"—"))</f>
        <v/>
      </c>
      <c r="O139" s="99">
        <f>IF(AND(ISNUMBER(SEARCH("Espeto",N139)),ISNUMBER(SEARCH("Carin",N139))),"SIM","")</f>
        <v/>
      </c>
      <c r="P139" s="99">
        <f>IF(AND(ISNUMBER(SEARCH("Espeto",N139)),ISNUMBER(SEARCH("Lapa",N139))),"SIM","")</f>
        <v/>
      </c>
      <c r="Q139" s="99">
        <f>IF(AND(ISNUMBER(SEARCH("Espeto",N139)),ISNUMBER(SEARCH("Tatuapé",N139))),"SIM","")</f>
        <v/>
      </c>
      <c r="R139" s="99">
        <f>IF(AND(ISNUMBER(SEARCH("Espeto",N139)),ISNUMBER(SEARCH("Pavão",N139))),"SIM","")</f>
        <v/>
      </c>
      <c r="S139" s="99">
        <f>IF(AND(ISNUMBER(SEARCH("Espeto",N139)),ISNUMBER(SEARCH("Chac",N139))),"SIM","")</f>
        <v/>
      </c>
      <c r="T139" s="99">
        <f>IF(AND(ISNUMBER(SEARCH("Espeto",N139)),ISNUMBER(SEARCH("Madalena",N139))),"SIM","")</f>
        <v/>
      </c>
      <c r="U139" s="99">
        <f>IF(AND(ISNUMBER(SEARCH("Espeto",N139)),ISNUMBER(SEARCH("Mariana",N139))),"SIM","")</f>
        <v/>
      </c>
      <c r="V139" s="99">
        <f>IF(AND(ISNUMBER(SEARCH("Espeto",N139)),ISNUMBER(SEARCH("Perdizes",N139))),"SIM","")</f>
        <v/>
      </c>
      <c r="W139" s="99">
        <f>IF(AND(ISNUMBER(SEARCH("Espeto",N139)),ISNUMBER(SEARCH("Santana",N139))),"SIM","")</f>
        <v/>
      </c>
      <c r="X139" s="99">
        <f>IF(AND(ISNUMBER(SEARCH("Espeto",N139)),ISNUMBER(SEARCH("André",N139))),"SIM","")</f>
        <v/>
      </c>
      <c r="Y139" s="99">
        <f>IF(AND(ISNUMBER(SEARCH("Delivery",N139)),ISNUMBER(SEARCH("Carin",N139))),"SIM","")</f>
        <v/>
      </c>
      <c r="Z139" s="99">
        <f>IF(AND(ISNUMBER(SEARCH("Delivery",N139)),ISNUMBER(SEARCH("Lapa",N139))),"SIM","")</f>
        <v/>
      </c>
      <c r="AA139" s="99">
        <f>IF(AND(ISNUMBER(SEARCH("Delivery",N139)),ISNUMBER(SEARCH("Tatuapé",N139))),"SIM","")</f>
        <v/>
      </c>
      <c r="AB139" s="99">
        <f>IF(AND(ISNUMBER(SEARCH("Delivery",N139)),ISNUMBER(SEARCH("Pavão",N139))),"SIM","")</f>
        <v/>
      </c>
      <c r="AC139" s="99">
        <f>IF(AND(ISNUMBER(SEARCH("Delivery",N139)),ISNUMBER(SEARCH("Chac",N139))),"SIM","")</f>
        <v/>
      </c>
      <c r="AD139" s="99">
        <f>IF(AND(ISNUMBER(SEARCH("Delivery",N139)),ISNUMBER(SEARCH("Madalena",N139))),"SIM","")</f>
        <v/>
      </c>
      <c r="AE139" s="99">
        <f>IF(AND(ISNUMBER(SEARCH("Delivery",N139)),ISNUMBER(SEARCH("Mariana",N139))),"SIM","")</f>
        <v/>
      </c>
      <c r="AF139" s="99">
        <f>IF(AND(ISNUMBER(SEARCH("Delivery",N139)),ISNUMBER(SEARCH("Perdizes",N139))),"SIM","")</f>
        <v/>
      </c>
      <c r="AG139" s="99">
        <f>IF(AND(ISNUMBER(SEARCH("Delivery",N139)),ISNUMBER(SEARCH("Santana",N139))),"SIM","")</f>
        <v/>
      </c>
      <c r="AH139" s="99">
        <f>IF(AND(ISNUMBER(SEARCH("Delivery",N139)),ISNUMBER(SEARCH("André",N139))),"SIM","")</f>
        <v/>
      </c>
      <c r="AI139" s="99">
        <f>IF(ISNUMBER(SEARCH("Interlagos",N139)),"SIM","")</f>
        <v/>
      </c>
      <c r="AJ139" s="99">
        <f>IF(ISNUMBER(SEARCH("Quiosque",N139)),"SIM","")</f>
        <v/>
      </c>
      <c r="AK139" s="101" t="n"/>
    </row>
    <row r="140">
      <c r="A140" s="88" t="inlineStr">
        <is>
          <t>Protheus</t>
        </is>
      </c>
      <c r="B140" s="89" t="inlineStr">
        <is>
          <t>001341</t>
        </is>
      </c>
      <c r="C140" s="90">
        <f>IF(B140="—","—",IFERROR(VLOOKUP(B140,_Protheus_Cadastro!$A:$B,2,FALSE),"—"))</f>
        <v/>
      </c>
      <c r="D140" s="91">
        <f>IF(B140="—",IFERROR(INDEX(_ZIG_Cadastro!$D:$D,MATCH(H140,_ZIG_Cadastro!$A:$A,0)),"Produto"),IFERROR(VLOOKUP(B140,_Protheus_Cadastro!$A:$C,3,FALSE),"—"))</f>
        <v/>
      </c>
      <c r="E140" s="91">
        <f>IF(B140="—","—",IFERROR(VLOOKUP(B140,_Protheus_Cadastro!$A:$D,4,FALSE),"—"))</f>
        <v/>
      </c>
      <c r="F140" s="91">
        <f>IF(ISERROR(VLOOKUP(B140,'Estrutura Protheus'!A:A,1,FALSE)),"Não","Sim")</f>
        <v/>
      </c>
      <c r="G140" s="92">
        <f>IFERROR(INDEX(_Protheus_Cadastro!$H:$H,MATCH(B140,_Protheus_Cadastro!$A:$A,0)),"—")</f>
        <v/>
      </c>
      <c r="H140" s="210">
        <f>IFERROR(INDEX(_ZIG_Precos!$D:$D,MATCH(I140,_ZIG_Precos!$F:$F,0)),"—")</f>
        <v/>
      </c>
      <c r="I140" s="95">
        <f>IFERROR(VLOOKUP(B140,_Protheus_Cadastro!$A:$I,9,FALSE),"—")</f>
        <v/>
      </c>
      <c r="J140" s="93">
        <f>IFERROR(INDEX(_ZIG_Cadastro!$B:$B,MATCH(I140,_ZIG_Cadastro!$A:$A,0)),IFERROR(INDEX(_Entradas_ZIG!$B:$B,MATCH(I140,_Entradas_ZIG!$C:$C,0)),"—"))</f>
        <v/>
      </c>
      <c r="K140" s="93">
        <f>IFERROR(INDEX(_ZIG_Cadastro!$C:$C,MATCH(I140,_ZIG_Cadastro!$A:$A,0)),IFERROR(INDEX(_Entradas_ZIG!$D:$D,MATCH(I140,_Entradas_ZIG!$C:$C,0)),"—"))</f>
        <v/>
      </c>
      <c r="L140" s="92">
        <f>IF(I140="","Sem SKU ZIG",IF(I140="—","Sem SKU ZIG",IF(NOT(ISERROR(MATCH(I140,_ZIG_Cadastro!$A:$A,0))),IF(EXACT(UPPER(TRIM(C140)),UPPER(TRIM(INDEX(_ZIG_Cadastro!$B:$B,MATCH(I140,_ZIG_Cadastro!$A:$A,0))))),"OK","Atencao - Nome diverge"),IF(NOT(ISERROR(MATCH(I140,_Entradas_ZIG!$C:$C,0))),"OK","Erro - SKU nao encontrado"))))</f>
        <v/>
      </c>
      <c r="M140" s="92">
        <f>IFERROR(INDEX(_ZIG_Cadastro!$G:$G,MATCH(I140,_ZIG_Cadastro!$A:$A,0)),IF(NOT(ISERROR(MATCH(I140,_Entradas_ZIG!$C:$C,0))),"Ativo","—"))</f>
        <v/>
      </c>
      <c r="N140" s="94">
        <f>IFERROR(INDEX(_ZIG_Cadastro!$E:$E,MATCH(I140,_ZIG_Cadastro!$A:$A,0)),IFERROR(INDEX(_Entradas_ZIG!$F:$F,MATCH(I140,_Entradas_ZIG!$C:$C,0)),"—"))</f>
        <v/>
      </c>
      <c r="O140" s="92">
        <f>IF(AND(ISNUMBER(SEARCH("Espeto",N140)),ISNUMBER(SEARCH("Carin",N140))),"SIM","")</f>
        <v/>
      </c>
      <c r="P140" s="92">
        <f>IF(AND(ISNUMBER(SEARCH("Espeto",N140)),ISNUMBER(SEARCH("Lapa",N140))),"SIM","")</f>
        <v/>
      </c>
      <c r="Q140" s="92">
        <f>IF(AND(ISNUMBER(SEARCH("Espeto",N140)),ISNUMBER(SEARCH("Tatuapé",N140))),"SIM","")</f>
        <v/>
      </c>
      <c r="R140" s="92">
        <f>IF(AND(ISNUMBER(SEARCH("Espeto",N140)),ISNUMBER(SEARCH("Pavão",N140))),"SIM","")</f>
        <v/>
      </c>
      <c r="S140" s="92">
        <f>IF(AND(ISNUMBER(SEARCH("Espeto",N140)),ISNUMBER(SEARCH("Chac",N140))),"SIM","")</f>
        <v/>
      </c>
      <c r="T140" s="92">
        <f>IF(AND(ISNUMBER(SEARCH("Espeto",N140)),ISNUMBER(SEARCH("Madalena",N140))),"SIM","")</f>
        <v/>
      </c>
      <c r="U140" s="92">
        <f>IF(AND(ISNUMBER(SEARCH("Espeto",N140)),ISNUMBER(SEARCH("Mariana",N140))),"SIM","")</f>
        <v/>
      </c>
      <c r="V140" s="92">
        <f>IF(AND(ISNUMBER(SEARCH("Espeto",N140)),ISNUMBER(SEARCH("Perdizes",N140))),"SIM","")</f>
        <v/>
      </c>
      <c r="W140" s="92">
        <f>IF(AND(ISNUMBER(SEARCH("Espeto",N140)),ISNUMBER(SEARCH("Santana",N140))),"SIM","")</f>
        <v/>
      </c>
      <c r="X140" s="92">
        <f>IF(AND(ISNUMBER(SEARCH("Espeto",N140)),ISNUMBER(SEARCH("André",N140))),"SIM","")</f>
        <v/>
      </c>
      <c r="Y140" s="92">
        <f>IF(AND(ISNUMBER(SEARCH("Delivery",N140)),ISNUMBER(SEARCH("Carin",N140))),"SIM","")</f>
        <v/>
      </c>
      <c r="Z140" s="92">
        <f>IF(AND(ISNUMBER(SEARCH("Delivery",N140)),ISNUMBER(SEARCH("Lapa",N140))),"SIM","")</f>
        <v/>
      </c>
      <c r="AA140" s="92">
        <f>IF(AND(ISNUMBER(SEARCH("Delivery",N140)),ISNUMBER(SEARCH("Tatuapé",N140))),"SIM","")</f>
        <v/>
      </c>
      <c r="AB140" s="92">
        <f>IF(AND(ISNUMBER(SEARCH("Delivery",N140)),ISNUMBER(SEARCH("Pavão",N140))),"SIM","")</f>
        <v/>
      </c>
      <c r="AC140" s="92">
        <f>IF(AND(ISNUMBER(SEARCH("Delivery",N140)),ISNUMBER(SEARCH("Chac",N140))),"SIM","")</f>
        <v/>
      </c>
      <c r="AD140" s="92">
        <f>IF(AND(ISNUMBER(SEARCH("Delivery",N140)),ISNUMBER(SEARCH("Madalena",N140))),"SIM","")</f>
        <v/>
      </c>
      <c r="AE140" s="92">
        <f>IF(AND(ISNUMBER(SEARCH("Delivery",N140)),ISNUMBER(SEARCH("Mariana",N140))),"SIM","")</f>
        <v/>
      </c>
      <c r="AF140" s="92">
        <f>IF(AND(ISNUMBER(SEARCH("Delivery",N140)),ISNUMBER(SEARCH("Perdizes",N140))),"SIM","")</f>
        <v/>
      </c>
      <c r="AG140" s="92">
        <f>IF(AND(ISNUMBER(SEARCH("Delivery",N140)),ISNUMBER(SEARCH("Santana",N140))),"SIM","")</f>
        <v/>
      </c>
      <c r="AH140" s="92">
        <f>IF(AND(ISNUMBER(SEARCH("Delivery",N140)),ISNUMBER(SEARCH("André",N140))),"SIM","")</f>
        <v/>
      </c>
      <c r="AI140" s="92">
        <f>IF(ISNUMBER(SEARCH("Interlagos",N140)),"SIM","")</f>
        <v/>
      </c>
      <c r="AJ140" s="92">
        <f>IF(ISNUMBER(SEARCH("Quiosque",N140)),"SIM","")</f>
        <v/>
      </c>
      <c r="AK140" s="93" t="n"/>
    </row>
    <row r="141">
      <c r="A141" s="88" t="inlineStr">
        <is>
          <t>Protheus</t>
        </is>
      </c>
      <c r="B141" s="96" t="inlineStr">
        <is>
          <t>000364</t>
        </is>
      </c>
      <c r="C141" s="97">
        <f>IF(B141="—","—",IFERROR(VLOOKUP(B141,_Protheus_Cadastro!$A:$B,2,FALSE),"—"))</f>
        <v/>
      </c>
      <c r="D141" s="98">
        <f>IF(B141="—",IFERROR(INDEX(_ZIG_Cadastro!$D:$D,MATCH(H141,_ZIG_Cadastro!$A:$A,0)),"Produto"),IFERROR(VLOOKUP(B141,_Protheus_Cadastro!$A:$C,3,FALSE),"—"))</f>
        <v/>
      </c>
      <c r="E141" s="98">
        <f>IF(B141="—","—",IFERROR(VLOOKUP(B141,_Protheus_Cadastro!$A:$D,4,FALSE),"—"))</f>
        <v/>
      </c>
      <c r="F141" s="98">
        <f>IF(ISERROR(VLOOKUP(B141,'Estrutura Protheus'!A:A,1,FALSE)),"Não","Sim")</f>
        <v/>
      </c>
      <c r="G141" s="99">
        <f>IFERROR(INDEX(_Protheus_Cadastro!$H:$H,MATCH(B141,_Protheus_Cadastro!$A:$A,0)),"—")</f>
        <v/>
      </c>
      <c r="H141" s="211">
        <f>IFERROR(INDEX(_ZIG_Precos!$D:$D,MATCH(I141,_ZIG_Precos!$F:$F,0)),"—")</f>
        <v/>
      </c>
      <c r="I141" s="103">
        <f>IFERROR(VLOOKUP(B141,_Protheus_Cadastro!$A:$I,9,FALSE),"—")</f>
        <v/>
      </c>
      <c r="J141" s="101">
        <f>IFERROR(INDEX(_ZIG_Cadastro!$B:$B,MATCH(I141,_ZIG_Cadastro!$A:$A,0)),IFERROR(INDEX(_Entradas_ZIG!$B:$B,MATCH(I141,_Entradas_ZIG!$C:$C,0)),"—"))</f>
        <v/>
      </c>
      <c r="K141" s="101">
        <f>IFERROR(INDEX(_ZIG_Cadastro!$C:$C,MATCH(I141,_ZIG_Cadastro!$A:$A,0)),IFERROR(INDEX(_Entradas_ZIG!$D:$D,MATCH(I141,_Entradas_ZIG!$C:$C,0)),"—"))</f>
        <v/>
      </c>
      <c r="L141" s="99">
        <f>IF(I141="","Sem SKU ZIG",IF(I141="—","Sem SKU ZIG",IF(NOT(ISERROR(MATCH(I141,_ZIG_Cadastro!$A:$A,0))),IF(EXACT(UPPER(TRIM(C141)),UPPER(TRIM(INDEX(_ZIG_Cadastro!$B:$B,MATCH(I141,_ZIG_Cadastro!$A:$A,0))))),"OK","Atencao - Nome diverge"),IF(NOT(ISERROR(MATCH(I141,_Entradas_ZIG!$C:$C,0))),"OK","Erro - SKU nao encontrado"))))</f>
        <v/>
      </c>
      <c r="M141" s="99">
        <f>IFERROR(INDEX(_ZIG_Cadastro!$G:$G,MATCH(I141,_ZIG_Cadastro!$A:$A,0)),IF(NOT(ISERROR(MATCH(I141,_Entradas_ZIG!$C:$C,0))),"Ativo","—"))</f>
        <v/>
      </c>
      <c r="N141" s="102">
        <f>IFERROR(INDEX(_ZIG_Cadastro!$E:$E,MATCH(I141,_ZIG_Cadastro!$A:$A,0)),IFERROR(INDEX(_Entradas_ZIG!$F:$F,MATCH(I141,_Entradas_ZIG!$C:$C,0)),"—"))</f>
        <v/>
      </c>
      <c r="O141" s="99">
        <f>IF(AND(ISNUMBER(SEARCH("Espeto",N141)),ISNUMBER(SEARCH("Carin",N141))),"SIM","")</f>
        <v/>
      </c>
      <c r="P141" s="99">
        <f>IF(AND(ISNUMBER(SEARCH("Espeto",N141)),ISNUMBER(SEARCH("Lapa",N141))),"SIM","")</f>
        <v/>
      </c>
      <c r="Q141" s="99">
        <f>IF(AND(ISNUMBER(SEARCH("Espeto",N141)),ISNUMBER(SEARCH("Tatuapé",N141))),"SIM","")</f>
        <v/>
      </c>
      <c r="R141" s="99">
        <f>IF(AND(ISNUMBER(SEARCH("Espeto",N141)),ISNUMBER(SEARCH("Pavão",N141))),"SIM","")</f>
        <v/>
      </c>
      <c r="S141" s="99">
        <f>IF(AND(ISNUMBER(SEARCH("Espeto",N141)),ISNUMBER(SEARCH("Chac",N141))),"SIM","")</f>
        <v/>
      </c>
      <c r="T141" s="99">
        <f>IF(AND(ISNUMBER(SEARCH("Espeto",N141)),ISNUMBER(SEARCH("Madalena",N141))),"SIM","")</f>
        <v/>
      </c>
      <c r="U141" s="99">
        <f>IF(AND(ISNUMBER(SEARCH("Espeto",N141)),ISNUMBER(SEARCH("Mariana",N141))),"SIM","")</f>
        <v/>
      </c>
      <c r="V141" s="99">
        <f>IF(AND(ISNUMBER(SEARCH("Espeto",N141)),ISNUMBER(SEARCH("Perdizes",N141))),"SIM","")</f>
        <v/>
      </c>
      <c r="W141" s="99">
        <f>IF(AND(ISNUMBER(SEARCH("Espeto",N141)),ISNUMBER(SEARCH("Santana",N141))),"SIM","")</f>
        <v/>
      </c>
      <c r="X141" s="99">
        <f>IF(AND(ISNUMBER(SEARCH("Espeto",N141)),ISNUMBER(SEARCH("André",N141))),"SIM","")</f>
        <v/>
      </c>
      <c r="Y141" s="99">
        <f>IF(AND(ISNUMBER(SEARCH("Delivery",N141)),ISNUMBER(SEARCH("Carin",N141))),"SIM","")</f>
        <v/>
      </c>
      <c r="Z141" s="99">
        <f>IF(AND(ISNUMBER(SEARCH("Delivery",N141)),ISNUMBER(SEARCH("Lapa",N141))),"SIM","")</f>
        <v/>
      </c>
      <c r="AA141" s="99">
        <f>IF(AND(ISNUMBER(SEARCH("Delivery",N141)),ISNUMBER(SEARCH("Tatuapé",N141))),"SIM","")</f>
        <v/>
      </c>
      <c r="AB141" s="99">
        <f>IF(AND(ISNUMBER(SEARCH("Delivery",N141)),ISNUMBER(SEARCH("Pavão",N141))),"SIM","")</f>
        <v/>
      </c>
      <c r="AC141" s="99">
        <f>IF(AND(ISNUMBER(SEARCH("Delivery",N141)),ISNUMBER(SEARCH("Chac",N141))),"SIM","")</f>
        <v/>
      </c>
      <c r="AD141" s="99">
        <f>IF(AND(ISNUMBER(SEARCH("Delivery",N141)),ISNUMBER(SEARCH("Madalena",N141))),"SIM","")</f>
        <v/>
      </c>
      <c r="AE141" s="99">
        <f>IF(AND(ISNUMBER(SEARCH("Delivery",N141)),ISNUMBER(SEARCH("Mariana",N141))),"SIM","")</f>
        <v/>
      </c>
      <c r="AF141" s="99">
        <f>IF(AND(ISNUMBER(SEARCH("Delivery",N141)),ISNUMBER(SEARCH("Perdizes",N141))),"SIM","")</f>
        <v/>
      </c>
      <c r="AG141" s="99">
        <f>IF(AND(ISNUMBER(SEARCH("Delivery",N141)),ISNUMBER(SEARCH("Santana",N141))),"SIM","")</f>
        <v/>
      </c>
      <c r="AH141" s="99">
        <f>IF(AND(ISNUMBER(SEARCH("Delivery",N141)),ISNUMBER(SEARCH("André",N141))),"SIM","")</f>
        <v/>
      </c>
      <c r="AI141" s="99">
        <f>IF(ISNUMBER(SEARCH("Interlagos",N141)),"SIM","")</f>
        <v/>
      </c>
      <c r="AJ141" s="99">
        <f>IF(ISNUMBER(SEARCH("Quiosque",N141)),"SIM","")</f>
        <v/>
      </c>
      <c r="AK141" s="101" t="n"/>
    </row>
    <row r="142">
      <c r="A142" s="88" t="inlineStr">
        <is>
          <t>Protheus</t>
        </is>
      </c>
      <c r="B142" s="89" t="inlineStr">
        <is>
          <t>000017</t>
        </is>
      </c>
      <c r="C142" s="90">
        <f>IF(B142="—","—",IFERROR(VLOOKUP(B142,_Protheus_Cadastro!$A:$B,2,FALSE),"—"))</f>
        <v/>
      </c>
      <c r="D142" s="91">
        <f>IF(B142="—",IFERROR(INDEX(_ZIG_Cadastro!$D:$D,MATCH(H142,_ZIG_Cadastro!$A:$A,0)),"Produto"),IFERROR(VLOOKUP(B142,_Protheus_Cadastro!$A:$C,3,FALSE),"—"))</f>
        <v/>
      </c>
      <c r="E142" s="91">
        <f>IF(B142="—","—",IFERROR(VLOOKUP(B142,_Protheus_Cadastro!$A:$D,4,FALSE),"—"))</f>
        <v/>
      </c>
      <c r="F142" s="91">
        <f>IF(ISERROR(VLOOKUP(B142,'Estrutura Protheus'!A:A,1,FALSE)),"Não","Sim")</f>
        <v/>
      </c>
      <c r="G142" s="92">
        <f>IFERROR(INDEX(_Protheus_Cadastro!$H:$H,MATCH(B142,_Protheus_Cadastro!$A:$A,0)),"—")</f>
        <v/>
      </c>
      <c r="H142" s="210">
        <f>IFERROR(INDEX(_ZIG_Precos!$D:$D,MATCH(I142,_ZIG_Precos!$F:$F,0)),"—")</f>
        <v/>
      </c>
      <c r="I142" s="95">
        <f>IFERROR(VLOOKUP(B142,_Protheus_Cadastro!$A:$I,9,FALSE),"—")</f>
        <v/>
      </c>
      <c r="J142" s="93">
        <f>IFERROR(INDEX(_ZIG_Cadastro!$B:$B,MATCH(I142,_ZIG_Cadastro!$A:$A,0)),IFERROR(INDEX(_Entradas_ZIG!$B:$B,MATCH(I142,_Entradas_ZIG!$C:$C,0)),"—"))</f>
        <v/>
      </c>
      <c r="K142" s="93">
        <f>IFERROR(INDEX(_ZIG_Cadastro!$C:$C,MATCH(I142,_ZIG_Cadastro!$A:$A,0)),IFERROR(INDEX(_Entradas_ZIG!$D:$D,MATCH(I142,_Entradas_ZIG!$C:$C,0)),"—"))</f>
        <v/>
      </c>
      <c r="L142" s="92">
        <f>IF(I142="","Sem SKU ZIG",IF(I142="—","Sem SKU ZIG",IF(NOT(ISERROR(MATCH(I142,_ZIG_Cadastro!$A:$A,0))),IF(EXACT(UPPER(TRIM(C142)),UPPER(TRIM(INDEX(_ZIG_Cadastro!$B:$B,MATCH(I142,_ZIG_Cadastro!$A:$A,0))))),"OK","Atencao - Nome diverge"),IF(NOT(ISERROR(MATCH(I142,_Entradas_ZIG!$C:$C,0))),"OK","Erro - SKU nao encontrado"))))</f>
        <v/>
      </c>
      <c r="M142" s="92">
        <f>IFERROR(INDEX(_ZIG_Cadastro!$G:$G,MATCH(I142,_ZIG_Cadastro!$A:$A,0)),IF(NOT(ISERROR(MATCH(I142,_Entradas_ZIG!$C:$C,0))),"Ativo","—"))</f>
        <v/>
      </c>
      <c r="N142" s="94">
        <f>IFERROR(INDEX(_ZIG_Cadastro!$E:$E,MATCH(I142,_ZIG_Cadastro!$A:$A,0)),IFERROR(INDEX(_Entradas_ZIG!$F:$F,MATCH(I142,_Entradas_ZIG!$C:$C,0)),"—"))</f>
        <v/>
      </c>
      <c r="O142" s="92">
        <f>IF(AND(ISNUMBER(SEARCH("Espeto",N142)),ISNUMBER(SEARCH("Carin",N142))),"SIM","")</f>
        <v/>
      </c>
      <c r="P142" s="92">
        <f>IF(AND(ISNUMBER(SEARCH("Espeto",N142)),ISNUMBER(SEARCH("Lapa",N142))),"SIM","")</f>
        <v/>
      </c>
      <c r="Q142" s="92">
        <f>IF(AND(ISNUMBER(SEARCH("Espeto",N142)),ISNUMBER(SEARCH("Tatuapé",N142))),"SIM","")</f>
        <v/>
      </c>
      <c r="R142" s="92">
        <f>IF(AND(ISNUMBER(SEARCH("Espeto",N142)),ISNUMBER(SEARCH("Pavão",N142))),"SIM","")</f>
        <v/>
      </c>
      <c r="S142" s="92">
        <f>IF(AND(ISNUMBER(SEARCH("Espeto",N142)),ISNUMBER(SEARCH("Chac",N142))),"SIM","")</f>
        <v/>
      </c>
      <c r="T142" s="92">
        <f>IF(AND(ISNUMBER(SEARCH("Espeto",N142)),ISNUMBER(SEARCH("Madalena",N142))),"SIM","")</f>
        <v/>
      </c>
      <c r="U142" s="92">
        <f>IF(AND(ISNUMBER(SEARCH("Espeto",N142)),ISNUMBER(SEARCH("Mariana",N142))),"SIM","")</f>
        <v/>
      </c>
      <c r="V142" s="92">
        <f>IF(AND(ISNUMBER(SEARCH("Espeto",N142)),ISNUMBER(SEARCH("Perdizes",N142))),"SIM","")</f>
        <v/>
      </c>
      <c r="W142" s="92">
        <f>IF(AND(ISNUMBER(SEARCH("Espeto",N142)),ISNUMBER(SEARCH("Santana",N142))),"SIM","")</f>
        <v/>
      </c>
      <c r="X142" s="92">
        <f>IF(AND(ISNUMBER(SEARCH("Espeto",N142)),ISNUMBER(SEARCH("André",N142))),"SIM","")</f>
        <v/>
      </c>
      <c r="Y142" s="92">
        <f>IF(AND(ISNUMBER(SEARCH("Delivery",N142)),ISNUMBER(SEARCH("Carin",N142))),"SIM","")</f>
        <v/>
      </c>
      <c r="Z142" s="92">
        <f>IF(AND(ISNUMBER(SEARCH("Delivery",N142)),ISNUMBER(SEARCH("Lapa",N142))),"SIM","")</f>
        <v/>
      </c>
      <c r="AA142" s="92">
        <f>IF(AND(ISNUMBER(SEARCH("Delivery",N142)),ISNUMBER(SEARCH("Tatuapé",N142))),"SIM","")</f>
        <v/>
      </c>
      <c r="AB142" s="92">
        <f>IF(AND(ISNUMBER(SEARCH("Delivery",N142)),ISNUMBER(SEARCH("Pavão",N142))),"SIM","")</f>
        <v/>
      </c>
      <c r="AC142" s="92">
        <f>IF(AND(ISNUMBER(SEARCH("Delivery",N142)),ISNUMBER(SEARCH("Chac",N142))),"SIM","")</f>
        <v/>
      </c>
      <c r="AD142" s="92">
        <f>IF(AND(ISNUMBER(SEARCH("Delivery",N142)),ISNUMBER(SEARCH("Madalena",N142))),"SIM","")</f>
        <v/>
      </c>
      <c r="AE142" s="92">
        <f>IF(AND(ISNUMBER(SEARCH("Delivery",N142)),ISNUMBER(SEARCH("Mariana",N142))),"SIM","")</f>
        <v/>
      </c>
      <c r="AF142" s="92">
        <f>IF(AND(ISNUMBER(SEARCH("Delivery",N142)),ISNUMBER(SEARCH("Perdizes",N142))),"SIM","")</f>
        <v/>
      </c>
      <c r="AG142" s="92">
        <f>IF(AND(ISNUMBER(SEARCH("Delivery",N142)),ISNUMBER(SEARCH("Santana",N142))),"SIM","")</f>
        <v/>
      </c>
      <c r="AH142" s="92">
        <f>IF(AND(ISNUMBER(SEARCH("Delivery",N142)),ISNUMBER(SEARCH("André",N142))),"SIM","")</f>
        <v/>
      </c>
      <c r="AI142" s="92">
        <f>IF(ISNUMBER(SEARCH("Interlagos",N142)),"SIM","")</f>
        <v/>
      </c>
      <c r="AJ142" s="92">
        <f>IF(ISNUMBER(SEARCH("Quiosque",N142)),"SIM","")</f>
        <v/>
      </c>
      <c r="AK142" s="93" t="n"/>
    </row>
    <row r="143">
      <c r="A143" s="88" t="inlineStr">
        <is>
          <t>Protheus</t>
        </is>
      </c>
      <c r="B143" s="96" t="inlineStr">
        <is>
          <t>010086</t>
        </is>
      </c>
      <c r="C143" s="97">
        <f>IF(B143="—","—",IFERROR(VLOOKUP(B143,_Protheus_Cadastro!$A:$B,2,FALSE),"—"))</f>
        <v/>
      </c>
      <c r="D143" s="98">
        <f>IF(B143="—",IFERROR(INDEX(_ZIG_Cadastro!$D:$D,MATCH(H143,_ZIG_Cadastro!$A:$A,0)),"Produto"),IFERROR(VLOOKUP(B143,_Protheus_Cadastro!$A:$C,3,FALSE),"—"))</f>
        <v/>
      </c>
      <c r="E143" s="98">
        <f>IF(B143="—","—",IFERROR(VLOOKUP(B143,_Protheus_Cadastro!$A:$D,4,FALSE),"—"))</f>
        <v/>
      </c>
      <c r="F143" s="98">
        <f>IF(ISERROR(VLOOKUP(B143,'Estrutura Protheus'!A:A,1,FALSE)),"Não","Sim")</f>
        <v/>
      </c>
      <c r="G143" s="99">
        <f>IFERROR(INDEX(_Protheus_Cadastro!$H:$H,MATCH(B143,_Protheus_Cadastro!$A:$A,0)),"—")</f>
        <v/>
      </c>
      <c r="H143" s="211">
        <f>IFERROR(INDEX(_ZIG_Precos!$D:$D,MATCH(I143,_ZIG_Precos!$F:$F,0)),"—")</f>
        <v/>
      </c>
      <c r="I143" s="103">
        <f>IFERROR(VLOOKUP(B143,_Protheus_Cadastro!$A:$I,9,FALSE),"—")</f>
        <v/>
      </c>
      <c r="J143" s="101">
        <f>IFERROR(INDEX(_ZIG_Cadastro!$B:$B,MATCH(I143,_ZIG_Cadastro!$A:$A,0)),IFERROR(INDEX(_Entradas_ZIG!$B:$B,MATCH(I143,_Entradas_ZIG!$C:$C,0)),"—"))</f>
        <v/>
      </c>
      <c r="K143" s="101">
        <f>IFERROR(INDEX(_ZIG_Cadastro!$C:$C,MATCH(I143,_ZIG_Cadastro!$A:$A,0)),IFERROR(INDEX(_Entradas_ZIG!$D:$D,MATCH(I143,_Entradas_ZIG!$C:$C,0)),"—"))</f>
        <v/>
      </c>
      <c r="L143" s="99">
        <f>IF(I143="","Sem SKU ZIG",IF(I143="—","Sem SKU ZIG",IF(NOT(ISERROR(MATCH(I143,_ZIG_Cadastro!$A:$A,0))),IF(EXACT(UPPER(TRIM(C143)),UPPER(TRIM(INDEX(_ZIG_Cadastro!$B:$B,MATCH(I143,_ZIG_Cadastro!$A:$A,0))))),"OK","Atencao - Nome diverge"),IF(NOT(ISERROR(MATCH(I143,_Entradas_ZIG!$C:$C,0))),"OK","Erro - SKU nao encontrado"))))</f>
        <v/>
      </c>
      <c r="M143" s="99">
        <f>IFERROR(INDEX(_ZIG_Cadastro!$G:$G,MATCH(I143,_ZIG_Cadastro!$A:$A,0)),IF(NOT(ISERROR(MATCH(I143,_Entradas_ZIG!$C:$C,0))),"Ativo","—"))</f>
        <v/>
      </c>
      <c r="N143" s="102">
        <f>IFERROR(INDEX(_ZIG_Cadastro!$E:$E,MATCH(I143,_ZIG_Cadastro!$A:$A,0)),IFERROR(INDEX(_Entradas_ZIG!$F:$F,MATCH(I143,_Entradas_ZIG!$C:$C,0)),"—"))</f>
        <v/>
      </c>
      <c r="O143" s="99">
        <f>IF(AND(ISNUMBER(SEARCH("Espeto",N143)),ISNUMBER(SEARCH("Carin",N143))),"SIM","")</f>
        <v/>
      </c>
      <c r="P143" s="99">
        <f>IF(AND(ISNUMBER(SEARCH("Espeto",N143)),ISNUMBER(SEARCH("Lapa",N143))),"SIM","")</f>
        <v/>
      </c>
      <c r="Q143" s="99">
        <f>IF(AND(ISNUMBER(SEARCH("Espeto",N143)),ISNUMBER(SEARCH("Tatuapé",N143))),"SIM","")</f>
        <v/>
      </c>
      <c r="R143" s="99">
        <f>IF(AND(ISNUMBER(SEARCH("Espeto",N143)),ISNUMBER(SEARCH("Pavão",N143))),"SIM","")</f>
        <v/>
      </c>
      <c r="S143" s="99">
        <f>IF(AND(ISNUMBER(SEARCH("Espeto",N143)),ISNUMBER(SEARCH("Chac",N143))),"SIM","")</f>
        <v/>
      </c>
      <c r="T143" s="99">
        <f>IF(AND(ISNUMBER(SEARCH("Espeto",N143)),ISNUMBER(SEARCH("Madalena",N143))),"SIM","")</f>
        <v/>
      </c>
      <c r="U143" s="99">
        <f>IF(AND(ISNUMBER(SEARCH("Espeto",N143)),ISNUMBER(SEARCH("Mariana",N143))),"SIM","")</f>
        <v/>
      </c>
      <c r="V143" s="99">
        <f>IF(AND(ISNUMBER(SEARCH("Espeto",N143)),ISNUMBER(SEARCH("Perdizes",N143))),"SIM","")</f>
        <v/>
      </c>
      <c r="W143" s="99">
        <f>IF(AND(ISNUMBER(SEARCH("Espeto",N143)),ISNUMBER(SEARCH("Santana",N143))),"SIM","")</f>
        <v/>
      </c>
      <c r="X143" s="99">
        <f>IF(AND(ISNUMBER(SEARCH("Espeto",N143)),ISNUMBER(SEARCH("André",N143))),"SIM","")</f>
        <v/>
      </c>
      <c r="Y143" s="99">
        <f>IF(AND(ISNUMBER(SEARCH("Delivery",N143)),ISNUMBER(SEARCH("Carin",N143))),"SIM","")</f>
        <v/>
      </c>
      <c r="Z143" s="99">
        <f>IF(AND(ISNUMBER(SEARCH("Delivery",N143)),ISNUMBER(SEARCH("Lapa",N143))),"SIM","")</f>
        <v/>
      </c>
      <c r="AA143" s="99">
        <f>IF(AND(ISNUMBER(SEARCH("Delivery",N143)),ISNUMBER(SEARCH("Tatuapé",N143))),"SIM","")</f>
        <v/>
      </c>
      <c r="AB143" s="99">
        <f>IF(AND(ISNUMBER(SEARCH("Delivery",N143)),ISNUMBER(SEARCH("Pavão",N143))),"SIM","")</f>
        <v/>
      </c>
      <c r="AC143" s="99">
        <f>IF(AND(ISNUMBER(SEARCH("Delivery",N143)),ISNUMBER(SEARCH("Chac",N143))),"SIM","")</f>
        <v/>
      </c>
      <c r="AD143" s="99">
        <f>IF(AND(ISNUMBER(SEARCH("Delivery",N143)),ISNUMBER(SEARCH("Madalena",N143))),"SIM","")</f>
        <v/>
      </c>
      <c r="AE143" s="99">
        <f>IF(AND(ISNUMBER(SEARCH("Delivery",N143)),ISNUMBER(SEARCH("Mariana",N143))),"SIM","")</f>
        <v/>
      </c>
      <c r="AF143" s="99">
        <f>IF(AND(ISNUMBER(SEARCH("Delivery",N143)),ISNUMBER(SEARCH("Perdizes",N143))),"SIM","")</f>
        <v/>
      </c>
      <c r="AG143" s="99">
        <f>IF(AND(ISNUMBER(SEARCH("Delivery",N143)),ISNUMBER(SEARCH("Santana",N143))),"SIM","")</f>
        <v/>
      </c>
      <c r="AH143" s="99">
        <f>IF(AND(ISNUMBER(SEARCH("Delivery",N143)),ISNUMBER(SEARCH("André",N143))),"SIM","")</f>
        <v/>
      </c>
      <c r="AI143" s="99">
        <f>IF(ISNUMBER(SEARCH("Interlagos",N143)),"SIM","")</f>
        <v/>
      </c>
      <c r="AJ143" s="99">
        <f>IF(ISNUMBER(SEARCH("Quiosque",N143)),"SIM","")</f>
        <v/>
      </c>
      <c r="AK143" s="101" t="n"/>
    </row>
    <row r="144">
      <c r="A144" s="88" t="inlineStr">
        <is>
          <t>Protheus</t>
        </is>
      </c>
      <c r="B144" s="89" t="inlineStr">
        <is>
          <t>001031</t>
        </is>
      </c>
      <c r="C144" s="90">
        <f>IF(B144="—","—",IFERROR(VLOOKUP(B144,_Protheus_Cadastro!$A:$B,2,FALSE),"—"))</f>
        <v/>
      </c>
      <c r="D144" s="91">
        <f>IF(B144="—",IFERROR(INDEX(_ZIG_Cadastro!$D:$D,MATCH(H144,_ZIG_Cadastro!$A:$A,0)),"Produto"),IFERROR(VLOOKUP(B144,_Protheus_Cadastro!$A:$C,3,FALSE),"—"))</f>
        <v/>
      </c>
      <c r="E144" s="91">
        <f>IF(B144="—","—",IFERROR(VLOOKUP(B144,_Protheus_Cadastro!$A:$D,4,FALSE),"—"))</f>
        <v/>
      </c>
      <c r="F144" s="91">
        <f>IF(ISERROR(VLOOKUP(B144,'Estrutura Protheus'!A:A,1,FALSE)),"Não","Sim")</f>
        <v/>
      </c>
      <c r="G144" s="92">
        <f>IFERROR(INDEX(_Protheus_Cadastro!$H:$H,MATCH(B144,_Protheus_Cadastro!$A:$A,0)),"—")</f>
        <v/>
      </c>
      <c r="H144" s="210">
        <f>IFERROR(INDEX(_ZIG_Precos!$D:$D,MATCH(I144,_ZIG_Precos!$F:$F,0)),"—")</f>
        <v/>
      </c>
      <c r="I144" s="95">
        <f>IFERROR(VLOOKUP(B144,_Protheus_Cadastro!$A:$I,9,FALSE),"—")</f>
        <v/>
      </c>
      <c r="J144" s="93">
        <f>IFERROR(INDEX(_ZIG_Cadastro!$B:$B,MATCH(I144,_ZIG_Cadastro!$A:$A,0)),IFERROR(INDEX(_Entradas_ZIG!$B:$B,MATCH(I144,_Entradas_ZIG!$C:$C,0)),"—"))</f>
        <v/>
      </c>
      <c r="K144" s="93">
        <f>IFERROR(INDEX(_ZIG_Cadastro!$C:$C,MATCH(I144,_ZIG_Cadastro!$A:$A,0)),IFERROR(INDEX(_Entradas_ZIG!$D:$D,MATCH(I144,_Entradas_ZIG!$C:$C,0)),"—"))</f>
        <v/>
      </c>
      <c r="L144" s="92">
        <f>IF(I144="","Sem SKU ZIG",IF(I144="—","Sem SKU ZIG",IF(NOT(ISERROR(MATCH(I144,_ZIG_Cadastro!$A:$A,0))),IF(EXACT(UPPER(TRIM(C144)),UPPER(TRIM(INDEX(_ZIG_Cadastro!$B:$B,MATCH(I144,_ZIG_Cadastro!$A:$A,0))))),"OK","Atencao - Nome diverge"),IF(NOT(ISERROR(MATCH(I144,_Entradas_ZIG!$C:$C,0))),"OK","Erro - SKU nao encontrado"))))</f>
        <v/>
      </c>
      <c r="M144" s="92">
        <f>IFERROR(INDEX(_ZIG_Cadastro!$G:$G,MATCH(I144,_ZIG_Cadastro!$A:$A,0)),IF(NOT(ISERROR(MATCH(I144,_Entradas_ZIG!$C:$C,0))),"Ativo","—"))</f>
        <v/>
      </c>
      <c r="N144" s="94">
        <f>IFERROR(INDEX(_ZIG_Cadastro!$E:$E,MATCH(I144,_ZIG_Cadastro!$A:$A,0)),IFERROR(INDEX(_Entradas_ZIG!$F:$F,MATCH(I144,_Entradas_ZIG!$C:$C,0)),"—"))</f>
        <v/>
      </c>
      <c r="O144" s="92">
        <f>IF(AND(ISNUMBER(SEARCH("Espeto",N144)),ISNUMBER(SEARCH("Carin",N144))),"SIM","")</f>
        <v/>
      </c>
      <c r="P144" s="92">
        <f>IF(AND(ISNUMBER(SEARCH("Espeto",N144)),ISNUMBER(SEARCH("Lapa",N144))),"SIM","")</f>
        <v/>
      </c>
      <c r="Q144" s="92">
        <f>IF(AND(ISNUMBER(SEARCH("Espeto",N144)),ISNUMBER(SEARCH("Tatuapé",N144))),"SIM","")</f>
        <v/>
      </c>
      <c r="R144" s="92">
        <f>IF(AND(ISNUMBER(SEARCH("Espeto",N144)),ISNUMBER(SEARCH("Pavão",N144))),"SIM","")</f>
        <v/>
      </c>
      <c r="S144" s="92">
        <f>IF(AND(ISNUMBER(SEARCH("Espeto",N144)),ISNUMBER(SEARCH("Chac",N144))),"SIM","")</f>
        <v/>
      </c>
      <c r="T144" s="92">
        <f>IF(AND(ISNUMBER(SEARCH("Espeto",N144)),ISNUMBER(SEARCH("Madalena",N144))),"SIM","")</f>
        <v/>
      </c>
      <c r="U144" s="92">
        <f>IF(AND(ISNUMBER(SEARCH("Espeto",N144)),ISNUMBER(SEARCH("Mariana",N144))),"SIM","")</f>
        <v/>
      </c>
      <c r="V144" s="92">
        <f>IF(AND(ISNUMBER(SEARCH("Espeto",N144)),ISNUMBER(SEARCH("Perdizes",N144))),"SIM","")</f>
        <v/>
      </c>
      <c r="W144" s="92">
        <f>IF(AND(ISNUMBER(SEARCH("Espeto",N144)),ISNUMBER(SEARCH("Santana",N144))),"SIM","")</f>
        <v/>
      </c>
      <c r="X144" s="92">
        <f>IF(AND(ISNUMBER(SEARCH("Espeto",N144)),ISNUMBER(SEARCH("André",N144))),"SIM","")</f>
        <v/>
      </c>
      <c r="Y144" s="92">
        <f>IF(AND(ISNUMBER(SEARCH("Delivery",N144)),ISNUMBER(SEARCH("Carin",N144))),"SIM","")</f>
        <v/>
      </c>
      <c r="Z144" s="92">
        <f>IF(AND(ISNUMBER(SEARCH("Delivery",N144)),ISNUMBER(SEARCH("Lapa",N144))),"SIM","")</f>
        <v/>
      </c>
      <c r="AA144" s="92">
        <f>IF(AND(ISNUMBER(SEARCH("Delivery",N144)),ISNUMBER(SEARCH("Tatuapé",N144))),"SIM","")</f>
        <v/>
      </c>
      <c r="AB144" s="92">
        <f>IF(AND(ISNUMBER(SEARCH("Delivery",N144)),ISNUMBER(SEARCH("Pavão",N144))),"SIM","")</f>
        <v/>
      </c>
      <c r="AC144" s="92">
        <f>IF(AND(ISNUMBER(SEARCH("Delivery",N144)),ISNUMBER(SEARCH("Chac",N144))),"SIM","")</f>
        <v/>
      </c>
      <c r="AD144" s="92">
        <f>IF(AND(ISNUMBER(SEARCH("Delivery",N144)),ISNUMBER(SEARCH("Madalena",N144))),"SIM","")</f>
        <v/>
      </c>
      <c r="AE144" s="92">
        <f>IF(AND(ISNUMBER(SEARCH("Delivery",N144)),ISNUMBER(SEARCH("Mariana",N144))),"SIM","")</f>
        <v/>
      </c>
      <c r="AF144" s="92">
        <f>IF(AND(ISNUMBER(SEARCH("Delivery",N144)),ISNUMBER(SEARCH("Perdizes",N144))),"SIM","")</f>
        <v/>
      </c>
      <c r="AG144" s="92">
        <f>IF(AND(ISNUMBER(SEARCH("Delivery",N144)),ISNUMBER(SEARCH("Santana",N144))),"SIM","")</f>
        <v/>
      </c>
      <c r="AH144" s="92">
        <f>IF(AND(ISNUMBER(SEARCH("Delivery",N144)),ISNUMBER(SEARCH("André",N144))),"SIM","")</f>
        <v/>
      </c>
      <c r="AI144" s="92">
        <f>IF(ISNUMBER(SEARCH("Interlagos",N144)),"SIM","")</f>
        <v/>
      </c>
      <c r="AJ144" s="92">
        <f>IF(ISNUMBER(SEARCH("Quiosque",N144)),"SIM","")</f>
        <v/>
      </c>
      <c r="AK144" s="93" t="n"/>
    </row>
    <row r="145">
      <c r="A145" s="88" t="inlineStr">
        <is>
          <t>Protheus</t>
        </is>
      </c>
      <c r="B145" s="96" t="inlineStr">
        <is>
          <t>000942</t>
        </is>
      </c>
      <c r="C145" s="97">
        <f>IF(B145="—","—",IFERROR(VLOOKUP(B145,_Protheus_Cadastro!$A:$B,2,FALSE),"—"))</f>
        <v/>
      </c>
      <c r="D145" s="98">
        <f>IF(B145="—",IFERROR(INDEX(_ZIG_Cadastro!$D:$D,MATCH(H145,_ZIG_Cadastro!$A:$A,0)),"Produto"),IFERROR(VLOOKUP(B145,_Protheus_Cadastro!$A:$C,3,FALSE),"—"))</f>
        <v/>
      </c>
      <c r="E145" s="98">
        <f>IF(B145="—","—",IFERROR(VLOOKUP(B145,_Protheus_Cadastro!$A:$D,4,FALSE),"—"))</f>
        <v/>
      </c>
      <c r="F145" s="98">
        <f>IF(ISERROR(VLOOKUP(B145,'Estrutura Protheus'!A:A,1,FALSE)),"Não","Sim")</f>
        <v/>
      </c>
      <c r="G145" s="99">
        <f>IFERROR(INDEX(_Protheus_Cadastro!$H:$H,MATCH(B145,_Protheus_Cadastro!$A:$A,0)),"—")</f>
        <v/>
      </c>
      <c r="H145" s="211">
        <f>IFERROR(INDEX(_ZIG_Precos!$D:$D,MATCH(I145,_ZIG_Precos!$F:$F,0)),"—")</f>
        <v/>
      </c>
      <c r="I145" s="103">
        <f>IFERROR(VLOOKUP(B145,_Protheus_Cadastro!$A:$I,9,FALSE),"—")</f>
        <v/>
      </c>
      <c r="J145" s="101">
        <f>IFERROR(INDEX(_ZIG_Cadastro!$B:$B,MATCH(I145,_ZIG_Cadastro!$A:$A,0)),IFERROR(INDEX(_Entradas_ZIG!$B:$B,MATCH(I145,_Entradas_ZIG!$C:$C,0)),"—"))</f>
        <v/>
      </c>
      <c r="K145" s="101">
        <f>IFERROR(INDEX(_ZIG_Cadastro!$C:$C,MATCH(I145,_ZIG_Cadastro!$A:$A,0)),IFERROR(INDEX(_Entradas_ZIG!$D:$D,MATCH(I145,_Entradas_ZIG!$C:$C,0)),"—"))</f>
        <v/>
      </c>
      <c r="L145" s="99">
        <f>IF(I145="","Sem SKU ZIG",IF(I145="—","Sem SKU ZIG",IF(NOT(ISERROR(MATCH(I145,_ZIG_Cadastro!$A:$A,0))),IF(EXACT(UPPER(TRIM(C145)),UPPER(TRIM(INDEX(_ZIG_Cadastro!$B:$B,MATCH(I145,_ZIG_Cadastro!$A:$A,0))))),"OK","Atencao - Nome diverge"),IF(NOT(ISERROR(MATCH(I145,_Entradas_ZIG!$C:$C,0))),"OK","Erro - SKU nao encontrado"))))</f>
        <v/>
      </c>
      <c r="M145" s="99">
        <f>IFERROR(INDEX(_ZIG_Cadastro!$G:$G,MATCH(I145,_ZIG_Cadastro!$A:$A,0)),IF(NOT(ISERROR(MATCH(I145,_Entradas_ZIG!$C:$C,0))),"Ativo","—"))</f>
        <v/>
      </c>
      <c r="N145" s="102">
        <f>IFERROR(INDEX(_ZIG_Cadastro!$E:$E,MATCH(I145,_ZIG_Cadastro!$A:$A,0)),IFERROR(INDEX(_Entradas_ZIG!$F:$F,MATCH(I145,_Entradas_ZIG!$C:$C,0)),"—"))</f>
        <v/>
      </c>
      <c r="O145" s="99">
        <f>IF(AND(ISNUMBER(SEARCH("Espeto",N145)),ISNUMBER(SEARCH("Carin",N145))),"SIM","")</f>
        <v/>
      </c>
      <c r="P145" s="99">
        <f>IF(AND(ISNUMBER(SEARCH("Espeto",N145)),ISNUMBER(SEARCH("Lapa",N145))),"SIM","")</f>
        <v/>
      </c>
      <c r="Q145" s="99">
        <f>IF(AND(ISNUMBER(SEARCH("Espeto",N145)),ISNUMBER(SEARCH("Tatuapé",N145))),"SIM","")</f>
        <v/>
      </c>
      <c r="R145" s="99">
        <f>IF(AND(ISNUMBER(SEARCH("Espeto",N145)),ISNUMBER(SEARCH("Pavão",N145))),"SIM","")</f>
        <v/>
      </c>
      <c r="S145" s="99">
        <f>IF(AND(ISNUMBER(SEARCH("Espeto",N145)),ISNUMBER(SEARCH("Chac",N145))),"SIM","")</f>
        <v/>
      </c>
      <c r="T145" s="99">
        <f>IF(AND(ISNUMBER(SEARCH("Espeto",N145)),ISNUMBER(SEARCH("Madalena",N145))),"SIM","")</f>
        <v/>
      </c>
      <c r="U145" s="99">
        <f>IF(AND(ISNUMBER(SEARCH("Espeto",N145)),ISNUMBER(SEARCH("Mariana",N145))),"SIM","")</f>
        <v/>
      </c>
      <c r="V145" s="99">
        <f>IF(AND(ISNUMBER(SEARCH("Espeto",N145)),ISNUMBER(SEARCH("Perdizes",N145))),"SIM","")</f>
        <v/>
      </c>
      <c r="W145" s="99">
        <f>IF(AND(ISNUMBER(SEARCH("Espeto",N145)),ISNUMBER(SEARCH("Santana",N145))),"SIM","")</f>
        <v/>
      </c>
      <c r="X145" s="99">
        <f>IF(AND(ISNUMBER(SEARCH("Espeto",N145)),ISNUMBER(SEARCH("André",N145))),"SIM","")</f>
        <v/>
      </c>
      <c r="Y145" s="99">
        <f>IF(AND(ISNUMBER(SEARCH("Delivery",N145)),ISNUMBER(SEARCH("Carin",N145))),"SIM","")</f>
        <v/>
      </c>
      <c r="Z145" s="99">
        <f>IF(AND(ISNUMBER(SEARCH("Delivery",N145)),ISNUMBER(SEARCH("Lapa",N145))),"SIM","")</f>
        <v/>
      </c>
      <c r="AA145" s="99">
        <f>IF(AND(ISNUMBER(SEARCH("Delivery",N145)),ISNUMBER(SEARCH("Tatuapé",N145))),"SIM","")</f>
        <v/>
      </c>
      <c r="AB145" s="99">
        <f>IF(AND(ISNUMBER(SEARCH("Delivery",N145)),ISNUMBER(SEARCH("Pavão",N145))),"SIM","")</f>
        <v/>
      </c>
      <c r="AC145" s="99">
        <f>IF(AND(ISNUMBER(SEARCH("Delivery",N145)),ISNUMBER(SEARCH("Chac",N145))),"SIM","")</f>
        <v/>
      </c>
      <c r="AD145" s="99">
        <f>IF(AND(ISNUMBER(SEARCH("Delivery",N145)),ISNUMBER(SEARCH("Madalena",N145))),"SIM","")</f>
        <v/>
      </c>
      <c r="AE145" s="99">
        <f>IF(AND(ISNUMBER(SEARCH("Delivery",N145)),ISNUMBER(SEARCH("Mariana",N145))),"SIM","")</f>
        <v/>
      </c>
      <c r="AF145" s="99">
        <f>IF(AND(ISNUMBER(SEARCH("Delivery",N145)),ISNUMBER(SEARCH("Perdizes",N145))),"SIM","")</f>
        <v/>
      </c>
      <c r="AG145" s="99">
        <f>IF(AND(ISNUMBER(SEARCH("Delivery",N145)),ISNUMBER(SEARCH("Santana",N145))),"SIM","")</f>
        <v/>
      </c>
      <c r="AH145" s="99">
        <f>IF(AND(ISNUMBER(SEARCH("Delivery",N145)),ISNUMBER(SEARCH("André",N145))),"SIM","")</f>
        <v/>
      </c>
      <c r="AI145" s="99">
        <f>IF(ISNUMBER(SEARCH("Interlagos",N145)),"SIM","")</f>
        <v/>
      </c>
      <c r="AJ145" s="99">
        <f>IF(ISNUMBER(SEARCH("Quiosque",N145)),"SIM","")</f>
        <v/>
      </c>
      <c r="AK145" s="101" t="n"/>
    </row>
    <row r="146">
      <c r="A146" s="88" t="inlineStr">
        <is>
          <t>Protheus</t>
        </is>
      </c>
      <c r="B146" s="89" t="inlineStr">
        <is>
          <t>001945</t>
        </is>
      </c>
      <c r="C146" s="90">
        <f>IF(B146="—","—",IFERROR(VLOOKUP(B146,_Protheus_Cadastro!$A:$B,2,FALSE),"—"))</f>
        <v/>
      </c>
      <c r="D146" s="91">
        <f>IF(B146="—",IFERROR(INDEX(_ZIG_Cadastro!$D:$D,MATCH(H146,_ZIG_Cadastro!$A:$A,0)),"Produto"),IFERROR(VLOOKUP(B146,_Protheus_Cadastro!$A:$C,3,FALSE),"—"))</f>
        <v/>
      </c>
      <c r="E146" s="91">
        <f>IF(B146="—","—",IFERROR(VLOOKUP(B146,_Protheus_Cadastro!$A:$D,4,FALSE),"—"))</f>
        <v/>
      </c>
      <c r="F146" s="91">
        <f>IF(ISERROR(VLOOKUP(B146,'Estrutura Protheus'!A:A,1,FALSE)),"Não","Sim")</f>
        <v/>
      </c>
      <c r="G146" s="92">
        <f>IFERROR(INDEX(_Protheus_Cadastro!$H:$H,MATCH(B146,_Protheus_Cadastro!$A:$A,0)),"—")</f>
        <v/>
      </c>
      <c r="H146" s="210">
        <f>IFERROR(INDEX(_ZIG_Precos!$D:$D,MATCH(I146,_ZIG_Precos!$F:$F,0)),"—")</f>
        <v/>
      </c>
      <c r="I146" s="95">
        <f>IFERROR(VLOOKUP(B146,_Protheus_Cadastro!$A:$I,9,FALSE),"—")</f>
        <v/>
      </c>
      <c r="J146" s="93">
        <f>IFERROR(INDEX(_ZIG_Cadastro!$B:$B,MATCH(I146,_ZIG_Cadastro!$A:$A,0)),IFERROR(INDEX(_Entradas_ZIG!$B:$B,MATCH(I146,_Entradas_ZIG!$C:$C,0)),"—"))</f>
        <v/>
      </c>
      <c r="K146" s="93">
        <f>IFERROR(INDEX(_ZIG_Cadastro!$C:$C,MATCH(I146,_ZIG_Cadastro!$A:$A,0)),IFERROR(INDEX(_Entradas_ZIG!$D:$D,MATCH(I146,_Entradas_ZIG!$C:$C,0)),"—"))</f>
        <v/>
      </c>
      <c r="L146" s="92">
        <f>IF(I146="","Sem SKU ZIG",IF(I146="—","Sem SKU ZIG",IF(NOT(ISERROR(MATCH(I146,_ZIG_Cadastro!$A:$A,0))),IF(EXACT(UPPER(TRIM(C146)),UPPER(TRIM(INDEX(_ZIG_Cadastro!$B:$B,MATCH(I146,_ZIG_Cadastro!$A:$A,0))))),"OK","Atencao - Nome diverge"),IF(NOT(ISERROR(MATCH(I146,_Entradas_ZIG!$C:$C,0))),"OK","Erro - SKU nao encontrado"))))</f>
        <v/>
      </c>
      <c r="M146" s="92">
        <f>IFERROR(INDEX(_ZIG_Cadastro!$G:$G,MATCH(I146,_ZIG_Cadastro!$A:$A,0)),IF(NOT(ISERROR(MATCH(I146,_Entradas_ZIG!$C:$C,0))),"Ativo","—"))</f>
        <v/>
      </c>
      <c r="N146" s="94">
        <f>IFERROR(INDEX(_ZIG_Cadastro!$E:$E,MATCH(I146,_ZIG_Cadastro!$A:$A,0)),IFERROR(INDEX(_Entradas_ZIG!$F:$F,MATCH(I146,_Entradas_ZIG!$C:$C,0)),"—"))</f>
        <v/>
      </c>
      <c r="O146" s="92">
        <f>IF(AND(ISNUMBER(SEARCH("Espeto",N146)),ISNUMBER(SEARCH("Carin",N146))),"SIM","")</f>
        <v/>
      </c>
      <c r="P146" s="92">
        <f>IF(AND(ISNUMBER(SEARCH("Espeto",N146)),ISNUMBER(SEARCH("Lapa",N146))),"SIM","")</f>
        <v/>
      </c>
      <c r="Q146" s="92">
        <f>IF(AND(ISNUMBER(SEARCH("Espeto",N146)),ISNUMBER(SEARCH("Tatuapé",N146))),"SIM","")</f>
        <v/>
      </c>
      <c r="R146" s="92">
        <f>IF(AND(ISNUMBER(SEARCH("Espeto",N146)),ISNUMBER(SEARCH("Pavão",N146))),"SIM","")</f>
        <v/>
      </c>
      <c r="S146" s="92">
        <f>IF(AND(ISNUMBER(SEARCH("Espeto",N146)),ISNUMBER(SEARCH("Chac",N146))),"SIM","")</f>
        <v/>
      </c>
      <c r="T146" s="92">
        <f>IF(AND(ISNUMBER(SEARCH("Espeto",N146)),ISNUMBER(SEARCH("Madalena",N146))),"SIM","")</f>
        <v/>
      </c>
      <c r="U146" s="92">
        <f>IF(AND(ISNUMBER(SEARCH("Espeto",N146)),ISNUMBER(SEARCH("Mariana",N146))),"SIM","")</f>
        <v/>
      </c>
      <c r="V146" s="92">
        <f>IF(AND(ISNUMBER(SEARCH("Espeto",N146)),ISNUMBER(SEARCH("Perdizes",N146))),"SIM","")</f>
        <v/>
      </c>
      <c r="W146" s="92">
        <f>IF(AND(ISNUMBER(SEARCH("Espeto",N146)),ISNUMBER(SEARCH("Santana",N146))),"SIM","")</f>
        <v/>
      </c>
      <c r="X146" s="92">
        <f>IF(AND(ISNUMBER(SEARCH("Espeto",N146)),ISNUMBER(SEARCH("André",N146))),"SIM","")</f>
        <v/>
      </c>
      <c r="Y146" s="92">
        <f>IF(AND(ISNUMBER(SEARCH("Delivery",N146)),ISNUMBER(SEARCH("Carin",N146))),"SIM","")</f>
        <v/>
      </c>
      <c r="Z146" s="92">
        <f>IF(AND(ISNUMBER(SEARCH("Delivery",N146)),ISNUMBER(SEARCH("Lapa",N146))),"SIM","")</f>
        <v/>
      </c>
      <c r="AA146" s="92">
        <f>IF(AND(ISNUMBER(SEARCH("Delivery",N146)),ISNUMBER(SEARCH("Tatuapé",N146))),"SIM","")</f>
        <v/>
      </c>
      <c r="AB146" s="92">
        <f>IF(AND(ISNUMBER(SEARCH("Delivery",N146)),ISNUMBER(SEARCH("Pavão",N146))),"SIM","")</f>
        <v/>
      </c>
      <c r="AC146" s="92">
        <f>IF(AND(ISNUMBER(SEARCH("Delivery",N146)),ISNUMBER(SEARCH("Chac",N146))),"SIM","")</f>
        <v/>
      </c>
      <c r="AD146" s="92">
        <f>IF(AND(ISNUMBER(SEARCH("Delivery",N146)),ISNUMBER(SEARCH("Madalena",N146))),"SIM","")</f>
        <v/>
      </c>
      <c r="AE146" s="92">
        <f>IF(AND(ISNUMBER(SEARCH("Delivery",N146)),ISNUMBER(SEARCH("Mariana",N146))),"SIM","")</f>
        <v/>
      </c>
      <c r="AF146" s="92">
        <f>IF(AND(ISNUMBER(SEARCH("Delivery",N146)),ISNUMBER(SEARCH("Perdizes",N146))),"SIM","")</f>
        <v/>
      </c>
      <c r="AG146" s="92">
        <f>IF(AND(ISNUMBER(SEARCH("Delivery",N146)),ISNUMBER(SEARCH("Santana",N146))),"SIM","")</f>
        <v/>
      </c>
      <c r="AH146" s="92">
        <f>IF(AND(ISNUMBER(SEARCH("Delivery",N146)),ISNUMBER(SEARCH("André",N146))),"SIM","")</f>
        <v/>
      </c>
      <c r="AI146" s="92">
        <f>IF(ISNUMBER(SEARCH("Interlagos",N146)),"SIM","")</f>
        <v/>
      </c>
      <c r="AJ146" s="92">
        <f>IF(ISNUMBER(SEARCH("Quiosque",N146)),"SIM","")</f>
        <v/>
      </c>
      <c r="AK146" s="93" t="n"/>
    </row>
    <row r="147">
      <c r="A147" s="88" t="inlineStr">
        <is>
          <t>Protheus</t>
        </is>
      </c>
      <c r="B147" s="96" t="inlineStr">
        <is>
          <t>010094</t>
        </is>
      </c>
      <c r="C147" s="97">
        <f>IF(B147="—","—",IFERROR(VLOOKUP(B147,_Protheus_Cadastro!$A:$B,2,FALSE),"—"))</f>
        <v/>
      </c>
      <c r="D147" s="98">
        <f>IF(B147="—",IFERROR(INDEX(_ZIG_Cadastro!$D:$D,MATCH(H147,_ZIG_Cadastro!$A:$A,0)),"Produto"),IFERROR(VLOOKUP(B147,_Protheus_Cadastro!$A:$C,3,FALSE),"—"))</f>
        <v/>
      </c>
      <c r="E147" s="98">
        <f>IF(B147="—","—",IFERROR(VLOOKUP(B147,_Protheus_Cadastro!$A:$D,4,FALSE),"—"))</f>
        <v/>
      </c>
      <c r="F147" s="98">
        <f>IF(ISERROR(VLOOKUP(B147,'Estrutura Protheus'!A:A,1,FALSE)),"Não","Sim")</f>
        <v/>
      </c>
      <c r="G147" s="99">
        <f>IFERROR(INDEX(_Protheus_Cadastro!$H:$H,MATCH(B147,_Protheus_Cadastro!$A:$A,0)),"—")</f>
        <v/>
      </c>
      <c r="H147" s="211">
        <f>IFERROR(INDEX(_ZIG_Precos!$D:$D,MATCH(I147,_ZIG_Precos!$F:$F,0)),"—")</f>
        <v/>
      </c>
      <c r="I147" s="103">
        <f>IFERROR(VLOOKUP(B147,_Protheus_Cadastro!$A:$I,9,FALSE),"—")</f>
        <v/>
      </c>
      <c r="J147" s="101">
        <f>IFERROR(INDEX(_ZIG_Cadastro!$B:$B,MATCH(I147,_ZIG_Cadastro!$A:$A,0)),IFERROR(INDEX(_Entradas_ZIG!$B:$B,MATCH(I147,_Entradas_ZIG!$C:$C,0)),"—"))</f>
        <v/>
      </c>
      <c r="K147" s="101">
        <f>IFERROR(INDEX(_ZIG_Cadastro!$C:$C,MATCH(I147,_ZIG_Cadastro!$A:$A,0)),IFERROR(INDEX(_Entradas_ZIG!$D:$D,MATCH(I147,_Entradas_ZIG!$C:$C,0)),"—"))</f>
        <v/>
      </c>
      <c r="L147" s="99">
        <f>IF(I147="","Sem SKU ZIG",IF(I147="—","Sem SKU ZIG",IF(NOT(ISERROR(MATCH(I147,_ZIG_Cadastro!$A:$A,0))),IF(EXACT(UPPER(TRIM(C147)),UPPER(TRIM(INDEX(_ZIG_Cadastro!$B:$B,MATCH(I147,_ZIG_Cadastro!$A:$A,0))))),"OK","Atencao - Nome diverge"),IF(NOT(ISERROR(MATCH(I147,_Entradas_ZIG!$C:$C,0))),"OK","Erro - SKU nao encontrado"))))</f>
        <v/>
      </c>
      <c r="M147" s="99">
        <f>IFERROR(INDEX(_ZIG_Cadastro!$G:$G,MATCH(I147,_ZIG_Cadastro!$A:$A,0)),IF(NOT(ISERROR(MATCH(I147,_Entradas_ZIG!$C:$C,0))),"Ativo","—"))</f>
        <v/>
      </c>
      <c r="N147" s="102">
        <f>IFERROR(INDEX(_ZIG_Cadastro!$E:$E,MATCH(I147,_ZIG_Cadastro!$A:$A,0)),IFERROR(INDEX(_Entradas_ZIG!$F:$F,MATCH(I147,_Entradas_ZIG!$C:$C,0)),"—"))</f>
        <v/>
      </c>
      <c r="O147" s="99">
        <f>IF(AND(ISNUMBER(SEARCH("Espeto",N147)),ISNUMBER(SEARCH("Carin",N147))),"SIM","")</f>
        <v/>
      </c>
      <c r="P147" s="99">
        <f>IF(AND(ISNUMBER(SEARCH("Espeto",N147)),ISNUMBER(SEARCH("Lapa",N147))),"SIM","")</f>
        <v/>
      </c>
      <c r="Q147" s="99">
        <f>IF(AND(ISNUMBER(SEARCH("Espeto",N147)),ISNUMBER(SEARCH("Tatuapé",N147))),"SIM","")</f>
        <v/>
      </c>
      <c r="R147" s="99">
        <f>IF(AND(ISNUMBER(SEARCH("Espeto",N147)),ISNUMBER(SEARCH("Pavão",N147))),"SIM","")</f>
        <v/>
      </c>
      <c r="S147" s="99">
        <f>IF(AND(ISNUMBER(SEARCH("Espeto",N147)),ISNUMBER(SEARCH("Chac",N147))),"SIM","")</f>
        <v/>
      </c>
      <c r="T147" s="99">
        <f>IF(AND(ISNUMBER(SEARCH("Espeto",N147)),ISNUMBER(SEARCH("Madalena",N147))),"SIM","")</f>
        <v/>
      </c>
      <c r="U147" s="99">
        <f>IF(AND(ISNUMBER(SEARCH("Espeto",N147)),ISNUMBER(SEARCH("Mariana",N147))),"SIM","")</f>
        <v/>
      </c>
      <c r="V147" s="99">
        <f>IF(AND(ISNUMBER(SEARCH("Espeto",N147)),ISNUMBER(SEARCH("Perdizes",N147))),"SIM","")</f>
        <v/>
      </c>
      <c r="W147" s="99">
        <f>IF(AND(ISNUMBER(SEARCH("Espeto",N147)),ISNUMBER(SEARCH("Santana",N147))),"SIM","")</f>
        <v/>
      </c>
      <c r="X147" s="99">
        <f>IF(AND(ISNUMBER(SEARCH("Espeto",N147)),ISNUMBER(SEARCH("André",N147))),"SIM","")</f>
        <v/>
      </c>
      <c r="Y147" s="99">
        <f>IF(AND(ISNUMBER(SEARCH("Delivery",N147)),ISNUMBER(SEARCH("Carin",N147))),"SIM","")</f>
        <v/>
      </c>
      <c r="Z147" s="99">
        <f>IF(AND(ISNUMBER(SEARCH("Delivery",N147)),ISNUMBER(SEARCH("Lapa",N147))),"SIM","")</f>
        <v/>
      </c>
      <c r="AA147" s="99">
        <f>IF(AND(ISNUMBER(SEARCH("Delivery",N147)),ISNUMBER(SEARCH("Tatuapé",N147))),"SIM","")</f>
        <v/>
      </c>
      <c r="AB147" s="99">
        <f>IF(AND(ISNUMBER(SEARCH("Delivery",N147)),ISNUMBER(SEARCH("Pavão",N147))),"SIM","")</f>
        <v/>
      </c>
      <c r="AC147" s="99">
        <f>IF(AND(ISNUMBER(SEARCH("Delivery",N147)),ISNUMBER(SEARCH("Chac",N147))),"SIM","")</f>
        <v/>
      </c>
      <c r="AD147" s="99">
        <f>IF(AND(ISNUMBER(SEARCH("Delivery",N147)),ISNUMBER(SEARCH("Madalena",N147))),"SIM","")</f>
        <v/>
      </c>
      <c r="AE147" s="99">
        <f>IF(AND(ISNUMBER(SEARCH("Delivery",N147)),ISNUMBER(SEARCH("Mariana",N147))),"SIM","")</f>
        <v/>
      </c>
      <c r="AF147" s="99">
        <f>IF(AND(ISNUMBER(SEARCH("Delivery",N147)),ISNUMBER(SEARCH("Perdizes",N147))),"SIM","")</f>
        <v/>
      </c>
      <c r="AG147" s="99">
        <f>IF(AND(ISNUMBER(SEARCH("Delivery",N147)),ISNUMBER(SEARCH("Santana",N147))),"SIM","")</f>
        <v/>
      </c>
      <c r="AH147" s="99">
        <f>IF(AND(ISNUMBER(SEARCH("Delivery",N147)),ISNUMBER(SEARCH("André",N147))),"SIM","")</f>
        <v/>
      </c>
      <c r="AI147" s="99">
        <f>IF(ISNUMBER(SEARCH("Interlagos",N147)),"SIM","")</f>
        <v/>
      </c>
      <c r="AJ147" s="99">
        <f>IF(ISNUMBER(SEARCH("Quiosque",N147)),"SIM","")</f>
        <v/>
      </c>
      <c r="AK147" s="101" t="n"/>
    </row>
    <row r="148">
      <c r="A148" s="88" t="inlineStr">
        <is>
          <t>Protheus</t>
        </is>
      </c>
      <c r="B148" s="89" t="inlineStr">
        <is>
          <t>001058</t>
        </is>
      </c>
      <c r="C148" s="90">
        <f>IF(B148="—","—",IFERROR(VLOOKUP(B148,_Protheus_Cadastro!$A:$B,2,FALSE),"—"))</f>
        <v/>
      </c>
      <c r="D148" s="91">
        <f>IF(B148="—",IFERROR(INDEX(_ZIG_Cadastro!$D:$D,MATCH(H148,_ZIG_Cadastro!$A:$A,0)),"Produto"),IFERROR(VLOOKUP(B148,_Protheus_Cadastro!$A:$C,3,FALSE),"—"))</f>
        <v/>
      </c>
      <c r="E148" s="91">
        <f>IF(B148="—","—",IFERROR(VLOOKUP(B148,_Protheus_Cadastro!$A:$D,4,FALSE),"—"))</f>
        <v/>
      </c>
      <c r="F148" s="91">
        <f>IF(ISERROR(VLOOKUP(B148,'Estrutura Protheus'!A:A,1,FALSE)),"Não","Sim")</f>
        <v/>
      </c>
      <c r="G148" s="92">
        <f>IFERROR(INDEX(_Protheus_Cadastro!$H:$H,MATCH(B148,_Protheus_Cadastro!$A:$A,0)),"—")</f>
        <v/>
      </c>
      <c r="H148" s="210">
        <f>IFERROR(INDEX(_ZIG_Precos!$D:$D,MATCH(I148,_ZIG_Precos!$F:$F,0)),"—")</f>
        <v/>
      </c>
      <c r="I148" s="95">
        <f>IFERROR(VLOOKUP(B148,_Protheus_Cadastro!$A:$I,9,FALSE),"—")</f>
        <v/>
      </c>
      <c r="J148" s="93">
        <f>IFERROR(INDEX(_ZIG_Cadastro!$B:$B,MATCH(I148,_ZIG_Cadastro!$A:$A,0)),IFERROR(INDEX(_Entradas_ZIG!$B:$B,MATCH(I148,_Entradas_ZIG!$C:$C,0)),"—"))</f>
        <v/>
      </c>
      <c r="K148" s="93">
        <f>IFERROR(INDEX(_ZIG_Cadastro!$C:$C,MATCH(I148,_ZIG_Cadastro!$A:$A,0)),IFERROR(INDEX(_Entradas_ZIG!$D:$D,MATCH(I148,_Entradas_ZIG!$C:$C,0)),"—"))</f>
        <v/>
      </c>
      <c r="L148" s="92">
        <f>IF(I148="","Sem SKU ZIG",IF(I148="—","Sem SKU ZIG",IF(NOT(ISERROR(MATCH(I148,_ZIG_Cadastro!$A:$A,0))),IF(EXACT(UPPER(TRIM(C148)),UPPER(TRIM(INDEX(_ZIG_Cadastro!$B:$B,MATCH(I148,_ZIG_Cadastro!$A:$A,0))))),"OK","Atencao - Nome diverge"),IF(NOT(ISERROR(MATCH(I148,_Entradas_ZIG!$C:$C,0))),"OK","Erro - SKU nao encontrado"))))</f>
        <v/>
      </c>
      <c r="M148" s="92">
        <f>IFERROR(INDEX(_ZIG_Cadastro!$G:$G,MATCH(I148,_ZIG_Cadastro!$A:$A,0)),IF(NOT(ISERROR(MATCH(I148,_Entradas_ZIG!$C:$C,0))),"Ativo","—"))</f>
        <v/>
      </c>
      <c r="N148" s="94">
        <f>IFERROR(INDEX(_ZIG_Cadastro!$E:$E,MATCH(I148,_ZIG_Cadastro!$A:$A,0)),IFERROR(INDEX(_Entradas_ZIG!$F:$F,MATCH(I148,_Entradas_ZIG!$C:$C,0)),"—"))</f>
        <v/>
      </c>
      <c r="O148" s="92">
        <f>IF(AND(ISNUMBER(SEARCH("Espeto",N148)),ISNUMBER(SEARCH("Carin",N148))),"SIM","")</f>
        <v/>
      </c>
      <c r="P148" s="92">
        <f>IF(AND(ISNUMBER(SEARCH("Espeto",N148)),ISNUMBER(SEARCH("Lapa",N148))),"SIM","")</f>
        <v/>
      </c>
      <c r="Q148" s="92">
        <f>IF(AND(ISNUMBER(SEARCH("Espeto",N148)),ISNUMBER(SEARCH("Tatuapé",N148))),"SIM","")</f>
        <v/>
      </c>
      <c r="R148" s="92">
        <f>IF(AND(ISNUMBER(SEARCH("Espeto",N148)),ISNUMBER(SEARCH("Pavão",N148))),"SIM","")</f>
        <v/>
      </c>
      <c r="S148" s="92">
        <f>IF(AND(ISNUMBER(SEARCH("Espeto",N148)),ISNUMBER(SEARCH("Chac",N148))),"SIM","")</f>
        <v/>
      </c>
      <c r="T148" s="92">
        <f>IF(AND(ISNUMBER(SEARCH("Espeto",N148)),ISNUMBER(SEARCH("Madalena",N148))),"SIM","")</f>
        <v/>
      </c>
      <c r="U148" s="92">
        <f>IF(AND(ISNUMBER(SEARCH("Espeto",N148)),ISNUMBER(SEARCH("Mariana",N148))),"SIM","")</f>
        <v/>
      </c>
      <c r="V148" s="92">
        <f>IF(AND(ISNUMBER(SEARCH("Espeto",N148)),ISNUMBER(SEARCH("Perdizes",N148))),"SIM","")</f>
        <v/>
      </c>
      <c r="W148" s="92">
        <f>IF(AND(ISNUMBER(SEARCH("Espeto",N148)),ISNUMBER(SEARCH("Santana",N148))),"SIM","")</f>
        <v/>
      </c>
      <c r="X148" s="92">
        <f>IF(AND(ISNUMBER(SEARCH("Espeto",N148)),ISNUMBER(SEARCH("André",N148))),"SIM","")</f>
        <v/>
      </c>
      <c r="Y148" s="92">
        <f>IF(AND(ISNUMBER(SEARCH("Delivery",N148)),ISNUMBER(SEARCH("Carin",N148))),"SIM","")</f>
        <v/>
      </c>
      <c r="Z148" s="92">
        <f>IF(AND(ISNUMBER(SEARCH("Delivery",N148)),ISNUMBER(SEARCH("Lapa",N148))),"SIM","")</f>
        <v/>
      </c>
      <c r="AA148" s="92">
        <f>IF(AND(ISNUMBER(SEARCH("Delivery",N148)),ISNUMBER(SEARCH("Tatuapé",N148))),"SIM","")</f>
        <v/>
      </c>
      <c r="AB148" s="92">
        <f>IF(AND(ISNUMBER(SEARCH("Delivery",N148)),ISNUMBER(SEARCH("Pavão",N148))),"SIM","")</f>
        <v/>
      </c>
      <c r="AC148" s="92">
        <f>IF(AND(ISNUMBER(SEARCH("Delivery",N148)),ISNUMBER(SEARCH("Chac",N148))),"SIM","")</f>
        <v/>
      </c>
      <c r="AD148" s="92">
        <f>IF(AND(ISNUMBER(SEARCH("Delivery",N148)),ISNUMBER(SEARCH("Madalena",N148))),"SIM","")</f>
        <v/>
      </c>
      <c r="AE148" s="92">
        <f>IF(AND(ISNUMBER(SEARCH("Delivery",N148)),ISNUMBER(SEARCH("Mariana",N148))),"SIM","")</f>
        <v/>
      </c>
      <c r="AF148" s="92">
        <f>IF(AND(ISNUMBER(SEARCH("Delivery",N148)),ISNUMBER(SEARCH("Perdizes",N148))),"SIM","")</f>
        <v/>
      </c>
      <c r="AG148" s="92">
        <f>IF(AND(ISNUMBER(SEARCH("Delivery",N148)),ISNUMBER(SEARCH("Santana",N148))),"SIM","")</f>
        <v/>
      </c>
      <c r="AH148" s="92">
        <f>IF(AND(ISNUMBER(SEARCH("Delivery",N148)),ISNUMBER(SEARCH("André",N148))),"SIM","")</f>
        <v/>
      </c>
      <c r="AI148" s="92">
        <f>IF(ISNUMBER(SEARCH("Interlagos",N148)),"SIM","")</f>
        <v/>
      </c>
      <c r="AJ148" s="92">
        <f>IF(ISNUMBER(SEARCH("Quiosque",N148)),"SIM","")</f>
        <v/>
      </c>
      <c r="AK148" s="93" t="n"/>
    </row>
    <row r="149">
      <c r="A149" s="88" t="inlineStr">
        <is>
          <t>Protheus</t>
        </is>
      </c>
      <c r="B149" s="96" t="inlineStr">
        <is>
          <t>001216</t>
        </is>
      </c>
      <c r="C149" s="97">
        <f>IF(B149="—","—",IFERROR(VLOOKUP(B149,_Protheus_Cadastro!$A:$B,2,FALSE),"—"))</f>
        <v/>
      </c>
      <c r="D149" s="98">
        <f>IF(B149="—",IFERROR(INDEX(_ZIG_Cadastro!$D:$D,MATCH(H149,_ZIG_Cadastro!$A:$A,0)),"Produto"),IFERROR(VLOOKUP(B149,_Protheus_Cadastro!$A:$C,3,FALSE),"—"))</f>
        <v/>
      </c>
      <c r="E149" s="98">
        <f>IF(B149="—","—",IFERROR(VLOOKUP(B149,_Protheus_Cadastro!$A:$D,4,FALSE),"—"))</f>
        <v/>
      </c>
      <c r="F149" s="98">
        <f>IF(ISERROR(VLOOKUP(B149,'Estrutura Protheus'!A:A,1,FALSE)),"Não","Sim")</f>
        <v/>
      </c>
      <c r="G149" s="99">
        <f>IFERROR(INDEX(_Protheus_Cadastro!$H:$H,MATCH(B149,_Protheus_Cadastro!$A:$A,0)),"—")</f>
        <v/>
      </c>
      <c r="H149" s="211">
        <f>IFERROR(INDEX(_ZIG_Precos!$D:$D,MATCH(I149,_ZIG_Precos!$F:$F,0)),"—")</f>
        <v/>
      </c>
      <c r="I149" s="103">
        <f>IFERROR(VLOOKUP(B149,_Protheus_Cadastro!$A:$I,9,FALSE),"—")</f>
        <v/>
      </c>
      <c r="J149" s="101">
        <f>IFERROR(INDEX(_ZIG_Cadastro!$B:$B,MATCH(I149,_ZIG_Cadastro!$A:$A,0)),IFERROR(INDEX(_Entradas_ZIG!$B:$B,MATCH(I149,_Entradas_ZIG!$C:$C,0)),"—"))</f>
        <v/>
      </c>
      <c r="K149" s="101">
        <f>IFERROR(INDEX(_ZIG_Cadastro!$C:$C,MATCH(I149,_ZIG_Cadastro!$A:$A,0)),IFERROR(INDEX(_Entradas_ZIG!$D:$D,MATCH(I149,_Entradas_ZIG!$C:$C,0)),"—"))</f>
        <v/>
      </c>
      <c r="L149" s="99">
        <f>IF(I149="","Sem SKU ZIG",IF(I149="—","Sem SKU ZIG",IF(NOT(ISERROR(MATCH(I149,_ZIG_Cadastro!$A:$A,0))),IF(EXACT(UPPER(TRIM(C149)),UPPER(TRIM(INDEX(_ZIG_Cadastro!$B:$B,MATCH(I149,_ZIG_Cadastro!$A:$A,0))))),"OK","Atencao - Nome diverge"),IF(NOT(ISERROR(MATCH(I149,_Entradas_ZIG!$C:$C,0))),"OK","Erro - SKU nao encontrado"))))</f>
        <v/>
      </c>
      <c r="M149" s="99">
        <f>IFERROR(INDEX(_ZIG_Cadastro!$G:$G,MATCH(I149,_ZIG_Cadastro!$A:$A,0)),IF(NOT(ISERROR(MATCH(I149,_Entradas_ZIG!$C:$C,0))),"Ativo","—"))</f>
        <v/>
      </c>
      <c r="N149" s="102">
        <f>IFERROR(INDEX(_ZIG_Cadastro!$E:$E,MATCH(I149,_ZIG_Cadastro!$A:$A,0)),IFERROR(INDEX(_Entradas_ZIG!$F:$F,MATCH(I149,_Entradas_ZIG!$C:$C,0)),"—"))</f>
        <v/>
      </c>
      <c r="O149" s="99">
        <f>IF(AND(ISNUMBER(SEARCH("Espeto",N149)),ISNUMBER(SEARCH("Carin",N149))),"SIM","")</f>
        <v/>
      </c>
      <c r="P149" s="99">
        <f>IF(AND(ISNUMBER(SEARCH("Espeto",N149)),ISNUMBER(SEARCH("Lapa",N149))),"SIM","")</f>
        <v/>
      </c>
      <c r="Q149" s="99">
        <f>IF(AND(ISNUMBER(SEARCH("Espeto",N149)),ISNUMBER(SEARCH("Tatuapé",N149))),"SIM","")</f>
        <v/>
      </c>
      <c r="R149" s="99">
        <f>IF(AND(ISNUMBER(SEARCH("Espeto",N149)),ISNUMBER(SEARCH("Pavão",N149))),"SIM","")</f>
        <v/>
      </c>
      <c r="S149" s="99">
        <f>IF(AND(ISNUMBER(SEARCH("Espeto",N149)),ISNUMBER(SEARCH("Chac",N149))),"SIM","")</f>
        <v/>
      </c>
      <c r="T149" s="99">
        <f>IF(AND(ISNUMBER(SEARCH("Espeto",N149)),ISNUMBER(SEARCH("Madalena",N149))),"SIM","")</f>
        <v/>
      </c>
      <c r="U149" s="99">
        <f>IF(AND(ISNUMBER(SEARCH("Espeto",N149)),ISNUMBER(SEARCH("Mariana",N149))),"SIM","")</f>
        <v/>
      </c>
      <c r="V149" s="99">
        <f>IF(AND(ISNUMBER(SEARCH("Espeto",N149)),ISNUMBER(SEARCH("Perdizes",N149))),"SIM","")</f>
        <v/>
      </c>
      <c r="W149" s="99">
        <f>IF(AND(ISNUMBER(SEARCH("Espeto",N149)),ISNUMBER(SEARCH("Santana",N149))),"SIM","")</f>
        <v/>
      </c>
      <c r="X149" s="99">
        <f>IF(AND(ISNUMBER(SEARCH("Espeto",N149)),ISNUMBER(SEARCH("André",N149))),"SIM","")</f>
        <v/>
      </c>
      <c r="Y149" s="99">
        <f>IF(AND(ISNUMBER(SEARCH("Delivery",N149)),ISNUMBER(SEARCH("Carin",N149))),"SIM","")</f>
        <v/>
      </c>
      <c r="Z149" s="99">
        <f>IF(AND(ISNUMBER(SEARCH("Delivery",N149)),ISNUMBER(SEARCH("Lapa",N149))),"SIM","")</f>
        <v/>
      </c>
      <c r="AA149" s="99">
        <f>IF(AND(ISNUMBER(SEARCH("Delivery",N149)),ISNUMBER(SEARCH("Tatuapé",N149))),"SIM","")</f>
        <v/>
      </c>
      <c r="AB149" s="99">
        <f>IF(AND(ISNUMBER(SEARCH("Delivery",N149)),ISNUMBER(SEARCH("Pavão",N149))),"SIM","")</f>
        <v/>
      </c>
      <c r="AC149" s="99">
        <f>IF(AND(ISNUMBER(SEARCH("Delivery",N149)),ISNUMBER(SEARCH("Chac",N149))),"SIM","")</f>
        <v/>
      </c>
      <c r="AD149" s="99">
        <f>IF(AND(ISNUMBER(SEARCH("Delivery",N149)),ISNUMBER(SEARCH("Madalena",N149))),"SIM","")</f>
        <v/>
      </c>
      <c r="AE149" s="99">
        <f>IF(AND(ISNUMBER(SEARCH("Delivery",N149)),ISNUMBER(SEARCH("Mariana",N149))),"SIM","")</f>
        <v/>
      </c>
      <c r="AF149" s="99">
        <f>IF(AND(ISNUMBER(SEARCH("Delivery",N149)),ISNUMBER(SEARCH("Perdizes",N149))),"SIM","")</f>
        <v/>
      </c>
      <c r="AG149" s="99">
        <f>IF(AND(ISNUMBER(SEARCH("Delivery",N149)),ISNUMBER(SEARCH("Santana",N149))),"SIM","")</f>
        <v/>
      </c>
      <c r="AH149" s="99">
        <f>IF(AND(ISNUMBER(SEARCH("Delivery",N149)),ISNUMBER(SEARCH("André",N149))),"SIM","")</f>
        <v/>
      </c>
      <c r="AI149" s="99">
        <f>IF(ISNUMBER(SEARCH("Interlagos",N149)),"SIM","")</f>
        <v/>
      </c>
      <c r="AJ149" s="99">
        <f>IF(ISNUMBER(SEARCH("Quiosque",N149)),"SIM","")</f>
        <v/>
      </c>
      <c r="AK149" s="101" t="n"/>
    </row>
    <row r="150">
      <c r="A150" s="88" t="inlineStr">
        <is>
          <t>Protheus</t>
        </is>
      </c>
      <c r="B150" s="89" t="inlineStr">
        <is>
          <t>002017</t>
        </is>
      </c>
      <c r="C150" s="90">
        <f>IF(B150="—","—",IFERROR(VLOOKUP(B150,_Protheus_Cadastro!$A:$B,2,FALSE),"—"))</f>
        <v/>
      </c>
      <c r="D150" s="91">
        <f>IF(B150="—",IFERROR(INDEX(_ZIG_Cadastro!$D:$D,MATCH(H150,_ZIG_Cadastro!$A:$A,0)),"Produto"),IFERROR(VLOOKUP(B150,_Protheus_Cadastro!$A:$C,3,FALSE),"—"))</f>
        <v/>
      </c>
      <c r="E150" s="91">
        <f>IF(B150="—","—",IFERROR(VLOOKUP(B150,_Protheus_Cadastro!$A:$D,4,FALSE),"—"))</f>
        <v/>
      </c>
      <c r="F150" s="91">
        <f>IF(ISERROR(VLOOKUP(B150,'Estrutura Protheus'!A:A,1,FALSE)),"Não","Sim")</f>
        <v/>
      </c>
      <c r="G150" s="92">
        <f>IFERROR(INDEX(_Protheus_Cadastro!$H:$H,MATCH(B150,_Protheus_Cadastro!$A:$A,0)),"—")</f>
        <v/>
      </c>
      <c r="H150" s="210">
        <f>IFERROR(INDEX(_ZIG_Precos!$D:$D,MATCH(I150,_ZIG_Precos!$F:$F,0)),"—")</f>
        <v/>
      </c>
      <c r="I150" s="95">
        <f>IFERROR(VLOOKUP(B150,_Protheus_Cadastro!$A:$I,9,FALSE),"—")</f>
        <v/>
      </c>
      <c r="J150" s="93">
        <f>IFERROR(INDEX(_ZIG_Cadastro!$B:$B,MATCH(I150,_ZIG_Cadastro!$A:$A,0)),IFERROR(INDEX(_Entradas_ZIG!$B:$B,MATCH(I150,_Entradas_ZIG!$C:$C,0)),"—"))</f>
        <v/>
      </c>
      <c r="K150" s="93">
        <f>IFERROR(INDEX(_ZIG_Cadastro!$C:$C,MATCH(I150,_ZIG_Cadastro!$A:$A,0)),IFERROR(INDEX(_Entradas_ZIG!$D:$D,MATCH(I150,_Entradas_ZIG!$C:$C,0)),"—"))</f>
        <v/>
      </c>
      <c r="L150" s="92">
        <f>IF(I150="","Sem SKU ZIG",IF(I150="—","Sem SKU ZIG",IF(NOT(ISERROR(MATCH(I150,_ZIG_Cadastro!$A:$A,0))),IF(EXACT(UPPER(TRIM(C150)),UPPER(TRIM(INDEX(_ZIG_Cadastro!$B:$B,MATCH(I150,_ZIG_Cadastro!$A:$A,0))))),"OK","Atencao - Nome diverge"),IF(NOT(ISERROR(MATCH(I150,_Entradas_ZIG!$C:$C,0))),"OK","Erro - SKU nao encontrado"))))</f>
        <v/>
      </c>
      <c r="M150" s="92">
        <f>IFERROR(INDEX(_ZIG_Cadastro!$G:$G,MATCH(I150,_ZIG_Cadastro!$A:$A,0)),IF(NOT(ISERROR(MATCH(I150,_Entradas_ZIG!$C:$C,0))),"Ativo","—"))</f>
        <v/>
      </c>
      <c r="N150" s="94">
        <f>IFERROR(INDEX(_ZIG_Cadastro!$E:$E,MATCH(I150,_ZIG_Cadastro!$A:$A,0)),IFERROR(INDEX(_Entradas_ZIG!$F:$F,MATCH(I150,_Entradas_ZIG!$C:$C,0)),"—"))</f>
        <v/>
      </c>
      <c r="O150" s="92">
        <f>IF(AND(ISNUMBER(SEARCH("Espeto",N150)),ISNUMBER(SEARCH("Carin",N150))),"SIM","")</f>
        <v/>
      </c>
      <c r="P150" s="92">
        <f>IF(AND(ISNUMBER(SEARCH("Espeto",N150)),ISNUMBER(SEARCH("Lapa",N150))),"SIM","")</f>
        <v/>
      </c>
      <c r="Q150" s="92">
        <f>IF(AND(ISNUMBER(SEARCH("Espeto",N150)),ISNUMBER(SEARCH("Tatuapé",N150))),"SIM","")</f>
        <v/>
      </c>
      <c r="R150" s="92">
        <f>IF(AND(ISNUMBER(SEARCH("Espeto",N150)),ISNUMBER(SEARCH("Pavão",N150))),"SIM","")</f>
        <v/>
      </c>
      <c r="S150" s="92">
        <f>IF(AND(ISNUMBER(SEARCH("Espeto",N150)),ISNUMBER(SEARCH("Chac",N150))),"SIM","")</f>
        <v/>
      </c>
      <c r="T150" s="92">
        <f>IF(AND(ISNUMBER(SEARCH("Espeto",N150)),ISNUMBER(SEARCH("Madalena",N150))),"SIM","")</f>
        <v/>
      </c>
      <c r="U150" s="92">
        <f>IF(AND(ISNUMBER(SEARCH("Espeto",N150)),ISNUMBER(SEARCH("Mariana",N150))),"SIM","")</f>
        <v/>
      </c>
      <c r="V150" s="92">
        <f>IF(AND(ISNUMBER(SEARCH("Espeto",N150)),ISNUMBER(SEARCH("Perdizes",N150))),"SIM","")</f>
        <v/>
      </c>
      <c r="W150" s="92">
        <f>IF(AND(ISNUMBER(SEARCH("Espeto",N150)),ISNUMBER(SEARCH("Santana",N150))),"SIM","")</f>
        <v/>
      </c>
      <c r="X150" s="92">
        <f>IF(AND(ISNUMBER(SEARCH("Espeto",N150)),ISNUMBER(SEARCH("André",N150))),"SIM","")</f>
        <v/>
      </c>
      <c r="Y150" s="92">
        <f>IF(AND(ISNUMBER(SEARCH("Delivery",N150)),ISNUMBER(SEARCH("Carin",N150))),"SIM","")</f>
        <v/>
      </c>
      <c r="Z150" s="92">
        <f>IF(AND(ISNUMBER(SEARCH("Delivery",N150)),ISNUMBER(SEARCH("Lapa",N150))),"SIM","")</f>
        <v/>
      </c>
      <c r="AA150" s="92">
        <f>IF(AND(ISNUMBER(SEARCH("Delivery",N150)),ISNUMBER(SEARCH("Tatuapé",N150))),"SIM","")</f>
        <v/>
      </c>
      <c r="AB150" s="92">
        <f>IF(AND(ISNUMBER(SEARCH("Delivery",N150)),ISNUMBER(SEARCH("Pavão",N150))),"SIM","")</f>
        <v/>
      </c>
      <c r="AC150" s="92">
        <f>IF(AND(ISNUMBER(SEARCH("Delivery",N150)),ISNUMBER(SEARCH("Chac",N150))),"SIM","")</f>
        <v/>
      </c>
      <c r="AD150" s="92">
        <f>IF(AND(ISNUMBER(SEARCH("Delivery",N150)),ISNUMBER(SEARCH("Madalena",N150))),"SIM","")</f>
        <v/>
      </c>
      <c r="AE150" s="92">
        <f>IF(AND(ISNUMBER(SEARCH("Delivery",N150)),ISNUMBER(SEARCH("Mariana",N150))),"SIM","")</f>
        <v/>
      </c>
      <c r="AF150" s="92">
        <f>IF(AND(ISNUMBER(SEARCH("Delivery",N150)),ISNUMBER(SEARCH("Perdizes",N150))),"SIM","")</f>
        <v/>
      </c>
      <c r="AG150" s="92">
        <f>IF(AND(ISNUMBER(SEARCH("Delivery",N150)),ISNUMBER(SEARCH("Santana",N150))),"SIM","")</f>
        <v/>
      </c>
      <c r="AH150" s="92">
        <f>IF(AND(ISNUMBER(SEARCH("Delivery",N150)),ISNUMBER(SEARCH("André",N150))),"SIM","")</f>
        <v/>
      </c>
      <c r="AI150" s="92">
        <f>IF(ISNUMBER(SEARCH("Interlagos",N150)),"SIM","")</f>
        <v/>
      </c>
      <c r="AJ150" s="92">
        <f>IF(ISNUMBER(SEARCH("Quiosque",N150)),"SIM","")</f>
        <v/>
      </c>
      <c r="AK150" s="93" t="n"/>
    </row>
    <row r="151">
      <c r="A151" s="88" t="inlineStr">
        <is>
          <t>Protheus</t>
        </is>
      </c>
      <c r="B151" s="96" t="inlineStr">
        <is>
          <t>001501</t>
        </is>
      </c>
      <c r="C151" s="97">
        <f>IF(B151="—","—",IFERROR(VLOOKUP(B151,_Protheus_Cadastro!$A:$B,2,FALSE),"—"))</f>
        <v/>
      </c>
      <c r="D151" s="98">
        <f>IF(B151="—",IFERROR(INDEX(_ZIG_Cadastro!$D:$D,MATCH(H151,_ZIG_Cadastro!$A:$A,0)),"Produto"),IFERROR(VLOOKUP(B151,_Protheus_Cadastro!$A:$C,3,FALSE),"—"))</f>
        <v/>
      </c>
      <c r="E151" s="98">
        <f>IF(B151="—","—",IFERROR(VLOOKUP(B151,_Protheus_Cadastro!$A:$D,4,FALSE),"—"))</f>
        <v/>
      </c>
      <c r="F151" s="98">
        <f>IF(ISERROR(VLOOKUP(B151,'Estrutura Protheus'!A:A,1,FALSE)),"Não","Sim")</f>
        <v/>
      </c>
      <c r="G151" s="99">
        <f>IFERROR(INDEX(_Protheus_Cadastro!$H:$H,MATCH(B151,_Protheus_Cadastro!$A:$A,0)),"—")</f>
        <v/>
      </c>
      <c r="H151" s="211">
        <f>IFERROR(INDEX(_ZIG_Precos!$D:$D,MATCH(I151,_ZIG_Precos!$F:$F,0)),"—")</f>
        <v/>
      </c>
      <c r="I151" s="103">
        <f>IFERROR(VLOOKUP(B151,_Protheus_Cadastro!$A:$I,9,FALSE),"—")</f>
        <v/>
      </c>
      <c r="J151" s="101">
        <f>IFERROR(INDEX(_ZIG_Cadastro!$B:$B,MATCH(I151,_ZIG_Cadastro!$A:$A,0)),IFERROR(INDEX(_Entradas_ZIG!$B:$B,MATCH(I151,_Entradas_ZIG!$C:$C,0)),"—"))</f>
        <v/>
      </c>
      <c r="K151" s="101">
        <f>IFERROR(INDEX(_ZIG_Cadastro!$C:$C,MATCH(I151,_ZIG_Cadastro!$A:$A,0)),IFERROR(INDEX(_Entradas_ZIG!$D:$D,MATCH(I151,_Entradas_ZIG!$C:$C,0)),"—"))</f>
        <v/>
      </c>
      <c r="L151" s="99">
        <f>IF(I151="","Sem SKU ZIG",IF(I151="—","Sem SKU ZIG",IF(NOT(ISERROR(MATCH(I151,_ZIG_Cadastro!$A:$A,0))),IF(EXACT(UPPER(TRIM(C151)),UPPER(TRIM(INDEX(_ZIG_Cadastro!$B:$B,MATCH(I151,_ZIG_Cadastro!$A:$A,0))))),"OK","Atencao - Nome diverge"),IF(NOT(ISERROR(MATCH(I151,_Entradas_ZIG!$C:$C,0))),"OK","Erro - SKU nao encontrado"))))</f>
        <v/>
      </c>
      <c r="M151" s="99">
        <f>IFERROR(INDEX(_ZIG_Cadastro!$G:$G,MATCH(I151,_ZIG_Cadastro!$A:$A,0)),IF(NOT(ISERROR(MATCH(I151,_Entradas_ZIG!$C:$C,0))),"Ativo","—"))</f>
        <v/>
      </c>
      <c r="N151" s="102">
        <f>IFERROR(INDEX(_ZIG_Cadastro!$E:$E,MATCH(I151,_ZIG_Cadastro!$A:$A,0)),IFERROR(INDEX(_Entradas_ZIG!$F:$F,MATCH(I151,_Entradas_ZIG!$C:$C,0)),"—"))</f>
        <v/>
      </c>
      <c r="O151" s="99">
        <f>IF(AND(ISNUMBER(SEARCH("Espeto",N151)),ISNUMBER(SEARCH("Carin",N151))),"SIM","")</f>
        <v/>
      </c>
      <c r="P151" s="99">
        <f>IF(AND(ISNUMBER(SEARCH("Espeto",N151)),ISNUMBER(SEARCH("Lapa",N151))),"SIM","")</f>
        <v/>
      </c>
      <c r="Q151" s="99">
        <f>IF(AND(ISNUMBER(SEARCH("Espeto",N151)),ISNUMBER(SEARCH("Tatuapé",N151))),"SIM","")</f>
        <v/>
      </c>
      <c r="R151" s="99">
        <f>IF(AND(ISNUMBER(SEARCH("Espeto",N151)),ISNUMBER(SEARCH("Pavão",N151))),"SIM","")</f>
        <v/>
      </c>
      <c r="S151" s="99">
        <f>IF(AND(ISNUMBER(SEARCH("Espeto",N151)),ISNUMBER(SEARCH("Chac",N151))),"SIM","")</f>
        <v/>
      </c>
      <c r="T151" s="99">
        <f>IF(AND(ISNUMBER(SEARCH("Espeto",N151)),ISNUMBER(SEARCH("Madalena",N151))),"SIM","")</f>
        <v/>
      </c>
      <c r="U151" s="99">
        <f>IF(AND(ISNUMBER(SEARCH("Espeto",N151)),ISNUMBER(SEARCH("Mariana",N151))),"SIM","")</f>
        <v/>
      </c>
      <c r="V151" s="99">
        <f>IF(AND(ISNUMBER(SEARCH("Espeto",N151)),ISNUMBER(SEARCH("Perdizes",N151))),"SIM","")</f>
        <v/>
      </c>
      <c r="W151" s="99">
        <f>IF(AND(ISNUMBER(SEARCH("Espeto",N151)),ISNUMBER(SEARCH("Santana",N151))),"SIM","")</f>
        <v/>
      </c>
      <c r="X151" s="99">
        <f>IF(AND(ISNUMBER(SEARCH("Espeto",N151)),ISNUMBER(SEARCH("André",N151))),"SIM","")</f>
        <v/>
      </c>
      <c r="Y151" s="99">
        <f>IF(AND(ISNUMBER(SEARCH("Delivery",N151)),ISNUMBER(SEARCH("Carin",N151))),"SIM","")</f>
        <v/>
      </c>
      <c r="Z151" s="99">
        <f>IF(AND(ISNUMBER(SEARCH("Delivery",N151)),ISNUMBER(SEARCH("Lapa",N151))),"SIM","")</f>
        <v/>
      </c>
      <c r="AA151" s="99">
        <f>IF(AND(ISNUMBER(SEARCH("Delivery",N151)),ISNUMBER(SEARCH("Tatuapé",N151))),"SIM","")</f>
        <v/>
      </c>
      <c r="AB151" s="99">
        <f>IF(AND(ISNUMBER(SEARCH("Delivery",N151)),ISNUMBER(SEARCH("Pavão",N151))),"SIM","")</f>
        <v/>
      </c>
      <c r="AC151" s="99">
        <f>IF(AND(ISNUMBER(SEARCH("Delivery",N151)),ISNUMBER(SEARCH("Chac",N151))),"SIM","")</f>
        <v/>
      </c>
      <c r="AD151" s="99">
        <f>IF(AND(ISNUMBER(SEARCH("Delivery",N151)),ISNUMBER(SEARCH("Madalena",N151))),"SIM","")</f>
        <v/>
      </c>
      <c r="AE151" s="99">
        <f>IF(AND(ISNUMBER(SEARCH("Delivery",N151)),ISNUMBER(SEARCH("Mariana",N151))),"SIM","")</f>
        <v/>
      </c>
      <c r="AF151" s="99">
        <f>IF(AND(ISNUMBER(SEARCH("Delivery",N151)),ISNUMBER(SEARCH("Perdizes",N151))),"SIM","")</f>
        <v/>
      </c>
      <c r="AG151" s="99">
        <f>IF(AND(ISNUMBER(SEARCH("Delivery",N151)),ISNUMBER(SEARCH("Santana",N151))),"SIM","")</f>
        <v/>
      </c>
      <c r="AH151" s="99">
        <f>IF(AND(ISNUMBER(SEARCH("Delivery",N151)),ISNUMBER(SEARCH("André",N151))),"SIM","")</f>
        <v/>
      </c>
      <c r="AI151" s="99">
        <f>IF(ISNUMBER(SEARCH("Interlagos",N151)),"SIM","")</f>
        <v/>
      </c>
      <c r="AJ151" s="99">
        <f>IF(ISNUMBER(SEARCH("Quiosque",N151)),"SIM","")</f>
        <v/>
      </c>
      <c r="AK151" s="101" t="n"/>
    </row>
    <row r="152">
      <c r="A152" s="88" t="inlineStr">
        <is>
          <t>Protheus</t>
        </is>
      </c>
      <c r="B152" s="89" t="inlineStr">
        <is>
          <t>000772</t>
        </is>
      </c>
      <c r="C152" s="90">
        <f>IF(B152="—","—",IFERROR(VLOOKUP(B152,_Protheus_Cadastro!$A:$B,2,FALSE),"—"))</f>
        <v/>
      </c>
      <c r="D152" s="91">
        <f>IF(B152="—",IFERROR(INDEX(_ZIG_Cadastro!$D:$D,MATCH(H152,_ZIG_Cadastro!$A:$A,0)),"Produto"),IFERROR(VLOOKUP(B152,_Protheus_Cadastro!$A:$C,3,FALSE),"—"))</f>
        <v/>
      </c>
      <c r="E152" s="91">
        <f>IF(B152="—","—",IFERROR(VLOOKUP(B152,_Protheus_Cadastro!$A:$D,4,FALSE),"—"))</f>
        <v/>
      </c>
      <c r="F152" s="91">
        <f>IF(ISERROR(VLOOKUP(B152,'Estrutura Protheus'!A:A,1,FALSE)),"Não","Sim")</f>
        <v/>
      </c>
      <c r="G152" s="92">
        <f>IFERROR(INDEX(_Protheus_Cadastro!$H:$H,MATCH(B152,_Protheus_Cadastro!$A:$A,0)),"—")</f>
        <v/>
      </c>
      <c r="H152" s="210">
        <f>IFERROR(INDEX(_ZIG_Precos!$D:$D,MATCH(I152,_ZIG_Precos!$F:$F,0)),"—")</f>
        <v/>
      </c>
      <c r="I152" s="95">
        <f>IFERROR(VLOOKUP(B152,_Protheus_Cadastro!$A:$I,9,FALSE),"—")</f>
        <v/>
      </c>
      <c r="J152" s="93">
        <f>IFERROR(INDEX(_ZIG_Cadastro!$B:$B,MATCH(I152,_ZIG_Cadastro!$A:$A,0)),IFERROR(INDEX(_Entradas_ZIG!$B:$B,MATCH(I152,_Entradas_ZIG!$C:$C,0)),"—"))</f>
        <v/>
      </c>
      <c r="K152" s="93">
        <f>IFERROR(INDEX(_ZIG_Cadastro!$C:$C,MATCH(I152,_ZIG_Cadastro!$A:$A,0)),IFERROR(INDEX(_Entradas_ZIG!$D:$D,MATCH(I152,_Entradas_ZIG!$C:$C,0)),"—"))</f>
        <v/>
      </c>
      <c r="L152" s="92">
        <f>IF(I152="","Sem SKU ZIG",IF(I152="—","Sem SKU ZIG",IF(NOT(ISERROR(MATCH(I152,_ZIG_Cadastro!$A:$A,0))),IF(EXACT(UPPER(TRIM(C152)),UPPER(TRIM(INDEX(_ZIG_Cadastro!$B:$B,MATCH(I152,_ZIG_Cadastro!$A:$A,0))))),"OK","Atencao - Nome diverge"),IF(NOT(ISERROR(MATCH(I152,_Entradas_ZIG!$C:$C,0))),"OK","Erro - SKU nao encontrado"))))</f>
        <v/>
      </c>
      <c r="M152" s="92">
        <f>IFERROR(INDEX(_ZIG_Cadastro!$G:$G,MATCH(I152,_ZIG_Cadastro!$A:$A,0)),IF(NOT(ISERROR(MATCH(I152,_Entradas_ZIG!$C:$C,0))),"Ativo","—"))</f>
        <v/>
      </c>
      <c r="N152" s="94">
        <f>IFERROR(INDEX(_ZIG_Cadastro!$E:$E,MATCH(I152,_ZIG_Cadastro!$A:$A,0)),IFERROR(INDEX(_Entradas_ZIG!$F:$F,MATCH(I152,_Entradas_ZIG!$C:$C,0)),"—"))</f>
        <v/>
      </c>
      <c r="O152" s="92">
        <f>IF(AND(ISNUMBER(SEARCH("Espeto",N152)),ISNUMBER(SEARCH("Carin",N152))),"SIM","")</f>
        <v/>
      </c>
      <c r="P152" s="92">
        <f>IF(AND(ISNUMBER(SEARCH("Espeto",N152)),ISNUMBER(SEARCH("Lapa",N152))),"SIM","")</f>
        <v/>
      </c>
      <c r="Q152" s="92">
        <f>IF(AND(ISNUMBER(SEARCH("Espeto",N152)),ISNUMBER(SEARCH("Tatuapé",N152))),"SIM","")</f>
        <v/>
      </c>
      <c r="R152" s="92">
        <f>IF(AND(ISNUMBER(SEARCH("Espeto",N152)),ISNUMBER(SEARCH("Pavão",N152))),"SIM","")</f>
        <v/>
      </c>
      <c r="S152" s="92">
        <f>IF(AND(ISNUMBER(SEARCH("Espeto",N152)),ISNUMBER(SEARCH("Chac",N152))),"SIM","")</f>
        <v/>
      </c>
      <c r="T152" s="92">
        <f>IF(AND(ISNUMBER(SEARCH("Espeto",N152)),ISNUMBER(SEARCH("Madalena",N152))),"SIM","")</f>
        <v/>
      </c>
      <c r="U152" s="92">
        <f>IF(AND(ISNUMBER(SEARCH("Espeto",N152)),ISNUMBER(SEARCH("Mariana",N152))),"SIM","")</f>
        <v/>
      </c>
      <c r="V152" s="92">
        <f>IF(AND(ISNUMBER(SEARCH("Espeto",N152)),ISNUMBER(SEARCH("Perdizes",N152))),"SIM","")</f>
        <v/>
      </c>
      <c r="W152" s="92">
        <f>IF(AND(ISNUMBER(SEARCH("Espeto",N152)),ISNUMBER(SEARCH("Santana",N152))),"SIM","")</f>
        <v/>
      </c>
      <c r="X152" s="92">
        <f>IF(AND(ISNUMBER(SEARCH("Espeto",N152)),ISNUMBER(SEARCH("André",N152))),"SIM","")</f>
        <v/>
      </c>
      <c r="Y152" s="92">
        <f>IF(AND(ISNUMBER(SEARCH("Delivery",N152)),ISNUMBER(SEARCH("Carin",N152))),"SIM","")</f>
        <v/>
      </c>
      <c r="Z152" s="92">
        <f>IF(AND(ISNUMBER(SEARCH("Delivery",N152)),ISNUMBER(SEARCH("Lapa",N152))),"SIM","")</f>
        <v/>
      </c>
      <c r="AA152" s="92">
        <f>IF(AND(ISNUMBER(SEARCH("Delivery",N152)),ISNUMBER(SEARCH("Tatuapé",N152))),"SIM","")</f>
        <v/>
      </c>
      <c r="AB152" s="92">
        <f>IF(AND(ISNUMBER(SEARCH("Delivery",N152)),ISNUMBER(SEARCH("Pavão",N152))),"SIM","")</f>
        <v/>
      </c>
      <c r="AC152" s="92">
        <f>IF(AND(ISNUMBER(SEARCH("Delivery",N152)),ISNUMBER(SEARCH("Chac",N152))),"SIM","")</f>
        <v/>
      </c>
      <c r="AD152" s="92">
        <f>IF(AND(ISNUMBER(SEARCH("Delivery",N152)),ISNUMBER(SEARCH("Madalena",N152))),"SIM","")</f>
        <v/>
      </c>
      <c r="AE152" s="92">
        <f>IF(AND(ISNUMBER(SEARCH("Delivery",N152)),ISNUMBER(SEARCH("Mariana",N152))),"SIM","")</f>
        <v/>
      </c>
      <c r="AF152" s="92">
        <f>IF(AND(ISNUMBER(SEARCH("Delivery",N152)),ISNUMBER(SEARCH("Perdizes",N152))),"SIM","")</f>
        <v/>
      </c>
      <c r="AG152" s="92">
        <f>IF(AND(ISNUMBER(SEARCH("Delivery",N152)),ISNUMBER(SEARCH("Santana",N152))),"SIM","")</f>
        <v/>
      </c>
      <c r="AH152" s="92">
        <f>IF(AND(ISNUMBER(SEARCH("Delivery",N152)),ISNUMBER(SEARCH("André",N152))),"SIM","")</f>
        <v/>
      </c>
      <c r="AI152" s="92">
        <f>IF(ISNUMBER(SEARCH("Interlagos",N152)),"SIM","")</f>
        <v/>
      </c>
      <c r="AJ152" s="92">
        <f>IF(ISNUMBER(SEARCH("Quiosque",N152)),"SIM","")</f>
        <v/>
      </c>
      <c r="AK152" s="93" t="n"/>
    </row>
    <row r="153">
      <c r="A153" s="88" t="inlineStr">
        <is>
          <t>Protheus</t>
        </is>
      </c>
      <c r="B153" s="96" t="inlineStr">
        <is>
          <t>001393</t>
        </is>
      </c>
      <c r="C153" s="97">
        <f>IF(B153="—","—",IFERROR(VLOOKUP(B153,_Protheus_Cadastro!$A:$B,2,FALSE),"—"))</f>
        <v/>
      </c>
      <c r="D153" s="98">
        <f>IF(B153="—",IFERROR(INDEX(_ZIG_Cadastro!$D:$D,MATCH(H153,_ZIG_Cadastro!$A:$A,0)),"Produto"),IFERROR(VLOOKUP(B153,_Protheus_Cadastro!$A:$C,3,FALSE),"—"))</f>
        <v/>
      </c>
      <c r="E153" s="98">
        <f>IF(B153="—","—",IFERROR(VLOOKUP(B153,_Protheus_Cadastro!$A:$D,4,FALSE),"—"))</f>
        <v/>
      </c>
      <c r="F153" s="98">
        <f>IF(ISERROR(VLOOKUP(B153,'Estrutura Protheus'!A:A,1,FALSE)),"Não","Sim")</f>
        <v/>
      </c>
      <c r="G153" s="99">
        <f>IFERROR(INDEX(_Protheus_Cadastro!$H:$H,MATCH(B153,_Protheus_Cadastro!$A:$A,0)),"—")</f>
        <v/>
      </c>
      <c r="H153" s="211">
        <f>IFERROR(INDEX(_ZIG_Precos!$D:$D,MATCH(I153,_ZIG_Precos!$F:$F,0)),"—")</f>
        <v/>
      </c>
      <c r="I153" s="103">
        <f>IFERROR(VLOOKUP(B153,_Protheus_Cadastro!$A:$I,9,FALSE),"—")</f>
        <v/>
      </c>
      <c r="J153" s="101">
        <f>IFERROR(INDEX(_ZIG_Cadastro!$B:$B,MATCH(I153,_ZIG_Cadastro!$A:$A,0)),IFERROR(INDEX(_Entradas_ZIG!$B:$B,MATCH(I153,_Entradas_ZIG!$C:$C,0)),"—"))</f>
        <v/>
      </c>
      <c r="K153" s="101">
        <f>IFERROR(INDEX(_ZIG_Cadastro!$C:$C,MATCH(I153,_ZIG_Cadastro!$A:$A,0)),IFERROR(INDEX(_Entradas_ZIG!$D:$D,MATCH(I153,_Entradas_ZIG!$C:$C,0)),"—"))</f>
        <v/>
      </c>
      <c r="L153" s="99">
        <f>IF(I153="","Sem SKU ZIG",IF(I153="—","Sem SKU ZIG",IF(NOT(ISERROR(MATCH(I153,_ZIG_Cadastro!$A:$A,0))),IF(EXACT(UPPER(TRIM(C153)),UPPER(TRIM(INDEX(_ZIG_Cadastro!$B:$B,MATCH(I153,_ZIG_Cadastro!$A:$A,0))))),"OK","Atencao - Nome diverge"),IF(NOT(ISERROR(MATCH(I153,_Entradas_ZIG!$C:$C,0))),"OK","Erro - SKU nao encontrado"))))</f>
        <v/>
      </c>
      <c r="M153" s="99">
        <f>IFERROR(INDEX(_ZIG_Cadastro!$G:$G,MATCH(I153,_ZIG_Cadastro!$A:$A,0)),IF(NOT(ISERROR(MATCH(I153,_Entradas_ZIG!$C:$C,0))),"Ativo","—"))</f>
        <v/>
      </c>
      <c r="N153" s="102">
        <f>IFERROR(INDEX(_ZIG_Cadastro!$E:$E,MATCH(I153,_ZIG_Cadastro!$A:$A,0)),IFERROR(INDEX(_Entradas_ZIG!$F:$F,MATCH(I153,_Entradas_ZIG!$C:$C,0)),"—"))</f>
        <v/>
      </c>
      <c r="O153" s="99">
        <f>IF(AND(ISNUMBER(SEARCH("Espeto",N153)),ISNUMBER(SEARCH("Carin",N153))),"SIM","")</f>
        <v/>
      </c>
      <c r="P153" s="99">
        <f>IF(AND(ISNUMBER(SEARCH("Espeto",N153)),ISNUMBER(SEARCH("Lapa",N153))),"SIM","")</f>
        <v/>
      </c>
      <c r="Q153" s="99">
        <f>IF(AND(ISNUMBER(SEARCH("Espeto",N153)),ISNUMBER(SEARCH("Tatuapé",N153))),"SIM","")</f>
        <v/>
      </c>
      <c r="R153" s="99">
        <f>IF(AND(ISNUMBER(SEARCH("Espeto",N153)),ISNUMBER(SEARCH("Pavão",N153))),"SIM","")</f>
        <v/>
      </c>
      <c r="S153" s="99">
        <f>IF(AND(ISNUMBER(SEARCH("Espeto",N153)),ISNUMBER(SEARCH("Chac",N153))),"SIM","")</f>
        <v/>
      </c>
      <c r="T153" s="99">
        <f>IF(AND(ISNUMBER(SEARCH("Espeto",N153)),ISNUMBER(SEARCH("Madalena",N153))),"SIM","")</f>
        <v/>
      </c>
      <c r="U153" s="99">
        <f>IF(AND(ISNUMBER(SEARCH("Espeto",N153)),ISNUMBER(SEARCH("Mariana",N153))),"SIM","")</f>
        <v/>
      </c>
      <c r="V153" s="99">
        <f>IF(AND(ISNUMBER(SEARCH("Espeto",N153)),ISNUMBER(SEARCH("Perdizes",N153))),"SIM","")</f>
        <v/>
      </c>
      <c r="W153" s="99">
        <f>IF(AND(ISNUMBER(SEARCH("Espeto",N153)),ISNUMBER(SEARCH("Santana",N153))),"SIM","")</f>
        <v/>
      </c>
      <c r="X153" s="99">
        <f>IF(AND(ISNUMBER(SEARCH("Espeto",N153)),ISNUMBER(SEARCH("André",N153))),"SIM","")</f>
        <v/>
      </c>
      <c r="Y153" s="99">
        <f>IF(AND(ISNUMBER(SEARCH("Delivery",N153)),ISNUMBER(SEARCH("Carin",N153))),"SIM","")</f>
        <v/>
      </c>
      <c r="Z153" s="99">
        <f>IF(AND(ISNUMBER(SEARCH("Delivery",N153)),ISNUMBER(SEARCH("Lapa",N153))),"SIM","")</f>
        <v/>
      </c>
      <c r="AA153" s="99">
        <f>IF(AND(ISNUMBER(SEARCH("Delivery",N153)),ISNUMBER(SEARCH("Tatuapé",N153))),"SIM","")</f>
        <v/>
      </c>
      <c r="AB153" s="99">
        <f>IF(AND(ISNUMBER(SEARCH("Delivery",N153)),ISNUMBER(SEARCH("Pavão",N153))),"SIM","")</f>
        <v/>
      </c>
      <c r="AC153" s="99">
        <f>IF(AND(ISNUMBER(SEARCH("Delivery",N153)),ISNUMBER(SEARCH("Chac",N153))),"SIM","")</f>
        <v/>
      </c>
      <c r="AD153" s="99">
        <f>IF(AND(ISNUMBER(SEARCH("Delivery",N153)),ISNUMBER(SEARCH("Madalena",N153))),"SIM","")</f>
        <v/>
      </c>
      <c r="AE153" s="99">
        <f>IF(AND(ISNUMBER(SEARCH("Delivery",N153)),ISNUMBER(SEARCH("Mariana",N153))),"SIM","")</f>
        <v/>
      </c>
      <c r="AF153" s="99">
        <f>IF(AND(ISNUMBER(SEARCH("Delivery",N153)),ISNUMBER(SEARCH("Perdizes",N153))),"SIM","")</f>
        <v/>
      </c>
      <c r="AG153" s="99">
        <f>IF(AND(ISNUMBER(SEARCH("Delivery",N153)),ISNUMBER(SEARCH("Santana",N153))),"SIM","")</f>
        <v/>
      </c>
      <c r="AH153" s="99">
        <f>IF(AND(ISNUMBER(SEARCH("Delivery",N153)),ISNUMBER(SEARCH("André",N153))),"SIM","")</f>
        <v/>
      </c>
      <c r="AI153" s="99">
        <f>IF(ISNUMBER(SEARCH("Interlagos",N153)),"SIM","")</f>
        <v/>
      </c>
      <c r="AJ153" s="99">
        <f>IF(ISNUMBER(SEARCH("Quiosque",N153)),"SIM","")</f>
        <v/>
      </c>
      <c r="AK153" s="101" t="n"/>
    </row>
    <row r="154">
      <c r="A154" s="88" t="inlineStr">
        <is>
          <t>Protheus</t>
        </is>
      </c>
      <c r="B154" s="89" t="inlineStr">
        <is>
          <t>000018</t>
        </is>
      </c>
      <c r="C154" s="90">
        <f>IF(B154="—","—",IFERROR(VLOOKUP(B154,_Protheus_Cadastro!$A:$B,2,FALSE),"—"))</f>
        <v/>
      </c>
      <c r="D154" s="91">
        <f>IF(B154="—",IFERROR(INDEX(_ZIG_Cadastro!$D:$D,MATCH(H154,_ZIG_Cadastro!$A:$A,0)),"Produto"),IFERROR(VLOOKUP(B154,_Protheus_Cadastro!$A:$C,3,FALSE),"—"))</f>
        <v/>
      </c>
      <c r="E154" s="91">
        <f>IF(B154="—","—",IFERROR(VLOOKUP(B154,_Protheus_Cadastro!$A:$D,4,FALSE),"—"))</f>
        <v/>
      </c>
      <c r="F154" s="91">
        <f>IF(ISERROR(VLOOKUP(B154,'Estrutura Protheus'!A:A,1,FALSE)),"Não","Sim")</f>
        <v/>
      </c>
      <c r="G154" s="92">
        <f>IFERROR(INDEX(_Protheus_Cadastro!$H:$H,MATCH(B154,_Protheus_Cadastro!$A:$A,0)),"—")</f>
        <v/>
      </c>
      <c r="H154" s="210">
        <f>IFERROR(INDEX(_ZIG_Precos!$D:$D,MATCH(I154,_ZIG_Precos!$F:$F,0)),"—")</f>
        <v/>
      </c>
      <c r="I154" s="95">
        <f>IFERROR(VLOOKUP(B154,_Protheus_Cadastro!$A:$I,9,FALSE),"—")</f>
        <v/>
      </c>
      <c r="J154" s="93">
        <f>IFERROR(INDEX(_ZIG_Cadastro!$B:$B,MATCH(I154,_ZIG_Cadastro!$A:$A,0)),IFERROR(INDEX(_Entradas_ZIG!$B:$B,MATCH(I154,_Entradas_ZIG!$C:$C,0)),"—"))</f>
        <v/>
      </c>
      <c r="K154" s="93">
        <f>IFERROR(INDEX(_ZIG_Cadastro!$C:$C,MATCH(I154,_ZIG_Cadastro!$A:$A,0)),IFERROR(INDEX(_Entradas_ZIG!$D:$D,MATCH(I154,_Entradas_ZIG!$C:$C,0)),"—"))</f>
        <v/>
      </c>
      <c r="L154" s="92">
        <f>IF(I154="","Sem SKU ZIG",IF(I154="—","Sem SKU ZIG",IF(NOT(ISERROR(MATCH(I154,_ZIG_Cadastro!$A:$A,0))),IF(EXACT(UPPER(TRIM(C154)),UPPER(TRIM(INDEX(_ZIG_Cadastro!$B:$B,MATCH(I154,_ZIG_Cadastro!$A:$A,0))))),"OK","Atencao - Nome diverge"),IF(NOT(ISERROR(MATCH(I154,_Entradas_ZIG!$C:$C,0))),"OK","Erro - SKU nao encontrado"))))</f>
        <v/>
      </c>
      <c r="M154" s="92">
        <f>IFERROR(INDEX(_ZIG_Cadastro!$G:$G,MATCH(I154,_ZIG_Cadastro!$A:$A,0)),IF(NOT(ISERROR(MATCH(I154,_Entradas_ZIG!$C:$C,0))),"Ativo","—"))</f>
        <v/>
      </c>
      <c r="N154" s="94">
        <f>IFERROR(INDEX(_ZIG_Cadastro!$E:$E,MATCH(I154,_ZIG_Cadastro!$A:$A,0)),IFERROR(INDEX(_Entradas_ZIG!$F:$F,MATCH(I154,_Entradas_ZIG!$C:$C,0)),"—"))</f>
        <v/>
      </c>
      <c r="O154" s="92">
        <f>IF(AND(ISNUMBER(SEARCH("Espeto",N154)),ISNUMBER(SEARCH("Carin",N154))),"SIM","")</f>
        <v/>
      </c>
      <c r="P154" s="92">
        <f>IF(AND(ISNUMBER(SEARCH("Espeto",N154)),ISNUMBER(SEARCH("Lapa",N154))),"SIM","")</f>
        <v/>
      </c>
      <c r="Q154" s="92">
        <f>IF(AND(ISNUMBER(SEARCH("Espeto",N154)),ISNUMBER(SEARCH("Tatuapé",N154))),"SIM","")</f>
        <v/>
      </c>
      <c r="R154" s="92">
        <f>IF(AND(ISNUMBER(SEARCH("Espeto",N154)),ISNUMBER(SEARCH("Pavão",N154))),"SIM","")</f>
        <v/>
      </c>
      <c r="S154" s="92">
        <f>IF(AND(ISNUMBER(SEARCH("Espeto",N154)),ISNUMBER(SEARCH("Chac",N154))),"SIM","")</f>
        <v/>
      </c>
      <c r="T154" s="92">
        <f>IF(AND(ISNUMBER(SEARCH("Espeto",N154)),ISNUMBER(SEARCH("Madalena",N154))),"SIM","")</f>
        <v/>
      </c>
      <c r="U154" s="92">
        <f>IF(AND(ISNUMBER(SEARCH("Espeto",N154)),ISNUMBER(SEARCH("Mariana",N154))),"SIM","")</f>
        <v/>
      </c>
      <c r="V154" s="92">
        <f>IF(AND(ISNUMBER(SEARCH("Espeto",N154)),ISNUMBER(SEARCH("Perdizes",N154))),"SIM","")</f>
        <v/>
      </c>
      <c r="W154" s="92">
        <f>IF(AND(ISNUMBER(SEARCH("Espeto",N154)),ISNUMBER(SEARCH("Santana",N154))),"SIM","")</f>
        <v/>
      </c>
      <c r="X154" s="92">
        <f>IF(AND(ISNUMBER(SEARCH("Espeto",N154)),ISNUMBER(SEARCH("André",N154))),"SIM","")</f>
        <v/>
      </c>
      <c r="Y154" s="92">
        <f>IF(AND(ISNUMBER(SEARCH("Delivery",N154)),ISNUMBER(SEARCH("Carin",N154))),"SIM","")</f>
        <v/>
      </c>
      <c r="Z154" s="92">
        <f>IF(AND(ISNUMBER(SEARCH("Delivery",N154)),ISNUMBER(SEARCH("Lapa",N154))),"SIM","")</f>
        <v/>
      </c>
      <c r="AA154" s="92">
        <f>IF(AND(ISNUMBER(SEARCH("Delivery",N154)),ISNUMBER(SEARCH("Tatuapé",N154))),"SIM","")</f>
        <v/>
      </c>
      <c r="AB154" s="92">
        <f>IF(AND(ISNUMBER(SEARCH("Delivery",N154)),ISNUMBER(SEARCH("Pavão",N154))),"SIM","")</f>
        <v/>
      </c>
      <c r="AC154" s="92">
        <f>IF(AND(ISNUMBER(SEARCH("Delivery",N154)),ISNUMBER(SEARCH("Chac",N154))),"SIM","")</f>
        <v/>
      </c>
      <c r="AD154" s="92">
        <f>IF(AND(ISNUMBER(SEARCH("Delivery",N154)),ISNUMBER(SEARCH("Madalena",N154))),"SIM","")</f>
        <v/>
      </c>
      <c r="AE154" s="92">
        <f>IF(AND(ISNUMBER(SEARCH("Delivery",N154)),ISNUMBER(SEARCH("Mariana",N154))),"SIM","")</f>
        <v/>
      </c>
      <c r="AF154" s="92">
        <f>IF(AND(ISNUMBER(SEARCH("Delivery",N154)),ISNUMBER(SEARCH("Perdizes",N154))),"SIM","")</f>
        <v/>
      </c>
      <c r="AG154" s="92">
        <f>IF(AND(ISNUMBER(SEARCH("Delivery",N154)),ISNUMBER(SEARCH("Santana",N154))),"SIM","")</f>
        <v/>
      </c>
      <c r="AH154" s="92">
        <f>IF(AND(ISNUMBER(SEARCH("Delivery",N154)),ISNUMBER(SEARCH("André",N154))),"SIM","")</f>
        <v/>
      </c>
      <c r="AI154" s="92">
        <f>IF(ISNUMBER(SEARCH("Interlagos",N154)),"SIM","")</f>
        <v/>
      </c>
      <c r="AJ154" s="92">
        <f>IF(ISNUMBER(SEARCH("Quiosque",N154)),"SIM","")</f>
        <v/>
      </c>
      <c r="AK154" s="93" t="n"/>
    </row>
    <row r="155">
      <c r="A155" s="88" t="inlineStr">
        <is>
          <t>Protheus</t>
        </is>
      </c>
      <c r="B155" s="96" t="inlineStr">
        <is>
          <t>002058</t>
        </is>
      </c>
      <c r="C155" s="97">
        <f>IF(B155="—","—",IFERROR(VLOOKUP(B155,_Protheus_Cadastro!$A:$B,2,FALSE),"—"))</f>
        <v/>
      </c>
      <c r="D155" s="98">
        <f>IF(B155="—",IFERROR(INDEX(_ZIG_Cadastro!$D:$D,MATCH(H155,_ZIG_Cadastro!$A:$A,0)),"Produto"),IFERROR(VLOOKUP(B155,_Protheus_Cadastro!$A:$C,3,FALSE),"—"))</f>
        <v/>
      </c>
      <c r="E155" s="98">
        <f>IF(B155="—","—",IFERROR(VLOOKUP(B155,_Protheus_Cadastro!$A:$D,4,FALSE),"—"))</f>
        <v/>
      </c>
      <c r="F155" s="98">
        <f>IF(ISERROR(VLOOKUP(B155,'Estrutura Protheus'!A:A,1,FALSE)),"Não","Sim")</f>
        <v/>
      </c>
      <c r="G155" s="99">
        <f>IFERROR(INDEX(_Protheus_Cadastro!$H:$H,MATCH(B155,_Protheus_Cadastro!$A:$A,0)),"—")</f>
        <v/>
      </c>
      <c r="H155" s="211">
        <f>IFERROR(INDEX(_ZIG_Precos!$D:$D,MATCH(I155,_ZIG_Precos!$F:$F,0)),"—")</f>
        <v/>
      </c>
      <c r="I155" s="103">
        <f>IFERROR(VLOOKUP(B155,_Protheus_Cadastro!$A:$I,9,FALSE),"—")</f>
        <v/>
      </c>
      <c r="J155" s="101">
        <f>IFERROR(INDEX(_ZIG_Cadastro!$B:$B,MATCH(I155,_ZIG_Cadastro!$A:$A,0)),IFERROR(INDEX(_Entradas_ZIG!$B:$B,MATCH(I155,_Entradas_ZIG!$C:$C,0)),"—"))</f>
        <v/>
      </c>
      <c r="K155" s="101">
        <f>IFERROR(INDEX(_ZIG_Cadastro!$C:$C,MATCH(I155,_ZIG_Cadastro!$A:$A,0)),IFERROR(INDEX(_Entradas_ZIG!$D:$D,MATCH(I155,_Entradas_ZIG!$C:$C,0)),"—"))</f>
        <v/>
      </c>
      <c r="L155" s="99">
        <f>IF(I155="","Sem SKU ZIG",IF(I155="—","Sem SKU ZIG",IF(NOT(ISERROR(MATCH(I155,_ZIG_Cadastro!$A:$A,0))),IF(EXACT(UPPER(TRIM(C155)),UPPER(TRIM(INDEX(_ZIG_Cadastro!$B:$B,MATCH(I155,_ZIG_Cadastro!$A:$A,0))))),"OK","Atencao - Nome diverge"),IF(NOT(ISERROR(MATCH(I155,_Entradas_ZIG!$C:$C,0))),"OK","Erro - SKU nao encontrado"))))</f>
        <v/>
      </c>
      <c r="M155" s="99">
        <f>IFERROR(INDEX(_ZIG_Cadastro!$G:$G,MATCH(I155,_ZIG_Cadastro!$A:$A,0)),IF(NOT(ISERROR(MATCH(I155,_Entradas_ZIG!$C:$C,0))),"Ativo","—"))</f>
        <v/>
      </c>
      <c r="N155" s="102">
        <f>IFERROR(INDEX(_ZIG_Cadastro!$E:$E,MATCH(I155,_ZIG_Cadastro!$A:$A,0)),IFERROR(INDEX(_Entradas_ZIG!$F:$F,MATCH(I155,_Entradas_ZIG!$C:$C,0)),"—"))</f>
        <v/>
      </c>
      <c r="O155" s="99">
        <f>IF(AND(ISNUMBER(SEARCH("Espeto",N155)),ISNUMBER(SEARCH("Carin",N155))),"SIM","")</f>
        <v/>
      </c>
      <c r="P155" s="99">
        <f>IF(AND(ISNUMBER(SEARCH("Espeto",N155)),ISNUMBER(SEARCH("Lapa",N155))),"SIM","")</f>
        <v/>
      </c>
      <c r="Q155" s="99">
        <f>IF(AND(ISNUMBER(SEARCH("Espeto",N155)),ISNUMBER(SEARCH("Tatuapé",N155))),"SIM","")</f>
        <v/>
      </c>
      <c r="R155" s="99">
        <f>IF(AND(ISNUMBER(SEARCH("Espeto",N155)),ISNUMBER(SEARCH("Pavão",N155))),"SIM","")</f>
        <v/>
      </c>
      <c r="S155" s="99">
        <f>IF(AND(ISNUMBER(SEARCH("Espeto",N155)),ISNUMBER(SEARCH("Chac",N155))),"SIM","")</f>
        <v/>
      </c>
      <c r="T155" s="99">
        <f>IF(AND(ISNUMBER(SEARCH("Espeto",N155)),ISNUMBER(SEARCH("Madalena",N155))),"SIM","")</f>
        <v/>
      </c>
      <c r="U155" s="99">
        <f>IF(AND(ISNUMBER(SEARCH("Espeto",N155)),ISNUMBER(SEARCH("Mariana",N155))),"SIM","")</f>
        <v/>
      </c>
      <c r="V155" s="99">
        <f>IF(AND(ISNUMBER(SEARCH("Espeto",N155)),ISNUMBER(SEARCH("Perdizes",N155))),"SIM","")</f>
        <v/>
      </c>
      <c r="W155" s="99">
        <f>IF(AND(ISNUMBER(SEARCH("Espeto",N155)),ISNUMBER(SEARCH("Santana",N155))),"SIM","")</f>
        <v/>
      </c>
      <c r="X155" s="99">
        <f>IF(AND(ISNUMBER(SEARCH("Espeto",N155)),ISNUMBER(SEARCH("André",N155))),"SIM","")</f>
        <v/>
      </c>
      <c r="Y155" s="99">
        <f>IF(AND(ISNUMBER(SEARCH("Delivery",N155)),ISNUMBER(SEARCH("Carin",N155))),"SIM","")</f>
        <v/>
      </c>
      <c r="Z155" s="99">
        <f>IF(AND(ISNUMBER(SEARCH("Delivery",N155)),ISNUMBER(SEARCH("Lapa",N155))),"SIM","")</f>
        <v/>
      </c>
      <c r="AA155" s="99">
        <f>IF(AND(ISNUMBER(SEARCH("Delivery",N155)),ISNUMBER(SEARCH("Tatuapé",N155))),"SIM","")</f>
        <v/>
      </c>
      <c r="AB155" s="99">
        <f>IF(AND(ISNUMBER(SEARCH("Delivery",N155)),ISNUMBER(SEARCH("Pavão",N155))),"SIM","")</f>
        <v/>
      </c>
      <c r="AC155" s="99">
        <f>IF(AND(ISNUMBER(SEARCH("Delivery",N155)),ISNUMBER(SEARCH("Chac",N155))),"SIM","")</f>
        <v/>
      </c>
      <c r="AD155" s="99">
        <f>IF(AND(ISNUMBER(SEARCH("Delivery",N155)),ISNUMBER(SEARCH("Madalena",N155))),"SIM","")</f>
        <v/>
      </c>
      <c r="AE155" s="99">
        <f>IF(AND(ISNUMBER(SEARCH("Delivery",N155)),ISNUMBER(SEARCH("Mariana",N155))),"SIM","")</f>
        <v/>
      </c>
      <c r="AF155" s="99">
        <f>IF(AND(ISNUMBER(SEARCH("Delivery",N155)),ISNUMBER(SEARCH("Perdizes",N155))),"SIM","")</f>
        <v/>
      </c>
      <c r="AG155" s="99">
        <f>IF(AND(ISNUMBER(SEARCH("Delivery",N155)),ISNUMBER(SEARCH("Santana",N155))),"SIM","")</f>
        <v/>
      </c>
      <c r="AH155" s="99">
        <f>IF(AND(ISNUMBER(SEARCH("Delivery",N155)),ISNUMBER(SEARCH("André",N155))),"SIM","")</f>
        <v/>
      </c>
      <c r="AI155" s="99">
        <f>IF(ISNUMBER(SEARCH("Interlagos",N155)),"SIM","")</f>
        <v/>
      </c>
      <c r="AJ155" s="99">
        <f>IF(ISNUMBER(SEARCH("Quiosque",N155)),"SIM","")</f>
        <v/>
      </c>
      <c r="AK155" s="101" t="n"/>
    </row>
    <row r="156">
      <c r="A156" s="88" t="inlineStr">
        <is>
          <t>Protheus</t>
        </is>
      </c>
      <c r="B156" s="89" t="inlineStr">
        <is>
          <t>010091</t>
        </is>
      </c>
      <c r="C156" s="90">
        <f>IF(B156="—","—",IFERROR(VLOOKUP(B156,_Protheus_Cadastro!$A:$B,2,FALSE),"—"))</f>
        <v/>
      </c>
      <c r="D156" s="91">
        <f>IF(B156="—",IFERROR(INDEX(_ZIG_Cadastro!$D:$D,MATCH(H156,_ZIG_Cadastro!$A:$A,0)),"Produto"),IFERROR(VLOOKUP(B156,_Protheus_Cadastro!$A:$C,3,FALSE),"—"))</f>
        <v/>
      </c>
      <c r="E156" s="91">
        <f>IF(B156="—","—",IFERROR(VLOOKUP(B156,_Protheus_Cadastro!$A:$D,4,FALSE),"—"))</f>
        <v/>
      </c>
      <c r="F156" s="91">
        <f>IF(ISERROR(VLOOKUP(B156,'Estrutura Protheus'!A:A,1,FALSE)),"Não","Sim")</f>
        <v/>
      </c>
      <c r="G156" s="92">
        <f>IFERROR(INDEX(_Protheus_Cadastro!$H:$H,MATCH(B156,_Protheus_Cadastro!$A:$A,0)),"—")</f>
        <v/>
      </c>
      <c r="H156" s="210">
        <f>IFERROR(INDEX(_ZIG_Precos!$D:$D,MATCH(I156,_ZIG_Precos!$F:$F,0)),"—")</f>
        <v/>
      </c>
      <c r="I156" s="95">
        <f>IFERROR(VLOOKUP(B156,_Protheus_Cadastro!$A:$I,9,FALSE),"—")</f>
        <v/>
      </c>
      <c r="J156" s="93">
        <f>IFERROR(INDEX(_ZIG_Cadastro!$B:$B,MATCH(I156,_ZIG_Cadastro!$A:$A,0)),IFERROR(INDEX(_Entradas_ZIG!$B:$B,MATCH(I156,_Entradas_ZIG!$C:$C,0)),"—"))</f>
        <v/>
      </c>
      <c r="K156" s="93">
        <f>IFERROR(INDEX(_ZIG_Cadastro!$C:$C,MATCH(I156,_ZIG_Cadastro!$A:$A,0)),IFERROR(INDEX(_Entradas_ZIG!$D:$D,MATCH(I156,_Entradas_ZIG!$C:$C,0)),"—"))</f>
        <v/>
      </c>
      <c r="L156" s="92">
        <f>IF(I156="","Sem SKU ZIG",IF(I156="—","Sem SKU ZIG",IF(NOT(ISERROR(MATCH(I156,_ZIG_Cadastro!$A:$A,0))),IF(EXACT(UPPER(TRIM(C156)),UPPER(TRIM(INDEX(_ZIG_Cadastro!$B:$B,MATCH(I156,_ZIG_Cadastro!$A:$A,0))))),"OK","Atencao - Nome diverge"),IF(NOT(ISERROR(MATCH(I156,_Entradas_ZIG!$C:$C,0))),"OK","Erro - SKU nao encontrado"))))</f>
        <v/>
      </c>
      <c r="M156" s="92">
        <f>IFERROR(INDEX(_ZIG_Cadastro!$G:$G,MATCH(I156,_ZIG_Cadastro!$A:$A,0)),IF(NOT(ISERROR(MATCH(I156,_Entradas_ZIG!$C:$C,0))),"Ativo","—"))</f>
        <v/>
      </c>
      <c r="N156" s="94">
        <f>IFERROR(INDEX(_ZIG_Cadastro!$E:$E,MATCH(I156,_ZIG_Cadastro!$A:$A,0)),IFERROR(INDEX(_Entradas_ZIG!$F:$F,MATCH(I156,_Entradas_ZIG!$C:$C,0)),"—"))</f>
        <v/>
      </c>
      <c r="O156" s="92">
        <f>IF(AND(ISNUMBER(SEARCH("Espeto",N156)),ISNUMBER(SEARCH("Carin",N156))),"SIM","")</f>
        <v/>
      </c>
      <c r="P156" s="92">
        <f>IF(AND(ISNUMBER(SEARCH("Espeto",N156)),ISNUMBER(SEARCH("Lapa",N156))),"SIM","")</f>
        <v/>
      </c>
      <c r="Q156" s="92">
        <f>IF(AND(ISNUMBER(SEARCH("Espeto",N156)),ISNUMBER(SEARCH("Tatuapé",N156))),"SIM","")</f>
        <v/>
      </c>
      <c r="R156" s="92">
        <f>IF(AND(ISNUMBER(SEARCH("Espeto",N156)),ISNUMBER(SEARCH("Pavão",N156))),"SIM","")</f>
        <v/>
      </c>
      <c r="S156" s="92">
        <f>IF(AND(ISNUMBER(SEARCH("Espeto",N156)),ISNUMBER(SEARCH("Chac",N156))),"SIM","")</f>
        <v/>
      </c>
      <c r="T156" s="92">
        <f>IF(AND(ISNUMBER(SEARCH("Espeto",N156)),ISNUMBER(SEARCH("Madalena",N156))),"SIM","")</f>
        <v/>
      </c>
      <c r="U156" s="92">
        <f>IF(AND(ISNUMBER(SEARCH("Espeto",N156)),ISNUMBER(SEARCH("Mariana",N156))),"SIM","")</f>
        <v/>
      </c>
      <c r="V156" s="92">
        <f>IF(AND(ISNUMBER(SEARCH("Espeto",N156)),ISNUMBER(SEARCH("Perdizes",N156))),"SIM","")</f>
        <v/>
      </c>
      <c r="W156" s="92">
        <f>IF(AND(ISNUMBER(SEARCH("Espeto",N156)),ISNUMBER(SEARCH("Santana",N156))),"SIM","")</f>
        <v/>
      </c>
      <c r="X156" s="92">
        <f>IF(AND(ISNUMBER(SEARCH("Espeto",N156)),ISNUMBER(SEARCH("André",N156))),"SIM","")</f>
        <v/>
      </c>
      <c r="Y156" s="92">
        <f>IF(AND(ISNUMBER(SEARCH("Delivery",N156)),ISNUMBER(SEARCH("Carin",N156))),"SIM","")</f>
        <v/>
      </c>
      <c r="Z156" s="92">
        <f>IF(AND(ISNUMBER(SEARCH("Delivery",N156)),ISNUMBER(SEARCH("Lapa",N156))),"SIM","")</f>
        <v/>
      </c>
      <c r="AA156" s="92">
        <f>IF(AND(ISNUMBER(SEARCH("Delivery",N156)),ISNUMBER(SEARCH("Tatuapé",N156))),"SIM","")</f>
        <v/>
      </c>
      <c r="AB156" s="92">
        <f>IF(AND(ISNUMBER(SEARCH("Delivery",N156)),ISNUMBER(SEARCH("Pavão",N156))),"SIM","")</f>
        <v/>
      </c>
      <c r="AC156" s="92">
        <f>IF(AND(ISNUMBER(SEARCH("Delivery",N156)),ISNUMBER(SEARCH("Chac",N156))),"SIM","")</f>
        <v/>
      </c>
      <c r="AD156" s="92">
        <f>IF(AND(ISNUMBER(SEARCH("Delivery",N156)),ISNUMBER(SEARCH("Madalena",N156))),"SIM","")</f>
        <v/>
      </c>
      <c r="AE156" s="92">
        <f>IF(AND(ISNUMBER(SEARCH("Delivery",N156)),ISNUMBER(SEARCH("Mariana",N156))),"SIM","")</f>
        <v/>
      </c>
      <c r="AF156" s="92">
        <f>IF(AND(ISNUMBER(SEARCH("Delivery",N156)),ISNUMBER(SEARCH("Perdizes",N156))),"SIM","")</f>
        <v/>
      </c>
      <c r="AG156" s="92">
        <f>IF(AND(ISNUMBER(SEARCH("Delivery",N156)),ISNUMBER(SEARCH("Santana",N156))),"SIM","")</f>
        <v/>
      </c>
      <c r="AH156" s="92">
        <f>IF(AND(ISNUMBER(SEARCH("Delivery",N156)),ISNUMBER(SEARCH("André",N156))),"SIM","")</f>
        <v/>
      </c>
      <c r="AI156" s="92">
        <f>IF(ISNUMBER(SEARCH("Interlagos",N156)),"SIM","")</f>
        <v/>
      </c>
      <c r="AJ156" s="92">
        <f>IF(ISNUMBER(SEARCH("Quiosque",N156)),"SIM","")</f>
        <v/>
      </c>
      <c r="AK156" s="93" t="n"/>
    </row>
    <row r="157">
      <c r="A157" s="88" t="inlineStr">
        <is>
          <t>Protheus</t>
        </is>
      </c>
      <c r="B157" s="96" t="inlineStr">
        <is>
          <t>010095</t>
        </is>
      </c>
      <c r="C157" s="97">
        <f>IF(B157="—","—",IFERROR(VLOOKUP(B157,_Protheus_Cadastro!$A:$B,2,FALSE),"—"))</f>
        <v/>
      </c>
      <c r="D157" s="98">
        <f>IF(B157="—",IFERROR(INDEX(_ZIG_Cadastro!$D:$D,MATCH(H157,_ZIG_Cadastro!$A:$A,0)),"Produto"),IFERROR(VLOOKUP(B157,_Protheus_Cadastro!$A:$C,3,FALSE),"—"))</f>
        <v/>
      </c>
      <c r="E157" s="98">
        <f>IF(B157="—","—",IFERROR(VLOOKUP(B157,_Protheus_Cadastro!$A:$D,4,FALSE),"—"))</f>
        <v/>
      </c>
      <c r="F157" s="98">
        <f>IF(ISERROR(VLOOKUP(B157,'Estrutura Protheus'!A:A,1,FALSE)),"Não","Sim")</f>
        <v/>
      </c>
      <c r="G157" s="99">
        <f>IFERROR(INDEX(_Protheus_Cadastro!$H:$H,MATCH(B157,_Protheus_Cadastro!$A:$A,0)),"—")</f>
        <v/>
      </c>
      <c r="H157" s="211">
        <f>IFERROR(INDEX(_ZIG_Precos!$D:$D,MATCH(I157,_ZIG_Precos!$F:$F,0)),"—")</f>
        <v/>
      </c>
      <c r="I157" s="103">
        <f>IFERROR(VLOOKUP(B157,_Protheus_Cadastro!$A:$I,9,FALSE),"—")</f>
        <v/>
      </c>
      <c r="J157" s="101">
        <f>IFERROR(INDEX(_ZIG_Cadastro!$B:$B,MATCH(I157,_ZIG_Cadastro!$A:$A,0)),IFERROR(INDEX(_Entradas_ZIG!$B:$B,MATCH(I157,_Entradas_ZIG!$C:$C,0)),"—"))</f>
        <v/>
      </c>
      <c r="K157" s="101">
        <f>IFERROR(INDEX(_ZIG_Cadastro!$C:$C,MATCH(I157,_ZIG_Cadastro!$A:$A,0)),IFERROR(INDEX(_Entradas_ZIG!$D:$D,MATCH(I157,_Entradas_ZIG!$C:$C,0)),"—"))</f>
        <v/>
      </c>
      <c r="L157" s="99">
        <f>IF(I157="","Sem SKU ZIG",IF(I157="—","Sem SKU ZIG",IF(NOT(ISERROR(MATCH(I157,_ZIG_Cadastro!$A:$A,0))),IF(EXACT(UPPER(TRIM(C157)),UPPER(TRIM(INDEX(_ZIG_Cadastro!$B:$B,MATCH(I157,_ZIG_Cadastro!$A:$A,0))))),"OK","Atencao - Nome diverge"),IF(NOT(ISERROR(MATCH(I157,_Entradas_ZIG!$C:$C,0))),"OK","Erro - SKU nao encontrado"))))</f>
        <v/>
      </c>
      <c r="M157" s="99">
        <f>IFERROR(INDEX(_ZIG_Cadastro!$G:$G,MATCH(I157,_ZIG_Cadastro!$A:$A,0)),IF(NOT(ISERROR(MATCH(I157,_Entradas_ZIG!$C:$C,0))),"Ativo","—"))</f>
        <v/>
      </c>
      <c r="N157" s="102">
        <f>IFERROR(INDEX(_ZIG_Cadastro!$E:$E,MATCH(I157,_ZIG_Cadastro!$A:$A,0)),IFERROR(INDEX(_Entradas_ZIG!$F:$F,MATCH(I157,_Entradas_ZIG!$C:$C,0)),"—"))</f>
        <v/>
      </c>
      <c r="O157" s="99">
        <f>IF(AND(ISNUMBER(SEARCH("Espeto",N157)),ISNUMBER(SEARCH("Carin",N157))),"SIM","")</f>
        <v/>
      </c>
      <c r="P157" s="99">
        <f>IF(AND(ISNUMBER(SEARCH("Espeto",N157)),ISNUMBER(SEARCH("Lapa",N157))),"SIM","")</f>
        <v/>
      </c>
      <c r="Q157" s="99">
        <f>IF(AND(ISNUMBER(SEARCH("Espeto",N157)),ISNUMBER(SEARCH("Tatuapé",N157))),"SIM","")</f>
        <v/>
      </c>
      <c r="R157" s="99">
        <f>IF(AND(ISNUMBER(SEARCH("Espeto",N157)),ISNUMBER(SEARCH("Pavão",N157))),"SIM","")</f>
        <v/>
      </c>
      <c r="S157" s="99">
        <f>IF(AND(ISNUMBER(SEARCH("Espeto",N157)),ISNUMBER(SEARCH("Chac",N157))),"SIM","")</f>
        <v/>
      </c>
      <c r="T157" s="99">
        <f>IF(AND(ISNUMBER(SEARCH("Espeto",N157)),ISNUMBER(SEARCH("Madalena",N157))),"SIM","")</f>
        <v/>
      </c>
      <c r="U157" s="99">
        <f>IF(AND(ISNUMBER(SEARCH("Espeto",N157)),ISNUMBER(SEARCH("Mariana",N157))),"SIM","")</f>
        <v/>
      </c>
      <c r="V157" s="99">
        <f>IF(AND(ISNUMBER(SEARCH("Espeto",N157)),ISNUMBER(SEARCH("Perdizes",N157))),"SIM","")</f>
        <v/>
      </c>
      <c r="W157" s="99">
        <f>IF(AND(ISNUMBER(SEARCH("Espeto",N157)),ISNUMBER(SEARCH("Santana",N157))),"SIM","")</f>
        <v/>
      </c>
      <c r="X157" s="99">
        <f>IF(AND(ISNUMBER(SEARCH("Espeto",N157)),ISNUMBER(SEARCH("André",N157))),"SIM","")</f>
        <v/>
      </c>
      <c r="Y157" s="99">
        <f>IF(AND(ISNUMBER(SEARCH("Delivery",N157)),ISNUMBER(SEARCH("Carin",N157))),"SIM","")</f>
        <v/>
      </c>
      <c r="Z157" s="99">
        <f>IF(AND(ISNUMBER(SEARCH("Delivery",N157)),ISNUMBER(SEARCH("Lapa",N157))),"SIM","")</f>
        <v/>
      </c>
      <c r="AA157" s="99">
        <f>IF(AND(ISNUMBER(SEARCH("Delivery",N157)),ISNUMBER(SEARCH("Tatuapé",N157))),"SIM","")</f>
        <v/>
      </c>
      <c r="AB157" s="99">
        <f>IF(AND(ISNUMBER(SEARCH("Delivery",N157)),ISNUMBER(SEARCH("Pavão",N157))),"SIM","")</f>
        <v/>
      </c>
      <c r="AC157" s="99">
        <f>IF(AND(ISNUMBER(SEARCH("Delivery",N157)),ISNUMBER(SEARCH("Chac",N157))),"SIM","")</f>
        <v/>
      </c>
      <c r="AD157" s="99">
        <f>IF(AND(ISNUMBER(SEARCH("Delivery",N157)),ISNUMBER(SEARCH("Madalena",N157))),"SIM","")</f>
        <v/>
      </c>
      <c r="AE157" s="99">
        <f>IF(AND(ISNUMBER(SEARCH("Delivery",N157)),ISNUMBER(SEARCH("Mariana",N157))),"SIM","")</f>
        <v/>
      </c>
      <c r="AF157" s="99">
        <f>IF(AND(ISNUMBER(SEARCH("Delivery",N157)),ISNUMBER(SEARCH("Perdizes",N157))),"SIM","")</f>
        <v/>
      </c>
      <c r="AG157" s="99">
        <f>IF(AND(ISNUMBER(SEARCH("Delivery",N157)),ISNUMBER(SEARCH("Santana",N157))),"SIM","")</f>
        <v/>
      </c>
      <c r="AH157" s="99">
        <f>IF(AND(ISNUMBER(SEARCH("Delivery",N157)),ISNUMBER(SEARCH("André",N157))),"SIM","")</f>
        <v/>
      </c>
      <c r="AI157" s="99">
        <f>IF(ISNUMBER(SEARCH("Interlagos",N157)),"SIM","")</f>
        <v/>
      </c>
      <c r="AJ157" s="99">
        <f>IF(ISNUMBER(SEARCH("Quiosque",N157)),"SIM","")</f>
        <v/>
      </c>
      <c r="AK157" s="101" t="n"/>
    </row>
    <row r="158">
      <c r="A158" s="88" t="inlineStr">
        <is>
          <t>Protheus</t>
        </is>
      </c>
      <c r="B158" s="89" t="inlineStr">
        <is>
          <t>010096</t>
        </is>
      </c>
      <c r="C158" s="90">
        <f>IF(B158="—","—",IFERROR(VLOOKUP(B158,_Protheus_Cadastro!$A:$B,2,FALSE),"—"))</f>
        <v/>
      </c>
      <c r="D158" s="91">
        <f>IF(B158="—",IFERROR(INDEX(_ZIG_Cadastro!$D:$D,MATCH(H158,_ZIG_Cadastro!$A:$A,0)),"Produto"),IFERROR(VLOOKUP(B158,_Protheus_Cadastro!$A:$C,3,FALSE),"—"))</f>
        <v/>
      </c>
      <c r="E158" s="91">
        <f>IF(B158="—","—",IFERROR(VLOOKUP(B158,_Protheus_Cadastro!$A:$D,4,FALSE),"—"))</f>
        <v/>
      </c>
      <c r="F158" s="91">
        <f>IF(ISERROR(VLOOKUP(B158,'Estrutura Protheus'!A:A,1,FALSE)),"Não","Sim")</f>
        <v/>
      </c>
      <c r="G158" s="92">
        <f>IFERROR(INDEX(_Protheus_Cadastro!$H:$H,MATCH(B158,_Protheus_Cadastro!$A:$A,0)),"—")</f>
        <v/>
      </c>
      <c r="H158" s="210">
        <f>IFERROR(INDEX(_ZIG_Precos!$D:$D,MATCH(I158,_ZIG_Precos!$F:$F,0)),"—")</f>
        <v/>
      </c>
      <c r="I158" s="95">
        <f>IFERROR(VLOOKUP(B158,_Protheus_Cadastro!$A:$I,9,FALSE),"—")</f>
        <v/>
      </c>
      <c r="J158" s="93">
        <f>IFERROR(INDEX(_ZIG_Cadastro!$B:$B,MATCH(I158,_ZIG_Cadastro!$A:$A,0)),IFERROR(INDEX(_Entradas_ZIG!$B:$B,MATCH(I158,_Entradas_ZIG!$C:$C,0)),"—"))</f>
        <v/>
      </c>
      <c r="K158" s="93">
        <f>IFERROR(INDEX(_ZIG_Cadastro!$C:$C,MATCH(I158,_ZIG_Cadastro!$A:$A,0)),IFERROR(INDEX(_Entradas_ZIG!$D:$D,MATCH(I158,_Entradas_ZIG!$C:$C,0)),"—"))</f>
        <v/>
      </c>
      <c r="L158" s="92">
        <f>IF(I158="","Sem SKU ZIG",IF(I158="—","Sem SKU ZIG",IF(NOT(ISERROR(MATCH(I158,_ZIG_Cadastro!$A:$A,0))),IF(EXACT(UPPER(TRIM(C158)),UPPER(TRIM(INDEX(_ZIG_Cadastro!$B:$B,MATCH(I158,_ZIG_Cadastro!$A:$A,0))))),"OK","Atencao - Nome diverge"),IF(NOT(ISERROR(MATCH(I158,_Entradas_ZIG!$C:$C,0))),"OK","Erro - SKU nao encontrado"))))</f>
        <v/>
      </c>
      <c r="M158" s="92">
        <f>IFERROR(INDEX(_ZIG_Cadastro!$G:$G,MATCH(I158,_ZIG_Cadastro!$A:$A,0)),IF(NOT(ISERROR(MATCH(I158,_Entradas_ZIG!$C:$C,0))),"Ativo","—"))</f>
        <v/>
      </c>
      <c r="N158" s="94">
        <f>IFERROR(INDEX(_ZIG_Cadastro!$E:$E,MATCH(I158,_ZIG_Cadastro!$A:$A,0)),IFERROR(INDEX(_Entradas_ZIG!$F:$F,MATCH(I158,_Entradas_ZIG!$C:$C,0)),"—"))</f>
        <v/>
      </c>
      <c r="O158" s="92">
        <f>IF(AND(ISNUMBER(SEARCH("Espeto",N158)),ISNUMBER(SEARCH("Carin",N158))),"SIM","")</f>
        <v/>
      </c>
      <c r="P158" s="92">
        <f>IF(AND(ISNUMBER(SEARCH("Espeto",N158)),ISNUMBER(SEARCH("Lapa",N158))),"SIM","")</f>
        <v/>
      </c>
      <c r="Q158" s="92">
        <f>IF(AND(ISNUMBER(SEARCH("Espeto",N158)),ISNUMBER(SEARCH("Tatuapé",N158))),"SIM","")</f>
        <v/>
      </c>
      <c r="R158" s="92">
        <f>IF(AND(ISNUMBER(SEARCH("Espeto",N158)),ISNUMBER(SEARCH("Pavão",N158))),"SIM","")</f>
        <v/>
      </c>
      <c r="S158" s="92">
        <f>IF(AND(ISNUMBER(SEARCH("Espeto",N158)),ISNUMBER(SEARCH("Chac",N158))),"SIM","")</f>
        <v/>
      </c>
      <c r="T158" s="92">
        <f>IF(AND(ISNUMBER(SEARCH("Espeto",N158)),ISNUMBER(SEARCH("Madalena",N158))),"SIM","")</f>
        <v/>
      </c>
      <c r="U158" s="92">
        <f>IF(AND(ISNUMBER(SEARCH("Espeto",N158)),ISNUMBER(SEARCH("Mariana",N158))),"SIM","")</f>
        <v/>
      </c>
      <c r="V158" s="92">
        <f>IF(AND(ISNUMBER(SEARCH("Espeto",N158)),ISNUMBER(SEARCH("Perdizes",N158))),"SIM","")</f>
        <v/>
      </c>
      <c r="W158" s="92">
        <f>IF(AND(ISNUMBER(SEARCH("Espeto",N158)),ISNUMBER(SEARCH("Santana",N158))),"SIM","")</f>
        <v/>
      </c>
      <c r="X158" s="92">
        <f>IF(AND(ISNUMBER(SEARCH("Espeto",N158)),ISNUMBER(SEARCH("André",N158))),"SIM","")</f>
        <v/>
      </c>
      <c r="Y158" s="92">
        <f>IF(AND(ISNUMBER(SEARCH("Delivery",N158)),ISNUMBER(SEARCH("Carin",N158))),"SIM","")</f>
        <v/>
      </c>
      <c r="Z158" s="92">
        <f>IF(AND(ISNUMBER(SEARCH("Delivery",N158)),ISNUMBER(SEARCH("Lapa",N158))),"SIM","")</f>
        <v/>
      </c>
      <c r="AA158" s="92">
        <f>IF(AND(ISNUMBER(SEARCH("Delivery",N158)),ISNUMBER(SEARCH("Tatuapé",N158))),"SIM","")</f>
        <v/>
      </c>
      <c r="AB158" s="92">
        <f>IF(AND(ISNUMBER(SEARCH("Delivery",N158)),ISNUMBER(SEARCH("Pavão",N158))),"SIM","")</f>
        <v/>
      </c>
      <c r="AC158" s="92">
        <f>IF(AND(ISNUMBER(SEARCH("Delivery",N158)),ISNUMBER(SEARCH("Chac",N158))),"SIM","")</f>
        <v/>
      </c>
      <c r="AD158" s="92">
        <f>IF(AND(ISNUMBER(SEARCH("Delivery",N158)),ISNUMBER(SEARCH("Madalena",N158))),"SIM","")</f>
        <v/>
      </c>
      <c r="AE158" s="92">
        <f>IF(AND(ISNUMBER(SEARCH("Delivery",N158)),ISNUMBER(SEARCH("Mariana",N158))),"SIM","")</f>
        <v/>
      </c>
      <c r="AF158" s="92">
        <f>IF(AND(ISNUMBER(SEARCH("Delivery",N158)),ISNUMBER(SEARCH("Perdizes",N158))),"SIM","")</f>
        <v/>
      </c>
      <c r="AG158" s="92">
        <f>IF(AND(ISNUMBER(SEARCH("Delivery",N158)),ISNUMBER(SEARCH("Santana",N158))),"SIM","")</f>
        <v/>
      </c>
      <c r="AH158" s="92">
        <f>IF(AND(ISNUMBER(SEARCH("Delivery",N158)),ISNUMBER(SEARCH("André",N158))),"SIM","")</f>
        <v/>
      </c>
      <c r="AI158" s="92">
        <f>IF(ISNUMBER(SEARCH("Interlagos",N158)),"SIM","")</f>
        <v/>
      </c>
      <c r="AJ158" s="92">
        <f>IF(ISNUMBER(SEARCH("Quiosque",N158)),"SIM","")</f>
        <v/>
      </c>
      <c r="AK158" s="93" t="n"/>
    </row>
    <row r="159">
      <c r="A159" s="88" t="inlineStr">
        <is>
          <t>Protheus</t>
        </is>
      </c>
      <c r="B159" s="96" t="inlineStr">
        <is>
          <t>001017</t>
        </is>
      </c>
      <c r="C159" s="97">
        <f>IF(B159="—","—",IFERROR(VLOOKUP(B159,_Protheus_Cadastro!$A:$B,2,FALSE),"—"))</f>
        <v/>
      </c>
      <c r="D159" s="98">
        <f>IF(B159="—",IFERROR(INDEX(_ZIG_Cadastro!$D:$D,MATCH(H159,_ZIG_Cadastro!$A:$A,0)),"Produto"),IFERROR(VLOOKUP(B159,_Protheus_Cadastro!$A:$C,3,FALSE),"—"))</f>
        <v/>
      </c>
      <c r="E159" s="98">
        <f>IF(B159="—","—",IFERROR(VLOOKUP(B159,_Protheus_Cadastro!$A:$D,4,FALSE),"—"))</f>
        <v/>
      </c>
      <c r="F159" s="98">
        <f>IF(ISERROR(VLOOKUP(B159,'Estrutura Protheus'!A:A,1,FALSE)),"Não","Sim")</f>
        <v/>
      </c>
      <c r="G159" s="99">
        <f>IFERROR(INDEX(_Protheus_Cadastro!$H:$H,MATCH(B159,_Protheus_Cadastro!$A:$A,0)),"—")</f>
        <v/>
      </c>
      <c r="H159" s="211">
        <f>IFERROR(INDEX(_ZIG_Precos!$D:$D,MATCH(I159,_ZIG_Precos!$F:$F,0)),"—")</f>
        <v/>
      </c>
      <c r="I159" s="103">
        <f>IFERROR(VLOOKUP(B159,_Protheus_Cadastro!$A:$I,9,FALSE),"—")</f>
        <v/>
      </c>
      <c r="J159" s="101">
        <f>IFERROR(INDEX(_ZIG_Cadastro!$B:$B,MATCH(I159,_ZIG_Cadastro!$A:$A,0)),IFERROR(INDEX(_Entradas_ZIG!$B:$B,MATCH(I159,_Entradas_ZIG!$C:$C,0)),"—"))</f>
        <v/>
      </c>
      <c r="K159" s="101">
        <f>IFERROR(INDEX(_ZIG_Cadastro!$C:$C,MATCH(I159,_ZIG_Cadastro!$A:$A,0)),IFERROR(INDEX(_Entradas_ZIG!$D:$D,MATCH(I159,_Entradas_ZIG!$C:$C,0)),"—"))</f>
        <v/>
      </c>
      <c r="L159" s="99">
        <f>IF(I159="","Sem SKU ZIG",IF(I159="—","Sem SKU ZIG",IF(NOT(ISERROR(MATCH(I159,_ZIG_Cadastro!$A:$A,0))),IF(EXACT(UPPER(TRIM(C159)),UPPER(TRIM(INDEX(_ZIG_Cadastro!$B:$B,MATCH(I159,_ZIG_Cadastro!$A:$A,0))))),"OK","Atencao - Nome diverge"),IF(NOT(ISERROR(MATCH(I159,_Entradas_ZIG!$C:$C,0))),"OK","Erro - SKU nao encontrado"))))</f>
        <v/>
      </c>
      <c r="M159" s="99">
        <f>IFERROR(INDEX(_ZIG_Cadastro!$G:$G,MATCH(I159,_ZIG_Cadastro!$A:$A,0)),IF(NOT(ISERROR(MATCH(I159,_Entradas_ZIG!$C:$C,0))),"Ativo","—"))</f>
        <v/>
      </c>
      <c r="N159" s="102">
        <f>IFERROR(INDEX(_ZIG_Cadastro!$E:$E,MATCH(I159,_ZIG_Cadastro!$A:$A,0)),IFERROR(INDEX(_Entradas_ZIG!$F:$F,MATCH(I159,_Entradas_ZIG!$C:$C,0)),"—"))</f>
        <v/>
      </c>
      <c r="O159" s="99">
        <f>IF(AND(ISNUMBER(SEARCH("Espeto",N159)),ISNUMBER(SEARCH("Carin",N159))),"SIM","")</f>
        <v/>
      </c>
      <c r="P159" s="99">
        <f>IF(AND(ISNUMBER(SEARCH("Espeto",N159)),ISNUMBER(SEARCH("Lapa",N159))),"SIM","")</f>
        <v/>
      </c>
      <c r="Q159" s="99">
        <f>IF(AND(ISNUMBER(SEARCH("Espeto",N159)),ISNUMBER(SEARCH("Tatuapé",N159))),"SIM","")</f>
        <v/>
      </c>
      <c r="R159" s="99">
        <f>IF(AND(ISNUMBER(SEARCH("Espeto",N159)),ISNUMBER(SEARCH("Pavão",N159))),"SIM","")</f>
        <v/>
      </c>
      <c r="S159" s="99">
        <f>IF(AND(ISNUMBER(SEARCH("Espeto",N159)),ISNUMBER(SEARCH("Chac",N159))),"SIM","")</f>
        <v/>
      </c>
      <c r="T159" s="99">
        <f>IF(AND(ISNUMBER(SEARCH("Espeto",N159)),ISNUMBER(SEARCH("Madalena",N159))),"SIM","")</f>
        <v/>
      </c>
      <c r="U159" s="99">
        <f>IF(AND(ISNUMBER(SEARCH("Espeto",N159)),ISNUMBER(SEARCH("Mariana",N159))),"SIM","")</f>
        <v/>
      </c>
      <c r="V159" s="99">
        <f>IF(AND(ISNUMBER(SEARCH("Espeto",N159)),ISNUMBER(SEARCH("Perdizes",N159))),"SIM","")</f>
        <v/>
      </c>
      <c r="W159" s="99">
        <f>IF(AND(ISNUMBER(SEARCH("Espeto",N159)),ISNUMBER(SEARCH("Santana",N159))),"SIM","")</f>
        <v/>
      </c>
      <c r="X159" s="99">
        <f>IF(AND(ISNUMBER(SEARCH("Espeto",N159)),ISNUMBER(SEARCH("André",N159))),"SIM","")</f>
        <v/>
      </c>
      <c r="Y159" s="99">
        <f>IF(AND(ISNUMBER(SEARCH("Delivery",N159)),ISNUMBER(SEARCH("Carin",N159))),"SIM","")</f>
        <v/>
      </c>
      <c r="Z159" s="99">
        <f>IF(AND(ISNUMBER(SEARCH("Delivery",N159)),ISNUMBER(SEARCH("Lapa",N159))),"SIM","")</f>
        <v/>
      </c>
      <c r="AA159" s="99">
        <f>IF(AND(ISNUMBER(SEARCH("Delivery",N159)),ISNUMBER(SEARCH("Tatuapé",N159))),"SIM","")</f>
        <v/>
      </c>
      <c r="AB159" s="99">
        <f>IF(AND(ISNUMBER(SEARCH("Delivery",N159)),ISNUMBER(SEARCH("Pavão",N159))),"SIM","")</f>
        <v/>
      </c>
      <c r="AC159" s="99">
        <f>IF(AND(ISNUMBER(SEARCH("Delivery",N159)),ISNUMBER(SEARCH("Chac",N159))),"SIM","")</f>
        <v/>
      </c>
      <c r="AD159" s="99">
        <f>IF(AND(ISNUMBER(SEARCH("Delivery",N159)),ISNUMBER(SEARCH("Madalena",N159))),"SIM","")</f>
        <v/>
      </c>
      <c r="AE159" s="99">
        <f>IF(AND(ISNUMBER(SEARCH("Delivery",N159)),ISNUMBER(SEARCH("Mariana",N159))),"SIM","")</f>
        <v/>
      </c>
      <c r="AF159" s="99">
        <f>IF(AND(ISNUMBER(SEARCH("Delivery",N159)),ISNUMBER(SEARCH("Perdizes",N159))),"SIM","")</f>
        <v/>
      </c>
      <c r="AG159" s="99">
        <f>IF(AND(ISNUMBER(SEARCH("Delivery",N159)),ISNUMBER(SEARCH("Santana",N159))),"SIM","")</f>
        <v/>
      </c>
      <c r="AH159" s="99">
        <f>IF(AND(ISNUMBER(SEARCH("Delivery",N159)),ISNUMBER(SEARCH("André",N159))),"SIM","")</f>
        <v/>
      </c>
      <c r="AI159" s="99">
        <f>IF(ISNUMBER(SEARCH("Interlagos",N159)),"SIM","")</f>
        <v/>
      </c>
      <c r="AJ159" s="99">
        <f>IF(ISNUMBER(SEARCH("Quiosque",N159)),"SIM","")</f>
        <v/>
      </c>
      <c r="AK159" s="101" t="n"/>
    </row>
    <row r="160">
      <c r="A160" s="88" t="inlineStr">
        <is>
          <t>Protheus</t>
        </is>
      </c>
      <c r="B160" s="96" t="inlineStr">
        <is>
          <t>001414</t>
        </is>
      </c>
      <c r="C160" s="97">
        <f>IF(B160="—","—",IFERROR(VLOOKUP(B160,_Protheus_Cadastro!$A:$B,2,FALSE),"—"))</f>
        <v/>
      </c>
      <c r="D160" s="98">
        <f>IF(B160="—",IFERROR(INDEX(_ZIG_Cadastro!$D:$D,MATCH(H160,_ZIG_Cadastro!$A:$A,0)),"Produto"),IFERROR(VLOOKUP(B160,_Protheus_Cadastro!$A:$C,3,FALSE),"—"))</f>
        <v/>
      </c>
      <c r="E160" s="98">
        <f>IF(B160="—","—",IFERROR(VLOOKUP(B160,_Protheus_Cadastro!$A:$D,4,FALSE),"—"))</f>
        <v/>
      </c>
      <c r="F160" s="98">
        <f>IF(ISERROR(VLOOKUP(B160,'Estrutura Protheus'!A:A,1,FALSE)),"Não","Sim")</f>
        <v/>
      </c>
      <c r="G160" s="99">
        <f>IFERROR(INDEX(_Protheus_Cadastro!$H:$H,MATCH(B160,_Protheus_Cadastro!$A:$A,0)),"—")</f>
        <v/>
      </c>
      <c r="H160" s="211">
        <f>IFERROR(INDEX(_ZIG_Precos!$D:$D,MATCH(I160,_ZIG_Precos!$F:$F,0)),"—")</f>
        <v/>
      </c>
      <c r="I160" s="103">
        <f>IFERROR(VLOOKUP(B160,_Protheus_Cadastro!$A:$I,9,FALSE),"—")</f>
        <v/>
      </c>
      <c r="J160" s="101">
        <f>IFERROR(INDEX(_ZIG_Cadastro!$B:$B,MATCH(I160,_ZIG_Cadastro!$A:$A,0)),IFERROR(INDEX(_Entradas_ZIG!$B:$B,MATCH(I160,_Entradas_ZIG!$C:$C,0)),"—"))</f>
        <v/>
      </c>
      <c r="K160" s="101">
        <f>IFERROR(INDEX(_ZIG_Cadastro!$C:$C,MATCH(I160,_ZIG_Cadastro!$A:$A,0)),IFERROR(INDEX(_Entradas_ZIG!$D:$D,MATCH(I160,_Entradas_ZIG!$C:$C,0)),"—"))</f>
        <v/>
      </c>
      <c r="L160" s="99">
        <f>IF(I160="","Sem SKU ZIG",IF(I160="—","Sem SKU ZIG",IF(NOT(ISERROR(MATCH(I160,_ZIG_Cadastro!$A:$A,0))),IF(EXACT(UPPER(TRIM(C160)),UPPER(TRIM(INDEX(_ZIG_Cadastro!$B:$B,MATCH(I160,_ZIG_Cadastro!$A:$A,0))))),"OK","Atencao - Nome diverge"),IF(NOT(ISERROR(MATCH(I160,_Entradas_ZIG!$C:$C,0))),"OK","Erro - SKU nao encontrado"))))</f>
        <v/>
      </c>
      <c r="M160" s="99">
        <f>IFERROR(INDEX(_ZIG_Cadastro!$G:$G,MATCH(I160,_ZIG_Cadastro!$A:$A,0)),IF(NOT(ISERROR(MATCH(I160,_Entradas_ZIG!$C:$C,0))),"Ativo","—"))</f>
        <v/>
      </c>
      <c r="N160" s="102">
        <f>IFERROR(INDEX(_ZIG_Cadastro!$E:$E,MATCH(I160,_ZIG_Cadastro!$A:$A,0)),IFERROR(INDEX(_Entradas_ZIG!$F:$F,MATCH(I160,_Entradas_ZIG!$C:$C,0)),"—"))</f>
        <v/>
      </c>
      <c r="O160" s="99">
        <f>IF(AND(ISNUMBER(SEARCH("Espeto",N160)),ISNUMBER(SEARCH("Carin",N160))),"SIM","")</f>
        <v/>
      </c>
      <c r="P160" s="99">
        <f>IF(AND(ISNUMBER(SEARCH("Espeto",N160)),ISNUMBER(SEARCH("Lapa",N160))),"SIM","")</f>
        <v/>
      </c>
      <c r="Q160" s="99">
        <f>IF(AND(ISNUMBER(SEARCH("Espeto",N160)),ISNUMBER(SEARCH("Tatuapé",N160))),"SIM","")</f>
        <v/>
      </c>
      <c r="R160" s="99">
        <f>IF(AND(ISNUMBER(SEARCH("Espeto",N160)),ISNUMBER(SEARCH("Pavão",N160))),"SIM","")</f>
        <v/>
      </c>
      <c r="S160" s="99">
        <f>IF(AND(ISNUMBER(SEARCH("Espeto",N160)),ISNUMBER(SEARCH("Chac",N160))),"SIM","")</f>
        <v/>
      </c>
      <c r="T160" s="99">
        <f>IF(AND(ISNUMBER(SEARCH("Espeto",N160)),ISNUMBER(SEARCH("Madalena",N160))),"SIM","")</f>
        <v/>
      </c>
      <c r="U160" s="99">
        <f>IF(AND(ISNUMBER(SEARCH("Espeto",N160)),ISNUMBER(SEARCH("Mariana",N160))),"SIM","")</f>
        <v/>
      </c>
      <c r="V160" s="99">
        <f>IF(AND(ISNUMBER(SEARCH("Espeto",N160)),ISNUMBER(SEARCH("Perdizes",N160))),"SIM","")</f>
        <v/>
      </c>
      <c r="W160" s="99">
        <f>IF(AND(ISNUMBER(SEARCH("Espeto",N160)),ISNUMBER(SEARCH("Santana",N160))),"SIM","")</f>
        <v/>
      </c>
      <c r="X160" s="99">
        <f>IF(AND(ISNUMBER(SEARCH("Espeto",N160)),ISNUMBER(SEARCH("André",N160))),"SIM","")</f>
        <v/>
      </c>
      <c r="Y160" s="99">
        <f>IF(AND(ISNUMBER(SEARCH("Delivery",N160)),ISNUMBER(SEARCH("Carin",N160))),"SIM","")</f>
        <v/>
      </c>
      <c r="Z160" s="99">
        <f>IF(AND(ISNUMBER(SEARCH("Delivery",N160)),ISNUMBER(SEARCH("Lapa",N160))),"SIM","")</f>
        <v/>
      </c>
      <c r="AA160" s="99">
        <f>IF(AND(ISNUMBER(SEARCH("Delivery",N160)),ISNUMBER(SEARCH("Tatuapé",N160))),"SIM","")</f>
        <v/>
      </c>
      <c r="AB160" s="99">
        <f>IF(AND(ISNUMBER(SEARCH("Delivery",N160)),ISNUMBER(SEARCH("Pavão",N160))),"SIM","")</f>
        <v/>
      </c>
      <c r="AC160" s="99">
        <f>IF(AND(ISNUMBER(SEARCH("Delivery",N160)),ISNUMBER(SEARCH("Chac",N160))),"SIM","")</f>
        <v/>
      </c>
      <c r="AD160" s="99">
        <f>IF(AND(ISNUMBER(SEARCH("Delivery",N160)),ISNUMBER(SEARCH("Madalena",N160))),"SIM","")</f>
        <v/>
      </c>
      <c r="AE160" s="99">
        <f>IF(AND(ISNUMBER(SEARCH("Delivery",N160)),ISNUMBER(SEARCH("Mariana",N160))),"SIM","")</f>
        <v/>
      </c>
      <c r="AF160" s="99">
        <f>IF(AND(ISNUMBER(SEARCH("Delivery",N160)),ISNUMBER(SEARCH("Perdizes",N160))),"SIM","")</f>
        <v/>
      </c>
      <c r="AG160" s="99">
        <f>IF(AND(ISNUMBER(SEARCH("Delivery",N160)),ISNUMBER(SEARCH("Santana",N160))),"SIM","")</f>
        <v/>
      </c>
      <c r="AH160" s="99">
        <f>IF(AND(ISNUMBER(SEARCH("Delivery",N160)),ISNUMBER(SEARCH("André",N160))),"SIM","")</f>
        <v/>
      </c>
      <c r="AI160" s="99">
        <f>IF(ISNUMBER(SEARCH("Interlagos",N160)),"SIM","")</f>
        <v/>
      </c>
      <c r="AJ160" s="99">
        <f>IF(ISNUMBER(SEARCH("Quiosque",N160)),"SIM","")</f>
        <v/>
      </c>
      <c r="AK160" s="101" t="n"/>
    </row>
    <row r="161">
      <c r="A161" s="88" t="inlineStr">
        <is>
          <t>Protheus</t>
        </is>
      </c>
      <c r="B161" s="89" t="inlineStr">
        <is>
          <t>001413</t>
        </is>
      </c>
      <c r="C161" s="90">
        <f>IF(B161="—","—",IFERROR(VLOOKUP(B161,_Protheus_Cadastro!$A:$B,2,FALSE),"—"))</f>
        <v/>
      </c>
      <c r="D161" s="91">
        <f>IF(B161="—",IFERROR(INDEX(_ZIG_Cadastro!$D:$D,MATCH(H161,_ZIG_Cadastro!$A:$A,0)),"Produto"),IFERROR(VLOOKUP(B161,_Protheus_Cadastro!$A:$C,3,FALSE),"—"))</f>
        <v/>
      </c>
      <c r="E161" s="91">
        <f>IF(B161="—","—",IFERROR(VLOOKUP(B161,_Protheus_Cadastro!$A:$D,4,FALSE),"—"))</f>
        <v/>
      </c>
      <c r="F161" s="91">
        <f>IF(ISERROR(VLOOKUP(B161,'Estrutura Protheus'!A:A,1,FALSE)),"Não","Sim")</f>
        <v/>
      </c>
      <c r="G161" s="92">
        <f>IFERROR(INDEX(_Protheus_Cadastro!$H:$H,MATCH(B161,_Protheus_Cadastro!$A:$A,0)),"—")</f>
        <v/>
      </c>
      <c r="H161" s="210">
        <f>IFERROR(INDEX(_ZIG_Precos!$D:$D,MATCH(I161,_ZIG_Precos!$F:$F,0)),"—")</f>
        <v/>
      </c>
      <c r="I161" s="95">
        <f>IFERROR(VLOOKUP(B161,_Protheus_Cadastro!$A:$I,9,FALSE),"—")</f>
        <v/>
      </c>
      <c r="J161" s="93">
        <f>IFERROR(INDEX(_ZIG_Cadastro!$B:$B,MATCH(I161,_ZIG_Cadastro!$A:$A,0)),IFERROR(INDEX(_Entradas_ZIG!$B:$B,MATCH(I161,_Entradas_ZIG!$C:$C,0)),"—"))</f>
        <v/>
      </c>
      <c r="K161" s="93">
        <f>IFERROR(INDEX(_ZIG_Cadastro!$C:$C,MATCH(I161,_ZIG_Cadastro!$A:$A,0)),IFERROR(INDEX(_Entradas_ZIG!$D:$D,MATCH(I161,_Entradas_ZIG!$C:$C,0)),"—"))</f>
        <v/>
      </c>
      <c r="L161" s="92">
        <f>IF(I161="","Sem SKU ZIG",IF(I161="—","Sem SKU ZIG",IF(NOT(ISERROR(MATCH(I161,_ZIG_Cadastro!$A:$A,0))),IF(EXACT(UPPER(TRIM(C161)),UPPER(TRIM(INDEX(_ZIG_Cadastro!$B:$B,MATCH(I161,_ZIG_Cadastro!$A:$A,0))))),"OK","Atencao - Nome diverge"),IF(NOT(ISERROR(MATCH(I161,_Entradas_ZIG!$C:$C,0))),"OK","Erro - SKU nao encontrado"))))</f>
        <v/>
      </c>
      <c r="M161" s="92">
        <f>IFERROR(INDEX(_ZIG_Cadastro!$G:$G,MATCH(I161,_ZIG_Cadastro!$A:$A,0)),IF(NOT(ISERROR(MATCH(I161,_Entradas_ZIG!$C:$C,0))),"Ativo","—"))</f>
        <v/>
      </c>
      <c r="N161" s="94">
        <f>IFERROR(INDEX(_ZIG_Cadastro!$E:$E,MATCH(I161,_ZIG_Cadastro!$A:$A,0)),IFERROR(INDEX(_Entradas_ZIG!$F:$F,MATCH(I161,_Entradas_ZIG!$C:$C,0)),"—"))</f>
        <v/>
      </c>
      <c r="O161" s="92">
        <f>IF(AND(ISNUMBER(SEARCH("Espeto",N161)),ISNUMBER(SEARCH("Carin",N161))),"SIM","")</f>
        <v/>
      </c>
      <c r="P161" s="92">
        <f>IF(AND(ISNUMBER(SEARCH("Espeto",N161)),ISNUMBER(SEARCH("Lapa",N161))),"SIM","")</f>
        <v/>
      </c>
      <c r="Q161" s="92">
        <f>IF(AND(ISNUMBER(SEARCH("Espeto",N161)),ISNUMBER(SEARCH("Tatuapé",N161))),"SIM","")</f>
        <v/>
      </c>
      <c r="R161" s="92">
        <f>IF(AND(ISNUMBER(SEARCH("Espeto",N161)),ISNUMBER(SEARCH("Pavão",N161))),"SIM","")</f>
        <v/>
      </c>
      <c r="S161" s="92">
        <f>IF(AND(ISNUMBER(SEARCH("Espeto",N161)),ISNUMBER(SEARCH("Chac",N161))),"SIM","")</f>
        <v/>
      </c>
      <c r="T161" s="92">
        <f>IF(AND(ISNUMBER(SEARCH("Espeto",N161)),ISNUMBER(SEARCH("Madalena",N161))),"SIM","")</f>
        <v/>
      </c>
      <c r="U161" s="92">
        <f>IF(AND(ISNUMBER(SEARCH("Espeto",N161)),ISNUMBER(SEARCH("Mariana",N161))),"SIM","")</f>
        <v/>
      </c>
      <c r="V161" s="92">
        <f>IF(AND(ISNUMBER(SEARCH("Espeto",N161)),ISNUMBER(SEARCH("Perdizes",N161))),"SIM","")</f>
        <v/>
      </c>
      <c r="W161" s="92">
        <f>IF(AND(ISNUMBER(SEARCH("Espeto",N161)),ISNUMBER(SEARCH("Santana",N161))),"SIM","")</f>
        <v/>
      </c>
      <c r="X161" s="92">
        <f>IF(AND(ISNUMBER(SEARCH("Espeto",N161)),ISNUMBER(SEARCH("André",N161))),"SIM","")</f>
        <v/>
      </c>
      <c r="Y161" s="92">
        <f>IF(AND(ISNUMBER(SEARCH("Delivery",N161)),ISNUMBER(SEARCH("Carin",N161))),"SIM","")</f>
        <v/>
      </c>
      <c r="Z161" s="92">
        <f>IF(AND(ISNUMBER(SEARCH("Delivery",N161)),ISNUMBER(SEARCH("Lapa",N161))),"SIM","")</f>
        <v/>
      </c>
      <c r="AA161" s="92">
        <f>IF(AND(ISNUMBER(SEARCH("Delivery",N161)),ISNUMBER(SEARCH("Tatuapé",N161))),"SIM","")</f>
        <v/>
      </c>
      <c r="AB161" s="92">
        <f>IF(AND(ISNUMBER(SEARCH("Delivery",N161)),ISNUMBER(SEARCH("Pavão",N161))),"SIM","")</f>
        <v/>
      </c>
      <c r="AC161" s="92">
        <f>IF(AND(ISNUMBER(SEARCH("Delivery",N161)),ISNUMBER(SEARCH("Chac",N161))),"SIM","")</f>
        <v/>
      </c>
      <c r="AD161" s="92">
        <f>IF(AND(ISNUMBER(SEARCH("Delivery",N161)),ISNUMBER(SEARCH("Madalena",N161))),"SIM","")</f>
        <v/>
      </c>
      <c r="AE161" s="92">
        <f>IF(AND(ISNUMBER(SEARCH("Delivery",N161)),ISNUMBER(SEARCH("Mariana",N161))),"SIM","")</f>
        <v/>
      </c>
      <c r="AF161" s="92">
        <f>IF(AND(ISNUMBER(SEARCH("Delivery",N161)),ISNUMBER(SEARCH("Perdizes",N161))),"SIM","")</f>
        <v/>
      </c>
      <c r="AG161" s="92">
        <f>IF(AND(ISNUMBER(SEARCH("Delivery",N161)),ISNUMBER(SEARCH("Santana",N161))),"SIM","")</f>
        <v/>
      </c>
      <c r="AH161" s="92">
        <f>IF(AND(ISNUMBER(SEARCH("Delivery",N161)),ISNUMBER(SEARCH("André",N161))),"SIM","")</f>
        <v/>
      </c>
      <c r="AI161" s="92">
        <f>IF(ISNUMBER(SEARCH("Interlagos",N161)),"SIM","")</f>
        <v/>
      </c>
      <c r="AJ161" s="92">
        <f>IF(ISNUMBER(SEARCH("Quiosque",N161)),"SIM","")</f>
        <v/>
      </c>
      <c r="AK161" s="93" t="n"/>
    </row>
    <row r="162">
      <c r="A162" s="88" t="inlineStr">
        <is>
          <t>Protheus</t>
        </is>
      </c>
      <c r="B162" s="96" t="inlineStr">
        <is>
          <t>001228</t>
        </is>
      </c>
      <c r="C162" s="97">
        <f>IF(B162="—","—",IFERROR(VLOOKUP(B162,_Protheus_Cadastro!$A:$B,2,FALSE),"—"))</f>
        <v/>
      </c>
      <c r="D162" s="98">
        <f>IF(B162="—",IFERROR(INDEX(_ZIG_Cadastro!$D:$D,MATCH(H162,_ZIG_Cadastro!$A:$A,0)),"Produto"),IFERROR(VLOOKUP(B162,_Protheus_Cadastro!$A:$C,3,FALSE),"—"))</f>
        <v/>
      </c>
      <c r="E162" s="98">
        <f>IF(B162="—","—",IFERROR(VLOOKUP(B162,_Protheus_Cadastro!$A:$D,4,FALSE),"—"))</f>
        <v/>
      </c>
      <c r="F162" s="98">
        <f>IF(ISERROR(VLOOKUP(B162,'Estrutura Protheus'!A:A,1,FALSE)),"Não","Sim")</f>
        <v/>
      </c>
      <c r="G162" s="99">
        <f>IFERROR(INDEX(_Protheus_Cadastro!$H:$H,MATCH(B162,_Protheus_Cadastro!$A:$A,0)),"—")</f>
        <v/>
      </c>
      <c r="H162" s="211">
        <f>IFERROR(INDEX(_ZIG_Precos!$D:$D,MATCH(I162,_ZIG_Precos!$F:$F,0)),"—")</f>
        <v/>
      </c>
      <c r="I162" s="103">
        <f>IFERROR(VLOOKUP(B162,_Protheus_Cadastro!$A:$I,9,FALSE),"—")</f>
        <v/>
      </c>
      <c r="J162" s="101">
        <f>IFERROR(INDEX(_ZIG_Cadastro!$B:$B,MATCH(I162,_ZIG_Cadastro!$A:$A,0)),IFERROR(INDEX(_Entradas_ZIG!$B:$B,MATCH(I162,_Entradas_ZIG!$C:$C,0)),"—"))</f>
        <v/>
      </c>
      <c r="K162" s="101">
        <f>IFERROR(INDEX(_ZIG_Cadastro!$C:$C,MATCH(I162,_ZIG_Cadastro!$A:$A,0)),IFERROR(INDEX(_Entradas_ZIG!$D:$D,MATCH(I162,_Entradas_ZIG!$C:$C,0)),"—"))</f>
        <v/>
      </c>
      <c r="L162" s="99">
        <f>IF(I162="","Sem SKU ZIG",IF(I162="—","Sem SKU ZIG",IF(NOT(ISERROR(MATCH(I162,_ZIG_Cadastro!$A:$A,0))),IF(EXACT(UPPER(TRIM(C162)),UPPER(TRIM(INDEX(_ZIG_Cadastro!$B:$B,MATCH(I162,_ZIG_Cadastro!$A:$A,0))))),"OK","Atencao - Nome diverge"),IF(NOT(ISERROR(MATCH(I162,_Entradas_ZIG!$C:$C,0))),"OK","Erro - SKU nao encontrado"))))</f>
        <v/>
      </c>
      <c r="M162" s="99">
        <f>IFERROR(INDEX(_ZIG_Cadastro!$G:$G,MATCH(I162,_ZIG_Cadastro!$A:$A,0)),IF(NOT(ISERROR(MATCH(I162,_Entradas_ZIG!$C:$C,0))),"Ativo","—"))</f>
        <v/>
      </c>
      <c r="N162" s="102">
        <f>IFERROR(INDEX(_ZIG_Cadastro!$E:$E,MATCH(I162,_ZIG_Cadastro!$A:$A,0)),IFERROR(INDEX(_Entradas_ZIG!$F:$F,MATCH(I162,_Entradas_ZIG!$C:$C,0)),"—"))</f>
        <v/>
      </c>
      <c r="O162" s="99">
        <f>IF(AND(ISNUMBER(SEARCH("Espeto",N162)),ISNUMBER(SEARCH("Carin",N162))),"SIM","")</f>
        <v/>
      </c>
      <c r="P162" s="99">
        <f>IF(AND(ISNUMBER(SEARCH("Espeto",N162)),ISNUMBER(SEARCH("Lapa",N162))),"SIM","")</f>
        <v/>
      </c>
      <c r="Q162" s="99">
        <f>IF(AND(ISNUMBER(SEARCH("Espeto",N162)),ISNUMBER(SEARCH("Tatuapé",N162))),"SIM","")</f>
        <v/>
      </c>
      <c r="R162" s="99">
        <f>IF(AND(ISNUMBER(SEARCH("Espeto",N162)),ISNUMBER(SEARCH("Pavão",N162))),"SIM","")</f>
        <v/>
      </c>
      <c r="S162" s="99">
        <f>IF(AND(ISNUMBER(SEARCH("Espeto",N162)),ISNUMBER(SEARCH("Chac",N162))),"SIM","")</f>
        <v/>
      </c>
      <c r="T162" s="99">
        <f>IF(AND(ISNUMBER(SEARCH("Espeto",N162)),ISNUMBER(SEARCH("Madalena",N162))),"SIM","")</f>
        <v/>
      </c>
      <c r="U162" s="99">
        <f>IF(AND(ISNUMBER(SEARCH("Espeto",N162)),ISNUMBER(SEARCH("Mariana",N162))),"SIM","")</f>
        <v/>
      </c>
      <c r="V162" s="99">
        <f>IF(AND(ISNUMBER(SEARCH("Espeto",N162)),ISNUMBER(SEARCH("Perdizes",N162))),"SIM","")</f>
        <v/>
      </c>
      <c r="W162" s="99">
        <f>IF(AND(ISNUMBER(SEARCH("Espeto",N162)),ISNUMBER(SEARCH("Santana",N162))),"SIM","")</f>
        <v/>
      </c>
      <c r="X162" s="99">
        <f>IF(AND(ISNUMBER(SEARCH("Espeto",N162)),ISNUMBER(SEARCH("André",N162))),"SIM","")</f>
        <v/>
      </c>
      <c r="Y162" s="99">
        <f>IF(AND(ISNUMBER(SEARCH("Delivery",N162)),ISNUMBER(SEARCH("Carin",N162))),"SIM","")</f>
        <v/>
      </c>
      <c r="Z162" s="99">
        <f>IF(AND(ISNUMBER(SEARCH("Delivery",N162)),ISNUMBER(SEARCH("Lapa",N162))),"SIM","")</f>
        <v/>
      </c>
      <c r="AA162" s="99">
        <f>IF(AND(ISNUMBER(SEARCH("Delivery",N162)),ISNUMBER(SEARCH("Tatuapé",N162))),"SIM","")</f>
        <v/>
      </c>
      <c r="AB162" s="99">
        <f>IF(AND(ISNUMBER(SEARCH("Delivery",N162)),ISNUMBER(SEARCH("Pavão",N162))),"SIM","")</f>
        <v/>
      </c>
      <c r="AC162" s="99">
        <f>IF(AND(ISNUMBER(SEARCH("Delivery",N162)),ISNUMBER(SEARCH("Chac",N162))),"SIM","")</f>
        <v/>
      </c>
      <c r="AD162" s="99">
        <f>IF(AND(ISNUMBER(SEARCH("Delivery",N162)),ISNUMBER(SEARCH("Madalena",N162))),"SIM","")</f>
        <v/>
      </c>
      <c r="AE162" s="99">
        <f>IF(AND(ISNUMBER(SEARCH("Delivery",N162)),ISNUMBER(SEARCH("Mariana",N162))),"SIM","")</f>
        <v/>
      </c>
      <c r="AF162" s="99">
        <f>IF(AND(ISNUMBER(SEARCH("Delivery",N162)),ISNUMBER(SEARCH("Perdizes",N162))),"SIM","")</f>
        <v/>
      </c>
      <c r="AG162" s="99">
        <f>IF(AND(ISNUMBER(SEARCH("Delivery",N162)),ISNUMBER(SEARCH("Santana",N162))),"SIM","")</f>
        <v/>
      </c>
      <c r="AH162" s="99">
        <f>IF(AND(ISNUMBER(SEARCH("Delivery",N162)),ISNUMBER(SEARCH("André",N162))),"SIM","")</f>
        <v/>
      </c>
      <c r="AI162" s="99">
        <f>IF(ISNUMBER(SEARCH("Interlagos",N162)),"SIM","")</f>
        <v/>
      </c>
      <c r="AJ162" s="99">
        <f>IF(ISNUMBER(SEARCH("Quiosque",N162)),"SIM","")</f>
        <v/>
      </c>
      <c r="AK162" s="101" t="n"/>
    </row>
    <row r="163">
      <c r="A163" s="88" t="inlineStr">
        <is>
          <t>Protheus</t>
        </is>
      </c>
      <c r="B163" s="89" t="inlineStr">
        <is>
          <t>001147</t>
        </is>
      </c>
      <c r="C163" s="90">
        <f>IF(B163="—","—",IFERROR(VLOOKUP(B163,_Protheus_Cadastro!$A:$B,2,FALSE),"—"))</f>
        <v/>
      </c>
      <c r="D163" s="91">
        <f>IF(B163="—",IFERROR(INDEX(_ZIG_Cadastro!$D:$D,MATCH(H163,_ZIG_Cadastro!$A:$A,0)),"Produto"),IFERROR(VLOOKUP(B163,_Protheus_Cadastro!$A:$C,3,FALSE),"—"))</f>
        <v/>
      </c>
      <c r="E163" s="91">
        <f>IF(B163="—","—",IFERROR(VLOOKUP(B163,_Protheus_Cadastro!$A:$D,4,FALSE),"—"))</f>
        <v/>
      </c>
      <c r="F163" s="91">
        <f>IF(ISERROR(VLOOKUP(B163,'Estrutura Protheus'!A:A,1,FALSE)),"Não","Sim")</f>
        <v/>
      </c>
      <c r="G163" s="92">
        <f>IFERROR(INDEX(_Protheus_Cadastro!$H:$H,MATCH(B163,_Protheus_Cadastro!$A:$A,0)),"—")</f>
        <v/>
      </c>
      <c r="H163" s="210">
        <f>IFERROR(INDEX(_ZIG_Precos!$D:$D,MATCH(I163,_ZIG_Precos!$F:$F,0)),"—")</f>
        <v/>
      </c>
      <c r="I163" s="95">
        <f>IFERROR(VLOOKUP(B163,_Protheus_Cadastro!$A:$I,9,FALSE),"—")</f>
        <v/>
      </c>
      <c r="J163" s="93">
        <f>IFERROR(INDEX(_ZIG_Cadastro!$B:$B,MATCH(I163,_ZIG_Cadastro!$A:$A,0)),IFERROR(INDEX(_Entradas_ZIG!$B:$B,MATCH(I163,_Entradas_ZIG!$C:$C,0)),"—"))</f>
        <v/>
      </c>
      <c r="K163" s="93">
        <f>IFERROR(INDEX(_ZIG_Cadastro!$C:$C,MATCH(I163,_ZIG_Cadastro!$A:$A,0)),IFERROR(INDEX(_Entradas_ZIG!$D:$D,MATCH(I163,_Entradas_ZIG!$C:$C,0)),"—"))</f>
        <v/>
      </c>
      <c r="L163" s="92">
        <f>IF(I163="","Sem SKU ZIG",IF(I163="—","Sem SKU ZIG",IF(NOT(ISERROR(MATCH(I163,_ZIG_Cadastro!$A:$A,0))),IF(EXACT(UPPER(TRIM(C163)),UPPER(TRIM(INDEX(_ZIG_Cadastro!$B:$B,MATCH(I163,_ZIG_Cadastro!$A:$A,0))))),"OK","Atencao - Nome diverge"),IF(NOT(ISERROR(MATCH(I163,_Entradas_ZIG!$C:$C,0))),"OK","Erro - SKU nao encontrado"))))</f>
        <v/>
      </c>
      <c r="M163" s="92">
        <f>IFERROR(INDEX(_ZIG_Cadastro!$G:$G,MATCH(I163,_ZIG_Cadastro!$A:$A,0)),IF(NOT(ISERROR(MATCH(I163,_Entradas_ZIG!$C:$C,0))),"Ativo","—"))</f>
        <v/>
      </c>
      <c r="N163" s="94">
        <f>IFERROR(INDEX(_ZIG_Cadastro!$E:$E,MATCH(I163,_ZIG_Cadastro!$A:$A,0)),IFERROR(INDEX(_Entradas_ZIG!$F:$F,MATCH(I163,_Entradas_ZIG!$C:$C,0)),"—"))</f>
        <v/>
      </c>
      <c r="O163" s="92">
        <f>IF(AND(ISNUMBER(SEARCH("Espeto",N163)),ISNUMBER(SEARCH("Carin",N163))),"SIM","")</f>
        <v/>
      </c>
      <c r="P163" s="92">
        <f>IF(AND(ISNUMBER(SEARCH("Espeto",N163)),ISNUMBER(SEARCH("Lapa",N163))),"SIM","")</f>
        <v/>
      </c>
      <c r="Q163" s="92">
        <f>IF(AND(ISNUMBER(SEARCH("Espeto",N163)),ISNUMBER(SEARCH("Tatuapé",N163))),"SIM","")</f>
        <v/>
      </c>
      <c r="R163" s="92">
        <f>IF(AND(ISNUMBER(SEARCH("Espeto",N163)),ISNUMBER(SEARCH("Pavão",N163))),"SIM","")</f>
        <v/>
      </c>
      <c r="S163" s="92">
        <f>IF(AND(ISNUMBER(SEARCH("Espeto",N163)),ISNUMBER(SEARCH("Chac",N163))),"SIM","")</f>
        <v/>
      </c>
      <c r="T163" s="92">
        <f>IF(AND(ISNUMBER(SEARCH("Espeto",N163)),ISNUMBER(SEARCH("Madalena",N163))),"SIM","")</f>
        <v/>
      </c>
      <c r="U163" s="92">
        <f>IF(AND(ISNUMBER(SEARCH("Espeto",N163)),ISNUMBER(SEARCH("Mariana",N163))),"SIM","")</f>
        <v/>
      </c>
      <c r="V163" s="92">
        <f>IF(AND(ISNUMBER(SEARCH("Espeto",N163)),ISNUMBER(SEARCH("Perdizes",N163))),"SIM","")</f>
        <v/>
      </c>
      <c r="W163" s="92">
        <f>IF(AND(ISNUMBER(SEARCH("Espeto",N163)),ISNUMBER(SEARCH("Santana",N163))),"SIM","")</f>
        <v/>
      </c>
      <c r="X163" s="92">
        <f>IF(AND(ISNUMBER(SEARCH("Espeto",N163)),ISNUMBER(SEARCH("André",N163))),"SIM","")</f>
        <v/>
      </c>
      <c r="Y163" s="92">
        <f>IF(AND(ISNUMBER(SEARCH("Delivery",N163)),ISNUMBER(SEARCH("Carin",N163))),"SIM","")</f>
        <v/>
      </c>
      <c r="Z163" s="92">
        <f>IF(AND(ISNUMBER(SEARCH("Delivery",N163)),ISNUMBER(SEARCH("Lapa",N163))),"SIM","")</f>
        <v/>
      </c>
      <c r="AA163" s="92">
        <f>IF(AND(ISNUMBER(SEARCH("Delivery",N163)),ISNUMBER(SEARCH("Tatuapé",N163))),"SIM","")</f>
        <v/>
      </c>
      <c r="AB163" s="92">
        <f>IF(AND(ISNUMBER(SEARCH("Delivery",N163)),ISNUMBER(SEARCH("Pavão",N163))),"SIM","")</f>
        <v/>
      </c>
      <c r="AC163" s="92">
        <f>IF(AND(ISNUMBER(SEARCH("Delivery",N163)),ISNUMBER(SEARCH("Chac",N163))),"SIM","")</f>
        <v/>
      </c>
      <c r="AD163" s="92">
        <f>IF(AND(ISNUMBER(SEARCH("Delivery",N163)),ISNUMBER(SEARCH("Madalena",N163))),"SIM","")</f>
        <v/>
      </c>
      <c r="AE163" s="92">
        <f>IF(AND(ISNUMBER(SEARCH("Delivery",N163)),ISNUMBER(SEARCH("Mariana",N163))),"SIM","")</f>
        <v/>
      </c>
      <c r="AF163" s="92">
        <f>IF(AND(ISNUMBER(SEARCH("Delivery",N163)),ISNUMBER(SEARCH("Perdizes",N163))),"SIM","")</f>
        <v/>
      </c>
      <c r="AG163" s="92">
        <f>IF(AND(ISNUMBER(SEARCH("Delivery",N163)),ISNUMBER(SEARCH("Santana",N163))),"SIM","")</f>
        <v/>
      </c>
      <c r="AH163" s="92">
        <f>IF(AND(ISNUMBER(SEARCH("Delivery",N163)),ISNUMBER(SEARCH("André",N163))),"SIM","")</f>
        <v/>
      </c>
      <c r="AI163" s="92">
        <f>IF(ISNUMBER(SEARCH("Interlagos",N163)),"SIM","")</f>
        <v/>
      </c>
      <c r="AJ163" s="92">
        <f>IF(ISNUMBER(SEARCH("Quiosque",N163)),"SIM","")</f>
        <v/>
      </c>
      <c r="AK163" s="93" t="n"/>
    </row>
    <row r="164">
      <c r="A164" s="88" t="inlineStr">
        <is>
          <t>Protheus</t>
        </is>
      </c>
      <c r="B164" s="96" t="inlineStr">
        <is>
          <t>001024</t>
        </is>
      </c>
      <c r="C164" s="97">
        <f>IF(B164="—","—",IFERROR(VLOOKUP(B164,_Protheus_Cadastro!$A:$B,2,FALSE),"—"))</f>
        <v/>
      </c>
      <c r="D164" s="98">
        <f>IF(B164="—",IFERROR(INDEX(_ZIG_Cadastro!$D:$D,MATCH(H164,_ZIG_Cadastro!$A:$A,0)),"Produto"),IFERROR(VLOOKUP(B164,_Protheus_Cadastro!$A:$C,3,FALSE),"—"))</f>
        <v/>
      </c>
      <c r="E164" s="98">
        <f>IF(B164="—","—",IFERROR(VLOOKUP(B164,_Protheus_Cadastro!$A:$D,4,FALSE),"—"))</f>
        <v/>
      </c>
      <c r="F164" s="98">
        <f>IF(ISERROR(VLOOKUP(B164,'Estrutura Protheus'!A:A,1,FALSE)),"Não","Sim")</f>
        <v/>
      </c>
      <c r="G164" s="99">
        <f>IFERROR(INDEX(_Protheus_Cadastro!$H:$H,MATCH(B164,_Protheus_Cadastro!$A:$A,0)),"—")</f>
        <v/>
      </c>
      <c r="H164" s="211">
        <f>IFERROR(INDEX(_ZIG_Precos!$D:$D,MATCH(I164,_ZIG_Precos!$F:$F,0)),"—")</f>
        <v/>
      </c>
      <c r="I164" s="103">
        <f>IFERROR(VLOOKUP(B164,_Protheus_Cadastro!$A:$I,9,FALSE),"—")</f>
        <v/>
      </c>
      <c r="J164" s="101">
        <f>IFERROR(INDEX(_ZIG_Cadastro!$B:$B,MATCH(I164,_ZIG_Cadastro!$A:$A,0)),IFERROR(INDEX(_Entradas_ZIG!$B:$B,MATCH(I164,_Entradas_ZIG!$C:$C,0)),"—"))</f>
        <v/>
      </c>
      <c r="K164" s="101">
        <f>IFERROR(INDEX(_ZIG_Cadastro!$C:$C,MATCH(I164,_ZIG_Cadastro!$A:$A,0)),IFERROR(INDEX(_Entradas_ZIG!$D:$D,MATCH(I164,_Entradas_ZIG!$C:$C,0)),"—"))</f>
        <v/>
      </c>
      <c r="L164" s="99">
        <f>IF(I164="","Sem SKU ZIG",IF(I164="—","Sem SKU ZIG",IF(NOT(ISERROR(MATCH(I164,_ZIG_Cadastro!$A:$A,0))),IF(EXACT(UPPER(TRIM(C164)),UPPER(TRIM(INDEX(_ZIG_Cadastro!$B:$B,MATCH(I164,_ZIG_Cadastro!$A:$A,0))))),"OK","Atencao - Nome diverge"),IF(NOT(ISERROR(MATCH(I164,_Entradas_ZIG!$C:$C,0))),"OK","Erro - SKU nao encontrado"))))</f>
        <v/>
      </c>
      <c r="M164" s="99">
        <f>IFERROR(INDEX(_ZIG_Cadastro!$G:$G,MATCH(I164,_ZIG_Cadastro!$A:$A,0)),IF(NOT(ISERROR(MATCH(I164,_Entradas_ZIG!$C:$C,0))),"Ativo","—"))</f>
        <v/>
      </c>
      <c r="N164" s="102">
        <f>IFERROR(INDEX(_ZIG_Cadastro!$E:$E,MATCH(I164,_ZIG_Cadastro!$A:$A,0)),IFERROR(INDEX(_Entradas_ZIG!$F:$F,MATCH(I164,_Entradas_ZIG!$C:$C,0)),"—"))</f>
        <v/>
      </c>
      <c r="O164" s="99">
        <f>IF(AND(ISNUMBER(SEARCH("Espeto",N164)),ISNUMBER(SEARCH("Carin",N164))),"SIM","")</f>
        <v/>
      </c>
      <c r="P164" s="99">
        <f>IF(AND(ISNUMBER(SEARCH("Espeto",N164)),ISNUMBER(SEARCH("Lapa",N164))),"SIM","")</f>
        <v/>
      </c>
      <c r="Q164" s="99">
        <f>IF(AND(ISNUMBER(SEARCH("Espeto",N164)),ISNUMBER(SEARCH("Tatuapé",N164))),"SIM","")</f>
        <v/>
      </c>
      <c r="R164" s="99">
        <f>IF(AND(ISNUMBER(SEARCH("Espeto",N164)),ISNUMBER(SEARCH("Pavão",N164))),"SIM","")</f>
        <v/>
      </c>
      <c r="S164" s="99">
        <f>IF(AND(ISNUMBER(SEARCH("Espeto",N164)),ISNUMBER(SEARCH("Chac",N164))),"SIM","")</f>
        <v/>
      </c>
      <c r="T164" s="99">
        <f>IF(AND(ISNUMBER(SEARCH("Espeto",N164)),ISNUMBER(SEARCH("Madalena",N164))),"SIM","")</f>
        <v/>
      </c>
      <c r="U164" s="99">
        <f>IF(AND(ISNUMBER(SEARCH("Espeto",N164)),ISNUMBER(SEARCH("Mariana",N164))),"SIM","")</f>
        <v/>
      </c>
      <c r="V164" s="99">
        <f>IF(AND(ISNUMBER(SEARCH("Espeto",N164)),ISNUMBER(SEARCH("Perdizes",N164))),"SIM","")</f>
        <v/>
      </c>
      <c r="W164" s="99">
        <f>IF(AND(ISNUMBER(SEARCH("Espeto",N164)),ISNUMBER(SEARCH("Santana",N164))),"SIM","")</f>
        <v/>
      </c>
      <c r="X164" s="99">
        <f>IF(AND(ISNUMBER(SEARCH("Espeto",N164)),ISNUMBER(SEARCH("André",N164))),"SIM","")</f>
        <v/>
      </c>
      <c r="Y164" s="99">
        <f>IF(AND(ISNUMBER(SEARCH("Delivery",N164)),ISNUMBER(SEARCH("Carin",N164))),"SIM","")</f>
        <v/>
      </c>
      <c r="Z164" s="99">
        <f>IF(AND(ISNUMBER(SEARCH("Delivery",N164)),ISNUMBER(SEARCH("Lapa",N164))),"SIM","")</f>
        <v/>
      </c>
      <c r="AA164" s="99">
        <f>IF(AND(ISNUMBER(SEARCH("Delivery",N164)),ISNUMBER(SEARCH("Tatuapé",N164))),"SIM","")</f>
        <v/>
      </c>
      <c r="AB164" s="99">
        <f>IF(AND(ISNUMBER(SEARCH("Delivery",N164)),ISNUMBER(SEARCH("Pavão",N164))),"SIM","")</f>
        <v/>
      </c>
      <c r="AC164" s="99">
        <f>IF(AND(ISNUMBER(SEARCH("Delivery",N164)),ISNUMBER(SEARCH("Chac",N164))),"SIM","")</f>
        <v/>
      </c>
      <c r="AD164" s="99">
        <f>IF(AND(ISNUMBER(SEARCH("Delivery",N164)),ISNUMBER(SEARCH("Madalena",N164))),"SIM","")</f>
        <v/>
      </c>
      <c r="AE164" s="99">
        <f>IF(AND(ISNUMBER(SEARCH("Delivery",N164)),ISNUMBER(SEARCH("Mariana",N164))),"SIM","")</f>
        <v/>
      </c>
      <c r="AF164" s="99">
        <f>IF(AND(ISNUMBER(SEARCH("Delivery",N164)),ISNUMBER(SEARCH("Perdizes",N164))),"SIM","")</f>
        <v/>
      </c>
      <c r="AG164" s="99">
        <f>IF(AND(ISNUMBER(SEARCH("Delivery",N164)),ISNUMBER(SEARCH("Santana",N164))),"SIM","")</f>
        <v/>
      </c>
      <c r="AH164" s="99">
        <f>IF(AND(ISNUMBER(SEARCH("Delivery",N164)),ISNUMBER(SEARCH("André",N164))),"SIM","")</f>
        <v/>
      </c>
      <c r="AI164" s="99">
        <f>IF(ISNUMBER(SEARCH("Interlagos",N164)),"SIM","")</f>
        <v/>
      </c>
      <c r="AJ164" s="99">
        <f>IF(ISNUMBER(SEARCH("Quiosque",N164)),"SIM","")</f>
        <v/>
      </c>
      <c r="AK164" s="101" t="n"/>
    </row>
    <row r="165">
      <c r="A165" s="88" t="inlineStr">
        <is>
          <t>Protheus</t>
        </is>
      </c>
      <c r="B165" s="89" t="inlineStr">
        <is>
          <t>000050</t>
        </is>
      </c>
      <c r="C165" s="90">
        <f>IF(B165="—","—",IFERROR(VLOOKUP(B165,_Protheus_Cadastro!$A:$B,2,FALSE),"—"))</f>
        <v/>
      </c>
      <c r="D165" s="91">
        <f>IF(B165="—",IFERROR(INDEX(_ZIG_Cadastro!$D:$D,MATCH(H165,_ZIG_Cadastro!$A:$A,0)),"Produto"),IFERROR(VLOOKUP(B165,_Protheus_Cadastro!$A:$C,3,FALSE),"—"))</f>
        <v/>
      </c>
      <c r="E165" s="91">
        <f>IF(B165="—","—",IFERROR(VLOOKUP(B165,_Protheus_Cadastro!$A:$D,4,FALSE),"—"))</f>
        <v/>
      </c>
      <c r="F165" s="91">
        <f>IF(ISERROR(VLOOKUP(B165,'Estrutura Protheus'!A:A,1,FALSE)),"Não","Sim")</f>
        <v/>
      </c>
      <c r="G165" s="92">
        <f>IFERROR(INDEX(_Protheus_Cadastro!$H:$H,MATCH(B165,_Protheus_Cadastro!$A:$A,0)),"—")</f>
        <v/>
      </c>
      <c r="H165" s="210">
        <f>IFERROR(INDEX(_ZIG_Precos!$D:$D,MATCH(I165,_ZIG_Precos!$F:$F,0)),"—")</f>
        <v/>
      </c>
      <c r="I165" s="95">
        <f>IFERROR(VLOOKUP(B165,_Protheus_Cadastro!$A:$I,9,FALSE),"—")</f>
        <v/>
      </c>
      <c r="J165" s="93">
        <f>IFERROR(INDEX(_ZIG_Cadastro!$B:$B,MATCH(I165,_ZIG_Cadastro!$A:$A,0)),IFERROR(INDEX(_Entradas_ZIG!$B:$B,MATCH(I165,_Entradas_ZIG!$C:$C,0)),"—"))</f>
        <v/>
      </c>
      <c r="K165" s="93">
        <f>IFERROR(INDEX(_ZIG_Cadastro!$C:$C,MATCH(I165,_ZIG_Cadastro!$A:$A,0)),IFERROR(INDEX(_Entradas_ZIG!$D:$D,MATCH(I165,_Entradas_ZIG!$C:$C,0)),"—"))</f>
        <v/>
      </c>
      <c r="L165" s="92">
        <f>IF(I165="","Sem SKU ZIG",IF(I165="—","Sem SKU ZIG",IF(NOT(ISERROR(MATCH(I165,_ZIG_Cadastro!$A:$A,0))),IF(EXACT(UPPER(TRIM(C165)),UPPER(TRIM(INDEX(_ZIG_Cadastro!$B:$B,MATCH(I165,_ZIG_Cadastro!$A:$A,0))))),"OK","Atencao - Nome diverge"),IF(NOT(ISERROR(MATCH(I165,_Entradas_ZIG!$C:$C,0))),"OK","Erro - SKU nao encontrado"))))</f>
        <v/>
      </c>
      <c r="M165" s="92">
        <f>IFERROR(INDEX(_ZIG_Cadastro!$G:$G,MATCH(I165,_ZIG_Cadastro!$A:$A,0)),IF(NOT(ISERROR(MATCH(I165,_Entradas_ZIG!$C:$C,0))),"Ativo","—"))</f>
        <v/>
      </c>
      <c r="N165" s="94">
        <f>IFERROR(INDEX(_ZIG_Cadastro!$E:$E,MATCH(I165,_ZIG_Cadastro!$A:$A,0)),IFERROR(INDEX(_Entradas_ZIG!$F:$F,MATCH(I165,_Entradas_ZIG!$C:$C,0)),"—"))</f>
        <v/>
      </c>
      <c r="O165" s="92">
        <f>IF(AND(ISNUMBER(SEARCH("Espeto",N165)),ISNUMBER(SEARCH("Carin",N165))),"SIM","")</f>
        <v/>
      </c>
      <c r="P165" s="92">
        <f>IF(AND(ISNUMBER(SEARCH("Espeto",N165)),ISNUMBER(SEARCH("Lapa",N165))),"SIM","")</f>
        <v/>
      </c>
      <c r="Q165" s="92">
        <f>IF(AND(ISNUMBER(SEARCH("Espeto",N165)),ISNUMBER(SEARCH("Tatuapé",N165))),"SIM","")</f>
        <v/>
      </c>
      <c r="R165" s="92">
        <f>IF(AND(ISNUMBER(SEARCH("Espeto",N165)),ISNUMBER(SEARCH("Pavão",N165))),"SIM","")</f>
        <v/>
      </c>
      <c r="S165" s="92">
        <f>IF(AND(ISNUMBER(SEARCH("Espeto",N165)),ISNUMBER(SEARCH("Chac",N165))),"SIM","")</f>
        <v/>
      </c>
      <c r="T165" s="92">
        <f>IF(AND(ISNUMBER(SEARCH("Espeto",N165)),ISNUMBER(SEARCH("Madalena",N165))),"SIM","")</f>
        <v/>
      </c>
      <c r="U165" s="92">
        <f>IF(AND(ISNUMBER(SEARCH("Espeto",N165)),ISNUMBER(SEARCH("Mariana",N165))),"SIM","")</f>
        <v/>
      </c>
      <c r="V165" s="92">
        <f>IF(AND(ISNUMBER(SEARCH("Espeto",N165)),ISNUMBER(SEARCH("Perdizes",N165))),"SIM","")</f>
        <v/>
      </c>
      <c r="W165" s="92">
        <f>IF(AND(ISNUMBER(SEARCH("Espeto",N165)),ISNUMBER(SEARCH("Santana",N165))),"SIM","")</f>
        <v/>
      </c>
      <c r="X165" s="92">
        <f>IF(AND(ISNUMBER(SEARCH("Espeto",N165)),ISNUMBER(SEARCH("André",N165))),"SIM","")</f>
        <v/>
      </c>
      <c r="Y165" s="92">
        <f>IF(AND(ISNUMBER(SEARCH("Delivery",N165)),ISNUMBER(SEARCH("Carin",N165))),"SIM","")</f>
        <v/>
      </c>
      <c r="Z165" s="92">
        <f>IF(AND(ISNUMBER(SEARCH("Delivery",N165)),ISNUMBER(SEARCH("Lapa",N165))),"SIM","")</f>
        <v/>
      </c>
      <c r="AA165" s="92">
        <f>IF(AND(ISNUMBER(SEARCH("Delivery",N165)),ISNUMBER(SEARCH("Tatuapé",N165))),"SIM","")</f>
        <v/>
      </c>
      <c r="AB165" s="92">
        <f>IF(AND(ISNUMBER(SEARCH("Delivery",N165)),ISNUMBER(SEARCH("Pavão",N165))),"SIM","")</f>
        <v/>
      </c>
      <c r="AC165" s="92">
        <f>IF(AND(ISNUMBER(SEARCH("Delivery",N165)),ISNUMBER(SEARCH("Chac",N165))),"SIM","")</f>
        <v/>
      </c>
      <c r="AD165" s="92">
        <f>IF(AND(ISNUMBER(SEARCH("Delivery",N165)),ISNUMBER(SEARCH("Madalena",N165))),"SIM","")</f>
        <v/>
      </c>
      <c r="AE165" s="92">
        <f>IF(AND(ISNUMBER(SEARCH("Delivery",N165)),ISNUMBER(SEARCH("Mariana",N165))),"SIM","")</f>
        <v/>
      </c>
      <c r="AF165" s="92">
        <f>IF(AND(ISNUMBER(SEARCH("Delivery",N165)),ISNUMBER(SEARCH("Perdizes",N165))),"SIM","")</f>
        <v/>
      </c>
      <c r="AG165" s="92">
        <f>IF(AND(ISNUMBER(SEARCH("Delivery",N165)),ISNUMBER(SEARCH("Santana",N165))),"SIM","")</f>
        <v/>
      </c>
      <c r="AH165" s="92">
        <f>IF(AND(ISNUMBER(SEARCH("Delivery",N165)),ISNUMBER(SEARCH("André",N165))),"SIM","")</f>
        <v/>
      </c>
      <c r="AI165" s="92">
        <f>IF(ISNUMBER(SEARCH("Interlagos",N165)),"SIM","")</f>
        <v/>
      </c>
      <c r="AJ165" s="92">
        <f>IF(ISNUMBER(SEARCH("Quiosque",N165)),"SIM","")</f>
        <v/>
      </c>
      <c r="AK165" s="93" t="n"/>
    </row>
    <row r="166">
      <c r="A166" s="88" t="inlineStr">
        <is>
          <t>Protheus</t>
        </is>
      </c>
      <c r="B166" s="96" t="inlineStr">
        <is>
          <t>001566</t>
        </is>
      </c>
      <c r="C166" s="97">
        <f>IF(B166="—","—",IFERROR(VLOOKUP(B166,_Protheus_Cadastro!$A:$B,2,FALSE),"—"))</f>
        <v/>
      </c>
      <c r="D166" s="98">
        <f>IF(B166="—",IFERROR(INDEX(_ZIG_Cadastro!$D:$D,MATCH(H166,_ZIG_Cadastro!$A:$A,0)),"Produto"),IFERROR(VLOOKUP(B166,_Protheus_Cadastro!$A:$C,3,FALSE),"—"))</f>
        <v/>
      </c>
      <c r="E166" s="98">
        <f>IF(B166="—","—",IFERROR(VLOOKUP(B166,_Protheus_Cadastro!$A:$D,4,FALSE),"—"))</f>
        <v/>
      </c>
      <c r="F166" s="98">
        <f>IF(ISERROR(VLOOKUP(B166,'Estrutura Protheus'!A:A,1,FALSE)),"Não","Sim")</f>
        <v/>
      </c>
      <c r="G166" s="99">
        <f>IFERROR(INDEX(_Protheus_Cadastro!$H:$H,MATCH(B166,_Protheus_Cadastro!$A:$A,0)),"—")</f>
        <v/>
      </c>
      <c r="H166" s="211">
        <f>IFERROR(INDEX(_ZIG_Precos!$D:$D,MATCH(I166,_ZIG_Precos!$F:$F,0)),"—")</f>
        <v/>
      </c>
      <c r="I166" s="103">
        <f>IFERROR(VLOOKUP(B166,_Protheus_Cadastro!$A:$I,9,FALSE),"—")</f>
        <v/>
      </c>
      <c r="J166" s="101">
        <f>IFERROR(INDEX(_ZIG_Cadastro!$B:$B,MATCH(I166,_ZIG_Cadastro!$A:$A,0)),IFERROR(INDEX(_Entradas_ZIG!$B:$B,MATCH(I166,_Entradas_ZIG!$C:$C,0)),"—"))</f>
        <v/>
      </c>
      <c r="K166" s="101">
        <f>IFERROR(INDEX(_ZIG_Cadastro!$C:$C,MATCH(I166,_ZIG_Cadastro!$A:$A,0)),IFERROR(INDEX(_Entradas_ZIG!$D:$D,MATCH(I166,_Entradas_ZIG!$C:$C,0)),"—"))</f>
        <v/>
      </c>
      <c r="L166" s="99">
        <f>IF(I166="","Sem SKU ZIG",IF(I166="—","Sem SKU ZIG",IF(NOT(ISERROR(MATCH(I166,_ZIG_Cadastro!$A:$A,0))),IF(EXACT(UPPER(TRIM(C166)),UPPER(TRIM(INDEX(_ZIG_Cadastro!$B:$B,MATCH(I166,_ZIG_Cadastro!$A:$A,0))))),"OK","Atencao - Nome diverge"),IF(NOT(ISERROR(MATCH(I166,_Entradas_ZIG!$C:$C,0))),"OK","Erro - SKU nao encontrado"))))</f>
        <v/>
      </c>
      <c r="M166" s="99">
        <f>IFERROR(INDEX(_ZIG_Cadastro!$G:$G,MATCH(I166,_ZIG_Cadastro!$A:$A,0)),IF(NOT(ISERROR(MATCH(I166,_Entradas_ZIG!$C:$C,0))),"Ativo","—"))</f>
        <v/>
      </c>
      <c r="N166" s="102">
        <f>IFERROR(INDEX(_ZIG_Cadastro!$E:$E,MATCH(I166,_ZIG_Cadastro!$A:$A,0)),IFERROR(INDEX(_Entradas_ZIG!$F:$F,MATCH(I166,_Entradas_ZIG!$C:$C,0)),"—"))</f>
        <v/>
      </c>
      <c r="O166" s="99">
        <f>IF(AND(ISNUMBER(SEARCH("Espeto",N166)),ISNUMBER(SEARCH("Carin",N166))),"SIM","")</f>
        <v/>
      </c>
      <c r="P166" s="99">
        <f>IF(AND(ISNUMBER(SEARCH("Espeto",N166)),ISNUMBER(SEARCH("Lapa",N166))),"SIM","")</f>
        <v/>
      </c>
      <c r="Q166" s="99">
        <f>IF(AND(ISNUMBER(SEARCH("Espeto",N166)),ISNUMBER(SEARCH("Tatuapé",N166))),"SIM","")</f>
        <v/>
      </c>
      <c r="R166" s="99">
        <f>IF(AND(ISNUMBER(SEARCH("Espeto",N166)),ISNUMBER(SEARCH("Pavão",N166))),"SIM","")</f>
        <v/>
      </c>
      <c r="S166" s="99">
        <f>IF(AND(ISNUMBER(SEARCH("Espeto",N166)),ISNUMBER(SEARCH("Chac",N166))),"SIM","")</f>
        <v/>
      </c>
      <c r="T166" s="99">
        <f>IF(AND(ISNUMBER(SEARCH("Espeto",N166)),ISNUMBER(SEARCH("Madalena",N166))),"SIM","")</f>
        <v/>
      </c>
      <c r="U166" s="99">
        <f>IF(AND(ISNUMBER(SEARCH("Espeto",N166)),ISNUMBER(SEARCH("Mariana",N166))),"SIM","")</f>
        <v/>
      </c>
      <c r="V166" s="99">
        <f>IF(AND(ISNUMBER(SEARCH("Espeto",N166)),ISNUMBER(SEARCH("Perdizes",N166))),"SIM","")</f>
        <v/>
      </c>
      <c r="W166" s="99">
        <f>IF(AND(ISNUMBER(SEARCH("Espeto",N166)),ISNUMBER(SEARCH("Santana",N166))),"SIM","")</f>
        <v/>
      </c>
      <c r="X166" s="99">
        <f>IF(AND(ISNUMBER(SEARCH("Espeto",N166)),ISNUMBER(SEARCH("André",N166))),"SIM","")</f>
        <v/>
      </c>
      <c r="Y166" s="99">
        <f>IF(AND(ISNUMBER(SEARCH("Delivery",N166)),ISNUMBER(SEARCH("Carin",N166))),"SIM","")</f>
        <v/>
      </c>
      <c r="Z166" s="99">
        <f>IF(AND(ISNUMBER(SEARCH("Delivery",N166)),ISNUMBER(SEARCH("Lapa",N166))),"SIM","")</f>
        <v/>
      </c>
      <c r="AA166" s="99">
        <f>IF(AND(ISNUMBER(SEARCH("Delivery",N166)),ISNUMBER(SEARCH("Tatuapé",N166))),"SIM","")</f>
        <v/>
      </c>
      <c r="AB166" s="99">
        <f>IF(AND(ISNUMBER(SEARCH("Delivery",N166)),ISNUMBER(SEARCH("Pavão",N166))),"SIM","")</f>
        <v/>
      </c>
      <c r="AC166" s="99">
        <f>IF(AND(ISNUMBER(SEARCH("Delivery",N166)),ISNUMBER(SEARCH("Chac",N166))),"SIM","")</f>
        <v/>
      </c>
      <c r="AD166" s="99">
        <f>IF(AND(ISNUMBER(SEARCH("Delivery",N166)),ISNUMBER(SEARCH("Madalena",N166))),"SIM","")</f>
        <v/>
      </c>
      <c r="AE166" s="99">
        <f>IF(AND(ISNUMBER(SEARCH("Delivery",N166)),ISNUMBER(SEARCH("Mariana",N166))),"SIM","")</f>
        <v/>
      </c>
      <c r="AF166" s="99">
        <f>IF(AND(ISNUMBER(SEARCH("Delivery",N166)),ISNUMBER(SEARCH("Perdizes",N166))),"SIM","")</f>
        <v/>
      </c>
      <c r="AG166" s="99">
        <f>IF(AND(ISNUMBER(SEARCH("Delivery",N166)),ISNUMBER(SEARCH("Santana",N166))),"SIM","")</f>
        <v/>
      </c>
      <c r="AH166" s="99">
        <f>IF(AND(ISNUMBER(SEARCH("Delivery",N166)),ISNUMBER(SEARCH("André",N166))),"SIM","")</f>
        <v/>
      </c>
      <c r="AI166" s="99">
        <f>IF(ISNUMBER(SEARCH("Interlagos",N166)),"SIM","")</f>
        <v/>
      </c>
      <c r="AJ166" s="99">
        <f>IF(ISNUMBER(SEARCH("Quiosque",N166)),"SIM","")</f>
        <v/>
      </c>
      <c r="AK166" s="101" t="n"/>
    </row>
    <row r="167">
      <c r="A167" s="88" t="inlineStr">
        <is>
          <t>Protheus</t>
        </is>
      </c>
      <c r="B167" s="89" t="inlineStr">
        <is>
          <t>001980</t>
        </is>
      </c>
      <c r="C167" s="90">
        <f>IF(B167="—","—",IFERROR(VLOOKUP(B167,_Protheus_Cadastro!$A:$B,2,FALSE),"—"))</f>
        <v/>
      </c>
      <c r="D167" s="91">
        <f>IF(B167="—",IFERROR(INDEX(_ZIG_Cadastro!$D:$D,MATCH(H167,_ZIG_Cadastro!$A:$A,0)),"Produto"),IFERROR(VLOOKUP(B167,_Protheus_Cadastro!$A:$C,3,FALSE),"—"))</f>
        <v/>
      </c>
      <c r="E167" s="91">
        <f>IF(B167="—","—",IFERROR(VLOOKUP(B167,_Protheus_Cadastro!$A:$D,4,FALSE),"—"))</f>
        <v/>
      </c>
      <c r="F167" s="91">
        <f>IF(ISERROR(VLOOKUP(B167,'Estrutura Protheus'!A:A,1,FALSE)),"Não","Sim")</f>
        <v/>
      </c>
      <c r="G167" s="92">
        <f>IFERROR(INDEX(_Protheus_Cadastro!$H:$H,MATCH(B167,_Protheus_Cadastro!$A:$A,0)),"—")</f>
        <v/>
      </c>
      <c r="H167" s="210">
        <f>IFERROR(INDEX(_ZIG_Precos!$D:$D,MATCH(I167,_ZIG_Precos!$F:$F,0)),"—")</f>
        <v/>
      </c>
      <c r="I167" s="95">
        <f>IFERROR(VLOOKUP(B167,_Protheus_Cadastro!$A:$I,9,FALSE),"—")</f>
        <v/>
      </c>
      <c r="J167" s="93">
        <f>IFERROR(INDEX(_ZIG_Cadastro!$B:$B,MATCH(I167,_ZIG_Cadastro!$A:$A,0)),IFERROR(INDEX(_Entradas_ZIG!$B:$B,MATCH(I167,_Entradas_ZIG!$C:$C,0)),"—"))</f>
        <v/>
      </c>
      <c r="K167" s="93">
        <f>IFERROR(INDEX(_ZIG_Cadastro!$C:$C,MATCH(I167,_ZIG_Cadastro!$A:$A,0)),IFERROR(INDEX(_Entradas_ZIG!$D:$D,MATCH(I167,_Entradas_ZIG!$C:$C,0)),"—"))</f>
        <v/>
      </c>
      <c r="L167" s="92">
        <f>IF(I167="","Sem SKU ZIG",IF(I167="—","Sem SKU ZIG",IF(NOT(ISERROR(MATCH(I167,_ZIG_Cadastro!$A:$A,0))),IF(EXACT(UPPER(TRIM(C167)),UPPER(TRIM(INDEX(_ZIG_Cadastro!$B:$B,MATCH(I167,_ZIG_Cadastro!$A:$A,0))))),"OK","Atencao - Nome diverge"),IF(NOT(ISERROR(MATCH(I167,_Entradas_ZIG!$C:$C,0))),"OK","Erro - SKU nao encontrado"))))</f>
        <v/>
      </c>
      <c r="M167" s="92">
        <f>IFERROR(INDEX(_ZIG_Cadastro!$G:$G,MATCH(I167,_ZIG_Cadastro!$A:$A,0)),IF(NOT(ISERROR(MATCH(I167,_Entradas_ZIG!$C:$C,0))),"Ativo","—"))</f>
        <v/>
      </c>
      <c r="N167" s="94">
        <f>IFERROR(INDEX(_ZIG_Cadastro!$E:$E,MATCH(I167,_ZIG_Cadastro!$A:$A,0)),IFERROR(INDEX(_Entradas_ZIG!$F:$F,MATCH(I167,_Entradas_ZIG!$C:$C,0)),"—"))</f>
        <v/>
      </c>
      <c r="O167" s="92">
        <f>IF(AND(ISNUMBER(SEARCH("Espeto",N167)),ISNUMBER(SEARCH("Carin",N167))),"SIM","")</f>
        <v/>
      </c>
      <c r="P167" s="92">
        <f>IF(AND(ISNUMBER(SEARCH("Espeto",N167)),ISNUMBER(SEARCH("Lapa",N167))),"SIM","")</f>
        <v/>
      </c>
      <c r="Q167" s="92">
        <f>IF(AND(ISNUMBER(SEARCH("Espeto",N167)),ISNUMBER(SEARCH("Tatuapé",N167))),"SIM","")</f>
        <v/>
      </c>
      <c r="R167" s="92">
        <f>IF(AND(ISNUMBER(SEARCH("Espeto",N167)),ISNUMBER(SEARCH("Pavão",N167))),"SIM","")</f>
        <v/>
      </c>
      <c r="S167" s="92">
        <f>IF(AND(ISNUMBER(SEARCH("Espeto",N167)),ISNUMBER(SEARCH("Chac",N167))),"SIM","")</f>
        <v/>
      </c>
      <c r="T167" s="92">
        <f>IF(AND(ISNUMBER(SEARCH("Espeto",N167)),ISNUMBER(SEARCH("Madalena",N167))),"SIM","")</f>
        <v/>
      </c>
      <c r="U167" s="92">
        <f>IF(AND(ISNUMBER(SEARCH("Espeto",N167)),ISNUMBER(SEARCH("Mariana",N167))),"SIM","")</f>
        <v/>
      </c>
      <c r="V167" s="92">
        <f>IF(AND(ISNUMBER(SEARCH("Espeto",N167)),ISNUMBER(SEARCH("Perdizes",N167))),"SIM","")</f>
        <v/>
      </c>
      <c r="W167" s="92">
        <f>IF(AND(ISNUMBER(SEARCH("Espeto",N167)),ISNUMBER(SEARCH("Santana",N167))),"SIM","")</f>
        <v/>
      </c>
      <c r="X167" s="92">
        <f>IF(AND(ISNUMBER(SEARCH("Espeto",N167)),ISNUMBER(SEARCH("André",N167))),"SIM","")</f>
        <v/>
      </c>
      <c r="Y167" s="92">
        <f>IF(AND(ISNUMBER(SEARCH("Delivery",N167)),ISNUMBER(SEARCH("Carin",N167))),"SIM","")</f>
        <v/>
      </c>
      <c r="Z167" s="92">
        <f>IF(AND(ISNUMBER(SEARCH("Delivery",N167)),ISNUMBER(SEARCH("Lapa",N167))),"SIM","")</f>
        <v/>
      </c>
      <c r="AA167" s="92">
        <f>IF(AND(ISNUMBER(SEARCH("Delivery",N167)),ISNUMBER(SEARCH("Tatuapé",N167))),"SIM","")</f>
        <v/>
      </c>
      <c r="AB167" s="92">
        <f>IF(AND(ISNUMBER(SEARCH("Delivery",N167)),ISNUMBER(SEARCH("Pavão",N167))),"SIM","")</f>
        <v/>
      </c>
      <c r="AC167" s="92">
        <f>IF(AND(ISNUMBER(SEARCH("Delivery",N167)),ISNUMBER(SEARCH("Chac",N167))),"SIM","")</f>
        <v/>
      </c>
      <c r="AD167" s="92">
        <f>IF(AND(ISNUMBER(SEARCH("Delivery",N167)),ISNUMBER(SEARCH("Madalena",N167))),"SIM","")</f>
        <v/>
      </c>
      <c r="AE167" s="92">
        <f>IF(AND(ISNUMBER(SEARCH("Delivery",N167)),ISNUMBER(SEARCH("Mariana",N167))),"SIM","")</f>
        <v/>
      </c>
      <c r="AF167" s="92">
        <f>IF(AND(ISNUMBER(SEARCH("Delivery",N167)),ISNUMBER(SEARCH("Perdizes",N167))),"SIM","")</f>
        <v/>
      </c>
      <c r="AG167" s="92">
        <f>IF(AND(ISNUMBER(SEARCH("Delivery",N167)),ISNUMBER(SEARCH("Santana",N167))),"SIM","")</f>
        <v/>
      </c>
      <c r="AH167" s="92">
        <f>IF(AND(ISNUMBER(SEARCH("Delivery",N167)),ISNUMBER(SEARCH("André",N167))),"SIM","")</f>
        <v/>
      </c>
      <c r="AI167" s="92">
        <f>IF(ISNUMBER(SEARCH("Interlagos",N167)),"SIM","")</f>
        <v/>
      </c>
      <c r="AJ167" s="92">
        <f>IF(ISNUMBER(SEARCH("Quiosque",N167)),"SIM","")</f>
        <v/>
      </c>
      <c r="AK167" s="93" t="n"/>
    </row>
    <row r="168">
      <c r="A168" s="88" t="inlineStr">
        <is>
          <t>Protheus</t>
        </is>
      </c>
      <c r="B168" s="96" t="inlineStr">
        <is>
          <t>000919</t>
        </is>
      </c>
      <c r="C168" s="97">
        <f>IF(B168="—","—",IFERROR(VLOOKUP(B168,_Protheus_Cadastro!$A:$B,2,FALSE),"—"))</f>
        <v/>
      </c>
      <c r="D168" s="98">
        <f>IF(B168="—",IFERROR(INDEX(_ZIG_Cadastro!$D:$D,MATCH(H168,_ZIG_Cadastro!$A:$A,0)),"Produto"),IFERROR(VLOOKUP(B168,_Protheus_Cadastro!$A:$C,3,FALSE),"—"))</f>
        <v/>
      </c>
      <c r="E168" s="98">
        <f>IF(B168="—","—",IFERROR(VLOOKUP(B168,_Protheus_Cadastro!$A:$D,4,FALSE),"—"))</f>
        <v/>
      </c>
      <c r="F168" s="98">
        <f>IF(ISERROR(VLOOKUP(B168,'Estrutura Protheus'!A:A,1,FALSE)),"Não","Sim")</f>
        <v/>
      </c>
      <c r="G168" s="99">
        <f>IFERROR(INDEX(_Protheus_Cadastro!$H:$H,MATCH(B168,_Protheus_Cadastro!$A:$A,0)),"—")</f>
        <v/>
      </c>
      <c r="H168" s="211">
        <f>IFERROR(INDEX(_ZIG_Precos!$D:$D,MATCH(I168,_ZIG_Precos!$F:$F,0)),"—")</f>
        <v/>
      </c>
      <c r="I168" s="103">
        <f>IFERROR(VLOOKUP(B168,_Protheus_Cadastro!$A:$I,9,FALSE),"—")</f>
        <v/>
      </c>
      <c r="J168" s="101">
        <f>IFERROR(INDEX(_ZIG_Cadastro!$B:$B,MATCH(I168,_ZIG_Cadastro!$A:$A,0)),IFERROR(INDEX(_Entradas_ZIG!$B:$B,MATCH(I168,_Entradas_ZIG!$C:$C,0)),"—"))</f>
        <v/>
      </c>
      <c r="K168" s="101">
        <f>IFERROR(INDEX(_ZIG_Cadastro!$C:$C,MATCH(I168,_ZIG_Cadastro!$A:$A,0)),IFERROR(INDEX(_Entradas_ZIG!$D:$D,MATCH(I168,_Entradas_ZIG!$C:$C,0)),"—"))</f>
        <v/>
      </c>
      <c r="L168" s="99">
        <f>IF(I168="","Sem SKU ZIG",IF(I168="—","Sem SKU ZIG",IF(NOT(ISERROR(MATCH(I168,_ZIG_Cadastro!$A:$A,0))),IF(EXACT(UPPER(TRIM(C168)),UPPER(TRIM(INDEX(_ZIG_Cadastro!$B:$B,MATCH(I168,_ZIG_Cadastro!$A:$A,0))))),"OK","Atencao - Nome diverge"),IF(NOT(ISERROR(MATCH(I168,_Entradas_ZIG!$C:$C,0))),"OK","Erro - SKU nao encontrado"))))</f>
        <v/>
      </c>
      <c r="M168" s="99">
        <f>IFERROR(INDEX(_ZIG_Cadastro!$G:$G,MATCH(I168,_ZIG_Cadastro!$A:$A,0)),IF(NOT(ISERROR(MATCH(I168,_Entradas_ZIG!$C:$C,0))),"Ativo","—"))</f>
        <v/>
      </c>
      <c r="N168" s="102">
        <f>IFERROR(INDEX(_ZIG_Cadastro!$E:$E,MATCH(I168,_ZIG_Cadastro!$A:$A,0)),IFERROR(INDEX(_Entradas_ZIG!$F:$F,MATCH(I168,_Entradas_ZIG!$C:$C,0)),"—"))</f>
        <v/>
      </c>
      <c r="O168" s="99">
        <f>IF(AND(ISNUMBER(SEARCH("Espeto",N168)),ISNUMBER(SEARCH("Carin",N168))),"SIM","")</f>
        <v/>
      </c>
      <c r="P168" s="99">
        <f>IF(AND(ISNUMBER(SEARCH("Espeto",N168)),ISNUMBER(SEARCH("Lapa",N168))),"SIM","")</f>
        <v/>
      </c>
      <c r="Q168" s="99">
        <f>IF(AND(ISNUMBER(SEARCH("Espeto",N168)),ISNUMBER(SEARCH("Tatuapé",N168))),"SIM","")</f>
        <v/>
      </c>
      <c r="R168" s="99">
        <f>IF(AND(ISNUMBER(SEARCH("Espeto",N168)),ISNUMBER(SEARCH("Pavão",N168))),"SIM","")</f>
        <v/>
      </c>
      <c r="S168" s="99">
        <f>IF(AND(ISNUMBER(SEARCH("Espeto",N168)),ISNUMBER(SEARCH("Chac",N168))),"SIM","")</f>
        <v/>
      </c>
      <c r="T168" s="99">
        <f>IF(AND(ISNUMBER(SEARCH("Espeto",N168)),ISNUMBER(SEARCH("Madalena",N168))),"SIM","")</f>
        <v/>
      </c>
      <c r="U168" s="99">
        <f>IF(AND(ISNUMBER(SEARCH("Espeto",N168)),ISNUMBER(SEARCH("Mariana",N168))),"SIM","")</f>
        <v/>
      </c>
      <c r="V168" s="99">
        <f>IF(AND(ISNUMBER(SEARCH("Espeto",N168)),ISNUMBER(SEARCH("Perdizes",N168))),"SIM","")</f>
        <v/>
      </c>
      <c r="W168" s="99">
        <f>IF(AND(ISNUMBER(SEARCH("Espeto",N168)),ISNUMBER(SEARCH("Santana",N168))),"SIM","")</f>
        <v/>
      </c>
      <c r="X168" s="99">
        <f>IF(AND(ISNUMBER(SEARCH("Espeto",N168)),ISNUMBER(SEARCH("André",N168))),"SIM","")</f>
        <v/>
      </c>
      <c r="Y168" s="99">
        <f>IF(AND(ISNUMBER(SEARCH("Delivery",N168)),ISNUMBER(SEARCH("Carin",N168))),"SIM","")</f>
        <v/>
      </c>
      <c r="Z168" s="99">
        <f>IF(AND(ISNUMBER(SEARCH("Delivery",N168)),ISNUMBER(SEARCH("Lapa",N168))),"SIM","")</f>
        <v/>
      </c>
      <c r="AA168" s="99">
        <f>IF(AND(ISNUMBER(SEARCH("Delivery",N168)),ISNUMBER(SEARCH("Tatuapé",N168))),"SIM","")</f>
        <v/>
      </c>
      <c r="AB168" s="99">
        <f>IF(AND(ISNUMBER(SEARCH("Delivery",N168)),ISNUMBER(SEARCH("Pavão",N168))),"SIM","")</f>
        <v/>
      </c>
      <c r="AC168" s="99">
        <f>IF(AND(ISNUMBER(SEARCH("Delivery",N168)),ISNUMBER(SEARCH("Chac",N168))),"SIM","")</f>
        <v/>
      </c>
      <c r="AD168" s="99">
        <f>IF(AND(ISNUMBER(SEARCH("Delivery",N168)),ISNUMBER(SEARCH("Madalena",N168))),"SIM","")</f>
        <v/>
      </c>
      <c r="AE168" s="99">
        <f>IF(AND(ISNUMBER(SEARCH("Delivery",N168)),ISNUMBER(SEARCH("Mariana",N168))),"SIM","")</f>
        <v/>
      </c>
      <c r="AF168" s="99">
        <f>IF(AND(ISNUMBER(SEARCH("Delivery",N168)),ISNUMBER(SEARCH("Perdizes",N168))),"SIM","")</f>
        <v/>
      </c>
      <c r="AG168" s="99">
        <f>IF(AND(ISNUMBER(SEARCH("Delivery",N168)),ISNUMBER(SEARCH("Santana",N168))),"SIM","")</f>
        <v/>
      </c>
      <c r="AH168" s="99">
        <f>IF(AND(ISNUMBER(SEARCH("Delivery",N168)),ISNUMBER(SEARCH("André",N168))),"SIM","")</f>
        <v/>
      </c>
      <c r="AI168" s="99">
        <f>IF(ISNUMBER(SEARCH("Interlagos",N168)),"SIM","")</f>
        <v/>
      </c>
      <c r="AJ168" s="99">
        <f>IF(ISNUMBER(SEARCH("Quiosque",N168)),"SIM","")</f>
        <v/>
      </c>
      <c r="AK168" s="101" t="n"/>
    </row>
    <row r="169">
      <c r="A169" s="88" t="inlineStr">
        <is>
          <t>Protheus</t>
        </is>
      </c>
      <c r="B169" s="96" t="inlineStr">
        <is>
          <t>009836</t>
        </is>
      </c>
      <c r="C169" s="97">
        <f>IF(B169="—","—",IFERROR(VLOOKUP(B169,_Protheus_Cadastro!$A:$B,2,FALSE),"—"))</f>
        <v/>
      </c>
      <c r="D169" s="98">
        <f>IF(B169="—",IFERROR(INDEX(_ZIG_Cadastro!$D:$D,MATCH(H169,_ZIG_Cadastro!$A:$A,0)),"Produto"),IFERROR(VLOOKUP(B169,_Protheus_Cadastro!$A:$C,3,FALSE),"—"))</f>
        <v/>
      </c>
      <c r="E169" s="98">
        <f>IF(B169="—","—",IFERROR(VLOOKUP(B169,_Protheus_Cadastro!$A:$D,4,FALSE),"—"))</f>
        <v/>
      </c>
      <c r="F169" s="98">
        <f>IF(ISERROR(VLOOKUP(B169,'Estrutura Protheus'!A:A,1,FALSE)),"Não","Sim")</f>
        <v/>
      </c>
      <c r="G169" s="99">
        <f>IFERROR(INDEX(_Protheus_Cadastro!$H:$H,MATCH(B169,_Protheus_Cadastro!$A:$A,0)),"—")</f>
        <v/>
      </c>
      <c r="H169" s="211">
        <f>IFERROR(INDEX(_ZIG_Precos!$D:$D,MATCH(I169,_ZIG_Precos!$F:$F,0)),"—")</f>
        <v/>
      </c>
      <c r="I169" s="103">
        <f>IFERROR(VLOOKUP(B169,_Protheus_Cadastro!$A:$I,9,FALSE),"—")</f>
        <v/>
      </c>
      <c r="J169" s="101">
        <f>IFERROR(INDEX(_ZIG_Cadastro!$B:$B,MATCH(I169,_ZIG_Cadastro!$A:$A,0)),IFERROR(INDEX(_Entradas_ZIG!$B:$B,MATCH(I169,_Entradas_ZIG!$C:$C,0)),"—"))</f>
        <v/>
      </c>
      <c r="K169" s="101">
        <f>IFERROR(INDEX(_ZIG_Cadastro!$C:$C,MATCH(I169,_ZIG_Cadastro!$A:$A,0)),IFERROR(INDEX(_Entradas_ZIG!$D:$D,MATCH(I169,_Entradas_ZIG!$C:$C,0)),"—"))</f>
        <v/>
      </c>
      <c r="L169" s="99">
        <f>IF(I169="","Sem SKU ZIG",IF(I169="—","Sem SKU ZIG",IF(NOT(ISERROR(MATCH(I169,_ZIG_Cadastro!$A:$A,0))),IF(EXACT(UPPER(TRIM(C169)),UPPER(TRIM(INDEX(_ZIG_Cadastro!$B:$B,MATCH(I169,_ZIG_Cadastro!$A:$A,0))))),"OK","Atencao - Nome diverge"),IF(NOT(ISERROR(MATCH(I169,_Entradas_ZIG!$C:$C,0))),"OK","Erro - SKU nao encontrado"))))</f>
        <v/>
      </c>
      <c r="M169" s="99">
        <f>IFERROR(INDEX(_ZIG_Cadastro!$G:$G,MATCH(I169,_ZIG_Cadastro!$A:$A,0)),IF(NOT(ISERROR(MATCH(I169,_Entradas_ZIG!$C:$C,0))),"Ativo","—"))</f>
        <v/>
      </c>
      <c r="N169" s="102">
        <f>IFERROR(INDEX(_ZIG_Cadastro!$E:$E,MATCH(I169,_ZIG_Cadastro!$A:$A,0)),IFERROR(INDEX(_Entradas_ZIG!$F:$F,MATCH(I169,_Entradas_ZIG!$C:$C,0)),"—"))</f>
        <v/>
      </c>
      <c r="O169" s="99">
        <f>IF(AND(ISNUMBER(SEARCH("Espeto",N169)),ISNUMBER(SEARCH("Carin",N169))),"SIM","")</f>
        <v/>
      </c>
      <c r="P169" s="99">
        <f>IF(AND(ISNUMBER(SEARCH("Espeto",N169)),ISNUMBER(SEARCH("Lapa",N169))),"SIM","")</f>
        <v/>
      </c>
      <c r="Q169" s="99">
        <f>IF(AND(ISNUMBER(SEARCH("Espeto",N169)),ISNUMBER(SEARCH("Tatuapé",N169))),"SIM","")</f>
        <v/>
      </c>
      <c r="R169" s="99">
        <f>IF(AND(ISNUMBER(SEARCH("Espeto",N169)),ISNUMBER(SEARCH("Pavão",N169))),"SIM","")</f>
        <v/>
      </c>
      <c r="S169" s="99">
        <f>IF(AND(ISNUMBER(SEARCH("Espeto",N169)),ISNUMBER(SEARCH("Chac",N169))),"SIM","")</f>
        <v/>
      </c>
      <c r="T169" s="99">
        <f>IF(AND(ISNUMBER(SEARCH("Espeto",N169)),ISNUMBER(SEARCH("Madalena",N169))),"SIM","")</f>
        <v/>
      </c>
      <c r="U169" s="99">
        <f>IF(AND(ISNUMBER(SEARCH("Espeto",N169)),ISNUMBER(SEARCH("Mariana",N169))),"SIM","")</f>
        <v/>
      </c>
      <c r="V169" s="99">
        <f>IF(AND(ISNUMBER(SEARCH("Espeto",N169)),ISNUMBER(SEARCH("Perdizes",N169))),"SIM","")</f>
        <v/>
      </c>
      <c r="W169" s="99">
        <f>IF(AND(ISNUMBER(SEARCH("Espeto",N169)),ISNUMBER(SEARCH("Santana",N169))),"SIM","")</f>
        <v/>
      </c>
      <c r="X169" s="99">
        <f>IF(AND(ISNUMBER(SEARCH("Espeto",N169)),ISNUMBER(SEARCH("André",N169))),"SIM","")</f>
        <v/>
      </c>
      <c r="Y169" s="99">
        <f>IF(AND(ISNUMBER(SEARCH("Delivery",N169)),ISNUMBER(SEARCH("Carin",N169))),"SIM","")</f>
        <v/>
      </c>
      <c r="Z169" s="99">
        <f>IF(AND(ISNUMBER(SEARCH("Delivery",N169)),ISNUMBER(SEARCH("Lapa",N169))),"SIM","")</f>
        <v/>
      </c>
      <c r="AA169" s="99">
        <f>IF(AND(ISNUMBER(SEARCH("Delivery",N169)),ISNUMBER(SEARCH("Tatuapé",N169))),"SIM","")</f>
        <v/>
      </c>
      <c r="AB169" s="99">
        <f>IF(AND(ISNUMBER(SEARCH("Delivery",N169)),ISNUMBER(SEARCH("Pavão",N169))),"SIM","")</f>
        <v/>
      </c>
      <c r="AC169" s="99">
        <f>IF(AND(ISNUMBER(SEARCH("Delivery",N169)),ISNUMBER(SEARCH("Chac",N169))),"SIM","")</f>
        <v/>
      </c>
      <c r="AD169" s="99">
        <f>IF(AND(ISNUMBER(SEARCH("Delivery",N169)),ISNUMBER(SEARCH("Madalena",N169))),"SIM","")</f>
        <v/>
      </c>
      <c r="AE169" s="99">
        <f>IF(AND(ISNUMBER(SEARCH("Delivery",N169)),ISNUMBER(SEARCH("Mariana",N169))),"SIM","")</f>
        <v/>
      </c>
      <c r="AF169" s="99">
        <f>IF(AND(ISNUMBER(SEARCH("Delivery",N169)),ISNUMBER(SEARCH("Perdizes",N169))),"SIM","")</f>
        <v/>
      </c>
      <c r="AG169" s="99">
        <f>IF(AND(ISNUMBER(SEARCH("Delivery",N169)),ISNUMBER(SEARCH("Santana",N169))),"SIM","")</f>
        <v/>
      </c>
      <c r="AH169" s="99">
        <f>IF(AND(ISNUMBER(SEARCH("Delivery",N169)),ISNUMBER(SEARCH("André",N169))),"SIM","")</f>
        <v/>
      </c>
      <c r="AI169" s="99">
        <f>IF(ISNUMBER(SEARCH("Interlagos",N169)),"SIM","")</f>
        <v/>
      </c>
      <c r="AJ169" s="99">
        <f>IF(ISNUMBER(SEARCH("Quiosque",N169)),"SIM","")</f>
        <v/>
      </c>
      <c r="AK169" s="101" t="n"/>
    </row>
    <row r="170">
      <c r="A170" s="88" t="inlineStr">
        <is>
          <t>Protheus</t>
        </is>
      </c>
      <c r="B170" s="89" t="inlineStr">
        <is>
          <t>001513</t>
        </is>
      </c>
      <c r="C170" s="90">
        <f>IF(B170="—","—",IFERROR(VLOOKUP(B170,_Protheus_Cadastro!$A:$B,2,FALSE),"—"))</f>
        <v/>
      </c>
      <c r="D170" s="91">
        <f>IF(B170="—",IFERROR(INDEX(_ZIG_Cadastro!$D:$D,MATCH(H170,_ZIG_Cadastro!$A:$A,0)),"Produto"),IFERROR(VLOOKUP(B170,_Protheus_Cadastro!$A:$C,3,FALSE),"—"))</f>
        <v/>
      </c>
      <c r="E170" s="91">
        <f>IF(B170="—","—",IFERROR(VLOOKUP(B170,_Protheus_Cadastro!$A:$D,4,FALSE),"—"))</f>
        <v/>
      </c>
      <c r="F170" s="91">
        <f>IF(ISERROR(VLOOKUP(B170,'Estrutura Protheus'!A:A,1,FALSE)),"Não","Sim")</f>
        <v/>
      </c>
      <c r="G170" s="92">
        <f>IFERROR(INDEX(_Protheus_Cadastro!$H:$H,MATCH(B170,_Protheus_Cadastro!$A:$A,0)),"—")</f>
        <v/>
      </c>
      <c r="H170" s="210">
        <f>IFERROR(INDEX(_ZIG_Precos!$D:$D,MATCH(I170,_ZIG_Precos!$F:$F,0)),"—")</f>
        <v/>
      </c>
      <c r="I170" s="95">
        <f>IFERROR(VLOOKUP(B170,_Protheus_Cadastro!$A:$I,9,FALSE),"—")</f>
        <v/>
      </c>
      <c r="J170" s="93">
        <f>IFERROR(INDEX(_ZIG_Cadastro!$B:$B,MATCH(I170,_ZIG_Cadastro!$A:$A,0)),IFERROR(INDEX(_Entradas_ZIG!$B:$B,MATCH(I170,_Entradas_ZIG!$C:$C,0)),"—"))</f>
        <v/>
      </c>
      <c r="K170" s="93">
        <f>IFERROR(INDEX(_ZIG_Cadastro!$C:$C,MATCH(I170,_ZIG_Cadastro!$A:$A,0)),IFERROR(INDEX(_Entradas_ZIG!$D:$D,MATCH(I170,_Entradas_ZIG!$C:$C,0)),"—"))</f>
        <v/>
      </c>
      <c r="L170" s="92">
        <f>IF(I170="","Sem SKU ZIG",IF(I170="—","Sem SKU ZIG",IF(NOT(ISERROR(MATCH(I170,_ZIG_Cadastro!$A:$A,0))),IF(EXACT(UPPER(TRIM(C170)),UPPER(TRIM(INDEX(_ZIG_Cadastro!$B:$B,MATCH(I170,_ZIG_Cadastro!$A:$A,0))))),"OK","Atencao - Nome diverge"),IF(NOT(ISERROR(MATCH(I170,_Entradas_ZIG!$C:$C,0))),"OK","Erro - SKU nao encontrado"))))</f>
        <v/>
      </c>
      <c r="M170" s="92">
        <f>IFERROR(INDEX(_ZIG_Cadastro!$G:$G,MATCH(I170,_ZIG_Cadastro!$A:$A,0)),IF(NOT(ISERROR(MATCH(I170,_Entradas_ZIG!$C:$C,0))),"Ativo","—"))</f>
        <v/>
      </c>
      <c r="N170" s="94">
        <f>IFERROR(INDEX(_ZIG_Cadastro!$E:$E,MATCH(I170,_ZIG_Cadastro!$A:$A,0)),IFERROR(INDEX(_Entradas_ZIG!$F:$F,MATCH(I170,_Entradas_ZIG!$C:$C,0)),"—"))</f>
        <v/>
      </c>
      <c r="O170" s="92">
        <f>IF(AND(ISNUMBER(SEARCH("Espeto",N170)),ISNUMBER(SEARCH("Carin",N170))),"SIM","")</f>
        <v/>
      </c>
      <c r="P170" s="92">
        <f>IF(AND(ISNUMBER(SEARCH("Espeto",N170)),ISNUMBER(SEARCH("Lapa",N170))),"SIM","")</f>
        <v/>
      </c>
      <c r="Q170" s="92">
        <f>IF(AND(ISNUMBER(SEARCH("Espeto",N170)),ISNUMBER(SEARCH("Tatuapé",N170))),"SIM","")</f>
        <v/>
      </c>
      <c r="R170" s="92">
        <f>IF(AND(ISNUMBER(SEARCH("Espeto",N170)),ISNUMBER(SEARCH("Pavão",N170))),"SIM","")</f>
        <v/>
      </c>
      <c r="S170" s="92">
        <f>IF(AND(ISNUMBER(SEARCH("Espeto",N170)),ISNUMBER(SEARCH("Chac",N170))),"SIM","")</f>
        <v/>
      </c>
      <c r="T170" s="92">
        <f>IF(AND(ISNUMBER(SEARCH("Espeto",N170)),ISNUMBER(SEARCH("Madalena",N170))),"SIM","")</f>
        <v/>
      </c>
      <c r="U170" s="92">
        <f>IF(AND(ISNUMBER(SEARCH("Espeto",N170)),ISNUMBER(SEARCH("Mariana",N170))),"SIM","")</f>
        <v/>
      </c>
      <c r="V170" s="92">
        <f>IF(AND(ISNUMBER(SEARCH("Espeto",N170)),ISNUMBER(SEARCH("Perdizes",N170))),"SIM","")</f>
        <v/>
      </c>
      <c r="W170" s="92">
        <f>IF(AND(ISNUMBER(SEARCH("Espeto",N170)),ISNUMBER(SEARCH("Santana",N170))),"SIM","")</f>
        <v/>
      </c>
      <c r="X170" s="92">
        <f>IF(AND(ISNUMBER(SEARCH("Espeto",N170)),ISNUMBER(SEARCH("André",N170))),"SIM","")</f>
        <v/>
      </c>
      <c r="Y170" s="92">
        <f>IF(AND(ISNUMBER(SEARCH("Delivery",N170)),ISNUMBER(SEARCH("Carin",N170))),"SIM","")</f>
        <v/>
      </c>
      <c r="Z170" s="92">
        <f>IF(AND(ISNUMBER(SEARCH("Delivery",N170)),ISNUMBER(SEARCH("Lapa",N170))),"SIM","")</f>
        <v/>
      </c>
      <c r="AA170" s="92">
        <f>IF(AND(ISNUMBER(SEARCH("Delivery",N170)),ISNUMBER(SEARCH("Tatuapé",N170))),"SIM","")</f>
        <v/>
      </c>
      <c r="AB170" s="92">
        <f>IF(AND(ISNUMBER(SEARCH("Delivery",N170)),ISNUMBER(SEARCH("Pavão",N170))),"SIM","")</f>
        <v/>
      </c>
      <c r="AC170" s="92">
        <f>IF(AND(ISNUMBER(SEARCH("Delivery",N170)),ISNUMBER(SEARCH("Chac",N170))),"SIM","")</f>
        <v/>
      </c>
      <c r="AD170" s="92">
        <f>IF(AND(ISNUMBER(SEARCH("Delivery",N170)),ISNUMBER(SEARCH("Madalena",N170))),"SIM","")</f>
        <v/>
      </c>
      <c r="AE170" s="92">
        <f>IF(AND(ISNUMBER(SEARCH("Delivery",N170)),ISNUMBER(SEARCH("Mariana",N170))),"SIM","")</f>
        <v/>
      </c>
      <c r="AF170" s="92">
        <f>IF(AND(ISNUMBER(SEARCH("Delivery",N170)),ISNUMBER(SEARCH("Perdizes",N170))),"SIM","")</f>
        <v/>
      </c>
      <c r="AG170" s="92">
        <f>IF(AND(ISNUMBER(SEARCH("Delivery",N170)),ISNUMBER(SEARCH("Santana",N170))),"SIM","")</f>
        <v/>
      </c>
      <c r="AH170" s="92">
        <f>IF(AND(ISNUMBER(SEARCH("Delivery",N170)),ISNUMBER(SEARCH("André",N170))),"SIM","")</f>
        <v/>
      </c>
      <c r="AI170" s="92">
        <f>IF(ISNUMBER(SEARCH("Interlagos",N170)),"SIM","")</f>
        <v/>
      </c>
      <c r="AJ170" s="92">
        <f>IF(ISNUMBER(SEARCH("Quiosque",N170)),"SIM","")</f>
        <v/>
      </c>
      <c r="AK170" s="93" t="n"/>
    </row>
    <row r="171">
      <c r="A171" s="88" t="inlineStr">
        <is>
          <t>Protheus</t>
        </is>
      </c>
      <c r="B171" s="96" t="inlineStr">
        <is>
          <t>001622</t>
        </is>
      </c>
      <c r="C171" s="97">
        <f>IF(B171="—","—",IFERROR(VLOOKUP(B171,_Protheus_Cadastro!$A:$B,2,FALSE),"—"))</f>
        <v/>
      </c>
      <c r="D171" s="98">
        <f>IF(B171="—",IFERROR(INDEX(_ZIG_Cadastro!$D:$D,MATCH(H171,_ZIG_Cadastro!$A:$A,0)),"Produto"),IFERROR(VLOOKUP(B171,_Protheus_Cadastro!$A:$C,3,FALSE),"—"))</f>
        <v/>
      </c>
      <c r="E171" s="98">
        <f>IF(B171="—","—",IFERROR(VLOOKUP(B171,_Protheus_Cadastro!$A:$D,4,FALSE),"—"))</f>
        <v/>
      </c>
      <c r="F171" s="98">
        <f>IF(ISERROR(VLOOKUP(B171,'Estrutura Protheus'!A:A,1,FALSE)),"Não","Sim")</f>
        <v/>
      </c>
      <c r="G171" s="99">
        <f>IFERROR(INDEX(_Protheus_Cadastro!$H:$H,MATCH(B171,_Protheus_Cadastro!$A:$A,0)),"—")</f>
        <v/>
      </c>
      <c r="H171" s="211">
        <f>IFERROR(INDEX(_ZIG_Precos!$D:$D,MATCH(I171,_ZIG_Precos!$F:$F,0)),"—")</f>
        <v/>
      </c>
      <c r="I171" s="103">
        <f>IFERROR(VLOOKUP(B171,_Protheus_Cadastro!$A:$I,9,FALSE),"—")</f>
        <v/>
      </c>
      <c r="J171" s="101">
        <f>IFERROR(INDEX(_ZIG_Cadastro!$B:$B,MATCH(I171,_ZIG_Cadastro!$A:$A,0)),IFERROR(INDEX(_Entradas_ZIG!$B:$B,MATCH(I171,_Entradas_ZIG!$C:$C,0)),"—"))</f>
        <v/>
      </c>
      <c r="K171" s="101">
        <f>IFERROR(INDEX(_ZIG_Cadastro!$C:$C,MATCH(I171,_ZIG_Cadastro!$A:$A,0)),IFERROR(INDEX(_Entradas_ZIG!$D:$D,MATCH(I171,_Entradas_ZIG!$C:$C,0)),"—"))</f>
        <v/>
      </c>
      <c r="L171" s="99">
        <f>IF(I171="","Sem SKU ZIG",IF(I171="—","Sem SKU ZIG",IF(NOT(ISERROR(MATCH(I171,_ZIG_Cadastro!$A:$A,0))),IF(EXACT(UPPER(TRIM(C171)),UPPER(TRIM(INDEX(_ZIG_Cadastro!$B:$B,MATCH(I171,_ZIG_Cadastro!$A:$A,0))))),"OK","Atencao - Nome diverge"),IF(NOT(ISERROR(MATCH(I171,_Entradas_ZIG!$C:$C,0))),"OK","Erro - SKU nao encontrado"))))</f>
        <v/>
      </c>
      <c r="M171" s="99">
        <f>IFERROR(INDEX(_ZIG_Cadastro!$G:$G,MATCH(I171,_ZIG_Cadastro!$A:$A,0)),IF(NOT(ISERROR(MATCH(I171,_Entradas_ZIG!$C:$C,0))),"Ativo","—"))</f>
        <v/>
      </c>
      <c r="N171" s="102">
        <f>IFERROR(INDEX(_ZIG_Cadastro!$E:$E,MATCH(I171,_ZIG_Cadastro!$A:$A,0)),IFERROR(INDEX(_Entradas_ZIG!$F:$F,MATCH(I171,_Entradas_ZIG!$C:$C,0)),"—"))</f>
        <v/>
      </c>
      <c r="O171" s="99">
        <f>IF(AND(ISNUMBER(SEARCH("Espeto",N171)),ISNUMBER(SEARCH("Carin",N171))),"SIM","")</f>
        <v/>
      </c>
      <c r="P171" s="99">
        <f>IF(AND(ISNUMBER(SEARCH("Espeto",N171)),ISNUMBER(SEARCH("Lapa",N171))),"SIM","")</f>
        <v/>
      </c>
      <c r="Q171" s="99">
        <f>IF(AND(ISNUMBER(SEARCH("Espeto",N171)),ISNUMBER(SEARCH("Tatuapé",N171))),"SIM","")</f>
        <v/>
      </c>
      <c r="R171" s="99">
        <f>IF(AND(ISNUMBER(SEARCH("Espeto",N171)),ISNUMBER(SEARCH("Pavão",N171))),"SIM","")</f>
        <v/>
      </c>
      <c r="S171" s="99">
        <f>IF(AND(ISNUMBER(SEARCH("Espeto",N171)),ISNUMBER(SEARCH("Chac",N171))),"SIM","")</f>
        <v/>
      </c>
      <c r="T171" s="99">
        <f>IF(AND(ISNUMBER(SEARCH("Espeto",N171)),ISNUMBER(SEARCH("Madalena",N171))),"SIM","")</f>
        <v/>
      </c>
      <c r="U171" s="99">
        <f>IF(AND(ISNUMBER(SEARCH("Espeto",N171)),ISNUMBER(SEARCH("Mariana",N171))),"SIM","")</f>
        <v/>
      </c>
      <c r="V171" s="99">
        <f>IF(AND(ISNUMBER(SEARCH("Espeto",N171)),ISNUMBER(SEARCH("Perdizes",N171))),"SIM","")</f>
        <v/>
      </c>
      <c r="W171" s="99">
        <f>IF(AND(ISNUMBER(SEARCH("Espeto",N171)),ISNUMBER(SEARCH("Santana",N171))),"SIM","")</f>
        <v/>
      </c>
      <c r="X171" s="99">
        <f>IF(AND(ISNUMBER(SEARCH("Espeto",N171)),ISNUMBER(SEARCH("André",N171))),"SIM","")</f>
        <v/>
      </c>
      <c r="Y171" s="99">
        <f>IF(AND(ISNUMBER(SEARCH("Delivery",N171)),ISNUMBER(SEARCH("Carin",N171))),"SIM","")</f>
        <v/>
      </c>
      <c r="Z171" s="99">
        <f>IF(AND(ISNUMBER(SEARCH("Delivery",N171)),ISNUMBER(SEARCH("Lapa",N171))),"SIM","")</f>
        <v/>
      </c>
      <c r="AA171" s="99">
        <f>IF(AND(ISNUMBER(SEARCH("Delivery",N171)),ISNUMBER(SEARCH("Tatuapé",N171))),"SIM","")</f>
        <v/>
      </c>
      <c r="AB171" s="99">
        <f>IF(AND(ISNUMBER(SEARCH("Delivery",N171)),ISNUMBER(SEARCH("Pavão",N171))),"SIM","")</f>
        <v/>
      </c>
      <c r="AC171" s="99">
        <f>IF(AND(ISNUMBER(SEARCH("Delivery",N171)),ISNUMBER(SEARCH("Chac",N171))),"SIM","")</f>
        <v/>
      </c>
      <c r="AD171" s="99">
        <f>IF(AND(ISNUMBER(SEARCH("Delivery",N171)),ISNUMBER(SEARCH("Madalena",N171))),"SIM","")</f>
        <v/>
      </c>
      <c r="AE171" s="99">
        <f>IF(AND(ISNUMBER(SEARCH("Delivery",N171)),ISNUMBER(SEARCH("Mariana",N171))),"SIM","")</f>
        <v/>
      </c>
      <c r="AF171" s="99">
        <f>IF(AND(ISNUMBER(SEARCH("Delivery",N171)),ISNUMBER(SEARCH("Perdizes",N171))),"SIM","")</f>
        <v/>
      </c>
      <c r="AG171" s="99">
        <f>IF(AND(ISNUMBER(SEARCH("Delivery",N171)),ISNUMBER(SEARCH("Santana",N171))),"SIM","")</f>
        <v/>
      </c>
      <c r="AH171" s="99">
        <f>IF(AND(ISNUMBER(SEARCH("Delivery",N171)),ISNUMBER(SEARCH("André",N171))),"SIM","")</f>
        <v/>
      </c>
      <c r="AI171" s="99">
        <f>IF(ISNUMBER(SEARCH("Interlagos",N171)),"SIM","")</f>
        <v/>
      </c>
      <c r="AJ171" s="99">
        <f>IF(ISNUMBER(SEARCH("Quiosque",N171)),"SIM","")</f>
        <v/>
      </c>
      <c r="AK171" s="101" t="n"/>
    </row>
    <row r="172">
      <c r="A172" s="88" t="inlineStr">
        <is>
          <t>Protheus</t>
        </is>
      </c>
      <c r="B172" s="89" t="inlineStr">
        <is>
          <t>010087</t>
        </is>
      </c>
      <c r="C172" s="90">
        <f>IF(B172="—","—",IFERROR(VLOOKUP(B172,_Protheus_Cadastro!$A:$B,2,FALSE),"—"))</f>
        <v/>
      </c>
      <c r="D172" s="91">
        <f>IF(B172="—",IFERROR(INDEX(_ZIG_Cadastro!$D:$D,MATCH(H172,_ZIG_Cadastro!$A:$A,0)),"Produto"),IFERROR(VLOOKUP(B172,_Protheus_Cadastro!$A:$C,3,FALSE),"—"))</f>
        <v/>
      </c>
      <c r="E172" s="91">
        <f>IF(B172="—","—",IFERROR(VLOOKUP(B172,_Protheus_Cadastro!$A:$D,4,FALSE),"—"))</f>
        <v/>
      </c>
      <c r="F172" s="91">
        <f>IF(ISERROR(VLOOKUP(B172,'Estrutura Protheus'!A:A,1,FALSE)),"Não","Sim")</f>
        <v/>
      </c>
      <c r="G172" s="92">
        <f>IFERROR(INDEX(_Protheus_Cadastro!$H:$H,MATCH(B172,_Protheus_Cadastro!$A:$A,0)),"—")</f>
        <v/>
      </c>
      <c r="H172" s="210">
        <f>IFERROR(INDEX(_ZIG_Precos!$D:$D,MATCH(I172,_ZIG_Precos!$F:$F,0)),"—")</f>
        <v/>
      </c>
      <c r="I172" s="95">
        <f>IFERROR(VLOOKUP(B172,_Protheus_Cadastro!$A:$I,9,FALSE),"—")</f>
        <v/>
      </c>
      <c r="J172" s="93">
        <f>IFERROR(INDEX(_ZIG_Cadastro!$B:$B,MATCH(I172,_ZIG_Cadastro!$A:$A,0)),IFERROR(INDEX(_Entradas_ZIG!$B:$B,MATCH(I172,_Entradas_ZIG!$C:$C,0)),"—"))</f>
        <v/>
      </c>
      <c r="K172" s="93">
        <f>IFERROR(INDEX(_ZIG_Cadastro!$C:$C,MATCH(I172,_ZIG_Cadastro!$A:$A,0)),IFERROR(INDEX(_Entradas_ZIG!$D:$D,MATCH(I172,_Entradas_ZIG!$C:$C,0)),"—"))</f>
        <v/>
      </c>
      <c r="L172" s="92">
        <f>IF(I172="","Sem SKU ZIG",IF(I172="—","Sem SKU ZIG",IF(NOT(ISERROR(MATCH(I172,_ZIG_Cadastro!$A:$A,0))),IF(EXACT(UPPER(TRIM(C172)),UPPER(TRIM(INDEX(_ZIG_Cadastro!$B:$B,MATCH(I172,_ZIG_Cadastro!$A:$A,0))))),"OK","Atencao - Nome diverge"),IF(NOT(ISERROR(MATCH(I172,_Entradas_ZIG!$C:$C,0))),"OK","Erro - SKU nao encontrado"))))</f>
        <v/>
      </c>
      <c r="M172" s="92">
        <f>IFERROR(INDEX(_ZIG_Cadastro!$G:$G,MATCH(I172,_ZIG_Cadastro!$A:$A,0)),IF(NOT(ISERROR(MATCH(I172,_Entradas_ZIG!$C:$C,0))),"Ativo","—"))</f>
        <v/>
      </c>
      <c r="N172" s="94">
        <f>IFERROR(INDEX(_ZIG_Cadastro!$E:$E,MATCH(I172,_ZIG_Cadastro!$A:$A,0)),IFERROR(INDEX(_Entradas_ZIG!$F:$F,MATCH(I172,_Entradas_ZIG!$C:$C,0)),"—"))</f>
        <v/>
      </c>
      <c r="O172" s="92">
        <f>IF(AND(ISNUMBER(SEARCH("Espeto",N172)),ISNUMBER(SEARCH("Carin",N172))),"SIM","")</f>
        <v/>
      </c>
      <c r="P172" s="92">
        <f>IF(AND(ISNUMBER(SEARCH("Espeto",N172)),ISNUMBER(SEARCH("Lapa",N172))),"SIM","")</f>
        <v/>
      </c>
      <c r="Q172" s="92">
        <f>IF(AND(ISNUMBER(SEARCH("Espeto",N172)),ISNUMBER(SEARCH("Tatuapé",N172))),"SIM","")</f>
        <v/>
      </c>
      <c r="R172" s="92">
        <f>IF(AND(ISNUMBER(SEARCH("Espeto",N172)),ISNUMBER(SEARCH("Pavão",N172))),"SIM","")</f>
        <v/>
      </c>
      <c r="S172" s="92">
        <f>IF(AND(ISNUMBER(SEARCH("Espeto",N172)),ISNUMBER(SEARCH("Chac",N172))),"SIM","")</f>
        <v/>
      </c>
      <c r="T172" s="92">
        <f>IF(AND(ISNUMBER(SEARCH("Espeto",N172)),ISNUMBER(SEARCH("Madalena",N172))),"SIM","")</f>
        <v/>
      </c>
      <c r="U172" s="92">
        <f>IF(AND(ISNUMBER(SEARCH("Espeto",N172)),ISNUMBER(SEARCH("Mariana",N172))),"SIM","")</f>
        <v/>
      </c>
      <c r="V172" s="92">
        <f>IF(AND(ISNUMBER(SEARCH("Espeto",N172)),ISNUMBER(SEARCH("Perdizes",N172))),"SIM","")</f>
        <v/>
      </c>
      <c r="W172" s="92">
        <f>IF(AND(ISNUMBER(SEARCH("Espeto",N172)),ISNUMBER(SEARCH("Santana",N172))),"SIM","")</f>
        <v/>
      </c>
      <c r="X172" s="92">
        <f>IF(AND(ISNUMBER(SEARCH("Espeto",N172)),ISNUMBER(SEARCH("André",N172))),"SIM","")</f>
        <v/>
      </c>
      <c r="Y172" s="92">
        <f>IF(AND(ISNUMBER(SEARCH("Delivery",N172)),ISNUMBER(SEARCH("Carin",N172))),"SIM","")</f>
        <v/>
      </c>
      <c r="Z172" s="92">
        <f>IF(AND(ISNUMBER(SEARCH("Delivery",N172)),ISNUMBER(SEARCH("Lapa",N172))),"SIM","")</f>
        <v/>
      </c>
      <c r="AA172" s="92">
        <f>IF(AND(ISNUMBER(SEARCH("Delivery",N172)),ISNUMBER(SEARCH("Tatuapé",N172))),"SIM","")</f>
        <v/>
      </c>
      <c r="AB172" s="92">
        <f>IF(AND(ISNUMBER(SEARCH("Delivery",N172)),ISNUMBER(SEARCH("Pavão",N172))),"SIM","")</f>
        <v/>
      </c>
      <c r="AC172" s="92">
        <f>IF(AND(ISNUMBER(SEARCH("Delivery",N172)),ISNUMBER(SEARCH("Chac",N172))),"SIM","")</f>
        <v/>
      </c>
      <c r="AD172" s="92">
        <f>IF(AND(ISNUMBER(SEARCH("Delivery",N172)),ISNUMBER(SEARCH("Madalena",N172))),"SIM","")</f>
        <v/>
      </c>
      <c r="AE172" s="92">
        <f>IF(AND(ISNUMBER(SEARCH("Delivery",N172)),ISNUMBER(SEARCH("Mariana",N172))),"SIM","")</f>
        <v/>
      </c>
      <c r="AF172" s="92">
        <f>IF(AND(ISNUMBER(SEARCH("Delivery",N172)),ISNUMBER(SEARCH("Perdizes",N172))),"SIM","")</f>
        <v/>
      </c>
      <c r="AG172" s="92">
        <f>IF(AND(ISNUMBER(SEARCH("Delivery",N172)),ISNUMBER(SEARCH("Santana",N172))),"SIM","")</f>
        <v/>
      </c>
      <c r="AH172" s="92">
        <f>IF(AND(ISNUMBER(SEARCH("Delivery",N172)),ISNUMBER(SEARCH("André",N172))),"SIM","")</f>
        <v/>
      </c>
      <c r="AI172" s="92">
        <f>IF(ISNUMBER(SEARCH("Interlagos",N172)),"SIM","")</f>
        <v/>
      </c>
      <c r="AJ172" s="92">
        <f>IF(ISNUMBER(SEARCH("Quiosque",N172)),"SIM","")</f>
        <v/>
      </c>
      <c r="AK172" s="93" t="n"/>
    </row>
    <row r="173">
      <c r="A173" s="88" t="inlineStr">
        <is>
          <t>Protheus</t>
        </is>
      </c>
      <c r="B173" s="96" t="inlineStr">
        <is>
          <t>000053</t>
        </is>
      </c>
      <c r="C173" s="97">
        <f>IF(B173="—","—",IFERROR(VLOOKUP(B173,_Protheus_Cadastro!$A:$B,2,FALSE),"—"))</f>
        <v/>
      </c>
      <c r="D173" s="98">
        <f>IF(B173="—",IFERROR(INDEX(_ZIG_Cadastro!$D:$D,MATCH(H173,_ZIG_Cadastro!$A:$A,0)),"Produto"),IFERROR(VLOOKUP(B173,_Protheus_Cadastro!$A:$C,3,FALSE),"—"))</f>
        <v/>
      </c>
      <c r="E173" s="98">
        <f>IF(B173="—","—",IFERROR(VLOOKUP(B173,_Protheus_Cadastro!$A:$D,4,FALSE),"—"))</f>
        <v/>
      </c>
      <c r="F173" s="98">
        <f>IF(ISERROR(VLOOKUP(B173,'Estrutura Protheus'!A:A,1,FALSE)),"Não","Sim")</f>
        <v/>
      </c>
      <c r="G173" s="99">
        <f>IFERROR(INDEX(_Protheus_Cadastro!$H:$H,MATCH(B173,_Protheus_Cadastro!$A:$A,0)),"—")</f>
        <v/>
      </c>
      <c r="H173" s="211">
        <f>IFERROR(INDEX(_ZIG_Precos!$D:$D,MATCH(I173,_ZIG_Precos!$F:$F,0)),"—")</f>
        <v/>
      </c>
      <c r="I173" s="103">
        <f>IFERROR(VLOOKUP(B173,_Protheus_Cadastro!$A:$I,9,FALSE),"—")</f>
        <v/>
      </c>
      <c r="J173" s="101">
        <f>IFERROR(INDEX(_ZIG_Cadastro!$B:$B,MATCH(I173,_ZIG_Cadastro!$A:$A,0)),IFERROR(INDEX(_Entradas_ZIG!$B:$B,MATCH(I173,_Entradas_ZIG!$C:$C,0)),"—"))</f>
        <v/>
      </c>
      <c r="K173" s="101">
        <f>IFERROR(INDEX(_ZIG_Cadastro!$C:$C,MATCH(I173,_ZIG_Cadastro!$A:$A,0)),IFERROR(INDEX(_Entradas_ZIG!$D:$D,MATCH(I173,_Entradas_ZIG!$C:$C,0)),"—"))</f>
        <v/>
      </c>
      <c r="L173" s="99">
        <f>IF(I173="","Sem SKU ZIG",IF(I173="—","Sem SKU ZIG",IF(NOT(ISERROR(MATCH(I173,_ZIG_Cadastro!$A:$A,0))),IF(EXACT(UPPER(TRIM(C173)),UPPER(TRIM(INDEX(_ZIG_Cadastro!$B:$B,MATCH(I173,_ZIG_Cadastro!$A:$A,0))))),"OK","Atencao - Nome diverge"),IF(NOT(ISERROR(MATCH(I173,_Entradas_ZIG!$C:$C,0))),"OK","Erro - SKU nao encontrado"))))</f>
        <v/>
      </c>
      <c r="M173" s="99">
        <f>IFERROR(INDEX(_ZIG_Cadastro!$G:$G,MATCH(I173,_ZIG_Cadastro!$A:$A,0)),IF(NOT(ISERROR(MATCH(I173,_Entradas_ZIG!$C:$C,0))),"Ativo","—"))</f>
        <v/>
      </c>
      <c r="N173" s="102">
        <f>IFERROR(INDEX(_ZIG_Cadastro!$E:$E,MATCH(I173,_ZIG_Cadastro!$A:$A,0)),IFERROR(INDEX(_Entradas_ZIG!$F:$F,MATCH(I173,_Entradas_ZIG!$C:$C,0)),"—"))</f>
        <v/>
      </c>
      <c r="O173" s="99">
        <f>IF(AND(ISNUMBER(SEARCH("Espeto",N173)),ISNUMBER(SEARCH("Carin",N173))),"SIM","")</f>
        <v/>
      </c>
      <c r="P173" s="99">
        <f>IF(AND(ISNUMBER(SEARCH("Espeto",N173)),ISNUMBER(SEARCH("Lapa",N173))),"SIM","")</f>
        <v/>
      </c>
      <c r="Q173" s="99">
        <f>IF(AND(ISNUMBER(SEARCH("Espeto",N173)),ISNUMBER(SEARCH("Tatuapé",N173))),"SIM","")</f>
        <v/>
      </c>
      <c r="R173" s="99">
        <f>IF(AND(ISNUMBER(SEARCH("Espeto",N173)),ISNUMBER(SEARCH("Pavão",N173))),"SIM","")</f>
        <v/>
      </c>
      <c r="S173" s="99">
        <f>IF(AND(ISNUMBER(SEARCH("Espeto",N173)),ISNUMBER(SEARCH("Chac",N173))),"SIM","")</f>
        <v/>
      </c>
      <c r="T173" s="99">
        <f>IF(AND(ISNUMBER(SEARCH("Espeto",N173)),ISNUMBER(SEARCH("Madalena",N173))),"SIM","")</f>
        <v/>
      </c>
      <c r="U173" s="99">
        <f>IF(AND(ISNUMBER(SEARCH("Espeto",N173)),ISNUMBER(SEARCH("Mariana",N173))),"SIM","")</f>
        <v/>
      </c>
      <c r="V173" s="99">
        <f>IF(AND(ISNUMBER(SEARCH("Espeto",N173)),ISNUMBER(SEARCH("Perdizes",N173))),"SIM","")</f>
        <v/>
      </c>
      <c r="W173" s="99">
        <f>IF(AND(ISNUMBER(SEARCH("Espeto",N173)),ISNUMBER(SEARCH("Santana",N173))),"SIM","")</f>
        <v/>
      </c>
      <c r="X173" s="99">
        <f>IF(AND(ISNUMBER(SEARCH("Espeto",N173)),ISNUMBER(SEARCH("André",N173))),"SIM","")</f>
        <v/>
      </c>
      <c r="Y173" s="99">
        <f>IF(AND(ISNUMBER(SEARCH("Delivery",N173)),ISNUMBER(SEARCH("Carin",N173))),"SIM","")</f>
        <v/>
      </c>
      <c r="Z173" s="99">
        <f>IF(AND(ISNUMBER(SEARCH("Delivery",N173)),ISNUMBER(SEARCH("Lapa",N173))),"SIM","")</f>
        <v/>
      </c>
      <c r="AA173" s="99">
        <f>IF(AND(ISNUMBER(SEARCH("Delivery",N173)),ISNUMBER(SEARCH("Tatuapé",N173))),"SIM","")</f>
        <v/>
      </c>
      <c r="AB173" s="99">
        <f>IF(AND(ISNUMBER(SEARCH("Delivery",N173)),ISNUMBER(SEARCH("Pavão",N173))),"SIM","")</f>
        <v/>
      </c>
      <c r="AC173" s="99">
        <f>IF(AND(ISNUMBER(SEARCH("Delivery",N173)),ISNUMBER(SEARCH("Chac",N173))),"SIM","")</f>
        <v/>
      </c>
      <c r="AD173" s="99">
        <f>IF(AND(ISNUMBER(SEARCH("Delivery",N173)),ISNUMBER(SEARCH("Madalena",N173))),"SIM","")</f>
        <v/>
      </c>
      <c r="AE173" s="99">
        <f>IF(AND(ISNUMBER(SEARCH("Delivery",N173)),ISNUMBER(SEARCH("Mariana",N173))),"SIM","")</f>
        <v/>
      </c>
      <c r="AF173" s="99">
        <f>IF(AND(ISNUMBER(SEARCH("Delivery",N173)),ISNUMBER(SEARCH("Perdizes",N173))),"SIM","")</f>
        <v/>
      </c>
      <c r="AG173" s="99">
        <f>IF(AND(ISNUMBER(SEARCH("Delivery",N173)),ISNUMBER(SEARCH("Santana",N173))),"SIM","")</f>
        <v/>
      </c>
      <c r="AH173" s="99">
        <f>IF(AND(ISNUMBER(SEARCH("Delivery",N173)),ISNUMBER(SEARCH("André",N173))),"SIM","")</f>
        <v/>
      </c>
      <c r="AI173" s="99">
        <f>IF(ISNUMBER(SEARCH("Interlagos",N173)),"SIM","")</f>
        <v/>
      </c>
      <c r="AJ173" s="99">
        <f>IF(ISNUMBER(SEARCH("Quiosque",N173)),"SIM","")</f>
        <v/>
      </c>
      <c r="AK173" s="101" t="n"/>
    </row>
    <row r="174">
      <c r="A174" s="88" t="inlineStr">
        <is>
          <t>Protheus</t>
        </is>
      </c>
      <c r="B174" s="89" t="inlineStr">
        <is>
          <t>000913</t>
        </is>
      </c>
      <c r="C174" s="90">
        <f>IF(B174="—","—",IFERROR(VLOOKUP(B174,_Protheus_Cadastro!$A:$B,2,FALSE),"—"))</f>
        <v/>
      </c>
      <c r="D174" s="91">
        <f>IF(B174="—",IFERROR(INDEX(_ZIG_Cadastro!$D:$D,MATCH(H174,_ZIG_Cadastro!$A:$A,0)),"Produto"),IFERROR(VLOOKUP(B174,_Protheus_Cadastro!$A:$C,3,FALSE),"—"))</f>
        <v/>
      </c>
      <c r="E174" s="91">
        <f>IF(B174="—","—",IFERROR(VLOOKUP(B174,_Protheus_Cadastro!$A:$D,4,FALSE),"—"))</f>
        <v/>
      </c>
      <c r="F174" s="91">
        <f>IF(ISERROR(VLOOKUP(B174,'Estrutura Protheus'!A:A,1,FALSE)),"Não","Sim")</f>
        <v/>
      </c>
      <c r="G174" s="92">
        <f>IFERROR(INDEX(_Protheus_Cadastro!$H:$H,MATCH(B174,_Protheus_Cadastro!$A:$A,0)),"—")</f>
        <v/>
      </c>
      <c r="H174" s="210">
        <f>IFERROR(INDEX(_ZIG_Precos!$D:$D,MATCH(I174,_ZIG_Precos!$F:$F,0)),"—")</f>
        <v/>
      </c>
      <c r="I174" s="95">
        <f>IFERROR(VLOOKUP(B174,_Protheus_Cadastro!$A:$I,9,FALSE),"—")</f>
        <v/>
      </c>
      <c r="J174" s="93">
        <f>IFERROR(INDEX(_ZIG_Cadastro!$B:$B,MATCH(I174,_ZIG_Cadastro!$A:$A,0)),IFERROR(INDEX(_Entradas_ZIG!$B:$B,MATCH(I174,_Entradas_ZIG!$C:$C,0)),"—"))</f>
        <v/>
      </c>
      <c r="K174" s="93">
        <f>IFERROR(INDEX(_ZIG_Cadastro!$C:$C,MATCH(I174,_ZIG_Cadastro!$A:$A,0)),IFERROR(INDEX(_Entradas_ZIG!$D:$D,MATCH(I174,_Entradas_ZIG!$C:$C,0)),"—"))</f>
        <v/>
      </c>
      <c r="L174" s="92">
        <f>IF(I174="","Sem SKU ZIG",IF(I174="—","Sem SKU ZIG",IF(NOT(ISERROR(MATCH(I174,_ZIG_Cadastro!$A:$A,0))),IF(EXACT(UPPER(TRIM(C174)),UPPER(TRIM(INDEX(_ZIG_Cadastro!$B:$B,MATCH(I174,_ZIG_Cadastro!$A:$A,0))))),"OK","Atencao - Nome diverge"),IF(NOT(ISERROR(MATCH(I174,_Entradas_ZIG!$C:$C,0))),"OK","Erro - SKU nao encontrado"))))</f>
        <v/>
      </c>
      <c r="M174" s="92">
        <f>IFERROR(INDEX(_ZIG_Cadastro!$G:$G,MATCH(I174,_ZIG_Cadastro!$A:$A,0)),IF(NOT(ISERROR(MATCH(I174,_Entradas_ZIG!$C:$C,0))),"Ativo","—"))</f>
        <v/>
      </c>
      <c r="N174" s="94">
        <f>IFERROR(INDEX(_ZIG_Cadastro!$E:$E,MATCH(I174,_ZIG_Cadastro!$A:$A,0)),IFERROR(INDEX(_Entradas_ZIG!$F:$F,MATCH(I174,_Entradas_ZIG!$C:$C,0)),"—"))</f>
        <v/>
      </c>
      <c r="O174" s="92">
        <f>IF(AND(ISNUMBER(SEARCH("Espeto",N174)),ISNUMBER(SEARCH("Carin",N174))),"SIM","")</f>
        <v/>
      </c>
      <c r="P174" s="92">
        <f>IF(AND(ISNUMBER(SEARCH("Espeto",N174)),ISNUMBER(SEARCH("Lapa",N174))),"SIM","")</f>
        <v/>
      </c>
      <c r="Q174" s="92">
        <f>IF(AND(ISNUMBER(SEARCH("Espeto",N174)),ISNUMBER(SEARCH("Tatuapé",N174))),"SIM","")</f>
        <v/>
      </c>
      <c r="R174" s="92">
        <f>IF(AND(ISNUMBER(SEARCH("Espeto",N174)),ISNUMBER(SEARCH("Pavão",N174))),"SIM","")</f>
        <v/>
      </c>
      <c r="S174" s="92">
        <f>IF(AND(ISNUMBER(SEARCH("Espeto",N174)),ISNUMBER(SEARCH("Chac",N174))),"SIM","")</f>
        <v/>
      </c>
      <c r="T174" s="92">
        <f>IF(AND(ISNUMBER(SEARCH("Espeto",N174)),ISNUMBER(SEARCH("Madalena",N174))),"SIM","")</f>
        <v/>
      </c>
      <c r="U174" s="92">
        <f>IF(AND(ISNUMBER(SEARCH("Espeto",N174)),ISNUMBER(SEARCH("Mariana",N174))),"SIM","")</f>
        <v/>
      </c>
      <c r="V174" s="92">
        <f>IF(AND(ISNUMBER(SEARCH("Espeto",N174)),ISNUMBER(SEARCH("Perdizes",N174))),"SIM","")</f>
        <v/>
      </c>
      <c r="W174" s="92">
        <f>IF(AND(ISNUMBER(SEARCH("Espeto",N174)),ISNUMBER(SEARCH("Santana",N174))),"SIM","")</f>
        <v/>
      </c>
      <c r="X174" s="92">
        <f>IF(AND(ISNUMBER(SEARCH("Espeto",N174)),ISNUMBER(SEARCH("André",N174))),"SIM","")</f>
        <v/>
      </c>
      <c r="Y174" s="92">
        <f>IF(AND(ISNUMBER(SEARCH("Delivery",N174)),ISNUMBER(SEARCH("Carin",N174))),"SIM","")</f>
        <v/>
      </c>
      <c r="Z174" s="92">
        <f>IF(AND(ISNUMBER(SEARCH("Delivery",N174)),ISNUMBER(SEARCH("Lapa",N174))),"SIM","")</f>
        <v/>
      </c>
      <c r="AA174" s="92">
        <f>IF(AND(ISNUMBER(SEARCH("Delivery",N174)),ISNUMBER(SEARCH("Tatuapé",N174))),"SIM","")</f>
        <v/>
      </c>
      <c r="AB174" s="92">
        <f>IF(AND(ISNUMBER(SEARCH("Delivery",N174)),ISNUMBER(SEARCH("Pavão",N174))),"SIM","")</f>
        <v/>
      </c>
      <c r="AC174" s="92">
        <f>IF(AND(ISNUMBER(SEARCH("Delivery",N174)),ISNUMBER(SEARCH("Chac",N174))),"SIM","")</f>
        <v/>
      </c>
      <c r="AD174" s="92">
        <f>IF(AND(ISNUMBER(SEARCH("Delivery",N174)),ISNUMBER(SEARCH("Madalena",N174))),"SIM","")</f>
        <v/>
      </c>
      <c r="AE174" s="92">
        <f>IF(AND(ISNUMBER(SEARCH("Delivery",N174)),ISNUMBER(SEARCH("Mariana",N174))),"SIM","")</f>
        <v/>
      </c>
      <c r="AF174" s="92">
        <f>IF(AND(ISNUMBER(SEARCH("Delivery",N174)),ISNUMBER(SEARCH("Perdizes",N174))),"SIM","")</f>
        <v/>
      </c>
      <c r="AG174" s="92">
        <f>IF(AND(ISNUMBER(SEARCH("Delivery",N174)),ISNUMBER(SEARCH("Santana",N174))),"SIM","")</f>
        <v/>
      </c>
      <c r="AH174" s="92">
        <f>IF(AND(ISNUMBER(SEARCH("Delivery",N174)),ISNUMBER(SEARCH("André",N174))),"SIM","")</f>
        <v/>
      </c>
      <c r="AI174" s="92">
        <f>IF(ISNUMBER(SEARCH("Interlagos",N174)),"SIM","")</f>
        <v/>
      </c>
      <c r="AJ174" s="92">
        <f>IF(ISNUMBER(SEARCH("Quiosque",N174)),"SIM","")</f>
        <v/>
      </c>
      <c r="AK174" s="93" t="n"/>
    </row>
    <row r="175">
      <c r="A175" s="88" t="inlineStr">
        <is>
          <t>Protheus</t>
        </is>
      </c>
      <c r="B175" s="96" t="inlineStr">
        <is>
          <t>000921</t>
        </is>
      </c>
      <c r="C175" s="97">
        <f>IF(B175="—","—",IFERROR(VLOOKUP(B175,_Protheus_Cadastro!$A:$B,2,FALSE),"—"))</f>
        <v/>
      </c>
      <c r="D175" s="98">
        <f>IF(B175="—",IFERROR(INDEX(_ZIG_Cadastro!$D:$D,MATCH(H175,_ZIG_Cadastro!$A:$A,0)),"Produto"),IFERROR(VLOOKUP(B175,_Protheus_Cadastro!$A:$C,3,FALSE),"—"))</f>
        <v/>
      </c>
      <c r="E175" s="98">
        <f>IF(B175="—","—",IFERROR(VLOOKUP(B175,_Protheus_Cadastro!$A:$D,4,FALSE),"—"))</f>
        <v/>
      </c>
      <c r="F175" s="98">
        <f>IF(ISERROR(VLOOKUP(B175,'Estrutura Protheus'!A:A,1,FALSE)),"Não","Sim")</f>
        <v/>
      </c>
      <c r="G175" s="99">
        <f>IFERROR(INDEX(_Protheus_Cadastro!$H:$H,MATCH(B175,_Protheus_Cadastro!$A:$A,0)),"—")</f>
        <v/>
      </c>
      <c r="H175" s="211">
        <f>IFERROR(INDEX(_ZIG_Precos!$D:$D,MATCH(I175,_ZIG_Precos!$F:$F,0)),"—")</f>
        <v/>
      </c>
      <c r="I175" s="103">
        <f>IFERROR(VLOOKUP(B175,_Protheus_Cadastro!$A:$I,9,FALSE),"—")</f>
        <v/>
      </c>
      <c r="J175" s="101">
        <f>IFERROR(INDEX(_ZIG_Cadastro!$B:$B,MATCH(I175,_ZIG_Cadastro!$A:$A,0)),IFERROR(INDEX(_Entradas_ZIG!$B:$B,MATCH(I175,_Entradas_ZIG!$C:$C,0)),"—"))</f>
        <v/>
      </c>
      <c r="K175" s="101">
        <f>IFERROR(INDEX(_ZIG_Cadastro!$C:$C,MATCH(I175,_ZIG_Cadastro!$A:$A,0)),IFERROR(INDEX(_Entradas_ZIG!$D:$D,MATCH(I175,_Entradas_ZIG!$C:$C,0)),"—"))</f>
        <v/>
      </c>
      <c r="L175" s="99">
        <f>IF(I175="","Sem SKU ZIG",IF(I175="—","Sem SKU ZIG",IF(NOT(ISERROR(MATCH(I175,_ZIG_Cadastro!$A:$A,0))),IF(EXACT(UPPER(TRIM(C175)),UPPER(TRIM(INDEX(_ZIG_Cadastro!$B:$B,MATCH(I175,_ZIG_Cadastro!$A:$A,0))))),"OK","Atencao - Nome diverge"),IF(NOT(ISERROR(MATCH(I175,_Entradas_ZIG!$C:$C,0))),"OK","Erro - SKU nao encontrado"))))</f>
        <v/>
      </c>
      <c r="M175" s="99">
        <f>IFERROR(INDEX(_ZIG_Cadastro!$G:$G,MATCH(I175,_ZIG_Cadastro!$A:$A,0)),IF(NOT(ISERROR(MATCH(I175,_Entradas_ZIG!$C:$C,0))),"Ativo","—"))</f>
        <v/>
      </c>
      <c r="N175" s="102">
        <f>IFERROR(INDEX(_ZIG_Cadastro!$E:$E,MATCH(I175,_ZIG_Cadastro!$A:$A,0)),IFERROR(INDEX(_Entradas_ZIG!$F:$F,MATCH(I175,_Entradas_ZIG!$C:$C,0)),"—"))</f>
        <v/>
      </c>
      <c r="O175" s="99">
        <f>IF(AND(ISNUMBER(SEARCH("Espeto",N175)),ISNUMBER(SEARCH("Carin",N175))),"SIM","")</f>
        <v/>
      </c>
      <c r="P175" s="99">
        <f>IF(AND(ISNUMBER(SEARCH("Espeto",N175)),ISNUMBER(SEARCH("Lapa",N175))),"SIM","")</f>
        <v/>
      </c>
      <c r="Q175" s="99">
        <f>IF(AND(ISNUMBER(SEARCH("Espeto",N175)),ISNUMBER(SEARCH("Tatuapé",N175))),"SIM","")</f>
        <v/>
      </c>
      <c r="R175" s="99">
        <f>IF(AND(ISNUMBER(SEARCH("Espeto",N175)),ISNUMBER(SEARCH("Pavão",N175))),"SIM","")</f>
        <v/>
      </c>
      <c r="S175" s="99">
        <f>IF(AND(ISNUMBER(SEARCH("Espeto",N175)),ISNUMBER(SEARCH("Chac",N175))),"SIM","")</f>
        <v/>
      </c>
      <c r="T175" s="99">
        <f>IF(AND(ISNUMBER(SEARCH("Espeto",N175)),ISNUMBER(SEARCH("Madalena",N175))),"SIM","")</f>
        <v/>
      </c>
      <c r="U175" s="99">
        <f>IF(AND(ISNUMBER(SEARCH("Espeto",N175)),ISNUMBER(SEARCH("Mariana",N175))),"SIM","")</f>
        <v/>
      </c>
      <c r="V175" s="99">
        <f>IF(AND(ISNUMBER(SEARCH("Espeto",N175)),ISNUMBER(SEARCH("Perdizes",N175))),"SIM","")</f>
        <v/>
      </c>
      <c r="W175" s="99">
        <f>IF(AND(ISNUMBER(SEARCH("Espeto",N175)),ISNUMBER(SEARCH("Santana",N175))),"SIM","")</f>
        <v/>
      </c>
      <c r="X175" s="99">
        <f>IF(AND(ISNUMBER(SEARCH("Espeto",N175)),ISNUMBER(SEARCH("André",N175))),"SIM","")</f>
        <v/>
      </c>
      <c r="Y175" s="99">
        <f>IF(AND(ISNUMBER(SEARCH("Delivery",N175)),ISNUMBER(SEARCH("Carin",N175))),"SIM","")</f>
        <v/>
      </c>
      <c r="Z175" s="99">
        <f>IF(AND(ISNUMBER(SEARCH("Delivery",N175)),ISNUMBER(SEARCH("Lapa",N175))),"SIM","")</f>
        <v/>
      </c>
      <c r="AA175" s="99">
        <f>IF(AND(ISNUMBER(SEARCH("Delivery",N175)),ISNUMBER(SEARCH("Tatuapé",N175))),"SIM","")</f>
        <v/>
      </c>
      <c r="AB175" s="99">
        <f>IF(AND(ISNUMBER(SEARCH("Delivery",N175)),ISNUMBER(SEARCH("Pavão",N175))),"SIM","")</f>
        <v/>
      </c>
      <c r="AC175" s="99">
        <f>IF(AND(ISNUMBER(SEARCH("Delivery",N175)),ISNUMBER(SEARCH("Chac",N175))),"SIM","")</f>
        <v/>
      </c>
      <c r="AD175" s="99">
        <f>IF(AND(ISNUMBER(SEARCH("Delivery",N175)),ISNUMBER(SEARCH("Madalena",N175))),"SIM","")</f>
        <v/>
      </c>
      <c r="AE175" s="99">
        <f>IF(AND(ISNUMBER(SEARCH("Delivery",N175)),ISNUMBER(SEARCH("Mariana",N175))),"SIM","")</f>
        <v/>
      </c>
      <c r="AF175" s="99">
        <f>IF(AND(ISNUMBER(SEARCH("Delivery",N175)),ISNUMBER(SEARCH("Perdizes",N175))),"SIM","")</f>
        <v/>
      </c>
      <c r="AG175" s="99">
        <f>IF(AND(ISNUMBER(SEARCH("Delivery",N175)),ISNUMBER(SEARCH("Santana",N175))),"SIM","")</f>
        <v/>
      </c>
      <c r="AH175" s="99">
        <f>IF(AND(ISNUMBER(SEARCH("Delivery",N175)),ISNUMBER(SEARCH("André",N175))),"SIM","")</f>
        <v/>
      </c>
      <c r="AI175" s="99">
        <f>IF(ISNUMBER(SEARCH("Interlagos",N175)),"SIM","")</f>
        <v/>
      </c>
      <c r="AJ175" s="99">
        <f>IF(ISNUMBER(SEARCH("Quiosque",N175)),"SIM","")</f>
        <v/>
      </c>
      <c r="AK175" s="101" t="n"/>
    </row>
    <row r="176">
      <c r="A176" s="88" t="inlineStr">
        <is>
          <t>Protheus</t>
        </is>
      </c>
      <c r="B176" s="89" t="inlineStr">
        <is>
          <t>001150</t>
        </is>
      </c>
      <c r="C176" s="90">
        <f>IF(B176="—","—",IFERROR(VLOOKUP(B176,_Protheus_Cadastro!$A:$B,2,FALSE),"—"))</f>
        <v/>
      </c>
      <c r="D176" s="91">
        <f>IF(B176="—",IFERROR(INDEX(_ZIG_Cadastro!$D:$D,MATCH(H176,_ZIG_Cadastro!$A:$A,0)),"Produto"),IFERROR(VLOOKUP(B176,_Protheus_Cadastro!$A:$C,3,FALSE),"—"))</f>
        <v/>
      </c>
      <c r="E176" s="91">
        <f>IF(B176="—","—",IFERROR(VLOOKUP(B176,_Protheus_Cadastro!$A:$D,4,FALSE),"—"))</f>
        <v/>
      </c>
      <c r="F176" s="91">
        <f>IF(ISERROR(VLOOKUP(B176,'Estrutura Protheus'!A:A,1,FALSE)),"Não","Sim")</f>
        <v/>
      </c>
      <c r="G176" s="92">
        <f>IFERROR(INDEX(_Protheus_Cadastro!$H:$H,MATCH(B176,_Protheus_Cadastro!$A:$A,0)),"—")</f>
        <v/>
      </c>
      <c r="H176" s="210">
        <f>IFERROR(INDEX(_ZIG_Precos!$D:$D,MATCH(I176,_ZIG_Precos!$F:$F,0)),"—")</f>
        <v/>
      </c>
      <c r="I176" s="95">
        <f>IFERROR(VLOOKUP(B176,_Protheus_Cadastro!$A:$I,9,FALSE),"—")</f>
        <v/>
      </c>
      <c r="J176" s="93">
        <f>IFERROR(INDEX(_ZIG_Cadastro!$B:$B,MATCH(I176,_ZIG_Cadastro!$A:$A,0)),IFERROR(INDEX(_Entradas_ZIG!$B:$B,MATCH(I176,_Entradas_ZIG!$C:$C,0)),"—"))</f>
        <v/>
      </c>
      <c r="K176" s="93">
        <f>IFERROR(INDEX(_ZIG_Cadastro!$C:$C,MATCH(I176,_ZIG_Cadastro!$A:$A,0)),IFERROR(INDEX(_Entradas_ZIG!$D:$D,MATCH(I176,_Entradas_ZIG!$C:$C,0)),"—"))</f>
        <v/>
      </c>
      <c r="L176" s="92">
        <f>IF(I176="","Sem SKU ZIG",IF(I176="—","Sem SKU ZIG",IF(NOT(ISERROR(MATCH(I176,_ZIG_Cadastro!$A:$A,0))),IF(EXACT(UPPER(TRIM(C176)),UPPER(TRIM(INDEX(_ZIG_Cadastro!$B:$B,MATCH(I176,_ZIG_Cadastro!$A:$A,0))))),"OK","Atencao - Nome diverge"),IF(NOT(ISERROR(MATCH(I176,_Entradas_ZIG!$C:$C,0))),"OK","Erro - SKU nao encontrado"))))</f>
        <v/>
      </c>
      <c r="M176" s="92">
        <f>IFERROR(INDEX(_ZIG_Cadastro!$G:$G,MATCH(I176,_ZIG_Cadastro!$A:$A,0)),IF(NOT(ISERROR(MATCH(I176,_Entradas_ZIG!$C:$C,0))),"Ativo","—"))</f>
        <v/>
      </c>
      <c r="N176" s="94">
        <f>IFERROR(INDEX(_ZIG_Cadastro!$E:$E,MATCH(I176,_ZIG_Cadastro!$A:$A,0)),IFERROR(INDEX(_Entradas_ZIG!$F:$F,MATCH(I176,_Entradas_ZIG!$C:$C,0)),"—"))</f>
        <v/>
      </c>
      <c r="O176" s="92">
        <f>IF(AND(ISNUMBER(SEARCH("Espeto",N176)),ISNUMBER(SEARCH("Carin",N176))),"SIM","")</f>
        <v/>
      </c>
      <c r="P176" s="92">
        <f>IF(AND(ISNUMBER(SEARCH("Espeto",N176)),ISNUMBER(SEARCH("Lapa",N176))),"SIM","")</f>
        <v/>
      </c>
      <c r="Q176" s="92">
        <f>IF(AND(ISNUMBER(SEARCH("Espeto",N176)),ISNUMBER(SEARCH("Tatuapé",N176))),"SIM","")</f>
        <v/>
      </c>
      <c r="R176" s="92">
        <f>IF(AND(ISNUMBER(SEARCH("Espeto",N176)),ISNUMBER(SEARCH("Pavão",N176))),"SIM","")</f>
        <v/>
      </c>
      <c r="S176" s="92">
        <f>IF(AND(ISNUMBER(SEARCH("Espeto",N176)),ISNUMBER(SEARCH("Chac",N176))),"SIM","")</f>
        <v/>
      </c>
      <c r="T176" s="92">
        <f>IF(AND(ISNUMBER(SEARCH("Espeto",N176)),ISNUMBER(SEARCH("Madalena",N176))),"SIM","")</f>
        <v/>
      </c>
      <c r="U176" s="92">
        <f>IF(AND(ISNUMBER(SEARCH("Espeto",N176)),ISNUMBER(SEARCH("Mariana",N176))),"SIM","")</f>
        <v/>
      </c>
      <c r="V176" s="92">
        <f>IF(AND(ISNUMBER(SEARCH("Espeto",N176)),ISNUMBER(SEARCH("Perdizes",N176))),"SIM","")</f>
        <v/>
      </c>
      <c r="W176" s="92">
        <f>IF(AND(ISNUMBER(SEARCH("Espeto",N176)),ISNUMBER(SEARCH("Santana",N176))),"SIM","")</f>
        <v/>
      </c>
      <c r="X176" s="92">
        <f>IF(AND(ISNUMBER(SEARCH("Espeto",N176)),ISNUMBER(SEARCH("André",N176))),"SIM","")</f>
        <v/>
      </c>
      <c r="Y176" s="92">
        <f>IF(AND(ISNUMBER(SEARCH("Delivery",N176)),ISNUMBER(SEARCH("Carin",N176))),"SIM","")</f>
        <v/>
      </c>
      <c r="Z176" s="92">
        <f>IF(AND(ISNUMBER(SEARCH("Delivery",N176)),ISNUMBER(SEARCH("Lapa",N176))),"SIM","")</f>
        <v/>
      </c>
      <c r="AA176" s="92">
        <f>IF(AND(ISNUMBER(SEARCH("Delivery",N176)),ISNUMBER(SEARCH("Tatuapé",N176))),"SIM","")</f>
        <v/>
      </c>
      <c r="AB176" s="92">
        <f>IF(AND(ISNUMBER(SEARCH("Delivery",N176)),ISNUMBER(SEARCH("Pavão",N176))),"SIM","")</f>
        <v/>
      </c>
      <c r="AC176" s="92">
        <f>IF(AND(ISNUMBER(SEARCH("Delivery",N176)),ISNUMBER(SEARCH("Chac",N176))),"SIM","")</f>
        <v/>
      </c>
      <c r="AD176" s="92">
        <f>IF(AND(ISNUMBER(SEARCH("Delivery",N176)),ISNUMBER(SEARCH("Madalena",N176))),"SIM","")</f>
        <v/>
      </c>
      <c r="AE176" s="92">
        <f>IF(AND(ISNUMBER(SEARCH("Delivery",N176)),ISNUMBER(SEARCH("Mariana",N176))),"SIM","")</f>
        <v/>
      </c>
      <c r="AF176" s="92">
        <f>IF(AND(ISNUMBER(SEARCH("Delivery",N176)),ISNUMBER(SEARCH("Perdizes",N176))),"SIM","")</f>
        <v/>
      </c>
      <c r="AG176" s="92">
        <f>IF(AND(ISNUMBER(SEARCH("Delivery",N176)),ISNUMBER(SEARCH("Santana",N176))),"SIM","")</f>
        <v/>
      </c>
      <c r="AH176" s="92">
        <f>IF(AND(ISNUMBER(SEARCH("Delivery",N176)),ISNUMBER(SEARCH("André",N176))),"SIM","")</f>
        <v/>
      </c>
      <c r="AI176" s="92">
        <f>IF(ISNUMBER(SEARCH("Interlagos",N176)),"SIM","")</f>
        <v/>
      </c>
      <c r="AJ176" s="92">
        <f>IF(ISNUMBER(SEARCH("Quiosque",N176)),"SIM","")</f>
        <v/>
      </c>
      <c r="AK176" s="93" t="n"/>
    </row>
    <row r="177">
      <c r="A177" s="88" t="inlineStr">
        <is>
          <t>Protheus</t>
        </is>
      </c>
      <c r="B177" s="96" t="inlineStr">
        <is>
          <t>001205</t>
        </is>
      </c>
      <c r="C177" s="97">
        <f>IF(B177="—","—",IFERROR(VLOOKUP(B177,_Protheus_Cadastro!$A:$B,2,FALSE),"—"))</f>
        <v/>
      </c>
      <c r="D177" s="98">
        <f>IF(B177="—",IFERROR(INDEX(_ZIG_Cadastro!$D:$D,MATCH(H177,_ZIG_Cadastro!$A:$A,0)),"Produto"),IFERROR(VLOOKUP(B177,_Protheus_Cadastro!$A:$C,3,FALSE),"—"))</f>
        <v/>
      </c>
      <c r="E177" s="98">
        <f>IF(B177="—","—",IFERROR(VLOOKUP(B177,_Protheus_Cadastro!$A:$D,4,FALSE),"—"))</f>
        <v/>
      </c>
      <c r="F177" s="98">
        <f>IF(ISERROR(VLOOKUP(B177,'Estrutura Protheus'!A:A,1,FALSE)),"Não","Sim")</f>
        <v/>
      </c>
      <c r="G177" s="99">
        <f>IFERROR(INDEX(_Protheus_Cadastro!$H:$H,MATCH(B177,_Protheus_Cadastro!$A:$A,0)),"—")</f>
        <v/>
      </c>
      <c r="H177" s="211">
        <f>IFERROR(INDEX(_ZIG_Precos!$D:$D,MATCH(I177,_ZIG_Precos!$F:$F,0)),"—")</f>
        <v/>
      </c>
      <c r="I177" s="103">
        <f>IFERROR(VLOOKUP(B177,_Protheus_Cadastro!$A:$I,9,FALSE),"—")</f>
        <v/>
      </c>
      <c r="J177" s="101">
        <f>IFERROR(INDEX(_ZIG_Cadastro!$B:$B,MATCH(I177,_ZIG_Cadastro!$A:$A,0)),IFERROR(INDEX(_Entradas_ZIG!$B:$B,MATCH(I177,_Entradas_ZIG!$C:$C,0)),"—"))</f>
        <v/>
      </c>
      <c r="K177" s="101">
        <f>IFERROR(INDEX(_ZIG_Cadastro!$C:$C,MATCH(I177,_ZIG_Cadastro!$A:$A,0)),IFERROR(INDEX(_Entradas_ZIG!$D:$D,MATCH(I177,_Entradas_ZIG!$C:$C,0)),"—"))</f>
        <v/>
      </c>
      <c r="L177" s="99">
        <f>IF(I177="","Sem SKU ZIG",IF(I177="—","Sem SKU ZIG",IF(NOT(ISERROR(MATCH(I177,_ZIG_Cadastro!$A:$A,0))),IF(EXACT(UPPER(TRIM(C177)),UPPER(TRIM(INDEX(_ZIG_Cadastro!$B:$B,MATCH(I177,_ZIG_Cadastro!$A:$A,0))))),"OK","Atencao - Nome diverge"),IF(NOT(ISERROR(MATCH(I177,_Entradas_ZIG!$C:$C,0))),"OK","Erro - SKU nao encontrado"))))</f>
        <v/>
      </c>
      <c r="M177" s="99">
        <f>IFERROR(INDEX(_ZIG_Cadastro!$G:$G,MATCH(I177,_ZIG_Cadastro!$A:$A,0)),IF(NOT(ISERROR(MATCH(I177,_Entradas_ZIG!$C:$C,0))),"Ativo","—"))</f>
        <v/>
      </c>
      <c r="N177" s="102">
        <f>IFERROR(INDEX(_ZIG_Cadastro!$E:$E,MATCH(I177,_ZIG_Cadastro!$A:$A,0)),IFERROR(INDEX(_Entradas_ZIG!$F:$F,MATCH(I177,_Entradas_ZIG!$C:$C,0)),"—"))</f>
        <v/>
      </c>
      <c r="O177" s="99">
        <f>IF(AND(ISNUMBER(SEARCH("Espeto",N177)),ISNUMBER(SEARCH("Carin",N177))),"SIM","")</f>
        <v/>
      </c>
      <c r="P177" s="99">
        <f>IF(AND(ISNUMBER(SEARCH("Espeto",N177)),ISNUMBER(SEARCH("Lapa",N177))),"SIM","")</f>
        <v/>
      </c>
      <c r="Q177" s="99">
        <f>IF(AND(ISNUMBER(SEARCH("Espeto",N177)),ISNUMBER(SEARCH("Tatuapé",N177))),"SIM","")</f>
        <v/>
      </c>
      <c r="R177" s="99">
        <f>IF(AND(ISNUMBER(SEARCH("Espeto",N177)),ISNUMBER(SEARCH("Pavão",N177))),"SIM","")</f>
        <v/>
      </c>
      <c r="S177" s="99">
        <f>IF(AND(ISNUMBER(SEARCH("Espeto",N177)),ISNUMBER(SEARCH("Chac",N177))),"SIM","")</f>
        <v/>
      </c>
      <c r="T177" s="99">
        <f>IF(AND(ISNUMBER(SEARCH("Espeto",N177)),ISNUMBER(SEARCH("Madalena",N177))),"SIM","")</f>
        <v/>
      </c>
      <c r="U177" s="99">
        <f>IF(AND(ISNUMBER(SEARCH("Espeto",N177)),ISNUMBER(SEARCH("Mariana",N177))),"SIM","")</f>
        <v/>
      </c>
      <c r="V177" s="99">
        <f>IF(AND(ISNUMBER(SEARCH("Espeto",N177)),ISNUMBER(SEARCH("Perdizes",N177))),"SIM","")</f>
        <v/>
      </c>
      <c r="W177" s="99">
        <f>IF(AND(ISNUMBER(SEARCH("Espeto",N177)),ISNUMBER(SEARCH("Santana",N177))),"SIM","")</f>
        <v/>
      </c>
      <c r="X177" s="99">
        <f>IF(AND(ISNUMBER(SEARCH("Espeto",N177)),ISNUMBER(SEARCH("André",N177))),"SIM","")</f>
        <v/>
      </c>
      <c r="Y177" s="99">
        <f>IF(AND(ISNUMBER(SEARCH("Delivery",N177)),ISNUMBER(SEARCH("Carin",N177))),"SIM","")</f>
        <v/>
      </c>
      <c r="Z177" s="99">
        <f>IF(AND(ISNUMBER(SEARCH("Delivery",N177)),ISNUMBER(SEARCH("Lapa",N177))),"SIM","")</f>
        <v/>
      </c>
      <c r="AA177" s="99">
        <f>IF(AND(ISNUMBER(SEARCH("Delivery",N177)),ISNUMBER(SEARCH("Tatuapé",N177))),"SIM","")</f>
        <v/>
      </c>
      <c r="AB177" s="99">
        <f>IF(AND(ISNUMBER(SEARCH("Delivery",N177)),ISNUMBER(SEARCH("Pavão",N177))),"SIM","")</f>
        <v/>
      </c>
      <c r="AC177" s="99">
        <f>IF(AND(ISNUMBER(SEARCH("Delivery",N177)),ISNUMBER(SEARCH("Chac",N177))),"SIM","")</f>
        <v/>
      </c>
      <c r="AD177" s="99">
        <f>IF(AND(ISNUMBER(SEARCH("Delivery",N177)),ISNUMBER(SEARCH("Madalena",N177))),"SIM","")</f>
        <v/>
      </c>
      <c r="AE177" s="99">
        <f>IF(AND(ISNUMBER(SEARCH("Delivery",N177)),ISNUMBER(SEARCH("Mariana",N177))),"SIM","")</f>
        <v/>
      </c>
      <c r="AF177" s="99">
        <f>IF(AND(ISNUMBER(SEARCH("Delivery",N177)),ISNUMBER(SEARCH("Perdizes",N177))),"SIM","")</f>
        <v/>
      </c>
      <c r="AG177" s="99">
        <f>IF(AND(ISNUMBER(SEARCH("Delivery",N177)),ISNUMBER(SEARCH("Santana",N177))),"SIM","")</f>
        <v/>
      </c>
      <c r="AH177" s="99">
        <f>IF(AND(ISNUMBER(SEARCH("Delivery",N177)),ISNUMBER(SEARCH("André",N177))),"SIM","")</f>
        <v/>
      </c>
      <c r="AI177" s="99">
        <f>IF(ISNUMBER(SEARCH("Interlagos",N177)),"SIM","")</f>
        <v/>
      </c>
      <c r="AJ177" s="99">
        <f>IF(ISNUMBER(SEARCH("Quiosque",N177)),"SIM","")</f>
        <v/>
      </c>
      <c r="AK177" s="101" t="n"/>
    </row>
    <row r="178">
      <c r="A178" s="88" t="inlineStr">
        <is>
          <t>Protheus</t>
        </is>
      </c>
      <c r="B178" s="96" t="inlineStr">
        <is>
          <t>002024</t>
        </is>
      </c>
      <c r="C178" s="97">
        <f>IF(B178="—","—",IFERROR(VLOOKUP(B178,_Protheus_Cadastro!$A:$B,2,FALSE),"—"))</f>
        <v/>
      </c>
      <c r="D178" s="98">
        <f>IF(B178="—",IFERROR(INDEX(_ZIG_Cadastro!$D:$D,MATCH(H178,_ZIG_Cadastro!$A:$A,0)),"Produto"),IFERROR(VLOOKUP(B178,_Protheus_Cadastro!$A:$C,3,FALSE),"—"))</f>
        <v/>
      </c>
      <c r="E178" s="98">
        <f>IF(B178="—","—",IFERROR(VLOOKUP(B178,_Protheus_Cadastro!$A:$D,4,FALSE),"—"))</f>
        <v/>
      </c>
      <c r="F178" s="98">
        <f>IF(ISERROR(VLOOKUP(B178,'Estrutura Protheus'!A:A,1,FALSE)),"Não","Sim")</f>
        <v/>
      </c>
      <c r="G178" s="99">
        <f>IFERROR(INDEX(_Protheus_Cadastro!$H:$H,MATCH(B178,_Protheus_Cadastro!$A:$A,0)),"—")</f>
        <v/>
      </c>
      <c r="H178" s="211">
        <f>IFERROR(INDEX(_ZIG_Precos!$D:$D,MATCH(I178,_ZIG_Precos!$F:$F,0)),"—")</f>
        <v/>
      </c>
      <c r="I178" s="103">
        <f>IFERROR(VLOOKUP(B178,_Protheus_Cadastro!$A:$I,9,FALSE),"—")</f>
        <v/>
      </c>
      <c r="J178" s="101">
        <f>IFERROR(INDEX(_ZIG_Cadastro!$B:$B,MATCH(I178,_ZIG_Cadastro!$A:$A,0)),IFERROR(INDEX(_Entradas_ZIG!$B:$B,MATCH(I178,_Entradas_ZIG!$C:$C,0)),"—"))</f>
        <v/>
      </c>
      <c r="K178" s="101">
        <f>IFERROR(INDEX(_ZIG_Cadastro!$C:$C,MATCH(I178,_ZIG_Cadastro!$A:$A,0)),IFERROR(INDEX(_Entradas_ZIG!$D:$D,MATCH(I178,_Entradas_ZIG!$C:$C,0)),"—"))</f>
        <v/>
      </c>
      <c r="L178" s="99">
        <f>IF(I178="","Sem SKU ZIG",IF(I178="—","Sem SKU ZIG",IF(NOT(ISERROR(MATCH(I178,_ZIG_Cadastro!$A:$A,0))),IF(EXACT(UPPER(TRIM(C178)),UPPER(TRIM(INDEX(_ZIG_Cadastro!$B:$B,MATCH(I178,_ZIG_Cadastro!$A:$A,0))))),"OK","Atencao - Nome diverge"),IF(NOT(ISERROR(MATCH(I178,_Entradas_ZIG!$C:$C,0))),"OK","Erro - SKU nao encontrado"))))</f>
        <v/>
      </c>
      <c r="M178" s="99">
        <f>IFERROR(INDEX(_ZIG_Cadastro!$G:$G,MATCH(I178,_ZIG_Cadastro!$A:$A,0)),IF(NOT(ISERROR(MATCH(I178,_Entradas_ZIG!$C:$C,0))),"Ativo","—"))</f>
        <v/>
      </c>
      <c r="N178" s="102">
        <f>IFERROR(INDEX(_ZIG_Cadastro!$E:$E,MATCH(I178,_ZIG_Cadastro!$A:$A,0)),IFERROR(INDEX(_Entradas_ZIG!$F:$F,MATCH(I178,_Entradas_ZIG!$C:$C,0)),"—"))</f>
        <v/>
      </c>
      <c r="O178" s="99">
        <f>IF(AND(ISNUMBER(SEARCH("Espeto",N178)),ISNUMBER(SEARCH("Carin",N178))),"SIM","")</f>
        <v/>
      </c>
      <c r="P178" s="99">
        <f>IF(AND(ISNUMBER(SEARCH("Espeto",N178)),ISNUMBER(SEARCH("Lapa",N178))),"SIM","")</f>
        <v/>
      </c>
      <c r="Q178" s="99">
        <f>IF(AND(ISNUMBER(SEARCH("Espeto",N178)),ISNUMBER(SEARCH("Tatuapé",N178))),"SIM","")</f>
        <v/>
      </c>
      <c r="R178" s="99">
        <f>IF(AND(ISNUMBER(SEARCH("Espeto",N178)),ISNUMBER(SEARCH("Pavão",N178))),"SIM","")</f>
        <v/>
      </c>
      <c r="S178" s="99">
        <f>IF(AND(ISNUMBER(SEARCH("Espeto",N178)),ISNUMBER(SEARCH("Chac",N178))),"SIM","")</f>
        <v/>
      </c>
      <c r="T178" s="99">
        <f>IF(AND(ISNUMBER(SEARCH("Espeto",N178)),ISNUMBER(SEARCH("Madalena",N178))),"SIM","")</f>
        <v/>
      </c>
      <c r="U178" s="99">
        <f>IF(AND(ISNUMBER(SEARCH("Espeto",N178)),ISNUMBER(SEARCH("Mariana",N178))),"SIM","")</f>
        <v/>
      </c>
      <c r="V178" s="99">
        <f>IF(AND(ISNUMBER(SEARCH("Espeto",N178)),ISNUMBER(SEARCH("Perdizes",N178))),"SIM","")</f>
        <v/>
      </c>
      <c r="W178" s="99">
        <f>IF(AND(ISNUMBER(SEARCH("Espeto",N178)),ISNUMBER(SEARCH("Santana",N178))),"SIM","")</f>
        <v/>
      </c>
      <c r="X178" s="99">
        <f>IF(AND(ISNUMBER(SEARCH("Espeto",N178)),ISNUMBER(SEARCH("André",N178))),"SIM","")</f>
        <v/>
      </c>
      <c r="Y178" s="99">
        <f>IF(AND(ISNUMBER(SEARCH("Delivery",N178)),ISNUMBER(SEARCH("Carin",N178))),"SIM","")</f>
        <v/>
      </c>
      <c r="Z178" s="99">
        <f>IF(AND(ISNUMBER(SEARCH("Delivery",N178)),ISNUMBER(SEARCH("Lapa",N178))),"SIM","")</f>
        <v/>
      </c>
      <c r="AA178" s="99">
        <f>IF(AND(ISNUMBER(SEARCH("Delivery",N178)),ISNUMBER(SEARCH("Tatuapé",N178))),"SIM","")</f>
        <v/>
      </c>
      <c r="AB178" s="99">
        <f>IF(AND(ISNUMBER(SEARCH("Delivery",N178)),ISNUMBER(SEARCH("Pavão",N178))),"SIM","")</f>
        <v/>
      </c>
      <c r="AC178" s="99">
        <f>IF(AND(ISNUMBER(SEARCH("Delivery",N178)),ISNUMBER(SEARCH("Chac",N178))),"SIM","")</f>
        <v/>
      </c>
      <c r="AD178" s="99">
        <f>IF(AND(ISNUMBER(SEARCH("Delivery",N178)),ISNUMBER(SEARCH("Madalena",N178))),"SIM","")</f>
        <v/>
      </c>
      <c r="AE178" s="99">
        <f>IF(AND(ISNUMBER(SEARCH("Delivery",N178)),ISNUMBER(SEARCH("Mariana",N178))),"SIM","")</f>
        <v/>
      </c>
      <c r="AF178" s="99">
        <f>IF(AND(ISNUMBER(SEARCH("Delivery",N178)),ISNUMBER(SEARCH("Perdizes",N178))),"SIM","")</f>
        <v/>
      </c>
      <c r="AG178" s="99">
        <f>IF(AND(ISNUMBER(SEARCH("Delivery",N178)),ISNUMBER(SEARCH("Santana",N178))),"SIM","")</f>
        <v/>
      </c>
      <c r="AH178" s="99">
        <f>IF(AND(ISNUMBER(SEARCH("Delivery",N178)),ISNUMBER(SEARCH("André",N178))),"SIM","")</f>
        <v/>
      </c>
      <c r="AI178" s="99">
        <f>IF(ISNUMBER(SEARCH("Interlagos",N178)),"SIM","")</f>
        <v/>
      </c>
      <c r="AJ178" s="99">
        <f>IF(ISNUMBER(SEARCH("Quiosque",N178)),"SIM","")</f>
        <v/>
      </c>
      <c r="AK178" s="101" t="n"/>
    </row>
    <row r="179">
      <c r="A179" s="88" t="inlineStr">
        <is>
          <t>Protheus</t>
        </is>
      </c>
      <c r="B179" s="89" t="inlineStr">
        <is>
          <t>002022</t>
        </is>
      </c>
      <c r="C179" s="90">
        <f>IF(B179="—","—",IFERROR(VLOOKUP(B179,_Protheus_Cadastro!$A:$B,2,FALSE),"—"))</f>
        <v/>
      </c>
      <c r="D179" s="91">
        <f>IF(B179="—",IFERROR(INDEX(_ZIG_Cadastro!$D:$D,MATCH(H179,_ZIG_Cadastro!$A:$A,0)),"Produto"),IFERROR(VLOOKUP(B179,_Protheus_Cadastro!$A:$C,3,FALSE),"—"))</f>
        <v/>
      </c>
      <c r="E179" s="91">
        <f>IF(B179="—","—",IFERROR(VLOOKUP(B179,_Protheus_Cadastro!$A:$D,4,FALSE),"—"))</f>
        <v/>
      </c>
      <c r="F179" s="91">
        <f>IF(ISERROR(VLOOKUP(B179,'Estrutura Protheus'!A:A,1,FALSE)),"Não","Sim")</f>
        <v/>
      </c>
      <c r="G179" s="92">
        <f>IFERROR(INDEX(_Protheus_Cadastro!$H:$H,MATCH(B179,_Protheus_Cadastro!$A:$A,0)),"—")</f>
        <v/>
      </c>
      <c r="H179" s="210">
        <f>IFERROR(INDEX(_ZIG_Precos!$D:$D,MATCH(I179,_ZIG_Precos!$F:$F,0)),"—")</f>
        <v/>
      </c>
      <c r="I179" s="95">
        <f>IFERROR(VLOOKUP(B179,_Protheus_Cadastro!$A:$I,9,FALSE),"—")</f>
        <v/>
      </c>
      <c r="J179" s="93">
        <f>IFERROR(INDEX(_ZIG_Cadastro!$B:$B,MATCH(I179,_ZIG_Cadastro!$A:$A,0)),IFERROR(INDEX(_Entradas_ZIG!$B:$B,MATCH(I179,_Entradas_ZIG!$C:$C,0)),"—"))</f>
        <v/>
      </c>
      <c r="K179" s="93">
        <f>IFERROR(INDEX(_ZIG_Cadastro!$C:$C,MATCH(I179,_ZIG_Cadastro!$A:$A,0)),IFERROR(INDEX(_Entradas_ZIG!$D:$D,MATCH(I179,_Entradas_ZIG!$C:$C,0)),"—"))</f>
        <v/>
      </c>
      <c r="L179" s="92">
        <f>IF(I179="","Sem SKU ZIG",IF(I179="—","Sem SKU ZIG",IF(NOT(ISERROR(MATCH(I179,_ZIG_Cadastro!$A:$A,0))),IF(EXACT(UPPER(TRIM(C179)),UPPER(TRIM(INDEX(_ZIG_Cadastro!$B:$B,MATCH(I179,_ZIG_Cadastro!$A:$A,0))))),"OK","Atencao - Nome diverge"),IF(NOT(ISERROR(MATCH(I179,_Entradas_ZIG!$C:$C,0))),"OK","Erro - SKU nao encontrado"))))</f>
        <v/>
      </c>
      <c r="M179" s="92">
        <f>IFERROR(INDEX(_ZIG_Cadastro!$G:$G,MATCH(I179,_ZIG_Cadastro!$A:$A,0)),IF(NOT(ISERROR(MATCH(I179,_Entradas_ZIG!$C:$C,0))),"Ativo","—"))</f>
        <v/>
      </c>
      <c r="N179" s="94">
        <f>IFERROR(INDEX(_ZIG_Cadastro!$E:$E,MATCH(I179,_ZIG_Cadastro!$A:$A,0)),IFERROR(INDEX(_Entradas_ZIG!$F:$F,MATCH(I179,_Entradas_ZIG!$C:$C,0)),"—"))</f>
        <v/>
      </c>
      <c r="O179" s="92">
        <f>IF(AND(ISNUMBER(SEARCH("Espeto",N179)),ISNUMBER(SEARCH("Carin",N179))),"SIM","")</f>
        <v/>
      </c>
      <c r="P179" s="92">
        <f>IF(AND(ISNUMBER(SEARCH("Espeto",N179)),ISNUMBER(SEARCH("Lapa",N179))),"SIM","")</f>
        <v/>
      </c>
      <c r="Q179" s="92">
        <f>IF(AND(ISNUMBER(SEARCH("Espeto",N179)),ISNUMBER(SEARCH("Tatuapé",N179))),"SIM","")</f>
        <v/>
      </c>
      <c r="R179" s="92">
        <f>IF(AND(ISNUMBER(SEARCH("Espeto",N179)),ISNUMBER(SEARCH("Pavão",N179))),"SIM","")</f>
        <v/>
      </c>
      <c r="S179" s="92">
        <f>IF(AND(ISNUMBER(SEARCH("Espeto",N179)),ISNUMBER(SEARCH("Chac",N179))),"SIM","")</f>
        <v/>
      </c>
      <c r="T179" s="92">
        <f>IF(AND(ISNUMBER(SEARCH("Espeto",N179)),ISNUMBER(SEARCH("Madalena",N179))),"SIM","")</f>
        <v/>
      </c>
      <c r="U179" s="92">
        <f>IF(AND(ISNUMBER(SEARCH("Espeto",N179)),ISNUMBER(SEARCH("Mariana",N179))),"SIM","")</f>
        <v/>
      </c>
      <c r="V179" s="92">
        <f>IF(AND(ISNUMBER(SEARCH("Espeto",N179)),ISNUMBER(SEARCH("Perdizes",N179))),"SIM","")</f>
        <v/>
      </c>
      <c r="W179" s="92">
        <f>IF(AND(ISNUMBER(SEARCH("Espeto",N179)),ISNUMBER(SEARCH("Santana",N179))),"SIM","")</f>
        <v/>
      </c>
      <c r="X179" s="92">
        <f>IF(AND(ISNUMBER(SEARCH("Espeto",N179)),ISNUMBER(SEARCH("André",N179))),"SIM","")</f>
        <v/>
      </c>
      <c r="Y179" s="92">
        <f>IF(AND(ISNUMBER(SEARCH("Delivery",N179)),ISNUMBER(SEARCH("Carin",N179))),"SIM","")</f>
        <v/>
      </c>
      <c r="Z179" s="92">
        <f>IF(AND(ISNUMBER(SEARCH("Delivery",N179)),ISNUMBER(SEARCH("Lapa",N179))),"SIM","")</f>
        <v/>
      </c>
      <c r="AA179" s="92">
        <f>IF(AND(ISNUMBER(SEARCH("Delivery",N179)),ISNUMBER(SEARCH("Tatuapé",N179))),"SIM","")</f>
        <v/>
      </c>
      <c r="AB179" s="92">
        <f>IF(AND(ISNUMBER(SEARCH("Delivery",N179)),ISNUMBER(SEARCH("Pavão",N179))),"SIM","")</f>
        <v/>
      </c>
      <c r="AC179" s="92">
        <f>IF(AND(ISNUMBER(SEARCH("Delivery",N179)),ISNUMBER(SEARCH("Chac",N179))),"SIM","")</f>
        <v/>
      </c>
      <c r="AD179" s="92">
        <f>IF(AND(ISNUMBER(SEARCH("Delivery",N179)),ISNUMBER(SEARCH("Madalena",N179))),"SIM","")</f>
        <v/>
      </c>
      <c r="AE179" s="92">
        <f>IF(AND(ISNUMBER(SEARCH("Delivery",N179)),ISNUMBER(SEARCH("Mariana",N179))),"SIM","")</f>
        <v/>
      </c>
      <c r="AF179" s="92">
        <f>IF(AND(ISNUMBER(SEARCH("Delivery",N179)),ISNUMBER(SEARCH("Perdizes",N179))),"SIM","")</f>
        <v/>
      </c>
      <c r="AG179" s="92">
        <f>IF(AND(ISNUMBER(SEARCH("Delivery",N179)),ISNUMBER(SEARCH("Santana",N179))),"SIM","")</f>
        <v/>
      </c>
      <c r="AH179" s="92">
        <f>IF(AND(ISNUMBER(SEARCH("Delivery",N179)),ISNUMBER(SEARCH("André",N179))),"SIM","")</f>
        <v/>
      </c>
      <c r="AI179" s="92">
        <f>IF(ISNUMBER(SEARCH("Interlagos",N179)),"SIM","")</f>
        <v/>
      </c>
      <c r="AJ179" s="92">
        <f>IF(ISNUMBER(SEARCH("Quiosque",N179)),"SIM","")</f>
        <v/>
      </c>
      <c r="AK179" s="93" t="n"/>
    </row>
    <row r="180">
      <c r="A180" s="88" t="inlineStr">
        <is>
          <t>Protheus</t>
        </is>
      </c>
      <c r="B180" s="96" t="inlineStr">
        <is>
          <t>002082</t>
        </is>
      </c>
      <c r="C180" s="97">
        <f>IF(B180="—","—",IFERROR(VLOOKUP(B180,_Protheus_Cadastro!$A:$B,2,FALSE),"—"))</f>
        <v/>
      </c>
      <c r="D180" s="98">
        <f>IF(B180="—",IFERROR(INDEX(_ZIG_Cadastro!$D:$D,MATCH(H180,_ZIG_Cadastro!$A:$A,0)),"Produto"),IFERROR(VLOOKUP(B180,_Protheus_Cadastro!$A:$C,3,FALSE),"—"))</f>
        <v/>
      </c>
      <c r="E180" s="98">
        <f>IF(B180="—","—",IFERROR(VLOOKUP(B180,_Protheus_Cadastro!$A:$D,4,FALSE),"—"))</f>
        <v/>
      </c>
      <c r="F180" s="98">
        <f>IF(ISERROR(VLOOKUP(B180,'Estrutura Protheus'!A:A,1,FALSE)),"Não","Sim")</f>
        <v/>
      </c>
      <c r="G180" s="99">
        <f>IFERROR(INDEX(_Protheus_Cadastro!$H:$H,MATCH(B180,_Protheus_Cadastro!$A:$A,0)),"—")</f>
        <v/>
      </c>
      <c r="H180" s="211">
        <f>IFERROR(INDEX(_ZIG_Precos!$D:$D,MATCH(I180,_ZIG_Precos!$F:$F,0)),"—")</f>
        <v/>
      </c>
      <c r="I180" s="103">
        <f>IFERROR(VLOOKUP(B180,_Protheus_Cadastro!$A:$I,9,FALSE),"—")</f>
        <v/>
      </c>
      <c r="J180" s="101">
        <f>IFERROR(INDEX(_ZIG_Cadastro!$B:$B,MATCH(I180,_ZIG_Cadastro!$A:$A,0)),IFERROR(INDEX(_Entradas_ZIG!$B:$B,MATCH(I180,_Entradas_ZIG!$C:$C,0)),"—"))</f>
        <v/>
      </c>
      <c r="K180" s="101">
        <f>IFERROR(INDEX(_ZIG_Cadastro!$C:$C,MATCH(I180,_ZIG_Cadastro!$A:$A,0)),IFERROR(INDEX(_Entradas_ZIG!$D:$D,MATCH(I180,_Entradas_ZIG!$C:$C,0)),"—"))</f>
        <v/>
      </c>
      <c r="L180" s="99">
        <f>IF(I180="","Sem SKU ZIG",IF(I180="—","Sem SKU ZIG",IF(NOT(ISERROR(MATCH(I180,_ZIG_Cadastro!$A:$A,0))),IF(EXACT(UPPER(TRIM(C180)),UPPER(TRIM(INDEX(_ZIG_Cadastro!$B:$B,MATCH(I180,_ZIG_Cadastro!$A:$A,0))))),"OK","Atencao - Nome diverge"),IF(NOT(ISERROR(MATCH(I180,_Entradas_ZIG!$C:$C,0))),"OK","Erro - SKU nao encontrado"))))</f>
        <v/>
      </c>
      <c r="M180" s="99">
        <f>IFERROR(INDEX(_ZIG_Cadastro!$G:$G,MATCH(I180,_ZIG_Cadastro!$A:$A,0)),IF(NOT(ISERROR(MATCH(I180,_Entradas_ZIG!$C:$C,0))),"Ativo","—"))</f>
        <v/>
      </c>
      <c r="N180" s="102">
        <f>IFERROR(INDEX(_ZIG_Cadastro!$E:$E,MATCH(I180,_ZIG_Cadastro!$A:$A,0)),IFERROR(INDEX(_Entradas_ZIG!$F:$F,MATCH(I180,_Entradas_ZIG!$C:$C,0)),"—"))</f>
        <v/>
      </c>
      <c r="O180" s="99">
        <f>IF(AND(ISNUMBER(SEARCH("Espeto",N180)),ISNUMBER(SEARCH("Carin",N180))),"SIM","")</f>
        <v/>
      </c>
      <c r="P180" s="99">
        <f>IF(AND(ISNUMBER(SEARCH("Espeto",N180)),ISNUMBER(SEARCH("Lapa",N180))),"SIM","")</f>
        <v/>
      </c>
      <c r="Q180" s="99">
        <f>IF(AND(ISNUMBER(SEARCH("Espeto",N180)),ISNUMBER(SEARCH("Tatuapé",N180))),"SIM","")</f>
        <v/>
      </c>
      <c r="R180" s="99">
        <f>IF(AND(ISNUMBER(SEARCH("Espeto",N180)),ISNUMBER(SEARCH("Pavão",N180))),"SIM","")</f>
        <v/>
      </c>
      <c r="S180" s="99">
        <f>IF(AND(ISNUMBER(SEARCH("Espeto",N180)),ISNUMBER(SEARCH("Chac",N180))),"SIM","")</f>
        <v/>
      </c>
      <c r="T180" s="99">
        <f>IF(AND(ISNUMBER(SEARCH("Espeto",N180)),ISNUMBER(SEARCH("Madalena",N180))),"SIM","")</f>
        <v/>
      </c>
      <c r="U180" s="99">
        <f>IF(AND(ISNUMBER(SEARCH("Espeto",N180)),ISNUMBER(SEARCH("Mariana",N180))),"SIM","")</f>
        <v/>
      </c>
      <c r="V180" s="99">
        <f>IF(AND(ISNUMBER(SEARCH("Espeto",N180)),ISNUMBER(SEARCH("Perdizes",N180))),"SIM","")</f>
        <v/>
      </c>
      <c r="W180" s="99">
        <f>IF(AND(ISNUMBER(SEARCH("Espeto",N180)),ISNUMBER(SEARCH("Santana",N180))),"SIM","")</f>
        <v/>
      </c>
      <c r="X180" s="99">
        <f>IF(AND(ISNUMBER(SEARCH("Espeto",N180)),ISNUMBER(SEARCH("André",N180))),"SIM","")</f>
        <v/>
      </c>
      <c r="Y180" s="99">
        <f>IF(AND(ISNUMBER(SEARCH("Delivery",N180)),ISNUMBER(SEARCH("Carin",N180))),"SIM","")</f>
        <v/>
      </c>
      <c r="Z180" s="99">
        <f>IF(AND(ISNUMBER(SEARCH("Delivery",N180)),ISNUMBER(SEARCH("Lapa",N180))),"SIM","")</f>
        <v/>
      </c>
      <c r="AA180" s="99">
        <f>IF(AND(ISNUMBER(SEARCH("Delivery",N180)),ISNUMBER(SEARCH("Tatuapé",N180))),"SIM","")</f>
        <v/>
      </c>
      <c r="AB180" s="99">
        <f>IF(AND(ISNUMBER(SEARCH("Delivery",N180)),ISNUMBER(SEARCH("Pavão",N180))),"SIM","")</f>
        <v/>
      </c>
      <c r="AC180" s="99">
        <f>IF(AND(ISNUMBER(SEARCH("Delivery",N180)),ISNUMBER(SEARCH("Chac",N180))),"SIM","")</f>
        <v/>
      </c>
      <c r="AD180" s="99">
        <f>IF(AND(ISNUMBER(SEARCH("Delivery",N180)),ISNUMBER(SEARCH("Madalena",N180))),"SIM","")</f>
        <v/>
      </c>
      <c r="AE180" s="99">
        <f>IF(AND(ISNUMBER(SEARCH("Delivery",N180)),ISNUMBER(SEARCH("Mariana",N180))),"SIM","")</f>
        <v/>
      </c>
      <c r="AF180" s="99">
        <f>IF(AND(ISNUMBER(SEARCH("Delivery",N180)),ISNUMBER(SEARCH("Perdizes",N180))),"SIM","")</f>
        <v/>
      </c>
      <c r="AG180" s="99">
        <f>IF(AND(ISNUMBER(SEARCH("Delivery",N180)),ISNUMBER(SEARCH("Santana",N180))),"SIM","")</f>
        <v/>
      </c>
      <c r="AH180" s="99">
        <f>IF(AND(ISNUMBER(SEARCH("Delivery",N180)),ISNUMBER(SEARCH("André",N180))),"SIM","")</f>
        <v/>
      </c>
      <c r="AI180" s="99">
        <f>IF(ISNUMBER(SEARCH("Interlagos",N180)),"SIM","")</f>
        <v/>
      </c>
      <c r="AJ180" s="99">
        <f>IF(ISNUMBER(SEARCH("Quiosque",N180)),"SIM","")</f>
        <v/>
      </c>
      <c r="AK180" s="101" t="n"/>
    </row>
    <row r="181">
      <c r="A181" s="88" t="inlineStr">
        <is>
          <t>Protheus</t>
        </is>
      </c>
      <c r="B181" s="89" t="inlineStr">
        <is>
          <t>002083</t>
        </is>
      </c>
      <c r="C181" s="90">
        <f>IF(B181="—","—",IFERROR(VLOOKUP(B181,_Protheus_Cadastro!$A:$B,2,FALSE),"—"))</f>
        <v/>
      </c>
      <c r="D181" s="91">
        <f>IF(B181="—",IFERROR(INDEX(_ZIG_Cadastro!$D:$D,MATCH(H181,_ZIG_Cadastro!$A:$A,0)),"Produto"),IFERROR(VLOOKUP(B181,_Protheus_Cadastro!$A:$C,3,FALSE),"—"))</f>
        <v/>
      </c>
      <c r="E181" s="91">
        <f>IF(B181="—","—",IFERROR(VLOOKUP(B181,_Protheus_Cadastro!$A:$D,4,FALSE),"—"))</f>
        <v/>
      </c>
      <c r="F181" s="91">
        <f>IF(ISERROR(VLOOKUP(B181,'Estrutura Protheus'!A:A,1,FALSE)),"Não","Sim")</f>
        <v/>
      </c>
      <c r="G181" s="92">
        <f>IFERROR(INDEX(_Protheus_Cadastro!$H:$H,MATCH(B181,_Protheus_Cadastro!$A:$A,0)),"—")</f>
        <v/>
      </c>
      <c r="H181" s="210">
        <f>IFERROR(INDEX(_ZIG_Precos!$D:$D,MATCH(I181,_ZIG_Precos!$F:$F,0)),"—")</f>
        <v/>
      </c>
      <c r="I181" s="95">
        <f>IFERROR(VLOOKUP(B181,_Protheus_Cadastro!$A:$I,9,FALSE),"—")</f>
        <v/>
      </c>
      <c r="J181" s="93">
        <f>IFERROR(INDEX(_ZIG_Cadastro!$B:$B,MATCH(I181,_ZIG_Cadastro!$A:$A,0)),IFERROR(INDEX(_Entradas_ZIG!$B:$B,MATCH(I181,_Entradas_ZIG!$C:$C,0)),"—"))</f>
        <v/>
      </c>
      <c r="K181" s="93">
        <f>IFERROR(INDEX(_ZIG_Cadastro!$C:$C,MATCH(I181,_ZIG_Cadastro!$A:$A,0)),IFERROR(INDEX(_Entradas_ZIG!$D:$D,MATCH(I181,_Entradas_ZIG!$C:$C,0)),"—"))</f>
        <v/>
      </c>
      <c r="L181" s="92">
        <f>IF(I181="","Sem SKU ZIG",IF(I181="—","Sem SKU ZIG",IF(NOT(ISERROR(MATCH(I181,_ZIG_Cadastro!$A:$A,0))),IF(EXACT(UPPER(TRIM(C181)),UPPER(TRIM(INDEX(_ZIG_Cadastro!$B:$B,MATCH(I181,_ZIG_Cadastro!$A:$A,0))))),"OK","Atencao - Nome diverge"),IF(NOT(ISERROR(MATCH(I181,_Entradas_ZIG!$C:$C,0))),"OK","Erro - SKU nao encontrado"))))</f>
        <v/>
      </c>
      <c r="M181" s="92">
        <f>IFERROR(INDEX(_ZIG_Cadastro!$G:$G,MATCH(I181,_ZIG_Cadastro!$A:$A,0)),IF(NOT(ISERROR(MATCH(I181,_Entradas_ZIG!$C:$C,0))),"Ativo","—"))</f>
        <v/>
      </c>
      <c r="N181" s="94">
        <f>IFERROR(INDEX(_ZIG_Cadastro!$E:$E,MATCH(I181,_ZIG_Cadastro!$A:$A,0)),IFERROR(INDEX(_Entradas_ZIG!$F:$F,MATCH(I181,_Entradas_ZIG!$C:$C,0)),"—"))</f>
        <v/>
      </c>
      <c r="O181" s="92">
        <f>IF(AND(ISNUMBER(SEARCH("Espeto",N181)),ISNUMBER(SEARCH("Carin",N181))),"SIM","")</f>
        <v/>
      </c>
      <c r="P181" s="92">
        <f>IF(AND(ISNUMBER(SEARCH("Espeto",N181)),ISNUMBER(SEARCH("Lapa",N181))),"SIM","")</f>
        <v/>
      </c>
      <c r="Q181" s="92">
        <f>IF(AND(ISNUMBER(SEARCH("Espeto",N181)),ISNUMBER(SEARCH("Tatuapé",N181))),"SIM","")</f>
        <v/>
      </c>
      <c r="R181" s="92">
        <f>IF(AND(ISNUMBER(SEARCH("Espeto",N181)),ISNUMBER(SEARCH("Pavão",N181))),"SIM","")</f>
        <v/>
      </c>
      <c r="S181" s="92">
        <f>IF(AND(ISNUMBER(SEARCH("Espeto",N181)),ISNUMBER(SEARCH("Chac",N181))),"SIM","")</f>
        <v/>
      </c>
      <c r="T181" s="92">
        <f>IF(AND(ISNUMBER(SEARCH("Espeto",N181)),ISNUMBER(SEARCH("Madalena",N181))),"SIM","")</f>
        <v/>
      </c>
      <c r="U181" s="92">
        <f>IF(AND(ISNUMBER(SEARCH("Espeto",N181)),ISNUMBER(SEARCH("Mariana",N181))),"SIM","")</f>
        <v/>
      </c>
      <c r="V181" s="92">
        <f>IF(AND(ISNUMBER(SEARCH("Espeto",N181)),ISNUMBER(SEARCH("Perdizes",N181))),"SIM","")</f>
        <v/>
      </c>
      <c r="W181" s="92">
        <f>IF(AND(ISNUMBER(SEARCH("Espeto",N181)),ISNUMBER(SEARCH("Santana",N181))),"SIM","")</f>
        <v/>
      </c>
      <c r="X181" s="92">
        <f>IF(AND(ISNUMBER(SEARCH("Espeto",N181)),ISNUMBER(SEARCH("André",N181))),"SIM","")</f>
        <v/>
      </c>
      <c r="Y181" s="92">
        <f>IF(AND(ISNUMBER(SEARCH("Delivery",N181)),ISNUMBER(SEARCH("Carin",N181))),"SIM","")</f>
        <v/>
      </c>
      <c r="Z181" s="92">
        <f>IF(AND(ISNUMBER(SEARCH("Delivery",N181)),ISNUMBER(SEARCH("Lapa",N181))),"SIM","")</f>
        <v/>
      </c>
      <c r="AA181" s="92">
        <f>IF(AND(ISNUMBER(SEARCH("Delivery",N181)),ISNUMBER(SEARCH("Tatuapé",N181))),"SIM","")</f>
        <v/>
      </c>
      <c r="AB181" s="92">
        <f>IF(AND(ISNUMBER(SEARCH("Delivery",N181)),ISNUMBER(SEARCH("Pavão",N181))),"SIM","")</f>
        <v/>
      </c>
      <c r="AC181" s="92">
        <f>IF(AND(ISNUMBER(SEARCH("Delivery",N181)),ISNUMBER(SEARCH("Chac",N181))),"SIM","")</f>
        <v/>
      </c>
      <c r="AD181" s="92">
        <f>IF(AND(ISNUMBER(SEARCH("Delivery",N181)),ISNUMBER(SEARCH("Madalena",N181))),"SIM","")</f>
        <v/>
      </c>
      <c r="AE181" s="92">
        <f>IF(AND(ISNUMBER(SEARCH("Delivery",N181)),ISNUMBER(SEARCH("Mariana",N181))),"SIM","")</f>
        <v/>
      </c>
      <c r="AF181" s="92">
        <f>IF(AND(ISNUMBER(SEARCH("Delivery",N181)),ISNUMBER(SEARCH("Perdizes",N181))),"SIM","")</f>
        <v/>
      </c>
      <c r="AG181" s="92">
        <f>IF(AND(ISNUMBER(SEARCH("Delivery",N181)),ISNUMBER(SEARCH("Santana",N181))),"SIM","")</f>
        <v/>
      </c>
      <c r="AH181" s="92">
        <f>IF(AND(ISNUMBER(SEARCH("Delivery",N181)),ISNUMBER(SEARCH("André",N181))),"SIM","")</f>
        <v/>
      </c>
      <c r="AI181" s="92">
        <f>IF(ISNUMBER(SEARCH("Interlagos",N181)),"SIM","")</f>
        <v/>
      </c>
      <c r="AJ181" s="92">
        <f>IF(ISNUMBER(SEARCH("Quiosque",N181)),"SIM","")</f>
        <v/>
      </c>
      <c r="AK181" s="93" t="n"/>
    </row>
    <row r="182">
      <c r="A182" s="88" t="inlineStr">
        <is>
          <t>Protheus</t>
        </is>
      </c>
      <c r="B182" s="96" t="inlineStr">
        <is>
          <t>002096</t>
        </is>
      </c>
      <c r="C182" s="97">
        <f>IF(B182="—","—",IFERROR(VLOOKUP(B182,_Protheus_Cadastro!$A:$B,2,FALSE),"—"))</f>
        <v/>
      </c>
      <c r="D182" s="98">
        <f>IF(B182="—",IFERROR(INDEX(_ZIG_Cadastro!$D:$D,MATCH(H182,_ZIG_Cadastro!$A:$A,0)),"Produto"),IFERROR(VLOOKUP(B182,_Protheus_Cadastro!$A:$C,3,FALSE),"—"))</f>
        <v/>
      </c>
      <c r="E182" s="98">
        <f>IF(B182="—","—",IFERROR(VLOOKUP(B182,_Protheus_Cadastro!$A:$D,4,FALSE),"—"))</f>
        <v/>
      </c>
      <c r="F182" s="98">
        <f>IF(ISERROR(VLOOKUP(B182,'Estrutura Protheus'!A:A,1,FALSE)),"Não","Sim")</f>
        <v/>
      </c>
      <c r="G182" s="99">
        <f>IFERROR(INDEX(_Protheus_Cadastro!$H:$H,MATCH(B182,_Protheus_Cadastro!$A:$A,0)),"—")</f>
        <v/>
      </c>
      <c r="H182" s="211">
        <f>IFERROR(INDEX(_ZIG_Precos!$D:$D,MATCH(I182,_ZIG_Precos!$F:$F,0)),"—")</f>
        <v/>
      </c>
      <c r="I182" s="103">
        <f>IFERROR(VLOOKUP(B182,_Protheus_Cadastro!$A:$I,9,FALSE),"—")</f>
        <v/>
      </c>
      <c r="J182" s="101">
        <f>IFERROR(INDEX(_ZIG_Cadastro!$B:$B,MATCH(I182,_ZIG_Cadastro!$A:$A,0)),IFERROR(INDEX(_Entradas_ZIG!$B:$B,MATCH(I182,_Entradas_ZIG!$C:$C,0)),"—"))</f>
        <v/>
      </c>
      <c r="K182" s="101">
        <f>IFERROR(INDEX(_ZIG_Cadastro!$C:$C,MATCH(I182,_ZIG_Cadastro!$A:$A,0)),IFERROR(INDEX(_Entradas_ZIG!$D:$D,MATCH(I182,_Entradas_ZIG!$C:$C,0)),"—"))</f>
        <v/>
      </c>
      <c r="L182" s="99">
        <f>IF(I182="","Sem SKU ZIG",IF(I182="—","Sem SKU ZIG",IF(NOT(ISERROR(MATCH(I182,_ZIG_Cadastro!$A:$A,0))),IF(EXACT(UPPER(TRIM(C182)),UPPER(TRIM(INDEX(_ZIG_Cadastro!$B:$B,MATCH(I182,_ZIG_Cadastro!$A:$A,0))))),"OK","Atencao - Nome diverge"),IF(NOT(ISERROR(MATCH(I182,_Entradas_ZIG!$C:$C,0))),"OK","Erro - SKU nao encontrado"))))</f>
        <v/>
      </c>
      <c r="M182" s="99">
        <f>IFERROR(INDEX(_ZIG_Cadastro!$G:$G,MATCH(I182,_ZIG_Cadastro!$A:$A,0)),IF(NOT(ISERROR(MATCH(I182,_Entradas_ZIG!$C:$C,0))),"Ativo","—"))</f>
        <v/>
      </c>
      <c r="N182" s="102">
        <f>IFERROR(INDEX(_ZIG_Cadastro!$E:$E,MATCH(I182,_ZIG_Cadastro!$A:$A,0)),IFERROR(INDEX(_Entradas_ZIG!$F:$F,MATCH(I182,_Entradas_ZIG!$C:$C,0)),"—"))</f>
        <v/>
      </c>
      <c r="O182" s="99">
        <f>IF(AND(ISNUMBER(SEARCH("Espeto",N182)),ISNUMBER(SEARCH("Carin",N182))),"SIM","")</f>
        <v/>
      </c>
      <c r="P182" s="99">
        <f>IF(AND(ISNUMBER(SEARCH("Espeto",N182)),ISNUMBER(SEARCH("Lapa",N182))),"SIM","")</f>
        <v/>
      </c>
      <c r="Q182" s="99">
        <f>IF(AND(ISNUMBER(SEARCH("Espeto",N182)),ISNUMBER(SEARCH("Tatuapé",N182))),"SIM","")</f>
        <v/>
      </c>
      <c r="R182" s="99">
        <f>IF(AND(ISNUMBER(SEARCH("Espeto",N182)),ISNUMBER(SEARCH("Pavão",N182))),"SIM","")</f>
        <v/>
      </c>
      <c r="S182" s="99">
        <f>IF(AND(ISNUMBER(SEARCH("Espeto",N182)),ISNUMBER(SEARCH("Chac",N182))),"SIM","")</f>
        <v/>
      </c>
      <c r="T182" s="99">
        <f>IF(AND(ISNUMBER(SEARCH("Espeto",N182)),ISNUMBER(SEARCH("Madalena",N182))),"SIM","")</f>
        <v/>
      </c>
      <c r="U182" s="99">
        <f>IF(AND(ISNUMBER(SEARCH("Espeto",N182)),ISNUMBER(SEARCH("Mariana",N182))),"SIM","")</f>
        <v/>
      </c>
      <c r="V182" s="99">
        <f>IF(AND(ISNUMBER(SEARCH("Espeto",N182)),ISNUMBER(SEARCH("Perdizes",N182))),"SIM","")</f>
        <v/>
      </c>
      <c r="W182" s="99">
        <f>IF(AND(ISNUMBER(SEARCH("Espeto",N182)),ISNUMBER(SEARCH("Santana",N182))),"SIM","")</f>
        <v/>
      </c>
      <c r="X182" s="99">
        <f>IF(AND(ISNUMBER(SEARCH("Espeto",N182)),ISNUMBER(SEARCH("André",N182))),"SIM","")</f>
        <v/>
      </c>
      <c r="Y182" s="99">
        <f>IF(AND(ISNUMBER(SEARCH("Delivery",N182)),ISNUMBER(SEARCH("Carin",N182))),"SIM","")</f>
        <v/>
      </c>
      <c r="Z182" s="99">
        <f>IF(AND(ISNUMBER(SEARCH("Delivery",N182)),ISNUMBER(SEARCH("Lapa",N182))),"SIM","")</f>
        <v/>
      </c>
      <c r="AA182" s="99">
        <f>IF(AND(ISNUMBER(SEARCH("Delivery",N182)),ISNUMBER(SEARCH("Tatuapé",N182))),"SIM","")</f>
        <v/>
      </c>
      <c r="AB182" s="99">
        <f>IF(AND(ISNUMBER(SEARCH("Delivery",N182)),ISNUMBER(SEARCH("Pavão",N182))),"SIM","")</f>
        <v/>
      </c>
      <c r="AC182" s="99">
        <f>IF(AND(ISNUMBER(SEARCH("Delivery",N182)),ISNUMBER(SEARCH("Chac",N182))),"SIM","")</f>
        <v/>
      </c>
      <c r="AD182" s="99">
        <f>IF(AND(ISNUMBER(SEARCH("Delivery",N182)),ISNUMBER(SEARCH("Madalena",N182))),"SIM","")</f>
        <v/>
      </c>
      <c r="AE182" s="99">
        <f>IF(AND(ISNUMBER(SEARCH("Delivery",N182)),ISNUMBER(SEARCH("Mariana",N182))),"SIM","")</f>
        <v/>
      </c>
      <c r="AF182" s="99">
        <f>IF(AND(ISNUMBER(SEARCH("Delivery",N182)),ISNUMBER(SEARCH("Perdizes",N182))),"SIM","")</f>
        <v/>
      </c>
      <c r="AG182" s="99">
        <f>IF(AND(ISNUMBER(SEARCH("Delivery",N182)),ISNUMBER(SEARCH("Santana",N182))),"SIM","")</f>
        <v/>
      </c>
      <c r="AH182" s="99">
        <f>IF(AND(ISNUMBER(SEARCH("Delivery",N182)),ISNUMBER(SEARCH("André",N182))),"SIM","")</f>
        <v/>
      </c>
      <c r="AI182" s="99">
        <f>IF(ISNUMBER(SEARCH("Interlagos",N182)),"SIM","")</f>
        <v/>
      </c>
      <c r="AJ182" s="99">
        <f>IF(ISNUMBER(SEARCH("Quiosque",N182)),"SIM","")</f>
        <v/>
      </c>
      <c r="AK182" s="101" t="n"/>
    </row>
    <row r="183">
      <c r="A183" s="88" t="inlineStr">
        <is>
          <t>Protheus</t>
        </is>
      </c>
      <c r="B183" s="89" t="inlineStr">
        <is>
          <t>002097</t>
        </is>
      </c>
      <c r="C183" s="90">
        <f>IF(B183="—","—",IFERROR(VLOOKUP(B183,_Protheus_Cadastro!$A:$B,2,FALSE),"—"))</f>
        <v/>
      </c>
      <c r="D183" s="91">
        <f>IF(B183="—",IFERROR(INDEX(_ZIG_Cadastro!$D:$D,MATCH(H183,_ZIG_Cadastro!$A:$A,0)),"Produto"),IFERROR(VLOOKUP(B183,_Protheus_Cadastro!$A:$C,3,FALSE),"—"))</f>
        <v/>
      </c>
      <c r="E183" s="91">
        <f>IF(B183="—","—",IFERROR(VLOOKUP(B183,_Protheus_Cadastro!$A:$D,4,FALSE),"—"))</f>
        <v/>
      </c>
      <c r="F183" s="91">
        <f>IF(ISERROR(VLOOKUP(B183,'Estrutura Protheus'!A:A,1,FALSE)),"Não","Sim")</f>
        <v/>
      </c>
      <c r="G183" s="92">
        <f>IFERROR(INDEX(_Protheus_Cadastro!$H:$H,MATCH(B183,_Protheus_Cadastro!$A:$A,0)),"—")</f>
        <v/>
      </c>
      <c r="H183" s="210">
        <f>IFERROR(INDEX(_ZIG_Precos!$D:$D,MATCH(I183,_ZIG_Precos!$F:$F,0)),"—")</f>
        <v/>
      </c>
      <c r="I183" s="95">
        <f>IFERROR(VLOOKUP(B183,_Protheus_Cadastro!$A:$I,9,FALSE),"—")</f>
        <v/>
      </c>
      <c r="J183" s="93">
        <f>IFERROR(INDEX(_ZIG_Cadastro!$B:$B,MATCH(I183,_ZIG_Cadastro!$A:$A,0)),IFERROR(INDEX(_Entradas_ZIG!$B:$B,MATCH(I183,_Entradas_ZIG!$C:$C,0)),"—"))</f>
        <v/>
      </c>
      <c r="K183" s="93">
        <f>IFERROR(INDEX(_ZIG_Cadastro!$C:$C,MATCH(I183,_ZIG_Cadastro!$A:$A,0)),IFERROR(INDEX(_Entradas_ZIG!$D:$D,MATCH(I183,_Entradas_ZIG!$C:$C,0)),"—"))</f>
        <v/>
      </c>
      <c r="L183" s="92">
        <f>IF(I183="","Sem SKU ZIG",IF(I183="—","Sem SKU ZIG",IF(NOT(ISERROR(MATCH(I183,_ZIG_Cadastro!$A:$A,0))),IF(EXACT(UPPER(TRIM(C183)),UPPER(TRIM(INDEX(_ZIG_Cadastro!$B:$B,MATCH(I183,_ZIG_Cadastro!$A:$A,0))))),"OK","Atencao - Nome diverge"),IF(NOT(ISERROR(MATCH(I183,_Entradas_ZIG!$C:$C,0))),"OK","Erro - SKU nao encontrado"))))</f>
        <v/>
      </c>
      <c r="M183" s="92">
        <f>IFERROR(INDEX(_ZIG_Cadastro!$G:$G,MATCH(I183,_ZIG_Cadastro!$A:$A,0)),IF(NOT(ISERROR(MATCH(I183,_Entradas_ZIG!$C:$C,0))),"Ativo","—"))</f>
        <v/>
      </c>
      <c r="N183" s="94">
        <f>IFERROR(INDEX(_ZIG_Cadastro!$E:$E,MATCH(I183,_ZIG_Cadastro!$A:$A,0)),IFERROR(INDEX(_Entradas_ZIG!$F:$F,MATCH(I183,_Entradas_ZIG!$C:$C,0)),"—"))</f>
        <v/>
      </c>
      <c r="O183" s="92">
        <f>IF(AND(ISNUMBER(SEARCH("Espeto",N183)),ISNUMBER(SEARCH("Carin",N183))),"SIM","")</f>
        <v/>
      </c>
      <c r="P183" s="92">
        <f>IF(AND(ISNUMBER(SEARCH("Espeto",N183)),ISNUMBER(SEARCH("Lapa",N183))),"SIM","")</f>
        <v/>
      </c>
      <c r="Q183" s="92">
        <f>IF(AND(ISNUMBER(SEARCH("Espeto",N183)),ISNUMBER(SEARCH("Tatuapé",N183))),"SIM","")</f>
        <v/>
      </c>
      <c r="R183" s="92">
        <f>IF(AND(ISNUMBER(SEARCH("Espeto",N183)),ISNUMBER(SEARCH("Pavão",N183))),"SIM","")</f>
        <v/>
      </c>
      <c r="S183" s="92">
        <f>IF(AND(ISNUMBER(SEARCH("Espeto",N183)),ISNUMBER(SEARCH("Chac",N183))),"SIM","")</f>
        <v/>
      </c>
      <c r="T183" s="92">
        <f>IF(AND(ISNUMBER(SEARCH("Espeto",N183)),ISNUMBER(SEARCH("Madalena",N183))),"SIM","")</f>
        <v/>
      </c>
      <c r="U183" s="92">
        <f>IF(AND(ISNUMBER(SEARCH("Espeto",N183)),ISNUMBER(SEARCH("Mariana",N183))),"SIM","")</f>
        <v/>
      </c>
      <c r="V183" s="92">
        <f>IF(AND(ISNUMBER(SEARCH("Espeto",N183)),ISNUMBER(SEARCH("Perdizes",N183))),"SIM","")</f>
        <v/>
      </c>
      <c r="W183" s="92">
        <f>IF(AND(ISNUMBER(SEARCH("Espeto",N183)),ISNUMBER(SEARCH("Santana",N183))),"SIM","")</f>
        <v/>
      </c>
      <c r="X183" s="92">
        <f>IF(AND(ISNUMBER(SEARCH("Espeto",N183)),ISNUMBER(SEARCH("André",N183))),"SIM","")</f>
        <v/>
      </c>
      <c r="Y183" s="92">
        <f>IF(AND(ISNUMBER(SEARCH("Delivery",N183)),ISNUMBER(SEARCH("Carin",N183))),"SIM","")</f>
        <v/>
      </c>
      <c r="Z183" s="92">
        <f>IF(AND(ISNUMBER(SEARCH("Delivery",N183)),ISNUMBER(SEARCH("Lapa",N183))),"SIM","")</f>
        <v/>
      </c>
      <c r="AA183" s="92">
        <f>IF(AND(ISNUMBER(SEARCH("Delivery",N183)),ISNUMBER(SEARCH("Tatuapé",N183))),"SIM","")</f>
        <v/>
      </c>
      <c r="AB183" s="92">
        <f>IF(AND(ISNUMBER(SEARCH("Delivery",N183)),ISNUMBER(SEARCH("Pavão",N183))),"SIM","")</f>
        <v/>
      </c>
      <c r="AC183" s="92">
        <f>IF(AND(ISNUMBER(SEARCH("Delivery",N183)),ISNUMBER(SEARCH("Chac",N183))),"SIM","")</f>
        <v/>
      </c>
      <c r="AD183" s="92">
        <f>IF(AND(ISNUMBER(SEARCH("Delivery",N183)),ISNUMBER(SEARCH("Madalena",N183))),"SIM","")</f>
        <v/>
      </c>
      <c r="AE183" s="92">
        <f>IF(AND(ISNUMBER(SEARCH("Delivery",N183)),ISNUMBER(SEARCH("Mariana",N183))),"SIM","")</f>
        <v/>
      </c>
      <c r="AF183" s="92">
        <f>IF(AND(ISNUMBER(SEARCH("Delivery",N183)),ISNUMBER(SEARCH("Perdizes",N183))),"SIM","")</f>
        <v/>
      </c>
      <c r="AG183" s="92">
        <f>IF(AND(ISNUMBER(SEARCH("Delivery",N183)),ISNUMBER(SEARCH("Santana",N183))),"SIM","")</f>
        <v/>
      </c>
      <c r="AH183" s="92">
        <f>IF(AND(ISNUMBER(SEARCH("Delivery",N183)),ISNUMBER(SEARCH("André",N183))),"SIM","")</f>
        <v/>
      </c>
      <c r="AI183" s="92">
        <f>IF(ISNUMBER(SEARCH("Interlagos",N183)),"SIM","")</f>
        <v/>
      </c>
      <c r="AJ183" s="92">
        <f>IF(ISNUMBER(SEARCH("Quiosque",N183)),"SIM","")</f>
        <v/>
      </c>
      <c r="AK183" s="93" t="n"/>
    </row>
    <row r="184">
      <c r="A184" s="88" t="inlineStr">
        <is>
          <t>Protheus</t>
        </is>
      </c>
      <c r="B184" s="96" t="inlineStr">
        <is>
          <t>001009</t>
        </is>
      </c>
      <c r="C184" s="97">
        <f>IF(B184="—","—",IFERROR(VLOOKUP(B184,_Protheus_Cadastro!$A:$B,2,FALSE),"—"))</f>
        <v/>
      </c>
      <c r="D184" s="98">
        <f>IF(B184="—",IFERROR(INDEX(_ZIG_Cadastro!$D:$D,MATCH(H184,_ZIG_Cadastro!$A:$A,0)),"Produto"),IFERROR(VLOOKUP(B184,_Protheus_Cadastro!$A:$C,3,FALSE),"—"))</f>
        <v/>
      </c>
      <c r="E184" s="98">
        <f>IF(B184="—","—",IFERROR(VLOOKUP(B184,_Protheus_Cadastro!$A:$D,4,FALSE),"—"))</f>
        <v/>
      </c>
      <c r="F184" s="98">
        <f>IF(ISERROR(VLOOKUP(B184,'Estrutura Protheus'!A:A,1,FALSE)),"Não","Sim")</f>
        <v/>
      </c>
      <c r="G184" s="99">
        <f>IFERROR(INDEX(_Protheus_Cadastro!$H:$H,MATCH(B184,_Protheus_Cadastro!$A:$A,0)),"—")</f>
        <v/>
      </c>
      <c r="H184" s="211">
        <f>IFERROR(INDEX(_ZIG_Precos!$D:$D,MATCH(I184,_ZIG_Precos!$F:$F,0)),"—")</f>
        <v/>
      </c>
      <c r="I184" s="103">
        <f>IFERROR(VLOOKUP(B184,_Protheus_Cadastro!$A:$I,9,FALSE),"—")</f>
        <v/>
      </c>
      <c r="J184" s="101">
        <f>IFERROR(INDEX(_ZIG_Cadastro!$B:$B,MATCH(I184,_ZIG_Cadastro!$A:$A,0)),IFERROR(INDEX(_Entradas_ZIG!$B:$B,MATCH(I184,_Entradas_ZIG!$C:$C,0)),"—"))</f>
        <v/>
      </c>
      <c r="K184" s="101">
        <f>IFERROR(INDEX(_ZIG_Cadastro!$C:$C,MATCH(I184,_ZIG_Cadastro!$A:$A,0)),IFERROR(INDEX(_Entradas_ZIG!$D:$D,MATCH(I184,_Entradas_ZIG!$C:$C,0)),"—"))</f>
        <v/>
      </c>
      <c r="L184" s="99">
        <f>IF(I184="","Sem SKU ZIG",IF(I184="—","Sem SKU ZIG",IF(NOT(ISERROR(MATCH(I184,_ZIG_Cadastro!$A:$A,0))),IF(EXACT(UPPER(TRIM(C184)),UPPER(TRIM(INDEX(_ZIG_Cadastro!$B:$B,MATCH(I184,_ZIG_Cadastro!$A:$A,0))))),"OK","Atencao - Nome diverge"),IF(NOT(ISERROR(MATCH(I184,_Entradas_ZIG!$C:$C,0))),"OK","Erro - SKU nao encontrado"))))</f>
        <v/>
      </c>
      <c r="M184" s="99">
        <f>IFERROR(INDEX(_ZIG_Cadastro!$G:$G,MATCH(I184,_ZIG_Cadastro!$A:$A,0)),IF(NOT(ISERROR(MATCH(I184,_Entradas_ZIG!$C:$C,0))),"Ativo","—"))</f>
        <v/>
      </c>
      <c r="N184" s="102">
        <f>IFERROR(INDEX(_ZIG_Cadastro!$E:$E,MATCH(I184,_ZIG_Cadastro!$A:$A,0)),IFERROR(INDEX(_Entradas_ZIG!$F:$F,MATCH(I184,_Entradas_ZIG!$C:$C,0)),"—"))</f>
        <v/>
      </c>
      <c r="O184" s="99">
        <f>IF(AND(ISNUMBER(SEARCH("Espeto",N184)),ISNUMBER(SEARCH("Carin",N184))),"SIM","")</f>
        <v/>
      </c>
      <c r="P184" s="99">
        <f>IF(AND(ISNUMBER(SEARCH("Espeto",N184)),ISNUMBER(SEARCH("Lapa",N184))),"SIM","")</f>
        <v/>
      </c>
      <c r="Q184" s="99">
        <f>IF(AND(ISNUMBER(SEARCH("Espeto",N184)),ISNUMBER(SEARCH("Tatuapé",N184))),"SIM","")</f>
        <v/>
      </c>
      <c r="R184" s="99">
        <f>IF(AND(ISNUMBER(SEARCH("Espeto",N184)),ISNUMBER(SEARCH("Pavão",N184))),"SIM","")</f>
        <v/>
      </c>
      <c r="S184" s="99">
        <f>IF(AND(ISNUMBER(SEARCH("Espeto",N184)),ISNUMBER(SEARCH("Chac",N184))),"SIM","")</f>
        <v/>
      </c>
      <c r="T184" s="99">
        <f>IF(AND(ISNUMBER(SEARCH("Espeto",N184)),ISNUMBER(SEARCH("Madalena",N184))),"SIM","")</f>
        <v/>
      </c>
      <c r="U184" s="99">
        <f>IF(AND(ISNUMBER(SEARCH("Espeto",N184)),ISNUMBER(SEARCH("Mariana",N184))),"SIM","")</f>
        <v/>
      </c>
      <c r="V184" s="99">
        <f>IF(AND(ISNUMBER(SEARCH("Espeto",N184)),ISNUMBER(SEARCH("Perdizes",N184))),"SIM","")</f>
        <v/>
      </c>
      <c r="W184" s="99">
        <f>IF(AND(ISNUMBER(SEARCH("Espeto",N184)),ISNUMBER(SEARCH("Santana",N184))),"SIM","")</f>
        <v/>
      </c>
      <c r="X184" s="99">
        <f>IF(AND(ISNUMBER(SEARCH("Espeto",N184)),ISNUMBER(SEARCH("André",N184))),"SIM","")</f>
        <v/>
      </c>
      <c r="Y184" s="99">
        <f>IF(AND(ISNUMBER(SEARCH("Delivery",N184)),ISNUMBER(SEARCH("Carin",N184))),"SIM","")</f>
        <v/>
      </c>
      <c r="Z184" s="99">
        <f>IF(AND(ISNUMBER(SEARCH("Delivery",N184)),ISNUMBER(SEARCH("Lapa",N184))),"SIM","")</f>
        <v/>
      </c>
      <c r="AA184" s="99">
        <f>IF(AND(ISNUMBER(SEARCH("Delivery",N184)),ISNUMBER(SEARCH("Tatuapé",N184))),"SIM","")</f>
        <v/>
      </c>
      <c r="AB184" s="99">
        <f>IF(AND(ISNUMBER(SEARCH("Delivery",N184)),ISNUMBER(SEARCH("Pavão",N184))),"SIM","")</f>
        <v/>
      </c>
      <c r="AC184" s="99">
        <f>IF(AND(ISNUMBER(SEARCH("Delivery",N184)),ISNUMBER(SEARCH("Chac",N184))),"SIM","")</f>
        <v/>
      </c>
      <c r="AD184" s="99">
        <f>IF(AND(ISNUMBER(SEARCH("Delivery",N184)),ISNUMBER(SEARCH("Madalena",N184))),"SIM","")</f>
        <v/>
      </c>
      <c r="AE184" s="99">
        <f>IF(AND(ISNUMBER(SEARCH("Delivery",N184)),ISNUMBER(SEARCH("Mariana",N184))),"SIM","")</f>
        <v/>
      </c>
      <c r="AF184" s="99">
        <f>IF(AND(ISNUMBER(SEARCH("Delivery",N184)),ISNUMBER(SEARCH("Perdizes",N184))),"SIM","")</f>
        <v/>
      </c>
      <c r="AG184" s="99">
        <f>IF(AND(ISNUMBER(SEARCH("Delivery",N184)),ISNUMBER(SEARCH("Santana",N184))),"SIM","")</f>
        <v/>
      </c>
      <c r="AH184" s="99">
        <f>IF(AND(ISNUMBER(SEARCH("Delivery",N184)),ISNUMBER(SEARCH("André",N184))),"SIM","")</f>
        <v/>
      </c>
      <c r="AI184" s="99">
        <f>IF(ISNUMBER(SEARCH("Interlagos",N184)),"SIM","")</f>
        <v/>
      </c>
      <c r="AJ184" s="99">
        <f>IF(ISNUMBER(SEARCH("Quiosque",N184)),"SIM","")</f>
        <v/>
      </c>
      <c r="AK184" s="101" t="n"/>
    </row>
    <row r="185">
      <c r="A185" s="88" t="inlineStr">
        <is>
          <t>Protheus</t>
        </is>
      </c>
      <c r="B185" s="89" t="inlineStr">
        <is>
          <t>002023</t>
        </is>
      </c>
      <c r="C185" s="90">
        <f>IF(B185="—","—",IFERROR(VLOOKUP(B185,_Protheus_Cadastro!$A:$B,2,FALSE),"—"))</f>
        <v/>
      </c>
      <c r="D185" s="91">
        <f>IF(B185="—",IFERROR(INDEX(_ZIG_Cadastro!$D:$D,MATCH(H185,_ZIG_Cadastro!$A:$A,0)),"Produto"),IFERROR(VLOOKUP(B185,_Protheus_Cadastro!$A:$C,3,FALSE),"—"))</f>
        <v/>
      </c>
      <c r="E185" s="91">
        <f>IF(B185="—","—",IFERROR(VLOOKUP(B185,_Protheus_Cadastro!$A:$D,4,FALSE),"—"))</f>
        <v/>
      </c>
      <c r="F185" s="91">
        <f>IF(ISERROR(VLOOKUP(B185,'Estrutura Protheus'!A:A,1,FALSE)),"Não","Sim")</f>
        <v/>
      </c>
      <c r="G185" s="92">
        <f>IFERROR(INDEX(_Protheus_Cadastro!$H:$H,MATCH(B185,_Protheus_Cadastro!$A:$A,0)),"—")</f>
        <v/>
      </c>
      <c r="H185" s="210">
        <f>IFERROR(INDEX(_ZIG_Precos!$D:$D,MATCH(I185,_ZIG_Precos!$F:$F,0)),"—")</f>
        <v/>
      </c>
      <c r="I185" s="95">
        <f>IFERROR(VLOOKUP(B185,_Protheus_Cadastro!$A:$I,9,FALSE),"—")</f>
        <v/>
      </c>
      <c r="J185" s="93">
        <f>IFERROR(INDEX(_ZIG_Cadastro!$B:$B,MATCH(I185,_ZIG_Cadastro!$A:$A,0)),IFERROR(INDEX(_Entradas_ZIG!$B:$B,MATCH(I185,_Entradas_ZIG!$C:$C,0)),"—"))</f>
        <v/>
      </c>
      <c r="K185" s="93">
        <f>IFERROR(INDEX(_ZIG_Cadastro!$C:$C,MATCH(I185,_ZIG_Cadastro!$A:$A,0)),IFERROR(INDEX(_Entradas_ZIG!$D:$D,MATCH(I185,_Entradas_ZIG!$C:$C,0)),"—"))</f>
        <v/>
      </c>
      <c r="L185" s="92">
        <f>IF(I185="","Sem SKU ZIG",IF(I185="—","Sem SKU ZIG",IF(NOT(ISERROR(MATCH(I185,_ZIG_Cadastro!$A:$A,0))),IF(EXACT(UPPER(TRIM(C185)),UPPER(TRIM(INDEX(_ZIG_Cadastro!$B:$B,MATCH(I185,_ZIG_Cadastro!$A:$A,0))))),"OK","Atencao - Nome diverge"),IF(NOT(ISERROR(MATCH(I185,_Entradas_ZIG!$C:$C,0))),"OK","Erro - SKU nao encontrado"))))</f>
        <v/>
      </c>
      <c r="M185" s="92">
        <f>IFERROR(INDEX(_ZIG_Cadastro!$G:$G,MATCH(I185,_ZIG_Cadastro!$A:$A,0)),IF(NOT(ISERROR(MATCH(I185,_Entradas_ZIG!$C:$C,0))),"Ativo","—"))</f>
        <v/>
      </c>
      <c r="N185" s="94">
        <f>IFERROR(INDEX(_ZIG_Cadastro!$E:$E,MATCH(I185,_ZIG_Cadastro!$A:$A,0)),IFERROR(INDEX(_Entradas_ZIG!$F:$F,MATCH(I185,_Entradas_ZIG!$C:$C,0)),"—"))</f>
        <v/>
      </c>
      <c r="O185" s="92">
        <f>IF(AND(ISNUMBER(SEARCH("Espeto",N185)),ISNUMBER(SEARCH("Carin",N185))),"SIM","")</f>
        <v/>
      </c>
      <c r="P185" s="92">
        <f>IF(AND(ISNUMBER(SEARCH("Espeto",N185)),ISNUMBER(SEARCH("Lapa",N185))),"SIM","")</f>
        <v/>
      </c>
      <c r="Q185" s="92">
        <f>IF(AND(ISNUMBER(SEARCH("Espeto",N185)),ISNUMBER(SEARCH("Tatuapé",N185))),"SIM","")</f>
        <v/>
      </c>
      <c r="R185" s="92">
        <f>IF(AND(ISNUMBER(SEARCH("Espeto",N185)),ISNUMBER(SEARCH("Pavão",N185))),"SIM","")</f>
        <v/>
      </c>
      <c r="S185" s="92">
        <f>IF(AND(ISNUMBER(SEARCH("Espeto",N185)),ISNUMBER(SEARCH("Chac",N185))),"SIM","")</f>
        <v/>
      </c>
      <c r="T185" s="92">
        <f>IF(AND(ISNUMBER(SEARCH("Espeto",N185)),ISNUMBER(SEARCH("Madalena",N185))),"SIM","")</f>
        <v/>
      </c>
      <c r="U185" s="92">
        <f>IF(AND(ISNUMBER(SEARCH("Espeto",N185)),ISNUMBER(SEARCH("Mariana",N185))),"SIM","")</f>
        <v/>
      </c>
      <c r="V185" s="92">
        <f>IF(AND(ISNUMBER(SEARCH("Espeto",N185)),ISNUMBER(SEARCH("Perdizes",N185))),"SIM","")</f>
        <v/>
      </c>
      <c r="W185" s="92">
        <f>IF(AND(ISNUMBER(SEARCH("Espeto",N185)),ISNUMBER(SEARCH("Santana",N185))),"SIM","")</f>
        <v/>
      </c>
      <c r="X185" s="92">
        <f>IF(AND(ISNUMBER(SEARCH("Espeto",N185)),ISNUMBER(SEARCH("André",N185))),"SIM","")</f>
        <v/>
      </c>
      <c r="Y185" s="92">
        <f>IF(AND(ISNUMBER(SEARCH("Delivery",N185)),ISNUMBER(SEARCH("Carin",N185))),"SIM","")</f>
        <v/>
      </c>
      <c r="Z185" s="92">
        <f>IF(AND(ISNUMBER(SEARCH("Delivery",N185)),ISNUMBER(SEARCH("Lapa",N185))),"SIM","")</f>
        <v/>
      </c>
      <c r="AA185" s="92">
        <f>IF(AND(ISNUMBER(SEARCH("Delivery",N185)),ISNUMBER(SEARCH("Tatuapé",N185))),"SIM","")</f>
        <v/>
      </c>
      <c r="AB185" s="92">
        <f>IF(AND(ISNUMBER(SEARCH("Delivery",N185)),ISNUMBER(SEARCH("Pavão",N185))),"SIM","")</f>
        <v/>
      </c>
      <c r="AC185" s="92">
        <f>IF(AND(ISNUMBER(SEARCH("Delivery",N185)),ISNUMBER(SEARCH("Chac",N185))),"SIM","")</f>
        <v/>
      </c>
      <c r="AD185" s="92">
        <f>IF(AND(ISNUMBER(SEARCH("Delivery",N185)),ISNUMBER(SEARCH("Madalena",N185))),"SIM","")</f>
        <v/>
      </c>
      <c r="AE185" s="92">
        <f>IF(AND(ISNUMBER(SEARCH("Delivery",N185)),ISNUMBER(SEARCH("Mariana",N185))),"SIM","")</f>
        <v/>
      </c>
      <c r="AF185" s="92">
        <f>IF(AND(ISNUMBER(SEARCH("Delivery",N185)),ISNUMBER(SEARCH("Perdizes",N185))),"SIM","")</f>
        <v/>
      </c>
      <c r="AG185" s="92">
        <f>IF(AND(ISNUMBER(SEARCH("Delivery",N185)),ISNUMBER(SEARCH("Santana",N185))),"SIM","")</f>
        <v/>
      </c>
      <c r="AH185" s="92">
        <f>IF(AND(ISNUMBER(SEARCH("Delivery",N185)),ISNUMBER(SEARCH("André",N185))),"SIM","")</f>
        <v/>
      </c>
      <c r="AI185" s="92">
        <f>IF(ISNUMBER(SEARCH("Interlagos",N185)),"SIM","")</f>
        <v/>
      </c>
      <c r="AJ185" s="92">
        <f>IF(ISNUMBER(SEARCH("Quiosque",N185)),"SIM","")</f>
        <v/>
      </c>
      <c r="AK185" s="93" t="n"/>
    </row>
    <row r="186">
      <c r="A186" s="88" t="inlineStr">
        <is>
          <t>Protheus</t>
        </is>
      </c>
      <c r="B186" s="96" t="inlineStr">
        <is>
          <t>002025</t>
        </is>
      </c>
      <c r="C186" s="97">
        <f>IF(B186="—","—",IFERROR(VLOOKUP(B186,_Protheus_Cadastro!$A:$B,2,FALSE),"—"))</f>
        <v/>
      </c>
      <c r="D186" s="98">
        <f>IF(B186="—",IFERROR(INDEX(_ZIG_Cadastro!$D:$D,MATCH(H186,_ZIG_Cadastro!$A:$A,0)),"Produto"),IFERROR(VLOOKUP(B186,_Protheus_Cadastro!$A:$C,3,FALSE),"—"))</f>
        <v/>
      </c>
      <c r="E186" s="98">
        <f>IF(B186="—","—",IFERROR(VLOOKUP(B186,_Protheus_Cadastro!$A:$D,4,FALSE),"—"))</f>
        <v/>
      </c>
      <c r="F186" s="98">
        <f>IF(ISERROR(VLOOKUP(B186,'Estrutura Protheus'!A:A,1,FALSE)),"Não","Sim")</f>
        <v/>
      </c>
      <c r="G186" s="99">
        <f>IFERROR(INDEX(_Protheus_Cadastro!$H:$H,MATCH(B186,_Protheus_Cadastro!$A:$A,0)),"—")</f>
        <v/>
      </c>
      <c r="H186" s="211">
        <f>IFERROR(INDEX(_ZIG_Precos!$D:$D,MATCH(I186,_ZIG_Precos!$F:$F,0)),"—")</f>
        <v/>
      </c>
      <c r="I186" s="103">
        <f>IFERROR(VLOOKUP(B186,_Protheus_Cadastro!$A:$I,9,FALSE),"—")</f>
        <v/>
      </c>
      <c r="J186" s="101">
        <f>IFERROR(INDEX(_ZIG_Cadastro!$B:$B,MATCH(I186,_ZIG_Cadastro!$A:$A,0)),IFERROR(INDEX(_Entradas_ZIG!$B:$B,MATCH(I186,_Entradas_ZIG!$C:$C,0)),"—"))</f>
        <v/>
      </c>
      <c r="K186" s="101">
        <f>IFERROR(INDEX(_ZIG_Cadastro!$C:$C,MATCH(I186,_ZIG_Cadastro!$A:$A,0)),IFERROR(INDEX(_Entradas_ZIG!$D:$D,MATCH(I186,_Entradas_ZIG!$C:$C,0)),"—"))</f>
        <v/>
      </c>
      <c r="L186" s="99">
        <f>IF(I186="","Sem SKU ZIG",IF(I186="—","Sem SKU ZIG",IF(NOT(ISERROR(MATCH(I186,_ZIG_Cadastro!$A:$A,0))),IF(EXACT(UPPER(TRIM(C186)),UPPER(TRIM(INDEX(_ZIG_Cadastro!$B:$B,MATCH(I186,_ZIG_Cadastro!$A:$A,0))))),"OK","Atencao - Nome diverge"),IF(NOT(ISERROR(MATCH(I186,_Entradas_ZIG!$C:$C,0))),"OK","Erro - SKU nao encontrado"))))</f>
        <v/>
      </c>
      <c r="M186" s="99">
        <f>IFERROR(INDEX(_ZIG_Cadastro!$G:$G,MATCH(I186,_ZIG_Cadastro!$A:$A,0)),IF(NOT(ISERROR(MATCH(I186,_Entradas_ZIG!$C:$C,0))),"Ativo","—"))</f>
        <v/>
      </c>
      <c r="N186" s="102">
        <f>IFERROR(INDEX(_ZIG_Cadastro!$E:$E,MATCH(I186,_ZIG_Cadastro!$A:$A,0)),IFERROR(INDEX(_Entradas_ZIG!$F:$F,MATCH(I186,_Entradas_ZIG!$C:$C,0)),"—"))</f>
        <v/>
      </c>
      <c r="O186" s="99">
        <f>IF(AND(ISNUMBER(SEARCH("Espeto",N186)),ISNUMBER(SEARCH("Carin",N186))),"SIM","")</f>
        <v/>
      </c>
      <c r="P186" s="99">
        <f>IF(AND(ISNUMBER(SEARCH("Espeto",N186)),ISNUMBER(SEARCH("Lapa",N186))),"SIM","")</f>
        <v/>
      </c>
      <c r="Q186" s="99">
        <f>IF(AND(ISNUMBER(SEARCH("Espeto",N186)),ISNUMBER(SEARCH("Tatuapé",N186))),"SIM","")</f>
        <v/>
      </c>
      <c r="R186" s="99">
        <f>IF(AND(ISNUMBER(SEARCH("Espeto",N186)),ISNUMBER(SEARCH("Pavão",N186))),"SIM","")</f>
        <v/>
      </c>
      <c r="S186" s="99">
        <f>IF(AND(ISNUMBER(SEARCH("Espeto",N186)),ISNUMBER(SEARCH("Chac",N186))),"SIM","")</f>
        <v/>
      </c>
      <c r="T186" s="99">
        <f>IF(AND(ISNUMBER(SEARCH("Espeto",N186)),ISNUMBER(SEARCH("Madalena",N186))),"SIM","")</f>
        <v/>
      </c>
      <c r="U186" s="99">
        <f>IF(AND(ISNUMBER(SEARCH("Espeto",N186)),ISNUMBER(SEARCH("Mariana",N186))),"SIM","")</f>
        <v/>
      </c>
      <c r="V186" s="99">
        <f>IF(AND(ISNUMBER(SEARCH("Espeto",N186)),ISNUMBER(SEARCH("Perdizes",N186))),"SIM","")</f>
        <v/>
      </c>
      <c r="W186" s="99">
        <f>IF(AND(ISNUMBER(SEARCH("Espeto",N186)),ISNUMBER(SEARCH("Santana",N186))),"SIM","")</f>
        <v/>
      </c>
      <c r="X186" s="99">
        <f>IF(AND(ISNUMBER(SEARCH("Espeto",N186)),ISNUMBER(SEARCH("André",N186))),"SIM","")</f>
        <v/>
      </c>
      <c r="Y186" s="99">
        <f>IF(AND(ISNUMBER(SEARCH("Delivery",N186)),ISNUMBER(SEARCH("Carin",N186))),"SIM","")</f>
        <v/>
      </c>
      <c r="Z186" s="99">
        <f>IF(AND(ISNUMBER(SEARCH("Delivery",N186)),ISNUMBER(SEARCH("Lapa",N186))),"SIM","")</f>
        <v/>
      </c>
      <c r="AA186" s="99">
        <f>IF(AND(ISNUMBER(SEARCH("Delivery",N186)),ISNUMBER(SEARCH("Tatuapé",N186))),"SIM","")</f>
        <v/>
      </c>
      <c r="AB186" s="99">
        <f>IF(AND(ISNUMBER(SEARCH("Delivery",N186)),ISNUMBER(SEARCH("Pavão",N186))),"SIM","")</f>
        <v/>
      </c>
      <c r="AC186" s="99">
        <f>IF(AND(ISNUMBER(SEARCH("Delivery",N186)),ISNUMBER(SEARCH("Chac",N186))),"SIM","")</f>
        <v/>
      </c>
      <c r="AD186" s="99">
        <f>IF(AND(ISNUMBER(SEARCH("Delivery",N186)),ISNUMBER(SEARCH("Madalena",N186))),"SIM","")</f>
        <v/>
      </c>
      <c r="AE186" s="99">
        <f>IF(AND(ISNUMBER(SEARCH("Delivery",N186)),ISNUMBER(SEARCH("Mariana",N186))),"SIM","")</f>
        <v/>
      </c>
      <c r="AF186" s="99">
        <f>IF(AND(ISNUMBER(SEARCH("Delivery",N186)),ISNUMBER(SEARCH("Perdizes",N186))),"SIM","")</f>
        <v/>
      </c>
      <c r="AG186" s="99">
        <f>IF(AND(ISNUMBER(SEARCH("Delivery",N186)),ISNUMBER(SEARCH("Santana",N186))),"SIM","")</f>
        <v/>
      </c>
      <c r="AH186" s="99">
        <f>IF(AND(ISNUMBER(SEARCH("Delivery",N186)),ISNUMBER(SEARCH("André",N186))),"SIM","")</f>
        <v/>
      </c>
      <c r="AI186" s="99">
        <f>IF(ISNUMBER(SEARCH("Interlagos",N186)),"SIM","")</f>
        <v/>
      </c>
      <c r="AJ186" s="99">
        <f>IF(ISNUMBER(SEARCH("Quiosque",N186)),"SIM","")</f>
        <v/>
      </c>
      <c r="AK186" s="101" t="n"/>
    </row>
    <row r="187">
      <c r="A187" s="88" t="inlineStr">
        <is>
          <t>Protheus</t>
        </is>
      </c>
      <c r="B187" s="89" t="inlineStr">
        <is>
          <t>001007</t>
        </is>
      </c>
      <c r="C187" s="90">
        <f>IF(B187="—","—",IFERROR(VLOOKUP(B187,_Protheus_Cadastro!$A:$B,2,FALSE),"—"))</f>
        <v/>
      </c>
      <c r="D187" s="91">
        <f>IF(B187="—",IFERROR(INDEX(_ZIG_Cadastro!$D:$D,MATCH(H187,_ZIG_Cadastro!$A:$A,0)),"Produto"),IFERROR(VLOOKUP(B187,_Protheus_Cadastro!$A:$C,3,FALSE),"—"))</f>
        <v/>
      </c>
      <c r="E187" s="91">
        <f>IF(B187="—","—",IFERROR(VLOOKUP(B187,_Protheus_Cadastro!$A:$D,4,FALSE),"—"))</f>
        <v/>
      </c>
      <c r="F187" s="91">
        <f>IF(ISERROR(VLOOKUP(B187,'Estrutura Protheus'!A:A,1,FALSE)),"Não","Sim")</f>
        <v/>
      </c>
      <c r="G187" s="92">
        <f>IFERROR(INDEX(_Protheus_Cadastro!$H:$H,MATCH(B187,_Protheus_Cadastro!$A:$A,0)),"—")</f>
        <v/>
      </c>
      <c r="H187" s="210">
        <f>IFERROR(INDEX(_ZIG_Precos!$D:$D,MATCH(I187,_ZIG_Precos!$F:$F,0)),"—")</f>
        <v/>
      </c>
      <c r="I187" s="95">
        <f>IFERROR(VLOOKUP(B187,_Protheus_Cadastro!$A:$I,9,FALSE),"—")</f>
        <v/>
      </c>
      <c r="J187" s="93">
        <f>IFERROR(INDEX(_ZIG_Cadastro!$B:$B,MATCH(I187,_ZIG_Cadastro!$A:$A,0)),IFERROR(INDEX(_Entradas_ZIG!$B:$B,MATCH(I187,_Entradas_ZIG!$C:$C,0)),"—"))</f>
        <v/>
      </c>
      <c r="K187" s="93">
        <f>IFERROR(INDEX(_ZIG_Cadastro!$C:$C,MATCH(I187,_ZIG_Cadastro!$A:$A,0)),IFERROR(INDEX(_Entradas_ZIG!$D:$D,MATCH(I187,_Entradas_ZIG!$C:$C,0)),"—"))</f>
        <v/>
      </c>
      <c r="L187" s="92">
        <f>IF(I187="","Sem SKU ZIG",IF(I187="—","Sem SKU ZIG",IF(NOT(ISERROR(MATCH(I187,_ZIG_Cadastro!$A:$A,0))),IF(EXACT(UPPER(TRIM(C187)),UPPER(TRIM(INDEX(_ZIG_Cadastro!$B:$B,MATCH(I187,_ZIG_Cadastro!$A:$A,0))))),"OK","Atencao - Nome diverge"),IF(NOT(ISERROR(MATCH(I187,_Entradas_ZIG!$C:$C,0))),"OK","Erro - SKU nao encontrado"))))</f>
        <v/>
      </c>
      <c r="M187" s="92">
        <f>IFERROR(INDEX(_ZIG_Cadastro!$G:$G,MATCH(I187,_ZIG_Cadastro!$A:$A,0)),IF(NOT(ISERROR(MATCH(I187,_Entradas_ZIG!$C:$C,0))),"Ativo","—"))</f>
        <v/>
      </c>
      <c r="N187" s="94">
        <f>IFERROR(INDEX(_ZIG_Cadastro!$E:$E,MATCH(I187,_ZIG_Cadastro!$A:$A,0)),IFERROR(INDEX(_Entradas_ZIG!$F:$F,MATCH(I187,_Entradas_ZIG!$C:$C,0)),"—"))</f>
        <v/>
      </c>
      <c r="O187" s="92">
        <f>IF(AND(ISNUMBER(SEARCH("Espeto",N187)),ISNUMBER(SEARCH("Carin",N187))),"SIM","")</f>
        <v/>
      </c>
      <c r="P187" s="92">
        <f>IF(AND(ISNUMBER(SEARCH("Espeto",N187)),ISNUMBER(SEARCH("Lapa",N187))),"SIM","")</f>
        <v/>
      </c>
      <c r="Q187" s="92">
        <f>IF(AND(ISNUMBER(SEARCH("Espeto",N187)),ISNUMBER(SEARCH("Tatuapé",N187))),"SIM","")</f>
        <v/>
      </c>
      <c r="R187" s="92">
        <f>IF(AND(ISNUMBER(SEARCH("Espeto",N187)),ISNUMBER(SEARCH("Pavão",N187))),"SIM","")</f>
        <v/>
      </c>
      <c r="S187" s="92">
        <f>IF(AND(ISNUMBER(SEARCH("Espeto",N187)),ISNUMBER(SEARCH("Chac",N187))),"SIM","")</f>
        <v/>
      </c>
      <c r="T187" s="92">
        <f>IF(AND(ISNUMBER(SEARCH("Espeto",N187)),ISNUMBER(SEARCH("Madalena",N187))),"SIM","")</f>
        <v/>
      </c>
      <c r="U187" s="92">
        <f>IF(AND(ISNUMBER(SEARCH("Espeto",N187)),ISNUMBER(SEARCH("Mariana",N187))),"SIM","")</f>
        <v/>
      </c>
      <c r="V187" s="92">
        <f>IF(AND(ISNUMBER(SEARCH("Espeto",N187)),ISNUMBER(SEARCH("Perdizes",N187))),"SIM","")</f>
        <v/>
      </c>
      <c r="W187" s="92">
        <f>IF(AND(ISNUMBER(SEARCH("Espeto",N187)),ISNUMBER(SEARCH("Santana",N187))),"SIM","")</f>
        <v/>
      </c>
      <c r="X187" s="92">
        <f>IF(AND(ISNUMBER(SEARCH("Espeto",N187)),ISNUMBER(SEARCH("André",N187))),"SIM","")</f>
        <v/>
      </c>
      <c r="Y187" s="92">
        <f>IF(AND(ISNUMBER(SEARCH("Delivery",N187)),ISNUMBER(SEARCH("Carin",N187))),"SIM","")</f>
        <v/>
      </c>
      <c r="Z187" s="92">
        <f>IF(AND(ISNUMBER(SEARCH("Delivery",N187)),ISNUMBER(SEARCH("Lapa",N187))),"SIM","")</f>
        <v/>
      </c>
      <c r="AA187" s="92">
        <f>IF(AND(ISNUMBER(SEARCH("Delivery",N187)),ISNUMBER(SEARCH("Tatuapé",N187))),"SIM","")</f>
        <v/>
      </c>
      <c r="AB187" s="92">
        <f>IF(AND(ISNUMBER(SEARCH("Delivery",N187)),ISNUMBER(SEARCH("Pavão",N187))),"SIM","")</f>
        <v/>
      </c>
      <c r="AC187" s="92">
        <f>IF(AND(ISNUMBER(SEARCH("Delivery",N187)),ISNUMBER(SEARCH("Chac",N187))),"SIM","")</f>
        <v/>
      </c>
      <c r="AD187" s="92">
        <f>IF(AND(ISNUMBER(SEARCH("Delivery",N187)),ISNUMBER(SEARCH("Madalena",N187))),"SIM","")</f>
        <v/>
      </c>
      <c r="AE187" s="92">
        <f>IF(AND(ISNUMBER(SEARCH("Delivery",N187)),ISNUMBER(SEARCH("Mariana",N187))),"SIM","")</f>
        <v/>
      </c>
      <c r="AF187" s="92">
        <f>IF(AND(ISNUMBER(SEARCH("Delivery",N187)),ISNUMBER(SEARCH("Perdizes",N187))),"SIM","")</f>
        <v/>
      </c>
      <c r="AG187" s="92">
        <f>IF(AND(ISNUMBER(SEARCH("Delivery",N187)),ISNUMBER(SEARCH("Santana",N187))),"SIM","")</f>
        <v/>
      </c>
      <c r="AH187" s="92">
        <f>IF(AND(ISNUMBER(SEARCH("Delivery",N187)),ISNUMBER(SEARCH("André",N187))),"SIM","")</f>
        <v/>
      </c>
      <c r="AI187" s="92">
        <f>IF(ISNUMBER(SEARCH("Interlagos",N187)),"SIM","")</f>
        <v/>
      </c>
      <c r="AJ187" s="92">
        <f>IF(ISNUMBER(SEARCH("Quiosque",N187)),"SIM","")</f>
        <v/>
      </c>
      <c r="AK187" s="93" t="n"/>
    </row>
    <row r="188">
      <c r="A188" s="88" t="inlineStr">
        <is>
          <t>Protheus</t>
        </is>
      </c>
      <c r="B188" s="96" t="inlineStr">
        <is>
          <t>002053</t>
        </is>
      </c>
      <c r="C188" s="97">
        <f>IF(B188="—","—",IFERROR(VLOOKUP(B188,_Protheus_Cadastro!$A:$B,2,FALSE),"—"))</f>
        <v/>
      </c>
      <c r="D188" s="98">
        <f>IF(B188="—",IFERROR(INDEX(_ZIG_Cadastro!$D:$D,MATCH(H188,_ZIG_Cadastro!$A:$A,0)),"Produto"),IFERROR(VLOOKUP(B188,_Protheus_Cadastro!$A:$C,3,FALSE),"—"))</f>
        <v/>
      </c>
      <c r="E188" s="98">
        <f>IF(B188="—","—",IFERROR(VLOOKUP(B188,_Protheus_Cadastro!$A:$D,4,FALSE),"—"))</f>
        <v/>
      </c>
      <c r="F188" s="98">
        <f>IF(ISERROR(VLOOKUP(B188,'Estrutura Protheus'!A:A,1,FALSE)),"Não","Sim")</f>
        <v/>
      </c>
      <c r="G188" s="99">
        <f>IFERROR(INDEX(_Protheus_Cadastro!$H:$H,MATCH(B188,_Protheus_Cadastro!$A:$A,0)),"—")</f>
        <v/>
      </c>
      <c r="H188" s="211">
        <f>IFERROR(INDEX(_ZIG_Precos!$D:$D,MATCH(I188,_ZIG_Precos!$F:$F,0)),"—")</f>
        <v/>
      </c>
      <c r="I188" s="103">
        <f>IFERROR(VLOOKUP(B188,_Protheus_Cadastro!$A:$I,9,FALSE),"—")</f>
        <v/>
      </c>
      <c r="J188" s="101">
        <f>IFERROR(INDEX(_ZIG_Cadastro!$B:$B,MATCH(I188,_ZIG_Cadastro!$A:$A,0)),IFERROR(INDEX(_Entradas_ZIG!$B:$B,MATCH(I188,_Entradas_ZIG!$C:$C,0)),"—"))</f>
        <v/>
      </c>
      <c r="K188" s="101">
        <f>IFERROR(INDEX(_ZIG_Cadastro!$C:$C,MATCH(I188,_ZIG_Cadastro!$A:$A,0)),IFERROR(INDEX(_Entradas_ZIG!$D:$D,MATCH(I188,_Entradas_ZIG!$C:$C,0)),"—"))</f>
        <v/>
      </c>
      <c r="L188" s="99">
        <f>IF(I188="","Sem SKU ZIG",IF(I188="—","Sem SKU ZIG",IF(NOT(ISERROR(MATCH(I188,_ZIG_Cadastro!$A:$A,0))),IF(EXACT(UPPER(TRIM(C188)),UPPER(TRIM(INDEX(_ZIG_Cadastro!$B:$B,MATCH(I188,_ZIG_Cadastro!$A:$A,0))))),"OK","Atencao - Nome diverge"),IF(NOT(ISERROR(MATCH(I188,_Entradas_ZIG!$C:$C,0))),"OK","Erro - SKU nao encontrado"))))</f>
        <v/>
      </c>
      <c r="M188" s="99">
        <f>IFERROR(INDEX(_ZIG_Cadastro!$G:$G,MATCH(I188,_ZIG_Cadastro!$A:$A,0)),IF(NOT(ISERROR(MATCH(I188,_Entradas_ZIG!$C:$C,0))),"Ativo","—"))</f>
        <v/>
      </c>
      <c r="N188" s="102">
        <f>IFERROR(INDEX(_ZIG_Cadastro!$E:$E,MATCH(I188,_ZIG_Cadastro!$A:$A,0)),IFERROR(INDEX(_Entradas_ZIG!$F:$F,MATCH(I188,_Entradas_ZIG!$C:$C,0)),"—"))</f>
        <v/>
      </c>
      <c r="O188" s="99">
        <f>IF(AND(ISNUMBER(SEARCH("Espeto",N188)),ISNUMBER(SEARCH("Carin",N188))),"SIM","")</f>
        <v/>
      </c>
      <c r="P188" s="99">
        <f>IF(AND(ISNUMBER(SEARCH("Espeto",N188)),ISNUMBER(SEARCH("Lapa",N188))),"SIM","")</f>
        <v/>
      </c>
      <c r="Q188" s="99">
        <f>IF(AND(ISNUMBER(SEARCH("Espeto",N188)),ISNUMBER(SEARCH("Tatuapé",N188))),"SIM","")</f>
        <v/>
      </c>
      <c r="R188" s="99">
        <f>IF(AND(ISNUMBER(SEARCH("Espeto",N188)),ISNUMBER(SEARCH("Pavão",N188))),"SIM","")</f>
        <v/>
      </c>
      <c r="S188" s="99">
        <f>IF(AND(ISNUMBER(SEARCH("Espeto",N188)),ISNUMBER(SEARCH("Chac",N188))),"SIM","")</f>
        <v/>
      </c>
      <c r="T188" s="99">
        <f>IF(AND(ISNUMBER(SEARCH("Espeto",N188)),ISNUMBER(SEARCH("Madalena",N188))),"SIM","")</f>
        <v/>
      </c>
      <c r="U188" s="99">
        <f>IF(AND(ISNUMBER(SEARCH("Espeto",N188)),ISNUMBER(SEARCH("Mariana",N188))),"SIM","")</f>
        <v/>
      </c>
      <c r="V188" s="99">
        <f>IF(AND(ISNUMBER(SEARCH("Espeto",N188)),ISNUMBER(SEARCH("Perdizes",N188))),"SIM","")</f>
        <v/>
      </c>
      <c r="W188" s="99">
        <f>IF(AND(ISNUMBER(SEARCH("Espeto",N188)),ISNUMBER(SEARCH("Santana",N188))),"SIM","")</f>
        <v/>
      </c>
      <c r="X188" s="99">
        <f>IF(AND(ISNUMBER(SEARCH("Espeto",N188)),ISNUMBER(SEARCH("André",N188))),"SIM","")</f>
        <v/>
      </c>
      <c r="Y188" s="99">
        <f>IF(AND(ISNUMBER(SEARCH("Delivery",N188)),ISNUMBER(SEARCH("Carin",N188))),"SIM","")</f>
        <v/>
      </c>
      <c r="Z188" s="99">
        <f>IF(AND(ISNUMBER(SEARCH("Delivery",N188)),ISNUMBER(SEARCH("Lapa",N188))),"SIM","")</f>
        <v/>
      </c>
      <c r="AA188" s="99">
        <f>IF(AND(ISNUMBER(SEARCH("Delivery",N188)),ISNUMBER(SEARCH("Tatuapé",N188))),"SIM","")</f>
        <v/>
      </c>
      <c r="AB188" s="99">
        <f>IF(AND(ISNUMBER(SEARCH("Delivery",N188)),ISNUMBER(SEARCH("Pavão",N188))),"SIM","")</f>
        <v/>
      </c>
      <c r="AC188" s="99">
        <f>IF(AND(ISNUMBER(SEARCH("Delivery",N188)),ISNUMBER(SEARCH("Chac",N188))),"SIM","")</f>
        <v/>
      </c>
      <c r="AD188" s="99">
        <f>IF(AND(ISNUMBER(SEARCH("Delivery",N188)),ISNUMBER(SEARCH("Madalena",N188))),"SIM","")</f>
        <v/>
      </c>
      <c r="AE188" s="99">
        <f>IF(AND(ISNUMBER(SEARCH("Delivery",N188)),ISNUMBER(SEARCH("Mariana",N188))),"SIM","")</f>
        <v/>
      </c>
      <c r="AF188" s="99">
        <f>IF(AND(ISNUMBER(SEARCH("Delivery",N188)),ISNUMBER(SEARCH("Perdizes",N188))),"SIM","")</f>
        <v/>
      </c>
      <c r="AG188" s="99">
        <f>IF(AND(ISNUMBER(SEARCH("Delivery",N188)),ISNUMBER(SEARCH("Santana",N188))),"SIM","")</f>
        <v/>
      </c>
      <c r="AH188" s="99">
        <f>IF(AND(ISNUMBER(SEARCH("Delivery",N188)),ISNUMBER(SEARCH("André",N188))),"SIM","")</f>
        <v/>
      </c>
      <c r="AI188" s="99">
        <f>IF(ISNUMBER(SEARCH("Interlagos",N188)),"SIM","")</f>
        <v/>
      </c>
      <c r="AJ188" s="99">
        <f>IF(ISNUMBER(SEARCH("Quiosque",N188)),"SIM","")</f>
        <v/>
      </c>
      <c r="AK188" s="101" t="n"/>
    </row>
    <row r="189">
      <c r="A189" s="88" t="inlineStr">
        <is>
          <t>Protheus</t>
        </is>
      </c>
      <c r="B189" s="89" t="inlineStr">
        <is>
          <t>009844</t>
        </is>
      </c>
      <c r="C189" s="90">
        <f>IF(B189="—","—",IFERROR(VLOOKUP(B189,_Protheus_Cadastro!$A:$B,2,FALSE),"—"))</f>
        <v/>
      </c>
      <c r="D189" s="91">
        <f>IF(B189="—",IFERROR(INDEX(_ZIG_Cadastro!$D:$D,MATCH(H189,_ZIG_Cadastro!$A:$A,0)),"Produto"),IFERROR(VLOOKUP(B189,_Protheus_Cadastro!$A:$C,3,FALSE),"—"))</f>
        <v/>
      </c>
      <c r="E189" s="91">
        <f>IF(B189="—","—",IFERROR(VLOOKUP(B189,_Protheus_Cadastro!$A:$D,4,FALSE),"—"))</f>
        <v/>
      </c>
      <c r="F189" s="91">
        <f>IF(ISERROR(VLOOKUP(B189,'Estrutura Protheus'!A:A,1,FALSE)),"Não","Sim")</f>
        <v/>
      </c>
      <c r="G189" s="92">
        <f>IFERROR(INDEX(_Protheus_Cadastro!$H:$H,MATCH(B189,_Protheus_Cadastro!$A:$A,0)),"—")</f>
        <v/>
      </c>
      <c r="H189" s="210">
        <f>IFERROR(INDEX(_ZIG_Precos!$D:$D,MATCH(I189,_ZIG_Precos!$F:$F,0)),"—")</f>
        <v/>
      </c>
      <c r="I189" s="95">
        <f>IFERROR(VLOOKUP(B189,_Protheus_Cadastro!$A:$I,9,FALSE),"—")</f>
        <v/>
      </c>
      <c r="J189" s="93">
        <f>IFERROR(INDEX(_ZIG_Cadastro!$B:$B,MATCH(I189,_ZIG_Cadastro!$A:$A,0)),IFERROR(INDEX(_Entradas_ZIG!$B:$B,MATCH(I189,_Entradas_ZIG!$C:$C,0)),"—"))</f>
        <v/>
      </c>
      <c r="K189" s="93">
        <f>IFERROR(INDEX(_ZIG_Cadastro!$C:$C,MATCH(I189,_ZIG_Cadastro!$A:$A,0)),IFERROR(INDEX(_Entradas_ZIG!$D:$D,MATCH(I189,_Entradas_ZIG!$C:$C,0)),"—"))</f>
        <v/>
      </c>
      <c r="L189" s="92">
        <f>IF(I189="","Sem SKU ZIG",IF(I189="—","Sem SKU ZIG",IF(NOT(ISERROR(MATCH(I189,_ZIG_Cadastro!$A:$A,0))),IF(EXACT(UPPER(TRIM(C189)),UPPER(TRIM(INDEX(_ZIG_Cadastro!$B:$B,MATCH(I189,_ZIG_Cadastro!$A:$A,0))))),"OK","Atencao - Nome diverge"),IF(NOT(ISERROR(MATCH(I189,_Entradas_ZIG!$C:$C,0))),"OK","Erro - SKU nao encontrado"))))</f>
        <v/>
      </c>
      <c r="M189" s="92">
        <f>IFERROR(INDEX(_ZIG_Cadastro!$G:$G,MATCH(I189,_ZIG_Cadastro!$A:$A,0)),IF(NOT(ISERROR(MATCH(I189,_Entradas_ZIG!$C:$C,0))),"Ativo","—"))</f>
        <v/>
      </c>
      <c r="N189" s="94">
        <f>IFERROR(INDEX(_ZIG_Cadastro!$E:$E,MATCH(I189,_ZIG_Cadastro!$A:$A,0)),IFERROR(INDEX(_Entradas_ZIG!$F:$F,MATCH(I189,_Entradas_ZIG!$C:$C,0)),"—"))</f>
        <v/>
      </c>
      <c r="O189" s="92">
        <f>IF(AND(ISNUMBER(SEARCH("Espeto",N189)),ISNUMBER(SEARCH("Carin",N189))),"SIM","")</f>
        <v/>
      </c>
      <c r="P189" s="92">
        <f>IF(AND(ISNUMBER(SEARCH("Espeto",N189)),ISNUMBER(SEARCH("Lapa",N189))),"SIM","")</f>
        <v/>
      </c>
      <c r="Q189" s="92">
        <f>IF(AND(ISNUMBER(SEARCH("Espeto",N189)),ISNUMBER(SEARCH("Tatuapé",N189))),"SIM","")</f>
        <v/>
      </c>
      <c r="R189" s="92">
        <f>IF(AND(ISNUMBER(SEARCH("Espeto",N189)),ISNUMBER(SEARCH("Pavão",N189))),"SIM","")</f>
        <v/>
      </c>
      <c r="S189" s="92">
        <f>IF(AND(ISNUMBER(SEARCH("Espeto",N189)),ISNUMBER(SEARCH("Chac",N189))),"SIM","")</f>
        <v/>
      </c>
      <c r="T189" s="92">
        <f>IF(AND(ISNUMBER(SEARCH("Espeto",N189)),ISNUMBER(SEARCH("Madalena",N189))),"SIM","")</f>
        <v/>
      </c>
      <c r="U189" s="92">
        <f>IF(AND(ISNUMBER(SEARCH("Espeto",N189)),ISNUMBER(SEARCH("Mariana",N189))),"SIM","")</f>
        <v/>
      </c>
      <c r="V189" s="92">
        <f>IF(AND(ISNUMBER(SEARCH("Espeto",N189)),ISNUMBER(SEARCH("Perdizes",N189))),"SIM","")</f>
        <v/>
      </c>
      <c r="W189" s="92">
        <f>IF(AND(ISNUMBER(SEARCH("Espeto",N189)),ISNUMBER(SEARCH("Santana",N189))),"SIM","")</f>
        <v/>
      </c>
      <c r="X189" s="92">
        <f>IF(AND(ISNUMBER(SEARCH("Espeto",N189)),ISNUMBER(SEARCH("André",N189))),"SIM","")</f>
        <v/>
      </c>
      <c r="Y189" s="92">
        <f>IF(AND(ISNUMBER(SEARCH("Delivery",N189)),ISNUMBER(SEARCH("Carin",N189))),"SIM","")</f>
        <v/>
      </c>
      <c r="Z189" s="92">
        <f>IF(AND(ISNUMBER(SEARCH("Delivery",N189)),ISNUMBER(SEARCH("Lapa",N189))),"SIM","")</f>
        <v/>
      </c>
      <c r="AA189" s="92">
        <f>IF(AND(ISNUMBER(SEARCH("Delivery",N189)),ISNUMBER(SEARCH("Tatuapé",N189))),"SIM","")</f>
        <v/>
      </c>
      <c r="AB189" s="92">
        <f>IF(AND(ISNUMBER(SEARCH("Delivery",N189)),ISNUMBER(SEARCH("Pavão",N189))),"SIM","")</f>
        <v/>
      </c>
      <c r="AC189" s="92">
        <f>IF(AND(ISNUMBER(SEARCH("Delivery",N189)),ISNUMBER(SEARCH("Chac",N189))),"SIM","")</f>
        <v/>
      </c>
      <c r="AD189" s="92">
        <f>IF(AND(ISNUMBER(SEARCH("Delivery",N189)),ISNUMBER(SEARCH("Madalena",N189))),"SIM","")</f>
        <v/>
      </c>
      <c r="AE189" s="92">
        <f>IF(AND(ISNUMBER(SEARCH("Delivery",N189)),ISNUMBER(SEARCH("Mariana",N189))),"SIM","")</f>
        <v/>
      </c>
      <c r="AF189" s="92">
        <f>IF(AND(ISNUMBER(SEARCH("Delivery",N189)),ISNUMBER(SEARCH("Perdizes",N189))),"SIM","")</f>
        <v/>
      </c>
      <c r="AG189" s="92">
        <f>IF(AND(ISNUMBER(SEARCH("Delivery",N189)),ISNUMBER(SEARCH("Santana",N189))),"SIM","")</f>
        <v/>
      </c>
      <c r="AH189" s="92">
        <f>IF(AND(ISNUMBER(SEARCH("Delivery",N189)),ISNUMBER(SEARCH("André",N189))),"SIM","")</f>
        <v/>
      </c>
      <c r="AI189" s="92">
        <f>IF(ISNUMBER(SEARCH("Interlagos",N189)),"SIM","")</f>
        <v/>
      </c>
      <c r="AJ189" s="92">
        <f>IF(ISNUMBER(SEARCH("Quiosque",N189)),"SIM","")</f>
        <v/>
      </c>
      <c r="AK189" s="93" t="n"/>
    </row>
    <row r="190">
      <c r="A190" s="88" t="inlineStr">
        <is>
          <t>Protheus</t>
        </is>
      </c>
      <c r="B190" s="96" t="inlineStr">
        <is>
          <t>001204</t>
        </is>
      </c>
      <c r="C190" s="97">
        <f>IF(B190="—","—",IFERROR(VLOOKUP(B190,_Protheus_Cadastro!$A:$B,2,FALSE),"—"))</f>
        <v/>
      </c>
      <c r="D190" s="98">
        <f>IF(B190="—",IFERROR(INDEX(_ZIG_Cadastro!$D:$D,MATCH(H190,_ZIG_Cadastro!$A:$A,0)),"Produto"),IFERROR(VLOOKUP(B190,_Protheus_Cadastro!$A:$C,3,FALSE),"—"))</f>
        <v/>
      </c>
      <c r="E190" s="98">
        <f>IF(B190="—","—",IFERROR(VLOOKUP(B190,_Protheus_Cadastro!$A:$D,4,FALSE),"—"))</f>
        <v/>
      </c>
      <c r="F190" s="98">
        <f>IF(ISERROR(VLOOKUP(B190,'Estrutura Protheus'!A:A,1,FALSE)),"Não","Sim")</f>
        <v/>
      </c>
      <c r="G190" s="99">
        <f>IFERROR(INDEX(_Protheus_Cadastro!$H:$H,MATCH(B190,_Protheus_Cadastro!$A:$A,0)),"—")</f>
        <v/>
      </c>
      <c r="H190" s="211">
        <f>IFERROR(INDEX(_ZIG_Precos!$D:$D,MATCH(I190,_ZIG_Precos!$F:$F,0)),"—")</f>
        <v/>
      </c>
      <c r="I190" s="103">
        <f>IFERROR(VLOOKUP(B190,_Protheus_Cadastro!$A:$I,9,FALSE),"—")</f>
        <v/>
      </c>
      <c r="J190" s="101">
        <f>IFERROR(INDEX(_ZIG_Cadastro!$B:$B,MATCH(I190,_ZIG_Cadastro!$A:$A,0)),IFERROR(INDEX(_Entradas_ZIG!$B:$B,MATCH(I190,_Entradas_ZIG!$C:$C,0)),"—"))</f>
        <v/>
      </c>
      <c r="K190" s="101">
        <f>IFERROR(INDEX(_ZIG_Cadastro!$C:$C,MATCH(I190,_ZIG_Cadastro!$A:$A,0)),IFERROR(INDEX(_Entradas_ZIG!$D:$D,MATCH(I190,_Entradas_ZIG!$C:$C,0)),"—"))</f>
        <v/>
      </c>
      <c r="L190" s="99">
        <f>IF(I190="","Sem SKU ZIG",IF(I190="—","Sem SKU ZIG",IF(NOT(ISERROR(MATCH(I190,_ZIG_Cadastro!$A:$A,0))),IF(EXACT(UPPER(TRIM(C190)),UPPER(TRIM(INDEX(_ZIG_Cadastro!$B:$B,MATCH(I190,_ZIG_Cadastro!$A:$A,0))))),"OK","Atencao - Nome diverge"),IF(NOT(ISERROR(MATCH(I190,_Entradas_ZIG!$C:$C,0))),"OK","Erro - SKU nao encontrado"))))</f>
        <v/>
      </c>
      <c r="M190" s="99">
        <f>IFERROR(INDEX(_ZIG_Cadastro!$G:$G,MATCH(I190,_ZIG_Cadastro!$A:$A,0)),IF(NOT(ISERROR(MATCH(I190,_Entradas_ZIG!$C:$C,0))),"Ativo","—"))</f>
        <v/>
      </c>
      <c r="N190" s="102">
        <f>IFERROR(INDEX(_ZIG_Cadastro!$E:$E,MATCH(I190,_ZIG_Cadastro!$A:$A,0)),IFERROR(INDEX(_Entradas_ZIG!$F:$F,MATCH(I190,_Entradas_ZIG!$C:$C,0)),"—"))</f>
        <v/>
      </c>
      <c r="O190" s="99">
        <f>IF(AND(ISNUMBER(SEARCH("Espeto",N190)),ISNUMBER(SEARCH("Carin",N190))),"SIM","")</f>
        <v/>
      </c>
      <c r="P190" s="99">
        <f>IF(AND(ISNUMBER(SEARCH("Espeto",N190)),ISNUMBER(SEARCH("Lapa",N190))),"SIM","")</f>
        <v/>
      </c>
      <c r="Q190" s="99">
        <f>IF(AND(ISNUMBER(SEARCH("Espeto",N190)),ISNUMBER(SEARCH("Tatuapé",N190))),"SIM","")</f>
        <v/>
      </c>
      <c r="R190" s="99">
        <f>IF(AND(ISNUMBER(SEARCH("Espeto",N190)),ISNUMBER(SEARCH("Pavão",N190))),"SIM","")</f>
        <v/>
      </c>
      <c r="S190" s="99">
        <f>IF(AND(ISNUMBER(SEARCH("Espeto",N190)),ISNUMBER(SEARCH("Chac",N190))),"SIM","")</f>
        <v/>
      </c>
      <c r="T190" s="99">
        <f>IF(AND(ISNUMBER(SEARCH("Espeto",N190)),ISNUMBER(SEARCH("Madalena",N190))),"SIM","")</f>
        <v/>
      </c>
      <c r="U190" s="99">
        <f>IF(AND(ISNUMBER(SEARCH("Espeto",N190)),ISNUMBER(SEARCH("Mariana",N190))),"SIM","")</f>
        <v/>
      </c>
      <c r="V190" s="99">
        <f>IF(AND(ISNUMBER(SEARCH("Espeto",N190)),ISNUMBER(SEARCH("Perdizes",N190))),"SIM","")</f>
        <v/>
      </c>
      <c r="W190" s="99">
        <f>IF(AND(ISNUMBER(SEARCH("Espeto",N190)),ISNUMBER(SEARCH("Santana",N190))),"SIM","")</f>
        <v/>
      </c>
      <c r="X190" s="99">
        <f>IF(AND(ISNUMBER(SEARCH("Espeto",N190)),ISNUMBER(SEARCH("André",N190))),"SIM","")</f>
        <v/>
      </c>
      <c r="Y190" s="99">
        <f>IF(AND(ISNUMBER(SEARCH("Delivery",N190)),ISNUMBER(SEARCH("Carin",N190))),"SIM","")</f>
        <v/>
      </c>
      <c r="Z190" s="99">
        <f>IF(AND(ISNUMBER(SEARCH("Delivery",N190)),ISNUMBER(SEARCH("Lapa",N190))),"SIM","")</f>
        <v/>
      </c>
      <c r="AA190" s="99">
        <f>IF(AND(ISNUMBER(SEARCH("Delivery",N190)),ISNUMBER(SEARCH("Tatuapé",N190))),"SIM","")</f>
        <v/>
      </c>
      <c r="AB190" s="99">
        <f>IF(AND(ISNUMBER(SEARCH("Delivery",N190)),ISNUMBER(SEARCH("Pavão",N190))),"SIM","")</f>
        <v/>
      </c>
      <c r="AC190" s="99">
        <f>IF(AND(ISNUMBER(SEARCH("Delivery",N190)),ISNUMBER(SEARCH("Chac",N190))),"SIM","")</f>
        <v/>
      </c>
      <c r="AD190" s="99">
        <f>IF(AND(ISNUMBER(SEARCH("Delivery",N190)),ISNUMBER(SEARCH("Madalena",N190))),"SIM","")</f>
        <v/>
      </c>
      <c r="AE190" s="99">
        <f>IF(AND(ISNUMBER(SEARCH("Delivery",N190)),ISNUMBER(SEARCH("Mariana",N190))),"SIM","")</f>
        <v/>
      </c>
      <c r="AF190" s="99">
        <f>IF(AND(ISNUMBER(SEARCH("Delivery",N190)),ISNUMBER(SEARCH("Perdizes",N190))),"SIM","")</f>
        <v/>
      </c>
      <c r="AG190" s="99">
        <f>IF(AND(ISNUMBER(SEARCH("Delivery",N190)),ISNUMBER(SEARCH("Santana",N190))),"SIM","")</f>
        <v/>
      </c>
      <c r="AH190" s="99">
        <f>IF(AND(ISNUMBER(SEARCH("Delivery",N190)),ISNUMBER(SEARCH("André",N190))),"SIM","")</f>
        <v/>
      </c>
      <c r="AI190" s="99">
        <f>IF(ISNUMBER(SEARCH("Interlagos",N190)),"SIM","")</f>
        <v/>
      </c>
      <c r="AJ190" s="99">
        <f>IF(ISNUMBER(SEARCH("Quiosque",N190)),"SIM","")</f>
        <v/>
      </c>
      <c r="AK190" s="101" t="n"/>
    </row>
    <row r="191">
      <c r="A191" s="88" t="inlineStr">
        <is>
          <t>Protheus</t>
        </is>
      </c>
      <c r="B191" s="96" t="inlineStr">
        <is>
          <t>001060</t>
        </is>
      </c>
      <c r="C191" s="97">
        <f>IF(B191="—","—",IFERROR(VLOOKUP(B191,_Protheus_Cadastro!$A:$B,2,FALSE),"—"))</f>
        <v/>
      </c>
      <c r="D191" s="98">
        <f>IF(B191="—",IFERROR(INDEX(_ZIG_Cadastro!$D:$D,MATCH(H191,_ZIG_Cadastro!$A:$A,0)),"Produto"),IFERROR(VLOOKUP(B191,_Protheus_Cadastro!$A:$C,3,FALSE),"—"))</f>
        <v/>
      </c>
      <c r="E191" s="98">
        <f>IF(B191="—","—",IFERROR(VLOOKUP(B191,_Protheus_Cadastro!$A:$D,4,FALSE),"—"))</f>
        <v/>
      </c>
      <c r="F191" s="98">
        <f>IF(ISERROR(VLOOKUP(B191,'Estrutura Protheus'!A:A,1,FALSE)),"Não","Sim")</f>
        <v/>
      </c>
      <c r="G191" s="99">
        <f>IFERROR(INDEX(_Protheus_Cadastro!$H:$H,MATCH(B191,_Protheus_Cadastro!$A:$A,0)),"—")</f>
        <v/>
      </c>
      <c r="H191" s="211">
        <f>IFERROR(INDEX(_ZIG_Precos!$D:$D,MATCH(I191,_ZIG_Precos!$F:$F,0)),"—")</f>
        <v/>
      </c>
      <c r="I191" s="103">
        <f>IFERROR(VLOOKUP(B191,_Protheus_Cadastro!$A:$I,9,FALSE),"—")</f>
        <v/>
      </c>
      <c r="J191" s="101">
        <f>IFERROR(INDEX(_ZIG_Cadastro!$B:$B,MATCH(I191,_ZIG_Cadastro!$A:$A,0)),IFERROR(INDEX(_Entradas_ZIG!$B:$B,MATCH(I191,_Entradas_ZIG!$C:$C,0)),"—"))</f>
        <v/>
      </c>
      <c r="K191" s="101">
        <f>IFERROR(INDEX(_ZIG_Cadastro!$C:$C,MATCH(I191,_ZIG_Cadastro!$A:$A,0)),IFERROR(INDEX(_Entradas_ZIG!$D:$D,MATCH(I191,_Entradas_ZIG!$C:$C,0)),"—"))</f>
        <v/>
      </c>
      <c r="L191" s="99">
        <f>IF(I191="","Sem SKU ZIG",IF(I191="—","Sem SKU ZIG",IF(NOT(ISERROR(MATCH(I191,_ZIG_Cadastro!$A:$A,0))),IF(EXACT(UPPER(TRIM(C191)),UPPER(TRIM(INDEX(_ZIG_Cadastro!$B:$B,MATCH(I191,_ZIG_Cadastro!$A:$A,0))))),"OK","Atencao - Nome diverge"),IF(NOT(ISERROR(MATCH(I191,_Entradas_ZIG!$C:$C,0))),"OK","Erro - SKU nao encontrado"))))</f>
        <v/>
      </c>
      <c r="M191" s="99">
        <f>IFERROR(INDEX(_ZIG_Cadastro!$G:$G,MATCH(I191,_ZIG_Cadastro!$A:$A,0)),IF(NOT(ISERROR(MATCH(I191,_Entradas_ZIG!$C:$C,0))),"Ativo","—"))</f>
        <v/>
      </c>
      <c r="N191" s="102">
        <f>IFERROR(INDEX(_ZIG_Cadastro!$E:$E,MATCH(I191,_ZIG_Cadastro!$A:$A,0)),IFERROR(INDEX(_Entradas_ZIG!$F:$F,MATCH(I191,_Entradas_ZIG!$C:$C,0)),"—"))</f>
        <v/>
      </c>
      <c r="O191" s="99">
        <f>IF(AND(ISNUMBER(SEARCH("Espeto",N191)),ISNUMBER(SEARCH("Carin",N191))),"SIM","")</f>
        <v/>
      </c>
      <c r="P191" s="99">
        <f>IF(AND(ISNUMBER(SEARCH("Espeto",N191)),ISNUMBER(SEARCH("Lapa",N191))),"SIM","")</f>
        <v/>
      </c>
      <c r="Q191" s="99">
        <f>IF(AND(ISNUMBER(SEARCH("Espeto",N191)),ISNUMBER(SEARCH("Tatuapé",N191))),"SIM","")</f>
        <v/>
      </c>
      <c r="R191" s="99">
        <f>IF(AND(ISNUMBER(SEARCH("Espeto",N191)),ISNUMBER(SEARCH("Pavão",N191))),"SIM","")</f>
        <v/>
      </c>
      <c r="S191" s="99">
        <f>IF(AND(ISNUMBER(SEARCH("Espeto",N191)),ISNUMBER(SEARCH("Chac",N191))),"SIM","")</f>
        <v/>
      </c>
      <c r="T191" s="99">
        <f>IF(AND(ISNUMBER(SEARCH("Espeto",N191)),ISNUMBER(SEARCH("Madalena",N191))),"SIM","")</f>
        <v/>
      </c>
      <c r="U191" s="99">
        <f>IF(AND(ISNUMBER(SEARCH("Espeto",N191)),ISNUMBER(SEARCH("Mariana",N191))),"SIM","")</f>
        <v/>
      </c>
      <c r="V191" s="99">
        <f>IF(AND(ISNUMBER(SEARCH("Espeto",N191)),ISNUMBER(SEARCH("Perdizes",N191))),"SIM","")</f>
        <v/>
      </c>
      <c r="W191" s="99">
        <f>IF(AND(ISNUMBER(SEARCH("Espeto",N191)),ISNUMBER(SEARCH("Santana",N191))),"SIM","")</f>
        <v/>
      </c>
      <c r="X191" s="99">
        <f>IF(AND(ISNUMBER(SEARCH("Espeto",N191)),ISNUMBER(SEARCH("André",N191))),"SIM","")</f>
        <v/>
      </c>
      <c r="Y191" s="99">
        <f>IF(AND(ISNUMBER(SEARCH("Delivery",N191)),ISNUMBER(SEARCH("Carin",N191))),"SIM","")</f>
        <v/>
      </c>
      <c r="Z191" s="99">
        <f>IF(AND(ISNUMBER(SEARCH("Delivery",N191)),ISNUMBER(SEARCH("Lapa",N191))),"SIM","")</f>
        <v/>
      </c>
      <c r="AA191" s="99">
        <f>IF(AND(ISNUMBER(SEARCH("Delivery",N191)),ISNUMBER(SEARCH("Tatuapé",N191))),"SIM","")</f>
        <v/>
      </c>
      <c r="AB191" s="99">
        <f>IF(AND(ISNUMBER(SEARCH("Delivery",N191)),ISNUMBER(SEARCH("Pavão",N191))),"SIM","")</f>
        <v/>
      </c>
      <c r="AC191" s="99">
        <f>IF(AND(ISNUMBER(SEARCH("Delivery",N191)),ISNUMBER(SEARCH("Chac",N191))),"SIM","")</f>
        <v/>
      </c>
      <c r="AD191" s="99">
        <f>IF(AND(ISNUMBER(SEARCH("Delivery",N191)),ISNUMBER(SEARCH("Madalena",N191))),"SIM","")</f>
        <v/>
      </c>
      <c r="AE191" s="92">
        <f>IF(AND(ISNUMBER(SEARCH("Delivery",N191)),ISNUMBER(SEARCH("Mariana",N191))),"SIM","")</f>
        <v/>
      </c>
      <c r="AF191" s="92">
        <f>IF(AND(ISNUMBER(SEARCH("Delivery",N191)),ISNUMBER(SEARCH("Perdizes",N191))),"SIM","")</f>
        <v/>
      </c>
      <c r="AG191" s="92">
        <f>IF(AND(ISNUMBER(SEARCH("Delivery",N191)),ISNUMBER(SEARCH("Santana",N191))),"SIM","")</f>
        <v/>
      </c>
      <c r="AH191" s="92">
        <f>IF(AND(ISNUMBER(SEARCH("Delivery",N191)),ISNUMBER(SEARCH("André",N191))),"SIM","")</f>
        <v/>
      </c>
      <c r="AI191" s="92">
        <f>IF(ISNUMBER(SEARCH("Interlagos",N191)),"SIM","")</f>
        <v/>
      </c>
      <c r="AJ191" s="92">
        <f>IF(ISNUMBER(SEARCH("Quiosque",N191)),"SIM","")</f>
        <v/>
      </c>
      <c r="AK191" s="93" t="n"/>
    </row>
    <row r="192">
      <c r="A192" s="88" t="inlineStr">
        <is>
          <t>Protheus</t>
        </is>
      </c>
      <c r="B192" s="89" t="inlineStr">
        <is>
          <t>001076</t>
        </is>
      </c>
      <c r="C192" s="90">
        <f>IF(B192="—","—",IFERROR(VLOOKUP(B192,_Protheus_Cadastro!$A:$B,2,FALSE),"—"))</f>
        <v/>
      </c>
      <c r="D192" s="91">
        <f>IF(B192="—",IFERROR(INDEX(_ZIG_Cadastro!$D:$D,MATCH(H192,_ZIG_Cadastro!$A:$A,0)),"Produto"),IFERROR(VLOOKUP(B192,_Protheus_Cadastro!$A:$C,3,FALSE),"—"))</f>
        <v/>
      </c>
      <c r="E192" s="91">
        <f>IF(B192="—","—",IFERROR(VLOOKUP(B192,_Protheus_Cadastro!$A:$D,4,FALSE),"—"))</f>
        <v/>
      </c>
      <c r="F192" s="91">
        <f>IF(ISERROR(VLOOKUP(B192,'Estrutura Protheus'!A:A,1,FALSE)),"Não","Sim")</f>
        <v/>
      </c>
      <c r="G192" s="92">
        <f>IFERROR(INDEX(_Protheus_Cadastro!$H:$H,MATCH(B192,_Protheus_Cadastro!$A:$A,0)),"—")</f>
        <v/>
      </c>
      <c r="H192" s="210">
        <f>IFERROR(INDEX(_ZIG_Precos!$D:$D,MATCH(I192,_ZIG_Precos!$F:$F,0)),"—")</f>
        <v/>
      </c>
      <c r="I192" s="95">
        <f>IFERROR(VLOOKUP(B192,_Protheus_Cadastro!$A:$I,9,FALSE),"—")</f>
        <v/>
      </c>
      <c r="J192" s="93">
        <f>IFERROR(INDEX(_ZIG_Cadastro!$B:$B,MATCH(I192,_ZIG_Cadastro!$A:$A,0)),IFERROR(INDEX(_Entradas_ZIG!$B:$B,MATCH(I192,_Entradas_ZIG!$C:$C,0)),"—"))</f>
        <v/>
      </c>
      <c r="K192" s="93">
        <f>IFERROR(INDEX(_ZIG_Cadastro!$C:$C,MATCH(I192,_ZIG_Cadastro!$A:$A,0)),IFERROR(INDEX(_Entradas_ZIG!$D:$D,MATCH(I192,_Entradas_ZIG!$C:$C,0)),"—"))</f>
        <v/>
      </c>
      <c r="L192" s="92">
        <f>IF(I192="","Sem SKU ZIG",IF(I192="—","Sem SKU ZIG",IF(NOT(ISERROR(MATCH(I192,_ZIG_Cadastro!$A:$A,0))),IF(EXACT(UPPER(TRIM(C192)),UPPER(TRIM(INDEX(_ZIG_Cadastro!$B:$B,MATCH(I192,_ZIG_Cadastro!$A:$A,0))))),"OK","Atencao - Nome diverge"),IF(NOT(ISERROR(MATCH(I192,_Entradas_ZIG!$C:$C,0))),"OK","Erro - SKU nao encontrado"))))</f>
        <v/>
      </c>
      <c r="M192" s="92">
        <f>IFERROR(INDEX(_ZIG_Cadastro!$G:$G,MATCH(I192,_ZIG_Cadastro!$A:$A,0)),IF(NOT(ISERROR(MATCH(I192,_Entradas_ZIG!$C:$C,0))),"Ativo","—"))</f>
        <v/>
      </c>
      <c r="N192" s="94">
        <f>IFERROR(INDEX(_ZIG_Cadastro!$E:$E,MATCH(I192,_ZIG_Cadastro!$A:$A,0)),IFERROR(INDEX(_Entradas_ZIG!$F:$F,MATCH(I192,_Entradas_ZIG!$C:$C,0)),"—"))</f>
        <v/>
      </c>
      <c r="O192" s="92">
        <f>IF(AND(ISNUMBER(SEARCH("Espeto",N192)),ISNUMBER(SEARCH("Carin",N192))),"SIM","")</f>
        <v/>
      </c>
      <c r="P192" s="92">
        <f>IF(AND(ISNUMBER(SEARCH("Espeto",N192)),ISNUMBER(SEARCH("Lapa",N192))),"SIM","")</f>
        <v/>
      </c>
      <c r="Q192" s="92">
        <f>IF(AND(ISNUMBER(SEARCH("Espeto",N192)),ISNUMBER(SEARCH("Tatuapé",N192))),"SIM","")</f>
        <v/>
      </c>
      <c r="R192" s="92">
        <f>IF(AND(ISNUMBER(SEARCH("Espeto",N192)),ISNUMBER(SEARCH("Pavão",N192))),"SIM","")</f>
        <v/>
      </c>
      <c r="S192" s="92">
        <f>IF(AND(ISNUMBER(SEARCH("Espeto",N192)),ISNUMBER(SEARCH("Chac",N192))),"SIM","")</f>
        <v/>
      </c>
      <c r="T192" s="92">
        <f>IF(AND(ISNUMBER(SEARCH("Espeto",N192)),ISNUMBER(SEARCH("Madalena",N192))),"SIM","")</f>
        <v/>
      </c>
      <c r="U192" s="92">
        <f>IF(AND(ISNUMBER(SEARCH("Espeto",N192)),ISNUMBER(SEARCH("Mariana",N192))),"SIM","")</f>
        <v/>
      </c>
      <c r="V192" s="92">
        <f>IF(AND(ISNUMBER(SEARCH("Espeto",N192)),ISNUMBER(SEARCH("Perdizes",N192))),"SIM","")</f>
        <v/>
      </c>
      <c r="W192" s="92">
        <f>IF(AND(ISNUMBER(SEARCH("Espeto",N192)),ISNUMBER(SEARCH("Santana",N192))),"SIM","")</f>
        <v/>
      </c>
      <c r="X192" s="92">
        <f>IF(AND(ISNUMBER(SEARCH("Espeto",N192)),ISNUMBER(SEARCH("André",N192))),"SIM","")</f>
        <v/>
      </c>
      <c r="Y192" s="92">
        <f>IF(AND(ISNUMBER(SEARCH("Delivery",N192)),ISNUMBER(SEARCH("Carin",N192))),"SIM","")</f>
        <v/>
      </c>
      <c r="Z192" s="92">
        <f>IF(AND(ISNUMBER(SEARCH("Delivery",N192)),ISNUMBER(SEARCH("Lapa",N192))),"SIM","")</f>
        <v/>
      </c>
      <c r="AA192" s="92">
        <f>IF(AND(ISNUMBER(SEARCH("Delivery",N192)),ISNUMBER(SEARCH("Tatuapé",N192))),"SIM","")</f>
        <v/>
      </c>
      <c r="AB192" s="92">
        <f>IF(AND(ISNUMBER(SEARCH("Delivery",N192)),ISNUMBER(SEARCH("Pavão",N192))),"SIM","")</f>
        <v/>
      </c>
      <c r="AC192" s="92">
        <f>IF(AND(ISNUMBER(SEARCH("Delivery",N192)),ISNUMBER(SEARCH("Chac",N192))),"SIM","")</f>
        <v/>
      </c>
      <c r="AD192" s="92">
        <f>IF(AND(ISNUMBER(SEARCH("Delivery",N192)),ISNUMBER(SEARCH("Madalena",N192))),"SIM","")</f>
        <v/>
      </c>
      <c r="AE192" s="99">
        <f>IF(AND(ISNUMBER(SEARCH("Delivery",N192)),ISNUMBER(SEARCH("Mariana",N192))),"SIM","")</f>
        <v/>
      </c>
      <c r="AF192" s="99">
        <f>IF(AND(ISNUMBER(SEARCH("Delivery",N192)),ISNUMBER(SEARCH("Perdizes",N192))),"SIM","")</f>
        <v/>
      </c>
      <c r="AG192" s="99">
        <f>IF(AND(ISNUMBER(SEARCH("Delivery",N192)),ISNUMBER(SEARCH("Santana",N192))),"SIM","")</f>
        <v/>
      </c>
      <c r="AH192" s="99">
        <f>IF(AND(ISNUMBER(SEARCH("Delivery",N192)),ISNUMBER(SEARCH("André",N192))),"SIM","")</f>
        <v/>
      </c>
      <c r="AI192" s="99">
        <f>IF(ISNUMBER(SEARCH("Interlagos",N192)),"SIM","")</f>
        <v/>
      </c>
      <c r="AJ192" s="99">
        <f>IF(ISNUMBER(SEARCH("Quiosque",N192)),"SIM","")</f>
        <v/>
      </c>
      <c r="AK192" s="101" t="n"/>
    </row>
    <row r="193">
      <c r="A193" s="88" t="inlineStr">
        <is>
          <t>Protheus</t>
        </is>
      </c>
      <c r="B193" s="96" t="inlineStr">
        <is>
          <t>000057</t>
        </is>
      </c>
      <c r="C193" s="97">
        <f>IF(B193="—","—",IFERROR(VLOOKUP(B193,_Protheus_Cadastro!$A:$B,2,FALSE),"—"))</f>
        <v/>
      </c>
      <c r="D193" s="98">
        <f>IF(B193="—",IFERROR(INDEX(_ZIG_Cadastro!$D:$D,MATCH(H193,_ZIG_Cadastro!$A:$A,0)),"Produto"),IFERROR(VLOOKUP(B193,_Protheus_Cadastro!$A:$C,3,FALSE),"—"))</f>
        <v/>
      </c>
      <c r="E193" s="98">
        <f>IF(B193="—","—",IFERROR(VLOOKUP(B193,_Protheus_Cadastro!$A:$D,4,FALSE),"—"))</f>
        <v/>
      </c>
      <c r="F193" s="98">
        <f>IF(ISERROR(VLOOKUP(B193,'Estrutura Protheus'!A:A,1,FALSE)),"Não","Sim")</f>
        <v/>
      </c>
      <c r="G193" s="99">
        <f>IFERROR(INDEX(_Protheus_Cadastro!$H:$H,MATCH(B193,_Protheus_Cadastro!$A:$A,0)),"—")</f>
        <v/>
      </c>
      <c r="H193" s="211">
        <f>IFERROR(INDEX(_ZIG_Precos!$D:$D,MATCH(I193,_ZIG_Precos!$F:$F,0)),"—")</f>
        <v/>
      </c>
      <c r="I193" s="103">
        <f>IFERROR(VLOOKUP(B193,_Protheus_Cadastro!$A:$I,9,FALSE),"—")</f>
        <v/>
      </c>
      <c r="J193" s="101">
        <f>IFERROR(INDEX(_ZIG_Cadastro!$B:$B,MATCH(I193,_ZIG_Cadastro!$A:$A,0)),IFERROR(INDEX(_Entradas_ZIG!$B:$B,MATCH(I193,_Entradas_ZIG!$C:$C,0)),"—"))</f>
        <v/>
      </c>
      <c r="K193" s="101">
        <f>IFERROR(INDEX(_ZIG_Cadastro!$C:$C,MATCH(I193,_ZIG_Cadastro!$A:$A,0)),IFERROR(INDEX(_Entradas_ZIG!$D:$D,MATCH(I193,_Entradas_ZIG!$C:$C,0)),"—"))</f>
        <v/>
      </c>
      <c r="L193" s="99">
        <f>IF(I193="","Sem SKU ZIG",IF(I193="—","Sem SKU ZIG",IF(NOT(ISERROR(MATCH(I193,_ZIG_Cadastro!$A:$A,0))),IF(EXACT(UPPER(TRIM(C193)),UPPER(TRIM(INDEX(_ZIG_Cadastro!$B:$B,MATCH(I193,_ZIG_Cadastro!$A:$A,0))))),"OK","Atencao - Nome diverge"),IF(NOT(ISERROR(MATCH(I193,_Entradas_ZIG!$C:$C,0))),"OK","Erro - SKU nao encontrado"))))</f>
        <v/>
      </c>
      <c r="M193" s="99">
        <f>IFERROR(INDEX(_ZIG_Cadastro!$G:$G,MATCH(I193,_ZIG_Cadastro!$A:$A,0)),IF(NOT(ISERROR(MATCH(I193,_Entradas_ZIG!$C:$C,0))),"Ativo","—"))</f>
        <v/>
      </c>
      <c r="N193" s="102">
        <f>IFERROR(INDEX(_ZIG_Cadastro!$E:$E,MATCH(I193,_ZIG_Cadastro!$A:$A,0)),IFERROR(INDEX(_Entradas_ZIG!$F:$F,MATCH(I193,_Entradas_ZIG!$C:$C,0)),"—"))</f>
        <v/>
      </c>
      <c r="O193" s="99">
        <f>IF(AND(ISNUMBER(SEARCH("Espeto",N193)),ISNUMBER(SEARCH("Carin",N193))),"SIM","")</f>
        <v/>
      </c>
      <c r="P193" s="99">
        <f>IF(AND(ISNUMBER(SEARCH("Espeto",N193)),ISNUMBER(SEARCH("Lapa",N193))),"SIM","")</f>
        <v/>
      </c>
      <c r="Q193" s="99">
        <f>IF(AND(ISNUMBER(SEARCH("Espeto",N193)),ISNUMBER(SEARCH("Tatuapé",N193))),"SIM","")</f>
        <v/>
      </c>
      <c r="R193" s="99">
        <f>IF(AND(ISNUMBER(SEARCH("Espeto",N193)),ISNUMBER(SEARCH("Pavão",N193))),"SIM","")</f>
        <v/>
      </c>
      <c r="S193" s="99">
        <f>IF(AND(ISNUMBER(SEARCH("Espeto",N193)),ISNUMBER(SEARCH("Chac",N193))),"SIM","")</f>
        <v/>
      </c>
      <c r="T193" s="99">
        <f>IF(AND(ISNUMBER(SEARCH("Espeto",N193)),ISNUMBER(SEARCH("Madalena",N193))),"SIM","")</f>
        <v/>
      </c>
      <c r="U193" s="99">
        <f>IF(AND(ISNUMBER(SEARCH("Espeto",N193)),ISNUMBER(SEARCH("Mariana",N193))),"SIM","")</f>
        <v/>
      </c>
      <c r="V193" s="99">
        <f>IF(AND(ISNUMBER(SEARCH("Espeto",N193)),ISNUMBER(SEARCH("Perdizes",N193))),"SIM","")</f>
        <v/>
      </c>
      <c r="W193" s="99">
        <f>IF(AND(ISNUMBER(SEARCH("Espeto",N193)),ISNUMBER(SEARCH("Santana",N193))),"SIM","")</f>
        <v/>
      </c>
      <c r="X193" s="99">
        <f>IF(AND(ISNUMBER(SEARCH("Espeto",N193)),ISNUMBER(SEARCH("André",N193))),"SIM","")</f>
        <v/>
      </c>
      <c r="Y193" s="99">
        <f>IF(AND(ISNUMBER(SEARCH("Delivery",N193)),ISNUMBER(SEARCH("Carin",N193))),"SIM","")</f>
        <v/>
      </c>
      <c r="Z193" s="99">
        <f>IF(AND(ISNUMBER(SEARCH("Delivery",N193)),ISNUMBER(SEARCH("Lapa",N193))),"SIM","")</f>
        <v/>
      </c>
      <c r="AA193" s="99">
        <f>IF(AND(ISNUMBER(SEARCH("Delivery",N193)),ISNUMBER(SEARCH("Tatuapé",N193))),"SIM","")</f>
        <v/>
      </c>
      <c r="AB193" s="99">
        <f>IF(AND(ISNUMBER(SEARCH("Delivery",N193)),ISNUMBER(SEARCH("Pavão",N193))),"SIM","")</f>
        <v/>
      </c>
      <c r="AC193" s="99">
        <f>IF(AND(ISNUMBER(SEARCH("Delivery",N193)),ISNUMBER(SEARCH("Chac",N193))),"SIM","")</f>
        <v/>
      </c>
      <c r="AD193" s="99">
        <f>IF(AND(ISNUMBER(SEARCH("Delivery",N193)),ISNUMBER(SEARCH("Madalena",N193))),"SIM","")</f>
        <v/>
      </c>
      <c r="AE193" s="92">
        <f>IF(AND(ISNUMBER(SEARCH("Delivery",N193)),ISNUMBER(SEARCH("Mariana",N193))),"SIM","")</f>
        <v/>
      </c>
      <c r="AF193" s="92">
        <f>IF(AND(ISNUMBER(SEARCH("Delivery",N193)),ISNUMBER(SEARCH("Perdizes",N193))),"SIM","")</f>
        <v/>
      </c>
      <c r="AG193" s="92">
        <f>IF(AND(ISNUMBER(SEARCH("Delivery",N193)),ISNUMBER(SEARCH("Santana",N193))),"SIM","")</f>
        <v/>
      </c>
      <c r="AH193" s="92">
        <f>IF(AND(ISNUMBER(SEARCH("Delivery",N193)),ISNUMBER(SEARCH("André",N193))),"SIM","")</f>
        <v/>
      </c>
      <c r="AI193" s="92">
        <f>IF(ISNUMBER(SEARCH("Interlagos",N193)),"SIM","")</f>
        <v/>
      </c>
      <c r="AJ193" s="92">
        <f>IF(ISNUMBER(SEARCH("Quiosque",N193)),"SIM","")</f>
        <v/>
      </c>
      <c r="AK193" s="93" t="n"/>
    </row>
    <row r="194">
      <c r="A194" s="88" t="inlineStr">
        <is>
          <t>Protheus</t>
        </is>
      </c>
      <c r="B194" s="89" t="inlineStr">
        <is>
          <t>001325</t>
        </is>
      </c>
      <c r="C194" s="90">
        <f>IF(B194="—","—",IFERROR(VLOOKUP(B194,_Protheus_Cadastro!$A:$B,2,FALSE),"—"))</f>
        <v/>
      </c>
      <c r="D194" s="91">
        <f>IF(B194="—",IFERROR(INDEX(_ZIG_Cadastro!$D:$D,MATCH(H194,_ZIG_Cadastro!$A:$A,0)),"Produto"),IFERROR(VLOOKUP(B194,_Protheus_Cadastro!$A:$C,3,FALSE),"—"))</f>
        <v/>
      </c>
      <c r="E194" s="91">
        <f>IF(B194="—","—",IFERROR(VLOOKUP(B194,_Protheus_Cadastro!$A:$D,4,FALSE),"—"))</f>
        <v/>
      </c>
      <c r="F194" s="91">
        <f>IF(ISERROR(VLOOKUP(B194,'Estrutura Protheus'!A:A,1,FALSE)),"Não","Sim")</f>
        <v/>
      </c>
      <c r="G194" s="92">
        <f>IFERROR(INDEX(_Protheus_Cadastro!$H:$H,MATCH(B194,_Protheus_Cadastro!$A:$A,0)),"—")</f>
        <v/>
      </c>
      <c r="H194" s="210">
        <f>IFERROR(INDEX(_ZIG_Precos!$D:$D,MATCH(I194,_ZIG_Precos!$F:$F,0)),"—")</f>
        <v/>
      </c>
      <c r="I194" s="95">
        <f>IFERROR(VLOOKUP(B194,_Protheus_Cadastro!$A:$I,9,FALSE),"—")</f>
        <v/>
      </c>
      <c r="J194" s="93">
        <f>IFERROR(INDEX(_ZIG_Cadastro!$B:$B,MATCH(I194,_ZIG_Cadastro!$A:$A,0)),IFERROR(INDEX(_Entradas_ZIG!$B:$B,MATCH(I194,_Entradas_ZIG!$C:$C,0)),"—"))</f>
        <v/>
      </c>
      <c r="K194" s="93">
        <f>IFERROR(INDEX(_ZIG_Cadastro!$C:$C,MATCH(I194,_ZIG_Cadastro!$A:$A,0)),IFERROR(INDEX(_Entradas_ZIG!$D:$D,MATCH(I194,_Entradas_ZIG!$C:$C,0)),"—"))</f>
        <v/>
      </c>
      <c r="L194" s="92">
        <f>IF(I194="","Sem SKU ZIG",IF(I194="—","Sem SKU ZIG",IF(NOT(ISERROR(MATCH(I194,_ZIG_Cadastro!$A:$A,0))),IF(EXACT(UPPER(TRIM(C194)),UPPER(TRIM(INDEX(_ZIG_Cadastro!$B:$B,MATCH(I194,_ZIG_Cadastro!$A:$A,0))))),"OK","Atencao - Nome diverge"),IF(NOT(ISERROR(MATCH(I194,_Entradas_ZIG!$C:$C,0))),"OK","Erro - SKU nao encontrado"))))</f>
        <v/>
      </c>
      <c r="M194" s="92">
        <f>IFERROR(INDEX(_ZIG_Cadastro!$G:$G,MATCH(I194,_ZIG_Cadastro!$A:$A,0)),IF(NOT(ISERROR(MATCH(I194,_Entradas_ZIG!$C:$C,0))),"Ativo","—"))</f>
        <v/>
      </c>
      <c r="N194" s="94">
        <f>IFERROR(INDEX(_ZIG_Cadastro!$E:$E,MATCH(I194,_ZIG_Cadastro!$A:$A,0)),IFERROR(INDEX(_Entradas_ZIG!$F:$F,MATCH(I194,_Entradas_ZIG!$C:$C,0)),"—"))</f>
        <v/>
      </c>
      <c r="O194" s="92">
        <f>IF(AND(ISNUMBER(SEARCH("Espeto",N194)),ISNUMBER(SEARCH("Carin",N194))),"SIM","")</f>
        <v/>
      </c>
      <c r="P194" s="92">
        <f>IF(AND(ISNUMBER(SEARCH("Espeto",N194)),ISNUMBER(SEARCH("Lapa",N194))),"SIM","")</f>
        <v/>
      </c>
      <c r="Q194" s="92">
        <f>IF(AND(ISNUMBER(SEARCH("Espeto",N194)),ISNUMBER(SEARCH("Tatuapé",N194))),"SIM","")</f>
        <v/>
      </c>
      <c r="R194" s="92">
        <f>IF(AND(ISNUMBER(SEARCH("Espeto",N194)),ISNUMBER(SEARCH("Pavão",N194))),"SIM","")</f>
        <v/>
      </c>
      <c r="S194" s="92">
        <f>IF(AND(ISNUMBER(SEARCH("Espeto",N194)),ISNUMBER(SEARCH("Chac",N194))),"SIM","")</f>
        <v/>
      </c>
      <c r="T194" s="92">
        <f>IF(AND(ISNUMBER(SEARCH("Espeto",N194)),ISNUMBER(SEARCH("Madalena",N194))),"SIM","")</f>
        <v/>
      </c>
      <c r="U194" s="92">
        <f>IF(AND(ISNUMBER(SEARCH("Espeto",N194)),ISNUMBER(SEARCH("Mariana",N194))),"SIM","")</f>
        <v/>
      </c>
      <c r="V194" s="92">
        <f>IF(AND(ISNUMBER(SEARCH("Espeto",N194)),ISNUMBER(SEARCH("Perdizes",N194))),"SIM","")</f>
        <v/>
      </c>
      <c r="W194" s="92">
        <f>IF(AND(ISNUMBER(SEARCH("Espeto",N194)),ISNUMBER(SEARCH("Santana",N194))),"SIM","")</f>
        <v/>
      </c>
      <c r="X194" s="92">
        <f>IF(AND(ISNUMBER(SEARCH("Espeto",N194)),ISNUMBER(SEARCH("André",N194))),"SIM","")</f>
        <v/>
      </c>
      <c r="Y194" s="92">
        <f>IF(AND(ISNUMBER(SEARCH("Delivery",N194)),ISNUMBER(SEARCH("Carin",N194))),"SIM","")</f>
        <v/>
      </c>
      <c r="Z194" s="92">
        <f>IF(AND(ISNUMBER(SEARCH("Delivery",N194)),ISNUMBER(SEARCH("Lapa",N194))),"SIM","")</f>
        <v/>
      </c>
      <c r="AA194" s="92">
        <f>IF(AND(ISNUMBER(SEARCH("Delivery",N194)),ISNUMBER(SEARCH("Tatuapé",N194))),"SIM","")</f>
        <v/>
      </c>
      <c r="AB194" s="92">
        <f>IF(AND(ISNUMBER(SEARCH("Delivery",N194)),ISNUMBER(SEARCH("Pavão",N194))),"SIM","")</f>
        <v/>
      </c>
      <c r="AC194" s="92">
        <f>IF(AND(ISNUMBER(SEARCH("Delivery",N194)),ISNUMBER(SEARCH("Chac",N194))),"SIM","")</f>
        <v/>
      </c>
      <c r="AD194" s="92">
        <f>IF(AND(ISNUMBER(SEARCH("Delivery",N194)),ISNUMBER(SEARCH("Madalena",N194))),"SIM","")</f>
        <v/>
      </c>
      <c r="AE194" s="99">
        <f>IF(AND(ISNUMBER(SEARCH("Delivery",N194)),ISNUMBER(SEARCH("Mariana",N194))),"SIM","")</f>
        <v/>
      </c>
      <c r="AF194" s="99">
        <f>IF(AND(ISNUMBER(SEARCH("Delivery",N194)),ISNUMBER(SEARCH("Perdizes",N194))),"SIM","")</f>
        <v/>
      </c>
      <c r="AG194" s="99">
        <f>IF(AND(ISNUMBER(SEARCH("Delivery",N194)),ISNUMBER(SEARCH("Santana",N194))),"SIM","")</f>
        <v/>
      </c>
      <c r="AH194" s="99">
        <f>IF(AND(ISNUMBER(SEARCH("Delivery",N194)),ISNUMBER(SEARCH("André",N194))),"SIM","")</f>
        <v/>
      </c>
      <c r="AI194" s="99">
        <f>IF(ISNUMBER(SEARCH("Interlagos",N194)),"SIM","")</f>
        <v/>
      </c>
      <c r="AJ194" s="99">
        <f>IF(ISNUMBER(SEARCH("Quiosque",N194)),"SIM","")</f>
        <v/>
      </c>
      <c r="AK194" s="101" t="n"/>
    </row>
    <row r="195">
      <c r="A195" s="88" t="inlineStr">
        <is>
          <t>Protheus</t>
        </is>
      </c>
      <c r="B195" s="96" t="inlineStr">
        <is>
          <t>000023</t>
        </is>
      </c>
      <c r="C195" s="97">
        <f>IF(B195="—","—",IFERROR(VLOOKUP(B195,_Protheus_Cadastro!$A:$B,2,FALSE),"—"))</f>
        <v/>
      </c>
      <c r="D195" s="98">
        <f>IF(B195="—",IFERROR(INDEX(_ZIG_Cadastro!$D:$D,MATCH(H195,_ZIG_Cadastro!$A:$A,0)),"Produto"),IFERROR(VLOOKUP(B195,_Protheus_Cadastro!$A:$C,3,FALSE),"—"))</f>
        <v/>
      </c>
      <c r="E195" s="98">
        <f>IF(B195="—","—",IFERROR(VLOOKUP(B195,_Protheus_Cadastro!$A:$D,4,FALSE),"—"))</f>
        <v/>
      </c>
      <c r="F195" s="98">
        <f>IF(ISERROR(VLOOKUP(B195,'Estrutura Protheus'!A:A,1,FALSE)),"Não","Sim")</f>
        <v/>
      </c>
      <c r="G195" s="99">
        <f>IFERROR(INDEX(_Protheus_Cadastro!$H:$H,MATCH(B195,_Protheus_Cadastro!$A:$A,0)),"—")</f>
        <v/>
      </c>
      <c r="H195" s="211">
        <f>IFERROR(INDEX(_ZIG_Precos!$D:$D,MATCH(I195,_ZIG_Precos!$F:$F,0)),"—")</f>
        <v/>
      </c>
      <c r="I195" s="103">
        <f>IFERROR(VLOOKUP(B195,_Protheus_Cadastro!$A:$I,9,FALSE),"—")</f>
        <v/>
      </c>
      <c r="J195" s="101">
        <f>IFERROR(INDEX(_ZIG_Cadastro!$B:$B,MATCH(I195,_ZIG_Cadastro!$A:$A,0)),IFERROR(INDEX(_Entradas_ZIG!$B:$B,MATCH(I195,_Entradas_ZIG!$C:$C,0)),"—"))</f>
        <v/>
      </c>
      <c r="K195" s="101">
        <f>IFERROR(INDEX(_ZIG_Cadastro!$C:$C,MATCH(I195,_ZIG_Cadastro!$A:$A,0)),IFERROR(INDEX(_Entradas_ZIG!$D:$D,MATCH(I195,_Entradas_ZIG!$C:$C,0)),"—"))</f>
        <v/>
      </c>
      <c r="L195" s="99">
        <f>IF(I195="","Sem SKU ZIG",IF(I195="—","Sem SKU ZIG",IF(NOT(ISERROR(MATCH(I195,_ZIG_Cadastro!$A:$A,0))),IF(EXACT(UPPER(TRIM(C195)),UPPER(TRIM(INDEX(_ZIG_Cadastro!$B:$B,MATCH(I195,_ZIG_Cadastro!$A:$A,0))))),"OK","Atencao - Nome diverge"),IF(NOT(ISERROR(MATCH(I195,_Entradas_ZIG!$C:$C,0))),"OK","Erro - SKU nao encontrado"))))</f>
        <v/>
      </c>
      <c r="M195" s="99">
        <f>IFERROR(INDEX(_ZIG_Cadastro!$G:$G,MATCH(I195,_ZIG_Cadastro!$A:$A,0)),IF(NOT(ISERROR(MATCH(I195,_Entradas_ZIG!$C:$C,0))),"Ativo","—"))</f>
        <v/>
      </c>
      <c r="N195" s="102">
        <f>IFERROR(INDEX(_ZIG_Cadastro!$E:$E,MATCH(I195,_ZIG_Cadastro!$A:$A,0)),IFERROR(INDEX(_Entradas_ZIG!$F:$F,MATCH(I195,_Entradas_ZIG!$C:$C,0)),"—"))</f>
        <v/>
      </c>
      <c r="O195" s="99">
        <f>IF(AND(ISNUMBER(SEARCH("Espeto",N195)),ISNUMBER(SEARCH("Carin",N195))),"SIM","")</f>
        <v/>
      </c>
      <c r="P195" s="99">
        <f>IF(AND(ISNUMBER(SEARCH("Espeto",N195)),ISNUMBER(SEARCH("Lapa",N195))),"SIM","")</f>
        <v/>
      </c>
      <c r="Q195" s="99">
        <f>IF(AND(ISNUMBER(SEARCH("Espeto",N195)),ISNUMBER(SEARCH("Tatuapé",N195))),"SIM","")</f>
        <v/>
      </c>
      <c r="R195" s="99">
        <f>IF(AND(ISNUMBER(SEARCH("Espeto",N195)),ISNUMBER(SEARCH("Pavão",N195))),"SIM","")</f>
        <v/>
      </c>
      <c r="S195" s="99">
        <f>IF(AND(ISNUMBER(SEARCH("Espeto",N195)),ISNUMBER(SEARCH("Chac",N195))),"SIM","")</f>
        <v/>
      </c>
      <c r="T195" s="99">
        <f>IF(AND(ISNUMBER(SEARCH("Espeto",N195)),ISNUMBER(SEARCH("Madalena",N195))),"SIM","")</f>
        <v/>
      </c>
      <c r="U195" s="99">
        <f>IF(AND(ISNUMBER(SEARCH("Espeto",N195)),ISNUMBER(SEARCH("Mariana",N195))),"SIM","")</f>
        <v/>
      </c>
      <c r="V195" s="99">
        <f>IF(AND(ISNUMBER(SEARCH("Espeto",N195)),ISNUMBER(SEARCH("Perdizes",N195))),"SIM","")</f>
        <v/>
      </c>
      <c r="W195" s="99">
        <f>IF(AND(ISNUMBER(SEARCH("Espeto",N195)),ISNUMBER(SEARCH("Santana",N195))),"SIM","")</f>
        <v/>
      </c>
      <c r="X195" s="99">
        <f>IF(AND(ISNUMBER(SEARCH("Espeto",N195)),ISNUMBER(SEARCH("André",N195))),"SIM","")</f>
        <v/>
      </c>
      <c r="Y195" s="99">
        <f>IF(AND(ISNUMBER(SEARCH("Delivery",N195)),ISNUMBER(SEARCH("Carin",N195))),"SIM","")</f>
        <v/>
      </c>
      <c r="Z195" s="99">
        <f>IF(AND(ISNUMBER(SEARCH("Delivery",N195)),ISNUMBER(SEARCH("Lapa",N195))),"SIM","")</f>
        <v/>
      </c>
      <c r="AA195" s="99">
        <f>IF(AND(ISNUMBER(SEARCH("Delivery",N195)),ISNUMBER(SEARCH("Tatuapé",N195))),"SIM","")</f>
        <v/>
      </c>
      <c r="AB195" s="99">
        <f>IF(AND(ISNUMBER(SEARCH("Delivery",N195)),ISNUMBER(SEARCH("Pavão",N195))),"SIM","")</f>
        <v/>
      </c>
      <c r="AC195" s="99">
        <f>IF(AND(ISNUMBER(SEARCH("Delivery",N195)),ISNUMBER(SEARCH("Chac",N195))),"SIM","")</f>
        <v/>
      </c>
      <c r="AD195" s="99">
        <f>IF(AND(ISNUMBER(SEARCH("Delivery",N195)),ISNUMBER(SEARCH("Madalena",N195))),"SIM","")</f>
        <v/>
      </c>
      <c r="AE195" s="92">
        <f>IF(AND(ISNUMBER(SEARCH("Delivery",N195)),ISNUMBER(SEARCH("Mariana",N195))),"SIM","")</f>
        <v/>
      </c>
      <c r="AF195" s="92">
        <f>IF(AND(ISNUMBER(SEARCH("Delivery",N195)),ISNUMBER(SEARCH("Perdizes",N195))),"SIM","")</f>
        <v/>
      </c>
      <c r="AG195" s="92">
        <f>IF(AND(ISNUMBER(SEARCH("Delivery",N195)),ISNUMBER(SEARCH("Santana",N195))),"SIM","")</f>
        <v/>
      </c>
      <c r="AH195" s="92">
        <f>IF(AND(ISNUMBER(SEARCH("Delivery",N195)),ISNUMBER(SEARCH("André",N195))),"SIM","")</f>
        <v/>
      </c>
      <c r="AI195" s="92">
        <f>IF(ISNUMBER(SEARCH("Interlagos",N195)),"SIM","")</f>
        <v/>
      </c>
      <c r="AJ195" s="92">
        <f>IF(ISNUMBER(SEARCH("Quiosque",N195)),"SIM","")</f>
        <v/>
      </c>
      <c r="AK195" s="93" t="n"/>
    </row>
    <row r="196">
      <c r="A196" s="88" t="inlineStr">
        <is>
          <t>Protheus</t>
        </is>
      </c>
      <c r="B196" s="89" t="inlineStr">
        <is>
          <t>002193</t>
        </is>
      </c>
      <c r="C196" s="90">
        <f>IF(B196="—","—",IFERROR(VLOOKUP(B196,_Protheus_Cadastro!$A:$B,2,FALSE),"—"))</f>
        <v/>
      </c>
      <c r="D196" s="91">
        <f>IF(B196="—",IFERROR(INDEX(_ZIG_Cadastro!$D:$D,MATCH(H196,_ZIG_Cadastro!$A:$A,0)),"Produto"),IFERROR(VLOOKUP(B196,_Protheus_Cadastro!$A:$C,3,FALSE),"—"))</f>
        <v/>
      </c>
      <c r="E196" s="91">
        <f>IF(B196="—","—",IFERROR(VLOOKUP(B196,_Protheus_Cadastro!$A:$D,4,FALSE),"—"))</f>
        <v/>
      </c>
      <c r="F196" s="91">
        <f>IF(ISERROR(VLOOKUP(B196,'Estrutura Protheus'!A:A,1,FALSE)),"Não","Sim")</f>
        <v/>
      </c>
      <c r="G196" s="92">
        <f>IFERROR(INDEX(_Protheus_Cadastro!$H:$H,MATCH(B196,_Protheus_Cadastro!$A:$A,0)),"—")</f>
        <v/>
      </c>
      <c r="H196" s="210">
        <f>IFERROR(INDEX(_ZIG_Precos!$D:$D,MATCH(I196,_ZIG_Precos!$F:$F,0)),"—")</f>
        <v/>
      </c>
      <c r="I196" s="95">
        <f>IFERROR(VLOOKUP(B196,_Protheus_Cadastro!$A:$I,9,FALSE),"—")</f>
        <v/>
      </c>
      <c r="J196" s="93">
        <f>IFERROR(INDEX(_ZIG_Cadastro!$B:$B,MATCH(I196,_ZIG_Cadastro!$A:$A,0)),IFERROR(INDEX(_Entradas_ZIG!$B:$B,MATCH(I196,_Entradas_ZIG!$C:$C,0)),"—"))</f>
        <v/>
      </c>
      <c r="K196" s="93">
        <f>IFERROR(INDEX(_ZIG_Cadastro!$C:$C,MATCH(I196,_ZIG_Cadastro!$A:$A,0)),IFERROR(INDEX(_Entradas_ZIG!$D:$D,MATCH(I196,_Entradas_ZIG!$C:$C,0)),"—"))</f>
        <v/>
      </c>
      <c r="L196" s="92">
        <f>IF(I196="","Sem SKU ZIG",IF(I196="—","Sem SKU ZIG",IF(NOT(ISERROR(MATCH(I196,_ZIG_Cadastro!$A:$A,0))),IF(EXACT(UPPER(TRIM(C196)),UPPER(TRIM(INDEX(_ZIG_Cadastro!$B:$B,MATCH(I196,_ZIG_Cadastro!$A:$A,0))))),"OK","Atencao - Nome diverge"),IF(NOT(ISERROR(MATCH(I196,_Entradas_ZIG!$C:$C,0))),"OK","Erro - SKU nao encontrado"))))</f>
        <v/>
      </c>
      <c r="M196" s="92">
        <f>IFERROR(INDEX(_ZIG_Cadastro!$G:$G,MATCH(I196,_ZIG_Cadastro!$A:$A,0)),IF(NOT(ISERROR(MATCH(I196,_Entradas_ZIG!$C:$C,0))),"Ativo","—"))</f>
        <v/>
      </c>
      <c r="N196" s="94">
        <f>IFERROR(INDEX(_ZIG_Cadastro!$E:$E,MATCH(I196,_ZIG_Cadastro!$A:$A,0)),IFERROR(INDEX(_Entradas_ZIG!$F:$F,MATCH(I196,_Entradas_ZIG!$C:$C,0)),"—"))</f>
        <v/>
      </c>
      <c r="O196" s="92">
        <f>IF(AND(ISNUMBER(SEARCH("Espeto",N196)),ISNUMBER(SEARCH("Carin",N196))),"SIM","")</f>
        <v/>
      </c>
      <c r="P196" s="92">
        <f>IF(AND(ISNUMBER(SEARCH("Espeto",N196)),ISNUMBER(SEARCH("Lapa",N196))),"SIM","")</f>
        <v/>
      </c>
      <c r="Q196" s="92">
        <f>IF(AND(ISNUMBER(SEARCH("Espeto",N196)),ISNUMBER(SEARCH("Tatuapé",N196))),"SIM","")</f>
        <v/>
      </c>
      <c r="R196" s="92">
        <f>IF(AND(ISNUMBER(SEARCH("Espeto",N196)),ISNUMBER(SEARCH("Pavão",N196))),"SIM","")</f>
        <v/>
      </c>
      <c r="S196" s="92">
        <f>IF(AND(ISNUMBER(SEARCH("Espeto",N196)),ISNUMBER(SEARCH("Chac",N196))),"SIM","")</f>
        <v/>
      </c>
      <c r="T196" s="92">
        <f>IF(AND(ISNUMBER(SEARCH("Espeto",N196)),ISNUMBER(SEARCH("Madalena",N196))),"SIM","")</f>
        <v/>
      </c>
      <c r="U196" s="92">
        <f>IF(AND(ISNUMBER(SEARCH("Espeto",N196)),ISNUMBER(SEARCH("Mariana",N196))),"SIM","")</f>
        <v/>
      </c>
      <c r="V196" s="92">
        <f>IF(AND(ISNUMBER(SEARCH("Espeto",N196)),ISNUMBER(SEARCH("Perdizes",N196))),"SIM","")</f>
        <v/>
      </c>
      <c r="W196" s="92">
        <f>IF(AND(ISNUMBER(SEARCH("Espeto",N196)),ISNUMBER(SEARCH("Santana",N196))),"SIM","")</f>
        <v/>
      </c>
      <c r="X196" s="92">
        <f>IF(AND(ISNUMBER(SEARCH("Espeto",N196)),ISNUMBER(SEARCH("André",N196))),"SIM","")</f>
        <v/>
      </c>
      <c r="Y196" s="92">
        <f>IF(AND(ISNUMBER(SEARCH("Delivery",N196)),ISNUMBER(SEARCH("Carin",N196))),"SIM","")</f>
        <v/>
      </c>
      <c r="Z196" s="92">
        <f>IF(AND(ISNUMBER(SEARCH("Delivery",N196)),ISNUMBER(SEARCH("Lapa",N196))),"SIM","")</f>
        <v/>
      </c>
      <c r="AA196" s="92">
        <f>IF(AND(ISNUMBER(SEARCH("Delivery",N196)),ISNUMBER(SEARCH("Tatuapé",N196))),"SIM","")</f>
        <v/>
      </c>
      <c r="AB196" s="92">
        <f>IF(AND(ISNUMBER(SEARCH("Delivery",N196)),ISNUMBER(SEARCH("Pavão",N196))),"SIM","")</f>
        <v/>
      </c>
      <c r="AC196" s="92">
        <f>IF(AND(ISNUMBER(SEARCH("Delivery",N196)),ISNUMBER(SEARCH("Chac",N196))),"SIM","")</f>
        <v/>
      </c>
      <c r="AD196" s="92">
        <f>IF(AND(ISNUMBER(SEARCH("Delivery",N196)),ISNUMBER(SEARCH("Madalena",N196))),"SIM","")</f>
        <v/>
      </c>
      <c r="AE196" s="99">
        <f>IF(AND(ISNUMBER(SEARCH("Delivery",N196)),ISNUMBER(SEARCH("Mariana",N196))),"SIM","")</f>
        <v/>
      </c>
      <c r="AF196" s="99">
        <f>IF(AND(ISNUMBER(SEARCH("Delivery",N196)),ISNUMBER(SEARCH("Perdizes",N196))),"SIM","")</f>
        <v/>
      </c>
      <c r="AG196" s="99">
        <f>IF(AND(ISNUMBER(SEARCH("Delivery",N196)),ISNUMBER(SEARCH("Santana",N196))),"SIM","")</f>
        <v/>
      </c>
      <c r="AH196" s="99">
        <f>IF(AND(ISNUMBER(SEARCH("Delivery",N196)),ISNUMBER(SEARCH("André",N196))),"SIM","")</f>
        <v/>
      </c>
      <c r="AI196" s="99">
        <f>IF(ISNUMBER(SEARCH("Interlagos",N196)),"SIM","")</f>
        <v/>
      </c>
      <c r="AJ196" s="99">
        <f>IF(ISNUMBER(SEARCH("Quiosque",N196)),"SIM","")</f>
        <v/>
      </c>
      <c r="AK196" s="101" t="n"/>
    </row>
    <row r="197">
      <c r="A197" s="88" t="inlineStr">
        <is>
          <t>Protheus</t>
        </is>
      </c>
      <c r="B197" s="96" t="inlineStr">
        <is>
          <t>000004</t>
        </is>
      </c>
      <c r="C197" s="97">
        <f>IF(B197="—","—",IFERROR(VLOOKUP(B197,_Protheus_Cadastro!$A:$B,2,FALSE),"—"))</f>
        <v/>
      </c>
      <c r="D197" s="98">
        <f>IF(B197="—",IFERROR(INDEX(_ZIG_Cadastro!$D:$D,MATCH(H197,_ZIG_Cadastro!$A:$A,0)),"Produto"),IFERROR(VLOOKUP(B197,_Protheus_Cadastro!$A:$C,3,FALSE),"—"))</f>
        <v/>
      </c>
      <c r="E197" s="98">
        <f>IF(B197="—","—",IFERROR(VLOOKUP(B197,_Protheus_Cadastro!$A:$D,4,FALSE),"—"))</f>
        <v/>
      </c>
      <c r="F197" s="98">
        <f>IF(ISERROR(VLOOKUP(B197,'Estrutura Protheus'!A:A,1,FALSE)),"Não","Sim")</f>
        <v/>
      </c>
      <c r="G197" s="99">
        <f>IFERROR(INDEX(_Protheus_Cadastro!$H:$H,MATCH(B197,_Protheus_Cadastro!$A:$A,0)),"—")</f>
        <v/>
      </c>
      <c r="H197" s="211">
        <f>IFERROR(INDEX(_ZIG_Precos!$D:$D,MATCH(I197,_ZIG_Precos!$F:$F,0)),"—")</f>
        <v/>
      </c>
      <c r="I197" s="103">
        <f>IFERROR(VLOOKUP(B197,_Protheus_Cadastro!$A:$I,9,FALSE),"—")</f>
        <v/>
      </c>
      <c r="J197" s="101">
        <f>IFERROR(INDEX(_ZIG_Cadastro!$B:$B,MATCH(I197,_ZIG_Cadastro!$A:$A,0)),IFERROR(INDEX(_Entradas_ZIG!$B:$B,MATCH(I197,_Entradas_ZIG!$C:$C,0)),"—"))</f>
        <v/>
      </c>
      <c r="K197" s="101">
        <f>IFERROR(INDEX(_ZIG_Cadastro!$C:$C,MATCH(I197,_ZIG_Cadastro!$A:$A,0)),IFERROR(INDEX(_Entradas_ZIG!$D:$D,MATCH(I197,_Entradas_ZIG!$C:$C,0)),"—"))</f>
        <v/>
      </c>
      <c r="L197" s="99">
        <f>IF(I197="","Sem SKU ZIG",IF(I197="—","Sem SKU ZIG",IF(NOT(ISERROR(MATCH(I197,_ZIG_Cadastro!$A:$A,0))),IF(EXACT(UPPER(TRIM(C197)),UPPER(TRIM(INDEX(_ZIG_Cadastro!$B:$B,MATCH(I197,_ZIG_Cadastro!$A:$A,0))))),"OK","Atencao - Nome diverge"),IF(NOT(ISERROR(MATCH(I197,_Entradas_ZIG!$C:$C,0))),"OK","Erro - SKU nao encontrado"))))</f>
        <v/>
      </c>
      <c r="M197" s="99">
        <f>IFERROR(INDEX(_ZIG_Cadastro!$G:$G,MATCH(I197,_ZIG_Cadastro!$A:$A,0)),IF(NOT(ISERROR(MATCH(I197,_Entradas_ZIG!$C:$C,0))),"Ativo","—"))</f>
        <v/>
      </c>
      <c r="N197" s="102">
        <f>IFERROR(INDEX(_ZIG_Cadastro!$E:$E,MATCH(I197,_ZIG_Cadastro!$A:$A,0)),IFERROR(INDEX(_Entradas_ZIG!$F:$F,MATCH(I197,_Entradas_ZIG!$C:$C,0)),"—"))</f>
        <v/>
      </c>
      <c r="O197" s="99">
        <f>IF(AND(ISNUMBER(SEARCH("Espeto",N197)),ISNUMBER(SEARCH("Carin",N197))),"SIM","")</f>
        <v/>
      </c>
      <c r="P197" s="99">
        <f>IF(AND(ISNUMBER(SEARCH("Espeto",N197)),ISNUMBER(SEARCH("Lapa",N197))),"SIM","")</f>
        <v/>
      </c>
      <c r="Q197" s="99">
        <f>IF(AND(ISNUMBER(SEARCH("Espeto",N197)),ISNUMBER(SEARCH("Tatuapé",N197))),"SIM","")</f>
        <v/>
      </c>
      <c r="R197" s="99">
        <f>IF(AND(ISNUMBER(SEARCH("Espeto",N197)),ISNUMBER(SEARCH("Pavão",N197))),"SIM","")</f>
        <v/>
      </c>
      <c r="S197" s="99">
        <f>IF(AND(ISNUMBER(SEARCH("Espeto",N197)),ISNUMBER(SEARCH("Chac",N197))),"SIM","")</f>
        <v/>
      </c>
      <c r="T197" s="99">
        <f>IF(AND(ISNUMBER(SEARCH("Espeto",N197)),ISNUMBER(SEARCH("Madalena",N197))),"SIM","")</f>
        <v/>
      </c>
      <c r="U197" s="99">
        <f>IF(AND(ISNUMBER(SEARCH("Espeto",N197)),ISNUMBER(SEARCH("Mariana",N197))),"SIM","")</f>
        <v/>
      </c>
      <c r="V197" s="99">
        <f>IF(AND(ISNUMBER(SEARCH("Espeto",N197)),ISNUMBER(SEARCH("Perdizes",N197))),"SIM","")</f>
        <v/>
      </c>
      <c r="W197" s="99">
        <f>IF(AND(ISNUMBER(SEARCH("Espeto",N197)),ISNUMBER(SEARCH("Santana",N197))),"SIM","")</f>
        <v/>
      </c>
      <c r="X197" s="99">
        <f>IF(AND(ISNUMBER(SEARCH("Espeto",N197)),ISNUMBER(SEARCH("André",N197))),"SIM","")</f>
        <v/>
      </c>
      <c r="Y197" s="99">
        <f>IF(AND(ISNUMBER(SEARCH("Delivery",N197)),ISNUMBER(SEARCH("Carin",N197))),"SIM","")</f>
        <v/>
      </c>
      <c r="Z197" s="99">
        <f>IF(AND(ISNUMBER(SEARCH("Delivery",N197)),ISNUMBER(SEARCH("Lapa",N197))),"SIM","")</f>
        <v/>
      </c>
      <c r="AA197" s="99">
        <f>IF(AND(ISNUMBER(SEARCH("Delivery",N197)),ISNUMBER(SEARCH("Tatuapé",N197))),"SIM","")</f>
        <v/>
      </c>
      <c r="AB197" s="99">
        <f>IF(AND(ISNUMBER(SEARCH("Delivery",N197)),ISNUMBER(SEARCH("Pavão",N197))),"SIM","")</f>
        <v/>
      </c>
      <c r="AC197" s="99">
        <f>IF(AND(ISNUMBER(SEARCH("Delivery",N197)),ISNUMBER(SEARCH("Chac",N197))),"SIM","")</f>
        <v/>
      </c>
      <c r="AD197" s="99">
        <f>IF(AND(ISNUMBER(SEARCH("Delivery",N197)),ISNUMBER(SEARCH("Madalena",N197))),"SIM","")</f>
        <v/>
      </c>
      <c r="AE197" s="92">
        <f>IF(AND(ISNUMBER(SEARCH("Delivery",N197)),ISNUMBER(SEARCH("Mariana",N197))),"SIM","")</f>
        <v/>
      </c>
      <c r="AF197" s="92">
        <f>IF(AND(ISNUMBER(SEARCH("Delivery",N197)),ISNUMBER(SEARCH("Perdizes",N197))),"SIM","")</f>
        <v/>
      </c>
      <c r="AG197" s="92">
        <f>IF(AND(ISNUMBER(SEARCH("Delivery",N197)),ISNUMBER(SEARCH("Santana",N197))),"SIM","")</f>
        <v/>
      </c>
      <c r="AH197" s="92">
        <f>IF(AND(ISNUMBER(SEARCH("Delivery",N197)),ISNUMBER(SEARCH("André",N197))),"SIM","")</f>
        <v/>
      </c>
      <c r="AI197" s="92">
        <f>IF(ISNUMBER(SEARCH("Interlagos",N197)),"SIM","")</f>
        <v/>
      </c>
      <c r="AJ197" s="92">
        <f>IF(ISNUMBER(SEARCH("Quiosque",N197)),"SIM","")</f>
        <v/>
      </c>
      <c r="AK197" s="93" t="n"/>
    </row>
    <row r="198">
      <c r="A198" s="88" t="inlineStr">
        <is>
          <t>Protheus</t>
        </is>
      </c>
      <c r="B198" s="89" t="inlineStr">
        <is>
          <t>000016</t>
        </is>
      </c>
      <c r="C198" s="90">
        <f>IF(B198="—","—",IFERROR(VLOOKUP(B198,_Protheus_Cadastro!$A:$B,2,FALSE),"—"))</f>
        <v/>
      </c>
      <c r="D198" s="91">
        <f>IF(B198="—",IFERROR(INDEX(_ZIG_Cadastro!$D:$D,MATCH(H198,_ZIG_Cadastro!$A:$A,0)),"Produto"),IFERROR(VLOOKUP(B198,_Protheus_Cadastro!$A:$C,3,FALSE),"—"))</f>
        <v/>
      </c>
      <c r="E198" s="91">
        <f>IF(B198="—","—",IFERROR(VLOOKUP(B198,_Protheus_Cadastro!$A:$D,4,FALSE),"—"))</f>
        <v/>
      </c>
      <c r="F198" s="91">
        <f>IF(ISERROR(VLOOKUP(B198,'Estrutura Protheus'!A:A,1,FALSE)),"Não","Sim")</f>
        <v/>
      </c>
      <c r="G198" s="92">
        <f>IFERROR(INDEX(_Protheus_Cadastro!$H:$H,MATCH(B198,_Protheus_Cadastro!$A:$A,0)),"—")</f>
        <v/>
      </c>
      <c r="H198" s="210">
        <f>IFERROR(INDEX(_ZIG_Precos!$D:$D,MATCH(I198,_ZIG_Precos!$F:$F,0)),"—")</f>
        <v/>
      </c>
      <c r="I198" s="95">
        <f>IFERROR(VLOOKUP(B198,_Protheus_Cadastro!$A:$I,9,FALSE),"—")</f>
        <v/>
      </c>
      <c r="J198" s="93">
        <f>IFERROR(INDEX(_ZIG_Cadastro!$B:$B,MATCH(I198,_ZIG_Cadastro!$A:$A,0)),IFERROR(INDEX(_Entradas_ZIG!$B:$B,MATCH(I198,_Entradas_ZIG!$C:$C,0)),"—"))</f>
        <v/>
      </c>
      <c r="K198" s="93">
        <f>IFERROR(INDEX(_ZIG_Cadastro!$C:$C,MATCH(I198,_ZIG_Cadastro!$A:$A,0)),IFERROR(INDEX(_Entradas_ZIG!$D:$D,MATCH(I198,_Entradas_ZIG!$C:$C,0)),"—"))</f>
        <v/>
      </c>
      <c r="L198" s="92">
        <f>IF(I198="","Sem SKU ZIG",IF(I198="—","Sem SKU ZIG",IF(NOT(ISERROR(MATCH(I198,_ZIG_Cadastro!$A:$A,0))),IF(EXACT(UPPER(TRIM(C198)),UPPER(TRIM(INDEX(_ZIG_Cadastro!$B:$B,MATCH(I198,_ZIG_Cadastro!$A:$A,0))))),"OK","Atencao - Nome diverge"),IF(NOT(ISERROR(MATCH(I198,_Entradas_ZIG!$C:$C,0))),"OK","Erro - SKU nao encontrado"))))</f>
        <v/>
      </c>
      <c r="M198" s="92">
        <f>IFERROR(INDEX(_ZIG_Cadastro!$G:$G,MATCH(I198,_ZIG_Cadastro!$A:$A,0)),IF(NOT(ISERROR(MATCH(I198,_Entradas_ZIG!$C:$C,0))),"Ativo","—"))</f>
        <v/>
      </c>
      <c r="N198" s="94">
        <f>IFERROR(INDEX(_ZIG_Cadastro!$E:$E,MATCH(I198,_ZIG_Cadastro!$A:$A,0)),IFERROR(INDEX(_Entradas_ZIG!$F:$F,MATCH(I198,_Entradas_ZIG!$C:$C,0)),"—"))</f>
        <v/>
      </c>
      <c r="O198" s="92">
        <f>IF(AND(ISNUMBER(SEARCH("Espeto",N198)),ISNUMBER(SEARCH("Carin",N198))),"SIM","")</f>
        <v/>
      </c>
      <c r="P198" s="92">
        <f>IF(AND(ISNUMBER(SEARCH("Espeto",N198)),ISNUMBER(SEARCH("Lapa",N198))),"SIM","")</f>
        <v/>
      </c>
      <c r="Q198" s="92">
        <f>IF(AND(ISNUMBER(SEARCH("Espeto",N198)),ISNUMBER(SEARCH("Tatuapé",N198))),"SIM","")</f>
        <v/>
      </c>
      <c r="R198" s="92">
        <f>IF(AND(ISNUMBER(SEARCH("Espeto",N198)),ISNUMBER(SEARCH("Pavão",N198))),"SIM","")</f>
        <v/>
      </c>
      <c r="S198" s="92">
        <f>IF(AND(ISNUMBER(SEARCH("Espeto",N198)),ISNUMBER(SEARCH("Chac",N198))),"SIM","")</f>
        <v/>
      </c>
      <c r="T198" s="92">
        <f>IF(AND(ISNUMBER(SEARCH("Espeto",N198)),ISNUMBER(SEARCH("Madalena",N198))),"SIM","")</f>
        <v/>
      </c>
      <c r="U198" s="92">
        <f>IF(AND(ISNUMBER(SEARCH("Espeto",N198)),ISNUMBER(SEARCH("Mariana",N198))),"SIM","")</f>
        <v/>
      </c>
      <c r="V198" s="92">
        <f>IF(AND(ISNUMBER(SEARCH("Espeto",N198)),ISNUMBER(SEARCH("Perdizes",N198))),"SIM","")</f>
        <v/>
      </c>
      <c r="W198" s="92">
        <f>IF(AND(ISNUMBER(SEARCH("Espeto",N198)),ISNUMBER(SEARCH("Santana",N198))),"SIM","")</f>
        <v/>
      </c>
      <c r="X198" s="92">
        <f>IF(AND(ISNUMBER(SEARCH("Espeto",N198)),ISNUMBER(SEARCH("André",N198))),"SIM","")</f>
        <v/>
      </c>
      <c r="Y198" s="92">
        <f>IF(AND(ISNUMBER(SEARCH("Delivery",N198)),ISNUMBER(SEARCH("Carin",N198))),"SIM","")</f>
        <v/>
      </c>
      <c r="Z198" s="92">
        <f>IF(AND(ISNUMBER(SEARCH("Delivery",N198)),ISNUMBER(SEARCH("Lapa",N198))),"SIM","")</f>
        <v/>
      </c>
      <c r="AA198" s="92">
        <f>IF(AND(ISNUMBER(SEARCH("Delivery",N198)),ISNUMBER(SEARCH("Tatuapé",N198))),"SIM","")</f>
        <v/>
      </c>
      <c r="AB198" s="92">
        <f>IF(AND(ISNUMBER(SEARCH("Delivery",N198)),ISNUMBER(SEARCH("Pavão",N198))),"SIM","")</f>
        <v/>
      </c>
      <c r="AC198" s="92">
        <f>IF(AND(ISNUMBER(SEARCH("Delivery",N198)),ISNUMBER(SEARCH("Chac",N198))),"SIM","")</f>
        <v/>
      </c>
      <c r="AD198" s="92">
        <f>IF(AND(ISNUMBER(SEARCH("Delivery",N198)),ISNUMBER(SEARCH("Madalena",N198))),"SIM","")</f>
        <v/>
      </c>
      <c r="AE198" s="99">
        <f>IF(AND(ISNUMBER(SEARCH("Delivery",N198)),ISNUMBER(SEARCH("Mariana",N198))),"SIM","")</f>
        <v/>
      </c>
      <c r="AF198" s="99">
        <f>IF(AND(ISNUMBER(SEARCH("Delivery",N198)),ISNUMBER(SEARCH("Perdizes",N198))),"SIM","")</f>
        <v/>
      </c>
      <c r="AG198" s="99">
        <f>IF(AND(ISNUMBER(SEARCH("Delivery",N198)),ISNUMBER(SEARCH("Santana",N198))),"SIM","")</f>
        <v/>
      </c>
      <c r="AH198" s="99">
        <f>IF(AND(ISNUMBER(SEARCH("Delivery",N198)),ISNUMBER(SEARCH("André",N198))),"SIM","")</f>
        <v/>
      </c>
      <c r="AI198" s="99">
        <f>IF(ISNUMBER(SEARCH("Interlagos",N198)),"SIM","")</f>
        <v/>
      </c>
      <c r="AJ198" s="99">
        <f>IF(ISNUMBER(SEARCH("Quiosque",N198)),"SIM","")</f>
        <v/>
      </c>
      <c r="AK198" s="101" t="n"/>
    </row>
    <row r="199">
      <c r="A199" s="88" t="inlineStr">
        <is>
          <t>Protheus</t>
        </is>
      </c>
      <c r="B199" s="96" t="inlineStr">
        <is>
          <t>001560</t>
        </is>
      </c>
      <c r="C199" s="97">
        <f>IF(B199="—","—",IFERROR(VLOOKUP(B199,_Protheus_Cadastro!$A:$B,2,FALSE),"—"))</f>
        <v/>
      </c>
      <c r="D199" s="98">
        <f>IF(B199="—",IFERROR(INDEX(_ZIG_Cadastro!$D:$D,MATCH(H199,_ZIG_Cadastro!$A:$A,0)),"Produto"),IFERROR(VLOOKUP(B199,_Protheus_Cadastro!$A:$C,3,FALSE),"—"))</f>
        <v/>
      </c>
      <c r="E199" s="98">
        <f>IF(B199="—","—",IFERROR(VLOOKUP(B199,_Protheus_Cadastro!$A:$D,4,FALSE),"—"))</f>
        <v/>
      </c>
      <c r="F199" s="98">
        <f>IF(ISERROR(VLOOKUP(B199,'Estrutura Protheus'!A:A,1,FALSE)),"Não","Sim")</f>
        <v/>
      </c>
      <c r="G199" s="99">
        <f>IFERROR(INDEX(_Protheus_Cadastro!$H:$H,MATCH(B199,_Protheus_Cadastro!$A:$A,0)),"—")</f>
        <v/>
      </c>
      <c r="H199" s="211">
        <f>IFERROR(INDEX(_ZIG_Precos!$D:$D,MATCH(I199,_ZIG_Precos!$F:$F,0)),"—")</f>
        <v/>
      </c>
      <c r="I199" s="103">
        <f>IFERROR(VLOOKUP(B199,_Protheus_Cadastro!$A:$I,9,FALSE),"—")</f>
        <v/>
      </c>
      <c r="J199" s="101">
        <f>IFERROR(INDEX(_ZIG_Cadastro!$B:$B,MATCH(I199,_ZIG_Cadastro!$A:$A,0)),IFERROR(INDEX(_Entradas_ZIG!$B:$B,MATCH(I199,_Entradas_ZIG!$C:$C,0)),"—"))</f>
        <v/>
      </c>
      <c r="K199" s="101">
        <f>IFERROR(INDEX(_ZIG_Cadastro!$C:$C,MATCH(I199,_ZIG_Cadastro!$A:$A,0)),IFERROR(INDEX(_Entradas_ZIG!$D:$D,MATCH(I199,_Entradas_ZIG!$C:$C,0)),"—"))</f>
        <v/>
      </c>
      <c r="L199" s="99">
        <f>IF(I199="","Sem SKU ZIG",IF(I199="—","Sem SKU ZIG",IF(NOT(ISERROR(MATCH(I199,_ZIG_Cadastro!$A:$A,0))),IF(EXACT(UPPER(TRIM(C199)),UPPER(TRIM(INDEX(_ZIG_Cadastro!$B:$B,MATCH(I199,_ZIG_Cadastro!$A:$A,0))))),"OK","Atencao - Nome diverge"),IF(NOT(ISERROR(MATCH(I199,_Entradas_ZIG!$C:$C,0))),"OK","Erro - SKU nao encontrado"))))</f>
        <v/>
      </c>
      <c r="M199" s="99">
        <f>IFERROR(INDEX(_ZIG_Cadastro!$G:$G,MATCH(I199,_ZIG_Cadastro!$A:$A,0)),IF(NOT(ISERROR(MATCH(I199,_Entradas_ZIG!$C:$C,0))),"Ativo","—"))</f>
        <v/>
      </c>
      <c r="N199" s="102">
        <f>IFERROR(INDEX(_ZIG_Cadastro!$E:$E,MATCH(I199,_ZIG_Cadastro!$A:$A,0)),IFERROR(INDEX(_Entradas_ZIG!$F:$F,MATCH(I199,_Entradas_ZIG!$C:$C,0)),"—"))</f>
        <v/>
      </c>
      <c r="O199" s="99">
        <f>IF(AND(ISNUMBER(SEARCH("Espeto",N199)),ISNUMBER(SEARCH("Carin",N199))),"SIM","")</f>
        <v/>
      </c>
      <c r="P199" s="99">
        <f>IF(AND(ISNUMBER(SEARCH("Espeto",N199)),ISNUMBER(SEARCH("Lapa",N199))),"SIM","")</f>
        <v/>
      </c>
      <c r="Q199" s="99">
        <f>IF(AND(ISNUMBER(SEARCH("Espeto",N199)),ISNUMBER(SEARCH("Tatuapé",N199))),"SIM","")</f>
        <v/>
      </c>
      <c r="R199" s="99">
        <f>IF(AND(ISNUMBER(SEARCH("Espeto",N199)),ISNUMBER(SEARCH("Pavão",N199))),"SIM","")</f>
        <v/>
      </c>
      <c r="S199" s="99">
        <f>IF(AND(ISNUMBER(SEARCH("Espeto",N199)),ISNUMBER(SEARCH("Chac",N199))),"SIM","")</f>
        <v/>
      </c>
      <c r="T199" s="99">
        <f>IF(AND(ISNUMBER(SEARCH("Espeto",N199)),ISNUMBER(SEARCH("Madalena",N199))),"SIM","")</f>
        <v/>
      </c>
      <c r="U199" s="99">
        <f>IF(AND(ISNUMBER(SEARCH("Espeto",N199)),ISNUMBER(SEARCH("Mariana",N199))),"SIM","")</f>
        <v/>
      </c>
      <c r="V199" s="99">
        <f>IF(AND(ISNUMBER(SEARCH("Espeto",N199)),ISNUMBER(SEARCH("Perdizes",N199))),"SIM","")</f>
        <v/>
      </c>
      <c r="W199" s="99">
        <f>IF(AND(ISNUMBER(SEARCH("Espeto",N199)),ISNUMBER(SEARCH("Santana",N199))),"SIM","")</f>
        <v/>
      </c>
      <c r="X199" s="99">
        <f>IF(AND(ISNUMBER(SEARCH("Espeto",N199)),ISNUMBER(SEARCH("André",N199))),"SIM","")</f>
        <v/>
      </c>
      <c r="Y199" s="99">
        <f>IF(AND(ISNUMBER(SEARCH("Delivery",N199)),ISNUMBER(SEARCH("Carin",N199))),"SIM","")</f>
        <v/>
      </c>
      <c r="Z199" s="99">
        <f>IF(AND(ISNUMBER(SEARCH("Delivery",N199)),ISNUMBER(SEARCH("Lapa",N199))),"SIM","")</f>
        <v/>
      </c>
      <c r="AA199" s="99">
        <f>IF(AND(ISNUMBER(SEARCH("Delivery",N199)),ISNUMBER(SEARCH("Tatuapé",N199))),"SIM","")</f>
        <v/>
      </c>
      <c r="AB199" s="99">
        <f>IF(AND(ISNUMBER(SEARCH("Delivery",N199)),ISNUMBER(SEARCH("Pavão",N199))),"SIM","")</f>
        <v/>
      </c>
      <c r="AC199" s="99">
        <f>IF(AND(ISNUMBER(SEARCH("Delivery",N199)),ISNUMBER(SEARCH("Chac",N199))),"SIM","")</f>
        <v/>
      </c>
      <c r="AD199" s="99">
        <f>IF(AND(ISNUMBER(SEARCH("Delivery",N199)),ISNUMBER(SEARCH("Madalena",N199))),"SIM","")</f>
        <v/>
      </c>
      <c r="AE199" s="92">
        <f>IF(AND(ISNUMBER(SEARCH("Delivery",N199)),ISNUMBER(SEARCH("Mariana",N199))),"SIM","")</f>
        <v/>
      </c>
      <c r="AF199" s="92">
        <f>IF(AND(ISNUMBER(SEARCH("Delivery",N199)),ISNUMBER(SEARCH("Perdizes",N199))),"SIM","")</f>
        <v/>
      </c>
      <c r="AG199" s="92">
        <f>IF(AND(ISNUMBER(SEARCH("Delivery",N199)),ISNUMBER(SEARCH("Santana",N199))),"SIM","")</f>
        <v/>
      </c>
      <c r="AH199" s="92">
        <f>IF(AND(ISNUMBER(SEARCH("Delivery",N199)),ISNUMBER(SEARCH("André",N199))),"SIM","")</f>
        <v/>
      </c>
      <c r="AI199" s="92">
        <f>IF(ISNUMBER(SEARCH("Interlagos",N199)),"SIM","")</f>
        <v/>
      </c>
      <c r="AJ199" s="92">
        <f>IF(ISNUMBER(SEARCH("Quiosque",N199)),"SIM","")</f>
        <v/>
      </c>
      <c r="AK199" s="93" t="n"/>
    </row>
    <row r="200">
      <c r="A200" s="88" t="inlineStr">
        <is>
          <t>Protheus</t>
        </is>
      </c>
      <c r="B200" s="89" t="inlineStr">
        <is>
          <t>001660</t>
        </is>
      </c>
      <c r="C200" s="90">
        <f>IF(B200="—","—",IFERROR(VLOOKUP(B200,_Protheus_Cadastro!$A:$B,2,FALSE),"—"))</f>
        <v/>
      </c>
      <c r="D200" s="91">
        <f>IF(B200="—",IFERROR(INDEX(_ZIG_Cadastro!$D:$D,MATCH(H200,_ZIG_Cadastro!$A:$A,0)),"Produto"),IFERROR(VLOOKUP(B200,_Protheus_Cadastro!$A:$C,3,FALSE),"—"))</f>
        <v/>
      </c>
      <c r="E200" s="91">
        <f>IF(B200="—","—",IFERROR(VLOOKUP(B200,_Protheus_Cadastro!$A:$D,4,FALSE),"—"))</f>
        <v/>
      </c>
      <c r="F200" s="91">
        <f>IF(ISERROR(VLOOKUP(B200,'Estrutura Protheus'!A:A,1,FALSE)),"Não","Sim")</f>
        <v/>
      </c>
      <c r="G200" s="92">
        <f>IFERROR(INDEX(_Protheus_Cadastro!$H:$H,MATCH(B200,_Protheus_Cadastro!$A:$A,0)),"—")</f>
        <v/>
      </c>
      <c r="H200" s="210">
        <f>IFERROR(INDEX(_ZIG_Precos!$D:$D,MATCH(I200,_ZIG_Precos!$F:$F,0)),"—")</f>
        <v/>
      </c>
      <c r="I200" s="95">
        <f>IFERROR(VLOOKUP(B200,_Protheus_Cadastro!$A:$I,9,FALSE),"—")</f>
        <v/>
      </c>
      <c r="J200" s="93">
        <f>IFERROR(INDEX(_ZIG_Cadastro!$B:$B,MATCH(I200,_ZIG_Cadastro!$A:$A,0)),IFERROR(INDEX(_Entradas_ZIG!$B:$B,MATCH(I200,_Entradas_ZIG!$C:$C,0)),"—"))</f>
        <v/>
      </c>
      <c r="K200" s="93">
        <f>IFERROR(INDEX(_ZIG_Cadastro!$C:$C,MATCH(I200,_ZIG_Cadastro!$A:$A,0)),IFERROR(INDEX(_Entradas_ZIG!$D:$D,MATCH(I200,_Entradas_ZIG!$C:$C,0)),"—"))</f>
        <v/>
      </c>
      <c r="L200" s="92">
        <f>IF(I200="","Sem SKU ZIG",IF(I200="—","Sem SKU ZIG",IF(NOT(ISERROR(MATCH(I200,_ZIG_Cadastro!$A:$A,0))),IF(EXACT(UPPER(TRIM(C200)),UPPER(TRIM(INDEX(_ZIG_Cadastro!$B:$B,MATCH(I200,_ZIG_Cadastro!$A:$A,0))))),"OK","Atencao - Nome diverge"),IF(NOT(ISERROR(MATCH(I200,_Entradas_ZIG!$C:$C,0))),"OK","Erro - SKU nao encontrado"))))</f>
        <v/>
      </c>
      <c r="M200" s="92">
        <f>IFERROR(INDEX(_ZIG_Cadastro!$G:$G,MATCH(I200,_ZIG_Cadastro!$A:$A,0)),IF(NOT(ISERROR(MATCH(I200,_Entradas_ZIG!$C:$C,0))),"Ativo","—"))</f>
        <v/>
      </c>
      <c r="N200" s="94">
        <f>IFERROR(INDEX(_ZIG_Cadastro!$E:$E,MATCH(I200,_ZIG_Cadastro!$A:$A,0)),IFERROR(INDEX(_Entradas_ZIG!$F:$F,MATCH(I200,_Entradas_ZIG!$C:$C,0)),"—"))</f>
        <v/>
      </c>
      <c r="O200" s="92">
        <f>IF(AND(ISNUMBER(SEARCH("Espeto",N200)),ISNUMBER(SEARCH("Carin",N200))),"SIM","")</f>
        <v/>
      </c>
      <c r="P200" s="92">
        <f>IF(AND(ISNUMBER(SEARCH("Espeto",N200)),ISNUMBER(SEARCH("Lapa",N200))),"SIM","")</f>
        <v/>
      </c>
      <c r="Q200" s="92">
        <f>IF(AND(ISNUMBER(SEARCH("Espeto",N200)),ISNUMBER(SEARCH("Tatuapé",N200))),"SIM","")</f>
        <v/>
      </c>
      <c r="R200" s="92">
        <f>IF(AND(ISNUMBER(SEARCH("Espeto",N200)),ISNUMBER(SEARCH("Pavão",N200))),"SIM","")</f>
        <v/>
      </c>
      <c r="S200" s="92">
        <f>IF(AND(ISNUMBER(SEARCH("Espeto",N200)),ISNUMBER(SEARCH("Chac",N200))),"SIM","")</f>
        <v/>
      </c>
      <c r="T200" s="92">
        <f>IF(AND(ISNUMBER(SEARCH("Espeto",N200)),ISNUMBER(SEARCH("Madalena",N200))),"SIM","")</f>
        <v/>
      </c>
      <c r="U200" s="92">
        <f>IF(AND(ISNUMBER(SEARCH("Espeto",N200)),ISNUMBER(SEARCH("Mariana",N200))),"SIM","")</f>
        <v/>
      </c>
      <c r="V200" s="92">
        <f>IF(AND(ISNUMBER(SEARCH("Espeto",N200)),ISNUMBER(SEARCH("Perdizes",N200))),"SIM","")</f>
        <v/>
      </c>
      <c r="W200" s="92">
        <f>IF(AND(ISNUMBER(SEARCH("Espeto",N200)),ISNUMBER(SEARCH("Santana",N200))),"SIM","")</f>
        <v/>
      </c>
      <c r="X200" s="92">
        <f>IF(AND(ISNUMBER(SEARCH("Espeto",N200)),ISNUMBER(SEARCH("André",N200))),"SIM","")</f>
        <v/>
      </c>
      <c r="Y200" s="92">
        <f>IF(AND(ISNUMBER(SEARCH("Delivery",N200)),ISNUMBER(SEARCH("Carin",N200))),"SIM","")</f>
        <v/>
      </c>
      <c r="Z200" s="92">
        <f>IF(AND(ISNUMBER(SEARCH("Delivery",N200)),ISNUMBER(SEARCH("Lapa",N200))),"SIM","")</f>
        <v/>
      </c>
      <c r="AA200" s="92">
        <f>IF(AND(ISNUMBER(SEARCH("Delivery",N200)),ISNUMBER(SEARCH("Tatuapé",N200))),"SIM","")</f>
        <v/>
      </c>
      <c r="AB200" s="92">
        <f>IF(AND(ISNUMBER(SEARCH("Delivery",N200)),ISNUMBER(SEARCH("Pavão",N200))),"SIM","")</f>
        <v/>
      </c>
      <c r="AC200" s="92">
        <f>IF(AND(ISNUMBER(SEARCH("Delivery",N200)),ISNUMBER(SEARCH("Chac",N200))),"SIM","")</f>
        <v/>
      </c>
      <c r="AD200" s="92">
        <f>IF(AND(ISNUMBER(SEARCH("Delivery",N200)),ISNUMBER(SEARCH("Madalena",N200))),"SIM","")</f>
        <v/>
      </c>
      <c r="AE200" s="99">
        <f>IF(AND(ISNUMBER(SEARCH("Delivery",N200)),ISNUMBER(SEARCH("Mariana",N200))),"SIM","")</f>
        <v/>
      </c>
      <c r="AF200" s="99">
        <f>IF(AND(ISNUMBER(SEARCH("Delivery",N200)),ISNUMBER(SEARCH("Perdizes",N200))),"SIM","")</f>
        <v/>
      </c>
      <c r="AG200" s="99">
        <f>IF(AND(ISNUMBER(SEARCH("Delivery",N200)),ISNUMBER(SEARCH("Santana",N200))),"SIM","")</f>
        <v/>
      </c>
      <c r="AH200" s="99">
        <f>IF(AND(ISNUMBER(SEARCH("Delivery",N200)),ISNUMBER(SEARCH("André",N200))),"SIM","")</f>
        <v/>
      </c>
      <c r="AI200" s="99">
        <f>IF(ISNUMBER(SEARCH("Interlagos",N200)),"SIM","")</f>
        <v/>
      </c>
      <c r="AJ200" s="99">
        <f>IF(ISNUMBER(SEARCH("Quiosque",N200)),"SIM","")</f>
        <v/>
      </c>
      <c r="AK200" s="101" t="n"/>
    </row>
    <row r="201">
      <c r="A201" s="88" t="inlineStr">
        <is>
          <t>Protheus</t>
        </is>
      </c>
      <c r="B201" s="96" t="inlineStr">
        <is>
          <t>000917</t>
        </is>
      </c>
      <c r="C201" s="97">
        <f>IF(B201="—","—",IFERROR(VLOOKUP(B201,_Protheus_Cadastro!$A:$B,2,FALSE),"—"))</f>
        <v/>
      </c>
      <c r="D201" s="98">
        <f>IF(B201="—",IFERROR(INDEX(_ZIG_Cadastro!$D:$D,MATCH(H201,_ZIG_Cadastro!$A:$A,0)),"Produto"),IFERROR(VLOOKUP(B201,_Protheus_Cadastro!$A:$C,3,FALSE),"—"))</f>
        <v/>
      </c>
      <c r="E201" s="98">
        <f>IF(B201="—","—",IFERROR(VLOOKUP(B201,_Protheus_Cadastro!$A:$D,4,FALSE),"—"))</f>
        <v/>
      </c>
      <c r="F201" s="98">
        <f>IF(ISERROR(VLOOKUP(B201,'Estrutura Protheus'!A:A,1,FALSE)),"Não","Sim")</f>
        <v/>
      </c>
      <c r="G201" s="99">
        <f>IFERROR(INDEX(_Protheus_Cadastro!$H:$H,MATCH(B201,_Protheus_Cadastro!$A:$A,0)),"—")</f>
        <v/>
      </c>
      <c r="H201" s="211">
        <f>IFERROR(INDEX(_ZIG_Precos!$D:$D,MATCH(I201,_ZIG_Precos!$F:$F,0)),"—")</f>
        <v/>
      </c>
      <c r="I201" s="103">
        <f>IFERROR(VLOOKUP(B201,_Protheus_Cadastro!$A:$I,9,FALSE),"—")</f>
        <v/>
      </c>
      <c r="J201" s="101">
        <f>IFERROR(INDEX(_ZIG_Cadastro!$B:$B,MATCH(I201,_ZIG_Cadastro!$A:$A,0)),IFERROR(INDEX(_Entradas_ZIG!$B:$B,MATCH(I201,_Entradas_ZIG!$C:$C,0)),"—"))</f>
        <v/>
      </c>
      <c r="K201" s="101">
        <f>IFERROR(INDEX(_ZIG_Cadastro!$C:$C,MATCH(I201,_ZIG_Cadastro!$A:$A,0)),IFERROR(INDEX(_Entradas_ZIG!$D:$D,MATCH(I201,_Entradas_ZIG!$C:$C,0)),"—"))</f>
        <v/>
      </c>
      <c r="L201" s="99">
        <f>IF(I201="","Sem SKU ZIG",IF(I201="—","Sem SKU ZIG",IF(NOT(ISERROR(MATCH(I201,_ZIG_Cadastro!$A:$A,0))),IF(EXACT(UPPER(TRIM(C201)),UPPER(TRIM(INDEX(_ZIG_Cadastro!$B:$B,MATCH(I201,_ZIG_Cadastro!$A:$A,0))))),"OK","Atencao - Nome diverge"),IF(NOT(ISERROR(MATCH(I201,_Entradas_ZIG!$C:$C,0))),"OK","Erro - SKU nao encontrado"))))</f>
        <v/>
      </c>
      <c r="M201" s="99">
        <f>IFERROR(INDEX(_ZIG_Cadastro!$G:$G,MATCH(I201,_ZIG_Cadastro!$A:$A,0)),IF(NOT(ISERROR(MATCH(I201,_Entradas_ZIG!$C:$C,0))),"Ativo","—"))</f>
        <v/>
      </c>
      <c r="N201" s="102">
        <f>IFERROR(INDEX(_ZIG_Cadastro!$E:$E,MATCH(I201,_ZIG_Cadastro!$A:$A,0)),IFERROR(INDEX(_Entradas_ZIG!$F:$F,MATCH(I201,_Entradas_ZIG!$C:$C,0)),"—"))</f>
        <v/>
      </c>
      <c r="O201" s="99">
        <f>IF(AND(ISNUMBER(SEARCH("Espeto",N201)),ISNUMBER(SEARCH("Carin",N201))),"SIM","")</f>
        <v/>
      </c>
      <c r="P201" s="99">
        <f>IF(AND(ISNUMBER(SEARCH("Espeto",N201)),ISNUMBER(SEARCH("Lapa",N201))),"SIM","")</f>
        <v/>
      </c>
      <c r="Q201" s="99">
        <f>IF(AND(ISNUMBER(SEARCH("Espeto",N201)),ISNUMBER(SEARCH("Tatuapé",N201))),"SIM","")</f>
        <v/>
      </c>
      <c r="R201" s="99">
        <f>IF(AND(ISNUMBER(SEARCH("Espeto",N201)),ISNUMBER(SEARCH("Pavão",N201))),"SIM","")</f>
        <v/>
      </c>
      <c r="S201" s="99">
        <f>IF(AND(ISNUMBER(SEARCH("Espeto",N201)),ISNUMBER(SEARCH("Chac",N201))),"SIM","")</f>
        <v/>
      </c>
      <c r="T201" s="99">
        <f>IF(AND(ISNUMBER(SEARCH("Espeto",N201)),ISNUMBER(SEARCH("Madalena",N201))),"SIM","")</f>
        <v/>
      </c>
      <c r="U201" s="99">
        <f>IF(AND(ISNUMBER(SEARCH("Espeto",N201)),ISNUMBER(SEARCH("Mariana",N201))),"SIM","")</f>
        <v/>
      </c>
      <c r="V201" s="99">
        <f>IF(AND(ISNUMBER(SEARCH("Espeto",N201)),ISNUMBER(SEARCH("Perdizes",N201))),"SIM","")</f>
        <v/>
      </c>
      <c r="W201" s="99">
        <f>IF(AND(ISNUMBER(SEARCH("Espeto",N201)),ISNUMBER(SEARCH("Santana",N201))),"SIM","")</f>
        <v/>
      </c>
      <c r="X201" s="99">
        <f>IF(AND(ISNUMBER(SEARCH("Espeto",N201)),ISNUMBER(SEARCH("André",N201))),"SIM","")</f>
        <v/>
      </c>
      <c r="Y201" s="99">
        <f>IF(AND(ISNUMBER(SEARCH("Delivery",N201)),ISNUMBER(SEARCH("Carin",N201))),"SIM","")</f>
        <v/>
      </c>
      <c r="Z201" s="99">
        <f>IF(AND(ISNUMBER(SEARCH("Delivery",N201)),ISNUMBER(SEARCH("Lapa",N201))),"SIM","")</f>
        <v/>
      </c>
      <c r="AA201" s="99">
        <f>IF(AND(ISNUMBER(SEARCH("Delivery",N201)),ISNUMBER(SEARCH("Tatuapé",N201))),"SIM","")</f>
        <v/>
      </c>
      <c r="AB201" s="99">
        <f>IF(AND(ISNUMBER(SEARCH("Delivery",N201)),ISNUMBER(SEARCH("Pavão",N201))),"SIM","")</f>
        <v/>
      </c>
      <c r="AC201" s="99">
        <f>IF(AND(ISNUMBER(SEARCH("Delivery",N201)),ISNUMBER(SEARCH("Chac",N201))),"SIM","")</f>
        <v/>
      </c>
      <c r="AD201" s="99">
        <f>IF(AND(ISNUMBER(SEARCH("Delivery",N201)),ISNUMBER(SEARCH("Madalena",N201))),"SIM","")</f>
        <v/>
      </c>
      <c r="AE201" s="92">
        <f>IF(AND(ISNUMBER(SEARCH("Delivery",N201)),ISNUMBER(SEARCH("Mariana",N201))),"SIM","")</f>
        <v/>
      </c>
      <c r="AF201" s="92">
        <f>IF(AND(ISNUMBER(SEARCH("Delivery",N201)),ISNUMBER(SEARCH("Perdizes",N201))),"SIM","")</f>
        <v/>
      </c>
      <c r="AG201" s="92">
        <f>IF(AND(ISNUMBER(SEARCH("Delivery",N201)),ISNUMBER(SEARCH("Santana",N201))),"SIM","")</f>
        <v/>
      </c>
      <c r="AH201" s="92">
        <f>IF(AND(ISNUMBER(SEARCH("Delivery",N201)),ISNUMBER(SEARCH("André",N201))),"SIM","")</f>
        <v/>
      </c>
      <c r="AI201" s="92">
        <f>IF(ISNUMBER(SEARCH("Interlagos",N201)),"SIM","")</f>
        <v/>
      </c>
      <c r="AJ201" s="92">
        <f>IF(ISNUMBER(SEARCH("Quiosque",N201)),"SIM","")</f>
        <v/>
      </c>
      <c r="AK201" s="93" t="n"/>
    </row>
    <row r="202">
      <c r="A202" s="88" t="inlineStr">
        <is>
          <t>Protheus</t>
        </is>
      </c>
      <c r="B202" s="96" t="inlineStr">
        <is>
          <t>001072</t>
        </is>
      </c>
      <c r="C202" s="97">
        <f>IF(B202="—","—",IFERROR(VLOOKUP(B202,_Protheus_Cadastro!$A:$B,2,FALSE),"—"))</f>
        <v/>
      </c>
      <c r="D202" s="98">
        <f>IF(B202="—",IFERROR(INDEX(_ZIG_Cadastro!$D:$D,MATCH(H202,_ZIG_Cadastro!$A:$A,0)),"Produto"),IFERROR(VLOOKUP(B202,_Protheus_Cadastro!$A:$C,3,FALSE),"—"))</f>
        <v/>
      </c>
      <c r="E202" s="98">
        <f>IF(B202="—","—",IFERROR(VLOOKUP(B202,_Protheus_Cadastro!$A:$D,4,FALSE),"—"))</f>
        <v/>
      </c>
      <c r="F202" s="98">
        <f>IF(ISERROR(VLOOKUP(B202,'Estrutura Protheus'!A:A,1,FALSE)),"Não","Sim")</f>
        <v/>
      </c>
      <c r="G202" s="99">
        <f>IFERROR(INDEX(_Protheus_Cadastro!$H:$H,MATCH(B202,_Protheus_Cadastro!$A:$A,0)),"—")</f>
        <v/>
      </c>
      <c r="H202" s="211">
        <f>IFERROR(INDEX(_ZIG_Precos!$D:$D,MATCH(I202,_ZIG_Precos!$F:$F,0)),"—")</f>
        <v/>
      </c>
      <c r="I202" s="103">
        <f>IFERROR(VLOOKUP(B202,_Protheus_Cadastro!$A:$I,9,FALSE),"—")</f>
        <v/>
      </c>
      <c r="J202" s="101">
        <f>IFERROR(INDEX(_ZIG_Cadastro!$B:$B,MATCH(I202,_ZIG_Cadastro!$A:$A,0)),IFERROR(INDEX(_Entradas_ZIG!$B:$B,MATCH(I202,_Entradas_ZIG!$C:$C,0)),"—"))</f>
        <v/>
      </c>
      <c r="K202" s="101">
        <f>IFERROR(INDEX(_ZIG_Cadastro!$C:$C,MATCH(I202,_ZIG_Cadastro!$A:$A,0)),IFERROR(INDEX(_Entradas_ZIG!$D:$D,MATCH(I202,_Entradas_ZIG!$C:$C,0)),"—"))</f>
        <v/>
      </c>
      <c r="L202" s="99">
        <f>IF(I202="","Sem SKU ZIG",IF(I202="—","Sem SKU ZIG",IF(NOT(ISERROR(MATCH(I202,_ZIG_Cadastro!$A:$A,0))),IF(EXACT(UPPER(TRIM(C202)),UPPER(TRIM(INDEX(_ZIG_Cadastro!$B:$B,MATCH(I202,_ZIG_Cadastro!$A:$A,0))))),"OK","Atencao - Nome diverge"),IF(NOT(ISERROR(MATCH(I202,_Entradas_ZIG!$C:$C,0))),"OK","Erro - SKU nao encontrado"))))</f>
        <v/>
      </c>
      <c r="M202" s="99">
        <f>IFERROR(INDEX(_ZIG_Cadastro!$G:$G,MATCH(I202,_ZIG_Cadastro!$A:$A,0)),IF(NOT(ISERROR(MATCH(I202,_Entradas_ZIG!$C:$C,0))),"Ativo","—"))</f>
        <v/>
      </c>
      <c r="N202" s="102">
        <f>IFERROR(INDEX(_ZIG_Cadastro!$E:$E,MATCH(I202,_ZIG_Cadastro!$A:$A,0)),IFERROR(INDEX(_Entradas_ZIG!$F:$F,MATCH(I202,_Entradas_ZIG!$C:$C,0)),"—"))</f>
        <v/>
      </c>
      <c r="O202" s="99">
        <f>IF(AND(ISNUMBER(SEARCH("Espeto",N202)),ISNUMBER(SEARCH("Carin",N202))),"SIM","")</f>
        <v/>
      </c>
      <c r="P202" s="99">
        <f>IF(AND(ISNUMBER(SEARCH("Espeto",N202)),ISNUMBER(SEARCH("Lapa",N202))),"SIM","")</f>
        <v/>
      </c>
      <c r="Q202" s="99">
        <f>IF(AND(ISNUMBER(SEARCH("Espeto",N202)),ISNUMBER(SEARCH("Tatuapé",N202))),"SIM","")</f>
        <v/>
      </c>
      <c r="R202" s="99">
        <f>IF(AND(ISNUMBER(SEARCH("Espeto",N202)),ISNUMBER(SEARCH("Pavão",N202))),"SIM","")</f>
        <v/>
      </c>
      <c r="S202" s="99">
        <f>IF(AND(ISNUMBER(SEARCH("Espeto",N202)),ISNUMBER(SEARCH("Chac",N202))),"SIM","")</f>
        <v/>
      </c>
      <c r="T202" s="99">
        <f>IF(AND(ISNUMBER(SEARCH("Espeto",N202)),ISNUMBER(SEARCH("Madalena",N202))),"SIM","")</f>
        <v/>
      </c>
      <c r="U202" s="99">
        <f>IF(AND(ISNUMBER(SEARCH("Espeto",N202)),ISNUMBER(SEARCH("Mariana",N202))),"SIM","")</f>
        <v/>
      </c>
      <c r="V202" s="99">
        <f>IF(AND(ISNUMBER(SEARCH("Espeto",N202)),ISNUMBER(SEARCH("Perdizes",N202))),"SIM","")</f>
        <v/>
      </c>
      <c r="W202" s="99">
        <f>IF(AND(ISNUMBER(SEARCH("Espeto",N202)),ISNUMBER(SEARCH("Santana",N202))),"SIM","")</f>
        <v/>
      </c>
      <c r="X202" s="99">
        <f>IF(AND(ISNUMBER(SEARCH("Espeto",N202)),ISNUMBER(SEARCH("André",N202))),"SIM","")</f>
        <v/>
      </c>
      <c r="Y202" s="99">
        <f>IF(AND(ISNUMBER(SEARCH("Delivery",N202)),ISNUMBER(SEARCH("Carin",N202))),"SIM","")</f>
        <v/>
      </c>
      <c r="Z202" s="99">
        <f>IF(AND(ISNUMBER(SEARCH("Delivery",N202)),ISNUMBER(SEARCH("Lapa",N202))),"SIM","")</f>
        <v/>
      </c>
      <c r="AA202" s="99">
        <f>IF(AND(ISNUMBER(SEARCH("Delivery",N202)),ISNUMBER(SEARCH("Tatuapé",N202))),"SIM","")</f>
        <v/>
      </c>
      <c r="AB202" s="99">
        <f>IF(AND(ISNUMBER(SEARCH("Delivery",N202)),ISNUMBER(SEARCH("Pavão",N202))),"SIM","")</f>
        <v/>
      </c>
      <c r="AC202" s="99">
        <f>IF(AND(ISNUMBER(SEARCH("Delivery",N202)),ISNUMBER(SEARCH("Chac",N202))),"SIM","")</f>
        <v/>
      </c>
      <c r="AD202" s="99">
        <f>IF(AND(ISNUMBER(SEARCH("Delivery",N202)),ISNUMBER(SEARCH("Madalena",N202))),"SIM","")</f>
        <v/>
      </c>
      <c r="AE202" s="92">
        <f>IF(AND(ISNUMBER(SEARCH("Delivery",N202)),ISNUMBER(SEARCH("Mariana",N202))),"SIM","")</f>
        <v/>
      </c>
      <c r="AF202" s="92">
        <f>IF(AND(ISNUMBER(SEARCH("Delivery",N202)),ISNUMBER(SEARCH("Perdizes",N202))),"SIM","")</f>
        <v/>
      </c>
      <c r="AG202" s="92">
        <f>IF(AND(ISNUMBER(SEARCH("Delivery",N202)),ISNUMBER(SEARCH("Santana",N202))),"SIM","")</f>
        <v/>
      </c>
      <c r="AH202" s="92">
        <f>IF(AND(ISNUMBER(SEARCH("Delivery",N202)),ISNUMBER(SEARCH("André",N202))),"SIM","")</f>
        <v/>
      </c>
      <c r="AI202" s="92">
        <f>IF(ISNUMBER(SEARCH("Interlagos",N202)),"SIM","")</f>
        <v/>
      </c>
      <c r="AJ202" s="92">
        <f>IF(ISNUMBER(SEARCH("Quiosque",N202)),"SIM","")</f>
        <v/>
      </c>
      <c r="AK202" s="93" t="n"/>
    </row>
    <row r="203">
      <c r="A203" s="88" t="inlineStr">
        <is>
          <t>Protheus</t>
        </is>
      </c>
      <c r="B203" s="89" t="inlineStr">
        <is>
          <t>000005</t>
        </is>
      </c>
      <c r="C203" s="90">
        <f>IF(B203="—","—",IFERROR(VLOOKUP(B203,_Protheus_Cadastro!$A:$B,2,FALSE),"—"))</f>
        <v/>
      </c>
      <c r="D203" s="91">
        <f>IF(B203="—",IFERROR(INDEX(_ZIG_Cadastro!$D:$D,MATCH(H203,_ZIG_Cadastro!$A:$A,0)),"Produto"),IFERROR(VLOOKUP(B203,_Protheus_Cadastro!$A:$C,3,FALSE),"—"))</f>
        <v/>
      </c>
      <c r="E203" s="91">
        <f>IF(B203="—","—",IFERROR(VLOOKUP(B203,_Protheus_Cadastro!$A:$D,4,FALSE),"—"))</f>
        <v/>
      </c>
      <c r="F203" s="91">
        <f>IF(ISERROR(VLOOKUP(B203,'Estrutura Protheus'!A:A,1,FALSE)),"Não","Sim")</f>
        <v/>
      </c>
      <c r="G203" s="92">
        <f>IFERROR(INDEX(_Protheus_Cadastro!$H:$H,MATCH(B203,_Protheus_Cadastro!$A:$A,0)),"—")</f>
        <v/>
      </c>
      <c r="H203" s="210">
        <f>IFERROR(INDEX(_ZIG_Precos!$D:$D,MATCH(I203,_ZIG_Precos!$F:$F,0)),"—")</f>
        <v/>
      </c>
      <c r="I203" s="95">
        <f>IFERROR(VLOOKUP(B203,_Protheus_Cadastro!$A:$I,9,FALSE),"—")</f>
        <v/>
      </c>
      <c r="J203" s="93">
        <f>IFERROR(INDEX(_ZIG_Cadastro!$B:$B,MATCH(I203,_ZIG_Cadastro!$A:$A,0)),IFERROR(INDEX(_Entradas_ZIG!$B:$B,MATCH(I203,_Entradas_ZIG!$C:$C,0)),"—"))</f>
        <v/>
      </c>
      <c r="K203" s="93">
        <f>IFERROR(INDEX(_ZIG_Cadastro!$C:$C,MATCH(I203,_ZIG_Cadastro!$A:$A,0)),IFERROR(INDEX(_Entradas_ZIG!$D:$D,MATCH(I203,_Entradas_ZIG!$C:$C,0)),"—"))</f>
        <v/>
      </c>
      <c r="L203" s="92">
        <f>IF(I203="","Sem SKU ZIG",IF(I203="—","Sem SKU ZIG",IF(NOT(ISERROR(MATCH(I203,_ZIG_Cadastro!$A:$A,0))),IF(EXACT(UPPER(TRIM(C203)),UPPER(TRIM(INDEX(_ZIG_Cadastro!$B:$B,MATCH(I203,_ZIG_Cadastro!$A:$A,0))))),"OK","Atencao - Nome diverge"),IF(NOT(ISERROR(MATCH(I203,_Entradas_ZIG!$C:$C,0))),"OK","Erro - SKU nao encontrado"))))</f>
        <v/>
      </c>
      <c r="M203" s="92">
        <f>IFERROR(INDEX(_ZIG_Cadastro!$G:$G,MATCH(I203,_ZIG_Cadastro!$A:$A,0)),IF(NOT(ISERROR(MATCH(I203,_Entradas_ZIG!$C:$C,0))),"Ativo","—"))</f>
        <v/>
      </c>
      <c r="N203" s="94">
        <f>IFERROR(INDEX(_ZIG_Cadastro!$E:$E,MATCH(I203,_ZIG_Cadastro!$A:$A,0)),IFERROR(INDEX(_Entradas_ZIG!$F:$F,MATCH(I203,_Entradas_ZIG!$C:$C,0)),"—"))</f>
        <v/>
      </c>
      <c r="O203" s="92">
        <f>IF(AND(ISNUMBER(SEARCH("Espeto",N203)),ISNUMBER(SEARCH("Carin",N203))),"SIM","")</f>
        <v/>
      </c>
      <c r="P203" s="92">
        <f>IF(AND(ISNUMBER(SEARCH("Espeto",N203)),ISNUMBER(SEARCH("Lapa",N203))),"SIM","")</f>
        <v/>
      </c>
      <c r="Q203" s="92">
        <f>IF(AND(ISNUMBER(SEARCH("Espeto",N203)),ISNUMBER(SEARCH("Tatuapé",N203))),"SIM","")</f>
        <v/>
      </c>
      <c r="R203" s="92">
        <f>IF(AND(ISNUMBER(SEARCH("Espeto",N203)),ISNUMBER(SEARCH("Pavão",N203))),"SIM","")</f>
        <v/>
      </c>
      <c r="S203" s="92">
        <f>IF(AND(ISNUMBER(SEARCH("Espeto",N203)),ISNUMBER(SEARCH("Chac",N203))),"SIM","")</f>
        <v/>
      </c>
      <c r="T203" s="92">
        <f>IF(AND(ISNUMBER(SEARCH("Espeto",N203)),ISNUMBER(SEARCH("Madalena",N203))),"SIM","")</f>
        <v/>
      </c>
      <c r="U203" s="92">
        <f>IF(AND(ISNUMBER(SEARCH("Espeto",N203)),ISNUMBER(SEARCH("Mariana",N203))),"SIM","")</f>
        <v/>
      </c>
      <c r="V203" s="92">
        <f>IF(AND(ISNUMBER(SEARCH("Espeto",N203)),ISNUMBER(SEARCH("Perdizes",N203))),"SIM","")</f>
        <v/>
      </c>
      <c r="W203" s="92">
        <f>IF(AND(ISNUMBER(SEARCH("Espeto",N203)),ISNUMBER(SEARCH("Santana",N203))),"SIM","")</f>
        <v/>
      </c>
      <c r="X203" s="92">
        <f>IF(AND(ISNUMBER(SEARCH("Espeto",N203)),ISNUMBER(SEARCH("André",N203))),"SIM","")</f>
        <v/>
      </c>
      <c r="Y203" s="92">
        <f>IF(AND(ISNUMBER(SEARCH("Delivery",N203)),ISNUMBER(SEARCH("Carin",N203))),"SIM","")</f>
        <v/>
      </c>
      <c r="Z203" s="92">
        <f>IF(AND(ISNUMBER(SEARCH("Delivery",N203)),ISNUMBER(SEARCH("Lapa",N203))),"SIM","")</f>
        <v/>
      </c>
      <c r="AA203" s="92">
        <f>IF(AND(ISNUMBER(SEARCH("Delivery",N203)),ISNUMBER(SEARCH("Tatuapé",N203))),"SIM","")</f>
        <v/>
      </c>
      <c r="AB203" s="92">
        <f>IF(AND(ISNUMBER(SEARCH("Delivery",N203)),ISNUMBER(SEARCH("Pavão",N203))),"SIM","")</f>
        <v/>
      </c>
      <c r="AC203" s="92">
        <f>IF(AND(ISNUMBER(SEARCH("Delivery",N203)),ISNUMBER(SEARCH("Chac",N203))),"SIM","")</f>
        <v/>
      </c>
      <c r="AD203" s="92">
        <f>IF(AND(ISNUMBER(SEARCH("Delivery",N203)),ISNUMBER(SEARCH("Madalena",N203))),"SIM","")</f>
        <v/>
      </c>
      <c r="AE203" s="99">
        <f>IF(AND(ISNUMBER(SEARCH("Delivery",N203)),ISNUMBER(SEARCH("Mariana",N203))),"SIM","")</f>
        <v/>
      </c>
      <c r="AF203" s="99">
        <f>IF(AND(ISNUMBER(SEARCH("Delivery",N203)),ISNUMBER(SEARCH("Perdizes",N203))),"SIM","")</f>
        <v/>
      </c>
      <c r="AG203" s="99">
        <f>IF(AND(ISNUMBER(SEARCH("Delivery",N203)),ISNUMBER(SEARCH("Santana",N203))),"SIM","")</f>
        <v/>
      </c>
      <c r="AH203" s="99">
        <f>IF(AND(ISNUMBER(SEARCH("Delivery",N203)),ISNUMBER(SEARCH("André",N203))),"SIM","")</f>
        <v/>
      </c>
      <c r="AI203" s="99">
        <f>IF(ISNUMBER(SEARCH("Interlagos",N203)),"SIM","")</f>
        <v/>
      </c>
      <c r="AJ203" s="99">
        <f>IF(ISNUMBER(SEARCH("Quiosque",N203)),"SIM","")</f>
        <v/>
      </c>
      <c r="AK203" s="101" t="n"/>
    </row>
    <row r="204">
      <c r="A204" s="88" t="inlineStr">
        <is>
          <t>Protheus</t>
        </is>
      </c>
      <c r="B204" s="96" t="inlineStr">
        <is>
          <t>001496</t>
        </is>
      </c>
      <c r="C204" s="97">
        <f>IF(B204="—","—",IFERROR(VLOOKUP(B204,_Protheus_Cadastro!$A:$B,2,FALSE),"—"))</f>
        <v/>
      </c>
      <c r="D204" s="98">
        <f>IF(B204="—",IFERROR(INDEX(_ZIG_Cadastro!$D:$D,MATCH(H204,_ZIG_Cadastro!$A:$A,0)),"Produto"),IFERROR(VLOOKUP(B204,_Protheus_Cadastro!$A:$C,3,FALSE),"—"))</f>
        <v/>
      </c>
      <c r="E204" s="98">
        <f>IF(B204="—","—",IFERROR(VLOOKUP(B204,_Protheus_Cadastro!$A:$D,4,FALSE),"—"))</f>
        <v/>
      </c>
      <c r="F204" s="98">
        <f>IF(ISERROR(VLOOKUP(B204,'Estrutura Protheus'!A:A,1,FALSE)),"Não","Sim")</f>
        <v/>
      </c>
      <c r="G204" s="99">
        <f>IFERROR(INDEX(_Protheus_Cadastro!$H:$H,MATCH(B204,_Protheus_Cadastro!$A:$A,0)),"—")</f>
        <v/>
      </c>
      <c r="H204" s="211">
        <f>IFERROR(INDEX(_ZIG_Precos!$D:$D,MATCH(I204,_ZIG_Precos!$F:$F,0)),"—")</f>
        <v/>
      </c>
      <c r="I204" s="103">
        <f>IFERROR(VLOOKUP(B204,_Protheus_Cadastro!$A:$I,9,FALSE),"—")</f>
        <v/>
      </c>
      <c r="J204" s="101">
        <f>IFERROR(INDEX(_ZIG_Cadastro!$B:$B,MATCH(I204,_ZIG_Cadastro!$A:$A,0)),IFERROR(INDEX(_Entradas_ZIG!$B:$B,MATCH(I204,_Entradas_ZIG!$C:$C,0)),"—"))</f>
        <v/>
      </c>
      <c r="K204" s="101">
        <f>IFERROR(INDEX(_ZIG_Cadastro!$C:$C,MATCH(I204,_ZIG_Cadastro!$A:$A,0)),IFERROR(INDEX(_Entradas_ZIG!$D:$D,MATCH(I204,_Entradas_ZIG!$C:$C,0)),"—"))</f>
        <v/>
      </c>
      <c r="L204" s="99">
        <f>IF(I204="","Sem SKU ZIG",IF(I204="—","Sem SKU ZIG",IF(NOT(ISERROR(MATCH(I204,_ZIG_Cadastro!$A:$A,0))),IF(EXACT(UPPER(TRIM(C204)),UPPER(TRIM(INDEX(_ZIG_Cadastro!$B:$B,MATCH(I204,_ZIG_Cadastro!$A:$A,0))))),"OK","Atencao - Nome diverge"),IF(NOT(ISERROR(MATCH(I204,_Entradas_ZIG!$C:$C,0))),"OK","Erro - SKU nao encontrado"))))</f>
        <v/>
      </c>
      <c r="M204" s="99">
        <f>IFERROR(INDEX(_ZIG_Cadastro!$G:$G,MATCH(I204,_ZIG_Cadastro!$A:$A,0)),IF(NOT(ISERROR(MATCH(I204,_Entradas_ZIG!$C:$C,0))),"Ativo","—"))</f>
        <v/>
      </c>
      <c r="N204" s="102">
        <f>IFERROR(INDEX(_ZIG_Cadastro!$E:$E,MATCH(I204,_ZIG_Cadastro!$A:$A,0)),IFERROR(INDEX(_Entradas_ZIG!$F:$F,MATCH(I204,_Entradas_ZIG!$C:$C,0)),"—"))</f>
        <v/>
      </c>
      <c r="O204" s="99">
        <f>IF(AND(ISNUMBER(SEARCH("Espeto",N204)),ISNUMBER(SEARCH("Carin",N204))),"SIM","")</f>
        <v/>
      </c>
      <c r="P204" s="99">
        <f>IF(AND(ISNUMBER(SEARCH("Espeto",N204)),ISNUMBER(SEARCH("Lapa",N204))),"SIM","")</f>
        <v/>
      </c>
      <c r="Q204" s="99">
        <f>IF(AND(ISNUMBER(SEARCH("Espeto",N204)),ISNUMBER(SEARCH("Tatuapé",N204))),"SIM","")</f>
        <v/>
      </c>
      <c r="R204" s="99">
        <f>IF(AND(ISNUMBER(SEARCH("Espeto",N204)),ISNUMBER(SEARCH("Pavão",N204))),"SIM","")</f>
        <v/>
      </c>
      <c r="S204" s="99">
        <f>IF(AND(ISNUMBER(SEARCH("Espeto",N204)),ISNUMBER(SEARCH("Chac",N204))),"SIM","")</f>
        <v/>
      </c>
      <c r="T204" s="99">
        <f>IF(AND(ISNUMBER(SEARCH("Espeto",N204)),ISNUMBER(SEARCH("Madalena",N204))),"SIM","")</f>
        <v/>
      </c>
      <c r="U204" s="99">
        <f>IF(AND(ISNUMBER(SEARCH("Espeto",N204)),ISNUMBER(SEARCH("Mariana",N204))),"SIM","")</f>
        <v/>
      </c>
      <c r="V204" s="99">
        <f>IF(AND(ISNUMBER(SEARCH("Espeto",N204)),ISNUMBER(SEARCH("Perdizes",N204))),"SIM","")</f>
        <v/>
      </c>
      <c r="W204" s="99">
        <f>IF(AND(ISNUMBER(SEARCH("Espeto",N204)),ISNUMBER(SEARCH("Santana",N204))),"SIM","")</f>
        <v/>
      </c>
      <c r="X204" s="99">
        <f>IF(AND(ISNUMBER(SEARCH("Espeto",N204)),ISNUMBER(SEARCH("André",N204))),"SIM","")</f>
        <v/>
      </c>
      <c r="Y204" s="99">
        <f>IF(AND(ISNUMBER(SEARCH("Delivery",N204)),ISNUMBER(SEARCH("Carin",N204))),"SIM","")</f>
        <v/>
      </c>
      <c r="Z204" s="99">
        <f>IF(AND(ISNUMBER(SEARCH("Delivery",N204)),ISNUMBER(SEARCH("Lapa",N204))),"SIM","")</f>
        <v/>
      </c>
      <c r="AA204" s="99">
        <f>IF(AND(ISNUMBER(SEARCH("Delivery",N204)),ISNUMBER(SEARCH("Tatuapé",N204))),"SIM","")</f>
        <v/>
      </c>
      <c r="AB204" s="99">
        <f>IF(AND(ISNUMBER(SEARCH("Delivery",N204)),ISNUMBER(SEARCH("Pavão",N204))),"SIM","")</f>
        <v/>
      </c>
      <c r="AC204" s="99">
        <f>IF(AND(ISNUMBER(SEARCH("Delivery",N204)),ISNUMBER(SEARCH("Chac",N204))),"SIM","")</f>
        <v/>
      </c>
      <c r="AD204" s="99">
        <f>IF(AND(ISNUMBER(SEARCH("Delivery",N204)),ISNUMBER(SEARCH("Madalena",N204))),"SIM","")</f>
        <v/>
      </c>
      <c r="AE204" s="92">
        <f>IF(AND(ISNUMBER(SEARCH("Delivery",N204)),ISNUMBER(SEARCH("Mariana",N204))),"SIM","")</f>
        <v/>
      </c>
      <c r="AF204" s="92">
        <f>IF(AND(ISNUMBER(SEARCH("Delivery",N204)),ISNUMBER(SEARCH("Perdizes",N204))),"SIM","")</f>
        <v/>
      </c>
      <c r="AG204" s="92">
        <f>IF(AND(ISNUMBER(SEARCH("Delivery",N204)),ISNUMBER(SEARCH("Santana",N204))),"SIM","")</f>
        <v/>
      </c>
      <c r="AH204" s="92">
        <f>IF(AND(ISNUMBER(SEARCH("Delivery",N204)),ISNUMBER(SEARCH("André",N204))),"SIM","")</f>
        <v/>
      </c>
      <c r="AI204" s="92">
        <f>IF(ISNUMBER(SEARCH("Interlagos",N204)),"SIM","")</f>
        <v/>
      </c>
      <c r="AJ204" s="92">
        <f>IF(ISNUMBER(SEARCH("Quiosque",N204)),"SIM","")</f>
        <v/>
      </c>
      <c r="AK204" s="93" t="n"/>
    </row>
    <row r="205">
      <c r="A205" s="88" t="inlineStr">
        <is>
          <t>Protheus</t>
        </is>
      </c>
      <c r="B205" s="89" t="inlineStr">
        <is>
          <t>001495</t>
        </is>
      </c>
      <c r="C205" s="90">
        <f>IF(B205="—","—",IFERROR(VLOOKUP(B205,_Protheus_Cadastro!$A:$B,2,FALSE),"—"))</f>
        <v/>
      </c>
      <c r="D205" s="91">
        <f>IF(B205="—",IFERROR(INDEX(_ZIG_Cadastro!$D:$D,MATCH(H205,_ZIG_Cadastro!$A:$A,0)),"Produto"),IFERROR(VLOOKUP(B205,_Protheus_Cadastro!$A:$C,3,FALSE),"—"))</f>
        <v/>
      </c>
      <c r="E205" s="91">
        <f>IF(B205="—","—",IFERROR(VLOOKUP(B205,_Protheus_Cadastro!$A:$D,4,FALSE),"—"))</f>
        <v/>
      </c>
      <c r="F205" s="91">
        <f>IF(ISERROR(VLOOKUP(B205,'Estrutura Protheus'!A:A,1,FALSE)),"Não","Sim")</f>
        <v/>
      </c>
      <c r="G205" s="92">
        <f>IFERROR(INDEX(_Protheus_Cadastro!$H:$H,MATCH(B205,_Protheus_Cadastro!$A:$A,0)),"—")</f>
        <v/>
      </c>
      <c r="H205" s="210">
        <f>IFERROR(INDEX(_ZIG_Precos!$D:$D,MATCH(I205,_ZIG_Precos!$F:$F,0)),"—")</f>
        <v/>
      </c>
      <c r="I205" s="95">
        <f>IFERROR(VLOOKUP(B205,_Protheus_Cadastro!$A:$I,9,FALSE),"—")</f>
        <v/>
      </c>
      <c r="J205" s="93">
        <f>IFERROR(INDEX(_ZIG_Cadastro!$B:$B,MATCH(I205,_ZIG_Cadastro!$A:$A,0)),IFERROR(INDEX(_Entradas_ZIG!$B:$B,MATCH(I205,_Entradas_ZIG!$C:$C,0)),"—"))</f>
        <v/>
      </c>
      <c r="K205" s="93">
        <f>IFERROR(INDEX(_ZIG_Cadastro!$C:$C,MATCH(I205,_ZIG_Cadastro!$A:$A,0)),IFERROR(INDEX(_Entradas_ZIG!$D:$D,MATCH(I205,_Entradas_ZIG!$C:$C,0)),"—"))</f>
        <v/>
      </c>
      <c r="L205" s="92">
        <f>IF(I205="","Sem SKU ZIG",IF(I205="—","Sem SKU ZIG",IF(NOT(ISERROR(MATCH(I205,_ZIG_Cadastro!$A:$A,0))),IF(EXACT(UPPER(TRIM(C205)),UPPER(TRIM(INDEX(_ZIG_Cadastro!$B:$B,MATCH(I205,_ZIG_Cadastro!$A:$A,0))))),"OK","Atencao - Nome diverge"),IF(NOT(ISERROR(MATCH(I205,_Entradas_ZIG!$C:$C,0))),"OK","Erro - SKU nao encontrado"))))</f>
        <v/>
      </c>
      <c r="M205" s="92">
        <f>IFERROR(INDEX(_ZIG_Cadastro!$G:$G,MATCH(I205,_ZIG_Cadastro!$A:$A,0)),IF(NOT(ISERROR(MATCH(I205,_Entradas_ZIG!$C:$C,0))),"Ativo","—"))</f>
        <v/>
      </c>
      <c r="N205" s="94">
        <f>IFERROR(INDEX(_ZIG_Cadastro!$E:$E,MATCH(I205,_ZIG_Cadastro!$A:$A,0)),IFERROR(INDEX(_Entradas_ZIG!$F:$F,MATCH(I205,_Entradas_ZIG!$C:$C,0)),"—"))</f>
        <v/>
      </c>
      <c r="O205" s="92">
        <f>IF(AND(ISNUMBER(SEARCH("Espeto",N205)),ISNUMBER(SEARCH("Carin",N205))),"SIM","")</f>
        <v/>
      </c>
      <c r="P205" s="92">
        <f>IF(AND(ISNUMBER(SEARCH("Espeto",N205)),ISNUMBER(SEARCH("Lapa",N205))),"SIM","")</f>
        <v/>
      </c>
      <c r="Q205" s="92">
        <f>IF(AND(ISNUMBER(SEARCH("Espeto",N205)),ISNUMBER(SEARCH("Tatuapé",N205))),"SIM","")</f>
        <v/>
      </c>
      <c r="R205" s="92">
        <f>IF(AND(ISNUMBER(SEARCH("Espeto",N205)),ISNUMBER(SEARCH("Pavão",N205))),"SIM","")</f>
        <v/>
      </c>
      <c r="S205" s="92">
        <f>IF(AND(ISNUMBER(SEARCH("Espeto",N205)),ISNUMBER(SEARCH("Chac",N205))),"SIM","")</f>
        <v/>
      </c>
      <c r="T205" s="92">
        <f>IF(AND(ISNUMBER(SEARCH("Espeto",N205)),ISNUMBER(SEARCH("Madalena",N205))),"SIM","")</f>
        <v/>
      </c>
      <c r="U205" s="92">
        <f>IF(AND(ISNUMBER(SEARCH("Espeto",N205)),ISNUMBER(SEARCH("Mariana",N205))),"SIM","")</f>
        <v/>
      </c>
      <c r="V205" s="92">
        <f>IF(AND(ISNUMBER(SEARCH("Espeto",N205)),ISNUMBER(SEARCH("Perdizes",N205))),"SIM","")</f>
        <v/>
      </c>
      <c r="W205" s="92">
        <f>IF(AND(ISNUMBER(SEARCH("Espeto",N205)),ISNUMBER(SEARCH("Santana",N205))),"SIM","")</f>
        <v/>
      </c>
      <c r="X205" s="92">
        <f>IF(AND(ISNUMBER(SEARCH("Espeto",N205)),ISNUMBER(SEARCH("André",N205))),"SIM","")</f>
        <v/>
      </c>
      <c r="Y205" s="92">
        <f>IF(AND(ISNUMBER(SEARCH("Delivery",N205)),ISNUMBER(SEARCH("Carin",N205))),"SIM","")</f>
        <v/>
      </c>
      <c r="Z205" s="92">
        <f>IF(AND(ISNUMBER(SEARCH("Delivery",N205)),ISNUMBER(SEARCH("Lapa",N205))),"SIM","")</f>
        <v/>
      </c>
      <c r="AA205" s="92">
        <f>IF(AND(ISNUMBER(SEARCH("Delivery",N205)),ISNUMBER(SEARCH("Tatuapé",N205))),"SIM","")</f>
        <v/>
      </c>
      <c r="AB205" s="92">
        <f>IF(AND(ISNUMBER(SEARCH("Delivery",N205)),ISNUMBER(SEARCH("Pavão",N205))),"SIM","")</f>
        <v/>
      </c>
      <c r="AC205" s="92">
        <f>IF(AND(ISNUMBER(SEARCH("Delivery",N205)),ISNUMBER(SEARCH("Chac",N205))),"SIM","")</f>
        <v/>
      </c>
      <c r="AD205" s="92">
        <f>IF(AND(ISNUMBER(SEARCH("Delivery",N205)),ISNUMBER(SEARCH("Madalena",N205))),"SIM","")</f>
        <v/>
      </c>
      <c r="AE205" s="99">
        <f>IF(AND(ISNUMBER(SEARCH("Delivery",N205)),ISNUMBER(SEARCH("Mariana",N205))),"SIM","")</f>
        <v/>
      </c>
      <c r="AF205" s="99">
        <f>IF(AND(ISNUMBER(SEARCH("Delivery",N205)),ISNUMBER(SEARCH("Perdizes",N205))),"SIM","")</f>
        <v/>
      </c>
      <c r="AG205" s="99">
        <f>IF(AND(ISNUMBER(SEARCH("Delivery",N205)),ISNUMBER(SEARCH("Santana",N205))),"SIM","")</f>
        <v/>
      </c>
      <c r="AH205" s="99">
        <f>IF(AND(ISNUMBER(SEARCH("Delivery",N205)),ISNUMBER(SEARCH("André",N205))),"SIM","")</f>
        <v/>
      </c>
      <c r="AI205" s="99">
        <f>IF(ISNUMBER(SEARCH("Interlagos",N205)),"SIM","")</f>
        <v/>
      </c>
      <c r="AJ205" s="99">
        <f>IF(ISNUMBER(SEARCH("Quiosque",N205)),"SIM","")</f>
        <v/>
      </c>
      <c r="AK205" s="101" t="n"/>
    </row>
    <row r="206">
      <c r="A206" s="88" t="inlineStr">
        <is>
          <t>Protheus</t>
        </is>
      </c>
      <c r="B206" s="96" t="inlineStr">
        <is>
          <t>010300</t>
        </is>
      </c>
      <c r="C206" s="97">
        <f>IF(B206="—","—",IFERROR(VLOOKUP(B206,_Protheus_Cadastro!$A:$B,2,FALSE),"—"))</f>
        <v/>
      </c>
      <c r="D206" s="98">
        <f>IF(B206="—",IFERROR(INDEX(_ZIG_Cadastro!$D:$D,MATCH(H206,_ZIG_Cadastro!$A:$A,0)),"Produto"),IFERROR(VLOOKUP(B206,_Protheus_Cadastro!$A:$C,3,FALSE),"—"))</f>
        <v/>
      </c>
      <c r="E206" s="98">
        <f>IF(B206="—","—",IFERROR(VLOOKUP(B206,_Protheus_Cadastro!$A:$D,4,FALSE),"—"))</f>
        <v/>
      </c>
      <c r="F206" s="98">
        <f>IF(ISERROR(VLOOKUP(B206,'Estrutura Protheus'!A:A,1,FALSE)),"Não","Sim")</f>
        <v/>
      </c>
      <c r="G206" s="99">
        <f>IFERROR(INDEX(_Protheus_Cadastro!$H:$H,MATCH(B206,_Protheus_Cadastro!$A:$A,0)),"—")</f>
        <v/>
      </c>
      <c r="H206" s="211">
        <f>IFERROR(INDEX(_ZIG_Precos!$D:$D,MATCH(I206,_ZIG_Precos!$F:$F,0)),"—")</f>
        <v/>
      </c>
      <c r="I206" s="103">
        <f>IFERROR(VLOOKUP(B206,_Protheus_Cadastro!$A:$I,9,FALSE),"—")</f>
        <v/>
      </c>
      <c r="J206" s="101">
        <f>IFERROR(INDEX(_ZIG_Cadastro!$B:$B,MATCH(I206,_ZIG_Cadastro!$A:$A,0)),IFERROR(INDEX(_Entradas_ZIG!$B:$B,MATCH(I206,_Entradas_ZIG!$C:$C,0)),"—"))</f>
        <v/>
      </c>
      <c r="K206" s="101">
        <f>IFERROR(INDEX(_ZIG_Cadastro!$C:$C,MATCH(I206,_ZIG_Cadastro!$A:$A,0)),IFERROR(INDEX(_Entradas_ZIG!$D:$D,MATCH(I206,_Entradas_ZIG!$C:$C,0)),"—"))</f>
        <v/>
      </c>
      <c r="L206" s="99">
        <f>IF(I206="","Sem SKU ZIG",IF(I206="—","Sem SKU ZIG",IF(NOT(ISERROR(MATCH(I206,_ZIG_Cadastro!$A:$A,0))),IF(EXACT(UPPER(TRIM(C206)),UPPER(TRIM(INDEX(_ZIG_Cadastro!$B:$B,MATCH(I206,_ZIG_Cadastro!$A:$A,0))))),"OK","Atencao - Nome diverge"),IF(NOT(ISERROR(MATCH(I206,_Entradas_ZIG!$C:$C,0))),"OK","Erro - SKU nao encontrado"))))</f>
        <v/>
      </c>
      <c r="M206" s="99">
        <f>IFERROR(INDEX(_ZIG_Cadastro!$G:$G,MATCH(I206,_ZIG_Cadastro!$A:$A,0)),IF(NOT(ISERROR(MATCH(I206,_Entradas_ZIG!$C:$C,0))),"Ativo","—"))</f>
        <v/>
      </c>
      <c r="N206" s="102">
        <f>IFERROR(INDEX(_ZIG_Cadastro!$E:$E,MATCH(I206,_ZIG_Cadastro!$A:$A,0)),IFERROR(INDEX(_Entradas_ZIG!$F:$F,MATCH(I206,_Entradas_ZIG!$C:$C,0)),"—"))</f>
        <v/>
      </c>
      <c r="O206" s="99">
        <f>IF(AND(ISNUMBER(SEARCH("Espeto",N206)),ISNUMBER(SEARCH("Carin",N206))),"SIM","")</f>
        <v/>
      </c>
      <c r="P206" s="99">
        <f>IF(AND(ISNUMBER(SEARCH("Espeto",N206)),ISNUMBER(SEARCH("Lapa",N206))),"SIM","")</f>
        <v/>
      </c>
      <c r="Q206" s="99">
        <f>IF(AND(ISNUMBER(SEARCH("Espeto",N206)),ISNUMBER(SEARCH("Tatuapé",N206))),"SIM","")</f>
        <v/>
      </c>
      <c r="R206" s="99">
        <f>IF(AND(ISNUMBER(SEARCH("Espeto",N206)),ISNUMBER(SEARCH("Pavão",N206))),"SIM","")</f>
        <v/>
      </c>
      <c r="S206" s="99">
        <f>IF(AND(ISNUMBER(SEARCH("Espeto",N206)),ISNUMBER(SEARCH("Chac",N206))),"SIM","")</f>
        <v/>
      </c>
      <c r="T206" s="99">
        <f>IF(AND(ISNUMBER(SEARCH("Espeto",N206)),ISNUMBER(SEARCH("Madalena",N206))),"SIM","")</f>
        <v/>
      </c>
      <c r="U206" s="99">
        <f>IF(AND(ISNUMBER(SEARCH("Espeto",N206)),ISNUMBER(SEARCH("Mariana",N206))),"SIM","")</f>
        <v/>
      </c>
      <c r="V206" s="99">
        <f>IF(AND(ISNUMBER(SEARCH("Espeto",N206)),ISNUMBER(SEARCH("Perdizes",N206))),"SIM","")</f>
        <v/>
      </c>
      <c r="W206" s="99">
        <f>IF(AND(ISNUMBER(SEARCH("Espeto",N206)),ISNUMBER(SEARCH("Santana",N206))),"SIM","")</f>
        <v/>
      </c>
      <c r="X206" s="99">
        <f>IF(AND(ISNUMBER(SEARCH("Espeto",N206)),ISNUMBER(SEARCH("André",N206))),"SIM","")</f>
        <v/>
      </c>
      <c r="Y206" s="99">
        <f>IF(AND(ISNUMBER(SEARCH("Delivery",N206)),ISNUMBER(SEARCH("Carin",N206))),"SIM","")</f>
        <v/>
      </c>
      <c r="Z206" s="99">
        <f>IF(AND(ISNUMBER(SEARCH("Delivery",N206)),ISNUMBER(SEARCH("Lapa",N206))),"SIM","")</f>
        <v/>
      </c>
      <c r="AA206" s="99">
        <f>IF(AND(ISNUMBER(SEARCH("Delivery",N206)),ISNUMBER(SEARCH("Tatuapé",N206))),"SIM","")</f>
        <v/>
      </c>
      <c r="AB206" s="99">
        <f>IF(AND(ISNUMBER(SEARCH("Delivery",N206)),ISNUMBER(SEARCH("Pavão",N206))),"SIM","")</f>
        <v/>
      </c>
      <c r="AC206" s="99">
        <f>IF(AND(ISNUMBER(SEARCH("Delivery",N206)),ISNUMBER(SEARCH("Chac",N206))),"SIM","")</f>
        <v/>
      </c>
      <c r="AD206" s="99">
        <f>IF(AND(ISNUMBER(SEARCH("Delivery",N206)),ISNUMBER(SEARCH("Madalena",N206))),"SIM","")</f>
        <v/>
      </c>
      <c r="AE206" s="92">
        <f>IF(AND(ISNUMBER(SEARCH("Delivery",N206)),ISNUMBER(SEARCH("Mariana",N206))),"SIM","")</f>
        <v/>
      </c>
      <c r="AF206" s="92">
        <f>IF(AND(ISNUMBER(SEARCH("Delivery",N206)),ISNUMBER(SEARCH("Perdizes",N206))),"SIM","")</f>
        <v/>
      </c>
      <c r="AG206" s="92">
        <f>IF(AND(ISNUMBER(SEARCH("Delivery",N206)),ISNUMBER(SEARCH("Santana",N206))),"SIM","")</f>
        <v/>
      </c>
      <c r="AH206" s="92">
        <f>IF(AND(ISNUMBER(SEARCH("Delivery",N206)),ISNUMBER(SEARCH("André",N206))),"SIM","")</f>
        <v/>
      </c>
      <c r="AI206" s="92">
        <f>IF(ISNUMBER(SEARCH("Interlagos",N206)),"SIM","")</f>
        <v/>
      </c>
      <c r="AJ206" s="92">
        <f>IF(ISNUMBER(SEARCH("Quiosque",N206)),"SIM","")</f>
        <v/>
      </c>
      <c r="AK206" s="93" t="n"/>
    </row>
    <row r="207">
      <c r="A207" s="88" t="inlineStr">
        <is>
          <t>Protheus</t>
        </is>
      </c>
      <c r="B207" s="89" t="inlineStr">
        <is>
          <t>002003</t>
        </is>
      </c>
      <c r="C207" s="90">
        <f>IF(B207="—","—",IFERROR(VLOOKUP(B207,_Protheus_Cadastro!$A:$B,2,FALSE),"—"))</f>
        <v/>
      </c>
      <c r="D207" s="91">
        <f>IF(B207="—",IFERROR(INDEX(_ZIG_Cadastro!$D:$D,MATCH(H207,_ZIG_Cadastro!$A:$A,0)),"Produto"),IFERROR(VLOOKUP(B207,_Protheus_Cadastro!$A:$C,3,FALSE),"—"))</f>
        <v/>
      </c>
      <c r="E207" s="91">
        <f>IF(B207="—","—",IFERROR(VLOOKUP(B207,_Protheus_Cadastro!$A:$D,4,FALSE),"—"))</f>
        <v/>
      </c>
      <c r="F207" s="91">
        <f>IF(ISERROR(VLOOKUP(B207,'Estrutura Protheus'!A:A,1,FALSE)),"Não","Sim")</f>
        <v/>
      </c>
      <c r="G207" s="92">
        <f>IFERROR(INDEX(_Protheus_Cadastro!$H:$H,MATCH(B207,_Protheus_Cadastro!$A:$A,0)),"—")</f>
        <v/>
      </c>
      <c r="H207" s="210">
        <f>IFERROR(INDEX(_ZIG_Precos!$D:$D,MATCH(I207,_ZIG_Precos!$F:$F,0)),"—")</f>
        <v/>
      </c>
      <c r="I207" s="95">
        <f>IFERROR(VLOOKUP(B207,_Protheus_Cadastro!$A:$I,9,FALSE),"—")</f>
        <v/>
      </c>
      <c r="J207" s="93">
        <f>IFERROR(INDEX(_ZIG_Cadastro!$B:$B,MATCH(I207,_ZIG_Cadastro!$A:$A,0)),IFERROR(INDEX(_Entradas_ZIG!$B:$B,MATCH(I207,_Entradas_ZIG!$C:$C,0)),"—"))</f>
        <v/>
      </c>
      <c r="K207" s="93">
        <f>IFERROR(INDEX(_ZIG_Cadastro!$C:$C,MATCH(I207,_ZIG_Cadastro!$A:$A,0)),IFERROR(INDEX(_Entradas_ZIG!$D:$D,MATCH(I207,_Entradas_ZIG!$C:$C,0)),"—"))</f>
        <v/>
      </c>
      <c r="L207" s="92">
        <f>IF(I207="","Sem SKU ZIG",IF(I207="—","Sem SKU ZIG",IF(NOT(ISERROR(MATCH(I207,_ZIG_Cadastro!$A:$A,0))),IF(EXACT(UPPER(TRIM(C207)),UPPER(TRIM(INDEX(_ZIG_Cadastro!$B:$B,MATCH(I207,_ZIG_Cadastro!$A:$A,0))))),"OK","Atencao - Nome diverge"),IF(NOT(ISERROR(MATCH(I207,_Entradas_ZIG!$C:$C,0))),"OK","Erro - SKU nao encontrado"))))</f>
        <v/>
      </c>
      <c r="M207" s="92">
        <f>IFERROR(INDEX(_ZIG_Cadastro!$G:$G,MATCH(I207,_ZIG_Cadastro!$A:$A,0)),IF(NOT(ISERROR(MATCH(I207,_Entradas_ZIG!$C:$C,0))),"Ativo","—"))</f>
        <v/>
      </c>
      <c r="N207" s="94">
        <f>IFERROR(INDEX(_ZIG_Cadastro!$E:$E,MATCH(I207,_ZIG_Cadastro!$A:$A,0)),IFERROR(INDEX(_Entradas_ZIG!$F:$F,MATCH(I207,_Entradas_ZIG!$C:$C,0)),"—"))</f>
        <v/>
      </c>
      <c r="O207" s="92">
        <f>IF(AND(ISNUMBER(SEARCH("Espeto",N207)),ISNUMBER(SEARCH("Carin",N207))),"SIM","")</f>
        <v/>
      </c>
      <c r="P207" s="92">
        <f>IF(AND(ISNUMBER(SEARCH("Espeto",N207)),ISNUMBER(SEARCH("Lapa",N207))),"SIM","")</f>
        <v/>
      </c>
      <c r="Q207" s="92">
        <f>IF(AND(ISNUMBER(SEARCH("Espeto",N207)),ISNUMBER(SEARCH("Tatuapé",N207))),"SIM","")</f>
        <v/>
      </c>
      <c r="R207" s="92">
        <f>IF(AND(ISNUMBER(SEARCH("Espeto",N207)),ISNUMBER(SEARCH("Pavão",N207))),"SIM","")</f>
        <v/>
      </c>
      <c r="S207" s="92">
        <f>IF(AND(ISNUMBER(SEARCH("Espeto",N207)),ISNUMBER(SEARCH("Chac",N207))),"SIM","")</f>
        <v/>
      </c>
      <c r="T207" s="92">
        <f>IF(AND(ISNUMBER(SEARCH("Espeto",N207)),ISNUMBER(SEARCH("Madalena",N207))),"SIM","")</f>
        <v/>
      </c>
      <c r="U207" s="92">
        <f>IF(AND(ISNUMBER(SEARCH("Espeto",N207)),ISNUMBER(SEARCH("Mariana",N207))),"SIM","")</f>
        <v/>
      </c>
      <c r="V207" s="92">
        <f>IF(AND(ISNUMBER(SEARCH("Espeto",N207)),ISNUMBER(SEARCH("Perdizes",N207))),"SIM","")</f>
        <v/>
      </c>
      <c r="W207" s="92">
        <f>IF(AND(ISNUMBER(SEARCH("Espeto",N207)),ISNUMBER(SEARCH("Santana",N207))),"SIM","")</f>
        <v/>
      </c>
      <c r="X207" s="92">
        <f>IF(AND(ISNUMBER(SEARCH("Espeto",N207)),ISNUMBER(SEARCH("André",N207))),"SIM","")</f>
        <v/>
      </c>
      <c r="Y207" s="92">
        <f>IF(AND(ISNUMBER(SEARCH("Delivery",N207)),ISNUMBER(SEARCH("Carin",N207))),"SIM","")</f>
        <v/>
      </c>
      <c r="Z207" s="92">
        <f>IF(AND(ISNUMBER(SEARCH("Delivery",N207)),ISNUMBER(SEARCH("Lapa",N207))),"SIM","")</f>
        <v/>
      </c>
      <c r="AA207" s="92">
        <f>IF(AND(ISNUMBER(SEARCH("Delivery",N207)),ISNUMBER(SEARCH("Tatuapé",N207))),"SIM","")</f>
        <v/>
      </c>
      <c r="AB207" s="92">
        <f>IF(AND(ISNUMBER(SEARCH("Delivery",N207)),ISNUMBER(SEARCH("Pavão",N207))),"SIM","")</f>
        <v/>
      </c>
      <c r="AC207" s="92">
        <f>IF(AND(ISNUMBER(SEARCH("Delivery",N207)),ISNUMBER(SEARCH("Chac",N207))),"SIM","")</f>
        <v/>
      </c>
      <c r="AD207" s="92">
        <f>IF(AND(ISNUMBER(SEARCH("Delivery",N207)),ISNUMBER(SEARCH("Madalena",N207))),"SIM","")</f>
        <v/>
      </c>
      <c r="AE207" s="99">
        <f>IF(AND(ISNUMBER(SEARCH("Delivery",N207)),ISNUMBER(SEARCH("Mariana",N207))),"SIM","")</f>
        <v/>
      </c>
      <c r="AF207" s="99">
        <f>IF(AND(ISNUMBER(SEARCH("Delivery",N207)),ISNUMBER(SEARCH("Perdizes",N207))),"SIM","")</f>
        <v/>
      </c>
      <c r="AG207" s="99">
        <f>IF(AND(ISNUMBER(SEARCH("Delivery",N207)),ISNUMBER(SEARCH("Santana",N207))),"SIM","")</f>
        <v/>
      </c>
      <c r="AH207" s="99">
        <f>IF(AND(ISNUMBER(SEARCH("Delivery",N207)),ISNUMBER(SEARCH("André",N207))),"SIM","")</f>
        <v/>
      </c>
      <c r="AI207" s="99">
        <f>IF(ISNUMBER(SEARCH("Interlagos",N207)),"SIM","")</f>
        <v/>
      </c>
      <c r="AJ207" s="99">
        <f>IF(ISNUMBER(SEARCH("Quiosque",N207)),"SIM","")</f>
        <v/>
      </c>
      <c r="AK207" s="101" t="n"/>
    </row>
    <row r="208">
      <c r="A208" s="88" t="inlineStr">
        <is>
          <t>Protheus</t>
        </is>
      </c>
      <c r="B208" s="96" t="inlineStr">
        <is>
          <t>009840</t>
        </is>
      </c>
      <c r="C208" s="97">
        <f>IF(B208="—","—",IFERROR(VLOOKUP(B208,_Protheus_Cadastro!$A:$B,2,FALSE),"—"))</f>
        <v/>
      </c>
      <c r="D208" s="98">
        <f>IF(B208="—",IFERROR(INDEX(_ZIG_Cadastro!$D:$D,MATCH(H208,_ZIG_Cadastro!$A:$A,0)),"Produto"),IFERROR(VLOOKUP(B208,_Protheus_Cadastro!$A:$C,3,FALSE),"—"))</f>
        <v/>
      </c>
      <c r="E208" s="98">
        <f>IF(B208="—","—",IFERROR(VLOOKUP(B208,_Protheus_Cadastro!$A:$D,4,FALSE),"—"))</f>
        <v/>
      </c>
      <c r="F208" s="98">
        <f>IF(ISERROR(VLOOKUP(B208,'Estrutura Protheus'!A:A,1,FALSE)),"Não","Sim")</f>
        <v/>
      </c>
      <c r="G208" s="99">
        <f>IFERROR(INDEX(_Protheus_Cadastro!$H:$H,MATCH(B208,_Protheus_Cadastro!$A:$A,0)),"—")</f>
        <v/>
      </c>
      <c r="H208" s="211">
        <f>IFERROR(INDEX(_ZIG_Precos!$D:$D,MATCH(I208,_ZIG_Precos!$F:$F,0)),"—")</f>
        <v/>
      </c>
      <c r="I208" s="103">
        <f>IFERROR(VLOOKUP(B208,_Protheus_Cadastro!$A:$I,9,FALSE),"—")</f>
        <v/>
      </c>
      <c r="J208" s="101">
        <f>IFERROR(INDEX(_ZIG_Cadastro!$B:$B,MATCH(I208,_ZIG_Cadastro!$A:$A,0)),IFERROR(INDEX(_Entradas_ZIG!$B:$B,MATCH(I208,_Entradas_ZIG!$C:$C,0)),"—"))</f>
        <v/>
      </c>
      <c r="K208" s="101">
        <f>IFERROR(INDEX(_ZIG_Cadastro!$C:$C,MATCH(I208,_ZIG_Cadastro!$A:$A,0)),IFERROR(INDEX(_Entradas_ZIG!$D:$D,MATCH(I208,_Entradas_ZIG!$C:$C,0)),"—"))</f>
        <v/>
      </c>
      <c r="L208" s="99">
        <f>IF(I208="","Sem SKU ZIG",IF(I208="—","Sem SKU ZIG",IF(NOT(ISERROR(MATCH(I208,_ZIG_Cadastro!$A:$A,0))),IF(EXACT(UPPER(TRIM(C208)),UPPER(TRIM(INDEX(_ZIG_Cadastro!$B:$B,MATCH(I208,_ZIG_Cadastro!$A:$A,0))))),"OK","Atencao - Nome diverge"),IF(NOT(ISERROR(MATCH(I208,_Entradas_ZIG!$C:$C,0))),"OK","Erro - SKU nao encontrado"))))</f>
        <v/>
      </c>
      <c r="M208" s="99">
        <f>IFERROR(INDEX(_ZIG_Cadastro!$G:$G,MATCH(I208,_ZIG_Cadastro!$A:$A,0)),IF(NOT(ISERROR(MATCH(I208,_Entradas_ZIG!$C:$C,0))),"Ativo","—"))</f>
        <v/>
      </c>
      <c r="N208" s="102">
        <f>IFERROR(INDEX(_ZIG_Cadastro!$E:$E,MATCH(I208,_ZIG_Cadastro!$A:$A,0)),IFERROR(INDEX(_Entradas_ZIG!$F:$F,MATCH(I208,_Entradas_ZIG!$C:$C,0)),"—"))</f>
        <v/>
      </c>
      <c r="O208" s="99">
        <f>IF(AND(ISNUMBER(SEARCH("Espeto",N208)),ISNUMBER(SEARCH("Carin",N208))),"SIM","")</f>
        <v/>
      </c>
      <c r="P208" s="99">
        <f>IF(AND(ISNUMBER(SEARCH("Espeto",N208)),ISNUMBER(SEARCH("Lapa",N208))),"SIM","")</f>
        <v/>
      </c>
      <c r="Q208" s="99">
        <f>IF(AND(ISNUMBER(SEARCH("Espeto",N208)),ISNUMBER(SEARCH("Tatuapé",N208))),"SIM","")</f>
        <v/>
      </c>
      <c r="R208" s="99">
        <f>IF(AND(ISNUMBER(SEARCH("Espeto",N208)),ISNUMBER(SEARCH("Pavão",N208))),"SIM","")</f>
        <v/>
      </c>
      <c r="S208" s="99">
        <f>IF(AND(ISNUMBER(SEARCH("Espeto",N208)),ISNUMBER(SEARCH("Chac",N208))),"SIM","")</f>
        <v/>
      </c>
      <c r="T208" s="99">
        <f>IF(AND(ISNUMBER(SEARCH("Espeto",N208)),ISNUMBER(SEARCH("Madalena",N208))),"SIM","")</f>
        <v/>
      </c>
      <c r="U208" s="99">
        <f>IF(AND(ISNUMBER(SEARCH("Espeto",N208)),ISNUMBER(SEARCH("Mariana",N208))),"SIM","")</f>
        <v/>
      </c>
      <c r="V208" s="99">
        <f>IF(AND(ISNUMBER(SEARCH("Espeto",N208)),ISNUMBER(SEARCH("Perdizes",N208))),"SIM","")</f>
        <v/>
      </c>
      <c r="W208" s="99">
        <f>IF(AND(ISNUMBER(SEARCH("Espeto",N208)),ISNUMBER(SEARCH("Santana",N208))),"SIM","")</f>
        <v/>
      </c>
      <c r="X208" s="99">
        <f>IF(AND(ISNUMBER(SEARCH("Espeto",N208)),ISNUMBER(SEARCH("André",N208))),"SIM","")</f>
        <v/>
      </c>
      <c r="Y208" s="99">
        <f>IF(AND(ISNUMBER(SEARCH("Delivery",N208)),ISNUMBER(SEARCH("Carin",N208))),"SIM","")</f>
        <v/>
      </c>
      <c r="Z208" s="99">
        <f>IF(AND(ISNUMBER(SEARCH("Delivery",N208)),ISNUMBER(SEARCH("Lapa",N208))),"SIM","")</f>
        <v/>
      </c>
      <c r="AA208" s="99">
        <f>IF(AND(ISNUMBER(SEARCH("Delivery",N208)),ISNUMBER(SEARCH("Tatuapé",N208))),"SIM","")</f>
        <v/>
      </c>
      <c r="AB208" s="99">
        <f>IF(AND(ISNUMBER(SEARCH("Delivery",N208)),ISNUMBER(SEARCH("Pavão",N208))),"SIM","")</f>
        <v/>
      </c>
      <c r="AC208" s="99">
        <f>IF(AND(ISNUMBER(SEARCH("Delivery",N208)),ISNUMBER(SEARCH("Chac",N208))),"SIM","")</f>
        <v/>
      </c>
      <c r="AD208" s="99">
        <f>IF(AND(ISNUMBER(SEARCH("Delivery",N208)),ISNUMBER(SEARCH("Madalena",N208))),"SIM","")</f>
        <v/>
      </c>
      <c r="AE208" s="92">
        <f>IF(AND(ISNUMBER(SEARCH("Delivery",N208)),ISNUMBER(SEARCH("Mariana",N208))),"SIM","")</f>
        <v/>
      </c>
      <c r="AF208" s="92">
        <f>IF(AND(ISNUMBER(SEARCH("Delivery",N208)),ISNUMBER(SEARCH("Perdizes",N208))),"SIM","")</f>
        <v/>
      </c>
      <c r="AG208" s="92">
        <f>IF(AND(ISNUMBER(SEARCH("Delivery",N208)),ISNUMBER(SEARCH("Santana",N208))),"SIM","")</f>
        <v/>
      </c>
      <c r="AH208" s="92">
        <f>IF(AND(ISNUMBER(SEARCH("Delivery",N208)),ISNUMBER(SEARCH("André",N208))),"SIM","")</f>
        <v/>
      </c>
      <c r="AI208" s="92">
        <f>IF(ISNUMBER(SEARCH("Interlagos",N208)),"SIM","")</f>
        <v/>
      </c>
      <c r="AJ208" s="92">
        <f>IF(ISNUMBER(SEARCH("Quiosque",N208)),"SIM","")</f>
        <v/>
      </c>
      <c r="AK208" s="93" t="n"/>
    </row>
    <row r="209">
      <c r="A209" s="88" t="inlineStr">
        <is>
          <t>Protheus</t>
        </is>
      </c>
      <c r="B209" s="96" t="inlineStr">
        <is>
          <t>009837</t>
        </is>
      </c>
      <c r="C209" s="97">
        <f>IF(B209="—","—",IFERROR(VLOOKUP(B209,_Protheus_Cadastro!$A:$B,2,FALSE),"—"))</f>
        <v/>
      </c>
      <c r="D209" s="98">
        <f>IF(B209="—",IFERROR(INDEX(_ZIG_Cadastro!$D:$D,MATCH(H209,_ZIG_Cadastro!$A:$A,0)),"Produto"),IFERROR(VLOOKUP(B209,_Protheus_Cadastro!$A:$C,3,FALSE),"—"))</f>
        <v/>
      </c>
      <c r="E209" s="98">
        <f>IF(B209="—","—",IFERROR(VLOOKUP(B209,_Protheus_Cadastro!$A:$D,4,FALSE),"—"))</f>
        <v/>
      </c>
      <c r="F209" s="98">
        <f>IF(ISERROR(VLOOKUP(B209,'Estrutura Protheus'!A:A,1,FALSE)),"Não","Sim")</f>
        <v/>
      </c>
      <c r="G209" s="99">
        <f>IFERROR(INDEX(_Protheus_Cadastro!$H:$H,MATCH(B209,_Protheus_Cadastro!$A:$A,0)),"—")</f>
        <v/>
      </c>
      <c r="H209" s="211">
        <f>IFERROR(INDEX(_ZIG_Precos!$D:$D,MATCH(I209,_ZIG_Precos!$F:$F,0)),"—")</f>
        <v/>
      </c>
      <c r="I209" s="103">
        <f>IFERROR(VLOOKUP(B209,_Protheus_Cadastro!$A:$I,9,FALSE),"—")</f>
        <v/>
      </c>
      <c r="J209" s="101">
        <f>IFERROR(INDEX(_ZIG_Cadastro!$B:$B,MATCH(I209,_ZIG_Cadastro!$A:$A,0)),IFERROR(INDEX(_Entradas_ZIG!$B:$B,MATCH(I209,_Entradas_ZIG!$C:$C,0)),"—"))</f>
        <v/>
      </c>
      <c r="K209" s="101">
        <f>IFERROR(INDEX(_ZIG_Cadastro!$C:$C,MATCH(I209,_ZIG_Cadastro!$A:$A,0)),IFERROR(INDEX(_Entradas_ZIG!$D:$D,MATCH(I209,_Entradas_ZIG!$C:$C,0)),"—"))</f>
        <v/>
      </c>
      <c r="L209" s="99">
        <f>IF(I209="","Sem SKU ZIG",IF(I209="—","Sem SKU ZIG",IF(NOT(ISERROR(MATCH(I209,_ZIG_Cadastro!$A:$A,0))),IF(EXACT(UPPER(TRIM(C209)),UPPER(TRIM(INDEX(_ZIG_Cadastro!$B:$B,MATCH(I209,_ZIG_Cadastro!$A:$A,0))))),"OK","Atencao - Nome diverge"),IF(NOT(ISERROR(MATCH(I209,_Entradas_ZIG!$C:$C,0))),"OK","Erro - SKU nao encontrado"))))</f>
        <v/>
      </c>
      <c r="M209" s="99">
        <f>IFERROR(INDEX(_ZIG_Cadastro!$G:$G,MATCH(I209,_ZIG_Cadastro!$A:$A,0)),IF(NOT(ISERROR(MATCH(I209,_Entradas_ZIG!$C:$C,0))),"Ativo","—"))</f>
        <v/>
      </c>
      <c r="N209" s="102">
        <f>IFERROR(INDEX(_ZIG_Cadastro!$E:$E,MATCH(I209,_ZIG_Cadastro!$A:$A,0)),IFERROR(INDEX(_Entradas_ZIG!$F:$F,MATCH(I209,_Entradas_ZIG!$C:$C,0)),"—"))</f>
        <v/>
      </c>
      <c r="O209" s="99">
        <f>IF(AND(ISNUMBER(SEARCH("Espeto",N209)),ISNUMBER(SEARCH("Carin",N209))),"SIM","")</f>
        <v/>
      </c>
      <c r="P209" s="99">
        <f>IF(AND(ISNUMBER(SEARCH("Espeto",N209)),ISNUMBER(SEARCH("Lapa",N209))),"SIM","")</f>
        <v/>
      </c>
      <c r="Q209" s="99">
        <f>IF(AND(ISNUMBER(SEARCH("Espeto",N209)),ISNUMBER(SEARCH("Tatuapé",N209))),"SIM","")</f>
        <v/>
      </c>
      <c r="R209" s="99">
        <f>IF(AND(ISNUMBER(SEARCH("Espeto",N209)),ISNUMBER(SEARCH("Pavão",N209))),"SIM","")</f>
        <v/>
      </c>
      <c r="S209" s="99">
        <f>IF(AND(ISNUMBER(SEARCH("Espeto",N209)),ISNUMBER(SEARCH("Chac",N209))),"SIM","")</f>
        <v/>
      </c>
      <c r="T209" s="99">
        <f>IF(AND(ISNUMBER(SEARCH("Espeto",N209)),ISNUMBER(SEARCH("Madalena",N209))),"SIM","")</f>
        <v/>
      </c>
      <c r="U209" s="99">
        <f>IF(AND(ISNUMBER(SEARCH("Espeto",N209)),ISNUMBER(SEARCH("Mariana",N209))),"SIM","")</f>
        <v/>
      </c>
      <c r="V209" s="99">
        <f>IF(AND(ISNUMBER(SEARCH("Espeto",N209)),ISNUMBER(SEARCH("Perdizes",N209))),"SIM","")</f>
        <v/>
      </c>
      <c r="W209" s="99">
        <f>IF(AND(ISNUMBER(SEARCH("Espeto",N209)),ISNUMBER(SEARCH("Santana",N209))),"SIM","")</f>
        <v/>
      </c>
      <c r="X209" s="99">
        <f>IF(AND(ISNUMBER(SEARCH("Espeto",N209)),ISNUMBER(SEARCH("André",N209))),"SIM","")</f>
        <v/>
      </c>
      <c r="Y209" s="99">
        <f>IF(AND(ISNUMBER(SEARCH("Delivery",N209)),ISNUMBER(SEARCH("Carin",N209))),"SIM","")</f>
        <v/>
      </c>
      <c r="Z209" s="99">
        <f>IF(AND(ISNUMBER(SEARCH("Delivery",N209)),ISNUMBER(SEARCH("Lapa",N209))),"SIM","")</f>
        <v/>
      </c>
      <c r="AA209" s="99">
        <f>IF(AND(ISNUMBER(SEARCH("Delivery",N209)),ISNUMBER(SEARCH("Tatuapé",N209))),"SIM","")</f>
        <v/>
      </c>
      <c r="AB209" s="99">
        <f>IF(AND(ISNUMBER(SEARCH("Delivery",N209)),ISNUMBER(SEARCH("Pavão",N209))),"SIM","")</f>
        <v/>
      </c>
      <c r="AC209" s="99">
        <f>IF(AND(ISNUMBER(SEARCH("Delivery",N209)),ISNUMBER(SEARCH("Chac",N209))),"SIM","")</f>
        <v/>
      </c>
      <c r="AD209" s="99">
        <f>IF(AND(ISNUMBER(SEARCH("Delivery",N209)),ISNUMBER(SEARCH("Madalena",N209))),"SIM","")</f>
        <v/>
      </c>
      <c r="AE209" s="92">
        <f>IF(AND(ISNUMBER(SEARCH("Delivery",N209)),ISNUMBER(SEARCH("Mariana",N209))),"SIM","")</f>
        <v/>
      </c>
      <c r="AF209" s="92">
        <f>IF(AND(ISNUMBER(SEARCH("Delivery",N209)),ISNUMBER(SEARCH("Perdizes",N209))),"SIM","")</f>
        <v/>
      </c>
      <c r="AG209" s="92">
        <f>IF(AND(ISNUMBER(SEARCH("Delivery",N209)),ISNUMBER(SEARCH("Santana",N209))),"SIM","")</f>
        <v/>
      </c>
      <c r="AH209" s="92">
        <f>IF(AND(ISNUMBER(SEARCH("Delivery",N209)),ISNUMBER(SEARCH("André",N209))),"SIM","")</f>
        <v/>
      </c>
      <c r="AI209" s="92">
        <f>IF(ISNUMBER(SEARCH("Interlagos",N209)),"SIM","")</f>
        <v/>
      </c>
      <c r="AJ209" s="92">
        <f>IF(ISNUMBER(SEARCH("Quiosque",N209)),"SIM","")</f>
        <v/>
      </c>
      <c r="AK209" s="93" t="n"/>
    </row>
    <row r="210">
      <c r="A210" s="88" t="inlineStr">
        <is>
          <t>Protheus</t>
        </is>
      </c>
      <c r="B210" s="96" t="inlineStr">
        <is>
          <t>002126</t>
        </is>
      </c>
      <c r="C210" s="97">
        <f>IF(B210="—","—",IFERROR(VLOOKUP(B210,_Protheus_Cadastro!$A:$B,2,FALSE),"—"))</f>
        <v/>
      </c>
      <c r="D210" s="98">
        <f>IF(B210="—",IFERROR(INDEX(_ZIG_Cadastro!$D:$D,MATCH(H210,_ZIG_Cadastro!$A:$A,0)),"Produto"),IFERROR(VLOOKUP(B210,_Protheus_Cadastro!$A:$C,3,FALSE),"—"))</f>
        <v/>
      </c>
      <c r="E210" s="98">
        <f>IF(B210="—","—",IFERROR(VLOOKUP(B210,_Protheus_Cadastro!$A:$D,4,FALSE),"—"))</f>
        <v/>
      </c>
      <c r="F210" s="98">
        <f>IF(ISERROR(VLOOKUP(B210,'Estrutura Protheus'!A:A,1,FALSE)),"Não","Sim")</f>
        <v/>
      </c>
      <c r="G210" s="99">
        <f>IFERROR(INDEX(_Protheus_Cadastro!$H:$H,MATCH(B210,_Protheus_Cadastro!$A:$A,0)),"—")</f>
        <v/>
      </c>
      <c r="H210" s="211">
        <f>IFERROR(INDEX(_ZIG_Precos!$D:$D,MATCH(I210,_ZIG_Precos!$F:$F,0)),"—")</f>
        <v/>
      </c>
      <c r="I210" s="103">
        <f>IFERROR(VLOOKUP(B210,_Protheus_Cadastro!$A:$I,9,FALSE),"—")</f>
        <v/>
      </c>
      <c r="J210" s="101">
        <f>IFERROR(INDEX(_ZIG_Cadastro!$B:$B,MATCH(I210,_ZIG_Cadastro!$A:$A,0)),IFERROR(INDEX(_Entradas_ZIG!$B:$B,MATCH(I210,_Entradas_ZIG!$C:$C,0)),"—"))</f>
        <v/>
      </c>
      <c r="K210" s="101">
        <f>IFERROR(INDEX(_ZIG_Cadastro!$C:$C,MATCH(I210,_ZIG_Cadastro!$A:$A,0)),IFERROR(INDEX(_Entradas_ZIG!$D:$D,MATCH(I210,_Entradas_ZIG!$C:$C,0)),"—"))</f>
        <v/>
      </c>
      <c r="L210" s="99">
        <f>IF(I210="","Sem SKU ZIG",IF(I210="—","Sem SKU ZIG",IF(NOT(ISERROR(MATCH(I210,_ZIG_Cadastro!$A:$A,0))),IF(EXACT(UPPER(TRIM(C210)),UPPER(TRIM(INDEX(_ZIG_Cadastro!$B:$B,MATCH(I210,_ZIG_Cadastro!$A:$A,0))))),"OK","Atencao - Nome diverge"),IF(NOT(ISERROR(MATCH(I210,_Entradas_ZIG!$C:$C,0))),"OK","Erro - SKU nao encontrado"))))</f>
        <v/>
      </c>
      <c r="M210" s="99">
        <f>IFERROR(INDEX(_ZIG_Cadastro!$G:$G,MATCH(I210,_ZIG_Cadastro!$A:$A,0)),IF(NOT(ISERROR(MATCH(I210,_Entradas_ZIG!$C:$C,0))),"Ativo","—"))</f>
        <v/>
      </c>
      <c r="N210" s="102">
        <f>IFERROR(INDEX(_ZIG_Cadastro!$E:$E,MATCH(I210,_ZIG_Cadastro!$A:$A,0)),IFERROR(INDEX(_Entradas_ZIG!$F:$F,MATCH(I210,_Entradas_ZIG!$C:$C,0)),"—"))</f>
        <v/>
      </c>
      <c r="O210" s="99">
        <f>IF(AND(ISNUMBER(SEARCH("Espeto",N210)),ISNUMBER(SEARCH("Carin",N210))),"SIM","")</f>
        <v/>
      </c>
      <c r="P210" s="99">
        <f>IF(AND(ISNUMBER(SEARCH("Espeto",N210)),ISNUMBER(SEARCH("Lapa",N210))),"SIM","")</f>
        <v/>
      </c>
      <c r="Q210" s="99">
        <f>IF(AND(ISNUMBER(SEARCH("Espeto",N210)),ISNUMBER(SEARCH("Tatuapé",N210))),"SIM","")</f>
        <v/>
      </c>
      <c r="R210" s="99">
        <f>IF(AND(ISNUMBER(SEARCH("Espeto",N210)),ISNUMBER(SEARCH("Pavão",N210))),"SIM","")</f>
        <v/>
      </c>
      <c r="S210" s="99">
        <f>IF(AND(ISNUMBER(SEARCH("Espeto",N210)),ISNUMBER(SEARCH("Chac",N210))),"SIM","")</f>
        <v/>
      </c>
      <c r="T210" s="99">
        <f>IF(AND(ISNUMBER(SEARCH("Espeto",N210)),ISNUMBER(SEARCH("Madalena",N210))),"SIM","")</f>
        <v/>
      </c>
      <c r="U210" s="99">
        <f>IF(AND(ISNUMBER(SEARCH("Espeto",N210)),ISNUMBER(SEARCH("Mariana",N210))),"SIM","")</f>
        <v/>
      </c>
      <c r="V210" s="99">
        <f>IF(AND(ISNUMBER(SEARCH("Espeto",N210)),ISNUMBER(SEARCH("Perdizes",N210))),"SIM","")</f>
        <v/>
      </c>
      <c r="W210" s="99">
        <f>IF(AND(ISNUMBER(SEARCH("Espeto",N210)),ISNUMBER(SEARCH("Santana",N210))),"SIM","")</f>
        <v/>
      </c>
      <c r="X210" s="99">
        <f>IF(AND(ISNUMBER(SEARCH("Espeto",N210)),ISNUMBER(SEARCH("André",N210))),"SIM","")</f>
        <v/>
      </c>
      <c r="Y210" s="99">
        <f>IF(AND(ISNUMBER(SEARCH("Delivery",N210)),ISNUMBER(SEARCH("Carin",N210))),"SIM","")</f>
        <v/>
      </c>
      <c r="Z210" s="99">
        <f>IF(AND(ISNUMBER(SEARCH("Delivery",N210)),ISNUMBER(SEARCH("Lapa",N210))),"SIM","")</f>
        <v/>
      </c>
      <c r="AA210" s="99">
        <f>IF(AND(ISNUMBER(SEARCH("Delivery",N210)),ISNUMBER(SEARCH("Tatuapé",N210))),"SIM","")</f>
        <v/>
      </c>
      <c r="AB210" s="99">
        <f>IF(AND(ISNUMBER(SEARCH("Delivery",N210)),ISNUMBER(SEARCH("Pavão",N210))),"SIM","")</f>
        <v/>
      </c>
      <c r="AC210" s="99">
        <f>IF(AND(ISNUMBER(SEARCH("Delivery",N210)),ISNUMBER(SEARCH("Chac",N210))),"SIM","")</f>
        <v/>
      </c>
      <c r="AD210" s="99">
        <f>IF(AND(ISNUMBER(SEARCH("Delivery",N210)),ISNUMBER(SEARCH("Madalena",N210))),"SIM","")</f>
        <v/>
      </c>
      <c r="AE210" s="92">
        <f>IF(AND(ISNUMBER(SEARCH("Delivery",N210)),ISNUMBER(SEARCH("Mariana",N210))),"SIM","")</f>
        <v/>
      </c>
      <c r="AF210" s="92">
        <f>IF(AND(ISNUMBER(SEARCH("Delivery",N210)),ISNUMBER(SEARCH("Perdizes",N210))),"SIM","")</f>
        <v/>
      </c>
      <c r="AG210" s="92">
        <f>IF(AND(ISNUMBER(SEARCH("Delivery",N210)),ISNUMBER(SEARCH("Santana",N210))),"SIM","")</f>
        <v/>
      </c>
      <c r="AH210" s="92">
        <f>IF(AND(ISNUMBER(SEARCH("Delivery",N210)),ISNUMBER(SEARCH("André",N210))),"SIM","")</f>
        <v/>
      </c>
      <c r="AI210" s="92">
        <f>IF(ISNUMBER(SEARCH("Interlagos",N210)),"SIM","")</f>
        <v/>
      </c>
      <c r="AJ210" s="92">
        <f>IF(ISNUMBER(SEARCH("Quiosque",N210)),"SIM","")</f>
        <v/>
      </c>
      <c r="AK210" s="93" t="n"/>
    </row>
    <row r="211">
      <c r="A211" s="88" t="inlineStr">
        <is>
          <t>Protheus</t>
        </is>
      </c>
      <c r="B211" s="89" t="inlineStr">
        <is>
          <t>009518</t>
        </is>
      </c>
      <c r="C211" s="90">
        <f>IF(B211="—","—",IFERROR(VLOOKUP(B211,_Protheus_Cadastro!$A:$B,2,FALSE),"—"))</f>
        <v/>
      </c>
      <c r="D211" s="91">
        <f>IF(B211="—",IFERROR(INDEX(_ZIG_Cadastro!$D:$D,MATCH(H211,_ZIG_Cadastro!$A:$A,0)),"Produto"),IFERROR(VLOOKUP(B211,_Protheus_Cadastro!$A:$C,3,FALSE),"—"))</f>
        <v/>
      </c>
      <c r="E211" s="91">
        <f>IF(B211="—","—",IFERROR(VLOOKUP(B211,_Protheus_Cadastro!$A:$D,4,FALSE),"—"))</f>
        <v/>
      </c>
      <c r="F211" s="91">
        <f>IF(ISERROR(VLOOKUP(B211,'Estrutura Protheus'!A:A,1,FALSE)),"Não","Sim")</f>
        <v/>
      </c>
      <c r="G211" s="92">
        <f>IFERROR(INDEX(_Protheus_Cadastro!$H:$H,MATCH(B211,_Protheus_Cadastro!$A:$A,0)),"—")</f>
        <v/>
      </c>
      <c r="H211" s="210">
        <f>IFERROR(INDEX(_ZIG_Precos!$D:$D,MATCH(I211,_ZIG_Precos!$F:$F,0)),"—")</f>
        <v/>
      </c>
      <c r="I211" s="95">
        <f>IFERROR(VLOOKUP(B211,_Protheus_Cadastro!$A:$I,9,FALSE),"—")</f>
        <v/>
      </c>
      <c r="J211" s="93">
        <f>IFERROR(INDEX(_ZIG_Cadastro!$B:$B,MATCH(I211,_ZIG_Cadastro!$A:$A,0)),IFERROR(INDEX(_Entradas_ZIG!$B:$B,MATCH(I211,_Entradas_ZIG!$C:$C,0)),"—"))</f>
        <v/>
      </c>
      <c r="K211" s="93">
        <f>IFERROR(INDEX(_ZIG_Cadastro!$C:$C,MATCH(I211,_ZIG_Cadastro!$A:$A,0)),IFERROR(INDEX(_Entradas_ZIG!$D:$D,MATCH(I211,_Entradas_ZIG!$C:$C,0)),"—"))</f>
        <v/>
      </c>
      <c r="L211" s="92">
        <f>IF(I211="","Sem SKU ZIG",IF(I211="—","Sem SKU ZIG",IF(NOT(ISERROR(MATCH(I211,_ZIG_Cadastro!$A:$A,0))),IF(EXACT(UPPER(TRIM(C211)),UPPER(TRIM(INDEX(_ZIG_Cadastro!$B:$B,MATCH(I211,_ZIG_Cadastro!$A:$A,0))))),"OK","Atencao - Nome diverge"),IF(NOT(ISERROR(MATCH(I211,_Entradas_ZIG!$C:$C,0))),"OK","Erro - SKU nao encontrado"))))</f>
        <v/>
      </c>
      <c r="M211" s="92">
        <f>IFERROR(INDEX(_ZIG_Cadastro!$G:$G,MATCH(I211,_ZIG_Cadastro!$A:$A,0)),IF(NOT(ISERROR(MATCH(I211,_Entradas_ZIG!$C:$C,0))),"Ativo","—"))</f>
        <v/>
      </c>
      <c r="N211" s="94">
        <f>IFERROR(INDEX(_ZIG_Cadastro!$E:$E,MATCH(I211,_ZIG_Cadastro!$A:$A,0)),IFERROR(INDEX(_Entradas_ZIG!$F:$F,MATCH(I211,_Entradas_ZIG!$C:$C,0)),"—"))</f>
        <v/>
      </c>
      <c r="O211" s="92">
        <f>IF(AND(ISNUMBER(SEARCH("Espeto",N211)),ISNUMBER(SEARCH("Carin",N211))),"SIM","")</f>
        <v/>
      </c>
      <c r="P211" s="92">
        <f>IF(AND(ISNUMBER(SEARCH("Espeto",N211)),ISNUMBER(SEARCH("Lapa",N211))),"SIM","")</f>
        <v/>
      </c>
      <c r="Q211" s="92">
        <f>IF(AND(ISNUMBER(SEARCH("Espeto",N211)),ISNUMBER(SEARCH("Tatuapé",N211))),"SIM","")</f>
        <v/>
      </c>
      <c r="R211" s="92">
        <f>IF(AND(ISNUMBER(SEARCH("Espeto",N211)),ISNUMBER(SEARCH("Pavão",N211))),"SIM","")</f>
        <v/>
      </c>
      <c r="S211" s="92">
        <f>IF(AND(ISNUMBER(SEARCH("Espeto",N211)),ISNUMBER(SEARCH("Chac",N211))),"SIM","")</f>
        <v/>
      </c>
      <c r="T211" s="92">
        <f>IF(AND(ISNUMBER(SEARCH("Espeto",N211)),ISNUMBER(SEARCH("Madalena",N211))),"SIM","")</f>
        <v/>
      </c>
      <c r="U211" s="92">
        <f>IF(AND(ISNUMBER(SEARCH("Espeto",N211)),ISNUMBER(SEARCH("Mariana",N211))),"SIM","")</f>
        <v/>
      </c>
      <c r="V211" s="92">
        <f>IF(AND(ISNUMBER(SEARCH("Espeto",N211)),ISNUMBER(SEARCH("Perdizes",N211))),"SIM","")</f>
        <v/>
      </c>
      <c r="W211" s="92">
        <f>IF(AND(ISNUMBER(SEARCH("Espeto",N211)),ISNUMBER(SEARCH("Santana",N211))),"SIM","")</f>
        <v/>
      </c>
      <c r="X211" s="92">
        <f>IF(AND(ISNUMBER(SEARCH("Espeto",N211)),ISNUMBER(SEARCH("André",N211))),"SIM","")</f>
        <v/>
      </c>
      <c r="Y211" s="92">
        <f>IF(AND(ISNUMBER(SEARCH("Delivery",N211)),ISNUMBER(SEARCH("Carin",N211))),"SIM","")</f>
        <v/>
      </c>
      <c r="Z211" s="92">
        <f>IF(AND(ISNUMBER(SEARCH("Delivery",N211)),ISNUMBER(SEARCH("Lapa",N211))),"SIM","")</f>
        <v/>
      </c>
      <c r="AA211" s="92">
        <f>IF(AND(ISNUMBER(SEARCH("Delivery",N211)),ISNUMBER(SEARCH("Tatuapé",N211))),"SIM","")</f>
        <v/>
      </c>
      <c r="AB211" s="92">
        <f>IF(AND(ISNUMBER(SEARCH("Delivery",N211)),ISNUMBER(SEARCH("Pavão",N211))),"SIM","")</f>
        <v/>
      </c>
      <c r="AC211" s="92">
        <f>IF(AND(ISNUMBER(SEARCH("Delivery",N211)),ISNUMBER(SEARCH("Chac",N211))),"SIM","")</f>
        <v/>
      </c>
      <c r="AD211" s="92">
        <f>IF(AND(ISNUMBER(SEARCH("Delivery",N211)),ISNUMBER(SEARCH("Madalena",N211))),"SIM","")</f>
        <v/>
      </c>
      <c r="AE211" s="99">
        <f>IF(AND(ISNUMBER(SEARCH("Delivery",N211)),ISNUMBER(SEARCH("Mariana",N211))),"SIM","")</f>
        <v/>
      </c>
      <c r="AF211" s="99">
        <f>IF(AND(ISNUMBER(SEARCH("Delivery",N211)),ISNUMBER(SEARCH("Perdizes",N211))),"SIM","")</f>
        <v/>
      </c>
      <c r="AG211" s="99">
        <f>IF(AND(ISNUMBER(SEARCH("Delivery",N211)),ISNUMBER(SEARCH("Santana",N211))),"SIM","")</f>
        <v/>
      </c>
      <c r="AH211" s="99">
        <f>IF(AND(ISNUMBER(SEARCH("Delivery",N211)),ISNUMBER(SEARCH("André",N211))),"SIM","")</f>
        <v/>
      </c>
      <c r="AI211" s="99">
        <f>IF(ISNUMBER(SEARCH("Interlagos",N211)),"SIM","")</f>
        <v/>
      </c>
      <c r="AJ211" s="99">
        <f>IF(ISNUMBER(SEARCH("Quiosque",N211)),"SIM","")</f>
        <v/>
      </c>
      <c r="AK211" s="101" t="n"/>
    </row>
    <row r="212">
      <c r="A212" s="88" t="inlineStr">
        <is>
          <t>Protheus</t>
        </is>
      </c>
      <c r="B212" s="96" t="inlineStr">
        <is>
          <t>000034</t>
        </is>
      </c>
      <c r="C212" s="97">
        <f>IF(B212="—","—",IFERROR(VLOOKUP(B212,_Protheus_Cadastro!$A:$B,2,FALSE),"—"))</f>
        <v/>
      </c>
      <c r="D212" s="98">
        <f>IF(B212="—",IFERROR(INDEX(_ZIG_Cadastro!$D:$D,MATCH(H212,_ZIG_Cadastro!$A:$A,0)),"Produto"),IFERROR(VLOOKUP(B212,_Protheus_Cadastro!$A:$C,3,FALSE),"—"))</f>
        <v/>
      </c>
      <c r="E212" s="98">
        <f>IF(B212="—","—",IFERROR(VLOOKUP(B212,_Protheus_Cadastro!$A:$D,4,FALSE),"—"))</f>
        <v/>
      </c>
      <c r="F212" s="98">
        <f>IF(ISERROR(VLOOKUP(B212,'Estrutura Protheus'!A:A,1,FALSE)),"Não","Sim")</f>
        <v/>
      </c>
      <c r="G212" s="99">
        <f>IFERROR(INDEX(_Protheus_Cadastro!$H:$H,MATCH(B212,_Protheus_Cadastro!$A:$A,0)),"—")</f>
        <v/>
      </c>
      <c r="H212" s="211">
        <f>IFERROR(INDEX(_ZIG_Precos!$D:$D,MATCH(I212,_ZIG_Precos!$F:$F,0)),"—")</f>
        <v/>
      </c>
      <c r="I212" s="103">
        <f>IFERROR(VLOOKUP(B212,_Protheus_Cadastro!$A:$I,9,FALSE),"—")</f>
        <v/>
      </c>
      <c r="J212" s="101">
        <f>IFERROR(INDEX(_ZIG_Cadastro!$B:$B,MATCH(I212,_ZIG_Cadastro!$A:$A,0)),IFERROR(INDEX(_Entradas_ZIG!$B:$B,MATCH(I212,_Entradas_ZIG!$C:$C,0)),"—"))</f>
        <v/>
      </c>
      <c r="K212" s="101">
        <f>IFERROR(INDEX(_ZIG_Cadastro!$C:$C,MATCH(I212,_ZIG_Cadastro!$A:$A,0)),IFERROR(INDEX(_Entradas_ZIG!$D:$D,MATCH(I212,_Entradas_ZIG!$C:$C,0)),"—"))</f>
        <v/>
      </c>
      <c r="L212" s="99">
        <f>IF(I212="","Sem SKU ZIG",IF(I212="—","Sem SKU ZIG",IF(NOT(ISERROR(MATCH(I212,_ZIG_Cadastro!$A:$A,0))),IF(EXACT(UPPER(TRIM(C212)),UPPER(TRIM(INDEX(_ZIG_Cadastro!$B:$B,MATCH(I212,_ZIG_Cadastro!$A:$A,0))))),"OK","Atencao - Nome diverge"),IF(NOT(ISERROR(MATCH(I212,_Entradas_ZIG!$C:$C,0))),"OK","Erro - SKU nao encontrado"))))</f>
        <v/>
      </c>
      <c r="M212" s="99">
        <f>IFERROR(INDEX(_ZIG_Cadastro!$G:$G,MATCH(I212,_ZIG_Cadastro!$A:$A,0)),IF(NOT(ISERROR(MATCH(I212,_Entradas_ZIG!$C:$C,0))),"Ativo","—"))</f>
        <v/>
      </c>
      <c r="N212" s="102">
        <f>IFERROR(INDEX(_ZIG_Cadastro!$E:$E,MATCH(I212,_ZIG_Cadastro!$A:$A,0)),IFERROR(INDEX(_Entradas_ZIG!$F:$F,MATCH(I212,_Entradas_ZIG!$C:$C,0)),"—"))</f>
        <v/>
      </c>
      <c r="O212" s="99">
        <f>IF(AND(ISNUMBER(SEARCH("Espeto",N212)),ISNUMBER(SEARCH("Carin",N212))),"SIM","")</f>
        <v/>
      </c>
      <c r="P212" s="99">
        <f>IF(AND(ISNUMBER(SEARCH("Espeto",N212)),ISNUMBER(SEARCH("Lapa",N212))),"SIM","")</f>
        <v/>
      </c>
      <c r="Q212" s="99">
        <f>IF(AND(ISNUMBER(SEARCH("Espeto",N212)),ISNUMBER(SEARCH("Tatuapé",N212))),"SIM","")</f>
        <v/>
      </c>
      <c r="R212" s="99">
        <f>IF(AND(ISNUMBER(SEARCH("Espeto",N212)),ISNUMBER(SEARCH("Pavão",N212))),"SIM","")</f>
        <v/>
      </c>
      <c r="S212" s="99">
        <f>IF(AND(ISNUMBER(SEARCH("Espeto",N212)),ISNUMBER(SEARCH("Chac",N212))),"SIM","")</f>
        <v/>
      </c>
      <c r="T212" s="99">
        <f>IF(AND(ISNUMBER(SEARCH("Espeto",N212)),ISNUMBER(SEARCH("Madalena",N212))),"SIM","")</f>
        <v/>
      </c>
      <c r="U212" s="99">
        <f>IF(AND(ISNUMBER(SEARCH("Espeto",N212)),ISNUMBER(SEARCH("Mariana",N212))),"SIM","")</f>
        <v/>
      </c>
      <c r="V212" s="99">
        <f>IF(AND(ISNUMBER(SEARCH("Espeto",N212)),ISNUMBER(SEARCH("Perdizes",N212))),"SIM","")</f>
        <v/>
      </c>
      <c r="W212" s="99">
        <f>IF(AND(ISNUMBER(SEARCH("Espeto",N212)),ISNUMBER(SEARCH("Santana",N212))),"SIM","")</f>
        <v/>
      </c>
      <c r="X212" s="99">
        <f>IF(AND(ISNUMBER(SEARCH("Espeto",N212)),ISNUMBER(SEARCH("André",N212))),"SIM","")</f>
        <v/>
      </c>
      <c r="Y212" s="99">
        <f>IF(AND(ISNUMBER(SEARCH("Delivery",N212)),ISNUMBER(SEARCH("Carin",N212))),"SIM","")</f>
        <v/>
      </c>
      <c r="Z212" s="99">
        <f>IF(AND(ISNUMBER(SEARCH("Delivery",N212)),ISNUMBER(SEARCH("Lapa",N212))),"SIM","")</f>
        <v/>
      </c>
      <c r="AA212" s="99">
        <f>IF(AND(ISNUMBER(SEARCH("Delivery",N212)),ISNUMBER(SEARCH("Tatuapé",N212))),"SIM","")</f>
        <v/>
      </c>
      <c r="AB212" s="99">
        <f>IF(AND(ISNUMBER(SEARCH("Delivery",N212)),ISNUMBER(SEARCH("Pavão",N212))),"SIM","")</f>
        <v/>
      </c>
      <c r="AC212" s="99">
        <f>IF(AND(ISNUMBER(SEARCH("Delivery",N212)),ISNUMBER(SEARCH("Chac",N212))),"SIM","")</f>
        <v/>
      </c>
      <c r="AD212" s="99">
        <f>IF(AND(ISNUMBER(SEARCH("Delivery",N212)),ISNUMBER(SEARCH("Madalena",N212))),"SIM","")</f>
        <v/>
      </c>
      <c r="AE212" s="92">
        <f>IF(AND(ISNUMBER(SEARCH("Delivery",N212)),ISNUMBER(SEARCH("Mariana",N212))),"SIM","")</f>
        <v/>
      </c>
      <c r="AF212" s="92">
        <f>IF(AND(ISNUMBER(SEARCH("Delivery",N212)),ISNUMBER(SEARCH("Perdizes",N212))),"SIM","")</f>
        <v/>
      </c>
      <c r="AG212" s="92">
        <f>IF(AND(ISNUMBER(SEARCH("Delivery",N212)),ISNUMBER(SEARCH("Santana",N212))),"SIM","")</f>
        <v/>
      </c>
      <c r="AH212" s="92">
        <f>IF(AND(ISNUMBER(SEARCH("Delivery",N212)),ISNUMBER(SEARCH("André",N212))),"SIM","")</f>
        <v/>
      </c>
      <c r="AI212" s="92">
        <f>IF(ISNUMBER(SEARCH("Interlagos",N212)),"SIM","")</f>
        <v/>
      </c>
      <c r="AJ212" s="92">
        <f>IF(ISNUMBER(SEARCH("Quiosque",N212)),"SIM","")</f>
        <v/>
      </c>
      <c r="AK212" s="93" t="n"/>
    </row>
    <row r="213">
      <c r="A213" s="88" t="inlineStr">
        <is>
          <t>Protheus</t>
        </is>
      </c>
      <c r="B213" s="96" t="inlineStr">
        <is>
          <t>000857</t>
        </is>
      </c>
      <c r="C213" s="97">
        <f>IF(B213="—","—",IFERROR(VLOOKUP(B213,_Protheus_Cadastro!$A:$B,2,FALSE),"—"))</f>
        <v/>
      </c>
      <c r="D213" s="98">
        <f>IF(B213="—",IFERROR(INDEX(_ZIG_Cadastro!$D:$D,MATCH(H213,_ZIG_Cadastro!$A:$A,0)),"Produto"),IFERROR(VLOOKUP(B213,_Protheus_Cadastro!$A:$C,3,FALSE),"—"))</f>
        <v/>
      </c>
      <c r="E213" s="98">
        <f>IF(B213="—","—",IFERROR(VLOOKUP(B213,_Protheus_Cadastro!$A:$D,4,FALSE),"—"))</f>
        <v/>
      </c>
      <c r="F213" s="98">
        <f>IF(ISERROR(VLOOKUP(B213,'Estrutura Protheus'!A:A,1,FALSE)),"Não","Sim")</f>
        <v/>
      </c>
      <c r="G213" s="99">
        <f>IFERROR(INDEX(_Protheus_Cadastro!$H:$H,MATCH(B213,_Protheus_Cadastro!$A:$A,0)),"—")</f>
        <v/>
      </c>
      <c r="H213" s="211">
        <f>IFERROR(INDEX(_ZIG_Precos!$D:$D,MATCH(I213,_ZIG_Precos!$F:$F,0)),"—")</f>
        <v/>
      </c>
      <c r="I213" s="103">
        <f>IFERROR(VLOOKUP(B213,_Protheus_Cadastro!$A:$I,9,FALSE),"—")</f>
        <v/>
      </c>
      <c r="J213" s="101">
        <f>IFERROR(INDEX(_ZIG_Cadastro!$B:$B,MATCH(I213,_ZIG_Cadastro!$A:$A,0)),IFERROR(INDEX(_Entradas_ZIG!$B:$B,MATCH(I213,_Entradas_ZIG!$C:$C,0)),"—"))</f>
        <v/>
      </c>
      <c r="K213" s="101">
        <f>IFERROR(INDEX(_ZIG_Cadastro!$C:$C,MATCH(I213,_ZIG_Cadastro!$A:$A,0)),IFERROR(INDEX(_Entradas_ZIG!$D:$D,MATCH(I213,_Entradas_ZIG!$C:$C,0)),"—"))</f>
        <v/>
      </c>
      <c r="L213" s="99">
        <f>IF(I213="","Sem SKU ZIG",IF(I213="—","Sem SKU ZIG",IF(NOT(ISERROR(MATCH(I213,_ZIG_Cadastro!$A:$A,0))),IF(EXACT(UPPER(TRIM(C213)),UPPER(TRIM(INDEX(_ZIG_Cadastro!$B:$B,MATCH(I213,_ZIG_Cadastro!$A:$A,0))))),"OK","Atencao - Nome diverge"),IF(NOT(ISERROR(MATCH(I213,_Entradas_ZIG!$C:$C,0))),"OK","Erro - SKU nao encontrado"))))</f>
        <v/>
      </c>
      <c r="M213" s="99">
        <f>IFERROR(INDEX(_ZIG_Cadastro!$G:$G,MATCH(I213,_ZIG_Cadastro!$A:$A,0)),IF(NOT(ISERROR(MATCH(I213,_Entradas_ZIG!$C:$C,0))),"Ativo","—"))</f>
        <v/>
      </c>
      <c r="N213" s="102">
        <f>IFERROR(INDEX(_ZIG_Cadastro!$E:$E,MATCH(I213,_ZIG_Cadastro!$A:$A,0)),IFERROR(INDEX(_Entradas_ZIG!$F:$F,MATCH(I213,_Entradas_ZIG!$C:$C,0)),"—"))</f>
        <v/>
      </c>
      <c r="O213" s="99">
        <f>IF(AND(ISNUMBER(SEARCH("Espeto",N213)),ISNUMBER(SEARCH("Carin",N213))),"SIM","")</f>
        <v/>
      </c>
      <c r="P213" s="99">
        <f>IF(AND(ISNUMBER(SEARCH("Espeto",N213)),ISNUMBER(SEARCH("Lapa",N213))),"SIM","")</f>
        <v/>
      </c>
      <c r="Q213" s="99">
        <f>IF(AND(ISNUMBER(SEARCH("Espeto",N213)),ISNUMBER(SEARCH("Tatuapé",N213))),"SIM","")</f>
        <v/>
      </c>
      <c r="R213" s="99">
        <f>IF(AND(ISNUMBER(SEARCH("Espeto",N213)),ISNUMBER(SEARCH("Pavão",N213))),"SIM","")</f>
        <v/>
      </c>
      <c r="S213" s="99">
        <f>IF(AND(ISNUMBER(SEARCH("Espeto",N213)),ISNUMBER(SEARCH("Chac",N213))),"SIM","")</f>
        <v/>
      </c>
      <c r="T213" s="99">
        <f>IF(AND(ISNUMBER(SEARCH("Espeto",N213)),ISNUMBER(SEARCH("Madalena",N213))),"SIM","")</f>
        <v/>
      </c>
      <c r="U213" s="99">
        <f>IF(AND(ISNUMBER(SEARCH("Espeto",N213)),ISNUMBER(SEARCH("Mariana",N213))),"SIM","")</f>
        <v/>
      </c>
      <c r="V213" s="99">
        <f>IF(AND(ISNUMBER(SEARCH("Espeto",N213)),ISNUMBER(SEARCH("Perdizes",N213))),"SIM","")</f>
        <v/>
      </c>
      <c r="W213" s="99">
        <f>IF(AND(ISNUMBER(SEARCH("Espeto",N213)),ISNUMBER(SEARCH("Santana",N213))),"SIM","")</f>
        <v/>
      </c>
      <c r="X213" s="99">
        <f>IF(AND(ISNUMBER(SEARCH("Espeto",N213)),ISNUMBER(SEARCH("André",N213))),"SIM","")</f>
        <v/>
      </c>
      <c r="Y213" s="99">
        <f>IF(AND(ISNUMBER(SEARCH("Delivery",N213)),ISNUMBER(SEARCH("Carin",N213))),"SIM","")</f>
        <v/>
      </c>
      <c r="Z213" s="99">
        <f>IF(AND(ISNUMBER(SEARCH("Delivery",N213)),ISNUMBER(SEARCH("Lapa",N213))),"SIM","")</f>
        <v/>
      </c>
      <c r="AA213" s="99">
        <f>IF(AND(ISNUMBER(SEARCH("Delivery",N213)),ISNUMBER(SEARCH("Tatuapé",N213))),"SIM","")</f>
        <v/>
      </c>
      <c r="AB213" s="99">
        <f>IF(AND(ISNUMBER(SEARCH("Delivery",N213)),ISNUMBER(SEARCH("Pavão",N213))),"SIM","")</f>
        <v/>
      </c>
      <c r="AC213" s="99">
        <f>IF(AND(ISNUMBER(SEARCH("Delivery",N213)),ISNUMBER(SEARCH("Chac",N213))),"SIM","")</f>
        <v/>
      </c>
      <c r="AD213" s="99">
        <f>IF(AND(ISNUMBER(SEARCH("Delivery",N213)),ISNUMBER(SEARCH("Madalena",N213))),"SIM","")</f>
        <v/>
      </c>
      <c r="AE213" s="92">
        <f>IF(AND(ISNUMBER(SEARCH("Delivery",N213)),ISNUMBER(SEARCH("Mariana",N213))),"SIM","")</f>
        <v/>
      </c>
      <c r="AF213" s="92">
        <f>IF(AND(ISNUMBER(SEARCH("Delivery",N213)),ISNUMBER(SEARCH("Perdizes",N213))),"SIM","")</f>
        <v/>
      </c>
      <c r="AG213" s="92">
        <f>IF(AND(ISNUMBER(SEARCH("Delivery",N213)),ISNUMBER(SEARCH("Santana",N213))),"SIM","")</f>
        <v/>
      </c>
      <c r="AH213" s="92">
        <f>IF(AND(ISNUMBER(SEARCH("Delivery",N213)),ISNUMBER(SEARCH("André",N213))),"SIM","")</f>
        <v/>
      </c>
      <c r="AI213" s="92">
        <f>IF(ISNUMBER(SEARCH("Interlagos",N213)),"SIM","")</f>
        <v/>
      </c>
      <c r="AJ213" s="92">
        <f>IF(ISNUMBER(SEARCH("Quiosque",N213)),"SIM","")</f>
        <v/>
      </c>
      <c r="AK213" s="93" t="n"/>
    </row>
    <row r="214">
      <c r="A214" s="88" t="inlineStr">
        <is>
          <t>Protheus</t>
        </is>
      </c>
      <c r="B214" s="89" t="inlineStr">
        <is>
          <t>000867</t>
        </is>
      </c>
      <c r="C214" s="90">
        <f>IF(B214="—","—",IFERROR(VLOOKUP(B214,_Protheus_Cadastro!$A:$B,2,FALSE),"—"))</f>
        <v/>
      </c>
      <c r="D214" s="91">
        <f>IF(B214="—",IFERROR(INDEX(_ZIG_Cadastro!$D:$D,MATCH(H214,_ZIG_Cadastro!$A:$A,0)),"Produto"),IFERROR(VLOOKUP(B214,_Protheus_Cadastro!$A:$C,3,FALSE),"—"))</f>
        <v/>
      </c>
      <c r="E214" s="91">
        <f>IF(B214="—","—",IFERROR(VLOOKUP(B214,_Protheus_Cadastro!$A:$D,4,FALSE),"—"))</f>
        <v/>
      </c>
      <c r="F214" s="91">
        <f>IF(ISERROR(VLOOKUP(B214,'Estrutura Protheus'!A:A,1,FALSE)),"Não","Sim")</f>
        <v/>
      </c>
      <c r="G214" s="92">
        <f>IFERROR(INDEX(_Protheus_Cadastro!$H:$H,MATCH(B214,_Protheus_Cadastro!$A:$A,0)),"—")</f>
        <v/>
      </c>
      <c r="H214" s="210">
        <f>IFERROR(INDEX(_ZIG_Precos!$D:$D,MATCH(I214,_ZIG_Precos!$F:$F,0)),"—")</f>
        <v/>
      </c>
      <c r="I214" s="95">
        <f>IFERROR(VLOOKUP(B214,_Protheus_Cadastro!$A:$I,9,FALSE),"—")</f>
        <v/>
      </c>
      <c r="J214" s="93">
        <f>IFERROR(INDEX(_ZIG_Cadastro!$B:$B,MATCH(I214,_ZIG_Cadastro!$A:$A,0)),IFERROR(INDEX(_Entradas_ZIG!$B:$B,MATCH(I214,_Entradas_ZIG!$C:$C,0)),"—"))</f>
        <v/>
      </c>
      <c r="K214" s="93">
        <f>IFERROR(INDEX(_ZIG_Cadastro!$C:$C,MATCH(I214,_ZIG_Cadastro!$A:$A,0)),IFERROR(INDEX(_Entradas_ZIG!$D:$D,MATCH(I214,_Entradas_ZIG!$C:$C,0)),"—"))</f>
        <v/>
      </c>
      <c r="L214" s="92">
        <f>IF(I214="","Sem SKU ZIG",IF(I214="—","Sem SKU ZIG",IF(NOT(ISERROR(MATCH(I214,_ZIG_Cadastro!$A:$A,0))),IF(EXACT(UPPER(TRIM(C214)),UPPER(TRIM(INDEX(_ZIG_Cadastro!$B:$B,MATCH(I214,_ZIG_Cadastro!$A:$A,0))))),"OK","Atencao - Nome diverge"),IF(NOT(ISERROR(MATCH(I214,_Entradas_ZIG!$C:$C,0))),"OK","Erro - SKU nao encontrado"))))</f>
        <v/>
      </c>
      <c r="M214" s="92">
        <f>IFERROR(INDEX(_ZIG_Cadastro!$G:$G,MATCH(I214,_ZIG_Cadastro!$A:$A,0)),IF(NOT(ISERROR(MATCH(I214,_Entradas_ZIG!$C:$C,0))),"Ativo","—"))</f>
        <v/>
      </c>
      <c r="N214" s="94">
        <f>IFERROR(INDEX(_ZIG_Cadastro!$E:$E,MATCH(I214,_ZIG_Cadastro!$A:$A,0)),IFERROR(INDEX(_Entradas_ZIG!$F:$F,MATCH(I214,_Entradas_ZIG!$C:$C,0)),"—"))</f>
        <v/>
      </c>
      <c r="O214" s="92">
        <f>IF(AND(ISNUMBER(SEARCH("Espeto",N214)),ISNUMBER(SEARCH("Carin",N214))),"SIM","")</f>
        <v/>
      </c>
      <c r="P214" s="92">
        <f>IF(AND(ISNUMBER(SEARCH("Espeto",N214)),ISNUMBER(SEARCH("Lapa",N214))),"SIM","")</f>
        <v/>
      </c>
      <c r="Q214" s="92">
        <f>IF(AND(ISNUMBER(SEARCH("Espeto",N214)),ISNUMBER(SEARCH("Tatuapé",N214))),"SIM","")</f>
        <v/>
      </c>
      <c r="R214" s="92">
        <f>IF(AND(ISNUMBER(SEARCH("Espeto",N214)),ISNUMBER(SEARCH("Pavão",N214))),"SIM","")</f>
        <v/>
      </c>
      <c r="S214" s="92">
        <f>IF(AND(ISNUMBER(SEARCH("Espeto",N214)),ISNUMBER(SEARCH("Chac",N214))),"SIM","")</f>
        <v/>
      </c>
      <c r="T214" s="92">
        <f>IF(AND(ISNUMBER(SEARCH("Espeto",N214)),ISNUMBER(SEARCH("Madalena",N214))),"SIM","")</f>
        <v/>
      </c>
      <c r="U214" s="92">
        <f>IF(AND(ISNUMBER(SEARCH("Espeto",N214)),ISNUMBER(SEARCH("Mariana",N214))),"SIM","")</f>
        <v/>
      </c>
      <c r="V214" s="92">
        <f>IF(AND(ISNUMBER(SEARCH("Espeto",N214)),ISNUMBER(SEARCH("Perdizes",N214))),"SIM","")</f>
        <v/>
      </c>
      <c r="W214" s="92">
        <f>IF(AND(ISNUMBER(SEARCH("Espeto",N214)),ISNUMBER(SEARCH("Santana",N214))),"SIM","")</f>
        <v/>
      </c>
      <c r="X214" s="92">
        <f>IF(AND(ISNUMBER(SEARCH("Espeto",N214)),ISNUMBER(SEARCH("André",N214))),"SIM","")</f>
        <v/>
      </c>
      <c r="Y214" s="92">
        <f>IF(AND(ISNUMBER(SEARCH("Delivery",N214)),ISNUMBER(SEARCH("Carin",N214))),"SIM","")</f>
        <v/>
      </c>
      <c r="Z214" s="92">
        <f>IF(AND(ISNUMBER(SEARCH("Delivery",N214)),ISNUMBER(SEARCH("Lapa",N214))),"SIM","")</f>
        <v/>
      </c>
      <c r="AA214" s="92">
        <f>IF(AND(ISNUMBER(SEARCH("Delivery",N214)),ISNUMBER(SEARCH("Tatuapé",N214))),"SIM","")</f>
        <v/>
      </c>
      <c r="AB214" s="92">
        <f>IF(AND(ISNUMBER(SEARCH("Delivery",N214)),ISNUMBER(SEARCH("Pavão",N214))),"SIM","")</f>
        <v/>
      </c>
      <c r="AC214" s="92">
        <f>IF(AND(ISNUMBER(SEARCH("Delivery",N214)),ISNUMBER(SEARCH("Chac",N214))),"SIM","")</f>
        <v/>
      </c>
      <c r="AD214" s="92">
        <f>IF(AND(ISNUMBER(SEARCH("Delivery",N214)),ISNUMBER(SEARCH("Madalena",N214))),"SIM","")</f>
        <v/>
      </c>
      <c r="AE214" s="99">
        <f>IF(AND(ISNUMBER(SEARCH("Delivery",N214)),ISNUMBER(SEARCH("Mariana",N214))),"SIM","")</f>
        <v/>
      </c>
      <c r="AF214" s="99">
        <f>IF(AND(ISNUMBER(SEARCH("Delivery",N214)),ISNUMBER(SEARCH("Perdizes",N214))),"SIM","")</f>
        <v/>
      </c>
      <c r="AG214" s="99">
        <f>IF(AND(ISNUMBER(SEARCH("Delivery",N214)),ISNUMBER(SEARCH("Santana",N214))),"SIM","")</f>
        <v/>
      </c>
      <c r="AH214" s="99">
        <f>IF(AND(ISNUMBER(SEARCH("Delivery",N214)),ISNUMBER(SEARCH("André",N214))),"SIM","")</f>
        <v/>
      </c>
      <c r="AI214" s="99">
        <f>IF(ISNUMBER(SEARCH("Interlagos",N214)),"SIM","")</f>
        <v/>
      </c>
      <c r="AJ214" s="99">
        <f>IF(ISNUMBER(SEARCH("Quiosque",N214)),"SIM","")</f>
        <v/>
      </c>
      <c r="AK214" s="101" t="n"/>
    </row>
    <row r="215">
      <c r="A215" s="88" t="inlineStr">
        <is>
          <t>Protheus</t>
        </is>
      </c>
      <c r="B215" s="96" t="inlineStr">
        <is>
          <t>001148</t>
        </is>
      </c>
      <c r="C215" s="97">
        <f>IF(B215="—","—",IFERROR(VLOOKUP(B215,_Protheus_Cadastro!$A:$B,2,FALSE),"—"))</f>
        <v/>
      </c>
      <c r="D215" s="98">
        <f>IF(B215="—",IFERROR(INDEX(_ZIG_Cadastro!$D:$D,MATCH(H215,_ZIG_Cadastro!$A:$A,0)),"Produto"),IFERROR(VLOOKUP(B215,_Protheus_Cadastro!$A:$C,3,FALSE),"—"))</f>
        <v/>
      </c>
      <c r="E215" s="98">
        <f>IF(B215="—","—",IFERROR(VLOOKUP(B215,_Protheus_Cadastro!$A:$D,4,FALSE),"—"))</f>
        <v/>
      </c>
      <c r="F215" s="98">
        <f>IF(ISERROR(VLOOKUP(B215,'Estrutura Protheus'!A:A,1,FALSE)),"Não","Sim")</f>
        <v/>
      </c>
      <c r="G215" s="99">
        <f>IFERROR(INDEX(_Protheus_Cadastro!$H:$H,MATCH(B215,_Protheus_Cadastro!$A:$A,0)),"—")</f>
        <v/>
      </c>
      <c r="H215" s="211">
        <f>IFERROR(INDEX(_ZIG_Precos!$D:$D,MATCH(I215,_ZIG_Precos!$F:$F,0)),"—")</f>
        <v/>
      </c>
      <c r="I215" s="103">
        <f>IFERROR(VLOOKUP(B215,_Protheus_Cadastro!$A:$I,9,FALSE),"—")</f>
        <v/>
      </c>
      <c r="J215" s="101">
        <f>IFERROR(INDEX(_ZIG_Cadastro!$B:$B,MATCH(I215,_ZIG_Cadastro!$A:$A,0)),IFERROR(INDEX(_Entradas_ZIG!$B:$B,MATCH(I215,_Entradas_ZIG!$C:$C,0)),"—"))</f>
        <v/>
      </c>
      <c r="K215" s="101">
        <f>IFERROR(INDEX(_ZIG_Cadastro!$C:$C,MATCH(I215,_ZIG_Cadastro!$A:$A,0)),IFERROR(INDEX(_Entradas_ZIG!$D:$D,MATCH(I215,_Entradas_ZIG!$C:$C,0)),"—"))</f>
        <v/>
      </c>
      <c r="L215" s="99">
        <f>IF(I215="","Sem SKU ZIG",IF(I215="—","Sem SKU ZIG",IF(NOT(ISERROR(MATCH(I215,_ZIG_Cadastro!$A:$A,0))),IF(EXACT(UPPER(TRIM(C215)),UPPER(TRIM(INDEX(_ZIG_Cadastro!$B:$B,MATCH(I215,_ZIG_Cadastro!$A:$A,0))))),"OK","Atencao - Nome diverge"),IF(NOT(ISERROR(MATCH(I215,_Entradas_ZIG!$C:$C,0))),"OK","Erro - SKU nao encontrado"))))</f>
        <v/>
      </c>
      <c r="M215" s="99">
        <f>IFERROR(INDEX(_ZIG_Cadastro!$G:$G,MATCH(I215,_ZIG_Cadastro!$A:$A,0)),IF(NOT(ISERROR(MATCH(I215,_Entradas_ZIG!$C:$C,0))),"Ativo","—"))</f>
        <v/>
      </c>
      <c r="N215" s="102">
        <f>IFERROR(INDEX(_ZIG_Cadastro!$E:$E,MATCH(I215,_ZIG_Cadastro!$A:$A,0)),IFERROR(INDEX(_Entradas_ZIG!$F:$F,MATCH(I215,_Entradas_ZIG!$C:$C,0)),"—"))</f>
        <v/>
      </c>
      <c r="O215" s="99">
        <f>IF(AND(ISNUMBER(SEARCH("Espeto",N215)),ISNUMBER(SEARCH("Carin",N215))),"SIM","")</f>
        <v/>
      </c>
      <c r="P215" s="99">
        <f>IF(AND(ISNUMBER(SEARCH("Espeto",N215)),ISNUMBER(SEARCH("Lapa",N215))),"SIM","")</f>
        <v/>
      </c>
      <c r="Q215" s="99">
        <f>IF(AND(ISNUMBER(SEARCH("Espeto",N215)),ISNUMBER(SEARCH("Tatuapé",N215))),"SIM","")</f>
        <v/>
      </c>
      <c r="R215" s="99">
        <f>IF(AND(ISNUMBER(SEARCH("Espeto",N215)),ISNUMBER(SEARCH("Pavão",N215))),"SIM","")</f>
        <v/>
      </c>
      <c r="S215" s="99">
        <f>IF(AND(ISNUMBER(SEARCH("Espeto",N215)),ISNUMBER(SEARCH("Chac",N215))),"SIM","")</f>
        <v/>
      </c>
      <c r="T215" s="99">
        <f>IF(AND(ISNUMBER(SEARCH("Espeto",N215)),ISNUMBER(SEARCH("Madalena",N215))),"SIM","")</f>
        <v/>
      </c>
      <c r="U215" s="99">
        <f>IF(AND(ISNUMBER(SEARCH("Espeto",N215)),ISNUMBER(SEARCH("Mariana",N215))),"SIM","")</f>
        <v/>
      </c>
      <c r="V215" s="99">
        <f>IF(AND(ISNUMBER(SEARCH("Espeto",N215)),ISNUMBER(SEARCH("Perdizes",N215))),"SIM","")</f>
        <v/>
      </c>
      <c r="W215" s="99">
        <f>IF(AND(ISNUMBER(SEARCH("Espeto",N215)),ISNUMBER(SEARCH("Santana",N215))),"SIM","")</f>
        <v/>
      </c>
      <c r="X215" s="99">
        <f>IF(AND(ISNUMBER(SEARCH("Espeto",N215)),ISNUMBER(SEARCH("André",N215))),"SIM","")</f>
        <v/>
      </c>
      <c r="Y215" s="99">
        <f>IF(AND(ISNUMBER(SEARCH("Delivery",N215)),ISNUMBER(SEARCH("Carin",N215))),"SIM","")</f>
        <v/>
      </c>
      <c r="Z215" s="99">
        <f>IF(AND(ISNUMBER(SEARCH("Delivery",N215)),ISNUMBER(SEARCH("Lapa",N215))),"SIM","")</f>
        <v/>
      </c>
      <c r="AA215" s="99">
        <f>IF(AND(ISNUMBER(SEARCH("Delivery",N215)),ISNUMBER(SEARCH("Tatuapé",N215))),"SIM","")</f>
        <v/>
      </c>
      <c r="AB215" s="99">
        <f>IF(AND(ISNUMBER(SEARCH("Delivery",N215)),ISNUMBER(SEARCH("Pavão",N215))),"SIM","")</f>
        <v/>
      </c>
      <c r="AC215" s="99">
        <f>IF(AND(ISNUMBER(SEARCH("Delivery",N215)),ISNUMBER(SEARCH("Chac",N215))),"SIM","")</f>
        <v/>
      </c>
      <c r="AD215" s="99">
        <f>IF(AND(ISNUMBER(SEARCH("Delivery",N215)),ISNUMBER(SEARCH("Madalena",N215))),"SIM","")</f>
        <v/>
      </c>
      <c r="AE215" s="92">
        <f>IF(AND(ISNUMBER(SEARCH("Delivery",N215)),ISNUMBER(SEARCH("Mariana",N215))),"SIM","")</f>
        <v/>
      </c>
      <c r="AF215" s="92">
        <f>IF(AND(ISNUMBER(SEARCH("Delivery",N215)),ISNUMBER(SEARCH("Perdizes",N215))),"SIM","")</f>
        <v/>
      </c>
      <c r="AG215" s="92">
        <f>IF(AND(ISNUMBER(SEARCH("Delivery",N215)),ISNUMBER(SEARCH("Santana",N215))),"SIM","")</f>
        <v/>
      </c>
      <c r="AH215" s="92">
        <f>IF(AND(ISNUMBER(SEARCH("Delivery",N215)),ISNUMBER(SEARCH("André",N215))),"SIM","")</f>
        <v/>
      </c>
      <c r="AI215" s="92">
        <f>IF(ISNUMBER(SEARCH("Interlagos",N215)),"SIM","")</f>
        <v/>
      </c>
      <c r="AJ215" s="92">
        <f>IF(ISNUMBER(SEARCH("Quiosque",N215)),"SIM","")</f>
        <v/>
      </c>
      <c r="AK215" s="93" t="n"/>
    </row>
    <row r="216">
      <c r="A216" s="88" t="inlineStr">
        <is>
          <t>Protheus</t>
        </is>
      </c>
      <c r="B216" s="89" t="inlineStr">
        <is>
          <t>001271</t>
        </is>
      </c>
      <c r="C216" s="90">
        <f>IF(B216="—","—",IFERROR(VLOOKUP(B216,_Protheus_Cadastro!$A:$B,2,FALSE),"—"))</f>
        <v/>
      </c>
      <c r="D216" s="91">
        <f>IF(B216="—",IFERROR(INDEX(_ZIG_Cadastro!$D:$D,MATCH(H216,_ZIG_Cadastro!$A:$A,0)),"Produto"),IFERROR(VLOOKUP(B216,_Protheus_Cadastro!$A:$C,3,FALSE),"—"))</f>
        <v/>
      </c>
      <c r="E216" s="91">
        <f>IF(B216="—","—",IFERROR(VLOOKUP(B216,_Protheus_Cadastro!$A:$D,4,FALSE),"—"))</f>
        <v/>
      </c>
      <c r="F216" s="91">
        <f>IF(ISERROR(VLOOKUP(B216,'Estrutura Protheus'!A:A,1,FALSE)),"Não","Sim")</f>
        <v/>
      </c>
      <c r="G216" s="92">
        <f>IFERROR(INDEX(_Protheus_Cadastro!$H:$H,MATCH(B216,_Protheus_Cadastro!$A:$A,0)),"—")</f>
        <v/>
      </c>
      <c r="H216" s="210">
        <f>IFERROR(INDEX(_ZIG_Precos!$D:$D,MATCH(I216,_ZIG_Precos!$F:$F,0)),"—")</f>
        <v/>
      </c>
      <c r="I216" s="95">
        <f>IFERROR(VLOOKUP(B216,_Protheus_Cadastro!$A:$I,9,FALSE),"—")</f>
        <v/>
      </c>
      <c r="J216" s="93">
        <f>IFERROR(INDEX(_ZIG_Cadastro!$B:$B,MATCH(I216,_ZIG_Cadastro!$A:$A,0)),IFERROR(INDEX(_Entradas_ZIG!$B:$B,MATCH(I216,_Entradas_ZIG!$C:$C,0)),"—"))</f>
        <v/>
      </c>
      <c r="K216" s="93">
        <f>IFERROR(INDEX(_ZIG_Cadastro!$C:$C,MATCH(I216,_ZIG_Cadastro!$A:$A,0)),IFERROR(INDEX(_Entradas_ZIG!$D:$D,MATCH(I216,_Entradas_ZIG!$C:$C,0)),"—"))</f>
        <v/>
      </c>
      <c r="L216" s="92">
        <f>IF(I216="","Sem SKU ZIG",IF(I216="—","Sem SKU ZIG",IF(NOT(ISERROR(MATCH(I216,_ZIG_Cadastro!$A:$A,0))),IF(EXACT(UPPER(TRIM(C216)),UPPER(TRIM(INDEX(_ZIG_Cadastro!$B:$B,MATCH(I216,_ZIG_Cadastro!$A:$A,0))))),"OK","Atencao - Nome diverge"),IF(NOT(ISERROR(MATCH(I216,_Entradas_ZIG!$C:$C,0))),"OK","Erro - SKU nao encontrado"))))</f>
        <v/>
      </c>
      <c r="M216" s="92">
        <f>IFERROR(INDEX(_ZIG_Cadastro!$G:$G,MATCH(I216,_ZIG_Cadastro!$A:$A,0)),IF(NOT(ISERROR(MATCH(I216,_Entradas_ZIG!$C:$C,0))),"Ativo","—"))</f>
        <v/>
      </c>
      <c r="N216" s="94">
        <f>IFERROR(INDEX(_ZIG_Cadastro!$E:$E,MATCH(I216,_ZIG_Cadastro!$A:$A,0)),IFERROR(INDEX(_Entradas_ZIG!$F:$F,MATCH(I216,_Entradas_ZIG!$C:$C,0)),"—"))</f>
        <v/>
      </c>
      <c r="O216" s="92">
        <f>IF(AND(ISNUMBER(SEARCH("Espeto",N216)),ISNUMBER(SEARCH("Carin",N216))),"SIM","")</f>
        <v/>
      </c>
      <c r="P216" s="92">
        <f>IF(AND(ISNUMBER(SEARCH("Espeto",N216)),ISNUMBER(SEARCH("Lapa",N216))),"SIM","")</f>
        <v/>
      </c>
      <c r="Q216" s="92">
        <f>IF(AND(ISNUMBER(SEARCH("Espeto",N216)),ISNUMBER(SEARCH("Tatuapé",N216))),"SIM","")</f>
        <v/>
      </c>
      <c r="R216" s="92">
        <f>IF(AND(ISNUMBER(SEARCH("Espeto",N216)),ISNUMBER(SEARCH("Pavão",N216))),"SIM","")</f>
        <v/>
      </c>
      <c r="S216" s="92">
        <f>IF(AND(ISNUMBER(SEARCH("Espeto",N216)),ISNUMBER(SEARCH("Chac",N216))),"SIM","")</f>
        <v/>
      </c>
      <c r="T216" s="92">
        <f>IF(AND(ISNUMBER(SEARCH("Espeto",N216)),ISNUMBER(SEARCH("Madalena",N216))),"SIM","")</f>
        <v/>
      </c>
      <c r="U216" s="92">
        <f>IF(AND(ISNUMBER(SEARCH("Espeto",N216)),ISNUMBER(SEARCH("Mariana",N216))),"SIM","")</f>
        <v/>
      </c>
      <c r="V216" s="92">
        <f>IF(AND(ISNUMBER(SEARCH("Espeto",N216)),ISNUMBER(SEARCH("Perdizes",N216))),"SIM","")</f>
        <v/>
      </c>
      <c r="W216" s="92">
        <f>IF(AND(ISNUMBER(SEARCH("Espeto",N216)),ISNUMBER(SEARCH("Santana",N216))),"SIM","")</f>
        <v/>
      </c>
      <c r="X216" s="92">
        <f>IF(AND(ISNUMBER(SEARCH("Espeto",N216)),ISNUMBER(SEARCH("André",N216))),"SIM","")</f>
        <v/>
      </c>
      <c r="Y216" s="92">
        <f>IF(AND(ISNUMBER(SEARCH("Delivery",N216)),ISNUMBER(SEARCH("Carin",N216))),"SIM","")</f>
        <v/>
      </c>
      <c r="Z216" s="92">
        <f>IF(AND(ISNUMBER(SEARCH("Delivery",N216)),ISNUMBER(SEARCH("Lapa",N216))),"SIM","")</f>
        <v/>
      </c>
      <c r="AA216" s="92">
        <f>IF(AND(ISNUMBER(SEARCH("Delivery",N216)),ISNUMBER(SEARCH("Tatuapé",N216))),"SIM","")</f>
        <v/>
      </c>
      <c r="AB216" s="92">
        <f>IF(AND(ISNUMBER(SEARCH("Delivery",N216)),ISNUMBER(SEARCH("Pavão",N216))),"SIM","")</f>
        <v/>
      </c>
      <c r="AC216" s="92">
        <f>IF(AND(ISNUMBER(SEARCH("Delivery",N216)),ISNUMBER(SEARCH("Chac",N216))),"SIM","")</f>
        <v/>
      </c>
      <c r="AD216" s="92">
        <f>IF(AND(ISNUMBER(SEARCH("Delivery",N216)),ISNUMBER(SEARCH("Madalena",N216))),"SIM","")</f>
        <v/>
      </c>
      <c r="AE216" s="99">
        <f>IF(AND(ISNUMBER(SEARCH("Delivery",N216)),ISNUMBER(SEARCH("Mariana",N216))),"SIM","")</f>
        <v/>
      </c>
      <c r="AF216" s="99">
        <f>IF(AND(ISNUMBER(SEARCH("Delivery",N216)),ISNUMBER(SEARCH("Perdizes",N216))),"SIM","")</f>
        <v/>
      </c>
      <c r="AG216" s="99">
        <f>IF(AND(ISNUMBER(SEARCH("Delivery",N216)),ISNUMBER(SEARCH("Santana",N216))),"SIM","")</f>
        <v/>
      </c>
      <c r="AH216" s="99">
        <f>IF(AND(ISNUMBER(SEARCH("Delivery",N216)),ISNUMBER(SEARCH("André",N216))),"SIM","")</f>
        <v/>
      </c>
      <c r="AI216" s="99">
        <f>IF(ISNUMBER(SEARCH("Interlagos",N216)),"SIM","")</f>
        <v/>
      </c>
      <c r="AJ216" s="99">
        <f>IF(ISNUMBER(SEARCH("Quiosque",N216)),"SIM","")</f>
        <v/>
      </c>
      <c r="AK216" s="101" t="n"/>
    </row>
    <row r="217">
      <c r="A217" s="88" t="inlineStr">
        <is>
          <t>Protheus</t>
        </is>
      </c>
      <c r="B217" s="96" t="inlineStr">
        <is>
          <t>001274</t>
        </is>
      </c>
      <c r="C217" s="97">
        <f>IF(B217="—","—",IFERROR(VLOOKUP(B217,_Protheus_Cadastro!$A:$B,2,FALSE),"—"))</f>
        <v/>
      </c>
      <c r="D217" s="98">
        <f>IF(B217="—",IFERROR(INDEX(_ZIG_Cadastro!$D:$D,MATCH(H217,_ZIG_Cadastro!$A:$A,0)),"Produto"),IFERROR(VLOOKUP(B217,_Protheus_Cadastro!$A:$C,3,FALSE),"—"))</f>
        <v/>
      </c>
      <c r="E217" s="98">
        <f>IF(B217="—","—",IFERROR(VLOOKUP(B217,_Protheus_Cadastro!$A:$D,4,FALSE),"—"))</f>
        <v/>
      </c>
      <c r="F217" s="98">
        <f>IF(ISERROR(VLOOKUP(B217,'Estrutura Protheus'!A:A,1,FALSE)),"Não","Sim")</f>
        <v/>
      </c>
      <c r="G217" s="99">
        <f>IFERROR(INDEX(_Protheus_Cadastro!$H:$H,MATCH(B217,_Protheus_Cadastro!$A:$A,0)),"—")</f>
        <v/>
      </c>
      <c r="H217" s="211">
        <f>IFERROR(INDEX(_ZIG_Precos!$D:$D,MATCH(I217,_ZIG_Precos!$F:$F,0)),"—")</f>
        <v/>
      </c>
      <c r="I217" s="103">
        <f>IFERROR(VLOOKUP(B217,_Protheus_Cadastro!$A:$I,9,FALSE),"—")</f>
        <v/>
      </c>
      <c r="J217" s="101">
        <f>IFERROR(INDEX(_ZIG_Cadastro!$B:$B,MATCH(I217,_ZIG_Cadastro!$A:$A,0)),IFERROR(INDEX(_Entradas_ZIG!$B:$B,MATCH(I217,_Entradas_ZIG!$C:$C,0)),"—"))</f>
        <v/>
      </c>
      <c r="K217" s="101">
        <f>IFERROR(INDEX(_ZIG_Cadastro!$C:$C,MATCH(I217,_ZIG_Cadastro!$A:$A,0)),IFERROR(INDEX(_Entradas_ZIG!$D:$D,MATCH(I217,_Entradas_ZIG!$C:$C,0)),"—"))</f>
        <v/>
      </c>
      <c r="L217" s="99">
        <f>IF(I217="","Sem SKU ZIG",IF(I217="—","Sem SKU ZIG",IF(NOT(ISERROR(MATCH(I217,_ZIG_Cadastro!$A:$A,0))),IF(EXACT(UPPER(TRIM(C217)),UPPER(TRIM(INDEX(_ZIG_Cadastro!$B:$B,MATCH(I217,_ZIG_Cadastro!$A:$A,0))))),"OK","Atencao - Nome diverge"),IF(NOT(ISERROR(MATCH(I217,_Entradas_ZIG!$C:$C,0))),"OK","Erro - SKU nao encontrado"))))</f>
        <v/>
      </c>
      <c r="M217" s="99">
        <f>IFERROR(INDEX(_ZIG_Cadastro!$G:$G,MATCH(I217,_ZIG_Cadastro!$A:$A,0)),IF(NOT(ISERROR(MATCH(I217,_Entradas_ZIG!$C:$C,0))),"Ativo","—"))</f>
        <v/>
      </c>
      <c r="N217" s="102">
        <f>IFERROR(INDEX(_ZIG_Cadastro!$E:$E,MATCH(I217,_ZIG_Cadastro!$A:$A,0)),IFERROR(INDEX(_Entradas_ZIG!$F:$F,MATCH(I217,_Entradas_ZIG!$C:$C,0)),"—"))</f>
        <v/>
      </c>
      <c r="O217" s="99">
        <f>IF(AND(ISNUMBER(SEARCH("Espeto",N217)),ISNUMBER(SEARCH("Carin",N217))),"SIM","")</f>
        <v/>
      </c>
      <c r="P217" s="99">
        <f>IF(AND(ISNUMBER(SEARCH("Espeto",N217)),ISNUMBER(SEARCH("Lapa",N217))),"SIM","")</f>
        <v/>
      </c>
      <c r="Q217" s="99">
        <f>IF(AND(ISNUMBER(SEARCH("Espeto",N217)),ISNUMBER(SEARCH("Tatuapé",N217))),"SIM","")</f>
        <v/>
      </c>
      <c r="R217" s="99">
        <f>IF(AND(ISNUMBER(SEARCH("Espeto",N217)),ISNUMBER(SEARCH("Pavão",N217))),"SIM","")</f>
        <v/>
      </c>
      <c r="S217" s="99">
        <f>IF(AND(ISNUMBER(SEARCH("Espeto",N217)),ISNUMBER(SEARCH("Chac",N217))),"SIM","")</f>
        <v/>
      </c>
      <c r="T217" s="99">
        <f>IF(AND(ISNUMBER(SEARCH("Espeto",N217)),ISNUMBER(SEARCH("Madalena",N217))),"SIM","")</f>
        <v/>
      </c>
      <c r="U217" s="99">
        <f>IF(AND(ISNUMBER(SEARCH("Espeto",N217)),ISNUMBER(SEARCH("Mariana",N217))),"SIM","")</f>
        <v/>
      </c>
      <c r="V217" s="99">
        <f>IF(AND(ISNUMBER(SEARCH("Espeto",N217)),ISNUMBER(SEARCH("Perdizes",N217))),"SIM","")</f>
        <v/>
      </c>
      <c r="W217" s="99">
        <f>IF(AND(ISNUMBER(SEARCH("Espeto",N217)),ISNUMBER(SEARCH("Santana",N217))),"SIM","")</f>
        <v/>
      </c>
      <c r="X217" s="99">
        <f>IF(AND(ISNUMBER(SEARCH("Espeto",N217)),ISNUMBER(SEARCH("André",N217))),"SIM","")</f>
        <v/>
      </c>
      <c r="Y217" s="99">
        <f>IF(AND(ISNUMBER(SEARCH("Delivery",N217)),ISNUMBER(SEARCH("Carin",N217))),"SIM","")</f>
        <v/>
      </c>
      <c r="Z217" s="99">
        <f>IF(AND(ISNUMBER(SEARCH("Delivery",N217)),ISNUMBER(SEARCH("Lapa",N217))),"SIM","")</f>
        <v/>
      </c>
      <c r="AA217" s="99">
        <f>IF(AND(ISNUMBER(SEARCH("Delivery",N217)),ISNUMBER(SEARCH("Tatuapé",N217))),"SIM","")</f>
        <v/>
      </c>
      <c r="AB217" s="99">
        <f>IF(AND(ISNUMBER(SEARCH("Delivery",N217)),ISNUMBER(SEARCH("Pavão",N217))),"SIM","")</f>
        <v/>
      </c>
      <c r="AC217" s="99">
        <f>IF(AND(ISNUMBER(SEARCH("Delivery",N217)),ISNUMBER(SEARCH("Chac",N217))),"SIM","")</f>
        <v/>
      </c>
      <c r="AD217" s="99">
        <f>IF(AND(ISNUMBER(SEARCH("Delivery",N217)),ISNUMBER(SEARCH("Madalena",N217))),"SIM","")</f>
        <v/>
      </c>
      <c r="AE217" s="92">
        <f>IF(AND(ISNUMBER(SEARCH("Delivery",N217)),ISNUMBER(SEARCH("Mariana",N217))),"SIM","")</f>
        <v/>
      </c>
      <c r="AF217" s="92">
        <f>IF(AND(ISNUMBER(SEARCH("Delivery",N217)),ISNUMBER(SEARCH("Perdizes",N217))),"SIM","")</f>
        <v/>
      </c>
      <c r="AG217" s="92">
        <f>IF(AND(ISNUMBER(SEARCH("Delivery",N217)),ISNUMBER(SEARCH("Santana",N217))),"SIM","")</f>
        <v/>
      </c>
      <c r="AH217" s="92">
        <f>IF(AND(ISNUMBER(SEARCH("Delivery",N217)),ISNUMBER(SEARCH("André",N217))),"SIM","")</f>
        <v/>
      </c>
      <c r="AI217" s="92">
        <f>IF(ISNUMBER(SEARCH("Interlagos",N217)),"SIM","")</f>
        <v/>
      </c>
      <c r="AJ217" s="92">
        <f>IF(ISNUMBER(SEARCH("Quiosque",N217)),"SIM","")</f>
        <v/>
      </c>
      <c r="AK217" s="93" t="n"/>
    </row>
    <row r="218">
      <c r="A218" s="88" t="inlineStr">
        <is>
          <t>Protheus</t>
        </is>
      </c>
      <c r="B218" s="89" t="inlineStr">
        <is>
          <t>001275</t>
        </is>
      </c>
      <c r="C218" s="90">
        <f>IF(B218="—","—",IFERROR(VLOOKUP(B218,_Protheus_Cadastro!$A:$B,2,FALSE),"—"))</f>
        <v/>
      </c>
      <c r="D218" s="91">
        <f>IF(B218="—",IFERROR(INDEX(_ZIG_Cadastro!$D:$D,MATCH(H218,_ZIG_Cadastro!$A:$A,0)),"Produto"),IFERROR(VLOOKUP(B218,_Protheus_Cadastro!$A:$C,3,FALSE),"—"))</f>
        <v/>
      </c>
      <c r="E218" s="91">
        <f>IF(B218="—","—",IFERROR(VLOOKUP(B218,_Protheus_Cadastro!$A:$D,4,FALSE),"—"))</f>
        <v/>
      </c>
      <c r="F218" s="91">
        <f>IF(ISERROR(VLOOKUP(B218,'Estrutura Protheus'!A:A,1,FALSE)),"Não","Sim")</f>
        <v/>
      </c>
      <c r="G218" s="92">
        <f>IFERROR(INDEX(_Protheus_Cadastro!$H:$H,MATCH(B218,_Protheus_Cadastro!$A:$A,0)),"—")</f>
        <v/>
      </c>
      <c r="H218" s="210">
        <f>IFERROR(INDEX(_ZIG_Precos!$D:$D,MATCH(I218,_ZIG_Precos!$F:$F,0)),"—")</f>
        <v/>
      </c>
      <c r="I218" s="95">
        <f>IFERROR(VLOOKUP(B218,_Protheus_Cadastro!$A:$I,9,FALSE),"—")</f>
        <v/>
      </c>
      <c r="J218" s="93">
        <f>IFERROR(INDEX(_ZIG_Cadastro!$B:$B,MATCH(I218,_ZIG_Cadastro!$A:$A,0)),IFERROR(INDEX(_Entradas_ZIG!$B:$B,MATCH(I218,_Entradas_ZIG!$C:$C,0)),"—"))</f>
        <v/>
      </c>
      <c r="K218" s="93">
        <f>IFERROR(INDEX(_ZIG_Cadastro!$C:$C,MATCH(I218,_ZIG_Cadastro!$A:$A,0)),IFERROR(INDEX(_Entradas_ZIG!$D:$D,MATCH(I218,_Entradas_ZIG!$C:$C,0)),"—"))</f>
        <v/>
      </c>
      <c r="L218" s="92">
        <f>IF(I218="","Sem SKU ZIG",IF(I218="—","Sem SKU ZIG",IF(NOT(ISERROR(MATCH(I218,_ZIG_Cadastro!$A:$A,0))),IF(EXACT(UPPER(TRIM(C218)),UPPER(TRIM(INDEX(_ZIG_Cadastro!$B:$B,MATCH(I218,_ZIG_Cadastro!$A:$A,0))))),"OK","Atencao - Nome diverge"),IF(NOT(ISERROR(MATCH(I218,_Entradas_ZIG!$C:$C,0))),"OK","Erro - SKU nao encontrado"))))</f>
        <v/>
      </c>
      <c r="M218" s="92">
        <f>IFERROR(INDEX(_ZIG_Cadastro!$G:$G,MATCH(I218,_ZIG_Cadastro!$A:$A,0)),IF(NOT(ISERROR(MATCH(I218,_Entradas_ZIG!$C:$C,0))),"Ativo","—"))</f>
        <v/>
      </c>
      <c r="N218" s="94">
        <f>IFERROR(INDEX(_ZIG_Cadastro!$E:$E,MATCH(I218,_ZIG_Cadastro!$A:$A,0)),IFERROR(INDEX(_Entradas_ZIG!$F:$F,MATCH(I218,_Entradas_ZIG!$C:$C,0)),"—"))</f>
        <v/>
      </c>
      <c r="O218" s="92">
        <f>IF(AND(ISNUMBER(SEARCH("Espeto",N218)),ISNUMBER(SEARCH("Carin",N218))),"SIM","")</f>
        <v/>
      </c>
      <c r="P218" s="92">
        <f>IF(AND(ISNUMBER(SEARCH("Espeto",N218)),ISNUMBER(SEARCH("Lapa",N218))),"SIM","")</f>
        <v/>
      </c>
      <c r="Q218" s="92">
        <f>IF(AND(ISNUMBER(SEARCH("Espeto",N218)),ISNUMBER(SEARCH("Tatuapé",N218))),"SIM","")</f>
        <v/>
      </c>
      <c r="R218" s="92">
        <f>IF(AND(ISNUMBER(SEARCH("Espeto",N218)),ISNUMBER(SEARCH("Pavão",N218))),"SIM","")</f>
        <v/>
      </c>
      <c r="S218" s="92">
        <f>IF(AND(ISNUMBER(SEARCH("Espeto",N218)),ISNUMBER(SEARCH("Chac",N218))),"SIM","")</f>
        <v/>
      </c>
      <c r="T218" s="92">
        <f>IF(AND(ISNUMBER(SEARCH("Espeto",N218)),ISNUMBER(SEARCH("Madalena",N218))),"SIM","")</f>
        <v/>
      </c>
      <c r="U218" s="92">
        <f>IF(AND(ISNUMBER(SEARCH("Espeto",N218)),ISNUMBER(SEARCH("Mariana",N218))),"SIM","")</f>
        <v/>
      </c>
      <c r="V218" s="92">
        <f>IF(AND(ISNUMBER(SEARCH("Espeto",N218)),ISNUMBER(SEARCH("Perdizes",N218))),"SIM","")</f>
        <v/>
      </c>
      <c r="W218" s="92">
        <f>IF(AND(ISNUMBER(SEARCH("Espeto",N218)),ISNUMBER(SEARCH("Santana",N218))),"SIM","")</f>
        <v/>
      </c>
      <c r="X218" s="92">
        <f>IF(AND(ISNUMBER(SEARCH("Espeto",N218)),ISNUMBER(SEARCH("André",N218))),"SIM","")</f>
        <v/>
      </c>
      <c r="Y218" s="92">
        <f>IF(AND(ISNUMBER(SEARCH("Delivery",N218)),ISNUMBER(SEARCH("Carin",N218))),"SIM","")</f>
        <v/>
      </c>
      <c r="Z218" s="92">
        <f>IF(AND(ISNUMBER(SEARCH("Delivery",N218)),ISNUMBER(SEARCH("Lapa",N218))),"SIM","")</f>
        <v/>
      </c>
      <c r="AA218" s="92">
        <f>IF(AND(ISNUMBER(SEARCH("Delivery",N218)),ISNUMBER(SEARCH("Tatuapé",N218))),"SIM","")</f>
        <v/>
      </c>
      <c r="AB218" s="92">
        <f>IF(AND(ISNUMBER(SEARCH("Delivery",N218)),ISNUMBER(SEARCH("Pavão",N218))),"SIM","")</f>
        <v/>
      </c>
      <c r="AC218" s="92">
        <f>IF(AND(ISNUMBER(SEARCH("Delivery",N218)),ISNUMBER(SEARCH("Chac",N218))),"SIM","")</f>
        <v/>
      </c>
      <c r="AD218" s="92">
        <f>IF(AND(ISNUMBER(SEARCH("Delivery",N218)),ISNUMBER(SEARCH("Madalena",N218))),"SIM","")</f>
        <v/>
      </c>
      <c r="AE218" s="99">
        <f>IF(AND(ISNUMBER(SEARCH("Delivery",N218)),ISNUMBER(SEARCH("Mariana",N218))),"SIM","")</f>
        <v/>
      </c>
      <c r="AF218" s="99">
        <f>IF(AND(ISNUMBER(SEARCH("Delivery",N218)),ISNUMBER(SEARCH("Perdizes",N218))),"SIM","")</f>
        <v/>
      </c>
      <c r="AG218" s="99">
        <f>IF(AND(ISNUMBER(SEARCH("Delivery",N218)),ISNUMBER(SEARCH("Santana",N218))),"SIM","")</f>
        <v/>
      </c>
      <c r="AH218" s="99">
        <f>IF(AND(ISNUMBER(SEARCH("Delivery",N218)),ISNUMBER(SEARCH("André",N218))),"SIM","")</f>
        <v/>
      </c>
      <c r="AI218" s="99">
        <f>IF(ISNUMBER(SEARCH("Interlagos",N218)),"SIM","")</f>
        <v/>
      </c>
      <c r="AJ218" s="99">
        <f>IF(ISNUMBER(SEARCH("Quiosque",N218)),"SIM","")</f>
        <v/>
      </c>
      <c r="AK218" s="101" t="n"/>
    </row>
    <row r="219">
      <c r="A219" s="88" t="inlineStr">
        <is>
          <t>Protheus</t>
        </is>
      </c>
      <c r="B219" s="96" t="inlineStr">
        <is>
          <t>001276</t>
        </is>
      </c>
      <c r="C219" s="97">
        <f>IF(B219="—","—",IFERROR(VLOOKUP(B219,_Protheus_Cadastro!$A:$B,2,FALSE),"—"))</f>
        <v/>
      </c>
      <c r="D219" s="98">
        <f>IF(B219="—",IFERROR(INDEX(_ZIG_Cadastro!$D:$D,MATCH(H219,_ZIG_Cadastro!$A:$A,0)),"Produto"),IFERROR(VLOOKUP(B219,_Protheus_Cadastro!$A:$C,3,FALSE),"—"))</f>
        <v/>
      </c>
      <c r="E219" s="98">
        <f>IF(B219="—","—",IFERROR(VLOOKUP(B219,_Protheus_Cadastro!$A:$D,4,FALSE),"—"))</f>
        <v/>
      </c>
      <c r="F219" s="98">
        <f>IF(ISERROR(VLOOKUP(B219,'Estrutura Protheus'!A:A,1,FALSE)),"Não","Sim")</f>
        <v/>
      </c>
      <c r="G219" s="99">
        <f>IFERROR(INDEX(_Protheus_Cadastro!$H:$H,MATCH(B219,_Protheus_Cadastro!$A:$A,0)),"—")</f>
        <v/>
      </c>
      <c r="H219" s="211">
        <f>IFERROR(INDEX(_ZIG_Precos!$D:$D,MATCH(I219,_ZIG_Precos!$F:$F,0)),"—")</f>
        <v/>
      </c>
      <c r="I219" s="103">
        <f>IFERROR(VLOOKUP(B219,_Protheus_Cadastro!$A:$I,9,FALSE),"—")</f>
        <v/>
      </c>
      <c r="J219" s="101">
        <f>IFERROR(INDEX(_ZIG_Cadastro!$B:$B,MATCH(I219,_ZIG_Cadastro!$A:$A,0)),IFERROR(INDEX(_Entradas_ZIG!$B:$B,MATCH(I219,_Entradas_ZIG!$C:$C,0)),"—"))</f>
        <v/>
      </c>
      <c r="K219" s="101">
        <f>IFERROR(INDEX(_ZIG_Cadastro!$C:$C,MATCH(I219,_ZIG_Cadastro!$A:$A,0)),IFERROR(INDEX(_Entradas_ZIG!$D:$D,MATCH(I219,_Entradas_ZIG!$C:$C,0)),"—"))</f>
        <v/>
      </c>
      <c r="L219" s="99">
        <f>IF(I219="","Sem SKU ZIG",IF(I219="—","Sem SKU ZIG",IF(NOT(ISERROR(MATCH(I219,_ZIG_Cadastro!$A:$A,0))),IF(EXACT(UPPER(TRIM(C219)),UPPER(TRIM(INDEX(_ZIG_Cadastro!$B:$B,MATCH(I219,_ZIG_Cadastro!$A:$A,0))))),"OK","Atencao - Nome diverge"),IF(NOT(ISERROR(MATCH(I219,_Entradas_ZIG!$C:$C,0))),"OK","Erro - SKU nao encontrado"))))</f>
        <v/>
      </c>
      <c r="M219" s="99">
        <f>IFERROR(INDEX(_ZIG_Cadastro!$G:$G,MATCH(I219,_ZIG_Cadastro!$A:$A,0)),IF(NOT(ISERROR(MATCH(I219,_Entradas_ZIG!$C:$C,0))),"Ativo","—"))</f>
        <v/>
      </c>
      <c r="N219" s="102">
        <f>IFERROR(INDEX(_ZIG_Cadastro!$E:$E,MATCH(I219,_ZIG_Cadastro!$A:$A,0)),IFERROR(INDEX(_Entradas_ZIG!$F:$F,MATCH(I219,_Entradas_ZIG!$C:$C,0)),"—"))</f>
        <v/>
      </c>
      <c r="O219" s="99">
        <f>IF(AND(ISNUMBER(SEARCH("Espeto",N219)),ISNUMBER(SEARCH("Carin",N219))),"SIM","")</f>
        <v/>
      </c>
      <c r="P219" s="99">
        <f>IF(AND(ISNUMBER(SEARCH("Espeto",N219)),ISNUMBER(SEARCH("Lapa",N219))),"SIM","")</f>
        <v/>
      </c>
      <c r="Q219" s="99">
        <f>IF(AND(ISNUMBER(SEARCH("Espeto",N219)),ISNUMBER(SEARCH("Tatuapé",N219))),"SIM","")</f>
        <v/>
      </c>
      <c r="R219" s="99">
        <f>IF(AND(ISNUMBER(SEARCH("Espeto",N219)),ISNUMBER(SEARCH("Pavão",N219))),"SIM","")</f>
        <v/>
      </c>
      <c r="S219" s="99">
        <f>IF(AND(ISNUMBER(SEARCH("Espeto",N219)),ISNUMBER(SEARCH("Chac",N219))),"SIM","")</f>
        <v/>
      </c>
      <c r="T219" s="99">
        <f>IF(AND(ISNUMBER(SEARCH("Espeto",N219)),ISNUMBER(SEARCH("Madalena",N219))),"SIM","")</f>
        <v/>
      </c>
      <c r="U219" s="99">
        <f>IF(AND(ISNUMBER(SEARCH("Espeto",N219)),ISNUMBER(SEARCH("Mariana",N219))),"SIM","")</f>
        <v/>
      </c>
      <c r="V219" s="99">
        <f>IF(AND(ISNUMBER(SEARCH("Espeto",N219)),ISNUMBER(SEARCH("Perdizes",N219))),"SIM","")</f>
        <v/>
      </c>
      <c r="W219" s="99">
        <f>IF(AND(ISNUMBER(SEARCH("Espeto",N219)),ISNUMBER(SEARCH("Santana",N219))),"SIM","")</f>
        <v/>
      </c>
      <c r="X219" s="99">
        <f>IF(AND(ISNUMBER(SEARCH("Espeto",N219)),ISNUMBER(SEARCH("André",N219))),"SIM","")</f>
        <v/>
      </c>
      <c r="Y219" s="99">
        <f>IF(AND(ISNUMBER(SEARCH("Delivery",N219)),ISNUMBER(SEARCH("Carin",N219))),"SIM","")</f>
        <v/>
      </c>
      <c r="Z219" s="99">
        <f>IF(AND(ISNUMBER(SEARCH("Delivery",N219)),ISNUMBER(SEARCH("Lapa",N219))),"SIM","")</f>
        <v/>
      </c>
      <c r="AA219" s="99">
        <f>IF(AND(ISNUMBER(SEARCH("Delivery",N219)),ISNUMBER(SEARCH("Tatuapé",N219))),"SIM","")</f>
        <v/>
      </c>
      <c r="AB219" s="99">
        <f>IF(AND(ISNUMBER(SEARCH("Delivery",N219)),ISNUMBER(SEARCH("Pavão",N219))),"SIM","")</f>
        <v/>
      </c>
      <c r="AC219" s="99">
        <f>IF(AND(ISNUMBER(SEARCH("Delivery",N219)),ISNUMBER(SEARCH("Chac",N219))),"SIM","")</f>
        <v/>
      </c>
      <c r="AD219" s="99">
        <f>IF(AND(ISNUMBER(SEARCH("Delivery",N219)),ISNUMBER(SEARCH("Madalena",N219))),"SIM","")</f>
        <v/>
      </c>
      <c r="AE219" s="92">
        <f>IF(AND(ISNUMBER(SEARCH("Delivery",N219)),ISNUMBER(SEARCH("Mariana",N219))),"SIM","")</f>
        <v/>
      </c>
      <c r="AF219" s="92">
        <f>IF(AND(ISNUMBER(SEARCH("Delivery",N219)),ISNUMBER(SEARCH("Perdizes",N219))),"SIM","")</f>
        <v/>
      </c>
      <c r="AG219" s="92">
        <f>IF(AND(ISNUMBER(SEARCH("Delivery",N219)),ISNUMBER(SEARCH("Santana",N219))),"SIM","")</f>
        <v/>
      </c>
      <c r="AH219" s="92">
        <f>IF(AND(ISNUMBER(SEARCH("Delivery",N219)),ISNUMBER(SEARCH("André",N219))),"SIM","")</f>
        <v/>
      </c>
      <c r="AI219" s="92">
        <f>IF(ISNUMBER(SEARCH("Interlagos",N219)),"SIM","")</f>
        <v/>
      </c>
      <c r="AJ219" s="92">
        <f>IF(ISNUMBER(SEARCH("Quiosque",N219)),"SIM","")</f>
        <v/>
      </c>
      <c r="AK219" s="93" t="n"/>
    </row>
    <row r="220">
      <c r="A220" s="88" t="inlineStr">
        <is>
          <t>Protheus</t>
        </is>
      </c>
      <c r="B220" s="89" t="inlineStr">
        <is>
          <t>001277</t>
        </is>
      </c>
      <c r="C220" s="90">
        <f>IF(B220="—","—",IFERROR(VLOOKUP(B220,_Protheus_Cadastro!$A:$B,2,FALSE),"—"))</f>
        <v/>
      </c>
      <c r="D220" s="91">
        <f>IF(B220="—",IFERROR(INDEX(_ZIG_Cadastro!$D:$D,MATCH(H220,_ZIG_Cadastro!$A:$A,0)),"Produto"),IFERROR(VLOOKUP(B220,_Protheus_Cadastro!$A:$C,3,FALSE),"—"))</f>
        <v/>
      </c>
      <c r="E220" s="91">
        <f>IF(B220="—","—",IFERROR(VLOOKUP(B220,_Protheus_Cadastro!$A:$D,4,FALSE),"—"))</f>
        <v/>
      </c>
      <c r="F220" s="91">
        <f>IF(ISERROR(VLOOKUP(B220,'Estrutura Protheus'!A:A,1,FALSE)),"Não","Sim")</f>
        <v/>
      </c>
      <c r="G220" s="92">
        <f>IFERROR(INDEX(_Protheus_Cadastro!$H:$H,MATCH(B220,_Protheus_Cadastro!$A:$A,0)),"—")</f>
        <v/>
      </c>
      <c r="H220" s="210">
        <f>IFERROR(INDEX(_ZIG_Precos!$D:$D,MATCH(I220,_ZIG_Precos!$F:$F,0)),"—")</f>
        <v/>
      </c>
      <c r="I220" s="95">
        <f>IFERROR(VLOOKUP(B220,_Protheus_Cadastro!$A:$I,9,FALSE),"—")</f>
        <v/>
      </c>
      <c r="J220" s="93">
        <f>IFERROR(INDEX(_ZIG_Cadastro!$B:$B,MATCH(I220,_ZIG_Cadastro!$A:$A,0)),IFERROR(INDEX(_Entradas_ZIG!$B:$B,MATCH(I220,_Entradas_ZIG!$C:$C,0)),"—"))</f>
        <v/>
      </c>
      <c r="K220" s="93">
        <f>IFERROR(INDEX(_ZIG_Cadastro!$C:$C,MATCH(I220,_ZIG_Cadastro!$A:$A,0)),IFERROR(INDEX(_Entradas_ZIG!$D:$D,MATCH(I220,_Entradas_ZIG!$C:$C,0)),"—"))</f>
        <v/>
      </c>
      <c r="L220" s="92">
        <f>IF(I220="","Sem SKU ZIG",IF(I220="—","Sem SKU ZIG",IF(NOT(ISERROR(MATCH(I220,_ZIG_Cadastro!$A:$A,0))),IF(EXACT(UPPER(TRIM(C220)),UPPER(TRIM(INDEX(_ZIG_Cadastro!$B:$B,MATCH(I220,_ZIG_Cadastro!$A:$A,0))))),"OK","Atencao - Nome diverge"),IF(NOT(ISERROR(MATCH(I220,_Entradas_ZIG!$C:$C,0))),"OK","Erro - SKU nao encontrado"))))</f>
        <v/>
      </c>
      <c r="M220" s="92">
        <f>IFERROR(INDEX(_ZIG_Cadastro!$G:$G,MATCH(I220,_ZIG_Cadastro!$A:$A,0)),IF(NOT(ISERROR(MATCH(I220,_Entradas_ZIG!$C:$C,0))),"Ativo","—"))</f>
        <v/>
      </c>
      <c r="N220" s="94">
        <f>IFERROR(INDEX(_ZIG_Cadastro!$E:$E,MATCH(I220,_ZIG_Cadastro!$A:$A,0)),IFERROR(INDEX(_Entradas_ZIG!$F:$F,MATCH(I220,_Entradas_ZIG!$C:$C,0)),"—"))</f>
        <v/>
      </c>
      <c r="O220" s="92">
        <f>IF(AND(ISNUMBER(SEARCH("Espeto",N220)),ISNUMBER(SEARCH("Carin",N220))),"SIM","")</f>
        <v/>
      </c>
      <c r="P220" s="92">
        <f>IF(AND(ISNUMBER(SEARCH("Espeto",N220)),ISNUMBER(SEARCH("Lapa",N220))),"SIM","")</f>
        <v/>
      </c>
      <c r="Q220" s="92">
        <f>IF(AND(ISNUMBER(SEARCH("Espeto",N220)),ISNUMBER(SEARCH("Tatuapé",N220))),"SIM","")</f>
        <v/>
      </c>
      <c r="R220" s="92">
        <f>IF(AND(ISNUMBER(SEARCH("Espeto",N220)),ISNUMBER(SEARCH("Pavão",N220))),"SIM","")</f>
        <v/>
      </c>
      <c r="S220" s="92">
        <f>IF(AND(ISNUMBER(SEARCH("Espeto",N220)),ISNUMBER(SEARCH("Chac",N220))),"SIM","")</f>
        <v/>
      </c>
      <c r="T220" s="92">
        <f>IF(AND(ISNUMBER(SEARCH("Espeto",N220)),ISNUMBER(SEARCH("Madalena",N220))),"SIM","")</f>
        <v/>
      </c>
      <c r="U220" s="92">
        <f>IF(AND(ISNUMBER(SEARCH("Espeto",N220)),ISNUMBER(SEARCH("Mariana",N220))),"SIM","")</f>
        <v/>
      </c>
      <c r="V220" s="92">
        <f>IF(AND(ISNUMBER(SEARCH("Espeto",N220)),ISNUMBER(SEARCH("Perdizes",N220))),"SIM","")</f>
        <v/>
      </c>
      <c r="W220" s="92">
        <f>IF(AND(ISNUMBER(SEARCH("Espeto",N220)),ISNUMBER(SEARCH("Santana",N220))),"SIM","")</f>
        <v/>
      </c>
      <c r="X220" s="92">
        <f>IF(AND(ISNUMBER(SEARCH("Espeto",N220)),ISNUMBER(SEARCH("André",N220))),"SIM","")</f>
        <v/>
      </c>
      <c r="Y220" s="92">
        <f>IF(AND(ISNUMBER(SEARCH("Delivery",N220)),ISNUMBER(SEARCH("Carin",N220))),"SIM","")</f>
        <v/>
      </c>
      <c r="Z220" s="92">
        <f>IF(AND(ISNUMBER(SEARCH("Delivery",N220)),ISNUMBER(SEARCH("Lapa",N220))),"SIM","")</f>
        <v/>
      </c>
      <c r="AA220" s="92">
        <f>IF(AND(ISNUMBER(SEARCH("Delivery",N220)),ISNUMBER(SEARCH("Tatuapé",N220))),"SIM","")</f>
        <v/>
      </c>
      <c r="AB220" s="92">
        <f>IF(AND(ISNUMBER(SEARCH("Delivery",N220)),ISNUMBER(SEARCH("Pavão",N220))),"SIM","")</f>
        <v/>
      </c>
      <c r="AC220" s="92">
        <f>IF(AND(ISNUMBER(SEARCH("Delivery",N220)),ISNUMBER(SEARCH("Chac",N220))),"SIM","")</f>
        <v/>
      </c>
      <c r="AD220" s="92">
        <f>IF(AND(ISNUMBER(SEARCH("Delivery",N220)),ISNUMBER(SEARCH("Madalena",N220))),"SIM","")</f>
        <v/>
      </c>
      <c r="AE220" s="99">
        <f>IF(AND(ISNUMBER(SEARCH("Delivery",N220)),ISNUMBER(SEARCH("Mariana",N220))),"SIM","")</f>
        <v/>
      </c>
      <c r="AF220" s="99">
        <f>IF(AND(ISNUMBER(SEARCH("Delivery",N220)),ISNUMBER(SEARCH("Perdizes",N220))),"SIM","")</f>
        <v/>
      </c>
      <c r="AG220" s="99">
        <f>IF(AND(ISNUMBER(SEARCH("Delivery",N220)),ISNUMBER(SEARCH("Santana",N220))),"SIM","")</f>
        <v/>
      </c>
      <c r="AH220" s="99">
        <f>IF(AND(ISNUMBER(SEARCH("Delivery",N220)),ISNUMBER(SEARCH("André",N220))),"SIM","")</f>
        <v/>
      </c>
      <c r="AI220" s="99">
        <f>IF(ISNUMBER(SEARCH("Interlagos",N220)),"SIM","")</f>
        <v/>
      </c>
      <c r="AJ220" s="99">
        <f>IF(ISNUMBER(SEARCH("Quiosque",N220)),"SIM","")</f>
        <v/>
      </c>
      <c r="AK220" s="101" t="n"/>
    </row>
    <row r="221">
      <c r="A221" s="88" t="inlineStr">
        <is>
          <t>Protheus</t>
        </is>
      </c>
      <c r="B221" s="96" t="inlineStr">
        <is>
          <t>001279</t>
        </is>
      </c>
      <c r="C221" s="97">
        <f>IF(B221="—","—",IFERROR(VLOOKUP(B221,_Protheus_Cadastro!$A:$B,2,FALSE),"—"))</f>
        <v/>
      </c>
      <c r="D221" s="98">
        <f>IF(B221="—",IFERROR(INDEX(_ZIG_Cadastro!$D:$D,MATCH(H221,_ZIG_Cadastro!$A:$A,0)),"Produto"),IFERROR(VLOOKUP(B221,_Protheus_Cadastro!$A:$C,3,FALSE),"—"))</f>
        <v/>
      </c>
      <c r="E221" s="98">
        <f>IF(B221="—","—",IFERROR(VLOOKUP(B221,_Protheus_Cadastro!$A:$D,4,FALSE),"—"))</f>
        <v/>
      </c>
      <c r="F221" s="98">
        <f>IF(ISERROR(VLOOKUP(B221,'Estrutura Protheus'!A:A,1,FALSE)),"Não","Sim")</f>
        <v/>
      </c>
      <c r="G221" s="99">
        <f>IFERROR(INDEX(_Protheus_Cadastro!$H:$H,MATCH(B221,_Protheus_Cadastro!$A:$A,0)),"—")</f>
        <v/>
      </c>
      <c r="H221" s="211">
        <f>IFERROR(INDEX(_ZIG_Precos!$D:$D,MATCH(I221,_ZIG_Precos!$F:$F,0)),"—")</f>
        <v/>
      </c>
      <c r="I221" s="103">
        <f>IFERROR(VLOOKUP(B221,_Protheus_Cadastro!$A:$I,9,FALSE),"—")</f>
        <v/>
      </c>
      <c r="J221" s="101">
        <f>IFERROR(INDEX(_ZIG_Cadastro!$B:$B,MATCH(I221,_ZIG_Cadastro!$A:$A,0)),IFERROR(INDEX(_Entradas_ZIG!$B:$B,MATCH(I221,_Entradas_ZIG!$C:$C,0)),"—"))</f>
        <v/>
      </c>
      <c r="K221" s="101">
        <f>IFERROR(INDEX(_ZIG_Cadastro!$C:$C,MATCH(I221,_ZIG_Cadastro!$A:$A,0)),IFERROR(INDEX(_Entradas_ZIG!$D:$D,MATCH(I221,_Entradas_ZIG!$C:$C,0)),"—"))</f>
        <v/>
      </c>
      <c r="L221" s="99">
        <f>IF(I221="","Sem SKU ZIG",IF(I221="—","Sem SKU ZIG",IF(NOT(ISERROR(MATCH(I221,_ZIG_Cadastro!$A:$A,0))),IF(EXACT(UPPER(TRIM(C221)),UPPER(TRIM(INDEX(_ZIG_Cadastro!$B:$B,MATCH(I221,_ZIG_Cadastro!$A:$A,0))))),"OK","Atencao - Nome diverge"),IF(NOT(ISERROR(MATCH(I221,_Entradas_ZIG!$C:$C,0))),"OK","Erro - SKU nao encontrado"))))</f>
        <v/>
      </c>
      <c r="M221" s="99">
        <f>IFERROR(INDEX(_ZIG_Cadastro!$G:$G,MATCH(I221,_ZIG_Cadastro!$A:$A,0)),IF(NOT(ISERROR(MATCH(I221,_Entradas_ZIG!$C:$C,0))),"Ativo","—"))</f>
        <v/>
      </c>
      <c r="N221" s="102">
        <f>IFERROR(INDEX(_ZIG_Cadastro!$E:$E,MATCH(I221,_ZIG_Cadastro!$A:$A,0)),IFERROR(INDEX(_Entradas_ZIG!$F:$F,MATCH(I221,_Entradas_ZIG!$C:$C,0)),"—"))</f>
        <v/>
      </c>
      <c r="O221" s="99">
        <f>IF(AND(ISNUMBER(SEARCH("Espeto",N221)),ISNUMBER(SEARCH("Carin",N221))),"SIM","")</f>
        <v/>
      </c>
      <c r="P221" s="99">
        <f>IF(AND(ISNUMBER(SEARCH("Espeto",N221)),ISNUMBER(SEARCH("Lapa",N221))),"SIM","")</f>
        <v/>
      </c>
      <c r="Q221" s="99">
        <f>IF(AND(ISNUMBER(SEARCH("Espeto",N221)),ISNUMBER(SEARCH("Tatuapé",N221))),"SIM","")</f>
        <v/>
      </c>
      <c r="R221" s="99">
        <f>IF(AND(ISNUMBER(SEARCH("Espeto",N221)),ISNUMBER(SEARCH("Pavão",N221))),"SIM","")</f>
        <v/>
      </c>
      <c r="S221" s="99">
        <f>IF(AND(ISNUMBER(SEARCH("Espeto",N221)),ISNUMBER(SEARCH("Chac",N221))),"SIM","")</f>
        <v/>
      </c>
      <c r="T221" s="99">
        <f>IF(AND(ISNUMBER(SEARCH("Espeto",N221)),ISNUMBER(SEARCH("Madalena",N221))),"SIM","")</f>
        <v/>
      </c>
      <c r="U221" s="99">
        <f>IF(AND(ISNUMBER(SEARCH("Espeto",N221)),ISNUMBER(SEARCH("Mariana",N221))),"SIM","")</f>
        <v/>
      </c>
      <c r="V221" s="99">
        <f>IF(AND(ISNUMBER(SEARCH("Espeto",N221)),ISNUMBER(SEARCH("Perdizes",N221))),"SIM","")</f>
        <v/>
      </c>
      <c r="W221" s="99">
        <f>IF(AND(ISNUMBER(SEARCH("Espeto",N221)),ISNUMBER(SEARCH("Santana",N221))),"SIM","")</f>
        <v/>
      </c>
      <c r="X221" s="99">
        <f>IF(AND(ISNUMBER(SEARCH("Espeto",N221)),ISNUMBER(SEARCH("André",N221))),"SIM","")</f>
        <v/>
      </c>
      <c r="Y221" s="99">
        <f>IF(AND(ISNUMBER(SEARCH("Delivery",N221)),ISNUMBER(SEARCH("Carin",N221))),"SIM","")</f>
        <v/>
      </c>
      <c r="Z221" s="99">
        <f>IF(AND(ISNUMBER(SEARCH("Delivery",N221)),ISNUMBER(SEARCH("Lapa",N221))),"SIM","")</f>
        <v/>
      </c>
      <c r="AA221" s="99">
        <f>IF(AND(ISNUMBER(SEARCH("Delivery",N221)),ISNUMBER(SEARCH("Tatuapé",N221))),"SIM","")</f>
        <v/>
      </c>
      <c r="AB221" s="99">
        <f>IF(AND(ISNUMBER(SEARCH("Delivery",N221)),ISNUMBER(SEARCH("Pavão",N221))),"SIM","")</f>
        <v/>
      </c>
      <c r="AC221" s="99">
        <f>IF(AND(ISNUMBER(SEARCH("Delivery",N221)),ISNUMBER(SEARCH("Chac",N221))),"SIM","")</f>
        <v/>
      </c>
      <c r="AD221" s="99">
        <f>IF(AND(ISNUMBER(SEARCH("Delivery",N221)),ISNUMBER(SEARCH("Madalena",N221))),"SIM","")</f>
        <v/>
      </c>
      <c r="AE221" s="92">
        <f>IF(AND(ISNUMBER(SEARCH("Delivery",N221)),ISNUMBER(SEARCH("Mariana",N221))),"SIM","")</f>
        <v/>
      </c>
      <c r="AF221" s="92">
        <f>IF(AND(ISNUMBER(SEARCH("Delivery",N221)),ISNUMBER(SEARCH("Perdizes",N221))),"SIM","")</f>
        <v/>
      </c>
      <c r="AG221" s="92">
        <f>IF(AND(ISNUMBER(SEARCH("Delivery",N221)),ISNUMBER(SEARCH("Santana",N221))),"SIM","")</f>
        <v/>
      </c>
      <c r="AH221" s="92">
        <f>IF(AND(ISNUMBER(SEARCH("Delivery",N221)),ISNUMBER(SEARCH("André",N221))),"SIM","")</f>
        <v/>
      </c>
      <c r="AI221" s="92">
        <f>IF(ISNUMBER(SEARCH("Interlagos",N221)),"SIM","")</f>
        <v/>
      </c>
      <c r="AJ221" s="92">
        <f>IF(ISNUMBER(SEARCH("Quiosque",N221)),"SIM","")</f>
        <v/>
      </c>
      <c r="AK221" s="93" t="n"/>
    </row>
    <row r="222">
      <c r="A222" s="88" t="inlineStr">
        <is>
          <t>Protheus</t>
        </is>
      </c>
      <c r="B222" s="89" t="inlineStr">
        <is>
          <t>010288</t>
        </is>
      </c>
      <c r="C222" s="90">
        <f>IF(B222="—","—",IFERROR(VLOOKUP(B222,_Protheus_Cadastro!$A:$B,2,FALSE),"—"))</f>
        <v/>
      </c>
      <c r="D222" s="91">
        <f>IF(B222="—",IFERROR(INDEX(_ZIG_Cadastro!$D:$D,MATCH(H222,_ZIG_Cadastro!$A:$A,0)),"Produto"),IFERROR(VLOOKUP(B222,_Protheus_Cadastro!$A:$C,3,FALSE),"—"))</f>
        <v/>
      </c>
      <c r="E222" s="91">
        <f>IF(B222="—","—",IFERROR(VLOOKUP(B222,_Protheus_Cadastro!$A:$D,4,FALSE),"—"))</f>
        <v/>
      </c>
      <c r="F222" s="91">
        <f>IF(ISERROR(VLOOKUP(B222,'Estrutura Protheus'!A:A,1,FALSE)),"Não","Sim")</f>
        <v/>
      </c>
      <c r="G222" s="92">
        <f>IFERROR(INDEX(_Protheus_Cadastro!$H:$H,MATCH(B222,_Protheus_Cadastro!$A:$A,0)),"—")</f>
        <v/>
      </c>
      <c r="H222" s="210">
        <f>IFERROR(INDEX(_ZIG_Precos!$D:$D,MATCH(I222,_ZIG_Precos!$F:$F,0)),"—")</f>
        <v/>
      </c>
      <c r="I222" s="95">
        <f>IFERROR(VLOOKUP(B222,_Protheus_Cadastro!$A:$I,9,FALSE),"—")</f>
        <v/>
      </c>
      <c r="J222" s="93">
        <f>IFERROR(INDEX(_ZIG_Cadastro!$B:$B,MATCH(I222,_ZIG_Cadastro!$A:$A,0)),IFERROR(INDEX(_Entradas_ZIG!$B:$B,MATCH(I222,_Entradas_ZIG!$C:$C,0)),"—"))</f>
        <v/>
      </c>
      <c r="K222" s="93">
        <f>IFERROR(INDEX(_ZIG_Cadastro!$C:$C,MATCH(I222,_ZIG_Cadastro!$A:$A,0)),IFERROR(INDEX(_Entradas_ZIG!$D:$D,MATCH(I222,_Entradas_ZIG!$C:$C,0)),"—"))</f>
        <v/>
      </c>
      <c r="L222" s="92">
        <f>IF(I222="","Sem SKU ZIG",IF(I222="—","Sem SKU ZIG",IF(NOT(ISERROR(MATCH(I222,_ZIG_Cadastro!$A:$A,0))),IF(EXACT(UPPER(TRIM(C222)),UPPER(TRIM(INDEX(_ZIG_Cadastro!$B:$B,MATCH(I222,_ZIG_Cadastro!$A:$A,0))))),"OK","Atencao - Nome diverge"),IF(NOT(ISERROR(MATCH(I222,_Entradas_ZIG!$C:$C,0))),"OK","Erro - SKU nao encontrado"))))</f>
        <v/>
      </c>
      <c r="M222" s="92">
        <f>IFERROR(INDEX(_ZIG_Cadastro!$G:$G,MATCH(I222,_ZIG_Cadastro!$A:$A,0)),IF(NOT(ISERROR(MATCH(I222,_Entradas_ZIG!$C:$C,0))),"Ativo","—"))</f>
        <v/>
      </c>
      <c r="N222" s="94">
        <f>IFERROR(INDEX(_ZIG_Cadastro!$E:$E,MATCH(I222,_ZIG_Cadastro!$A:$A,0)),IFERROR(INDEX(_Entradas_ZIG!$F:$F,MATCH(I222,_Entradas_ZIG!$C:$C,0)),"—"))</f>
        <v/>
      </c>
      <c r="O222" s="92">
        <f>IF(AND(ISNUMBER(SEARCH("Espeto",N222)),ISNUMBER(SEARCH("Carin",N222))),"SIM","")</f>
        <v/>
      </c>
      <c r="P222" s="92">
        <f>IF(AND(ISNUMBER(SEARCH("Espeto",N222)),ISNUMBER(SEARCH("Lapa",N222))),"SIM","")</f>
        <v/>
      </c>
      <c r="Q222" s="92">
        <f>IF(AND(ISNUMBER(SEARCH("Espeto",N222)),ISNUMBER(SEARCH("Tatuapé",N222))),"SIM","")</f>
        <v/>
      </c>
      <c r="R222" s="92">
        <f>IF(AND(ISNUMBER(SEARCH("Espeto",N222)),ISNUMBER(SEARCH("Pavão",N222))),"SIM","")</f>
        <v/>
      </c>
      <c r="S222" s="92">
        <f>IF(AND(ISNUMBER(SEARCH("Espeto",N222)),ISNUMBER(SEARCH("Chac",N222))),"SIM","")</f>
        <v/>
      </c>
      <c r="T222" s="92">
        <f>IF(AND(ISNUMBER(SEARCH("Espeto",N222)),ISNUMBER(SEARCH("Madalena",N222))),"SIM","")</f>
        <v/>
      </c>
      <c r="U222" s="92">
        <f>IF(AND(ISNUMBER(SEARCH("Espeto",N222)),ISNUMBER(SEARCH("Mariana",N222))),"SIM","")</f>
        <v/>
      </c>
      <c r="V222" s="92">
        <f>IF(AND(ISNUMBER(SEARCH("Espeto",N222)),ISNUMBER(SEARCH("Perdizes",N222))),"SIM","")</f>
        <v/>
      </c>
      <c r="W222" s="92">
        <f>IF(AND(ISNUMBER(SEARCH("Espeto",N222)),ISNUMBER(SEARCH("Santana",N222))),"SIM","")</f>
        <v/>
      </c>
      <c r="X222" s="92">
        <f>IF(AND(ISNUMBER(SEARCH("Espeto",N222)),ISNUMBER(SEARCH("André",N222))),"SIM","")</f>
        <v/>
      </c>
      <c r="Y222" s="92">
        <f>IF(AND(ISNUMBER(SEARCH("Delivery",N222)),ISNUMBER(SEARCH("Carin",N222))),"SIM","")</f>
        <v/>
      </c>
      <c r="Z222" s="92">
        <f>IF(AND(ISNUMBER(SEARCH("Delivery",N222)),ISNUMBER(SEARCH("Lapa",N222))),"SIM","")</f>
        <v/>
      </c>
      <c r="AA222" s="92">
        <f>IF(AND(ISNUMBER(SEARCH("Delivery",N222)),ISNUMBER(SEARCH("Tatuapé",N222))),"SIM","")</f>
        <v/>
      </c>
      <c r="AB222" s="92">
        <f>IF(AND(ISNUMBER(SEARCH("Delivery",N222)),ISNUMBER(SEARCH("Pavão",N222))),"SIM","")</f>
        <v/>
      </c>
      <c r="AC222" s="92">
        <f>IF(AND(ISNUMBER(SEARCH("Delivery",N222)),ISNUMBER(SEARCH("Chac",N222))),"SIM","")</f>
        <v/>
      </c>
      <c r="AD222" s="92">
        <f>IF(AND(ISNUMBER(SEARCH("Delivery",N222)),ISNUMBER(SEARCH("Madalena",N222))),"SIM","")</f>
        <v/>
      </c>
      <c r="AE222" s="99">
        <f>IF(AND(ISNUMBER(SEARCH("Delivery",N222)),ISNUMBER(SEARCH("Mariana",N222))),"SIM","")</f>
        <v/>
      </c>
      <c r="AF222" s="99">
        <f>IF(AND(ISNUMBER(SEARCH("Delivery",N222)),ISNUMBER(SEARCH("Perdizes",N222))),"SIM","")</f>
        <v/>
      </c>
      <c r="AG222" s="99">
        <f>IF(AND(ISNUMBER(SEARCH("Delivery",N222)),ISNUMBER(SEARCH("Santana",N222))),"SIM","")</f>
        <v/>
      </c>
      <c r="AH222" s="99">
        <f>IF(AND(ISNUMBER(SEARCH("Delivery",N222)),ISNUMBER(SEARCH("André",N222))),"SIM","")</f>
        <v/>
      </c>
      <c r="AI222" s="99">
        <f>IF(ISNUMBER(SEARCH("Interlagos",N222)),"SIM","")</f>
        <v/>
      </c>
      <c r="AJ222" s="99">
        <f>IF(ISNUMBER(SEARCH("Quiosque",N222)),"SIM","")</f>
        <v/>
      </c>
      <c r="AK222" s="101" t="n"/>
    </row>
    <row r="223">
      <c r="A223" s="88" t="inlineStr">
        <is>
          <t>Protheus</t>
        </is>
      </c>
      <c r="B223" s="96" t="inlineStr">
        <is>
          <t>010083</t>
        </is>
      </c>
      <c r="C223" s="97">
        <f>IF(B223="—","—",IFERROR(VLOOKUP(B223,_Protheus_Cadastro!$A:$B,2,FALSE),"—"))</f>
        <v/>
      </c>
      <c r="D223" s="98">
        <f>IF(B223="—",IFERROR(INDEX(_ZIG_Cadastro!$D:$D,MATCH(H223,_ZIG_Cadastro!$A:$A,0)),"Produto"),IFERROR(VLOOKUP(B223,_Protheus_Cadastro!$A:$C,3,FALSE),"—"))</f>
        <v/>
      </c>
      <c r="E223" s="98">
        <f>IF(B223="—","—",IFERROR(VLOOKUP(B223,_Protheus_Cadastro!$A:$D,4,FALSE),"—"))</f>
        <v/>
      </c>
      <c r="F223" s="98">
        <f>IF(ISERROR(VLOOKUP(B223,'Estrutura Protheus'!A:A,1,FALSE)),"Não","Sim")</f>
        <v/>
      </c>
      <c r="G223" s="99">
        <f>IFERROR(INDEX(_Protheus_Cadastro!$H:$H,MATCH(B223,_Protheus_Cadastro!$A:$A,0)),"—")</f>
        <v/>
      </c>
      <c r="H223" s="211">
        <f>IFERROR(INDEX(_ZIG_Precos!$D:$D,MATCH(I223,_ZIG_Precos!$F:$F,0)),"—")</f>
        <v/>
      </c>
      <c r="I223" s="103">
        <f>IFERROR(VLOOKUP(B223,_Protheus_Cadastro!$A:$I,9,FALSE),"—")</f>
        <v/>
      </c>
      <c r="J223" s="101">
        <f>IFERROR(INDEX(_ZIG_Cadastro!$B:$B,MATCH(I223,_ZIG_Cadastro!$A:$A,0)),IFERROR(INDEX(_Entradas_ZIG!$B:$B,MATCH(I223,_Entradas_ZIG!$C:$C,0)),"—"))</f>
        <v/>
      </c>
      <c r="K223" s="101">
        <f>IFERROR(INDEX(_ZIG_Cadastro!$C:$C,MATCH(I223,_ZIG_Cadastro!$A:$A,0)),IFERROR(INDEX(_Entradas_ZIG!$D:$D,MATCH(I223,_Entradas_ZIG!$C:$C,0)),"—"))</f>
        <v/>
      </c>
      <c r="L223" s="99">
        <f>IF(I223="","Sem SKU ZIG",IF(I223="—","Sem SKU ZIG",IF(NOT(ISERROR(MATCH(I223,_ZIG_Cadastro!$A:$A,0))),IF(EXACT(UPPER(TRIM(C223)),UPPER(TRIM(INDEX(_ZIG_Cadastro!$B:$B,MATCH(I223,_ZIG_Cadastro!$A:$A,0))))),"OK","Atencao - Nome diverge"),IF(NOT(ISERROR(MATCH(I223,_Entradas_ZIG!$C:$C,0))),"OK","Erro - SKU nao encontrado"))))</f>
        <v/>
      </c>
      <c r="M223" s="99">
        <f>IFERROR(INDEX(_ZIG_Cadastro!$G:$G,MATCH(I223,_ZIG_Cadastro!$A:$A,0)),IF(NOT(ISERROR(MATCH(I223,_Entradas_ZIG!$C:$C,0))),"Ativo","—"))</f>
        <v/>
      </c>
      <c r="N223" s="102">
        <f>IFERROR(INDEX(_ZIG_Cadastro!$E:$E,MATCH(I223,_ZIG_Cadastro!$A:$A,0)),IFERROR(INDEX(_Entradas_ZIG!$F:$F,MATCH(I223,_Entradas_ZIG!$C:$C,0)),"—"))</f>
        <v/>
      </c>
      <c r="O223" s="99">
        <f>IF(AND(ISNUMBER(SEARCH("Espeto",N223)),ISNUMBER(SEARCH("Carin",N223))),"SIM","")</f>
        <v/>
      </c>
      <c r="P223" s="99">
        <f>IF(AND(ISNUMBER(SEARCH("Espeto",N223)),ISNUMBER(SEARCH("Lapa",N223))),"SIM","")</f>
        <v/>
      </c>
      <c r="Q223" s="99">
        <f>IF(AND(ISNUMBER(SEARCH("Espeto",N223)),ISNUMBER(SEARCH("Tatuapé",N223))),"SIM","")</f>
        <v/>
      </c>
      <c r="R223" s="99">
        <f>IF(AND(ISNUMBER(SEARCH("Espeto",N223)),ISNUMBER(SEARCH("Pavão",N223))),"SIM","")</f>
        <v/>
      </c>
      <c r="S223" s="99">
        <f>IF(AND(ISNUMBER(SEARCH("Espeto",N223)),ISNUMBER(SEARCH("Chac",N223))),"SIM","")</f>
        <v/>
      </c>
      <c r="T223" s="99">
        <f>IF(AND(ISNUMBER(SEARCH("Espeto",N223)),ISNUMBER(SEARCH("Madalena",N223))),"SIM","")</f>
        <v/>
      </c>
      <c r="U223" s="99">
        <f>IF(AND(ISNUMBER(SEARCH("Espeto",N223)),ISNUMBER(SEARCH("Mariana",N223))),"SIM","")</f>
        <v/>
      </c>
      <c r="V223" s="99">
        <f>IF(AND(ISNUMBER(SEARCH("Espeto",N223)),ISNUMBER(SEARCH("Perdizes",N223))),"SIM","")</f>
        <v/>
      </c>
      <c r="W223" s="99">
        <f>IF(AND(ISNUMBER(SEARCH("Espeto",N223)),ISNUMBER(SEARCH("Santana",N223))),"SIM","")</f>
        <v/>
      </c>
      <c r="X223" s="99">
        <f>IF(AND(ISNUMBER(SEARCH("Espeto",N223)),ISNUMBER(SEARCH("André",N223))),"SIM","")</f>
        <v/>
      </c>
      <c r="Y223" s="99">
        <f>IF(AND(ISNUMBER(SEARCH("Delivery",N223)),ISNUMBER(SEARCH("Carin",N223))),"SIM","")</f>
        <v/>
      </c>
      <c r="Z223" s="99">
        <f>IF(AND(ISNUMBER(SEARCH("Delivery",N223)),ISNUMBER(SEARCH("Lapa",N223))),"SIM","")</f>
        <v/>
      </c>
      <c r="AA223" s="99">
        <f>IF(AND(ISNUMBER(SEARCH("Delivery",N223)),ISNUMBER(SEARCH("Tatuapé",N223))),"SIM","")</f>
        <v/>
      </c>
      <c r="AB223" s="99">
        <f>IF(AND(ISNUMBER(SEARCH("Delivery",N223)),ISNUMBER(SEARCH("Pavão",N223))),"SIM","")</f>
        <v/>
      </c>
      <c r="AC223" s="99">
        <f>IF(AND(ISNUMBER(SEARCH("Delivery",N223)),ISNUMBER(SEARCH("Chac",N223))),"SIM","")</f>
        <v/>
      </c>
      <c r="AD223" s="99">
        <f>IF(AND(ISNUMBER(SEARCH("Delivery",N223)),ISNUMBER(SEARCH("Madalena",N223))),"SIM","")</f>
        <v/>
      </c>
      <c r="AE223" s="92">
        <f>IF(AND(ISNUMBER(SEARCH("Delivery",N223)),ISNUMBER(SEARCH("Mariana",N223))),"SIM","")</f>
        <v/>
      </c>
      <c r="AF223" s="92">
        <f>IF(AND(ISNUMBER(SEARCH("Delivery",N223)),ISNUMBER(SEARCH("Perdizes",N223))),"SIM","")</f>
        <v/>
      </c>
      <c r="AG223" s="92">
        <f>IF(AND(ISNUMBER(SEARCH("Delivery",N223)),ISNUMBER(SEARCH("Santana",N223))),"SIM","")</f>
        <v/>
      </c>
      <c r="AH223" s="92">
        <f>IF(AND(ISNUMBER(SEARCH("Delivery",N223)),ISNUMBER(SEARCH("André",N223))),"SIM","")</f>
        <v/>
      </c>
      <c r="AI223" s="92">
        <f>IF(ISNUMBER(SEARCH("Interlagos",N223)),"SIM","")</f>
        <v/>
      </c>
      <c r="AJ223" s="92">
        <f>IF(ISNUMBER(SEARCH("Quiosque",N223)),"SIM","")</f>
        <v/>
      </c>
      <c r="AK223" s="93" t="n"/>
    </row>
    <row r="224">
      <c r="A224" s="88" t="inlineStr">
        <is>
          <t>Protheus</t>
        </is>
      </c>
      <c r="B224" s="89" t="inlineStr">
        <is>
          <t>001929</t>
        </is>
      </c>
      <c r="C224" s="90">
        <f>IF(B224="—","—",IFERROR(VLOOKUP(B224,_Protheus_Cadastro!$A:$B,2,FALSE),"—"))</f>
        <v/>
      </c>
      <c r="D224" s="91">
        <f>IF(B224="—",IFERROR(INDEX(_ZIG_Cadastro!$D:$D,MATCH(H224,_ZIG_Cadastro!$A:$A,0)),"Produto"),IFERROR(VLOOKUP(B224,_Protheus_Cadastro!$A:$C,3,FALSE),"—"))</f>
        <v/>
      </c>
      <c r="E224" s="91">
        <f>IF(B224="—","—",IFERROR(VLOOKUP(B224,_Protheus_Cadastro!$A:$D,4,FALSE),"—"))</f>
        <v/>
      </c>
      <c r="F224" s="91">
        <f>IF(ISERROR(VLOOKUP(B224,'Estrutura Protheus'!A:A,1,FALSE)),"Não","Sim")</f>
        <v/>
      </c>
      <c r="G224" s="92">
        <f>IFERROR(INDEX(_Protheus_Cadastro!$H:$H,MATCH(B224,_Protheus_Cadastro!$A:$A,0)),"—")</f>
        <v/>
      </c>
      <c r="H224" s="210">
        <f>IFERROR(INDEX(_ZIG_Precos!$D:$D,MATCH(I224,_ZIG_Precos!$F:$F,0)),"—")</f>
        <v/>
      </c>
      <c r="I224" s="95">
        <f>IFERROR(VLOOKUP(B224,_Protheus_Cadastro!$A:$I,9,FALSE),"—")</f>
        <v/>
      </c>
      <c r="J224" s="93">
        <f>IFERROR(INDEX(_ZIG_Cadastro!$B:$B,MATCH(I224,_ZIG_Cadastro!$A:$A,0)),IFERROR(INDEX(_Entradas_ZIG!$B:$B,MATCH(I224,_Entradas_ZIG!$C:$C,0)),"—"))</f>
        <v/>
      </c>
      <c r="K224" s="93">
        <f>IFERROR(INDEX(_ZIG_Cadastro!$C:$C,MATCH(I224,_ZIG_Cadastro!$A:$A,0)),IFERROR(INDEX(_Entradas_ZIG!$D:$D,MATCH(I224,_Entradas_ZIG!$C:$C,0)),"—"))</f>
        <v/>
      </c>
      <c r="L224" s="92">
        <f>IF(I224="","Sem SKU ZIG",IF(I224="—","Sem SKU ZIG",IF(NOT(ISERROR(MATCH(I224,_ZIG_Cadastro!$A:$A,0))),IF(EXACT(UPPER(TRIM(C224)),UPPER(TRIM(INDEX(_ZIG_Cadastro!$B:$B,MATCH(I224,_ZIG_Cadastro!$A:$A,0))))),"OK","Atencao - Nome diverge"),IF(NOT(ISERROR(MATCH(I224,_Entradas_ZIG!$C:$C,0))),"OK","Erro - SKU nao encontrado"))))</f>
        <v/>
      </c>
      <c r="M224" s="92">
        <f>IFERROR(INDEX(_ZIG_Cadastro!$G:$G,MATCH(I224,_ZIG_Cadastro!$A:$A,0)),IF(NOT(ISERROR(MATCH(I224,_Entradas_ZIG!$C:$C,0))),"Ativo","—"))</f>
        <v/>
      </c>
      <c r="N224" s="94">
        <f>IFERROR(INDEX(_ZIG_Cadastro!$E:$E,MATCH(I224,_ZIG_Cadastro!$A:$A,0)),IFERROR(INDEX(_Entradas_ZIG!$F:$F,MATCH(I224,_Entradas_ZIG!$C:$C,0)),"—"))</f>
        <v/>
      </c>
      <c r="O224" s="92">
        <f>IF(AND(ISNUMBER(SEARCH("Espeto",N224)),ISNUMBER(SEARCH("Carin",N224))),"SIM","")</f>
        <v/>
      </c>
      <c r="P224" s="92">
        <f>IF(AND(ISNUMBER(SEARCH("Espeto",N224)),ISNUMBER(SEARCH("Lapa",N224))),"SIM","")</f>
        <v/>
      </c>
      <c r="Q224" s="92">
        <f>IF(AND(ISNUMBER(SEARCH("Espeto",N224)),ISNUMBER(SEARCH("Tatuapé",N224))),"SIM","")</f>
        <v/>
      </c>
      <c r="R224" s="92">
        <f>IF(AND(ISNUMBER(SEARCH("Espeto",N224)),ISNUMBER(SEARCH("Pavão",N224))),"SIM","")</f>
        <v/>
      </c>
      <c r="S224" s="92">
        <f>IF(AND(ISNUMBER(SEARCH("Espeto",N224)),ISNUMBER(SEARCH("Chac",N224))),"SIM","")</f>
        <v/>
      </c>
      <c r="T224" s="92">
        <f>IF(AND(ISNUMBER(SEARCH("Espeto",N224)),ISNUMBER(SEARCH("Madalena",N224))),"SIM","")</f>
        <v/>
      </c>
      <c r="U224" s="92">
        <f>IF(AND(ISNUMBER(SEARCH("Espeto",N224)),ISNUMBER(SEARCH("Mariana",N224))),"SIM","")</f>
        <v/>
      </c>
      <c r="V224" s="92">
        <f>IF(AND(ISNUMBER(SEARCH("Espeto",N224)),ISNUMBER(SEARCH("Perdizes",N224))),"SIM","")</f>
        <v/>
      </c>
      <c r="W224" s="92">
        <f>IF(AND(ISNUMBER(SEARCH("Espeto",N224)),ISNUMBER(SEARCH("Santana",N224))),"SIM","")</f>
        <v/>
      </c>
      <c r="X224" s="92">
        <f>IF(AND(ISNUMBER(SEARCH("Espeto",N224)),ISNUMBER(SEARCH("André",N224))),"SIM","")</f>
        <v/>
      </c>
      <c r="Y224" s="92">
        <f>IF(AND(ISNUMBER(SEARCH("Delivery",N224)),ISNUMBER(SEARCH("Carin",N224))),"SIM","")</f>
        <v/>
      </c>
      <c r="Z224" s="92">
        <f>IF(AND(ISNUMBER(SEARCH("Delivery",N224)),ISNUMBER(SEARCH("Lapa",N224))),"SIM","")</f>
        <v/>
      </c>
      <c r="AA224" s="92">
        <f>IF(AND(ISNUMBER(SEARCH("Delivery",N224)),ISNUMBER(SEARCH("Tatuapé",N224))),"SIM","")</f>
        <v/>
      </c>
      <c r="AB224" s="92">
        <f>IF(AND(ISNUMBER(SEARCH("Delivery",N224)),ISNUMBER(SEARCH("Pavão",N224))),"SIM","")</f>
        <v/>
      </c>
      <c r="AC224" s="92">
        <f>IF(AND(ISNUMBER(SEARCH("Delivery",N224)),ISNUMBER(SEARCH("Chac",N224))),"SIM","")</f>
        <v/>
      </c>
      <c r="AD224" s="92">
        <f>IF(AND(ISNUMBER(SEARCH("Delivery",N224)),ISNUMBER(SEARCH("Madalena",N224))),"SIM","")</f>
        <v/>
      </c>
      <c r="AE224" s="99">
        <f>IF(AND(ISNUMBER(SEARCH("Delivery",N224)),ISNUMBER(SEARCH("Mariana",N224))),"SIM","")</f>
        <v/>
      </c>
      <c r="AF224" s="99">
        <f>IF(AND(ISNUMBER(SEARCH("Delivery",N224)),ISNUMBER(SEARCH("Perdizes",N224))),"SIM","")</f>
        <v/>
      </c>
      <c r="AG224" s="99">
        <f>IF(AND(ISNUMBER(SEARCH("Delivery",N224)),ISNUMBER(SEARCH("Santana",N224))),"SIM","")</f>
        <v/>
      </c>
      <c r="AH224" s="99">
        <f>IF(AND(ISNUMBER(SEARCH("Delivery",N224)),ISNUMBER(SEARCH("André",N224))),"SIM","")</f>
        <v/>
      </c>
      <c r="AI224" s="99">
        <f>IF(ISNUMBER(SEARCH("Interlagos",N224)),"SIM","")</f>
        <v/>
      </c>
      <c r="AJ224" s="99">
        <f>IF(ISNUMBER(SEARCH("Quiosque",N224)),"SIM","")</f>
        <v/>
      </c>
      <c r="AK224" s="101" t="n"/>
    </row>
    <row r="225">
      <c r="A225" s="88" t="inlineStr">
        <is>
          <t>Protheus</t>
        </is>
      </c>
      <c r="B225" s="89" t="inlineStr">
        <is>
          <t>009996</t>
        </is>
      </c>
      <c r="C225" s="90">
        <f>IF(B225="—","—",IFERROR(VLOOKUP(B225,_Protheus_Cadastro!$A:$B,2,FALSE),"—"))</f>
        <v/>
      </c>
      <c r="D225" s="91">
        <f>IF(B225="—",IFERROR(INDEX(_ZIG_Cadastro!$D:$D,MATCH(H225,_ZIG_Cadastro!$A:$A,0)),"Produto"),IFERROR(VLOOKUP(B225,_Protheus_Cadastro!$A:$C,3,FALSE),"—"))</f>
        <v/>
      </c>
      <c r="E225" s="91">
        <f>IF(B225="—","—",IFERROR(VLOOKUP(B225,_Protheus_Cadastro!$A:$D,4,FALSE),"—"))</f>
        <v/>
      </c>
      <c r="F225" s="91">
        <f>IF(ISERROR(VLOOKUP(B225,'Estrutura Protheus'!A:A,1,FALSE)),"Não","Sim")</f>
        <v/>
      </c>
      <c r="G225" s="92">
        <f>IFERROR(INDEX(_Protheus_Cadastro!$H:$H,MATCH(B225,_Protheus_Cadastro!$A:$A,0)),"—")</f>
        <v/>
      </c>
      <c r="H225" s="210">
        <f>IFERROR(INDEX(_ZIG_Precos!$D:$D,MATCH(I225,_ZIG_Precos!$F:$F,0)),"—")</f>
        <v/>
      </c>
      <c r="I225" s="95">
        <f>IFERROR(VLOOKUP(B225,_Protheus_Cadastro!$A:$I,9,FALSE),"—")</f>
        <v/>
      </c>
      <c r="J225" s="93">
        <f>IFERROR(INDEX(_ZIG_Cadastro!$B:$B,MATCH(I225,_ZIG_Cadastro!$A:$A,0)),IFERROR(INDEX(_Entradas_ZIG!$B:$B,MATCH(I225,_Entradas_ZIG!$C:$C,0)),"—"))</f>
        <v/>
      </c>
      <c r="K225" s="93">
        <f>IFERROR(INDEX(_ZIG_Cadastro!$C:$C,MATCH(I225,_ZIG_Cadastro!$A:$A,0)),IFERROR(INDEX(_Entradas_ZIG!$D:$D,MATCH(I225,_Entradas_ZIG!$C:$C,0)),"—"))</f>
        <v/>
      </c>
      <c r="L225" s="92">
        <f>IF(I225="","Sem SKU ZIG",IF(I225="—","Sem SKU ZIG",IF(NOT(ISERROR(MATCH(I225,_ZIG_Cadastro!$A:$A,0))),IF(EXACT(UPPER(TRIM(C225)),UPPER(TRIM(INDEX(_ZIG_Cadastro!$B:$B,MATCH(I225,_ZIG_Cadastro!$A:$A,0))))),"OK","Atencao - Nome diverge"),IF(NOT(ISERROR(MATCH(I225,_Entradas_ZIG!$C:$C,0))),"OK","Erro - SKU nao encontrado"))))</f>
        <v/>
      </c>
      <c r="M225" s="92">
        <f>IFERROR(INDEX(_ZIG_Cadastro!$G:$G,MATCH(I225,_ZIG_Cadastro!$A:$A,0)),IF(NOT(ISERROR(MATCH(I225,_Entradas_ZIG!$C:$C,0))),"Ativo","—"))</f>
        <v/>
      </c>
      <c r="N225" s="94">
        <f>IFERROR(INDEX(_ZIG_Cadastro!$E:$E,MATCH(I225,_ZIG_Cadastro!$A:$A,0)),IFERROR(INDEX(_Entradas_ZIG!$F:$F,MATCH(I225,_Entradas_ZIG!$C:$C,0)),"—"))</f>
        <v/>
      </c>
      <c r="O225" s="92">
        <f>IF(AND(ISNUMBER(SEARCH("Espeto",N225)),ISNUMBER(SEARCH("Carin",N225))),"SIM","")</f>
        <v/>
      </c>
      <c r="P225" s="92">
        <f>IF(AND(ISNUMBER(SEARCH("Espeto",N225)),ISNUMBER(SEARCH("Lapa",N225))),"SIM","")</f>
        <v/>
      </c>
      <c r="Q225" s="92">
        <f>IF(AND(ISNUMBER(SEARCH("Espeto",N225)),ISNUMBER(SEARCH("Tatuapé",N225))),"SIM","")</f>
        <v/>
      </c>
      <c r="R225" s="92">
        <f>IF(AND(ISNUMBER(SEARCH("Espeto",N225)),ISNUMBER(SEARCH("Pavão",N225))),"SIM","")</f>
        <v/>
      </c>
      <c r="S225" s="92">
        <f>IF(AND(ISNUMBER(SEARCH("Espeto",N225)),ISNUMBER(SEARCH("Chac",N225))),"SIM","")</f>
        <v/>
      </c>
      <c r="T225" s="92">
        <f>IF(AND(ISNUMBER(SEARCH("Espeto",N225)),ISNUMBER(SEARCH("Madalena",N225))),"SIM","")</f>
        <v/>
      </c>
      <c r="U225" s="92">
        <f>IF(AND(ISNUMBER(SEARCH("Espeto",N225)),ISNUMBER(SEARCH("Mariana",N225))),"SIM","")</f>
        <v/>
      </c>
      <c r="V225" s="92">
        <f>IF(AND(ISNUMBER(SEARCH("Espeto",N225)),ISNUMBER(SEARCH("Perdizes",N225))),"SIM","")</f>
        <v/>
      </c>
      <c r="W225" s="92">
        <f>IF(AND(ISNUMBER(SEARCH("Espeto",N225)),ISNUMBER(SEARCH("Santana",N225))),"SIM","")</f>
        <v/>
      </c>
      <c r="X225" s="92">
        <f>IF(AND(ISNUMBER(SEARCH("Espeto",N225)),ISNUMBER(SEARCH("André",N225))),"SIM","")</f>
        <v/>
      </c>
      <c r="Y225" s="92">
        <f>IF(AND(ISNUMBER(SEARCH("Delivery",N225)),ISNUMBER(SEARCH("Carin",N225))),"SIM","")</f>
        <v/>
      </c>
      <c r="Z225" s="92">
        <f>IF(AND(ISNUMBER(SEARCH("Delivery",N225)),ISNUMBER(SEARCH("Lapa",N225))),"SIM","")</f>
        <v/>
      </c>
      <c r="AA225" s="92">
        <f>IF(AND(ISNUMBER(SEARCH("Delivery",N225)),ISNUMBER(SEARCH("Tatuapé",N225))),"SIM","")</f>
        <v/>
      </c>
      <c r="AB225" s="92">
        <f>IF(AND(ISNUMBER(SEARCH("Delivery",N225)),ISNUMBER(SEARCH("Pavão",N225))),"SIM","")</f>
        <v/>
      </c>
      <c r="AC225" s="92">
        <f>IF(AND(ISNUMBER(SEARCH("Delivery",N225)),ISNUMBER(SEARCH("Chac",N225))),"SIM","")</f>
        <v/>
      </c>
      <c r="AD225" s="92">
        <f>IF(AND(ISNUMBER(SEARCH("Delivery",N225)),ISNUMBER(SEARCH("Madalena",N225))),"SIM","")</f>
        <v/>
      </c>
      <c r="AE225" s="92">
        <f>IF(AND(ISNUMBER(SEARCH("Delivery",N225)),ISNUMBER(SEARCH("Mariana",N225))),"SIM","")</f>
        <v/>
      </c>
      <c r="AF225" s="92">
        <f>IF(AND(ISNUMBER(SEARCH("Delivery",N225)),ISNUMBER(SEARCH("Perdizes",N225))),"SIM","")</f>
        <v/>
      </c>
      <c r="AG225" s="92">
        <f>IF(AND(ISNUMBER(SEARCH("Delivery",N225)),ISNUMBER(SEARCH("Santana",N225))),"SIM","")</f>
        <v/>
      </c>
      <c r="AH225" s="92">
        <f>IF(AND(ISNUMBER(SEARCH("Delivery",N225)),ISNUMBER(SEARCH("André",N225))),"SIM","")</f>
        <v/>
      </c>
      <c r="AI225" s="92">
        <f>IF(ISNUMBER(SEARCH("Interlagos",N225)),"SIM","")</f>
        <v/>
      </c>
      <c r="AJ225" s="92">
        <f>IF(ISNUMBER(SEARCH("Quiosque",N225)),"SIM","")</f>
        <v/>
      </c>
      <c r="AK225" s="93" t="n"/>
    </row>
    <row r="226">
      <c r="A226" s="88" t="inlineStr">
        <is>
          <t>Protheus</t>
        </is>
      </c>
      <c r="B226" s="96" t="inlineStr">
        <is>
          <t>009951</t>
        </is>
      </c>
      <c r="C226" s="97">
        <f>IF(B226="—","—",IFERROR(VLOOKUP(B226,_Protheus_Cadastro!$A:$B,2,FALSE),"—"))</f>
        <v/>
      </c>
      <c r="D226" s="98">
        <f>IF(B226="—",IFERROR(INDEX(_ZIG_Cadastro!$D:$D,MATCH(H226,_ZIG_Cadastro!$A:$A,0)),"Produto"),IFERROR(VLOOKUP(B226,_Protheus_Cadastro!$A:$C,3,FALSE),"—"))</f>
        <v/>
      </c>
      <c r="E226" s="98">
        <f>IF(B226="—","—",IFERROR(VLOOKUP(B226,_Protheus_Cadastro!$A:$D,4,FALSE),"—"))</f>
        <v/>
      </c>
      <c r="F226" s="98">
        <f>IF(ISERROR(VLOOKUP(B226,'Estrutura Protheus'!A:A,1,FALSE)),"Não","Sim")</f>
        <v/>
      </c>
      <c r="G226" s="99">
        <f>IFERROR(INDEX(_Protheus_Cadastro!$H:$H,MATCH(B226,_Protheus_Cadastro!$A:$A,0)),"—")</f>
        <v/>
      </c>
      <c r="H226" s="211">
        <f>IFERROR(INDEX(_ZIG_Precos!$D:$D,MATCH(I226,_ZIG_Precos!$F:$F,0)),"—")</f>
        <v/>
      </c>
      <c r="I226" s="103">
        <f>IFERROR(VLOOKUP(B226,_Protheus_Cadastro!$A:$I,9,FALSE),"—")</f>
        <v/>
      </c>
      <c r="J226" s="101">
        <f>IFERROR(INDEX(_ZIG_Cadastro!$B:$B,MATCH(I226,_ZIG_Cadastro!$A:$A,0)),IFERROR(INDEX(_Entradas_ZIG!$B:$B,MATCH(I226,_Entradas_ZIG!$C:$C,0)),"—"))</f>
        <v/>
      </c>
      <c r="K226" s="101">
        <f>IFERROR(INDEX(_ZIG_Cadastro!$C:$C,MATCH(I226,_ZIG_Cadastro!$A:$A,0)),IFERROR(INDEX(_Entradas_ZIG!$D:$D,MATCH(I226,_Entradas_ZIG!$C:$C,0)),"—"))</f>
        <v/>
      </c>
      <c r="L226" s="99">
        <f>IF(I226="","Sem SKU ZIG",IF(I226="—","Sem SKU ZIG",IF(NOT(ISERROR(MATCH(I226,_ZIG_Cadastro!$A:$A,0))),IF(EXACT(UPPER(TRIM(C226)),UPPER(TRIM(INDEX(_ZIG_Cadastro!$B:$B,MATCH(I226,_ZIG_Cadastro!$A:$A,0))))),"OK","Atencao - Nome diverge"),IF(NOT(ISERROR(MATCH(I226,_Entradas_ZIG!$C:$C,0))),"OK","Erro - SKU nao encontrado"))))</f>
        <v/>
      </c>
      <c r="M226" s="99">
        <f>IFERROR(INDEX(_ZIG_Cadastro!$G:$G,MATCH(I226,_ZIG_Cadastro!$A:$A,0)),IF(NOT(ISERROR(MATCH(I226,_Entradas_ZIG!$C:$C,0))),"Ativo","—"))</f>
        <v/>
      </c>
      <c r="N226" s="102">
        <f>IFERROR(INDEX(_ZIG_Cadastro!$E:$E,MATCH(I226,_ZIG_Cadastro!$A:$A,0)),IFERROR(INDEX(_Entradas_ZIG!$F:$F,MATCH(I226,_Entradas_ZIG!$C:$C,0)),"—"))</f>
        <v/>
      </c>
      <c r="O226" s="99">
        <f>IF(AND(ISNUMBER(SEARCH("Espeto",N226)),ISNUMBER(SEARCH("Carin",N226))),"SIM","")</f>
        <v/>
      </c>
      <c r="P226" s="99">
        <f>IF(AND(ISNUMBER(SEARCH("Espeto",N226)),ISNUMBER(SEARCH("Lapa",N226))),"SIM","")</f>
        <v/>
      </c>
      <c r="Q226" s="99">
        <f>IF(AND(ISNUMBER(SEARCH("Espeto",N226)),ISNUMBER(SEARCH("Tatuapé",N226))),"SIM","")</f>
        <v/>
      </c>
      <c r="R226" s="99">
        <f>IF(AND(ISNUMBER(SEARCH("Espeto",N226)),ISNUMBER(SEARCH("Pavão",N226))),"SIM","")</f>
        <v/>
      </c>
      <c r="S226" s="99">
        <f>IF(AND(ISNUMBER(SEARCH("Espeto",N226)),ISNUMBER(SEARCH("Chac",N226))),"SIM","")</f>
        <v/>
      </c>
      <c r="T226" s="99">
        <f>IF(AND(ISNUMBER(SEARCH("Espeto",N226)),ISNUMBER(SEARCH("Madalena",N226))),"SIM","")</f>
        <v/>
      </c>
      <c r="U226" s="99">
        <f>IF(AND(ISNUMBER(SEARCH("Espeto",N226)),ISNUMBER(SEARCH("Mariana",N226))),"SIM","")</f>
        <v/>
      </c>
      <c r="V226" s="99">
        <f>IF(AND(ISNUMBER(SEARCH("Espeto",N226)),ISNUMBER(SEARCH("Perdizes",N226))),"SIM","")</f>
        <v/>
      </c>
      <c r="W226" s="99">
        <f>IF(AND(ISNUMBER(SEARCH("Espeto",N226)),ISNUMBER(SEARCH("Santana",N226))),"SIM","")</f>
        <v/>
      </c>
      <c r="X226" s="99">
        <f>IF(AND(ISNUMBER(SEARCH("Espeto",N226)),ISNUMBER(SEARCH("André",N226))),"SIM","")</f>
        <v/>
      </c>
      <c r="Y226" s="99">
        <f>IF(AND(ISNUMBER(SEARCH("Delivery",N226)),ISNUMBER(SEARCH("Carin",N226))),"SIM","")</f>
        <v/>
      </c>
      <c r="Z226" s="99">
        <f>IF(AND(ISNUMBER(SEARCH("Delivery",N226)),ISNUMBER(SEARCH("Lapa",N226))),"SIM","")</f>
        <v/>
      </c>
      <c r="AA226" s="99">
        <f>IF(AND(ISNUMBER(SEARCH("Delivery",N226)),ISNUMBER(SEARCH("Tatuapé",N226))),"SIM","")</f>
        <v/>
      </c>
      <c r="AB226" s="99">
        <f>IF(AND(ISNUMBER(SEARCH("Delivery",N226)),ISNUMBER(SEARCH("Pavão",N226))),"SIM","")</f>
        <v/>
      </c>
      <c r="AC226" s="99">
        <f>IF(AND(ISNUMBER(SEARCH("Delivery",N226)),ISNUMBER(SEARCH("Chac",N226))),"SIM","")</f>
        <v/>
      </c>
      <c r="AD226" s="99">
        <f>IF(AND(ISNUMBER(SEARCH("Delivery",N226)),ISNUMBER(SEARCH("Madalena",N226))),"SIM","")</f>
        <v/>
      </c>
      <c r="AE226" s="99">
        <f>IF(AND(ISNUMBER(SEARCH("Delivery",N226)),ISNUMBER(SEARCH("Mariana",N226))),"SIM","")</f>
        <v/>
      </c>
      <c r="AF226" s="99">
        <f>IF(AND(ISNUMBER(SEARCH("Delivery",N226)),ISNUMBER(SEARCH("Perdizes",N226))),"SIM","")</f>
        <v/>
      </c>
      <c r="AG226" s="99">
        <f>IF(AND(ISNUMBER(SEARCH("Delivery",N226)),ISNUMBER(SEARCH("Santana",N226))),"SIM","")</f>
        <v/>
      </c>
      <c r="AH226" s="99">
        <f>IF(AND(ISNUMBER(SEARCH("Delivery",N226)),ISNUMBER(SEARCH("André",N226))),"SIM","")</f>
        <v/>
      </c>
      <c r="AI226" s="99">
        <f>IF(ISNUMBER(SEARCH("Interlagos",N226)),"SIM","")</f>
        <v/>
      </c>
      <c r="AJ226" s="99">
        <f>IF(ISNUMBER(SEARCH("Quiosque",N226)),"SIM","")</f>
        <v/>
      </c>
      <c r="AK226" s="101" t="n"/>
    </row>
    <row r="227">
      <c r="A227" s="88" t="inlineStr">
        <is>
          <t>Protheus</t>
        </is>
      </c>
      <c r="B227" s="96" t="inlineStr">
        <is>
          <t>010034</t>
        </is>
      </c>
      <c r="C227" s="97">
        <f>IF(B227="—","—",IFERROR(VLOOKUP(B227,_Protheus_Cadastro!$A:$B,2,FALSE),"—"))</f>
        <v/>
      </c>
      <c r="D227" s="98">
        <f>IF(B227="—",IFERROR(INDEX(_ZIG_Cadastro!$D:$D,MATCH(H227,_ZIG_Cadastro!$A:$A,0)),"Produto"),IFERROR(VLOOKUP(B227,_Protheus_Cadastro!$A:$C,3,FALSE),"—"))</f>
        <v/>
      </c>
      <c r="E227" s="98">
        <f>IF(B227="—","—",IFERROR(VLOOKUP(B227,_Protheus_Cadastro!$A:$D,4,FALSE),"—"))</f>
        <v/>
      </c>
      <c r="F227" s="98">
        <f>IF(ISERROR(VLOOKUP(B227,'Estrutura Protheus'!A:A,1,FALSE)),"Não","Sim")</f>
        <v/>
      </c>
      <c r="G227" s="99">
        <f>IFERROR(INDEX(_Protheus_Cadastro!$H:$H,MATCH(B227,_Protheus_Cadastro!$A:$A,0)),"—")</f>
        <v/>
      </c>
      <c r="H227" s="211">
        <f>IFERROR(INDEX(_ZIG_Precos!$D:$D,MATCH(I227,_ZIG_Precos!$F:$F,0)),"—")</f>
        <v/>
      </c>
      <c r="I227" s="103">
        <f>IFERROR(VLOOKUP(B227,_Protheus_Cadastro!$A:$I,9,FALSE),"—")</f>
        <v/>
      </c>
      <c r="J227" s="101">
        <f>IFERROR(INDEX(_ZIG_Cadastro!$B:$B,MATCH(I227,_ZIG_Cadastro!$A:$A,0)),IFERROR(INDEX(_Entradas_ZIG!$B:$B,MATCH(I227,_Entradas_ZIG!$C:$C,0)),"—"))</f>
        <v/>
      </c>
      <c r="K227" s="101">
        <f>IFERROR(INDEX(_ZIG_Cadastro!$C:$C,MATCH(I227,_ZIG_Cadastro!$A:$A,0)),IFERROR(INDEX(_Entradas_ZIG!$D:$D,MATCH(I227,_Entradas_ZIG!$C:$C,0)),"—"))</f>
        <v/>
      </c>
      <c r="L227" s="99">
        <f>IF(I227="","Sem SKU ZIG",IF(I227="—","Sem SKU ZIG",IF(NOT(ISERROR(MATCH(I227,_ZIG_Cadastro!$A:$A,0))),IF(EXACT(UPPER(TRIM(C227)),UPPER(TRIM(INDEX(_ZIG_Cadastro!$B:$B,MATCH(I227,_ZIG_Cadastro!$A:$A,0))))),"OK","Atencao - Nome diverge"),IF(NOT(ISERROR(MATCH(I227,_Entradas_ZIG!$C:$C,0))),"OK","Erro - SKU nao encontrado"))))</f>
        <v/>
      </c>
      <c r="M227" s="99">
        <f>IFERROR(INDEX(_ZIG_Cadastro!$G:$G,MATCH(I227,_ZIG_Cadastro!$A:$A,0)),IF(NOT(ISERROR(MATCH(I227,_Entradas_ZIG!$C:$C,0))),"Ativo","—"))</f>
        <v/>
      </c>
      <c r="N227" s="102">
        <f>IFERROR(INDEX(_ZIG_Cadastro!$E:$E,MATCH(I227,_ZIG_Cadastro!$A:$A,0)),IFERROR(INDEX(_Entradas_ZIG!$F:$F,MATCH(I227,_Entradas_ZIG!$C:$C,0)),"—"))</f>
        <v/>
      </c>
      <c r="O227" s="99">
        <f>IF(AND(ISNUMBER(SEARCH("Espeto",N227)),ISNUMBER(SEARCH("Carin",N227))),"SIM","")</f>
        <v/>
      </c>
      <c r="P227" s="99">
        <f>IF(AND(ISNUMBER(SEARCH("Espeto",N227)),ISNUMBER(SEARCH("Lapa",N227))),"SIM","")</f>
        <v/>
      </c>
      <c r="Q227" s="99">
        <f>IF(AND(ISNUMBER(SEARCH("Espeto",N227)),ISNUMBER(SEARCH("Tatuapé",N227))),"SIM","")</f>
        <v/>
      </c>
      <c r="R227" s="99">
        <f>IF(AND(ISNUMBER(SEARCH("Espeto",N227)),ISNUMBER(SEARCH("Pavão",N227))),"SIM","")</f>
        <v/>
      </c>
      <c r="S227" s="99">
        <f>IF(AND(ISNUMBER(SEARCH("Espeto",N227)),ISNUMBER(SEARCH("Chac",N227))),"SIM","")</f>
        <v/>
      </c>
      <c r="T227" s="99">
        <f>IF(AND(ISNUMBER(SEARCH("Espeto",N227)),ISNUMBER(SEARCH("Madalena",N227))),"SIM","")</f>
        <v/>
      </c>
      <c r="U227" s="99">
        <f>IF(AND(ISNUMBER(SEARCH("Espeto",N227)),ISNUMBER(SEARCH("Mariana",N227))),"SIM","")</f>
        <v/>
      </c>
      <c r="V227" s="99">
        <f>IF(AND(ISNUMBER(SEARCH("Espeto",N227)),ISNUMBER(SEARCH("Perdizes",N227))),"SIM","")</f>
        <v/>
      </c>
      <c r="W227" s="99">
        <f>IF(AND(ISNUMBER(SEARCH("Espeto",N227)),ISNUMBER(SEARCH("Santana",N227))),"SIM","")</f>
        <v/>
      </c>
      <c r="X227" s="99">
        <f>IF(AND(ISNUMBER(SEARCH("Espeto",N227)),ISNUMBER(SEARCH("André",N227))),"SIM","")</f>
        <v/>
      </c>
      <c r="Y227" s="99">
        <f>IF(AND(ISNUMBER(SEARCH("Delivery",N227)),ISNUMBER(SEARCH("Carin",N227))),"SIM","")</f>
        <v/>
      </c>
      <c r="Z227" s="99">
        <f>IF(AND(ISNUMBER(SEARCH("Delivery",N227)),ISNUMBER(SEARCH("Lapa",N227))),"SIM","")</f>
        <v/>
      </c>
      <c r="AA227" s="99">
        <f>IF(AND(ISNUMBER(SEARCH("Delivery",N227)),ISNUMBER(SEARCH("Tatuapé",N227))),"SIM","")</f>
        <v/>
      </c>
      <c r="AB227" s="99">
        <f>IF(AND(ISNUMBER(SEARCH("Delivery",N227)),ISNUMBER(SEARCH("Pavão",N227))),"SIM","")</f>
        <v/>
      </c>
      <c r="AC227" s="99">
        <f>IF(AND(ISNUMBER(SEARCH("Delivery",N227)),ISNUMBER(SEARCH("Chac",N227))),"SIM","")</f>
        <v/>
      </c>
      <c r="AD227" s="99">
        <f>IF(AND(ISNUMBER(SEARCH("Delivery",N227)),ISNUMBER(SEARCH("Madalena",N227))),"SIM","")</f>
        <v/>
      </c>
      <c r="AE227" s="92">
        <f>IF(AND(ISNUMBER(SEARCH("Delivery",N227)),ISNUMBER(SEARCH("Mariana",N227))),"SIM","")</f>
        <v/>
      </c>
      <c r="AF227" s="92">
        <f>IF(AND(ISNUMBER(SEARCH("Delivery",N227)),ISNUMBER(SEARCH("Perdizes",N227))),"SIM","")</f>
        <v/>
      </c>
      <c r="AG227" s="92">
        <f>IF(AND(ISNUMBER(SEARCH("Delivery",N227)),ISNUMBER(SEARCH("Santana",N227))),"SIM","")</f>
        <v/>
      </c>
      <c r="AH227" s="92">
        <f>IF(AND(ISNUMBER(SEARCH("Delivery",N227)),ISNUMBER(SEARCH("André",N227))),"SIM","")</f>
        <v/>
      </c>
      <c r="AI227" s="92">
        <f>IF(ISNUMBER(SEARCH("Interlagos",N227)),"SIM","")</f>
        <v/>
      </c>
      <c r="AJ227" s="92">
        <f>IF(ISNUMBER(SEARCH("Quiosque",N227)),"SIM","")</f>
        <v/>
      </c>
      <c r="AK227" s="93" t="n"/>
    </row>
    <row r="228">
      <c r="A228" s="88" t="inlineStr">
        <is>
          <t>Protheus</t>
        </is>
      </c>
      <c r="B228" s="89" t="inlineStr">
        <is>
          <t>010050</t>
        </is>
      </c>
      <c r="C228" s="90">
        <f>IF(B228="—","—",IFERROR(VLOOKUP(B228,_Protheus_Cadastro!$A:$B,2,FALSE),"—"))</f>
        <v/>
      </c>
      <c r="D228" s="91">
        <f>IF(B228="—",IFERROR(INDEX(_ZIG_Cadastro!$D:$D,MATCH(H228,_ZIG_Cadastro!$A:$A,0)),"Produto"),IFERROR(VLOOKUP(B228,_Protheus_Cadastro!$A:$C,3,FALSE),"—"))</f>
        <v/>
      </c>
      <c r="E228" s="91">
        <f>IF(B228="—","—",IFERROR(VLOOKUP(B228,_Protheus_Cadastro!$A:$D,4,FALSE),"—"))</f>
        <v/>
      </c>
      <c r="F228" s="91">
        <f>IF(ISERROR(VLOOKUP(B228,'Estrutura Protheus'!A:A,1,FALSE)),"Não","Sim")</f>
        <v/>
      </c>
      <c r="G228" s="92">
        <f>IFERROR(INDEX(_Protheus_Cadastro!$H:$H,MATCH(B228,_Protheus_Cadastro!$A:$A,0)),"—")</f>
        <v/>
      </c>
      <c r="H228" s="210">
        <f>IFERROR(INDEX(_ZIG_Precos!$D:$D,MATCH(I228,_ZIG_Precos!$F:$F,0)),"—")</f>
        <v/>
      </c>
      <c r="I228" s="95">
        <f>IFERROR(VLOOKUP(B228,_Protheus_Cadastro!$A:$I,9,FALSE),"—")</f>
        <v/>
      </c>
      <c r="J228" s="93">
        <f>IFERROR(INDEX(_ZIG_Cadastro!$B:$B,MATCH(I228,_ZIG_Cadastro!$A:$A,0)),IFERROR(INDEX(_Entradas_ZIG!$B:$B,MATCH(I228,_Entradas_ZIG!$C:$C,0)),"—"))</f>
        <v/>
      </c>
      <c r="K228" s="93">
        <f>IFERROR(INDEX(_ZIG_Cadastro!$C:$C,MATCH(I228,_ZIG_Cadastro!$A:$A,0)),IFERROR(INDEX(_Entradas_ZIG!$D:$D,MATCH(I228,_Entradas_ZIG!$C:$C,0)),"—"))</f>
        <v/>
      </c>
      <c r="L228" s="92">
        <f>IF(I228="","Sem SKU ZIG",IF(I228="—","Sem SKU ZIG",IF(NOT(ISERROR(MATCH(I228,_ZIG_Cadastro!$A:$A,0))),IF(EXACT(UPPER(TRIM(C228)),UPPER(TRIM(INDEX(_ZIG_Cadastro!$B:$B,MATCH(I228,_ZIG_Cadastro!$A:$A,0))))),"OK","Atencao - Nome diverge"),IF(NOT(ISERROR(MATCH(I228,_Entradas_ZIG!$C:$C,0))),"OK","Erro - SKU nao encontrado"))))</f>
        <v/>
      </c>
      <c r="M228" s="92">
        <f>IFERROR(INDEX(_ZIG_Cadastro!$G:$G,MATCH(I228,_ZIG_Cadastro!$A:$A,0)),IF(NOT(ISERROR(MATCH(I228,_Entradas_ZIG!$C:$C,0))),"Ativo","—"))</f>
        <v/>
      </c>
      <c r="N228" s="94">
        <f>IFERROR(INDEX(_ZIG_Cadastro!$E:$E,MATCH(I228,_ZIG_Cadastro!$A:$A,0)),IFERROR(INDEX(_Entradas_ZIG!$F:$F,MATCH(I228,_Entradas_ZIG!$C:$C,0)),"—"))</f>
        <v/>
      </c>
      <c r="O228" s="92">
        <f>IF(AND(ISNUMBER(SEARCH("Espeto",N228)),ISNUMBER(SEARCH("Carin",N228))),"SIM","")</f>
        <v/>
      </c>
      <c r="P228" s="92">
        <f>IF(AND(ISNUMBER(SEARCH("Espeto",N228)),ISNUMBER(SEARCH("Lapa",N228))),"SIM","")</f>
        <v/>
      </c>
      <c r="Q228" s="92">
        <f>IF(AND(ISNUMBER(SEARCH("Espeto",N228)),ISNUMBER(SEARCH("Tatuapé",N228))),"SIM","")</f>
        <v/>
      </c>
      <c r="R228" s="92">
        <f>IF(AND(ISNUMBER(SEARCH("Espeto",N228)),ISNUMBER(SEARCH("Pavão",N228))),"SIM","")</f>
        <v/>
      </c>
      <c r="S228" s="92">
        <f>IF(AND(ISNUMBER(SEARCH("Espeto",N228)),ISNUMBER(SEARCH("Chac",N228))),"SIM","")</f>
        <v/>
      </c>
      <c r="T228" s="92">
        <f>IF(AND(ISNUMBER(SEARCH("Espeto",N228)),ISNUMBER(SEARCH("Madalena",N228))),"SIM","")</f>
        <v/>
      </c>
      <c r="U228" s="92">
        <f>IF(AND(ISNUMBER(SEARCH("Espeto",N228)),ISNUMBER(SEARCH("Mariana",N228))),"SIM","")</f>
        <v/>
      </c>
      <c r="V228" s="92">
        <f>IF(AND(ISNUMBER(SEARCH("Espeto",N228)),ISNUMBER(SEARCH("Perdizes",N228))),"SIM","")</f>
        <v/>
      </c>
      <c r="W228" s="92">
        <f>IF(AND(ISNUMBER(SEARCH("Espeto",N228)),ISNUMBER(SEARCH("Santana",N228))),"SIM","")</f>
        <v/>
      </c>
      <c r="X228" s="92">
        <f>IF(AND(ISNUMBER(SEARCH("Espeto",N228)),ISNUMBER(SEARCH("André",N228))),"SIM","")</f>
        <v/>
      </c>
      <c r="Y228" s="92">
        <f>IF(AND(ISNUMBER(SEARCH("Delivery",N228)),ISNUMBER(SEARCH("Carin",N228))),"SIM","")</f>
        <v/>
      </c>
      <c r="Z228" s="92">
        <f>IF(AND(ISNUMBER(SEARCH("Delivery",N228)),ISNUMBER(SEARCH("Lapa",N228))),"SIM","")</f>
        <v/>
      </c>
      <c r="AA228" s="92">
        <f>IF(AND(ISNUMBER(SEARCH("Delivery",N228)),ISNUMBER(SEARCH("Tatuapé",N228))),"SIM","")</f>
        <v/>
      </c>
      <c r="AB228" s="92">
        <f>IF(AND(ISNUMBER(SEARCH("Delivery",N228)),ISNUMBER(SEARCH("Pavão",N228))),"SIM","")</f>
        <v/>
      </c>
      <c r="AC228" s="92">
        <f>IF(AND(ISNUMBER(SEARCH("Delivery",N228)),ISNUMBER(SEARCH("Chac",N228))),"SIM","")</f>
        <v/>
      </c>
      <c r="AD228" s="92">
        <f>IF(AND(ISNUMBER(SEARCH("Delivery",N228)),ISNUMBER(SEARCH("Madalena",N228))),"SIM","")</f>
        <v/>
      </c>
      <c r="AE228" s="99">
        <f>IF(AND(ISNUMBER(SEARCH("Delivery",N228)),ISNUMBER(SEARCH("Mariana",N228))),"SIM","")</f>
        <v/>
      </c>
      <c r="AF228" s="99">
        <f>IF(AND(ISNUMBER(SEARCH("Delivery",N228)),ISNUMBER(SEARCH("Perdizes",N228))),"SIM","")</f>
        <v/>
      </c>
      <c r="AG228" s="99">
        <f>IF(AND(ISNUMBER(SEARCH("Delivery",N228)),ISNUMBER(SEARCH("Santana",N228))),"SIM","")</f>
        <v/>
      </c>
      <c r="AH228" s="99">
        <f>IF(AND(ISNUMBER(SEARCH("Delivery",N228)),ISNUMBER(SEARCH("André",N228))),"SIM","")</f>
        <v/>
      </c>
      <c r="AI228" s="99">
        <f>IF(ISNUMBER(SEARCH("Interlagos",N228)),"SIM","")</f>
        <v/>
      </c>
      <c r="AJ228" s="99">
        <f>IF(ISNUMBER(SEARCH("Quiosque",N228)),"SIM","")</f>
        <v/>
      </c>
      <c r="AK228" s="101" t="n"/>
    </row>
    <row r="229">
      <c r="A229" s="88" t="inlineStr">
        <is>
          <t>Protheus</t>
        </is>
      </c>
      <c r="B229" s="96" t="inlineStr">
        <is>
          <t>010065</t>
        </is>
      </c>
      <c r="C229" s="97">
        <f>IF(B229="—","—",IFERROR(VLOOKUP(B229,_Protheus_Cadastro!$A:$B,2,FALSE),"—"))</f>
        <v/>
      </c>
      <c r="D229" s="98">
        <f>IF(B229="—",IFERROR(INDEX(_ZIG_Cadastro!$D:$D,MATCH(H229,_ZIG_Cadastro!$A:$A,0)),"Produto"),IFERROR(VLOOKUP(B229,_Protheus_Cadastro!$A:$C,3,FALSE),"—"))</f>
        <v/>
      </c>
      <c r="E229" s="98">
        <f>IF(B229="—","—",IFERROR(VLOOKUP(B229,_Protheus_Cadastro!$A:$D,4,FALSE),"—"))</f>
        <v/>
      </c>
      <c r="F229" s="98">
        <f>IF(ISERROR(VLOOKUP(B229,'Estrutura Protheus'!A:A,1,FALSE)),"Não","Sim")</f>
        <v/>
      </c>
      <c r="G229" s="99">
        <f>IFERROR(INDEX(_Protheus_Cadastro!$H:$H,MATCH(B229,_Protheus_Cadastro!$A:$A,0)),"—")</f>
        <v/>
      </c>
      <c r="H229" s="211">
        <f>IFERROR(INDEX(_ZIG_Precos!$D:$D,MATCH(I229,_ZIG_Precos!$F:$F,0)),"—")</f>
        <v/>
      </c>
      <c r="I229" s="103">
        <f>IFERROR(VLOOKUP(B229,_Protheus_Cadastro!$A:$I,9,FALSE),"—")</f>
        <v/>
      </c>
      <c r="J229" s="101">
        <f>IFERROR(INDEX(_ZIG_Cadastro!$B:$B,MATCH(I229,_ZIG_Cadastro!$A:$A,0)),IFERROR(INDEX(_Entradas_ZIG!$B:$B,MATCH(I229,_Entradas_ZIG!$C:$C,0)),"—"))</f>
        <v/>
      </c>
      <c r="K229" s="101">
        <f>IFERROR(INDEX(_ZIG_Cadastro!$C:$C,MATCH(I229,_ZIG_Cadastro!$A:$A,0)),IFERROR(INDEX(_Entradas_ZIG!$D:$D,MATCH(I229,_Entradas_ZIG!$C:$C,0)),"—"))</f>
        <v/>
      </c>
      <c r="L229" s="99">
        <f>IF(I229="","Sem SKU ZIG",IF(I229="—","Sem SKU ZIG",IF(NOT(ISERROR(MATCH(I229,_ZIG_Cadastro!$A:$A,0))),IF(EXACT(UPPER(TRIM(C229)),UPPER(TRIM(INDEX(_ZIG_Cadastro!$B:$B,MATCH(I229,_ZIG_Cadastro!$A:$A,0))))),"OK","Atencao - Nome diverge"),IF(NOT(ISERROR(MATCH(I229,_Entradas_ZIG!$C:$C,0))),"OK","Erro - SKU nao encontrado"))))</f>
        <v/>
      </c>
      <c r="M229" s="99">
        <f>IFERROR(INDEX(_ZIG_Cadastro!$G:$G,MATCH(I229,_ZIG_Cadastro!$A:$A,0)),IF(NOT(ISERROR(MATCH(I229,_Entradas_ZIG!$C:$C,0))),"Ativo","—"))</f>
        <v/>
      </c>
      <c r="N229" s="102">
        <f>IFERROR(INDEX(_ZIG_Cadastro!$E:$E,MATCH(I229,_ZIG_Cadastro!$A:$A,0)),IFERROR(INDEX(_Entradas_ZIG!$F:$F,MATCH(I229,_Entradas_ZIG!$C:$C,0)),"—"))</f>
        <v/>
      </c>
      <c r="O229" s="99">
        <f>IF(AND(ISNUMBER(SEARCH("Espeto",N229)),ISNUMBER(SEARCH("Carin",N229))),"SIM","")</f>
        <v/>
      </c>
      <c r="P229" s="99">
        <f>IF(AND(ISNUMBER(SEARCH("Espeto",N229)),ISNUMBER(SEARCH("Lapa",N229))),"SIM","")</f>
        <v/>
      </c>
      <c r="Q229" s="99">
        <f>IF(AND(ISNUMBER(SEARCH("Espeto",N229)),ISNUMBER(SEARCH("Tatuapé",N229))),"SIM","")</f>
        <v/>
      </c>
      <c r="R229" s="99">
        <f>IF(AND(ISNUMBER(SEARCH("Espeto",N229)),ISNUMBER(SEARCH("Pavão",N229))),"SIM","")</f>
        <v/>
      </c>
      <c r="S229" s="99">
        <f>IF(AND(ISNUMBER(SEARCH("Espeto",N229)),ISNUMBER(SEARCH("Chac",N229))),"SIM","")</f>
        <v/>
      </c>
      <c r="T229" s="99">
        <f>IF(AND(ISNUMBER(SEARCH("Espeto",N229)),ISNUMBER(SEARCH("Madalena",N229))),"SIM","")</f>
        <v/>
      </c>
      <c r="U229" s="99">
        <f>IF(AND(ISNUMBER(SEARCH("Espeto",N229)),ISNUMBER(SEARCH("Mariana",N229))),"SIM","")</f>
        <v/>
      </c>
      <c r="V229" s="99">
        <f>IF(AND(ISNUMBER(SEARCH("Espeto",N229)),ISNUMBER(SEARCH("Perdizes",N229))),"SIM","")</f>
        <v/>
      </c>
      <c r="W229" s="99">
        <f>IF(AND(ISNUMBER(SEARCH("Espeto",N229)),ISNUMBER(SEARCH("Santana",N229))),"SIM","")</f>
        <v/>
      </c>
      <c r="X229" s="99">
        <f>IF(AND(ISNUMBER(SEARCH("Espeto",N229)),ISNUMBER(SEARCH("André",N229))),"SIM","")</f>
        <v/>
      </c>
      <c r="Y229" s="99">
        <f>IF(AND(ISNUMBER(SEARCH("Delivery",N229)),ISNUMBER(SEARCH("Carin",N229))),"SIM","")</f>
        <v/>
      </c>
      <c r="Z229" s="99">
        <f>IF(AND(ISNUMBER(SEARCH("Delivery",N229)),ISNUMBER(SEARCH("Lapa",N229))),"SIM","")</f>
        <v/>
      </c>
      <c r="AA229" s="99">
        <f>IF(AND(ISNUMBER(SEARCH("Delivery",N229)),ISNUMBER(SEARCH("Tatuapé",N229))),"SIM","")</f>
        <v/>
      </c>
      <c r="AB229" s="99">
        <f>IF(AND(ISNUMBER(SEARCH("Delivery",N229)),ISNUMBER(SEARCH("Pavão",N229))),"SIM","")</f>
        <v/>
      </c>
      <c r="AC229" s="99">
        <f>IF(AND(ISNUMBER(SEARCH("Delivery",N229)),ISNUMBER(SEARCH("Chac",N229))),"SIM","")</f>
        <v/>
      </c>
      <c r="AD229" s="99">
        <f>IF(AND(ISNUMBER(SEARCH("Delivery",N229)),ISNUMBER(SEARCH("Madalena",N229))),"SIM","")</f>
        <v/>
      </c>
      <c r="AE229" s="92">
        <f>IF(AND(ISNUMBER(SEARCH("Delivery",N229)),ISNUMBER(SEARCH("Mariana",N229))),"SIM","")</f>
        <v/>
      </c>
      <c r="AF229" s="92">
        <f>IF(AND(ISNUMBER(SEARCH("Delivery",N229)),ISNUMBER(SEARCH("Perdizes",N229))),"SIM","")</f>
        <v/>
      </c>
      <c r="AG229" s="92">
        <f>IF(AND(ISNUMBER(SEARCH("Delivery",N229)),ISNUMBER(SEARCH("Santana",N229))),"SIM","")</f>
        <v/>
      </c>
      <c r="AH229" s="92">
        <f>IF(AND(ISNUMBER(SEARCH("Delivery",N229)),ISNUMBER(SEARCH("André",N229))),"SIM","")</f>
        <v/>
      </c>
      <c r="AI229" s="92">
        <f>IF(ISNUMBER(SEARCH("Interlagos",N229)),"SIM","")</f>
        <v/>
      </c>
      <c r="AJ229" s="92">
        <f>IF(ISNUMBER(SEARCH("Quiosque",N229)),"SIM","")</f>
        <v/>
      </c>
      <c r="AK229" s="93" t="n"/>
    </row>
    <row r="230">
      <c r="A230" s="88" t="inlineStr">
        <is>
          <t>Protheus</t>
        </is>
      </c>
      <c r="B230" s="89" t="inlineStr">
        <is>
          <t>010079</t>
        </is>
      </c>
      <c r="C230" s="90">
        <f>IF(B230="—","—",IFERROR(VLOOKUP(B230,_Protheus_Cadastro!$A:$B,2,FALSE),"—"))</f>
        <v/>
      </c>
      <c r="D230" s="91">
        <f>IF(B230="—",IFERROR(INDEX(_ZIG_Cadastro!$D:$D,MATCH(H230,_ZIG_Cadastro!$A:$A,0)),"Produto"),IFERROR(VLOOKUP(B230,_Protheus_Cadastro!$A:$C,3,FALSE),"—"))</f>
        <v/>
      </c>
      <c r="E230" s="91">
        <f>IF(B230="—","—",IFERROR(VLOOKUP(B230,_Protheus_Cadastro!$A:$D,4,FALSE),"—"))</f>
        <v/>
      </c>
      <c r="F230" s="91">
        <f>IF(ISERROR(VLOOKUP(B230,'Estrutura Protheus'!A:A,1,FALSE)),"Não","Sim")</f>
        <v/>
      </c>
      <c r="G230" s="92">
        <f>IFERROR(INDEX(_Protheus_Cadastro!$H:$H,MATCH(B230,_Protheus_Cadastro!$A:$A,0)),"—")</f>
        <v/>
      </c>
      <c r="H230" s="210">
        <f>IFERROR(INDEX(_ZIG_Precos!$D:$D,MATCH(I230,_ZIG_Precos!$F:$F,0)),"—")</f>
        <v/>
      </c>
      <c r="I230" s="95">
        <f>IFERROR(VLOOKUP(B230,_Protheus_Cadastro!$A:$I,9,FALSE),"—")</f>
        <v/>
      </c>
      <c r="J230" s="93">
        <f>IFERROR(INDEX(_ZIG_Cadastro!$B:$B,MATCH(I230,_ZIG_Cadastro!$A:$A,0)),IFERROR(INDEX(_Entradas_ZIG!$B:$B,MATCH(I230,_Entradas_ZIG!$C:$C,0)),"—"))</f>
        <v/>
      </c>
      <c r="K230" s="93">
        <f>IFERROR(INDEX(_ZIG_Cadastro!$C:$C,MATCH(I230,_ZIG_Cadastro!$A:$A,0)),IFERROR(INDEX(_Entradas_ZIG!$D:$D,MATCH(I230,_Entradas_ZIG!$C:$C,0)),"—"))</f>
        <v/>
      </c>
      <c r="L230" s="92">
        <f>IF(I230="","Sem SKU ZIG",IF(I230="—","Sem SKU ZIG",IF(NOT(ISERROR(MATCH(I230,_ZIG_Cadastro!$A:$A,0))),IF(EXACT(UPPER(TRIM(C230)),UPPER(TRIM(INDEX(_ZIG_Cadastro!$B:$B,MATCH(I230,_ZIG_Cadastro!$A:$A,0))))),"OK","Atencao - Nome diverge"),IF(NOT(ISERROR(MATCH(I230,_Entradas_ZIG!$C:$C,0))),"OK","Erro - SKU nao encontrado"))))</f>
        <v/>
      </c>
      <c r="M230" s="92">
        <f>IFERROR(INDEX(_ZIG_Cadastro!$G:$G,MATCH(I230,_ZIG_Cadastro!$A:$A,0)),IF(NOT(ISERROR(MATCH(I230,_Entradas_ZIG!$C:$C,0))),"Ativo","—"))</f>
        <v/>
      </c>
      <c r="N230" s="94">
        <f>IFERROR(INDEX(_ZIG_Cadastro!$E:$E,MATCH(I230,_ZIG_Cadastro!$A:$A,0)),IFERROR(INDEX(_Entradas_ZIG!$F:$F,MATCH(I230,_Entradas_ZIG!$C:$C,0)),"—"))</f>
        <v/>
      </c>
      <c r="O230" s="92">
        <f>IF(AND(ISNUMBER(SEARCH("Espeto",N230)),ISNUMBER(SEARCH("Carin",N230))),"SIM","")</f>
        <v/>
      </c>
      <c r="P230" s="92">
        <f>IF(AND(ISNUMBER(SEARCH("Espeto",N230)),ISNUMBER(SEARCH("Lapa",N230))),"SIM","")</f>
        <v/>
      </c>
      <c r="Q230" s="92">
        <f>IF(AND(ISNUMBER(SEARCH("Espeto",N230)),ISNUMBER(SEARCH("Tatuapé",N230))),"SIM","")</f>
        <v/>
      </c>
      <c r="R230" s="92">
        <f>IF(AND(ISNUMBER(SEARCH("Espeto",N230)),ISNUMBER(SEARCH("Pavão",N230))),"SIM","")</f>
        <v/>
      </c>
      <c r="S230" s="92">
        <f>IF(AND(ISNUMBER(SEARCH("Espeto",N230)),ISNUMBER(SEARCH("Chac",N230))),"SIM","")</f>
        <v/>
      </c>
      <c r="T230" s="92">
        <f>IF(AND(ISNUMBER(SEARCH("Espeto",N230)),ISNUMBER(SEARCH("Madalena",N230))),"SIM","")</f>
        <v/>
      </c>
      <c r="U230" s="92">
        <f>IF(AND(ISNUMBER(SEARCH("Espeto",N230)),ISNUMBER(SEARCH("Mariana",N230))),"SIM","")</f>
        <v/>
      </c>
      <c r="V230" s="92">
        <f>IF(AND(ISNUMBER(SEARCH("Espeto",N230)),ISNUMBER(SEARCH("Perdizes",N230))),"SIM","")</f>
        <v/>
      </c>
      <c r="W230" s="92">
        <f>IF(AND(ISNUMBER(SEARCH("Espeto",N230)),ISNUMBER(SEARCH("Santana",N230))),"SIM","")</f>
        <v/>
      </c>
      <c r="X230" s="92">
        <f>IF(AND(ISNUMBER(SEARCH("Espeto",N230)),ISNUMBER(SEARCH("André",N230))),"SIM","")</f>
        <v/>
      </c>
      <c r="Y230" s="92">
        <f>IF(AND(ISNUMBER(SEARCH("Delivery",N230)),ISNUMBER(SEARCH("Carin",N230))),"SIM","")</f>
        <v/>
      </c>
      <c r="Z230" s="92">
        <f>IF(AND(ISNUMBER(SEARCH("Delivery",N230)),ISNUMBER(SEARCH("Lapa",N230))),"SIM","")</f>
        <v/>
      </c>
      <c r="AA230" s="92">
        <f>IF(AND(ISNUMBER(SEARCH("Delivery",N230)),ISNUMBER(SEARCH("Tatuapé",N230))),"SIM","")</f>
        <v/>
      </c>
      <c r="AB230" s="92">
        <f>IF(AND(ISNUMBER(SEARCH("Delivery",N230)),ISNUMBER(SEARCH("Pavão",N230))),"SIM","")</f>
        <v/>
      </c>
      <c r="AC230" s="92">
        <f>IF(AND(ISNUMBER(SEARCH("Delivery",N230)),ISNUMBER(SEARCH("Chac",N230))),"SIM","")</f>
        <v/>
      </c>
      <c r="AD230" s="92">
        <f>IF(AND(ISNUMBER(SEARCH("Delivery",N230)),ISNUMBER(SEARCH("Madalena",N230))),"SIM","")</f>
        <v/>
      </c>
      <c r="AE230" s="99">
        <f>IF(AND(ISNUMBER(SEARCH("Delivery",N230)),ISNUMBER(SEARCH("Mariana",N230))),"SIM","")</f>
        <v/>
      </c>
      <c r="AF230" s="99">
        <f>IF(AND(ISNUMBER(SEARCH("Delivery",N230)),ISNUMBER(SEARCH("Perdizes",N230))),"SIM","")</f>
        <v/>
      </c>
      <c r="AG230" s="99">
        <f>IF(AND(ISNUMBER(SEARCH("Delivery",N230)),ISNUMBER(SEARCH("Santana",N230))),"SIM","")</f>
        <v/>
      </c>
      <c r="AH230" s="99">
        <f>IF(AND(ISNUMBER(SEARCH("Delivery",N230)),ISNUMBER(SEARCH("André",N230))),"SIM","")</f>
        <v/>
      </c>
      <c r="AI230" s="99">
        <f>IF(ISNUMBER(SEARCH("Interlagos",N230)),"SIM","")</f>
        <v/>
      </c>
      <c r="AJ230" s="99">
        <f>IF(ISNUMBER(SEARCH("Quiosque",N230)),"SIM","")</f>
        <v/>
      </c>
      <c r="AK230" s="101" t="n"/>
    </row>
    <row r="231">
      <c r="A231" s="88" t="inlineStr">
        <is>
          <t>Protheus</t>
        </is>
      </c>
      <c r="B231" s="96" t="inlineStr">
        <is>
          <t>010000</t>
        </is>
      </c>
      <c r="C231" s="97">
        <f>IF(B231="—","—",IFERROR(VLOOKUP(B231,_Protheus_Cadastro!$A:$B,2,FALSE),"—"))</f>
        <v/>
      </c>
      <c r="D231" s="98">
        <f>IF(B231="—",IFERROR(INDEX(_ZIG_Cadastro!$D:$D,MATCH(H231,_ZIG_Cadastro!$A:$A,0)),"Produto"),IFERROR(VLOOKUP(B231,_Protheus_Cadastro!$A:$C,3,FALSE),"—"))</f>
        <v/>
      </c>
      <c r="E231" s="98">
        <f>IF(B231="—","—",IFERROR(VLOOKUP(B231,_Protheus_Cadastro!$A:$D,4,FALSE),"—"))</f>
        <v/>
      </c>
      <c r="F231" s="98">
        <f>IF(ISERROR(VLOOKUP(B231,'Estrutura Protheus'!A:A,1,FALSE)),"Não","Sim")</f>
        <v/>
      </c>
      <c r="G231" s="99">
        <f>IFERROR(INDEX(_Protheus_Cadastro!$H:$H,MATCH(B231,_Protheus_Cadastro!$A:$A,0)),"—")</f>
        <v/>
      </c>
      <c r="H231" s="211">
        <f>IFERROR(INDEX(_ZIG_Precos!$D:$D,MATCH(I231,_ZIG_Precos!$F:$F,0)),"—")</f>
        <v/>
      </c>
      <c r="I231" s="103">
        <f>IFERROR(VLOOKUP(B231,_Protheus_Cadastro!$A:$I,9,FALSE),"—")</f>
        <v/>
      </c>
      <c r="J231" s="101">
        <f>IFERROR(INDEX(_ZIG_Cadastro!$B:$B,MATCH(I231,_ZIG_Cadastro!$A:$A,0)),IFERROR(INDEX(_Entradas_ZIG!$B:$B,MATCH(I231,_Entradas_ZIG!$C:$C,0)),"—"))</f>
        <v/>
      </c>
      <c r="K231" s="101">
        <f>IFERROR(INDEX(_ZIG_Cadastro!$C:$C,MATCH(I231,_ZIG_Cadastro!$A:$A,0)),IFERROR(INDEX(_Entradas_ZIG!$D:$D,MATCH(I231,_Entradas_ZIG!$C:$C,0)),"—"))</f>
        <v/>
      </c>
      <c r="L231" s="99">
        <f>IF(I231="","Sem SKU ZIG",IF(I231="—","Sem SKU ZIG",IF(NOT(ISERROR(MATCH(I231,_ZIG_Cadastro!$A:$A,0))),IF(EXACT(UPPER(TRIM(C231)),UPPER(TRIM(INDEX(_ZIG_Cadastro!$B:$B,MATCH(I231,_ZIG_Cadastro!$A:$A,0))))),"OK","Atencao - Nome diverge"),IF(NOT(ISERROR(MATCH(I231,_Entradas_ZIG!$C:$C,0))),"OK","Erro - SKU nao encontrado"))))</f>
        <v/>
      </c>
      <c r="M231" s="99">
        <f>IFERROR(INDEX(_ZIG_Cadastro!$G:$G,MATCH(I231,_ZIG_Cadastro!$A:$A,0)),IF(NOT(ISERROR(MATCH(I231,_Entradas_ZIG!$C:$C,0))),"Ativo","—"))</f>
        <v/>
      </c>
      <c r="N231" s="102">
        <f>IFERROR(INDEX(_ZIG_Cadastro!$E:$E,MATCH(I231,_ZIG_Cadastro!$A:$A,0)),IFERROR(INDEX(_Entradas_ZIG!$F:$F,MATCH(I231,_Entradas_ZIG!$C:$C,0)),"—"))</f>
        <v/>
      </c>
      <c r="O231" s="99">
        <f>IF(AND(ISNUMBER(SEARCH("Espeto",N231)),ISNUMBER(SEARCH("Carin",N231))),"SIM","")</f>
        <v/>
      </c>
      <c r="P231" s="99">
        <f>IF(AND(ISNUMBER(SEARCH("Espeto",N231)),ISNUMBER(SEARCH("Lapa",N231))),"SIM","")</f>
        <v/>
      </c>
      <c r="Q231" s="99">
        <f>IF(AND(ISNUMBER(SEARCH("Espeto",N231)),ISNUMBER(SEARCH("Tatuapé",N231))),"SIM","")</f>
        <v/>
      </c>
      <c r="R231" s="99">
        <f>IF(AND(ISNUMBER(SEARCH("Espeto",N231)),ISNUMBER(SEARCH("Pavão",N231))),"SIM","")</f>
        <v/>
      </c>
      <c r="S231" s="99">
        <f>IF(AND(ISNUMBER(SEARCH("Espeto",N231)),ISNUMBER(SEARCH("Chac",N231))),"SIM","")</f>
        <v/>
      </c>
      <c r="T231" s="99">
        <f>IF(AND(ISNUMBER(SEARCH("Espeto",N231)),ISNUMBER(SEARCH("Madalena",N231))),"SIM","")</f>
        <v/>
      </c>
      <c r="U231" s="99">
        <f>IF(AND(ISNUMBER(SEARCH("Espeto",N231)),ISNUMBER(SEARCH("Mariana",N231))),"SIM","")</f>
        <v/>
      </c>
      <c r="V231" s="99">
        <f>IF(AND(ISNUMBER(SEARCH("Espeto",N231)),ISNUMBER(SEARCH("Perdizes",N231))),"SIM","")</f>
        <v/>
      </c>
      <c r="W231" s="99">
        <f>IF(AND(ISNUMBER(SEARCH("Espeto",N231)),ISNUMBER(SEARCH("Santana",N231))),"SIM","")</f>
        <v/>
      </c>
      <c r="X231" s="99">
        <f>IF(AND(ISNUMBER(SEARCH("Espeto",N231)),ISNUMBER(SEARCH("André",N231))),"SIM","")</f>
        <v/>
      </c>
      <c r="Y231" s="99">
        <f>IF(AND(ISNUMBER(SEARCH("Delivery",N231)),ISNUMBER(SEARCH("Carin",N231))),"SIM","")</f>
        <v/>
      </c>
      <c r="Z231" s="99">
        <f>IF(AND(ISNUMBER(SEARCH("Delivery",N231)),ISNUMBER(SEARCH("Lapa",N231))),"SIM","")</f>
        <v/>
      </c>
      <c r="AA231" s="99">
        <f>IF(AND(ISNUMBER(SEARCH("Delivery",N231)),ISNUMBER(SEARCH("Tatuapé",N231))),"SIM","")</f>
        <v/>
      </c>
      <c r="AB231" s="99">
        <f>IF(AND(ISNUMBER(SEARCH("Delivery",N231)),ISNUMBER(SEARCH("Pavão",N231))),"SIM","")</f>
        <v/>
      </c>
      <c r="AC231" s="99">
        <f>IF(AND(ISNUMBER(SEARCH("Delivery",N231)),ISNUMBER(SEARCH("Chac",N231))),"SIM","")</f>
        <v/>
      </c>
      <c r="AD231" s="99">
        <f>IF(AND(ISNUMBER(SEARCH("Delivery",N231)),ISNUMBER(SEARCH("Madalena",N231))),"SIM","")</f>
        <v/>
      </c>
      <c r="AE231" s="92">
        <f>IF(AND(ISNUMBER(SEARCH("Delivery",N231)),ISNUMBER(SEARCH("Mariana",N231))),"SIM","")</f>
        <v/>
      </c>
      <c r="AF231" s="92">
        <f>IF(AND(ISNUMBER(SEARCH("Delivery",N231)),ISNUMBER(SEARCH("Perdizes",N231))),"SIM","")</f>
        <v/>
      </c>
      <c r="AG231" s="92">
        <f>IF(AND(ISNUMBER(SEARCH("Delivery",N231)),ISNUMBER(SEARCH("Santana",N231))),"SIM","")</f>
        <v/>
      </c>
      <c r="AH231" s="92">
        <f>IF(AND(ISNUMBER(SEARCH("Delivery",N231)),ISNUMBER(SEARCH("André",N231))),"SIM","")</f>
        <v/>
      </c>
      <c r="AI231" s="92">
        <f>IF(ISNUMBER(SEARCH("Interlagos",N231)),"SIM","")</f>
        <v/>
      </c>
      <c r="AJ231" s="92">
        <f>IF(ISNUMBER(SEARCH("Quiosque",N231)),"SIM","")</f>
        <v/>
      </c>
      <c r="AK231" s="93" t="n"/>
    </row>
    <row r="232">
      <c r="A232" s="88" t="inlineStr">
        <is>
          <t>Protheus</t>
        </is>
      </c>
      <c r="B232" s="96" t="inlineStr">
        <is>
          <t>010018</t>
        </is>
      </c>
      <c r="C232" s="97">
        <f>IF(B232="—","—",IFERROR(VLOOKUP(B232,_Protheus_Cadastro!$A:$B,2,FALSE),"—"))</f>
        <v/>
      </c>
      <c r="D232" s="98">
        <f>IF(B232="—",IFERROR(INDEX(_ZIG_Cadastro!$D:$D,MATCH(H232,_ZIG_Cadastro!$A:$A,0)),"Produto"),IFERROR(VLOOKUP(B232,_Protheus_Cadastro!$A:$C,3,FALSE),"—"))</f>
        <v/>
      </c>
      <c r="E232" s="98">
        <f>IF(B232="—","—",IFERROR(VLOOKUP(B232,_Protheus_Cadastro!$A:$D,4,FALSE),"—"))</f>
        <v/>
      </c>
      <c r="F232" s="98">
        <f>IF(ISERROR(VLOOKUP(B232,'Estrutura Protheus'!A:A,1,FALSE)),"Não","Sim")</f>
        <v/>
      </c>
      <c r="G232" s="99">
        <f>IFERROR(INDEX(_Protheus_Cadastro!$H:$H,MATCH(B232,_Protheus_Cadastro!$A:$A,0)),"—")</f>
        <v/>
      </c>
      <c r="H232" s="211">
        <f>IFERROR(INDEX(_ZIG_Precos!$D:$D,MATCH(I232,_ZIG_Precos!$F:$F,0)),"—")</f>
        <v/>
      </c>
      <c r="I232" s="103">
        <f>IFERROR(VLOOKUP(B232,_Protheus_Cadastro!$A:$I,9,FALSE),"—")</f>
        <v/>
      </c>
      <c r="J232" s="101">
        <f>IFERROR(INDEX(_ZIG_Cadastro!$B:$B,MATCH(I232,_ZIG_Cadastro!$A:$A,0)),IFERROR(INDEX(_Entradas_ZIG!$B:$B,MATCH(I232,_Entradas_ZIG!$C:$C,0)),"—"))</f>
        <v/>
      </c>
      <c r="K232" s="101">
        <f>IFERROR(INDEX(_ZIG_Cadastro!$C:$C,MATCH(I232,_ZIG_Cadastro!$A:$A,0)),IFERROR(INDEX(_Entradas_ZIG!$D:$D,MATCH(I232,_Entradas_ZIG!$C:$C,0)),"—"))</f>
        <v/>
      </c>
      <c r="L232" s="99">
        <f>IF(I232="","Sem SKU ZIG",IF(I232="—","Sem SKU ZIG",IF(NOT(ISERROR(MATCH(I232,_ZIG_Cadastro!$A:$A,0))),IF(EXACT(UPPER(TRIM(C232)),UPPER(TRIM(INDEX(_ZIG_Cadastro!$B:$B,MATCH(I232,_ZIG_Cadastro!$A:$A,0))))),"OK","Atencao - Nome diverge"),IF(NOT(ISERROR(MATCH(I232,_Entradas_ZIG!$C:$C,0))),"OK","Erro - SKU nao encontrado"))))</f>
        <v/>
      </c>
      <c r="M232" s="99">
        <f>IFERROR(INDEX(_ZIG_Cadastro!$G:$G,MATCH(I232,_ZIG_Cadastro!$A:$A,0)),IF(NOT(ISERROR(MATCH(I232,_Entradas_ZIG!$C:$C,0))),"Ativo","—"))</f>
        <v/>
      </c>
      <c r="N232" s="102">
        <f>IFERROR(INDEX(_ZIG_Cadastro!$E:$E,MATCH(I232,_ZIG_Cadastro!$A:$A,0)),IFERROR(INDEX(_Entradas_ZIG!$F:$F,MATCH(I232,_Entradas_ZIG!$C:$C,0)),"—"))</f>
        <v/>
      </c>
      <c r="O232" s="99">
        <f>IF(AND(ISNUMBER(SEARCH("Espeto",N232)),ISNUMBER(SEARCH("Carin",N232))),"SIM","")</f>
        <v/>
      </c>
      <c r="P232" s="99">
        <f>IF(AND(ISNUMBER(SEARCH("Espeto",N232)),ISNUMBER(SEARCH("Lapa",N232))),"SIM","")</f>
        <v/>
      </c>
      <c r="Q232" s="99">
        <f>IF(AND(ISNUMBER(SEARCH("Espeto",N232)),ISNUMBER(SEARCH("Tatuapé",N232))),"SIM","")</f>
        <v/>
      </c>
      <c r="R232" s="99">
        <f>IF(AND(ISNUMBER(SEARCH("Espeto",N232)),ISNUMBER(SEARCH("Pavão",N232))),"SIM","")</f>
        <v/>
      </c>
      <c r="S232" s="99">
        <f>IF(AND(ISNUMBER(SEARCH("Espeto",N232)),ISNUMBER(SEARCH("Chac",N232))),"SIM","")</f>
        <v/>
      </c>
      <c r="T232" s="99">
        <f>IF(AND(ISNUMBER(SEARCH("Espeto",N232)),ISNUMBER(SEARCH("Madalena",N232))),"SIM","")</f>
        <v/>
      </c>
      <c r="U232" s="99">
        <f>IF(AND(ISNUMBER(SEARCH("Espeto",N232)),ISNUMBER(SEARCH("Mariana",N232))),"SIM","")</f>
        <v/>
      </c>
      <c r="V232" s="99">
        <f>IF(AND(ISNUMBER(SEARCH("Espeto",N232)),ISNUMBER(SEARCH("Perdizes",N232))),"SIM","")</f>
        <v/>
      </c>
      <c r="W232" s="99">
        <f>IF(AND(ISNUMBER(SEARCH("Espeto",N232)),ISNUMBER(SEARCH("Santana",N232))),"SIM","")</f>
        <v/>
      </c>
      <c r="X232" s="99">
        <f>IF(AND(ISNUMBER(SEARCH("Espeto",N232)),ISNUMBER(SEARCH("André",N232))),"SIM","")</f>
        <v/>
      </c>
      <c r="Y232" s="99">
        <f>IF(AND(ISNUMBER(SEARCH("Delivery",N232)),ISNUMBER(SEARCH("Carin",N232))),"SIM","")</f>
        <v/>
      </c>
      <c r="Z232" s="99">
        <f>IF(AND(ISNUMBER(SEARCH("Delivery",N232)),ISNUMBER(SEARCH("Lapa",N232))),"SIM","")</f>
        <v/>
      </c>
      <c r="AA232" s="99">
        <f>IF(AND(ISNUMBER(SEARCH("Delivery",N232)),ISNUMBER(SEARCH("Tatuapé",N232))),"SIM","")</f>
        <v/>
      </c>
      <c r="AB232" s="99">
        <f>IF(AND(ISNUMBER(SEARCH("Delivery",N232)),ISNUMBER(SEARCH("Pavão",N232))),"SIM","")</f>
        <v/>
      </c>
      <c r="AC232" s="99">
        <f>IF(AND(ISNUMBER(SEARCH("Delivery",N232)),ISNUMBER(SEARCH("Chac",N232))),"SIM","")</f>
        <v/>
      </c>
      <c r="AD232" s="99">
        <f>IF(AND(ISNUMBER(SEARCH("Delivery",N232)),ISNUMBER(SEARCH("Madalena",N232))),"SIM","")</f>
        <v/>
      </c>
      <c r="AE232" s="92">
        <f>IF(AND(ISNUMBER(SEARCH("Delivery",N232)),ISNUMBER(SEARCH("Mariana",N232))),"SIM","")</f>
        <v/>
      </c>
      <c r="AF232" s="92">
        <f>IF(AND(ISNUMBER(SEARCH("Delivery",N232)),ISNUMBER(SEARCH("Perdizes",N232))),"SIM","")</f>
        <v/>
      </c>
      <c r="AG232" s="92">
        <f>IF(AND(ISNUMBER(SEARCH("Delivery",N232)),ISNUMBER(SEARCH("Santana",N232))),"SIM","")</f>
        <v/>
      </c>
      <c r="AH232" s="92">
        <f>IF(AND(ISNUMBER(SEARCH("Delivery",N232)),ISNUMBER(SEARCH("André",N232))),"SIM","")</f>
        <v/>
      </c>
      <c r="AI232" s="92">
        <f>IF(ISNUMBER(SEARCH("Interlagos",N232)),"SIM","")</f>
        <v/>
      </c>
      <c r="AJ232" s="92">
        <f>IF(ISNUMBER(SEARCH("Quiosque",N232)),"SIM","")</f>
        <v/>
      </c>
      <c r="AK232" s="93" t="n"/>
    </row>
    <row r="233">
      <c r="A233" s="88" t="inlineStr">
        <is>
          <t>Protheus</t>
        </is>
      </c>
      <c r="B233" s="89" t="inlineStr">
        <is>
          <t>010056</t>
        </is>
      </c>
      <c r="C233" s="90">
        <f>IF(B233="—","—",IFERROR(VLOOKUP(B233,_Protheus_Cadastro!$A:$B,2,FALSE),"—"))</f>
        <v/>
      </c>
      <c r="D233" s="91">
        <f>IF(B233="—",IFERROR(INDEX(_ZIG_Cadastro!$D:$D,MATCH(H233,_ZIG_Cadastro!$A:$A,0)),"Produto"),IFERROR(VLOOKUP(B233,_Protheus_Cadastro!$A:$C,3,FALSE),"—"))</f>
        <v/>
      </c>
      <c r="E233" s="91">
        <f>IF(B233="—","—",IFERROR(VLOOKUP(B233,_Protheus_Cadastro!$A:$D,4,FALSE),"—"))</f>
        <v/>
      </c>
      <c r="F233" s="91">
        <f>IF(ISERROR(VLOOKUP(B233,'Estrutura Protheus'!A:A,1,FALSE)),"Não","Sim")</f>
        <v/>
      </c>
      <c r="G233" s="92">
        <f>IFERROR(INDEX(_Protheus_Cadastro!$H:$H,MATCH(B233,_Protheus_Cadastro!$A:$A,0)),"—")</f>
        <v/>
      </c>
      <c r="H233" s="210">
        <f>IFERROR(INDEX(_ZIG_Precos!$D:$D,MATCH(I233,_ZIG_Precos!$F:$F,0)),"—")</f>
        <v/>
      </c>
      <c r="I233" s="95">
        <f>IFERROR(VLOOKUP(B233,_Protheus_Cadastro!$A:$I,9,FALSE),"—")</f>
        <v/>
      </c>
      <c r="J233" s="93">
        <f>IFERROR(INDEX(_ZIG_Cadastro!$B:$B,MATCH(I233,_ZIG_Cadastro!$A:$A,0)),IFERROR(INDEX(_Entradas_ZIG!$B:$B,MATCH(I233,_Entradas_ZIG!$C:$C,0)),"—"))</f>
        <v/>
      </c>
      <c r="K233" s="93">
        <f>IFERROR(INDEX(_ZIG_Cadastro!$C:$C,MATCH(I233,_ZIG_Cadastro!$A:$A,0)),IFERROR(INDEX(_Entradas_ZIG!$D:$D,MATCH(I233,_Entradas_ZIG!$C:$C,0)),"—"))</f>
        <v/>
      </c>
      <c r="L233" s="92">
        <f>IF(I233="","Sem SKU ZIG",IF(I233="—","Sem SKU ZIG",IF(NOT(ISERROR(MATCH(I233,_ZIG_Cadastro!$A:$A,0))),IF(EXACT(UPPER(TRIM(C233)),UPPER(TRIM(INDEX(_ZIG_Cadastro!$B:$B,MATCH(I233,_ZIG_Cadastro!$A:$A,0))))),"OK","Atencao - Nome diverge"),IF(NOT(ISERROR(MATCH(I233,_Entradas_ZIG!$C:$C,0))),"OK","Erro - SKU nao encontrado"))))</f>
        <v/>
      </c>
      <c r="M233" s="92">
        <f>IFERROR(INDEX(_ZIG_Cadastro!$G:$G,MATCH(I233,_ZIG_Cadastro!$A:$A,0)),IF(NOT(ISERROR(MATCH(I233,_Entradas_ZIG!$C:$C,0))),"Ativo","—"))</f>
        <v/>
      </c>
      <c r="N233" s="94">
        <f>IFERROR(INDEX(_ZIG_Cadastro!$E:$E,MATCH(I233,_ZIG_Cadastro!$A:$A,0)),IFERROR(INDEX(_Entradas_ZIG!$F:$F,MATCH(I233,_Entradas_ZIG!$C:$C,0)),"—"))</f>
        <v/>
      </c>
      <c r="O233" s="92">
        <f>IF(AND(ISNUMBER(SEARCH("Espeto",N233)),ISNUMBER(SEARCH("Carin",N233))),"SIM","")</f>
        <v/>
      </c>
      <c r="P233" s="92">
        <f>IF(AND(ISNUMBER(SEARCH("Espeto",N233)),ISNUMBER(SEARCH("Lapa",N233))),"SIM","")</f>
        <v/>
      </c>
      <c r="Q233" s="92">
        <f>IF(AND(ISNUMBER(SEARCH("Espeto",N233)),ISNUMBER(SEARCH("Tatuapé",N233))),"SIM","")</f>
        <v/>
      </c>
      <c r="R233" s="92">
        <f>IF(AND(ISNUMBER(SEARCH("Espeto",N233)),ISNUMBER(SEARCH("Pavão",N233))),"SIM","")</f>
        <v/>
      </c>
      <c r="S233" s="92">
        <f>IF(AND(ISNUMBER(SEARCH("Espeto",N233)),ISNUMBER(SEARCH("Chac",N233))),"SIM","")</f>
        <v/>
      </c>
      <c r="T233" s="92">
        <f>IF(AND(ISNUMBER(SEARCH("Espeto",N233)),ISNUMBER(SEARCH("Madalena",N233))),"SIM","")</f>
        <v/>
      </c>
      <c r="U233" s="92">
        <f>IF(AND(ISNUMBER(SEARCH("Espeto",N233)),ISNUMBER(SEARCH("Mariana",N233))),"SIM","")</f>
        <v/>
      </c>
      <c r="V233" s="92">
        <f>IF(AND(ISNUMBER(SEARCH("Espeto",N233)),ISNUMBER(SEARCH("Perdizes",N233))),"SIM","")</f>
        <v/>
      </c>
      <c r="W233" s="92">
        <f>IF(AND(ISNUMBER(SEARCH("Espeto",N233)),ISNUMBER(SEARCH("Santana",N233))),"SIM","")</f>
        <v/>
      </c>
      <c r="X233" s="92">
        <f>IF(AND(ISNUMBER(SEARCH("Espeto",N233)),ISNUMBER(SEARCH("André",N233))),"SIM","")</f>
        <v/>
      </c>
      <c r="Y233" s="92">
        <f>IF(AND(ISNUMBER(SEARCH("Delivery",N233)),ISNUMBER(SEARCH("Carin",N233))),"SIM","")</f>
        <v/>
      </c>
      <c r="Z233" s="92">
        <f>IF(AND(ISNUMBER(SEARCH("Delivery",N233)),ISNUMBER(SEARCH("Lapa",N233))),"SIM","")</f>
        <v/>
      </c>
      <c r="AA233" s="92">
        <f>IF(AND(ISNUMBER(SEARCH("Delivery",N233)),ISNUMBER(SEARCH("Tatuapé",N233))),"SIM","")</f>
        <v/>
      </c>
      <c r="AB233" s="92">
        <f>IF(AND(ISNUMBER(SEARCH("Delivery",N233)),ISNUMBER(SEARCH("Pavão",N233))),"SIM","")</f>
        <v/>
      </c>
      <c r="AC233" s="92">
        <f>IF(AND(ISNUMBER(SEARCH("Delivery",N233)),ISNUMBER(SEARCH("Chac",N233))),"SIM","")</f>
        <v/>
      </c>
      <c r="AD233" s="92">
        <f>IF(AND(ISNUMBER(SEARCH("Delivery",N233)),ISNUMBER(SEARCH("Madalena",N233))),"SIM","")</f>
        <v/>
      </c>
      <c r="AE233" s="99">
        <f>IF(AND(ISNUMBER(SEARCH("Delivery",N233)),ISNUMBER(SEARCH("Mariana",N233))),"SIM","")</f>
        <v/>
      </c>
      <c r="AF233" s="99">
        <f>IF(AND(ISNUMBER(SEARCH("Delivery",N233)),ISNUMBER(SEARCH("Perdizes",N233))),"SIM","")</f>
        <v/>
      </c>
      <c r="AG233" s="99">
        <f>IF(AND(ISNUMBER(SEARCH("Delivery",N233)),ISNUMBER(SEARCH("Santana",N233))),"SIM","")</f>
        <v/>
      </c>
      <c r="AH233" s="99">
        <f>IF(AND(ISNUMBER(SEARCH("Delivery",N233)),ISNUMBER(SEARCH("André",N233))),"SIM","")</f>
        <v/>
      </c>
      <c r="AI233" s="99">
        <f>IF(ISNUMBER(SEARCH("Interlagos",N233)),"SIM","")</f>
        <v/>
      </c>
      <c r="AJ233" s="99">
        <f>IF(ISNUMBER(SEARCH("Quiosque",N233)),"SIM","")</f>
        <v/>
      </c>
      <c r="AK233" s="101" t="n"/>
    </row>
    <row r="234">
      <c r="A234" s="88" t="inlineStr">
        <is>
          <t>Protheus</t>
        </is>
      </c>
      <c r="B234" s="96" t="inlineStr">
        <is>
          <t>010060</t>
        </is>
      </c>
      <c r="C234" s="97">
        <f>IF(B234="—","—",IFERROR(VLOOKUP(B234,_Protheus_Cadastro!$A:$B,2,FALSE),"—"))</f>
        <v/>
      </c>
      <c r="D234" s="98">
        <f>IF(B234="—",IFERROR(INDEX(_ZIG_Cadastro!$D:$D,MATCH(H234,_ZIG_Cadastro!$A:$A,0)),"Produto"),IFERROR(VLOOKUP(B234,_Protheus_Cadastro!$A:$C,3,FALSE),"—"))</f>
        <v/>
      </c>
      <c r="E234" s="98">
        <f>IF(B234="—","—",IFERROR(VLOOKUP(B234,_Protheus_Cadastro!$A:$D,4,FALSE),"—"))</f>
        <v/>
      </c>
      <c r="F234" s="98">
        <f>IF(ISERROR(VLOOKUP(B234,'Estrutura Protheus'!A:A,1,FALSE)),"Não","Sim")</f>
        <v/>
      </c>
      <c r="G234" s="99">
        <f>IFERROR(INDEX(_Protheus_Cadastro!$H:$H,MATCH(B234,_Protheus_Cadastro!$A:$A,0)),"—")</f>
        <v/>
      </c>
      <c r="H234" s="211">
        <f>IFERROR(INDEX(_ZIG_Precos!$D:$D,MATCH(I234,_ZIG_Precos!$F:$F,0)),"—")</f>
        <v/>
      </c>
      <c r="I234" s="103">
        <f>IFERROR(VLOOKUP(B234,_Protheus_Cadastro!$A:$I,9,FALSE),"—")</f>
        <v/>
      </c>
      <c r="J234" s="101">
        <f>IFERROR(INDEX(_ZIG_Cadastro!$B:$B,MATCH(I234,_ZIG_Cadastro!$A:$A,0)),IFERROR(INDEX(_Entradas_ZIG!$B:$B,MATCH(I234,_Entradas_ZIG!$C:$C,0)),"—"))</f>
        <v/>
      </c>
      <c r="K234" s="101">
        <f>IFERROR(INDEX(_ZIG_Cadastro!$C:$C,MATCH(I234,_ZIG_Cadastro!$A:$A,0)),IFERROR(INDEX(_Entradas_ZIG!$D:$D,MATCH(I234,_Entradas_ZIG!$C:$C,0)),"—"))</f>
        <v/>
      </c>
      <c r="L234" s="99">
        <f>IF(I234="","Sem SKU ZIG",IF(I234="—","Sem SKU ZIG",IF(NOT(ISERROR(MATCH(I234,_ZIG_Cadastro!$A:$A,0))),IF(EXACT(UPPER(TRIM(C234)),UPPER(TRIM(INDEX(_ZIG_Cadastro!$B:$B,MATCH(I234,_ZIG_Cadastro!$A:$A,0))))),"OK","Atencao - Nome diverge"),IF(NOT(ISERROR(MATCH(I234,_Entradas_ZIG!$C:$C,0))),"OK","Erro - SKU nao encontrado"))))</f>
        <v/>
      </c>
      <c r="M234" s="99">
        <f>IFERROR(INDEX(_ZIG_Cadastro!$G:$G,MATCH(I234,_ZIG_Cadastro!$A:$A,0)),IF(NOT(ISERROR(MATCH(I234,_Entradas_ZIG!$C:$C,0))),"Ativo","—"))</f>
        <v/>
      </c>
      <c r="N234" s="102">
        <f>IFERROR(INDEX(_ZIG_Cadastro!$E:$E,MATCH(I234,_ZIG_Cadastro!$A:$A,0)),IFERROR(INDEX(_Entradas_ZIG!$F:$F,MATCH(I234,_Entradas_ZIG!$C:$C,0)),"—"))</f>
        <v/>
      </c>
      <c r="O234" s="99">
        <f>IF(AND(ISNUMBER(SEARCH("Espeto",N234)),ISNUMBER(SEARCH("Carin",N234))),"SIM","")</f>
        <v/>
      </c>
      <c r="P234" s="99">
        <f>IF(AND(ISNUMBER(SEARCH("Espeto",N234)),ISNUMBER(SEARCH("Lapa",N234))),"SIM","")</f>
        <v/>
      </c>
      <c r="Q234" s="99">
        <f>IF(AND(ISNUMBER(SEARCH("Espeto",N234)),ISNUMBER(SEARCH("Tatuapé",N234))),"SIM","")</f>
        <v/>
      </c>
      <c r="R234" s="99">
        <f>IF(AND(ISNUMBER(SEARCH("Espeto",N234)),ISNUMBER(SEARCH("Pavão",N234))),"SIM","")</f>
        <v/>
      </c>
      <c r="S234" s="99">
        <f>IF(AND(ISNUMBER(SEARCH("Espeto",N234)),ISNUMBER(SEARCH("Chac",N234))),"SIM","")</f>
        <v/>
      </c>
      <c r="T234" s="99">
        <f>IF(AND(ISNUMBER(SEARCH("Espeto",N234)),ISNUMBER(SEARCH("Madalena",N234))),"SIM","")</f>
        <v/>
      </c>
      <c r="U234" s="99">
        <f>IF(AND(ISNUMBER(SEARCH("Espeto",N234)),ISNUMBER(SEARCH("Mariana",N234))),"SIM","")</f>
        <v/>
      </c>
      <c r="V234" s="99">
        <f>IF(AND(ISNUMBER(SEARCH("Espeto",N234)),ISNUMBER(SEARCH("Perdizes",N234))),"SIM","")</f>
        <v/>
      </c>
      <c r="W234" s="99">
        <f>IF(AND(ISNUMBER(SEARCH("Espeto",N234)),ISNUMBER(SEARCH("Santana",N234))),"SIM","")</f>
        <v/>
      </c>
      <c r="X234" s="99">
        <f>IF(AND(ISNUMBER(SEARCH("Espeto",N234)),ISNUMBER(SEARCH("André",N234))),"SIM","")</f>
        <v/>
      </c>
      <c r="Y234" s="99">
        <f>IF(AND(ISNUMBER(SEARCH("Delivery",N234)),ISNUMBER(SEARCH("Carin",N234))),"SIM","")</f>
        <v/>
      </c>
      <c r="Z234" s="99">
        <f>IF(AND(ISNUMBER(SEARCH("Delivery",N234)),ISNUMBER(SEARCH("Lapa",N234))),"SIM","")</f>
        <v/>
      </c>
      <c r="AA234" s="99">
        <f>IF(AND(ISNUMBER(SEARCH("Delivery",N234)),ISNUMBER(SEARCH("Tatuapé",N234))),"SIM","")</f>
        <v/>
      </c>
      <c r="AB234" s="99">
        <f>IF(AND(ISNUMBER(SEARCH("Delivery",N234)),ISNUMBER(SEARCH("Pavão",N234))),"SIM","")</f>
        <v/>
      </c>
      <c r="AC234" s="99">
        <f>IF(AND(ISNUMBER(SEARCH("Delivery",N234)),ISNUMBER(SEARCH("Chac",N234))),"SIM","")</f>
        <v/>
      </c>
      <c r="AD234" s="99">
        <f>IF(AND(ISNUMBER(SEARCH("Delivery",N234)),ISNUMBER(SEARCH("Madalena",N234))),"SIM","")</f>
        <v/>
      </c>
      <c r="AE234" s="92">
        <f>IF(AND(ISNUMBER(SEARCH("Delivery",N234)),ISNUMBER(SEARCH("Mariana",N234))),"SIM","")</f>
        <v/>
      </c>
      <c r="AF234" s="92">
        <f>IF(AND(ISNUMBER(SEARCH("Delivery",N234)),ISNUMBER(SEARCH("Perdizes",N234))),"SIM","")</f>
        <v/>
      </c>
      <c r="AG234" s="92">
        <f>IF(AND(ISNUMBER(SEARCH("Delivery",N234)),ISNUMBER(SEARCH("Santana",N234))),"SIM","")</f>
        <v/>
      </c>
      <c r="AH234" s="92">
        <f>IF(AND(ISNUMBER(SEARCH("Delivery",N234)),ISNUMBER(SEARCH("André",N234))),"SIM","")</f>
        <v/>
      </c>
      <c r="AI234" s="92">
        <f>IF(ISNUMBER(SEARCH("Interlagos",N234)),"SIM","")</f>
        <v/>
      </c>
      <c r="AJ234" s="92">
        <f>IF(ISNUMBER(SEARCH("Quiosque",N234)),"SIM","")</f>
        <v/>
      </c>
      <c r="AK234" s="93" t="n"/>
    </row>
    <row r="235">
      <c r="A235" s="88" t="inlineStr">
        <is>
          <t>Protheus</t>
        </is>
      </c>
      <c r="B235" s="89" t="inlineStr">
        <is>
          <t>001232</t>
        </is>
      </c>
      <c r="C235" s="90">
        <f>IF(B235="—","—",IFERROR(VLOOKUP(B235,_Protheus_Cadastro!$A:$B,2,FALSE),"—"))</f>
        <v/>
      </c>
      <c r="D235" s="91">
        <f>IF(B235="—",IFERROR(INDEX(_ZIG_Cadastro!$D:$D,MATCH(H235,_ZIG_Cadastro!$A:$A,0)),"Produto"),IFERROR(VLOOKUP(B235,_Protheus_Cadastro!$A:$C,3,FALSE),"—"))</f>
        <v/>
      </c>
      <c r="E235" s="91">
        <f>IF(B235="—","—",IFERROR(VLOOKUP(B235,_Protheus_Cadastro!$A:$D,4,FALSE),"—"))</f>
        <v/>
      </c>
      <c r="F235" s="91">
        <f>IF(ISERROR(VLOOKUP(B235,'Estrutura Protheus'!A:A,1,FALSE)),"Não","Sim")</f>
        <v/>
      </c>
      <c r="G235" s="92">
        <f>IFERROR(INDEX(_Protheus_Cadastro!$H:$H,MATCH(B235,_Protheus_Cadastro!$A:$A,0)),"—")</f>
        <v/>
      </c>
      <c r="H235" s="210">
        <f>IFERROR(INDEX(_ZIG_Precos!$D:$D,MATCH(I235,_ZIG_Precos!$F:$F,0)),"—")</f>
        <v/>
      </c>
      <c r="I235" s="95">
        <f>IFERROR(VLOOKUP(B235,_Protheus_Cadastro!$A:$I,9,FALSE),"—")</f>
        <v/>
      </c>
      <c r="J235" s="93">
        <f>IFERROR(INDEX(_ZIG_Cadastro!$B:$B,MATCH(I235,_ZIG_Cadastro!$A:$A,0)),IFERROR(INDEX(_Entradas_ZIG!$B:$B,MATCH(I235,_Entradas_ZIG!$C:$C,0)),"—"))</f>
        <v/>
      </c>
      <c r="K235" s="93">
        <f>IFERROR(INDEX(_ZIG_Cadastro!$C:$C,MATCH(I235,_ZIG_Cadastro!$A:$A,0)),IFERROR(INDEX(_Entradas_ZIG!$D:$D,MATCH(I235,_Entradas_ZIG!$C:$C,0)),"—"))</f>
        <v/>
      </c>
      <c r="L235" s="92">
        <f>IF(I235="","Sem SKU ZIG",IF(I235="—","Sem SKU ZIG",IF(NOT(ISERROR(MATCH(I235,_ZIG_Cadastro!$A:$A,0))),IF(EXACT(UPPER(TRIM(C235)),UPPER(TRIM(INDEX(_ZIG_Cadastro!$B:$B,MATCH(I235,_ZIG_Cadastro!$A:$A,0))))),"OK","Atencao - Nome diverge"),IF(NOT(ISERROR(MATCH(I235,_Entradas_ZIG!$C:$C,0))),"OK","Erro - SKU nao encontrado"))))</f>
        <v/>
      </c>
      <c r="M235" s="92">
        <f>IFERROR(INDEX(_ZIG_Cadastro!$G:$G,MATCH(I235,_ZIG_Cadastro!$A:$A,0)),IF(NOT(ISERROR(MATCH(I235,_Entradas_ZIG!$C:$C,0))),"Ativo","—"))</f>
        <v/>
      </c>
      <c r="N235" s="94">
        <f>IFERROR(INDEX(_ZIG_Cadastro!$E:$E,MATCH(I235,_ZIG_Cadastro!$A:$A,0)),IFERROR(INDEX(_Entradas_ZIG!$F:$F,MATCH(I235,_Entradas_ZIG!$C:$C,0)),"—"))</f>
        <v/>
      </c>
      <c r="O235" s="92">
        <f>IF(AND(ISNUMBER(SEARCH("Espeto",N235)),ISNUMBER(SEARCH("Carin",N235))),"SIM","")</f>
        <v/>
      </c>
      <c r="P235" s="92">
        <f>IF(AND(ISNUMBER(SEARCH("Espeto",N235)),ISNUMBER(SEARCH("Lapa",N235))),"SIM","")</f>
        <v/>
      </c>
      <c r="Q235" s="92">
        <f>IF(AND(ISNUMBER(SEARCH("Espeto",N235)),ISNUMBER(SEARCH("Tatuapé",N235))),"SIM","")</f>
        <v/>
      </c>
      <c r="R235" s="92">
        <f>IF(AND(ISNUMBER(SEARCH("Espeto",N235)),ISNUMBER(SEARCH("Pavão",N235))),"SIM","")</f>
        <v/>
      </c>
      <c r="S235" s="92">
        <f>IF(AND(ISNUMBER(SEARCH("Espeto",N235)),ISNUMBER(SEARCH("Chac",N235))),"SIM","")</f>
        <v/>
      </c>
      <c r="T235" s="92">
        <f>IF(AND(ISNUMBER(SEARCH("Espeto",N235)),ISNUMBER(SEARCH("Madalena",N235))),"SIM","")</f>
        <v/>
      </c>
      <c r="U235" s="92">
        <f>IF(AND(ISNUMBER(SEARCH("Espeto",N235)),ISNUMBER(SEARCH("Mariana",N235))),"SIM","")</f>
        <v/>
      </c>
      <c r="V235" s="92">
        <f>IF(AND(ISNUMBER(SEARCH("Espeto",N235)),ISNUMBER(SEARCH("Perdizes",N235))),"SIM","")</f>
        <v/>
      </c>
      <c r="W235" s="92">
        <f>IF(AND(ISNUMBER(SEARCH("Espeto",N235)),ISNUMBER(SEARCH("Santana",N235))),"SIM","")</f>
        <v/>
      </c>
      <c r="X235" s="92">
        <f>IF(AND(ISNUMBER(SEARCH("Espeto",N235)),ISNUMBER(SEARCH("André",N235))),"SIM","")</f>
        <v/>
      </c>
      <c r="Y235" s="92">
        <f>IF(AND(ISNUMBER(SEARCH("Delivery",N235)),ISNUMBER(SEARCH("Carin",N235))),"SIM","")</f>
        <v/>
      </c>
      <c r="Z235" s="92">
        <f>IF(AND(ISNUMBER(SEARCH("Delivery",N235)),ISNUMBER(SEARCH("Lapa",N235))),"SIM","")</f>
        <v/>
      </c>
      <c r="AA235" s="92">
        <f>IF(AND(ISNUMBER(SEARCH("Delivery",N235)),ISNUMBER(SEARCH("Tatuapé",N235))),"SIM","")</f>
        <v/>
      </c>
      <c r="AB235" s="92">
        <f>IF(AND(ISNUMBER(SEARCH("Delivery",N235)),ISNUMBER(SEARCH("Pavão",N235))),"SIM","")</f>
        <v/>
      </c>
      <c r="AC235" s="92">
        <f>IF(AND(ISNUMBER(SEARCH("Delivery",N235)),ISNUMBER(SEARCH("Chac",N235))),"SIM","")</f>
        <v/>
      </c>
      <c r="AD235" s="92">
        <f>IF(AND(ISNUMBER(SEARCH("Delivery",N235)),ISNUMBER(SEARCH("Madalena",N235))),"SIM","")</f>
        <v/>
      </c>
      <c r="AE235" s="99">
        <f>IF(AND(ISNUMBER(SEARCH("Delivery",N235)),ISNUMBER(SEARCH("Mariana",N235))),"SIM","")</f>
        <v/>
      </c>
      <c r="AF235" s="99">
        <f>IF(AND(ISNUMBER(SEARCH("Delivery",N235)),ISNUMBER(SEARCH("Perdizes",N235))),"SIM","")</f>
        <v/>
      </c>
      <c r="AG235" s="99">
        <f>IF(AND(ISNUMBER(SEARCH("Delivery",N235)),ISNUMBER(SEARCH("Santana",N235))),"SIM","")</f>
        <v/>
      </c>
      <c r="AH235" s="99">
        <f>IF(AND(ISNUMBER(SEARCH("Delivery",N235)),ISNUMBER(SEARCH("André",N235))),"SIM","")</f>
        <v/>
      </c>
      <c r="AI235" s="99">
        <f>IF(ISNUMBER(SEARCH("Interlagos",N235)),"SIM","")</f>
        <v/>
      </c>
      <c r="AJ235" s="99">
        <f>IF(ISNUMBER(SEARCH("Quiosque",N235)),"SIM","")</f>
        <v/>
      </c>
      <c r="AK235" s="101" t="n"/>
    </row>
    <row r="236">
      <c r="A236" s="88" t="inlineStr">
        <is>
          <t>Protheus</t>
        </is>
      </c>
      <c r="B236" s="96" t="inlineStr">
        <is>
          <t>001105</t>
        </is>
      </c>
      <c r="C236" s="97">
        <f>IF(B236="—","—",IFERROR(VLOOKUP(B236,_Protheus_Cadastro!$A:$B,2,FALSE),"—"))</f>
        <v/>
      </c>
      <c r="D236" s="98">
        <f>IF(B236="—",IFERROR(INDEX(_ZIG_Cadastro!$D:$D,MATCH(H236,_ZIG_Cadastro!$A:$A,0)),"Produto"),IFERROR(VLOOKUP(B236,_Protheus_Cadastro!$A:$C,3,FALSE),"—"))</f>
        <v/>
      </c>
      <c r="E236" s="98">
        <f>IF(B236="—","—",IFERROR(VLOOKUP(B236,_Protheus_Cadastro!$A:$D,4,FALSE),"—"))</f>
        <v/>
      </c>
      <c r="F236" s="98">
        <f>IF(ISERROR(VLOOKUP(B236,'Estrutura Protheus'!A:A,1,FALSE)),"Não","Sim")</f>
        <v/>
      </c>
      <c r="G236" s="99">
        <f>IFERROR(INDEX(_Protheus_Cadastro!$H:$H,MATCH(B236,_Protheus_Cadastro!$A:$A,0)),"—")</f>
        <v/>
      </c>
      <c r="H236" s="211">
        <f>IFERROR(INDEX(_ZIG_Precos!$D:$D,MATCH(I236,_ZIG_Precos!$F:$F,0)),"—")</f>
        <v/>
      </c>
      <c r="I236" s="103">
        <f>IFERROR(VLOOKUP(B236,_Protheus_Cadastro!$A:$I,9,FALSE),"—")</f>
        <v/>
      </c>
      <c r="J236" s="101">
        <f>IFERROR(INDEX(_ZIG_Cadastro!$B:$B,MATCH(I236,_ZIG_Cadastro!$A:$A,0)),IFERROR(INDEX(_Entradas_ZIG!$B:$B,MATCH(I236,_Entradas_ZIG!$C:$C,0)),"—"))</f>
        <v/>
      </c>
      <c r="K236" s="101">
        <f>IFERROR(INDEX(_ZIG_Cadastro!$C:$C,MATCH(I236,_ZIG_Cadastro!$A:$A,0)),IFERROR(INDEX(_Entradas_ZIG!$D:$D,MATCH(I236,_Entradas_ZIG!$C:$C,0)),"—"))</f>
        <v/>
      </c>
      <c r="L236" s="99">
        <f>IF(I236="","Sem SKU ZIG",IF(I236="—","Sem SKU ZIG",IF(NOT(ISERROR(MATCH(I236,_ZIG_Cadastro!$A:$A,0))),IF(EXACT(UPPER(TRIM(C236)),UPPER(TRIM(INDEX(_ZIG_Cadastro!$B:$B,MATCH(I236,_ZIG_Cadastro!$A:$A,0))))),"OK","Atencao - Nome diverge"),IF(NOT(ISERROR(MATCH(I236,_Entradas_ZIG!$C:$C,0))),"OK","Erro - SKU nao encontrado"))))</f>
        <v/>
      </c>
      <c r="M236" s="99">
        <f>IFERROR(INDEX(_ZIG_Cadastro!$G:$G,MATCH(I236,_ZIG_Cadastro!$A:$A,0)),IF(NOT(ISERROR(MATCH(I236,_Entradas_ZIG!$C:$C,0))),"Ativo","—"))</f>
        <v/>
      </c>
      <c r="N236" s="102">
        <f>IFERROR(INDEX(_ZIG_Cadastro!$E:$E,MATCH(I236,_ZIG_Cadastro!$A:$A,0)),IFERROR(INDEX(_Entradas_ZIG!$F:$F,MATCH(I236,_Entradas_ZIG!$C:$C,0)),"—"))</f>
        <v/>
      </c>
      <c r="O236" s="99">
        <f>IF(AND(ISNUMBER(SEARCH("Espeto",N236)),ISNUMBER(SEARCH("Carin",N236))),"SIM","")</f>
        <v/>
      </c>
      <c r="P236" s="99">
        <f>IF(AND(ISNUMBER(SEARCH("Espeto",N236)),ISNUMBER(SEARCH("Lapa",N236))),"SIM","")</f>
        <v/>
      </c>
      <c r="Q236" s="99">
        <f>IF(AND(ISNUMBER(SEARCH("Espeto",N236)),ISNUMBER(SEARCH("Tatuapé",N236))),"SIM","")</f>
        <v/>
      </c>
      <c r="R236" s="99">
        <f>IF(AND(ISNUMBER(SEARCH("Espeto",N236)),ISNUMBER(SEARCH("Pavão",N236))),"SIM","")</f>
        <v/>
      </c>
      <c r="S236" s="99">
        <f>IF(AND(ISNUMBER(SEARCH("Espeto",N236)),ISNUMBER(SEARCH("Chac",N236))),"SIM","")</f>
        <v/>
      </c>
      <c r="T236" s="99">
        <f>IF(AND(ISNUMBER(SEARCH("Espeto",N236)),ISNUMBER(SEARCH("Madalena",N236))),"SIM","")</f>
        <v/>
      </c>
      <c r="U236" s="99">
        <f>IF(AND(ISNUMBER(SEARCH("Espeto",N236)),ISNUMBER(SEARCH("Mariana",N236))),"SIM","")</f>
        <v/>
      </c>
      <c r="V236" s="99">
        <f>IF(AND(ISNUMBER(SEARCH("Espeto",N236)),ISNUMBER(SEARCH("Perdizes",N236))),"SIM","")</f>
        <v/>
      </c>
      <c r="W236" s="99">
        <f>IF(AND(ISNUMBER(SEARCH("Espeto",N236)),ISNUMBER(SEARCH("Santana",N236))),"SIM","")</f>
        <v/>
      </c>
      <c r="X236" s="99">
        <f>IF(AND(ISNUMBER(SEARCH("Espeto",N236)),ISNUMBER(SEARCH("André",N236))),"SIM","")</f>
        <v/>
      </c>
      <c r="Y236" s="99">
        <f>IF(AND(ISNUMBER(SEARCH("Delivery",N236)),ISNUMBER(SEARCH("Carin",N236))),"SIM","")</f>
        <v/>
      </c>
      <c r="Z236" s="99">
        <f>IF(AND(ISNUMBER(SEARCH("Delivery",N236)),ISNUMBER(SEARCH("Lapa",N236))),"SIM","")</f>
        <v/>
      </c>
      <c r="AA236" s="99">
        <f>IF(AND(ISNUMBER(SEARCH("Delivery",N236)),ISNUMBER(SEARCH("Tatuapé",N236))),"SIM","")</f>
        <v/>
      </c>
      <c r="AB236" s="99">
        <f>IF(AND(ISNUMBER(SEARCH("Delivery",N236)),ISNUMBER(SEARCH("Pavão",N236))),"SIM","")</f>
        <v/>
      </c>
      <c r="AC236" s="99">
        <f>IF(AND(ISNUMBER(SEARCH("Delivery",N236)),ISNUMBER(SEARCH("Chac",N236))),"SIM","")</f>
        <v/>
      </c>
      <c r="AD236" s="99">
        <f>IF(AND(ISNUMBER(SEARCH("Delivery",N236)),ISNUMBER(SEARCH("Madalena",N236))),"SIM","")</f>
        <v/>
      </c>
      <c r="AE236" s="92">
        <f>IF(AND(ISNUMBER(SEARCH("Delivery",N236)),ISNUMBER(SEARCH("Mariana",N236))),"SIM","")</f>
        <v/>
      </c>
      <c r="AF236" s="92">
        <f>IF(AND(ISNUMBER(SEARCH("Delivery",N236)),ISNUMBER(SEARCH("Perdizes",N236))),"SIM","")</f>
        <v/>
      </c>
      <c r="AG236" s="92">
        <f>IF(AND(ISNUMBER(SEARCH("Delivery",N236)),ISNUMBER(SEARCH("Santana",N236))),"SIM","")</f>
        <v/>
      </c>
      <c r="AH236" s="92">
        <f>IF(AND(ISNUMBER(SEARCH("Delivery",N236)),ISNUMBER(SEARCH("André",N236))),"SIM","")</f>
        <v/>
      </c>
      <c r="AI236" s="92">
        <f>IF(ISNUMBER(SEARCH("Interlagos",N236)),"SIM","")</f>
        <v/>
      </c>
      <c r="AJ236" s="92">
        <f>IF(ISNUMBER(SEARCH("Quiosque",N236)),"SIM","")</f>
        <v/>
      </c>
      <c r="AK236" s="93" t="n"/>
    </row>
    <row r="237">
      <c r="A237" s="88" t="inlineStr">
        <is>
          <t>Protheus</t>
        </is>
      </c>
      <c r="B237" s="89" t="inlineStr">
        <is>
          <t>000848</t>
        </is>
      </c>
      <c r="C237" s="90">
        <f>IF(B237="—","—",IFERROR(VLOOKUP(B237,_Protheus_Cadastro!$A:$B,2,FALSE),"—"))</f>
        <v/>
      </c>
      <c r="D237" s="91">
        <f>IF(B237="—",IFERROR(INDEX(_ZIG_Cadastro!$D:$D,MATCH(H237,_ZIG_Cadastro!$A:$A,0)),"Produto"),IFERROR(VLOOKUP(B237,_Protheus_Cadastro!$A:$C,3,FALSE),"—"))</f>
        <v/>
      </c>
      <c r="E237" s="91">
        <f>IF(B237="—","—",IFERROR(VLOOKUP(B237,_Protheus_Cadastro!$A:$D,4,FALSE),"—"))</f>
        <v/>
      </c>
      <c r="F237" s="91">
        <f>IF(ISERROR(VLOOKUP(B237,'Estrutura Protheus'!A:A,1,FALSE)),"Não","Sim")</f>
        <v/>
      </c>
      <c r="G237" s="92">
        <f>IFERROR(INDEX(_Protheus_Cadastro!$H:$H,MATCH(B237,_Protheus_Cadastro!$A:$A,0)),"—")</f>
        <v/>
      </c>
      <c r="H237" s="210">
        <f>IFERROR(INDEX(_ZIG_Precos!$D:$D,MATCH(I237,_ZIG_Precos!$F:$F,0)),"—")</f>
        <v/>
      </c>
      <c r="I237" s="95">
        <f>IFERROR(VLOOKUP(B237,_Protheus_Cadastro!$A:$I,9,FALSE),"—")</f>
        <v/>
      </c>
      <c r="J237" s="93">
        <f>IFERROR(INDEX(_ZIG_Cadastro!$B:$B,MATCH(I237,_ZIG_Cadastro!$A:$A,0)),IFERROR(INDEX(_Entradas_ZIG!$B:$B,MATCH(I237,_Entradas_ZIG!$C:$C,0)),"—"))</f>
        <v/>
      </c>
      <c r="K237" s="93">
        <f>IFERROR(INDEX(_ZIG_Cadastro!$C:$C,MATCH(I237,_ZIG_Cadastro!$A:$A,0)),IFERROR(INDEX(_Entradas_ZIG!$D:$D,MATCH(I237,_Entradas_ZIG!$C:$C,0)),"—"))</f>
        <v/>
      </c>
      <c r="L237" s="92">
        <f>IF(I237="","Sem SKU ZIG",IF(I237="—","Sem SKU ZIG",IF(NOT(ISERROR(MATCH(I237,_ZIG_Cadastro!$A:$A,0))),IF(EXACT(UPPER(TRIM(C237)),UPPER(TRIM(INDEX(_ZIG_Cadastro!$B:$B,MATCH(I237,_ZIG_Cadastro!$A:$A,0))))),"OK","Atencao - Nome diverge"),IF(NOT(ISERROR(MATCH(I237,_Entradas_ZIG!$C:$C,0))),"OK","Erro - SKU nao encontrado"))))</f>
        <v/>
      </c>
      <c r="M237" s="92">
        <f>IFERROR(INDEX(_ZIG_Cadastro!$G:$G,MATCH(I237,_ZIG_Cadastro!$A:$A,0)),IF(NOT(ISERROR(MATCH(I237,_Entradas_ZIG!$C:$C,0))),"Ativo","—"))</f>
        <v/>
      </c>
      <c r="N237" s="94">
        <f>IFERROR(INDEX(_ZIG_Cadastro!$E:$E,MATCH(I237,_ZIG_Cadastro!$A:$A,0)),IFERROR(INDEX(_Entradas_ZIG!$F:$F,MATCH(I237,_Entradas_ZIG!$C:$C,0)),"—"))</f>
        <v/>
      </c>
      <c r="O237" s="92">
        <f>IF(AND(ISNUMBER(SEARCH("Espeto",N237)),ISNUMBER(SEARCH("Carin",N237))),"SIM","")</f>
        <v/>
      </c>
      <c r="P237" s="92">
        <f>IF(AND(ISNUMBER(SEARCH("Espeto",N237)),ISNUMBER(SEARCH("Lapa",N237))),"SIM","")</f>
        <v/>
      </c>
      <c r="Q237" s="92">
        <f>IF(AND(ISNUMBER(SEARCH("Espeto",N237)),ISNUMBER(SEARCH("Tatuapé",N237))),"SIM","")</f>
        <v/>
      </c>
      <c r="R237" s="92">
        <f>IF(AND(ISNUMBER(SEARCH("Espeto",N237)),ISNUMBER(SEARCH("Pavão",N237))),"SIM","")</f>
        <v/>
      </c>
      <c r="S237" s="92">
        <f>IF(AND(ISNUMBER(SEARCH("Espeto",N237)),ISNUMBER(SEARCH("Chac",N237))),"SIM","")</f>
        <v/>
      </c>
      <c r="T237" s="92">
        <f>IF(AND(ISNUMBER(SEARCH("Espeto",N237)),ISNUMBER(SEARCH("Madalena",N237))),"SIM","")</f>
        <v/>
      </c>
      <c r="U237" s="92">
        <f>IF(AND(ISNUMBER(SEARCH("Espeto",N237)),ISNUMBER(SEARCH("Mariana",N237))),"SIM","")</f>
        <v/>
      </c>
      <c r="V237" s="92">
        <f>IF(AND(ISNUMBER(SEARCH("Espeto",N237)),ISNUMBER(SEARCH("Perdizes",N237))),"SIM","")</f>
        <v/>
      </c>
      <c r="W237" s="92">
        <f>IF(AND(ISNUMBER(SEARCH("Espeto",N237)),ISNUMBER(SEARCH("Santana",N237))),"SIM","")</f>
        <v/>
      </c>
      <c r="X237" s="92">
        <f>IF(AND(ISNUMBER(SEARCH("Espeto",N237)),ISNUMBER(SEARCH("André",N237))),"SIM","")</f>
        <v/>
      </c>
      <c r="Y237" s="92">
        <f>IF(AND(ISNUMBER(SEARCH("Delivery",N237)),ISNUMBER(SEARCH("Carin",N237))),"SIM","")</f>
        <v/>
      </c>
      <c r="Z237" s="92">
        <f>IF(AND(ISNUMBER(SEARCH("Delivery",N237)),ISNUMBER(SEARCH("Lapa",N237))),"SIM","")</f>
        <v/>
      </c>
      <c r="AA237" s="92">
        <f>IF(AND(ISNUMBER(SEARCH("Delivery",N237)),ISNUMBER(SEARCH("Tatuapé",N237))),"SIM","")</f>
        <v/>
      </c>
      <c r="AB237" s="92">
        <f>IF(AND(ISNUMBER(SEARCH("Delivery",N237)),ISNUMBER(SEARCH("Pavão",N237))),"SIM","")</f>
        <v/>
      </c>
      <c r="AC237" s="92">
        <f>IF(AND(ISNUMBER(SEARCH("Delivery",N237)),ISNUMBER(SEARCH("Chac",N237))),"SIM","")</f>
        <v/>
      </c>
      <c r="AD237" s="92">
        <f>IF(AND(ISNUMBER(SEARCH("Delivery",N237)),ISNUMBER(SEARCH("Madalena",N237))),"SIM","")</f>
        <v/>
      </c>
      <c r="AE237" s="99">
        <f>IF(AND(ISNUMBER(SEARCH("Delivery",N237)),ISNUMBER(SEARCH("Mariana",N237))),"SIM","")</f>
        <v/>
      </c>
      <c r="AF237" s="99">
        <f>IF(AND(ISNUMBER(SEARCH("Delivery",N237)),ISNUMBER(SEARCH("Perdizes",N237))),"SIM","")</f>
        <v/>
      </c>
      <c r="AG237" s="99">
        <f>IF(AND(ISNUMBER(SEARCH("Delivery",N237)),ISNUMBER(SEARCH("Santana",N237))),"SIM","")</f>
        <v/>
      </c>
      <c r="AH237" s="99">
        <f>IF(AND(ISNUMBER(SEARCH("Delivery",N237)),ISNUMBER(SEARCH("André",N237))),"SIM","")</f>
        <v/>
      </c>
      <c r="AI237" s="99">
        <f>IF(ISNUMBER(SEARCH("Interlagos",N237)),"SIM","")</f>
        <v/>
      </c>
      <c r="AJ237" s="99">
        <f>IF(ISNUMBER(SEARCH("Quiosque",N237)),"SIM","")</f>
        <v/>
      </c>
      <c r="AK237" s="101" t="n"/>
    </row>
    <row r="238">
      <c r="A238" s="88" t="inlineStr">
        <is>
          <t>Protheus</t>
        </is>
      </c>
      <c r="B238" s="96" t="inlineStr">
        <is>
          <t>001061</t>
        </is>
      </c>
      <c r="C238" s="97">
        <f>IF(B238="—","—",IFERROR(VLOOKUP(B238,_Protheus_Cadastro!$A:$B,2,FALSE),"—"))</f>
        <v/>
      </c>
      <c r="D238" s="98">
        <f>IF(B238="—",IFERROR(INDEX(_ZIG_Cadastro!$D:$D,MATCH(H238,_ZIG_Cadastro!$A:$A,0)),"Produto"),IFERROR(VLOOKUP(B238,_Protheus_Cadastro!$A:$C,3,FALSE),"—"))</f>
        <v/>
      </c>
      <c r="E238" s="98">
        <f>IF(B238="—","—",IFERROR(VLOOKUP(B238,_Protheus_Cadastro!$A:$D,4,FALSE),"—"))</f>
        <v/>
      </c>
      <c r="F238" s="98">
        <f>IF(ISERROR(VLOOKUP(B238,'Estrutura Protheus'!A:A,1,FALSE)),"Não","Sim")</f>
        <v/>
      </c>
      <c r="G238" s="99">
        <f>IFERROR(INDEX(_Protheus_Cadastro!$H:$H,MATCH(B238,_Protheus_Cadastro!$A:$A,0)),"—")</f>
        <v/>
      </c>
      <c r="H238" s="211">
        <f>IFERROR(INDEX(_ZIG_Precos!$D:$D,MATCH(I238,_ZIG_Precos!$F:$F,0)),"—")</f>
        <v/>
      </c>
      <c r="I238" s="103">
        <f>IFERROR(VLOOKUP(B238,_Protheus_Cadastro!$A:$I,9,FALSE),"—")</f>
        <v/>
      </c>
      <c r="J238" s="101">
        <f>IFERROR(INDEX(_ZIG_Cadastro!$B:$B,MATCH(I238,_ZIG_Cadastro!$A:$A,0)),IFERROR(INDEX(_Entradas_ZIG!$B:$B,MATCH(I238,_Entradas_ZIG!$C:$C,0)),"—"))</f>
        <v/>
      </c>
      <c r="K238" s="101">
        <f>IFERROR(INDEX(_ZIG_Cadastro!$C:$C,MATCH(I238,_ZIG_Cadastro!$A:$A,0)),IFERROR(INDEX(_Entradas_ZIG!$D:$D,MATCH(I238,_Entradas_ZIG!$C:$C,0)),"—"))</f>
        <v/>
      </c>
      <c r="L238" s="99">
        <f>IF(I238="","Sem SKU ZIG",IF(I238="—","Sem SKU ZIG",IF(NOT(ISERROR(MATCH(I238,_ZIG_Cadastro!$A:$A,0))),IF(EXACT(UPPER(TRIM(C238)),UPPER(TRIM(INDEX(_ZIG_Cadastro!$B:$B,MATCH(I238,_ZIG_Cadastro!$A:$A,0))))),"OK","Atencao - Nome diverge"),IF(NOT(ISERROR(MATCH(I238,_Entradas_ZIG!$C:$C,0))),"OK","Erro - SKU nao encontrado"))))</f>
        <v/>
      </c>
      <c r="M238" s="99">
        <f>IFERROR(INDEX(_ZIG_Cadastro!$G:$G,MATCH(I238,_ZIG_Cadastro!$A:$A,0)),IF(NOT(ISERROR(MATCH(I238,_Entradas_ZIG!$C:$C,0))),"Ativo","—"))</f>
        <v/>
      </c>
      <c r="N238" s="102">
        <f>IFERROR(INDEX(_ZIG_Cadastro!$E:$E,MATCH(I238,_ZIG_Cadastro!$A:$A,0)),IFERROR(INDEX(_Entradas_ZIG!$F:$F,MATCH(I238,_Entradas_ZIG!$C:$C,0)),"—"))</f>
        <v/>
      </c>
      <c r="O238" s="99">
        <f>IF(AND(ISNUMBER(SEARCH("Espeto",N238)),ISNUMBER(SEARCH("Carin",N238))),"SIM","")</f>
        <v/>
      </c>
      <c r="P238" s="99">
        <f>IF(AND(ISNUMBER(SEARCH("Espeto",N238)),ISNUMBER(SEARCH("Lapa",N238))),"SIM","")</f>
        <v/>
      </c>
      <c r="Q238" s="99">
        <f>IF(AND(ISNUMBER(SEARCH("Espeto",N238)),ISNUMBER(SEARCH("Tatuapé",N238))),"SIM","")</f>
        <v/>
      </c>
      <c r="R238" s="99">
        <f>IF(AND(ISNUMBER(SEARCH("Espeto",N238)),ISNUMBER(SEARCH("Pavão",N238))),"SIM","")</f>
        <v/>
      </c>
      <c r="S238" s="99">
        <f>IF(AND(ISNUMBER(SEARCH("Espeto",N238)),ISNUMBER(SEARCH("Chac",N238))),"SIM","")</f>
        <v/>
      </c>
      <c r="T238" s="99">
        <f>IF(AND(ISNUMBER(SEARCH("Espeto",N238)),ISNUMBER(SEARCH("Madalena",N238))),"SIM","")</f>
        <v/>
      </c>
      <c r="U238" s="99">
        <f>IF(AND(ISNUMBER(SEARCH("Espeto",N238)),ISNUMBER(SEARCH("Mariana",N238))),"SIM","")</f>
        <v/>
      </c>
      <c r="V238" s="99">
        <f>IF(AND(ISNUMBER(SEARCH("Espeto",N238)),ISNUMBER(SEARCH("Perdizes",N238))),"SIM","")</f>
        <v/>
      </c>
      <c r="W238" s="99">
        <f>IF(AND(ISNUMBER(SEARCH("Espeto",N238)),ISNUMBER(SEARCH("Santana",N238))),"SIM","")</f>
        <v/>
      </c>
      <c r="X238" s="99">
        <f>IF(AND(ISNUMBER(SEARCH("Espeto",N238)),ISNUMBER(SEARCH("André",N238))),"SIM","")</f>
        <v/>
      </c>
      <c r="Y238" s="99">
        <f>IF(AND(ISNUMBER(SEARCH("Delivery",N238)),ISNUMBER(SEARCH("Carin",N238))),"SIM","")</f>
        <v/>
      </c>
      <c r="Z238" s="99">
        <f>IF(AND(ISNUMBER(SEARCH("Delivery",N238)),ISNUMBER(SEARCH("Lapa",N238))),"SIM","")</f>
        <v/>
      </c>
      <c r="AA238" s="99">
        <f>IF(AND(ISNUMBER(SEARCH("Delivery",N238)),ISNUMBER(SEARCH("Tatuapé",N238))),"SIM","")</f>
        <v/>
      </c>
      <c r="AB238" s="99">
        <f>IF(AND(ISNUMBER(SEARCH("Delivery",N238)),ISNUMBER(SEARCH("Pavão",N238))),"SIM","")</f>
        <v/>
      </c>
      <c r="AC238" s="99">
        <f>IF(AND(ISNUMBER(SEARCH("Delivery",N238)),ISNUMBER(SEARCH("Chac",N238))),"SIM","")</f>
        <v/>
      </c>
      <c r="AD238" s="99">
        <f>IF(AND(ISNUMBER(SEARCH("Delivery",N238)),ISNUMBER(SEARCH("Madalena",N238))),"SIM","")</f>
        <v/>
      </c>
      <c r="AE238" s="92">
        <f>IF(AND(ISNUMBER(SEARCH("Delivery",N238)),ISNUMBER(SEARCH("Mariana",N238))),"SIM","")</f>
        <v/>
      </c>
      <c r="AF238" s="92">
        <f>IF(AND(ISNUMBER(SEARCH("Delivery",N238)),ISNUMBER(SEARCH("Perdizes",N238))),"SIM","")</f>
        <v/>
      </c>
      <c r="AG238" s="92">
        <f>IF(AND(ISNUMBER(SEARCH("Delivery",N238)),ISNUMBER(SEARCH("Santana",N238))),"SIM","")</f>
        <v/>
      </c>
      <c r="AH238" s="92">
        <f>IF(AND(ISNUMBER(SEARCH("Delivery",N238)),ISNUMBER(SEARCH("André",N238))),"SIM","")</f>
        <v/>
      </c>
      <c r="AI238" s="92">
        <f>IF(ISNUMBER(SEARCH("Interlagos",N238)),"SIM","")</f>
        <v/>
      </c>
      <c r="AJ238" s="92">
        <f>IF(ISNUMBER(SEARCH("Quiosque",N238)),"SIM","")</f>
        <v/>
      </c>
      <c r="AK238" s="93" t="n"/>
    </row>
    <row r="239">
      <c r="A239" s="88" t="inlineStr">
        <is>
          <t>Protheus</t>
        </is>
      </c>
      <c r="B239" s="89" t="inlineStr">
        <is>
          <t>001104</t>
        </is>
      </c>
      <c r="C239" s="90">
        <f>IF(B239="—","—",IFERROR(VLOOKUP(B239,_Protheus_Cadastro!$A:$B,2,FALSE),"—"))</f>
        <v/>
      </c>
      <c r="D239" s="91">
        <f>IF(B239="—",IFERROR(INDEX(_ZIG_Cadastro!$D:$D,MATCH(H239,_ZIG_Cadastro!$A:$A,0)),"Produto"),IFERROR(VLOOKUP(B239,_Protheus_Cadastro!$A:$C,3,FALSE),"—"))</f>
        <v/>
      </c>
      <c r="E239" s="91">
        <f>IF(B239="—","—",IFERROR(VLOOKUP(B239,_Protheus_Cadastro!$A:$D,4,FALSE),"—"))</f>
        <v/>
      </c>
      <c r="F239" s="91">
        <f>IF(ISERROR(VLOOKUP(B239,'Estrutura Protheus'!A:A,1,FALSE)),"Não","Sim")</f>
        <v/>
      </c>
      <c r="G239" s="92">
        <f>IFERROR(INDEX(_Protheus_Cadastro!$H:$H,MATCH(B239,_Protheus_Cadastro!$A:$A,0)),"—")</f>
        <v/>
      </c>
      <c r="H239" s="210">
        <f>IFERROR(INDEX(_ZIG_Precos!$D:$D,MATCH(I239,_ZIG_Precos!$F:$F,0)),"—")</f>
        <v/>
      </c>
      <c r="I239" s="95">
        <f>IFERROR(VLOOKUP(B239,_Protheus_Cadastro!$A:$I,9,FALSE),"—")</f>
        <v/>
      </c>
      <c r="J239" s="93">
        <f>IFERROR(INDEX(_ZIG_Cadastro!$B:$B,MATCH(I239,_ZIG_Cadastro!$A:$A,0)),IFERROR(INDEX(_Entradas_ZIG!$B:$B,MATCH(I239,_Entradas_ZIG!$C:$C,0)),"—"))</f>
        <v/>
      </c>
      <c r="K239" s="93">
        <f>IFERROR(INDEX(_ZIG_Cadastro!$C:$C,MATCH(I239,_ZIG_Cadastro!$A:$A,0)),IFERROR(INDEX(_Entradas_ZIG!$D:$D,MATCH(I239,_Entradas_ZIG!$C:$C,0)),"—"))</f>
        <v/>
      </c>
      <c r="L239" s="92">
        <f>IF(I239="","Sem SKU ZIG",IF(I239="—","Sem SKU ZIG",IF(NOT(ISERROR(MATCH(I239,_ZIG_Cadastro!$A:$A,0))),IF(EXACT(UPPER(TRIM(C239)),UPPER(TRIM(INDEX(_ZIG_Cadastro!$B:$B,MATCH(I239,_ZIG_Cadastro!$A:$A,0))))),"OK","Atencao - Nome diverge"),IF(NOT(ISERROR(MATCH(I239,_Entradas_ZIG!$C:$C,0))),"OK","Erro - SKU nao encontrado"))))</f>
        <v/>
      </c>
      <c r="M239" s="92">
        <f>IFERROR(INDEX(_ZIG_Cadastro!$G:$G,MATCH(I239,_ZIG_Cadastro!$A:$A,0)),IF(NOT(ISERROR(MATCH(I239,_Entradas_ZIG!$C:$C,0))),"Ativo","—"))</f>
        <v/>
      </c>
      <c r="N239" s="94">
        <f>IFERROR(INDEX(_ZIG_Cadastro!$E:$E,MATCH(I239,_ZIG_Cadastro!$A:$A,0)),IFERROR(INDEX(_Entradas_ZIG!$F:$F,MATCH(I239,_Entradas_ZIG!$C:$C,0)),"—"))</f>
        <v/>
      </c>
      <c r="O239" s="92">
        <f>IF(AND(ISNUMBER(SEARCH("Espeto",N239)),ISNUMBER(SEARCH("Carin",N239))),"SIM","")</f>
        <v/>
      </c>
      <c r="P239" s="92">
        <f>IF(AND(ISNUMBER(SEARCH("Espeto",N239)),ISNUMBER(SEARCH("Lapa",N239))),"SIM","")</f>
        <v/>
      </c>
      <c r="Q239" s="92">
        <f>IF(AND(ISNUMBER(SEARCH("Espeto",N239)),ISNUMBER(SEARCH("Tatuapé",N239))),"SIM","")</f>
        <v/>
      </c>
      <c r="R239" s="92">
        <f>IF(AND(ISNUMBER(SEARCH("Espeto",N239)),ISNUMBER(SEARCH("Pavão",N239))),"SIM","")</f>
        <v/>
      </c>
      <c r="S239" s="92">
        <f>IF(AND(ISNUMBER(SEARCH("Espeto",N239)),ISNUMBER(SEARCH("Chac",N239))),"SIM","")</f>
        <v/>
      </c>
      <c r="T239" s="92">
        <f>IF(AND(ISNUMBER(SEARCH("Espeto",N239)),ISNUMBER(SEARCH("Madalena",N239))),"SIM","")</f>
        <v/>
      </c>
      <c r="U239" s="92">
        <f>IF(AND(ISNUMBER(SEARCH("Espeto",N239)),ISNUMBER(SEARCH("Mariana",N239))),"SIM","")</f>
        <v/>
      </c>
      <c r="V239" s="92">
        <f>IF(AND(ISNUMBER(SEARCH("Espeto",N239)),ISNUMBER(SEARCH("Perdizes",N239))),"SIM","")</f>
        <v/>
      </c>
      <c r="W239" s="92">
        <f>IF(AND(ISNUMBER(SEARCH("Espeto",N239)),ISNUMBER(SEARCH("Santana",N239))),"SIM","")</f>
        <v/>
      </c>
      <c r="X239" s="92">
        <f>IF(AND(ISNUMBER(SEARCH("Espeto",N239)),ISNUMBER(SEARCH("André",N239))),"SIM","")</f>
        <v/>
      </c>
      <c r="Y239" s="92">
        <f>IF(AND(ISNUMBER(SEARCH("Delivery",N239)),ISNUMBER(SEARCH("Carin",N239))),"SIM","")</f>
        <v/>
      </c>
      <c r="Z239" s="92">
        <f>IF(AND(ISNUMBER(SEARCH("Delivery",N239)),ISNUMBER(SEARCH("Lapa",N239))),"SIM","")</f>
        <v/>
      </c>
      <c r="AA239" s="92">
        <f>IF(AND(ISNUMBER(SEARCH("Delivery",N239)),ISNUMBER(SEARCH("Tatuapé",N239))),"SIM","")</f>
        <v/>
      </c>
      <c r="AB239" s="92">
        <f>IF(AND(ISNUMBER(SEARCH("Delivery",N239)),ISNUMBER(SEARCH("Pavão",N239))),"SIM","")</f>
        <v/>
      </c>
      <c r="AC239" s="92">
        <f>IF(AND(ISNUMBER(SEARCH("Delivery",N239)),ISNUMBER(SEARCH("Chac",N239))),"SIM","")</f>
        <v/>
      </c>
      <c r="AD239" s="92">
        <f>IF(AND(ISNUMBER(SEARCH("Delivery",N239)),ISNUMBER(SEARCH("Madalena",N239))),"SIM","")</f>
        <v/>
      </c>
      <c r="AE239" s="99">
        <f>IF(AND(ISNUMBER(SEARCH("Delivery",N239)),ISNUMBER(SEARCH("Mariana",N239))),"SIM","")</f>
        <v/>
      </c>
      <c r="AF239" s="99">
        <f>IF(AND(ISNUMBER(SEARCH("Delivery",N239)),ISNUMBER(SEARCH("Perdizes",N239))),"SIM","")</f>
        <v/>
      </c>
      <c r="AG239" s="99">
        <f>IF(AND(ISNUMBER(SEARCH("Delivery",N239)),ISNUMBER(SEARCH("Santana",N239))),"SIM","")</f>
        <v/>
      </c>
      <c r="AH239" s="99">
        <f>IF(AND(ISNUMBER(SEARCH("Delivery",N239)),ISNUMBER(SEARCH("André",N239))),"SIM","")</f>
        <v/>
      </c>
      <c r="AI239" s="99">
        <f>IF(ISNUMBER(SEARCH("Interlagos",N239)),"SIM","")</f>
        <v/>
      </c>
      <c r="AJ239" s="99">
        <f>IF(ISNUMBER(SEARCH("Quiosque",N239)),"SIM","")</f>
        <v/>
      </c>
      <c r="AK239" s="101" t="n"/>
    </row>
    <row r="240">
      <c r="A240" s="88" t="inlineStr">
        <is>
          <t>Protheus</t>
        </is>
      </c>
      <c r="B240" s="96" t="inlineStr">
        <is>
          <t>000928</t>
        </is>
      </c>
      <c r="C240" s="97">
        <f>IF(B240="—","—",IFERROR(VLOOKUP(B240,_Protheus_Cadastro!$A:$B,2,FALSE),"—"))</f>
        <v/>
      </c>
      <c r="D240" s="98">
        <f>IF(B240="—",IFERROR(INDEX(_ZIG_Cadastro!$D:$D,MATCH(H240,_ZIG_Cadastro!$A:$A,0)),"Produto"),IFERROR(VLOOKUP(B240,_Protheus_Cadastro!$A:$C,3,FALSE),"—"))</f>
        <v/>
      </c>
      <c r="E240" s="98">
        <f>IF(B240="—","—",IFERROR(VLOOKUP(B240,_Protheus_Cadastro!$A:$D,4,FALSE),"—"))</f>
        <v/>
      </c>
      <c r="F240" s="98">
        <f>IF(ISERROR(VLOOKUP(B240,'Estrutura Protheus'!A:A,1,FALSE)),"Não","Sim")</f>
        <v/>
      </c>
      <c r="G240" s="99">
        <f>IFERROR(INDEX(_Protheus_Cadastro!$H:$H,MATCH(B240,_Protheus_Cadastro!$A:$A,0)),"—")</f>
        <v/>
      </c>
      <c r="H240" s="211">
        <f>IFERROR(INDEX(_ZIG_Precos!$D:$D,MATCH(I240,_ZIG_Precos!$F:$F,0)),"—")</f>
        <v/>
      </c>
      <c r="I240" s="103">
        <f>IFERROR(VLOOKUP(B240,_Protheus_Cadastro!$A:$I,9,FALSE),"—")</f>
        <v/>
      </c>
      <c r="J240" s="101">
        <f>IFERROR(INDEX(_ZIG_Cadastro!$B:$B,MATCH(I240,_ZIG_Cadastro!$A:$A,0)),IFERROR(INDEX(_Entradas_ZIG!$B:$B,MATCH(I240,_Entradas_ZIG!$C:$C,0)),"—"))</f>
        <v/>
      </c>
      <c r="K240" s="101">
        <f>IFERROR(INDEX(_ZIG_Cadastro!$C:$C,MATCH(I240,_ZIG_Cadastro!$A:$A,0)),IFERROR(INDEX(_Entradas_ZIG!$D:$D,MATCH(I240,_Entradas_ZIG!$C:$C,0)),"—"))</f>
        <v/>
      </c>
      <c r="L240" s="99">
        <f>IF(I240="","Sem SKU ZIG",IF(I240="—","Sem SKU ZIG",IF(NOT(ISERROR(MATCH(I240,_ZIG_Cadastro!$A:$A,0))),IF(EXACT(UPPER(TRIM(C240)),UPPER(TRIM(INDEX(_ZIG_Cadastro!$B:$B,MATCH(I240,_ZIG_Cadastro!$A:$A,0))))),"OK","Atencao - Nome diverge"),IF(NOT(ISERROR(MATCH(I240,_Entradas_ZIG!$C:$C,0))),"OK","Erro - SKU nao encontrado"))))</f>
        <v/>
      </c>
      <c r="M240" s="99">
        <f>IFERROR(INDEX(_ZIG_Cadastro!$G:$G,MATCH(I240,_ZIG_Cadastro!$A:$A,0)),IF(NOT(ISERROR(MATCH(I240,_Entradas_ZIG!$C:$C,0))),"Ativo","—"))</f>
        <v/>
      </c>
      <c r="N240" s="102">
        <f>IFERROR(INDEX(_ZIG_Cadastro!$E:$E,MATCH(I240,_ZIG_Cadastro!$A:$A,0)),IFERROR(INDEX(_Entradas_ZIG!$F:$F,MATCH(I240,_Entradas_ZIG!$C:$C,0)),"—"))</f>
        <v/>
      </c>
      <c r="O240" s="99">
        <f>IF(AND(ISNUMBER(SEARCH("Espeto",N240)),ISNUMBER(SEARCH("Carin",N240))),"SIM","")</f>
        <v/>
      </c>
      <c r="P240" s="99">
        <f>IF(AND(ISNUMBER(SEARCH("Espeto",N240)),ISNUMBER(SEARCH("Lapa",N240))),"SIM","")</f>
        <v/>
      </c>
      <c r="Q240" s="99">
        <f>IF(AND(ISNUMBER(SEARCH("Espeto",N240)),ISNUMBER(SEARCH("Tatuapé",N240))),"SIM","")</f>
        <v/>
      </c>
      <c r="R240" s="99">
        <f>IF(AND(ISNUMBER(SEARCH("Espeto",N240)),ISNUMBER(SEARCH("Pavão",N240))),"SIM","")</f>
        <v/>
      </c>
      <c r="S240" s="99">
        <f>IF(AND(ISNUMBER(SEARCH("Espeto",N240)),ISNUMBER(SEARCH("Chac",N240))),"SIM","")</f>
        <v/>
      </c>
      <c r="T240" s="99">
        <f>IF(AND(ISNUMBER(SEARCH("Espeto",N240)),ISNUMBER(SEARCH("Madalena",N240))),"SIM","")</f>
        <v/>
      </c>
      <c r="U240" s="99">
        <f>IF(AND(ISNUMBER(SEARCH("Espeto",N240)),ISNUMBER(SEARCH("Mariana",N240))),"SIM","")</f>
        <v/>
      </c>
      <c r="V240" s="99">
        <f>IF(AND(ISNUMBER(SEARCH("Espeto",N240)),ISNUMBER(SEARCH("Perdizes",N240))),"SIM","")</f>
        <v/>
      </c>
      <c r="W240" s="99">
        <f>IF(AND(ISNUMBER(SEARCH("Espeto",N240)),ISNUMBER(SEARCH("Santana",N240))),"SIM","")</f>
        <v/>
      </c>
      <c r="X240" s="99">
        <f>IF(AND(ISNUMBER(SEARCH("Espeto",N240)),ISNUMBER(SEARCH("André",N240))),"SIM","")</f>
        <v/>
      </c>
      <c r="Y240" s="99">
        <f>IF(AND(ISNUMBER(SEARCH("Delivery",N240)),ISNUMBER(SEARCH("Carin",N240))),"SIM","")</f>
        <v/>
      </c>
      <c r="Z240" s="99">
        <f>IF(AND(ISNUMBER(SEARCH("Delivery",N240)),ISNUMBER(SEARCH("Lapa",N240))),"SIM","")</f>
        <v/>
      </c>
      <c r="AA240" s="99">
        <f>IF(AND(ISNUMBER(SEARCH("Delivery",N240)),ISNUMBER(SEARCH("Tatuapé",N240))),"SIM","")</f>
        <v/>
      </c>
      <c r="AB240" s="99">
        <f>IF(AND(ISNUMBER(SEARCH("Delivery",N240)),ISNUMBER(SEARCH("Pavão",N240))),"SIM","")</f>
        <v/>
      </c>
      <c r="AC240" s="99">
        <f>IF(AND(ISNUMBER(SEARCH("Delivery",N240)),ISNUMBER(SEARCH("Chac",N240))),"SIM","")</f>
        <v/>
      </c>
      <c r="AD240" s="99">
        <f>IF(AND(ISNUMBER(SEARCH("Delivery",N240)),ISNUMBER(SEARCH("Madalena",N240))),"SIM","")</f>
        <v/>
      </c>
      <c r="AE240" s="92">
        <f>IF(AND(ISNUMBER(SEARCH("Delivery",N240)),ISNUMBER(SEARCH("Mariana",N240))),"SIM","")</f>
        <v/>
      </c>
      <c r="AF240" s="92">
        <f>IF(AND(ISNUMBER(SEARCH("Delivery",N240)),ISNUMBER(SEARCH("Perdizes",N240))),"SIM","")</f>
        <v/>
      </c>
      <c r="AG240" s="92">
        <f>IF(AND(ISNUMBER(SEARCH("Delivery",N240)),ISNUMBER(SEARCH("Santana",N240))),"SIM","")</f>
        <v/>
      </c>
      <c r="AH240" s="92">
        <f>IF(AND(ISNUMBER(SEARCH("Delivery",N240)),ISNUMBER(SEARCH("André",N240))),"SIM","")</f>
        <v/>
      </c>
      <c r="AI240" s="92">
        <f>IF(ISNUMBER(SEARCH("Interlagos",N240)),"SIM","")</f>
        <v/>
      </c>
      <c r="AJ240" s="92">
        <f>IF(ISNUMBER(SEARCH("Quiosque",N240)),"SIM","")</f>
        <v/>
      </c>
      <c r="AK240" s="93" t="n"/>
    </row>
    <row r="241">
      <c r="A241" s="88" t="inlineStr">
        <is>
          <t>Protheus</t>
        </is>
      </c>
      <c r="B241" s="89" t="inlineStr">
        <is>
          <t>000929</t>
        </is>
      </c>
      <c r="C241" s="90">
        <f>IF(B241="—","—",IFERROR(VLOOKUP(B241,_Protheus_Cadastro!$A:$B,2,FALSE),"—"))</f>
        <v/>
      </c>
      <c r="D241" s="91">
        <f>IF(B241="—",IFERROR(INDEX(_ZIG_Cadastro!$D:$D,MATCH(H241,_ZIG_Cadastro!$A:$A,0)),"Produto"),IFERROR(VLOOKUP(B241,_Protheus_Cadastro!$A:$C,3,FALSE),"—"))</f>
        <v/>
      </c>
      <c r="E241" s="91">
        <f>IF(B241="—","—",IFERROR(VLOOKUP(B241,_Protheus_Cadastro!$A:$D,4,FALSE),"—"))</f>
        <v/>
      </c>
      <c r="F241" s="91">
        <f>IF(ISERROR(VLOOKUP(B241,'Estrutura Protheus'!A:A,1,FALSE)),"Não","Sim")</f>
        <v/>
      </c>
      <c r="G241" s="92">
        <f>IFERROR(INDEX(_Protheus_Cadastro!$H:$H,MATCH(B241,_Protheus_Cadastro!$A:$A,0)),"—")</f>
        <v/>
      </c>
      <c r="H241" s="210">
        <f>IFERROR(INDEX(_ZIG_Precos!$D:$D,MATCH(I241,_ZIG_Precos!$F:$F,0)),"—")</f>
        <v/>
      </c>
      <c r="I241" s="95">
        <f>IFERROR(VLOOKUP(B241,_Protheus_Cadastro!$A:$I,9,FALSE),"—")</f>
        <v/>
      </c>
      <c r="J241" s="93">
        <f>IFERROR(INDEX(_ZIG_Cadastro!$B:$B,MATCH(I241,_ZIG_Cadastro!$A:$A,0)),IFERROR(INDEX(_Entradas_ZIG!$B:$B,MATCH(I241,_Entradas_ZIG!$C:$C,0)),"—"))</f>
        <v/>
      </c>
      <c r="K241" s="93">
        <f>IFERROR(INDEX(_ZIG_Cadastro!$C:$C,MATCH(I241,_ZIG_Cadastro!$A:$A,0)),IFERROR(INDEX(_Entradas_ZIG!$D:$D,MATCH(I241,_Entradas_ZIG!$C:$C,0)),"—"))</f>
        <v/>
      </c>
      <c r="L241" s="92">
        <f>IF(I241="","Sem SKU ZIG",IF(I241="—","Sem SKU ZIG",IF(NOT(ISERROR(MATCH(I241,_ZIG_Cadastro!$A:$A,0))),IF(EXACT(UPPER(TRIM(C241)),UPPER(TRIM(INDEX(_ZIG_Cadastro!$B:$B,MATCH(I241,_ZIG_Cadastro!$A:$A,0))))),"OK","Atencao - Nome diverge"),IF(NOT(ISERROR(MATCH(I241,_Entradas_ZIG!$C:$C,0))),"OK","Erro - SKU nao encontrado"))))</f>
        <v/>
      </c>
      <c r="M241" s="92">
        <f>IFERROR(INDEX(_ZIG_Cadastro!$G:$G,MATCH(I241,_ZIG_Cadastro!$A:$A,0)),IF(NOT(ISERROR(MATCH(I241,_Entradas_ZIG!$C:$C,0))),"Ativo","—"))</f>
        <v/>
      </c>
      <c r="N241" s="94">
        <f>IFERROR(INDEX(_ZIG_Cadastro!$E:$E,MATCH(I241,_ZIG_Cadastro!$A:$A,0)),IFERROR(INDEX(_Entradas_ZIG!$F:$F,MATCH(I241,_Entradas_ZIG!$C:$C,0)),"—"))</f>
        <v/>
      </c>
      <c r="O241" s="92">
        <f>IF(AND(ISNUMBER(SEARCH("Espeto",N241)),ISNUMBER(SEARCH("Carin",N241))),"SIM","")</f>
        <v/>
      </c>
      <c r="P241" s="92">
        <f>IF(AND(ISNUMBER(SEARCH("Espeto",N241)),ISNUMBER(SEARCH("Lapa",N241))),"SIM","")</f>
        <v/>
      </c>
      <c r="Q241" s="92">
        <f>IF(AND(ISNUMBER(SEARCH("Espeto",N241)),ISNUMBER(SEARCH("Tatuapé",N241))),"SIM","")</f>
        <v/>
      </c>
      <c r="R241" s="92">
        <f>IF(AND(ISNUMBER(SEARCH("Espeto",N241)),ISNUMBER(SEARCH("Pavão",N241))),"SIM","")</f>
        <v/>
      </c>
      <c r="S241" s="92">
        <f>IF(AND(ISNUMBER(SEARCH("Espeto",N241)),ISNUMBER(SEARCH("Chac",N241))),"SIM","")</f>
        <v/>
      </c>
      <c r="T241" s="92">
        <f>IF(AND(ISNUMBER(SEARCH("Espeto",N241)),ISNUMBER(SEARCH("Madalena",N241))),"SIM","")</f>
        <v/>
      </c>
      <c r="U241" s="92">
        <f>IF(AND(ISNUMBER(SEARCH("Espeto",N241)),ISNUMBER(SEARCH("Mariana",N241))),"SIM","")</f>
        <v/>
      </c>
      <c r="V241" s="92">
        <f>IF(AND(ISNUMBER(SEARCH("Espeto",N241)),ISNUMBER(SEARCH("Perdizes",N241))),"SIM","")</f>
        <v/>
      </c>
      <c r="W241" s="92">
        <f>IF(AND(ISNUMBER(SEARCH("Espeto",N241)),ISNUMBER(SEARCH("Santana",N241))),"SIM","")</f>
        <v/>
      </c>
      <c r="X241" s="92">
        <f>IF(AND(ISNUMBER(SEARCH("Espeto",N241)),ISNUMBER(SEARCH("André",N241))),"SIM","")</f>
        <v/>
      </c>
      <c r="Y241" s="92">
        <f>IF(AND(ISNUMBER(SEARCH("Delivery",N241)),ISNUMBER(SEARCH("Carin",N241))),"SIM","")</f>
        <v/>
      </c>
      <c r="Z241" s="92">
        <f>IF(AND(ISNUMBER(SEARCH("Delivery",N241)),ISNUMBER(SEARCH("Lapa",N241))),"SIM","")</f>
        <v/>
      </c>
      <c r="AA241" s="92">
        <f>IF(AND(ISNUMBER(SEARCH("Delivery",N241)),ISNUMBER(SEARCH("Tatuapé",N241))),"SIM","")</f>
        <v/>
      </c>
      <c r="AB241" s="92">
        <f>IF(AND(ISNUMBER(SEARCH("Delivery",N241)),ISNUMBER(SEARCH("Pavão",N241))),"SIM","")</f>
        <v/>
      </c>
      <c r="AC241" s="92">
        <f>IF(AND(ISNUMBER(SEARCH("Delivery",N241)),ISNUMBER(SEARCH("Chac",N241))),"SIM","")</f>
        <v/>
      </c>
      <c r="AD241" s="92">
        <f>IF(AND(ISNUMBER(SEARCH("Delivery",N241)),ISNUMBER(SEARCH("Madalena",N241))),"SIM","")</f>
        <v/>
      </c>
      <c r="AE241" s="99">
        <f>IF(AND(ISNUMBER(SEARCH("Delivery",N241)),ISNUMBER(SEARCH("Mariana",N241))),"SIM","")</f>
        <v/>
      </c>
      <c r="AF241" s="99">
        <f>IF(AND(ISNUMBER(SEARCH("Delivery",N241)),ISNUMBER(SEARCH("Perdizes",N241))),"SIM","")</f>
        <v/>
      </c>
      <c r="AG241" s="99">
        <f>IF(AND(ISNUMBER(SEARCH("Delivery",N241)),ISNUMBER(SEARCH("Santana",N241))),"SIM","")</f>
        <v/>
      </c>
      <c r="AH241" s="99">
        <f>IF(AND(ISNUMBER(SEARCH("Delivery",N241)),ISNUMBER(SEARCH("André",N241))),"SIM","")</f>
        <v/>
      </c>
      <c r="AI241" s="99">
        <f>IF(ISNUMBER(SEARCH("Interlagos",N241)),"SIM","")</f>
        <v/>
      </c>
      <c r="AJ241" s="99">
        <f>IF(ISNUMBER(SEARCH("Quiosque",N241)),"SIM","")</f>
        <v/>
      </c>
      <c r="AK241" s="101" t="n"/>
    </row>
    <row r="242">
      <c r="A242" s="88" t="inlineStr">
        <is>
          <t>Protheus</t>
        </is>
      </c>
      <c r="B242" s="96" t="inlineStr">
        <is>
          <t>010044</t>
        </is>
      </c>
      <c r="C242" s="97">
        <f>IF(B242="—","—",IFERROR(VLOOKUP(B242,_Protheus_Cadastro!$A:$B,2,FALSE),"—"))</f>
        <v/>
      </c>
      <c r="D242" s="98">
        <f>IF(B242="—",IFERROR(INDEX(_ZIG_Cadastro!$D:$D,MATCH(H242,_ZIG_Cadastro!$A:$A,0)),"Produto"),IFERROR(VLOOKUP(B242,_Protheus_Cadastro!$A:$C,3,FALSE),"—"))</f>
        <v/>
      </c>
      <c r="E242" s="98">
        <f>IF(B242="—","—",IFERROR(VLOOKUP(B242,_Protheus_Cadastro!$A:$D,4,FALSE),"—"))</f>
        <v/>
      </c>
      <c r="F242" s="98">
        <f>IF(ISERROR(VLOOKUP(B242,'Estrutura Protheus'!A:A,1,FALSE)),"Não","Sim")</f>
        <v/>
      </c>
      <c r="G242" s="99">
        <f>IFERROR(INDEX(_Protheus_Cadastro!$H:$H,MATCH(B242,_Protheus_Cadastro!$A:$A,0)),"—")</f>
        <v/>
      </c>
      <c r="H242" s="211">
        <f>IFERROR(INDEX(_ZIG_Precos!$D:$D,MATCH(I242,_ZIG_Precos!$F:$F,0)),"—")</f>
        <v/>
      </c>
      <c r="I242" s="103">
        <f>IFERROR(VLOOKUP(B242,_Protheus_Cadastro!$A:$I,9,FALSE),"—")</f>
        <v/>
      </c>
      <c r="J242" s="101">
        <f>IFERROR(INDEX(_ZIG_Cadastro!$B:$B,MATCH(I242,_ZIG_Cadastro!$A:$A,0)),IFERROR(INDEX(_Entradas_ZIG!$B:$B,MATCH(I242,_Entradas_ZIG!$C:$C,0)),"—"))</f>
        <v/>
      </c>
      <c r="K242" s="101">
        <f>IFERROR(INDEX(_ZIG_Cadastro!$C:$C,MATCH(I242,_ZIG_Cadastro!$A:$A,0)),IFERROR(INDEX(_Entradas_ZIG!$D:$D,MATCH(I242,_Entradas_ZIG!$C:$C,0)),"—"))</f>
        <v/>
      </c>
      <c r="L242" s="99">
        <f>IF(I242="","Sem SKU ZIG",IF(I242="—","Sem SKU ZIG",IF(NOT(ISERROR(MATCH(I242,_ZIG_Cadastro!$A:$A,0))),IF(EXACT(UPPER(TRIM(C242)),UPPER(TRIM(INDEX(_ZIG_Cadastro!$B:$B,MATCH(I242,_ZIG_Cadastro!$A:$A,0))))),"OK","Atencao - Nome diverge"),IF(NOT(ISERROR(MATCH(I242,_Entradas_ZIG!$C:$C,0))),"OK","Erro - SKU nao encontrado"))))</f>
        <v/>
      </c>
      <c r="M242" s="99">
        <f>IFERROR(INDEX(_ZIG_Cadastro!$G:$G,MATCH(I242,_ZIG_Cadastro!$A:$A,0)),IF(NOT(ISERROR(MATCH(I242,_Entradas_ZIG!$C:$C,0))),"Ativo","—"))</f>
        <v/>
      </c>
      <c r="N242" s="102">
        <f>IFERROR(INDEX(_ZIG_Cadastro!$E:$E,MATCH(I242,_ZIG_Cadastro!$A:$A,0)),IFERROR(INDEX(_Entradas_ZIG!$F:$F,MATCH(I242,_Entradas_ZIG!$C:$C,0)),"—"))</f>
        <v/>
      </c>
      <c r="O242" s="99">
        <f>IF(AND(ISNUMBER(SEARCH("Espeto",N242)),ISNUMBER(SEARCH("Carin",N242))),"SIM","")</f>
        <v/>
      </c>
      <c r="P242" s="99">
        <f>IF(AND(ISNUMBER(SEARCH("Espeto",N242)),ISNUMBER(SEARCH("Lapa",N242))),"SIM","")</f>
        <v/>
      </c>
      <c r="Q242" s="99">
        <f>IF(AND(ISNUMBER(SEARCH("Espeto",N242)),ISNUMBER(SEARCH("Tatuapé",N242))),"SIM","")</f>
        <v/>
      </c>
      <c r="R242" s="99">
        <f>IF(AND(ISNUMBER(SEARCH("Espeto",N242)),ISNUMBER(SEARCH("Pavão",N242))),"SIM","")</f>
        <v/>
      </c>
      <c r="S242" s="99">
        <f>IF(AND(ISNUMBER(SEARCH("Espeto",N242)),ISNUMBER(SEARCH("Chac",N242))),"SIM","")</f>
        <v/>
      </c>
      <c r="T242" s="99">
        <f>IF(AND(ISNUMBER(SEARCH("Espeto",N242)),ISNUMBER(SEARCH("Madalena",N242))),"SIM","")</f>
        <v/>
      </c>
      <c r="U242" s="99">
        <f>IF(AND(ISNUMBER(SEARCH("Espeto",N242)),ISNUMBER(SEARCH("Mariana",N242))),"SIM","")</f>
        <v/>
      </c>
      <c r="V242" s="99">
        <f>IF(AND(ISNUMBER(SEARCH("Espeto",N242)),ISNUMBER(SEARCH("Perdizes",N242))),"SIM","")</f>
        <v/>
      </c>
      <c r="W242" s="99">
        <f>IF(AND(ISNUMBER(SEARCH("Espeto",N242)),ISNUMBER(SEARCH("Santana",N242))),"SIM","")</f>
        <v/>
      </c>
      <c r="X242" s="99">
        <f>IF(AND(ISNUMBER(SEARCH("Espeto",N242)),ISNUMBER(SEARCH("André",N242))),"SIM","")</f>
        <v/>
      </c>
      <c r="Y242" s="99">
        <f>IF(AND(ISNUMBER(SEARCH("Delivery",N242)),ISNUMBER(SEARCH("Carin",N242))),"SIM","")</f>
        <v/>
      </c>
      <c r="Z242" s="99">
        <f>IF(AND(ISNUMBER(SEARCH("Delivery",N242)),ISNUMBER(SEARCH("Lapa",N242))),"SIM","")</f>
        <v/>
      </c>
      <c r="AA242" s="99">
        <f>IF(AND(ISNUMBER(SEARCH("Delivery",N242)),ISNUMBER(SEARCH("Tatuapé",N242))),"SIM","")</f>
        <v/>
      </c>
      <c r="AB242" s="99">
        <f>IF(AND(ISNUMBER(SEARCH("Delivery",N242)),ISNUMBER(SEARCH("Pavão",N242))),"SIM","")</f>
        <v/>
      </c>
      <c r="AC242" s="99">
        <f>IF(AND(ISNUMBER(SEARCH("Delivery",N242)),ISNUMBER(SEARCH("Chac",N242))),"SIM","")</f>
        <v/>
      </c>
      <c r="AD242" s="99">
        <f>IF(AND(ISNUMBER(SEARCH("Delivery",N242)),ISNUMBER(SEARCH("Madalena",N242))),"SIM","")</f>
        <v/>
      </c>
      <c r="AE242" s="92">
        <f>IF(AND(ISNUMBER(SEARCH("Delivery",N242)),ISNUMBER(SEARCH("Mariana",N242))),"SIM","")</f>
        <v/>
      </c>
      <c r="AF242" s="92">
        <f>IF(AND(ISNUMBER(SEARCH("Delivery",N242)),ISNUMBER(SEARCH("Perdizes",N242))),"SIM","")</f>
        <v/>
      </c>
      <c r="AG242" s="92">
        <f>IF(AND(ISNUMBER(SEARCH("Delivery",N242)),ISNUMBER(SEARCH("Santana",N242))),"SIM","")</f>
        <v/>
      </c>
      <c r="AH242" s="92">
        <f>IF(AND(ISNUMBER(SEARCH("Delivery",N242)),ISNUMBER(SEARCH("André",N242))),"SIM","")</f>
        <v/>
      </c>
      <c r="AI242" s="92">
        <f>IF(ISNUMBER(SEARCH("Interlagos",N242)),"SIM","")</f>
        <v/>
      </c>
      <c r="AJ242" s="92">
        <f>IF(ISNUMBER(SEARCH("Quiosque",N242)),"SIM","")</f>
        <v/>
      </c>
      <c r="AK242" s="93" t="n"/>
    </row>
    <row r="243">
      <c r="A243" s="88" t="inlineStr">
        <is>
          <t>Protheus</t>
        </is>
      </c>
      <c r="B243" s="89" t="inlineStr">
        <is>
          <t>001246</t>
        </is>
      </c>
      <c r="C243" s="90">
        <f>IF(B243="—","—",IFERROR(VLOOKUP(B243,_Protheus_Cadastro!$A:$B,2,FALSE),"—"))</f>
        <v/>
      </c>
      <c r="D243" s="91">
        <f>IF(B243="—",IFERROR(INDEX(_ZIG_Cadastro!$D:$D,MATCH(H243,_ZIG_Cadastro!$A:$A,0)),"Produto"),IFERROR(VLOOKUP(B243,_Protheus_Cadastro!$A:$C,3,FALSE),"—"))</f>
        <v/>
      </c>
      <c r="E243" s="91">
        <f>IF(B243="—","—",IFERROR(VLOOKUP(B243,_Protheus_Cadastro!$A:$D,4,FALSE),"—"))</f>
        <v/>
      </c>
      <c r="F243" s="91">
        <f>IF(ISERROR(VLOOKUP(B243,'Estrutura Protheus'!A:A,1,FALSE)),"Não","Sim")</f>
        <v/>
      </c>
      <c r="G243" s="92">
        <f>IFERROR(INDEX(_Protheus_Cadastro!$H:$H,MATCH(B243,_Protheus_Cadastro!$A:$A,0)),"—")</f>
        <v/>
      </c>
      <c r="H243" s="210">
        <f>IFERROR(INDEX(_ZIG_Precos!$D:$D,MATCH(I243,_ZIG_Precos!$F:$F,0)),"—")</f>
        <v/>
      </c>
      <c r="I243" s="95">
        <f>IFERROR(VLOOKUP(B243,_Protheus_Cadastro!$A:$I,9,FALSE),"—")</f>
        <v/>
      </c>
      <c r="J243" s="93">
        <f>IFERROR(INDEX(_ZIG_Cadastro!$B:$B,MATCH(I243,_ZIG_Cadastro!$A:$A,0)),IFERROR(INDEX(_Entradas_ZIG!$B:$B,MATCH(I243,_Entradas_ZIG!$C:$C,0)),"—"))</f>
        <v/>
      </c>
      <c r="K243" s="93">
        <f>IFERROR(INDEX(_ZIG_Cadastro!$C:$C,MATCH(I243,_ZIG_Cadastro!$A:$A,0)),IFERROR(INDEX(_Entradas_ZIG!$D:$D,MATCH(I243,_Entradas_ZIG!$C:$C,0)),"—"))</f>
        <v/>
      </c>
      <c r="L243" s="92">
        <f>IF(I243="","Sem SKU ZIG",IF(I243="—","Sem SKU ZIG",IF(NOT(ISERROR(MATCH(I243,_ZIG_Cadastro!$A:$A,0))),IF(EXACT(UPPER(TRIM(C243)),UPPER(TRIM(INDEX(_ZIG_Cadastro!$B:$B,MATCH(I243,_ZIG_Cadastro!$A:$A,0))))),"OK","Atencao - Nome diverge"),IF(NOT(ISERROR(MATCH(I243,_Entradas_ZIG!$C:$C,0))),"OK","Erro - SKU nao encontrado"))))</f>
        <v/>
      </c>
      <c r="M243" s="92">
        <f>IFERROR(INDEX(_ZIG_Cadastro!$G:$G,MATCH(I243,_ZIG_Cadastro!$A:$A,0)),IF(NOT(ISERROR(MATCH(I243,_Entradas_ZIG!$C:$C,0))),"Ativo","—"))</f>
        <v/>
      </c>
      <c r="N243" s="94">
        <f>IFERROR(INDEX(_ZIG_Cadastro!$E:$E,MATCH(I243,_ZIG_Cadastro!$A:$A,0)),IFERROR(INDEX(_Entradas_ZIG!$F:$F,MATCH(I243,_Entradas_ZIG!$C:$C,0)),"—"))</f>
        <v/>
      </c>
      <c r="O243" s="92">
        <f>IF(AND(ISNUMBER(SEARCH("Espeto",N243)),ISNUMBER(SEARCH("Carin",N243))),"SIM","")</f>
        <v/>
      </c>
      <c r="P243" s="92">
        <f>IF(AND(ISNUMBER(SEARCH("Espeto",N243)),ISNUMBER(SEARCH("Lapa",N243))),"SIM","")</f>
        <v/>
      </c>
      <c r="Q243" s="92">
        <f>IF(AND(ISNUMBER(SEARCH("Espeto",N243)),ISNUMBER(SEARCH("Tatuapé",N243))),"SIM","")</f>
        <v/>
      </c>
      <c r="R243" s="92">
        <f>IF(AND(ISNUMBER(SEARCH("Espeto",N243)),ISNUMBER(SEARCH("Pavão",N243))),"SIM","")</f>
        <v/>
      </c>
      <c r="S243" s="92">
        <f>IF(AND(ISNUMBER(SEARCH("Espeto",N243)),ISNUMBER(SEARCH("Chac",N243))),"SIM","")</f>
        <v/>
      </c>
      <c r="T243" s="92">
        <f>IF(AND(ISNUMBER(SEARCH("Espeto",N243)),ISNUMBER(SEARCH("Madalena",N243))),"SIM","")</f>
        <v/>
      </c>
      <c r="U243" s="92">
        <f>IF(AND(ISNUMBER(SEARCH("Espeto",N243)),ISNUMBER(SEARCH("Mariana",N243))),"SIM","")</f>
        <v/>
      </c>
      <c r="V243" s="92">
        <f>IF(AND(ISNUMBER(SEARCH("Espeto",N243)),ISNUMBER(SEARCH("Perdizes",N243))),"SIM","")</f>
        <v/>
      </c>
      <c r="W243" s="92">
        <f>IF(AND(ISNUMBER(SEARCH("Espeto",N243)),ISNUMBER(SEARCH("Santana",N243))),"SIM","")</f>
        <v/>
      </c>
      <c r="X243" s="92">
        <f>IF(AND(ISNUMBER(SEARCH("Espeto",N243)),ISNUMBER(SEARCH("André",N243))),"SIM","")</f>
        <v/>
      </c>
      <c r="Y243" s="92">
        <f>IF(AND(ISNUMBER(SEARCH("Delivery",N243)),ISNUMBER(SEARCH("Carin",N243))),"SIM","")</f>
        <v/>
      </c>
      <c r="Z243" s="92">
        <f>IF(AND(ISNUMBER(SEARCH("Delivery",N243)),ISNUMBER(SEARCH("Lapa",N243))),"SIM","")</f>
        <v/>
      </c>
      <c r="AA243" s="92">
        <f>IF(AND(ISNUMBER(SEARCH("Delivery",N243)),ISNUMBER(SEARCH("Tatuapé",N243))),"SIM","")</f>
        <v/>
      </c>
      <c r="AB243" s="92">
        <f>IF(AND(ISNUMBER(SEARCH("Delivery",N243)),ISNUMBER(SEARCH("Pavão",N243))),"SIM","")</f>
        <v/>
      </c>
      <c r="AC243" s="92">
        <f>IF(AND(ISNUMBER(SEARCH("Delivery",N243)),ISNUMBER(SEARCH("Chac",N243))),"SIM","")</f>
        <v/>
      </c>
      <c r="AD243" s="92">
        <f>IF(AND(ISNUMBER(SEARCH("Delivery",N243)),ISNUMBER(SEARCH("Madalena",N243))),"SIM","")</f>
        <v/>
      </c>
      <c r="AE243" s="99">
        <f>IF(AND(ISNUMBER(SEARCH("Delivery",N243)),ISNUMBER(SEARCH("Mariana",N243))),"SIM","")</f>
        <v/>
      </c>
      <c r="AF243" s="99">
        <f>IF(AND(ISNUMBER(SEARCH("Delivery",N243)),ISNUMBER(SEARCH("Perdizes",N243))),"SIM","")</f>
        <v/>
      </c>
      <c r="AG243" s="99">
        <f>IF(AND(ISNUMBER(SEARCH("Delivery",N243)),ISNUMBER(SEARCH("Santana",N243))),"SIM","")</f>
        <v/>
      </c>
      <c r="AH243" s="99">
        <f>IF(AND(ISNUMBER(SEARCH("Delivery",N243)),ISNUMBER(SEARCH("André",N243))),"SIM","")</f>
        <v/>
      </c>
      <c r="AI243" s="99">
        <f>IF(ISNUMBER(SEARCH("Interlagos",N243)),"SIM","")</f>
        <v/>
      </c>
      <c r="AJ243" s="99">
        <f>IF(ISNUMBER(SEARCH("Quiosque",N243)),"SIM","")</f>
        <v/>
      </c>
      <c r="AK243" s="101" t="n"/>
    </row>
    <row r="244">
      <c r="A244" s="88" t="inlineStr">
        <is>
          <t>Protheus</t>
        </is>
      </c>
      <c r="B244" s="96" t="inlineStr">
        <is>
          <t>010159</t>
        </is>
      </c>
      <c r="C244" s="97">
        <f>IF(B244="—","—",IFERROR(VLOOKUP(B244,_Protheus_Cadastro!$A:$B,2,FALSE),"—"))</f>
        <v/>
      </c>
      <c r="D244" s="98">
        <f>IF(B244="—",IFERROR(INDEX(_ZIG_Cadastro!$D:$D,MATCH(H244,_ZIG_Cadastro!$A:$A,0)),"Produto"),IFERROR(VLOOKUP(B244,_Protheus_Cadastro!$A:$C,3,FALSE),"—"))</f>
        <v/>
      </c>
      <c r="E244" s="98">
        <f>IF(B244="—","—",IFERROR(VLOOKUP(B244,_Protheus_Cadastro!$A:$D,4,FALSE),"—"))</f>
        <v/>
      </c>
      <c r="F244" s="98">
        <f>IF(ISERROR(VLOOKUP(B244,'Estrutura Protheus'!A:A,1,FALSE)),"Não","Sim")</f>
        <v/>
      </c>
      <c r="G244" s="99">
        <f>IFERROR(INDEX(_Protheus_Cadastro!$H:$H,MATCH(B244,_Protheus_Cadastro!$A:$A,0)),"—")</f>
        <v/>
      </c>
      <c r="H244" s="211">
        <f>IFERROR(INDEX(_ZIG_Precos!$D:$D,MATCH(I244,_ZIG_Precos!$F:$F,0)),"—")</f>
        <v/>
      </c>
      <c r="I244" s="103">
        <f>IFERROR(VLOOKUP(B244,_Protheus_Cadastro!$A:$I,9,FALSE),"—")</f>
        <v/>
      </c>
      <c r="J244" s="101">
        <f>IFERROR(INDEX(_ZIG_Cadastro!$B:$B,MATCH(I244,_ZIG_Cadastro!$A:$A,0)),IFERROR(INDEX(_Entradas_ZIG!$B:$B,MATCH(I244,_Entradas_ZIG!$C:$C,0)),"—"))</f>
        <v/>
      </c>
      <c r="K244" s="101">
        <f>IFERROR(INDEX(_ZIG_Cadastro!$C:$C,MATCH(I244,_ZIG_Cadastro!$A:$A,0)),IFERROR(INDEX(_Entradas_ZIG!$D:$D,MATCH(I244,_Entradas_ZIG!$C:$C,0)),"—"))</f>
        <v/>
      </c>
      <c r="L244" s="99">
        <f>IF(I244="","Sem SKU ZIG",IF(I244="—","Sem SKU ZIG",IF(NOT(ISERROR(MATCH(I244,_ZIG_Cadastro!$A:$A,0))),IF(EXACT(UPPER(TRIM(C244)),UPPER(TRIM(INDEX(_ZIG_Cadastro!$B:$B,MATCH(I244,_ZIG_Cadastro!$A:$A,0))))),"OK","Atencao - Nome diverge"),IF(NOT(ISERROR(MATCH(I244,_Entradas_ZIG!$C:$C,0))),"OK","Erro - SKU nao encontrado"))))</f>
        <v/>
      </c>
      <c r="M244" s="99">
        <f>IFERROR(INDEX(_ZIG_Cadastro!$G:$G,MATCH(I244,_ZIG_Cadastro!$A:$A,0)),IF(NOT(ISERROR(MATCH(I244,_Entradas_ZIG!$C:$C,0))),"Ativo","—"))</f>
        <v/>
      </c>
      <c r="N244" s="102">
        <f>IFERROR(INDEX(_ZIG_Cadastro!$E:$E,MATCH(I244,_ZIG_Cadastro!$A:$A,0)),IFERROR(INDEX(_Entradas_ZIG!$F:$F,MATCH(I244,_Entradas_ZIG!$C:$C,0)),"—"))</f>
        <v/>
      </c>
      <c r="O244" s="99">
        <f>IF(AND(ISNUMBER(SEARCH("Espeto",N244)),ISNUMBER(SEARCH("Carin",N244))),"SIM","")</f>
        <v/>
      </c>
      <c r="P244" s="99">
        <f>IF(AND(ISNUMBER(SEARCH("Espeto",N244)),ISNUMBER(SEARCH("Lapa",N244))),"SIM","")</f>
        <v/>
      </c>
      <c r="Q244" s="99">
        <f>IF(AND(ISNUMBER(SEARCH("Espeto",N244)),ISNUMBER(SEARCH("Tatuapé",N244))),"SIM","")</f>
        <v/>
      </c>
      <c r="R244" s="99">
        <f>IF(AND(ISNUMBER(SEARCH("Espeto",N244)),ISNUMBER(SEARCH("Pavão",N244))),"SIM","")</f>
        <v/>
      </c>
      <c r="S244" s="99">
        <f>IF(AND(ISNUMBER(SEARCH("Espeto",N244)),ISNUMBER(SEARCH("Chac",N244))),"SIM","")</f>
        <v/>
      </c>
      <c r="T244" s="99">
        <f>IF(AND(ISNUMBER(SEARCH("Espeto",N244)),ISNUMBER(SEARCH("Madalena",N244))),"SIM","")</f>
        <v/>
      </c>
      <c r="U244" s="99">
        <f>IF(AND(ISNUMBER(SEARCH("Espeto",N244)),ISNUMBER(SEARCH("Mariana",N244))),"SIM","")</f>
        <v/>
      </c>
      <c r="V244" s="99">
        <f>IF(AND(ISNUMBER(SEARCH("Espeto",N244)),ISNUMBER(SEARCH("Perdizes",N244))),"SIM","")</f>
        <v/>
      </c>
      <c r="W244" s="99">
        <f>IF(AND(ISNUMBER(SEARCH("Espeto",N244)),ISNUMBER(SEARCH("Santana",N244))),"SIM","")</f>
        <v/>
      </c>
      <c r="X244" s="99">
        <f>IF(AND(ISNUMBER(SEARCH("Espeto",N244)),ISNUMBER(SEARCH("André",N244))),"SIM","")</f>
        <v/>
      </c>
      <c r="Y244" s="99">
        <f>IF(AND(ISNUMBER(SEARCH("Delivery",N244)),ISNUMBER(SEARCH("Carin",N244))),"SIM","")</f>
        <v/>
      </c>
      <c r="Z244" s="99">
        <f>IF(AND(ISNUMBER(SEARCH("Delivery",N244)),ISNUMBER(SEARCH("Lapa",N244))),"SIM","")</f>
        <v/>
      </c>
      <c r="AA244" s="99">
        <f>IF(AND(ISNUMBER(SEARCH("Delivery",N244)),ISNUMBER(SEARCH("Tatuapé",N244))),"SIM","")</f>
        <v/>
      </c>
      <c r="AB244" s="99">
        <f>IF(AND(ISNUMBER(SEARCH("Delivery",N244)),ISNUMBER(SEARCH("Pavão",N244))),"SIM","")</f>
        <v/>
      </c>
      <c r="AC244" s="99">
        <f>IF(AND(ISNUMBER(SEARCH("Delivery",N244)),ISNUMBER(SEARCH("Chac",N244))),"SIM","")</f>
        <v/>
      </c>
      <c r="AD244" s="99">
        <f>IF(AND(ISNUMBER(SEARCH("Delivery",N244)),ISNUMBER(SEARCH("Madalena",N244))),"SIM","")</f>
        <v/>
      </c>
      <c r="AE244" s="92">
        <f>IF(AND(ISNUMBER(SEARCH("Delivery",N244)),ISNUMBER(SEARCH("Mariana",N244))),"SIM","")</f>
        <v/>
      </c>
      <c r="AF244" s="92">
        <f>IF(AND(ISNUMBER(SEARCH("Delivery",N244)),ISNUMBER(SEARCH("Perdizes",N244))),"SIM","")</f>
        <v/>
      </c>
      <c r="AG244" s="92">
        <f>IF(AND(ISNUMBER(SEARCH("Delivery",N244)),ISNUMBER(SEARCH("Santana",N244))),"SIM","")</f>
        <v/>
      </c>
      <c r="AH244" s="92">
        <f>IF(AND(ISNUMBER(SEARCH("Delivery",N244)),ISNUMBER(SEARCH("André",N244))),"SIM","")</f>
        <v/>
      </c>
      <c r="AI244" s="92">
        <f>IF(ISNUMBER(SEARCH("Interlagos",N244)),"SIM","")</f>
        <v/>
      </c>
      <c r="AJ244" s="92">
        <f>IF(ISNUMBER(SEARCH("Quiosque",N244)),"SIM","")</f>
        <v/>
      </c>
      <c r="AK244" s="93" t="n"/>
    </row>
    <row r="245">
      <c r="A245" s="88" t="inlineStr">
        <is>
          <t>Protheus</t>
        </is>
      </c>
      <c r="B245" s="89" t="inlineStr">
        <is>
          <t>002259</t>
        </is>
      </c>
      <c r="C245" s="90">
        <f>IF(B245="—","—",IFERROR(VLOOKUP(B245,_Protheus_Cadastro!$A:$B,2,FALSE),"—"))</f>
        <v/>
      </c>
      <c r="D245" s="91">
        <f>IF(B245="—",IFERROR(INDEX(_ZIG_Cadastro!$D:$D,MATCH(H245,_ZIG_Cadastro!$A:$A,0)),"Produto"),IFERROR(VLOOKUP(B245,_Protheus_Cadastro!$A:$C,3,FALSE),"—"))</f>
        <v/>
      </c>
      <c r="E245" s="91">
        <f>IF(B245="—","—",IFERROR(VLOOKUP(B245,_Protheus_Cadastro!$A:$D,4,FALSE),"—"))</f>
        <v/>
      </c>
      <c r="F245" s="91">
        <f>IF(ISERROR(VLOOKUP(B245,'Estrutura Protheus'!A:A,1,FALSE)),"Não","Sim")</f>
        <v/>
      </c>
      <c r="G245" s="92">
        <f>IFERROR(INDEX(_Protheus_Cadastro!$H:$H,MATCH(B245,_Protheus_Cadastro!$A:$A,0)),"—")</f>
        <v/>
      </c>
      <c r="H245" s="210">
        <f>IFERROR(INDEX(_ZIG_Precos!$D:$D,MATCH(I245,_ZIG_Precos!$F:$F,0)),"—")</f>
        <v/>
      </c>
      <c r="I245" s="95">
        <f>IFERROR(VLOOKUP(B245,_Protheus_Cadastro!$A:$I,9,FALSE),"—")</f>
        <v/>
      </c>
      <c r="J245" s="93">
        <f>IFERROR(INDEX(_ZIG_Cadastro!$B:$B,MATCH(I245,_ZIG_Cadastro!$A:$A,0)),IFERROR(INDEX(_Entradas_ZIG!$B:$B,MATCH(I245,_Entradas_ZIG!$C:$C,0)),"—"))</f>
        <v/>
      </c>
      <c r="K245" s="93">
        <f>IFERROR(INDEX(_ZIG_Cadastro!$C:$C,MATCH(I245,_ZIG_Cadastro!$A:$A,0)),IFERROR(INDEX(_Entradas_ZIG!$D:$D,MATCH(I245,_Entradas_ZIG!$C:$C,0)),"—"))</f>
        <v/>
      </c>
      <c r="L245" s="92">
        <f>IF(I245="","Sem SKU ZIG",IF(I245="—","Sem SKU ZIG",IF(NOT(ISERROR(MATCH(I245,_ZIG_Cadastro!$A:$A,0))),IF(EXACT(UPPER(TRIM(C245)),UPPER(TRIM(INDEX(_ZIG_Cadastro!$B:$B,MATCH(I245,_ZIG_Cadastro!$A:$A,0))))),"OK","Atencao - Nome diverge"),IF(NOT(ISERROR(MATCH(I245,_Entradas_ZIG!$C:$C,0))),"OK","Erro - SKU nao encontrado"))))</f>
        <v/>
      </c>
      <c r="M245" s="92">
        <f>IFERROR(INDEX(_ZIG_Cadastro!$G:$G,MATCH(I245,_ZIG_Cadastro!$A:$A,0)),IF(NOT(ISERROR(MATCH(I245,_Entradas_ZIG!$C:$C,0))),"Ativo","—"))</f>
        <v/>
      </c>
      <c r="N245" s="94">
        <f>IFERROR(INDEX(_ZIG_Cadastro!$E:$E,MATCH(I245,_ZIG_Cadastro!$A:$A,0)),IFERROR(INDEX(_Entradas_ZIG!$F:$F,MATCH(I245,_Entradas_ZIG!$C:$C,0)),"—"))</f>
        <v/>
      </c>
      <c r="O245" s="92">
        <f>IF(AND(ISNUMBER(SEARCH("Espeto",N245)),ISNUMBER(SEARCH("Carin",N245))),"SIM","")</f>
        <v/>
      </c>
      <c r="P245" s="92">
        <f>IF(AND(ISNUMBER(SEARCH("Espeto",N245)),ISNUMBER(SEARCH("Lapa",N245))),"SIM","")</f>
        <v/>
      </c>
      <c r="Q245" s="92">
        <f>IF(AND(ISNUMBER(SEARCH("Espeto",N245)),ISNUMBER(SEARCH("Tatuapé",N245))),"SIM","")</f>
        <v/>
      </c>
      <c r="R245" s="92">
        <f>IF(AND(ISNUMBER(SEARCH("Espeto",N245)),ISNUMBER(SEARCH("Pavão",N245))),"SIM","")</f>
        <v/>
      </c>
      <c r="S245" s="92">
        <f>IF(AND(ISNUMBER(SEARCH("Espeto",N245)),ISNUMBER(SEARCH("Chac",N245))),"SIM","")</f>
        <v/>
      </c>
      <c r="T245" s="92">
        <f>IF(AND(ISNUMBER(SEARCH("Espeto",N245)),ISNUMBER(SEARCH("Madalena",N245))),"SIM","")</f>
        <v/>
      </c>
      <c r="U245" s="92">
        <f>IF(AND(ISNUMBER(SEARCH("Espeto",N245)),ISNUMBER(SEARCH("Mariana",N245))),"SIM","")</f>
        <v/>
      </c>
      <c r="V245" s="92">
        <f>IF(AND(ISNUMBER(SEARCH("Espeto",N245)),ISNUMBER(SEARCH("Perdizes",N245))),"SIM","")</f>
        <v/>
      </c>
      <c r="W245" s="92">
        <f>IF(AND(ISNUMBER(SEARCH("Espeto",N245)),ISNUMBER(SEARCH("Santana",N245))),"SIM","")</f>
        <v/>
      </c>
      <c r="X245" s="92">
        <f>IF(AND(ISNUMBER(SEARCH("Espeto",N245)),ISNUMBER(SEARCH("André",N245))),"SIM","")</f>
        <v/>
      </c>
      <c r="Y245" s="92">
        <f>IF(AND(ISNUMBER(SEARCH("Delivery",N245)),ISNUMBER(SEARCH("Carin",N245))),"SIM","")</f>
        <v/>
      </c>
      <c r="Z245" s="92">
        <f>IF(AND(ISNUMBER(SEARCH("Delivery",N245)),ISNUMBER(SEARCH("Lapa",N245))),"SIM","")</f>
        <v/>
      </c>
      <c r="AA245" s="92">
        <f>IF(AND(ISNUMBER(SEARCH("Delivery",N245)),ISNUMBER(SEARCH("Tatuapé",N245))),"SIM","")</f>
        <v/>
      </c>
      <c r="AB245" s="92">
        <f>IF(AND(ISNUMBER(SEARCH("Delivery",N245)),ISNUMBER(SEARCH("Pavão",N245))),"SIM","")</f>
        <v/>
      </c>
      <c r="AC245" s="92">
        <f>IF(AND(ISNUMBER(SEARCH("Delivery",N245)),ISNUMBER(SEARCH("Chac",N245))),"SIM","")</f>
        <v/>
      </c>
      <c r="AD245" s="92">
        <f>IF(AND(ISNUMBER(SEARCH("Delivery",N245)),ISNUMBER(SEARCH("Madalena",N245))),"SIM","")</f>
        <v/>
      </c>
      <c r="AE245" s="99">
        <f>IF(AND(ISNUMBER(SEARCH("Delivery",N245)),ISNUMBER(SEARCH("Mariana",N245))),"SIM","")</f>
        <v/>
      </c>
      <c r="AF245" s="99">
        <f>IF(AND(ISNUMBER(SEARCH("Delivery",N245)),ISNUMBER(SEARCH("Perdizes",N245))),"SIM","")</f>
        <v/>
      </c>
      <c r="AG245" s="99">
        <f>IF(AND(ISNUMBER(SEARCH("Delivery",N245)),ISNUMBER(SEARCH("Santana",N245))),"SIM","")</f>
        <v/>
      </c>
      <c r="AH245" s="99">
        <f>IF(AND(ISNUMBER(SEARCH("Delivery",N245)),ISNUMBER(SEARCH("André",N245))),"SIM","")</f>
        <v/>
      </c>
      <c r="AI245" s="99">
        <f>IF(ISNUMBER(SEARCH("Interlagos",N245)),"SIM","")</f>
        <v/>
      </c>
      <c r="AJ245" s="99">
        <f>IF(ISNUMBER(SEARCH("Quiosque",N245)),"SIM","")</f>
        <v/>
      </c>
      <c r="AK245" s="101" t="n"/>
    </row>
    <row r="246">
      <c r="A246" s="88" t="inlineStr">
        <is>
          <t>Protheus</t>
        </is>
      </c>
      <c r="B246" s="96" t="inlineStr">
        <is>
          <t>001561</t>
        </is>
      </c>
      <c r="C246" s="97">
        <f>IF(B246="—","—",IFERROR(VLOOKUP(B246,_Protheus_Cadastro!$A:$B,2,FALSE),"—"))</f>
        <v/>
      </c>
      <c r="D246" s="98">
        <f>IF(B246="—",IFERROR(INDEX(_ZIG_Cadastro!$D:$D,MATCH(H246,_ZIG_Cadastro!$A:$A,0)),"Produto"),IFERROR(VLOOKUP(B246,_Protheus_Cadastro!$A:$C,3,FALSE),"—"))</f>
        <v/>
      </c>
      <c r="E246" s="98">
        <f>IF(B246="—","—",IFERROR(VLOOKUP(B246,_Protheus_Cadastro!$A:$D,4,FALSE),"—"))</f>
        <v/>
      </c>
      <c r="F246" s="98">
        <f>IF(ISERROR(VLOOKUP(B246,'Estrutura Protheus'!A:A,1,FALSE)),"Não","Sim")</f>
        <v/>
      </c>
      <c r="G246" s="99">
        <f>IFERROR(INDEX(_Protheus_Cadastro!$H:$H,MATCH(B246,_Protheus_Cadastro!$A:$A,0)),"—")</f>
        <v/>
      </c>
      <c r="H246" s="211">
        <f>IFERROR(INDEX(_ZIG_Precos!$D:$D,MATCH(I246,_ZIG_Precos!$F:$F,0)),"—")</f>
        <v/>
      </c>
      <c r="I246" s="103">
        <f>IFERROR(VLOOKUP(B246,_Protheus_Cadastro!$A:$I,9,FALSE),"—")</f>
        <v/>
      </c>
      <c r="J246" s="101">
        <f>IFERROR(INDEX(_ZIG_Cadastro!$B:$B,MATCH(I246,_ZIG_Cadastro!$A:$A,0)),IFERROR(INDEX(_Entradas_ZIG!$B:$B,MATCH(I246,_Entradas_ZIG!$C:$C,0)),"—"))</f>
        <v/>
      </c>
      <c r="K246" s="101">
        <f>IFERROR(INDEX(_ZIG_Cadastro!$C:$C,MATCH(I246,_ZIG_Cadastro!$A:$A,0)),IFERROR(INDEX(_Entradas_ZIG!$D:$D,MATCH(I246,_Entradas_ZIG!$C:$C,0)),"—"))</f>
        <v/>
      </c>
      <c r="L246" s="99">
        <f>IF(I246="","Sem SKU ZIG",IF(I246="—","Sem SKU ZIG",IF(NOT(ISERROR(MATCH(I246,_ZIG_Cadastro!$A:$A,0))),IF(EXACT(UPPER(TRIM(C246)),UPPER(TRIM(INDEX(_ZIG_Cadastro!$B:$B,MATCH(I246,_ZIG_Cadastro!$A:$A,0))))),"OK","Atencao - Nome diverge"),IF(NOT(ISERROR(MATCH(I246,_Entradas_ZIG!$C:$C,0))),"OK","Erro - SKU nao encontrado"))))</f>
        <v/>
      </c>
      <c r="M246" s="99">
        <f>IFERROR(INDEX(_ZIG_Cadastro!$G:$G,MATCH(I246,_ZIG_Cadastro!$A:$A,0)),IF(NOT(ISERROR(MATCH(I246,_Entradas_ZIG!$C:$C,0))),"Ativo","—"))</f>
        <v/>
      </c>
      <c r="N246" s="102">
        <f>IFERROR(INDEX(_ZIG_Cadastro!$E:$E,MATCH(I246,_ZIG_Cadastro!$A:$A,0)),IFERROR(INDEX(_Entradas_ZIG!$F:$F,MATCH(I246,_Entradas_ZIG!$C:$C,0)),"—"))</f>
        <v/>
      </c>
      <c r="O246" s="99">
        <f>IF(AND(ISNUMBER(SEARCH("Espeto",N246)),ISNUMBER(SEARCH("Carin",N246))),"SIM","")</f>
        <v/>
      </c>
      <c r="P246" s="99">
        <f>IF(AND(ISNUMBER(SEARCH("Espeto",N246)),ISNUMBER(SEARCH("Lapa",N246))),"SIM","")</f>
        <v/>
      </c>
      <c r="Q246" s="99">
        <f>IF(AND(ISNUMBER(SEARCH("Espeto",N246)),ISNUMBER(SEARCH("Tatuapé",N246))),"SIM","")</f>
        <v/>
      </c>
      <c r="R246" s="99">
        <f>IF(AND(ISNUMBER(SEARCH("Espeto",N246)),ISNUMBER(SEARCH("Pavão",N246))),"SIM","")</f>
        <v/>
      </c>
      <c r="S246" s="99">
        <f>IF(AND(ISNUMBER(SEARCH("Espeto",N246)),ISNUMBER(SEARCH("Chac",N246))),"SIM","")</f>
        <v/>
      </c>
      <c r="T246" s="99">
        <f>IF(AND(ISNUMBER(SEARCH("Espeto",N246)),ISNUMBER(SEARCH("Madalena",N246))),"SIM","")</f>
        <v/>
      </c>
      <c r="U246" s="99">
        <f>IF(AND(ISNUMBER(SEARCH("Espeto",N246)),ISNUMBER(SEARCH("Mariana",N246))),"SIM","")</f>
        <v/>
      </c>
      <c r="V246" s="99">
        <f>IF(AND(ISNUMBER(SEARCH("Espeto",N246)),ISNUMBER(SEARCH("Perdizes",N246))),"SIM","")</f>
        <v/>
      </c>
      <c r="W246" s="99">
        <f>IF(AND(ISNUMBER(SEARCH("Espeto",N246)),ISNUMBER(SEARCH("Santana",N246))),"SIM","")</f>
        <v/>
      </c>
      <c r="X246" s="99">
        <f>IF(AND(ISNUMBER(SEARCH("Espeto",N246)),ISNUMBER(SEARCH("André",N246))),"SIM","")</f>
        <v/>
      </c>
      <c r="Y246" s="99">
        <f>IF(AND(ISNUMBER(SEARCH("Delivery",N246)),ISNUMBER(SEARCH("Carin",N246))),"SIM","")</f>
        <v/>
      </c>
      <c r="Z246" s="99">
        <f>IF(AND(ISNUMBER(SEARCH("Delivery",N246)),ISNUMBER(SEARCH("Lapa",N246))),"SIM","")</f>
        <v/>
      </c>
      <c r="AA246" s="99">
        <f>IF(AND(ISNUMBER(SEARCH("Delivery",N246)),ISNUMBER(SEARCH("Tatuapé",N246))),"SIM","")</f>
        <v/>
      </c>
      <c r="AB246" s="99">
        <f>IF(AND(ISNUMBER(SEARCH("Delivery",N246)),ISNUMBER(SEARCH("Pavão",N246))),"SIM","")</f>
        <v/>
      </c>
      <c r="AC246" s="99">
        <f>IF(AND(ISNUMBER(SEARCH("Delivery",N246)),ISNUMBER(SEARCH("Chac",N246))),"SIM","")</f>
        <v/>
      </c>
      <c r="AD246" s="99">
        <f>IF(AND(ISNUMBER(SEARCH("Delivery",N246)),ISNUMBER(SEARCH("Madalena",N246))),"SIM","")</f>
        <v/>
      </c>
      <c r="AE246" s="92">
        <f>IF(AND(ISNUMBER(SEARCH("Delivery",N246)),ISNUMBER(SEARCH("Mariana",N246))),"SIM","")</f>
        <v/>
      </c>
      <c r="AF246" s="92">
        <f>IF(AND(ISNUMBER(SEARCH("Delivery",N246)),ISNUMBER(SEARCH("Perdizes",N246))),"SIM","")</f>
        <v/>
      </c>
      <c r="AG246" s="92">
        <f>IF(AND(ISNUMBER(SEARCH("Delivery",N246)),ISNUMBER(SEARCH("Santana",N246))),"SIM","")</f>
        <v/>
      </c>
      <c r="AH246" s="92">
        <f>IF(AND(ISNUMBER(SEARCH("Delivery",N246)),ISNUMBER(SEARCH("André",N246))),"SIM","")</f>
        <v/>
      </c>
      <c r="AI246" s="92">
        <f>IF(ISNUMBER(SEARCH("Interlagos",N246)),"SIM","")</f>
        <v/>
      </c>
      <c r="AJ246" s="92">
        <f>IF(ISNUMBER(SEARCH("Quiosque",N246)),"SIM","")</f>
        <v/>
      </c>
      <c r="AK246" s="93" t="n"/>
    </row>
    <row r="247">
      <c r="A247" s="88" t="inlineStr">
        <is>
          <t>Protheus</t>
        </is>
      </c>
      <c r="B247" s="89" t="inlineStr">
        <is>
          <t>001562</t>
        </is>
      </c>
      <c r="C247" s="90">
        <f>IF(B247="—","—",IFERROR(VLOOKUP(B247,_Protheus_Cadastro!$A:$B,2,FALSE),"—"))</f>
        <v/>
      </c>
      <c r="D247" s="91">
        <f>IF(B247="—",IFERROR(INDEX(_ZIG_Cadastro!$D:$D,MATCH(H247,_ZIG_Cadastro!$A:$A,0)),"Produto"),IFERROR(VLOOKUP(B247,_Protheus_Cadastro!$A:$C,3,FALSE),"—"))</f>
        <v/>
      </c>
      <c r="E247" s="91">
        <f>IF(B247="—","—",IFERROR(VLOOKUP(B247,_Protheus_Cadastro!$A:$D,4,FALSE),"—"))</f>
        <v/>
      </c>
      <c r="F247" s="91">
        <f>IF(ISERROR(VLOOKUP(B247,'Estrutura Protheus'!A:A,1,FALSE)),"Não","Sim")</f>
        <v/>
      </c>
      <c r="G247" s="92">
        <f>IFERROR(INDEX(_Protheus_Cadastro!$H:$H,MATCH(B247,_Protheus_Cadastro!$A:$A,0)),"—")</f>
        <v/>
      </c>
      <c r="H247" s="210">
        <f>IFERROR(INDEX(_ZIG_Precos!$D:$D,MATCH(I247,_ZIG_Precos!$F:$F,0)),"—")</f>
        <v/>
      </c>
      <c r="I247" s="95">
        <f>IFERROR(VLOOKUP(B247,_Protheus_Cadastro!$A:$I,9,FALSE),"—")</f>
        <v/>
      </c>
      <c r="J247" s="93">
        <f>IFERROR(INDEX(_ZIG_Cadastro!$B:$B,MATCH(I247,_ZIG_Cadastro!$A:$A,0)),IFERROR(INDEX(_Entradas_ZIG!$B:$B,MATCH(I247,_Entradas_ZIG!$C:$C,0)),"—"))</f>
        <v/>
      </c>
      <c r="K247" s="93">
        <f>IFERROR(INDEX(_ZIG_Cadastro!$C:$C,MATCH(I247,_ZIG_Cadastro!$A:$A,0)),IFERROR(INDEX(_Entradas_ZIG!$D:$D,MATCH(I247,_Entradas_ZIG!$C:$C,0)),"—"))</f>
        <v/>
      </c>
      <c r="L247" s="92">
        <f>IF(I247="","Sem SKU ZIG",IF(I247="—","Sem SKU ZIG",IF(NOT(ISERROR(MATCH(I247,_ZIG_Cadastro!$A:$A,0))),IF(EXACT(UPPER(TRIM(C247)),UPPER(TRIM(INDEX(_ZIG_Cadastro!$B:$B,MATCH(I247,_ZIG_Cadastro!$A:$A,0))))),"OK","Atencao - Nome diverge"),IF(NOT(ISERROR(MATCH(I247,_Entradas_ZIG!$C:$C,0))),"OK","Erro - SKU nao encontrado"))))</f>
        <v/>
      </c>
      <c r="M247" s="92">
        <f>IFERROR(INDEX(_ZIG_Cadastro!$G:$G,MATCH(I247,_ZIG_Cadastro!$A:$A,0)),IF(NOT(ISERROR(MATCH(I247,_Entradas_ZIG!$C:$C,0))),"Ativo","—"))</f>
        <v/>
      </c>
      <c r="N247" s="94">
        <f>IFERROR(INDEX(_ZIG_Cadastro!$E:$E,MATCH(I247,_ZIG_Cadastro!$A:$A,0)),IFERROR(INDEX(_Entradas_ZIG!$F:$F,MATCH(I247,_Entradas_ZIG!$C:$C,0)),"—"))</f>
        <v/>
      </c>
      <c r="O247" s="92">
        <f>IF(AND(ISNUMBER(SEARCH("Espeto",N247)),ISNUMBER(SEARCH("Carin",N247))),"SIM","")</f>
        <v/>
      </c>
      <c r="P247" s="92">
        <f>IF(AND(ISNUMBER(SEARCH("Espeto",N247)),ISNUMBER(SEARCH("Lapa",N247))),"SIM","")</f>
        <v/>
      </c>
      <c r="Q247" s="92">
        <f>IF(AND(ISNUMBER(SEARCH("Espeto",N247)),ISNUMBER(SEARCH("Tatuapé",N247))),"SIM","")</f>
        <v/>
      </c>
      <c r="R247" s="92">
        <f>IF(AND(ISNUMBER(SEARCH("Espeto",N247)),ISNUMBER(SEARCH("Pavão",N247))),"SIM","")</f>
        <v/>
      </c>
      <c r="S247" s="92">
        <f>IF(AND(ISNUMBER(SEARCH("Espeto",N247)),ISNUMBER(SEARCH("Chac",N247))),"SIM","")</f>
        <v/>
      </c>
      <c r="T247" s="92">
        <f>IF(AND(ISNUMBER(SEARCH("Espeto",N247)),ISNUMBER(SEARCH("Madalena",N247))),"SIM","")</f>
        <v/>
      </c>
      <c r="U247" s="92">
        <f>IF(AND(ISNUMBER(SEARCH("Espeto",N247)),ISNUMBER(SEARCH("Mariana",N247))),"SIM","")</f>
        <v/>
      </c>
      <c r="V247" s="92">
        <f>IF(AND(ISNUMBER(SEARCH("Espeto",N247)),ISNUMBER(SEARCH("Perdizes",N247))),"SIM","")</f>
        <v/>
      </c>
      <c r="W247" s="92">
        <f>IF(AND(ISNUMBER(SEARCH("Espeto",N247)),ISNUMBER(SEARCH("Santana",N247))),"SIM","")</f>
        <v/>
      </c>
      <c r="X247" s="92">
        <f>IF(AND(ISNUMBER(SEARCH("Espeto",N247)),ISNUMBER(SEARCH("André",N247))),"SIM","")</f>
        <v/>
      </c>
      <c r="Y247" s="92">
        <f>IF(AND(ISNUMBER(SEARCH("Delivery",N247)),ISNUMBER(SEARCH("Carin",N247))),"SIM","")</f>
        <v/>
      </c>
      <c r="Z247" s="92">
        <f>IF(AND(ISNUMBER(SEARCH("Delivery",N247)),ISNUMBER(SEARCH("Lapa",N247))),"SIM","")</f>
        <v/>
      </c>
      <c r="AA247" s="92">
        <f>IF(AND(ISNUMBER(SEARCH("Delivery",N247)),ISNUMBER(SEARCH("Tatuapé",N247))),"SIM","")</f>
        <v/>
      </c>
      <c r="AB247" s="92">
        <f>IF(AND(ISNUMBER(SEARCH("Delivery",N247)),ISNUMBER(SEARCH("Pavão",N247))),"SIM","")</f>
        <v/>
      </c>
      <c r="AC247" s="92">
        <f>IF(AND(ISNUMBER(SEARCH("Delivery",N247)),ISNUMBER(SEARCH("Chac",N247))),"SIM","")</f>
        <v/>
      </c>
      <c r="AD247" s="92">
        <f>IF(AND(ISNUMBER(SEARCH("Delivery",N247)),ISNUMBER(SEARCH("Madalena",N247))),"SIM","")</f>
        <v/>
      </c>
      <c r="AE247" s="99">
        <f>IF(AND(ISNUMBER(SEARCH("Delivery",N247)),ISNUMBER(SEARCH("Mariana",N247))),"SIM","")</f>
        <v/>
      </c>
      <c r="AF247" s="99">
        <f>IF(AND(ISNUMBER(SEARCH("Delivery",N247)),ISNUMBER(SEARCH("Perdizes",N247))),"SIM","")</f>
        <v/>
      </c>
      <c r="AG247" s="99">
        <f>IF(AND(ISNUMBER(SEARCH("Delivery",N247)),ISNUMBER(SEARCH("Santana",N247))),"SIM","")</f>
        <v/>
      </c>
      <c r="AH247" s="99">
        <f>IF(AND(ISNUMBER(SEARCH("Delivery",N247)),ISNUMBER(SEARCH("André",N247))),"SIM","")</f>
        <v/>
      </c>
      <c r="AI247" s="99">
        <f>IF(ISNUMBER(SEARCH("Interlagos",N247)),"SIM","")</f>
        <v/>
      </c>
      <c r="AJ247" s="99">
        <f>IF(ISNUMBER(SEARCH("Quiosque",N247)),"SIM","")</f>
        <v/>
      </c>
      <c r="AK247" s="101" t="n"/>
    </row>
    <row r="248">
      <c r="A248" s="88" t="inlineStr">
        <is>
          <t>Protheus</t>
        </is>
      </c>
      <c r="B248" s="96" t="inlineStr">
        <is>
          <t>002214</t>
        </is>
      </c>
      <c r="C248" s="97">
        <f>IF(B248="—","—",IFERROR(VLOOKUP(B248,_Protheus_Cadastro!$A:$B,2,FALSE),"—"))</f>
        <v/>
      </c>
      <c r="D248" s="98">
        <f>IF(B248="—",IFERROR(INDEX(_ZIG_Cadastro!$D:$D,MATCH(H248,_ZIG_Cadastro!$A:$A,0)),"Produto"),IFERROR(VLOOKUP(B248,_Protheus_Cadastro!$A:$C,3,FALSE),"—"))</f>
        <v/>
      </c>
      <c r="E248" s="98">
        <f>IF(B248="—","—",IFERROR(VLOOKUP(B248,_Protheus_Cadastro!$A:$D,4,FALSE),"—"))</f>
        <v/>
      </c>
      <c r="F248" s="98">
        <f>IF(ISERROR(VLOOKUP(B248,'Estrutura Protheus'!A:A,1,FALSE)),"Não","Sim")</f>
        <v/>
      </c>
      <c r="G248" s="99">
        <f>IFERROR(INDEX(_Protheus_Cadastro!$H:$H,MATCH(B248,_Protheus_Cadastro!$A:$A,0)),"—")</f>
        <v/>
      </c>
      <c r="H248" s="211">
        <f>IFERROR(INDEX(_ZIG_Precos!$D:$D,MATCH(I248,_ZIG_Precos!$F:$F,0)),"—")</f>
        <v/>
      </c>
      <c r="I248" s="103">
        <f>IFERROR(VLOOKUP(B248,_Protheus_Cadastro!$A:$I,9,FALSE),"—")</f>
        <v/>
      </c>
      <c r="J248" s="101">
        <f>IFERROR(INDEX(_ZIG_Cadastro!$B:$B,MATCH(I248,_ZIG_Cadastro!$A:$A,0)),IFERROR(INDEX(_Entradas_ZIG!$B:$B,MATCH(I248,_Entradas_ZIG!$C:$C,0)),"—"))</f>
        <v/>
      </c>
      <c r="K248" s="101">
        <f>IFERROR(INDEX(_ZIG_Cadastro!$C:$C,MATCH(I248,_ZIG_Cadastro!$A:$A,0)),IFERROR(INDEX(_Entradas_ZIG!$D:$D,MATCH(I248,_Entradas_ZIG!$C:$C,0)),"—"))</f>
        <v/>
      </c>
      <c r="L248" s="99">
        <f>IF(I248="","Sem SKU ZIG",IF(I248="—","Sem SKU ZIG",IF(NOT(ISERROR(MATCH(I248,_ZIG_Cadastro!$A:$A,0))),IF(EXACT(UPPER(TRIM(C248)),UPPER(TRIM(INDEX(_ZIG_Cadastro!$B:$B,MATCH(I248,_ZIG_Cadastro!$A:$A,0))))),"OK","Atencao - Nome diverge"),IF(NOT(ISERROR(MATCH(I248,_Entradas_ZIG!$C:$C,0))),"OK","Erro - SKU nao encontrado"))))</f>
        <v/>
      </c>
      <c r="M248" s="99">
        <f>IFERROR(INDEX(_ZIG_Cadastro!$G:$G,MATCH(I248,_ZIG_Cadastro!$A:$A,0)),IF(NOT(ISERROR(MATCH(I248,_Entradas_ZIG!$C:$C,0))),"Ativo","—"))</f>
        <v/>
      </c>
      <c r="N248" s="102">
        <f>IFERROR(INDEX(_ZIG_Cadastro!$E:$E,MATCH(I248,_ZIG_Cadastro!$A:$A,0)),IFERROR(INDEX(_Entradas_ZIG!$F:$F,MATCH(I248,_Entradas_ZIG!$C:$C,0)),"—"))</f>
        <v/>
      </c>
      <c r="O248" s="99">
        <f>IF(AND(ISNUMBER(SEARCH("Espeto",N248)),ISNUMBER(SEARCH("Carin",N248))),"SIM","")</f>
        <v/>
      </c>
      <c r="P248" s="99">
        <f>IF(AND(ISNUMBER(SEARCH("Espeto",N248)),ISNUMBER(SEARCH("Lapa",N248))),"SIM","")</f>
        <v/>
      </c>
      <c r="Q248" s="99">
        <f>IF(AND(ISNUMBER(SEARCH("Espeto",N248)),ISNUMBER(SEARCH("Tatuapé",N248))),"SIM","")</f>
        <v/>
      </c>
      <c r="R248" s="99">
        <f>IF(AND(ISNUMBER(SEARCH("Espeto",N248)),ISNUMBER(SEARCH("Pavão",N248))),"SIM","")</f>
        <v/>
      </c>
      <c r="S248" s="99">
        <f>IF(AND(ISNUMBER(SEARCH("Espeto",N248)),ISNUMBER(SEARCH("Chac",N248))),"SIM","")</f>
        <v/>
      </c>
      <c r="T248" s="99">
        <f>IF(AND(ISNUMBER(SEARCH("Espeto",N248)),ISNUMBER(SEARCH("Madalena",N248))),"SIM","")</f>
        <v/>
      </c>
      <c r="U248" s="99">
        <f>IF(AND(ISNUMBER(SEARCH("Espeto",N248)),ISNUMBER(SEARCH("Mariana",N248))),"SIM","")</f>
        <v/>
      </c>
      <c r="V248" s="99">
        <f>IF(AND(ISNUMBER(SEARCH("Espeto",N248)),ISNUMBER(SEARCH("Perdizes",N248))),"SIM","")</f>
        <v/>
      </c>
      <c r="W248" s="99">
        <f>IF(AND(ISNUMBER(SEARCH("Espeto",N248)),ISNUMBER(SEARCH("Santana",N248))),"SIM","")</f>
        <v/>
      </c>
      <c r="X248" s="99">
        <f>IF(AND(ISNUMBER(SEARCH("Espeto",N248)),ISNUMBER(SEARCH("André",N248))),"SIM","")</f>
        <v/>
      </c>
      <c r="Y248" s="99">
        <f>IF(AND(ISNUMBER(SEARCH("Delivery",N248)),ISNUMBER(SEARCH("Carin",N248))),"SIM","")</f>
        <v/>
      </c>
      <c r="Z248" s="99">
        <f>IF(AND(ISNUMBER(SEARCH("Delivery",N248)),ISNUMBER(SEARCH("Lapa",N248))),"SIM","")</f>
        <v/>
      </c>
      <c r="AA248" s="99">
        <f>IF(AND(ISNUMBER(SEARCH("Delivery",N248)),ISNUMBER(SEARCH("Tatuapé",N248))),"SIM","")</f>
        <v/>
      </c>
      <c r="AB248" s="99">
        <f>IF(AND(ISNUMBER(SEARCH("Delivery",N248)),ISNUMBER(SEARCH("Pavão",N248))),"SIM","")</f>
        <v/>
      </c>
      <c r="AC248" s="99">
        <f>IF(AND(ISNUMBER(SEARCH("Delivery",N248)),ISNUMBER(SEARCH("Chac",N248))),"SIM","")</f>
        <v/>
      </c>
      <c r="AD248" s="99">
        <f>IF(AND(ISNUMBER(SEARCH("Delivery",N248)),ISNUMBER(SEARCH("Madalena",N248))),"SIM","")</f>
        <v/>
      </c>
      <c r="AE248" s="92">
        <f>IF(AND(ISNUMBER(SEARCH("Delivery",N248)),ISNUMBER(SEARCH("Mariana",N248))),"SIM","")</f>
        <v/>
      </c>
      <c r="AF248" s="92">
        <f>IF(AND(ISNUMBER(SEARCH("Delivery",N248)),ISNUMBER(SEARCH("Perdizes",N248))),"SIM","")</f>
        <v/>
      </c>
      <c r="AG248" s="92">
        <f>IF(AND(ISNUMBER(SEARCH("Delivery",N248)),ISNUMBER(SEARCH("Santana",N248))),"SIM","")</f>
        <v/>
      </c>
      <c r="AH248" s="92">
        <f>IF(AND(ISNUMBER(SEARCH("Delivery",N248)),ISNUMBER(SEARCH("André",N248))),"SIM","")</f>
        <v/>
      </c>
      <c r="AI248" s="92">
        <f>IF(ISNUMBER(SEARCH("Interlagos",N248)),"SIM","")</f>
        <v/>
      </c>
      <c r="AJ248" s="92">
        <f>IF(ISNUMBER(SEARCH("Quiosque",N248)),"SIM","")</f>
        <v/>
      </c>
      <c r="AK248" s="93" t="n"/>
    </row>
    <row r="249">
      <c r="A249" s="88" t="inlineStr">
        <is>
          <t>Protheus</t>
        </is>
      </c>
      <c r="B249" s="89" t="inlineStr">
        <is>
          <t>009990</t>
        </is>
      </c>
      <c r="C249" s="90">
        <f>IF(B249="—","—",IFERROR(VLOOKUP(B249,_Protheus_Cadastro!$A:$B,2,FALSE),"—"))</f>
        <v/>
      </c>
      <c r="D249" s="91">
        <f>IF(B249="—",IFERROR(INDEX(_ZIG_Cadastro!$D:$D,MATCH(H249,_ZIG_Cadastro!$A:$A,0)),"Produto"),IFERROR(VLOOKUP(B249,_Protheus_Cadastro!$A:$C,3,FALSE),"—"))</f>
        <v/>
      </c>
      <c r="E249" s="91">
        <f>IF(B249="—","—",IFERROR(VLOOKUP(B249,_Protheus_Cadastro!$A:$D,4,FALSE),"—"))</f>
        <v/>
      </c>
      <c r="F249" s="91">
        <f>IF(ISERROR(VLOOKUP(B249,'Estrutura Protheus'!A:A,1,FALSE)),"Não","Sim")</f>
        <v/>
      </c>
      <c r="G249" s="92">
        <f>IFERROR(INDEX(_Protheus_Cadastro!$H:$H,MATCH(B249,_Protheus_Cadastro!$A:$A,0)),"—")</f>
        <v/>
      </c>
      <c r="H249" s="210">
        <f>IFERROR(INDEX(_ZIG_Precos!$D:$D,MATCH(I249,_ZIG_Precos!$F:$F,0)),"—")</f>
        <v/>
      </c>
      <c r="I249" s="95">
        <f>IFERROR(VLOOKUP(B249,_Protheus_Cadastro!$A:$I,9,FALSE),"—")</f>
        <v/>
      </c>
      <c r="J249" s="93">
        <f>IFERROR(INDEX(_ZIG_Cadastro!$B:$B,MATCH(I249,_ZIG_Cadastro!$A:$A,0)),IFERROR(INDEX(_Entradas_ZIG!$B:$B,MATCH(I249,_Entradas_ZIG!$C:$C,0)),"—"))</f>
        <v/>
      </c>
      <c r="K249" s="93">
        <f>IFERROR(INDEX(_ZIG_Cadastro!$C:$C,MATCH(I249,_ZIG_Cadastro!$A:$A,0)),IFERROR(INDEX(_Entradas_ZIG!$D:$D,MATCH(I249,_Entradas_ZIG!$C:$C,0)),"—"))</f>
        <v/>
      </c>
      <c r="L249" s="92">
        <f>IF(I249="","Sem SKU ZIG",IF(I249="—","Sem SKU ZIG",IF(NOT(ISERROR(MATCH(I249,_ZIG_Cadastro!$A:$A,0))),IF(EXACT(UPPER(TRIM(C249)),UPPER(TRIM(INDEX(_ZIG_Cadastro!$B:$B,MATCH(I249,_ZIG_Cadastro!$A:$A,0))))),"OK","Atencao - Nome diverge"),IF(NOT(ISERROR(MATCH(I249,_Entradas_ZIG!$C:$C,0))),"OK","Erro - SKU nao encontrado"))))</f>
        <v/>
      </c>
      <c r="M249" s="92">
        <f>IFERROR(INDEX(_ZIG_Cadastro!$G:$G,MATCH(I249,_ZIG_Cadastro!$A:$A,0)),IF(NOT(ISERROR(MATCH(I249,_Entradas_ZIG!$C:$C,0))),"Ativo","—"))</f>
        <v/>
      </c>
      <c r="N249" s="94">
        <f>IFERROR(INDEX(_ZIG_Cadastro!$E:$E,MATCH(I249,_ZIG_Cadastro!$A:$A,0)),IFERROR(INDEX(_Entradas_ZIG!$F:$F,MATCH(I249,_Entradas_ZIG!$C:$C,0)),"—"))</f>
        <v/>
      </c>
      <c r="O249" s="92">
        <f>IF(AND(ISNUMBER(SEARCH("Espeto",N249)),ISNUMBER(SEARCH("Carin",N249))),"SIM","")</f>
        <v/>
      </c>
      <c r="P249" s="92">
        <f>IF(AND(ISNUMBER(SEARCH("Espeto",N249)),ISNUMBER(SEARCH("Lapa",N249))),"SIM","")</f>
        <v/>
      </c>
      <c r="Q249" s="92">
        <f>IF(AND(ISNUMBER(SEARCH("Espeto",N249)),ISNUMBER(SEARCH("Tatuapé",N249))),"SIM","")</f>
        <v/>
      </c>
      <c r="R249" s="92">
        <f>IF(AND(ISNUMBER(SEARCH("Espeto",N249)),ISNUMBER(SEARCH("Pavão",N249))),"SIM","")</f>
        <v/>
      </c>
      <c r="S249" s="92">
        <f>IF(AND(ISNUMBER(SEARCH("Espeto",N249)),ISNUMBER(SEARCH("Chac",N249))),"SIM","")</f>
        <v/>
      </c>
      <c r="T249" s="92">
        <f>IF(AND(ISNUMBER(SEARCH("Espeto",N249)),ISNUMBER(SEARCH("Madalena",N249))),"SIM","")</f>
        <v/>
      </c>
      <c r="U249" s="92">
        <f>IF(AND(ISNUMBER(SEARCH("Espeto",N249)),ISNUMBER(SEARCH("Mariana",N249))),"SIM","")</f>
        <v/>
      </c>
      <c r="V249" s="92">
        <f>IF(AND(ISNUMBER(SEARCH("Espeto",N249)),ISNUMBER(SEARCH("Perdizes",N249))),"SIM","")</f>
        <v/>
      </c>
      <c r="W249" s="92">
        <f>IF(AND(ISNUMBER(SEARCH("Espeto",N249)),ISNUMBER(SEARCH("Santana",N249))),"SIM","")</f>
        <v/>
      </c>
      <c r="X249" s="92">
        <f>IF(AND(ISNUMBER(SEARCH("Espeto",N249)),ISNUMBER(SEARCH("André",N249))),"SIM","")</f>
        <v/>
      </c>
      <c r="Y249" s="92">
        <f>IF(AND(ISNUMBER(SEARCH("Delivery",N249)),ISNUMBER(SEARCH("Carin",N249))),"SIM","")</f>
        <v/>
      </c>
      <c r="Z249" s="92">
        <f>IF(AND(ISNUMBER(SEARCH("Delivery",N249)),ISNUMBER(SEARCH("Lapa",N249))),"SIM","")</f>
        <v/>
      </c>
      <c r="AA249" s="92">
        <f>IF(AND(ISNUMBER(SEARCH("Delivery",N249)),ISNUMBER(SEARCH("Tatuapé",N249))),"SIM","")</f>
        <v/>
      </c>
      <c r="AB249" s="92">
        <f>IF(AND(ISNUMBER(SEARCH("Delivery",N249)),ISNUMBER(SEARCH("Pavão",N249))),"SIM","")</f>
        <v/>
      </c>
      <c r="AC249" s="92">
        <f>IF(AND(ISNUMBER(SEARCH("Delivery",N249)),ISNUMBER(SEARCH("Chac",N249))),"SIM","")</f>
        <v/>
      </c>
      <c r="AD249" s="92">
        <f>IF(AND(ISNUMBER(SEARCH("Delivery",N249)),ISNUMBER(SEARCH("Madalena",N249))),"SIM","")</f>
        <v/>
      </c>
      <c r="AE249" s="99">
        <f>IF(AND(ISNUMBER(SEARCH("Delivery",N249)),ISNUMBER(SEARCH("Mariana",N249))),"SIM","")</f>
        <v/>
      </c>
      <c r="AF249" s="99">
        <f>IF(AND(ISNUMBER(SEARCH("Delivery",N249)),ISNUMBER(SEARCH("Perdizes",N249))),"SIM","")</f>
        <v/>
      </c>
      <c r="AG249" s="99">
        <f>IF(AND(ISNUMBER(SEARCH("Delivery",N249)),ISNUMBER(SEARCH("Santana",N249))),"SIM","")</f>
        <v/>
      </c>
      <c r="AH249" s="99">
        <f>IF(AND(ISNUMBER(SEARCH("Delivery",N249)),ISNUMBER(SEARCH("André",N249))),"SIM","")</f>
        <v/>
      </c>
      <c r="AI249" s="99">
        <f>IF(ISNUMBER(SEARCH("Interlagos",N249)),"SIM","")</f>
        <v/>
      </c>
      <c r="AJ249" s="99">
        <f>IF(ISNUMBER(SEARCH("Quiosque",N249)),"SIM","")</f>
        <v/>
      </c>
      <c r="AK249" s="101" t="n"/>
    </row>
    <row r="250">
      <c r="A250" s="88" t="inlineStr">
        <is>
          <t>Protheus</t>
        </is>
      </c>
      <c r="B250" s="96" t="inlineStr">
        <is>
          <t>010077</t>
        </is>
      </c>
      <c r="C250" s="97">
        <f>IF(B250="—","—",IFERROR(VLOOKUP(B250,_Protheus_Cadastro!$A:$B,2,FALSE),"—"))</f>
        <v/>
      </c>
      <c r="D250" s="98">
        <f>IF(B250="—",IFERROR(INDEX(_ZIG_Cadastro!$D:$D,MATCH(H250,_ZIG_Cadastro!$A:$A,0)),"Produto"),IFERROR(VLOOKUP(B250,_Protheus_Cadastro!$A:$C,3,FALSE),"—"))</f>
        <v/>
      </c>
      <c r="E250" s="98">
        <f>IF(B250="—","—",IFERROR(VLOOKUP(B250,_Protheus_Cadastro!$A:$D,4,FALSE),"—"))</f>
        <v/>
      </c>
      <c r="F250" s="98">
        <f>IF(ISERROR(VLOOKUP(B250,'Estrutura Protheus'!A:A,1,FALSE)),"Não","Sim")</f>
        <v/>
      </c>
      <c r="G250" s="99">
        <f>IFERROR(INDEX(_Protheus_Cadastro!$H:$H,MATCH(B250,_Protheus_Cadastro!$A:$A,0)),"—")</f>
        <v/>
      </c>
      <c r="H250" s="211">
        <f>IFERROR(INDEX(_ZIG_Precos!$D:$D,MATCH(I250,_ZIG_Precos!$F:$F,0)),"—")</f>
        <v/>
      </c>
      <c r="I250" s="103">
        <f>IFERROR(VLOOKUP(B250,_Protheus_Cadastro!$A:$I,9,FALSE),"—")</f>
        <v/>
      </c>
      <c r="J250" s="101">
        <f>IFERROR(INDEX(_ZIG_Cadastro!$B:$B,MATCH(I250,_ZIG_Cadastro!$A:$A,0)),IFERROR(INDEX(_Entradas_ZIG!$B:$B,MATCH(I250,_Entradas_ZIG!$C:$C,0)),"—"))</f>
        <v/>
      </c>
      <c r="K250" s="101">
        <f>IFERROR(INDEX(_ZIG_Cadastro!$C:$C,MATCH(I250,_ZIG_Cadastro!$A:$A,0)),IFERROR(INDEX(_Entradas_ZIG!$D:$D,MATCH(I250,_Entradas_ZIG!$C:$C,0)),"—"))</f>
        <v/>
      </c>
      <c r="L250" s="99">
        <f>IF(I250="","Sem SKU ZIG",IF(I250="—","Sem SKU ZIG",IF(NOT(ISERROR(MATCH(I250,_ZIG_Cadastro!$A:$A,0))),IF(EXACT(UPPER(TRIM(C250)),UPPER(TRIM(INDEX(_ZIG_Cadastro!$B:$B,MATCH(I250,_ZIG_Cadastro!$A:$A,0))))),"OK","Atencao - Nome diverge"),IF(NOT(ISERROR(MATCH(I250,_Entradas_ZIG!$C:$C,0))),"OK","Erro - SKU nao encontrado"))))</f>
        <v/>
      </c>
      <c r="M250" s="99">
        <f>IFERROR(INDEX(_ZIG_Cadastro!$G:$G,MATCH(I250,_ZIG_Cadastro!$A:$A,0)),IF(NOT(ISERROR(MATCH(I250,_Entradas_ZIG!$C:$C,0))),"Ativo","—"))</f>
        <v/>
      </c>
      <c r="N250" s="102">
        <f>IFERROR(INDEX(_ZIG_Cadastro!$E:$E,MATCH(I250,_ZIG_Cadastro!$A:$A,0)),IFERROR(INDEX(_Entradas_ZIG!$F:$F,MATCH(I250,_Entradas_ZIG!$C:$C,0)),"—"))</f>
        <v/>
      </c>
      <c r="O250" s="99">
        <f>IF(AND(ISNUMBER(SEARCH("Espeto",N250)),ISNUMBER(SEARCH("Carin",N250))),"SIM","")</f>
        <v/>
      </c>
      <c r="P250" s="99">
        <f>IF(AND(ISNUMBER(SEARCH("Espeto",N250)),ISNUMBER(SEARCH("Lapa",N250))),"SIM","")</f>
        <v/>
      </c>
      <c r="Q250" s="99">
        <f>IF(AND(ISNUMBER(SEARCH("Espeto",N250)),ISNUMBER(SEARCH("Tatuapé",N250))),"SIM","")</f>
        <v/>
      </c>
      <c r="R250" s="99">
        <f>IF(AND(ISNUMBER(SEARCH("Espeto",N250)),ISNUMBER(SEARCH("Pavão",N250))),"SIM","")</f>
        <v/>
      </c>
      <c r="S250" s="99">
        <f>IF(AND(ISNUMBER(SEARCH("Espeto",N250)),ISNUMBER(SEARCH("Chac",N250))),"SIM","")</f>
        <v/>
      </c>
      <c r="T250" s="99">
        <f>IF(AND(ISNUMBER(SEARCH("Espeto",N250)),ISNUMBER(SEARCH("Madalena",N250))),"SIM","")</f>
        <v/>
      </c>
      <c r="U250" s="99">
        <f>IF(AND(ISNUMBER(SEARCH("Espeto",N250)),ISNUMBER(SEARCH("Mariana",N250))),"SIM","")</f>
        <v/>
      </c>
      <c r="V250" s="99">
        <f>IF(AND(ISNUMBER(SEARCH("Espeto",N250)),ISNUMBER(SEARCH("Perdizes",N250))),"SIM","")</f>
        <v/>
      </c>
      <c r="W250" s="99">
        <f>IF(AND(ISNUMBER(SEARCH("Espeto",N250)),ISNUMBER(SEARCH("Santana",N250))),"SIM","")</f>
        <v/>
      </c>
      <c r="X250" s="99">
        <f>IF(AND(ISNUMBER(SEARCH("Espeto",N250)),ISNUMBER(SEARCH("André",N250))),"SIM","")</f>
        <v/>
      </c>
      <c r="Y250" s="99">
        <f>IF(AND(ISNUMBER(SEARCH("Delivery",N250)),ISNUMBER(SEARCH("Carin",N250))),"SIM","")</f>
        <v/>
      </c>
      <c r="Z250" s="99">
        <f>IF(AND(ISNUMBER(SEARCH("Delivery",N250)),ISNUMBER(SEARCH("Lapa",N250))),"SIM","")</f>
        <v/>
      </c>
      <c r="AA250" s="99">
        <f>IF(AND(ISNUMBER(SEARCH("Delivery",N250)),ISNUMBER(SEARCH("Tatuapé",N250))),"SIM","")</f>
        <v/>
      </c>
      <c r="AB250" s="99">
        <f>IF(AND(ISNUMBER(SEARCH("Delivery",N250)),ISNUMBER(SEARCH("Pavão",N250))),"SIM","")</f>
        <v/>
      </c>
      <c r="AC250" s="99">
        <f>IF(AND(ISNUMBER(SEARCH("Delivery",N250)),ISNUMBER(SEARCH("Chac",N250))),"SIM","")</f>
        <v/>
      </c>
      <c r="AD250" s="99">
        <f>IF(AND(ISNUMBER(SEARCH("Delivery",N250)),ISNUMBER(SEARCH("Madalena",N250))),"SIM","")</f>
        <v/>
      </c>
      <c r="AE250" s="92">
        <f>IF(AND(ISNUMBER(SEARCH("Delivery",N250)),ISNUMBER(SEARCH("Mariana",N250))),"SIM","")</f>
        <v/>
      </c>
      <c r="AF250" s="92">
        <f>IF(AND(ISNUMBER(SEARCH("Delivery",N250)),ISNUMBER(SEARCH("Perdizes",N250))),"SIM","")</f>
        <v/>
      </c>
      <c r="AG250" s="92">
        <f>IF(AND(ISNUMBER(SEARCH("Delivery",N250)),ISNUMBER(SEARCH("Santana",N250))),"SIM","")</f>
        <v/>
      </c>
      <c r="AH250" s="92">
        <f>IF(AND(ISNUMBER(SEARCH("Delivery",N250)),ISNUMBER(SEARCH("André",N250))),"SIM","")</f>
        <v/>
      </c>
      <c r="AI250" s="92">
        <f>IF(ISNUMBER(SEARCH("Interlagos",N250)),"SIM","")</f>
        <v/>
      </c>
      <c r="AJ250" s="92">
        <f>IF(ISNUMBER(SEARCH("Quiosque",N250)),"SIM","")</f>
        <v/>
      </c>
      <c r="AK250" s="93" t="n"/>
    </row>
    <row r="251">
      <c r="A251" s="88" t="inlineStr">
        <is>
          <t>Protheus</t>
        </is>
      </c>
      <c r="B251" s="89" t="inlineStr">
        <is>
          <t>000839</t>
        </is>
      </c>
      <c r="C251" s="90">
        <f>IF(B251="—","—",IFERROR(VLOOKUP(B251,_Protheus_Cadastro!$A:$B,2,FALSE),"—"))</f>
        <v/>
      </c>
      <c r="D251" s="91">
        <f>IF(B251="—",IFERROR(INDEX(_ZIG_Cadastro!$D:$D,MATCH(H251,_ZIG_Cadastro!$A:$A,0)),"Produto"),IFERROR(VLOOKUP(B251,_Protheus_Cadastro!$A:$C,3,FALSE),"—"))</f>
        <v/>
      </c>
      <c r="E251" s="91">
        <f>IF(B251="—","—",IFERROR(VLOOKUP(B251,_Protheus_Cadastro!$A:$D,4,FALSE),"—"))</f>
        <v/>
      </c>
      <c r="F251" s="91">
        <f>IF(ISERROR(VLOOKUP(B251,'Estrutura Protheus'!A:A,1,FALSE)),"Não","Sim")</f>
        <v/>
      </c>
      <c r="G251" s="92">
        <f>IFERROR(INDEX(_Protheus_Cadastro!$H:$H,MATCH(B251,_Protheus_Cadastro!$A:$A,0)),"—")</f>
        <v/>
      </c>
      <c r="H251" s="210">
        <f>IFERROR(INDEX(_ZIG_Precos!$D:$D,MATCH(I251,_ZIG_Precos!$F:$F,0)),"—")</f>
        <v/>
      </c>
      <c r="I251" s="95">
        <f>IFERROR(VLOOKUP(B251,_Protheus_Cadastro!$A:$I,9,FALSE),"—")</f>
        <v/>
      </c>
      <c r="J251" s="93">
        <f>IFERROR(INDEX(_ZIG_Cadastro!$B:$B,MATCH(I251,_ZIG_Cadastro!$A:$A,0)),IFERROR(INDEX(_Entradas_ZIG!$B:$B,MATCH(I251,_Entradas_ZIG!$C:$C,0)),"—"))</f>
        <v/>
      </c>
      <c r="K251" s="93">
        <f>IFERROR(INDEX(_ZIG_Cadastro!$C:$C,MATCH(I251,_ZIG_Cadastro!$A:$A,0)),IFERROR(INDEX(_Entradas_ZIG!$D:$D,MATCH(I251,_Entradas_ZIG!$C:$C,0)),"—"))</f>
        <v/>
      </c>
      <c r="L251" s="92">
        <f>IF(I251="","Sem SKU ZIG",IF(I251="—","Sem SKU ZIG",IF(NOT(ISERROR(MATCH(I251,_ZIG_Cadastro!$A:$A,0))),IF(EXACT(UPPER(TRIM(C251)),UPPER(TRIM(INDEX(_ZIG_Cadastro!$B:$B,MATCH(I251,_ZIG_Cadastro!$A:$A,0))))),"OK","Atencao - Nome diverge"),IF(NOT(ISERROR(MATCH(I251,_Entradas_ZIG!$C:$C,0))),"OK","Erro - SKU nao encontrado"))))</f>
        <v/>
      </c>
      <c r="M251" s="92">
        <f>IFERROR(INDEX(_ZIG_Cadastro!$G:$G,MATCH(I251,_ZIG_Cadastro!$A:$A,0)),IF(NOT(ISERROR(MATCH(I251,_Entradas_ZIG!$C:$C,0))),"Ativo","—"))</f>
        <v/>
      </c>
      <c r="N251" s="94">
        <f>IFERROR(INDEX(_ZIG_Cadastro!$E:$E,MATCH(I251,_ZIG_Cadastro!$A:$A,0)),IFERROR(INDEX(_Entradas_ZIG!$F:$F,MATCH(I251,_Entradas_ZIG!$C:$C,0)),"—"))</f>
        <v/>
      </c>
      <c r="O251" s="92">
        <f>IF(AND(ISNUMBER(SEARCH("Espeto",N251)),ISNUMBER(SEARCH("Carin",N251))),"SIM","")</f>
        <v/>
      </c>
      <c r="P251" s="92">
        <f>IF(AND(ISNUMBER(SEARCH("Espeto",N251)),ISNUMBER(SEARCH("Lapa",N251))),"SIM","")</f>
        <v/>
      </c>
      <c r="Q251" s="92">
        <f>IF(AND(ISNUMBER(SEARCH("Espeto",N251)),ISNUMBER(SEARCH("Tatuapé",N251))),"SIM","")</f>
        <v/>
      </c>
      <c r="R251" s="92">
        <f>IF(AND(ISNUMBER(SEARCH("Espeto",N251)),ISNUMBER(SEARCH("Pavão",N251))),"SIM","")</f>
        <v/>
      </c>
      <c r="S251" s="92">
        <f>IF(AND(ISNUMBER(SEARCH("Espeto",N251)),ISNUMBER(SEARCH("Chac",N251))),"SIM","")</f>
        <v/>
      </c>
      <c r="T251" s="92">
        <f>IF(AND(ISNUMBER(SEARCH("Espeto",N251)),ISNUMBER(SEARCH("Madalena",N251))),"SIM","")</f>
        <v/>
      </c>
      <c r="U251" s="92">
        <f>IF(AND(ISNUMBER(SEARCH("Espeto",N251)),ISNUMBER(SEARCH("Mariana",N251))),"SIM","")</f>
        <v/>
      </c>
      <c r="V251" s="92">
        <f>IF(AND(ISNUMBER(SEARCH("Espeto",N251)),ISNUMBER(SEARCH("Perdizes",N251))),"SIM","")</f>
        <v/>
      </c>
      <c r="W251" s="92">
        <f>IF(AND(ISNUMBER(SEARCH("Espeto",N251)),ISNUMBER(SEARCH("Santana",N251))),"SIM","")</f>
        <v/>
      </c>
      <c r="X251" s="92">
        <f>IF(AND(ISNUMBER(SEARCH("Espeto",N251)),ISNUMBER(SEARCH("André",N251))),"SIM","")</f>
        <v/>
      </c>
      <c r="Y251" s="92">
        <f>IF(AND(ISNUMBER(SEARCH("Delivery",N251)),ISNUMBER(SEARCH("Carin",N251))),"SIM","")</f>
        <v/>
      </c>
      <c r="Z251" s="92">
        <f>IF(AND(ISNUMBER(SEARCH("Delivery",N251)),ISNUMBER(SEARCH("Lapa",N251))),"SIM","")</f>
        <v/>
      </c>
      <c r="AA251" s="92">
        <f>IF(AND(ISNUMBER(SEARCH("Delivery",N251)),ISNUMBER(SEARCH("Tatuapé",N251))),"SIM","")</f>
        <v/>
      </c>
      <c r="AB251" s="92">
        <f>IF(AND(ISNUMBER(SEARCH("Delivery",N251)),ISNUMBER(SEARCH("Pavão",N251))),"SIM","")</f>
        <v/>
      </c>
      <c r="AC251" s="92">
        <f>IF(AND(ISNUMBER(SEARCH("Delivery",N251)),ISNUMBER(SEARCH("Chac",N251))),"SIM","")</f>
        <v/>
      </c>
      <c r="AD251" s="92">
        <f>IF(AND(ISNUMBER(SEARCH("Delivery",N251)),ISNUMBER(SEARCH("Madalena",N251))),"SIM","")</f>
        <v/>
      </c>
      <c r="AE251" s="99">
        <f>IF(AND(ISNUMBER(SEARCH("Delivery",N251)),ISNUMBER(SEARCH("Mariana",N251))),"SIM","")</f>
        <v/>
      </c>
      <c r="AF251" s="99">
        <f>IF(AND(ISNUMBER(SEARCH("Delivery",N251)),ISNUMBER(SEARCH("Perdizes",N251))),"SIM","")</f>
        <v/>
      </c>
      <c r="AG251" s="99">
        <f>IF(AND(ISNUMBER(SEARCH("Delivery",N251)),ISNUMBER(SEARCH("Santana",N251))),"SIM","")</f>
        <v/>
      </c>
      <c r="AH251" s="99">
        <f>IF(AND(ISNUMBER(SEARCH("Delivery",N251)),ISNUMBER(SEARCH("André",N251))),"SIM","")</f>
        <v/>
      </c>
      <c r="AI251" s="99">
        <f>IF(ISNUMBER(SEARCH("Interlagos",N251)),"SIM","")</f>
        <v/>
      </c>
      <c r="AJ251" s="99">
        <f>IF(ISNUMBER(SEARCH("Quiosque",N251)),"SIM","")</f>
        <v/>
      </c>
      <c r="AK251" s="101" t="n"/>
    </row>
    <row r="252">
      <c r="A252" s="88" t="inlineStr">
        <is>
          <t>Protheus</t>
        </is>
      </c>
      <c r="B252" s="96" t="inlineStr">
        <is>
          <t>000840</t>
        </is>
      </c>
      <c r="C252" s="97">
        <f>IF(B252="—","—",IFERROR(VLOOKUP(B252,_Protheus_Cadastro!$A:$B,2,FALSE),"—"))</f>
        <v/>
      </c>
      <c r="D252" s="98">
        <f>IF(B252="—",IFERROR(INDEX(_ZIG_Cadastro!$D:$D,MATCH(H252,_ZIG_Cadastro!$A:$A,0)),"Produto"),IFERROR(VLOOKUP(B252,_Protheus_Cadastro!$A:$C,3,FALSE),"—"))</f>
        <v/>
      </c>
      <c r="E252" s="98">
        <f>IF(B252="—","—",IFERROR(VLOOKUP(B252,_Protheus_Cadastro!$A:$D,4,FALSE),"—"))</f>
        <v/>
      </c>
      <c r="F252" s="98">
        <f>IF(ISERROR(VLOOKUP(B252,'Estrutura Protheus'!A:A,1,FALSE)),"Não","Sim")</f>
        <v/>
      </c>
      <c r="G252" s="99">
        <f>IFERROR(INDEX(_Protheus_Cadastro!$H:$H,MATCH(B252,_Protheus_Cadastro!$A:$A,0)),"—")</f>
        <v/>
      </c>
      <c r="H252" s="211">
        <f>IFERROR(INDEX(_ZIG_Precos!$D:$D,MATCH(I252,_ZIG_Precos!$F:$F,0)),"—")</f>
        <v/>
      </c>
      <c r="I252" s="103">
        <f>IFERROR(VLOOKUP(B252,_Protheus_Cadastro!$A:$I,9,FALSE),"—")</f>
        <v/>
      </c>
      <c r="J252" s="101">
        <f>IFERROR(INDEX(_ZIG_Cadastro!$B:$B,MATCH(I252,_ZIG_Cadastro!$A:$A,0)),IFERROR(INDEX(_Entradas_ZIG!$B:$B,MATCH(I252,_Entradas_ZIG!$C:$C,0)),"—"))</f>
        <v/>
      </c>
      <c r="K252" s="101">
        <f>IFERROR(INDEX(_ZIG_Cadastro!$C:$C,MATCH(I252,_ZIG_Cadastro!$A:$A,0)),IFERROR(INDEX(_Entradas_ZIG!$D:$D,MATCH(I252,_Entradas_ZIG!$C:$C,0)),"—"))</f>
        <v/>
      </c>
      <c r="L252" s="99">
        <f>IF(I252="","Sem SKU ZIG",IF(I252="—","Sem SKU ZIG",IF(NOT(ISERROR(MATCH(I252,_ZIG_Cadastro!$A:$A,0))),IF(EXACT(UPPER(TRIM(C252)),UPPER(TRIM(INDEX(_ZIG_Cadastro!$B:$B,MATCH(I252,_ZIG_Cadastro!$A:$A,0))))),"OK","Atencao - Nome diverge"),IF(NOT(ISERROR(MATCH(I252,_Entradas_ZIG!$C:$C,0))),"OK","Erro - SKU nao encontrado"))))</f>
        <v/>
      </c>
      <c r="M252" s="99">
        <f>IFERROR(INDEX(_ZIG_Cadastro!$G:$G,MATCH(I252,_ZIG_Cadastro!$A:$A,0)),IF(NOT(ISERROR(MATCH(I252,_Entradas_ZIG!$C:$C,0))),"Ativo","—"))</f>
        <v/>
      </c>
      <c r="N252" s="102">
        <f>IFERROR(INDEX(_ZIG_Cadastro!$E:$E,MATCH(I252,_ZIG_Cadastro!$A:$A,0)),IFERROR(INDEX(_Entradas_ZIG!$F:$F,MATCH(I252,_Entradas_ZIG!$C:$C,0)),"—"))</f>
        <v/>
      </c>
      <c r="O252" s="99">
        <f>IF(AND(ISNUMBER(SEARCH("Espeto",N252)),ISNUMBER(SEARCH("Carin",N252))),"SIM","")</f>
        <v/>
      </c>
      <c r="P252" s="99">
        <f>IF(AND(ISNUMBER(SEARCH("Espeto",N252)),ISNUMBER(SEARCH("Lapa",N252))),"SIM","")</f>
        <v/>
      </c>
      <c r="Q252" s="99">
        <f>IF(AND(ISNUMBER(SEARCH("Espeto",N252)),ISNUMBER(SEARCH("Tatuapé",N252))),"SIM","")</f>
        <v/>
      </c>
      <c r="R252" s="99">
        <f>IF(AND(ISNUMBER(SEARCH("Espeto",N252)),ISNUMBER(SEARCH("Pavão",N252))),"SIM","")</f>
        <v/>
      </c>
      <c r="S252" s="99">
        <f>IF(AND(ISNUMBER(SEARCH("Espeto",N252)),ISNUMBER(SEARCH("Chac",N252))),"SIM","")</f>
        <v/>
      </c>
      <c r="T252" s="99">
        <f>IF(AND(ISNUMBER(SEARCH("Espeto",N252)),ISNUMBER(SEARCH("Madalena",N252))),"SIM","")</f>
        <v/>
      </c>
      <c r="U252" s="99">
        <f>IF(AND(ISNUMBER(SEARCH("Espeto",N252)),ISNUMBER(SEARCH("Mariana",N252))),"SIM","")</f>
        <v/>
      </c>
      <c r="V252" s="99">
        <f>IF(AND(ISNUMBER(SEARCH("Espeto",N252)),ISNUMBER(SEARCH("Perdizes",N252))),"SIM","")</f>
        <v/>
      </c>
      <c r="W252" s="99">
        <f>IF(AND(ISNUMBER(SEARCH("Espeto",N252)),ISNUMBER(SEARCH("Santana",N252))),"SIM","")</f>
        <v/>
      </c>
      <c r="X252" s="99">
        <f>IF(AND(ISNUMBER(SEARCH("Espeto",N252)),ISNUMBER(SEARCH("André",N252))),"SIM","")</f>
        <v/>
      </c>
      <c r="Y252" s="99">
        <f>IF(AND(ISNUMBER(SEARCH("Delivery",N252)),ISNUMBER(SEARCH("Carin",N252))),"SIM","")</f>
        <v/>
      </c>
      <c r="Z252" s="99">
        <f>IF(AND(ISNUMBER(SEARCH("Delivery",N252)),ISNUMBER(SEARCH("Lapa",N252))),"SIM","")</f>
        <v/>
      </c>
      <c r="AA252" s="99">
        <f>IF(AND(ISNUMBER(SEARCH("Delivery",N252)),ISNUMBER(SEARCH("Tatuapé",N252))),"SIM","")</f>
        <v/>
      </c>
      <c r="AB252" s="99">
        <f>IF(AND(ISNUMBER(SEARCH("Delivery",N252)),ISNUMBER(SEARCH("Pavão",N252))),"SIM","")</f>
        <v/>
      </c>
      <c r="AC252" s="99">
        <f>IF(AND(ISNUMBER(SEARCH("Delivery",N252)),ISNUMBER(SEARCH("Chac",N252))),"SIM","")</f>
        <v/>
      </c>
      <c r="AD252" s="99">
        <f>IF(AND(ISNUMBER(SEARCH("Delivery",N252)),ISNUMBER(SEARCH("Madalena",N252))),"SIM","")</f>
        <v/>
      </c>
      <c r="AE252" s="92">
        <f>IF(AND(ISNUMBER(SEARCH("Delivery",N252)),ISNUMBER(SEARCH("Mariana",N252))),"SIM","")</f>
        <v/>
      </c>
      <c r="AF252" s="92">
        <f>IF(AND(ISNUMBER(SEARCH("Delivery",N252)),ISNUMBER(SEARCH("Perdizes",N252))),"SIM","")</f>
        <v/>
      </c>
      <c r="AG252" s="92">
        <f>IF(AND(ISNUMBER(SEARCH("Delivery",N252)),ISNUMBER(SEARCH("Santana",N252))),"SIM","")</f>
        <v/>
      </c>
      <c r="AH252" s="92">
        <f>IF(AND(ISNUMBER(SEARCH("Delivery",N252)),ISNUMBER(SEARCH("André",N252))),"SIM","")</f>
        <v/>
      </c>
      <c r="AI252" s="92">
        <f>IF(ISNUMBER(SEARCH("Interlagos",N252)),"SIM","")</f>
        <v/>
      </c>
      <c r="AJ252" s="92">
        <f>IF(ISNUMBER(SEARCH("Quiosque",N252)),"SIM","")</f>
        <v/>
      </c>
      <c r="AK252" s="93" t="n"/>
    </row>
    <row r="253">
      <c r="A253" s="88" t="inlineStr">
        <is>
          <t>Protheus</t>
        </is>
      </c>
      <c r="B253" s="96" t="inlineStr">
        <is>
          <t>000845</t>
        </is>
      </c>
      <c r="C253" s="97">
        <f>IF(B253="—","—",IFERROR(VLOOKUP(B253,_Protheus_Cadastro!$A:$B,2,FALSE),"—"))</f>
        <v/>
      </c>
      <c r="D253" s="98">
        <f>IF(B253="—",IFERROR(INDEX(_ZIG_Cadastro!$D:$D,MATCH(H253,_ZIG_Cadastro!$A:$A,0)),"Produto"),IFERROR(VLOOKUP(B253,_Protheus_Cadastro!$A:$C,3,FALSE),"—"))</f>
        <v/>
      </c>
      <c r="E253" s="98">
        <f>IF(B253="—","—",IFERROR(VLOOKUP(B253,_Protheus_Cadastro!$A:$D,4,FALSE),"—"))</f>
        <v/>
      </c>
      <c r="F253" s="98">
        <f>IF(ISERROR(VLOOKUP(B253,'Estrutura Protheus'!A:A,1,FALSE)),"Não","Sim")</f>
        <v/>
      </c>
      <c r="G253" s="99">
        <f>IFERROR(INDEX(_Protheus_Cadastro!$H:$H,MATCH(B253,_Protheus_Cadastro!$A:$A,0)),"—")</f>
        <v/>
      </c>
      <c r="H253" s="211">
        <f>IFERROR(INDEX(_ZIG_Precos!$D:$D,MATCH(I253,_ZIG_Precos!$F:$F,0)),"—")</f>
        <v/>
      </c>
      <c r="I253" s="103">
        <f>IFERROR(VLOOKUP(B253,_Protheus_Cadastro!$A:$I,9,FALSE),"—")</f>
        <v/>
      </c>
      <c r="J253" s="101">
        <f>IFERROR(INDEX(_ZIG_Cadastro!$B:$B,MATCH(I253,_ZIG_Cadastro!$A:$A,0)),IFERROR(INDEX(_Entradas_ZIG!$B:$B,MATCH(I253,_Entradas_ZIG!$C:$C,0)),"—"))</f>
        <v/>
      </c>
      <c r="K253" s="101">
        <f>IFERROR(INDEX(_ZIG_Cadastro!$C:$C,MATCH(I253,_ZIG_Cadastro!$A:$A,0)),IFERROR(INDEX(_Entradas_ZIG!$D:$D,MATCH(I253,_Entradas_ZIG!$C:$C,0)),"—"))</f>
        <v/>
      </c>
      <c r="L253" s="99">
        <f>IF(I253="","Sem SKU ZIG",IF(I253="—","Sem SKU ZIG",IF(NOT(ISERROR(MATCH(I253,_ZIG_Cadastro!$A:$A,0))),IF(EXACT(UPPER(TRIM(C253)),UPPER(TRIM(INDEX(_ZIG_Cadastro!$B:$B,MATCH(I253,_ZIG_Cadastro!$A:$A,0))))),"OK","Atencao - Nome diverge"),IF(NOT(ISERROR(MATCH(I253,_Entradas_ZIG!$C:$C,0))),"OK","Erro - SKU nao encontrado"))))</f>
        <v/>
      </c>
      <c r="M253" s="99">
        <f>IFERROR(INDEX(_ZIG_Cadastro!$G:$G,MATCH(I253,_ZIG_Cadastro!$A:$A,0)),IF(NOT(ISERROR(MATCH(I253,_Entradas_ZIG!$C:$C,0))),"Ativo","—"))</f>
        <v/>
      </c>
      <c r="N253" s="102">
        <f>IFERROR(INDEX(_ZIG_Cadastro!$E:$E,MATCH(I253,_ZIG_Cadastro!$A:$A,0)),IFERROR(INDEX(_Entradas_ZIG!$F:$F,MATCH(I253,_Entradas_ZIG!$C:$C,0)),"—"))</f>
        <v/>
      </c>
      <c r="O253" s="99">
        <f>IF(AND(ISNUMBER(SEARCH("Espeto",N253)),ISNUMBER(SEARCH("Carin",N253))),"SIM","")</f>
        <v/>
      </c>
      <c r="P253" s="99">
        <f>IF(AND(ISNUMBER(SEARCH("Espeto",N253)),ISNUMBER(SEARCH("Lapa",N253))),"SIM","")</f>
        <v/>
      </c>
      <c r="Q253" s="99">
        <f>IF(AND(ISNUMBER(SEARCH("Espeto",N253)),ISNUMBER(SEARCH("Tatuapé",N253))),"SIM","")</f>
        <v/>
      </c>
      <c r="R253" s="99">
        <f>IF(AND(ISNUMBER(SEARCH("Espeto",N253)),ISNUMBER(SEARCH("Pavão",N253))),"SIM","")</f>
        <v/>
      </c>
      <c r="S253" s="99">
        <f>IF(AND(ISNUMBER(SEARCH("Espeto",N253)),ISNUMBER(SEARCH("Chac",N253))),"SIM","")</f>
        <v/>
      </c>
      <c r="T253" s="99">
        <f>IF(AND(ISNUMBER(SEARCH("Espeto",N253)),ISNUMBER(SEARCH("Madalena",N253))),"SIM","")</f>
        <v/>
      </c>
      <c r="U253" s="99">
        <f>IF(AND(ISNUMBER(SEARCH("Espeto",N253)),ISNUMBER(SEARCH("Mariana",N253))),"SIM","")</f>
        <v/>
      </c>
      <c r="V253" s="99">
        <f>IF(AND(ISNUMBER(SEARCH("Espeto",N253)),ISNUMBER(SEARCH("Perdizes",N253))),"SIM","")</f>
        <v/>
      </c>
      <c r="W253" s="99">
        <f>IF(AND(ISNUMBER(SEARCH("Espeto",N253)),ISNUMBER(SEARCH("Santana",N253))),"SIM","")</f>
        <v/>
      </c>
      <c r="X253" s="99">
        <f>IF(AND(ISNUMBER(SEARCH("Espeto",N253)),ISNUMBER(SEARCH("André",N253))),"SIM","")</f>
        <v/>
      </c>
      <c r="Y253" s="99">
        <f>IF(AND(ISNUMBER(SEARCH("Delivery",N253)),ISNUMBER(SEARCH("Carin",N253))),"SIM","")</f>
        <v/>
      </c>
      <c r="Z253" s="99">
        <f>IF(AND(ISNUMBER(SEARCH("Delivery",N253)),ISNUMBER(SEARCH("Lapa",N253))),"SIM","")</f>
        <v/>
      </c>
      <c r="AA253" s="99">
        <f>IF(AND(ISNUMBER(SEARCH("Delivery",N253)),ISNUMBER(SEARCH("Tatuapé",N253))),"SIM","")</f>
        <v/>
      </c>
      <c r="AB253" s="99">
        <f>IF(AND(ISNUMBER(SEARCH("Delivery",N253)),ISNUMBER(SEARCH("Pavão",N253))),"SIM","")</f>
        <v/>
      </c>
      <c r="AC253" s="99">
        <f>IF(AND(ISNUMBER(SEARCH("Delivery",N253)),ISNUMBER(SEARCH("Chac",N253))),"SIM","")</f>
        <v/>
      </c>
      <c r="AD253" s="99">
        <f>IF(AND(ISNUMBER(SEARCH("Delivery",N253)),ISNUMBER(SEARCH("Madalena",N253))),"SIM","")</f>
        <v/>
      </c>
      <c r="AE253" s="92">
        <f>IF(AND(ISNUMBER(SEARCH("Delivery",N253)),ISNUMBER(SEARCH("Mariana",N253))),"SIM","")</f>
        <v/>
      </c>
      <c r="AF253" s="92">
        <f>IF(AND(ISNUMBER(SEARCH("Delivery",N253)),ISNUMBER(SEARCH("Perdizes",N253))),"SIM","")</f>
        <v/>
      </c>
      <c r="AG253" s="92">
        <f>IF(AND(ISNUMBER(SEARCH("Delivery",N253)),ISNUMBER(SEARCH("Santana",N253))),"SIM","")</f>
        <v/>
      </c>
      <c r="AH253" s="92">
        <f>IF(AND(ISNUMBER(SEARCH("Delivery",N253)),ISNUMBER(SEARCH("André",N253))),"SIM","")</f>
        <v/>
      </c>
      <c r="AI253" s="92">
        <f>IF(ISNUMBER(SEARCH("Interlagos",N253)),"SIM","")</f>
        <v/>
      </c>
      <c r="AJ253" s="92">
        <f>IF(ISNUMBER(SEARCH("Quiosque",N253)),"SIM","")</f>
        <v/>
      </c>
      <c r="AK253" s="93" t="n"/>
    </row>
    <row r="254">
      <c r="A254" s="88" t="inlineStr">
        <is>
          <t>Protheus</t>
        </is>
      </c>
      <c r="B254" s="89" t="inlineStr">
        <is>
          <t>000849</t>
        </is>
      </c>
      <c r="C254" s="90">
        <f>IF(B254="—","—",IFERROR(VLOOKUP(B254,_Protheus_Cadastro!$A:$B,2,FALSE),"—"))</f>
        <v/>
      </c>
      <c r="D254" s="91">
        <f>IF(B254="—",IFERROR(INDEX(_ZIG_Cadastro!$D:$D,MATCH(H254,_ZIG_Cadastro!$A:$A,0)),"Produto"),IFERROR(VLOOKUP(B254,_Protheus_Cadastro!$A:$C,3,FALSE),"—"))</f>
        <v/>
      </c>
      <c r="E254" s="91">
        <f>IF(B254="—","—",IFERROR(VLOOKUP(B254,_Protheus_Cadastro!$A:$D,4,FALSE),"—"))</f>
        <v/>
      </c>
      <c r="F254" s="91">
        <f>IF(ISERROR(VLOOKUP(B254,'Estrutura Protheus'!A:A,1,FALSE)),"Não","Sim")</f>
        <v/>
      </c>
      <c r="G254" s="92">
        <f>IFERROR(INDEX(_Protheus_Cadastro!$H:$H,MATCH(B254,_Protheus_Cadastro!$A:$A,0)),"—")</f>
        <v/>
      </c>
      <c r="H254" s="210">
        <f>IFERROR(INDEX(_ZIG_Precos!$D:$D,MATCH(I254,_ZIG_Precos!$F:$F,0)),"—")</f>
        <v/>
      </c>
      <c r="I254" s="95">
        <f>IFERROR(VLOOKUP(B254,_Protheus_Cadastro!$A:$I,9,FALSE),"—")</f>
        <v/>
      </c>
      <c r="J254" s="93">
        <f>IFERROR(INDEX(_ZIG_Cadastro!$B:$B,MATCH(I254,_ZIG_Cadastro!$A:$A,0)),IFERROR(INDEX(_Entradas_ZIG!$B:$B,MATCH(I254,_Entradas_ZIG!$C:$C,0)),"—"))</f>
        <v/>
      </c>
      <c r="K254" s="93">
        <f>IFERROR(INDEX(_ZIG_Cadastro!$C:$C,MATCH(I254,_ZIG_Cadastro!$A:$A,0)),IFERROR(INDEX(_Entradas_ZIG!$D:$D,MATCH(I254,_Entradas_ZIG!$C:$C,0)),"—"))</f>
        <v/>
      </c>
      <c r="L254" s="92">
        <f>IF(I254="","Sem SKU ZIG",IF(I254="—","Sem SKU ZIG",IF(NOT(ISERROR(MATCH(I254,_ZIG_Cadastro!$A:$A,0))),IF(EXACT(UPPER(TRIM(C254)),UPPER(TRIM(INDEX(_ZIG_Cadastro!$B:$B,MATCH(I254,_ZIG_Cadastro!$A:$A,0))))),"OK","Atencao - Nome diverge"),IF(NOT(ISERROR(MATCH(I254,_Entradas_ZIG!$C:$C,0))),"OK","Erro - SKU nao encontrado"))))</f>
        <v/>
      </c>
      <c r="M254" s="92">
        <f>IFERROR(INDEX(_ZIG_Cadastro!$G:$G,MATCH(I254,_ZIG_Cadastro!$A:$A,0)),IF(NOT(ISERROR(MATCH(I254,_Entradas_ZIG!$C:$C,0))),"Ativo","—"))</f>
        <v/>
      </c>
      <c r="N254" s="94">
        <f>IFERROR(INDEX(_ZIG_Cadastro!$E:$E,MATCH(I254,_ZIG_Cadastro!$A:$A,0)),IFERROR(INDEX(_Entradas_ZIG!$F:$F,MATCH(I254,_Entradas_ZIG!$C:$C,0)),"—"))</f>
        <v/>
      </c>
      <c r="O254" s="92">
        <f>IF(AND(ISNUMBER(SEARCH("Espeto",N254)),ISNUMBER(SEARCH("Carin",N254))),"SIM","")</f>
        <v/>
      </c>
      <c r="P254" s="92">
        <f>IF(AND(ISNUMBER(SEARCH("Espeto",N254)),ISNUMBER(SEARCH("Lapa",N254))),"SIM","")</f>
        <v/>
      </c>
      <c r="Q254" s="92">
        <f>IF(AND(ISNUMBER(SEARCH("Espeto",N254)),ISNUMBER(SEARCH("Tatuapé",N254))),"SIM","")</f>
        <v/>
      </c>
      <c r="R254" s="92">
        <f>IF(AND(ISNUMBER(SEARCH("Espeto",N254)),ISNUMBER(SEARCH("Pavão",N254))),"SIM","")</f>
        <v/>
      </c>
      <c r="S254" s="92">
        <f>IF(AND(ISNUMBER(SEARCH("Espeto",N254)),ISNUMBER(SEARCH("Chac",N254))),"SIM","")</f>
        <v/>
      </c>
      <c r="T254" s="92">
        <f>IF(AND(ISNUMBER(SEARCH("Espeto",N254)),ISNUMBER(SEARCH("Madalena",N254))),"SIM","")</f>
        <v/>
      </c>
      <c r="U254" s="92">
        <f>IF(AND(ISNUMBER(SEARCH("Espeto",N254)),ISNUMBER(SEARCH("Mariana",N254))),"SIM","")</f>
        <v/>
      </c>
      <c r="V254" s="92">
        <f>IF(AND(ISNUMBER(SEARCH("Espeto",N254)),ISNUMBER(SEARCH("Perdizes",N254))),"SIM","")</f>
        <v/>
      </c>
      <c r="W254" s="92">
        <f>IF(AND(ISNUMBER(SEARCH("Espeto",N254)),ISNUMBER(SEARCH("Santana",N254))),"SIM","")</f>
        <v/>
      </c>
      <c r="X254" s="92">
        <f>IF(AND(ISNUMBER(SEARCH("Espeto",N254)),ISNUMBER(SEARCH("André",N254))),"SIM","")</f>
        <v/>
      </c>
      <c r="Y254" s="92">
        <f>IF(AND(ISNUMBER(SEARCH("Delivery",N254)),ISNUMBER(SEARCH("Carin",N254))),"SIM","")</f>
        <v/>
      </c>
      <c r="Z254" s="92">
        <f>IF(AND(ISNUMBER(SEARCH("Delivery",N254)),ISNUMBER(SEARCH("Lapa",N254))),"SIM","")</f>
        <v/>
      </c>
      <c r="AA254" s="92">
        <f>IF(AND(ISNUMBER(SEARCH("Delivery",N254)),ISNUMBER(SEARCH("Tatuapé",N254))),"SIM","")</f>
        <v/>
      </c>
      <c r="AB254" s="92">
        <f>IF(AND(ISNUMBER(SEARCH("Delivery",N254)),ISNUMBER(SEARCH("Pavão",N254))),"SIM","")</f>
        <v/>
      </c>
      <c r="AC254" s="92">
        <f>IF(AND(ISNUMBER(SEARCH("Delivery",N254)),ISNUMBER(SEARCH("Chac",N254))),"SIM","")</f>
        <v/>
      </c>
      <c r="AD254" s="92">
        <f>IF(AND(ISNUMBER(SEARCH("Delivery",N254)),ISNUMBER(SEARCH("Madalena",N254))),"SIM","")</f>
        <v/>
      </c>
      <c r="AE254" s="99">
        <f>IF(AND(ISNUMBER(SEARCH("Delivery",N254)),ISNUMBER(SEARCH("Mariana",N254))),"SIM","")</f>
        <v/>
      </c>
      <c r="AF254" s="99">
        <f>IF(AND(ISNUMBER(SEARCH("Delivery",N254)),ISNUMBER(SEARCH("Perdizes",N254))),"SIM","")</f>
        <v/>
      </c>
      <c r="AG254" s="99">
        <f>IF(AND(ISNUMBER(SEARCH("Delivery",N254)),ISNUMBER(SEARCH("Santana",N254))),"SIM","")</f>
        <v/>
      </c>
      <c r="AH254" s="99">
        <f>IF(AND(ISNUMBER(SEARCH("Delivery",N254)),ISNUMBER(SEARCH("André",N254))),"SIM","")</f>
        <v/>
      </c>
      <c r="AI254" s="99">
        <f>IF(ISNUMBER(SEARCH("Interlagos",N254)),"SIM","")</f>
        <v/>
      </c>
      <c r="AJ254" s="99">
        <f>IF(ISNUMBER(SEARCH("Quiosque",N254)),"SIM","")</f>
        <v/>
      </c>
      <c r="AK254" s="101" t="n"/>
    </row>
    <row r="255">
      <c r="A255" s="88" t="inlineStr">
        <is>
          <t>Protheus</t>
        </is>
      </c>
      <c r="B255" s="96" t="inlineStr">
        <is>
          <t>000853</t>
        </is>
      </c>
      <c r="C255" s="97">
        <f>IF(B255="—","—",IFERROR(VLOOKUP(B255,_Protheus_Cadastro!$A:$B,2,FALSE),"—"))</f>
        <v/>
      </c>
      <c r="D255" s="98">
        <f>IF(B255="—",IFERROR(INDEX(_ZIG_Cadastro!$D:$D,MATCH(H255,_ZIG_Cadastro!$A:$A,0)),"Produto"),IFERROR(VLOOKUP(B255,_Protheus_Cadastro!$A:$C,3,FALSE),"—"))</f>
        <v/>
      </c>
      <c r="E255" s="98">
        <f>IF(B255="—","—",IFERROR(VLOOKUP(B255,_Protheus_Cadastro!$A:$D,4,FALSE),"—"))</f>
        <v/>
      </c>
      <c r="F255" s="98">
        <f>IF(ISERROR(VLOOKUP(B255,'Estrutura Protheus'!A:A,1,FALSE)),"Não","Sim")</f>
        <v/>
      </c>
      <c r="G255" s="99">
        <f>IFERROR(INDEX(_Protheus_Cadastro!$H:$H,MATCH(B255,_Protheus_Cadastro!$A:$A,0)),"—")</f>
        <v/>
      </c>
      <c r="H255" s="211">
        <f>IFERROR(INDEX(_ZIG_Precos!$D:$D,MATCH(I255,_ZIG_Precos!$F:$F,0)),"—")</f>
        <v/>
      </c>
      <c r="I255" s="103">
        <f>IFERROR(VLOOKUP(B255,_Protheus_Cadastro!$A:$I,9,FALSE),"—")</f>
        <v/>
      </c>
      <c r="J255" s="101">
        <f>IFERROR(INDEX(_ZIG_Cadastro!$B:$B,MATCH(I255,_ZIG_Cadastro!$A:$A,0)),IFERROR(INDEX(_Entradas_ZIG!$B:$B,MATCH(I255,_Entradas_ZIG!$C:$C,0)),"—"))</f>
        <v/>
      </c>
      <c r="K255" s="101">
        <f>IFERROR(INDEX(_ZIG_Cadastro!$C:$C,MATCH(I255,_ZIG_Cadastro!$A:$A,0)),IFERROR(INDEX(_Entradas_ZIG!$D:$D,MATCH(I255,_Entradas_ZIG!$C:$C,0)),"—"))</f>
        <v/>
      </c>
      <c r="L255" s="99">
        <f>IF(I255="","Sem SKU ZIG",IF(I255="—","Sem SKU ZIG",IF(NOT(ISERROR(MATCH(I255,_ZIG_Cadastro!$A:$A,0))),IF(EXACT(UPPER(TRIM(C255)),UPPER(TRIM(INDEX(_ZIG_Cadastro!$B:$B,MATCH(I255,_ZIG_Cadastro!$A:$A,0))))),"OK","Atencao - Nome diverge"),IF(NOT(ISERROR(MATCH(I255,_Entradas_ZIG!$C:$C,0))),"OK","Erro - SKU nao encontrado"))))</f>
        <v/>
      </c>
      <c r="M255" s="99">
        <f>IFERROR(INDEX(_ZIG_Cadastro!$G:$G,MATCH(I255,_ZIG_Cadastro!$A:$A,0)),IF(NOT(ISERROR(MATCH(I255,_Entradas_ZIG!$C:$C,0))),"Ativo","—"))</f>
        <v/>
      </c>
      <c r="N255" s="102">
        <f>IFERROR(INDEX(_ZIG_Cadastro!$E:$E,MATCH(I255,_ZIG_Cadastro!$A:$A,0)),IFERROR(INDEX(_Entradas_ZIG!$F:$F,MATCH(I255,_Entradas_ZIG!$C:$C,0)),"—"))</f>
        <v/>
      </c>
      <c r="O255" s="99">
        <f>IF(AND(ISNUMBER(SEARCH("Espeto",N255)),ISNUMBER(SEARCH("Carin",N255))),"SIM","")</f>
        <v/>
      </c>
      <c r="P255" s="99">
        <f>IF(AND(ISNUMBER(SEARCH("Espeto",N255)),ISNUMBER(SEARCH("Lapa",N255))),"SIM","")</f>
        <v/>
      </c>
      <c r="Q255" s="99">
        <f>IF(AND(ISNUMBER(SEARCH("Espeto",N255)),ISNUMBER(SEARCH("Tatuapé",N255))),"SIM","")</f>
        <v/>
      </c>
      <c r="R255" s="99">
        <f>IF(AND(ISNUMBER(SEARCH("Espeto",N255)),ISNUMBER(SEARCH("Pavão",N255))),"SIM","")</f>
        <v/>
      </c>
      <c r="S255" s="99">
        <f>IF(AND(ISNUMBER(SEARCH("Espeto",N255)),ISNUMBER(SEARCH("Chac",N255))),"SIM","")</f>
        <v/>
      </c>
      <c r="T255" s="99">
        <f>IF(AND(ISNUMBER(SEARCH("Espeto",N255)),ISNUMBER(SEARCH("Madalena",N255))),"SIM","")</f>
        <v/>
      </c>
      <c r="U255" s="99">
        <f>IF(AND(ISNUMBER(SEARCH("Espeto",N255)),ISNUMBER(SEARCH("Mariana",N255))),"SIM","")</f>
        <v/>
      </c>
      <c r="V255" s="99">
        <f>IF(AND(ISNUMBER(SEARCH("Espeto",N255)),ISNUMBER(SEARCH("Perdizes",N255))),"SIM","")</f>
        <v/>
      </c>
      <c r="W255" s="99">
        <f>IF(AND(ISNUMBER(SEARCH("Espeto",N255)),ISNUMBER(SEARCH("Santana",N255))),"SIM","")</f>
        <v/>
      </c>
      <c r="X255" s="99">
        <f>IF(AND(ISNUMBER(SEARCH("Espeto",N255)),ISNUMBER(SEARCH("André",N255))),"SIM","")</f>
        <v/>
      </c>
      <c r="Y255" s="99">
        <f>IF(AND(ISNUMBER(SEARCH("Delivery",N255)),ISNUMBER(SEARCH("Carin",N255))),"SIM","")</f>
        <v/>
      </c>
      <c r="Z255" s="99">
        <f>IF(AND(ISNUMBER(SEARCH("Delivery",N255)),ISNUMBER(SEARCH("Lapa",N255))),"SIM","")</f>
        <v/>
      </c>
      <c r="AA255" s="99">
        <f>IF(AND(ISNUMBER(SEARCH("Delivery",N255)),ISNUMBER(SEARCH("Tatuapé",N255))),"SIM","")</f>
        <v/>
      </c>
      <c r="AB255" s="99">
        <f>IF(AND(ISNUMBER(SEARCH("Delivery",N255)),ISNUMBER(SEARCH("Pavão",N255))),"SIM","")</f>
        <v/>
      </c>
      <c r="AC255" s="99">
        <f>IF(AND(ISNUMBER(SEARCH("Delivery",N255)),ISNUMBER(SEARCH("Chac",N255))),"SIM","")</f>
        <v/>
      </c>
      <c r="AD255" s="99">
        <f>IF(AND(ISNUMBER(SEARCH("Delivery",N255)),ISNUMBER(SEARCH("Madalena",N255))),"SIM","")</f>
        <v/>
      </c>
      <c r="AE255" s="92">
        <f>IF(AND(ISNUMBER(SEARCH("Delivery",N255)),ISNUMBER(SEARCH("Mariana",N255))),"SIM","")</f>
        <v/>
      </c>
      <c r="AF255" s="92">
        <f>IF(AND(ISNUMBER(SEARCH("Delivery",N255)),ISNUMBER(SEARCH("Perdizes",N255))),"SIM","")</f>
        <v/>
      </c>
      <c r="AG255" s="92">
        <f>IF(AND(ISNUMBER(SEARCH("Delivery",N255)),ISNUMBER(SEARCH("Santana",N255))),"SIM","")</f>
        <v/>
      </c>
      <c r="AH255" s="92">
        <f>IF(AND(ISNUMBER(SEARCH("Delivery",N255)),ISNUMBER(SEARCH("André",N255))),"SIM","")</f>
        <v/>
      </c>
      <c r="AI255" s="92">
        <f>IF(ISNUMBER(SEARCH("Interlagos",N255)),"SIM","")</f>
        <v/>
      </c>
      <c r="AJ255" s="92">
        <f>IF(ISNUMBER(SEARCH("Quiosque",N255)),"SIM","")</f>
        <v/>
      </c>
      <c r="AK255" s="93" t="n"/>
    </row>
    <row r="256">
      <c r="A256" s="88" t="inlineStr">
        <is>
          <t>Protheus</t>
        </is>
      </c>
      <c r="B256" s="89" t="inlineStr">
        <is>
          <t>000864</t>
        </is>
      </c>
      <c r="C256" s="90">
        <f>IF(B256="—","—",IFERROR(VLOOKUP(B256,_Protheus_Cadastro!$A:$B,2,FALSE),"—"))</f>
        <v/>
      </c>
      <c r="D256" s="91">
        <f>IF(B256="—",IFERROR(INDEX(_ZIG_Cadastro!$D:$D,MATCH(H256,_ZIG_Cadastro!$A:$A,0)),"Produto"),IFERROR(VLOOKUP(B256,_Protheus_Cadastro!$A:$C,3,FALSE),"—"))</f>
        <v/>
      </c>
      <c r="E256" s="91">
        <f>IF(B256="—","—",IFERROR(VLOOKUP(B256,_Protheus_Cadastro!$A:$D,4,FALSE),"—"))</f>
        <v/>
      </c>
      <c r="F256" s="91">
        <f>IF(ISERROR(VLOOKUP(B256,'Estrutura Protheus'!A:A,1,FALSE)),"Não","Sim")</f>
        <v/>
      </c>
      <c r="G256" s="92">
        <f>IFERROR(INDEX(_Protheus_Cadastro!$H:$H,MATCH(B256,_Protheus_Cadastro!$A:$A,0)),"—")</f>
        <v/>
      </c>
      <c r="H256" s="210">
        <f>IFERROR(INDEX(_ZIG_Precos!$D:$D,MATCH(I256,_ZIG_Precos!$F:$F,0)),"—")</f>
        <v/>
      </c>
      <c r="I256" s="95">
        <f>IFERROR(VLOOKUP(B256,_Protheus_Cadastro!$A:$I,9,FALSE),"—")</f>
        <v/>
      </c>
      <c r="J256" s="93">
        <f>IFERROR(INDEX(_ZIG_Cadastro!$B:$B,MATCH(I256,_ZIG_Cadastro!$A:$A,0)),IFERROR(INDEX(_Entradas_ZIG!$B:$B,MATCH(I256,_Entradas_ZIG!$C:$C,0)),"—"))</f>
        <v/>
      </c>
      <c r="K256" s="93">
        <f>IFERROR(INDEX(_ZIG_Cadastro!$C:$C,MATCH(I256,_ZIG_Cadastro!$A:$A,0)),IFERROR(INDEX(_Entradas_ZIG!$D:$D,MATCH(I256,_Entradas_ZIG!$C:$C,0)),"—"))</f>
        <v/>
      </c>
      <c r="L256" s="92">
        <f>IF(I256="","Sem SKU ZIG",IF(I256="—","Sem SKU ZIG",IF(NOT(ISERROR(MATCH(I256,_ZIG_Cadastro!$A:$A,0))),IF(EXACT(UPPER(TRIM(C256)),UPPER(TRIM(INDEX(_ZIG_Cadastro!$B:$B,MATCH(I256,_ZIG_Cadastro!$A:$A,0))))),"OK","Atencao - Nome diverge"),IF(NOT(ISERROR(MATCH(I256,_Entradas_ZIG!$C:$C,0))),"OK","Erro - SKU nao encontrado"))))</f>
        <v/>
      </c>
      <c r="M256" s="92">
        <f>IFERROR(INDEX(_ZIG_Cadastro!$G:$G,MATCH(I256,_ZIG_Cadastro!$A:$A,0)),IF(NOT(ISERROR(MATCH(I256,_Entradas_ZIG!$C:$C,0))),"Ativo","—"))</f>
        <v/>
      </c>
      <c r="N256" s="94">
        <f>IFERROR(INDEX(_ZIG_Cadastro!$E:$E,MATCH(I256,_ZIG_Cadastro!$A:$A,0)),IFERROR(INDEX(_Entradas_ZIG!$F:$F,MATCH(I256,_Entradas_ZIG!$C:$C,0)),"—"))</f>
        <v/>
      </c>
      <c r="O256" s="92">
        <f>IF(AND(ISNUMBER(SEARCH("Espeto",N256)),ISNUMBER(SEARCH("Carin",N256))),"SIM","")</f>
        <v/>
      </c>
      <c r="P256" s="92">
        <f>IF(AND(ISNUMBER(SEARCH("Espeto",N256)),ISNUMBER(SEARCH("Lapa",N256))),"SIM","")</f>
        <v/>
      </c>
      <c r="Q256" s="92">
        <f>IF(AND(ISNUMBER(SEARCH("Espeto",N256)),ISNUMBER(SEARCH("Tatuapé",N256))),"SIM","")</f>
        <v/>
      </c>
      <c r="R256" s="92">
        <f>IF(AND(ISNUMBER(SEARCH("Espeto",N256)),ISNUMBER(SEARCH("Pavão",N256))),"SIM","")</f>
        <v/>
      </c>
      <c r="S256" s="92">
        <f>IF(AND(ISNUMBER(SEARCH("Espeto",N256)),ISNUMBER(SEARCH("Chac",N256))),"SIM","")</f>
        <v/>
      </c>
      <c r="T256" s="92">
        <f>IF(AND(ISNUMBER(SEARCH("Espeto",N256)),ISNUMBER(SEARCH("Madalena",N256))),"SIM","")</f>
        <v/>
      </c>
      <c r="U256" s="92">
        <f>IF(AND(ISNUMBER(SEARCH("Espeto",N256)),ISNUMBER(SEARCH("Mariana",N256))),"SIM","")</f>
        <v/>
      </c>
      <c r="V256" s="92">
        <f>IF(AND(ISNUMBER(SEARCH("Espeto",N256)),ISNUMBER(SEARCH("Perdizes",N256))),"SIM","")</f>
        <v/>
      </c>
      <c r="W256" s="92">
        <f>IF(AND(ISNUMBER(SEARCH("Espeto",N256)),ISNUMBER(SEARCH("Santana",N256))),"SIM","")</f>
        <v/>
      </c>
      <c r="X256" s="92">
        <f>IF(AND(ISNUMBER(SEARCH("Espeto",N256)),ISNUMBER(SEARCH("André",N256))),"SIM","")</f>
        <v/>
      </c>
      <c r="Y256" s="92">
        <f>IF(AND(ISNUMBER(SEARCH("Delivery",N256)),ISNUMBER(SEARCH("Carin",N256))),"SIM","")</f>
        <v/>
      </c>
      <c r="Z256" s="92">
        <f>IF(AND(ISNUMBER(SEARCH("Delivery",N256)),ISNUMBER(SEARCH("Lapa",N256))),"SIM","")</f>
        <v/>
      </c>
      <c r="AA256" s="92">
        <f>IF(AND(ISNUMBER(SEARCH("Delivery",N256)),ISNUMBER(SEARCH("Tatuapé",N256))),"SIM","")</f>
        <v/>
      </c>
      <c r="AB256" s="92">
        <f>IF(AND(ISNUMBER(SEARCH("Delivery",N256)),ISNUMBER(SEARCH("Pavão",N256))),"SIM","")</f>
        <v/>
      </c>
      <c r="AC256" s="92">
        <f>IF(AND(ISNUMBER(SEARCH("Delivery",N256)),ISNUMBER(SEARCH("Chac",N256))),"SIM","")</f>
        <v/>
      </c>
      <c r="AD256" s="92">
        <f>IF(AND(ISNUMBER(SEARCH("Delivery",N256)),ISNUMBER(SEARCH("Madalena",N256))),"SIM","")</f>
        <v/>
      </c>
      <c r="AE256" s="99">
        <f>IF(AND(ISNUMBER(SEARCH("Delivery",N256)),ISNUMBER(SEARCH("Mariana",N256))),"SIM","")</f>
        <v/>
      </c>
      <c r="AF256" s="99">
        <f>IF(AND(ISNUMBER(SEARCH("Delivery",N256)),ISNUMBER(SEARCH("Perdizes",N256))),"SIM","")</f>
        <v/>
      </c>
      <c r="AG256" s="99">
        <f>IF(AND(ISNUMBER(SEARCH("Delivery",N256)),ISNUMBER(SEARCH("Santana",N256))),"SIM","")</f>
        <v/>
      </c>
      <c r="AH256" s="99">
        <f>IF(AND(ISNUMBER(SEARCH("Delivery",N256)),ISNUMBER(SEARCH("André",N256))),"SIM","")</f>
        <v/>
      </c>
      <c r="AI256" s="99">
        <f>IF(ISNUMBER(SEARCH("Interlagos",N256)),"SIM","")</f>
        <v/>
      </c>
      <c r="AJ256" s="99">
        <f>IF(ISNUMBER(SEARCH("Quiosque",N256)),"SIM","")</f>
        <v/>
      </c>
      <c r="AK256" s="101" t="n"/>
    </row>
    <row r="257">
      <c r="A257" s="88" t="inlineStr">
        <is>
          <t>Protheus</t>
        </is>
      </c>
      <c r="B257" s="96" t="inlineStr">
        <is>
          <t>000865</t>
        </is>
      </c>
      <c r="C257" s="97">
        <f>IF(B257="—","—",IFERROR(VLOOKUP(B257,_Protheus_Cadastro!$A:$B,2,FALSE),"—"))</f>
        <v/>
      </c>
      <c r="D257" s="98">
        <f>IF(B257="—",IFERROR(INDEX(_ZIG_Cadastro!$D:$D,MATCH(H257,_ZIG_Cadastro!$A:$A,0)),"Produto"),IFERROR(VLOOKUP(B257,_Protheus_Cadastro!$A:$C,3,FALSE),"—"))</f>
        <v/>
      </c>
      <c r="E257" s="98">
        <f>IF(B257="—","—",IFERROR(VLOOKUP(B257,_Protheus_Cadastro!$A:$D,4,FALSE),"—"))</f>
        <v/>
      </c>
      <c r="F257" s="98">
        <f>IF(ISERROR(VLOOKUP(B257,'Estrutura Protheus'!A:A,1,FALSE)),"Não","Sim")</f>
        <v/>
      </c>
      <c r="G257" s="99">
        <f>IFERROR(INDEX(_Protheus_Cadastro!$H:$H,MATCH(B257,_Protheus_Cadastro!$A:$A,0)),"—")</f>
        <v/>
      </c>
      <c r="H257" s="211">
        <f>IFERROR(INDEX(_ZIG_Precos!$D:$D,MATCH(I257,_ZIG_Precos!$F:$F,0)),"—")</f>
        <v/>
      </c>
      <c r="I257" s="103">
        <f>IFERROR(VLOOKUP(B257,_Protheus_Cadastro!$A:$I,9,FALSE),"—")</f>
        <v/>
      </c>
      <c r="J257" s="101">
        <f>IFERROR(INDEX(_ZIG_Cadastro!$B:$B,MATCH(I257,_ZIG_Cadastro!$A:$A,0)),IFERROR(INDEX(_Entradas_ZIG!$B:$B,MATCH(I257,_Entradas_ZIG!$C:$C,0)),"—"))</f>
        <v/>
      </c>
      <c r="K257" s="101">
        <f>IFERROR(INDEX(_ZIG_Cadastro!$C:$C,MATCH(I257,_ZIG_Cadastro!$A:$A,0)),IFERROR(INDEX(_Entradas_ZIG!$D:$D,MATCH(I257,_Entradas_ZIG!$C:$C,0)),"—"))</f>
        <v/>
      </c>
      <c r="L257" s="99">
        <f>IF(I257="","Sem SKU ZIG",IF(I257="—","Sem SKU ZIG",IF(NOT(ISERROR(MATCH(I257,_ZIG_Cadastro!$A:$A,0))),IF(EXACT(UPPER(TRIM(C257)),UPPER(TRIM(INDEX(_ZIG_Cadastro!$B:$B,MATCH(I257,_ZIG_Cadastro!$A:$A,0))))),"OK","Atencao - Nome diverge"),IF(NOT(ISERROR(MATCH(I257,_Entradas_ZIG!$C:$C,0))),"OK","Erro - SKU nao encontrado"))))</f>
        <v/>
      </c>
      <c r="M257" s="99">
        <f>IFERROR(INDEX(_ZIG_Cadastro!$G:$G,MATCH(I257,_ZIG_Cadastro!$A:$A,0)),IF(NOT(ISERROR(MATCH(I257,_Entradas_ZIG!$C:$C,0))),"Ativo","—"))</f>
        <v/>
      </c>
      <c r="N257" s="102">
        <f>IFERROR(INDEX(_ZIG_Cadastro!$E:$E,MATCH(I257,_ZIG_Cadastro!$A:$A,0)),IFERROR(INDEX(_Entradas_ZIG!$F:$F,MATCH(I257,_Entradas_ZIG!$C:$C,0)),"—"))</f>
        <v/>
      </c>
      <c r="O257" s="99">
        <f>IF(AND(ISNUMBER(SEARCH("Espeto",N257)),ISNUMBER(SEARCH("Carin",N257))),"SIM","")</f>
        <v/>
      </c>
      <c r="P257" s="99">
        <f>IF(AND(ISNUMBER(SEARCH("Espeto",N257)),ISNUMBER(SEARCH("Lapa",N257))),"SIM","")</f>
        <v/>
      </c>
      <c r="Q257" s="99">
        <f>IF(AND(ISNUMBER(SEARCH("Espeto",N257)),ISNUMBER(SEARCH("Tatuapé",N257))),"SIM","")</f>
        <v/>
      </c>
      <c r="R257" s="99">
        <f>IF(AND(ISNUMBER(SEARCH("Espeto",N257)),ISNUMBER(SEARCH("Pavão",N257))),"SIM","")</f>
        <v/>
      </c>
      <c r="S257" s="99">
        <f>IF(AND(ISNUMBER(SEARCH("Espeto",N257)),ISNUMBER(SEARCH("Chac",N257))),"SIM","")</f>
        <v/>
      </c>
      <c r="T257" s="99">
        <f>IF(AND(ISNUMBER(SEARCH("Espeto",N257)),ISNUMBER(SEARCH("Madalena",N257))),"SIM","")</f>
        <v/>
      </c>
      <c r="U257" s="99">
        <f>IF(AND(ISNUMBER(SEARCH("Espeto",N257)),ISNUMBER(SEARCH("Mariana",N257))),"SIM","")</f>
        <v/>
      </c>
      <c r="V257" s="99">
        <f>IF(AND(ISNUMBER(SEARCH("Espeto",N257)),ISNUMBER(SEARCH("Perdizes",N257))),"SIM","")</f>
        <v/>
      </c>
      <c r="W257" s="99">
        <f>IF(AND(ISNUMBER(SEARCH("Espeto",N257)),ISNUMBER(SEARCH("Santana",N257))),"SIM","")</f>
        <v/>
      </c>
      <c r="X257" s="99">
        <f>IF(AND(ISNUMBER(SEARCH("Espeto",N257)),ISNUMBER(SEARCH("André",N257))),"SIM","")</f>
        <v/>
      </c>
      <c r="Y257" s="99">
        <f>IF(AND(ISNUMBER(SEARCH("Delivery",N257)),ISNUMBER(SEARCH("Carin",N257))),"SIM","")</f>
        <v/>
      </c>
      <c r="Z257" s="99">
        <f>IF(AND(ISNUMBER(SEARCH("Delivery",N257)),ISNUMBER(SEARCH("Lapa",N257))),"SIM","")</f>
        <v/>
      </c>
      <c r="AA257" s="99">
        <f>IF(AND(ISNUMBER(SEARCH("Delivery",N257)),ISNUMBER(SEARCH("Tatuapé",N257))),"SIM","")</f>
        <v/>
      </c>
      <c r="AB257" s="99">
        <f>IF(AND(ISNUMBER(SEARCH("Delivery",N257)),ISNUMBER(SEARCH("Pavão",N257))),"SIM","")</f>
        <v/>
      </c>
      <c r="AC257" s="99">
        <f>IF(AND(ISNUMBER(SEARCH("Delivery",N257)),ISNUMBER(SEARCH("Chac",N257))),"SIM","")</f>
        <v/>
      </c>
      <c r="AD257" s="99">
        <f>IF(AND(ISNUMBER(SEARCH("Delivery",N257)),ISNUMBER(SEARCH("Madalena",N257))),"SIM","")</f>
        <v/>
      </c>
      <c r="AE257" s="92">
        <f>IF(AND(ISNUMBER(SEARCH("Delivery",N257)),ISNUMBER(SEARCH("Mariana",N257))),"SIM","")</f>
        <v/>
      </c>
      <c r="AF257" s="92">
        <f>IF(AND(ISNUMBER(SEARCH("Delivery",N257)),ISNUMBER(SEARCH("Perdizes",N257))),"SIM","")</f>
        <v/>
      </c>
      <c r="AG257" s="92">
        <f>IF(AND(ISNUMBER(SEARCH("Delivery",N257)),ISNUMBER(SEARCH("Santana",N257))),"SIM","")</f>
        <v/>
      </c>
      <c r="AH257" s="92">
        <f>IF(AND(ISNUMBER(SEARCH("Delivery",N257)),ISNUMBER(SEARCH("André",N257))),"SIM","")</f>
        <v/>
      </c>
      <c r="AI257" s="92">
        <f>IF(ISNUMBER(SEARCH("Interlagos",N257)),"SIM","")</f>
        <v/>
      </c>
      <c r="AJ257" s="92">
        <f>IF(ISNUMBER(SEARCH("Quiosque",N257)),"SIM","")</f>
        <v/>
      </c>
      <c r="AK257" s="93" t="n"/>
    </row>
    <row r="258">
      <c r="A258" s="88" t="inlineStr">
        <is>
          <t>Protheus</t>
        </is>
      </c>
      <c r="B258" s="89" t="inlineStr">
        <is>
          <t>010289</t>
        </is>
      </c>
      <c r="C258" s="90">
        <f>IF(B258="—","—",IFERROR(VLOOKUP(B258,_Protheus_Cadastro!$A:$B,2,FALSE),"—"))</f>
        <v/>
      </c>
      <c r="D258" s="91">
        <f>IF(B258="—",IFERROR(INDEX(_ZIG_Cadastro!$D:$D,MATCH(H258,_ZIG_Cadastro!$A:$A,0)),"Produto"),IFERROR(VLOOKUP(B258,_Protheus_Cadastro!$A:$C,3,FALSE),"—"))</f>
        <v/>
      </c>
      <c r="E258" s="91">
        <f>IF(B258="—","—",IFERROR(VLOOKUP(B258,_Protheus_Cadastro!$A:$D,4,FALSE),"—"))</f>
        <v/>
      </c>
      <c r="F258" s="91">
        <f>IF(ISERROR(VLOOKUP(B258,'Estrutura Protheus'!A:A,1,FALSE)),"Não","Sim")</f>
        <v/>
      </c>
      <c r="G258" s="92">
        <f>IFERROR(INDEX(_Protheus_Cadastro!$H:$H,MATCH(B258,_Protheus_Cadastro!$A:$A,0)),"—")</f>
        <v/>
      </c>
      <c r="H258" s="210">
        <f>IFERROR(INDEX(_ZIG_Precos!$D:$D,MATCH(I258,_ZIG_Precos!$F:$F,0)),"—")</f>
        <v/>
      </c>
      <c r="I258" s="95">
        <f>IFERROR(VLOOKUP(B258,_Protheus_Cadastro!$A:$I,9,FALSE),"—")</f>
        <v/>
      </c>
      <c r="J258" s="93">
        <f>IFERROR(INDEX(_ZIG_Cadastro!$B:$B,MATCH(I258,_ZIG_Cadastro!$A:$A,0)),IFERROR(INDEX(_Entradas_ZIG!$B:$B,MATCH(I258,_Entradas_ZIG!$C:$C,0)),"—"))</f>
        <v/>
      </c>
      <c r="K258" s="93">
        <f>IFERROR(INDEX(_ZIG_Cadastro!$C:$C,MATCH(I258,_ZIG_Cadastro!$A:$A,0)),IFERROR(INDEX(_Entradas_ZIG!$D:$D,MATCH(I258,_Entradas_ZIG!$C:$C,0)),"—"))</f>
        <v/>
      </c>
      <c r="L258" s="92">
        <f>IF(I258="","Sem SKU ZIG",IF(I258="—","Sem SKU ZIG",IF(NOT(ISERROR(MATCH(I258,_ZIG_Cadastro!$A:$A,0))),IF(EXACT(UPPER(TRIM(C258)),UPPER(TRIM(INDEX(_ZIG_Cadastro!$B:$B,MATCH(I258,_ZIG_Cadastro!$A:$A,0))))),"OK","Atencao - Nome diverge"),IF(NOT(ISERROR(MATCH(I258,_Entradas_ZIG!$C:$C,0))),"OK","Erro - SKU nao encontrado"))))</f>
        <v/>
      </c>
      <c r="M258" s="92">
        <f>IFERROR(INDEX(_ZIG_Cadastro!$G:$G,MATCH(I258,_ZIG_Cadastro!$A:$A,0)),IF(NOT(ISERROR(MATCH(I258,_Entradas_ZIG!$C:$C,0))),"Ativo","—"))</f>
        <v/>
      </c>
      <c r="N258" s="94">
        <f>IFERROR(INDEX(_ZIG_Cadastro!$E:$E,MATCH(I258,_ZIG_Cadastro!$A:$A,0)),IFERROR(INDEX(_Entradas_ZIG!$F:$F,MATCH(I258,_Entradas_ZIG!$C:$C,0)),"—"))</f>
        <v/>
      </c>
      <c r="O258" s="92">
        <f>IF(AND(ISNUMBER(SEARCH("Espeto",N258)),ISNUMBER(SEARCH("Carin",N258))),"SIM","")</f>
        <v/>
      </c>
      <c r="P258" s="92">
        <f>IF(AND(ISNUMBER(SEARCH("Espeto",N258)),ISNUMBER(SEARCH("Lapa",N258))),"SIM","")</f>
        <v/>
      </c>
      <c r="Q258" s="92">
        <f>IF(AND(ISNUMBER(SEARCH("Espeto",N258)),ISNUMBER(SEARCH("Tatuapé",N258))),"SIM","")</f>
        <v/>
      </c>
      <c r="R258" s="92">
        <f>IF(AND(ISNUMBER(SEARCH("Espeto",N258)),ISNUMBER(SEARCH("Pavão",N258))),"SIM","")</f>
        <v/>
      </c>
      <c r="S258" s="92">
        <f>IF(AND(ISNUMBER(SEARCH("Espeto",N258)),ISNUMBER(SEARCH("Chac",N258))),"SIM","")</f>
        <v/>
      </c>
      <c r="T258" s="92">
        <f>IF(AND(ISNUMBER(SEARCH("Espeto",N258)),ISNUMBER(SEARCH("Madalena",N258))),"SIM","")</f>
        <v/>
      </c>
      <c r="U258" s="92">
        <f>IF(AND(ISNUMBER(SEARCH("Espeto",N258)),ISNUMBER(SEARCH("Mariana",N258))),"SIM","")</f>
        <v/>
      </c>
      <c r="V258" s="92">
        <f>IF(AND(ISNUMBER(SEARCH("Espeto",N258)),ISNUMBER(SEARCH("Perdizes",N258))),"SIM","")</f>
        <v/>
      </c>
      <c r="W258" s="92">
        <f>IF(AND(ISNUMBER(SEARCH("Espeto",N258)),ISNUMBER(SEARCH("Santana",N258))),"SIM","")</f>
        <v/>
      </c>
      <c r="X258" s="92">
        <f>IF(AND(ISNUMBER(SEARCH("Espeto",N258)),ISNUMBER(SEARCH("André",N258))),"SIM","")</f>
        <v/>
      </c>
      <c r="Y258" s="92">
        <f>IF(AND(ISNUMBER(SEARCH("Delivery",N258)),ISNUMBER(SEARCH("Carin",N258))),"SIM","")</f>
        <v/>
      </c>
      <c r="Z258" s="92">
        <f>IF(AND(ISNUMBER(SEARCH("Delivery",N258)),ISNUMBER(SEARCH("Lapa",N258))),"SIM","")</f>
        <v/>
      </c>
      <c r="AA258" s="92">
        <f>IF(AND(ISNUMBER(SEARCH("Delivery",N258)),ISNUMBER(SEARCH("Tatuapé",N258))),"SIM","")</f>
        <v/>
      </c>
      <c r="AB258" s="92">
        <f>IF(AND(ISNUMBER(SEARCH("Delivery",N258)),ISNUMBER(SEARCH("Pavão",N258))),"SIM","")</f>
        <v/>
      </c>
      <c r="AC258" s="92">
        <f>IF(AND(ISNUMBER(SEARCH("Delivery",N258)),ISNUMBER(SEARCH("Chac",N258))),"SIM","")</f>
        <v/>
      </c>
      <c r="AD258" s="92">
        <f>IF(AND(ISNUMBER(SEARCH("Delivery",N258)),ISNUMBER(SEARCH("Madalena",N258))),"SIM","")</f>
        <v/>
      </c>
      <c r="AE258" s="99">
        <f>IF(AND(ISNUMBER(SEARCH("Delivery",N258)),ISNUMBER(SEARCH("Mariana",N258))),"SIM","")</f>
        <v/>
      </c>
      <c r="AF258" s="99">
        <f>IF(AND(ISNUMBER(SEARCH("Delivery",N258)),ISNUMBER(SEARCH("Perdizes",N258))),"SIM","")</f>
        <v/>
      </c>
      <c r="AG258" s="99">
        <f>IF(AND(ISNUMBER(SEARCH("Delivery",N258)),ISNUMBER(SEARCH("Santana",N258))),"SIM","")</f>
        <v/>
      </c>
      <c r="AH258" s="99">
        <f>IF(AND(ISNUMBER(SEARCH("Delivery",N258)),ISNUMBER(SEARCH("André",N258))),"SIM","")</f>
        <v/>
      </c>
      <c r="AI258" s="99">
        <f>IF(ISNUMBER(SEARCH("Interlagos",N258)),"SIM","")</f>
        <v/>
      </c>
      <c r="AJ258" s="99">
        <f>IF(ISNUMBER(SEARCH("Quiosque",N258)),"SIM","")</f>
        <v/>
      </c>
      <c r="AK258" s="101" t="n"/>
    </row>
    <row r="259">
      <c r="A259" s="88" t="inlineStr">
        <is>
          <t>Protheus</t>
        </is>
      </c>
      <c r="B259" s="96" t="inlineStr">
        <is>
          <t>010290</t>
        </is>
      </c>
      <c r="C259" s="97">
        <f>IF(B259="—","—",IFERROR(VLOOKUP(B259,_Protheus_Cadastro!$A:$B,2,FALSE),"—"))</f>
        <v/>
      </c>
      <c r="D259" s="98">
        <f>IF(B259="—",IFERROR(INDEX(_ZIG_Cadastro!$D:$D,MATCH(H259,_ZIG_Cadastro!$A:$A,0)),"Produto"),IFERROR(VLOOKUP(B259,_Protheus_Cadastro!$A:$C,3,FALSE),"—"))</f>
        <v/>
      </c>
      <c r="E259" s="98">
        <f>IF(B259="—","—",IFERROR(VLOOKUP(B259,_Protheus_Cadastro!$A:$D,4,FALSE),"—"))</f>
        <v/>
      </c>
      <c r="F259" s="98">
        <f>IF(ISERROR(VLOOKUP(B259,'Estrutura Protheus'!A:A,1,FALSE)),"Não","Sim")</f>
        <v/>
      </c>
      <c r="G259" s="99">
        <f>IFERROR(INDEX(_Protheus_Cadastro!$H:$H,MATCH(B259,_Protheus_Cadastro!$A:$A,0)),"—")</f>
        <v/>
      </c>
      <c r="H259" s="211">
        <f>IFERROR(INDEX(_ZIG_Precos!$D:$D,MATCH(I259,_ZIG_Precos!$F:$F,0)),"—")</f>
        <v/>
      </c>
      <c r="I259" s="103">
        <f>IFERROR(VLOOKUP(B259,_Protheus_Cadastro!$A:$I,9,FALSE),"—")</f>
        <v/>
      </c>
      <c r="J259" s="101">
        <f>IFERROR(INDEX(_ZIG_Cadastro!$B:$B,MATCH(I259,_ZIG_Cadastro!$A:$A,0)),IFERROR(INDEX(_Entradas_ZIG!$B:$B,MATCH(I259,_Entradas_ZIG!$C:$C,0)),"—"))</f>
        <v/>
      </c>
      <c r="K259" s="101">
        <f>IFERROR(INDEX(_ZIG_Cadastro!$C:$C,MATCH(I259,_ZIG_Cadastro!$A:$A,0)),IFERROR(INDEX(_Entradas_ZIG!$D:$D,MATCH(I259,_Entradas_ZIG!$C:$C,0)),"—"))</f>
        <v/>
      </c>
      <c r="L259" s="99">
        <f>IF(I259="","Sem SKU ZIG",IF(I259="—","Sem SKU ZIG",IF(NOT(ISERROR(MATCH(I259,_ZIG_Cadastro!$A:$A,0))),IF(EXACT(UPPER(TRIM(C259)),UPPER(TRIM(INDEX(_ZIG_Cadastro!$B:$B,MATCH(I259,_ZIG_Cadastro!$A:$A,0))))),"OK","Atencao - Nome diverge"),IF(NOT(ISERROR(MATCH(I259,_Entradas_ZIG!$C:$C,0))),"OK","Erro - SKU nao encontrado"))))</f>
        <v/>
      </c>
      <c r="M259" s="99">
        <f>IFERROR(INDEX(_ZIG_Cadastro!$G:$G,MATCH(I259,_ZIG_Cadastro!$A:$A,0)),IF(NOT(ISERROR(MATCH(I259,_Entradas_ZIG!$C:$C,0))),"Ativo","—"))</f>
        <v/>
      </c>
      <c r="N259" s="102">
        <f>IFERROR(INDEX(_ZIG_Cadastro!$E:$E,MATCH(I259,_ZIG_Cadastro!$A:$A,0)),IFERROR(INDEX(_Entradas_ZIG!$F:$F,MATCH(I259,_Entradas_ZIG!$C:$C,0)),"—"))</f>
        <v/>
      </c>
      <c r="O259" s="99">
        <f>IF(AND(ISNUMBER(SEARCH("Espeto",N259)),ISNUMBER(SEARCH("Carin",N259))),"SIM","")</f>
        <v/>
      </c>
      <c r="P259" s="99">
        <f>IF(AND(ISNUMBER(SEARCH("Espeto",N259)),ISNUMBER(SEARCH("Lapa",N259))),"SIM","")</f>
        <v/>
      </c>
      <c r="Q259" s="99">
        <f>IF(AND(ISNUMBER(SEARCH("Espeto",N259)),ISNUMBER(SEARCH("Tatuapé",N259))),"SIM","")</f>
        <v/>
      </c>
      <c r="R259" s="99">
        <f>IF(AND(ISNUMBER(SEARCH("Espeto",N259)),ISNUMBER(SEARCH("Pavão",N259))),"SIM","")</f>
        <v/>
      </c>
      <c r="S259" s="99">
        <f>IF(AND(ISNUMBER(SEARCH("Espeto",N259)),ISNUMBER(SEARCH("Chac",N259))),"SIM","")</f>
        <v/>
      </c>
      <c r="T259" s="99">
        <f>IF(AND(ISNUMBER(SEARCH("Espeto",N259)),ISNUMBER(SEARCH("Madalena",N259))),"SIM","")</f>
        <v/>
      </c>
      <c r="U259" s="99">
        <f>IF(AND(ISNUMBER(SEARCH("Espeto",N259)),ISNUMBER(SEARCH("Mariana",N259))),"SIM","")</f>
        <v/>
      </c>
      <c r="V259" s="99">
        <f>IF(AND(ISNUMBER(SEARCH("Espeto",N259)),ISNUMBER(SEARCH("Perdizes",N259))),"SIM","")</f>
        <v/>
      </c>
      <c r="W259" s="99">
        <f>IF(AND(ISNUMBER(SEARCH("Espeto",N259)),ISNUMBER(SEARCH("Santana",N259))),"SIM","")</f>
        <v/>
      </c>
      <c r="X259" s="99">
        <f>IF(AND(ISNUMBER(SEARCH("Espeto",N259)),ISNUMBER(SEARCH("André",N259))),"SIM","")</f>
        <v/>
      </c>
      <c r="Y259" s="99">
        <f>IF(AND(ISNUMBER(SEARCH("Delivery",N259)),ISNUMBER(SEARCH("Carin",N259))),"SIM","")</f>
        <v/>
      </c>
      <c r="Z259" s="99">
        <f>IF(AND(ISNUMBER(SEARCH("Delivery",N259)),ISNUMBER(SEARCH("Lapa",N259))),"SIM","")</f>
        <v/>
      </c>
      <c r="AA259" s="99">
        <f>IF(AND(ISNUMBER(SEARCH("Delivery",N259)),ISNUMBER(SEARCH("Tatuapé",N259))),"SIM","")</f>
        <v/>
      </c>
      <c r="AB259" s="99">
        <f>IF(AND(ISNUMBER(SEARCH("Delivery",N259)),ISNUMBER(SEARCH("Pavão",N259))),"SIM","")</f>
        <v/>
      </c>
      <c r="AC259" s="99">
        <f>IF(AND(ISNUMBER(SEARCH("Delivery",N259)),ISNUMBER(SEARCH("Chac",N259))),"SIM","")</f>
        <v/>
      </c>
      <c r="AD259" s="99">
        <f>IF(AND(ISNUMBER(SEARCH("Delivery",N259)),ISNUMBER(SEARCH("Madalena",N259))),"SIM","")</f>
        <v/>
      </c>
      <c r="AE259" s="92">
        <f>IF(AND(ISNUMBER(SEARCH("Delivery",N259)),ISNUMBER(SEARCH("Mariana",N259))),"SIM","")</f>
        <v/>
      </c>
      <c r="AF259" s="92">
        <f>IF(AND(ISNUMBER(SEARCH("Delivery",N259)),ISNUMBER(SEARCH("Perdizes",N259))),"SIM","")</f>
        <v/>
      </c>
      <c r="AG259" s="92">
        <f>IF(AND(ISNUMBER(SEARCH("Delivery",N259)),ISNUMBER(SEARCH("Santana",N259))),"SIM","")</f>
        <v/>
      </c>
      <c r="AH259" s="92">
        <f>IF(AND(ISNUMBER(SEARCH("Delivery",N259)),ISNUMBER(SEARCH("André",N259))),"SIM","")</f>
        <v/>
      </c>
      <c r="AI259" s="92">
        <f>IF(ISNUMBER(SEARCH("Interlagos",N259)),"SIM","")</f>
        <v/>
      </c>
      <c r="AJ259" s="92">
        <f>IF(ISNUMBER(SEARCH("Quiosque",N259)),"SIM","")</f>
        <v/>
      </c>
      <c r="AK259" s="93" t="n"/>
    </row>
    <row r="260">
      <c r="A260" s="88" t="inlineStr">
        <is>
          <t>Protheus</t>
        </is>
      </c>
      <c r="B260" s="89" t="inlineStr">
        <is>
          <t>010291</t>
        </is>
      </c>
      <c r="C260" s="90">
        <f>IF(B260="—","—",IFERROR(VLOOKUP(B260,_Protheus_Cadastro!$A:$B,2,FALSE),"—"))</f>
        <v/>
      </c>
      <c r="D260" s="91">
        <f>IF(B260="—",IFERROR(INDEX(_ZIG_Cadastro!$D:$D,MATCH(H260,_ZIG_Cadastro!$A:$A,0)),"Produto"),IFERROR(VLOOKUP(B260,_Protheus_Cadastro!$A:$C,3,FALSE),"—"))</f>
        <v/>
      </c>
      <c r="E260" s="91">
        <f>IF(B260="—","—",IFERROR(VLOOKUP(B260,_Protheus_Cadastro!$A:$D,4,FALSE),"—"))</f>
        <v/>
      </c>
      <c r="F260" s="91">
        <f>IF(ISERROR(VLOOKUP(B260,'Estrutura Protheus'!A:A,1,FALSE)),"Não","Sim")</f>
        <v/>
      </c>
      <c r="G260" s="92">
        <f>IFERROR(INDEX(_Protheus_Cadastro!$H:$H,MATCH(B260,_Protheus_Cadastro!$A:$A,0)),"—")</f>
        <v/>
      </c>
      <c r="H260" s="210">
        <f>IFERROR(INDEX(_ZIG_Precos!$D:$D,MATCH(I260,_ZIG_Precos!$F:$F,0)),"—")</f>
        <v/>
      </c>
      <c r="I260" s="95">
        <f>IFERROR(VLOOKUP(B260,_Protheus_Cadastro!$A:$I,9,FALSE),"—")</f>
        <v/>
      </c>
      <c r="J260" s="93">
        <f>IFERROR(INDEX(_ZIG_Cadastro!$B:$B,MATCH(I260,_ZIG_Cadastro!$A:$A,0)),IFERROR(INDEX(_Entradas_ZIG!$B:$B,MATCH(I260,_Entradas_ZIG!$C:$C,0)),"—"))</f>
        <v/>
      </c>
      <c r="K260" s="93">
        <f>IFERROR(INDEX(_ZIG_Cadastro!$C:$C,MATCH(I260,_ZIG_Cadastro!$A:$A,0)),IFERROR(INDEX(_Entradas_ZIG!$D:$D,MATCH(I260,_Entradas_ZIG!$C:$C,0)),"—"))</f>
        <v/>
      </c>
      <c r="L260" s="92">
        <f>IF(I260="","Sem SKU ZIG",IF(I260="—","Sem SKU ZIG",IF(NOT(ISERROR(MATCH(I260,_ZIG_Cadastro!$A:$A,0))),IF(EXACT(UPPER(TRIM(C260)),UPPER(TRIM(INDEX(_ZIG_Cadastro!$B:$B,MATCH(I260,_ZIG_Cadastro!$A:$A,0))))),"OK","Atencao - Nome diverge"),IF(NOT(ISERROR(MATCH(I260,_Entradas_ZIG!$C:$C,0))),"OK","Erro - SKU nao encontrado"))))</f>
        <v/>
      </c>
      <c r="M260" s="92">
        <f>IFERROR(INDEX(_ZIG_Cadastro!$G:$G,MATCH(I260,_ZIG_Cadastro!$A:$A,0)),IF(NOT(ISERROR(MATCH(I260,_Entradas_ZIG!$C:$C,0))),"Ativo","—"))</f>
        <v/>
      </c>
      <c r="N260" s="94">
        <f>IFERROR(INDEX(_ZIG_Cadastro!$E:$E,MATCH(I260,_ZIG_Cadastro!$A:$A,0)),IFERROR(INDEX(_Entradas_ZIG!$F:$F,MATCH(I260,_Entradas_ZIG!$C:$C,0)),"—"))</f>
        <v/>
      </c>
      <c r="O260" s="92">
        <f>IF(AND(ISNUMBER(SEARCH("Espeto",N260)),ISNUMBER(SEARCH("Carin",N260))),"SIM","")</f>
        <v/>
      </c>
      <c r="P260" s="92">
        <f>IF(AND(ISNUMBER(SEARCH("Espeto",N260)),ISNUMBER(SEARCH("Lapa",N260))),"SIM","")</f>
        <v/>
      </c>
      <c r="Q260" s="92">
        <f>IF(AND(ISNUMBER(SEARCH("Espeto",N260)),ISNUMBER(SEARCH("Tatuapé",N260))),"SIM","")</f>
        <v/>
      </c>
      <c r="R260" s="92">
        <f>IF(AND(ISNUMBER(SEARCH("Espeto",N260)),ISNUMBER(SEARCH("Pavão",N260))),"SIM","")</f>
        <v/>
      </c>
      <c r="S260" s="92">
        <f>IF(AND(ISNUMBER(SEARCH("Espeto",N260)),ISNUMBER(SEARCH("Chac",N260))),"SIM","")</f>
        <v/>
      </c>
      <c r="T260" s="92">
        <f>IF(AND(ISNUMBER(SEARCH("Espeto",N260)),ISNUMBER(SEARCH("Madalena",N260))),"SIM","")</f>
        <v/>
      </c>
      <c r="U260" s="92">
        <f>IF(AND(ISNUMBER(SEARCH("Espeto",N260)),ISNUMBER(SEARCH("Mariana",N260))),"SIM","")</f>
        <v/>
      </c>
      <c r="V260" s="92">
        <f>IF(AND(ISNUMBER(SEARCH("Espeto",N260)),ISNUMBER(SEARCH("Perdizes",N260))),"SIM","")</f>
        <v/>
      </c>
      <c r="W260" s="92">
        <f>IF(AND(ISNUMBER(SEARCH("Espeto",N260)),ISNUMBER(SEARCH("Santana",N260))),"SIM","")</f>
        <v/>
      </c>
      <c r="X260" s="92">
        <f>IF(AND(ISNUMBER(SEARCH("Espeto",N260)),ISNUMBER(SEARCH("André",N260))),"SIM","")</f>
        <v/>
      </c>
      <c r="Y260" s="92">
        <f>IF(AND(ISNUMBER(SEARCH("Delivery",N260)),ISNUMBER(SEARCH("Carin",N260))),"SIM","")</f>
        <v/>
      </c>
      <c r="Z260" s="92">
        <f>IF(AND(ISNUMBER(SEARCH("Delivery",N260)),ISNUMBER(SEARCH("Lapa",N260))),"SIM","")</f>
        <v/>
      </c>
      <c r="AA260" s="92">
        <f>IF(AND(ISNUMBER(SEARCH("Delivery",N260)),ISNUMBER(SEARCH("Tatuapé",N260))),"SIM","")</f>
        <v/>
      </c>
      <c r="AB260" s="92">
        <f>IF(AND(ISNUMBER(SEARCH("Delivery",N260)),ISNUMBER(SEARCH("Pavão",N260))),"SIM","")</f>
        <v/>
      </c>
      <c r="AC260" s="92">
        <f>IF(AND(ISNUMBER(SEARCH("Delivery",N260)),ISNUMBER(SEARCH("Chac",N260))),"SIM","")</f>
        <v/>
      </c>
      <c r="AD260" s="92">
        <f>IF(AND(ISNUMBER(SEARCH("Delivery",N260)),ISNUMBER(SEARCH("Madalena",N260))),"SIM","")</f>
        <v/>
      </c>
      <c r="AE260" s="99">
        <f>IF(AND(ISNUMBER(SEARCH("Delivery",N260)),ISNUMBER(SEARCH("Mariana",N260))),"SIM","")</f>
        <v/>
      </c>
      <c r="AF260" s="99">
        <f>IF(AND(ISNUMBER(SEARCH("Delivery",N260)),ISNUMBER(SEARCH("Perdizes",N260))),"SIM","")</f>
        <v/>
      </c>
      <c r="AG260" s="99">
        <f>IF(AND(ISNUMBER(SEARCH("Delivery",N260)),ISNUMBER(SEARCH("Santana",N260))),"SIM","")</f>
        <v/>
      </c>
      <c r="AH260" s="99">
        <f>IF(AND(ISNUMBER(SEARCH("Delivery",N260)),ISNUMBER(SEARCH("André",N260))),"SIM","")</f>
        <v/>
      </c>
      <c r="AI260" s="99">
        <f>IF(ISNUMBER(SEARCH("Interlagos",N260)),"SIM","")</f>
        <v/>
      </c>
      <c r="AJ260" s="99">
        <f>IF(ISNUMBER(SEARCH("Quiosque",N260)),"SIM","")</f>
        <v/>
      </c>
      <c r="AK260" s="101" t="n"/>
    </row>
    <row r="261">
      <c r="A261" s="88" t="inlineStr">
        <is>
          <t>Protheus</t>
        </is>
      </c>
      <c r="B261" s="96" t="inlineStr">
        <is>
          <t>002261</t>
        </is>
      </c>
      <c r="C261" s="97">
        <f>IF(B261="—","—",IFERROR(VLOOKUP(B261,_Protheus_Cadastro!$A:$B,2,FALSE),"—"))</f>
        <v/>
      </c>
      <c r="D261" s="98">
        <f>IF(B261="—",IFERROR(INDEX(_ZIG_Cadastro!$D:$D,MATCH(H261,_ZIG_Cadastro!$A:$A,0)),"Produto"),IFERROR(VLOOKUP(B261,_Protheus_Cadastro!$A:$C,3,FALSE),"—"))</f>
        <v/>
      </c>
      <c r="E261" s="98">
        <f>IF(B261="—","—",IFERROR(VLOOKUP(B261,_Protheus_Cadastro!$A:$D,4,FALSE),"—"))</f>
        <v/>
      </c>
      <c r="F261" s="98">
        <f>IF(ISERROR(VLOOKUP(B261,'Estrutura Protheus'!A:A,1,FALSE)),"Não","Sim")</f>
        <v/>
      </c>
      <c r="G261" s="99">
        <f>IFERROR(INDEX(_Protheus_Cadastro!$H:$H,MATCH(B261,_Protheus_Cadastro!$A:$A,0)),"—")</f>
        <v/>
      </c>
      <c r="H261" s="211">
        <f>IFERROR(INDEX(_ZIG_Precos!$D:$D,MATCH(I261,_ZIG_Precos!$F:$F,0)),"—")</f>
        <v/>
      </c>
      <c r="I261" s="103">
        <f>IFERROR(VLOOKUP(B261,_Protheus_Cadastro!$A:$I,9,FALSE),"—")</f>
        <v/>
      </c>
      <c r="J261" s="101">
        <f>IFERROR(INDEX(_ZIG_Cadastro!$B:$B,MATCH(I261,_ZIG_Cadastro!$A:$A,0)),IFERROR(INDEX(_Entradas_ZIG!$B:$B,MATCH(I261,_Entradas_ZIG!$C:$C,0)),"—"))</f>
        <v/>
      </c>
      <c r="K261" s="101">
        <f>IFERROR(INDEX(_ZIG_Cadastro!$C:$C,MATCH(I261,_ZIG_Cadastro!$A:$A,0)),IFERROR(INDEX(_Entradas_ZIG!$D:$D,MATCH(I261,_Entradas_ZIG!$C:$C,0)),"—"))</f>
        <v/>
      </c>
      <c r="L261" s="99">
        <f>IF(I261="","Sem SKU ZIG",IF(I261="—","Sem SKU ZIG",IF(NOT(ISERROR(MATCH(I261,_ZIG_Cadastro!$A:$A,0))),IF(EXACT(UPPER(TRIM(C261)),UPPER(TRIM(INDEX(_ZIG_Cadastro!$B:$B,MATCH(I261,_ZIG_Cadastro!$A:$A,0))))),"OK","Atencao - Nome diverge"),IF(NOT(ISERROR(MATCH(I261,_Entradas_ZIG!$C:$C,0))),"OK","Erro - SKU nao encontrado"))))</f>
        <v/>
      </c>
      <c r="M261" s="99">
        <f>IFERROR(INDEX(_ZIG_Cadastro!$G:$G,MATCH(I261,_ZIG_Cadastro!$A:$A,0)),IF(NOT(ISERROR(MATCH(I261,_Entradas_ZIG!$C:$C,0))),"Ativo","—"))</f>
        <v/>
      </c>
      <c r="N261" s="102">
        <f>IFERROR(INDEX(_ZIG_Cadastro!$E:$E,MATCH(I261,_ZIG_Cadastro!$A:$A,0)),IFERROR(INDEX(_Entradas_ZIG!$F:$F,MATCH(I261,_Entradas_ZIG!$C:$C,0)),"—"))</f>
        <v/>
      </c>
      <c r="O261" s="99">
        <f>IF(AND(ISNUMBER(SEARCH("Espeto",N261)),ISNUMBER(SEARCH("Carin",N261))),"SIM","")</f>
        <v/>
      </c>
      <c r="P261" s="99">
        <f>IF(AND(ISNUMBER(SEARCH("Espeto",N261)),ISNUMBER(SEARCH("Lapa",N261))),"SIM","")</f>
        <v/>
      </c>
      <c r="Q261" s="99">
        <f>IF(AND(ISNUMBER(SEARCH("Espeto",N261)),ISNUMBER(SEARCH("Tatuapé",N261))),"SIM","")</f>
        <v/>
      </c>
      <c r="R261" s="99">
        <f>IF(AND(ISNUMBER(SEARCH("Espeto",N261)),ISNUMBER(SEARCH("Pavão",N261))),"SIM","")</f>
        <v/>
      </c>
      <c r="S261" s="99">
        <f>IF(AND(ISNUMBER(SEARCH("Espeto",N261)),ISNUMBER(SEARCH("Chac",N261))),"SIM","")</f>
        <v/>
      </c>
      <c r="T261" s="99">
        <f>IF(AND(ISNUMBER(SEARCH("Espeto",N261)),ISNUMBER(SEARCH("Madalena",N261))),"SIM","")</f>
        <v/>
      </c>
      <c r="U261" s="99">
        <f>IF(AND(ISNUMBER(SEARCH("Espeto",N261)),ISNUMBER(SEARCH("Mariana",N261))),"SIM","")</f>
        <v/>
      </c>
      <c r="V261" s="99">
        <f>IF(AND(ISNUMBER(SEARCH("Espeto",N261)),ISNUMBER(SEARCH("Perdizes",N261))),"SIM","")</f>
        <v/>
      </c>
      <c r="W261" s="99">
        <f>IF(AND(ISNUMBER(SEARCH("Espeto",N261)),ISNUMBER(SEARCH("Santana",N261))),"SIM","")</f>
        <v/>
      </c>
      <c r="X261" s="99">
        <f>IF(AND(ISNUMBER(SEARCH("Espeto",N261)),ISNUMBER(SEARCH("André",N261))),"SIM","")</f>
        <v/>
      </c>
      <c r="Y261" s="99">
        <f>IF(AND(ISNUMBER(SEARCH("Delivery",N261)),ISNUMBER(SEARCH("Carin",N261))),"SIM","")</f>
        <v/>
      </c>
      <c r="Z261" s="99">
        <f>IF(AND(ISNUMBER(SEARCH("Delivery",N261)),ISNUMBER(SEARCH("Lapa",N261))),"SIM","")</f>
        <v/>
      </c>
      <c r="AA261" s="99">
        <f>IF(AND(ISNUMBER(SEARCH("Delivery",N261)),ISNUMBER(SEARCH("Tatuapé",N261))),"SIM","")</f>
        <v/>
      </c>
      <c r="AB261" s="99">
        <f>IF(AND(ISNUMBER(SEARCH("Delivery",N261)),ISNUMBER(SEARCH("Pavão",N261))),"SIM","")</f>
        <v/>
      </c>
      <c r="AC261" s="99">
        <f>IF(AND(ISNUMBER(SEARCH("Delivery",N261)),ISNUMBER(SEARCH("Chac",N261))),"SIM","")</f>
        <v/>
      </c>
      <c r="AD261" s="99">
        <f>IF(AND(ISNUMBER(SEARCH("Delivery",N261)),ISNUMBER(SEARCH("Madalena",N261))),"SIM","")</f>
        <v/>
      </c>
      <c r="AE261" s="92">
        <f>IF(AND(ISNUMBER(SEARCH("Delivery",N261)),ISNUMBER(SEARCH("Mariana",N261))),"SIM","")</f>
        <v/>
      </c>
      <c r="AF261" s="92">
        <f>IF(AND(ISNUMBER(SEARCH("Delivery",N261)),ISNUMBER(SEARCH("Perdizes",N261))),"SIM","")</f>
        <v/>
      </c>
      <c r="AG261" s="92">
        <f>IF(AND(ISNUMBER(SEARCH("Delivery",N261)),ISNUMBER(SEARCH("Santana",N261))),"SIM","")</f>
        <v/>
      </c>
      <c r="AH261" s="92">
        <f>IF(AND(ISNUMBER(SEARCH("Delivery",N261)),ISNUMBER(SEARCH("André",N261))),"SIM","")</f>
        <v/>
      </c>
      <c r="AI261" s="92">
        <f>IF(ISNUMBER(SEARCH("Interlagos",N261)),"SIM","")</f>
        <v/>
      </c>
      <c r="AJ261" s="92">
        <f>IF(ISNUMBER(SEARCH("Quiosque",N261)),"SIM","")</f>
        <v/>
      </c>
      <c r="AK261" s="93" t="n"/>
    </row>
    <row r="262">
      <c r="A262" s="88" t="inlineStr">
        <is>
          <t>Protheus</t>
        </is>
      </c>
      <c r="B262" s="89" t="inlineStr">
        <is>
          <t>002054</t>
        </is>
      </c>
      <c r="C262" s="90">
        <f>IF(B262="—","—",IFERROR(VLOOKUP(B262,_Protheus_Cadastro!$A:$B,2,FALSE),"—"))</f>
        <v/>
      </c>
      <c r="D262" s="91">
        <f>IF(B262="—",IFERROR(INDEX(_ZIG_Cadastro!$D:$D,MATCH(H262,_ZIG_Cadastro!$A:$A,0)),"Produto"),IFERROR(VLOOKUP(B262,_Protheus_Cadastro!$A:$C,3,FALSE),"—"))</f>
        <v/>
      </c>
      <c r="E262" s="91">
        <f>IF(B262="—","—",IFERROR(VLOOKUP(B262,_Protheus_Cadastro!$A:$D,4,FALSE),"—"))</f>
        <v/>
      </c>
      <c r="F262" s="91">
        <f>IF(ISERROR(VLOOKUP(B262,'Estrutura Protheus'!A:A,1,FALSE)),"Não","Sim")</f>
        <v/>
      </c>
      <c r="G262" s="92">
        <f>IFERROR(INDEX(_Protheus_Cadastro!$H:$H,MATCH(B262,_Protheus_Cadastro!$A:$A,0)),"—")</f>
        <v/>
      </c>
      <c r="H262" s="210">
        <f>IFERROR(INDEX(_ZIG_Precos!$D:$D,MATCH(I262,_ZIG_Precos!$F:$F,0)),"—")</f>
        <v/>
      </c>
      <c r="I262" s="95">
        <f>IFERROR(VLOOKUP(B262,_Protheus_Cadastro!$A:$I,9,FALSE),"—")</f>
        <v/>
      </c>
      <c r="J262" s="93">
        <f>IFERROR(INDEX(_ZIG_Cadastro!$B:$B,MATCH(I262,_ZIG_Cadastro!$A:$A,0)),IFERROR(INDEX(_Entradas_ZIG!$B:$B,MATCH(I262,_Entradas_ZIG!$C:$C,0)),"—"))</f>
        <v/>
      </c>
      <c r="K262" s="93">
        <f>IFERROR(INDEX(_ZIG_Cadastro!$C:$C,MATCH(I262,_ZIG_Cadastro!$A:$A,0)),IFERROR(INDEX(_Entradas_ZIG!$D:$D,MATCH(I262,_Entradas_ZIG!$C:$C,0)),"—"))</f>
        <v/>
      </c>
      <c r="L262" s="92">
        <f>IF(I262="","Sem SKU ZIG",IF(I262="—","Sem SKU ZIG",IF(NOT(ISERROR(MATCH(I262,_ZIG_Cadastro!$A:$A,0))),IF(EXACT(UPPER(TRIM(C262)),UPPER(TRIM(INDEX(_ZIG_Cadastro!$B:$B,MATCH(I262,_ZIG_Cadastro!$A:$A,0))))),"OK","Atencao - Nome diverge"),IF(NOT(ISERROR(MATCH(I262,_Entradas_ZIG!$C:$C,0))),"OK","Erro - SKU nao encontrado"))))</f>
        <v/>
      </c>
      <c r="M262" s="92">
        <f>IFERROR(INDEX(_ZIG_Cadastro!$G:$G,MATCH(I262,_ZIG_Cadastro!$A:$A,0)),IF(NOT(ISERROR(MATCH(I262,_Entradas_ZIG!$C:$C,0))),"Ativo","—"))</f>
        <v/>
      </c>
      <c r="N262" s="94">
        <f>IFERROR(INDEX(_ZIG_Cadastro!$E:$E,MATCH(I262,_ZIG_Cadastro!$A:$A,0)),IFERROR(INDEX(_Entradas_ZIG!$F:$F,MATCH(I262,_Entradas_ZIG!$C:$C,0)),"—"))</f>
        <v/>
      </c>
      <c r="O262" s="92">
        <f>IF(AND(ISNUMBER(SEARCH("Espeto",N262)),ISNUMBER(SEARCH("Carin",N262))),"SIM","")</f>
        <v/>
      </c>
      <c r="P262" s="92">
        <f>IF(AND(ISNUMBER(SEARCH("Espeto",N262)),ISNUMBER(SEARCH("Lapa",N262))),"SIM","")</f>
        <v/>
      </c>
      <c r="Q262" s="92">
        <f>IF(AND(ISNUMBER(SEARCH("Espeto",N262)),ISNUMBER(SEARCH("Tatuapé",N262))),"SIM","")</f>
        <v/>
      </c>
      <c r="R262" s="92">
        <f>IF(AND(ISNUMBER(SEARCH("Espeto",N262)),ISNUMBER(SEARCH("Pavão",N262))),"SIM","")</f>
        <v/>
      </c>
      <c r="S262" s="92">
        <f>IF(AND(ISNUMBER(SEARCH("Espeto",N262)),ISNUMBER(SEARCH("Chac",N262))),"SIM","")</f>
        <v/>
      </c>
      <c r="T262" s="92">
        <f>IF(AND(ISNUMBER(SEARCH("Espeto",N262)),ISNUMBER(SEARCH("Madalena",N262))),"SIM","")</f>
        <v/>
      </c>
      <c r="U262" s="92">
        <f>IF(AND(ISNUMBER(SEARCH("Espeto",N262)),ISNUMBER(SEARCH("Mariana",N262))),"SIM","")</f>
        <v/>
      </c>
      <c r="V262" s="92">
        <f>IF(AND(ISNUMBER(SEARCH("Espeto",N262)),ISNUMBER(SEARCH("Perdizes",N262))),"SIM","")</f>
        <v/>
      </c>
      <c r="W262" s="92">
        <f>IF(AND(ISNUMBER(SEARCH("Espeto",N262)),ISNUMBER(SEARCH("Santana",N262))),"SIM","")</f>
        <v/>
      </c>
      <c r="X262" s="92">
        <f>IF(AND(ISNUMBER(SEARCH("Espeto",N262)),ISNUMBER(SEARCH("André",N262))),"SIM","")</f>
        <v/>
      </c>
      <c r="Y262" s="92">
        <f>IF(AND(ISNUMBER(SEARCH("Delivery",N262)),ISNUMBER(SEARCH("Carin",N262))),"SIM","")</f>
        <v/>
      </c>
      <c r="Z262" s="92">
        <f>IF(AND(ISNUMBER(SEARCH("Delivery",N262)),ISNUMBER(SEARCH("Lapa",N262))),"SIM","")</f>
        <v/>
      </c>
      <c r="AA262" s="92">
        <f>IF(AND(ISNUMBER(SEARCH("Delivery",N262)),ISNUMBER(SEARCH("Tatuapé",N262))),"SIM","")</f>
        <v/>
      </c>
      <c r="AB262" s="92">
        <f>IF(AND(ISNUMBER(SEARCH("Delivery",N262)),ISNUMBER(SEARCH("Pavão",N262))),"SIM","")</f>
        <v/>
      </c>
      <c r="AC262" s="92">
        <f>IF(AND(ISNUMBER(SEARCH("Delivery",N262)),ISNUMBER(SEARCH("Chac",N262))),"SIM","")</f>
        <v/>
      </c>
      <c r="AD262" s="92">
        <f>IF(AND(ISNUMBER(SEARCH("Delivery",N262)),ISNUMBER(SEARCH("Madalena",N262))),"SIM","")</f>
        <v/>
      </c>
      <c r="AE262" s="99">
        <f>IF(AND(ISNUMBER(SEARCH("Delivery",N262)),ISNUMBER(SEARCH("Mariana",N262))),"SIM","")</f>
        <v/>
      </c>
      <c r="AF262" s="99">
        <f>IF(AND(ISNUMBER(SEARCH("Delivery",N262)),ISNUMBER(SEARCH("Perdizes",N262))),"SIM","")</f>
        <v/>
      </c>
      <c r="AG262" s="99">
        <f>IF(AND(ISNUMBER(SEARCH("Delivery",N262)),ISNUMBER(SEARCH("Santana",N262))),"SIM","")</f>
        <v/>
      </c>
      <c r="AH262" s="99">
        <f>IF(AND(ISNUMBER(SEARCH("Delivery",N262)),ISNUMBER(SEARCH("André",N262))),"SIM","")</f>
        <v/>
      </c>
      <c r="AI262" s="99">
        <f>IF(ISNUMBER(SEARCH("Interlagos",N262)),"SIM","")</f>
        <v/>
      </c>
      <c r="AJ262" s="99">
        <f>IF(ISNUMBER(SEARCH("Quiosque",N262)),"SIM","")</f>
        <v/>
      </c>
      <c r="AK262" s="101" t="n"/>
    </row>
    <row r="263">
      <c r="A263" s="88" t="inlineStr">
        <is>
          <t>Protheus</t>
        </is>
      </c>
      <c r="B263" s="96" t="inlineStr">
        <is>
          <t>010080</t>
        </is>
      </c>
      <c r="C263" s="97">
        <f>IF(B263="—","—",IFERROR(VLOOKUP(B263,_Protheus_Cadastro!$A:$B,2,FALSE),"—"))</f>
        <v/>
      </c>
      <c r="D263" s="98">
        <f>IF(B263="—",IFERROR(INDEX(_ZIG_Cadastro!$D:$D,MATCH(H263,_ZIG_Cadastro!$A:$A,0)),"Produto"),IFERROR(VLOOKUP(B263,_Protheus_Cadastro!$A:$C,3,FALSE),"—"))</f>
        <v/>
      </c>
      <c r="E263" s="98">
        <f>IF(B263="—","—",IFERROR(VLOOKUP(B263,_Protheus_Cadastro!$A:$D,4,FALSE),"—"))</f>
        <v/>
      </c>
      <c r="F263" s="98">
        <f>IF(ISERROR(VLOOKUP(B263,'Estrutura Protheus'!A:A,1,FALSE)),"Não","Sim")</f>
        <v/>
      </c>
      <c r="G263" s="99">
        <f>IFERROR(INDEX(_Protheus_Cadastro!$H:$H,MATCH(B263,_Protheus_Cadastro!$A:$A,0)),"—")</f>
        <v/>
      </c>
      <c r="H263" s="211">
        <f>IFERROR(INDEX(_ZIG_Precos!$D:$D,MATCH(I263,_ZIG_Precos!$F:$F,0)),"—")</f>
        <v/>
      </c>
      <c r="I263" s="103">
        <f>IFERROR(VLOOKUP(B263,_Protheus_Cadastro!$A:$I,9,FALSE),"—")</f>
        <v/>
      </c>
      <c r="J263" s="101">
        <f>IFERROR(INDEX(_ZIG_Cadastro!$B:$B,MATCH(I263,_ZIG_Cadastro!$A:$A,0)),IFERROR(INDEX(_Entradas_ZIG!$B:$B,MATCH(I263,_Entradas_ZIG!$C:$C,0)),"—"))</f>
        <v/>
      </c>
      <c r="K263" s="101">
        <f>IFERROR(INDEX(_ZIG_Cadastro!$C:$C,MATCH(I263,_ZIG_Cadastro!$A:$A,0)),IFERROR(INDEX(_Entradas_ZIG!$D:$D,MATCH(I263,_Entradas_ZIG!$C:$C,0)),"—"))</f>
        <v/>
      </c>
      <c r="L263" s="99">
        <f>IF(I263="","Sem SKU ZIG",IF(I263="—","Sem SKU ZIG",IF(NOT(ISERROR(MATCH(I263,_ZIG_Cadastro!$A:$A,0))),IF(EXACT(UPPER(TRIM(C263)),UPPER(TRIM(INDEX(_ZIG_Cadastro!$B:$B,MATCH(I263,_ZIG_Cadastro!$A:$A,0))))),"OK","Atencao - Nome diverge"),IF(NOT(ISERROR(MATCH(I263,_Entradas_ZIG!$C:$C,0))),"OK","Erro - SKU nao encontrado"))))</f>
        <v/>
      </c>
      <c r="M263" s="99">
        <f>IFERROR(INDEX(_ZIG_Cadastro!$G:$G,MATCH(I263,_ZIG_Cadastro!$A:$A,0)),IF(NOT(ISERROR(MATCH(I263,_Entradas_ZIG!$C:$C,0))),"Ativo","—"))</f>
        <v/>
      </c>
      <c r="N263" s="102">
        <f>IFERROR(INDEX(_ZIG_Cadastro!$E:$E,MATCH(I263,_ZIG_Cadastro!$A:$A,0)),IFERROR(INDEX(_Entradas_ZIG!$F:$F,MATCH(I263,_Entradas_ZIG!$C:$C,0)),"—"))</f>
        <v/>
      </c>
      <c r="O263" s="99">
        <f>IF(AND(ISNUMBER(SEARCH("Espeto",N263)),ISNUMBER(SEARCH("Carin",N263))),"SIM","")</f>
        <v/>
      </c>
      <c r="P263" s="99">
        <f>IF(AND(ISNUMBER(SEARCH("Espeto",N263)),ISNUMBER(SEARCH("Lapa",N263))),"SIM","")</f>
        <v/>
      </c>
      <c r="Q263" s="99">
        <f>IF(AND(ISNUMBER(SEARCH("Espeto",N263)),ISNUMBER(SEARCH("Tatuapé",N263))),"SIM","")</f>
        <v/>
      </c>
      <c r="R263" s="99">
        <f>IF(AND(ISNUMBER(SEARCH("Espeto",N263)),ISNUMBER(SEARCH("Pavão",N263))),"SIM","")</f>
        <v/>
      </c>
      <c r="S263" s="99">
        <f>IF(AND(ISNUMBER(SEARCH("Espeto",N263)),ISNUMBER(SEARCH("Chac",N263))),"SIM","")</f>
        <v/>
      </c>
      <c r="T263" s="99">
        <f>IF(AND(ISNUMBER(SEARCH("Espeto",N263)),ISNUMBER(SEARCH("Madalena",N263))),"SIM","")</f>
        <v/>
      </c>
      <c r="U263" s="99">
        <f>IF(AND(ISNUMBER(SEARCH("Espeto",N263)),ISNUMBER(SEARCH("Mariana",N263))),"SIM","")</f>
        <v/>
      </c>
      <c r="V263" s="99">
        <f>IF(AND(ISNUMBER(SEARCH("Espeto",N263)),ISNUMBER(SEARCH("Perdizes",N263))),"SIM","")</f>
        <v/>
      </c>
      <c r="W263" s="99">
        <f>IF(AND(ISNUMBER(SEARCH("Espeto",N263)),ISNUMBER(SEARCH("Santana",N263))),"SIM","")</f>
        <v/>
      </c>
      <c r="X263" s="99">
        <f>IF(AND(ISNUMBER(SEARCH("Espeto",N263)),ISNUMBER(SEARCH("André",N263))),"SIM","")</f>
        <v/>
      </c>
      <c r="Y263" s="99">
        <f>IF(AND(ISNUMBER(SEARCH("Delivery",N263)),ISNUMBER(SEARCH("Carin",N263))),"SIM","")</f>
        <v/>
      </c>
      <c r="Z263" s="99">
        <f>IF(AND(ISNUMBER(SEARCH("Delivery",N263)),ISNUMBER(SEARCH("Lapa",N263))),"SIM","")</f>
        <v/>
      </c>
      <c r="AA263" s="99">
        <f>IF(AND(ISNUMBER(SEARCH("Delivery",N263)),ISNUMBER(SEARCH("Tatuapé",N263))),"SIM","")</f>
        <v/>
      </c>
      <c r="AB263" s="99">
        <f>IF(AND(ISNUMBER(SEARCH("Delivery",N263)),ISNUMBER(SEARCH("Pavão",N263))),"SIM","")</f>
        <v/>
      </c>
      <c r="AC263" s="99">
        <f>IF(AND(ISNUMBER(SEARCH("Delivery",N263)),ISNUMBER(SEARCH("Chac",N263))),"SIM","")</f>
        <v/>
      </c>
      <c r="AD263" s="99">
        <f>IF(AND(ISNUMBER(SEARCH("Delivery",N263)),ISNUMBER(SEARCH("Madalena",N263))),"SIM","")</f>
        <v/>
      </c>
      <c r="AE263" s="92">
        <f>IF(AND(ISNUMBER(SEARCH("Delivery",N263)),ISNUMBER(SEARCH("Mariana",N263))),"SIM","")</f>
        <v/>
      </c>
      <c r="AF263" s="92">
        <f>IF(AND(ISNUMBER(SEARCH("Delivery",N263)),ISNUMBER(SEARCH("Perdizes",N263))),"SIM","")</f>
        <v/>
      </c>
      <c r="AG263" s="92">
        <f>IF(AND(ISNUMBER(SEARCH("Delivery",N263)),ISNUMBER(SEARCH("Santana",N263))),"SIM","")</f>
        <v/>
      </c>
      <c r="AH263" s="92">
        <f>IF(AND(ISNUMBER(SEARCH("Delivery",N263)),ISNUMBER(SEARCH("André",N263))),"SIM","")</f>
        <v/>
      </c>
      <c r="AI263" s="92">
        <f>IF(ISNUMBER(SEARCH("Interlagos",N263)),"SIM","")</f>
        <v/>
      </c>
      <c r="AJ263" s="92">
        <f>IF(ISNUMBER(SEARCH("Quiosque",N263)),"SIM","")</f>
        <v/>
      </c>
      <c r="AK263" s="93" t="n"/>
    </row>
    <row r="264">
      <c r="A264" s="88" t="inlineStr">
        <is>
          <t>Protheus</t>
        </is>
      </c>
      <c r="B264" s="89" t="inlineStr">
        <is>
          <t>010081</t>
        </is>
      </c>
      <c r="C264" s="90">
        <f>IF(B264="—","—",IFERROR(VLOOKUP(B264,_Protheus_Cadastro!$A:$B,2,FALSE),"—"))</f>
        <v/>
      </c>
      <c r="D264" s="91">
        <f>IF(B264="—",IFERROR(INDEX(_ZIG_Cadastro!$D:$D,MATCH(H264,_ZIG_Cadastro!$A:$A,0)),"Produto"),IFERROR(VLOOKUP(B264,_Protheus_Cadastro!$A:$C,3,FALSE),"—"))</f>
        <v/>
      </c>
      <c r="E264" s="91">
        <f>IF(B264="—","—",IFERROR(VLOOKUP(B264,_Protheus_Cadastro!$A:$D,4,FALSE),"—"))</f>
        <v/>
      </c>
      <c r="F264" s="91">
        <f>IF(ISERROR(VLOOKUP(B264,'Estrutura Protheus'!A:A,1,FALSE)),"Não","Sim")</f>
        <v/>
      </c>
      <c r="G264" s="92">
        <f>IFERROR(INDEX(_Protheus_Cadastro!$H:$H,MATCH(B264,_Protheus_Cadastro!$A:$A,0)),"—")</f>
        <v/>
      </c>
      <c r="H264" s="210">
        <f>IFERROR(INDEX(_ZIG_Precos!$D:$D,MATCH(I264,_ZIG_Precos!$F:$F,0)),"—")</f>
        <v/>
      </c>
      <c r="I264" s="95">
        <f>IFERROR(VLOOKUP(B264,_Protheus_Cadastro!$A:$I,9,FALSE),"—")</f>
        <v/>
      </c>
      <c r="J264" s="93">
        <f>IFERROR(INDEX(_ZIG_Cadastro!$B:$B,MATCH(I264,_ZIG_Cadastro!$A:$A,0)),IFERROR(INDEX(_Entradas_ZIG!$B:$B,MATCH(I264,_Entradas_ZIG!$C:$C,0)),"—"))</f>
        <v/>
      </c>
      <c r="K264" s="93">
        <f>IFERROR(INDEX(_ZIG_Cadastro!$C:$C,MATCH(I264,_ZIG_Cadastro!$A:$A,0)),IFERROR(INDEX(_Entradas_ZIG!$D:$D,MATCH(I264,_Entradas_ZIG!$C:$C,0)),"—"))</f>
        <v/>
      </c>
      <c r="L264" s="92">
        <f>IF(I264="","Sem SKU ZIG",IF(I264="—","Sem SKU ZIG",IF(NOT(ISERROR(MATCH(I264,_ZIG_Cadastro!$A:$A,0))),IF(EXACT(UPPER(TRIM(C264)),UPPER(TRIM(INDEX(_ZIG_Cadastro!$B:$B,MATCH(I264,_ZIG_Cadastro!$A:$A,0))))),"OK","Atencao - Nome diverge"),IF(NOT(ISERROR(MATCH(I264,_Entradas_ZIG!$C:$C,0))),"OK","Erro - SKU nao encontrado"))))</f>
        <v/>
      </c>
      <c r="M264" s="92">
        <f>IFERROR(INDEX(_ZIG_Cadastro!$G:$G,MATCH(I264,_ZIG_Cadastro!$A:$A,0)),IF(NOT(ISERROR(MATCH(I264,_Entradas_ZIG!$C:$C,0))),"Ativo","—"))</f>
        <v/>
      </c>
      <c r="N264" s="94">
        <f>IFERROR(INDEX(_ZIG_Cadastro!$E:$E,MATCH(I264,_ZIG_Cadastro!$A:$A,0)),IFERROR(INDEX(_Entradas_ZIG!$F:$F,MATCH(I264,_Entradas_ZIG!$C:$C,0)),"—"))</f>
        <v/>
      </c>
      <c r="O264" s="92">
        <f>IF(AND(ISNUMBER(SEARCH("Espeto",N264)),ISNUMBER(SEARCH("Carin",N264))),"SIM","")</f>
        <v/>
      </c>
      <c r="P264" s="92">
        <f>IF(AND(ISNUMBER(SEARCH("Espeto",N264)),ISNUMBER(SEARCH("Lapa",N264))),"SIM","")</f>
        <v/>
      </c>
      <c r="Q264" s="92">
        <f>IF(AND(ISNUMBER(SEARCH("Espeto",N264)),ISNUMBER(SEARCH("Tatuapé",N264))),"SIM","")</f>
        <v/>
      </c>
      <c r="R264" s="92">
        <f>IF(AND(ISNUMBER(SEARCH("Espeto",N264)),ISNUMBER(SEARCH("Pavão",N264))),"SIM","")</f>
        <v/>
      </c>
      <c r="S264" s="92">
        <f>IF(AND(ISNUMBER(SEARCH("Espeto",N264)),ISNUMBER(SEARCH("Chac",N264))),"SIM","")</f>
        <v/>
      </c>
      <c r="T264" s="92">
        <f>IF(AND(ISNUMBER(SEARCH("Espeto",N264)),ISNUMBER(SEARCH("Madalena",N264))),"SIM","")</f>
        <v/>
      </c>
      <c r="U264" s="92">
        <f>IF(AND(ISNUMBER(SEARCH("Espeto",N264)),ISNUMBER(SEARCH("Mariana",N264))),"SIM","")</f>
        <v/>
      </c>
      <c r="V264" s="92">
        <f>IF(AND(ISNUMBER(SEARCH("Espeto",N264)),ISNUMBER(SEARCH("Perdizes",N264))),"SIM","")</f>
        <v/>
      </c>
      <c r="W264" s="92">
        <f>IF(AND(ISNUMBER(SEARCH("Espeto",N264)),ISNUMBER(SEARCH("Santana",N264))),"SIM","")</f>
        <v/>
      </c>
      <c r="X264" s="92">
        <f>IF(AND(ISNUMBER(SEARCH("Espeto",N264)),ISNUMBER(SEARCH("André",N264))),"SIM","")</f>
        <v/>
      </c>
      <c r="Y264" s="92">
        <f>IF(AND(ISNUMBER(SEARCH("Delivery",N264)),ISNUMBER(SEARCH("Carin",N264))),"SIM","")</f>
        <v/>
      </c>
      <c r="Z264" s="92">
        <f>IF(AND(ISNUMBER(SEARCH("Delivery",N264)),ISNUMBER(SEARCH("Lapa",N264))),"SIM","")</f>
        <v/>
      </c>
      <c r="AA264" s="92">
        <f>IF(AND(ISNUMBER(SEARCH("Delivery",N264)),ISNUMBER(SEARCH("Tatuapé",N264))),"SIM","")</f>
        <v/>
      </c>
      <c r="AB264" s="92">
        <f>IF(AND(ISNUMBER(SEARCH("Delivery",N264)),ISNUMBER(SEARCH("Pavão",N264))),"SIM","")</f>
        <v/>
      </c>
      <c r="AC264" s="92">
        <f>IF(AND(ISNUMBER(SEARCH("Delivery",N264)),ISNUMBER(SEARCH("Chac",N264))),"SIM","")</f>
        <v/>
      </c>
      <c r="AD264" s="92">
        <f>IF(AND(ISNUMBER(SEARCH("Delivery",N264)),ISNUMBER(SEARCH("Madalena",N264))),"SIM","")</f>
        <v/>
      </c>
      <c r="AE264" s="99">
        <f>IF(AND(ISNUMBER(SEARCH("Delivery",N264)),ISNUMBER(SEARCH("Mariana",N264))),"SIM","")</f>
        <v/>
      </c>
      <c r="AF264" s="99">
        <f>IF(AND(ISNUMBER(SEARCH("Delivery",N264)),ISNUMBER(SEARCH("Perdizes",N264))),"SIM","")</f>
        <v/>
      </c>
      <c r="AG264" s="99">
        <f>IF(AND(ISNUMBER(SEARCH("Delivery",N264)),ISNUMBER(SEARCH("Santana",N264))),"SIM","")</f>
        <v/>
      </c>
      <c r="AH264" s="99">
        <f>IF(AND(ISNUMBER(SEARCH("Delivery",N264)),ISNUMBER(SEARCH("André",N264))),"SIM","")</f>
        <v/>
      </c>
      <c r="AI264" s="99">
        <f>IF(ISNUMBER(SEARCH("Interlagos",N264)),"SIM","")</f>
        <v/>
      </c>
      <c r="AJ264" s="99">
        <f>IF(ISNUMBER(SEARCH("Quiosque",N264)),"SIM","")</f>
        <v/>
      </c>
      <c r="AK264" s="101" t="n"/>
    </row>
    <row r="265">
      <c r="A265" s="88" t="inlineStr">
        <is>
          <t>Protheus</t>
        </is>
      </c>
      <c r="B265" s="96" t="inlineStr">
        <is>
          <t>010085</t>
        </is>
      </c>
      <c r="C265" s="97">
        <f>IF(B265="—","—",IFERROR(VLOOKUP(B265,_Protheus_Cadastro!$A:$B,2,FALSE),"—"))</f>
        <v/>
      </c>
      <c r="D265" s="98">
        <f>IF(B265="—",IFERROR(INDEX(_ZIG_Cadastro!$D:$D,MATCH(H265,_ZIG_Cadastro!$A:$A,0)),"Produto"),IFERROR(VLOOKUP(B265,_Protheus_Cadastro!$A:$C,3,FALSE),"—"))</f>
        <v/>
      </c>
      <c r="E265" s="98">
        <f>IF(B265="—","—",IFERROR(VLOOKUP(B265,_Protheus_Cadastro!$A:$D,4,FALSE),"—"))</f>
        <v/>
      </c>
      <c r="F265" s="98">
        <f>IF(ISERROR(VLOOKUP(B265,'Estrutura Protheus'!A:A,1,FALSE)),"Não","Sim")</f>
        <v/>
      </c>
      <c r="G265" s="99">
        <f>IFERROR(INDEX(_Protheus_Cadastro!$H:$H,MATCH(B265,_Protheus_Cadastro!$A:$A,0)),"—")</f>
        <v/>
      </c>
      <c r="H265" s="211">
        <f>IFERROR(INDEX(_ZIG_Precos!$D:$D,MATCH(I265,_ZIG_Precos!$F:$F,0)),"—")</f>
        <v/>
      </c>
      <c r="I265" s="103">
        <f>IFERROR(VLOOKUP(B265,_Protheus_Cadastro!$A:$I,9,FALSE),"—")</f>
        <v/>
      </c>
      <c r="J265" s="101">
        <f>IFERROR(INDEX(_ZIG_Cadastro!$B:$B,MATCH(I265,_ZIG_Cadastro!$A:$A,0)),IFERROR(INDEX(_Entradas_ZIG!$B:$B,MATCH(I265,_Entradas_ZIG!$C:$C,0)),"—"))</f>
        <v/>
      </c>
      <c r="K265" s="101">
        <f>IFERROR(INDEX(_ZIG_Cadastro!$C:$C,MATCH(I265,_ZIG_Cadastro!$A:$A,0)),IFERROR(INDEX(_Entradas_ZIG!$D:$D,MATCH(I265,_Entradas_ZIG!$C:$C,0)),"—"))</f>
        <v/>
      </c>
      <c r="L265" s="99">
        <f>IF(I265="","Sem SKU ZIG",IF(I265="—","Sem SKU ZIG",IF(NOT(ISERROR(MATCH(I265,_ZIG_Cadastro!$A:$A,0))),IF(EXACT(UPPER(TRIM(C265)),UPPER(TRIM(INDEX(_ZIG_Cadastro!$B:$B,MATCH(I265,_ZIG_Cadastro!$A:$A,0))))),"OK","Atencao - Nome diverge"),IF(NOT(ISERROR(MATCH(I265,_Entradas_ZIG!$C:$C,0))),"OK","Erro - SKU nao encontrado"))))</f>
        <v/>
      </c>
      <c r="M265" s="99">
        <f>IFERROR(INDEX(_ZIG_Cadastro!$G:$G,MATCH(I265,_ZIG_Cadastro!$A:$A,0)),IF(NOT(ISERROR(MATCH(I265,_Entradas_ZIG!$C:$C,0))),"Ativo","—"))</f>
        <v/>
      </c>
      <c r="N265" s="102">
        <f>IFERROR(INDEX(_ZIG_Cadastro!$E:$E,MATCH(I265,_ZIG_Cadastro!$A:$A,0)),IFERROR(INDEX(_Entradas_ZIG!$F:$F,MATCH(I265,_Entradas_ZIG!$C:$C,0)),"—"))</f>
        <v/>
      </c>
      <c r="O265" s="99">
        <f>IF(AND(ISNUMBER(SEARCH("Espeto",N265)),ISNUMBER(SEARCH("Carin",N265))),"SIM","")</f>
        <v/>
      </c>
      <c r="P265" s="99">
        <f>IF(AND(ISNUMBER(SEARCH("Espeto",N265)),ISNUMBER(SEARCH("Lapa",N265))),"SIM","")</f>
        <v/>
      </c>
      <c r="Q265" s="99">
        <f>IF(AND(ISNUMBER(SEARCH("Espeto",N265)),ISNUMBER(SEARCH("Tatuapé",N265))),"SIM","")</f>
        <v/>
      </c>
      <c r="R265" s="99">
        <f>IF(AND(ISNUMBER(SEARCH("Espeto",N265)),ISNUMBER(SEARCH("Pavão",N265))),"SIM","")</f>
        <v/>
      </c>
      <c r="S265" s="99">
        <f>IF(AND(ISNUMBER(SEARCH("Espeto",N265)),ISNUMBER(SEARCH("Chac",N265))),"SIM","")</f>
        <v/>
      </c>
      <c r="T265" s="99">
        <f>IF(AND(ISNUMBER(SEARCH("Espeto",N265)),ISNUMBER(SEARCH("Madalena",N265))),"SIM","")</f>
        <v/>
      </c>
      <c r="U265" s="99">
        <f>IF(AND(ISNUMBER(SEARCH("Espeto",N265)),ISNUMBER(SEARCH("Mariana",N265))),"SIM","")</f>
        <v/>
      </c>
      <c r="V265" s="99">
        <f>IF(AND(ISNUMBER(SEARCH("Espeto",N265)),ISNUMBER(SEARCH("Perdizes",N265))),"SIM","")</f>
        <v/>
      </c>
      <c r="W265" s="99">
        <f>IF(AND(ISNUMBER(SEARCH("Espeto",N265)),ISNUMBER(SEARCH("Santana",N265))),"SIM","")</f>
        <v/>
      </c>
      <c r="X265" s="99">
        <f>IF(AND(ISNUMBER(SEARCH("Espeto",N265)),ISNUMBER(SEARCH("André",N265))),"SIM","")</f>
        <v/>
      </c>
      <c r="Y265" s="99">
        <f>IF(AND(ISNUMBER(SEARCH("Delivery",N265)),ISNUMBER(SEARCH("Carin",N265))),"SIM","")</f>
        <v/>
      </c>
      <c r="Z265" s="99">
        <f>IF(AND(ISNUMBER(SEARCH("Delivery",N265)),ISNUMBER(SEARCH("Lapa",N265))),"SIM","")</f>
        <v/>
      </c>
      <c r="AA265" s="99">
        <f>IF(AND(ISNUMBER(SEARCH("Delivery",N265)),ISNUMBER(SEARCH("Tatuapé",N265))),"SIM","")</f>
        <v/>
      </c>
      <c r="AB265" s="99">
        <f>IF(AND(ISNUMBER(SEARCH("Delivery",N265)),ISNUMBER(SEARCH("Pavão",N265))),"SIM","")</f>
        <v/>
      </c>
      <c r="AC265" s="99">
        <f>IF(AND(ISNUMBER(SEARCH("Delivery",N265)),ISNUMBER(SEARCH("Chac",N265))),"SIM","")</f>
        <v/>
      </c>
      <c r="AD265" s="99">
        <f>IF(AND(ISNUMBER(SEARCH("Delivery",N265)),ISNUMBER(SEARCH("Madalena",N265))),"SIM","")</f>
        <v/>
      </c>
      <c r="AE265" s="92">
        <f>IF(AND(ISNUMBER(SEARCH("Delivery",N265)),ISNUMBER(SEARCH("Mariana",N265))),"SIM","")</f>
        <v/>
      </c>
      <c r="AF265" s="92">
        <f>IF(AND(ISNUMBER(SEARCH("Delivery",N265)),ISNUMBER(SEARCH("Perdizes",N265))),"SIM","")</f>
        <v/>
      </c>
      <c r="AG265" s="92">
        <f>IF(AND(ISNUMBER(SEARCH("Delivery",N265)),ISNUMBER(SEARCH("Santana",N265))),"SIM","")</f>
        <v/>
      </c>
      <c r="AH265" s="92">
        <f>IF(AND(ISNUMBER(SEARCH("Delivery",N265)),ISNUMBER(SEARCH("André",N265))),"SIM","")</f>
        <v/>
      </c>
      <c r="AI265" s="92">
        <f>IF(ISNUMBER(SEARCH("Interlagos",N265)),"SIM","")</f>
        <v/>
      </c>
      <c r="AJ265" s="92">
        <f>IF(ISNUMBER(SEARCH("Quiosque",N265)),"SIM","")</f>
        <v/>
      </c>
      <c r="AK265" s="93" t="n"/>
    </row>
    <row r="266">
      <c r="A266" s="88" t="inlineStr">
        <is>
          <t>Protheus</t>
        </is>
      </c>
      <c r="B266" s="89" t="inlineStr">
        <is>
          <t>010066</t>
        </is>
      </c>
      <c r="C266" s="90">
        <f>IF(B266="—","—",IFERROR(VLOOKUP(B266,_Protheus_Cadastro!$A:$B,2,FALSE),"—"))</f>
        <v/>
      </c>
      <c r="D266" s="91">
        <f>IF(B266="—",IFERROR(INDEX(_ZIG_Cadastro!$D:$D,MATCH(H266,_ZIG_Cadastro!$A:$A,0)),"Produto"),IFERROR(VLOOKUP(B266,_Protheus_Cadastro!$A:$C,3,FALSE),"—"))</f>
        <v/>
      </c>
      <c r="E266" s="91">
        <f>IF(B266="—","—",IFERROR(VLOOKUP(B266,_Protheus_Cadastro!$A:$D,4,FALSE),"—"))</f>
        <v/>
      </c>
      <c r="F266" s="91">
        <f>IF(ISERROR(VLOOKUP(B266,'Estrutura Protheus'!A:A,1,FALSE)),"Não","Sim")</f>
        <v/>
      </c>
      <c r="G266" s="92">
        <f>IFERROR(INDEX(_Protheus_Cadastro!$H:$H,MATCH(B266,_Protheus_Cadastro!$A:$A,0)),"—")</f>
        <v/>
      </c>
      <c r="H266" s="210">
        <f>IFERROR(INDEX(_ZIG_Precos!$D:$D,MATCH(I266,_ZIG_Precos!$F:$F,0)),"—")</f>
        <v/>
      </c>
      <c r="I266" s="95">
        <f>IFERROR(VLOOKUP(B266,_Protheus_Cadastro!$A:$I,9,FALSE),"—")</f>
        <v/>
      </c>
      <c r="J266" s="93">
        <f>IFERROR(INDEX(_ZIG_Cadastro!$B:$B,MATCH(I266,_ZIG_Cadastro!$A:$A,0)),IFERROR(INDEX(_Entradas_ZIG!$B:$B,MATCH(I266,_Entradas_ZIG!$C:$C,0)),"—"))</f>
        <v/>
      </c>
      <c r="K266" s="93">
        <f>IFERROR(INDEX(_ZIG_Cadastro!$C:$C,MATCH(I266,_ZIG_Cadastro!$A:$A,0)),IFERROR(INDEX(_Entradas_ZIG!$D:$D,MATCH(I266,_Entradas_ZIG!$C:$C,0)),"—"))</f>
        <v/>
      </c>
      <c r="L266" s="92">
        <f>IF(I266="","Sem SKU ZIG",IF(I266="—","Sem SKU ZIG",IF(NOT(ISERROR(MATCH(I266,_ZIG_Cadastro!$A:$A,0))),IF(EXACT(UPPER(TRIM(C266)),UPPER(TRIM(INDEX(_ZIG_Cadastro!$B:$B,MATCH(I266,_ZIG_Cadastro!$A:$A,0))))),"OK","Atencao - Nome diverge"),IF(NOT(ISERROR(MATCH(I266,_Entradas_ZIG!$C:$C,0))),"OK","Erro - SKU nao encontrado"))))</f>
        <v/>
      </c>
      <c r="M266" s="92">
        <f>IFERROR(INDEX(_ZIG_Cadastro!$G:$G,MATCH(I266,_ZIG_Cadastro!$A:$A,0)),IF(NOT(ISERROR(MATCH(I266,_Entradas_ZIG!$C:$C,0))),"Ativo","—"))</f>
        <v/>
      </c>
      <c r="N266" s="94">
        <f>IFERROR(INDEX(_ZIG_Cadastro!$E:$E,MATCH(I266,_ZIG_Cadastro!$A:$A,0)),IFERROR(INDEX(_Entradas_ZIG!$F:$F,MATCH(I266,_Entradas_ZIG!$C:$C,0)),"—"))</f>
        <v/>
      </c>
      <c r="O266" s="92">
        <f>IF(AND(ISNUMBER(SEARCH("Espeto",N266)),ISNUMBER(SEARCH("Carin",N266))),"SIM","")</f>
        <v/>
      </c>
      <c r="P266" s="92">
        <f>IF(AND(ISNUMBER(SEARCH("Espeto",N266)),ISNUMBER(SEARCH("Lapa",N266))),"SIM","")</f>
        <v/>
      </c>
      <c r="Q266" s="92">
        <f>IF(AND(ISNUMBER(SEARCH("Espeto",N266)),ISNUMBER(SEARCH("Tatuapé",N266))),"SIM","")</f>
        <v/>
      </c>
      <c r="R266" s="92">
        <f>IF(AND(ISNUMBER(SEARCH("Espeto",N266)),ISNUMBER(SEARCH("Pavão",N266))),"SIM","")</f>
        <v/>
      </c>
      <c r="S266" s="92">
        <f>IF(AND(ISNUMBER(SEARCH("Espeto",N266)),ISNUMBER(SEARCH("Chac",N266))),"SIM","")</f>
        <v/>
      </c>
      <c r="T266" s="92">
        <f>IF(AND(ISNUMBER(SEARCH("Espeto",N266)),ISNUMBER(SEARCH("Madalena",N266))),"SIM","")</f>
        <v/>
      </c>
      <c r="U266" s="92">
        <f>IF(AND(ISNUMBER(SEARCH("Espeto",N266)),ISNUMBER(SEARCH("Mariana",N266))),"SIM","")</f>
        <v/>
      </c>
      <c r="V266" s="92">
        <f>IF(AND(ISNUMBER(SEARCH("Espeto",N266)),ISNUMBER(SEARCH("Perdizes",N266))),"SIM","")</f>
        <v/>
      </c>
      <c r="W266" s="92">
        <f>IF(AND(ISNUMBER(SEARCH("Espeto",N266)),ISNUMBER(SEARCH("Santana",N266))),"SIM","")</f>
        <v/>
      </c>
      <c r="X266" s="92">
        <f>IF(AND(ISNUMBER(SEARCH("Espeto",N266)),ISNUMBER(SEARCH("André",N266))),"SIM","")</f>
        <v/>
      </c>
      <c r="Y266" s="92">
        <f>IF(AND(ISNUMBER(SEARCH("Delivery",N266)),ISNUMBER(SEARCH("Carin",N266))),"SIM","")</f>
        <v/>
      </c>
      <c r="Z266" s="92">
        <f>IF(AND(ISNUMBER(SEARCH("Delivery",N266)),ISNUMBER(SEARCH("Lapa",N266))),"SIM","")</f>
        <v/>
      </c>
      <c r="AA266" s="92">
        <f>IF(AND(ISNUMBER(SEARCH("Delivery",N266)),ISNUMBER(SEARCH("Tatuapé",N266))),"SIM","")</f>
        <v/>
      </c>
      <c r="AB266" s="92">
        <f>IF(AND(ISNUMBER(SEARCH("Delivery",N266)),ISNUMBER(SEARCH("Pavão",N266))),"SIM","")</f>
        <v/>
      </c>
      <c r="AC266" s="92">
        <f>IF(AND(ISNUMBER(SEARCH("Delivery",N266)),ISNUMBER(SEARCH("Chac",N266))),"SIM","")</f>
        <v/>
      </c>
      <c r="AD266" s="92">
        <f>IF(AND(ISNUMBER(SEARCH("Delivery",N266)),ISNUMBER(SEARCH("Madalena",N266))),"SIM","")</f>
        <v/>
      </c>
      <c r="AE266" s="99">
        <f>IF(AND(ISNUMBER(SEARCH("Delivery",N266)),ISNUMBER(SEARCH("Mariana",N266))),"SIM","")</f>
        <v/>
      </c>
      <c r="AF266" s="99">
        <f>IF(AND(ISNUMBER(SEARCH("Delivery",N266)),ISNUMBER(SEARCH("Perdizes",N266))),"SIM","")</f>
        <v/>
      </c>
      <c r="AG266" s="99">
        <f>IF(AND(ISNUMBER(SEARCH("Delivery",N266)),ISNUMBER(SEARCH("Santana",N266))),"SIM","")</f>
        <v/>
      </c>
      <c r="AH266" s="99">
        <f>IF(AND(ISNUMBER(SEARCH("Delivery",N266)),ISNUMBER(SEARCH("André",N266))),"SIM","")</f>
        <v/>
      </c>
      <c r="AI266" s="99">
        <f>IF(ISNUMBER(SEARCH("Interlagos",N266)),"SIM","")</f>
        <v/>
      </c>
      <c r="AJ266" s="99">
        <f>IF(ISNUMBER(SEARCH("Quiosque",N266)),"SIM","")</f>
        <v/>
      </c>
      <c r="AK266" s="101" t="n"/>
    </row>
    <row r="267">
      <c r="A267" s="88" t="inlineStr">
        <is>
          <t>Protheus</t>
        </is>
      </c>
      <c r="B267" s="96" t="inlineStr">
        <is>
          <t>010078</t>
        </is>
      </c>
      <c r="C267" s="97">
        <f>IF(B267="—","—",IFERROR(VLOOKUP(B267,_Protheus_Cadastro!$A:$B,2,FALSE),"—"))</f>
        <v/>
      </c>
      <c r="D267" s="98">
        <f>IF(B267="—",IFERROR(INDEX(_ZIG_Cadastro!$D:$D,MATCH(H267,_ZIG_Cadastro!$A:$A,0)),"Produto"),IFERROR(VLOOKUP(B267,_Protheus_Cadastro!$A:$C,3,FALSE),"—"))</f>
        <v/>
      </c>
      <c r="E267" s="98">
        <f>IF(B267="—","—",IFERROR(VLOOKUP(B267,_Protheus_Cadastro!$A:$D,4,FALSE),"—"))</f>
        <v/>
      </c>
      <c r="F267" s="98">
        <f>IF(ISERROR(VLOOKUP(B267,'Estrutura Protheus'!A:A,1,FALSE)),"Não","Sim")</f>
        <v/>
      </c>
      <c r="G267" s="99">
        <f>IFERROR(INDEX(_Protheus_Cadastro!$H:$H,MATCH(B267,_Protheus_Cadastro!$A:$A,0)),"—")</f>
        <v/>
      </c>
      <c r="H267" s="211">
        <f>IFERROR(INDEX(_ZIG_Precos!$D:$D,MATCH(I267,_ZIG_Precos!$F:$F,0)),"—")</f>
        <v/>
      </c>
      <c r="I267" s="103">
        <f>IFERROR(VLOOKUP(B267,_Protheus_Cadastro!$A:$I,9,FALSE),"—")</f>
        <v/>
      </c>
      <c r="J267" s="101">
        <f>IFERROR(INDEX(_ZIG_Cadastro!$B:$B,MATCH(I267,_ZIG_Cadastro!$A:$A,0)),IFERROR(INDEX(_Entradas_ZIG!$B:$B,MATCH(I267,_Entradas_ZIG!$C:$C,0)),"—"))</f>
        <v/>
      </c>
      <c r="K267" s="101">
        <f>IFERROR(INDEX(_ZIG_Cadastro!$C:$C,MATCH(I267,_ZIG_Cadastro!$A:$A,0)),IFERROR(INDEX(_Entradas_ZIG!$D:$D,MATCH(I267,_Entradas_ZIG!$C:$C,0)),"—"))</f>
        <v/>
      </c>
      <c r="L267" s="99">
        <f>IF(I267="","Sem SKU ZIG",IF(I267="—","Sem SKU ZIG",IF(NOT(ISERROR(MATCH(I267,_ZIG_Cadastro!$A:$A,0))),IF(EXACT(UPPER(TRIM(C267)),UPPER(TRIM(INDEX(_ZIG_Cadastro!$B:$B,MATCH(I267,_ZIG_Cadastro!$A:$A,0))))),"OK","Atencao - Nome diverge"),IF(NOT(ISERROR(MATCH(I267,_Entradas_ZIG!$C:$C,0))),"OK","Erro - SKU nao encontrado"))))</f>
        <v/>
      </c>
      <c r="M267" s="99">
        <f>IFERROR(INDEX(_ZIG_Cadastro!$G:$G,MATCH(I267,_ZIG_Cadastro!$A:$A,0)),IF(NOT(ISERROR(MATCH(I267,_Entradas_ZIG!$C:$C,0))),"Ativo","—"))</f>
        <v/>
      </c>
      <c r="N267" s="102">
        <f>IFERROR(INDEX(_ZIG_Cadastro!$E:$E,MATCH(I267,_ZIG_Cadastro!$A:$A,0)),IFERROR(INDEX(_Entradas_ZIG!$F:$F,MATCH(I267,_Entradas_ZIG!$C:$C,0)),"—"))</f>
        <v/>
      </c>
      <c r="O267" s="99">
        <f>IF(AND(ISNUMBER(SEARCH("Espeto",N267)),ISNUMBER(SEARCH("Carin",N267))),"SIM","")</f>
        <v/>
      </c>
      <c r="P267" s="99">
        <f>IF(AND(ISNUMBER(SEARCH("Espeto",N267)),ISNUMBER(SEARCH("Lapa",N267))),"SIM","")</f>
        <v/>
      </c>
      <c r="Q267" s="99">
        <f>IF(AND(ISNUMBER(SEARCH("Espeto",N267)),ISNUMBER(SEARCH("Tatuapé",N267))),"SIM","")</f>
        <v/>
      </c>
      <c r="R267" s="99">
        <f>IF(AND(ISNUMBER(SEARCH("Espeto",N267)),ISNUMBER(SEARCH("Pavão",N267))),"SIM","")</f>
        <v/>
      </c>
      <c r="S267" s="99">
        <f>IF(AND(ISNUMBER(SEARCH("Espeto",N267)),ISNUMBER(SEARCH("Chac",N267))),"SIM","")</f>
        <v/>
      </c>
      <c r="T267" s="99">
        <f>IF(AND(ISNUMBER(SEARCH("Espeto",N267)),ISNUMBER(SEARCH("Madalena",N267))),"SIM","")</f>
        <v/>
      </c>
      <c r="U267" s="99">
        <f>IF(AND(ISNUMBER(SEARCH("Espeto",N267)),ISNUMBER(SEARCH("Mariana",N267))),"SIM","")</f>
        <v/>
      </c>
      <c r="V267" s="99">
        <f>IF(AND(ISNUMBER(SEARCH("Espeto",N267)),ISNUMBER(SEARCH("Perdizes",N267))),"SIM","")</f>
        <v/>
      </c>
      <c r="W267" s="99">
        <f>IF(AND(ISNUMBER(SEARCH("Espeto",N267)),ISNUMBER(SEARCH("Santana",N267))),"SIM","")</f>
        <v/>
      </c>
      <c r="X267" s="99">
        <f>IF(AND(ISNUMBER(SEARCH("Espeto",N267)),ISNUMBER(SEARCH("André",N267))),"SIM","")</f>
        <v/>
      </c>
      <c r="Y267" s="99">
        <f>IF(AND(ISNUMBER(SEARCH("Delivery",N267)),ISNUMBER(SEARCH("Carin",N267))),"SIM","")</f>
        <v/>
      </c>
      <c r="Z267" s="99">
        <f>IF(AND(ISNUMBER(SEARCH("Delivery",N267)),ISNUMBER(SEARCH("Lapa",N267))),"SIM","")</f>
        <v/>
      </c>
      <c r="AA267" s="99">
        <f>IF(AND(ISNUMBER(SEARCH("Delivery",N267)),ISNUMBER(SEARCH("Tatuapé",N267))),"SIM","")</f>
        <v/>
      </c>
      <c r="AB267" s="99">
        <f>IF(AND(ISNUMBER(SEARCH("Delivery",N267)),ISNUMBER(SEARCH("Pavão",N267))),"SIM","")</f>
        <v/>
      </c>
      <c r="AC267" s="99">
        <f>IF(AND(ISNUMBER(SEARCH("Delivery",N267)),ISNUMBER(SEARCH("Chac",N267))),"SIM","")</f>
        <v/>
      </c>
      <c r="AD267" s="99">
        <f>IF(AND(ISNUMBER(SEARCH("Delivery",N267)),ISNUMBER(SEARCH("Madalena",N267))),"SIM","")</f>
        <v/>
      </c>
      <c r="AE267" s="92">
        <f>IF(AND(ISNUMBER(SEARCH("Delivery",N267)),ISNUMBER(SEARCH("Mariana",N267))),"SIM","")</f>
        <v/>
      </c>
      <c r="AF267" s="92">
        <f>IF(AND(ISNUMBER(SEARCH("Delivery",N267)),ISNUMBER(SEARCH("Perdizes",N267))),"SIM","")</f>
        <v/>
      </c>
      <c r="AG267" s="92">
        <f>IF(AND(ISNUMBER(SEARCH("Delivery",N267)),ISNUMBER(SEARCH("Santana",N267))),"SIM","")</f>
        <v/>
      </c>
      <c r="AH267" s="92">
        <f>IF(AND(ISNUMBER(SEARCH("Delivery",N267)),ISNUMBER(SEARCH("André",N267))),"SIM","")</f>
        <v/>
      </c>
      <c r="AI267" s="92">
        <f>IF(ISNUMBER(SEARCH("Interlagos",N267)),"SIM","")</f>
        <v/>
      </c>
      <c r="AJ267" s="92">
        <f>IF(ISNUMBER(SEARCH("Quiosque",N267)),"SIM","")</f>
        <v/>
      </c>
      <c r="AK267" s="93" t="n"/>
    </row>
    <row r="268">
      <c r="A268" s="88" t="inlineStr">
        <is>
          <t>Protheus</t>
        </is>
      </c>
      <c r="B268" s="89" t="inlineStr">
        <is>
          <t>001770</t>
        </is>
      </c>
      <c r="C268" s="90">
        <f>IF(B268="—","—",IFERROR(VLOOKUP(B268,_Protheus_Cadastro!$A:$B,2,FALSE),"—"))</f>
        <v/>
      </c>
      <c r="D268" s="91">
        <f>IF(B268="—",IFERROR(INDEX(_ZIG_Cadastro!$D:$D,MATCH(H268,_ZIG_Cadastro!$A:$A,0)),"Produto"),IFERROR(VLOOKUP(B268,_Protheus_Cadastro!$A:$C,3,FALSE),"—"))</f>
        <v/>
      </c>
      <c r="E268" s="91">
        <f>IF(B268="—","—",IFERROR(VLOOKUP(B268,_Protheus_Cadastro!$A:$D,4,FALSE),"—"))</f>
        <v/>
      </c>
      <c r="F268" s="91">
        <f>IF(ISERROR(VLOOKUP(B268,'Estrutura Protheus'!A:A,1,FALSE)),"Não","Sim")</f>
        <v/>
      </c>
      <c r="G268" s="92">
        <f>IFERROR(INDEX(_Protheus_Cadastro!$H:$H,MATCH(B268,_Protheus_Cadastro!$A:$A,0)),"—")</f>
        <v/>
      </c>
      <c r="H268" s="210">
        <f>IFERROR(INDEX(_ZIG_Precos!$D:$D,MATCH(I268,_ZIG_Precos!$F:$F,0)),"—")</f>
        <v/>
      </c>
      <c r="I268" s="95">
        <f>IFERROR(VLOOKUP(B268,_Protheus_Cadastro!$A:$I,9,FALSE),"—")</f>
        <v/>
      </c>
      <c r="J268" s="93">
        <f>IFERROR(INDEX(_ZIG_Cadastro!$B:$B,MATCH(I268,_ZIG_Cadastro!$A:$A,0)),IFERROR(INDEX(_Entradas_ZIG!$B:$B,MATCH(I268,_Entradas_ZIG!$C:$C,0)),"—"))</f>
        <v/>
      </c>
      <c r="K268" s="93">
        <f>IFERROR(INDEX(_ZIG_Cadastro!$C:$C,MATCH(I268,_ZIG_Cadastro!$A:$A,0)),IFERROR(INDEX(_Entradas_ZIG!$D:$D,MATCH(I268,_Entradas_ZIG!$C:$C,0)),"—"))</f>
        <v/>
      </c>
      <c r="L268" s="92">
        <f>IF(I268="","Sem SKU ZIG",IF(I268="—","Sem SKU ZIG",IF(NOT(ISERROR(MATCH(I268,_ZIG_Cadastro!$A:$A,0))),IF(EXACT(UPPER(TRIM(C268)),UPPER(TRIM(INDEX(_ZIG_Cadastro!$B:$B,MATCH(I268,_ZIG_Cadastro!$A:$A,0))))),"OK","Atencao - Nome diverge"),IF(NOT(ISERROR(MATCH(I268,_Entradas_ZIG!$C:$C,0))),"OK","Erro - SKU nao encontrado"))))</f>
        <v/>
      </c>
      <c r="M268" s="92">
        <f>IFERROR(INDEX(_ZIG_Cadastro!$G:$G,MATCH(I268,_ZIG_Cadastro!$A:$A,0)),IF(NOT(ISERROR(MATCH(I268,_Entradas_ZIG!$C:$C,0))),"Ativo","—"))</f>
        <v/>
      </c>
      <c r="N268" s="94">
        <f>IFERROR(INDEX(_ZIG_Cadastro!$E:$E,MATCH(I268,_ZIG_Cadastro!$A:$A,0)),IFERROR(INDEX(_Entradas_ZIG!$F:$F,MATCH(I268,_Entradas_ZIG!$C:$C,0)),"—"))</f>
        <v/>
      </c>
      <c r="O268" s="92">
        <f>IF(AND(ISNUMBER(SEARCH("Espeto",N268)),ISNUMBER(SEARCH("Carin",N268))),"SIM","")</f>
        <v/>
      </c>
      <c r="P268" s="92">
        <f>IF(AND(ISNUMBER(SEARCH("Espeto",N268)),ISNUMBER(SEARCH("Lapa",N268))),"SIM","")</f>
        <v/>
      </c>
      <c r="Q268" s="92">
        <f>IF(AND(ISNUMBER(SEARCH("Espeto",N268)),ISNUMBER(SEARCH("Tatuapé",N268))),"SIM","")</f>
        <v/>
      </c>
      <c r="R268" s="92">
        <f>IF(AND(ISNUMBER(SEARCH("Espeto",N268)),ISNUMBER(SEARCH("Pavão",N268))),"SIM","")</f>
        <v/>
      </c>
      <c r="S268" s="92">
        <f>IF(AND(ISNUMBER(SEARCH("Espeto",N268)),ISNUMBER(SEARCH("Chac",N268))),"SIM","")</f>
        <v/>
      </c>
      <c r="T268" s="92">
        <f>IF(AND(ISNUMBER(SEARCH("Espeto",N268)),ISNUMBER(SEARCH("Madalena",N268))),"SIM","")</f>
        <v/>
      </c>
      <c r="U268" s="92">
        <f>IF(AND(ISNUMBER(SEARCH("Espeto",N268)),ISNUMBER(SEARCH("Mariana",N268))),"SIM","")</f>
        <v/>
      </c>
      <c r="V268" s="92">
        <f>IF(AND(ISNUMBER(SEARCH("Espeto",N268)),ISNUMBER(SEARCH("Perdizes",N268))),"SIM","")</f>
        <v/>
      </c>
      <c r="W268" s="92">
        <f>IF(AND(ISNUMBER(SEARCH("Espeto",N268)),ISNUMBER(SEARCH("Santana",N268))),"SIM","")</f>
        <v/>
      </c>
      <c r="X268" s="92">
        <f>IF(AND(ISNUMBER(SEARCH("Espeto",N268)),ISNUMBER(SEARCH("André",N268))),"SIM","")</f>
        <v/>
      </c>
      <c r="Y268" s="92">
        <f>IF(AND(ISNUMBER(SEARCH("Delivery",N268)),ISNUMBER(SEARCH("Carin",N268))),"SIM","")</f>
        <v/>
      </c>
      <c r="Z268" s="92">
        <f>IF(AND(ISNUMBER(SEARCH("Delivery",N268)),ISNUMBER(SEARCH("Lapa",N268))),"SIM","")</f>
        <v/>
      </c>
      <c r="AA268" s="92">
        <f>IF(AND(ISNUMBER(SEARCH("Delivery",N268)),ISNUMBER(SEARCH("Tatuapé",N268))),"SIM","")</f>
        <v/>
      </c>
      <c r="AB268" s="92">
        <f>IF(AND(ISNUMBER(SEARCH("Delivery",N268)),ISNUMBER(SEARCH("Pavão",N268))),"SIM","")</f>
        <v/>
      </c>
      <c r="AC268" s="92">
        <f>IF(AND(ISNUMBER(SEARCH("Delivery",N268)),ISNUMBER(SEARCH("Chac",N268))),"SIM","")</f>
        <v/>
      </c>
      <c r="AD268" s="92">
        <f>IF(AND(ISNUMBER(SEARCH("Delivery",N268)),ISNUMBER(SEARCH("Madalena",N268))),"SIM","")</f>
        <v/>
      </c>
      <c r="AE268" s="99">
        <f>IF(AND(ISNUMBER(SEARCH("Delivery",N268)),ISNUMBER(SEARCH("Mariana",N268))),"SIM","")</f>
        <v/>
      </c>
      <c r="AF268" s="99">
        <f>IF(AND(ISNUMBER(SEARCH("Delivery",N268)),ISNUMBER(SEARCH("Perdizes",N268))),"SIM","")</f>
        <v/>
      </c>
      <c r="AG268" s="99">
        <f>IF(AND(ISNUMBER(SEARCH("Delivery",N268)),ISNUMBER(SEARCH("Santana",N268))),"SIM","")</f>
        <v/>
      </c>
      <c r="AH268" s="99">
        <f>IF(AND(ISNUMBER(SEARCH("Delivery",N268)),ISNUMBER(SEARCH("André",N268))),"SIM","")</f>
        <v/>
      </c>
      <c r="AI268" s="99">
        <f>IF(ISNUMBER(SEARCH("Interlagos",N268)),"SIM","")</f>
        <v/>
      </c>
      <c r="AJ268" s="99">
        <f>IF(ISNUMBER(SEARCH("Quiosque",N268)),"SIM","")</f>
        <v/>
      </c>
      <c r="AK268" s="101" t="n"/>
    </row>
    <row r="269">
      <c r="A269" s="88" t="inlineStr">
        <is>
          <t>Protheus</t>
        </is>
      </c>
      <c r="B269" s="96" t="inlineStr">
        <is>
          <t>009988</t>
        </is>
      </c>
      <c r="C269" s="97">
        <f>IF(B269="—","—",IFERROR(VLOOKUP(B269,_Protheus_Cadastro!$A:$B,2,FALSE),"—"))</f>
        <v/>
      </c>
      <c r="D269" s="98">
        <f>IF(B269="—",IFERROR(INDEX(_ZIG_Cadastro!$D:$D,MATCH(H269,_ZIG_Cadastro!$A:$A,0)),"Produto"),IFERROR(VLOOKUP(B269,_Protheus_Cadastro!$A:$C,3,FALSE),"—"))</f>
        <v/>
      </c>
      <c r="E269" s="98">
        <f>IF(B269="—","—",IFERROR(VLOOKUP(B269,_Protheus_Cadastro!$A:$D,4,FALSE),"—"))</f>
        <v/>
      </c>
      <c r="F269" s="98">
        <f>IF(ISERROR(VLOOKUP(B269,'Estrutura Protheus'!A:A,1,FALSE)),"Não","Sim")</f>
        <v/>
      </c>
      <c r="G269" s="99">
        <f>IFERROR(INDEX(_Protheus_Cadastro!$H:$H,MATCH(B269,_Protheus_Cadastro!$A:$A,0)),"—")</f>
        <v/>
      </c>
      <c r="H269" s="211">
        <f>IFERROR(INDEX(_ZIG_Precos!$D:$D,MATCH(I269,_ZIG_Precos!$F:$F,0)),"—")</f>
        <v/>
      </c>
      <c r="I269" s="103">
        <f>IFERROR(VLOOKUP(B269,_Protheus_Cadastro!$A:$I,9,FALSE),"—")</f>
        <v/>
      </c>
      <c r="J269" s="101">
        <f>IFERROR(INDEX(_ZIG_Cadastro!$B:$B,MATCH(I269,_ZIG_Cadastro!$A:$A,0)),IFERROR(INDEX(_Entradas_ZIG!$B:$B,MATCH(I269,_Entradas_ZIG!$C:$C,0)),"—"))</f>
        <v/>
      </c>
      <c r="K269" s="101">
        <f>IFERROR(INDEX(_ZIG_Cadastro!$C:$C,MATCH(I269,_ZIG_Cadastro!$A:$A,0)),IFERROR(INDEX(_Entradas_ZIG!$D:$D,MATCH(I269,_Entradas_ZIG!$C:$C,0)),"—"))</f>
        <v/>
      </c>
      <c r="L269" s="99">
        <f>IF(I269="","Sem SKU ZIG",IF(I269="—","Sem SKU ZIG",IF(NOT(ISERROR(MATCH(I269,_ZIG_Cadastro!$A:$A,0))),IF(EXACT(UPPER(TRIM(C269)),UPPER(TRIM(INDEX(_ZIG_Cadastro!$B:$B,MATCH(I269,_ZIG_Cadastro!$A:$A,0))))),"OK","Atencao - Nome diverge"),IF(NOT(ISERROR(MATCH(I269,_Entradas_ZIG!$C:$C,0))),"OK","Erro - SKU nao encontrado"))))</f>
        <v/>
      </c>
      <c r="M269" s="99">
        <f>IFERROR(INDEX(_ZIG_Cadastro!$G:$G,MATCH(I269,_ZIG_Cadastro!$A:$A,0)),IF(NOT(ISERROR(MATCH(I269,_Entradas_ZIG!$C:$C,0))),"Ativo","—"))</f>
        <v/>
      </c>
      <c r="N269" s="102">
        <f>IFERROR(INDEX(_ZIG_Cadastro!$E:$E,MATCH(I269,_ZIG_Cadastro!$A:$A,0)),IFERROR(INDEX(_Entradas_ZIG!$F:$F,MATCH(I269,_Entradas_ZIG!$C:$C,0)),"—"))</f>
        <v/>
      </c>
      <c r="O269" s="99">
        <f>IF(AND(ISNUMBER(SEARCH("Espeto",N269)),ISNUMBER(SEARCH("Carin",N269))),"SIM","")</f>
        <v/>
      </c>
      <c r="P269" s="99">
        <f>IF(AND(ISNUMBER(SEARCH("Espeto",N269)),ISNUMBER(SEARCH("Lapa",N269))),"SIM","")</f>
        <v/>
      </c>
      <c r="Q269" s="99">
        <f>IF(AND(ISNUMBER(SEARCH("Espeto",N269)),ISNUMBER(SEARCH("Tatuapé",N269))),"SIM","")</f>
        <v/>
      </c>
      <c r="R269" s="99">
        <f>IF(AND(ISNUMBER(SEARCH("Espeto",N269)),ISNUMBER(SEARCH("Pavão",N269))),"SIM","")</f>
        <v/>
      </c>
      <c r="S269" s="99">
        <f>IF(AND(ISNUMBER(SEARCH("Espeto",N269)),ISNUMBER(SEARCH("Chac",N269))),"SIM","")</f>
        <v/>
      </c>
      <c r="T269" s="99">
        <f>IF(AND(ISNUMBER(SEARCH("Espeto",N269)),ISNUMBER(SEARCH("Madalena",N269))),"SIM","")</f>
        <v/>
      </c>
      <c r="U269" s="99">
        <f>IF(AND(ISNUMBER(SEARCH("Espeto",N269)),ISNUMBER(SEARCH("Mariana",N269))),"SIM","")</f>
        <v/>
      </c>
      <c r="V269" s="99">
        <f>IF(AND(ISNUMBER(SEARCH("Espeto",N269)),ISNUMBER(SEARCH("Perdizes",N269))),"SIM","")</f>
        <v/>
      </c>
      <c r="W269" s="99">
        <f>IF(AND(ISNUMBER(SEARCH("Espeto",N269)),ISNUMBER(SEARCH("Santana",N269))),"SIM","")</f>
        <v/>
      </c>
      <c r="X269" s="99">
        <f>IF(AND(ISNUMBER(SEARCH("Espeto",N269)),ISNUMBER(SEARCH("André",N269))),"SIM","")</f>
        <v/>
      </c>
      <c r="Y269" s="99">
        <f>IF(AND(ISNUMBER(SEARCH("Delivery",N269)),ISNUMBER(SEARCH("Carin",N269))),"SIM","")</f>
        <v/>
      </c>
      <c r="Z269" s="99">
        <f>IF(AND(ISNUMBER(SEARCH("Delivery",N269)),ISNUMBER(SEARCH("Lapa",N269))),"SIM","")</f>
        <v/>
      </c>
      <c r="AA269" s="99">
        <f>IF(AND(ISNUMBER(SEARCH("Delivery",N269)),ISNUMBER(SEARCH("Tatuapé",N269))),"SIM","")</f>
        <v/>
      </c>
      <c r="AB269" s="99">
        <f>IF(AND(ISNUMBER(SEARCH("Delivery",N269)),ISNUMBER(SEARCH("Pavão",N269))),"SIM","")</f>
        <v/>
      </c>
      <c r="AC269" s="99">
        <f>IF(AND(ISNUMBER(SEARCH("Delivery",N269)),ISNUMBER(SEARCH("Chac",N269))),"SIM","")</f>
        <v/>
      </c>
      <c r="AD269" s="99">
        <f>IF(AND(ISNUMBER(SEARCH("Delivery",N269)),ISNUMBER(SEARCH("Madalena",N269))),"SIM","")</f>
        <v/>
      </c>
      <c r="AE269" s="92">
        <f>IF(AND(ISNUMBER(SEARCH("Delivery",N269)),ISNUMBER(SEARCH("Mariana",N269))),"SIM","")</f>
        <v/>
      </c>
      <c r="AF269" s="92">
        <f>IF(AND(ISNUMBER(SEARCH("Delivery",N269)),ISNUMBER(SEARCH("Perdizes",N269))),"SIM","")</f>
        <v/>
      </c>
      <c r="AG269" s="92">
        <f>IF(AND(ISNUMBER(SEARCH("Delivery",N269)),ISNUMBER(SEARCH("Santana",N269))),"SIM","")</f>
        <v/>
      </c>
      <c r="AH269" s="92">
        <f>IF(AND(ISNUMBER(SEARCH("Delivery",N269)),ISNUMBER(SEARCH("André",N269))),"SIM","")</f>
        <v/>
      </c>
      <c r="AI269" s="92">
        <f>IF(ISNUMBER(SEARCH("Interlagos",N269)),"SIM","")</f>
        <v/>
      </c>
      <c r="AJ269" s="92">
        <f>IF(ISNUMBER(SEARCH("Quiosque",N269)),"SIM","")</f>
        <v/>
      </c>
      <c r="AK269" s="93" t="n"/>
    </row>
    <row r="270">
      <c r="A270" s="88" t="inlineStr">
        <is>
          <t>Protheus</t>
        </is>
      </c>
      <c r="B270" s="89" t="inlineStr">
        <is>
          <t>009995</t>
        </is>
      </c>
      <c r="C270" s="90">
        <f>IF(B270="—","—",IFERROR(VLOOKUP(B270,_Protheus_Cadastro!$A:$B,2,FALSE),"—"))</f>
        <v/>
      </c>
      <c r="D270" s="91">
        <f>IF(B270="—",IFERROR(INDEX(_ZIG_Cadastro!$D:$D,MATCH(H270,_ZIG_Cadastro!$A:$A,0)),"Produto"),IFERROR(VLOOKUP(B270,_Protheus_Cadastro!$A:$C,3,FALSE),"—"))</f>
        <v/>
      </c>
      <c r="E270" s="91">
        <f>IF(B270="—","—",IFERROR(VLOOKUP(B270,_Protheus_Cadastro!$A:$D,4,FALSE),"—"))</f>
        <v/>
      </c>
      <c r="F270" s="91">
        <f>IF(ISERROR(VLOOKUP(B270,'Estrutura Protheus'!A:A,1,FALSE)),"Não","Sim")</f>
        <v/>
      </c>
      <c r="G270" s="92">
        <f>IFERROR(INDEX(_Protheus_Cadastro!$H:$H,MATCH(B270,_Protheus_Cadastro!$A:$A,0)),"—")</f>
        <v/>
      </c>
      <c r="H270" s="210">
        <f>IFERROR(INDEX(_ZIG_Precos!$D:$D,MATCH(I270,_ZIG_Precos!$F:$F,0)),"—")</f>
        <v/>
      </c>
      <c r="I270" s="95">
        <f>IFERROR(VLOOKUP(B270,_Protheus_Cadastro!$A:$I,9,FALSE),"—")</f>
        <v/>
      </c>
      <c r="J270" s="93">
        <f>IFERROR(INDEX(_ZIG_Cadastro!$B:$B,MATCH(I270,_ZIG_Cadastro!$A:$A,0)),IFERROR(INDEX(_Entradas_ZIG!$B:$B,MATCH(I270,_Entradas_ZIG!$C:$C,0)),"—"))</f>
        <v/>
      </c>
      <c r="K270" s="93">
        <f>IFERROR(INDEX(_ZIG_Cadastro!$C:$C,MATCH(I270,_ZIG_Cadastro!$A:$A,0)),IFERROR(INDEX(_Entradas_ZIG!$D:$D,MATCH(I270,_Entradas_ZIG!$C:$C,0)),"—"))</f>
        <v/>
      </c>
      <c r="L270" s="92">
        <f>IF(I270="","Sem SKU ZIG",IF(I270="—","Sem SKU ZIG",IF(NOT(ISERROR(MATCH(I270,_ZIG_Cadastro!$A:$A,0))),IF(EXACT(UPPER(TRIM(C270)),UPPER(TRIM(INDEX(_ZIG_Cadastro!$B:$B,MATCH(I270,_ZIG_Cadastro!$A:$A,0))))),"OK","Atencao - Nome diverge"),IF(NOT(ISERROR(MATCH(I270,_Entradas_ZIG!$C:$C,0))),"OK","Erro - SKU nao encontrado"))))</f>
        <v/>
      </c>
      <c r="M270" s="92">
        <f>IFERROR(INDEX(_ZIG_Cadastro!$G:$G,MATCH(I270,_ZIG_Cadastro!$A:$A,0)),IF(NOT(ISERROR(MATCH(I270,_Entradas_ZIG!$C:$C,0))),"Ativo","—"))</f>
        <v/>
      </c>
      <c r="N270" s="94">
        <f>IFERROR(INDEX(_ZIG_Cadastro!$E:$E,MATCH(I270,_ZIG_Cadastro!$A:$A,0)),IFERROR(INDEX(_Entradas_ZIG!$F:$F,MATCH(I270,_Entradas_ZIG!$C:$C,0)),"—"))</f>
        <v/>
      </c>
      <c r="O270" s="92">
        <f>IF(AND(ISNUMBER(SEARCH("Espeto",N270)),ISNUMBER(SEARCH("Carin",N270))),"SIM","")</f>
        <v/>
      </c>
      <c r="P270" s="92">
        <f>IF(AND(ISNUMBER(SEARCH("Espeto",N270)),ISNUMBER(SEARCH("Lapa",N270))),"SIM","")</f>
        <v/>
      </c>
      <c r="Q270" s="92">
        <f>IF(AND(ISNUMBER(SEARCH("Espeto",N270)),ISNUMBER(SEARCH("Tatuapé",N270))),"SIM","")</f>
        <v/>
      </c>
      <c r="R270" s="92">
        <f>IF(AND(ISNUMBER(SEARCH("Espeto",N270)),ISNUMBER(SEARCH("Pavão",N270))),"SIM","")</f>
        <v/>
      </c>
      <c r="S270" s="92">
        <f>IF(AND(ISNUMBER(SEARCH("Espeto",N270)),ISNUMBER(SEARCH("Chac",N270))),"SIM","")</f>
        <v/>
      </c>
      <c r="T270" s="92">
        <f>IF(AND(ISNUMBER(SEARCH("Espeto",N270)),ISNUMBER(SEARCH("Madalena",N270))),"SIM","")</f>
        <v/>
      </c>
      <c r="U270" s="92">
        <f>IF(AND(ISNUMBER(SEARCH("Espeto",N270)),ISNUMBER(SEARCH("Mariana",N270))),"SIM","")</f>
        <v/>
      </c>
      <c r="V270" s="92">
        <f>IF(AND(ISNUMBER(SEARCH("Espeto",N270)),ISNUMBER(SEARCH("Perdizes",N270))),"SIM","")</f>
        <v/>
      </c>
      <c r="W270" s="92">
        <f>IF(AND(ISNUMBER(SEARCH("Espeto",N270)),ISNUMBER(SEARCH("Santana",N270))),"SIM","")</f>
        <v/>
      </c>
      <c r="X270" s="92">
        <f>IF(AND(ISNUMBER(SEARCH("Espeto",N270)),ISNUMBER(SEARCH("André",N270))),"SIM","")</f>
        <v/>
      </c>
      <c r="Y270" s="92">
        <f>IF(AND(ISNUMBER(SEARCH("Delivery",N270)),ISNUMBER(SEARCH("Carin",N270))),"SIM","")</f>
        <v/>
      </c>
      <c r="Z270" s="92">
        <f>IF(AND(ISNUMBER(SEARCH("Delivery",N270)),ISNUMBER(SEARCH("Lapa",N270))),"SIM","")</f>
        <v/>
      </c>
      <c r="AA270" s="92">
        <f>IF(AND(ISNUMBER(SEARCH("Delivery",N270)),ISNUMBER(SEARCH("Tatuapé",N270))),"SIM","")</f>
        <v/>
      </c>
      <c r="AB270" s="92">
        <f>IF(AND(ISNUMBER(SEARCH("Delivery",N270)),ISNUMBER(SEARCH("Pavão",N270))),"SIM","")</f>
        <v/>
      </c>
      <c r="AC270" s="92">
        <f>IF(AND(ISNUMBER(SEARCH("Delivery",N270)),ISNUMBER(SEARCH("Chac",N270))),"SIM","")</f>
        <v/>
      </c>
      <c r="AD270" s="92">
        <f>IF(AND(ISNUMBER(SEARCH("Delivery",N270)),ISNUMBER(SEARCH("Madalena",N270))),"SIM","")</f>
        <v/>
      </c>
      <c r="AE270" s="99">
        <f>IF(AND(ISNUMBER(SEARCH("Delivery",N270)),ISNUMBER(SEARCH("Mariana",N270))),"SIM","")</f>
        <v/>
      </c>
      <c r="AF270" s="99">
        <f>IF(AND(ISNUMBER(SEARCH("Delivery",N270)),ISNUMBER(SEARCH("Perdizes",N270))),"SIM","")</f>
        <v/>
      </c>
      <c r="AG270" s="99">
        <f>IF(AND(ISNUMBER(SEARCH("Delivery",N270)),ISNUMBER(SEARCH("Santana",N270))),"SIM","")</f>
        <v/>
      </c>
      <c r="AH270" s="99">
        <f>IF(AND(ISNUMBER(SEARCH("Delivery",N270)),ISNUMBER(SEARCH("André",N270))),"SIM","")</f>
        <v/>
      </c>
      <c r="AI270" s="99">
        <f>IF(ISNUMBER(SEARCH("Interlagos",N270)),"SIM","")</f>
        <v/>
      </c>
      <c r="AJ270" s="99">
        <f>IF(ISNUMBER(SEARCH("Quiosque",N270)),"SIM","")</f>
        <v/>
      </c>
      <c r="AK270" s="101" t="n"/>
    </row>
    <row r="271">
      <c r="A271" s="88" t="inlineStr">
        <is>
          <t>Protheus</t>
        </is>
      </c>
      <c r="B271" s="96" t="inlineStr">
        <is>
          <t>010001</t>
        </is>
      </c>
      <c r="C271" s="97">
        <f>IF(B271="—","—",IFERROR(VLOOKUP(B271,_Protheus_Cadastro!$A:$B,2,FALSE),"—"))</f>
        <v/>
      </c>
      <c r="D271" s="98">
        <f>IF(B271="—",IFERROR(INDEX(_ZIG_Cadastro!$D:$D,MATCH(H271,_ZIG_Cadastro!$A:$A,0)),"Produto"),IFERROR(VLOOKUP(B271,_Protheus_Cadastro!$A:$C,3,FALSE),"—"))</f>
        <v/>
      </c>
      <c r="E271" s="98">
        <f>IF(B271="—","—",IFERROR(VLOOKUP(B271,_Protheus_Cadastro!$A:$D,4,FALSE),"—"))</f>
        <v/>
      </c>
      <c r="F271" s="98">
        <f>IF(ISERROR(VLOOKUP(B271,'Estrutura Protheus'!A:A,1,FALSE)),"Não","Sim")</f>
        <v/>
      </c>
      <c r="G271" s="99">
        <f>IFERROR(INDEX(_Protheus_Cadastro!$H:$H,MATCH(B271,_Protheus_Cadastro!$A:$A,0)),"—")</f>
        <v/>
      </c>
      <c r="H271" s="211">
        <f>IFERROR(INDEX(_ZIG_Precos!$D:$D,MATCH(I271,_ZIG_Precos!$F:$F,0)),"—")</f>
        <v/>
      </c>
      <c r="I271" s="103">
        <f>IFERROR(VLOOKUP(B271,_Protheus_Cadastro!$A:$I,9,FALSE),"—")</f>
        <v/>
      </c>
      <c r="J271" s="101">
        <f>IFERROR(INDEX(_ZIG_Cadastro!$B:$B,MATCH(I271,_ZIG_Cadastro!$A:$A,0)),IFERROR(INDEX(_Entradas_ZIG!$B:$B,MATCH(I271,_Entradas_ZIG!$C:$C,0)),"—"))</f>
        <v/>
      </c>
      <c r="K271" s="101">
        <f>IFERROR(INDEX(_ZIG_Cadastro!$C:$C,MATCH(I271,_ZIG_Cadastro!$A:$A,0)),IFERROR(INDEX(_Entradas_ZIG!$D:$D,MATCH(I271,_Entradas_ZIG!$C:$C,0)),"—"))</f>
        <v/>
      </c>
      <c r="L271" s="99">
        <f>IF(I271="","Sem SKU ZIG",IF(I271="—","Sem SKU ZIG",IF(NOT(ISERROR(MATCH(I271,_ZIG_Cadastro!$A:$A,0))),IF(EXACT(UPPER(TRIM(C271)),UPPER(TRIM(INDEX(_ZIG_Cadastro!$B:$B,MATCH(I271,_ZIG_Cadastro!$A:$A,0))))),"OK","Atencao - Nome diverge"),IF(NOT(ISERROR(MATCH(I271,_Entradas_ZIG!$C:$C,0))),"OK","Erro - SKU nao encontrado"))))</f>
        <v/>
      </c>
      <c r="M271" s="99">
        <f>IFERROR(INDEX(_ZIG_Cadastro!$G:$G,MATCH(I271,_ZIG_Cadastro!$A:$A,0)),IF(NOT(ISERROR(MATCH(I271,_Entradas_ZIG!$C:$C,0))),"Ativo","—"))</f>
        <v/>
      </c>
      <c r="N271" s="102">
        <f>IFERROR(INDEX(_ZIG_Cadastro!$E:$E,MATCH(I271,_ZIG_Cadastro!$A:$A,0)),IFERROR(INDEX(_Entradas_ZIG!$F:$F,MATCH(I271,_Entradas_ZIG!$C:$C,0)),"—"))</f>
        <v/>
      </c>
      <c r="O271" s="99">
        <f>IF(AND(ISNUMBER(SEARCH("Espeto",N271)),ISNUMBER(SEARCH("Carin",N271))),"SIM","")</f>
        <v/>
      </c>
      <c r="P271" s="99">
        <f>IF(AND(ISNUMBER(SEARCH("Espeto",N271)),ISNUMBER(SEARCH("Lapa",N271))),"SIM","")</f>
        <v/>
      </c>
      <c r="Q271" s="99">
        <f>IF(AND(ISNUMBER(SEARCH("Espeto",N271)),ISNUMBER(SEARCH("Tatuapé",N271))),"SIM","")</f>
        <v/>
      </c>
      <c r="R271" s="99">
        <f>IF(AND(ISNUMBER(SEARCH("Espeto",N271)),ISNUMBER(SEARCH("Pavão",N271))),"SIM","")</f>
        <v/>
      </c>
      <c r="S271" s="99">
        <f>IF(AND(ISNUMBER(SEARCH("Espeto",N271)),ISNUMBER(SEARCH("Chac",N271))),"SIM","")</f>
        <v/>
      </c>
      <c r="T271" s="99">
        <f>IF(AND(ISNUMBER(SEARCH("Espeto",N271)),ISNUMBER(SEARCH("Madalena",N271))),"SIM","")</f>
        <v/>
      </c>
      <c r="U271" s="99">
        <f>IF(AND(ISNUMBER(SEARCH("Espeto",N271)),ISNUMBER(SEARCH("Mariana",N271))),"SIM","")</f>
        <v/>
      </c>
      <c r="V271" s="99">
        <f>IF(AND(ISNUMBER(SEARCH("Espeto",N271)),ISNUMBER(SEARCH("Perdizes",N271))),"SIM","")</f>
        <v/>
      </c>
      <c r="W271" s="99">
        <f>IF(AND(ISNUMBER(SEARCH("Espeto",N271)),ISNUMBER(SEARCH("Santana",N271))),"SIM","")</f>
        <v/>
      </c>
      <c r="X271" s="99">
        <f>IF(AND(ISNUMBER(SEARCH("Espeto",N271)),ISNUMBER(SEARCH("André",N271))),"SIM","")</f>
        <v/>
      </c>
      <c r="Y271" s="99">
        <f>IF(AND(ISNUMBER(SEARCH("Delivery",N271)),ISNUMBER(SEARCH("Carin",N271))),"SIM","")</f>
        <v/>
      </c>
      <c r="Z271" s="99">
        <f>IF(AND(ISNUMBER(SEARCH("Delivery",N271)),ISNUMBER(SEARCH("Lapa",N271))),"SIM","")</f>
        <v/>
      </c>
      <c r="AA271" s="99">
        <f>IF(AND(ISNUMBER(SEARCH("Delivery",N271)),ISNUMBER(SEARCH("Tatuapé",N271))),"SIM","")</f>
        <v/>
      </c>
      <c r="AB271" s="99">
        <f>IF(AND(ISNUMBER(SEARCH("Delivery",N271)),ISNUMBER(SEARCH("Pavão",N271))),"SIM","")</f>
        <v/>
      </c>
      <c r="AC271" s="99">
        <f>IF(AND(ISNUMBER(SEARCH("Delivery",N271)),ISNUMBER(SEARCH("Chac",N271))),"SIM","")</f>
        <v/>
      </c>
      <c r="AD271" s="99">
        <f>IF(AND(ISNUMBER(SEARCH("Delivery",N271)),ISNUMBER(SEARCH("Madalena",N271))),"SIM","")</f>
        <v/>
      </c>
      <c r="AE271" s="92">
        <f>IF(AND(ISNUMBER(SEARCH("Delivery",N271)),ISNUMBER(SEARCH("Mariana",N271))),"SIM","")</f>
        <v/>
      </c>
      <c r="AF271" s="92">
        <f>IF(AND(ISNUMBER(SEARCH("Delivery",N271)),ISNUMBER(SEARCH("Perdizes",N271))),"SIM","")</f>
        <v/>
      </c>
      <c r="AG271" s="92">
        <f>IF(AND(ISNUMBER(SEARCH("Delivery",N271)),ISNUMBER(SEARCH("Santana",N271))),"SIM","")</f>
        <v/>
      </c>
      <c r="AH271" s="92">
        <f>IF(AND(ISNUMBER(SEARCH("Delivery",N271)),ISNUMBER(SEARCH("André",N271))),"SIM","")</f>
        <v/>
      </c>
      <c r="AI271" s="92">
        <f>IF(ISNUMBER(SEARCH("Interlagos",N271)),"SIM","")</f>
        <v/>
      </c>
      <c r="AJ271" s="92">
        <f>IF(ISNUMBER(SEARCH("Quiosque",N271)),"SIM","")</f>
        <v/>
      </c>
      <c r="AK271" s="93" t="n"/>
    </row>
    <row r="272">
      <c r="A272" s="88" t="inlineStr">
        <is>
          <t>Protheus</t>
        </is>
      </c>
      <c r="B272" s="89" t="inlineStr">
        <is>
          <t>010035</t>
        </is>
      </c>
      <c r="C272" s="90">
        <f>IF(B272="—","—",IFERROR(VLOOKUP(B272,_Protheus_Cadastro!$A:$B,2,FALSE),"—"))</f>
        <v/>
      </c>
      <c r="D272" s="91">
        <f>IF(B272="—",IFERROR(INDEX(_ZIG_Cadastro!$D:$D,MATCH(H272,_ZIG_Cadastro!$A:$A,0)),"Produto"),IFERROR(VLOOKUP(B272,_Protheus_Cadastro!$A:$C,3,FALSE),"—"))</f>
        <v/>
      </c>
      <c r="E272" s="91">
        <f>IF(B272="—","—",IFERROR(VLOOKUP(B272,_Protheus_Cadastro!$A:$D,4,FALSE),"—"))</f>
        <v/>
      </c>
      <c r="F272" s="91">
        <f>IF(ISERROR(VLOOKUP(B272,'Estrutura Protheus'!A:A,1,FALSE)),"Não","Sim")</f>
        <v/>
      </c>
      <c r="G272" s="92">
        <f>IFERROR(INDEX(_Protheus_Cadastro!$H:$H,MATCH(B272,_Protheus_Cadastro!$A:$A,0)),"—")</f>
        <v/>
      </c>
      <c r="H272" s="210">
        <f>IFERROR(INDEX(_ZIG_Precos!$D:$D,MATCH(I272,_ZIG_Precos!$F:$F,0)),"—")</f>
        <v/>
      </c>
      <c r="I272" s="95">
        <f>IFERROR(VLOOKUP(B272,_Protheus_Cadastro!$A:$I,9,FALSE),"—")</f>
        <v/>
      </c>
      <c r="J272" s="93">
        <f>IFERROR(INDEX(_ZIG_Cadastro!$B:$B,MATCH(I272,_ZIG_Cadastro!$A:$A,0)),IFERROR(INDEX(_Entradas_ZIG!$B:$B,MATCH(I272,_Entradas_ZIG!$C:$C,0)),"—"))</f>
        <v/>
      </c>
      <c r="K272" s="93">
        <f>IFERROR(INDEX(_ZIG_Cadastro!$C:$C,MATCH(I272,_ZIG_Cadastro!$A:$A,0)),IFERROR(INDEX(_Entradas_ZIG!$D:$D,MATCH(I272,_Entradas_ZIG!$C:$C,0)),"—"))</f>
        <v/>
      </c>
      <c r="L272" s="92">
        <f>IF(I272="","Sem SKU ZIG",IF(I272="—","Sem SKU ZIG",IF(NOT(ISERROR(MATCH(I272,_ZIG_Cadastro!$A:$A,0))),IF(EXACT(UPPER(TRIM(C272)),UPPER(TRIM(INDEX(_ZIG_Cadastro!$B:$B,MATCH(I272,_ZIG_Cadastro!$A:$A,0))))),"OK","Atencao - Nome diverge"),IF(NOT(ISERROR(MATCH(I272,_Entradas_ZIG!$C:$C,0))),"OK","Erro - SKU nao encontrado"))))</f>
        <v/>
      </c>
      <c r="M272" s="92">
        <f>IFERROR(INDEX(_ZIG_Cadastro!$G:$G,MATCH(I272,_ZIG_Cadastro!$A:$A,0)),IF(NOT(ISERROR(MATCH(I272,_Entradas_ZIG!$C:$C,0))),"Ativo","—"))</f>
        <v/>
      </c>
      <c r="N272" s="94">
        <f>IFERROR(INDEX(_ZIG_Cadastro!$E:$E,MATCH(I272,_ZIG_Cadastro!$A:$A,0)),IFERROR(INDEX(_Entradas_ZIG!$F:$F,MATCH(I272,_Entradas_ZIG!$C:$C,0)),"—"))</f>
        <v/>
      </c>
      <c r="O272" s="92">
        <f>IF(AND(ISNUMBER(SEARCH("Espeto",N272)),ISNUMBER(SEARCH("Carin",N272))),"SIM","")</f>
        <v/>
      </c>
      <c r="P272" s="92">
        <f>IF(AND(ISNUMBER(SEARCH("Espeto",N272)),ISNUMBER(SEARCH("Lapa",N272))),"SIM","")</f>
        <v/>
      </c>
      <c r="Q272" s="92">
        <f>IF(AND(ISNUMBER(SEARCH("Espeto",N272)),ISNUMBER(SEARCH("Tatuapé",N272))),"SIM","")</f>
        <v/>
      </c>
      <c r="R272" s="92">
        <f>IF(AND(ISNUMBER(SEARCH("Espeto",N272)),ISNUMBER(SEARCH("Pavão",N272))),"SIM","")</f>
        <v/>
      </c>
      <c r="S272" s="92">
        <f>IF(AND(ISNUMBER(SEARCH("Espeto",N272)),ISNUMBER(SEARCH("Chac",N272))),"SIM","")</f>
        <v/>
      </c>
      <c r="T272" s="92">
        <f>IF(AND(ISNUMBER(SEARCH("Espeto",N272)),ISNUMBER(SEARCH("Madalena",N272))),"SIM","")</f>
        <v/>
      </c>
      <c r="U272" s="92">
        <f>IF(AND(ISNUMBER(SEARCH("Espeto",N272)),ISNUMBER(SEARCH("Mariana",N272))),"SIM","")</f>
        <v/>
      </c>
      <c r="V272" s="92">
        <f>IF(AND(ISNUMBER(SEARCH("Espeto",N272)),ISNUMBER(SEARCH("Perdizes",N272))),"SIM","")</f>
        <v/>
      </c>
      <c r="W272" s="92">
        <f>IF(AND(ISNUMBER(SEARCH("Espeto",N272)),ISNUMBER(SEARCH("Santana",N272))),"SIM","")</f>
        <v/>
      </c>
      <c r="X272" s="92">
        <f>IF(AND(ISNUMBER(SEARCH("Espeto",N272)),ISNUMBER(SEARCH("André",N272))),"SIM","")</f>
        <v/>
      </c>
      <c r="Y272" s="92">
        <f>IF(AND(ISNUMBER(SEARCH("Delivery",N272)),ISNUMBER(SEARCH("Carin",N272))),"SIM","")</f>
        <v/>
      </c>
      <c r="Z272" s="92">
        <f>IF(AND(ISNUMBER(SEARCH("Delivery",N272)),ISNUMBER(SEARCH("Lapa",N272))),"SIM","")</f>
        <v/>
      </c>
      <c r="AA272" s="92">
        <f>IF(AND(ISNUMBER(SEARCH("Delivery",N272)),ISNUMBER(SEARCH("Tatuapé",N272))),"SIM","")</f>
        <v/>
      </c>
      <c r="AB272" s="92">
        <f>IF(AND(ISNUMBER(SEARCH("Delivery",N272)),ISNUMBER(SEARCH("Pavão",N272))),"SIM","")</f>
        <v/>
      </c>
      <c r="AC272" s="92">
        <f>IF(AND(ISNUMBER(SEARCH("Delivery",N272)),ISNUMBER(SEARCH("Chac",N272))),"SIM","")</f>
        <v/>
      </c>
      <c r="AD272" s="92">
        <f>IF(AND(ISNUMBER(SEARCH("Delivery",N272)),ISNUMBER(SEARCH("Madalena",N272))),"SIM","")</f>
        <v/>
      </c>
      <c r="AE272" s="99">
        <f>IF(AND(ISNUMBER(SEARCH("Delivery",N272)),ISNUMBER(SEARCH("Mariana",N272))),"SIM","")</f>
        <v/>
      </c>
      <c r="AF272" s="99">
        <f>IF(AND(ISNUMBER(SEARCH("Delivery",N272)),ISNUMBER(SEARCH("Perdizes",N272))),"SIM","")</f>
        <v/>
      </c>
      <c r="AG272" s="99">
        <f>IF(AND(ISNUMBER(SEARCH("Delivery",N272)),ISNUMBER(SEARCH("Santana",N272))),"SIM","")</f>
        <v/>
      </c>
      <c r="AH272" s="99">
        <f>IF(AND(ISNUMBER(SEARCH("Delivery",N272)),ISNUMBER(SEARCH("André",N272))),"SIM","")</f>
        <v/>
      </c>
      <c r="AI272" s="99">
        <f>IF(ISNUMBER(SEARCH("Interlagos",N272)),"SIM","")</f>
        <v/>
      </c>
      <c r="AJ272" s="99">
        <f>IF(ISNUMBER(SEARCH("Quiosque",N272)),"SIM","")</f>
        <v/>
      </c>
      <c r="AK272" s="101" t="n"/>
    </row>
    <row r="273">
      <c r="A273" s="88" t="inlineStr">
        <is>
          <t>Protheus</t>
        </is>
      </c>
      <c r="B273" s="96" t="inlineStr">
        <is>
          <t>010045</t>
        </is>
      </c>
      <c r="C273" s="97">
        <f>IF(B273="—","—",IFERROR(VLOOKUP(B273,_Protheus_Cadastro!$A:$B,2,FALSE),"—"))</f>
        <v/>
      </c>
      <c r="D273" s="98">
        <f>IF(B273="—",IFERROR(INDEX(_ZIG_Cadastro!$D:$D,MATCH(H273,_ZIG_Cadastro!$A:$A,0)),"Produto"),IFERROR(VLOOKUP(B273,_Protheus_Cadastro!$A:$C,3,FALSE),"—"))</f>
        <v/>
      </c>
      <c r="E273" s="98">
        <f>IF(B273="—","—",IFERROR(VLOOKUP(B273,_Protheus_Cadastro!$A:$D,4,FALSE),"—"))</f>
        <v/>
      </c>
      <c r="F273" s="98">
        <f>IF(ISERROR(VLOOKUP(B273,'Estrutura Protheus'!A:A,1,FALSE)),"Não","Sim")</f>
        <v/>
      </c>
      <c r="G273" s="99">
        <f>IFERROR(INDEX(_Protheus_Cadastro!$H:$H,MATCH(B273,_Protheus_Cadastro!$A:$A,0)),"—")</f>
        <v/>
      </c>
      <c r="H273" s="211">
        <f>IFERROR(INDEX(_ZIG_Precos!$D:$D,MATCH(I273,_ZIG_Precos!$F:$F,0)),"—")</f>
        <v/>
      </c>
      <c r="I273" s="103">
        <f>IFERROR(VLOOKUP(B273,_Protheus_Cadastro!$A:$I,9,FALSE),"—")</f>
        <v/>
      </c>
      <c r="J273" s="101">
        <f>IFERROR(INDEX(_ZIG_Cadastro!$B:$B,MATCH(I273,_ZIG_Cadastro!$A:$A,0)),IFERROR(INDEX(_Entradas_ZIG!$B:$B,MATCH(I273,_Entradas_ZIG!$C:$C,0)),"—"))</f>
        <v/>
      </c>
      <c r="K273" s="101">
        <f>IFERROR(INDEX(_ZIG_Cadastro!$C:$C,MATCH(I273,_ZIG_Cadastro!$A:$A,0)),IFERROR(INDEX(_Entradas_ZIG!$D:$D,MATCH(I273,_Entradas_ZIG!$C:$C,0)),"—"))</f>
        <v/>
      </c>
      <c r="L273" s="99">
        <f>IF(I273="","Sem SKU ZIG",IF(I273="—","Sem SKU ZIG",IF(NOT(ISERROR(MATCH(I273,_ZIG_Cadastro!$A:$A,0))),IF(EXACT(UPPER(TRIM(C273)),UPPER(TRIM(INDEX(_ZIG_Cadastro!$B:$B,MATCH(I273,_ZIG_Cadastro!$A:$A,0))))),"OK","Atencao - Nome diverge"),IF(NOT(ISERROR(MATCH(I273,_Entradas_ZIG!$C:$C,0))),"OK","Erro - SKU nao encontrado"))))</f>
        <v/>
      </c>
      <c r="M273" s="99">
        <f>IFERROR(INDEX(_ZIG_Cadastro!$G:$G,MATCH(I273,_ZIG_Cadastro!$A:$A,0)),IF(NOT(ISERROR(MATCH(I273,_Entradas_ZIG!$C:$C,0))),"Ativo","—"))</f>
        <v/>
      </c>
      <c r="N273" s="102">
        <f>IFERROR(INDEX(_ZIG_Cadastro!$E:$E,MATCH(I273,_ZIG_Cadastro!$A:$A,0)),IFERROR(INDEX(_Entradas_ZIG!$F:$F,MATCH(I273,_Entradas_ZIG!$C:$C,0)),"—"))</f>
        <v/>
      </c>
      <c r="O273" s="99">
        <f>IF(AND(ISNUMBER(SEARCH("Espeto",N273)),ISNUMBER(SEARCH("Carin",N273))),"SIM","")</f>
        <v/>
      </c>
      <c r="P273" s="99">
        <f>IF(AND(ISNUMBER(SEARCH("Espeto",N273)),ISNUMBER(SEARCH("Lapa",N273))),"SIM","")</f>
        <v/>
      </c>
      <c r="Q273" s="99">
        <f>IF(AND(ISNUMBER(SEARCH("Espeto",N273)),ISNUMBER(SEARCH("Tatuapé",N273))),"SIM","")</f>
        <v/>
      </c>
      <c r="R273" s="99">
        <f>IF(AND(ISNUMBER(SEARCH("Espeto",N273)),ISNUMBER(SEARCH("Pavão",N273))),"SIM","")</f>
        <v/>
      </c>
      <c r="S273" s="99">
        <f>IF(AND(ISNUMBER(SEARCH("Espeto",N273)),ISNUMBER(SEARCH("Chac",N273))),"SIM","")</f>
        <v/>
      </c>
      <c r="T273" s="99">
        <f>IF(AND(ISNUMBER(SEARCH("Espeto",N273)),ISNUMBER(SEARCH("Madalena",N273))),"SIM","")</f>
        <v/>
      </c>
      <c r="U273" s="99">
        <f>IF(AND(ISNUMBER(SEARCH("Espeto",N273)),ISNUMBER(SEARCH("Mariana",N273))),"SIM","")</f>
        <v/>
      </c>
      <c r="V273" s="99">
        <f>IF(AND(ISNUMBER(SEARCH("Espeto",N273)),ISNUMBER(SEARCH("Perdizes",N273))),"SIM","")</f>
        <v/>
      </c>
      <c r="W273" s="99">
        <f>IF(AND(ISNUMBER(SEARCH("Espeto",N273)),ISNUMBER(SEARCH("Santana",N273))),"SIM","")</f>
        <v/>
      </c>
      <c r="X273" s="99">
        <f>IF(AND(ISNUMBER(SEARCH("Espeto",N273)),ISNUMBER(SEARCH("André",N273))),"SIM","")</f>
        <v/>
      </c>
      <c r="Y273" s="99">
        <f>IF(AND(ISNUMBER(SEARCH("Delivery",N273)),ISNUMBER(SEARCH("Carin",N273))),"SIM","")</f>
        <v/>
      </c>
      <c r="Z273" s="99">
        <f>IF(AND(ISNUMBER(SEARCH("Delivery",N273)),ISNUMBER(SEARCH("Lapa",N273))),"SIM","")</f>
        <v/>
      </c>
      <c r="AA273" s="99">
        <f>IF(AND(ISNUMBER(SEARCH("Delivery",N273)),ISNUMBER(SEARCH("Tatuapé",N273))),"SIM","")</f>
        <v/>
      </c>
      <c r="AB273" s="99">
        <f>IF(AND(ISNUMBER(SEARCH("Delivery",N273)),ISNUMBER(SEARCH("Pavão",N273))),"SIM","")</f>
        <v/>
      </c>
      <c r="AC273" s="99">
        <f>IF(AND(ISNUMBER(SEARCH("Delivery",N273)),ISNUMBER(SEARCH("Chac",N273))),"SIM","")</f>
        <v/>
      </c>
      <c r="AD273" s="99">
        <f>IF(AND(ISNUMBER(SEARCH("Delivery",N273)),ISNUMBER(SEARCH("Madalena",N273))),"SIM","")</f>
        <v/>
      </c>
      <c r="AE273" s="92">
        <f>IF(AND(ISNUMBER(SEARCH("Delivery",N273)),ISNUMBER(SEARCH("Mariana",N273))),"SIM","")</f>
        <v/>
      </c>
      <c r="AF273" s="92">
        <f>IF(AND(ISNUMBER(SEARCH("Delivery",N273)),ISNUMBER(SEARCH("Perdizes",N273))),"SIM","")</f>
        <v/>
      </c>
      <c r="AG273" s="92">
        <f>IF(AND(ISNUMBER(SEARCH("Delivery",N273)),ISNUMBER(SEARCH("Santana",N273))),"SIM","")</f>
        <v/>
      </c>
      <c r="AH273" s="92">
        <f>IF(AND(ISNUMBER(SEARCH("Delivery",N273)),ISNUMBER(SEARCH("André",N273))),"SIM","")</f>
        <v/>
      </c>
      <c r="AI273" s="92">
        <f>IF(ISNUMBER(SEARCH("Interlagos",N273)),"SIM","")</f>
        <v/>
      </c>
      <c r="AJ273" s="92">
        <f>IF(ISNUMBER(SEARCH("Quiosque",N273)),"SIM","")</f>
        <v/>
      </c>
      <c r="AK273" s="93" t="n"/>
    </row>
    <row r="274">
      <c r="A274" s="88" t="inlineStr">
        <is>
          <t>Protheus</t>
        </is>
      </c>
      <c r="B274" s="89" t="inlineStr">
        <is>
          <t>010053</t>
        </is>
      </c>
      <c r="C274" s="90">
        <f>IF(B274="—","—",IFERROR(VLOOKUP(B274,_Protheus_Cadastro!$A:$B,2,FALSE),"—"))</f>
        <v/>
      </c>
      <c r="D274" s="91">
        <f>IF(B274="—",IFERROR(INDEX(_ZIG_Cadastro!$D:$D,MATCH(H274,_ZIG_Cadastro!$A:$A,0)),"Produto"),IFERROR(VLOOKUP(B274,_Protheus_Cadastro!$A:$C,3,FALSE),"—"))</f>
        <v/>
      </c>
      <c r="E274" s="91">
        <f>IF(B274="—","—",IFERROR(VLOOKUP(B274,_Protheus_Cadastro!$A:$D,4,FALSE),"—"))</f>
        <v/>
      </c>
      <c r="F274" s="91">
        <f>IF(ISERROR(VLOOKUP(B274,'Estrutura Protheus'!A:A,1,FALSE)),"Não","Sim")</f>
        <v/>
      </c>
      <c r="G274" s="92">
        <f>IFERROR(INDEX(_Protheus_Cadastro!$H:$H,MATCH(B274,_Protheus_Cadastro!$A:$A,0)),"—")</f>
        <v/>
      </c>
      <c r="H274" s="210">
        <f>IFERROR(INDEX(_ZIG_Precos!$D:$D,MATCH(I274,_ZIG_Precos!$F:$F,0)),"—")</f>
        <v/>
      </c>
      <c r="I274" s="95">
        <f>IFERROR(VLOOKUP(B274,_Protheus_Cadastro!$A:$I,9,FALSE),"—")</f>
        <v/>
      </c>
      <c r="J274" s="93">
        <f>IFERROR(INDEX(_ZIG_Cadastro!$B:$B,MATCH(I274,_ZIG_Cadastro!$A:$A,0)),IFERROR(INDEX(_Entradas_ZIG!$B:$B,MATCH(I274,_Entradas_ZIG!$C:$C,0)),"—"))</f>
        <v/>
      </c>
      <c r="K274" s="93">
        <f>IFERROR(INDEX(_ZIG_Cadastro!$C:$C,MATCH(I274,_ZIG_Cadastro!$A:$A,0)),IFERROR(INDEX(_Entradas_ZIG!$D:$D,MATCH(I274,_Entradas_ZIG!$C:$C,0)),"—"))</f>
        <v/>
      </c>
      <c r="L274" s="92">
        <f>IF(I274="","Sem SKU ZIG",IF(I274="—","Sem SKU ZIG",IF(NOT(ISERROR(MATCH(I274,_ZIG_Cadastro!$A:$A,0))),IF(EXACT(UPPER(TRIM(C274)),UPPER(TRIM(INDEX(_ZIG_Cadastro!$B:$B,MATCH(I274,_ZIG_Cadastro!$A:$A,0))))),"OK","Atencao - Nome diverge"),IF(NOT(ISERROR(MATCH(I274,_Entradas_ZIG!$C:$C,0))),"OK","Erro - SKU nao encontrado"))))</f>
        <v/>
      </c>
      <c r="M274" s="92">
        <f>IFERROR(INDEX(_ZIG_Cadastro!$G:$G,MATCH(I274,_ZIG_Cadastro!$A:$A,0)),IF(NOT(ISERROR(MATCH(I274,_Entradas_ZIG!$C:$C,0))),"Ativo","—"))</f>
        <v/>
      </c>
      <c r="N274" s="94">
        <f>IFERROR(INDEX(_ZIG_Cadastro!$E:$E,MATCH(I274,_ZIG_Cadastro!$A:$A,0)),IFERROR(INDEX(_Entradas_ZIG!$F:$F,MATCH(I274,_Entradas_ZIG!$C:$C,0)),"—"))</f>
        <v/>
      </c>
      <c r="O274" s="92">
        <f>IF(AND(ISNUMBER(SEARCH("Espeto",N274)),ISNUMBER(SEARCH("Carin",N274))),"SIM","")</f>
        <v/>
      </c>
      <c r="P274" s="92">
        <f>IF(AND(ISNUMBER(SEARCH("Espeto",N274)),ISNUMBER(SEARCH("Lapa",N274))),"SIM","")</f>
        <v/>
      </c>
      <c r="Q274" s="92">
        <f>IF(AND(ISNUMBER(SEARCH("Espeto",N274)),ISNUMBER(SEARCH("Tatuapé",N274))),"SIM","")</f>
        <v/>
      </c>
      <c r="R274" s="92">
        <f>IF(AND(ISNUMBER(SEARCH("Espeto",N274)),ISNUMBER(SEARCH("Pavão",N274))),"SIM","")</f>
        <v/>
      </c>
      <c r="S274" s="92">
        <f>IF(AND(ISNUMBER(SEARCH("Espeto",N274)),ISNUMBER(SEARCH("Chac",N274))),"SIM","")</f>
        <v/>
      </c>
      <c r="T274" s="92">
        <f>IF(AND(ISNUMBER(SEARCH("Espeto",N274)),ISNUMBER(SEARCH("Madalena",N274))),"SIM","")</f>
        <v/>
      </c>
      <c r="U274" s="92">
        <f>IF(AND(ISNUMBER(SEARCH("Espeto",N274)),ISNUMBER(SEARCH("Mariana",N274))),"SIM","")</f>
        <v/>
      </c>
      <c r="V274" s="92">
        <f>IF(AND(ISNUMBER(SEARCH("Espeto",N274)),ISNUMBER(SEARCH("Perdizes",N274))),"SIM","")</f>
        <v/>
      </c>
      <c r="W274" s="92">
        <f>IF(AND(ISNUMBER(SEARCH("Espeto",N274)),ISNUMBER(SEARCH("Santana",N274))),"SIM","")</f>
        <v/>
      </c>
      <c r="X274" s="92">
        <f>IF(AND(ISNUMBER(SEARCH("Espeto",N274)),ISNUMBER(SEARCH("André",N274))),"SIM","")</f>
        <v/>
      </c>
      <c r="Y274" s="92">
        <f>IF(AND(ISNUMBER(SEARCH("Delivery",N274)),ISNUMBER(SEARCH("Carin",N274))),"SIM","")</f>
        <v/>
      </c>
      <c r="Z274" s="92">
        <f>IF(AND(ISNUMBER(SEARCH("Delivery",N274)),ISNUMBER(SEARCH("Lapa",N274))),"SIM","")</f>
        <v/>
      </c>
      <c r="AA274" s="92">
        <f>IF(AND(ISNUMBER(SEARCH("Delivery",N274)),ISNUMBER(SEARCH("Tatuapé",N274))),"SIM","")</f>
        <v/>
      </c>
      <c r="AB274" s="92">
        <f>IF(AND(ISNUMBER(SEARCH("Delivery",N274)),ISNUMBER(SEARCH("Pavão",N274))),"SIM","")</f>
        <v/>
      </c>
      <c r="AC274" s="92">
        <f>IF(AND(ISNUMBER(SEARCH("Delivery",N274)),ISNUMBER(SEARCH("Chac",N274))),"SIM","")</f>
        <v/>
      </c>
      <c r="AD274" s="92">
        <f>IF(AND(ISNUMBER(SEARCH("Delivery",N274)),ISNUMBER(SEARCH("Madalena",N274))),"SIM","")</f>
        <v/>
      </c>
      <c r="AE274" s="99">
        <f>IF(AND(ISNUMBER(SEARCH("Delivery",N274)),ISNUMBER(SEARCH("Mariana",N274))),"SIM","")</f>
        <v/>
      </c>
      <c r="AF274" s="99">
        <f>IF(AND(ISNUMBER(SEARCH("Delivery",N274)),ISNUMBER(SEARCH("Perdizes",N274))),"SIM","")</f>
        <v/>
      </c>
      <c r="AG274" s="99">
        <f>IF(AND(ISNUMBER(SEARCH("Delivery",N274)),ISNUMBER(SEARCH("Santana",N274))),"SIM","")</f>
        <v/>
      </c>
      <c r="AH274" s="99">
        <f>IF(AND(ISNUMBER(SEARCH("Delivery",N274)),ISNUMBER(SEARCH("André",N274))),"SIM","")</f>
        <v/>
      </c>
      <c r="AI274" s="99">
        <f>IF(ISNUMBER(SEARCH("Interlagos",N274)),"SIM","")</f>
        <v/>
      </c>
      <c r="AJ274" s="99">
        <f>IF(ISNUMBER(SEARCH("Quiosque",N274)),"SIM","")</f>
        <v/>
      </c>
      <c r="AK274" s="101" t="n"/>
    </row>
    <row r="275">
      <c r="A275" s="88" t="inlineStr">
        <is>
          <t>Protheus</t>
        </is>
      </c>
      <c r="B275" s="96" t="inlineStr">
        <is>
          <t>010054</t>
        </is>
      </c>
      <c r="C275" s="97">
        <f>IF(B275="—","—",IFERROR(VLOOKUP(B275,_Protheus_Cadastro!$A:$B,2,FALSE),"—"))</f>
        <v/>
      </c>
      <c r="D275" s="98">
        <f>IF(B275="—",IFERROR(INDEX(_ZIG_Cadastro!$D:$D,MATCH(H275,_ZIG_Cadastro!$A:$A,0)),"Produto"),IFERROR(VLOOKUP(B275,_Protheus_Cadastro!$A:$C,3,FALSE),"—"))</f>
        <v/>
      </c>
      <c r="E275" s="98">
        <f>IF(B275="—","—",IFERROR(VLOOKUP(B275,_Protheus_Cadastro!$A:$D,4,FALSE),"—"))</f>
        <v/>
      </c>
      <c r="F275" s="98">
        <f>IF(ISERROR(VLOOKUP(B275,'Estrutura Protheus'!A:A,1,FALSE)),"Não","Sim")</f>
        <v/>
      </c>
      <c r="G275" s="99">
        <f>IFERROR(INDEX(_Protheus_Cadastro!$H:$H,MATCH(B275,_Protheus_Cadastro!$A:$A,0)),"—")</f>
        <v/>
      </c>
      <c r="H275" s="211">
        <f>IFERROR(INDEX(_ZIG_Precos!$D:$D,MATCH(I275,_ZIG_Precos!$F:$F,0)),"—")</f>
        <v/>
      </c>
      <c r="I275" s="103">
        <f>IFERROR(VLOOKUP(B275,_Protheus_Cadastro!$A:$I,9,FALSE),"—")</f>
        <v/>
      </c>
      <c r="J275" s="101">
        <f>IFERROR(INDEX(_ZIG_Cadastro!$B:$B,MATCH(I275,_ZIG_Cadastro!$A:$A,0)),IFERROR(INDEX(_Entradas_ZIG!$B:$B,MATCH(I275,_Entradas_ZIG!$C:$C,0)),"—"))</f>
        <v/>
      </c>
      <c r="K275" s="101">
        <f>IFERROR(INDEX(_ZIG_Cadastro!$C:$C,MATCH(I275,_ZIG_Cadastro!$A:$A,0)),IFERROR(INDEX(_Entradas_ZIG!$D:$D,MATCH(I275,_Entradas_ZIG!$C:$C,0)),"—"))</f>
        <v/>
      </c>
      <c r="L275" s="99">
        <f>IF(I275="","Sem SKU ZIG",IF(I275="—","Sem SKU ZIG",IF(NOT(ISERROR(MATCH(I275,_ZIG_Cadastro!$A:$A,0))),IF(EXACT(UPPER(TRIM(C275)),UPPER(TRIM(INDEX(_ZIG_Cadastro!$B:$B,MATCH(I275,_ZIG_Cadastro!$A:$A,0))))),"OK","Atencao - Nome diverge"),IF(NOT(ISERROR(MATCH(I275,_Entradas_ZIG!$C:$C,0))),"OK","Erro - SKU nao encontrado"))))</f>
        <v/>
      </c>
      <c r="M275" s="99">
        <f>IFERROR(INDEX(_ZIG_Cadastro!$G:$G,MATCH(I275,_ZIG_Cadastro!$A:$A,0)),IF(NOT(ISERROR(MATCH(I275,_Entradas_ZIG!$C:$C,0))),"Ativo","—"))</f>
        <v/>
      </c>
      <c r="N275" s="102">
        <f>IFERROR(INDEX(_ZIG_Cadastro!$E:$E,MATCH(I275,_ZIG_Cadastro!$A:$A,0)),IFERROR(INDEX(_Entradas_ZIG!$F:$F,MATCH(I275,_Entradas_ZIG!$C:$C,0)),"—"))</f>
        <v/>
      </c>
      <c r="O275" s="99">
        <f>IF(AND(ISNUMBER(SEARCH("Espeto",N275)),ISNUMBER(SEARCH("Carin",N275))),"SIM","")</f>
        <v/>
      </c>
      <c r="P275" s="99">
        <f>IF(AND(ISNUMBER(SEARCH("Espeto",N275)),ISNUMBER(SEARCH("Lapa",N275))),"SIM","")</f>
        <v/>
      </c>
      <c r="Q275" s="99">
        <f>IF(AND(ISNUMBER(SEARCH("Espeto",N275)),ISNUMBER(SEARCH("Tatuapé",N275))),"SIM","")</f>
        <v/>
      </c>
      <c r="R275" s="99">
        <f>IF(AND(ISNUMBER(SEARCH("Espeto",N275)),ISNUMBER(SEARCH("Pavão",N275))),"SIM","")</f>
        <v/>
      </c>
      <c r="S275" s="99">
        <f>IF(AND(ISNUMBER(SEARCH("Espeto",N275)),ISNUMBER(SEARCH("Chac",N275))),"SIM","")</f>
        <v/>
      </c>
      <c r="T275" s="99">
        <f>IF(AND(ISNUMBER(SEARCH("Espeto",N275)),ISNUMBER(SEARCH("Madalena",N275))),"SIM","")</f>
        <v/>
      </c>
      <c r="U275" s="99">
        <f>IF(AND(ISNUMBER(SEARCH("Espeto",N275)),ISNUMBER(SEARCH("Mariana",N275))),"SIM","")</f>
        <v/>
      </c>
      <c r="V275" s="99">
        <f>IF(AND(ISNUMBER(SEARCH("Espeto",N275)),ISNUMBER(SEARCH("Perdizes",N275))),"SIM","")</f>
        <v/>
      </c>
      <c r="W275" s="99">
        <f>IF(AND(ISNUMBER(SEARCH("Espeto",N275)),ISNUMBER(SEARCH("Santana",N275))),"SIM","")</f>
        <v/>
      </c>
      <c r="X275" s="99">
        <f>IF(AND(ISNUMBER(SEARCH("Espeto",N275)),ISNUMBER(SEARCH("André",N275))),"SIM","")</f>
        <v/>
      </c>
      <c r="Y275" s="99">
        <f>IF(AND(ISNUMBER(SEARCH("Delivery",N275)),ISNUMBER(SEARCH("Carin",N275))),"SIM","")</f>
        <v/>
      </c>
      <c r="Z275" s="99">
        <f>IF(AND(ISNUMBER(SEARCH("Delivery",N275)),ISNUMBER(SEARCH("Lapa",N275))),"SIM","")</f>
        <v/>
      </c>
      <c r="AA275" s="99">
        <f>IF(AND(ISNUMBER(SEARCH("Delivery",N275)),ISNUMBER(SEARCH("Tatuapé",N275))),"SIM","")</f>
        <v/>
      </c>
      <c r="AB275" s="99">
        <f>IF(AND(ISNUMBER(SEARCH("Delivery",N275)),ISNUMBER(SEARCH("Pavão",N275))),"SIM","")</f>
        <v/>
      </c>
      <c r="AC275" s="99">
        <f>IF(AND(ISNUMBER(SEARCH("Delivery",N275)),ISNUMBER(SEARCH("Chac",N275))),"SIM","")</f>
        <v/>
      </c>
      <c r="AD275" s="99">
        <f>IF(AND(ISNUMBER(SEARCH("Delivery",N275)),ISNUMBER(SEARCH("Madalena",N275))),"SIM","")</f>
        <v/>
      </c>
      <c r="AE275" s="92">
        <f>IF(AND(ISNUMBER(SEARCH("Delivery",N275)),ISNUMBER(SEARCH("Mariana",N275))),"SIM","")</f>
        <v/>
      </c>
      <c r="AF275" s="92">
        <f>IF(AND(ISNUMBER(SEARCH("Delivery",N275)),ISNUMBER(SEARCH("Perdizes",N275))),"SIM","")</f>
        <v/>
      </c>
      <c r="AG275" s="92">
        <f>IF(AND(ISNUMBER(SEARCH("Delivery",N275)),ISNUMBER(SEARCH("Santana",N275))),"SIM","")</f>
        <v/>
      </c>
      <c r="AH275" s="92">
        <f>IF(AND(ISNUMBER(SEARCH("Delivery",N275)),ISNUMBER(SEARCH("André",N275))),"SIM","")</f>
        <v/>
      </c>
      <c r="AI275" s="92">
        <f>IF(ISNUMBER(SEARCH("Interlagos",N275)),"SIM","")</f>
        <v/>
      </c>
      <c r="AJ275" s="92">
        <f>IF(ISNUMBER(SEARCH("Quiosque",N275)),"SIM","")</f>
        <v/>
      </c>
      <c r="AK275" s="93" t="n"/>
    </row>
    <row r="276">
      <c r="A276" s="88" t="inlineStr">
        <is>
          <t>Protheus</t>
        </is>
      </c>
      <c r="B276" s="89" t="inlineStr">
        <is>
          <t>010057</t>
        </is>
      </c>
      <c r="C276" s="90">
        <f>IF(B276="—","—",IFERROR(VLOOKUP(B276,_Protheus_Cadastro!$A:$B,2,FALSE),"—"))</f>
        <v/>
      </c>
      <c r="D276" s="91">
        <f>IF(B276="—",IFERROR(INDEX(_ZIG_Cadastro!$D:$D,MATCH(H276,_ZIG_Cadastro!$A:$A,0)),"Produto"),IFERROR(VLOOKUP(B276,_Protheus_Cadastro!$A:$C,3,FALSE),"—"))</f>
        <v/>
      </c>
      <c r="E276" s="91">
        <f>IF(B276="—","—",IFERROR(VLOOKUP(B276,_Protheus_Cadastro!$A:$D,4,FALSE),"—"))</f>
        <v/>
      </c>
      <c r="F276" s="91">
        <f>IF(ISERROR(VLOOKUP(B276,'Estrutura Protheus'!A:A,1,FALSE)),"Não","Sim")</f>
        <v/>
      </c>
      <c r="G276" s="92">
        <f>IFERROR(INDEX(_Protheus_Cadastro!$H:$H,MATCH(B276,_Protheus_Cadastro!$A:$A,0)),"—")</f>
        <v/>
      </c>
      <c r="H276" s="210">
        <f>IFERROR(INDEX(_ZIG_Precos!$D:$D,MATCH(I276,_ZIG_Precos!$F:$F,0)),"—")</f>
        <v/>
      </c>
      <c r="I276" s="95">
        <f>IFERROR(VLOOKUP(B276,_Protheus_Cadastro!$A:$I,9,FALSE),"—")</f>
        <v/>
      </c>
      <c r="J276" s="93">
        <f>IFERROR(INDEX(_ZIG_Cadastro!$B:$B,MATCH(I276,_ZIG_Cadastro!$A:$A,0)),IFERROR(INDEX(_Entradas_ZIG!$B:$B,MATCH(I276,_Entradas_ZIG!$C:$C,0)),"—"))</f>
        <v/>
      </c>
      <c r="K276" s="93">
        <f>IFERROR(INDEX(_ZIG_Cadastro!$C:$C,MATCH(I276,_ZIG_Cadastro!$A:$A,0)),IFERROR(INDEX(_Entradas_ZIG!$D:$D,MATCH(I276,_Entradas_ZIG!$C:$C,0)),"—"))</f>
        <v/>
      </c>
      <c r="L276" s="92">
        <f>IF(I276="","Sem SKU ZIG",IF(I276="—","Sem SKU ZIG",IF(NOT(ISERROR(MATCH(I276,_ZIG_Cadastro!$A:$A,0))),IF(EXACT(UPPER(TRIM(C276)),UPPER(TRIM(INDEX(_ZIG_Cadastro!$B:$B,MATCH(I276,_ZIG_Cadastro!$A:$A,0))))),"OK","Atencao - Nome diverge"),IF(NOT(ISERROR(MATCH(I276,_Entradas_ZIG!$C:$C,0))),"OK","Erro - SKU nao encontrado"))))</f>
        <v/>
      </c>
      <c r="M276" s="92">
        <f>IFERROR(INDEX(_ZIG_Cadastro!$G:$G,MATCH(I276,_ZIG_Cadastro!$A:$A,0)),IF(NOT(ISERROR(MATCH(I276,_Entradas_ZIG!$C:$C,0))),"Ativo","—"))</f>
        <v/>
      </c>
      <c r="N276" s="94">
        <f>IFERROR(INDEX(_ZIG_Cadastro!$E:$E,MATCH(I276,_ZIG_Cadastro!$A:$A,0)),IFERROR(INDEX(_Entradas_ZIG!$F:$F,MATCH(I276,_Entradas_ZIG!$C:$C,0)),"—"))</f>
        <v/>
      </c>
      <c r="O276" s="92">
        <f>IF(AND(ISNUMBER(SEARCH("Espeto",N276)),ISNUMBER(SEARCH("Carin",N276))),"SIM","")</f>
        <v/>
      </c>
      <c r="P276" s="92">
        <f>IF(AND(ISNUMBER(SEARCH("Espeto",N276)),ISNUMBER(SEARCH("Lapa",N276))),"SIM","")</f>
        <v/>
      </c>
      <c r="Q276" s="92">
        <f>IF(AND(ISNUMBER(SEARCH("Espeto",N276)),ISNUMBER(SEARCH("Tatuapé",N276))),"SIM","")</f>
        <v/>
      </c>
      <c r="R276" s="92">
        <f>IF(AND(ISNUMBER(SEARCH("Espeto",N276)),ISNUMBER(SEARCH("Pavão",N276))),"SIM","")</f>
        <v/>
      </c>
      <c r="S276" s="92">
        <f>IF(AND(ISNUMBER(SEARCH("Espeto",N276)),ISNUMBER(SEARCH("Chac",N276))),"SIM","")</f>
        <v/>
      </c>
      <c r="T276" s="92">
        <f>IF(AND(ISNUMBER(SEARCH("Espeto",N276)),ISNUMBER(SEARCH("Madalena",N276))),"SIM","")</f>
        <v/>
      </c>
      <c r="U276" s="92">
        <f>IF(AND(ISNUMBER(SEARCH("Espeto",N276)),ISNUMBER(SEARCH("Mariana",N276))),"SIM","")</f>
        <v/>
      </c>
      <c r="V276" s="92">
        <f>IF(AND(ISNUMBER(SEARCH("Espeto",N276)),ISNUMBER(SEARCH("Perdizes",N276))),"SIM","")</f>
        <v/>
      </c>
      <c r="W276" s="92">
        <f>IF(AND(ISNUMBER(SEARCH("Espeto",N276)),ISNUMBER(SEARCH("Santana",N276))),"SIM","")</f>
        <v/>
      </c>
      <c r="X276" s="92">
        <f>IF(AND(ISNUMBER(SEARCH("Espeto",N276)),ISNUMBER(SEARCH("André",N276))),"SIM","")</f>
        <v/>
      </c>
      <c r="Y276" s="92">
        <f>IF(AND(ISNUMBER(SEARCH("Delivery",N276)),ISNUMBER(SEARCH("Carin",N276))),"SIM","")</f>
        <v/>
      </c>
      <c r="Z276" s="92">
        <f>IF(AND(ISNUMBER(SEARCH("Delivery",N276)),ISNUMBER(SEARCH("Lapa",N276))),"SIM","")</f>
        <v/>
      </c>
      <c r="AA276" s="92">
        <f>IF(AND(ISNUMBER(SEARCH("Delivery",N276)),ISNUMBER(SEARCH("Tatuapé",N276))),"SIM","")</f>
        <v/>
      </c>
      <c r="AB276" s="92">
        <f>IF(AND(ISNUMBER(SEARCH("Delivery",N276)),ISNUMBER(SEARCH("Pavão",N276))),"SIM","")</f>
        <v/>
      </c>
      <c r="AC276" s="92">
        <f>IF(AND(ISNUMBER(SEARCH("Delivery",N276)),ISNUMBER(SEARCH("Chac",N276))),"SIM","")</f>
        <v/>
      </c>
      <c r="AD276" s="92">
        <f>IF(AND(ISNUMBER(SEARCH("Delivery",N276)),ISNUMBER(SEARCH("Madalena",N276))),"SIM","")</f>
        <v/>
      </c>
      <c r="AE276" s="99">
        <f>IF(AND(ISNUMBER(SEARCH("Delivery",N276)),ISNUMBER(SEARCH("Mariana",N276))),"SIM","")</f>
        <v/>
      </c>
      <c r="AF276" s="99">
        <f>IF(AND(ISNUMBER(SEARCH("Delivery",N276)),ISNUMBER(SEARCH("Perdizes",N276))),"SIM","")</f>
        <v/>
      </c>
      <c r="AG276" s="99">
        <f>IF(AND(ISNUMBER(SEARCH("Delivery",N276)),ISNUMBER(SEARCH("Santana",N276))),"SIM","")</f>
        <v/>
      </c>
      <c r="AH276" s="99">
        <f>IF(AND(ISNUMBER(SEARCH("Delivery",N276)),ISNUMBER(SEARCH("André",N276))),"SIM","")</f>
        <v/>
      </c>
      <c r="AI276" s="99">
        <f>IF(ISNUMBER(SEARCH("Interlagos",N276)),"SIM","")</f>
        <v/>
      </c>
      <c r="AJ276" s="99">
        <f>IF(ISNUMBER(SEARCH("Quiosque",N276)),"SIM","")</f>
        <v/>
      </c>
      <c r="AK276" s="101" t="n"/>
    </row>
    <row r="277">
      <c r="A277" s="88" t="inlineStr">
        <is>
          <t>Protheus</t>
        </is>
      </c>
      <c r="B277" s="96" t="inlineStr">
        <is>
          <t>010160</t>
        </is>
      </c>
      <c r="C277" s="97">
        <f>IF(B277="—","—",IFERROR(VLOOKUP(B277,_Protheus_Cadastro!$A:$B,2,FALSE),"—"))</f>
        <v/>
      </c>
      <c r="D277" s="98">
        <f>IF(B277="—",IFERROR(INDEX(_ZIG_Cadastro!$D:$D,MATCH(H277,_ZIG_Cadastro!$A:$A,0)),"Produto"),IFERROR(VLOOKUP(B277,_Protheus_Cadastro!$A:$C,3,FALSE),"—"))</f>
        <v/>
      </c>
      <c r="E277" s="98">
        <f>IF(B277="—","—",IFERROR(VLOOKUP(B277,_Protheus_Cadastro!$A:$D,4,FALSE),"—"))</f>
        <v/>
      </c>
      <c r="F277" s="98">
        <f>IF(ISERROR(VLOOKUP(B277,'Estrutura Protheus'!A:A,1,FALSE)),"Não","Sim")</f>
        <v/>
      </c>
      <c r="G277" s="99">
        <f>IFERROR(INDEX(_Protheus_Cadastro!$H:$H,MATCH(B277,_Protheus_Cadastro!$A:$A,0)),"—")</f>
        <v/>
      </c>
      <c r="H277" s="211">
        <f>IFERROR(INDEX(_ZIG_Precos!$D:$D,MATCH(I277,_ZIG_Precos!$F:$F,0)),"—")</f>
        <v/>
      </c>
      <c r="I277" s="103">
        <f>IFERROR(VLOOKUP(B277,_Protheus_Cadastro!$A:$I,9,FALSE),"—")</f>
        <v/>
      </c>
      <c r="J277" s="101">
        <f>IFERROR(INDEX(_ZIG_Cadastro!$B:$B,MATCH(I277,_ZIG_Cadastro!$A:$A,0)),IFERROR(INDEX(_Entradas_ZIG!$B:$B,MATCH(I277,_Entradas_ZIG!$C:$C,0)),"—"))</f>
        <v/>
      </c>
      <c r="K277" s="101">
        <f>IFERROR(INDEX(_ZIG_Cadastro!$C:$C,MATCH(I277,_ZIG_Cadastro!$A:$A,0)),IFERROR(INDEX(_Entradas_ZIG!$D:$D,MATCH(I277,_Entradas_ZIG!$C:$C,0)),"—"))</f>
        <v/>
      </c>
      <c r="L277" s="99">
        <f>IF(I277="","Sem SKU ZIG",IF(I277="—","Sem SKU ZIG",IF(NOT(ISERROR(MATCH(I277,_ZIG_Cadastro!$A:$A,0))),IF(EXACT(UPPER(TRIM(C277)),UPPER(TRIM(INDEX(_ZIG_Cadastro!$B:$B,MATCH(I277,_ZIG_Cadastro!$A:$A,0))))),"OK","Atencao - Nome diverge"),IF(NOT(ISERROR(MATCH(I277,_Entradas_ZIG!$C:$C,0))),"OK","Erro - SKU nao encontrado"))))</f>
        <v/>
      </c>
      <c r="M277" s="99">
        <f>IFERROR(INDEX(_ZIG_Cadastro!$G:$G,MATCH(I277,_ZIG_Cadastro!$A:$A,0)),IF(NOT(ISERROR(MATCH(I277,_Entradas_ZIG!$C:$C,0))),"Ativo","—"))</f>
        <v/>
      </c>
      <c r="N277" s="102">
        <f>IFERROR(INDEX(_ZIG_Cadastro!$E:$E,MATCH(I277,_ZIG_Cadastro!$A:$A,0)),IFERROR(INDEX(_Entradas_ZIG!$F:$F,MATCH(I277,_Entradas_ZIG!$C:$C,0)),"—"))</f>
        <v/>
      </c>
      <c r="O277" s="99">
        <f>IF(AND(ISNUMBER(SEARCH("Espeto",N277)),ISNUMBER(SEARCH("Carin",N277))),"SIM","")</f>
        <v/>
      </c>
      <c r="P277" s="99">
        <f>IF(AND(ISNUMBER(SEARCH("Espeto",N277)),ISNUMBER(SEARCH("Lapa",N277))),"SIM","")</f>
        <v/>
      </c>
      <c r="Q277" s="99">
        <f>IF(AND(ISNUMBER(SEARCH("Espeto",N277)),ISNUMBER(SEARCH("Tatuapé",N277))),"SIM","")</f>
        <v/>
      </c>
      <c r="R277" s="99">
        <f>IF(AND(ISNUMBER(SEARCH("Espeto",N277)),ISNUMBER(SEARCH("Pavão",N277))),"SIM","")</f>
        <v/>
      </c>
      <c r="S277" s="99">
        <f>IF(AND(ISNUMBER(SEARCH("Espeto",N277)),ISNUMBER(SEARCH("Chac",N277))),"SIM","")</f>
        <v/>
      </c>
      <c r="T277" s="99">
        <f>IF(AND(ISNUMBER(SEARCH("Espeto",N277)),ISNUMBER(SEARCH("Madalena",N277))),"SIM","")</f>
        <v/>
      </c>
      <c r="U277" s="99">
        <f>IF(AND(ISNUMBER(SEARCH("Espeto",N277)),ISNUMBER(SEARCH("Mariana",N277))),"SIM","")</f>
        <v/>
      </c>
      <c r="V277" s="99">
        <f>IF(AND(ISNUMBER(SEARCH("Espeto",N277)),ISNUMBER(SEARCH("Perdizes",N277))),"SIM","")</f>
        <v/>
      </c>
      <c r="W277" s="99">
        <f>IF(AND(ISNUMBER(SEARCH("Espeto",N277)),ISNUMBER(SEARCH("Santana",N277))),"SIM","")</f>
        <v/>
      </c>
      <c r="X277" s="99">
        <f>IF(AND(ISNUMBER(SEARCH("Espeto",N277)),ISNUMBER(SEARCH("André",N277))),"SIM","")</f>
        <v/>
      </c>
      <c r="Y277" s="99">
        <f>IF(AND(ISNUMBER(SEARCH("Delivery",N277)),ISNUMBER(SEARCH("Carin",N277))),"SIM","")</f>
        <v/>
      </c>
      <c r="Z277" s="99">
        <f>IF(AND(ISNUMBER(SEARCH("Delivery",N277)),ISNUMBER(SEARCH("Lapa",N277))),"SIM","")</f>
        <v/>
      </c>
      <c r="AA277" s="99">
        <f>IF(AND(ISNUMBER(SEARCH("Delivery",N277)),ISNUMBER(SEARCH("Tatuapé",N277))),"SIM","")</f>
        <v/>
      </c>
      <c r="AB277" s="99">
        <f>IF(AND(ISNUMBER(SEARCH("Delivery",N277)),ISNUMBER(SEARCH("Pavão",N277))),"SIM","")</f>
        <v/>
      </c>
      <c r="AC277" s="99">
        <f>IF(AND(ISNUMBER(SEARCH("Delivery",N277)),ISNUMBER(SEARCH("Chac",N277))),"SIM","")</f>
        <v/>
      </c>
      <c r="AD277" s="99">
        <f>IF(AND(ISNUMBER(SEARCH("Delivery",N277)),ISNUMBER(SEARCH("Madalena",N277))),"SIM","")</f>
        <v/>
      </c>
      <c r="AE277" s="92">
        <f>IF(AND(ISNUMBER(SEARCH("Delivery",N277)),ISNUMBER(SEARCH("Mariana",N277))),"SIM","")</f>
        <v/>
      </c>
      <c r="AF277" s="92">
        <f>IF(AND(ISNUMBER(SEARCH("Delivery",N277)),ISNUMBER(SEARCH("Perdizes",N277))),"SIM","")</f>
        <v/>
      </c>
      <c r="AG277" s="92">
        <f>IF(AND(ISNUMBER(SEARCH("Delivery",N277)),ISNUMBER(SEARCH("Santana",N277))),"SIM","")</f>
        <v/>
      </c>
      <c r="AH277" s="92">
        <f>IF(AND(ISNUMBER(SEARCH("Delivery",N277)),ISNUMBER(SEARCH("André",N277))),"SIM","")</f>
        <v/>
      </c>
      <c r="AI277" s="92">
        <f>IF(ISNUMBER(SEARCH("Interlagos",N277)),"SIM","")</f>
        <v/>
      </c>
      <c r="AJ277" s="92">
        <f>IF(ISNUMBER(SEARCH("Quiosque",N277)),"SIM","")</f>
        <v/>
      </c>
      <c r="AK277" s="93" t="n"/>
    </row>
    <row r="278">
      <c r="A278" s="88" t="inlineStr">
        <is>
          <t>Protheus</t>
        </is>
      </c>
      <c r="B278" s="89" t="inlineStr">
        <is>
          <t>001568</t>
        </is>
      </c>
      <c r="C278" s="90">
        <f>IF(B278="—","—",IFERROR(VLOOKUP(B278,_Protheus_Cadastro!$A:$B,2,FALSE),"—"))</f>
        <v/>
      </c>
      <c r="D278" s="91">
        <f>IF(B278="—",IFERROR(INDEX(_ZIG_Cadastro!$D:$D,MATCH(H278,_ZIG_Cadastro!$A:$A,0)),"Produto"),IFERROR(VLOOKUP(B278,_Protheus_Cadastro!$A:$C,3,FALSE),"—"))</f>
        <v/>
      </c>
      <c r="E278" s="91">
        <f>IF(B278="—","—",IFERROR(VLOOKUP(B278,_Protheus_Cadastro!$A:$D,4,FALSE),"—"))</f>
        <v/>
      </c>
      <c r="F278" s="91">
        <f>IF(ISERROR(VLOOKUP(B278,'Estrutura Protheus'!A:A,1,FALSE)),"Não","Sim")</f>
        <v/>
      </c>
      <c r="G278" s="92">
        <f>IFERROR(INDEX(_Protheus_Cadastro!$H:$H,MATCH(B278,_Protheus_Cadastro!$A:$A,0)),"—")</f>
        <v/>
      </c>
      <c r="H278" s="210">
        <f>IFERROR(INDEX(_ZIG_Precos!$D:$D,MATCH(I278,_ZIG_Precos!$F:$F,0)),"—")</f>
        <v/>
      </c>
      <c r="I278" s="95">
        <f>IFERROR(VLOOKUP(B278,_Protheus_Cadastro!$A:$I,9,FALSE),"—")</f>
        <v/>
      </c>
      <c r="J278" s="93">
        <f>IFERROR(INDEX(_ZIG_Cadastro!$B:$B,MATCH(I278,_ZIG_Cadastro!$A:$A,0)),IFERROR(INDEX(_Entradas_ZIG!$B:$B,MATCH(I278,_Entradas_ZIG!$C:$C,0)),"—"))</f>
        <v/>
      </c>
      <c r="K278" s="93">
        <f>IFERROR(INDEX(_ZIG_Cadastro!$C:$C,MATCH(I278,_ZIG_Cadastro!$A:$A,0)),IFERROR(INDEX(_Entradas_ZIG!$D:$D,MATCH(I278,_Entradas_ZIG!$C:$C,0)),"—"))</f>
        <v/>
      </c>
      <c r="L278" s="92">
        <f>IF(I278="","Sem SKU ZIG",IF(I278="—","Sem SKU ZIG",IF(NOT(ISERROR(MATCH(I278,_ZIG_Cadastro!$A:$A,0))),IF(EXACT(UPPER(TRIM(C278)),UPPER(TRIM(INDEX(_ZIG_Cadastro!$B:$B,MATCH(I278,_ZIG_Cadastro!$A:$A,0))))),"OK","Atencao - Nome diverge"),IF(NOT(ISERROR(MATCH(I278,_Entradas_ZIG!$C:$C,0))),"OK","Erro - SKU nao encontrado"))))</f>
        <v/>
      </c>
      <c r="M278" s="92">
        <f>IFERROR(INDEX(_ZIG_Cadastro!$G:$G,MATCH(I278,_ZIG_Cadastro!$A:$A,0)),IF(NOT(ISERROR(MATCH(I278,_Entradas_ZIG!$C:$C,0))),"Ativo","—"))</f>
        <v/>
      </c>
      <c r="N278" s="94">
        <f>IFERROR(INDEX(_ZIG_Cadastro!$E:$E,MATCH(I278,_ZIG_Cadastro!$A:$A,0)),IFERROR(INDEX(_Entradas_ZIG!$F:$F,MATCH(I278,_Entradas_ZIG!$C:$C,0)),"—"))</f>
        <v/>
      </c>
      <c r="O278" s="92">
        <f>IF(AND(ISNUMBER(SEARCH("Espeto",N278)),ISNUMBER(SEARCH("Carin",N278))),"SIM","")</f>
        <v/>
      </c>
      <c r="P278" s="92">
        <f>IF(AND(ISNUMBER(SEARCH("Espeto",N278)),ISNUMBER(SEARCH("Lapa",N278))),"SIM","")</f>
        <v/>
      </c>
      <c r="Q278" s="92">
        <f>IF(AND(ISNUMBER(SEARCH("Espeto",N278)),ISNUMBER(SEARCH("Tatuapé",N278))),"SIM","")</f>
        <v/>
      </c>
      <c r="R278" s="92">
        <f>IF(AND(ISNUMBER(SEARCH("Espeto",N278)),ISNUMBER(SEARCH("Pavão",N278))),"SIM","")</f>
        <v/>
      </c>
      <c r="S278" s="92">
        <f>IF(AND(ISNUMBER(SEARCH("Espeto",N278)),ISNUMBER(SEARCH("Chac",N278))),"SIM","")</f>
        <v/>
      </c>
      <c r="T278" s="92">
        <f>IF(AND(ISNUMBER(SEARCH("Espeto",N278)),ISNUMBER(SEARCH("Madalena",N278))),"SIM","")</f>
        <v/>
      </c>
      <c r="U278" s="92">
        <f>IF(AND(ISNUMBER(SEARCH("Espeto",N278)),ISNUMBER(SEARCH("Mariana",N278))),"SIM","")</f>
        <v/>
      </c>
      <c r="V278" s="92">
        <f>IF(AND(ISNUMBER(SEARCH("Espeto",N278)),ISNUMBER(SEARCH("Perdizes",N278))),"SIM","")</f>
        <v/>
      </c>
      <c r="W278" s="92">
        <f>IF(AND(ISNUMBER(SEARCH("Espeto",N278)),ISNUMBER(SEARCH("Santana",N278))),"SIM","")</f>
        <v/>
      </c>
      <c r="X278" s="92">
        <f>IF(AND(ISNUMBER(SEARCH("Espeto",N278)),ISNUMBER(SEARCH("André",N278))),"SIM","")</f>
        <v/>
      </c>
      <c r="Y278" s="92">
        <f>IF(AND(ISNUMBER(SEARCH("Delivery",N278)),ISNUMBER(SEARCH("Carin",N278))),"SIM","")</f>
        <v/>
      </c>
      <c r="Z278" s="92">
        <f>IF(AND(ISNUMBER(SEARCH("Delivery",N278)),ISNUMBER(SEARCH("Lapa",N278))),"SIM","")</f>
        <v/>
      </c>
      <c r="AA278" s="92">
        <f>IF(AND(ISNUMBER(SEARCH("Delivery",N278)),ISNUMBER(SEARCH("Tatuapé",N278))),"SIM","")</f>
        <v/>
      </c>
      <c r="AB278" s="92">
        <f>IF(AND(ISNUMBER(SEARCH("Delivery",N278)),ISNUMBER(SEARCH("Pavão",N278))),"SIM","")</f>
        <v/>
      </c>
      <c r="AC278" s="92">
        <f>IF(AND(ISNUMBER(SEARCH("Delivery",N278)),ISNUMBER(SEARCH("Chac",N278))),"SIM","")</f>
        <v/>
      </c>
      <c r="AD278" s="92">
        <f>IF(AND(ISNUMBER(SEARCH("Delivery",N278)),ISNUMBER(SEARCH("Madalena",N278))),"SIM","")</f>
        <v/>
      </c>
      <c r="AE278" s="99">
        <f>IF(AND(ISNUMBER(SEARCH("Delivery",N278)),ISNUMBER(SEARCH("Mariana",N278))),"SIM","")</f>
        <v/>
      </c>
      <c r="AF278" s="99">
        <f>IF(AND(ISNUMBER(SEARCH("Delivery",N278)),ISNUMBER(SEARCH("Perdizes",N278))),"SIM","")</f>
        <v/>
      </c>
      <c r="AG278" s="99">
        <f>IF(AND(ISNUMBER(SEARCH("Delivery",N278)),ISNUMBER(SEARCH("Santana",N278))),"SIM","")</f>
        <v/>
      </c>
      <c r="AH278" s="99">
        <f>IF(AND(ISNUMBER(SEARCH("Delivery",N278)),ISNUMBER(SEARCH("André",N278))),"SIM","")</f>
        <v/>
      </c>
      <c r="AI278" s="99">
        <f>IF(ISNUMBER(SEARCH("Interlagos",N278)),"SIM","")</f>
        <v/>
      </c>
      <c r="AJ278" s="99">
        <f>IF(ISNUMBER(SEARCH("Quiosque",N278)),"SIM","")</f>
        <v/>
      </c>
      <c r="AK278" s="101" t="n"/>
    </row>
    <row r="279">
      <c r="A279" s="88" t="inlineStr">
        <is>
          <t>Protheus</t>
        </is>
      </c>
      <c r="B279" s="96" t="inlineStr">
        <is>
          <t>001106</t>
        </is>
      </c>
      <c r="C279" s="97">
        <f>IF(B279="—","—",IFERROR(VLOOKUP(B279,_Protheus_Cadastro!$A:$B,2,FALSE),"—"))</f>
        <v/>
      </c>
      <c r="D279" s="98">
        <f>IF(B279="—",IFERROR(INDEX(_ZIG_Cadastro!$D:$D,MATCH(H279,_ZIG_Cadastro!$A:$A,0)),"Produto"),IFERROR(VLOOKUP(B279,_Protheus_Cadastro!$A:$C,3,FALSE),"—"))</f>
        <v/>
      </c>
      <c r="E279" s="98">
        <f>IF(B279="—","—",IFERROR(VLOOKUP(B279,_Protheus_Cadastro!$A:$D,4,FALSE),"—"))</f>
        <v/>
      </c>
      <c r="F279" s="98">
        <f>IF(ISERROR(VLOOKUP(B279,'Estrutura Protheus'!A:A,1,FALSE)),"Não","Sim")</f>
        <v/>
      </c>
      <c r="G279" s="99">
        <f>IFERROR(INDEX(_Protheus_Cadastro!$H:$H,MATCH(B279,_Protheus_Cadastro!$A:$A,0)),"—")</f>
        <v/>
      </c>
      <c r="H279" s="211">
        <f>IFERROR(INDEX(_ZIG_Precos!$D:$D,MATCH(I279,_ZIG_Precos!$F:$F,0)),"—")</f>
        <v/>
      </c>
      <c r="I279" s="103">
        <f>IFERROR(VLOOKUP(B279,_Protheus_Cadastro!$A:$I,9,FALSE),"—")</f>
        <v/>
      </c>
      <c r="J279" s="101">
        <f>IFERROR(INDEX(_ZIG_Cadastro!$B:$B,MATCH(I279,_ZIG_Cadastro!$A:$A,0)),IFERROR(INDEX(_Entradas_ZIG!$B:$B,MATCH(I279,_Entradas_ZIG!$C:$C,0)),"—"))</f>
        <v/>
      </c>
      <c r="K279" s="101">
        <f>IFERROR(INDEX(_ZIG_Cadastro!$C:$C,MATCH(I279,_ZIG_Cadastro!$A:$A,0)),IFERROR(INDEX(_Entradas_ZIG!$D:$D,MATCH(I279,_Entradas_ZIG!$C:$C,0)),"—"))</f>
        <v/>
      </c>
      <c r="L279" s="99">
        <f>IF(I279="","Sem SKU ZIG",IF(I279="—","Sem SKU ZIG",IF(NOT(ISERROR(MATCH(I279,_ZIG_Cadastro!$A:$A,0))),IF(EXACT(UPPER(TRIM(C279)),UPPER(TRIM(INDEX(_ZIG_Cadastro!$B:$B,MATCH(I279,_ZIG_Cadastro!$A:$A,0))))),"OK","Atencao - Nome diverge"),IF(NOT(ISERROR(MATCH(I279,_Entradas_ZIG!$C:$C,0))),"OK","Erro - SKU nao encontrado"))))</f>
        <v/>
      </c>
      <c r="M279" s="99">
        <f>IFERROR(INDEX(_ZIG_Cadastro!$G:$G,MATCH(I279,_ZIG_Cadastro!$A:$A,0)),IF(NOT(ISERROR(MATCH(I279,_Entradas_ZIG!$C:$C,0))),"Ativo","—"))</f>
        <v/>
      </c>
      <c r="N279" s="102">
        <f>IFERROR(INDEX(_ZIG_Cadastro!$E:$E,MATCH(I279,_ZIG_Cadastro!$A:$A,0)),IFERROR(INDEX(_Entradas_ZIG!$F:$F,MATCH(I279,_Entradas_ZIG!$C:$C,0)),"—"))</f>
        <v/>
      </c>
      <c r="O279" s="99">
        <f>IF(AND(ISNUMBER(SEARCH("Espeto",N279)),ISNUMBER(SEARCH("Carin",N279))),"SIM","")</f>
        <v/>
      </c>
      <c r="P279" s="99">
        <f>IF(AND(ISNUMBER(SEARCH("Espeto",N279)),ISNUMBER(SEARCH("Lapa",N279))),"SIM","")</f>
        <v/>
      </c>
      <c r="Q279" s="99">
        <f>IF(AND(ISNUMBER(SEARCH("Espeto",N279)),ISNUMBER(SEARCH("Tatuapé",N279))),"SIM","")</f>
        <v/>
      </c>
      <c r="R279" s="99">
        <f>IF(AND(ISNUMBER(SEARCH("Espeto",N279)),ISNUMBER(SEARCH("Pavão",N279))),"SIM","")</f>
        <v/>
      </c>
      <c r="S279" s="99">
        <f>IF(AND(ISNUMBER(SEARCH("Espeto",N279)),ISNUMBER(SEARCH("Chac",N279))),"SIM","")</f>
        <v/>
      </c>
      <c r="T279" s="99">
        <f>IF(AND(ISNUMBER(SEARCH("Espeto",N279)),ISNUMBER(SEARCH("Madalena",N279))),"SIM","")</f>
        <v/>
      </c>
      <c r="U279" s="99">
        <f>IF(AND(ISNUMBER(SEARCH("Espeto",N279)),ISNUMBER(SEARCH("Mariana",N279))),"SIM","")</f>
        <v/>
      </c>
      <c r="V279" s="99">
        <f>IF(AND(ISNUMBER(SEARCH("Espeto",N279)),ISNUMBER(SEARCH("Perdizes",N279))),"SIM","")</f>
        <v/>
      </c>
      <c r="W279" s="99">
        <f>IF(AND(ISNUMBER(SEARCH("Espeto",N279)),ISNUMBER(SEARCH("Santana",N279))),"SIM","")</f>
        <v/>
      </c>
      <c r="X279" s="99">
        <f>IF(AND(ISNUMBER(SEARCH("Espeto",N279)),ISNUMBER(SEARCH("André",N279))),"SIM","")</f>
        <v/>
      </c>
      <c r="Y279" s="99">
        <f>IF(AND(ISNUMBER(SEARCH("Delivery",N279)),ISNUMBER(SEARCH("Carin",N279))),"SIM","")</f>
        <v/>
      </c>
      <c r="Z279" s="99">
        <f>IF(AND(ISNUMBER(SEARCH("Delivery",N279)),ISNUMBER(SEARCH("Lapa",N279))),"SIM","")</f>
        <v/>
      </c>
      <c r="AA279" s="99">
        <f>IF(AND(ISNUMBER(SEARCH("Delivery",N279)),ISNUMBER(SEARCH("Tatuapé",N279))),"SIM","")</f>
        <v/>
      </c>
      <c r="AB279" s="99">
        <f>IF(AND(ISNUMBER(SEARCH("Delivery",N279)),ISNUMBER(SEARCH("Pavão",N279))),"SIM","")</f>
        <v/>
      </c>
      <c r="AC279" s="99">
        <f>IF(AND(ISNUMBER(SEARCH("Delivery",N279)),ISNUMBER(SEARCH("Chac",N279))),"SIM","")</f>
        <v/>
      </c>
      <c r="AD279" s="99">
        <f>IF(AND(ISNUMBER(SEARCH("Delivery",N279)),ISNUMBER(SEARCH("Madalena",N279))),"SIM","")</f>
        <v/>
      </c>
      <c r="AE279" s="92">
        <f>IF(AND(ISNUMBER(SEARCH("Delivery",N279)),ISNUMBER(SEARCH("Mariana",N279))),"SIM","")</f>
        <v/>
      </c>
      <c r="AF279" s="92">
        <f>IF(AND(ISNUMBER(SEARCH("Delivery",N279)),ISNUMBER(SEARCH("Perdizes",N279))),"SIM","")</f>
        <v/>
      </c>
      <c r="AG279" s="92">
        <f>IF(AND(ISNUMBER(SEARCH("Delivery",N279)),ISNUMBER(SEARCH("Santana",N279))),"SIM","")</f>
        <v/>
      </c>
      <c r="AH279" s="92">
        <f>IF(AND(ISNUMBER(SEARCH("Delivery",N279)),ISNUMBER(SEARCH("André",N279))),"SIM","")</f>
        <v/>
      </c>
      <c r="AI279" s="92">
        <f>IF(ISNUMBER(SEARCH("Interlagos",N279)),"SIM","")</f>
        <v/>
      </c>
      <c r="AJ279" s="92">
        <f>IF(ISNUMBER(SEARCH("Quiosque",N279)),"SIM","")</f>
        <v/>
      </c>
      <c r="AK279" s="93" t="n"/>
    </row>
    <row r="280">
      <c r="A280" s="88" t="inlineStr">
        <is>
          <t>Protheus</t>
        </is>
      </c>
      <c r="B280" s="89" t="inlineStr">
        <is>
          <t>009986</t>
        </is>
      </c>
      <c r="C280" s="90">
        <f>IF(B280="—","—",IFERROR(VLOOKUP(B280,_Protheus_Cadastro!$A:$B,2,FALSE),"—"))</f>
        <v/>
      </c>
      <c r="D280" s="91">
        <f>IF(B280="—",IFERROR(INDEX(_ZIG_Cadastro!$D:$D,MATCH(H280,_ZIG_Cadastro!$A:$A,0)),"Produto"),IFERROR(VLOOKUP(B280,_Protheus_Cadastro!$A:$C,3,FALSE),"—"))</f>
        <v/>
      </c>
      <c r="E280" s="91">
        <f>IF(B280="—","—",IFERROR(VLOOKUP(B280,_Protheus_Cadastro!$A:$D,4,FALSE),"—"))</f>
        <v/>
      </c>
      <c r="F280" s="91">
        <f>IF(ISERROR(VLOOKUP(B280,'Estrutura Protheus'!A:A,1,FALSE)),"Não","Sim")</f>
        <v/>
      </c>
      <c r="G280" s="92">
        <f>IFERROR(INDEX(_Protheus_Cadastro!$H:$H,MATCH(B280,_Protheus_Cadastro!$A:$A,0)),"—")</f>
        <v/>
      </c>
      <c r="H280" s="210">
        <f>IFERROR(INDEX(_ZIG_Precos!$D:$D,MATCH(I280,_ZIG_Precos!$F:$F,0)),"—")</f>
        <v/>
      </c>
      <c r="I280" s="95">
        <f>IFERROR(VLOOKUP(B280,_Protheus_Cadastro!$A:$I,9,FALSE),"—")</f>
        <v/>
      </c>
      <c r="J280" s="93">
        <f>IFERROR(INDEX(_ZIG_Cadastro!$B:$B,MATCH(I280,_ZIG_Cadastro!$A:$A,0)),IFERROR(INDEX(_Entradas_ZIG!$B:$B,MATCH(I280,_Entradas_ZIG!$C:$C,0)),"—"))</f>
        <v/>
      </c>
      <c r="K280" s="93">
        <f>IFERROR(INDEX(_ZIG_Cadastro!$C:$C,MATCH(I280,_ZIG_Cadastro!$A:$A,0)),IFERROR(INDEX(_Entradas_ZIG!$D:$D,MATCH(I280,_Entradas_ZIG!$C:$C,0)),"—"))</f>
        <v/>
      </c>
      <c r="L280" s="92">
        <f>IF(I280="","Sem SKU ZIG",IF(I280="—","Sem SKU ZIG",IF(NOT(ISERROR(MATCH(I280,_ZIG_Cadastro!$A:$A,0))),IF(EXACT(UPPER(TRIM(C280)),UPPER(TRIM(INDEX(_ZIG_Cadastro!$B:$B,MATCH(I280,_ZIG_Cadastro!$A:$A,0))))),"OK","Atencao - Nome diverge"),IF(NOT(ISERROR(MATCH(I280,_Entradas_ZIG!$C:$C,0))),"OK","Erro - SKU nao encontrado"))))</f>
        <v/>
      </c>
      <c r="M280" s="92">
        <f>IFERROR(INDEX(_ZIG_Cadastro!$G:$G,MATCH(I280,_ZIG_Cadastro!$A:$A,0)),IF(NOT(ISERROR(MATCH(I280,_Entradas_ZIG!$C:$C,0))),"Ativo","—"))</f>
        <v/>
      </c>
      <c r="N280" s="94">
        <f>IFERROR(INDEX(_ZIG_Cadastro!$E:$E,MATCH(I280,_ZIG_Cadastro!$A:$A,0)),IFERROR(INDEX(_Entradas_ZIG!$F:$F,MATCH(I280,_Entradas_ZIG!$C:$C,0)),"—"))</f>
        <v/>
      </c>
      <c r="O280" s="92">
        <f>IF(AND(ISNUMBER(SEARCH("Espeto",N280)),ISNUMBER(SEARCH("Carin",N280))),"SIM","")</f>
        <v/>
      </c>
      <c r="P280" s="92">
        <f>IF(AND(ISNUMBER(SEARCH("Espeto",N280)),ISNUMBER(SEARCH("Lapa",N280))),"SIM","")</f>
        <v/>
      </c>
      <c r="Q280" s="92">
        <f>IF(AND(ISNUMBER(SEARCH("Espeto",N280)),ISNUMBER(SEARCH("Tatuapé",N280))),"SIM","")</f>
        <v/>
      </c>
      <c r="R280" s="92">
        <f>IF(AND(ISNUMBER(SEARCH("Espeto",N280)),ISNUMBER(SEARCH("Pavão",N280))),"SIM","")</f>
        <v/>
      </c>
      <c r="S280" s="92">
        <f>IF(AND(ISNUMBER(SEARCH("Espeto",N280)),ISNUMBER(SEARCH("Chac",N280))),"SIM","")</f>
        <v/>
      </c>
      <c r="T280" s="92">
        <f>IF(AND(ISNUMBER(SEARCH("Espeto",N280)),ISNUMBER(SEARCH("Madalena",N280))),"SIM","")</f>
        <v/>
      </c>
      <c r="U280" s="92">
        <f>IF(AND(ISNUMBER(SEARCH("Espeto",N280)),ISNUMBER(SEARCH("Mariana",N280))),"SIM","")</f>
        <v/>
      </c>
      <c r="V280" s="92">
        <f>IF(AND(ISNUMBER(SEARCH("Espeto",N280)),ISNUMBER(SEARCH("Perdizes",N280))),"SIM","")</f>
        <v/>
      </c>
      <c r="W280" s="92">
        <f>IF(AND(ISNUMBER(SEARCH("Espeto",N280)),ISNUMBER(SEARCH("Santana",N280))),"SIM","")</f>
        <v/>
      </c>
      <c r="X280" s="92">
        <f>IF(AND(ISNUMBER(SEARCH("Espeto",N280)),ISNUMBER(SEARCH("André",N280))),"SIM","")</f>
        <v/>
      </c>
      <c r="Y280" s="92">
        <f>IF(AND(ISNUMBER(SEARCH("Delivery",N280)),ISNUMBER(SEARCH("Carin",N280))),"SIM","")</f>
        <v/>
      </c>
      <c r="Z280" s="92">
        <f>IF(AND(ISNUMBER(SEARCH("Delivery",N280)),ISNUMBER(SEARCH("Lapa",N280))),"SIM","")</f>
        <v/>
      </c>
      <c r="AA280" s="92">
        <f>IF(AND(ISNUMBER(SEARCH("Delivery",N280)),ISNUMBER(SEARCH("Tatuapé",N280))),"SIM","")</f>
        <v/>
      </c>
      <c r="AB280" s="92">
        <f>IF(AND(ISNUMBER(SEARCH("Delivery",N280)),ISNUMBER(SEARCH("Pavão",N280))),"SIM","")</f>
        <v/>
      </c>
      <c r="AC280" s="92">
        <f>IF(AND(ISNUMBER(SEARCH("Delivery",N280)),ISNUMBER(SEARCH("Chac",N280))),"SIM","")</f>
        <v/>
      </c>
      <c r="AD280" s="92">
        <f>IF(AND(ISNUMBER(SEARCH("Delivery",N280)),ISNUMBER(SEARCH("Madalena",N280))),"SIM","")</f>
        <v/>
      </c>
      <c r="AE280" s="99">
        <f>IF(AND(ISNUMBER(SEARCH("Delivery",N280)),ISNUMBER(SEARCH("Mariana",N280))),"SIM","")</f>
        <v/>
      </c>
      <c r="AF280" s="99">
        <f>IF(AND(ISNUMBER(SEARCH("Delivery",N280)),ISNUMBER(SEARCH("Perdizes",N280))),"SIM","")</f>
        <v/>
      </c>
      <c r="AG280" s="99">
        <f>IF(AND(ISNUMBER(SEARCH("Delivery",N280)),ISNUMBER(SEARCH("Santana",N280))),"SIM","")</f>
        <v/>
      </c>
      <c r="AH280" s="99">
        <f>IF(AND(ISNUMBER(SEARCH("Delivery",N280)),ISNUMBER(SEARCH("André",N280))),"SIM","")</f>
        <v/>
      </c>
      <c r="AI280" s="99">
        <f>IF(ISNUMBER(SEARCH("Interlagos",N280)),"SIM","")</f>
        <v/>
      </c>
      <c r="AJ280" s="99">
        <f>IF(ISNUMBER(SEARCH("Quiosque",N280)),"SIM","")</f>
        <v/>
      </c>
      <c r="AK280" s="101" t="n"/>
    </row>
    <row r="281">
      <c r="A281" s="88" t="inlineStr">
        <is>
          <t>Protheus</t>
        </is>
      </c>
      <c r="B281" s="96" t="inlineStr">
        <is>
          <t>009991</t>
        </is>
      </c>
      <c r="C281" s="97">
        <f>IF(B281="—","—",IFERROR(VLOOKUP(B281,_Protheus_Cadastro!$A:$B,2,FALSE),"—"))</f>
        <v/>
      </c>
      <c r="D281" s="98">
        <f>IF(B281="—",IFERROR(INDEX(_ZIG_Cadastro!$D:$D,MATCH(H281,_ZIG_Cadastro!$A:$A,0)),"Produto"),IFERROR(VLOOKUP(B281,_Protheus_Cadastro!$A:$C,3,FALSE),"—"))</f>
        <v/>
      </c>
      <c r="E281" s="98">
        <f>IF(B281="—","—",IFERROR(VLOOKUP(B281,_Protheus_Cadastro!$A:$D,4,FALSE),"—"))</f>
        <v/>
      </c>
      <c r="F281" s="98">
        <f>IF(ISERROR(VLOOKUP(B281,'Estrutura Protheus'!A:A,1,FALSE)),"Não","Sim")</f>
        <v/>
      </c>
      <c r="G281" s="99">
        <f>IFERROR(INDEX(_Protheus_Cadastro!$H:$H,MATCH(B281,_Protheus_Cadastro!$A:$A,0)),"—")</f>
        <v/>
      </c>
      <c r="H281" s="211">
        <f>IFERROR(INDEX(_ZIG_Precos!$D:$D,MATCH(I281,_ZIG_Precos!$F:$F,0)),"—")</f>
        <v/>
      </c>
      <c r="I281" s="103">
        <f>IFERROR(VLOOKUP(B281,_Protheus_Cadastro!$A:$I,9,FALSE),"—")</f>
        <v/>
      </c>
      <c r="J281" s="101">
        <f>IFERROR(INDEX(_ZIG_Cadastro!$B:$B,MATCH(I281,_ZIG_Cadastro!$A:$A,0)),IFERROR(INDEX(_Entradas_ZIG!$B:$B,MATCH(I281,_Entradas_ZIG!$C:$C,0)),"—"))</f>
        <v/>
      </c>
      <c r="K281" s="101">
        <f>IFERROR(INDEX(_ZIG_Cadastro!$C:$C,MATCH(I281,_ZIG_Cadastro!$A:$A,0)),IFERROR(INDEX(_Entradas_ZIG!$D:$D,MATCH(I281,_Entradas_ZIG!$C:$C,0)),"—"))</f>
        <v/>
      </c>
      <c r="L281" s="99">
        <f>IF(I281="","Sem SKU ZIG",IF(I281="—","Sem SKU ZIG",IF(NOT(ISERROR(MATCH(I281,_ZIG_Cadastro!$A:$A,0))),IF(EXACT(UPPER(TRIM(C281)),UPPER(TRIM(INDEX(_ZIG_Cadastro!$B:$B,MATCH(I281,_ZIG_Cadastro!$A:$A,0))))),"OK","Atencao - Nome diverge"),IF(NOT(ISERROR(MATCH(I281,_Entradas_ZIG!$C:$C,0))),"OK","Erro - SKU nao encontrado"))))</f>
        <v/>
      </c>
      <c r="M281" s="99">
        <f>IFERROR(INDEX(_ZIG_Cadastro!$G:$G,MATCH(I281,_ZIG_Cadastro!$A:$A,0)),IF(NOT(ISERROR(MATCH(I281,_Entradas_ZIG!$C:$C,0))),"Ativo","—"))</f>
        <v/>
      </c>
      <c r="N281" s="102">
        <f>IFERROR(INDEX(_ZIG_Cadastro!$E:$E,MATCH(I281,_ZIG_Cadastro!$A:$A,0)),IFERROR(INDEX(_Entradas_ZIG!$F:$F,MATCH(I281,_Entradas_ZIG!$C:$C,0)),"—"))</f>
        <v/>
      </c>
      <c r="O281" s="99">
        <f>IF(AND(ISNUMBER(SEARCH("Espeto",N281)),ISNUMBER(SEARCH("Carin",N281))),"SIM","")</f>
        <v/>
      </c>
      <c r="P281" s="99">
        <f>IF(AND(ISNUMBER(SEARCH("Espeto",N281)),ISNUMBER(SEARCH("Lapa",N281))),"SIM","")</f>
        <v/>
      </c>
      <c r="Q281" s="99">
        <f>IF(AND(ISNUMBER(SEARCH("Espeto",N281)),ISNUMBER(SEARCH("Tatuapé",N281))),"SIM","")</f>
        <v/>
      </c>
      <c r="R281" s="99">
        <f>IF(AND(ISNUMBER(SEARCH("Espeto",N281)),ISNUMBER(SEARCH("Pavão",N281))),"SIM","")</f>
        <v/>
      </c>
      <c r="S281" s="99">
        <f>IF(AND(ISNUMBER(SEARCH("Espeto",N281)),ISNUMBER(SEARCH("Chac",N281))),"SIM","")</f>
        <v/>
      </c>
      <c r="T281" s="99">
        <f>IF(AND(ISNUMBER(SEARCH("Espeto",N281)),ISNUMBER(SEARCH("Madalena",N281))),"SIM","")</f>
        <v/>
      </c>
      <c r="U281" s="99">
        <f>IF(AND(ISNUMBER(SEARCH("Espeto",N281)),ISNUMBER(SEARCH("Mariana",N281))),"SIM","")</f>
        <v/>
      </c>
      <c r="V281" s="99">
        <f>IF(AND(ISNUMBER(SEARCH("Espeto",N281)),ISNUMBER(SEARCH("Perdizes",N281))),"SIM","")</f>
        <v/>
      </c>
      <c r="W281" s="99">
        <f>IF(AND(ISNUMBER(SEARCH("Espeto",N281)),ISNUMBER(SEARCH("Santana",N281))),"SIM","")</f>
        <v/>
      </c>
      <c r="X281" s="99">
        <f>IF(AND(ISNUMBER(SEARCH("Espeto",N281)),ISNUMBER(SEARCH("André",N281))),"SIM","")</f>
        <v/>
      </c>
      <c r="Y281" s="99">
        <f>IF(AND(ISNUMBER(SEARCH("Delivery",N281)),ISNUMBER(SEARCH("Carin",N281))),"SIM","")</f>
        <v/>
      </c>
      <c r="Z281" s="99">
        <f>IF(AND(ISNUMBER(SEARCH("Delivery",N281)),ISNUMBER(SEARCH("Lapa",N281))),"SIM","")</f>
        <v/>
      </c>
      <c r="AA281" s="99">
        <f>IF(AND(ISNUMBER(SEARCH("Delivery",N281)),ISNUMBER(SEARCH("Tatuapé",N281))),"SIM","")</f>
        <v/>
      </c>
      <c r="AB281" s="99">
        <f>IF(AND(ISNUMBER(SEARCH("Delivery",N281)),ISNUMBER(SEARCH("Pavão",N281))),"SIM","")</f>
        <v/>
      </c>
      <c r="AC281" s="99">
        <f>IF(AND(ISNUMBER(SEARCH("Delivery",N281)),ISNUMBER(SEARCH("Chac",N281))),"SIM","")</f>
        <v/>
      </c>
      <c r="AD281" s="99">
        <f>IF(AND(ISNUMBER(SEARCH("Delivery",N281)),ISNUMBER(SEARCH("Madalena",N281))),"SIM","")</f>
        <v/>
      </c>
      <c r="AE281" s="92">
        <f>IF(AND(ISNUMBER(SEARCH("Delivery",N281)),ISNUMBER(SEARCH("Mariana",N281))),"SIM","")</f>
        <v/>
      </c>
      <c r="AF281" s="92">
        <f>IF(AND(ISNUMBER(SEARCH("Delivery",N281)),ISNUMBER(SEARCH("Perdizes",N281))),"SIM","")</f>
        <v/>
      </c>
      <c r="AG281" s="92">
        <f>IF(AND(ISNUMBER(SEARCH("Delivery",N281)),ISNUMBER(SEARCH("Santana",N281))),"SIM","")</f>
        <v/>
      </c>
      <c r="AH281" s="92">
        <f>IF(AND(ISNUMBER(SEARCH("Delivery",N281)),ISNUMBER(SEARCH("André",N281))),"SIM","")</f>
        <v/>
      </c>
      <c r="AI281" s="92">
        <f>IF(ISNUMBER(SEARCH("Interlagos",N281)),"SIM","")</f>
        <v/>
      </c>
      <c r="AJ281" s="92">
        <f>IF(ISNUMBER(SEARCH("Quiosque",N281)),"SIM","")</f>
        <v/>
      </c>
      <c r="AK281" s="93" t="n"/>
    </row>
    <row r="282">
      <c r="A282" s="88" t="inlineStr">
        <is>
          <t>Protheus</t>
        </is>
      </c>
      <c r="B282" s="89" t="inlineStr">
        <is>
          <t>009998</t>
        </is>
      </c>
      <c r="C282" s="90">
        <f>IF(B282="—","—",IFERROR(VLOOKUP(B282,_Protheus_Cadastro!$A:$B,2,FALSE),"—"))</f>
        <v/>
      </c>
      <c r="D282" s="91">
        <f>IF(B282="—",IFERROR(INDEX(_ZIG_Cadastro!$D:$D,MATCH(H282,_ZIG_Cadastro!$A:$A,0)),"Produto"),IFERROR(VLOOKUP(B282,_Protheus_Cadastro!$A:$C,3,FALSE),"—"))</f>
        <v/>
      </c>
      <c r="E282" s="91">
        <f>IF(B282="—","—",IFERROR(VLOOKUP(B282,_Protheus_Cadastro!$A:$D,4,FALSE),"—"))</f>
        <v/>
      </c>
      <c r="F282" s="91">
        <f>IF(ISERROR(VLOOKUP(B282,'Estrutura Protheus'!A:A,1,FALSE)),"Não","Sim")</f>
        <v/>
      </c>
      <c r="G282" s="92">
        <f>IFERROR(INDEX(_Protheus_Cadastro!$H:$H,MATCH(B282,_Protheus_Cadastro!$A:$A,0)),"—")</f>
        <v/>
      </c>
      <c r="H282" s="210">
        <f>IFERROR(INDEX(_ZIG_Precos!$D:$D,MATCH(I282,_ZIG_Precos!$F:$F,0)),"—")</f>
        <v/>
      </c>
      <c r="I282" s="95">
        <f>IFERROR(VLOOKUP(B282,_Protheus_Cadastro!$A:$I,9,FALSE),"—")</f>
        <v/>
      </c>
      <c r="J282" s="93">
        <f>IFERROR(INDEX(_ZIG_Cadastro!$B:$B,MATCH(I282,_ZIG_Cadastro!$A:$A,0)),IFERROR(INDEX(_Entradas_ZIG!$B:$B,MATCH(I282,_Entradas_ZIG!$C:$C,0)),"—"))</f>
        <v/>
      </c>
      <c r="K282" s="93">
        <f>IFERROR(INDEX(_ZIG_Cadastro!$C:$C,MATCH(I282,_ZIG_Cadastro!$A:$A,0)),IFERROR(INDEX(_Entradas_ZIG!$D:$D,MATCH(I282,_Entradas_ZIG!$C:$C,0)),"—"))</f>
        <v/>
      </c>
      <c r="L282" s="92">
        <f>IF(I282="","Sem SKU ZIG",IF(I282="—","Sem SKU ZIG",IF(NOT(ISERROR(MATCH(I282,_ZIG_Cadastro!$A:$A,0))),IF(EXACT(UPPER(TRIM(C282)),UPPER(TRIM(INDEX(_ZIG_Cadastro!$B:$B,MATCH(I282,_ZIG_Cadastro!$A:$A,0))))),"OK","Atencao - Nome diverge"),IF(NOT(ISERROR(MATCH(I282,_Entradas_ZIG!$C:$C,0))),"OK","Erro - SKU nao encontrado"))))</f>
        <v/>
      </c>
      <c r="M282" s="92">
        <f>IFERROR(INDEX(_ZIG_Cadastro!$G:$G,MATCH(I282,_ZIG_Cadastro!$A:$A,0)),IF(NOT(ISERROR(MATCH(I282,_Entradas_ZIG!$C:$C,0))),"Ativo","—"))</f>
        <v/>
      </c>
      <c r="N282" s="94">
        <f>IFERROR(INDEX(_ZIG_Cadastro!$E:$E,MATCH(I282,_ZIG_Cadastro!$A:$A,0)),IFERROR(INDEX(_Entradas_ZIG!$F:$F,MATCH(I282,_Entradas_ZIG!$C:$C,0)),"—"))</f>
        <v/>
      </c>
      <c r="O282" s="92">
        <f>IF(AND(ISNUMBER(SEARCH("Espeto",N282)),ISNUMBER(SEARCH("Carin",N282))),"SIM","")</f>
        <v/>
      </c>
      <c r="P282" s="92">
        <f>IF(AND(ISNUMBER(SEARCH("Espeto",N282)),ISNUMBER(SEARCH("Lapa",N282))),"SIM","")</f>
        <v/>
      </c>
      <c r="Q282" s="92">
        <f>IF(AND(ISNUMBER(SEARCH("Espeto",N282)),ISNUMBER(SEARCH("Tatuapé",N282))),"SIM","")</f>
        <v/>
      </c>
      <c r="R282" s="92">
        <f>IF(AND(ISNUMBER(SEARCH("Espeto",N282)),ISNUMBER(SEARCH("Pavão",N282))),"SIM","")</f>
        <v/>
      </c>
      <c r="S282" s="92">
        <f>IF(AND(ISNUMBER(SEARCH("Espeto",N282)),ISNUMBER(SEARCH("Chac",N282))),"SIM","")</f>
        <v/>
      </c>
      <c r="T282" s="92">
        <f>IF(AND(ISNUMBER(SEARCH("Espeto",N282)),ISNUMBER(SEARCH("Madalena",N282))),"SIM","")</f>
        <v/>
      </c>
      <c r="U282" s="92">
        <f>IF(AND(ISNUMBER(SEARCH("Espeto",N282)),ISNUMBER(SEARCH("Mariana",N282))),"SIM","")</f>
        <v/>
      </c>
      <c r="V282" s="92">
        <f>IF(AND(ISNUMBER(SEARCH("Espeto",N282)),ISNUMBER(SEARCH("Perdizes",N282))),"SIM","")</f>
        <v/>
      </c>
      <c r="W282" s="92">
        <f>IF(AND(ISNUMBER(SEARCH("Espeto",N282)),ISNUMBER(SEARCH("Santana",N282))),"SIM","")</f>
        <v/>
      </c>
      <c r="X282" s="92">
        <f>IF(AND(ISNUMBER(SEARCH("Espeto",N282)),ISNUMBER(SEARCH("André",N282))),"SIM","")</f>
        <v/>
      </c>
      <c r="Y282" s="92">
        <f>IF(AND(ISNUMBER(SEARCH("Delivery",N282)),ISNUMBER(SEARCH("Carin",N282))),"SIM","")</f>
        <v/>
      </c>
      <c r="Z282" s="92">
        <f>IF(AND(ISNUMBER(SEARCH("Delivery",N282)),ISNUMBER(SEARCH("Lapa",N282))),"SIM","")</f>
        <v/>
      </c>
      <c r="AA282" s="92">
        <f>IF(AND(ISNUMBER(SEARCH("Delivery",N282)),ISNUMBER(SEARCH("Tatuapé",N282))),"SIM","")</f>
        <v/>
      </c>
      <c r="AB282" s="92">
        <f>IF(AND(ISNUMBER(SEARCH("Delivery",N282)),ISNUMBER(SEARCH("Pavão",N282))),"SIM","")</f>
        <v/>
      </c>
      <c r="AC282" s="92">
        <f>IF(AND(ISNUMBER(SEARCH("Delivery",N282)),ISNUMBER(SEARCH("Chac",N282))),"SIM","")</f>
        <v/>
      </c>
      <c r="AD282" s="92">
        <f>IF(AND(ISNUMBER(SEARCH("Delivery",N282)),ISNUMBER(SEARCH("Madalena",N282))),"SIM","")</f>
        <v/>
      </c>
      <c r="AE282" s="99">
        <f>IF(AND(ISNUMBER(SEARCH("Delivery",N282)),ISNUMBER(SEARCH("Mariana",N282))),"SIM","")</f>
        <v/>
      </c>
      <c r="AF282" s="99">
        <f>IF(AND(ISNUMBER(SEARCH("Delivery",N282)),ISNUMBER(SEARCH("Perdizes",N282))),"SIM","")</f>
        <v/>
      </c>
      <c r="AG282" s="99">
        <f>IF(AND(ISNUMBER(SEARCH("Delivery",N282)),ISNUMBER(SEARCH("Santana",N282))),"SIM","")</f>
        <v/>
      </c>
      <c r="AH282" s="99">
        <f>IF(AND(ISNUMBER(SEARCH("Delivery",N282)),ISNUMBER(SEARCH("André",N282))),"SIM","")</f>
        <v/>
      </c>
      <c r="AI282" s="99">
        <f>IF(ISNUMBER(SEARCH("Interlagos",N282)),"SIM","")</f>
        <v/>
      </c>
      <c r="AJ282" s="99">
        <f>IF(ISNUMBER(SEARCH("Quiosque",N282)),"SIM","")</f>
        <v/>
      </c>
      <c r="AK282" s="101" t="n"/>
    </row>
    <row r="283">
      <c r="A283" s="88" t="inlineStr">
        <is>
          <t>Protheus</t>
        </is>
      </c>
      <c r="B283" s="96" t="inlineStr">
        <is>
          <t>010036</t>
        </is>
      </c>
      <c r="C283" s="97">
        <f>IF(B283="—","—",IFERROR(VLOOKUP(B283,_Protheus_Cadastro!$A:$B,2,FALSE),"—"))</f>
        <v/>
      </c>
      <c r="D283" s="98">
        <f>IF(B283="—",IFERROR(INDEX(_ZIG_Cadastro!$D:$D,MATCH(H283,_ZIG_Cadastro!$A:$A,0)),"Produto"),IFERROR(VLOOKUP(B283,_Protheus_Cadastro!$A:$C,3,FALSE),"—"))</f>
        <v/>
      </c>
      <c r="E283" s="98">
        <f>IF(B283="—","—",IFERROR(VLOOKUP(B283,_Protheus_Cadastro!$A:$D,4,FALSE),"—"))</f>
        <v/>
      </c>
      <c r="F283" s="98">
        <f>IF(ISERROR(VLOOKUP(B283,'Estrutura Protheus'!A:A,1,FALSE)),"Não","Sim")</f>
        <v/>
      </c>
      <c r="G283" s="99">
        <f>IFERROR(INDEX(_Protheus_Cadastro!$H:$H,MATCH(B283,_Protheus_Cadastro!$A:$A,0)),"—")</f>
        <v/>
      </c>
      <c r="H283" s="211">
        <f>IFERROR(INDEX(_ZIG_Precos!$D:$D,MATCH(I283,_ZIG_Precos!$F:$F,0)),"—")</f>
        <v/>
      </c>
      <c r="I283" s="103">
        <f>IFERROR(VLOOKUP(B283,_Protheus_Cadastro!$A:$I,9,FALSE),"—")</f>
        <v/>
      </c>
      <c r="J283" s="101">
        <f>IFERROR(INDEX(_ZIG_Cadastro!$B:$B,MATCH(I283,_ZIG_Cadastro!$A:$A,0)),IFERROR(INDEX(_Entradas_ZIG!$B:$B,MATCH(I283,_Entradas_ZIG!$C:$C,0)),"—"))</f>
        <v/>
      </c>
      <c r="K283" s="101">
        <f>IFERROR(INDEX(_ZIG_Cadastro!$C:$C,MATCH(I283,_ZIG_Cadastro!$A:$A,0)),IFERROR(INDEX(_Entradas_ZIG!$D:$D,MATCH(I283,_Entradas_ZIG!$C:$C,0)),"—"))</f>
        <v/>
      </c>
      <c r="L283" s="99">
        <f>IF(I283="","Sem SKU ZIG",IF(I283="—","Sem SKU ZIG",IF(NOT(ISERROR(MATCH(I283,_ZIG_Cadastro!$A:$A,0))),IF(EXACT(UPPER(TRIM(C283)),UPPER(TRIM(INDEX(_ZIG_Cadastro!$B:$B,MATCH(I283,_ZIG_Cadastro!$A:$A,0))))),"OK","Atencao - Nome diverge"),IF(NOT(ISERROR(MATCH(I283,_Entradas_ZIG!$C:$C,0))),"OK","Erro - SKU nao encontrado"))))</f>
        <v/>
      </c>
      <c r="M283" s="99">
        <f>IFERROR(INDEX(_ZIG_Cadastro!$G:$G,MATCH(I283,_ZIG_Cadastro!$A:$A,0)),IF(NOT(ISERROR(MATCH(I283,_Entradas_ZIG!$C:$C,0))),"Ativo","—"))</f>
        <v/>
      </c>
      <c r="N283" s="102">
        <f>IFERROR(INDEX(_ZIG_Cadastro!$E:$E,MATCH(I283,_ZIG_Cadastro!$A:$A,0)),IFERROR(INDEX(_Entradas_ZIG!$F:$F,MATCH(I283,_Entradas_ZIG!$C:$C,0)),"—"))</f>
        <v/>
      </c>
      <c r="O283" s="99">
        <f>IF(AND(ISNUMBER(SEARCH("Espeto",N283)),ISNUMBER(SEARCH("Carin",N283))),"SIM","")</f>
        <v/>
      </c>
      <c r="P283" s="99">
        <f>IF(AND(ISNUMBER(SEARCH("Espeto",N283)),ISNUMBER(SEARCH("Lapa",N283))),"SIM","")</f>
        <v/>
      </c>
      <c r="Q283" s="99">
        <f>IF(AND(ISNUMBER(SEARCH("Espeto",N283)),ISNUMBER(SEARCH("Tatuapé",N283))),"SIM","")</f>
        <v/>
      </c>
      <c r="R283" s="99">
        <f>IF(AND(ISNUMBER(SEARCH("Espeto",N283)),ISNUMBER(SEARCH("Pavão",N283))),"SIM","")</f>
        <v/>
      </c>
      <c r="S283" s="99">
        <f>IF(AND(ISNUMBER(SEARCH("Espeto",N283)),ISNUMBER(SEARCH("Chac",N283))),"SIM","")</f>
        <v/>
      </c>
      <c r="T283" s="99">
        <f>IF(AND(ISNUMBER(SEARCH("Espeto",N283)),ISNUMBER(SEARCH("Madalena",N283))),"SIM","")</f>
        <v/>
      </c>
      <c r="U283" s="99">
        <f>IF(AND(ISNUMBER(SEARCH("Espeto",N283)),ISNUMBER(SEARCH("Mariana",N283))),"SIM","")</f>
        <v/>
      </c>
      <c r="V283" s="99">
        <f>IF(AND(ISNUMBER(SEARCH("Espeto",N283)),ISNUMBER(SEARCH("Perdizes",N283))),"SIM","")</f>
        <v/>
      </c>
      <c r="W283" s="99">
        <f>IF(AND(ISNUMBER(SEARCH("Espeto",N283)),ISNUMBER(SEARCH("Santana",N283))),"SIM","")</f>
        <v/>
      </c>
      <c r="X283" s="99">
        <f>IF(AND(ISNUMBER(SEARCH("Espeto",N283)),ISNUMBER(SEARCH("André",N283))),"SIM","")</f>
        <v/>
      </c>
      <c r="Y283" s="99">
        <f>IF(AND(ISNUMBER(SEARCH("Delivery",N283)),ISNUMBER(SEARCH("Carin",N283))),"SIM","")</f>
        <v/>
      </c>
      <c r="Z283" s="99">
        <f>IF(AND(ISNUMBER(SEARCH("Delivery",N283)),ISNUMBER(SEARCH("Lapa",N283))),"SIM","")</f>
        <v/>
      </c>
      <c r="AA283" s="99">
        <f>IF(AND(ISNUMBER(SEARCH("Delivery",N283)),ISNUMBER(SEARCH("Tatuapé",N283))),"SIM","")</f>
        <v/>
      </c>
      <c r="AB283" s="99">
        <f>IF(AND(ISNUMBER(SEARCH("Delivery",N283)),ISNUMBER(SEARCH("Pavão",N283))),"SIM","")</f>
        <v/>
      </c>
      <c r="AC283" s="99">
        <f>IF(AND(ISNUMBER(SEARCH("Delivery",N283)),ISNUMBER(SEARCH("Chac",N283))),"SIM","")</f>
        <v/>
      </c>
      <c r="AD283" s="99">
        <f>IF(AND(ISNUMBER(SEARCH("Delivery",N283)),ISNUMBER(SEARCH("Madalena",N283))),"SIM","")</f>
        <v/>
      </c>
      <c r="AE283" s="92">
        <f>IF(AND(ISNUMBER(SEARCH("Delivery",N283)),ISNUMBER(SEARCH("Mariana",N283))),"SIM","")</f>
        <v/>
      </c>
      <c r="AF283" s="92">
        <f>IF(AND(ISNUMBER(SEARCH("Delivery",N283)),ISNUMBER(SEARCH("Perdizes",N283))),"SIM","")</f>
        <v/>
      </c>
      <c r="AG283" s="92">
        <f>IF(AND(ISNUMBER(SEARCH("Delivery",N283)),ISNUMBER(SEARCH("Santana",N283))),"SIM","")</f>
        <v/>
      </c>
      <c r="AH283" s="92">
        <f>IF(AND(ISNUMBER(SEARCH("Delivery",N283)),ISNUMBER(SEARCH("André",N283))),"SIM","")</f>
        <v/>
      </c>
      <c r="AI283" s="92">
        <f>IF(ISNUMBER(SEARCH("Interlagos",N283)),"SIM","")</f>
        <v/>
      </c>
      <c r="AJ283" s="92">
        <f>IF(ISNUMBER(SEARCH("Quiosque",N283)),"SIM","")</f>
        <v/>
      </c>
      <c r="AK283" s="93" t="n"/>
    </row>
    <row r="284">
      <c r="A284" s="88" t="inlineStr">
        <is>
          <t>Protheus</t>
        </is>
      </c>
      <c r="B284" s="89" t="inlineStr">
        <is>
          <t>010046</t>
        </is>
      </c>
      <c r="C284" s="90">
        <f>IF(B284="—","—",IFERROR(VLOOKUP(B284,_Protheus_Cadastro!$A:$B,2,FALSE),"—"))</f>
        <v/>
      </c>
      <c r="D284" s="91">
        <f>IF(B284="—",IFERROR(INDEX(_ZIG_Cadastro!$D:$D,MATCH(H284,_ZIG_Cadastro!$A:$A,0)),"Produto"),IFERROR(VLOOKUP(B284,_Protheus_Cadastro!$A:$C,3,FALSE),"—"))</f>
        <v/>
      </c>
      <c r="E284" s="91">
        <f>IF(B284="—","—",IFERROR(VLOOKUP(B284,_Protheus_Cadastro!$A:$D,4,FALSE),"—"))</f>
        <v/>
      </c>
      <c r="F284" s="91">
        <f>IF(ISERROR(VLOOKUP(B284,'Estrutura Protheus'!A:A,1,FALSE)),"Não","Sim")</f>
        <v/>
      </c>
      <c r="G284" s="92">
        <f>IFERROR(INDEX(_Protheus_Cadastro!$H:$H,MATCH(B284,_Protheus_Cadastro!$A:$A,0)),"—")</f>
        <v/>
      </c>
      <c r="H284" s="210">
        <f>IFERROR(INDEX(_ZIG_Precos!$D:$D,MATCH(I284,_ZIG_Precos!$F:$F,0)),"—")</f>
        <v/>
      </c>
      <c r="I284" s="95">
        <f>IFERROR(VLOOKUP(B284,_Protheus_Cadastro!$A:$I,9,FALSE),"—")</f>
        <v/>
      </c>
      <c r="J284" s="93">
        <f>IFERROR(INDEX(_ZIG_Cadastro!$B:$B,MATCH(I284,_ZIG_Cadastro!$A:$A,0)),IFERROR(INDEX(_Entradas_ZIG!$B:$B,MATCH(I284,_Entradas_ZIG!$C:$C,0)),"—"))</f>
        <v/>
      </c>
      <c r="K284" s="93">
        <f>IFERROR(INDEX(_ZIG_Cadastro!$C:$C,MATCH(I284,_ZIG_Cadastro!$A:$A,0)),IFERROR(INDEX(_Entradas_ZIG!$D:$D,MATCH(I284,_Entradas_ZIG!$C:$C,0)),"—"))</f>
        <v/>
      </c>
      <c r="L284" s="92">
        <f>IF(I284="","Sem SKU ZIG",IF(I284="—","Sem SKU ZIG",IF(NOT(ISERROR(MATCH(I284,_ZIG_Cadastro!$A:$A,0))),IF(EXACT(UPPER(TRIM(C284)),UPPER(TRIM(INDEX(_ZIG_Cadastro!$B:$B,MATCH(I284,_ZIG_Cadastro!$A:$A,0))))),"OK","Atencao - Nome diverge"),IF(NOT(ISERROR(MATCH(I284,_Entradas_ZIG!$C:$C,0))),"OK","Erro - SKU nao encontrado"))))</f>
        <v/>
      </c>
      <c r="M284" s="92">
        <f>IFERROR(INDEX(_ZIG_Cadastro!$G:$G,MATCH(I284,_ZIG_Cadastro!$A:$A,0)),IF(NOT(ISERROR(MATCH(I284,_Entradas_ZIG!$C:$C,0))),"Ativo","—"))</f>
        <v/>
      </c>
      <c r="N284" s="94">
        <f>IFERROR(INDEX(_ZIG_Cadastro!$E:$E,MATCH(I284,_ZIG_Cadastro!$A:$A,0)),IFERROR(INDEX(_Entradas_ZIG!$F:$F,MATCH(I284,_Entradas_ZIG!$C:$C,0)),"—"))</f>
        <v/>
      </c>
      <c r="O284" s="92">
        <f>IF(AND(ISNUMBER(SEARCH("Espeto",N284)),ISNUMBER(SEARCH("Carin",N284))),"SIM","")</f>
        <v/>
      </c>
      <c r="P284" s="92">
        <f>IF(AND(ISNUMBER(SEARCH("Espeto",N284)),ISNUMBER(SEARCH("Lapa",N284))),"SIM","")</f>
        <v/>
      </c>
      <c r="Q284" s="92">
        <f>IF(AND(ISNUMBER(SEARCH("Espeto",N284)),ISNUMBER(SEARCH("Tatuapé",N284))),"SIM","")</f>
        <v/>
      </c>
      <c r="R284" s="92">
        <f>IF(AND(ISNUMBER(SEARCH("Espeto",N284)),ISNUMBER(SEARCH("Pavão",N284))),"SIM","")</f>
        <v/>
      </c>
      <c r="S284" s="92">
        <f>IF(AND(ISNUMBER(SEARCH("Espeto",N284)),ISNUMBER(SEARCH("Chac",N284))),"SIM","")</f>
        <v/>
      </c>
      <c r="T284" s="92">
        <f>IF(AND(ISNUMBER(SEARCH("Espeto",N284)),ISNUMBER(SEARCH("Madalena",N284))),"SIM","")</f>
        <v/>
      </c>
      <c r="U284" s="92">
        <f>IF(AND(ISNUMBER(SEARCH("Espeto",N284)),ISNUMBER(SEARCH("Mariana",N284))),"SIM","")</f>
        <v/>
      </c>
      <c r="V284" s="92">
        <f>IF(AND(ISNUMBER(SEARCH("Espeto",N284)),ISNUMBER(SEARCH("Perdizes",N284))),"SIM","")</f>
        <v/>
      </c>
      <c r="W284" s="92">
        <f>IF(AND(ISNUMBER(SEARCH("Espeto",N284)),ISNUMBER(SEARCH("Santana",N284))),"SIM","")</f>
        <v/>
      </c>
      <c r="X284" s="92">
        <f>IF(AND(ISNUMBER(SEARCH("Espeto",N284)),ISNUMBER(SEARCH("André",N284))),"SIM","")</f>
        <v/>
      </c>
      <c r="Y284" s="92">
        <f>IF(AND(ISNUMBER(SEARCH("Delivery",N284)),ISNUMBER(SEARCH("Carin",N284))),"SIM","")</f>
        <v/>
      </c>
      <c r="Z284" s="92">
        <f>IF(AND(ISNUMBER(SEARCH("Delivery",N284)),ISNUMBER(SEARCH("Lapa",N284))),"SIM","")</f>
        <v/>
      </c>
      <c r="AA284" s="92">
        <f>IF(AND(ISNUMBER(SEARCH("Delivery",N284)),ISNUMBER(SEARCH("Tatuapé",N284))),"SIM","")</f>
        <v/>
      </c>
      <c r="AB284" s="92">
        <f>IF(AND(ISNUMBER(SEARCH("Delivery",N284)),ISNUMBER(SEARCH("Pavão",N284))),"SIM","")</f>
        <v/>
      </c>
      <c r="AC284" s="92">
        <f>IF(AND(ISNUMBER(SEARCH("Delivery",N284)),ISNUMBER(SEARCH("Chac",N284))),"SIM","")</f>
        <v/>
      </c>
      <c r="AD284" s="92">
        <f>IF(AND(ISNUMBER(SEARCH("Delivery",N284)),ISNUMBER(SEARCH("Madalena",N284))),"SIM","")</f>
        <v/>
      </c>
      <c r="AE284" s="99">
        <f>IF(AND(ISNUMBER(SEARCH("Delivery",N284)),ISNUMBER(SEARCH("Mariana",N284))),"SIM","")</f>
        <v/>
      </c>
      <c r="AF284" s="99">
        <f>IF(AND(ISNUMBER(SEARCH("Delivery",N284)),ISNUMBER(SEARCH("Perdizes",N284))),"SIM","")</f>
        <v/>
      </c>
      <c r="AG284" s="99">
        <f>IF(AND(ISNUMBER(SEARCH("Delivery",N284)),ISNUMBER(SEARCH("Santana",N284))),"SIM","")</f>
        <v/>
      </c>
      <c r="AH284" s="99">
        <f>IF(AND(ISNUMBER(SEARCH("Delivery",N284)),ISNUMBER(SEARCH("André",N284))),"SIM","")</f>
        <v/>
      </c>
      <c r="AI284" s="99">
        <f>IF(ISNUMBER(SEARCH("Interlagos",N284)),"SIM","")</f>
        <v/>
      </c>
      <c r="AJ284" s="99">
        <f>IF(ISNUMBER(SEARCH("Quiosque",N284)),"SIM","")</f>
        <v/>
      </c>
      <c r="AK284" s="101" t="n"/>
    </row>
    <row r="285">
      <c r="A285" s="88" t="inlineStr">
        <is>
          <t>Protheus</t>
        </is>
      </c>
      <c r="B285" s="96" t="inlineStr">
        <is>
          <t>010061</t>
        </is>
      </c>
      <c r="C285" s="97">
        <f>IF(B285="—","—",IFERROR(VLOOKUP(B285,_Protheus_Cadastro!$A:$B,2,FALSE),"—"))</f>
        <v/>
      </c>
      <c r="D285" s="98">
        <f>IF(B285="—",IFERROR(INDEX(_ZIG_Cadastro!$D:$D,MATCH(H285,_ZIG_Cadastro!$A:$A,0)),"Produto"),IFERROR(VLOOKUP(B285,_Protheus_Cadastro!$A:$C,3,FALSE),"—"))</f>
        <v/>
      </c>
      <c r="E285" s="98">
        <f>IF(B285="—","—",IFERROR(VLOOKUP(B285,_Protheus_Cadastro!$A:$D,4,FALSE),"—"))</f>
        <v/>
      </c>
      <c r="F285" s="98">
        <f>IF(ISERROR(VLOOKUP(B285,'Estrutura Protheus'!A:A,1,FALSE)),"Não","Sim")</f>
        <v/>
      </c>
      <c r="G285" s="99">
        <f>IFERROR(INDEX(_Protheus_Cadastro!$H:$H,MATCH(B285,_Protheus_Cadastro!$A:$A,0)),"—")</f>
        <v/>
      </c>
      <c r="H285" s="211">
        <f>IFERROR(INDEX(_ZIG_Precos!$D:$D,MATCH(I285,_ZIG_Precos!$F:$F,0)),"—")</f>
        <v/>
      </c>
      <c r="I285" s="103">
        <f>IFERROR(VLOOKUP(B285,_Protheus_Cadastro!$A:$I,9,FALSE),"—")</f>
        <v/>
      </c>
      <c r="J285" s="101">
        <f>IFERROR(INDEX(_ZIG_Cadastro!$B:$B,MATCH(I285,_ZIG_Cadastro!$A:$A,0)),IFERROR(INDEX(_Entradas_ZIG!$B:$B,MATCH(I285,_Entradas_ZIG!$C:$C,0)),"—"))</f>
        <v/>
      </c>
      <c r="K285" s="101">
        <f>IFERROR(INDEX(_ZIG_Cadastro!$C:$C,MATCH(I285,_ZIG_Cadastro!$A:$A,0)),IFERROR(INDEX(_Entradas_ZIG!$D:$D,MATCH(I285,_Entradas_ZIG!$C:$C,0)),"—"))</f>
        <v/>
      </c>
      <c r="L285" s="99">
        <f>IF(I285="","Sem SKU ZIG",IF(I285="—","Sem SKU ZIG",IF(NOT(ISERROR(MATCH(I285,_ZIG_Cadastro!$A:$A,0))),IF(EXACT(UPPER(TRIM(C285)),UPPER(TRIM(INDEX(_ZIG_Cadastro!$B:$B,MATCH(I285,_ZIG_Cadastro!$A:$A,0))))),"OK","Atencao - Nome diverge"),IF(NOT(ISERROR(MATCH(I285,_Entradas_ZIG!$C:$C,0))),"OK","Erro - SKU nao encontrado"))))</f>
        <v/>
      </c>
      <c r="M285" s="99">
        <f>IFERROR(INDEX(_ZIG_Cadastro!$G:$G,MATCH(I285,_ZIG_Cadastro!$A:$A,0)),IF(NOT(ISERROR(MATCH(I285,_Entradas_ZIG!$C:$C,0))),"Ativo","—"))</f>
        <v/>
      </c>
      <c r="N285" s="102">
        <f>IFERROR(INDEX(_ZIG_Cadastro!$E:$E,MATCH(I285,_ZIG_Cadastro!$A:$A,0)),IFERROR(INDEX(_Entradas_ZIG!$F:$F,MATCH(I285,_Entradas_ZIG!$C:$C,0)),"—"))</f>
        <v/>
      </c>
      <c r="O285" s="99">
        <f>IF(AND(ISNUMBER(SEARCH("Espeto",N285)),ISNUMBER(SEARCH("Carin",N285))),"SIM","")</f>
        <v/>
      </c>
      <c r="P285" s="99">
        <f>IF(AND(ISNUMBER(SEARCH("Espeto",N285)),ISNUMBER(SEARCH("Lapa",N285))),"SIM","")</f>
        <v/>
      </c>
      <c r="Q285" s="99">
        <f>IF(AND(ISNUMBER(SEARCH("Espeto",N285)),ISNUMBER(SEARCH("Tatuapé",N285))),"SIM","")</f>
        <v/>
      </c>
      <c r="R285" s="99">
        <f>IF(AND(ISNUMBER(SEARCH("Espeto",N285)),ISNUMBER(SEARCH("Pavão",N285))),"SIM","")</f>
        <v/>
      </c>
      <c r="S285" s="99">
        <f>IF(AND(ISNUMBER(SEARCH("Espeto",N285)),ISNUMBER(SEARCH("Chac",N285))),"SIM","")</f>
        <v/>
      </c>
      <c r="T285" s="99">
        <f>IF(AND(ISNUMBER(SEARCH("Espeto",N285)),ISNUMBER(SEARCH("Madalena",N285))),"SIM","")</f>
        <v/>
      </c>
      <c r="U285" s="99">
        <f>IF(AND(ISNUMBER(SEARCH("Espeto",N285)),ISNUMBER(SEARCH("Mariana",N285))),"SIM","")</f>
        <v/>
      </c>
      <c r="V285" s="99">
        <f>IF(AND(ISNUMBER(SEARCH("Espeto",N285)),ISNUMBER(SEARCH("Perdizes",N285))),"SIM","")</f>
        <v/>
      </c>
      <c r="W285" s="99">
        <f>IF(AND(ISNUMBER(SEARCH("Espeto",N285)),ISNUMBER(SEARCH("Santana",N285))),"SIM","")</f>
        <v/>
      </c>
      <c r="X285" s="99">
        <f>IF(AND(ISNUMBER(SEARCH("Espeto",N285)),ISNUMBER(SEARCH("André",N285))),"SIM","")</f>
        <v/>
      </c>
      <c r="Y285" s="99">
        <f>IF(AND(ISNUMBER(SEARCH("Delivery",N285)),ISNUMBER(SEARCH("Carin",N285))),"SIM","")</f>
        <v/>
      </c>
      <c r="Z285" s="99">
        <f>IF(AND(ISNUMBER(SEARCH("Delivery",N285)),ISNUMBER(SEARCH("Lapa",N285))),"SIM","")</f>
        <v/>
      </c>
      <c r="AA285" s="99">
        <f>IF(AND(ISNUMBER(SEARCH("Delivery",N285)),ISNUMBER(SEARCH("Tatuapé",N285))),"SIM","")</f>
        <v/>
      </c>
      <c r="AB285" s="99">
        <f>IF(AND(ISNUMBER(SEARCH("Delivery",N285)),ISNUMBER(SEARCH("Pavão",N285))),"SIM","")</f>
        <v/>
      </c>
      <c r="AC285" s="99">
        <f>IF(AND(ISNUMBER(SEARCH("Delivery",N285)),ISNUMBER(SEARCH("Chac",N285))),"SIM","")</f>
        <v/>
      </c>
      <c r="AD285" s="99">
        <f>IF(AND(ISNUMBER(SEARCH("Delivery",N285)),ISNUMBER(SEARCH("Madalena",N285))),"SIM","")</f>
        <v/>
      </c>
      <c r="AE285" s="92">
        <f>IF(AND(ISNUMBER(SEARCH("Delivery",N285)),ISNUMBER(SEARCH("Mariana",N285))),"SIM","")</f>
        <v/>
      </c>
      <c r="AF285" s="92">
        <f>IF(AND(ISNUMBER(SEARCH("Delivery",N285)),ISNUMBER(SEARCH("Perdizes",N285))),"SIM","")</f>
        <v/>
      </c>
      <c r="AG285" s="92">
        <f>IF(AND(ISNUMBER(SEARCH("Delivery",N285)),ISNUMBER(SEARCH("Santana",N285))),"SIM","")</f>
        <v/>
      </c>
      <c r="AH285" s="92">
        <f>IF(AND(ISNUMBER(SEARCH("Delivery",N285)),ISNUMBER(SEARCH("André",N285))),"SIM","")</f>
        <v/>
      </c>
      <c r="AI285" s="92">
        <f>IF(ISNUMBER(SEARCH("Interlagos",N285)),"SIM","")</f>
        <v/>
      </c>
      <c r="AJ285" s="92">
        <f>IF(ISNUMBER(SEARCH("Quiosque",N285)),"SIM","")</f>
        <v/>
      </c>
      <c r="AK285" s="93" t="n"/>
    </row>
    <row r="286">
      <c r="A286" s="88" t="inlineStr">
        <is>
          <t>Protheus</t>
        </is>
      </c>
      <c r="B286" s="89" t="inlineStr">
        <is>
          <t>010067</t>
        </is>
      </c>
      <c r="C286" s="90">
        <f>IF(B286="—","—",IFERROR(VLOOKUP(B286,_Protheus_Cadastro!$A:$B,2,FALSE),"—"))</f>
        <v/>
      </c>
      <c r="D286" s="91">
        <f>IF(B286="—",IFERROR(INDEX(_ZIG_Cadastro!$D:$D,MATCH(H286,_ZIG_Cadastro!$A:$A,0)),"Produto"),IFERROR(VLOOKUP(B286,_Protheus_Cadastro!$A:$C,3,FALSE),"—"))</f>
        <v/>
      </c>
      <c r="E286" s="91">
        <f>IF(B286="—","—",IFERROR(VLOOKUP(B286,_Protheus_Cadastro!$A:$D,4,FALSE),"—"))</f>
        <v/>
      </c>
      <c r="F286" s="91">
        <f>IF(ISERROR(VLOOKUP(B286,'Estrutura Protheus'!A:A,1,FALSE)),"Não","Sim")</f>
        <v/>
      </c>
      <c r="G286" s="92">
        <f>IFERROR(INDEX(_Protheus_Cadastro!$H:$H,MATCH(B286,_Protheus_Cadastro!$A:$A,0)),"—")</f>
        <v/>
      </c>
      <c r="H286" s="210">
        <f>IFERROR(INDEX(_ZIG_Precos!$D:$D,MATCH(I286,_ZIG_Precos!$F:$F,0)),"—")</f>
        <v/>
      </c>
      <c r="I286" s="95">
        <f>IFERROR(VLOOKUP(B286,_Protheus_Cadastro!$A:$I,9,FALSE),"—")</f>
        <v/>
      </c>
      <c r="J286" s="93">
        <f>IFERROR(INDEX(_ZIG_Cadastro!$B:$B,MATCH(I286,_ZIG_Cadastro!$A:$A,0)),IFERROR(INDEX(_Entradas_ZIG!$B:$B,MATCH(I286,_Entradas_ZIG!$C:$C,0)),"—"))</f>
        <v/>
      </c>
      <c r="K286" s="93">
        <f>IFERROR(INDEX(_ZIG_Cadastro!$C:$C,MATCH(I286,_ZIG_Cadastro!$A:$A,0)),IFERROR(INDEX(_Entradas_ZIG!$D:$D,MATCH(I286,_Entradas_ZIG!$C:$C,0)),"—"))</f>
        <v/>
      </c>
      <c r="L286" s="92">
        <f>IF(I286="","Sem SKU ZIG",IF(I286="—","Sem SKU ZIG",IF(NOT(ISERROR(MATCH(I286,_ZIG_Cadastro!$A:$A,0))),IF(EXACT(UPPER(TRIM(C286)),UPPER(TRIM(INDEX(_ZIG_Cadastro!$B:$B,MATCH(I286,_ZIG_Cadastro!$A:$A,0))))),"OK","Atencao - Nome diverge"),IF(NOT(ISERROR(MATCH(I286,_Entradas_ZIG!$C:$C,0))),"OK","Erro - SKU nao encontrado"))))</f>
        <v/>
      </c>
      <c r="M286" s="92">
        <f>IFERROR(INDEX(_ZIG_Cadastro!$G:$G,MATCH(I286,_ZIG_Cadastro!$A:$A,0)),IF(NOT(ISERROR(MATCH(I286,_Entradas_ZIG!$C:$C,0))),"Ativo","—"))</f>
        <v/>
      </c>
      <c r="N286" s="94">
        <f>IFERROR(INDEX(_ZIG_Cadastro!$E:$E,MATCH(I286,_ZIG_Cadastro!$A:$A,0)),IFERROR(INDEX(_Entradas_ZIG!$F:$F,MATCH(I286,_Entradas_ZIG!$C:$C,0)),"—"))</f>
        <v/>
      </c>
      <c r="O286" s="92">
        <f>IF(AND(ISNUMBER(SEARCH("Espeto",N286)),ISNUMBER(SEARCH("Carin",N286))),"SIM","")</f>
        <v/>
      </c>
      <c r="P286" s="92">
        <f>IF(AND(ISNUMBER(SEARCH("Espeto",N286)),ISNUMBER(SEARCH("Lapa",N286))),"SIM","")</f>
        <v/>
      </c>
      <c r="Q286" s="92">
        <f>IF(AND(ISNUMBER(SEARCH("Espeto",N286)),ISNUMBER(SEARCH("Tatuapé",N286))),"SIM","")</f>
        <v/>
      </c>
      <c r="R286" s="92">
        <f>IF(AND(ISNUMBER(SEARCH("Espeto",N286)),ISNUMBER(SEARCH("Pavão",N286))),"SIM","")</f>
        <v/>
      </c>
      <c r="S286" s="92">
        <f>IF(AND(ISNUMBER(SEARCH("Espeto",N286)),ISNUMBER(SEARCH("Chac",N286))),"SIM","")</f>
        <v/>
      </c>
      <c r="T286" s="92">
        <f>IF(AND(ISNUMBER(SEARCH("Espeto",N286)),ISNUMBER(SEARCH("Madalena",N286))),"SIM","")</f>
        <v/>
      </c>
      <c r="U286" s="92">
        <f>IF(AND(ISNUMBER(SEARCH("Espeto",N286)),ISNUMBER(SEARCH("Mariana",N286))),"SIM","")</f>
        <v/>
      </c>
      <c r="V286" s="92">
        <f>IF(AND(ISNUMBER(SEARCH("Espeto",N286)),ISNUMBER(SEARCH("Perdizes",N286))),"SIM","")</f>
        <v/>
      </c>
      <c r="W286" s="92">
        <f>IF(AND(ISNUMBER(SEARCH("Espeto",N286)),ISNUMBER(SEARCH("Santana",N286))),"SIM","")</f>
        <v/>
      </c>
      <c r="X286" s="92">
        <f>IF(AND(ISNUMBER(SEARCH("Espeto",N286)),ISNUMBER(SEARCH("André",N286))),"SIM","")</f>
        <v/>
      </c>
      <c r="Y286" s="92">
        <f>IF(AND(ISNUMBER(SEARCH("Delivery",N286)),ISNUMBER(SEARCH("Carin",N286))),"SIM","")</f>
        <v/>
      </c>
      <c r="Z286" s="92">
        <f>IF(AND(ISNUMBER(SEARCH("Delivery",N286)),ISNUMBER(SEARCH("Lapa",N286))),"SIM","")</f>
        <v/>
      </c>
      <c r="AA286" s="92">
        <f>IF(AND(ISNUMBER(SEARCH("Delivery",N286)),ISNUMBER(SEARCH("Tatuapé",N286))),"SIM","")</f>
        <v/>
      </c>
      <c r="AB286" s="92">
        <f>IF(AND(ISNUMBER(SEARCH("Delivery",N286)),ISNUMBER(SEARCH("Pavão",N286))),"SIM","")</f>
        <v/>
      </c>
      <c r="AC286" s="92">
        <f>IF(AND(ISNUMBER(SEARCH("Delivery",N286)),ISNUMBER(SEARCH("Chac",N286))),"SIM","")</f>
        <v/>
      </c>
      <c r="AD286" s="92">
        <f>IF(AND(ISNUMBER(SEARCH("Delivery",N286)),ISNUMBER(SEARCH("Madalena",N286))),"SIM","")</f>
        <v/>
      </c>
      <c r="AE286" s="99">
        <f>IF(AND(ISNUMBER(SEARCH("Delivery",N286)),ISNUMBER(SEARCH("Mariana",N286))),"SIM","")</f>
        <v/>
      </c>
      <c r="AF286" s="99">
        <f>IF(AND(ISNUMBER(SEARCH("Delivery",N286)),ISNUMBER(SEARCH("Perdizes",N286))),"SIM","")</f>
        <v/>
      </c>
      <c r="AG286" s="99">
        <f>IF(AND(ISNUMBER(SEARCH("Delivery",N286)),ISNUMBER(SEARCH("Santana",N286))),"SIM","")</f>
        <v/>
      </c>
      <c r="AH286" s="99">
        <f>IF(AND(ISNUMBER(SEARCH("Delivery",N286)),ISNUMBER(SEARCH("André",N286))),"SIM","")</f>
        <v/>
      </c>
      <c r="AI286" s="99">
        <f>IF(ISNUMBER(SEARCH("Interlagos",N286)),"SIM","")</f>
        <v/>
      </c>
      <c r="AJ286" s="99">
        <f>IF(ISNUMBER(SEARCH("Quiosque",N286)),"SIM","")</f>
        <v/>
      </c>
      <c r="AK286" s="101" t="n"/>
    </row>
    <row r="287">
      <c r="A287" s="88" t="inlineStr">
        <is>
          <t>Protheus</t>
        </is>
      </c>
      <c r="B287" s="96" t="inlineStr">
        <is>
          <t>010073</t>
        </is>
      </c>
      <c r="C287" s="97">
        <f>IF(B287="—","—",IFERROR(VLOOKUP(B287,_Protheus_Cadastro!$A:$B,2,FALSE),"—"))</f>
        <v/>
      </c>
      <c r="D287" s="98">
        <f>IF(B287="—",IFERROR(INDEX(_ZIG_Cadastro!$D:$D,MATCH(H287,_ZIG_Cadastro!$A:$A,0)),"Produto"),IFERROR(VLOOKUP(B287,_Protheus_Cadastro!$A:$C,3,FALSE),"—"))</f>
        <v/>
      </c>
      <c r="E287" s="98">
        <f>IF(B287="—","—",IFERROR(VLOOKUP(B287,_Protheus_Cadastro!$A:$D,4,FALSE),"—"))</f>
        <v/>
      </c>
      <c r="F287" s="98">
        <f>IF(ISERROR(VLOOKUP(B287,'Estrutura Protheus'!A:A,1,FALSE)),"Não","Sim")</f>
        <v/>
      </c>
      <c r="G287" s="99">
        <f>IFERROR(INDEX(_Protheus_Cadastro!$H:$H,MATCH(B287,_Protheus_Cadastro!$A:$A,0)),"—")</f>
        <v/>
      </c>
      <c r="H287" s="211">
        <f>IFERROR(INDEX(_ZIG_Precos!$D:$D,MATCH(I287,_ZIG_Precos!$F:$F,0)),"—")</f>
        <v/>
      </c>
      <c r="I287" s="103">
        <f>IFERROR(VLOOKUP(B287,_Protheus_Cadastro!$A:$I,9,FALSE),"—")</f>
        <v/>
      </c>
      <c r="J287" s="101">
        <f>IFERROR(INDEX(_ZIG_Cadastro!$B:$B,MATCH(I287,_ZIG_Cadastro!$A:$A,0)),IFERROR(INDEX(_Entradas_ZIG!$B:$B,MATCH(I287,_Entradas_ZIG!$C:$C,0)),"—"))</f>
        <v/>
      </c>
      <c r="K287" s="101">
        <f>IFERROR(INDEX(_ZIG_Cadastro!$C:$C,MATCH(I287,_ZIG_Cadastro!$A:$A,0)),IFERROR(INDEX(_Entradas_ZIG!$D:$D,MATCH(I287,_Entradas_ZIG!$C:$C,0)),"—"))</f>
        <v/>
      </c>
      <c r="L287" s="99">
        <f>IF(I287="","Sem SKU ZIG",IF(I287="—","Sem SKU ZIG",IF(NOT(ISERROR(MATCH(I287,_ZIG_Cadastro!$A:$A,0))),IF(EXACT(UPPER(TRIM(C287)),UPPER(TRIM(INDEX(_ZIG_Cadastro!$B:$B,MATCH(I287,_ZIG_Cadastro!$A:$A,0))))),"OK","Atencao - Nome diverge"),IF(NOT(ISERROR(MATCH(I287,_Entradas_ZIG!$C:$C,0))),"OK","Erro - SKU nao encontrado"))))</f>
        <v/>
      </c>
      <c r="M287" s="99">
        <f>IFERROR(INDEX(_ZIG_Cadastro!$G:$G,MATCH(I287,_ZIG_Cadastro!$A:$A,0)),IF(NOT(ISERROR(MATCH(I287,_Entradas_ZIG!$C:$C,0))),"Ativo","—"))</f>
        <v/>
      </c>
      <c r="N287" s="102">
        <f>IFERROR(INDEX(_ZIG_Cadastro!$E:$E,MATCH(I287,_ZIG_Cadastro!$A:$A,0)),IFERROR(INDEX(_Entradas_ZIG!$F:$F,MATCH(I287,_Entradas_ZIG!$C:$C,0)),"—"))</f>
        <v/>
      </c>
      <c r="O287" s="99">
        <f>IF(AND(ISNUMBER(SEARCH("Espeto",N287)),ISNUMBER(SEARCH("Carin",N287))),"SIM","")</f>
        <v/>
      </c>
      <c r="P287" s="99">
        <f>IF(AND(ISNUMBER(SEARCH("Espeto",N287)),ISNUMBER(SEARCH("Lapa",N287))),"SIM","")</f>
        <v/>
      </c>
      <c r="Q287" s="99">
        <f>IF(AND(ISNUMBER(SEARCH("Espeto",N287)),ISNUMBER(SEARCH("Tatuapé",N287))),"SIM","")</f>
        <v/>
      </c>
      <c r="R287" s="99">
        <f>IF(AND(ISNUMBER(SEARCH("Espeto",N287)),ISNUMBER(SEARCH("Pavão",N287))),"SIM","")</f>
        <v/>
      </c>
      <c r="S287" s="99">
        <f>IF(AND(ISNUMBER(SEARCH("Espeto",N287)),ISNUMBER(SEARCH("Chac",N287))),"SIM","")</f>
        <v/>
      </c>
      <c r="T287" s="99">
        <f>IF(AND(ISNUMBER(SEARCH("Espeto",N287)),ISNUMBER(SEARCH("Madalena",N287))),"SIM","")</f>
        <v/>
      </c>
      <c r="U287" s="99">
        <f>IF(AND(ISNUMBER(SEARCH("Espeto",N287)),ISNUMBER(SEARCH("Mariana",N287))),"SIM","")</f>
        <v/>
      </c>
      <c r="V287" s="99">
        <f>IF(AND(ISNUMBER(SEARCH("Espeto",N287)),ISNUMBER(SEARCH("Perdizes",N287))),"SIM","")</f>
        <v/>
      </c>
      <c r="W287" s="99">
        <f>IF(AND(ISNUMBER(SEARCH("Espeto",N287)),ISNUMBER(SEARCH("Santana",N287))),"SIM","")</f>
        <v/>
      </c>
      <c r="X287" s="99">
        <f>IF(AND(ISNUMBER(SEARCH("Espeto",N287)),ISNUMBER(SEARCH("André",N287))),"SIM","")</f>
        <v/>
      </c>
      <c r="Y287" s="99">
        <f>IF(AND(ISNUMBER(SEARCH("Delivery",N287)),ISNUMBER(SEARCH("Carin",N287))),"SIM","")</f>
        <v/>
      </c>
      <c r="Z287" s="99">
        <f>IF(AND(ISNUMBER(SEARCH("Delivery",N287)),ISNUMBER(SEARCH("Lapa",N287))),"SIM","")</f>
        <v/>
      </c>
      <c r="AA287" s="99">
        <f>IF(AND(ISNUMBER(SEARCH("Delivery",N287)),ISNUMBER(SEARCH("Tatuapé",N287))),"SIM","")</f>
        <v/>
      </c>
      <c r="AB287" s="99">
        <f>IF(AND(ISNUMBER(SEARCH("Delivery",N287)),ISNUMBER(SEARCH("Pavão",N287))),"SIM","")</f>
        <v/>
      </c>
      <c r="AC287" s="99">
        <f>IF(AND(ISNUMBER(SEARCH("Delivery",N287)),ISNUMBER(SEARCH("Chac",N287))),"SIM","")</f>
        <v/>
      </c>
      <c r="AD287" s="99">
        <f>IF(AND(ISNUMBER(SEARCH("Delivery",N287)),ISNUMBER(SEARCH("Madalena",N287))),"SIM","")</f>
        <v/>
      </c>
      <c r="AE287" s="92">
        <f>IF(AND(ISNUMBER(SEARCH("Delivery",N287)),ISNUMBER(SEARCH("Mariana",N287))),"SIM","")</f>
        <v/>
      </c>
      <c r="AF287" s="92">
        <f>IF(AND(ISNUMBER(SEARCH("Delivery",N287)),ISNUMBER(SEARCH("Perdizes",N287))),"SIM","")</f>
        <v/>
      </c>
      <c r="AG287" s="92">
        <f>IF(AND(ISNUMBER(SEARCH("Delivery",N287)),ISNUMBER(SEARCH("Santana",N287))),"SIM","")</f>
        <v/>
      </c>
      <c r="AH287" s="92">
        <f>IF(AND(ISNUMBER(SEARCH("Delivery",N287)),ISNUMBER(SEARCH("André",N287))),"SIM","")</f>
        <v/>
      </c>
      <c r="AI287" s="92">
        <f>IF(ISNUMBER(SEARCH("Interlagos",N287)),"SIM","")</f>
        <v/>
      </c>
      <c r="AJ287" s="92">
        <f>IF(ISNUMBER(SEARCH("Quiosque",N287)),"SIM","")</f>
        <v/>
      </c>
      <c r="AK287" s="93" t="n"/>
    </row>
    <row r="288">
      <c r="A288" s="88" t="inlineStr">
        <is>
          <t>Protheus</t>
        </is>
      </c>
      <c r="B288" s="89" t="inlineStr">
        <is>
          <t>010082</t>
        </is>
      </c>
      <c r="C288" s="90">
        <f>IF(B288="—","—",IFERROR(VLOOKUP(B288,_Protheus_Cadastro!$A:$B,2,FALSE),"—"))</f>
        <v/>
      </c>
      <c r="D288" s="91">
        <f>IF(B288="—",IFERROR(INDEX(_ZIG_Cadastro!$D:$D,MATCH(H288,_ZIG_Cadastro!$A:$A,0)),"Produto"),IFERROR(VLOOKUP(B288,_Protheus_Cadastro!$A:$C,3,FALSE),"—"))</f>
        <v/>
      </c>
      <c r="E288" s="91">
        <f>IF(B288="—","—",IFERROR(VLOOKUP(B288,_Protheus_Cadastro!$A:$D,4,FALSE),"—"))</f>
        <v/>
      </c>
      <c r="F288" s="91">
        <f>IF(ISERROR(VLOOKUP(B288,'Estrutura Protheus'!A:A,1,FALSE)),"Não","Sim")</f>
        <v/>
      </c>
      <c r="G288" s="92">
        <f>IFERROR(INDEX(_Protheus_Cadastro!$H:$H,MATCH(B288,_Protheus_Cadastro!$A:$A,0)),"—")</f>
        <v/>
      </c>
      <c r="H288" s="210">
        <f>IFERROR(INDEX(_ZIG_Precos!$D:$D,MATCH(I288,_ZIG_Precos!$F:$F,0)),"—")</f>
        <v/>
      </c>
      <c r="I288" s="95">
        <f>IFERROR(VLOOKUP(B288,_Protheus_Cadastro!$A:$I,9,FALSE),"—")</f>
        <v/>
      </c>
      <c r="J288" s="93">
        <f>IFERROR(INDEX(_ZIG_Cadastro!$B:$B,MATCH(I288,_ZIG_Cadastro!$A:$A,0)),IFERROR(INDEX(_Entradas_ZIG!$B:$B,MATCH(I288,_Entradas_ZIG!$C:$C,0)),"—"))</f>
        <v/>
      </c>
      <c r="K288" s="93">
        <f>IFERROR(INDEX(_ZIG_Cadastro!$C:$C,MATCH(I288,_ZIG_Cadastro!$A:$A,0)),IFERROR(INDEX(_Entradas_ZIG!$D:$D,MATCH(I288,_Entradas_ZIG!$C:$C,0)),"—"))</f>
        <v/>
      </c>
      <c r="L288" s="92">
        <f>IF(I288="","Sem SKU ZIG",IF(I288="—","Sem SKU ZIG",IF(NOT(ISERROR(MATCH(I288,_ZIG_Cadastro!$A:$A,0))),IF(EXACT(UPPER(TRIM(C288)),UPPER(TRIM(INDEX(_ZIG_Cadastro!$B:$B,MATCH(I288,_ZIG_Cadastro!$A:$A,0))))),"OK","Atencao - Nome diverge"),IF(NOT(ISERROR(MATCH(I288,_Entradas_ZIG!$C:$C,0))),"OK","Erro - SKU nao encontrado"))))</f>
        <v/>
      </c>
      <c r="M288" s="92">
        <f>IFERROR(INDEX(_ZIG_Cadastro!$G:$G,MATCH(I288,_ZIG_Cadastro!$A:$A,0)),IF(NOT(ISERROR(MATCH(I288,_Entradas_ZIG!$C:$C,0))),"Ativo","—"))</f>
        <v/>
      </c>
      <c r="N288" s="94">
        <f>IFERROR(INDEX(_ZIG_Cadastro!$E:$E,MATCH(I288,_ZIG_Cadastro!$A:$A,0)),IFERROR(INDEX(_Entradas_ZIG!$F:$F,MATCH(I288,_Entradas_ZIG!$C:$C,0)),"—"))</f>
        <v/>
      </c>
      <c r="O288" s="92">
        <f>IF(AND(ISNUMBER(SEARCH("Espeto",N288)),ISNUMBER(SEARCH("Carin",N288))),"SIM","")</f>
        <v/>
      </c>
      <c r="P288" s="92">
        <f>IF(AND(ISNUMBER(SEARCH("Espeto",N288)),ISNUMBER(SEARCH("Lapa",N288))),"SIM","")</f>
        <v/>
      </c>
      <c r="Q288" s="92">
        <f>IF(AND(ISNUMBER(SEARCH("Espeto",N288)),ISNUMBER(SEARCH("Tatuapé",N288))),"SIM","")</f>
        <v/>
      </c>
      <c r="R288" s="92">
        <f>IF(AND(ISNUMBER(SEARCH("Espeto",N288)),ISNUMBER(SEARCH("Pavão",N288))),"SIM","")</f>
        <v/>
      </c>
      <c r="S288" s="92">
        <f>IF(AND(ISNUMBER(SEARCH("Espeto",N288)),ISNUMBER(SEARCH("Chac",N288))),"SIM","")</f>
        <v/>
      </c>
      <c r="T288" s="92">
        <f>IF(AND(ISNUMBER(SEARCH("Espeto",N288)),ISNUMBER(SEARCH("Madalena",N288))),"SIM","")</f>
        <v/>
      </c>
      <c r="U288" s="92">
        <f>IF(AND(ISNUMBER(SEARCH("Espeto",N288)),ISNUMBER(SEARCH("Mariana",N288))),"SIM","")</f>
        <v/>
      </c>
      <c r="V288" s="92">
        <f>IF(AND(ISNUMBER(SEARCH("Espeto",N288)),ISNUMBER(SEARCH("Perdizes",N288))),"SIM","")</f>
        <v/>
      </c>
      <c r="W288" s="92">
        <f>IF(AND(ISNUMBER(SEARCH("Espeto",N288)),ISNUMBER(SEARCH("Santana",N288))),"SIM","")</f>
        <v/>
      </c>
      <c r="X288" s="92">
        <f>IF(AND(ISNUMBER(SEARCH("Espeto",N288)),ISNUMBER(SEARCH("André",N288))),"SIM","")</f>
        <v/>
      </c>
      <c r="Y288" s="92">
        <f>IF(AND(ISNUMBER(SEARCH("Delivery",N288)),ISNUMBER(SEARCH("Carin",N288))),"SIM","")</f>
        <v/>
      </c>
      <c r="Z288" s="92">
        <f>IF(AND(ISNUMBER(SEARCH("Delivery",N288)),ISNUMBER(SEARCH("Lapa",N288))),"SIM","")</f>
        <v/>
      </c>
      <c r="AA288" s="92">
        <f>IF(AND(ISNUMBER(SEARCH("Delivery",N288)),ISNUMBER(SEARCH("Tatuapé",N288))),"SIM","")</f>
        <v/>
      </c>
      <c r="AB288" s="92">
        <f>IF(AND(ISNUMBER(SEARCH("Delivery",N288)),ISNUMBER(SEARCH("Pavão",N288))),"SIM","")</f>
        <v/>
      </c>
      <c r="AC288" s="92">
        <f>IF(AND(ISNUMBER(SEARCH("Delivery",N288)),ISNUMBER(SEARCH("Chac",N288))),"SIM","")</f>
        <v/>
      </c>
      <c r="AD288" s="92">
        <f>IF(AND(ISNUMBER(SEARCH("Delivery",N288)),ISNUMBER(SEARCH("Madalena",N288))),"SIM","")</f>
        <v/>
      </c>
      <c r="AE288" s="99">
        <f>IF(AND(ISNUMBER(SEARCH("Delivery",N288)),ISNUMBER(SEARCH("Mariana",N288))),"SIM","")</f>
        <v/>
      </c>
      <c r="AF288" s="99">
        <f>IF(AND(ISNUMBER(SEARCH("Delivery",N288)),ISNUMBER(SEARCH("Perdizes",N288))),"SIM","")</f>
        <v/>
      </c>
      <c r="AG288" s="99">
        <f>IF(AND(ISNUMBER(SEARCH("Delivery",N288)),ISNUMBER(SEARCH("Santana",N288))),"SIM","")</f>
        <v/>
      </c>
      <c r="AH288" s="99">
        <f>IF(AND(ISNUMBER(SEARCH("Delivery",N288)),ISNUMBER(SEARCH("André",N288))),"SIM","")</f>
        <v/>
      </c>
      <c r="AI288" s="99">
        <f>IF(ISNUMBER(SEARCH("Interlagos",N288)),"SIM","")</f>
        <v/>
      </c>
      <c r="AJ288" s="99">
        <f>IF(ISNUMBER(SEARCH("Quiosque",N288)),"SIM","")</f>
        <v/>
      </c>
      <c r="AK288" s="101" t="n"/>
    </row>
    <row r="289">
      <c r="A289" s="88" t="inlineStr">
        <is>
          <t>Protheus</t>
        </is>
      </c>
      <c r="B289" s="96" t="inlineStr">
        <is>
          <t>010346</t>
        </is>
      </c>
      <c r="C289" s="97">
        <f>IF(B289="—","—",IFERROR(VLOOKUP(B289,_Protheus_Cadastro!$A:$B,2,FALSE),"—"))</f>
        <v/>
      </c>
      <c r="D289" s="98">
        <f>IF(B289="—",IFERROR(INDEX(_ZIG_Cadastro!$D:$D,MATCH(H289,_ZIG_Cadastro!$A:$A,0)),"Produto"),IFERROR(VLOOKUP(B289,_Protheus_Cadastro!$A:$C,3,FALSE),"—"))</f>
        <v/>
      </c>
      <c r="E289" s="98">
        <f>IF(B289="—","—",IFERROR(VLOOKUP(B289,_Protheus_Cadastro!$A:$D,4,FALSE),"—"))</f>
        <v/>
      </c>
      <c r="F289" s="98">
        <f>IF(ISERROR(VLOOKUP(B289,'Estrutura Protheus'!A:A,1,FALSE)),"Não","Sim")</f>
        <v/>
      </c>
      <c r="G289" s="99">
        <f>IFERROR(INDEX(_Protheus_Cadastro!$H:$H,MATCH(B289,_Protheus_Cadastro!$A:$A,0)),"—")</f>
        <v/>
      </c>
      <c r="H289" s="211">
        <f>IFERROR(INDEX(_ZIG_Precos!$D:$D,MATCH(I289,_ZIG_Precos!$F:$F,0)),"—")</f>
        <v/>
      </c>
      <c r="I289" s="103">
        <f>IFERROR(VLOOKUP(B289,_Protheus_Cadastro!$A:$I,9,FALSE),"—")</f>
        <v/>
      </c>
      <c r="J289" s="101">
        <f>IFERROR(INDEX(_ZIG_Cadastro!$B:$B,MATCH(I289,_ZIG_Cadastro!$A:$A,0)),IFERROR(INDEX(_Entradas_ZIG!$B:$B,MATCH(I289,_Entradas_ZIG!$C:$C,0)),"—"))</f>
        <v/>
      </c>
      <c r="K289" s="101">
        <f>IFERROR(INDEX(_ZIG_Cadastro!$C:$C,MATCH(I289,_ZIG_Cadastro!$A:$A,0)),IFERROR(INDEX(_Entradas_ZIG!$D:$D,MATCH(I289,_Entradas_ZIG!$C:$C,0)),"—"))</f>
        <v/>
      </c>
      <c r="L289" s="99">
        <f>IF(I289="","Sem SKU ZIG",IF(I289="—","Sem SKU ZIG",IF(NOT(ISERROR(MATCH(I289,_ZIG_Cadastro!$A:$A,0))),IF(EXACT(UPPER(TRIM(C289)),UPPER(TRIM(INDEX(_ZIG_Cadastro!$B:$B,MATCH(I289,_ZIG_Cadastro!$A:$A,0))))),"OK","Atencao - Nome diverge"),IF(NOT(ISERROR(MATCH(I289,_Entradas_ZIG!$C:$C,0))),"OK","Erro - SKU nao encontrado"))))</f>
        <v/>
      </c>
      <c r="M289" s="99">
        <f>IFERROR(INDEX(_ZIG_Cadastro!$G:$G,MATCH(I289,_ZIG_Cadastro!$A:$A,0)),IF(NOT(ISERROR(MATCH(I289,_Entradas_ZIG!$C:$C,0))),"Ativo","—"))</f>
        <v/>
      </c>
      <c r="N289" s="102">
        <f>IFERROR(INDEX(_ZIG_Cadastro!$E:$E,MATCH(I289,_ZIG_Cadastro!$A:$A,0)),IFERROR(INDEX(_Entradas_ZIG!$F:$F,MATCH(I289,_Entradas_ZIG!$C:$C,0)),"—"))</f>
        <v/>
      </c>
      <c r="O289" s="99">
        <f>IF(AND(ISNUMBER(SEARCH("Espeto",N289)),ISNUMBER(SEARCH("Carin",N289))),"SIM","")</f>
        <v/>
      </c>
      <c r="P289" s="99">
        <f>IF(AND(ISNUMBER(SEARCH("Espeto",N289)),ISNUMBER(SEARCH("Lapa",N289))),"SIM","")</f>
        <v/>
      </c>
      <c r="Q289" s="99">
        <f>IF(AND(ISNUMBER(SEARCH("Espeto",N289)),ISNUMBER(SEARCH("Tatuapé",N289))),"SIM","")</f>
        <v/>
      </c>
      <c r="R289" s="99">
        <f>IF(AND(ISNUMBER(SEARCH("Espeto",N289)),ISNUMBER(SEARCH("Pavão",N289))),"SIM","")</f>
        <v/>
      </c>
      <c r="S289" s="99">
        <f>IF(AND(ISNUMBER(SEARCH("Espeto",N289)),ISNUMBER(SEARCH("Chac",N289))),"SIM","")</f>
        <v/>
      </c>
      <c r="T289" s="99">
        <f>IF(AND(ISNUMBER(SEARCH("Espeto",N289)),ISNUMBER(SEARCH("Madalena",N289))),"SIM","")</f>
        <v/>
      </c>
      <c r="U289" s="99">
        <f>IF(AND(ISNUMBER(SEARCH("Espeto",N289)),ISNUMBER(SEARCH("Mariana",N289))),"SIM","")</f>
        <v/>
      </c>
      <c r="V289" s="99">
        <f>IF(AND(ISNUMBER(SEARCH("Espeto",N289)),ISNUMBER(SEARCH("Perdizes",N289))),"SIM","")</f>
        <v/>
      </c>
      <c r="W289" s="99">
        <f>IF(AND(ISNUMBER(SEARCH("Espeto",N289)),ISNUMBER(SEARCH("Santana",N289))),"SIM","")</f>
        <v/>
      </c>
      <c r="X289" s="99">
        <f>IF(AND(ISNUMBER(SEARCH("Espeto",N289)),ISNUMBER(SEARCH("André",N289))),"SIM","")</f>
        <v/>
      </c>
      <c r="Y289" s="99">
        <f>IF(AND(ISNUMBER(SEARCH("Delivery",N289)),ISNUMBER(SEARCH("Carin",N289))),"SIM","")</f>
        <v/>
      </c>
      <c r="Z289" s="99">
        <f>IF(AND(ISNUMBER(SEARCH("Delivery",N289)),ISNUMBER(SEARCH("Lapa",N289))),"SIM","")</f>
        <v/>
      </c>
      <c r="AA289" s="99">
        <f>IF(AND(ISNUMBER(SEARCH("Delivery",N289)),ISNUMBER(SEARCH("Tatuapé",N289))),"SIM","")</f>
        <v/>
      </c>
      <c r="AB289" s="99">
        <f>IF(AND(ISNUMBER(SEARCH("Delivery",N289)),ISNUMBER(SEARCH("Pavão",N289))),"SIM","")</f>
        <v/>
      </c>
      <c r="AC289" s="99">
        <f>IF(AND(ISNUMBER(SEARCH("Delivery",N289)),ISNUMBER(SEARCH("Chac",N289))),"SIM","")</f>
        <v/>
      </c>
      <c r="AD289" s="99">
        <f>IF(AND(ISNUMBER(SEARCH("Delivery",N289)),ISNUMBER(SEARCH("Madalena",N289))),"SIM","")</f>
        <v/>
      </c>
      <c r="AE289" s="92">
        <f>IF(AND(ISNUMBER(SEARCH("Delivery",N289)),ISNUMBER(SEARCH("Mariana",N289))),"SIM","")</f>
        <v/>
      </c>
      <c r="AF289" s="92">
        <f>IF(AND(ISNUMBER(SEARCH("Delivery",N289)),ISNUMBER(SEARCH("Perdizes",N289))),"SIM","")</f>
        <v/>
      </c>
      <c r="AG289" s="92">
        <f>IF(AND(ISNUMBER(SEARCH("Delivery",N289)),ISNUMBER(SEARCH("Santana",N289))),"SIM","")</f>
        <v/>
      </c>
      <c r="AH289" s="92">
        <f>IF(AND(ISNUMBER(SEARCH("Delivery",N289)),ISNUMBER(SEARCH("André",N289))),"SIM","")</f>
        <v/>
      </c>
      <c r="AI289" s="92">
        <f>IF(ISNUMBER(SEARCH("Interlagos",N289)),"SIM","")</f>
        <v/>
      </c>
      <c r="AJ289" s="92">
        <f>IF(ISNUMBER(SEARCH("Quiosque",N289)),"SIM","")</f>
        <v/>
      </c>
      <c r="AK289" s="93" t="n"/>
    </row>
    <row r="290">
      <c r="A290" s="88" t="inlineStr">
        <is>
          <t>Protheus</t>
        </is>
      </c>
      <c r="B290" s="89" t="inlineStr">
        <is>
          <t>001491</t>
        </is>
      </c>
      <c r="C290" s="90">
        <f>IF(B290="—","—",IFERROR(VLOOKUP(B290,_Protheus_Cadastro!$A:$B,2,FALSE),"—"))</f>
        <v/>
      </c>
      <c r="D290" s="91">
        <f>IF(B290="—",IFERROR(INDEX(_ZIG_Cadastro!$D:$D,MATCH(H290,_ZIG_Cadastro!$A:$A,0)),"Produto"),IFERROR(VLOOKUP(B290,_Protheus_Cadastro!$A:$C,3,FALSE),"—"))</f>
        <v/>
      </c>
      <c r="E290" s="91">
        <f>IF(B290="—","—",IFERROR(VLOOKUP(B290,_Protheus_Cadastro!$A:$D,4,FALSE),"—"))</f>
        <v/>
      </c>
      <c r="F290" s="91">
        <f>IF(ISERROR(VLOOKUP(B290,'Estrutura Protheus'!A:A,1,FALSE)),"Não","Sim")</f>
        <v/>
      </c>
      <c r="G290" s="92">
        <f>IFERROR(INDEX(_Protheus_Cadastro!$H:$H,MATCH(B290,_Protheus_Cadastro!$A:$A,0)),"—")</f>
        <v/>
      </c>
      <c r="H290" s="210">
        <f>IFERROR(INDEX(_ZIG_Precos!$D:$D,MATCH(I290,_ZIG_Precos!$F:$F,0)),"—")</f>
        <v/>
      </c>
      <c r="I290" s="95">
        <f>IFERROR(VLOOKUP(B290,_Protheus_Cadastro!$A:$I,9,FALSE),"—")</f>
        <v/>
      </c>
      <c r="J290" s="93">
        <f>IFERROR(INDEX(_ZIG_Cadastro!$B:$B,MATCH(I290,_ZIG_Cadastro!$A:$A,0)),IFERROR(INDEX(_Entradas_ZIG!$B:$B,MATCH(I290,_Entradas_ZIG!$C:$C,0)),"—"))</f>
        <v/>
      </c>
      <c r="K290" s="93">
        <f>IFERROR(INDEX(_ZIG_Cadastro!$C:$C,MATCH(I290,_ZIG_Cadastro!$A:$A,0)),IFERROR(INDEX(_Entradas_ZIG!$D:$D,MATCH(I290,_Entradas_ZIG!$C:$C,0)),"—"))</f>
        <v/>
      </c>
      <c r="L290" s="92">
        <f>IF(I290="","Sem SKU ZIG",IF(I290="—","Sem SKU ZIG",IF(NOT(ISERROR(MATCH(I290,_ZIG_Cadastro!$A:$A,0))),IF(EXACT(UPPER(TRIM(C290)),UPPER(TRIM(INDEX(_ZIG_Cadastro!$B:$B,MATCH(I290,_ZIG_Cadastro!$A:$A,0))))),"OK","Atencao - Nome diverge"),IF(NOT(ISERROR(MATCH(I290,_Entradas_ZIG!$C:$C,0))),"OK","Erro - SKU nao encontrado"))))</f>
        <v/>
      </c>
      <c r="M290" s="92">
        <f>IFERROR(INDEX(_ZIG_Cadastro!$G:$G,MATCH(I290,_ZIG_Cadastro!$A:$A,0)),IF(NOT(ISERROR(MATCH(I290,_Entradas_ZIG!$C:$C,0))),"Ativo","—"))</f>
        <v/>
      </c>
      <c r="N290" s="94">
        <f>IFERROR(INDEX(_ZIG_Cadastro!$E:$E,MATCH(I290,_ZIG_Cadastro!$A:$A,0)),IFERROR(INDEX(_Entradas_ZIG!$F:$F,MATCH(I290,_Entradas_ZIG!$C:$C,0)),"—"))</f>
        <v/>
      </c>
      <c r="O290" s="92">
        <f>IF(AND(ISNUMBER(SEARCH("Espeto",N290)),ISNUMBER(SEARCH("Carin",N290))),"SIM","")</f>
        <v/>
      </c>
      <c r="P290" s="92">
        <f>IF(AND(ISNUMBER(SEARCH("Espeto",N290)),ISNUMBER(SEARCH("Lapa",N290))),"SIM","")</f>
        <v/>
      </c>
      <c r="Q290" s="92">
        <f>IF(AND(ISNUMBER(SEARCH("Espeto",N290)),ISNUMBER(SEARCH("Tatuapé",N290))),"SIM","")</f>
        <v/>
      </c>
      <c r="R290" s="92">
        <f>IF(AND(ISNUMBER(SEARCH("Espeto",N290)),ISNUMBER(SEARCH("Pavão",N290))),"SIM","")</f>
        <v/>
      </c>
      <c r="S290" s="92">
        <f>IF(AND(ISNUMBER(SEARCH("Espeto",N290)),ISNUMBER(SEARCH("Chac",N290))),"SIM","")</f>
        <v/>
      </c>
      <c r="T290" s="92">
        <f>IF(AND(ISNUMBER(SEARCH("Espeto",N290)),ISNUMBER(SEARCH("Madalena",N290))),"SIM","")</f>
        <v/>
      </c>
      <c r="U290" s="92">
        <f>IF(AND(ISNUMBER(SEARCH("Espeto",N290)),ISNUMBER(SEARCH("Mariana",N290))),"SIM","")</f>
        <v/>
      </c>
      <c r="V290" s="92">
        <f>IF(AND(ISNUMBER(SEARCH("Espeto",N290)),ISNUMBER(SEARCH("Perdizes",N290))),"SIM","")</f>
        <v/>
      </c>
      <c r="W290" s="92">
        <f>IF(AND(ISNUMBER(SEARCH("Espeto",N290)),ISNUMBER(SEARCH("Santana",N290))),"SIM","")</f>
        <v/>
      </c>
      <c r="X290" s="92">
        <f>IF(AND(ISNUMBER(SEARCH("Espeto",N290)),ISNUMBER(SEARCH("André",N290))),"SIM","")</f>
        <v/>
      </c>
      <c r="Y290" s="92">
        <f>IF(AND(ISNUMBER(SEARCH("Delivery",N290)),ISNUMBER(SEARCH("Carin",N290))),"SIM","")</f>
        <v/>
      </c>
      <c r="Z290" s="92">
        <f>IF(AND(ISNUMBER(SEARCH("Delivery",N290)),ISNUMBER(SEARCH("Lapa",N290))),"SIM","")</f>
        <v/>
      </c>
      <c r="AA290" s="92">
        <f>IF(AND(ISNUMBER(SEARCH("Delivery",N290)),ISNUMBER(SEARCH("Tatuapé",N290))),"SIM","")</f>
        <v/>
      </c>
      <c r="AB290" s="92">
        <f>IF(AND(ISNUMBER(SEARCH("Delivery",N290)),ISNUMBER(SEARCH("Pavão",N290))),"SIM","")</f>
        <v/>
      </c>
      <c r="AC290" s="92">
        <f>IF(AND(ISNUMBER(SEARCH("Delivery",N290)),ISNUMBER(SEARCH("Chac",N290))),"SIM","")</f>
        <v/>
      </c>
      <c r="AD290" s="92">
        <f>IF(AND(ISNUMBER(SEARCH("Delivery",N290)),ISNUMBER(SEARCH("Madalena",N290))),"SIM","")</f>
        <v/>
      </c>
      <c r="AE290" s="99">
        <f>IF(AND(ISNUMBER(SEARCH("Delivery",N290)),ISNUMBER(SEARCH("Mariana",N290))),"SIM","")</f>
        <v/>
      </c>
      <c r="AF290" s="99">
        <f>IF(AND(ISNUMBER(SEARCH("Delivery",N290)),ISNUMBER(SEARCH("Perdizes",N290))),"SIM","")</f>
        <v/>
      </c>
      <c r="AG290" s="99">
        <f>IF(AND(ISNUMBER(SEARCH("Delivery",N290)),ISNUMBER(SEARCH("Santana",N290))),"SIM","")</f>
        <v/>
      </c>
      <c r="AH290" s="99">
        <f>IF(AND(ISNUMBER(SEARCH("Delivery",N290)),ISNUMBER(SEARCH("André",N290))),"SIM","")</f>
        <v/>
      </c>
      <c r="AI290" s="99">
        <f>IF(ISNUMBER(SEARCH("Interlagos",N290)),"SIM","")</f>
        <v/>
      </c>
      <c r="AJ290" s="99">
        <f>IF(ISNUMBER(SEARCH("Quiosque",N290)),"SIM","")</f>
        <v/>
      </c>
      <c r="AK290" s="101" t="n"/>
    </row>
    <row r="291">
      <c r="A291" s="88" t="inlineStr">
        <is>
          <t>Protheus</t>
        </is>
      </c>
      <c r="B291" s="96" t="inlineStr">
        <is>
          <t>009861</t>
        </is>
      </c>
      <c r="C291" s="97">
        <f>IF(B291="—","—",IFERROR(VLOOKUP(B291,_Protheus_Cadastro!$A:$B,2,FALSE),"—"))</f>
        <v/>
      </c>
      <c r="D291" s="98">
        <f>IF(B291="—",IFERROR(INDEX(_ZIG_Cadastro!$D:$D,MATCH(H291,_ZIG_Cadastro!$A:$A,0)),"Produto"),IFERROR(VLOOKUP(B291,_Protheus_Cadastro!$A:$C,3,FALSE),"—"))</f>
        <v/>
      </c>
      <c r="E291" s="98">
        <f>IF(B291="—","—",IFERROR(VLOOKUP(B291,_Protheus_Cadastro!$A:$D,4,FALSE),"—"))</f>
        <v/>
      </c>
      <c r="F291" s="98">
        <f>IF(ISERROR(VLOOKUP(B291,'Estrutura Protheus'!A:A,1,FALSE)),"Não","Sim")</f>
        <v/>
      </c>
      <c r="G291" s="99">
        <f>IFERROR(INDEX(_Protheus_Cadastro!$H:$H,MATCH(B291,_Protheus_Cadastro!$A:$A,0)),"—")</f>
        <v/>
      </c>
      <c r="H291" s="211">
        <f>IFERROR(INDEX(_ZIG_Precos!$D:$D,MATCH(I291,_ZIG_Precos!$F:$F,0)),"—")</f>
        <v/>
      </c>
      <c r="I291" s="103">
        <f>IFERROR(VLOOKUP(B291,_Protheus_Cadastro!$A:$I,9,FALSE),"—")</f>
        <v/>
      </c>
      <c r="J291" s="101">
        <f>IFERROR(INDEX(_ZIG_Cadastro!$B:$B,MATCH(I291,_ZIG_Cadastro!$A:$A,0)),IFERROR(INDEX(_Entradas_ZIG!$B:$B,MATCH(I291,_Entradas_ZIG!$C:$C,0)),"—"))</f>
        <v/>
      </c>
      <c r="K291" s="101">
        <f>IFERROR(INDEX(_ZIG_Cadastro!$C:$C,MATCH(I291,_ZIG_Cadastro!$A:$A,0)),IFERROR(INDEX(_Entradas_ZIG!$D:$D,MATCH(I291,_Entradas_ZIG!$C:$C,0)),"—"))</f>
        <v/>
      </c>
      <c r="L291" s="99">
        <f>IF(I291="","Sem SKU ZIG",IF(I291="—","Sem SKU ZIG",IF(NOT(ISERROR(MATCH(I291,_ZIG_Cadastro!$A:$A,0))),IF(EXACT(UPPER(TRIM(C291)),UPPER(TRIM(INDEX(_ZIG_Cadastro!$B:$B,MATCH(I291,_ZIG_Cadastro!$A:$A,0))))),"OK","Atencao - Nome diverge"),IF(NOT(ISERROR(MATCH(I291,_Entradas_ZIG!$C:$C,0))),"OK","Erro - SKU nao encontrado"))))</f>
        <v/>
      </c>
      <c r="M291" s="99">
        <f>IFERROR(INDEX(_ZIG_Cadastro!$G:$G,MATCH(I291,_ZIG_Cadastro!$A:$A,0)),IF(NOT(ISERROR(MATCH(I291,_Entradas_ZIG!$C:$C,0))),"Ativo","—"))</f>
        <v/>
      </c>
      <c r="N291" s="102">
        <f>IFERROR(INDEX(_ZIG_Cadastro!$E:$E,MATCH(I291,_ZIG_Cadastro!$A:$A,0)),IFERROR(INDEX(_Entradas_ZIG!$F:$F,MATCH(I291,_Entradas_ZIG!$C:$C,0)),"—"))</f>
        <v/>
      </c>
      <c r="O291" s="99">
        <f>IF(AND(ISNUMBER(SEARCH("Espeto",N291)),ISNUMBER(SEARCH("Carin",N291))),"SIM","")</f>
        <v/>
      </c>
      <c r="P291" s="99">
        <f>IF(AND(ISNUMBER(SEARCH("Espeto",N291)),ISNUMBER(SEARCH("Lapa",N291))),"SIM","")</f>
        <v/>
      </c>
      <c r="Q291" s="99">
        <f>IF(AND(ISNUMBER(SEARCH("Espeto",N291)),ISNUMBER(SEARCH("Tatuapé",N291))),"SIM","")</f>
        <v/>
      </c>
      <c r="R291" s="99">
        <f>IF(AND(ISNUMBER(SEARCH("Espeto",N291)),ISNUMBER(SEARCH("Pavão",N291))),"SIM","")</f>
        <v/>
      </c>
      <c r="S291" s="99">
        <f>IF(AND(ISNUMBER(SEARCH("Espeto",N291)),ISNUMBER(SEARCH("Chac",N291))),"SIM","")</f>
        <v/>
      </c>
      <c r="T291" s="99">
        <f>IF(AND(ISNUMBER(SEARCH("Espeto",N291)),ISNUMBER(SEARCH("Madalena",N291))),"SIM","")</f>
        <v/>
      </c>
      <c r="U291" s="99">
        <f>IF(AND(ISNUMBER(SEARCH("Espeto",N291)),ISNUMBER(SEARCH("Mariana",N291))),"SIM","")</f>
        <v/>
      </c>
      <c r="V291" s="99">
        <f>IF(AND(ISNUMBER(SEARCH("Espeto",N291)),ISNUMBER(SEARCH("Perdizes",N291))),"SIM","")</f>
        <v/>
      </c>
      <c r="W291" s="99">
        <f>IF(AND(ISNUMBER(SEARCH("Espeto",N291)),ISNUMBER(SEARCH("Santana",N291))),"SIM","")</f>
        <v/>
      </c>
      <c r="X291" s="99">
        <f>IF(AND(ISNUMBER(SEARCH("Espeto",N291)),ISNUMBER(SEARCH("André",N291))),"SIM","")</f>
        <v/>
      </c>
      <c r="Y291" s="99">
        <f>IF(AND(ISNUMBER(SEARCH("Delivery",N291)),ISNUMBER(SEARCH("Carin",N291))),"SIM","")</f>
        <v/>
      </c>
      <c r="Z291" s="99">
        <f>IF(AND(ISNUMBER(SEARCH("Delivery",N291)),ISNUMBER(SEARCH("Lapa",N291))),"SIM","")</f>
        <v/>
      </c>
      <c r="AA291" s="99">
        <f>IF(AND(ISNUMBER(SEARCH("Delivery",N291)),ISNUMBER(SEARCH("Tatuapé",N291))),"SIM","")</f>
        <v/>
      </c>
      <c r="AB291" s="99">
        <f>IF(AND(ISNUMBER(SEARCH("Delivery",N291)),ISNUMBER(SEARCH("Pavão",N291))),"SIM","")</f>
        <v/>
      </c>
      <c r="AC291" s="99">
        <f>IF(AND(ISNUMBER(SEARCH("Delivery",N291)),ISNUMBER(SEARCH("Chac",N291))),"SIM","")</f>
        <v/>
      </c>
      <c r="AD291" s="99">
        <f>IF(AND(ISNUMBER(SEARCH("Delivery",N291)),ISNUMBER(SEARCH("Madalena",N291))),"SIM","")</f>
        <v/>
      </c>
      <c r="AE291" s="92">
        <f>IF(AND(ISNUMBER(SEARCH("Delivery",N291)),ISNUMBER(SEARCH("Mariana",N291))),"SIM","")</f>
        <v/>
      </c>
      <c r="AF291" s="92">
        <f>IF(AND(ISNUMBER(SEARCH("Delivery",N291)),ISNUMBER(SEARCH("Perdizes",N291))),"SIM","")</f>
        <v/>
      </c>
      <c r="AG291" s="92">
        <f>IF(AND(ISNUMBER(SEARCH("Delivery",N291)),ISNUMBER(SEARCH("Santana",N291))),"SIM","")</f>
        <v/>
      </c>
      <c r="AH291" s="92">
        <f>IF(AND(ISNUMBER(SEARCH("Delivery",N291)),ISNUMBER(SEARCH("André",N291))),"SIM","")</f>
        <v/>
      </c>
      <c r="AI291" s="92">
        <f>IF(ISNUMBER(SEARCH("Interlagos",N291)),"SIM","")</f>
        <v/>
      </c>
      <c r="AJ291" s="92">
        <f>IF(ISNUMBER(SEARCH("Quiosque",N291)),"SIM","")</f>
        <v/>
      </c>
      <c r="AK291" s="93" t="n"/>
    </row>
    <row r="292">
      <c r="A292" s="88" t="inlineStr">
        <is>
          <t>Protheus</t>
        </is>
      </c>
      <c r="B292" s="89" t="inlineStr">
        <is>
          <t>009987</t>
        </is>
      </c>
      <c r="C292" s="90">
        <f>IF(B292="—","—",IFERROR(VLOOKUP(B292,_Protheus_Cadastro!$A:$B,2,FALSE),"—"))</f>
        <v/>
      </c>
      <c r="D292" s="91">
        <f>IF(B292="—",IFERROR(INDEX(_ZIG_Cadastro!$D:$D,MATCH(H292,_ZIG_Cadastro!$A:$A,0)),"Produto"),IFERROR(VLOOKUP(B292,_Protheus_Cadastro!$A:$C,3,FALSE),"—"))</f>
        <v/>
      </c>
      <c r="E292" s="91">
        <f>IF(B292="—","—",IFERROR(VLOOKUP(B292,_Protheus_Cadastro!$A:$D,4,FALSE),"—"))</f>
        <v/>
      </c>
      <c r="F292" s="91">
        <f>IF(ISERROR(VLOOKUP(B292,'Estrutura Protheus'!A:A,1,FALSE)),"Não","Sim")</f>
        <v/>
      </c>
      <c r="G292" s="92">
        <f>IFERROR(INDEX(_Protheus_Cadastro!$H:$H,MATCH(B292,_Protheus_Cadastro!$A:$A,0)),"—")</f>
        <v/>
      </c>
      <c r="H292" s="210">
        <f>IFERROR(INDEX(_ZIG_Precos!$D:$D,MATCH(I292,_ZIG_Precos!$F:$F,0)),"—")</f>
        <v/>
      </c>
      <c r="I292" s="95">
        <f>IFERROR(VLOOKUP(B292,_Protheus_Cadastro!$A:$I,9,FALSE),"—")</f>
        <v/>
      </c>
      <c r="J292" s="93">
        <f>IFERROR(INDEX(_ZIG_Cadastro!$B:$B,MATCH(I292,_ZIG_Cadastro!$A:$A,0)),IFERROR(INDEX(_Entradas_ZIG!$B:$B,MATCH(I292,_Entradas_ZIG!$C:$C,0)),"—"))</f>
        <v/>
      </c>
      <c r="K292" s="93">
        <f>IFERROR(INDEX(_ZIG_Cadastro!$C:$C,MATCH(I292,_ZIG_Cadastro!$A:$A,0)),IFERROR(INDEX(_Entradas_ZIG!$D:$D,MATCH(I292,_Entradas_ZIG!$C:$C,0)),"—"))</f>
        <v/>
      </c>
      <c r="L292" s="92">
        <f>IF(I292="","Sem SKU ZIG",IF(I292="—","Sem SKU ZIG",IF(NOT(ISERROR(MATCH(I292,_ZIG_Cadastro!$A:$A,0))),IF(EXACT(UPPER(TRIM(C292)),UPPER(TRIM(INDEX(_ZIG_Cadastro!$B:$B,MATCH(I292,_ZIG_Cadastro!$A:$A,0))))),"OK","Atencao - Nome diverge"),IF(NOT(ISERROR(MATCH(I292,_Entradas_ZIG!$C:$C,0))),"OK","Erro - SKU nao encontrado"))))</f>
        <v/>
      </c>
      <c r="M292" s="92">
        <f>IFERROR(INDEX(_ZIG_Cadastro!$G:$G,MATCH(I292,_ZIG_Cadastro!$A:$A,0)),IF(NOT(ISERROR(MATCH(I292,_Entradas_ZIG!$C:$C,0))),"Ativo","—"))</f>
        <v/>
      </c>
      <c r="N292" s="94">
        <f>IFERROR(INDEX(_ZIG_Cadastro!$E:$E,MATCH(I292,_ZIG_Cadastro!$A:$A,0)),IFERROR(INDEX(_Entradas_ZIG!$F:$F,MATCH(I292,_Entradas_ZIG!$C:$C,0)),"—"))</f>
        <v/>
      </c>
      <c r="O292" s="92">
        <f>IF(AND(ISNUMBER(SEARCH("Espeto",N292)),ISNUMBER(SEARCH("Carin",N292))),"SIM","")</f>
        <v/>
      </c>
      <c r="P292" s="92">
        <f>IF(AND(ISNUMBER(SEARCH("Espeto",N292)),ISNUMBER(SEARCH("Lapa",N292))),"SIM","")</f>
        <v/>
      </c>
      <c r="Q292" s="92">
        <f>IF(AND(ISNUMBER(SEARCH("Espeto",N292)),ISNUMBER(SEARCH("Tatuapé",N292))),"SIM","")</f>
        <v/>
      </c>
      <c r="R292" s="92">
        <f>IF(AND(ISNUMBER(SEARCH("Espeto",N292)),ISNUMBER(SEARCH("Pavão",N292))),"SIM","")</f>
        <v/>
      </c>
      <c r="S292" s="92">
        <f>IF(AND(ISNUMBER(SEARCH("Espeto",N292)),ISNUMBER(SEARCH("Chac",N292))),"SIM","")</f>
        <v/>
      </c>
      <c r="T292" s="92">
        <f>IF(AND(ISNUMBER(SEARCH("Espeto",N292)),ISNUMBER(SEARCH("Madalena",N292))),"SIM","")</f>
        <v/>
      </c>
      <c r="U292" s="92">
        <f>IF(AND(ISNUMBER(SEARCH("Espeto",N292)),ISNUMBER(SEARCH("Mariana",N292))),"SIM","")</f>
        <v/>
      </c>
      <c r="V292" s="92">
        <f>IF(AND(ISNUMBER(SEARCH("Espeto",N292)),ISNUMBER(SEARCH("Perdizes",N292))),"SIM","")</f>
        <v/>
      </c>
      <c r="W292" s="92">
        <f>IF(AND(ISNUMBER(SEARCH("Espeto",N292)),ISNUMBER(SEARCH("Santana",N292))),"SIM","")</f>
        <v/>
      </c>
      <c r="X292" s="92">
        <f>IF(AND(ISNUMBER(SEARCH("Espeto",N292)),ISNUMBER(SEARCH("André",N292))),"SIM","")</f>
        <v/>
      </c>
      <c r="Y292" s="92">
        <f>IF(AND(ISNUMBER(SEARCH("Delivery",N292)),ISNUMBER(SEARCH("Carin",N292))),"SIM","")</f>
        <v/>
      </c>
      <c r="Z292" s="92">
        <f>IF(AND(ISNUMBER(SEARCH("Delivery",N292)),ISNUMBER(SEARCH("Lapa",N292))),"SIM","")</f>
        <v/>
      </c>
      <c r="AA292" s="92">
        <f>IF(AND(ISNUMBER(SEARCH("Delivery",N292)),ISNUMBER(SEARCH("Tatuapé",N292))),"SIM","")</f>
        <v/>
      </c>
      <c r="AB292" s="92">
        <f>IF(AND(ISNUMBER(SEARCH("Delivery",N292)),ISNUMBER(SEARCH("Pavão",N292))),"SIM","")</f>
        <v/>
      </c>
      <c r="AC292" s="92">
        <f>IF(AND(ISNUMBER(SEARCH("Delivery",N292)),ISNUMBER(SEARCH("Chac",N292))),"SIM","")</f>
        <v/>
      </c>
      <c r="AD292" s="92">
        <f>IF(AND(ISNUMBER(SEARCH("Delivery",N292)),ISNUMBER(SEARCH("Madalena",N292))),"SIM","")</f>
        <v/>
      </c>
      <c r="AE292" s="99">
        <f>IF(AND(ISNUMBER(SEARCH("Delivery",N292)),ISNUMBER(SEARCH("Mariana",N292))),"SIM","")</f>
        <v/>
      </c>
      <c r="AF292" s="99">
        <f>IF(AND(ISNUMBER(SEARCH("Delivery",N292)),ISNUMBER(SEARCH("Perdizes",N292))),"SIM","")</f>
        <v/>
      </c>
      <c r="AG292" s="99">
        <f>IF(AND(ISNUMBER(SEARCH("Delivery",N292)),ISNUMBER(SEARCH("Santana",N292))),"SIM","")</f>
        <v/>
      </c>
      <c r="AH292" s="99">
        <f>IF(AND(ISNUMBER(SEARCH("Delivery",N292)),ISNUMBER(SEARCH("André",N292))),"SIM","")</f>
        <v/>
      </c>
      <c r="AI292" s="99">
        <f>IF(ISNUMBER(SEARCH("Interlagos",N292)),"SIM","")</f>
        <v/>
      </c>
      <c r="AJ292" s="99">
        <f>IF(ISNUMBER(SEARCH("Quiosque",N292)),"SIM","")</f>
        <v/>
      </c>
      <c r="AK292" s="101" t="n"/>
    </row>
    <row r="293">
      <c r="A293" s="88" t="inlineStr">
        <is>
          <t>Protheus</t>
        </is>
      </c>
      <c r="B293" s="96" t="inlineStr">
        <is>
          <t>010033</t>
        </is>
      </c>
      <c r="C293" s="97">
        <f>IF(B293="—","—",IFERROR(VLOOKUP(B293,_Protheus_Cadastro!$A:$B,2,FALSE),"—"))</f>
        <v/>
      </c>
      <c r="D293" s="98">
        <f>IF(B293="—",IFERROR(INDEX(_ZIG_Cadastro!$D:$D,MATCH(H293,_ZIG_Cadastro!$A:$A,0)),"Produto"),IFERROR(VLOOKUP(B293,_Protheus_Cadastro!$A:$C,3,FALSE),"—"))</f>
        <v/>
      </c>
      <c r="E293" s="98">
        <f>IF(B293="—","—",IFERROR(VLOOKUP(B293,_Protheus_Cadastro!$A:$D,4,FALSE),"—"))</f>
        <v/>
      </c>
      <c r="F293" s="98">
        <f>IF(ISERROR(VLOOKUP(B293,'Estrutura Protheus'!A:A,1,FALSE)),"Não","Sim")</f>
        <v/>
      </c>
      <c r="G293" s="99">
        <f>IFERROR(INDEX(_Protheus_Cadastro!$H:$H,MATCH(B293,_Protheus_Cadastro!$A:$A,0)),"—")</f>
        <v/>
      </c>
      <c r="H293" s="211">
        <f>IFERROR(INDEX(_ZIG_Precos!$D:$D,MATCH(I293,_ZIG_Precos!$F:$F,0)),"—")</f>
        <v/>
      </c>
      <c r="I293" s="103">
        <f>IFERROR(VLOOKUP(B293,_Protheus_Cadastro!$A:$I,9,FALSE),"—")</f>
        <v/>
      </c>
      <c r="J293" s="101">
        <f>IFERROR(INDEX(_ZIG_Cadastro!$B:$B,MATCH(I293,_ZIG_Cadastro!$A:$A,0)),IFERROR(INDEX(_Entradas_ZIG!$B:$B,MATCH(I293,_Entradas_ZIG!$C:$C,0)),"—"))</f>
        <v/>
      </c>
      <c r="K293" s="101">
        <f>IFERROR(INDEX(_ZIG_Cadastro!$C:$C,MATCH(I293,_ZIG_Cadastro!$A:$A,0)),IFERROR(INDEX(_Entradas_ZIG!$D:$D,MATCH(I293,_Entradas_ZIG!$C:$C,0)),"—"))</f>
        <v/>
      </c>
      <c r="L293" s="99">
        <f>IF(I293="","Sem SKU ZIG",IF(I293="—","Sem SKU ZIG",IF(NOT(ISERROR(MATCH(I293,_ZIG_Cadastro!$A:$A,0))),IF(EXACT(UPPER(TRIM(C293)),UPPER(TRIM(INDEX(_ZIG_Cadastro!$B:$B,MATCH(I293,_ZIG_Cadastro!$A:$A,0))))),"OK","Atencao - Nome diverge"),IF(NOT(ISERROR(MATCH(I293,_Entradas_ZIG!$C:$C,0))),"OK","Erro - SKU nao encontrado"))))</f>
        <v/>
      </c>
      <c r="M293" s="99">
        <f>IFERROR(INDEX(_ZIG_Cadastro!$G:$G,MATCH(I293,_ZIG_Cadastro!$A:$A,0)),IF(NOT(ISERROR(MATCH(I293,_Entradas_ZIG!$C:$C,0))),"Ativo","—"))</f>
        <v/>
      </c>
      <c r="N293" s="102">
        <f>IFERROR(INDEX(_ZIG_Cadastro!$E:$E,MATCH(I293,_ZIG_Cadastro!$A:$A,0)),IFERROR(INDEX(_Entradas_ZIG!$F:$F,MATCH(I293,_Entradas_ZIG!$C:$C,0)),"—"))</f>
        <v/>
      </c>
      <c r="O293" s="99">
        <f>IF(AND(ISNUMBER(SEARCH("Espeto",N293)),ISNUMBER(SEARCH("Carin",N293))),"SIM","")</f>
        <v/>
      </c>
      <c r="P293" s="99">
        <f>IF(AND(ISNUMBER(SEARCH("Espeto",N293)),ISNUMBER(SEARCH("Lapa",N293))),"SIM","")</f>
        <v/>
      </c>
      <c r="Q293" s="99">
        <f>IF(AND(ISNUMBER(SEARCH("Espeto",N293)),ISNUMBER(SEARCH("Tatuapé",N293))),"SIM","")</f>
        <v/>
      </c>
      <c r="R293" s="99">
        <f>IF(AND(ISNUMBER(SEARCH("Espeto",N293)),ISNUMBER(SEARCH("Pavão",N293))),"SIM","")</f>
        <v/>
      </c>
      <c r="S293" s="99">
        <f>IF(AND(ISNUMBER(SEARCH("Espeto",N293)),ISNUMBER(SEARCH("Chac",N293))),"SIM","")</f>
        <v/>
      </c>
      <c r="T293" s="99">
        <f>IF(AND(ISNUMBER(SEARCH("Espeto",N293)),ISNUMBER(SEARCH("Madalena",N293))),"SIM","")</f>
        <v/>
      </c>
      <c r="U293" s="99">
        <f>IF(AND(ISNUMBER(SEARCH("Espeto",N293)),ISNUMBER(SEARCH("Mariana",N293))),"SIM","")</f>
        <v/>
      </c>
      <c r="V293" s="99">
        <f>IF(AND(ISNUMBER(SEARCH("Espeto",N293)),ISNUMBER(SEARCH("Perdizes",N293))),"SIM","")</f>
        <v/>
      </c>
      <c r="W293" s="99">
        <f>IF(AND(ISNUMBER(SEARCH("Espeto",N293)),ISNUMBER(SEARCH("Santana",N293))),"SIM","")</f>
        <v/>
      </c>
      <c r="X293" s="99">
        <f>IF(AND(ISNUMBER(SEARCH("Espeto",N293)),ISNUMBER(SEARCH("André",N293))),"SIM","")</f>
        <v/>
      </c>
      <c r="Y293" s="99">
        <f>IF(AND(ISNUMBER(SEARCH("Delivery",N293)),ISNUMBER(SEARCH("Carin",N293))),"SIM","")</f>
        <v/>
      </c>
      <c r="Z293" s="99">
        <f>IF(AND(ISNUMBER(SEARCH("Delivery",N293)),ISNUMBER(SEARCH("Lapa",N293))),"SIM","")</f>
        <v/>
      </c>
      <c r="AA293" s="99">
        <f>IF(AND(ISNUMBER(SEARCH("Delivery",N293)),ISNUMBER(SEARCH("Tatuapé",N293))),"SIM","")</f>
        <v/>
      </c>
      <c r="AB293" s="99">
        <f>IF(AND(ISNUMBER(SEARCH("Delivery",N293)),ISNUMBER(SEARCH("Pavão",N293))),"SIM","")</f>
        <v/>
      </c>
      <c r="AC293" s="99">
        <f>IF(AND(ISNUMBER(SEARCH("Delivery",N293)),ISNUMBER(SEARCH("Chac",N293))),"SIM","")</f>
        <v/>
      </c>
      <c r="AD293" s="99">
        <f>IF(AND(ISNUMBER(SEARCH("Delivery",N293)),ISNUMBER(SEARCH("Madalena",N293))),"SIM","")</f>
        <v/>
      </c>
      <c r="AE293" s="92">
        <f>IF(AND(ISNUMBER(SEARCH("Delivery",N293)),ISNUMBER(SEARCH("Mariana",N293))),"SIM","")</f>
        <v/>
      </c>
      <c r="AF293" s="92">
        <f>IF(AND(ISNUMBER(SEARCH("Delivery",N293)),ISNUMBER(SEARCH("Perdizes",N293))),"SIM","")</f>
        <v/>
      </c>
      <c r="AG293" s="92">
        <f>IF(AND(ISNUMBER(SEARCH("Delivery",N293)),ISNUMBER(SEARCH("Santana",N293))),"SIM","")</f>
        <v/>
      </c>
      <c r="AH293" s="92">
        <f>IF(AND(ISNUMBER(SEARCH("Delivery",N293)),ISNUMBER(SEARCH("André",N293))),"SIM","")</f>
        <v/>
      </c>
      <c r="AI293" s="92">
        <f>IF(ISNUMBER(SEARCH("Interlagos",N293)),"SIM","")</f>
        <v/>
      </c>
      <c r="AJ293" s="92">
        <f>IF(ISNUMBER(SEARCH("Quiosque",N293)),"SIM","")</f>
        <v/>
      </c>
      <c r="AK293" s="93" t="n"/>
    </row>
    <row r="294">
      <c r="A294" s="88" t="inlineStr">
        <is>
          <t>Protheus</t>
        </is>
      </c>
      <c r="B294" s="89" t="inlineStr">
        <is>
          <t>010068</t>
        </is>
      </c>
      <c r="C294" s="90">
        <f>IF(B294="—","—",IFERROR(VLOOKUP(B294,_Protheus_Cadastro!$A:$B,2,FALSE),"—"))</f>
        <v/>
      </c>
      <c r="D294" s="91">
        <f>IF(B294="—",IFERROR(INDEX(_ZIG_Cadastro!$D:$D,MATCH(H294,_ZIG_Cadastro!$A:$A,0)),"Produto"),IFERROR(VLOOKUP(B294,_Protheus_Cadastro!$A:$C,3,FALSE),"—"))</f>
        <v/>
      </c>
      <c r="E294" s="91">
        <f>IF(B294="—","—",IFERROR(VLOOKUP(B294,_Protheus_Cadastro!$A:$D,4,FALSE),"—"))</f>
        <v/>
      </c>
      <c r="F294" s="91">
        <f>IF(ISERROR(VLOOKUP(B294,'Estrutura Protheus'!A:A,1,FALSE)),"Não","Sim")</f>
        <v/>
      </c>
      <c r="G294" s="92">
        <f>IFERROR(INDEX(_Protheus_Cadastro!$H:$H,MATCH(B294,_Protheus_Cadastro!$A:$A,0)),"—")</f>
        <v/>
      </c>
      <c r="H294" s="210">
        <f>IFERROR(INDEX(_ZIG_Precos!$D:$D,MATCH(I294,_ZIG_Precos!$F:$F,0)),"—")</f>
        <v/>
      </c>
      <c r="I294" s="95">
        <f>IFERROR(VLOOKUP(B294,_Protheus_Cadastro!$A:$I,9,FALSE),"—")</f>
        <v/>
      </c>
      <c r="J294" s="93">
        <f>IFERROR(INDEX(_ZIG_Cadastro!$B:$B,MATCH(I294,_ZIG_Cadastro!$A:$A,0)),IFERROR(INDEX(_Entradas_ZIG!$B:$B,MATCH(I294,_Entradas_ZIG!$C:$C,0)),"—"))</f>
        <v/>
      </c>
      <c r="K294" s="93">
        <f>IFERROR(INDEX(_ZIG_Cadastro!$C:$C,MATCH(I294,_ZIG_Cadastro!$A:$A,0)),IFERROR(INDEX(_Entradas_ZIG!$D:$D,MATCH(I294,_Entradas_ZIG!$C:$C,0)),"—"))</f>
        <v/>
      </c>
      <c r="L294" s="92">
        <f>IF(I294="","Sem SKU ZIG",IF(I294="—","Sem SKU ZIG",IF(NOT(ISERROR(MATCH(I294,_ZIG_Cadastro!$A:$A,0))),IF(EXACT(UPPER(TRIM(C294)),UPPER(TRIM(INDEX(_ZIG_Cadastro!$B:$B,MATCH(I294,_ZIG_Cadastro!$A:$A,0))))),"OK","Atencao - Nome diverge"),IF(NOT(ISERROR(MATCH(I294,_Entradas_ZIG!$C:$C,0))),"OK","Erro - SKU nao encontrado"))))</f>
        <v/>
      </c>
      <c r="M294" s="92">
        <f>IFERROR(INDEX(_ZIG_Cadastro!$G:$G,MATCH(I294,_ZIG_Cadastro!$A:$A,0)),IF(NOT(ISERROR(MATCH(I294,_Entradas_ZIG!$C:$C,0))),"Ativo","—"))</f>
        <v/>
      </c>
      <c r="N294" s="94">
        <f>IFERROR(INDEX(_ZIG_Cadastro!$E:$E,MATCH(I294,_ZIG_Cadastro!$A:$A,0)),IFERROR(INDEX(_Entradas_ZIG!$F:$F,MATCH(I294,_Entradas_ZIG!$C:$C,0)),"—"))</f>
        <v/>
      </c>
      <c r="O294" s="92">
        <f>IF(AND(ISNUMBER(SEARCH("Espeto",N294)),ISNUMBER(SEARCH("Carin",N294))),"SIM","")</f>
        <v/>
      </c>
      <c r="P294" s="92">
        <f>IF(AND(ISNUMBER(SEARCH("Espeto",N294)),ISNUMBER(SEARCH("Lapa",N294))),"SIM","")</f>
        <v/>
      </c>
      <c r="Q294" s="92">
        <f>IF(AND(ISNUMBER(SEARCH("Espeto",N294)),ISNUMBER(SEARCH("Tatuapé",N294))),"SIM","")</f>
        <v/>
      </c>
      <c r="R294" s="92">
        <f>IF(AND(ISNUMBER(SEARCH("Espeto",N294)),ISNUMBER(SEARCH("Pavão",N294))),"SIM","")</f>
        <v/>
      </c>
      <c r="S294" s="92">
        <f>IF(AND(ISNUMBER(SEARCH("Espeto",N294)),ISNUMBER(SEARCH("Chac",N294))),"SIM","")</f>
        <v/>
      </c>
      <c r="T294" s="92">
        <f>IF(AND(ISNUMBER(SEARCH("Espeto",N294)),ISNUMBER(SEARCH("Madalena",N294))),"SIM","")</f>
        <v/>
      </c>
      <c r="U294" s="92">
        <f>IF(AND(ISNUMBER(SEARCH("Espeto",N294)),ISNUMBER(SEARCH("Mariana",N294))),"SIM","")</f>
        <v/>
      </c>
      <c r="V294" s="92">
        <f>IF(AND(ISNUMBER(SEARCH("Espeto",N294)),ISNUMBER(SEARCH("Perdizes",N294))),"SIM","")</f>
        <v/>
      </c>
      <c r="W294" s="92">
        <f>IF(AND(ISNUMBER(SEARCH("Espeto",N294)),ISNUMBER(SEARCH("Santana",N294))),"SIM","")</f>
        <v/>
      </c>
      <c r="X294" s="92">
        <f>IF(AND(ISNUMBER(SEARCH("Espeto",N294)),ISNUMBER(SEARCH("André",N294))),"SIM","")</f>
        <v/>
      </c>
      <c r="Y294" s="92">
        <f>IF(AND(ISNUMBER(SEARCH("Delivery",N294)),ISNUMBER(SEARCH("Carin",N294))),"SIM","")</f>
        <v/>
      </c>
      <c r="Z294" s="92">
        <f>IF(AND(ISNUMBER(SEARCH("Delivery",N294)),ISNUMBER(SEARCH("Lapa",N294))),"SIM","")</f>
        <v/>
      </c>
      <c r="AA294" s="92">
        <f>IF(AND(ISNUMBER(SEARCH("Delivery",N294)),ISNUMBER(SEARCH("Tatuapé",N294))),"SIM","")</f>
        <v/>
      </c>
      <c r="AB294" s="92">
        <f>IF(AND(ISNUMBER(SEARCH("Delivery",N294)),ISNUMBER(SEARCH("Pavão",N294))),"SIM","")</f>
        <v/>
      </c>
      <c r="AC294" s="92">
        <f>IF(AND(ISNUMBER(SEARCH("Delivery",N294)),ISNUMBER(SEARCH("Chac",N294))),"SIM","")</f>
        <v/>
      </c>
      <c r="AD294" s="92">
        <f>IF(AND(ISNUMBER(SEARCH("Delivery",N294)),ISNUMBER(SEARCH("Madalena",N294))),"SIM","")</f>
        <v/>
      </c>
      <c r="AE294" s="99">
        <f>IF(AND(ISNUMBER(SEARCH("Delivery",N294)),ISNUMBER(SEARCH("Mariana",N294))),"SIM","")</f>
        <v/>
      </c>
      <c r="AF294" s="99">
        <f>IF(AND(ISNUMBER(SEARCH("Delivery",N294)),ISNUMBER(SEARCH("Perdizes",N294))),"SIM","")</f>
        <v/>
      </c>
      <c r="AG294" s="99">
        <f>IF(AND(ISNUMBER(SEARCH("Delivery",N294)),ISNUMBER(SEARCH("Santana",N294))),"SIM","")</f>
        <v/>
      </c>
      <c r="AH294" s="99">
        <f>IF(AND(ISNUMBER(SEARCH("Delivery",N294)),ISNUMBER(SEARCH("André",N294))),"SIM","")</f>
        <v/>
      </c>
      <c r="AI294" s="99">
        <f>IF(ISNUMBER(SEARCH("Interlagos",N294)),"SIM","")</f>
        <v/>
      </c>
      <c r="AJ294" s="99">
        <f>IF(ISNUMBER(SEARCH("Quiosque",N294)),"SIM","")</f>
        <v/>
      </c>
      <c r="AK294" s="101" t="n"/>
    </row>
    <row r="295">
      <c r="A295" s="88" t="inlineStr">
        <is>
          <t>Protheus</t>
        </is>
      </c>
      <c r="B295" s="96" t="inlineStr">
        <is>
          <t>010043</t>
        </is>
      </c>
      <c r="C295" s="97">
        <f>IF(B295="—","—",IFERROR(VLOOKUP(B295,_Protheus_Cadastro!$A:$B,2,FALSE),"—"))</f>
        <v/>
      </c>
      <c r="D295" s="98">
        <f>IF(B295="—",IFERROR(INDEX(_ZIG_Cadastro!$D:$D,MATCH(H295,_ZIG_Cadastro!$A:$A,0)),"Produto"),IFERROR(VLOOKUP(B295,_Protheus_Cadastro!$A:$C,3,FALSE),"—"))</f>
        <v/>
      </c>
      <c r="E295" s="98">
        <f>IF(B295="—","—",IFERROR(VLOOKUP(B295,_Protheus_Cadastro!$A:$D,4,FALSE),"—"))</f>
        <v/>
      </c>
      <c r="F295" s="98">
        <f>IF(ISERROR(VLOOKUP(B295,'Estrutura Protheus'!A:A,1,FALSE)),"Não","Sim")</f>
        <v/>
      </c>
      <c r="G295" s="99">
        <f>IFERROR(INDEX(_Protheus_Cadastro!$H:$H,MATCH(B295,_Protheus_Cadastro!$A:$A,0)),"—")</f>
        <v/>
      </c>
      <c r="H295" s="211">
        <f>IFERROR(INDEX(_ZIG_Precos!$D:$D,MATCH(I295,_ZIG_Precos!$F:$F,0)),"—")</f>
        <v/>
      </c>
      <c r="I295" s="103">
        <f>IFERROR(VLOOKUP(B295,_Protheus_Cadastro!$A:$I,9,FALSE),"—")</f>
        <v/>
      </c>
      <c r="J295" s="101">
        <f>IFERROR(INDEX(_ZIG_Cadastro!$B:$B,MATCH(I295,_ZIG_Cadastro!$A:$A,0)),IFERROR(INDEX(_Entradas_ZIG!$B:$B,MATCH(I295,_Entradas_ZIG!$C:$C,0)),"—"))</f>
        <v/>
      </c>
      <c r="K295" s="101">
        <f>IFERROR(INDEX(_ZIG_Cadastro!$C:$C,MATCH(I295,_ZIG_Cadastro!$A:$A,0)),IFERROR(INDEX(_Entradas_ZIG!$D:$D,MATCH(I295,_Entradas_ZIG!$C:$C,0)),"—"))</f>
        <v/>
      </c>
      <c r="L295" s="99">
        <f>IF(I295="","Sem SKU ZIG",IF(I295="—","Sem SKU ZIG",IF(NOT(ISERROR(MATCH(I295,_ZIG_Cadastro!$A:$A,0))),IF(EXACT(UPPER(TRIM(C295)),UPPER(TRIM(INDEX(_ZIG_Cadastro!$B:$B,MATCH(I295,_ZIG_Cadastro!$A:$A,0))))),"OK","Atencao - Nome diverge"),IF(NOT(ISERROR(MATCH(I295,_Entradas_ZIG!$C:$C,0))),"OK","Erro - SKU nao encontrado"))))</f>
        <v/>
      </c>
      <c r="M295" s="99">
        <f>IFERROR(INDEX(_ZIG_Cadastro!$G:$G,MATCH(I295,_ZIG_Cadastro!$A:$A,0)),IF(NOT(ISERROR(MATCH(I295,_Entradas_ZIG!$C:$C,0))),"Ativo","—"))</f>
        <v/>
      </c>
      <c r="N295" s="102">
        <f>IFERROR(INDEX(_ZIG_Cadastro!$E:$E,MATCH(I295,_ZIG_Cadastro!$A:$A,0)),IFERROR(INDEX(_Entradas_ZIG!$F:$F,MATCH(I295,_Entradas_ZIG!$C:$C,0)),"—"))</f>
        <v/>
      </c>
      <c r="O295" s="99">
        <f>IF(AND(ISNUMBER(SEARCH("Espeto",N295)),ISNUMBER(SEARCH("Carin",N295))),"SIM","")</f>
        <v/>
      </c>
      <c r="P295" s="99">
        <f>IF(AND(ISNUMBER(SEARCH("Espeto",N295)),ISNUMBER(SEARCH("Lapa",N295))),"SIM","")</f>
        <v/>
      </c>
      <c r="Q295" s="99">
        <f>IF(AND(ISNUMBER(SEARCH("Espeto",N295)),ISNUMBER(SEARCH("Tatuapé",N295))),"SIM","")</f>
        <v/>
      </c>
      <c r="R295" s="99">
        <f>IF(AND(ISNUMBER(SEARCH("Espeto",N295)),ISNUMBER(SEARCH("Pavão",N295))),"SIM","")</f>
        <v/>
      </c>
      <c r="S295" s="99">
        <f>IF(AND(ISNUMBER(SEARCH("Espeto",N295)),ISNUMBER(SEARCH("Chac",N295))),"SIM","")</f>
        <v/>
      </c>
      <c r="T295" s="99">
        <f>IF(AND(ISNUMBER(SEARCH("Espeto",N295)),ISNUMBER(SEARCH("Madalena",N295))),"SIM","")</f>
        <v/>
      </c>
      <c r="U295" s="99">
        <f>IF(AND(ISNUMBER(SEARCH("Espeto",N295)),ISNUMBER(SEARCH("Mariana",N295))),"SIM","")</f>
        <v/>
      </c>
      <c r="V295" s="99">
        <f>IF(AND(ISNUMBER(SEARCH("Espeto",N295)),ISNUMBER(SEARCH("Perdizes",N295))),"SIM","")</f>
        <v/>
      </c>
      <c r="W295" s="99">
        <f>IF(AND(ISNUMBER(SEARCH("Espeto",N295)),ISNUMBER(SEARCH("Santana",N295))),"SIM","")</f>
        <v/>
      </c>
      <c r="X295" s="99">
        <f>IF(AND(ISNUMBER(SEARCH("Espeto",N295)),ISNUMBER(SEARCH("André",N295))),"SIM","")</f>
        <v/>
      </c>
      <c r="Y295" s="99">
        <f>IF(AND(ISNUMBER(SEARCH("Delivery",N295)),ISNUMBER(SEARCH("Carin",N295))),"SIM","")</f>
        <v/>
      </c>
      <c r="Z295" s="99">
        <f>IF(AND(ISNUMBER(SEARCH("Delivery",N295)),ISNUMBER(SEARCH("Lapa",N295))),"SIM","")</f>
        <v/>
      </c>
      <c r="AA295" s="99">
        <f>IF(AND(ISNUMBER(SEARCH("Delivery",N295)),ISNUMBER(SEARCH("Tatuapé",N295))),"SIM","")</f>
        <v/>
      </c>
      <c r="AB295" s="99">
        <f>IF(AND(ISNUMBER(SEARCH("Delivery",N295)),ISNUMBER(SEARCH("Pavão",N295))),"SIM","")</f>
        <v/>
      </c>
      <c r="AC295" s="99">
        <f>IF(AND(ISNUMBER(SEARCH("Delivery",N295)),ISNUMBER(SEARCH("Chac",N295))),"SIM","")</f>
        <v/>
      </c>
      <c r="AD295" s="99">
        <f>IF(AND(ISNUMBER(SEARCH("Delivery",N295)),ISNUMBER(SEARCH("Madalena",N295))),"SIM","")</f>
        <v/>
      </c>
      <c r="AE295" s="92">
        <f>IF(AND(ISNUMBER(SEARCH("Delivery",N295)),ISNUMBER(SEARCH("Mariana",N295))),"SIM","")</f>
        <v/>
      </c>
      <c r="AF295" s="92">
        <f>IF(AND(ISNUMBER(SEARCH("Delivery",N295)),ISNUMBER(SEARCH("Perdizes",N295))),"SIM","")</f>
        <v/>
      </c>
      <c r="AG295" s="92">
        <f>IF(AND(ISNUMBER(SEARCH("Delivery",N295)),ISNUMBER(SEARCH("Santana",N295))),"SIM","")</f>
        <v/>
      </c>
      <c r="AH295" s="92">
        <f>IF(AND(ISNUMBER(SEARCH("Delivery",N295)),ISNUMBER(SEARCH("André",N295))),"SIM","")</f>
        <v/>
      </c>
      <c r="AI295" s="92">
        <f>IF(ISNUMBER(SEARCH("Interlagos",N295)),"SIM","")</f>
        <v/>
      </c>
      <c r="AJ295" s="92">
        <f>IF(ISNUMBER(SEARCH("Quiosque",N295)),"SIM","")</f>
        <v/>
      </c>
      <c r="AK295" s="93" t="n"/>
    </row>
    <row r="296">
      <c r="A296" s="88" t="inlineStr">
        <is>
          <t>Protheus</t>
        </is>
      </c>
      <c r="B296" s="89" t="inlineStr">
        <is>
          <t>010047</t>
        </is>
      </c>
      <c r="C296" s="90">
        <f>IF(B296="—","—",IFERROR(VLOOKUP(B296,_Protheus_Cadastro!$A:$B,2,FALSE),"—"))</f>
        <v/>
      </c>
      <c r="D296" s="91">
        <f>IF(B296="—",IFERROR(INDEX(_ZIG_Cadastro!$D:$D,MATCH(H296,_ZIG_Cadastro!$A:$A,0)),"Produto"),IFERROR(VLOOKUP(B296,_Protheus_Cadastro!$A:$C,3,FALSE),"—"))</f>
        <v/>
      </c>
      <c r="E296" s="91">
        <f>IF(B296="—","—",IFERROR(VLOOKUP(B296,_Protheus_Cadastro!$A:$D,4,FALSE),"—"))</f>
        <v/>
      </c>
      <c r="F296" s="91">
        <f>IF(ISERROR(VLOOKUP(B296,'Estrutura Protheus'!A:A,1,FALSE)),"Não","Sim")</f>
        <v/>
      </c>
      <c r="G296" s="92">
        <f>IFERROR(INDEX(_Protheus_Cadastro!$H:$H,MATCH(B296,_Protheus_Cadastro!$A:$A,0)),"—")</f>
        <v/>
      </c>
      <c r="H296" s="210">
        <f>IFERROR(INDEX(_ZIG_Precos!$D:$D,MATCH(I296,_ZIG_Precos!$F:$F,0)),"—")</f>
        <v/>
      </c>
      <c r="I296" s="95">
        <f>IFERROR(VLOOKUP(B296,_Protheus_Cadastro!$A:$I,9,FALSE),"—")</f>
        <v/>
      </c>
      <c r="J296" s="93">
        <f>IFERROR(INDEX(_ZIG_Cadastro!$B:$B,MATCH(I296,_ZIG_Cadastro!$A:$A,0)),IFERROR(INDEX(_Entradas_ZIG!$B:$B,MATCH(I296,_Entradas_ZIG!$C:$C,0)),"—"))</f>
        <v/>
      </c>
      <c r="K296" s="93">
        <f>IFERROR(INDEX(_ZIG_Cadastro!$C:$C,MATCH(I296,_ZIG_Cadastro!$A:$A,0)),IFERROR(INDEX(_Entradas_ZIG!$D:$D,MATCH(I296,_Entradas_ZIG!$C:$C,0)),"—"))</f>
        <v/>
      </c>
      <c r="L296" s="92">
        <f>IF(I296="","Sem SKU ZIG",IF(I296="—","Sem SKU ZIG",IF(NOT(ISERROR(MATCH(I296,_ZIG_Cadastro!$A:$A,0))),IF(EXACT(UPPER(TRIM(C296)),UPPER(TRIM(INDEX(_ZIG_Cadastro!$B:$B,MATCH(I296,_ZIG_Cadastro!$A:$A,0))))),"OK","Atencao - Nome diverge"),IF(NOT(ISERROR(MATCH(I296,_Entradas_ZIG!$C:$C,0))),"OK","Erro - SKU nao encontrado"))))</f>
        <v/>
      </c>
      <c r="M296" s="92">
        <f>IFERROR(INDEX(_ZIG_Cadastro!$G:$G,MATCH(I296,_ZIG_Cadastro!$A:$A,0)),IF(NOT(ISERROR(MATCH(I296,_Entradas_ZIG!$C:$C,0))),"Ativo","—"))</f>
        <v/>
      </c>
      <c r="N296" s="94">
        <f>IFERROR(INDEX(_ZIG_Cadastro!$E:$E,MATCH(I296,_ZIG_Cadastro!$A:$A,0)),IFERROR(INDEX(_Entradas_ZIG!$F:$F,MATCH(I296,_Entradas_ZIG!$C:$C,0)),"—"))</f>
        <v/>
      </c>
      <c r="O296" s="92">
        <f>IF(AND(ISNUMBER(SEARCH("Espeto",N296)),ISNUMBER(SEARCH("Carin",N296))),"SIM","")</f>
        <v/>
      </c>
      <c r="P296" s="92">
        <f>IF(AND(ISNUMBER(SEARCH("Espeto",N296)),ISNUMBER(SEARCH("Lapa",N296))),"SIM","")</f>
        <v/>
      </c>
      <c r="Q296" s="92">
        <f>IF(AND(ISNUMBER(SEARCH("Espeto",N296)),ISNUMBER(SEARCH("Tatuapé",N296))),"SIM","")</f>
        <v/>
      </c>
      <c r="R296" s="92">
        <f>IF(AND(ISNUMBER(SEARCH("Espeto",N296)),ISNUMBER(SEARCH("Pavão",N296))),"SIM","")</f>
        <v/>
      </c>
      <c r="S296" s="92">
        <f>IF(AND(ISNUMBER(SEARCH("Espeto",N296)),ISNUMBER(SEARCH("Chac",N296))),"SIM","")</f>
        <v/>
      </c>
      <c r="T296" s="92">
        <f>IF(AND(ISNUMBER(SEARCH("Espeto",N296)),ISNUMBER(SEARCH("Madalena",N296))),"SIM","")</f>
        <v/>
      </c>
      <c r="U296" s="92">
        <f>IF(AND(ISNUMBER(SEARCH("Espeto",N296)),ISNUMBER(SEARCH("Mariana",N296))),"SIM","")</f>
        <v/>
      </c>
      <c r="V296" s="92">
        <f>IF(AND(ISNUMBER(SEARCH("Espeto",N296)),ISNUMBER(SEARCH("Perdizes",N296))),"SIM","")</f>
        <v/>
      </c>
      <c r="W296" s="92">
        <f>IF(AND(ISNUMBER(SEARCH("Espeto",N296)),ISNUMBER(SEARCH("Santana",N296))),"SIM","")</f>
        <v/>
      </c>
      <c r="X296" s="92">
        <f>IF(AND(ISNUMBER(SEARCH("Espeto",N296)),ISNUMBER(SEARCH("André",N296))),"SIM","")</f>
        <v/>
      </c>
      <c r="Y296" s="92">
        <f>IF(AND(ISNUMBER(SEARCH("Delivery",N296)),ISNUMBER(SEARCH("Carin",N296))),"SIM","")</f>
        <v/>
      </c>
      <c r="Z296" s="92">
        <f>IF(AND(ISNUMBER(SEARCH("Delivery",N296)),ISNUMBER(SEARCH("Lapa",N296))),"SIM","")</f>
        <v/>
      </c>
      <c r="AA296" s="92">
        <f>IF(AND(ISNUMBER(SEARCH("Delivery",N296)),ISNUMBER(SEARCH("Tatuapé",N296))),"SIM","")</f>
        <v/>
      </c>
      <c r="AB296" s="92">
        <f>IF(AND(ISNUMBER(SEARCH("Delivery",N296)),ISNUMBER(SEARCH("Pavão",N296))),"SIM","")</f>
        <v/>
      </c>
      <c r="AC296" s="92">
        <f>IF(AND(ISNUMBER(SEARCH("Delivery",N296)),ISNUMBER(SEARCH("Chac",N296))),"SIM","")</f>
        <v/>
      </c>
      <c r="AD296" s="92">
        <f>IF(AND(ISNUMBER(SEARCH("Delivery",N296)),ISNUMBER(SEARCH("Madalena",N296))),"SIM","")</f>
        <v/>
      </c>
      <c r="AE296" s="99">
        <f>IF(AND(ISNUMBER(SEARCH("Delivery",N296)),ISNUMBER(SEARCH("Mariana",N296))),"SIM","")</f>
        <v/>
      </c>
      <c r="AF296" s="99">
        <f>IF(AND(ISNUMBER(SEARCH("Delivery",N296)),ISNUMBER(SEARCH("Perdizes",N296))),"SIM","")</f>
        <v/>
      </c>
      <c r="AG296" s="99">
        <f>IF(AND(ISNUMBER(SEARCH("Delivery",N296)),ISNUMBER(SEARCH("Santana",N296))),"SIM","")</f>
        <v/>
      </c>
      <c r="AH296" s="99">
        <f>IF(AND(ISNUMBER(SEARCH("Delivery",N296)),ISNUMBER(SEARCH("André",N296))),"SIM","")</f>
        <v/>
      </c>
      <c r="AI296" s="99">
        <f>IF(ISNUMBER(SEARCH("Interlagos",N296)),"SIM","")</f>
        <v/>
      </c>
      <c r="AJ296" s="99">
        <f>IF(ISNUMBER(SEARCH("Quiosque",N296)),"SIM","")</f>
        <v/>
      </c>
      <c r="AK296" s="101" t="n"/>
    </row>
    <row r="297">
      <c r="A297" s="88" t="inlineStr">
        <is>
          <t>Protheus</t>
        </is>
      </c>
      <c r="B297" s="96" t="inlineStr">
        <is>
          <t>001100</t>
        </is>
      </c>
      <c r="C297" s="97">
        <f>IF(B297="—","—",IFERROR(VLOOKUP(B297,_Protheus_Cadastro!$A:$B,2,FALSE),"—"))</f>
        <v/>
      </c>
      <c r="D297" s="98">
        <f>IF(B297="—",IFERROR(INDEX(_ZIG_Cadastro!$D:$D,MATCH(H297,_ZIG_Cadastro!$A:$A,0)),"Produto"),IFERROR(VLOOKUP(B297,_Protheus_Cadastro!$A:$C,3,FALSE),"—"))</f>
        <v/>
      </c>
      <c r="E297" s="98">
        <f>IF(B297="—","—",IFERROR(VLOOKUP(B297,_Protheus_Cadastro!$A:$D,4,FALSE),"—"))</f>
        <v/>
      </c>
      <c r="F297" s="98">
        <f>IF(ISERROR(VLOOKUP(B297,'Estrutura Protheus'!A:A,1,FALSE)),"Não","Sim")</f>
        <v/>
      </c>
      <c r="G297" s="99">
        <f>IFERROR(INDEX(_Protheus_Cadastro!$H:$H,MATCH(B297,_Protheus_Cadastro!$A:$A,0)),"—")</f>
        <v/>
      </c>
      <c r="H297" s="211">
        <f>IFERROR(INDEX(_ZIG_Precos!$D:$D,MATCH(I297,_ZIG_Precos!$F:$F,0)),"—")</f>
        <v/>
      </c>
      <c r="I297" s="103">
        <f>IFERROR(VLOOKUP(B297,_Protheus_Cadastro!$A:$I,9,FALSE),"—")</f>
        <v/>
      </c>
      <c r="J297" s="101">
        <f>IFERROR(INDEX(_ZIG_Cadastro!$B:$B,MATCH(I297,_ZIG_Cadastro!$A:$A,0)),IFERROR(INDEX(_Entradas_ZIG!$B:$B,MATCH(I297,_Entradas_ZIG!$C:$C,0)),"—"))</f>
        <v/>
      </c>
      <c r="K297" s="101">
        <f>IFERROR(INDEX(_ZIG_Cadastro!$C:$C,MATCH(I297,_ZIG_Cadastro!$A:$A,0)),IFERROR(INDEX(_Entradas_ZIG!$D:$D,MATCH(I297,_Entradas_ZIG!$C:$C,0)),"—"))</f>
        <v/>
      </c>
      <c r="L297" s="99">
        <f>IF(I297="","Sem SKU ZIG",IF(I297="—","Sem SKU ZIG",IF(NOT(ISERROR(MATCH(I297,_ZIG_Cadastro!$A:$A,0))),IF(EXACT(UPPER(TRIM(C297)),UPPER(TRIM(INDEX(_ZIG_Cadastro!$B:$B,MATCH(I297,_ZIG_Cadastro!$A:$A,0))))),"OK","Atencao - Nome diverge"),IF(NOT(ISERROR(MATCH(I297,_Entradas_ZIG!$C:$C,0))),"OK","Erro - SKU nao encontrado"))))</f>
        <v/>
      </c>
      <c r="M297" s="99">
        <f>IFERROR(INDEX(_ZIG_Cadastro!$G:$G,MATCH(I297,_ZIG_Cadastro!$A:$A,0)),IF(NOT(ISERROR(MATCH(I297,_Entradas_ZIG!$C:$C,0))),"Ativo","—"))</f>
        <v/>
      </c>
      <c r="N297" s="102">
        <f>IFERROR(INDEX(_ZIG_Cadastro!$E:$E,MATCH(I297,_ZIG_Cadastro!$A:$A,0)),IFERROR(INDEX(_Entradas_ZIG!$F:$F,MATCH(I297,_Entradas_ZIG!$C:$C,0)),"—"))</f>
        <v/>
      </c>
      <c r="O297" s="99">
        <f>IF(AND(ISNUMBER(SEARCH("Espeto",N297)),ISNUMBER(SEARCH("Carin",N297))),"SIM","")</f>
        <v/>
      </c>
      <c r="P297" s="99">
        <f>IF(AND(ISNUMBER(SEARCH("Espeto",N297)),ISNUMBER(SEARCH("Lapa",N297))),"SIM","")</f>
        <v/>
      </c>
      <c r="Q297" s="99">
        <f>IF(AND(ISNUMBER(SEARCH("Espeto",N297)),ISNUMBER(SEARCH("Tatuapé",N297))),"SIM","")</f>
        <v/>
      </c>
      <c r="R297" s="99">
        <f>IF(AND(ISNUMBER(SEARCH("Espeto",N297)),ISNUMBER(SEARCH("Pavão",N297))),"SIM","")</f>
        <v/>
      </c>
      <c r="S297" s="99">
        <f>IF(AND(ISNUMBER(SEARCH("Espeto",N297)),ISNUMBER(SEARCH("Chac",N297))),"SIM","")</f>
        <v/>
      </c>
      <c r="T297" s="99">
        <f>IF(AND(ISNUMBER(SEARCH("Espeto",N297)),ISNUMBER(SEARCH("Madalena",N297))),"SIM","")</f>
        <v/>
      </c>
      <c r="U297" s="99">
        <f>IF(AND(ISNUMBER(SEARCH("Espeto",N297)),ISNUMBER(SEARCH("Mariana",N297))),"SIM","")</f>
        <v/>
      </c>
      <c r="V297" s="99">
        <f>IF(AND(ISNUMBER(SEARCH("Espeto",N297)),ISNUMBER(SEARCH("Perdizes",N297))),"SIM","")</f>
        <v/>
      </c>
      <c r="W297" s="99">
        <f>IF(AND(ISNUMBER(SEARCH("Espeto",N297)),ISNUMBER(SEARCH("Santana",N297))),"SIM","")</f>
        <v/>
      </c>
      <c r="X297" s="99">
        <f>IF(AND(ISNUMBER(SEARCH("Espeto",N297)),ISNUMBER(SEARCH("André",N297))),"SIM","")</f>
        <v/>
      </c>
      <c r="Y297" s="99">
        <f>IF(AND(ISNUMBER(SEARCH("Delivery",N297)),ISNUMBER(SEARCH("Carin",N297))),"SIM","")</f>
        <v/>
      </c>
      <c r="Z297" s="99">
        <f>IF(AND(ISNUMBER(SEARCH("Delivery",N297)),ISNUMBER(SEARCH("Lapa",N297))),"SIM","")</f>
        <v/>
      </c>
      <c r="AA297" s="99">
        <f>IF(AND(ISNUMBER(SEARCH("Delivery",N297)),ISNUMBER(SEARCH("Tatuapé",N297))),"SIM","")</f>
        <v/>
      </c>
      <c r="AB297" s="99">
        <f>IF(AND(ISNUMBER(SEARCH("Delivery",N297)),ISNUMBER(SEARCH("Pavão",N297))),"SIM","")</f>
        <v/>
      </c>
      <c r="AC297" s="99">
        <f>IF(AND(ISNUMBER(SEARCH("Delivery",N297)),ISNUMBER(SEARCH("Chac",N297))),"SIM","")</f>
        <v/>
      </c>
      <c r="AD297" s="99">
        <f>IF(AND(ISNUMBER(SEARCH("Delivery",N297)),ISNUMBER(SEARCH("Madalena",N297))),"SIM","")</f>
        <v/>
      </c>
      <c r="AE297" s="92">
        <f>IF(AND(ISNUMBER(SEARCH("Delivery",N297)),ISNUMBER(SEARCH("Mariana",N297))),"SIM","")</f>
        <v/>
      </c>
      <c r="AF297" s="92">
        <f>IF(AND(ISNUMBER(SEARCH("Delivery",N297)),ISNUMBER(SEARCH("Perdizes",N297))),"SIM","")</f>
        <v/>
      </c>
      <c r="AG297" s="92">
        <f>IF(AND(ISNUMBER(SEARCH("Delivery",N297)),ISNUMBER(SEARCH("Santana",N297))),"SIM","")</f>
        <v/>
      </c>
      <c r="AH297" s="92">
        <f>IF(AND(ISNUMBER(SEARCH("Delivery",N297)),ISNUMBER(SEARCH("André",N297))),"SIM","")</f>
        <v/>
      </c>
      <c r="AI297" s="92">
        <f>IF(ISNUMBER(SEARCH("Interlagos",N297)),"SIM","")</f>
        <v/>
      </c>
      <c r="AJ297" s="92">
        <f>IF(ISNUMBER(SEARCH("Quiosque",N297)),"SIM","")</f>
        <v/>
      </c>
      <c r="AK297" s="93" t="n"/>
    </row>
    <row r="298">
      <c r="A298" s="88" t="inlineStr">
        <is>
          <t>Protheus</t>
        </is>
      </c>
      <c r="B298" s="89" t="inlineStr">
        <is>
          <t>009994</t>
        </is>
      </c>
      <c r="C298" s="90">
        <f>IF(B298="—","—",IFERROR(VLOOKUP(B298,_Protheus_Cadastro!$A:$B,2,FALSE),"—"))</f>
        <v/>
      </c>
      <c r="D298" s="91">
        <f>IF(B298="—",IFERROR(INDEX(_ZIG_Cadastro!$D:$D,MATCH(H298,_ZIG_Cadastro!$A:$A,0)),"Produto"),IFERROR(VLOOKUP(B298,_Protheus_Cadastro!$A:$C,3,FALSE),"—"))</f>
        <v/>
      </c>
      <c r="E298" s="91">
        <f>IF(B298="—","—",IFERROR(VLOOKUP(B298,_Protheus_Cadastro!$A:$D,4,FALSE),"—"))</f>
        <v/>
      </c>
      <c r="F298" s="91">
        <f>IF(ISERROR(VLOOKUP(B298,'Estrutura Protheus'!A:A,1,FALSE)),"Não","Sim")</f>
        <v/>
      </c>
      <c r="G298" s="92">
        <f>IFERROR(INDEX(_Protheus_Cadastro!$H:$H,MATCH(B298,_Protheus_Cadastro!$A:$A,0)),"—")</f>
        <v/>
      </c>
      <c r="H298" s="210">
        <f>IFERROR(INDEX(_ZIG_Precos!$D:$D,MATCH(I298,_ZIG_Precos!$F:$F,0)),"—")</f>
        <v/>
      </c>
      <c r="I298" s="95">
        <f>IFERROR(VLOOKUP(B298,_Protheus_Cadastro!$A:$I,9,FALSE),"—")</f>
        <v/>
      </c>
      <c r="J298" s="93">
        <f>IFERROR(INDEX(_ZIG_Cadastro!$B:$B,MATCH(I298,_ZIG_Cadastro!$A:$A,0)),IFERROR(INDEX(_Entradas_ZIG!$B:$B,MATCH(I298,_Entradas_ZIG!$C:$C,0)),"—"))</f>
        <v/>
      </c>
      <c r="K298" s="93">
        <f>IFERROR(INDEX(_ZIG_Cadastro!$C:$C,MATCH(I298,_ZIG_Cadastro!$A:$A,0)),IFERROR(INDEX(_Entradas_ZIG!$D:$D,MATCH(I298,_Entradas_ZIG!$C:$C,0)),"—"))</f>
        <v/>
      </c>
      <c r="L298" s="92">
        <f>IF(I298="","Sem SKU ZIG",IF(I298="—","Sem SKU ZIG",IF(NOT(ISERROR(MATCH(I298,_ZIG_Cadastro!$A:$A,0))),IF(EXACT(UPPER(TRIM(C298)),UPPER(TRIM(INDEX(_ZIG_Cadastro!$B:$B,MATCH(I298,_ZIG_Cadastro!$A:$A,0))))),"OK","Atencao - Nome diverge"),IF(NOT(ISERROR(MATCH(I298,_Entradas_ZIG!$C:$C,0))),"OK","Erro - SKU nao encontrado"))))</f>
        <v/>
      </c>
      <c r="M298" s="92">
        <f>IFERROR(INDEX(_ZIG_Cadastro!$G:$G,MATCH(I298,_ZIG_Cadastro!$A:$A,0)),IF(NOT(ISERROR(MATCH(I298,_Entradas_ZIG!$C:$C,0))),"Ativo","—"))</f>
        <v/>
      </c>
      <c r="N298" s="94">
        <f>IFERROR(INDEX(_ZIG_Cadastro!$E:$E,MATCH(I298,_ZIG_Cadastro!$A:$A,0)),IFERROR(INDEX(_Entradas_ZIG!$F:$F,MATCH(I298,_Entradas_ZIG!$C:$C,0)),"—"))</f>
        <v/>
      </c>
      <c r="O298" s="92">
        <f>IF(AND(ISNUMBER(SEARCH("Espeto",N298)),ISNUMBER(SEARCH("Carin",N298))),"SIM","")</f>
        <v/>
      </c>
      <c r="P298" s="92">
        <f>IF(AND(ISNUMBER(SEARCH("Espeto",N298)),ISNUMBER(SEARCH("Lapa",N298))),"SIM","")</f>
        <v/>
      </c>
      <c r="Q298" s="92">
        <f>IF(AND(ISNUMBER(SEARCH("Espeto",N298)),ISNUMBER(SEARCH("Tatuapé",N298))),"SIM","")</f>
        <v/>
      </c>
      <c r="R298" s="92">
        <f>IF(AND(ISNUMBER(SEARCH("Espeto",N298)),ISNUMBER(SEARCH("Pavão",N298))),"SIM","")</f>
        <v/>
      </c>
      <c r="S298" s="92">
        <f>IF(AND(ISNUMBER(SEARCH("Espeto",N298)),ISNUMBER(SEARCH("Chac",N298))),"SIM","")</f>
        <v/>
      </c>
      <c r="T298" s="92">
        <f>IF(AND(ISNUMBER(SEARCH("Espeto",N298)),ISNUMBER(SEARCH("Madalena",N298))),"SIM","")</f>
        <v/>
      </c>
      <c r="U298" s="92">
        <f>IF(AND(ISNUMBER(SEARCH("Espeto",N298)),ISNUMBER(SEARCH("Mariana",N298))),"SIM","")</f>
        <v/>
      </c>
      <c r="V298" s="92">
        <f>IF(AND(ISNUMBER(SEARCH("Espeto",N298)),ISNUMBER(SEARCH("Perdizes",N298))),"SIM","")</f>
        <v/>
      </c>
      <c r="W298" s="92">
        <f>IF(AND(ISNUMBER(SEARCH("Espeto",N298)),ISNUMBER(SEARCH("Santana",N298))),"SIM","")</f>
        <v/>
      </c>
      <c r="X298" s="92">
        <f>IF(AND(ISNUMBER(SEARCH("Espeto",N298)),ISNUMBER(SEARCH("André",N298))),"SIM","")</f>
        <v/>
      </c>
      <c r="Y298" s="92">
        <f>IF(AND(ISNUMBER(SEARCH("Delivery",N298)),ISNUMBER(SEARCH("Carin",N298))),"SIM","")</f>
        <v/>
      </c>
      <c r="Z298" s="92">
        <f>IF(AND(ISNUMBER(SEARCH("Delivery",N298)),ISNUMBER(SEARCH("Lapa",N298))),"SIM","")</f>
        <v/>
      </c>
      <c r="AA298" s="92">
        <f>IF(AND(ISNUMBER(SEARCH("Delivery",N298)),ISNUMBER(SEARCH("Tatuapé",N298))),"SIM","")</f>
        <v/>
      </c>
      <c r="AB298" s="92">
        <f>IF(AND(ISNUMBER(SEARCH("Delivery",N298)),ISNUMBER(SEARCH("Pavão",N298))),"SIM","")</f>
        <v/>
      </c>
      <c r="AC298" s="92">
        <f>IF(AND(ISNUMBER(SEARCH("Delivery",N298)),ISNUMBER(SEARCH("Chac",N298))),"SIM","")</f>
        <v/>
      </c>
      <c r="AD298" s="92">
        <f>IF(AND(ISNUMBER(SEARCH("Delivery",N298)),ISNUMBER(SEARCH("Madalena",N298))),"SIM","")</f>
        <v/>
      </c>
      <c r="AE298" s="99">
        <f>IF(AND(ISNUMBER(SEARCH("Delivery",N298)),ISNUMBER(SEARCH("Mariana",N298))),"SIM","")</f>
        <v/>
      </c>
      <c r="AF298" s="99">
        <f>IF(AND(ISNUMBER(SEARCH("Delivery",N298)),ISNUMBER(SEARCH("Perdizes",N298))),"SIM","")</f>
        <v/>
      </c>
      <c r="AG298" s="99">
        <f>IF(AND(ISNUMBER(SEARCH("Delivery",N298)),ISNUMBER(SEARCH("Santana",N298))),"SIM","")</f>
        <v/>
      </c>
      <c r="AH298" s="99">
        <f>IF(AND(ISNUMBER(SEARCH("Delivery",N298)),ISNUMBER(SEARCH("André",N298))),"SIM","")</f>
        <v/>
      </c>
      <c r="AI298" s="99">
        <f>IF(ISNUMBER(SEARCH("Interlagos",N298)),"SIM","")</f>
        <v/>
      </c>
      <c r="AJ298" s="99">
        <f>IF(ISNUMBER(SEARCH("Quiosque",N298)),"SIM","")</f>
        <v/>
      </c>
      <c r="AK298" s="101" t="n"/>
    </row>
    <row r="299">
      <c r="A299" s="88" t="inlineStr">
        <is>
          <t>Protheus</t>
        </is>
      </c>
      <c r="B299" s="96" t="inlineStr">
        <is>
          <t>010055</t>
        </is>
      </c>
      <c r="C299" s="97">
        <f>IF(B299="—","—",IFERROR(VLOOKUP(B299,_Protheus_Cadastro!$A:$B,2,FALSE),"—"))</f>
        <v/>
      </c>
      <c r="D299" s="98">
        <f>IF(B299="—",IFERROR(INDEX(_ZIG_Cadastro!$D:$D,MATCH(H299,_ZIG_Cadastro!$A:$A,0)),"Produto"),IFERROR(VLOOKUP(B299,_Protheus_Cadastro!$A:$C,3,FALSE),"—"))</f>
        <v/>
      </c>
      <c r="E299" s="98">
        <f>IF(B299="—","—",IFERROR(VLOOKUP(B299,_Protheus_Cadastro!$A:$D,4,FALSE),"—"))</f>
        <v/>
      </c>
      <c r="F299" s="98">
        <f>IF(ISERROR(VLOOKUP(B299,'Estrutura Protheus'!A:A,1,FALSE)),"Não","Sim")</f>
        <v/>
      </c>
      <c r="G299" s="99">
        <f>IFERROR(INDEX(_Protheus_Cadastro!$H:$H,MATCH(B299,_Protheus_Cadastro!$A:$A,0)),"—")</f>
        <v/>
      </c>
      <c r="H299" s="211">
        <f>IFERROR(INDEX(_ZIG_Precos!$D:$D,MATCH(I299,_ZIG_Precos!$F:$F,0)),"—")</f>
        <v/>
      </c>
      <c r="I299" s="103">
        <f>IFERROR(VLOOKUP(B299,_Protheus_Cadastro!$A:$I,9,FALSE),"—")</f>
        <v/>
      </c>
      <c r="J299" s="101">
        <f>IFERROR(INDEX(_ZIG_Cadastro!$B:$B,MATCH(I299,_ZIG_Cadastro!$A:$A,0)),IFERROR(INDEX(_Entradas_ZIG!$B:$B,MATCH(I299,_Entradas_ZIG!$C:$C,0)),"—"))</f>
        <v/>
      </c>
      <c r="K299" s="101">
        <f>IFERROR(INDEX(_ZIG_Cadastro!$C:$C,MATCH(I299,_ZIG_Cadastro!$A:$A,0)),IFERROR(INDEX(_Entradas_ZIG!$D:$D,MATCH(I299,_Entradas_ZIG!$C:$C,0)),"—"))</f>
        <v/>
      </c>
      <c r="L299" s="99">
        <f>IF(I299="","Sem SKU ZIG",IF(I299="—","Sem SKU ZIG",IF(NOT(ISERROR(MATCH(I299,_ZIG_Cadastro!$A:$A,0))),IF(EXACT(UPPER(TRIM(C299)),UPPER(TRIM(INDEX(_ZIG_Cadastro!$B:$B,MATCH(I299,_ZIG_Cadastro!$A:$A,0))))),"OK","Atencao - Nome diverge"),IF(NOT(ISERROR(MATCH(I299,_Entradas_ZIG!$C:$C,0))),"OK","Erro - SKU nao encontrado"))))</f>
        <v/>
      </c>
      <c r="M299" s="99">
        <f>IFERROR(INDEX(_ZIG_Cadastro!$G:$G,MATCH(I299,_ZIG_Cadastro!$A:$A,0)),IF(NOT(ISERROR(MATCH(I299,_Entradas_ZIG!$C:$C,0))),"Ativo","—"))</f>
        <v/>
      </c>
      <c r="N299" s="102">
        <f>IFERROR(INDEX(_ZIG_Cadastro!$E:$E,MATCH(I299,_ZIG_Cadastro!$A:$A,0)),IFERROR(INDEX(_Entradas_ZIG!$F:$F,MATCH(I299,_Entradas_ZIG!$C:$C,0)),"—"))</f>
        <v/>
      </c>
      <c r="O299" s="99">
        <f>IF(AND(ISNUMBER(SEARCH("Espeto",N299)),ISNUMBER(SEARCH("Carin",N299))),"SIM","")</f>
        <v/>
      </c>
      <c r="P299" s="99">
        <f>IF(AND(ISNUMBER(SEARCH("Espeto",N299)),ISNUMBER(SEARCH("Lapa",N299))),"SIM","")</f>
        <v/>
      </c>
      <c r="Q299" s="99">
        <f>IF(AND(ISNUMBER(SEARCH("Espeto",N299)),ISNUMBER(SEARCH("Tatuapé",N299))),"SIM","")</f>
        <v/>
      </c>
      <c r="R299" s="99">
        <f>IF(AND(ISNUMBER(SEARCH("Espeto",N299)),ISNUMBER(SEARCH("Pavão",N299))),"SIM","")</f>
        <v/>
      </c>
      <c r="S299" s="99">
        <f>IF(AND(ISNUMBER(SEARCH("Espeto",N299)),ISNUMBER(SEARCH("Chac",N299))),"SIM","")</f>
        <v/>
      </c>
      <c r="T299" s="99">
        <f>IF(AND(ISNUMBER(SEARCH("Espeto",N299)),ISNUMBER(SEARCH("Madalena",N299))),"SIM","")</f>
        <v/>
      </c>
      <c r="U299" s="99">
        <f>IF(AND(ISNUMBER(SEARCH("Espeto",N299)),ISNUMBER(SEARCH("Mariana",N299))),"SIM","")</f>
        <v/>
      </c>
      <c r="V299" s="99">
        <f>IF(AND(ISNUMBER(SEARCH("Espeto",N299)),ISNUMBER(SEARCH("Perdizes",N299))),"SIM","")</f>
        <v/>
      </c>
      <c r="W299" s="99">
        <f>IF(AND(ISNUMBER(SEARCH("Espeto",N299)),ISNUMBER(SEARCH("Santana",N299))),"SIM","")</f>
        <v/>
      </c>
      <c r="X299" s="99">
        <f>IF(AND(ISNUMBER(SEARCH("Espeto",N299)),ISNUMBER(SEARCH("André",N299))),"SIM","")</f>
        <v/>
      </c>
      <c r="Y299" s="99">
        <f>IF(AND(ISNUMBER(SEARCH("Delivery",N299)),ISNUMBER(SEARCH("Carin",N299))),"SIM","")</f>
        <v/>
      </c>
      <c r="Z299" s="99">
        <f>IF(AND(ISNUMBER(SEARCH("Delivery",N299)),ISNUMBER(SEARCH("Lapa",N299))),"SIM","")</f>
        <v/>
      </c>
      <c r="AA299" s="99">
        <f>IF(AND(ISNUMBER(SEARCH("Delivery",N299)),ISNUMBER(SEARCH("Tatuapé",N299))),"SIM","")</f>
        <v/>
      </c>
      <c r="AB299" s="99">
        <f>IF(AND(ISNUMBER(SEARCH("Delivery",N299)),ISNUMBER(SEARCH("Pavão",N299))),"SIM","")</f>
        <v/>
      </c>
      <c r="AC299" s="99">
        <f>IF(AND(ISNUMBER(SEARCH("Delivery",N299)),ISNUMBER(SEARCH("Chac",N299))),"SIM","")</f>
        <v/>
      </c>
      <c r="AD299" s="99">
        <f>IF(AND(ISNUMBER(SEARCH("Delivery",N299)),ISNUMBER(SEARCH("Madalena",N299))),"SIM","")</f>
        <v/>
      </c>
      <c r="AE299" s="92">
        <f>IF(AND(ISNUMBER(SEARCH("Delivery",N299)),ISNUMBER(SEARCH("Mariana",N299))),"SIM","")</f>
        <v/>
      </c>
      <c r="AF299" s="92">
        <f>IF(AND(ISNUMBER(SEARCH("Delivery",N299)),ISNUMBER(SEARCH("Perdizes",N299))),"SIM","")</f>
        <v/>
      </c>
      <c r="AG299" s="92">
        <f>IF(AND(ISNUMBER(SEARCH("Delivery",N299)),ISNUMBER(SEARCH("Santana",N299))),"SIM","")</f>
        <v/>
      </c>
      <c r="AH299" s="92">
        <f>IF(AND(ISNUMBER(SEARCH("Delivery",N299)),ISNUMBER(SEARCH("André",N299))),"SIM","")</f>
        <v/>
      </c>
      <c r="AI299" s="92">
        <f>IF(ISNUMBER(SEARCH("Interlagos",N299)),"SIM","")</f>
        <v/>
      </c>
      <c r="AJ299" s="92">
        <f>IF(ISNUMBER(SEARCH("Quiosque",N299)),"SIM","")</f>
        <v/>
      </c>
      <c r="AK299" s="93" t="n"/>
    </row>
    <row r="300">
      <c r="A300" s="88" t="inlineStr">
        <is>
          <t>Protheus</t>
        </is>
      </c>
      <c r="B300" s="89" t="inlineStr">
        <is>
          <t>010058</t>
        </is>
      </c>
      <c r="C300" s="90">
        <f>IF(B300="—","—",IFERROR(VLOOKUP(B300,_Protheus_Cadastro!$A:$B,2,FALSE),"—"))</f>
        <v/>
      </c>
      <c r="D300" s="91">
        <f>IF(B300="—",IFERROR(INDEX(_ZIG_Cadastro!$D:$D,MATCH(H300,_ZIG_Cadastro!$A:$A,0)),"Produto"),IFERROR(VLOOKUP(B300,_Protheus_Cadastro!$A:$C,3,FALSE),"—"))</f>
        <v/>
      </c>
      <c r="E300" s="91">
        <f>IF(B300="—","—",IFERROR(VLOOKUP(B300,_Protheus_Cadastro!$A:$D,4,FALSE),"—"))</f>
        <v/>
      </c>
      <c r="F300" s="91">
        <f>IF(ISERROR(VLOOKUP(B300,'Estrutura Protheus'!A:A,1,FALSE)),"Não","Sim")</f>
        <v/>
      </c>
      <c r="G300" s="92">
        <f>IFERROR(INDEX(_Protheus_Cadastro!$H:$H,MATCH(B300,_Protheus_Cadastro!$A:$A,0)),"—")</f>
        <v/>
      </c>
      <c r="H300" s="210">
        <f>IFERROR(INDEX(_ZIG_Precos!$D:$D,MATCH(I300,_ZIG_Precos!$F:$F,0)),"—")</f>
        <v/>
      </c>
      <c r="I300" s="95">
        <f>IFERROR(VLOOKUP(B300,_Protheus_Cadastro!$A:$I,9,FALSE),"—")</f>
        <v/>
      </c>
      <c r="J300" s="93">
        <f>IFERROR(INDEX(_ZIG_Cadastro!$B:$B,MATCH(I300,_ZIG_Cadastro!$A:$A,0)),IFERROR(INDEX(_Entradas_ZIG!$B:$B,MATCH(I300,_Entradas_ZIG!$C:$C,0)),"—"))</f>
        <v/>
      </c>
      <c r="K300" s="93">
        <f>IFERROR(INDEX(_ZIG_Cadastro!$C:$C,MATCH(I300,_ZIG_Cadastro!$A:$A,0)),IFERROR(INDEX(_Entradas_ZIG!$D:$D,MATCH(I300,_Entradas_ZIG!$C:$C,0)),"—"))</f>
        <v/>
      </c>
      <c r="L300" s="92">
        <f>IF(I300="","Sem SKU ZIG",IF(I300="—","Sem SKU ZIG",IF(NOT(ISERROR(MATCH(I300,_ZIG_Cadastro!$A:$A,0))),IF(EXACT(UPPER(TRIM(C300)),UPPER(TRIM(INDEX(_ZIG_Cadastro!$B:$B,MATCH(I300,_ZIG_Cadastro!$A:$A,0))))),"OK","Atencao - Nome diverge"),IF(NOT(ISERROR(MATCH(I300,_Entradas_ZIG!$C:$C,0))),"OK","Erro - SKU nao encontrado"))))</f>
        <v/>
      </c>
      <c r="M300" s="92">
        <f>IFERROR(INDEX(_ZIG_Cadastro!$G:$G,MATCH(I300,_ZIG_Cadastro!$A:$A,0)),IF(NOT(ISERROR(MATCH(I300,_Entradas_ZIG!$C:$C,0))),"Ativo","—"))</f>
        <v/>
      </c>
      <c r="N300" s="94">
        <f>IFERROR(INDEX(_ZIG_Cadastro!$E:$E,MATCH(I300,_ZIG_Cadastro!$A:$A,0)),IFERROR(INDEX(_Entradas_ZIG!$F:$F,MATCH(I300,_Entradas_ZIG!$C:$C,0)),"—"))</f>
        <v/>
      </c>
      <c r="O300" s="92">
        <f>IF(AND(ISNUMBER(SEARCH("Espeto",N300)),ISNUMBER(SEARCH("Carin",N300))),"SIM","")</f>
        <v/>
      </c>
      <c r="P300" s="92">
        <f>IF(AND(ISNUMBER(SEARCH("Espeto",N300)),ISNUMBER(SEARCH("Lapa",N300))),"SIM","")</f>
        <v/>
      </c>
      <c r="Q300" s="92">
        <f>IF(AND(ISNUMBER(SEARCH("Espeto",N300)),ISNUMBER(SEARCH("Tatuapé",N300))),"SIM","")</f>
        <v/>
      </c>
      <c r="R300" s="92">
        <f>IF(AND(ISNUMBER(SEARCH("Espeto",N300)),ISNUMBER(SEARCH("Pavão",N300))),"SIM","")</f>
        <v/>
      </c>
      <c r="S300" s="92">
        <f>IF(AND(ISNUMBER(SEARCH("Espeto",N300)),ISNUMBER(SEARCH("Chac",N300))),"SIM","")</f>
        <v/>
      </c>
      <c r="T300" s="92">
        <f>IF(AND(ISNUMBER(SEARCH("Espeto",N300)),ISNUMBER(SEARCH("Madalena",N300))),"SIM","")</f>
        <v/>
      </c>
      <c r="U300" s="92">
        <f>IF(AND(ISNUMBER(SEARCH("Espeto",N300)),ISNUMBER(SEARCH("Mariana",N300))),"SIM","")</f>
        <v/>
      </c>
      <c r="V300" s="92">
        <f>IF(AND(ISNUMBER(SEARCH("Espeto",N300)),ISNUMBER(SEARCH("Perdizes",N300))),"SIM","")</f>
        <v/>
      </c>
      <c r="W300" s="92">
        <f>IF(AND(ISNUMBER(SEARCH("Espeto",N300)),ISNUMBER(SEARCH("Santana",N300))),"SIM","")</f>
        <v/>
      </c>
      <c r="X300" s="92">
        <f>IF(AND(ISNUMBER(SEARCH("Espeto",N300)),ISNUMBER(SEARCH("André",N300))),"SIM","")</f>
        <v/>
      </c>
      <c r="Y300" s="92">
        <f>IF(AND(ISNUMBER(SEARCH("Delivery",N300)),ISNUMBER(SEARCH("Carin",N300))),"SIM","")</f>
        <v/>
      </c>
      <c r="Z300" s="92">
        <f>IF(AND(ISNUMBER(SEARCH("Delivery",N300)),ISNUMBER(SEARCH("Lapa",N300))),"SIM","")</f>
        <v/>
      </c>
      <c r="AA300" s="92">
        <f>IF(AND(ISNUMBER(SEARCH("Delivery",N300)),ISNUMBER(SEARCH("Tatuapé",N300))),"SIM","")</f>
        <v/>
      </c>
      <c r="AB300" s="92">
        <f>IF(AND(ISNUMBER(SEARCH("Delivery",N300)),ISNUMBER(SEARCH("Pavão",N300))),"SIM","")</f>
        <v/>
      </c>
      <c r="AC300" s="92">
        <f>IF(AND(ISNUMBER(SEARCH("Delivery",N300)),ISNUMBER(SEARCH("Chac",N300))),"SIM","")</f>
        <v/>
      </c>
      <c r="AD300" s="92">
        <f>IF(AND(ISNUMBER(SEARCH("Delivery",N300)),ISNUMBER(SEARCH("Madalena",N300))),"SIM","")</f>
        <v/>
      </c>
      <c r="AE300" s="99">
        <f>IF(AND(ISNUMBER(SEARCH("Delivery",N300)),ISNUMBER(SEARCH("Mariana",N300))),"SIM","")</f>
        <v/>
      </c>
      <c r="AF300" s="99">
        <f>IF(AND(ISNUMBER(SEARCH("Delivery",N300)),ISNUMBER(SEARCH("Perdizes",N300))),"SIM","")</f>
        <v/>
      </c>
      <c r="AG300" s="99">
        <f>IF(AND(ISNUMBER(SEARCH("Delivery",N300)),ISNUMBER(SEARCH("Santana",N300))),"SIM","")</f>
        <v/>
      </c>
      <c r="AH300" s="99">
        <f>IF(AND(ISNUMBER(SEARCH("Delivery",N300)),ISNUMBER(SEARCH("André",N300))),"SIM","")</f>
        <v/>
      </c>
      <c r="AI300" s="99">
        <f>IF(ISNUMBER(SEARCH("Interlagos",N300)),"SIM","")</f>
        <v/>
      </c>
      <c r="AJ300" s="99">
        <f>IF(ISNUMBER(SEARCH("Quiosque",N300)),"SIM","")</f>
        <v/>
      </c>
      <c r="AK300" s="101" t="n"/>
    </row>
    <row r="301">
      <c r="A301" s="88" t="inlineStr">
        <is>
          <t>Protheus</t>
        </is>
      </c>
      <c r="B301" s="96" t="inlineStr">
        <is>
          <t>001698</t>
        </is>
      </c>
      <c r="C301" s="97">
        <f>IF(B301="—","—",IFERROR(VLOOKUP(B301,_Protheus_Cadastro!$A:$B,2,FALSE),"—"))</f>
        <v/>
      </c>
      <c r="D301" s="98">
        <f>IF(B301="—",IFERROR(INDEX(_ZIG_Cadastro!$D:$D,MATCH(H301,_ZIG_Cadastro!$A:$A,0)),"Produto"),IFERROR(VLOOKUP(B301,_Protheus_Cadastro!$A:$C,3,FALSE),"—"))</f>
        <v/>
      </c>
      <c r="E301" s="98">
        <f>IF(B301="—","—",IFERROR(VLOOKUP(B301,_Protheus_Cadastro!$A:$D,4,FALSE),"—"))</f>
        <v/>
      </c>
      <c r="F301" s="98">
        <f>IF(ISERROR(VLOOKUP(B301,'Estrutura Protheus'!A:A,1,FALSE)),"Não","Sim")</f>
        <v/>
      </c>
      <c r="G301" s="99">
        <f>IFERROR(INDEX(_Protheus_Cadastro!$H:$H,MATCH(B301,_Protheus_Cadastro!$A:$A,0)),"—")</f>
        <v/>
      </c>
      <c r="H301" s="211">
        <f>IFERROR(INDEX(_ZIG_Precos!$D:$D,MATCH(I301,_ZIG_Precos!$F:$F,0)),"—")</f>
        <v/>
      </c>
      <c r="I301" s="103">
        <f>IFERROR(VLOOKUP(B301,_Protheus_Cadastro!$A:$I,9,FALSE),"—")</f>
        <v/>
      </c>
      <c r="J301" s="101">
        <f>IFERROR(INDEX(_ZIG_Cadastro!$B:$B,MATCH(I301,_ZIG_Cadastro!$A:$A,0)),IFERROR(INDEX(_Entradas_ZIG!$B:$B,MATCH(I301,_Entradas_ZIG!$C:$C,0)),"—"))</f>
        <v/>
      </c>
      <c r="K301" s="101">
        <f>IFERROR(INDEX(_ZIG_Cadastro!$C:$C,MATCH(I301,_ZIG_Cadastro!$A:$A,0)),IFERROR(INDEX(_Entradas_ZIG!$D:$D,MATCH(I301,_Entradas_ZIG!$C:$C,0)),"—"))</f>
        <v/>
      </c>
      <c r="L301" s="99">
        <f>IF(I301="","Sem SKU ZIG",IF(I301="—","Sem SKU ZIG",IF(NOT(ISERROR(MATCH(I301,_ZIG_Cadastro!$A:$A,0))),IF(EXACT(UPPER(TRIM(C301)),UPPER(TRIM(INDEX(_ZIG_Cadastro!$B:$B,MATCH(I301,_ZIG_Cadastro!$A:$A,0))))),"OK","Atencao - Nome diverge"),IF(NOT(ISERROR(MATCH(I301,_Entradas_ZIG!$C:$C,0))),"OK","Erro - SKU nao encontrado"))))</f>
        <v/>
      </c>
      <c r="M301" s="99">
        <f>IFERROR(INDEX(_ZIG_Cadastro!$G:$G,MATCH(I301,_ZIG_Cadastro!$A:$A,0)),IF(NOT(ISERROR(MATCH(I301,_Entradas_ZIG!$C:$C,0))),"Ativo","—"))</f>
        <v/>
      </c>
      <c r="N301" s="102">
        <f>IFERROR(INDEX(_ZIG_Cadastro!$E:$E,MATCH(I301,_ZIG_Cadastro!$A:$A,0)),IFERROR(INDEX(_Entradas_ZIG!$F:$F,MATCH(I301,_Entradas_ZIG!$C:$C,0)),"—"))</f>
        <v/>
      </c>
      <c r="O301" s="99">
        <f>IF(AND(ISNUMBER(SEARCH("Espeto",N301)),ISNUMBER(SEARCH("Carin",N301))),"SIM","")</f>
        <v/>
      </c>
      <c r="P301" s="99">
        <f>IF(AND(ISNUMBER(SEARCH("Espeto",N301)),ISNUMBER(SEARCH("Lapa",N301))),"SIM","")</f>
        <v/>
      </c>
      <c r="Q301" s="99">
        <f>IF(AND(ISNUMBER(SEARCH("Espeto",N301)),ISNUMBER(SEARCH("Tatuapé",N301))),"SIM","")</f>
        <v/>
      </c>
      <c r="R301" s="99">
        <f>IF(AND(ISNUMBER(SEARCH("Espeto",N301)),ISNUMBER(SEARCH("Pavão",N301))),"SIM","")</f>
        <v/>
      </c>
      <c r="S301" s="99">
        <f>IF(AND(ISNUMBER(SEARCH("Espeto",N301)),ISNUMBER(SEARCH("Chac",N301))),"SIM","")</f>
        <v/>
      </c>
      <c r="T301" s="99">
        <f>IF(AND(ISNUMBER(SEARCH("Espeto",N301)),ISNUMBER(SEARCH("Madalena",N301))),"SIM","")</f>
        <v/>
      </c>
      <c r="U301" s="99">
        <f>IF(AND(ISNUMBER(SEARCH("Espeto",N301)),ISNUMBER(SEARCH("Mariana",N301))),"SIM","")</f>
        <v/>
      </c>
      <c r="V301" s="99">
        <f>IF(AND(ISNUMBER(SEARCH("Espeto",N301)),ISNUMBER(SEARCH("Perdizes",N301))),"SIM","")</f>
        <v/>
      </c>
      <c r="W301" s="99">
        <f>IF(AND(ISNUMBER(SEARCH("Espeto",N301)),ISNUMBER(SEARCH("Santana",N301))),"SIM","")</f>
        <v/>
      </c>
      <c r="X301" s="99">
        <f>IF(AND(ISNUMBER(SEARCH("Espeto",N301)),ISNUMBER(SEARCH("André",N301))),"SIM","")</f>
        <v/>
      </c>
      <c r="Y301" s="99">
        <f>IF(AND(ISNUMBER(SEARCH("Delivery",N301)),ISNUMBER(SEARCH("Carin",N301))),"SIM","")</f>
        <v/>
      </c>
      <c r="Z301" s="99">
        <f>IF(AND(ISNUMBER(SEARCH("Delivery",N301)),ISNUMBER(SEARCH("Lapa",N301))),"SIM","")</f>
        <v/>
      </c>
      <c r="AA301" s="99">
        <f>IF(AND(ISNUMBER(SEARCH("Delivery",N301)),ISNUMBER(SEARCH("Tatuapé",N301))),"SIM","")</f>
        <v/>
      </c>
      <c r="AB301" s="99">
        <f>IF(AND(ISNUMBER(SEARCH("Delivery",N301)),ISNUMBER(SEARCH("Pavão",N301))),"SIM","")</f>
        <v/>
      </c>
      <c r="AC301" s="99">
        <f>IF(AND(ISNUMBER(SEARCH("Delivery",N301)),ISNUMBER(SEARCH("Chac",N301))),"SIM","")</f>
        <v/>
      </c>
      <c r="AD301" s="99">
        <f>IF(AND(ISNUMBER(SEARCH("Delivery",N301)),ISNUMBER(SEARCH("Madalena",N301))),"SIM","")</f>
        <v/>
      </c>
      <c r="AE301" s="99">
        <f>IF(AND(ISNUMBER(SEARCH("Delivery",N301)),ISNUMBER(SEARCH("Mariana",N301))),"SIM","")</f>
        <v/>
      </c>
      <c r="AF301" s="99">
        <f>IF(AND(ISNUMBER(SEARCH("Delivery",N301)),ISNUMBER(SEARCH("Perdizes",N301))),"SIM","")</f>
        <v/>
      </c>
      <c r="AG301" s="99">
        <f>IF(AND(ISNUMBER(SEARCH("Delivery",N301)),ISNUMBER(SEARCH("Santana",N301))),"SIM","")</f>
        <v/>
      </c>
      <c r="AH301" s="99">
        <f>IF(AND(ISNUMBER(SEARCH("Delivery",N301)),ISNUMBER(SEARCH("André",N301))),"SIM","")</f>
        <v/>
      </c>
      <c r="AI301" s="99">
        <f>IF(ISNUMBER(SEARCH("Interlagos",N301)),"SIM","")</f>
        <v/>
      </c>
      <c r="AJ301" s="99">
        <f>IF(ISNUMBER(SEARCH("Quiosque",N301)),"SIM","")</f>
        <v/>
      </c>
      <c r="AK301" s="101" t="n"/>
    </row>
    <row r="302">
      <c r="A302" s="88" t="inlineStr">
        <is>
          <t>Protheus</t>
        </is>
      </c>
      <c r="B302" s="89" t="inlineStr">
        <is>
          <t>010042</t>
        </is>
      </c>
      <c r="C302" s="90">
        <f>IF(B302="—","—",IFERROR(VLOOKUP(B302,_Protheus_Cadastro!$A:$B,2,FALSE),"—"))</f>
        <v/>
      </c>
      <c r="D302" s="91">
        <f>IF(B302="—",IFERROR(INDEX(_ZIG_Cadastro!$D:$D,MATCH(H302,_ZIG_Cadastro!$A:$A,0)),"Produto"),IFERROR(VLOOKUP(B302,_Protheus_Cadastro!$A:$C,3,FALSE),"—"))</f>
        <v/>
      </c>
      <c r="E302" s="91">
        <f>IF(B302="—","—",IFERROR(VLOOKUP(B302,_Protheus_Cadastro!$A:$D,4,FALSE),"—"))</f>
        <v/>
      </c>
      <c r="F302" s="91">
        <f>IF(ISERROR(VLOOKUP(B302,'Estrutura Protheus'!A:A,1,FALSE)),"Não","Sim")</f>
        <v/>
      </c>
      <c r="G302" s="92">
        <f>IFERROR(INDEX(_Protheus_Cadastro!$H:$H,MATCH(B302,_Protheus_Cadastro!$A:$A,0)),"—")</f>
        <v/>
      </c>
      <c r="H302" s="210">
        <f>IFERROR(INDEX(_ZIG_Precos!$D:$D,MATCH(I302,_ZIG_Precos!$F:$F,0)),"—")</f>
        <v/>
      </c>
      <c r="I302" s="95">
        <f>IFERROR(VLOOKUP(B302,_Protheus_Cadastro!$A:$I,9,FALSE),"—")</f>
        <v/>
      </c>
      <c r="J302" s="93">
        <f>IFERROR(INDEX(_ZIG_Cadastro!$B:$B,MATCH(I302,_ZIG_Cadastro!$A:$A,0)),IFERROR(INDEX(_Entradas_ZIG!$B:$B,MATCH(I302,_Entradas_ZIG!$C:$C,0)),"—"))</f>
        <v/>
      </c>
      <c r="K302" s="93">
        <f>IFERROR(INDEX(_ZIG_Cadastro!$C:$C,MATCH(I302,_ZIG_Cadastro!$A:$A,0)),IFERROR(INDEX(_Entradas_ZIG!$D:$D,MATCH(I302,_Entradas_ZIG!$C:$C,0)),"—"))</f>
        <v/>
      </c>
      <c r="L302" s="92">
        <f>IF(I302="","Sem SKU ZIG",IF(I302="—","Sem SKU ZIG",IF(NOT(ISERROR(MATCH(I302,_ZIG_Cadastro!$A:$A,0))),IF(EXACT(UPPER(TRIM(C302)),UPPER(TRIM(INDEX(_ZIG_Cadastro!$B:$B,MATCH(I302,_ZIG_Cadastro!$A:$A,0))))),"OK","Atencao - Nome diverge"),IF(NOT(ISERROR(MATCH(I302,_Entradas_ZIG!$C:$C,0))),"OK","Erro - SKU nao encontrado"))))</f>
        <v/>
      </c>
      <c r="M302" s="92">
        <f>IFERROR(INDEX(_ZIG_Cadastro!$G:$G,MATCH(I302,_ZIG_Cadastro!$A:$A,0)),IF(NOT(ISERROR(MATCH(I302,_Entradas_ZIG!$C:$C,0))),"Ativo","—"))</f>
        <v/>
      </c>
      <c r="N302" s="94">
        <f>IFERROR(INDEX(_ZIG_Cadastro!$E:$E,MATCH(I302,_ZIG_Cadastro!$A:$A,0)),IFERROR(INDEX(_Entradas_ZIG!$F:$F,MATCH(I302,_Entradas_ZIG!$C:$C,0)),"—"))</f>
        <v/>
      </c>
      <c r="O302" s="92">
        <f>IF(AND(ISNUMBER(SEARCH("Espeto",N302)),ISNUMBER(SEARCH("Carin",N302))),"SIM","")</f>
        <v/>
      </c>
      <c r="P302" s="92">
        <f>IF(AND(ISNUMBER(SEARCH("Espeto",N302)),ISNUMBER(SEARCH("Lapa",N302))),"SIM","")</f>
        <v/>
      </c>
      <c r="Q302" s="92">
        <f>IF(AND(ISNUMBER(SEARCH("Espeto",N302)),ISNUMBER(SEARCH("Tatuapé",N302))),"SIM","")</f>
        <v/>
      </c>
      <c r="R302" s="92">
        <f>IF(AND(ISNUMBER(SEARCH("Espeto",N302)),ISNUMBER(SEARCH("Pavão",N302))),"SIM","")</f>
        <v/>
      </c>
      <c r="S302" s="92">
        <f>IF(AND(ISNUMBER(SEARCH("Espeto",N302)),ISNUMBER(SEARCH("Chac",N302))),"SIM","")</f>
        <v/>
      </c>
      <c r="T302" s="92">
        <f>IF(AND(ISNUMBER(SEARCH("Espeto",N302)),ISNUMBER(SEARCH("Madalena",N302))),"SIM","")</f>
        <v/>
      </c>
      <c r="U302" s="92">
        <f>IF(AND(ISNUMBER(SEARCH("Espeto",N302)),ISNUMBER(SEARCH("Mariana",N302))),"SIM","")</f>
        <v/>
      </c>
      <c r="V302" s="92">
        <f>IF(AND(ISNUMBER(SEARCH("Espeto",N302)),ISNUMBER(SEARCH("Perdizes",N302))),"SIM","")</f>
        <v/>
      </c>
      <c r="W302" s="92">
        <f>IF(AND(ISNUMBER(SEARCH("Espeto",N302)),ISNUMBER(SEARCH("Santana",N302))),"SIM","")</f>
        <v/>
      </c>
      <c r="X302" s="92">
        <f>IF(AND(ISNUMBER(SEARCH("Espeto",N302)),ISNUMBER(SEARCH("André",N302))),"SIM","")</f>
        <v/>
      </c>
      <c r="Y302" s="92">
        <f>IF(AND(ISNUMBER(SEARCH("Delivery",N302)),ISNUMBER(SEARCH("Carin",N302))),"SIM","")</f>
        <v/>
      </c>
      <c r="Z302" s="92">
        <f>IF(AND(ISNUMBER(SEARCH("Delivery",N302)),ISNUMBER(SEARCH("Lapa",N302))),"SIM","")</f>
        <v/>
      </c>
      <c r="AA302" s="92">
        <f>IF(AND(ISNUMBER(SEARCH("Delivery",N302)),ISNUMBER(SEARCH("Tatuapé",N302))),"SIM","")</f>
        <v/>
      </c>
      <c r="AB302" s="92">
        <f>IF(AND(ISNUMBER(SEARCH("Delivery",N302)),ISNUMBER(SEARCH("Pavão",N302))),"SIM","")</f>
        <v/>
      </c>
      <c r="AC302" s="92">
        <f>IF(AND(ISNUMBER(SEARCH("Delivery",N302)),ISNUMBER(SEARCH("Chac",N302))),"SIM","")</f>
        <v/>
      </c>
      <c r="AD302" s="92">
        <f>IF(AND(ISNUMBER(SEARCH("Delivery",N302)),ISNUMBER(SEARCH("Madalena",N302))),"SIM","")</f>
        <v/>
      </c>
      <c r="AE302" s="92">
        <f>IF(AND(ISNUMBER(SEARCH("Delivery",N302)),ISNUMBER(SEARCH("Mariana",N302))),"SIM","")</f>
        <v/>
      </c>
      <c r="AF302" s="92">
        <f>IF(AND(ISNUMBER(SEARCH("Delivery",N302)),ISNUMBER(SEARCH("Perdizes",N302))),"SIM","")</f>
        <v/>
      </c>
      <c r="AG302" s="92">
        <f>IF(AND(ISNUMBER(SEARCH("Delivery",N302)),ISNUMBER(SEARCH("Santana",N302))),"SIM","")</f>
        <v/>
      </c>
      <c r="AH302" s="92">
        <f>IF(AND(ISNUMBER(SEARCH("Delivery",N302)),ISNUMBER(SEARCH("André",N302))),"SIM","")</f>
        <v/>
      </c>
      <c r="AI302" s="92">
        <f>IF(ISNUMBER(SEARCH("Interlagos",N302)),"SIM","")</f>
        <v/>
      </c>
      <c r="AJ302" s="92">
        <f>IF(ISNUMBER(SEARCH("Quiosque",N302)),"SIM","")</f>
        <v/>
      </c>
      <c r="AK302" s="93" t="n"/>
    </row>
    <row r="303">
      <c r="A303" s="88" t="inlineStr">
        <is>
          <t>Protheus</t>
        </is>
      </c>
      <c r="B303" s="96" t="inlineStr">
        <is>
          <t>010064</t>
        </is>
      </c>
      <c r="C303" s="97">
        <f>IF(B303="—","—",IFERROR(VLOOKUP(B303,_Protheus_Cadastro!$A:$B,2,FALSE),"—"))</f>
        <v/>
      </c>
      <c r="D303" s="98">
        <f>IF(B303="—",IFERROR(INDEX(_ZIG_Cadastro!$D:$D,MATCH(H303,_ZIG_Cadastro!$A:$A,0)),"Produto"),IFERROR(VLOOKUP(B303,_Protheus_Cadastro!$A:$C,3,FALSE),"—"))</f>
        <v/>
      </c>
      <c r="E303" s="98">
        <f>IF(B303="—","—",IFERROR(VLOOKUP(B303,_Protheus_Cadastro!$A:$D,4,FALSE),"—"))</f>
        <v/>
      </c>
      <c r="F303" s="98">
        <f>IF(ISERROR(VLOOKUP(B303,'Estrutura Protheus'!A:A,1,FALSE)),"Não","Sim")</f>
        <v/>
      </c>
      <c r="G303" s="99">
        <f>IFERROR(INDEX(_Protheus_Cadastro!$H:$H,MATCH(B303,_Protheus_Cadastro!$A:$A,0)),"—")</f>
        <v/>
      </c>
      <c r="H303" s="211">
        <f>IFERROR(INDEX(_ZIG_Precos!$D:$D,MATCH(I303,_ZIG_Precos!$F:$F,0)),"—")</f>
        <v/>
      </c>
      <c r="I303" s="103">
        <f>IFERROR(VLOOKUP(B303,_Protheus_Cadastro!$A:$I,9,FALSE),"—")</f>
        <v/>
      </c>
      <c r="J303" s="101">
        <f>IFERROR(INDEX(_ZIG_Cadastro!$B:$B,MATCH(I303,_ZIG_Cadastro!$A:$A,0)),IFERROR(INDEX(_Entradas_ZIG!$B:$B,MATCH(I303,_Entradas_ZIG!$C:$C,0)),"—"))</f>
        <v/>
      </c>
      <c r="K303" s="101">
        <f>IFERROR(INDEX(_ZIG_Cadastro!$C:$C,MATCH(I303,_ZIG_Cadastro!$A:$A,0)),IFERROR(INDEX(_Entradas_ZIG!$D:$D,MATCH(I303,_Entradas_ZIG!$C:$C,0)),"—"))</f>
        <v/>
      </c>
      <c r="L303" s="99">
        <f>IF(I303="","Sem SKU ZIG",IF(I303="—","Sem SKU ZIG",IF(NOT(ISERROR(MATCH(I303,_ZIG_Cadastro!$A:$A,0))),IF(EXACT(UPPER(TRIM(C303)),UPPER(TRIM(INDEX(_ZIG_Cadastro!$B:$B,MATCH(I303,_ZIG_Cadastro!$A:$A,0))))),"OK","Atencao - Nome diverge"),IF(NOT(ISERROR(MATCH(I303,_Entradas_ZIG!$C:$C,0))),"OK","Erro - SKU nao encontrado"))))</f>
        <v/>
      </c>
      <c r="M303" s="99">
        <f>IFERROR(INDEX(_ZIG_Cadastro!$G:$G,MATCH(I303,_ZIG_Cadastro!$A:$A,0)),IF(NOT(ISERROR(MATCH(I303,_Entradas_ZIG!$C:$C,0))),"Ativo","—"))</f>
        <v/>
      </c>
      <c r="N303" s="102">
        <f>IFERROR(INDEX(_ZIG_Cadastro!$E:$E,MATCH(I303,_ZIG_Cadastro!$A:$A,0)),IFERROR(INDEX(_Entradas_ZIG!$F:$F,MATCH(I303,_Entradas_ZIG!$C:$C,0)),"—"))</f>
        <v/>
      </c>
      <c r="O303" s="99">
        <f>IF(AND(ISNUMBER(SEARCH("Espeto",N303)),ISNUMBER(SEARCH("Carin",N303))),"SIM","")</f>
        <v/>
      </c>
      <c r="P303" s="99">
        <f>IF(AND(ISNUMBER(SEARCH("Espeto",N303)),ISNUMBER(SEARCH("Lapa",N303))),"SIM","")</f>
        <v/>
      </c>
      <c r="Q303" s="99">
        <f>IF(AND(ISNUMBER(SEARCH("Espeto",N303)),ISNUMBER(SEARCH("Tatuapé",N303))),"SIM","")</f>
        <v/>
      </c>
      <c r="R303" s="99">
        <f>IF(AND(ISNUMBER(SEARCH("Espeto",N303)),ISNUMBER(SEARCH("Pavão",N303))),"SIM","")</f>
        <v/>
      </c>
      <c r="S303" s="99">
        <f>IF(AND(ISNUMBER(SEARCH("Espeto",N303)),ISNUMBER(SEARCH("Chac",N303))),"SIM","")</f>
        <v/>
      </c>
      <c r="T303" s="99">
        <f>IF(AND(ISNUMBER(SEARCH("Espeto",N303)),ISNUMBER(SEARCH("Madalena",N303))),"SIM","")</f>
        <v/>
      </c>
      <c r="U303" s="99">
        <f>IF(AND(ISNUMBER(SEARCH("Espeto",N303)),ISNUMBER(SEARCH("Mariana",N303))),"SIM","")</f>
        <v/>
      </c>
      <c r="V303" s="99">
        <f>IF(AND(ISNUMBER(SEARCH("Espeto",N303)),ISNUMBER(SEARCH("Perdizes",N303))),"SIM","")</f>
        <v/>
      </c>
      <c r="W303" s="99">
        <f>IF(AND(ISNUMBER(SEARCH("Espeto",N303)),ISNUMBER(SEARCH("Santana",N303))),"SIM","")</f>
        <v/>
      </c>
      <c r="X303" s="99">
        <f>IF(AND(ISNUMBER(SEARCH("Espeto",N303)),ISNUMBER(SEARCH("André",N303))),"SIM","")</f>
        <v/>
      </c>
      <c r="Y303" s="99">
        <f>IF(AND(ISNUMBER(SEARCH("Delivery",N303)),ISNUMBER(SEARCH("Carin",N303))),"SIM","")</f>
        <v/>
      </c>
      <c r="Z303" s="99">
        <f>IF(AND(ISNUMBER(SEARCH("Delivery",N303)),ISNUMBER(SEARCH("Lapa",N303))),"SIM","")</f>
        <v/>
      </c>
      <c r="AA303" s="99">
        <f>IF(AND(ISNUMBER(SEARCH("Delivery",N303)),ISNUMBER(SEARCH("Tatuapé",N303))),"SIM","")</f>
        <v/>
      </c>
      <c r="AB303" s="99">
        <f>IF(AND(ISNUMBER(SEARCH("Delivery",N303)),ISNUMBER(SEARCH("Pavão",N303))),"SIM","")</f>
        <v/>
      </c>
      <c r="AC303" s="99">
        <f>IF(AND(ISNUMBER(SEARCH("Delivery",N303)),ISNUMBER(SEARCH("Chac",N303))),"SIM","")</f>
        <v/>
      </c>
      <c r="AD303" s="99">
        <f>IF(AND(ISNUMBER(SEARCH("Delivery",N303)),ISNUMBER(SEARCH("Madalena",N303))),"SIM","")</f>
        <v/>
      </c>
      <c r="AE303" s="99">
        <f>IF(AND(ISNUMBER(SEARCH("Delivery",N303)),ISNUMBER(SEARCH("Mariana",N303))),"SIM","")</f>
        <v/>
      </c>
      <c r="AF303" s="99">
        <f>IF(AND(ISNUMBER(SEARCH("Delivery",N303)),ISNUMBER(SEARCH("Perdizes",N303))),"SIM","")</f>
        <v/>
      </c>
      <c r="AG303" s="99">
        <f>IF(AND(ISNUMBER(SEARCH("Delivery",N303)),ISNUMBER(SEARCH("Santana",N303))),"SIM","")</f>
        <v/>
      </c>
      <c r="AH303" s="99">
        <f>IF(AND(ISNUMBER(SEARCH("Delivery",N303)),ISNUMBER(SEARCH("André",N303))),"SIM","")</f>
        <v/>
      </c>
      <c r="AI303" s="99">
        <f>IF(ISNUMBER(SEARCH("Interlagos",N303)),"SIM","")</f>
        <v/>
      </c>
      <c r="AJ303" s="99">
        <f>IF(ISNUMBER(SEARCH("Quiosque",N303)),"SIM","")</f>
        <v/>
      </c>
      <c r="AK303" s="101" t="n"/>
    </row>
    <row r="304">
      <c r="A304" s="88" t="inlineStr">
        <is>
          <t>Protheus</t>
        </is>
      </c>
      <c r="B304" s="89" t="inlineStr">
        <is>
          <t>010069</t>
        </is>
      </c>
      <c r="C304" s="90">
        <f>IF(B304="—","—",IFERROR(VLOOKUP(B304,_Protheus_Cadastro!$A:$B,2,FALSE),"—"))</f>
        <v/>
      </c>
      <c r="D304" s="91">
        <f>IF(B304="—",IFERROR(INDEX(_ZIG_Cadastro!$D:$D,MATCH(H304,_ZIG_Cadastro!$A:$A,0)),"Produto"),IFERROR(VLOOKUP(B304,_Protheus_Cadastro!$A:$C,3,FALSE),"—"))</f>
        <v/>
      </c>
      <c r="E304" s="91">
        <f>IF(B304="—","—",IFERROR(VLOOKUP(B304,_Protheus_Cadastro!$A:$D,4,FALSE),"—"))</f>
        <v/>
      </c>
      <c r="F304" s="91">
        <f>IF(ISERROR(VLOOKUP(B304,'Estrutura Protheus'!A:A,1,FALSE)),"Não","Sim")</f>
        <v/>
      </c>
      <c r="G304" s="92">
        <f>IFERROR(INDEX(_Protheus_Cadastro!$H:$H,MATCH(B304,_Protheus_Cadastro!$A:$A,0)),"—")</f>
        <v/>
      </c>
      <c r="H304" s="210">
        <f>IFERROR(INDEX(_ZIG_Precos!$D:$D,MATCH(I304,_ZIG_Precos!$F:$F,0)),"—")</f>
        <v/>
      </c>
      <c r="I304" s="95">
        <f>IFERROR(VLOOKUP(B304,_Protheus_Cadastro!$A:$I,9,FALSE),"—")</f>
        <v/>
      </c>
      <c r="J304" s="93">
        <f>IFERROR(INDEX(_ZIG_Cadastro!$B:$B,MATCH(I304,_ZIG_Cadastro!$A:$A,0)),IFERROR(INDEX(_Entradas_ZIG!$B:$B,MATCH(I304,_Entradas_ZIG!$C:$C,0)),"—"))</f>
        <v/>
      </c>
      <c r="K304" s="93">
        <f>IFERROR(INDEX(_ZIG_Cadastro!$C:$C,MATCH(I304,_ZIG_Cadastro!$A:$A,0)),IFERROR(INDEX(_Entradas_ZIG!$D:$D,MATCH(I304,_Entradas_ZIG!$C:$C,0)),"—"))</f>
        <v/>
      </c>
      <c r="L304" s="92">
        <f>IF(I304="","Sem SKU ZIG",IF(I304="—","Sem SKU ZIG",IF(NOT(ISERROR(MATCH(I304,_ZIG_Cadastro!$A:$A,0))),IF(EXACT(UPPER(TRIM(C304)),UPPER(TRIM(INDEX(_ZIG_Cadastro!$B:$B,MATCH(I304,_ZIG_Cadastro!$A:$A,0))))),"OK","Atencao - Nome diverge"),IF(NOT(ISERROR(MATCH(I304,_Entradas_ZIG!$C:$C,0))),"OK","Erro - SKU nao encontrado"))))</f>
        <v/>
      </c>
      <c r="M304" s="92">
        <f>IFERROR(INDEX(_ZIG_Cadastro!$G:$G,MATCH(I304,_ZIG_Cadastro!$A:$A,0)),IF(NOT(ISERROR(MATCH(I304,_Entradas_ZIG!$C:$C,0))),"Ativo","—"))</f>
        <v/>
      </c>
      <c r="N304" s="94">
        <f>IFERROR(INDEX(_ZIG_Cadastro!$E:$E,MATCH(I304,_ZIG_Cadastro!$A:$A,0)),IFERROR(INDEX(_Entradas_ZIG!$F:$F,MATCH(I304,_Entradas_ZIG!$C:$C,0)),"—"))</f>
        <v/>
      </c>
      <c r="O304" s="92">
        <f>IF(AND(ISNUMBER(SEARCH("Espeto",N304)),ISNUMBER(SEARCH("Carin",N304))),"SIM","")</f>
        <v/>
      </c>
      <c r="P304" s="92">
        <f>IF(AND(ISNUMBER(SEARCH("Espeto",N304)),ISNUMBER(SEARCH("Lapa",N304))),"SIM","")</f>
        <v/>
      </c>
      <c r="Q304" s="92">
        <f>IF(AND(ISNUMBER(SEARCH("Espeto",N304)),ISNUMBER(SEARCH("Tatuapé",N304))),"SIM","")</f>
        <v/>
      </c>
      <c r="R304" s="92">
        <f>IF(AND(ISNUMBER(SEARCH("Espeto",N304)),ISNUMBER(SEARCH("Pavão",N304))),"SIM","")</f>
        <v/>
      </c>
      <c r="S304" s="92">
        <f>IF(AND(ISNUMBER(SEARCH("Espeto",N304)),ISNUMBER(SEARCH("Chac",N304))),"SIM","")</f>
        <v/>
      </c>
      <c r="T304" s="92">
        <f>IF(AND(ISNUMBER(SEARCH("Espeto",N304)),ISNUMBER(SEARCH("Madalena",N304))),"SIM","")</f>
        <v/>
      </c>
      <c r="U304" s="92">
        <f>IF(AND(ISNUMBER(SEARCH("Espeto",N304)),ISNUMBER(SEARCH("Mariana",N304))),"SIM","")</f>
        <v/>
      </c>
      <c r="V304" s="92">
        <f>IF(AND(ISNUMBER(SEARCH("Espeto",N304)),ISNUMBER(SEARCH("Perdizes",N304))),"SIM","")</f>
        <v/>
      </c>
      <c r="W304" s="92">
        <f>IF(AND(ISNUMBER(SEARCH("Espeto",N304)),ISNUMBER(SEARCH("Santana",N304))),"SIM","")</f>
        <v/>
      </c>
      <c r="X304" s="92">
        <f>IF(AND(ISNUMBER(SEARCH("Espeto",N304)),ISNUMBER(SEARCH("André",N304))),"SIM","")</f>
        <v/>
      </c>
      <c r="Y304" s="92">
        <f>IF(AND(ISNUMBER(SEARCH("Delivery",N304)),ISNUMBER(SEARCH("Carin",N304))),"SIM","")</f>
        <v/>
      </c>
      <c r="Z304" s="92">
        <f>IF(AND(ISNUMBER(SEARCH("Delivery",N304)),ISNUMBER(SEARCH("Lapa",N304))),"SIM","")</f>
        <v/>
      </c>
      <c r="AA304" s="92">
        <f>IF(AND(ISNUMBER(SEARCH("Delivery",N304)),ISNUMBER(SEARCH("Tatuapé",N304))),"SIM","")</f>
        <v/>
      </c>
      <c r="AB304" s="92">
        <f>IF(AND(ISNUMBER(SEARCH("Delivery",N304)),ISNUMBER(SEARCH("Pavão",N304))),"SIM","")</f>
        <v/>
      </c>
      <c r="AC304" s="92">
        <f>IF(AND(ISNUMBER(SEARCH("Delivery",N304)),ISNUMBER(SEARCH("Chac",N304))),"SIM","")</f>
        <v/>
      </c>
      <c r="AD304" s="92">
        <f>IF(AND(ISNUMBER(SEARCH("Delivery",N304)),ISNUMBER(SEARCH("Madalena",N304))),"SIM","")</f>
        <v/>
      </c>
      <c r="AE304" s="92">
        <f>IF(AND(ISNUMBER(SEARCH("Delivery",N304)),ISNUMBER(SEARCH("Mariana",N304))),"SIM","")</f>
        <v/>
      </c>
      <c r="AF304" s="92">
        <f>IF(AND(ISNUMBER(SEARCH("Delivery",N304)),ISNUMBER(SEARCH("Perdizes",N304))),"SIM","")</f>
        <v/>
      </c>
      <c r="AG304" s="92">
        <f>IF(AND(ISNUMBER(SEARCH("Delivery",N304)),ISNUMBER(SEARCH("Santana",N304))),"SIM","")</f>
        <v/>
      </c>
      <c r="AH304" s="92">
        <f>IF(AND(ISNUMBER(SEARCH("Delivery",N304)),ISNUMBER(SEARCH("André",N304))),"SIM","")</f>
        <v/>
      </c>
      <c r="AI304" s="92">
        <f>IF(ISNUMBER(SEARCH("Interlagos",N304)),"SIM","")</f>
        <v/>
      </c>
      <c r="AJ304" s="92">
        <f>IF(ISNUMBER(SEARCH("Quiosque",N304)),"SIM","")</f>
        <v/>
      </c>
      <c r="AK304" s="93" t="n"/>
    </row>
    <row r="305">
      <c r="A305" s="88" t="inlineStr">
        <is>
          <t>Protheus</t>
        </is>
      </c>
      <c r="B305" s="96" t="inlineStr">
        <is>
          <t>001696</t>
        </is>
      </c>
      <c r="C305" s="97">
        <f>IF(B305="—","—",IFERROR(VLOOKUP(B305,_Protheus_Cadastro!$A:$B,2,FALSE),"—"))</f>
        <v/>
      </c>
      <c r="D305" s="98">
        <f>IF(B305="—",IFERROR(INDEX(_ZIG_Cadastro!$D:$D,MATCH(H305,_ZIG_Cadastro!$A:$A,0)),"Produto"),IFERROR(VLOOKUP(B305,_Protheus_Cadastro!$A:$C,3,FALSE),"—"))</f>
        <v/>
      </c>
      <c r="E305" s="98">
        <f>IF(B305="—","—",IFERROR(VLOOKUP(B305,_Protheus_Cadastro!$A:$D,4,FALSE),"—"))</f>
        <v/>
      </c>
      <c r="F305" s="98">
        <f>IF(ISERROR(VLOOKUP(B305,'Estrutura Protheus'!A:A,1,FALSE)),"Não","Sim")</f>
        <v/>
      </c>
      <c r="G305" s="99">
        <f>IFERROR(INDEX(_Protheus_Cadastro!$H:$H,MATCH(B305,_Protheus_Cadastro!$A:$A,0)),"—")</f>
        <v/>
      </c>
      <c r="H305" s="211">
        <f>IFERROR(INDEX(_ZIG_Precos!$D:$D,MATCH(I305,_ZIG_Precos!$F:$F,0)),"—")</f>
        <v/>
      </c>
      <c r="I305" s="103">
        <f>IFERROR(VLOOKUP(B305,_Protheus_Cadastro!$A:$I,9,FALSE),"—")</f>
        <v/>
      </c>
      <c r="J305" s="101">
        <f>IFERROR(INDEX(_ZIG_Cadastro!$B:$B,MATCH(I305,_ZIG_Cadastro!$A:$A,0)),IFERROR(INDEX(_Entradas_ZIG!$B:$B,MATCH(I305,_Entradas_ZIG!$C:$C,0)),"—"))</f>
        <v/>
      </c>
      <c r="K305" s="101">
        <f>IFERROR(INDEX(_ZIG_Cadastro!$C:$C,MATCH(I305,_ZIG_Cadastro!$A:$A,0)),IFERROR(INDEX(_Entradas_ZIG!$D:$D,MATCH(I305,_Entradas_ZIG!$C:$C,0)),"—"))</f>
        <v/>
      </c>
      <c r="L305" s="99">
        <f>IF(I305="","Sem SKU ZIG",IF(I305="—","Sem SKU ZIG",IF(NOT(ISERROR(MATCH(I305,_ZIG_Cadastro!$A:$A,0))),IF(EXACT(UPPER(TRIM(C305)),UPPER(TRIM(INDEX(_ZIG_Cadastro!$B:$B,MATCH(I305,_ZIG_Cadastro!$A:$A,0))))),"OK","Atencao - Nome diverge"),IF(NOT(ISERROR(MATCH(I305,_Entradas_ZIG!$C:$C,0))),"OK","Erro - SKU nao encontrado"))))</f>
        <v/>
      </c>
      <c r="M305" s="99">
        <f>IFERROR(INDEX(_ZIG_Cadastro!$G:$G,MATCH(I305,_ZIG_Cadastro!$A:$A,0)),IF(NOT(ISERROR(MATCH(I305,_Entradas_ZIG!$C:$C,0))),"Ativo","—"))</f>
        <v/>
      </c>
      <c r="N305" s="102">
        <f>IFERROR(INDEX(_ZIG_Cadastro!$E:$E,MATCH(I305,_ZIG_Cadastro!$A:$A,0)),IFERROR(INDEX(_Entradas_ZIG!$F:$F,MATCH(I305,_Entradas_ZIG!$C:$C,0)),"—"))</f>
        <v/>
      </c>
      <c r="O305" s="99">
        <f>IF(AND(ISNUMBER(SEARCH("Espeto",N305)),ISNUMBER(SEARCH("Carin",N305))),"SIM","")</f>
        <v/>
      </c>
      <c r="P305" s="99">
        <f>IF(AND(ISNUMBER(SEARCH("Espeto",N305)),ISNUMBER(SEARCH("Lapa",N305))),"SIM","")</f>
        <v/>
      </c>
      <c r="Q305" s="99">
        <f>IF(AND(ISNUMBER(SEARCH("Espeto",N305)),ISNUMBER(SEARCH("Tatuapé",N305))),"SIM","")</f>
        <v/>
      </c>
      <c r="R305" s="99">
        <f>IF(AND(ISNUMBER(SEARCH("Espeto",N305)),ISNUMBER(SEARCH("Pavão",N305))),"SIM","")</f>
        <v/>
      </c>
      <c r="S305" s="99">
        <f>IF(AND(ISNUMBER(SEARCH("Espeto",N305)),ISNUMBER(SEARCH("Chac",N305))),"SIM","")</f>
        <v/>
      </c>
      <c r="T305" s="99">
        <f>IF(AND(ISNUMBER(SEARCH("Espeto",N305)),ISNUMBER(SEARCH("Madalena",N305))),"SIM","")</f>
        <v/>
      </c>
      <c r="U305" s="99">
        <f>IF(AND(ISNUMBER(SEARCH("Espeto",N305)),ISNUMBER(SEARCH("Mariana",N305))),"SIM","")</f>
        <v/>
      </c>
      <c r="V305" s="99">
        <f>IF(AND(ISNUMBER(SEARCH("Espeto",N305)),ISNUMBER(SEARCH("Perdizes",N305))),"SIM","")</f>
        <v/>
      </c>
      <c r="W305" s="99">
        <f>IF(AND(ISNUMBER(SEARCH("Espeto",N305)),ISNUMBER(SEARCH("Santana",N305))),"SIM","")</f>
        <v/>
      </c>
      <c r="X305" s="99">
        <f>IF(AND(ISNUMBER(SEARCH("Espeto",N305)),ISNUMBER(SEARCH("André",N305))),"SIM","")</f>
        <v/>
      </c>
      <c r="Y305" s="99">
        <f>IF(AND(ISNUMBER(SEARCH("Delivery",N305)),ISNUMBER(SEARCH("Carin",N305))),"SIM","")</f>
        <v/>
      </c>
      <c r="Z305" s="99">
        <f>IF(AND(ISNUMBER(SEARCH("Delivery",N305)),ISNUMBER(SEARCH("Lapa",N305))),"SIM","")</f>
        <v/>
      </c>
      <c r="AA305" s="99">
        <f>IF(AND(ISNUMBER(SEARCH("Delivery",N305)),ISNUMBER(SEARCH("Tatuapé",N305))),"SIM","")</f>
        <v/>
      </c>
      <c r="AB305" s="99">
        <f>IF(AND(ISNUMBER(SEARCH("Delivery",N305)),ISNUMBER(SEARCH("Pavão",N305))),"SIM","")</f>
        <v/>
      </c>
      <c r="AC305" s="99">
        <f>IF(AND(ISNUMBER(SEARCH("Delivery",N305)),ISNUMBER(SEARCH("Chac",N305))),"SIM","")</f>
        <v/>
      </c>
      <c r="AD305" s="99">
        <f>IF(AND(ISNUMBER(SEARCH("Delivery",N305)),ISNUMBER(SEARCH("Madalena",N305))),"SIM","")</f>
        <v/>
      </c>
      <c r="AE305" s="99">
        <f>IF(AND(ISNUMBER(SEARCH("Delivery",N305)),ISNUMBER(SEARCH("Mariana",N305))),"SIM","")</f>
        <v/>
      </c>
      <c r="AF305" s="99">
        <f>IF(AND(ISNUMBER(SEARCH("Delivery",N305)),ISNUMBER(SEARCH("Perdizes",N305))),"SIM","")</f>
        <v/>
      </c>
      <c r="AG305" s="99">
        <f>IF(AND(ISNUMBER(SEARCH("Delivery",N305)),ISNUMBER(SEARCH("Santana",N305))),"SIM","")</f>
        <v/>
      </c>
      <c r="AH305" s="99">
        <f>IF(AND(ISNUMBER(SEARCH("Delivery",N305)),ISNUMBER(SEARCH("André",N305))),"SIM","")</f>
        <v/>
      </c>
      <c r="AI305" s="99">
        <f>IF(ISNUMBER(SEARCH("Interlagos",N305)),"SIM","")</f>
        <v/>
      </c>
      <c r="AJ305" s="99">
        <f>IF(ISNUMBER(SEARCH("Quiosque",N305)),"SIM","")</f>
        <v/>
      </c>
      <c r="AK305" s="101" t="n"/>
    </row>
    <row r="306">
      <c r="A306" s="88" t="inlineStr">
        <is>
          <t>Protheus</t>
        </is>
      </c>
      <c r="B306" s="89" t="inlineStr">
        <is>
          <t>010345</t>
        </is>
      </c>
      <c r="C306" s="90">
        <f>IF(B306="—","—",IFERROR(VLOOKUP(B306,_Protheus_Cadastro!$A:$B,2,FALSE),"—"))</f>
        <v/>
      </c>
      <c r="D306" s="91">
        <f>IF(B306="—",IFERROR(INDEX(_ZIG_Cadastro!$D:$D,MATCH(H306,_ZIG_Cadastro!$A:$A,0)),"Produto"),IFERROR(VLOOKUP(B306,_Protheus_Cadastro!$A:$C,3,FALSE),"—"))</f>
        <v/>
      </c>
      <c r="E306" s="91">
        <f>IF(B306="—","—",IFERROR(VLOOKUP(B306,_Protheus_Cadastro!$A:$D,4,FALSE),"—"))</f>
        <v/>
      </c>
      <c r="F306" s="91">
        <f>IF(ISERROR(VLOOKUP(B306,'Estrutura Protheus'!A:A,1,FALSE)),"Não","Sim")</f>
        <v/>
      </c>
      <c r="G306" s="92">
        <f>IFERROR(INDEX(_Protheus_Cadastro!$H:$H,MATCH(B306,_Protheus_Cadastro!$A:$A,0)),"—")</f>
        <v/>
      </c>
      <c r="H306" s="210">
        <f>IFERROR(INDEX(_ZIG_Precos!$D:$D,MATCH(I306,_ZIG_Precos!$F:$F,0)),"—")</f>
        <v/>
      </c>
      <c r="I306" s="95">
        <f>IFERROR(VLOOKUP(B306,_Protheus_Cadastro!$A:$I,9,FALSE),"—")</f>
        <v/>
      </c>
      <c r="J306" s="93">
        <f>IFERROR(INDEX(_ZIG_Cadastro!$B:$B,MATCH(I306,_ZIG_Cadastro!$A:$A,0)),IFERROR(INDEX(_Entradas_ZIG!$B:$B,MATCH(I306,_Entradas_ZIG!$C:$C,0)),"—"))</f>
        <v/>
      </c>
      <c r="K306" s="93">
        <f>IFERROR(INDEX(_ZIG_Cadastro!$C:$C,MATCH(I306,_ZIG_Cadastro!$A:$A,0)),IFERROR(INDEX(_Entradas_ZIG!$D:$D,MATCH(I306,_Entradas_ZIG!$C:$C,0)),"—"))</f>
        <v/>
      </c>
      <c r="L306" s="92">
        <f>IF(I306="","Sem SKU ZIG",IF(I306="—","Sem SKU ZIG",IF(NOT(ISERROR(MATCH(I306,_ZIG_Cadastro!$A:$A,0))),IF(EXACT(UPPER(TRIM(C306)),UPPER(TRIM(INDEX(_ZIG_Cadastro!$B:$B,MATCH(I306,_ZIG_Cadastro!$A:$A,0))))),"OK","Atencao - Nome diverge"),IF(NOT(ISERROR(MATCH(I306,_Entradas_ZIG!$C:$C,0))),"OK","Erro - SKU nao encontrado"))))</f>
        <v/>
      </c>
      <c r="M306" s="92">
        <f>IFERROR(INDEX(_ZIG_Cadastro!$G:$G,MATCH(I306,_ZIG_Cadastro!$A:$A,0)),IF(NOT(ISERROR(MATCH(I306,_Entradas_ZIG!$C:$C,0))),"Ativo","—"))</f>
        <v/>
      </c>
      <c r="N306" s="94">
        <f>IFERROR(INDEX(_ZIG_Cadastro!$E:$E,MATCH(I306,_ZIG_Cadastro!$A:$A,0)),IFERROR(INDEX(_Entradas_ZIG!$F:$F,MATCH(I306,_Entradas_ZIG!$C:$C,0)),"—"))</f>
        <v/>
      </c>
      <c r="O306" s="92">
        <f>IF(AND(ISNUMBER(SEARCH("Espeto",N306)),ISNUMBER(SEARCH("Carin",N306))),"SIM","")</f>
        <v/>
      </c>
      <c r="P306" s="92">
        <f>IF(AND(ISNUMBER(SEARCH("Espeto",N306)),ISNUMBER(SEARCH("Lapa",N306))),"SIM","")</f>
        <v/>
      </c>
      <c r="Q306" s="92">
        <f>IF(AND(ISNUMBER(SEARCH("Espeto",N306)),ISNUMBER(SEARCH("Tatuapé",N306))),"SIM","")</f>
        <v/>
      </c>
      <c r="R306" s="92">
        <f>IF(AND(ISNUMBER(SEARCH("Espeto",N306)),ISNUMBER(SEARCH("Pavão",N306))),"SIM","")</f>
        <v/>
      </c>
      <c r="S306" s="92">
        <f>IF(AND(ISNUMBER(SEARCH("Espeto",N306)),ISNUMBER(SEARCH("Chac",N306))),"SIM","")</f>
        <v/>
      </c>
      <c r="T306" s="92">
        <f>IF(AND(ISNUMBER(SEARCH("Espeto",N306)),ISNUMBER(SEARCH("Madalena",N306))),"SIM","")</f>
        <v/>
      </c>
      <c r="U306" s="92">
        <f>IF(AND(ISNUMBER(SEARCH("Espeto",N306)),ISNUMBER(SEARCH("Mariana",N306))),"SIM","")</f>
        <v/>
      </c>
      <c r="V306" s="92">
        <f>IF(AND(ISNUMBER(SEARCH("Espeto",N306)),ISNUMBER(SEARCH("Perdizes",N306))),"SIM","")</f>
        <v/>
      </c>
      <c r="W306" s="92">
        <f>IF(AND(ISNUMBER(SEARCH("Espeto",N306)),ISNUMBER(SEARCH("Santana",N306))),"SIM","")</f>
        <v/>
      </c>
      <c r="X306" s="92">
        <f>IF(AND(ISNUMBER(SEARCH("Espeto",N306)),ISNUMBER(SEARCH("André",N306))),"SIM","")</f>
        <v/>
      </c>
      <c r="Y306" s="92">
        <f>IF(AND(ISNUMBER(SEARCH("Delivery",N306)),ISNUMBER(SEARCH("Carin",N306))),"SIM","")</f>
        <v/>
      </c>
      <c r="Z306" s="92">
        <f>IF(AND(ISNUMBER(SEARCH("Delivery",N306)),ISNUMBER(SEARCH("Lapa",N306))),"SIM","")</f>
        <v/>
      </c>
      <c r="AA306" s="92">
        <f>IF(AND(ISNUMBER(SEARCH("Delivery",N306)),ISNUMBER(SEARCH("Tatuapé",N306))),"SIM","")</f>
        <v/>
      </c>
      <c r="AB306" s="92">
        <f>IF(AND(ISNUMBER(SEARCH("Delivery",N306)),ISNUMBER(SEARCH("Pavão",N306))),"SIM","")</f>
        <v/>
      </c>
      <c r="AC306" s="92">
        <f>IF(AND(ISNUMBER(SEARCH("Delivery",N306)),ISNUMBER(SEARCH("Chac",N306))),"SIM","")</f>
        <v/>
      </c>
      <c r="AD306" s="92">
        <f>IF(AND(ISNUMBER(SEARCH("Delivery",N306)),ISNUMBER(SEARCH("Madalena",N306))),"SIM","")</f>
        <v/>
      </c>
      <c r="AE306" s="92">
        <f>IF(AND(ISNUMBER(SEARCH("Delivery",N306)),ISNUMBER(SEARCH("Mariana",N306))),"SIM","")</f>
        <v/>
      </c>
      <c r="AF306" s="92">
        <f>IF(AND(ISNUMBER(SEARCH("Delivery",N306)),ISNUMBER(SEARCH("Perdizes",N306))),"SIM","")</f>
        <v/>
      </c>
      <c r="AG306" s="92">
        <f>IF(AND(ISNUMBER(SEARCH("Delivery",N306)),ISNUMBER(SEARCH("Santana",N306))),"SIM","")</f>
        <v/>
      </c>
      <c r="AH306" s="92">
        <f>IF(AND(ISNUMBER(SEARCH("Delivery",N306)),ISNUMBER(SEARCH("André",N306))),"SIM","")</f>
        <v/>
      </c>
      <c r="AI306" s="92">
        <f>IF(ISNUMBER(SEARCH("Interlagos",N306)),"SIM","")</f>
        <v/>
      </c>
      <c r="AJ306" s="92">
        <f>IF(ISNUMBER(SEARCH("Quiosque",N306)),"SIM","")</f>
        <v/>
      </c>
      <c r="AK306" s="93" t="n"/>
    </row>
    <row r="307">
      <c r="A307" s="88" t="inlineStr">
        <is>
          <t>Protheus</t>
        </is>
      </c>
      <c r="B307" s="96" t="inlineStr">
        <is>
          <t>001489</t>
        </is>
      </c>
      <c r="C307" s="97">
        <f>IF(B307="—","—",IFERROR(VLOOKUP(B307,_Protheus_Cadastro!$A:$B,2,FALSE),"—"))</f>
        <v/>
      </c>
      <c r="D307" s="98">
        <f>IF(B307="—",IFERROR(INDEX(_ZIG_Cadastro!$D:$D,MATCH(H307,_ZIG_Cadastro!$A:$A,0)),"Produto"),IFERROR(VLOOKUP(B307,_Protheus_Cadastro!$A:$C,3,FALSE),"—"))</f>
        <v/>
      </c>
      <c r="E307" s="98">
        <f>IF(B307="—","—",IFERROR(VLOOKUP(B307,_Protheus_Cadastro!$A:$D,4,FALSE),"—"))</f>
        <v/>
      </c>
      <c r="F307" s="98">
        <f>IF(ISERROR(VLOOKUP(B307,'Estrutura Protheus'!A:A,1,FALSE)),"Não","Sim")</f>
        <v/>
      </c>
      <c r="G307" s="99">
        <f>IFERROR(INDEX(_Protheus_Cadastro!$H:$H,MATCH(B307,_Protheus_Cadastro!$A:$A,0)),"—")</f>
        <v/>
      </c>
      <c r="H307" s="211">
        <f>IFERROR(INDEX(_ZIG_Precos!$D:$D,MATCH(I307,_ZIG_Precos!$F:$F,0)),"—")</f>
        <v/>
      </c>
      <c r="I307" s="103">
        <f>IFERROR(VLOOKUP(B307,_Protheus_Cadastro!$A:$I,9,FALSE),"—")</f>
        <v/>
      </c>
      <c r="J307" s="101">
        <f>IFERROR(INDEX(_ZIG_Cadastro!$B:$B,MATCH(I307,_ZIG_Cadastro!$A:$A,0)),IFERROR(INDEX(_Entradas_ZIG!$B:$B,MATCH(I307,_Entradas_ZIG!$C:$C,0)),"—"))</f>
        <v/>
      </c>
      <c r="K307" s="101">
        <f>IFERROR(INDEX(_ZIG_Cadastro!$C:$C,MATCH(I307,_ZIG_Cadastro!$A:$A,0)),IFERROR(INDEX(_Entradas_ZIG!$D:$D,MATCH(I307,_Entradas_ZIG!$C:$C,0)),"—"))</f>
        <v/>
      </c>
      <c r="L307" s="99">
        <f>IF(I307="","Sem SKU ZIG",IF(I307="—","Sem SKU ZIG",IF(NOT(ISERROR(MATCH(I307,_ZIG_Cadastro!$A:$A,0))),IF(EXACT(UPPER(TRIM(C307)),UPPER(TRIM(INDEX(_ZIG_Cadastro!$B:$B,MATCH(I307,_ZIG_Cadastro!$A:$A,0))))),"OK","Atencao - Nome diverge"),IF(NOT(ISERROR(MATCH(I307,_Entradas_ZIG!$C:$C,0))),"OK","Erro - SKU nao encontrado"))))</f>
        <v/>
      </c>
      <c r="M307" s="99">
        <f>IFERROR(INDEX(_ZIG_Cadastro!$G:$G,MATCH(I307,_ZIG_Cadastro!$A:$A,0)),IF(NOT(ISERROR(MATCH(I307,_Entradas_ZIG!$C:$C,0))),"Ativo","—"))</f>
        <v/>
      </c>
      <c r="N307" s="102">
        <f>IFERROR(INDEX(_ZIG_Cadastro!$E:$E,MATCH(I307,_ZIG_Cadastro!$A:$A,0)),IFERROR(INDEX(_Entradas_ZIG!$F:$F,MATCH(I307,_Entradas_ZIG!$C:$C,0)),"—"))</f>
        <v/>
      </c>
      <c r="O307" s="99">
        <f>IF(AND(ISNUMBER(SEARCH("Espeto",N307)),ISNUMBER(SEARCH("Carin",N307))),"SIM","")</f>
        <v/>
      </c>
      <c r="P307" s="99">
        <f>IF(AND(ISNUMBER(SEARCH("Espeto",N307)),ISNUMBER(SEARCH("Lapa",N307))),"SIM","")</f>
        <v/>
      </c>
      <c r="Q307" s="99">
        <f>IF(AND(ISNUMBER(SEARCH("Espeto",N307)),ISNUMBER(SEARCH("Tatuapé",N307))),"SIM","")</f>
        <v/>
      </c>
      <c r="R307" s="99">
        <f>IF(AND(ISNUMBER(SEARCH("Espeto",N307)),ISNUMBER(SEARCH("Pavão",N307))),"SIM","")</f>
        <v/>
      </c>
      <c r="S307" s="99">
        <f>IF(AND(ISNUMBER(SEARCH("Espeto",N307)),ISNUMBER(SEARCH("Chac",N307))),"SIM","")</f>
        <v/>
      </c>
      <c r="T307" s="99">
        <f>IF(AND(ISNUMBER(SEARCH("Espeto",N307)),ISNUMBER(SEARCH("Madalena",N307))),"SIM","")</f>
        <v/>
      </c>
      <c r="U307" s="99">
        <f>IF(AND(ISNUMBER(SEARCH("Espeto",N307)),ISNUMBER(SEARCH("Mariana",N307))),"SIM","")</f>
        <v/>
      </c>
      <c r="V307" s="99">
        <f>IF(AND(ISNUMBER(SEARCH("Espeto",N307)),ISNUMBER(SEARCH("Perdizes",N307))),"SIM","")</f>
        <v/>
      </c>
      <c r="W307" s="99">
        <f>IF(AND(ISNUMBER(SEARCH("Espeto",N307)),ISNUMBER(SEARCH("Santana",N307))),"SIM","")</f>
        <v/>
      </c>
      <c r="X307" s="99">
        <f>IF(AND(ISNUMBER(SEARCH("Espeto",N307)),ISNUMBER(SEARCH("André",N307))),"SIM","")</f>
        <v/>
      </c>
      <c r="Y307" s="99">
        <f>IF(AND(ISNUMBER(SEARCH("Delivery",N307)),ISNUMBER(SEARCH("Carin",N307))),"SIM","")</f>
        <v/>
      </c>
      <c r="Z307" s="99">
        <f>IF(AND(ISNUMBER(SEARCH("Delivery",N307)),ISNUMBER(SEARCH("Lapa",N307))),"SIM","")</f>
        <v/>
      </c>
      <c r="AA307" s="99">
        <f>IF(AND(ISNUMBER(SEARCH("Delivery",N307)),ISNUMBER(SEARCH("Tatuapé",N307))),"SIM","")</f>
        <v/>
      </c>
      <c r="AB307" s="99">
        <f>IF(AND(ISNUMBER(SEARCH("Delivery",N307)),ISNUMBER(SEARCH("Pavão",N307))),"SIM","")</f>
        <v/>
      </c>
      <c r="AC307" s="99">
        <f>IF(AND(ISNUMBER(SEARCH("Delivery",N307)),ISNUMBER(SEARCH("Chac",N307))),"SIM","")</f>
        <v/>
      </c>
      <c r="AD307" s="99">
        <f>IF(AND(ISNUMBER(SEARCH("Delivery",N307)),ISNUMBER(SEARCH("Madalena",N307))),"SIM","")</f>
        <v/>
      </c>
      <c r="AE307" s="99">
        <f>IF(AND(ISNUMBER(SEARCH("Delivery",N307)),ISNUMBER(SEARCH("Mariana",N307))),"SIM","")</f>
        <v/>
      </c>
      <c r="AF307" s="99">
        <f>IF(AND(ISNUMBER(SEARCH("Delivery",N307)),ISNUMBER(SEARCH("Perdizes",N307))),"SIM","")</f>
        <v/>
      </c>
      <c r="AG307" s="99">
        <f>IF(AND(ISNUMBER(SEARCH("Delivery",N307)),ISNUMBER(SEARCH("Santana",N307))),"SIM","")</f>
        <v/>
      </c>
      <c r="AH307" s="99">
        <f>IF(AND(ISNUMBER(SEARCH("Delivery",N307)),ISNUMBER(SEARCH("André",N307))),"SIM","")</f>
        <v/>
      </c>
      <c r="AI307" s="99">
        <f>IF(ISNUMBER(SEARCH("Interlagos",N307)),"SIM","")</f>
        <v/>
      </c>
      <c r="AJ307" s="99">
        <f>IF(ISNUMBER(SEARCH("Quiosque",N307)),"SIM","")</f>
        <v/>
      </c>
      <c r="AK307" s="101" t="n"/>
    </row>
    <row r="308">
      <c r="A308" s="88" t="inlineStr">
        <is>
          <t>Protheus</t>
        </is>
      </c>
      <c r="B308" s="89" t="inlineStr">
        <is>
          <t>001490</t>
        </is>
      </c>
      <c r="C308" s="90">
        <f>IF(B308="—","—",IFERROR(VLOOKUP(B308,_Protheus_Cadastro!$A:$B,2,FALSE),"—"))</f>
        <v/>
      </c>
      <c r="D308" s="91">
        <f>IF(B308="—",IFERROR(INDEX(_ZIG_Cadastro!$D:$D,MATCH(H308,_ZIG_Cadastro!$A:$A,0)),"Produto"),IFERROR(VLOOKUP(B308,_Protheus_Cadastro!$A:$C,3,FALSE),"—"))</f>
        <v/>
      </c>
      <c r="E308" s="91">
        <f>IF(B308="—","—",IFERROR(VLOOKUP(B308,_Protheus_Cadastro!$A:$D,4,FALSE),"—"))</f>
        <v/>
      </c>
      <c r="F308" s="91">
        <f>IF(ISERROR(VLOOKUP(B308,'Estrutura Protheus'!A:A,1,FALSE)),"Não","Sim")</f>
        <v/>
      </c>
      <c r="G308" s="92">
        <f>IFERROR(INDEX(_Protheus_Cadastro!$H:$H,MATCH(B308,_Protheus_Cadastro!$A:$A,0)),"—")</f>
        <v/>
      </c>
      <c r="H308" s="210">
        <f>IFERROR(INDEX(_ZIG_Precos!$D:$D,MATCH(I308,_ZIG_Precos!$F:$F,0)),"—")</f>
        <v/>
      </c>
      <c r="I308" s="95">
        <f>IFERROR(VLOOKUP(B308,_Protheus_Cadastro!$A:$I,9,FALSE),"—")</f>
        <v/>
      </c>
      <c r="J308" s="93">
        <f>IFERROR(INDEX(_ZIG_Cadastro!$B:$B,MATCH(I308,_ZIG_Cadastro!$A:$A,0)),IFERROR(INDEX(_Entradas_ZIG!$B:$B,MATCH(I308,_Entradas_ZIG!$C:$C,0)),"—"))</f>
        <v/>
      </c>
      <c r="K308" s="93">
        <f>IFERROR(INDEX(_ZIG_Cadastro!$C:$C,MATCH(I308,_ZIG_Cadastro!$A:$A,0)),IFERROR(INDEX(_Entradas_ZIG!$D:$D,MATCH(I308,_Entradas_ZIG!$C:$C,0)),"—"))</f>
        <v/>
      </c>
      <c r="L308" s="92">
        <f>IF(I308="","Sem SKU ZIG",IF(I308="—","Sem SKU ZIG",IF(NOT(ISERROR(MATCH(I308,_ZIG_Cadastro!$A:$A,0))),IF(EXACT(UPPER(TRIM(C308)),UPPER(TRIM(INDEX(_ZIG_Cadastro!$B:$B,MATCH(I308,_ZIG_Cadastro!$A:$A,0))))),"OK","Atencao - Nome diverge"),IF(NOT(ISERROR(MATCH(I308,_Entradas_ZIG!$C:$C,0))),"OK","Erro - SKU nao encontrado"))))</f>
        <v/>
      </c>
      <c r="M308" s="92">
        <f>IFERROR(INDEX(_ZIG_Cadastro!$G:$G,MATCH(I308,_ZIG_Cadastro!$A:$A,0)),IF(NOT(ISERROR(MATCH(I308,_Entradas_ZIG!$C:$C,0))),"Ativo","—"))</f>
        <v/>
      </c>
      <c r="N308" s="94">
        <f>IFERROR(INDEX(_ZIG_Cadastro!$E:$E,MATCH(I308,_ZIG_Cadastro!$A:$A,0)),IFERROR(INDEX(_Entradas_ZIG!$F:$F,MATCH(I308,_Entradas_ZIG!$C:$C,0)),"—"))</f>
        <v/>
      </c>
      <c r="O308" s="92">
        <f>IF(AND(ISNUMBER(SEARCH("Espeto",N308)),ISNUMBER(SEARCH("Carin",N308))),"SIM","")</f>
        <v/>
      </c>
      <c r="P308" s="92">
        <f>IF(AND(ISNUMBER(SEARCH("Espeto",N308)),ISNUMBER(SEARCH("Lapa",N308))),"SIM","")</f>
        <v/>
      </c>
      <c r="Q308" s="92">
        <f>IF(AND(ISNUMBER(SEARCH("Espeto",N308)),ISNUMBER(SEARCH("Tatuapé",N308))),"SIM","")</f>
        <v/>
      </c>
      <c r="R308" s="92">
        <f>IF(AND(ISNUMBER(SEARCH("Espeto",N308)),ISNUMBER(SEARCH("Pavão",N308))),"SIM","")</f>
        <v/>
      </c>
      <c r="S308" s="92">
        <f>IF(AND(ISNUMBER(SEARCH("Espeto",N308)),ISNUMBER(SEARCH("Chac",N308))),"SIM","")</f>
        <v/>
      </c>
      <c r="T308" s="92">
        <f>IF(AND(ISNUMBER(SEARCH("Espeto",N308)),ISNUMBER(SEARCH("Madalena",N308))),"SIM","")</f>
        <v/>
      </c>
      <c r="U308" s="92">
        <f>IF(AND(ISNUMBER(SEARCH("Espeto",N308)),ISNUMBER(SEARCH("Mariana",N308))),"SIM","")</f>
        <v/>
      </c>
      <c r="V308" s="92">
        <f>IF(AND(ISNUMBER(SEARCH("Espeto",N308)),ISNUMBER(SEARCH("Perdizes",N308))),"SIM","")</f>
        <v/>
      </c>
      <c r="W308" s="92">
        <f>IF(AND(ISNUMBER(SEARCH("Espeto",N308)),ISNUMBER(SEARCH("Santana",N308))),"SIM","")</f>
        <v/>
      </c>
      <c r="X308" s="92">
        <f>IF(AND(ISNUMBER(SEARCH("Espeto",N308)),ISNUMBER(SEARCH("André",N308))),"SIM","")</f>
        <v/>
      </c>
      <c r="Y308" s="92">
        <f>IF(AND(ISNUMBER(SEARCH("Delivery",N308)),ISNUMBER(SEARCH("Carin",N308))),"SIM","")</f>
        <v/>
      </c>
      <c r="Z308" s="92">
        <f>IF(AND(ISNUMBER(SEARCH("Delivery",N308)),ISNUMBER(SEARCH("Lapa",N308))),"SIM","")</f>
        <v/>
      </c>
      <c r="AA308" s="92">
        <f>IF(AND(ISNUMBER(SEARCH("Delivery",N308)),ISNUMBER(SEARCH("Tatuapé",N308))),"SIM","")</f>
        <v/>
      </c>
      <c r="AB308" s="92">
        <f>IF(AND(ISNUMBER(SEARCH("Delivery",N308)),ISNUMBER(SEARCH("Pavão",N308))),"SIM","")</f>
        <v/>
      </c>
      <c r="AC308" s="92">
        <f>IF(AND(ISNUMBER(SEARCH("Delivery",N308)),ISNUMBER(SEARCH("Chac",N308))),"SIM","")</f>
        <v/>
      </c>
      <c r="AD308" s="92">
        <f>IF(AND(ISNUMBER(SEARCH("Delivery",N308)),ISNUMBER(SEARCH("Madalena",N308))),"SIM","")</f>
        <v/>
      </c>
      <c r="AE308" s="92">
        <f>IF(AND(ISNUMBER(SEARCH("Delivery",N308)),ISNUMBER(SEARCH("Mariana",N308))),"SIM","")</f>
        <v/>
      </c>
      <c r="AF308" s="92">
        <f>IF(AND(ISNUMBER(SEARCH("Delivery",N308)),ISNUMBER(SEARCH("Perdizes",N308))),"SIM","")</f>
        <v/>
      </c>
      <c r="AG308" s="92">
        <f>IF(AND(ISNUMBER(SEARCH("Delivery",N308)),ISNUMBER(SEARCH("Santana",N308))),"SIM","")</f>
        <v/>
      </c>
      <c r="AH308" s="92">
        <f>IF(AND(ISNUMBER(SEARCH("Delivery",N308)),ISNUMBER(SEARCH("André",N308))),"SIM","")</f>
        <v/>
      </c>
      <c r="AI308" s="92">
        <f>IF(ISNUMBER(SEARCH("Interlagos",N308)),"SIM","")</f>
        <v/>
      </c>
      <c r="AJ308" s="92">
        <f>IF(ISNUMBER(SEARCH("Quiosque",N308)),"SIM","")</f>
        <v/>
      </c>
      <c r="AK308" s="93" t="n"/>
    </row>
    <row r="309">
      <c r="A309" s="88" t="inlineStr">
        <is>
          <t>Protheus</t>
        </is>
      </c>
      <c r="B309" s="96" t="inlineStr">
        <is>
          <t>009997</t>
        </is>
      </c>
      <c r="C309" s="97">
        <f>IF(B309="—","—",IFERROR(VLOOKUP(B309,_Protheus_Cadastro!$A:$B,2,FALSE),"—"))</f>
        <v/>
      </c>
      <c r="D309" s="98">
        <f>IF(B309="—",IFERROR(INDEX(_ZIG_Cadastro!$D:$D,MATCH(H309,_ZIG_Cadastro!$A:$A,0)),"Produto"),IFERROR(VLOOKUP(B309,_Protheus_Cadastro!$A:$C,3,FALSE),"—"))</f>
        <v/>
      </c>
      <c r="E309" s="98">
        <f>IF(B309="—","—",IFERROR(VLOOKUP(B309,_Protheus_Cadastro!$A:$D,4,FALSE),"—"))</f>
        <v/>
      </c>
      <c r="F309" s="98">
        <f>IF(ISERROR(VLOOKUP(B309,'Estrutura Protheus'!A:A,1,FALSE)),"Não","Sim")</f>
        <v/>
      </c>
      <c r="G309" s="99">
        <f>IFERROR(INDEX(_Protheus_Cadastro!$H:$H,MATCH(B309,_Protheus_Cadastro!$A:$A,0)),"—")</f>
        <v/>
      </c>
      <c r="H309" s="211">
        <f>IFERROR(INDEX(_ZIG_Precos!$D:$D,MATCH(I309,_ZIG_Precos!$F:$F,0)),"—")</f>
        <v/>
      </c>
      <c r="I309" s="103">
        <f>IFERROR(VLOOKUP(B309,_Protheus_Cadastro!$A:$I,9,FALSE),"—")</f>
        <v/>
      </c>
      <c r="J309" s="101">
        <f>IFERROR(INDEX(_ZIG_Cadastro!$B:$B,MATCH(I309,_ZIG_Cadastro!$A:$A,0)),IFERROR(INDEX(_Entradas_ZIG!$B:$B,MATCH(I309,_Entradas_ZIG!$C:$C,0)),"—"))</f>
        <v/>
      </c>
      <c r="K309" s="101">
        <f>IFERROR(INDEX(_ZIG_Cadastro!$C:$C,MATCH(I309,_ZIG_Cadastro!$A:$A,0)),IFERROR(INDEX(_Entradas_ZIG!$D:$D,MATCH(I309,_Entradas_ZIG!$C:$C,0)),"—"))</f>
        <v/>
      </c>
      <c r="L309" s="99">
        <f>IF(I309="","Sem SKU ZIG",IF(I309="—","Sem SKU ZIG",IF(NOT(ISERROR(MATCH(I309,_ZIG_Cadastro!$A:$A,0))),IF(EXACT(UPPER(TRIM(C309)),UPPER(TRIM(INDEX(_ZIG_Cadastro!$B:$B,MATCH(I309,_ZIG_Cadastro!$A:$A,0))))),"OK","Atencao - Nome diverge"),IF(NOT(ISERROR(MATCH(I309,_Entradas_ZIG!$C:$C,0))),"OK","Erro - SKU nao encontrado"))))</f>
        <v/>
      </c>
      <c r="M309" s="99">
        <f>IFERROR(INDEX(_ZIG_Cadastro!$G:$G,MATCH(I309,_ZIG_Cadastro!$A:$A,0)),IF(NOT(ISERROR(MATCH(I309,_Entradas_ZIG!$C:$C,0))),"Ativo","—"))</f>
        <v/>
      </c>
      <c r="N309" s="102">
        <f>IFERROR(INDEX(_ZIG_Cadastro!$E:$E,MATCH(I309,_ZIG_Cadastro!$A:$A,0)),IFERROR(INDEX(_Entradas_ZIG!$F:$F,MATCH(I309,_Entradas_ZIG!$C:$C,0)),"—"))</f>
        <v/>
      </c>
      <c r="O309" s="99">
        <f>IF(AND(ISNUMBER(SEARCH("Espeto",N309)),ISNUMBER(SEARCH("Carin",N309))),"SIM","")</f>
        <v/>
      </c>
      <c r="P309" s="99">
        <f>IF(AND(ISNUMBER(SEARCH("Espeto",N309)),ISNUMBER(SEARCH("Lapa",N309))),"SIM","")</f>
        <v/>
      </c>
      <c r="Q309" s="99">
        <f>IF(AND(ISNUMBER(SEARCH("Espeto",N309)),ISNUMBER(SEARCH("Tatuapé",N309))),"SIM","")</f>
        <v/>
      </c>
      <c r="R309" s="99">
        <f>IF(AND(ISNUMBER(SEARCH("Espeto",N309)),ISNUMBER(SEARCH("Pavão",N309))),"SIM","")</f>
        <v/>
      </c>
      <c r="S309" s="99">
        <f>IF(AND(ISNUMBER(SEARCH("Espeto",N309)),ISNUMBER(SEARCH("Chac",N309))),"SIM","")</f>
        <v/>
      </c>
      <c r="T309" s="99">
        <f>IF(AND(ISNUMBER(SEARCH("Espeto",N309)),ISNUMBER(SEARCH("Madalena",N309))),"SIM","")</f>
        <v/>
      </c>
      <c r="U309" s="99">
        <f>IF(AND(ISNUMBER(SEARCH("Espeto",N309)),ISNUMBER(SEARCH("Mariana",N309))),"SIM","")</f>
        <v/>
      </c>
      <c r="V309" s="99">
        <f>IF(AND(ISNUMBER(SEARCH("Espeto",N309)),ISNUMBER(SEARCH("Perdizes",N309))),"SIM","")</f>
        <v/>
      </c>
      <c r="W309" s="99">
        <f>IF(AND(ISNUMBER(SEARCH("Espeto",N309)),ISNUMBER(SEARCH("Santana",N309))),"SIM","")</f>
        <v/>
      </c>
      <c r="X309" s="99">
        <f>IF(AND(ISNUMBER(SEARCH("Espeto",N309)),ISNUMBER(SEARCH("André",N309))),"SIM","")</f>
        <v/>
      </c>
      <c r="Y309" s="99">
        <f>IF(AND(ISNUMBER(SEARCH("Delivery",N309)),ISNUMBER(SEARCH("Carin",N309))),"SIM","")</f>
        <v/>
      </c>
      <c r="Z309" s="99">
        <f>IF(AND(ISNUMBER(SEARCH("Delivery",N309)),ISNUMBER(SEARCH("Lapa",N309))),"SIM","")</f>
        <v/>
      </c>
      <c r="AA309" s="99">
        <f>IF(AND(ISNUMBER(SEARCH("Delivery",N309)),ISNUMBER(SEARCH("Tatuapé",N309))),"SIM","")</f>
        <v/>
      </c>
      <c r="AB309" s="99">
        <f>IF(AND(ISNUMBER(SEARCH("Delivery",N309)),ISNUMBER(SEARCH("Pavão",N309))),"SIM","")</f>
        <v/>
      </c>
      <c r="AC309" s="99">
        <f>IF(AND(ISNUMBER(SEARCH("Delivery",N309)),ISNUMBER(SEARCH("Chac",N309))),"SIM","")</f>
        <v/>
      </c>
      <c r="AD309" s="99">
        <f>IF(AND(ISNUMBER(SEARCH("Delivery",N309)),ISNUMBER(SEARCH("Madalena",N309))),"SIM","")</f>
        <v/>
      </c>
      <c r="AE309" s="99">
        <f>IF(AND(ISNUMBER(SEARCH("Delivery",N309)),ISNUMBER(SEARCH("Mariana",N309))),"SIM","")</f>
        <v/>
      </c>
      <c r="AF309" s="99">
        <f>IF(AND(ISNUMBER(SEARCH("Delivery",N309)),ISNUMBER(SEARCH("Perdizes",N309))),"SIM","")</f>
        <v/>
      </c>
      <c r="AG309" s="99">
        <f>IF(AND(ISNUMBER(SEARCH("Delivery",N309)),ISNUMBER(SEARCH("Santana",N309))),"SIM","")</f>
        <v/>
      </c>
      <c r="AH309" s="99">
        <f>IF(AND(ISNUMBER(SEARCH("Delivery",N309)),ISNUMBER(SEARCH("André",N309))),"SIM","")</f>
        <v/>
      </c>
      <c r="AI309" s="99">
        <f>IF(ISNUMBER(SEARCH("Interlagos",N309)),"SIM","")</f>
        <v/>
      </c>
      <c r="AJ309" s="99">
        <f>IF(ISNUMBER(SEARCH("Quiosque",N309)),"SIM","")</f>
        <v/>
      </c>
      <c r="AK309" s="101" t="n"/>
    </row>
    <row r="310">
      <c r="A310" s="88" t="inlineStr">
        <is>
          <t>Protheus</t>
        </is>
      </c>
      <c r="B310" s="89" t="inlineStr">
        <is>
          <t>010037</t>
        </is>
      </c>
      <c r="C310" s="90">
        <f>IF(B310="—","—",IFERROR(VLOOKUP(B310,_Protheus_Cadastro!$A:$B,2,FALSE),"—"))</f>
        <v/>
      </c>
      <c r="D310" s="91">
        <f>IF(B310="—",IFERROR(INDEX(_ZIG_Cadastro!$D:$D,MATCH(H310,_ZIG_Cadastro!$A:$A,0)),"Produto"),IFERROR(VLOOKUP(B310,_Protheus_Cadastro!$A:$C,3,FALSE),"—"))</f>
        <v/>
      </c>
      <c r="E310" s="91">
        <f>IF(B310="—","—",IFERROR(VLOOKUP(B310,_Protheus_Cadastro!$A:$D,4,FALSE),"—"))</f>
        <v/>
      </c>
      <c r="F310" s="91">
        <f>IF(ISERROR(VLOOKUP(B310,'Estrutura Protheus'!A:A,1,FALSE)),"Não","Sim")</f>
        <v/>
      </c>
      <c r="G310" s="92">
        <f>IFERROR(INDEX(_Protheus_Cadastro!$H:$H,MATCH(B310,_Protheus_Cadastro!$A:$A,0)),"—")</f>
        <v/>
      </c>
      <c r="H310" s="210">
        <f>IFERROR(INDEX(_ZIG_Precos!$D:$D,MATCH(I310,_ZIG_Precos!$F:$F,0)),"—")</f>
        <v/>
      </c>
      <c r="I310" s="95">
        <f>IFERROR(VLOOKUP(B310,_Protheus_Cadastro!$A:$I,9,FALSE),"—")</f>
        <v/>
      </c>
      <c r="J310" s="93">
        <f>IFERROR(INDEX(_ZIG_Cadastro!$B:$B,MATCH(I310,_ZIG_Cadastro!$A:$A,0)),IFERROR(INDEX(_Entradas_ZIG!$B:$B,MATCH(I310,_Entradas_ZIG!$C:$C,0)),"—"))</f>
        <v/>
      </c>
      <c r="K310" s="93">
        <f>IFERROR(INDEX(_ZIG_Cadastro!$C:$C,MATCH(I310,_ZIG_Cadastro!$A:$A,0)),IFERROR(INDEX(_Entradas_ZIG!$D:$D,MATCH(I310,_Entradas_ZIG!$C:$C,0)),"—"))</f>
        <v/>
      </c>
      <c r="L310" s="92">
        <f>IF(I310="","Sem SKU ZIG",IF(I310="—","Sem SKU ZIG",IF(NOT(ISERROR(MATCH(I310,_ZIG_Cadastro!$A:$A,0))),IF(EXACT(UPPER(TRIM(C310)),UPPER(TRIM(INDEX(_ZIG_Cadastro!$B:$B,MATCH(I310,_ZIG_Cadastro!$A:$A,0))))),"OK","Atencao - Nome diverge"),IF(NOT(ISERROR(MATCH(I310,_Entradas_ZIG!$C:$C,0))),"OK","Erro - SKU nao encontrado"))))</f>
        <v/>
      </c>
      <c r="M310" s="92">
        <f>IFERROR(INDEX(_ZIG_Cadastro!$G:$G,MATCH(I310,_ZIG_Cadastro!$A:$A,0)),IF(NOT(ISERROR(MATCH(I310,_Entradas_ZIG!$C:$C,0))),"Ativo","—"))</f>
        <v/>
      </c>
      <c r="N310" s="94">
        <f>IFERROR(INDEX(_ZIG_Cadastro!$E:$E,MATCH(I310,_ZIG_Cadastro!$A:$A,0)),IFERROR(INDEX(_Entradas_ZIG!$F:$F,MATCH(I310,_Entradas_ZIG!$C:$C,0)),"—"))</f>
        <v/>
      </c>
      <c r="O310" s="92">
        <f>IF(AND(ISNUMBER(SEARCH("Espeto",N310)),ISNUMBER(SEARCH("Carin",N310))),"SIM","")</f>
        <v/>
      </c>
      <c r="P310" s="92">
        <f>IF(AND(ISNUMBER(SEARCH("Espeto",N310)),ISNUMBER(SEARCH("Lapa",N310))),"SIM","")</f>
        <v/>
      </c>
      <c r="Q310" s="92">
        <f>IF(AND(ISNUMBER(SEARCH("Espeto",N310)),ISNUMBER(SEARCH("Tatuapé",N310))),"SIM","")</f>
        <v/>
      </c>
      <c r="R310" s="92">
        <f>IF(AND(ISNUMBER(SEARCH("Espeto",N310)),ISNUMBER(SEARCH("Pavão",N310))),"SIM","")</f>
        <v/>
      </c>
      <c r="S310" s="92">
        <f>IF(AND(ISNUMBER(SEARCH("Espeto",N310)),ISNUMBER(SEARCH("Chac",N310))),"SIM","")</f>
        <v/>
      </c>
      <c r="T310" s="92">
        <f>IF(AND(ISNUMBER(SEARCH("Espeto",N310)),ISNUMBER(SEARCH("Madalena",N310))),"SIM","")</f>
        <v/>
      </c>
      <c r="U310" s="92">
        <f>IF(AND(ISNUMBER(SEARCH("Espeto",N310)),ISNUMBER(SEARCH("Mariana",N310))),"SIM","")</f>
        <v/>
      </c>
      <c r="V310" s="92">
        <f>IF(AND(ISNUMBER(SEARCH("Espeto",N310)),ISNUMBER(SEARCH("Perdizes",N310))),"SIM","")</f>
        <v/>
      </c>
      <c r="W310" s="92">
        <f>IF(AND(ISNUMBER(SEARCH("Espeto",N310)),ISNUMBER(SEARCH("Santana",N310))),"SIM","")</f>
        <v/>
      </c>
      <c r="X310" s="92">
        <f>IF(AND(ISNUMBER(SEARCH("Espeto",N310)),ISNUMBER(SEARCH("André",N310))),"SIM","")</f>
        <v/>
      </c>
      <c r="Y310" s="92">
        <f>IF(AND(ISNUMBER(SEARCH("Delivery",N310)),ISNUMBER(SEARCH("Carin",N310))),"SIM","")</f>
        <v/>
      </c>
      <c r="Z310" s="92">
        <f>IF(AND(ISNUMBER(SEARCH("Delivery",N310)),ISNUMBER(SEARCH("Lapa",N310))),"SIM","")</f>
        <v/>
      </c>
      <c r="AA310" s="92">
        <f>IF(AND(ISNUMBER(SEARCH("Delivery",N310)),ISNUMBER(SEARCH("Tatuapé",N310))),"SIM","")</f>
        <v/>
      </c>
      <c r="AB310" s="92">
        <f>IF(AND(ISNUMBER(SEARCH("Delivery",N310)),ISNUMBER(SEARCH("Pavão",N310))),"SIM","")</f>
        <v/>
      </c>
      <c r="AC310" s="92">
        <f>IF(AND(ISNUMBER(SEARCH("Delivery",N310)),ISNUMBER(SEARCH("Chac",N310))),"SIM","")</f>
        <v/>
      </c>
      <c r="AD310" s="92">
        <f>IF(AND(ISNUMBER(SEARCH("Delivery",N310)),ISNUMBER(SEARCH("Madalena",N310))),"SIM","")</f>
        <v/>
      </c>
      <c r="AE310" s="92">
        <f>IF(AND(ISNUMBER(SEARCH("Delivery",N310)),ISNUMBER(SEARCH("Mariana",N310))),"SIM","")</f>
        <v/>
      </c>
      <c r="AF310" s="92">
        <f>IF(AND(ISNUMBER(SEARCH("Delivery",N310)),ISNUMBER(SEARCH("Perdizes",N310))),"SIM","")</f>
        <v/>
      </c>
      <c r="AG310" s="92">
        <f>IF(AND(ISNUMBER(SEARCH("Delivery",N310)),ISNUMBER(SEARCH("Santana",N310))),"SIM","")</f>
        <v/>
      </c>
      <c r="AH310" s="92">
        <f>IF(AND(ISNUMBER(SEARCH("Delivery",N310)),ISNUMBER(SEARCH("André",N310))),"SIM","")</f>
        <v/>
      </c>
      <c r="AI310" s="92">
        <f>IF(ISNUMBER(SEARCH("Interlagos",N310)),"SIM","")</f>
        <v/>
      </c>
      <c r="AJ310" s="92">
        <f>IF(ISNUMBER(SEARCH("Quiosque",N310)),"SIM","")</f>
        <v/>
      </c>
      <c r="AK310" s="93" t="n"/>
    </row>
    <row r="311">
      <c r="A311" s="88" t="inlineStr">
        <is>
          <t>Protheus</t>
        </is>
      </c>
      <c r="B311" s="96" t="inlineStr">
        <is>
          <t>010038</t>
        </is>
      </c>
      <c r="C311" s="97">
        <f>IF(B311="—","—",IFERROR(VLOOKUP(B311,_Protheus_Cadastro!$A:$B,2,FALSE),"—"))</f>
        <v/>
      </c>
      <c r="D311" s="98">
        <f>IF(B311="—",IFERROR(INDEX(_ZIG_Cadastro!$D:$D,MATCH(H311,_ZIG_Cadastro!$A:$A,0)),"Produto"),IFERROR(VLOOKUP(B311,_Protheus_Cadastro!$A:$C,3,FALSE),"—"))</f>
        <v/>
      </c>
      <c r="E311" s="98">
        <f>IF(B311="—","—",IFERROR(VLOOKUP(B311,_Protheus_Cadastro!$A:$D,4,FALSE),"—"))</f>
        <v/>
      </c>
      <c r="F311" s="98">
        <f>IF(ISERROR(VLOOKUP(B311,'Estrutura Protheus'!A:A,1,FALSE)),"Não","Sim")</f>
        <v/>
      </c>
      <c r="G311" s="99">
        <f>IFERROR(INDEX(_Protheus_Cadastro!$H:$H,MATCH(B311,_Protheus_Cadastro!$A:$A,0)),"—")</f>
        <v/>
      </c>
      <c r="H311" s="211">
        <f>IFERROR(INDEX(_ZIG_Precos!$D:$D,MATCH(I311,_ZIG_Precos!$F:$F,0)),"—")</f>
        <v/>
      </c>
      <c r="I311" s="103">
        <f>IFERROR(VLOOKUP(B311,_Protheus_Cadastro!$A:$I,9,FALSE),"—")</f>
        <v/>
      </c>
      <c r="J311" s="101">
        <f>IFERROR(INDEX(_ZIG_Cadastro!$B:$B,MATCH(I311,_ZIG_Cadastro!$A:$A,0)),IFERROR(INDEX(_Entradas_ZIG!$B:$B,MATCH(I311,_Entradas_ZIG!$C:$C,0)),"—"))</f>
        <v/>
      </c>
      <c r="K311" s="101">
        <f>IFERROR(INDEX(_ZIG_Cadastro!$C:$C,MATCH(I311,_ZIG_Cadastro!$A:$A,0)),IFERROR(INDEX(_Entradas_ZIG!$D:$D,MATCH(I311,_Entradas_ZIG!$C:$C,0)),"—"))</f>
        <v/>
      </c>
      <c r="L311" s="99">
        <f>IF(I311="","Sem SKU ZIG",IF(I311="—","Sem SKU ZIG",IF(NOT(ISERROR(MATCH(I311,_ZIG_Cadastro!$A:$A,0))),IF(EXACT(UPPER(TRIM(C311)),UPPER(TRIM(INDEX(_ZIG_Cadastro!$B:$B,MATCH(I311,_ZIG_Cadastro!$A:$A,0))))),"OK","Atencao - Nome diverge"),IF(NOT(ISERROR(MATCH(I311,_Entradas_ZIG!$C:$C,0))),"OK","Erro - SKU nao encontrado"))))</f>
        <v/>
      </c>
      <c r="M311" s="99">
        <f>IFERROR(INDEX(_ZIG_Cadastro!$G:$G,MATCH(I311,_ZIG_Cadastro!$A:$A,0)),IF(NOT(ISERROR(MATCH(I311,_Entradas_ZIG!$C:$C,0))),"Ativo","—"))</f>
        <v/>
      </c>
      <c r="N311" s="102">
        <f>IFERROR(INDEX(_ZIG_Cadastro!$E:$E,MATCH(I311,_ZIG_Cadastro!$A:$A,0)),IFERROR(INDEX(_Entradas_ZIG!$F:$F,MATCH(I311,_Entradas_ZIG!$C:$C,0)),"—"))</f>
        <v/>
      </c>
      <c r="O311" s="99">
        <f>IF(AND(ISNUMBER(SEARCH("Espeto",N311)),ISNUMBER(SEARCH("Carin",N311))),"SIM","")</f>
        <v/>
      </c>
      <c r="P311" s="99">
        <f>IF(AND(ISNUMBER(SEARCH("Espeto",N311)),ISNUMBER(SEARCH("Lapa",N311))),"SIM","")</f>
        <v/>
      </c>
      <c r="Q311" s="99">
        <f>IF(AND(ISNUMBER(SEARCH("Espeto",N311)),ISNUMBER(SEARCH("Tatuapé",N311))),"SIM","")</f>
        <v/>
      </c>
      <c r="R311" s="99">
        <f>IF(AND(ISNUMBER(SEARCH("Espeto",N311)),ISNUMBER(SEARCH("Pavão",N311))),"SIM","")</f>
        <v/>
      </c>
      <c r="S311" s="99">
        <f>IF(AND(ISNUMBER(SEARCH("Espeto",N311)),ISNUMBER(SEARCH("Chac",N311))),"SIM","")</f>
        <v/>
      </c>
      <c r="T311" s="99">
        <f>IF(AND(ISNUMBER(SEARCH("Espeto",N311)),ISNUMBER(SEARCH("Madalena",N311))),"SIM","")</f>
        <v/>
      </c>
      <c r="U311" s="99">
        <f>IF(AND(ISNUMBER(SEARCH("Espeto",N311)),ISNUMBER(SEARCH("Mariana",N311))),"SIM","")</f>
        <v/>
      </c>
      <c r="V311" s="99">
        <f>IF(AND(ISNUMBER(SEARCH("Espeto",N311)),ISNUMBER(SEARCH("Perdizes",N311))),"SIM","")</f>
        <v/>
      </c>
      <c r="W311" s="99">
        <f>IF(AND(ISNUMBER(SEARCH("Espeto",N311)),ISNUMBER(SEARCH("Santana",N311))),"SIM","")</f>
        <v/>
      </c>
      <c r="X311" s="99">
        <f>IF(AND(ISNUMBER(SEARCH("Espeto",N311)),ISNUMBER(SEARCH("André",N311))),"SIM","")</f>
        <v/>
      </c>
      <c r="Y311" s="99">
        <f>IF(AND(ISNUMBER(SEARCH("Delivery",N311)),ISNUMBER(SEARCH("Carin",N311))),"SIM","")</f>
        <v/>
      </c>
      <c r="Z311" s="99">
        <f>IF(AND(ISNUMBER(SEARCH("Delivery",N311)),ISNUMBER(SEARCH("Lapa",N311))),"SIM","")</f>
        <v/>
      </c>
      <c r="AA311" s="99">
        <f>IF(AND(ISNUMBER(SEARCH("Delivery",N311)),ISNUMBER(SEARCH("Tatuapé",N311))),"SIM","")</f>
        <v/>
      </c>
      <c r="AB311" s="99">
        <f>IF(AND(ISNUMBER(SEARCH("Delivery",N311)),ISNUMBER(SEARCH("Pavão",N311))),"SIM","")</f>
        <v/>
      </c>
      <c r="AC311" s="99">
        <f>IF(AND(ISNUMBER(SEARCH("Delivery",N311)),ISNUMBER(SEARCH("Chac",N311))),"SIM","")</f>
        <v/>
      </c>
      <c r="AD311" s="99">
        <f>IF(AND(ISNUMBER(SEARCH("Delivery",N311)),ISNUMBER(SEARCH("Madalena",N311))),"SIM","")</f>
        <v/>
      </c>
      <c r="AE311" s="99">
        <f>IF(AND(ISNUMBER(SEARCH("Delivery",N311)),ISNUMBER(SEARCH("Mariana",N311))),"SIM","")</f>
        <v/>
      </c>
      <c r="AF311" s="99">
        <f>IF(AND(ISNUMBER(SEARCH("Delivery",N311)),ISNUMBER(SEARCH("Perdizes",N311))),"SIM","")</f>
        <v/>
      </c>
      <c r="AG311" s="99">
        <f>IF(AND(ISNUMBER(SEARCH("Delivery",N311)),ISNUMBER(SEARCH("Santana",N311))),"SIM","")</f>
        <v/>
      </c>
      <c r="AH311" s="99">
        <f>IF(AND(ISNUMBER(SEARCH("Delivery",N311)),ISNUMBER(SEARCH("André",N311))),"SIM","")</f>
        <v/>
      </c>
      <c r="AI311" s="99">
        <f>IF(ISNUMBER(SEARCH("Interlagos",N311)),"SIM","")</f>
        <v/>
      </c>
      <c r="AJ311" s="99">
        <f>IF(ISNUMBER(SEARCH("Quiosque",N311)),"SIM","")</f>
        <v/>
      </c>
      <c r="AK311" s="101" t="n"/>
    </row>
    <row r="312">
      <c r="A312" s="88" t="inlineStr">
        <is>
          <t>Protheus</t>
        </is>
      </c>
      <c r="B312" s="89" t="inlineStr">
        <is>
          <t>010048</t>
        </is>
      </c>
      <c r="C312" s="90">
        <f>IF(B312="—","—",IFERROR(VLOOKUP(B312,_Protheus_Cadastro!$A:$B,2,FALSE),"—"))</f>
        <v/>
      </c>
      <c r="D312" s="91">
        <f>IF(B312="—",IFERROR(INDEX(_ZIG_Cadastro!$D:$D,MATCH(H312,_ZIG_Cadastro!$A:$A,0)),"Produto"),IFERROR(VLOOKUP(B312,_Protheus_Cadastro!$A:$C,3,FALSE),"—"))</f>
        <v/>
      </c>
      <c r="E312" s="91">
        <f>IF(B312="—","—",IFERROR(VLOOKUP(B312,_Protheus_Cadastro!$A:$D,4,FALSE),"—"))</f>
        <v/>
      </c>
      <c r="F312" s="91">
        <f>IF(ISERROR(VLOOKUP(B312,'Estrutura Protheus'!A:A,1,FALSE)),"Não","Sim")</f>
        <v/>
      </c>
      <c r="G312" s="92">
        <f>IFERROR(INDEX(_Protheus_Cadastro!$H:$H,MATCH(B312,_Protheus_Cadastro!$A:$A,0)),"—")</f>
        <v/>
      </c>
      <c r="H312" s="210">
        <f>IFERROR(INDEX(_ZIG_Precos!$D:$D,MATCH(I312,_ZIG_Precos!$F:$F,0)),"—")</f>
        <v/>
      </c>
      <c r="I312" s="95">
        <f>IFERROR(VLOOKUP(B312,_Protheus_Cadastro!$A:$I,9,FALSE),"—")</f>
        <v/>
      </c>
      <c r="J312" s="93">
        <f>IFERROR(INDEX(_ZIG_Cadastro!$B:$B,MATCH(I312,_ZIG_Cadastro!$A:$A,0)),IFERROR(INDEX(_Entradas_ZIG!$B:$B,MATCH(I312,_Entradas_ZIG!$C:$C,0)),"—"))</f>
        <v/>
      </c>
      <c r="K312" s="93">
        <f>IFERROR(INDEX(_ZIG_Cadastro!$C:$C,MATCH(I312,_ZIG_Cadastro!$A:$A,0)),IFERROR(INDEX(_Entradas_ZIG!$D:$D,MATCH(I312,_Entradas_ZIG!$C:$C,0)),"—"))</f>
        <v/>
      </c>
      <c r="L312" s="92">
        <f>IF(I312="","Sem SKU ZIG",IF(I312="—","Sem SKU ZIG",IF(NOT(ISERROR(MATCH(I312,_ZIG_Cadastro!$A:$A,0))),IF(EXACT(UPPER(TRIM(C312)),UPPER(TRIM(INDEX(_ZIG_Cadastro!$B:$B,MATCH(I312,_ZIG_Cadastro!$A:$A,0))))),"OK","Atencao - Nome diverge"),IF(NOT(ISERROR(MATCH(I312,_Entradas_ZIG!$C:$C,0))),"OK","Erro - SKU nao encontrado"))))</f>
        <v/>
      </c>
      <c r="M312" s="92">
        <f>IFERROR(INDEX(_ZIG_Cadastro!$G:$G,MATCH(I312,_ZIG_Cadastro!$A:$A,0)),IF(NOT(ISERROR(MATCH(I312,_Entradas_ZIG!$C:$C,0))),"Ativo","—"))</f>
        <v/>
      </c>
      <c r="N312" s="94">
        <f>IFERROR(INDEX(_ZIG_Cadastro!$E:$E,MATCH(I312,_ZIG_Cadastro!$A:$A,0)),IFERROR(INDEX(_Entradas_ZIG!$F:$F,MATCH(I312,_Entradas_ZIG!$C:$C,0)),"—"))</f>
        <v/>
      </c>
      <c r="O312" s="92">
        <f>IF(AND(ISNUMBER(SEARCH("Espeto",N312)),ISNUMBER(SEARCH("Carin",N312))),"SIM","")</f>
        <v/>
      </c>
      <c r="P312" s="92">
        <f>IF(AND(ISNUMBER(SEARCH("Espeto",N312)),ISNUMBER(SEARCH("Lapa",N312))),"SIM","")</f>
        <v/>
      </c>
      <c r="Q312" s="92">
        <f>IF(AND(ISNUMBER(SEARCH("Espeto",N312)),ISNUMBER(SEARCH("Tatuapé",N312))),"SIM","")</f>
        <v/>
      </c>
      <c r="R312" s="92">
        <f>IF(AND(ISNUMBER(SEARCH("Espeto",N312)),ISNUMBER(SEARCH("Pavão",N312))),"SIM","")</f>
        <v/>
      </c>
      <c r="S312" s="92">
        <f>IF(AND(ISNUMBER(SEARCH("Espeto",N312)),ISNUMBER(SEARCH("Chac",N312))),"SIM","")</f>
        <v/>
      </c>
      <c r="T312" s="92">
        <f>IF(AND(ISNUMBER(SEARCH("Espeto",N312)),ISNUMBER(SEARCH("Madalena",N312))),"SIM","")</f>
        <v/>
      </c>
      <c r="U312" s="92">
        <f>IF(AND(ISNUMBER(SEARCH("Espeto",N312)),ISNUMBER(SEARCH("Mariana",N312))),"SIM","")</f>
        <v/>
      </c>
      <c r="V312" s="92">
        <f>IF(AND(ISNUMBER(SEARCH("Espeto",N312)),ISNUMBER(SEARCH("Perdizes",N312))),"SIM","")</f>
        <v/>
      </c>
      <c r="W312" s="92">
        <f>IF(AND(ISNUMBER(SEARCH("Espeto",N312)),ISNUMBER(SEARCH("Santana",N312))),"SIM","")</f>
        <v/>
      </c>
      <c r="X312" s="92">
        <f>IF(AND(ISNUMBER(SEARCH("Espeto",N312)),ISNUMBER(SEARCH("André",N312))),"SIM","")</f>
        <v/>
      </c>
      <c r="Y312" s="92">
        <f>IF(AND(ISNUMBER(SEARCH("Delivery",N312)),ISNUMBER(SEARCH("Carin",N312))),"SIM","")</f>
        <v/>
      </c>
      <c r="Z312" s="92">
        <f>IF(AND(ISNUMBER(SEARCH("Delivery",N312)),ISNUMBER(SEARCH("Lapa",N312))),"SIM","")</f>
        <v/>
      </c>
      <c r="AA312" s="92">
        <f>IF(AND(ISNUMBER(SEARCH("Delivery",N312)),ISNUMBER(SEARCH("Tatuapé",N312))),"SIM","")</f>
        <v/>
      </c>
      <c r="AB312" s="92">
        <f>IF(AND(ISNUMBER(SEARCH("Delivery",N312)),ISNUMBER(SEARCH("Pavão",N312))),"SIM","")</f>
        <v/>
      </c>
      <c r="AC312" s="92">
        <f>IF(AND(ISNUMBER(SEARCH("Delivery",N312)),ISNUMBER(SEARCH("Chac",N312))),"SIM","")</f>
        <v/>
      </c>
      <c r="AD312" s="92">
        <f>IF(AND(ISNUMBER(SEARCH("Delivery",N312)),ISNUMBER(SEARCH("Madalena",N312))),"SIM","")</f>
        <v/>
      </c>
      <c r="AE312" s="92">
        <f>IF(AND(ISNUMBER(SEARCH("Delivery",N312)),ISNUMBER(SEARCH("Mariana",N312))),"SIM","")</f>
        <v/>
      </c>
      <c r="AF312" s="92">
        <f>IF(AND(ISNUMBER(SEARCH("Delivery",N312)),ISNUMBER(SEARCH("Perdizes",N312))),"SIM","")</f>
        <v/>
      </c>
      <c r="AG312" s="92">
        <f>IF(AND(ISNUMBER(SEARCH("Delivery",N312)),ISNUMBER(SEARCH("Santana",N312))),"SIM","")</f>
        <v/>
      </c>
      <c r="AH312" s="92">
        <f>IF(AND(ISNUMBER(SEARCH("Delivery",N312)),ISNUMBER(SEARCH("André",N312))),"SIM","")</f>
        <v/>
      </c>
      <c r="AI312" s="92">
        <f>IF(ISNUMBER(SEARCH("Interlagos",N312)),"SIM","")</f>
        <v/>
      </c>
      <c r="AJ312" s="92">
        <f>IF(ISNUMBER(SEARCH("Quiosque",N312)),"SIM","")</f>
        <v/>
      </c>
      <c r="AK312" s="93" t="n"/>
    </row>
    <row r="313">
      <c r="A313" s="88" t="inlineStr">
        <is>
          <t>Protheus</t>
        </is>
      </c>
      <c r="B313" s="96" t="inlineStr">
        <is>
          <t>010051</t>
        </is>
      </c>
      <c r="C313" s="97">
        <f>IF(B313="—","—",IFERROR(VLOOKUP(B313,_Protheus_Cadastro!$A:$B,2,FALSE),"—"))</f>
        <v/>
      </c>
      <c r="D313" s="98">
        <f>IF(B313="—",IFERROR(INDEX(_ZIG_Cadastro!$D:$D,MATCH(H313,_ZIG_Cadastro!$A:$A,0)),"Produto"),IFERROR(VLOOKUP(B313,_Protheus_Cadastro!$A:$C,3,FALSE),"—"))</f>
        <v/>
      </c>
      <c r="E313" s="98">
        <f>IF(B313="—","—",IFERROR(VLOOKUP(B313,_Protheus_Cadastro!$A:$D,4,FALSE),"—"))</f>
        <v/>
      </c>
      <c r="F313" s="98">
        <f>IF(ISERROR(VLOOKUP(B313,'Estrutura Protheus'!A:A,1,FALSE)),"Não","Sim")</f>
        <v/>
      </c>
      <c r="G313" s="99">
        <f>IFERROR(INDEX(_Protheus_Cadastro!$H:$H,MATCH(B313,_Protheus_Cadastro!$A:$A,0)),"—")</f>
        <v/>
      </c>
      <c r="H313" s="211">
        <f>IFERROR(INDEX(_ZIG_Precos!$D:$D,MATCH(I313,_ZIG_Precos!$F:$F,0)),"—")</f>
        <v/>
      </c>
      <c r="I313" s="103">
        <f>IFERROR(VLOOKUP(B313,_Protheus_Cadastro!$A:$I,9,FALSE),"—")</f>
        <v/>
      </c>
      <c r="J313" s="101">
        <f>IFERROR(INDEX(_ZIG_Cadastro!$B:$B,MATCH(I313,_ZIG_Cadastro!$A:$A,0)),IFERROR(INDEX(_Entradas_ZIG!$B:$B,MATCH(I313,_Entradas_ZIG!$C:$C,0)),"—"))</f>
        <v/>
      </c>
      <c r="K313" s="101">
        <f>IFERROR(INDEX(_ZIG_Cadastro!$C:$C,MATCH(I313,_ZIG_Cadastro!$A:$A,0)),IFERROR(INDEX(_Entradas_ZIG!$D:$D,MATCH(I313,_Entradas_ZIG!$C:$C,0)),"—"))</f>
        <v/>
      </c>
      <c r="L313" s="99">
        <f>IF(I313="","Sem SKU ZIG",IF(I313="—","Sem SKU ZIG",IF(NOT(ISERROR(MATCH(I313,_ZIG_Cadastro!$A:$A,0))),IF(EXACT(UPPER(TRIM(C313)),UPPER(TRIM(INDEX(_ZIG_Cadastro!$B:$B,MATCH(I313,_ZIG_Cadastro!$A:$A,0))))),"OK","Atencao - Nome diverge"),IF(NOT(ISERROR(MATCH(I313,_Entradas_ZIG!$C:$C,0))),"OK","Erro - SKU nao encontrado"))))</f>
        <v/>
      </c>
      <c r="M313" s="99">
        <f>IFERROR(INDEX(_ZIG_Cadastro!$G:$G,MATCH(I313,_ZIG_Cadastro!$A:$A,0)),IF(NOT(ISERROR(MATCH(I313,_Entradas_ZIG!$C:$C,0))),"Ativo","—"))</f>
        <v/>
      </c>
      <c r="N313" s="102">
        <f>IFERROR(INDEX(_ZIG_Cadastro!$E:$E,MATCH(I313,_ZIG_Cadastro!$A:$A,0)),IFERROR(INDEX(_Entradas_ZIG!$F:$F,MATCH(I313,_Entradas_ZIG!$C:$C,0)),"—"))</f>
        <v/>
      </c>
      <c r="O313" s="99">
        <f>IF(AND(ISNUMBER(SEARCH("Espeto",N313)),ISNUMBER(SEARCH("Carin",N313))),"SIM","")</f>
        <v/>
      </c>
      <c r="P313" s="99">
        <f>IF(AND(ISNUMBER(SEARCH("Espeto",N313)),ISNUMBER(SEARCH("Lapa",N313))),"SIM","")</f>
        <v/>
      </c>
      <c r="Q313" s="99">
        <f>IF(AND(ISNUMBER(SEARCH("Espeto",N313)),ISNUMBER(SEARCH("Tatuapé",N313))),"SIM","")</f>
        <v/>
      </c>
      <c r="R313" s="99">
        <f>IF(AND(ISNUMBER(SEARCH("Espeto",N313)),ISNUMBER(SEARCH("Pavão",N313))),"SIM","")</f>
        <v/>
      </c>
      <c r="S313" s="99">
        <f>IF(AND(ISNUMBER(SEARCH("Espeto",N313)),ISNUMBER(SEARCH("Chac",N313))),"SIM","")</f>
        <v/>
      </c>
      <c r="T313" s="99">
        <f>IF(AND(ISNUMBER(SEARCH("Espeto",N313)),ISNUMBER(SEARCH("Madalena",N313))),"SIM","")</f>
        <v/>
      </c>
      <c r="U313" s="99">
        <f>IF(AND(ISNUMBER(SEARCH("Espeto",N313)),ISNUMBER(SEARCH("Mariana",N313))),"SIM","")</f>
        <v/>
      </c>
      <c r="V313" s="99">
        <f>IF(AND(ISNUMBER(SEARCH("Espeto",N313)),ISNUMBER(SEARCH("Perdizes",N313))),"SIM","")</f>
        <v/>
      </c>
      <c r="W313" s="99">
        <f>IF(AND(ISNUMBER(SEARCH("Espeto",N313)),ISNUMBER(SEARCH("Santana",N313))),"SIM","")</f>
        <v/>
      </c>
      <c r="X313" s="99">
        <f>IF(AND(ISNUMBER(SEARCH("Espeto",N313)),ISNUMBER(SEARCH("André",N313))),"SIM","")</f>
        <v/>
      </c>
      <c r="Y313" s="99">
        <f>IF(AND(ISNUMBER(SEARCH("Delivery",N313)),ISNUMBER(SEARCH("Carin",N313))),"SIM","")</f>
        <v/>
      </c>
      <c r="Z313" s="99">
        <f>IF(AND(ISNUMBER(SEARCH("Delivery",N313)),ISNUMBER(SEARCH("Lapa",N313))),"SIM","")</f>
        <v/>
      </c>
      <c r="AA313" s="99">
        <f>IF(AND(ISNUMBER(SEARCH("Delivery",N313)),ISNUMBER(SEARCH("Tatuapé",N313))),"SIM","")</f>
        <v/>
      </c>
      <c r="AB313" s="99">
        <f>IF(AND(ISNUMBER(SEARCH("Delivery",N313)),ISNUMBER(SEARCH("Pavão",N313))),"SIM","")</f>
        <v/>
      </c>
      <c r="AC313" s="99">
        <f>IF(AND(ISNUMBER(SEARCH("Delivery",N313)),ISNUMBER(SEARCH("Chac",N313))),"SIM","")</f>
        <v/>
      </c>
      <c r="AD313" s="99">
        <f>IF(AND(ISNUMBER(SEARCH("Delivery",N313)),ISNUMBER(SEARCH("Madalena",N313))),"SIM","")</f>
        <v/>
      </c>
      <c r="AE313" s="99">
        <f>IF(AND(ISNUMBER(SEARCH("Delivery",N313)),ISNUMBER(SEARCH("Mariana",N313))),"SIM","")</f>
        <v/>
      </c>
      <c r="AF313" s="99">
        <f>IF(AND(ISNUMBER(SEARCH("Delivery",N313)),ISNUMBER(SEARCH("Perdizes",N313))),"SIM","")</f>
        <v/>
      </c>
      <c r="AG313" s="99">
        <f>IF(AND(ISNUMBER(SEARCH("Delivery",N313)),ISNUMBER(SEARCH("Santana",N313))),"SIM","")</f>
        <v/>
      </c>
      <c r="AH313" s="99">
        <f>IF(AND(ISNUMBER(SEARCH("Delivery",N313)),ISNUMBER(SEARCH("André",N313))),"SIM","")</f>
        <v/>
      </c>
      <c r="AI313" s="99">
        <f>IF(ISNUMBER(SEARCH("Interlagos",N313)),"SIM","")</f>
        <v/>
      </c>
      <c r="AJ313" s="99">
        <f>IF(ISNUMBER(SEARCH("Quiosque",N313)),"SIM","")</f>
        <v/>
      </c>
      <c r="AK313" s="101" t="n"/>
    </row>
    <row r="314">
      <c r="A314" s="88" t="inlineStr">
        <is>
          <t>Protheus</t>
        </is>
      </c>
      <c r="B314" s="96" t="inlineStr">
        <is>
          <t>010063</t>
        </is>
      </c>
      <c r="C314" s="97">
        <f>IF(B314="—","—",IFERROR(VLOOKUP(B314,_Protheus_Cadastro!$A:$B,2,FALSE),"—"))</f>
        <v/>
      </c>
      <c r="D314" s="98">
        <f>IF(B314="—",IFERROR(INDEX(_ZIG_Cadastro!$D:$D,MATCH(H314,_ZIG_Cadastro!$A:$A,0)),"Produto"),IFERROR(VLOOKUP(B314,_Protheus_Cadastro!$A:$C,3,FALSE),"—"))</f>
        <v/>
      </c>
      <c r="E314" s="98">
        <f>IF(B314="—","—",IFERROR(VLOOKUP(B314,_Protheus_Cadastro!$A:$D,4,FALSE),"—"))</f>
        <v/>
      </c>
      <c r="F314" s="98">
        <f>IF(ISERROR(VLOOKUP(B314,'Estrutura Protheus'!A:A,1,FALSE)),"Não","Sim")</f>
        <v/>
      </c>
      <c r="G314" s="99">
        <f>IFERROR(INDEX(_Protheus_Cadastro!$H:$H,MATCH(B314,_Protheus_Cadastro!$A:$A,0)),"—")</f>
        <v/>
      </c>
      <c r="H314" s="211">
        <f>IFERROR(INDEX(_ZIG_Precos!$D:$D,MATCH(I314,_ZIG_Precos!$F:$F,0)),"—")</f>
        <v/>
      </c>
      <c r="I314" s="103">
        <f>IFERROR(VLOOKUP(B314,_Protheus_Cadastro!$A:$I,9,FALSE),"—")</f>
        <v/>
      </c>
      <c r="J314" s="101">
        <f>IFERROR(INDEX(_ZIG_Cadastro!$B:$B,MATCH(I314,_ZIG_Cadastro!$A:$A,0)),IFERROR(INDEX(_Entradas_ZIG!$B:$B,MATCH(I314,_Entradas_ZIG!$C:$C,0)),"—"))</f>
        <v/>
      </c>
      <c r="K314" s="101">
        <f>IFERROR(INDEX(_ZIG_Cadastro!$C:$C,MATCH(I314,_ZIG_Cadastro!$A:$A,0)),IFERROR(INDEX(_Entradas_ZIG!$D:$D,MATCH(I314,_Entradas_ZIG!$C:$C,0)),"—"))</f>
        <v/>
      </c>
      <c r="L314" s="99">
        <f>IF(I314="","Sem SKU ZIG",IF(I314="—","Sem SKU ZIG",IF(NOT(ISERROR(MATCH(I314,_ZIG_Cadastro!$A:$A,0))),IF(EXACT(UPPER(TRIM(C314)),UPPER(TRIM(INDEX(_ZIG_Cadastro!$B:$B,MATCH(I314,_ZIG_Cadastro!$A:$A,0))))),"OK","Atencao - Nome diverge"),IF(NOT(ISERROR(MATCH(I314,_Entradas_ZIG!$C:$C,0))),"OK","Erro - SKU nao encontrado"))))</f>
        <v/>
      </c>
      <c r="M314" s="99">
        <f>IFERROR(INDEX(_ZIG_Cadastro!$G:$G,MATCH(I314,_ZIG_Cadastro!$A:$A,0)),IF(NOT(ISERROR(MATCH(I314,_Entradas_ZIG!$C:$C,0))),"Ativo","—"))</f>
        <v/>
      </c>
      <c r="N314" s="102">
        <f>IFERROR(INDEX(_ZIG_Cadastro!$E:$E,MATCH(I314,_ZIG_Cadastro!$A:$A,0)),IFERROR(INDEX(_Entradas_ZIG!$F:$F,MATCH(I314,_Entradas_ZIG!$C:$C,0)),"—"))</f>
        <v/>
      </c>
      <c r="O314" s="99">
        <f>IF(AND(ISNUMBER(SEARCH("Espeto",N314)),ISNUMBER(SEARCH("Carin",N314))),"SIM","")</f>
        <v/>
      </c>
      <c r="P314" s="99">
        <f>IF(AND(ISNUMBER(SEARCH("Espeto",N314)),ISNUMBER(SEARCH("Lapa",N314))),"SIM","")</f>
        <v/>
      </c>
      <c r="Q314" s="99">
        <f>IF(AND(ISNUMBER(SEARCH("Espeto",N314)),ISNUMBER(SEARCH("Tatuapé",N314))),"SIM","")</f>
        <v/>
      </c>
      <c r="R314" s="99">
        <f>IF(AND(ISNUMBER(SEARCH("Espeto",N314)),ISNUMBER(SEARCH("Pavão",N314))),"SIM","")</f>
        <v/>
      </c>
      <c r="S314" s="99">
        <f>IF(AND(ISNUMBER(SEARCH("Espeto",N314)),ISNUMBER(SEARCH("Chac",N314))),"SIM","")</f>
        <v/>
      </c>
      <c r="T314" s="99">
        <f>IF(AND(ISNUMBER(SEARCH("Espeto",N314)),ISNUMBER(SEARCH("Madalena",N314))),"SIM","")</f>
        <v/>
      </c>
      <c r="U314" s="99">
        <f>IF(AND(ISNUMBER(SEARCH("Espeto",N314)),ISNUMBER(SEARCH("Mariana",N314))),"SIM","")</f>
        <v/>
      </c>
      <c r="V314" s="99">
        <f>IF(AND(ISNUMBER(SEARCH("Espeto",N314)),ISNUMBER(SEARCH("Perdizes",N314))),"SIM","")</f>
        <v/>
      </c>
      <c r="W314" s="99">
        <f>IF(AND(ISNUMBER(SEARCH("Espeto",N314)),ISNUMBER(SEARCH("Santana",N314))),"SIM","")</f>
        <v/>
      </c>
      <c r="X314" s="99">
        <f>IF(AND(ISNUMBER(SEARCH("Espeto",N314)),ISNUMBER(SEARCH("André",N314))),"SIM","")</f>
        <v/>
      </c>
      <c r="Y314" s="99">
        <f>IF(AND(ISNUMBER(SEARCH("Delivery",N314)),ISNUMBER(SEARCH("Carin",N314))),"SIM","")</f>
        <v/>
      </c>
      <c r="Z314" s="99">
        <f>IF(AND(ISNUMBER(SEARCH("Delivery",N314)),ISNUMBER(SEARCH("Lapa",N314))),"SIM","")</f>
        <v/>
      </c>
      <c r="AA314" s="99">
        <f>IF(AND(ISNUMBER(SEARCH("Delivery",N314)),ISNUMBER(SEARCH("Tatuapé",N314))),"SIM","")</f>
        <v/>
      </c>
      <c r="AB314" s="99">
        <f>IF(AND(ISNUMBER(SEARCH("Delivery",N314)),ISNUMBER(SEARCH("Pavão",N314))),"SIM","")</f>
        <v/>
      </c>
      <c r="AC314" s="99">
        <f>IF(AND(ISNUMBER(SEARCH("Delivery",N314)),ISNUMBER(SEARCH("Chac",N314))),"SIM","")</f>
        <v/>
      </c>
      <c r="AD314" s="99">
        <f>IF(AND(ISNUMBER(SEARCH("Delivery",N314)),ISNUMBER(SEARCH("Madalena",N314))),"SIM","")</f>
        <v/>
      </c>
      <c r="AE314" s="99">
        <f>IF(AND(ISNUMBER(SEARCH("Delivery",N314)),ISNUMBER(SEARCH("Mariana",N314))),"SIM","")</f>
        <v/>
      </c>
      <c r="AF314" s="99">
        <f>IF(AND(ISNUMBER(SEARCH("Delivery",N314)),ISNUMBER(SEARCH("Perdizes",N314))),"SIM","")</f>
        <v/>
      </c>
      <c r="AG314" s="99">
        <f>IF(AND(ISNUMBER(SEARCH("Delivery",N314)),ISNUMBER(SEARCH("Santana",N314))),"SIM","")</f>
        <v/>
      </c>
      <c r="AH314" s="99">
        <f>IF(AND(ISNUMBER(SEARCH("Delivery",N314)),ISNUMBER(SEARCH("André",N314))),"SIM","")</f>
        <v/>
      </c>
      <c r="AI314" s="99">
        <f>IF(ISNUMBER(SEARCH("Interlagos",N314)),"SIM","")</f>
        <v/>
      </c>
      <c r="AJ314" s="99">
        <f>IF(ISNUMBER(SEARCH("Quiosque",N314)),"SIM","")</f>
        <v/>
      </c>
      <c r="AK314" s="101" t="n"/>
    </row>
    <row r="315">
      <c r="A315" s="88" t="inlineStr">
        <is>
          <t>Protheus</t>
        </is>
      </c>
      <c r="B315" s="89" t="inlineStr">
        <is>
          <t>010070</t>
        </is>
      </c>
      <c r="C315" s="90">
        <f>IF(B315="—","—",IFERROR(VLOOKUP(B315,_Protheus_Cadastro!$A:$B,2,FALSE),"—"))</f>
        <v/>
      </c>
      <c r="D315" s="91">
        <f>IF(B315="—",IFERROR(INDEX(_ZIG_Cadastro!$D:$D,MATCH(H315,_ZIG_Cadastro!$A:$A,0)),"Produto"),IFERROR(VLOOKUP(B315,_Protheus_Cadastro!$A:$C,3,FALSE),"—"))</f>
        <v/>
      </c>
      <c r="E315" s="91">
        <f>IF(B315="—","—",IFERROR(VLOOKUP(B315,_Protheus_Cadastro!$A:$D,4,FALSE),"—"))</f>
        <v/>
      </c>
      <c r="F315" s="91">
        <f>IF(ISERROR(VLOOKUP(B315,'Estrutura Protheus'!A:A,1,FALSE)),"Não","Sim")</f>
        <v/>
      </c>
      <c r="G315" s="92">
        <f>IFERROR(INDEX(_Protheus_Cadastro!$H:$H,MATCH(B315,_Protheus_Cadastro!$A:$A,0)),"—")</f>
        <v/>
      </c>
      <c r="H315" s="210">
        <f>IFERROR(INDEX(_ZIG_Precos!$D:$D,MATCH(I315,_ZIG_Precos!$F:$F,0)),"—")</f>
        <v/>
      </c>
      <c r="I315" s="95">
        <f>IFERROR(VLOOKUP(B315,_Protheus_Cadastro!$A:$I,9,FALSE),"—")</f>
        <v/>
      </c>
      <c r="J315" s="93">
        <f>IFERROR(INDEX(_ZIG_Cadastro!$B:$B,MATCH(I315,_ZIG_Cadastro!$A:$A,0)),IFERROR(INDEX(_Entradas_ZIG!$B:$B,MATCH(I315,_Entradas_ZIG!$C:$C,0)),"—"))</f>
        <v/>
      </c>
      <c r="K315" s="93">
        <f>IFERROR(INDEX(_ZIG_Cadastro!$C:$C,MATCH(I315,_ZIG_Cadastro!$A:$A,0)),IFERROR(INDEX(_Entradas_ZIG!$D:$D,MATCH(I315,_Entradas_ZIG!$C:$C,0)),"—"))</f>
        <v/>
      </c>
      <c r="L315" s="92">
        <f>IF(I315="","Sem SKU ZIG",IF(I315="—","Sem SKU ZIG",IF(NOT(ISERROR(MATCH(I315,_ZIG_Cadastro!$A:$A,0))),IF(EXACT(UPPER(TRIM(C315)),UPPER(TRIM(INDEX(_ZIG_Cadastro!$B:$B,MATCH(I315,_ZIG_Cadastro!$A:$A,0))))),"OK","Atencao - Nome diverge"),IF(NOT(ISERROR(MATCH(I315,_Entradas_ZIG!$C:$C,0))),"OK","Erro - SKU nao encontrado"))))</f>
        <v/>
      </c>
      <c r="M315" s="92">
        <f>IFERROR(INDEX(_ZIG_Cadastro!$G:$G,MATCH(I315,_ZIG_Cadastro!$A:$A,0)),IF(NOT(ISERROR(MATCH(I315,_Entradas_ZIG!$C:$C,0))),"Ativo","—"))</f>
        <v/>
      </c>
      <c r="N315" s="94">
        <f>IFERROR(INDEX(_ZIG_Cadastro!$E:$E,MATCH(I315,_ZIG_Cadastro!$A:$A,0)),IFERROR(INDEX(_Entradas_ZIG!$F:$F,MATCH(I315,_Entradas_ZIG!$C:$C,0)),"—"))</f>
        <v/>
      </c>
      <c r="O315" s="92">
        <f>IF(AND(ISNUMBER(SEARCH("Espeto",N315)),ISNUMBER(SEARCH("Carin",N315))),"SIM","")</f>
        <v/>
      </c>
      <c r="P315" s="92">
        <f>IF(AND(ISNUMBER(SEARCH("Espeto",N315)),ISNUMBER(SEARCH("Lapa",N315))),"SIM","")</f>
        <v/>
      </c>
      <c r="Q315" s="92">
        <f>IF(AND(ISNUMBER(SEARCH("Espeto",N315)),ISNUMBER(SEARCH("Tatuapé",N315))),"SIM","")</f>
        <v/>
      </c>
      <c r="R315" s="92">
        <f>IF(AND(ISNUMBER(SEARCH("Espeto",N315)),ISNUMBER(SEARCH("Pavão",N315))),"SIM","")</f>
        <v/>
      </c>
      <c r="S315" s="92">
        <f>IF(AND(ISNUMBER(SEARCH("Espeto",N315)),ISNUMBER(SEARCH("Chac",N315))),"SIM","")</f>
        <v/>
      </c>
      <c r="T315" s="92">
        <f>IF(AND(ISNUMBER(SEARCH("Espeto",N315)),ISNUMBER(SEARCH("Madalena",N315))),"SIM","")</f>
        <v/>
      </c>
      <c r="U315" s="92">
        <f>IF(AND(ISNUMBER(SEARCH("Espeto",N315)),ISNUMBER(SEARCH("Mariana",N315))),"SIM","")</f>
        <v/>
      </c>
      <c r="V315" s="92">
        <f>IF(AND(ISNUMBER(SEARCH("Espeto",N315)),ISNUMBER(SEARCH("Perdizes",N315))),"SIM","")</f>
        <v/>
      </c>
      <c r="W315" s="92">
        <f>IF(AND(ISNUMBER(SEARCH("Espeto",N315)),ISNUMBER(SEARCH("Santana",N315))),"SIM","")</f>
        <v/>
      </c>
      <c r="X315" s="92">
        <f>IF(AND(ISNUMBER(SEARCH("Espeto",N315)),ISNUMBER(SEARCH("André",N315))),"SIM","")</f>
        <v/>
      </c>
      <c r="Y315" s="92">
        <f>IF(AND(ISNUMBER(SEARCH("Delivery",N315)),ISNUMBER(SEARCH("Carin",N315))),"SIM","")</f>
        <v/>
      </c>
      <c r="Z315" s="92">
        <f>IF(AND(ISNUMBER(SEARCH("Delivery",N315)),ISNUMBER(SEARCH("Lapa",N315))),"SIM","")</f>
        <v/>
      </c>
      <c r="AA315" s="92">
        <f>IF(AND(ISNUMBER(SEARCH("Delivery",N315)),ISNUMBER(SEARCH("Tatuapé",N315))),"SIM","")</f>
        <v/>
      </c>
      <c r="AB315" s="92">
        <f>IF(AND(ISNUMBER(SEARCH("Delivery",N315)),ISNUMBER(SEARCH("Pavão",N315))),"SIM","")</f>
        <v/>
      </c>
      <c r="AC315" s="92">
        <f>IF(AND(ISNUMBER(SEARCH("Delivery",N315)),ISNUMBER(SEARCH("Chac",N315))),"SIM","")</f>
        <v/>
      </c>
      <c r="AD315" s="92">
        <f>IF(AND(ISNUMBER(SEARCH("Delivery",N315)),ISNUMBER(SEARCH("Madalena",N315))),"SIM","")</f>
        <v/>
      </c>
      <c r="AE315" s="92">
        <f>IF(AND(ISNUMBER(SEARCH("Delivery",N315)),ISNUMBER(SEARCH("Mariana",N315))),"SIM","")</f>
        <v/>
      </c>
      <c r="AF315" s="92">
        <f>IF(AND(ISNUMBER(SEARCH("Delivery",N315)),ISNUMBER(SEARCH("Perdizes",N315))),"SIM","")</f>
        <v/>
      </c>
      <c r="AG315" s="92">
        <f>IF(AND(ISNUMBER(SEARCH("Delivery",N315)),ISNUMBER(SEARCH("Santana",N315))),"SIM","")</f>
        <v/>
      </c>
      <c r="AH315" s="92">
        <f>IF(AND(ISNUMBER(SEARCH("Delivery",N315)),ISNUMBER(SEARCH("André",N315))),"SIM","")</f>
        <v/>
      </c>
      <c r="AI315" s="92">
        <f>IF(ISNUMBER(SEARCH("Interlagos",N315)),"SIM","")</f>
        <v/>
      </c>
      <c r="AJ315" s="92">
        <f>IF(ISNUMBER(SEARCH("Quiosque",N315)),"SIM","")</f>
        <v/>
      </c>
      <c r="AK315" s="93" t="n"/>
    </row>
    <row r="316">
      <c r="A316" s="88" t="inlineStr">
        <is>
          <t>Protheus</t>
        </is>
      </c>
      <c r="B316" s="96" t="inlineStr">
        <is>
          <t>010347</t>
        </is>
      </c>
      <c r="C316" s="97">
        <f>IF(B316="—","—",IFERROR(VLOOKUP(B316,_Protheus_Cadastro!$A:$B,2,FALSE),"—"))</f>
        <v/>
      </c>
      <c r="D316" s="98">
        <f>IF(B316="—",IFERROR(INDEX(_ZIG_Cadastro!$D:$D,MATCH(H316,_ZIG_Cadastro!$A:$A,0)),"Produto"),IFERROR(VLOOKUP(B316,_Protheus_Cadastro!$A:$C,3,FALSE),"—"))</f>
        <v/>
      </c>
      <c r="E316" s="98">
        <f>IF(B316="—","—",IFERROR(VLOOKUP(B316,_Protheus_Cadastro!$A:$D,4,FALSE),"—"))</f>
        <v/>
      </c>
      <c r="F316" s="98">
        <f>IF(ISERROR(VLOOKUP(B316,'Estrutura Protheus'!A:A,1,FALSE)),"Não","Sim")</f>
        <v/>
      </c>
      <c r="G316" s="99">
        <f>IFERROR(INDEX(_Protheus_Cadastro!$H:$H,MATCH(B316,_Protheus_Cadastro!$A:$A,0)),"—")</f>
        <v/>
      </c>
      <c r="H316" s="211">
        <f>IFERROR(INDEX(_ZIG_Precos!$D:$D,MATCH(I316,_ZIG_Precos!$F:$F,0)),"—")</f>
        <v/>
      </c>
      <c r="I316" s="103">
        <f>IFERROR(VLOOKUP(B316,_Protheus_Cadastro!$A:$I,9,FALSE),"—")</f>
        <v/>
      </c>
      <c r="J316" s="101">
        <f>IFERROR(INDEX(_ZIG_Cadastro!$B:$B,MATCH(I316,_ZIG_Cadastro!$A:$A,0)),IFERROR(INDEX(_Entradas_ZIG!$B:$B,MATCH(I316,_Entradas_ZIG!$C:$C,0)),"—"))</f>
        <v/>
      </c>
      <c r="K316" s="101">
        <f>IFERROR(INDEX(_ZIG_Cadastro!$C:$C,MATCH(I316,_ZIG_Cadastro!$A:$A,0)),IFERROR(INDEX(_Entradas_ZIG!$D:$D,MATCH(I316,_Entradas_ZIG!$C:$C,0)),"—"))</f>
        <v/>
      </c>
      <c r="L316" s="99">
        <f>IF(I316="","Sem SKU ZIG",IF(I316="—","Sem SKU ZIG",IF(NOT(ISERROR(MATCH(I316,_ZIG_Cadastro!$A:$A,0))),IF(EXACT(UPPER(TRIM(C316)),UPPER(TRIM(INDEX(_ZIG_Cadastro!$B:$B,MATCH(I316,_ZIG_Cadastro!$A:$A,0))))),"OK","Atencao - Nome diverge"),IF(NOT(ISERROR(MATCH(I316,_Entradas_ZIG!$C:$C,0))),"OK","Erro - SKU nao encontrado"))))</f>
        <v/>
      </c>
      <c r="M316" s="99">
        <f>IFERROR(INDEX(_ZIG_Cadastro!$G:$G,MATCH(I316,_ZIG_Cadastro!$A:$A,0)),IF(NOT(ISERROR(MATCH(I316,_Entradas_ZIG!$C:$C,0))),"Ativo","—"))</f>
        <v/>
      </c>
      <c r="N316" s="102">
        <f>IFERROR(INDEX(_ZIG_Cadastro!$E:$E,MATCH(I316,_ZIG_Cadastro!$A:$A,0)),IFERROR(INDEX(_Entradas_ZIG!$F:$F,MATCH(I316,_Entradas_ZIG!$C:$C,0)),"—"))</f>
        <v/>
      </c>
      <c r="O316" s="99">
        <f>IF(AND(ISNUMBER(SEARCH("Espeto",N316)),ISNUMBER(SEARCH("Carin",N316))),"SIM","")</f>
        <v/>
      </c>
      <c r="P316" s="99">
        <f>IF(AND(ISNUMBER(SEARCH("Espeto",N316)),ISNUMBER(SEARCH("Lapa",N316))),"SIM","")</f>
        <v/>
      </c>
      <c r="Q316" s="99">
        <f>IF(AND(ISNUMBER(SEARCH("Espeto",N316)),ISNUMBER(SEARCH("Tatuapé",N316))),"SIM","")</f>
        <v/>
      </c>
      <c r="R316" s="99">
        <f>IF(AND(ISNUMBER(SEARCH("Espeto",N316)),ISNUMBER(SEARCH("Pavão",N316))),"SIM","")</f>
        <v/>
      </c>
      <c r="S316" s="99">
        <f>IF(AND(ISNUMBER(SEARCH("Espeto",N316)),ISNUMBER(SEARCH("Chac",N316))),"SIM","")</f>
        <v/>
      </c>
      <c r="T316" s="99">
        <f>IF(AND(ISNUMBER(SEARCH("Espeto",N316)),ISNUMBER(SEARCH("Madalena",N316))),"SIM","")</f>
        <v/>
      </c>
      <c r="U316" s="99">
        <f>IF(AND(ISNUMBER(SEARCH("Espeto",N316)),ISNUMBER(SEARCH("Mariana",N316))),"SIM","")</f>
        <v/>
      </c>
      <c r="V316" s="99">
        <f>IF(AND(ISNUMBER(SEARCH("Espeto",N316)),ISNUMBER(SEARCH("Perdizes",N316))),"SIM","")</f>
        <v/>
      </c>
      <c r="W316" s="99">
        <f>IF(AND(ISNUMBER(SEARCH("Espeto",N316)),ISNUMBER(SEARCH("Santana",N316))),"SIM","")</f>
        <v/>
      </c>
      <c r="X316" s="99">
        <f>IF(AND(ISNUMBER(SEARCH("Espeto",N316)),ISNUMBER(SEARCH("André",N316))),"SIM","")</f>
        <v/>
      </c>
      <c r="Y316" s="99">
        <f>IF(AND(ISNUMBER(SEARCH("Delivery",N316)),ISNUMBER(SEARCH("Carin",N316))),"SIM","")</f>
        <v/>
      </c>
      <c r="Z316" s="99">
        <f>IF(AND(ISNUMBER(SEARCH("Delivery",N316)),ISNUMBER(SEARCH("Lapa",N316))),"SIM","")</f>
        <v/>
      </c>
      <c r="AA316" s="99">
        <f>IF(AND(ISNUMBER(SEARCH("Delivery",N316)),ISNUMBER(SEARCH("Tatuapé",N316))),"SIM","")</f>
        <v/>
      </c>
      <c r="AB316" s="99">
        <f>IF(AND(ISNUMBER(SEARCH("Delivery",N316)),ISNUMBER(SEARCH("Pavão",N316))),"SIM","")</f>
        <v/>
      </c>
      <c r="AC316" s="99">
        <f>IF(AND(ISNUMBER(SEARCH("Delivery",N316)),ISNUMBER(SEARCH("Chac",N316))),"SIM","")</f>
        <v/>
      </c>
      <c r="AD316" s="99">
        <f>IF(AND(ISNUMBER(SEARCH("Delivery",N316)),ISNUMBER(SEARCH("Madalena",N316))),"SIM","")</f>
        <v/>
      </c>
      <c r="AE316" s="99">
        <f>IF(AND(ISNUMBER(SEARCH("Delivery",N316)),ISNUMBER(SEARCH("Mariana",N316))),"SIM","")</f>
        <v/>
      </c>
      <c r="AF316" s="99">
        <f>IF(AND(ISNUMBER(SEARCH("Delivery",N316)),ISNUMBER(SEARCH("Perdizes",N316))),"SIM","")</f>
        <v/>
      </c>
      <c r="AG316" s="99">
        <f>IF(AND(ISNUMBER(SEARCH("Delivery",N316)),ISNUMBER(SEARCH("Santana",N316))),"SIM","")</f>
        <v/>
      </c>
      <c r="AH316" s="99">
        <f>IF(AND(ISNUMBER(SEARCH("Delivery",N316)),ISNUMBER(SEARCH("André",N316))),"SIM","")</f>
        <v/>
      </c>
      <c r="AI316" s="99">
        <f>IF(ISNUMBER(SEARCH("Interlagos",N316)),"SIM","")</f>
        <v/>
      </c>
      <c r="AJ316" s="99">
        <f>IF(ISNUMBER(SEARCH("Quiosque",N316)),"SIM","")</f>
        <v/>
      </c>
      <c r="AK316" s="101" t="n"/>
    </row>
    <row r="317">
      <c r="A317" s="88" t="inlineStr">
        <is>
          <t>Protheus</t>
        </is>
      </c>
      <c r="B317" s="89" t="inlineStr">
        <is>
          <t>009989</t>
        </is>
      </c>
      <c r="C317" s="90">
        <f>IF(B317="—","—",IFERROR(VLOOKUP(B317,_Protheus_Cadastro!$A:$B,2,FALSE),"—"))</f>
        <v/>
      </c>
      <c r="D317" s="91">
        <f>IF(B317="—",IFERROR(INDEX(_ZIG_Cadastro!$D:$D,MATCH(H317,_ZIG_Cadastro!$A:$A,0)),"Produto"),IFERROR(VLOOKUP(B317,_Protheus_Cadastro!$A:$C,3,FALSE),"—"))</f>
        <v/>
      </c>
      <c r="E317" s="91">
        <f>IF(B317="—","—",IFERROR(VLOOKUP(B317,_Protheus_Cadastro!$A:$D,4,FALSE),"—"))</f>
        <v/>
      </c>
      <c r="F317" s="91">
        <f>IF(ISERROR(VLOOKUP(B317,'Estrutura Protheus'!A:A,1,FALSE)),"Não","Sim")</f>
        <v/>
      </c>
      <c r="G317" s="92">
        <f>IFERROR(INDEX(_Protheus_Cadastro!$H:$H,MATCH(B317,_Protheus_Cadastro!$A:$A,0)),"—")</f>
        <v/>
      </c>
      <c r="H317" s="210">
        <f>IFERROR(INDEX(_ZIG_Precos!$D:$D,MATCH(I317,_ZIG_Precos!$F:$F,0)),"—")</f>
        <v/>
      </c>
      <c r="I317" s="95">
        <f>IFERROR(VLOOKUP(B317,_Protheus_Cadastro!$A:$I,9,FALSE),"—")</f>
        <v/>
      </c>
      <c r="J317" s="93">
        <f>IFERROR(INDEX(_ZIG_Cadastro!$B:$B,MATCH(I317,_ZIG_Cadastro!$A:$A,0)),IFERROR(INDEX(_Entradas_ZIG!$B:$B,MATCH(I317,_Entradas_ZIG!$C:$C,0)),"—"))</f>
        <v/>
      </c>
      <c r="K317" s="93">
        <f>IFERROR(INDEX(_ZIG_Cadastro!$C:$C,MATCH(I317,_ZIG_Cadastro!$A:$A,0)),IFERROR(INDEX(_Entradas_ZIG!$D:$D,MATCH(I317,_Entradas_ZIG!$C:$C,0)),"—"))</f>
        <v/>
      </c>
      <c r="L317" s="92">
        <f>IF(I317="","Sem SKU ZIG",IF(I317="—","Sem SKU ZIG",IF(NOT(ISERROR(MATCH(I317,_ZIG_Cadastro!$A:$A,0))),IF(EXACT(UPPER(TRIM(C317)),UPPER(TRIM(INDEX(_ZIG_Cadastro!$B:$B,MATCH(I317,_ZIG_Cadastro!$A:$A,0))))),"OK","Atencao - Nome diverge"),IF(NOT(ISERROR(MATCH(I317,_Entradas_ZIG!$C:$C,0))),"OK","Erro - SKU nao encontrado"))))</f>
        <v/>
      </c>
      <c r="M317" s="92">
        <f>IFERROR(INDEX(_ZIG_Cadastro!$G:$G,MATCH(I317,_ZIG_Cadastro!$A:$A,0)),IF(NOT(ISERROR(MATCH(I317,_Entradas_ZIG!$C:$C,0))),"Ativo","—"))</f>
        <v/>
      </c>
      <c r="N317" s="94">
        <f>IFERROR(INDEX(_ZIG_Cadastro!$E:$E,MATCH(I317,_ZIG_Cadastro!$A:$A,0)),IFERROR(INDEX(_Entradas_ZIG!$F:$F,MATCH(I317,_Entradas_ZIG!$C:$C,0)),"—"))</f>
        <v/>
      </c>
      <c r="O317" s="92">
        <f>IF(AND(ISNUMBER(SEARCH("Espeto",N317)),ISNUMBER(SEARCH("Carin",N317))),"SIM","")</f>
        <v/>
      </c>
      <c r="P317" s="92">
        <f>IF(AND(ISNUMBER(SEARCH("Espeto",N317)),ISNUMBER(SEARCH("Lapa",N317))),"SIM","")</f>
        <v/>
      </c>
      <c r="Q317" s="92">
        <f>IF(AND(ISNUMBER(SEARCH("Espeto",N317)),ISNUMBER(SEARCH("Tatuapé",N317))),"SIM","")</f>
        <v/>
      </c>
      <c r="R317" s="92">
        <f>IF(AND(ISNUMBER(SEARCH("Espeto",N317)),ISNUMBER(SEARCH("Pavão",N317))),"SIM","")</f>
        <v/>
      </c>
      <c r="S317" s="92">
        <f>IF(AND(ISNUMBER(SEARCH("Espeto",N317)),ISNUMBER(SEARCH("Chac",N317))),"SIM","")</f>
        <v/>
      </c>
      <c r="T317" s="92">
        <f>IF(AND(ISNUMBER(SEARCH("Espeto",N317)),ISNUMBER(SEARCH("Madalena",N317))),"SIM","")</f>
        <v/>
      </c>
      <c r="U317" s="92">
        <f>IF(AND(ISNUMBER(SEARCH("Espeto",N317)),ISNUMBER(SEARCH("Mariana",N317))),"SIM","")</f>
        <v/>
      </c>
      <c r="V317" s="92">
        <f>IF(AND(ISNUMBER(SEARCH("Espeto",N317)),ISNUMBER(SEARCH("Perdizes",N317))),"SIM","")</f>
        <v/>
      </c>
      <c r="W317" s="92">
        <f>IF(AND(ISNUMBER(SEARCH("Espeto",N317)),ISNUMBER(SEARCH("Santana",N317))),"SIM","")</f>
        <v/>
      </c>
      <c r="X317" s="92">
        <f>IF(AND(ISNUMBER(SEARCH("Espeto",N317)),ISNUMBER(SEARCH("André",N317))),"SIM","")</f>
        <v/>
      </c>
      <c r="Y317" s="92">
        <f>IF(AND(ISNUMBER(SEARCH("Delivery",N317)),ISNUMBER(SEARCH("Carin",N317))),"SIM","")</f>
        <v/>
      </c>
      <c r="Z317" s="92">
        <f>IF(AND(ISNUMBER(SEARCH("Delivery",N317)),ISNUMBER(SEARCH("Lapa",N317))),"SIM","")</f>
        <v/>
      </c>
      <c r="AA317" s="92">
        <f>IF(AND(ISNUMBER(SEARCH("Delivery",N317)),ISNUMBER(SEARCH("Tatuapé",N317))),"SIM","")</f>
        <v/>
      </c>
      <c r="AB317" s="92">
        <f>IF(AND(ISNUMBER(SEARCH("Delivery",N317)),ISNUMBER(SEARCH("Pavão",N317))),"SIM","")</f>
        <v/>
      </c>
      <c r="AC317" s="92">
        <f>IF(AND(ISNUMBER(SEARCH("Delivery",N317)),ISNUMBER(SEARCH("Chac",N317))),"SIM","")</f>
        <v/>
      </c>
      <c r="AD317" s="92">
        <f>IF(AND(ISNUMBER(SEARCH("Delivery",N317)),ISNUMBER(SEARCH("Madalena",N317))),"SIM","")</f>
        <v/>
      </c>
      <c r="AE317" s="92">
        <f>IF(AND(ISNUMBER(SEARCH("Delivery",N317)),ISNUMBER(SEARCH("Mariana",N317))),"SIM","")</f>
        <v/>
      </c>
      <c r="AF317" s="92">
        <f>IF(AND(ISNUMBER(SEARCH("Delivery",N317)),ISNUMBER(SEARCH("Perdizes",N317))),"SIM","")</f>
        <v/>
      </c>
      <c r="AG317" s="92">
        <f>IF(AND(ISNUMBER(SEARCH("Delivery",N317)),ISNUMBER(SEARCH("Santana",N317))),"SIM","")</f>
        <v/>
      </c>
      <c r="AH317" s="92">
        <f>IF(AND(ISNUMBER(SEARCH("Delivery",N317)),ISNUMBER(SEARCH("André",N317))),"SIM","")</f>
        <v/>
      </c>
      <c r="AI317" s="92">
        <f>IF(ISNUMBER(SEARCH("Interlagos",N317)),"SIM","")</f>
        <v/>
      </c>
      <c r="AJ317" s="92">
        <f>IF(ISNUMBER(SEARCH("Quiosque",N317)),"SIM","")</f>
        <v/>
      </c>
      <c r="AK317" s="93" t="n"/>
    </row>
    <row r="318">
      <c r="A318" s="88" t="inlineStr">
        <is>
          <t>Protheus</t>
        </is>
      </c>
      <c r="B318" s="96" t="inlineStr">
        <is>
          <t>001791</t>
        </is>
      </c>
      <c r="C318" s="97">
        <f>IF(B318="—","—",IFERROR(VLOOKUP(B318,_Protheus_Cadastro!$A:$B,2,FALSE),"—"))</f>
        <v/>
      </c>
      <c r="D318" s="98">
        <f>IF(B318="—",IFERROR(INDEX(_ZIG_Cadastro!$D:$D,MATCH(H318,_ZIG_Cadastro!$A:$A,0)),"Produto"),IFERROR(VLOOKUP(B318,_Protheus_Cadastro!$A:$C,3,FALSE),"—"))</f>
        <v/>
      </c>
      <c r="E318" s="98">
        <f>IF(B318="—","—",IFERROR(VLOOKUP(B318,_Protheus_Cadastro!$A:$D,4,FALSE),"—"))</f>
        <v/>
      </c>
      <c r="F318" s="98">
        <f>IF(ISERROR(VLOOKUP(B318,'Estrutura Protheus'!A:A,1,FALSE)),"Não","Sim")</f>
        <v/>
      </c>
      <c r="G318" s="99">
        <f>IFERROR(INDEX(_Protheus_Cadastro!$H:$H,MATCH(B318,_Protheus_Cadastro!$A:$A,0)),"—")</f>
        <v/>
      </c>
      <c r="H318" s="211">
        <f>IFERROR(INDEX(_ZIG_Precos!$D:$D,MATCH(I318,_ZIG_Precos!$F:$F,0)),"—")</f>
        <v/>
      </c>
      <c r="I318" s="103">
        <f>IFERROR(VLOOKUP(B318,_Protheus_Cadastro!$A:$I,9,FALSE),"—")</f>
        <v/>
      </c>
      <c r="J318" s="101">
        <f>IFERROR(INDEX(_ZIG_Cadastro!$B:$B,MATCH(I318,_ZIG_Cadastro!$A:$A,0)),IFERROR(INDEX(_Entradas_ZIG!$B:$B,MATCH(I318,_Entradas_ZIG!$C:$C,0)),"—"))</f>
        <v/>
      </c>
      <c r="K318" s="101">
        <f>IFERROR(INDEX(_ZIG_Cadastro!$C:$C,MATCH(I318,_ZIG_Cadastro!$A:$A,0)),IFERROR(INDEX(_Entradas_ZIG!$D:$D,MATCH(I318,_Entradas_ZIG!$C:$C,0)),"—"))</f>
        <v/>
      </c>
      <c r="L318" s="99">
        <f>IF(I318="","Sem SKU ZIG",IF(I318="—","Sem SKU ZIG",IF(NOT(ISERROR(MATCH(I318,_ZIG_Cadastro!$A:$A,0))),IF(EXACT(UPPER(TRIM(C318)),UPPER(TRIM(INDEX(_ZIG_Cadastro!$B:$B,MATCH(I318,_ZIG_Cadastro!$A:$A,0))))),"OK","Atencao - Nome diverge"),IF(NOT(ISERROR(MATCH(I318,_Entradas_ZIG!$C:$C,0))),"OK","Erro - SKU nao encontrado"))))</f>
        <v/>
      </c>
      <c r="M318" s="99">
        <f>IFERROR(INDEX(_ZIG_Cadastro!$G:$G,MATCH(I318,_ZIG_Cadastro!$A:$A,0)),IF(NOT(ISERROR(MATCH(I318,_Entradas_ZIG!$C:$C,0))),"Ativo","—"))</f>
        <v/>
      </c>
      <c r="N318" s="102">
        <f>IFERROR(INDEX(_ZIG_Cadastro!$E:$E,MATCH(I318,_ZIG_Cadastro!$A:$A,0)),IFERROR(INDEX(_Entradas_ZIG!$F:$F,MATCH(I318,_Entradas_ZIG!$C:$C,0)),"—"))</f>
        <v/>
      </c>
      <c r="O318" s="99">
        <f>IF(AND(ISNUMBER(SEARCH("Espeto",N318)),ISNUMBER(SEARCH("Carin",N318))),"SIM","")</f>
        <v/>
      </c>
      <c r="P318" s="99">
        <f>IF(AND(ISNUMBER(SEARCH("Espeto",N318)),ISNUMBER(SEARCH("Lapa",N318))),"SIM","")</f>
        <v/>
      </c>
      <c r="Q318" s="99">
        <f>IF(AND(ISNUMBER(SEARCH("Espeto",N318)),ISNUMBER(SEARCH("Tatuapé",N318))),"SIM","")</f>
        <v/>
      </c>
      <c r="R318" s="99">
        <f>IF(AND(ISNUMBER(SEARCH("Espeto",N318)),ISNUMBER(SEARCH("Pavão",N318))),"SIM","")</f>
        <v/>
      </c>
      <c r="S318" s="99">
        <f>IF(AND(ISNUMBER(SEARCH("Espeto",N318)),ISNUMBER(SEARCH("Chac",N318))),"SIM","")</f>
        <v/>
      </c>
      <c r="T318" s="99">
        <f>IF(AND(ISNUMBER(SEARCH("Espeto",N318)),ISNUMBER(SEARCH("Madalena",N318))),"SIM","")</f>
        <v/>
      </c>
      <c r="U318" s="99">
        <f>IF(AND(ISNUMBER(SEARCH("Espeto",N318)),ISNUMBER(SEARCH("Mariana",N318))),"SIM","")</f>
        <v/>
      </c>
      <c r="V318" s="99">
        <f>IF(AND(ISNUMBER(SEARCH("Espeto",N318)),ISNUMBER(SEARCH("Perdizes",N318))),"SIM","")</f>
        <v/>
      </c>
      <c r="W318" s="99">
        <f>IF(AND(ISNUMBER(SEARCH("Espeto",N318)),ISNUMBER(SEARCH("Santana",N318))),"SIM","")</f>
        <v/>
      </c>
      <c r="X318" s="99">
        <f>IF(AND(ISNUMBER(SEARCH("Espeto",N318)),ISNUMBER(SEARCH("André",N318))),"SIM","")</f>
        <v/>
      </c>
      <c r="Y318" s="99">
        <f>IF(AND(ISNUMBER(SEARCH("Delivery",N318)),ISNUMBER(SEARCH("Carin",N318))),"SIM","")</f>
        <v/>
      </c>
      <c r="Z318" s="99">
        <f>IF(AND(ISNUMBER(SEARCH("Delivery",N318)),ISNUMBER(SEARCH("Lapa",N318))),"SIM","")</f>
        <v/>
      </c>
      <c r="AA318" s="99">
        <f>IF(AND(ISNUMBER(SEARCH("Delivery",N318)),ISNUMBER(SEARCH("Tatuapé",N318))),"SIM","")</f>
        <v/>
      </c>
      <c r="AB318" s="99">
        <f>IF(AND(ISNUMBER(SEARCH("Delivery",N318)),ISNUMBER(SEARCH("Pavão",N318))),"SIM","")</f>
        <v/>
      </c>
      <c r="AC318" s="99">
        <f>IF(AND(ISNUMBER(SEARCH("Delivery",N318)),ISNUMBER(SEARCH("Chac",N318))),"SIM","")</f>
        <v/>
      </c>
      <c r="AD318" s="99">
        <f>IF(AND(ISNUMBER(SEARCH("Delivery",N318)),ISNUMBER(SEARCH("Madalena",N318))),"SIM","")</f>
        <v/>
      </c>
      <c r="AE318" s="99">
        <f>IF(AND(ISNUMBER(SEARCH("Delivery",N318)),ISNUMBER(SEARCH("Mariana",N318))),"SIM","")</f>
        <v/>
      </c>
      <c r="AF318" s="99">
        <f>IF(AND(ISNUMBER(SEARCH("Delivery",N318)),ISNUMBER(SEARCH("Perdizes",N318))),"SIM","")</f>
        <v/>
      </c>
      <c r="AG318" s="99">
        <f>IF(AND(ISNUMBER(SEARCH("Delivery",N318)),ISNUMBER(SEARCH("Santana",N318))),"SIM","")</f>
        <v/>
      </c>
      <c r="AH318" s="99">
        <f>IF(AND(ISNUMBER(SEARCH("Delivery",N318)),ISNUMBER(SEARCH("André",N318))),"SIM","")</f>
        <v/>
      </c>
      <c r="AI318" s="99">
        <f>IF(ISNUMBER(SEARCH("Interlagos",N318)),"SIM","")</f>
        <v/>
      </c>
      <c r="AJ318" s="99">
        <f>IF(ISNUMBER(SEARCH("Quiosque",N318)),"SIM","")</f>
        <v/>
      </c>
      <c r="AK318" s="101" t="n"/>
    </row>
    <row r="319">
      <c r="A319" s="88" t="inlineStr">
        <is>
          <t>Protheus</t>
        </is>
      </c>
      <c r="B319" s="89" t="inlineStr">
        <is>
          <t>0020010</t>
        </is>
      </c>
      <c r="C319" s="90">
        <f>IF(B319="—","—",IFERROR(VLOOKUP(B319,_Protheus_Cadastro!$A:$B,2,FALSE),"—"))</f>
        <v/>
      </c>
      <c r="D319" s="91">
        <f>IF(B319="—",IFERROR(INDEX(_ZIG_Cadastro!$D:$D,MATCH(H319,_ZIG_Cadastro!$A:$A,0)),"Produto"),IFERROR(VLOOKUP(B319,_Protheus_Cadastro!$A:$C,3,FALSE),"—"))</f>
        <v/>
      </c>
      <c r="E319" s="91">
        <f>IF(B319="—","—",IFERROR(VLOOKUP(B319,_Protheus_Cadastro!$A:$D,4,FALSE),"—"))</f>
        <v/>
      </c>
      <c r="F319" s="91">
        <f>IF(ISERROR(VLOOKUP(B319,'Estrutura Protheus'!A:A,1,FALSE)),"Não","Sim")</f>
        <v/>
      </c>
      <c r="G319" s="92">
        <f>IFERROR(INDEX(_Protheus_Cadastro!$H:$H,MATCH(B319,_Protheus_Cadastro!$A:$A,0)),"—")</f>
        <v/>
      </c>
      <c r="H319" s="210">
        <f>IFERROR(INDEX(_ZIG_Precos!$D:$D,MATCH(I319,_ZIG_Precos!$F:$F,0)),"—")</f>
        <v/>
      </c>
      <c r="I319" s="95">
        <f>IFERROR(VLOOKUP(B319,_Protheus_Cadastro!$A:$I,9,FALSE),"—")</f>
        <v/>
      </c>
      <c r="J319" s="93">
        <f>IFERROR(INDEX(_ZIG_Cadastro!$B:$B,MATCH(I319,_ZIG_Cadastro!$A:$A,0)),IFERROR(INDEX(_Entradas_ZIG!$B:$B,MATCH(I319,_Entradas_ZIG!$C:$C,0)),"—"))</f>
        <v/>
      </c>
      <c r="K319" s="93">
        <f>IFERROR(INDEX(_ZIG_Cadastro!$C:$C,MATCH(I319,_ZIG_Cadastro!$A:$A,0)),IFERROR(INDEX(_Entradas_ZIG!$D:$D,MATCH(I319,_Entradas_ZIG!$C:$C,0)),"—"))</f>
        <v/>
      </c>
      <c r="L319" s="92">
        <f>IF(I319="","Sem SKU ZIG",IF(I319="—","Sem SKU ZIG",IF(NOT(ISERROR(MATCH(I319,_ZIG_Cadastro!$A:$A,0))),IF(EXACT(UPPER(TRIM(C319)),UPPER(TRIM(INDEX(_ZIG_Cadastro!$B:$B,MATCH(I319,_ZIG_Cadastro!$A:$A,0))))),"OK","Atencao - Nome diverge"),IF(NOT(ISERROR(MATCH(I319,_Entradas_ZIG!$C:$C,0))),"OK","Erro - SKU nao encontrado"))))</f>
        <v/>
      </c>
      <c r="M319" s="92">
        <f>IFERROR(INDEX(_ZIG_Cadastro!$G:$G,MATCH(I319,_ZIG_Cadastro!$A:$A,0)),IF(NOT(ISERROR(MATCH(I319,_Entradas_ZIG!$C:$C,0))),"Ativo","—"))</f>
        <v/>
      </c>
      <c r="N319" s="94">
        <f>IFERROR(INDEX(_ZIG_Cadastro!$E:$E,MATCH(I319,_ZIG_Cadastro!$A:$A,0)),IFERROR(INDEX(_Entradas_ZIG!$F:$F,MATCH(I319,_Entradas_ZIG!$C:$C,0)),"—"))</f>
        <v/>
      </c>
      <c r="O319" s="92">
        <f>IF(AND(ISNUMBER(SEARCH("Espeto",N319)),ISNUMBER(SEARCH("Carin",N319))),"SIM","")</f>
        <v/>
      </c>
      <c r="P319" s="92">
        <f>IF(AND(ISNUMBER(SEARCH("Espeto",N319)),ISNUMBER(SEARCH("Lapa",N319))),"SIM","")</f>
        <v/>
      </c>
      <c r="Q319" s="92">
        <f>IF(AND(ISNUMBER(SEARCH("Espeto",N319)),ISNUMBER(SEARCH("Tatuapé",N319))),"SIM","")</f>
        <v/>
      </c>
      <c r="R319" s="92">
        <f>IF(AND(ISNUMBER(SEARCH("Espeto",N319)),ISNUMBER(SEARCH("Pavão",N319))),"SIM","")</f>
        <v/>
      </c>
      <c r="S319" s="92">
        <f>IF(AND(ISNUMBER(SEARCH("Espeto",N319)),ISNUMBER(SEARCH("Chac",N319))),"SIM","")</f>
        <v/>
      </c>
      <c r="T319" s="92">
        <f>IF(AND(ISNUMBER(SEARCH("Espeto",N319)),ISNUMBER(SEARCH("Madalena",N319))),"SIM","")</f>
        <v/>
      </c>
      <c r="U319" s="92">
        <f>IF(AND(ISNUMBER(SEARCH("Espeto",N319)),ISNUMBER(SEARCH("Mariana",N319))),"SIM","")</f>
        <v/>
      </c>
      <c r="V319" s="92">
        <f>IF(AND(ISNUMBER(SEARCH("Espeto",N319)),ISNUMBER(SEARCH("Perdizes",N319))),"SIM","")</f>
        <v/>
      </c>
      <c r="W319" s="92">
        <f>IF(AND(ISNUMBER(SEARCH("Espeto",N319)),ISNUMBER(SEARCH("Santana",N319))),"SIM","")</f>
        <v/>
      </c>
      <c r="X319" s="92">
        <f>IF(AND(ISNUMBER(SEARCH("Espeto",N319)),ISNUMBER(SEARCH("André",N319))),"SIM","")</f>
        <v/>
      </c>
      <c r="Y319" s="92">
        <f>IF(AND(ISNUMBER(SEARCH("Delivery",N319)),ISNUMBER(SEARCH("Carin",N319))),"SIM","")</f>
        <v/>
      </c>
      <c r="Z319" s="92">
        <f>IF(AND(ISNUMBER(SEARCH("Delivery",N319)),ISNUMBER(SEARCH("Lapa",N319))),"SIM","")</f>
        <v/>
      </c>
      <c r="AA319" s="92">
        <f>IF(AND(ISNUMBER(SEARCH("Delivery",N319)),ISNUMBER(SEARCH("Tatuapé",N319))),"SIM","")</f>
        <v/>
      </c>
      <c r="AB319" s="92">
        <f>IF(AND(ISNUMBER(SEARCH("Delivery",N319)),ISNUMBER(SEARCH("Pavão",N319))),"SIM","")</f>
        <v/>
      </c>
      <c r="AC319" s="92">
        <f>IF(AND(ISNUMBER(SEARCH("Delivery",N319)),ISNUMBER(SEARCH("Chac",N319))),"SIM","")</f>
        <v/>
      </c>
      <c r="AD319" s="92">
        <f>IF(AND(ISNUMBER(SEARCH("Delivery",N319)),ISNUMBER(SEARCH("Madalena",N319))),"SIM","")</f>
        <v/>
      </c>
      <c r="AE319" s="92">
        <f>IF(AND(ISNUMBER(SEARCH("Delivery",N319)),ISNUMBER(SEARCH("Mariana",N319))),"SIM","")</f>
        <v/>
      </c>
      <c r="AF319" s="92">
        <f>IF(AND(ISNUMBER(SEARCH("Delivery",N319)),ISNUMBER(SEARCH("Perdizes",N319))),"SIM","")</f>
        <v/>
      </c>
      <c r="AG319" s="92">
        <f>IF(AND(ISNUMBER(SEARCH("Delivery",N319)),ISNUMBER(SEARCH("Santana",N319))),"SIM","")</f>
        <v/>
      </c>
      <c r="AH319" s="92">
        <f>IF(AND(ISNUMBER(SEARCH("Delivery",N319)),ISNUMBER(SEARCH("André",N319))),"SIM","")</f>
        <v/>
      </c>
      <c r="AI319" s="92">
        <f>IF(ISNUMBER(SEARCH("Interlagos",N319)),"SIM","")</f>
        <v/>
      </c>
      <c r="AJ319" s="92">
        <f>IF(ISNUMBER(SEARCH("Quiosque",N319)),"SIM","")</f>
        <v/>
      </c>
      <c r="AK319" s="93" t="n"/>
    </row>
    <row r="320">
      <c r="A320" s="88" t="inlineStr">
        <is>
          <t>Protheus</t>
        </is>
      </c>
      <c r="B320" s="96" t="inlineStr">
        <is>
          <t>010002</t>
        </is>
      </c>
      <c r="C320" s="97">
        <f>IF(B320="—","—",IFERROR(VLOOKUP(B320,_Protheus_Cadastro!$A:$B,2,FALSE),"—"))</f>
        <v/>
      </c>
      <c r="D320" s="98">
        <f>IF(B320="—",IFERROR(INDEX(_ZIG_Cadastro!$D:$D,MATCH(H320,_ZIG_Cadastro!$A:$A,0)),"Produto"),IFERROR(VLOOKUP(B320,_Protheus_Cadastro!$A:$C,3,FALSE),"—"))</f>
        <v/>
      </c>
      <c r="E320" s="98">
        <f>IF(B320="—","—",IFERROR(VLOOKUP(B320,_Protheus_Cadastro!$A:$D,4,FALSE),"—"))</f>
        <v/>
      </c>
      <c r="F320" s="98">
        <f>IF(ISERROR(VLOOKUP(B320,'Estrutura Protheus'!A:A,1,FALSE)),"Não","Sim")</f>
        <v/>
      </c>
      <c r="G320" s="99">
        <f>IFERROR(INDEX(_Protheus_Cadastro!$H:$H,MATCH(B320,_Protheus_Cadastro!$A:$A,0)),"—")</f>
        <v/>
      </c>
      <c r="H320" s="211">
        <f>IFERROR(INDEX(_ZIG_Precos!$D:$D,MATCH(I320,_ZIG_Precos!$F:$F,0)),"—")</f>
        <v/>
      </c>
      <c r="I320" s="103">
        <f>IFERROR(VLOOKUP(B320,_Protheus_Cadastro!$A:$I,9,FALSE),"—")</f>
        <v/>
      </c>
      <c r="J320" s="101">
        <f>IFERROR(INDEX(_ZIG_Cadastro!$B:$B,MATCH(I320,_ZIG_Cadastro!$A:$A,0)),IFERROR(INDEX(_Entradas_ZIG!$B:$B,MATCH(I320,_Entradas_ZIG!$C:$C,0)),"—"))</f>
        <v/>
      </c>
      <c r="K320" s="101">
        <f>IFERROR(INDEX(_ZIG_Cadastro!$C:$C,MATCH(I320,_ZIG_Cadastro!$A:$A,0)),IFERROR(INDEX(_Entradas_ZIG!$D:$D,MATCH(I320,_Entradas_ZIG!$C:$C,0)),"—"))</f>
        <v/>
      </c>
      <c r="L320" s="99">
        <f>IF(I320="","Sem SKU ZIG",IF(I320="—","Sem SKU ZIG",IF(NOT(ISERROR(MATCH(I320,_ZIG_Cadastro!$A:$A,0))),IF(EXACT(UPPER(TRIM(C320)),UPPER(TRIM(INDEX(_ZIG_Cadastro!$B:$B,MATCH(I320,_ZIG_Cadastro!$A:$A,0))))),"OK","Atencao - Nome diverge"),IF(NOT(ISERROR(MATCH(I320,_Entradas_ZIG!$C:$C,0))),"OK","Erro - SKU nao encontrado"))))</f>
        <v/>
      </c>
      <c r="M320" s="99">
        <f>IFERROR(INDEX(_ZIG_Cadastro!$G:$G,MATCH(I320,_ZIG_Cadastro!$A:$A,0)),IF(NOT(ISERROR(MATCH(I320,_Entradas_ZIG!$C:$C,0))),"Ativo","—"))</f>
        <v/>
      </c>
      <c r="N320" s="102">
        <f>IFERROR(INDEX(_ZIG_Cadastro!$E:$E,MATCH(I320,_ZIG_Cadastro!$A:$A,0)),IFERROR(INDEX(_Entradas_ZIG!$F:$F,MATCH(I320,_Entradas_ZIG!$C:$C,0)),"—"))</f>
        <v/>
      </c>
      <c r="O320" s="99">
        <f>IF(AND(ISNUMBER(SEARCH("Espeto",N320)),ISNUMBER(SEARCH("Carin",N320))),"SIM","")</f>
        <v/>
      </c>
      <c r="P320" s="99">
        <f>IF(AND(ISNUMBER(SEARCH("Espeto",N320)),ISNUMBER(SEARCH("Lapa",N320))),"SIM","")</f>
        <v/>
      </c>
      <c r="Q320" s="99">
        <f>IF(AND(ISNUMBER(SEARCH("Espeto",N320)),ISNUMBER(SEARCH("Tatuapé",N320))),"SIM","")</f>
        <v/>
      </c>
      <c r="R320" s="99">
        <f>IF(AND(ISNUMBER(SEARCH("Espeto",N320)),ISNUMBER(SEARCH("Pavão",N320))),"SIM","")</f>
        <v/>
      </c>
      <c r="S320" s="99">
        <f>IF(AND(ISNUMBER(SEARCH("Espeto",N320)),ISNUMBER(SEARCH("Chac",N320))),"SIM","")</f>
        <v/>
      </c>
      <c r="T320" s="99">
        <f>IF(AND(ISNUMBER(SEARCH("Espeto",N320)),ISNUMBER(SEARCH("Madalena",N320))),"SIM","")</f>
        <v/>
      </c>
      <c r="U320" s="99">
        <f>IF(AND(ISNUMBER(SEARCH("Espeto",N320)),ISNUMBER(SEARCH("Mariana",N320))),"SIM","")</f>
        <v/>
      </c>
      <c r="V320" s="99">
        <f>IF(AND(ISNUMBER(SEARCH("Espeto",N320)),ISNUMBER(SEARCH("Perdizes",N320))),"SIM","")</f>
        <v/>
      </c>
      <c r="W320" s="99">
        <f>IF(AND(ISNUMBER(SEARCH("Espeto",N320)),ISNUMBER(SEARCH("Santana",N320))),"SIM","")</f>
        <v/>
      </c>
      <c r="X320" s="99">
        <f>IF(AND(ISNUMBER(SEARCH("Espeto",N320)),ISNUMBER(SEARCH("André",N320))),"SIM","")</f>
        <v/>
      </c>
      <c r="Y320" s="99">
        <f>IF(AND(ISNUMBER(SEARCH("Delivery",N320)),ISNUMBER(SEARCH("Carin",N320))),"SIM","")</f>
        <v/>
      </c>
      <c r="Z320" s="99">
        <f>IF(AND(ISNUMBER(SEARCH("Delivery",N320)),ISNUMBER(SEARCH("Lapa",N320))),"SIM","")</f>
        <v/>
      </c>
      <c r="AA320" s="99">
        <f>IF(AND(ISNUMBER(SEARCH("Delivery",N320)),ISNUMBER(SEARCH("Tatuapé",N320))),"SIM","")</f>
        <v/>
      </c>
      <c r="AB320" s="99">
        <f>IF(AND(ISNUMBER(SEARCH("Delivery",N320)),ISNUMBER(SEARCH("Pavão",N320))),"SIM","")</f>
        <v/>
      </c>
      <c r="AC320" s="99">
        <f>IF(AND(ISNUMBER(SEARCH("Delivery",N320)),ISNUMBER(SEARCH("Chac",N320))),"SIM","")</f>
        <v/>
      </c>
      <c r="AD320" s="99">
        <f>IF(AND(ISNUMBER(SEARCH("Delivery",N320)),ISNUMBER(SEARCH("Madalena",N320))),"SIM","")</f>
        <v/>
      </c>
      <c r="AE320" s="99">
        <f>IF(AND(ISNUMBER(SEARCH("Delivery",N320)),ISNUMBER(SEARCH("Mariana",N320))),"SIM","")</f>
        <v/>
      </c>
      <c r="AF320" s="99">
        <f>IF(AND(ISNUMBER(SEARCH("Delivery",N320)),ISNUMBER(SEARCH("Perdizes",N320))),"SIM","")</f>
        <v/>
      </c>
      <c r="AG320" s="99">
        <f>IF(AND(ISNUMBER(SEARCH("Delivery",N320)),ISNUMBER(SEARCH("Santana",N320))),"SIM","")</f>
        <v/>
      </c>
      <c r="AH320" s="99">
        <f>IF(AND(ISNUMBER(SEARCH("Delivery",N320)),ISNUMBER(SEARCH("André",N320))),"SIM","")</f>
        <v/>
      </c>
      <c r="AI320" s="99">
        <f>IF(ISNUMBER(SEARCH("Interlagos",N320)),"SIM","")</f>
        <v/>
      </c>
      <c r="AJ320" s="99">
        <f>IF(ISNUMBER(SEARCH("Quiosque",N320)),"SIM","")</f>
        <v/>
      </c>
      <c r="AK320" s="101" t="n"/>
    </row>
    <row r="321">
      <c r="A321" s="88" t="inlineStr">
        <is>
          <t>Protheus</t>
        </is>
      </c>
      <c r="B321" s="89" t="inlineStr">
        <is>
          <t>010074</t>
        </is>
      </c>
      <c r="C321" s="90">
        <f>IF(B321="—","—",IFERROR(VLOOKUP(B321,_Protheus_Cadastro!$A:$B,2,FALSE),"—"))</f>
        <v/>
      </c>
      <c r="D321" s="91">
        <f>IF(B321="—",IFERROR(INDEX(_ZIG_Cadastro!$D:$D,MATCH(H321,_ZIG_Cadastro!$A:$A,0)),"Produto"),IFERROR(VLOOKUP(B321,_Protheus_Cadastro!$A:$C,3,FALSE),"—"))</f>
        <v/>
      </c>
      <c r="E321" s="91">
        <f>IF(B321="—","—",IFERROR(VLOOKUP(B321,_Protheus_Cadastro!$A:$D,4,FALSE),"—"))</f>
        <v/>
      </c>
      <c r="F321" s="91">
        <f>IF(ISERROR(VLOOKUP(B321,'Estrutura Protheus'!A:A,1,FALSE)),"Não","Sim")</f>
        <v/>
      </c>
      <c r="G321" s="92">
        <f>IFERROR(INDEX(_Protheus_Cadastro!$H:$H,MATCH(B321,_Protheus_Cadastro!$A:$A,0)),"—")</f>
        <v/>
      </c>
      <c r="H321" s="210">
        <f>IFERROR(INDEX(_ZIG_Precos!$D:$D,MATCH(I321,_ZIG_Precos!$F:$F,0)),"—")</f>
        <v/>
      </c>
      <c r="I321" s="95">
        <f>IFERROR(VLOOKUP(B321,_Protheus_Cadastro!$A:$I,9,FALSE),"—")</f>
        <v/>
      </c>
      <c r="J321" s="93">
        <f>IFERROR(INDEX(_ZIG_Cadastro!$B:$B,MATCH(I321,_ZIG_Cadastro!$A:$A,0)),IFERROR(INDEX(_Entradas_ZIG!$B:$B,MATCH(I321,_Entradas_ZIG!$C:$C,0)),"—"))</f>
        <v/>
      </c>
      <c r="K321" s="93">
        <f>IFERROR(INDEX(_ZIG_Cadastro!$C:$C,MATCH(I321,_ZIG_Cadastro!$A:$A,0)),IFERROR(INDEX(_Entradas_ZIG!$D:$D,MATCH(I321,_Entradas_ZIG!$C:$C,0)),"—"))</f>
        <v/>
      </c>
      <c r="L321" s="92">
        <f>IF(I321="","Sem SKU ZIG",IF(I321="—","Sem SKU ZIG",IF(NOT(ISERROR(MATCH(I321,_ZIG_Cadastro!$A:$A,0))),IF(EXACT(UPPER(TRIM(C321)),UPPER(TRIM(INDEX(_ZIG_Cadastro!$B:$B,MATCH(I321,_ZIG_Cadastro!$A:$A,0))))),"OK","Atencao - Nome diverge"),IF(NOT(ISERROR(MATCH(I321,_Entradas_ZIG!$C:$C,0))),"OK","Erro - SKU nao encontrado"))))</f>
        <v/>
      </c>
      <c r="M321" s="92">
        <f>IFERROR(INDEX(_ZIG_Cadastro!$G:$G,MATCH(I321,_ZIG_Cadastro!$A:$A,0)),IF(NOT(ISERROR(MATCH(I321,_Entradas_ZIG!$C:$C,0))),"Ativo","—"))</f>
        <v/>
      </c>
      <c r="N321" s="94">
        <f>IFERROR(INDEX(_ZIG_Cadastro!$E:$E,MATCH(I321,_ZIG_Cadastro!$A:$A,0)),IFERROR(INDEX(_Entradas_ZIG!$F:$F,MATCH(I321,_Entradas_ZIG!$C:$C,0)),"—"))</f>
        <v/>
      </c>
      <c r="O321" s="92">
        <f>IF(AND(ISNUMBER(SEARCH("Espeto",N321)),ISNUMBER(SEARCH("Carin",N321))),"SIM","")</f>
        <v/>
      </c>
      <c r="P321" s="92">
        <f>IF(AND(ISNUMBER(SEARCH("Espeto",N321)),ISNUMBER(SEARCH("Lapa",N321))),"SIM","")</f>
        <v/>
      </c>
      <c r="Q321" s="92">
        <f>IF(AND(ISNUMBER(SEARCH("Espeto",N321)),ISNUMBER(SEARCH("Tatuapé",N321))),"SIM","")</f>
        <v/>
      </c>
      <c r="R321" s="92">
        <f>IF(AND(ISNUMBER(SEARCH("Espeto",N321)),ISNUMBER(SEARCH("Pavão",N321))),"SIM","")</f>
        <v/>
      </c>
      <c r="S321" s="92">
        <f>IF(AND(ISNUMBER(SEARCH("Espeto",N321)),ISNUMBER(SEARCH("Chac",N321))),"SIM","")</f>
        <v/>
      </c>
      <c r="T321" s="92">
        <f>IF(AND(ISNUMBER(SEARCH("Espeto",N321)),ISNUMBER(SEARCH("Madalena",N321))),"SIM","")</f>
        <v/>
      </c>
      <c r="U321" s="92">
        <f>IF(AND(ISNUMBER(SEARCH("Espeto",N321)),ISNUMBER(SEARCH("Mariana",N321))),"SIM","")</f>
        <v/>
      </c>
      <c r="V321" s="92">
        <f>IF(AND(ISNUMBER(SEARCH("Espeto",N321)),ISNUMBER(SEARCH("Perdizes",N321))),"SIM","")</f>
        <v/>
      </c>
      <c r="W321" s="92">
        <f>IF(AND(ISNUMBER(SEARCH("Espeto",N321)),ISNUMBER(SEARCH("Santana",N321))),"SIM","")</f>
        <v/>
      </c>
      <c r="X321" s="92">
        <f>IF(AND(ISNUMBER(SEARCH("Espeto",N321)),ISNUMBER(SEARCH("André",N321))),"SIM","")</f>
        <v/>
      </c>
      <c r="Y321" s="92">
        <f>IF(AND(ISNUMBER(SEARCH("Delivery",N321)),ISNUMBER(SEARCH("Carin",N321))),"SIM","")</f>
        <v/>
      </c>
      <c r="Z321" s="92">
        <f>IF(AND(ISNUMBER(SEARCH("Delivery",N321)),ISNUMBER(SEARCH("Lapa",N321))),"SIM","")</f>
        <v/>
      </c>
      <c r="AA321" s="92">
        <f>IF(AND(ISNUMBER(SEARCH("Delivery",N321)),ISNUMBER(SEARCH("Tatuapé",N321))),"SIM","")</f>
        <v/>
      </c>
      <c r="AB321" s="92">
        <f>IF(AND(ISNUMBER(SEARCH("Delivery",N321)),ISNUMBER(SEARCH("Pavão",N321))),"SIM","")</f>
        <v/>
      </c>
      <c r="AC321" s="92">
        <f>IF(AND(ISNUMBER(SEARCH("Delivery",N321)),ISNUMBER(SEARCH("Chac",N321))),"SIM","")</f>
        <v/>
      </c>
      <c r="AD321" s="92">
        <f>IF(AND(ISNUMBER(SEARCH("Delivery",N321)),ISNUMBER(SEARCH("Madalena",N321))),"SIM","")</f>
        <v/>
      </c>
      <c r="AE321" s="92">
        <f>IF(AND(ISNUMBER(SEARCH("Delivery",N321)),ISNUMBER(SEARCH("Mariana",N321))),"SIM","")</f>
        <v/>
      </c>
      <c r="AF321" s="92">
        <f>IF(AND(ISNUMBER(SEARCH("Delivery",N321)),ISNUMBER(SEARCH("Perdizes",N321))),"SIM","")</f>
        <v/>
      </c>
      <c r="AG321" s="92">
        <f>IF(AND(ISNUMBER(SEARCH("Delivery",N321)),ISNUMBER(SEARCH("Santana",N321))),"SIM","")</f>
        <v/>
      </c>
      <c r="AH321" s="92">
        <f>IF(AND(ISNUMBER(SEARCH("Delivery",N321)),ISNUMBER(SEARCH("André",N321))),"SIM","")</f>
        <v/>
      </c>
      <c r="AI321" s="92">
        <f>IF(ISNUMBER(SEARCH("Interlagos",N321)),"SIM","")</f>
        <v/>
      </c>
      <c r="AJ321" s="92">
        <f>IF(ISNUMBER(SEARCH("Quiosque",N321)),"SIM","")</f>
        <v/>
      </c>
      <c r="AK321" s="93" t="n"/>
    </row>
    <row r="322">
      <c r="A322" s="88" t="inlineStr">
        <is>
          <t>Protheus</t>
        </is>
      </c>
      <c r="B322" s="96" t="inlineStr">
        <is>
          <t>010075</t>
        </is>
      </c>
      <c r="C322" s="97">
        <f>IF(B322="—","—",IFERROR(VLOOKUP(B322,_Protheus_Cadastro!$A:$B,2,FALSE),"—"))</f>
        <v/>
      </c>
      <c r="D322" s="98">
        <f>IF(B322="—",IFERROR(INDEX(_ZIG_Cadastro!$D:$D,MATCH(H322,_ZIG_Cadastro!$A:$A,0)),"Produto"),IFERROR(VLOOKUP(B322,_Protheus_Cadastro!$A:$C,3,FALSE),"—"))</f>
        <v/>
      </c>
      <c r="E322" s="98">
        <f>IF(B322="—","—",IFERROR(VLOOKUP(B322,_Protheus_Cadastro!$A:$D,4,FALSE),"—"))</f>
        <v/>
      </c>
      <c r="F322" s="98">
        <f>IF(ISERROR(VLOOKUP(B322,'Estrutura Protheus'!A:A,1,FALSE)),"Não","Sim")</f>
        <v/>
      </c>
      <c r="G322" s="99">
        <f>IFERROR(INDEX(_Protheus_Cadastro!$H:$H,MATCH(B322,_Protheus_Cadastro!$A:$A,0)),"—")</f>
        <v/>
      </c>
      <c r="H322" s="211">
        <f>IFERROR(INDEX(_ZIG_Precos!$D:$D,MATCH(I322,_ZIG_Precos!$F:$F,0)),"—")</f>
        <v/>
      </c>
      <c r="I322" s="103">
        <f>IFERROR(VLOOKUP(B322,_Protheus_Cadastro!$A:$I,9,FALSE),"—")</f>
        <v/>
      </c>
      <c r="J322" s="101">
        <f>IFERROR(INDEX(_ZIG_Cadastro!$B:$B,MATCH(I322,_ZIG_Cadastro!$A:$A,0)),IFERROR(INDEX(_Entradas_ZIG!$B:$B,MATCH(I322,_Entradas_ZIG!$C:$C,0)),"—"))</f>
        <v/>
      </c>
      <c r="K322" s="101">
        <f>IFERROR(INDEX(_ZIG_Cadastro!$C:$C,MATCH(I322,_ZIG_Cadastro!$A:$A,0)),IFERROR(INDEX(_Entradas_ZIG!$D:$D,MATCH(I322,_Entradas_ZIG!$C:$C,0)),"—"))</f>
        <v/>
      </c>
      <c r="L322" s="99">
        <f>IF(I322="","Sem SKU ZIG",IF(I322="—","Sem SKU ZIG",IF(NOT(ISERROR(MATCH(I322,_ZIG_Cadastro!$A:$A,0))),IF(EXACT(UPPER(TRIM(C322)),UPPER(TRIM(INDEX(_ZIG_Cadastro!$B:$B,MATCH(I322,_ZIG_Cadastro!$A:$A,0))))),"OK","Atencao - Nome diverge"),IF(NOT(ISERROR(MATCH(I322,_Entradas_ZIG!$C:$C,0))),"OK","Erro - SKU nao encontrado"))))</f>
        <v/>
      </c>
      <c r="M322" s="99">
        <f>IFERROR(INDEX(_ZIG_Cadastro!$G:$G,MATCH(I322,_ZIG_Cadastro!$A:$A,0)),IF(NOT(ISERROR(MATCH(I322,_Entradas_ZIG!$C:$C,0))),"Ativo","—"))</f>
        <v/>
      </c>
      <c r="N322" s="102">
        <f>IFERROR(INDEX(_ZIG_Cadastro!$E:$E,MATCH(I322,_ZIG_Cadastro!$A:$A,0)),IFERROR(INDEX(_Entradas_ZIG!$F:$F,MATCH(I322,_Entradas_ZIG!$C:$C,0)),"—"))</f>
        <v/>
      </c>
      <c r="O322" s="99">
        <f>IF(AND(ISNUMBER(SEARCH("Espeto",N322)),ISNUMBER(SEARCH("Carin",N322))),"SIM","")</f>
        <v/>
      </c>
      <c r="P322" s="99">
        <f>IF(AND(ISNUMBER(SEARCH("Espeto",N322)),ISNUMBER(SEARCH("Lapa",N322))),"SIM","")</f>
        <v/>
      </c>
      <c r="Q322" s="99">
        <f>IF(AND(ISNUMBER(SEARCH("Espeto",N322)),ISNUMBER(SEARCH("Tatuapé",N322))),"SIM","")</f>
        <v/>
      </c>
      <c r="R322" s="99">
        <f>IF(AND(ISNUMBER(SEARCH("Espeto",N322)),ISNUMBER(SEARCH("Pavão",N322))),"SIM","")</f>
        <v/>
      </c>
      <c r="S322" s="99">
        <f>IF(AND(ISNUMBER(SEARCH("Espeto",N322)),ISNUMBER(SEARCH("Chac",N322))),"SIM","")</f>
        <v/>
      </c>
      <c r="T322" s="99">
        <f>IF(AND(ISNUMBER(SEARCH("Espeto",N322)),ISNUMBER(SEARCH("Madalena",N322))),"SIM","")</f>
        <v/>
      </c>
      <c r="U322" s="99">
        <f>IF(AND(ISNUMBER(SEARCH("Espeto",N322)),ISNUMBER(SEARCH("Mariana",N322))),"SIM","")</f>
        <v/>
      </c>
      <c r="V322" s="99">
        <f>IF(AND(ISNUMBER(SEARCH("Espeto",N322)),ISNUMBER(SEARCH("Perdizes",N322))),"SIM","")</f>
        <v/>
      </c>
      <c r="W322" s="99">
        <f>IF(AND(ISNUMBER(SEARCH("Espeto",N322)),ISNUMBER(SEARCH("Santana",N322))),"SIM","")</f>
        <v/>
      </c>
      <c r="X322" s="99">
        <f>IF(AND(ISNUMBER(SEARCH("Espeto",N322)),ISNUMBER(SEARCH("André",N322))),"SIM","")</f>
        <v/>
      </c>
      <c r="Y322" s="99">
        <f>IF(AND(ISNUMBER(SEARCH("Delivery",N322)),ISNUMBER(SEARCH("Carin",N322))),"SIM","")</f>
        <v/>
      </c>
      <c r="Z322" s="99">
        <f>IF(AND(ISNUMBER(SEARCH("Delivery",N322)),ISNUMBER(SEARCH("Lapa",N322))),"SIM","")</f>
        <v/>
      </c>
      <c r="AA322" s="99">
        <f>IF(AND(ISNUMBER(SEARCH("Delivery",N322)),ISNUMBER(SEARCH("Tatuapé",N322))),"SIM","")</f>
        <v/>
      </c>
      <c r="AB322" s="99">
        <f>IF(AND(ISNUMBER(SEARCH("Delivery",N322)),ISNUMBER(SEARCH("Pavão",N322))),"SIM","")</f>
        <v/>
      </c>
      <c r="AC322" s="99">
        <f>IF(AND(ISNUMBER(SEARCH("Delivery",N322)),ISNUMBER(SEARCH("Chac",N322))),"SIM","")</f>
        <v/>
      </c>
      <c r="AD322" s="99">
        <f>IF(AND(ISNUMBER(SEARCH("Delivery",N322)),ISNUMBER(SEARCH("Madalena",N322))),"SIM","")</f>
        <v/>
      </c>
      <c r="AE322" s="99">
        <f>IF(AND(ISNUMBER(SEARCH("Delivery",N322)),ISNUMBER(SEARCH("Mariana",N322))),"SIM","")</f>
        <v/>
      </c>
      <c r="AF322" s="99">
        <f>IF(AND(ISNUMBER(SEARCH("Delivery",N322)),ISNUMBER(SEARCH("Perdizes",N322))),"SIM","")</f>
        <v/>
      </c>
      <c r="AG322" s="99">
        <f>IF(AND(ISNUMBER(SEARCH("Delivery",N322)),ISNUMBER(SEARCH("Santana",N322))),"SIM","")</f>
        <v/>
      </c>
      <c r="AH322" s="99">
        <f>IF(AND(ISNUMBER(SEARCH("Delivery",N322)),ISNUMBER(SEARCH("André",N322))),"SIM","")</f>
        <v/>
      </c>
      <c r="AI322" s="99">
        <f>IF(ISNUMBER(SEARCH("Interlagos",N322)),"SIM","")</f>
        <v/>
      </c>
      <c r="AJ322" s="99">
        <f>IF(ISNUMBER(SEARCH("Quiosque",N322)),"SIM","")</f>
        <v/>
      </c>
      <c r="AK322" s="101" t="n"/>
    </row>
    <row r="323">
      <c r="A323" s="88" t="inlineStr">
        <is>
          <t>Protheus</t>
        </is>
      </c>
      <c r="B323" s="89" t="inlineStr">
        <is>
          <t>010003</t>
        </is>
      </c>
      <c r="C323" s="90">
        <f>IF(B323="—","—",IFERROR(VLOOKUP(B323,_Protheus_Cadastro!$A:$B,2,FALSE),"—"))</f>
        <v/>
      </c>
      <c r="D323" s="91">
        <f>IF(B323="—",IFERROR(INDEX(_ZIG_Cadastro!$D:$D,MATCH(H323,_ZIG_Cadastro!$A:$A,0)),"Produto"),IFERROR(VLOOKUP(B323,_Protheus_Cadastro!$A:$C,3,FALSE),"—"))</f>
        <v/>
      </c>
      <c r="E323" s="91">
        <f>IF(B323="—","—",IFERROR(VLOOKUP(B323,_Protheus_Cadastro!$A:$D,4,FALSE),"—"))</f>
        <v/>
      </c>
      <c r="F323" s="91">
        <f>IF(ISERROR(VLOOKUP(B323,'Estrutura Protheus'!A:A,1,FALSE)),"Não","Sim")</f>
        <v/>
      </c>
      <c r="G323" s="92">
        <f>IFERROR(INDEX(_Protheus_Cadastro!$H:$H,MATCH(B323,_Protheus_Cadastro!$A:$A,0)),"—")</f>
        <v/>
      </c>
      <c r="H323" s="210">
        <f>IFERROR(INDEX(_ZIG_Precos!$D:$D,MATCH(I323,_ZIG_Precos!$F:$F,0)),"—")</f>
        <v/>
      </c>
      <c r="I323" s="95">
        <f>IFERROR(VLOOKUP(B323,_Protheus_Cadastro!$A:$I,9,FALSE),"—")</f>
        <v/>
      </c>
      <c r="J323" s="93">
        <f>IFERROR(INDEX(_ZIG_Cadastro!$B:$B,MATCH(I323,_ZIG_Cadastro!$A:$A,0)),IFERROR(INDEX(_Entradas_ZIG!$B:$B,MATCH(I323,_Entradas_ZIG!$C:$C,0)),"—"))</f>
        <v/>
      </c>
      <c r="K323" s="93">
        <f>IFERROR(INDEX(_ZIG_Cadastro!$C:$C,MATCH(I323,_ZIG_Cadastro!$A:$A,0)),IFERROR(INDEX(_Entradas_ZIG!$D:$D,MATCH(I323,_Entradas_ZIG!$C:$C,0)),"—"))</f>
        <v/>
      </c>
      <c r="L323" s="92">
        <f>IF(I323="","Sem SKU ZIG",IF(I323="—","Sem SKU ZIG",IF(NOT(ISERROR(MATCH(I323,_ZIG_Cadastro!$A:$A,0))),IF(EXACT(UPPER(TRIM(C323)),UPPER(TRIM(INDEX(_ZIG_Cadastro!$B:$B,MATCH(I323,_ZIG_Cadastro!$A:$A,0))))),"OK","Atencao - Nome diverge"),IF(NOT(ISERROR(MATCH(I323,_Entradas_ZIG!$C:$C,0))),"OK","Erro - SKU nao encontrado"))))</f>
        <v/>
      </c>
      <c r="M323" s="92">
        <f>IFERROR(INDEX(_ZIG_Cadastro!$G:$G,MATCH(I323,_ZIG_Cadastro!$A:$A,0)),IF(NOT(ISERROR(MATCH(I323,_Entradas_ZIG!$C:$C,0))),"Ativo","—"))</f>
        <v/>
      </c>
      <c r="N323" s="94">
        <f>IFERROR(INDEX(_ZIG_Cadastro!$E:$E,MATCH(I323,_ZIG_Cadastro!$A:$A,0)),IFERROR(INDEX(_Entradas_ZIG!$F:$F,MATCH(I323,_Entradas_ZIG!$C:$C,0)),"—"))</f>
        <v/>
      </c>
      <c r="O323" s="92">
        <f>IF(AND(ISNUMBER(SEARCH("Espeto",N323)),ISNUMBER(SEARCH("Carin",N323))),"SIM","")</f>
        <v/>
      </c>
      <c r="P323" s="92">
        <f>IF(AND(ISNUMBER(SEARCH("Espeto",N323)),ISNUMBER(SEARCH("Lapa",N323))),"SIM","")</f>
        <v/>
      </c>
      <c r="Q323" s="92">
        <f>IF(AND(ISNUMBER(SEARCH("Espeto",N323)),ISNUMBER(SEARCH("Tatuapé",N323))),"SIM","")</f>
        <v/>
      </c>
      <c r="R323" s="92">
        <f>IF(AND(ISNUMBER(SEARCH("Espeto",N323)),ISNUMBER(SEARCH("Pavão",N323))),"SIM","")</f>
        <v/>
      </c>
      <c r="S323" s="92">
        <f>IF(AND(ISNUMBER(SEARCH("Espeto",N323)),ISNUMBER(SEARCH("Chac",N323))),"SIM","")</f>
        <v/>
      </c>
      <c r="T323" s="92">
        <f>IF(AND(ISNUMBER(SEARCH("Espeto",N323)),ISNUMBER(SEARCH("Madalena",N323))),"SIM","")</f>
        <v/>
      </c>
      <c r="U323" s="92">
        <f>IF(AND(ISNUMBER(SEARCH("Espeto",N323)),ISNUMBER(SEARCH("Mariana",N323))),"SIM","")</f>
        <v/>
      </c>
      <c r="V323" s="92">
        <f>IF(AND(ISNUMBER(SEARCH("Espeto",N323)),ISNUMBER(SEARCH("Perdizes",N323))),"SIM","")</f>
        <v/>
      </c>
      <c r="W323" s="92">
        <f>IF(AND(ISNUMBER(SEARCH("Espeto",N323)),ISNUMBER(SEARCH("Santana",N323))),"SIM","")</f>
        <v/>
      </c>
      <c r="X323" s="92">
        <f>IF(AND(ISNUMBER(SEARCH("Espeto",N323)),ISNUMBER(SEARCH("André",N323))),"SIM","")</f>
        <v/>
      </c>
      <c r="Y323" s="92">
        <f>IF(AND(ISNUMBER(SEARCH("Delivery",N323)),ISNUMBER(SEARCH("Carin",N323))),"SIM","")</f>
        <v/>
      </c>
      <c r="Z323" s="92">
        <f>IF(AND(ISNUMBER(SEARCH("Delivery",N323)),ISNUMBER(SEARCH("Lapa",N323))),"SIM","")</f>
        <v/>
      </c>
      <c r="AA323" s="92">
        <f>IF(AND(ISNUMBER(SEARCH("Delivery",N323)),ISNUMBER(SEARCH("Tatuapé",N323))),"SIM","")</f>
        <v/>
      </c>
      <c r="AB323" s="92">
        <f>IF(AND(ISNUMBER(SEARCH("Delivery",N323)),ISNUMBER(SEARCH("Pavão",N323))),"SIM","")</f>
        <v/>
      </c>
      <c r="AC323" s="92">
        <f>IF(AND(ISNUMBER(SEARCH("Delivery",N323)),ISNUMBER(SEARCH("Chac",N323))),"SIM","")</f>
        <v/>
      </c>
      <c r="AD323" s="92">
        <f>IF(AND(ISNUMBER(SEARCH("Delivery",N323)),ISNUMBER(SEARCH("Madalena",N323))),"SIM","")</f>
        <v/>
      </c>
      <c r="AE323" s="92">
        <f>IF(AND(ISNUMBER(SEARCH("Delivery",N323)),ISNUMBER(SEARCH("Mariana",N323))),"SIM","")</f>
        <v/>
      </c>
      <c r="AF323" s="92">
        <f>IF(AND(ISNUMBER(SEARCH("Delivery",N323)),ISNUMBER(SEARCH("Perdizes",N323))),"SIM","")</f>
        <v/>
      </c>
      <c r="AG323" s="92">
        <f>IF(AND(ISNUMBER(SEARCH("Delivery",N323)),ISNUMBER(SEARCH("Santana",N323))),"SIM","")</f>
        <v/>
      </c>
      <c r="AH323" s="92">
        <f>IF(AND(ISNUMBER(SEARCH("Delivery",N323)),ISNUMBER(SEARCH("André",N323))),"SIM","")</f>
        <v/>
      </c>
      <c r="AI323" s="92">
        <f>IF(ISNUMBER(SEARCH("Interlagos",N323)),"SIM","")</f>
        <v/>
      </c>
      <c r="AJ323" s="92">
        <f>IF(ISNUMBER(SEARCH("Quiosque",N323)),"SIM","")</f>
        <v/>
      </c>
      <c r="AK323" s="93" t="n"/>
    </row>
    <row r="324">
      <c r="A324" s="88" t="inlineStr">
        <is>
          <t>Protheus</t>
        </is>
      </c>
      <c r="B324" s="96" t="inlineStr">
        <is>
          <t>001239</t>
        </is>
      </c>
      <c r="C324" s="97">
        <f>IF(B324="—","—",IFERROR(VLOOKUP(B324,_Protheus_Cadastro!$A:$B,2,FALSE),"—"))</f>
        <v/>
      </c>
      <c r="D324" s="98">
        <f>IF(B324="—",IFERROR(INDEX(_ZIG_Cadastro!$D:$D,MATCH(H324,_ZIG_Cadastro!$A:$A,0)),"Produto"),IFERROR(VLOOKUP(B324,_Protheus_Cadastro!$A:$C,3,FALSE),"—"))</f>
        <v/>
      </c>
      <c r="E324" s="98">
        <f>IF(B324="—","—",IFERROR(VLOOKUP(B324,_Protheus_Cadastro!$A:$D,4,FALSE),"—"))</f>
        <v/>
      </c>
      <c r="F324" s="98">
        <f>IF(ISERROR(VLOOKUP(B324,'Estrutura Protheus'!A:A,1,FALSE)),"Não","Sim")</f>
        <v/>
      </c>
      <c r="G324" s="99">
        <f>IFERROR(INDEX(_Protheus_Cadastro!$H:$H,MATCH(B324,_Protheus_Cadastro!$A:$A,0)),"—")</f>
        <v/>
      </c>
      <c r="H324" s="211">
        <f>IFERROR(INDEX(_ZIG_Precos!$D:$D,MATCH(I324,_ZIG_Precos!$F:$F,0)),"—")</f>
        <v/>
      </c>
      <c r="I324" s="103">
        <f>IFERROR(VLOOKUP(B324,_Protheus_Cadastro!$A:$I,9,FALSE),"—")</f>
        <v/>
      </c>
      <c r="J324" s="101">
        <f>IFERROR(INDEX(_ZIG_Cadastro!$B:$B,MATCH(I324,_ZIG_Cadastro!$A:$A,0)),IFERROR(INDEX(_Entradas_ZIG!$B:$B,MATCH(I324,_Entradas_ZIG!$C:$C,0)),"—"))</f>
        <v/>
      </c>
      <c r="K324" s="101">
        <f>IFERROR(INDEX(_ZIG_Cadastro!$C:$C,MATCH(I324,_ZIG_Cadastro!$A:$A,0)),IFERROR(INDEX(_Entradas_ZIG!$D:$D,MATCH(I324,_Entradas_ZIG!$C:$C,0)),"—"))</f>
        <v/>
      </c>
      <c r="L324" s="99">
        <f>IF(I324="","Sem SKU ZIG",IF(I324="—","Sem SKU ZIG",IF(NOT(ISERROR(MATCH(I324,_ZIG_Cadastro!$A:$A,0))),IF(EXACT(UPPER(TRIM(C324)),UPPER(TRIM(INDEX(_ZIG_Cadastro!$B:$B,MATCH(I324,_ZIG_Cadastro!$A:$A,0))))),"OK","Atencao - Nome diverge"),IF(NOT(ISERROR(MATCH(I324,_Entradas_ZIG!$C:$C,0))),"OK","Erro - SKU nao encontrado"))))</f>
        <v/>
      </c>
      <c r="M324" s="99">
        <f>IFERROR(INDEX(_ZIG_Cadastro!$G:$G,MATCH(I324,_ZIG_Cadastro!$A:$A,0)),IF(NOT(ISERROR(MATCH(I324,_Entradas_ZIG!$C:$C,0))),"Ativo","—"))</f>
        <v/>
      </c>
      <c r="N324" s="102">
        <f>IFERROR(INDEX(_ZIG_Cadastro!$E:$E,MATCH(I324,_ZIG_Cadastro!$A:$A,0)),IFERROR(INDEX(_Entradas_ZIG!$F:$F,MATCH(I324,_Entradas_ZIG!$C:$C,0)),"—"))</f>
        <v/>
      </c>
      <c r="O324" s="99">
        <f>IF(AND(ISNUMBER(SEARCH("Espeto",N324)),ISNUMBER(SEARCH("Carin",N324))),"SIM","")</f>
        <v/>
      </c>
      <c r="P324" s="99">
        <f>IF(AND(ISNUMBER(SEARCH("Espeto",N324)),ISNUMBER(SEARCH("Lapa",N324))),"SIM","")</f>
        <v/>
      </c>
      <c r="Q324" s="99">
        <f>IF(AND(ISNUMBER(SEARCH("Espeto",N324)),ISNUMBER(SEARCH("Tatuapé",N324))),"SIM","")</f>
        <v/>
      </c>
      <c r="R324" s="99">
        <f>IF(AND(ISNUMBER(SEARCH("Espeto",N324)),ISNUMBER(SEARCH("Pavão",N324))),"SIM","")</f>
        <v/>
      </c>
      <c r="S324" s="99">
        <f>IF(AND(ISNUMBER(SEARCH("Espeto",N324)),ISNUMBER(SEARCH("Chac",N324))),"SIM","")</f>
        <v/>
      </c>
      <c r="T324" s="99">
        <f>IF(AND(ISNUMBER(SEARCH("Espeto",N324)),ISNUMBER(SEARCH("Madalena",N324))),"SIM","")</f>
        <v/>
      </c>
      <c r="U324" s="99">
        <f>IF(AND(ISNUMBER(SEARCH("Espeto",N324)),ISNUMBER(SEARCH("Mariana",N324))),"SIM","")</f>
        <v/>
      </c>
      <c r="V324" s="99">
        <f>IF(AND(ISNUMBER(SEARCH("Espeto",N324)),ISNUMBER(SEARCH("Perdizes",N324))),"SIM","")</f>
        <v/>
      </c>
      <c r="W324" s="99">
        <f>IF(AND(ISNUMBER(SEARCH("Espeto",N324)),ISNUMBER(SEARCH("Santana",N324))),"SIM","")</f>
        <v/>
      </c>
      <c r="X324" s="99">
        <f>IF(AND(ISNUMBER(SEARCH("Espeto",N324)),ISNUMBER(SEARCH("André",N324))),"SIM","")</f>
        <v/>
      </c>
      <c r="Y324" s="99">
        <f>IF(AND(ISNUMBER(SEARCH("Delivery",N324)),ISNUMBER(SEARCH("Carin",N324))),"SIM","")</f>
        <v/>
      </c>
      <c r="Z324" s="99">
        <f>IF(AND(ISNUMBER(SEARCH("Delivery",N324)),ISNUMBER(SEARCH("Lapa",N324))),"SIM","")</f>
        <v/>
      </c>
      <c r="AA324" s="99">
        <f>IF(AND(ISNUMBER(SEARCH("Delivery",N324)),ISNUMBER(SEARCH("Tatuapé",N324))),"SIM","")</f>
        <v/>
      </c>
      <c r="AB324" s="99">
        <f>IF(AND(ISNUMBER(SEARCH("Delivery",N324)),ISNUMBER(SEARCH("Pavão",N324))),"SIM","")</f>
        <v/>
      </c>
      <c r="AC324" s="99">
        <f>IF(AND(ISNUMBER(SEARCH("Delivery",N324)),ISNUMBER(SEARCH("Chac",N324))),"SIM","")</f>
        <v/>
      </c>
      <c r="AD324" s="99">
        <f>IF(AND(ISNUMBER(SEARCH("Delivery",N324)),ISNUMBER(SEARCH("Madalena",N324))),"SIM","")</f>
        <v/>
      </c>
      <c r="AE324" s="99">
        <f>IF(AND(ISNUMBER(SEARCH("Delivery",N324)),ISNUMBER(SEARCH("Mariana",N324))),"SIM","")</f>
        <v/>
      </c>
      <c r="AF324" s="99">
        <f>IF(AND(ISNUMBER(SEARCH("Delivery",N324)),ISNUMBER(SEARCH("Perdizes",N324))),"SIM","")</f>
        <v/>
      </c>
      <c r="AG324" s="99">
        <f>IF(AND(ISNUMBER(SEARCH("Delivery",N324)),ISNUMBER(SEARCH("Santana",N324))),"SIM","")</f>
        <v/>
      </c>
      <c r="AH324" s="99">
        <f>IF(AND(ISNUMBER(SEARCH("Delivery",N324)),ISNUMBER(SEARCH("André",N324))),"SIM","")</f>
        <v/>
      </c>
      <c r="AI324" s="99">
        <f>IF(ISNUMBER(SEARCH("Interlagos",N324)),"SIM","")</f>
        <v/>
      </c>
      <c r="AJ324" s="99">
        <f>IF(ISNUMBER(SEARCH("Quiosque",N324)),"SIM","")</f>
        <v/>
      </c>
      <c r="AK324" s="101" t="n"/>
    </row>
    <row r="325">
      <c r="A325" s="88" t="inlineStr">
        <is>
          <t>Protheus</t>
        </is>
      </c>
      <c r="B325" s="89" t="inlineStr">
        <is>
          <t>009846</t>
        </is>
      </c>
      <c r="C325" s="90">
        <f>IF(B325="—","—",IFERROR(VLOOKUP(B325,_Protheus_Cadastro!$A:$B,2,FALSE),"—"))</f>
        <v/>
      </c>
      <c r="D325" s="91">
        <f>IF(B325="—",IFERROR(INDEX(_ZIG_Cadastro!$D:$D,MATCH(H325,_ZIG_Cadastro!$A:$A,0)),"Produto"),IFERROR(VLOOKUP(B325,_Protheus_Cadastro!$A:$C,3,FALSE),"—"))</f>
        <v/>
      </c>
      <c r="E325" s="91">
        <f>IF(B325="—","—",IFERROR(VLOOKUP(B325,_Protheus_Cadastro!$A:$D,4,FALSE),"—"))</f>
        <v/>
      </c>
      <c r="F325" s="91">
        <f>IF(ISERROR(VLOOKUP(B325,'Estrutura Protheus'!A:A,1,FALSE)),"Não","Sim")</f>
        <v/>
      </c>
      <c r="G325" s="92">
        <f>IFERROR(INDEX(_Protheus_Cadastro!$H:$H,MATCH(B325,_Protheus_Cadastro!$A:$A,0)),"—")</f>
        <v/>
      </c>
      <c r="H325" s="210">
        <f>IFERROR(INDEX(_ZIG_Precos!$D:$D,MATCH(I325,_ZIG_Precos!$F:$F,0)),"—")</f>
        <v/>
      </c>
      <c r="I325" s="95">
        <f>IFERROR(VLOOKUP(B325,_Protheus_Cadastro!$A:$I,9,FALSE),"—")</f>
        <v/>
      </c>
      <c r="J325" s="93">
        <f>IFERROR(INDEX(_ZIG_Cadastro!$B:$B,MATCH(I325,_ZIG_Cadastro!$A:$A,0)),IFERROR(INDEX(_Entradas_ZIG!$B:$B,MATCH(I325,_Entradas_ZIG!$C:$C,0)),"—"))</f>
        <v/>
      </c>
      <c r="K325" s="93">
        <f>IFERROR(INDEX(_ZIG_Cadastro!$C:$C,MATCH(I325,_ZIG_Cadastro!$A:$A,0)),IFERROR(INDEX(_Entradas_ZIG!$D:$D,MATCH(I325,_Entradas_ZIG!$C:$C,0)),"—"))</f>
        <v/>
      </c>
      <c r="L325" s="92">
        <f>IF(I325="","Sem SKU ZIG",IF(I325="—","Sem SKU ZIG",IF(NOT(ISERROR(MATCH(I325,_ZIG_Cadastro!$A:$A,0))),IF(EXACT(UPPER(TRIM(C325)),UPPER(TRIM(INDEX(_ZIG_Cadastro!$B:$B,MATCH(I325,_ZIG_Cadastro!$A:$A,0))))),"OK","Atencao - Nome diverge"),IF(NOT(ISERROR(MATCH(I325,_Entradas_ZIG!$C:$C,0))),"OK","Erro - SKU nao encontrado"))))</f>
        <v/>
      </c>
      <c r="M325" s="92">
        <f>IFERROR(INDEX(_ZIG_Cadastro!$G:$G,MATCH(I325,_ZIG_Cadastro!$A:$A,0)),IF(NOT(ISERROR(MATCH(I325,_Entradas_ZIG!$C:$C,0))),"Ativo","—"))</f>
        <v/>
      </c>
      <c r="N325" s="94">
        <f>IFERROR(INDEX(_ZIG_Cadastro!$E:$E,MATCH(I325,_ZIG_Cadastro!$A:$A,0)),IFERROR(INDEX(_Entradas_ZIG!$F:$F,MATCH(I325,_Entradas_ZIG!$C:$C,0)),"—"))</f>
        <v/>
      </c>
      <c r="O325" s="92">
        <f>IF(AND(ISNUMBER(SEARCH("Espeto",N325)),ISNUMBER(SEARCH("Carin",N325))),"SIM","")</f>
        <v/>
      </c>
      <c r="P325" s="92">
        <f>IF(AND(ISNUMBER(SEARCH("Espeto",N325)),ISNUMBER(SEARCH("Lapa",N325))),"SIM","")</f>
        <v/>
      </c>
      <c r="Q325" s="92">
        <f>IF(AND(ISNUMBER(SEARCH("Espeto",N325)),ISNUMBER(SEARCH("Tatuapé",N325))),"SIM","")</f>
        <v/>
      </c>
      <c r="R325" s="92">
        <f>IF(AND(ISNUMBER(SEARCH("Espeto",N325)),ISNUMBER(SEARCH("Pavão",N325))),"SIM","")</f>
        <v/>
      </c>
      <c r="S325" s="92">
        <f>IF(AND(ISNUMBER(SEARCH("Espeto",N325)),ISNUMBER(SEARCH("Chac",N325))),"SIM","")</f>
        <v/>
      </c>
      <c r="T325" s="92">
        <f>IF(AND(ISNUMBER(SEARCH("Espeto",N325)),ISNUMBER(SEARCH("Madalena",N325))),"SIM","")</f>
        <v/>
      </c>
      <c r="U325" s="92">
        <f>IF(AND(ISNUMBER(SEARCH("Espeto",N325)),ISNUMBER(SEARCH("Mariana",N325))),"SIM","")</f>
        <v/>
      </c>
      <c r="V325" s="92">
        <f>IF(AND(ISNUMBER(SEARCH("Espeto",N325)),ISNUMBER(SEARCH("Perdizes",N325))),"SIM","")</f>
        <v/>
      </c>
      <c r="W325" s="92">
        <f>IF(AND(ISNUMBER(SEARCH("Espeto",N325)),ISNUMBER(SEARCH("Santana",N325))),"SIM","")</f>
        <v/>
      </c>
      <c r="X325" s="92">
        <f>IF(AND(ISNUMBER(SEARCH("Espeto",N325)),ISNUMBER(SEARCH("André",N325))),"SIM","")</f>
        <v/>
      </c>
      <c r="Y325" s="92">
        <f>IF(AND(ISNUMBER(SEARCH("Delivery",N325)),ISNUMBER(SEARCH("Carin",N325))),"SIM","")</f>
        <v/>
      </c>
      <c r="Z325" s="92">
        <f>IF(AND(ISNUMBER(SEARCH("Delivery",N325)),ISNUMBER(SEARCH("Lapa",N325))),"SIM","")</f>
        <v/>
      </c>
      <c r="AA325" s="92">
        <f>IF(AND(ISNUMBER(SEARCH("Delivery",N325)),ISNUMBER(SEARCH("Tatuapé",N325))),"SIM","")</f>
        <v/>
      </c>
      <c r="AB325" s="92">
        <f>IF(AND(ISNUMBER(SEARCH("Delivery",N325)),ISNUMBER(SEARCH("Pavão",N325))),"SIM","")</f>
        <v/>
      </c>
      <c r="AC325" s="92">
        <f>IF(AND(ISNUMBER(SEARCH("Delivery",N325)),ISNUMBER(SEARCH("Chac",N325))),"SIM","")</f>
        <v/>
      </c>
      <c r="AD325" s="92">
        <f>IF(AND(ISNUMBER(SEARCH("Delivery",N325)),ISNUMBER(SEARCH("Madalena",N325))),"SIM","")</f>
        <v/>
      </c>
      <c r="AE325" s="92">
        <f>IF(AND(ISNUMBER(SEARCH("Delivery",N325)),ISNUMBER(SEARCH("Mariana",N325))),"SIM","")</f>
        <v/>
      </c>
      <c r="AF325" s="92">
        <f>IF(AND(ISNUMBER(SEARCH("Delivery",N325)),ISNUMBER(SEARCH("Perdizes",N325))),"SIM","")</f>
        <v/>
      </c>
      <c r="AG325" s="92">
        <f>IF(AND(ISNUMBER(SEARCH("Delivery",N325)),ISNUMBER(SEARCH("Santana",N325))),"SIM","")</f>
        <v/>
      </c>
      <c r="AH325" s="92">
        <f>IF(AND(ISNUMBER(SEARCH("Delivery",N325)),ISNUMBER(SEARCH("André",N325))),"SIM","")</f>
        <v/>
      </c>
      <c r="AI325" s="92">
        <f>IF(ISNUMBER(SEARCH("Interlagos",N325)),"SIM","")</f>
        <v/>
      </c>
      <c r="AJ325" s="92">
        <f>IF(ISNUMBER(SEARCH("Quiosque",N325)),"SIM","")</f>
        <v/>
      </c>
      <c r="AK325" s="93" t="n"/>
    </row>
    <row r="326">
      <c r="A326" s="88" t="inlineStr">
        <is>
          <t>Protheus</t>
        </is>
      </c>
      <c r="B326" s="96" t="inlineStr">
        <is>
          <t>001297</t>
        </is>
      </c>
      <c r="C326" s="97">
        <f>IF(B326="—","—",IFERROR(VLOOKUP(B326,_Protheus_Cadastro!$A:$B,2,FALSE),"—"))</f>
        <v/>
      </c>
      <c r="D326" s="98">
        <f>IF(B326="—",IFERROR(INDEX(_ZIG_Cadastro!$D:$D,MATCH(H326,_ZIG_Cadastro!$A:$A,0)),"Produto"),IFERROR(VLOOKUP(B326,_Protheus_Cadastro!$A:$C,3,FALSE),"—"))</f>
        <v/>
      </c>
      <c r="E326" s="98">
        <f>IF(B326="—","—",IFERROR(VLOOKUP(B326,_Protheus_Cadastro!$A:$D,4,FALSE),"—"))</f>
        <v/>
      </c>
      <c r="F326" s="98">
        <f>IF(ISERROR(VLOOKUP(B326,'Estrutura Protheus'!A:A,1,FALSE)),"Não","Sim")</f>
        <v/>
      </c>
      <c r="G326" s="99">
        <f>IFERROR(INDEX(_Protheus_Cadastro!$H:$H,MATCH(B326,_Protheus_Cadastro!$A:$A,0)),"—")</f>
        <v/>
      </c>
      <c r="H326" s="211">
        <f>IFERROR(INDEX(_ZIG_Precos!$D:$D,MATCH(I326,_ZIG_Precos!$F:$F,0)),"—")</f>
        <v/>
      </c>
      <c r="I326" s="103">
        <f>IFERROR(VLOOKUP(B326,_Protheus_Cadastro!$A:$I,9,FALSE),"—")</f>
        <v/>
      </c>
      <c r="J326" s="101">
        <f>IFERROR(INDEX(_ZIG_Cadastro!$B:$B,MATCH(I326,_ZIG_Cadastro!$A:$A,0)),IFERROR(INDEX(_Entradas_ZIG!$B:$B,MATCH(I326,_Entradas_ZIG!$C:$C,0)),"—"))</f>
        <v/>
      </c>
      <c r="K326" s="101">
        <f>IFERROR(INDEX(_ZIG_Cadastro!$C:$C,MATCH(I326,_ZIG_Cadastro!$A:$A,0)),IFERROR(INDEX(_Entradas_ZIG!$D:$D,MATCH(I326,_Entradas_ZIG!$C:$C,0)),"—"))</f>
        <v/>
      </c>
      <c r="L326" s="99">
        <f>IF(I326="","Sem SKU ZIG",IF(I326="—","Sem SKU ZIG",IF(NOT(ISERROR(MATCH(I326,_ZIG_Cadastro!$A:$A,0))),IF(EXACT(UPPER(TRIM(C326)),UPPER(TRIM(INDEX(_ZIG_Cadastro!$B:$B,MATCH(I326,_ZIG_Cadastro!$A:$A,0))))),"OK","Atencao - Nome diverge"),IF(NOT(ISERROR(MATCH(I326,_Entradas_ZIG!$C:$C,0))),"OK","Erro - SKU nao encontrado"))))</f>
        <v/>
      </c>
      <c r="M326" s="99">
        <f>IFERROR(INDEX(_ZIG_Cadastro!$G:$G,MATCH(I326,_ZIG_Cadastro!$A:$A,0)),IF(NOT(ISERROR(MATCH(I326,_Entradas_ZIG!$C:$C,0))),"Ativo","—"))</f>
        <v/>
      </c>
      <c r="N326" s="102">
        <f>IFERROR(INDEX(_ZIG_Cadastro!$E:$E,MATCH(I326,_ZIG_Cadastro!$A:$A,0)),IFERROR(INDEX(_Entradas_ZIG!$F:$F,MATCH(I326,_Entradas_ZIG!$C:$C,0)),"—"))</f>
        <v/>
      </c>
      <c r="O326" s="99">
        <f>IF(AND(ISNUMBER(SEARCH("Espeto",N326)),ISNUMBER(SEARCH("Carin",N326))),"SIM","")</f>
        <v/>
      </c>
      <c r="P326" s="99">
        <f>IF(AND(ISNUMBER(SEARCH("Espeto",N326)),ISNUMBER(SEARCH("Lapa",N326))),"SIM","")</f>
        <v/>
      </c>
      <c r="Q326" s="99">
        <f>IF(AND(ISNUMBER(SEARCH("Espeto",N326)),ISNUMBER(SEARCH("Tatuapé",N326))),"SIM","")</f>
        <v/>
      </c>
      <c r="R326" s="99">
        <f>IF(AND(ISNUMBER(SEARCH("Espeto",N326)),ISNUMBER(SEARCH("Pavão",N326))),"SIM","")</f>
        <v/>
      </c>
      <c r="S326" s="99">
        <f>IF(AND(ISNUMBER(SEARCH("Espeto",N326)),ISNUMBER(SEARCH("Chac",N326))),"SIM","")</f>
        <v/>
      </c>
      <c r="T326" s="99">
        <f>IF(AND(ISNUMBER(SEARCH("Espeto",N326)),ISNUMBER(SEARCH("Madalena",N326))),"SIM","")</f>
        <v/>
      </c>
      <c r="U326" s="99">
        <f>IF(AND(ISNUMBER(SEARCH("Espeto",N326)),ISNUMBER(SEARCH("Mariana",N326))),"SIM","")</f>
        <v/>
      </c>
      <c r="V326" s="99">
        <f>IF(AND(ISNUMBER(SEARCH("Espeto",N326)),ISNUMBER(SEARCH("Perdizes",N326))),"SIM","")</f>
        <v/>
      </c>
      <c r="W326" s="99">
        <f>IF(AND(ISNUMBER(SEARCH("Espeto",N326)),ISNUMBER(SEARCH("Santana",N326))),"SIM","")</f>
        <v/>
      </c>
      <c r="X326" s="99">
        <f>IF(AND(ISNUMBER(SEARCH("Espeto",N326)),ISNUMBER(SEARCH("André",N326))),"SIM","")</f>
        <v/>
      </c>
      <c r="Y326" s="99">
        <f>IF(AND(ISNUMBER(SEARCH("Delivery",N326)),ISNUMBER(SEARCH("Carin",N326))),"SIM","")</f>
        <v/>
      </c>
      <c r="Z326" s="99">
        <f>IF(AND(ISNUMBER(SEARCH("Delivery",N326)),ISNUMBER(SEARCH("Lapa",N326))),"SIM","")</f>
        <v/>
      </c>
      <c r="AA326" s="99">
        <f>IF(AND(ISNUMBER(SEARCH("Delivery",N326)),ISNUMBER(SEARCH("Tatuapé",N326))),"SIM","")</f>
        <v/>
      </c>
      <c r="AB326" s="99">
        <f>IF(AND(ISNUMBER(SEARCH("Delivery",N326)),ISNUMBER(SEARCH("Pavão",N326))),"SIM","")</f>
        <v/>
      </c>
      <c r="AC326" s="99">
        <f>IF(AND(ISNUMBER(SEARCH("Delivery",N326)),ISNUMBER(SEARCH("Chac",N326))),"SIM","")</f>
        <v/>
      </c>
      <c r="AD326" s="99">
        <f>IF(AND(ISNUMBER(SEARCH("Delivery",N326)),ISNUMBER(SEARCH("Madalena",N326))),"SIM","")</f>
        <v/>
      </c>
      <c r="AE326" s="99">
        <f>IF(AND(ISNUMBER(SEARCH("Delivery",N326)),ISNUMBER(SEARCH("Mariana",N326))),"SIM","")</f>
        <v/>
      </c>
      <c r="AF326" s="99">
        <f>IF(AND(ISNUMBER(SEARCH("Delivery",N326)),ISNUMBER(SEARCH("Perdizes",N326))),"SIM","")</f>
        <v/>
      </c>
      <c r="AG326" s="99">
        <f>IF(AND(ISNUMBER(SEARCH("Delivery",N326)),ISNUMBER(SEARCH("Santana",N326))),"SIM","")</f>
        <v/>
      </c>
      <c r="AH326" s="99">
        <f>IF(AND(ISNUMBER(SEARCH("Delivery",N326)),ISNUMBER(SEARCH("André",N326))),"SIM","")</f>
        <v/>
      </c>
      <c r="AI326" s="99">
        <f>IF(ISNUMBER(SEARCH("Interlagos",N326)),"SIM","")</f>
        <v/>
      </c>
      <c r="AJ326" s="99">
        <f>IF(ISNUMBER(SEARCH("Quiosque",N326)),"SIM","")</f>
        <v/>
      </c>
      <c r="AK326" s="101" t="n"/>
    </row>
    <row r="327">
      <c r="A327" s="88" t="inlineStr">
        <is>
          <t>Protheus</t>
        </is>
      </c>
      <c r="B327" s="89" t="inlineStr">
        <is>
          <t>009993</t>
        </is>
      </c>
      <c r="C327" s="90">
        <f>IF(B327="—","—",IFERROR(VLOOKUP(B327,_Protheus_Cadastro!$A:$B,2,FALSE),"—"))</f>
        <v/>
      </c>
      <c r="D327" s="91">
        <f>IF(B327="—",IFERROR(INDEX(_ZIG_Cadastro!$D:$D,MATCH(H327,_ZIG_Cadastro!$A:$A,0)),"Produto"),IFERROR(VLOOKUP(B327,_Protheus_Cadastro!$A:$C,3,FALSE),"—"))</f>
        <v/>
      </c>
      <c r="E327" s="91">
        <f>IF(B327="—","—",IFERROR(VLOOKUP(B327,_Protheus_Cadastro!$A:$D,4,FALSE),"—"))</f>
        <v/>
      </c>
      <c r="F327" s="91">
        <f>IF(ISERROR(VLOOKUP(B327,'Estrutura Protheus'!A:A,1,FALSE)),"Não","Sim")</f>
        <v/>
      </c>
      <c r="G327" s="92">
        <f>IFERROR(INDEX(_Protheus_Cadastro!$H:$H,MATCH(B327,_Protheus_Cadastro!$A:$A,0)),"—")</f>
        <v/>
      </c>
      <c r="H327" s="210">
        <f>IFERROR(INDEX(_ZIG_Precos!$D:$D,MATCH(I327,_ZIG_Precos!$F:$F,0)),"—")</f>
        <v/>
      </c>
      <c r="I327" s="95">
        <f>IFERROR(VLOOKUP(B327,_Protheus_Cadastro!$A:$I,9,FALSE),"—")</f>
        <v/>
      </c>
      <c r="J327" s="93">
        <f>IFERROR(INDEX(_ZIG_Cadastro!$B:$B,MATCH(I327,_ZIG_Cadastro!$A:$A,0)),IFERROR(INDEX(_Entradas_ZIG!$B:$B,MATCH(I327,_Entradas_ZIG!$C:$C,0)),"—"))</f>
        <v/>
      </c>
      <c r="K327" s="93">
        <f>IFERROR(INDEX(_ZIG_Cadastro!$C:$C,MATCH(I327,_ZIG_Cadastro!$A:$A,0)),IFERROR(INDEX(_Entradas_ZIG!$D:$D,MATCH(I327,_Entradas_ZIG!$C:$C,0)),"—"))</f>
        <v/>
      </c>
      <c r="L327" s="92">
        <f>IF(I327="","Sem SKU ZIG",IF(I327="—","Sem SKU ZIG",IF(NOT(ISERROR(MATCH(I327,_ZIG_Cadastro!$A:$A,0))),IF(EXACT(UPPER(TRIM(C327)),UPPER(TRIM(INDEX(_ZIG_Cadastro!$B:$B,MATCH(I327,_ZIG_Cadastro!$A:$A,0))))),"OK","Atencao - Nome diverge"),IF(NOT(ISERROR(MATCH(I327,_Entradas_ZIG!$C:$C,0))),"OK","Erro - SKU nao encontrado"))))</f>
        <v/>
      </c>
      <c r="M327" s="92">
        <f>IFERROR(INDEX(_ZIG_Cadastro!$G:$G,MATCH(I327,_ZIG_Cadastro!$A:$A,0)),IF(NOT(ISERROR(MATCH(I327,_Entradas_ZIG!$C:$C,0))),"Ativo","—"))</f>
        <v/>
      </c>
      <c r="N327" s="94">
        <f>IFERROR(INDEX(_ZIG_Cadastro!$E:$E,MATCH(I327,_ZIG_Cadastro!$A:$A,0)),IFERROR(INDEX(_Entradas_ZIG!$F:$F,MATCH(I327,_Entradas_ZIG!$C:$C,0)),"—"))</f>
        <v/>
      </c>
      <c r="O327" s="92">
        <f>IF(AND(ISNUMBER(SEARCH("Espeto",N327)),ISNUMBER(SEARCH("Carin",N327))),"SIM","")</f>
        <v/>
      </c>
      <c r="P327" s="92">
        <f>IF(AND(ISNUMBER(SEARCH("Espeto",N327)),ISNUMBER(SEARCH("Lapa",N327))),"SIM","")</f>
        <v/>
      </c>
      <c r="Q327" s="92">
        <f>IF(AND(ISNUMBER(SEARCH("Espeto",N327)),ISNUMBER(SEARCH("Tatuapé",N327))),"SIM","")</f>
        <v/>
      </c>
      <c r="R327" s="92">
        <f>IF(AND(ISNUMBER(SEARCH("Espeto",N327)),ISNUMBER(SEARCH("Pavão",N327))),"SIM","")</f>
        <v/>
      </c>
      <c r="S327" s="92">
        <f>IF(AND(ISNUMBER(SEARCH("Espeto",N327)),ISNUMBER(SEARCH("Chac",N327))),"SIM","")</f>
        <v/>
      </c>
      <c r="T327" s="92">
        <f>IF(AND(ISNUMBER(SEARCH("Espeto",N327)),ISNUMBER(SEARCH("Madalena",N327))),"SIM","")</f>
        <v/>
      </c>
      <c r="U327" s="92">
        <f>IF(AND(ISNUMBER(SEARCH("Espeto",N327)),ISNUMBER(SEARCH("Mariana",N327))),"SIM","")</f>
        <v/>
      </c>
      <c r="V327" s="92">
        <f>IF(AND(ISNUMBER(SEARCH("Espeto",N327)),ISNUMBER(SEARCH("Perdizes",N327))),"SIM","")</f>
        <v/>
      </c>
      <c r="W327" s="92">
        <f>IF(AND(ISNUMBER(SEARCH("Espeto",N327)),ISNUMBER(SEARCH("Santana",N327))),"SIM","")</f>
        <v/>
      </c>
      <c r="X327" s="92">
        <f>IF(AND(ISNUMBER(SEARCH("Espeto",N327)),ISNUMBER(SEARCH("André",N327))),"SIM","")</f>
        <v/>
      </c>
      <c r="Y327" s="92">
        <f>IF(AND(ISNUMBER(SEARCH("Delivery",N327)),ISNUMBER(SEARCH("Carin",N327))),"SIM","")</f>
        <v/>
      </c>
      <c r="Z327" s="92">
        <f>IF(AND(ISNUMBER(SEARCH("Delivery",N327)),ISNUMBER(SEARCH("Lapa",N327))),"SIM","")</f>
        <v/>
      </c>
      <c r="AA327" s="92">
        <f>IF(AND(ISNUMBER(SEARCH("Delivery",N327)),ISNUMBER(SEARCH("Tatuapé",N327))),"SIM","")</f>
        <v/>
      </c>
      <c r="AB327" s="92">
        <f>IF(AND(ISNUMBER(SEARCH("Delivery",N327)),ISNUMBER(SEARCH("Pavão",N327))),"SIM","")</f>
        <v/>
      </c>
      <c r="AC327" s="92">
        <f>IF(AND(ISNUMBER(SEARCH("Delivery",N327)),ISNUMBER(SEARCH("Chac",N327))),"SIM","")</f>
        <v/>
      </c>
      <c r="AD327" s="92">
        <f>IF(AND(ISNUMBER(SEARCH("Delivery",N327)),ISNUMBER(SEARCH("Madalena",N327))),"SIM","")</f>
        <v/>
      </c>
      <c r="AE327" s="92">
        <f>IF(AND(ISNUMBER(SEARCH("Delivery",N327)),ISNUMBER(SEARCH("Mariana",N327))),"SIM","")</f>
        <v/>
      </c>
      <c r="AF327" s="92">
        <f>IF(AND(ISNUMBER(SEARCH("Delivery",N327)),ISNUMBER(SEARCH("Perdizes",N327))),"SIM","")</f>
        <v/>
      </c>
      <c r="AG327" s="92">
        <f>IF(AND(ISNUMBER(SEARCH("Delivery",N327)),ISNUMBER(SEARCH("Santana",N327))),"SIM","")</f>
        <v/>
      </c>
      <c r="AH327" s="92">
        <f>IF(AND(ISNUMBER(SEARCH("Delivery",N327)),ISNUMBER(SEARCH("André",N327))),"SIM","")</f>
        <v/>
      </c>
      <c r="AI327" s="92">
        <f>IF(ISNUMBER(SEARCH("Interlagos",N327)),"SIM","")</f>
        <v/>
      </c>
      <c r="AJ327" s="92">
        <f>IF(ISNUMBER(SEARCH("Quiosque",N327)),"SIM","")</f>
        <v/>
      </c>
      <c r="AK327" s="93" t="n"/>
    </row>
    <row r="328">
      <c r="A328" s="88" t="inlineStr">
        <is>
          <t>Protheus</t>
        </is>
      </c>
      <c r="B328" s="96" t="inlineStr">
        <is>
          <t>010049</t>
        </is>
      </c>
      <c r="C328" s="97">
        <f>IF(B328="—","—",IFERROR(VLOOKUP(B328,_Protheus_Cadastro!$A:$B,2,FALSE),"—"))</f>
        <v/>
      </c>
      <c r="D328" s="98">
        <f>IF(B328="—",IFERROR(INDEX(_ZIG_Cadastro!$D:$D,MATCH(H328,_ZIG_Cadastro!$A:$A,0)),"Produto"),IFERROR(VLOOKUP(B328,_Protheus_Cadastro!$A:$C,3,FALSE),"—"))</f>
        <v/>
      </c>
      <c r="E328" s="98">
        <f>IF(B328="—","—",IFERROR(VLOOKUP(B328,_Protheus_Cadastro!$A:$D,4,FALSE),"—"))</f>
        <v/>
      </c>
      <c r="F328" s="98">
        <f>IF(ISERROR(VLOOKUP(B328,'Estrutura Protheus'!A:A,1,FALSE)),"Não","Sim")</f>
        <v/>
      </c>
      <c r="G328" s="99">
        <f>IFERROR(INDEX(_Protheus_Cadastro!$H:$H,MATCH(B328,_Protheus_Cadastro!$A:$A,0)),"—")</f>
        <v/>
      </c>
      <c r="H328" s="211">
        <f>IFERROR(INDEX(_ZIG_Precos!$D:$D,MATCH(I328,_ZIG_Precos!$F:$F,0)),"—")</f>
        <v/>
      </c>
      <c r="I328" s="103">
        <f>IFERROR(VLOOKUP(B328,_Protheus_Cadastro!$A:$I,9,FALSE),"—")</f>
        <v/>
      </c>
      <c r="J328" s="101">
        <f>IFERROR(INDEX(_ZIG_Cadastro!$B:$B,MATCH(I328,_ZIG_Cadastro!$A:$A,0)),IFERROR(INDEX(_Entradas_ZIG!$B:$B,MATCH(I328,_Entradas_ZIG!$C:$C,0)),"—"))</f>
        <v/>
      </c>
      <c r="K328" s="101">
        <f>IFERROR(INDEX(_ZIG_Cadastro!$C:$C,MATCH(I328,_ZIG_Cadastro!$A:$A,0)),IFERROR(INDEX(_Entradas_ZIG!$D:$D,MATCH(I328,_Entradas_ZIG!$C:$C,0)),"—"))</f>
        <v/>
      </c>
      <c r="L328" s="99">
        <f>IF(I328="","Sem SKU ZIG",IF(I328="—","Sem SKU ZIG",IF(NOT(ISERROR(MATCH(I328,_ZIG_Cadastro!$A:$A,0))),IF(EXACT(UPPER(TRIM(C328)),UPPER(TRIM(INDEX(_ZIG_Cadastro!$B:$B,MATCH(I328,_ZIG_Cadastro!$A:$A,0))))),"OK","Atencao - Nome diverge"),IF(NOT(ISERROR(MATCH(I328,_Entradas_ZIG!$C:$C,0))),"OK","Erro - SKU nao encontrado"))))</f>
        <v/>
      </c>
      <c r="M328" s="99">
        <f>IFERROR(INDEX(_ZIG_Cadastro!$G:$G,MATCH(I328,_ZIG_Cadastro!$A:$A,0)),IF(NOT(ISERROR(MATCH(I328,_Entradas_ZIG!$C:$C,0))),"Ativo","—"))</f>
        <v/>
      </c>
      <c r="N328" s="102">
        <f>IFERROR(INDEX(_ZIG_Cadastro!$E:$E,MATCH(I328,_ZIG_Cadastro!$A:$A,0)),IFERROR(INDEX(_Entradas_ZIG!$F:$F,MATCH(I328,_Entradas_ZIG!$C:$C,0)),"—"))</f>
        <v/>
      </c>
      <c r="O328" s="99">
        <f>IF(AND(ISNUMBER(SEARCH("Espeto",N328)),ISNUMBER(SEARCH("Carin",N328))),"SIM","")</f>
        <v/>
      </c>
      <c r="P328" s="99">
        <f>IF(AND(ISNUMBER(SEARCH("Espeto",N328)),ISNUMBER(SEARCH("Lapa",N328))),"SIM","")</f>
        <v/>
      </c>
      <c r="Q328" s="99">
        <f>IF(AND(ISNUMBER(SEARCH("Espeto",N328)),ISNUMBER(SEARCH("Tatuapé",N328))),"SIM","")</f>
        <v/>
      </c>
      <c r="R328" s="99">
        <f>IF(AND(ISNUMBER(SEARCH("Espeto",N328)),ISNUMBER(SEARCH("Pavão",N328))),"SIM","")</f>
        <v/>
      </c>
      <c r="S328" s="99">
        <f>IF(AND(ISNUMBER(SEARCH("Espeto",N328)),ISNUMBER(SEARCH("Chac",N328))),"SIM","")</f>
        <v/>
      </c>
      <c r="T328" s="99">
        <f>IF(AND(ISNUMBER(SEARCH("Espeto",N328)),ISNUMBER(SEARCH("Madalena",N328))),"SIM","")</f>
        <v/>
      </c>
      <c r="U328" s="99">
        <f>IF(AND(ISNUMBER(SEARCH("Espeto",N328)),ISNUMBER(SEARCH("Mariana",N328))),"SIM","")</f>
        <v/>
      </c>
      <c r="V328" s="99">
        <f>IF(AND(ISNUMBER(SEARCH("Espeto",N328)),ISNUMBER(SEARCH("Perdizes",N328))),"SIM","")</f>
        <v/>
      </c>
      <c r="W328" s="99">
        <f>IF(AND(ISNUMBER(SEARCH("Espeto",N328)),ISNUMBER(SEARCH("Santana",N328))),"SIM","")</f>
        <v/>
      </c>
      <c r="X328" s="99">
        <f>IF(AND(ISNUMBER(SEARCH("Espeto",N328)),ISNUMBER(SEARCH("André",N328))),"SIM","")</f>
        <v/>
      </c>
      <c r="Y328" s="99">
        <f>IF(AND(ISNUMBER(SEARCH("Delivery",N328)),ISNUMBER(SEARCH("Carin",N328))),"SIM","")</f>
        <v/>
      </c>
      <c r="Z328" s="99">
        <f>IF(AND(ISNUMBER(SEARCH("Delivery",N328)),ISNUMBER(SEARCH("Lapa",N328))),"SIM","")</f>
        <v/>
      </c>
      <c r="AA328" s="99">
        <f>IF(AND(ISNUMBER(SEARCH("Delivery",N328)),ISNUMBER(SEARCH("Tatuapé",N328))),"SIM","")</f>
        <v/>
      </c>
      <c r="AB328" s="99">
        <f>IF(AND(ISNUMBER(SEARCH("Delivery",N328)),ISNUMBER(SEARCH("Pavão",N328))),"SIM","")</f>
        <v/>
      </c>
      <c r="AC328" s="99">
        <f>IF(AND(ISNUMBER(SEARCH("Delivery",N328)),ISNUMBER(SEARCH("Chac",N328))),"SIM","")</f>
        <v/>
      </c>
      <c r="AD328" s="99">
        <f>IF(AND(ISNUMBER(SEARCH("Delivery",N328)),ISNUMBER(SEARCH("Madalena",N328))),"SIM","")</f>
        <v/>
      </c>
      <c r="AE328" s="99">
        <f>IF(AND(ISNUMBER(SEARCH("Delivery",N328)),ISNUMBER(SEARCH("Mariana",N328))),"SIM","")</f>
        <v/>
      </c>
      <c r="AF328" s="99">
        <f>IF(AND(ISNUMBER(SEARCH("Delivery",N328)),ISNUMBER(SEARCH("Perdizes",N328))),"SIM","")</f>
        <v/>
      </c>
      <c r="AG328" s="99">
        <f>IF(AND(ISNUMBER(SEARCH("Delivery",N328)),ISNUMBER(SEARCH("Santana",N328))),"SIM","")</f>
        <v/>
      </c>
      <c r="AH328" s="99">
        <f>IF(AND(ISNUMBER(SEARCH("Delivery",N328)),ISNUMBER(SEARCH("André",N328))),"SIM","")</f>
        <v/>
      </c>
      <c r="AI328" s="99">
        <f>IF(ISNUMBER(SEARCH("Interlagos",N328)),"SIM","")</f>
        <v/>
      </c>
      <c r="AJ328" s="99">
        <f>IF(ISNUMBER(SEARCH("Quiosque",N328)),"SIM","")</f>
        <v/>
      </c>
      <c r="AK328" s="101" t="n"/>
    </row>
    <row r="329">
      <c r="A329" s="88" t="inlineStr">
        <is>
          <t>Protheus</t>
        </is>
      </c>
      <c r="B329" s="89" t="inlineStr">
        <is>
          <t>010052</t>
        </is>
      </c>
      <c r="C329" s="90">
        <f>IF(B329="—","—",IFERROR(VLOOKUP(B329,_Protheus_Cadastro!$A:$B,2,FALSE),"—"))</f>
        <v/>
      </c>
      <c r="D329" s="91">
        <f>IF(B329="—",IFERROR(INDEX(_ZIG_Cadastro!$D:$D,MATCH(H329,_ZIG_Cadastro!$A:$A,0)),"Produto"),IFERROR(VLOOKUP(B329,_Protheus_Cadastro!$A:$C,3,FALSE),"—"))</f>
        <v/>
      </c>
      <c r="E329" s="91">
        <f>IF(B329="—","—",IFERROR(VLOOKUP(B329,_Protheus_Cadastro!$A:$D,4,FALSE),"—"))</f>
        <v/>
      </c>
      <c r="F329" s="91">
        <f>IF(ISERROR(VLOOKUP(B329,'Estrutura Protheus'!A:A,1,FALSE)),"Não","Sim")</f>
        <v/>
      </c>
      <c r="G329" s="92">
        <f>IFERROR(INDEX(_Protheus_Cadastro!$H:$H,MATCH(B329,_Protheus_Cadastro!$A:$A,0)),"—")</f>
        <v/>
      </c>
      <c r="H329" s="210">
        <f>IFERROR(INDEX(_ZIG_Precos!$D:$D,MATCH(I329,_ZIG_Precos!$F:$F,0)),"—")</f>
        <v/>
      </c>
      <c r="I329" s="95">
        <f>IFERROR(VLOOKUP(B329,_Protheus_Cadastro!$A:$I,9,FALSE),"—")</f>
        <v/>
      </c>
      <c r="J329" s="93">
        <f>IFERROR(INDEX(_ZIG_Cadastro!$B:$B,MATCH(I329,_ZIG_Cadastro!$A:$A,0)),IFERROR(INDEX(_Entradas_ZIG!$B:$B,MATCH(I329,_Entradas_ZIG!$C:$C,0)),"—"))</f>
        <v/>
      </c>
      <c r="K329" s="93">
        <f>IFERROR(INDEX(_ZIG_Cadastro!$C:$C,MATCH(I329,_ZIG_Cadastro!$A:$A,0)),IFERROR(INDEX(_Entradas_ZIG!$D:$D,MATCH(I329,_Entradas_ZIG!$C:$C,0)),"—"))</f>
        <v/>
      </c>
      <c r="L329" s="92">
        <f>IF(I329="","Sem SKU ZIG",IF(I329="—","Sem SKU ZIG",IF(NOT(ISERROR(MATCH(I329,_ZIG_Cadastro!$A:$A,0))),IF(EXACT(UPPER(TRIM(C329)),UPPER(TRIM(INDEX(_ZIG_Cadastro!$B:$B,MATCH(I329,_ZIG_Cadastro!$A:$A,0))))),"OK","Atencao - Nome diverge"),IF(NOT(ISERROR(MATCH(I329,_Entradas_ZIG!$C:$C,0))),"OK","Erro - SKU nao encontrado"))))</f>
        <v/>
      </c>
      <c r="M329" s="92">
        <f>IFERROR(INDEX(_ZIG_Cadastro!$G:$G,MATCH(I329,_ZIG_Cadastro!$A:$A,0)),IF(NOT(ISERROR(MATCH(I329,_Entradas_ZIG!$C:$C,0))),"Ativo","—"))</f>
        <v/>
      </c>
      <c r="N329" s="94">
        <f>IFERROR(INDEX(_ZIG_Cadastro!$E:$E,MATCH(I329,_ZIG_Cadastro!$A:$A,0)),IFERROR(INDEX(_Entradas_ZIG!$F:$F,MATCH(I329,_Entradas_ZIG!$C:$C,0)),"—"))</f>
        <v/>
      </c>
      <c r="O329" s="92">
        <f>IF(AND(ISNUMBER(SEARCH("Espeto",N329)),ISNUMBER(SEARCH("Carin",N329))),"SIM","")</f>
        <v/>
      </c>
      <c r="P329" s="92">
        <f>IF(AND(ISNUMBER(SEARCH("Espeto",N329)),ISNUMBER(SEARCH("Lapa",N329))),"SIM","")</f>
        <v/>
      </c>
      <c r="Q329" s="92">
        <f>IF(AND(ISNUMBER(SEARCH("Espeto",N329)),ISNUMBER(SEARCH("Tatuapé",N329))),"SIM","")</f>
        <v/>
      </c>
      <c r="R329" s="92">
        <f>IF(AND(ISNUMBER(SEARCH("Espeto",N329)),ISNUMBER(SEARCH("Pavão",N329))),"SIM","")</f>
        <v/>
      </c>
      <c r="S329" s="92">
        <f>IF(AND(ISNUMBER(SEARCH("Espeto",N329)),ISNUMBER(SEARCH("Chac",N329))),"SIM","")</f>
        <v/>
      </c>
      <c r="T329" s="92">
        <f>IF(AND(ISNUMBER(SEARCH("Espeto",N329)),ISNUMBER(SEARCH("Madalena",N329))),"SIM","")</f>
        <v/>
      </c>
      <c r="U329" s="92">
        <f>IF(AND(ISNUMBER(SEARCH("Espeto",N329)),ISNUMBER(SEARCH("Mariana",N329))),"SIM","")</f>
        <v/>
      </c>
      <c r="V329" s="92">
        <f>IF(AND(ISNUMBER(SEARCH("Espeto",N329)),ISNUMBER(SEARCH("Perdizes",N329))),"SIM","")</f>
        <v/>
      </c>
      <c r="W329" s="92">
        <f>IF(AND(ISNUMBER(SEARCH("Espeto",N329)),ISNUMBER(SEARCH("Santana",N329))),"SIM","")</f>
        <v/>
      </c>
      <c r="X329" s="92">
        <f>IF(AND(ISNUMBER(SEARCH("Espeto",N329)),ISNUMBER(SEARCH("André",N329))),"SIM","")</f>
        <v/>
      </c>
      <c r="Y329" s="92">
        <f>IF(AND(ISNUMBER(SEARCH("Delivery",N329)),ISNUMBER(SEARCH("Carin",N329))),"SIM","")</f>
        <v/>
      </c>
      <c r="Z329" s="92">
        <f>IF(AND(ISNUMBER(SEARCH("Delivery",N329)),ISNUMBER(SEARCH("Lapa",N329))),"SIM","")</f>
        <v/>
      </c>
      <c r="AA329" s="92">
        <f>IF(AND(ISNUMBER(SEARCH("Delivery",N329)),ISNUMBER(SEARCH("Tatuapé",N329))),"SIM","")</f>
        <v/>
      </c>
      <c r="AB329" s="92">
        <f>IF(AND(ISNUMBER(SEARCH("Delivery",N329)),ISNUMBER(SEARCH("Pavão",N329))),"SIM","")</f>
        <v/>
      </c>
      <c r="AC329" s="92">
        <f>IF(AND(ISNUMBER(SEARCH("Delivery",N329)),ISNUMBER(SEARCH("Chac",N329))),"SIM","")</f>
        <v/>
      </c>
      <c r="AD329" s="92">
        <f>IF(AND(ISNUMBER(SEARCH("Delivery",N329)),ISNUMBER(SEARCH("Madalena",N329))),"SIM","")</f>
        <v/>
      </c>
      <c r="AE329" s="92">
        <f>IF(AND(ISNUMBER(SEARCH("Delivery",N329)),ISNUMBER(SEARCH("Mariana",N329))),"SIM","")</f>
        <v/>
      </c>
      <c r="AF329" s="92">
        <f>IF(AND(ISNUMBER(SEARCH("Delivery",N329)),ISNUMBER(SEARCH("Perdizes",N329))),"SIM","")</f>
        <v/>
      </c>
      <c r="AG329" s="92">
        <f>IF(AND(ISNUMBER(SEARCH("Delivery",N329)),ISNUMBER(SEARCH("Santana",N329))),"SIM","")</f>
        <v/>
      </c>
      <c r="AH329" s="92">
        <f>IF(AND(ISNUMBER(SEARCH("Delivery",N329)),ISNUMBER(SEARCH("André",N329))),"SIM","")</f>
        <v/>
      </c>
      <c r="AI329" s="92">
        <f>IF(ISNUMBER(SEARCH("Interlagos",N329)),"SIM","")</f>
        <v/>
      </c>
      <c r="AJ329" s="92">
        <f>IF(ISNUMBER(SEARCH("Quiosque",N329)),"SIM","")</f>
        <v/>
      </c>
      <c r="AK329" s="93" t="n"/>
    </row>
    <row r="330">
      <c r="A330" s="88" t="inlineStr">
        <is>
          <t>Protheus</t>
        </is>
      </c>
      <c r="B330" s="96" t="inlineStr">
        <is>
          <t>010062</t>
        </is>
      </c>
      <c r="C330" s="97">
        <f>IF(B330="—","—",IFERROR(VLOOKUP(B330,_Protheus_Cadastro!$A:$B,2,FALSE),"—"))</f>
        <v/>
      </c>
      <c r="D330" s="98">
        <f>IF(B330="—",IFERROR(INDEX(_ZIG_Cadastro!$D:$D,MATCH(H330,_ZIG_Cadastro!$A:$A,0)),"Produto"),IFERROR(VLOOKUP(B330,_Protheus_Cadastro!$A:$C,3,FALSE),"—"))</f>
        <v/>
      </c>
      <c r="E330" s="98">
        <f>IF(B330="—","—",IFERROR(VLOOKUP(B330,_Protheus_Cadastro!$A:$D,4,FALSE),"—"))</f>
        <v/>
      </c>
      <c r="F330" s="98">
        <f>IF(ISERROR(VLOOKUP(B330,'Estrutura Protheus'!A:A,1,FALSE)),"Não","Sim")</f>
        <v/>
      </c>
      <c r="G330" s="99">
        <f>IFERROR(INDEX(_Protheus_Cadastro!$H:$H,MATCH(B330,_Protheus_Cadastro!$A:$A,0)),"—")</f>
        <v/>
      </c>
      <c r="H330" s="211">
        <f>IFERROR(INDEX(_ZIG_Precos!$D:$D,MATCH(I330,_ZIG_Precos!$F:$F,0)),"—")</f>
        <v/>
      </c>
      <c r="I330" s="103">
        <f>IFERROR(VLOOKUP(B330,_Protheus_Cadastro!$A:$I,9,FALSE),"—")</f>
        <v/>
      </c>
      <c r="J330" s="101">
        <f>IFERROR(INDEX(_ZIG_Cadastro!$B:$B,MATCH(I330,_ZIG_Cadastro!$A:$A,0)),IFERROR(INDEX(_Entradas_ZIG!$B:$B,MATCH(I330,_Entradas_ZIG!$C:$C,0)),"—"))</f>
        <v/>
      </c>
      <c r="K330" s="101">
        <f>IFERROR(INDEX(_ZIG_Cadastro!$C:$C,MATCH(I330,_ZIG_Cadastro!$A:$A,0)),IFERROR(INDEX(_Entradas_ZIG!$D:$D,MATCH(I330,_Entradas_ZIG!$C:$C,0)),"—"))</f>
        <v/>
      </c>
      <c r="L330" s="99">
        <f>IF(I330="","Sem SKU ZIG",IF(I330="—","Sem SKU ZIG",IF(NOT(ISERROR(MATCH(I330,_ZIG_Cadastro!$A:$A,0))),IF(EXACT(UPPER(TRIM(C330)),UPPER(TRIM(INDEX(_ZIG_Cadastro!$B:$B,MATCH(I330,_ZIG_Cadastro!$A:$A,0))))),"OK","Atencao - Nome diverge"),IF(NOT(ISERROR(MATCH(I330,_Entradas_ZIG!$C:$C,0))),"OK","Erro - SKU nao encontrado"))))</f>
        <v/>
      </c>
      <c r="M330" s="99">
        <f>IFERROR(INDEX(_ZIG_Cadastro!$G:$G,MATCH(I330,_ZIG_Cadastro!$A:$A,0)),IF(NOT(ISERROR(MATCH(I330,_Entradas_ZIG!$C:$C,0))),"Ativo","—"))</f>
        <v/>
      </c>
      <c r="N330" s="102">
        <f>IFERROR(INDEX(_ZIG_Cadastro!$E:$E,MATCH(I330,_ZIG_Cadastro!$A:$A,0)),IFERROR(INDEX(_Entradas_ZIG!$F:$F,MATCH(I330,_Entradas_ZIG!$C:$C,0)),"—"))</f>
        <v/>
      </c>
      <c r="O330" s="99">
        <f>IF(AND(ISNUMBER(SEARCH("Espeto",N330)),ISNUMBER(SEARCH("Carin",N330))),"SIM","")</f>
        <v/>
      </c>
      <c r="P330" s="99">
        <f>IF(AND(ISNUMBER(SEARCH("Espeto",N330)),ISNUMBER(SEARCH("Lapa",N330))),"SIM","")</f>
        <v/>
      </c>
      <c r="Q330" s="99">
        <f>IF(AND(ISNUMBER(SEARCH("Espeto",N330)),ISNUMBER(SEARCH("Tatuapé",N330))),"SIM","")</f>
        <v/>
      </c>
      <c r="R330" s="99">
        <f>IF(AND(ISNUMBER(SEARCH("Espeto",N330)),ISNUMBER(SEARCH("Pavão",N330))),"SIM","")</f>
        <v/>
      </c>
      <c r="S330" s="99">
        <f>IF(AND(ISNUMBER(SEARCH("Espeto",N330)),ISNUMBER(SEARCH("Chac",N330))),"SIM","")</f>
        <v/>
      </c>
      <c r="T330" s="99">
        <f>IF(AND(ISNUMBER(SEARCH("Espeto",N330)),ISNUMBER(SEARCH("Madalena",N330))),"SIM","")</f>
        <v/>
      </c>
      <c r="U330" s="99">
        <f>IF(AND(ISNUMBER(SEARCH("Espeto",N330)),ISNUMBER(SEARCH("Mariana",N330))),"SIM","")</f>
        <v/>
      </c>
      <c r="V330" s="99">
        <f>IF(AND(ISNUMBER(SEARCH("Espeto",N330)),ISNUMBER(SEARCH("Perdizes",N330))),"SIM","")</f>
        <v/>
      </c>
      <c r="W330" s="99">
        <f>IF(AND(ISNUMBER(SEARCH("Espeto",N330)),ISNUMBER(SEARCH("Santana",N330))),"SIM","")</f>
        <v/>
      </c>
      <c r="X330" s="99">
        <f>IF(AND(ISNUMBER(SEARCH("Espeto",N330)),ISNUMBER(SEARCH("André",N330))),"SIM","")</f>
        <v/>
      </c>
      <c r="Y330" s="99">
        <f>IF(AND(ISNUMBER(SEARCH("Delivery",N330)),ISNUMBER(SEARCH("Carin",N330))),"SIM","")</f>
        <v/>
      </c>
      <c r="Z330" s="99">
        <f>IF(AND(ISNUMBER(SEARCH("Delivery",N330)),ISNUMBER(SEARCH("Lapa",N330))),"SIM","")</f>
        <v/>
      </c>
      <c r="AA330" s="99">
        <f>IF(AND(ISNUMBER(SEARCH("Delivery",N330)),ISNUMBER(SEARCH("Tatuapé",N330))),"SIM","")</f>
        <v/>
      </c>
      <c r="AB330" s="99">
        <f>IF(AND(ISNUMBER(SEARCH("Delivery",N330)),ISNUMBER(SEARCH("Pavão",N330))),"SIM","")</f>
        <v/>
      </c>
      <c r="AC330" s="99">
        <f>IF(AND(ISNUMBER(SEARCH("Delivery",N330)),ISNUMBER(SEARCH("Chac",N330))),"SIM","")</f>
        <v/>
      </c>
      <c r="AD330" s="99">
        <f>IF(AND(ISNUMBER(SEARCH("Delivery",N330)),ISNUMBER(SEARCH("Madalena",N330))),"SIM","")</f>
        <v/>
      </c>
      <c r="AE330" s="99">
        <f>IF(AND(ISNUMBER(SEARCH("Delivery",N330)),ISNUMBER(SEARCH("Mariana",N330))),"SIM","")</f>
        <v/>
      </c>
      <c r="AF330" s="99">
        <f>IF(AND(ISNUMBER(SEARCH("Delivery",N330)),ISNUMBER(SEARCH("Perdizes",N330))),"SIM","")</f>
        <v/>
      </c>
      <c r="AG330" s="99">
        <f>IF(AND(ISNUMBER(SEARCH("Delivery",N330)),ISNUMBER(SEARCH("Santana",N330))),"SIM","")</f>
        <v/>
      </c>
      <c r="AH330" s="99">
        <f>IF(AND(ISNUMBER(SEARCH("Delivery",N330)),ISNUMBER(SEARCH("André",N330))),"SIM","")</f>
        <v/>
      </c>
      <c r="AI330" s="99">
        <f>IF(ISNUMBER(SEARCH("Interlagos",N330)),"SIM","")</f>
        <v/>
      </c>
      <c r="AJ330" s="99">
        <f>IF(ISNUMBER(SEARCH("Quiosque",N330)),"SIM","")</f>
        <v/>
      </c>
      <c r="AK330" s="101" t="n"/>
    </row>
    <row r="331">
      <c r="A331" s="88" t="inlineStr">
        <is>
          <t>Protheus</t>
        </is>
      </c>
      <c r="B331" s="89" t="inlineStr">
        <is>
          <t>000056</t>
        </is>
      </c>
      <c r="C331" s="90">
        <f>IF(B331="—","—",IFERROR(VLOOKUP(B331,_Protheus_Cadastro!$A:$B,2,FALSE),"—"))</f>
        <v/>
      </c>
      <c r="D331" s="91">
        <f>IF(B331="—",IFERROR(INDEX(_ZIG_Cadastro!$D:$D,MATCH(H331,_ZIG_Cadastro!$A:$A,0)),"Produto"),IFERROR(VLOOKUP(B331,_Protheus_Cadastro!$A:$C,3,FALSE),"—"))</f>
        <v/>
      </c>
      <c r="E331" s="91">
        <f>IF(B331="—","—",IFERROR(VLOOKUP(B331,_Protheus_Cadastro!$A:$D,4,FALSE),"—"))</f>
        <v/>
      </c>
      <c r="F331" s="91">
        <f>IF(ISERROR(VLOOKUP(B331,'Estrutura Protheus'!A:A,1,FALSE)),"Não","Sim")</f>
        <v/>
      </c>
      <c r="G331" s="92">
        <f>IFERROR(INDEX(_Protheus_Cadastro!$H:$H,MATCH(B331,_Protheus_Cadastro!$A:$A,0)),"—")</f>
        <v/>
      </c>
      <c r="H331" s="210">
        <f>IFERROR(INDEX(_ZIG_Precos!$D:$D,MATCH(I331,_ZIG_Precos!$F:$F,0)),"—")</f>
        <v/>
      </c>
      <c r="I331" s="95">
        <f>IFERROR(VLOOKUP(B331,_Protheus_Cadastro!$A:$I,9,FALSE),"—")</f>
        <v/>
      </c>
      <c r="J331" s="93">
        <f>IFERROR(INDEX(_ZIG_Cadastro!$B:$B,MATCH(I331,_ZIG_Cadastro!$A:$A,0)),IFERROR(INDEX(_Entradas_ZIG!$B:$B,MATCH(I331,_Entradas_ZIG!$C:$C,0)),"—"))</f>
        <v/>
      </c>
      <c r="K331" s="93">
        <f>IFERROR(INDEX(_ZIG_Cadastro!$C:$C,MATCH(I331,_ZIG_Cadastro!$A:$A,0)),IFERROR(INDEX(_Entradas_ZIG!$D:$D,MATCH(I331,_Entradas_ZIG!$C:$C,0)),"—"))</f>
        <v/>
      </c>
      <c r="L331" s="92">
        <f>IF(I331="","Sem SKU ZIG",IF(I331="—","Sem SKU ZIG",IF(NOT(ISERROR(MATCH(I331,_ZIG_Cadastro!$A:$A,0))),IF(EXACT(UPPER(TRIM(C331)),UPPER(TRIM(INDEX(_ZIG_Cadastro!$B:$B,MATCH(I331,_ZIG_Cadastro!$A:$A,0))))),"OK","Atencao - Nome diverge"),IF(NOT(ISERROR(MATCH(I331,_Entradas_ZIG!$C:$C,0))),"OK","Erro - SKU nao encontrado"))))</f>
        <v/>
      </c>
      <c r="M331" s="92">
        <f>IFERROR(INDEX(_ZIG_Cadastro!$G:$G,MATCH(I331,_ZIG_Cadastro!$A:$A,0)),IF(NOT(ISERROR(MATCH(I331,_Entradas_ZIG!$C:$C,0))),"Ativo","—"))</f>
        <v/>
      </c>
      <c r="N331" s="94">
        <f>IFERROR(INDEX(_ZIG_Cadastro!$E:$E,MATCH(I331,_ZIG_Cadastro!$A:$A,0)),IFERROR(INDEX(_Entradas_ZIG!$F:$F,MATCH(I331,_Entradas_ZIG!$C:$C,0)),"—"))</f>
        <v/>
      </c>
      <c r="O331" s="92">
        <f>IF(AND(ISNUMBER(SEARCH("Espeto",N331)),ISNUMBER(SEARCH("Carin",N331))),"SIM","")</f>
        <v/>
      </c>
      <c r="P331" s="92">
        <f>IF(AND(ISNUMBER(SEARCH("Espeto",N331)),ISNUMBER(SEARCH("Lapa",N331))),"SIM","")</f>
        <v/>
      </c>
      <c r="Q331" s="92">
        <f>IF(AND(ISNUMBER(SEARCH("Espeto",N331)),ISNUMBER(SEARCH("Tatuapé",N331))),"SIM","")</f>
        <v/>
      </c>
      <c r="R331" s="92">
        <f>IF(AND(ISNUMBER(SEARCH("Espeto",N331)),ISNUMBER(SEARCH("Pavão",N331))),"SIM","")</f>
        <v/>
      </c>
      <c r="S331" s="92">
        <f>IF(AND(ISNUMBER(SEARCH("Espeto",N331)),ISNUMBER(SEARCH("Chac",N331))),"SIM","")</f>
        <v/>
      </c>
      <c r="T331" s="92">
        <f>IF(AND(ISNUMBER(SEARCH("Espeto",N331)),ISNUMBER(SEARCH("Madalena",N331))),"SIM","")</f>
        <v/>
      </c>
      <c r="U331" s="92">
        <f>IF(AND(ISNUMBER(SEARCH("Espeto",N331)),ISNUMBER(SEARCH("Mariana",N331))),"SIM","")</f>
        <v/>
      </c>
      <c r="V331" s="92">
        <f>IF(AND(ISNUMBER(SEARCH("Espeto",N331)),ISNUMBER(SEARCH("Perdizes",N331))),"SIM","")</f>
        <v/>
      </c>
      <c r="W331" s="92">
        <f>IF(AND(ISNUMBER(SEARCH("Espeto",N331)),ISNUMBER(SEARCH("Santana",N331))),"SIM","")</f>
        <v/>
      </c>
      <c r="X331" s="92">
        <f>IF(AND(ISNUMBER(SEARCH("Espeto",N331)),ISNUMBER(SEARCH("André",N331))),"SIM","")</f>
        <v/>
      </c>
      <c r="Y331" s="92">
        <f>IF(AND(ISNUMBER(SEARCH("Delivery",N331)),ISNUMBER(SEARCH("Carin",N331))),"SIM","")</f>
        <v/>
      </c>
      <c r="Z331" s="92">
        <f>IF(AND(ISNUMBER(SEARCH("Delivery",N331)),ISNUMBER(SEARCH("Lapa",N331))),"SIM","")</f>
        <v/>
      </c>
      <c r="AA331" s="92">
        <f>IF(AND(ISNUMBER(SEARCH("Delivery",N331)),ISNUMBER(SEARCH("Tatuapé",N331))),"SIM","")</f>
        <v/>
      </c>
      <c r="AB331" s="92">
        <f>IF(AND(ISNUMBER(SEARCH("Delivery",N331)),ISNUMBER(SEARCH("Pavão",N331))),"SIM","")</f>
        <v/>
      </c>
      <c r="AC331" s="92">
        <f>IF(AND(ISNUMBER(SEARCH("Delivery",N331)),ISNUMBER(SEARCH("Chac",N331))),"SIM","")</f>
        <v/>
      </c>
      <c r="AD331" s="92">
        <f>IF(AND(ISNUMBER(SEARCH("Delivery",N331)),ISNUMBER(SEARCH("Madalena",N331))),"SIM","")</f>
        <v/>
      </c>
      <c r="AE331" s="92">
        <f>IF(AND(ISNUMBER(SEARCH("Delivery",N331)),ISNUMBER(SEARCH("Mariana",N331))),"SIM","")</f>
        <v/>
      </c>
      <c r="AF331" s="92">
        <f>IF(AND(ISNUMBER(SEARCH("Delivery",N331)),ISNUMBER(SEARCH("Perdizes",N331))),"SIM","")</f>
        <v/>
      </c>
      <c r="AG331" s="92">
        <f>IF(AND(ISNUMBER(SEARCH("Delivery",N331)),ISNUMBER(SEARCH("Santana",N331))),"SIM","")</f>
        <v/>
      </c>
      <c r="AH331" s="92">
        <f>IF(AND(ISNUMBER(SEARCH("Delivery",N331)),ISNUMBER(SEARCH("André",N331))),"SIM","")</f>
        <v/>
      </c>
      <c r="AI331" s="92">
        <f>IF(ISNUMBER(SEARCH("Interlagos",N331)),"SIM","")</f>
        <v/>
      </c>
      <c r="AJ331" s="92">
        <f>IF(ISNUMBER(SEARCH("Quiosque",N331)),"SIM","")</f>
        <v/>
      </c>
      <c r="AK331" s="93" t="n"/>
    </row>
    <row r="332">
      <c r="A332" s="88" t="inlineStr">
        <is>
          <t>Protheus</t>
        </is>
      </c>
      <c r="B332" s="96" t="inlineStr">
        <is>
          <t>000930</t>
        </is>
      </c>
      <c r="C332" s="97">
        <f>IF(B332="—","—",IFERROR(VLOOKUP(B332,_Protheus_Cadastro!$A:$B,2,FALSE),"—"))</f>
        <v/>
      </c>
      <c r="D332" s="98">
        <f>IF(B332="—",IFERROR(INDEX(_ZIG_Cadastro!$D:$D,MATCH(H332,_ZIG_Cadastro!$A:$A,0)),"Produto"),IFERROR(VLOOKUP(B332,_Protheus_Cadastro!$A:$C,3,FALSE),"—"))</f>
        <v/>
      </c>
      <c r="E332" s="98">
        <f>IF(B332="—","—",IFERROR(VLOOKUP(B332,_Protheus_Cadastro!$A:$D,4,FALSE),"—"))</f>
        <v/>
      </c>
      <c r="F332" s="98">
        <f>IF(ISERROR(VLOOKUP(B332,'Estrutura Protheus'!A:A,1,FALSE)),"Não","Sim")</f>
        <v/>
      </c>
      <c r="G332" s="99">
        <f>IFERROR(INDEX(_Protheus_Cadastro!$H:$H,MATCH(B332,_Protheus_Cadastro!$A:$A,0)),"—")</f>
        <v/>
      </c>
      <c r="H332" s="211">
        <f>IFERROR(INDEX(_ZIG_Precos!$D:$D,MATCH(I332,_ZIG_Precos!$F:$F,0)),"—")</f>
        <v/>
      </c>
      <c r="I332" s="103">
        <f>IFERROR(VLOOKUP(B332,_Protheus_Cadastro!$A:$I,9,FALSE),"—")</f>
        <v/>
      </c>
      <c r="J332" s="101">
        <f>IFERROR(INDEX(_ZIG_Cadastro!$B:$B,MATCH(I332,_ZIG_Cadastro!$A:$A,0)),IFERROR(INDEX(_Entradas_ZIG!$B:$B,MATCH(I332,_Entradas_ZIG!$C:$C,0)),"—"))</f>
        <v/>
      </c>
      <c r="K332" s="101">
        <f>IFERROR(INDEX(_ZIG_Cadastro!$C:$C,MATCH(I332,_ZIG_Cadastro!$A:$A,0)),IFERROR(INDEX(_Entradas_ZIG!$D:$D,MATCH(I332,_Entradas_ZIG!$C:$C,0)),"—"))</f>
        <v/>
      </c>
      <c r="L332" s="99">
        <f>IF(I332="","Sem SKU ZIG",IF(I332="—","Sem SKU ZIG",IF(NOT(ISERROR(MATCH(I332,_ZIG_Cadastro!$A:$A,0))),IF(EXACT(UPPER(TRIM(C332)),UPPER(TRIM(INDEX(_ZIG_Cadastro!$B:$B,MATCH(I332,_ZIG_Cadastro!$A:$A,0))))),"OK","Atencao - Nome diverge"),IF(NOT(ISERROR(MATCH(I332,_Entradas_ZIG!$C:$C,0))),"OK","Erro - SKU nao encontrado"))))</f>
        <v/>
      </c>
      <c r="M332" s="99">
        <f>IFERROR(INDEX(_ZIG_Cadastro!$G:$G,MATCH(I332,_ZIG_Cadastro!$A:$A,0)),IF(NOT(ISERROR(MATCH(I332,_Entradas_ZIG!$C:$C,0))),"Ativo","—"))</f>
        <v/>
      </c>
      <c r="N332" s="102">
        <f>IFERROR(INDEX(_ZIG_Cadastro!$E:$E,MATCH(I332,_ZIG_Cadastro!$A:$A,0)),IFERROR(INDEX(_Entradas_ZIG!$F:$F,MATCH(I332,_Entradas_ZIG!$C:$C,0)),"—"))</f>
        <v/>
      </c>
      <c r="O332" s="99">
        <f>IF(AND(ISNUMBER(SEARCH("Espeto",N332)),ISNUMBER(SEARCH("Carin",N332))),"SIM","")</f>
        <v/>
      </c>
      <c r="P332" s="99">
        <f>IF(AND(ISNUMBER(SEARCH("Espeto",N332)),ISNUMBER(SEARCH("Lapa",N332))),"SIM","")</f>
        <v/>
      </c>
      <c r="Q332" s="99">
        <f>IF(AND(ISNUMBER(SEARCH("Espeto",N332)),ISNUMBER(SEARCH("Tatuapé",N332))),"SIM","")</f>
        <v/>
      </c>
      <c r="R332" s="99">
        <f>IF(AND(ISNUMBER(SEARCH("Espeto",N332)),ISNUMBER(SEARCH("Pavão",N332))),"SIM","")</f>
        <v/>
      </c>
      <c r="S332" s="99">
        <f>IF(AND(ISNUMBER(SEARCH("Espeto",N332)),ISNUMBER(SEARCH("Chac",N332))),"SIM","")</f>
        <v/>
      </c>
      <c r="T332" s="99">
        <f>IF(AND(ISNUMBER(SEARCH("Espeto",N332)),ISNUMBER(SEARCH("Madalena",N332))),"SIM","")</f>
        <v/>
      </c>
      <c r="U332" s="99">
        <f>IF(AND(ISNUMBER(SEARCH("Espeto",N332)),ISNUMBER(SEARCH("Mariana",N332))),"SIM","")</f>
        <v/>
      </c>
      <c r="V332" s="99">
        <f>IF(AND(ISNUMBER(SEARCH("Espeto",N332)),ISNUMBER(SEARCH("Perdizes",N332))),"SIM","")</f>
        <v/>
      </c>
      <c r="W332" s="99">
        <f>IF(AND(ISNUMBER(SEARCH("Espeto",N332)),ISNUMBER(SEARCH("Santana",N332))),"SIM","")</f>
        <v/>
      </c>
      <c r="X332" s="99">
        <f>IF(AND(ISNUMBER(SEARCH("Espeto",N332)),ISNUMBER(SEARCH("André",N332))),"SIM","")</f>
        <v/>
      </c>
      <c r="Y332" s="99">
        <f>IF(AND(ISNUMBER(SEARCH("Delivery",N332)),ISNUMBER(SEARCH("Carin",N332))),"SIM","")</f>
        <v/>
      </c>
      <c r="Z332" s="99">
        <f>IF(AND(ISNUMBER(SEARCH("Delivery",N332)),ISNUMBER(SEARCH("Lapa",N332))),"SIM","")</f>
        <v/>
      </c>
      <c r="AA332" s="99">
        <f>IF(AND(ISNUMBER(SEARCH("Delivery",N332)),ISNUMBER(SEARCH("Tatuapé",N332))),"SIM","")</f>
        <v/>
      </c>
      <c r="AB332" s="99">
        <f>IF(AND(ISNUMBER(SEARCH("Delivery",N332)),ISNUMBER(SEARCH("Pavão",N332))),"SIM","")</f>
        <v/>
      </c>
      <c r="AC332" s="99">
        <f>IF(AND(ISNUMBER(SEARCH("Delivery",N332)),ISNUMBER(SEARCH("Chac",N332))),"SIM","")</f>
        <v/>
      </c>
      <c r="AD332" s="99">
        <f>IF(AND(ISNUMBER(SEARCH("Delivery",N332)),ISNUMBER(SEARCH("Madalena",N332))),"SIM","")</f>
        <v/>
      </c>
      <c r="AE332" s="99">
        <f>IF(AND(ISNUMBER(SEARCH("Delivery",N332)),ISNUMBER(SEARCH("Mariana",N332))),"SIM","")</f>
        <v/>
      </c>
      <c r="AF332" s="99">
        <f>IF(AND(ISNUMBER(SEARCH("Delivery",N332)),ISNUMBER(SEARCH("Perdizes",N332))),"SIM","")</f>
        <v/>
      </c>
      <c r="AG332" s="99">
        <f>IF(AND(ISNUMBER(SEARCH("Delivery",N332)),ISNUMBER(SEARCH("Santana",N332))),"SIM","")</f>
        <v/>
      </c>
      <c r="AH332" s="99">
        <f>IF(AND(ISNUMBER(SEARCH("Delivery",N332)),ISNUMBER(SEARCH("André",N332))),"SIM","")</f>
        <v/>
      </c>
      <c r="AI332" s="99">
        <f>IF(ISNUMBER(SEARCH("Interlagos",N332)),"SIM","")</f>
        <v/>
      </c>
      <c r="AJ332" s="99">
        <f>IF(ISNUMBER(SEARCH("Quiosque",N332)),"SIM","")</f>
        <v/>
      </c>
      <c r="AK332" s="101" t="n"/>
    </row>
    <row r="333">
      <c r="A333" s="88" t="inlineStr">
        <is>
          <t>Protheus</t>
        </is>
      </c>
      <c r="B333" s="89" t="inlineStr">
        <is>
          <t>001278</t>
        </is>
      </c>
      <c r="C333" s="90">
        <f>IF(B333="—","—",IFERROR(VLOOKUP(B333,_Protheus_Cadastro!$A:$B,2,FALSE),"—"))</f>
        <v/>
      </c>
      <c r="D333" s="91">
        <f>IF(B333="—",IFERROR(INDEX(_ZIG_Cadastro!$D:$D,MATCH(H333,_ZIG_Cadastro!$A:$A,0)),"Produto"),IFERROR(VLOOKUP(B333,_Protheus_Cadastro!$A:$C,3,FALSE),"—"))</f>
        <v/>
      </c>
      <c r="E333" s="91">
        <f>IF(B333="—","—",IFERROR(VLOOKUP(B333,_Protheus_Cadastro!$A:$D,4,FALSE),"—"))</f>
        <v/>
      </c>
      <c r="F333" s="91">
        <f>IF(ISERROR(VLOOKUP(B333,'Estrutura Protheus'!A:A,1,FALSE)),"Não","Sim")</f>
        <v/>
      </c>
      <c r="G333" s="92">
        <f>IFERROR(INDEX(_Protheus_Cadastro!$H:$H,MATCH(B333,_Protheus_Cadastro!$A:$A,0)),"—")</f>
        <v/>
      </c>
      <c r="H333" s="210">
        <f>IFERROR(INDEX(_ZIG_Precos!$D:$D,MATCH(I333,_ZIG_Precos!$F:$F,0)),"—")</f>
        <v/>
      </c>
      <c r="I333" s="95">
        <f>IFERROR(VLOOKUP(B333,_Protheus_Cadastro!$A:$I,9,FALSE),"—")</f>
        <v/>
      </c>
      <c r="J333" s="93">
        <f>IFERROR(INDEX(_ZIG_Cadastro!$B:$B,MATCH(I333,_ZIG_Cadastro!$A:$A,0)),IFERROR(INDEX(_Entradas_ZIG!$B:$B,MATCH(I333,_Entradas_ZIG!$C:$C,0)),"—"))</f>
        <v/>
      </c>
      <c r="K333" s="93">
        <f>IFERROR(INDEX(_ZIG_Cadastro!$C:$C,MATCH(I333,_ZIG_Cadastro!$A:$A,0)),IFERROR(INDEX(_Entradas_ZIG!$D:$D,MATCH(I333,_Entradas_ZIG!$C:$C,0)),"—"))</f>
        <v/>
      </c>
      <c r="L333" s="92">
        <f>IF(I333="","Sem SKU ZIG",IF(I333="—","Sem SKU ZIG",IF(NOT(ISERROR(MATCH(I333,_ZIG_Cadastro!$A:$A,0))),IF(EXACT(UPPER(TRIM(C333)),UPPER(TRIM(INDEX(_ZIG_Cadastro!$B:$B,MATCH(I333,_ZIG_Cadastro!$A:$A,0))))),"OK","Atencao - Nome diverge"),IF(NOT(ISERROR(MATCH(I333,_Entradas_ZIG!$C:$C,0))),"OK","Erro - SKU nao encontrado"))))</f>
        <v/>
      </c>
      <c r="M333" s="92">
        <f>IFERROR(INDEX(_ZIG_Cadastro!$G:$G,MATCH(I333,_ZIG_Cadastro!$A:$A,0)),IF(NOT(ISERROR(MATCH(I333,_Entradas_ZIG!$C:$C,0))),"Ativo","—"))</f>
        <v/>
      </c>
      <c r="N333" s="94">
        <f>IFERROR(INDEX(_ZIG_Cadastro!$E:$E,MATCH(I333,_ZIG_Cadastro!$A:$A,0)),IFERROR(INDEX(_Entradas_ZIG!$F:$F,MATCH(I333,_Entradas_ZIG!$C:$C,0)),"—"))</f>
        <v/>
      </c>
      <c r="O333" s="92">
        <f>IF(AND(ISNUMBER(SEARCH("Espeto",N333)),ISNUMBER(SEARCH("Carin",N333))),"SIM","")</f>
        <v/>
      </c>
      <c r="P333" s="92">
        <f>IF(AND(ISNUMBER(SEARCH("Espeto",N333)),ISNUMBER(SEARCH("Lapa",N333))),"SIM","")</f>
        <v/>
      </c>
      <c r="Q333" s="92">
        <f>IF(AND(ISNUMBER(SEARCH("Espeto",N333)),ISNUMBER(SEARCH("Tatuapé",N333))),"SIM","")</f>
        <v/>
      </c>
      <c r="R333" s="92">
        <f>IF(AND(ISNUMBER(SEARCH("Espeto",N333)),ISNUMBER(SEARCH("Pavão",N333))),"SIM","")</f>
        <v/>
      </c>
      <c r="S333" s="92">
        <f>IF(AND(ISNUMBER(SEARCH("Espeto",N333)),ISNUMBER(SEARCH("Chac",N333))),"SIM","")</f>
        <v/>
      </c>
      <c r="T333" s="92">
        <f>IF(AND(ISNUMBER(SEARCH("Espeto",N333)),ISNUMBER(SEARCH("Madalena",N333))),"SIM","")</f>
        <v/>
      </c>
      <c r="U333" s="92">
        <f>IF(AND(ISNUMBER(SEARCH("Espeto",N333)),ISNUMBER(SEARCH("Mariana",N333))),"SIM","")</f>
        <v/>
      </c>
      <c r="V333" s="92">
        <f>IF(AND(ISNUMBER(SEARCH("Espeto",N333)),ISNUMBER(SEARCH("Perdizes",N333))),"SIM","")</f>
        <v/>
      </c>
      <c r="W333" s="92">
        <f>IF(AND(ISNUMBER(SEARCH("Espeto",N333)),ISNUMBER(SEARCH("Santana",N333))),"SIM","")</f>
        <v/>
      </c>
      <c r="X333" s="92">
        <f>IF(AND(ISNUMBER(SEARCH("Espeto",N333)),ISNUMBER(SEARCH("André",N333))),"SIM","")</f>
        <v/>
      </c>
      <c r="Y333" s="92">
        <f>IF(AND(ISNUMBER(SEARCH("Delivery",N333)),ISNUMBER(SEARCH("Carin",N333))),"SIM","")</f>
        <v/>
      </c>
      <c r="Z333" s="92">
        <f>IF(AND(ISNUMBER(SEARCH("Delivery",N333)),ISNUMBER(SEARCH("Lapa",N333))),"SIM","")</f>
        <v/>
      </c>
      <c r="AA333" s="92">
        <f>IF(AND(ISNUMBER(SEARCH("Delivery",N333)),ISNUMBER(SEARCH("Tatuapé",N333))),"SIM","")</f>
        <v/>
      </c>
      <c r="AB333" s="92">
        <f>IF(AND(ISNUMBER(SEARCH("Delivery",N333)),ISNUMBER(SEARCH("Pavão",N333))),"SIM","")</f>
        <v/>
      </c>
      <c r="AC333" s="92">
        <f>IF(AND(ISNUMBER(SEARCH("Delivery",N333)),ISNUMBER(SEARCH("Chac",N333))),"SIM","")</f>
        <v/>
      </c>
      <c r="AD333" s="92">
        <f>IF(AND(ISNUMBER(SEARCH("Delivery",N333)),ISNUMBER(SEARCH("Madalena",N333))),"SIM","")</f>
        <v/>
      </c>
      <c r="AE333" s="92">
        <f>IF(AND(ISNUMBER(SEARCH("Delivery",N333)),ISNUMBER(SEARCH("Mariana",N333))),"SIM","")</f>
        <v/>
      </c>
      <c r="AF333" s="92">
        <f>IF(AND(ISNUMBER(SEARCH("Delivery",N333)),ISNUMBER(SEARCH("Perdizes",N333))),"SIM","")</f>
        <v/>
      </c>
      <c r="AG333" s="92">
        <f>IF(AND(ISNUMBER(SEARCH("Delivery",N333)),ISNUMBER(SEARCH("Santana",N333))),"SIM","")</f>
        <v/>
      </c>
      <c r="AH333" s="92">
        <f>IF(AND(ISNUMBER(SEARCH("Delivery",N333)),ISNUMBER(SEARCH("André",N333))),"SIM","")</f>
        <v/>
      </c>
      <c r="AI333" s="92">
        <f>IF(ISNUMBER(SEARCH("Interlagos",N333)),"SIM","")</f>
        <v/>
      </c>
      <c r="AJ333" s="92">
        <f>IF(ISNUMBER(SEARCH("Quiosque",N333)),"SIM","")</f>
        <v/>
      </c>
      <c r="AK333" s="93" t="n"/>
    </row>
    <row r="334">
      <c r="A334" s="88" t="inlineStr">
        <is>
          <t>Protheus</t>
        </is>
      </c>
      <c r="B334" s="96" t="inlineStr">
        <is>
          <t>000061</t>
        </is>
      </c>
      <c r="C334" s="97">
        <f>IF(B334="—","—",IFERROR(VLOOKUP(B334,_Protheus_Cadastro!$A:$B,2,FALSE),"—"))</f>
        <v/>
      </c>
      <c r="D334" s="98">
        <f>IF(B334="—",IFERROR(INDEX(_ZIG_Cadastro!$D:$D,MATCH(H334,_ZIG_Cadastro!$A:$A,0)),"Produto"),IFERROR(VLOOKUP(B334,_Protheus_Cadastro!$A:$C,3,FALSE),"—"))</f>
        <v/>
      </c>
      <c r="E334" s="98">
        <f>IF(B334="—","—",IFERROR(VLOOKUP(B334,_Protheus_Cadastro!$A:$D,4,FALSE),"—"))</f>
        <v/>
      </c>
      <c r="F334" s="98">
        <f>IF(ISERROR(VLOOKUP(B334,'Estrutura Protheus'!A:A,1,FALSE)),"Não","Sim")</f>
        <v/>
      </c>
      <c r="G334" s="99">
        <f>IFERROR(INDEX(_Protheus_Cadastro!$H:$H,MATCH(B334,_Protheus_Cadastro!$A:$A,0)),"—")</f>
        <v/>
      </c>
      <c r="H334" s="211">
        <f>IFERROR(INDEX(_ZIG_Precos!$D:$D,MATCH(I334,_ZIG_Precos!$F:$F,0)),"—")</f>
        <v/>
      </c>
      <c r="I334" s="103">
        <f>IFERROR(VLOOKUP(B334,_Protheus_Cadastro!$A:$I,9,FALSE),"—")</f>
        <v/>
      </c>
      <c r="J334" s="101">
        <f>IFERROR(INDEX(_ZIG_Cadastro!$B:$B,MATCH(I334,_ZIG_Cadastro!$A:$A,0)),IFERROR(INDEX(_Entradas_ZIG!$B:$B,MATCH(I334,_Entradas_ZIG!$C:$C,0)),"—"))</f>
        <v/>
      </c>
      <c r="K334" s="101">
        <f>IFERROR(INDEX(_ZIG_Cadastro!$C:$C,MATCH(I334,_ZIG_Cadastro!$A:$A,0)),IFERROR(INDEX(_Entradas_ZIG!$D:$D,MATCH(I334,_Entradas_ZIG!$C:$C,0)),"—"))</f>
        <v/>
      </c>
      <c r="L334" s="99">
        <f>IF(I334="","Sem SKU ZIG",IF(I334="—","Sem SKU ZIG",IF(NOT(ISERROR(MATCH(I334,_ZIG_Cadastro!$A:$A,0))),IF(EXACT(UPPER(TRIM(C334)),UPPER(TRIM(INDEX(_ZIG_Cadastro!$B:$B,MATCH(I334,_ZIG_Cadastro!$A:$A,0))))),"OK","Atencao - Nome diverge"),IF(NOT(ISERROR(MATCH(I334,_Entradas_ZIG!$C:$C,0))),"OK","Erro - SKU nao encontrado"))))</f>
        <v/>
      </c>
      <c r="M334" s="99">
        <f>IFERROR(INDEX(_ZIG_Cadastro!$G:$G,MATCH(I334,_ZIG_Cadastro!$A:$A,0)),IF(NOT(ISERROR(MATCH(I334,_Entradas_ZIG!$C:$C,0))),"Ativo","—"))</f>
        <v/>
      </c>
      <c r="N334" s="102">
        <f>IFERROR(INDEX(_ZIG_Cadastro!$E:$E,MATCH(I334,_ZIG_Cadastro!$A:$A,0)),IFERROR(INDEX(_Entradas_ZIG!$F:$F,MATCH(I334,_Entradas_ZIG!$C:$C,0)),"—"))</f>
        <v/>
      </c>
      <c r="O334" s="99">
        <f>IF(AND(ISNUMBER(SEARCH("Espeto",N334)),ISNUMBER(SEARCH("Carin",N334))),"SIM","")</f>
        <v/>
      </c>
      <c r="P334" s="99">
        <f>IF(AND(ISNUMBER(SEARCH("Espeto",N334)),ISNUMBER(SEARCH("Lapa",N334))),"SIM","")</f>
        <v/>
      </c>
      <c r="Q334" s="99">
        <f>IF(AND(ISNUMBER(SEARCH("Espeto",N334)),ISNUMBER(SEARCH("Tatuapé",N334))),"SIM","")</f>
        <v/>
      </c>
      <c r="R334" s="99">
        <f>IF(AND(ISNUMBER(SEARCH("Espeto",N334)),ISNUMBER(SEARCH("Pavão",N334))),"SIM","")</f>
        <v/>
      </c>
      <c r="S334" s="99">
        <f>IF(AND(ISNUMBER(SEARCH("Espeto",N334)),ISNUMBER(SEARCH("Chac",N334))),"SIM","")</f>
        <v/>
      </c>
      <c r="T334" s="99">
        <f>IF(AND(ISNUMBER(SEARCH("Espeto",N334)),ISNUMBER(SEARCH("Madalena",N334))),"SIM","")</f>
        <v/>
      </c>
      <c r="U334" s="99">
        <f>IF(AND(ISNUMBER(SEARCH("Espeto",N334)),ISNUMBER(SEARCH("Mariana",N334))),"SIM","")</f>
        <v/>
      </c>
      <c r="V334" s="99">
        <f>IF(AND(ISNUMBER(SEARCH("Espeto",N334)),ISNUMBER(SEARCH("Perdizes",N334))),"SIM","")</f>
        <v/>
      </c>
      <c r="W334" s="99">
        <f>IF(AND(ISNUMBER(SEARCH("Espeto",N334)),ISNUMBER(SEARCH("Santana",N334))),"SIM","")</f>
        <v/>
      </c>
      <c r="X334" s="99">
        <f>IF(AND(ISNUMBER(SEARCH("Espeto",N334)),ISNUMBER(SEARCH("André",N334))),"SIM","")</f>
        <v/>
      </c>
      <c r="Y334" s="99">
        <f>IF(AND(ISNUMBER(SEARCH("Delivery",N334)),ISNUMBER(SEARCH("Carin",N334))),"SIM","")</f>
        <v/>
      </c>
      <c r="Z334" s="99">
        <f>IF(AND(ISNUMBER(SEARCH("Delivery",N334)),ISNUMBER(SEARCH("Lapa",N334))),"SIM","")</f>
        <v/>
      </c>
      <c r="AA334" s="99">
        <f>IF(AND(ISNUMBER(SEARCH("Delivery",N334)),ISNUMBER(SEARCH("Tatuapé",N334))),"SIM","")</f>
        <v/>
      </c>
      <c r="AB334" s="99">
        <f>IF(AND(ISNUMBER(SEARCH("Delivery",N334)),ISNUMBER(SEARCH("Pavão",N334))),"SIM","")</f>
        <v/>
      </c>
      <c r="AC334" s="99">
        <f>IF(AND(ISNUMBER(SEARCH("Delivery",N334)),ISNUMBER(SEARCH("Chac",N334))),"SIM","")</f>
        <v/>
      </c>
      <c r="AD334" s="99">
        <f>IF(AND(ISNUMBER(SEARCH("Delivery",N334)),ISNUMBER(SEARCH("Madalena",N334))),"SIM","")</f>
        <v/>
      </c>
      <c r="AE334" s="99">
        <f>IF(AND(ISNUMBER(SEARCH("Delivery",N334)),ISNUMBER(SEARCH("Mariana",N334))),"SIM","")</f>
        <v/>
      </c>
      <c r="AF334" s="99">
        <f>IF(AND(ISNUMBER(SEARCH("Delivery",N334)),ISNUMBER(SEARCH("Perdizes",N334))),"SIM","")</f>
        <v/>
      </c>
      <c r="AG334" s="99">
        <f>IF(AND(ISNUMBER(SEARCH("Delivery",N334)),ISNUMBER(SEARCH("Santana",N334))),"SIM","")</f>
        <v/>
      </c>
      <c r="AH334" s="99">
        <f>IF(AND(ISNUMBER(SEARCH("Delivery",N334)),ISNUMBER(SEARCH("André",N334))),"SIM","")</f>
        <v/>
      </c>
      <c r="AI334" s="99">
        <f>IF(ISNUMBER(SEARCH("Interlagos",N334)),"SIM","")</f>
        <v/>
      </c>
      <c r="AJ334" s="99">
        <f>IF(ISNUMBER(SEARCH("Quiosque",N334)),"SIM","")</f>
        <v/>
      </c>
      <c r="AK334" s="101" t="n"/>
    </row>
    <row r="335">
      <c r="A335" s="88" t="inlineStr">
        <is>
          <t>Protheus</t>
        </is>
      </c>
      <c r="B335" s="89" t="inlineStr">
        <is>
          <t>001508</t>
        </is>
      </c>
      <c r="C335" s="90">
        <f>IF(B335="—","—",IFERROR(VLOOKUP(B335,_Protheus_Cadastro!$A:$B,2,FALSE),"—"))</f>
        <v/>
      </c>
      <c r="D335" s="91">
        <f>IF(B335="—",IFERROR(INDEX(_ZIG_Cadastro!$D:$D,MATCH(H335,_ZIG_Cadastro!$A:$A,0)),"Produto"),IFERROR(VLOOKUP(B335,_Protheus_Cadastro!$A:$C,3,FALSE),"—"))</f>
        <v/>
      </c>
      <c r="E335" s="91">
        <f>IF(B335="—","—",IFERROR(VLOOKUP(B335,_Protheus_Cadastro!$A:$D,4,FALSE),"—"))</f>
        <v/>
      </c>
      <c r="F335" s="91">
        <f>IF(ISERROR(VLOOKUP(B335,'Estrutura Protheus'!A:A,1,FALSE)),"Não","Sim")</f>
        <v/>
      </c>
      <c r="G335" s="92">
        <f>IFERROR(INDEX(_Protheus_Cadastro!$H:$H,MATCH(B335,_Protheus_Cadastro!$A:$A,0)),"—")</f>
        <v/>
      </c>
      <c r="H335" s="210">
        <f>IFERROR(INDEX(_ZIG_Precos!$D:$D,MATCH(I335,_ZIG_Precos!$F:$F,0)),"—")</f>
        <v/>
      </c>
      <c r="I335" s="95">
        <f>IFERROR(VLOOKUP(B335,_Protheus_Cadastro!$A:$I,9,FALSE),"—")</f>
        <v/>
      </c>
      <c r="J335" s="93">
        <f>IFERROR(INDEX(_ZIG_Cadastro!$B:$B,MATCH(I335,_ZIG_Cadastro!$A:$A,0)),IFERROR(INDEX(_Entradas_ZIG!$B:$B,MATCH(I335,_Entradas_ZIG!$C:$C,0)),"—"))</f>
        <v/>
      </c>
      <c r="K335" s="93">
        <f>IFERROR(INDEX(_ZIG_Cadastro!$C:$C,MATCH(I335,_ZIG_Cadastro!$A:$A,0)),IFERROR(INDEX(_Entradas_ZIG!$D:$D,MATCH(I335,_Entradas_ZIG!$C:$C,0)),"—"))</f>
        <v/>
      </c>
      <c r="L335" s="92">
        <f>IF(I335="","Sem SKU ZIG",IF(I335="—","Sem SKU ZIG",IF(NOT(ISERROR(MATCH(I335,_ZIG_Cadastro!$A:$A,0))),IF(EXACT(UPPER(TRIM(C335)),UPPER(TRIM(INDEX(_ZIG_Cadastro!$B:$B,MATCH(I335,_ZIG_Cadastro!$A:$A,0))))),"OK","Atencao - Nome diverge"),IF(NOT(ISERROR(MATCH(I335,_Entradas_ZIG!$C:$C,0))),"OK","Erro - SKU nao encontrado"))))</f>
        <v/>
      </c>
      <c r="M335" s="92">
        <f>IFERROR(INDEX(_ZIG_Cadastro!$G:$G,MATCH(I335,_ZIG_Cadastro!$A:$A,0)),IF(NOT(ISERROR(MATCH(I335,_Entradas_ZIG!$C:$C,0))),"Ativo","—"))</f>
        <v/>
      </c>
      <c r="N335" s="94">
        <f>IFERROR(INDEX(_ZIG_Cadastro!$E:$E,MATCH(I335,_ZIG_Cadastro!$A:$A,0)),IFERROR(INDEX(_Entradas_ZIG!$F:$F,MATCH(I335,_Entradas_ZIG!$C:$C,0)),"—"))</f>
        <v/>
      </c>
      <c r="O335" s="92">
        <f>IF(AND(ISNUMBER(SEARCH("Espeto",N335)),ISNUMBER(SEARCH("Carin",N335))),"SIM","")</f>
        <v/>
      </c>
      <c r="P335" s="92">
        <f>IF(AND(ISNUMBER(SEARCH("Espeto",N335)),ISNUMBER(SEARCH("Lapa",N335))),"SIM","")</f>
        <v/>
      </c>
      <c r="Q335" s="92">
        <f>IF(AND(ISNUMBER(SEARCH("Espeto",N335)),ISNUMBER(SEARCH("Tatuapé",N335))),"SIM","")</f>
        <v/>
      </c>
      <c r="R335" s="92">
        <f>IF(AND(ISNUMBER(SEARCH("Espeto",N335)),ISNUMBER(SEARCH("Pavão",N335))),"SIM","")</f>
        <v/>
      </c>
      <c r="S335" s="92">
        <f>IF(AND(ISNUMBER(SEARCH("Espeto",N335)),ISNUMBER(SEARCH("Chac",N335))),"SIM","")</f>
        <v/>
      </c>
      <c r="T335" s="92">
        <f>IF(AND(ISNUMBER(SEARCH("Espeto",N335)),ISNUMBER(SEARCH("Madalena",N335))),"SIM","")</f>
        <v/>
      </c>
      <c r="U335" s="92">
        <f>IF(AND(ISNUMBER(SEARCH("Espeto",N335)),ISNUMBER(SEARCH("Mariana",N335))),"SIM","")</f>
        <v/>
      </c>
      <c r="V335" s="92">
        <f>IF(AND(ISNUMBER(SEARCH("Espeto",N335)),ISNUMBER(SEARCH("Perdizes",N335))),"SIM","")</f>
        <v/>
      </c>
      <c r="W335" s="92">
        <f>IF(AND(ISNUMBER(SEARCH("Espeto",N335)),ISNUMBER(SEARCH("Santana",N335))),"SIM","")</f>
        <v/>
      </c>
      <c r="X335" s="92">
        <f>IF(AND(ISNUMBER(SEARCH("Espeto",N335)),ISNUMBER(SEARCH("André",N335))),"SIM","")</f>
        <v/>
      </c>
      <c r="Y335" s="92">
        <f>IF(AND(ISNUMBER(SEARCH("Delivery",N335)),ISNUMBER(SEARCH("Carin",N335))),"SIM","")</f>
        <v/>
      </c>
      <c r="Z335" s="92">
        <f>IF(AND(ISNUMBER(SEARCH("Delivery",N335)),ISNUMBER(SEARCH("Lapa",N335))),"SIM","")</f>
        <v/>
      </c>
      <c r="AA335" s="92">
        <f>IF(AND(ISNUMBER(SEARCH("Delivery",N335)),ISNUMBER(SEARCH("Tatuapé",N335))),"SIM","")</f>
        <v/>
      </c>
      <c r="AB335" s="92">
        <f>IF(AND(ISNUMBER(SEARCH("Delivery",N335)),ISNUMBER(SEARCH("Pavão",N335))),"SIM","")</f>
        <v/>
      </c>
      <c r="AC335" s="92">
        <f>IF(AND(ISNUMBER(SEARCH("Delivery",N335)),ISNUMBER(SEARCH("Chac",N335))),"SIM","")</f>
        <v/>
      </c>
      <c r="AD335" s="92">
        <f>IF(AND(ISNUMBER(SEARCH("Delivery",N335)),ISNUMBER(SEARCH("Madalena",N335))),"SIM","")</f>
        <v/>
      </c>
      <c r="AE335" s="92">
        <f>IF(AND(ISNUMBER(SEARCH("Delivery",N335)),ISNUMBER(SEARCH("Mariana",N335))),"SIM","")</f>
        <v/>
      </c>
      <c r="AF335" s="92">
        <f>IF(AND(ISNUMBER(SEARCH("Delivery",N335)),ISNUMBER(SEARCH("Perdizes",N335))),"SIM","")</f>
        <v/>
      </c>
      <c r="AG335" s="92">
        <f>IF(AND(ISNUMBER(SEARCH("Delivery",N335)),ISNUMBER(SEARCH("Santana",N335))),"SIM","")</f>
        <v/>
      </c>
      <c r="AH335" s="92">
        <f>IF(AND(ISNUMBER(SEARCH("Delivery",N335)),ISNUMBER(SEARCH("André",N335))),"SIM","")</f>
        <v/>
      </c>
      <c r="AI335" s="92">
        <f>IF(ISNUMBER(SEARCH("Interlagos",N335)),"SIM","")</f>
        <v/>
      </c>
      <c r="AJ335" s="92">
        <f>IF(ISNUMBER(SEARCH("Quiosque",N335)),"SIM","")</f>
        <v/>
      </c>
      <c r="AK335" s="93" t="n"/>
    </row>
    <row r="336">
      <c r="A336" s="88" t="inlineStr">
        <is>
          <t>Protheus</t>
        </is>
      </c>
      <c r="B336" s="96" t="inlineStr">
        <is>
          <t>001505</t>
        </is>
      </c>
      <c r="C336" s="97">
        <f>IF(B336="—","—",IFERROR(VLOOKUP(B336,_Protheus_Cadastro!$A:$B,2,FALSE),"—"))</f>
        <v/>
      </c>
      <c r="D336" s="98">
        <f>IF(B336="—",IFERROR(INDEX(_ZIG_Cadastro!$D:$D,MATCH(H336,_ZIG_Cadastro!$A:$A,0)),"Produto"),IFERROR(VLOOKUP(B336,_Protheus_Cadastro!$A:$C,3,FALSE),"—"))</f>
        <v/>
      </c>
      <c r="E336" s="98">
        <f>IF(B336="—","—",IFERROR(VLOOKUP(B336,_Protheus_Cadastro!$A:$D,4,FALSE),"—"))</f>
        <v/>
      </c>
      <c r="F336" s="98">
        <f>IF(ISERROR(VLOOKUP(B336,'Estrutura Protheus'!A:A,1,FALSE)),"Não","Sim")</f>
        <v/>
      </c>
      <c r="G336" s="99">
        <f>IFERROR(INDEX(_Protheus_Cadastro!$H:$H,MATCH(B336,_Protheus_Cadastro!$A:$A,0)),"—")</f>
        <v/>
      </c>
      <c r="H336" s="211">
        <f>IFERROR(INDEX(_ZIG_Precos!$D:$D,MATCH(I336,_ZIG_Precos!$F:$F,0)),"—")</f>
        <v/>
      </c>
      <c r="I336" s="103">
        <f>IFERROR(VLOOKUP(B336,_Protheus_Cadastro!$A:$I,9,FALSE),"—")</f>
        <v/>
      </c>
      <c r="J336" s="101">
        <f>IFERROR(INDEX(_ZIG_Cadastro!$B:$B,MATCH(I336,_ZIG_Cadastro!$A:$A,0)),IFERROR(INDEX(_Entradas_ZIG!$B:$B,MATCH(I336,_Entradas_ZIG!$C:$C,0)),"—"))</f>
        <v/>
      </c>
      <c r="K336" s="101">
        <f>IFERROR(INDEX(_ZIG_Cadastro!$C:$C,MATCH(I336,_ZIG_Cadastro!$A:$A,0)),IFERROR(INDEX(_Entradas_ZIG!$D:$D,MATCH(I336,_Entradas_ZIG!$C:$C,0)),"—"))</f>
        <v/>
      </c>
      <c r="L336" s="99">
        <f>IF(I336="","Sem SKU ZIG",IF(I336="—","Sem SKU ZIG",IF(NOT(ISERROR(MATCH(I336,_ZIG_Cadastro!$A:$A,0))),IF(EXACT(UPPER(TRIM(C336)),UPPER(TRIM(INDEX(_ZIG_Cadastro!$B:$B,MATCH(I336,_ZIG_Cadastro!$A:$A,0))))),"OK","Atencao - Nome diverge"),IF(NOT(ISERROR(MATCH(I336,_Entradas_ZIG!$C:$C,0))),"OK","Erro - SKU nao encontrado"))))</f>
        <v/>
      </c>
      <c r="M336" s="99">
        <f>IFERROR(INDEX(_ZIG_Cadastro!$G:$G,MATCH(I336,_ZIG_Cadastro!$A:$A,0)),IF(NOT(ISERROR(MATCH(I336,_Entradas_ZIG!$C:$C,0))),"Ativo","—"))</f>
        <v/>
      </c>
      <c r="N336" s="102">
        <f>IFERROR(INDEX(_ZIG_Cadastro!$E:$E,MATCH(I336,_ZIG_Cadastro!$A:$A,0)),IFERROR(INDEX(_Entradas_ZIG!$F:$F,MATCH(I336,_Entradas_ZIG!$C:$C,0)),"—"))</f>
        <v/>
      </c>
      <c r="O336" s="99">
        <f>IF(AND(ISNUMBER(SEARCH("Espeto",N336)),ISNUMBER(SEARCH("Carin",N336))),"SIM","")</f>
        <v/>
      </c>
      <c r="P336" s="99">
        <f>IF(AND(ISNUMBER(SEARCH("Espeto",N336)),ISNUMBER(SEARCH("Lapa",N336))),"SIM","")</f>
        <v/>
      </c>
      <c r="Q336" s="99">
        <f>IF(AND(ISNUMBER(SEARCH("Espeto",N336)),ISNUMBER(SEARCH("Tatuapé",N336))),"SIM","")</f>
        <v/>
      </c>
      <c r="R336" s="99">
        <f>IF(AND(ISNUMBER(SEARCH("Espeto",N336)),ISNUMBER(SEARCH("Pavão",N336))),"SIM","")</f>
        <v/>
      </c>
      <c r="S336" s="99">
        <f>IF(AND(ISNUMBER(SEARCH("Espeto",N336)),ISNUMBER(SEARCH("Chac",N336))),"SIM","")</f>
        <v/>
      </c>
      <c r="T336" s="99">
        <f>IF(AND(ISNUMBER(SEARCH("Espeto",N336)),ISNUMBER(SEARCH("Madalena",N336))),"SIM","")</f>
        <v/>
      </c>
      <c r="U336" s="99">
        <f>IF(AND(ISNUMBER(SEARCH("Espeto",N336)),ISNUMBER(SEARCH("Mariana",N336))),"SIM","")</f>
        <v/>
      </c>
      <c r="V336" s="99">
        <f>IF(AND(ISNUMBER(SEARCH("Espeto",N336)),ISNUMBER(SEARCH("Perdizes",N336))),"SIM","")</f>
        <v/>
      </c>
      <c r="W336" s="99">
        <f>IF(AND(ISNUMBER(SEARCH("Espeto",N336)),ISNUMBER(SEARCH("Santana",N336))),"SIM","")</f>
        <v/>
      </c>
      <c r="X336" s="99">
        <f>IF(AND(ISNUMBER(SEARCH("Espeto",N336)),ISNUMBER(SEARCH("André",N336))),"SIM","")</f>
        <v/>
      </c>
      <c r="Y336" s="99">
        <f>IF(AND(ISNUMBER(SEARCH("Delivery",N336)),ISNUMBER(SEARCH("Carin",N336))),"SIM","")</f>
        <v/>
      </c>
      <c r="Z336" s="99">
        <f>IF(AND(ISNUMBER(SEARCH("Delivery",N336)),ISNUMBER(SEARCH("Lapa",N336))),"SIM","")</f>
        <v/>
      </c>
      <c r="AA336" s="99">
        <f>IF(AND(ISNUMBER(SEARCH("Delivery",N336)),ISNUMBER(SEARCH("Tatuapé",N336))),"SIM","")</f>
        <v/>
      </c>
      <c r="AB336" s="99">
        <f>IF(AND(ISNUMBER(SEARCH("Delivery",N336)),ISNUMBER(SEARCH("Pavão",N336))),"SIM","")</f>
        <v/>
      </c>
      <c r="AC336" s="99">
        <f>IF(AND(ISNUMBER(SEARCH("Delivery",N336)),ISNUMBER(SEARCH("Chac",N336))),"SIM","")</f>
        <v/>
      </c>
      <c r="AD336" s="99">
        <f>IF(AND(ISNUMBER(SEARCH("Delivery",N336)),ISNUMBER(SEARCH("Madalena",N336))),"SIM","")</f>
        <v/>
      </c>
      <c r="AE336" s="99">
        <f>IF(AND(ISNUMBER(SEARCH("Delivery",N336)),ISNUMBER(SEARCH("Mariana",N336))),"SIM","")</f>
        <v/>
      </c>
      <c r="AF336" s="99">
        <f>IF(AND(ISNUMBER(SEARCH("Delivery",N336)),ISNUMBER(SEARCH("Perdizes",N336))),"SIM","")</f>
        <v/>
      </c>
      <c r="AG336" s="99">
        <f>IF(AND(ISNUMBER(SEARCH("Delivery",N336)),ISNUMBER(SEARCH("Santana",N336))),"SIM","")</f>
        <v/>
      </c>
      <c r="AH336" s="99">
        <f>IF(AND(ISNUMBER(SEARCH("Delivery",N336)),ISNUMBER(SEARCH("André",N336))),"SIM","")</f>
        <v/>
      </c>
      <c r="AI336" s="99">
        <f>IF(ISNUMBER(SEARCH("Interlagos",N336)),"SIM","")</f>
        <v/>
      </c>
      <c r="AJ336" s="99">
        <f>IF(ISNUMBER(SEARCH("Quiosque",N336)),"SIM","")</f>
        <v/>
      </c>
      <c r="AK336" s="101" t="n"/>
    </row>
    <row r="337">
      <c r="A337" s="88" t="inlineStr">
        <is>
          <t>Protheus</t>
        </is>
      </c>
      <c r="B337" s="89" t="inlineStr">
        <is>
          <t>009595</t>
        </is>
      </c>
      <c r="C337" s="90">
        <f>IF(B337="—","—",IFERROR(VLOOKUP(B337,_Protheus_Cadastro!$A:$B,2,FALSE),"—"))</f>
        <v/>
      </c>
      <c r="D337" s="91">
        <f>IF(B337="—",IFERROR(INDEX(_ZIG_Cadastro!$D:$D,MATCH(H337,_ZIG_Cadastro!$A:$A,0)),"Produto"),IFERROR(VLOOKUP(B337,_Protheus_Cadastro!$A:$C,3,FALSE),"—"))</f>
        <v/>
      </c>
      <c r="E337" s="91">
        <f>IF(B337="—","—",IFERROR(VLOOKUP(B337,_Protheus_Cadastro!$A:$D,4,FALSE),"—"))</f>
        <v/>
      </c>
      <c r="F337" s="91">
        <f>IF(ISERROR(VLOOKUP(B337,'Estrutura Protheus'!A:A,1,FALSE)),"Não","Sim")</f>
        <v/>
      </c>
      <c r="G337" s="92">
        <f>IFERROR(INDEX(_Protheus_Cadastro!$H:$H,MATCH(B337,_Protheus_Cadastro!$A:$A,0)),"—")</f>
        <v/>
      </c>
      <c r="H337" s="210">
        <f>IFERROR(INDEX(_ZIG_Precos!$D:$D,MATCH(I337,_ZIG_Precos!$F:$F,0)),"—")</f>
        <v/>
      </c>
      <c r="I337" s="95">
        <f>IFERROR(VLOOKUP(B337,_Protheus_Cadastro!$A:$I,9,FALSE),"—")</f>
        <v/>
      </c>
      <c r="J337" s="93">
        <f>IFERROR(INDEX(_ZIG_Cadastro!$B:$B,MATCH(I337,_ZIG_Cadastro!$A:$A,0)),IFERROR(INDEX(_Entradas_ZIG!$B:$B,MATCH(I337,_Entradas_ZIG!$C:$C,0)),"—"))</f>
        <v/>
      </c>
      <c r="K337" s="93">
        <f>IFERROR(INDEX(_ZIG_Cadastro!$C:$C,MATCH(I337,_ZIG_Cadastro!$A:$A,0)),IFERROR(INDEX(_Entradas_ZIG!$D:$D,MATCH(I337,_Entradas_ZIG!$C:$C,0)),"—"))</f>
        <v/>
      </c>
      <c r="L337" s="92">
        <f>IF(I337="","Sem SKU ZIG",IF(I337="—","Sem SKU ZIG",IF(NOT(ISERROR(MATCH(I337,_ZIG_Cadastro!$A:$A,0))),IF(EXACT(UPPER(TRIM(C337)),UPPER(TRIM(INDEX(_ZIG_Cadastro!$B:$B,MATCH(I337,_ZIG_Cadastro!$A:$A,0))))),"OK","Atencao - Nome diverge"),IF(NOT(ISERROR(MATCH(I337,_Entradas_ZIG!$C:$C,0))),"OK","Erro - SKU nao encontrado"))))</f>
        <v/>
      </c>
      <c r="M337" s="92">
        <f>IFERROR(INDEX(_ZIG_Cadastro!$G:$G,MATCH(I337,_ZIG_Cadastro!$A:$A,0)),IF(NOT(ISERROR(MATCH(I337,_Entradas_ZIG!$C:$C,0))),"Ativo","—"))</f>
        <v/>
      </c>
      <c r="N337" s="94">
        <f>IFERROR(INDEX(_ZIG_Cadastro!$E:$E,MATCH(I337,_ZIG_Cadastro!$A:$A,0)),IFERROR(INDEX(_Entradas_ZIG!$F:$F,MATCH(I337,_Entradas_ZIG!$C:$C,0)),"—"))</f>
        <v/>
      </c>
      <c r="O337" s="92">
        <f>IF(AND(ISNUMBER(SEARCH("Espeto",N337)),ISNUMBER(SEARCH("Carin",N337))),"SIM","")</f>
        <v/>
      </c>
      <c r="P337" s="92">
        <f>IF(AND(ISNUMBER(SEARCH("Espeto",N337)),ISNUMBER(SEARCH("Lapa",N337))),"SIM","")</f>
        <v/>
      </c>
      <c r="Q337" s="92">
        <f>IF(AND(ISNUMBER(SEARCH("Espeto",N337)),ISNUMBER(SEARCH("Tatuapé",N337))),"SIM","")</f>
        <v/>
      </c>
      <c r="R337" s="92">
        <f>IF(AND(ISNUMBER(SEARCH("Espeto",N337)),ISNUMBER(SEARCH("Pavão",N337))),"SIM","")</f>
        <v/>
      </c>
      <c r="S337" s="92">
        <f>IF(AND(ISNUMBER(SEARCH("Espeto",N337)),ISNUMBER(SEARCH("Chac",N337))),"SIM","")</f>
        <v/>
      </c>
      <c r="T337" s="92">
        <f>IF(AND(ISNUMBER(SEARCH("Espeto",N337)),ISNUMBER(SEARCH("Madalena",N337))),"SIM","")</f>
        <v/>
      </c>
      <c r="U337" s="92">
        <f>IF(AND(ISNUMBER(SEARCH("Espeto",N337)),ISNUMBER(SEARCH("Mariana",N337))),"SIM","")</f>
        <v/>
      </c>
      <c r="V337" s="92">
        <f>IF(AND(ISNUMBER(SEARCH("Espeto",N337)),ISNUMBER(SEARCH("Perdizes",N337))),"SIM","")</f>
        <v/>
      </c>
      <c r="W337" s="92">
        <f>IF(AND(ISNUMBER(SEARCH("Espeto",N337)),ISNUMBER(SEARCH("Santana",N337))),"SIM","")</f>
        <v/>
      </c>
      <c r="X337" s="92">
        <f>IF(AND(ISNUMBER(SEARCH("Espeto",N337)),ISNUMBER(SEARCH("André",N337))),"SIM","")</f>
        <v/>
      </c>
      <c r="Y337" s="92">
        <f>IF(AND(ISNUMBER(SEARCH("Delivery",N337)),ISNUMBER(SEARCH("Carin",N337))),"SIM","")</f>
        <v/>
      </c>
      <c r="Z337" s="92">
        <f>IF(AND(ISNUMBER(SEARCH("Delivery",N337)),ISNUMBER(SEARCH("Lapa",N337))),"SIM","")</f>
        <v/>
      </c>
      <c r="AA337" s="92">
        <f>IF(AND(ISNUMBER(SEARCH("Delivery",N337)),ISNUMBER(SEARCH("Tatuapé",N337))),"SIM","")</f>
        <v/>
      </c>
      <c r="AB337" s="92">
        <f>IF(AND(ISNUMBER(SEARCH("Delivery",N337)),ISNUMBER(SEARCH("Pavão",N337))),"SIM","")</f>
        <v/>
      </c>
      <c r="AC337" s="92">
        <f>IF(AND(ISNUMBER(SEARCH("Delivery",N337)),ISNUMBER(SEARCH("Chac",N337))),"SIM","")</f>
        <v/>
      </c>
      <c r="AD337" s="92">
        <f>IF(AND(ISNUMBER(SEARCH("Delivery",N337)),ISNUMBER(SEARCH("Madalena",N337))),"SIM","")</f>
        <v/>
      </c>
      <c r="AE337" s="92">
        <f>IF(AND(ISNUMBER(SEARCH("Delivery",N337)),ISNUMBER(SEARCH("Mariana",N337))),"SIM","")</f>
        <v/>
      </c>
      <c r="AF337" s="92">
        <f>IF(AND(ISNUMBER(SEARCH("Delivery",N337)),ISNUMBER(SEARCH("Perdizes",N337))),"SIM","")</f>
        <v/>
      </c>
      <c r="AG337" s="92">
        <f>IF(AND(ISNUMBER(SEARCH("Delivery",N337)),ISNUMBER(SEARCH("Santana",N337))),"SIM","")</f>
        <v/>
      </c>
      <c r="AH337" s="92">
        <f>IF(AND(ISNUMBER(SEARCH("Delivery",N337)),ISNUMBER(SEARCH("André",N337))),"SIM","")</f>
        <v/>
      </c>
      <c r="AI337" s="92">
        <f>IF(ISNUMBER(SEARCH("Interlagos",N337)),"SIM","")</f>
        <v/>
      </c>
      <c r="AJ337" s="92">
        <f>IF(ISNUMBER(SEARCH("Quiosque",N337)),"SIM","")</f>
        <v/>
      </c>
      <c r="AK337" s="93" t="n"/>
    </row>
    <row r="338">
      <c r="A338" s="88" t="inlineStr">
        <is>
          <t>Protheus</t>
        </is>
      </c>
      <c r="B338" s="96" t="inlineStr">
        <is>
          <t>009597</t>
        </is>
      </c>
      <c r="C338" s="97">
        <f>IF(B338="—","—",IFERROR(VLOOKUP(B338,_Protheus_Cadastro!$A:$B,2,FALSE),"—"))</f>
        <v/>
      </c>
      <c r="D338" s="98">
        <f>IF(B338="—",IFERROR(INDEX(_ZIG_Cadastro!$D:$D,MATCH(H338,_ZIG_Cadastro!$A:$A,0)),"Produto"),IFERROR(VLOOKUP(B338,_Protheus_Cadastro!$A:$C,3,FALSE),"—"))</f>
        <v/>
      </c>
      <c r="E338" s="98">
        <f>IF(B338="—","—",IFERROR(VLOOKUP(B338,_Protheus_Cadastro!$A:$D,4,FALSE),"—"))</f>
        <v/>
      </c>
      <c r="F338" s="98">
        <f>IF(ISERROR(VLOOKUP(B338,'Estrutura Protheus'!A:A,1,FALSE)),"Não","Sim")</f>
        <v/>
      </c>
      <c r="G338" s="99">
        <f>IFERROR(INDEX(_Protheus_Cadastro!$H:$H,MATCH(B338,_Protheus_Cadastro!$A:$A,0)),"—")</f>
        <v/>
      </c>
      <c r="H338" s="211">
        <f>IFERROR(INDEX(_ZIG_Precos!$D:$D,MATCH(I338,_ZIG_Precos!$F:$F,0)),"—")</f>
        <v/>
      </c>
      <c r="I338" s="103">
        <f>IFERROR(VLOOKUP(B338,_Protheus_Cadastro!$A:$I,9,FALSE),"—")</f>
        <v/>
      </c>
      <c r="J338" s="101">
        <f>IFERROR(INDEX(_ZIG_Cadastro!$B:$B,MATCH(I338,_ZIG_Cadastro!$A:$A,0)),IFERROR(INDEX(_Entradas_ZIG!$B:$B,MATCH(I338,_Entradas_ZIG!$C:$C,0)),"—"))</f>
        <v/>
      </c>
      <c r="K338" s="101">
        <f>IFERROR(INDEX(_ZIG_Cadastro!$C:$C,MATCH(I338,_ZIG_Cadastro!$A:$A,0)),IFERROR(INDEX(_Entradas_ZIG!$D:$D,MATCH(I338,_Entradas_ZIG!$C:$C,0)),"—"))</f>
        <v/>
      </c>
      <c r="L338" s="99">
        <f>IF(I338="","Sem SKU ZIG",IF(I338="—","Sem SKU ZIG",IF(NOT(ISERROR(MATCH(I338,_ZIG_Cadastro!$A:$A,0))),IF(EXACT(UPPER(TRIM(C338)),UPPER(TRIM(INDEX(_ZIG_Cadastro!$B:$B,MATCH(I338,_ZIG_Cadastro!$A:$A,0))))),"OK","Atencao - Nome diverge"),IF(NOT(ISERROR(MATCH(I338,_Entradas_ZIG!$C:$C,0))),"OK","Erro - SKU nao encontrado"))))</f>
        <v/>
      </c>
      <c r="M338" s="99">
        <f>IFERROR(INDEX(_ZIG_Cadastro!$G:$G,MATCH(I338,_ZIG_Cadastro!$A:$A,0)),IF(NOT(ISERROR(MATCH(I338,_Entradas_ZIG!$C:$C,0))),"Ativo","—"))</f>
        <v/>
      </c>
      <c r="N338" s="102">
        <f>IFERROR(INDEX(_ZIG_Cadastro!$E:$E,MATCH(I338,_ZIG_Cadastro!$A:$A,0)),IFERROR(INDEX(_Entradas_ZIG!$F:$F,MATCH(I338,_Entradas_ZIG!$C:$C,0)),"—"))</f>
        <v/>
      </c>
      <c r="O338" s="99">
        <f>IF(AND(ISNUMBER(SEARCH("Espeto",N338)),ISNUMBER(SEARCH("Carin",N338))),"SIM","")</f>
        <v/>
      </c>
      <c r="P338" s="99">
        <f>IF(AND(ISNUMBER(SEARCH("Espeto",N338)),ISNUMBER(SEARCH("Lapa",N338))),"SIM","")</f>
        <v/>
      </c>
      <c r="Q338" s="99">
        <f>IF(AND(ISNUMBER(SEARCH("Espeto",N338)),ISNUMBER(SEARCH("Tatuapé",N338))),"SIM","")</f>
        <v/>
      </c>
      <c r="R338" s="99">
        <f>IF(AND(ISNUMBER(SEARCH("Espeto",N338)),ISNUMBER(SEARCH("Pavão",N338))),"SIM","")</f>
        <v/>
      </c>
      <c r="S338" s="99">
        <f>IF(AND(ISNUMBER(SEARCH("Espeto",N338)),ISNUMBER(SEARCH("Chac",N338))),"SIM","")</f>
        <v/>
      </c>
      <c r="T338" s="99">
        <f>IF(AND(ISNUMBER(SEARCH("Espeto",N338)),ISNUMBER(SEARCH("Madalena",N338))),"SIM","")</f>
        <v/>
      </c>
      <c r="U338" s="99">
        <f>IF(AND(ISNUMBER(SEARCH("Espeto",N338)),ISNUMBER(SEARCH("Mariana",N338))),"SIM","")</f>
        <v/>
      </c>
      <c r="V338" s="99">
        <f>IF(AND(ISNUMBER(SEARCH("Espeto",N338)),ISNUMBER(SEARCH("Perdizes",N338))),"SIM","")</f>
        <v/>
      </c>
      <c r="W338" s="99">
        <f>IF(AND(ISNUMBER(SEARCH("Espeto",N338)),ISNUMBER(SEARCH("Santana",N338))),"SIM","")</f>
        <v/>
      </c>
      <c r="X338" s="99">
        <f>IF(AND(ISNUMBER(SEARCH("Espeto",N338)),ISNUMBER(SEARCH("André",N338))),"SIM","")</f>
        <v/>
      </c>
      <c r="Y338" s="99">
        <f>IF(AND(ISNUMBER(SEARCH("Delivery",N338)),ISNUMBER(SEARCH("Carin",N338))),"SIM","")</f>
        <v/>
      </c>
      <c r="Z338" s="99">
        <f>IF(AND(ISNUMBER(SEARCH("Delivery",N338)),ISNUMBER(SEARCH("Lapa",N338))),"SIM","")</f>
        <v/>
      </c>
      <c r="AA338" s="99">
        <f>IF(AND(ISNUMBER(SEARCH("Delivery",N338)),ISNUMBER(SEARCH("Tatuapé",N338))),"SIM","")</f>
        <v/>
      </c>
      <c r="AB338" s="99">
        <f>IF(AND(ISNUMBER(SEARCH("Delivery",N338)),ISNUMBER(SEARCH("Pavão",N338))),"SIM","")</f>
        <v/>
      </c>
      <c r="AC338" s="99">
        <f>IF(AND(ISNUMBER(SEARCH("Delivery",N338)),ISNUMBER(SEARCH("Chac",N338))),"SIM","")</f>
        <v/>
      </c>
      <c r="AD338" s="99">
        <f>IF(AND(ISNUMBER(SEARCH("Delivery",N338)),ISNUMBER(SEARCH("Madalena",N338))),"SIM","")</f>
        <v/>
      </c>
      <c r="AE338" s="99">
        <f>IF(AND(ISNUMBER(SEARCH("Delivery",N338)),ISNUMBER(SEARCH("Mariana",N338))),"SIM","")</f>
        <v/>
      </c>
      <c r="AF338" s="99">
        <f>IF(AND(ISNUMBER(SEARCH("Delivery",N338)),ISNUMBER(SEARCH("Perdizes",N338))),"SIM","")</f>
        <v/>
      </c>
      <c r="AG338" s="99">
        <f>IF(AND(ISNUMBER(SEARCH("Delivery",N338)),ISNUMBER(SEARCH("Santana",N338))),"SIM","")</f>
        <v/>
      </c>
      <c r="AH338" s="99">
        <f>IF(AND(ISNUMBER(SEARCH("Delivery",N338)),ISNUMBER(SEARCH("André",N338))),"SIM","")</f>
        <v/>
      </c>
      <c r="AI338" s="99">
        <f>IF(ISNUMBER(SEARCH("Interlagos",N338)),"SIM","")</f>
        <v/>
      </c>
      <c r="AJ338" s="99">
        <f>IF(ISNUMBER(SEARCH("Quiosque",N338)),"SIM","")</f>
        <v/>
      </c>
      <c r="AK338" s="101" t="n"/>
    </row>
    <row r="339">
      <c r="A339" s="88" t="inlineStr">
        <is>
          <t>Protheus</t>
        </is>
      </c>
      <c r="B339" s="89" t="inlineStr">
        <is>
          <t>009596</t>
        </is>
      </c>
      <c r="C339" s="90">
        <f>IF(B339="—","—",IFERROR(VLOOKUP(B339,_Protheus_Cadastro!$A:$B,2,FALSE),"—"))</f>
        <v/>
      </c>
      <c r="D339" s="91">
        <f>IF(B339="—",IFERROR(INDEX(_ZIG_Cadastro!$D:$D,MATCH(H339,_ZIG_Cadastro!$A:$A,0)),"Produto"),IFERROR(VLOOKUP(B339,_Protheus_Cadastro!$A:$C,3,FALSE),"—"))</f>
        <v/>
      </c>
      <c r="E339" s="91">
        <f>IF(B339="—","—",IFERROR(VLOOKUP(B339,_Protheus_Cadastro!$A:$D,4,FALSE),"—"))</f>
        <v/>
      </c>
      <c r="F339" s="91">
        <f>IF(ISERROR(VLOOKUP(B339,'Estrutura Protheus'!A:A,1,FALSE)),"Não","Sim")</f>
        <v/>
      </c>
      <c r="G339" s="92">
        <f>IFERROR(INDEX(_Protheus_Cadastro!$H:$H,MATCH(B339,_Protheus_Cadastro!$A:$A,0)),"—")</f>
        <v/>
      </c>
      <c r="H339" s="210">
        <f>IFERROR(INDEX(_ZIG_Precos!$D:$D,MATCH(I339,_ZIG_Precos!$F:$F,0)),"—")</f>
        <v/>
      </c>
      <c r="I339" s="95">
        <f>IFERROR(VLOOKUP(B339,_Protheus_Cadastro!$A:$I,9,FALSE),"—")</f>
        <v/>
      </c>
      <c r="J339" s="93">
        <f>IFERROR(INDEX(_ZIG_Cadastro!$B:$B,MATCH(I339,_ZIG_Cadastro!$A:$A,0)),IFERROR(INDEX(_Entradas_ZIG!$B:$B,MATCH(I339,_Entradas_ZIG!$C:$C,0)),"—"))</f>
        <v/>
      </c>
      <c r="K339" s="93">
        <f>IFERROR(INDEX(_ZIG_Cadastro!$C:$C,MATCH(I339,_ZIG_Cadastro!$A:$A,0)),IFERROR(INDEX(_Entradas_ZIG!$D:$D,MATCH(I339,_Entradas_ZIG!$C:$C,0)),"—"))</f>
        <v/>
      </c>
      <c r="L339" s="92">
        <f>IF(I339="","Sem SKU ZIG",IF(I339="—","Sem SKU ZIG",IF(NOT(ISERROR(MATCH(I339,_ZIG_Cadastro!$A:$A,0))),IF(EXACT(UPPER(TRIM(C339)),UPPER(TRIM(INDEX(_ZIG_Cadastro!$B:$B,MATCH(I339,_ZIG_Cadastro!$A:$A,0))))),"OK","Atencao - Nome diverge"),IF(NOT(ISERROR(MATCH(I339,_Entradas_ZIG!$C:$C,0))),"OK","Erro - SKU nao encontrado"))))</f>
        <v/>
      </c>
      <c r="M339" s="92">
        <f>IFERROR(INDEX(_ZIG_Cadastro!$G:$G,MATCH(I339,_ZIG_Cadastro!$A:$A,0)),IF(NOT(ISERROR(MATCH(I339,_Entradas_ZIG!$C:$C,0))),"Ativo","—"))</f>
        <v/>
      </c>
      <c r="N339" s="94">
        <f>IFERROR(INDEX(_ZIG_Cadastro!$E:$E,MATCH(I339,_ZIG_Cadastro!$A:$A,0)),IFERROR(INDEX(_Entradas_ZIG!$F:$F,MATCH(I339,_Entradas_ZIG!$C:$C,0)),"—"))</f>
        <v/>
      </c>
      <c r="O339" s="92">
        <f>IF(AND(ISNUMBER(SEARCH("Espeto",N339)),ISNUMBER(SEARCH("Carin",N339))),"SIM","")</f>
        <v/>
      </c>
      <c r="P339" s="92">
        <f>IF(AND(ISNUMBER(SEARCH("Espeto",N339)),ISNUMBER(SEARCH("Lapa",N339))),"SIM","")</f>
        <v/>
      </c>
      <c r="Q339" s="92">
        <f>IF(AND(ISNUMBER(SEARCH("Espeto",N339)),ISNUMBER(SEARCH("Tatuapé",N339))),"SIM","")</f>
        <v/>
      </c>
      <c r="R339" s="92">
        <f>IF(AND(ISNUMBER(SEARCH("Espeto",N339)),ISNUMBER(SEARCH("Pavão",N339))),"SIM","")</f>
        <v/>
      </c>
      <c r="S339" s="92">
        <f>IF(AND(ISNUMBER(SEARCH("Espeto",N339)),ISNUMBER(SEARCH("Chac",N339))),"SIM","")</f>
        <v/>
      </c>
      <c r="T339" s="92">
        <f>IF(AND(ISNUMBER(SEARCH("Espeto",N339)),ISNUMBER(SEARCH("Madalena",N339))),"SIM","")</f>
        <v/>
      </c>
      <c r="U339" s="92">
        <f>IF(AND(ISNUMBER(SEARCH("Espeto",N339)),ISNUMBER(SEARCH("Mariana",N339))),"SIM","")</f>
        <v/>
      </c>
      <c r="V339" s="92">
        <f>IF(AND(ISNUMBER(SEARCH("Espeto",N339)),ISNUMBER(SEARCH("Perdizes",N339))),"SIM","")</f>
        <v/>
      </c>
      <c r="W339" s="92">
        <f>IF(AND(ISNUMBER(SEARCH("Espeto",N339)),ISNUMBER(SEARCH("Santana",N339))),"SIM","")</f>
        <v/>
      </c>
      <c r="X339" s="92">
        <f>IF(AND(ISNUMBER(SEARCH("Espeto",N339)),ISNUMBER(SEARCH("André",N339))),"SIM","")</f>
        <v/>
      </c>
      <c r="Y339" s="92">
        <f>IF(AND(ISNUMBER(SEARCH("Delivery",N339)),ISNUMBER(SEARCH("Carin",N339))),"SIM","")</f>
        <v/>
      </c>
      <c r="Z339" s="92">
        <f>IF(AND(ISNUMBER(SEARCH("Delivery",N339)),ISNUMBER(SEARCH("Lapa",N339))),"SIM","")</f>
        <v/>
      </c>
      <c r="AA339" s="92">
        <f>IF(AND(ISNUMBER(SEARCH("Delivery",N339)),ISNUMBER(SEARCH("Tatuapé",N339))),"SIM","")</f>
        <v/>
      </c>
      <c r="AB339" s="92">
        <f>IF(AND(ISNUMBER(SEARCH("Delivery",N339)),ISNUMBER(SEARCH("Pavão",N339))),"SIM","")</f>
        <v/>
      </c>
      <c r="AC339" s="92">
        <f>IF(AND(ISNUMBER(SEARCH("Delivery",N339)),ISNUMBER(SEARCH("Chac",N339))),"SIM","")</f>
        <v/>
      </c>
      <c r="AD339" s="92">
        <f>IF(AND(ISNUMBER(SEARCH("Delivery",N339)),ISNUMBER(SEARCH("Madalena",N339))),"SIM","")</f>
        <v/>
      </c>
      <c r="AE339" s="92">
        <f>IF(AND(ISNUMBER(SEARCH("Delivery",N339)),ISNUMBER(SEARCH("Mariana",N339))),"SIM","")</f>
        <v/>
      </c>
      <c r="AF339" s="92">
        <f>IF(AND(ISNUMBER(SEARCH("Delivery",N339)),ISNUMBER(SEARCH("Perdizes",N339))),"SIM","")</f>
        <v/>
      </c>
      <c r="AG339" s="92">
        <f>IF(AND(ISNUMBER(SEARCH("Delivery",N339)),ISNUMBER(SEARCH("Santana",N339))),"SIM","")</f>
        <v/>
      </c>
      <c r="AH339" s="92">
        <f>IF(AND(ISNUMBER(SEARCH("Delivery",N339)),ISNUMBER(SEARCH("André",N339))),"SIM","")</f>
        <v/>
      </c>
      <c r="AI339" s="92">
        <f>IF(ISNUMBER(SEARCH("Interlagos",N339)),"SIM","")</f>
        <v/>
      </c>
      <c r="AJ339" s="92">
        <f>IF(ISNUMBER(SEARCH("Quiosque",N339)),"SIM","")</f>
        <v/>
      </c>
      <c r="AK339" s="93" t="n"/>
    </row>
    <row r="340">
      <c r="A340" s="88" t="inlineStr">
        <is>
          <t>Protheus</t>
        </is>
      </c>
      <c r="B340" s="96" t="inlineStr">
        <is>
          <t>001254</t>
        </is>
      </c>
      <c r="C340" s="97">
        <f>IF(B340="—","—",IFERROR(VLOOKUP(B340,_Protheus_Cadastro!$A:$B,2,FALSE),"—"))</f>
        <v/>
      </c>
      <c r="D340" s="98">
        <f>IF(B340="—",IFERROR(INDEX(_ZIG_Cadastro!$D:$D,MATCH(H340,_ZIG_Cadastro!$A:$A,0)),"Produto"),IFERROR(VLOOKUP(B340,_Protheus_Cadastro!$A:$C,3,FALSE),"—"))</f>
        <v/>
      </c>
      <c r="E340" s="98">
        <f>IF(B340="—","—",IFERROR(VLOOKUP(B340,_Protheus_Cadastro!$A:$D,4,FALSE),"—"))</f>
        <v/>
      </c>
      <c r="F340" s="98">
        <f>IF(ISERROR(VLOOKUP(B340,'Estrutura Protheus'!A:A,1,FALSE)),"Não","Sim")</f>
        <v/>
      </c>
      <c r="G340" s="99">
        <f>IFERROR(INDEX(_Protheus_Cadastro!$H:$H,MATCH(B340,_Protheus_Cadastro!$A:$A,0)),"—")</f>
        <v/>
      </c>
      <c r="H340" s="211">
        <f>IFERROR(INDEX(_ZIG_Precos!$D:$D,MATCH(I340,_ZIG_Precos!$F:$F,0)),"—")</f>
        <v/>
      </c>
      <c r="I340" s="103">
        <f>IFERROR(VLOOKUP(B340,_Protheus_Cadastro!$A:$I,9,FALSE),"—")</f>
        <v/>
      </c>
      <c r="J340" s="101">
        <f>IFERROR(INDEX(_ZIG_Cadastro!$B:$B,MATCH(I340,_ZIG_Cadastro!$A:$A,0)),IFERROR(INDEX(_Entradas_ZIG!$B:$B,MATCH(I340,_Entradas_ZIG!$C:$C,0)),"—"))</f>
        <v/>
      </c>
      <c r="K340" s="101">
        <f>IFERROR(INDEX(_ZIG_Cadastro!$C:$C,MATCH(I340,_ZIG_Cadastro!$A:$A,0)),IFERROR(INDEX(_Entradas_ZIG!$D:$D,MATCH(I340,_Entradas_ZIG!$C:$C,0)),"—"))</f>
        <v/>
      </c>
      <c r="L340" s="99">
        <f>IF(I340="","Sem SKU ZIG",IF(I340="—","Sem SKU ZIG",IF(NOT(ISERROR(MATCH(I340,_ZIG_Cadastro!$A:$A,0))),IF(EXACT(UPPER(TRIM(C340)),UPPER(TRIM(INDEX(_ZIG_Cadastro!$B:$B,MATCH(I340,_ZIG_Cadastro!$A:$A,0))))),"OK","Atencao - Nome diverge"),IF(NOT(ISERROR(MATCH(I340,_Entradas_ZIG!$C:$C,0))),"OK","Erro - SKU nao encontrado"))))</f>
        <v/>
      </c>
      <c r="M340" s="99">
        <f>IFERROR(INDEX(_ZIG_Cadastro!$G:$G,MATCH(I340,_ZIG_Cadastro!$A:$A,0)),IF(NOT(ISERROR(MATCH(I340,_Entradas_ZIG!$C:$C,0))),"Ativo","—"))</f>
        <v/>
      </c>
      <c r="N340" s="102">
        <f>IFERROR(INDEX(_ZIG_Cadastro!$E:$E,MATCH(I340,_ZIG_Cadastro!$A:$A,0)),IFERROR(INDEX(_Entradas_ZIG!$F:$F,MATCH(I340,_Entradas_ZIG!$C:$C,0)),"—"))</f>
        <v/>
      </c>
      <c r="O340" s="99">
        <f>IF(AND(ISNUMBER(SEARCH("Espeto",N340)),ISNUMBER(SEARCH("Carin",N340))),"SIM","")</f>
        <v/>
      </c>
      <c r="P340" s="99">
        <f>IF(AND(ISNUMBER(SEARCH("Espeto",N340)),ISNUMBER(SEARCH("Lapa",N340))),"SIM","")</f>
        <v/>
      </c>
      <c r="Q340" s="99">
        <f>IF(AND(ISNUMBER(SEARCH("Espeto",N340)),ISNUMBER(SEARCH("Tatuapé",N340))),"SIM","")</f>
        <v/>
      </c>
      <c r="R340" s="99">
        <f>IF(AND(ISNUMBER(SEARCH("Espeto",N340)),ISNUMBER(SEARCH("Pavão",N340))),"SIM","")</f>
        <v/>
      </c>
      <c r="S340" s="99">
        <f>IF(AND(ISNUMBER(SEARCH("Espeto",N340)),ISNUMBER(SEARCH("Chac",N340))),"SIM","")</f>
        <v/>
      </c>
      <c r="T340" s="99">
        <f>IF(AND(ISNUMBER(SEARCH("Espeto",N340)),ISNUMBER(SEARCH("Madalena",N340))),"SIM","")</f>
        <v/>
      </c>
      <c r="U340" s="99">
        <f>IF(AND(ISNUMBER(SEARCH("Espeto",N340)),ISNUMBER(SEARCH("Mariana",N340))),"SIM","")</f>
        <v/>
      </c>
      <c r="V340" s="99">
        <f>IF(AND(ISNUMBER(SEARCH("Espeto",N340)),ISNUMBER(SEARCH("Perdizes",N340))),"SIM","")</f>
        <v/>
      </c>
      <c r="W340" s="99">
        <f>IF(AND(ISNUMBER(SEARCH("Espeto",N340)),ISNUMBER(SEARCH("Santana",N340))),"SIM","")</f>
        <v/>
      </c>
      <c r="X340" s="99">
        <f>IF(AND(ISNUMBER(SEARCH("Espeto",N340)),ISNUMBER(SEARCH("André",N340))),"SIM","")</f>
        <v/>
      </c>
      <c r="Y340" s="99">
        <f>IF(AND(ISNUMBER(SEARCH("Delivery",N340)),ISNUMBER(SEARCH("Carin",N340))),"SIM","")</f>
        <v/>
      </c>
      <c r="Z340" s="99">
        <f>IF(AND(ISNUMBER(SEARCH("Delivery",N340)),ISNUMBER(SEARCH("Lapa",N340))),"SIM","")</f>
        <v/>
      </c>
      <c r="AA340" s="99">
        <f>IF(AND(ISNUMBER(SEARCH("Delivery",N340)),ISNUMBER(SEARCH("Tatuapé",N340))),"SIM","")</f>
        <v/>
      </c>
      <c r="AB340" s="99">
        <f>IF(AND(ISNUMBER(SEARCH("Delivery",N340)),ISNUMBER(SEARCH("Pavão",N340))),"SIM","")</f>
        <v/>
      </c>
      <c r="AC340" s="99">
        <f>IF(AND(ISNUMBER(SEARCH("Delivery",N340)),ISNUMBER(SEARCH("Chac",N340))),"SIM","")</f>
        <v/>
      </c>
      <c r="AD340" s="99">
        <f>IF(AND(ISNUMBER(SEARCH("Delivery",N340)),ISNUMBER(SEARCH("Madalena",N340))),"SIM","")</f>
        <v/>
      </c>
      <c r="AE340" s="99">
        <f>IF(AND(ISNUMBER(SEARCH("Delivery",N340)),ISNUMBER(SEARCH("Mariana",N340))),"SIM","")</f>
        <v/>
      </c>
      <c r="AF340" s="99">
        <f>IF(AND(ISNUMBER(SEARCH("Delivery",N340)),ISNUMBER(SEARCH("Perdizes",N340))),"SIM","")</f>
        <v/>
      </c>
      <c r="AG340" s="99">
        <f>IF(AND(ISNUMBER(SEARCH("Delivery",N340)),ISNUMBER(SEARCH("Santana",N340))),"SIM","")</f>
        <v/>
      </c>
      <c r="AH340" s="99">
        <f>IF(AND(ISNUMBER(SEARCH("Delivery",N340)),ISNUMBER(SEARCH("André",N340))),"SIM","")</f>
        <v/>
      </c>
      <c r="AI340" s="99">
        <f>IF(ISNUMBER(SEARCH("Interlagos",N340)),"SIM","")</f>
        <v/>
      </c>
      <c r="AJ340" s="99">
        <f>IF(ISNUMBER(SEARCH("Quiosque",N340)),"SIM","")</f>
        <v/>
      </c>
      <c r="AK340" s="101" t="n"/>
    </row>
    <row r="341">
      <c r="A341" s="88" t="inlineStr">
        <is>
          <t>Protheus</t>
        </is>
      </c>
      <c r="B341" s="89" t="inlineStr">
        <is>
          <t>001507</t>
        </is>
      </c>
      <c r="C341" s="90">
        <f>IF(B341="—","—",IFERROR(VLOOKUP(B341,_Protheus_Cadastro!$A:$B,2,FALSE),"—"))</f>
        <v/>
      </c>
      <c r="D341" s="91">
        <f>IF(B341="—",IFERROR(INDEX(_ZIG_Cadastro!$D:$D,MATCH(H341,_ZIG_Cadastro!$A:$A,0)),"Produto"),IFERROR(VLOOKUP(B341,_Protheus_Cadastro!$A:$C,3,FALSE),"—"))</f>
        <v/>
      </c>
      <c r="E341" s="91">
        <f>IF(B341="—","—",IFERROR(VLOOKUP(B341,_Protheus_Cadastro!$A:$D,4,FALSE),"—"))</f>
        <v/>
      </c>
      <c r="F341" s="91">
        <f>IF(ISERROR(VLOOKUP(B341,'Estrutura Protheus'!A:A,1,FALSE)),"Não","Sim")</f>
        <v/>
      </c>
      <c r="G341" s="92">
        <f>IFERROR(INDEX(_Protheus_Cadastro!$H:$H,MATCH(B341,_Protheus_Cadastro!$A:$A,0)),"—")</f>
        <v/>
      </c>
      <c r="H341" s="210">
        <f>IFERROR(INDEX(_ZIG_Precos!$D:$D,MATCH(I341,_ZIG_Precos!$F:$F,0)),"—")</f>
        <v/>
      </c>
      <c r="I341" s="95">
        <f>IFERROR(VLOOKUP(B341,_Protheus_Cadastro!$A:$I,9,FALSE),"—")</f>
        <v/>
      </c>
      <c r="J341" s="93">
        <f>IFERROR(INDEX(_ZIG_Cadastro!$B:$B,MATCH(I341,_ZIG_Cadastro!$A:$A,0)),IFERROR(INDEX(_Entradas_ZIG!$B:$B,MATCH(I341,_Entradas_ZIG!$C:$C,0)),"—"))</f>
        <v/>
      </c>
      <c r="K341" s="93">
        <f>IFERROR(INDEX(_ZIG_Cadastro!$C:$C,MATCH(I341,_ZIG_Cadastro!$A:$A,0)),IFERROR(INDEX(_Entradas_ZIG!$D:$D,MATCH(I341,_Entradas_ZIG!$C:$C,0)),"—"))</f>
        <v/>
      </c>
      <c r="L341" s="92">
        <f>IF(I341="","Sem SKU ZIG",IF(I341="—","Sem SKU ZIG",IF(NOT(ISERROR(MATCH(I341,_ZIG_Cadastro!$A:$A,0))),IF(EXACT(UPPER(TRIM(C341)),UPPER(TRIM(INDEX(_ZIG_Cadastro!$B:$B,MATCH(I341,_ZIG_Cadastro!$A:$A,0))))),"OK","Atencao - Nome diverge"),IF(NOT(ISERROR(MATCH(I341,_Entradas_ZIG!$C:$C,0))),"OK","Erro - SKU nao encontrado"))))</f>
        <v/>
      </c>
      <c r="M341" s="92">
        <f>IFERROR(INDEX(_ZIG_Cadastro!$G:$G,MATCH(I341,_ZIG_Cadastro!$A:$A,0)),IF(NOT(ISERROR(MATCH(I341,_Entradas_ZIG!$C:$C,0))),"Ativo","—"))</f>
        <v/>
      </c>
      <c r="N341" s="94">
        <f>IFERROR(INDEX(_ZIG_Cadastro!$E:$E,MATCH(I341,_ZIG_Cadastro!$A:$A,0)),IFERROR(INDEX(_Entradas_ZIG!$F:$F,MATCH(I341,_Entradas_ZIG!$C:$C,0)),"—"))</f>
        <v/>
      </c>
      <c r="O341" s="92">
        <f>IF(AND(ISNUMBER(SEARCH("Espeto",N341)),ISNUMBER(SEARCH("Carin",N341))),"SIM","")</f>
        <v/>
      </c>
      <c r="P341" s="92">
        <f>IF(AND(ISNUMBER(SEARCH("Espeto",N341)),ISNUMBER(SEARCH("Lapa",N341))),"SIM","")</f>
        <v/>
      </c>
      <c r="Q341" s="92">
        <f>IF(AND(ISNUMBER(SEARCH("Espeto",N341)),ISNUMBER(SEARCH("Tatuapé",N341))),"SIM","")</f>
        <v/>
      </c>
      <c r="R341" s="92">
        <f>IF(AND(ISNUMBER(SEARCH("Espeto",N341)),ISNUMBER(SEARCH("Pavão",N341))),"SIM","")</f>
        <v/>
      </c>
      <c r="S341" s="92">
        <f>IF(AND(ISNUMBER(SEARCH("Espeto",N341)),ISNUMBER(SEARCH("Chac",N341))),"SIM","")</f>
        <v/>
      </c>
      <c r="T341" s="92">
        <f>IF(AND(ISNUMBER(SEARCH("Espeto",N341)),ISNUMBER(SEARCH("Madalena",N341))),"SIM","")</f>
        <v/>
      </c>
      <c r="U341" s="92">
        <f>IF(AND(ISNUMBER(SEARCH("Espeto",N341)),ISNUMBER(SEARCH("Mariana",N341))),"SIM","")</f>
        <v/>
      </c>
      <c r="V341" s="92">
        <f>IF(AND(ISNUMBER(SEARCH("Espeto",N341)),ISNUMBER(SEARCH("Perdizes",N341))),"SIM","")</f>
        <v/>
      </c>
      <c r="W341" s="92">
        <f>IF(AND(ISNUMBER(SEARCH("Espeto",N341)),ISNUMBER(SEARCH("Santana",N341))),"SIM","")</f>
        <v/>
      </c>
      <c r="X341" s="92">
        <f>IF(AND(ISNUMBER(SEARCH("Espeto",N341)),ISNUMBER(SEARCH("André",N341))),"SIM","")</f>
        <v/>
      </c>
      <c r="Y341" s="92">
        <f>IF(AND(ISNUMBER(SEARCH("Delivery",N341)),ISNUMBER(SEARCH("Carin",N341))),"SIM","")</f>
        <v/>
      </c>
      <c r="Z341" s="92">
        <f>IF(AND(ISNUMBER(SEARCH("Delivery",N341)),ISNUMBER(SEARCH("Lapa",N341))),"SIM","")</f>
        <v/>
      </c>
      <c r="AA341" s="92">
        <f>IF(AND(ISNUMBER(SEARCH("Delivery",N341)),ISNUMBER(SEARCH("Tatuapé",N341))),"SIM","")</f>
        <v/>
      </c>
      <c r="AB341" s="92">
        <f>IF(AND(ISNUMBER(SEARCH("Delivery",N341)),ISNUMBER(SEARCH("Pavão",N341))),"SIM","")</f>
        <v/>
      </c>
      <c r="AC341" s="92">
        <f>IF(AND(ISNUMBER(SEARCH("Delivery",N341)),ISNUMBER(SEARCH("Chac",N341))),"SIM","")</f>
        <v/>
      </c>
      <c r="AD341" s="92">
        <f>IF(AND(ISNUMBER(SEARCH("Delivery",N341)),ISNUMBER(SEARCH("Madalena",N341))),"SIM","")</f>
        <v/>
      </c>
      <c r="AE341" s="92">
        <f>IF(AND(ISNUMBER(SEARCH("Delivery",N341)),ISNUMBER(SEARCH("Mariana",N341))),"SIM","")</f>
        <v/>
      </c>
      <c r="AF341" s="92">
        <f>IF(AND(ISNUMBER(SEARCH("Delivery",N341)),ISNUMBER(SEARCH("Perdizes",N341))),"SIM","")</f>
        <v/>
      </c>
      <c r="AG341" s="92">
        <f>IF(AND(ISNUMBER(SEARCH("Delivery",N341)),ISNUMBER(SEARCH("Santana",N341))),"SIM","")</f>
        <v/>
      </c>
      <c r="AH341" s="92">
        <f>IF(AND(ISNUMBER(SEARCH("Delivery",N341)),ISNUMBER(SEARCH("André",N341))),"SIM","")</f>
        <v/>
      </c>
      <c r="AI341" s="92">
        <f>IF(ISNUMBER(SEARCH("Interlagos",N341)),"SIM","")</f>
        <v/>
      </c>
      <c r="AJ341" s="92">
        <f>IF(ISNUMBER(SEARCH("Quiosque",N341)),"SIM","")</f>
        <v/>
      </c>
      <c r="AK341" s="93" t="n"/>
    </row>
    <row r="342">
      <c r="A342" s="88" t="inlineStr">
        <is>
          <t>Protheus</t>
        </is>
      </c>
      <c r="B342" s="96" t="inlineStr">
        <is>
          <t>009598</t>
        </is>
      </c>
      <c r="C342" s="97">
        <f>IF(B342="—","—",IFERROR(VLOOKUP(B342,_Protheus_Cadastro!$A:$B,2,FALSE),"—"))</f>
        <v/>
      </c>
      <c r="D342" s="98">
        <f>IF(B342="—",IFERROR(INDEX(_ZIG_Cadastro!$D:$D,MATCH(H342,_ZIG_Cadastro!$A:$A,0)),"Produto"),IFERROR(VLOOKUP(B342,_Protheus_Cadastro!$A:$C,3,FALSE),"—"))</f>
        <v/>
      </c>
      <c r="E342" s="98">
        <f>IF(B342="—","—",IFERROR(VLOOKUP(B342,_Protheus_Cadastro!$A:$D,4,FALSE),"—"))</f>
        <v/>
      </c>
      <c r="F342" s="98">
        <f>IF(ISERROR(VLOOKUP(B342,'Estrutura Protheus'!A:A,1,FALSE)),"Não","Sim")</f>
        <v/>
      </c>
      <c r="G342" s="99">
        <f>IFERROR(INDEX(_Protheus_Cadastro!$H:$H,MATCH(B342,_Protheus_Cadastro!$A:$A,0)),"—")</f>
        <v/>
      </c>
      <c r="H342" s="211">
        <f>IFERROR(INDEX(_ZIG_Precos!$D:$D,MATCH(I342,_ZIG_Precos!$F:$F,0)),"—")</f>
        <v/>
      </c>
      <c r="I342" s="103">
        <f>IFERROR(VLOOKUP(B342,_Protheus_Cadastro!$A:$I,9,FALSE),"—")</f>
        <v/>
      </c>
      <c r="J342" s="101">
        <f>IFERROR(INDEX(_ZIG_Cadastro!$B:$B,MATCH(I342,_ZIG_Cadastro!$A:$A,0)),IFERROR(INDEX(_Entradas_ZIG!$B:$B,MATCH(I342,_Entradas_ZIG!$C:$C,0)),"—"))</f>
        <v/>
      </c>
      <c r="K342" s="101">
        <f>IFERROR(INDEX(_ZIG_Cadastro!$C:$C,MATCH(I342,_ZIG_Cadastro!$A:$A,0)),IFERROR(INDEX(_Entradas_ZIG!$D:$D,MATCH(I342,_Entradas_ZIG!$C:$C,0)),"—"))</f>
        <v/>
      </c>
      <c r="L342" s="99">
        <f>IF(I342="","Sem SKU ZIG",IF(I342="—","Sem SKU ZIG",IF(NOT(ISERROR(MATCH(I342,_ZIG_Cadastro!$A:$A,0))),IF(EXACT(UPPER(TRIM(C342)),UPPER(TRIM(INDEX(_ZIG_Cadastro!$B:$B,MATCH(I342,_ZIG_Cadastro!$A:$A,0))))),"OK","Atencao - Nome diverge"),IF(NOT(ISERROR(MATCH(I342,_Entradas_ZIG!$C:$C,0))),"OK","Erro - SKU nao encontrado"))))</f>
        <v/>
      </c>
      <c r="M342" s="99">
        <f>IFERROR(INDEX(_ZIG_Cadastro!$G:$G,MATCH(I342,_ZIG_Cadastro!$A:$A,0)),IF(NOT(ISERROR(MATCH(I342,_Entradas_ZIG!$C:$C,0))),"Ativo","—"))</f>
        <v/>
      </c>
      <c r="N342" s="102">
        <f>IFERROR(INDEX(_ZIG_Cadastro!$E:$E,MATCH(I342,_ZIG_Cadastro!$A:$A,0)),IFERROR(INDEX(_Entradas_ZIG!$F:$F,MATCH(I342,_Entradas_ZIG!$C:$C,0)),"—"))</f>
        <v/>
      </c>
      <c r="O342" s="99">
        <f>IF(AND(ISNUMBER(SEARCH("Espeto",N342)),ISNUMBER(SEARCH("Carin",N342))),"SIM","")</f>
        <v/>
      </c>
      <c r="P342" s="99">
        <f>IF(AND(ISNUMBER(SEARCH("Espeto",N342)),ISNUMBER(SEARCH("Lapa",N342))),"SIM","")</f>
        <v/>
      </c>
      <c r="Q342" s="99">
        <f>IF(AND(ISNUMBER(SEARCH("Espeto",N342)),ISNUMBER(SEARCH("Tatuapé",N342))),"SIM","")</f>
        <v/>
      </c>
      <c r="R342" s="99">
        <f>IF(AND(ISNUMBER(SEARCH("Espeto",N342)),ISNUMBER(SEARCH("Pavão",N342))),"SIM","")</f>
        <v/>
      </c>
      <c r="S342" s="99">
        <f>IF(AND(ISNUMBER(SEARCH("Espeto",N342)),ISNUMBER(SEARCH("Chac",N342))),"SIM","")</f>
        <v/>
      </c>
      <c r="T342" s="99">
        <f>IF(AND(ISNUMBER(SEARCH("Espeto",N342)),ISNUMBER(SEARCH("Madalena",N342))),"SIM","")</f>
        <v/>
      </c>
      <c r="U342" s="99">
        <f>IF(AND(ISNUMBER(SEARCH("Espeto",N342)),ISNUMBER(SEARCH("Mariana",N342))),"SIM","")</f>
        <v/>
      </c>
      <c r="V342" s="99">
        <f>IF(AND(ISNUMBER(SEARCH("Espeto",N342)),ISNUMBER(SEARCH("Perdizes",N342))),"SIM","")</f>
        <v/>
      </c>
      <c r="W342" s="99">
        <f>IF(AND(ISNUMBER(SEARCH("Espeto",N342)),ISNUMBER(SEARCH("Santana",N342))),"SIM","")</f>
        <v/>
      </c>
      <c r="X342" s="99">
        <f>IF(AND(ISNUMBER(SEARCH("Espeto",N342)),ISNUMBER(SEARCH("André",N342))),"SIM","")</f>
        <v/>
      </c>
      <c r="Y342" s="99">
        <f>IF(AND(ISNUMBER(SEARCH("Delivery",N342)),ISNUMBER(SEARCH("Carin",N342))),"SIM","")</f>
        <v/>
      </c>
      <c r="Z342" s="99">
        <f>IF(AND(ISNUMBER(SEARCH("Delivery",N342)),ISNUMBER(SEARCH("Lapa",N342))),"SIM","")</f>
        <v/>
      </c>
      <c r="AA342" s="99">
        <f>IF(AND(ISNUMBER(SEARCH("Delivery",N342)),ISNUMBER(SEARCH("Tatuapé",N342))),"SIM","")</f>
        <v/>
      </c>
      <c r="AB342" s="99">
        <f>IF(AND(ISNUMBER(SEARCH("Delivery",N342)),ISNUMBER(SEARCH("Pavão",N342))),"SIM","")</f>
        <v/>
      </c>
      <c r="AC342" s="99">
        <f>IF(AND(ISNUMBER(SEARCH("Delivery",N342)),ISNUMBER(SEARCH("Chac",N342))),"SIM","")</f>
        <v/>
      </c>
      <c r="AD342" s="99">
        <f>IF(AND(ISNUMBER(SEARCH("Delivery",N342)),ISNUMBER(SEARCH("Madalena",N342))),"SIM","")</f>
        <v/>
      </c>
      <c r="AE342" s="99">
        <f>IF(AND(ISNUMBER(SEARCH("Delivery",N342)),ISNUMBER(SEARCH("Mariana",N342))),"SIM","")</f>
        <v/>
      </c>
      <c r="AF342" s="99">
        <f>IF(AND(ISNUMBER(SEARCH("Delivery",N342)),ISNUMBER(SEARCH("Perdizes",N342))),"SIM","")</f>
        <v/>
      </c>
      <c r="AG342" s="99">
        <f>IF(AND(ISNUMBER(SEARCH("Delivery",N342)),ISNUMBER(SEARCH("Santana",N342))),"SIM","")</f>
        <v/>
      </c>
      <c r="AH342" s="99">
        <f>IF(AND(ISNUMBER(SEARCH("Delivery",N342)),ISNUMBER(SEARCH("André",N342))),"SIM","")</f>
        <v/>
      </c>
      <c r="AI342" s="99">
        <f>IF(ISNUMBER(SEARCH("Interlagos",N342)),"SIM","")</f>
        <v/>
      </c>
      <c r="AJ342" s="99">
        <f>IF(ISNUMBER(SEARCH("Quiosque",N342)),"SIM","")</f>
        <v/>
      </c>
      <c r="AK342" s="101" t="n"/>
    </row>
    <row r="343">
      <c r="A343" s="88" t="inlineStr">
        <is>
          <t>Protheus</t>
        </is>
      </c>
      <c r="B343" s="89" t="inlineStr">
        <is>
          <t>009599</t>
        </is>
      </c>
      <c r="C343" s="90">
        <f>IF(B343="—","—",IFERROR(VLOOKUP(B343,_Protheus_Cadastro!$A:$B,2,FALSE),"—"))</f>
        <v/>
      </c>
      <c r="D343" s="91">
        <f>IF(B343="—",IFERROR(INDEX(_ZIG_Cadastro!$D:$D,MATCH(H343,_ZIG_Cadastro!$A:$A,0)),"Produto"),IFERROR(VLOOKUP(B343,_Protheus_Cadastro!$A:$C,3,FALSE),"—"))</f>
        <v/>
      </c>
      <c r="E343" s="91">
        <f>IF(B343="—","—",IFERROR(VLOOKUP(B343,_Protheus_Cadastro!$A:$D,4,FALSE),"—"))</f>
        <v/>
      </c>
      <c r="F343" s="91">
        <f>IF(ISERROR(VLOOKUP(B343,'Estrutura Protheus'!A:A,1,FALSE)),"Não","Sim")</f>
        <v/>
      </c>
      <c r="G343" s="92">
        <f>IFERROR(INDEX(_Protheus_Cadastro!$H:$H,MATCH(B343,_Protheus_Cadastro!$A:$A,0)),"—")</f>
        <v/>
      </c>
      <c r="H343" s="210">
        <f>IFERROR(INDEX(_ZIG_Precos!$D:$D,MATCH(I343,_ZIG_Precos!$F:$F,0)),"—")</f>
        <v/>
      </c>
      <c r="I343" s="95">
        <f>IFERROR(VLOOKUP(B343,_Protheus_Cadastro!$A:$I,9,FALSE),"—")</f>
        <v/>
      </c>
      <c r="J343" s="93">
        <f>IFERROR(INDEX(_ZIG_Cadastro!$B:$B,MATCH(I343,_ZIG_Cadastro!$A:$A,0)),IFERROR(INDEX(_Entradas_ZIG!$B:$B,MATCH(I343,_Entradas_ZIG!$C:$C,0)),"—"))</f>
        <v/>
      </c>
      <c r="K343" s="93">
        <f>IFERROR(INDEX(_ZIG_Cadastro!$C:$C,MATCH(I343,_ZIG_Cadastro!$A:$A,0)),IFERROR(INDEX(_Entradas_ZIG!$D:$D,MATCH(I343,_Entradas_ZIG!$C:$C,0)),"—"))</f>
        <v/>
      </c>
      <c r="L343" s="92">
        <f>IF(I343="","Sem SKU ZIG",IF(I343="—","Sem SKU ZIG",IF(NOT(ISERROR(MATCH(I343,_ZIG_Cadastro!$A:$A,0))),IF(EXACT(UPPER(TRIM(C343)),UPPER(TRIM(INDEX(_ZIG_Cadastro!$B:$B,MATCH(I343,_ZIG_Cadastro!$A:$A,0))))),"OK","Atencao - Nome diverge"),IF(NOT(ISERROR(MATCH(I343,_Entradas_ZIG!$C:$C,0))),"OK","Erro - SKU nao encontrado"))))</f>
        <v/>
      </c>
      <c r="M343" s="92">
        <f>IFERROR(INDEX(_ZIG_Cadastro!$G:$G,MATCH(I343,_ZIG_Cadastro!$A:$A,0)),IF(NOT(ISERROR(MATCH(I343,_Entradas_ZIG!$C:$C,0))),"Ativo","—"))</f>
        <v/>
      </c>
      <c r="N343" s="94">
        <f>IFERROR(INDEX(_ZIG_Cadastro!$E:$E,MATCH(I343,_ZIG_Cadastro!$A:$A,0)),IFERROR(INDEX(_Entradas_ZIG!$F:$F,MATCH(I343,_Entradas_ZIG!$C:$C,0)),"—"))</f>
        <v/>
      </c>
      <c r="O343" s="92">
        <f>IF(AND(ISNUMBER(SEARCH("Espeto",N343)),ISNUMBER(SEARCH("Carin",N343))),"SIM","")</f>
        <v/>
      </c>
      <c r="P343" s="92">
        <f>IF(AND(ISNUMBER(SEARCH("Espeto",N343)),ISNUMBER(SEARCH("Lapa",N343))),"SIM","")</f>
        <v/>
      </c>
      <c r="Q343" s="92">
        <f>IF(AND(ISNUMBER(SEARCH("Espeto",N343)),ISNUMBER(SEARCH("Tatuapé",N343))),"SIM","")</f>
        <v/>
      </c>
      <c r="R343" s="92">
        <f>IF(AND(ISNUMBER(SEARCH("Espeto",N343)),ISNUMBER(SEARCH("Pavão",N343))),"SIM","")</f>
        <v/>
      </c>
      <c r="S343" s="92">
        <f>IF(AND(ISNUMBER(SEARCH("Espeto",N343)),ISNUMBER(SEARCH("Chac",N343))),"SIM","")</f>
        <v/>
      </c>
      <c r="T343" s="92">
        <f>IF(AND(ISNUMBER(SEARCH("Espeto",N343)),ISNUMBER(SEARCH("Madalena",N343))),"SIM","")</f>
        <v/>
      </c>
      <c r="U343" s="92">
        <f>IF(AND(ISNUMBER(SEARCH("Espeto",N343)),ISNUMBER(SEARCH("Mariana",N343))),"SIM","")</f>
        <v/>
      </c>
      <c r="V343" s="92">
        <f>IF(AND(ISNUMBER(SEARCH("Espeto",N343)),ISNUMBER(SEARCH("Perdizes",N343))),"SIM","")</f>
        <v/>
      </c>
      <c r="W343" s="92">
        <f>IF(AND(ISNUMBER(SEARCH("Espeto",N343)),ISNUMBER(SEARCH("Santana",N343))),"SIM","")</f>
        <v/>
      </c>
      <c r="X343" s="92">
        <f>IF(AND(ISNUMBER(SEARCH("Espeto",N343)),ISNUMBER(SEARCH("André",N343))),"SIM","")</f>
        <v/>
      </c>
      <c r="Y343" s="92">
        <f>IF(AND(ISNUMBER(SEARCH("Delivery",N343)),ISNUMBER(SEARCH("Carin",N343))),"SIM","")</f>
        <v/>
      </c>
      <c r="Z343" s="92">
        <f>IF(AND(ISNUMBER(SEARCH("Delivery",N343)),ISNUMBER(SEARCH("Lapa",N343))),"SIM","")</f>
        <v/>
      </c>
      <c r="AA343" s="92">
        <f>IF(AND(ISNUMBER(SEARCH("Delivery",N343)),ISNUMBER(SEARCH("Tatuapé",N343))),"SIM","")</f>
        <v/>
      </c>
      <c r="AB343" s="92">
        <f>IF(AND(ISNUMBER(SEARCH("Delivery",N343)),ISNUMBER(SEARCH("Pavão",N343))),"SIM","")</f>
        <v/>
      </c>
      <c r="AC343" s="92">
        <f>IF(AND(ISNUMBER(SEARCH("Delivery",N343)),ISNUMBER(SEARCH("Chac",N343))),"SIM","")</f>
        <v/>
      </c>
      <c r="AD343" s="92">
        <f>IF(AND(ISNUMBER(SEARCH("Delivery",N343)),ISNUMBER(SEARCH("Madalena",N343))),"SIM","")</f>
        <v/>
      </c>
      <c r="AE343" s="92">
        <f>IF(AND(ISNUMBER(SEARCH("Delivery",N343)),ISNUMBER(SEARCH("Mariana",N343))),"SIM","")</f>
        <v/>
      </c>
      <c r="AF343" s="92">
        <f>IF(AND(ISNUMBER(SEARCH("Delivery",N343)),ISNUMBER(SEARCH("Perdizes",N343))),"SIM","")</f>
        <v/>
      </c>
      <c r="AG343" s="92">
        <f>IF(AND(ISNUMBER(SEARCH("Delivery",N343)),ISNUMBER(SEARCH("Santana",N343))),"SIM","")</f>
        <v/>
      </c>
      <c r="AH343" s="92">
        <f>IF(AND(ISNUMBER(SEARCH("Delivery",N343)),ISNUMBER(SEARCH("André",N343))),"SIM","")</f>
        <v/>
      </c>
      <c r="AI343" s="92">
        <f>IF(ISNUMBER(SEARCH("Interlagos",N343)),"SIM","")</f>
        <v/>
      </c>
      <c r="AJ343" s="92">
        <f>IF(ISNUMBER(SEARCH("Quiosque",N343)),"SIM","")</f>
        <v/>
      </c>
      <c r="AK343" s="93" t="n"/>
    </row>
    <row r="344">
      <c r="A344" s="88" t="inlineStr">
        <is>
          <t>Protheus</t>
        </is>
      </c>
      <c r="B344" s="96" t="inlineStr">
        <is>
          <t>001948</t>
        </is>
      </c>
      <c r="C344" s="97">
        <f>IF(B344="—","—",IFERROR(VLOOKUP(B344,_Protheus_Cadastro!$A:$B,2,FALSE),"—"))</f>
        <v/>
      </c>
      <c r="D344" s="98">
        <f>IF(B344="—",IFERROR(INDEX(_ZIG_Cadastro!$D:$D,MATCH(H344,_ZIG_Cadastro!$A:$A,0)),"Produto"),IFERROR(VLOOKUP(B344,_Protheus_Cadastro!$A:$C,3,FALSE),"—"))</f>
        <v/>
      </c>
      <c r="E344" s="98">
        <f>IF(B344="—","—",IFERROR(VLOOKUP(B344,_Protheus_Cadastro!$A:$D,4,FALSE),"—"))</f>
        <v/>
      </c>
      <c r="F344" s="98">
        <f>IF(ISERROR(VLOOKUP(B344,'Estrutura Protheus'!A:A,1,FALSE)),"Não","Sim")</f>
        <v/>
      </c>
      <c r="G344" s="99">
        <f>IFERROR(INDEX(_Protheus_Cadastro!$H:$H,MATCH(B344,_Protheus_Cadastro!$A:$A,0)),"—")</f>
        <v/>
      </c>
      <c r="H344" s="211">
        <f>IFERROR(INDEX(_ZIG_Precos!$D:$D,MATCH(I344,_ZIG_Precos!$F:$F,0)),"—")</f>
        <v/>
      </c>
      <c r="I344" s="103">
        <f>IFERROR(VLOOKUP(B344,_Protheus_Cadastro!$A:$I,9,FALSE),"—")</f>
        <v/>
      </c>
      <c r="J344" s="101">
        <f>IFERROR(INDEX(_ZIG_Cadastro!$B:$B,MATCH(I344,_ZIG_Cadastro!$A:$A,0)),IFERROR(INDEX(_Entradas_ZIG!$B:$B,MATCH(I344,_Entradas_ZIG!$C:$C,0)),"—"))</f>
        <v/>
      </c>
      <c r="K344" s="101">
        <f>IFERROR(INDEX(_ZIG_Cadastro!$C:$C,MATCH(I344,_ZIG_Cadastro!$A:$A,0)),IFERROR(INDEX(_Entradas_ZIG!$D:$D,MATCH(I344,_Entradas_ZIG!$C:$C,0)),"—"))</f>
        <v/>
      </c>
      <c r="L344" s="99">
        <f>IF(I344="","Sem SKU ZIG",IF(I344="—","Sem SKU ZIG",IF(NOT(ISERROR(MATCH(I344,_ZIG_Cadastro!$A:$A,0))),IF(EXACT(UPPER(TRIM(C344)),UPPER(TRIM(INDEX(_ZIG_Cadastro!$B:$B,MATCH(I344,_ZIG_Cadastro!$A:$A,0))))),"OK","Atencao - Nome diverge"),IF(NOT(ISERROR(MATCH(I344,_Entradas_ZIG!$C:$C,0))),"OK","Erro - SKU nao encontrado"))))</f>
        <v/>
      </c>
      <c r="M344" s="99">
        <f>IFERROR(INDEX(_ZIG_Cadastro!$G:$G,MATCH(I344,_ZIG_Cadastro!$A:$A,0)),IF(NOT(ISERROR(MATCH(I344,_Entradas_ZIG!$C:$C,0))),"Ativo","—"))</f>
        <v/>
      </c>
      <c r="N344" s="102">
        <f>IFERROR(INDEX(_ZIG_Cadastro!$E:$E,MATCH(I344,_ZIG_Cadastro!$A:$A,0)),IFERROR(INDEX(_Entradas_ZIG!$F:$F,MATCH(I344,_Entradas_ZIG!$C:$C,0)),"—"))</f>
        <v/>
      </c>
      <c r="O344" s="99">
        <f>IF(AND(ISNUMBER(SEARCH("Espeto",N344)),ISNUMBER(SEARCH("Carin",N344))),"SIM","")</f>
        <v/>
      </c>
      <c r="P344" s="99">
        <f>IF(AND(ISNUMBER(SEARCH("Espeto",N344)),ISNUMBER(SEARCH("Lapa",N344))),"SIM","")</f>
        <v/>
      </c>
      <c r="Q344" s="99">
        <f>IF(AND(ISNUMBER(SEARCH("Espeto",N344)),ISNUMBER(SEARCH("Tatuapé",N344))),"SIM","")</f>
        <v/>
      </c>
      <c r="R344" s="99">
        <f>IF(AND(ISNUMBER(SEARCH("Espeto",N344)),ISNUMBER(SEARCH("Pavão",N344))),"SIM","")</f>
        <v/>
      </c>
      <c r="S344" s="99">
        <f>IF(AND(ISNUMBER(SEARCH("Espeto",N344)),ISNUMBER(SEARCH("Chac",N344))),"SIM","")</f>
        <v/>
      </c>
      <c r="T344" s="99">
        <f>IF(AND(ISNUMBER(SEARCH("Espeto",N344)),ISNUMBER(SEARCH("Madalena",N344))),"SIM","")</f>
        <v/>
      </c>
      <c r="U344" s="99">
        <f>IF(AND(ISNUMBER(SEARCH("Espeto",N344)),ISNUMBER(SEARCH("Mariana",N344))),"SIM","")</f>
        <v/>
      </c>
      <c r="V344" s="99">
        <f>IF(AND(ISNUMBER(SEARCH("Espeto",N344)),ISNUMBER(SEARCH("Perdizes",N344))),"SIM","")</f>
        <v/>
      </c>
      <c r="W344" s="99">
        <f>IF(AND(ISNUMBER(SEARCH("Espeto",N344)),ISNUMBER(SEARCH("Santana",N344))),"SIM","")</f>
        <v/>
      </c>
      <c r="X344" s="99">
        <f>IF(AND(ISNUMBER(SEARCH("Espeto",N344)),ISNUMBER(SEARCH("André",N344))),"SIM","")</f>
        <v/>
      </c>
      <c r="Y344" s="99">
        <f>IF(AND(ISNUMBER(SEARCH("Delivery",N344)),ISNUMBER(SEARCH("Carin",N344))),"SIM","")</f>
        <v/>
      </c>
      <c r="Z344" s="99">
        <f>IF(AND(ISNUMBER(SEARCH("Delivery",N344)),ISNUMBER(SEARCH("Lapa",N344))),"SIM","")</f>
        <v/>
      </c>
      <c r="AA344" s="99">
        <f>IF(AND(ISNUMBER(SEARCH("Delivery",N344)),ISNUMBER(SEARCH("Tatuapé",N344))),"SIM","")</f>
        <v/>
      </c>
      <c r="AB344" s="99">
        <f>IF(AND(ISNUMBER(SEARCH("Delivery",N344)),ISNUMBER(SEARCH("Pavão",N344))),"SIM","")</f>
        <v/>
      </c>
      <c r="AC344" s="99">
        <f>IF(AND(ISNUMBER(SEARCH("Delivery",N344)),ISNUMBER(SEARCH("Chac",N344))),"SIM","")</f>
        <v/>
      </c>
      <c r="AD344" s="99">
        <f>IF(AND(ISNUMBER(SEARCH("Delivery",N344)),ISNUMBER(SEARCH("Madalena",N344))),"SIM","")</f>
        <v/>
      </c>
      <c r="AE344" s="99">
        <f>IF(AND(ISNUMBER(SEARCH("Delivery",N344)),ISNUMBER(SEARCH("Mariana",N344))),"SIM","")</f>
        <v/>
      </c>
      <c r="AF344" s="99">
        <f>IF(AND(ISNUMBER(SEARCH("Delivery",N344)),ISNUMBER(SEARCH("Perdizes",N344))),"SIM","")</f>
        <v/>
      </c>
      <c r="AG344" s="99">
        <f>IF(AND(ISNUMBER(SEARCH("Delivery",N344)),ISNUMBER(SEARCH("Santana",N344))),"SIM","")</f>
        <v/>
      </c>
      <c r="AH344" s="99">
        <f>IF(AND(ISNUMBER(SEARCH("Delivery",N344)),ISNUMBER(SEARCH("André",N344))),"SIM","")</f>
        <v/>
      </c>
      <c r="AI344" s="99">
        <f>IF(ISNUMBER(SEARCH("Interlagos",N344)),"SIM","")</f>
        <v/>
      </c>
      <c r="AJ344" s="99">
        <f>IF(ISNUMBER(SEARCH("Quiosque",N344)),"SIM","")</f>
        <v/>
      </c>
      <c r="AK344" s="101" t="n"/>
    </row>
    <row r="345">
      <c r="A345" s="88" t="inlineStr">
        <is>
          <t>Protheus</t>
        </is>
      </c>
      <c r="B345" s="89" t="inlineStr">
        <is>
          <t>010009</t>
        </is>
      </c>
      <c r="C345" s="90">
        <f>IF(B345="—","—",IFERROR(VLOOKUP(B345,_Protheus_Cadastro!$A:$B,2,FALSE),"—"))</f>
        <v/>
      </c>
      <c r="D345" s="91">
        <f>IF(B345="—",IFERROR(INDEX(_ZIG_Cadastro!$D:$D,MATCH(H345,_ZIG_Cadastro!$A:$A,0)),"Produto"),IFERROR(VLOOKUP(B345,_Protheus_Cadastro!$A:$C,3,FALSE),"—"))</f>
        <v/>
      </c>
      <c r="E345" s="91">
        <f>IF(B345="—","—",IFERROR(VLOOKUP(B345,_Protheus_Cadastro!$A:$D,4,FALSE),"—"))</f>
        <v/>
      </c>
      <c r="F345" s="91">
        <f>IF(ISERROR(VLOOKUP(B345,'Estrutura Protheus'!A:A,1,FALSE)),"Não","Sim")</f>
        <v/>
      </c>
      <c r="G345" s="92">
        <f>IFERROR(INDEX(_Protheus_Cadastro!$H:$H,MATCH(B345,_Protheus_Cadastro!$A:$A,0)),"—")</f>
        <v/>
      </c>
      <c r="H345" s="210">
        <f>IFERROR(INDEX(_ZIG_Precos!$D:$D,MATCH(I345,_ZIG_Precos!$F:$F,0)),"—")</f>
        <v/>
      </c>
      <c r="I345" s="95">
        <f>IFERROR(VLOOKUP(B345,_Protheus_Cadastro!$A:$I,9,FALSE),"—")</f>
        <v/>
      </c>
      <c r="J345" s="93">
        <f>IFERROR(INDEX(_ZIG_Cadastro!$B:$B,MATCH(I345,_ZIG_Cadastro!$A:$A,0)),IFERROR(INDEX(_Entradas_ZIG!$B:$B,MATCH(I345,_Entradas_ZIG!$C:$C,0)),"—"))</f>
        <v/>
      </c>
      <c r="K345" s="93">
        <f>IFERROR(INDEX(_ZIG_Cadastro!$C:$C,MATCH(I345,_ZIG_Cadastro!$A:$A,0)),IFERROR(INDEX(_Entradas_ZIG!$D:$D,MATCH(I345,_Entradas_ZIG!$C:$C,0)),"—"))</f>
        <v/>
      </c>
      <c r="L345" s="92">
        <f>IF(I345="","Sem SKU ZIG",IF(I345="—","Sem SKU ZIG",IF(NOT(ISERROR(MATCH(I345,_ZIG_Cadastro!$A:$A,0))),IF(EXACT(UPPER(TRIM(C345)),UPPER(TRIM(INDEX(_ZIG_Cadastro!$B:$B,MATCH(I345,_ZIG_Cadastro!$A:$A,0))))),"OK","Atencao - Nome diverge"),IF(NOT(ISERROR(MATCH(I345,_Entradas_ZIG!$C:$C,0))),"OK","Erro - SKU nao encontrado"))))</f>
        <v/>
      </c>
      <c r="M345" s="92">
        <f>IFERROR(INDEX(_ZIG_Cadastro!$G:$G,MATCH(I345,_ZIG_Cadastro!$A:$A,0)),IF(NOT(ISERROR(MATCH(I345,_Entradas_ZIG!$C:$C,0))),"Ativo","—"))</f>
        <v/>
      </c>
      <c r="N345" s="94">
        <f>IFERROR(INDEX(_ZIG_Cadastro!$E:$E,MATCH(I345,_ZIG_Cadastro!$A:$A,0)),IFERROR(INDEX(_Entradas_ZIG!$F:$F,MATCH(I345,_Entradas_ZIG!$C:$C,0)),"—"))</f>
        <v/>
      </c>
      <c r="O345" s="92">
        <f>IF(AND(ISNUMBER(SEARCH("Espeto",N345)),ISNUMBER(SEARCH("Carin",N345))),"SIM","")</f>
        <v/>
      </c>
      <c r="P345" s="92">
        <f>IF(AND(ISNUMBER(SEARCH("Espeto",N345)),ISNUMBER(SEARCH("Lapa",N345))),"SIM","")</f>
        <v/>
      </c>
      <c r="Q345" s="92">
        <f>IF(AND(ISNUMBER(SEARCH("Espeto",N345)),ISNUMBER(SEARCH("Tatuapé",N345))),"SIM","")</f>
        <v/>
      </c>
      <c r="R345" s="92">
        <f>IF(AND(ISNUMBER(SEARCH("Espeto",N345)),ISNUMBER(SEARCH("Pavão",N345))),"SIM","")</f>
        <v/>
      </c>
      <c r="S345" s="92">
        <f>IF(AND(ISNUMBER(SEARCH("Espeto",N345)),ISNUMBER(SEARCH("Chac",N345))),"SIM","")</f>
        <v/>
      </c>
      <c r="T345" s="92">
        <f>IF(AND(ISNUMBER(SEARCH("Espeto",N345)),ISNUMBER(SEARCH("Madalena",N345))),"SIM","")</f>
        <v/>
      </c>
      <c r="U345" s="92">
        <f>IF(AND(ISNUMBER(SEARCH("Espeto",N345)),ISNUMBER(SEARCH("Mariana",N345))),"SIM","")</f>
        <v/>
      </c>
      <c r="V345" s="92">
        <f>IF(AND(ISNUMBER(SEARCH("Espeto",N345)),ISNUMBER(SEARCH("Perdizes",N345))),"SIM","")</f>
        <v/>
      </c>
      <c r="W345" s="92">
        <f>IF(AND(ISNUMBER(SEARCH("Espeto",N345)),ISNUMBER(SEARCH("Santana",N345))),"SIM","")</f>
        <v/>
      </c>
      <c r="X345" s="92">
        <f>IF(AND(ISNUMBER(SEARCH("Espeto",N345)),ISNUMBER(SEARCH("André",N345))),"SIM","")</f>
        <v/>
      </c>
      <c r="Y345" s="92">
        <f>IF(AND(ISNUMBER(SEARCH("Delivery",N345)),ISNUMBER(SEARCH("Carin",N345))),"SIM","")</f>
        <v/>
      </c>
      <c r="Z345" s="92">
        <f>IF(AND(ISNUMBER(SEARCH("Delivery",N345)),ISNUMBER(SEARCH("Lapa",N345))),"SIM","")</f>
        <v/>
      </c>
      <c r="AA345" s="92">
        <f>IF(AND(ISNUMBER(SEARCH("Delivery",N345)),ISNUMBER(SEARCH("Tatuapé",N345))),"SIM","")</f>
        <v/>
      </c>
      <c r="AB345" s="92">
        <f>IF(AND(ISNUMBER(SEARCH("Delivery",N345)),ISNUMBER(SEARCH("Pavão",N345))),"SIM","")</f>
        <v/>
      </c>
      <c r="AC345" s="92">
        <f>IF(AND(ISNUMBER(SEARCH("Delivery",N345)),ISNUMBER(SEARCH("Chac",N345))),"SIM","")</f>
        <v/>
      </c>
      <c r="AD345" s="92">
        <f>IF(AND(ISNUMBER(SEARCH("Delivery",N345)),ISNUMBER(SEARCH("Madalena",N345))),"SIM","")</f>
        <v/>
      </c>
      <c r="AE345" s="92">
        <f>IF(AND(ISNUMBER(SEARCH("Delivery",N345)),ISNUMBER(SEARCH("Mariana",N345))),"SIM","")</f>
        <v/>
      </c>
      <c r="AF345" s="92">
        <f>IF(AND(ISNUMBER(SEARCH("Delivery",N345)),ISNUMBER(SEARCH("Perdizes",N345))),"SIM","")</f>
        <v/>
      </c>
      <c r="AG345" s="92">
        <f>IF(AND(ISNUMBER(SEARCH("Delivery",N345)),ISNUMBER(SEARCH("Santana",N345))),"SIM","")</f>
        <v/>
      </c>
      <c r="AH345" s="92">
        <f>IF(AND(ISNUMBER(SEARCH("Delivery",N345)),ISNUMBER(SEARCH("André",N345))),"SIM","")</f>
        <v/>
      </c>
      <c r="AI345" s="92">
        <f>IF(ISNUMBER(SEARCH("Interlagos",N345)),"SIM","")</f>
        <v/>
      </c>
      <c r="AJ345" s="92">
        <f>IF(ISNUMBER(SEARCH("Quiosque",N345)),"SIM","")</f>
        <v/>
      </c>
      <c r="AK345" s="93" t="n"/>
    </row>
    <row r="346">
      <c r="A346" s="88" t="inlineStr">
        <is>
          <t>Protheus</t>
        </is>
      </c>
      <c r="B346" s="96" t="inlineStr">
        <is>
          <t>010010</t>
        </is>
      </c>
      <c r="C346" s="97">
        <f>IF(B346="—","—",IFERROR(VLOOKUP(B346,_Protheus_Cadastro!$A:$B,2,FALSE),"—"))</f>
        <v/>
      </c>
      <c r="D346" s="98">
        <f>IF(B346="—",IFERROR(INDEX(_ZIG_Cadastro!$D:$D,MATCH(H346,_ZIG_Cadastro!$A:$A,0)),"Produto"),IFERROR(VLOOKUP(B346,_Protheus_Cadastro!$A:$C,3,FALSE),"—"))</f>
        <v/>
      </c>
      <c r="E346" s="98">
        <f>IF(B346="—","—",IFERROR(VLOOKUP(B346,_Protheus_Cadastro!$A:$D,4,FALSE),"—"))</f>
        <v/>
      </c>
      <c r="F346" s="98">
        <f>IF(ISERROR(VLOOKUP(B346,'Estrutura Protheus'!A:A,1,FALSE)),"Não","Sim")</f>
        <v/>
      </c>
      <c r="G346" s="99">
        <f>IFERROR(INDEX(_Protheus_Cadastro!$H:$H,MATCH(B346,_Protheus_Cadastro!$A:$A,0)),"—")</f>
        <v/>
      </c>
      <c r="H346" s="211">
        <f>IFERROR(INDEX(_ZIG_Precos!$D:$D,MATCH(I346,_ZIG_Precos!$F:$F,0)),"—")</f>
        <v/>
      </c>
      <c r="I346" s="103">
        <f>IFERROR(VLOOKUP(B346,_Protheus_Cadastro!$A:$I,9,FALSE),"—")</f>
        <v/>
      </c>
      <c r="J346" s="101">
        <f>IFERROR(INDEX(_ZIG_Cadastro!$B:$B,MATCH(I346,_ZIG_Cadastro!$A:$A,0)),IFERROR(INDEX(_Entradas_ZIG!$B:$B,MATCH(I346,_Entradas_ZIG!$C:$C,0)),"—"))</f>
        <v/>
      </c>
      <c r="K346" s="101">
        <f>IFERROR(INDEX(_ZIG_Cadastro!$C:$C,MATCH(I346,_ZIG_Cadastro!$A:$A,0)),IFERROR(INDEX(_Entradas_ZIG!$D:$D,MATCH(I346,_Entradas_ZIG!$C:$C,0)),"—"))</f>
        <v/>
      </c>
      <c r="L346" s="99">
        <f>IF(I346="","Sem SKU ZIG",IF(I346="—","Sem SKU ZIG",IF(NOT(ISERROR(MATCH(I346,_ZIG_Cadastro!$A:$A,0))),IF(EXACT(UPPER(TRIM(C346)),UPPER(TRIM(INDEX(_ZIG_Cadastro!$B:$B,MATCH(I346,_ZIG_Cadastro!$A:$A,0))))),"OK","Atencao - Nome diverge"),IF(NOT(ISERROR(MATCH(I346,_Entradas_ZIG!$C:$C,0))),"OK","Erro - SKU nao encontrado"))))</f>
        <v/>
      </c>
      <c r="M346" s="99">
        <f>IFERROR(INDEX(_ZIG_Cadastro!$G:$G,MATCH(I346,_ZIG_Cadastro!$A:$A,0)),IF(NOT(ISERROR(MATCH(I346,_Entradas_ZIG!$C:$C,0))),"Ativo","—"))</f>
        <v/>
      </c>
      <c r="N346" s="102">
        <f>IFERROR(INDEX(_ZIG_Cadastro!$E:$E,MATCH(I346,_ZIG_Cadastro!$A:$A,0)),IFERROR(INDEX(_Entradas_ZIG!$F:$F,MATCH(I346,_Entradas_ZIG!$C:$C,0)),"—"))</f>
        <v/>
      </c>
      <c r="O346" s="99">
        <f>IF(AND(ISNUMBER(SEARCH("Espeto",N346)),ISNUMBER(SEARCH("Carin",N346))),"SIM","")</f>
        <v/>
      </c>
      <c r="P346" s="99">
        <f>IF(AND(ISNUMBER(SEARCH("Espeto",N346)),ISNUMBER(SEARCH("Lapa",N346))),"SIM","")</f>
        <v/>
      </c>
      <c r="Q346" s="99">
        <f>IF(AND(ISNUMBER(SEARCH("Espeto",N346)),ISNUMBER(SEARCH("Tatuapé",N346))),"SIM","")</f>
        <v/>
      </c>
      <c r="R346" s="99">
        <f>IF(AND(ISNUMBER(SEARCH("Espeto",N346)),ISNUMBER(SEARCH("Pavão",N346))),"SIM","")</f>
        <v/>
      </c>
      <c r="S346" s="99">
        <f>IF(AND(ISNUMBER(SEARCH("Espeto",N346)),ISNUMBER(SEARCH("Chac",N346))),"SIM","")</f>
        <v/>
      </c>
      <c r="T346" s="99">
        <f>IF(AND(ISNUMBER(SEARCH("Espeto",N346)),ISNUMBER(SEARCH("Madalena",N346))),"SIM","")</f>
        <v/>
      </c>
      <c r="U346" s="99">
        <f>IF(AND(ISNUMBER(SEARCH("Espeto",N346)),ISNUMBER(SEARCH("Mariana",N346))),"SIM","")</f>
        <v/>
      </c>
      <c r="V346" s="99">
        <f>IF(AND(ISNUMBER(SEARCH("Espeto",N346)),ISNUMBER(SEARCH("Perdizes",N346))),"SIM","")</f>
        <v/>
      </c>
      <c r="W346" s="99">
        <f>IF(AND(ISNUMBER(SEARCH("Espeto",N346)),ISNUMBER(SEARCH("Santana",N346))),"SIM","")</f>
        <v/>
      </c>
      <c r="X346" s="99">
        <f>IF(AND(ISNUMBER(SEARCH("Espeto",N346)),ISNUMBER(SEARCH("André",N346))),"SIM","")</f>
        <v/>
      </c>
      <c r="Y346" s="99">
        <f>IF(AND(ISNUMBER(SEARCH("Delivery",N346)),ISNUMBER(SEARCH("Carin",N346))),"SIM","")</f>
        <v/>
      </c>
      <c r="Z346" s="99">
        <f>IF(AND(ISNUMBER(SEARCH("Delivery",N346)),ISNUMBER(SEARCH("Lapa",N346))),"SIM","")</f>
        <v/>
      </c>
      <c r="AA346" s="99">
        <f>IF(AND(ISNUMBER(SEARCH("Delivery",N346)),ISNUMBER(SEARCH("Tatuapé",N346))),"SIM","")</f>
        <v/>
      </c>
      <c r="AB346" s="99">
        <f>IF(AND(ISNUMBER(SEARCH("Delivery",N346)),ISNUMBER(SEARCH("Pavão",N346))),"SIM","")</f>
        <v/>
      </c>
      <c r="AC346" s="99">
        <f>IF(AND(ISNUMBER(SEARCH("Delivery",N346)),ISNUMBER(SEARCH("Chac",N346))),"SIM","")</f>
        <v/>
      </c>
      <c r="AD346" s="99">
        <f>IF(AND(ISNUMBER(SEARCH("Delivery",N346)),ISNUMBER(SEARCH("Madalena",N346))),"SIM","")</f>
        <v/>
      </c>
      <c r="AE346" s="99">
        <f>IF(AND(ISNUMBER(SEARCH("Delivery",N346)),ISNUMBER(SEARCH("Mariana",N346))),"SIM","")</f>
        <v/>
      </c>
      <c r="AF346" s="99">
        <f>IF(AND(ISNUMBER(SEARCH("Delivery",N346)),ISNUMBER(SEARCH("Perdizes",N346))),"SIM","")</f>
        <v/>
      </c>
      <c r="AG346" s="99">
        <f>IF(AND(ISNUMBER(SEARCH("Delivery",N346)),ISNUMBER(SEARCH("Santana",N346))),"SIM","")</f>
        <v/>
      </c>
      <c r="AH346" s="99">
        <f>IF(AND(ISNUMBER(SEARCH("Delivery",N346)),ISNUMBER(SEARCH("André",N346))),"SIM","")</f>
        <v/>
      </c>
      <c r="AI346" s="99">
        <f>IF(ISNUMBER(SEARCH("Interlagos",N346)),"SIM","")</f>
        <v/>
      </c>
      <c r="AJ346" s="99">
        <f>IF(ISNUMBER(SEARCH("Quiosque",N346)),"SIM","")</f>
        <v/>
      </c>
      <c r="AK346" s="101" t="n"/>
    </row>
    <row r="347">
      <c r="A347" s="88" t="inlineStr">
        <is>
          <t>Protheus</t>
        </is>
      </c>
      <c r="B347" s="89" t="inlineStr">
        <is>
          <t>010007</t>
        </is>
      </c>
      <c r="C347" s="90">
        <f>IF(B347="—","—",IFERROR(VLOOKUP(B347,_Protheus_Cadastro!$A:$B,2,FALSE),"—"))</f>
        <v/>
      </c>
      <c r="D347" s="91">
        <f>IF(B347="—",IFERROR(INDEX(_ZIG_Cadastro!$D:$D,MATCH(H347,_ZIG_Cadastro!$A:$A,0)),"Produto"),IFERROR(VLOOKUP(B347,_Protheus_Cadastro!$A:$C,3,FALSE),"—"))</f>
        <v/>
      </c>
      <c r="E347" s="91">
        <f>IF(B347="—","—",IFERROR(VLOOKUP(B347,_Protheus_Cadastro!$A:$D,4,FALSE),"—"))</f>
        <v/>
      </c>
      <c r="F347" s="91">
        <f>IF(ISERROR(VLOOKUP(B347,'Estrutura Protheus'!A:A,1,FALSE)),"Não","Sim")</f>
        <v/>
      </c>
      <c r="G347" s="92">
        <f>IFERROR(INDEX(_Protheus_Cadastro!$H:$H,MATCH(B347,_Protheus_Cadastro!$A:$A,0)),"—")</f>
        <v/>
      </c>
      <c r="H347" s="210">
        <f>IFERROR(INDEX(_ZIG_Precos!$D:$D,MATCH(I347,_ZIG_Precos!$F:$F,0)),"—")</f>
        <v/>
      </c>
      <c r="I347" s="95">
        <f>IFERROR(VLOOKUP(B347,_Protheus_Cadastro!$A:$I,9,FALSE),"—")</f>
        <v/>
      </c>
      <c r="J347" s="93">
        <f>IFERROR(INDEX(_ZIG_Cadastro!$B:$B,MATCH(I347,_ZIG_Cadastro!$A:$A,0)),IFERROR(INDEX(_Entradas_ZIG!$B:$B,MATCH(I347,_Entradas_ZIG!$C:$C,0)),"—"))</f>
        <v/>
      </c>
      <c r="K347" s="93">
        <f>IFERROR(INDEX(_ZIG_Cadastro!$C:$C,MATCH(I347,_ZIG_Cadastro!$A:$A,0)),IFERROR(INDEX(_Entradas_ZIG!$D:$D,MATCH(I347,_Entradas_ZIG!$C:$C,0)),"—"))</f>
        <v/>
      </c>
      <c r="L347" s="92">
        <f>IF(I347="","Sem SKU ZIG",IF(I347="—","Sem SKU ZIG",IF(NOT(ISERROR(MATCH(I347,_ZIG_Cadastro!$A:$A,0))),IF(EXACT(UPPER(TRIM(C347)),UPPER(TRIM(INDEX(_ZIG_Cadastro!$B:$B,MATCH(I347,_ZIG_Cadastro!$A:$A,0))))),"OK","Atencao - Nome diverge"),IF(NOT(ISERROR(MATCH(I347,_Entradas_ZIG!$C:$C,0))),"OK","Erro - SKU nao encontrado"))))</f>
        <v/>
      </c>
      <c r="M347" s="92">
        <f>IFERROR(INDEX(_ZIG_Cadastro!$G:$G,MATCH(I347,_ZIG_Cadastro!$A:$A,0)),IF(NOT(ISERROR(MATCH(I347,_Entradas_ZIG!$C:$C,0))),"Ativo","—"))</f>
        <v/>
      </c>
      <c r="N347" s="94">
        <f>IFERROR(INDEX(_ZIG_Cadastro!$E:$E,MATCH(I347,_ZIG_Cadastro!$A:$A,0)),IFERROR(INDEX(_Entradas_ZIG!$F:$F,MATCH(I347,_Entradas_ZIG!$C:$C,0)),"—"))</f>
        <v/>
      </c>
      <c r="O347" s="92">
        <f>IF(AND(ISNUMBER(SEARCH("Espeto",N347)),ISNUMBER(SEARCH("Carin",N347))),"SIM","")</f>
        <v/>
      </c>
      <c r="P347" s="92">
        <f>IF(AND(ISNUMBER(SEARCH("Espeto",N347)),ISNUMBER(SEARCH("Lapa",N347))),"SIM","")</f>
        <v/>
      </c>
      <c r="Q347" s="92">
        <f>IF(AND(ISNUMBER(SEARCH("Espeto",N347)),ISNUMBER(SEARCH("Tatuapé",N347))),"SIM","")</f>
        <v/>
      </c>
      <c r="R347" s="92">
        <f>IF(AND(ISNUMBER(SEARCH("Espeto",N347)),ISNUMBER(SEARCH("Pavão",N347))),"SIM","")</f>
        <v/>
      </c>
      <c r="S347" s="92">
        <f>IF(AND(ISNUMBER(SEARCH("Espeto",N347)),ISNUMBER(SEARCH("Chac",N347))),"SIM","")</f>
        <v/>
      </c>
      <c r="T347" s="92">
        <f>IF(AND(ISNUMBER(SEARCH("Espeto",N347)),ISNUMBER(SEARCH("Madalena",N347))),"SIM","")</f>
        <v/>
      </c>
      <c r="U347" s="92">
        <f>IF(AND(ISNUMBER(SEARCH("Espeto",N347)),ISNUMBER(SEARCH("Mariana",N347))),"SIM","")</f>
        <v/>
      </c>
      <c r="V347" s="92">
        <f>IF(AND(ISNUMBER(SEARCH("Espeto",N347)),ISNUMBER(SEARCH("Perdizes",N347))),"SIM","")</f>
        <v/>
      </c>
      <c r="W347" s="92">
        <f>IF(AND(ISNUMBER(SEARCH("Espeto",N347)),ISNUMBER(SEARCH("Santana",N347))),"SIM","")</f>
        <v/>
      </c>
      <c r="X347" s="92">
        <f>IF(AND(ISNUMBER(SEARCH("Espeto",N347)),ISNUMBER(SEARCH("André",N347))),"SIM","")</f>
        <v/>
      </c>
      <c r="Y347" s="92">
        <f>IF(AND(ISNUMBER(SEARCH("Delivery",N347)),ISNUMBER(SEARCH("Carin",N347))),"SIM","")</f>
        <v/>
      </c>
      <c r="Z347" s="92">
        <f>IF(AND(ISNUMBER(SEARCH("Delivery",N347)),ISNUMBER(SEARCH("Lapa",N347))),"SIM","")</f>
        <v/>
      </c>
      <c r="AA347" s="92">
        <f>IF(AND(ISNUMBER(SEARCH("Delivery",N347)),ISNUMBER(SEARCH("Tatuapé",N347))),"SIM","")</f>
        <v/>
      </c>
      <c r="AB347" s="92">
        <f>IF(AND(ISNUMBER(SEARCH("Delivery",N347)),ISNUMBER(SEARCH("Pavão",N347))),"SIM","")</f>
        <v/>
      </c>
      <c r="AC347" s="92">
        <f>IF(AND(ISNUMBER(SEARCH("Delivery",N347)),ISNUMBER(SEARCH("Chac",N347))),"SIM","")</f>
        <v/>
      </c>
      <c r="AD347" s="92">
        <f>IF(AND(ISNUMBER(SEARCH("Delivery",N347)),ISNUMBER(SEARCH("Madalena",N347))),"SIM","")</f>
        <v/>
      </c>
      <c r="AE347" s="92">
        <f>IF(AND(ISNUMBER(SEARCH("Delivery",N347)),ISNUMBER(SEARCH("Mariana",N347))),"SIM","")</f>
        <v/>
      </c>
      <c r="AF347" s="92">
        <f>IF(AND(ISNUMBER(SEARCH("Delivery",N347)),ISNUMBER(SEARCH("Perdizes",N347))),"SIM","")</f>
        <v/>
      </c>
      <c r="AG347" s="92">
        <f>IF(AND(ISNUMBER(SEARCH("Delivery",N347)),ISNUMBER(SEARCH("Santana",N347))),"SIM","")</f>
        <v/>
      </c>
      <c r="AH347" s="92">
        <f>IF(AND(ISNUMBER(SEARCH("Delivery",N347)),ISNUMBER(SEARCH("André",N347))),"SIM","")</f>
        <v/>
      </c>
      <c r="AI347" s="92">
        <f>IF(ISNUMBER(SEARCH("Interlagos",N347)),"SIM","")</f>
        <v/>
      </c>
      <c r="AJ347" s="92">
        <f>IF(ISNUMBER(SEARCH("Quiosque",N347)),"SIM","")</f>
        <v/>
      </c>
      <c r="AK347" s="93" t="n"/>
    </row>
    <row r="348">
      <c r="A348" s="88" t="inlineStr">
        <is>
          <t>Protheus</t>
        </is>
      </c>
      <c r="B348" s="96" t="inlineStr">
        <is>
          <t>010008</t>
        </is>
      </c>
      <c r="C348" s="97">
        <f>IF(B348="—","—",IFERROR(VLOOKUP(B348,_Protheus_Cadastro!$A:$B,2,FALSE),"—"))</f>
        <v/>
      </c>
      <c r="D348" s="98">
        <f>IF(B348="—",IFERROR(INDEX(_ZIG_Cadastro!$D:$D,MATCH(H348,_ZIG_Cadastro!$A:$A,0)),"Produto"),IFERROR(VLOOKUP(B348,_Protheus_Cadastro!$A:$C,3,FALSE),"—"))</f>
        <v/>
      </c>
      <c r="E348" s="98">
        <f>IF(B348="—","—",IFERROR(VLOOKUP(B348,_Protheus_Cadastro!$A:$D,4,FALSE),"—"))</f>
        <v/>
      </c>
      <c r="F348" s="98">
        <f>IF(ISERROR(VLOOKUP(B348,'Estrutura Protheus'!A:A,1,FALSE)),"Não","Sim")</f>
        <v/>
      </c>
      <c r="G348" s="99">
        <f>IFERROR(INDEX(_Protheus_Cadastro!$H:$H,MATCH(B348,_Protheus_Cadastro!$A:$A,0)),"—")</f>
        <v/>
      </c>
      <c r="H348" s="211">
        <f>IFERROR(INDEX(_ZIG_Precos!$D:$D,MATCH(I348,_ZIG_Precos!$F:$F,0)),"—")</f>
        <v/>
      </c>
      <c r="I348" s="103">
        <f>IFERROR(VLOOKUP(B348,_Protheus_Cadastro!$A:$I,9,FALSE),"—")</f>
        <v/>
      </c>
      <c r="J348" s="101">
        <f>IFERROR(INDEX(_ZIG_Cadastro!$B:$B,MATCH(I348,_ZIG_Cadastro!$A:$A,0)),IFERROR(INDEX(_Entradas_ZIG!$B:$B,MATCH(I348,_Entradas_ZIG!$C:$C,0)),"—"))</f>
        <v/>
      </c>
      <c r="K348" s="101">
        <f>IFERROR(INDEX(_ZIG_Cadastro!$C:$C,MATCH(I348,_ZIG_Cadastro!$A:$A,0)),IFERROR(INDEX(_Entradas_ZIG!$D:$D,MATCH(I348,_Entradas_ZIG!$C:$C,0)),"—"))</f>
        <v/>
      </c>
      <c r="L348" s="99">
        <f>IF(I348="","Sem SKU ZIG",IF(I348="—","Sem SKU ZIG",IF(NOT(ISERROR(MATCH(I348,_ZIG_Cadastro!$A:$A,0))),IF(EXACT(UPPER(TRIM(C348)),UPPER(TRIM(INDEX(_ZIG_Cadastro!$B:$B,MATCH(I348,_ZIG_Cadastro!$A:$A,0))))),"OK","Atencao - Nome diverge"),IF(NOT(ISERROR(MATCH(I348,_Entradas_ZIG!$C:$C,0))),"OK","Erro - SKU nao encontrado"))))</f>
        <v/>
      </c>
      <c r="M348" s="99">
        <f>IFERROR(INDEX(_ZIG_Cadastro!$G:$G,MATCH(I348,_ZIG_Cadastro!$A:$A,0)),IF(NOT(ISERROR(MATCH(I348,_Entradas_ZIG!$C:$C,0))),"Ativo","—"))</f>
        <v/>
      </c>
      <c r="N348" s="102">
        <f>IFERROR(INDEX(_ZIG_Cadastro!$E:$E,MATCH(I348,_ZIG_Cadastro!$A:$A,0)),IFERROR(INDEX(_Entradas_ZIG!$F:$F,MATCH(I348,_Entradas_ZIG!$C:$C,0)),"—"))</f>
        <v/>
      </c>
      <c r="O348" s="99">
        <f>IF(AND(ISNUMBER(SEARCH("Espeto",N348)),ISNUMBER(SEARCH("Carin",N348))),"SIM","")</f>
        <v/>
      </c>
      <c r="P348" s="99">
        <f>IF(AND(ISNUMBER(SEARCH("Espeto",N348)),ISNUMBER(SEARCH("Lapa",N348))),"SIM","")</f>
        <v/>
      </c>
      <c r="Q348" s="99">
        <f>IF(AND(ISNUMBER(SEARCH("Espeto",N348)),ISNUMBER(SEARCH("Tatuapé",N348))),"SIM","")</f>
        <v/>
      </c>
      <c r="R348" s="99">
        <f>IF(AND(ISNUMBER(SEARCH("Espeto",N348)),ISNUMBER(SEARCH("Pavão",N348))),"SIM","")</f>
        <v/>
      </c>
      <c r="S348" s="99">
        <f>IF(AND(ISNUMBER(SEARCH("Espeto",N348)),ISNUMBER(SEARCH("Chac",N348))),"SIM","")</f>
        <v/>
      </c>
      <c r="T348" s="99">
        <f>IF(AND(ISNUMBER(SEARCH("Espeto",N348)),ISNUMBER(SEARCH("Madalena",N348))),"SIM","")</f>
        <v/>
      </c>
      <c r="U348" s="99">
        <f>IF(AND(ISNUMBER(SEARCH("Espeto",N348)),ISNUMBER(SEARCH("Mariana",N348))),"SIM","")</f>
        <v/>
      </c>
      <c r="V348" s="99">
        <f>IF(AND(ISNUMBER(SEARCH("Espeto",N348)),ISNUMBER(SEARCH("Perdizes",N348))),"SIM","")</f>
        <v/>
      </c>
      <c r="W348" s="99">
        <f>IF(AND(ISNUMBER(SEARCH("Espeto",N348)),ISNUMBER(SEARCH("Santana",N348))),"SIM","")</f>
        <v/>
      </c>
      <c r="X348" s="99">
        <f>IF(AND(ISNUMBER(SEARCH("Espeto",N348)),ISNUMBER(SEARCH("André",N348))),"SIM","")</f>
        <v/>
      </c>
      <c r="Y348" s="99">
        <f>IF(AND(ISNUMBER(SEARCH("Delivery",N348)),ISNUMBER(SEARCH("Carin",N348))),"SIM","")</f>
        <v/>
      </c>
      <c r="Z348" s="99">
        <f>IF(AND(ISNUMBER(SEARCH("Delivery",N348)),ISNUMBER(SEARCH("Lapa",N348))),"SIM","")</f>
        <v/>
      </c>
      <c r="AA348" s="99">
        <f>IF(AND(ISNUMBER(SEARCH("Delivery",N348)),ISNUMBER(SEARCH("Tatuapé",N348))),"SIM","")</f>
        <v/>
      </c>
      <c r="AB348" s="99">
        <f>IF(AND(ISNUMBER(SEARCH("Delivery",N348)),ISNUMBER(SEARCH("Pavão",N348))),"SIM","")</f>
        <v/>
      </c>
      <c r="AC348" s="99">
        <f>IF(AND(ISNUMBER(SEARCH("Delivery",N348)),ISNUMBER(SEARCH("Chac",N348))),"SIM","")</f>
        <v/>
      </c>
      <c r="AD348" s="99">
        <f>IF(AND(ISNUMBER(SEARCH("Delivery",N348)),ISNUMBER(SEARCH("Madalena",N348))),"SIM","")</f>
        <v/>
      </c>
      <c r="AE348" s="99">
        <f>IF(AND(ISNUMBER(SEARCH("Delivery",N348)),ISNUMBER(SEARCH("Mariana",N348))),"SIM","")</f>
        <v/>
      </c>
      <c r="AF348" s="99">
        <f>IF(AND(ISNUMBER(SEARCH("Delivery",N348)),ISNUMBER(SEARCH("Perdizes",N348))),"SIM","")</f>
        <v/>
      </c>
      <c r="AG348" s="99">
        <f>IF(AND(ISNUMBER(SEARCH("Delivery",N348)),ISNUMBER(SEARCH("Santana",N348))),"SIM","")</f>
        <v/>
      </c>
      <c r="AH348" s="99">
        <f>IF(AND(ISNUMBER(SEARCH("Delivery",N348)),ISNUMBER(SEARCH("André",N348))),"SIM","")</f>
        <v/>
      </c>
      <c r="AI348" s="99">
        <f>IF(ISNUMBER(SEARCH("Interlagos",N348)),"SIM","")</f>
        <v/>
      </c>
      <c r="AJ348" s="99">
        <f>IF(ISNUMBER(SEARCH("Quiosque",N348)),"SIM","")</f>
        <v/>
      </c>
      <c r="AK348" s="101" t="n"/>
    </row>
    <row r="349">
      <c r="A349" s="88" t="inlineStr">
        <is>
          <t>Protheus</t>
        </is>
      </c>
      <c r="B349" s="89" t="inlineStr">
        <is>
          <t>010032</t>
        </is>
      </c>
      <c r="C349" s="90">
        <f>IF(B349="—","—",IFERROR(VLOOKUP(B349,_Protheus_Cadastro!$A:$B,2,FALSE),"—"))</f>
        <v/>
      </c>
      <c r="D349" s="91">
        <f>IF(B349="—",IFERROR(INDEX(_ZIG_Cadastro!$D:$D,MATCH(H349,_ZIG_Cadastro!$A:$A,0)),"Produto"),IFERROR(VLOOKUP(B349,_Protheus_Cadastro!$A:$C,3,FALSE),"—"))</f>
        <v/>
      </c>
      <c r="E349" s="91">
        <f>IF(B349="—","—",IFERROR(VLOOKUP(B349,_Protheus_Cadastro!$A:$D,4,FALSE),"—"))</f>
        <v/>
      </c>
      <c r="F349" s="91">
        <f>IF(ISERROR(VLOOKUP(B349,'Estrutura Protheus'!A:A,1,FALSE)),"Não","Sim")</f>
        <v/>
      </c>
      <c r="G349" s="92">
        <f>IFERROR(INDEX(_Protheus_Cadastro!$H:$H,MATCH(B349,_Protheus_Cadastro!$A:$A,0)),"—")</f>
        <v/>
      </c>
      <c r="H349" s="210">
        <f>IFERROR(INDEX(_ZIG_Precos!$D:$D,MATCH(I349,_ZIG_Precos!$F:$F,0)),"—")</f>
        <v/>
      </c>
      <c r="I349" s="95">
        <f>IFERROR(VLOOKUP(B349,_Protheus_Cadastro!$A:$I,9,FALSE),"—")</f>
        <v/>
      </c>
      <c r="J349" s="93">
        <f>IFERROR(INDEX(_ZIG_Cadastro!$B:$B,MATCH(I349,_ZIG_Cadastro!$A:$A,0)),IFERROR(INDEX(_Entradas_ZIG!$B:$B,MATCH(I349,_Entradas_ZIG!$C:$C,0)),"—"))</f>
        <v/>
      </c>
      <c r="K349" s="93">
        <f>IFERROR(INDEX(_ZIG_Cadastro!$C:$C,MATCH(I349,_ZIG_Cadastro!$A:$A,0)),IFERROR(INDEX(_Entradas_ZIG!$D:$D,MATCH(I349,_Entradas_ZIG!$C:$C,0)),"—"))</f>
        <v/>
      </c>
      <c r="L349" s="92">
        <f>IF(I349="","Sem SKU ZIG",IF(I349="—","Sem SKU ZIG",IF(NOT(ISERROR(MATCH(I349,_ZIG_Cadastro!$A:$A,0))),IF(EXACT(UPPER(TRIM(C349)),UPPER(TRIM(INDEX(_ZIG_Cadastro!$B:$B,MATCH(I349,_ZIG_Cadastro!$A:$A,0))))),"OK","Atencao - Nome diverge"),IF(NOT(ISERROR(MATCH(I349,_Entradas_ZIG!$C:$C,0))),"OK","Erro - SKU nao encontrado"))))</f>
        <v/>
      </c>
      <c r="M349" s="92">
        <f>IFERROR(INDEX(_ZIG_Cadastro!$G:$G,MATCH(I349,_ZIG_Cadastro!$A:$A,0)),IF(NOT(ISERROR(MATCH(I349,_Entradas_ZIG!$C:$C,0))),"Ativo","—"))</f>
        <v/>
      </c>
      <c r="N349" s="94">
        <f>IFERROR(INDEX(_ZIG_Cadastro!$E:$E,MATCH(I349,_ZIG_Cadastro!$A:$A,0)),IFERROR(INDEX(_Entradas_ZIG!$F:$F,MATCH(I349,_Entradas_ZIG!$C:$C,0)),"—"))</f>
        <v/>
      </c>
      <c r="O349" s="92">
        <f>IF(AND(ISNUMBER(SEARCH("Espeto",N349)),ISNUMBER(SEARCH("Carin",N349))),"SIM","")</f>
        <v/>
      </c>
      <c r="P349" s="92">
        <f>IF(AND(ISNUMBER(SEARCH("Espeto",N349)),ISNUMBER(SEARCH("Lapa",N349))),"SIM","")</f>
        <v/>
      </c>
      <c r="Q349" s="92">
        <f>IF(AND(ISNUMBER(SEARCH("Espeto",N349)),ISNUMBER(SEARCH("Tatuapé",N349))),"SIM","")</f>
        <v/>
      </c>
      <c r="R349" s="92">
        <f>IF(AND(ISNUMBER(SEARCH("Espeto",N349)),ISNUMBER(SEARCH("Pavão",N349))),"SIM","")</f>
        <v/>
      </c>
      <c r="S349" s="92">
        <f>IF(AND(ISNUMBER(SEARCH("Espeto",N349)),ISNUMBER(SEARCH("Chac",N349))),"SIM","")</f>
        <v/>
      </c>
      <c r="T349" s="92">
        <f>IF(AND(ISNUMBER(SEARCH("Espeto",N349)),ISNUMBER(SEARCH("Madalena",N349))),"SIM","")</f>
        <v/>
      </c>
      <c r="U349" s="92">
        <f>IF(AND(ISNUMBER(SEARCH("Espeto",N349)),ISNUMBER(SEARCH("Mariana",N349))),"SIM","")</f>
        <v/>
      </c>
      <c r="V349" s="92">
        <f>IF(AND(ISNUMBER(SEARCH("Espeto",N349)),ISNUMBER(SEARCH("Perdizes",N349))),"SIM","")</f>
        <v/>
      </c>
      <c r="W349" s="92">
        <f>IF(AND(ISNUMBER(SEARCH("Espeto",N349)),ISNUMBER(SEARCH("Santana",N349))),"SIM","")</f>
        <v/>
      </c>
      <c r="X349" s="92">
        <f>IF(AND(ISNUMBER(SEARCH("Espeto",N349)),ISNUMBER(SEARCH("André",N349))),"SIM","")</f>
        <v/>
      </c>
      <c r="Y349" s="92">
        <f>IF(AND(ISNUMBER(SEARCH("Delivery",N349)),ISNUMBER(SEARCH("Carin",N349))),"SIM","")</f>
        <v/>
      </c>
      <c r="Z349" s="92">
        <f>IF(AND(ISNUMBER(SEARCH("Delivery",N349)),ISNUMBER(SEARCH("Lapa",N349))),"SIM","")</f>
        <v/>
      </c>
      <c r="AA349" s="92">
        <f>IF(AND(ISNUMBER(SEARCH("Delivery",N349)),ISNUMBER(SEARCH("Tatuapé",N349))),"SIM","")</f>
        <v/>
      </c>
      <c r="AB349" s="92">
        <f>IF(AND(ISNUMBER(SEARCH("Delivery",N349)),ISNUMBER(SEARCH("Pavão",N349))),"SIM","")</f>
        <v/>
      </c>
      <c r="AC349" s="92">
        <f>IF(AND(ISNUMBER(SEARCH("Delivery",N349)),ISNUMBER(SEARCH("Chac",N349))),"SIM","")</f>
        <v/>
      </c>
      <c r="AD349" s="92">
        <f>IF(AND(ISNUMBER(SEARCH("Delivery",N349)),ISNUMBER(SEARCH("Madalena",N349))),"SIM","")</f>
        <v/>
      </c>
      <c r="AE349" s="92">
        <f>IF(AND(ISNUMBER(SEARCH("Delivery",N349)),ISNUMBER(SEARCH("Mariana",N349))),"SIM","")</f>
        <v/>
      </c>
      <c r="AF349" s="92">
        <f>IF(AND(ISNUMBER(SEARCH("Delivery",N349)),ISNUMBER(SEARCH("Perdizes",N349))),"SIM","")</f>
        <v/>
      </c>
      <c r="AG349" s="92">
        <f>IF(AND(ISNUMBER(SEARCH("Delivery",N349)),ISNUMBER(SEARCH("Santana",N349))),"SIM","")</f>
        <v/>
      </c>
      <c r="AH349" s="92">
        <f>IF(AND(ISNUMBER(SEARCH("Delivery",N349)),ISNUMBER(SEARCH("André",N349))),"SIM","")</f>
        <v/>
      </c>
      <c r="AI349" s="92">
        <f>IF(ISNUMBER(SEARCH("Interlagos",N349)),"SIM","")</f>
        <v/>
      </c>
      <c r="AJ349" s="92">
        <f>IF(ISNUMBER(SEARCH("Quiosque",N349)),"SIM","")</f>
        <v/>
      </c>
      <c r="AK349" s="93" t="n"/>
    </row>
    <row r="350">
      <c r="A350" s="88" t="inlineStr">
        <is>
          <t>Protheus</t>
        </is>
      </c>
      <c r="B350" s="96" t="inlineStr">
        <is>
          <t>001077</t>
        </is>
      </c>
      <c r="C350" s="97">
        <f>IF(B350="—","—",IFERROR(VLOOKUP(B350,_Protheus_Cadastro!$A:$B,2,FALSE),"—"))</f>
        <v/>
      </c>
      <c r="D350" s="98">
        <f>IF(B350="—",IFERROR(INDEX(_ZIG_Cadastro!$D:$D,MATCH(H350,_ZIG_Cadastro!$A:$A,0)),"Produto"),IFERROR(VLOOKUP(B350,_Protheus_Cadastro!$A:$C,3,FALSE),"—"))</f>
        <v/>
      </c>
      <c r="E350" s="98">
        <f>IF(B350="—","—",IFERROR(VLOOKUP(B350,_Protheus_Cadastro!$A:$D,4,FALSE),"—"))</f>
        <v/>
      </c>
      <c r="F350" s="98">
        <f>IF(ISERROR(VLOOKUP(B350,'Estrutura Protheus'!A:A,1,FALSE)),"Não","Sim")</f>
        <v/>
      </c>
      <c r="G350" s="99">
        <f>IFERROR(INDEX(_Protheus_Cadastro!$H:$H,MATCH(B350,_Protheus_Cadastro!$A:$A,0)),"—")</f>
        <v/>
      </c>
      <c r="H350" s="211">
        <f>IFERROR(INDEX(_ZIG_Precos!$D:$D,MATCH(I350,_ZIG_Precos!$F:$F,0)),"—")</f>
        <v/>
      </c>
      <c r="I350" s="103">
        <f>IFERROR(VLOOKUP(B350,_Protheus_Cadastro!$A:$I,9,FALSE),"—")</f>
        <v/>
      </c>
      <c r="J350" s="101">
        <f>IFERROR(INDEX(_ZIG_Cadastro!$B:$B,MATCH(I350,_ZIG_Cadastro!$A:$A,0)),IFERROR(INDEX(_Entradas_ZIG!$B:$B,MATCH(I350,_Entradas_ZIG!$C:$C,0)),"—"))</f>
        <v/>
      </c>
      <c r="K350" s="101">
        <f>IFERROR(INDEX(_ZIG_Cadastro!$C:$C,MATCH(I350,_ZIG_Cadastro!$A:$A,0)),IFERROR(INDEX(_Entradas_ZIG!$D:$D,MATCH(I350,_Entradas_ZIG!$C:$C,0)),"—"))</f>
        <v/>
      </c>
      <c r="L350" s="99">
        <f>IF(I350="","Sem SKU ZIG",IF(I350="—","Sem SKU ZIG",IF(NOT(ISERROR(MATCH(I350,_ZIG_Cadastro!$A:$A,0))),IF(EXACT(UPPER(TRIM(C350)),UPPER(TRIM(INDEX(_ZIG_Cadastro!$B:$B,MATCH(I350,_ZIG_Cadastro!$A:$A,0))))),"OK","Atencao - Nome diverge"),IF(NOT(ISERROR(MATCH(I350,_Entradas_ZIG!$C:$C,0))),"OK","Erro - SKU nao encontrado"))))</f>
        <v/>
      </c>
      <c r="M350" s="99">
        <f>IFERROR(INDEX(_ZIG_Cadastro!$G:$G,MATCH(I350,_ZIG_Cadastro!$A:$A,0)),IF(NOT(ISERROR(MATCH(I350,_Entradas_ZIG!$C:$C,0))),"Ativo","—"))</f>
        <v/>
      </c>
      <c r="N350" s="102">
        <f>IFERROR(INDEX(_ZIG_Cadastro!$E:$E,MATCH(I350,_ZIG_Cadastro!$A:$A,0)),IFERROR(INDEX(_Entradas_ZIG!$F:$F,MATCH(I350,_Entradas_ZIG!$C:$C,0)),"—"))</f>
        <v/>
      </c>
      <c r="O350" s="99">
        <f>IF(AND(ISNUMBER(SEARCH("Espeto",N350)),ISNUMBER(SEARCH("Carin",N350))),"SIM","")</f>
        <v/>
      </c>
      <c r="P350" s="99">
        <f>IF(AND(ISNUMBER(SEARCH("Espeto",N350)),ISNUMBER(SEARCH("Lapa",N350))),"SIM","")</f>
        <v/>
      </c>
      <c r="Q350" s="99">
        <f>IF(AND(ISNUMBER(SEARCH("Espeto",N350)),ISNUMBER(SEARCH("Tatuapé",N350))),"SIM","")</f>
        <v/>
      </c>
      <c r="R350" s="99">
        <f>IF(AND(ISNUMBER(SEARCH("Espeto",N350)),ISNUMBER(SEARCH("Pavão",N350))),"SIM","")</f>
        <v/>
      </c>
      <c r="S350" s="99">
        <f>IF(AND(ISNUMBER(SEARCH("Espeto",N350)),ISNUMBER(SEARCH("Chac",N350))),"SIM","")</f>
        <v/>
      </c>
      <c r="T350" s="99">
        <f>IF(AND(ISNUMBER(SEARCH("Espeto",N350)),ISNUMBER(SEARCH("Madalena",N350))),"SIM","")</f>
        <v/>
      </c>
      <c r="U350" s="99">
        <f>IF(AND(ISNUMBER(SEARCH("Espeto",N350)),ISNUMBER(SEARCH("Mariana",N350))),"SIM","")</f>
        <v/>
      </c>
      <c r="V350" s="99">
        <f>IF(AND(ISNUMBER(SEARCH("Espeto",N350)),ISNUMBER(SEARCH("Perdizes",N350))),"SIM","")</f>
        <v/>
      </c>
      <c r="W350" s="99">
        <f>IF(AND(ISNUMBER(SEARCH("Espeto",N350)),ISNUMBER(SEARCH("Santana",N350))),"SIM","")</f>
        <v/>
      </c>
      <c r="X350" s="99">
        <f>IF(AND(ISNUMBER(SEARCH("Espeto",N350)),ISNUMBER(SEARCH("André",N350))),"SIM","")</f>
        <v/>
      </c>
      <c r="Y350" s="99">
        <f>IF(AND(ISNUMBER(SEARCH("Delivery",N350)),ISNUMBER(SEARCH("Carin",N350))),"SIM","")</f>
        <v/>
      </c>
      <c r="Z350" s="99">
        <f>IF(AND(ISNUMBER(SEARCH("Delivery",N350)),ISNUMBER(SEARCH("Lapa",N350))),"SIM","")</f>
        <v/>
      </c>
      <c r="AA350" s="99">
        <f>IF(AND(ISNUMBER(SEARCH("Delivery",N350)),ISNUMBER(SEARCH("Tatuapé",N350))),"SIM","")</f>
        <v/>
      </c>
      <c r="AB350" s="99">
        <f>IF(AND(ISNUMBER(SEARCH("Delivery",N350)),ISNUMBER(SEARCH("Pavão",N350))),"SIM","")</f>
        <v/>
      </c>
      <c r="AC350" s="99">
        <f>IF(AND(ISNUMBER(SEARCH("Delivery",N350)),ISNUMBER(SEARCH("Chac",N350))),"SIM","")</f>
        <v/>
      </c>
      <c r="AD350" s="99">
        <f>IF(AND(ISNUMBER(SEARCH("Delivery",N350)),ISNUMBER(SEARCH("Madalena",N350))),"SIM","")</f>
        <v/>
      </c>
      <c r="AE350" s="99">
        <f>IF(AND(ISNUMBER(SEARCH("Delivery",N350)),ISNUMBER(SEARCH("Mariana",N350))),"SIM","")</f>
        <v/>
      </c>
      <c r="AF350" s="99">
        <f>IF(AND(ISNUMBER(SEARCH("Delivery",N350)),ISNUMBER(SEARCH("Perdizes",N350))),"SIM","")</f>
        <v/>
      </c>
      <c r="AG350" s="99">
        <f>IF(AND(ISNUMBER(SEARCH("Delivery",N350)),ISNUMBER(SEARCH("Santana",N350))),"SIM","")</f>
        <v/>
      </c>
      <c r="AH350" s="99">
        <f>IF(AND(ISNUMBER(SEARCH("Delivery",N350)),ISNUMBER(SEARCH("André",N350))),"SIM","")</f>
        <v/>
      </c>
      <c r="AI350" s="99">
        <f>IF(ISNUMBER(SEARCH("Interlagos",N350)),"SIM","")</f>
        <v/>
      </c>
      <c r="AJ350" s="99">
        <f>IF(ISNUMBER(SEARCH("Quiosque",N350)),"SIM","")</f>
        <v/>
      </c>
      <c r="AK350" s="101" t="n"/>
    </row>
    <row r="351">
      <c r="A351" s="88" t="inlineStr">
        <is>
          <t>Protheus</t>
        </is>
      </c>
      <c r="B351" s="89" t="inlineStr">
        <is>
          <t>001484</t>
        </is>
      </c>
      <c r="C351" s="90">
        <f>IF(B351="—","—",IFERROR(VLOOKUP(B351,_Protheus_Cadastro!$A:$B,2,FALSE),"—"))</f>
        <v/>
      </c>
      <c r="D351" s="91">
        <f>IF(B351="—",IFERROR(INDEX(_ZIG_Cadastro!$D:$D,MATCH(H351,_ZIG_Cadastro!$A:$A,0)),"Produto"),IFERROR(VLOOKUP(B351,_Protheus_Cadastro!$A:$C,3,FALSE),"—"))</f>
        <v/>
      </c>
      <c r="E351" s="91">
        <f>IF(B351="—","—",IFERROR(VLOOKUP(B351,_Protheus_Cadastro!$A:$D,4,FALSE),"—"))</f>
        <v/>
      </c>
      <c r="F351" s="91">
        <f>IF(ISERROR(VLOOKUP(B351,'Estrutura Protheus'!A:A,1,FALSE)),"Não","Sim")</f>
        <v/>
      </c>
      <c r="G351" s="92">
        <f>IFERROR(INDEX(_Protheus_Cadastro!$H:$H,MATCH(B351,_Protheus_Cadastro!$A:$A,0)),"—")</f>
        <v/>
      </c>
      <c r="H351" s="210">
        <f>IFERROR(INDEX(_ZIG_Precos!$D:$D,MATCH(I351,_ZIG_Precos!$F:$F,0)),"—")</f>
        <v/>
      </c>
      <c r="I351" s="95">
        <f>IFERROR(VLOOKUP(B351,_Protheus_Cadastro!$A:$I,9,FALSE),"—")</f>
        <v/>
      </c>
      <c r="J351" s="93">
        <f>IFERROR(INDEX(_ZIG_Cadastro!$B:$B,MATCH(I351,_ZIG_Cadastro!$A:$A,0)),IFERROR(INDEX(_Entradas_ZIG!$B:$B,MATCH(I351,_Entradas_ZIG!$C:$C,0)),"—"))</f>
        <v/>
      </c>
      <c r="K351" s="93">
        <f>IFERROR(INDEX(_ZIG_Cadastro!$C:$C,MATCH(I351,_ZIG_Cadastro!$A:$A,0)),IFERROR(INDEX(_Entradas_ZIG!$D:$D,MATCH(I351,_Entradas_ZIG!$C:$C,0)),"—"))</f>
        <v/>
      </c>
      <c r="L351" s="92">
        <f>IF(I351="","Sem SKU ZIG",IF(I351="—","Sem SKU ZIG",IF(NOT(ISERROR(MATCH(I351,_ZIG_Cadastro!$A:$A,0))),IF(EXACT(UPPER(TRIM(C351)),UPPER(TRIM(INDEX(_ZIG_Cadastro!$B:$B,MATCH(I351,_ZIG_Cadastro!$A:$A,0))))),"OK","Atencao - Nome diverge"),IF(NOT(ISERROR(MATCH(I351,_Entradas_ZIG!$C:$C,0))),"OK","Erro - SKU nao encontrado"))))</f>
        <v/>
      </c>
      <c r="M351" s="92">
        <f>IFERROR(INDEX(_ZIG_Cadastro!$G:$G,MATCH(I351,_ZIG_Cadastro!$A:$A,0)),IF(NOT(ISERROR(MATCH(I351,_Entradas_ZIG!$C:$C,0))),"Ativo","—"))</f>
        <v/>
      </c>
      <c r="N351" s="94">
        <f>IFERROR(INDEX(_ZIG_Cadastro!$E:$E,MATCH(I351,_ZIG_Cadastro!$A:$A,0)),IFERROR(INDEX(_Entradas_ZIG!$F:$F,MATCH(I351,_Entradas_ZIG!$C:$C,0)),"—"))</f>
        <v/>
      </c>
      <c r="O351" s="92">
        <f>IF(AND(ISNUMBER(SEARCH("Espeto",N351)),ISNUMBER(SEARCH("Carin",N351))),"SIM","")</f>
        <v/>
      </c>
      <c r="P351" s="92">
        <f>IF(AND(ISNUMBER(SEARCH("Espeto",N351)),ISNUMBER(SEARCH("Lapa",N351))),"SIM","")</f>
        <v/>
      </c>
      <c r="Q351" s="92">
        <f>IF(AND(ISNUMBER(SEARCH("Espeto",N351)),ISNUMBER(SEARCH("Tatuapé",N351))),"SIM","")</f>
        <v/>
      </c>
      <c r="R351" s="92">
        <f>IF(AND(ISNUMBER(SEARCH("Espeto",N351)),ISNUMBER(SEARCH("Pavão",N351))),"SIM","")</f>
        <v/>
      </c>
      <c r="S351" s="92">
        <f>IF(AND(ISNUMBER(SEARCH("Espeto",N351)),ISNUMBER(SEARCH("Chac",N351))),"SIM","")</f>
        <v/>
      </c>
      <c r="T351" s="92">
        <f>IF(AND(ISNUMBER(SEARCH("Espeto",N351)),ISNUMBER(SEARCH("Madalena",N351))),"SIM","")</f>
        <v/>
      </c>
      <c r="U351" s="92">
        <f>IF(AND(ISNUMBER(SEARCH("Espeto",N351)),ISNUMBER(SEARCH("Mariana",N351))),"SIM","")</f>
        <v/>
      </c>
      <c r="V351" s="92">
        <f>IF(AND(ISNUMBER(SEARCH("Espeto",N351)),ISNUMBER(SEARCH("Perdizes",N351))),"SIM","")</f>
        <v/>
      </c>
      <c r="W351" s="92">
        <f>IF(AND(ISNUMBER(SEARCH("Espeto",N351)),ISNUMBER(SEARCH("Santana",N351))),"SIM","")</f>
        <v/>
      </c>
      <c r="X351" s="92">
        <f>IF(AND(ISNUMBER(SEARCH("Espeto",N351)),ISNUMBER(SEARCH("André",N351))),"SIM","")</f>
        <v/>
      </c>
      <c r="Y351" s="92">
        <f>IF(AND(ISNUMBER(SEARCH("Delivery",N351)),ISNUMBER(SEARCH("Carin",N351))),"SIM","")</f>
        <v/>
      </c>
      <c r="Z351" s="92">
        <f>IF(AND(ISNUMBER(SEARCH("Delivery",N351)),ISNUMBER(SEARCH("Lapa",N351))),"SIM","")</f>
        <v/>
      </c>
      <c r="AA351" s="92">
        <f>IF(AND(ISNUMBER(SEARCH("Delivery",N351)),ISNUMBER(SEARCH("Tatuapé",N351))),"SIM","")</f>
        <v/>
      </c>
      <c r="AB351" s="92">
        <f>IF(AND(ISNUMBER(SEARCH("Delivery",N351)),ISNUMBER(SEARCH("Pavão",N351))),"SIM","")</f>
        <v/>
      </c>
      <c r="AC351" s="92">
        <f>IF(AND(ISNUMBER(SEARCH("Delivery",N351)),ISNUMBER(SEARCH("Chac",N351))),"SIM","")</f>
        <v/>
      </c>
      <c r="AD351" s="92">
        <f>IF(AND(ISNUMBER(SEARCH("Delivery",N351)),ISNUMBER(SEARCH("Madalena",N351))),"SIM","")</f>
        <v/>
      </c>
      <c r="AE351" s="92">
        <f>IF(AND(ISNUMBER(SEARCH("Delivery",N351)),ISNUMBER(SEARCH("Mariana",N351))),"SIM","")</f>
        <v/>
      </c>
      <c r="AF351" s="92">
        <f>IF(AND(ISNUMBER(SEARCH("Delivery",N351)),ISNUMBER(SEARCH("Perdizes",N351))),"SIM","")</f>
        <v/>
      </c>
      <c r="AG351" s="92">
        <f>IF(AND(ISNUMBER(SEARCH("Delivery",N351)),ISNUMBER(SEARCH("Santana",N351))),"SIM","")</f>
        <v/>
      </c>
      <c r="AH351" s="92">
        <f>IF(AND(ISNUMBER(SEARCH("Delivery",N351)),ISNUMBER(SEARCH("André",N351))),"SIM","")</f>
        <v/>
      </c>
      <c r="AI351" s="92">
        <f>IF(ISNUMBER(SEARCH("Interlagos",N351)),"SIM","")</f>
        <v/>
      </c>
      <c r="AJ351" s="92">
        <f>IF(ISNUMBER(SEARCH("Quiosque",N351)),"SIM","")</f>
        <v/>
      </c>
      <c r="AK351" s="93" t="n"/>
    </row>
    <row r="352">
      <c r="A352" s="88" t="inlineStr">
        <is>
          <t>Protheus</t>
        </is>
      </c>
      <c r="B352" s="96" t="inlineStr">
        <is>
          <t>009637</t>
        </is>
      </c>
      <c r="C352" s="97">
        <f>IF(B352="—","—",IFERROR(VLOOKUP(B352,_Protheus_Cadastro!$A:$B,2,FALSE),"—"))</f>
        <v/>
      </c>
      <c r="D352" s="98">
        <f>IF(B352="—",IFERROR(INDEX(_ZIG_Cadastro!$D:$D,MATCH(H352,_ZIG_Cadastro!$A:$A,0)),"Produto"),IFERROR(VLOOKUP(B352,_Protheus_Cadastro!$A:$C,3,FALSE),"—"))</f>
        <v/>
      </c>
      <c r="E352" s="98">
        <f>IF(B352="—","—",IFERROR(VLOOKUP(B352,_Protheus_Cadastro!$A:$D,4,FALSE),"—"))</f>
        <v/>
      </c>
      <c r="F352" s="98">
        <f>IF(ISERROR(VLOOKUP(B352,'Estrutura Protheus'!A:A,1,FALSE)),"Não","Sim")</f>
        <v/>
      </c>
      <c r="G352" s="99">
        <f>IFERROR(INDEX(_Protheus_Cadastro!$H:$H,MATCH(B352,_Protheus_Cadastro!$A:$A,0)),"—")</f>
        <v/>
      </c>
      <c r="H352" s="211">
        <f>IFERROR(INDEX(_ZIG_Precos!$D:$D,MATCH(I352,_ZIG_Precos!$F:$F,0)),"—")</f>
        <v/>
      </c>
      <c r="I352" s="103">
        <f>IFERROR(VLOOKUP(B352,_Protheus_Cadastro!$A:$I,9,FALSE),"—")</f>
        <v/>
      </c>
      <c r="J352" s="101">
        <f>IFERROR(INDEX(_ZIG_Cadastro!$B:$B,MATCH(I352,_ZIG_Cadastro!$A:$A,0)),IFERROR(INDEX(_Entradas_ZIG!$B:$B,MATCH(I352,_Entradas_ZIG!$C:$C,0)),"—"))</f>
        <v/>
      </c>
      <c r="K352" s="101">
        <f>IFERROR(INDEX(_ZIG_Cadastro!$C:$C,MATCH(I352,_ZIG_Cadastro!$A:$A,0)),IFERROR(INDEX(_Entradas_ZIG!$D:$D,MATCH(I352,_Entradas_ZIG!$C:$C,0)),"—"))</f>
        <v/>
      </c>
      <c r="L352" s="99">
        <f>IF(I352="","Sem SKU ZIG",IF(I352="—","Sem SKU ZIG",IF(NOT(ISERROR(MATCH(I352,_ZIG_Cadastro!$A:$A,0))),IF(EXACT(UPPER(TRIM(C352)),UPPER(TRIM(INDEX(_ZIG_Cadastro!$B:$B,MATCH(I352,_ZIG_Cadastro!$A:$A,0))))),"OK","Atencao - Nome diverge"),IF(NOT(ISERROR(MATCH(I352,_Entradas_ZIG!$C:$C,0))),"OK","Erro - SKU nao encontrado"))))</f>
        <v/>
      </c>
      <c r="M352" s="99">
        <f>IFERROR(INDEX(_ZIG_Cadastro!$G:$G,MATCH(I352,_ZIG_Cadastro!$A:$A,0)),IF(NOT(ISERROR(MATCH(I352,_Entradas_ZIG!$C:$C,0))),"Ativo","—"))</f>
        <v/>
      </c>
      <c r="N352" s="102">
        <f>IFERROR(INDEX(_ZIG_Cadastro!$E:$E,MATCH(I352,_ZIG_Cadastro!$A:$A,0)),IFERROR(INDEX(_Entradas_ZIG!$F:$F,MATCH(I352,_Entradas_ZIG!$C:$C,0)),"—"))</f>
        <v/>
      </c>
      <c r="O352" s="99">
        <f>IF(AND(ISNUMBER(SEARCH("Espeto",N352)),ISNUMBER(SEARCH("Carin",N352))),"SIM","")</f>
        <v/>
      </c>
      <c r="P352" s="99">
        <f>IF(AND(ISNUMBER(SEARCH("Espeto",N352)),ISNUMBER(SEARCH("Lapa",N352))),"SIM","")</f>
        <v/>
      </c>
      <c r="Q352" s="99">
        <f>IF(AND(ISNUMBER(SEARCH("Espeto",N352)),ISNUMBER(SEARCH("Tatuapé",N352))),"SIM","")</f>
        <v/>
      </c>
      <c r="R352" s="99">
        <f>IF(AND(ISNUMBER(SEARCH("Espeto",N352)),ISNUMBER(SEARCH("Pavão",N352))),"SIM","")</f>
        <v/>
      </c>
      <c r="S352" s="99">
        <f>IF(AND(ISNUMBER(SEARCH("Espeto",N352)),ISNUMBER(SEARCH("Chac",N352))),"SIM","")</f>
        <v/>
      </c>
      <c r="T352" s="99">
        <f>IF(AND(ISNUMBER(SEARCH("Espeto",N352)),ISNUMBER(SEARCH("Madalena",N352))),"SIM","")</f>
        <v/>
      </c>
      <c r="U352" s="99">
        <f>IF(AND(ISNUMBER(SEARCH("Espeto",N352)),ISNUMBER(SEARCH("Mariana",N352))),"SIM","")</f>
        <v/>
      </c>
      <c r="V352" s="99">
        <f>IF(AND(ISNUMBER(SEARCH("Espeto",N352)),ISNUMBER(SEARCH("Perdizes",N352))),"SIM","")</f>
        <v/>
      </c>
      <c r="W352" s="99">
        <f>IF(AND(ISNUMBER(SEARCH("Espeto",N352)),ISNUMBER(SEARCH("Santana",N352))),"SIM","")</f>
        <v/>
      </c>
      <c r="X352" s="99">
        <f>IF(AND(ISNUMBER(SEARCH("Espeto",N352)),ISNUMBER(SEARCH("André",N352))),"SIM","")</f>
        <v/>
      </c>
      <c r="Y352" s="99">
        <f>IF(AND(ISNUMBER(SEARCH("Delivery",N352)),ISNUMBER(SEARCH("Carin",N352))),"SIM","")</f>
        <v/>
      </c>
      <c r="Z352" s="99">
        <f>IF(AND(ISNUMBER(SEARCH("Delivery",N352)),ISNUMBER(SEARCH("Lapa",N352))),"SIM","")</f>
        <v/>
      </c>
      <c r="AA352" s="99">
        <f>IF(AND(ISNUMBER(SEARCH("Delivery",N352)),ISNUMBER(SEARCH("Tatuapé",N352))),"SIM","")</f>
        <v/>
      </c>
      <c r="AB352" s="99">
        <f>IF(AND(ISNUMBER(SEARCH("Delivery",N352)),ISNUMBER(SEARCH("Pavão",N352))),"SIM","")</f>
        <v/>
      </c>
      <c r="AC352" s="99">
        <f>IF(AND(ISNUMBER(SEARCH("Delivery",N352)),ISNUMBER(SEARCH("Chac",N352))),"SIM","")</f>
        <v/>
      </c>
      <c r="AD352" s="99">
        <f>IF(AND(ISNUMBER(SEARCH("Delivery",N352)),ISNUMBER(SEARCH("Madalena",N352))),"SIM","")</f>
        <v/>
      </c>
      <c r="AE352" s="99">
        <f>IF(AND(ISNUMBER(SEARCH("Delivery",N352)),ISNUMBER(SEARCH("Mariana",N352))),"SIM","")</f>
        <v/>
      </c>
      <c r="AF352" s="99">
        <f>IF(AND(ISNUMBER(SEARCH("Delivery",N352)),ISNUMBER(SEARCH("Perdizes",N352))),"SIM","")</f>
        <v/>
      </c>
      <c r="AG352" s="99">
        <f>IF(AND(ISNUMBER(SEARCH("Delivery",N352)),ISNUMBER(SEARCH("Santana",N352))),"SIM","")</f>
        <v/>
      </c>
      <c r="AH352" s="99">
        <f>IF(AND(ISNUMBER(SEARCH("Delivery",N352)),ISNUMBER(SEARCH("André",N352))),"SIM","")</f>
        <v/>
      </c>
      <c r="AI352" s="99">
        <f>IF(ISNUMBER(SEARCH("Interlagos",N352)),"SIM","")</f>
        <v/>
      </c>
      <c r="AJ352" s="99">
        <f>IF(ISNUMBER(SEARCH("Quiosque",N352)),"SIM","")</f>
        <v/>
      </c>
      <c r="AK352" s="101" t="n"/>
    </row>
    <row r="353">
      <c r="A353" s="88" t="inlineStr">
        <is>
          <t>Protheus</t>
        </is>
      </c>
      <c r="B353" s="89" t="inlineStr">
        <is>
          <t>002069</t>
        </is>
      </c>
      <c r="C353" s="90">
        <f>IF(B353="—","—",IFERROR(VLOOKUP(B353,_Protheus_Cadastro!$A:$B,2,FALSE),"—"))</f>
        <v/>
      </c>
      <c r="D353" s="91">
        <f>IF(B353="—",IFERROR(INDEX(_ZIG_Cadastro!$D:$D,MATCH(H353,_ZIG_Cadastro!$A:$A,0)),"Produto"),IFERROR(VLOOKUP(B353,_Protheus_Cadastro!$A:$C,3,FALSE),"—"))</f>
        <v/>
      </c>
      <c r="E353" s="91">
        <f>IF(B353="—","—",IFERROR(VLOOKUP(B353,_Protheus_Cadastro!$A:$D,4,FALSE),"—"))</f>
        <v/>
      </c>
      <c r="F353" s="91">
        <f>IF(ISERROR(VLOOKUP(B353,'Estrutura Protheus'!A:A,1,FALSE)),"Não","Sim")</f>
        <v/>
      </c>
      <c r="G353" s="92">
        <f>IFERROR(INDEX(_Protheus_Cadastro!$H:$H,MATCH(B353,_Protheus_Cadastro!$A:$A,0)),"—")</f>
        <v/>
      </c>
      <c r="H353" s="210">
        <f>IFERROR(INDEX(_ZIG_Precos!$D:$D,MATCH(I353,_ZIG_Precos!$F:$F,0)),"—")</f>
        <v/>
      </c>
      <c r="I353" s="95">
        <f>IFERROR(VLOOKUP(B353,_Protheus_Cadastro!$A:$I,9,FALSE),"—")</f>
        <v/>
      </c>
      <c r="J353" s="93">
        <f>IFERROR(INDEX(_ZIG_Cadastro!$B:$B,MATCH(I353,_ZIG_Cadastro!$A:$A,0)),IFERROR(INDEX(_Entradas_ZIG!$B:$B,MATCH(I353,_Entradas_ZIG!$C:$C,0)),"—"))</f>
        <v/>
      </c>
      <c r="K353" s="93">
        <f>IFERROR(INDEX(_ZIG_Cadastro!$C:$C,MATCH(I353,_ZIG_Cadastro!$A:$A,0)),IFERROR(INDEX(_Entradas_ZIG!$D:$D,MATCH(I353,_Entradas_ZIG!$C:$C,0)),"—"))</f>
        <v/>
      </c>
      <c r="L353" s="92">
        <f>IF(I353="","Sem SKU ZIG",IF(I353="—","Sem SKU ZIG",IF(NOT(ISERROR(MATCH(I353,_ZIG_Cadastro!$A:$A,0))),IF(EXACT(UPPER(TRIM(C353)),UPPER(TRIM(INDEX(_ZIG_Cadastro!$B:$B,MATCH(I353,_ZIG_Cadastro!$A:$A,0))))),"OK","Atencao - Nome diverge"),IF(NOT(ISERROR(MATCH(I353,_Entradas_ZIG!$C:$C,0))),"OK","Erro - SKU nao encontrado"))))</f>
        <v/>
      </c>
      <c r="M353" s="92">
        <f>IFERROR(INDEX(_ZIG_Cadastro!$G:$G,MATCH(I353,_ZIG_Cadastro!$A:$A,0)),IF(NOT(ISERROR(MATCH(I353,_Entradas_ZIG!$C:$C,0))),"Ativo","—"))</f>
        <v/>
      </c>
      <c r="N353" s="94">
        <f>IFERROR(INDEX(_ZIG_Cadastro!$E:$E,MATCH(I353,_ZIG_Cadastro!$A:$A,0)),IFERROR(INDEX(_Entradas_ZIG!$F:$F,MATCH(I353,_Entradas_ZIG!$C:$C,0)),"—"))</f>
        <v/>
      </c>
      <c r="O353" s="92">
        <f>IF(AND(ISNUMBER(SEARCH("Espeto",N353)),ISNUMBER(SEARCH("Carin",N353))),"SIM","")</f>
        <v/>
      </c>
      <c r="P353" s="92">
        <f>IF(AND(ISNUMBER(SEARCH("Espeto",N353)),ISNUMBER(SEARCH("Lapa",N353))),"SIM","")</f>
        <v/>
      </c>
      <c r="Q353" s="92">
        <f>IF(AND(ISNUMBER(SEARCH("Espeto",N353)),ISNUMBER(SEARCH("Tatuapé",N353))),"SIM","")</f>
        <v/>
      </c>
      <c r="R353" s="92">
        <f>IF(AND(ISNUMBER(SEARCH("Espeto",N353)),ISNUMBER(SEARCH("Pavão",N353))),"SIM","")</f>
        <v/>
      </c>
      <c r="S353" s="92">
        <f>IF(AND(ISNUMBER(SEARCH("Espeto",N353)),ISNUMBER(SEARCH("Chac",N353))),"SIM","")</f>
        <v/>
      </c>
      <c r="T353" s="92">
        <f>IF(AND(ISNUMBER(SEARCH("Espeto",N353)),ISNUMBER(SEARCH("Madalena",N353))),"SIM","")</f>
        <v/>
      </c>
      <c r="U353" s="92">
        <f>IF(AND(ISNUMBER(SEARCH("Espeto",N353)),ISNUMBER(SEARCH("Mariana",N353))),"SIM","")</f>
        <v/>
      </c>
      <c r="V353" s="92">
        <f>IF(AND(ISNUMBER(SEARCH("Espeto",N353)),ISNUMBER(SEARCH("Perdizes",N353))),"SIM","")</f>
        <v/>
      </c>
      <c r="W353" s="92">
        <f>IF(AND(ISNUMBER(SEARCH("Espeto",N353)),ISNUMBER(SEARCH("Santana",N353))),"SIM","")</f>
        <v/>
      </c>
      <c r="X353" s="92">
        <f>IF(AND(ISNUMBER(SEARCH("Espeto",N353)),ISNUMBER(SEARCH("André",N353))),"SIM","")</f>
        <v/>
      </c>
      <c r="Y353" s="92">
        <f>IF(AND(ISNUMBER(SEARCH("Delivery",N353)),ISNUMBER(SEARCH("Carin",N353))),"SIM","")</f>
        <v/>
      </c>
      <c r="Z353" s="92">
        <f>IF(AND(ISNUMBER(SEARCH("Delivery",N353)),ISNUMBER(SEARCH("Lapa",N353))),"SIM","")</f>
        <v/>
      </c>
      <c r="AA353" s="92">
        <f>IF(AND(ISNUMBER(SEARCH("Delivery",N353)),ISNUMBER(SEARCH("Tatuapé",N353))),"SIM","")</f>
        <v/>
      </c>
      <c r="AB353" s="92">
        <f>IF(AND(ISNUMBER(SEARCH("Delivery",N353)),ISNUMBER(SEARCH("Pavão",N353))),"SIM","")</f>
        <v/>
      </c>
      <c r="AC353" s="92">
        <f>IF(AND(ISNUMBER(SEARCH("Delivery",N353)),ISNUMBER(SEARCH("Chac",N353))),"SIM","")</f>
        <v/>
      </c>
      <c r="AD353" s="92">
        <f>IF(AND(ISNUMBER(SEARCH("Delivery",N353)),ISNUMBER(SEARCH("Madalena",N353))),"SIM","")</f>
        <v/>
      </c>
      <c r="AE353" s="92">
        <f>IF(AND(ISNUMBER(SEARCH("Delivery",N353)),ISNUMBER(SEARCH("Mariana",N353))),"SIM","")</f>
        <v/>
      </c>
      <c r="AF353" s="92">
        <f>IF(AND(ISNUMBER(SEARCH("Delivery",N353)),ISNUMBER(SEARCH("Perdizes",N353))),"SIM","")</f>
        <v/>
      </c>
      <c r="AG353" s="92">
        <f>IF(AND(ISNUMBER(SEARCH("Delivery",N353)),ISNUMBER(SEARCH("Santana",N353))),"SIM","")</f>
        <v/>
      </c>
      <c r="AH353" s="92">
        <f>IF(AND(ISNUMBER(SEARCH("Delivery",N353)),ISNUMBER(SEARCH("André",N353))),"SIM","")</f>
        <v/>
      </c>
      <c r="AI353" s="92">
        <f>IF(ISNUMBER(SEARCH("Interlagos",N353)),"SIM","")</f>
        <v/>
      </c>
      <c r="AJ353" s="92">
        <f>IF(ISNUMBER(SEARCH("Quiosque",N353)),"SIM","")</f>
        <v/>
      </c>
      <c r="AK353" s="93" t="n"/>
    </row>
    <row r="354">
      <c r="A354" s="88" t="inlineStr">
        <is>
          <t>Protheus</t>
        </is>
      </c>
      <c r="B354" s="96" t="inlineStr">
        <is>
          <t>002209</t>
        </is>
      </c>
      <c r="C354" s="97">
        <f>IF(B354="—","—",IFERROR(VLOOKUP(B354,_Protheus_Cadastro!$A:$B,2,FALSE),"—"))</f>
        <v/>
      </c>
      <c r="D354" s="98">
        <f>IF(B354="—",IFERROR(INDEX(_ZIG_Cadastro!$D:$D,MATCH(H354,_ZIG_Cadastro!$A:$A,0)),"Produto"),IFERROR(VLOOKUP(B354,_Protheus_Cadastro!$A:$C,3,FALSE),"—"))</f>
        <v/>
      </c>
      <c r="E354" s="98">
        <f>IF(B354="—","—",IFERROR(VLOOKUP(B354,_Protheus_Cadastro!$A:$D,4,FALSE),"—"))</f>
        <v/>
      </c>
      <c r="F354" s="98">
        <f>IF(ISERROR(VLOOKUP(B354,'Estrutura Protheus'!A:A,1,FALSE)),"Não","Sim")</f>
        <v/>
      </c>
      <c r="G354" s="99">
        <f>IFERROR(INDEX(_Protheus_Cadastro!$H:$H,MATCH(B354,_Protheus_Cadastro!$A:$A,0)),"—")</f>
        <v/>
      </c>
      <c r="H354" s="211">
        <f>IFERROR(INDEX(_ZIG_Precos!$D:$D,MATCH(I354,_ZIG_Precos!$F:$F,0)),"—")</f>
        <v/>
      </c>
      <c r="I354" s="103">
        <f>IFERROR(VLOOKUP(B354,_Protheus_Cadastro!$A:$I,9,FALSE),"—")</f>
        <v/>
      </c>
      <c r="J354" s="101">
        <f>IFERROR(INDEX(_ZIG_Cadastro!$B:$B,MATCH(I354,_ZIG_Cadastro!$A:$A,0)),IFERROR(INDEX(_Entradas_ZIG!$B:$B,MATCH(I354,_Entradas_ZIG!$C:$C,0)),"—"))</f>
        <v/>
      </c>
      <c r="K354" s="101">
        <f>IFERROR(INDEX(_ZIG_Cadastro!$C:$C,MATCH(I354,_ZIG_Cadastro!$A:$A,0)),IFERROR(INDEX(_Entradas_ZIG!$D:$D,MATCH(I354,_Entradas_ZIG!$C:$C,0)),"—"))</f>
        <v/>
      </c>
      <c r="L354" s="99">
        <f>IF(I354="","Sem SKU ZIG",IF(I354="—","Sem SKU ZIG",IF(NOT(ISERROR(MATCH(I354,_ZIG_Cadastro!$A:$A,0))),IF(EXACT(UPPER(TRIM(C354)),UPPER(TRIM(INDEX(_ZIG_Cadastro!$B:$B,MATCH(I354,_ZIG_Cadastro!$A:$A,0))))),"OK","Atencao - Nome diverge"),IF(NOT(ISERROR(MATCH(I354,_Entradas_ZIG!$C:$C,0))),"OK","Erro - SKU nao encontrado"))))</f>
        <v/>
      </c>
      <c r="M354" s="99">
        <f>IFERROR(INDEX(_ZIG_Cadastro!$G:$G,MATCH(I354,_ZIG_Cadastro!$A:$A,0)),IF(NOT(ISERROR(MATCH(I354,_Entradas_ZIG!$C:$C,0))),"Ativo","—"))</f>
        <v/>
      </c>
      <c r="N354" s="102">
        <f>IFERROR(INDEX(_ZIG_Cadastro!$E:$E,MATCH(I354,_ZIG_Cadastro!$A:$A,0)),IFERROR(INDEX(_Entradas_ZIG!$F:$F,MATCH(I354,_Entradas_ZIG!$C:$C,0)),"—"))</f>
        <v/>
      </c>
      <c r="O354" s="99">
        <f>IF(AND(ISNUMBER(SEARCH("Espeto",N354)),ISNUMBER(SEARCH("Carin",N354))),"SIM","")</f>
        <v/>
      </c>
      <c r="P354" s="99">
        <f>IF(AND(ISNUMBER(SEARCH("Espeto",N354)),ISNUMBER(SEARCH("Lapa",N354))),"SIM","")</f>
        <v/>
      </c>
      <c r="Q354" s="99">
        <f>IF(AND(ISNUMBER(SEARCH("Espeto",N354)),ISNUMBER(SEARCH("Tatuapé",N354))),"SIM","")</f>
        <v/>
      </c>
      <c r="R354" s="99">
        <f>IF(AND(ISNUMBER(SEARCH("Espeto",N354)),ISNUMBER(SEARCH("Pavão",N354))),"SIM","")</f>
        <v/>
      </c>
      <c r="S354" s="99">
        <f>IF(AND(ISNUMBER(SEARCH("Espeto",N354)),ISNUMBER(SEARCH("Chac",N354))),"SIM","")</f>
        <v/>
      </c>
      <c r="T354" s="99">
        <f>IF(AND(ISNUMBER(SEARCH("Espeto",N354)),ISNUMBER(SEARCH("Madalena",N354))),"SIM","")</f>
        <v/>
      </c>
      <c r="U354" s="99">
        <f>IF(AND(ISNUMBER(SEARCH("Espeto",N354)),ISNUMBER(SEARCH("Mariana",N354))),"SIM","")</f>
        <v/>
      </c>
      <c r="V354" s="99">
        <f>IF(AND(ISNUMBER(SEARCH("Espeto",N354)),ISNUMBER(SEARCH("Perdizes",N354))),"SIM","")</f>
        <v/>
      </c>
      <c r="W354" s="99">
        <f>IF(AND(ISNUMBER(SEARCH("Espeto",N354)),ISNUMBER(SEARCH("Santana",N354))),"SIM","")</f>
        <v/>
      </c>
      <c r="X354" s="99">
        <f>IF(AND(ISNUMBER(SEARCH("Espeto",N354)),ISNUMBER(SEARCH("André",N354))),"SIM","")</f>
        <v/>
      </c>
      <c r="Y354" s="99">
        <f>IF(AND(ISNUMBER(SEARCH("Delivery",N354)),ISNUMBER(SEARCH("Carin",N354))),"SIM","")</f>
        <v/>
      </c>
      <c r="Z354" s="99">
        <f>IF(AND(ISNUMBER(SEARCH("Delivery",N354)),ISNUMBER(SEARCH("Lapa",N354))),"SIM","")</f>
        <v/>
      </c>
      <c r="AA354" s="99">
        <f>IF(AND(ISNUMBER(SEARCH("Delivery",N354)),ISNUMBER(SEARCH("Tatuapé",N354))),"SIM","")</f>
        <v/>
      </c>
      <c r="AB354" s="99">
        <f>IF(AND(ISNUMBER(SEARCH("Delivery",N354)),ISNUMBER(SEARCH("Pavão",N354))),"SIM","")</f>
        <v/>
      </c>
      <c r="AC354" s="99">
        <f>IF(AND(ISNUMBER(SEARCH("Delivery",N354)),ISNUMBER(SEARCH("Chac",N354))),"SIM","")</f>
        <v/>
      </c>
      <c r="AD354" s="99">
        <f>IF(AND(ISNUMBER(SEARCH("Delivery",N354)),ISNUMBER(SEARCH("Madalena",N354))),"SIM","")</f>
        <v/>
      </c>
      <c r="AE354" s="99">
        <f>IF(AND(ISNUMBER(SEARCH("Delivery",N354)),ISNUMBER(SEARCH("Mariana",N354))),"SIM","")</f>
        <v/>
      </c>
      <c r="AF354" s="99">
        <f>IF(AND(ISNUMBER(SEARCH("Delivery",N354)),ISNUMBER(SEARCH("Perdizes",N354))),"SIM","")</f>
        <v/>
      </c>
      <c r="AG354" s="99">
        <f>IF(AND(ISNUMBER(SEARCH("Delivery",N354)),ISNUMBER(SEARCH("Santana",N354))),"SIM","")</f>
        <v/>
      </c>
      <c r="AH354" s="99">
        <f>IF(AND(ISNUMBER(SEARCH("Delivery",N354)),ISNUMBER(SEARCH("André",N354))),"SIM","")</f>
        <v/>
      </c>
      <c r="AI354" s="99">
        <f>IF(ISNUMBER(SEARCH("Interlagos",N354)),"SIM","")</f>
        <v/>
      </c>
      <c r="AJ354" s="99">
        <f>IF(ISNUMBER(SEARCH("Quiosque",N354)),"SIM","")</f>
        <v/>
      </c>
      <c r="AK354" s="101" t="n"/>
    </row>
    <row r="355">
      <c r="A355" s="88" t="inlineStr">
        <is>
          <t>Protheus</t>
        </is>
      </c>
      <c r="B355" s="89" t="inlineStr">
        <is>
          <t>000866</t>
        </is>
      </c>
      <c r="C355" s="90">
        <f>IF(B355="—","—",IFERROR(VLOOKUP(B355,_Protheus_Cadastro!$A:$B,2,FALSE),"—"))</f>
        <v/>
      </c>
      <c r="D355" s="91">
        <f>IF(B355="—",IFERROR(INDEX(_ZIG_Cadastro!$D:$D,MATCH(H355,_ZIG_Cadastro!$A:$A,0)),"Produto"),IFERROR(VLOOKUP(B355,_Protheus_Cadastro!$A:$C,3,FALSE),"—"))</f>
        <v/>
      </c>
      <c r="E355" s="91">
        <f>IF(B355="—","—",IFERROR(VLOOKUP(B355,_Protheus_Cadastro!$A:$D,4,FALSE),"—"))</f>
        <v/>
      </c>
      <c r="F355" s="91">
        <f>IF(ISERROR(VLOOKUP(B355,'Estrutura Protheus'!A:A,1,FALSE)),"Não","Sim")</f>
        <v/>
      </c>
      <c r="G355" s="92">
        <f>IFERROR(INDEX(_Protheus_Cadastro!$H:$H,MATCH(B355,_Protheus_Cadastro!$A:$A,0)),"—")</f>
        <v/>
      </c>
      <c r="H355" s="210">
        <f>IFERROR(INDEX(_ZIG_Precos!$D:$D,MATCH(I355,_ZIG_Precos!$F:$F,0)),"—")</f>
        <v/>
      </c>
      <c r="I355" s="95">
        <f>IFERROR(VLOOKUP(B355,_Protheus_Cadastro!$A:$I,9,FALSE),"—")</f>
        <v/>
      </c>
      <c r="J355" s="93">
        <f>IFERROR(INDEX(_ZIG_Cadastro!$B:$B,MATCH(I355,_ZIG_Cadastro!$A:$A,0)),IFERROR(INDEX(_Entradas_ZIG!$B:$B,MATCH(I355,_Entradas_ZIG!$C:$C,0)),"—"))</f>
        <v/>
      </c>
      <c r="K355" s="93">
        <f>IFERROR(INDEX(_ZIG_Cadastro!$C:$C,MATCH(I355,_ZIG_Cadastro!$A:$A,0)),IFERROR(INDEX(_Entradas_ZIG!$D:$D,MATCH(I355,_Entradas_ZIG!$C:$C,0)),"—"))</f>
        <v/>
      </c>
      <c r="L355" s="92">
        <f>IF(I355="","Sem SKU ZIG",IF(I355="—","Sem SKU ZIG",IF(NOT(ISERROR(MATCH(I355,_ZIG_Cadastro!$A:$A,0))),IF(EXACT(UPPER(TRIM(C355)),UPPER(TRIM(INDEX(_ZIG_Cadastro!$B:$B,MATCH(I355,_ZIG_Cadastro!$A:$A,0))))),"OK","Atencao - Nome diverge"),IF(NOT(ISERROR(MATCH(I355,_Entradas_ZIG!$C:$C,0))),"OK","Erro - SKU nao encontrado"))))</f>
        <v/>
      </c>
      <c r="M355" s="92">
        <f>IFERROR(INDEX(_ZIG_Cadastro!$G:$G,MATCH(I355,_ZIG_Cadastro!$A:$A,0)),IF(NOT(ISERROR(MATCH(I355,_Entradas_ZIG!$C:$C,0))),"Ativo","—"))</f>
        <v/>
      </c>
      <c r="N355" s="94">
        <f>IFERROR(INDEX(_ZIG_Cadastro!$E:$E,MATCH(I355,_ZIG_Cadastro!$A:$A,0)),IFERROR(INDEX(_Entradas_ZIG!$F:$F,MATCH(I355,_Entradas_ZIG!$C:$C,0)),"—"))</f>
        <v/>
      </c>
      <c r="O355" s="92">
        <f>IF(AND(ISNUMBER(SEARCH("Espeto",N355)),ISNUMBER(SEARCH("Carin",N355))),"SIM","")</f>
        <v/>
      </c>
      <c r="P355" s="92">
        <f>IF(AND(ISNUMBER(SEARCH("Espeto",N355)),ISNUMBER(SEARCH("Lapa",N355))),"SIM","")</f>
        <v/>
      </c>
      <c r="Q355" s="92">
        <f>IF(AND(ISNUMBER(SEARCH("Espeto",N355)),ISNUMBER(SEARCH("Tatuapé",N355))),"SIM","")</f>
        <v/>
      </c>
      <c r="R355" s="92">
        <f>IF(AND(ISNUMBER(SEARCH("Espeto",N355)),ISNUMBER(SEARCH("Pavão",N355))),"SIM","")</f>
        <v/>
      </c>
      <c r="S355" s="92">
        <f>IF(AND(ISNUMBER(SEARCH("Espeto",N355)),ISNUMBER(SEARCH("Chac",N355))),"SIM","")</f>
        <v/>
      </c>
      <c r="T355" s="92">
        <f>IF(AND(ISNUMBER(SEARCH("Espeto",N355)),ISNUMBER(SEARCH("Madalena",N355))),"SIM","")</f>
        <v/>
      </c>
      <c r="U355" s="92">
        <f>IF(AND(ISNUMBER(SEARCH("Espeto",N355)),ISNUMBER(SEARCH("Mariana",N355))),"SIM","")</f>
        <v/>
      </c>
      <c r="V355" s="92">
        <f>IF(AND(ISNUMBER(SEARCH("Espeto",N355)),ISNUMBER(SEARCH("Perdizes",N355))),"SIM","")</f>
        <v/>
      </c>
      <c r="W355" s="92">
        <f>IF(AND(ISNUMBER(SEARCH("Espeto",N355)),ISNUMBER(SEARCH("Santana",N355))),"SIM","")</f>
        <v/>
      </c>
      <c r="X355" s="92">
        <f>IF(AND(ISNUMBER(SEARCH("Espeto",N355)),ISNUMBER(SEARCH("André",N355))),"SIM","")</f>
        <v/>
      </c>
      <c r="Y355" s="92">
        <f>IF(AND(ISNUMBER(SEARCH("Delivery",N355)),ISNUMBER(SEARCH("Carin",N355))),"SIM","")</f>
        <v/>
      </c>
      <c r="Z355" s="92">
        <f>IF(AND(ISNUMBER(SEARCH("Delivery",N355)),ISNUMBER(SEARCH("Lapa",N355))),"SIM","")</f>
        <v/>
      </c>
      <c r="AA355" s="92">
        <f>IF(AND(ISNUMBER(SEARCH("Delivery",N355)),ISNUMBER(SEARCH("Tatuapé",N355))),"SIM","")</f>
        <v/>
      </c>
      <c r="AB355" s="92">
        <f>IF(AND(ISNUMBER(SEARCH("Delivery",N355)),ISNUMBER(SEARCH("Pavão",N355))),"SIM","")</f>
        <v/>
      </c>
      <c r="AC355" s="92">
        <f>IF(AND(ISNUMBER(SEARCH("Delivery",N355)),ISNUMBER(SEARCH("Chac",N355))),"SIM","")</f>
        <v/>
      </c>
      <c r="AD355" s="92">
        <f>IF(AND(ISNUMBER(SEARCH("Delivery",N355)),ISNUMBER(SEARCH("Madalena",N355))),"SIM","")</f>
        <v/>
      </c>
      <c r="AE355" s="92">
        <f>IF(AND(ISNUMBER(SEARCH("Delivery",N355)),ISNUMBER(SEARCH("Mariana",N355))),"SIM","")</f>
        <v/>
      </c>
      <c r="AF355" s="92">
        <f>IF(AND(ISNUMBER(SEARCH("Delivery",N355)),ISNUMBER(SEARCH("Perdizes",N355))),"SIM","")</f>
        <v/>
      </c>
      <c r="AG355" s="92">
        <f>IF(AND(ISNUMBER(SEARCH("Delivery",N355)),ISNUMBER(SEARCH("Santana",N355))),"SIM","")</f>
        <v/>
      </c>
      <c r="AH355" s="92">
        <f>IF(AND(ISNUMBER(SEARCH("Delivery",N355)),ISNUMBER(SEARCH("André",N355))),"SIM","")</f>
        <v/>
      </c>
      <c r="AI355" s="92">
        <f>IF(ISNUMBER(SEARCH("Interlagos",N355)),"SIM","")</f>
        <v/>
      </c>
      <c r="AJ355" s="92">
        <f>IF(ISNUMBER(SEARCH("Quiosque",N355)),"SIM","")</f>
        <v/>
      </c>
      <c r="AK355" s="93" t="n"/>
    </row>
    <row r="356">
      <c r="A356" s="88" t="inlineStr">
        <is>
          <t>Protheus</t>
        </is>
      </c>
      <c r="B356" s="96" t="inlineStr">
        <is>
          <t>000773</t>
        </is>
      </c>
      <c r="C356" s="97">
        <f>IF(B356="—","—",IFERROR(VLOOKUP(B356,_Protheus_Cadastro!$A:$B,2,FALSE),"—"))</f>
        <v/>
      </c>
      <c r="D356" s="98">
        <f>IF(B356="—",IFERROR(INDEX(_ZIG_Cadastro!$D:$D,MATCH(H356,_ZIG_Cadastro!$A:$A,0)),"Produto"),IFERROR(VLOOKUP(B356,_Protheus_Cadastro!$A:$C,3,FALSE),"—"))</f>
        <v/>
      </c>
      <c r="E356" s="98">
        <f>IF(B356="—","—",IFERROR(VLOOKUP(B356,_Protheus_Cadastro!$A:$D,4,FALSE),"—"))</f>
        <v/>
      </c>
      <c r="F356" s="98">
        <f>IF(ISERROR(VLOOKUP(B356,'Estrutura Protheus'!A:A,1,FALSE)),"Não","Sim")</f>
        <v/>
      </c>
      <c r="G356" s="99">
        <f>IFERROR(INDEX(_Protheus_Cadastro!$H:$H,MATCH(B356,_Protheus_Cadastro!$A:$A,0)),"—")</f>
        <v/>
      </c>
      <c r="H356" s="211">
        <f>IFERROR(INDEX(_ZIG_Precos!$D:$D,MATCH(I356,_ZIG_Precos!$F:$F,0)),"—")</f>
        <v/>
      </c>
      <c r="I356" s="103">
        <f>IFERROR(VLOOKUP(B356,_Protheus_Cadastro!$A:$I,9,FALSE),"—")</f>
        <v/>
      </c>
      <c r="J356" s="101">
        <f>IFERROR(INDEX(_ZIG_Cadastro!$B:$B,MATCH(I356,_ZIG_Cadastro!$A:$A,0)),IFERROR(INDEX(_Entradas_ZIG!$B:$B,MATCH(I356,_Entradas_ZIG!$C:$C,0)),"—"))</f>
        <v/>
      </c>
      <c r="K356" s="101">
        <f>IFERROR(INDEX(_ZIG_Cadastro!$C:$C,MATCH(I356,_ZIG_Cadastro!$A:$A,0)),IFERROR(INDEX(_Entradas_ZIG!$D:$D,MATCH(I356,_Entradas_ZIG!$C:$C,0)),"—"))</f>
        <v/>
      </c>
      <c r="L356" s="99">
        <f>IF(I356="","Sem SKU ZIG",IF(I356="—","Sem SKU ZIG",IF(NOT(ISERROR(MATCH(I356,_ZIG_Cadastro!$A:$A,0))),IF(EXACT(UPPER(TRIM(C356)),UPPER(TRIM(INDEX(_ZIG_Cadastro!$B:$B,MATCH(I356,_ZIG_Cadastro!$A:$A,0))))),"OK","Atencao - Nome diverge"),IF(NOT(ISERROR(MATCH(I356,_Entradas_ZIG!$C:$C,0))),"OK","Erro - SKU nao encontrado"))))</f>
        <v/>
      </c>
      <c r="M356" s="99">
        <f>IFERROR(INDEX(_ZIG_Cadastro!$G:$G,MATCH(I356,_ZIG_Cadastro!$A:$A,0)),IF(NOT(ISERROR(MATCH(I356,_Entradas_ZIG!$C:$C,0))),"Ativo","—"))</f>
        <v/>
      </c>
      <c r="N356" s="102">
        <f>IFERROR(INDEX(_ZIG_Cadastro!$E:$E,MATCH(I356,_ZIG_Cadastro!$A:$A,0)),IFERROR(INDEX(_Entradas_ZIG!$F:$F,MATCH(I356,_Entradas_ZIG!$C:$C,0)),"—"))</f>
        <v/>
      </c>
      <c r="O356" s="99">
        <f>IF(AND(ISNUMBER(SEARCH("Espeto",N356)),ISNUMBER(SEARCH("Carin",N356))),"SIM","")</f>
        <v/>
      </c>
      <c r="P356" s="99">
        <f>IF(AND(ISNUMBER(SEARCH("Espeto",N356)),ISNUMBER(SEARCH("Lapa",N356))),"SIM","")</f>
        <v/>
      </c>
      <c r="Q356" s="99">
        <f>IF(AND(ISNUMBER(SEARCH("Espeto",N356)),ISNUMBER(SEARCH("Tatuapé",N356))),"SIM","")</f>
        <v/>
      </c>
      <c r="R356" s="99">
        <f>IF(AND(ISNUMBER(SEARCH("Espeto",N356)),ISNUMBER(SEARCH("Pavão",N356))),"SIM","")</f>
        <v/>
      </c>
      <c r="S356" s="99">
        <f>IF(AND(ISNUMBER(SEARCH("Espeto",N356)),ISNUMBER(SEARCH("Chac",N356))),"SIM","")</f>
        <v/>
      </c>
      <c r="T356" s="99">
        <f>IF(AND(ISNUMBER(SEARCH("Espeto",N356)),ISNUMBER(SEARCH("Madalena",N356))),"SIM","")</f>
        <v/>
      </c>
      <c r="U356" s="99">
        <f>IF(AND(ISNUMBER(SEARCH("Espeto",N356)),ISNUMBER(SEARCH("Mariana",N356))),"SIM","")</f>
        <v/>
      </c>
      <c r="V356" s="99">
        <f>IF(AND(ISNUMBER(SEARCH("Espeto",N356)),ISNUMBER(SEARCH("Perdizes",N356))),"SIM","")</f>
        <v/>
      </c>
      <c r="W356" s="99">
        <f>IF(AND(ISNUMBER(SEARCH("Espeto",N356)),ISNUMBER(SEARCH("Santana",N356))),"SIM","")</f>
        <v/>
      </c>
      <c r="X356" s="99">
        <f>IF(AND(ISNUMBER(SEARCH("Espeto",N356)),ISNUMBER(SEARCH("André",N356))),"SIM","")</f>
        <v/>
      </c>
      <c r="Y356" s="99">
        <f>IF(AND(ISNUMBER(SEARCH("Delivery",N356)),ISNUMBER(SEARCH("Carin",N356))),"SIM","")</f>
        <v/>
      </c>
      <c r="Z356" s="99">
        <f>IF(AND(ISNUMBER(SEARCH("Delivery",N356)),ISNUMBER(SEARCH("Lapa",N356))),"SIM","")</f>
        <v/>
      </c>
      <c r="AA356" s="99">
        <f>IF(AND(ISNUMBER(SEARCH("Delivery",N356)),ISNUMBER(SEARCH("Tatuapé",N356))),"SIM","")</f>
        <v/>
      </c>
      <c r="AB356" s="99">
        <f>IF(AND(ISNUMBER(SEARCH("Delivery",N356)),ISNUMBER(SEARCH("Pavão",N356))),"SIM","")</f>
        <v/>
      </c>
      <c r="AC356" s="99">
        <f>IF(AND(ISNUMBER(SEARCH("Delivery",N356)),ISNUMBER(SEARCH("Chac",N356))),"SIM","")</f>
        <v/>
      </c>
      <c r="AD356" s="99">
        <f>IF(AND(ISNUMBER(SEARCH("Delivery",N356)),ISNUMBER(SEARCH("Madalena",N356))),"SIM","")</f>
        <v/>
      </c>
      <c r="AE356" s="99">
        <f>IF(AND(ISNUMBER(SEARCH("Delivery",N356)),ISNUMBER(SEARCH("Mariana",N356))),"SIM","")</f>
        <v/>
      </c>
      <c r="AF356" s="99">
        <f>IF(AND(ISNUMBER(SEARCH("Delivery",N356)),ISNUMBER(SEARCH("Perdizes",N356))),"SIM","")</f>
        <v/>
      </c>
      <c r="AG356" s="99">
        <f>IF(AND(ISNUMBER(SEARCH("Delivery",N356)),ISNUMBER(SEARCH("Santana",N356))),"SIM","")</f>
        <v/>
      </c>
      <c r="AH356" s="99">
        <f>IF(AND(ISNUMBER(SEARCH("Delivery",N356)),ISNUMBER(SEARCH("André",N356))),"SIM","")</f>
        <v/>
      </c>
      <c r="AI356" s="99">
        <f>IF(ISNUMBER(SEARCH("Interlagos",N356)),"SIM","")</f>
        <v/>
      </c>
      <c r="AJ356" s="99">
        <f>IF(ISNUMBER(SEARCH("Quiosque",N356)),"SIM","")</f>
        <v/>
      </c>
      <c r="AK356" s="101" t="n"/>
    </row>
    <row r="357">
      <c r="A357" s="88" t="inlineStr">
        <is>
          <t>Protheus</t>
        </is>
      </c>
      <c r="B357" s="89" t="inlineStr">
        <is>
          <t>000012</t>
        </is>
      </c>
      <c r="C357" s="90">
        <f>IF(B357="—","—",IFERROR(VLOOKUP(B357,_Protheus_Cadastro!$A:$B,2,FALSE),"—"))</f>
        <v/>
      </c>
      <c r="D357" s="91">
        <f>IF(B357="—",IFERROR(INDEX(_ZIG_Cadastro!$D:$D,MATCH(H357,_ZIG_Cadastro!$A:$A,0)),"Produto"),IFERROR(VLOOKUP(B357,_Protheus_Cadastro!$A:$C,3,FALSE),"—"))</f>
        <v/>
      </c>
      <c r="E357" s="91">
        <f>IF(B357="—","—",IFERROR(VLOOKUP(B357,_Protheus_Cadastro!$A:$D,4,FALSE),"—"))</f>
        <v/>
      </c>
      <c r="F357" s="91">
        <f>IF(ISERROR(VLOOKUP(B357,'Estrutura Protheus'!A:A,1,FALSE)),"Não","Sim")</f>
        <v/>
      </c>
      <c r="G357" s="92">
        <f>IFERROR(INDEX(_Protheus_Cadastro!$H:$H,MATCH(B357,_Protheus_Cadastro!$A:$A,0)),"—")</f>
        <v/>
      </c>
      <c r="H357" s="210">
        <f>IFERROR(INDEX(_ZIG_Precos!$D:$D,MATCH(I357,_ZIG_Precos!$F:$F,0)),"—")</f>
        <v/>
      </c>
      <c r="I357" s="95">
        <f>IFERROR(VLOOKUP(B357,_Protheus_Cadastro!$A:$I,9,FALSE),"—")</f>
        <v/>
      </c>
      <c r="J357" s="93">
        <f>IFERROR(INDEX(_ZIG_Cadastro!$B:$B,MATCH(I357,_ZIG_Cadastro!$A:$A,0)),IFERROR(INDEX(_Entradas_ZIG!$B:$B,MATCH(I357,_Entradas_ZIG!$C:$C,0)),"—"))</f>
        <v/>
      </c>
      <c r="K357" s="93">
        <f>IFERROR(INDEX(_ZIG_Cadastro!$C:$C,MATCH(I357,_ZIG_Cadastro!$A:$A,0)),IFERROR(INDEX(_Entradas_ZIG!$D:$D,MATCH(I357,_Entradas_ZIG!$C:$C,0)),"—"))</f>
        <v/>
      </c>
      <c r="L357" s="92">
        <f>IF(I357="","Sem SKU ZIG",IF(I357="—","Sem SKU ZIG",IF(NOT(ISERROR(MATCH(I357,_ZIG_Cadastro!$A:$A,0))),IF(EXACT(UPPER(TRIM(C357)),UPPER(TRIM(INDEX(_ZIG_Cadastro!$B:$B,MATCH(I357,_ZIG_Cadastro!$A:$A,0))))),"OK","Atencao - Nome diverge"),IF(NOT(ISERROR(MATCH(I357,_Entradas_ZIG!$C:$C,0))),"OK","Erro - SKU nao encontrado"))))</f>
        <v/>
      </c>
      <c r="M357" s="92">
        <f>IFERROR(INDEX(_ZIG_Cadastro!$G:$G,MATCH(I357,_ZIG_Cadastro!$A:$A,0)),IF(NOT(ISERROR(MATCH(I357,_Entradas_ZIG!$C:$C,0))),"Ativo","—"))</f>
        <v/>
      </c>
      <c r="N357" s="94">
        <f>IFERROR(INDEX(_ZIG_Cadastro!$E:$E,MATCH(I357,_ZIG_Cadastro!$A:$A,0)),IFERROR(INDEX(_Entradas_ZIG!$F:$F,MATCH(I357,_Entradas_ZIG!$C:$C,0)),"—"))</f>
        <v/>
      </c>
      <c r="O357" s="92">
        <f>IF(AND(ISNUMBER(SEARCH("Espeto",N357)),ISNUMBER(SEARCH("Carin",N357))),"SIM","")</f>
        <v/>
      </c>
      <c r="P357" s="92">
        <f>IF(AND(ISNUMBER(SEARCH("Espeto",N357)),ISNUMBER(SEARCH("Lapa",N357))),"SIM","")</f>
        <v/>
      </c>
      <c r="Q357" s="92">
        <f>IF(AND(ISNUMBER(SEARCH("Espeto",N357)),ISNUMBER(SEARCH("Tatuapé",N357))),"SIM","")</f>
        <v/>
      </c>
      <c r="R357" s="92">
        <f>IF(AND(ISNUMBER(SEARCH("Espeto",N357)),ISNUMBER(SEARCH("Pavão",N357))),"SIM","")</f>
        <v/>
      </c>
      <c r="S357" s="92">
        <f>IF(AND(ISNUMBER(SEARCH("Espeto",N357)),ISNUMBER(SEARCH("Chac",N357))),"SIM","")</f>
        <v/>
      </c>
      <c r="T357" s="92">
        <f>IF(AND(ISNUMBER(SEARCH("Espeto",N357)),ISNUMBER(SEARCH("Madalena",N357))),"SIM","")</f>
        <v/>
      </c>
      <c r="U357" s="92">
        <f>IF(AND(ISNUMBER(SEARCH("Espeto",N357)),ISNUMBER(SEARCH("Mariana",N357))),"SIM","")</f>
        <v/>
      </c>
      <c r="V357" s="92">
        <f>IF(AND(ISNUMBER(SEARCH("Espeto",N357)),ISNUMBER(SEARCH("Perdizes",N357))),"SIM","")</f>
        <v/>
      </c>
      <c r="W357" s="92">
        <f>IF(AND(ISNUMBER(SEARCH("Espeto",N357)),ISNUMBER(SEARCH("Santana",N357))),"SIM","")</f>
        <v/>
      </c>
      <c r="X357" s="92">
        <f>IF(AND(ISNUMBER(SEARCH("Espeto",N357)),ISNUMBER(SEARCH("André",N357))),"SIM","")</f>
        <v/>
      </c>
      <c r="Y357" s="92">
        <f>IF(AND(ISNUMBER(SEARCH("Delivery",N357)),ISNUMBER(SEARCH("Carin",N357))),"SIM","")</f>
        <v/>
      </c>
      <c r="Z357" s="92">
        <f>IF(AND(ISNUMBER(SEARCH("Delivery",N357)),ISNUMBER(SEARCH("Lapa",N357))),"SIM","")</f>
        <v/>
      </c>
      <c r="AA357" s="92">
        <f>IF(AND(ISNUMBER(SEARCH("Delivery",N357)),ISNUMBER(SEARCH("Tatuapé",N357))),"SIM","")</f>
        <v/>
      </c>
      <c r="AB357" s="92">
        <f>IF(AND(ISNUMBER(SEARCH("Delivery",N357)),ISNUMBER(SEARCH("Pavão",N357))),"SIM","")</f>
        <v/>
      </c>
      <c r="AC357" s="92">
        <f>IF(AND(ISNUMBER(SEARCH("Delivery",N357)),ISNUMBER(SEARCH("Chac",N357))),"SIM","")</f>
        <v/>
      </c>
      <c r="AD357" s="92">
        <f>IF(AND(ISNUMBER(SEARCH("Delivery",N357)),ISNUMBER(SEARCH("Madalena",N357))),"SIM","")</f>
        <v/>
      </c>
      <c r="AE357" s="92">
        <f>IF(AND(ISNUMBER(SEARCH("Delivery",N357)),ISNUMBER(SEARCH("Mariana",N357))),"SIM","")</f>
        <v/>
      </c>
      <c r="AF357" s="92">
        <f>IF(AND(ISNUMBER(SEARCH("Delivery",N357)),ISNUMBER(SEARCH("Perdizes",N357))),"SIM","")</f>
        <v/>
      </c>
      <c r="AG357" s="92">
        <f>IF(AND(ISNUMBER(SEARCH("Delivery",N357)),ISNUMBER(SEARCH("Santana",N357))),"SIM","")</f>
        <v/>
      </c>
      <c r="AH357" s="92">
        <f>IF(AND(ISNUMBER(SEARCH("Delivery",N357)),ISNUMBER(SEARCH("André",N357))),"SIM","")</f>
        <v/>
      </c>
      <c r="AI357" s="92">
        <f>IF(ISNUMBER(SEARCH("Interlagos",N357)),"SIM","")</f>
        <v/>
      </c>
      <c r="AJ357" s="92">
        <f>IF(ISNUMBER(SEARCH("Quiosque",N357)),"SIM","")</f>
        <v/>
      </c>
      <c r="AK357" s="93" t="n"/>
    </row>
    <row r="358">
      <c r="A358" s="88" t="inlineStr">
        <is>
          <t>Protheus</t>
        </is>
      </c>
      <c r="B358" s="96" t="inlineStr">
        <is>
          <t>001950</t>
        </is>
      </c>
      <c r="C358" s="97">
        <f>IF(B358="—","—",IFERROR(VLOOKUP(B358,_Protheus_Cadastro!$A:$B,2,FALSE),"—"))</f>
        <v/>
      </c>
      <c r="D358" s="98">
        <f>IF(B358="—",IFERROR(INDEX(_ZIG_Cadastro!$D:$D,MATCH(H358,_ZIG_Cadastro!$A:$A,0)),"Produto"),IFERROR(VLOOKUP(B358,_Protheus_Cadastro!$A:$C,3,FALSE),"—"))</f>
        <v/>
      </c>
      <c r="E358" s="98">
        <f>IF(B358="—","—",IFERROR(VLOOKUP(B358,_Protheus_Cadastro!$A:$D,4,FALSE),"—"))</f>
        <v/>
      </c>
      <c r="F358" s="98">
        <f>IF(ISERROR(VLOOKUP(B358,'Estrutura Protheus'!A:A,1,FALSE)),"Não","Sim")</f>
        <v/>
      </c>
      <c r="G358" s="99">
        <f>IFERROR(INDEX(_Protheus_Cadastro!$H:$H,MATCH(B358,_Protheus_Cadastro!$A:$A,0)),"—")</f>
        <v/>
      </c>
      <c r="H358" s="211">
        <f>IFERROR(INDEX(_ZIG_Precos!$D:$D,MATCH(I358,_ZIG_Precos!$F:$F,0)),"—")</f>
        <v/>
      </c>
      <c r="I358" s="103">
        <f>IFERROR(VLOOKUP(B358,_Protheus_Cadastro!$A:$I,9,FALSE),"—")</f>
        <v/>
      </c>
      <c r="J358" s="101">
        <f>IFERROR(INDEX(_ZIG_Cadastro!$B:$B,MATCH(I358,_ZIG_Cadastro!$A:$A,0)),IFERROR(INDEX(_Entradas_ZIG!$B:$B,MATCH(I358,_Entradas_ZIG!$C:$C,0)),"—"))</f>
        <v/>
      </c>
      <c r="K358" s="101">
        <f>IFERROR(INDEX(_ZIG_Cadastro!$C:$C,MATCH(I358,_ZIG_Cadastro!$A:$A,0)),IFERROR(INDEX(_Entradas_ZIG!$D:$D,MATCH(I358,_Entradas_ZIG!$C:$C,0)),"—"))</f>
        <v/>
      </c>
      <c r="L358" s="99">
        <f>IF(I358="","Sem SKU ZIG",IF(I358="—","Sem SKU ZIG",IF(NOT(ISERROR(MATCH(I358,_ZIG_Cadastro!$A:$A,0))),IF(EXACT(UPPER(TRIM(C358)),UPPER(TRIM(INDEX(_ZIG_Cadastro!$B:$B,MATCH(I358,_ZIG_Cadastro!$A:$A,0))))),"OK","Atencao - Nome diverge"),IF(NOT(ISERROR(MATCH(I358,_Entradas_ZIG!$C:$C,0))),"OK","Erro - SKU nao encontrado"))))</f>
        <v/>
      </c>
      <c r="M358" s="99">
        <f>IFERROR(INDEX(_ZIG_Cadastro!$G:$G,MATCH(I358,_ZIG_Cadastro!$A:$A,0)),IF(NOT(ISERROR(MATCH(I358,_Entradas_ZIG!$C:$C,0))),"Ativo","—"))</f>
        <v/>
      </c>
      <c r="N358" s="102">
        <f>IFERROR(INDEX(_ZIG_Cadastro!$E:$E,MATCH(I358,_ZIG_Cadastro!$A:$A,0)),IFERROR(INDEX(_Entradas_ZIG!$F:$F,MATCH(I358,_Entradas_ZIG!$C:$C,0)),"—"))</f>
        <v/>
      </c>
      <c r="O358" s="99">
        <f>IF(AND(ISNUMBER(SEARCH("Espeto",N358)),ISNUMBER(SEARCH("Carin",N358))),"SIM","")</f>
        <v/>
      </c>
      <c r="P358" s="99">
        <f>IF(AND(ISNUMBER(SEARCH("Espeto",N358)),ISNUMBER(SEARCH("Lapa",N358))),"SIM","")</f>
        <v/>
      </c>
      <c r="Q358" s="99">
        <f>IF(AND(ISNUMBER(SEARCH("Espeto",N358)),ISNUMBER(SEARCH("Tatuapé",N358))),"SIM","")</f>
        <v/>
      </c>
      <c r="R358" s="99">
        <f>IF(AND(ISNUMBER(SEARCH("Espeto",N358)),ISNUMBER(SEARCH("Pavão",N358))),"SIM","")</f>
        <v/>
      </c>
      <c r="S358" s="99">
        <f>IF(AND(ISNUMBER(SEARCH("Espeto",N358)),ISNUMBER(SEARCH("Chac",N358))),"SIM","")</f>
        <v/>
      </c>
      <c r="T358" s="99">
        <f>IF(AND(ISNUMBER(SEARCH("Espeto",N358)),ISNUMBER(SEARCH("Madalena",N358))),"SIM","")</f>
        <v/>
      </c>
      <c r="U358" s="99">
        <f>IF(AND(ISNUMBER(SEARCH("Espeto",N358)),ISNUMBER(SEARCH("Mariana",N358))),"SIM","")</f>
        <v/>
      </c>
      <c r="V358" s="99">
        <f>IF(AND(ISNUMBER(SEARCH("Espeto",N358)),ISNUMBER(SEARCH("Perdizes",N358))),"SIM","")</f>
        <v/>
      </c>
      <c r="W358" s="99">
        <f>IF(AND(ISNUMBER(SEARCH("Espeto",N358)),ISNUMBER(SEARCH("Santana",N358))),"SIM","")</f>
        <v/>
      </c>
      <c r="X358" s="99">
        <f>IF(AND(ISNUMBER(SEARCH("Espeto",N358)),ISNUMBER(SEARCH("André",N358))),"SIM","")</f>
        <v/>
      </c>
      <c r="Y358" s="99">
        <f>IF(AND(ISNUMBER(SEARCH("Delivery",N358)),ISNUMBER(SEARCH("Carin",N358))),"SIM","")</f>
        <v/>
      </c>
      <c r="Z358" s="99">
        <f>IF(AND(ISNUMBER(SEARCH("Delivery",N358)),ISNUMBER(SEARCH("Lapa",N358))),"SIM","")</f>
        <v/>
      </c>
      <c r="AA358" s="99">
        <f>IF(AND(ISNUMBER(SEARCH("Delivery",N358)),ISNUMBER(SEARCH("Tatuapé",N358))),"SIM","")</f>
        <v/>
      </c>
      <c r="AB358" s="99">
        <f>IF(AND(ISNUMBER(SEARCH("Delivery",N358)),ISNUMBER(SEARCH("Pavão",N358))),"SIM","")</f>
        <v/>
      </c>
      <c r="AC358" s="99">
        <f>IF(AND(ISNUMBER(SEARCH("Delivery",N358)),ISNUMBER(SEARCH("Chac",N358))),"SIM","")</f>
        <v/>
      </c>
      <c r="AD358" s="99">
        <f>IF(AND(ISNUMBER(SEARCH("Delivery",N358)),ISNUMBER(SEARCH("Madalena",N358))),"SIM","")</f>
        <v/>
      </c>
      <c r="AE358" s="99">
        <f>IF(AND(ISNUMBER(SEARCH("Delivery",N358)),ISNUMBER(SEARCH("Mariana",N358))),"SIM","")</f>
        <v/>
      </c>
      <c r="AF358" s="99">
        <f>IF(AND(ISNUMBER(SEARCH("Delivery",N358)),ISNUMBER(SEARCH("Perdizes",N358))),"SIM","")</f>
        <v/>
      </c>
      <c r="AG358" s="99">
        <f>IF(AND(ISNUMBER(SEARCH("Delivery",N358)),ISNUMBER(SEARCH("Santana",N358))),"SIM","")</f>
        <v/>
      </c>
      <c r="AH358" s="99">
        <f>IF(AND(ISNUMBER(SEARCH("Delivery",N358)),ISNUMBER(SEARCH("André",N358))),"SIM","")</f>
        <v/>
      </c>
      <c r="AI358" s="99">
        <f>IF(ISNUMBER(SEARCH("Interlagos",N358)),"SIM","")</f>
        <v/>
      </c>
      <c r="AJ358" s="99">
        <f>IF(ISNUMBER(SEARCH("Quiosque",N358)),"SIM","")</f>
        <v/>
      </c>
      <c r="AK358" s="101" t="n"/>
    </row>
    <row r="359">
      <c r="A359" s="88" t="inlineStr">
        <is>
          <t>Protheus</t>
        </is>
      </c>
      <c r="B359" s="89" t="inlineStr">
        <is>
          <t>001951</t>
        </is>
      </c>
      <c r="C359" s="90">
        <f>IF(B359="—","—",IFERROR(VLOOKUP(B359,_Protheus_Cadastro!$A:$B,2,FALSE),"—"))</f>
        <v/>
      </c>
      <c r="D359" s="91">
        <f>IF(B359="—",IFERROR(INDEX(_ZIG_Cadastro!$D:$D,MATCH(H359,_ZIG_Cadastro!$A:$A,0)),"Produto"),IFERROR(VLOOKUP(B359,_Protheus_Cadastro!$A:$C,3,FALSE),"—"))</f>
        <v/>
      </c>
      <c r="E359" s="91">
        <f>IF(B359="—","—",IFERROR(VLOOKUP(B359,_Protheus_Cadastro!$A:$D,4,FALSE),"—"))</f>
        <v/>
      </c>
      <c r="F359" s="91">
        <f>IF(ISERROR(VLOOKUP(B359,'Estrutura Protheus'!A:A,1,FALSE)),"Não","Sim")</f>
        <v/>
      </c>
      <c r="G359" s="92">
        <f>IFERROR(INDEX(_Protheus_Cadastro!$H:$H,MATCH(B359,_Protheus_Cadastro!$A:$A,0)),"—")</f>
        <v/>
      </c>
      <c r="H359" s="210">
        <f>IFERROR(INDEX(_ZIG_Precos!$D:$D,MATCH(I359,_ZIG_Precos!$F:$F,0)),"—")</f>
        <v/>
      </c>
      <c r="I359" s="95">
        <f>IFERROR(VLOOKUP(B359,_Protheus_Cadastro!$A:$I,9,FALSE),"—")</f>
        <v/>
      </c>
      <c r="J359" s="93">
        <f>IFERROR(INDEX(_ZIG_Cadastro!$B:$B,MATCH(I359,_ZIG_Cadastro!$A:$A,0)),IFERROR(INDEX(_Entradas_ZIG!$B:$B,MATCH(I359,_Entradas_ZIG!$C:$C,0)),"—"))</f>
        <v/>
      </c>
      <c r="K359" s="93">
        <f>IFERROR(INDEX(_ZIG_Cadastro!$C:$C,MATCH(I359,_ZIG_Cadastro!$A:$A,0)),IFERROR(INDEX(_Entradas_ZIG!$D:$D,MATCH(I359,_Entradas_ZIG!$C:$C,0)),"—"))</f>
        <v/>
      </c>
      <c r="L359" s="92">
        <f>IF(I359="","Sem SKU ZIG",IF(I359="—","Sem SKU ZIG",IF(NOT(ISERROR(MATCH(I359,_ZIG_Cadastro!$A:$A,0))),IF(EXACT(UPPER(TRIM(C359)),UPPER(TRIM(INDEX(_ZIG_Cadastro!$B:$B,MATCH(I359,_ZIG_Cadastro!$A:$A,0))))),"OK","Atencao - Nome diverge"),IF(NOT(ISERROR(MATCH(I359,_Entradas_ZIG!$C:$C,0))),"OK","Erro - SKU nao encontrado"))))</f>
        <v/>
      </c>
      <c r="M359" s="92">
        <f>IFERROR(INDEX(_ZIG_Cadastro!$G:$G,MATCH(I359,_ZIG_Cadastro!$A:$A,0)),IF(NOT(ISERROR(MATCH(I359,_Entradas_ZIG!$C:$C,0))),"Ativo","—"))</f>
        <v/>
      </c>
      <c r="N359" s="94">
        <f>IFERROR(INDEX(_ZIG_Cadastro!$E:$E,MATCH(I359,_ZIG_Cadastro!$A:$A,0)),IFERROR(INDEX(_Entradas_ZIG!$F:$F,MATCH(I359,_Entradas_ZIG!$C:$C,0)),"—"))</f>
        <v/>
      </c>
      <c r="O359" s="92">
        <f>IF(AND(ISNUMBER(SEARCH("Espeto",N359)),ISNUMBER(SEARCH("Carin",N359))),"SIM","")</f>
        <v/>
      </c>
      <c r="P359" s="92">
        <f>IF(AND(ISNUMBER(SEARCH("Espeto",N359)),ISNUMBER(SEARCH("Lapa",N359))),"SIM","")</f>
        <v/>
      </c>
      <c r="Q359" s="92">
        <f>IF(AND(ISNUMBER(SEARCH("Espeto",N359)),ISNUMBER(SEARCH("Tatuapé",N359))),"SIM","")</f>
        <v/>
      </c>
      <c r="R359" s="92">
        <f>IF(AND(ISNUMBER(SEARCH("Espeto",N359)),ISNUMBER(SEARCH("Pavão",N359))),"SIM","")</f>
        <v/>
      </c>
      <c r="S359" s="92">
        <f>IF(AND(ISNUMBER(SEARCH("Espeto",N359)),ISNUMBER(SEARCH("Chac",N359))),"SIM","")</f>
        <v/>
      </c>
      <c r="T359" s="92">
        <f>IF(AND(ISNUMBER(SEARCH("Espeto",N359)),ISNUMBER(SEARCH("Madalena",N359))),"SIM","")</f>
        <v/>
      </c>
      <c r="U359" s="92">
        <f>IF(AND(ISNUMBER(SEARCH("Espeto",N359)),ISNUMBER(SEARCH("Mariana",N359))),"SIM","")</f>
        <v/>
      </c>
      <c r="V359" s="92">
        <f>IF(AND(ISNUMBER(SEARCH("Espeto",N359)),ISNUMBER(SEARCH("Perdizes",N359))),"SIM","")</f>
        <v/>
      </c>
      <c r="W359" s="92">
        <f>IF(AND(ISNUMBER(SEARCH("Espeto",N359)),ISNUMBER(SEARCH("Santana",N359))),"SIM","")</f>
        <v/>
      </c>
      <c r="X359" s="92">
        <f>IF(AND(ISNUMBER(SEARCH("Espeto",N359)),ISNUMBER(SEARCH("André",N359))),"SIM","")</f>
        <v/>
      </c>
      <c r="Y359" s="92">
        <f>IF(AND(ISNUMBER(SEARCH("Delivery",N359)),ISNUMBER(SEARCH("Carin",N359))),"SIM","")</f>
        <v/>
      </c>
      <c r="Z359" s="92">
        <f>IF(AND(ISNUMBER(SEARCH("Delivery",N359)),ISNUMBER(SEARCH("Lapa",N359))),"SIM","")</f>
        <v/>
      </c>
      <c r="AA359" s="92">
        <f>IF(AND(ISNUMBER(SEARCH("Delivery",N359)),ISNUMBER(SEARCH("Tatuapé",N359))),"SIM","")</f>
        <v/>
      </c>
      <c r="AB359" s="92">
        <f>IF(AND(ISNUMBER(SEARCH("Delivery",N359)),ISNUMBER(SEARCH("Pavão",N359))),"SIM","")</f>
        <v/>
      </c>
      <c r="AC359" s="92">
        <f>IF(AND(ISNUMBER(SEARCH("Delivery",N359)),ISNUMBER(SEARCH("Chac",N359))),"SIM","")</f>
        <v/>
      </c>
      <c r="AD359" s="92">
        <f>IF(AND(ISNUMBER(SEARCH("Delivery",N359)),ISNUMBER(SEARCH("Madalena",N359))),"SIM","")</f>
        <v/>
      </c>
      <c r="AE359" s="92">
        <f>IF(AND(ISNUMBER(SEARCH("Delivery",N359)),ISNUMBER(SEARCH("Mariana",N359))),"SIM","")</f>
        <v/>
      </c>
      <c r="AF359" s="92">
        <f>IF(AND(ISNUMBER(SEARCH("Delivery",N359)),ISNUMBER(SEARCH("Perdizes",N359))),"SIM","")</f>
        <v/>
      </c>
      <c r="AG359" s="92">
        <f>IF(AND(ISNUMBER(SEARCH("Delivery",N359)),ISNUMBER(SEARCH("Santana",N359))),"SIM","")</f>
        <v/>
      </c>
      <c r="AH359" s="92">
        <f>IF(AND(ISNUMBER(SEARCH("Delivery",N359)),ISNUMBER(SEARCH("André",N359))),"SIM","")</f>
        <v/>
      </c>
      <c r="AI359" s="92">
        <f>IF(ISNUMBER(SEARCH("Interlagos",N359)),"SIM","")</f>
        <v/>
      </c>
      <c r="AJ359" s="92">
        <f>IF(ISNUMBER(SEARCH("Quiosque",N359)),"SIM","")</f>
        <v/>
      </c>
      <c r="AK359" s="93" t="n"/>
    </row>
    <row r="360">
      <c r="A360" s="88" t="inlineStr">
        <is>
          <t>Protheus</t>
        </is>
      </c>
      <c r="B360" s="96" t="inlineStr">
        <is>
          <t>002015</t>
        </is>
      </c>
      <c r="C360" s="97">
        <f>IF(B360="—","—",IFERROR(VLOOKUP(B360,_Protheus_Cadastro!$A:$B,2,FALSE),"—"))</f>
        <v/>
      </c>
      <c r="D360" s="98">
        <f>IF(B360="—",IFERROR(INDEX(_ZIG_Cadastro!$D:$D,MATCH(H360,_ZIG_Cadastro!$A:$A,0)),"Produto"),IFERROR(VLOOKUP(B360,_Protheus_Cadastro!$A:$C,3,FALSE),"—"))</f>
        <v/>
      </c>
      <c r="E360" s="98">
        <f>IF(B360="—","—",IFERROR(VLOOKUP(B360,_Protheus_Cadastro!$A:$D,4,FALSE),"—"))</f>
        <v/>
      </c>
      <c r="F360" s="98">
        <f>IF(ISERROR(VLOOKUP(B360,'Estrutura Protheus'!A:A,1,FALSE)),"Não","Sim")</f>
        <v/>
      </c>
      <c r="G360" s="99">
        <f>IFERROR(INDEX(_Protheus_Cadastro!$H:$H,MATCH(B360,_Protheus_Cadastro!$A:$A,0)),"—")</f>
        <v/>
      </c>
      <c r="H360" s="211">
        <f>IFERROR(INDEX(_ZIG_Precos!$D:$D,MATCH(I360,_ZIG_Precos!$F:$F,0)),"—")</f>
        <v/>
      </c>
      <c r="I360" s="103">
        <f>IFERROR(VLOOKUP(B360,_Protheus_Cadastro!$A:$I,9,FALSE),"—")</f>
        <v/>
      </c>
      <c r="J360" s="101">
        <f>IFERROR(INDEX(_ZIG_Cadastro!$B:$B,MATCH(I360,_ZIG_Cadastro!$A:$A,0)),IFERROR(INDEX(_Entradas_ZIG!$B:$B,MATCH(I360,_Entradas_ZIG!$C:$C,0)),"—"))</f>
        <v/>
      </c>
      <c r="K360" s="101">
        <f>IFERROR(INDEX(_ZIG_Cadastro!$C:$C,MATCH(I360,_ZIG_Cadastro!$A:$A,0)),IFERROR(INDEX(_Entradas_ZIG!$D:$D,MATCH(I360,_Entradas_ZIG!$C:$C,0)),"—"))</f>
        <v/>
      </c>
      <c r="L360" s="99">
        <f>IF(I360="","Sem SKU ZIG",IF(I360="—","Sem SKU ZIG",IF(NOT(ISERROR(MATCH(I360,_ZIG_Cadastro!$A:$A,0))),IF(EXACT(UPPER(TRIM(C360)),UPPER(TRIM(INDEX(_ZIG_Cadastro!$B:$B,MATCH(I360,_ZIG_Cadastro!$A:$A,0))))),"OK","Atencao - Nome diverge"),IF(NOT(ISERROR(MATCH(I360,_Entradas_ZIG!$C:$C,0))),"OK","Erro - SKU nao encontrado"))))</f>
        <v/>
      </c>
      <c r="M360" s="99">
        <f>IFERROR(INDEX(_ZIG_Cadastro!$G:$G,MATCH(I360,_ZIG_Cadastro!$A:$A,0)),IF(NOT(ISERROR(MATCH(I360,_Entradas_ZIG!$C:$C,0))),"Ativo","—"))</f>
        <v/>
      </c>
      <c r="N360" s="102">
        <f>IFERROR(INDEX(_ZIG_Cadastro!$E:$E,MATCH(I360,_ZIG_Cadastro!$A:$A,0)),IFERROR(INDEX(_Entradas_ZIG!$F:$F,MATCH(I360,_Entradas_ZIG!$C:$C,0)),"—"))</f>
        <v/>
      </c>
      <c r="O360" s="99">
        <f>IF(AND(ISNUMBER(SEARCH("Espeto",N360)),ISNUMBER(SEARCH("Carin",N360))),"SIM","")</f>
        <v/>
      </c>
      <c r="P360" s="99">
        <f>IF(AND(ISNUMBER(SEARCH("Espeto",N360)),ISNUMBER(SEARCH("Lapa",N360))),"SIM","")</f>
        <v/>
      </c>
      <c r="Q360" s="99">
        <f>IF(AND(ISNUMBER(SEARCH("Espeto",N360)),ISNUMBER(SEARCH("Tatuapé",N360))),"SIM","")</f>
        <v/>
      </c>
      <c r="R360" s="99">
        <f>IF(AND(ISNUMBER(SEARCH("Espeto",N360)),ISNUMBER(SEARCH("Pavão",N360))),"SIM","")</f>
        <v/>
      </c>
      <c r="S360" s="99">
        <f>IF(AND(ISNUMBER(SEARCH("Espeto",N360)),ISNUMBER(SEARCH("Chac",N360))),"SIM","")</f>
        <v/>
      </c>
      <c r="T360" s="99">
        <f>IF(AND(ISNUMBER(SEARCH("Espeto",N360)),ISNUMBER(SEARCH("Madalena",N360))),"SIM","")</f>
        <v/>
      </c>
      <c r="U360" s="99">
        <f>IF(AND(ISNUMBER(SEARCH("Espeto",N360)),ISNUMBER(SEARCH("Mariana",N360))),"SIM","")</f>
        <v/>
      </c>
      <c r="V360" s="99">
        <f>IF(AND(ISNUMBER(SEARCH("Espeto",N360)),ISNUMBER(SEARCH("Perdizes",N360))),"SIM","")</f>
        <v/>
      </c>
      <c r="W360" s="99">
        <f>IF(AND(ISNUMBER(SEARCH("Espeto",N360)),ISNUMBER(SEARCH("Santana",N360))),"SIM","")</f>
        <v/>
      </c>
      <c r="X360" s="99">
        <f>IF(AND(ISNUMBER(SEARCH("Espeto",N360)),ISNUMBER(SEARCH("André",N360))),"SIM","")</f>
        <v/>
      </c>
      <c r="Y360" s="99">
        <f>IF(AND(ISNUMBER(SEARCH("Delivery",N360)),ISNUMBER(SEARCH("Carin",N360))),"SIM","")</f>
        <v/>
      </c>
      <c r="Z360" s="99">
        <f>IF(AND(ISNUMBER(SEARCH("Delivery",N360)),ISNUMBER(SEARCH("Lapa",N360))),"SIM","")</f>
        <v/>
      </c>
      <c r="AA360" s="99">
        <f>IF(AND(ISNUMBER(SEARCH("Delivery",N360)),ISNUMBER(SEARCH("Tatuapé",N360))),"SIM","")</f>
        <v/>
      </c>
      <c r="AB360" s="99">
        <f>IF(AND(ISNUMBER(SEARCH("Delivery",N360)),ISNUMBER(SEARCH("Pavão",N360))),"SIM","")</f>
        <v/>
      </c>
      <c r="AC360" s="99">
        <f>IF(AND(ISNUMBER(SEARCH("Delivery",N360)),ISNUMBER(SEARCH("Chac",N360))),"SIM","")</f>
        <v/>
      </c>
      <c r="AD360" s="99">
        <f>IF(AND(ISNUMBER(SEARCH("Delivery",N360)),ISNUMBER(SEARCH("Madalena",N360))),"SIM","")</f>
        <v/>
      </c>
      <c r="AE360" s="99">
        <f>IF(AND(ISNUMBER(SEARCH("Delivery",N360)),ISNUMBER(SEARCH("Mariana",N360))),"SIM","")</f>
        <v/>
      </c>
      <c r="AF360" s="99">
        <f>IF(AND(ISNUMBER(SEARCH("Delivery",N360)),ISNUMBER(SEARCH("Perdizes",N360))),"SIM","")</f>
        <v/>
      </c>
      <c r="AG360" s="99">
        <f>IF(AND(ISNUMBER(SEARCH("Delivery",N360)),ISNUMBER(SEARCH("Santana",N360))),"SIM","")</f>
        <v/>
      </c>
      <c r="AH360" s="99">
        <f>IF(AND(ISNUMBER(SEARCH("Delivery",N360)),ISNUMBER(SEARCH("André",N360))),"SIM","")</f>
        <v/>
      </c>
      <c r="AI360" s="99">
        <f>IF(ISNUMBER(SEARCH("Interlagos",N360)),"SIM","")</f>
        <v/>
      </c>
      <c r="AJ360" s="99">
        <f>IF(ISNUMBER(SEARCH("Quiosque",N360)),"SIM","")</f>
        <v/>
      </c>
      <c r="AK360" s="101" t="n"/>
    </row>
    <row r="361">
      <c r="A361" s="88" t="inlineStr">
        <is>
          <t>Protheus</t>
        </is>
      </c>
      <c r="B361" s="89" t="inlineStr">
        <is>
          <t>000850</t>
        </is>
      </c>
      <c r="C361" s="90">
        <f>IF(B361="—","—",IFERROR(VLOOKUP(B361,_Protheus_Cadastro!$A:$B,2,FALSE),"—"))</f>
        <v/>
      </c>
      <c r="D361" s="91">
        <f>IF(B361="—",IFERROR(INDEX(_ZIG_Cadastro!$D:$D,MATCH(H361,_ZIG_Cadastro!$A:$A,0)),"Produto"),IFERROR(VLOOKUP(B361,_Protheus_Cadastro!$A:$C,3,FALSE),"—"))</f>
        <v/>
      </c>
      <c r="E361" s="91">
        <f>IF(B361="—","—",IFERROR(VLOOKUP(B361,_Protheus_Cadastro!$A:$D,4,FALSE),"—"))</f>
        <v/>
      </c>
      <c r="F361" s="91">
        <f>IF(ISERROR(VLOOKUP(B361,'Estrutura Protheus'!A:A,1,FALSE)),"Não","Sim")</f>
        <v/>
      </c>
      <c r="G361" s="92">
        <f>IFERROR(INDEX(_Protheus_Cadastro!$H:$H,MATCH(B361,_Protheus_Cadastro!$A:$A,0)),"—")</f>
        <v/>
      </c>
      <c r="H361" s="210">
        <f>IFERROR(INDEX(_ZIG_Precos!$D:$D,MATCH(I361,_ZIG_Precos!$F:$F,0)),"—")</f>
        <v/>
      </c>
      <c r="I361" s="95">
        <f>IFERROR(VLOOKUP(B361,_Protheus_Cadastro!$A:$I,9,FALSE),"—")</f>
        <v/>
      </c>
      <c r="J361" s="93">
        <f>IFERROR(INDEX(_ZIG_Cadastro!$B:$B,MATCH(I361,_ZIG_Cadastro!$A:$A,0)),IFERROR(INDEX(_Entradas_ZIG!$B:$B,MATCH(I361,_Entradas_ZIG!$C:$C,0)),"—"))</f>
        <v/>
      </c>
      <c r="K361" s="93">
        <f>IFERROR(INDEX(_ZIG_Cadastro!$C:$C,MATCH(I361,_ZIG_Cadastro!$A:$A,0)),IFERROR(INDEX(_Entradas_ZIG!$D:$D,MATCH(I361,_Entradas_ZIG!$C:$C,0)),"—"))</f>
        <v/>
      </c>
      <c r="L361" s="92">
        <f>IF(I361="","Sem SKU ZIG",IF(I361="—","Sem SKU ZIG",IF(NOT(ISERROR(MATCH(I361,_ZIG_Cadastro!$A:$A,0))),IF(EXACT(UPPER(TRIM(C361)),UPPER(TRIM(INDEX(_ZIG_Cadastro!$B:$B,MATCH(I361,_ZIG_Cadastro!$A:$A,0))))),"OK","Atencao - Nome diverge"),IF(NOT(ISERROR(MATCH(I361,_Entradas_ZIG!$C:$C,0))),"OK","Erro - SKU nao encontrado"))))</f>
        <v/>
      </c>
      <c r="M361" s="92">
        <f>IFERROR(INDEX(_ZIG_Cadastro!$G:$G,MATCH(I361,_ZIG_Cadastro!$A:$A,0)),IF(NOT(ISERROR(MATCH(I361,_Entradas_ZIG!$C:$C,0))),"Ativo","—"))</f>
        <v/>
      </c>
      <c r="N361" s="94">
        <f>IFERROR(INDEX(_ZIG_Cadastro!$E:$E,MATCH(I361,_ZIG_Cadastro!$A:$A,0)),IFERROR(INDEX(_Entradas_ZIG!$F:$F,MATCH(I361,_Entradas_ZIG!$C:$C,0)),"—"))</f>
        <v/>
      </c>
      <c r="O361" s="92">
        <f>IF(AND(ISNUMBER(SEARCH("Espeto",N361)),ISNUMBER(SEARCH("Carin",N361))),"SIM","")</f>
        <v/>
      </c>
      <c r="P361" s="92">
        <f>IF(AND(ISNUMBER(SEARCH("Espeto",N361)),ISNUMBER(SEARCH("Lapa",N361))),"SIM","")</f>
        <v/>
      </c>
      <c r="Q361" s="92">
        <f>IF(AND(ISNUMBER(SEARCH("Espeto",N361)),ISNUMBER(SEARCH("Tatuapé",N361))),"SIM","")</f>
        <v/>
      </c>
      <c r="R361" s="92">
        <f>IF(AND(ISNUMBER(SEARCH("Espeto",N361)),ISNUMBER(SEARCH("Pavão",N361))),"SIM","")</f>
        <v/>
      </c>
      <c r="S361" s="92">
        <f>IF(AND(ISNUMBER(SEARCH("Espeto",N361)),ISNUMBER(SEARCH("Chac",N361))),"SIM","")</f>
        <v/>
      </c>
      <c r="T361" s="92">
        <f>IF(AND(ISNUMBER(SEARCH("Espeto",N361)),ISNUMBER(SEARCH("Madalena",N361))),"SIM","")</f>
        <v/>
      </c>
      <c r="U361" s="92">
        <f>IF(AND(ISNUMBER(SEARCH("Espeto",N361)),ISNUMBER(SEARCH("Mariana",N361))),"SIM","")</f>
        <v/>
      </c>
      <c r="V361" s="92">
        <f>IF(AND(ISNUMBER(SEARCH("Espeto",N361)),ISNUMBER(SEARCH("Perdizes",N361))),"SIM","")</f>
        <v/>
      </c>
      <c r="W361" s="92">
        <f>IF(AND(ISNUMBER(SEARCH("Espeto",N361)),ISNUMBER(SEARCH("Santana",N361))),"SIM","")</f>
        <v/>
      </c>
      <c r="X361" s="92">
        <f>IF(AND(ISNUMBER(SEARCH("Espeto",N361)),ISNUMBER(SEARCH("André",N361))),"SIM","")</f>
        <v/>
      </c>
      <c r="Y361" s="92">
        <f>IF(AND(ISNUMBER(SEARCH("Delivery",N361)),ISNUMBER(SEARCH("Carin",N361))),"SIM","")</f>
        <v/>
      </c>
      <c r="Z361" s="92">
        <f>IF(AND(ISNUMBER(SEARCH("Delivery",N361)),ISNUMBER(SEARCH("Lapa",N361))),"SIM","")</f>
        <v/>
      </c>
      <c r="AA361" s="92">
        <f>IF(AND(ISNUMBER(SEARCH("Delivery",N361)),ISNUMBER(SEARCH("Tatuapé",N361))),"SIM","")</f>
        <v/>
      </c>
      <c r="AB361" s="92">
        <f>IF(AND(ISNUMBER(SEARCH("Delivery",N361)),ISNUMBER(SEARCH("Pavão",N361))),"SIM","")</f>
        <v/>
      </c>
      <c r="AC361" s="92">
        <f>IF(AND(ISNUMBER(SEARCH("Delivery",N361)),ISNUMBER(SEARCH("Chac",N361))),"SIM","")</f>
        <v/>
      </c>
      <c r="AD361" s="92">
        <f>IF(AND(ISNUMBER(SEARCH("Delivery",N361)),ISNUMBER(SEARCH("Madalena",N361))),"SIM","")</f>
        <v/>
      </c>
      <c r="AE361" s="92">
        <f>IF(AND(ISNUMBER(SEARCH("Delivery",N361)),ISNUMBER(SEARCH("Mariana",N361))),"SIM","")</f>
        <v/>
      </c>
      <c r="AF361" s="92">
        <f>IF(AND(ISNUMBER(SEARCH("Delivery",N361)),ISNUMBER(SEARCH("Perdizes",N361))),"SIM","")</f>
        <v/>
      </c>
      <c r="AG361" s="92">
        <f>IF(AND(ISNUMBER(SEARCH("Delivery",N361)),ISNUMBER(SEARCH("Santana",N361))),"SIM","")</f>
        <v/>
      </c>
      <c r="AH361" s="92">
        <f>IF(AND(ISNUMBER(SEARCH("Delivery",N361)),ISNUMBER(SEARCH("André",N361))),"SIM","")</f>
        <v/>
      </c>
      <c r="AI361" s="92">
        <f>IF(ISNUMBER(SEARCH("Interlagos",N361)),"SIM","")</f>
        <v/>
      </c>
      <c r="AJ361" s="92">
        <f>IF(ISNUMBER(SEARCH("Quiosque",N361)),"SIM","")</f>
        <v/>
      </c>
      <c r="AK361" s="93" t="n"/>
    </row>
    <row r="362">
      <c r="A362" s="88" t="inlineStr">
        <is>
          <t>Protheus</t>
        </is>
      </c>
      <c r="B362" s="96" t="inlineStr">
        <is>
          <t>000024</t>
        </is>
      </c>
      <c r="C362" s="97">
        <f>IF(B362="—","—",IFERROR(VLOOKUP(B362,_Protheus_Cadastro!$A:$B,2,FALSE),"—"))</f>
        <v/>
      </c>
      <c r="D362" s="98">
        <f>IF(B362="—",IFERROR(INDEX(_ZIG_Cadastro!$D:$D,MATCH(H362,_ZIG_Cadastro!$A:$A,0)),"Produto"),IFERROR(VLOOKUP(B362,_Protheus_Cadastro!$A:$C,3,FALSE),"—"))</f>
        <v/>
      </c>
      <c r="E362" s="98">
        <f>IF(B362="—","—",IFERROR(VLOOKUP(B362,_Protheus_Cadastro!$A:$D,4,FALSE),"—"))</f>
        <v/>
      </c>
      <c r="F362" s="98">
        <f>IF(ISERROR(VLOOKUP(B362,'Estrutura Protheus'!A:A,1,FALSE)),"Não","Sim")</f>
        <v/>
      </c>
      <c r="G362" s="99">
        <f>IFERROR(INDEX(_Protheus_Cadastro!$H:$H,MATCH(B362,_Protheus_Cadastro!$A:$A,0)),"—")</f>
        <v/>
      </c>
      <c r="H362" s="211">
        <f>IFERROR(INDEX(_ZIG_Precos!$D:$D,MATCH(I362,_ZIG_Precos!$F:$F,0)),"—")</f>
        <v/>
      </c>
      <c r="I362" s="103">
        <f>IFERROR(VLOOKUP(B362,_Protheus_Cadastro!$A:$I,9,FALSE),"—")</f>
        <v/>
      </c>
      <c r="J362" s="101">
        <f>IFERROR(INDEX(_ZIG_Cadastro!$B:$B,MATCH(I362,_ZIG_Cadastro!$A:$A,0)),IFERROR(INDEX(_Entradas_ZIG!$B:$B,MATCH(I362,_Entradas_ZIG!$C:$C,0)),"—"))</f>
        <v/>
      </c>
      <c r="K362" s="101">
        <f>IFERROR(INDEX(_ZIG_Cadastro!$C:$C,MATCH(I362,_ZIG_Cadastro!$A:$A,0)),IFERROR(INDEX(_Entradas_ZIG!$D:$D,MATCH(I362,_Entradas_ZIG!$C:$C,0)),"—"))</f>
        <v/>
      </c>
      <c r="L362" s="99">
        <f>IF(I362="","Sem SKU ZIG",IF(I362="—","Sem SKU ZIG",IF(NOT(ISERROR(MATCH(I362,_ZIG_Cadastro!$A:$A,0))),IF(EXACT(UPPER(TRIM(C362)),UPPER(TRIM(INDEX(_ZIG_Cadastro!$B:$B,MATCH(I362,_ZIG_Cadastro!$A:$A,0))))),"OK","Atencao - Nome diverge"),IF(NOT(ISERROR(MATCH(I362,_Entradas_ZIG!$C:$C,0))),"OK","Erro - SKU nao encontrado"))))</f>
        <v/>
      </c>
      <c r="M362" s="99">
        <f>IFERROR(INDEX(_ZIG_Cadastro!$G:$G,MATCH(I362,_ZIG_Cadastro!$A:$A,0)),IF(NOT(ISERROR(MATCH(I362,_Entradas_ZIG!$C:$C,0))),"Ativo","—"))</f>
        <v/>
      </c>
      <c r="N362" s="102">
        <f>IFERROR(INDEX(_ZIG_Cadastro!$E:$E,MATCH(I362,_ZIG_Cadastro!$A:$A,0)),IFERROR(INDEX(_Entradas_ZIG!$F:$F,MATCH(I362,_Entradas_ZIG!$C:$C,0)),"—"))</f>
        <v/>
      </c>
      <c r="O362" s="99">
        <f>IF(AND(ISNUMBER(SEARCH("Espeto",N362)),ISNUMBER(SEARCH("Carin",N362))),"SIM","")</f>
        <v/>
      </c>
      <c r="P362" s="99">
        <f>IF(AND(ISNUMBER(SEARCH("Espeto",N362)),ISNUMBER(SEARCH("Lapa",N362))),"SIM","")</f>
        <v/>
      </c>
      <c r="Q362" s="99">
        <f>IF(AND(ISNUMBER(SEARCH("Espeto",N362)),ISNUMBER(SEARCH("Tatuapé",N362))),"SIM","")</f>
        <v/>
      </c>
      <c r="R362" s="99">
        <f>IF(AND(ISNUMBER(SEARCH("Espeto",N362)),ISNUMBER(SEARCH("Pavão",N362))),"SIM","")</f>
        <v/>
      </c>
      <c r="S362" s="99">
        <f>IF(AND(ISNUMBER(SEARCH("Espeto",N362)),ISNUMBER(SEARCH("Chac",N362))),"SIM","")</f>
        <v/>
      </c>
      <c r="T362" s="99">
        <f>IF(AND(ISNUMBER(SEARCH("Espeto",N362)),ISNUMBER(SEARCH("Madalena",N362))),"SIM","")</f>
        <v/>
      </c>
      <c r="U362" s="99">
        <f>IF(AND(ISNUMBER(SEARCH("Espeto",N362)),ISNUMBER(SEARCH("Mariana",N362))),"SIM","")</f>
        <v/>
      </c>
      <c r="V362" s="99">
        <f>IF(AND(ISNUMBER(SEARCH("Espeto",N362)),ISNUMBER(SEARCH("Perdizes",N362))),"SIM","")</f>
        <v/>
      </c>
      <c r="W362" s="99">
        <f>IF(AND(ISNUMBER(SEARCH("Espeto",N362)),ISNUMBER(SEARCH("Santana",N362))),"SIM","")</f>
        <v/>
      </c>
      <c r="X362" s="99">
        <f>IF(AND(ISNUMBER(SEARCH("Espeto",N362)),ISNUMBER(SEARCH("André",N362))),"SIM","")</f>
        <v/>
      </c>
      <c r="Y362" s="99">
        <f>IF(AND(ISNUMBER(SEARCH("Delivery",N362)),ISNUMBER(SEARCH("Carin",N362))),"SIM","")</f>
        <v/>
      </c>
      <c r="Z362" s="99">
        <f>IF(AND(ISNUMBER(SEARCH("Delivery",N362)),ISNUMBER(SEARCH("Lapa",N362))),"SIM","")</f>
        <v/>
      </c>
      <c r="AA362" s="99">
        <f>IF(AND(ISNUMBER(SEARCH("Delivery",N362)),ISNUMBER(SEARCH("Tatuapé",N362))),"SIM","")</f>
        <v/>
      </c>
      <c r="AB362" s="99">
        <f>IF(AND(ISNUMBER(SEARCH("Delivery",N362)),ISNUMBER(SEARCH("Pavão",N362))),"SIM","")</f>
        <v/>
      </c>
      <c r="AC362" s="99">
        <f>IF(AND(ISNUMBER(SEARCH("Delivery",N362)),ISNUMBER(SEARCH("Chac",N362))),"SIM","")</f>
        <v/>
      </c>
      <c r="AD362" s="99">
        <f>IF(AND(ISNUMBER(SEARCH("Delivery",N362)),ISNUMBER(SEARCH("Madalena",N362))),"SIM","")</f>
        <v/>
      </c>
      <c r="AE362" s="99">
        <f>IF(AND(ISNUMBER(SEARCH("Delivery",N362)),ISNUMBER(SEARCH("Mariana",N362))),"SIM","")</f>
        <v/>
      </c>
      <c r="AF362" s="99">
        <f>IF(AND(ISNUMBER(SEARCH("Delivery",N362)),ISNUMBER(SEARCH("Perdizes",N362))),"SIM","")</f>
        <v/>
      </c>
      <c r="AG362" s="99">
        <f>IF(AND(ISNUMBER(SEARCH("Delivery",N362)),ISNUMBER(SEARCH("Santana",N362))),"SIM","")</f>
        <v/>
      </c>
      <c r="AH362" s="99">
        <f>IF(AND(ISNUMBER(SEARCH("Delivery",N362)),ISNUMBER(SEARCH("André",N362))),"SIM","")</f>
        <v/>
      </c>
      <c r="AI362" s="99">
        <f>IF(ISNUMBER(SEARCH("Interlagos",N362)),"SIM","")</f>
        <v/>
      </c>
      <c r="AJ362" s="99">
        <f>IF(ISNUMBER(SEARCH("Quiosque",N362)),"SIM","")</f>
        <v/>
      </c>
      <c r="AK362" s="101" t="n"/>
    </row>
    <row r="363">
      <c r="A363" s="88" t="inlineStr">
        <is>
          <t>Protheus</t>
        </is>
      </c>
      <c r="B363" s="89" t="inlineStr">
        <is>
          <t>000006</t>
        </is>
      </c>
      <c r="C363" s="90">
        <f>IF(B363="—","—",IFERROR(VLOOKUP(B363,_Protheus_Cadastro!$A:$B,2,FALSE),"—"))</f>
        <v/>
      </c>
      <c r="D363" s="91">
        <f>IF(B363="—",IFERROR(INDEX(_ZIG_Cadastro!$D:$D,MATCH(H363,_ZIG_Cadastro!$A:$A,0)),"Produto"),IFERROR(VLOOKUP(B363,_Protheus_Cadastro!$A:$C,3,FALSE),"—"))</f>
        <v/>
      </c>
      <c r="E363" s="91">
        <f>IF(B363="—","—",IFERROR(VLOOKUP(B363,_Protheus_Cadastro!$A:$D,4,FALSE),"—"))</f>
        <v/>
      </c>
      <c r="F363" s="91">
        <f>IF(ISERROR(VLOOKUP(B363,'Estrutura Protheus'!A:A,1,FALSE)),"Não","Sim")</f>
        <v/>
      </c>
      <c r="G363" s="92">
        <f>IFERROR(INDEX(_Protheus_Cadastro!$H:$H,MATCH(B363,_Protheus_Cadastro!$A:$A,0)),"—")</f>
        <v/>
      </c>
      <c r="H363" s="210">
        <f>IFERROR(INDEX(_ZIG_Precos!$D:$D,MATCH(I363,_ZIG_Precos!$F:$F,0)),"—")</f>
        <v/>
      </c>
      <c r="I363" s="95">
        <f>IFERROR(VLOOKUP(B363,_Protheus_Cadastro!$A:$I,9,FALSE),"—")</f>
        <v/>
      </c>
      <c r="J363" s="93">
        <f>IFERROR(INDEX(_ZIG_Cadastro!$B:$B,MATCH(I363,_ZIG_Cadastro!$A:$A,0)),IFERROR(INDEX(_Entradas_ZIG!$B:$B,MATCH(I363,_Entradas_ZIG!$C:$C,0)),"—"))</f>
        <v/>
      </c>
      <c r="K363" s="93">
        <f>IFERROR(INDEX(_ZIG_Cadastro!$C:$C,MATCH(I363,_ZIG_Cadastro!$A:$A,0)),IFERROR(INDEX(_Entradas_ZIG!$D:$D,MATCH(I363,_Entradas_ZIG!$C:$C,0)),"—"))</f>
        <v/>
      </c>
      <c r="L363" s="92">
        <f>IF(I363="","Sem SKU ZIG",IF(I363="—","Sem SKU ZIG",IF(NOT(ISERROR(MATCH(I363,_ZIG_Cadastro!$A:$A,0))),IF(EXACT(UPPER(TRIM(C363)),UPPER(TRIM(INDEX(_ZIG_Cadastro!$B:$B,MATCH(I363,_ZIG_Cadastro!$A:$A,0))))),"OK","Atencao - Nome diverge"),IF(NOT(ISERROR(MATCH(I363,_Entradas_ZIG!$C:$C,0))),"OK","Erro - SKU nao encontrado"))))</f>
        <v/>
      </c>
      <c r="M363" s="92">
        <f>IFERROR(INDEX(_ZIG_Cadastro!$G:$G,MATCH(I363,_ZIG_Cadastro!$A:$A,0)),IF(NOT(ISERROR(MATCH(I363,_Entradas_ZIG!$C:$C,0))),"Ativo","—"))</f>
        <v/>
      </c>
      <c r="N363" s="94">
        <f>IFERROR(INDEX(_ZIG_Cadastro!$E:$E,MATCH(I363,_ZIG_Cadastro!$A:$A,0)),IFERROR(INDEX(_Entradas_ZIG!$F:$F,MATCH(I363,_Entradas_ZIG!$C:$C,0)),"—"))</f>
        <v/>
      </c>
      <c r="O363" s="92">
        <f>IF(AND(ISNUMBER(SEARCH("Espeto",N363)),ISNUMBER(SEARCH("Carin",N363))),"SIM","")</f>
        <v/>
      </c>
      <c r="P363" s="92">
        <f>IF(AND(ISNUMBER(SEARCH("Espeto",N363)),ISNUMBER(SEARCH("Lapa",N363))),"SIM","")</f>
        <v/>
      </c>
      <c r="Q363" s="92">
        <f>IF(AND(ISNUMBER(SEARCH("Espeto",N363)),ISNUMBER(SEARCH("Tatuapé",N363))),"SIM","")</f>
        <v/>
      </c>
      <c r="R363" s="92">
        <f>IF(AND(ISNUMBER(SEARCH("Espeto",N363)),ISNUMBER(SEARCH("Pavão",N363))),"SIM","")</f>
        <v/>
      </c>
      <c r="S363" s="92">
        <f>IF(AND(ISNUMBER(SEARCH("Espeto",N363)),ISNUMBER(SEARCH("Chac",N363))),"SIM","")</f>
        <v/>
      </c>
      <c r="T363" s="92">
        <f>IF(AND(ISNUMBER(SEARCH("Espeto",N363)),ISNUMBER(SEARCH("Madalena",N363))),"SIM","")</f>
        <v/>
      </c>
      <c r="U363" s="92">
        <f>IF(AND(ISNUMBER(SEARCH("Espeto",N363)),ISNUMBER(SEARCH("Mariana",N363))),"SIM","")</f>
        <v/>
      </c>
      <c r="V363" s="92">
        <f>IF(AND(ISNUMBER(SEARCH("Espeto",N363)),ISNUMBER(SEARCH("Perdizes",N363))),"SIM","")</f>
        <v/>
      </c>
      <c r="W363" s="92">
        <f>IF(AND(ISNUMBER(SEARCH("Espeto",N363)),ISNUMBER(SEARCH("Santana",N363))),"SIM","")</f>
        <v/>
      </c>
      <c r="X363" s="92">
        <f>IF(AND(ISNUMBER(SEARCH("Espeto",N363)),ISNUMBER(SEARCH("André",N363))),"SIM","")</f>
        <v/>
      </c>
      <c r="Y363" s="92">
        <f>IF(AND(ISNUMBER(SEARCH("Delivery",N363)),ISNUMBER(SEARCH("Carin",N363))),"SIM","")</f>
        <v/>
      </c>
      <c r="Z363" s="92">
        <f>IF(AND(ISNUMBER(SEARCH("Delivery",N363)),ISNUMBER(SEARCH("Lapa",N363))),"SIM","")</f>
        <v/>
      </c>
      <c r="AA363" s="92">
        <f>IF(AND(ISNUMBER(SEARCH("Delivery",N363)),ISNUMBER(SEARCH("Tatuapé",N363))),"SIM","")</f>
        <v/>
      </c>
      <c r="AB363" s="92">
        <f>IF(AND(ISNUMBER(SEARCH("Delivery",N363)),ISNUMBER(SEARCH("Pavão",N363))),"SIM","")</f>
        <v/>
      </c>
      <c r="AC363" s="92">
        <f>IF(AND(ISNUMBER(SEARCH("Delivery",N363)),ISNUMBER(SEARCH("Chac",N363))),"SIM","")</f>
        <v/>
      </c>
      <c r="AD363" s="92">
        <f>IF(AND(ISNUMBER(SEARCH("Delivery",N363)),ISNUMBER(SEARCH("Madalena",N363))),"SIM","")</f>
        <v/>
      </c>
      <c r="AE363" s="92">
        <f>IF(AND(ISNUMBER(SEARCH("Delivery",N363)),ISNUMBER(SEARCH("Mariana",N363))),"SIM","")</f>
        <v/>
      </c>
      <c r="AF363" s="92">
        <f>IF(AND(ISNUMBER(SEARCH("Delivery",N363)),ISNUMBER(SEARCH("Perdizes",N363))),"SIM","")</f>
        <v/>
      </c>
      <c r="AG363" s="92">
        <f>IF(AND(ISNUMBER(SEARCH("Delivery",N363)),ISNUMBER(SEARCH("Santana",N363))),"SIM","")</f>
        <v/>
      </c>
      <c r="AH363" s="92">
        <f>IF(AND(ISNUMBER(SEARCH("Delivery",N363)),ISNUMBER(SEARCH("André",N363))),"SIM","")</f>
        <v/>
      </c>
      <c r="AI363" s="92">
        <f>IF(ISNUMBER(SEARCH("Interlagos",N363)),"SIM","")</f>
        <v/>
      </c>
      <c r="AJ363" s="92">
        <f>IF(ISNUMBER(SEARCH("Quiosque",N363)),"SIM","")</f>
        <v/>
      </c>
      <c r="AK363" s="93" t="n"/>
    </row>
    <row r="364">
      <c r="A364" s="88" t="inlineStr">
        <is>
          <t>Protheus</t>
        </is>
      </c>
      <c r="B364" s="96" t="inlineStr">
        <is>
          <t>002192</t>
        </is>
      </c>
      <c r="C364" s="97">
        <f>IF(B364="—","—",IFERROR(VLOOKUP(B364,_Protheus_Cadastro!$A:$B,2,FALSE),"—"))</f>
        <v/>
      </c>
      <c r="D364" s="98">
        <f>IF(B364="—",IFERROR(INDEX(_ZIG_Cadastro!$D:$D,MATCH(H364,_ZIG_Cadastro!$A:$A,0)),"Produto"),IFERROR(VLOOKUP(B364,_Protheus_Cadastro!$A:$C,3,FALSE),"—"))</f>
        <v/>
      </c>
      <c r="E364" s="98">
        <f>IF(B364="—","—",IFERROR(VLOOKUP(B364,_Protheus_Cadastro!$A:$D,4,FALSE),"—"))</f>
        <v/>
      </c>
      <c r="F364" s="98">
        <f>IF(ISERROR(VLOOKUP(B364,'Estrutura Protheus'!A:A,1,FALSE)),"Não","Sim")</f>
        <v/>
      </c>
      <c r="G364" s="99">
        <f>IFERROR(INDEX(_Protheus_Cadastro!$H:$H,MATCH(B364,_Protheus_Cadastro!$A:$A,0)),"—")</f>
        <v/>
      </c>
      <c r="H364" s="211">
        <f>IFERROR(INDEX(_ZIG_Precos!$D:$D,MATCH(I364,_ZIG_Precos!$F:$F,0)),"—")</f>
        <v/>
      </c>
      <c r="I364" s="103">
        <f>IFERROR(VLOOKUP(B364,_Protheus_Cadastro!$A:$I,9,FALSE),"—")</f>
        <v/>
      </c>
      <c r="J364" s="101">
        <f>IFERROR(INDEX(_ZIG_Cadastro!$B:$B,MATCH(I364,_ZIG_Cadastro!$A:$A,0)),IFERROR(INDEX(_Entradas_ZIG!$B:$B,MATCH(I364,_Entradas_ZIG!$C:$C,0)),"—"))</f>
        <v/>
      </c>
      <c r="K364" s="101">
        <f>IFERROR(INDEX(_ZIG_Cadastro!$C:$C,MATCH(I364,_ZIG_Cadastro!$A:$A,0)),IFERROR(INDEX(_Entradas_ZIG!$D:$D,MATCH(I364,_Entradas_ZIG!$C:$C,0)),"—"))</f>
        <v/>
      </c>
      <c r="L364" s="99">
        <f>IF(I364="","Sem SKU ZIG",IF(I364="—","Sem SKU ZIG",IF(NOT(ISERROR(MATCH(I364,_ZIG_Cadastro!$A:$A,0))),IF(EXACT(UPPER(TRIM(C364)),UPPER(TRIM(INDEX(_ZIG_Cadastro!$B:$B,MATCH(I364,_ZIG_Cadastro!$A:$A,0))))),"OK","Atencao - Nome diverge"),IF(NOT(ISERROR(MATCH(I364,_Entradas_ZIG!$C:$C,0))),"OK","Erro - SKU nao encontrado"))))</f>
        <v/>
      </c>
      <c r="M364" s="99">
        <f>IFERROR(INDEX(_ZIG_Cadastro!$G:$G,MATCH(I364,_ZIG_Cadastro!$A:$A,0)),IF(NOT(ISERROR(MATCH(I364,_Entradas_ZIG!$C:$C,0))),"Ativo","—"))</f>
        <v/>
      </c>
      <c r="N364" s="102">
        <f>IFERROR(INDEX(_ZIG_Cadastro!$E:$E,MATCH(I364,_ZIG_Cadastro!$A:$A,0)),IFERROR(INDEX(_Entradas_ZIG!$F:$F,MATCH(I364,_Entradas_ZIG!$C:$C,0)),"—"))</f>
        <v/>
      </c>
      <c r="O364" s="99">
        <f>IF(AND(ISNUMBER(SEARCH("Espeto",N364)),ISNUMBER(SEARCH("Carin",N364))),"SIM","")</f>
        <v/>
      </c>
      <c r="P364" s="99">
        <f>IF(AND(ISNUMBER(SEARCH("Espeto",N364)),ISNUMBER(SEARCH("Lapa",N364))),"SIM","")</f>
        <v/>
      </c>
      <c r="Q364" s="99">
        <f>IF(AND(ISNUMBER(SEARCH("Espeto",N364)),ISNUMBER(SEARCH("Tatuapé",N364))),"SIM","")</f>
        <v/>
      </c>
      <c r="R364" s="99">
        <f>IF(AND(ISNUMBER(SEARCH("Espeto",N364)),ISNUMBER(SEARCH("Pavão",N364))),"SIM","")</f>
        <v/>
      </c>
      <c r="S364" s="99">
        <f>IF(AND(ISNUMBER(SEARCH("Espeto",N364)),ISNUMBER(SEARCH("Chac",N364))),"SIM","")</f>
        <v/>
      </c>
      <c r="T364" s="99">
        <f>IF(AND(ISNUMBER(SEARCH("Espeto",N364)),ISNUMBER(SEARCH("Madalena",N364))),"SIM","")</f>
        <v/>
      </c>
      <c r="U364" s="99">
        <f>IF(AND(ISNUMBER(SEARCH("Espeto",N364)),ISNUMBER(SEARCH("Mariana",N364))),"SIM","")</f>
        <v/>
      </c>
      <c r="V364" s="99">
        <f>IF(AND(ISNUMBER(SEARCH("Espeto",N364)),ISNUMBER(SEARCH("Perdizes",N364))),"SIM","")</f>
        <v/>
      </c>
      <c r="W364" s="99">
        <f>IF(AND(ISNUMBER(SEARCH("Espeto",N364)),ISNUMBER(SEARCH("Santana",N364))),"SIM","")</f>
        <v/>
      </c>
      <c r="X364" s="99">
        <f>IF(AND(ISNUMBER(SEARCH("Espeto",N364)),ISNUMBER(SEARCH("André",N364))),"SIM","")</f>
        <v/>
      </c>
      <c r="Y364" s="99">
        <f>IF(AND(ISNUMBER(SEARCH("Delivery",N364)),ISNUMBER(SEARCH("Carin",N364))),"SIM","")</f>
        <v/>
      </c>
      <c r="Z364" s="99">
        <f>IF(AND(ISNUMBER(SEARCH("Delivery",N364)),ISNUMBER(SEARCH("Lapa",N364))),"SIM","")</f>
        <v/>
      </c>
      <c r="AA364" s="99">
        <f>IF(AND(ISNUMBER(SEARCH("Delivery",N364)),ISNUMBER(SEARCH("Tatuapé",N364))),"SIM","")</f>
        <v/>
      </c>
      <c r="AB364" s="99">
        <f>IF(AND(ISNUMBER(SEARCH("Delivery",N364)),ISNUMBER(SEARCH("Pavão",N364))),"SIM","")</f>
        <v/>
      </c>
      <c r="AC364" s="99">
        <f>IF(AND(ISNUMBER(SEARCH("Delivery",N364)),ISNUMBER(SEARCH("Chac",N364))),"SIM","")</f>
        <v/>
      </c>
      <c r="AD364" s="99">
        <f>IF(AND(ISNUMBER(SEARCH("Delivery",N364)),ISNUMBER(SEARCH("Madalena",N364))),"SIM","")</f>
        <v/>
      </c>
      <c r="AE364" s="99">
        <f>IF(AND(ISNUMBER(SEARCH("Delivery",N364)),ISNUMBER(SEARCH("Mariana",N364))),"SIM","")</f>
        <v/>
      </c>
      <c r="AF364" s="99">
        <f>IF(AND(ISNUMBER(SEARCH("Delivery",N364)),ISNUMBER(SEARCH("Perdizes",N364))),"SIM","")</f>
        <v/>
      </c>
      <c r="AG364" s="99">
        <f>IF(AND(ISNUMBER(SEARCH("Delivery",N364)),ISNUMBER(SEARCH("Santana",N364))),"SIM","")</f>
        <v/>
      </c>
      <c r="AH364" s="99">
        <f>IF(AND(ISNUMBER(SEARCH("Delivery",N364)),ISNUMBER(SEARCH("André",N364))),"SIM","")</f>
        <v/>
      </c>
      <c r="AI364" s="99">
        <f>IF(ISNUMBER(SEARCH("Interlagos",N364)),"SIM","")</f>
        <v/>
      </c>
      <c r="AJ364" s="99">
        <f>IF(ISNUMBER(SEARCH("Quiosque",N364)),"SIM","")</f>
        <v/>
      </c>
      <c r="AK364" s="101" t="n"/>
    </row>
    <row r="365">
      <c r="A365" s="88" t="inlineStr">
        <is>
          <t>Protheus</t>
        </is>
      </c>
      <c r="B365" s="89" t="inlineStr">
        <is>
          <t>001482</t>
        </is>
      </c>
      <c r="C365" s="90">
        <f>IF(B365="—","—",IFERROR(VLOOKUP(B365,_Protheus_Cadastro!$A:$B,2,FALSE),"—"))</f>
        <v/>
      </c>
      <c r="D365" s="91">
        <f>IF(B365="—",IFERROR(INDEX(_ZIG_Cadastro!$D:$D,MATCH(H365,_ZIG_Cadastro!$A:$A,0)),"Produto"),IFERROR(VLOOKUP(B365,_Protheus_Cadastro!$A:$C,3,FALSE),"—"))</f>
        <v/>
      </c>
      <c r="E365" s="91">
        <f>IF(B365="—","—",IFERROR(VLOOKUP(B365,_Protheus_Cadastro!$A:$D,4,FALSE),"—"))</f>
        <v/>
      </c>
      <c r="F365" s="91">
        <f>IF(ISERROR(VLOOKUP(B365,'Estrutura Protheus'!A:A,1,FALSE)),"Não","Sim")</f>
        <v/>
      </c>
      <c r="G365" s="92">
        <f>IFERROR(INDEX(_Protheus_Cadastro!$H:$H,MATCH(B365,_Protheus_Cadastro!$A:$A,0)),"—")</f>
        <v/>
      </c>
      <c r="H365" s="210">
        <f>IFERROR(INDEX(_ZIG_Precos!$D:$D,MATCH(I365,_ZIG_Precos!$F:$F,0)),"—")</f>
        <v/>
      </c>
      <c r="I365" s="95">
        <f>IFERROR(VLOOKUP(B365,_Protheus_Cadastro!$A:$I,9,FALSE),"—")</f>
        <v/>
      </c>
      <c r="J365" s="93">
        <f>IFERROR(INDEX(_ZIG_Cadastro!$B:$B,MATCH(I365,_ZIG_Cadastro!$A:$A,0)),IFERROR(INDEX(_Entradas_ZIG!$B:$B,MATCH(I365,_Entradas_ZIG!$C:$C,0)),"—"))</f>
        <v/>
      </c>
      <c r="K365" s="93">
        <f>IFERROR(INDEX(_ZIG_Cadastro!$C:$C,MATCH(I365,_ZIG_Cadastro!$A:$A,0)),IFERROR(INDEX(_Entradas_ZIG!$D:$D,MATCH(I365,_Entradas_ZIG!$C:$C,0)),"—"))</f>
        <v/>
      </c>
      <c r="L365" s="92">
        <f>IF(I365="","Sem SKU ZIG",IF(I365="—","Sem SKU ZIG",IF(NOT(ISERROR(MATCH(I365,_ZIG_Cadastro!$A:$A,0))),IF(EXACT(UPPER(TRIM(C365)),UPPER(TRIM(INDEX(_ZIG_Cadastro!$B:$B,MATCH(I365,_ZIG_Cadastro!$A:$A,0))))),"OK","Atencao - Nome diverge"),IF(NOT(ISERROR(MATCH(I365,_Entradas_ZIG!$C:$C,0))),"OK","Erro - SKU nao encontrado"))))</f>
        <v/>
      </c>
      <c r="M365" s="92">
        <f>IFERROR(INDEX(_ZIG_Cadastro!$G:$G,MATCH(I365,_ZIG_Cadastro!$A:$A,0)),IF(NOT(ISERROR(MATCH(I365,_Entradas_ZIG!$C:$C,0))),"Ativo","—"))</f>
        <v/>
      </c>
      <c r="N365" s="94">
        <f>IFERROR(INDEX(_ZIG_Cadastro!$E:$E,MATCH(I365,_ZIG_Cadastro!$A:$A,0)),IFERROR(INDEX(_Entradas_ZIG!$F:$F,MATCH(I365,_Entradas_ZIG!$C:$C,0)),"—"))</f>
        <v/>
      </c>
      <c r="O365" s="92">
        <f>IF(AND(ISNUMBER(SEARCH("Espeto",N365)),ISNUMBER(SEARCH("Carin",N365))),"SIM","")</f>
        <v/>
      </c>
      <c r="P365" s="92">
        <f>IF(AND(ISNUMBER(SEARCH("Espeto",N365)),ISNUMBER(SEARCH("Lapa",N365))),"SIM","")</f>
        <v/>
      </c>
      <c r="Q365" s="92">
        <f>IF(AND(ISNUMBER(SEARCH("Espeto",N365)),ISNUMBER(SEARCH("Tatuapé",N365))),"SIM","")</f>
        <v/>
      </c>
      <c r="R365" s="92">
        <f>IF(AND(ISNUMBER(SEARCH("Espeto",N365)),ISNUMBER(SEARCH("Pavão",N365))),"SIM","")</f>
        <v/>
      </c>
      <c r="S365" s="92">
        <f>IF(AND(ISNUMBER(SEARCH("Espeto",N365)),ISNUMBER(SEARCH("Chac",N365))),"SIM","")</f>
        <v/>
      </c>
      <c r="T365" s="92">
        <f>IF(AND(ISNUMBER(SEARCH("Espeto",N365)),ISNUMBER(SEARCH("Madalena",N365))),"SIM","")</f>
        <v/>
      </c>
      <c r="U365" s="92">
        <f>IF(AND(ISNUMBER(SEARCH("Espeto",N365)),ISNUMBER(SEARCH("Mariana",N365))),"SIM","")</f>
        <v/>
      </c>
      <c r="V365" s="92">
        <f>IF(AND(ISNUMBER(SEARCH("Espeto",N365)),ISNUMBER(SEARCH("Perdizes",N365))),"SIM","")</f>
        <v/>
      </c>
      <c r="W365" s="92">
        <f>IF(AND(ISNUMBER(SEARCH("Espeto",N365)),ISNUMBER(SEARCH("Santana",N365))),"SIM","")</f>
        <v/>
      </c>
      <c r="X365" s="92">
        <f>IF(AND(ISNUMBER(SEARCH("Espeto",N365)),ISNUMBER(SEARCH("André",N365))),"SIM","")</f>
        <v/>
      </c>
      <c r="Y365" s="92">
        <f>IF(AND(ISNUMBER(SEARCH("Delivery",N365)),ISNUMBER(SEARCH("Carin",N365))),"SIM","")</f>
        <v/>
      </c>
      <c r="Z365" s="92">
        <f>IF(AND(ISNUMBER(SEARCH("Delivery",N365)),ISNUMBER(SEARCH("Lapa",N365))),"SIM","")</f>
        <v/>
      </c>
      <c r="AA365" s="92">
        <f>IF(AND(ISNUMBER(SEARCH("Delivery",N365)),ISNUMBER(SEARCH("Tatuapé",N365))),"SIM","")</f>
        <v/>
      </c>
      <c r="AB365" s="92">
        <f>IF(AND(ISNUMBER(SEARCH("Delivery",N365)),ISNUMBER(SEARCH("Pavão",N365))),"SIM","")</f>
        <v/>
      </c>
      <c r="AC365" s="92">
        <f>IF(AND(ISNUMBER(SEARCH("Delivery",N365)),ISNUMBER(SEARCH("Chac",N365))),"SIM","")</f>
        <v/>
      </c>
      <c r="AD365" s="92">
        <f>IF(AND(ISNUMBER(SEARCH("Delivery",N365)),ISNUMBER(SEARCH("Madalena",N365))),"SIM","")</f>
        <v/>
      </c>
      <c r="AE365" s="92">
        <f>IF(AND(ISNUMBER(SEARCH("Delivery",N365)),ISNUMBER(SEARCH("Mariana",N365))),"SIM","")</f>
        <v/>
      </c>
      <c r="AF365" s="92">
        <f>IF(AND(ISNUMBER(SEARCH("Delivery",N365)),ISNUMBER(SEARCH("Perdizes",N365))),"SIM","")</f>
        <v/>
      </c>
      <c r="AG365" s="92">
        <f>IF(AND(ISNUMBER(SEARCH("Delivery",N365)),ISNUMBER(SEARCH("Santana",N365))),"SIM","")</f>
        <v/>
      </c>
      <c r="AH365" s="92">
        <f>IF(AND(ISNUMBER(SEARCH("Delivery",N365)),ISNUMBER(SEARCH("André",N365))),"SIM","")</f>
        <v/>
      </c>
      <c r="AI365" s="92">
        <f>IF(ISNUMBER(SEARCH("Interlagos",N365)),"SIM","")</f>
        <v/>
      </c>
      <c r="AJ365" s="92">
        <f>IF(ISNUMBER(SEARCH("Quiosque",N365)),"SIM","")</f>
        <v/>
      </c>
      <c r="AK365" s="93" t="n"/>
    </row>
    <row r="366">
      <c r="A366" s="88" t="inlineStr">
        <is>
          <t>Protheus</t>
        </is>
      </c>
      <c r="B366" s="96" t="inlineStr">
        <is>
          <t>009635</t>
        </is>
      </c>
      <c r="C366" s="97">
        <f>IF(B366="—","—",IFERROR(VLOOKUP(B366,_Protheus_Cadastro!$A:$B,2,FALSE),"—"))</f>
        <v/>
      </c>
      <c r="D366" s="98">
        <f>IF(B366="—",IFERROR(INDEX(_ZIG_Cadastro!$D:$D,MATCH(H366,_ZIG_Cadastro!$A:$A,0)),"Produto"),IFERROR(VLOOKUP(B366,_Protheus_Cadastro!$A:$C,3,FALSE),"—"))</f>
        <v/>
      </c>
      <c r="E366" s="98">
        <f>IF(B366="—","—",IFERROR(VLOOKUP(B366,_Protheus_Cadastro!$A:$D,4,FALSE),"—"))</f>
        <v/>
      </c>
      <c r="F366" s="98">
        <f>IF(ISERROR(VLOOKUP(B366,'Estrutura Protheus'!A:A,1,FALSE)),"Não","Sim")</f>
        <v/>
      </c>
      <c r="G366" s="99">
        <f>IFERROR(INDEX(_Protheus_Cadastro!$H:$H,MATCH(B366,_Protheus_Cadastro!$A:$A,0)),"—")</f>
        <v/>
      </c>
      <c r="H366" s="211">
        <f>IFERROR(INDEX(_ZIG_Precos!$D:$D,MATCH(I366,_ZIG_Precos!$F:$F,0)),"—")</f>
        <v/>
      </c>
      <c r="I366" s="103">
        <f>IFERROR(VLOOKUP(B366,_Protheus_Cadastro!$A:$I,9,FALSE),"—")</f>
        <v/>
      </c>
      <c r="J366" s="101">
        <f>IFERROR(INDEX(_ZIG_Cadastro!$B:$B,MATCH(I366,_ZIG_Cadastro!$A:$A,0)),IFERROR(INDEX(_Entradas_ZIG!$B:$B,MATCH(I366,_Entradas_ZIG!$C:$C,0)),"—"))</f>
        <v/>
      </c>
      <c r="K366" s="101">
        <f>IFERROR(INDEX(_ZIG_Cadastro!$C:$C,MATCH(I366,_ZIG_Cadastro!$A:$A,0)),IFERROR(INDEX(_Entradas_ZIG!$D:$D,MATCH(I366,_Entradas_ZIG!$C:$C,0)),"—"))</f>
        <v/>
      </c>
      <c r="L366" s="99">
        <f>IF(I366="","Sem SKU ZIG",IF(I366="—","Sem SKU ZIG",IF(NOT(ISERROR(MATCH(I366,_ZIG_Cadastro!$A:$A,0))),IF(EXACT(UPPER(TRIM(C366)),UPPER(TRIM(INDEX(_ZIG_Cadastro!$B:$B,MATCH(I366,_ZIG_Cadastro!$A:$A,0))))),"OK","Atencao - Nome diverge"),IF(NOT(ISERROR(MATCH(I366,_Entradas_ZIG!$C:$C,0))),"OK","Erro - SKU nao encontrado"))))</f>
        <v/>
      </c>
      <c r="M366" s="99">
        <f>IFERROR(INDEX(_ZIG_Cadastro!$G:$G,MATCH(I366,_ZIG_Cadastro!$A:$A,0)),IF(NOT(ISERROR(MATCH(I366,_Entradas_ZIG!$C:$C,0))),"Ativo","—"))</f>
        <v/>
      </c>
      <c r="N366" s="102">
        <f>IFERROR(INDEX(_ZIG_Cadastro!$E:$E,MATCH(I366,_ZIG_Cadastro!$A:$A,0)),IFERROR(INDEX(_Entradas_ZIG!$F:$F,MATCH(I366,_Entradas_ZIG!$C:$C,0)),"—"))</f>
        <v/>
      </c>
      <c r="O366" s="99">
        <f>IF(AND(ISNUMBER(SEARCH("Espeto",N366)),ISNUMBER(SEARCH("Carin",N366))),"SIM","")</f>
        <v/>
      </c>
      <c r="P366" s="99">
        <f>IF(AND(ISNUMBER(SEARCH("Espeto",N366)),ISNUMBER(SEARCH("Lapa",N366))),"SIM","")</f>
        <v/>
      </c>
      <c r="Q366" s="99">
        <f>IF(AND(ISNUMBER(SEARCH("Espeto",N366)),ISNUMBER(SEARCH("Tatuapé",N366))),"SIM","")</f>
        <v/>
      </c>
      <c r="R366" s="99">
        <f>IF(AND(ISNUMBER(SEARCH("Espeto",N366)),ISNUMBER(SEARCH("Pavão",N366))),"SIM","")</f>
        <v/>
      </c>
      <c r="S366" s="99">
        <f>IF(AND(ISNUMBER(SEARCH("Espeto",N366)),ISNUMBER(SEARCH("Chac",N366))),"SIM","")</f>
        <v/>
      </c>
      <c r="T366" s="99">
        <f>IF(AND(ISNUMBER(SEARCH("Espeto",N366)),ISNUMBER(SEARCH("Madalena",N366))),"SIM","")</f>
        <v/>
      </c>
      <c r="U366" s="99">
        <f>IF(AND(ISNUMBER(SEARCH("Espeto",N366)),ISNUMBER(SEARCH("Mariana",N366))),"SIM","")</f>
        <v/>
      </c>
      <c r="V366" s="99">
        <f>IF(AND(ISNUMBER(SEARCH("Espeto",N366)),ISNUMBER(SEARCH("Perdizes",N366))),"SIM","")</f>
        <v/>
      </c>
      <c r="W366" s="99">
        <f>IF(AND(ISNUMBER(SEARCH("Espeto",N366)),ISNUMBER(SEARCH("Santana",N366))),"SIM","")</f>
        <v/>
      </c>
      <c r="X366" s="99">
        <f>IF(AND(ISNUMBER(SEARCH("Espeto",N366)),ISNUMBER(SEARCH("André",N366))),"SIM","")</f>
        <v/>
      </c>
      <c r="Y366" s="99">
        <f>IF(AND(ISNUMBER(SEARCH("Delivery",N366)),ISNUMBER(SEARCH("Carin",N366))),"SIM","")</f>
        <v/>
      </c>
      <c r="Z366" s="99">
        <f>IF(AND(ISNUMBER(SEARCH("Delivery",N366)),ISNUMBER(SEARCH("Lapa",N366))),"SIM","")</f>
        <v/>
      </c>
      <c r="AA366" s="99">
        <f>IF(AND(ISNUMBER(SEARCH("Delivery",N366)),ISNUMBER(SEARCH("Tatuapé",N366))),"SIM","")</f>
        <v/>
      </c>
      <c r="AB366" s="99">
        <f>IF(AND(ISNUMBER(SEARCH("Delivery",N366)),ISNUMBER(SEARCH("Pavão",N366))),"SIM","")</f>
        <v/>
      </c>
      <c r="AC366" s="99">
        <f>IF(AND(ISNUMBER(SEARCH("Delivery",N366)),ISNUMBER(SEARCH("Chac",N366))),"SIM","")</f>
        <v/>
      </c>
      <c r="AD366" s="99">
        <f>IF(AND(ISNUMBER(SEARCH("Delivery",N366)),ISNUMBER(SEARCH("Madalena",N366))),"SIM","")</f>
        <v/>
      </c>
      <c r="AE366" s="99">
        <f>IF(AND(ISNUMBER(SEARCH("Delivery",N366)),ISNUMBER(SEARCH("Mariana",N366))),"SIM","")</f>
        <v/>
      </c>
      <c r="AF366" s="99">
        <f>IF(AND(ISNUMBER(SEARCH("Delivery",N366)),ISNUMBER(SEARCH("Perdizes",N366))),"SIM","")</f>
        <v/>
      </c>
      <c r="AG366" s="99">
        <f>IF(AND(ISNUMBER(SEARCH("Delivery",N366)),ISNUMBER(SEARCH("Santana",N366))),"SIM","")</f>
        <v/>
      </c>
      <c r="AH366" s="99">
        <f>IF(AND(ISNUMBER(SEARCH("Delivery",N366)),ISNUMBER(SEARCH("André",N366))),"SIM","")</f>
        <v/>
      </c>
      <c r="AI366" s="99">
        <f>IF(ISNUMBER(SEARCH("Interlagos",N366)),"SIM","")</f>
        <v/>
      </c>
      <c r="AJ366" s="99">
        <f>IF(ISNUMBER(SEARCH("Quiosque",N366)),"SIM","")</f>
        <v/>
      </c>
      <c r="AK366" s="101" t="n"/>
    </row>
    <row r="367">
      <c r="A367" s="88" t="inlineStr">
        <is>
          <t>Protheus</t>
        </is>
      </c>
      <c r="B367" s="89" t="inlineStr">
        <is>
          <t>009482</t>
        </is>
      </c>
      <c r="C367" s="90">
        <f>IF(B367="—","—",IFERROR(VLOOKUP(B367,_Protheus_Cadastro!$A:$B,2,FALSE),"—"))</f>
        <v/>
      </c>
      <c r="D367" s="118">
        <f>IF(B367="—",IFERROR(INDEX(_ZIG_Cadastro!$D:$D,MATCH(H367,_ZIG_Cadastro!$A:$A,0)),"Produto"),IFERROR(VLOOKUP(B367,_Protheus_Cadastro!$A:$C,3,FALSE),"—"))</f>
        <v/>
      </c>
      <c r="E367" s="91">
        <f>IF(B367="—","—",IFERROR(VLOOKUP(B367,_Protheus_Cadastro!$A:$D,4,FALSE),"—"))</f>
        <v/>
      </c>
      <c r="F367" s="91">
        <f>IF(ISERROR(VLOOKUP(B367,'Estrutura Protheus'!A:A,1,FALSE)),"Não","Sim")</f>
        <v/>
      </c>
      <c r="G367" s="92">
        <f>IFERROR(INDEX(_Protheus_Cadastro!$H:$H,MATCH(B367,_Protheus_Cadastro!$A:$A,0)),"—")</f>
        <v/>
      </c>
      <c r="H367" s="210">
        <f>IFERROR(INDEX(_ZIG_Precos!$D:$D,MATCH(I367,_ZIG_Precos!$F:$F,0)),"—")</f>
        <v/>
      </c>
      <c r="I367" s="95">
        <f>IFERROR(VLOOKUP(B367,_Protheus_Cadastro!$A:$I,9,FALSE),"—")</f>
        <v/>
      </c>
      <c r="J367" s="93">
        <f>IFERROR(INDEX(_ZIG_Cadastro!$B:$B,MATCH(I367,_ZIG_Cadastro!$A:$A,0)),IFERROR(INDEX(_Entradas_ZIG!$B:$B,MATCH(I367,_Entradas_ZIG!$C:$C,0)),"—"))</f>
        <v/>
      </c>
      <c r="K367" s="93">
        <f>IFERROR(INDEX(_ZIG_Cadastro!$C:$C,MATCH(I367,_ZIG_Cadastro!$A:$A,0)),IFERROR(INDEX(_Entradas_ZIG!$D:$D,MATCH(I367,_Entradas_ZIG!$C:$C,0)),"—"))</f>
        <v/>
      </c>
      <c r="L367" s="92">
        <f>IF(I367="","Sem SKU ZIG",IF(I367="—","Sem SKU ZIG",IF(NOT(ISERROR(MATCH(I367,_ZIG_Cadastro!$A:$A,0))),IF(EXACT(UPPER(TRIM(C367)),UPPER(TRIM(INDEX(_ZIG_Cadastro!$B:$B,MATCH(I367,_ZIG_Cadastro!$A:$A,0))))),"OK","Atencao - Nome diverge"),IF(NOT(ISERROR(MATCH(I367,_Entradas_ZIG!$C:$C,0))),"OK","Erro - SKU nao encontrado"))))</f>
        <v/>
      </c>
      <c r="M367" s="92">
        <f>IFERROR(INDEX(_ZIG_Cadastro!$G:$G,MATCH(I367,_ZIG_Cadastro!$A:$A,0)),IF(NOT(ISERROR(MATCH(I367,_Entradas_ZIG!$C:$C,0))),"Ativo","—"))</f>
        <v/>
      </c>
      <c r="N367" s="94">
        <f>IFERROR(INDEX(_ZIG_Cadastro!$E:$E,MATCH(I367,_ZIG_Cadastro!$A:$A,0)),IFERROR(INDEX(_Entradas_ZIG!$F:$F,MATCH(I367,_Entradas_ZIG!$C:$C,0)),"—"))</f>
        <v/>
      </c>
      <c r="O367" s="92">
        <f>IF(AND(ISNUMBER(SEARCH("Espeto",N367)),ISNUMBER(SEARCH("Carin",N367))),"SIM","")</f>
        <v/>
      </c>
      <c r="P367" s="92">
        <f>IF(AND(ISNUMBER(SEARCH("Espeto",N367)),ISNUMBER(SEARCH("Lapa",N367))),"SIM","")</f>
        <v/>
      </c>
      <c r="Q367" s="92">
        <f>IF(AND(ISNUMBER(SEARCH("Espeto",N367)),ISNUMBER(SEARCH("Tatuapé",N367))),"SIM","")</f>
        <v/>
      </c>
      <c r="R367" s="92">
        <f>IF(AND(ISNUMBER(SEARCH("Espeto",N367)),ISNUMBER(SEARCH("Pavão",N367))),"SIM","")</f>
        <v/>
      </c>
      <c r="S367" s="92">
        <f>IF(AND(ISNUMBER(SEARCH("Espeto",N367)),ISNUMBER(SEARCH("Chac",N367))),"SIM","")</f>
        <v/>
      </c>
      <c r="T367" s="92">
        <f>IF(AND(ISNUMBER(SEARCH("Espeto",N367)),ISNUMBER(SEARCH("Madalena",N367))),"SIM","")</f>
        <v/>
      </c>
      <c r="U367" s="92">
        <f>IF(AND(ISNUMBER(SEARCH("Espeto",N367)),ISNUMBER(SEARCH("Mariana",N367))),"SIM","")</f>
        <v/>
      </c>
      <c r="V367" s="92">
        <f>IF(AND(ISNUMBER(SEARCH("Espeto",N367)),ISNUMBER(SEARCH("Perdizes",N367))),"SIM","")</f>
        <v/>
      </c>
      <c r="W367" s="92">
        <f>IF(AND(ISNUMBER(SEARCH("Espeto",N367)),ISNUMBER(SEARCH("Santana",N367))),"SIM","")</f>
        <v/>
      </c>
      <c r="X367" s="92">
        <f>IF(AND(ISNUMBER(SEARCH("Espeto",N367)),ISNUMBER(SEARCH("André",N367))),"SIM","")</f>
        <v/>
      </c>
      <c r="Y367" s="92">
        <f>IF(AND(ISNUMBER(SEARCH("Delivery",N367)),ISNUMBER(SEARCH("Carin",N367))),"SIM","")</f>
        <v/>
      </c>
      <c r="Z367" s="92">
        <f>IF(AND(ISNUMBER(SEARCH("Delivery",N367)),ISNUMBER(SEARCH("Lapa",N367))),"SIM","")</f>
        <v/>
      </c>
      <c r="AA367" s="92">
        <f>IF(AND(ISNUMBER(SEARCH("Delivery",N367)),ISNUMBER(SEARCH("Tatuapé",N367))),"SIM","")</f>
        <v/>
      </c>
      <c r="AB367" s="92">
        <f>IF(AND(ISNUMBER(SEARCH("Delivery",N367)),ISNUMBER(SEARCH("Pavão",N367))),"SIM","")</f>
        <v/>
      </c>
      <c r="AC367" s="92">
        <f>IF(AND(ISNUMBER(SEARCH("Delivery",N367)),ISNUMBER(SEARCH("Chac",N367))),"SIM","")</f>
        <v/>
      </c>
      <c r="AD367" s="92">
        <f>IF(AND(ISNUMBER(SEARCH("Delivery",N367)),ISNUMBER(SEARCH("Madalena",N367))),"SIM","")</f>
        <v/>
      </c>
      <c r="AE367" s="92">
        <f>IF(AND(ISNUMBER(SEARCH("Delivery",N367)),ISNUMBER(SEARCH("Mariana",N367))),"SIM","")</f>
        <v/>
      </c>
      <c r="AF367" s="92">
        <f>IF(AND(ISNUMBER(SEARCH("Delivery",N367)),ISNUMBER(SEARCH("Perdizes",N367))),"SIM","")</f>
        <v/>
      </c>
      <c r="AG367" s="92">
        <f>IF(AND(ISNUMBER(SEARCH("Delivery",N367)),ISNUMBER(SEARCH("Santana",N367))),"SIM","")</f>
        <v/>
      </c>
      <c r="AH367" s="92">
        <f>IF(AND(ISNUMBER(SEARCH("Delivery",N367)),ISNUMBER(SEARCH("André",N367))),"SIM","")</f>
        <v/>
      </c>
      <c r="AI367" s="92">
        <f>IF(ISNUMBER(SEARCH("Interlagos",N367)),"SIM","")</f>
        <v/>
      </c>
      <c r="AJ367" s="92">
        <f>IF(ISNUMBER(SEARCH("Quiosque",N367)),"SIM","")</f>
        <v/>
      </c>
      <c r="AK367" s="93" t="n"/>
    </row>
    <row r="368">
      <c r="A368" s="88" t="inlineStr">
        <is>
          <t>Protheus</t>
        </is>
      </c>
      <c r="B368" s="96" t="inlineStr">
        <is>
          <t>001203</t>
        </is>
      </c>
      <c r="C368" s="97">
        <f>IF(B368="—","—",IFERROR(VLOOKUP(B368,_Protheus_Cadastro!$A:$B,2,FALSE),"—"))</f>
        <v/>
      </c>
      <c r="D368" s="98">
        <f>IF(B368="—",IFERROR(INDEX(_ZIG_Cadastro!$D:$D,MATCH(H368,_ZIG_Cadastro!$A:$A,0)),"Produto"),IFERROR(VLOOKUP(B368,_Protheus_Cadastro!$A:$C,3,FALSE),"—"))</f>
        <v/>
      </c>
      <c r="E368" s="98">
        <f>IF(B368="—","—",IFERROR(VLOOKUP(B368,_Protheus_Cadastro!$A:$D,4,FALSE),"—"))</f>
        <v/>
      </c>
      <c r="F368" s="98">
        <f>IF(ISERROR(VLOOKUP(B368,'Estrutura Protheus'!A:A,1,FALSE)),"Não","Sim")</f>
        <v/>
      </c>
      <c r="G368" s="99">
        <f>IFERROR(INDEX(_Protheus_Cadastro!$H:$H,MATCH(B368,_Protheus_Cadastro!$A:$A,0)),"—")</f>
        <v/>
      </c>
      <c r="H368" s="211">
        <f>IFERROR(INDEX(_ZIG_Precos!$D:$D,MATCH(I368,_ZIG_Precos!$F:$F,0)),"—")</f>
        <v/>
      </c>
      <c r="I368" s="103">
        <f>IFERROR(VLOOKUP(B368,_Protheus_Cadastro!$A:$I,9,FALSE),"—")</f>
        <v/>
      </c>
      <c r="J368" s="101">
        <f>IFERROR(INDEX(_ZIG_Cadastro!$B:$B,MATCH(I368,_ZIG_Cadastro!$A:$A,0)),IFERROR(INDEX(_Entradas_ZIG!$B:$B,MATCH(I368,_Entradas_ZIG!$C:$C,0)),"—"))</f>
        <v/>
      </c>
      <c r="K368" s="101">
        <f>IFERROR(INDEX(_ZIG_Cadastro!$C:$C,MATCH(I368,_ZIG_Cadastro!$A:$A,0)),IFERROR(INDEX(_Entradas_ZIG!$D:$D,MATCH(I368,_Entradas_ZIG!$C:$C,0)),"—"))</f>
        <v/>
      </c>
      <c r="L368" s="99">
        <f>IF(I368="","Sem SKU ZIG",IF(I368="—","Sem SKU ZIG",IF(NOT(ISERROR(MATCH(I368,_ZIG_Cadastro!$A:$A,0))),IF(EXACT(UPPER(TRIM(C368)),UPPER(TRIM(INDEX(_ZIG_Cadastro!$B:$B,MATCH(I368,_ZIG_Cadastro!$A:$A,0))))),"OK","Atencao - Nome diverge"),IF(NOT(ISERROR(MATCH(I368,_Entradas_ZIG!$C:$C,0))),"OK","Erro - SKU nao encontrado"))))</f>
        <v/>
      </c>
      <c r="M368" s="99">
        <f>IFERROR(INDEX(_ZIG_Cadastro!$G:$G,MATCH(I368,_ZIG_Cadastro!$A:$A,0)),IF(NOT(ISERROR(MATCH(I368,_Entradas_ZIG!$C:$C,0))),"Ativo","—"))</f>
        <v/>
      </c>
      <c r="N368" s="102">
        <f>IFERROR(INDEX(_ZIG_Cadastro!$E:$E,MATCH(I368,_ZIG_Cadastro!$A:$A,0)),IFERROR(INDEX(_Entradas_ZIG!$F:$F,MATCH(I368,_Entradas_ZIG!$C:$C,0)),"—"))</f>
        <v/>
      </c>
      <c r="O368" s="99">
        <f>IF(AND(ISNUMBER(SEARCH("Espeto",N368)),ISNUMBER(SEARCH("Carin",N368))),"SIM","")</f>
        <v/>
      </c>
      <c r="P368" s="99">
        <f>IF(AND(ISNUMBER(SEARCH("Espeto",N368)),ISNUMBER(SEARCH("Lapa",N368))),"SIM","")</f>
        <v/>
      </c>
      <c r="Q368" s="99">
        <f>IF(AND(ISNUMBER(SEARCH("Espeto",N368)),ISNUMBER(SEARCH("Tatuapé",N368))),"SIM","")</f>
        <v/>
      </c>
      <c r="R368" s="99">
        <f>IF(AND(ISNUMBER(SEARCH("Espeto",N368)),ISNUMBER(SEARCH("Pavão",N368))),"SIM","")</f>
        <v/>
      </c>
      <c r="S368" s="99">
        <f>IF(AND(ISNUMBER(SEARCH("Espeto",N368)),ISNUMBER(SEARCH("Chac",N368))),"SIM","")</f>
        <v/>
      </c>
      <c r="T368" s="99">
        <f>IF(AND(ISNUMBER(SEARCH("Espeto",N368)),ISNUMBER(SEARCH("Madalena",N368))),"SIM","")</f>
        <v/>
      </c>
      <c r="U368" s="99">
        <f>IF(AND(ISNUMBER(SEARCH("Espeto",N368)),ISNUMBER(SEARCH("Mariana",N368))),"SIM","")</f>
        <v/>
      </c>
      <c r="V368" s="99">
        <f>IF(AND(ISNUMBER(SEARCH("Espeto",N368)),ISNUMBER(SEARCH("Perdizes",N368))),"SIM","")</f>
        <v/>
      </c>
      <c r="W368" s="99">
        <f>IF(AND(ISNUMBER(SEARCH("Espeto",N368)),ISNUMBER(SEARCH("Santana",N368))),"SIM","")</f>
        <v/>
      </c>
      <c r="X368" s="99">
        <f>IF(AND(ISNUMBER(SEARCH("Espeto",N368)),ISNUMBER(SEARCH("André",N368))),"SIM","")</f>
        <v/>
      </c>
      <c r="Y368" s="99">
        <f>IF(AND(ISNUMBER(SEARCH("Delivery",N368)),ISNUMBER(SEARCH("Carin",N368))),"SIM","")</f>
        <v/>
      </c>
      <c r="Z368" s="99">
        <f>IF(AND(ISNUMBER(SEARCH("Delivery",N368)),ISNUMBER(SEARCH("Lapa",N368))),"SIM","")</f>
        <v/>
      </c>
      <c r="AA368" s="99">
        <f>IF(AND(ISNUMBER(SEARCH("Delivery",N368)),ISNUMBER(SEARCH("Tatuapé",N368))),"SIM","")</f>
        <v/>
      </c>
      <c r="AB368" s="99">
        <f>IF(AND(ISNUMBER(SEARCH("Delivery",N368)),ISNUMBER(SEARCH("Pavão",N368))),"SIM","")</f>
        <v/>
      </c>
      <c r="AC368" s="99">
        <f>IF(AND(ISNUMBER(SEARCH("Delivery",N368)),ISNUMBER(SEARCH("Chac",N368))),"SIM","")</f>
        <v/>
      </c>
      <c r="AD368" s="99">
        <f>IF(AND(ISNUMBER(SEARCH("Delivery",N368)),ISNUMBER(SEARCH("Madalena",N368))),"SIM","")</f>
        <v/>
      </c>
      <c r="AE368" s="99">
        <f>IF(AND(ISNUMBER(SEARCH("Delivery",N368)),ISNUMBER(SEARCH("Mariana",N368))),"SIM","")</f>
        <v/>
      </c>
      <c r="AF368" s="99">
        <f>IF(AND(ISNUMBER(SEARCH("Delivery",N368)),ISNUMBER(SEARCH("Perdizes",N368))),"SIM","")</f>
        <v/>
      </c>
      <c r="AG368" s="99">
        <f>IF(AND(ISNUMBER(SEARCH("Delivery",N368)),ISNUMBER(SEARCH("Santana",N368))),"SIM","")</f>
        <v/>
      </c>
      <c r="AH368" s="99">
        <f>IF(AND(ISNUMBER(SEARCH("Delivery",N368)),ISNUMBER(SEARCH("André",N368))),"SIM","")</f>
        <v/>
      </c>
      <c r="AI368" s="99">
        <f>IF(ISNUMBER(SEARCH("Interlagos",N368)),"SIM","")</f>
        <v/>
      </c>
      <c r="AJ368" s="99">
        <f>IF(ISNUMBER(SEARCH("Quiosque",N368)),"SIM","")</f>
        <v/>
      </c>
      <c r="AK368" s="101" t="n"/>
    </row>
    <row r="369">
      <c r="A369" s="88" t="inlineStr">
        <is>
          <t>Protheus</t>
        </is>
      </c>
      <c r="B369" s="96" t="inlineStr">
        <is>
          <t>001481</t>
        </is>
      </c>
      <c r="C369" s="97">
        <f>IF(B369="—","—",IFERROR(VLOOKUP(B369,_Protheus_Cadastro!$A:$B,2,FALSE),"—"))</f>
        <v/>
      </c>
      <c r="D369" s="98">
        <f>IF(B369="—",IFERROR(INDEX(_ZIG_Cadastro!$D:$D,MATCH(H369,_ZIG_Cadastro!$A:$A,0)),"Produto"),IFERROR(VLOOKUP(B369,_Protheus_Cadastro!$A:$C,3,FALSE),"—"))</f>
        <v/>
      </c>
      <c r="E369" s="98">
        <f>IF(B369="—","—",IFERROR(VLOOKUP(B369,_Protheus_Cadastro!$A:$D,4,FALSE),"—"))</f>
        <v/>
      </c>
      <c r="F369" s="98">
        <f>IF(ISERROR(VLOOKUP(B369,'Estrutura Protheus'!A:A,1,FALSE)),"Não","Sim")</f>
        <v/>
      </c>
      <c r="G369" s="99">
        <f>IFERROR(INDEX(_Protheus_Cadastro!$H:$H,MATCH(B369,_Protheus_Cadastro!$A:$A,0)),"—")</f>
        <v/>
      </c>
      <c r="H369" s="211">
        <f>IFERROR(INDEX(_ZIG_Precos!$D:$D,MATCH(I369,_ZIG_Precos!$F:$F,0)),"—")</f>
        <v/>
      </c>
      <c r="I369" s="103">
        <f>IFERROR(VLOOKUP(B369,_Protheus_Cadastro!$A:$I,9,FALSE),"—")</f>
        <v/>
      </c>
      <c r="J369" s="101">
        <f>IFERROR(INDEX(_ZIG_Cadastro!$B:$B,MATCH(I369,_ZIG_Cadastro!$A:$A,0)),IFERROR(INDEX(_Entradas_ZIG!$B:$B,MATCH(I369,_Entradas_ZIG!$C:$C,0)),"—"))</f>
        <v/>
      </c>
      <c r="K369" s="101">
        <f>IFERROR(INDEX(_ZIG_Cadastro!$C:$C,MATCH(I369,_ZIG_Cadastro!$A:$A,0)),IFERROR(INDEX(_Entradas_ZIG!$D:$D,MATCH(I369,_Entradas_ZIG!$C:$C,0)),"—"))</f>
        <v/>
      </c>
      <c r="L369" s="99">
        <f>IF(I369="","Sem SKU ZIG",IF(I369="—","Sem SKU ZIG",IF(NOT(ISERROR(MATCH(I369,_ZIG_Cadastro!$A:$A,0))),IF(EXACT(UPPER(TRIM(C369)),UPPER(TRIM(INDEX(_ZIG_Cadastro!$B:$B,MATCH(I369,_ZIG_Cadastro!$A:$A,0))))),"OK","Atencao - Nome diverge"),IF(NOT(ISERROR(MATCH(I369,_Entradas_ZIG!$C:$C,0))),"OK","Erro - SKU nao encontrado"))))</f>
        <v/>
      </c>
      <c r="M369" s="99">
        <f>IFERROR(INDEX(_ZIG_Cadastro!$G:$G,MATCH(I369,_ZIG_Cadastro!$A:$A,0)),IF(NOT(ISERROR(MATCH(I369,_Entradas_ZIG!$C:$C,0))),"Ativo","—"))</f>
        <v/>
      </c>
      <c r="N369" s="102">
        <f>IFERROR(INDEX(_ZIG_Cadastro!$E:$E,MATCH(I369,_ZIG_Cadastro!$A:$A,0)),IFERROR(INDEX(_Entradas_ZIG!$F:$F,MATCH(I369,_Entradas_ZIG!$C:$C,0)),"—"))</f>
        <v/>
      </c>
      <c r="O369" s="99">
        <f>IF(AND(ISNUMBER(SEARCH("Espeto",N369)),ISNUMBER(SEARCH("Carin",N369))),"SIM","")</f>
        <v/>
      </c>
      <c r="P369" s="99">
        <f>IF(AND(ISNUMBER(SEARCH("Espeto",N369)),ISNUMBER(SEARCH("Lapa",N369))),"SIM","")</f>
        <v/>
      </c>
      <c r="Q369" s="99">
        <f>IF(AND(ISNUMBER(SEARCH("Espeto",N369)),ISNUMBER(SEARCH("Tatuapé",N369))),"SIM","")</f>
        <v/>
      </c>
      <c r="R369" s="99">
        <f>IF(AND(ISNUMBER(SEARCH("Espeto",N369)),ISNUMBER(SEARCH("Pavão",N369))),"SIM","")</f>
        <v/>
      </c>
      <c r="S369" s="99">
        <f>IF(AND(ISNUMBER(SEARCH("Espeto",N369)),ISNUMBER(SEARCH("Chac",N369))),"SIM","")</f>
        <v/>
      </c>
      <c r="T369" s="99">
        <f>IF(AND(ISNUMBER(SEARCH("Espeto",N369)),ISNUMBER(SEARCH("Madalena",N369))),"SIM","")</f>
        <v/>
      </c>
      <c r="U369" s="99">
        <f>IF(AND(ISNUMBER(SEARCH("Espeto",N369)),ISNUMBER(SEARCH("Mariana",N369))),"SIM","")</f>
        <v/>
      </c>
      <c r="V369" s="99">
        <f>IF(AND(ISNUMBER(SEARCH("Espeto",N369)),ISNUMBER(SEARCH("Perdizes",N369))),"SIM","")</f>
        <v/>
      </c>
      <c r="W369" s="99">
        <f>IF(AND(ISNUMBER(SEARCH("Espeto",N369)),ISNUMBER(SEARCH("Santana",N369))),"SIM","")</f>
        <v/>
      </c>
      <c r="X369" s="99">
        <f>IF(AND(ISNUMBER(SEARCH("Espeto",N369)),ISNUMBER(SEARCH("André",N369))),"SIM","")</f>
        <v/>
      </c>
      <c r="Y369" s="99">
        <f>IF(AND(ISNUMBER(SEARCH("Delivery",N369)),ISNUMBER(SEARCH("Carin",N369))),"SIM","")</f>
        <v/>
      </c>
      <c r="Z369" s="99">
        <f>IF(AND(ISNUMBER(SEARCH("Delivery",N369)),ISNUMBER(SEARCH("Lapa",N369))),"SIM","")</f>
        <v/>
      </c>
      <c r="AA369" s="99">
        <f>IF(AND(ISNUMBER(SEARCH("Delivery",N369)),ISNUMBER(SEARCH("Tatuapé",N369))),"SIM","")</f>
        <v/>
      </c>
      <c r="AB369" s="99">
        <f>IF(AND(ISNUMBER(SEARCH("Delivery",N369)),ISNUMBER(SEARCH("Pavão",N369))),"SIM","")</f>
        <v/>
      </c>
      <c r="AC369" s="99">
        <f>IF(AND(ISNUMBER(SEARCH("Delivery",N369)),ISNUMBER(SEARCH("Chac",N369))),"SIM","")</f>
        <v/>
      </c>
      <c r="AD369" s="99">
        <f>IF(AND(ISNUMBER(SEARCH("Delivery",N369)),ISNUMBER(SEARCH("Madalena",N369))),"SIM","")</f>
        <v/>
      </c>
      <c r="AE369" s="99">
        <f>IF(AND(ISNUMBER(SEARCH("Delivery",N369)),ISNUMBER(SEARCH("Mariana",N369))),"SIM","")</f>
        <v/>
      </c>
      <c r="AF369" s="99">
        <f>IF(AND(ISNUMBER(SEARCH("Delivery",N369)),ISNUMBER(SEARCH("Perdizes",N369))),"SIM","")</f>
        <v/>
      </c>
      <c r="AG369" s="99">
        <f>IF(AND(ISNUMBER(SEARCH("Delivery",N369)),ISNUMBER(SEARCH("Santana",N369))),"SIM","")</f>
        <v/>
      </c>
      <c r="AH369" s="99">
        <f>IF(AND(ISNUMBER(SEARCH("Delivery",N369)),ISNUMBER(SEARCH("André",N369))),"SIM","")</f>
        <v/>
      </c>
      <c r="AI369" s="99">
        <f>IF(ISNUMBER(SEARCH("Interlagos",N369)),"SIM","")</f>
        <v/>
      </c>
      <c r="AJ369" s="99">
        <f>IF(ISNUMBER(SEARCH("Quiosque",N369)),"SIM","")</f>
        <v/>
      </c>
      <c r="AK369" s="101" t="n"/>
    </row>
    <row r="370">
      <c r="A370" s="88" t="inlineStr">
        <is>
          <t>Protheus</t>
        </is>
      </c>
      <c r="B370" s="89" t="inlineStr">
        <is>
          <t>009843</t>
        </is>
      </c>
      <c r="C370" s="90">
        <f>IF(B370="—","—",IFERROR(VLOOKUP(B370,_Protheus_Cadastro!$A:$B,2,FALSE),"—"))</f>
        <v/>
      </c>
      <c r="D370" s="91">
        <f>IF(B370="—",IFERROR(INDEX(_ZIG_Cadastro!$D:$D,MATCH(H370,_ZIG_Cadastro!$A:$A,0)),"Produto"),IFERROR(VLOOKUP(B370,_Protheus_Cadastro!$A:$C,3,FALSE),"—"))</f>
        <v/>
      </c>
      <c r="E370" s="91">
        <f>IF(B370="—","—",IFERROR(VLOOKUP(B370,_Protheus_Cadastro!$A:$D,4,FALSE),"—"))</f>
        <v/>
      </c>
      <c r="F370" s="91">
        <f>IF(ISERROR(VLOOKUP(B370,'Estrutura Protheus'!A:A,1,FALSE)),"Não","Sim")</f>
        <v/>
      </c>
      <c r="G370" s="92">
        <f>IFERROR(INDEX(_Protheus_Cadastro!$H:$H,MATCH(B370,_Protheus_Cadastro!$A:$A,0)),"—")</f>
        <v/>
      </c>
      <c r="H370" s="210">
        <f>IFERROR(INDEX(_ZIG_Precos!$D:$D,MATCH(I370,_ZIG_Precos!$F:$F,0)),"—")</f>
        <v/>
      </c>
      <c r="I370" s="95">
        <f>IFERROR(VLOOKUP(B370,_Protheus_Cadastro!$A:$I,9,FALSE),"—")</f>
        <v/>
      </c>
      <c r="J370" s="93">
        <f>IFERROR(INDEX(_ZIG_Cadastro!$B:$B,MATCH(I370,_ZIG_Cadastro!$A:$A,0)),IFERROR(INDEX(_Entradas_ZIG!$B:$B,MATCH(I370,_Entradas_ZIG!$C:$C,0)),"—"))</f>
        <v/>
      </c>
      <c r="K370" s="93">
        <f>IFERROR(INDEX(_ZIG_Cadastro!$C:$C,MATCH(I370,_ZIG_Cadastro!$A:$A,0)),IFERROR(INDEX(_Entradas_ZIG!$D:$D,MATCH(I370,_Entradas_ZIG!$C:$C,0)),"—"))</f>
        <v/>
      </c>
      <c r="L370" s="92">
        <f>IF(I370="","Sem SKU ZIG",IF(I370="—","Sem SKU ZIG",IF(NOT(ISERROR(MATCH(I370,_ZIG_Cadastro!$A:$A,0))),IF(EXACT(UPPER(TRIM(C370)),UPPER(TRIM(INDEX(_ZIG_Cadastro!$B:$B,MATCH(I370,_ZIG_Cadastro!$A:$A,0))))),"OK","Atencao - Nome diverge"),IF(NOT(ISERROR(MATCH(I370,_Entradas_ZIG!$C:$C,0))),"OK","Erro - SKU nao encontrado"))))</f>
        <v/>
      </c>
      <c r="M370" s="92">
        <f>IFERROR(INDEX(_ZIG_Cadastro!$G:$G,MATCH(I370,_ZIG_Cadastro!$A:$A,0)),IF(NOT(ISERROR(MATCH(I370,_Entradas_ZIG!$C:$C,0))),"Ativo","—"))</f>
        <v/>
      </c>
      <c r="N370" s="94">
        <f>IFERROR(INDEX(_ZIG_Cadastro!$E:$E,MATCH(I370,_ZIG_Cadastro!$A:$A,0)),IFERROR(INDEX(_Entradas_ZIG!$F:$F,MATCH(I370,_Entradas_ZIG!$C:$C,0)),"—"))</f>
        <v/>
      </c>
      <c r="O370" s="92">
        <f>IF(AND(ISNUMBER(SEARCH("Espeto",N370)),ISNUMBER(SEARCH("Carin",N370))),"SIM","")</f>
        <v/>
      </c>
      <c r="P370" s="92">
        <f>IF(AND(ISNUMBER(SEARCH("Espeto",N370)),ISNUMBER(SEARCH("Lapa",N370))),"SIM","")</f>
        <v/>
      </c>
      <c r="Q370" s="92">
        <f>IF(AND(ISNUMBER(SEARCH("Espeto",N370)),ISNUMBER(SEARCH("Tatuapé",N370))),"SIM","")</f>
        <v/>
      </c>
      <c r="R370" s="92">
        <f>IF(AND(ISNUMBER(SEARCH("Espeto",N370)),ISNUMBER(SEARCH("Pavão",N370))),"SIM","")</f>
        <v/>
      </c>
      <c r="S370" s="92">
        <f>IF(AND(ISNUMBER(SEARCH("Espeto",N370)),ISNUMBER(SEARCH("Chac",N370))),"SIM","")</f>
        <v/>
      </c>
      <c r="T370" s="92">
        <f>IF(AND(ISNUMBER(SEARCH("Espeto",N370)),ISNUMBER(SEARCH("Madalena",N370))),"SIM","")</f>
        <v/>
      </c>
      <c r="U370" s="92">
        <f>IF(AND(ISNUMBER(SEARCH("Espeto",N370)),ISNUMBER(SEARCH("Mariana",N370))),"SIM","")</f>
        <v/>
      </c>
      <c r="V370" s="92">
        <f>IF(AND(ISNUMBER(SEARCH("Espeto",N370)),ISNUMBER(SEARCH("Perdizes",N370))),"SIM","")</f>
        <v/>
      </c>
      <c r="W370" s="92">
        <f>IF(AND(ISNUMBER(SEARCH("Espeto",N370)),ISNUMBER(SEARCH("Santana",N370))),"SIM","")</f>
        <v/>
      </c>
      <c r="X370" s="92">
        <f>IF(AND(ISNUMBER(SEARCH("Espeto",N370)),ISNUMBER(SEARCH("André",N370))),"SIM","")</f>
        <v/>
      </c>
      <c r="Y370" s="92">
        <f>IF(AND(ISNUMBER(SEARCH("Delivery",N370)),ISNUMBER(SEARCH("Carin",N370))),"SIM","")</f>
        <v/>
      </c>
      <c r="Z370" s="92">
        <f>IF(AND(ISNUMBER(SEARCH("Delivery",N370)),ISNUMBER(SEARCH("Lapa",N370))),"SIM","")</f>
        <v/>
      </c>
      <c r="AA370" s="92">
        <f>IF(AND(ISNUMBER(SEARCH("Delivery",N370)),ISNUMBER(SEARCH("Tatuapé",N370))),"SIM","")</f>
        <v/>
      </c>
      <c r="AB370" s="92">
        <f>IF(AND(ISNUMBER(SEARCH("Delivery",N370)),ISNUMBER(SEARCH("Pavão",N370))),"SIM","")</f>
        <v/>
      </c>
      <c r="AC370" s="92">
        <f>IF(AND(ISNUMBER(SEARCH("Delivery",N370)),ISNUMBER(SEARCH("Chac",N370))),"SIM","")</f>
        <v/>
      </c>
      <c r="AD370" s="92">
        <f>IF(AND(ISNUMBER(SEARCH("Delivery",N370)),ISNUMBER(SEARCH("Madalena",N370))),"SIM","")</f>
        <v/>
      </c>
      <c r="AE370" s="92">
        <f>IF(AND(ISNUMBER(SEARCH("Delivery",N370)),ISNUMBER(SEARCH("Mariana",N370))),"SIM","")</f>
        <v/>
      </c>
      <c r="AF370" s="92">
        <f>IF(AND(ISNUMBER(SEARCH("Delivery",N370)),ISNUMBER(SEARCH("Perdizes",N370))),"SIM","")</f>
        <v/>
      </c>
      <c r="AG370" s="92">
        <f>IF(AND(ISNUMBER(SEARCH("Delivery",N370)),ISNUMBER(SEARCH("Santana",N370))),"SIM","")</f>
        <v/>
      </c>
      <c r="AH370" s="92">
        <f>IF(AND(ISNUMBER(SEARCH("Delivery",N370)),ISNUMBER(SEARCH("André",N370))),"SIM","")</f>
        <v/>
      </c>
      <c r="AI370" s="92">
        <f>IF(ISNUMBER(SEARCH("Interlagos",N370)),"SIM","")</f>
        <v/>
      </c>
      <c r="AJ370" s="92">
        <f>IF(ISNUMBER(SEARCH("Quiosque",N370)),"SIM","")</f>
        <v/>
      </c>
      <c r="AK370" s="93" t="n"/>
    </row>
    <row r="371">
      <c r="A371" s="88" t="inlineStr">
        <is>
          <t>Protheus</t>
        </is>
      </c>
      <c r="B371" s="96" t="inlineStr">
        <is>
          <t>010011</t>
        </is>
      </c>
      <c r="C371" s="97">
        <f>IF(B371="—","—",IFERROR(VLOOKUP(B371,_Protheus_Cadastro!$A:$B,2,FALSE),"—"))</f>
        <v/>
      </c>
      <c r="D371" s="98">
        <f>IF(B371="—",IFERROR(INDEX(_ZIG_Cadastro!$D:$D,MATCH(H371,_ZIG_Cadastro!$A:$A,0)),"Produto"),IFERROR(VLOOKUP(B371,_Protheus_Cadastro!$A:$C,3,FALSE),"—"))</f>
        <v/>
      </c>
      <c r="E371" s="98">
        <f>IF(B371="—","—",IFERROR(VLOOKUP(B371,_Protheus_Cadastro!$A:$D,4,FALSE),"—"))</f>
        <v/>
      </c>
      <c r="F371" s="98">
        <f>IF(ISERROR(VLOOKUP(B371,'Estrutura Protheus'!A:A,1,FALSE)),"Não","Sim")</f>
        <v/>
      </c>
      <c r="G371" s="99">
        <f>IFERROR(INDEX(_Protheus_Cadastro!$H:$H,MATCH(B371,_Protheus_Cadastro!$A:$A,0)),"—")</f>
        <v/>
      </c>
      <c r="H371" s="211">
        <f>IFERROR(INDEX(_ZIG_Precos!$D:$D,MATCH(I371,_ZIG_Precos!$F:$F,0)),"—")</f>
        <v/>
      </c>
      <c r="I371" s="103">
        <f>IFERROR(VLOOKUP(B371,_Protheus_Cadastro!$A:$I,9,FALSE),"—")</f>
        <v/>
      </c>
      <c r="J371" s="101">
        <f>IFERROR(INDEX(_ZIG_Cadastro!$B:$B,MATCH(I371,_ZIG_Cadastro!$A:$A,0)),IFERROR(INDEX(_Entradas_ZIG!$B:$B,MATCH(I371,_Entradas_ZIG!$C:$C,0)),"—"))</f>
        <v/>
      </c>
      <c r="K371" s="101">
        <f>IFERROR(INDEX(_ZIG_Cadastro!$C:$C,MATCH(I371,_ZIG_Cadastro!$A:$A,0)),IFERROR(INDEX(_Entradas_ZIG!$D:$D,MATCH(I371,_Entradas_ZIG!$C:$C,0)),"—"))</f>
        <v/>
      </c>
      <c r="L371" s="99">
        <f>IF(I371="","Sem SKU ZIG",IF(I371="—","Sem SKU ZIG",IF(NOT(ISERROR(MATCH(I371,_ZIG_Cadastro!$A:$A,0))),IF(EXACT(UPPER(TRIM(C371)),UPPER(TRIM(INDEX(_ZIG_Cadastro!$B:$B,MATCH(I371,_ZIG_Cadastro!$A:$A,0))))),"OK","Atencao - Nome diverge"),IF(NOT(ISERROR(MATCH(I371,_Entradas_ZIG!$C:$C,0))),"OK","Erro - SKU nao encontrado"))))</f>
        <v/>
      </c>
      <c r="M371" s="99">
        <f>IFERROR(INDEX(_ZIG_Cadastro!$G:$G,MATCH(I371,_ZIG_Cadastro!$A:$A,0)),IF(NOT(ISERROR(MATCH(I371,_Entradas_ZIG!$C:$C,0))),"Ativo","—"))</f>
        <v/>
      </c>
      <c r="N371" s="102">
        <f>IFERROR(INDEX(_ZIG_Cadastro!$E:$E,MATCH(I371,_ZIG_Cadastro!$A:$A,0)),IFERROR(INDEX(_Entradas_ZIG!$F:$F,MATCH(I371,_Entradas_ZIG!$C:$C,0)),"—"))</f>
        <v/>
      </c>
      <c r="O371" s="99">
        <f>IF(AND(ISNUMBER(SEARCH("Espeto",N371)),ISNUMBER(SEARCH("Carin",N371))),"SIM","")</f>
        <v/>
      </c>
      <c r="P371" s="99">
        <f>IF(AND(ISNUMBER(SEARCH("Espeto",N371)),ISNUMBER(SEARCH("Lapa",N371))),"SIM","")</f>
        <v/>
      </c>
      <c r="Q371" s="99">
        <f>IF(AND(ISNUMBER(SEARCH("Espeto",N371)),ISNUMBER(SEARCH("Tatuapé",N371))),"SIM","")</f>
        <v/>
      </c>
      <c r="R371" s="99">
        <f>IF(AND(ISNUMBER(SEARCH("Espeto",N371)),ISNUMBER(SEARCH("Pavão",N371))),"SIM","")</f>
        <v/>
      </c>
      <c r="S371" s="99">
        <f>IF(AND(ISNUMBER(SEARCH("Espeto",N371)),ISNUMBER(SEARCH("Chac",N371))),"SIM","")</f>
        <v/>
      </c>
      <c r="T371" s="99">
        <f>IF(AND(ISNUMBER(SEARCH("Espeto",N371)),ISNUMBER(SEARCH("Madalena",N371))),"SIM","")</f>
        <v/>
      </c>
      <c r="U371" s="99">
        <f>IF(AND(ISNUMBER(SEARCH("Espeto",N371)),ISNUMBER(SEARCH("Mariana",N371))),"SIM","")</f>
        <v/>
      </c>
      <c r="V371" s="99">
        <f>IF(AND(ISNUMBER(SEARCH("Espeto",N371)),ISNUMBER(SEARCH("Perdizes",N371))),"SIM","")</f>
        <v/>
      </c>
      <c r="W371" s="99">
        <f>IF(AND(ISNUMBER(SEARCH("Espeto",N371)),ISNUMBER(SEARCH("Santana",N371))),"SIM","")</f>
        <v/>
      </c>
      <c r="X371" s="99">
        <f>IF(AND(ISNUMBER(SEARCH("Espeto",N371)),ISNUMBER(SEARCH("André",N371))),"SIM","")</f>
        <v/>
      </c>
      <c r="Y371" s="99">
        <f>IF(AND(ISNUMBER(SEARCH("Delivery",N371)),ISNUMBER(SEARCH("Carin",N371))),"SIM","")</f>
        <v/>
      </c>
      <c r="Z371" s="99">
        <f>IF(AND(ISNUMBER(SEARCH("Delivery",N371)),ISNUMBER(SEARCH("Lapa",N371))),"SIM","")</f>
        <v/>
      </c>
      <c r="AA371" s="99">
        <f>IF(AND(ISNUMBER(SEARCH("Delivery",N371)),ISNUMBER(SEARCH("Tatuapé",N371))),"SIM","")</f>
        <v/>
      </c>
      <c r="AB371" s="99">
        <f>IF(AND(ISNUMBER(SEARCH("Delivery",N371)),ISNUMBER(SEARCH("Pavão",N371))),"SIM","")</f>
        <v/>
      </c>
      <c r="AC371" s="99">
        <f>IF(AND(ISNUMBER(SEARCH("Delivery",N371)),ISNUMBER(SEARCH("Chac",N371))),"SIM","")</f>
        <v/>
      </c>
      <c r="AD371" s="99">
        <f>IF(AND(ISNUMBER(SEARCH("Delivery",N371)),ISNUMBER(SEARCH("Madalena",N371))),"SIM","")</f>
        <v/>
      </c>
      <c r="AE371" s="99">
        <f>IF(AND(ISNUMBER(SEARCH("Delivery",N371)),ISNUMBER(SEARCH("Mariana",N371))),"SIM","")</f>
        <v/>
      </c>
      <c r="AF371" s="99">
        <f>IF(AND(ISNUMBER(SEARCH("Delivery",N371)),ISNUMBER(SEARCH("Perdizes",N371))),"SIM","")</f>
        <v/>
      </c>
      <c r="AG371" s="99">
        <f>IF(AND(ISNUMBER(SEARCH("Delivery",N371)),ISNUMBER(SEARCH("Santana",N371))),"SIM","")</f>
        <v/>
      </c>
      <c r="AH371" s="99">
        <f>IF(AND(ISNUMBER(SEARCH("Delivery",N371)),ISNUMBER(SEARCH("André",N371))),"SIM","")</f>
        <v/>
      </c>
      <c r="AI371" s="99">
        <f>IF(ISNUMBER(SEARCH("Interlagos",N371)),"SIM","")</f>
        <v/>
      </c>
      <c r="AJ371" s="99">
        <f>IF(ISNUMBER(SEARCH("Quiosque",N371)),"SIM","")</f>
        <v/>
      </c>
      <c r="AK371" s="101" t="n"/>
    </row>
    <row r="372">
      <c r="A372" s="88" t="inlineStr">
        <is>
          <t>Protheus</t>
        </is>
      </c>
      <c r="B372" s="89" t="inlineStr">
        <is>
          <t>000052</t>
        </is>
      </c>
      <c r="C372" s="90">
        <f>IF(B372="—","—",IFERROR(VLOOKUP(B372,_Protheus_Cadastro!$A:$B,2,FALSE),"—"))</f>
        <v/>
      </c>
      <c r="D372" s="91">
        <f>IF(B372="—",IFERROR(INDEX(_ZIG_Cadastro!$D:$D,MATCH(H372,_ZIG_Cadastro!$A:$A,0)),"Produto"),IFERROR(VLOOKUP(B372,_Protheus_Cadastro!$A:$C,3,FALSE),"—"))</f>
        <v/>
      </c>
      <c r="E372" s="91">
        <f>IF(B372="—","—",IFERROR(VLOOKUP(B372,_Protheus_Cadastro!$A:$D,4,FALSE),"—"))</f>
        <v/>
      </c>
      <c r="F372" s="91">
        <f>IF(ISERROR(VLOOKUP(B372,'Estrutura Protheus'!A:A,1,FALSE)),"Não","Sim")</f>
        <v/>
      </c>
      <c r="G372" s="92">
        <f>IFERROR(INDEX(_Protheus_Cadastro!$H:$H,MATCH(B372,_Protheus_Cadastro!$A:$A,0)),"—")</f>
        <v/>
      </c>
      <c r="H372" s="210">
        <f>IFERROR(INDEX(_ZIG_Precos!$D:$D,MATCH(I372,_ZIG_Precos!$F:$F,0)),"—")</f>
        <v/>
      </c>
      <c r="I372" s="95">
        <f>IFERROR(VLOOKUP(B372,_Protheus_Cadastro!$A:$I,9,FALSE),"—")</f>
        <v/>
      </c>
      <c r="J372" s="93">
        <f>IFERROR(INDEX(_ZIG_Cadastro!$B:$B,MATCH(I372,_ZIG_Cadastro!$A:$A,0)),IFERROR(INDEX(_Entradas_ZIG!$B:$B,MATCH(I372,_Entradas_ZIG!$C:$C,0)),"—"))</f>
        <v/>
      </c>
      <c r="K372" s="93">
        <f>IFERROR(INDEX(_ZIG_Cadastro!$C:$C,MATCH(I372,_ZIG_Cadastro!$A:$A,0)),IFERROR(INDEX(_Entradas_ZIG!$D:$D,MATCH(I372,_Entradas_ZIG!$C:$C,0)),"—"))</f>
        <v/>
      </c>
      <c r="L372" s="92">
        <f>IF(I372="","Sem SKU ZIG",IF(I372="—","Sem SKU ZIG",IF(NOT(ISERROR(MATCH(I372,_ZIG_Cadastro!$A:$A,0))),IF(EXACT(UPPER(TRIM(C372)),UPPER(TRIM(INDEX(_ZIG_Cadastro!$B:$B,MATCH(I372,_ZIG_Cadastro!$A:$A,0))))),"OK","Atencao - Nome diverge"),IF(NOT(ISERROR(MATCH(I372,_Entradas_ZIG!$C:$C,0))),"OK","Erro - SKU nao encontrado"))))</f>
        <v/>
      </c>
      <c r="M372" s="92">
        <f>IFERROR(INDEX(_ZIG_Cadastro!$G:$G,MATCH(I372,_ZIG_Cadastro!$A:$A,0)),IF(NOT(ISERROR(MATCH(I372,_Entradas_ZIG!$C:$C,0))),"Ativo","—"))</f>
        <v/>
      </c>
      <c r="N372" s="94">
        <f>IFERROR(INDEX(_ZIG_Cadastro!$E:$E,MATCH(I372,_ZIG_Cadastro!$A:$A,0)),IFERROR(INDEX(_Entradas_ZIG!$F:$F,MATCH(I372,_Entradas_ZIG!$C:$C,0)),"—"))</f>
        <v/>
      </c>
      <c r="O372" s="92">
        <f>IF(AND(ISNUMBER(SEARCH("Espeto",N372)),ISNUMBER(SEARCH("Carin",N372))),"SIM","")</f>
        <v/>
      </c>
      <c r="P372" s="92">
        <f>IF(AND(ISNUMBER(SEARCH("Espeto",N372)),ISNUMBER(SEARCH("Lapa",N372))),"SIM","")</f>
        <v/>
      </c>
      <c r="Q372" s="92">
        <f>IF(AND(ISNUMBER(SEARCH("Espeto",N372)),ISNUMBER(SEARCH("Tatuapé",N372))),"SIM","")</f>
        <v/>
      </c>
      <c r="R372" s="92">
        <f>IF(AND(ISNUMBER(SEARCH("Espeto",N372)),ISNUMBER(SEARCH("Pavão",N372))),"SIM","")</f>
        <v/>
      </c>
      <c r="S372" s="92">
        <f>IF(AND(ISNUMBER(SEARCH("Espeto",N372)),ISNUMBER(SEARCH("Chac",N372))),"SIM","")</f>
        <v/>
      </c>
      <c r="T372" s="92">
        <f>IF(AND(ISNUMBER(SEARCH("Espeto",N372)),ISNUMBER(SEARCH("Madalena",N372))),"SIM","")</f>
        <v/>
      </c>
      <c r="U372" s="92">
        <f>IF(AND(ISNUMBER(SEARCH("Espeto",N372)),ISNUMBER(SEARCH("Mariana",N372))),"SIM","")</f>
        <v/>
      </c>
      <c r="V372" s="92">
        <f>IF(AND(ISNUMBER(SEARCH("Espeto",N372)),ISNUMBER(SEARCH("Perdizes",N372))),"SIM","")</f>
        <v/>
      </c>
      <c r="W372" s="92">
        <f>IF(AND(ISNUMBER(SEARCH("Espeto",N372)),ISNUMBER(SEARCH("Santana",N372))),"SIM","")</f>
        <v/>
      </c>
      <c r="X372" s="92">
        <f>IF(AND(ISNUMBER(SEARCH("Espeto",N372)),ISNUMBER(SEARCH("André",N372))),"SIM","")</f>
        <v/>
      </c>
      <c r="Y372" s="92">
        <f>IF(AND(ISNUMBER(SEARCH("Delivery",N372)),ISNUMBER(SEARCH("Carin",N372))),"SIM","")</f>
        <v/>
      </c>
      <c r="Z372" s="92">
        <f>IF(AND(ISNUMBER(SEARCH("Delivery",N372)),ISNUMBER(SEARCH("Lapa",N372))),"SIM","")</f>
        <v/>
      </c>
      <c r="AA372" s="92">
        <f>IF(AND(ISNUMBER(SEARCH("Delivery",N372)),ISNUMBER(SEARCH("Tatuapé",N372))),"SIM","")</f>
        <v/>
      </c>
      <c r="AB372" s="92">
        <f>IF(AND(ISNUMBER(SEARCH("Delivery",N372)),ISNUMBER(SEARCH("Pavão",N372))),"SIM","")</f>
        <v/>
      </c>
      <c r="AC372" s="92">
        <f>IF(AND(ISNUMBER(SEARCH("Delivery",N372)),ISNUMBER(SEARCH("Chac",N372))),"SIM","")</f>
        <v/>
      </c>
      <c r="AD372" s="92">
        <f>IF(AND(ISNUMBER(SEARCH("Delivery",N372)),ISNUMBER(SEARCH("Madalena",N372))),"SIM","")</f>
        <v/>
      </c>
      <c r="AE372" s="92">
        <f>IF(AND(ISNUMBER(SEARCH("Delivery",N372)),ISNUMBER(SEARCH("Mariana",N372))),"SIM","")</f>
        <v/>
      </c>
      <c r="AF372" s="92">
        <f>IF(AND(ISNUMBER(SEARCH("Delivery",N372)),ISNUMBER(SEARCH("Perdizes",N372))),"SIM","")</f>
        <v/>
      </c>
      <c r="AG372" s="92">
        <f>IF(AND(ISNUMBER(SEARCH("Delivery",N372)),ISNUMBER(SEARCH("Santana",N372))),"SIM","")</f>
        <v/>
      </c>
      <c r="AH372" s="92">
        <f>IF(AND(ISNUMBER(SEARCH("Delivery",N372)),ISNUMBER(SEARCH("André",N372))),"SIM","")</f>
        <v/>
      </c>
      <c r="AI372" s="92">
        <f>IF(ISNUMBER(SEARCH("Interlagos",N372)),"SIM","")</f>
        <v/>
      </c>
      <c r="AJ372" s="92">
        <f>IF(ISNUMBER(SEARCH("Quiosque",N372)),"SIM","")</f>
        <v/>
      </c>
      <c r="AK372" s="93" t="n"/>
    </row>
    <row r="373">
      <c r="A373" s="88" t="inlineStr">
        <is>
          <t>Protheus</t>
        </is>
      </c>
      <c r="B373" s="89" t="inlineStr">
        <is>
          <t>001967</t>
        </is>
      </c>
      <c r="C373" s="90">
        <f>IF(B373="—","—",IFERROR(VLOOKUP(B373,_Protheus_Cadastro!$A:$B,2,FALSE),"—"))</f>
        <v/>
      </c>
      <c r="D373" s="91">
        <f>IF(B373="—",IFERROR(INDEX(_ZIG_Cadastro!$D:$D,MATCH(H373,_ZIG_Cadastro!$A:$A,0)),"Produto"),IFERROR(VLOOKUP(B373,_Protheus_Cadastro!$A:$C,3,FALSE),"—"))</f>
        <v/>
      </c>
      <c r="E373" s="91">
        <f>IF(B373="—","—",IFERROR(VLOOKUP(B373,_Protheus_Cadastro!$A:$D,4,FALSE),"—"))</f>
        <v/>
      </c>
      <c r="F373" s="91">
        <f>IF(ISERROR(VLOOKUP(B373,'Estrutura Protheus'!A:A,1,FALSE)),"Não","Sim")</f>
        <v/>
      </c>
      <c r="G373" s="92">
        <f>IFERROR(INDEX(_Protheus_Cadastro!$H:$H,MATCH(B373,_Protheus_Cadastro!$A:$A,0)),"—")</f>
        <v/>
      </c>
      <c r="H373" s="210">
        <f>IFERROR(INDEX(_ZIG_Precos!$D:$D,MATCH(I373,_ZIG_Precos!$F:$F,0)),"—")</f>
        <v/>
      </c>
      <c r="I373" s="95">
        <f>IFERROR(VLOOKUP(B373,_Protheus_Cadastro!$A:$I,9,FALSE),"—")</f>
        <v/>
      </c>
      <c r="J373" s="93">
        <f>IFERROR(INDEX(_ZIG_Cadastro!$B:$B,MATCH(I373,_ZIG_Cadastro!$A:$A,0)),IFERROR(INDEX(_Entradas_ZIG!$B:$B,MATCH(I373,_Entradas_ZIG!$C:$C,0)),"—"))</f>
        <v/>
      </c>
      <c r="K373" s="93">
        <f>IFERROR(INDEX(_ZIG_Cadastro!$C:$C,MATCH(I373,_ZIG_Cadastro!$A:$A,0)),IFERROR(INDEX(_Entradas_ZIG!$D:$D,MATCH(I373,_Entradas_ZIG!$C:$C,0)),"—"))</f>
        <v/>
      </c>
      <c r="L373" s="92">
        <f>IF(I373="","Sem SKU ZIG",IF(I373="—","Sem SKU ZIG",IF(NOT(ISERROR(MATCH(I373,_ZIG_Cadastro!$A:$A,0))),IF(EXACT(UPPER(TRIM(C373)),UPPER(TRIM(INDEX(_ZIG_Cadastro!$B:$B,MATCH(I373,_ZIG_Cadastro!$A:$A,0))))),"OK","Atencao - Nome diverge"),IF(NOT(ISERROR(MATCH(I373,_Entradas_ZIG!$C:$C,0))),"OK","Erro - SKU nao encontrado"))))</f>
        <v/>
      </c>
      <c r="M373" s="92">
        <f>IFERROR(INDEX(_ZIG_Cadastro!$G:$G,MATCH(I373,_ZIG_Cadastro!$A:$A,0)),IF(NOT(ISERROR(MATCH(I373,_Entradas_ZIG!$C:$C,0))),"Ativo","—"))</f>
        <v/>
      </c>
      <c r="N373" s="94">
        <f>IFERROR(INDEX(_ZIG_Cadastro!$E:$E,MATCH(I373,_ZIG_Cadastro!$A:$A,0)),IFERROR(INDEX(_Entradas_ZIG!$F:$F,MATCH(I373,_Entradas_ZIG!$C:$C,0)),"—"))</f>
        <v/>
      </c>
      <c r="O373" s="92">
        <f>IF(AND(ISNUMBER(SEARCH("Espeto",N373)),ISNUMBER(SEARCH("Carin",N373))),"SIM","")</f>
        <v/>
      </c>
      <c r="P373" s="92">
        <f>IF(AND(ISNUMBER(SEARCH("Espeto",N373)),ISNUMBER(SEARCH("Lapa",N373))),"SIM","")</f>
        <v/>
      </c>
      <c r="Q373" s="92">
        <f>IF(AND(ISNUMBER(SEARCH("Espeto",N373)),ISNUMBER(SEARCH("Tatuapé",N373))),"SIM","")</f>
        <v/>
      </c>
      <c r="R373" s="92">
        <f>IF(AND(ISNUMBER(SEARCH("Espeto",N373)),ISNUMBER(SEARCH("Pavão",N373))),"SIM","")</f>
        <v/>
      </c>
      <c r="S373" s="92">
        <f>IF(AND(ISNUMBER(SEARCH("Espeto",N373)),ISNUMBER(SEARCH("Chac",N373))),"SIM","")</f>
        <v/>
      </c>
      <c r="T373" s="92">
        <f>IF(AND(ISNUMBER(SEARCH("Espeto",N373)),ISNUMBER(SEARCH("Madalena",N373))),"SIM","")</f>
        <v/>
      </c>
      <c r="U373" s="92">
        <f>IF(AND(ISNUMBER(SEARCH("Espeto",N373)),ISNUMBER(SEARCH("Mariana",N373))),"SIM","")</f>
        <v/>
      </c>
      <c r="V373" s="92">
        <f>IF(AND(ISNUMBER(SEARCH("Espeto",N373)),ISNUMBER(SEARCH("Perdizes",N373))),"SIM","")</f>
        <v/>
      </c>
      <c r="W373" s="92">
        <f>IF(AND(ISNUMBER(SEARCH("Espeto",N373)),ISNUMBER(SEARCH("Santana",N373))),"SIM","")</f>
        <v/>
      </c>
      <c r="X373" s="92">
        <f>IF(AND(ISNUMBER(SEARCH("Espeto",N373)),ISNUMBER(SEARCH("André",N373))),"SIM","")</f>
        <v/>
      </c>
      <c r="Y373" s="92">
        <f>IF(AND(ISNUMBER(SEARCH("Delivery",N373)),ISNUMBER(SEARCH("Carin",N373))),"SIM","")</f>
        <v/>
      </c>
      <c r="Z373" s="92">
        <f>IF(AND(ISNUMBER(SEARCH("Delivery",N373)),ISNUMBER(SEARCH("Lapa",N373))),"SIM","")</f>
        <v/>
      </c>
      <c r="AA373" s="92">
        <f>IF(AND(ISNUMBER(SEARCH("Delivery",N373)),ISNUMBER(SEARCH("Tatuapé",N373))),"SIM","")</f>
        <v/>
      </c>
      <c r="AB373" s="92">
        <f>IF(AND(ISNUMBER(SEARCH("Delivery",N373)),ISNUMBER(SEARCH("Pavão",N373))),"SIM","")</f>
        <v/>
      </c>
      <c r="AC373" s="92">
        <f>IF(AND(ISNUMBER(SEARCH("Delivery",N373)),ISNUMBER(SEARCH("Chac",N373))),"SIM","")</f>
        <v/>
      </c>
      <c r="AD373" s="92">
        <f>IF(AND(ISNUMBER(SEARCH("Delivery",N373)),ISNUMBER(SEARCH("Madalena",N373))),"SIM","")</f>
        <v/>
      </c>
      <c r="AE373" s="92">
        <f>IF(AND(ISNUMBER(SEARCH("Delivery",N373)),ISNUMBER(SEARCH("Mariana",N373))),"SIM","")</f>
        <v/>
      </c>
      <c r="AF373" s="92">
        <f>IF(AND(ISNUMBER(SEARCH("Delivery",N373)),ISNUMBER(SEARCH("Perdizes",N373))),"SIM","")</f>
        <v/>
      </c>
      <c r="AG373" s="92">
        <f>IF(AND(ISNUMBER(SEARCH("Delivery",N373)),ISNUMBER(SEARCH("Santana",N373))),"SIM","")</f>
        <v/>
      </c>
      <c r="AH373" s="92">
        <f>IF(AND(ISNUMBER(SEARCH("Delivery",N373)),ISNUMBER(SEARCH("André",N373))),"SIM","")</f>
        <v/>
      </c>
      <c r="AI373" s="92">
        <f>IF(ISNUMBER(SEARCH("Interlagos",N373)),"SIM","")</f>
        <v/>
      </c>
      <c r="AJ373" s="92">
        <f>IF(ISNUMBER(SEARCH("Quiosque",N373)),"SIM","")</f>
        <v/>
      </c>
      <c r="AK373" s="93" t="n"/>
    </row>
    <row r="374">
      <c r="A374" s="88" t="inlineStr">
        <is>
          <t>Protheus</t>
        </is>
      </c>
      <c r="B374" s="96" t="inlineStr">
        <is>
          <t>001154</t>
        </is>
      </c>
      <c r="C374" s="97">
        <f>IF(B374="—","—",IFERROR(VLOOKUP(B374,_Protheus_Cadastro!$A:$B,2,FALSE),"—"))</f>
        <v/>
      </c>
      <c r="D374" s="98">
        <f>IF(B374="—",IFERROR(INDEX(_ZIG_Cadastro!$D:$D,MATCH(H374,_ZIG_Cadastro!$A:$A,0)),"Produto"),IFERROR(VLOOKUP(B374,_Protheus_Cadastro!$A:$C,3,FALSE),"—"))</f>
        <v/>
      </c>
      <c r="E374" s="98">
        <f>IF(B374="—","—",IFERROR(VLOOKUP(B374,_Protheus_Cadastro!$A:$D,4,FALSE),"—"))</f>
        <v/>
      </c>
      <c r="F374" s="98">
        <f>IF(ISERROR(VLOOKUP(B374,'Estrutura Protheus'!A:A,1,FALSE)),"Não","Sim")</f>
        <v/>
      </c>
      <c r="G374" s="99">
        <f>IFERROR(INDEX(_Protheus_Cadastro!$H:$H,MATCH(B374,_Protheus_Cadastro!$A:$A,0)),"—")</f>
        <v/>
      </c>
      <c r="H374" s="211">
        <f>IFERROR(INDEX(_ZIG_Precos!$D:$D,MATCH(I374,_ZIG_Precos!$F:$F,0)),"—")</f>
        <v/>
      </c>
      <c r="I374" s="103">
        <f>IFERROR(VLOOKUP(B374,_Protheus_Cadastro!$A:$I,9,FALSE),"—")</f>
        <v/>
      </c>
      <c r="J374" s="101">
        <f>IFERROR(INDEX(_ZIG_Cadastro!$B:$B,MATCH(I374,_ZIG_Cadastro!$A:$A,0)),IFERROR(INDEX(_Entradas_ZIG!$B:$B,MATCH(I374,_Entradas_ZIG!$C:$C,0)),"—"))</f>
        <v/>
      </c>
      <c r="K374" s="101">
        <f>IFERROR(INDEX(_ZIG_Cadastro!$C:$C,MATCH(I374,_ZIG_Cadastro!$A:$A,0)),IFERROR(INDEX(_Entradas_ZIG!$D:$D,MATCH(I374,_Entradas_ZIG!$C:$C,0)),"—"))</f>
        <v/>
      </c>
      <c r="L374" s="99">
        <f>IF(I374="","Sem SKU ZIG",IF(I374="—","Sem SKU ZIG",IF(NOT(ISERROR(MATCH(I374,_ZIG_Cadastro!$A:$A,0))),IF(EXACT(UPPER(TRIM(C374)),UPPER(TRIM(INDEX(_ZIG_Cadastro!$B:$B,MATCH(I374,_ZIG_Cadastro!$A:$A,0))))),"OK","Atencao - Nome diverge"),IF(NOT(ISERROR(MATCH(I374,_Entradas_ZIG!$C:$C,0))),"OK","Erro - SKU nao encontrado"))))</f>
        <v/>
      </c>
      <c r="M374" s="99">
        <f>IFERROR(INDEX(_ZIG_Cadastro!$G:$G,MATCH(I374,_ZIG_Cadastro!$A:$A,0)),IF(NOT(ISERROR(MATCH(I374,_Entradas_ZIG!$C:$C,0))),"Ativo","—"))</f>
        <v/>
      </c>
      <c r="N374" s="102">
        <f>IFERROR(INDEX(_ZIG_Cadastro!$E:$E,MATCH(I374,_ZIG_Cadastro!$A:$A,0)),IFERROR(INDEX(_Entradas_ZIG!$F:$F,MATCH(I374,_Entradas_ZIG!$C:$C,0)),"—"))</f>
        <v/>
      </c>
      <c r="O374" s="99">
        <f>IF(AND(ISNUMBER(SEARCH("Espeto",N374)),ISNUMBER(SEARCH("Carin",N374))),"SIM","")</f>
        <v/>
      </c>
      <c r="P374" s="99">
        <f>IF(AND(ISNUMBER(SEARCH("Espeto",N374)),ISNUMBER(SEARCH("Lapa",N374))),"SIM","")</f>
        <v/>
      </c>
      <c r="Q374" s="99">
        <f>IF(AND(ISNUMBER(SEARCH("Espeto",N374)),ISNUMBER(SEARCH("Tatuapé",N374))),"SIM","")</f>
        <v/>
      </c>
      <c r="R374" s="99">
        <f>IF(AND(ISNUMBER(SEARCH("Espeto",N374)),ISNUMBER(SEARCH("Pavão",N374))),"SIM","")</f>
        <v/>
      </c>
      <c r="S374" s="99">
        <f>IF(AND(ISNUMBER(SEARCH("Espeto",N374)),ISNUMBER(SEARCH("Chac",N374))),"SIM","")</f>
        <v/>
      </c>
      <c r="T374" s="99">
        <f>IF(AND(ISNUMBER(SEARCH("Espeto",N374)),ISNUMBER(SEARCH("Madalena",N374))),"SIM","")</f>
        <v/>
      </c>
      <c r="U374" s="99">
        <f>IF(AND(ISNUMBER(SEARCH("Espeto",N374)),ISNUMBER(SEARCH("Mariana",N374))),"SIM","")</f>
        <v/>
      </c>
      <c r="V374" s="99">
        <f>IF(AND(ISNUMBER(SEARCH("Espeto",N374)),ISNUMBER(SEARCH("Perdizes",N374))),"SIM","")</f>
        <v/>
      </c>
      <c r="W374" s="99">
        <f>IF(AND(ISNUMBER(SEARCH("Espeto",N374)),ISNUMBER(SEARCH("Santana",N374))),"SIM","")</f>
        <v/>
      </c>
      <c r="X374" s="99">
        <f>IF(AND(ISNUMBER(SEARCH("Espeto",N374)),ISNUMBER(SEARCH("André",N374))),"SIM","")</f>
        <v/>
      </c>
      <c r="Y374" s="99">
        <f>IF(AND(ISNUMBER(SEARCH("Delivery",N374)),ISNUMBER(SEARCH("Carin",N374))),"SIM","")</f>
        <v/>
      </c>
      <c r="Z374" s="99">
        <f>IF(AND(ISNUMBER(SEARCH("Delivery",N374)),ISNUMBER(SEARCH("Lapa",N374))),"SIM","")</f>
        <v/>
      </c>
      <c r="AA374" s="99">
        <f>IF(AND(ISNUMBER(SEARCH("Delivery",N374)),ISNUMBER(SEARCH("Tatuapé",N374))),"SIM","")</f>
        <v/>
      </c>
      <c r="AB374" s="99">
        <f>IF(AND(ISNUMBER(SEARCH("Delivery",N374)),ISNUMBER(SEARCH("Pavão",N374))),"SIM","")</f>
        <v/>
      </c>
      <c r="AC374" s="99">
        <f>IF(AND(ISNUMBER(SEARCH("Delivery",N374)),ISNUMBER(SEARCH("Chac",N374))),"SIM","")</f>
        <v/>
      </c>
      <c r="AD374" s="99">
        <f>IF(AND(ISNUMBER(SEARCH("Delivery",N374)),ISNUMBER(SEARCH("Madalena",N374))),"SIM","")</f>
        <v/>
      </c>
      <c r="AE374" s="99">
        <f>IF(AND(ISNUMBER(SEARCH("Delivery",N374)),ISNUMBER(SEARCH("Mariana",N374))),"SIM","")</f>
        <v/>
      </c>
      <c r="AF374" s="99">
        <f>IF(AND(ISNUMBER(SEARCH("Delivery",N374)),ISNUMBER(SEARCH("Perdizes",N374))),"SIM","")</f>
        <v/>
      </c>
      <c r="AG374" s="99">
        <f>IF(AND(ISNUMBER(SEARCH("Delivery",N374)),ISNUMBER(SEARCH("Santana",N374))),"SIM","")</f>
        <v/>
      </c>
      <c r="AH374" s="99">
        <f>IF(AND(ISNUMBER(SEARCH("Delivery",N374)),ISNUMBER(SEARCH("André",N374))),"SIM","")</f>
        <v/>
      </c>
      <c r="AI374" s="99">
        <f>IF(ISNUMBER(SEARCH("Interlagos",N374)),"SIM","")</f>
        <v/>
      </c>
      <c r="AJ374" s="99">
        <f>IF(ISNUMBER(SEARCH("Quiosque",N374)),"SIM","")</f>
        <v/>
      </c>
      <c r="AK374" s="101" t="n"/>
    </row>
    <row r="375">
      <c r="A375" s="88" t="inlineStr">
        <is>
          <t>Protheus</t>
        </is>
      </c>
      <c r="B375" s="89" t="inlineStr">
        <is>
          <t>001128</t>
        </is>
      </c>
      <c r="C375" s="90">
        <f>IF(B375="—","—",IFERROR(VLOOKUP(B375,_Protheus_Cadastro!$A:$B,2,FALSE),"—"))</f>
        <v/>
      </c>
      <c r="D375" s="91">
        <f>IF(B375="—",IFERROR(INDEX(_ZIG_Cadastro!$D:$D,MATCH(H375,_ZIG_Cadastro!$A:$A,0)),"Produto"),IFERROR(VLOOKUP(B375,_Protheus_Cadastro!$A:$C,3,FALSE),"—"))</f>
        <v/>
      </c>
      <c r="E375" s="91">
        <f>IF(B375="—","—",IFERROR(VLOOKUP(B375,_Protheus_Cadastro!$A:$D,4,FALSE),"—"))</f>
        <v/>
      </c>
      <c r="F375" s="91">
        <f>IF(ISERROR(VLOOKUP(B375,'Estrutura Protheus'!A:A,1,FALSE)),"Não","Sim")</f>
        <v/>
      </c>
      <c r="G375" s="92">
        <f>IFERROR(INDEX(_Protheus_Cadastro!$H:$H,MATCH(B375,_Protheus_Cadastro!$A:$A,0)),"—")</f>
        <v/>
      </c>
      <c r="H375" s="210">
        <f>IFERROR(INDEX(_ZIG_Precos!$D:$D,MATCH(I375,_ZIG_Precos!$F:$F,0)),"—")</f>
        <v/>
      </c>
      <c r="I375" s="95">
        <f>IFERROR(VLOOKUP(B375,_Protheus_Cadastro!$A:$I,9,FALSE),"—")</f>
        <v/>
      </c>
      <c r="J375" s="93">
        <f>IFERROR(INDEX(_ZIG_Cadastro!$B:$B,MATCH(I375,_ZIG_Cadastro!$A:$A,0)),IFERROR(INDEX(_Entradas_ZIG!$B:$B,MATCH(I375,_Entradas_ZIG!$C:$C,0)),"—"))</f>
        <v/>
      </c>
      <c r="K375" s="93">
        <f>IFERROR(INDEX(_ZIG_Cadastro!$C:$C,MATCH(I375,_ZIG_Cadastro!$A:$A,0)),IFERROR(INDEX(_Entradas_ZIG!$D:$D,MATCH(I375,_Entradas_ZIG!$C:$C,0)),"—"))</f>
        <v/>
      </c>
      <c r="L375" s="92">
        <f>IF(I375="","Sem SKU ZIG",IF(I375="—","Sem SKU ZIG",IF(NOT(ISERROR(MATCH(I375,_ZIG_Cadastro!$A:$A,0))),IF(EXACT(UPPER(TRIM(C375)),UPPER(TRIM(INDEX(_ZIG_Cadastro!$B:$B,MATCH(I375,_ZIG_Cadastro!$A:$A,0))))),"OK","Atencao - Nome diverge"),IF(NOT(ISERROR(MATCH(I375,_Entradas_ZIG!$C:$C,0))),"OK","Erro - SKU nao encontrado"))))</f>
        <v/>
      </c>
      <c r="M375" s="92">
        <f>IFERROR(INDEX(_ZIG_Cadastro!$G:$G,MATCH(I375,_ZIG_Cadastro!$A:$A,0)),IF(NOT(ISERROR(MATCH(I375,_Entradas_ZIG!$C:$C,0))),"Ativo","—"))</f>
        <v/>
      </c>
      <c r="N375" s="94">
        <f>IFERROR(INDEX(_ZIG_Cadastro!$E:$E,MATCH(I375,_ZIG_Cadastro!$A:$A,0)),IFERROR(INDEX(_Entradas_ZIG!$F:$F,MATCH(I375,_Entradas_ZIG!$C:$C,0)),"—"))</f>
        <v/>
      </c>
      <c r="O375" s="92">
        <f>IF(AND(ISNUMBER(SEARCH("Espeto",N375)),ISNUMBER(SEARCH("Carin",N375))),"SIM","")</f>
        <v/>
      </c>
      <c r="P375" s="92">
        <f>IF(AND(ISNUMBER(SEARCH("Espeto",N375)),ISNUMBER(SEARCH("Lapa",N375))),"SIM","")</f>
        <v/>
      </c>
      <c r="Q375" s="92">
        <f>IF(AND(ISNUMBER(SEARCH("Espeto",N375)),ISNUMBER(SEARCH("Tatuapé",N375))),"SIM","")</f>
        <v/>
      </c>
      <c r="R375" s="92">
        <f>IF(AND(ISNUMBER(SEARCH("Espeto",N375)),ISNUMBER(SEARCH("Pavão",N375))),"SIM","")</f>
        <v/>
      </c>
      <c r="S375" s="92">
        <f>IF(AND(ISNUMBER(SEARCH("Espeto",N375)),ISNUMBER(SEARCH("Chac",N375))),"SIM","")</f>
        <v/>
      </c>
      <c r="T375" s="92">
        <f>IF(AND(ISNUMBER(SEARCH("Espeto",N375)),ISNUMBER(SEARCH("Madalena",N375))),"SIM","")</f>
        <v/>
      </c>
      <c r="U375" s="92">
        <f>IF(AND(ISNUMBER(SEARCH("Espeto",N375)),ISNUMBER(SEARCH("Mariana",N375))),"SIM","")</f>
        <v/>
      </c>
      <c r="V375" s="92">
        <f>IF(AND(ISNUMBER(SEARCH("Espeto",N375)),ISNUMBER(SEARCH("Perdizes",N375))),"SIM","")</f>
        <v/>
      </c>
      <c r="W375" s="92">
        <f>IF(AND(ISNUMBER(SEARCH("Espeto",N375)),ISNUMBER(SEARCH("Santana",N375))),"SIM","")</f>
        <v/>
      </c>
      <c r="X375" s="92">
        <f>IF(AND(ISNUMBER(SEARCH("Espeto",N375)),ISNUMBER(SEARCH("André",N375))),"SIM","")</f>
        <v/>
      </c>
      <c r="Y375" s="92">
        <f>IF(AND(ISNUMBER(SEARCH("Delivery",N375)),ISNUMBER(SEARCH("Carin",N375))),"SIM","")</f>
        <v/>
      </c>
      <c r="Z375" s="92">
        <f>IF(AND(ISNUMBER(SEARCH("Delivery",N375)),ISNUMBER(SEARCH("Lapa",N375))),"SIM","")</f>
        <v/>
      </c>
      <c r="AA375" s="92">
        <f>IF(AND(ISNUMBER(SEARCH("Delivery",N375)),ISNUMBER(SEARCH("Tatuapé",N375))),"SIM","")</f>
        <v/>
      </c>
      <c r="AB375" s="92">
        <f>IF(AND(ISNUMBER(SEARCH("Delivery",N375)),ISNUMBER(SEARCH("Pavão",N375))),"SIM","")</f>
        <v/>
      </c>
      <c r="AC375" s="92">
        <f>IF(AND(ISNUMBER(SEARCH("Delivery",N375)),ISNUMBER(SEARCH("Chac",N375))),"SIM","")</f>
        <v/>
      </c>
      <c r="AD375" s="92">
        <f>IF(AND(ISNUMBER(SEARCH("Delivery",N375)),ISNUMBER(SEARCH("Madalena",N375))),"SIM","")</f>
        <v/>
      </c>
      <c r="AE375" s="92">
        <f>IF(AND(ISNUMBER(SEARCH("Delivery",N375)),ISNUMBER(SEARCH("Mariana",N375))),"SIM","")</f>
        <v/>
      </c>
      <c r="AF375" s="92">
        <f>IF(AND(ISNUMBER(SEARCH("Delivery",N375)),ISNUMBER(SEARCH("Perdizes",N375))),"SIM","")</f>
        <v/>
      </c>
      <c r="AG375" s="92">
        <f>IF(AND(ISNUMBER(SEARCH("Delivery",N375)),ISNUMBER(SEARCH("Santana",N375))),"SIM","")</f>
        <v/>
      </c>
      <c r="AH375" s="92">
        <f>IF(AND(ISNUMBER(SEARCH("Delivery",N375)),ISNUMBER(SEARCH("André",N375))),"SIM","")</f>
        <v/>
      </c>
      <c r="AI375" s="92">
        <f>IF(ISNUMBER(SEARCH("Interlagos",N375)),"SIM","")</f>
        <v/>
      </c>
      <c r="AJ375" s="92">
        <f>IF(ISNUMBER(SEARCH("Quiosque",N375)),"SIM","")</f>
        <v/>
      </c>
      <c r="AK375" s="93" t="n"/>
    </row>
    <row r="376">
      <c r="A376" s="88" t="inlineStr">
        <is>
          <t>Protheus</t>
        </is>
      </c>
      <c r="B376" s="96" t="inlineStr">
        <is>
          <t>000062</t>
        </is>
      </c>
      <c r="C376" s="97">
        <f>IF(B376="—","—",IFERROR(VLOOKUP(B376,_Protheus_Cadastro!$A:$B,2,FALSE),"—"))</f>
        <v/>
      </c>
      <c r="D376" s="98">
        <f>IF(B376="—",IFERROR(INDEX(_ZIG_Cadastro!$D:$D,MATCH(H376,_ZIG_Cadastro!$A:$A,0)),"Produto"),IFERROR(VLOOKUP(B376,_Protheus_Cadastro!$A:$C,3,FALSE),"—"))</f>
        <v/>
      </c>
      <c r="E376" s="98">
        <f>IF(B376="—","—",IFERROR(VLOOKUP(B376,_Protheus_Cadastro!$A:$D,4,FALSE),"—"))</f>
        <v/>
      </c>
      <c r="F376" s="98">
        <f>IF(ISERROR(VLOOKUP(B376,'Estrutura Protheus'!A:A,1,FALSE)),"Não","Sim")</f>
        <v/>
      </c>
      <c r="G376" s="99">
        <f>IFERROR(INDEX(_Protheus_Cadastro!$H:$H,MATCH(B376,_Protheus_Cadastro!$A:$A,0)),"—")</f>
        <v/>
      </c>
      <c r="H376" s="211">
        <f>IFERROR(INDEX(_ZIG_Precos!$D:$D,MATCH(I376,_ZIG_Precos!$F:$F,0)),"—")</f>
        <v/>
      </c>
      <c r="I376" s="103">
        <f>IFERROR(VLOOKUP(B376,_Protheus_Cadastro!$A:$I,9,FALSE),"—")</f>
        <v/>
      </c>
      <c r="J376" s="101">
        <f>IFERROR(INDEX(_ZIG_Cadastro!$B:$B,MATCH(I376,_ZIG_Cadastro!$A:$A,0)),IFERROR(INDEX(_Entradas_ZIG!$B:$B,MATCH(I376,_Entradas_ZIG!$C:$C,0)),"—"))</f>
        <v/>
      </c>
      <c r="K376" s="101">
        <f>IFERROR(INDEX(_ZIG_Cadastro!$C:$C,MATCH(I376,_ZIG_Cadastro!$A:$A,0)),IFERROR(INDEX(_Entradas_ZIG!$D:$D,MATCH(I376,_Entradas_ZIG!$C:$C,0)),"—"))</f>
        <v/>
      </c>
      <c r="L376" s="99">
        <f>IF(I376="","Sem SKU ZIG",IF(I376="—","Sem SKU ZIG",IF(NOT(ISERROR(MATCH(I376,_ZIG_Cadastro!$A:$A,0))),IF(EXACT(UPPER(TRIM(C376)),UPPER(TRIM(INDEX(_ZIG_Cadastro!$B:$B,MATCH(I376,_ZIG_Cadastro!$A:$A,0))))),"OK","Atencao - Nome diverge"),IF(NOT(ISERROR(MATCH(I376,_Entradas_ZIG!$C:$C,0))),"OK","Erro - SKU nao encontrado"))))</f>
        <v/>
      </c>
      <c r="M376" s="99">
        <f>IFERROR(INDEX(_ZIG_Cadastro!$G:$G,MATCH(I376,_ZIG_Cadastro!$A:$A,0)),IF(NOT(ISERROR(MATCH(I376,_Entradas_ZIG!$C:$C,0))),"Ativo","—"))</f>
        <v/>
      </c>
      <c r="N376" s="102">
        <f>IFERROR(INDEX(_ZIG_Cadastro!$E:$E,MATCH(I376,_ZIG_Cadastro!$A:$A,0)),IFERROR(INDEX(_Entradas_ZIG!$F:$F,MATCH(I376,_Entradas_ZIG!$C:$C,0)),"—"))</f>
        <v/>
      </c>
      <c r="O376" s="99">
        <f>IF(AND(ISNUMBER(SEARCH("Espeto",N376)),ISNUMBER(SEARCH("Carin",N376))),"SIM","")</f>
        <v/>
      </c>
      <c r="P376" s="99">
        <f>IF(AND(ISNUMBER(SEARCH("Espeto",N376)),ISNUMBER(SEARCH("Lapa",N376))),"SIM","")</f>
        <v/>
      </c>
      <c r="Q376" s="99">
        <f>IF(AND(ISNUMBER(SEARCH("Espeto",N376)),ISNUMBER(SEARCH("Tatuapé",N376))),"SIM","")</f>
        <v/>
      </c>
      <c r="R376" s="99">
        <f>IF(AND(ISNUMBER(SEARCH("Espeto",N376)),ISNUMBER(SEARCH("Pavão",N376))),"SIM","")</f>
        <v/>
      </c>
      <c r="S376" s="99">
        <f>IF(AND(ISNUMBER(SEARCH("Espeto",N376)),ISNUMBER(SEARCH("Chac",N376))),"SIM","")</f>
        <v/>
      </c>
      <c r="T376" s="99">
        <f>IF(AND(ISNUMBER(SEARCH("Espeto",N376)),ISNUMBER(SEARCH("Madalena",N376))),"SIM","")</f>
        <v/>
      </c>
      <c r="U376" s="99">
        <f>IF(AND(ISNUMBER(SEARCH("Espeto",N376)),ISNUMBER(SEARCH("Mariana",N376))),"SIM","")</f>
        <v/>
      </c>
      <c r="V376" s="99">
        <f>IF(AND(ISNUMBER(SEARCH("Espeto",N376)),ISNUMBER(SEARCH("Perdizes",N376))),"SIM","")</f>
        <v/>
      </c>
      <c r="W376" s="99">
        <f>IF(AND(ISNUMBER(SEARCH("Espeto",N376)),ISNUMBER(SEARCH("Santana",N376))),"SIM","")</f>
        <v/>
      </c>
      <c r="X376" s="99">
        <f>IF(AND(ISNUMBER(SEARCH("Espeto",N376)),ISNUMBER(SEARCH("André",N376))),"SIM","")</f>
        <v/>
      </c>
      <c r="Y376" s="99">
        <f>IF(AND(ISNUMBER(SEARCH("Delivery",N376)),ISNUMBER(SEARCH("Carin",N376))),"SIM","")</f>
        <v/>
      </c>
      <c r="Z376" s="99">
        <f>IF(AND(ISNUMBER(SEARCH("Delivery",N376)),ISNUMBER(SEARCH("Lapa",N376))),"SIM","")</f>
        <v/>
      </c>
      <c r="AA376" s="99">
        <f>IF(AND(ISNUMBER(SEARCH("Delivery",N376)),ISNUMBER(SEARCH("Tatuapé",N376))),"SIM","")</f>
        <v/>
      </c>
      <c r="AB376" s="99">
        <f>IF(AND(ISNUMBER(SEARCH("Delivery",N376)),ISNUMBER(SEARCH("Pavão",N376))),"SIM","")</f>
        <v/>
      </c>
      <c r="AC376" s="99">
        <f>IF(AND(ISNUMBER(SEARCH("Delivery",N376)),ISNUMBER(SEARCH("Chac",N376))),"SIM","")</f>
        <v/>
      </c>
      <c r="AD376" s="99">
        <f>IF(AND(ISNUMBER(SEARCH("Delivery",N376)),ISNUMBER(SEARCH("Madalena",N376))),"SIM","")</f>
        <v/>
      </c>
      <c r="AE376" s="99">
        <f>IF(AND(ISNUMBER(SEARCH("Delivery",N376)),ISNUMBER(SEARCH("Mariana",N376))),"SIM","")</f>
        <v/>
      </c>
      <c r="AF376" s="99">
        <f>IF(AND(ISNUMBER(SEARCH("Delivery",N376)),ISNUMBER(SEARCH("Perdizes",N376))),"SIM","")</f>
        <v/>
      </c>
      <c r="AG376" s="99">
        <f>IF(AND(ISNUMBER(SEARCH("Delivery",N376)),ISNUMBER(SEARCH("Santana",N376))),"SIM","")</f>
        <v/>
      </c>
      <c r="AH376" s="99">
        <f>IF(AND(ISNUMBER(SEARCH("Delivery",N376)),ISNUMBER(SEARCH("André",N376))),"SIM","")</f>
        <v/>
      </c>
      <c r="AI376" s="99">
        <f>IF(ISNUMBER(SEARCH("Interlagos",N376)),"SIM","")</f>
        <v/>
      </c>
      <c r="AJ376" s="99">
        <f>IF(ISNUMBER(SEARCH("Quiosque",N376)),"SIM","")</f>
        <v/>
      </c>
      <c r="AK376" s="101" t="n"/>
    </row>
    <row r="377">
      <c r="A377" s="88" t="inlineStr">
        <is>
          <t>Protheus</t>
        </is>
      </c>
      <c r="B377" s="89" t="inlineStr">
        <is>
          <t>001078</t>
        </is>
      </c>
      <c r="C377" s="90">
        <f>IF(B377="—","—",IFERROR(VLOOKUP(B377,_Protheus_Cadastro!$A:$B,2,FALSE),"—"))</f>
        <v/>
      </c>
      <c r="D377" s="91">
        <f>IF(B377="—",IFERROR(INDEX(_ZIG_Cadastro!$D:$D,MATCH(H377,_ZIG_Cadastro!$A:$A,0)),"Produto"),IFERROR(VLOOKUP(B377,_Protheus_Cadastro!$A:$C,3,FALSE),"—"))</f>
        <v/>
      </c>
      <c r="E377" s="91">
        <f>IF(B377="—","—",IFERROR(VLOOKUP(B377,_Protheus_Cadastro!$A:$D,4,FALSE),"—"))</f>
        <v/>
      </c>
      <c r="F377" s="91">
        <f>IF(ISERROR(VLOOKUP(B377,'Estrutura Protheus'!A:A,1,FALSE)),"Não","Sim")</f>
        <v/>
      </c>
      <c r="G377" s="92">
        <f>IFERROR(INDEX(_Protheus_Cadastro!$H:$H,MATCH(B377,_Protheus_Cadastro!$A:$A,0)),"—")</f>
        <v/>
      </c>
      <c r="H377" s="210">
        <f>IFERROR(INDEX(_ZIG_Precos!$D:$D,MATCH(I377,_ZIG_Precos!$F:$F,0)),"—")</f>
        <v/>
      </c>
      <c r="I377" s="95">
        <f>IFERROR(VLOOKUP(B377,_Protheus_Cadastro!$A:$I,9,FALSE),"—")</f>
        <v/>
      </c>
      <c r="J377" s="93">
        <f>IFERROR(INDEX(_ZIG_Cadastro!$B:$B,MATCH(I377,_ZIG_Cadastro!$A:$A,0)),IFERROR(INDEX(_Entradas_ZIG!$B:$B,MATCH(I377,_Entradas_ZIG!$C:$C,0)),"—"))</f>
        <v/>
      </c>
      <c r="K377" s="93">
        <f>IFERROR(INDEX(_ZIG_Cadastro!$C:$C,MATCH(I377,_ZIG_Cadastro!$A:$A,0)),IFERROR(INDEX(_Entradas_ZIG!$D:$D,MATCH(I377,_Entradas_ZIG!$C:$C,0)),"—"))</f>
        <v/>
      </c>
      <c r="L377" s="92">
        <f>IF(I377="","Sem SKU ZIG",IF(I377="—","Sem SKU ZIG",IF(NOT(ISERROR(MATCH(I377,_ZIG_Cadastro!$A:$A,0))),IF(EXACT(UPPER(TRIM(C377)),UPPER(TRIM(INDEX(_ZIG_Cadastro!$B:$B,MATCH(I377,_ZIG_Cadastro!$A:$A,0))))),"OK","Atencao - Nome diverge"),IF(NOT(ISERROR(MATCH(I377,_Entradas_ZIG!$C:$C,0))),"OK","Erro - SKU nao encontrado"))))</f>
        <v/>
      </c>
      <c r="M377" s="92">
        <f>IFERROR(INDEX(_ZIG_Cadastro!$G:$G,MATCH(I377,_ZIG_Cadastro!$A:$A,0)),IF(NOT(ISERROR(MATCH(I377,_Entradas_ZIG!$C:$C,0))),"Ativo","—"))</f>
        <v/>
      </c>
      <c r="N377" s="94">
        <f>IFERROR(INDEX(_ZIG_Cadastro!$E:$E,MATCH(I377,_ZIG_Cadastro!$A:$A,0)),IFERROR(INDEX(_Entradas_ZIG!$F:$F,MATCH(I377,_Entradas_ZIG!$C:$C,0)),"—"))</f>
        <v/>
      </c>
      <c r="O377" s="92">
        <f>IF(AND(ISNUMBER(SEARCH("Espeto",N377)),ISNUMBER(SEARCH("Carin",N377))),"SIM","")</f>
        <v/>
      </c>
      <c r="P377" s="92">
        <f>IF(AND(ISNUMBER(SEARCH("Espeto",N377)),ISNUMBER(SEARCH("Lapa",N377))),"SIM","")</f>
        <v/>
      </c>
      <c r="Q377" s="92">
        <f>IF(AND(ISNUMBER(SEARCH("Espeto",N377)),ISNUMBER(SEARCH("Tatuapé",N377))),"SIM","")</f>
        <v/>
      </c>
      <c r="R377" s="92">
        <f>IF(AND(ISNUMBER(SEARCH("Espeto",N377)),ISNUMBER(SEARCH("Pavão",N377))),"SIM","")</f>
        <v/>
      </c>
      <c r="S377" s="92">
        <f>IF(AND(ISNUMBER(SEARCH("Espeto",N377)),ISNUMBER(SEARCH("Chac",N377))),"SIM","")</f>
        <v/>
      </c>
      <c r="T377" s="92">
        <f>IF(AND(ISNUMBER(SEARCH("Espeto",N377)),ISNUMBER(SEARCH("Madalena",N377))),"SIM","")</f>
        <v/>
      </c>
      <c r="U377" s="92">
        <f>IF(AND(ISNUMBER(SEARCH("Espeto",N377)),ISNUMBER(SEARCH("Mariana",N377))),"SIM","")</f>
        <v/>
      </c>
      <c r="V377" s="92">
        <f>IF(AND(ISNUMBER(SEARCH("Espeto",N377)),ISNUMBER(SEARCH("Perdizes",N377))),"SIM","")</f>
        <v/>
      </c>
      <c r="W377" s="92">
        <f>IF(AND(ISNUMBER(SEARCH("Espeto",N377)),ISNUMBER(SEARCH("Santana",N377))),"SIM","")</f>
        <v/>
      </c>
      <c r="X377" s="92">
        <f>IF(AND(ISNUMBER(SEARCH("Espeto",N377)),ISNUMBER(SEARCH("André",N377))),"SIM","")</f>
        <v/>
      </c>
      <c r="Y377" s="92">
        <f>IF(AND(ISNUMBER(SEARCH("Delivery",N377)),ISNUMBER(SEARCH("Carin",N377))),"SIM","")</f>
        <v/>
      </c>
      <c r="Z377" s="92">
        <f>IF(AND(ISNUMBER(SEARCH("Delivery",N377)),ISNUMBER(SEARCH("Lapa",N377))),"SIM","")</f>
        <v/>
      </c>
      <c r="AA377" s="92">
        <f>IF(AND(ISNUMBER(SEARCH("Delivery",N377)),ISNUMBER(SEARCH("Tatuapé",N377))),"SIM","")</f>
        <v/>
      </c>
      <c r="AB377" s="92">
        <f>IF(AND(ISNUMBER(SEARCH("Delivery",N377)),ISNUMBER(SEARCH("Pavão",N377))),"SIM","")</f>
        <v/>
      </c>
      <c r="AC377" s="92">
        <f>IF(AND(ISNUMBER(SEARCH("Delivery",N377)),ISNUMBER(SEARCH("Chac",N377))),"SIM","")</f>
        <v/>
      </c>
      <c r="AD377" s="92">
        <f>IF(AND(ISNUMBER(SEARCH("Delivery",N377)),ISNUMBER(SEARCH("Madalena",N377))),"SIM","")</f>
        <v/>
      </c>
      <c r="AE377" s="92">
        <f>IF(AND(ISNUMBER(SEARCH("Delivery",N377)),ISNUMBER(SEARCH("Mariana",N377))),"SIM","")</f>
        <v/>
      </c>
      <c r="AF377" s="92">
        <f>IF(AND(ISNUMBER(SEARCH("Delivery",N377)),ISNUMBER(SEARCH("Perdizes",N377))),"SIM","")</f>
        <v/>
      </c>
      <c r="AG377" s="92">
        <f>IF(AND(ISNUMBER(SEARCH("Delivery",N377)),ISNUMBER(SEARCH("Santana",N377))),"SIM","")</f>
        <v/>
      </c>
      <c r="AH377" s="92">
        <f>IF(AND(ISNUMBER(SEARCH("Delivery",N377)),ISNUMBER(SEARCH("André",N377))),"SIM","")</f>
        <v/>
      </c>
      <c r="AI377" s="92">
        <f>IF(ISNUMBER(SEARCH("Interlagos",N377)),"SIM","")</f>
        <v/>
      </c>
      <c r="AJ377" s="92">
        <f>IF(ISNUMBER(SEARCH("Quiosque",N377)),"SIM","")</f>
        <v/>
      </c>
      <c r="AK377" s="93" t="n"/>
    </row>
    <row r="378">
      <c r="A378" s="88" t="inlineStr">
        <is>
          <t>Protheus</t>
        </is>
      </c>
      <c r="B378" s="96" t="inlineStr">
        <is>
          <t>001183</t>
        </is>
      </c>
      <c r="C378" s="97">
        <f>IF(B378="—","—",IFERROR(VLOOKUP(B378,_Protheus_Cadastro!$A:$B,2,FALSE),"—"))</f>
        <v/>
      </c>
      <c r="D378" s="98">
        <f>IF(B378="—",IFERROR(INDEX(_ZIG_Cadastro!$D:$D,MATCH(H378,_ZIG_Cadastro!$A:$A,0)),"Produto"),IFERROR(VLOOKUP(B378,_Protheus_Cadastro!$A:$C,3,FALSE),"—"))</f>
        <v/>
      </c>
      <c r="E378" s="98">
        <f>IF(B378="—","—",IFERROR(VLOOKUP(B378,_Protheus_Cadastro!$A:$D,4,FALSE),"—"))</f>
        <v/>
      </c>
      <c r="F378" s="98">
        <f>IF(ISERROR(VLOOKUP(B378,'Estrutura Protheus'!A:A,1,FALSE)),"Não","Sim")</f>
        <v/>
      </c>
      <c r="G378" s="99">
        <f>IFERROR(INDEX(_Protheus_Cadastro!$H:$H,MATCH(B378,_Protheus_Cadastro!$A:$A,0)),"—")</f>
        <v/>
      </c>
      <c r="H378" s="211">
        <f>IFERROR(INDEX(_ZIG_Precos!$D:$D,MATCH(I378,_ZIG_Precos!$F:$F,0)),"—")</f>
        <v/>
      </c>
      <c r="I378" s="103">
        <f>IFERROR(VLOOKUP(B378,_Protheus_Cadastro!$A:$I,9,FALSE),"—")</f>
        <v/>
      </c>
      <c r="J378" s="101">
        <f>IFERROR(INDEX(_ZIG_Cadastro!$B:$B,MATCH(I378,_ZIG_Cadastro!$A:$A,0)),IFERROR(INDEX(_Entradas_ZIG!$B:$B,MATCH(I378,_Entradas_ZIG!$C:$C,0)),"—"))</f>
        <v/>
      </c>
      <c r="K378" s="101">
        <f>IFERROR(INDEX(_ZIG_Cadastro!$C:$C,MATCH(I378,_ZIG_Cadastro!$A:$A,0)),IFERROR(INDEX(_Entradas_ZIG!$D:$D,MATCH(I378,_Entradas_ZIG!$C:$C,0)),"—"))</f>
        <v/>
      </c>
      <c r="L378" s="99">
        <f>IF(I378="","Sem SKU ZIG",IF(I378="—","Sem SKU ZIG",IF(NOT(ISERROR(MATCH(I378,_ZIG_Cadastro!$A:$A,0))),IF(EXACT(UPPER(TRIM(C378)),UPPER(TRIM(INDEX(_ZIG_Cadastro!$B:$B,MATCH(I378,_ZIG_Cadastro!$A:$A,0))))),"OK","Atencao - Nome diverge"),IF(NOT(ISERROR(MATCH(I378,_Entradas_ZIG!$C:$C,0))),"OK","Erro - SKU nao encontrado"))))</f>
        <v/>
      </c>
      <c r="M378" s="99">
        <f>IFERROR(INDEX(_ZIG_Cadastro!$G:$G,MATCH(I378,_ZIG_Cadastro!$A:$A,0)),IF(NOT(ISERROR(MATCH(I378,_Entradas_ZIG!$C:$C,0))),"Ativo","—"))</f>
        <v/>
      </c>
      <c r="N378" s="102">
        <f>IFERROR(INDEX(_ZIG_Cadastro!$E:$E,MATCH(I378,_ZIG_Cadastro!$A:$A,0)),IFERROR(INDEX(_Entradas_ZIG!$F:$F,MATCH(I378,_Entradas_ZIG!$C:$C,0)),"—"))</f>
        <v/>
      </c>
      <c r="O378" s="99">
        <f>IF(AND(ISNUMBER(SEARCH("Espeto",N378)),ISNUMBER(SEARCH("Carin",N378))),"SIM","")</f>
        <v/>
      </c>
      <c r="P378" s="99">
        <f>IF(AND(ISNUMBER(SEARCH("Espeto",N378)),ISNUMBER(SEARCH("Lapa",N378))),"SIM","")</f>
        <v/>
      </c>
      <c r="Q378" s="99">
        <f>IF(AND(ISNUMBER(SEARCH("Espeto",N378)),ISNUMBER(SEARCH("Tatuapé",N378))),"SIM","")</f>
        <v/>
      </c>
      <c r="R378" s="99">
        <f>IF(AND(ISNUMBER(SEARCH("Espeto",N378)),ISNUMBER(SEARCH("Pavão",N378))),"SIM","")</f>
        <v/>
      </c>
      <c r="S378" s="99">
        <f>IF(AND(ISNUMBER(SEARCH("Espeto",N378)),ISNUMBER(SEARCH("Chac",N378))),"SIM","")</f>
        <v/>
      </c>
      <c r="T378" s="99">
        <f>IF(AND(ISNUMBER(SEARCH("Espeto",N378)),ISNUMBER(SEARCH("Madalena",N378))),"SIM","")</f>
        <v/>
      </c>
      <c r="U378" s="99">
        <f>IF(AND(ISNUMBER(SEARCH("Espeto",N378)),ISNUMBER(SEARCH("Mariana",N378))),"SIM","")</f>
        <v/>
      </c>
      <c r="V378" s="99">
        <f>IF(AND(ISNUMBER(SEARCH("Espeto",N378)),ISNUMBER(SEARCH("Perdizes",N378))),"SIM","")</f>
        <v/>
      </c>
      <c r="W378" s="99">
        <f>IF(AND(ISNUMBER(SEARCH("Espeto",N378)),ISNUMBER(SEARCH("Santana",N378))),"SIM","")</f>
        <v/>
      </c>
      <c r="X378" s="99">
        <f>IF(AND(ISNUMBER(SEARCH("Espeto",N378)),ISNUMBER(SEARCH("André",N378))),"SIM","")</f>
        <v/>
      </c>
      <c r="Y378" s="99">
        <f>IF(AND(ISNUMBER(SEARCH("Delivery",N378)),ISNUMBER(SEARCH("Carin",N378))),"SIM","")</f>
        <v/>
      </c>
      <c r="Z378" s="99">
        <f>IF(AND(ISNUMBER(SEARCH("Delivery",N378)),ISNUMBER(SEARCH("Lapa",N378))),"SIM","")</f>
        <v/>
      </c>
      <c r="AA378" s="99">
        <f>IF(AND(ISNUMBER(SEARCH("Delivery",N378)),ISNUMBER(SEARCH("Tatuapé",N378))),"SIM","")</f>
        <v/>
      </c>
      <c r="AB378" s="99">
        <f>IF(AND(ISNUMBER(SEARCH("Delivery",N378)),ISNUMBER(SEARCH("Pavão",N378))),"SIM","")</f>
        <v/>
      </c>
      <c r="AC378" s="99">
        <f>IF(AND(ISNUMBER(SEARCH("Delivery",N378)),ISNUMBER(SEARCH("Chac",N378))),"SIM","")</f>
        <v/>
      </c>
      <c r="AD378" s="99">
        <f>IF(AND(ISNUMBER(SEARCH("Delivery",N378)),ISNUMBER(SEARCH("Madalena",N378))),"SIM","")</f>
        <v/>
      </c>
      <c r="AE378" s="99">
        <f>IF(AND(ISNUMBER(SEARCH("Delivery",N378)),ISNUMBER(SEARCH("Mariana",N378))),"SIM","")</f>
        <v/>
      </c>
      <c r="AF378" s="99">
        <f>IF(AND(ISNUMBER(SEARCH("Delivery",N378)),ISNUMBER(SEARCH("Perdizes",N378))),"SIM","")</f>
        <v/>
      </c>
      <c r="AG378" s="99">
        <f>IF(AND(ISNUMBER(SEARCH("Delivery",N378)),ISNUMBER(SEARCH("Santana",N378))),"SIM","")</f>
        <v/>
      </c>
      <c r="AH378" s="99">
        <f>IF(AND(ISNUMBER(SEARCH("Delivery",N378)),ISNUMBER(SEARCH("André",N378))),"SIM","")</f>
        <v/>
      </c>
      <c r="AI378" s="99">
        <f>IF(ISNUMBER(SEARCH("Interlagos",N378)),"SIM","")</f>
        <v/>
      </c>
      <c r="AJ378" s="99">
        <f>IF(ISNUMBER(SEARCH("Quiosque",N378)),"SIM","")</f>
        <v/>
      </c>
      <c r="AK378" s="101" t="n"/>
    </row>
    <row r="379">
      <c r="A379" s="88" t="inlineStr">
        <is>
          <t>Protheus</t>
        </is>
      </c>
      <c r="B379" s="89" t="inlineStr">
        <is>
          <t>001184</t>
        </is>
      </c>
      <c r="C379" s="90">
        <f>IF(B379="—","—",IFERROR(VLOOKUP(B379,_Protheus_Cadastro!$A:$B,2,FALSE),"—"))</f>
        <v/>
      </c>
      <c r="D379" s="91">
        <f>IF(B379="—",IFERROR(INDEX(_ZIG_Cadastro!$D:$D,MATCH(H379,_ZIG_Cadastro!$A:$A,0)),"Produto"),IFERROR(VLOOKUP(B379,_Protheus_Cadastro!$A:$C,3,FALSE),"—"))</f>
        <v/>
      </c>
      <c r="E379" s="91">
        <f>IF(B379="—","—",IFERROR(VLOOKUP(B379,_Protheus_Cadastro!$A:$D,4,FALSE),"—"))</f>
        <v/>
      </c>
      <c r="F379" s="91">
        <f>IF(ISERROR(VLOOKUP(B379,'Estrutura Protheus'!A:A,1,FALSE)),"Não","Sim")</f>
        <v/>
      </c>
      <c r="G379" s="92">
        <f>IFERROR(INDEX(_Protheus_Cadastro!$H:$H,MATCH(B379,_Protheus_Cadastro!$A:$A,0)),"—")</f>
        <v/>
      </c>
      <c r="H379" s="210">
        <f>IFERROR(INDEX(_ZIG_Precos!$D:$D,MATCH(I379,_ZIG_Precos!$F:$F,0)),"—")</f>
        <v/>
      </c>
      <c r="I379" s="95">
        <f>IFERROR(VLOOKUP(B379,_Protheus_Cadastro!$A:$I,9,FALSE),"—")</f>
        <v/>
      </c>
      <c r="J379" s="93">
        <f>IFERROR(INDEX(_ZIG_Cadastro!$B:$B,MATCH(I379,_ZIG_Cadastro!$A:$A,0)),IFERROR(INDEX(_Entradas_ZIG!$B:$B,MATCH(I379,_Entradas_ZIG!$C:$C,0)),"—"))</f>
        <v/>
      </c>
      <c r="K379" s="93">
        <f>IFERROR(INDEX(_ZIG_Cadastro!$C:$C,MATCH(I379,_ZIG_Cadastro!$A:$A,0)),IFERROR(INDEX(_Entradas_ZIG!$D:$D,MATCH(I379,_Entradas_ZIG!$C:$C,0)),"—"))</f>
        <v/>
      </c>
      <c r="L379" s="92">
        <f>IF(I379="","Sem SKU ZIG",IF(I379="—","Sem SKU ZIG",IF(NOT(ISERROR(MATCH(I379,_ZIG_Cadastro!$A:$A,0))),IF(EXACT(UPPER(TRIM(C379)),UPPER(TRIM(INDEX(_ZIG_Cadastro!$B:$B,MATCH(I379,_ZIG_Cadastro!$A:$A,0))))),"OK","Atencao - Nome diverge"),IF(NOT(ISERROR(MATCH(I379,_Entradas_ZIG!$C:$C,0))),"OK","Erro - SKU nao encontrado"))))</f>
        <v/>
      </c>
      <c r="M379" s="92">
        <f>IFERROR(INDEX(_ZIG_Cadastro!$G:$G,MATCH(I379,_ZIG_Cadastro!$A:$A,0)),IF(NOT(ISERROR(MATCH(I379,_Entradas_ZIG!$C:$C,0))),"Ativo","—"))</f>
        <v/>
      </c>
      <c r="N379" s="94">
        <f>IFERROR(INDEX(_ZIG_Cadastro!$E:$E,MATCH(I379,_ZIG_Cadastro!$A:$A,0)),IFERROR(INDEX(_Entradas_ZIG!$F:$F,MATCH(I379,_Entradas_ZIG!$C:$C,0)),"—"))</f>
        <v/>
      </c>
      <c r="O379" s="92">
        <f>IF(AND(ISNUMBER(SEARCH("Espeto",N379)),ISNUMBER(SEARCH("Carin",N379))),"SIM","")</f>
        <v/>
      </c>
      <c r="P379" s="92">
        <f>IF(AND(ISNUMBER(SEARCH("Espeto",N379)),ISNUMBER(SEARCH("Lapa",N379))),"SIM","")</f>
        <v/>
      </c>
      <c r="Q379" s="92">
        <f>IF(AND(ISNUMBER(SEARCH("Espeto",N379)),ISNUMBER(SEARCH("Tatuapé",N379))),"SIM","")</f>
        <v/>
      </c>
      <c r="R379" s="92">
        <f>IF(AND(ISNUMBER(SEARCH("Espeto",N379)),ISNUMBER(SEARCH("Pavão",N379))),"SIM","")</f>
        <v/>
      </c>
      <c r="S379" s="92">
        <f>IF(AND(ISNUMBER(SEARCH("Espeto",N379)),ISNUMBER(SEARCH("Chac",N379))),"SIM","")</f>
        <v/>
      </c>
      <c r="T379" s="92">
        <f>IF(AND(ISNUMBER(SEARCH("Espeto",N379)),ISNUMBER(SEARCH("Madalena",N379))),"SIM","")</f>
        <v/>
      </c>
      <c r="U379" s="92">
        <f>IF(AND(ISNUMBER(SEARCH("Espeto",N379)),ISNUMBER(SEARCH("Mariana",N379))),"SIM","")</f>
        <v/>
      </c>
      <c r="V379" s="92">
        <f>IF(AND(ISNUMBER(SEARCH("Espeto",N379)),ISNUMBER(SEARCH("Perdizes",N379))),"SIM","")</f>
        <v/>
      </c>
      <c r="W379" s="92">
        <f>IF(AND(ISNUMBER(SEARCH("Espeto",N379)),ISNUMBER(SEARCH("Santana",N379))),"SIM","")</f>
        <v/>
      </c>
      <c r="X379" s="92">
        <f>IF(AND(ISNUMBER(SEARCH("Espeto",N379)),ISNUMBER(SEARCH("André",N379))),"SIM","")</f>
        <v/>
      </c>
      <c r="Y379" s="92">
        <f>IF(AND(ISNUMBER(SEARCH("Delivery",N379)),ISNUMBER(SEARCH("Carin",N379))),"SIM","")</f>
        <v/>
      </c>
      <c r="Z379" s="92">
        <f>IF(AND(ISNUMBER(SEARCH("Delivery",N379)),ISNUMBER(SEARCH("Lapa",N379))),"SIM","")</f>
        <v/>
      </c>
      <c r="AA379" s="92">
        <f>IF(AND(ISNUMBER(SEARCH("Delivery",N379)),ISNUMBER(SEARCH("Tatuapé",N379))),"SIM","")</f>
        <v/>
      </c>
      <c r="AB379" s="92">
        <f>IF(AND(ISNUMBER(SEARCH("Delivery",N379)),ISNUMBER(SEARCH("Pavão",N379))),"SIM","")</f>
        <v/>
      </c>
      <c r="AC379" s="92">
        <f>IF(AND(ISNUMBER(SEARCH("Delivery",N379)),ISNUMBER(SEARCH("Chac",N379))),"SIM","")</f>
        <v/>
      </c>
      <c r="AD379" s="92">
        <f>IF(AND(ISNUMBER(SEARCH("Delivery",N379)),ISNUMBER(SEARCH("Madalena",N379))),"SIM","")</f>
        <v/>
      </c>
      <c r="AE379" s="92">
        <f>IF(AND(ISNUMBER(SEARCH("Delivery",N379)),ISNUMBER(SEARCH("Mariana",N379))),"SIM","")</f>
        <v/>
      </c>
      <c r="AF379" s="92">
        <f>IF(AND(ISNUMBER(SEARCH("Delivery",N379)),ISNUMBER(SEARCH("Perdizes",N379))),"SIM","")</f>
        <v/>
      </c>
      <c r="AG379" s="92">
        <f>IF(AND(ISNUMBER(SEARCH("Delivery",N379)),ISNUMBER(SEARCH("Santana",N379))),"SIM","")</f>
        <v/>
      </c>
      <c r="AH379" s="92">
        <f>IF(AND(ISNUMBER(SEARCH("Delivery",N379)),ISNUMBER(SEARCH("André",N379))),"SIM","")</f>
        <v/>
      </c>
      <c r="AI379" s="92">
        <f>IF(ISNUMBER(SEARCH("Interlagos",N379)),"SIM","")</f>
        <v/>
      </c>
      <c r="AJ379" s="92">
        <f>IF(ISNUMBER(SEARCH("Quiosque",N379)),"SIM","")</f>
        <v/>
      </c>
      <c r="AK379" s="93" t="n"/>
    </row>
    <row r="380">
      <c r="A380" s="88" t="inlineStr">
        <is>
          <t>Protheus</t>
        </is>
      </c>
      <c r="B380" s="96" t="inlineStr">
        <is>
          <t>001179</t>
        </is>
      </c>
      <c r="C380" s="97">
        <f>IF(B380="—","—",IFERROR(VLOOKUP(B380,_Protheus_Cadastro!$A:$B,2,FALSE),"—"))</f>
        <v/>
      </c>
      <c r="D380" s="98">
        <f>IF(B380="—",IFERROR(INDEX(_ZIG_Cadastro!$D:$D,MATCH(H380,_ZIG_Cadastro!$A:$A,0)),"Produto"),IFERROR(VLOOKUP(B380,_Protheus_Cadastro!$A:$C,3,FALSE),"—"))</f>
        <v/>
      </c>
      <c r="E380" s="98">
        <f>IF(B380="—","—",IFERROR(VLOOKUP(B380,_Protheus_Cadastro!$A:$D,4,FALSE),"—"))</f>
        <v/>
      </c>
      <c r="F380" s="98">
        <f>IF(ISERROR(VLOOKUP(B380,'Estrutura Protheus'!A:A,1,FALSE)),"Não","Sim")</f>
        <v/>
      </c>
      <c r="G380" s="99">
        <f>IFERROR(INDEX(_Protheus_Cadastro!$H:$H,MATCH(B380,_Protheus_Cadastro!$A:$A,0)),"—")</f>
        <v/>
      </c>
      <c r="H380" s="211">
        <f>IFERROR(INDEX(_ZIG_Precos!$D:$D,MATCH(I380,_ZIG_Precos!$F:$F,0)),"—")</f>
        <v/>
      </c>
      <c r="I380" s="103">
        <f>IFERROR(VLOOKUP(B380,_Protheus_Cadastro!$A:$I,9,FALSE),"—")</f>
        <v/>
      </c>
      <c r="J380" s="101">
        <f>IFERROR(INDEX(_ZIG_Cadastro!$B:$B,MATCH(I380,_ZIG_Cadastro!$A:$A,0)),IFERROR(INDEX(_Entradas_ZIG!$B:$B,MATCH(I380,_Entradas_ZIG!$C:$C,0)),"—"))</f>
        <v/>
      </c>
      <c r="K380" s="101">
        <f>IFERROR(INDEX(_ZIG_Cadastro!$C:$C,MATCH(I380,_ZIG_Cadastro!$A:$A,0)),IFERROR(INDEX(_Entradas_ZIG!$D:$D,MATCH(I380,_Entradas_ZIG!$C:$C,0)),"—"))</f>
        <v/>
      </c>
      <c r="L380" s="99">
        <f>IF(I380="","Sem SKU ZIG",IF(I380="—","Sem SKU ZIG",IF(NOT(ISERROR(MATCH(I380,_ZIG_Cadastro!$A:$A,0))),IF(EXACT(UPPER(TRIM(C380)),UPPER(TRIM(INDEX(_ZIG_Cadastro!$B:$B,MATCH(I380,_ZIG_Cadastro!$A:$A,0))))),"OK","Atencao - Nome diverge"),IF(NOT(ISERROR(MATCH(I380,_Entradas_ZIG!$C:$C,0))),"OK","Erro - SKU nao encontrado"))))</f>
        <v/>
      </c>
      <c r="M380" s="99">
        <f>IFERROR(INDEX(_ZIG_Cadastro!$G:$G,MATCH(I380,_ZIG_Cadastro!$A:$A,0)),IF(NOT(ISERROR(MATCH(I380,_Entradas_ZIG!$C:$C,0))),"Ativo","—"))</f>
        <v/>
      </c>
      <c r="N380" s="102">
        <f>IFERROR(INDEX(_ZIG_Cadastro!$E:$E,MATCH(I380,_ZIG_Cadastro!$A:$A,0)),IFERROR(INDEX(_Entradas_ZIG!$F:$F,MATCH(I380,_Entradas_ZIG!$C:$C,0)),"—"))</f>
        <v/>
      </c>
      <c r="O380" s="99">
        <f>IF(AND(ISNUMBER(SEARCH("Espeto",N380)),ISNUMBER(SEARCH("Carin",N380))),"SIM","")</f>
        <v/>
      </c>
      <c r="P380" s="99">
        <f>IF(AND(ISNUMBER(SEARCH("Espeto",N380)),ISNUMBER(SEARCH("Lapa",N380))),"SIM","")</f>
        <v/>
      </c>
      <c r="Q380" s="99">
        <f>IF(AND(ISNUMBER(SEARCH("Espeto",N380)),ISNUMBER(SEARCH("Tatuapé",N380))),"SIM","")</f>
        <v/>
      </c>
      <c r="R380" s="99">
        <f>IF(AND(ISNUMBER(SEARCH("Espeto",N380)),ISNUMBER(SEARCH("Pavão",N380))),"SIM","")</f>
        <v/>
      </c>
      <c r="S380" s="99">
        <f>IF(AND(ISNUMBER(SEARCH("Espeto",N380)),ISNUMBER(SEARCH("Chac",N380))),"SIM","")</f>
        <v/>
      </c>
      <c r="T380" s="99">
        <f>IF(AND(ISNUMBER(SEARCH("Espeto",N380)),ISNUMBER(SEARCH("Madalena",N380))),"SIM","")</f>
        <v/>
      </c>
      <c r="U380" s="99">
        <f>IF(AND(ISNUMBER(SEARCH("Espeto",N380)),ISNUMBER(SEARCH("Mariana",N380))),"SIM","")</f>
        <v/>
      </c>
      <c r="V380" s="99">
        <f>IF(AND(ISNUMBER(SEARCH("Espeto",N380)),ISNUMBER(SEARCH("Perdizes",N380))),"SIM","")</f>
        <v/>
      </c>
      <c r="W380" s="99">
        <f>IF(AND(ISNUMBER(SEARCH("Espeto",N380)),ISNUMBER(SEARCH("Santana",N380))),"SIM","")</f>
        <v/>
      </c>
      <c r="X380" s="99">
        <f>IF(AND(ISNUMBER(SEARCH("Espeto",N380)),ISNUMBER(SEARCH("André",N380))),"SIM","")</f>
        <v/>
      </c>
      <c r="Y380" s="99">
        <f>IF(AND(ISNUMBER(SEARCH("Delivery",N380)),ISNUMBER(SEARCH("Carin",N380))),"SIM","")</f>
        <v/>
      </c>
      <c r="Z380" s="99">
        <f>IF(AND(ISNUMBER(SEARCH("Delivery",N380)),ISNUMBER(SEARCH("Lapa",N380))),"SIM","")</f>
        <v/>
      </c>
      <c r="AA380" s="99">
        <f>IF(AND(ISNUMBER(SEARCH("Delivery",N380)),ISNUMBER(SEARCH("Tatuapé",N380))),"SIM","")</f>
        <v/>
      </c>
      <c r="AB380" s="99">
        <f>IF(AND(ISNUMBER(SEARCH("Delivery",N380)),ISNUMBER(SEARCH("Pavão",N380))),"SIM","")</f>
        <v/>
      </c>
      <c r="AC380" s="99">
        <f>IF(AND(ISNUMBER(SEARCH("Delivery",N380)),ISNUMBER(SEARCH("Chac",N380))),"SIM","")</f>
        <v/>
      </c>
      <c r="AD380" s="99">
        <f>IF(AND(ISNUMBER(SEARCH("Delivery",N380)),ISNUMBER(SEARCH("Madalena",N380))),"SIM","")</f>
        <v/>
      </c>
      <c r="AE380" s="99">
        <f>IF(AND(ISNUMBER(SEARCH("Delivery",N380)),ISNUMBER(SEARCH("Mariana",N380))),"SIM","")</f>
        <v/>
      </c>
      <c r="AF380" s="99">
        <f>IF(AND(ISNUMBER(SEARCH("Delivery",N380)),ISNUMBER(SEARCH("Perdizes",N380))),"SIM","")</f>
        <v/>
      </c>
      <c r="AG380" s="99">
        <f>IF(AND(ISNUMBER(SEARCH("Delivery",N380)),ISNUMBER(SEARCH("Santana",N380))),"SIM","")</f>
        <v/>
      </c>
      <c r="AH380" s="99">
        <f>IF(AND(ISNUMBER(SEARCH("Delivery",N380)),ISNUMBER(SEARCH("André",N380))),"SIM","")</f>
        <v/>
      </c>
      <c r="AI380" s="99">
        <f>IF(ISNUMBER(SEARCH("Interlagos",N380)),"SIM","")</f>
        <v/>
      </c>
      <c r="AJ380" s="99">
        <f>IF(ISNUMBER(SEARCH("Quiosque",N380)),"SIM","")</f>
        <v/>
      </c>
      <c r="AK380" s="101" t="n"/>
    </row>
    <row r="381">
      <c r="A381" s="88" t="inlineStr">
        <is>
          <t>Protheus</t>
        </is>
      </c>
      <c r="B381" s="89" t="inlineStr">
        <is>
          <t>001180</t>
        </is>
      </c>
      <c r="C381" s="90">
        <f>IF(B381="—","—",IFERROR(VLOOKUP(B381,_Protheus_Cadastro!$A:$B,2,FALSE),"—"))</f>
        <v/>
      </c>
      <c r="D381" s="91">
        <f>IF(B381="—",IFERROR(INDEX(_ZIG_Cadastro!$D:$D,MATCH(H381,_ZIG_Cadastro!$A:$A,0)),"Produto"),IFERROR(VLOOKUP(B381,_Protheus_Cadastro!$A:$C,3,FALSE),"—"))</f>
        <v/>
      </c>
      <c r="E381" s="91">
        <f>IF(B381="—","—",IFERROR(VLOOKUP(B381,_Protheus_Cadastro!$A:$D,4,FALSE),"—"))</f>
        <v/>
      </c>
      <c r="F381" s="91">
        <f>IF(ISERROR(VLOOKUP(B381,'Estrutura Protheus'!A:A,1,FALSE)),"Não","Sim")</f>
        <v/>
      </c>
      <c r="G381" s="92">
        <f>IFERROR(INDEX(_Protheus_Cadastro!$H:$H,MATCH(B381,_Protheus_Cadastro!$A:$A,0)),"—")</f>
        <v/>
      </c>
      <c r="H381" s="210">
        <f>IFERROR(INDEX(_ZIG_Precos!$D:$D,MATCH(I381,_ZIG_Precos!$F:$F,0)),"—")</f>
        <v/>
      </c>
      <c r="I381" s="95">
        <f>IFERROR(VLOOKUP(B381,_Protheus_Cadastro!$A:$I,9,FALSE),"—")</f>
        <v/>
      </c>
      <c r="J381" s="93">
        <f>IFERROR(INDEX(_ZIG_Cadastro!$B:$B,MATCH(I381,_ZIG_Cadastro!$A:$A,0)),IFERROR(INDEX(_Entradas_ZIG!$B:$B,MATCH(I381,_Entradas_ZIG!$C:$C,0)),"—"))</f>
        <v/>
      </c>
      <c r="K381" s="93">
        <f>IFERROR(INDEX(_ZIG_Cadastro!$C:$C,MATCH(I381,_ZIG_Cadastro!$A:$A,0)),IFERROR(INDEX(_Entradas_ZIG!$D:$D,MATCH(I381,_Entradas_ZIG!$C:$C,0)),"—"))</f>
        <v/>
      </c>
      <c r="L381" s="92">
        <f>IF(I381="","Sem SKU ZIG",IF(I381="—","Sem SKU ZIG",IF(NOT(ISERROR(MATCH(I381,_ZIG_Cadastro!$A:$A,0))),IF(EXACT(UPPER(TRIM(C381)),UPPER(TRIM(INDEX(_ZIG_Cadastro!$B:$B,MATCH(I381,_ZIG_Cadastro!$A:$A,0))))),"OK","Atencao - Nome diverge"),IF(NOT(ISERROR(MATCH(I381,_Entradas_ZIG!$C:$C,0))),"OK","Erro - SKU nao encontrado"))))</f>
        <v/>
      </c>
      <c r="M381" s="92">
        <f>IFERROR(INDEX(_ZIG_Cadastro!$G:$G,MATCH(I381,_ZIG_Cadastro!$A:$A,0)),IF(NOT(ISERROR(MATCH(I381,_Entradas_ZIG!$C:$C,0))),"Ativo","—"))</f>
        <v/>
      </c>
      <c r="N381" s="94">
        <f>IFERROR(INDEX(_ZIG_Cadastro!$E:$E,MATCH(I381,_ZIG_Cadastro!$A:$A,0)),IFERROR(INDEX(_Entradas_ZIG!$F:$F,MATCH(I381,_Entradas_ZIG!$C:$C,0)),"—"))</f>
        <v/>
      </c>
      <c r="O381" s="92">
        <f>IF(AND(ISNUMBER(SEARCH("Espeto",N381)),ISNUMBER(SEARCH("Carin",N381))),"SIM","")</f>
        <v/>
      </c>
      <c r="P381" s="92">
        <f>IF(AND(ISNUMBER(SEARCH("Espeto",N381)),ISNUMBER(SEARCH("Lapa",N381))),"SIM","")</f>
        <v/>
      </c>
      <c r="Q381" s="92">
        <f>IF(AND(ISNUMBER(SEARCH("Espeto",N381)),ISNUMBER(SEARCH("Tatuapé",N381))),"SIM","")</f>
        <v/>
      </c>
      <c r="R381" s="92">
        <f>IF(AND(ISNUMBER(SEARCH("Espeto",N381)),ISNUMBER(SEARCH("Pavão",N381))),"SIM","")</f>
        <v/>
      </c>
      <c r="S381" s="92">
        <f>IF(AND(ISNUMBER(SEARCH("Espeto",N381)),ISNUMBER(SEARCH("Chac",N381))),"SIM","")</f>
        <v/>
      </c>
      <c r="T381" s="92">
        <f>IF(AND(ISNUMBER(SEARCH("Espeto",N381)),ISNUMBER(SEARCH("Madalena",N381))),"SIM","")</f>
        <v/>
      </c>
      <c r="U381" s="92">
        <f>IF(AND(ISNUMBER(SEARCH("Espeto",N381)),ISNUMBER(SEARCH("Mariana",N381))),"SIM","")</f>
        <v/>
      </c>
      <c r="V381" s="92">
        <f>IF(AND(ISNUMBER(SEARCH("Espeto",N381)),ISNUMBER(SEARCH("Perdizes",N381))),"SIM","")</f>
        <v/>
      </c>
      <c r="W381" s="92">
        <f>IF(AND(ISNUMBER(SEARCH("Espeto",N381)),ISNUMBER(SEARCH("Santana",N381))),"SIM","")</f>
        <v/>
      </c>
      <c r="X381" s="92">
        <f>IF(AND(ISNUMBER(SEARCH("Espeto",N381)),ISNUMBER(SEARCH("André",N381))),"SIM","")</f>
        <v/>
      </c>
      <c r="Y381" s="92">
        <f>IF(AND(ISNUMBER(SEARCH("Delivery",N381)),ISNUMBER(SEARCH("Carin",N381))),"SIM","")</f>
        <v/>
      </c>
      <c r="Z381" s="92">
        <f>IF(AND(ISNUMBER(SEARCH("Delivery",N381)),ISNUMBER(SEARCH("Lapa",N381))),"SIM","")</f>
        <v/>
      </c>
      <c r="AA381" s="92">
        <f>IF(AND(ISNUMBER(SEARCH("Delivery",N381)),ISNUMBER(SEARCH("Tatuapé",N381))),"SIM","")</f>
        <v/>
      </c>
      <c r="AB381" s="92">
        <f>IF(AND(ISNUMBER(SEARCH("Delivery",N381)),ISNUMBER(SEARCH("Pavão",N381))),"SIM","")</f>
        <v/>
      </c>
      <c r="AC381" s="92">
        <f>IF(AND(ISNUMBER(SEARCH("Delivery",N381)),ISNUMBER(SEARCH("Chac",N381))),"SIM","")</f>
        <v/>
      </c>
      <c r="AD381" s="92">
        <f>IF(AND(ISNUMBER(SEARCH("Delivery",N381)),ISNUMBER(SEARCH("Madalena",N381))),"SIM","")</f>
        <v/>
      </c>
      <c r="AE381" s="92">
        <f>IF(AND(ISNUMBER(SEARCH("Delivery",N381)),ISNUMBER(SEARCH("Mariana",N381))),"SIM","")</f>
        <v/>
      </c>
      <c r="AF381" s="92">
        <f>IF(AND(ISNUMBER(SEARCH("Delivery",N381)),ISNUMBER(SEARCH("Perdizes",N381))),"SIM","")</f>
        <v/>
      </c>
      <c r="AG381" s="92">
        <f>IF(AND(ISNUMBER(SEARCH("Delivery",N381)),ISNUMBER(SEARCH("Santana",N381))),"SIM","")</f>
        <v/>
      </c>
      <c r="AH381" s="92">
        <f>IF(AND(ISNUMBER(SEARCH("Delivery",N381)),ISNUMBER(SEARCH("André",N381))),"SIM","")</f>
        <v/>
      </c>
      <c r="AI381" s="92">
        <f>IF(ISNUMBER(SEARCH("Interlagos",N381)),"SIM","")</f>
        <v/>
      </c>
      <c r="AJ381" s="92">
        <f>IF(ISNUMBER(SEARCH("Quiosque",N381)),"SIM","")</f>
        <v/>
      </c>
      <c r="AK381" s="93" t="n"/>
    </row>
    <row r="382">
      <c r="A382" s="88" t="inlineStr">
        <is>
          <t>Protheus</t>
        </is>
      </c>
      <c r="B382" s="96" t="inlineStr">
        <is>
          <t>000949</t>
        </is>
      </c>
      <c r="C382" s="97">
        <f>IF(B382="—","—",IFERROR(VLOOKUP(B382,_Protheus_Cadastro!$A:$B,2,FALSE),"—"))</f>
        <v/>
      </c>
      <c r="D382" s="98">
        <f>IF(B382="—",IFERROR(INDEX(_ZIG_Cadastro!$D:$D,MATCH(H382,_ZIG_Cadastro!$A:$A,0)),"Produto"),IFERROR(VLOOKUP(B382,_Protheus_Cadastro!$A:$C,3,FALSE),"—"))</f>
        <v/>
      </c>
      <c r="E382" s="98">
        <f>IF(B382="—","—",IFERROR(VLOOKUP(B382,_Protheus_Cadastro!$A:$D,4,FALSE),"—"))</f>
        <v/>
      </c>
      <c r="F382" s="98">
        <f>IF(ISERROR(VLOOKUP(B382,'Estrutura Protheus'!A:A,1,FALSE)),"Não","Sim")</f>
        <v/>
      </c>
      <c r="G382" s="99">
        <f>IFERROR(INDEX(_Protheus_Cadastro!$H:$H,MATCH(B382,_Protheus_Cadastro!$A:$A,0)),"—")</f>
        <v/>
      </c>
      <c r="H382" s="211">
        <f>IFERROR(INDEX(_ZIG_Precos!$D:$D,MATCH(I382,_ZIG_Precos!$F:$F,0)),"—")</f>
        <v/>
      </c>
      <c r="I382" s="103">
        <f>IFERROR(VLOOKUP(B382,_Protheus_Cadastro!$A:$I,9,FALSE),"—")</f>
        <v/>
      </c>
      <c r="J382" s="101">
        <f>IFERROR(INDEX(_ZIG_Cadastro!$B:$B,MATCH(I382,_ZIG_Cadastro!$A:$A,0)),IFERROR(INDEX(_Entradas_ZIG!$B:$B,MATCH(I382,_Entradas_ZIG!$C:$C,0)),"—"))</f>
        <v/>
      </c>
      <c r="K382" s="101">
        <f>IFERROR(INDEX(_ZIG_Cadastro!$C:$C,MATCH(I382,_ZIG_Cadastro!$A:$A,0)),IFERROR(INDEX(_Entradas_ZIG!$D:$D,MATCH(I382,_Entradas_ZIG!$C:$C,0)),"—"))</f>
        <v/>
      </c>
      <c r="L382" s="99">
        <f>IF(I382="","Sem SKU ZIG",IF(I382="—","Sem SKU ZIG",IF(NOT(ISERROR(MATCH(I382,_ZIG_Cadastro!$A:$A,0))),IF(EXACT(UPPER(TRIM(C382)),UPPER(TRIM(INDEX(_ZIG_Cadastro!$B:$B,MATCH(I382,_ZIG_Cadastro!$A:$A,0))))),"OK","Atencao - Nome diverge"),IF(NOT(ISERROR(MATCH(I382,_Entradas_ZIG!$C:$C,0))),"OK","Erro - SKU nao encontrado"))))</f>
        <v/>
      </c>
      <c r="M382" s="99">
        <f>IFERROR(INDEX(_ZIG_Cadastro!$G:$G,MATCH(I382,_ZIG_Cadastro!$A:$A,0)),IF(NOT(ISERROR(MATCH(I382,_Entradas_ZIG!$C:$C,0))),"Ativo","—"))</f>
        <v/>
      </c>
      <c r="N382" s="102">
        <f>IFERROR(INDEX(_ZIG_Cadastro!$E:$E,MATCH(I382,_ZIG_Cadastro!$A:$A,0)),IFERROR(INDEX(_Entradas_ZIG!$F:$F,MATCH(I382,_Entradas_ZIG!$C:$C,0)),"—"))</f>
        <v/>
      </c>
      <c r="O382" s="99">
        <f>IF(AND(ISNUMBER(SEARCH("Espeto",N382)),ISNUMBER(SEARCH("Carin",N382))),"SIM","")</f>
        <v/>
      </c>
      <c r="P382" s="99">
        <f>IF(AND(ISNUMBER(SEARCH("Espeto",N382)),ISNUMBER(SEARCH("Lapa",N382))),"SIM","")</f>
        <v/>
      </c>
      <c r="Q382" s="99">
        <f>IF(AND(ISNUMBER(SEARCH("Espeto",N382)),ISNUMBER(SEARCH("Tatuapé",N382))),"SIM","")</f>
        <v/>
      </c>
      <c r="R382" s="99">
        <f>IF(AND(ISNUMBER(SEARCH("Espeto",N382)),ISNUMBER(SEARCH("Pavão",N382))),"SIM","")</f>
        <v/>
      </c>
      <c r="S382" s="99">
        <f>IF(AND(ISNUMBER(SEARCH("Espeto",N382)),ISNUMBER(SEARCH("Chac",N382))),"SIM","")</f>
        <v/>
      </c>
      <c r="T382" s="99">
        <f>IF(AND(ISNUMBER(SEARCH("Espeto",N382)),ISNUMBER(SEARCH("Madalena",N382))),"SIM","")</f>
        <v/>
      </c>
      <c r="U382" s="99">
        <f>IF(AND(ISNUMBER(SEARCH("Espeto",N382)),ISNUMBER(SEARCH("Mariana",N382))),"SIM","")</f>
        <v/>
      </c>
      <c r="V382" s="99">
        <f>IF(AND(ISNUMBER(SEARCH("Espeto",N382)),ISNUMBER(SEARCH("Perdizes",N382))),"SIM","")</f>
        <v/>
      </c>
      <c r="W382" s="99">
        <f>IF(AND(ISNUMBER(SEARCH("Espeto",N382)),ISNUMBER(SEARCH("Santana",N382))),"SIM","")</f>
        <v/>
      </c>
      <c r="X382" s="99">
        <f>IF(AND(ISNUMBER(SEARCH("Espeto",N382)),ISNUMBER(SEARCH("André",N382))),"SIM","")</f>
        <v/>
      </c>
      <c r="Y382" s="99">
        <f>IF(AND(ISNUMBER(SEARCH("Delivery",N382)),ISNUMBER(SEARCH("Carin",N382))),"SIM","")</f>
        <v/>
      </c>
      <c r="Z382" s="99">
        <f>IF(AND(ISNUMBER(SEARCH("Delivery",N382)),ISNUMBER(SEARCH("Lapa",N382))),"SIM","")</f>
        <v/>
      </c>
      <c r="AA382" s="99">
        <f>IF(AND(ISNUMBER(SEARCH("Delivery",N382)),ISNUMBER(SEARCH("Tatuapé",N382))),"SIM","")</f>
        <v/>
      </c>
      <c r="AB382" s="99">
        <f>IF(AND(ISNUMBER(SEARCH("Delivery",N382)),ISNUMBER(SEARCH("Pavão",N382))),"SIM","")</f>
        <v/>
      </c>
      <c r="AC382" s="99">
        <f>IF(AND(ISNUMBER(SEARCH("Delivery",N382)),ISNUMBER(SEARCH("Chac",N382))),"SIM","")</f>
        <v/>
      </c>
      <c r="AD382" s="99">
        <f>IF(AND(ISNUMBER(SEARCH("Delivery",N382)),ISNUMBER(SEARCH("Madalena",N382))),"SIM","")</f>
        <v/>
      </c>
      <c r="AE382" s="99">
        <f>IF(AND(ISNUMBER(SEARCH("Delivery",N382)),ISNUMBER(SEARCH("Mariana",N382))),"SIM","")</f>
        <v/>
      </c>
      <c r="AF382" s="99">
        <f>IF(AND(ISNUMBER(SEARCH("Delivery",N382)),ISNUMBER(SEARCH("Perdizes",N382))),"SIM","")</f>
        <v/>
      </c>
      <c r="AG382" s="99">
        <f>IF(AND(ISNUMBER(SEARCH("Delivery",N382)),ISNUMBER(SEARCH("Santana",N382))),"SIM","")</f>
        <v/>
      </c>
      <c r="AH382" s="99">
        <f>IF(AND(ISNUMBER(SEARCH("Delivery",N382)),ISNUMBER(SEARCH("André",N382))),"SIM","")</f>
        <v/>
      </c>
      <c r="AI382" s="99">
        <f>IF(ISNUMBER(SEARCH("Interlagos",N382)),"SIM","")</f>
        <v/>
      </c>
      <c r="AJ382" s="99">
        <f>IF(ISNUMBER(SEARCH("Quiosque",N382)),"SIM","")</f>
        <v/>
      </c>
      <c r="AK382" s="101" t="n"/>
    </row>
    <row r="383">
      <c r="A383" s="88" t="inlineStr">
        <is>
          <t>Protheus</t>
        </is>
      </c>
      <c r="B383" s="89" t="inlineStr">
        <is>
          <t>000962</t>
        </is>
      </c>
      <c r="C383" s="90">
        <f>IF(B383="—","—",IFERROR(VLOOKUP(B383,_Protheus_Cadastro!$A:$B,2,FALSE),"—"))</f>
        <v/>
      </c>
      <c r="D383" s="91">
        <f>IF(B383="—",IFERROR(INDEX(_ZIG_Cadastro!$D:$D,MATCH(H383,_ZIG_Cadastro!$A:$A,0)),"Produto"),IFERROR(VLOOKUP(B383,_Protheus_Cadastro!$A:$C,3,FALSE),"—"))</f>
        <v/>
      </c>
      <c r="E383" s="91">
        <f>IF(B383="—","—",IFERROR(VLOOKUP(B383,_Protheus_Cadastro!$A:$D,4,FALSE),"—"))</f>
        <v/>
      </c>
      <c r="F383" s="91">
        <f>IF(ISERROR(VLOOKUP(B383,'Estrutura Protheus'!A:A,1,FALSE)),"Não","Sim")</f>
        <v/>
      </c>
      <c r="G383" s="92">
        <f>IFERROR(INDEX(_Protheus_Cadastro!$H:$H,MATCH(B383,_Protheus_Cadastro!$A:$A,0)),"—")</f>
        <v/>
      </c>
      <c r="H383" s="210">
        <f>IFERROR(INDEX(_ZIG_Precos!$D:$D,MATCH(I383,_ZIG_Precos!$F:$F,0)),"—")</f>
        <v/>
      </c>
      <c r="I383" s="95">
        <f>IFERROR(VLOOKUP(B383,_Protheus_Cadastro!$A:$I,9,FALSE),"—")</f>
        <v/>
      </c>
      <c r="J383" s="93">
        <f>IFERROR(INDEX(_ZIG_Cadastro!$B:$B,MATCH(I383,_ZIG_Cadastro!$A:$A,0)),IFERROR(INDEX(_Entradas_ZIG!$B:$B,MATCH(I383,_Entradas_ZIG!$C:$C,0)),"—"))</f>
        <v/>
      </c>
      <c r="K383" s="93">
        <f>IFERROR(INDEX(_ZIG_Cadastro!$C:$C,MATCH(I383,_ZIG_Cadastro!$A:$A,0)),IFERROR(INDEX(_Entradas_ZIG!$D:$D,MATCH(I383,_Entradas_ZIG!$C:$C,0)),"—"))</f>
        <v/>
      </c>
      <c r="L383" s="92">
        <f>IF(I383="","Sem SKU ZIG",IF(I383="—","Sem SKU ZIG",IF(NOT(ISERROR(MATCH(I383,_ZIG_Cadastro!$A:$A,0))),IF(EXACT(UPPER(TRIM(C383)),UPPER(TRIM(INDEX(_ZIG_Cadastro!$B:$B,MATCH(I383,_ZIG_Cadastro!$A:$A,0))))),"OK","Atencao - Nome diverge"),IF(NOT(ISERROR(MATCH(I383,_Entradas_ZIG!$C:$C,0))),"OK","Erro - SKU nao encontrado"))))</f>
        <v/>
      </c>
      <c r="M383" s="92">
        <f>IFERROR(INDEX(_ZIG_Cadastro!$G:$G,MATCH(I383,_ZIG_Cadastro!$A:$A,0)),IF(NOT(ISERROR(MATCH(I383,_Entradas_ZIG!$C:$C,0))),"Ativo","—"))</f>
        <v/>
      </c>
      <c r="N383" s="94">
        <f>IFERROR(INDEX(_ZIG_Cadastro!$E:$E,MATCH(I383,_ZIG_Cadastro!$A:$A,0)),IFERROR(INDEX(_Entradas_ZIG!$F:$F,MATCH(I383,_Entradas_ZIG!$C:$C,0)),"—"))</f>
        <v/>
      </c>
      <c r="O383" s="92">
        <f>IF(AND(ISNUMBER(SEARCH("Espeto",N383)),ISNUMBER(SEARCH("Carin",N383))),"SIM","")</f>
        <v/>
      </c>
      <c r="P383" s="92">
        <f>IF(AND(ISNUMBER(SEARCH("Espeto",N383)),ISNUMBER(SEARCH("Lapa",N383))),"SIM","")</f>
        <v/>
      </c>
      <c r="Q383" s="92">
        <f>IF(AND(ISNUMBER(SEARCH("Espeto",N383)),ISNUMBER(SEARCH("Tatuapé",N383))),"SIM","")</f>
        <v/>
      </c>
      <c r="R383" s="92">
        <f>IF(AND(ISNUMBER(SEARCH("Espeto",N383)),ISNUMBER(SEARCH("Pavão",N383))),"SIM","")</f>
        <v/>
      </c>
      <c r="S383" s="92">
        <f>IF(AND(ISNUMBER(SEARCH("Espeto",N383)),ISNUMBER(SEARCH("Chac",N383))),"SIM","")</f>
        <v/>
      </c>
      <c r="T383" s="92">
        <f>IF(AND(ISNUMBER(SEARCH("Espeto",N383)),ISNUMBER(SEARCH("Madalena",N383))),"SIM","")</f>
        <v/>
      </c>
      <c r="U383" s="92">
        <f>IF(AND(ISNUMBER(SEARCH("Espeto",N383)),ISNUMBER(SEARCH("Mariana",N383))),"SIM","")</f>
        <v/>
      </c>
      <c r="V383" s="92">
        <f>IF(AND(ISNUMBER(SEARCH("Espeto",N383)),ISNUMBER(SEARCH("Perdizes",N383))),"SIM","")</f>
        <v/>
      </c>
      <c r="W383" s="92">
        <f>IF(AND(ISNUMBER(SEARCH("Espeto",N383)),ISNUMBER(SEARCH("Santana",N383))),"SIM","")</f>
        <v/>
      </c>
      <c r="X383" s="92">
        <f>IF(AND(ISNUMBER(SEARCH("Espeto",N383)),ISNUMBER(SEARCH("André",N383))),"SIM","")</f>
        <v/>
      </c>
      <c r="Y383" s="92">
        <f>IF(AND(ISNUMBER(SEARCH("Delivery",N383)),ISNUMBER(SEARCH("Carin",N383))),"SIM","")</f>
        <v/>
      </c>
      <c r="Z383" s="92">
        <f>IF(AND(ISNUMBER(SEARCH("Delivery",N383)),ISNUMBER(SEARCH("Lapa",N383))),"SIM","")</f>
        <v/>
      </c>
      <c r="AA383" s="92">
        <f>IF(AND(ISNUMBER(SEARCH("Delivery",N383)),ISNUMBER(SEARCH("Tatuapé",N383))),"SIM","")</f>
        <v/>
      </c>
      <c r="AB383" s="92">
        <f>IF(AND(ISNUMBER(SEARCH("Delivery",N383)),ISNUMBER(SEARCH("Pavão",N383))),"SIM","")</f>
        <v/>
      </c>
      <c r="AC383" s="92">
        <f>IF(AND(ISNUMBER(SEARCH("Delivery",N383)),ISNUMBER(SEARCH("Chac",N383))),"SIM","")</f>
        <v/>
      </c>
      <c r="AD383" s="92">
        <f>IF(AND(ISNUMBER(SEARCH("Delivery",N383)),ISNUMBER(SEARCH("Madalena",N383))),"SIM","")</f>
        <v/>
      </c>
      <c r="AE383" s="92">
        <f>IF(AND(ISNUMBER(SEARCH("Delivery",N383)),ISNUMBER(SEARCH("Mariana",N383))),"SIM","")</f>
        <v/>
      </c>
      <c r="AF383" s="92">
        <f>IF(AND(ISNUMBER(SEARCH("Delivery",N383)),ISNUMBER(SEARCH("Perdizes",N383))),"SIM","")</f>
        <v/>
      </c>
      <c r="AG383" s="92">
        <f>IF(AND(ISNUMBER(SEARCH("Delivery",N383)),ISNUMBER(SEARCH("Santana",N383))),"SIM","")</f>
        <v/>
      </c>
      <c r="AH383" s="92">
        <f>IF(AND(ISNUMBER(SEARCH("Delivery",N383)),ISNUMBER(SEARCH("André",N383))),"SIM","")</f>
        <v/>
      </c>
      <c r="AI383" s="92">
        <f>IF(ISNUMBER(SEARCH("Interlagos",N383)),"SIM","")</f>
        <v/>
      </c>
      <c r="AJ383" s="92">
        <f>IF(ISNUMBER(SEARCH("Quiosque",N383)),"SIM","")</f>
        <v/>
      </c>
      <c r="AK383" s="93" t="n"/>
    </row>
    <row r="384">
      <c r="A384" s="88" t="inlineStr">
        <is>
          <t>Protheus</t>
        </is>
      </c>
      <c r="B384" s="96" t="inlineStr">
        <is>
          <t>001185</t>
        </is>
      </c>
      <c r="C384" s="97">
        <f>IF(B384="—","—",IFERROR(VLOOKUP(B384,_Protheus_Cadastro!$A:$B,2,FALSE),"—"))</f>
        <v/>
      </c>
      <c r="D384" s="98">
        <f>IF(B384="—",IFERROR(INDEX(_ZIG_Cadastro!$D:$D,MATCH(H384,_ZIG_Cadastro!$A:$A,0)),"Produto"),IFERROR(VLOOKUP(B384,_Protheus_Cadastro!$A:$C,3,FALSE),"—"))</f>
        <v/>
      </c>
      <c r="E384" s="98">
        <f>IF(B384="—","—",IFERROR(VLOOKUP(B384,_Protheus_Cadastro!$A:$D,4,FALSE),"—"))</f>
        <v/>
      </c>
      <c r="F384" s="98">
        <f>IF(ISERROR(VLOOKUP(B384,'Estrutura Protheus'!A:A,1,FALSE)),"Não","Sim")</f>
        <v/>
      </c>
      <c r="G384" s="99">
        <f>IFERROR(INDEX(_Protheus_Cadastro!$H:$H,MATCH(B384,_Protheus_Cadastro!$A:$A,0)),"—")</f>
        <v/>
      </c>
      <c r="H384" s="211">
        <f>IFERROR(INDEX(_ZIG_Precos!$D:$D,MATCH(I384,_ZIG_Precos!$F:$F,0)),"—")</f>
        <v/>
      </c>
      <c r="I384" s="103">
        <f>IFERROR(VLOOKUP(B384,_Protheus_Cadastro!$A:$I,9,FALSE),"—")</f>
        <v/>
      </c>
      <c r="J384" s="101">
        <f>IFERROR(INDEX(_ZIG_Cadastro!$B:$B,MATCH(I384,_ZIG_Cadastro!$A:$A,0)),IFERROR(INDEX(_Entradas_ZIG!$B:$B,MATCH(I384,_Entradas_ZIG!$C:$C,0)),"—"))</f>
        <v/>
      </c>
      <c r="K384" s="101">
        <f>IFERROR(INDEX(_ZIG_Cadastro!$C:$C,MATCH(I384,_ZIG_Cadastro!$A:$A,0)),IFERROR(INDEX(_Entradas_ZIG!$D:$D,MATCH(I384,_Entradas_ZIG!$C:$C,0)),"—"))</f>
        <v/>
      </c>
      <c r="L384" s="99">
        <f>IF(I384="","Sem SKU ZIG",IF(I384="—","Sem SKU ZIG",IF(NOT(ISERROR(MATCH(I384,_ZIG_Cadastro!$A:$A,0))),IF(EXACT(UPPER(TRIM(C384)),UPPER(TRIM(INDEX(_ZIG_Cadastro!$B:$B,MATCH(I384,_ZIG_Cadastro!$A:$A,0))))),"OK","Atencao - Nome diverge"),IF(NOT(ISERROR(MATCH(I384,_Entradas_ZIG!$C:$C,0))),"OK","Erro - SKU nao encontrado"))))</f>
        <v/>
      </c>
      <c r="M384" s="99">
        <f>IFERROR(INDEX(_ZIG_Cadastro!$G:$G,MATCH(I384,_ZIG_Cadastro!$A:$A,0)),IF(NOT(ISERROR(MATCH(I384,_Entradas_ZIG!$C:$C,0))),"Ativo","—"))</f>
        <v/>
      </c>
      <c r="N384" s="102">
        <f>IFERROR(INDEX(_ZIG_Cadastro!$E:$E,MATCH(I384,_ZIG_Cadastro!$A:$A,0)),IFERROR(INDEX(_Entradas_ZIG!$F:$F,MATCH(I384,_Entradas_ZIG!$C:$C,0)),"—"))</f>
        <v/>
      </c>
      <c r="O384" s="99">
        <f>IF(AND(ISNUMBER(SEARCH("Espeto",N384)),ISNUMBER(SEARCH("Carin",N384))),"SIM","")</f>
        <v/>
      </c>
      <c r="P384" s="99">
        <f>IF(AND(ISNUMBER(SEARCH("Espeto",N384)),ISNUMBER(SEARCH("Lapa",N384))),"SIM","")</f>
        <v/>
      </c>
      <c r="Q384" s="99">
        <f>IF(AND(ISNUMBER(SEARCH("Espeto",N384)),ISNUMBER(SEARCH("Tatuapé",N384))),"SIM","")</f>
        <v/>
      </c>
      <c r="R384" s="99">
        <f>IF(AND(ISNUMBER(SEARCH("Espeto",N384)),ISNUMBER(SEARCH("Pavão",N384))),"SIM","")</f>
        <v/>
      </c>
      <c r="S384" s="99">
        <f>IF(AND(ISNUMBER(SEARCH("Espeto",N384)),ISNUMBER(SEARCH("Chac",N384))),"SIM","")</f>
        <v/>
      </c>
      <c r="T384" s="99">
        <f>IF(AND(ISNUMBER(SEARCH("Espeto",N384)),ISNUMBER(SEARCH("Madalena",N384))),"SIM","")</f>
        <v/>
      </c>
      <c r="U384" s="99">
        <f>IF(AND(ISNUMBER(SEARCH("Espeto",N384)),ISNUMBER(SEARCH("Mariana",N384))),"SIM","")</f>
        <v/>
      </c>
      <c r="V384" s="99">
        <f>IF(AND(ISNUMBER(SEARCH("Espeto",N384)),ISNUMBER(SEARCH("Perdizes",N384))),"SIM","")</f>
        <v/>
      </c>
      <c r="W384" s="99">
        <f>IF(AND(ISNUMBER(SEARCH("Espeto",N384)),ISNUMBER(SEARCH("Santana",N384))),"SIM","")</f>
        <v/>
      </c>
      <c r="X384" s="99">
        <f>IF(AND(ISNUMBER(SEARCH("Espeto",N384)),ISNUMBER(SEARCH("André",N384))),"SIM","")</f>
        <v/>
      </c>
      <c r="Y384" s="99">
        <f>IF(AND(ISNUMBER(SEARCH("Delivery",N384)),ISNUMBER(SEARCH("Carin",N384))),"SIM","")</f>
        <v/>
      </c>
      <c r="Z384" s="99">
        <f>IF(AND(ISNUMBER(SEARCH("Delivery",N384)),ISNUMBER(SEARCH("Lapa",N384))),"SIM","")</f>
        <v/>
      </c>
      <c r="AA384" s="99">
        <f>IF(AND(ISNUMBER(SEARCH("Delivery",N384)),ISNUMBER(SEARCH("Tatuapé",N384))),"SIM","")</f>
        <v/>
      </c>
      <c r="AB384" s="99">
        <f>IF(AND(ISNUMBER(SEARCH("Delivery",N384)),ISNUMBER(SEARCH("Pavão",N384))),"SIM","")</f>
        <v/>
      </c>
      <c r="AC384" s="99">
        <f>IF(AND(ISNUMBER(SEARCH("Delivery",N384)),ISNUMBER(SEARCH("Chac",N384))),"SIM","")</f>
        <v/>
      </c>
      <c r="AD384" s="99">
        <f>IF(AND(ISNUMBER(SEARCH("Delivery",N384)),ISNUMBER(SEARCH("Madalena",N384))),"SIM","")</f>
        <v/>
      </c>
      <c r="AE384" s="99">
        <f>IF(AND(ISNUMBER(SEARCH("Delivery",N384)),ISNUMBER(SEARCH("Mariana",N384))),"SIM","")</f>
        <v/>
      </c>
      <c r="AF384" s="99">
        <f>IF(AND(ISNUMBER(SEARCH("Delivery",N384)),ISNUMBER(SEARCH("Perdizes",N384))),"SIM","")</f>
        <v/>
      </c>
      <c r="AG384" s="99">
        <f>IF(AND(ISNUMBER(SEARCH("Delivery",N384)),ISNUMBER(SEARCH("Santana",N384))),"SIM","")</f>
        <v/>
      </c>
      <c r="AH384" s="99">
        <f>IF(AND(ISNUMBER(SEARCH("Delivery",N384)),ISNUMBER(SEARCH("André",N384))),"SIM","")</f>
        <v/>
      </c>
      <c r="AI384" s="99">
        <f>IF(ISNUMBER(SEARCH("Interlagos",N384)),"SIM","")</f>
        <v/>
      </c>
      <c r="AJ384" s="99">
        <f>IF(ISNUMBER(SEARCH("Quiosque",N384)),"SIM","")</f>
        <v/>
      </c>
      <c r="AK384" s="101" t="n"/>
    </row>
    <row r="385">
      <c r="A385" s="88" t="inlineStr">
        <is>
          <t>Protheus</t>
        </is>
      </c>
      <c r="B385" s="89" t="inlineStr">
        <is>
          <t>001186</t>
        </is>
      </c>
      <c r="C385" s="90">
        <f>IF(B385="—","—",IFERROR(VLOOKUP(B385,_Protheus_Cadastro!$A:$B,2,FALSE),"—"))</f>
        <v/>
      </c>
      <c r="D385" s="91">
        <f>IF(B385="—",IFERROR(INDEX(_ZIG_Cadastro!$D:$D,MATCH(H385,_ZIG_Cadastro!$A:$A,0)),"Produto"),IFERROR(VLOOKUP(B385,_Protheus_Cadastro!$A:$C,3,FALSE),"—"))</f>
        <v/>
      </c>
      <c r="E385" s="91">
        <f>IF(B385="—","—",IFERROR(VLOOKUP(B385,_Protheus_Cadastro!$A:$D,4,FALSE),"—"))</f>
        <v/>
      </c>
      <c r="F385" s="91">
        <f>IF(ISERROR(VLOOKUP(B385,'Estrutura Protheus'!A:A,1,FALSE)),"Não","Sim")</f>
        <v/>
      </c>
      <c r="G385" s="92">
        <f>IFERROR(INDEX(_Protheus_Cadastro!$H:$H,MATCH(B385,_Protheus_Cadastro!$A:$A,0)),"—")</f>
        <v/>
      </c>
      <c r="H385" s="210">
        <f>IFERROR(INDEX(_ZIG_Precos!$D:$D,MATCH(I385,_ZIG_Precos!$F:$F,0)),"—")</f>
        <v/>
      </c>
      <c r="I385" s="95">
        <f>IFERROR(VLOOKUP(B385,_Protheus_Cadastro!$A:$I,9,FALSE),"—")</f>
        <v/>
      </c>
      <c r="J385" s="93">
        <f>IFERROR(INDEX(_ZIG_Cadastro!$B:$B,MATCH(I385,_ZIG_Cadastro!$A:$A,0)),IFERROR(INDEX(_Entradas_ZIG!$B:$B,MATCH(I385,_Entradas_ZIG!$C:$C,0)),"—"))</f>
        <v/>
      </c>
      <c r="K385" s="93">
        <f>IFERROR(INDEX(_ZIG_Cadastro!$C:$C,MATCH(I385,_ZIG_Cadastro!$A:$A,0)),IFERROR(INDEX(_Entradas_ZIG!$D:$D,MATCH(I385,_Entradas_ZIG!$C:$C,0)),"—"))</f>
        <v/>
      </c>
      <c r="L385" s="92">
        <f>IF(I385="","Sem SKU ZIG",IF(I385="—","Sem SKU ZIG",IF(NOT(ISERROR(MATCH(I385,_ZIG_Cadastro!$A:$A,0))),IF(EXACT(UPPER(TRIM(C385)),UPPER(TRIM(INDEX(_ZIG_Cadastro!$B:$B,MATCH(I385,_ZIG_Cadastro!$A:$A,0))))),"OK","Atencao - Nome diverge"),IF(NOT(ISERROR(MATCH(I385,_Entradas_ZIG!$C:$C,0))),"OK","Erro - SKU nao encontrado"))))</f>
        <v/>
      </c>
      <c r="M385" s="92">
        <f>IFERROR(INDEX(_ZIG_Cadastro!$G:$G,MATCH(I385,_ZIG_Cadastro!$A:$A,0)),IF(NOT(ISERROR(MATCH(I385,_Entradas_ZIG!$C:$C,0))),"Ativo","—"))</f>
        <v/>
      </c>
      <c r="N385" s="94">
        <f>IFERROR(INDEX(_ZIG_Cadastro!$E:$E,MATCH(I385,_ZIG_Cadastro!$A:$A,0)),IFERROR(INDEX(_Entradas_ZIG!$F:$F,MATCH(I385,_Entradas_ZIG!$C:$C,0)),"—"))</f>
        <v/>
      </c>
      <c r="O385" s="92">
        <f>IF(AND(ISNUMBER(SEARCH("Espeto",N385)),ISNUMBER(SEARCH("Carin",N385))),"SIM","")</f>
        <v/>
      </c>
      <c r="P385" s="92">
        <f>IF(AND(ISNUMBER(SEARCH("Espeto",N385)),ISNUMBER(SEARCH("Lapa",N385))),"SIM","")</f>
        <v/>
      </c>
      <c r="Q385" s="92">
        <f>IF(AND(ISNUMBER(SEARCH("Espeto",N385)),ISNUMBER(SEARCH("Tatuapé",N385))),"SIM","")</f>
        <v/>
      </c>
      <c r="R385" s="92">
        <f>IF(AND(ISNUMBER(SEARCH("Espeto",N385)),ISNUMBER(SEARCH("Pavão",N385))),"SIM","")</f>
        <v/>
      </c>
      <c r="S385" s="92">
        <f>IF(AND(ISNUMBER(SEARCH("Espeto",N385)),ISNUMBER(SEARCH("Chac",N385))),"SIM","")</f>
        <v/>
      </c>
      <c r="T385" s="92">
        <f>IF(AND(ISNUMBER(SEARCH("Espeto",N385)),ISNUMBER(SEARCH("Madalena",N385))),"SIM","")</f>
        <v/>
      </c>
      <c r="U385" s="92">
        <f>IF(AND(ISNUMBER(SEARCH("Espeto",N385)),ISNUMBER(SEARCH("Mariana",N385))),"SIM","")</f>
        <v/>
      </c>
      <c r="V385" s="92">
        <f>IF(AND(ISNUMBER(SEARCH("Espeto",N385)),ISNUMBER(SEARCH("Perdizes",N385))),"SIM","")</f>
        <v/>
      </c>
      <c r="W385" s="92">
        <f>IF(AND(ISNUMBER(SEARCH("Espeto",N385)),ISNUMBER(SEARCH("Santana",N385))),"SIM","")</f>
        <v/>
      </c>
      <c r="X385" s="92">
        <f>IF(AND(ISNUMBER(SEARCH("Espeto",N385)),ISNUMBER(SEARCH("André",N385))),"SIM","")</f>
        <v/>
      </c>
      <c r="Y385" s="92">
        <f>IF(AND(ISNUMBER(SEARCH("Delivery",N385)),ISNUMBER(SEARCH("Carin",N385))),"SIM","")</f>
        <v/>
      </c>
      <c r="Z385" s="92">
        <f>IF(AND(ISNUMBER(SEARCH("Delivery",N385)),ISNUMBER(SEARCH("Lapa",N385))),"SIM","")</f>
        <v/>
      </c>
      <c r="AA385" s="92">
        <f>IF(AND(ISNUMBER(SEARCH("Delivery",N385)),ISNUMBER(SEARCH("Tatuapé",N385))),"SIM","")</f>
        <v/>
      </c>
      <c r="AB385" s="92">
        <f>IF(AND(ISNUMBER(SEARCH("Delivery",N385)),ISNUMBER(SEARCH("Pavão",N385))),"SIM","")</f>
        <v/>
      </c>
      <c r="AC385" s="92">
        <f>IF(AND(ISNUMBER(SEARCH("Delivery",N385)),ISNUMBER(SEARCH("Chac",N385))),"SIM","")</f>
        <v/>
      </c>
      <c r="AD385" s="92">
        <f>IF(AND(ISNUMBER(SEARCH("Delivery",N385)),ISNUMBER(SEARCH("Madalena",N385))),"SIM","")</f>
        <v/>
      </c>
      <c r="AE385" s="92">
        <f>IF(AND(ISNUMBER(SEARCH("Delivery",N385)),ISNUMBER(SEARCH("Mariana",N385))),"SIM","")</f>
        <v/>
      </c>
      <c r="AF385" s="92">
        <f>IF(AND(ISNUMBER(SEARCH("Delivery",N385)),ISNUMBER(SEARCH("Perdizes",N385))),"SIM","")</f>
        <v/>
      </c>
      <c r="AG385" s="92">
        <f>IF(AND(ISNUMBER(SEARCH("Delivery",N385)),ISNUMBER(SEARCH("Santana",N385))),"SIM","")</f>
        <v/>
      </c>
      <c r="AH385" s="92">
        <f>IF(AND(ISNUMBER(SEARCH("Delivery",N385)),ISNUMBER(SEARCH("André",N385))),"SIM","")</f>
        <v/>
      </c>
      <c r="AI385" s="92">
        <f>IF(ISNUMBER(SEARCH("Interlagos",N385)),"SIM","")</f>
        <v/>
      </c>
      <c r="AJ385" s="92">
        <f>IF(ISNUMBER(SEARCH("Quiosque",N385)),"SIM","")</f>
        <v/>
      </c>
      <c r="AK385" s="93" t="n"/>
    </row>
    <row r="386">
      <c r="A386" s="88" t="inlineStr">
        <is>
          <t>Protheus</t>
        </is>
      </c>
      <c r="B386" s="96" t="inlineStr">
        <is>
          <t>001335</t>
        </is>
      </c>
      <c r="C386" s="97">
        <f>IF(B386="—","—",IFERROR(VLOOKUP(B386,_Protheus_Cadastro!$A:$B,2,FALSE),"—"))</f>
        <v/>
      </c>
      <c r="D386" s="98">
        <f>IF(B386="—",IFERROR(INDEX(_ZIG_Cadastro!$D:$D,MATCH(H386,_ZIG_Cadastro!$A:$A,0)),"Produto"),IFERROR(VLOOKUP(B386,_Protheus_Cadastro!$A:$C,3,FALSE),"—"))</f>
        <v/>
      </c>
      <c r="E386" s="98">
        <f>IF(B386="—","—",IFERROR(VLOOKUP(B386,_Protheus_Cadastro!$A:$D,4,FALSE),"—"))</f>
        <v/>
      </c>
      <c r="F386" s="98">
        <f>IF(ISERROR(VLOOKUP(B386,'Estrutura Protheus'!A:A,1,FALSE)),"Não","Sim")</f>
        <v/>
      </c>
      <c r="G386" s="99">
        <f>IFERROR(INDEX(_Protheus_Cadastro!$H:$H,MATCH(B386,_Protheus_Cadastro!$A:$A,0)),"—")</f>
        <v/>
      </c>
      <c r="H386" s="211">
        <f>IFERROR(INDEX(_ZIG_Precos!$D:$D,MATCH(I386,_ZIG_Precos!$F:$F,0)),"—")</f>
        <v/>
      </c>
      <c r="I386" s="103">
        <f>IFERROR(VLOOKUP(B386,_Protheus_Cadastro!$A:$I,9,FALSE),"—")</f>
        <v/>
      </c>
      <c r="J386" s="101">
        <f>IFERROR(INDEX(_ZIG_Cadastro!$B:$B,MATCH(I386,_ZIG_Cadastro!$A:$A,0)),IFERROR(INDEX(_Entradas_ZIG!$B:$B,MATCH(I386,_Entradas_ZIG!$C:$C,0)),"—"))</f>
        <v/>
      </c>
      <c r="K386" s="101">
        <f>IFERROR(INDEX(_ZIG_Cadastro!$C:$C,MATCH(I386,_ZIG_Cadastro!$A:$A,0)),IFERROR(INDEX(_Entradas_ZIG!$D:$D,MATCH(I386,_Entradas_ZIG!$C:$C,0)),"—"))</f>
        <v/>
      </c>
      <c r="L386" s="99">
        <f>IF(I386="","Sem SKU ZIG",IF(I386="—","Sem SKU ZIG",IF(NOT(ISERROR(MATCH(I386,_ZIG_Cadastro!$A:$A,0))),IF(EXACT(UPPER(TRIM(C386)),UPPER(TRIM(INDEX(_ZIG_Cadastro!$B:$B,MATCH(I386,_ZIG_Cadastro!$A:$A,0))))),"OK","Atencao - Nome diverge"),IF(NOT(ISERROR(MATCH(I386,_Entradas_ZIG!$C:$C,0))),"OK","Erro - SKU nao encontrado"))))</f>
        <v/>
      </c>
      <c r="M386" s="99">
        <f>IFERROR(INDEX(_ZIG_Cadastro!$G:$G,MATCH(I386,_ZIG_Cadastro!$A:$A,0)),IF(NOT(ISERROR(MATCH(I386,_Entradas_ZIG!$C:$C,0))),"Ativo","—"))</f>
        <v/>
      </c>
      <c r="N386" s="102">
        <f>IFERROR(INDEX(_ZIG_Cadastro!$E:$E,MATCH(I386,_ZIG_Cadastro!$A:$A,0)),IFERROR(INDEX(_Entradas_ZIG!$F:$F,MATCH(I386,_Entradas_ZIG!$C:$C,0)),"—"))</f>
        <v/>
      </c>
      <c r="O386" s="99">
        <f>IF(AND(ISNUMBER(SEARCH("Espeto",N386)),ISNUMBER(SEARCH("Carin",N386))),"SIM","")</f>
        <v/>
      </c>
      <c r="P386" s="99">
        <f>IF(AND(ISNUMBER(SEARCH("Espeto",N386)),ISNUMBER(SEARCH("Lapa",N386))),"SIM","")</f>
        <v/>
      </c>
      <c r="Q386" s="99">
        <f>IF(AND(ISNUMBER(SEARCH("Espeto",N386)),ISNUMBER(SEARCH("Tatuapé",N386))),"SIM","")</f>
        <v/>
      </c>
      <c r="R386" s="99">
        <f>IF(AND(ISNUMBER(SEARCH("Espeto",N386)),ISNUMBER(SEARCH("Pavão",N386))),"SIM","")</f>
        <v/>
      </c>
      <c r="S386" s="99">
        <f>IF(AND(ISNUMBER(SEARCH("Espeto",N386)),ISNUMBER(SEARCH("Chac",N386))),"SIM","")</f>
        <v/>
      </c>
      <c r="T386" s="99">
        <f>IF(AND(ISNUMBER(SEARCH("Espeto",N386)),ISNUMBER(SEARCH("Madalena",N386))),"SIM","")</f>
        <v/>
      </c>
      <c r="U386" s="99">
        <f>IF(AND(ISNUMBER(SEARCH("Espeto",N386)),ISNUMBER(SEARCH("Mariana",N386))),"SIM","")</f>
        <v/>
      </c>
      <c r="V386" s="99">
        <f>IF(AND(ISNUMBER(SEARCH("Espeto",N386)),ISNUMBER(SEARCH("Perdizes",N386))),"SIM","")</f>
        <v/>
      </c>
      <c r="W386" s="99">
        <f>IF(AND(ISNUMBER(SEARCH("Espeto",N386)),ISNUMBER(SEARCH("Santana",N386))),"SIM","")</f>
        <v/>
      </c>
      <c r="X386" s="99">
        <f>IF(AND(ISNUMBER(SEARCH("Espeto",N386)),ISNUMBER(SEARCH("André",N386))),"SIM","")</f>
        <v/>
      </c>
      <c r="Y386" s="99">
        <f>IF(AND(ISNUMBER(SEARCH("Delivery",N386)),ISNUMBER(SEARCH("Carin",N386))),"SIM","")</f>
        <v/>
      </c>
      <c r="Z386" s="99">
        <f>IF(AND(ISNUMBER(SEARCH("Delivery",N386)),ISNUMBER(SEARCH("Lapa",N386))),"SIM","")</f>
        <v/>
      </c>
      <c r="AA386" s="99">
        <f>IF(AND(ISNUMBER(SEARCH("Delivery",N386)),ISNUMBER(SEARCH("Tatuapé",N386))),"SIM","")</f>
        <v/>
      </c>
      <c r="AB386" s="99">
        <f>IF(AND(ISNUMBER(SEARCH("Delivery",N386)),ISNUMBER(SEARCH("Pavão",N386))),"SIM","")</f>
        <v/>
      </c>
      <c r="AC386" s="99">
        <f>IF(AND(ISNUMBER(SEARCH("Delivery",N386)),ISNUMBER(SEARCH("Chac",N386))),"SIM","")</f>
        <v/>
      </c>
      <c r="AD386" s="99">
        <f>IF(AND(ISNUMBER(SEARCH("Delivery",N386)),ISNUMBER(SEARCH("Madalena",N386))),"SIM","")</f>
        <v/>
      </c>
      <c r="AE386" s="99">
        <f>IF(AND(ISNUMBER(SEARCH("Delivery",N386)),ISNUMBER(SEARCH("Mariana",N386))),"SIM","")</f>
        <v/>
      </c>
      <c r="AF386" s="99">
        <f>IF(AND(ISNUMBER(SEARCH("Delivery",N386)),ISNUMBER(SEARCH("Perdizes",N386))),"SIM","")</f>
        <v/>
      </c>
      <c r="AG386" s="99">
        <f>IF(AND(ISNUMBER(SEARCH("Delivery",N386)),ISNUMBER(SEARCH("Santana",N386))),"SIM","")</f>
        <v/>
      </c>
      <c r="AH386" s="99">
        <f>IF(AND(ISNUMBER(SEARCH("Delivery",N386)),ISNUMBER(SEARCH("André",N386))),"SIM","")</f>
        <v/>
      </c>
      <c r="AI386" s="99">
        <f>IF(ISNUMBER(SEARCH("Interlagos",N386)),"SIM","")</f>
        <v/>
      </c>
      <c r="AJ386" s="99">
        <f>IF(ISNUMBER(SEARCH("Quiosque",N386)),"SIM","")</f>
        <v/>
      </c>
      <c r="AK386" s="101" t="n"/>
    </row>
    <row r="387">
      <c r="A387" s="88" t="inlineStr">
        <is>
          <t>Protheus</t>
        </is>
      </c>
      <c r="B387" s="89" t="inlineStr">
        <is>
          <t>001334</t>
        </is>
      </c>
      <c r="C387" s="90">
        <f>IF(B387="—","—",IFERROR(VLOOKUP(B387,_Protheus_Cadastro!$A:$B,2,FALSE),"—"))</f>
        <v/>
      </c>
      <c r="D387" s="91">
        <f>IF(B387="—",IFERROR(INDEX(_ZIG_Cadastro!$D:$D,MATCH(H387,_ZIG_Cadastro!$A:$A,0)),"Produto"),IFERROR(VLOOKUP(B387,_Protheus_Cadastro!$A:$C,3,FALSE),"—"))</f>
        <v/>
      </c>
      <c r="E387" s="91">
        <f>IF(B387="—","—",IFERROR(VLOOKUP(B387,_Protheus_Cadastro!$A:$D,4,FALSE),"—"))</f>
        <v/>
      </c>
      <c r="F387" s="91">
        <f>IF(ISERROR(VLOOKUP(B387,'Estrutura Protheus'!A:A,1,FALSE)),"Não","Sim")</f>
        <v/>
      </c>
      <c r="G387" s="92">
        <f>IFERROR(INDEX(_Protheus_Cadastro!$H:$H,MATCH(B387,_Protheus_Cadastro!$A:$A,0)),"—")</f>
        <v/>
      </c>
      <c r="H387" s="210">
        <f>IFERROR(INDEX(_ZIG_Precos!$D:$D,MATCH(I387,_ZIG_Precos!$F:$F,0)),"—")</f>
        <v/>
      </c>
      <c r="I387" s="95">
        <f>IFERROR(VLOOKUP(B387,_Protheus_Cadastro!$A:$I,9,FALSE),"—")</f>
        <v/>
      </c>
      <c r="J387" s="93">
        <f>IFERROR(INDEX(_ZIG_Cadastro!$B:$B,MATCH(I387,_ZIG_Cadastro!$A:$A,0)),IFERROR(INDEX(_Entradas_ZIG!$B:$B,MATCH(I387,_Entradas_ZIG!$C:$C,0)),"—"))</f>
        <v/>
      </c>
      <c r="K387" s="93">
        <f>IFERROR(INDEX(_ZIG_Cadastro!$C:$C,MATCH(I387,_ZIG_Cadastro!$A:$A,0)),IFERROR(INDEX(_Entradas_ZIG!$D:$D,MATCH(I387,_Entradas_ZIG!$C:$C,0)),"—"))</f>
        <v/>
      </c>
      <c r="L387" s="92">
        <f>IF(I387="","Sem SKU ZIG",IF(I387="—","Sem SKU ZIG",IF(NOT(ISERROR(MATCH(I387,_ZIG_Cadastro!$A:$A,0))),IF(EXACT(UPPER(TRIM(C387)),UPPER(TRIM(INDEX(_ZIG_Cadastro!$B:$B,MATCH(I387,_ZIG_Cadastro!$A:$A,0))))),"OK","Atencao - Nome diverge"),IF(NOT(ISERROR(MATCH(I387,_Entradas_ZIG!$C:$C,0))),"OK","Erro - SKU nao encontrado"))))</f>
        <v/>
      </c>
      <c r="M387" s="92">
        <f>IFERROR(INDEX(_ZIG_Cadastro!$G:$G,MATCH(I387,_ZIG_Cadastro!$A:$A,0)),IF(NOT(ISERROR(MATCH(I387,_Entradas_ZIG!$C:$C,0))),"Ativo","—"))</f>
        <v/>
      </c>
      <c r="N387" s="94">
        <f>IFERROR(INDEX(_ZIG_Cadastro!$E:$E,MATCH(I387,_ZIG_Cadastro!$A:$A,0)),IFERROR(INDEX(_Entradas_ZIG!$F:$F,MATCH(I387,_Entradas_ZIG!$C:$C,0)),"—"))</f>
        <v/>
      </c>
      <c r="O387" s="92">
        <f>IF(AND(ISNUMBER(SEARCH("Espeto",N387)),ISNUMBER(SEARCH("Carin",N387))),"SIM","")</f>
        <v/>
      </c>
      <c r="P387" s="92">
        <f>IF(AND(ISNUMBER(SEARCH("Espeto",N387)),ISNUMBER(SEARCH("Lapa",N387))),"SIM","")</f>
        <v/>
      </c>
      <c r="Q387" s="92">
        <f>IF(AND(ISNUMBER(SEARCH("Espeto",N387)),ISNUMBER(SEARCH("Tatuapé",N387))),"SIM","")</f>
        <v/>
      </c>
      <c r="R387" s="92">
        <f>IF(AND(ISNUMBER(SEARCH("Espeto",N387)),ISNUMBER(SEARCH("Pavão",N387))),"SIM","")</f>
        <v/>
      </c>
      <c r="S387" s="92">
        <f>IF(AND(ISNUMBER(SEARCH("Espeto",N387)),ISNUMBER(SEARCH("Chac",N387))),"SIM","")</f>
        <v/>
      </c>
      <c r="T387" s="92">
        <f>IF(AND(ISNUMBER(SEARCH("Espeto",N387)),ISNUMBER(SEARCH("Madalena",N387))),"SIM","")</f>
        <v/>
      </c>
      <c r="U387" s="92">
        <f>IF(AND(ISNUMBER(SEARCH("Espeto",N387)),ISNUMBER(SEARCH("Mariana",N387))),"SIM","")</f>
        <v/>
      </c>
      <c r="V387" s="92">
        <f>IF(AND(ISNUMBER(SEARCH("Espeto",N387)),ISNUMBER(SEARCH("Perdizes",N387))),"SIM","")</f>
        <v/>
      </c>
      <c r="W387" s="92">
        <f>IF(AND(ISNUMBER(SEARCH("Espeto",N387)),ISNUMBER(SEARCH("Santana",N387))),"SIM","")</f>
        <v/>
      </c>
      <c r="X387" s="92">
        <f>IF(AND(ISNUMBER(SEARCH("Espeto",N387)),ISNUMBER(SEARCH("André",N387))),"SIM","")</f>
        <v/>
      </c>
      <c r="Y387" s="92">
        <f>IF(AND(ISNUMBER(SEARCH("Delivery",N387)),ISNUMBER(SEARCH("Carin",N387))),"SIM","")</f>
        <v/>
      </c>
      <c r="Z387" s="92">
        <f>IF(AND(ISNUMBER(SEARCH("Delivery",N387)),ISNUMBER(SEARCH("Lapa",N387))),"SIM","")</f>
        <v/>
      </c>
      <c r="AA387" s="92">
        <f>IF(AND(ISNUMBER(SEARCH("Delivery",N387)),ISNUMBER(SEARCH("Tatuapé",N387))),"SIM","")</f>
        <v/>
      </c>
      <c r="AB387" s="92">
        <f>IF(AND(ISNUMBER(SEARCH("Delivery",N387)),ISNUMBER(SEARCH("Pavão",N387))),"SIM","")</f>
        <v/>
      </c>
      <c r="AC387" s="92">
        <f>IF(AND(ISNUMBER(SEARCH("Delivery",N387)),ISNUMBER(SEARCH("Chac",N387))),"SIM","")</f>
        <v/>
      </c>
      <c r="AD387" s="92">
        <f>IF(AND(ISNUMBER(SEARCH("Delivery",N387)),ISNUMBER(SEARCH("Madalena",N387))),"SIM","")</f>
        <v/>
      </c>
      <c r="AE387" s="92">
        <f>IF(AND(ISNUMBER(SEARCH("Delivery",N387)),ISNUMBER(SEARCH("Mariana",N387))),"SIM","")</f>
        <v/>
      </c>
      <c r="AF387" s="92">
        <f>IF(AND(ISNUMBER(SEARCH("Delivery",N387)),ISNUMBER(SEARCH("Perdizes",N387))),"SIM","")</f>
        <v/>
      </c>
      <c r="AG387" s="92">
        <f>IF(AND(ISNUMBER(SEARCH("Delivery",N387)),ISNUMBER(SEARCH("Santana",N387))),"SIM","")</f>
        <v/>
      </c>
      <c r="AH387" s="92">
        <f>IF(AND(ISNUMBER(SEARCH("Delivery",N387)),ISNUMBER(SEARCH("André",N387))),"SIM","")</f>
        <v/>
      </c>
      <c r="AI387" s="92">
        <f>IF(ISNUMBER(SEARCH("Interlagos",N387)),"SIM","")</f>
        <v/>
      </c>
      <c r="AJ387" s="92">
        <f>IF(ISNUMBER(SEARCH("Quiosque",N387)),"SIM","")</f>
        <v/>
      </c>
      <c r="AK387" s="93" t="n"/>
    </row>
    <row r="388">
      <c r="A388" s="88" t="inlineStr">
        <is>
          <t>Protheus</t>
        </is>
      </c>
      <c r="B388" s="96" t="inlineStr">
        <is>
          <t>001959</t>
        </is>
      </c>
      <c r="C388" s="97">
        <f>IF(B388="—","—",IFERROR(VLOOKUP(B388,_Protheus_Cadastro!$A:$B,2,FALSE),"—"))</f>
        <v/>
      </c>
      <c r="D388" s="98">
        <f>IF(B388="—",IFERROR(INDEX(_ZIG_Cadastro!$D:$D,MATCH(H388,_ZIG_Cadastro!$A:$A,0)),"Produto"),IFERROR(VLOOKUP(B388,_Protheus_Cadastro!$A:$C,3,FALSE),"—"))</f>
        <v/>
      </c>
      <c r="E388" s="98">
        <f>IF(B388="—","—",IFERROR(VLOOKUP(B388,_Protheus_Cadastro!$A:$D,4,FALSE),"—"))</f>
        <v/>
      </c>
      <c r="F388" s="98">
        <f>IF(ISERROR(VLOOKUP(B388,'Estrutura Protheus'!A:A,1,FALSE)),"Não","Sim")</f>
        <v/>
      </c>
      <c r="G388" s="99">
        <f>IFERROR(INDEX(_Protheus_Cadastro!$H:$H,MATCH(B388,_Protheus_Cadastro!$A:$A,0)),"—")</f>
        <v/>
      </c>
      <c r="H388" s="211">
        <f>IFERROR(INDEX(_ZIG_Precos!$D:$D,MATCH(I388,_ZIG_Precos!$F:$F,0)),"—")</f>
        <v/>
      </c>
      <c r="I388" s="103">
        <f>IFERROR(VLOOKUP(B388,_Protheus_Cadastro!$A:$I,9,FALSE),"—")</f>
        <v/>
      </c>
      <c r="J388" s="101">
        <f>IFERROR(INDEX(_ZIG_Cadastro!$B:$B,MATCH(I388,_ZIG_Cadastro!$A:$A,0)),IFERROR(INDEX(_Entradas_ZIG!$B:$B,MATCH(I388,_Entradas_ZIG!$C:$C,0)),"—"))</f>
        <v/>
      </c>
      <c r="K388" s="101">
        <f>IFERROR(INDEX(_ZIG_Cadastro!$C:$C,MATCH(I388,_ZIG_Cadastro!$A:$A,0)),IFERROR(INDEX(_Entradas_ZIG!$D:$D,MATCH(I388,_Entradas_ZIG!$C:$C,0)),"—"))</f>
        <v/>
      </c>
      <c r="L388" s="99">
        <f>IF(I388="","Sem SKU ZIG",IF(I388="—","Sem SKU ZIG",IF(NOT(ISERROR(MATCH(I388,_ZIG_Cadastro!$A:$A,0))),IF(EXACT(UPPER(TRIM(C388)),UPPER(TRIM(INDEX(_ZIG_Cadastro!$B:$B,MATCH(I388,_ZIG_Cadastro!$A:$A,0))))),"OK","Atencao - Nome diverge"),IF(NOT(ISERROR(MATCH(I388,_Entradas_ZIG!$C:$C,0))),"OK","Erro - SKU nao encontrado"))))</f>
        <v/>
      </c>
      <c r="M388" s="99">
        <f>IFERROR(INDEX(_ZIG_Cadastro!$G:$G,MATCH(I388,_ZIG_Cadastro!$A:$A,0)),IF(NOT(ISERROR(MATCH(I388,_Entradas_ZIG!$C:$C,0))),"Ativo","—"))</f>
        <v/>
      </c>
      <c r="N388" s="102">
        <f>IFERROR(INDEX(_ZIG_Cadastro!$E:$E,MATCH(I388,_ZIG_Cadastro!$A:$A,0)),IFERROR(INDEX(_Entradas_ZIG!$F:$F,MATCH(I388,_Entradas_ZIG!$C:$C,0)),"—"))</f>
        <v/>
      </c>
      <c r="O388" s="99">
        <f>IF(AND(ISNUMBER(SEARCH("Espeto",N388)),ISNUMBER(SEARCH("Carin",N388))),"SIM","")</f>
        <v/>
      </c>
      <c r="P388" s="99">
        <f>IF(AND(ISNUMBER(SEARCH("Espeto",N388)),ISNUMBER(SEARCH("Lapa",N388))),"SIM","")</f>
        <v/>
      </c>
      <c r="Q388" s="99">
        <f>IF(AND(ISNUMBER(SEARCH("Espeto",N388)),ISNUMBER(SEARCH("Tatuapé",N388))),"SIM","")</f>
        <v/>
      </c>
      <c r="R388" s="99">
        <f>IF(AND(ISNUMBER(SEARCH("Espeto",N388)),ISNUMBER(SEARCH("Pavão",N388))),"SIM","")</f>
        <v/>
      </c>
      <c r="S388" s="99">
        <f>IF(AND(ISNUMBER(SEARCH("Espeto",N388)),ISNUMBER(SEARCH("Chac",N388))),"SIM","")</f>
        <v/>
      </c>
      <c r="T388" s="99">
        <f>IF(AND(ISNUMBER(SEARCH("Espeto",N388)),ISNUMBER(SEARCH("Madalena",N388))),"SIM","")</f>
        <v/>
      </c>
      <c r="U388" s="99">
        <f>IF(AND(ISNUMBER(SEARCH("Espeto",N388)),ISNUMBER(SEARCH("Mariana",N388))),"SIM","")</f>
        <v/>
      </c>
      <c r="V388" s="99">
        <f>IF(AND(ISNUMBER(SEARCH("Espeto",N388)),ISNUMBER(SEARCH("Perdizes",N388))),"SIM","")</f>
        <v/>
      </c>
      <c r="W388" s="99">
        <f>IF(AND(ISNUMBER(SEARCH("Espeto",N388)),ISNUMBER(SEARCH("Santana",N388))),"SIM","")</f>
        <v/>
      </c>
      <c r="X388" s="99">
        <f>IF(AND(ISNUMBER(SEARCH("Espeto",N388)),ISNUMBER(SEARCH("André",N388))),"SIM","")</f>
        <v/>
      </c>
      <c r="Y388" s="99">
        <f>IF(AND(ISNUMBER(SEARCH("Delivery",N388)),ISNUMBER(SEARCH("Carin",N388))),"SIM","")</f>
        <v/>
      </c>
      <c r="Z388" s="99">
        <f>IF(AND(ISNUMBER(SEARCH("Delivery",N388)),ISNUMBER(SEARCH("Lapa",N388))),"SIM","")</f>
        <v/>
      </c>
      <c r="AA388" s="99">
        <f>IF(AND(ISNUMBER(SEARCH("Delivery",N388)),ISNUMBER(SEARCH("Tatuapé",N388))),"SIM","")</f>
        <v/>
      </c>
      <c r="AB388" s="99">
        <f>IF(AND(ISNUMBER(SEARCH("Delivery",N388)),ISNUMBER(SEARCH("Pavão",N388))),"SIM","")</f>
        <v/>
      </c>
      <c r="AC388" s="99">
        <f>IF(AND(ISNUMBER(SEARCH("Delivery",N388)),ISNUMBER(SEARCH("Chac",N388))),"SIM","")</f>
        <v/>
      </c>
      <c r="AD388" s="99">
        <f>IF(AND(ISNUMBER(SEARCH("Delivery",N388)),ISNUMBER(SEARCH("Madalena",N388))),"SIM","")</f>
        <v/>
      </c>
      <c r="AE388" s="99">
        <f>IF(AND(ISNUMBER(SEARCH("Delivery",N388)),ISNUMBER(SEARCH("Mariana",N388))),"SIM","")</f>
        <v/>
      </c>
      <c r="AF388" s="99">
        <f>IF(AND(ISNUMBER(SEARCH("Delivery",N388)),ISNUMBER(SEARCH("Perdizes",N388))),"SIM","")</f>
        <v/>
      </c>
      <c r="AG388" s="99">
        <f>IF(AND(ISNUMBER(SEARCH("Delivery",N388)),ISNUMBER(SEARCH("Santana",N388))),"SIM","")</f>
        <v/>
      </c>
      <c r="AH388" s="99">
        <f>IF(AND(ISNUMBER(SEARCH("Delivery",N388)),ISNUMBER(SEARCH("André",N388))),"SIM","")</f>
        <v/>
      </c>
      <c r="AI388" s="99">
        <f>IF(ISNUMBER(SEARCH("Interlagos",N388)),"SIM","")</f>
        <v/>
      </c>
      <c r="AJ388" s="99">
        <f>IF(ISNUMBER(SEARCH("Quiosque",N388)),"SIM","")</f>
        <v/>
      </c>
      <c r="AK388" s="101" t="n"/>
    </row>
    <row r="389">
      <c r="A389" s="88" t="inlineStr">
        <is>
          <t>Protheus</t>
        </is>
      </c>
      <c r="B389" s="89" t="inlineStr">
        <is>
          <t>000882</t>
        </is>
      </c>
      <c r="C389" s="90">
        <f>IF(B389="—","—",IFERROR(VLOOKUP(B389,_Protheus_Cadastro!$A:$B,2,FALSE),"—"))</f>
        <v/>
      </c>
      <c r="D389" s="91">
        <f>IF(B389="—",IFERROR(INDEX(_ZIG_Cadastro!$D:$D,MATCH(H389,_ZIG_Cadastro!$A:$A,0)),"Produto"),IFERROR(VLOOKUP(B389,_Protheus_Cadastro!$A:$C,3,FALSE),"—"))</f>
        <v/>
      </c>
      <c r="E389" s="91">
        <f>IF(B389="—","—",IFERROR(VLOOKUP(B389,_Protheus_Cadastro!$A:$D,4,FALSE),"—"))</f>
        <v/>
      </c>
      <c r="F389" s="91">
        <f>IF(ISERROR(VLOOKUP(B389,'Estrutura Protheus'!A:A,1,FALSE)),"Não","Sim")</f>
        <v/>
      </c>
      <c r="G389" s="92">
        <f>IFERROR(INDEX(_Protheus_Cadastro!$H:$H,MATCH(B389,_Protheus_Cadastro!$A:$A,0)),"—")</f>
        <v/>
      </c>
      <c r="H389" s="210">
        <f>IFERROR(INDEX(_ZIG_Precos!$D:$D,MATCH(I389,_ZIG_Precos!$F:$F,0)),"—")</f>
        <v/>
      </c>
      <c r="I389" s="95">
        <f>IFERROR(VLOOKUP(B389,_Protheus_Cadastro!$A:$I,9,FALSE),"—")</f>
        <v/>
      </c>
      <c r="J389" s="93">
        <f>IFERROR(INDEX(_ZIG_Cadastro!$B:$B,MATCH(I389,_ZIG_Cadastro!$A:$A,0)),IFERROR(INDEX(_Entradas_ZIG!$B:$B,MATCH(I389,_Entradas_ZIG!$C:$C,0)),"—"))</f>
        <v/>
      </c>
      <c r="K389" s="93">
        <f>IFERROR(INDEX(_ZIG_Cadastro!$C:$C,MATCH(I389,_ZIG_Cadastro!$A:$A,0)),IFERROR(INDEX(_Entradas_ZIG!$D:$D,MATCH(I389,_Entradas_ZIG!$C:$C,0)),"—"))</f>
        <v/>
      </c>
      <c r="L389" s="92">
        <f>IF(I389="","Sem SKU ZIG",IF(I389="—","Sem SKU ZIG",IF(NOT(ISERROR(MATCH(I389,_ZIG_Cadastro!$A:$A,0))),IF(EXACT(UPPER(TRIM(C389)),UPPER(TRIM(INDEX(_ZIG_Cadastro!$B:$B,MATCH(I389,_ZIG_Cadastro!$A:$A,0))))),"OK","Atencao - Nome diverge"),IF(NOT(ISERROR(MATCH(I389,_Entradas_ZIG!$C:$C,0))),"OK","Erro - SKU nao encontrado"))))</f>
        <v/>
      </c>
      <c r="M389" s="92">
        <f>IFERROR(INDEX(_ZIG_Cadastro!$G:$G,MATCH(I389,_ZIG_Cadastro!$A:$A,0)),IF(NOT(ISERROR(MATCH(I389,_Entradas_ZIG!$C:$C,0))),"Ativo","—"))</f>
        <v/>
      </c>
      <c r="N389" s="94">
        <f>IFERROR(INDEX(_ZIG_Cadastro!$E:$E,MATCH(I389,_ZIG_Cadastro!$A:$A,0)),IFERROR(INDEX(_Entradas_ZIG!$F:$F,MATCH(I389,_Entradas_ZIG!$C:$C,0)),"—"))</f>
        <v/>
      </c>
      <c r="O389" s="92">
        <f>IF(AND(ISNUMBER(SEARCH("Espeto",N389)),ISNUMBER(SEARCH("Carin",N389))),"SIM","")</f>
        <v/>
      </c>
      <c r="P389" s="92">
        <f>IF(AND(ISNUMBER(SEARCH("Espeto",N389)),ISNUMBER(SEARCH("Lapa",N389))),"SIM","")</f>
        <v/>
      </c>
      <c r="Q389" s="92">
        <f>IF(AND(ISNUMBER(SEARCH("Espeto",N389)),ISNUMBER(SEARCH("Tatuapé",N389))),"SIM","")</f>
        <v/>
      </c>
      <c r="R389" s="92">
        <f>IF(AND(ISNUMBER(SEARCH("Espeto",N389)),ISNUMBER(SEARCH("Pavão",N389))),"SIM","")</f>
        <v/>
      </c>
      <c r="S389" s="92">
        <f>IF(AND(ISNUMBER(SEARCH("Espeto",N389)),ISNUMBER(SEARCH("Chac",N389))),"SIM","")</f>
        <v/>
      </c>
      <c r="T389" s="92">
        <f>IF(AND(ISNUMBER(SEARCH("Espeto",N389)),ISNUMBER(SEARCH("Madalena",N389))),"SIM","")</f>
        <v/>
      </c>
      <c r="U389" s="92">
        <f>IF(AND(ISNUMBER(SEARCH("Espeto",N389)),ISNUMBER(SEARCH("Mariana",N389))),"SIM","")</f>
        <v/>
      </c>
      <c r="V389" s="92">
        <f>IF(AND(ISNUMBER(SEARCH("Espeto",N389)),ISNUMBER(SEARCH("Perdizes",N389))),"SIM","")</f>
        <v/>
      </c>
      <c r="W389" s="92">
        <f>IF(AND(ISNUMBER(SEARCH("Espeto",N389)),ISNUMBER(SEARCH("Santana",N389))),"SIM","")</f>
        <v/>
      </c>
      <c r="X389" s="92">
        <f>IF(AND(ISNUMBER(SEARCH("Espeto",N389)),ISNUMBER(SEARCH("André",N389))),"SIM","")</f>
        <v/>
      </c>
      <c r="Y389" s="92">
        <f>IF(AND(ISNUMBER(SEARCH("Delivery",N389)),ISNUMBER(SEARCH("Carin",N389))),"SIM","")</f>
        <v/>
      </c>
      <c r="Z389" s="92">
        <f>IF(AND(ISNUMBER(SEARCH("Delivery",N389)),ISNUMBER(SEARCH("Lapa",N389))),"SIM","")</f>
        <v/>
      </c>
      <c r="AA389" s="92">
        <f>IF(AND(ISNUMBER(SEARCH("Delivery",N389)),ISNUMBER(SEARCH("Tatuapé",N389))),"SIM","")</f>
        <v/>
      </c>
      <c r="AB389" s="92">
        <f>IF(AND(ISNUMBER(SEARCH("Delivery",N389)),ISNUMBER(SEARCH("Pavão",N389))),"SIM","")</f>
        <v/>
      </c>
      <c r="AC389" s="92">
        <f>IF(AND(ISNUMBER(SEARCH("Delivery",N389)),ISNUMBER(SEARCH("Chac",N389))),"SIM","")</f>
        <v/>
      </c>
      <c r="AD389" s="92">
        <f>IF(AND(ISNUMBER(SEARCH("Delivery",N389)),ISNUMBER(SEARCH("Madalena",N389))),"SIM","")</f>
        <v/>
      </c>
      <c r="AE389" s="92">
        <f>IF(AND(ISNUMBER(SEARCH("Delivery",N389)),ISNUMBER(SEARCH("Mariana",N389))),"SIM","")</f>
        <v/>
      </c>
      <c r="AF389" s="92">
        <f>IF(AND(ISNUMBER(SEARCH("Delivery",N389)),ISNUMBER(SEARCH("Perdizes",N389))),"SIM","")</f>
        <v/>
      </c>
      <c r="AG389" s="92">
        <f>IF(AND(ISNUMBER(SEARCH("Delivery",N389)),ISNUMBER(SEARCH("Santana",N389))),"SIM","")</f>
        <v/>
      </c>
      <c r="AH389" s="92">
        <f>IF(AND(ISNUMBER(SEARCH("Delivery",N389)),ISNUMBER(SEARCH("André",N389))),"SIM","")</f>
        <v/>
      </c>
      <c r="AI389" s="92">
        <f>IF(ISNUMBER(SEARCH("Interlagos",N389)),"SIM","")</f>
        <v/>
      </c>
      <c r="AJ389" s="92">
        <f>IF(ISNUMBER(SEARCH("Quiosque",N389)),"SIM","")</f>
        <v/>
      </c>
      <c r="AK389" s="93" t="n"/>
    </row>
    <row r="390">
      <c r="A390" s="88" t="inlineStr">
        <is>
          <t>Protheus</t>
        </is>
      </c>
      <c r="B390" s="96" t="inlineStr">
        <is>
          <t>000888</t>
        </is>
      </c>
      <c r="C390" s="97">
        <f>IF(B390="—","—",IFERROR(VLOOKUP(B390,_Protheus_Cadastro!$A:$B,2,FALSE),"—"))</f>
        <v/>
      </c>
      <c r="D390" s="98">
        <f>IF(B390="—",IFERROR(INDEX(_ZIG_Cadastro!$D:$D,MATCH(H390,_ZIG_Cadastro!$A:$A,0)),"Produto"),IFERROR(VLOOKUP(B390,_Protheus_Cadastro!$A:$C,3,FALSE),"—"))</f>
        <v/>
      </c>
      <c r="E390" s="98">
        <f>IF(B390="—","—",IFERROR(VLOOKUP(B390,_Protheus_Cadastro!$A:$D,4,FALSE),"—"))</f>
        <v/>
      </c>
      <c r="F390" s="98">
        <f>IF(ISERROR(VLOOKUP(B390,'Estrutura Protheus'!A:A,1,FALSE)),"Não","Sim")</f>
        <v/>
      </c>
      <c r="G390" s="99">
        <f>IFERROR(INDEX(_Protheus_Cadastro!$H:$H,MATCH(B390,_Protheus_Cadastro!$A:$A,0)),"—")</f>
        <v/>
      </c>
      <c r="H390" s="211">
        <f>IFERROR(INDEX(_ZIG_Precos!$D:$D,MATCH(I390,_ZIG_Precos!$F:$F,0)),"—")</f>
        <v/>
      </c>
      <c r="I390" s="103">
        <f>IFERROR(VLOOKUP(B390,_Protheus_Cadastro!$A:$I,9,FALSE),"—")</f>
        <v/>
      </c>
      <c r="J390" s="101">
        <f>IFERROR(INDEX(_ZIG_Cadastro!$B:$B,MATCH(I390,_ZIG_Cadastro!$A:$A,0)),IFERROR(INDEX(_Entradas_ZIG!$B:$B,MATCH(I390,_Entradas_ZIG!$C:$C,0)),"—"))</f>
        <v/>
      </c>
      <c r="K390" s="101">
        <f>IFERROR(INDEX(_ZIG_Cadastro!$C:$C,MATCH(I390,_ZIG_Cadastro!$A:$A,0)),IFERROR(INDEX(_Entradas_ZIG!$D:$D,MATCH(I390,_Entradas_ZIG!$C:$C,0)),"—"))</f>
        <v/>
      </c>
      <c r="L390" s="99">
        <f>IF(I390="","Sem SKU ZIG",IF(I390="—","Sem SKU ZIG",IF(NOT(ISERROR(MATCH(I390,_ZIG_Cadastro!$A:$A,0))),IF(EXACT(UPPER(TRIM(C390)),UPPER(TRIM(INDEX(_ZIG_Cadastro!$B:$B,MATCH(I390,_ZIG_Cadastro!$A:$A,0))))),"OK","Atencao - Nome diverge"),IF(NOT(ISERROR(MATCH(I390,_Entradas_ZIG!$C:$C,0))),"OK","Erro - SKU nao encontrado"))))</f>
        <v/>
      </c>
      <c r="M390" s="99">
        <f>IFERROR(INDEX(_ZIG_Cadastro!$G:$G,MATCH(I390,_ZIG_Cadastro!$A:$A,0)),IF(NOT(ISERROR(MATCH(I390,_Entradas_ZIG!$C:$C,0))),"Ativo","—"))</f>
        <v/>
      </c>
      <c r="N390" s="102">
        <f>IFERROR(INDEX(_ZIG_Cadastro!$E:$E,MATCH(I390,_ZIG_Cadastro!$A:$A,0)),IFERROR(INDEX(_Entradas_ZIG!$F:$F,MATCH(I390,_Entradas_ZIG!$C:$C,0)),"—"))</f>
        <v/>
      </c>
      <c r="O390" s="99">
        <f>IF(AND(ISNUMBER(SEARCH("Espeto",N390)),ISNUMBER(SEARCH("Carin",N390))),"SIM","")</f>
        <v/>
      </c>
      <c r="P390" s="99">
        <f>IF(AND(ISNUMBER(SEARCH("Espeto",N390)),ISNUMBER(SEARCH("Lapa",N390))),"SIM","")</f>
        <v/>
      </c>
      <c r="Q390" s="99">
        <f>IF(AND(ISNUMBER(SEARCH("Espeto",N390)),ISNUMBER(SEARCH("Tatuapé",N390))),"SIM","")</f>
        <v/>
      </c>
      <c r="R390" s="99">
        <f>IF(AND(ISNUMBER(SEARCH("Espeto",N390)),ISNUMBER(SEARCH("Pavão",N390))),"SIM","")</f>
        <v/>
      </c>
      <c r="S390" s="99">
        <f>IF(AND(ISNUMBER(SEARCH("Espeto",N390)),ISNUMBER(SEARCH("Chac",N390))),"SIM","")</f>
        <v/>
      </c>
      <c r="T390" s="99">
        <f>IF(AND(ISNUMBER(SEARCH("Espeto",N390)),ISNUMBER(SEARCH("Madalena",N390))),"SIM","")</f>
        <v/>
      </c>
      <c r="U390" s="99">
        <f>IF(AND(ISNUMBER(SEARCH("Espeto",N390)),ISNUMBER(SEARCH("Mariana",N390))),"SIM","")</f>
        <v/>
      </c>
      <c r="V390" s="99">
        <f>IF(AND(ISNUMBER(SEARCH("Espeto",N390)),ISNUMBER(SEARCH("Perdizes",N390))),"SIM","")</f>
        <v/>
      </c>
      <c r="W390" s="99">
        <f>IF(AND(ISNUMBER(SEARCH("Espeto",N390)),ISNUMBER(SEARCH("Santana",N390))),"SIM","")</f>
        <v/>
      </c>
      <c r="X390" s="99">
        <f>IF(AND(ISNUMBER(SEARCH("Espeto",N390)),ISNUMBER(SEARCH("André",N390))),"SIM","")</f>
        <v/>
      </c>
      <c r="Y390" s="99">
        <f>IF(AND(ISNUMBER(SEARCH("Delivery",N390)),ISNUMBER(SEARCH("Carin",N390))),"SIM","")</f>
        <v/>
      </c>
      <c r="Z390" s="99">
        <f>IF(AND(ISNUMBER(SEARCH("Delivery",N390)),ISNUMBER(SEARCH("Lapa",N390))),"SIM","")</f>
        <v/>
      </c>
      <c r="AA390" s="99">
        <f>IF(AND(ISNUMBER(SEARCH("Delivery",N390)),ISNUMBER(SEARCH("Tatuapé",N390))),"SIM","")</f>
        <v/>
      </c>
      <c r="AB390" s="99">
        <f>IF(AND(ISNUMBER(SEARCH("Delivery",N390)),ISNUMBER(SEARCH("Pavão",N390))),"SIM","")</f>
        <v/>
      </c>
      <c r="AC390" s="99">
        <f>IF(AND(ISNUMBER(SEARCH("Delivery",N390)),ISNUMBER(SEARCH("Chac",N390))),"SIM","")</f>
        <v/>
      </c>
      <c r="AD390" s="99">
        <f>IF(AND(ISNUMBER(SEARCH("Delivery",N390)),ISNUMBER(SEARCH("Madalena",N390))),"SIM","")</f>
        <v/>
      </c>
      <c r="AE390" s="99">
        <f>IF(AND(ISNUMBER(SEARCH("Delivery",N390)),ISNUMBER(SEARCH("Mariana",N390))),"SIM","")</f>
        <v/>
      </c>
      <c r="AF390" s="99">
        <f>IF(AND(ISNUMBER(SEARCH("Delivery",N390)),ISNUMBER(SEARCH("Perdizes",N390))),"SIM","")</f>
        <v/>
      </c>
      <c r="AG390" s="99">
        <f>IF(AND(ISNUMBER(SEARCH("Delivery",N390)),ISNUMBER(SEARCH("Santana",N390))),"SIM","")</f>
        <v/>
      </c>
      <c r="AH390" s="99">
        <f>IF(AND(ISNUMBER(SEARCH("Delivery",N390)),ISNUMBER(SEARCH("André",N390))),"SIM","")</f>
        <v/>
      </c>
      <c r="AI390" s="99">
        <f>IF(ISNUMBER(SEARCH("Interlagos",N390)),"SIM","")</f>
        <v/>
      </c>
      <c r="AJ390" s="99">
        <f>IF(ISNUMBER(SEARCH("Quiosque",N390)),"SIM","")</f>
        <v/>
      </c>
      <c r="AK390" s="101" t="n"/>
    </row>
    <row r="391">
      <c r="A391" s="88" t="inlineStr">
        <is>
          <t>Protheus</t>
        </is>
      </c>
      <c r="B391" s="89" t="inlineStr">
        <is>
          <t>002187</t>
        </is>
      </c>
      <c r="C391" s="90">
        <f>IF(B391="—","—",IFERROR(VLOOKUP(B391,_Protheus_Cadastro!$A:$B,2,FALSE),"—"))</f>
        <v/>
      </c>
      <c r="D391" s="91">
        <f>IF(B391="—",IFERROR(INDEX(_ZIG_Cadastro!$D:$D,MATCH(H391,_ZIG_Cadastro!$A:$A,0)),"Produto"),IFERROR(VLOOKUP(B391,_Protheus_Cadastro!$A:$C,3,FALSE),"—"))</f>
        <v/>
      </c>
      <c r="E391" s="91">
        <f>IF(B391="—","—",IFERROR(VLOOKUP(B391,_Protheus_Cadastro!$A:$D,4,FALSE),"—"))</f>
        <v/>
      </c>
      <c r="F391" s="91">
        <f>IF(ISERROR(VLOOKUP(B391,'Estrutura Protheus'!A:A,1,FALSE)),"Não","Sim")</f>
        <v/>
      </c>
      <c r="G391" s="92">
        <f>IFERROR(INDEX(_Protheus_Cadastro!$H:$H,MATCH(B391,_Protheus_Cadastro!$A:$A,0)),"—")</f>
        <v/>
      </c>
      <c r="H391" s="210">
        <f>IFERROR(INDEX(_ZIG_Precos!$D:$D,MATCH(I391,_ZIG_Precos!$F:$F,0)),"—")</f>
        <v/>
      </c>
      <c r="I391" s="95">
        <f>IFERROR(VLOOKUP(B391,_Protheus_Cadastro!$A:$I,9,FALSE),"—")</f>
        <v/>
      </c>
      <c r="J391" s="93">
        <f>IFERROR(INDEX(_ZIG_Cadastro!$B:$B,MATCH(I391,_ZIG_Cadastro!$A:$A,0)),IFERROR(INDEX(_Entradas_ZIG!$B:$B,MATCH(I391,_Entradas_ZIG!$C:$C,0)),"—"))</f>
        <v/>
      </c>
      <c r="K391" s="93">
        <f>IFERROR(INDEX(_ZIG_Cadastro!$C:$C,MATCH(I391,_ZIG_Cadastro!$A:$A,0)),IFERROR(INDEX(_Entradas_ZIG!$D:$D,MATCH(I391,_Entradas_ZIG!$C:$C,0)),"—"))</f>
        <v/>
      </c>
      <c r="L391" s="92">
        <f>IF(I391="","Sem SKU ZIG",IF(I391="—","Sem SKU ZIG",IF(NOT(ISERROR(MATCH(I391,_ZIG_Cadastro!$A:$A,0))),IF(EXACT(UPPER(TRIM(C391)),UPPER(TRIM(INDEX(_ZIG_Cadastro!$B:$B,MATCH(I391,_ZIG_Cadastro!$A:$A,0))))),"OK","Atencao - Nome diverge"),IF(NOT(ISERROR(MATCH(I391,_Entradas_ZIG!$C:$C,0))),"OK","Erro - SKU nao encontrado"))))</f>
        <v/>
      </c>
      <c r="M391" s="92">
        <f>IFERROR(INDEX(_ZIG_Cadastro!$G:$G,MATCH(I391,_ZIG_Cadastro!$A:$A,0)),IF(NOT(ISERROR(MATCH(I391,_Entradas_ZIG!$C:$C,0))),"Ativo","—"))</f>
        <v/>
      </c>
      <c r="N391" s="94">
        <f>IFERROR(INDEX(_ZIG_Cadastro!$E:$E,MATCH(I391,_ZIG_Cadastro!$A:$A,0)),IFERROR(INDEX(_Entradas_ZIG!$F:$F,MATCH(I391,_Entradas_ZIG!$C:$C,0)),"—"))</f>
        <v/>
      </c>
      <c r="O391" s="92">
        <f>IF(AND(ISNUMBER(SEARCH("Espeto",N391)),ISNUMBER(SEARCH("Carin",N391))),"SIM","")</f>
        <v/>
      </c>
      <c r="P391" s="92">
        <f>IF(AND(ISNUMBER(SEARCH("Espeto",N391)),ISNUMBER(SEARCH("Lapa",N391))),"SIM","")</f>
        <v/>
      </c>
      <c r="Q391" s="92">
        <f>IF(AND(ISNUMBER(SEARCH("Espeto",N391)),ISNUMBER(SEARCH("Tatuapé",N391))),"SIM","")</f>
        <v/>
      </c>
      <c r="R391" s="92">
        <f>IF(AND(ISNUMBER(SEARCH("Espeto",N391)),ISNUMBER(SEARCH("Pavão",N391))),"SIM","")</f>
        <v/>
      </c>
      <c r="S391" s="92">
        <f>IF(AND(ISNUMBER(SEARCH("Espeto",N391)),ISNUMBER(SEARCH("Chac",N391))),"SIM","")</f>
        <v/>
      </c>
      <c r="T391" s="92">
        <f>IF(AND(ISNUMBER(SEARCH("Espeto",N391)),ISNUMBER(SEARCH("Madalena",N391))),"SIM","")</f>
        <v/>
      </c>
      <c r="U391" s="92">
        <f>IF(AND(ISNUMBER(SEARCH("Espeto",N391)),ISNUMBER(SEARCH("Mariana",N391))),"SIM","")</f>
        <v/>
      </c>
      <c r="V391" s="92">
        <f>IF(AND(ISNUMBER(SEARCH("Espeto",N391)),ISNUMBER(SEARCH("Perdizes",N391))),"SIM","")</f>
        <v/>
      </c>
      <c r="W391" s="92">
        <f>IF(AND(ISNUMBER(SEARCH("Espeto",N391)),ISNUMBER(SEARCH("Santana",N391))),"SIM","")</f>
        <v/>
      </c>
      <c r="X391" s="92">
        <f>IF(AND(ISNUMBER(SEARCH("Espeto",N391)),ISNUMBER(SEARCH("André",N391))),"SIM","")</f>
        <v/>
      </c>
      <c r="Y391" s="92">
        <f>IF(AND(ISNUMBER(SEARCH("Delivery",N391)),ISNUMBER(SEARCH("Carin",N391))),"SIM","")</f>
        <v/>
      </c>
      <c r="Z391" s="92">
        <f>IF(AND(ISNUMBER(SEARCH("Delivery",N391)),ISNUMBER(SEARCH("Lapa",N391))),"SIM","")</f>
        <v/>
      </c>
      <c r="AA391" s="92">
        <f>IF(AND(ISNUMBER(SEARCH("Delivery",N391)),ISNUMBER(SEARCH("Tatuapé",N391))),"SIM","")</f>
        <v/>
      </c>
      <c r="AB391" s="92">
        <f>IF(AND(ISNUMBER(SEARCH("Delivery",N391)),ISNUMBER(SEARCH("Pavão",N391))),"SIM","")</f>
        <v/>
      </c>
      <c r="AC391" s="92">
        <f>IF(AND(ISNUMBER(SEARCH("Delivery",N391)),ISNUMBER(SEARCH("Chac",N391))),"SIM","")</f>
        <v/>
      </c>
      <c r="AD391" s="92">
        <f>IF(AND(ISNUMBER(SEARCH("Delivery",N391)),ISNUMBER(SEARCH("Madalena",N391))),"SIM","")</f>
        <v/>
      </c>
      <c r="AE391" s="92">
        <f>IF(AND(ISNUMBER(SEARCH("Delivery",N391)),ISNUMBER(SEARCH("Mariana",N391))),"SIM","")</f>
        <v/>
      </c>
      <c r="AF391" s="92">
        <f>IF(AND(ISNUMBER(SEARCH("Delivery",N391)),ISNUMBER(SEARCH("Perdizes",N391))),"SIM","")</f>
        <v/>
      </c>
      <c r="AG391" s="92">
        <f>IF(AND(ISNUMBER(SEARCH("Delivery",N391)),ISNUMBER(SEARCH("Santana",N391))),"SIM","")</f>
        <v/>
      </c>
      <c r="AH391" s="92">
        <f>IF(AND(ISNUMBER(SEARCH("Delivery",N391)),ISNUMBER(SEARCH("André",N391))),"SIM","")</f>
        <v/>
      </c>
      <c r="AI391" s="92">
        <f>IF(ISNUMBER(SEARCH("Interlagos",N391)),"SIM","")</f>
        <v/>
      </c>
      <c r="AJ391" s="92">
        <f>IF(ISNUMBER(SEARCH("Quiosque",N391)),"SIM","")</f>
        <v/>
      </c>
      <c r="AK391" s="93" t="n"/>
    </row>
    <row r="392">
      <c r="A392" s="88" t="inlineStr">
        <is>
          <t>Protheus</t>
        </is>
      </c>
      <c r="B392" s="89" t="inlineStr">
        <is>
          <t>002188</t>
        </is>
      </c>
      <c r="C392" s="90">
        <f>IF(B392="—","—",IFERROR(VLOOKUP(B392,_Protheus_Cadastro!$A:$B,2,FALSE),"—"))</f>
        <v/>
      </c>
      <c r="D392" s="91">
        <f>IF(B392="—",IFERROR(INDEX(_ZIG_Cadastro!$D:$D,MATCH(H392,_ZIG_Cadastro!$A:$A,0)),"Produto"),IFERROR(VLOOKUP(B392,_Protheus_Cadastro!$A:$C,3,FALSE),"—"))</f>
        <v/>
      </c>
      <c r="E392" s="91">
        <f>IF(B392="—","—",IFERROR(VLOOKUP(B392,_Protheus_Cadastro!$A:$D,4,FALSE),"—"))</f>
        <v/>
      </c>
      <c r="F392" s="91">
        <f>IF(ISERROR(VLOOKUP(B392,'Estrutura Protheus'!A:A,1,FALSE)),"Não","Sim")</f>
        <v/>
      </c>
      <c r="G392" s="92">
        <f>IFERROR(INDEX(_Protheus_Cadastro!$H:$H,MATCH(B392,_Protheus_Cadastro!$A:$A,0)),"—")</f>
        <v/>
      </c>
      <c r="H392" s="210">
        <f>IFERROR(INDEX(_ZIG_Precos!$D:$D,MATCH(I392,_ZIG_Precos!$F:$F,0)),"—")</f>
        <v/>
      </c>
      <c r="I392" s="95">
        <f>IFERROR(VLOOKUP(B392,_Protheus_Cadastro!$A:$I,9,FALSE),"—")</f>
        <v/>
      </c>
      <c r="J392" s="93">
        <f>IFERROR(INDEX(_ZIG_Cadastro!$B:$B,MATCH(I392,_ZIG_Cadastro!$A:$A,0)),IFERROR(INDEX(_Entradas_ZIG!$B:$B,MATCH(I392,_Entradas_ZIG!$C:$C,0)),"—"))</f>
        <v/>
      </c>
      <c r="K392" s="93">
        <f>IFERROR(INDEX(_ZIG_Cadastro!$C:$C,MATCH(I392,_ZIG_Cadastro!$A:$A,0)),IFERROR(INDEX(_Entradas_ZIG!$D:$D,MATCH(I392,_Entradas_ZIG!$C:$C,0)),"—"))</f>
        <v/>
      </c>
      <c r="L392" s="92">
        <f>IF(I392="","Sem SKU ZIG",IF(I392="—","Sem SKU ZIG",IF(NOT(ISERROR(MATCH(I392,_ZIG_Cadastro!$A:$A,0))),IF(EXACT(UPPER(TRIM(C392)),UPPER(TRIM(INDEX(_ZIG_Cadastro!$B:$B,MATCH(I392,_ZIG_Cadastro!$A:$A,0))))),"OK","Atencao - Nome diverge"),IF(NOT(ISERROR(MATCH(I392,_Entradas_ZIG!$C:$C,0))),"OK","Erro - SKU nao encontrado"))))</f>
        <v/>
      </c>
      <c r="M392" s="92">
        <f>IFERROR(INDEX(_ZIG_Cadastro!$G:$G,MATCH(I392,_ZIG_Cadastro!$A:$A,0)),IF(NOT(ISERROR(MATCH(I392,_Entradas_ZIG!$C:$C,0))),"Ativo","—"))</f>
        <v/>
      </c>
      <c r="N392" s="94">
        <f>IFERROR(INDEX(_ZIG_Cadastro!$E:$E,MATCH(I392,_ZIG_Cadastro!$A:$A,0)),IFERROR(INDEX(_Entradas_ZIG!$F:$F,MATCH(I392,_Entradas_ZIG!$C:$C,0)),"—"))</f>
        <v/>
      </c>
      <c r="O392" s="92">
        <f>IF(AND(ISNUMBER(SEARCH("Espeto",N392)),ISNUMBER(SEARCH("Carin",N392))),"SIM","")</f>
        <v/>
      </c>
      <c r="P392" s="92">
        <f>IF(AND(ISNUMBER(SEARCH("Espeto",N392)),ISNUMBER(SEARCH("Lapa",N392))),"SIM","")</f>
        <v/>
      </c>
      <c r="Q392" s="92">
        <f>IF(AND(ISNUMBER(SEARCH("Espeto",N392)),ISNUMBER(SEARCH("Tatuapé",N392))),"SIM","")</f>
        <v/>
      </c>
      <c r="R392" s="92">
        <f>IF(AND(ISNUMBER(SEARCH("Espeto",N392)),ISNUMBER(SEARCH("Pavão",N392))),"SIM","")</f>
        <v/>
      </c>
      <c r="S392" s="92">
        <f>IF(AND(ISNUMBER(SEARCH("Espeto",N392)),ISNUMBER(SEARCH("Chac",N392))),"SIM","")</f>
        <v/>
      </c>
      <c r="T392" s="92">
        <f>IF(AND(ISNUMBER(SEARCH("Espeto",N392)),ISNUMBER(SEARCH("Madalena",N392))),"SIM","")</f>
        <v/>
      </c>
      <c r="U392" s="92">
        <f>IF(AND(ISNUMBER(SEARCH("Espeto",N392)),ISNUMBER(SEARCH("Mariana",N392))),"SIM","")</f>
        <v/>
      </c>
      <c r="V392" s="92">
        <f>IF(AND(ISNUMBER(SEARCH("Espeto",N392)),ISNUMBER(SEARCH("Perdizes",N392))),"SIM","")</f>
        <v/>
      </c>
      <c r="W392" s="92">
        <f>IF(AND(ISNUMBER(SEARCH("Espeto",N392)),ISNUMBER(SEARCH("Santana",N392))),"SIM","")</f>
        <v/>
      </c>
      <c r="X392" s="92">
        <f>IF(AND(ISNUMBER(SEARCH("Espeto",N392)),ISNUMBER(SEARCH("André",N392))),"SIM","")</f>
        <v/>
      </c>
      <c r="Y392" s="92">
        <f>IF(AND(ISNUMBER(SEARCH("Delivery",N392)),ISNUMBER(SEARCH("Carin",N392))),"SIM","")</f>
        <v/>
      </c>
      <c r="Z392" s="92">
        <f>IF(AND(ISNUMBER(SEARCH("Delivery",N392)),ISNUMBER(SEARCH("Lapa",N392))),"SIM","")</f>
        <v/>
      </c>
      <c r="AA392" s="92">
        <f>IF(AND(ISNUMBER(SEARCH("Delivery",N392)),ISNUMBER(SEARCH("Tatuapé",N392))),"SIM","")</f>
        <v/>
      </c>
      <c r="AB392" s="92">
        <f>IF(AND(ISNUMBER(SEARCH("Delivery",N392)),ISNUMBER(SEARCH("Pavão",N392))),"SIM","")</f>
        <v/>
      </c>
      <c r="AC392" s="92">
        <f>IF(AND(ISNUMBER(SEARCH("Delivery",N392)),ISNUMBER(SEARCH("Chac",N392))),"SIM","")</f>
        <v/>
      </c>
      <c r="AD392" s="92">
        <f>IF(AND(ISNUMBER(SEARCH("Delivery",N392)),ISNUMBER(SEARCH("Madalena",N392))),"SIM","")</f>
        <v/>
      </c>
      <c r="AE392" s="92">
        <f>IF(AND(ISNUMBER(SEARCH("Delivery",N392)),ISNUMBER(SEARCH("Mariana",N392))),"SIM","")</f>
        <v/>
      </c>
      <c r="AF392" s="92">
        <f>IF(AND(ISNUMBER(SEARCH("Delivery",N392)),ISNUMBER(SEARCH("Perdizes",N392))),"SIM","")</f>
        <v/>
      </c>
      <c r="AG392" s="92">
        <f>IF(AND(ISNUMBER(SEARCH("Delivery",N392)),ISNUMBER(SEARCH("Santana",N392))),"SIM","")</f>
        <v/>
      </c>
      <c r="AH392" s="92">
        <f>IF(AND(ISNUMBER(SEARCH("Delivery",N392)),ISNUMBER(SEARCH("André",N392))),"SIM","")</f>
        <v/>
      </c>
      <c r="AI392" s="92">
        <f>IF(ISNUMBER(SEARCH("Interlagos",N392)),"SIM","")</f>
        <v/>
      </c>
      <c r="AJ392" s="92">
        <f>IF(ISNUMBER(SEARCH("Quiosque",N392)),"SIM","")</f>
        <v/>
      </c>
      <c r="AK392" s="93" t="n"/>
    </row>
    <row r="393">
      <c r="A393" s="88" t="inlineStr">
        <is>
          <t>Protheus</t>
        </is>
      </c>
      <c r="B393" s="96" t="inlineStr">
        <is>
          <t>000884</t>
        </is>
      </c>
      <c r="C393" s="97">
        <f>IF(B393="—","—",IFERROR(VLOOKUP(B393,_Protheus_Cadastro!$A:$B,2,FALSE),"—"))</f>
        <v/>
      </c>
      <c r="D393" s="98">
        <f>IF(B393="—",IFERROR(INDEX(_ZIG_Cadastro!$D:$D,MATCH(H393,_ZIG_Cadastro!$A:$A,0)),"Produto"),IFERROR(VLOOKUP(B393,_Protheus_Cadastro!$A:$C,3,FALSE),"—"))</f>
        <v/>
      </c>
      <c r="E393" s="98">
        <f>IF(B393="—","—",IFERROR(VLOOKUP(B393,_Protheus_Cadastro!$A:$D,4,FALSE),"—"))</f>
        <v/>
      </c>
      <c r="F393" s="98">
        <f>IF(ISERROR(VLOOKUP(B393,'Estrutura Protheus'!A:A,1,FALSE)),"Não","Sim")</f>
        <v/>
      </c>
      <c r="G393" s="99">
        <f>IFERROR(INDEX(_Protheus_Cadastro!$H:$H,MATCH(B393,_Protheus_Cadastro!$A:$A,0)),"—")</f>
        <v/>
      </c>
      <c r="H393" s="211">
        <f>IFERROR(INDEX(_ZIG_Precos!$D:$D,MATCH(I393,_ZIG_Precos!$F:$F,0)),"—")</f>
        <v/>
      </c>
      <c r="I393" s="103">
        <f>IFERROR(VLOOKUP(B393,_Protheus_Cadastro!$A:$I,9,FALSE),"—")</f>
        <v/>
      </c>
      <c r="J393" s="101">
        <f>IFERROR(INDEX(_ZIG_Cadastro!$B:$B,MATCH(I393,_ZIG_Cadastro!$A:$A,0)),IFERROR(INDEX(_Entradas_ZIG!$B:$B,MATCH(I393,_Entradas_ZIG!$C:$C,0)),"—"))</f>
        <v/>
      </c>
      <c r="K393" s="101">
        <f>IFERROR(INDEX(_ZIG_Cadastro!$C:$C,MATCH(I393,_ZIG_Cadastro!$A:$A,0)),IFERROR(INDEX(_Entradas_ZIG!$D:$D,MATCH(I393,_Entradas_ZIG!$C:$C,0)),"—"))</f>
        <v/>
      </c>
      <c r="L393" s="99">
        <f>IF(I393="","Sem SKU ZIG",IF(I393="—","Sem SKU ZIG",IF(NOT(ISERROR(MATCH(I393,_ZIG_Cadastro!$A:$A,0))),IF(EXACT(UPPER(TRIM(C393)),UPPER(TRIM(INDEX(_ZIG_Cadastro!$B:$B,MATCH(I393,_ZIG_Cadastro!$A:$A,0))))),"OK","Atencao - Nome diverge"),IF(NOT(ISERROR(MATCH(I393,_Entradas_ZIG!$C:$C,0))),"OK","Erro - SKU nao encontrado"))))</f>
        <v/>
      </c>
      <c r="M393" s="99">
        <f>IFERROR(INDEX(_ZIG_Cadastro!$G:$G,MATCH(I393,_ZIG_Cadastro!$A:$A,0)),IF(NOT(ISERROR(MATCH(I393,_Entradas_ZIG!$C:$C,0))),"Ativo","—"))</f>
        <v/>
      </c>
      <c r="N393" s="102">
        <f>IFERROR(INDEX(_ZIG_Cadastro!$E:$E,MATCH(I393,_ZIG_Cadastro!$A:$A,0)),IFERROR(INDEX(_Entradas_ZIG!$F:$F,MATCH(I393,_Entradas_ZIG!$C:$C,0)),"—"))</f>
        <v/>
      </c>
      <c r="O393" s="99">
        <f>IF(AND(ISNUMBER(SEARCH("Espeto",N393)),ISNUMBER(SEARCH("Carin",N393))),"SIM","")</f>
        <v/>
      </c>
      <c r="P393" s="99">
        <f>IF(AND(ISNUMBER(SEARCH("Espeto",N393)),ISNUMBER(SEARCH("Lapa",N393))),"SIM","")</f>
        <v/>
      </c>
      <c r="Q393" s="99">
        <f>IF(AND(ISNUMBER(SEARCH("Espeto",N393)),ISNUMBER(SEARCH("Tatuapé",N393))),"SIM","")</f>
        <v/>
      </c>
      <c r="R393" s="99">
        <f>IF(AND(ISNUMBER(SEARCH("Espeto",N393)),ISNUMBER(SEARCH("Pavão",N393))),"SIM","")</f>
        <v/>
      </c>
      <c r="S393" s="99">
        <f>IF(AND(ISNUMBER(SEARCH("Espeto",N393)),ISNUMBER(SEARCH("Chac",N393))),"SIM","")</f>
        <v/>
      </c>
      <c r="T393" s="99">
        <f>IF(AND(ISNUMBER(SEARCH("Espeto",N393)),ISNUMBER(SEARCH("Madalena",N393))),"SIM","")</f>
        <v/>
      </c>
      <c r="U393" s="99">
        <f>IF(AND(ISNUMBER(SEARCH("Espeto",N393)),ISNUMBER(SEARCH("Mariana",N393))),"SIM","")</f>
        <v/>
      </c>
      <c r="V393" s="99">
        <f>IF(AND(ISNUMBER(SEARCH("Espeto",N393)),ISNUMBER(SEARCH("Perdizes",N393))),"SIM","")</f>
        <v/>
      </c>
      <c r="W393" s="99">
        <f>IF(AND(ISNUMBER(SEARCH("Espeto",N393)),ISNUMBER(SEARCH("Santana",N393))),"SIM","")</f>
        <v/>
      </c>
      <c r="X393" s="99">
        <f>IF(AND(ISNUMBER(SEARCH("Espeto",N393)),ISNUMBER(SEARCH("André",N393))),"SIM","")</f>
        <v/>
      </c>
      <c r="Y393" s="99">
        <f>IF(AND(ISNUMBER(SEARCH("Delivery",N393)),ISNUMBER(SEARCH("Carin",N393))),"SIM","")</f>
        <v/>
      </c>
      <c r="Z393" s="99">
        <f>IF(AND(ISNUMBER(SEARCH("Delivery",N393)),ISNUMBER(SEARCH("Lapa",N393))),"SIM","")</f>
        <v/>
      </c>
      <c r="AA393" s="99">
        <f>IF(AND(ISNUMBER(SEARCH("Delivery",N393)),ISNUMBER(SEARCH("Tatuapé",N393))),"SIM","")</f>
        <v/>
      </c>
      <c r="AB393" s="99">
        <f>IF(AND(ISNUMBER(SEARCH("Delivery",N393)),ISNUMBER(SEARCH("Pavão",N393))),"SIM","")</f>
        <v/>
      </c>
      <c r="AC393" s="99">
        <f>IF(AND(ISNUMBER(SEARCH("Delivery",N393)),ISNUMBER(SEARCH("Chac",N393))),"SIM","")</f>
        <v/>
      </c>
      <c r="AD393" s="99">
        <f>IF(AND(ISNUMBER(SEARCH("Delivery",N393)),ISNUMBER(SEARCH("Madalena",N393))),"SIM","")</f>
        <v/>
      </c>
      <c r="AE393" s="99">
        <f>IF(AND(ISNUMBER(SEARCH("Delivery",N393)),ISNUMBER(SEARCH("Mariana",N393))),"SIM","")</f>
        <v/>
      </c>
      <c r="AF393" s="99">
        <f>IF(AND(ISNUMBER(SEARCH("Delivery",N393)),ISNUMBER(SEARCH("Perdizes",N393))),"SIM","")</f>
        <v/>
      </c>
      <c r="AG393" s="99">
        <f>IF(AND(ISNUMBER(SEARCH("Delivery",N393)),ISNUMBER(SEARCH("Santana",N393))),"SIM","")</f>
        <v/>
      </c>
      <c r="AH393" s="99">
        <f>IF(AND(ISNUMBER(SEARCH("Delivery",N393)),ISNUMBER(SEARCH("André",N393))),"SIM","")</f>
        <v/>
      </c>
      <c r="AI393" s="99">
        <f>IF(ISNUMBER(SEARCH("Interlagos",N393)),"SIM","")</f>
        <v/>
      </c>
      <c r="AJ393" s="99">
        <f>IF(ISNUMBER(SEARCH("Quiosque",N393)),"SIM","")</f>
        <v/>
      </c>
      <c r="AK393" s="101" t="n"/>
    </row>
    <row r="394">
      <c r="A394" s="88" t="inlineStr">
        <is>
          <t>Protheus</t>
        </is>
      </c>
      <c r="B394" s="96" t="inlineStr">
        <is>
          <t>001957</t>
        </is>
      </c>
      <c r="C394" s="97">
        <f>IF(B394="—","—",IFERROR(VLOOKUP(B394,_Protheus_Cadastro!$A:$B,2,FALSE),"—"))</f>
        <v/>
      </c>
      <c r="D394" s="98">
        <f>IF(B394="—",IFERROR(INDEX(_ZIG_Cadastro!$D:$D,MATCH(H394,_ZIG_Cadastro!$A:$A,0)),"Produto"),IFERROR(VLOOKUP(B394,_Protheus_Cadastro!$A:$C,3,FALSE),"—"))</f>
        <v/>
      </c>
      <c r="E394" s="98">
        <f>IF(B394="—","—",IFERROR(VLOOKUP(B394,_Protheus_Cadastro!$A:$D,4,FALSE),"—"))</f>
        <v/>
      </c>
      <c r="F394" s="98">
        <f>IF(ISERROR(VLOOKUP(B394,'Estrutura Protheus'!A:A,1,FALSE)),"Não","Sim")</f>
        <v/>
      </c>
      <c r="G394" s="99">
        <f>IFERROR(INDEX(_Protheus_Cadastro!$H:$H,MATCH(B394,_Protheus_Cadastro!$A:$A,0)),"—")</f>
        <v/>
      </c>
      <c r="H394" s="211">
        <f>IFERROR(INDEX(_ZIG_Precos!$D:$D,MATCH(I394,_ZIG_Precos!$F:$F,0)),"—")</f>
        <v/>
      </c>
      <c r="I394" s="103">
        <f>IFERROR(VLOOKUP(B394,_Protheus_Cadastro!$A:$I,9,FALSE),"—")</f>
        <v/>
      </c>
      <c r="J394" s="101">
        <f>IFERROR(INDEX(_ZIG_Cadastro!$B:$B,MATCH(I394,_ZIG_Cadastro!$A:$A,0)),IFERROR(INDEX(_Entradas_ZIG!$B:$B,MATCH(I394,_Entradas_ZIG!$C:$C,0)),"—"))</f>
        <v/>
      </c>
      <c r="K394" s="101">
        <f>IFERROR(INDEX(_ZIG_Cadastro!$C:$C,MATCH(I394,_ZIG_Cadastro!$A:$A,0)),IFERROR(INDEX(_Entradas_ZIG!$D:$D,MATCH(I394,_Entradas_ZIG!$C:$C,0)),"—"))</f>
        <v/>
      </c>
      <c r="L394" s="99">
        <f>IF(I394="","Sem SKU ZIG",IF(I394="—","Sem SKU ZIG",IF(NOT(ISERROR(MATCH(I394,_ZIG_Cadastro!$A:$A,0))),IF(EXACT(UPPER(TRIM(C394)),UPPER(TRIM(INDEX(_ZIG_Cadastro!$B:$B,MATCH(I394,_ZIG_Cadastro!$A:$A,0))))),"OK","Atencao - Nome diverge"),IF(NOT(ISERROR(MATCH(I394,_Entradas_ZIG!$C:$C,0))),"OK","Erro - SKU nao encontrado"))))</f>
        <v/>
      </c>
      <c r="M394" s="99">
        <f>IFERROR(INDEX(_ZIG_Cadastro!$G:$G,MATCH(I394,_ZIG_Cadastro!$A:$A,0)),IF(NOT(ISERROR(MATCH(I394,_Entradas_ZIG!$C:$C,0))),"Ativo","—"))</f>
        <v/>
      </c>
      <c r="N394" s="102">
        <f>IFERROR(INDEX(_ZIG_Cadastro!$E:$E,MATCH(I394,_ZIG_Cadastro!$A:$A,0)),IFERROR(INDEX(_Entradas_ZIG!$F:$F,MATCH(I394,_Entradas_ZIG!$C:$C,0)),"—"))</f>
        <v/>
      </c>
      <c r="O394" s="99">
        <f>IF(AND(ISNUMBER(SEARCH("Espeto",N394)),ISNUMBER(SEARCH("Carin",N394))),"SIM","")</f>
        <v/>
      </c>
      <c r="P394" s="99">
        <f>IF(AND(ISNUMBER(SEARCH("Espeto",N394)),ISNUMBER(SEARCH("Lapa",N394))),"SIM","")</f>
        <v/>
      </c>
      <c r="Q394" s="99">
        <f>IF(AND(ISNUMBER(SEARCH("Espeto",N394)),ISNUMBER(SEARCH("Tatuapé",N394))),"SIM","")</f>
        <v/>
      </c>
      <c r="R394" s="99">
        <f>IF(AND(ISNUMBER(SEARCH("Espeto",N394)),ISNUMBER(SEARCH("Pavão",N394))),"SIM","")</f>
        <v/>
      </c>
      <c r="S394" s="99">
        <f>IF(AND(ISNUMBER(SEARCH("Espeto",N394)),ISNUMBER(SEARCH("Chac",N394))),"SIM","")</f>
        <v/>
      </c>
      <c r="T394" s="99">
        <f>IF(AND(ISNUMBER(SEARCH("Espeto",N394)),ISNUMBER(SEARCH("Madalena",N394))),"SIM","")</f>
        <v/>
      </c>
      <c r="U394" s="99">
        <f>IF(AND(ISNUMBER(SEARCH("Espeto",N394)),ISNUMBER(SEARCH("Mariana",N394))),"SIM","")</f>
        <v/>
      </c>
      <c r="V394" s="99">
        <f>IF(AND(ISNUMBER(SEARCH("Espeto",N394)),ISNUMBER(SEARCH("Perdizes",N394))),"SIM","")</f>
        <v/>
      </c>
      <c r="W394" s="99">
        <f>IF(AND(ISNUMBER(SEARCH("Espeto",N394)),ISNUMBER(SEARCH("Santana",N394))),"SIM","")</f>
        <v/>
      </c>
      <c r="X394" s="99">
        <f>IF(AND(ISNUMBER(SEARCH("Espeto",N394)),ISNUMBER(SEARCH("André",N394))),"SIM","")</f>
        <v/>
      </c>
      <c r="Y394" s="99">
        <f>IF(AND(ISNUMBER(SEARCH("Delivery",N394)),ISNUMBER(SEARCH("Carin",N394))),"SIM","")</f>
        <v/>
      </c>
      <c r="Z394" s="99">
        <f>IF(AND(ISNUMBER(SEARCH("Delivery",N394)),ISNUMBER(SEARCH("Lapa",N394))),"SIM","")</f>
        <v/>
      </c>
      <c r="AA394" s="99">
        <f>IF(AND(ISNUMBER(SEARCH("Delivery",N394)),ISNUMBER(SEARCH("Tatuapé",N394))),"SIM","")</f>
        <v/>
      </c>
      <c r="AB394" s="99">
        <f>IF(AND(ISNUMBER(SEARCH("Delivery",N394)),ISNUMBER(SEARCH("Pavão",N394))),"SIM","")</f>
        <v/>
      </c>
      <c r="AC394" s="99">
        <f>IF(AND(ISNUMBER(SEARCH("Delivery",N394)),ISNUMBER(SEARCH("Chac",N394))),"SIM","")</f>
        <v/>
      </c>
      <c r="AD394" s="99">
        <f>IF(AND(ISNUMBER(SEARCH("Delivery",N394)),ISNUMBER(SEARCH("Madalena",N394))),"SIM","")</f>
        <v/>
      </c>
      <c r="AE394" s="99">
        <f>IF(AND(ISNUMBER(SEARCH("Delivery",N394)),ISNUMBER(SEARCH("Mariana",N394))),"SIM","")</f>
        <v/>
      </c>
      <c r="AF394" s="99">
        <f>IF(AND(ISNUMBER(SEARCH("Delivery",N394)),ISNUMBER(SEARCH("Perdizes",N394))),"SIM","")</f>
        <v/>
      </c>
      <c r="AG394" s="99">
        <f>IF(AND(ISNUMBER(SEARCH("Delivery",N394)),ISNUMBER(SEARCH("Santana",N394))),"SIM","")</f>
        <v/>
      </c>
      <c r="AH394" s="99">
        <f>IF(AND(ISNUMBER(SEARCH("Delivery",N394)),ISNUMBER(SEARCH("André",N394))),"SIM","")</f>
        <v/>
      </c>
      <c r="AI394" s="99">
        <f>IF(ISNUMBER(SEARCH("Interlagos",N394)),"SIM","")</f>
        <v/>
      </c>
      <c r="AJ394" s="99">
        <f>IF(ISNUMBER(SEARCH("Quiosque",N394)),"SIM","")</f>
        <v/>
      </c>
      <c r="AK394" s="101" t="n"/>
    </row>
    <row r="395">
      <c r="A395" s="88" t="inlineStr">
        <is>
          <t>Protheus</t>
        </is>
      </c>
      <c r="B395" s="89" t="inlineStr">
        <is>
          <t>010076</t>
        </is>
      </c>
      <c r="C395" s="90">
        <f>IF(B395="—","—",IFERROR(VLOOKUP(B395,_Protheus_Cadastro!$A:$B,2,FALSE),"—"))</f>
        <v/>
      </c>
      <c r="D395" s="91">
        <f>IF(B395="—",IFERROR(INDEX(_ZIG_Cadastro!$D:$D,MATCH(H395,_ZIG_Cadastro!$A:$A,0)),"Produto"),IFERROR(VLOOKUP(B395,_Protheus_Cadastro!$A:$C,3,FALSE),"—"))</f>
        <v/>
      </c>
      <c r="E395" s="91">
        <f>IF(B395="—","—",IFERROR(VLOOKUP(B395,_Protheus_Cadastro!$A:$D,4,FALSE),"—"))</f>
        <v/>
      </c>
      <c r="F395" s="91">
        <f>IF(ISERROR(VLOOKUP(B395,'Estrutura Protheus'!A:A,1,FALSE)),"Não","Sim")</f>
        <v/>
      </c>
      <c r="G395" s="92">
        <f>IFERROR(INDEX(_Protheus_Cadastro!$H:$H,MATCH(B395,_Protheus_Cadastro!$A:$A,0)),"—")</f>
        <v/>
      </c>
      <c r="H395" s="210">
        <f>IFERROR(INDEX(_ZIG_Precos!$D:$D,MATCH(I395,_ZIG_Precos!$F:$F,0)),"—")</f>
        <v/>
      </c>
      <c r="I395" s="95">
        <f>IFERROR(VLOOKUP(B395,_Protheus_Cadastro!$A:$I,9,FALSE),"—")</f>
        <v/>
      </c>
      <c r="J395" s="93">
        <f>IFERROR(INDEX(_ZIG_Cadastro!$B:$B,MATCH(I395,_ZIG_Cadastro!$A:$A,0)),IFERROR(INDEX(_Entradas_ZIG!$B:$B,MATCH(I395,_Entradas_ZIG!$C:$C,0)),"—"))</f>
        <v/>
      </c>
      <c r="K395" s="93">
        <f>IFERROR(INDEX(_ZIG_Cadastro!$C:$C,MATCH(I395,_ZIG_Cadastro!$A:$A,0)),IFERROR(INDEX(_Entradas_ZIG!$D:$D,MATCH(I395,_Entradas_ZIG!$C:$C,0)),"—"))</f>
        <v/>
      </c>
      <c r="L395" s="92">
        <f>IF(I395="","Sem SKU ZIG",IF(I395="—","Sem SKU ZIG",IF(NOT(ISERROR(MATCH(I395,_ZIG_Cadastro!$A:$A,0))),IF(EXACT(UPPER(TRIM(C395)),UPPER(TRIM(INDEX(_ZIG_Cadastro!$B:$B,MATCH(I395,_ZIG_Cadastro!$A:$A,0))))),"OK","Atencao - Nome diverge"),IF(NOT(ISERROR(MATCH(I395,_Entradas_ZIG!$C:$C,0))),"OK","Erro - SKU nao encontrado"))))</f>
        <v/>
      </c>
      <c r="M395" s="92">
        <f>IFERROR(INDEX(_ZIG_Cadastro!$G:$G,MATCH(I395,_ZIG_Cadastro!$A:$A,0)),IF(NOT(ISERROR(MATCH(I395,_Entradas_ZIG!$C:$C,0))),"Ativo","—"))</f>
        <v/>
      </c>
      <c r="N395" s="94">
        <f>IFERROR(INDEX(_ZIG_Cadastro!$E:$E,MATCH(I395,_ZIG_Cadastro!$A:$A,0)),IFERROR(INDEX(_Entradas_ZIG!$F:$F,MATCH(I395,_Entradas_ZIG!$C:$C,0)),"—"))</f>
        <v/>
      </c>
      <c r="O395" s="92">
        <f>IF(AND(ISNUMBER(SEARCH("Espeto",N395)),ISNUMBER(SEARCH("Carin",N395))),"SIM","")</f>
        <v/>
      </c>
      <c r="P395" s="92">
        <f>IF(AND(ISNUMBER(SEARCH("Espeto",N395)),ISNUMBER(SEARCH("Lapa",N395))),"SIM","")</f>
        <v/>
      </c>
      <c r="Q395" s="92">
        <f>IF(AND(ISNUMBER(SEARCH("Espeto",N395)),ISNUMBER(SEARCH("Tatuapé",N395))),"SIM","")</f>
        <v/>
      </c>
      <c r="R395" s="92">
        <f>IF(AND(ISNUMBER(SEARCH("Espeto",N395)),ISNUMBER(SEARCH("Pavão",N395))),"SIM","")</f>
        <v/>
      </c>
      <c r="S395" s="92">
        <f>IF(AND(ISNUMBER(SEARCH("Espeto",N395)),ISNUMBER(SEARCH("Chac",N395))),"SIM","")</f>
        <v/>
      </c>
      <c r="T395" s="92">
        <f>IF(AND(ISNUMBER(SEARCH("Espeto",N395)),ISNUMBER(SEARCH("Madalena",N395))),"SIM","")</f>
        <v/>
      </c>
      <c r="U395" s="92">
        <f>IF(AND(ISNUMBER(SEARCH("Espeto",N395)),ISNUMBER(SEARCH("Mariana",N395))),"SIM","")</f>
        <v/>
      </c>
      <c r="V395" s="92">
        <f>IF(AND(ISNUMBER(SEARCH("Espeto",N395)),ISNUMBER(SEARCH("Perdizes",N395))),"SIM","")</f>
        <v/>
      </c>
      <c r="W395" s="92">
        <f>IF(AND(ISNUMBER(SEARCH("Espeto",N395)),ISNUMBER(SEARCH("Santana",N395))),"SIM","")</f>
        <v/>
      </c>
      <c r="X395" s="92">
        <f>IF(AND(ISNUMBER(SEARCH("Espeto",N395)),ISNUMBER(SEARCH("André",N395))),"SIM","")</f>
        <v/>
      </c>
      <c r="Y395" s="92">
        <f>IF(AND(ISNUMBER(SEARCH("Delivery",N395)),ISNUMBER(SEARCH("Carin",N395))),"SIM","")</f>
        <v/>
      </c>
      <c r="Z395" s="92">
        <f>IF(AND(ISNUMBER(SEARCH("Delivery",N395)),ISNUMBER(SEARCH("Lapa",N395))),"SIM","")</f>
        <v/>
      </c>
      <c r="AA395" s="92">
        <f>IF(AND(ISNUMBER(SEARCH("Delivery",N395)),ISNUMBER(SEARCH("Tatuapé",N395))),"SIM","")</f>
        <v/>
      </c>
      <c r="AB395" s="92">
        <f>IF(AND(ISNUMBER(SEARCH("Delivery",N395)),ISNUMBER(SEARCH("Pavão",N395))),"SIM","")</f>
        <v/>
      </c>
      <c r="AC395" s="92">
        <f>IF(AND(ISNUMBER(SEARCH("Delivery",N395)),ISNUMBER(SEARCH("Chac",N395))),"SIM","")</f>
        <v/>
      </c>
      <c r="AD395" s="92">
        <f>IF(AND(ISNUMBER(SEARCH("Delivery",N395)),ISNUMBER(SEARCH("Madalena",N395))),"SIM","")</f>
        <v/>
      </c>
      <c r="AE395" s="92">
        <f>IF(AND(ISNUMBER(SEARCH("Delivery",N395)),ISNUMBER(SEARCH("Mariana",N395))),"SIM","")</f>
        <v/>
      </c>
      <c r="AF395" s="92">
        <f>IF(AND(ISNUMBER(SEARCH("Delivery",N395)),ISNUMBER(SEARCH("Perdizes",N395))),"SIM","")</f>
        <v/>
      </c>
      <c r="AG395" s="92">
        <f>IF(AND(ISNUMBER(SEARCH("Delivery",N395)),ISNUMBER(SEARCH("Santana",N395))),"SIM","")</f>
        <v/>
      </c>
      <c r="AH395" s="92">
        <f>IF(AND(ISNUMBER(SEARCH("Delivery",N395)),ISNUMBER(SEARCH("André",N395))),"SIM","")</f>
        <v/>
      </c>
      <c r="AI395" s="92">
        <f>IF(ISNUMBER(SEARCH("Interlagos",N395)),"SIM","")</f>
        <v/>
      </c>
      <c r="AJ395" s="92">
        <f>IF(ISNUMBER(SEARCH("Quiosque",N395)),"SIM","")</f>
        <v/>
      </c>
      <c r="AK395" s="93" t="n"/>
    </row>
    <row r="396">
      <c r="A396" s="88" t="inlineStr">
        <is>
          <t>Protheus</t>
        </is>
      </c>
      <c r="B396" s="96" t="inlineStr">
        <is>
          <t>010158</t>
        </is>
      </c>
      <c r="C396" s="97">
        <f>IF(B396="—","—",IFERROR(VLOOKUP(B396,_Protheus_Cadastro!$A:$B,2,FALSE),"—"))</f>
        <v/>
      </c>
      <c r="D396" s="98">
        <f>IF(B396="—",IFERROR(INDEX(_ZIG_Cadastro!$D:$D,MATCH(H396,_ZIG_Cadastro!$A:$A,0)),"Produto"),IFERROR(VLOOKUP(B396,_Protheus_Cadastro!$A:$C,3,FALSE),"—"))</f>
        <v/>
      </c>
      <c r="E396" s="98">
        <f>IF(B396="—","—",IFERROR(VLOOKUP(B396,_Protheus_Cadastro!$A:$D,4,FALSE),"—"))</f>
        <v/>
      </c>
      <c r="F396" s="98">
        <f>IF(ISERROR(VLOOKUP(B396,'Estrutura Protheus'!A:A,1,FALSE)),"Não","Sim")</f>
        <v/>
      </c>
      <c r="G396" s="99">
        <f>IFERROR(INDEX(_Protheus_Cadastro!$H:$H,MATCH(B396,_Protheus_Cadastro!$A:$A,0)),"—")</f>
        <v/>
      </c>
      <c r="H396" s="211">
        <f>IFERROR(INDEX(_ZIG_Precos!$D:$D,MATCH(I396,_ZIG_Precos!$F:$F,0)),"—")</f>
        <v/>
      </c>
      <c r="I396" s="103">
        <f>IFERROR(VLOOKUP(B396,_Protheus_Cadastro!$A:$I,9,FALSE),"—")</f>
        <v/>
      </c>
      <c r="J396" s="101">
        <f>IFERROR(INDEX(_ZIG_Cadastro!$B:$B,MATCH(I396,_ZIG_Cadastro!$A:$A,0)),IFERROR(INDEX(_Entradas_ZIG!$B:$B,MATCH(I396,_Entradas_ZIG!$C:$C,0)),"—"))</f>
        <v/>
      </c>
      <c r="K396" s="101">
        <f>IFERROR(INDEX(_ZIG_Cadastro!$C:$C,MATCH(I396,_ZIG_Cadastro!$A:$A,0)),IFERROR(INDEX(_Entradas_ZIG!$D:$D,MATCH(I396,_Entradas_ZIG!$C:$C,0)),"—"))</f>
        <v/>
      </c>
      <c r="L396" s="99">
        <f>IF(I396="","Sem SKU ZIG",IF(I396="—","Sem SKU ZIG",IF(NOT(ISERROR(MATCH(I396,_ZIG_Cadastro!$A:$A,0))),IF(EXACT(UPPER(TRIM(C396)),UPPER(TRIM(INDEX(_ZIG_Cadastro!$B:$B,MATCH(I396,_ZIG_Cadastro!$A:$A,0))))),"OK","Atencao - Nome diverge"),IF(NOT(ISERROR(MATCH(I396,_Entradas_ZIG!$C:$C,0))),"OK","Erro - SKU nao encontrado"))))</f>
        <v/>
      </c>
      <c r="M396" s="99">
        <f>IFERROR(INDEX(_ZIG_Cadastro!$G:$G,MATCH(I396,_ZIG_Cadastro!$A:$A,0)),IF(NOT(ISERROR(MATCH(I396,_Entradas_ZIG!$C:$C,0))),"Ativo","—"))</f>
        <v/>
      </c>
      <c r="N396" s="102">
        <f>IFERROR(INDEX(_ZIG_Cadastro!$E:$E,MATCH(I396,_ZIG_Cadastro!$A:$A,0)),IFERROR(INDEX(_Entradas_ZIG!$F:$F,MATCH(I396,_Entradas_ZIG!$C:$C,0)),"—"))</f>
        <v/>
      </c>
      <c r="O396" s="99">
        <f>IF(AND(ISNUMBER(SEARCH("Espeto",N396)),ISNUMBER(SEARCH("Carin",N396))),"SIM","")</f>
        <v/>
      </c>
      <c r="P396" s="99">
        <f>IF(AND(ISNUMBER(SEARCH("Espeto",N396)),ISNUMBER(SEARCH("Lapa",N396))),"SIM","")</f>
        <v/>
      </c>
      <c r="Q396" s="99">
        <f>IF(AND(ISNUMBER(SEARCH("Espeto",N396)),ISNUMBER(SEARCH("Tatuapé",N396))),"SIM","")</f>
        <v/>
      </c>
      <c r="R396" s="99">
        <f>IF(AND(ISNUMBER(SEARCH("Espeto",N396)),ISNUMBER(SEARCH("Pavão",N396))),"SIM","")</f>
        <v/>
      </c>
      <c r="S396" s="99">
        <f>IF(AND(ISNUMBER(SEARCH("Espeto",N396)),ISNUMBER(SEARCH("Chac",N396))),"SIM","")</f>
        <v/>
      </c>
      <c r="T396" s="99">
        <f>IF(AND(ISNUMBER(SEARCH("Espeto",N396)),ISNUMBER(SEARCH("Madalena",N396))),"SIM","")</f>
        <v/>
      </c>
      <c r="U396" s="99">
        <f>IF(AND(ISNUMBER(SEARCH("Espeto",N396)),ISNUMBER(SEARCH("Mariana",N396))),"SIM","")</f>
        <v/>
      </c>
      <c r="V396" s="99">
        <f>IF(AND(ISNUMBER(SEARCH("Espeto",N396)),ISNUMBER(SEARCH("Perdizes",N396))),"SIM","")</f>
        <v/>
      </c>
      <c r="W396" s="99">
        <f>IF(AND(ISNUMBER(SEARCH("Espeto",N396)),ISNUMBER(SEARCH("Santana",N396))),"SIM","")</f>
        <v/>
      </c>
      <c r="X396" s="99">
        <f>IF(AND(ISNUMBER(SEARCH("Espeto",N396)),ISNUMBER(SEARCH("André",N396))),"SIM","")</f>
        <v/>
      </c>
      <c r="Y396" s="99">
        <f>IF(AND(ISNUMBER(SEARCH("Delivery",N396)),ISNUMBER(SEARCH("Carin",N396))),"SIM","")</f>
        <v/>
      </c>
      <c r="Z396" s="99">
        <f>IF(AND(ISNUMBER(SEARCH("Delivery",N396)),ISNUMBER(SEARCH("Lapa",N396))),"SIM","")</f>
        <v/>
      </c>
      <c r="AA396" s="99">
        <f>IF(AND(ISNUMBER(SEARCH("Delivery",N396)),ISNUMBER(SEARCH("Tatuapé",N396))),"SIM","")</f>
        <v/>
      </c>
      <c r="AB396" s="99">
        <f>IF(AND(ISNUMBER(SEARCH("Delivery",N396)),ISNUMBER(SEARCH("Pavão",N396))),"SIM","")</f>
        <v/>
      </c>
      <c r="AC396" s="99">
        <f>IF(AND(ISNUMBER(SEARCH("Delivery",N396)),ISNUMBER(SEARCH("Chac",N396))),"SIM","")</f>
        <v/>
      </c>
      <c r="AD396" s="99">
        <f>IF(AND(ISNUMBER(SEARCH("Delivery",N396)),ISNUMBER(SEARCH("Madalena",N396))),"SIM","")</f>
        <v/>
      </c>
      <c r="AE396" s="99">
        <f>IF(AND(ISNUMBER(SEARCH("Delivery",N396)),ISNUMBER(SEARCH("Mariana",N396))),"SIM","")</f>
        <v/>
      </c>
      <c r="AF396" s="99">
        <f>IF(AND(ISNUMBER(SEARCH("Delivery",N396)),ISNUMBER(SEARCH("Perdizes",N396))),"SIM","")</f>
        <v/>
      </c>
      <c r="AG396" s="99">
        <f>IF(AND(ISNUMBER(SEARCH("Delivery",N396)),ISNUMBER(SEARCH("Santana",N396))),"SIM","")</f>
        <v/>
      </c>
      <c r="AH396" s="99">
        <f>IF(AND(ISNUMBER(SEARCH("Delivery",N396)),ISNUMBER(SEARCH("André",N396))),"SIM","")</f>
        <v/>
      </c>
      <c r="AI396" s="99">
        <f>IF(ISNUMBER(SEARCH("Interlagos",N396)),"SIM","")</f>
        <v/>
      </c>
      <c r="AJ396" s="99">
        <f>IF(ISNUMBER(SEARCH("Quiosque",N396)),"SIM","")</f>
        <v/>
      </c>
      <c r="AK396" s="101" t="n"/>
    </row>
    <row r="397">
      <c r="A397" s="88" t="inlineStr">
        <is>
          <t>Protheus</t>
        </is>
      </c>
      <c r="B397" s="89" t="inlineStr">
        <is>
          <t>001319</t>
        </is>
      </c>
      <c r="C397" s="90">
        <f>IF(B397="—","—",IFERROR(VLOOKUP(B397,_Protheus_Cadastro!$A:$B,2,FALSE),"—"))</f>
        <v/>
      </c>
      <c r="D397" s="91">
        <f>IF(B397="—",IFERROR(INDEX(_ZIG_Cadastro!$D:$D,MATCH(H397,_ZIG_Cadastro!$A:$A,0)),"Produto"),IFERROR(VLOOKUP(B397,_Protheus_Cadastro!$A:$C,3,FALSE),"—"))</f>
        <v/>
      </c>
      <c r="E397" s="91">
        <f>IF(B397="—","—",IFERROR(VLOOKUP(B397,_Protheus_Cadastro!$A:$D,4,FALSE),"—"))</f>
        <v/>
      </c>
      <c r="F397" s="91">
        <f>IF(ISERROR(VLOOKUP(B397,'Estrutura Protheus'!A:A,1,FALSE)),"Não","Sim")</f>
        <v/>
      </c>
      <c r="G397" s="92">
        <f>IFERROR(INDEX(_Protheus_Cadastro!$H:$H,MATCH(B397,_Protheus_Cadastro!$A:$A,0)),"—")</f>
        <v/>
      </c>
      <c r="H397" s="210">
        <f>IFERROR(INDEX(_ZIG_Precos!$D:$D,MATCH(I397,_ZIG_Precos!$F:$F,0)),"—")</f>
        <v/>
      </c>
      <c r="I397" s="95">
        <f>IFERROR(VLOOKUP(B397,_Protheus_Cadastro!$A:$I,9,FALSE),"—")</f>
        <v/>
      </c>
      <c r="J397" s="93">
        <f>IFERROR(INDEX(_ZIG_Cadastro!$B:$B,MATCH(I397,_ZIG_Cadastro!$A:$A,0)),IFERROR(INDEX(_Entradas_ZIG!$B:$B,MATCH(I397,_Entradas_ZIG!$C:$C,0)),"—"))</f>
        <v/>
      </c>
      <c r="K397" s="93">
        <f>IFERROR(INDEX(_ZIG_Cadastro!$C:$C,MATCH(I397,_ZIG_Cadastro!$A:$A,0)),IFERROR(INDEX(_Entradas_ZIG!$D:$D,MATCH(I397,_Entradas_ZIG!$C:$C,0)),"—"))</f>
        <v/>
      </c>
      <c r="L397" s="92">
        <f>IF(I397="","Sem SKU ZIG",IF(I397="—","Sem SKU ZIG",IF(NOT(ISERROR(MATCH(I397,_ZIG_Cadastro!$A:$A,0))),IF(EXACT(UPPER(TRIM(C397)),UPPER(TRIM(INDEX(_ZIG_Cadastro!$B:$B,MATCH(I397,_ZIG_Cadastro!$A:$A,0))))),"OK","Atencao - Nome diverge"),IF(NOT(ISERROR(MATCH(I397,_Entradas_ZIG!$C:$C,0))),"OK","Erro - SKU nao encontrado"))))</f>
        <v/>
      </c>
      <c r="M397" s="92">
        <f>IFERROR(INDEX(_ZIG_Cadastro!$G:$G,MATCH(I397,_ZIG_Cadastro!$A:$A,0)),IF(NOT(ISERROR(MATCH(I397,_Entradas_ZIG!$C:$C,0))),"Ativo","—"))</f>
        <v/>
      </c>
      <c r="N397" s="94">
        <f>IFERROR(INDEX(_ZIG_Cadastro!$E:$E,MATCH(I397,_ZIG_Cadastro!$A:$A,0)),IFERROR(INDEX(_Entradas_ZIG!$F:$F,MATCH(I397,_Entradas_ZIG!$C:$C,0)),"—"))</f>
        <v/>
      </c>
      <c r="O397" s="92">
        <f>IF(AND(ISNUMBER(SEARCH("Espeto",N397)),ISNUMBER(SEARCH("Carin",N397))),"SIM","")</f>
        <v/>
      </c>
      <c r="P397" s="92">
        <f>IF(AND(ISNUMBER(SEARCH("Espeto",N397)),ISNUMBER(SEARCH("Lapa",N397))),"SIM","")</f>
        <v/>
      </c>
      <c r="Q397" s="92">
        <f>IF(AND(ISNUMBER(SEARCH("Espeto",N397)),ISNUMBER(SEARCH("Tatuapé",N397))),"SIM","")</f>
        <v/>
      </c>
      <c r="R397" s="92">
        <f>IF(AND(ISNUMBER(SEARCH("Espeto",N397)),ISNUMBER(SEARCH("Pavão",N397))),"SIM","")</f>
        <v/>
      </c>
      <c r="S397" s="92">
        <f>IF(AND(ISNUMBER(SEARCH("Espeto",N397)),ISNUMBER(SEARCH("Chac",N397))),"SIM","")</f>
        <v/>
      </c>
      <c r="T397" s="92">
        <f>IF(AND(ISNUMBER(SEARCH("Espeto",N397)),ISNUMBER(SEARCH("Madalena",N397))),"SIM","")</f>
        <v/>
      </c>
      <c r="U397" s="92">
        <f>IF(AND(ISNUMBER(SEARCH("Espeto",N397)),ISNUMBER(SEARCH("Mariana",N397))),"SIM","")</f>
        <v/>
      </c>
      <c r="V397" s="92">
        <f>IF(AND(ISNUMBER(SEARCH("Espeto",N397)),ISNUMBER(SEARCH("Perdizes",N397))),"SIM","")</f>
        <v/>
      </c>
      <c r="W397" s="92">
        <f>IF(AND(ISNUMBER(SEARCH("Espeto",N397)),ISNUMBER(SEARCH("Santana",N397))),"SIM","")</f>
        <v/>
      </c>
      <c r="X397" s="92">
        <f>IF(AND(ISNUMBER(SEARCH("Espeto",N397)),ISNUMBER(SEARCH("André",N397))),"SIM","")</f>
        <v/>
      </c>
      <c r="Y397" s="92">
        <f>IF(AND(ISNUMBER(SEARCH("Delivery",N397)),ISNUMBER(SEARCH("Carin",N397))),"SIM","")</f>
        <v/>
      </c>
      <c r="Z397" s="92">
        <f>IF(AND(ISNUMBER(SEARCH("Delivery",N397)),ISNUMBER(SEARCH("Lapa",N397))),"SIM","")</f>
        <v/>
      </c>
      <c r="AA397" s="92">
        <f>IF(AND(ISNUMBER(SEARCH("Delivery",N397)),ISNUMBER(SEARCH("Tatuapé",N397))),"SIM","")</f>
        <v/>
      </c>
      <c r="AB397" s="92">
        <f>IF(AND(ISNUMBER(SEARCH("Delivery",N397)),ISNUMBER(SEARCH("Pavão",N397))),"SIM","")</f>
        <v/>
      </c>
      <c r="AC397" s="92">
        <f>IF(AND(ISNUMBER(SEARCH("Delivery",N397)),ISNUMBER(SEARCH("Chac",N397))),"SIM","")</f>
        <v/>
      </c>
      <c r="AD397" s="92">
        <f>IF(AND(ISNUMBER(SEARCH("Delivery",N397)),ISNUMBER(SEARCH("Madalena",N397))),"SIM","")</f>
        <v/>
      </c>
      <c r="AE397" s="92">
        <f>IF(AND(ISNUMBER(SEARCH("Delivery",N397)),ISNUMBER(SEARCH("Mariana",N397))),"SIM","")</f>
        <v/>
      </c>
      <c r="AF397" s="92">
        <f>IF(AND(ISNUMBER(SEARCH("Delivery",N397)),ISNUMBER(SEARCH("Perdizes",N397))),"SIM","")</f>
        <v/>
      </c>
      <c r="AG397" s="92">
        <f>IF(AND(ISNUMBER(SEARCH("Delivery",N397)),ISNUMBER(SEARCH("Santana",N397))),"SIM","")</f>
        <v/>
      </c>
      <c r="AH397" s="92">
        <f>IF(AND(ISNUMBER(SEARCH("Delivery",N397)),ISNUMBER(SEARCH("André",N397))),"SIM","")</f>
        <v/>
      </c>
      <c r="AI397" s="92">
        <f>IF(ISNUMBER(SEARCH("Interlagos",N397)),"SIM","")</f>
        <v/>
      </c>
      <c r="AJ397" s="92">
        <f>IF(ISNUMBER(SEARCH("Quiosque",N397)),"SIM","")</f>
        <v/>
      </c>
      <c r="AK397" s="93" t="n"/>
    </row>
    <row r="398">
      <c r="A398" s="88" t="inlineStr">
        <is>
          <t>Protheus</t>
        </is>
      </c>
      <c r="B398" s="96" t="inlineStr">
        <is>
          <t>001320</t>
        </is>
      </c>
      <c r="C398" s="97">
        <f>IF(B398="—","—",IFERROR(VLOOKUP(B398,_Protheus_Cadastro!$A:$B,2,FALSE),"—"))</f>
        <v/>
      </c>
      <c r="D398" s="98">
        <f>IF(B398="—",IFERROR(INDEX(_ZIG_Cadastro!$D:$D,MATCH(H398,_ZIG_Cadastro!$A:$A,0)),"Produto"),IFERROR(VLOOKUP(B398,_Protheus_Cadastro!$A:$C,3,FALSE),"—"))</f>
        <v/>
      </c>
      <c r="E398" s="98">
        <f>IF(B398="—","—",IFERROR(VLOOKUP(B398,_Protheus_Cadastro!$A:$D,4,FALSE),"—"))</f>
        <v/>
      </c>
      <c r="F398" s="98">
        <f>IF(ISERROR(VLOOKUP(B398,'Estrutura Protheus'!A:A,1,FALSE)),"Não","Sim")</f>
        <v/>
      </c>
      <c r="G398" s="99">
        <f>IFERROR(INDEX(_Protheus_Cadastro!$H:$H,MATCH(B398,_Protheus_Cadastro!$A:$A,0)),"—")</f>
        <v/>
      </c>
      <c r="H398" s="211">
        <f>IFERROR(INDEX(_ZIG_Precos!$D:$D,MATCH(I398,_ZIG_Precos!$F:$F,0)),"—")</f>
        <v/>
      </c>
      <c r="I398" s="103">
        <f>IFERROR(VLOOKUP(B398,_Protheus_Cadastro!$A:$I,9,FALSE),"—")</f>
        <v/>
      </c>
      <c r="J398" s="101">
        <f>IFERROR(INDEX(_ZIG_Cadastro!$B:$B,MATCH(I398,_ZIG_Cadastro!$A:$A,0)),IFERROR(INDEX(_Entradas_ZIG!$B:$B,MATCH(I398,_Entradas_ZIG!$C:$C,0)),"—"))</f>
        <v/>
      </c>
      <c r="K398" s="101">
        <f>IFERROR(INDEX(_ZIG_Cadastro!$C:$C,MATCH(I398,_ZIG_Cadastro!$A:$A,0)),IFERROR(INDEX(_Entradas_ZIG!$D:$D,MATCH(I398,_Entradas_ZIG!$C:$C,0)),"—"))</f>
        <v/>
      </c>
      <c r="L398" s="99">
        <f>IF(I398="","Sem SKU ZIG",IF(I398="—","Sem SKU ZIG",IF(NOT(ISERROR(MATCH(I398,_ZIG_Cadastro!$A:$A,0))),IF(EXACT(UPPER(TRIM(C398)),UPPER(TRIM(INDEX(_ZIG_Cadastro!$B:$B,MATCH(I398,_ZIG_Cadastro!$A:$A,0))))),"OK","Atencao - Nome diverge"),IF(NOT(ISERROR(MATCH(I398,_Entradas_ZIG!$C:$C,0))),"OK","Erro - SKU nao encontrado"))))</f>
        <v/>
      </c>
      <c r="M398" s="99">
        <f>IFERROR(INDEX(_ZIG_Cadastro!$G:$G,MATCH(I398,_ZIG_Cadastro!$A:$A,0)),IF(NOT(ISERROR(MATCH(I398,_Entradas_ZIG!$C:$C,0))),"Ativo","—"))</f>
        <v/>
      </c>
      <c r="N398" s="102">
        <f>IFERROR(INDEX(_ZIG_Cadastro!$E:$E,MATCH(I398,_ZIG_Cadastro!$A:$A,0)),IFERROR(INDEX(_Entradas_ZIG!$F:$F,MATCH(I398,_Entradas_ZIG!$C:$C,0)),"—"))</f>
        <v/>
      </c>
      <c r="O398" s="99">
        <f>IF(AND(ISNUMBER(SEARCH("Espeto",N398)),ISNUMBER(SEARCH("Carin",N398))),"SIM","")</f>
        <v/>
      </c>
      <c r="P398" s="99">
        <f>IF(AND(ISNUMBER(SEARCH("Espeto",N398)),ISNUMBER(SEARCH("Lapa",N398))),"SIM","")</f>
        <v/>
      </c>
      <c r="Q398" s="99">
        <f>IF(AND(ISNUMBER(SEARCH("Espeto",N398)),ISNUMBER(SEARCH("Tatuapé",N398))),"SIM","")</f>
        <v/>
      </c>
      <c r="R398" s="99">
        <f>IF(AND(ISNUMBER(SEARCH("Espeto",N398)),ISNUMBER(SEARCH("Pavão",N398))),"SIM","")</f>
        <v/>
      </c>
      <c r="S398" s="99">
        <f>IF(AND(ISNUMBER(SEARCH("Espeto",N398)),ISNUMBER(SEARCH("Chac",N398))),"SIM","")</f>
        <v/>
      </c>
      <c r="T398" s="99">
        <f>IF(AND(ISNUMBER(SEARCH("Espeto",N398)),ISNUMBER(SEARCH("Madalena",N398))),"SIM","")</f>
        <v/>
      </c>
      <c r="U398" s="99">
        <f>IF(AND(ISNUMBER(SEARCH("Espeto",N398)),ISNUMBER(SEARCH("Mariana",N398))),"SIM","")</f>
        <v/>
      </c>
      <c r="V398" s="99">
        <f>IF(AND(ISNUMBER(SEARCH("Espeto",N398)),ISNUMBER(SEARCH("Perdizes",N398))),"SIM","")</f>
        <v/>
      </c>
      <c r="W398" s="99">
        <f>IF(AND(ISNUMBER(SEARCH("Espeto",N398)),ISNUMBER(SEARCH("Santana",N398))),"SIM","")</f>
        <v/>
      </c>
      <c r="X398" s="99">
        <f>IF(AND(ISNUMBER(SEARCH("Espeto",N398)),ISNUMBER(SEARCH("André",N398))),"SIM","")</f>
        <v/>
      </c>
      <c r="Y398" s="99">
        <f>IF(AND(ISNUMBER(SEARCH("Delivery",N398)),ISNUMBER(SEARCH("Carin",N398))),"SIM","")</f>
        <v/>
      </c>
      <c r="Z398" s="99">
        <f>IF(AND(ISNUMBER(SEARCH("Delivery",N398)),ISNUMBER(SEARCH("Lapa",N398))),"SIM","")</f>
        <v/>
      </c>
      <c r="AA398" s="99">
        <f>IF(AND(ISNUMBER(SEARCH("Delivery",N398)),ISNUMBER(SEARCH("Tatuapé",N398))),"SIM","")</f>
        <v/>
      </c>
      <c r="AB398" s="99">
        <f>IF(AND(ISNUMBER(SEARCH("Delivery",N398)),ISNUMBER(SEARCH("Pavão",N398))),"SIM","")</f>
        <v/>
      </c>
      <c r="AC398" s="99">
        <f>IF(AND(ISNUMBER(SEARCH("Delivery",N398)),ISNUMBER(SEARCH("Chac",N398))),"SIM","")</f>
        <v/>
      </c>
      <c r="AD398" s="99">
        <f>IF(AND(ISNUMBER(SEARCH("Delivery",N398)),ISNUMBER(SEARCH("Madalena",N398))),"SIM","")</f>
        <v/>
      </c>
      <c r="AE398" s="99">
        <f>IF(AND(ISNUMBER(SEARCH("Delivery",N398)),ISNUMBER(SEARCH("Mariana",N398))),"SIM","")</f>
        <v/>
      </c>
      <c r="AF398" s="99">
        <f>IF(AND(ISNUMBER(SEARCH("Delivery",N398)),ISNUMBER(SEARCH("Perdizes",N398))),"SIM","")</f>
        <v/>
      </c>
      <c r="AG398" s="99">
        <f>IF(AND(ISNUMBER(SEARCH("Delivery",N398)),ISNUMBER(SEARCH("Santana",N398))),"SIM","")</f>
        <v/>
      </c>
      <c r="AH398" s="99">
        <f>IF(AND(ISNUMBER(SEARCH("Delivery",N398)),ISNUMBER(SEARCH("André",N398))),"SIM","")</f>
        <v/>
      </c>
      <c r="AI398" s="99">
        <f>IF(ISNUMBER(SEARCH("Interlagos",N398)),"SIM","")</f>
        <v/>
      </c>
      <c r="AJ398" s="99">
        <f>IF(ISNUMBER(SEARCH("Quiosque",N398)),"SIM","")</f>
        <v/>
      </c>
      <c r="AK398" s="101" t="n"/>
    </row>
    <row r="399">
      <c r="A399" s="88" t="inlineStr">
        <is>
          <t>Protheus</t>
        </is>
      </c>
      <c r="B399" s="89" t="inlineStr">
        <is>
          <t>001195</t>
        </is>
      </c>
      <c r="C399" s="90">
        <f>IF(B399="—","—",IFERROR(VLOOKUP(B399,_Protheus_Cadastro!$A:$B,2,FALSE),"—"))</f>
        <v/>
      </c>
      <c r="D399" s="91">
        <f>IF(B399="—",IFERROR(INDEX(_ZIG_Cadastro!$D:$D,MATCH(H399,_ZIG_Cadastro!$A:$A,0)),"Produto"),IFERROR(VLOOKUP(B399,_Protheus_Cadastro!$A:$C,3,FALSE),"—"))</f>
        <v/>
      </c>
      <c r="E399" s="91">
        <f>IF(B399="—","—",IFERROR(VLOOKUP(B399,_Protheus_Cadastro!$A:$D,4,FALSE),"—"))</f>
        <v/>
      </c>
      <c r="F399" s="91">
        <f>IF(ISERROR(VLOOKUP(B399,'Estrutura Protheus'!A:A,1,FALSE)),"Não","Sim")</f>
        <v/>
      </c>
      <c r="G399" s="92">
        <f>IFERROR(INDEX(_Protheus_Cadastro!$H:$H,MATCH(B399,_Protheus_Cadastro!$A:$A,0)),"—")</f>
        <v/>
      </c>
      <c r="H399" s="210">
        <f>IFERROR(INDEX(_ZIG_Precos!$D:$D,MATCH(I399,_ZIG_Precos!$F:$F,0)),"—")</f>
        <v/>
      </c>
      <c r="I399" s="95">
        <f>IFERROR(VLOOKUP(B399,_Protheus_Cadastro!$A:$I,9,FALSE),"—")</f>
        <v/>
      </c>
      <c r="J399" s="93">
        <f>IFERROR(INDEX(_ZIG_Cadastro!$B:$B,MATCH(I399,_ZIG_Cadastro!$A:$A,0)),IFERROR(INDEX(_Entradas_ZIG!$B:$B,MATCH(I399,_Entradas_ZIG!$C:$C,0)),"—"))</f>
        <v/>
      </c>
      <c r="K399" s="93">
        <f>IFERROR(INDEX(_ZIG_Cadastro!$C:$C,MATCH(I399,_ZIG_Cadastro!$A:$A,0)),IFERROR(INDEX(_Entradas_ZIG!$D:$D,MATCH(I399,_Entradas_ZIG!$C:$C,0)),"—"))</f>
        <v/>
      </c>
      <c r="L399" s="92">
        <f>IF(I399="","Sem SKU ZIG",IF(I399="—","Sem SKU ZIG",IF(NOT(ISERROR(MATCH(I399,_ZIG_Cadastro!$A:$A,0))),IF(EXACT(UPPER(TRIM(C399)),UPPER(TRIM(INDEX(_ZIG_Cadastro!$B:$B,MATCH(I399,_ZIG_Cadastro!$A:$A,0))))),"OK","Atencao - Nome diverge"),IF(NOT(ISERROR(MATCH(I399,_Entradas_ZIG!$C:$C,0))),"OK","Erro - SKU nao encontrado"))))</f>
        <v/>
      </c>
      <c r="M399" s="92">
        <f>IFERROR(INDEX(_ZIG_Cadastro!$G:$G,MATCH(I399,_ZIG_Cadastro!$A:$A,0)),IF(NOT(ISERROR(MATCH(I399,_Entradas_ZIG!$C:$C,0))),"Ativo","—"))</f>
        <v/>
      </c>
      <c r="N399" s="94">
        <f>IFERROR(INDEX(_ZIG_Cadastro!$E:$E,MATCH(I399,_ZIG_Cadastro!$A:$A,0)),IFERROR(INDEX(_Entradas_ZIG!$F:$F,MATCH(I399,_Entradas_ZIG!$C:$C,0)),"—"))</f>
        <v/>
      </c>
      <c r="O399" s="92">
        <f>IF(AND(ISNUMBER(SEARCH("Espeto",N399)),ISNUMBER(SEARCH("Carin",N399))),"SIM","")</f>
        <v/>
      </c>
      <c r="P399" s="92">
        <f>IF(AND(ISNUMBER(SEARCH("Espeto",N399)),ISNUMBER(SEARCH("Lapa",N399))),"SIM","")</f>
        <v/>
      </c>
      <c r="Q399" s="92">
        <f>IF(AND(ISNUMBER(SEARCH("Espeto",N399)),ISNUMBER(SEARCH("Tatuapé",N399))),"SIM","")</f>
        <v/>
      </c>
      <c r="R399" s="92">
        <f>IF(AND(ISNUMBER(SEARCH("Espeto",N399)),ISNUMBER(SEARCH("Pavão",N399))),"SIM","")</f>
        <v/>
      </c>
      <c r="S399" s="92">
        <f>IF(AND(ISNUMBER(SEARCH("Espeto",N399)),ISNUMBER(SEARCH("Chac",N399))),"SIM","")</f>
        <v/>
      </c>
      <c r="T399" s="92">
        <f>IF(AND(ISNUMBER(SEARCH("Espeto",N399)),ISNUMBER(SEARCH("Madalena",N399))),"SIM","")</f>
        <v/>
      </c>
      <c r="U399" s="92">
        <f>IF(AND(ISNUMBER(SEARCH("Espeto",N399)),ISNUMBER(SEARCH("Mariana",N399))),"SIM","")</f>
        <v/>
      </c>
      <c r="V399" s="92">
        <f>IF(AND(ISNUMBER(SEARCH("Espeto",N399)),ISNUMBER(SEARCH("Perdizes",N399))),"SIM","")</f>
        <v/>
      </c>
      <c r="W399" s="92">
        <f>IF(AND(ISNUMBER(SEARCH("Espeto",N399)),ISNUMBER(SEARCH("Santana",N399))),"SIM","")</f>
        <v/>
      </c>
      <c r="X399" s="92">
        <f>IF(AND(ISNUMBER(SEARCH("Espeto",N399)),ISNUMBER(SEARCH("André",N399))),"SIM","")</f>
        <v/>
      </c>
      <c r="Y399" s="92">
        <f>IF(AND(ISNUMBER(SEARCH("Delivery",N399)),ISNUMBER(SEARCH("Carin",N399))),"SIM","")</f>
        <v/>
      </c>
      <c r="Z399" s="92">
        <f>IF(AND(ISNUMBER(SEARCH("Delivery",N399)),ISNUMBER(SEARCH("Lapa",N399))),"SIM","")</f>
        <v/>
      </c>
      <c r="AA399" s="92">
        <f>IF(AND(ISNUMBER(SEARCH("Delivery",N399)),ISNUMBER(SEARCH("Tatuapé",N399))),"SIM","")</f>
        <v/>
      </c>
      <c r="AB399" s="92">
        <f>IF(AND(ISNUMBER(SEARCH("Delivery",N399)),ISNUMBER(SEARCH("Pavão",N399))),"SIM","")</f>
        <v/>
      </c>
      <c r="AC399" s="92">
        <f>IF(AND(ISNUMBER(SEARCH("Delivery",N399)),ISNUMBER(SEARCH("Chac",N399))),"SIM","")</f>
        <v/>
      </c>
      <c r="AD399" s="92">
        <f>IF(AND(ISNUMBER(SEARCH("Delivery",N399)),ISNUMBER(SEARCH("Madalena",N399))),"SIM","")</f>
        <v/>
      </c>
      <c r="AE399" s="92">
        <f>IF(AND(ISNUMBER(SEARCH("Delivery",N399)),ISNUMBER(SEARCH("Mariana",N399))),"SIM","")</f>
        <v/>
      </c>
      <c r="AF399" s="92">
        <f>IF(AND(ISNUMBER(SEARCH("Delivery",N399)),ISNUMBER(SEARCH("Perdizes",N399))),"SIM","")</f>
        <v/>
      </c>
      <c r="AG399" s="92">
        <f>IF(AND(ISNUMBER(SEARCH("Delivery",N399)),ISNUMBER(SEARCH("Santana",N399))),"SIM","")</f>
        <v/>
      </c>
      <c r="AH399" s="92">
        <f>IF(AND(ISNUMBER(SEARCH("Delivery",N399)),ISNUMBER(SEARCH("André",N399))),"SIM","")</f>
        <v/>
      </c>
      <c r="AI399" s="92">
        <f>IF(ISNUMBER(SEARCH("Interlagos",N399)),"SIM","")</f>
        <v/>
      </c>
      <c r="AJ399" s="92">
        <f>IF(ISNUMBER(SEARCH("Quiosque",N399)),"SIM","")</f>
        <v/>
      </c>
      <c r="AK399" s="93" t="n"/>
    </row>
    <row r="400">
      <c r="A400" s="88" t="inlineStr">
        <is>
          <t>Protheus</t>
        </is>
      </c>
      <c r="B400" s="96" t="inlineStr">
        <is>
          <t>001211</t>
        </is>
      </c>
      <c r="C400" s="97">
        <f>IF(B400="—","—",IFERROR(VLOOKUP(B400,_Protheus_Cadastro!$A:$B,2,FALSE),"—"))</f>
        <v/>
      </c>
      <c r="D400" s="98">
        <f>IF(B400="—",IFERROR(INDEX(_ZIG_Cadastro!$D:$D,MATCH(H400,_ZIG_Cadastro!$A:$A,0)),"Produto"),IFERROR(VLOOKUP(B400,_Protheus_Cadastro!$A:$C,3,FALSE),"—"))</f>
        <v/>
      </c>
      <c r="E400" s="98">
        <f>IF(B400="—","—",IFERROR(VLOOKUP(B400,_Protheus_Cadastro!$A:$D,4,FALSE),"—"))</f>
        <v/>
      </c>
      <c r="F400" s="98">
        <f>IF(ISERROR(VLOOKUP(B400,'Estrutura Protheus'!A:A,1,FALSE)),"Não","Sim")</f>
        <v/>
      </c>
      <c r="G400" s="99">
        <f>IFERROR(INDEX(_Protheus_Cadastro!$H:$H,MATCH(B400,_Protheus_Cadastro!$A:$A,0)),"—")</f>
        <v/>
      </c>
      <c r="H400" s="211">
        <f>IFERROR(INDEX(_ZIG_Precos!$D:$D,MATCH(I400,_ZIG_Precos!$F:$F,0)),"—")</f>
        <v/>
      </c>
      <c r="I400" s="103">
        <f>IFERROR(VLOOKUP(B400,_Protheus_Cadastro!$A:$I,9,FALSE),"—")</f>
        <v/>
      </c>
      <c r="J400" s="101">
        <f>IFERROR(INDEX(_ZIG_Cadastro!$B:$B,MATCH(I400,_ZIG_Cadastro!$A:$A,0)),IFERROR(INDEX(_Entradas_ZIG!$B:$B,MATCH(I400,_Entradas_ZIG!$C:$C,0)),"—"))</f>
        <v/>
      </c>
      <c r="K400" s="101">
        <f>IFERROR(INDEX(_ZIG_Cadastro!$C:$C,MATCH(I400,_ZIG_Cadastro!$A:$A,0)),IFERROR(INDEX(_Entradas_ZIG!$D:$D,MATCH(I400,_Entradas_ZIG!$C:$C,0)),"—"))</f>
        <v/>
      </c>
      <c r="L400" s="99">
        <f>IF(I400="","Sem SKU ZIG",IF(I400="—","Sem SKU ZIG",IF(NOT(ISERROR(MATCH(I400,_ZIG_Cadastro!$A:$A,0))),IF(EXACT(UPPER(TRIM(C400)),UPPER(TRIM(INDEX(_ZIG_Cadastro!$B:$B,MATCH(I400,_ZIG_Cadastro!$A:$A,0))))),"OK","Atencao - Nome diverge"),IF(NOT(ISERROR(MATCH(I400,_Entradas_ZIG!$C:$C,0))),"OK","Erro - SKU nao encontrado"))))</f>
        <v/>
      </c>
      <c r="M400" s="99">
        <f>IFERROR(INDEX(_ZIG_Cadastro!$G:$G,MATCH(I400,_ZIG_Cadastro!$A:$A,0)),IF(NOT(ISERROR(MATCH(I400,_Entradas_ZIG!$C:$C,0))),"Ativo","—"))</f>
        <v/>
      </c>
      <c r="N400" s="102">
        <f>IFERROR(INDEX(_ZIG_Cadastro!$E:$E,MATCH(I400,_ZIG_Cadastro!$A:$A,0)),IFERROR(INDEX(_Entradas_ZIG!$F:$F,MATCH(I400,_Entradas_ZIG!$C:$C,0)),"—"))</f>
        <v/>
      </c>
      <c r="O400" s="99">
        <f>IF(AND(ISNUMBER(SEARCH("Espeto",N400)),ISNUMBER(SEARCH("Carin",N400))),"SIM","")</f>
        <v/>
      </c>
      <c r="P400" s="99">
        <f>IF(AND(ISNUMBER(SEARCH("Espeto",N400)),ISNUMBER(SEARCH("Lapa",N400))),"SIM","")</f>
        <v/>
      </c>
      <c r="Q400" s="99">
        <f>IF(AND(ISNUMBER(SEARCH("Espeto",N400)),ISNUMBER(SEARCH("Tatuapé",N400))),"SIM","")</f>
        <v/>
      </c>
      <c r="R400" s="99">
        <f>IF(AND(ISNUMBER(SEARCH("Espeto",N400)),ISNUMBER(SEARCH("Pavão",N400))),"SIM","")</f>
        <v/>
      </c>
      <c r="S400" s="99">
        <f>IF(AND(ISNUMBER(SEARCH("Espeto",N400)),ISNUMBER(SEARCH("Chac",N400))),"SIM","")</f>
        <v/>
      </c>
      <c r="T400" s="99">
        <f>IF(AND(ISNUMBER(SEARCH("Espeto",N400)),ISNUMBER(SEARCH("Madalena",N400))),"SIM","")</f>
        <v/>
      </c>
      <c r="U400" s="99">
        <f>IF(AND(ISNUMBER(SEARCH("Espeto",N400)),ISNUMBER(SEARCH("Mariana",N400))),"SIM","")</f>
        <v/>
      </c>
      <c r="V400" s="99">
        <f>IF(AND(ISNUMBER(SEARCH("Espeto",N400)),ISNUMBER(SEARCH("Perdizes",N400))),"SIM","")</f>
        <v/>
      </c>
      <c r="W400" s="99">
        <f>IF(AND(ISNUMBER(SEARCH("Espeto",N400)),ISNUMBER(SEARCH("Santana",N400))),"SIM","")</f>
        <v/>
      </c>
      <c r="X400" s="99">
        <f>IF(AND(ISNUMBER(SEARCH("Espeto",N400)),ISNUMBER(SEARCH("André",N400))),"SIM","")</f>
        <v/>
      </c>
      <c r="Y400" s="99">
        <f>IF(AND(ISNUMBER(SEARCH("Delivery",N400)),ISNUMBER(SEARCH("Carin",N400))),"SIM","")</f>
        <v/>
      </c>
      <c r="Z400" s="99">
        <f>IF(AND(ISNUMBER(SEARCH("Delivery",N400)),ISNUMBER(SEARCH("Lapa",N400))),"SIM","")</f>
        <v/>
      </c>
      <c r="AA400" s="99">
        <f>IF(AND(ISNUMBER(SEARCH("Delivery",N400)),ISNUMBER(SEARCH("Tatuapé",N400))),"SIM","")</f>
        <v/>
      </c>
      <c r="AB400" s="99">
        <f>IF(AND(ISNUMBER(SEARCH("Delivery",N400)),ISNUMBER(SEARCH("Pavão",N400))),"SIM","")</f>
        <v/>
      </c>
      <c r="AC400" s="99">
        <f>IF(AND(ISNUMBER(SEARCH("Delivery",N400)),ISNUMBER(SEARCH("Chac",N400))),"SIM","")</f>
        <v/>
      </c>
      <c r="AD400" s="99">
        <f>IF(AND(ISNUMBER(SEARCH("Delivery",N400)),ISNUMBER(SEARCH("Madalena",N400))),"SIM","")</f>
        <v/>
      </c>
      <c r="AE400" s="99">
        <f>IF(AND(ISNUMBER(SEARCH("Delivery",N400)),ISNUMBER(SEARCH("Mariana",N400))),"SIM","")</f>
        <v/>
      </c>
      <c r="AF400" s="99">
        <f>IF(AND(ISNUMBER(SEARCH("Delivery",N400)),ISNUMBER(SEARCH("Perdizes",N400))),"SIM","")</f>
        <v/>
      </c>
      <c r="AG400" s="99">
        <f>IF(AND(ISNUMBER(SEARCH("Delivery",N400)),ISNUMBER(SEARCH("Santana",N400))),"SIM","")</f>
        <v/>
      </c>
      <c r="AH400" s="99">
        <f>IF(AND(ISNUMBER(SEARCH("Delivery",N400)),ISNUMBER(SEARCH("André",N400))),"SIM","")</f>
        <v/>
      </c>
      <c r="AI400" s="99">
        <f>IF(ISNUMBER(SEARCH("Interlagos",N400)),"SIM","")</f>
        <v/>
      </c>
      <c r="AJ400" s="99">
        <f>IF(ISNUMBER(SEARCH("Quiosque",N400)),"SIM","")</f>
        <v/>
      </c>
      <c r="AK400" s="101" t="n"/>
    </row>
    <row r="401">
      <c r="A401" s="88" t="inlineStr">
        <is>
          <t>Protheus</t>
        </is>
      </c>
      <c r="B401" s="89" t="inlineStr">
        <is>
          <t>001212</t>
        </is>
      </c>
      <c r="C401" s="90">
        <f>IF(B401="—","—",IFERROR(VLOOKUP(B401,_Protheus_Cadastro!$A:$B,2,FALSE),"—"))</f>
        <v/>
      </c>
      <c r="D401" s="91">
        <f>IF(B401="—",IFERROR(INDEX(_ZIG_Cadastro!$D:$D,MATCH(H401,_ZIG_Cadastro!$A:$A,0)),"Produto"),IFERROR(VLOOKUP(B401,_Protheus_Cadastro!$A:$C,3,FALSE),"—"))</f>
        <v/>
      </c>
      <c r="E401" s="91">
        <f>IF(B401="—","—",IFERROR(VLOOKUP(B401,_Protheus_Cadastro!$A:$D,4,FALSE),"—"))</f>
        <v/>
      </c>
      <c r="F401" s="91">
        <f>IF(ISERROR(VLOOKUP(B401,'Estrutura Protheus'!A:A,1,FALSE)),"Não","Sim")</f>
        <v/>
      </c>
      <c r="G401" s="92">
        <f>IFERROR(INDEX(_Protheus_Cadastro!$H:$H,MATCH(B401,_Protheus_Cadastro!$A:$A,0)),"—")</f>
        <v/>
      </c>
      <c r="H401" s="210">
        <f>IFERROR(INDEX(_ZIG_Precos!$D:$D,MATCH(I401,_ZIG_Precos!$F:$F,0)),"—")</f>
        <v/>
      </c>
      <c r="I401" s="95">
        <f>IFERROR(VLOOKUP(B401,_Protheus_Cadastro!$A:$I,9,FALSE),"—")</f>
        <v/>
      </c>
      <c r="J401" s="93">
        <f>IFERROR(INDEX(_ZIG_Cadastro!$B:$B,MATCH(I401,_ZIG_Cadastro!$A:$A,0)),IFERROR(INDEX(_Entradas_ZIG!$B:$B,MATCH(I401,_Entradas_ZIG!$C:$C,0)),"—"))</f>
        <v/>
      </c>
      <c r="K401" s="93">
        <f>IFERROR(INDEX(_ZIG_Cadastro!$C:$C,MATCH(I401,_ZIG_Cadastro!$A:$A,0)),IFERROR(INDEX(_Entradas_ZIG!$D:$D,MATCH(I401,_Entradas_ZIG!$C:$C,0)),"—"))</f>
        <v/>
      </c>
      <c r="L401" s="92">
        <f>IF(I401="","Sem SKU ZIG",IF(I401="—","Sem SKU ZIG",IF(NOT(ISERROR(MATCH(I401,_ZIG_Cadastro!$A:$A,0))),IF(EXACT(UPPER(TRIM(C401)),UPPER(TRIM(INDEX(_ZIG_Cadastro!$B:$B,MATCH(I401,_ZIG_Cadastro!$A:$A,0))))),"OK","Atencao - Nome diverge"),IF(NOT(ISERROR(MATCH(I401,_Entradas_ZIG!$C:$C,0))),"OK","Erro - SKU nao encontrado"))))</f>
        <v/>
      </c>
      <c r="M401" s="92">
        <f>IFERROR(INDEX(_ZIG_Cadastro!$G:$G,MATCH(I401,_ZIG_Cadastro!$A:$A,0)),IF(NOT(ISERROR(MATCH(I401,_Entradas_ZIG!$C:$C,0))),"Ativo","—"))</f>
        <v/>
      </c>
      <c r="N401" s="94">
        <f>IFERROR(INDEX(_ZIG_Cadastro!$E:$E,MATCH(I401,_ZIG_Cadastro!$A:$A,0)),IFERROR(INDEX(_Entradas_ZIG!$F:$F,MATCH(I401,_Entradas_ZIG!$C:$C,0)),"—"))</f>
        <v/>
      </c>
      <c r="O401" s="92">
        <f>IF(AND(ISNUMBER(SEARCH("Espeto",N401)),ISNUMBER(SEARCH("Carin",N401))),"SIM","")</f>
        <v/>
      </c>
      <c r="P401" s="92">
        <f>IF(AND(ISNUMBER(SEARCH("Espeto",N401)),ISNUMBER(SEARCH("Lapa",N401))),"SIM","")</f>
        <v/>
      </c>
      <c r="Q401" s="92">
        <f>IF(AND(ISNUMBER(SEARCH("Espeto",N401)),ISNUMBER(SEARCH("Tatuapé",N401))),"SIM","")</f>
        <v/>
      </c>
      <c r="R401" s="92">
        <f>IF(AND(ISNUMBER(SEARCH("Espeto",N401)),ISNUMBER(SEARCH("Pavão",N401))),"SIM","")</f>
        <v/>
      </c>
      <c r="S401" s="92">
        <f>IF(AND(ISNUMBER(SEARCH("Espeto",N401)),ISNUMBER(SEARCH("Chac",N401))),"SIM","")</f>
        <v/>
      </c>
      <c r="T401" s="92">
        <f>IF(AND(ISNUMBER(SEARCH("Espeto",N401)),ISNUMBER(SEARCH("Madalena",N401))),"SIM","")</f>
        <v/>
      </c>
      <c r="U401" s="92">
        <f>IF(AND(ISNUMBER(SEARCH("Espeto",N401)),ISNUMBER(SEARCH("Mariana",N401))),"SIM","")</f>
        <v/>
      </c>
      <c r="V401" s="92">
        <f>IF(AND(ISNUMBER(SEARCH("Espeto",N401)),ISNUMBER(SEARCH("Perdizes",N401))),"SIM","")</f>
        <v/>
      </c>
      <c r="W401" s="92">
        <f>IF(AND(ISNUMBER(SEARCH("Espeto",N401)),ISNUMBER(SEARCH("Santana",N401))),"SIM","")</f>
        <v/>
      </c>
      <c r="X401" s="92">
        <f>IF(AND(ISNUMBER(SEARCH("Espeto",N401)),ISNUMBER(SEARCH("André",N401))),"SIM","")</f>
        <v/>
      </c>
      <c r="Y401" s="92">
        <f>IF(AND(ISNUMBER(SEARCH("Delivery",N401)),ISNUMBER(SEARCH("Carin",N401))),"SIM","")</f>
        <v/>
      </c>
      <c r="Z401" s="92">
        <f>IF(AND(ISNUMBER(SEARCH("Delivery",N401)),ISNUMBER(SEARCH("Lapa",N401))),"SIM","")</f>
        <v/>
      </c>
      <c r="AA401" s="92">
        <f>IF(AND(ISNUMBER(SEARCH("Delivery",N401)),ISNUMBER(SEARCH("Tatuapé",N401))),"SIM","")</f>
        <v/>
      </c>
      <c r="AB401" s="92">
        <f>IF(AND(ISNUMBER(SEARCH("Delivery",N401)),ISNUMBER(SEARCH("Pavão",N401))),"SIM","")</f>
        <v/>
      </c>
      <c r="AC401" s="92">
        <f>IF(AND(ISNUMBER(SEARCH("Delivery",N401)),ISNUMBER(SEARCH("Chac",N401))),"SIM","")</f>
        <v/>
      </c>
      <c r="AD401" s="92">
        <f>IF(AND(ISNUMBER(SEARCH("Delivery",N401)),ISNUMBER(SEARCH("Madalena",N401))),"SIM","")</f>
        <v/>
      </c>
      <c r="AE401" s="92">
        <f>IF(AND(ISNUMBER(SEARCH("Delivery",N401)),ISNUMBER(SEARCH("Mariana",N401))),"SIM","")</f>
        <v/>
      </c>
      <c r="AF401" s="92">
        <f>IF(AND(ISNUMBER(SEARCH("Delivery",N401)),ISNUMBER(SEARCH("Perdizes",N401))),"SIM","")</f>
        <v/>
      </c>
      <c r="AG401" s="92">
        <f>IF(AND(ISNUMBER(SEARCH("Delivery",N401)),ISNUMBER(SEARCH("Santana",N401))),"SIM","")</f>
        <v/>
      </c>
      <c r="AH401" s="92">
        <f>IF(AND(ISNUMBER(SEARCH("Delivery",N401)),ISNUMBER(SEARCH("André",N401))),"SIM","")</f>
        <v/>
      </c>
      <c r="AI401" s="92">
        <f>IF(ISNUMBER(SEARCH("Interlagos",N401)),"SIM","")</f>
        <v/>
      </c>
      <c r="AJ401" s="92">
        <f>IF(ISNUMBER(SEARCH("Quiosque",N401)),"SIM","")</f>
        <v/>
      </c>
      <c r="AK401" s="93" t="n"/>
    </row>
    <row r="402">
      <c r="A402" s="88" t="inlineStr">
        <is>
          <t>Protheus</t>
        </is>
      </c>
      <c r="B402" s="96" t="inlineStr">
        <is>
          <t>001196</t>
        </is>
      </c>
      <c r="C402" s="97">
        <f>IF(B402="—","—",IFERROR(VLOOKUP(B402,_Protheus_Cadastro!$A:$B,2,FALSE),"—"))</f>
        <v/>
      </c>
      <c r="D402" s="98">
        <f>IF(B402="—",IFERROR(INDEX(_ZIG_Cadastro!$D:$D,MATCH(H402,_ZIG_Cadastro!$A:$A,0)),"Produto"),IFERROR(VLOOKUP(B402,_Protheus_Cadastro!$A:$C,3,FALSE),"—"))</f>
        <v/>
      </c>
      <c r="E402" s="98">
        <f>IF(B402="—","—",IFERROR(VLOOKUP(B402,_Protheus_Cadastro!$A:$D,4,FALSE),"—"))</f>
        <v/>
      </c>
      <c r="F402" s="98">
        <f>IF(ISERROR(VLOOKUP(B402,'Estrutura Protheus'!A:A,1,FALSE)),"Não","Sim")</f>
        <v/>
      </c>
      <c r="G402" s="99">
        <f>IFERROR(INDEX(_Protheus_Cadastro!$H:$H,MATCH(B402,_Protheus_Cadastro!$A:$A,0)),"—")</f>
        <v/>
      </c>
      <c r="H402" s="211">
        <f>IFERROR(INDEX(_ZIG_Precos!$D:$D,MATCH(I402,_ZIG_Precos!$F:$F,0)),"—")</f>
        <v/>
      </c>
      <c r="I402" s="103">
        <f>IFERROR(VLOOKUP(B402,_Protheus_Cadastro!$A:$I,9,FALSE),"—")</f>
        <v/>
      </c>
      <c r="J402" s="101">
        <f>IFERROR(INDEX(_ZIG_Cadastro!$B:$B,MATCH(I402,_ZIG_Cadastro!$A:$A,0)),IFERROR(INDEX(_Entradas_ZIG!$B:$B,MATCH(I402,_Entradas_ZIG!$C:$C,0)),"—"))</f>
        <v/>
      </c>
      <c r="K402" s="101">
        <f>IFERROR(INDEX(_ZIG_Cadastro!$C:$C,MATCH(I402,_ZIG_Cadastro!$A:$A,0)),IFERROR(INDEX(_Entradas_ZIG!$D:$D,MATCH(I402,_Entradas_ZIG!$C:$C,0)),"—"))</f>
        <v/>
      </c>
      <c r="L402" s="99">
        <f>IF(I402="","Sem SKU ZIG",IF(I402="—","Sem SKU ZIG",IF(NOT(ISERROR(MATCH(I402,_ZIG_Cadastro!$A:$A,0))),IF(EXACT(UPPER(TRIM(C402)),UPPER(TRIM(INDEX(_ZIG_Cadastro!$B:$B,MATCH(I402,_ZIG_Cadastro!$A:$A,0))))),"OK","Atencao - Nome diverge"),IF(NOT(ISERROR(MATCH(I402,_Entradas_ZIG!$C:$C,0))),"OK","Erro - SKU nao encontrado"))))</f>
        <v/>
      </c>
      <c r="M402" s="99">
        <f>IFERROR(INDEX(_ZIG_Cadastro!$G:$G,MATCH(I402,_ZIG_Cadastro!$A:$A,0)),IF(NOT(ISERROR(MATCH(I402,_Entradas_ZIG!$C:$C,0))),"Ativo","—"))</f>
        <v/>
      </c>
      <c r="N402" s="102">
        <f>IFERROR(INDEX(_ZIG_Cadastro!$E:$E,MATCH(I402,_ZIG_Cadastro!$A:$A,0)),IFERROR(INDEX(_Entradas_ZIG!$F:$F,MATCH(I402,_Entradas_ZIG!$C:$C,0)),"—"))</f>
        <v/>
      </c>
      <c r="O402" s="99">
        <f>IF(AND(ISNUMBER(SEARCH("Espeto",N402)),ISNUMBER(SEARCH("Carin",N402))),"SIM","")</f>
        <v/>
      </c>
      <c r="P402" s="99">
        <f>IF(AND(ISNUMBER(SEARCH("Espeto",N402)),ISNUMBER(SEARCH("Lapa",N402))),"SIM","")</f>
        <v/>
      </c>
      <c r="Q402" s="99">
        <f>IF(AND(ISNUMBER(SEARCH("Espeto",N402)),ISNUMBER(SEARCH("Tatuapé",N402))),"SIM","")</f>
        <v/>
      </c>
      <c r="R402" s="99">
        <f>IF(AND(ISNUMBER(SEARCH("Espeto",N402)),ISNUMBER(SEARCH("Pavão",N402))),"SIM","")</f>
        <v/>
      </c>
      <c r="S402" s="99">
        <f>IF(AND(ISNUMBER(SEARCH("Espeto",N402)),ISNUMBER(SEARCH("Chac",N402))),"SIM","")</f>
        <v/>
      </c>
      <c r="T402" s="99">
        <f>IF(AND(ISNUMBER(SEARCH("Espeto",N402)),ISNUMBER(SEARCH("Madalena",N402))),"SIM","")</f>
        <v/>
      </c>
      <c r="U402" s="99">
        <f>IF(AND(ISNUMBER(SEARCH("Espeto",N402)),ISNUMBER(SEARCH("Mariana",N402))),"SIM","")</f>
        <v/>
      </c>
      <c r="V402" s="99">
        <f>IF(AND(ISNUMBER(SEARCH("Espeto",N402)),ISNUMBER(SEARCH("Perdizes",N402))),"SIM","")</f>
        <v/>
      </c>
      <c r="W402" s="99">
        <f>IF(AND(ISNUMBER(SEARCH("Espeto",N402)),ISNUMBER(SEARCH("Santana",N402))),"SIM","")</f>
        <v/>
      </c>
      <c r="X402" s="99">
        <f>IF(AND(ISNUMBER(SEARCH("Espeto",N402)),ISNUMBER(SEARCH("André",N402))),"SIM","")</f>
        <v/>
      </c>
      <c r="Y402" s="99">
        <f>IF(AND(ISNUMBER(SEARCH("Delivery",N402)),ISNUMBER(SEARCH("Carin",N402))),"SIM","")</f>
        <v/>
      </c>
      <c r="Z402" s="99">
        <f>IF(AND(ISNUMBER(SEARCH("Delivery",N402)),ISNUMBER(SEARCH("Lapa",N402))),"SIM","")</f>
        <v/>
      </c>
      <c r="AA402" s="99">
        <f>IF(AND(ISNUMBER(SEARCH("Delivery",N402)),ISNUMBER(SEARCH("Tatuapé",N402))),"SIM","")</f>
        <v/>
      </c>
      <c r="AB402" s="99">
        <f>IF(AND(ISNUMBER(SEARCH("Delivery",N402)),ISNUMBER(SEARCH("Pavão",N402))),"SIM","")</f>
        <v/>
      </c>
      <c r="AC402" s="99">
        <f>IF(AND(ISNUMBER(SEARCH("Delivery",N402)),ISNUMBER(SEARCH("Chac",N402))),"SIM","")</f>
        <v/>
      </c>
      <c r="AD402" s="99">
        <f>IF(AND(ISNUMBER(SEARCH("Delivery",N402)),ISNUMBER(SEARCH("Madalena",N402))),"SIM","")</f>
        <v/>
      </c>
      <c r="AE402" s="99">
        <f>IF(AND(ISNUMBER(SEARCH("Delivery",N402)),ISNUMBER(SEARCH("Mariana",N402))),"SIM","")</f>
        <v/>
      </c>
      <c r="AF402" s="99">
        <f>IF(AND(ISNUMBER(SEARCH("Delivery",N402)),ISNUMBER(SEARCH("Perdizes",N402))),"SIM","")</f>
        <v/>
      </c>
      <c r="AG402" s="99">
        <f>IF(AND(ISNUMBER(SEARCH("Delivery",N402)),ISNUMBER(SEARCH("Santana",N402))),"SIM","")</f>
        <v/>
      </c>
      <c r="AH402" s="99">
        <f>IF(AND(ISNUMBER(SEARCH("Delivery",N402)),ISNUMBER(SEARCH("André",N402))),"SIM","")</f>
        <v/>
      </c>
      <c r="AI402" s="99">
        <f>IF(ISNUMBER(SEARCH("Interlagos",N402)),"SIM","")</f>
        <v/>
      </c>
      <c r="AJ402" s="99">
        <f>IF(ISNUMBER(SEARCH("Quiosque",N402)),"SIM","")</f>
        <v/>
      </c>
      <c r="AK402" s="101" t="n"/>
    </row>
    <row r="403">
      <c r="A403" s="88" t="inlineStr">
        <is>
          <t>Protheus</t>
        </is>
      </c>
      <c r="B403" s="89" t="inlineStr">
        <is>
          <t>001209</t>
        </is>
      </c>
      <c r="C403" s="90">
        <f>IF(B403="—","—",IFERROR(VLOOKUP(B403,_Protheus_Cadastro!$A:$B,2,FALSE),"—"))</f>
        <v/>
      </c>
      <c r="D403" s="91">
        <f>IF(B403="—",IFERROR(INDEX(_ZIG_Cadastro!$D:$D,MATCH(H403,_ZIG_Cadastro!$A:$A,0)),"Produto"),IFERROR(VLOOKUP(B403,_Protheus_Cadastro!$A:$C,3,FALSE),"—"))</f>
        <v/>
      </c>
      <c r="E403" s="91">
        <f>IF(B403="—","—",IFERROR(VLOOKUP(B403,_Protheus_Cadastro!$A:$D,4,FALSE),"—"))</f>
        <v/>
      </c>
      <c r="F403" s="91">
        <f>IF(ISERROR(VLOOKUP(B403,'Estrutura Protheus'!A:A,1,FALSE)),"Não","Sim")</f>
        <v/>
      </c>
      <c r="G403" s="92">
        <f>IFERROR(INDEX(_Protheus_Cadastro!$H:$H,MATCH(B403,_Protheus_Cadastro!$A:$A,0)),"—")</f>
        <v/>
      </c>
      <c r="H403" s="210">
        <f>IFERROR(INDEX(_ZIG_Precos!$D:$D,MATCH(I403,_ZIG_Precos!$F:$F,0)),"—")</f>
        <v/>
      </c>
      <c r="I403" s="95">
        <f>IFERROR(VLOOKUP(B403,_Protheus_Cadastro!$A:$I,9,FALSE),"—")</f>
        <v/>
      </c>
      <c r="J403" s="93">
        <f>IFERROR(INDEX(_ZIG_Cadastro!$B:$B,MATCH(I403,_ZIG_Cadastro!$A:$A,0)),IFERROR(INDEX(_Entradas_ZIG!$B:$B,MATCH(I403,_Entradas_ZIG!$C:$C,0)),"—"))</f>
        <v/>
      </c>
      <c r="K403" s="93">
        <f>IFERROR(INDEX(_ZIG_Cadastro!$C:$C,MATCH(I403,_ZIG_Cadastro!$A:$A,0)),IFERROR(INDEX(_Entradas_ZIG!$D:$D,MATCH(I403,_Entradas_ZIG!$C:$C,0)),"—"))</f>
        <v/>
      </c>
      <c r="L403" s="92">
        <f>IF(I403="","Sem SKU ZIG",IF(I403="—","Sem SKU ZIG",IF(NOT(ISERROR(MATCH(I403,_ZIG_Cadastro!$A:$A,0))),IF(EXACT(UPPER(TRIM(C403)),UPPER(TRIM(INDEX(_ZIG_Cadastro!$B:$B,MATCH(I403,_ZIG_Cadastro!$A:$A,0))))),"OK","Atencao - Nome diverge"),IF(NOT(ISERROR(MATCH(I403,_Entradas_ZIG!$C:$C,0))),"OK","Erro - SKU nao encontrado"))))</f>
        <v/>
      </c>
      <c r="M403" s="92">
        <f>IFERROR(INDEX(_ZIG_Cadastro!$G:$G,MATCH(I403,_ZIG_Cadastro!$A:$A,0)),IF(NOT(ISERROR(MATCH(I403,_Entradas_ZIG!$C:$C,0))),"Ativo","—"))</f>
        <v/>
      </c>
      <c r="N403" s="94">
        <f>IFERROR(INDEX(_ZIG_Cadastro!$E:$E,MATCH(I403,_ZIG_Cadastro!$A:$A,0)),IFERROR(INDEX(_Entradas_ZIG!$F:$F,MATCH(I403,_Entradas_ZIG!$C:$C,0)),"—"))</f>
        <v/>
      </c>
      <c r="O403" s="92">
        <f>IF(AND(ISNUMBER(SEARCH("Espeto",N403)),ISNUMBER(SEARCH("Carin",N403))),"SIM","")</f>
        <v/>
      </c>
      <c r="P403" s="92">
        <f>IF(AND(ISNUMBER(SEARCH("Espeto",N403)),ISNUMBER(SEARCH("Lapa",N403))),"SIM","")</f>
        <v/>
      </c>
      <c r="Q403" s="92">
        <f>IF(AND(ISNUMBER(SEARCH("Espeto",N403)),ISNUMBER(SEARCH("Tatuapé",N403))),"SIM","")</f>
        <v/>
      </c>
      <c r="R403" s="92">
        <f>IF(AND(ISNUMBER(SEARCH("Espeto",N403)),ISNUMBER(SEARCH("Pavão",N403))),"SIM","")</f>
        <v/>
      </c>
      <c r="S403" s="92">
        <f>IF(AND(ISNUMBER(SEARCH("Espeto",N403)),ISNUMBER(SEARCH("Chac",N403))),"SIM","")</f>
        <v/>
      </c>
      <c r="T403" s="92">
        <f>IF(AND(ISNUMBER(SEARCH("Espeto",N403)),ISNUMBER(SEARCH("Madalena",N403))),"SIM","")</f>
        <v/>
      </c>
      <c r="U403" s="92">
        <f>IF(AND(ISNUMBER(SEARCH("Espeto",N403)),ISNUMBER(SEARCH("Mariana",N403))),"SIM","")</f>
        <v/>
      </c>
      <c r="V403" s="92">
        <f>IF(AND(ISNUMBER(SEARCH("Espeto",N403)),ISNUMBER(SEARCH("Perdizes",N403))),"SIM","")</f>
        <v/>
      </c>
      <c r="W403" s="92">
        <f>IF(AND(ISNUMBER(SEARCH("Espeto",N403)),ISNUMBER(SEARCH("Santana",N403))),"SIM","")</f>
        <v/>
      </c>
      <c r="X403" s="92">
        <f>IF(AND(ISNUMBER(SEARCH("Espeto",N403)),ISNUMBER(SEARCH("André",N403))),"SIM","")</f>
        <v/>
      </c>
      <c r="Y403" s="92">
        <f>IF(AND(ISNUMBER(SEARCH("Delivery",N403)),ISNUMBER(SEARCH("Carin",N403))),"SIM","")</f>
        <v/>
      </c>
      <c r="Z403" s="92">
        <f>IF(AND(ISNUMBER(SEARCH("Delivery",N403)),ISNUMBER(SEARCH("Lapa",N403))),"SIM","")</f>
        <v/>
      </c>
      <c r="AA403" s="92">
        <f>IF(AND(ISNUMBER(SEARCH("Delivery",N403)),ISNUMBER(SEARCH("Tatuapé",N403))),"SIM","")</f>
        <v/>
      </c>
      <c r="AB403" s="92">
        <f>IF(AND(ISNUMBER(SEARCH("Delivery",N403)),ISNUMBER(SEARCH("Pavão",N403))),"SIM","")</f>
        <v/>
      </c>
      <c r="AC403" s="92">
        <f>IF(AND(ISNUMBER(SEARCH("Delivery",N403)),ISNUMBER(SEARCH("Chac",N403))),"SIM","")</f>
        <v/>
      </c>
      <c r="AD403" s="92">
        <f>IF(AND(ISNUMBER(SEARCH("Delivery",N403)),ISNUMBER(SEARCH("Madalena",N403))),"SIM","")</f>
        <v/>
      </c>
      <c r="AE403" s="92">
        <f>IF(AND(ISNUMBER(SEARCH("Delivery",N403)),ISNUMBER(SEARCH("Mariana",N403))),"SIM","")</f>
        <v/>
      </c>
      <c r="AF403" s="92">
        <f>IF(AND(ISNUMBER(SEARCH("Delivery",N403)),ISNUMBER(SEARCH("Perdizes",N403))),"SIM","")</f>
        <v/>
      </c>
      <c r="AG403" s="92">
        <f>IF(AND(ISNUMBER(SEARCH("Delivery",N403)),ISNUMBER(SEARCH("Santana",N403))),"SIM","")</f>
        <v/>
      </c>
      <c r="AH403" s="92">
        <f>IF(AND(ISNUMBER(SEARCH("Delivery",N403)),ISNUMBER(SEARCH("André",N403))),"SIM","")</f>
        <v/>
      </c>
      <c r="AI403" s="92">
        <f>IF(ISNUMBER(SEARCH("Interlagos",N403)),"SIM","")</f>
        <v/>
      </c>
      <c r="AJ403" s="92">
        <f>IF(ISNUMBER(SEARCH("Quiosque",N403)),"SIM","")</f>
        <v/>
      </c>
      <c r="AK403" s="93" t="n"/>
    </row>
    <row r="404">
      <c r="A404" s="88" t="inlineStr">
        <is>
          <t>Protheus</t>
        </is>
      </c>
      <c r="B404" s="96" t="inlineStr">
        <is>
          <t>001210</t>
        </is>
      </c>
      <c r="C404" s="97">
        <f>IF(B404="—","—",IFERROR(VLOOKUP(B404,_Protheus_Cadastro!$A:$B,2,FALSE),"—"))</f>
        <v/>
      </c>
      <c r="D404" s="98">
        <f>IF(B404="—",IFERROR(INDEX(_ZIG_Cadastro!$D:$D,MATCH(H404,_ZIG_Cadastro!$A:$A,0)),"Produto"),IFERROR(VLOOKUP(B404,_Protheus_Cadastro!$A:$C,3,FALSE),"—"))</f>
        <v/>
      </c>
      <c r="E404" s="98">
        <f>IF(B404="—","—",IFERROR(VLOOKUP(B404,_Protheus_Cadastro!$A:$D,4,FALSE),"—"))</f>
        <v/>
      </c>
      <c r="F404" s="98">
        <f>IF(ISERROR(VLOOKUP(B404,'Estrutura Protheus'!A:A,1,FALSE)),"Não","Sim")</f>
        <v/>
      </c>
      <c r="G404" s="99">
        <f>IFERROR(INDEX(_Protheus_Cadastro!$H:$H,MATCH(B404,_Protheus_Cadastro!$A:$A,0)),"—")</f>
        <v/>
      </c>
      <c r="H404" s="211">
        <f>IFERROR(INDEX(_ZIG_Precos!$D:$D,MATCH(I404,_ZIG_Precos!$F:$F,0)),"—")</f>
        <v/>
      </c>
      <c r="I404" s="103">
        <f>IFERROR(VLOOKUP(B404,_Protheus_Cadastro!$A:$I,9,FALSE),"—")</f>
        <v/>
      </c>
      <c r="J404" s="101">
        <f>IFERROR(INDEX(_ZIG_Cadastro!$B:$B,MATCH(I404,_ZIG_Cadastro!$A:$A,0)),IFERROR(INDEX(_Entradas_ZIG!$B:$B,MATCH(I404,_Entradas_ZIG!$C:$C,0)),"—"))</f>
        <v/>
      </c>
      <c r="K404" s="101">
        <f>IFERROR(INDEX(_ZIG_Cadastro!$C:$C,MATCH(I404,_ZIG_Cadastro!$A:$A,0)),IFERROR(INDEX(_Entradas_ZIG!$D:$D,MATCH(I404,_Entradas_ZIG!$C:$C,0)),"—"))</f>
        <v/>
      </c>
      <c r="L404" s="99">
        <f>IF(I404="","Sem SKU ZIG",IF(I404="—","Sem SKU ZIG",IF(NOT(ISERROR(MATCH(I404,_ZIG_Cadastro!$A:$A,0))),IF(EXACT(UPPER(TRIM(C404)),UPPER(TRIM(INDEX(_ZIG_Cadastro!$B:$B,MATCH(I404,_ZIG_Cadastro!$A:$A,0))))),"OK","Atencao - Nome diverge"),IF(NOT(ISERROR(MATCH(I404,_Entradas_ZIG!$C:$C,0))),"OK","Erro - SKU nao encontrado"))))</f>
        <v/>
      </c>
      <c r="M404" s="99">
        <f>IFERROR(INDEX(_ZIG_Cadastro!$G:$G,MATCH(I404,_ZIG_Cadastro!$A:$A,0)),IF(NOT(ISERROR(MATCH(I404,_Entradas_ZIG!$C:$C,0))),"Ativo","—"))</f>
        <v/>
      </c>
      <c r="N404" s="102">
        <f>IFERROR(INDEX(_ZIG_Cadastro!$E:$E,MATCH(I404,_ZIG_Cadastro!$A:$A,0)),IFERROR(INDEX(_Entradas_ZIG!$F:$F,MATCH(I404,_Entradas_ZIG!$C:$C,0)),"—"))</f>
        <v/>
      </c>
      <c r="O404" s="99">
        <f>IF(AND(ISNUMBER(SEARCH("Espeto",N404)),ISNUMBER(SEARCH("Carin",N404))),"SIM","")</f>
        <v/>
      </c>
      <c r="P404" s="99">
        <f>IF(AND(ISNUMBER(SEARCH("Espeto",N404)),ISNUMBER(SEARCH("Lapa",N404))),"SIM","")</f>
        <v/>
      </c>
      <c r="Q404" s="99">
        <f>IF(AND(ISNUMBER(SEARCH("Espeto",N404)),ISNUMBER(SEARCH("Tatuapé",N404))),"SIM","")</f>
        <v/>
      </c>
      <c r="R404" s="99">
        <f>IF(AND(ISNUMBER(SEARCH("Espeto",N404)),ISNUMBER(SEARCH("Pavão",N404))),"SIM","")</f>
        <v/>
      </c>
      <c r="S404" s="99">
        <f>IF(AND(ISNUMBER(SEARCH("Espeto",N404)),ISNUMBER(SEARCH("Chac",N404))),"SIM","")</f>
        <v/>
      </c>
      <c r="T404" s="99">
        <f>IF(AND(ISNUMBER(SEARCH("Espeto",N404)),ISNUMBER(SEARCH("Madalena",N404))),"SIM","")</f>
        <v/>
      </c>
      <c r="U404" s="99">
        <f>IF(AND(ISNUMBER(SEARCH("Espeto",N404)),ISNUMBER(SEARCH("Mariana",N404))),"SIM","")</f>
        <v/>
      </c>
      <c r="V404" s="99">
        <f>IF(AND(ISNUMBER(SEARCH("Espeto",N404)),ISNUMBER(SEARCH("Perdizes",N404))),"SIM","")</f>
        <v/>
      </c>
      <c r="W404" s="99">
        <f>IF(AND(ISNUMBER(SEARCH("Espeto",N404)),ISNUMBER(SEARCH("Santana",N404))),"SIM","")</f>
        <v/>
      </c>
      <c r="X404" s="99">
        <f>IF(AND(ISNUMBER(SEARCH("Espeto",N404)),ISNUMBER(SEARCH("André",N404))),"SIM","")</f>
        <v/>
      </c>
      <c r="Y404" s="99">
        <f>IF(AND(ISNUMBER(SEARCH("Delivery",N404)),ISNUMBER(SEARCH("Carin",N404))),"SIM","")</f>
        <v/>
      </c>
      <c r="Z404" s="99">
        <f>IF(AND(ISNUMBER(SEARCH("Delivery",N404)),ISNUMBER(SEARCH("Lapa",N404))),"SIM","")</f>
        <v/>
      </c>
      <c r="AA404" s="99">
        <f>IF(AND(ISNUMBER(SEARCH("Delivery",N404)),ISNUMBER(SEARCH("Tatuapé",N404))),"SIM","")</f>
        <v/>
      </c>
      <c r="AB404" s="99">
        <f>IF(AND(ISNUMBER(SEARCH("Delivery",N404)),ISNUMBER(SEARCH("Pavão",N404))),"SIM","")</f>
        <v/>
      </c>
      <c r="AC404" s="99">
        <f>IF(AND(ISNUMBER(SEARCH("Delivery",N404)),ISNUMBER(SEARCH("Chac",N404))),"SIM","")</f>
        <v/>
      </c>
      <c r="AD404" s="99">
        <f>IF(AND(ISNUMBER(SEARCH("Delivery",N404)),ISNUMBER(SEARCH("Madalena",N404))),"SIM","")</f>
        <v/>
      </c>
      <c r="AE404" s="99">
        <f>IF(AND(ISNUMBER(SEARCH("Delivery",N404)),ISNUMBER(SEARCH("Mariana",N404))),"SIM","")</f>
        <v/>
      </c>
      <c r="AF404" s="99">
        <f>IF(AND(ISNUMBER(SEARCH("Delivery",N404)),ISNUMBER(SEARCH("Perdizes",N404))),"SIM","")</f>
        <v/>
      </c>
      <c r="AG404" s="99">
        <f>IF(AND(ISNUMBER(SEARCH("Delivery",N404)),ISNUMBER(SEARCH("Santana",N404))),"SIM","")</f>
        <v/>
      </c>
      <c r="AH404" s="99">
        <f>IF(AND(ISNUMBER(SEARCH("Delivery",N404)),ISNUMBER(SEARCH("André",N404))),"SIM","")</f>
        <v/>
      </c>
      <c r="AI404" s="99">
        <f>IF(ISNUMBER(SEARCH("Interlagos",N404)),"SIM","")</f>
        <v/>
      </c>
      <c r="AJ404" s="99">
        <f>IF(ISNUMBER(SEARCH("Quiosque",N404)),"SIM","")</f>
        <v/>
      </c>
      <c r="AK404" s="101" t="n"/>
    </row>
    <row r="405">
      <c r="A405" s="88" t="inlineStr">
        <is>
          <t>Protheus</t>
        </is>
      </c>
      <c r="B405" s="89" t="inlineStr">
        <is>
          <t>001201</t>
        </is>
      </c>
      <c r="C405" s="90">
        <f>IF(B405="—","—",IFERROR(VLOOKUP(B405,_Protheus_Cadastro!$A:$B,2,FALSE),"—"))</f>
        <v/>
      </c>
      <c r="D405" s="91">
        <f>IF(B405="—",IFERROR(INDEX(_ZIG_Cadastro!$D:$D,MATCH(H405,_ZIG_Cadastro!$A:$A,0)),"Produto"),IFERROR(VLOOKUP(B405,_Protheus_Cadastro!$A:$C,3,FALSE),"—"))</f>
        <v/>
      </c>
      <c r="E405" s="91">
        <f>IF(B405="—","—",IFERROR(VLOOKUP(B405,_Protheus_Cadastro!$A:$D,4,FALSE),"—"))</f>
        <v/>
      </c>
      <c r="F405" s="91">
        <f>IF(ISERROR(VLOOKUP(B405,'Estrutura Protheus'!A:A,1,FALSE)),"Não","Sim")</f>
        <v/>
      </c>
      <c r="G405" s="92">
        <f>IFERROR(INDEX(_Protheus_Cadastro!$H:$H,MATCH(B405,_Protheus_Cadastro!$A:$A,0)),"—")</f>
        <v/>
      </c>
      <c r="H405" s="210">
        <f>IFERROR(INDEX(_ZIG_Precos!$D:$D,MATCH(I405,_ZIG_Precos!$F:$F,0)),"—")</f>
        <v/>
      </c>
      <c r="I405" s="95">
        <f>IFERROR(VLOOKUP(B405,_Protheus_Cadastro!$A:$I,9,FALSE),"—")</f>
        <v/>
      </c>
      <c r="J405" s="93">
        <f>IFERROR(INDEX(_ZIG_Cadastro!$B:$B,MATCH(I405,_ZIG_Cadastro!$A:$A,0)),IFERROR(INDEX(_Entradas_ZIG!$B:$B,MATCH(I405,_Entradas_ZIG!$C:$C,0)),"—"))</f>
        <v/>
      </c>
      <c r="K405" s="93">
        <f>IFERROR(INDEX(_ZIG_Cadastro!$C:$C,MATCH(I405,_ZIG_Cadastro!$A:$A,0)),IFERROR(INDEX(_Entradas_ZIG!$D:$D,MATCH(I405,_Entradas_ZIG!$C:$C,0)),"—"))</f>
        <v/>
      </c>
      <c r="L405" s="92">
        <f>IF(I405="","Sem SKU ZIG",IF(I405="—","Sem SKU ZIG",IF(NOT(ISERROR(MATCH(I405,_ZIG_Cadastro!$A:$A,0))),IF(EXACT(UPPER(TRIM(C405)),UPPER(TRIM(INDEX(_ZIG_Cadastro!$B:$B,MATCH(I405,_ZIG_Cadastro!$A:$A,0))))),"OK","Atencao - Nome diverge"),IF(NOT(ISERROR(MATCH(I405,_Entradas_ZIG!$C:$C,0))),"OK","Erro - SKU nao encontrado"))))</f>
        <v/>
      </c>
      <c r="M405" s="92">
        <f>IFERROR(INDEX(_ZIG_Cadastro!$G:$G,MATCH(I405,_ZIG_Cadastro!$A:$A,0)),IF(NOT(ISERROR(MATCH(I405,_Entradas_ZIG!$C:$C,0))),"Ativo","—"))</f>
        <v/>
      </c>
      <c r="N405" s="94">
        <f>IFERROR(INDEX(_ZIG_Cadastro!$E:$E,MATCH(I405,_ZIG_Cadastro!$A:$A,0)),IFERROR(INDEX(_Entradas_ZIG!$F:$F,MATCH(I405,_Entradas_ZIG!$C:$C,0)),"—"))</f>
        <v/>
      </c>
      <c r="O405" s="92">
        <f>IF(AND(ISNUMBER(SEARCH("Espeto",N405)),ISNUMBER(SEARCH("Carin",N405))),"SIM","")</f>
        <v/>
      </c>
      <c r="P405" s="92">
        <f>IF(AND(ISNUMBER(SEARCH("Espeto",N405)),ISNUMBER(SEARCH("Lapa",N405))),"SIM","")</f>
        <v/>
      </c>
      <c r="Q405" s="92">
        <f>IF(AND(ISNUMBER(SEARCH("Espeto",N405)),ISNUMBER(SEARCH("Tatuapé",N405))),"SIM","")</f>
        <v/>
      </c>
      <c r="R405" s="92">
        <f>IF(AND(ISNUMBER(SEARCH("Espeto",N405)),ISNUMBER(SEARCH("Pavão",N405))),"SIM","")</f>
        <v/>
      </c>
      <c r="S405" s="92">
        <f>IF(AND(ISNUMBER(SEARCH("Espeto",N405)),ISNUMBER(SEARCH("Chac",N405))),"SIM","")</f>
        <v/>
      </c>
      <c r="T405" s="92">
        <f>IF(AND(ISNUMBER(SEARCH("Espeto",N405)),ISNUMBER(SEARCH("Madalena",N405))),"SIM","")</f>
        <v/>
      </c>
      <c r="U405" s="92">
        <f>IF(AND(ISNUMBER(SEARCH("Espeto",N405)),ISNUMBER(SEARCH("Mariana",N405))),"SIM","")</f>
        <v/>
      </c>
      <c r="V405" s="92">
        <f>IF(AND(ISNUMBER(SEARCH("Espeto",N405)),ISNUMBER(SEARCH("Perdizes",N405))),"SIM","")</f>
        <v/>
      </c>
      <c r="W405" s="92">
        <f>IF(AND(ISNUMBER(SEARCH("Espeto",N405)),ISNUMBER(SEARCH("Santana",N405))),"SIM","")</f>
        <v/>
      </c>
      <c r="X405" s="92">
        <f>IF(AND(ISNUMBER(SEARCH("Espeto",N405)),ISNUMBER(SEARCH("André",N405))),"SIM","")</f>
        <v/>
      </c>
      <c r="Y405" s="92">
        <f>IF(AND(ISNUMBER(SEARCH("Delivery",N405)),ISNUMBER(SEARCH("Carin",N405))),"SIM","")</f>
        <v/>
      </c>
      <c r="Z405" s="92">
        <f>IF(AND(ISNUMBER(SEARCH("Delivery",N405)),ISNUMBER(SEARCH("Lapa",N405))),"SIM","")</f>
        <v/>
      </c>
      <c r="AA405" s="92">
        <f>IF(AND(ISNUMBER(SEARCH("Delivery",N405)),ISNUMBER(SEARCH("Tatuapé",N405))),"SIM","")</f>
        <v/>
      </c>
      <c r="AB405" s="92">
        <f>IF(AND(ISNUMBER(SEARCH("Delivery",N405)),ISNUMBER(SEARCH("Pavão",N405))),"SIM","")</f>
        <v/>
      </c>
      <c r="AC405" s="92">
        <f>IF(AND(ISNUMBER(SEARCH("Delivery",N405)),ISNUMBER(SEARCH("Chac",N405))),"SIM","")</f>
        <v/>
      </c>
      <c r="AD405" s="92">
        <f>IF(AND(ISNUMBER(SEARCH("Delivery",N405)),ISNUMBER(SEARCH("Madalena",N405))),"SIM","")</f>
        <v/>
      </c>
      <c r="AE405" s="92">
        <f>IF(AND(ISNUMBER(SEARCH("Delivery",N405)),ISNUMBER(SEARCH("Mariana",N405))),"SIM","")</f>
        <v/>
      </c>
      <c r="AF405" s="92">
        <f>IF(AND(ISNUMBER(SEARCH("Delivery",N405)),ISNUMBER(SEARCH("Perdizes",N405))),"SIM","")</f>
        <v/>
      </c>
      <c r="AG405" s="92">
        <f>IF(AND(ISNUMBER(SEARCH("Delivery",N405)),ISNUMBER(SEARCH("Santana",N405))),"SIM","")</f>
        <v/>
      </c>
      <c r="AH405" s="92">
        <f>IF(AND(ISNUMBER(SEARCH("Delivery",N405)),ISNUMBER(SEARCH("André",N405))),"SIM","")</f>
        <v/>
      </c>
      <c r="AI405" s="92">
        <f>IF(ISNUMBER(SEARCH("Interlagos",N405)),"SIM","")</f>
        <v/>
      </c>
      <c r="AJ405" s="92">
        <f>IF(ISNUMBER(SEARCH("Quiosque",N405)),"SIM","")</f>
        <v/>
      </c>
      <c r="AK405" s="93" t="n"/>
    </row>
    <row r="406">
      <c r="A406" s="88" t="inlineStr">
        <is>
          <t>Protheus</t>
        </is>
      </c>
      <c r="B406" s="96" t="inlineStr">
        <is>
          <t>001323</t>
        </is>
      </c>
      <c r="C406" s="97">
        <f>IF(B406="—","—",IFERROR(VLOOKUP(B406,_Protheus_Cadastro!$A:$B,2,FALSE),"—"))</f>
        <v/>
      </c>
      <c r="D406" s="98">
        <f>IF(B406="—",IFERROR(INDEX(_ZIG_Cadastro!$D:$D,MATCH(H406,_ZIG_Cadastro!$A:$A,0)),"Produto"),IFERROR(VLOOKUP(B406,_Protheus_Cadastro!$A:$C,3,FALSE),"—"))</f>
        <v/>
      </c>
      <c r="E406" s="98">
        <f>IF(B406="—","—",IFERROR(VLOOKUP(B406,_Protheus_Cadastro!$A:$D,4,FALSE),"—"))</f>
        <v/>
      </c>
      <c r="F406" s="98">
        <f>IF(ISERROR(VLOOKUP(B406,'Estrutura Protheus'!A:A,1,FALSE)),"Não","Sim")</f>
        <v/>
      </c>
      <c r="G406" s="99">
        <f>IFERROR(INDEX(_Protheus_Cadastro!$H:$H,MATCH(B406,_Protheus_Cadastro!$A:$A,0)),"—")</f>
        <v/>
      </c>
      <c r="H406" s="211">
        <f>IFERROR(INDEX(_ZIG_Precos!$D:$D,MATCH(I406,_ZIG_Precos!$F:$F,0)),"—")</f>
        <v/>
      </c>
      <c r="I406" s="103">
        <f>IFERROR(VLOOKUP(B406,_Protheus_Cadastro!$A:$I,9,FALSE),"—")</f>
        <v/>
      </c>
      <c r="J406" s="101">
        <f>IFERROR(INDEX(_ZIG_Cadastro!$B:$B,MATCH(I406,_ZIG_Cadastro!$A:$A,0)),IFERROR(INDEX(_Entradas_ZIG!$B:$B,MATCH(I406,_Entradas_ZIG!$C:$C,0)),"—"))</f>
        <v/>
      </c>
      <c r="K406" s="101">
        <f>IFERROR(INDEX(_ZIG_Cadastro!$C:$C,MATCH(I406,_ZIG_Cadastro!$A:$A,0)),IFERROR(INDEX(_Entradas_ZIG!$D:$D,MATCH(I406,_Entradas_ZIG!$C:$C,0)),"—"))</f>
        <v/>
      </c>
      <c r="L406" s="99">
        <f>IF(I406="","Sem SKU ZIG",IF(I406="—","Sem SKU ZIG",IF(NOT(ISERROR(MATCH(I406,_ZIG_Cadastro!$A:$A,0))),IF(EXACT(UPPER(TRIM(C406)),UPPER(TRIM(INDEX(_ZIG_Cadastro!$B:$B,MATCH(I406,_ZIG_Cadastro!$A:$A,0))))),"OK","Atencao - Nome diverge"),IF(NOT(ISERROR(MATCH(I406,_Entradas_ZIG!$C:$C,0))),"OK","Erro - SKU nao encontrado"))))</f>
        <v/>
      </c>
      <c r="M406" s="99">
        <f>IFERROR(INDEX(_ZIG_Cadastro!$G:$G,MATCH(I406,_ZIG_Cadastro!$A:$A,0)),IF(NOT(ISERROR(MATCH(I406,_Entradas_ZIG!$C:$C,0))),"Ativo","—"))</f>
        <v/>
      </c>
      <c r="N406" s="102">
        <f>IFERROR(INDEX(_ZIG_Cadastro!$E:$E,MATCH(I406,_ZIG_Cadastro!$A:$A,0)),IFERROR(INDEX(_Entradas_ZIG!$F:$F,MATCH(I406,_Entradas_ZIG!$C:$C,0)),"—"))</f>
        <v/>
      </c>
      <c r="O406" s="99">
        <f>IF(AND(ISNUMBER(SEARCH("Espeto",N406)),ISNUMBER(SEARCH("Carin",N406))),"SIM","")</f>
        <v/>
      </c>
      <c r="P406" s="99">
        <f>IF(AND(ISNUMBER(SEARCH("Espeto",N406)),ISNUMBER(SEARCH("Lapa",N406))),"SIM","")</f>
        <v/>
      </c>
      <c r="Q406" s="99">
        <f>IF(AND(ISNUMBER(SEARCH("Espeto",N406)),ISNUMBER(SEARCH("Tatuapé",N406))),"SIM","")</f>
        <v/>
      </c>
      <c r="R406" s="99">
        <f>IF(AND(ISNUMBER(SEARCH("Espeto",N406)),ISNUMBER(SEARCH("Pavão",N406))),"SIM","")</f>
        <v/>
      </c>
      <c r="S406" s="99">
        <f>IF(AND(ISNUMBER(SEARCH("Espeto",N406)),ISNUMBER(SEARCH("Chac",N406))),"SIM","")</f>
        <v/>
      </c>
      <c r="T406" s="99">
        <f>IF(AND(ISNUMBER(SEARCH("Espeto",N406)),ISNUMBER(SEARCH("Madalena",N406))),"SIM","")</f>
        <v/>
      </c>
      <c r="U406" s="99">
        <f>IF(AND(ISNUMBER(SEARCH("Espeto",N406)),ISNUMBER(SEARCH("Mariana",N406))),"SIM","")</f>
        <v/>
      </c>
      <c r="V406" s="99">
        <f>IF(AND(ISNUMBER(SEARCH("Espeto",N406)),ISNUMBER(SEARCH("Perdizes",N406))),"SIM","")</f>
        <v/>
      </c>
      <c r="W406" s="99">
        <f>IF(AND(ISNUMBER(SEARCH("Espeto",N406)),ISNUMBER(SEARCH("Santana",N406))),"SIM","")</f>
        <v/>
      </c>
      <c r="X406" s="99">
        <f>IF(AND(ISNUMBER(SEARCH("Espeto",N406)),ISNUMBER(SEARCH("André",N406))),"SIM","")</f>
        <v/>
      </c>
      <c r="Y406" s="99">
        <f>IF(AND(ISNUMBER(SEARCH("Delivery",N406)),ISNUMBER(SEARCH("Carin",N406))),"SIM","")</f>
        <v/>
      </c>
      <c r="Z406" s="99">
        <f>IF(AND(ISNUMBER(SEARCH("Delivery",N406)),ISNUMBER(SEARCH("Lapa",N406))),"SIM","")</f>
        <v/>
      </c>
      <c r="AA406" s="99">
        <f>IF(AND(ISNUMBER(SEARCH("Delivery",N406)),ISNUMBER(SEARCH("Tatuapé",N406))),"SIM","")</f>
        <v/>
      </c>
      <c r="AB406" s="99">
        <f>IF(AND(ISNUMBER(SEARCH("Delivery",N406)),ISNUMBER(SEARCH("Pavão",N406))),"SIM","")</f>
        <v/>
      </c>
      <c r="AC406" s="99">
        <f>IF(AND(ISNUMBER(SEARCH("Delivery",N406)),ISNUMBER(SEARCH("Chac",N406))),"SIM","")</f>
        <v/>
      </c>
      <c r="AD406" s="99">
        <f>IF(AND(ISNUMBER(SEARCH("Delivery",N406)),ISNUMBER(SEARCH("Madalena",N406))),"SIM","")</f>
        <v/>
      </c>
      <c r="AE406" s="99">
        <f>IF(AND(ISNUMBER(SEARCH("Delivery",N406)),ISNUMBER(SEARCH("Mariana",N406))),"SIM","")</f>
        <v/>
      </c>
      <c r="AF406" s="99">
        <f>IF(AND(ISNUMBER(SEARCH("Delivery",N406)),ISNUMBER(SEARCH("Perdizes",N406))),"SIM","")</f>
        <v/>
      </c>
      <c r="AG406" s="99">
        <f>IF(AND(ISNUMBER(SEARCH("Delivery",N406)),ISNUMBER(SEARCH("Santana",N406))),"SIM","")</f>
        <v/>
      </c>
      <c r="AH406" s="99">
        <f>IF(AND(ISNUMBER(SEARCH("Delivery",N406)),ISNUMBER(SEARCH("André",N406))),"SIM","")</f>
        <v/>
      </c>
      <c r="AI406" s="99">
        <f>IF(ISNUMBER(SEARCH("Interlagos",N406)),"SIM","")</f>
        <v/>
      </c>
      <c r="AJ406" s="99">
        <f>IF(ISNUMBER(SEARCH("Quiosque",N406)),"SIM","")</f>
        <v/>
      </c>
      <c r="AK406" s="101" t="n"/>
    </row>
    <row r="407">
      <c r="A407" s="88" t="inlineStr">
        <is>
          <t>Protheus</t>
        </is>
      </c>
      <c r="B407" s="89" t="inlineStr">
        <is>
          <t>001321</t>
        </is>
      </c>
      <c r="C407" s="90">
        <f>IF(B407="—","—",IFERROR(VLOOKUP(B407,_Protheus_Cadastro!$A:$B,2,FALSE),"—"))</f>
        <v/>
      </c>
      <c r="D407" s="91">
        <f>IF(B407="—",IFERROR(INDEX(_ZIG_Cadastro!$D:$D,MATCH(H407,_ZIG_Cadastro!$A:$A,0)),"Produto"),IFERROR(VLOOKUP(B407,_Protheus_Cadastro!$A:$C,3,FALSE),"—"))</f>
        <v/>
      </c>
      <c r="E407" s="91">
        <f>IF(B407="—","—",IFERROR(VLOOKUP(B407,_Protheus_Cadastro!$A:$D,4,FALSE),"—"))</f>
        <v/>
      </c>
      <c r="F407" s="91">
        <f>IF(ISERROR(VLOOKUP(B407,'Estrutura Protheus'!A:A,1,FALSE)),"Não","Sim")</f>
        <v/>
      </c>
      <c r="G407" s="92">
        <f>IFERROR(INDEX(_Protheus_Cadastro!$H:$H,MATCH(B407,_Protheus_Cadastro!$A:$A,0)),"—")</f>
        <v/>
      </c>
      <c r="H407" s="210">
        <f>IFERROR(INDEX(_ZIG_Precos!$D:$D,MATCH(I407,_ZIG_Precos!$F:$F,0)),"—")</f>
        <v/>
      </c>
      <c r="I407" s="95">
        <f>IFERROR(VLOOKUP(B407,_Protheus_Cadastro!$A:$I,9,FALSE),"—")</f>
        <v/>
      </c>
      <c r="J407" s="93">
        <f>IFERROR(INDEX(_ZIG_Cadastro!$B:$B,MATCH(I407,_ZIG_Cadastro!$A:$A,0)),IFERROR(INDEX(_Entradas_ZIG!$B:$B,MATCH(I407,_Entradas_ZIG!$C:$C,0)),"—"))</f>
        <v/>
      </c>
      <c r="K407" s="93">
        <f>IFERROR(INDEX(_ZIG_Cadastro!$C:$C,MATCH(I407,_ZIG_Cadastro!$A:$A,0)),IFERROR(INDEX(_Entradas_ZIG!$D:$D,MATCH(I407,_Entradas_ZIG!$C:$C,0)),"—"))</f>
        <v/>
      </c>
      <c r="L407" s="92">
        <f>IF(I407="","Sem SKU ZIG",IF(I407="—","Sem SKU ZIG",IF(NOT(ISERROR(MATCH(I407,_ZIG_Cadastro!$A:$A,0))),IF(EXACT(UPPER(TRIM(C407)),UPPER(TRIM(INDEX(_ZIG_Cadastro!$B:$B,MATCH(I407,_ZIG_Cadastro!$A:$A,0))))),"OK","Atencao - Nome diverge"),IF(NOT(ISERROR(MATCH(I407,_Entradas_ZIG!$C:$C,0))),"OK","Erro - SKU nao encontrado"))))</f>
        <v/>
      </c>
      <c r="M407" s="92">
        <f>IFERROR(INDEX(_ZIG_Cadastro!$G:$G,MATCH(I407,_ZIG_Cadastro!$A:$A,0)),IF(NOT(ISERROR(MATCH(I407,_Entradas_ZIG!$C:$C,0))),"Ativo","—"))</f>
        <v/>
      </c>
      <c r="N407" s="94">
        <f>IFERROR(INDEX(_ZIG_Cadastro!$E:$E,MATCH(I407,_ZIG_Cadastro!$A:$A,0)),IFERROR(INDEX(_Entradas_ZIG!$F:$F,MATCH(I407,_Entradas_ZIG!$C:$C,0)),"—"))</f>
        <v/>
      </c>
      <c r="O407" s="92">
        <f>IF(AND(ISNUMBER(SEARCH("Espeto",N407)),ISNUMBER(SEARCH("Carin",N407))),"SIM","")</f>
        <v/>
      </c>
      <c r="P407" s="92">
        <f>IF(AND(ISNUMBER(SEARCH("Espeto",N407)),ISNUMBER(SEARCH("Lapa",N407))),"SIM","")</f>
        <v/>
      </c>
      <c r="Q407" s="92">
        <f>IF(AND(ISNUMBER(SEARCH("Espeto",N407)),ISNUMBER(SEARCH("Tatuapé",N407))),"SIM","")</f>
        <v/>
      </c>
      <c r="R407" s="92">
        <f>IF(AND(ISNUMBER(SEARCH("Espeto",N407)),ISNUMBER(SEARCH("Pavão",N407))),"SIM","")</f>
        <v/>
      </c>
      <c r="S407" s="92">
        <f>IF(AND(ISNUMBER(SEARCH("Espeto",N407)),ISNUMBER(SEARCH("Chac",N407))),"SIM","")</f>
        <v/>
      </c>
      <c r="T407" s="92">
        <f>IF(AND(ISNUMBER(SEARCH("Espeto",N407)),ISNUMBER(SEARCH("Madalena",N407))),"SIM","")</f>
        <v/>
      </c>
      <c r="U407" s="92">
        <f>IF(AND(ISNUMBER(SEARCH("Espeto",N407)),ISNUMBER(SEARCH("Mariana",N407))),"SIM","")</f>
        <v/>
      </c>
      <c r="V407" s="92">
        <f>IF(AND(ISNUMBER(SEARCH("Espeto",N407)),ISNUMBER(SEARCH("Perdizes",N407))),"SIM","")</f>
        <v/>
      </c>
      <c r="W407" s="92">
        <f>IF(AND(ISNUMBER(SEARCH("Espeto",N407)),ISNUMBER(SEARCH("Santana",N407))),"SIM","")</f>
        <v/>
      </c>
      <c r="X407" s="92">
        <f>IF(AND(ISNUMBER(SEARCH("Espeto",N407)),ISNUMBER(SEARCH("André",N407))),"SIM","")</f>
        <v/>
      </c>
      <c r="Y407" s="92">
        <f>IF(AND(ISNUMBER(SEARCH("Delivery",N407)),ISNUMBER(SEARCH("Carin",N407))),"SIM","")</f>
        <v/>
      </c>
      <c r="Z407" s="92">
        <f>IF(AND(ISNUMBER(SEARCH("Delivery",N407)),ISNUMBER(SEARCH("Lapa",N407))),"SIM","")</f>
        <v/>
      </c>
      <c r="AA407" s="92">
        <f>IF(AND(ISNUMBER(SEARCH("Delivery",N407)),ISNUMBER(SEARCH("Tatuapé",N407))),"SIM","")</f>
        <v/>
      </c>
      <c r="AB407" s="92">
        <f>IF(AND(ISNUMBER(SEARCH("Delivery",N407)),ISNUMBER(SEARCH("Pavão",N407))),"SIM","")</f>
        <v/>
      </c>
      <c r="AC407" s="92">
        <f>IF(AND(ISNUMBER(SEARCH("Delivery",N407)),ISNUMBER(SEARCH("Chac",N407))),"SIM","")</f>
        <v/>
      </c>
      <c r="AD407" s="92">
        <f>IF(AND(ISNUMBER(SEARCH("Delivery",N407)),ISNUMBER(SEARCH("Madalena",N407))),"SIM","")</f>
        <v/>
      </c>
      <c r="AE407" s="92">
        <f>IF(AND(ISNUMBER(SEARCH("Delivery",N407)),ISNUMBER(SEARCH("Mariana",N407))),"SIM","")</f>
        <v/>
      </c>
      <c r="AF407" s="92">
        <f>IF(AND(ISNUMBER(SEARCH("Delivery",N407)),ISNUMBER(SEARCH("Perdizes",N407))),"SIM","")</f>
        <v/>
      </c>
      <c r="AG407" s="92">
        <f>IF(AND(ISNUMBER(SEARCH("Delivery",N407)),ISNUMBER(SEARCH("Santana",N407))),"SIM","")</f>
        <v/>
      </c>
      <c r="AH407" s="92">
        <f>IF(AND(ISNUMBER(SEARCH("Delivery",N407)),ISNUMBER(SEARCH("André",N407))),"SIM","")</f>
        <v/>
      </c>
      <c r="AI407" s="92">
        <f>IF(ISNUMBER(SEARCH("Interlagos",N407)),"SIM","")</f>
        <v/>
      </c>
      <c r="AJ407" s="92">
        <f>IF(ISNUMBER(SEARCH("Quiosque",N407)),"SIM","")</f>
        <v/>
      </c>
      <c r="AK407" s="93" t="n"/>
    </row>
    <row r="408">
      <c r="A408" s="88" t="inlineStr">
        <is>
          <t>Protheus</t>
        </is>
      </c>
      <c r="B408" s="96" t="inlineStr">
        <is>
          <t>002056</t>
        </is>
      </c>
      <c r="C408" s="97">
        <f>IF(B408="—","—",IFERROR(VLOOKUP(B408,_Protheus_Cadastro!$A:$B,2,FALSE),"—"))</f>
        <v/>
      </c>
      <c r="D408" s="98">
        <f>IF(B408="—",IFERROR(INDEX(_ZIG_Cadastro!$D:$D,MATCH(H408,_ZIG_Cadastro!$A:$A,0)),"Produto"),IFERROR(VLOOKUP(B408,_Protheus_Cadastro!$A:$C,3,FALSE),"—"))</f>
        <v/>
      </c>
      <c r="E408" s="98">
        <f>IF(B408="—","—",IFERROR(VLOOKUP(B408,_Protheus_Cadastro!$A:$D,4,FALSE),"—"))</f>
        <v/>
      </c>
      <c r="F408" s="98">
        <f>IF(ISERROR(VLOOKUP(B408,'Estrutura Protheus'!A:A,1,FALSE)),"Não","Sim")</f>
        <v/>
      </c>
      <c r="G408" s="99">
        <f>IFERROR(INDEX(_Protheus_Cadastro!$H:$H,MATCH(B408,_Protheus_Cadastro!$A:$A,0)),"—")</f>
        <v/>
      </c>
      <c r="H408" s="211">
        <f>IFERROR(INDEX(_ZIG_Precos!$D:$D,MATCH(I408,_ZIG_Precos!$F:$F,0)),"—")</f>
        <v/>
      </c>
      <c r="I408" s="103">
        <f>IFERROR(VLOOKUP(B408,_Protheus_Cadastro!$A:$I,9,FALSE),"—")</f>
        <v/>
      </c>
      <c r="J408" s="101">
        <f>IFERROR(INDEX(_ZIG_Cadastro!$B:$B,MATCH(I408,_ZIG_Cadastro!$A:$A,0)),IFERROR(INDEX(_Entradas_ZIG!$B:$B,MATCH(I408,_Entradas_ZIG!$C:$C,0)),"—"))</f>
        <v/>
      </c>
      <c r="K408" s="101">
        <f>IFERROR(INDEX(_ZIG_Cadastro!$C:$C,MATCH(I408,_ZIG_Cadastro!$A:$A,0)),IFERROR(INDEX(_Entradas_ZIG!$D:$D,MATCH(I408,_Entradas_ZIG!$C:$C,0)),"—"))</f>
        <v/>
      </c>
      <c r="L408" s="99">
        <f>IF(I408="","Sem SKU ZIG",IF(I408="—","Sem SKU ZIG",IF(NOT(ISERROR(MATCH(I408,_ZIG_Cadastro!$A:$A,0))),IF(EXACT(UPPER(TRIM(C408)),UPPER(TRIM(INDEX(_ZIG_Cadastro!$B:$B,MATCH(I408,_ZIG_Cadastro!$A:$A,0))))),"OK","Atencao - Nome diverge"),IF(NOT(ISERROR(MATCH(I408,_Entradas_ZIG!$C:$C,0))),"OK","Erro - SKU nao encontrado"))))</f>
        <v/>
      </c>
      <c r="M408" s="99">
        <f>IFERROR(INDEX(_ZIG_Cadastro!$G:$G,MATCH(I408,_ZIG_Cadastro!$A:$A,0)),IF(NOT(ISERROR(MATCH(I408,_Entradas_ZIG!$C:$C,0))),"Ativo","—"))</f>
        <v/>
      </c>
      <c r="N408" s="102">
        <f>IFERROR(INDEX(_ZIG_Cadastro!$E:$E,MATCH(I408,_ZIG_Cadastro!$A:$A,0)),IFERROR(INDEX(_Entradas_ZIG!$F:$F,MATCH(I408,_Entradas_ZIG!$C:$C,0)),"—"))</f>
        <v/>
      </c>
      <c r="O408" s="99">
        <f>IF(AND(ISNUMBER(SEARCH("Espeto",N408)),ISNUMBER(SEARCH("Carin",N408))),"SIM","")</f>
        <v/>
      </c>
      <c r="P408" s="99">
        <f>IF(AND(ISNUMBER(SEARCH("Espeto",N408)),ISNUMBER(SEARCH("Lapa",N408))),"SIM","")</f>
        <v/>
      </c>
      <c r="Q408" s="99">
        <f>IF(AND(ISNUMBER(SEARCH("Espeto",N408)),ISNUMBER(SEARCH("Tatuapé",N408))),"SIM","")</f>
        <v/>
      </c>
      <c r="R408" s="99">
        <f>IF(AND(ISNUMBER(SEARCH("Espeto",N408)),ISNUMBER(SEARCH("Pavão",N408))),"SIM","")</f>
        <v/>
      </c>
      <c r="S408" s="99">
        <f>IF(AND(ISNUMBER(SEARCH("Espeto",N408)),ISNUMBER(SEARCH("Chac",N408))),"SIM","")</f>
        <v/>
      </c>
      <c r="T408" s="99">
        <f>IF(AND(ISNUMBER(SEARCH("Espeto",N408)),ISNUMBER(SEARCH("Madalena",N408))),"SIM","")</f>
        <v/>
      </c>
      <c r="U408" s="99">
        <f>IF(AND(ISNUMBER(SEARCH("Espeto",N408)),ISNUMBER(SEARCH("Mariana",N408))),"SIM","")</f>
        <v/>
      </c>
      <c r="V408" s="99">
        <f>IF(AND(ISNUMBER(SEARCH("Espeto",N408)),ISNUMBER(SEARCH("Perdizes",N408))),"SIM","")</f>
        <v/>
      </c>
      <c r="W408" s="99">
        <f>IF(AND(ISNUMBER(SEARCH("Espeto",N408)),ISNUMBER(SEARCH("Santana",N408))),"SIM","")</f>
        <v/>
      </c>
      <c r="X408" s="99">
        <f>IF(AND(ISNUMBER(SEARCH("Espeto",N408)),ISNUMBER(SEARCH("André",N408))),"SIM","")</f>
        <v/>
      </c>
      <c r="Y408" s="99">
        <f>IF(AND(ISNUMBER(SEARCH("Delivery",N408)),ISNUMBER(SEARCH("Carin",N408))),"SIM","")</f>
        <v/>
      </c>
      <c r="Z408" s="99">
        <f>IF(AND(ISNUMBER(SEARCH("Delivery",N408)),ISNUMBER(SEARCH("Lapa",N408))),"SIM","")</f>
        <v/>
      </c>
      <c r="AA408" s="99">
        <f>IF(AND(ISNUMBER(SEARCH("Delivery",N408)),ISNUMBER(SEARCH("Tatuapé",N408))),"SIM","")</f>
        <v/>
      </c>
      <c r="AB408" s="99">
        <f>IF(AND(ISNUMBER(SEARCH("Delivery",N408)),ISNUMBER(SEARCH("Pavão",N408))),"SIM","")</f>
        <v/>
      </c>
      <c r="AC408" s="99">
        <f>IF(AND(ISNUMBER(SEARCH("Delivery",N408)),ISNUMBER(SEARCH("Chac",N408))),"SIM","")</f>
        <v/>
      </c>
      <c r="AD408" s="99">
        <f>IF(AND(ISNUMBER(SEARCH("Delivery",N408)),ISNUMBER(SEARCH("Madalena",N408))),"SIM","")</f>
        <v/>
      </c>
      <c r="AE408" s="99">
        <f>IF(AND(ISNUMBER(SEARCH("Delivery",N408)),ISNUMBER(SEARCH("Mariana",N408))),"SIM","")</f>
        <v/>
      </c>
      <c r="AF408" s="99">
        <f>IF(AND(ISNUMBER(SEARCH("Delivery",N408)),ISNUMBER(SEARCH("Perdizes",N408))),"SIM","")</f>
        <v/>
      </c>
      <c r="AG408" s="99">
        <f>IF(AND(ISNUMBER(SEARCH("Delivery",N408)),ISNUMBER(SEARCH("Santana",N408))),"SIM","")</f>
        <v/>
      </c>
      <c r="AH408" s="99">
        <f>IF(AND(ISNUMBER(SEARCH("Delivery",N408)),ISNUMBER(SEARCH("André",N408))),"SIM","")</f>
        <v/>
      </c>
      <c r="AI408" s="99">
        <f>IF(ISNUMBER(SEARCH("Interlagos",N408)),"SIM","")</f>
        <v/>
      </c>
      <c r="AJ408" s="99">
        <f>IF(ISNUMBER(SEARCH("Quiosque",N408)),"SIM","")</f>
        <v/>
      </c>
      <c r="AK408" s="101" t="n"/>
    </row>
    <row r="409">
      <c r="A409" s="88" t="inlineStr">
        <is>
          <t>Protheus</t>
        </is>
      </c>
      <c r="B409" s="89" t="inlineStr">
        <is>
          <t>002032</t>
        </is>
      </c>
      <c r="C409" s="90">
        <f>IF(B409="—","—",IFERROR(VLOOKUP(B409,_Protheus_Cadastro!$A:$B,2,FALSE),"—"))</f>
        <v/>
      </c>
      <c r="D409" s="91">
        <f>IF(B409="—",IFERROR(INDEX(_ZIG_Cadastro!$D:$D,MATCH(H409,_ZIG_Cadastro!$A:$A,0)),"Produto"),IFERROR(VLOOKUP(B409,_Protheus_Cadastro!$A:$C,3,FALSE),"—"))</f>
        <v/>
      </c>
      <c r="E409" s="91">
        <f>IF(B409="—","—",IFERROR(VLOOKUP(B409,_Protheus_Cadastro!$A:$D,4,FALSE),"—"))</f>
        <v/>
      </c>
      <c r="F409" s="91">
        <f>IF(ISERROR(VLOOKUP(B409,'Estrutura Protheus'!A:A,1,FALSE)),"Não","Sim")</f>
        <v/>
      </c>
      <c r="G409" s="92">
        <f>IFERROR(INDEX(_Protheus_Cadastro!$H:$H,MATCH(B409,_Protheus_Cadastro!$A:$A,0)),"—")</f>
        <v/>
      </c>
      <c r="H409" s="210">
        <f>IFERROR(INDEX(_ZIG_Precos!$D:$D,MATCH(I409,_ZIG_Precos!$F:$F,0)),"—")</f>
        <v/>
      </c>
      <c r="I409" s="95">
        <f>IFERROR(VLOOKUP(B409,_Protheus_Cadastro!$A:$I,9,FALSE),"—")</f>
        <v/>
      </c>
      <c r="J409" s="93">
        <f>IFERROR(INDEX(_ZIG_Cadastro!$B:$B,MATCH(I409,_ZIG_Cadastro!$A:$A,0)),IFERROR(INDEX(_Entradas_ZIG!$B:$B,MATCH(I409,_Entradas_ZIG!$C:$C,0)),"—"))</f>
        <v/>
      </c>
      <c r="K409" s="93">
        <f>IFERROR(INDEX(_ZIG_Cadastro!$C:$C,MATCH(I409,_ZIG_Cadastro!$A:$A,0)),IFERROR(INDEX(_Entradas_ZIG!$D:$D,MATCH(I409,_Entradas_ZIG!$C:$C,0)),"—"))</f>
        <v/>
      </c>
      <c r="L409" s="92">
        <f>IF(I409="","Sem SKU ZIG",IF(I409="—","Sem SKU ZIG",IF(NOT(ISERROR(MATCH(I409,_ZIG_Cadastro!$A:$A,0))),IF(EXACT(UPPER(TRIM(C409)),UPPER(TRIM(INDEX(_ZIG_Cadastro!$B:$B,MATCH(I409,_ZIG_Cadastro!$A:$A,0))))),"OK","Atencao - Nome diverge"),IF(NOT(ISERROR(MATCH(I409,_Entradas_ZIG!$C:$C,0))),"OK","Erro - SKU nao encontrado"))))</f>
        <v/>
      </c>
      <c r="M409" s="92">
        <f>IFERROR(INDEX(_ZIG_Cadastro!$G:$G,MATCH(I409,_ZIG_Cadastro!$A:$A,0)),IF(NOT(ISERROR(MATCH(I409,_Entradas_ZIG!$C:$C,0))),"Ativo","—"))</f>
        <v/>
      </c>
      <c r="N409" s="94">
        <f>IFERROR(INDEX(_ZIG_Cadastro!$E:$E,MATCH(I409,_ZIG_Cadastro!$A:$A,0)),IFERROR(INDEX(_Entradas_ZIG!$F:$F,MATCH(I409,_Entradas_ZIG!$C:$C,0)),"—"))</f>
        <v/>
      </c>
      <c r="O409" s="92">
        <f>IF(AND(ISNUMBER(SEARCH("Espeto",N409)),ISNUMBER(SEARCH("Carin",N409))),"SIM","")</f>
        <v/>
      </c>
      <c r="P409" s="92">
        <f>IF(AND(ISNUMBER(SEARCH("Espeto",N409)),ISNUMBER(SEARCH("Lapa",N409))),"SIM","")</f>
        <v/>
      </c>
      <c r="Q409" s="92">
        <f>IF(AND(ISNUMBER(SEARCH("Espeto",N409)),ISNUMBER(SEARCH("Tatuapé",N409))),"SIM","")</f>
        <v/>
      </c>
      <c r="R409" s="92">
        <f>IF(AND(ISNUMBER(SEARCH("Espeto",N409)),ISNUMBER(SEARCH("Pavão",N409))),"SIM","")</f>
        <v/>
      </c>
      <c r="S409" s="92">
        <f>IF(AND(ISNUMBER(SEARCH("Espeto",N409)),ISNUMBER(SEARCH("Chac",N409))),"SIM","")</f>
        <v/>
      </c>
      <c r="T409" s="92">
        <f>IF(AND(ISNUMBER(SEARCH("Espeto",N409)),ISNUMBER(SEARCH("Madalena",N409))),"SIM","")</f>
        <v/>
      </c>
      <c r="U409" s="92">
        <f>IF(AND(ISNUMBER(SEARCH("Espeto",N409)),ISNUMBER(SEARCH("Mariana",N409))),"SIM","")</f>
        <v/>
      </c>
      <c r="V409" s="92">
        <f>IF(AND(ISNUMBER(SEARCH("Espeto",N409)),ISNUMBER(SEARCH("Perdizes",N409))),"SIM","")</f>
        <v/>
      </c>
      <c r="W409" s="92">
        <f>IF(AND(ISNUMBER(SEARCH("Espeto",N409)),ISNUMBER(SEARCH("Santana",N409))),"SIM","")</f>
        <v/>
      </c>
      <c r="X409" s="92">
        <f>IF(AND(ISNUMBER(SEARCH("Espeto",N409)),ISNUMBER(SEARCH("André",N409))),"SIM","")</f>
        <v/>
      </c>
      <c r="Y409" s="92">
        <f>IF(AND(ISNUMBER(SEARCH("Delivery",N409)),ISNUMBER(SEARCH("Carin",N409))),"SIM","")</f>
        <v/>
      </c>
      <c r="Z409" s="92">
        <f>IF(AND(ISNUMBER(SEARCH("Delivery",N409)),ISNUMBER(SEARCH("Lapa",N409))),"SIM","")</f>
        <v/>
      </c>
      <c r="AA409" s="92">
        <f>IF(AND(ISNUMBER(SEARCH("Delivery",N409)),ISNUMBER(SEARCH("Tatuapé",N409))),"SIM","")</f>
        <v/>
      </c>
      <c r="AB409" s="92">
        <f>IF(AND(ISNUMBER(SEARCH("Delivery",N409)),ISNUMBER(SEARCH("Pavão",N409))),"SIM","")</f>
        <v/>
      </c>
      <c r="AC409" s="92">
        <f>IF(AND(ISNUMBER(SEARCH("Delivery",N409)),ISNUMBER(SEARCH("Chac",N409))),"SIM","")</f>
        <v/>
      </c>
      <c r="AD409" s="92">
        <f>IF(AND(ISNUMBER(SEARCH("Delivery",N409)),ISNUMBER(SEARCH("Madalena",N409))),"SIM","")</f>
        <v/>
      </c>
      <c r="AE409" s="92">
        <f>IF(AND(ISNUMBER(SEARCH("Delivery",N409)),ISNUMBER(SEARCH("Mariana",N409))),"SIM","")</f>
        <v/>
      </c>
      <c r="AF409" s="92">
        <f>IF(AND(ISNUMBER(SEARCH("Delivery",N409)),ISNUMBER(SEARCH("Perdizes",N409))),"SIM","")</f>
        <v/>
      </c>
      <c r="AG409" s="92">
        <f>IF(AND(ISNUMBER(SEARCH("Delivery",N409)),ISNUMBER(SEARCH("Santana",N409))),"SIM","")</f>
        <v/>
      </c>
      <c r="AH409" s="92">
        <f>IF(AND(ISNUMBER(SEARCH("Delivery",N409)),ISNUMBER(SEARCH("André",N409))),"SIM","")</f>
        <v/>
      </c>
      <c r="AI409" s="92">
        <f>IF(ISNUMBER(SEARCH("Interlagos",N409)),"SIM","")</f>
        <v/>
      </c>
      <c r="AJ409" s="92">
        <f>IF(ISNUMBER(SEARCH("Quiosque",N409)),"SIM","")</f>
        <v/>
      </c>
      <c r="AK409" s="93" t="n"/>
    </row>
    <row r="410">
      <c r="A410" s="88" t="inlineStr">
        <is>
          <t>Protheus</t>
        </is>
      </c>
      <c r="B410" s="96" t="inlineStr">
        <is>
          <t>002026</t>
        </is>
      </c>
      <c r="C410" s="97">
        <f>IF(B410="—","—",IFERROR(VLOOKUP(B410,_Protheus_Cadastro!$A:$B,2,FALSE),"—"))</f>
        <v/>
      </c>
      <c r="D410" s="98">
        <f>IF(B410="—",IFERROR(INDEX(_ZIG_Cadastro!$D:$D,MATCH(H410,_ZIG_Cadastro!$A:$A,0)),"Produto"),IFERROR(VLOOKUP(B410,_Protheus_Cadastro!$A:$C,3,FALSE),"—"))</f>
        <v/>
      </c>
      <c r="E410" s="98">
        <f>IF(B410="—","—",IFERROR(VLOOKUP(B410,_Protheus_Cadastro!$A:$D,4,FALSE),"—"))</f>
        <v/>
      </c>
      <c r="F410" s="98">
        <f>IF(ISERROR(VLOOKUP(B410,'Estrutura Protheus'!A:A,1,FALSE)),"Não","Sim")</f>
        <v/>
      </c>
      <c r="G410" s="99">
        <f>IFERROR(INDEX(_Protheus_Cadastro!$H:$H,MATCH(B410,_Protheus_Cadastro!$A:$A,0)),"—")</f>
        <v/>
      </c>
      <c r="H410" s="211">
        <f>IFERROR(INDEX(_ZIG_Precos!$D:$D,MATCH(I410,_ZIG_Precos!$F:$F,0)),"—")</f>
        <v/>
      </c>
      <c r="I410" s="103">
        <f>IFERROR(VLOOKUP(B410,_Protheus_Cadastro!$A:$I,9,FALSE),"—")</f>
        <v/>
      </c>
      <c r="J410" s="101">
        <f>IFERROR(INDEX(_ZIG_Cadastro!$B:$B,MATCH(I410,_ZIG_Cadastro!$A:$A,0)),IFERROR(INDEX(_Entradas_ZIG!$B:$B,MATCH(I410,_Entradas_ZIG!$C:$C,0)),"—"))</f>
        <v/>
      </c>
      <c r="K410" s="101">
        <f>IFERROR(INDEX(_ZIG_Cadastro!$C:$C,MATCH(I410,_ZIG_Cadastro!$A:$A,0)),IFERROR(INDEX(_Entradas_ZIG!$D:$D,MATCH(I410,_Entradas_ZIG!$C:$C,0)),"—"))</f>
        <v/>
      </c>
      <c r="L410" s="99">
        <f>IF(I410="","Sem SKU ZIG",IF(I410="—","Sem SKU ZIG",IF(NOT(ISERROR(MATCH(I410,_ZIG_Cadastro!$A:$A,0))),IF(EXACT(UPPER(TRIM(C410)),UPPER(TRIM(INDEX(_ZIG_Cadastro!$B:$B,MATCH(I410,_ZIG_Cadastro!$A:$A,0))))),"OK","Atencao - Nome diverge"),IF(NOT(ISERROR(MATCH(I410,_Entradas_ZIG!$C:$C,0))),"OK","Erro - SKU nao encontrado"))))</f>
        <v/>
      </c>
      <c r="M410" s="99">
        <f>IFERROR(INDEX(_ZIG_Cadastro!$G:$G,MATCH(I410,_ZIG_Cadastro!$A:$A,0)),IF(NOT(ISERROR(MATCH(I410,_Entradas_ZIG!$C:$C,0))),"Ativo","—"))</f>
        <v/>
      </c>
      <c r="N410" s="102">
        <f>IFERROR(INDEX(_ZIG_Cadastro!$E:$E,MATCH(I410,_ZIG_Cadastro!$A:$A,0)),IFERROR(INDEX(_Entradas_ZIG!$F:$F,MATCH(I410,_Entradas_ZIG!$C:$C,0)),"—"))</f>
        <v/>
      </c>
      <c r="O410" s="99">
        <f>IF(AND(ISNUMBER(SEARCH("Espeto",N410)),ISNUMBER(SEARCH("Carin",N410))),"SIM","")</f>
        <v/>
      </c>
      <c r="P410" s="99">
        <f>IF(AND(ISNUMBER(SEARCH("Espeto",N410)),ISNUMBER(SEARCH("Lapa",N410))),"SIM","")</f>
        <v/>
      </c>
      <c r="Q410" s="99">
        <f>IF(AND(ISNUMBER(SEARCH("Espeto",N410)),ISNUMBER(SEARCH("Tatuapé",N410))),"SIM","")</f>
        <v/>
      </c>
      <c r="R410" s="99">
        <f>IF(AND(ISNUMBER(SEARCH("Espeto",N410)),ISNUMBER(SEARCH("Pavão",N410))),"SIM","")</f>
        <v/>
      </c>
      <c r="S410" s="99">
        <f>IF(AND(ISNUMBER(SEARCH("Espeto",N410)),ISNUMBER(SEARCH("Chac",N410))),"SIM","")</f>
        <v/>
      </c>
      <c r="T410" s="99">
        <f>IF(AND(ISNUMBER(SEARCH("Espeto",N410)),ISNUMBER(SEARCH("Madalena",N410))),"SIM","")</f>
        <v/>
      </c>
      <c r="U410" s="99">
        <f>IF(AND(ISNUMBER(SEARCH("Espeto",N410)),ISNUMBER(SEARCH("Mariana",N410))),"SIM","")</f>
        <v/>
      </c>
      <c r="V410" s="99">
        <f>IF(AND(ISNUMBER(SEARCH("Espeto",N410)),ISNUMBER(SEARCH("Perdizes",N410))),"SIM","")</f>
        <v/>
      </c>
      <c r="W410" s="99">
        <f>IF(AND(ISNUMBER(SEARCH("Espeto",N410)),ISNUMBER(SEARCH("Santana",N410))),"SIM","")</f>
        <v/>
      </c>
      <c r="X410" s="99">
        <f>IF(AND(ISNUMBER(SEARCH("Espeto",N410)),ISNUMBER(SEARCH("André",N410))),"SIM","")</f>
        <v/>
      </c>
      <c r="Y410" s="99">
        <f>IF(AND(ISNUMBER(SEARCH("Delivery",N410)),ISNUMBER(SEARCH("Carin",N410))),"SIM","")</f>
        <v/>
      </c>
      <c r="Z410" s="99">
        <f>IF(AND(ISNUMBER(SEARCH("Delivery",N410)),ISNUMBER(SEARCH("Lapa",N410))),"SIM","")</f>
        <v/>
      </c>
      <c r="AA410" s="99">
        <f>IF(AND(ISNUMBER(SEARCH("Delivery",N410)),ISNUMBER(SEARCH("Tatuapé",N410))),"SIM","")</f>
        <v/>
      </c>
      <c r="AB410" s="99">
        <f>IF(AND(ISNUMBER(SEARCH("Delivery",N410)),ISNUMBER(SEARCH("Pavão",N410))),"SIM","")</f>
        <v/>
      </c>
      <c r="AC410" s="99">
        <f>IF(AND(ISNUMBER(SEARCH("Delivery",N410)),ISNUMBER(SEARCH("Chac",N410))),"SIM","")</f>
        <v/>
      </c>
      <c r="AD410" s="99">
        <f>IF(AND(ISNUMBER(SEARCH("Delivery",N410)),ISNUMBER(SEARCH("Madalena",N410))),"SIM","")</f>
        <v/>
      </c>
      <c r="AE410" s="99">
        <f>IF(AND(ISNUMBER(SEARCH("Delivery",N410)),ISNUMBER(SEARCH("Mariana",N410))),"SIM","")</f>
        <v/>
      </c>
      <c r="AF410" s="99">
        <f>IF(AND(ISNUMBER(SEARCH("Delivery",N410)),ISNUMBER(SEARCH("Perdizes",N410))),"SIM","")</f>
        <v/>
      </c>
      <c r="AG410" s="99">
        <f>IF(AND(ISNUMBER(SEARCH("Delivery",N410)),ISNUMBER(SEARCH("Santana",N410))),"SIM","")</f>
        <v/>
      </c>
      <c r="AH410" s="99">
        <f>IF(AND(ISNUMBER(SEARCH("Delivery",N410)),ISNUMBER(SEARCH("André",N410))),"SIM","")</f>
        <v/>
      </c>
      <c r="AI410" s="99">
        <f>IF(ISNUMBER(SEARCH("Interlagos",N410)),"SIM","")</f>
        <v/>
      </c>
      <c r="AJ410" s="99">
        <f>IF(ISNUMBER(SEARCH("Quiosque",N410)),"SIM","")</f>
        <v/>
      </c>
      <c r="AK410" s="101" t="n"/>
    </row>
    <row r="411">
      <c r="A411" s="88" t="inlineStr">
        <is>
          <t>Protheus</t>
        </is>
      </c>
      <c r="B411" s="89" t="inlineStr">
        <is>
          <t>002028</t>
        </is>
      </c>
      <c r="C411" s="90">
        <f>IF(B411="—","—",IFERROR(VLOOKUP(B411,_Protheus_Cadastro!$A:$B,2,FALSE),"—"))</f>
        <v/>
      </c>
      <c r="D411" s="91">
        <f>IF(B411="—",IFERROR(INDEX(_ZIG_Cadastro!$D:$D,MATCH(H411,_ZIG_Cadastro!$A:$A,0)),"Produto"),IFERROR(VLOOKUP(B411,_Protheus_Cadastro!$A:$C,3,FALSE),"—"))</f>
        <v/>
      </c>
      <c r="E411" s="91">
        <f>IF(B411="—","—",IFERROR(VLOOKUP(B411,_Protheus_Cadastro!$A:$D,4,FALSE),"—"))</f>
        <v/>
      </c>
      <c r="F411" s="91">
        <f>IF(ISERROR(VLOOKUP(B411,'Estrutura Protheus'!A:A,1,FALSE)),"Não","Sim")</f>
        <v/>
      </c>
      <c r="G411" s="92">
        <f>IFERROR(INDEX(_Protheus_Cadastro!$H:$H,MATCH(B411,_Protheus_Cadastro!$A:$A,0)),"—")</f>
        <v/>
      </c>
      <c r="H411" s="210">
        <f>IFERROR(INDEX(_ZIG_Precos!$D:$D,MATCH(I411,_ZIG_Precos!$F:$F,0)),"—")</f>
        <v/>
      </c>
      <c r="I411" s="95">
        <f>IFERROR(VLOOKUP(B411,_Protheus_Cadastro!$A:$I,9,FALSE),"—")</f>
        <v/>
      </c>
      <c r="J411" s="93">
        <f>IFERROR(INDEX(_ZIG_Cadastro!$B:$B,MATCH(I411,_ZIG_Cadastro!$A:$A,0)),IFERROR(INDEX(_Entradas_ZIG!$B:$B,MATCH(I411,_Entradas_ZIG!$C:$C,0)),"—"))</f>
        <v/>
      </c>
      <c r="K411" s="93">
        <f>IFERROR(INDEX(_ZIG_Cadastro!$C:$C,MATCH(I411,_ZIG_Cadastro!$A:$A,0)),IFERROR(INDEX(_Entradas_ZIG!$D:$D,MATCH(I411,_Entradas_ZIG!$C:$C,0)),"—"))</f>
        <v/>
      </c>
      <c r="L411" s="92">
        <f>IF(I411="","Sem SKU ZIG",IF(I411="—","Sem SKU ZIG",IF(NOT(ISERROR(MATCH(I411,_ZIG_Cadastro!$A:$A,0))),IF(EXACT(UPPER(TRIM(C411)),UPPER(TRIM(INDEX(_ZIG_Cadastro!$B:$B,MATCH(I411,_ZIG_Cadastro!$A:$A,0))))),"OK","Atencao - Nome diverge"),IF(NOT(ISERROR(MATCH(I411,_Entradas_ZIG!$C:$C,0))),"OK","Erro - SKU nao encontrado"))))</f>
        <v/>
      </c>
      <c r="M411" s="92">
        <f>IFERROR(INDEX(_ZIG_Cadastro!$G:$G,MATCH(I411,_ZIG_Cadastro!$A:$A,0)),IF(NOT(ISERROR(MATCH(I411,_Entradas_ZIG!$C:$C,0))),"Ativo","—"))</f>
        <v/>
      </c>
      <c r="N411" s="94">
        <f>IFERROR(INDEX(_ZIG_Cadastro!$E:$E,MATCH(I411,_ZIG_Cadastro!$A:$A,0)),IFERROR(INDEX(_Entradas_ZIG!$F:$F,MATCH(I411,_Entradas_ZIG!$C:$C,0)),"—"))</f>
        <v/>
      </c>
      <c r="O411" s="92">
        <f>IF(AND(ISNUMBER(SEARCH("Espeto",N411)),ISNUMBER(SEARCH("Carin",N411))),"SIM","")</f>
        <v/>
      </c>
      <c r="P411" s="92">
        <f>IF(AND(ISNUMBER(SEARCH("Espeto",N411)),ISNUMBER(SEARCH("Lapa",N411))),"SIM","")</f>
        <v/>
      </c>
      <c r="Q411" s="92">
        <f>IF(AND(ISNUMBER(SEARCH("Espeto",N411)),ISNUMBER(SEARCH("Tatuapé",N411))),"SIM","")</f>
        <v/>
      </c>
      <c r="R411" s="92">
        <f>IF(AND(ISNUMBER(SEARCH("Espeto",N411)),ISNUMBER(SEARCH("Pavão",N411))),"SIM","")</f>
        <v/>
      </c>
      <c r="S411" s="92">
        <f>IF(AND(ISNUMBER(SEARCH("Espeto",N411)),ISNUMBER(SEARCH("Chac",N411))),"SIM","")</f>
        <v/>
      </c>
      <c r="T411" s="92">
        <f>IF(AND(ISNUMBER(SEARCH("Espeto",N411)),ISNUMBER(SEARCH("Madalena",N411))),"SIM","")</f>
        <v/>
      </c>
      <c r="U411" s="92">
        <f>IF(AND(ISNUMBER(SEARCH("Espeto",N411)),ISNUMBER(SEARCH("Mariana",N411))),"SIM","")</f>
        <v/>
      </c>
      <c r="V411" s="92">
        <f>IF(AND(ISNUMBER(SEARCH("Espeto",N411)),ISNUMBER(SEARCH("Perdizes",N411))),"SIM","")</f>
        <v/>
      </c>
      <c r="W411" s="92">
        <f>IF(AND(ISNUMBER(SEARCH("Espeto",N411)),ISNUMBER(SEARCH("Santana",N411))),"SIM","")</f>
        <v/>
      </c>
      <c r="X411" s="92">
        <f>IF(AND(ISNUMBER(SEARCH("Espeto",N411)),ISNUMBER(SEARCH("André",N411))),"SIM","")</f>
        <v/>
      </c>
      <c r="Y411" s="92">
        <f>IF(AND(ISNUMBER(SEARCH("Delivery",N411)),ISNUMBER(SEARCH("Carin",N411))),"SIM","")</f>
        <v/>
      </c>
      <c r="Z411" s="92">
        <f>IF(AND(ISNUMBER(SEARCH("Delivery",N411)),ISNUMBER(SEARCH("Lapa",N411))),"SIM","")</f>
        <v/>
      </c>
      <c r="AA411" s="92">
        <f>IF(AND(ISNUMBER(SEARCH("Delivery",N411)),ISNUMBER(SEARCH("Tatuapé",N411))),"SIM","")</f>
        <v/>
      </c>
      <c r="AB411" s="92">
        <f>IF(AND(ISNUMBER(SEARCH("Delivery",N411)),ISNUMBER(SEARCH("Pavão",N411))),"SIM","")</f>
        <v/>
      </c>
      <c r="AC411" s="92">
        <f>IF(AND(ISNUMBER(SEARCH("Delivery",N411)),ISNUMBER(SEARCH("Chac",N411))),"SIM","")</f>
        <v/>
      </c>
      <c r="AD411" s="92">
        <f>IF(AND(ISNUMBER(SEARCH("Delivery",N411)),ISNUMBER(SEARCH("Madalena",N411))),"SIM","")</f>
        <v/>
      </c>
      <c r="AE411" s="92">
        <f>IF(AND(ISNUMBER(SEARCH("Delivery",N411)),ISNUMBER(SEARCH("Mariana",N411))),"SIM","")</f>
        <v/>
      </c>
      <c r="AF411" s="92">
        <f>IF(AND(ISNUMBER(SEARCH("Delivery",N411)),ISNUMBER(SEARCH("Perdizes",N411))),"SIM","")</f>
        <v/>
      </c>
      <c r="AG411" s="92">
        <f>IF(AND(ISNUMBER(SEARCH("Delivery",N411)),ISNUMBER(SEARCH("Santana",N411))),"SIM","")</f>
        <v/>
      </c>
      <c r="AH411" s="92">
        <f>IF(AND(ISNUMBER(SEARCH("Delivery",N411)),ISNUMBER(SEARCH("André",N411))),"SIM","")</f>
        <v/>
      </c>
      <c r="AI411" s="92">
        <f>IF(ISNUMBER(SEARCH("Interlagos",N411)),"SIM","")</f>
        <v/>
      </c>
      <c r="AJ411" s="92">
        <f>IF(ISNUMBER(SEARCH("Quiosque",N411)),"SIM","")</f>
        <v/>
      </c>
      <c r="AK411" s="93" t="n"/>
    </row>
    <row r="412">
      <c r="A412" s="88" t="inlineStr">
        <is>
          <t>Protheus</t>
        </is>
      </c>
      <c r="B412" s="96" t="inlineStr">
        <is>
          <t>002029</t>
        </is>
      </c>
      <c r="C412" s="97">
        <f>IF(B412="—","—",IFERROR(VLOOKUP(B412,_Protheus_Cadastro!$A:$B,2,FALSE),"—"))</f>
        <v/>
      </c>
      <c r="D412" s="98">
        <f>IF(B412="—",IFERROR(INDEX(_ZIG_Cadastro!$D:$D,MATCH(H412,_ZIG_Cadastro!$A:$A,0)),"Produto"),IFERROR(VLOOKUP(B412,_Protheus_Cadastro!$A:$C,3,FALSE),"—"))</f>
        <v/>
      </c>
      <c r="E412" s="98">
        <f>IF(B412="—","—",IFERROR(VLOOKUP(B412,_Protheus_Cadastro!$A:$D,4,FALSE),"—"))</f>
        <v/>
      </c>
      <c r="F412" s="98">
        <f>IF(ISERROR(VLOOKUP(B412,'Estrutura Protheus'!A:A,1,FALSE)),"Não","Sim")</f>
        <v/>
      </c>
      <c r="G412" s="99">
        <f>IFERROR(INDEX(_Protheus_Cadastro!$H:$H,MATCH(B412,_Protheus_Cadastro!$A:$A,0)),"—")</f>
        <v/>
      </c>
      <c r="H412" s="211">
        <f>IFERROR(INDEX(_ZIG_Precos!$D:$D,MATCH(I412,_ZIG_Precos!$F:$F,0)),"—")</f>
        <v/>
      </c>
      <c r="I412" s="103">
        <f>IFERROR(VLOOKUP(B412,_Protheus_Cadastro!$A:$I,9,FALSE),"—")</f>
        <v/>
      </c>
      <c r="J412" s="101">
        <f>IFERROR(INDEX(_ZIG_Cadastro!$B:$B,MATCH(I412,_ZIG_Cadastro!$A:$A,0)),IFERROR(INDEX(_Entradas_ZIG!$B:$B,MATCH(I412,_Entradas_ZIG!$C:$C,0)),"—"))</f>
        <v/>
      </c>
      <c r="K412" s="101">
        <f>IFERROR(INDEX(_ZIG_Cadastro!$C:$C,MATCH(I412,_ZIG_Cadastro!$A:$A,0)),IFERROR(INDEX(_Entradas_ZIG!$D:$D,MATCH(I412,_Entradas_ZIG!$C:$C,0)),"—"))</f>
        <v/>
      </c>
      <c r="L412" s="99">
        <f>IF(I412="","Sem SKU ZIG",IF(I412="—","Sem SKU ZIG",IF(NOT(ISERROR(MATCH(I412,_ZIG_Cadastro!$A:$A,0))),IF(EXACT(UPPER(TRIM(C412)),UPPER(TRIM(INDEX(_ZIG_Cadastro!$B:$B,MATCH(I412,_ZIG_Cadastro!$A:$A,0))))),"OK","Atencao - Nome diverge"),IF(NOT(ISERROR(MATCH(I412,_Entradas_ZIG!$C:$C,0))),"OK","Erro - SKU nao encontrado"))))</f>
        <v/>
      </c>
      <c r="M412" s="99">
        <f>IFERROR(INDEX(_ZIG_Cadastro!$G:$G,MATCH(I412,_ZIG_Cadastro!$A:$A,0)),IF(NOT(ISERROR(MATCH(I412,_Entradas_ZIG!$C:$C,0))),"Ativo","—"))</f>
        <v/>
      </c>
      <c r="N412" s="102">
        <f>IFERROR(INDEX(_ZIG_Cadastro!$E:$E,MATCH(I412,_ZIG_Cadastro!$A:$A,0)),IFERROR(INDEX(_Entradas_ZIG!$F:$F,MATCH(I412,_Entradas_ZIG!$C:$C,0)),"—"))</f>
        <v/>
      </c>
      <c r="O412" s="99">
        <f>IF(AND(ISNUMBER(SEARCH("Espeto",N412)),ISNUMBER(SEARCH("Carin",N412))),"SIM","")</f>
        <v/>
      </c>
      <c r="P412" s="99">
        <f>IF(AND(ISNUMBER(SEARCH("Espeto",N412)),ISNUMBER(SEARCH("Lapa",N412))),"SIM","")</f>
        <v/>
      </c>
      <c r="Q412" s="99">
        <f>IF(AND(ISNUMBER(SEARCH("Espeto",N412)),ISNUMBER(SEARCH("Tatuapé",N412))),"SIM","")</f>
        <v/>
      </c>
      <c r="R412" s="99">
        <f>IF(AND(ISNUMBER(SEARCH("Espeto",N412)),ISNUMBER(SEARCH("Pavão",N412))),"SIM","")</f>
        <v/>
      </c>
      <c r="S412" s="99">
        <f>IF(AND(ISNUMBER(SEARCH("Espeto",N412)),ISNUMBER(SEARCH("Chac",N412))),"SIM","")</f>
        <v/>
      </c>
      <c r="T412" s="99">
        <f>IF(AND(ISNUMBER(SEARCH("Espeto",N412)),ISNUMBER(SEARCH("Madalena",N412))),"SIM","")</f>
        <v/>
      </c>
      <c r="U412" s="99">
        <f>IF(AND(ISNUMBER(SEARCH("Espeto",N412)),ISNUMBER(SEARCH("Mariana",N412))),"SIM","")</f>
        <v/>
      </c>
      <c r="V412" s="99">
        <f>IF(AND(ISNUMBER(SEARCH("Espeto",N412)),ISNUMBER(SEARCH("Perdizes",N412))),"SIM","")</f>
        <v/>
      </c>
      <c r="W412" s="99">
        <f>IF(AND(ISNUMBER(SEARCH("Espeto",N412)),ISNUMBER(SEARCH("Santana",N412))),"SIM","")</f>
        <v/>
      </c>
      <c r="X412" s="99">
        <f>IF(AND(ISNUMBER(SEARCH("Espeto",N412)),ISNUMBER(SEARCH("André",N412))),"SIM","")</f>
        <v/>
      </c>
      <c r="Y412" s="99">
        <f>IF(AND(ISNUMBER(SEARCH("Delivery",N412)),ISNUMBER(SEARCH("Carin",N412))),"SIM","")</f>
        <v/>
      </c>
      <c r="Z412" s="99">
        <f>IF(AND(ISNUMBER(SEARCH("Delivery",N412)),ISNUMBER(SEARCH("Lapa",N412))),"SIM","")</f>
        <v/>
      </c>
      <c r="AA412" s="99">
        <f>IF(AND(ISNUMBER(SEARCH("Delivery",N412)),ISNUMBER(SEARCH("Tatuapé",N412))),"SIM","")</f>
        <v/>
      </c>
      <c r="AB412" s="99">
        <f>IF(AND(ISNUMBER(SEARCH("Delivery",N412)),ISNUMBER(SEARCH("Pavão",N412))),"SIM","")</f>
        <v/>
      </c>
      <c r="AC412" s="99">
        <f>IF(AND(ISNUMBER(SEARCH("Delivery",N412)),ISNUMBER(SEARCH("Chac",N412))),"SIM","")</f>
        <v/>
      </c>
      <c r="AD412" s="99">
        <f>IF(AND(ISNUMBER(SEARCH("Delivery",N412)),ISNUMBER(SEARCH("Madalena",N412))),"SIM","")</f>
        <v/>
      </c>
      <c r="AE412" s="99">
        <f>IF(AND(ISNUMBER(SEARCH("Delivery",N412)),ISNUMBER(SEARCH("Mariana",N412))),"SIM","")</f>
        <v/>
      </c>
      <c r="AF412" s="99">
        <f>IF(AND(ISNUMBER(SEARCH("Delivery",N412)),ISNUMBER(SEARCH("Perdizes",N412))),"SIM","")</f>
        <v/>
      </c>
      <c r="AG412" s="99">
        <f>IF(AND(ISNUMBER(SEARCH("Delivery",N412)),ISNUMBER(SEARCH("Santana",N412))),"SIM","")</f>
        <v/>
      </c>
      <c r="AH412" s="99">
        <f>IF(AND(ISNUMBER(SEARCH("Delivery",N412)),ISNUMBER(SEARCH("André",N412))),"SIM","")</f>
        <v/>
      </c>
      <c r="AI412" s="99">
        <f>IF(ISNUMBER(SEARCH("Interlagos",N412)),"SIM","")</f>
        <v/>
      </c>
      <c r="AJ412" s="99">
        <f>IF(ISNUMBER(SEARCH("Quiosque",N412)),"SIM","")</f>
        <v/>
      </c>
      <c r="AK412" s="101" t="n"/>
    </row>
    <row r="413">
      <c r="A413" s="88" t="inlineStr">
        <is>
          <t>Protheus</t>
        </is>
      </c>
      <c r="B413" s="89" t="inlineStr">
        <is>
          <t>002031</t>
        </is>
      </c>
      <c r="C413" s="90">
        <f>IF(B413="—","—",IFERROR(VLOOKUP(B413,_Protheus_Cadastro!$A:$B,2,FALSE),"—"))</f>
        <v/>
      </c>
      <c r="D413" s="91">
        <f>IF(B413="—",IFERROR(INDEX(_ZIG_Cadastro!$D:$D,MATCH(H413,_ZIG_Cadastro!$A:$A,0)),"Produto"),IFERROR(VLOOKUP(B413,_Protheus_Cadastro!$A:$C,3,FALSE),"—"))</f>
        <v/>
      </c>
      <c r="E413" s="91">
        <f>IF(B413="—","—",IFERROR(VLOOKUP(B413,_Protheus_Cadastro!$A:$D,4,FALSE),"—"))</f>
        <v/>
      </c>
      <c r="F413" s="91">
        <f>IF(ISERROR(VLOOKUP(B413,'Estrutura Protheus'!A:A,1,FALSE)),"Não","Sim")</f>
        <v/>
      </c>
      <c r="G413" s="92">
        <f>IFERROR(INDEX(_Protheus_Cadastro!$H:$H,MATCH(B413,_Protheus_Cadastro!$A:$A,0)),"—")</f>
        <v/>
      </c>
      <c r="H413" s="210">
        <f>IFERROR(INDEX(_ZIG_Precos!$D:$D,MATCH(I413,_ZIG_Precos!$F:$F,0)),"—")</f>
        <v/>
      </c>
      <c r="I413" s="95">
        <f>IFERROR(VLOOKUP(B413,_Protheus_Cadastro!$A:$I,9,FALSE),"—")</f>
        <v/>
      </c>
      <c r="J413" s="93">
        <f>IFERROR(INDEX(_ZIG_Cadastro!$B:$B,MATCH(I413,_ZIG_Cadastro!$A:$A,0)),IFERROR(INDEX(_Entradas_ZIG!$B:$B,MATCH(I413,_Entradas_ZIG!$C:$C,0)),"—"))</f>
        <v/>
      </c>
      <c r="K413" s="93">
        <f>IFERROR(INDEX(_ZIG_Cadastro!$C:$C,MATCH(I413,_ZIG_Cadastro!$A:$A,0)),IFERROR(INDEX(_Entradas_ZIG!$D:$D,MATCH(I413,_Entradas_ZIG!$C:$C,0)),"—"))</f>
        <v/>
      </c>
      <c r="L413" s="92">
        <f>IF(I413="","Sem SKU ZIG",IF(I413="—","Sem SKU ZIG",IF(NOT(ISERROR(MATCH(I413,_ZIG_Cadastro!$A:$A,0))),IF(EXACT(UPPER(TRIM(C413)),UPPER(TRIM(INDEX(_ZIG_Cadastro!$B:$B,MATCH(I413,_ZIG_Cadastro!$A:$A,0))))),"OK","Atencao - Nome diverge"),IF(NOT(ISERROR(MATCH(I413,_Entradas_ZIG!$C:$C,0))),"OK","Erro - SKU nao encontrado"))))</f>
        <v/>
      </c>
      <c r="M413" s="92">
        <f>IFERROR(INDEX(_ZIG_Cadastro!$G:$G,MATCH(I413,_ZIG_Cadastro!$A:$A,0)),IF(NOT(ISERROR(MATCH(I413,_Entradas_ZIG!$C:$C,0))),"Ativo","—"))</f>
        <v/>
      </c>
      <c r="N413" s="94">
        <f>IFERROR(INDEX(_ZIG_Cadastro!$E:$E,MATCH(I413,_ZIG_Cadastro!$A:$A,0)),IFERROR(INDEX(_Entradas_ZIG!$F:$F,MATCH(I413,_Entradas_ZIG!$C:$C,0)),"—"))</f>
        <v/>
      </c>
      <c r="O413" s="92">
        <f>IF(AND(ISNUMBER(SEARCH("Espeto",N413)),ISNUMBER(SEARCH("Carin",N413))),"SIM","")</f>
        <v/>
      </c>
      <c r="P413" s="92">
        <f>IF(AND(ISNUMBER(SEARCH("Espeto",N413)),ISNUMBER(SEARCH("Lapa",N413))),"SIM","")</f>
        <v/>
      </c>
      <c r="Q413" s="92">
        <f>IF(AND(ISNUMBER(SEARCH("Espeto",N413)),ISNUMBER(SEARCH("Tatuapé",N413))),"SIM","")</f>
        <v/>
      </c>
      <c r="R413" s="92">
        <f>IF(AND(ISNUMBER(SEARCH("Espeto",N413)),ISNUMBER(SEARCH("Pavão",N413))),"SIM","")</f>
        <v/>
      </c>
      <c r="S413" s="92">
        <f>IF(AND(ISNUMBER(SEARCH("Espeto",N413)),ISNUMBER(SEARCH("Chac",N413))),"SIM","")</f>
        <v/>
      </c>
      <c r="T413" s="92">
        <f>IF(AND(ISNUMBER(SEARCH("Espeto",N413)),ISNUMBER(SEARCH("Madalena",N413))),"SIM","")</f>
        <v/>
      </c>
      <c r="U413" s="92">
        <f>IF(AND(ISNUMBER(SEARCH("Espeto",N413)),ISNUMBER(SEARCH("Mariana",N413))),"SIM","")</f>
        <v/>
      </c>
      <c r="V413" s="92">
        <f>IF(AND(ISNUMBER(SEARCH("Espeto",N413)),ISNUMBER(SEARCH("Perdizes",N413))),"SIM","")</f>
        <v/>
      </c>
      <c r="W413" s="92">
        <f>IF(AND(ISNUMBER(SEARCH("Espeto",N413)),ISNUMBER(SEARCH("Santana",N413))),"SIM","")</f>
        <v/>
      </c>
      <c r="X413" s="92">
        <f>IF(AND(ISNUMBER(SEARCH("Espeto",N413)),ISNUMBER(SEARCH("André",N413))),"SIM","")</f>
        <v/>
      </c>
      <c r="Y413" s="92">
        <f>IF(AND(ISNUMBER(SEARCH("Delivery",N413)),ISNUMBER(SEARCH("Carin",N413))),"SIM","")</f>
        <v/>
      </c>
      <c r="Z413" s="92">
        <f>IF(AND(ISNUMBER(SEARCH("Delivery",N413)),ISNUMBER(SEARCH("Lapa",N413))),"SIM","")</f>
        <v/>
      </c>
      <c r="AA413" s="92">
        <f>IF(AND(ISNUMBER(SEARCH("Delivery",N413)),ISNUMBER(SEARCH("Tatuapé",N413))),"SIM","")</f>
        <v/>
      </c>
      <c r="AB413" s="92">
        <f>IF(AND(ISNUMBER(SEARCH("Delivery",N413)),ISNUMBER(SEARCH("Pavão",N413))),"SIM","")</f>
        <v/>
      </c>
      <c r="AC413" s="92">
        <f>IF(AND(ISNUMBER(SEARCH("Delivery",N413)),ISNUMBER(SEARCH("Chac",N413))),"SIM","")</f>
        <v/>
      </c>
      <c r="AD413" s="92">
        <f>IF(AND(ISNUMBER(SEARCH("Delivery",N413)),ISNUMBER(SEARCH("Madalena",N413))),"SIM","")</f>
        <v/>
      </c>
      <c r="AE413" s="92">
        <f>IF(AND(ISNUMBER(SEARCH("Delivery",N413)),ISNUMBER(SEARCH("Mariana",N413))),"SIM","")</f>
        <v/>
      </c>
      <c r="AF413" s="92">
        <f>IF(AND(ISNUMBER(SEARCH("Delivery",N413)),ISNUMBER(SEARCH("Perdizes",N413))),"SIM","")</f>
        <v/>
      </c>
      <c r="AG413" s="92">
        <f>IF(AND(ISNUMBER(SEARCH("Delivery",N413)),ISNUMBER(SEARCH("Santana",N413))),"SIM","")</f>
        <v/>
      </c>
      <c r="AH413" s="92">
        <f>IF(AND(ISNUMBER(SEARCH("Delivery",N413)),ISNUMBER(SEARCH("André",N413))),"SIM","")</f>
        <v/>
      </c>
      <c r="AI413" s="92">
        <f>IF(ISNUMBER(SEARCH("Interlagos",N413)),"SIM","")</f>
        <v/>
      </c>
      <c r="AJ413" s="92">
        <f>IF(ISNUMBER(SEARCH("Quiosque",N413)),"SIM","")</f>
        <v/>
      </c>
      <c r="AK413" s="93" t="n"/>
    </row>
    <row r="414">
      <c r="A414" s="88" t="inlineStr">
        <is>
          <t>Protheus</t>
        </is>
      </c>
      <c r="B414" s="96" t="inlineStr">
        <is>
          <t>000025</t>
        </is>
      </c>
      <c r="C414" s="97">
        <f>IF(B414="—","—",IFERROR(VLOOKUP(B414,_Protheus_Cadastro!$A:$B,2,FALSE),"—"))</f>
        <v/>
      </c>
      <c r="D414" s="98">
        <f>IF(B414="—",IFERROR(INDEX(_ZIG_Cadastro!$D:$D,MATCH(H414,_ZIG_Cadastro!$A:$A,0)),"Produto"),IFERROR(VLOOKUP(B414,_Protheus_Cadastro!$A:$C,3,FALSE),"—"))</f>
        <v/>
      </c>
      <c r="E414" s="98">
        <f>IF(B414="—","—",IFERROR(VLOOKUP(B414,_Protheus_Cadastro!$A:$D,4,FALSE),"—"))</f>
        <v/>
      </c>
      <c r="F414" s="98">
        <f>IF(ISERROR(VLOOKUP(B414,'Estrutura Protheus'!A:A,1,FALSE)),"Não","Sim")</f>
        <v/>
      </c>
      <c r="G414" s="99">
        <f>IFERROR(INDEX(_Protheus_Cadastro!$H:$H,MATCH(B414,_Protheus_Cadastro!$A:$A,0)),"—")</f>
        <v/>
      </c>
      <c r="H414" s="211">
        <f>IFERROR(INDEX(_ZIG_Precos!$D:$D,MATCH(I414,_ZIG_Precos!$F:$F,0)),"—")</f>
        <v/>
      </c>
      <c r="I414" s="103">
        <f>IFERROR(VLOOKUP(B414,_Protheus_Cadastro!$A:$I,9,FALSE),"—")</f>
        <v/>
      </c>
      <c r="J414" s="101">
        <f>IFERROR(INDEX(_ZIG_Cadastro!$B:$B,MATCH(I414,_ZIG_Cadastro!$A:$A,0)),IFERROR(INDEX(_Entradas_ZIG!$B:$B,MATCH(I414,_Entradas_ZIG!$C:$C,0)),"—"))</f>
        <v/>
      </c>
      <c r="K414" s="101">
        <f>IFERROR(INDEX(_ZIG_Cadastro!$C:$C,MATCH(I414,_ZIG_Cadastro!$A:$A,0)),IFERROR(INDEX(_Entradas_ZIG!$D:$D,MATCH(I414,_Entradas_ZIG!$C:$C,0)),"—"))</f>
        <v/>
      </c>
      <c r="L414" s="99">
        <f>IF(I414="","Sem SKU ZIG",IF(I414="—","Sem SKU ZIG",IF(NOT(ISERROR(MATCH(I414,_ZIG_Cadastro!$A:$A,0))),IF(EXACT(UPPER(TRIM(C414)),UPPER(TRIM(INDEX(_ZIG_Cadastro!$B:$B,MATCH(I414,_ZIG_Cadastro!$A:$A,0))))),"OK","Atencao - Nome diverge"),IF(NOT(ISERROR(MATCH(I414,_Entradas_ZIG!$C:$C,0))),"OK","Erro - SKU nao encontrado"))))</f>
        <v/>
      </c>
      <c r="M414" s="99">
        <f>IFERROR(INDEX(_ZIG_Cadastro!$G:$G,MATCH(I414,_ZIG_Cadastro!$A:$A,0)),IF(NOT(ISERROR(MATCH(I414,_Entradas_ZIG!$C:$C,0))),"Ativo","—"))</f>
        <v/>
      </c>
      <c r="N414" s="102">
        <f>IFERROR(INDEX(_ZIG_Cadastro!$E:$E,MATCH(I414,_ZIG_Cadastro!$A:$A,0)),IFERROR(INDEX(_Entradas_ZIG!$F:$F,MATCH(I414,_Entradas_ZIG!$C:$C,0)),"—"))</f>
        <v/>
      </c>
      <c r="O414" s="99">
        <f>IF(AND(ISNUMBER(SEARCH("Espeto",N414)),ISNUMBER(SEARCH("Carin",N414))),"SIM","")</f>
        <v/>
      </c>
      <c r="P414" s="99">
        <f>IF(AND(ISNUMBER(SEARCH("Espeto",N414)),ISNUMBER(SEARCH("Lapa",N414))),"SIM","")</f>
        <v/>
      </c>
      <c r="Q414" s="99">
        <f>IF(AND(ISNUMBER(SEARCH("Espeto",N414)),ISNUMBER(SEARCH("Tatuapé",N414))),"SIM","")</f>
        <v/>
      </c>
      <c r="R414" s="99">
        <f>IF(AND(ISNUMBER(SEARCH("Espeto",N414)),ISNUMBER(SEARCH("Pavão",N414))),"SIM","")</f>
        <v/>
      </c>
      <c r="S414" s="99">
        <f>IF(AND(ISNUMBER(SEARCH("Espeto",N414)),ISNUMBER(SEARCH("Chac",N414))),"SIM","")</f>
        <v/>
      </c>
      <c r="T414" s="99">
        <f>IF(AND(ISNUMBER(SEARCH("Espeto",N414)),ISNUMBER(SEARCH("Madalena",N414))),"SIM","")</f>
        <v/>
      </c>
      <c r="U414" s="99">
        <f>IF(AND(ISNUMBER(SEARCH("Espeto",N414)),ISNUMBER(SEARCH("Mariana",N414))),"SIM","")</f>
        <v/>
      </c>
      <c r="V414" s="99">
        <f>IF(AND(ISNUMBER(SEARCH("Espeto",N414)),ISNUMBER(SEARCH("Perdizes",N414))),"SIM","")</f>
        <v/>
      </c>
      <c r="W414" s="99">
        <f>IF(AND(ISNUMBER(SEARCH("Espeto",N414)),ISNUMBER(SEARCH("Santana",N414))),"SIM","")</f>
        <v/>
      </c>
      <c r="X414" s="99">
        <f>IF(AND(ISNUMBER(SEARCH("Espeto",N414)),ISNUMBER(SEARCH("André",N414))),"SIM","")</f>
        <v/>
      </c>
      <c r="Y414" s="99">
        <f>IF(AND(ISNUMBER(SEARCH("Delivery",N414)),ISNUMBER(SEARCH("Carin",N414))),"SIM","")</f>
        <v/>
      </c>
      <c r="Z414" s="99">
        <f>IF(AND(ISNUMBER(SEARCH("Delivery",N414)),ISNUMBER(SEARCH("Lapa",N414))),"SIM","")</f>
        <v/>
      </c>
      <c r="AA414" s="99">
        <f>IF(AND(ISNUMBER(SEARCH("Delivery",N414)),ISNUMBER(SEARCH("Tatuapé",N414))),"SIM","")</f>
        <v/>
      </c>
      <c r="AB414" s="99">
        <f>IF(AND(ISNUMBER(SEARCH("Delivery",N414)),ISNUMBER(SEARCH("Pavão",N414))),"SIM","")</f>
        <v/>
      </c>
      <c r="AC414" s="99">
        <f>IF(AND(ISNUMBER(SEARCH("Delivery",N414)),ISNUMBER(SEARCH("Chac",N414))),"SIM","")</f>
        <v/>
      </c>
      <c r="AD414" s="99">
        <f>IF(AND(ISNUMBER(SEARCH("Delivery",N414)),ISNUMBER(SEARCH("Madalena",N414))),"SIM","")</f>
        <v/>
      </c>
      <c r="AE414" s="99">
        <f>IF(AND(ISNUMBER(SEARCH("Delivery",N414)),ISNUMBER(SEARCH("Mariana",N414))),"SIM","")</f>
        <v/>
      </c>
      <c r="AF414" s="99">
        <f>IF(AND(ISNUMBER(SEARCH("Delivery",N414)),ISNUMBER(SEARCH("Perdizes",N414))),"SIM","")</f>
        <v/>
      </c>
      <c r="AG414" s="99">
        <f>IF(AND(ISNUMBER(SEARCH("Delivery",N414)),ISNUMBER(SEARCH("Santana",N414))),"SIM","")</f>
        <v/>
      </c>
      <c r="AH414" s="99">
        <f>IF(AND(ISNUMBER(SEARCH("Delivery",N414)),ISNUMBER(SEARCH("André",N414))),"SIM","")</f>
        <v/>
      </c>
      <c r="AI414" s="99">
        <f>IF(ISNUMBER(SEARCH("Interlagos",N414)),"SIM","")</f>
        <v/>
      </c>
      <c r="AJ414" s="99">
        <f>IF(ISNUMBER(SEARCH("Quiosque",N414)),"SIM","")</f>
        <v/>
      </c>
      <c r="AK414" s="101" t="n"/>
    </row>
    <row r="415">
      <c r="A415" s="88" t="inlineStr">
        <is>
          <t>Protheus</t>
        </is>
      </c>
      <c r="B415" s="89" t="inlineStr">
        <is>
          <t>002194</t>
        </is>
      </c>
      <c r="C415" s="90">
        <f>IF(B415="—","—",IFERROR(VLOOKUP(B415,_Protheus_Cadastro!$A:$B,2,FALSE),"—"))</f>
        <v/>
      </c>
      <c r="D415" s="91">
        <f>IF(B415="—",IFERROR(INDEX(_ZIG_Cadastro!$D:$D,MATCH(H415,_ZIG_Cadastro!$A:$A,0)),"Produto"),IFERROR(VLOOKUP(B415,_Protheus_Cadastro!$A:$C,3,FALSE),"—"))</f>
        <v/>
      </c>
      <c r="E415" s="91">
        <f>IF(B415="—","—",IFERROR(VLOOKUP(B415,_Protheus_Cadastro!$A:$D,4,FALSE),"—"))</f>
        <v/>
      </c>
      <c r="F415" s="91">
        <f>IF(ISERROR(VLOOKUP(B415,'Estrutura Protheus'!A:A,1,FALSE)),"Não","Sim")</f>
        <v/>
      </c>
      <c r="G415" s="92">
        <f>IFERROR(INDEX(_Protheus_Cadastro!$H:$H,MATCH(B415,_Protheus_Cadastro!$A:$A,0)),"—")</f>
        <v/>
      </c>
      <c r="H415" s="210">
        <f>IFERROR(INDEX(_ZIG_Precos!$D:$D,MATCH(I415,_ZIG_Precos!$F:$F,0)),"—")</f>
        <v/>
      </c>
      <c r="I415" s="95">
        <f>IFERROR(VLOOKUP(B415,_Protheus_Cadastro!$A:$I,9,FALSE),"—")</f>
        <v/>
      </c>
      <c r="J415" s="93">
        <f>IFERROR(INDEX(_ZIG_Cadastro!$B:$B,MATCH(I415,_ZIG_Cadastro!$A:$A,0)),IFERROR(INDEX(_Entradas_ZIG!$B:$B,MATCH(I415,_Entradas_ZIG!$C:$C,0)),"—"))</f>
        <v/>
      </c>
      <c r="K415" s="93">
        <f>IFERROR(INDEX(_ZIG_Cadastro!$C:$C,MATCH(I415,_ZIG_Cadastro!$A:$A,0)),IFERROR(INDEX(_Entradas_ZIG!$D:$D,MATCH(I415,_Entradas_ZIG!$C:$C,0)),"—"))</f>
        <v/>
      </c>
      <c r="L415" s="92">
        <f>IF(I415="","Sem SKU ZIG",IF(I415="—","Sem SKU ZIG",IF(NOT(ISERROR(MATCH(I415,_ZIG_Cadastro!$A:$A,0))),IF(EXACT(UPPER(TRIM(C415)),UPPER(TRIM(INDEX(_ZIG_Cadastro!$B:$B,MATCH(I415,_ZIG_Cadastro!$A:$A,0))))),"OK","Atencao - Nome diverge"),IF(NOT(ISERROR(MATCH(I415,_Entradas_ZIG!$C:$C,0))),"OK","Erro - SKU nao encontrado"))))</f>
        <v/>
      </c>
      <c r="M415" s="92">
        <f>IFERROR(INDEX(_ZIG_Cadastro!$G:$G,MATCH(I415,_ZIG_Cadastro!$A:$A,0)),IF(NOT(ISERROR(MATCH(I415,_Entradas_ZIG!$C:$C,0))),"Ativo","—"))</f>
        <v/>
      </c>
      <c r="N415" s="94">
        <f>IFERROR(INDEX(_ZIG_Cadastro!$E:$E,MATCH(I415,_ZIG_Cadastro!$A:$A,0)),IFERROR(INDEX(_Entradas_ZIG!$F:$F,MATCH(I415,_Entradas_ZIG!$C:$C,0)),"—"))</f>
        <v/>
      </c>
      <c r="O415" s="92">
        <f>IF(AND(ISNUMBER(SEARCH("Espeto",N415)),ISNUMBER(SEARCH("Carin",N415))),"SIM","")</f>
        <v/>
      </c>
      <c r="P415" s="92">
        <f>IF(AND(ISNUMBER(SEARCH("Espeto",N415)),ISNUMBER(SEARCH("Lapa",N415))),"SIM","")</f>
        <v/>
      </c>
      <c r="Q415" s="92">
        <f>IF(AND(ISNUMBER(SEARCH("Espeto",N415)),ISNUMBER(SEARCH("Tatuapé",N415))),"SIM","")</f>
        <v/>
      </c>
      <c r="R415" s="92">
        <f>IF(AND(ISNUMBER(SEARCH("Espeto",N415)),ISNUMBER(SEARCH("Pavão",N415))),"SIM","")</f>
        <v/>
      </c>
      <c r="S415" s="92">
        <f>IF(AND(ISNUMBER(SEARCH("Espeto",N415)),ISNUMBER(SEARCH("Chac",N415))),"SIM","")</f>
        <v/>
      </c>
      <c r="T415" s="92">
        <f>IF(AND(ISNUMBER(SEARCH("Espeto",N415)),ISNUMBER(SEARCH("Madalena",N415))),"SIM","")</f>
        <v/>
      </c>
      <c r="U415" s="92">
        <f>IF(AND(ISNUMBER(SEARCH("Espeto",N415)),ISNUMBER(SEARCH("Mariana",N415))),"SIM","")</f>
        <v/>
      </c>
      <c r="V415" s="92">
        <f>IF(AND(ISNUMBER(SEARCH("Espeto",N415)),ISNUMBER(SEARCH("Perdizes",N415))),"SIM","")</f>
        <v/>
      </c>
      <c r="W415" s="92">
        <f>IF(AND(ISNUMBER(SEARCH("Espeto",N415)),ISNUMBER(SEARCH("Santana",N415))),"SIM","")</f>
        <v/>
      </c>
      <c r="X415" s="92">
        <f>IF(AND(ISNUMBER(SEARCH("Espeto",N415)),ISNUMBER(SEARCH("André",N415))),"SIM","")</f>
        <v/>
      </c>
      <c r="Y415" s="92">
        <f>IF(AND(ISNUMBER(SEARCH("Delivery",N415)),ISNUMBER(SEARCH("Carin",N415))),"SIM","")</f>
        <v/>
      </c>
      <c r="Z415" s="92">
        <f>IF(AND(ISNUMBER(SEARCH("Delivery",N415)),ISNUMBER(SEARCH("Lapa",N415))),"SIM","")</f>
        <v/>
      </c>
      <c r="AA415" s="92">
        <f>IF(AND(ISNUMBER(SEARCH("Delivery",N415)),ISNUMBER(SEARCH("Tatuapé",N415))),"SIM","")</f>
        <v/>
      </c>
      <c r="AB415" s="92">
        <f>IF(AND(ISNUMBER(SEARCH("Delivery",N415)),ISNUMBER(SEARCH("Pavão",N415))),"SIM","")</f>
        <v/>
      </c>
      <c r="AC415" s="92">
        <f>IF(AND(ISNUMBER(SEARCH("Delivery",N415)),ISNUMBER(SEARCH("Chac",N415))),"SIM","")</f>
        <v/>
      </c>
      <c r="AD415" s="92">
        <f>IF(AND(ISNUMBER(SEARCH("Delivery",N415)),ISNUMBER(SEARCH("Madalena",N415))),"SIM","")</f>
        <v/>
      </c>
      <c r="AE415" s="92">
        <f>IF(AND(ISNUMBER(SEARCH("Delivery",N415)),ISNUMBER(SEARCH("Mariana",N415))),"SIM","")</f>
        <v/>
      </c>
      <c r="AF415" s="92">
        <f>IF(AND(ISNUMBER(SEARCH("Delivery",N415)),ISNUMBER(SEARCH("Perdizes",N415))),"SIM","")</f>
        <v/>
      </c>
      <c r="AG415" s="92">
        <f>IF(AND(ISNUMBER(SEARCH("Delivery",N415)),ISNUMBER(SEARCH("Santana",N415))),"SIM","")</f>
        <v/>
      </c>
      <c r="AH415" s="92">
        <f>IF(AND(ISNUMBER(SEARCH("Delivery",N415)),ISNUMBER(SEARCH("André",N415))),"SIM","")</f>
        <v/>
      </c>
      <c r="AI415" s="92">
        <f>IF(ISNUMBER(SEARCH("Interlagos",N415)),"SIM","")</f>
        <v/>
      </c>
      <c r="AJ415" s="92">
        <f>IF(ISNUMBER(SEARCH("Quiosque",N415)),"SIM","")</f>
        <v/>
      </c>
      <c r="AK415" s="93" t="n"/>
    </row>
    <row r="416">
      <c r="A416" s="88" t="inlineStr">
        <is>
          <t>Protheus</t>
        </is>
      </c>
      <c r="B416" s="96" t="inlineStr">
        <is>
          <t>000007</t>
        </is>
      </c>
      <c r="C416" s="97">
        <f>IF(B416="—","—",IFERROR(VLOOKUP(B416,_Protheus_Cadastro!$A:$B,2,FALSE),"—"))</f>
        <v/>
      </c>
      <c r="D416" s="98">
        <f>IF(B416="—",IFERROR(INDEX(_ZIG_Cadastro!$D:$D,MATCH(H416,_ZIG_Cadastro!$A:$A,0)),"Produto"),IFERROR(VLOOKUP(B416,_Protheus_Cadastro!$A:$C,3,FALSE),"—"))</f>
        <v/>
      </c>
      <c r="E416" s="98">
        <f>IF(B416="—","—",IFERROR(VLOOKUP(B416,_Protheus_Cadastro!$A:$D,4,FALSE),"—"))</f>
        <v/>
      </c>
      <c r="F416" s="98">
        <f>IF(ISERROR(VLOOKUP(B416,'Estrutura Protheus'!A:A,1,FALSE)),"Não","Sim")</f>
        <v/>
      </c>
      <c r="G416" s="99">
        <f>IFERROR(INDEX(_Protheus_Cadastro!$H:$H,MATCH(B416,_Protheus_Cadastro!$A:$A,0)),"—")</f>
        <v/>
      </c>
      <c r="H416" s="211">
        <f>IFERROR(INDEX(_ZIG_Precos!$D:$D,MATCH(I416,_ZIG_Precos!$F:$F,0)),"—")</f>
        <v/>
      </c>
      <c r="I416" s="103">
        <f>IFERROR(VLOOKUP(B416,_Protheus_Cadastro!$A:$I,9,FALSE),"—")</f>
        <v/>
      </c>
      <c r="J416" s="101">
        <f>IFERROR(INDEX(_ZIG_Cadastro!$B:$B,MATCH(I416,_ZIG_Cadastro!$A:$A,0)),IFERROR(INDEX(_Entradas_ZIG!$B:$B,MATCH(I416,_Entradas_ZIG!$C:$C,0)),"—"))</f>
        <v/>
      </c>
      <c r="K416" s="101">
        <f>IFERROR(INDEX(_ZIG_Cadastro!$C:$C,MATCH(I416,_ZIG_Cadastro!$A:$A,0)),IFERROR(INDEX(_Entradas_ZIG!$D:$D,MATCH(I416,_Entradas_ZIG!$C:$C,0)),"—"))</f>
        <v/>
      </c>
      <c r="L416" s="99">
        <f>IF(I416="","Sem SKU ZIG",IF(I416="—","Sem SKU ZIG",IF(NOT(ISERROR(MATCH(I416,_ZIG_Cadastro!$A:$A,0))),IF(EXACT(UPPER(TRIM(C416)),UPPER(TRIM(INDEX(_ZIG_Cadastro!$B:$B,MATCH(I416,_ZIG_Cadastro!$A:$A,0))))),"OK","Atencao - Nome diverge"),IF(NOT(ISERROR(MATCH(I416,_Entradas_ZIG!$C:$C,0))),"OK","Erro - SKU nao encontrado"))))</f>
        <v/>
      </c>
      <c r="M416" s="99">
        <f>IFERROR(INDEX(_ZIG_Cadastro!$G:$G,MATCH(I416,_ZIG_Cadastro!$A:$A,0)),IF(NOT(ISERROR(MATCH(I416,_Entradas_ZIG!$C:$C,0))),"Ativo","—"))</f>
        <v/>
      </c>
      <c r="N416" s="102">
        <f>IFERROR(INDEX(_ZIG_Cadastro!$E:$E,MATCH(I416,_ZIG_Cadastro!$A:$A,0)),IFERROR(INDEX(_Entradas_ZIG!$F:$F,MATCH(I416,_Entradas_ZIG!$C:$C,0)),"—"))</f>
        <v/>
      </c>
      <c r="O416" s="99">
        <f>IF(AND(ISNUMBER(SEARCH("Espeto",N416)),ISNUMBER(SEARCH("Carin",N416))),"SIM","")</f>
        <v/>
      </c>
      <c r="P416" s="99">
        <f>IF(AND(ISNUMBER(SEARCH("Espeto",N416)),ISNUMBER(SEARCH("Lapa",N416))),"SIM","")</f>
        <v/>
      </c>
      <c r="Q416" s="99">
        <f>IF(AND(ISNUMBER(SEARCH("Espeto",N416)),ISNUMBER(SEARCH("Tatuapé",N416))),"SIM","")</f>
        <v/>
      </c>
      <c r="R416" s="99">
        <f>IF(AND(ISNUMBER(SEARCH("Espeto",N416)),ISNUMBER(SEARCH("Pavão",N416))),"SIM","")</f>
        <v/>
      </c>
      <c r="S416" s="99">
        <f>IF(AND(ISNUMBER(SEARCH("Espeto",N416)),ISNUMBER(SEARCH("Chac",N416))),"SIM","")</f>
        <v/>
      </c>
      <c r="T416" s="99">
        <f>IF(AND(ISNUMBER(SEARCH("Espeto",N416)),ISNUMBER(SEARCH("Madalena",N416))),"SIM","")</f>
        <v/>
      </c>
      <c r="U416" s="99">
        <f>IF(AND(ISNUMBER(SEARCH("Espeto",N416)),ISNUMBER(SEARCH("Mariana",N416))),"SIM","")</f>
        <v/>
      </c>
      <c r="V416" s="99">
        <f>IF(AND(ISNUMBER(SEARCH("Espeto",N416)),ISNUMBER(SEARCH("Perdizes",N416))),"SIM","")</f>
        <v/>
      </c>
      <c r="W416" s="99">
        <f>IF(AND(ISNUMBER(SEARCH("Espeto",N416)),ISNUMBER(SEARCH("Santana",N416))),"SIM","")</f>
        <v/>
      </c>
      <c r="X416" s="99">
        <f>IF(AND(ISNUMBER(SEARCH("Espeto",N416)),ISNUMBER(SEARCH("André",N416))),"SIM","")</f>
        <v/>
      </c>
      <c r="Y416" s="99">
        <f>IF(AND(ISNUMBER(SEARCH("Delivery",N416)),ISNUMBER(SEARCH("Carin",N416))),"SIM","")</f>
        <v/>
      </c>
      <c r="Z416" s="99">
        <f>IF(AND(ISNUMBER(SEARCH("Delivery",N416)),ISNUMBER(SEARCH("Lapa",N416))),"SIM","")</f>
        <v/>
      </c>
      <c r="AA416" s="99">
        <f>IF(AND(ISNUMBER(SEARCH("Delivery",N416)),ISNUMBER(SEARCH("Tatuapé",N416))),"SIM","")</f>
        <v/>
      </c>
      <c r="AB416" s="99">
        <f>IF(AND(ISNUMBER(SEARCH("Delivery",N416)),ISNUMBER(SEARCH("Pavão",N416))),"SIM","")</f>
        <v/>
      </c>
      <c r="AC416" s="99">
        <f>IF(AND(ISNUMBER(SEARCH("Delivery",N416)),ISNUMBER(SEARCH("Chac",N416))),"SIM","")</f>
        <v/>
      </c>
      <c r="AD416" s="99">
        <f>IF(AND(ISNUMBER(SEARCH("Delivery",N416)),ISNUMBER(SEARCH("Madalena",N416))),"SIM","")</f>
        <v/>
      </c>
      <c r="AE416" s="99">
        <f>IF(AND(ISNUMBER(SEARCH("Delivery",N416)),ISNUMBER(SEARCH("Mariana",N416))),"SIM","")</f>
        <v/>
      </c>
      <c r="AF416" s="99">
        <f>IF(AND(ISNUMBER(SEARCH("Delivery",N416)),ISNUMBER(SEARCH("Perdizes",N416))),"SIM","")</f>
        <v/>
      </c>
      <c r="AG416" s="99">
        <f>IF(AND(ISNUMBER(SEARCH("Delivery",N416)),ISNUMBER(SEARCH("Santana",N416))),"SIM","")</f>
        <v/>
      </c>
      <c r="AH416" s="99">
        <f>IF(AND(ISNUMBER(SEARCH("Delivery",N416)),ISNUMBER(SEARCH("André",N416))),"SIM","")</f>
        <v/>
      </c>
      <c r="AI416" s="99">
        <f>IF(ISNUMBER(SEARCH("Interlagos",N416)),"SIM","")</f>
        <v/>
      </c>
      <c r="AJ416" s="99">
        <f>IF(ISNUMBER(SEARCH("Quiosque",N416)),"SIM","")</f>
        <v/>
      </c>
      <c r="AK416" s="101" t="n"/>
    </row>
    <row r="417">
      <c r="A417" s="88" t="inlineStr">
        <is>
          <t>Protheus</t>
        </is>
      </c>
      <c r="B417" s="89" t="inlineStr">
        <is>
          <t>000767</t>
        </is>
      </c>
      <c r="C417" s="90">
        <f>IF(B417="—","—",IFERROR(VLOOKUP(B417,_Protheus_Cadastro!$A:$B,2,FALSE),"—"))</f>
        <v/>
      </c>
      <c r="D417" s="91">
        <f>IF(B417="—",IFERROR(INDEX(_ZIG_Cadastro!$D:$D,MATCH(H417,_ZIG_Cadastro!$A:$A,0)),"Produto"),IFERROR(VLOOKUP(B417,_Protheus_Cadastro!$A:$C,3,FALSE),"—"))</f>
        <v/>
      </c>
      <c r="E417" s="91">
        <f>IF(B417="—","—",IFERROR(VLOOKUP(B417,_Protheus_Cadastro!$A:$D,4,FALSE),"—"))</f>
        <v/>
      </c>
      <c r="F417" s="91">
        <f>IF(ISERROR(VLOOKUP(B417,'Estrutura Protheus'!A:A,1,FALSE)),"Não","Sim")</f>
        <v/>
      </c>
      <c r="G417" s="92">
        <f>IFERROR(INDEX(_Protheus_Cadastro!$H:$H,MATCH(B417,_Protheus_Cadastro!$A:$A,0)),"—")</f>
        <v/>
      </c>
      <c r="H417" s="210">
        <f>IFERROR(INDEX(_ZIG_Precos!$D:$D,MATCH(I417,_ZIG_Precos!$F:$F,0)),"—")</f>
        <v/>
      </c>
      <c r="I417" s="95">
        <f>IFERROR(VLOOKUP(B417,_Protheus_Cadastro!$A:$I,9,FALSE),"—")</f>
        <v/>
      </c>
      <c r="J417" s="93">
        <f>IFERROR(INDEX(_ZIG_Cadastro!$B:$B,MATCH(I417,_ZIG_Cadastro!$A:$A,0)),IFERROR(INDEX(_Entradas_ZIG!$B:$B,MATCH(I417,_Entradas_ZIG!$C:$C,0)),"—"))</f>
        <v/>
      </c>
      <c r="K417" s="93">
        <f>IFERROR(INDEX(_ZIG_Cadastro!$C:$C,MATCH(I417,_ZIG_Cadastro!$A:$A,0)),IFERROR(INDEX(_Entradas_ZIG!$D:$D,MATCH(I417,_Entradas_ZIG!$C:$C,0)),"—"))</f>
        <v/>
      </c>
      <c r="L417" s="92">
        <f>IF(I417="","Sem SKU ZIG",IF(I417="—","Sem SKU ZIG",IF(NOT(ISERROR(MATCH(I417,_ZIG_Cadastro!$A:$A,0))),IF(EXACT(UPPER(TRIM(C417)),UPPER(TRIM(INDEX(_ZIG_Cadastro!$B:$B,MATCH(I417,_ZIG_Cadastro!$A:$A,0))))),"OK","Atencao - Nome diverge"),IF(NOT(ISERROR(MATCH(I417,_Entradas_ZIG!$C:$C,0))),"OK","Erro - SKU nao encontrado"))))</f>
        <v/>
      </c>
      <c r="M417" s="92">
        <f>IFERROR(INDEX(_ZIG_Cadastro!$G:$G,MATCH(I417,_ZIG_Cadastro!$A:$A,0)),IF(NOT(ISERROR(MATCH(I417,_Entradas_ZIG!$C:$C,0))),"Ativo","—"))</f>
        <v/>
      </c>
      <c r="N417" s="94">
        <f>IFERROR(INDEX(_ZIG_Cadastro!$E:$E,MATCH(I417,_ZIG_Cadastro!$A:$A,0)),IFERROR(INDEX(_Entradas_ZIG!$F:$F,MATCH(I417,_Entradas_ZIG!$C:$C,0)),"—"))</f>
        <v/>
      </c>
      <c r="O417" s="92">
        <f>IF(AND(ISNUMBER(SEARCH("Espeto",N417)),ISNUMBER(SEARCH("Carin",N417))),"SIM","")</f>
        <v/>
      </c>
      <c r="P417" s="92">
        <f>IF(AND(ISNUMBER(SEARCH("Espeto",N417)),ISNUMBER(SEARCH("Lapa",N417))),"SIM","")</f>
        <v/>
      </c>
      <c r="Q417" s="92">
        <f>IF(AND(ISNUMBER(SEARCH("Espeto",N417)),ISNUMBER(SEARCH("Tatuapé",N417))),"SIM","")</f>
        <v/>
      </c>
      <c r="R417" s="92">
        <f>IF(AND(ISNUMBER(SEARCH("Espeto",N417)),ISNUMBER(SEARCH("Pavão",N417))),"SIM","")</f>
        <v/>
      </c>
      <c r="S417" s="92">
        <f>IF(AND(ISNUMBER(SEARCH("Espeto",N417)),ISNUMBER(SEARCH("Chac",N417))),"SIM","")</f>
        <v/>
      </c>
      <c r="T417" s="92">
        <f>IF(AND(ISNUMBER(SEARCH("Espeto",N417)),ISNUMBER(SEARCH("Madalena",N417))),"SIM","")</f>
        <v/>
      </c>
      <c r="U417" s="92">
        <f>IF(AND(ISNUMBER(SEARCH("Espeto",N417)),ISNUMBER(SEARCH("Mariana",N417))),"SIM","")</f>
        <v/>
      </c>
      <c r="V417" s="92">
        <f>IF(AND(ISNUMBER(SEARCH("Espeto",N417)),ISNUMBER(SEARCH("Perdizes",N417))),"SIM","")</f>
        <v/>
      </c>
      <c r="W417" s="92">
        <f>IF(AND(ISNUMBER(SEARCH("Espeto",N417)),ISNUMBER(SEARCH("Santana",N417))),"SIM","")</f>
        <v/>
      </c>
      <c r="X417" s="92">
        <f>IF(AND(ISNUMBER(SEARCH("Espeto",N417)),ISNUMBER(SEARCH("André",N417))),"SIM","")</f>
        <v/>
      </c>
      <c r="Y417" s="92">
        <f>IF(AND(ISNUMBER(SEARCH("Delivery",N417)),ISNUMBER(SEARCH("Carin",N417))),"SIM","")</f>
        <v/>
      </c>
      <c r="Z417" s="92">
        <f>IF(AND(ISNUMBER(SEARCH("Delivery",N417)),ISNUMBER(SEARCH("Lapa",N417))),"SIM","")</f>
        <v/>
      </c>
      <c r="AA417" s="92">
        <f>IF(AND(ISNUMBER(SEARCH("Delivery",N417)),ISNUMBER(SEARCH("Tatuapé",N417))),"SIM","")</f>
        <v/>
      </c>
      <c r="AB417" s="92">
        <f>IF(AND(ISNUMBER(SEARCH("Delivery",N417)),ISNUMBER(SEARCH("Pavão",N417))),"SIM","")</f>
        <v/>
      </c>
      <c r="AC417" s="92">
        <f>IF(AND(ISNUMBER(SEARCH("Delivery",N417)),ISNUMBER(SEARCH("Chac",N417))),"SIM","")</f>
        <v/>
      </c>
      <c r="AD417" s="92">
        <f>IF(AND(ISNUMBER(SEARCH("Delivery",N417)),ISNUMBER(SEARCH("Madalena",N417))),"SIM","")</f>
        <v/>
      </c>
      <c r="AE417" s="92">
        <f>IF(AND(ISNUMBER(SEARCH("Delivery",N417)),ISNUMBER(SEARCH("Mariana",N417))),"SIM","")</f>
        <v/>
      </c>
      <c r="AF417" s="92">
        <f>IF(AND(ISNUMBER(SEARCH("Delivery",N417)),ISNUMBER(SEARCH("Perdizes",N417))),"SIM","")</f>
        <v/>
      </c>
      <c r="AG417" s="92">
        <f>IF(AND(ISNUMBER(SEARCH("Delivery",N417)),ISNUMBER(SEARCH("Santana",N417))),"SIM","")</f>
        <v/>
      </c>
      <c r="AH417" s="92">
        <f>IF(AND(ISNUMBER(SEARCH("Delivery",N417)),ISNUMBER(SEARCH("André",N417))),"SIM","")</f>
        <v/>
      </c>
      <c r="AI417" s="92">
        <f>IF(ISNUMBER(SEARCH("Interlagos",N417)),"SIM","")</f>
        <v/>
      </c>
      <c r="AJ417" s="92">
        <f>IF(ISNUMBER(SEARCH("Quiosque",N417)),"SIM","")</f>
        <v/>
      </c>
      <c r="AK417" s="93" t="n"/>
    </row>
    <row r="418">
      <c r="A418" s="88" t="inlineStr">
        <is>
          <t>Protheus</t>
        </is>
      </c>
      <c r="B418" s="96" t="inlineStr">
        <is>
          <t>009474</t>
        </is>
      </c>
      <c r="C418" s="97">
        <f>IF(B418="—","—",IFERROR(VLOOKUP(B418,_Protheus_Cadastro!$A:$B,2,FALSE),"—"))</f>
        <v/>
      </c>
      <c r="D418" s="98">
        <f>IF(B418="—",IFERROR(INDEX(_ZIG_Cadastro!$D:$D,MATCH(H418,_ZIG_Cadastro!$A:$A,0)),"Produto"),IFERROR(VLOOKUP(B418,_Protheus_Cadastro!$A:$C,3,FALSE),"—"))</f>
        <v/>
      </c>
      <c r="E418" s="98">
        <f>IF(B418="—","—",IFERROR(VLOOKUP(B418,_Protheus_Cadastro!$A:$D,4,FALSE),"—"))</f>
        <v/>
      </c>
      <c r="F418" s="98">
        <f>IF(ISERROR(VLOOKUP(B418,'Estrutura Protheus'!A:A,1,FALSE)),"Não","Sim")</f>
        <v/>
      </c>
      <c r="G418" s="99">
        <f>IFERROR(INDEX(_Protheus_Cadastro!$H:$H,MATCH(B418,_Protheus_Cadastro!$A:$A,0)),"—")</f>
        <v/>
      </c>
      <c r="H418" s="211">
        <f>IFERROR(INDEX(_ZIG_Precos!$D:$D,MATCH(I418,_ZIG_Precos!$F:$F,0)),"—")</f>
        <v/>
      </c>
      <c r="I418" s="103">
        <f>IFERROR(VLOOKUP(B418,_Protheus_Cadastro!$A:$I,9,FALSE),"—")</f>
        <v/>
      </c>
      <c r="J418" s="101">
        <f>IFERROR(INDEX(_ZIG_Cadastro!$B:$B,MATCH(I418,_ZIG_Cadastro!$A:$A,0)),IFERROR(INDEX(_Entradas_ZIG!$B:$B,MATCH(I418,_Entradas_ZIG!$C:$C,0)),"—"))</f>
        <v/>
      </c>
      <c r="K418" s="101">
        <f>IFERROR(INDEX(_ZIG_Cadastro!$C:$C,MATCH(I418,_ZIG_Cadastro!$A:$A,0)),IFERROR(INDEX(_Entradas_ZIG!$D:$D,MATCH(I418,_Entradas_ZIG!$C:$C,0)),"—"))</f>
        <v/>
      </c>
      <c r="L418" s="99">
        <f>IF(I418="","Sem SKU ZIG",IF(I418="—","Sem SKU ZIG",IF(NOT(ISERROR(MATCH(I418,_ZIG_Cadastro!$A:$A,0))),IF(EXACT(UPPER(TRIM(C418)),UPPER(TRIM(INDEX(_ZIG_Cadastro!$B:$B,MATCH(I418,_ZIG_Cadastro!$A:$A,0))))),"OK","Atencao - Nome diverge"),IF(NOT(ISERROR(MATCH(I418,_Entradas_ZIG!$C:$C,0))),"OK","Erro - SKU nao encontrado"))))</f>
        <v/>
      </c>
      <c r="M418" s="99">
        <f>IFERROR(INDEX(_ZIG_Cadastro!$G:$G,MATCH(I418,_ZIG_Cadastro!$A:$A,0)),IF(NOT(ISERROR(MATCH(I418,_Entradas_ZIG!$C:$C,0))),"Ativo","—"))</f>
        <v/>
      </c>
      <c r="N418" s="102">
        <f>IFERROR(INDEX(_ZIG_Cadastro!$E:$E,MATCH(I418,_ZIG_Cadastro!$A:$A,0)),IFERROR(INDEX(_Entradas_ZIG!$F:$F,MATCH(I418,_Entradas_ZIG!$C:$C,0)),"—"))</f>
        <v/>
      </c>
      <c r="O418" s="99">
        <f>IF(AND(ISNUMBER(SEARCH("Espeto",N418)),ISNUMBER(SEARCH("Carin",N418))),"SIM","")</f>
        <v/>
      </c>
      <c r="P418" s="99">
        <f>IF(AND(ISNUMBER(SEARCH("Espeto",N418)),ISNUMBER(SEARCH("Lapa",N418))),"SIM","")</f>
        <v/>
      </c>
      <c r="Q418" s="99">
        <f>IF(AND(ISNUMBER(SEARCH("Espeto",N418)),ISNUMBER(SEARCH("Tatuapé",N418))),"SIM","")</f>
        <v/>
      </c>
      <c r="R418" s="99">
        <f>IF(AND(ISNUMBER(SEARCH("Espeto",N418)),ISNUMBER(SEARCH("Pavão",N418))),"SIM","")</f>
        <v/>
      </c>
      <c r="S418" s="99">
        <f>IF(AND(ISNUMBER(SEARCH("Espeto",N418)),ISNUMBER(SEARCH("Chac",N418))),"SIM","")</f>
        <v/>
      </c>
      <c r="T418" s="99">
        <f>IF(AND(ISNUMBER(SEARCH("Espeto",N418)),ISNUMBER(SEARCH("Madalena",N418))),"SIM","")</f>
        <v/>
      </c>
      <c r="U418" s="99">
        <f>IF(AND(ISNUMBER(SEARCH("Espeto",N418)),ISNUMBER(SEARCH("Mariana",N418))),"SIM","")</f>
        <v/>
      </c>
      <c r="V418" s="99">
        <f>IF(AND(ISNUMBER(SEARCH("Espeto",N418)),ISNUMBER(SEARCH("Perdizes",N418))),"SIM","")</f>
        <v/>
      </c>
      <c r="W418" s="99">
        <f>IF(AND(ISNUMBER(SEARCH("Espeto",N418)),ISNUMBER(SEARCH("Santana",N418))),"SIM","")</f>
        <v/>
      </c>
      <c r="X418" s="99">
        <f>IF(AND(ISNUMBER(SEARCH("Espeto",N418)),ISNUMBER(SEARCH("André",N418))),"SIM","")</f>
        <v/>
      </c>
      <c r="Y418" s="99">
        <f>IF(AND(ISNUMBER(SEARCH("Delivery",N418)),ISNUMBER(SEARCH("Carin",N418))),"SIM","")</f>
        <v/>
      </c>
      <c r="Z418" s="99">
        <f>IF(AND(ISNUMBER(SEARCH("Delivery",N418)),ISNUMBER(SEARCH("Lapa",N418))),"SIM","")</f>
        <v/>
      </c>
      <c r="AA418" s="99">
        <f>IF(AND(ISNUMBER(SEARCH("Delivery",N418)),ISNUMBER(SEARCH("Tatuapé",N418))),"SIM","")</f>
        <v/>
      </c>
      <c r="AB418" s="99">
        <f>IF(AND(ISNUMBER(SEARCH("Delivery",N418)),ISNUMBER(SEARCH("Pavão",N418))),"SIM","")</f>
        <v/>
      </c>
      <c r="AC418" s="99">
        <f>IF(AND(ISNUMBER(SEARCH("Delivery",N418)),ISNUMBER(SEARCH("Chac",N418))),"SIM","")</f>
        <v/>
      </c>
      <c r="AD418" s="99">
        <f>IF(AND(ISNUMBER(SEARCH("Delivery",N418)),ISNUMBER(SEARCH("Madalena",N418))),"SIM","")</f>
        <v/>
      </c>
      <c r="AE418" s="99">
        <f>IF(AND(ISNUMBER(SEARCH("Delivery",N418)),ISNUMBER(SEARCH("Mariana",N418))),"SIM","")</f>
        <v/>
      </c>
      <c r="AF418" s="99">
        <f>IF(AND(ISNUMBER(SEARCH("Delivery",N418)),ISNUMBER(SEARCH("Perdizes",N418))),"SIM","")</f>
        <v/>
      </c>
      <c r="AG418" s="99">
        <f>IF(AND(ISNUMBER(SEARCH("Delivery",N418)),ISNUMBER(SEARCH("Santana",N418))),"SIM","")</f>
        <v/>
      </c>
      <c r="AH418" s="99">
        <f>IF(AND(ISNUMBER(SEARCH("Delivery",N418)),ISNUMBER(SEARCH("André",N418))),"SIM","")</f>
        <v/>
      </c>
      <c r="AI418" s="99">
        <f>IF(ISNUMBER(SEARCH("Interlagos",N418)),"SIM","")</f>
        <v/>
      </c>
      <c r="AJ418" s="99">
        <f>IF(ISNUMBER(SEARCH("Quiosque",N418)),"SIM","")</f>
        <v/>
      </c>
      <c r="AK418" s="101" t="n"/>
    </row>
    <row r="419">
      <c r="A419" s="88" t="inlineStr">
        <is>
          <t>Protheus</t>
        </is>
      </c>
      <c r="B419" s="89" t="inlineStr">
        <is>
          <t>001480</t>
        </is>
      </c>
      <c r="C419" s="90">
        <f>IF(B419="—","—",IFERROR(VLOOKUP(B419,_Protheus_Cadastro!$A:$B,2,FALSE),"—"))</f>
        <v/>
      </c>
      <c r="D419" s="91">
        <f>IF(B419="—",IFERROR(INDEX(_ZIG_Cadastro!$D:$D,MATCH(H419,_ZIG_Cadastro!$A:$A,0)),"Produto"),IFERROR(VLOOKUP(B419,_Protheus_Cadastro!$A:$C,3,FALSE),"—"))</f>
        <v/>
      </c>
      <c r="E419" s="91">
        <f>IF(B419="—","—",IFERROR(VLOOKUP(B419,_Protheus_Cadastro!$A:$D,4,FALSE),"—"))</f>
        <v/>
      </c>
      <c r="F419" s="91">
        <f>IF(ISERROR(VLOOKUP(B419,'Estrutura Protheus'!A:A,1,FALSE)),"Não","Sim")</f>
        <v/>
      </c>
      <c r="G419" s="92">
        <f>IFERROR(INDEX(_Protheus_Cadastro!$H:$H,MATCH(B419,_Protheus_Cadastro!$A:$A,0)),"—")</f>
        <v/>
      </c>
      <c r="H419" s="210">
        <f>IFERROR(INDEX(_ZIG_Precos!$D:$D,MATCH(I419,_ZIG_Precos!$F:$F,0)),"—")</f>
        <v/>
      </c>
      <c r="I419" s="95">
        <f>IFERROR(VLOOKUP(B419,_Protheus_Cadastro!$A:$I,9,FALSE),"—")</f>
        <v/>
      </c>
      <c r="J419" s="93">
        <f>IFERROR(INDEX(_ZIG_Cadastro!$B:$B,MATCH(I419,_ZIG_Cadastro!$A:$A,0)),IFERROR(INDEX(_Entradas_ZIG!$B:$B,MATCH(I419,_Entradas_ZIG!$C:$C,0)),"—"))</f>
        <v/>
      </c>
      <c r="K419" s="93">
        <f>IFERROR(INDEX(_ZIG_Cadastro!$C:$C,MATCH(I419,_ZIG_Cadastro!$A:$A,0)),IFERROR(INDEX(_Entradas_ZIG!$D:$D,MATCH(I419,_Entradas_ZIG!$C:$C,0)),"—"))</f>
        <v/>
      </c>
      <c r="L419" s="92">
        <f>IF(I419="","Sem SKU ZIG",IF(I419="—","Sem SKU ZIG",IF(NOT(ISERROR(MATCH(I419,_ZIG_Cadastro!$A:$A,0))),IF(EXACT(UPPER(TRIM(C419)),UPPER(TRIM(INDEX(_ZIG_Cadastro!$B:$B,MATCH(I419,_ZIG_Cadastro!$A:$A,0))))),"OK","Atencao - Nome diverge"),IF(NOT(ISERROR(MATCH(I419,_Entradas_ZIG!$C:$C,0))),"OK","Erro - SKU nao encontrado"))))</f>
        <v/>
      </c>
      <c r="M419" s="92">
        <f>IFERROR(INDEX(_ZIG_Cadastro!$G:$G,MATCH(I419,_ZIG_Cadastro!$A:$A,0)),IF(NOT(ISERROR(MATCH(I419,_Entradas_ZIG!$C:$C,0))),"Ativo","—"))</f>
        <v/>
      </c>
      <c r="N419" s="94">
        <f>IFERROR(INDEX(_ZIG_Cadastro!$E:$E,MATCH(I419,_ZIG_Cadastro!$A:$A,0)),IFERROR(INDEX(_Entradas_ZIG!$F:$F,MATCH(I419,_Entradas_ZIG!$C:$C,0)),"—"))</f>
        <v/>
      </c>
      <c r="O419" s="92">
        <f>IF(AND(ISNUMBER(SEARCH("Espeto",N419)),ISNUMBER(SEARCH("Carin",N419))),"SIM","")</f>
        <v/>
      </c>
      <c r="P419" s="92">
        <f>IF(AND(ISNUMBER(SEARCH("Espeto",N419)),ISNUMBER(SEARCH("Lapa",N419))),"SIM","")</f>
        <v/>
      </c>
      <c r="Q419" s="92">
        <f>IF(AND(ISNUMBER(SEARCH("Espeto",N419)),ISNUMBER(SEARCH("Tatuapé",N419))),"SIM","")</f>
        <v/>
      </c>
      <c r="R419" s="92">
        <f>IF(AND(ISNUMBER(SEARCH("Espeto",N419)),ISNUMBER(SEARCH("Pavão",N419))),"SIM","")</f>
        <v/>
      </c>
      <c r="S419" s="92">
        <f>IF(AND(ISNUMBER(SEARCH("Espeto",N419)),ISNUMBER(SEARCH("Chac",N419))),"SIM","")</f>
        <v/>
      </c>
      <c r="T419" s="92">
        <f>IF(AND(ISNUMBER(SEARCH("Espeto",N419)),ISNUMBER(SEARCH("Madalena",N419))),"SIM","")</f>
        <v/>
      </c>
      <c r="U419" s="92">
        <f>IF(AND(ISNUMBER(SEARCH("Espeto",N419)),ISNUMBER(SEARCH("Mariana",N419))),"SIM","")</f>
        <v/>
      </c>
      <c r="V419" s="92">
        <f>IF(AND(ISNUMBER(SEARCH("Espeto",N419)),ISNUMBER(SEARCH("Perdizes",N419))),"SIM","")</f>
        <v/>
      </c>
      <c r="W419" s="92">
        <f>IF(AND(ISNUMBER(SEARCH("Espeto",N419)),ISNUMBER(SEARCH("Santana",N419))),"SIM","")</f>
        <v/>
      </c>
      <c r="X419" s="92">
        <f>IF(AND(ISNUMBER(SEARCH("Espeto",N419)),ISNUMBER(SEARCH("André",N419))),"SIM","")</f>
        <v/>
      </c>
      <c r="Y419" s="92">
        <f>IF(AND(ISNUMBER(SEARCH("Delivery",N419)),ISNUMBER(SEARCH("Carin",N419))),"SIM","")</f>
        <v/>
      </c>
      <c r="Z419" s="92">
        <f>IF(AND(ISNUMBER(SEARCH("Delivery",N419)),ISNUMBER(SEARCH("Lapa",N419))),"SIM","")</f>
        <v/>
      </c>
      <c r="AA419" s="92">
        <f>IF(AND(ISNUMBER(SEARCH("Delivery",N419)),ISNUMBER(SEARCH("Tatuapé",N419))),"SIM","")</f>
        <v/>
      </c>
      <c r="AB419" s="92">
        <f>IF(AND(ISNUMBER(SEARCH("Delivery",N419)),ISNUMBER(SEARCH("Pavão",N419))),"SIM","")</f>
        <v/>
      </c>
      <c r="AC419" s="92">
        <f>IF(AND(ISNUMBER(SEARCH("Delivery",N419)),ISNUMBER(SEARCH("Chac",N419))),"SIM","")</f>
        <v/>
      </c>
      <c r="AD419" s="92">
        <f>IF(AND(ISNUMBER(SEARCH("Delivery",N419)),ISNUMBER(SEARCH("Madalena",N419))),"SIM","")</f>
        <v/>
      </c>
      <c r="AE419" s="92">
        <f>IF(AND(ISNUMBER(SEARCH("Delivery",N419)),ISNUMBER(SEARCH("Mariana",N419))),"SIM","")</f>
        <v/>
      </c>
      <c r="AF419" s="92">
        <f>IF(AND(ISNUMBER(SEARCH("Delivery",N419)),ISNUMBER(SEARCH("Perdizes",N419))),"SIM","")</f>
        <v/>
      </c>
      <c r="AG419" s="92">
        <f>IF(AND(ISNUMBER(SEARCH("Delivery",N419)),ISNUMBER(SEARCH("Santana",N419))),"SIM","")</f>
        <v/>
      </c>
      <c r="AH419" s="92">
        <f>IF(AND(ISNUMBER(SEARCH("Delivery",N419)),ISNUMBER(SEARCH("André",N419))),"SIM","")</f>
        <v/>
      </c>
      <c r="AI419" s="92">
        <f>IF(ISNUMBER(SEARCH("Interlagos",N419)),"SIM","")</f>
        <v/>
      </c>
      <c r="AJ419" s="92">
        <f>IF(ISNUMBER(SEARCH("Quiosque",N419)),"SIM","")</f>
        <v/>
      </c>
      <c r="AK419" s="93" t="n"/>
    </row>
    <row r="420">
      <c r="A420" s="88" t="inlineStr">
        <is>
          <t>Protheus</t>
        </is>
      </c>
      <c r="B420" s="96" t="inlineStr">
        <is>
          <t>009639</t>
        </is>
      </c>
      <c r="C420" s="97">
        <f>IF(B420="—","—",IFERROR(VLOOKUP(B420,_Protheus_Cadastro!$A:$B,2,FALSE),"—"))</f>
        <v/>
      </c>
      <c r="D420" s="98">
        <f>IF(B420="—",IFERROR(INDEX(_ZIG_Cadastro!$D:$D,MATCH(H420,_ZIG_Cadastro!$A:$A,0)),"Produto"),IFERROR(VLOOKUP(B420,_Protheus_Cadastro!$A:$C,3,FALSE),"—"))</f>
        <v/>
      </c>
      <c r="E420" s="98">
        <f>IF(B420="—","—",IFERROR(VLOOKUP(B420,_Protheus_Cadastro!$A:$D,4,FALSE),"—"))</f>
        <v/>
      </c>
      <c r="F420" s="98">
        <f>IF(ISERROR(VLOOKUP(B420,'Estrutura Protheus'!A:A,1,FALSE)),"Não","Sim")</f>
        <v/>
      </c>
      <c r="G420" s="99">
        <f>IFERROR(INDEX(_Protheus_Cadastro!$H:$H,MATCH(B420,_Protheus_Cadastro!$A:$A,0)),"—")</f>
        <v/>
      </c>
      <c r="H420" s="211">
        <f>IFERROR(INDEX(_ZIG_Precos!$D:$D,MATCH(I420,_ZIG_Precos!$F:$F,0)),"—")</f>
        <v/>
      </c>
      <c r="I420" s="103">
        <f>IFERROR(VLOOKUP(B420,_Protheus_Cadastro!$A:$I,9,FALSE),"—")</f>
        <v/>
      </c>
      <c r="J420" s="101">
        <f>IFERROR(INDEX(_ZIG_Cadastro!$B:$B,MATCH(I420,_ZIG_Cadastro!$A:$A,0)),IFERROR(INDEX(_Entradas_ZIG!$B:$B,MATCH(I420,_Entradas_ZIG!$C:$C,0)),"—"))</f>
        <v/>
      </c>
      <c r="K420" s="101">
        <f>IFERROR(INDEX(_ZIG_Cadastro!$C:$C,MATCH(I420,_ZIG_Cadastro!$A:$A,0)),IFERROR(INDEX(_Entradas_ZIG!$D:$D,MATCH(I420,_Entradas_ZIG!$C:$C,0)),"—"))</f>
        <v/>
      </c>
      <c r="L420" s="99">
        <f>IF(I420="","Sem SKU ZIG",IF(I420="—","Sem SKU ZIG",IF(NOT(ISERROR(MATCH(I420,_ZIG_Cadastro!$A:$A,0))),IF(EXACT(UPPER(TRIM(C420)),UPPER(TRIM(INDEX(_ZIG_Cadastro!$B:$B,MATCH(I420,_ZIG_Cadastro!$A:$A,0))))),"OK","Atencao - Nome diverge"),IF(NOT(ISERROR(MATCH(I420,_Entradas_ZIG!$C:$C,0))),"OK","Erro - SKU nao encontrado"))))</f>
        <v/>
      </c>
      <c r="M420" s="99">
        <f>IFERROR(INDEX(_ZIG_Cadastro!$G:$G,MATCH(I420,_ZIG_Cadastro!$A:$A,0)),IF(NOT(ISERROR(MATCH(I420,_Entradas_ZIG!$C:$C,0))),"Ativo","—"))</f>
        <v/>
      </c>
      <c r="N420" s="102">
        <f>IFERROR(INDEX(_ZIG_Cadastro!$E:$E,MATCH(I420,_ZIG_Cadastro!$A:$A,0)),IFERROR(INDEX(_Entradas_ZIG!$F:$F,MATCH(I420,_Entradas_ZIG!$C:$C,0)),"—"))</f>
        <v/>
      </c>
      <c r="O420" s="99">
        <f>IF(AND(ISNUMBER(SEARCH("Espeto",N420)),ISNUMBER(SEARCH("Carin",N420))),"SIM","")</f>
        <v/>
      </c>
      <c r="P420" s="99">
        <f>IF(AND(ISNUMBER(SEARCH("Espeto",N420)),ISNUMBER(SEARCH("Lapa",N420))),"SIM","")</f>
        <v/>
      </c>
      <c r="Q420" s="99">
        <f>IF(AND(ISNUMBER(SEARCH("Espeto",N420)),ISNUMBER(SEARCH("Tatuapé",N420))),"SIM","")</f>
        <v/>
      </c>
      <c r="R420" s="99">
        <f>IF(AND(ISNUMBER(SEARCH("Espeto",N420)),ISNUMBER(SEARCH("Pavão",N420))),"SIM","")</f>
        <v/>
      </c>
      <c r="S420" s="99">
        <f>IF(AND(ISNUMBER(SEARCH("Espeto",N420)),ISNUMBER(SEARCH("Chac",N420))),"SIM","")</f>
        <v/>
      </c>
      <c r="T420" s="99">
        <f>IF(AND(ISNUMBER(SEARCH("Espeto",N420)),ISNUMBER(SEARCH("Madalena",N420))),"SIM","")</f>
        <v/>
      </c>
      <c r="U420" s="99">
        <f>IF(AND(ISNUMBER(SEARCH("Espeto",N420)),ISNUMBER(SEARCH("Mariana",N420))),"SIM","")</f>
        <v/>
      </c>
      <c r="V420" s="99">
        <f>IF(AND(ISNUMBER(SEARCH("Espeto",N420)),ISNUMBER(SEARCH("Perdizes",N420))),"SIM","")</f>
        <v/>
      </c>
      <c r="W420" s="99">
        <f>IF(AND(ISNUMBER(SEARCH("Espeto",N420)),ISNUMBER(SEARCH("Santana",N420))),"SIM","")</f>
        <v/>
      </c>
      <c r="X420" s="99">
        <f>IF(AND(ISNUMBER(SEARCH("Espeto",N420)),ISNUMBER(SEARCH("André",N420))),"SIM","")</f>
        <v/>
      </c>
      <c r="Y420" s="99">
        <f>IF(AND(ISNUMBER(SEARCH("Delivery",N420)),ISNUMBER(SEARCH("Carin",N420))),"SIM","")</f>
        <v/>
      </c>
      <c r="Z420" s="99">
        <f>IF(AND(ISNUMBER(SEARCH("Delivery",N420)),ISNUMBER(SEARCH("Lapa",N420))),"SIM","")</f>
        <v/>
      </c>
      <c r="AA420" s="99">
        <f>IF(AND(ISNUMBER(SEARCH("Delivery",N420)),ISNUMBER(SEARCH("Tatuapé",N420))),"SIM","")</f>
        <v/>
      </c>
      <c r="AB420" s="99">
        <f>IF(AND(ISNUMBER(SEARCH("Delivery",N420)),ISNUMBER(SEARCH("Pavão",N420))),"SIM","")</f>
        <v/>
      </c>
      <c r="AC420" s="99">
        <f>IF(AND(ISNUMBER(SEARCH("Delivery",N420)),ISNUMBER(SEARCH("Chac",N420))),"SIM","")</f>
        <v/>
      </c>
      <c r="AD420" s="99">
        <f>IF(AND(ISNUMBER(SEARCH("Delivery",N420)),ISNUMBER(SEARCH("Madalena",N420))),"SIM","")</f>
        <v/>
      </c>
      <c r="AE420" s="99">
        <f>IF(AND(ISNUMBER(SEARCH("Delivery",N420)),ISNUMBER(SEARCH("Mariana",N420))),"SIM","")</f>
        <v/>
      </c>
      <c r="AF420" s="99">
        <f>IF(AND(ISNUMBER(SEARCH("Delivery",N420)),ISNUMBER(SEARCH("Perdizes",N420))),"SIM","")</f>
        <v/>
      </c>
      <c r="AG420" s="99">
        <f>IF(AND(ISNUMBER(SEARCH("Delivery",N420)),ISNUMBER(SEARCH("Santana",N420))),"SIM","")</f>
        <v/>
      </c>
      <c r="AH420" s="99">
        <f>IF(AND(ISNUMBER(SEARCH("Delivery",N420)),ISNUMBER(SEARCH("André",N420))),"SIM","")</f>
        <v/>
      </c>
      <c r="AI420" s="99">
        <f>IF(ISNUMBER(SEARCH("Interlagos",N420)),"SIM","")</f>
        <v/>
      </c>
      <c r="AJ420" s="99">
        <f>IF(ISNUMBER(SEARCH("Quiosque",N420)),"SIM","")</f>
        <v/>
      </c>
      <c r="AK420" s="101" t="n"/>
    </row>
    <row r="421">
      <c r="A421" s="88" t="inlineStr">
        <is>
          <t>Protheus</t>
        </is>
      </c>
      <c r="B421" s="89" t="inlineStr">
        <is>
          <t>001407</t>
        </is>
      </c>
      <c r="C421" s="90">
        <f>IF(B421="—","—",IFERROR(VLOOKUP(B421,_Protheus_Cadastro!$A:$B,2,FALSE),"—"))</f>
        <v/>
      </c>
      <c r="D421" s="91">
        <f>IF(B421="—",IFERROR(INDEX(_ZIG_Cadastro!$D:$D,MATCH(H421,_ZIG_Cadastro!$A:$A,0)),"Produto"),IFERROR(VLOOKUP(B421,_Protheus_Cadastro!$A:$C,3,FALSE),"—"))</f>
        <v/>
      </c>
      <c r="E421" s="91">
        <f>IF(B421="—","—",IFERROR(VLOOKUP(B421,_Protheus_Cadastro!$A:$D,4,FALSE),"—"))</f>
        <v/>
      </c>
      <c r="F421" s="91">
        <f>IF(ISERROR(VLOOKUP(B421,'Estrutura Protheus'!A:A,1,FALSE)),"Não","Sim")</f>
        <v/>
      </c>
      <c r="G421" s="92">
        <f>IFERROR(INDEX(_Protheus_Cadastro!$H:$H,MATCH(B421,_Protheus_Cadastro!$A:$A,0)),"—")</f>
        <v/>
      </c>
      <c r="H421" s="210">
        <f>IFERROR(INDEX(_ZIG_Precos!$D:$D,MATCH(I421,_ZIG_Precos!$F:$F,0)),"—")</f>
        <v/>
      </c>
      <c r="I421" s="95">
        <f>IFERROR(VLOOKUP(B421,_Protheus_Cadastro!$A:$I,9,FALSE),"—")</f>
        <v/>
      </c>
      <c r="J421" s="93">
        <f>IFERROR(INDEX(_ZIG_Cadastro!$B:$B,MATCH(I421,_ZIG_Cadastro!$A:$A,0)),IFERROR(INDEX(_Entradas_ZIG!$B:$B,MATCH(I421,_Entradas_ZIG!$C:$C,0)),"—"))</f>
        <v/>
      </c>
      <c r="K421" s="93">
        <f>IFERROR(INDEX(_ZIG_Cadastro!$C:$C,MATCH(I421,_ZIG_Cadastro!$A:$A,0)),IFERROR(INDEX(_Entradas_ZIG!$D:$D,MATCH(I421,_Entradas_ZIG!$C:$C,0)),"—"))</f>
        <v/>
      </c>
      <c r="L421" s="92">
        <f>IF(I421="","Sem SKU ZIG",IF(I421="—","Sem SKU ZIG",IF(NOT(ISERROR(MATCH(I421,_ZIG_Cadastro!$A:$A,0))),IF(EXACT(UPPER(TRIM(C421)),UPPER(TRIM(INDEX(_ZIG_Cadastro!$B:$B,MATCH(I421,_ZIG_Cadastro!$A:$A,0))))),"OK","Atencao - Nome diverge"),IF(NOT(ISERROR(MATCH(I421,_Entradas_ZIG!$C:$C,0))),"OK","Erro - SKU nao encontrado"))))</f>
        <v/>
      </c>
      <c r="M421" s="92">
        <f>IFERROR(INDEX(_ZIG_Cadastro!$G:$G,MATCH(I421,_ZIG_Cadastro!$A:$A,0)),IF(NOT(ISERROR(MATCH(I421,_Entradas_ZIG!$C:$C,0))),"Ativo","—"))</f>
        <v/>
      </c>
      <c r="N421" s="94">
        <f>IFERROR(INDEX(_ZIG_Cadastro!$E:$E,MATCH(I421,_ZIG_Cadastro!$A:$A,0)),IFERROR(INDEX(_Entradas_ZIG!$F:$F,MATCH(I421,_Entradas_ZIG!$C:$C,0)),"—"))</f>
        <v/>
      </c>
      <c r="O421" s="92">
        <f>IF(AND(ISNUMBER(SEARCH("Espeto",N421)),ISNUMBER(SEARCH("Carin",N421))),"SIM","")</f>
        <v/>
      </c>
      <c r="P421" s="92">
        <f>IF(AND(ISNUMBER(SEARCH("Espeto",N421)),ISNUMBER(SEARCH("Lapa",N421))),"SIM","")</f>
        <v/>
      </c>
      <c r="Q421" s="92">
        <f>IF(AND(ISNUMBER(SEARCH("Espeto",N421)),ISNUMBER(SEARCH("Tatuapé",N421))),"SIM","")</f>
        <v/>
      </c>
      <c r="R421" s="92">
        <f>IF(AND(ISNUMBER(SEARCH("Espeto",N421)),ISNUMBER(SEARCH("Pavão",N421))),"SIM","")</f>
        <v/>
      </c>
      <c r="S421" s="92">
        <f>IF(AND(ISNUMBER(SEARCH("Espeto",N421)),ISNUMBER(SEARCH("Chac",N421))),"SIM","")</f>
        <v/>
      </c>
      <c r="T421" s="92">
        <f>IF(AND(ISNUMBER(SEARCH("Espeto",N421)),ISNUMBER(SEARCH("Madalena",N421))),"SIM","")</f>
        <v/>
      </c>
      <c r="U421" s="92">
        <f>IF(AND(ISNUMBER(SEARCH("Espeto",N421)),ISNUMBER(SEARCH("Mariana",N421))),"SIM","")</f>
        <v/>
      </c>
      <c r="V421" s="92">
        <f>IF(AND(ISNUMBER(SEARCH("Espeto",N421)),ISNUMBER(SEARCH("Perdizes",N421))),"SIM","")</f>
        <v/>
      </c>
      <c r="W421" s="92">
        <f>IF(AND(ISNUMBER(SEARCH("Espeto",N421)),ISNUMBER(SEARCH("Santana",N421))),"SIM","")</f>
        <v/>
      </c>
      <c r="X421" s="92">
        <f>IF(AND(ISNUMBER(SEARCH("Espeto",N421)),ISNUMBER(SEARCH("André",N421))),"SIM","")</f>
        <v/>
      </c>
      <c r="Y421" s="92">
        <f>IF(AND(ISNUMBER(SEARCH("Delivery",N421)),ISNUMBER(SEARCH("Carin",N421))),"SIM","")</f>
        <v/>
      </c>
      <c r="Z421" s="92">
        <f>IF(AND(ISNUMBER(SEARCH("Delivery",N421)),ISNUMBER(SEARCH("Lapa",N421))),"SIM","")</f>
        <v/>
      </c>
      <c r="AA421" s="92">
        <f>IF(AND(ISNUMBER(SEARCH("Delivery",N421)),ISNUMBER(SEARCH("Tatuapé",N421))),"SIM","")</f>
        <v/>
      </c>
      <c r="AB421" s="92">
        <f>IF(AND(ISNUMBER(SEARCH("Delivery",N421)),ISNUMBER(SEARCH("Pavão",N421))),"SIM","")</f>
        <v/>
      </c>
      <c r="AC421" s="92">
        <f>IF(AND(ISNUMBER(SEARCH("Delivery",N421)),ISNUMBER(SEARCH("Chac",N421))),"SIM","")</f>
        <v/>
      </c>
      <c r="AD421" s="92">
        <f>IF(AND(ISNUMBER(SEARCH("Delivery",N421)),ISNUMBER(SEARCH("Madalena",N421))),"SIM","")</f>
        <v/>
      </c>
      <c r="AE421" s="92">
        <f>IF(AND(ISNUMBER(SEARCH("Delivery",N421)),ISNUMBER(SEARCH("Mariana",N421))),"SIM","")</f>
        <v/>
      </c>
      <c r="AF421" s="92">
        <f>IF(AND(ISNUMBER(SEARCH("Delivery",N421)),ISNUMBER(SEARCH("Perdizes",N421))),"SIM","")</f>
        <v/>
      </c>
      <c r="AG421" s="92">
        <f>IF(AND(ISNUMBER(SEARCH("Delivery",N421)),ISNUMBER(SEARCH("Santana",N421))),"SIM","")</f>
        <v/>
      </c>
      <c r="AH421" s="92">
        <f>IF(AND(ISNUMBER(SEARCH("Delivery",N421)),ISNUMBER(SEARCH("André",N421))),"SIM","")</f>
        <v/>
      </c>
      <c r="AI421" s="92">
        <f>IF(ISNUMBER(SEARCH("Interlagos",N421)),"SIM","")</f>
        <v/>
      </c>
      <c r="AJ421" s="92">
        <f>IF(ISNUMBER(SEARCH("Quiosque",N421)),"SIM","")</f>
        <v/>
      </c>
      <c r="AK421" s="93" t="n"/>
    </row>
    <row r="422">
      <c r="A422" s="88" t="inlineStr">
        <is>
          <t>Protheus</t>
        </is>
      </c>
      <c r="B422" s="89" t="inlineStr">
        <is>
          <t>001366</t>
        </is>
      </c>
      <c r="C422" s="90">
        <f>IF(B422="—","—",IFERROR(VLOOKUP(B422,_Protheus_Cadastro!$A:$B,2,FALSE),"—"))</f>
        <v/>
      </c>
      <c r="D422" s="91">
        <f>IF(B422="—",IFERROR(INDEX(_ZIG_Cadastro!$D:$D,MATCH(H422,_ZIG_Cadastro!$A:$A,0)),"Produto"),IFERROR(VLOOKUP(B422,_Protheus_Cadastro!$A:$C,3,FALSE),"—"))</f>
        <v/>
      </c>
      <c r="E422" s="91">
        <f>IF(B422="—","—",IFERROR(VLOOKUP(B422,_Protheus_Cadastro!$A:$D,4,FALSE),"—"))</f>
        <v/>
      </c>
      <c r="F422" s="91">
        <f>IF(ISERROR(VLOOKUP(B422,'Estrutura Protheus'!A:A,1,FALSE)),"Não","Sim")</f>
        <v/>
      </c>
      <c r="G422" s="92">
        <f>IFERROR(INDEX(_Protheus_Cadastro!$H:$H,MATCH(B422,_Protheus_Cadastro!$A:$A,0)),"—")</f>
        <v/>
      </c>
      <c r="H422" s="210">
        <f>IFERROR(INDEX(_ZIG_Precos!$D:$D,MATCH(I422,_ZIG_Precos!$F:$F,0)),"—")</f>
        <v/>
      </c>
      <c r="I422" s="95">
        <f>IFERROR(VLOOKUP(B422,_Protheus_Cadastro!$A:$I,9,FALSE),"—")</f>
        <v/>
      </c>
      <c r="J422" s="93">
        <f>IFERROR(INDEX(_ZIG_Cadastro!$B:$B,MATCH(I422,_ZIG_Cadastro!$A:$A,0)),IFERROR(INDEX(_Entradas_ZIG!$B:$B,MATCH(I422,_Entradas_ZIG!$C:$C,0)),"—"))</f>
        <v/>
      </c>
      <c r="K422" s="93">
        <f>IFERROR(INDEX(_ZIG_Cadastro!$C:$C,MATCH(I422,_ZIG_Cadastro!$A:$A,0)),IFERROR(INDEX(_Entradas_ZIG!$D:$D,MATCH(I422,_Entradas_ZIG!$C:$C,0)),"—"))</f>
        <v/>
      </c>
      <c r="L422" s="92">
        <f>IF(I422="","Sem SKU ZIG",IF(I422="—","Sem SKU ZIG",IF(NOT(ISERROR(MATCH(I422,_ZIG_Cadastro!$A:$A,0))),IF(EXACT(UPPER(TRIM(C422)),UPPER(TRIM(INDEX(_ZIG_Cadastro!$B:$B,MATCH(I422,_ZIG_Cadastro!$A:$A,0))))),"OK","Atencao - Nome diverge"),IF(NOT(ISERROR(MATCH(I422,_Entradas_ZIG!$C:$C,0))),"OK","Erro - SKU nao encontrado"))))</f>
        <v/>
      </c>
      <c r="M422" s="92">
        <f>IFERROR(INDEX(_ZIG_Cadastro!$G:$G,MATCH(I422,_ZIG_Cadastro!$A:$A,0)),IF(NOT(ISERROR(MATCH(I422,_Entradas_ZIG!$C:$C,0))),"Ativo","—"))</f>
        <v/>
      </c>
      <c r="N422" s="94">
        <f>IFERROR(INDEX(_ZIG_Cadastro!$E:$E,MATCH(I422,_ZIG_Cadastro!$A:$A,0)),IFERROR(INDEX(_Entradas_ZIG!$F:$F,MATCH(I422,_Entradas_ZIG!$C:$C,0)),"—"))</f>
        <v/>
      </c>
      <c r="O422" s="92">
        <f>IF(AND(ISNUMBER(SEARCH("Espeto",N422)),ISNUMBER(SEARCH("Carin",N422))),"SIM","")</f>
        <v/>
      </c>
      <c r="P422" s="92">
        <f>IF(AND(ISNUMBER(SEARCH("Espeto",N422)),ISNUMBER(SEARCH("Lapa",N422))),"SIM","")</f>
        <v/>
      </c>
      <c r="Q422" s="92">
        <f>IF(AND(ISNUMBER(SEARCH("Espeto",N422)),ISNUMBER(SEARCH("Tatuapé",N422))),"SIM","")</f>
        <v/>
      </c>
      <c r="R422" s="92">
        <f>IF(AND(ISNUMBER(SEARCH("Espeto",N422)),ISNUMBER(SEARCH("Pavão",N422))),"SIM","")</f>
        <v/>
      </c>
      <c r="S422" s="92">
        <f>IF(AND(ISNUMBER(SEARCH("Espeto",N422)),ISNUMBER(SEARCH("Chac",N422))),"SIM","")</f>
        <v/>
      </c>
      <c r="T422" s="92">
        <f>IF(AND(ISNUMBER(SEARCH("Espeto",N422)),ISNUMBER(SEARCH("Madalena",N422))),"SIM","")</f>
        <v/>
      </c>
      <c r="U422" s="92">
        <f>IF(AND(ISNUMBER(SEARCH("Espeto",N422)),ISNUMBER(SEARCH("Mariana",N422))),"SIM","")</f>
        <v/>
      </c>
      <c r="V422" s="92">
        <f>IF(AND(ISNUMBER(SEARCH("Espeto",N422)),ISNUMBER(SEARCH("Perdizes",N422))),"SIM","")</f>
        <v/>
      </c>
      <c r="W422" s="92">
        <f>IF(AND(ISNUMBER(SEARCH("Espeto",N422)),ISNUMBER(SEARCH("Santana",N422))),"SIM","")</f>
        <v/>
      </c>
      <c r="X422" s="92">
        <f>IF(AND(ISNUMBER(SEARCH("Espeto",N422)),ISNUMBER(SEARCH("André",N422))),"SIM","")</f>
        <v/>
      </c>
      <c r="Y422" s="92">
        <f>IF(AND(ISNUMBER(SEARCH("Delivery",N422)),ISNUMBER(SEARCH("Carin",N422))),"SIM","")</f>
        <v/>
      </c>
      <c r="Z422" s="92">
        <f>IF(AND(ISNUMBER(SEARCH("Delivery",N422)),ISNUMBER(SEARCH("Lapa",N422))),"SIM","")</f>
        <v/>
      </c>
      <c r="AA422" s="92">
        <f>IF(AND(ISNUMBER(SEARCH("Delivery",N422)),ISNUMBER(SEARCH("Tatuapé",N422))),"SIM","")</f>
        <v/>
      </c>
      <c r="AB422" s="92">
        <f>IF(AND(ISNUMBER(SEARCH("Delivery",N422)),ISNUMBER(SEARCH("Pavão",N422))),"SIM","")</f>
        <v/>
      </c>
      <c r="AC422" s="92">
        <f>IF(AND(ISNUMBER(SEARCH("Delivery",N422)),ISNUMBER(SEARCH("Chac",N422))),"SIM","")</f>
        <v/>
      </c>
      <c r="AD422" s="92">
        <f>IF(AND(ISNUMBER(SEARCH("Delivery",N422)),ISNUMBER(SEARCH("Madalena",N422))),"SIM","")</f>
        <v/>
      </c>
      <c r="AE422" s="92">
        <f>IF(AND(ISNUMBER(SEARCH("Delivery",N422)),ISNUMBER(SEARCH("Mariana",N422))),"SIM","")</f>
        <v/>
      </c>
      <c r="AF422" s="92">
        <f>IF(AND(ISNUMBER(SEARCH("Delivery",N422)),ISNUMBER(SEARCH("Perdizes",N422))),"SIM","")</f>
        <v/>
      </c>
      <c r="AG422" s="92">
        <f>IF(AND(ISNUMBER(SEARCH("Delivery",N422)),ISNUMBER(SEARCH("Santana",N422))),"SIM","")</f>
        <v/>
      </c>
      <c r="AH422" s="92">
        <f>IF(AND(ISNUMBER(SEARCH("Delivery",N422)),ISNUMBER(SEARCH("André",N422))),"SIM","")</f>
        <v/>
      </c>
      <c r="AI422" s="92">
        <f>IF(ISNUMBER(SEARCH("Interlagos",N422)),"SIM","")</f>
        <v/>
      </c>
      <c r="AJ422" s="92">
        <f>IF(ISNUMBER(SEARCH("Quiosque",N422)),"SIM","")</f>
        <v/>
      </c>
      <c r="AK422" s="93" t="n"/>
    </row>
    <row r="423">
      <c r="A423" s="88" t="inlineStr">
        <is>
          <t>Protheus</t>
        </is>
      </c>
      <c r="B423" s="96" t="inlineStr">
        <is>
          <t>000042</t>
        </is>
      </c>
      <c r="C423" s="97">
        <f>IF(B423="—","—",IFERROR(VLOOKUP(B423,_Protheus_Cadastro!$A:$B,2,FALSE),"—"))</f>
        <v/>
      </c>
      <c r="D423" s="98">
        <f>IF(B423="—",IFERROR(INDEX(_ZIG_Cadastro!$D:$D,MATCH(H423,_ZIG_Cadastro!$A:$A,0)),"Produto"),IFERROR(VLOOKUP(B423,_Protheus_Cadastro!$A:$C,3,FALSE),"—"))</f>
        <v/>
      </c>
      <c r="E423" s="98">
        <f>IF(B423="—","—",IFERROR(VLOOKUP(B423,_Protheus_Cadastro!$A:$D,4,FALSE),"—"))</f>
        <v/>
      </c>
      <c r="F423" s="98">
        <f>IF(ISERROR(VLOOKUP(B423,'Estrutura Protheus'!A:A,1,FALSE)),"Não","Sim")</f>
        <v/>
      </c>
      <c r="G423" s="99">
        <f>IFERROR(INDEX(_Protheus_Cadastro!$H:$H,MATCH(B423,_Protheus_Cadastro!$A:$A,0)),"—")</f>
        <v/>
      </c>
      <c r="H423" s="211">
        <f>IFERROR(INDEX(_ZIG_Precos!$D:$D,MATCH(I423,_ZIG_Precos!$F:$F,0)),"—")</f>
        <v/>
      </c>
      <c r="I423" s="103">
        <f>IFERROR(VLOOKUP(B423,_Protheus_Cadastro!$A:$I,9,FALSE),"—")</f>
        <v/>
      </c>
      <c r="J423" s="101">
        <f>IFERROR(INDEX(_ZIG_Cadastro!$B:$B,MATCH(I423,_ZIG_Cadastro!$A:$A,0)),IFERROR(INDEX(_Entradas_ZIG!$B:$B,MATCH(I423,_Entradas_ZIG!$C:$C,0)),"—"))</f>
        <v/>
      </c>
      <c r="K423" s="101">
        <f>IFERROR(INDEX(_ZIG_Cadastro!$C:$C,MATCH(I423,_ZIG_Cadastro!$A:$A,0)),IFERROR(INDEX(_Entradas_ZIG!$D:$D,MATCH(I423,_Entradas_ZIG!$C:$C,0)),"—"))</f>
        <v/>
      </c>
      <c r="L423" s="99">
        <f>IF(I423="","Sem SKU ZIG",IF(I423="—","Sem SKU ZIG",IF(NOT(ISERROR(MATCH(I423,_ZIG_Cadastro!$A:$A,0))),IF(EXACT(UPPER(TRIM(C423)),UPPER(TRIM(INDEX(_ZIG_Cadastro!$B:$B,MATCH(I423,_ZIG_Cadastro!$A:$A,0))))),"OK","Atencao - Nome diverge"),IF(NOT(ISERROR(MATCH(I423,_Entradas_ZIG!$C:$C,0))),"OK","Erro - SKU nao encontrado"))))</f>
        <v/>
      </c>
      <c r="M423" s="99">
        <f>IFERROR(INDEX(_ZIG_Cadastro!$G:$G,MATCH(I423,_ZIG_Cadastro!$A:$A,0)),IF(NOT(ISERROR(MATCH(I423,_Entradas_ZIG!$C:$C,0))),"Ativo","—"))</f>
        <v/>
      </c>
      <c r="N423" s="102">
        <f>IFERROR(INDEX(_ZIG_Cadastro!$E:$E,MATCH(I423,_ZIG_Cadastro!$A:$A,0)),IFERROR(INDEX(_Entradas_ZIG!$F:$F,MATCH(I423,_Entradas_ZIG!$C:$C,0)),"—"))</f>
        <v/>
      </c>
      <c r="O423" s="99">
        <f>IF(AND(ISNUMBER(SEARCH("Espeto",N423)),ISNUMBER(SEARCH("Carin",N423))),"SIM","")</f>
        <v/>
      </c>
      <c r="P423" s="99">
        <f>IF(AND(ISNUMBER(SEARCH("Espeto",N423)),ISNUMBER(SEARCH("Lapa",N423))),"SIM","")</f>
        <v/>
      </c>
      <c r="Q423" s="99">
        <f>IF(AND(ISNUMBER(SEARCH("Espeto",N423)),ISNUMBER(SEARCH("Tatuapé",N423))),"SIM","")</f>
        <v/>
      </c>
      <c r="R423" s="99">
        <f>IF(AND(ISNUMBER(SEARCH("Espeto",N423)),ISNUMBER(SEARCH("Pavão",N423))),"SIM","")</f>
        <v/>
      </c>
      <c r="S423" s="99">
        <f>IF(AND(ISNUMBER(SEARCH("Espeto",N423)),ISNUMBER(SEARCH("Chac",N423))),"SIM","")</f>
        <v/>
      </c>
      <c r="T423" s="99">
        <f>IF(AND(ISNUMBER(SEARCH("Espeto",N423)),ISNUMBER(SEARCH("Madalena",N423))),"SIM","")</f>
        <v/>
      </c>
      <c r="U423" s="99">
        <f>IF(AND(ISNUMBER(SEARCH("Espeto",N423)),ISNUMBER(SEARCH("Mariana",N423))),"SIM","")</f>
        <v/>
      </c>
      <c r="V423" s="99">
        <f>IF(AND(ISNUMBER(SEARCH("Espeto",N423)),ISNUMBER(SEARCH("Perdizes",N423))),"SIM","")</f>
        <v/>
      </c>
      <c r="W423" s="99">
        <f>IF(AND(ISNUMBER(SEARCH("Espeto",N423)),ISNUMBER(SEARCH("Santana",N423))),"SIM","")</f>
        <v/>
      </c>
      <c r="X423" s="99">
        <f>IF(AND(ISNUMBER(SEARCH("Espeto",N423)),ISNUMBER(SEARCH("André",N423))),"SIM","")</f>
        <v/>
      </c>
      <c r="Y423" s="99">
        <f>IF(AND(ISNUMBER(SEARCH("Delivery",N423)),ISNUMBER(SEARCH("Carin",N423))),"SIM","")</f>
        <v/>
      </c>
      <c r="Z423" s="99">
        <f>IF(AND(ISNUMBER(SEARCH("Delivery",N423)),ISNUMBER(SEARCH("Lapa",N423))),"SIM","")</f>
        <v/>
      </c>
      <c r="AA423" s="99">
        <f>IF(AND(ISNUMBER(SEARCH("Delivery",N423)),ISNUMBER(SEARCH("Tatuapé",N423))),"SIM","")</f>
        <v/>
      </c>
      <c r="AB423" s="99">
        <f>IF(AND(ISNUMBER(SEARCH("Delivery",N423)),ISNUMBER(SEARCH("Pavão",N423))),"SIM","")</f>
        <v/>
      </c>
      <c r="AC423" s="99">
        <f>IF(AND(ISNUMBER(SEARCH("Delivery",N423)),ISNUMBER(SEARCH("Chac",N423))),"SIM","")</f>
        <v/>
      </c>
      <c r="AD423" s="99">
        <f>IF(AND(ISNUMBER(SEARCH("Delivery",N423)),ISNUMBER(SEARCH("Madalena",N423))),"SIM","")</f>
        <v/>
      </c>
      <c r="AE423" s="99">
        <f>IF(AND(ISNUMBER(SEARCH("Delivery",N423)),ISNUMBER(SEARCH("Mariana",N423))),"SIM","")</f>
        <v/>
      </c>
      <c r="AF423" s="99">
        <f>IF(AND(ISNUMBER(SEARCH("Delivery",N423)),ISNUMBER(SEARCH("Perdizes",N423))),"SIM","")</f>
        <v/>
      </c>
      <c r="AG423" s="99">
        <f>IF(AND(ISNUMBER(SEARCH("Delivery",N423)),ISNUMBER(SEARCH("Santana",N423))),"SIM","")</f>
        <v/>
      </c>
      <c r="AH423" s="99">
        <f>IF(AND(ISNUMBER(SEARCH("Delivery",N423)),ISNUMBER(SEARCH("André",N423))),"SIM","")</f>
        <v/>
      </c>
      <c r="AI423" s="99">
        <f>IF(ISNUMBER(SEARCH("Interlagos",N423)),"SIM","")</f>
        <v/>
      </c>
      <c r="AJ423" s="99">
        <f>IF(ISNUMBER(SEARCH("Quiosque",N423)),"SIM","")</f>
        <v/>
      </c>
      <c r="AK423" s="101" t="n"/>
    </row>
    <row r="424">
      <c r="A424" s="88" t="inlineStr">
        <is>
          <t>Protheus</t>
        </is>
      </c>
      <c r="B424" s="89" t="inlineStr">
        <is>
          <t>001225</t>
        </is>
      </c>
      <c r="C424" s="90">
        <f>IF(B424="—","—",IFERROR(VLOOKUP(B424,_Protheus_Cadastro!$A:$B,2,FALSE),"—"))</f>
        <v/>
      </c>
      <c r="D424" s="91">
        <f>IF(B424="—",IFERROR(INDEX(_ZIG_Cadastro!$D:$D,MATCH(H424,_ZIG_Cadastro!$A:$A,0)),"Produto"),IFERROR(VLOOKUP(B424,_Protheus_Cadastro!$A:$C,3,FALSE),"—"))</f>
        <v/>
      </c>
      <c r="E424" s="91">
        <f>IF(B424="—","—",IFERROR(VLOOKUP(B424,_Protheus_Cadastro!$A:$D,4,FALSE),"—"))</f>
        <v/>
      </c>
      <c r="F424" s="91">
        <f>IF(ISERROR(VLOOKUP(B424,'Estrutura Protheus'!A:A,1,FALSE)),"Não","Sim")</f>
        <v/>
      </c>
      <c r="G424" s="92">
        <f>IFERROR(INDEX(_Protheus_Cadastro!$H:$H,MATCH(B424,_Protheus_Cadastro!$A:$A,0)),"—")</f>
        <v/>
      </c>
      <c r="H424" s="210">
        <f>IFERROR(INDEX(_ZIG_Precos!$D:$D,MATCH(I424,_ZIG_Precos!$F:$F,0)),"—")</f>
        <v/>
      </c>
      <c r="I424" s="95">
        <f>IFERROR(VLOOKUP(B424,_Protheus_Cadastro!$A:$I,9,FALSE),"—")</f>
        <v/>
      </c>
      <c r="J424" s="93">
        <f>IFERROR(INDEX(_ZIG_Cadastro!$B:$B,MATCH(I424,_ZIG_Cadastro!$A:$A,0)),IFERROR(INDEX(_Entradas_ZIG!$B:$B,MATCH(I424,_Entradas_ZIG!$C:$C,0)),"—"))</f>
        <v/>
      </c>
      <c r="K424" s="93">
        <f>IFERROR(INDEX(_ZIG_Cadastro!$C:$C,MATCH(I424,_ZIG_Cadastro!$A:$A,0)),IFERROR(INDEX(_Entradas_ZIG!$D:$D,MATCH(I424,_Entradas_ZIG!$C:$C,0)),"—"))</f>
        <v/>
      </c>
      <c r="L424" s="92">
        <f>IF(I424="","Sem SKU ZIG",IF(I424="—","Sem SKU ZIG",IF(NOT(ISERROR(MATCH(I424,_ZIG_Cadastro!$A:$A,0))),IF(EXACT(UPPER(TRIM(C424)),UPPER(TRIM(INDEX(_ZIG_Cadastro!$B:$B,MATCH(I424,_ZIG_Cadastro!$A:$A,0))))),"OK","Atencao - Nome diverge"),IF(NOT(ISERROR(MATCH(I424,_Entradas_ZIG!$C:$C,0))),"OK","Erro - SKU nao encontrado"))))</f>
        <v/>
      </c>
      <c r="M424" s="92">
        <f>IFERROR(INDEX(_ZIG_Cadastro!$G:$G,MATCH(I424,_ZIG_Cadastro!$A:$A,0)),IF(NOT(ISERROR(MATCH(I424,_Entradas_ZIG!$C:$C,0))),"Ativo","—"))</f>
        <v/>
      </c>
      <c r="N424" s="94">
        <f>IFERROR(INDEX(_ZIG_Cadastro!$E:$E,MATCH(I424,_ZIG_Cadastro!$A:$A,0)),IFERROR(INDEX(_Entradas_ZIG!$F:$F,MATCH(I424,_Entradas_ZIG!$C:$C,0)),"—"))</f>
        <v/>
      </c>
      <c r="O424" s="92">
        <f>IF(AND(ISNUMBER(SEARCH("Espeto",N424)),ISNUMBER(SEARCH("Carin",N424))),"SIM","")</f>
        <v/>
      </c>
      <c r="P424" s="92">
        <f>IF(AND(ISNUMBER(SEARCH("Espeto",N424)),ISNUMBER(SEARCH("Lapa",N424))),"SIM","")</f>
        <v/>
      </c>
      <c r="Q424" s="92">
        <f>IF(AND(ISNUMBER(SEARCH("Espeto",N424)),ISNUMBER(SEARCH("Tatuapé",N424))),"SIM","")</f>
        <v/>
      </c>
      <c r="R424" s="92">
        <f>IF(AND(ISNUMBER(SEARCH("Espeto",N424)),ISNUMBER(SEARCH("Pavão",N424))),"SIM","")</f>
        <v/>
      </c>
      <c r="S424" s="92">
        <f>IF(AND(ISNUMBER(SEARCH("Espeto",N424)),ISNUMBER(SEARCH("Chac",N424))),"SIM","")</f>
        <v/>
      </c>
      <c r="T424" s="92">
        <f>IF(AND(ISNUMBER(SEARCH("Espeto",N424)),ISNUMBER(SEARCH("Madalena",N424))),"SIM","")</f>
        <v/>
      </c>
      <c r="U424" s="92">
        <f>IF(AND(ISNUMBER(SEARCH("Espeto",N424)),ISNUMBER(SEARCH("Mariana",N424))),"SIM","")</f>
        <v/>
      </c>
      <c r="V424" s="92">
        <f>IF(AND(ISNUMBER(SEARCH("Espeto",N424)),ISNUMBER(SEARCH("Perdizes",N424))),"SIM","")</f>
        <v/>
      </c>
      <c r="W424" s="92">
        <f>IF(AND(ISNUMBER(SEARCH("Espeto",N424)),ISNUMBER(SEARCH("Santana",N424))),"SIM","")</f>
        <v/>
      </c>
      <c r="X424" s="92">
        <f>IF(AND(ISNUMBER(SEARCH("Espeto",N424)),ISNUMBER(SEARCH("André",N424))),"SIM","")</f>
        <v/>
      </c>
      <c r="Y424" s="92">
        <f>IF(AND(ISNUMBER(SEARCH("Delivery",N424)),ISNUMBER(SEARCH("Carin",N424))),"SIM","")</f>
        <v/>
      </c>
      <c r="Z424" s="92">
        <f>IF(AND(ISNUMBER(SEARCH("Delivery",N424)),ISNUMBER(SEARCH("Lapa",N424))),"SIM","")</f>
        <v/>
      </c>
      <c r="AA424" s="92">
        <f>IF(AND(ISNUMBER(SEARCH("Delivery",N424)),ISNUMBER(SEARCH("Tatuapé",N424))),"SIM","")</f>
        <v/>
      </c>
      <c r="AB424" s="92">
        <f>IF(AND(ISNUMBER(SEARCH("Delivery",N424)),ISNUMBER(SEARCH("Pavão",N424))),"SIM","")</f>
        <v/>
      </c>
      <c r="AC424" s="92">
        <f>IF(AND(ISNUMBER(SEARCH("Delivery",N424)),ISNUMBER(SEARCH("Chac",N424))),"SIM","")</f>
        <v/>
      </c>
      <c r="AD424" s="92">
        <f>IF(AND(ISNUMBER(SEARCH("Delivery",N424)),ISNUMBER(SEARCH("Madalena",N424))),"SIM","")</f>
        <v/>
      </c>
      <c r="AE424" s="92">
        <f>IF(AND(ISNUMBER(SEARCH("Delivery",N424)),ISNUMBER(SEARCH("Mariana",N424))),"SIM","")</f>
        <v/>
      </c>
      <c r="AF424" s="92">
        <f>IF(AND(ISNUMBER(SEARCH("Delivery",N424)),ISNUMBER(SEARCH("Perdizes",N424))),"SIM","")</f>
        <v/>
      </c>
      <c r="AG424" s="92">
        <f>IF(AND(ISNUMBER(SEARCH("Delivery",N424)),ISNUMBER(SEARCH("Santana",N424))),"SIM","")</f>
        <v/>
      </c>
      <c r="AH424" s="92">
        <f>IF(AND(ISNUMBER(SEARCH("Delivery",N424)),ISNUMBER(SEARCH("André",N424))),"SIM","")</f>
        <v/>
      </c>
      <c r="AI424" s="92">
        <f>IF(ISNUMBER(SEARCH("Interlagos",N424)),"SIM","")</f>
        <v/>
      </c>
      <c r="AJ424" s="92">
        <f>IF(ISNUMBER(SEARCH("Quiosque",N424)),"SIM","")</f>
        <v/>
      </c>
      <c r="AK424" s="93" t="n"/>
    </row>
    <row r="425">
      <c r="A425" s="88" t="inlineStr">
        <is>
          <t>Protheus</t>
        </is>
      </c>
      <c r="B425" s="96" t="inlineStr">
        <is>
          <t>001683</t>
        </is>
      </c>
      <c r="C425" s="97">
        <f>IF(B425="—","—",IFERROR(VLOOKUP(B425,_Protheus_Cadastro!$A:$B,2,FALSE),"—"))</f>
        <v/>
      </c>
      <c r="D425" s="98">
        <f>IF(B425="—",IFERROR(INDEX(_ZIG_Cadastro!$D:$D,MATCH(H425,_ZIG_Cadastro!$A:$A,0)),"Produto"),IFERROR(VLOOKUP(B425,_Protheus_Cadastro!$A:$C,3,FALSE),"—"))</f>
        <v/>
      </c>
      <c r="E425" s="98">
        <f>IF(B425="—","—",IFERROR(VLOOKUP(B425,_Protheus_Cadastro!$A:$D,4,FALSE),"—"))</f>
        <v/>
      </c>
      <c r="F425" s="98">
        <f>IF(ISERROR(VLOOKUP(B425,'Estrutura Protheus'!A:A,1,FALSE)),"Não","Sim")</f>
        <v/>
      </c>
      <c r="G425" s="99">
        <f>IFERROR(INDEX(_Protheus_Cadastro!$H:$H,MATCH(B425,_Protheus_Cadastro!$A:$A,0)),"—")</f>
        <v/>
      </c>
      <c r="H425" s="211">
        <f>IFERROR(INDEX(_ZIG_Precos!$D:$D,MATCH(I425,_ZIG_Precos!$F:$F,0)),"—")</f>
        <v/>
      </c>
      <c r="I425" s="103">
        <f>IFERROR(VLOOKUP(B425,_Protheus_Cadastro!$A:$I,9,FALSE),"—")</f>
        <v/>
      </c>
      <c r="J425" s="101">
        <f>IFERROR(INDEX(_ZIG_Cadastro!$B:$B,MATCH(I425,_ZIG_Cadastro!$A:$A,0)),IFERROR(INDEX(_Entradas_ZIG!$B:$B,MATCH(I425,_Entradas_ZIG!$C:$C,0)),"—"))</f>
        <v/>
      </c>
      <c r="K425" s="101">
        <f>IFERROR(INDEX(_ZIG_Cadastro!$C:$C,MATCH(I425,_ZIG_Cadastro!$A:$A,0)),IFERROR(INDEX(_Entradas_ZIG!$D:$D,MATCH(I425,_Entradas_ZIG!$C:$C,0)),"—"))</f>
        <v/>
      </c>
      <c r="L425" s="99">
        <f>IF(I425="","Sem SKU ZIG",IF(I425="—","Sem SKU ZIG",IF(NOT(ISERROR(MATCH(I425,_ZIG_Cadastro!$A:$A,0))),IF(EXACT(UPPER(TRIM(C425)),UPPER(TRIM(INDEX(_ZIG_Cadastro!$B:$B,MATCH(I425,_ZIG_Cadastro!$A:$A,0))))),"OK","Atencao - Nome diverge"),IF(NOT(ISERROR(MATCH(I425,_Entradas_ZIG!$C:$C,0))),"OK","Erro - SKU nao encontrado"))))</f>
        <v/>
      </c>
      <c r="M425" s="99">
        <f>IFERROR(INDEX(_ZIG_Cadastro!$G:$G,MATCH(I425,_ZIG_Cadastro!$A:$A,0)),IF(NOT(ISERROR(MATCH(I425,_Entradas_ZIG!$C:$C,0))),"Ativo","—"))</f>
        <v/>
      </c>
      <c r="N425" s="102">
        <f>IFERROR(INDEX(_ZIG_Cadastro!$E:$E,MATCH(I425,_ZIG_Cadastro!$A:$A,0)),IFERROR(INDEX(_Entradas_ZIG!$F:$F,MATCH(I425,_Entradas_ZIG!$C:$C,0)),"—"))</f>
        <v/>
      </c>
      <c r="O425" s="99">
        <f>IF(AND(ISNUMBER(SEARCH("Espeto",N425)),ISNUMBER(SEARCH("Carin",N425))),"SIM","")</f>
        <v/>
      </c>
      <c r="P425" s="99">
        <f>IF(AND(ISNUMBER(SEARCH("Espeto",N425)),ISNUMBER(SEARCH("Lapa",N425))),"SIM","")</f>
        <v/>
      </c>
      <c r="Q425" s="99">
        <f>IF(AND(ISNUMBER(SEARCH("Espeto",N425)),ISNUMBER(SEARCH("Tatuapé",N425))),"SIM","")</f>
        <v/>
      </c>
      <c r="R425" s="99">
        <f>IF(AND(ISNUMBER(SEARCH("Espeto",N425)),ISNUMBER(SEARCH("Pavão",N425))),"SIM","")</f>
        <v/>
      </c>
      <c r="S425" s="99">
        <f>IF(AND(ISNUMBER(SEARCH("Espeto",N425)),ISNUMBER(SEARCH("Chac",N425))),"SIM","")</f>
        <v/>
      </c>
      <c r="T425" s="99">
        <f>IF(AND(ISNUMBER(SEARCH("Espeto",N425)),ISNUMBER(SEARCH("Madalena",N425))),"SIM","")</f>
        <v/>
      </c>
      <c r="U425" s="99">
        <f>IF(AND(ISNUMBER(SEARCH("Espeto",N425)),ISNUMBER(SEARCH("Mariana",N425))),"SIM","")</f>
        <v/>
      </c>
      <c r="V425" s="99">
        <f>IF(AND(ISNUMBER(SEARCH("Espeto",N425)),ISNUMBER(SEARCH("Perdizes",N425))),"SIM","")</f>
        <v/>
      </c>
      <c r="W425" s="99">
        <f>IF(AND(ISNUMBER(SEARCH("Espeto",N425)),ISNUMBER(SEARCH("Santana",N425))),"SIM","")</f>
        <v/>
      </c>
      <c r="X425" s="99">
        <f>IF(AND(ISNUMBER(SEARCH("Espeto",N425)),ISNUMBER(SEARCH("André",N425))),"SIM","")</f>
        <v/>
      </c>
      <c r="Y425" s="99">
        <f>IF(AND(ISNUMBER(SEARCH("Delivery",N425)),ISNUMBER(SEARCH("Carin",N425))),"SIM","")</f>
        <v/>
      </c>
      <c r="Z425" s="99">
        <f>IF(AND(ISNUMBER(SEARCH("Delivery",N425)),ISNUMBER(SEARCH("Lapa",N425))),"SIM","")</f>
        <v/>
      </c>
      <c r="AA425" s="99">
        <f>IF(AND(ISNUMBER(SEARCH("Delivery",N425)),ISNUMBER(SEARCH("Tatuapé",N425))),"SIM","")</f>
        <v/>
      </c>
      <c r="AB425" s="99">
        <f>IF(AND(ISNUMBER(SEARCH("Delivery",N425)),ISNUMBER(SEARCH("Pavão",N425))),"SIM","")</f>
        <v/>
      </c>
      <c r="AC425" s="99">
        <f>IF(AND(ISNUMBER(SEARCH("Delivery",N425)),ISNUMBER(SEARCH("Chac",N425))),"SIM","")</f>
        <v/>
      </c>
      <c r="AD425" s="99">
        <f>IF(AND(ISNUMBER(SEARCH("Delivery",N425)),ISNUMBER(SEARCH("Madalena",N425))),"SIM","")</f>
        <v/>
      </c>
      <c r="AE425" s="99">
        <f>IF(AND(ISNUMBER(SEARCH("Delivery",N425)),ISNUMBER(SEARCH("Mariana",N425))),"SIM","")</f>
        <v/>
      </c>
      <c r="AF425" s="99">
        <f>IF(AND(ISNUMBER(SEARCH("Delivery",N425)),ISNUMBER(SEARCH("Perdizes",N425))),"SIM","")</f>
        <v/>
      </c>
      <c r="AG425" s="99">
        <f>IF(AND(ISNUMBER(SEARCH("Delivery",N425)),ISNUMBER(SEARCH("Santana",N425))),"SIM","")</f>
        <v/>
      </c>
      <c r="AH425" s="99">
        <f>IF(AND(ISNUMBER(SEARCH("Delivery",N425)),ISNUMBER(SEARCH("André",N425))),"SIM","")</f>
        <v/>
      </c>
      <c r="AI425" s="99">
        <f>IF(ISNUMBER(SEARCH("Interlagos",N425)),"SIM","")</f>
        <v/>
      </c>
      <c r="AJ425" s="99">
        <f>IF(ISNUMBER(SEARCH("Quiosque",N425)),"SIM","")</f>
        <v/>
      </c>
      <c r="AK425" s="101" t="n"/>
    </row>
    <row r="426">
      <c r="A426" s="88" t="inlineStr">
        <is>
          <t>Protheus</t>
        </is>
      </c>
      <c r="B426" s="89" t="inlineStr">
        <is>
          <t>001798</t>
        </is>
      </c>
      <c r="C426" s="90">
        <f>IF(B426="—","—",IFERROR(VLOOKUP(B426,_Protheus_Cadastro!$A:$B,2,FALSE),"—"))</f>
        <v/>
      </c>
      <c r="D426" s="91">
        <f>IF(B426="—",IFERROR(INDEX(_ZIG_Cadastro!$D:$D,MATCH(H426,_ZIG_Cadastro!$A:$A,0)),"Produto"),IFERROR(VLOOKUP(B426,_Protheus_Cadastro!$A:$C,3,FALSE),"—"))</f>
        <v/>
      </c>
      <c r="E426" s="91">
        <f>IF(B426="—","—",IFERROR(VLOOKUP(B426,_Protheus_Cadastro!$A:$D,4,FALSE),"—"))</f>
        <v/>
      </c>
      <c r="F426" s="91">
        <f>IF(ISERROR(VLOOKUP(B426,'Estrutura Protheus'!A:A,1,FALSE)),"Não","Sim")</f>
        <v/>
      </c>
      <c r="G426" s="92">
        <f>IFERROR(INDEX(_Protheus_Cadastro!$H:$H,MATCH(B426,_Protheus_Cadastro!$A:$A,0)),"—")</f>
        <v/>
      </c>
      <c r="H426" s="210">
        <f>IFERROR(INDEX(_ZIG_Precos!$D:$D,MATCH(I426,_ZIG_Precos!$F:$F,0)),"—")</f>
        <v/>
      </c>
      <c r="I426" s="95">
        <f>IFERROR(VLOOKUP(B426,_Protheus_Cadastro!$A:$I,9,FALSE),"—")</f>
        <v/>
      </c>
      <c r="J426" s="93">
        <f>IFERROR(INDEX(_ZIG_Cadastro!$B:$B,MATCH(I426,_ZIG_Cadastro!$A:$A,0)),IFERROR(INDEX(_Entradas_ZIG!$B:$B,MATCH(I426,_Entradas_ZIG!$C:$C,0)),"—"))</f>
        <v/>
      </c>
      <c r="K426" s="93">
        <f>IFERROR(INDEX(_ZIG_Cadastro!$C:$C,MATCH(I426,_ZIG_Cadastro!$A:$A,0)),IFERROR(INDEX(_Entradas_ZIG!$D:$D,MATCH(I426,_Entradas_ZIG!$C:$C,0)),"—"))</f>
        <v/>
      </c>
      <c r="L426" s="92">
        <f>IF(I426="","Sem SKU ZIG",IF(I426="—","Sem SKU ZIG",IF(NOT(ISERROR(MATCH(I426,_ZIG_Cadastro!$A:$A,0))),IF(EXACT(UPPER(TRIM(C426)),UPPER(TRIM(INDEX(_ZIG_Cadastro!$B:$B,MATCH(I426,_ZIG_Cadastro!$A:$A,0))))),"OK","Atencao - Nome diverge"),IF(NOT(ISERROR(MATCH(I426,_Entradas_ZIG!$C:$C,0))),"OK","Erro - SKU nao encontrado"))))</f>
        <v/>
      </c>
      <c r="M426" s="92">
        <f>IFERROR(INDEX(_ZIG_Cadastro!$G:$G,MATCH(I426,_ZIG_Cadastro!$A:$A,0)),IF(NOT(ISERROR(MATCH(I426,_Entradas_ZIG!$C:$C,0))),"Ativo","—"))</f>
        <v/>
      </c>
      <c r="N426" s="94">
        <f>IFERROR(INDEX(_ZIG_Cadastro!$E:$E,MATCH(I426,_ZIG_Cadastro!$A:$A,0)),IFERROR(INDEX(_Entradas_ZIG!$F:$F,MATCH(I426,_Entradas_ZIG!$C:$C,0)),"—"))</f>
        <v/>
      </c>
      <c r="O426" s="92">
        <f>IF(AND(ISNUMBER(SEARCH("Espeto",N426)),ISNUMBER(SEARCH("Carin",N426))),"SIM","")</f>
        <v/>
      </c>
      <c r="P426" s="92">
        <f>IF(AND(ISNUMBER(SEARCH("Espeto",N426)),ISNUMBER(SEARCH("Lapa",N426))),"SIM","")</f>
        <v/>
      </c>
      <c r="Q426" s="92">
        <f>IF(AND(ISNUMBER(SEARCH("Espeto",N426)),ISNUMBER(SEARCH("Tatuapé",N426))),"SIM","")</f>
        <v/>
      </c>
      <c r="R426" s="92">
        <f>IF(AND(ISNUMBER(SEARCH("Espeto",N426)),ISNUMBER(SEARCH("Pavão",N426))),"SIM","")</f>
        <v/>
      </c>
      <c r="S426" s="92">
        <f>IF(AND(ISNUMBER(SEARCH("Espeto",N426)),ISNUMBER(SEARCH("Chac",N426))),"SIM","")</f>
        <v/>
      </c>
      <c r="T426" s="92">
        <f>IF(AND(ISNUMBER(SEARCH("Espeto",N426)),ISNUMBER(SEARCH("Madalena",N426))),"SIM","")</f>
        <v/>
      </c>
      <c r="U426" s="92">
        <f>IF(AND(ISNUMBER(SEARCH("Espeto",N426)),ISNUMBER(SEARCH("Mariana",N426))),"SIM","")</f>
        <v/>
      </c>
      <c r="V426" s="92">
        <f>IF(AND(ISNUMBER(SEARCH("Espeto",N426)),ISNUMBER(SEARCH("Perdizes",N426))),"SIM","")</f>
        <v/>
      </c>
      <c r="W426" s="92">
        <f>IF(AND(ISNUMBER(SEARCH("Espeto",N426)),ISNUMBER(SEARCH("Santana",N426))),"SIM","")</f>
        <v/>
      </c>
      <c r="X426" s="92">
        <f>IF(AND(ISNUMBER(SEARCH("Espeto",N426)),ISNUMBER(SEARCH("André",N426))),"SIM","")</f>
        <v/>
      </c>
      <c r="Y426" s="92">
        <f>IF(AND(ISNUMBER(SEARCH("Delivery",N426)),ISNUMBER(SEARCH("Carin",N426))),"SIM","")</f>
        <v/>
      </c>
      <c r="Z426" s="92">
        <f>IF(AND(ISNUMBER(SEARCH("Delivery",N426)),ISNUMBER(SEARCH("Lapa",N426))),"SIM","")</f>
        <v/>
      </c>
      <c r="AA426" s="92">
        <f>IF(AND(ISNUMBER(SEARCH("Delivery",N426)),ISNUMBER(SEARCH("Tatuapé",N426))),"SIM","")</f>
        <v/>
      </c>
      <c r="AB426" s="92">
        <f>IF(AND(ISNUMBER(SEARCH("Delivery",N426)),ISNUMBER(SEARCH("Pavão",N426))),"SIM","")</f>
        <v/>
      </c>
      <c r="AC426" s="92">
        <f>IF(AND(ISNUMBER(SEARCH("Delivery",N426)),ISNUMBER(SEARCH("Chac",N426))),"SIM","")</f>
        <v/>
      </c>
      <c r="AD426" s="92">
        <f>IF(AND(ISNUMBER(SEARCH("Delivery",N426)),ISNUMBER(SEARCH("Madalena",N426))),"SIM","")</f>
        <v/>
      </c>
      <c r="AE426" s="92">
        <f>IF(AND(ISNUMBER(SEARCH("Delivery",N426)),ISNUMBER(SEARCH("Mariana",N426))),"SIM","")</f>
        <v/>
      </c>
      <c r="AF426" s="92">
        <f>IF(AND(ISNUMBER(SEARCH("Delivery",N426)),ISNUMBER(SEARCH("Perdizes",N426))),"SIM","")</f>
        <v/>
      </c>
      <c r="AG426" s="92">
        <f>IF(AND(ISNUMBER(SEARCH("Delivery",N426)),ISNUMBER(SEARCH("Santana",N426))),"SIM","")</f>
        <v/>
      </c>
      <c r="AH426" s="92">
        <f>IF(AND(ISNUMBER(SEARCH("Delivery",N426)),ISNUMBER(SEARCH("André",N426))),"SIM","")</f>
        <v/>
      </c>
      <c r="AI426" s="92">
        <f>IF(ISNUMBER(SEARCH("Interlagos",N426)),"SIM","")</f>
        <v/>
      </c>
      <c r="AJ426" s="92">
        <f>IF(ISNUMBER(SEARCH("Quiosque",N426)),"SIM","")</f>
        <v/>
      </c>
      <c r="AK426" s="93" t="n"/>
    </row>
    <row r="427">
      <c r="A427" s="88" t="inlineStr">
        <is>
          <t>Protheus</t>
        </is>
      </c>
      <c r="B427" s="96" t="inlineStr">
        <is>
          <t>001938</t>
        </is>
      </c>
      <c r="C427" s="97">
        <f>IF(B427="—","—",IFERROR(VLOOKUP(B427,_Protheus_Cadastro!$A:$B,2,FALSE),"—"))</f>
        <v/>
      </c>
      <c r="D427" s="98">
        <f>IF(B427="—",IFERROR(INDEX(_ZIG_Cadastro!$D:$D,MATCH(H427,_ZIG_Cadastro!$A:$A,0)),"Produto"),IFERROR(VLOOKUP(B427,_Protheus_Cadastro!$A:$C,3,FALSE),"—"))</f>
        <v/>
      </c>
      <c r="E427" s="98">
        <f>IF(B427="—","—",IFERROR(VLOOKUP(B427,_Protheus_Cadastro!$A:$D,4,FALSE),"—"))</f>
        <v/>
      </c>
      <c r="F427" s="98">
        <f>IF(ISERROR(VLOOKUP(B427,'Estrutura Protheus'!A:A,1,FALSE)),"Não","Sim")</f>
        <v/>
      </c>
      <c r="G427" s="99">
        <f>IFERROR(INDEX(_Protheus_Cadastro!$H:$H,MATCH(B427,_Protheus_Cadastro!$A:$A,0)),"—")</f>
        <v/>
      </c>
      <c r="H427" s="211">
        <f>IFERROR(INDEX(_ZIG_Precos!$D:$D,MATCH(I427,_ZIG_Precos!$F:$F,0)),"—")</f>
        <v/>
      </c>
      <c r="I427" s="103">
        <f>IFERROR(VLOOKUP(B427,_Protheus_Cadastro!$A:$I,9,FALSE),"—")</f>
        <v/>
      </c>
      <c r="J427" s="101">
        <f>IFERROR(INDEX(_ZIG_Cadastro!$B:$B,MATCH(I427,_ZIG_Cadastro!$A:$A,0)),IFERROR(INDEX(_Entradas_ZIG!$B:$B,MATCH(I427,_Entradas_ZIG!$C:$C,0)),"—"))</f>
        <v/>
      </c>
      <c r="K427" s="101">
        <f>IFERROR(INDEX(_ZIG_Cadastro!$C:$C,MATCH(I427,_ZIG_Cadastro!$A:$A,0)),IFERROR(INDEX(_Entradas_ZIG!$D:$D,MATCH(I427,_Entradas_ZIG!$C:$C,0)),"—"))</f>
        <v/>
      </c>
      <c r="L427" s="99">
        <f>IF(I427="","Sem SKU ZIG",IF(I427="—","Sem SKU ZIG",IF(NOT(ISERROR(MATCH(I427,_ZIG_Cadastro!$A:$A,0))),IF(EXACT(UPPER(TRIM(C427)),UPPER(TRIM(INDEX(_ZIG_Cadastro!$B:$B,MATCH(I427,_ZIG_Cadastro!$A:$A,0))))),"OK","Atencao - Nome diverge"),IF(NOT(ISERROR(MATCH(I427,_Entradas_ZIG!$C:$C,0))),"OK","Erro - SKU nao encontrado"))))</f>
        <v/>
      </c>
      <c r="M427" s="99">
        <f>IFERROR(INDEX(_ZIG_Cadastro!$G:$G,MATCH(I427,_ZIG_Cadastro!$A:$A,0)),IF(NOT(ISERROR(MATCH(I427,_Entradas_ZIG!$C:$C,0))),"Ativo","—"))</f>
        <v/>
      </c>
      <c r="N427" s="102">
        <f>IFERROR(INDEX(_ZIG_Cadastro!$E:$E,MATCH(I427,_ZIG_Cadastro!$A:$A,0)),IFERROR(INDEX(_Entradas_ZIG!$F:$F,MATCH(I427,_Entradas_ZIG!$C:$C,0)),"—"))</f>
        <v/>
      </c>
      <c r="O427" s="99">
        <f>IF(AND(ISNUMBER(SEARCH("Espeto",N427)),ISNUMBER(SEARCH("Carin",N427))),"SIM","")</f>
        <v/>
      </c>
      <c r="P427" s="99">
        <f>IF(AND(ISNUMBER(SEARCH("Espeto",N427)),ISNUMBER(SEARCH("Lapa",N427))),"SIM","")</f>
        <v/>
      </c>
      <c r="Q427" s="99">
        <f>IF(AND(ISNUMBER(SEARCH("Espeto",N427)),ISNUMBER(SEARCH("Tatuapé",N427))),"SIM","")</f>
        <v/>
      </c>
      <c r="R427" s="99">
        <f>IF(AND(ISNUMBER(SEARCH("Espeto",N427)),ISNUMBER(SEARCH("Pavão",N427))),"SIM","")</f>
        <v/>
      </c>
      <c r="S427" s="99">
        <f>IF(AND(ISNUMBER(SEARCH("Espeto",N427)),ISNUMBER(SEARCH("Chac",N427))),"SIM","")</f>
        <v/>
      </c>
      <c r="T427" s="99">
        <f>IF(AND(ISNUMBER(SEARCH("Espeto",N427)),ISNUMBER(SEARCH("Madalena",N427))),"SIM","")</f>
        <v/>
      </c>
      <c r="U427" s="99">
        <f>IF(AND(ISNUMBER(SEARCH("Espeto",N427)),ISNUMBER(SEARCH("Mariana",N427))),"SIM","")</f>
        <v/>
      </c>
      <c r="V427" s="99">
        <f>IF(AND(ISNUMBER(SEARCH("Espeto",N427)),ISNUMBER(SEARCH("Perdizes",N427))),"SIM","")</f>
        <v/>
      </c>
      <c r="W427" s="99">
        <f>IF(AND(ISNUMBER(SEARCH("Espeto",N427)),ISNUMBER(SEARCH("Santana",N427))),"SIM","")</f>
        <v/>
      </c>
      <c r="X427" s="99">
        <f>IF(AND(ISNUMBER(SEARCH("Espeto",N427)),ISNUMBER(SEARCH("André",N427))),"SIM","")</f>
        <v/>
      </c>
      <c r="Y427" s="99">
        <f>IF(AND(ISNUMBER(SEARCH("Delivery",N427)),ISNUMBER(SEARCH("Carin",N427))),"SIM","")</f>
        <v/>
      </c>
      <c r="Z427" s="99">
        <f>IF(AND(ISNUMBER(SEARCH("Delivery",N427)),ISNUMBER(SEARCH("Lapa",N427))),"SIM","")</f>
        <v/>
      </c>
      <c r="AA427" s="99">
        <f>IF(AND(ISNUMBER(SEARCH("Delivery",N427)),ISNUMBER(SEARCH("Tatuapé",N427))),"SIM","")</f>
        <v/>
      </c>
      <c r="AB427" s="99">
        <f>IF(AND(ISNUMBER(SEARCH("Delivery",N427)),ISNUMBER(SEARCH("Pavão",N427))),"SIM","")</f>
        <v/>
      </c>
      <c r="AC427" s="99">
        <f>IF(AND(ISNUMBER(SEARCH("Delivery",N427)),ISNUMBER(SEARCH("Chac",N427))),"SIM","")</f>
        <v/>
      </c>
      <c r="AD427" s="99">
        <f>IF(AND(ISNUMBER(SEARCH("Delivery",N427)),ISNUMBER(SEARCH("Madalena",N427))),"SIM","")</f>
        <v/>
      </c>
      <c r="AE427" s="99">
        <f>IF(AND(ISNUMBER(SEARCH("Delivery",N427)),ISNUMBER(SEARCH("Mariana",N427))),"SIM","")</f>
        <v/>
      </c>
      <c r="AF427" s="99">
        <f>IF(AND(ISNUMBER(SEARCH("Delivery",N427)),ISNUMBER(SEARCH("Perdizes",N427))),"SIM","")</f>
        <v/>
      </c>
      <c r="AG427" s="99">
        <f>IF(AND(ISNUMBER(SEARCH("Delivery",N427)),ISNUMBER(SEARCH("Santana",N427))),"SIM","")</f>
        <v/>
      </c>
      <c r="AH427" s="99">
        <f>IF(AND(ISNUMBER(SEARCH("Delivery",N427)),ISNUMBER(SEARCH("André",N427))),"SIM","")</f>
        <v/>
      </c>
      <c r="AI427" s="99">
        <f>IF(ISNUMBER(SEARCH("Interlagos",N427)),"SIM","")</f>
        <v/>
      </c>
      <c r="AJ427" s="99">
        <f>IF(ISNUMBER(SEARCH("Quiosque",N427)),"SIM","")</f>
        <v/>
      </c>
      <c r="AK427" s="101" t="n"/>
    </row>
    <row r="428">
      <c r="A428" s="88" t="inlineStr">
        <is>
          <t>Protheus</t>
        </is>
      </c>
      <c r="B428" s="89" t="inlineStr">
        <is>
          <t>010294</t>
        </is>
      </c>
      <c r="C428" s="90">
        <f>IF(B428="—","—",IFERROR(VLOOKUP(B428,_Protheus_Cadastro!$A:$B,2,FALSE),"—"))</f>
        <v/>
      </c>
      <c r="D428" s="91">
        <f>IF(B428="—",IFERROR(INDEX(_ZIG_Cadastro!$D:$D,MATCH(H428,_ZIG_Cadastro!$A:$A,0)),"Produto"),IFERROR(VLOOKUP(B428,_Protheus_Cadastro!$A:$C,3,FALSE),"—"))</f>
        <v/>
      </c>
      <c r="E428" s="91">
        <f>IF(B428="—","—",IFERROR(VLOOKUP(B428,_Protheus_Cadastro!$A:$D,4,FALSE),"—"))</f>
        <v/>
      </c>
      <c r="F428" s="91">
        <f>IF(ISERROR(VLOOKUP(B428,'Estrutura Protheus'!A:A,1,FALSE)),"Não","Sim")</f>
        <v/>
      </c>
      <c r="G428" s="92">
        <f>IFERROR(INDEX(_Protheus_Cadastro!$H:$H,MATCH(B428,_Protheus_Cadastro!$A:$A,0)),"—")</f>
        <v/>
      </c>
      <c r="H428" s="210">
        <f>IFERROR(INDEX(_ZIG_Precos!$D:$D,MATCH(I428,_ZIG_Precos!$F:$F,0)),"—")</f>
        <v/>
      </c>
      <c r="I428" s="95">
        <f>IFERROR(VLOOKUP(B428,_Protheus_Cadastro!$A:$I,9,FALSE),"—")</f>
        <v/>
      </c>
      <c r="J428" s="93">
        <f>IFERROR(INDEX(_ZIG_Cadastro!$B:$B,MATCH(I428,_ZIG_Cadastro!$A:$A,0)),IFERROR(INDEX(_Entradas_ZIG!$B:$B,MATCH(I428,_Entradas_ZIG!$C:$C,0)),"—"))</f>
        <v/>
      </c>
      <c r="K428" s="93">
        <f>IFERROR(INDEX(_ZIG_Cadastro!$C:$C,MATCH(I428,_ZIG_Cadastro!$A:$A,0)),IFERROR(INDEX(_Entradas_ZIG!$D:$D,MATCH(I428,_Entradas_ZIG!$C:$C,0)),"—"))</f>
        <v/>
      </c>
      <c r="L428" s="92">
        <f>IF(I428="","Sem SKU ZIG",IF(I428="—","Sem SKU ZIG",IF(NOT(ISERROR(MATCH(I428,_ZIG_Cadastro!$A:$A,0))),IF(EXACT(UPPER(TRIM(C428)),UPPER(TRIM(INDEX(_ZIG_Cadastro!$B:$B,MATCH(I428,_ZIG_Cadastro!$A:$A,0))))),"OK","Atencao - Nome diverge"),IF(NOT(ISERROR(MATCH(I428,_Entradas_ZIG!$C:$C,0))),"OK","Erro - SKU nao encontrado"))))</f>
        <v/>
      </c>
      <c r="M428" s="92">
        <f>IFERROR(INDEX(_ZIG_Cadastro!$G:$G,MATCH(I428,_ZIG_Cadastro!$A:$A,0)),IF(NOT(ISERROR(MATCH(I428,_Entradas_ZIG!$C:$C,0))),"Ativo","—"))</f>
        <v/>
      </c>
      <c r="N428" s="94">
        <f>IFERROR(INDEX(_ZIG_Cadastro!$E:$E,MATCH(I428,_ZIG_Cadastro!$A:$A,0)),IFERROR(INDEX(_Entradas_ZIG!$F:$F,MATCH(I428,_Entradas_ZIG!$C:$C,0)),"—"))</f>
        <v/>
      </c>
      <c r="O428" s="92">
        <f>IF(AND(ISNUMBER(SEARCH("Espeto",N428)),ISNUMBER(SEARCH("Carin",N428))),"SIM","")</f>
        <v/>
      </c>
      <c r="P428" s="92">
        <f>IF(AND(ISNUMBER(SEARCH("Espeto",N428)),ISNUMBER(SEARCH("Lapa",N428))),"SIM","")</f>
        <v/>
      </c>
      <c r="Q428" s="92">
        <f>IF(AND(ISNUMBER(SEARCH("Espeto",N428)),ISNUMBER(SEARCH("Tatuapé",N428))),"SIM","")</f>
        <v/>
      </c>
      <c r="R428" s="92">
        <f>IF(AND(ISNUMBER(SEARCH("Espeto",N428)),ISNUMBER(SEARCH("Pavão",N428))),"SIM","")</f>
        <v/>
      </c>
      <c r="S428" s="92">
        <f>IF(AND(ISNUMBER(SEARCH("Espeto",N428)),ISNUMBER(SEARCH("Chac",N428))),"SIM","")</f>
        <v/>
      </c>
      <c r="T428" s="92">
        <f>IF(AND(ISNUMBER(SEARCH("Espeto",N428)),ISNUMBER(SEARCH("Madalena",N428))),"SIM","")</f>
        <v/>
      </c>
      <c r="U428" s="92">
        <f>IF(AND(ISNUMBER(SEARCH("Espeto",N428)),ISNUMBER(SEARCH("Mariana",N428))),"SIM","")</f>
        <v/>
      </c>
      <c r="V428" s="92">
        <f>IF(AND(ISNUMBER(SEARCH("Espeto",N428)),ISNUMBER(SEARCH("Perdizes",N428))),"SIM","")</f>
        <v/>
      </c>
      <c r="W428" s="92">
        <f>IF(AND(ISNUMBER(SEARCH("Espeto",N428)),ISNUMBER(SEARCH("Santana",N428))),"SIM","")</f>
        <v/>
      </c>
      <c r="X428" s="92">
        <f>IF(AND(ISNUMBER(SEARCH("Espeto",N428)),ISNUMBER(SEARCH("André",N428))),"SIM","")</f>
        <v/>
      </c>
      <c r="Y428" s="92">
        <f>IF(AND(ISNUMBER(SEARCH("Delivery",N428)),ISNUMBER(SEARCH("Carin",N428))),"SIM","")</f>
        <v/>
      </c>
      <c r="Z428" s="92">
        <f>IF(AND(ISNUMBER(SEARCH("Delivery",N428)),ISNUMBER(SEARCH("Lapa",N428))),"SIM","")</f>
        <v/>
      </c>
      <c r="AA428" s="92">
        <f>IF(AND(ISNUMBER(SEARCH("Delivery",N428)),ISNUMBER(SEARCH("Tatuapé",N428))),"SIM","")</f>
        <v/>
      </c>
      <c r="AB428" s="92">
        <f>IF(AND(ISNUMBER(SEARCH("Delivery",N428)),ISNUMBER(SEARCH("Pavão",N428))),"SIM","")</f>
        <v/>
      </c>
      <c r="AC428" s="92">
        <f>IF(AND(ISNUMBER(SEARCH("Delivery",N428)),ISNUMBER(SEARCH("Chac",N428))),"SIM","")</f>
        <v/>
      </c>
      <c r="AD428" s="92">
        <f>IF(AND(ISNUMBER(SEARCH("Delivery",N428)),ISNUMBER(SEARCH("Madalena",N428))),"SIM","")</f>
        <v/>
      </c>
      <c r="AE428" s="92">
        <f>IF(AND(ISNUMBER(SEARCH("Delivery",N428)),ISNUMBER(SEARCH("Mariana",N428))),"SIM","")</f>
        <v/>
      </c>
      <c r="AF428" s="92">
        <f>IF(AND(ISNUMBER(SEARCH("Delivery",N428)),ISNUMBER(SEARCH("Perdizes",N428))),"SIM","")</f>
        <v/>
      </c>
      <c r="AG428" s="92">
        <f>IF(AND(ISNUMBER(SEARCH("Delivery",N428)),ISNUMBER(SEARCH("Santana",N428))),"SIM","")</f>
        <v/>
      </c>
      <c r="AH428" s="92">
        <f>IF(AND(ISNUMBER(SEARCH("Delivery",N428)),ISNUMBER(SEARCH("André",N428))),"SIM","")</f>
        <v/>
      </c>
      <c r="AI428" s="92">
        <f>IF(ISNUMBER(SEARCH("Interlagos",N428)),"SIM","")</f>
        <v/>
      </c>
      <c r="AJ428" s="92">
        <f>IF(ISNUMBER(SEARCH("Quiosque",N428)),"SIM","")</f>
        <v/>
      </c>
      <c r="AK428" s="93" t="n"/>
    </row>
    <row r="429">
      <c r="A429" s="88" t="inlineStr">
        <is>
          <t>Protheus</t>
        </is>
      </c>
      <c r="B429" s="96" t="inlineStr">
        <is>
          <t>010349</t>
        </is>
      </c>
      <c r="C429" s="97">
        <f>IF(B429="—","—",IFERROR(VLOOKUP(B429,_Protheus_Cadastro!$A:$B,2,FALSE),"—"))</f>
        <v/>
      </c>
      <c r="D429" s="98">
        <f>IF(B429="—",IFERROR(INDEX(_ZIG_Cadastro!$D:$D,MATCH(H429,_ZIG_Cadastro!$A:$A,0)),"Produto"),IFERROR(VLOOKUP(B429,_Protheus_Cadastro!$A:$C,3,FALSE),"—"))</f>
        <v/>
      </c>
      <c r="E429" s="98">
        <f>IF(B429="—","—",IFERROR(VLOOKUP(B429,_Protheus_Cadastro!$A:$D,4,FALSE),"—"))</f>
        <v/>
      </c>
      <c r="F429" s="98">
        <f>IF(ISERROR(VLOOKUP(B429,'Estrutura Protheus'!A:A,1,FALSE)),"Não","Sim")</f>
        <v/>
      </c>
      <c r="G429" s="99">
        <f>IFERROR(INDEX(_Protheus_Cadastro!$H:$H,MATCH(B429,_Protheus_Cadastro!$A:$A,0)),"—")</f>
        <v/>
      </c>
      <c r="H429" s="211">
        <f>IFERROR(INDEX(_ZIG_Precos!$D:$D,MATCH(I429,_ZIG_Precos!$F:$F,0)),"—")</f>
        <v/>
      </c>
      <c r="I429" s="103">
        <f>IFERROR(VLOOKUP(B429,_Protheus_Cadastro!$A:$I,9,FALSE),"—")</f>
        <v/>
      </c>
      <c r="J429" s="101">
        <f>IFERROR(INDEX(_ZIG_Cadastro!$B:$B,MATCH(I429,_ZIG_Cadastro!$A:$A,0)),IFERROR(INDEX(_Entradas_ZIG!$B:$B,MATCH(I429,_Entradas_ZIG!$C:$C,0)),"—"))</f>
        <v/>
      </c>
      <c r="K429" s="101">
        <f>IFERROR(INDEX(_ZIG_Cadastro!$C:$C,MATCH(I429,_ZIG_Cadastro!$A:$A,0)),IFERROR(INDEX(_Entradas_ZIG!$D:$D,MATCH(I429,_Entradas_ZIG!$C:$C,0)),"—"))</f>
        <v/>
      </c>
      <c r="L429" s="99">
        <f>IF(I429="","Sem SKU ZIG",IF(I429="—","Sem SKU ZIG",IF(NOT(ISERROR(MATCH(I429,_ZIG_Cadastro!$A:$A,0))),IF(EXACT(UPPER(TRIM(C429)),UPPER(TRIM(INDEX(_ZIG_Cadastro!$B:$B,MATCH(I429,_ZIG_Cadastro!$A:$A,0))))),"OK","Atencao - Nome diverge"),IF(NOT(ISERROR(MATCH(I429,_Entradas_ZIG!$C:$C,0))),"OK","Erro - SKU nao encontrado"))))</f>
        <v/>
      </c>
      <c r="M429" s="99">
        <f>IFERROR(INDEX(_ZIG_Cadastro!$G:$G,MATCH(I429,_ZIG_Cadastro!$A:$A,0)),IF(NOT(ISERROR(MATCH(I429,_Entradas_ZIG!$C:$C,0))),"Ativo","—"))</f>
        <v/>
      </c>
      <c r="N429" s="102">
        <f>IFERROR(INDEX(_ZIG_Cadastro!$E:$E,MATCH(I429,_ZIG_Cadastro!$A:$A,0)),IFERROR(INDEX(_Entradas_ZIG!$F:$F,MATCH(I429,_Entradas_ZIG!$C:$C,0)),"—"))</f>
        <v/>
      </c>
      <c r="O429" s="99">
        <f>IF(AND(ISNUMBER(SEARCH("Espeto",N429)),ISNUMBER(SEARCH("Carin",N429))),"SIM","")</f>
        <v/>
      </c>
      <c r="P429" s="99">
        <f>IF(AND(ISNUMBER(SEARCH("Espeto",N429)),ISNUMBER(SEARCH("Lapa",N429))),"SIM","")</f>
        <v/>
      </c>
      <c r="Q429" s="99">
        <f>IF(AND(ISNUMBER(SEARCH("Espeto",N429)),ISNUMBER(SEARCH("Tatuapé",N429))),"SIM","")</f>
        <v/>
      </c>
      <c r="R429" s="99">
        <f>IF(AND(ISNUMBER(SEARCH("Espeto",N429)),ISNUMBER(SEARCH("Pavão",N429))),"SIM","")</f>
        <v/>
      </c>
      <c r="S429" s="99">
        <f>IF(AND(ISNUMBER(SEARCH("Espeto",N429)),ISNUMBER(SEARCH("Chac",N429))),"SIM","")</f>
        <v/>
      </c>
      <c r="T429" s="99">
        <f>IF(AND(ISNUMBER(SEARCH("Espeto",N429)),ISNUMBER(SEARCH("Madalena",N429))),"SIM","")</f>
        <v/>
      </c>
      <c r="U429" s="99">
        <f>IF(AND(ISNUMBER(SEARCH("Espeto",N429)),ISNUMBER(SEARCH("Mariana",N429))),"SIM","")</f>
        <v/>
      </c>
      <c r="V429" s="99">
        <f>IF(AND(ISNUMBER(SEARCH("Espeto",N429)),ISNUMBER(SEARCH("Perdizes",N429))),"SIM","")</f>
        <v/>
      </c>
      <c r="W429" s="99">
        <f>IF(AND(ISNUMBER(SEARCH("Espeto",N429)),ISNUMBER(SEARCH("Santana",N429))),"SIM","")</f>
        <v/>
      </c>
      <c r="X429" s="99">
        <f>IF(AND(ISNUMBER(SEARCH("Espeto",N429)),ISNUMBER(SEARCH("André",N429))),"SIM","")</f>
        <v/>
      </c>
      <c r="Y429" s="99">
        <f>IF(AND(ISNUMBER(SEARCH("Delivery",N429)),ISNUMBER(SEARCH("Carin",N429))),"SIM","")</f>
        <v/>
      </c>
      <c r="Z429" s="99">
        <f>IF(AND(ISNUMBER(SEARCH("Delivery",N429)),ISNUMBER(SEARCH("Lapa",N429))),"SIM","")</f>
        <v/>
      </c>
      <c r="AA429" s="99">
        <f>IF(AND(ISNUMBER(SEARCH("Delivery",N429)),ISNUMBER(SEARCH("Tatuapé",N429))),"SIM","")</f>
        <v/>
      </c>
      <c r="AB429" s="99">
        <f>IF(AND(ISNUMBER(SEARCH("Delivery",N429)),ISNUMBER(SEARCH("Pavão",N429))),"SIM","")</f>
        <v/>
      </c>
      <c r="AC429" s="99">
        <f>IF(AND(ISNUMBER(SEARCH("Delivery",N429)),ISNUMBER(SEARCH("Chac",N429))),"SIM","")</f>
        <v/>
      </c>
      <c r="AD429" s="99">
        <f>IF(AND(ISNUMBER(SEARCH("Delivery",N429)),ISNUMBER(SEARCH("Madalena",N429))),"SIM","")</f>
        <v/>
      </c>
      <c r="AE429" s="99">
        <f>IF(AND(ISNUMBER(SEARCH("Delivery",N429)),ISNUMBER(SEARCH("Mariana",N429))),"SIM","")</f>
        <v/>
      </c>
      <c r="AF429" s="99">
        <f>IF(AND(ISNUMBER(SEARCH("Delivery",N429)),ISNUMBER(SEARCH("Perdizes",N429))),"SIM","")</f>
        <v/>
      </c>
      <c r="AG429" s="99">
        <f>IF(AND(ISNUMBER(SEARCH("Delivery",N429)),ISNUMBER(SEARCH("Santana",N429))),"SIM","")</f>
        <v/>
      </c>
      <c r="AH429" s="99">
        <f>IF(AND(ISNUMBER(SEARCH("Delivery",N429)),ISNUMBER(SEARCH("André",N429))),"SIM","")</f>
        <v/>
      </c>
      <c r="AI429" s="99">
        <f>IF(ISNUMBER(SEARCH("Interlagos",N429)),"SIM","")</f>
        <v/>
      </c>
      <c r="AJ429" s="99">
        <f>IF(ISNUMBER(SEARCH("Quiosque",N429)),"SIM","")</f>
        <v/>
      </c>
      <c r="AK429" s="101" t="n"/>
    </row>
    <row r="430">
      <c r="A430" s="88" t="inlineStr">
        <is>
          <t>Protheus</t>
        </is>
      </c>
      <c r="B430" s="89" t="inlineStr">
        <is>
          <t>001956</t>
        </is>
      </c>
      <c r="C430" s="90">
        <f>IF(B430="—","—",IFERROR(VLOOKUP(B430,_Protheus_Cadastro!$A:$B,2,FALSE),"—"))</f>
        <v/>
      </c>
      <c r="D430" s="91">
        <f>IF(B430="—",IFERROR(INDEX(_ZIG_Cadastro!$D:$D,MATCH(H430,_ZIG_Cadastro!$A:$A,0)),"Produto"),IFERROR(VLOOKUP(B430,_Protheus_Cadastro!$A:$C,3,FALSE),"—"))</f>
        <v/>
      </c>
      <c r="E430" s="91">
        <f>IF(B430="—","—",IFERROR(VLOOKUP(B430,_Protheus_Cadastro!$A:$D,4,FALSE),"—"))</f>
        <v/>
      </c>
      <c r="F430" s="91">
        <f>IF(ISERROR(VLOOKUP(B430,'Estrutura Protheus'!A:A,1,FALSE)),"Não","Sim")</f>
        <v/>
      </c>
      <c r="G430" s="92">
        <f>IFERROR(INDEX(_Protheus_Cadastro!$H:$H,MATCH(B430,_Protheus_Cadastro!$A:$A,0)),"—")</f>
        <v/>
      </c>
      <c r="H430" s="210">
        <f>IFERROR(INDEX(_ZIG_Precos!$D:$D,MATCH(I430,_ZIG_Precos!$F:$F,0)),"—")</f>
        <v/>
      </c>
      <c r="I430" s="95">
        <f>IFERROR(VLOOKUP(B430,_Protheus_Cadastro!$A:$I,9,FALSE),"—")</f>
        <v/>
      </c>
      <c r="J430" s="93">
        <f>IFERROR(INDEX(_ZIG_Cadastro!$B:$B,MATCH(I430,_ZIG_Cadastro!$A:$A,0)),IFERROR(INDEX(_Entradas_ZIG!$B:$B,MATCH(I430,_Entradas_ZIG!$C:$C,0)),"—"))</f>
        <v/>
      </c>
      <c r="K430" s="93">
        <f>IFERROR(INDEX(_ZIG_Cadastro!$C:$C,MATCH(I430,_ZIG_Cadastro!$A:$A,0)),IFERROR(INDEX(_Entradas_ZIG!$D:$D,MATCH(I430,_Entradas_ZIG!$C:$C,0)),"—"))</f>
        <v/>
      </c>
      <c r="L430" s="92">
        <f>IF(I430="","Sem SKU ZIG",IF(I430="—","Sem SKU ZIG",IF(NOT(ISERROR(MATCH(I430,_ZIG_Cadastro!$A:$A,0))),IF(EXACT(UPPER(TRIM(C430)),UPPER(TRIM(INDEX(_ZIG_Cadastro!$B:$B,MATCH(I430,_ZIG_Cadastro!$A:$A,0))))),"OK","Atencao - Nome diverge"),IF(NOT(ISERROR(MATCH(I430,_Entradas_ZIG!$C:$C,0))),"OK","Erro - SKU nao encontrado"))))</f>
        <v/>
      </c>
      <c r="M430" s="92">
        <f>IFERROR(INDEX(_ZIG_Cadastro!$G:$G,MATCH(I430,_ZIG_Cadastro!$A:$A,0)),IF(NOT(ISERROR(MATCH(I430,_Entradas_ZIG!$C:$C,0))),"Ativo","—"))</f>
        <v/>
      </c>
      <c r="N430" s="94">
        <f>IFERROR(INDEX(_ZIG_Cadastro!$E:$E,MATCH(I430,_ZIG_Cadastro!$A:$A,0)),IFERROR(INDEX(_Entradas_ZIG!$F:$F,MATCH(I430,_Entradas_ZIG!$C:$C,0)),"—"))</f>
        <v/>
      </c>
      <c r="O430" s="92">
        <f>IF(AND(ISNUMBER(SEARCH("Espeto",N430)),ISNUMBER(SEARCH("Carin",N430))),"SIM","")</f>
        <v/>
      </c>
      <c r="P430" s="92">
        <f>IF(AND(ISNUMBER(SEARCH("Espeto",N430)),ISNUMBER(SEARCH("Lapa",N430))),"SIM","")</f>
        <v/>
      </c>
      <c r="Q430" s="92">
        <f>IF(AND(ISNUMBER(SEARCH("Espeto",N430)),ISNUMBER(SEARCH("Tatuapé",N430))),"SIM","")</f>
        <v/>
      </c>
      <c r="R430" s="92">
        <f>IF(AND(ISNUMBER(SEARCH("Espeto",N430)),ISNUMBER(SEARCH("Pavão",N430))),"SIM","")</f>
        <v/>
      </c>
      <c r="S430" s="92">
        <f>IF(AND(ISNUMBER(SEARCH("Espeto",N430)),ISNUMBER(SEARCH("Chac",N430))),"SIM","")</f>
        <v/>
      </c>
      <c r="T430" s="92">
        <f>IF(AND(ISNUMBER(SEARCH("Espeto",N430)),ISNUMBER(SEARCH("Madalena",N430))),"SIM","")</f>
        <v/>
      </c>
      <c r="U430" s="92">
        <f>IF(AND(ISNUMBER(SEARCH("Espeto",N430)),ISNUMBER(SEARCH("Mariana",N430))),"SIM","")</f>
        <v/>
      </c>
      <c r="V430" s="92">
        <f>IF(AND(ISNUMBER(SEARCH("Espeto",N430)),ISNUMBER(SEARCH("Perdizes",N430))),"SIM","")</f>
        <v/>
      </c>
      <c r="W430" s="92">
        <f>IF(AND(ISNUMBER(SEARCH("Espeto",N430)),ISNUMBER(SEARCH("Santana",N430))),"SIM","")</f>
        <v/>
      </c>
      <c r="X430" s="92">
        <f>IF(AND(ISNUMBER(SEARCH("Espeto",N430)),ISNUMBER(SEARCH("André",N430))),"SIM","")</f>
        <v/>
      </c>
      <c r="Y430" s="92">
        <f>IF(AND(ISNUMBER(SEARCH("Delivery",N430)),ISNUMBER(SEARCH("Carin",N430))),"SIM","")</f>
        <v/>
      </c>
      <c r="Z430" s="92">
        <f>IF(AND(ISNUMBER(SEARCH("Delivery",N430)),ISNUMBER(SEARCH("Lapa",N430))),"SIM","")</f>
        <v/>
      </c>
      <c r="AA430" s="92">
        <f>IF(AND(ISNUMBER(SEARCH("Delivery",N430)),ISNUMBER(SEARCH("Tatuapé",N430))),"SIM","")</f>
        <v/>
      </c>
      <c r="AB430" s="92">
        <f>IF(AND(ISNUMBER(SEARCH("Delivery",N430)),ISNUMBER(SEARCH("Pavão",N430))),"SIM","")</f>
        <v/>
      </c>
      <c r="AC430" s="92">
        <f>IF(AND(ISNUMBER(SEARCH("Delivery",N430)),ISNUMBER(SEARCH("Chac",N430))),"SIM","")</f>
        <v/>
      </c>
      <c r="AD430" s="92">
        <f>IF(AND(ISNUMBER(SEARCH("Delivery",N430)),ISNUMBER(SEARCH("Madalena",N430))),"SIM","")</f>
        <v/>
      </c>
      <c r="AE430" s="92">
        <f>IF(AND(ISNUMBER(SEARCH("Delivery",N430)),ISNUMBER(SEARCH("Mariana",N430))),"SIM","")</f>
        <v/>
      </c>
      <c r="AF430" s="92">
        <f>IF(AND(ISNUMBER(SEARCH("Delivery",N430)),ISNUMBER(SEARCH("Perdizes",N430))),"SIM","")</f>
        <v/>
      </c>
      <c r="AG430" s="92">
        <f>IF(AND(ISNUMBER(SEARCH("Delivery",N430)),ISNUMBER(SEARCH("Santana",N430))),"SIM","")</f>
        <v/>
      </c>
      <c r="AH430" s="92">
        <f>IF(AND(ISNUMBER(SEARCH("Delivery",N430)),ISNUMBER(SEARCH("André",N430))),"SIM","")</f>
        <v/>
      </c>
      <c r="AI430" s="92">
        <f>IF(ISNUMBER(SEARCH("Interlagos",N430)),"SIM","")</f>
        <v/>
      </c>
      <c r="AJ430" s="92">
        <f>IF(ISNUMBER(SEARCH("Quiosque",N430)),"SIM","")</f>
        <v/>
      </c>
      <c r="AK430" s="93" t="n"/>
    </row>
    <row r="431">
      <c r="A431" s="88" t="inlineStr">
        <is>
          <t>Protheus</t>
        </is>
      </c>
      <c r="B431" s="96" t="inlineStr">
        <is>
          <t>000028</t>
        </is>
      </c>
      <c r="C431" s="97">
        <f>IF(B431="—","—",IFERROR(VLOOKUP(B431,_Protheus_Cadastro!$A:$B,2,FALSE),"—"))</f>
        <v/>
      </c>
      <c r="D431" s="98">
        <f>IF(B431="—",IFERROR(INDEX(_ZIG_Cadastro!$D:$D,MATCH(H431,_ZIG_Cadastro!$A:$A,0)),"Produto"),IFERROR(VLOOKUP(B431,_Protheus_Cadastro!$A:$C,3,FALSE),"—"))</f>
        <v/>
      </c>
      <c r="E431" s="98">
        <f>IF(B431="—","—",IFERROR(VLOOKUP(B431,_Protheus_Cadastro!$A:$D,4,FALSE),"—"))</f>
        <v/>
      </c>
      <c r="F431" s="98">
        <f>IF(ISERROR(VLOOKUP(B431,'Estrutura Protheus'!A:A,1,FALSE)),"Não","Sim")</f>
        <v/>
      </c>
      <c r="G431" s="99">
        <f>IFERROR(INDEX(_Protheus_Cadastro!$H:$H,MATCH(B431,_Protheus_Cadastro!$A:$A,0)),"—")</f>
        <v/>
      </c>
      <c r="H431" s="211">
        <f>IFERROR(INDEX(_ZIG_Precos!$D:$D,MATCH(I431,_ZIG_Precos!$F:$F,0)),"—")</f>
        <v/>
      </c>
      <c r="I431" s="103">
        <f>IFERROR(VLOOKUP(B431,_Protheus_Cadastro!$A:$I,9,FALSE),"—")</f>
        <v/>
      </c>
      <c r="J431" s="101">
        <f>IFERROR(INDEX(_ZIG_Cadastro!$B:$B,MATCH(I431,_ZIG_Cadastro!$A:$A,0)),IFERROR(INDEX(_Entradas_ZIG!$B:$B,MATCH(I431,_Entradas_ZIG!$C:$C,0)),"—"))</f>
        <v/>
      </c>
      <c r="K431" s="101">
        <f>IFERROR(INDEX(_ZIG_Cadastro!$C:$C,MATCH(I431,_ZIG_Cadastro!$A:$A,0)),IFERROR(INDEX(_Entradas_ZIG!$D:$D,MATCH(I431,_Entradas_ZIG!$C:$C,0)),"—"))</f>
        <v/>
      </c>
      <c r="L431" s="99">
        <f>IF(I431="","Sem SKU ZIG",IF(I431="—","Sem SKU ZIG",IF(NOT(ISERROR(MATCH(I431,_ZIG_Cadastro!$A:$A,0))),IF(EXACT(UPPER(TRIM(C431)),UPPER(TRIM(INDEX(_ZIG_Cadastro!$B:$B,MATCH(I431,_ZIG_Cadastro!$A:$A,0))))),"OK","Atencao - Nome diverge"),IF(NOT(ISERROR(MATCH(I431,_Entradas_ZIG!$C:$C,0))),"OK","Erro - SKU nao encontrado"))))</f>
        <v/>
      </c>
      <c r="M431" s="99">
        <f>IFERROR(INDEX(_ZIG_Cadastro!$G:$G,MATCH(I431,_ZIG_Cadastro!$A:$A,0)),IF(NOT(ISERROR(MATCH(I431,_Entradas_ZIG!$C:$C,0))),"Ativo","—"))</f>
        <v/>
      </c>
      <c r="N431" s="102">
        <f>IFERROR(INDEX(_ZIG_Cadastro!$E:$E,MATCH(I431,_ZIG_Cadastro!$A:$A,0)),IFERROR(INDEX(_Entradas_ZIG!$F:$F,MATCH(I431,_Entradas_ZIG!$C:$C,0)),"—"))</f>
        <v/>
      </c>
      <c r="O431" s="99">
        <f>IF(AND(ISNUMBER(SEARCH("Espeto",N431)),ISNUMBER(SEARCH("Carin",N431))),"SIM","")</f>
        <v/>
      </c>
      <c r="P431" s="99">
        <f>IF(AND(ISNUMBER(SEARCH("Espeto",N431)),ISNUMBER(SEARCH("Lapa",N431))),"SIM","")</f>
        <v/>
      </c>
      <c r="Q431" s="99">
        <f>IF(AND(ISNUMBER(SEARCH("Espeto",N431)),ISNUMBER(SEARCH("Tatuapé",N431))),"SIM","")</f>
        <v/>
      </c>
      <c r="R431" s="99">
        <f>IF(AND(ISNUMBER(SEARCH("Espeto",N431)),ISNUMBER(SEARCH("Pavão",N431))),"SIM","")</f>
        <v/>
      </c>
      <c r="S431" s="99">
        <f>IF(AND(ISNUMBER(SEARCH("Espeto",N431)),ISNUMBER(SEARCH("Chac",N431))),"SIM","")</f>
        <v/>
      </c>
      <c r="T431" s="99">
        <f>IF(AND(ISNUMBER(SEARCH("Espeto",N431)),ISNUMBER(SEARCH("Madalena",N431))),"SIM","")</f>
        <v/>
      </c>
      <c r="U431" s="99">
        <f>IF(AND(ISNUMBER(SEARCH("Espeto",N431)),ISNUMBER(SEARCH("Mariana",N431))),"SIM","")</f>
        <v/>
      </c>
      <c r="V431" s="99">
        <f>IF(AND(ISNUMBER(SEARCH("Espeto",N431)),ISNUMBER(SEARCH("Perdizes",N431))),"SIM","")</f>
        <v/>
      </c>
      <c r="W431" s="99">
        <f>IF(AND(ISNUMBER(SEARCH("Espeto",N431)),ISNUMBER(SEARCH("Santana",N431))),"SIM","")</f>
        <v/>
      </c>
      <c r="X431" s="99">
        <f>IF(AND(ISNUMBER(SEARCH("Espeto",N431)),ISNUMBER(SEARCH("André",N431))),"SIM","")</f>
        <v/>
      </c>
      <c r="Y431" s="99">
        <f>IF(AND(ISNUMBER(SEARCH("Delivery",N431)),ISNUMBER(SEARCH("Carin",N431))),"SIM","")</f>
        <v/>
      </c>
      <c r="Z431" s="99">
        <f>IF(AND(ISNUMBER(SEARCH("Delivery",N431)),ISNUMBER(SEARCH("Lapa",N431))),"SIM","")</f>
        <v/>
      </c>
      <c r="AA431" s="99">
        <f>IF(AND(ISNUMBER(SEARCH("Delivery",N431)),ISNUMBER(SEARCH("Tatuapé",N431))),"SIM","")</f>
        <v/>
      </c>
      <c r="AB431" s="99">
        <f>IF(AND(ISNUMBER(SEARCH("Delivery",N431)),ISNUMBER(SEARCH("Pavão",N431))),"SIM","")</f>
        <v/>
      </c>
      <c r="AC431" s="99">
        <f>IF(AND(ISNUMBER(SEARCH("Delivery",N431)),ISNUMBER(SEARCH("Chac",N431))),"SIM","")</f>
        <v/>
      </c>
      <c r="AD431" s="99">
        <f>IF(AND(ISNUMBER(SEARCH("Delivery",N431)),ISNUMBER(SEARCH("Madalena",N431))),"SIM","")</f>
        <v/>
      </c>
      <c r="AE431" s="99">
        <f>IF(AND(ISNUMBER(SEARCH("Delivery",N431)),ISNUMBER(SEARCH("Mariana",N431))),"SIM","")</f>
        <v/>
      </c>
      <c r="AF431" s="99">
        <f>IF(AND(ISNUMBER(SEARCH("Delivery",N431)),ISNUMBER(SEARCH("Perdizes",N431))),"SIM","")</f>
        <v/>
      </c>
      <c r="AG431" s="99">
        <f>IF(AND(ISNUMBER(SEARCH("Delivery",N431)),ISNUMBER(SEARCH("Santana",N431))),"SIM","")</f>
        <v/>
      </c>
      <c r="AH431" s="99">
        <f>IF(AND(ISNUMBER(SEARCH("Delivery",N431)),ISNUMBER(SEARCH("André",N431))),"SIM","")</f>
        <v/>
      </c>
      <c r="AI431" s="99">
        <f>IF(ISNUMBER(SEARCH("Interlagos",N431)),"SIM","")</f>
        <v/>
      </c>
      <c r="AJ431" s="99">
        <f>IF(ISNUMBER(SEARCH("Quiosque",N431)),"SIM","")</f>
        <v/>
      </c>
      <c r="AK431" s="101" t="n"/>
    </row>
    <row r="432">
      <c r="A432" s="88" t="inlineStr">
        <is>
          <t>Protheus</t>
        </is>
      </c>
      <c r="B432" s="89" t="inlineStr">
        <is>
          <t>001479</t>
        </is>
      </c>
      <c r="C432" s="90">
        <f>IF(B432="—","—",IFERROR(VLOOKUP(B432,_Protheus_Cadastro!$A:$B,2,FALSE),"—"))</f>
        <v/>
      </c>
      <c r="D432" s="91">
        <f>IF(B432="—",IFERROR(INDEX(_ZIG_Cadastro!$D:$D,MATCH(H432,_ZIG_Cadastro!$A:$A,0)),"Produto"),IFERROR(VLOOKUP(B432,_Protheus_Cadastro!$A:$C,3,FALSE),"—"))</f>
        <v/>
      </c>
      <c r="E432" s="91">
        <f>IF(B432="—","—",IFERROR(VLOOKUP(B432,_Protheus_Cadastro!$A:$D,4,FALSE),"—"))</f>
        <v/>
      </c>
      <c r="F432" s="91">
        <f>IF(ISERROR(VLOOKUP(B432,'Estrutura Protheus'!A:A,1,FALSE)),"Não","Sim")</f>
        <v/>
      </c>
      <c r="G432" s="92">
        <f>IFERROR(INDEX(_Protheus_Cadastro!$H:$H,MATCH(B432,_Protheus_Cadastro!$A:$A,0)),"—")</f>
        <v/>
      </c>
      <c r="H432" s="210">
        <f>IFERROR(INDEX(_ZIG_Precos!$D:$D,MATCH(I432,_ZIG_Precos!$F:$F,0)),"—")</f>
        <v/>
      </c>
      <c r="I432" s="95">
        <f>IFERROR(VLOOKUP(B432,_Protheus_Cadastro!$A:$I,9,FALSE),"—")</f>
        <v/>
      </c>
      <c r="J432" s="93">
        <f>IFERROR(INDEX(_ZIG_Cadastro!$B:$B,MATCH(I432,_ZIG_Cadastro!$A:$A,0)),IFERROR(INDEX(_Entradas_ZIG!$B:$B,MATCH(I432,_Entradas_ZIG!$C:$C,0)),"—"))</f>
        <v/>
      </c>
      <c r="K432" s="93">
        <f>IFERROR(INDEX(_ZIG_Cadastro!$C:$C,MATCH(I432,_ZIG_Cadastro!$A:$A,0)),IFERROR(INDEX(_Entradas_ZIG!$D:$D,MATCH(I432,_Entradas_ZIG!$C:$C,0)),"—"))</f>
        <v/>
      </c>
      <c r="L432" s="92">
        <f>IF(I432="","Sem SKU ZIG",IF(I432="—","Sem SKU ZIG",IF(NOT(ISERROR(MATCH(I432,_ZIG_Cadastro!$A:$A,0))),IF(EXACT(UPPER(TRIM(C432)),UPPER(TRIM(INDEX(_ZIG_Cadastro!$B:$B,MATCH(I432,_ZIG_Cadastro!$A:$A,0))))),"OK","Atencao - Nome diverge"),IF(NOT(ISERROR(MATCH(I432,_Entradas_ZIG!$C:$C,0))),"OK","Erro - SKU nao encontrado"))))</f>
        <v/>
      </c>
      <c r="M432" s="92">
        <f>IFERROR(INDEX(_ZIG_Cadastro!$G:$G,MATCH(I432,_ZIG_Cadastro!$A:$A,0)),IF(NOT(ISERROR(MATCH(I432,_Entradas_ZIG!$C:$C,0))),"Ativo","—"))</f>
        <v/>
      </c>
      <c r="N432" s="94">
        <f>IFERROR(INDEX(_ZIG_Cadastro!$E:$E,MATCH(I432,_ZIG_Cadastro!$A:$A,0)),IFERROR(INDEX(_Entradas_ZIG!$F:$F,MATCH(I432,_Entradas_ZIG!$C:$C,0)),"—"))</f>
        <v/>
      </c>
      <c r="O432" s="92">
        <f>IF(AND(ISNUMBER(SEARCH("Espeto",N432)),ISNUMBER(SEARCH("Carin",N432))),"SIM","")</f>
        <v/>
      </c>
      <c r="P432" s="92">
        <f>IF(AND(ISNUMBER(SEARCH("Espeto",N432)),ISNUMBER(SEARCH("Lapa",N432))),"SIM","")</f>
        <v/>
      </c>
      <c r="Q432" s="92">
        <f>IF(AND(ISNUMBER(SEARCH("Espeto",N432)),ISNUMBER(SEARCH("Tatuapé",N432))),"SIM","")</f>
        <v/>
      </c>
      <c r="R432" s="92">
        <f>IF(AND(ISNUMBER(SEARCH("Espeto",N432)),ISNUMBER(SEARCH("Pavão",N432))),"SIM","")</f>
        <v/>
      </c>
      <c r="S432" s="92">
        <f>IF(AND(ISNUMBER(SEARCH("Espeto",N432)),ISNUMBER(SEARCH("Chac",N432))),"SIM","")</f>
        <v/>
      </c>
      <c r="T432" s="92">
        <f>IF(AND(ISNUMBER(SEARCH("Espeto",N432)),ISNUMBER(SEARCH("Madalena",N432))),"SIM","")</f>
        <v/>
      </c>
      <c r="U432" s="92">
        <f>IF(AND(ISNUMBER(SEARCH("Espeto",N432)),ISNUMBER(SEARCH("Mariana",N432))),"SIM","")</f>
        <v/>
      </c>
      <c r="V432" s="92">
        <f>IF(AND(ISNUMBER(SEARCH("Espeto",N432)),ISNUMBER(SEARCH("Perdizes",N432))),"SIM","")</f>
        <v/>
      </c>
      <c r="W432" s="92">
        <f>IF(AND(ISNUMBER(SEARCH("Espeto",N432)),ISNUMBER(SEARCH("Santana",N432))),"SIM","")</f>
        <v/>
      </c>
      <c r="X432" s="92">
        <f>IF(AND(ISNUMBER(SEARCH("Espeto",N432)),ISNUMBER(SEARCH("André",N432))),"SIM","")</f>
        <v/>
      </c>
      <c r="Y432" s="92">
        <f>IF(AND(ISNUMBER(SEARCH("Delivery",N432)),ISNUMBER(SEARCH("Carin",N432))),"SIM","")</f>
        <v/>
      </c>
      <c r="Z432" s="92">
        <f>IF(AND(ISNUMBER(SEARCH("Delivery",N432)),ISNUMBER(SEARCH("Lapa",N432))),"SIM","")</f>
        <v/>
      </c>
      <c r="AA432" s="92">
        <f>IF(AND(ISNUMBER(SEARCH("Delivery",N432)),ISNUMBER(SEARCH("Tatuapé",N432))),"SIM","")</f>
        <v/>
      </c>
      <c r="AB432" s="92">
        <f>IF(AND(ISNUMBER(SEARCH("Delivery",N432)),ISNUMBER(SEARCH("Pavão",N432))),"SIM","")</f>
        <v/>
      </c>
      <c r="AC432" s="92">
        <f>IF(AND(ISNUMBER(SEARCH("Delivery",N432)),ISNUMBER(SEARCH("Chac",N432))),"SIM","")</f>
        <v/>
      </c>
      <c r="AD432" s="92">
        <f>IF(AND(ISNUMBER(SEARCH("Delivery",N432)),ISNUMBER(SEARCH("Madalena",N432))),"SIM","")</f>
        <v/>
      </c>
      <c r="AE432" s="92">
        <f>IF(AND(ISNUMBER(SEARCH("Delivery",N432)),ISNUMBER(SEARCH("Mariana",N432))),"SIM","")</f>
        <v/>
      </c>
      <c r="AF432" s="92">
        <f>IF(AND(ISNUMBER(SEARCH("Delivery",N432)),ISNUMBER(SEARCH("Perdizes",N432))),"SIM","")</f>
        <v/>
      </c>
      <c r="AG432" s="92">
        <f>IF(AND(ISNUMBER(SEARCH("Delivery",N432)),ISNUMBER(SEARCH("Santana",N432))),"SIM","")</f>
        <v/>
      </c>
      <c r="AH432" s="92">
        <f>IF(AND(ISNUMBER(SEARCH("Delivery",N432)),ISNUMBER(SEARCH("André",N432))),"SIM","")</f>
        <v/>
      </c>
      <c r="AI432" s="92">
        <f>IF(ISNUMBER(SEARCH("Interlagos",N432)),"SIM","")</f>
        <v/>
      </c>
      <c r="AJ432" s="92">
        <f>IF(ISNUMBER(SEARCH("Quiosque",N432)),"SIM","")</f>
        <v/>
      </c>
      <c r="AK432" s="93" t="n"/>
    </row>
    <row r="433">
      <c r="A433" s="88" t="inlineStr">
        <is>
          <t>Protheus</t>
        </is>
      </c>
      <c r="B433" s="96" t="inlineStr">
        <is>
          <t>000903</t>
        </is>
      </c>
      <c r="C433" s="97">
        <f>IF(B433="—","—",IFERROR(VLOOKUP(B433,_Protheus_Cadastro!$A:$B,2,FALSE),"—"))</f>
        <v/>
      </c>
      <c r="D433" s="98">
        <f>IF(B433="—",IFERROR(INDEX(_ZIG_Cadastro!$D:$D,MATCH(H433,_ZIG_Cadastro!$A:$A,0)),"Produto"),IFERROR(VLOOKUP(B433,_Protheus_Cadastro!$A:$C,3,FALSE),"—"))</f>
        <v/>
      </c>
      <c r="E433" s="98">
        <f>IF(B433="—","—",IFERROR(VLOOKUP(B433,_Protheus_Cadastro!$A:$D,4,FALSE),"—"))</f>
        <v/>
      </c>
      <c r="F433" s="98">
        <f>IF(ISERROR(VLOOKUP(B433,'Estrutura Protheus'!A:A,1,FALSE)),"Não","Sim")</f>
        <v/>
      </c>
      <c r="G433" s="99">
        <f>IFERROR(INDEX(_Protheus_Cadastro!$H:$H,MATCH(B433,_Protheus_Cadastro!$A:$A,0)),"—")</f>
        <v/>
      </c>
      <c r="H433" s="211">
        <f>IFERROR(INDEX(_ZIG_Precos!$D:$D,MATCH(I433,_ZIG_Precos!$F:$F,0)),"—")</f>
        <v/>
      </c>
      <c r="I433" s="103">
        <f>IFERROR(VLOOKUP(B433,_Protheus_Cadastro!$A:$I,9,FALSE),"—")</f>
        <v/>
      </c>
      <c r="J433" s="101">
        <f>IFERROR(INDEX(_ZIG_Cadastro!$B:$B,MATCH(I433,_ZIG_Cadastro!$A:$A,0)),IFERROR(INDEX(_Entradas_ZIG!$B:$B,MATCH(I433,_Entradas_ZIG!$C:$C,0)),"—"))</f>
        <v/>
      </c>
      <c r="K433" s="101">
        <f>IFERROR(INDEX(_ZIG_Cadastro!$C:$C,MATCH(I433,_ZIG_Cadastro!$A:$A,0)),IFERROR(INDEX(_Entradas_ZIG!$D:$D,MATCH(I433,_Entradas_ZIG!$C:$C,0)),"—"))</f>
        <v/>
      </c>
      <c r="L433" s="99">
        <f>IF(I433="","Sem SKU ZIG",IF(I433="—","Sem SKU ZIG",IF(NOT(ISERROR(MATCH(I433,_ZIG_Cadastro!$A:$A,0))),IF(EXACT(UPPER(TRIM(C433)),UPPER(TRIM(INDEX(_ZIG_Cadastro!$B:$B,MATCH(I433,_ZIG_Cadastro!$A:$A,0))))),"OK","Atencao - Nome diverge"),IF(NOT(ISERROR(MATCH(I433,_Entradas_ZIG!$C:$C,0))),"OK","Erro - SKU nao encontrado"))))</f>
        <v/>
      </c>
      <c r="M433" s="99">
        <f>IFERROR(INDEX(_ZIG_Cadastro!$G:$G,MATCH(I433,_ZIG_Cadastro!$A:$A,0)),IF(NOT(ISERROR(MATCH(I433,_Entradas_ZIG!$C:$C,0))),"Ativo","—"))</f>
        <v/>
      </c>
      <c r="N433" s="102">
        <f>IFERROR(INDEX(_ZIG_Cadastro!$E:$E,MATCH(I433,_ZIG_Cadastro!$A:$A,0)),IFERROR(INDEX(_Entradas_ZIG!$F:$F,MATCH(I433,_Entradas_ZIG!$C:$C,0)),"—"))</f>
        <v/>
      </c>
      <c r="O433" s="99">
        <f>IF(AND(ISNUMBER(SEARCH("Espeto",N433)),ISNUMBER(SEARCH("Carin",N433))),"SIM","")</f>
        <v/>
      </c>
      <c r="P433" s="99">
        <f>IF(AND(ISNUMBER(SEARCH("Espeto",N433)),ISNUMBER(SEARCH("Lapa",N433))),"SIM","")</f>
        <v/>
      </c>
      <c r="Q433" s="99">
        <f>IF(AND(ISNUMBER(SEARCH("Espeto",N433)),ISNUMBER(SEARCH("Tatuapé",N433))),"SIM","")</f>
        <v/>
      </c>
      <c r="R433" s="99">
        <f>IF(AND(ISNUMBER(SEARCH("Espeto",N433)),ISNUMBER(SEARCH("Pavão",N433))),"SIM","")</f>
        <v/>
      </c>
      <c r="S433" s="99">
        <f>IF(AND(ISNUMBER(SEARCH("Espeto",N433)),ISNUMBER(SEARCH("Chac",N433))),"SIM","")</f>
        <v/>
      </c>
      <c r="T433" s="99">
        <f>IF(AND(ISNUMBER(SEARCH("Espeto",N433)),ISNUMBER(SEARCH("Madalena",N433))),"SIM","")</f>
        <v/>
      </c>
      <c r="U433" s="99">
        <f>IF(AND(ISNUMBER(SEARCH("Espeto",N433)),ISNUMBER(SEARCH("Mariana",N433))),"SIM","")</f>
        <v/>
      </c>
      <c r="V433" s="99">
        <f>IF(AND(ISNUMBER(SEARCH("Espeto",N433)),ISNUMBER(SEARCH("Perdizes",N433))),"SIM","")</f>
        <v/>
      </c>
      <c r="W433" s="99">
        <f>IF(AND(ISNUMBER(SEARCH("Espeto",N433)),ISNUMBER(SEARCH("Santana",N433))),"SIM","")</f>
        <v/>
      </c>
      <c r="X433" s="99">
        <f>IF(AND(ISNUMBER(SEARCH("Espeto",N433)),ISNUMBER(SEARCH("André",N433))),"SIM","")</f>
        <v/>
      </c>
      <c r="Y433" s="99">
        <f>IF(AND(ISNUMBER(SEARCH("Delivery",N433)),ISNUMBER(SEARCH("Carin",N433))),"SIM","")</f>
        <v/>
      </c>
      <c r="Z433" s="99">
        <f>IF(AND(ISNUMBER(SEARCH("Delivery",N433)),ISNUMBER(SEARCH("Lapa",N433))),"SIM","")</f>
        <v/>
      </c>
      <c r="AA433" s="99">
        <f>IF(AND(ISNUMBER(SEARCH("Delivery",N433)),ISNUMBER(SEARCH("Tatuapé",N433))),"SIM","")</f>
        <v/>
      </c>
      <c r="AB433" s="99">
        <f>IF(AND(ISNUMBER(SEARCH("Delivery",N433)),ISNUMBER(SEARCH("Pavão",N433))),"SIM","")</f>
        <v/>
      </c>
      <c r="AC433" s="99">
        <f>IF(AND(ISNUMBER(SEARCH("Delivery",N433)),ISNUMBER(SEARCH("Chac",N433))),"SIM","")</f>
        <v/>
      </c>
      <c r="AD433" s="99">
        <f>IF(AND(ISNUMBER(SEARCH("Delivery",N433)),ISNUMBER(SEARCH("Madalena",N433))),"SIM","")</f>
        <v/>
      </c>
      <c r="AE433" s="99">
        <f>IF(AND(ISNUMBER(SEARCH("Delivery",N433)),ISNUMBER(SEARCH("Mariana",N433))),"SIM","")</f>
        <v/>
      </c>
      <c r="AF433" s="99">
        <f>IF(AND(ISNUMBER(SEARCH("Delivery",N433)),ISNUMBER(SEARCH("Perdizes",N433))),"SIM","")</f>
        <v/>
      </c>
      <c r="AG433" s="99">
        <f>IF(AND(ISNUMBER(SEARCH("Delivery",N433)),ISNUMBER(SEARCH("Santana",N433))),"SIM","")</f>
        <v/>
      </c>
      <c r="AH433" s="99">
        <f>IF(AND(ISNUMBER(SEARCH("Delivery",N433)),ISNUMBER(SEARCH("André",N433))),"SIM","")</f>
        <v/>
      </c>
      <c r="AI433" s="99">
        <f>IF(ISNUMBER(SEARCH("Interlagos",N433)),"SIM","")</f>
        <v/>
      </c>
      <c r="AJ433" s="99">
        <f>IF(ISNUMBER(SEARCH("Quiosque",N433)),"SIM","")</f>
        <v/>
      </c>
      <c r="AK433" s="101" t="n"/>
    </row>
    <row r="434">
      <c r="A434" s="88" t="inlineStr">
        <is>
          <t>Protheus</t>
        </is>
      </c>
      <c r="B434" s="89" t="inlineStr">
        <is>
          <t>009634</t>
        </is>
      </c>
      <c r="C434" s="90">
        <f>IF(B434="—","—",IFERROR(VLOOKUP(B434,_Protheus_Cadastro!$A:$B,2,FALSE),"—"))</f>
        <v/>
      </c>
      <c r="D434" s="91">
        <f>IF(B434="—",IFERROR(INDEX(_ZIG_Cadastro!$D:$D,MATCH(H434,_ZIG_Cadastro!$A:$A,0)),"Produto"),IFERROR(VLOOKUP(B434,_Protheus_Cadastro!$A:$C,3,FALSE),"—"))</f>
        <v/>
      </c>
      <c r="E434" s="91">
        <f>IF(B434="—","—",IFERROR(VLOOKUP(B434,_Protheus_Cadastro!$A:$D,4,FALSE),"—"))</f>
        <v/>
      </c>
      <c r="F434" s="91">
        <f>IF(ISERROR(VLOOKUP(B434,'Estrutura Protheus'!A:A,1,FALSE)),"Não","Sim")</f>
        <v/>
      </c>
      <c r="G434" s="92">
        <f>IFERROR(INDEX(_Protheus_Cadastro!$H:$H,MATCH(B434,_Protheus_Cadastro!$A:$A,0)),"—")</f>
        <v/>
      </c>
      <c r="H434" s="210">
        <f>IFERROR(INDEX(_ZIG_Precos!$D:$D,MATCH(I434,_ZIG_Precos!$F:$F,0)),"—")</f>
        <v/>
      </c>
      <c r="I434" s="95">
        <f>IFERROR(VLOOKUP(B434,_Protheus_Cadastro!$A:$I,9,FALSE),"—")</f>
        <v/>
      </c>
      <c r="J434" s="93">
        <f>IFERROR(INDEX(_ZIG_Cadastro!$B:$B,MATCH(I434,_ZIG_Cadastro!$A:$A,0)),IFERROR(INDEX(_Entradas_ZIG!$B:$B,MATCH(I434,_Entradas_ZIG!$C:$C,0)),"—"))</f>
        <v/>
      </c>
      <c r="K434" s="93">
        <f>IFERROR(INDEX(_ZIG_Cadastro!$C:$C,MATCH(I434,_ZIG_Cadastro!$A:$A,0)),IFERROR(INDEX(_Entradas_ZIG!$D:$D,MATCH(I434,_Entradas_ZIG!$C:$C,0)),"—"))</f>
        <v/>
      </c>
      <c r="L434" s="92">
        <f>IF(I434="","Sem SKU ZIG",IF(I434="—","Sem SKU ZIG",IF(NOT(ISERROR(MATCH(I434,_ZIG_Cadastro!$A:$A,0))),IF(EXACT(UPPER(TRIM(C434)),UPPER(TRIM(INDEX(_ZIG_Cadastro!$B:$B,MATCH(I434,_ZIG_Cadastro!$A:$A,0))))),"OK","Atencao - Nome diverge"),IF(NOT(ISERROR(MATCH(I434,_Entradas_ZIG!$C:$C,0))),"OK","Erro - SKU nao encontrado"))))</f>
        <v/>
      </c>
      <c r="M434" s="92">
        <f>IFERROR(INDEX(_ZIG_Cadastro!$G:$G,MATCH(I434,_ZIG_Cadastro!$A:$A,0)),IF(NOT(ISERROR(MATCH(I434,_Entradas_ZIG!$C:$C,0))),"Ativo","—"))</f>
        <v/>
      </c>
      <c r="N434" s="94">
        <f>IFERROR(INDEX(_ZIG_Cadastro!$E:$E,MATCH(I434,_ZIG_Cadastro!$A:$A,0)),IFERROR(INDEX(_Entradas_ZIG!$F:$F,MATCH(I434,_Entradas_ZIG!$C:$C,0)),"—"))</f>
        <v/>
      </c>
      <c r="O434" s="92">
        <f>IF(AND(ISNUMBER(SEARCH("Espeto",N434)),ISNUMBER(SEARCH("Carin",N434))),"SIM","")</f>
        <v/>
      </c>
      <c r="P434" s="92">
        <f>IF(AND(ISNUMBER(SEARCH("Espeto",N434)),ISNUMBER(SEARCH("Lapa",N434))),"SIM","")</f>
        <v/>
      </c>
      <c r="Q434" s="92">
        <f>IF(AND(ISNUMBER(SEARCH("Espeto",N434)),ISNUMBER(SEARCH("Tatuapé",N434))),"SIM","")</f>
        <v/>
      </c>
      <c r="R434" s="92">
        <f>IF(AND(ISNUMBER(SEARCH("Espeto",N434)),ISNUMBER(SEARCH("Pavão",N434))),"SIM","")</f>
        <v/>
      </c>
      <c r="S434" s="92">
        <f>IF(AND(ISNUMBER(SEARCH("Espeto",N434)),ISNUMBER(SEARCH("Chac",N434))),"SIM","")</f>
        <v/>
      </c>
      <c r="T434" s="92">
        <f>IF(AND(ISNUMBER(SEARCH("Espeto",N434)),ISNUMBER(SEARCH("Madalena",N434))),"SIM","")</f>
        <v/>
      </c>
      <c r="U434" s="92">
        <f>IF(AND(ISNUMBER(SEARCH("Espeto",N434)),ISNUMBER(SEARCH("Mariana",N434))),"SIM","")</f>
        <v/>
      </c>
      <c r="V434" s="92">
        <f>IF(AND(ISNUMBER(SEARCH("Espeto",N434)),ISNUMBER(SEARCH("Perdizes",N434))),"SIM","")</f>
        <v/>
      </c>
      <c r="W434" s="92">
        <f>IF(AND(ISNUMBER(SEARCH("Espeto",N434)),ISNUMBER(SEARCH("Santana",N434))),"SIM","")</f>
        <v/>
      </c>
      <c r="X434" s="92">
        <f>IF(AND(ISNUMBER(SEARCH("Espeto",N434)),ISNUMBER(SEARCH("André",N434))),"SIM","")</f>
        <v/>
      </c>
      <c r="Y434" s="92">
        <f>IF(AND(ISNUMBER(SEARCH("Delivery",N434)),ISNUMBER(SEARCH("Carin",N434))),"SIM","")</f>
        <v/>
      </c>
      <c r="Z434" s="92">
        <f>IF(AND(ISNUMBER(SEARCH("Delivery",N434)),ISNUMBER(SEARCH("Lapa",N434))),"SIM","")</f>
        <v/>
      </c>
      <c r="AA434" s="92">
        <f>IF(AND(ISNUMBER(SEARCH("Delivery",N434)),ISNUMBER(SEARCH("Tatuapé",N434))),"SIM","")</f>
        <v/>
      </c>
      <c r="AB434" s="92">
        <f>IF(AND(ISNUMBER(SEARCH("Delivery",N434)),ISNUMBER(SEARCH("Pavão",N434))),"SIM","")</f>
        <v/>
      </c>
      <c r="AC434" s="92">
        <f>IF(AND(ISNUMBER(SEARCH("Delivery",N434)),ISNUMBER(SEARCH("Chac",N434))),"SIM","")</f>
        <v/>
      </c>
      <c r="AD434" s="92">
        <f>IF(AND(ISNUMBER(SEARCH("Delivery",N434)),ISNUMBER(SEARCH("Madalena",N434))),"SIM","")</f>
        <v/>
      </c>
      <c r="AE434" s="92">
        <f>IF(AND(ISNUMBER(SEARCH("Delivery",N434)),ISNUMBER(SEARCH("Mariana",N434))),"SIM","")</f>
        <v/>
      </c>
      <c r="AF434" s="92">
        <f>IF(AND(ISNUMBER(SEARCH("Delivery",N434)),ISNUMBER(SEARCH("Perdizes",N434))),"SIM","")</f>
        <v/>
      </c>
      <c r="AG434" s="92">
        <f>IF(AND(ISNUMBER(SEARCH("Delivery",N434)),ISNUMBER(SEARCH("Santana",N434))),"SIM","")</f>
        <v/>
      </c>
      <c r="AH434" s="92">
        <f>IF(AND(ISNUMBER(SEARCH("Delivery",N434)),ISNUMBER(SEARCH("André",N434))),"SIM","")</f>
        <v/>
      </c>
      <c r="AI434" s="92">
        <f>IF(ISNUMBER(SEARCH("Interlagos",N434)),"SIM","")</f>
        <v/>
      </c>
      <c r="AJ434" s="92">
        <f>IF(ISNUMBER(SEARCH("Quiosque",N434)),"SIM","")</f>
        <v/>
      </c>
      <c r="AK434" s="93" t="n"/>
    </row>
    <row r="435">
      <c r="A435" s="88" t="inlineStr">
        <is>
          <t>Protheus</t>
        </is>
      </c>
      <c r="B435" s="96" t="inlineStr">
        <is>
          <t>002237</t>
        </is>
      </c>
      <c r="C435" s="97">
        <f>IF(B435="—","—",IFERROR(VLOOKUP(B435,_Protheus_Cadastro!$A:$B,2,FALSE),"—"))</f>
        <v/>
      </c>
      <c r="D435" s="98">
        <f>IF(B435="—",IFERROR(INDEX(_ZIG_Cadastro!$D:$D,MATCH(H435,_ZIG_Cadastro!$A:$A,0)),"Produto"),IFERROR(VLOOKUP(B435,_Protheus_Cadastro!$A:$C,3,FALSE),"—"))</f>
        <v/>
      </c>
      <c r="E435" s="98">
        <f>IF(B435="—","—",IFERROR(VLOOKUP(B435,_Protheus_Cadastro!$A:$D,4,FALSE),"—"))</f>
        <v/>
      </c>
      <c r="F435" s="98">
        <f>IF(ISERROR(VLOOKUP(B435,'Estrutura Protheus'!A:A,1,FALSE)),"Não","Sim")</f>
        <v/>
      </c>
      <c r="G435" s="99">
        <f>IFERROR(INDEX(_Protheus_Cadastro!$H:$H,MATCH(B435,_Protheus_Cadastro!$A:$A,0)),"—")</f>
        <v/>
      </c>
      <c r="H435" s="211">
        <f>IFERROR(INDEX(_ZIG_Precos!$D:$D,MATCH(I435,_ZIG_Precos!$F:$F,0)),"—")</f>
        <v/>
      </c>
      <c r="I435" s="103">
        <f>IFERROR(VLOOKUP(B435,_Protheus_Cadastro!$A:$I,9,FALSE),"—")</f>
        <v/>
      </c>
      <c r="J435" s="101">
        <f>IFERROR(INDEX(_ZIG_Cadastro!$B:$B,MATCH(I435,_ZIG_Cadastro!$A:$A,0)),IFERROR(INDEX(_Entradas_ZIG!$B:$B,MATCH(I435,_Entradas_ZIG!$C:$C,0)),"—"))</f>
        <v/>
      </c>
      <c r="K435" s="101">
        <f>IFERROR(INDEX(_ZIG_Cadastro!$C:$C,MATCH(I435,_ZIG_Cadastro!$A:$A,0)),IFERROR(INDEX(_Entradas_ZIG!$D:$D,MATCH(I435,_Entradas_ZIG!$C:$C,0)),"—"))</f>
        <v/>
      </c>
      <c r="L435" s="99">
        <f>IF(I435="","Sem SKU ZIG",IF(I435="—","Sem SKU ZIG",IF(NOT(ISERROR(MATCH(I435,_ZIG_Cadastro!$A:$A,0))),IF(EXACT(UPPER(TRIM(C435)),UPPER(TRIM(INDEX(_ZIG_Cadastro!$B:$B,MATCH(I435,_ZIG_Cadastro!$A:$A,0))))),"OK","Atencao - Nome diverge"),IF(NOT(ISERROR(MATCH(I435,_Entradas_ZIG!$C:$C,0))),"OK","Erro - SKU nao encontrado"))))</f>
        <v/>
      </c>
      <c r="M435" s="99">
        <f>IFERROR(INDEX(_ZIG_Cadastro!$G:$G,MATCH(I435,_ZIG_Cadastro!$A:$A,0)),IF(NOT(ISERROR(MATCH(I435,_Entradas_ZIG!$C:$C,0))),"Ativo","—"))</f>
        <v/>
      </c>
      <c r="N435" s="102">
        <f>IFERROR(INDEX(_ZIG_Cadastro!$E:$E,MATCH(I435,_ZIG_Cadastro!$A:$A,0)),IFERROR(INDEX(_Entradas_ZIG!$F:$F,MATCH(I435,_Entradas_ZIG!$C:$C,0)),"—"))</f>
        <v/>
      </c>
      <c r="O435" s="99">
        <f>IF(AND(ISNUMBER(SEARCH("Espeto",N435)),ISNUMBER(SEARCH("Carin",N435))),"SIM","")</f>
        <v/>
      </c>
      <c r="P435" s="99">
        <f>IF(AND(ISNUMBER(SEARCH("Espeto",N435)),ISNUMBER(SEARCH("Lapa",N435))),"SIM","")</f>
        <v/>
      </c>
      <c r="Q435" s="99">
        <f>IF(AND(ISNUMBER(SEARCH("Espeto",N435)),ISNUMBER(SEARCH("Tatuapé",N435))),"SIM","")</f>
        <v/>
      </c>
      <c r="R435" s="99">
        <f>IF(AND(ISNUMBER(SEARCH("Espeto",N435)),ISNUMBER(SEARCH("Pavão",N435))),"SIM","")</f>
        <v/>
      </c>
      <c r="S435" s="99">
        <f>IF(AND(ISNUMBER(SEARCH("Espeto",N435)),ISNUMBER(SEARCH("Chac",N435))),"SIM","")</f>
        <v/>
      </c>
      <c r="T435" s="99">
        <f>IF(AND(ISNUMBER(SEARCH("Espeto",N435)),ISNUMBER(SEARCH("Madalena",N435))),"SIM","")</f>
        <v/>
      </c>
      <c r="U435" s="99">
        <f>IF(AND(ISNUMBER(SEARCH("Espeto",N435)),ISNUMBER(SEARCH("Mariana",N435))),"SIM","")</f>
        <v/>
      </c>
      <c r="V435" s="99">
        <f>IF(AND(ISNUMBER(SEARCH("Espeto",N435)),ISNUMBER(SEARCH("Perdizes",N435))),"SIM","")</f>
        <v/>
      </c>
      <c r="W435" s="99">
        <f>IF(AND(ISNUMBER(SEARCH("Espeto",N435)),ISNUMBER(SEARCH("Santana",N435))),"SIM","")</f>
        <v/>
      </c>
      <c r="X435" s="99">
        <f>IF(AND(ISNUMBER(SEARCH("Espeto",N435)),ISNUMBER(SEARCH("André",N435))),"SIM","")</f>
        <v/>
      </c>
      <c r="Y435" s="99">
        <f>IF(AND(ISNUMBER(SEARCH("Delivery",N435)),ISNUMBER(SEARCH("Carin",N435))),"SIM","")</f>
        <v/>
      </c>
      <c r="Z435" s="99">
        <f>IF(AND(ISNUMBER(SEARCH("Delivery",N435)),ISNUMBER(SEARCH("Lapa",N435))),"SIM","")</f>
        <v/>
      </c>
      <c r="AA435" s="99">
        <f>IF(AND(ISNUMBER(SEARCH("Delivery",N435)),ISNUMBER(SEARCH("Tatuapé",N435))),"SIM","")</f>
        <v/>
      </c>
      <c r="AB435" s="99">
        <f>IF(AND(ISNUMBER(SEARCH("Delivery",N435)),ISNUMBER(SEARCH("Pavão",N435))),"SIM","")</f>
        <v/>
      </c>
      <c r="AC435" s="99">
        <f>IF(AND(ISNUMBER(SEARCH("Delivery",N435)),ISNUMBER(SEARCH("Chac",N435))),"SIM","")</f>
        <v/>
      </c>
      <c r="AD435" s="99">
        <f>IF(AND(ISNUMBER(SEARCH("Delivery",N435)),ISNUMBER(SEARCH("Madalena",N435))),"SIM","")</f>
        <v/>
      </c>
      <c r="AE435" s="99">
        <f>IF(AND(ISNUMBER(SEARCH("Delivery",N435)),ISNUMBER(SEARCH("Mariana",N435))),"SIM","")</f>
        <v/>
      </c>
      <c r="AF435" s="99">
        <f>IF(AND(ISNUMBER(SEARCH("Delivery",N435)),ISNUMBER(SEARCH("Perdizes",N435))),"SIM","")</f>
        <v/>
      </c>
      <c r="AG435" s="99">
        <f>IF(AND(ISNUMBER(SEARCH("Delivery",N435)),ISNUMBER(SEARCH("Santana",N435))),"SIM","")</f>
        <v/>
      </c>
      <c r="AH435" s="99">
        <f>IF(AND(ISNUMBER(SEARCH("Delivery",N435)),ISNUMBER(SEARCH("André",N435))),"SIM","")</f>
        <v/>
      </c>
      <c r="AI435" s="99">
        <f>IF(ISNUMBER(SEARCH("Interlagos",N435)),"SIM","")</f>
        <v/>
      </c>
      <c r="AJ435" s="99">
        <f>IF(ISNUMBER(SEARCH("Quiosque",N435)),"SIM","")</f>
        <v/>
      </c>
      <c r="AK435" s="101" t="n"/>
    </row>
    <row r="436">
      <c r="A436" s="88" t="inlineStr">
        <is>
          <t>Protheus</t>
        </is>
      </c>
      <c r="B436" s="89" t="inlineStr">
        <is>
          <t>001478</t>
        </is>
      </c>
      <c r="C436" s="90">
        <f>IF(B436="—","—",IFERROR(VLOOKUP(B436,_Protheus_Cadastro!$A:$B,2,FALSE),"—"))</f>
        <v/>
      </c>
      <c r="D436" s="91">
        <f>IF(B436="—",IFERROR(INDEX(_ZIG_Cadastro!$D:$D,MATCH(H436,_ZIG_Cadastro!$A:$A,0)),"Produto"),IFERROR(VLOOKUP(B436,_Protheus_Cadastro!$A:$C,3,FALSE),"—"))</f>
        <v/>
      </c>
      <c r="E436" s="91">
        <f>IF(B436="—","—",IFERROR(VLOOKUP(B436,_Protheus_Cadastro!$A:$D,4,FALSE),"—"))</f>
        <v/>
      </c>
      <c r="F436" s="91">
        <f>IF(ISERROR(VLOOKUP(B436,'Estrutura Protheus'!A:A,1,FALSE)),"Não","Sim")</f>
        <v/>
      </c>
      <c r="G436" s="92">
        <f>IFERROR(INDEX(_Protheus_Cadastro!$H:$H,MATCH(B436,_Protheus_Cadastro!$A:$A,0)),"—")</f>
        <v/>
      </c>
      <c r="H436" s="210">
        <f>IFERROR(INDEX(_ZIG_Precos!$D:$D,MATCH(I436,_ZIG_Precos!$F:$F,0)),"—")</f>
        <v/>
      </c>
      <c r="I436" s="95">
        <f>IFERROR(VLOOKUP(B436,_Protheus_Cadastro!$A:$I,9,FALSE),"—")</f>
        <v/>
      </c>
      <c r="J436" s="93">
        <f>IFERROR(INDEX(_ZIG_Cadastro!$B:$B,MATCH(I436,_ZIG_Cadastro!$A:$A,0)),IFERROR(INDEX(_Entradas_ZIG!$B:$B,MATCH(I436,_Entradas_ZIG!$C:$C,0)),"—"))</f>
        <v/>
      </c>
      <c r="K436" s="93">
        <f>IFERROR(INDEX(_ZIG_Cadastro!$C:$C,MATCH(I436,_ZIG_Cadastro!$A:$A,0)),IFERROR(INDEX(_Entradas_ZIG!$D:$D,MATCH(I436,_Entradas_ZIG!$C:$C,0)),"—"))</f>
        <v/>
      </c>
      <c r="L436" s="92">
        <f>IF(I436="","Sem SKU ZIG",IF(I436="—","Sem SKU ZIG",IF(NOT(ISERROR(MATCH(I436,_ZIG_Cadastro!$A:$A,0))),IF(EXACT(UPPER(TRIM(C436)),UPPER(TRIM(INDEX(_ZIG_Cadastro!$B:$B,MATCH(I436,_ZIG_Cadastro!$A:$A,0))))),"OK","Atencao - Nome diverge"),IF(NOT(ISERROR(MATCH(I436,_Entradas_ZIG!$C:$C,0))),"OK","Erro - SKU nao encontrado"))))</f>
        <v/>
      </c>
      <c r="M436" s="92">
        <f>IFERROR(INDEX(_ZIG_Cadastro!$G:$G,MATCH(I436,_ZIG_Cadastro!$A:$A,0)),IF(NOT(ISERROR(MATCH(I436,_Entradas_ZIG!$C:$C,0))),"Ativo","—"))</f>
        <v/>
      </c>
      <c r="N436" s="94">
        <f>IFERROR(INDEX(_ZIG_Cadastro!$E:$E,MATCH(I436,_ZIG_Cadastro!$A:$A,0)),IFERROR(INDEX(_Entradas_ZIG!$F:$F,MATCH(I436,_Entradas_ZIG!$C:$C,0)),"—"))</f>
        <v/>
      </c>
      <c r="O436" s="92">
        <f>IF(AND(ISNUMBER(SEARCH("Espeto",N436)),ISNUMBER(SEARCH("Carin",N436))),"SIM","")</f>
        <v/>
      </c>
      <c r="P436" s="92">
        <f>IF(AND(ISNUMBER(SEARCH("Espeto",N436)),ISNUMBER(SEARCH("Lapa",N436))),"SIM","")</f>
        <v/>
      </c>
      <c r="Q436" s="92">
        <f>IF(AND(ISNUMBER(SEARCH("Espeto",N436)),ISNUMBER(SEARCH("Tatuapé",N436))),"SIM","")</f>
        <v/>
      </c>
      <c r="R436" s="92">
        <f>IF(AND(ISNUMBER(SEARCH("Espeto",N436)),ISNUMBER(SEARCH("Pavão",N436))),"SIM","")</f>
        <v/>
      </c>
      <c r="S436" s="92">
        <f>IF(AND(ISNUMBER(SEARCH("Espeto",N436)),ISNUMBER(SEARCH("Chac",N436))),"SIM","")</f>
        <v/>
      </c>
      <c r="T436" s="92">
        <f>IF(AND(ISNUMBER(SEARCH("Espeto",N436)),ISNUMBER(SEARCH("Madalena",N436))),"SIM","")</f>
        <v/>
      </c>
      <c r="U436" s="92">
        <f>IF(AND(ISNUMBER(SEARCH("Espeto",N436)),ISNUMBER(SEARCH("Mariana",N436))),"SIM","")</f>
        <v/>
      </c>
      <c r="V436" s="92">
        <f>IF(AND(ISNUMBER(SEARCH("Espeto",N436)),ISNUMBER(SEARCH("Perdizes",N436))),"SIM","")</f>
        <v/>
      </c>
      <c r="W436" s="92">
        <f>IF(AND(ISNUMBER(SEARCH("Espeto",N436)),ISNUMBER(SEARCH("Santana",N436))),"SIM","")</f>
        <v/>
      </c>
      <c r="X436" s="92">
        <f>IF(AND(ISNUMBER(SEARCH("Espeto",N436)),ISNUMBER(SEARCH("André",N436))),"SIM","")</f>
        <v/>
      </c>
      <c r="Y436" s="92">
        <f>IF(AND(ISNUMBER(SEARCH("Delivery",N436)),ISNUMBER(SEARCH("Carin",N436))),"SIM","")</f>
        <v/>
      </c>
      <c r="Z436" s="92">
        <f>IF(AND(ISNUMBER(SEARCH("Delivery",N436)),ISNUMBER(SEARCH("Lapa",N436))),"SIM","")</f>
        <v/>
      </c>
      <c r="AA436" s="92">
        <f>IF(AND(ISNUMBER(SEARCH("Delivery",N436)),ISNUMBER(SEARCH("Tatuapé",N436))),"SIM","")</f>
        <v/>
      </c>
      <c r="AB436" s="92">
        <f>IF(AND(ISNUMBER(SEARCH("Delivery",N436)),ISNUMBER(SEARCH("Pavão",N436))),"SIM","")</f>
        <v/>
      </c>
      <c r="AC436" s="92">
        <f>IF(AND(ISNUMBER(SEARCH("Delivery",N436)),ISNUMBER(SEARCH("Chac",N436))),"SIM","")</f>
        <v/>
      </c>
      <c r="AD436" s="92">
        <f>IF(AND(ISNUMBER(SEARCH("Delivery",N436)),ISNUMBER(SEARCH("Madalena",N436))),"SIM","")</f>
        <v/>
      </c>
      <c r="AE436" s="92">
        <f>IF(AND(ISNUMBER(SEARCH("Delivery",N436)),ISNUMBER(SEARCH("Mariana",N436))),"SIM","")</f>
        <v/>
      </c>
      <c r="AF436" s="92">
        <f>IF(AND(ISNUMBER(SEARCH("Delivery",N436)),ISNUMBER(SEARCH("Perdizes",N436))),"SIM","")</f>
        <v/>
      </c>
      <c r="AG436" s="92">
        <f>IF(AND(ISNUMBER(SEARCH("Delivery",N436)),ISNUMBER(SEARCH("Santana",N436))),"SIM","")</f>
        <v/>
      </c>
      <c r="AH436" s="92">
        <f>IF(AND(ISNUMBER(SEARCH("Delivery",N436)),ISNUMBER(SEARCH("André",N436))),"SIM","")</f>
        <v/>
      </c>
      <c r="AI436" s="92">
        <f>IF(ISNUMBER(SEARCH("Interlagos",N436)),"SIM","")</f>
        <v/>
      </c>
      <c r="AJ436" s="92">
        <f>IF(ISNUMBER(SEARCH("Quiosque",N436)),"SIM","")</f>
        <v/>
      </c>
      <c r="AK436" s="93" t="n"/>
    </row>
    <row r="437">
      <c r="A437" s="88" t="inlineStr">
        <is>
          <t>Protheus</t>
        </is>
      </c>
      <c r="B437" s="96" t="inlineStr">
        <is>
          <t>001944</t>
        </is>
      </c>
      <c r="C437" s="97">
        <f>IF(B437="—","—",IFERROR(VLOOKUP(B437,_Protheus_Cadastro!$A:$B,2,FALSE),"—"))</f>
        <v/>
      </c>
      <c r="D437" s="98">
        <f>IF(B437="—",IFERROR(INDEX(_ZIG_Cadastro!$D:$D,MATCH(H437,_ZIG_Cadastro!$A:$A,0)),"Produto"),IFERROR(VLOOKUP(B437,_Protheus_Cadastro!$A:$C,3,FALSE),"—"))</f>
        <v/>
      </c>
      <c r="E437" s="98">
        <f>IF(B437="—","—",IFERROR(VLOOKUP(B437,_Protheus_Cadastro!$A:$D,4,FALSE),"—"))</f>
        <v/>
      </c>
      <c r="F437" s="98">
        <f>IF(ISERROR(VLOOKUP(B437,'Estrutura Protheus'!A:A,1,FALSE)),"Não","Sim")</f>
        <v/>
      </c>
      <c r="G437" s="99">
        <f>IFERROR(INDEX(_Protheus_Cadastro!$H:$H,MATCH(B437,_Protheus_Cadastro!$A:$A,0)),"—")</f>
        <v/>
      </c>
      <c r="H437" s="211">
        <f>IFERROR(INDEX(_ZIG_Precos!$D:$D,MATCH(I437,_ZIG_Precos!$F:$F,0)),"—")</f>
        <v/>
      </c>
      <c r="I437" s="103">
        <f>IFERROR(VLOOKUP(B437,_Protheus_Cadastro!$A:$I,9,FALSE),"—")</f>
        <v/>
      </c>
      <c r="J437" s="101">
        <f>IFERROR(INDEX(_ZIG_Cadastro!$B:$B,MATCH(I437,_ZIG_Cadastro!$A:$A,0)),IFERROR(INDEX(_Entradas_ZIG!$B:$B,MATCH(I437,_Entradas_ZIG!$C:$C,0)),"—"))</f>
        <v/>
      </c>
      <c r="K437" s="101">
        <f>IFERROR(INDEX(_ZIG_Cadastro!$C:$C,MATCH(I437,_ZIG_Cadastro!$A:$A,0)),IFERROR(INDEX(_Entradas_ZIG!$D:$D,MATCH(I437,_Entradas_ZIG!$C:$C,0)),"—"))</f>
        <v/>
      </c>
      <c r="L437" s="99">
        <f>IF(I437="","Sem SKU ZIG",IF(I437="—","Sem SKU ZIG",IF(NOT(ISERROR(MATCH(I437,_ZIG_Cadastro!$A:$A,0))),IF(EXACT(UPPER(TRIM(C437)),UPPER(TRIM(INDEX(_ZIG_Cadastro!$B:$B,MATCH(I437,_ZIG_Cadastro!$A:$A,0))))),"OK","Atencao - Nome diverge"),IF(NOT(ISERROR(MATCH(I437,_Entradas_ZIG!$C:$C,0))),"OK","Erro - SKU nao encontrado"))))</f>
        <v/>
      </c>
      <c r="M437" s="99">
        <f>IFERROR(INDEX(_ZIG_Cadastro!$G:$G,MATCH(I437,_ZIG_Cadastro!$A:$A,0)),IF(NOT(ISERROR(MATCH(I437,_Entradas_ZIG!$C:$C,0))),"Ativo","—"))</f>
        <v/>
      </c>
      <c r="N437" s="102">
        <f>IFERROR(INDEX(_ZIG_Cadastro!$E:$E,MATCH(I437,_ZIG_Cadastro!$A:$A,0)),IFERROR(INDEX(_Entradas_ZIG!$F:$F,MATCH(I437,_Entradas_ZIG!$C:$C,0)),"—"))</f>
        <v/>
      </c>
      <c r="O437" s="99">
        <f>IF(AND(ISNUMBER(SEARCH("Espeto",N437)),ISNUMBER(SEARCH("Carin",N437))),"SIM","")</f>
        <v/>
      </c>
      <c r="P437" s="99">
        <f>IF(AND(ISNUMBER(SEARCH("Espeto",N437)),ISNUMBER(SEARCH("Lapa",N437))),"SIM","")</f>
        <v/>
      </c>
      <c r="Q437" s="99">
        <f>IF(AND(ISNUMBER(SEARCH("Espeto",N437)),ISNUMBER(SEARCH("Tatuapé",N437))),"SIM","")</f>
        <v/>
      </c>
      <c r="R437" s="99">
        <f>IF(AND(ISNUMBER(SEARCH("Espeto",N437)),ISNUMBER(SEARCH("Pavão",N437))),"SIM","")</f>
        <v/>
      </c>
      <c r="S437" s="99">
        <f>IF(AND(ISNUMBER(SEARCH("Espeto",N437)),ISNUMBER(SEARCH("Chac",N437))),"SIM","")</f>
        <v/>
      </c>
      <c r="T437" s="99">
        <f>IF(AND(ISNUMBER(SEARCH("Espeto",N437)),ISNUMBER(SEARCH("Madalena",N437))),"SIM","")</f>
        <v/>
      </c>
      <c r="U437" s="99">
        <f>IF(AND(ISNUMBER(SEARCH("Espeto",N437)),ISNUMBER(SEARCH("Mariana",N437))),"SIM","")</f>
        <v/>
      </c>
      <c r="V437" s="99">
        <f>IF(AND(ISNUMBER(SEARCH("Espeto",N437)),ISNUMBER(SEARCH("Perdizes",N437))),"SIM","")</f>
        <v/>
      </c>
      <c r="W437" s="99">
        <f>IF(AND(ISNUMBER(SEARCH("Espeto",N437)),ISNUMBER(SEARCH("Santana",N437))),"SIM","")</f>
        <v/>
      </c>
      <c r="X437" s="99">
        <f>IF(AND(ISNUMBER(SEARCH("Espeto",N437)),ISNUMBER(SEARCH("André",N437))),"SIM","")</f>
        <v/>
      </c>
      <c r="Y437" s="99">
        <f>IF(AND(ISNUMBER(SEARCH("Delivery",N437)),ISNUMBER(SEARCH("Carin",N437))),"SIM","")</f>
        <v/>
      </c>
      <c r="Z437" s="99">
        <f>IF(AND(ISNUMBER(SEARCH("Delivery",N437)),ISNUMBER(SEARCH("Lapa",N437))),"SIM","")</f>
        <v/>
      </c>
      <c r="AA437" s="99">
        <f>IF(AND(ISNUMBER(SEARCH("Delivery",N437)),ISNUMBER(SEARCH("Tatuapé",N437))),"SIM","")</f>
        <v/>
      </c>
      <c r="AB437" s="99">
        <f>IF(AND(ISNUMBER(SEARCH("Delivery",N437)),ISNUMBER(SEARCH("Pavão",N437))),"SIM","")</f>
        <v/>
      </c>
      <c r="AC437" s="99">
        <f>IF(AND(ISNUMBER(SEARCH("Delivery",N437)),ISNUMBER(SEARCH("Chac",N437))),"SIM","")</f>
        <v/>
      </c>
      <c r="AD437" s="99">
        <f>IF(AND(ISNUMBER(SEARCH("Delivery",N437)),ISNUMBER(SEARCH("Madalena",N437))),"SIM","")</f>
        <v/>
      </c>
      <c r="AE437" s="99">
        <f>IF(AND(ISNUMBER(SEARCH("Delivery",N437)),ISNUMBER(SEARCH("Mariana",N437))),"SIM","")</f>
        <v/>
      </c>
      <c r="AF437" s="99">
        <f>IF(AND(ISNUMBER(SEARCH("Delivery",N437)),ISNUMBER(SEARCH("Perdizes",N437))),"SIM","")</f>
        <v/>
      </c>
      <c r="AG437" s="99">
        <f>IF(AND(ISNUMBER(SEARCH("Delivery",N437)),ISNUMBER(SEARCH("Santana",N437))),"SIM","")</f>
        <v/>
      </c>
      <c r="AH437" s="99">
        <f>IF(AND(ISNUMBER(SEARCH("Delivery",N437)),ISNUMBER(SEARCH("André",N437))),"SIM","")</f>
        <v/>
      </c>
      <c r="AI437" s="99">
        <f>IF(ISNUMBER(SEARCH("Interlagos",N437)),"SIM","")</f>
        <v/>
      </c>
      <c r="AJ437" s="99">
        <f>IF(ISNUMBER(SEARCH("Quiosque",N437)),"SIM","")</f>
        <v/>
      </c>
      <c r="AK437" s="101" t="n"/>
    </row>
    <row r="438">
      <c r="A438" s="88" t="inlineStr">
        <is>
          <t>Protheus</t>
        </is>
      </c>
      <c r="B438" s="89" t="inlineStr">
        <is>
          <t>001947</t>
        </is>
      </c>
      <c r="C438" s="90">
        <f>IF(B438="—","—",IFERROR(VLOOKUP(B438,_Protheus_Cadastro!$A:$B,2,FALSE),"—"))</f>
        <v/>
      </c>
      <c r="D438" s="91">
        <f>IF(B438="—",IFERROR(INDEX(_ZIG_Cadastro!$D:$D,MATCH(H438,_ZIG_Cadastro!$A:$A,0)),"Produto"),IFERROR(VLOOKUP(B438,_Protheus_Cadastro!$A:$C,3,FALSE),"—"))</f>
        <v/>
      </c>
      <c r="E438" s="91">
        <f>IF(B438="—","—",IFERROR(VLOOKUP(B438,_Protheus_Cadastro!$A:$D,4,FALSE),"—"))</f>
        <v/>
      </c>
      <c r="F438" s="91">
        <f>IF(ISERROR(VLOOKUP(B438,'Estrutura Protheus'!A:A,1,FALSE)),"Não","Sim")</f>
        <v/>
      </c>
      <c r="G438" s="92">
        <f>IFERROR(INDEX(_Protheus_Cadastro!$H:$H,MATCH(B438,_Protheus_Cadastro!$A:$A,0)),"—")</f>
        <v/>
      </c>
      <c r="H438" s="210">
        <f>IFERROR(INDEX(_ZIG_Precos!$D:$D,MATCH(I438,_ZIG_Precos!$F:$F,0)),"—")</f>
        <v/>
      </c>
      <c r="I438" s="95">
        <f>IFERROR(VLOOKUP(B438,_Protheus_Cadastro!$A:$I,9,FALSE),"—")</f>
        <v/>
      </c>
      <c r="J438" s="93">
        <f>IFERROR(INDEX(_ZIG_Cadastro!$B:$B,MATCH(I438,_ZIG_Cadastro!$A:$A,0)),IFERROR(INDEX(_Entradas_ZIG!$B:$B,MATCH(I438,_Entradas_ZIG!$C:$C,0)),"—"))</f>
        <v/>
      </c>
      <c r="K438" s="93">
        <f>IFERROR(INDEX(_ZIG_Cadastro!$C:$C,MATCH(I438,_ZIG_Cadastro!$A:$A,0)),IFERROR(INDEX(_Entradas_ZIG!$D:$D,MATCH(I438,_Entradas_ZIG!$C:$C,0)),"—"))</f>
        <v/>
      </c>
      <c r="L438" s="92">
        <f>IF(I438="","Sem SKU ZIG",IF(I438="—","Sem SKU ZIG",IF(NOT(ISERROR(MATCH(I438,_ZIG_Cadastro!$A:$A,0))),IF(EXACT(UPPER(TRIM(C438)),UPPER(TRIM(INDEX(_ZIG_Cadastro!$B:$B,MATCH(I438,_ZIG_Cadastro!$A:$A,0))))),"OK","Atencao - Nome diverge"),IF(NOT(ISERROR(MATCH(I438,_Entradas_ZIG!$C:$C,0))),"OK","Erro - SKU nao encontrado"))))</f>
        <v/>
      </c>
      <c r="M438" s="92">
        <f>IFERROR(INDEX(_ZIG_Cadastro!$G:$G,MATCH(I438,_ZIG_Cadastro!$A:$A,0)),IF(NOT(ISERROR(MATCH(I438,_Entradas_ZIG!$C:$C,0))),"Ativo","—"))</f>
        <v/>
      </c>
      <c r="N438" s="94">
        <f>IFERROR(INDEX(_ZIG_Cadastro!$E:$E,MATCH(I438,_ZIG_Cadastro!$A:$A,0)),IFERROR(INDEX(_Entradas_ZIG!$F:$F,MATCH(I438,_Entradas_ZIG!$C:$C,0)),"—"))</f>
        <v/>
      </c>
      <c r="O438" s="92">
        <f>IF(AND(ISNUMBER(SEARCH("Espeto",N438)),ISNUMBER(SEARCH("Carin",N438))),"SIM","")</f>
        <v/>
      </c>
      <c r="P438" s="92">
        <f>IF(AND(ISNUMBER(SEARCH("Espeto",N438)),ISNUMBER(SEARCH("Lapa",N438))),"SIM","")</f>
        <v/>
      </c>
      <c r="Q438" s="92">
        <f>IF(AND(ISNUMBER(SEARCH("Espeto",N438)),ISNUMBER(SEARCH("Tatuapé",N438))),"SIM","")</f>
        <v/>
      </c>
      <c r="R438" s="92">
        <f>IF(AND(ISNUMBER(SEARCH("Espeto",N438)),ISNUMBER(SEARCH("Pavão",N438))),"SIM","")</f>
        <v/>
      </c>
      <c r="S438" s="92">
        <f>IF(AND(ISNUMBER(SEARCH("Espeto",N438)),ISNUMBER(SEARCH("Chac",N438))),"SIM","")</f>
        <v/>
      </c>
      <c r="T438" s="92">
        <f>IF(AND(ISNUMBER(SEARCH("Espeto",N438)),ISNUMBER(SEARCH("Madalena",N438))),"SIM","")</f>
        <v/>
      </c>
      <c r="U438" s="92">
        <f>IF(AND(ISNUMBER(SEARCH("Espeto",N438)),ISNUMBER(SEARCH("Mariana",N438))),"SIM","")</f>
        <v/>
      </c>
      <c r="V438" s="92">
        <f>IF(AND(ISNUMBER(SEARCH("Espeto",N438)),ISNUMBER(SEARCH("Perdizes",N438))),"SIM","")</f>
        <v/>
      </c>
      <c r="W438" s="92">
        <f>IF(AND(ISNUMBER(SEARCH("Espeto",N438)),ISNUMBER(SEARCH("Santana",N438))),"SIM","")</f>
        <v/>
      </c>
      <c r="X438" s="92">
        <f>IF(AND(ISNUMBER(SEARCH("Espeto",N438)),ISNUMBER(SEARCH("André",N438))),"SIM","")</f>
        <v/>
      </c>
      <c r="Y438" s="92">
        <f>IF(AND(ISNUMBER(SEARCH("Delivery",N438)),ISNUMBER(SEARCH("Carin",N438))),"SIM","")</f>
        <v/>
      </c>
      <c r="Z438" s="92">
        <f>IF(AND(ISNUMBER(SEARCH("Delivery",N438)),ISNUMBER(SEARCH("Lapa",N438))),"SIM","")</f>
        <v/>
      </c>
      <c r="AA438" s="92">
        <f>IF(AND(ISNUMBER(SEARCH("Delivery",N438)),ISNUMBER(SEARCH("Tatuapé",N438))),"SIM","")</f>
        <v/>
      </c>
      <c r="AB438" s="92">
        <f>IF(AND(ISNUMBER(SEARCH("Delivery",N438)),ISNUMBER(SEARCH("Pavão",N438))),"SIM","")</f>
        <v/>
      </c>
      <c r="AC438" s="92">
        <f>IF(AND(ISNUMBER(SEARCH("Delivery",N438)),ISNUMBER(SEARCH("Chac",N438))),"SIM","")</f>
        <v/>
      </c>
      <c r="AD438" s="92">
        <f>IF(AND(ISNUMBER(SEARCH("Delivery",N438)),ISNUMBER(SEARCH("Madalena",N438))),"SIM","")</f>
        <v/>
      </c>
      <c r="AE438" s="92">
        <f>IF(AND(ISNUMBER(SEARCH("Delivery",N438)),ISNUMBER(SEARCH("Mariana",N438))),"SIM","")</f>
        <v/>
      </c>
      <c r="AF438" s="92">
        <f>IF(AND(ISNUMBER(SEARCH("Delivery",N438)),ISNUMBER(SEARCH("Perdizes",N438))),"SIM","")</f>
        <v/>
      </c>
      <c r="AG438" s="92">
        <f>IF(AND(ISNUMBER(SEARCH("Delivery",N438)),ISNUMBER(SEARCH("Santana",N438))),"SIM","")</f>
        <v/>
      </c>
      <c r="AH438" s="92">
        <f>IF(AND(ISNUMBER(SEARCH("Delivery",N438)),ISNUMBER(SEARCH("André",N438))),"SIM","")</f>
        <v/>
      </c>
      <c r="AI438" s="92">
        <f>IF(ISNUMBER(SEARCH("Interlagos",N438)),"SIM","")</f>
        <v/>
      </c>
      <c r="AJ438" s="92">
        <f>IF(ISNUMBER(SEARCH("Quiosque",N438)),"SIM","")</f>
        <v/>
      </c>
      <c r="AK438" s="93" t="n"/>
    </row>
    <row r="439">
      <c r="A439" s="88" t="inlineStr">
        <is>
          <t>Protheus</t>
        </is>
      </c>
      <c r="B439" s="96" t="inlineStr">
        <is>
          <t>002077</t>
        </is>
      </c>
      <c r="C439" s="97">
        <f>IF(B439="—","—",IFERROR(VLOOKUP(B439,_Protheus_Cadastro!$A:$B,2,FALSE),"—"))</f>
        <v/>
      </c>
      <c r="D439" s="98">
        <f>IF(B439="—",IFERROR(INDEX(_ZIG_Cadastro!$D:$D,MATCH(H439,_ZIG_Cadastro!$A:$A,0)),"Produto"),IFERROR(VLOOKUP(B439,_Protheus_Cadastro!$A:$C,3,FALSE),"—"))</f>
        <v/>
      </c>
      <c r="E439" s="98">
        <f>IF(B439="—","—",IFERROR(VLOOKUP(B439,_Protheus_Cadastro!$A:$D,4,FALSE),"—"))</f>
        <v/>
      </c>
      <c r="F439" s="98">
        <f>IF(ISERROR(VLOOKUP(B439,'Estrutura Protheus'!A:A,1,FALSE)),"Não","Sim")</f>
        <v/>
      </c>
      <c r="G439" s="99">
        <f>IFERROR(INDEX(_Protheus_Cadastro!$H:$H,MATCH(B439,_Protheus_Cadastro!$A:$A,0)),"—")</f>
        <v/>
      </c>
      <c r="H439" s="211">
        <f>IFERROR(INDEX(_ZIG_Precos!$D:$D,MATCH(I439,_ZIG_Precos!$F:$F,0)),"—")</f>
        <v/>
      </c>
      <c r="I439" s="103">
        <f>IFERROR(VLOOKUP(B439,_Protheus_Cadastro!$A:$I,9,FALSE),"—")</f>
        <v/>
      </c>
      <c r="J439" s="101">
        <f>IFERROR(INDEX(_ZIG_Cadastro!$B:$B,MATCH(I439,_ZIG_Cadastro!$A:$A,0)),IFERROR(INDEX(_Entradas_ZIG!$B:$B,MATCH(I439,_Entradas_ZIG!$C:$C,0)),"—"))</f>
        <v/>
      </c>
      <c r="K439" s="101">
        <f>IFERROR(INDEX(_ZIG_Cadastro!$C:$C,MATCH(I439,_ZIG_Cadastro!$A:$A,0)),IFERROR(INDEX(_Entradas_ZIG!$D:$D,MATCH(I439,_Entradas_ZIG!$C:$C,0)),"—"))</f>
        <v/>
      </c>
      <c r="L439" s="99">
        <f>IF(I439="","Sem SKU ZIG",IF(I439="—","Sem SKU ZIG",IF(NOT(ISERROR(MATCH(I439,_ZIG_Cadastro!$A:$A,0))),IF(EXACT(UPPER(TRIM(C439)),UPPER(TRIM(INDEX(_ZIG_Cadastro!$B:$B,MATCH(I439,_ZIG_Cadastro!$A:$A,0))))),"OK","Atencao - Nome diverge"),IF(NOT(ISERROR(MATCH(I439,_Entradas_ZIG!$C:$C,0))),"OK","Erro - SKU nao encontrado"))))</f>
        <v/>
      </c>
      <c r="M439" s="99">
        <f>IFERROR(INDEX(_ZIG_Cadastro!$G:$G,MATCH(I439,_ZIG_Cadastro!$A:$A,0)),IF(NOT(ISERROR(MATCH(I439,_Entradas_ZIG!$C:$C,0))),"Ativo","—"))</f>
        <v/>
      </c>
      <c r="N439" s="102">
        <f>IFERROR(INDEX(_ZIG_Cadastro!$E:$E,MATCH(I439,_ZIG_Cadastro!$A:$A,0)),IFERROR(INDEX(_Entradas_ZIG!$F:$F,MATCH(I439,_Entradas_ZIG!$C:$C,0)),"—"))</f>
        <v/>
      </c>
      <c r="O439" s="99">
        <f>IF(AND(ISNUMBER(SEARCH("Espeto",N439)),ISNUMBER(SEARCH("Carin",N439))),"SIM","")</f>
        <v/>
      </c>
      <c r="P439" s="99">
        <f>IF(AND(ISNUMBER(SEARCH("Espeto",N439)),ISNUMBER(SEARCH("Lapa",N439))),"SIM","")</f>
        <v/>
      </c>
      <c r="Q439" s="99">
        <f>IF(AND(ISNUMBER(SEARCH("Espeto",N439)),ISNUMBER(SEARCH("Tatuapé",N439))),"SIM","")</f>
        <v/>
      </c>
      <c r="R439" s="99">
        <f>IF(AND(ISNUMBER(SEARCH("Espeto",N439)),ISNUMBER(SEARCH("Pavão",N439))),"SIM","")</f>
        <v/>
      </c>
      <c r="S439" s="99">
        <f>IF(AND(ISNUMBER(SEARCH("Espeto",N439)),ISNUMBER(SEARCH("Chac",N439))),"SIM","")</f>
        <v/>
      </c>
      <c r="T439" s="99">
        <f>IF(AND(ISNUMBER(SEARCH("Espeto",N439)),ISNUMBER(SEARCH("Madalena",N439))),"SIM","")</f>
        <v/>
      </c>
      <c r="U439" s="99">
        <f>IF(AND(ISNUMBER(SEARCH("Espeto",N439)),ISNUMBER(SEARCH("Mariana",N439))),"SIM","")</f>
        <v/>
      </c>
      <c r="V439" s="99">
        <f>IF(AND(ISNUMBER(SEARCH("Espeto",N439)),ISNUMBER(SEARCH("Perdizes",N439))),"SIM","")</f>
        <v/>
      </c>
      <c r="W439" s="99">
        <f>IF(AND(ISNUMBER(SEARCH("Espeto",N439)),ISNUMBER(SEARCH("Santana",N439))),"SIM","")</f>
        <v/>
      </c>
      <c r="X439" s="99">
        <f>IF(AND(ISNUMBER(SEARCH("Espeto",N439)),ISNUMBER(SEARCH("André",N439))),"SIM","")</f>
        <v/>
      </c>
      <c r="Y439" s="99">
        <f>IF(AND(ISNUMBER(SEARCH("Delivery",N439)),ISNUMBER(SEARCH("Carin",N439))),"SIM","")</f>
        <v/>
      </c>
      <c r="Z439" s="99">
        <f>IF(AND(ISNUMBER(SEARCH("Delivery",N439)),ISNUMBER(SEARCH("Lapa",N439))),"SIM","")</f>
        <v/>
      </c>
      <c r="AA439" s="99">
        <f>IF(AND(ISNUMBER(SEARCH("Delivery",N439)),ISNUMBER(SEARCH("Tatuapé",N439))),"SIM","")</f>
        <v/>
      </c>
      <c r="AB439" s="99">
        <f>IF(AND(ISNUMBER(SEARCH("Delivery",N439)),ISNUMBER(SEARCH("Pavão",N439))),"SIM","")</f>
        <v/>
      </c>
      <c r="AC439" s="99">
        <f>IF(AND(ISNUMBER(SEARCH("Delivery",N439)),ISNUMBER(SEARCH("Chac",N439))),"SIM","")</f>
        <v/>
      </c>
      <c r="AD439" s="99">
        <f>IF(AND(ISNUMBER(SEARCH("Delivery",N439)),ISNUMBER(SEARCH("Madalena",N439))),"SIM","")</f>
        <v/>
      </c>
      <c r="AE439" s="99">
        <f>IF(AND(ISNUMBER(SEARCH("Delivery",N439)),ISNUMBER(SEARCH("Mariana",N439))),"SIM","")</f>
        <v/>
      </c>
      <c r="AF439" s="99">
        <f>IF(AND(ISNUMBER(SEARCH("Delivery",N439)),ISNUMBER(SEARCH("Perdizes",N439))),"SIM","")</f>
        <v/>
      </c>
      <c r="AG439" s="99">
        <f>IF(AND(ISNUMBER(SEARCH("Delivery",N439)),ISNUMBER(SEARCH("Santana",N439))),"SIM","")</f>
        <v/>
      </c>
      <c r="AH439" s="99">
        <f>IF(AND(ISNUMBER(SEARCH("Delivery",N439)),ISNUMBER(SEARCH("André",N439))),"SIM","")</f>
        <v/>
      </c>
      <c r="AI439" s="99">
        <f>IF(ISNUMBER(SEARCH("Interlagos",N439)),"SIM","")</f>
        <v/>
      </c>
      <c r="AJ439" s="99">
        <f>IF(ISNUMBER(SEARCH("Quiosque",N439)),"SIM","")</f>
        <v/>
      </c>
      <c r="AK439" s="101" t="n"/>
    </row>
    <row r="440">
      <c r="A440" s="88" t="inlineStr">
        <is>
          <t>Protheus</t>
        </is>
      </c>
      <c r="B440" s="89" t="inlineStr">
        <is>
          <t>002078</t>
        </is>
      </c>
      <c r="C440" s="90">
        <f>IF(B440="—","—",IFERROR(VLOOKUP(B440,_Protheus_Cadastro!$A:$B,2,FALSE),"—"))</f>
        <v/>
      </c>
      <c r="D440" s="91">
        <f>IF(B440="—",IFERROR(INDEX(_ZIG_Cadastro!$D:$D,MATCH(H440,_ZIG_Cadastro!$A:$A,0)),"Produto"),IFERROR(VLOOKUP(B440,_Protheus_Cadastro!$A:$C,3,FALSE),"—"))</f>
        <v/>
      </c>
      <c r="E440" s="91">
        <f>IF(B440="—","—",IFERROR(VLOOKUP(B440,_Protheus_Cadastro!$A:$D,4,FALSE),"—"))</f>
        <v/>
      </c>
      <c r="F440" s="91">
        <f>IF(ISERROR(VLOOKUP(B440,'Estrutura Protheus'!A:A,1,FALSE)),"Não","Sim")</f>
        <v/>
      </c>
      <c r="G440" s="92">
        <f>IFERROR(INDEX(_Protheus_Cadastro!$H:$H,MATCH(B440,_Protheus_Cadastro!$A:$A,0)),"—")</f>
        <v/>
      </c>
      <c r="H440" s="210">
        <f>IFERROR(INDEX(_ZIG_Precos!$D:$D,MATCH(I440,_ZIG_Precos!$F:$F,0)),"—")</f>
        <v/>
      </c>
      <c r="I440" s="95">
        <f>IFERROR(VLOOKUP(B440,_Protheus_Cadastro!$A:$I,9,FALSE),"—")</f>
        <v/>
      </c>
      <c r="J440" s="93">
        <f>IFERROR(INDEX(_ZIG_Cadastro!$B:$B,MATCH(I440,_ZIG_Cadastro!$A:$A,0)),IFERROR(INDEX(_Entradas_ZIG!$B:$B,MATCH(I440,_Entradas_ZIG!$C:$C,0)),"—"))</f>
        <v/>
      </c>
      <c r="K440" s="93">
        <f>IFERROR(INDEX(_ZIG_Cadastro!$C:$C,MATCH(I440,_ZIG_Cadastro!$A:$A,0)),IFERROR(INDEX(_Entradas_ZIG!$D:$D,MATCH(I440,_Entradas_ZIG!$C:$C,0)),"—"))</f>
        <v/>
      </c>
      <c r="L440" s="92">
        <f>IF(I440="","Sem SKU ZIG",IF(I440="—","Sem SKU ZIG",IF(NOT(ISERROR(MATCH(I440,_ZIG_Cadastro!$A:$A,0))),IF(EXACT(UPPER(TRIM(C440)),UPPER(TRIM(INDEX(_ZIG_Cadastro!$B:$B,MATCH(I440,_ZIG_Cadastro!$A:$A,0))))),"OK","Atencao - Nome diverge"),IF(NOT(ISERROR(MATCH(I440,_Entradas_ZIG!$C:$C,0))),"OK","Erro - SKU nao encontrado"))))</f>
        <v/>
      </c>
      <c r="M440" s="92">
        <f>IFERROR(INDEX(_ZIG_Cadastro!$G:$G,MATCH(I440,_ZIG_Cadastro!$A:$A,0)),IF(NOT(ISERROR(MATCH(I440,_Entradas_ZIG!$C:$C,0))),"Ativo","—"))</f>
        <v/>
      </c>
      <c r="N440" s="94">
        <f>IFERROR(INDEX(_ZIG_Cadastro!$E:$E,MATCH(I440,_ZIG_Cadastro!$A:$A,0)),IFERROR(INDEX(_Entradas_ZIG!$F:$F,MATCH(I440,_Entradas_ZIG!$C:$C,0)),"—"))</f>
        <v/>
      </c>
      <c r="O440" s="92">
        <f>IF(AND(ISNUMBER(SEARCH("Espeto",N440)),ISNUMBER(SEARCH("Carin",N440))),"SIM","")</f>
        <v/>
      </c>
      <c r="P440" s="92">
        <f>IF(AND(ISNUMBER(SEARCH("Espeto",N440)),ISNUMBER(SEARCH("Lapa",N440))),"SIM","")</f>
        <v/>
      </c>
      <c r="Q440" s="92">
        <f>IF(AND(ISNUMBER(SEARCH("Espeto",N440)),ISNUMBER(SEARCH("Tatuapé",N440))),"SIM","")</f>
        <v/>
      </c>
      <c r="R440" s="92">
        <f>IF(AND(ISNUMBER(SEARCH("Espeto",N440)),ISNUMBER(SEARCH("Pavão",N440))),"SIM","")</f>
        <v/>
      </c>
      <c r="S440" s="92">
        <f>IF(AND(ISNUMBER(SEARCH("Espeto",N440)),ISNUMBER(SEARCH("Chac",N440))),"SIM","")</f>
        <v/>
      </c>
      <c r="T440" s="92">
        <f>IF(AND(ISNUMBER(SEARCH("Espeto",N440)),ISNUMBER(SEARCH("Madalena",N440))),"SIM","")</f>
        <v/>
      </c>
      <c r="U440" s="92">
        <f>IF(AND(ISNUMBER(SEARCH("Espeto",N440)),ISNUMBER(SEARCH("Mariana",N440))),"SIM","")</f>
        <v/>
      </c>
      <c r="V440" s="92">
        <f>IF(AND(ISNUMBER(SEARCH("Espeto",N440)),ISNUMBER(SEARCH("Perdizes",N440))),"SIM","")</f>
        <v/>
      </c>
      <c r="W440" s="92">
        <f>IF(AND(ISNUMBER(SEARCH("Espeto",N440)),ISNUMBER(SEARCH("Santana",N440))),"SIM","")</f>
        <v/>
      </c>
      <c r="X440" s="92">
        <f>IF(AND(ISNUMBER(SEARCH("Espeto",N440)),ISNUMBER(SEARCH("André",N440))),"SIM","")</f>
        <v/>
      </c>
      <c r="Y440" s="92">
        <f>IF(AND(ISNUMBER(SEARCH("Delivery",N440)),ISNUMBER(SEARCH("Carin",N440))),"SIM","")</f>
        <v/>
      </c>
      <c r="Z440" s="92">
        <f>IF(AND(ISNUMBER(SEARCH("Delivery",N440)),ISNUMBER(SEARCH("Lapa",N440))),"SIM","")</f>
        <v/>
      </c>
      <c r="AA440" s="92">
        <f>IF(AND(ISNUMBER(SEARCH("Delivery",N440)),ISNUMBER(SEARCH("Tatuapé",N440))),"SIM","")</f>
        <v/>
      </c>
      <c r="AB440" s="92">
        <f>IF(AND(ISNUMBER(SEARCH("Delivery",N440)),ISNUMBER(SEARCH("Pavão",N440))),"SIM","")</f>
        <v/>
      </c>
      <c r="AC440" s="92">
        <f>IF(AND(ISNUMBER(SEARCH("Delivery",N440)),ISNUMBER(SEARCH("Chac",N440))),"SIM","")</f>
        <v/>
      </c>
      <c r="AD440" s="92">
        <f>IF(AND(ISNUMBER(SEARCH("Delivery",N440)),ISNUMBER(SEARCH("Madalena",N440))),"SIM","")</f>
        <v/>
      </c>
      <c r="AE440" s="92">
        <f>IF(AND(ISNUMBER(SEARCH("Delivery",N440)),ISNUMBER(SEARCH("Mariana",N440))),"SIM","")</f>
        <v/>
      </c>
      <c r="AF440" s="92">
        <f>IF(AND(ISNUMBER(SEARCH("Delivery",N440)),ISNUMBER(SEARCH("Perdizes",N440))),"SIM","")</f>
        <v/>
      </c>
      <c r="AG440" s="92">
        <f>IF(AND(ISNUMBER(SEARCH("Delivery",N440)),ISNUMBER(SEARCH("Santana",N440))),"SIM","")</f>
        <v/>
      </c>
      <c r="AH440" s="92">
        <f>IF(AND(ISNUMBER(SEARCH("Delivery",N440)),ISNUMBER(SEARCH("André",N440))),"SIM","")</f>
        <v/>
      </c>
      <c r="AI440" s="92">
        <f>IF(ISNUMBER(SEARCH("Interlagos",N440)),"SIM","")</f>
        <v/>
      </c>
      <c r="AJ440" s="92">
        <f>IF(ISNUMBER(SEARCH("Quiosque",N440)),"SIM","")</f>
        <v/>
      </c>
      <c r="AK440" s="93" t="n"/>
    </row>
    <row r="441">
      <c r="A441" s="88" t="inlineStr">
        <is>
          <t>Protheus</t>
        </is>
      </c>
      <c r="B441" s="96" t="inlineStr">
        <is>
          <t>002094</t>
        </is>
      </c>
      <c r="C441" s="97">
        <f>IF(B441="—","—",IFERROR(VLOOKUP(B441,_Protheus_Cadastro!$A:$B,2,FALSE),"—"))</f>
        <v/>
      </c>
      <c r="D441" s="98">
        <f>IF(B441="—",IFERROR(INDEX(_ZIG_Cadastro!$D:$D,MATCH(H441,_ZIG_Cadastro!$A:$A,0)),"Produto"),IFERROR(VLOOKUP(B441,_Protheus_Cadastro!$A:$C,3,FALSE),"—"))</f>
        <v/>
      </c>
      <c r="E441" s="98">
        <f>IF(B441="—","—",IFERROR(VLOOKUP(B441,_Protheus_Cadastro!$A:$D,4,FALSE),"—"))</f>
        <v/>
      </c>
      <c r="F441" s="98">
        <f>IF(ISERROR(VLOOKUP(B441,'Estrutura Protheus'!A:A,1,FALSE)),"Não","Sim")</f>
        <v/>
      </c>
      <c r="G441" s="99">
        <f>IFERROR(INDEX(_Protheus_Cadastro!$H:$H,MATCH(B441,_Protheus_Cadastro!$A:$A,0)),"—")</f>
        <v/>
      </c>
      <c r="H441" s="211">
        <f>IFERROR(INDEX(_ZIG_Precos!$D:$D,MATCH(I441,_ZIG_Precos!$F:$F,0)),"—")</f>
        <v/>
      </c>
      <c r="I441" s="103">
        <f>IFERROR(VLOOKUP(B441,_Protheus_Cadastro!$A:$I,9,FALSE),"—")</f>
        <v/>
      </c>
      <c r="J441" s="101">
        <f>IFERROR(INDEX(_ZIG_Cadastro!$B:$B,MATCH(I441,_ZIG_Cadastro!$A:$A,0)),IFERROR(INDEX(_Entradas_ZIG!$B:$B,MATCH(I441,_Entradas_ZIG!$C:$C,0)),"—"))</f>
        <v/>
      </c>
      <c r="K441" s="101">
        <f>IFERROR(INDEX(_ZIG_Cadastro!$C:$C,MATCH(I441,_ZIG_Cadastro!$A:$A,0)),IFERROR(INDEX(_Entradas_ZIG!$D:$D,MATCH(I441,_Entradas_ZIG!$C:$C,0)),"—"))</f>
        <v/>
      </c>
      <c r="L441" s="99">
        <f>IF(I441="","Sem SKU ZIG",IF(I441="—","Sem SKU ZIG",IF(NOT(ISERROR(MATCH(I441,_ZIG_Cadastro!$A:$A,0))),IF(EXACT(UPPER(TRIM(C441)),UPPER(TRIM(INDEX(_ZIG_Cadastro!$B:$B,MATCH(I441,_ZIG_Cadastro!$A:$A,0))))),"OK","Atencao - Nome diverge"),IF(NOT(ISERROR(MATCH(I441,_Entradas_ZIG!$C:$C,0))),"OK","Erro - SKU nao encontrado"))))</f>
        <v/>
      </c>
      <c r="M441" s="99">
        <f>IFERROR(INDEX(_ZIG_Cadastro!$G:$G,MATCH(I441,_ZIG_Cadastro!$A:$A,0)),IF(NOT(ISERROR(MATCH(I441,_Entradas_ZIG!$C:$C,0))),"Ativo","—"))</f>
        <v/>
      </c>
      <c r="N441" s="102">
        <f>IFERROR(INDEX(_ZIG_Cadastro!$E:$E,MATCH(I441,_ZIG_Cadastro!$A:$A,0)),IFERROR(INDEX(_Entradas_ZIG!$F:$F,MATCH(I441,_Entradas_ZIG!$C:$C,0)),"—"))</f>
        <v/>
      </c>
      <c r="O441" s="99">
        <f>IF(AND(ISNUMBER(SEARCH("Espeto",N441)),ISNUMBER(SEARCH("Carin",N441))),"SIM","")</f>
        <v/>
      </c>
      <c r="P441" s="99">
        <f>IF(AND(ISNUMBER(SEARCH("Espeto",N441)),ISNUMBER(SEARCH("Lapa",N441))),"SIM","")</f>
        <v/>
      </c>
      <c r="Q441" s="99">
        <f>IF(AND(ISNUMBER(SEARCH("Espeto",N441)),ISNUMBER(SEARCH("Tatuapé",N441))),"SIM","")</f>
        <v/>
      </c>
      <c r="R441" s="99">
        <f>IF(AND(ISNUMBER(SEARCH("Espeto",N441)),ISNUMBER(SEARCH("Pavão",N441))),"SIM","")</f>
        <v/>
      </c>
      <c r="S441" s="99">
        <f>IF(AND(ISNUMBER(SEARCH("Espeto",N441)),ISNUMBER(SEARCH("Chac",N441))),"SIM","")</f>
        <v/>
      </c>
      <c r="T441" s="99">
        <f>IF(AND(ISNUMBER(SEARCH("Espeto",N441)),ISNUMBER(SEARCH("Madalena",N441))),"SIM","")</f>
        <v/>
      </c>
      <c r="U441" s="99">
        <f>IF(AND(ISNUMBER(SEARCH("Espeto",N441)),ISNUMBER(SEARCH("Mariana",N441))),"SIM","")</f>
        <v/>
      </c>
      <c r="V441" s="99">
        <f>IF(AND(ISNUMBER(SEARCH("Espeto",N441)),ISNUMBER(SEARCH("Perdizes",N441))),"SIM","")</f>
        <v/>
      </c>
      <c r="W441" s="99">
        <f>IF(AND(ISNUMBER(SEARCH("Espeto",N441)),ISNUMBER(SEARCH("Santana",N441))),"SIM","")</f>
        <v/>
      </c>
      <c r="X441" s="99">
        <f>IF(AND(ISNUMBER(SEARCH("Espeto",N441)),ISNUMBER(SEARCH("André",N441))),"SIM","")</f>
        <v/>
      </c>
      <c r="Y441" s="99">
        <f>IF(AND(ISNUMBER(SEARCH("Delivery",N441)),ISNUMBER(SEARCH("Carin",N441))),"SIM","")</f>
        <v/>
      </c>
      <c r="Z441" s="99">
        <f>IF(AND(ISNUMBER(SEARCH("Delivery",N441)),ISNUMBER(SEARCH("Lapa",N441))),"SIM","")</f>
        <v/>
      </c>
      <c r="AA441" s="99">
        <f>IF(AND(ISNUMBER(SEARCH("Delivery",N441)),ISNUMBER(SEARCH("Tatuapé",N441))),"SIM","")</f>
        <v/>
      </c>
      <c r="AB441" s="99">
        <f>IF(AND(ISNUMBER(SEARCH("Delivery",N441)),ISNUMBER(SEARCH("Pavão",N441))),"SIM","")</f>
        <v/>
      </c>
      <c r="AC441" s="99">
        <f>IF(AND(ISNUMBER(SEARCH("Delivery",N441)),ISNUMBER(SEARCH("Chac",N441))),"SIM","")</f>
        <v/>
      </c>
      <c r="AD441" s="99">
        <f>IF(AND(ISNUMBER(SEARCH("Delivery",N441)),ISNUMBER(SEARCH("Madalena",N441))),"SIM","")</f>
        <v/>
      </c>
      <c r="AE441" s="99">
        <f>IF(AND(ISNUMBER(SEARCH("Delivery",N441)),ISNUMBER(SEARCH("Mariana",N441))),"SIM","")</f>
        <v/>
      </c>
      <c r="AF441" s="99">
        <f>IF(AND(ISNUMBER(SEARCH("Delivery",N441)),ISNUMBER(SEARCH("Perdizes",N441))),"SIM","")</f>
        <v/>
      </c>
      <c r="AG441" s="99">
        <f>IF(AND(ISNUMBER(SEARCH("Delivery",N441)),ISNUMBER(SEARCH("Santana",N441))),"SIM","")</f>
        <v/>
      </c>
      <c r="AH441" s="99">
        <f>IF(AND(ISNUMBER(SEARCH("Delivery",N441)),ISNUMBER(SEARCH("André",N441))),"SIM","")</f>
        <v/>
      </c>
      <c r="AI441" s="99">
        <f>IF(ISNUMBER(SEARCH("Interlagos",N441)),"SIM","")</f>
        <v/>
      </c>
      <c r="AJ441" s="99">
        <f>IF(ISNUMBER(SEARCH("Quiosque",N441)),"SIM","")</f>
        <v/>
      </c>
      <c r="AK441" s="101" t="n"/>
    </row>
    <row r="442">
      <c r="A442" s="88" t="inlineStr">
        <is>
          <t>Protheus</t>
        </is>
      </c>
      <c r="B442" s="89" t="inlineStr">
        <is>
          <t>002095</t>
        </is>
      </c>
      <c r="C442" s="90">
        <f>IF(B442="—","—",IFERROR(VLOOKUP(B442,_Protheus_Cadastro!$A:$B,2,FALSE),"—"))</f>
        <v/>
      </c>
      <c r="D442" s="91">
        <f>IF(B442="—",IFERROR(INDEX(_ZIG_Cadastro!$D:$D,MATCH(H442,_ZIG_Cadastro!$A:$A,0)),"Produto"),IFERROR(VLOOKUP(B442,_Protheus_Cadastro!$A:$C,3,FALSE),"—"))</f>
        <v/>
      </c>
      <c r="E442" s="91">
        <f>IF(B442="—","—",IFERROR(VLOOKUP(B442,_Protheus_Cadastro!$A:$D,4,FALSE),"—"))</f>
        <v/>
      </c>
      <c r="F442" s="91">
        <f>IF(ISERROR(VLOOKUP(B442,'Estrutura Protheus'!A:A,1,FALSE)),"Não","Sim")</f>
        <v/>
      </c>
      <c r="G442" s="92">
        <f>IFERROR(INDEX(_Protheus_Cadastro!$H:$H,MATCH(B442,_Protheus_Cadastro!$A:$A,0)),"—")</f>
        <v/>
      </c>
      <c r="H442" s="210">
        <f>IFERROR(INDEX(_ZIG_Precos!$D:$D,MATCH(I442,_ZIG_Precos!$F:$F,0)),"—")</f>
        <v/>
      </c>
      <c r="I442" s="95">
        <f>IFERROR(VLOOKUP(B442,_Protheus_Cadastro!$A:$I,9,FALSE),"—")</f>
        <v/>
      </c>
      <c r="J442" s="93">
        <f>IFERROR(INDEX(_ZIG_Cadastro!$B:$B,MATCH(I442,_ZIG_Cadastro!$A:$A,0)),IFERROR(INDEX(_Entradas_ZIG!$B:$B,MATCH(I442,_Entradas_ZIG!$C:$C,0)),"—"))</f>
        <v/>
      </c>
      <c r="K442" s="93">
        <f>IFERROR(INDEX(_ZIG_Cadastro!$C:$C,MATCH(I442,_ZIG_Cadastro!$A:$A,0)),IFERROR(INDEX(_Entradas_ZIG!$D:$D,MATCH(I442,_Entradas_ZIG!$C:$C,0)),"—"))</f>
        <v/>
      </c>
      <c r="L442" s="92">
        <f>IF(I442="","Sem SKU ZIG",IF(I442="—","Sem SKU ZIG",IF(NOT(ISERROR(MATCH(I442,_ZIG_Cadastro!$A:$A,0))),IF(EXACT(UPPER(TRIM(C442)),UPPER(TRIM(INDEX(_ZIG_Cadastro!$B:$B,MATCH(I442,_ZIG_Cadastro!$A:$A,0))))),"OK","Atencao - Nome diverge"),IF(NOT(ISERROR(MATCH(I442,_Entradas_ZIG!$C:$C,0))),"OK","Erro - SKU nao encontrado"))))</f>
        <v/>
      </c>
      <c r="M442" s="92">
        <f>IFERROR(INDEX(_ZIG_Cadastro!$G:$G,MATCH(I442,_ZIG_Cadastro!$A:$A,0)),IF(NOT(ISERROR(MATCH(I442,_Entradas_ZIG!$C:$C,0))),"Ativo","—"))</f>
        <v/>
      </c>
      <c r="N442" s="94">
        <f>IFERROR(INDEX(_ZIG_Cadastro!$E:$E,MATCH(I442,_ZIG_Cadastro!$A:$A,0)),IFERROR(INDEX(_Entradas_ZIG!$F:$F,MATCH(I442,_Entradas_ZIG!$C:$C,0)),"—"))</f>
        <v/>
      </c>
      <c r="O442" s="92">
        <f>IF(AND(ISNUMBER(SEARCH("Espeto",N442)),ISNUMBER(SEARCH("Carin",N442))),"SIM","")</f>
        <v/>
      </c>
      <c r="P442" s="92">
        <f>IF(AND(ISNUMBER(SEARCH("Espeto",N442)),ISNUMBER(SEARCH("Lapa",N442))),"SIM","")</f>
        <v/>
      </c>
      <c r="Q442" s="92">
        <f>IF(AND(ISNUMBER(SEARCH("Espeto",N442)),ISNUMBER(SEARCH("Tatuapé",N442))),"SIM","")</f>
        <v/>
      </c>
      <c r="R442" s="92">
        <f>IF(AND(ISNUMBER(SEARCH("Espeto",N442)),ISNUMBER(SEARCH("Pavão",N442))),"SIM","")</f>
        <v/>
      </c>
      <c r="S442" s="92">
        <f>IF(AND(ISNUMBER(SEARCH("Espeto",N442)),ISNUMBER(SEARCH("Chac",N442))),"SIM","")</f>
        <v/>
      </c>
      <c r="T442" s="92">
        <f>IF(AND(ISNUMBER(SEARCH("Espeto",N442)),ISNUMBER(SEARCH("Madalena",N442))),"SIM","")</f>
        <v/>
      </c>
      <c r="U442" s="92">
        <f>IF(AND(ISNUMBER(SEARCH("Espeto",N442)),ISNUMBER(SEARCH("Mariana",N442))),"SIM","")</f>
        <v/>
      </c>
      <c r="V442" s="92">
        <f>IF(AND(ISNUMBER(SEARCH("Espeto",N442)),ISNUMBER(SEARCH("Perdizes",N442))),"SIM","")</f>
        <v/>
      </c>
      <c r="W442" s="92">
        <f>IF(AND(ISNUMBER(SEARCH("Espeto",N442)),ISNUMBER(SEARCH("Santana",N442))),"SIM","")</f>
        <v/>
      </c>
      <c r="X442" s="92">
        <f>IF(AND(ISNUMBER(SEARCH("Espeto",N442)),ISNUMBER(SEARCH("André",N442))),"SIM","")</f>
        <v/>
      </c>
      <c r="Y442" s="92">
        <f>IF(AND(ISNUMBER(SEARCH("Delivery",N442)),ISNUMBER(SEARCH("Carin",N442))),"SIM","")</f>
        <v/>
      </c>
      <c r="Z442" s="92">
        <f>IF(AND(ISNUMBER(SEARCH("Delivery",N442)),ISNUMBER(SEARCH("Lapa",N442))),"SIM","")</f>
        <v/>
      </c>
      <c r="AA442" s="92">
        <f>IF(AND(ISNUMBER(SEARCH("Delivery",N442)),ISNUMBER(SEARCH("Tatuapé",N442))),"SIM","")</f>
        <v/>
      </c>
      <c r="AB442" s="92">
        <f>IF(AND(ISNUMBER(SEARCH("Delivery",N442)),ISNUMBER(SEARCH("Pavão",N442))),"SIM","")</f>
        <v/>
      </c>
      <c r="AC442" s="92">
        <f>IF(AND(ISNUMBER(SEARCH("Delivery",N442)),ISNUMBER(SEARCH("Chac",N442))),"SIM","")</f>
        <v/>
      </c>
      <c r="AD442" s="92">
        <f>IF(AND(ISNUMBER(SEARCH("Delivery",N442)),ISNUMBER(SEARCH("Madalena",N442))),"SIM","")</f>
        <v/>
      </c>
      <c r="AE442" s="92">
        <f>IF(AND(ISNUMBER(SEARCH("Delivery",N442)),ISNUMBER(SEARCH("Mariana",N442))),"SIM","")</f>
        <v/>
      </c>
      <c r="AF442" s="92">
        <f>IF(AND(ISNUMBER(SEARCH("Delivery",N442)),ISNUMBER(SEARCH("Perdizes",N442))),"SIM","")</f>
        <v/>
      </c>
      <c r="AG442" s="92">
        <f>IF(AND(ISNUMBER(SEARCH("Delivery",N442)),ISNUMBER(SEARCH("Santana",N442))),"SIM","")</f>
        <v/>
      </c>
      <c r="AH442" s="92">
        <f>IF(AND(ISNUMBER(SEARCH("Delivery",N442)),ISNUMBER(SEARCH("André",N442))),"SIM","")</f>
        <v/>
      </c>
      <c r="AI442" s="92">
        <f>IF(ISNUMBER(SEARCH("Interlagos",N442)),"SIM","")</f>
        <v/>
      </c>
      <c r="AJ442" s="92">
        <f>IF(ISNUMBER(SEARCH("Quiosque",N442)),"SIM","")</f>
        <v/>
      </c>
      <c r="AK442" s="93" t="n"/>
    </row>
    <row r="443">
      <c r="A443" s="88" t="inlineStr">
        <is>
          <t>Protheus</t>
        </is>
      </c>
      <c r="B443" s="96" t="inlineStr">
        <is>
          <t>000013</t>
        </is>
      </c>
      <c r="C443" s="97">
        <f>IF(B443="—","—",IFERROR(VLOOKUP(B443,_Protheus_Cadastro!$A:$B,2,FALSE),"—"))</f>
        <v/>
      </c>
      <c r="D443" s="98">
        <f>IF(B443="—",IFERROR(INDEX(_ZIG_Cadastro!$D:$D,MATCH(H443,_ZIG_Cadastro!$A:$A,0)),"Produto"),IFERROR(VLOOKUP(B443,_Protheus_Cadastro!$A:$C,3,FALSE),"—"))</f>
        <v/>
      </c>
      <c r="E443" s="98">
        <f>IF(B443="—","—",IFERROR(VLOOKUP(B443,_Protheus_Cadastro!$A:$D,4,FALSE),"—"))</f>
        <v/>
      </c>
      <c r="F443" s="98">
        <f>IF(ISERROR(VLOOKUP(B443,'Estrutura Protheus'!A:A,1,FALSE)),"Não","Sim")</f>
        <v/>
      </c>
      <c r="G443" s="99">
        <f>IFERROR(INDEX(_Protheus_Cadastro!$H:$H,MATCH(B443,_Protheus_Cadastro!$A:$A,0)),"—")</f>
        <v/>
      </c>
      <c r="H443" s="211">
        <f>IFERROR(INDEX(_ZIG_Precos!$D:$D,MATCH(I443,_ZIG_Precos!$F:$F,0)),"—")</f>
        <v/>
      </c>
      <c r="I443" s="103">
        <f>IFERROR(VLOOKUP(B443,_Protheus_Cadastro!$A:$I,9,FALSE),"—")</f>
        <v/>
      </c>
      <c r="J443" s="101">
        <f>IFERROR(INDEX(_ZIG_Cadastro!$B:$B,MATCH(I443,_ZIG_Cadastro!$A:$A,0)),IFERROR(INDEX(_Entradas_ZIG!$B:$B,MATCH(I443,_Entradas_ZIG!$C:$C,0)),"—"))</f>
        <v/>
      </c>
      <c r="K443" s="101">
        <f>IFERROR(INDEX(_ZIG_Cadastro!$C:$C,MATCH(I443,_ZIG_Cadastro!$A:$A,0)),IFERROR(INDEX(_Entradas_ZIG!$D:$D,MATCH(I443,_Entradas_ZIG!$C:$C,0)),"—"))</f>
        <v/>
      </c>
      <c r="L443" s="99">
        <f>IF(I443="","Sem SKU ZIG",IF(I443="—","Sem SKU ZIG",IF(NOT(ISERROR(MATCH(I443,_ZIG_Cadastro!$A:$A,0))),IF(EXACT(UPPER(TRIM(C443)),UPPER(TRIM(INDEX(_ZIG_Cadastro!$B:$B,MATCH(I443,_ZIG_Cadastro!$A:$A,0))))),"OK","Atencao - Nome diverge"),IF(NOT(ISERROR(MATCH(I443,_Entradas_ZIG!$C:$C,0))),"OK","Erro - SKU nao encontrado"))))</f>
        <v/>
      </c>
      <c r="M443" s="99">
        <f>IFERROR(INDEX(_ZIG_Cadastro!$G:$G,MATCH(I443,_ZIG_Cadastro!$A:$A,0)),IF(NOT(ISERROR(MATCH(I443,_Entradas_ZIG!$C:$C,0))),"Ativo","—"))</f>
        <v/>
      </c>
      <c r="N443" s="102">
        <f>IFERROR(INDEX(_ZIG_Cadastro!$E:$E,MATCH(I443,_ZIG_Cadastro!$A:$A,0)),IFERROR(INDEX(_Entradas_ZIG!$F:$F,MATCH(I443,_Entradas_ZIG!$C:$C,0)),"—"))</f>
        <v/>
      </c>
      <c r="O443" s="99">
        <f>IF(AND(ISNUMBER(SEARCH("Espeto",N443)),ISNUMBER(SEARCH("Carin",N443))),"SIM","")</f>
        <v/>
      </c>
      <c r="P443" s="99">
        <f>IF(AND(ISNUMBER(SEARCH("Espeto",N443)),ISNUMBER(SEARCH("Lapa",N443))),"SIM","")</f>
        <v/>
      </c>
      <c r="Q443" s="99">
        <f>IF(AND(ISNUMBER(SEARCH("Espeto",N443)),ISNUMBER(SEARCH("Tatuapé",N443))),"SIM","")</f>
        <v/>
      </c>
      <c r="R443" s="99">
        <f>IF(AND(ISNUMBER(SEARCH("Espeto",N443)),ISNUMBER(SEARCH("Pavão",N443))),"SIM","")</f>
        <v/>
      </c>
      <c r="S443" s="99">
        <f>IF(AND(ISNUMBER(SEARCH("Espeto",N443)),ISNUMBER(SEARCH("Chac",N443))),"SIM","")</f>
        <v/>
      </c>
      <c r="T443" s="99">
        <f>IF(AND(ISNUMBER(SEARCH("Espeto",N443)),ISNUMBER(SEARCH("Madalena",N443))),"SIM","")</f>
        <v/>
      </c>
      <c r="U443" s="99">
        <f>IF(AND(ISNUMBER(SEARCH("Espeto",N443)),ISNUMBER(SEARCH("Mariana",N443))),"SIM","")</f>
        <v/>
      </c>
      <c r="V443" s="99">
        <f>IF(AND(ISNUMBER(SEARCH("Espeto",N443)),ISNUMBER(SEARCH("Perdizes",N443))),"SIM","")</f>
        <v/>
      </c>
      <c r="W443" s="99">
        <f>IF(AND(ISNUMBER(SEARCH("Espeto",N443)),ISNUMBER(SEARCH("Santana",N443))),"SIM","")</f>
        <v/>
      </c>
      <c r="X443" s="99">
        <f>IF(AND(ISNUMBER(SEARCH("Espeto",N443)),ISNUMBER(SEARCH("André",N443))),"SIM","")</f>
        <v/>
      </c>
      <c r="Y443" s="99">
        <f>IF(AND(ISNUMBER(SEARCH("Delivery",N443)),ISNUMBER(SEARCH("Carin",N443))),"SIM","")</f>
        <v/>
      </c>
      <c r="Z443" s="99">
        <f>IF(AND(ISNUMBER(SEARCH("Delivery",N443)),ISNUMBER(SEARCH("Lapa",N443))),"SIM","")</f>
        <v/>
      </c>
      <c r="AA443" s="99">
        <f>IF(AND(ISNUMBER(SEARCH("Delivery",N443)),ISNUMBER(SEARCH("Tatuapé",N443))),"SIM","")</f>
        <v/>
      </c>
      <c r="AB443" s="99">
        <f>IF(AND(ISNUMBER(SEARCH("Delivery",N443)),ISNUMBER(SEARCH("Pavão",N443))),"SIM","")</f>
        <v/>
      </c>
      <c r="AC443" s="99">
        <f>IF(AND(ISNUMBER(SEARCH("Delivery",N443)),ISNUMBER(SEARCH("Chac",N443))),"SIM","")</f>
        <v/>
      </c>
      <c r="AD443" s="99">
        <f>IF(AND(ISNUMBER(SEARCH("Delivery",N443)),ISNUMBER(SEARCH("Madalena",N443))),"SIM","")</f>
        <v/>
      </c>
      <c r="AE443" s="99">
        <f>IF(AND(ISNUMBER(SEARCH("Delivery",N443)),ISNUMBER(SEARCH("Mariana",N443))),"SIM","")</f>
        <v/>
      </c>
      <c r="AF443" s="99">
        <f>IF(AND(ISNUMBER(SEARCH("Delivery",N443)),ISNUMBER(SEARCH("Perdizes",N443))),"SIM","")</f>
        <v/>
      </c>
      <c r="AG443" s="99">
        <f>IF(AND(ISNUMBER(SEARCH("Delivery",N443)),ISNUMBER(SEARCH("Santana",N443))),"SIM","")</f>
        <v/>
      </c>
      <c r="AH443" s="99">
        <f>IF(AND(ISNUMBER(SEARCH("Delivery",N443)),ISNUMBER(SEARCH("André",N443))),"SIM","")</f>
        <v/>
      </c>
      <c r="AI443" s="99">
        <f>IF(ISNUMBER(SEARCH("Interlagos",N443)),"SIM","")</f>
        <v/>
      </c>
      <c r="AJ443" s="99">
        <f>IF(ISNUMBER(SEARCH("Quiosque",N443)),"SIM","")</f>
        <v/>
      </c>
      <c r="AK443" s="101" t="n"/>
    </row>
    <row r="444">
      <c r="A444" s="88" t="inlineStr">
        <is>
          <t>Protheus</t>
        </is>
      </c>
      <c r="B444" s="89" t="inlineStr">
        <is>
          <t>001170</t>
        </is>
      </c>
      <c r="C444" s="90">
        <f>IF(B444="—","—",IFERROR(VLOOKUP(B444,_Protheus_Cadastro!$A:$B,2,FALSE),"—"))</f>
        <v/>
      </c>
      <c r="D444" s="91">
        <f>IF(B444="—",IFERROR(INDEX(_ZIG_Cadastro!$D:$D,MATCH(H444,_ZIG_Cadastro!$A:$A,0)),"Produto"),IFERROR(VLOOKUP(B444,_Protheus_Cadastro!$A:$C,3,FALSE),"—"))</f>
        <v/>
      </c>
      <c r="E444" s="91">
        <f>IF(B444="—","—",IFERROR(VLOOKUP(B444,_Protheus_Cadastro!$A:$D,4,FALSE),"—"))</f>
        <v/>
      </c>
      <c r="F444" s="91">
        <f>IF(ISERROR(VLOOKUP(B444,'Estrutura Protheus'!A:A,1,FALSE)),"Não","Sim")</f>
        <v/>
      </c>
      <c r="G444" s="92">
        <f>IFERROR(INDEX(_Protheus_Cadastro!$H:$H,MATCH(B444,_Protheus_Cadastro!$A:$A,0)),"—")</f>
        <v/>
      </c>
      <c r="H444" s="210">
        <f>IFERROR(INDEX(_ZIG_Precos!$D:$D,MATCH(I444,_ZIG_Precos!$F:$F,0)),"—")</f>
        <v/>
      </c>
      <c r="I444" s="95">
        <f>IFERROR(VLOOKUP(B444,_Protheus_Cadastro!$A:$I,9,FALSE),"—")</f>
        <v/>
      </c>
      <c r="J444" s="93">
        <f>IFERROR(INDEX(_ZIG_Cadastro!$B:$B,MATCH(I444,_ZIG_Cadastro!$A:$A,0)),IFERROR(INDEX(_Entradas_ZIG!$B:$B,MATCH(I444,_Entradas_ZIG!$C:$C,0)),"—"))</f>
        <v/>
      </c>
      <c r="K444" s="93">
        <f>IFERROR(INDEX(_ZIG_Cadastro!$C:$C,MATCH(I444,_ZIG_Cadastro!$A:$A,0)),IFERROR(INDEX(_Entradas_ZIG!$D:$D,MATCH(I444,_Entradas_ZIG!$C:$C,0)),"—"))</f>
        <v/>
      </c>
      <c r="L444" s="92">
        <f>IF(I444="","Sem SKU ZIG",IF(I444="—","Sem SKU ZIG",IF(NOT(ISERROR(MATCH(I444,_ZIG_Cadastro!$A:$A,0))),IF(EXACT(UPPER(TRIM(C444)),UPPER(TRIM(INDEX(_ZIG_Cadastro!$B:$B,MATCH(I444,_ZIG_Cadastro!$A:$A,0))))),"OK","Atencao - Nome diverge"),IF(NOT(ISERROR(MATCH(I444,_Entradas_ZIG!$C:$C,0))),"OK","Erro - SKU nao encontrado"))))</f>
        <v/>
      </c>
      <c r="M444" s="92">
        <f>IFERROR(INDEX(_ZIG_Cadastro!$G:$G,MATCH(I444,_ZIG_Cadastro!$A:$A,0)),IF(NOT(ISERROR(MATCH(I444,_Entradas_ZIG!$C:$C,0))),"Ativo","—"))</f>
        <v/>
      </c>
      <c r="N444" s="94">
        <f>IFERROR(INDEX(_ZIG_Cadastro!$E:$E,MATCH(I444,_ZIG_Cadastro!$A:$A,0)),IFERROR(INDEX(_Entradas_ZIG!$F:$F,MATCH(I444,_Entradas_ZIG!$C:$C,0)),"—"))</f>
        <v/>
      </c>
      <c r="O444" s="92">
        <f>IF(AND(ISNUMBER(SEARCH("Espeto",N444)),ISNUMBER(SEARCH("Carin",N444))),"SIM","")</f>
        <v/>
      </c>
      <c r="P444" s="92">
        <f>IF(AND(ISNUMBER(SEARCH("Espeto",N444)),ISNUMBER(SEARCH("Lapa",N444))),"SIM","")</f>
        <v/>
      </c>
      <c r="Q444" s="92">
        <f>IF(AND(ISNUMBER(SEARCH("Espeto",N444)),ISNUMBER(SEARCH("Tatuapé",N444))),"SIM","")</f>
        <v/>
      </c>
      <c r="R444" s="92">
        <f>IF(AND(ISNUMBER(SEARCH("Espeto",N444)),ISNUMBER(SEARCH("Pavão",N444))),"SIM","")</f>
        <v/>
      </c>
      <c r="S444" s="92">
        <f>IF(AND(ISNUMBER(SEARCH("Espeto",N444)),ISNUMBER(SEARCH("Chac",N444))),"SIM","")</f>
        <v/>
      </c>
      <c r="T444" s="92">
        <f>IF(AND(ISNUMBER(SEARCH("Espeto",N444)),ISNUMBER(SEARCH("Madalena",N444))),"SIM","")</f>
        <v/>
      </c>
      <c r="U444" s="92">
        <f>IF(AND(ISNUMBER(SEARCH("Espeto",N444)),ISNUMBER(SEARCH("Mariana",N444))),"SIM","")</f>
        <v/>
      </c>
      <c r="V444" s="92">
        <f>IF(AND(ISNUMBER(SEARCH("Espeto",N444)),ISNUMBER(SEARCH("Perdizes",N444))),"SIM","")</f>
        <v/>
      </c>
      <c r="W444" s="92">
        <f>IF(AND(ISNUMBER(SEARCH("Espeto",N444)),ISNUMBER(SEARCH("Santana",N444))),"SIM","")</f>
        <v/>
      </c>
      <c r="X444" s="92">
        <f>IF(AND(ISNUMBER(SEARCH("Espeto",N444)),ISNUMBER(SEARCH("André",N444))),"SIM","")</f>
        <v/>
      </c>
      <c r="Y444" s="92">
        <f>IF(AND(ISNUMBER(SEARCH("Delivery",N444)),ISNUMBER(SEARCH("Carin",N444))),"SIM","")</f>
        <v/>
      </c>
      <c r="Z444" s="92">
        <f>IF(AND(ISNUMBER(SEARCH("Delivery",N444)),ISNUMBER(SEARCH("Lapa",N444))),"SIM","")</f>
        <v/>
      </c>
      <c r="AA444" s="92">
        <f>IF(AND(ISNUMBER(SEARCH("Delivery",N444)),ISNUMBER(SEARCH("Tatuapé",N444))),"SIM","")</f>
        <v/>
      </c>
      <c r="AB444" s="92">
        <f>IF(AND(ISNUMBER(SEARCH("Delivery",N444)),ISNUMBER(SEARCH("Pavão",N444))),"SIM","")</f>
        <v/>
      </c>
      <c r="AC444" s="92">
        <f>IF(AND(ISNUMBER(SEARCH("Delivery",N444)),ISNUMBER(SEARCH("Chac",N444))),"SIM","")</f>
        <v/>
      </c>
      <c r="AD444" s="92">
        <f>IF(AND(ISNUMBER(SEARCH("Delivery",N444)),ISNUMBER(SEARCH("Madalena",N444))),"SIM","")</f>
        <v/>
      </c>
      <c r="AE444" s="92">
        <f>IF(AND(ISNUMBER(SEARCH("Delivery",N444)),ISNUMBER(SEARCH("Mariana",N444))),"SIM","")</f>
        <v/>
      </c>
      <c r="AF444" s="92">
        <f>IF(AND(ISNUMBER(SEARCH("Delivery",N444)),ISNUMBER(SEARCH("Perdizes",N444))),"SIM","")</f>
        <v/>
      </c>
      <c r="AG444" s="92">
        <f>IF(AND(ISNUMBER(SEARCH("Delivery",N444)),ISNUMBER(SEARCH("Santana",N444))),"SIM","")</f>
        <v/>
      </c>
      <c r="AH444" s="92">
        <f>IF(AND(ISNUMBER(SEARCH("Delivery",N444)),ISNUMBER(SEARCH("André",N444))),"SIM","")</f>
        <v/>
      </c>
      <c r="AI444" s="92">
        <f>IF(ISNUMBER(SEARCH("Interlagos",N444)),"SIM","")</f>
        <v/>
      </c>
      <c r="AJ444" s="92">
        <f>IF(ISNUMBER(SEARCH("Quiosque",N444)),"SIM","")</f>
        <v/>
      </c>
      <c r="AK444" s="93" t="n"/>
    </row>
    <row r="445">
      <c r="A445" s="88" t="inlineStr">
        <is>
          <t>Protheus</t>
        </is>
      </c>
      <c r="B445" s="96" t="inlineStr">
        <is>
          <t>001187</t>
        </is>
      </c>
      <c r="C445" s="97">
        <f>IF(B445="—","—",IFERROR(VLOOKUP(B445,_Protheus_Cadastro!$A:$B,2,FALSE),"—"))</f>
        <v/>
      </c>
      <c r="D445" s="98">
        <f>IF(B445="—",IFERROR(INDEX(_ZIG_Cadastro!$D:$D,MATCH(H445,_ZIG_Cadastro!$A:$A,0)),"Produto"),IFERROR(VLOOKUP(B445,_Protheus_Cadastro!$A:$C,3,FALSE),"—"))</f>
        <v/>
      </c>
      <c r="E445" s="98">
        <f>IF(B445="—","—",IFERROR(VLOOKUP(B445,_Protheus_Cadastro!$A:$D,4,FALSE),"—"))</f>
        <v/>
      </c>
      <c r="F445" s="98">
        <f>IF(ISERROR(VLOOKUP(B445,'Estrutura Protheus'!A:A,1,FALSE)),"Não","Sim")</f>
        <v/>
      </c>
      <c r="G445" s="99">
        <f>IFERROR(INDEX(_Protheus_Cadastro!$H:$H,MATCH(B445,_Protheus_Cadastro!$A:$A,0)),"—")</f>
        <v/>
      </c>
      <c r="H445" s="211">
        <f>IFERROR(INDEX(_ZIG_Precos!$D:$D,MATCH(I445,_ZIG_Precos!$F:$F,0)),"—")</f>
        <v/>
      </c>
      <c r="I445" s="103">
        <f>IFERROR(VLOOKUP(B445,_Protheus_Cadastro!$A:$I,9,FALSE),"—")</f>
        <v/>
      </c>
      <c r="J445" s="101">
        <f>IFERROR(INDEX(_ZIG_Cadastro!$B:$B,MATCH(I445,_ZIG_Cadastro!$A:$A,0)),IFERROR(INDEX(_Entradas_ZIG!$B:$B,MATCH(I445,_Entradas_ZIG!$C:$C,0)),"—"))</f>
        <v/>
      </c>
      <c r="K445" s="101">
        <f>IFERROR(INDEX(_ZIG_Cadastro!$C:$C,MATCH(I445,_ZIG_Cadastro!$A:$A,0)),IFERROR(INDEX(_Entradas_ZIG!$D:$D,MATCH(I445,_Entradas_ZIG!$C:$C,0)),"—"))</f>
        <v/>
      </c>
      <c r="L445" s="99">
        <f>IF(I445="","Sem SKU ZIG",IF(I445="—","Sem SKU ZIG",IF(NOT(ISERROR(MATCH(I445,_ZIG_Cadastro!$A:$A,0))),IF(EXACT(UPPER(TRIM(C445)),UPPER(TRIM(INDEX(_ZIG_Cadastro!$B:$B,MATCH(I445,_ZIG_Cadastro!$A:$A,0))))),"OK","Atencao - Nome diverge"),IF(NOT(ISERROR(MATCH(I445,_Entradas_ZIG!$C:$C,0))),"OK","Erro - SKU nao encontrado"))))</f>
        <v/>
      </c>
      <c r="M445" s="99">
        <f>IFERROR(INDEX(_ZIG_Cadastro!$G:$G,MATCH(I445,_ZIG_Cadastro!$A:$A,0)),IF(NOT(ISERROR(MATCH(I445,_Entradas_ZIG!$C:$C,0))),"Ativo","—"))</f>
        <v/>
      </c>
      <c r="N445" s="102">
        <f>IFERROR(INDEX(_ZIG_Cadastro!$E:$E,MATCH(I445,_ZIG_Cadastro!$A:$A,0)),IFERROR(INDEX(_Entradas_ZIG!$F:$F,MATCH(I445,_Entradas_ZIG!$C:$C,0)),"—"))</f>
        <v/>
      </c>
      <c r="O445" s="99">
        <f>IF(AND(ISNUMBER(SEARCH("Espeto",N445)),ISNUMBER(SEARCH("Carin",N445))),"SIM","")</f>
        <v/>
      </c>
      <c r="P445" s="99">
        <f>IF(AND(ISNUMBER(SEARCH("Espeto",N445)),ISNUMBER(SEARCH("Lapa",N445))),"SIM","")</f>
        <v/>
      </c>
      <c r="Q445" s="99">
        <f>IF(AND(ISNUMBER(SEARCH("Espeto",N445)),ISNUMBER(SEARCH("Tatuapé",N445))),"SIM","")</f>
        <v/>
      </c>
      <c r="R445" s="99">
        <f>IF(AND(ISNUMBER(SEARCH("Espeto",N445)),ISNUMBER(SEARCH("Pavão",N445))),"SIM","")</f>
        <v/>
      </c>
      <c r="S445" s="99">
        <f>IF(AND(ISNUMBER(SEARCH("Espeto",N445)),ISNUMBER(SEARCH("Chac",N445))),"SIM","")</f>
        <v/>
      </c>
      <c r="T445" s="99">
        <f>IF(AND(ISNUMBER(SEARCH("Espeto",N445)),ISNUMBER(SEARCH("Madalena",N445))),"SIM","")</f>
        <v/>
      </c>
      <c r="U445" s="99">
        <f>IF(AND(ISNUMBER(SEARCH("Espeto",N445)),ISNUMBER(SEARCH("Mariana",N445))),"SIM","")</f>
        <v/>
      </c>
      <c r="V445" s="99">
        <f>IF(AND(ISNUMBER(SEARCH("Espeto",N445)),ISNUMBER(SEARCH("Perdizes",N445))),"SIM","")</f>
        <v/>
      </c>
      <c r="W445" s="99">
        <f>IF(AND(ISNUMBER(SEARCH("Espeto",N445)),ISNUMBER(SEARCH("Santana",N445))),"SIM","")</f>
        <v/>
      </c>
      <c r="X445" s="99">
        <f>IF(AND(ISNUMBER(SEARCH("Espeto",N445)),ISNUMBER(SEARCH("André",N445))),"SIM","")</f>
        <v/>
      </c>
      <c r="Y445" s="99">
        <f>IF(AND(ISNUMBER(SEARCH("Delivery",N445)),ISNUMBER(SEARCH("Carin",N445))),"SIM","")</f>
        <v/>
      </c>
      <c r="Z445" s="99">
        <f>IF(AND(ISNUMBER(SEARCH("Delivery",N445)),ISNUMBER(SEARCH("Lapa",N445))),"SIM","")</f>
        <v/>
      </c>
      <c r="AA445" s="99">
        <f>IF(AND(ISNUMBER(SEARCH("Delivery",N445)),ISNUMBER(SEARCH("Tatuapé",N445))),"SIM","")</f>
        <v/>
      </c>
      <c r="AB445" s="99">
        <f>IF(AND(ISNUMBER(SEARCH("Delivery",N445)),ISNUMBER(SEARCH("Pavão",N445))),"SIM","")</f>
        <v/>
      </c>
      <c r="AC445" s="99">
        <f>IF(AND(ISNUMBER(SEARCH("Delivery",N445)),ISNUMBER(SEARCH("Chac",N445))),"SIM","")</f>
        <v/>
      </c>
      <c r="AD445" s="99">
        <f>IF(AND(ISNUMBER(SEARCH("Delivery",N445)),ISNUMBER(SEARCH("Madalena",N445))),"SIM","")</f>
        <v/>
      </c>
      <c r="AE445" s="99">
        <f>IF(AND(ISNUMBER(SEARCH("Delivery",N445)),ISNUMBER(SEARCH("Mariana",N445))),"SIM","")</f>
        <v/>
      </c>
      <c r="AF445" s="99">
        <f>IF(AND(ISNUMBER(SEARCH("Delivery",N445)),ISNUMBER(SEARCH("Perdizes",N445))),"SIM","")</f>
        <v/>
      </c>
      <c r="AG445" s="99">
        <f>IF(AND(ISNUMBER(SEARCH("Delivery",N445)),ISNUMBER(SEARCH("Santana",N445))),"SIM","")</f>
        <v/>
      </c>
      <c r="AH445" s="99">
        <f>IF(AND(ISNUMBER(SEARCH("Delivery",N445)),ISNUMBER(SEARCH("André",N445))),"SIM","")</f>
        <v/>
      </c>
      <c r="AI445" s="99">
        <f>IF(ISNUMBER(SEARCH("Interlagos",N445)),"SIM","")</f>
        <v/>
      </c>
      <c r="AJ445" s="99">
        <f>IF(ISNUMBER(SEARCH("Quiosque",N445)),"SIM","")</f>
        <v/>
      </c>
      <c r="AK445" s="101" t="n"/>
    </row>
    <row r="446">
      <c r="A446" s="88" t="inlineStr">
        <is>
          <t>Protheus</t>
        </is>
      </c>
      <c r="B446" s="89" t="inlineStr">
        <is>
          <t>002043</t>
        </is>
      </c>
      <c r="C446" s="90">
        <f>IF(B446="—","—",IFERROR(VLOOKUP(B446,_Protheus_Cadastro!$A:$B,2,FALSE),"—"))</f>
        <v/>
      </c>
      <c r="D446" s="91">
        <f>IF(B446="—",IFERROR(INDEX(_ZIG_Cadastro!$D:$D,MATCH(H446,_ZIG_Cadastro!$A:$A,0)),"Produto"),IFERROR(VLOOKUP(B446,_Protheus_Cadastro!$A:$C,3,FALSE),"—"))</f>
        <v/>
      </c>
      <c r="E446" s="91">
        <f>IF(B446="—","—",IFERROR(VLOOKUP(B446,_Protheus_Cadastro!$A:$D,4,FALSE),"—"))</f>
        <v/>
      </c>
      <c r="F446" s="91">
        <f>IF(ISERROR(VLOOKUP(B446,'Estrutura Protheus'!A:A,1,FALSE)),"Não","Sim")</f>
        <v/>
      </c>
      <c r="G446" s="92">
        <f>IFERROR(INDEX(_Protheus_Cadastro!$H:$H,MATCH(B446,_Protheus_Cadastro!$A:$A,0)),"—")</f>
        <v/>
      </c>
      <c r="H446" s="210">
        <f>IFERROR(INDEX(_ZIG_Precos!$D:$D,MATCH(I446,_ZIG_Precos!$F:$F,0)),"—")</f>
        <v/>
      </c>
      <c r="I446" s="95">
        <f>IFERROR(VLOOKUP(B446,_Protheus_Cadastro!$A:$I,9,FALSE),"—")</f>
        <v/>
      </c>
      <c r="J446" s="93">
        <f>IFERROR(INDEX(_ZIG_Cadastro!$B:$B,MATCH(I446,_ZIG_Cadastro!$A:$A,0)),IFERROR(INDEX(_Entradas_ZIG!$B:$B,MATCH(I446,_Entradas_ZIG!$C:$C,0)),"—"))</f>
        <v/>
      </c>
      <c r="K446" s="93">
        <f>IFERROR(INDEX(_ZIG_Cadastro!$C:$C,MATCH(I446,_ZIG_Cadastro!$A:$A,0)),IFERROR(INDEX(_Entradas_ZIG!$D:$D,MATCH(I446,_Entradas_ZIG!$C:$C,0)),"—"))</f>
        <v/>
      </c>
      <c r="L446" s="92">
        <f>IF(I446="","Sem SKU ZIG",IF(I446="—","Sem SKU ZIG",IF(NOT(ISERROR(MATCH(I446,_ZIG_Cadastro!$A:$A,0))),IF(EXACT(UPPER(TRIM(C446)),UPPER(TRIM(INDEX(_ZIG_Cadastro!$B:$B,MATCH(I446,_ZIG_Cadastro!$A:$A,0))))),"OK","Atencao - Nome diverge"),IF(NOT(ISERROR(MATCH(I446,_Entradas_ZIG!$C:$C,0))),"OK","Erro - SKU nao encontrado"))))</f>
        <v/>
      </c>
      <c r="M446" s="92">
        <f>IFERROR(INDEX(_ZIG_Cadastro!$G:$G,MATCH(I446,_ZIG_Cadastro!$A:$A,0)),IF(NOT(ISERROR(MATCH(I446,_Entradas_ZIG!$C:$C,0))),"Ativo","—"))</f>
        <v/>
      </c>
      <c r="N446" s="94">
        <f>IFERROR(INDEX(_ZIG_Cadastro!$E:$E,MATCH(I446,_ZIG_Cadastro!$A:$A,0)),IFERROR(INDEX(_Entradas_ZIG!$F:$F,MATCH(I446,_Entradas_ZIG!$C:$C,0)),"—"))</f>
        <v/>
      </c>
      <c r="O446" s="92">
        <f>IF(AND(ISNUMBER(SEARCH("Espeto",N446)),ISNUMBER(SEARCH("Carin",N446))),"SIM","")</f>
        <v/>
      </c>
      <c r="P446" s="92">
        <f>IF(AND(ISNUMBER(SEARCH("Espeto",N446)),ISNUMBER(SEARCH("Lapa",N446))),"SIM","")</f>
        <v/>
      </c>
      <c r="Q446" s="92">
        <f>IF(AND(ISNUMBER(SEARCH("Espeto",N446)),ISNUMBER(SEARCH("Tatuapé",N446))),"SIM","")</f>
        <v/>
      </c>
      <c r="R446" s="92">
        <f>IF(AND(ISNUMBER(SEARCH("Espeto",N446)),ISNUMBER(SEARCH("Pavão",N446))),"SIM","")</f>
        <v/>
      </c>
      <c r="S446" s="92">
        <f>IF(AND(ISNUMBER(SEARCH("Espeto",N446)),ISNUMBER(SEARCH("Chac",N446))),"SIM","")</f>
        <v/>
      </c>
      <c r="T446" s="92">
        <f>IF(AND(ISNUMBER(SEARCH("Espeto",N446)),ISNUMBER(SEARCH("Madalena",N446))),"SIM","")</f>
        <v/>
      </c>
      <c r="U446" s="92">
        <f>IF(AND(ISNUMBER(SEARCH("Espeto",N446)),ISNUMBER(SEARCH("Mariana",N446))),"SIM","")</f>
        <v/>
      </c>
      <c r="V446" s="92">
        <f>IF(AND(ISNUMBER(SEARCH("Espeto",N446)),ISNUMBER(SEARCH("Perdizes",N446))),"SIM","")</f>
        <v/>
      </c>
      <c r="W446" s="92">
        <f>IF(AND(ISNUMBER(SEARCH("Espeto",N446)),ISNUMBER(SEARCH("Santana",N446))),"SIM","")</f>
        <v/>
      </c>
      <c r="X446" s="92">
        <f>IF(AND(ISNUMBER(SEARCH("Espeto",N446)),ISNUMBER(SEARCH("André",N446))),"SIM","")</f>
        <v/>
      </c>
      <c r="Y446" s="92">
        <f>IF(AND(ISNUMBER(SEARCH("Delivery",N446)),ISNUMBER(SEARCH("Carin",N446))),"SIM","")</f>
        <v/>
      </c>
      <c r="Z446" s="92">
        <f>IF(AND(ISNUMBER(SEARCH("Delivery",N446)),ISNUMBER(SEARCH("Lapa",N446))),"SIM","")</f>
        <v/>
      </c>
      <c r="AA446" s="92">
        <f>IF(AND(ISNUMBER(SEARCH("Delivery",N446)),ISNUMBER(SEARCH("Tatuapé",N446))),"SIM","")</f>
        <v/>
      </c>
      <c r="AB446" s="92">
        <f>IF(AND(ISNUMBER(SEARCH("Delivery",N446)),ISNUMBER(SEARCH("Pavão",N446))),"SIM","")</f>
        <v/>
      </c>
      <c r="AC446" s="92">
        <f>IF(AND(ISNUMBER(SEARCH("Delivery",N446)),ISNUMBER(SEARCH("Chac",N446))),"SIM","")</f>
        <v/>
      </c>
      <c r="AD446" s="92">
        <f>IF(AND(ISNUMBER(SEARCH("Delivery",N446)),ISNUMBER(SEARCH("Madalena",N446))),"SIM","")</f>
        <v/>
      </c>
      <c r="AE446" s="92">
        <f>IF(AND(ISNUMBER(SEARCH("Delivery",N446)),ISNUMBER(SEARCH("Mariana",N446))),"SIM","")</f>
        <v/>
      </c>
      <c r="AF446" s="92">
        <f>IF(AND(ISNUMBER(SEARCH("Delivery",N446)),ISNUMBER(SEARCH("Perdizes",N446))),"SIM","")</f>
        <v/>
      </c>
      <c r="AG446" s="92">
        <f>IF(AND(ISNUMBER(SEARCH("Delivery",N446)),ISNUMBER(SEARCH("Santana",N446))),"SIM","")</f>
        <v/>
      </c>
      <c r="AH446" s="92">
        <f>IF(AND(ISNUMBER(SEARCH("Delivery",N446)),ISNUMBER(SEARCH("André",N446))),"SIM","")</f>
        <v/>
      </c>
      <c r="AI446" s="92">
        <f>IF(ISNUMBER(SEARCH("Interlagos",N446)),"SIM","")</f>
        <v/>
      </c>
      <c r="AJ446" s="92">
        <f>IF(ISNUMBER(SEARCH("Quiosque",N446)),"SIM","")</f>
        <v/>
      </c>
      <c r="AK446" s="93" t="n"/>
    </row>
    <row r="447">
      <c r="A447" s="88" t="inlineStr">
        <is>
          <t>Protheus</t>
        </is>
      </c>
      <c r="B447" s="96" t="inlineStr">
        <is>
          <t>002035</t>
        </is>
      </c>
      <c r="C447" s="97">
        <f>IF(B447="—","—",IFERROR(VLOOKUP(B447,_Protheus_Cadastro!$A:$B,2,FALSE),"—"))</f>
        <v/>
      </c>
      <c r="D447" s="98">
        <f>IF(B447="—",IFERROR(INDEX(_ZIG_Cadastro!$D:$D,MATCH(H447,_ZIG_Cadastro!$A:$A,0)),"Produto"),IFERROR(VLOOKUP(B447,_Protheus_Cadastro!$A:$C,3,FALSE),"—"))</f>
        <v/>
      </c>
      <c r="E447" s="98">
        <f>IF(B447="—","—",IFERROR(VLOOKUP(B447,_Protheus_Cadastro!$A:$D,4,FALSE),"—"))</f>
        <v/>
      </c>
      <c r="F447" s="98">
        <f>IF(ISERROR(VLOOKUP(B447,'Estrutura Protheus'!A:A,1,FALSE)),"Não","Sim")</f>
        <v/>
      </c>
      <c r="G447" s="99">
        <f>IFERROR(INDEX(_Protheus_Cadastro!$H:$H,MATCH(B447,_Protheus_Cadastro!$A:$A,0)),"—")</f>
        <v/>
      </c>
      <c r="H447" s="211">
        <f>IFERROR(INDEX(_ZIG_Precos!$D:$D,MATCH(I447,_ZIG_Precos!$F:$F,0)),"—")</f>
        <v/>
      </c>
      <c r="I447" s="103">
        <f>IFERROR(VLOOKUP(B447,_Protheus_Cadastro!$A:$I,9,FALSE),"—")</f>
        <v/>
      </c>
      <c r="J447" s="101">
        <f>IFERROR(INDEX(_ZIG_Cadastro!$B:$B,MATCH(I447,_ZIG_Cadastro!$A:$A,0)),IFERROR(INDEX(_Entradas_ZIG!$B:$B,MATCH(I447,_Entradas_ZIG!$C:$C,0)),"—"))</f>
        <v/>
      </c>
      <c r="K447" s="101">
        <f>IFERROR(INDEX(_ZIG_Cadastro!$C:$C,MATCH(I447,_ZIG_Cadastro!$A:$A,0)),IFERROR(INDEX(_Entradas_ZIG!$D:$D,MATCH(I447,_Entradas_ZIG!$C:$C,0)),"—"))</f>
        <v/>
      </c>
      <c r="L447" s="99">
        <f>IF(I447="","Sem SKU ZIG",IF(I447="—","Sem SKU ZIG",IF(NOT(ISERROR(MATCH(I447,_ZIG_Cadastro!$A:$A,0))),IF(EXACT(UPPER(TRIM(C447)),UPPER(TRIM(INDEX(_ZIG_Cadastro!$B:$B,MATCH(I447,_ZIG_Cadastro!$A:$A,0))))),"OK","Atencao - Nome diverge"),IF(NOT(ISERROR(MATCH(I447,_Entradas_ZIG!$C:$C,0))),"OK","Erro - SKU nao encontrado"))))</f>
        <v/>
      </c>
      <c r="M447" s="99">
        <f>IFERROR(INDEX(_ZIG_Cadastro!$G:$G,MATCH(I447,_ZIG_Cadastro!$A:$A,0)),IF(NOT(ISERROR(MATCH(I447,_Entradas_ZIG!$C:$C,0))),"Ativo","—"))</f>
        <v/>
      </c>
      <c r="N447" s="102">
        <f>IFERROR(INDEX(_ZIG_Cadastro!$E:$E,MATCH(I447,_ZIG_Cadastro!$A:$A,0)),IFERROR(INDEX(_Entradas_ZIG!$F:$F,MATCH(I447,_Entradas_ZIG!$C:$C,0)),"—"))</f>
        <v/>
      </c>
      <c r="O447" s="99">
        <f>IF(AND(ISNUMBER(SEARCH("Espeto",N447)),ISNUMBER(SEARCH("Carin",N447))),"SIM","")</f>
        <v/>
      </c>
      <c r="P447" s="99">
        <f>IF(AND(ISNUMBER(SEARCH("Espeto",N447)),ISNUMBER(SEARCH("Lapa",N447))),"SIM","")</f>
        <v/>
      </c>
      <c r="Q447" s="99">
        <f>IF(AND(ISNUMBER(SEARCH("Espeto",N447)),ISNUMBER(SEARCH("Tatuapé",N447))),"SIM","")</f>
        <v/>
      </c>
      <c r="R447" s="99">
        <f>IF(AND(ISNUMBER(SEARCH("Espeto",N447)),ISNUMBER(SEARCH("Pavão",N447))),"SIM","")</f>
        <v/>
      </c>
      <c r="S447" s="99">
        <f>IF(AND(ISNUMBER(SEARCH("Espeto",N447)),ISNUMBER(SEARCH("Chac",N447))),"SIM","")</f>
        <v/>
      </c>
      <c r="T447" s="99">
        <f>IF(AND(ISNUMBER(SEARCH("Espeto",N447)),ISNUMBER(SEARCH("Madalena",N447))),"SIM","")</f>
        <v/>
      </c>
      <c r="U447" s="99">
        <f>IF(AND(ISNUMBER(SEARCH("Espeto",N447)),ISNUMBER(SEARCH("Mariana",N447))),"SIM","")</f>
        <v/>
      </c>
      <c r="V447" s="99">
        <f>IF(AND(ISNUMBER(SEARCH("Espeto",N447)),ISNUMBER(SEARCH("Perdizes",N447))),"SIM","")</f>
        <v/>
      </c>
      <c r="W447" s="99">
        <f>IF(AND(ISNUMBER(SEARCH("Espeto",N447)),ISNUMBER(SEARCH("Santana",N447))),"SIM","")</f>
        <v/>
      </c>
      <c r="X447" s="99">
        <f>IF(AND(ISNUMBER(SEARCH("Espeto",N447)),ISNUMBER(SEARCH("André",N447))),"SIM","")</f>
        <v/>
      </c>
      <c r="Y447" s="99">
        <f>IF(AND(ISNUMBER(SEARCH("Delivery",N447)),ISNUMBER(SEARCH("Carin",N447))),"SIM","")</f>
        <v/>
      </c>
      <c r="Z447" s="99">
        <f>IF(AND(ISNUMBER(SEARCH("Delivery",N447)),ISNUMBER(SEARCH("Lapa",N447))),"SIM","")</f>
        <v/>
      </c>
      <c r="AA447" s="99">
        <f>IF(AND(ISNUMBER(SEARCH("Delivery",N447)),ISNUMBER(SEARCH("Tatuapé",N447))),"SIM","")</f>
        <v/>
      </c>
      <c r="AB447" s="99">
        <f>IF(AND(ISNUMBER(SEARCH("Delivery",N447)),ISNUMBER(SEARCH("Pavão",N447))),"SIM","")</f>
        <v/>
      </c>
      <c r="AC447" s="99">
        <f>IF(AND(ISNUMBER(SEARCH("Delivery",N447)),ISNUMBER(SEARCH("Chac",N447))),"SIM","")</f>
        <v/>
      </c>
      <c r="AD447" s="99">
        <f>IF(AND(ISNUMBER(SEARCH("Delivery",N447)),ISNUMBER(SEARCH("Madalena",N447))),"SIM","")</f>
        <v/>
      </c>
      <c r="AE447" s="99">
        <f>IF(AND(ISNUMBER(SEARCH("Delivery",N447)),ISNUMBER(SEARCH("Mariana",N447))),"SIM","")</f>
        <v/>
      </c>
      <c r="AF447" s="99">
        <f>IF(AND(ISNUMBER(SEARCH("Delivery",N447)),ISNUMBER(SEARCH("Perdizes",N447))),"SIM","")</f>
        <v/>
      </c>
      <c r="AG447" s="99">
        <f>IF(AND(ISNUMBER(SEARCH("Delivery",N447)),ISNUMBER(SEARCH("Santana",N447))),"SIM","")</f>
        <v/>
      </c>
      <c r="AH447" s="99">
        <f>IF(AND(ISNUMBER(SEARCH("Delivery",N447)),ISNUMBER(SEARCH("André",N447))),"SIM","")</f>
        <v/>
      </c>
      <c r="AI447" s="99">
        <f>IF(ISNUMBER(SEARCH("Interlagos",N447)),"SIM","")</f>
        <v/>
      </c>
      <c r="AJ447" s="99">
        <f>IF(ISNUMBER(SEARCH("Quiosque",N447)),"SIM","")</f>
        <v/>
      </c>
      <c r="AK447" s="101" t="n"/>
    </row>
    <row r="448">
      <c r="A448" s="88" t="inlineStr">
        <is>
          <t>Protheus</t>
        </is>
      </c>
      <c r="B448" s="89" t="inlineStr">
        <is>
          <t>010358</t>
        </is>
      </c>
      <c r="C448" s="90">
        <f>IF(B448="—","—",IFERROR(VLOOKUP(B448,_Protheus_Cadastro!$A:$B,2,FALSE),"—"))</f>
        <v/>
      </c>
      <c r="D448" s="91">
        <f>IF(B448="—",IFERROR(INDEX(_ZIG_Cadastro!$D:$D,MATCH(H448,_ZIG_Cadastro!$A:$A,0)),"Produto"),IFERROR(VLOOKUP(B448,_Protheus_Cadastro!$A:$C,3,FALSE),"—"))</f>
        <v/>
      </c>
      <c r="E448" s="91">
        <f>IF(B448="—","—",IFERROR(VLOOKUP(B448,_Protheus_Cadastro!$A:$D,4,FALSE),"—"))</f>
        <v/>
      </c>
      <c r="F448" s="91">
        <f>IF(ISERROR(VLOOKUP(B448,'Estrutura Protheus'!A:A,1,FALSE)),"Não","Sim")</f>
        <v/>
      </c>
      <c r="G448" s="92">
        <f>IFERROR(INDEX(_Protheus_Cadastro!$H:$H,MATCH(B448,_Protheus_Cadastro!$A:$A,0)),"—")</f>
        <v/>
      </c>
      <c r="H448" s="210">
        <f>IFERROR(INDEX(_ZIG_Precos!$D:$D,MATCH(I448,_ZIG_Precos!$F:$F,0)),"—")</f>
        <v/>
      </c>
      <c r="I448" s="95">
        <f>IFERROR(VLOOKUP(B448,_Protheus_Cadastro!$A:$I,9,FALSE),"—")</f>
        <v/>
      </c>
      <c r="J448" s="93">
        <f>IFERROR(INDEX(_ZIG_Cadastro!$B:$B,MATCH(I448,_ZIG_Cadastro!$A:$A,0)),IFERROR(INDEX(_Entradas_ZIG!$B:$B,MATCH(I448,_Entradas_ZIG!$C:$C,0)),"—"))</f>
        <v/>
      </c>
      <c r="K448" s="93">
        <f>IFERROR(INDEX(_ZIG_Cadastro!$C:$C,MATCH(I448,_ZIG_Cadastro!$A:$A,0)),IFERROR(INDEX(_Entradas_ZIG!$D:$D,MATCH(I448,_Entradas_ZIG!$C:$C,0)),"—"))</f>
        <v/>
      </c>
      <c r="L448" s="92">
        <f>IF(I448="","Sem SKU ZIG",IF(I448="—","Sem SKU ZIG",IF(NOT(ISERROR(MATCH(I448,_ZIG_Cadastro!$A:$A,0))),IF(EXACT(UPPER(TRIM(C448)),UPPER(TRIM(INDEX(_ZIG_Cadastro!$B:$B,MATCH(I448,_ZIG_Cadastro!$A:$A,0))))),"OK","Atencao - Nome diverge"),IF(NOT(ISERROR(MATCH(I448,_Entradas_ZIG!$C:$C,0))),"OK","Erro - SKU nao encontrado"))))</f>
        <v/>
      </c>
      <c r="M448" s="92">
        <f>IFERROR(INDEX(_ZIG_Cadastro!$G:$G,MATCH(I448,_ZIG_Cadastro!$A:$A,0)),IF(NOT(ISERROR(MATCH(I448,_Entradas_ZIG!$C:$C,0))),"Ativo","—"))</f>
        <v/>
      </c>
      <c r="N448" s="94">
        <f>IFERROR(INDEX(_ZIG_Cadastro!$E:$E,MATCH(I448,_ZIG_Cadastro!$A:$A,0)),IFERROR(INDEX(_Entradas_ZIG!$F:$F,MATCH(I448,_Entradas_ZIG!$C:$C,0)),"—"))</f>
        <v/>
      </c>
      <c r="O448" s="92">
        <f>IF(AND(ISNUMBER(SEARCH("Espeto",N448)),ISNUMBER(SEARCH("Carin",N448))),"SIM","")</f>
        <v/>
      </c>
      <c r="P448" s="92">
        <f>IF(AND(ISNUMBER(SEARCH("Espeto",N448)),ISNUMBER(SEARCH("Lapa",N448))),"SIM","")</f>
        <v/>
      </c>
      <c r="Q448" s="92">
        <f>IF(AND(ISNUMBER(SEARCH("Espeto",N448)),ISNUMBER(SEARCH("Tatuapé",N448))),"SIM","")</f>
        <v/>
      </c>
      <c r="R448" s="92">
        <f>IF(AND(ISNUMBER(SEARCH("Espeto",N448)),ISNUMBER(SEARCH("Pavão",N448))),"SIM","")</f>
        <v/>
      </c>
      <c r="S448" s="92">
        <f>IF(AND(ISNUMBER(SEARCH("Espeto",N448)),ISNUMBER(SEARCH("Chac",N448))),"SIM","")</f>
        <v/>
      </c>
      <c r="T448" s="92">
        <f>IF(AND(ISNUMBER(SEARCH("Espeto",N448)),ISNUMBER(SEARCH("Madalena",N448))),"SIM","")</f>
        <v/>
      </c>
      <c r="U448" s="92">
        <f>IF(AND(ISNUMBER(SEARCH("Espeto",N448)),ISNUMBER(SEARCH("Mariana",N448))),"SIM","")</f>
        <v/>
      </c>
      <c r="V448" s="92">
        <f>IF(AND(ISNUMBER(SEARCH("Espeto",N448)),ISNUMBER(SEARCH("Perdizes",N448))),"SIM","")</f>
        <v/>
      </c>
      <c r="W448" s="92">
        <f>IF(AND(ISNUMBER(SEARCH("Espeto",N448)),ISNUMBER(SEARCH("Santana",N448))),"SIM","")</f>
        <v/>
      </c>
      <c r="X448" s="92">
        <f>IF(AND(ISNUMBER(SEARCH("Espeto",N448)),ISNUMBER(SEARCH("André",N448))),"SIM","")</f>
        <v/>
      </c>
      <c r="Y448" s="92">
        <f>IF(AND(ISNUMBER(SEARCH("Delivery",N448)),ISNUMBER(SEARCH("Carin",N448))),"SIM","")</f>
        <v/>
      </c>
      <c r="Z448" s="92">
        <f>IF(AND(ISNUMBER(SEARCH("Delivery",N448)),ISNUMBER(SEARCH("Lapa",N448))),"SIM","")</f>
        <v/>
      </c>
      <c r="AA448" s="92">
        <f>IF(AND(ISNUMBER(SEARCH("Delivery",N448)),ISNUMBER(SEARCH("Tatuapé",N448))),"SIM","")</f>
        <v/>
      </c>
      <c r="AB448" s="92">
        <f>IF(AND(ISNUMBER(SEARCH("Delivery",N448)),ISNUMBER(SEARCH("Pavão",N448))),"SIM","")</f>
        <v/>
      </c>
      <c r="AC448" s="92">
        <f>IF(AND(ISNUMBER(SEARCH("Delivery",N448)),ISNUMBER(SEARCH("Chac",N448))),"SIM","")</f>
        <v/>
      </c>
      <c r="AD448" s="92">
        <f>IF(AND(ISNUMBER(SEARCH("Delivery",N448)),ISNUMBER(SEARCH("Madalena",N448))),"SIM","")</f>
        <v/>
      </c>
      <c r="AE448" s="92">
        <f>IF(AND(ISNUMBER(SEARCH("Delivery",N448)),ISNUMBER(SEARCH("Mariana",N448))),"SIM","")</f>
        <v/>
      </c>
      <c r="AF448" s="92">
        <f>IF(AND(ISNUMBER(SEARCH("Delivery",N448)),ISNUMBER(SEARCH("Perdizes",N448))),"SIM","")</f>
        <v/>
      </c>
      <c r="AG448" s="92">
        <f>IF(AND(ISNUMBER(SEARCH("Delivery",N448)),ISNUMBER(SEARCH("Santana",N448))),"SIM","")</f>
        <v/>
      </c>
      <c r="AH448" s="92">
        <f>IF(AND(ISNUMBER(SEARCH("Delivery",N448)),ISNUMBER(SEARCH("André",N448))),"SIM","")</f>
        <v/>
      </c>
      <c r="AI448" s="92">
        <f>IF(ISNUMBER(SEARCH("Interlagos",N448)),"SIM","")</f>
        <v/>
      </c>
      <c r="AJ448" s="92">
        <f>IF(ISNUMBER(SEARCH("Quiosque",N448)),"SIM","")</f>
        <v/>
      </c>
      <c r="AK448" s="93" t="n"/>
    </row>
    <row r="449">
      <c r="A449" s="88" t="inlineStr">
        <is>
          <t>Protheus</t>
        </is>
      </c>
      <c r="B449" s="96" t="inlineStr">
        <is>
          <t>002004</t>
        </is>
      </c>
      <c r="C449" s="97">
        <f>IF(B449="—","—",IFERROR(VLOOKUP(B449,_Protheus_Cadastro!$A:$B,2,FALSE),"—"))</f>
        <v/>
      </c>
      <c r="D449" s="98">
        <f>IF(B449="—",IFERROR(INDEX(_ZIG_Cadastro!$D:$D,MATCH(H449,_ZIG_Cadastro!$A:$A,0)),"Produto"),IFERROR(VLOOKUP(B449,_Protheus_Cadastro!$A:$C,3,FALSE),"—"))</f>
        <v/>
      </c>
      <c r="E449" s="98">
        <f>IF(B449="—","—",IFERROR(VLOOKUP(B449,_Protheus_Cadastro!$A:$D,4,FALSE),"—"))</f>
        <v/>
      </c>
      <c r="F449" s="98">
        <f>IF(ISERROR(VLOOKUP(B449,'Estrutura Protheus'!A:A,1,FALSE)),"Não","Sim")</f>
        <v/>
      </c>
      <c r="G449" s="99">
        <f>IFERROR(INDEX(_Protheus_Cadastro!$H:$H,MATCH(B449,_Protheus_Cadastro!$A:$A,0)),"—")</f>
        <v/>
      </c>
      <c r="H449" s="211">
        <f>IFERROR(INDEX(_ZIG_Precos!$D:$D,MATCH(I449,_ZIG_Precos!$F:$F,0)),"—")</f>
        <v/>
      </c>
      <c r="I449" s="103">
        <f>IFERROR(VLOOKUP(B449,_Protheus_Cadastro!$A:$I,9,FALSE),"—")</f>
        <v/>
      </c>
      <c r="J449" s="101">
        <f>IFERROR(INDEX(_ZIG_Cadastro!$B:$B,MATCH(I449,_ZIG_Cadastro!$A:$A,0)),IFERROR(INDEX(_Entradas_ZIG!$B:$B,MATCH(I449,_Entradas_ZIG!$C:$C,0)),"—"))</f>
        <v/>
      </c>
      <c r="K449" s="101">
        <f>IFERROR(INDEX(_ZIG_Cadastro!$C:$C,MATCH(I449,_ZIG_Cadastro!$A:$A,0)),IFERROR(INDEX(_Entradas_ZIG!$D:$D,MATCH(I449,_Entradas_ZIG!$C:$C,0)),"—"))</f>
        <v/>
      </c>
      <c r="L449" s="99">
        <f>IF(I449="","Sem SKU ZIG",IF(I449="—","Sem SKU ZIG",IF(NOT(ISERROR(MATCH(I449,_ZIG_Cadastro!$A:$A,0))),IF(EXACT(UPPER(TRIM(C449)),UPPER(TRIM(INDEX(_ZIG_Cadastro!$B:$B,MATCH(I449,_ZIG_Cadastro!$A:$A,0))))),"OK","Atencao - Nome diverge"),IF(NOT(ISERROR(MATCH(I449,_Entradas_ZIG!$C:$C,0))),"OK","Erro - SKU nao encontrado"))))</f>
        <v/>
      </c>
      <c r="M449" s="99">
        <f>IFERROR(INDEX(_ZIG_Cadastro!$G:$G,MATCH(I449,_ZIG_Cadastro!$A:$A,0)),IF(NOT(ISERROR(MATCH(I449,_Entradas_ZIG!$C:$C,0))),"Ativo","—"))</f>
        <v/>
      </c>
      <c r="N449" s="102">
        <f>IFERROR(INDEX(_ZIG_Cadastro!$E:$E,MATCH(I449,_ZIG_Cadastro!$A:$A,0)),IFERROR(INDEX(_Entradas_ZIG!$F:$F,MATCH(I449,_Entradas_ZIG!$C:$C,0)),"—"))</f>
        <v/>
      </c>
      <c r="O449" s="99">
        <f>IF(AND(ISNUMBER(SEARCH("Espeto",N449)),ISNUMBER(SEARCH("Carin",N449))),"SIM","")</f>
        <v/>
      </c>
      <c r="P449" s="99">
        <f>IF(AND(ISNUMBER(SEARCH("Espeto",N449)),ISNUMBER(SEARCH("Lapa",N449))),"SIM","")</f>
        <v/>
      </c>
      <c r="Q449" s="99">
        <f>IF(AND(ISNUMBER(SEARCH("Espeto",N449)),ISNUMBER(SEARCH("Tatuapé",N449))),"SIM","")</f>
        <v/>
      </c>
      <c r="R449" s="99">
        <f>IF(AND(ISNUMBER(SEARCH("Espeto",N449)),ISNUMBER(SEARCH("Pavão",N449))),"SIM","")</f>
        <v/>
      </c>
      <c r="S449" s="99">
        <f>IF(AND(ISNUMBER(SEARCH("Espeto",N449)),ISNUMBER(SEARCH("Chac",N449))),"SIM","")</f>
        <v/>
      </c>
      <c r="T449" s="99">
        <f>IF(AND(ISNUMBER(SEARCH("Espeto",N449)),ISNUMBER(SEARCH("Madalena",N449))),"SIM","")</f>
        <v/>
      </c>
      <c r="U449" s="99">
        <f>IF(AND(ISNUMBER(SEARCH("Espeto",N449)),ISNUMBER(SEARCH("Mariana",N449))),"SIM","")</f>
        <v/>
      </c>
      <c r="V449" s="99">
        <f>IF(AND(ISNUMBER(SEARCH("Espeto",N449)),ISNUMBER(SEARCH("Perdizes",N449))),"SIM","")</f>
        <v/>
      </c>
      <c r="W449" s="99">
        <f>IF(AND(ISNUMBER(SEARCH("Espeto",N449)),ISNUMBER(SEARCH("Santana",N449))),"SIM","")</f>
        <v/>
      </c>
      <c r="X449" s="99">
        <f>IF(AND(ISNUMBER(SEARCH("Espeto",N449)),ISNUMBER(SEARCH("André",N449))),"SIM","")</f>
        <v/>
      </c>
      <c r="Y449" s="99">
        <f>IF(AND(ISNUMBER(SEARCH("Delivery",N449)),ISNUMBER(SEARCH("Carin",N449))),"SIM","")</f>
        <v/>
      </c>
      <c r="Z449" s="99">
        <f>IF(AND(ISNUMBER(SEARCH("Delivery",N449)),ISNUMBER(SEARCH("Lapa",N449))),"SIM","")</f>
        <v/>
      </c>
      <c r="AA449" s="99">
        <f>IF(AND(ISNUMBER(SEARCH("Delivery",N449)),ISNUMBER(SEARCH("Tatuapé",N449))),"SIM","")</f>
        <v/>
      </c>
      <c r="AB449" s="99">
        <f>IF(AND(ISNUMBER(SEARCH("Delivery",N449)),ISNUMBER(SEARCH("Pavão",N449))),"SIM","")</f>
        <v/>
      </c>
      <c r="AC449" s="99">
        <f>IF(AND(ISNUMBER(SEARCH("Delivery",N449)),ISNUMBER(SEARCH("Chac",N449))),"SIM","")</f>
        <v/>
      </c>
      <c r="AD449" s="99">
        <f>IF(AND(ISNUMBER(SEARCH("Delivery",N449)),ISNUMBER(SEARCH("Madalena",N449))),"SIM","")</f>
        <v/>
      </c>
      <c r="AE449" s="99">
        <f>IF(AND(ISNUMBER(SEARCH("Delivery",N449)),ISNUMBER(SEARCH("Mariana",N449))),"SIM","")</f>
        <v/>
      </c>
      <c r="AF449" s="99">
        <f>IF(AND(ISNUMBER(SEARCH("Delivery",N449)),ISNUMBER(SEARCH("Perdizes",N449))),"SIM","")</f>
        <v/>
      </c>
      <c r="AG449" s="99">
        <f>IF(AND(ISNUMBER(SEARCH("Delivery",N449)),ISNUMBER(SEARCH("Santana",N449))),"SIM","")</f>
        <v/>
      </c>
      <c r="AH449" s="99">
        <f>IF(AND(ISNUMBER(SEARCH("Delivery",N449)),ISNUMBER(SEARCH("André",N449))),"SIM","")</f>
        <v/>
      </c>
      <c r="AI449" s="99">
        <f>IF(ISNUMBER(SEARCH("Interlagos",N449)),"SIM","")</f>
        <v/>
      </c>
      <c r="AJ449" s="99">
        <f>IF(ISNUMBER(SEARCH("Quiosque",N449)),"SIM","")</f>
        <v/>
      </c>
      <c r="AK449" s="101" t="n"/>
    </row>
    <row r="450">
      <c r="A450" s="88" t="inlineStr">
        <is>
          <t>Protheus</t>
        </is>
      </c>
      <c r="B450" s="89" t="inlineStr">
        <is>
          <t>001056</t>
        </is>
      </c>
      <c r="C450" s="90">
        <f>IF(B450="—","—",IFERROR(VLOOKUP(B450,_Protheus_Cadastro!$A:$B,2,FALSE),"—"))</f>
        <v/>
      </c>
      <c r="D450" s="91">
        <f>IF(B450="—",IFERROR(INDEX(_ZIG_Cadastro!$D:$D,MATCH(H450,_ZIG_Cadastro!$A:$A,0)),"Produto"),IFERROR(VLOOKUP(B450,_Protheus_Cadastro!$A:$C,3,FALSE),"—"))</f>
        <v/>
      </c>
      <c r="E450" s="91">
        <f>IF(B450="—","—",IFERROR(VLOOKUP(B450,_Protheus_Cadastro!$A:$D,4,FALSE),"—"))</f>
        <v/>
      </c>
      <c r="F450" s="91">
        <f>IF(ISERROR(VLOOKUP(B450,'Estrutura Protheus'!A:A,1,FALSE)),"Não","Sim")</f>
        <v/>
      </c>
      <c r="G450" s="92">
        <f>IFERROR(INDEX(_Protheus_Cadastro!$H:$H,MATCH(B450,_Protheus_Cadastro!$A:$A,0)),"—")</f>
        <v/>
      </c>
      <c r="H450" s="210">
        <f>IFERROR(INDEX(_ZIG_Precos!$D:$D,MATCH(I450,_ZIG_Precos!$F:$F,0)),"—")</f>
        <v/>
      </c>
      <c r="I450" s="95">
        <f>IFERROR(VLOOKUP(B450,_Protheus_Cadastro!$A:$I,9,FALSE),"—")</f>
        <v/>
      </c>
      <c r="J450" s="93">
        <f>IFERROR(INDEX(_ZIG_Cadastro!$B:$B,MATCH(I450,_ZIG_Cadastro!$A:$A,0)),IFERROR(INDEX(_Entradas_ZIG!$B:$B,MATCH(I450,_Entradas_ZIG!$C:$C,0)),"—"))</f>
        <v/>
      </c>
      <c r="K450" s="93">
        <f>IFERROR(INDEX(_ZIG_Cadastro!$C:$C,MATCH(I450,_ZIG_Cadastro!$A:$A,0)),IFERROR(INDEX(_Entradas_ZIG!$D:$D,MATCH(I450,_Entradas_ZIG!$C:$C,0)),"—"))</f>
        <v/>
      </c>
      <c r="L450" s="92">
        <f>IF(I450="","Sem SKU ZIG",IF(I450="—","Sem SKU ZIG",IF(NOT(ISERROR(MATCH(I450,_ZIG_Cadastro!$A:$A,0))),IF(EXACT(UPPER(TRIM(C450)),UPPER(TRIM(INDEX(_ZIG_Cadastro!$B:$B,MATCH(I450,_ZIG_Cadastro!$A:$A,0))))),"OK","Atencao - Nome diverge"),IF(NOT(ISERROR(MATCH(I450,_Entradas_ZIG!$C:$C,0))),"OK","Erro - SKU nao encontrado"))))</f>
        <v/>
      </c>
      <c r="M450" s="92">
        <f>IFERROR(INDEX(_ZIG_Cadastro!$G:$G,MATCH(I450,_ZIG_Cadastro!$A:$A,0)),IF(NOT(ISERROR(MATCH(I450,_Entradas_ZIG!$C:$C,0))),"Ativo","—"))</f>
        <v/>
      </c>
      <c r="N450" s="94">
        <f>IFERROR(INDEX(_ZIG_Cadastro!$E:$E,MATCH(I450,_ZIG_Cadastro!$A:$A,0)),IFERROR(INDEX(_Entradas_ZIG!$F:$F,MATCH(I450,_Entradas_ZIG!$C:$C,0)),"—"))</f>
        <v/>
      </c>
      <c r="O450" s="92">
        <f>IF(AND(ISNUMBER(SEARCH("Espeto",N450)),ISNUMBER(SEARCH("Carin",N450))),"SIM","")</f>
        <v/>
      </c>
      <c r="P450" s="92">
        <f>IF(AND(ISNUMBER(SEARCH("Espeto",N450)),ISNUMBER(SEARCH("Lapa",N450))),"SIM","")</f>
        <v/>
      </c>
      <c r="Q450" s="92">
        <f>IF(AND(ISNUMBER(SEARCH("Espeto",N450)),ISNUMBER(SEARCH("Tatuapé",N450))),"SIM","")</f>
        <v/>
      </c>
      <c r="R450" s="92">
        <f>IF(AND(ISNUMBER(SEARCH("Espeto",N450)),ISNUMBER(SEARCH("Pavão",N450))),"SIM","")</f>
        <v/>
      </c>
      <c r="S450" s="92">
        <f>IF(AND(ISNUMBER(SEARCH("Espeto",N450)),ISNUMBER(SEARCH("Chac",N450))),"SIM","")</f>
        <v/>
      </c>
      <c r="T450" s="92">
        <f>IF(AND(ISNUMBER(SEARCH("Espeto",N450)),ISNUMBER(SEARCH("Madalena",N450))),"SIM","")</f>
        <v/>
      </c>
      <c r="U450" s="92">
        <f>IF(AND(ISNUMBER(SEARCH("Espeto",N450)),ISNUMBER(SEARCH("Mariana",N450))),"SIM","")</f>
        <v/>
      </c>
      <c r="V450" s="92">
        <f>IF(AND(ISNUMBER(SEARCH("Espeto",N450)),ISNUMBER(SEARCH("Perdizes",N450))),"SIM","")</f>
        <v/>
      </c>
      <c r="W450" s="92">
        <f>IF(AND(ISNUMBER(SEARCH("Espeto",N450)),ISNUMBER(SEARCH("Santana",N450))),"SIM","")</f>
        <v/>
      </c>
      <c r="X450" s="92">
        <f>IF(AND(ISNUMBER(SEARCH("Espeto",N450)),ISNUMBER(SEARCH("André",N450))),"SIM","")</f>
        <v/>
      </c>
      <c r="Y450" s="92">
        <f>IF(AND(ISNUMBER(SEARCH("Delivery",N450)),ISNUMBER(SEARCH("Carin",N450))),"SIM","")</f>
        <v/>
      </c>
      <c r="Z450" s="92">
        <f>IF(AND(ISNUMBER(SEARCH("Delivery",N450)),ISNUMBER(SEARCH("Lapa",N450))),"SIM","")</f>
        <v/>
      </c>
      <c r="AA450" s="92">
        <f>IF(AND(ISNUMBER(SEARCH("Delivery",N450)),ISNUMBER(SEARCH("Tatuapé",N450))),"SIM","")</f>
        <v/>
      </c>
      <c r="AB450" s="92">
        <f>IF(AND(ISNUMBER(SEARCH("Delivery",N450)),ISNUMBER(SEARCH("Pavão",N450))),"SIM","")</f>
        <v/>
      </c>
      <c r="AC450" s="92">
        <f>IF(AND(ISNUMBER(SEARCH("Delivery",N450)),ISNUMBER(SEARCH("Chac",N450))),"SIM","")</f>
        <v/>
      </c>
      <c r="AD450" s="92">
        <f>IF(AND(ISNUMBER(SEARCH("Delivery",N450)),ISNUMBER(SEARCH("Madalena",N450))),"SIM","")</f>
        <v/>
      </c>
      <c r="AE450" s="92">
        <f>IF(AND(ISNUMBER(SEARCH("Delivery",N450)),ISNUMBER(SEARCH("Mariana",N450))),"SIM","")</f>
        <v/>
      </c>
      <c r="AF450" s="92">
        <f>IF(AND(ISNUMBER(SEARCH("Delivery",N450)),ISNUMBER(SEARCH("Perdizes",N450))),"SIM","")</f>
        <v/>
      </c>
      <c r="AG450" s="92">
        <f>IF(AND(ISNUMBER(SEARCH("Delivery",N450)),ISNUMBER(SEARCH("Santana",N450))),"SIM","")</f>
        <v/>
      </c>
      <c r="AH450" s="92">
        <f>IF(AND(ISNUMBER(SEARCH("Delivery",N450)),ISNUMBER(SEARCH("André",N450))),"SIM","")</f>
        <v/>
      </c>
      <c r="AI450" s="92">
        <f>IF(ISNUMBER(SEARCH("Interlagos",N450)),"SIM","")</f>
        <v/>
      </c>
      <c r="AJ450" s="92">
        <f>IF(ISNUMBER(SEARCH("Quiosque",N450)),"SIM","")</f>
        <v/>
      </c>
      <c r="AK450" s="93" t="n"/>
    </row>
    <row r="451">
      <c r="A451" s="88" t="inlineStr">
        <is>
          <t>Protheus</t>
        </is>
      </c>
      <c r="B451" s="96" t="inlineStr">
        <is>
          <t>002239</t>
        </is>
      </c>
      <c r="C451" s="97">
        <f>IF(B451="—","—",IFERROR(VLOOKUP(B451,_Protheus_Cadastro!$A:$B,2,FALSE),"—"))</f>
        <v/>
      </c>
      <c r="D451" s="98">
        <f>IF(B451="—",IFERROR(INDEX(_ZIG_Cadastro!$D:$D,MATCH(H451,_ZIG_Cadastro!$A:$A,0)),"Produto"),IFERROR(VLOOKUP(B451,_Protheus_Cadastro!$A:$C,3,FALSE),"—"))</f>
        <v/>
      </c>
      <c r="E451" s="98">
        <f>IF(B451="—","—",IFERROR(VLOOKUP(B451,_Protheus_Cadastro!$A:$D,4,FALSE),"—"))</f>
        <v/>
      </c>
      <c r="F451" s="98">
        <f>IF(ISERROR(VLOOKUP(B451,'Estrutura Protheus'!A:A,1,FALSE)),"Não","Sim")</f>
        <v/>
      </c>
      <c r="G451" s="99">
        <f>IFERROR(INDEX(_Protheus_Cadastro!$H:$H,MATCH(B451,_Protheus_Cadastro!$A:$A,0)),"—")</f>
        <v/>
      </c>
      <c r="H451" s="211">
        <f>IFERROR(INDEX(_ZIG_Precos!$D:$D,MATCH(I451,_ZIG_Precos!$F:$F,0)),"—")</f>
        <v/>
      </c>
      <c r="I451" s="103">
        <f>IFERROR(VLOOKUP(B451,_Protheus_Cadastro!$A:$I,9,FALSE),"—")</f>
        <v/>
      </c>
      <c r="J451" s="101">
        <f>IFERROR(INDEX(_ZIG_Cadastro!$B:$B,MATCH(I451,_ZIG_Cadastro!$A:$A,0)),IFERROR(INDEX(_Entradas_ZIG!$B:$B,MATCH(I451,_Entradas_ZIG!$C:$C,0)),"—"))</f>
        <v/>
      </c>
      <c r="K451" s="101">
        <f>IFERROR(INDEX(_ZIG_Cadastro!$C:$C,MATCH(I451,_ZIG_Cadastro!$A:$A,0)),IFERROR(INDEX(_Entradas_ZIG!$D:$D,MATCH(I451,_Entradas_ZIG!$C:$C,0)),"—"))</f>
        <v/>
      </c>
      <c r="L451" s="99">
        <f>IF(I451="","Sem SKU ZIG",IF(I451="—","Sem SKU ZIG",IF(NOT(ISERROR(MATCH(I451,_ZIG_Cadastro!$A:$A,0))),IF(EXACT(UPPER(TRIM(C451)),UPPER(TRIM(INDEX(_ZIG_Cadastro!$B:$B,MATCH(I451,_ZIG_Cadastro!$A:$A,0))))),"OK","Atencao - Nome diverge"),IF(NOT(ISERROR(MATCH(I451,_Entradas_ZIG!$C:$C,0))),"OK","Erro - SKU nao encontrado"))))</f>
        <v/>
      </c>
      <c r="M451" s="99">
        <f>IFERROR(INDEX(_ZIG_Cadastro!$G:$G,MATCH(I451,_ZIG_Cadastro!$A:$A,0)),IF(NOT(ISERROR(MATCH(I451,_Entradas_ZIG!$C:$C,0))),"Ativo","—"))</f>
        <v/>
      </c>
      <c r="N451" s="102">
        <f>IFERROR(INDEX(_ZIG_Cadastro!$E:$E,MATCH(I451,_ZIG_Cadastro!$A:$A,0)),IFERROR(INDEX(_Entradas_ZIG!$F:$F,MATCH(I451,_Entradas_ZIG!$C:$C,0)),"—"))</f>
        <v/>
      </c>
      <c r="O451" s="99">
        <f>IF(AND(ISNUMBER(SEARCH("Espeto",N451)),ISNUMBER(SEARCH("Carin",N451))),"SIM","")</f>
        <v/>
      </c>
      <c r="P451" s="99">
        <f>IF(AND(ISNUMBER(SEARCH("Espeto",N451)),ISNUMBER(SEARCH("Lapa",N451))),"SIM","")</f>
        <v/>
      </c>
      <c r="Q451" s="99">
        <f>IF(AND(ISNUMBER(SEARCH("Espeto",N451)),ISNUMBER(SEARCH("Tatuapé",N451))),"SIM","")</f>
        <v/>
      </c>
      <c r="R451" s="99">
        <f>IF(AND(ISNUMBER(SEARCH("Espeto",N451)),ISNUMBER(SEARCH("Pavão",N451))),"SIM","")</f>
        <v/>
      </c>
      <c r="S451" s="99">
        <f>IF(AND(ISNUMBER(SEARCH("Espeto",N451)),ISNUMBER(SEARCH("Chac",N451))),"SIM","")</f>
        <v/>
      </c>
      <c r="T451" s="99">
        <f>IF(AND(ISNUMBER(SEARCH("Espeto",N451)),ISNUMBER(SEARCH("Madalena",N451))),"SIM","")</f>
        <v/>
      </c>
      <c r="U451" s="99">
        <f>IF(AND(ISNUMBER(SEARCH("Espeto",N451)),ISNUMBER(SEARCH("Mariana",N451))),"SIM","")</f>
        <v/>
      </c>
      <c r="V451" s="99">
        <f>IF(AND(ISNUMBER(SEARCH("Espeto",N451)),ISNUMBER(SEARCH("Perdizes",N451))),"SIM","")</f>
        <v/>
      </c>
      <c r="W451" s="99">
        <f>IF(AND(ISNUMBER(SEARCH("Espeto",N451)),ISNUMBER(SEARCH("Santana",N451))),"SIM","")</f>
        <v/>
      </c>
      <c r="X451" s="99">
        <f>IF(AND(ISNUMBER(SEARCH("Espeto",N451)),ISNUMBER(SEARCH("André",N451))),"SIM","")</f>
        <v/>
      </c>
      <c r="Y451" s="99">
        <f>IF(AND(ISNUMBER(SEARCH("Delivery",N451)),ISNUMBER(SEARCH("Carin",N451))),"SIM","")</f>
        <v/>
      </c>
      <c r="Z451" s="99">
        <f>IF(AND(ISNUMBER(SEARCH("Delivery",N451)),ISNUMBER(SEARCH("Lapa",N451))),"SIM","")</f>
        <v/>
      </c>
      <c r="AA451" s="99">
        <f>IF(AND(ISNUMBER(SEARCH("Delivery",N451)),ISNUMBER(SEARCH("Tatuapé",N451))),"SIM","")</f>
        <v/>
      </c>
      <c r="AB451" s="99">
        <f>IF(AND(ISNUMBER(SEARCH("Delivery",N451)),ISNUMBER(SEARCH("Pavão",N451))),"SIM","")</f>
        <v/>
      </c>
      <c r="AC451" s="99">
        <f>IF(AND(ISNUMBER(SEARCH("Delivery",N451)),ISNUMBER(SEARCH("Chac",N451))),"SIM","")</f>
        <v/>
      </c>
      <c r="AD451" s="99">
        <f>IF(AND(ISNUMBER(SEARCH("Delivery",N451)),ISNUMBER(SEARCH("Madalena",N451))),"SIM","")</f>
        <v/>
      </c>
      <c r="AE451" s="99">
        <f>IF(AND(ISNUMBER(SEARCH("Delivery",N451)),ISNUMBER(SEARCH("Mariana",N451))),"SIM","")</f>
        <v/>
      </c>
      <c r="AF451" s="99">
        <f>IF(AND(ISNUMBER(SEARCH("Delivery",N451)),ISNUMBER(SEARCH("Perdizes",N451))),"SIM","")</f>
        <v/>
      </c>
      <c r="AG451" s="99">
        <f>IF(AND(ISNUMBER(SEARCH("Delivery",N451)),ISNUMBER(SEARCH("Santana",N451))),"SIM","")</f>
        <v/>
      </c>
      <c r="AH451" s="99">
        <f>IF(AND(ISNUMBER(SEARCH("Delivery",N451)),ISNUMBER(SEARCH("André",N451))),"SIM","")</f>
        <v/>
      </c>
      <c r="AI451" s="99">
        <f>IF(ISNUMBER(SEARCH("Interlagos",N451)),"SIM","")</f>
        <v/>
      </c>
      <c r="AJ451" s="99">
        <f>IF(ISNUMBER(SEARCH("Quiosque",N451)),"SIM","")</f>
        <v/>
      </c>
      <c r="AK451" s="101" t="n"/>
    </row>
    <row r="452">
      <c r="A452" s="88" t="inlineStr">
        <is>
          <t>Protheus</t>
        </is>
      </c>
      <c r="B452" s="89" t="inlineStr">
        <is>
          <t>002262</t>
        </is>
      </c>
      <c r="C452" s="90">
        <f>IF(B452="—","—",IFERROR(VLOOKUP(B452,_Protheus_Cadastro!$A:$B,2,FALSE),"—"))</f>
        <v/>
      </c>
      <c r="D452" s="91">
        <f>IF(B452="—",IFERROR(INDEX(_ZIG_Cadastro!$D:$D,MATCH(H452,_ZIG_Cadastro!$A:$A,0)),"Produto"),IFERROR(VLOOKUP(B452,_Protheus_Cadastro!$A:$C,3,FALSE),"—"))</f>
        <v/>
      </c>
      <c r="E452" s="91">
        <f>IF(B452="—","—",IFERROR(VLOOKUP(B452,_Protheus_Cadastro!$A:$D,4,FALSE),"—"))</f>
        <v/>
      </c>
      <c r="F452" s="91">
        <f>IF(ISERROR(VLOOKUP(B452,'Estrutura Protheus'!A:A,1,FALSE)),"Não","Sim")</f>
        <v/>
      </c>
      <c r="G452" s="92">
        <f>IFERROR(INDEX(_Protheus_Cadastro!$H:$H,MATCH(B452,_Protheus_Cadastro!$A:$A,0)),"—")</f>
        <v/>
      </c>
      <c r="H452" s="210">
        <f>IFERROR(INDEX(_ZIG_Precos!$D:$D,MATCH(I452,_ZIG_Precos!$F:$F,0)),"—")</f>
        <v/>
      </c>
      <c r="I452" s="95">
        <f>IFERROR(VLOOKUP(B452,_Protheus_Cadastro!$A:$I,9,FALSE),"—")</f>
        <v/>
      </c>
      <c r="J452" s="93">
        <f>IFERROR(INDEX(_ZIG_Cadastro!$B:$B,MATCH(I452,_ZIG_Cadastro!$A:$A,0)),IFERROR(INDEX(_Entradas_ZIG!$B:$B,MATCH(I452,_Entradas_ZIG!$C:$C,0)),"—"))</f>
        <v/>
      </c>
      <c r="K452" s="93">
        <f>IFERROR(INDEX(_ZIG_Cadastro!$C:$C,MATCH(I452,_ZIG_Cadastro!$A:$A,0)),IFERROR(INDEX(_Entradas_ZIG!$D:$D,MATCH(I452,_Entradas_ZIG!$C:$C,0)),"—"))</f>
        <v/>
      </c>
      <c r="L452" s="92">
        <f>IF(I452="","Sem SKU ZIG",IF(I452="—","Sem SKU ZIG",IF(NOT(ISERROR(MATCH(I452,_ZIG_Cadastro!$A:$A,0))),IF(EXACT(UPPER(TRIM(C452)),UPPER(TRIM(INDEX(_ZIG_Cadastro!$B:$B,MATCH(I452,_ZIG_Cadastro!$A:$A,0))))),"OK","Atencao - Nome diverge"),IF(NOT(ISERROR(MATCH(I452,_Entradas_ZIG!$C:$C,0))),"OK","Erro - SKU nao encontrado"))))</f>
        <v/>
      </c>
      <c r="M452" s="92">
        <f>IFERROR(INDEX(_ZIG_Cadastro!$G:$G,MATCH(I452,_ZIG_Cadastro!$A:$A,0)),IF(NOT(ISERROR(MATCH(I452,_Entradas_ZIG!$C:$C,0))),"Ativo","—"))</f>
        <v/>
      </c>
      <c r="N452" s="94">
        <f>IFERROR(INDEX(_ZIG_Cadastro!$E:$E,MATCH(I452,_ZIG_Cadastro!$A:$A,0)),IFERROR(INDEX(_Entradas_ZIG!$F:$F,MATCH(I452,_Entradas_ZIG!$C:$C,0)),"—"))</f>
        <v/>
      </c>
      <c r="O452" s="92">
        <f>IF(AND(ISNUMBER(SEARCH("Espeto",N452)),ISNUMBER(SEARCH("Carin",N452))),"SIM","")</f>
        <v/>
      </c>
      <c r="P452" s="92">
        <f>IF(AND(ISNUMBER(SEARCH("Espeto",N452)),ISNUMBER(SEARCH("Lapa",N452))),"SIM","")</f>
        <v/>
      </c>
      <c r="Q452" s="92">
        <f>IF(AND(ISNUMBER(SEARCH("Espeto",N452)),ISNUMBER(SEARCH("Tatuapé",N452))),"SIM","")</f>
        <v/>
      </c>
      <c r="R452" s="92">
        <f>IF(AND(ISNUMBER(SEARCH("Espeto",N452)),ISNUMBER(SEARCH("Pavão",N452))),"SIM","")</f>
        <v/>
      </c>
      <c r="S452" s="92">
        <f>IF(AND(ISNUMBER(SEARCH("Espeto",N452)),ISNUMBER(SEARCH("Chac",N452))),"SIM","")</f>
        <v/>
      </c>
      <c r="T452" s="92">
        <f>IF(AND(ISNUMBER(SEARCH("Espeto",N452)),ISNUMBER(SEARCH("Madalena",N452))),"SIM","")</f>
        <v/>
      </c>
      <c r="U452" s="92">
        <f>IF(AND(ISNUMBER(SEARCH("Espeto",N452)),ISNUMBER(SEARCH("Mariana",N452))),"SIM","")</f>
        <v/>
      </c>
      <c r="V452" s="92">
        <f>IF(AND(ISNUMBER(SEARCH("Espeto",N452)),ISNUMBER(SEARCH("Perdizes",N452))),"SIM","")</f>
        <v/>
      </c>
      <c r="W452" s="92">
        <f>IF(AND(ISNUMBER(SEARCH("Espeto",N452)),ISNUMBER(SEARCH("Santana",N452))),"SIM","")</f>
        <v/>
      </c>
      <c r="X452" s="92">
        <f>IF(AND(ISNUMBER(SEARCH("Espeto",N452)),ISNUMBER(SEARCH("André",N452))),"SIM","")</f>
        <v/>
      </c>
      <c r="Y452" s="92">
        <f>IF(AND(ISNUMBER(SEARCH("Delivery",N452)),ISNUMBER(SEARCH("Carin",N452))),"SIM","")</f>
        <v/>
      </c>
      <c r="Z452" s="92">
        <f>IF(AND(ISNUMBER(SEARCH("Delivery",N452)),ISNUMBER(SEARCH("Lapa",N452))),"SIM","")</f>
        <v/>
      </c>
      <c r="AA452" s="92">
        <f>IF(AND(ISNUMBER(SEARCH("Delivery",N452)),ISNUMBER(SEARCH("Tatuapé",N452))),"SIM","")</f>
        <v/>
      </c>
      <c r="AB452" s="92">
        <f>IF(AND(ISNUMBER(SEARCH("Delivery",N452)),ISNUMBER(SEARCH("Pavão",N452))),"SIM","")</f>
        <v/>
      </c>
      <c r="AC452" s="92">
        <f>IF(AND(ISNUMBER(SEARCH("Delivery",N452)),ISNUMBER(SEARCH("Chac",N452))),"SIM","")</f>
        <v/>
      </c>
      <c r="AD452" s="92">
        <f>IF(AND(ISNUMBER(SEARCH("Delivery",N452)),ISNUMBER(SEARCH("Madalena",N452))),"SIM","")</f>
        <v/>
      </c>
      <c r="AE452" s="92">
        <f>IF(AND(ISNUMBER(SEARCH("Delivery",N452)),ISNUMBER(SEARCH("Mariana",N452))),"SIM","")</f>
        <v/>
      </c>
      <c r="AF452" s="92">
        <f>IF(AND(ISNUMBER(SEARCH("Delivery",N452)),ISNUMBER(SEARCH("Perdizes",N452))),"SIM","")</f>
        <v/>
      </c>
      <c r="AG452" s="92">
        <f>IF(AND(ISNUMBER(SEARCH("Delivery",N452)),ISNUMBER(SEARCH("Santana",N452))),"SIM","")</f>
        <v/>
      </c>
      <c r="AH452" s="92">
        <f>IF(AND(ISNUMBER(SEARCH("Delivery",N452)),ISNUMBER(SEARCH("André",N452))),"SIM","")</f>
        <v/>
      </c>
      <c r="AI452" s="92">
        <f>IF(ISNUMBER(SEARCH("Interlagos",N452)),"SIM","")</f>
        <v/>
      </c>
      <c r="AJ452" s="92">
        <f>IF(ISNUMBER(SEARCH("Quiosque",N452)),"SIM","")</f>
        <v/>
      </c>
      <c r="AK452" s="93" t="n"/>
    </row>
    <row r="453">
      <c r="A453" s="88" t="inlineStr">
        <is>
          <t>Protheus</t>
        </is>
      </c>
      <c r="B453" s="96" t="inlineStr">
        <is>
          <t>001943</t>
        </is>
      </c>
      <c r="C453" s="97">
        <f>IF(B453="—","—",IFERROR(VLOOKUP(B453,_Protheus_Cadastro!$A:$B,2,FALSE),"—"))</f>
        <v/>
      </c>
      <c r="D453" s="98">
        <f>IF(B453="—",IFERROR(INDEX(_ZIG_Cadastro!$D:$D,MATCH(H453,_ZIG_Cadastro!$A:$A,0)),"Produto"),IFERROR(VLOOKUP(B453,_Protheus_Cadastro!$A:$C,3,FALSE),"—"))</f>
        <v/>
      </c>
      <c r="E453" s="98">
        <f>IF(B453="—","—",IFERROR(VLOOKUP(B453,_Protheus_Cadastro!$A:$D,4,FALSE),"—"))</f>
        <v/>
      </c>
      <c r="F453" s="98">
        <f>IF(ISERROR(VLOOKUP(B453,'Estrutura Protheus'!A:A,1,FALSE)),"Não","Sim")</f>
        <v/>
      </c>
      <c r="G453" s="99">
        <f>IFERROR(INDEX(_Protheus_Cadastro!$H:$H,MATCH(B453,_Protheus_Cadastro!$A:$A,0)),"—")</f>
        <v/>
      </c>
      <c r="H453" s="211">
        <f>IFERROR(INDEX(_ZIG_Precos!$D:$D,MATCH(I453,_ZIG_Precos!$F:$F,0)),"—")</f>
        <v/>
      </c>
      <c r="I453" s="103">
        <f>IFERROR(VLOOKUP(B453,_Protheus_Cadastro!$A:$I,9,FALSE),"—")</f>
        <v/>
      </c>
      <c r="J453" s="101">
        <f>IFERROR(INDEX(_ZIG_Cadastro!$B:$B,MATCH(I453,_ZIG_Cadastro!$A:$A,0)),IFERROR(INDEX(_Entradas_ZIG!$B:$B,MATCH(I453,_Entradas_ZIG!$C:$C,0)),"—"))</f>
        <v/>
      </c>
      <c r="K453" s="101">
        <f>IFERROR(INDEX(_ZIG_Cadastro!$C:$C,MATCH(I453,_ZIG_Cadastro!$A:$A,0)),IFERROR(INDEX(_Entradas_ZIG!$D:$D,MATCH(I453,_Entradas_ZIG!$C:$C,0)),"—"))</f>
        <v/>
      </c>
      <c r="L453" s="99">
        <f>IF(I453="","Sem SKU ZIG",IF(I453="—","Sem SKU ZIG",IF(NOT(ISERROR(MATCH(I453,_ZIG_Cadastro!$A:$A,0))),IF(EXACT(UPPER(TRIM(C453)),UPPER(TRIM(INDEX(_ZIG_Cadastro!$B:$B,MATCH(I453,_ZIG_Cadastro!$A:$A,0))))),"OK","Atencao - Nome diverge"),IF(NOT(ISERROR(MATCH(I453,_Entradas_ZIG!$C:$C,0))),"OK","Erro - SKU nao encontrado"))))</f>
        <v/>
      </c>
      <c r="M453" s="99">
        <f>IFERROR(INDEX(_ZIG_Cadastro!$G:$G,MATCH(I453,_ZIG_Cadastro!$A:$A,0)),IF(NOT(ISERROR(MATCH(I453,_Entradas_ZIG!$C:$C,0))),"Ativo","—"))</f>
        <v/>
      </c>
      <c r="N453" s="102">
        <f>IFERROR(INDEX(_ZIG_Cadastro!$E:$E,MATCH(I453,_ZIG_Cadastro!$A:$A,0)),IFERROR(INDEX(_Entradas_ZIG!$F:$F,MATCH(I453,_Entradas_ZIG!$C:$C,0)),"—"))</f>
        <v/>
      </c>
      <c r="O453" s="99">
        <f>IF(AND(ISNUMBER(SEARCH("Espeto",N453)),ISNUMBER(SEARCH("Carin",N453))),"SIM","")</f>
        <v/>
      </c>
      <c r="P453" s="99">
        <f>IF(AND(ISNUMBER(SEARCH("Espeto",N453)),ISNUMBER(SEARCH("Lapa",N453))),"SIM","")</f>
        <v/>
      </c>
      <c r="Q453" s="99">
        <f>IF(AND(ISNUMBER(SEARCH("Espeto",N453)),ISNUMBER(SEARCH("Tatuapé",N453))),"SIM","")</f>
        <v/>
      </c>
      <c r="R453" s="99">
        <f>IF(AND(ISNUMBER(SEARCH("Espeto",N453)),ISNUMBER(SEARCH("Pavão",N453))),"SIM","")</f>
        <v/>
      </c>
      <c r="S453" s="99">
        <f>IF(AND(ISNUMBER(SEARCH("Espeto",N453)),ISNUMBER(SEARCH("Chac",N453))),"SIM","")</f>
        <v/>
      </c>
      <c r="T453" s="99">
        <f>IF(AND(ISNUMBER(SEARCH("Espeto",N453)),ISNUMBER(SEARCH("Madalena",N453))),"SIM","")</f>
        <v/>
      </c>
      <c r="U453" s="99">
        <f>IF(AND(ISNUMBER(SEARCH("Espeto",N453)),ISNUMBER(SEARCH("Mariana",N453))),"SIM","")</f>
        <v/>
      </c>
      <c r="V453" s="99">
        <f>IF(AND(ISNUMBER(SEARCH("Espeto",N453)),ISNUMBER(SEARCH("Perdizes",N453))),"SIM","")</f>
        <v/>
      </c>
      <c r="W453" s="99">
        <f>IF(AND(ISNUMBER(SEARCH("Espeto",N453)),ISNUMBER(SEARCH("Santana",N453))),"SIM","")</f>
        <v/>
      </c>
      <c r="X453" s="99">
        <f>IF(AND(ISNUMBER(SEARCH("Espeto",N453)),ISNUMBER(SEARCH("André",N453))),"SIM","")</f>
        <v/>
      </c>
      <c r="Y453" s="99">
        <f>IF(AND(ISNUMBER(SEARCH("Delivery",N453)),ISNUMBER(SEARCH("Carin",N453))),"SIM","")</f>
        <v/>
      </c>
      <c r="Z453" s="99">
        <f>IF(AND(ISNUMBER(SEARCH("Delivery",N453)),ISNUMBER(SEARCH("Lapa",N453))),"SIM","")</f>
        <v/>
      </c>
      <c r="AA453" s="99">
        <f>IF(AND(ISNUMBER(SEARCH("Delivery",N453)),ISNUMBER(SEARCH("Tatuapé",N453))),"SIM","")</f>
        <v/>
      </c>
      <c r="AB453" s="99">
        <f>IF(AND(ISNUMBER(SEARCH("Delivery",N453)),ISNUMBER(SEARCH("Pavão",N453))),"SIM","")</f>
        <v/>
      </c>
      <c r="AC453" s="99">
        <f>IF(AND(ISNUMBER(SEARCH("Delivery",N453)),ISNUMBER(SEARCH("Chac",N453))),"SIM","")</f>
        <v/>
      </c>
      <c r="AD453" s="99">
        <f>IF(AND(ISNUMBER(SEARCH("Delivery",N453)),ISNUMBER(SEARCH("Madalena",N453))),"SIM","")</f>
        <v/>
      </c>
      <c r="AE453" s="99">
        <f>IF(AND(ISNUMBER(SEARCH("Delivery",N453)),ISNUMBER(SEARCH("Mariana",N453))),"SIM","")</f>
        <v/>
      </c>
      <c r="AF453" s="99">
        <f>IF(AND(ISNUMBER(SEARCH("Delivery",N453)),ISNUMBER(SEARCH("Perdizes",N453))),"SIM","")</f>
        <v/>
      </c>
      <c r="AG453" s="99">
        <f>IF(AND(ISNUMBER(SEARCH("Delivery",N453)),ISNUMBER(SEARCH("Santana",N453))),"SIM","")</f>
        <v/>
      </c>
      <c r="AH453" s="99">
        <f>IF(AND(ISNUMBER(SEARCH("Delivery",N453)),ISNUMBER(SEARCH("André",N453))),"SIM","")</f>
        <v/>
      </c>
      <c r="AI453" s="99">
        <f>IF(ISNUMBER(SEARCH("Interlagos",N453)),"SIM","")</f>
        <v/>
      </c>
      <c r="AJ453" s="99">
        <f>IF(ISNUMBER(SEARCH("Quiosque",N453)),"SIM","")</f>
        <v/>
      </c>
      <c r="AK453" s="101" t="n"/>
    </row>
    <row r="454">
      <c r="A454" s="88" t="inlineStr">
        <is>
          <t>Protheus</t>
        </is>
      </c>
      <c r="B454" s="96" t="inlineStr">
        <is>
          <t>002079</t>
        </is>
      </c>
      <c r="C454" s="97">
        <f>IF(B454="—","—",IFERROR(VLOOKUP(B454,_Protheus_Cadastro!$A:$B,2,FALSE),"—"))</f>
        <v/>
      </c>
      <c r="D454" s="98">
        <f>IF(B454="—",IFERROR(INDEX(_ZIG_Cadastro!$D:$D,MATCH(H454,_ZIG_Cadastro!$A:$A,0)),"Produto"),IFERROR(VLOOKUP(B454,_Protheus_Cadastro!$A:$C,3,FALSE),"—"))</f>
        <v/>
      </c>
      <c r="E454" s="98">
        <f>IF(B454="—","—",IFERROR(VLOOKUP(B454,_Protheus_Cadastro!$A:$D,4,FALSE),"—"))</f>
        <v/>
      </c>
      <c r="F454" s="98">
        <f>IF(ISERROR(VLOOKUP(B454,'Estrutura Protheus'!A:A,1,FALSE)),"Não","Sim")</f>
        <v/>
      </c>
      <c r="G454" s="99">
        <f>IFERROR(INDEX(_Protheus_Cadastro!$H:$H,MATCH(B454,_Protheus_Cadastro!$A:$A,0)),"—")</f>
        <v/>
      </c>
      <c r="H454" s="211">
        <f>IFERROR(INDEX(_ZIG_Precos!$D:$D,MATCH(I454,_ZIG_Precos!$F:$F,0)),"—")</f>
        <v/>
      </c>
      <c r="I454" s="103">
        <f>IFERROR(VLOOKUP(B454,_Protheus_Cadastro!$A:$I,9,FALSE),"—")</f>
        <v/>
      </c>
      <c r="J454" s="101">
        <f>IFERROR(INDEX(_ZIG_Cadastro!$B:$B,MATCH(I454,_ZIG_Cadastro!$A:$A,0)),IFERROR(INDEX(_Entradas_ZIG!$B:$B,MATCH(I454,_Entradas_ZIG!$C:$C,0)),"—"))</f>
        <v/>
      </c>
      <c r="K454" s="101">
        <f>IFERROR(INDEX(_ZIG_Cadastro!$C:$C,MATCH(I454,_ZIG_Cadastro!$A:$A,0)),IFERROR(INDEX(_Entradas_ZIG!$D:$D,MATCH(I454,_Entradas_ZIG!$C:$C,0)),"—"))</f>
        <v/>
      </c>
      <c r="L454" s="99">
        <f>IF(I454="","Sem SKU ZIG",IF(I454="—","Sem SKU ZIG",IF(NOT(ISERROR(MATCH(I454,_ZIG_Cadastro!$A:$A,0))),IF(EXACT(UPPER(TRIM(C454)),UPPER(TRIM(INDEX(_ZIG_Cadastro!$B:$B,MATCH(I454,_ZIG_Cadastro!$A:$A,0))))),"OK","Atencao - Nome diverge"),IF(NOT(ISERROR(MATCH(I454,_Entradas_ZIG!$C:$C,0))),"OK","Erro - SKU nao encontrado"))))</f>
        <v/>
      </c>
      <c r="M454" s="99">
        <f>IFERROR(INDEX(_ZIG_Cadastro!$G:$G,MATCH(I454,_ZIG_Cadastro!$A:$A,0)),IF(NOT(ISERROR(MATCH(I454,_Entradas_ZIG!$C:$C,0))),"Ativo","—"))</f>
        <v/>
      </c>
      <c r="N454" s="102">
        <f>IFERROR(INDEX(_ZIG_Cadastro!$E:$E,MATCH(I454,_ZIG_Cadastro!$A:$A,0)),IFERROR(INDEX(_Entradas_ZIG!$F:$F,MATCH(I454,_Entradas_ZIG!$C:$C,0)),"—"))</f>
        <v/>
      </c>
      <c r="O454" s="99">
        <f>IF(AND(ISNUMBER(SEARCH("Espeto",N454)),ISNUMBER(SEARCH("Carin",N454))),"SIM","")</f>
        <v/>
      </c>
      <c r="P454" s="99">
        <f>IF(AND(ISNUMBER(SEARCH("Espeto",N454)),ISNUMBER(SEARCH("Lapa",N454))),"SIM","")</f>
        <v/>
      </c>
      <c r="Q454" s="99">
        <f>IF(AND(ISNUMBER(SEARCH("Espeto",N454)),ISNUMBER(SEARCH("Tatuapé",N454))),"SIM","")</f>
        <v/>
      </c>
      <c r="R454" s="99">
        <f>IF(AND(ISNUMBER(SEARCH("Espeto",N454)),ISNUMBER(SEARCH("Pavão",N454))),"SIM","")</f>
        <v/>
      </c>
      <c r="S454" s="99">
        <f>IF(AND(ISNUMBER(SEARCH("Espeto",N454)),ISNUMBER(SEARCH("Chac",N454))),"SIM","")</f>
        <v/>
      </c>
      <c r="T454" s="99">
        <f>IF(AND(ISNUMBER(SEARCH("Espeto",N454)),ISNUMBER(SEARCH("Madalena",N454))),"SIM","")</f>
        <v/>
      </c>
      <c r="U454" s="99">
        <f>IF(AND(ISNUMBER(SEARCH("Espeto",N454)),ISNUMBER(SEARCH("Mariana",N454))),"SIM","")</f>
        <v/>
      </c>
      <c r="V454" s="99">
        <f>IF(AND(ISNUMBER(SEARCH("Espeto",N454)),ISNUMBER(SEARCH("Perdizes",N454))),"SIM","")</f>
        <v/>
      </c>
      <c r="W454" s="99">
        <f>IF(AND(ISNUMBER(SEARCH("Espeto",N454)),ISNUMBER(SEARCH("Santana",N454))),"SIM","")</f>
        <v/>
      </c>
      <c r="X454" s="99">
        <f>IF(AND(ISNUMBER(SEARCH("Espeto",N454)),ISNUMBER(SEARCH("André",N454))),"SIM","")</f>
        <v/>
      </c>
      <c r="Y454" s="99">
        <f>IF(AND(ISNUMBER(SEARCH("Delivery",N454)),ISNUMBER(SEARCH("Carin",N454))),"SIM","")</f>
        <v/>
      </c>
      <c r="Z454" s="99">
        <f>IF(AND(ISNUMBER(SEARCH("Delivery",N454)),ISNUMBER(SEARCH("Lapa",N454))),"SIM","")</f>
        <v/>
      </c>
      <c r="AA454" s="99">
        <f>IF(AND(ISNUMBER(SEARCH("Delivery",N454)),ISNUMBER(SEARCH("Tatuapé",N454))),"SIM","")</f>
        <v/>
      </c>
      <c r="AB454" s="99">
        <f>IF(AND(ISNUMBER(SEARCH("Delivery",N454)),ISNUMBER(SEARCH("Pavão",N454))),"SIM","")</f>
        <v/>
      </c>
      <c r="AC454" s="99">
        <f>IF(AND(ISNUMBER(SEARCH("Delivery",N454)),ISNUMBER(SEARCH("Chac",N454))),"SIM","")</f>
        <v/>
      </c>
      <c r="AD454" s="99">
        <f>IF(AND(ISNUMBER(SEARCH("Delivery",N454)),ISNUMBER(SEARCH("Madalena",N454))),"SIM","")</f>
        <v/>
      </c>
      <c r="AE454" s="99">
        <f>IF(AND(ISNUMBER(SEARCH("Delivery",N454)),ISNUMBER(SEARCH("Mariana",N454))),"SIM","")</f>
        <v/>
      </c>
      <c r="AF454" s="99">
        <f>IF(AND(ISNUMBER(SEARCH("Delivery",N454)),ISNUMBER(SEARCH("Perdizes",N454))),"SIM","")</f>
        <v/>
      </c>
      <c r="AG454" s="99">
        <f>IF(AND(ISNUMBER(SEARCH("Delivery",N454)),ISNUMBER(SEARCH("Santana",N454))),"SIM","")</f>
        <v/>
      </c>
      <c r="AH454" s="99">
        <f>IF(AND(ISNUMBER(SEARCH("Delivery",N454)),ISNUMBER(SEARCH("André",N454))),"SIM","")</f>
        <v/>
      </c>
      <c r="AI454" s="99">
        <f>IF(ISNUMBER(SEARCH("Interlagos",N454)),"SIM","")</f>
        <v/>
      </c>
      <c r="AJ454" s="99">
        <f>IF(ISNUMBER(SEARCH("Quiosque",N454)),"SIM","")</f>
        <v/>
      </c>
      <c r="AK454" s="101" t="n"/>
    </row>
    <row r="455">
      <c r="A455" s="88" t="inlineStr">
        <is>
          <t>Protheus</t>
        </is>
      </c>
      <c r="B455" s="89" t="inlineStr">
        <is>
          <t>002080</t>
        </is>
      </c>
      <c r="C455" s="90">
        <f>IF(B455="—","—",IFERROR(VLOOKUP(B455,_Protheus_Cadastro!$A:$B,2,FALSE),"—"))</f>
        <v/>
      </c>
      <c r="D455" s="91">
        <f>IF(B455="—",IFERROR(INDEX(_ZIG_Cadastro!$D:$D,MATCH(H455,_ZIG_Cadastro!$A:$A,0)),"Produto"),IFERROR(VLOOKUP(B455,_Protheus_Cadastro!$A:$C,3,FALSE),"—"))</f>
        <v/>
      </c>
      <c r="E455" s="91">
        <f>IF(B455="—","—",IFERROR(VLOOKUP(B455,_Protheus_Cadastro!$A:$D,4,FALSE),"—"))</f>
        <v/>
      </c>
      <c r="F455" s="91">
        <f>IF(ISERROR(VLOOKUP(B455,'Estrutura Protheus'!A:A,1,FALSE)),"Não","Sim")</f>
        <v/>
      </c>
      <c r="G455" s="92">
        <f>IFERROR(INDEX(_Protheus_Cadastro!$H:$H,MATCH(B455,_Protheus_Cadastro!$A:$A,0)),"—")</f>
        <v/>
      </c>
      <c r="H455" s="210">
        <f>IFERROR(INDEX(_ZIG_Precos!$D:$D,MATCH(I455,_ZIG_Precos!$F:$F,0)),"—")</f>
        <v/>
      </c>
      <c r="I455" s="95">
        <f>IFERROR(VLOOKUP(B455,_Protheus_Cadastro!$A:$I,9,FALSE),"—")</f>
        <v/>
      </c>
      <c r="J455" s="93">
        <f>IFERROR(INDEX(_ZIG_Cadastro!$B:$B,MATCH(I455,_ZIG_Cadastro!$A:$A,0)),IFERROR(INDEX(_Entradas_ZIG!$B:$B,MATCH(I455,_Entradas_ZIG!$C:$C,0)),"—"))</f>
        <v/>
      </c>
      <c r="K455" s="93">
        <f>IFERROR(INDEX(_ZIG_Cadastro!$C:$C,MATCH(I455,_ZIG_Cadastro!$A:$A,0)),IFERROR(INDEX(_Entradas_ZIG!$D:$D,MATCH(I455,_Entradas_ZIG!$C:$C,0)),"—"))</f>
        <v/>
      </c>
      <c r="L455" s="92">
        <f>IF(I455="","Sem SKU ZIG",IF(I455="—","Sem SKU ZIG",IF(NOT(ISERROR(MATCH(I455,_ZIG_Cadastro!$A:$A,0))),IF(EXACT(UPPER(TRIM(C455)),UPPER(TRIM(INDEX(_ZIG_Cadastro!$B:$B,MATCH(I455,_ZIG_Cadastro!$A:$A,0))))),"OK","Atencao - Nome diverge"),IF(NOT(ISERROR(MATCH(I455,_Entradas_ZIG!$C:$C,0))),"OK","Erro - SKU nao encontrado"))))</f>
        <v/>
      </c>
      <c r="M455" s="92">
        <f>IFERROR(INDEX(_ZIG_Cadastro!$G:$G,MATCH(I455,_ZIG_Cadastro!$A:$A,0)),IF(NOT(ISERROR(MATCH(I455,_Entradas_ZIG!$C:$C,0))),"Ativo","—"))</f>
        <v/>
      </c>
      <c r="N455" s="94">
        <f>IFERROR(INDEX(_ZIG_Cadastro!$E:$E,MATCH(I455,_ZIG_Cadastro!$A:$A,0)),IFERROR(INDEX(_Entradas_ZIG!$F:$F,MATCH(I455,_Entradas_ZIG!$C:$C,0)),"—"))</f>
        <v/>
      </c>
      <c r="O455" s="92">
        <f>IF(AND(ISNUMBER(SEARCH("Espeto",N455)),ISNUMBER(SEARCH("Carin",N455))),"SIM","")</f>
        <v/>
      </c>
      <c r="P455" s="92">
        <f>IF(AND(ISNUMBER(SEARCH("Espeto",N455)),ISNUMBER(SEARCH("Lapa",N455))),"SIM","")</f>
        <v/>
      </c>
      <c r="Q455" s="92">
        <f>IF(AND(ISNUMBER(SEARCH("Espeto",N455)),ISNUMBER(SEARCH("Tatuapé",N455))),"SIM","")</f>
        <v/>
      </c>
      <c r="R455" s="92">
        <f>IF(AND(ISNUMBER(SEARCH("Espeto",N455)),ISNUMBER(SEARCH("Pavão",N455))),"SIM","")</f>
        <v/>
      </c>
      <c r="S455" s="92">
        <f>IF(AND(ISNUMBER(SEARCH("Espeto",N455)),ISNUMBER(SEARCH("Chac",N455))),"SIM","")</f>
        <v/>
      </c>
      <c r="T455" s="92">
        <f>IF(AND(ISNUMBER(SEARCH("Espeto",N455)),ISNUMBER(SEARCH("Madalena",N455))),"SIM","")</f>
        <v/>
      </c>
      <c r="U455" s="92">
        <f>IF(AND(ISNUMBER(SEARCH("Espeto",N455)),ISNUMBER(SEARCH("Mariana",N455))),"SIM","")</f>
        <v/>
      </c>
      <c r="V455" s="92">
        <f>IF(AND(ISNUMBER(SEARCH("Espeto",N455)),ISNUMBER(SEARCH("Perdizes",N455))),"SIM","")</f>
        <v/>
      </c>
      <c r="W455" s="92">
        <f>IF(AND(ISNUMBER(SEARCH("Espeto",N455)),ISNUMBER(SEARCH("Santana",N455))),"SIM","")</f>
        <v/>
      </c>
      <c r="X455" s="92">
        <f>IF(AND(ISNUMBER(SEARCH("Espeto",N455)),ISNUMBER(SEARCH("André",N455))),"SIM","")</f>
        <v/>
      </c>
      <c r="Y455" s="92">
        <f>IF(AND(ISNUMBER(SEARCH("Delivery",N455)),ISNUMBER(SEARCH("Carin",N455))),"SIM","")</f>
        <v/>
      </c>
      <c r="Z455" s="92">
        <f>IF(AND(ISNUMBER(SEARCH("Delivery",N455)),ISNUMBER(SEARCH("Lapa",N455))),"SIM","")</f>
        <v/>
      </c>
      <c r="AA455" s="92">
        <f>IF(AND(ISNUMBER(SEARCH("Delivery",N455)),ISNUMBER(SEARCH("Tatuapé",N455))),"SIM","")</f>
        <v/>
      </c>
      <c r="AB455" s="92">
        <f>IF(AND(ISNUMBER(SEARCH("Delivery",N455)),ISNUMBER(SEARCH("Pavão",N455))),"SIM","")</f>
        <v/>
      </c>
      <c r="AC455" s="92">
        <f>IF(AND(ISNUMBER(SEARCH("Delivery",N455)),ISNUMBER(SEARCH("Chac",N455))),"SIM","")</f>
        <v/>
      </c>
      <c r="AD455" s="92">
        <f>IF(AND(ISNUMBER(SEARCH("Delivery",N455)),ISNUMBER(SEARCH("Madalena",N455))),"SIM","")</f>
        <v/>
      </c>
      <c r="AE455" s="92">
        <f>IF(AND(ISNUMBER(SEARCH("Delivery",N455)),ISNUMBER(SEARCH("Mariana",N455))),"SIM","")</f>
        <v/>
      </c>
      <c r="AF455" s="92">
        <f>IF(AND(ISNUMBER(SEARCH("Delivery",N455)),ISNUMBER(SEARCH("Perdizes",N455))),"SIM","")</f>
        <v/>
      </c>
      <c r="AG455" s="92">
        <f>IF(AND(ISNUMBER(SEARCH("Delivery",N455)),ISNUMBER(SEARCH("Santana",N455))),"SIM","")</f>
        <v/>
      </c>
      <c r="AH455" s="92">
        <f>IF(AND(ISNUMBER(SEARCH("Delivery",N455)),ISNUMBER(SEARCH("André",N455))),"SIM","")</f>
        <v/>
      </c>
      <c r="AI455" s="92">
        <f>IF(ISNUMBER(SEARCH("Interlagos",N455)),"SIM","")</f>
        <v/>
      </c>
      <c r="AJ455" s="92">
        <f>IF(ISNUMBER(SEARCH("Quiosque",N455)),"SIM","")</f>
        <v/>
      </c>
      <c r="AK455" s="93" t="n"/>
    </row>
    <row r="456">
      <c r="A456" s="88" t="inlineStr">
        <is>
          <t>Protheus</t>
        </is>
      </c>
      <c r="B456" s="96" t="inlineStr">
        <is>
          <t>002081</t>
        </is>
      </c>
      <c r="C456" s="97">
        <f>IF(B456="—","—",IFERROR(VLOOKUP(B456,_Protheus_Cadastro!$A:$B,2,FALSE),"—"))</f>
        <v/>
      </c>
      <c r="D456" s="98">
        <f>IF(B456="—",IFERROR(INDEX(_ZIG_Cadastro!$D:$D,MATCH(H456,_ZIG_Cadastro!$A:$A,0)),"Produto"),IFERROR(VLOOKUP(B456,_Protheus_Cadastro!$A:$C,3,FALSE),"—"))</f>
        <v/>
      </c>
      <c r="E456" s="98">
        <f>IF(B456="—","—",IFERROR(VLOOKUP(B456,_Protheus_Cadastro!$A:$D,4,FALSE),"—"))</f>
        <v/>
      </c>
      <c r="F456" s="98">
        <f>IF(ISERROR(VLOOKUP(B456,'Estrutura Protheus'!A:A,1,FALSE)),"Não","Sim")</f>
        <v/>
      </c>
      <c r="G456" s="99">
        <f>IFERROR(INDEX(_Protheus_Cadastro!$H:$H,MATCH(B456,_Protheus_Cadastro!$A:$A,0)),"—")</f>
        <v/>
      </c>
      <c r="H456" s="211">
        <f>IFERROR(INDEX(_ZIG_Precos!$D:$D,MATCH(I456,_ZIG_Precos!$F:$F,0)),"—")</f>
        <v/>
      </c>
      <c r="I456" s="103">
        <f>IFERROR(VLOOKUP(B456,_Protheus_Cadastro!$A:$I,9,FALSE),"—")</f>
        <v/>
      </c>
      <c r="J456" s="101">
        <f>IFERROR(INDEX(_ZIG_Cadastro!$B:$B,MATCH(I456,_ZIG_Cadastro!$A:$A,0)),IFERROR(INDEX(_Entradas_ZIG!$B:$B,MATCH(I456,_Entradas_ZIG!$C:$C,0)),"—"))</f>
        <v/>
      </c>
      <c r="K456" s="101">
        <f>IFERROR(INDEX(_ZIG_Cadastro!$C:$C,MATCH(I456,_ZIG_Cadastro!$A:$A,0)),IFERROR(INDEX(_Entradas_ZIG!$D:$D,MATCH(I456,_Entradas_ZIG!$C:$C,0)),"—"))</f>
        <v/>
      </c>
      <c r="L456" s="99">
        <f>IF(I456="","Sem SKU ZIG",IF(I456="—","Sem SKU ZIG",IF(NOT(ISERROR(MATCH(I456,_ZIG_Cadastro!$A:$A,0))),IF(EXACT(UPPER(TRIM(C456)),UPPER(TRIM(INDEX(_ZIG_Cadastro!$B:$B,MATCH(I456,_ZIG_Cadastro!$A:$A,0))))),"OK","Atencao - Nome diverge"),IF(NOT(ISERROR(MATCH(I456,_Entradas_ZIG!$C:$C,0))),"OK","Erro - SKU nao encontrado"))))</f>
        <v/>
      </c>
      <c r="M456" s="99">
        <f>IFERROR(INDEX(_ZIG_Cadastro!$G:$G,MATCH(I456,_ZIG_Cadastro!$A:$A,0)),IF(NOT(ISERROR(MATCH(I456,_Entradas_ZIG!$C:$C,0))),"Ativo","—"))</f>
        <v/>
      </c>
      <c r="N456" s="102">
        <f>IFERROR(INDEX(_ZIG_Cadastro!$E:$E,MATCH(I456,_ZIG_Cadastro!$A:$A,0)),IFERROR(INDEX(_Entradas_ZIG!$F:$F,MATCH(I456,_Entradas_ZIG!$C:$C,0)),"—"))</f>
        <v/>
      </c>
      <c r="O456" s="99">
        <f>IF(AND(ISNUMBER(SEARCH("Espeto",N456)),ISNUMBER(SEARCH("Carin",N456))),"SIM","")</f>
        <v/>
      </c>
      <c r="P456" s="99">
        <f>IF(AND(ISNUMBER(SEARCH("Espeto",N456)),ISNUMBER(SEARCH("Lapa",N456))),"SIM","")</f>
        <v/>
      </c>
      <c r="Q456" s="99">
        <f>IF(AND(ISNUMBER(SEARCH("Espeto",N456)),ISNUMBER(SEARCH("Tatuapé",N456))),"SIM","")</f>
        <v/>
      </c>
      <c r="R456" s="99">
        <f>IF(AND(ISNUMBER(SEARCH("Espeto",N456)),ISNUMBER(SEARCH("Pavão",N456))),"SIM","")</f>
        <v/>
      </c>
      <c r="S456" s="99">
        <f>IF(AND(ISNUMBER(SEARCH("Espeto",N456)),ISNUMBER(SEARCH("Chac",N456))),"SIM","")</f>
        <v/>
      </c>
      <c r="T456" s="99">
        <f>IF(AND(ISNUMBER(SEARCH("Espeto",N456)),ISNUMBER(SEARCH("Madalena",N456))),"SIM","")</f>
        <v/>
      </c>
      <c r="U456" s="99">
        <f>IF(AND(ISNUMBER(SEARCH("Espeto",N456)),ISNUMBER(SEARCH("Mariana",N456))),"SIM","")</f>
        <v/>
      </c>
      <c r="V456" s="99">
        <f>IF(AND(ISNUMBER(SEARCH("Espeto",N456)),ISNUMBER(SEARCH("Perdizes",N456))),"SIM","")</f>
        <v/>
      </c>
      <c r="W456" s="99">
        <f>IF(AND(ISNUMBER(SEARCH("Espeto",N456)),ISNUMBER(SEARCH("Santana",N456))),"SIM","")</f>
        <v/>
      </c>
      <c r="X456" s="99">
        <f>IF(AND(ISNUMBER(SEARCH("Espeto",N456)),ISNUMBER(SEARCH("André",N456))),"SIM","")</f>
        <v/>
      </c>
      <c r="Y456" s="99">
        <f>IF(AND(ISNUMBER(SEARCH("Delivery",N456)),ISNUMBER(SEARCH("Carin",N456))),"SIM","")</f>
        <v/>
      </c>
      <c r="Z456" s="99">
        <f>IF(AND(ISNUMBER(SEARCH("Delivery",N456)),ISNUMBER(SEARCH("Lapa",N456))),"SIM","")</f>
        <v/>
      </c>
      <c r="AA456" s="99">
        <f>IF(AND(ISNUMBER(SEARCH("Delivery",N456)),ISNUMBER(SEARCH("Tatuapé",N456))),"SIM","")</f>
        <v/>
      </c>
      <c r="AB456" s="99">
        <f>IF(AND(ISNUMBER(SEARCH("Delivery",N456)),ISNUMBER(SEARCH("Pavão",N456))),"SIM","")</f>
        <v/>
      </c>
      <c r="AC456" s="99">
        <f>IF(AND(ISNUMBER(SEARCH("Delivery",N456)),ISNUMBER(SEARCH("Chac",N456))),"SIM","")</f>
        <v/>
      </c>
      <c r="AD456" s="99">
        <f>IF(AND(ISNUMBER(SEARCH("Delivery",N456)),ISNUMBER(SEARCH("Madalena",N456))),"SIM","")</f>
        <v/>
      </c>
      <c r="AE456" s="99">
        <f>IF(AND(ISNUMBER(SEARCH("Delivery",N456)),ISNUMBER(SEARCH("Mariana",N456))),"SIM","")</f>
        <v/>
      </c>
      <c r="AF456" s="99">
        <f>IF(AND(ISNUMBER(SEARCH("Delivery",N456)),ISNUMBER(SEARCH("Perdizes",N456))),"SIM","")</f>
        <v/>
      </c>
      <c r="AG456" s="99">
        <f>IF(AND(ISNUMBER(SEARCH("Delivery",N456)),ISNUMBER(SEARCH("Santana",N456))),"SIM","")</f>
        <v/>
      </c>
      <c r="AH456" s="99">
        <f>IF(AND(ISNUMBER(SEARCH("Delivery",N456)),ISNUMBER(SEARCH("André",N456))),"SIM","")</f>
        <v/>
      </c>
      <c r="AI456" s="99">
        <f>IF(ISNUMBER(SEARCH("Interlagos",N456)),"SIM","")</f>
        <v/>
      </c>
      <c r="AJ456" s="99">
        <f>IF(ISNUMBER(SEARCH("Quiosque",N456)),"SIM","")</f>
        <v/>
      </c>
      <c r="AK456" s="101" t="n"/>
    </row>
    <row r="457">
      <c r="A457" s="88" t="inlineStr">
        <is>
          <t>Protheus</t>
        </is>
      </c>
      <c r="B457" s="89" t="inlineStr">
        <is>
          <t>000040</t>
        </is>
      </c>
      <c r="C457" s="90">
        <f>IF(B457="—","—",IFERROR(VLOOKUP(B457,_Protheus_Cadastro!$A:$B,2,FALSE),"—"))</f>
        <v/>
      </c>
      <c r="D457" s="91">
        <f>IF(B457="—",IFERROR(INDEX(_ZIG_Cadastro!$D:$D,MATCH(H457,_ZIG_Cadastro!$A:$A,0)),"Produto"),IFERROR(VLOOKUP(B457,_Protheus_Cadastro!$A:$C,3,FALSE),"—"))</f>
        <v/>
      </c>
      <c r="E457" s="91">
        <f>IF(B457="—","—",IFERROR(VLOOKUP(B457,_Protheus_Cadastro!$A:$D,4,FALSE),"—"))</f>
        <v/>
      </c>
      <c r="F457" s="91">
        <f>IF(ISERROR(VLOOKUP(B457,'Estrutura Protheus'!A:A,1,FALSE)),"Não","Sim")</f>
        <v/>
      </c>
      <c r="G457" s="92">
        <f>IFERROR(INDEX(_Protheus_Cadastro!$H:$H,MATCH(B457,_Protheus_Cadastro!$A:$A,0)),"—")</f>
        <v/>
      </c>
      <c r="H457" s="210">
        <f>IFERROR(INDEX(_ZIG_Precos!$D:$D,MATCH(I457,_ZIG_Precos!$F:$F,0)),"—")</f>
        <v/>
      </c>
      <c r="I457" s="95">
        <f>IFERROR(VLOOKUP(B457,_Protheus_Cadastro!$A:$I,9,FALSE),"—")</f>
        <v/>
      </c>
      <c r="J457" s="93">
        <f>IFERROR(INDEX(_ZIG_Cadastro!$B:$B,MATCH(I457,_ZIG_Cadastro!$A:$A,0)),IFERROR(INDEX(_Entradas_ZIG!$B:$B,MATCH(I457,_Entradas_ZIG!$C:$C,0)),"—"))</f>
        <v/>
      </c>
      <c r="K457" s="93">
        <f>IFERROR(INDEX(_ZIG_Cadastro!$C:$C,MATCH(I457,_ZIG_Cadastro!$A:$A,0)),IFERROR(INDEX(_Entradas_ZIG!$D:$D,MATCH(I457,_Entradas_ZIG!$C:$C,0)),"—"))</f>
        <v/>
      </c>
      <c r="L457" s="92">
        <f>IF(I457="","Sem SKU ZIG",IF(I457="—","Sem SKU ZIG",IF(NOT(ISERROR(MATCH(I457,_ZIG_Cadastro!$A:$A,0))),IF(EXACT(UPPER(TRIM(C457)),UPPER(TRIM(INDEX(_ZIG_Cadastro!$B:$B,MATCH(I457,_ZIG_Cadastro!$A:$A,0))))),"OK","Atencao - Nome diverge"),IF(NOT(ISERROR(MATCH(I457,_Entradas_ZIG!$C:$C,0))),"OK","Erro - SKU nao encontrado"))))</f>
        <v/>
      </c>
      <c r="M457" s="92">
        <f>IFERROR(INDEX(_ZIG_Cadastro!$G:$G,MATCH(I457,_ZIG_Cadastro!$A:$A,0)),IF(NOT(ISERROR(MATCH(I457,_Entradas_ZIG!$C:$C,0))),"Ativo","—"))</f>
        <v/>
      </c>
      <c r="N457" s="94">
        <f>IFERROR(INDEX(_ZIG_Cadastro!$E:$E,MATCH(I457,_ZIG_Cadastro!$A:$A,0)),IFERROR(INDEX(_Entradas_ZIG!$F:$F,MATCH(I457,_Entradas_ZIG!$C:$C,0)),"—"))</f>
        <v/>
      </c>
      <c r="O457" s="92">
        <f>IF(AND(ISNUMBER(SEARCH("Espeto",N457)),ISNUMBER(SEARCH("Carin",N457))),"SIM","")</f>
        <v/>
      </c>
      <c r="P457" s="92">
        <f>IF(AND(ISNUMBER(SEARCH("Espeto",N457)),ISNUMBER(SEARCH("Lapa",N457))),"SIM","")</f>
        <v/>
      </c>
      <c r="Q457" s="92">
        <f>IF(AND(ISNUMBER(SEARCH("Espeto",N457)),ISNUMBER(SEARCH("Tatuapé",N457))),"SIM","")</f>
        <v/>
      </c>
      <c r="R457" s="92">
        <f>IF(AND(ISNUMBER(SEARCH("Espeto",N457)),ISNUMBER(SEARCH("Pavão",N457))),"SIM","")</f>
        <v/>
      </c>
      <c r="S457" s="92">
        <f>IF(AND(ISNUMBER(SEARCH("Espeto",N457)),ISNUMBER(SEARCH("Chac",N457))),"SIM","")</f>
        <v/>
      </c>
      <c r="T457" s="92">
        <f>IF(AND(ISNUMBER(SEARCH("Espeto",N457)),ISNUMBER(SEARCH("Madalena",N457))),"SIM","")</f>
        <v/>
      </c>
      <c r="U457" s="92">
        <f>IF(AND(ISNUMBER(SEARCH("Espeto",N457)),ISNUMBER(SEARCH("Mariana",N457))),"SIM","")</f>
        <v/>
      </c>
      <c r="V457" s="92">
        <f>IF(AND(ISNUMBER(SEARCH("Espeto",N457)),ISNUMBER(SEARCH("Perdizes",N457))),"SIM","")</f>
        <v/>
      </c>
      <c r="W457" s="92">
        <f>IF(AND(ISNUMBER(SEARCH("Espeto",N457)),ISNUMBER(SEARCH("Santana",N457))),"SIM","")</f>
        <v/>
      </c>
      <c r="X457" s="92">
        <f>IF(AND(ISNUMBER(SEARCH("Espeto",N457)),ISNUMBER(SEARCH("André",N457))),"SIM","")</f>
        <v/>
      </c>
      <c r="Y457" s="92">
        <f>IF(AND(ISNUMBER(SEARCH("Delivery",N457)),ISNUMBER(SEARCH("Carin",N457))),"SIM","")</f>
        <v/>
      </c>
      <c r="Z457" s="92">
        <f>IF(AND(ISNUMBER(SEARCH("Delivery",N457)),ISNUMBER(SEARCH("Lapa",N457))),"SIM","")</f>
        <v/>
      </c>
      <c r="AA457" s="92">
        <f>IF(AND(ISNUMBER(SEARCH("Delivery",N457)),ISNUMBER(SEARCH("Tatuapé",N457))),"SIM","")</f>
        <v/>
      </c>
      <c r="AB457" s="92">
        <f>IF(AND(ISNUMBER(SEARCH("Delivery",N457)),ISNUMBER(SEARCH("Pavão",N457))),"SIM","")</f>
        <v/>
      </c>
      <c r="AC457" s="92">
        <f>IF(AND(ISNUMBER(SEARCH("Delivery",N457)),ISNUMBER(SEARCH("Chac",N457))),"SIM","")</f>
        <v/>
      </c>
      <c r="AD457" s="92">
        <f>IF(AND(ISNUMBER(SEARCH("Delivery",N457)),ISNUMBER(SEARCH("Madalena",N457))),"SIM","")</f>
        <v/>
      </c>
      <c r="AE457" s="92">
        <f>IF(AND(ISNUMBER(SEARCH("Delivery",N457)),ISNUMBER(SEARCH("Mariana",N457))),"SIM","")</f>
        <v/>
      </c>
      <c r="AF457" s="92">
        <f>IF(AND(ISNUMBER(SEARCH("Delivery",N457)),ISNUMBER(SEARCH("Perdizes",N457))),"SIM","")</f>
        <v/>
      </c>
      <c r="AG457" s="92">
        <f>IF(AND(ISNUMBER(SEARCH("Delivery",N457)),ISNUMBER(SEARCH("Santana",N457))),"SIM","")</f>
        <v/>
      </c>
      <c r="AH457" s="92">
        <f>IF(AND(ISNUMBER(SEARCH("Delivery",N457)),ISNUMBER(SEARCH("André",N457))),"SIM","")</f>
        <v/>
      </c>
      <c r="AI457" s="92">
        <f>IF(ISNUMBER(SEARCH("Interlagos",N457)),"SIM","")</f>
        <v/>
      </c>
      <c r="AJ457" s="92">
        <f>IF(ISNUMBER(SEARCH("Quiosque",N457)),"SIM","")</f>
        <v/>
      </c>
      <c r="AK457" s="93" t="n"/>
    </row>
    <row r="458">
      <c r="A458" s="88" t="inlineStr">
        <is>
          <t>Protheus</t>
        </is>
      </c>
      <c r="B458" s="96" t="inlineStr">
        <is>
          <t>001030</t>
        </is>
      </c>
      <c r="C458" s="97">
        <f>IF(B458="—","—",IFERROR(VLOOKUP(B458,_Protheus_Cadastro!$A:$B,2,FALSE),"—"))</f>
        <v/>
      </c>
      <c r="D458" s="98">
        <f>IF(B458="—",IFERROR(INDEX(_ZIG_Cadastro!$D:$D,MATCH(H458,_ZIG_Cadastro!$A:$A,0)),"Produto"),IFERROR(VLOOKUP(B458,_Protheus_Cadastro!$A:$C,3,FALSE),"—"))</f>
        <v/>
      </c>
      <c r="E458" s="98">
        <f>IF(B458="—","—",IFERROR(VLOOKUP(B458,_Protheus_Cadastro!$A:$D,4,FALSE),"—"))</f>
        <v/>
      </c>
      <c r="F458" s="98">
        <f>IF(ISERROR(VLOOKUP(B458,'Estrutura Protheus'!A:A,1,FALSE)),"Não","Sim")</f>
        <v/>
      </c>
      <c r="G458" s="99">
        <f>IFERROR(INDEX(_Protheus_Cadastro!$H:$H,MATCH(B458,_Protheus_Cadastro!$A:$A,0)),"—")</f>
        <v/>
      </c>
      <c r="H458" s="211">
        <f>IFERROR(INDEX(_ZIG_Precos!$D:$D,MATCH(I458,_ZIG_Precos!$F:$F,0)),"—")</f>
        <v/>
      </c>
      <c r="I458" s="103">
        <f>IFERROR(VLOOKUP(B458,_Protheus_Cadastro!$A:$I,9,FALSE),"—")</f>
        <v/>
      </c>
      <c r="J458" s="101">
        <f>IFERROR(INDEX(_ZIG_Cadastro!$B:$B,MATCH(I458,_ZIG_Cadastro!$A:$A,0)),IFERROR(INDEX(_Entradas_ZIG!$B:$B,MATCH(I458,_Entradas_ZIG!$C:$C,0)),"—"))</f>
        <v/>
      </c>
      <c r="K458" s="101">
        <f>IFERROR(INDEX(_ZIG_Cadastro!$C:$C,MATCH(I458,_ZIG_Cadastro!$A:$A,0)),IFERROR(INDEX(_Entradas_ZIG!$D:$D,MATCH(I458,_Entradas_ZIG!$C:$C,0)),"—"))</f>
        <v/>
      </c>
      <c r="L458" s="99">
        <f>IF(I458="","Sem SKU ZIG",IF(I458="—","Sem SKU ZIG",IF(NOT(ISERROR(MATCH(I458,_ZIG_Cadastro!$A:$A,0))),IF(EXACT(UPPER(TRIM(C458)),UPPER(TRIM(INDEX(_ZIG_Cadastro!$B:$B,MATCH(I458,_ZIG_Cadastro!$A:$A,0))))),"OK","Atencao - Nome diverge"),IF(NOT(ISERROR(MATCH(I458,_Entradas_ZIG!$C:$C,0))),"OK","Erro - SKU nao encontrado"))))</f>
        <v/>
      </c>
      <c r="M458" s="99">
        <f>IFERROR(INDEX(_ZIG_Cadastro!$G:$G,MATCH(I458,_ZIG_Cadastro!$A:$A,0)),IF(NOT(ISERROR(MATCH(I458,_Entradas_ZIG!$C:$C,0))),"Ativo","—"))</f>
        <v/>
      </c>
      <c r="N458" s="102">
        <f>IFERROR(INDEX(_ZIG_Cadastro!$E:$E,MATCH(I458,_ZIG_Cadastro!$A:$A,0)),IFERROR(INDEX(_Entradas_ZIG!$F:$F,MATCH(I458,_Entradas_ZIG!$C:$C,0)),"—"))</f>
        <v/>
      </c>
      <c r="O458" s="99">
        <f>IF(AND(ISNUMBER(SEARCH("Espeto",N458)),ISNUMBER(SEARCH("Carin",N458))),"SIM","")</f>
        <v/>
      </c>
      <c r="P458" s="99">
        <f>IF(AND(ISNUMBER(SEARCH("Espeto",N458)),ISNUMBER(SEARCH("Lapa",N458))),"SIM","")</f>
        <v/>
      </c>
      <c r="Q458" s="99">
        <f>IF(AND(ISNUMBER(SEARCH("Espeto",N458)),ISNUMBER(SEARCH("Tatuapé",N458))),"SIM","")</f>
        <v/>
      </c>
      <c r="R458" s="99">
        <f>IF(AND(ISNUMBER(SEARCH("Espeto",N458)),ISNUMBER(SEARCH("Pavão",N458))),"SIM","")</f>
        <v/>
      </c>
      <c r="S458" s="99">
        <f>IF(AND(ISNUMBER(SEARCH("Espeto",N458)),ISNUMBER(SEARCH("Chac",N458))),"SIM","")</f>
        <v/>
      </c>
      <c r="T458" s="99">
        <f>IF(AND(ISNUMBER(SEARCH("Espeto",N458)),ISNUMBER(SEARCH("Madalena",N458))),"SIM","")</f>
        <v/>
      </c>
      <c r="U458" s="99">
        <f>IF(AND(ISNUMBER(SEARCH("Espeto",N458)),ISNUMBER(SEARCH("Mariana",N458))),"SIM","")</f>
        <v/>
      </c>
      <c r="V458" s="99">
        <f>IF(AND(ISNUMBER(SEARCH("Espeto",N458)),ISNUMBER(SEARCH("Perdizes",N458))),"SIM","")</f>
        <v/>
      </c>
      <c r="W458" s="99">
        <f>IF(AND(ISNUMBER(SEARCH("Espeto",N458)),ISNUMBER(SEARCH("Santana",N458))),"SIM","")</f>
        <v/>
      </c>
      <c r="X458" s="99">
        <f>IF(AND(ISNUMBER(SEARCH("Espeto",N458)),ISNUMBER(SEARCH("André",N458))),"SIM","")</f>
        <v/>
      </c>
      <c r="Y458" s="99">
        <f>IF(AND(ISNUMBER(SEARCH("Delivery",N458)),ISNUMBER(SEARCH("Carin",N458))),"SIM","")</f>
        <v/>
      </c>
      <c r="Z458" s="99">
        <f>IF(AND(ISNUMBER(SEARCH("Delivery",N458)),ISNUMBER(SEARCH("Lapa",N458))),"SIM","")</f>
        <v/>
      </c>
      <c r="AA458" s="99">
        <f>IF(AND(ISNUMBER(SEARCH("Delivery",N458)),ISNUMBER(SEARCH("Tatuapé",N458))),"SIM","")</f>
        <v/>
      </c>
      <c r="AB458" s="99">
        <f>IF(AND(ISNUMBER(SEARCH("Delivery",N458)),ISNUMBER(SEARCH("Pavão",N458))),"SIM","")</f>
        <v/>
      </c>
      <c r="AC458" s="99">
        <f>IF(AND(ISNUMBER(SEARCH("Delivery",N458)),ISNUMBER(SEARCH("Chac",N458))),"SIM","")</f>
        <v/>
      </c>
      <c r="AD458" s="99">
        <f>IF(AND(ISNUMBER(SEARCH("Delivery",N458)),ISNUMBER(SEARCH("Madalena",N458))),"SIM","")</f>
        <v/>
      </c>
      <c r="AE458" s="99">
        <f>IF(AND(ISNUMBER(SEARCH("Delivery",N458)),ISNUMBER(SEARCH("Mariana",N458))),"SIM","")</f>
        <v/>
      </c>
      <c r="AF458" s="99">
        <f>IF(AND(ISNUMBER(SEARCH("Delivery",N458)),ISNUMBER(SEARCH("Perdizes",N458))),"SIM","")</f>
        <v/>
      </c>
      <c r="AG458" s="99">
        <f>IF(AND(ISNUMBER(SEARCH("Delivery",N458)),ISNUMBER(SEARCH("Santana",N458))),"SIM","")</f>
        <v/>
      </c>
      <c r="AH458" s="99">
        <f>IF(AND(ISNUMBER(SEARCH("Delivery",N458)),ISNUMBER(SEARCH("André",N458))),"SIM","")</f>
        <v/>
      </c>
      <c r="AI458" s="99">
        <f>IF(ISNUMBER(SEARCH("Interlagos",N458)),"SIM","")</f>
        <v/>
      </c>
      <c r="AJ458" s="99">
        <f>IF(ISNUMBER(SEARCH("Quiosque",N458)),"SIM","")</f>
        <v/>
      </c>
      <c r="AK458" s="101" t="n"/>
    </row>
    <row r="459">
      <c r="A459" s="88" t="inlineStr">
        <is>
          <t>Protheus</t>
        </is>
      </c>
      <c r="B459" s="89" t="inlineStr">
        <is>
          <t>002046</t>
        </is>
      </c>
      <c r="C459" s="90">
        <f>IF(B459="—","—",IFERROR(VLOOKUP(B459,_Protheus_Cadastro!$A:$B,2,FALSE),"—"))</f>
        <v/>
      </c>
      <c r="D459" s="91">
        <f>IF(B459="—",IFERROR(INDEX(_ZIG_Cadastro!$D:$D,MATCH(H459,_ZIG_Cadastro!$A:$A,0)),"Produto"),IFERROR(VLOOKUP(B459,_Protheus_Cadastro!$A:$C,3,FALSE),"—"))</f>
        <v/>
      </c>
      <c r="E459" s="91">
        <f>IF(B459="—","—",IFERROR(VLOOKUP(B459,_Protheus_Cadastro!$A:$D,4,FALSE),"—"))</f>
        <v/>
      </c>
      <c r="F459" s="91">
        <f>IF(ISERROR(VLOOKUP(B459,'Estrutura Protheus'!A:A,1,FALSE)),"Não","Sim")</f>
        <v/>
      </c>
      <c r="G459" s="92">
        <f>IFERROR(INDEX(_Protheus_Cadastro!$H:$H,MATCH(B459,_Protheus_Cadastro!$A:$A,0)),"—")</f>
        <v/>
      </c>
      <c r="H459" s="210">
        <f>IFERROR(INDEX(_ZIG_Precos!$D:$D,MATCH(I459,_ZIG_Precos!$F:$F,0)),"—")</f>
        <v/>
      </c>
      <c r="I459" s="95">
        <f>IFERROR(VLOOKUP(B459,_Protheus_Cadastro!$A:$I,9,FALSE),"—")</f>
        <v/>
      </c>
      <c r="J459" s="93">
        <f>IFERROR(INDEX(_ZIG_Cadastro!$B:$B,MATCH(I459,_ZIG_Cadastro!$A:$A,0)),IFERROR(INDEX(_Entradas_ZIG!$B:$B,MATCH(I459,_Entradas_ZIG!$C:$C,0)),"—"))</f>
        <v/>
      </c>
      <c r="K459" s="93">
        <f>IFERROR(INDEX(_ZIG_Cadastro!$C:$C,MATCH(I459,_ZIG_Cadastro!$A:$A,0)),IFERROR(INDEX(_Entradas_ZIG!$D:$D,MATCH(I459,_Entradas_ZIG!$C:$C,0)),"—"))</f>
        <v/>
      </c>
      <c r="L459" s="92">
        <f>IF(I459="","Sem SKU ZIG",IF(I459="—","Sem SKU ZIG",IF(NOT(ISERROR(MATCH(I459,_ZIG_Cadastro!$A:$A,0))),IF(EXACT(UPPER(TRIM(C459)),UPPER(TRIM(INDEX(_ZIG_Cadastro!$B:$B,MATCH(I459,_ZIG_Cadastro!$A:$A,0))))),"OK","Atencao - Nome diverge"),IF(NOT(ISERROR(MATCH(I459,_Entradas_ZIG!$C:$C,0))),"OK","Erro - SKU nao encontrado"))))</f>
        <v/>
      </c>
      <c r="M459" s="92">
        <f>IFERROR(INDEX(_ZIG_Cadastro!$G:$G,MATCH(I459,_ZIG_Cadastro!$A:$A,0)),IF(NOT(ISERROR(MATCH(I459,_Entradas_ZIG!$C:$C,0))),"Ativo","—"))</f>
        <v/>
      </c>
      <c r="N459" s="94">
        <f>IFERROR(INDEX(_ZIG_Cadastro!$E:$E,MATCH(I459,_ZIG_Cadastro!$A:$A,0)),IFERROR(INDEX(_Entradas_ZIG!$F:$F,MATCH(I459,_Entradas_ZIG!$C:$C,0)),"—"))</f>
        <v/>
      </c>
      <c r="O459" s="92">
        <f>IF(AND(ISNUMBER(SEARCH("Espeto",N459)),ISNUMBER(SEARCH("Carin",N459))),"SIM","")</f>
        <v/>
      </c>
      <c r="P459" s="92">
        <f>IF(AND(ISNUMBER(SEARCH("Espeto",N459)),ISNUMBER(SEARCH("Lapa",N459))),"SIM","")</f>
        <v/>
      </c>
      <c r="Q459" s="92">
        <f>IF(AND(ISNUMBER(SEARCH("Espeto",N459)),ISNUMBER(SEARCH("Tatuapé",N459))),"SIM","")</f>
        <v/>
      </c>
      <c r="R459" s="92">
        <f>IF(AND(ISNUMBER(SEARCH("Espeto",N459)),ISNUMBER(SEARCH("Pavão",N459))),"SIM","")</f>
        <v/>
      </c>
      <c r="S459" s="92">
        <f>IF(AND(ISNUMBER(SEARCH("Espeto",N459)),ISNUMBER(SEARCH("Chac",N459))),"SIM","")</f>
        <v/>
      </c>
      <c r="T459" s="92">
        <f>IF(AND(ISNUMBER(SEARCH("Espeto",N459)),ISNUMBER(SEARCH("Madalena",N459))),"SIM","")</f>
        <v/>
      </c>
      <c r="U459" s="92">
        <f>IF(AND(ISNUMBER(SEARCH("Espeto",N459)),ISNUMBER(SEARCH("Mariana",N459))),"SIM","")</f>
        <v/>
      </c>
      <c r="V459" s="92">
        <f>IF(AND(ISNUMBER(SEARCH("Espeto",N459)),ISNUMBER(SEARCH("Perdizes",N459))),"SIM","")</f>
        <v/>
      </c>
      <c r="W459" s="92">
        <f>IF(AND(ISNUMBER(SEARCH("Espeto",N459)),ISNUMBER(SEARCH("Santana",N459))),"SIM","")</f>
        <v/>
      </c>
      <c r="X459" s="92">
        <f>IF(AND(ISNUMBER(SEARCH("Espeto",N459)),ISNUMBER(SEARCH("André",N459))),"SIM","")</f>
        <v/>
      </c>
      <c r="Y459" s="92">
        <f>IF(AND(ISNUMBER(SEARCH("Delivery",N459)),ISNUMBER(SEARCH("Carin",N459))),"SIM","")</f>
        <v/>
      </c>
      <c r="Z459" s="92">
        <f>IF(AND(ISNUMBER(SEARCH("Delivery",N459)),ISNUMBER(SEARCH("Lapa",N459))),"SIM","")</f>
        <v/>
      </c>
      <c r="AA459" s="92">
        <f>IF(AND(ISNUMBER(SEARCH("Delivery",N459)),ISNUMBER(SEARCH("Tatuapé",N459))),"SIM","")</f>
        <v/>
      </c>
      <c r="AB459" s="92">
        <f>IF(AND(ISNUMBER(SEARCH("Delivery",N459)),ISNUMBER(SEARCH("Pavão",N459))),"SIM","")</f>
        <v/>
      </c>
      <c r="AC459" s="92">
        <f>IF(AND(ISNUMBER(SEARCH("Delivery",N459)),ISNUMBER(SEARCH("Chac",N459))),"SIM","")</f>
        <v/>
      </c>
      <c r="AD459" s="92">
        <f>IF(AND(ISNUMBER(SEARCH("Delivery",N459)),ISNUMBER(SEARCH("Madalena",N459))),"SIM","")</f>
        <v/>
      </c>
      <c r="AE459" s="92">
        <f>IF(AND(ISNUMBER(SEARCH("Delivery",N459)),ISNUMBER(SEARCH("Mariana",N459))),"SIM","")</f>
        <v/>
      </c>
      <c r="AF459" s="92">
        <f>IF(AND(ISNUMBER(SEARCH("Delivery",N459)),ISNUMBER(SEARCH("Perdizes",N459))),"SIM","")</f>
        <v/>
      </c>
      <c r="AG459" s="92">
        <f>IF(AND(ISNUMBER(SEARCH("Delivery",N459)),ISNUMBER(SEARCH("Santana",N459))),"SIM","")</f>
        <v/>
      </c>
      <c r="AH459" s="92">
        <f>IF(AND(ISNUMBER(SEARCH("Delivery",N459)),ISNUMBER(SEARCH("André",N459))),"SIM","")</f>
        <v/>
      </c>
      <c r="AI459" s="92">
        <f>IF(ISNUMBER(SEARCH("Interlagos",N459)),"SIM","")</f>
        <v/>
      </c>
      <c r="AJ459" s="92">
        <f>IF(ISNUMBER(SEARCH("Quiosque",N459)),"SIM","")</f>
        <v/>
      </c>
      <c r="AK459" s="93" t="n"/>
    </row>
    <row r="460">
      <c r="A460" s="88" t="inlineStr">
        <is>
          <t>Protheus</t>
        </is>
      </c>
      <c r="B460" s="89" t="inlineStr">
        <is>
          <t>001367</t>
        </is>
      </c>
      <c r="C460" s="90">
        <f>IF(B460="—","—",IFERROR(VLOOKUP(B460,_Protheus_Cadastro!$A:$B,2,FALSE),"—"))</f>
        <v/>
      </c>
      <c r="D460" s="91">
        <f>IF(B460="—",IFERROR(INDEX(_ZIG_Cadastro!$D:$D,MATCH(H460,_ZIG_Cadastro!$A:$A,0)),"Produto"),IFERROR(VLOOKUP(B460,_Protheus_Cadastro!$A:$C,3,FALSE),"—"))</f>
        <v/>
      </c>
      <c r="E460" s="91">
        <f>IF(B460="—","—",IFERROR(VLOOKUP(B460,_Protheus_Cadastro!$A:$D,4,FALSE),"—"))</f>
        <v/>
      </c>
      <c r="F460" s="91">
        <f>IF(ISERROR(VLOOKUP(B460,'Estrutura Protheus'!A:A,1,FALSE)),"Não","Sim")</f>
        <v/>
      </c>
      <c r="G460" s="92">
        <f>IFERROR(INDEX(_Protheus_Cadastro!$H:$H,MATCH(B460,_Protheus_Cadastro!$A:$A,0)),"—")</f>
        <v/>
      </c>
      <c r="H460" s="210">
        <f>IFERROR(INDEX(_ZIG_Precos!$D:$D,MATCH(I460,_ZIG_Precos!$F:$F,0)),"—")</f>
        <v/>
      </c>
      <c r="I460" s="95">
        <f>IFERROR(VLOOKUP(B460,_Protheus_Cadastro!$A:$I,9,FALSE),"—")</f>
        <v/>
      </c>
      <c r="J460" s="93">
        <f>IFERROR(INDEX(_ZIG_Cadastro!$B:$B,MATCH(I460,_ZIG_Cadastro!$A:$A,0)),IFERROR(INDEX(_Entradas_ZIG!$B:$B,MATCH(I460,_Entradas_ZIG!$C:$C,0)),"—"))</f>
        <v/>
      </c>
      <c r="K460" s="93">
        <f>IFERROR(INDEX(_ZIG_Cadastro!$C:$C,MATCH(I460,_ZIG_Cadastro!$A:$A,0)),IFERROR(INDEX(_Entradas_ZIG!$D:$D,MATCH(I460,_Entradas_ZIG!$C:$C,0)),"—"))</f>
        <v/>
      </c>
      <c r="L460" s="92">
        <f>IF(I460="","Sem SKU ZIG",IF(I460="—","Sem SKU ZIG",IF(NOT(ISERROR(MATCH(I460,_ZIG_Cadastro!$A:$A,0))),IF(EXACT(UPPER(TRIM(C460)),UPPER(TRIM(INDEX(_ZIG_Cadastro!$B:$B,MATCH(I460,_ZIG_Cadastro!$A:$A,0))))),"OK","Atencao - Nome diverge"),IF(NOT(ISERROR(MATCH(I460,_Entradas_ZIG!$C:$C,0))),"OK","Erro - SKU nao encontrado"))))</f>
        <v/>
      </c>
      <c r="M460" s="92">
        <f>IFERROR(INDEX(_ZIG_Cadastro!$G:$G,MATCH(I460,_ZIG_Cadastro!$A:$A,0)),IF(NOT(ISERROR(MATCH(I460,_Entradas_ZIG!$C:$C,0))),"Ativo","—"))</f>
        <v/>
      </c>
      <c r="N460" s="94">
        <f>IFERROR(INDEX(_ZIG_Cadastro!$E:$E,MATCH(I460,_ZIG_Cadastro!$A:$A,0)),IFERROR(INDEX(_Entradas_ZIG!$F:$F,MATCH(I460,_Entradas_ZIG!$C:$C,0)),"—"))</f>
        <v/>
      </c>
      <c r="O460" s="92">
        <f>IF(AND(ISNUMBER(SEARCH("Espeto",N460)),ISNUMBER(SEARCH("Carin",N460))),"SIM","")</f>
        <v/>
      </c>
      <c r="P460" s="92">
        <f>IF(AND(ISNUMBER(SEARCH("Espeto",N460)),ISNUMBER(SEARCH("Lapa",N460))),"SIM","")</f>
        <v/>
      </c>
      <c r="Q460" s="92">
        <f>IF(AND(ISNUMBER(SEARCH("Espeto",N460)),ISNUMBER(SEARCH("Tatuapé",N460))),"SIM","")</f>
        <v/>
      </c>
      <c r="R460" s="92">
        <f>IF(AND(ISNUMBER(SEARCH("Espeto",N460)),ISNUMBER(SEARCH("Pavão",N460))),"SIM","")</f>
        <v/>
      </c>
      <c r="S460" s="92">
        <f>IF(AND(ISNUMBER(SEARCH("Espeto",N460)),ISNUMBER(SEARCH("Chac",N460))),"SIM","")</f>
        <v/>
      </c>
      <c r="T460" s="92">
        <f>IF(AND(ISNUMBER(SEARCH("Espeto",N460)),ISNUMBER(SEARCH("Madalena",N460))),"SIM","")</f>
        <v/>
      </c>
      <c r="U460" s="92">
        <f>IF(AND(ISNUMBER(SEARCH("Espeto",N460)),ISNUMBER(SEARCH("Mariana",N460))),"SIM","")</f>
        <v/>
      </c>
      <c r="V460" s="92">
        <f>IF(AND(ISNUMBER(SEARCH("Espeto",N460)),ISNUMBER(SEARCH("Perdizes",N460))),"SIM","")</f>
        <v/>
      </c>
      <c r="W460" s="92">
        <f>IF(AND(ISNUMBER(SEARCH("Espeto",N460)),ISNUMBER(SEARCH("Santana",N460))),"SIM","")</f>
        <v/>
      </c>
      <c r="X460" s="92">
        <f>IF(AND(ISNUMBER(SEARCH("Espeto",N460)),ISNUMBER(SEARCH("André",N460))),"SIM","")</f>
        <v/>
      </c>
      <c r="Y460" s="92">
        <f>IF(AND(ISNUMBER(SEARCH("Delivery",N460)),ISNUMBER(SEARCH("Carin",N460))),"SIM","")</f>
        <v/>
      </c>
      <c r="Z460" s="92">
        <f>IF(AND(ISNUMBER(SEARCH("Delivery",N460)),ISNUMBER(SEARCH("Lapa",N460))),"SIM","")</f>
        <v/>
      </c>
      <c r="AA460" s="92">
        <f>IF(AND(ISNUMBER(SEARCH("Delivery",N460)),ISNUMBER(SEARCH("Tatuapé",N460))),"SIM","")</f>
        <v/>
      </c>
      <c r="AB460" s="92">
        <f>IF(AND(ISNUMBER(SEARCH("Delivery",N460)),ISNUMBER(SEARCH("Pavão",N460))),"SIM","")</f>
        <v/>
      </c>
      <c r="AC460" s="92">
        <f>IF(AND(ISNUMBER(SEARCH("Delivery",N460)),ISNUMBER(SEARCH("Chac",N460))),"SIM","")</f>
        <v/>
      </c>
      <c r="AD460" s="92">
        <f>IF(AND(ISNUMBER(SEARCH("Delivery",N460)),ISNUMBER(SEARCH("Madalena",N460))),"SIM","")</f>
        <v/>
      </c>
      <c r="AE460" s="92">
        <f>IF(AND(ISNUMBER(SEARCH("Delivery",N460)),ISNUMBER(SEARCH("Mariana",N460))),"SIM","")</f>
        <v/>
      </c>
      <c r="AF460" s="92">
        <f>IF(AND(ISNUMBER(SEARCH("Delivery",N460)),ISNUMBER(SEARCH("Perdizes",N460))),"SIM","")</f>
        <v/>
      </c>
      <c r="AG460" s="92">
        <f>IF(AND(ISNUMBER(SEARCH("Delivery",N460)),ISNUMBER(SEARCH("Santana",N460))),"SIM","")</f>
        <v/>
      </c>
      <c r="AH460" s="92">
        <f>IF(AND(ISNUMBER(SEARCH("Delivery",N460)),ISNUMBER(SEARCH("André",N460))),"SIM","")</f>
        <v/>
      </c>
      <c r="AI460" s="92">
        <f>IF(ISNUMBER(SEARCH("Interlagos",N460)),"SIM","")</f>
        <v/>
      </c>
      <c r="AJ460" s="92">
        <f>IF(ISNUMBER(SEARCH("Quiosque",N460)),"SIM","")</f>
        <v/>
      </c>
      <c r="AK460" s="93" t="n"/>
    </row>
    <row r="461">
      <c r="A461" s="88" t="inlineStr">
        <is>
          <t>Protheus</t>
        </is>
      </c>
      <c r="B461" s="96" t="inlineStr">
        <is>
          <t>001476</t>
        </is>
      </c>
      <c r="C461" s="97">
        <f>IF(B461="—","—",IFERROR(VLOOKUP(B461,_Protheus_Cadastro!$A:$B,2,FALSE),"—"))</f>
        <v/>
      </c>
      <c r="D461" s="98">
        <f>IF(B461="—",IFERROR(INDEX(_ZIG_Cadastro!$D:$D,MATCH(H461,_ZIG_Cadastro!$A:$A,0)),"Produto"),IFERROR(VLOOKUP(B461,_Protheus_Cadastro!$A:$C,3,FALSE),"—"))</f>
        <v/>
      </c>
      <c r="E461" s="98">
        <f>IF(B461="—","—",IFERROR(VLOOKUP(B461,_Protheus_Cadastro!$A:$D,4,FALSE),"—"))</f>
        <v/>
      </c>
      <c r="F461" s="98">
        <f>IF(ISERROR(VLOOKUP(B461,'Estrutura Protheus'!A:A,1,FALSE)),"Não","Sim")</f>
        <v/>
      </c>
      <c r="G461" s="99">
        <f>IFERROR(INDEX(_Protheus_Cadastro!$H:$H,MATCH(B461,_Protheus_Cadastro!$A:$A,0)),"—")</f>
        <v/>
      </c>
      <c r="H461" s="211">
        <f>IFERROR(INDEX(_ZIG_Precos!$D:$D,MATCH(I461,_ZIG_Precos!$F:$F,0)),"—")</f>
        <v/>
      </c>
      <c r="I461" s="103">
        <f>IFERROR(VLOOKUP(B461,_Protheus_Cadastro!$A:$I,9,FALSE),"—")</f>
        <v/>
      </c>
      <c r="J461" s="101">
        <f>IFERROR(INDEX(_ZIG_Cadastro!$B:$B,MATCH(I461,_ZIG_Cadastro!$A:$A,0)),IFERROR(INDEX(_Entradas_ZIG!$B:$B,MATCH(I461,_Entradas_ZIG!$C:$C,0)),"—"))</f>
        <v/>
      </c>
      <c r="K461" s="101">
        <f>IFERROR(INDEX(_ZIG_Cadastro!$C:$C,MATCH(I461,_ZIG_Cadastro!$A:$A,0)),IFERROR(INDEX(_Entradas_ZIG!$D:$D,MATCH(I461,_Entradas_ZIG!$C:$C,0)),"—"))</f>
        <v/>
      </c>
      <c r="L461" s="99">
        <f>IF(I461="","Sem SKU ZIG",IF(I461="—","Sem SKU ZIG",IF(NOT(ISERROR(MATCH(I461,_ZIG_Cadastro!$A:$A,0))),IF(EXACT(UPPER(TRIM(C461)),UPPER(TRIM(INDEX(_ZIG_Cadastro!$B:$B,MATCH(I461,_ZIG_Cadastro!$A:$A,0))))),"OK","Atencao - Nome diverge"),IF(NOT(ISERROR(MATCH(I461,_Entradas_ZIG!$C:$C,0))),"OK","Erro - SKU nao encontrado"))))</f>
        <v/>
      </c>
      <c r="M461" s="99">
        <f>IFERROR(INDEX(_ZIG_Cadastro!$G:$G,MATCH(I461,_ZIG_Cadastro!$A:$A,0)),IF(NOT(ISERROR(MATCH(I461,_Entradas_ZIG!$C:$C,0))),"Ativo","—"))</f>
        <v/>
      </c>
      <c r="N461" s="102">
        <f>IFERROR(INDEX(_ZIG_Cadastro!$E:$E,MATCH(I461,_ZIG_Cadastro!$A:$A,0)),IFERROR(INDEX(_Entradas_ZIG!$F:$F,MATCH(I461,_Entradas_ZIG!$C:$C,0)),"—"))</f>
        <v/>
      </c>
      <c r="O461" s="99">
        <f>IF(AND(ISNUMBER(SEARCH("Espeto",N461)),ISNUMBER(SEARCH("Carin",N461))),"SIM","")</f>
        <v/>
      </c>
      <c r="P461" s="99">
        <f>IF(AND(ISNUMBER(SEARCH("Espeto",N461)),ISNUMBER(SEARCH("Lapa",N461))),"SIM","")</f>
        <v/>
      </c>
      <c r="Q461" s="99">
        <f>IF(AND(ISNUMBER(SEARCH("Espeto",N461)),ISNUMBER(SEARCH("Tatuapé",N461))),"SIM","")</f>
        <v/>
      </c>
      <c r="R461" s="99">
        <f>IF(AND(ISNUMBER(SEARCH("Espeto",N461)),ISNUMBER(SEARCH("Pavão",N461))),"SIM","")</f>
        <v/>
      </c>
      <c r="S461" s="99">
        <f>IF(AND(ISNUMBER(SEARCH("Espeto",N461)),ISNUMBER(SEARCH("Chac",N461))),"SIM","")</f>
        <v/>
      </c>
      <c r="T461" s="99">
        <f>IF(AND(ISNUMBER(SEARCH("Espeto",N461)),ISNUMBER(SEARCH("Madalena",N461))),"SIM","")</f>
        <v/>
      </c>
      <c r="U461" s="99">
        <f>IF(AND(ISNUMBER(SEARCH("Espeto",N461)),ISNUMBER(SEARCH("Mariana",N461))),"SIM","")</f>
        <v/>
      </c>
      <c r="V461" s="99">
        <f>IF(AND(ISNUMBER(SEARCH("Espeto",N461)),ISNUMBER(SEARCH("Perdizes",N461))),"SIM","")</f>
        <v/>
      </c>
      <c r="W461" s="99">
        <f>IF(AND(ISNUMBER(SEARCH("Espeto",N461)),ISNUMBER(SEARCH("Santana",N461))),"SIM","")</f>
        <v/>
      </c>
      <c r="X461" s="99">
        <f>IF(AND(ISNUMBER(SEARCH("Espeto",N461)),ISNUMBER(SEARCH("André",N461))),"SIM","")</f>
        <v/>
      </c>
      <c r="Y461" s="99">
        <f>IF(AND(ISNUMBER(SEARCH("Delivery",N461)),ISNUMBER(SEARCH("Carin",N461))),"SIM","")</f>
        <v/>
      </c>
      <c r="Z461" s="99">
        <f>IF(AND(ISNUMBER(SEARCH("Delivery",N461)),ISNUMBER(SEARCH("Lapa",N461))),"SIM","")</f>
        <v/>
      </c>
      <c r="AA461" s="99">
        <f>IF(AND(ISNUMBER(SEARCH("Delivery",N461)),ISNUMBER(SEARCH("Tatuapé",N461))),"SIM","")</f>
        <v/>
      </c>
      <c r="AB461" s="99">
        <f>IF(AND(ISNUMBER(SEARCH("Delivery",N461)),ISNUMBER(SEARCH("Pavão",N461))),"SIM","")</f>
        <v/>
      </c>
      <c r="AC461" s="99">
        <f>IF(AND(ISNUMBER(SEARCH("Delivery",N461)),ISNUMBER(SEARCH("Chac",N461))),"SIM","")</f>
        <v/>
      </c>
      <c r="AD461" s="99">
        <f>IF(AND(ISNUMBER(SEARCH("Delivery",N461)),ISNUMBER(SEARCH("Madalena",N461))),"SIM","")</f>
        <v/>
      </c>
      <c r="AE461" s="99">
        <f>IF(AND(ISNUMBER(SEARCH("Delivery",N461)),ISNUMBER(SEARCH("Mariana",N461))),"SIM","")</f>
        <v/>
      </c>
      <c r="AF461" s="99">
        <f>IF(AND(ISNUMBER(SEARCH("Delivery",N461)),ISNUMBER(SEARCH("Perdizes",N461))),"SIM","")</f>
        <v/>
      </c>
      <c r="AG461" s="99">
        <f>IF(AND(ISNUMBER(SEARCH("Delivery",N461)),ISNUMBER(SEARCH("Santana",N461))),"SIM","")</f>
        <v/>
      </c>
      <c r="AH461" s="99">
        <f>IF(AND(ISNUMBER(SEARCH("Delivery",N461)),ISNUMBER(SEARCH("André",N461))),"SIM","")</f>
        <v/>
      </c>
      <c r="AI461" s="99">
        <f>IF(ISNUMBER(SEARCH("Interlagos",N461)),"SIM","")</f>
        <v/>
      </c>
      <c r="AJ461" s="99">
        <f>IF(ISNUMBER(SEARCH("Quiosque",N461)),"SIM","")</f>
        <v/>
      </c>
      <c r="AK461" s="101" t="n"/>
    </row>
    <row r="462">
      <c r="A462" s="88" t="inlineStr">
        <is>
          <t>Protheus</t>
        </is>
      </c>
      <c r="B462" s="96" t="inlineStr">
        <is>
          <t>000279</t>
        </is>
      </c>
      <c r="C462" s="97">
        <f>IF(B462="—","—",IFERROR(VLOOKUP(B462,_Protheus_Cadastro!$A:$B,2,FALSE),"—"))</f>
        <v/>
      </c>
      <c r="D462" s="98">
        <f>IF(B462="—",IFERROR(INDEX(_ZIG_Cadastro!$D:$D,MATCH(H462,_ZIG_Cadastro!$A:$A,0)),"Produto"),IFERROR(VLOOKUP(B462,_Protheus_Cadastro!$A:$C,3,FALSE),"—"))</f>
        <v/>
      </c>
      <c r="E462" s="98">
        <f>IF(B462="—","—",IFERROR(VLOOKUP(B462,_Protheus_Cadastro!$A:$D,4,FALSE),"—"))</f>
        <v/>
      </c>
      <c r="F462" s="98">
        <f>IF(ISERROR(VLOOKUP(B462,'Estrutura Protheus'!A:A,1,FALSE)),"Não","Sim")</f>
        <v/>
      </c>
      <c r="G462" s="99">
        <f>IFERROR(INDEX(_Protheus_Cadastro!$H:$H,MATCH(B462,_Protheus_Cadastro!$A:$A,0)),"—")</f>
        <v/>
      </c>
      <c r="H462" s="211">
        <f>IFERROR(INDEX(_ZIG_Precos!$D:$D,MATCH(I462,_ZIG_Precos!$F:$F,0)),"—")</f>
        <v/>
      </c>
      <c r="I462" s="103">
        <f>IFERROR(VLOOKUP(B462,_Protheus_Cadastro!$A:$I,9,FALSE),"—")</f>
        <v/>
      </c>
      <c r="J462" s="101">
        <f>IFERROR(INDEX(_ZIG_Cadastro!$B:$B,MATCH(I462,_ZIG_Cadastro!$A:$A,0)),IFERROR(INDEX(_Entradas_ZIG!$B:$B,MATCH(I462,_Entradas_ZIG!$C:$C,0)),"—"))</f>
        <v/>
      </c>
      <c r="K462" s="101">
        <f>IFERROR(INDEX(_ZIG_Cadastro!$C:$C,MATCH(I462,_ZIG_Cadastro!$A:$A,0)),IFERROR(INDEX(_Entradas_ZIG!$D:$D,MATCH(I462,_Entradas_ZIG!$C:$C,0)),"—"))</f>
        <v/>
      </c>
      <c r="L462" s="99">
        <f>IF(I462="","Sem SKU ZIG",IF(I462="—","Sem SKU ZIG",IF(NOT(ISERROR(MATCH(I462,_ZIG_Cadastro!$A:$A,0))),IF(EXACT(UPPER(TRIM(C462)),UPPER(TRIM(INDEX(_ZIG_Cadastro!$B:$B,MATCH(I462,_ZIG_Cadastro!$A:$A,0))))),"OK","Atencao - Nome diverge"),IF(NOT(ISERROR(MATCH(I462,_Entradas_ZIG!$C:$C,0))),"OK","Erro - SKU nao encontrado"))))</f>
        <v/>
      </c>
      <c r="M462" s="99">
        <f>IFERROR(INDEX(_ZIG_Cadastro!$G:$G,MATCH(I462,_ZIG_Cadastro!$A:$A,0)),IF(NOT(ISERROR(MATCH(I462,_Entradas_ZIG!$C:$C,0))),"Ativo","—"))</f>
        <v/>
      </c>
      <c r="N462" s="102">
        <f>IFERROR(INDEX(_ZIG_Cadastro!$E:$E,MATCH(I462,_ZIG_Cadastro!$A:$A,0)),IFERROR(INDEX(_Entradas_ZIG!$F:$F,MATCH(I462,_Entradas_ZIG!$C:$C,0)),"—"))</f>
        <v/>
      </c>
      <c r="O462" s="99">
        <f>IF(AND(ISNUMBER(SEARCH("Espeto",N462)),ISNUMBER(SEARCH("Carin",N462))),"SIM","")</f>
        <v/>
      </c>
      <c r="P462" s="99">
        <f>IF(AND(ISNUMBER(SEARCH("Espeto",N462)),ISNUMBER(SEARCH("Lapa",N462))),"SIM","")</f>
        <v/>
      </c>
      <c r="Q462" s="99">
        <f>IF(AND(ISNUMBER(SEARCH("Espeto",N462)),ISNUMBER(SEARCH("Tatuapé",N462))),"SIM","")</f>
        <v/>
      </c>
      <c r="R462" s="99">
        <f>IF(AND(ISNUMBER(SEARCH("Espeto",N462)),ISNUMBER(SEARCH("Pavão",N462))),"SIM","")</f>
        <v/>
      </c>
      <c r="S462" s="99">
        <f>IF(AND(ISNUMBER(SEARCH("Espeto",N462)),ISNUMBER(SEARCH("Chac",N462))),"SIM","")</f>
        <v/>
      </c>
      <c r="T462" s="99">
        <f>IF(AND(ISNUMBER(SEARCH("Espeto",N462)),ISNUMBER(SEARCH("Madalena",N462))),"SIM","")</f>
        <v/>
      </c>
      <c r="U462" s="99">
        <f>IF(AND(ISNUMBER(SEARCH("Espeto",N462)),ISNUMBER(SEARCH("Mariana",N462))),"SIM","")</f>
        <v/>
      </c>
      <c r="V462" s="99">
        <f>IF(AND(ISNUMBER(SEARCH("Espeto",N462)),ISNUMBER(SEARCH("Perdizes",N462))),"SIM","")</f>
        <v/>
      </c>
      <c r="W462" s="99">
        <f>IF(AND(ISNUMBER(SEARCH("Espeto",N462)),ISNUMBER(SEARCH("Santana",N462))),"SIM","")</f>
        <v/>
      </c>
      <c r="X462" s="99">
        <f>IF(AND(ISNUMBER(SEARCH("Espeto",N462)),ISNUMBER(SEARCH("André",N462))),"SIM","")</f>
        <v/>
      </c>
      <c r="Y462" s="99">
        <f>IF(AND(ISNUMBER(SEARCH("Delivery",N462)),ISNUMBER(SEARCH("Carin",N462))),"SIM","")</f>
        <v/>
      </c>
      <c r="Z462" s="99">
        <f>IF(AND(ISNUMBER(SEARCH("Delivery",N462)),ISNUMBER(SEARCH("Lapa",N462))),"SIM","")</f>
        <v/>
      </c>
      <c r="AA462" s="99">
        <f>IF(AND(ISNUMBER(SEARCH("Delivery",N462)),ISNUMBER(SEARCH("Tatuapé",N462))),"SIM","")</f>
        <v/>
      </c>
      <c r="AB462" s="99">
        <f>IF(AND(ISNUMBER(SEARCH("Delivery",N462)),ISNUMBER(SEARCH("Pavão",N462))),"SIM","")</f>
        <v/>
      </c>
      <c r="AC462" s="99">
        <f>IF(AND(ISNUMBER(SEARCH("Delivery",N462)),ISNUMBER(SEARCH("Chac",N462))),"SIM","")</f>
        <v/>
      </c>
      <c r="AD462" s="99">
        <f>IF(AND(ISNUMBER(SEARCH("Delivery",N462)),ISNUMBER(SEARCH("Madalena",N462))),"SIM","")</f>
        <v/>
      </c>
      <c r="AE462" s="92">
        <f>IF(AND(ISNUMBER(SEARCH("Delivery",N462)),ISNUMBER(SEARCH("Mariana",N462))),"SIM","")</f>
        <v/>
      </c>
      <c r="AF462" s="92">
        <f>IF(AND(ISNUMBER(SEARCH("Delivery",N462)),ISNUMBER(SEARCH("Perdizes",N462))),"SIM","")</f>
        <v/>
      </c>
      <c r="AG462" s="92">
        <f>IF(AND(ISNUMBER(SEARCH("Delivery",N462)),ISNUMBER(SEARCH("Santana",N462))),"SIM","")</f>
        <v/>
      </c>
      <c r="AH462" s="92">
        <f>IF(AND(ISNUMBER(SEARCH("Delivery",N462)),ISNUMBER(SEARCH("André",N462))),"SIM","")</f>
        <v/>
      </c>
      <c r="AI462" s="92">
        <f>IF(ISNUMBER(SEARCH("Interlagos",N462)),"SIM","")</f>
        <v/>
      </c>
      <c r="AJ462" s="92">
        <f>IF(ISNUMBER(SEARCH("Quiosque",N462)),"SIM","")</f>
        <v/>
      </c>
      <c r="AK462" s="93" t="n"/>
    </row>
    <row r="463">
      <c r="A463" s="88" t="inlineStr">
        <is>
          <t>Protheus</t>
        </is>
      </c>
      <c r="B463" s="89" t="inlineStr">
        <is>
          <t>000063</t>
        </is>
      </c>
      <c r="C463" s="90">
        <f>IF(B463="—","—",IFERROR(VLOOKUP(B463,_Protheus_Cadastro!$A:$B,2,FALSE),"—"))</f>
        <v/>
      </c>
      <c r="D463" s="91">
        <f>IF(B463="—",IFERROR(INDEX(_ZIG_Cadastro!$D:$D,MATCH(H463,_ZIG_Cadastro!$A:$A,0)),"Produto"),IFERROR(VLOOKUP(B463,_Protheus_Cadastro!$A:$C,3,FALSE),"—"))</f>
        <v/>
      </c>
      <c r="E463" s="91">
        <f>IF(B463="—","—",IFERROR(VLOOKUP(B463,_Protheus_Cadastro!$A:$D,4,FALSE),"—"))</f>
        <v/>
      </c>
      <c r="F463" s="91">
        <f>IF(ISERROR(VLOOKUP(B463,'Estrutura Protheus'!A:A,1,FALSE)),"Não","Sim")</f>
        <v/>
      </c>
      <c r="G463" s="92">
        <f>IFERROR(INDEX(_Protheus_Cadastro!$H:$H,MATCH(B463,_Protheus_Cadastro!$A:$A,0)),"—")</f>
        <v/>
      </c>
      <c r="H463" s="210">
        <f>IFERROR(INDEX(_ZIG_Precos!$D:$D,MATCH(I463,_ZIG_Precos!$F:$F,0)),"—")</f>
        <v/>
      </c>
      <c r="I463" s="95">
        <f>IFERROR(VLOOKUP(B463,_Protheus_Cadastro!$A:$I,9,FALSE),"—")</f>
        <v/>
      </c>
      <c r="J463" s="93">
        <f>IFERROR(INDEX(_ZIG_Cadastro!$B:$B,MATCH(I463,_ZIG_Cadastro!$A:$A,0)),IFERROR(INDEX(_Entradas_ZIG!$B:$B,MATCH(I463,_Entradas_ZIG!$C:$C,0)),"—"))</f>
        <v/>
      </c>
      <c r="K463" s="93">
        <f>IFERROR(INDEX(_ZIG_Cadastro!$C:$C,MATCH(I463,_ZIG_Cadastro!$A:$A,0)),IFERROR(INDEX(_Entradas_ZIG!$D:$D,MATCH(I463,_Entradas_ZIG!$C:$C,0)),"—"))</f>
        <v/>
      </c>
      <c r="L463" s="92">
        <f>IF(I463="","Sem SKU ZIG",IF(I463="—","Sem SKU ZIG",IF(NOT(ISERROR(MATCH(I463,_ZIG_Cadastro!$A:$A,0))),IF(EXACT(UPPER(TRIM(C463)),UPPER(TRIM(INDEX(_ZIG_Cadastro!$B:$B,MATCH(I463,_ZIG_Cadastro!$A:$A,0))))),"OK","Atencao - Nome diverge"),IF(NOT(ISERROR(MATCH(I463,_Entradas_ZIG!$C:$C,0))),"OK","Erro - SKU nao encontrado"))))</f>
        <v/>
      </c>
      <c r="M463" s="92">
        <f>IFERROR(INDEX(_ZIG_Cadastro!$G:$G,MATCH(I463,_ZIG_Cadastro!$A:$A,0)),IF(NOT(ISERROR(MATCH(I463,_Entradas_ZIG!$C:$C,0))),"Ativo","—"))</f>
        <v/>
      </c>
      <c r="N463" s="94">
        <f>IFERROR(INDEX(_ZIG_Cadastro!$E:$E,MATCH(I463,_ZIG_Cadastro!$A:$A,0)),IFERROR(INDEX(_Entradas_ZIG!$F:$F,MATCH(I463,_Entradas_ZIG!$C:$C,0)),"—"))</f>
        <v/>
      </c>
      <c r="O463" s="92">
        <f>IF(AND(ISNUMBER(SEARCH("Espeto",N463)),ISNUMBER(SEARCH("Carin",N463))),"SIM","")</f>
        <v/>
      </c>
      <c r="P463" s="92">
        <f>IF(AND(ISNUMBER(SEARCH("Espeto",N463)),ISNUMBER(SEARCH("Lapa",N463))),"SIM","")</f>
        <v/>
      </c>
      <c r="Q463" s="92">
        <f>IF(AND(ISNUMBER(SEARCH("Espeto",N463)),ISNUMBER(SEARCH("Tatuapé",N463))),"SIM","")</f>
        <v/>
      </c>
      <c r="R463" s="92">
        <f>IF(AND(ISNUMBER(SEARCH("Espeto",N463)),ISNUMBER(SEARCH("Pavão",N463))),"SIM","")</f>
        <v/>
      </c>
      <c r="S463" s="92">
        <f>IF(AND(ISNUMBER(SEARCH("Espeto",N463)),ISNUMBER(SEARCH("Chac",N463))),"SIM","")</f>
        <v/>
      </c>
      <c r="T463" s="92">
        <f>IF(AND(ISNUMBER(SEARCH("Espeto",N463)),ISNUMBER(SEARCH("Madalena",N463))),"SIM","")</f>
        <v/>
      </c>
      <c r="U463" s="92">
        <f>IF(AND(ISNUMBER(SEARCH("Espeto",N463)),ISNUMBER(SEARCH("Mariana",N463))),"SIM","")</f>
        <v/>
      </c>
      <c r="V463" s="92">
        <f>IF(AND(ISNUMBER(SEARCH("Espeto",N463)),ISNUMBER(SEARCH("Perdizes",N463))),"SIM","")</f>
        <v/>
      </c>
      <c r="W463" s="92">
        <f>IF(AND(ISNUMBER(SEARCH("Espeto",N463)),ISNUMBER(SEARCH("Santana",N463))),"SIM","")</f>
        <v/>
      </c>
      <c r="X463" s="92">
        <f>IF(AND(ISNUMBER(SEARCH("Espeto",N463)),ISNUMBER(SEARCH("André",N463))),"SIM","")</f>
        <v/>
      </c>
      <c r="Y463" s="92">
        <f>IF(AND(ISNUMBER(SEARCH("Delivery",N463)),ISNUMBER(SEARCH("Carin",N463))),"SIM","")</f>
        <v/>
      </c>
      <c r="Z463" s="92">
        <f>IF(AND(ISNUMBER(SEARCH("Delivery",N463)),ISNUMBER(SEARCH("Lapa",N463))),"SIM","")</f>
        <v/>
      </c>
      <c r="AA463" s="92">
        <f>IF(AND(ISNUMBER(SEARCH("Delivery",N463)),ISNUMBER(SEARCH("Tatuapé",N463))),"SIM","")</f>
        <v/>
      </c>
      <c r="AB463" s="92">
        <f>IF(AND(ISNUMBER(SEARCH("Delivery",N463)),ISNUMBER(SEARCH("Pavão",N463))),"SIM","")</f>
        <v/>
      </c>
      <c r="AC463" s="92">
        <f>IF(AND(ISNUMBER(SEARCH("Delivery",N463)),ISNUMBER(SEARCH("Chac",N463))),"SIM","")</f>
        <v/>
      </c>
      <c r="AD463" s="92">
        <f>IF(AND(ISNUMBER(SEARCH("Delivery",N463)),ISNUMBER(SEARCH("Madalena",N463))),"SIM","")</f>
        <v/>
      </c>
      <c r="AE463" s="99">
        <f>IF(AND(ISNUMBER(SEARCH("Delivery",N463)),ISNUMBER(SEARCH("Mariana",N463))),"SIM","")</f>
        <v/>
      </c>
      <c r="AF463" s="99">
        <f>IF(AND(ISNUMBER(SEARCH("Delivery",N463)),ISNUMBER(SEARCH("Perdizes",N463))),"SIM","")</f>
        <v/>
      </c>
      <c r="AG463" s="99">
        <f>IF(AND(ISNUMBER(SEARCH("Delivery",N463)),ISNUMBER(SEARCH("Santana",N463))),"SIM","")</f>
        <v/>
      </c>
      <c r="AH463" s="99">
        <f>IF(AND(ISNUMBER(SEARCH("Delivery",N463)),ISNUMBER(SEARCH("André",N463))),"SIM","")</f>
        <v/>
      </c>
      <c r="AI463" s="99">
        <f>IF(ISNUMBER(SEARCH("Interlagos",N463)),"SIM","")</f>
        <v/>
      </c>
      <c r="AJ463" s="99">
        <f>IF(ISNUMBER(SEARCH("Quiosque",N463)),"SIM","")</f>
        <v/>
      </c>
      <c r="AK463" s="101" t="n"/>
    </row>
    <row r="464">
      <c r="A464" s="88" t="inlineStr">
        <is>
          <t>Protheus</t>
        </is>
      </c>
      <c r="B464" s="96" t="inlineStr">
        <is>
          <t>010071</t>
        </is>
      </c>
      <c r="C464" s="97">
        <f>IF(B464="—","—",IFERROR(VLOOKUP(B464,_Protheus_Cadastro!$A:$B,2,FALSE),"—"))</f>
        <v/>
      </c>
      <c r="D464" s="98">
        <f>IF(B464="—",IFERROR(INDEX(_ZIG_Cadastro!$D:$D,MATCH(H464,_ZIG_Cadastro!$A:$A,0)),"Produto"),IFERROR(VLOOKUP(B464,_Protheus_Cadastro!$A:$C,3,FALSE),"—"))</f>
        <v/>
      </c>
      <c r="E464" s="98">
        <f>IF(B464="—","—",IFERROR(VLOOKUP(B464,_Protheus_Cadastro!$A:$D,4,FALSE),"—"))</f>
        <v/>
      </c>
      <c r="F464" s="98">
        <f>IF(ISERROR(VLOOKUP(B464,'Estrutura Protheus'!A:A,1,FALSE)),"Não","Sim")</f>
        <v/>
      </c>
      <c r="G464" s="99">
        <f>IFERROR(INDEX(_Protheus_Cadastro!$H:$H,MATCH(B464,_Protheus_Cadastro!$A:$A,0)),"—")</f>
        <v/>
      </c>
      <c r="H464" s="211">
        <f>IFERROR(INDEX(_ZIG_Precos!$D:$D,MATCH(I464,_ZIG_Precos!$F:$F,0)),"—")</f>
        <v/>
      </c>
      <c r="I464" s="103">
        <f>IFERROR(VLOOKUP(B464,_Protheus_Cadastro!$A:$I,9,FALSE),"—")</f>
        <v/>
      </c>
      <c r="J464" s="101">
        <f>IFERROR(INDEX(_ZIG_Cadastro!$B:$B,MATCH(I464,_ZIG_Cadastro!$A:$A,0)),IFERROR(INDEX(_Entradas_ZIG!$B:$B,MATCH(I464,_Entradas_ZIG!$C:$C,0)),"—"))</f>
        <v/>
      </c>
      <c r="K464" s="101">
        <f>IFERROR(INDEX(_ZIG_Cadastro!$C:$C,MATCH(I464,_ZIG_Cadastro!$A:$A,0)),IFERROR(INDEX(_Entradas_ZIG!$D:$D,MATCH(I464,_Entradas_ZIG!$C:$C,0)),"—"))</f>
        <v/>
      </c>
      <c r="L464" s="99">
        <f>IF(I464="","Sem SKU ZIG",IF(I464="—","Sem SKU ZIG",IF(NOT(ISERROR(MATCH(I464,_ZIG_Cadastro!$A:$A,0))),IF(EXACT(UPPER(TRIM(C464)),UPPER(TRIM(INDEX(_ZIG_Cadastro!$B:$B,MATCH(I464,_ZIG_Cadastro!$A:$A,0))))),"OK","Atencao - Nome diverge"),IF(NOT(ISERROR(MATCH(I464,_Entradas_ZIG!$C:$C,0))),"OK","Erro - SKU nao encontrado"))))</f>
        <v/>
      </c>
      <c r="M464" s="99">
        <f>IFERROR(INDEX(_ZIG_Cadastro!$G:$G,MATCH(I464,_ZIG_Cadastro!$A:$A,0)),IF(NOT(ISERROR(MATCH(I464,_Entradas_ZIG!$C:$C,0))),"Ativo","—"))</f>
        <v/>
      </c>
      <c r="N464" s="102">
        <f>IFERROR(INDEX(_ZIG_Cadastro!$E:$E,MATCH(I464,_ZIG_Cadastro!$A:$A,0)),IFERROR(INDEX(_Entradas_ZIG!$F:$F,MATCH(I464,_Entradas_ZIG!$C:$C,0)),"—"))</f>
        <v/>
      </c>
      <c r="O464" s="99">
        <f>IF(AND(ISNUMBER(SEARCH("Espeto",N464)),ISNUMBER(SEARCH("Carin",N464))),"SIM","")</f>
        <v/>
      </c>
      <c r="P464" s="99">
        <f>IF(AND(ISNUMBER(SEARCH("Espeto",N464)),ISNUMBER(SEARCH("Lapa",N464))),"SIM","")</f>
        <v/>
      </c>
      <c r="Q464" s="99">
        <f>IF(AND(ISNUMBER(SEARCH("Espeto",N464)),ISNUMBER(SEARCH("Tatuapé",N464))),"SIM","")</f>
        <v/>
      </c>
      <c r="R464" s="99">
        <f>IF(AND(ISNUMBER(SEARCH("Espeto",N464)),ISNUMBER(SEARCH("Pavão",N464))),"SIM","")</f>
        <v/>
      </c>
      <c r="S464" s="99">
        <f>IF(AND(ISNUMBER(SEARCH("Espeto",N464)),ISNUMBER(SEARCH("Chac",N464))),"SIM","")</f>
        <v/>
      </c>
      <c r="T464" s="99">
        <f>IF(AND(ISNUMBER(SEARCH("Espeto",N464)),ISNUMBER(SEARCH("Madalena",N464))),"SIM","")</f>
        <v/>
      </c>
      <c r="U464" s="99">
        <f>IF(AND(ISNUMBER(SEARCH("Espeto",N464)),ISNUMBER(SEARCH("Mariana",N464))),"SIM","")</f>
        <v/>
      </c>
      <c r="V464" s="99">
        <f>IF(AND(ISNUMBER(SEARCH("Espeto",N464)),ISNUMBER(SEARCH("Perdizes",N464))),"SIM","")</f>
        <v/>
      </c>
      <c r="W464" s="99">
        <f>IF(AND(ISNUMBER(SEARCH("Espeto",N464)),ISNUMBER(SEARCH("Santana",N464))),"SIM","")</f>
        <v/>
      </c>
      <c r="X464" s="99">
        <f>IF(AND(ISNUMBER(SEARCH("Espeto",N464)),ISNUMBER(SEARCH("André",N464))),"SIM","")</f>
        <v/>
      </c>
      <c r="Y464" s="99">
        <f>IF(AND(ISNUMBER(SEARCH("Delivery",N464)),ISNUMBER(SEARCH("Carin",N464))),"SIM","")</f>
        <v/>
      </c>
      <c r="Z464" s="99">
        <f>IF(AND(ISNUMBER(SEARCH("Delivery",N464)),ISNUMBER(SEARCH("Lapa",N464))),"SIM","")</f>
        <v/>
      </c>
      <c r="AA464" s="99">
        <f>IF(AND(ISNUMBER(SEARCH("Delivery",N464)),ISNUMBER(SEARCH("Tatuapé",N464))),"SIM","")</f>
        <v/>
      </c>
      <c r="AB464" s="99">
        <f>IF(AND(ISNUMBER(SEARCH("Delivery",N464)),ISNUMBER(SEARCH("Pavão",N464))),"SIM","")</f>
        <v/>
      </c>
      <c r="AC464" s="99">
        <f>IF(AND(ISNUMBER(SEARCH("Delivery",N464)),ISNUMBER(SEARCH("Chac",N464))),"SIM","")</f>
        <v/>
      </c>
      <c r="AD464" s="99">
        <f>IF(AND(ISNUMBER(SEARCH("Delivery",N464)),ISNUMBER(SEARCH("Madalena",N464))),"SIM","")</f>
        <v/>
      </c>
      <c r="AE464" s="92">
        <f>IF(AND(ISNUMBER(SEARCH("Delivery",N464)),ISNUMBER(SEARCH("Mariana",N464))),"SIM","")</f>
        <v/>
      </c>
      <c r="AF464" s="92">
        <f>IF(AND(ISNUMBER(SEARCH("Delivery",N464)),ISNUMBER(SEARCH("Perdizes",N464))),"SIM","")</f>
        <v/>
      </c>
      <c r="AG464" s="92">
        <f>IF(AND(ISNUMBER(SEARCH("Delivery",N464)),ISNUMBER(SEARCH("Santana",N464))),"SIM","")</f>
        <v/>
      </c>
      <c r="AH464" s="92">
        <f>IF(AND(ISNUMBER(SEARCH("Delivery",N464)),ISNUMBER(SEARCH("André",N464))),"SIM","")</f>
        <v/>
      </c>
      <c r="AI464" s="92">
        <f>IF(ISNUMBER(SEARCH("Interlagos",N464)),"SIM","")</f>
        <v/>
      </c>
      <c r="AJ464" s="92">
        <f>IF(ISNUMBER(SEARCH("Quiosque",N464)),"SIM","")</f>
        <v/>
      </c>
      <c r="AK464" s="93" t="n"/>
    </row>
    <row r="465">
      <c r="A465" s="88" t="inlineStr">
        <is>
          <t>Protheus</t>
        </is>
      </c>
      <c r="B465" s="89" t="inlineStr">
        <is>
          <t>001391</t>
        </is>
      </c>
      <c r="C465" s="90">
        <f>IF(B465="—","—",IFERROR(VLOOKUP(B465,_Protheus_Cadastro!$A:$B,2,FALSE),"—"))</f>
        <v/>
      </c>
      <c r="D465" s="91">
        <f>IF(B465="—",IFERROR(INDEX(_ZIG_Cadastro!$D:$D,MATCH(H465,_ZIG_Cadastro!$A:$A,0)),"Produto"),IFERROR(VLOOKUP(B465,_Protheus_Cadastro!$A:$C,3,FALSE),"—"))</f>
        <v/>
      </c>
      <c r="E465" s="91">
        <f>IF(B465="—","—",IFERROR(VLOOKUP(B465,_Protheus_Cadastro!$A:$D,4,FALSE),"—"))</f>
        <v/>
      </c>
      <c r="F465" s="91">
        <f>IF(ISERROR(VLOOKUP(B465,'Estrutura Protheus'!A:A,1,FALSE)),"Não","Sim")</f>
        <v/>
      </c>
      <c r="G465" s="92">
        <f>IFERROR(INDEX(_Protheus_Cadastro!$H:$H,MATCH(B465,_Protheus_Cadastro!$A:$A,0)),"—")</f>
        <v/>
      </c>
      <c r="H465" s="210">
        <f>IFERROR(INDEX(_ZIG_Precos!$D:$D,MATCH(I465,_ZIG_Precos!$F:$F,0)),"—")</f>
        <v/>
      </c>
      <c r="I465" s="95">
        <f>IFERROR(VLOOKUP(B465,_Protheus_Cadastro!$A:$I,9,FALSE),"—")</f>
        <v/>
      </c>
      <c r="J465" s="93">
        <f>IFERROR(INDEX(_ZIG_Cadastro!$B:$B,MATCH(I465,_ZIG_Cadastro!$A:$A,0)),IFERROR(INDEX(_Entradas_ZIG!$B:$B,MATCH(I465,_Entradas_ZIG!$C:$C,0)),"—"))</f>
        <v/>
      </c>
      <c r="K465" s="93">
        <f>IFERROR(INDEX(_ZIG_Cadastro!$C:$C,MATCH(I465,_ZIG_Cadastro!$A:$A,0)),IFERROR(INDEX(_Entradas_ZIG!$D:$D,MATCH(I465,_Entradas_ZIG!$C:$C,0)),"—"))</f>
        <v/>
      </c>
      <c r="L465" s="92">
        <f>IF(I465="","Sem SKU ZIG",IF(I465="—","Sem SKU ZIG",IF(NOT(ISERROR(MATCH(I465,_ZIG_Cadastro!$A:$A,0))),IF(EXACT(UPPER(TRIM(C465)),UPPER(TRIM(INDEX(_ZIG_Cadastro!$B:$B,MATCH(I465,_ZIG_Cadastro!$A:$A,0))))),"OK","Atencao - Nome diverge"),IF(NOT(ISERROR(MATCH(I465,_Entradas_ZIG!$C:$C,0))),"OK","Erro - SKU nao encontrado"))))</f>
        <v/>
      </c>
      <c r="M465" s="92">
        <f>IFERROR(INDEX(_ZIG_Cadastro!$G:$G,MATCH(I465,_ZIG_Cadastro!$A:$A,0)),IF(NOT(ISERROR(MATCH(I465,_Entradas_ZIG!$C:$C,0))),"Ativo","—"))</f>
        <v/>
      </c>
      <c r="N465" s="94">
        <f>IFERROR(INDEX(_ZIG_Cadastro!$E:$E,MATCH(I465,_ZIG_Cadastro!$A:$A,0)),IFERROR(INDEX(_Entradas_ZIG!$F:$F,MATCH(I465,_Entradas_ZIG!$C:$C,0)),"—"))</f>
        <v/>
      </c>
      <c r="O465" s="92">
        <f>IF(AND(ISNUMBER(SEARCH("Espeto",N465)),ISNUMBER(SEARCH("Carin",N465))),"SIM","")</f>
        <v/>
      </c>
      <c r="P465" s="92">
        <f>IF(AND(ISNUMBER(SEARCH("Espeto",N465)),ISNUMBER(SEARCH("Lapa",N465))),"SIM","")</f>
        <v/>
      </c>
      <c r="Q465" s="92">
        <f>IF(AND(ISNUMBER(SEARCH("Espeto",N465)),ISNUMBER(SEARCH("Tatuapé",N465))),"SIM","")</f>
        <v/>
      </c>
      <c r="R465" s="92">
        <f>IF(AND(ISNUMBER(SEARCH("Espeto",N465)),ISNUMBER(SEARCH("Pavão",N465))),"SIM","")</f>
        <v/>
      </c>
      <c r="S465" s="92">
        <f>IF(AND(ISNUMBER(SEARCH("Espeto",N465)),ISNUMBER(SEARCH("Chac",N465))),"SIM","")</f>
        <v/>
      </c>
      <c r="T465" s="92">
        <f>IF(AND(ISNUMBER(SEARCH("Espeto",N465)),ISNUMBER(SEARCH("Madalena",N465))),"SIM","")</f>
        <v/>
      </c>
      <c r="U465" s="92">
        <f>IF(AND(ISNUMBER(SEARCH("Espeto",N465)),ISNUMBER(SEARCH("Mariana",N465))),"SIM","")</f>
        <v/>
      </c>
      <c r="V465" s="92">
        <f>IF(AND(ISNUMBER(SEARCH("Espeto",N465)),ISNUMBER(SEARCH("Perdizes",N465))),"SIM","")</f>
        <v/>
      </c>
      <c r="W465" s="92">
        <f>IF(AND(ISNUMBER(SEARCH("Espeto",N465)),ISNUMBER(SEARCH("Santana",N465))),"SIM","")</f>
        <v/>
      </c>
      <c r="X465" s="92">
        <f>IF(AND(ISNUMBER(SEARCH("Espeto",N465)),ISNUMBER(SEARCH("André",N465))),"SIM","")</f>
        <v/>
      </c>
      <c r="Y465" s="92">
        <f>IF(AND(ISNUMBER(SEARCH("Delivery",N465)),ISNUMBER(SEARCH("Carin",N465))),"SIM","")</f>
        <v/>
      </c>
      <c r="Z465" s="92">
        <f>IF(AND(ISNUMBER(SEARCH("Delivery",N465)),ISNUMBER(SEARCH("Lapa",N465))),"SIM","")</f>
        <v/>
      </c>
      <c r="AA465" s="92">
        <f>IF(AND(ISNUMBER(SEARCH("Delivery",N465)),ISNUMBER(SEARCH("Tatuapé",N465))),"SIM","")</f>
        <v/>
      </c>
      <c r="AB465" s="92">
        <f>IF(AND(ISNUMBER(SEARCH("Delivery",N465)),ISNUMBER(SEARCH("Pavão",N465))),"SIM","")</f>
        <v/>
      </c>
      <c r="AC465" s="92">
        <f>IF(AND(ISNUMBER(SEARCH("Delivery",N465)),ISNUMBER(SEARCH("Chac",N465))),"SIM","")</f>
        <v/>
      </c>
      <c r="AD465" s="92">
        <f>IF(AND(ISNUMBER(SEARCH("Delivery",N465)),ISNUMBER(SEARCH("Madalena",N465))),"SIM","")</f>
        <v/>
      </c>
      <c r="AE465" s="99">
        <f>IF(AND(ISNUMBER(SEARCH("Delivery",N465)),ISNUMBER(SEARCH("Mariana",N465))),"SIM","")</f>
        <v/>
      </c>
      <c r="AF465" s="99">
        <f>IF(AND(ISNUMBER(SEARCH("Delivery",N465)),ISNUMBER(SEARCH("Perdizes",N465))),"SIM","")</f>
        <v/>
      </c>
      <c r="AG465" s="99">
        <f>IF(AND(ISNUMBER(SEARCH("Delivery",N465)),ISNUMBER(SEARCH("Santana",N465))),"SIM","")</f>
        <v/>
      </c>
      <c r="AH465" s="99">
        <f>IF(AND(ISNUMBER(SEARCH("Delivery",N465)),ISNUMBER(SEARCH("André",N465))),"SIM","")</f>
        <v/>
      </c>
      <c r="AI465" s="99">
        <f>IF(ISNUMBER(SEARCH("Interlagos",N465)),"SIM","")</f>
        <v/>
      </c>
      <c r="AJ465" s="99">
        <f>IF(ISNUMBER(SEARCH("Quiosque",N465)),"SIM","")</f>
        <v/>
      </c>
      <c r="AK465" s="101" t="n"/>
    </row>
    <row r="466">
      <c r="A466" s="88" t="inlineStr">
        <is>
          <t>Protheus</t>
        </is>
      </c>
      <c r="B466" s="96" t="inlineStr">
        <is>
          <t>001392</t>
        </is>
      </c>
      <c r="C466" s="97">
        <f>IF(B466="—","—",IFERROR(VLOOKUP(B466,_Protheus_Cadastro!$A:$B,2,FALSE),"—"))</f>
        <v/>
      </c>
      <c r="D466" s="98">
        <f>IF(B466="—",IFERROR(INDEX(_ZIG_Cadastro!$D:$D,MATCH(H466,_ZIG_Cadastro!$A:$A,0)),"Produto"),IFERROR(VLOOKUP(B466,_Protheus_Cadastro!$A:$C,3,FALSE),"—"))</f>
        <v/>
      </c>
      <c r="E466" s="98">
        <f>IF(B466="—","—",IFERROR(VLOOKUP(B466,_Protheus_Cadastro!$A:$D,4,FALSE),"—"))</f>
        <v/>
      </c>
      <c r="F466" s="98">
        <f>IF(ISERROR(VLOOKUP(B466,'Estrutura Protheus'!A:A,1,FALSE)),"Não","Sim")</f>
        <v/>
      </c>
      <c r="G466" s="99">
        <f>IFERROR(INDEX(_Protheus_Cadastro!$H:$H,MATCH(B466,_Protheus_Cadastro!$A:$A,0)),"—")</f>
        <v/>
      </c>
      <c r="H466" s="211">
        <f>IFERROR(INDEX(_ZIG_Precos!$D:$D,MATCH(I466,_ZIG_Precos!$F:$F,0)),"—")</f>
        <v/>
      </c>
      <c r="I466" s="103">
        <f>IFERROR(VLOOKUP(B466,_Protheus_Cadastro!$A:$I,9,FALSE),"—")</f>
        <v/>
      </c>
      <c r="J466" s="101">
        <f>IFERROR(INDEX(_ZIG_Cadastro!$B:$B,MATCH(I466,_ZIG_Cadastro!$A:$A,0)),IFERROR(INDEX(_Entradas_ZIG!$B:$B,MATCH(I466,_Entradas_ZIG!$C:$C,0)),"—"))</f>
        <v/>
      </c>
      <c r="K466" s="101">
        <f>IFERROR(INDEX(_ZIG_Cadastro!$C:$C,MATCH(I466,_ZIG_Cadastro!$A:$A,0)),IFERROR(INDEX(_Entradas_ZIG!$D:$D,MATCH(I466,_Entradas_ZIG!$C:$C,0)),"—"))</f>
        <v/>
      </c>
      <c r="L466" s="99">
        <f>IF(I466="","Sem SKU ZIG",IF(I466="—","Sem SKU ZIG",IF(NOT(ISERROR(MATCH(I466,_ZIG_Cadastro!$A:$A,0))),IF(EXACT(UPPER(TRIM(C466)),UPPER(TRIM(INDEX(_ZIG_Cadastro!$B:$B,MATCH(I466,_ZIG_Cadastro!$A:$A,0))))),"OK","Atencao - Nome diverge"),IF(NOT(ISERROR(MATCH(I466,_Entradas_ZIG!$C:$C,0))),"OK","Erro - SKU nao encontrado"))))</f>
        <v/>
      </c>
      <c r="M466" s="99">
        <f>IFERROR(INDEX(_ZIG_Cadastro!$G:$G,MATCH(I466,_ZIG_Cadastro!$A:$A,0)),IF(NOT(ISERROR(MATCH(I466,_Entradas_ZIG!$C:$C,0))),"Ativo","—"))</f>
        <v/>
      </c>
      <c r="N466" s="102">
        <f>IFERROR(INDEX(_ZIG_Cadastro!$E:$E,MATCH(I466,_ZIG_Cadastro!$A:$A,0)),IFERROR(INDEX(_Entradas_ZIG!$F:$F,MATCH(I466,_Entradas_ZIG!$C:$C,0)),"—"))</f>
        <v/>
      </c>
      <c r="O466" s="99">
        <f>IF(AND(ISNUMBER(SEARCH("Espeto",N466)),ISNUMBER(SEARCH("Carin",N466))),"SIM","")</f>
        <v/>
      </c>
      <c r="P466" s="99">
        <f>IF(AND(ISNUMBER(SEARCH("Espeto",N466)),ISNUMBER(SEARCH("Lapa",N466))),"SIM","")</f>
        <v/>
      </c>
      <c r="Q466" s="99">
        <f>IF(AND(ISNUMBER(SEARCH("Espeto",N466)),ISNUMBER(SEARCH("Tatuapé",N466))),"SIM","")</f>
        <v/>
      </c>
      <c r="R466" s="99">
        <f>IF(AND(ISNUMBER(SEARCH("Espeto",N466)),ISNUMBER(SEARCH("Pavão",N466))),"SIM","")</f>
        <v/>
      </c>
      <c r="S466" s="99">
        <f>IF(AND(ISNUMBER(SEARCH("Espeto",N466)),ISNUMBER(SEARCH("Chac",N466))),"SIM","")</f>
        <v/>
      </c>
      <c r="T466" s="99">
        <f>IF(AND(ISNUMBER(SEARCH("Espeto",N466)),ISNUMBER(SEARCH("Madalena",N466))),"SIM","")</f>
        <v/>
      </c>
      <c r="U466" s="99">
        <f>IF(AND(ISNUMBER(SEARCH("Espeto",N466)),ISNUMBER(SEARCH("Mariana",N466))),"SIM","")</f>
        <v/>
      </c>
      <c r="V466" s="99">
        <f>IF(AND(ISNUMBER(SEARCH("Espeto",N466)),ISNUMBER(SEARCH("Perdizes",N466))),"SIM","")</f>
        <v/>
      </c>
      <c r="W466" s="99">
        <f>IF(AND(ISNUMBER(SEARCH("Espeto",N466)),ISNUMBER(SEARCH("Santana",N466))),"SIM","")</f>
        <v/>
      </c>
      <c r="X466" s="99">
        <f>IF(AND(ISNUMBER(SEARCH("Espeto",N466)),ISNUMBER(SEARCH("André",N466))),"SIM","")</f>
        <v/>
      </c>
      <c r="Y466" s="99">
        <f>IF(AND(ISNUMBER(SEARCH("Delivery",N466)),ISNUMBER(SEARCH("Carin",N466))),"SIM","")</f>
        <v/>
      </c>
      <c r="Z466" s="99">
        <f>IF(AND(ISNUMBER(SEARCH("Delivery",N466)),ISNUMBER(SEARCH("Lapa",N466))),"SIM","")</f>
        <v/>
      </c>
      <c r="AA466" s="99">
        <f>IF(AND(ISNUMBER(SEARCH("Delivery",N466)),ISNUMBER(SEARCH("Tatuapé",N466))),"SIM","")</f>
        <v/>
      </c>
      <c r="AB466" s="99">
        <f>IF(AND(ISNUMBER(SEARCH("Delivery",N466)),ISNUMBER(SEARCH("Pavão",N466))),"SIM","")</f>
        <v/>
      </c>
      <c r="AC466" s="99">
        <f>IF(AND(ISNUMBER(SEARCH("Delivery",N466)),ISNUMBER(SEARCH("Chac",N466))),"SIM","")</f>
        <v/>
      </c>
      <c r="AD466" s="99">
        <f>IF(AND(ISNUMBER(SEARCH("Delivery",N466)),ISNUMBER(SEARCH("Madalena",N466))),"SIM","")</f>
        <v/>
      </c>
      <c r="AE466" s="92">
        <f>IF(AND(ISNUMBER(SEARCH("Delivery",N466)),ISNUMBER(SEARCH("Mariana",N466))),"SIM","")</f>
        <v/>
      </c>
      <c r="AF466" s="92">
        <f>IF(AND(ISNUMBER(SEARCH("Delivery",N466)),ISNUMBER(SEARCH("Perdizes",N466))),"SIM","")</f>
        <v/>
      </c>
      <c r="AG466" s="92">
        <f>IF(AND(ISNUMBER(SEARCH("Delivery",N466)),ISNUMBER(SEARCH("Santana",N466))),"SIM","")</f>
        <v/>
      </c>
      <c r="AH466" s="92">
        <f>IF(AND(ISNUMBER(SEARCH("Delivery",N466)),ISNUMBER(SEARCH("André",N466))),"SIM","")</f>
        <v/>
      </c>
      <c r="AI466" s="92">
        <f>IF(ISNUMBER(SEARCH("Interlagos",N466)),"SIM","")</f>
        <v/>
      </c>
      <c r="AJ466" s="92">
        <f>IF(ISNUMBER(SEARCH("Quiosque",N466)),"SIM","")</f>
        <v/>
      </c>
      <c r="AK466" s="93" t="n"/>
    </row>
    <row r="467">
      <c r="A467" s="88" t="inlineStr">
        <is>
          <t>Protheus</t>
        </is>
      </c>
      <c r="B467" s="89" t="inlineStr">
        <is>
          <t>001953</t>
        </is>
      </c>
      <c r="C467" s="90">
        <f>IF(B467="—","—",IFERROR(VLOOKUP(B467,_Protheus_Cadastro!$A:$B,2,FALSE),"—"))</f>
        <v/>
      </c>
      <c r="D467" s="91">
        <f>IF(B467="—",IFERROR(INDEX(_ZIG_Cadastro!$D:$D,MATCH(H467,_ZIG_Cadastro!$A:$A,0)),"Produto"),IFERROR(VLOOKUP(B467,_Protheus_Cadastro!$A:$C,3,FALSE),"—"))</f>
        <v/>
      </c>
      <c r="E467" s="91">
        <f>IF(B467="—","—",IFERROR(VLOOKUP(B467,_Protheus_Cadastro!$A:$D,4,FALSE),"—"))</f>
        <v/>
      </c>
      <c r="F467" s="91">
        <f>IF(ISERROR(VLOOKUP(B467,'Estrutura Protheus'!A:A,1,FALSE)),"Não","Sim")</f>
        <v/>
      </c>
      <c r="G467" s="92">
        <f>IFERROR(INDEX(_Protheus_Cadastro!$H:$H,MATCH(B467,_Protheus_Cadastro!$A:$A,0)),"—")</f>
        <v/>
      </c>
      <c r="H467" s="210">
        <f>IFERROR(INDEX(_ZIG_Precos!$D:$D,MATCH(I467,_ZIG_Precos!$F:$F,0)),"—")</f>
        <v/>
      </c>
      <c r="I467" s="95">
        <f>IFERROR(VLOOKUP(B467,_Protheus_Cadastro!$A:$I,9,FALSE),"—")</f>
        <v/>
      </c>
      <c r="J467" s="93">
        <f>IFERROR(INDEX(_ZIG_Cadastro!$B:$B,MATCH(I467,_ZIG_Cadastro!$A:$A,0)),IFERROR(INDEX(_Entradas_ZIG!$B:$B,MATCH(I467,_Entradas_ZIG!$C:$C,0)),"—"))</f>
        <v/>
      </c>
      <c r="K467" s="93">
        <f>IFERROR(INDEX(_ZIG_Cadastro!$C:$C,MATCH(I467,_ZIG_Cadastro!$A:$A,0)),IFERROR(INDEX(_Entradas_ZIG!$D:$D,MATCH(I467,_Entradas_ZIG!$C:$C,0)),"—"))</f>
        <v/>
      </c>
      <c r="L467" s="92">
        <f>IF(I467="","Sem SKU ZIG",IF(I467="—","Sem SKU ZIG",IF(NOT(ISERROR(MATCH(I467,_ZIG_Cadastro!$A:$A,0))),IF(EXACT(UPPER(TRIM(C467)),UPPER(TRIM(INDEX(_ZIG_Cadastro!$B:$B,MATCH(I467,_ZIG_Cadastro!$A:$A,0))))),"OK","Atencao - Nome diverge"),IF(NOT(ISERROR(MATCH(I467,_Entradas_ZIG!$C:$C,0))),"OK","Erro - SKU nao encontrado"))))</f>
        <v/>
      </c>
      <c r="M467" s="92">
        <f>IFERROR(INDEX(_ZIG_Cadastro!$G:$G,MATCH(I467,_ZIG_Cadastro!$A:$A,0)),IF(NOT(ISERROR(MATCH(I467,_Entradas_ZIG!$C:$C,0))),"Ativo","—"))</f>
        <v/>
      </c>
      <c r="N467" s="94">
        <f>IFERROR(INDEX(_ZIG_Cadastro!$E:$E,MATCH(I467,_ZIG_Cadastro!$A:$A,0)),IFERROR(INDEX(_Entradas_ZIG!$F:$F,MATCH(I467,_Entradas_ZIG!$C:$C,0)),"—"))</f>
        <v/>
      </c>
      <c r="O467" s="92">
        <f>IF(AND(ISNUMBER(SEARCH("Espeto",N467)),ISNUMBER(SEARCH("Carin",N467))),"SIM","")</f>
        <v/>
      </c>
      <c r="P467" s="92">
        <f>IF(AND(ISNUMBER(SEARCH("Espeto",N467)),ISNUMBER(SEARCH("Lapa",N467))),"SIM","")</f>
        <v/>
      </c>
      <c r="Q467" s="92">
        <f>IF(AND(ISNUMBER(SEARCH("Espeto",N467)),ISNUMBER(SEARCH("Tatuapé",N467))),"SIM","")</f>
        <v/>
      </c>
      <c r="R467" s="92">
        <f>IF(AND(ISNUMBER(SEARCH("Espeto",N467)),ISNUMBER(SEARCH("Pavão",N467))),"SIM","")</f>
        <v/>
      </c>
      <c r="S467" s="92">
        <f>IF(AND(ISNUMBER(SEARCH("Espeto",N467)),ISNUMBER(SEARCH("Chac",N467))),"SIM","")</f>
        <v/>
      </c>
      <c r="T467" s="92">
        <f>IF(AND(ISNUMBER(SEARCH("Espeto",N467)),ISNUMBER(SEARCH("Madalena",N467))),"SIM","")</f>
        <v/>
      </c>
      <c r="U467" s="92">
        <f>IF(AND(ISNUMBER(SEARCH("Espeto",N467)),ISNUMBER(SEARCH("Mariana",N467))),"SIM","")</f>
        <v/>
      </c>
      <c r="V467" s="92">
        <f>IF(AND(ISNUMBER(SEARCH("Espeto",N467)),ISNUMBER(SEARCH("Perdizes",N467))),"SIM","")</f>
        <v/>
      </c>
      <c r="W467" s="92">
        <f>IF(AND(ISNUMBER(SEARCH("Espeto",N467)),ISNUMBER(SEARCH("Santana",N467))),"SIM","")</f>
        <v/>
      </c>
      <c r="X467" s="92">
        <f>IF(AND(ISNUMBER(SEARCH("Espeto",N467)),ISNUMBER(SEARCH("André",N467))),"SIM","")</f>
        <v/>
      </c>
      <c r="Y467" s="92">
        <f>IF(AND(ISNUMBER(SEARCH("Delivery",N467)),ISNUMBER(SEARCH("Carin",N467))),"SIM","")</f>
        <v/>
      </c>
      <c r="Z467" s="92">
        <f>IF(AND(ISNUMBER(SEARCH("Delivery",N467)),ISNUMBER(SEARCH("Lapa",N467))),"SIM","")</f>
        <v/>
      </c>
      <c r="AA467" s="92">
        <f>IF(AND(ISNUMBER(SEARCH("Delivery",N467)),ISNUMBER(SEARCH("Tatuapé",N467))),"SIM","")</f>
        <v/>
      </c>
      <c r="AB467" s="92">
        <f>IF(AND(ISNUMBER(SEARCH("Delivery",N467)),ISNUMBER(SEARCH("Pavão",N467))),"SIM","")</f>
        <v/>
      </c>
      <c r="AC467" s="92">
        <f>IF(AND(ISNUMBER(SEARCH("Delivery",N467)),ISNUMBER(SEARCH("Chac",N467))),"SIM","")</f>
        <v/>
      </c>
      <c r="AD467" s="92">
        <f>IF(AND(ISNUMBER(SEARCH("Delivery",N467)),ISNUMBER(SEARCH("Madalena",N467))),"SIM","")</f>
        <v/>
      </c>
      <c r="AE467" s="99">
        <f>IF(AND(ISNUMBER(SEARCH("Delivery",N467)),ISNUMBER(SEARCH("Mariana",N467))),"SIM","")</f>
        <v/>
      </c>
      <c r="AF467" s="99">
        <f>IF(AND(ISNUMBER(SEARCH("Delivery",N467)),ISNUMBER(SEARCH("Perdizes",N467))),"SIM","")</f>
        <v/>
      </c>
      <c r="AG467" s="99">
        <f>IF(AND(ISNUMBER(SEARCH("Delivery",N467)),ISNUMBER(SEARCH("Santana",N467))),"SIM","")</f>
        <v/>
      </c>
      <c r="AH467" s="99">
        <f>IF(AND(ISNUMBER(SEARCH("Delivery",N467)),ISNUMBER(SEARCH("André",N467))),"SIM","")</f>
        <v/>
      </c>
      <c r="AI467" s="99">
        <f>IF(ISNUMBER(SEARCH("Interlagos",N467)),"SIM","")</f>
        <v/>
      </c>
      <c r="AJ467" s="99">
        <f>IF(ISNUMBER(SEARCH("Quiosque",N467)),"SIM","")</f>
        <v/>
      </c>
      <c r="AK467" s="101" t="n"/>
    </row>
    <row r="468">
      <c r="A468" s="88" t="inlineStr">
        <is>
          <t>Protheus</t>
        </is>
      </c>
      <c r="B468" s="96" t="inlineStr">
        <is>
          <t>001911</t>
        </is>
      </c>
      <c r="C468" s="97">
        <f>IF(B468="—","—",IFERROR(VLOOKUP(B468,_Protheus_Cadastro!$A:$B,2,FALSE),"—"))</f>
        <v/>
      </c>
      <c r="D468" s="98">
        <f>IF(B468="—",IFERROR(INDEX(_ZIG_Cadastro!$D:$D,MATCH(H468,_ZIG_Cadastro!$A:$A,0)),"Produto"),IFERROR(VLOOKUP(B468,_Protheus_Cadastro!$A:$C,3,FALSE),"—"))</f>
        <v/>
      </c>
      <c r="E468" s="98">
        <f>IF(B468="—","—",IFERROR(VLOOKUP(B468,_Protheus_Cadastro!$A:$D,4,FALSE),"—"))</f>
        <v/>
      </c>
      <c r="F468" s="98">
        <f>IF(ISERROR(VLOOKUP(B468,'Estrutura Protheus'!A:A,1,FALSE)),"Não","Sim")</f>
        <v/>
      </c>
      <c r="G468" s="99">
        <f>IFERROR(INDEX(_Protheus_Cadastro!$H:$H,MATCH(B468,_Protheus_Cadastro!$A:$A,0)),"—")</f>
        <v/>
      </c>
      <c r="H468" s="211">
        <f>IFERROR(INDEX(_ZIG_Precos!$D:$D,MATCH(I468,_ZIG_Precos!$F:$F,0)),"—")</f>
        <v/>
      </c>
      <c r="I468" s="103">
        <f>IFERROR(VLOOKUP(B468,_Protheus_Cadastro!$A:$I,9,FALSE),"—")</f>
        <v/>
      </c>
      <c r="J468" s="101">
        <f>IFERROR(INDEX(_ZIG_Cadastro!$B:$B,MATCH(I468,_ZIG_Cadastro!$A:$A,0)),IFERROR(INDEX(_Entradas_ZIG!$B:$B,MATCH(I468,_Entradas_ZIG!$C:$C,0)),"—"))</f>
        <v/>
      </c>
      <c r="K468" s="101">
        <f>IFERROR(INDEX(_ZIG_Cadastro!$C:$C,MATCH(I468,_ZIG_Cadastro!$A:$A,0)),IFERROR(INDEX(_Entradas_ZIG!$D:$D,MATCH(I468,_Entradas_ZIG!$C:$C,0)),"—"))</f>
        <v/>
      </c>
      <c r="L468" s="99">
        <f>IF(I468="","Sem SKU ZIG",IF(I468="—","Sem SKU ZIG",IF(NOT(ISERROR(MATCH(I468,_ZIG_Cadastro!$A:$A,0))),IF(EXACT(UPPER(TRIM(C468)),UPPER(TRIM(INDEX(_ZIG_Cadastro!$B:$B,MATCH(I468,_ZIG_Cadastro!$A:$A,0))))),"OK","Atencao - Nome diverge"),IF(NOT(ISERROR(MATCH(I468,_Entradas_ZIG!$C:$C,0))),"OK","Erro - SKU nao encontrado"))))</f>
        <v/>
      </c>
      <c r="M468" s="99">
        <f>IFERROR(INDEX(_ZIG_Cadastro!$G:$G,MATCH(I468,_ZIG_Cadastro!$A:$A,0)),IF(NOT(ISERROR(MATCH(I468,_Entradas_ZIG!$C:$C,0))),"Ativo","—"))</f>
        <v/>
      </c>
      <c r="N468" s="102">
        <f>IFERROR(INDEX(_ZIG_Cadastro!$E:$E,MATCH(I468,_ZIG_Cadastro!$A:$A,0)),IFERROR(INDEX(_Entradas_ZIG!$F:$F,MATCH(I468,_Entradas_ZIG!$C:$C,0)),"—"))</f>
        <v/>
      </c>
      <c r="O468" s="99">
        <f>IF(AND(ISNUMBER(SEARCH("Espeto",N468)),ISNUMBER(SEARCH("Carin",N468))),"SIM","")</f>
        <v/>
      </c>
      <c r="P468" s="99">
        <f>IF(AND(ISNUMBER(SEARCH("Espeto",N468)),ISNUMBER(SEARCH("Lapa",N468))),"SIM","")</f>
        <v/>
      </c>
      <c r="Q468" s="99">
        <f>IF(AND(ISNUMBER(SEARCH("Espeto",N468)),ISNUMBER(SEARCH("Tatuapé",N468))),"SIM","")</f>
        <v/>
      </c>
      <c r="R468" s="99">
        <f>IF(AND(ISNUMBER(SEARCH("Espeto",N468)),ISNUMBER(SEARCH("Pavão",N468))),"SIM","")</f>
        <v/>
      </c>
      <c r="S468" s="99">
        <f>IF(AND(ISNUMBER(SEARCH("Espeto",N468)),ISNUMBER(SEARCH("Chac",N468))),"SIM","")</f>
        <v/>
      </c>
      <c r="T468" s="99">
        <f>IF(AND(ISNUMBER(SEARCH("Espeto",N468)),ISNUMBER(SEARCH("Madalena",N468))),"SIM","")</f>
        <v/>
      </c>
      <c r="U468" s="99">
        <f>IF(AND(ISNUMBER(SEARCH("Espeto",N468)),ISNUMBER(SEARCH("Mariana",N468))),"SIM","")</f>
        <v/>
      </c>
      <c r="V468" s="99">
        <f>IF(AND(ISNUMBER(SEARCH("Espeto",N468)),ISNUMBER(SEARCH("Perdizes",N468))),"SIM","")</f>
        <v/>
      </c>
      <c r="W468" s="99">
        <f>IF(AND(ISNUMBER(SEARCH("Espeto",N468)),ISNUMBER(SEARCH("Santana",N468))),"SIM","")</f>
        <v/>
      </c>
      <c r="X468" s="99">
        <f>IF(AND(ISNUMBER(SEARCH("Espeto",N468)),ISNUMBER(SEARCH("André",N468))),"SIM","")</f>
        <v/>
      </c>
      <c r="Y468" s="99">
        <f>IF(AND(ISNUMBER(SEARCH("Delivery",N468)),ISNUMBER(SEARCH("Carin",N468))),"SIM","")</f>
        <v/>
      </c>
      <c r="Z468" s="99">
        <f>IF(AND(ISNUMBER(SEARCH("Delivery",N468)),ISNUMBER(SEARCH("Lapa",N468))),"SIM","")</f>
        <v/>
      </c>
      <c r="AA468" s="99">
        <f>IF(AND(ISNUMBER(SEARCH("Delivery",N468)),ISNUMBER(SEARCH("Tatuapé",N468))),"SIM","")</f>
        <v/>
      </c>
      <c r="AB468" s="99">
        <f>IF(AND(ISNUMBER(SEARCH("Delivery",N468)),ISNUMBER(SEARCH("Pavão",N468))),"SIM","")</f>
        <v/>
      </c>
      <c r="AC468" s="99">
        <f>IF(AND(ISNUMBER(SEARCH("Delivery",N468)),ISNUMBER(SEARCH("Chac",N468))),"SIM","")</f>
        <v/>
      </c>
      <c r="AD468" s="99">
        <f>IF(AND(ISNUMBER(SEARCH("Delivery",N468)),ISNUMBER(SEARCH("Madalena",N468))),"SIM","")</f>
        <v/>
      </c>
      <c r="AE468" s="92">
        <f>IF(AND(ISNUMBER(SEARCH("Delivery",N468)),ISNUMBER(SEARCH("Mariana",N468))),"SIM","")</f>
        <v/>
      </c>
      <c r="AF468" s="92">
        <f>IF(AND(ISNUMBER(SEARCH("Delivery",N468)),ISNUMBER(SEARCH("Perdizes",N468))),"SIM","")</f>
        <v/>
      </c>
      <c r="AG468" s="92">
        <f>IF(AND(ISNUMBER(SEARCH("Delivery",N468)),ISNUMBER(SEARCH("Santana",N468))),"SIM","")</f>
        <v/>
      </c>
      <c r="AH468" s="92">
        <f>IF(AND(ISNUMBER(SEARCH("Delivery",N468)),ISNUMBER(SEARCH("André",N468))),"SIM","")</f>
        <v/>
      </c>
      <c r="AI468" s="92">
        <f>IF(ISNUMBER(SEARCH("Interlagos",N468)),"SIM","")</f>
        <v/>
      </c>
      <c r="AJ468" s="92">
        <f>IF(ISNUMBER(SEARCH("Quiosque",N468)),"SIM","")</f>
        <v/>
      </c>
      <c r="AK468" s="93" t="n"/>
    </row>
    <row r="469">
      <c r="A469" s="88" t="inlineStr">
        <is>
          <t>Protheus</t>
        </is>
      </c>
      <c r="B469" s="96" t="inlineStr">
        <is>
          <t>000894</t>
        </is>
      </c>
      <c r="C469" s="97">
        <f>IF(B469="—","—",IFERROR(VLOOKUP(B469,_Protheus_Cadastro!$A:$B,2,FALSE),"—"))</f>
        <v/>
      </c>
      <c r="D469" s="98">
        <f>IF(B469="—",IFERROR(INDEX(_ZIG_Cadastro!$D:$D,MATCH(H469,_ZIG_Cadastro!$A:$A,0)),"Produto"),IFERROR(VLOOKUP(B469,_Protheus_Cadastro!$A:$C,3,FALSE),"—"))</f>
        <v/>
      </c>
      <c r="E469" s="98">
        <f>IF(B469="—","—",IFERROR(VLOOKUP(B469,_Protheus_Cadastro!$A:$D,4,FALSE),"—"))</f>
        <v/>
      </c>
      <c r="F469" s="98">
        <f>IF(ISERROR(VLOOKUP(B469,'Estrutura Protheus'!A:A,1,FALSE)),"Não","Sim")</f>
        <v/>
      </c>
      <c r="G469" s="99">
        <f>IFERROR(INDEX(_Protheus_Cadastro!$H:$H,MATCH(B469,_Protheus_Cadastro!$A:$A,0)),"—")</f>
        <v/>
      </c>
      <c r="H469" s="211">
        <f>IFERROR(INDEX(_ZIG_Precos!$D:$D,MATCH(I469,_ZIG_Precos!$F:$F,0)),"—")</f>
        <v/>
      </c>
      <c r="I469" s="103">
        <f>IFERROR(VLOOKUP(B469,_Protheus_Cadastro!$A:$I,9,FALSE),"—")</f>
        <v/>
      </c>
      <c r="J469" s="101">
        <f>IFERROR(INDEX(_ZIG_Cadastro!$B:$B,MATCH(I469,_ZIG_Cadastro!$A:$A,0)),IFERROR(INDEX(_Entradas_ZIG!$B:$B,MATCH(I469,_Entradas_ZIG!$C:$C,0)),"—"))</f>
        <v/>
      </c>
      <c r="K469" s="101">
        <f>IFERROR(INDEX(_ZIG_Cadastro!$C:$C,MATCH(I469,_ZIG_Cadastro!$A:$A,0)),IFERROR(INDEX(_Entradas_ZIG!$D:$D,MATCH(I469,_Entradas_ZIG!$C:$C,0)),"—"))</f>
        <v/>
      </c>
      <c r="L469" s="99">
        <f>IF(I469="","Sem SKU ZIG",IF(I469="—","Sem SKU ZIG",IF(NOT(ISERROR(MATCH(I469,_ZIG_Cadastro!$A:$A,0))),IF(EXACT(UPPER(TRIM(C469)),UPPER(TRIM(INDEX(_ZIG_Cadastro!$B:$B,MATCH(I469,_ZIG_Cadastro!$A:$A,0))))),"OK","Atencao - Nome diverge"),IF(NOT(ISERROR(MATCH(I469,_Entradas_ZIG!$C:$C,0))),"OK","Erro - SKU nao encontrado"))))</f>
        <v/>
      </c>
      <c r="M469" s="99">
        <f>IFERROR(INDEX(_ZIG_Cadastro!$G:$G,MATCH(I469,_ZIG_Cadastro!$A:$A,0)),IF(NOT(ISERROR(MATCH(I469,_Entradas_ZIG!$C:$C,0))),"Ativo","—"))</f>
        <v/>
      </c>
      <c r="N469" s="102">
        <f>IFERROR(INDEX(_ZIG_Cadastro!$E:$E,MATCH(I469,_ZIG_Cadastro!$A:$A,0)),IFERROR(INDEX(_Entradas_ZIG!$F:$F,MATCH(I469,_Entradas_ZIG!$C:$C,0)),"—"))</f>
        <v/>
      </c>
      <c r="O469" s="99">
        <f>IF(AND(ISNUMBER(SEARCH("Espeto",N469)),ISNUMBER(SEARCH("Carin",N469))),"SIM","")</f>
        <v/>
      </c>
      <c r="P469" s="99">
        <f>IF(AND(ISNUMBER(SEARCH("Espeto",N469)),ISNUMBER(SEARCH("Lapa",N469))),"SIM","")</f>
        <v/>
      </c>
      <c r="Q469" s="99">
        <f>IF(AND(ISNUMBER(SEARCH("Espeto",N469)),ISNUMBER(SEARCH("Tatuapé",N469))),"SIM","")</f>
        <v/>
      </c>
      <c r="R469" s="99">
        <f>IF(AND(ISNUMBER(SEARCH("Espeto",N469)),ISNUMBER(SEARCH("Pavão",N469))),"SIM","")</f>
        <v/>
      </c>
      <c r="S469" s="99">
        <f>IF(AND(ISNUMBER(SEARCH("Espeto",N469)),ISNUMBER(SEARCH("Chac",N469))),"SIM","")</f>
        <v/>
      </c>
      <c r="T469" s="99">
        <f>IF(AND(ISNUMBER(SEARCH("Espeto",N469)),ISNUMBER(SEARCH("Madalena",N469))),"SIM","")</f>
        <v/>
      </c>
      <c r="U469" s="99">
        <f>IF(AND(ISNUMBER(SEARCH("Espeto",N469)),ISNUMBER(SEARCH("Mariana",N469))),"SIM","")</f>
        <v/>
      </c>
      <c r="V469" s="99">
        <f>IF(AND(ISNUMBER(SEARCH("Espeto",N469)),ISNUMBER(SEARCH("Perdizes",N469))),"SIM","")</f>
        <v/>
      </c>
      <c r="W469" s="99">
        <f>IF(AND(ISNUMBER(SEARCH("Espeto",N469)),ISNUMBER(SEARCH("Santana",N469))),"SIM","")</f>
        <v/>
      </c>
      <c r="X469" s="99">
        <f>IF(AND(ISNUMBER(SEARCH("Espeto",N469)),ISNUMBER(SEARCH("André",N469))),"SIM","")</f>
        <v/>
      </c>
      <c r="Y469" s="99">
        <f>IF(AND(ISNUMBER(SEARCH("Delivery",N469)),ISNUMBER(SEARCH("Carin",N469))),"SIM","")</f>
        <v/>
      </c>
      <c r="Z469" s="99">
        <f>IF(AND(ISNUMBER(SEARCH("Delivery",N469)),ISNUMBER(SEARCH("Lapa",N469))),"SIM","")</f>
        <v/>
      </c>
      <c r="AA469" s="99">
        <f>IF(AND(ISNUMBER(SEARCH("Delivery",N469)),ISNUMBER(SEARCH("Tatuapé",N469))),"SIM","")</f>
        <v/>
      </c>
      <c r="AB469" s="99">
        <f>IF(AND(ISNUMBER(SEARCH("Delivery",N469)),ISNUMBER(SEARCH("Pavão",N469))),"SIM","")</f>
        <v/>
      </c>
      <c r="AC469" s="99">
        <f>IF(AND(ISNUMBER(SEARCH("Delivery",N469)),ISNUMBER(SEARCH("Chac",N469))),"SIM","")</f>
        <v/>
      </c>
      <c r="AD469" s="99">
        <f>IF(AND(ISNUMBER(SEARCH("Delivery",N469)),ISNUMBER(SEARCH("Madalena",N469))),"SIM","")</f>
        <v/>
      </c>
      <c r="AE469" s="92">
        <f>IF(AND(ISNUMBER(SEARCH("Delivery",N469)),ISNUMBER(SEARCH("Mariana",N469))),"SIM","")</f>
        <v/>
      </c>
      <c r="AF469" s="92">
        <f>IF(AND(ISNUMBER(SEARCH("Delivery",N469)),ISNUMBER(SEARCH("Perdizes",N469))),"SIM","")</f>
        <v/>
      </c>
      <c r="AG469" s="92">
        <f>IF(AND(ISNUMBER(SEARCH("Delivery",N469)),ISNUMBER(SEARCH("Santana",N469))),"SIM","")</f>
        <v/>
      </c>
      <c r="AH469" s="92">
        <f>IF(AND(ISNUMBER(SEARCH("Delivery",N469)),ISNUMBER(SEARCH("André",N469))),"SIM","")</f>
        <v/>
      </c>
      <c r="AI469" s="92">
        <f>IF(ISNUMBER(SEARCH("Interlagos",N469)),"SIM","")</f>
        <v/>
      </c>
      <c r="AJ469" s="92">
        <f>IF(ISNUMBER(SEARCH("Quiosque",N469)),"SIM","")</f>
        <v/>
      </c>
      <c r="AK469" s="93" t="n"/>
    </row>
    <row r="470">
      <c r="A470" s="88" t="inlineStr">
        <is>
          <t>Protheus</t>
        </is>
      </c>
      <c r="B470" s="89" t="inlineStr">
        <is>
          <t>000985</t>
        </is>
      </c>
      <c r="C470" s="90">
        <f>IF(B470="—","—",IFERROR(VLOOKUP(B470,_Protheus_Cadastro!$A:$B,2,FALSE),"—"))</f>
        <v/>
      </c>
      <c r="D470" s="91">
        <f>IF(B470="—",IFERROR(INDEX(_ZIG_Cadastro!$D:$D,MATCH(H470,_ZIG_Cadastro!$A:$A,0)),"Produto"),IFERROR(VLOOKUP(B470,_Protheus_Cadastro!$A:$C,3,FALSE),"—"))</f>
        <v/>
      </c>
      <c r="E470" s="91">
        <f>IF(B470="—","—",IFERROR(VLOOKUP(B470,_Protheus_Cadastro!$A:$D,4,FALSE),"—"))</f>
        <v/>
      </c>
      <c r="F470" s="91">
        <f>IF(ISERROR(VLOOKUP(B470,'Estrutura Protheus'!A:A,1,FALSE)),"Não","Sim")</f>
        <v/>
      </c>
      <c r="G470" s="92">
        <f>IFERROR(INDEX(_Protheus_Cadastro!$H:$H,MATCH(B470,_Protheus_Cadastro!$A:$A,0)),"—")</f>
        <v/>
      </c>
      <c r="H470" s="210">
        <f>IFERROR(INDEX(_ZIG_Precos!$D:$D,MATCH(I470,_ZIG_Precos!$F:$F,0)),"—")</f>
        <v/>
      </c>
      <c r="I470" s="95">
        <f>IFERROR(VLOOKUP(B470,_Protheus_Cadastro!$A:$I,9,FALSE),"—")</f>
        <v/>
      </c>
      <c r="J470" s="93">
        <f>IFERROR(INDEX(_ZIG_Cadastro!$B:$B,MATCH(I470,_ZIG_Cadastro!$A:$A,0)),IFERROR(INDEX(_Entradas_ZIG!$B:$B,MATCH(I470,_Entradas_ZIG!$C:$C,0)),"—"))</f>
        <v/>
      </c>
      <c r="K470" s="93">
        <f>IFERROR(INDEX(_ZIG_Cadastro!$C:$C,MATCH(I470,_ZIG_Cadastro!$A:$A,0)),IFERROR(INDEX(_Entradas_ZIG!$D:$D,MATCH(I470,_Entradas_ZIG!$C:$C,0)),"—"))</f>
        <v/>
      </c>
      <c r="L470" s="92">
        <f>IF(I470="","Sem SKU ZIG",IF(I470="—","Sem SKU ZIG",IF(NOT(ISERROR(MATCH(I470,_ZIG_Cadastro!$A:$A,0))),IF(EXACT(UPPER(TRIM(C470)),UPPER(TRIM(INDEX(_ZIG_Cadastro!$B:$B,MATCH(I470,_ZIG_Cadastro!$A:$A,0))))),"OK","Atencao - Nome diverge"),IF(NOT(ISERROR(MATCH(I470,_Entradas_ZIG!$C:$C,0))),"OK","Erro - SKU nao encontrado"))))</f>
        <v/>
      </c>
      <c r="M470" s="92">
        <f>IFERROR(INDEX(_ZIG_Cadastro!$G:$G,MATCH(I470,_ZIG_Cadastro!$A:$A,0)),IF(NOT(ISERROR(MATCH(I470,_Entradas_ZIG!$C:$C,0))),"Ativo","—"))</f>
        <v/>
      </c>
      <c r="N470" s="94">
        <f>IFERROR(INDEX(_ZIG_Cadastro!$E:$E,MATCH(I470,_ZIG_Cadastro!$A:$A,0)),IFERROR(INDEX(_Entradas_ZIG!$F:$F,MATCH(I470,_Entradas_ZIG!$C:$C,0)),"—"))</f>
        <v/>
      </c>
      <c r="O470" s="92">
        <f>IF(AND(ISNUMBER(SEARCH("Espeto",N470)),ISNUMBER(SEARCH("Carin",N470))),"SIM","")</f>
        <v/>
      </c>
      <c r="P470" s="92">
        <f>IF(AND(ISNUMBER(SEARCH("Espeto",N470)),ISNUMBER(SEARCH("Lapa",N470))),"SIM","")</f>
        <v/>
      </c>
      <c r="Q470" s="92">
        <f>IF(AND(ISNUMBER(SEARCH("Espeto",N470)),ISNUMBER(SEARCH("Tatuapé",N470))),"SIM","")</f>
        <v/>
      </c>
      <c r="R470" s="92">
        <f>IF(AND(ISNUMBER(SEARCH("Espeto",N470)),ISNUMBER(SEARCH("Pavão",N470))),"SIM","")</f>
        <v/>
      </c>
      <c r="S470" s="92">
        <f>IF(AND(ISNUMBER(SEARCH("Espeto",N470)),ISNUMBER(SEARCH("Chac",N470))),"SIM","")</f>
        <v/>
      </c>
      <c r="T470" s="92">
        <f>IF(AND(ISNUMBER(SEARCH("Espeto",N470)),ISNUMBER(SEARCH("Madalena",N470))),"SIM","")</f>
        <v/>
      </c>
      <c r="U470" s="92">
        <f>IF(AND(ISNUMBER(SEARCH("Espeto",N470)),ISNUMBER(SEARCH("Mariana",N470))),"SIM","")</f>
        <v/>
      </c>
      <c r="V470" s="92">
        <f>IF(AND(ISNUMBER(SEARCH("Espeto",N470)),ISNUMBER(SEARCH("Perdizes",N470))),"SIM","")</f>
        <v/>
      </c>
      <c r="W470" s="92">
        <f>IF(AND(ISNUMBER(SEARCH("Espeto",N470)),ISNUMBER(SEARCH("Santana",N470))),"SIM","")</f>
        <v/>
      </c>
      <c r="X470" s="92">
        <f>IF(AND(ISNUMBER(SEARCH("Espeto",N470)),ISNUMBER(SEARCH("André",N470))),"SIM","")</f>
        <v/>
      </c>
      <c r="Y470" s="92">
        <f>IF(AND(ISNUMBER(SEARCH("Delivery",N470)),ISNUMBER(SEARCH("Carin",N470))),"SIM","")</f>
        <v/>
      </c>
      <c r="Z470" s="92">
        <f>IF(AND(ISNUMBER(SEARCH("Delivery",N470)),ISNUMBER(SEARCH("Lapa",N470))),"SIM","")</f>
        <v/>
      </c>
      <c r="AA470" s="92">
        <f>IF(AND(ISNUMBER(SEARCH("Delivery",N470)),ISNUMBER(SEARCH("Tatuapé",N470))),"SIM","")</f>
        <v/>
      </c>
      <c r="AB470" s="92">
        <f>IF(AND(ISNUMBER(SEARCH("Delivery",N470)),ISNUMBER(SEARCH("Pavão",N470))),"SIM","")</f>
        <v/>
      </c>
      <c r="AC470" s="92">
        <f>IF(AND(ISNUMBER(SEARCH("Delivery",N470)),ISNUMBER(SEARCH("Chac",N470))),"SIM","")</f>
        <v/>
      </c>
      <c r="AD470" s="92">
        <f>IF(AND(ISNUMBER(SEARCH("Delivery",N470)),ISNUMBER(SEARCH("Madalena",N470))),"SIM","")</f>
        <v/>
      </c>
      <c r="AE470" s="99">
        <f>IF(AND(ISNUMBER(SEARCH("Delivery",N470)),ISNUMBER(SEARCH("Mariana",N470))),"SIM","")</f>
        <v/>
      </c>
      <c r="AF470" s="99">
        <f>IF(AND(ISNUMBER(SEARCH("Delivery",N470)),ISNUMBER(SEARCH("Perdizes",N470))),"SIM","")</f>
        <v/>
      </c>
      <c r="AG470" s="99">
        <f>IF(AND(ISNUMBER(SEARCH("Delivery",N470)),ISNUMBER(SEARCH("Santana",N470))),"SIM","")</f>
        <v/>
      </c>
      <c r="AH470" s="99">
        <f>IF(AND(ISNUMBER(SEARCH("Delivery",N470)),ISNUMBER(SEARCH("André",N470))),"SIM","")</f>
        <v/>
      </c>
      <c r="AI470" s="99">
        <f>IF(ISNUMBER(SEARCH("Interlagos",N470)),"SIM","")</f>
        <v/>
      </c>
      <c r="AJ470" s="99">
        <f>IF(ISNUMBER(SEARCH("Quiosque",N470)),"SIM","")</f>
        <v/>
      </c>
      <c r="AK470" s="101" t="n"/>
    </row>
    <row r="471">
      <c r="A471" s="88" t="inlineStr">
        <is>
          <t>Protheus</t>
        </is>
      </c>
      <c r="B471" s="96" t="inlineStr">
        <is>
          <t>002204</t>
        </is>
      </c>
      <c r="C471" s="97">
        <f>IF(B471="—","—",IFERROR(VLOOKUP(B471,_Protheus_Cadastro!$A:$B,2,FALSE),"—"))</f>
        <v/>
      </c>
      <c r="D471" s="98">
        <f>IF(B471="—",IFERROR(INDEX(_ZIG_Cadastro!$D:$D,MATCH(H471,_ZIG_Cadastro!$A:$A,0)),"Produto"),IFERROR(VLOOKUP(B471,_Protheus_Cadastro!$A:$C,3,FALSE),"—"))</f>
        <v/>
      </c>
      <c r="E471" s="98">
        <f>IF(B471="—","—",IFERROR(VLOOKUP(B471,_Protheus_Cadastro!$A:$D,4,FALSE),"—"))</f>
        <v/>
      </c>
      <c r="F471" s="98">
        <f>IF(ISERROR(VLOOKUP(B471,'Estrutura Protheus'!A:A,1,FALSE)),"Não","Sim")</f>
        <v/>
      </c>
      <c r="G471" s="99">
        <f>IFERROR(INDEX(_Protheus_Cadastro!$H:$H,MATCH(B471,_Protheus_Cadastro!$A:$A,0)),"—")</f>
        <v/>
      </c>
      <c r="H471" s="211">
        <f>IFERROR(INDEX(_ZIG_Precos!$D:$D,MATCH(I471,_ZIG_Precos!$F:$F,0)),"—")</f>
        <v/>
      </c>
      <c r="I471" s="103">
        <f>IFERROR(VLOOKUP(B471,_Protheus_Cadastro!$A:$I,9,FALSE),"—")</f>
        <v/>
      </c>
      <c r="J471" s="101">
        <f>IFERROR(INDEX(_ZIG_Cadastro!$B:$B,MATCH(I471,_ZIG_Cadastro!$A:$A,0)),IFERROR(INDEX(_Entradas_ZIG!$B:$B,MATCH(I471,_Entradas_ZIG!$C:$C,0)),"—"))</f>
        <v/>
      </c>
      <c r="K471" s="101">
        <f>IFERROR(INDEX(_ZIG_Cadastro!$C:$C,MATCH(I471,_ZIG_Cadastro!$A:$A,0)),IFERROR(INDEX(_Entradas_ZIG!$D:$D,MATCH(I471,_Entradas_ZIG!$C:$C,0)),"—"))</f>
        <v/>
      </c>
      <c r="L471" s="99">
        <f>IF(I471="","Sem SKU ZIG",IF(I471="—","Sem SKU ZIG",IF(NOT(ISERROR(MATCH(I471,_ZIG_Cadastro!$A:$A,0))),IF(EXACT(UPPER(TRIM(C471)),UPPER(TRIM(INDEX(_ZIG_Cadastro!$B:$B,MATCH(I471,_ZIG_Cadastro!$A:$A,0))))),"OK","Atencao - Nome diverge"),IF(NOT(ISERROR(MATCH(I471,_Entradas_ZIG!$C:$C,0))),"OK","Erro - SKU nao encontrado"))))</f>
        <v/>
      </c>
      <c r="M471" s="99">
        <f>IFERROR(INDEX(_ZIG_Cadastro!$G:$G,MATCH(I471,_ZIG_Cadastro!$A:$A,0)),IF(NOT(ISERROR(MATCH(I471,_Entradas_ZIG!$C:$C,0))),"Ativo","—"))</f>
        <v/>
      </c>
      <c r="N471" s="102">
        <f>IFERROR(INDEX(_ZIG_Cadastro!$E:$E,MATCH(I471,_ZIG_Cadastro!$A:$A,0)),IFERROR(INDEX(_Entradas_ZIG!$F:$F,MATCH(I471,_Entradas_ZIG!$C:$C,0)),"—"))</f>
        <v/>
      </c>
      <c r="O471" s="99">
        <f>IF(AND(ISNUMBER(SEARCH("Espeto",N471)),ISNUMBER(SEARCH("Carin",N471))),"SIM","")</f>
        <v/>
      </c>
      <c r="P471" s="99">
        <f>IF(AND(ISNUMBER(SEARCH("Espeto",N471)),ISNUMBER(SEARCH("Lapa",N471))),"SIM","")</f>
        <v/>
      </c>
      <c r="Q471" s="99">
        <f>IF(AND(ISNUMBER(SEARCH("Espeto",N471)),ISNUMBER(SEARCH("Tatuapé",N471))),"SIM","")</f>
        <v/>
      </c>
      <c r="R471" s="99">
        <f>IF(AND(ISNUMBER(SEARCH("Espeto",N471)),ISNUMBER(SEARCH("Pavão",N471))),"SIM","")</f>
        <v/>
      </c>
      <c r="S471" s="99">
        <f>IF(AND(ISNUMBER(SEARCH("Espeto",N471)),ISNUMBER(SEARCH("Chac",N471))),"SIM","")</f>
        <v/>
      </c>
      <c r="T471" s="99">
        <f>IF(AND(ISNUMBER(SEARCH("Espeto",N471)),ISNUMBER(SEARCH("Madalena",N471))),"SIM","")</f>
        <v/>
      </c>
      <c r="U471" s="99">
        <f>IF(AND(ISNUMBER(SEARCH("Espeto",N471)),ISNUMBER(SEARCH("Mariana",N471))),"SIM","")</f>
        <v/>
      </c>
      <c r="V471" s="99">
        <f>IF(AND(ISNUMBER(SEARCH("Espeto",N471)),ISNUMBER(SEARCH("Perdizes",N471))),"SIM","")</f>
        <v/>
      </c>
      <c r="W471" s="99">
        <f>IF(AND(ISNUMBER(SEARCH("Espeto",N471)),ISNUMBER(SEARCH("Santana",N471))),"SIM","")</f>
        <v/>
      </c>
      <c r="X471" s="99">
        <f>IF(AND(ISNUMBER(SEARCH("Espeto",N471)),ISNUMBER(SEARCH("André",N471))),"SIM","")</f>
        <v/>
      </c>
      <c r="Y471" s="99">
        <f>IF(AND(ISNUMBER(SEARCH("Delivery",N471)),ISNUMBER(SEARCH("Carin",N471))),"SIM","")</f>
        <v/>
      </c>
      <c r="Z471" s="99">
        <f>IF(AND(ISNUMBER(SEARCH("Delivery",N471)),ISNUMBER(SEARCH("Lapa",N471))),"SIM","")</f>
        <v/>
      </c>
      <c r="AA471" s="99">
        <f>IF(AND(ISNUMBER(SEARCH("Delivery",N471)),ISNUMBER(SEARCH("Tatuapé",N471))),"SIM","")</f>
        <v/>
      </c>
      <c r="AB471" s="99">
        <f>IF(AND(ISNUMBER(SEARCH("Delivery",N471)),ISNUMBER(SEARCH("Pavão",N471))),"SIM","")</f>
        <v/>
      </c>
      <c r="AC471" s="99">
        <f>IF(AND(ISNUMBER(SEARCH("Delivery",N471)),ISNUMBER(SEARCH("Chac",N471))),"SIM","")</f>
        <v/>
      </c>
      <c r="AD471" s="99">
        <f>IF(AND(ISNUMBER(SEARCH("Delivery",N471)),ISNUMBER(SEARCH("Madalena",N471))),"SIM","")</f>
        <v/>
      </c>
      <c r="AE471" s="92">
        <f>IF(AND(ISNUMBER(SEARCH("Delivery",N471)),ISNUMBER(SEARCH("Mariana",N471))),"SIM","")</f>
        <v/>
      </c>
      <c r="AF471" s="92">
        <f>IF(AND(ISNUMBER(SEARCH("Delivery",N471)),ISNUMBER(SEARCH("Perdizes",N471))),"SIM","")</f>
        <v/>
      </c>
      <c r="AG471" s="92">
        <f>IF(AND(ISNUMBER(SEARCH("Delivery",N471)),ISNUMBER(SEARCH("Santana",N471))),"SIM","")</f>
        <v/>
      </c>
      <c r="AH471" s="92">
        <f>IF(AND(ISNUMBER(SEARCH("Delivery",N471)),ISNUMBER(SEARCH("André",N471))),"SIM","")</f>
        <v/>
      </c>
      <c r="AI471" s="92">
        <f>IF(ISNUMBER(SEARCH("Interlagos",N471)),"SIM","")</f>
        <v/>
      </c>
      <c r="AJ471" s="92">
        <f>IF(ISNUMBER(SEARCH("Quiosque",N471)),"SIM","")</f>
        <v/>
      </c>
      <c r="AK471" s="93" t="n"/>
    </row>
    <row r="472">
      <c r="A472" s="88" t="inlineStr">
        <is>
          <t>Protheus</t>
        </is>
      </c>
      <c r="B472" s="89" t="inlineStr">
        <is>
          <t>009999</t>
        </is>
      </c>
      <c r="C472" s="90">
        <f>IF(B472="—","—",IFERROR(VLOOKUP(B472,_Protheus_Cadastro!$A:$B,2,FALSE),"—"))</f>
        <v/>
      </c>
      <c r="D472" s="91">
        <f>IF(B472="—",IFERROR(INDEX(_ZIG_Cadastro!$D:$D,MATCH(H472,_ZIG_Cadastro!$A:$A,0)),"Produto"),IFERROR(VLOOKUP(B472,_Protheus_Cadastro!$A:$C,3,FALSE),"—"))</f>
        <v/>
      </c>
      <c r="E472" s="91">
        <f>IF(B472="—","—",IFERROR(VLOOKUP(B472,_Protheus_Cadastro!$A:$D,4,FALSE),"—"))</f>
        <v/>
      </c>
      <c r="F472" s="91">
        <f>IF(ISERROR(VLOOKUP(B472,'Estrutura Protheus'!A:A,1,FALSE)),"Não","Sim")</f>
        <v/>
      </c>
      <c r="G472" s="92">
        <f>IFERROR(INDEX(_Protheus_Cadastro!$H:$H,MATCH(B472,_Protheus_Cadastro!$A:$A,0)),"—")</f>
        <v/>
      </c>
      <c r="H472" s="210">
        <f>IFERROR(INDEX(_ZIG_Precos!$D:$D,MATCH(I472,_ZIG_Precos!$F:$F,0)),"—")</f>
        <v/>
      </c>
      <c r="I472" s="95">
        <f>IFERROR(VLOOKUP(B472,_Protheus_Cadastro!$A:$I,9,FALSE),"—")</f>
        <v/>
      </c>
      <c r="J472" s="93">
        <f>IFERROR(INDEX(_ZIG_Cadastro!$B:$B,MATCH(I472,_ZIG_Cadastro!$A:$A,0)),IFERROR(INDEX(_Entradas_ZIG!$B:$B,MATCH(I472,_Entradas_ZIG!$C:$C,0)),"—"))</f>
        <v/>
      </c>
      <c r="K472" s="93">
        <f>IFERROR(INDEX(_ZIG_Cadastro!$C:$C,MATCH(I472,_ZIG_Cadastro!$A:$A,0)),IFERROR(INDEX(_Entradas_ZIG!$D:$D,MATCH(I472,_Entradas_ZIG!$C:$C,0)),"—"))</f>
        <v/>
      </c>
      <c r="L472" s="92">
        <f>IF(I472="","Sem SKU ZIG",IF(I472="—","Sem SKU ZIG",IF(NOT(ISERROR(MATCH(I472,_ZIG_Cadastro!$A:$A,0))),IF(EXACT(UPPER(TRIM(C472)),UPPER(TRIM(INDEX(_ZIG_Cadastro!$B:$B,MATCH(I472,_ZIG_Cadastro!$A:$A,0))))),"OK","Atencao - Nome diverge"),IF(NOT(ISERROR(MATCH(I472,_Entradas_ZIG!$C:$C,0))),"OK","Erro - SKU nao encontrado"))))</f>
        <v/>
      </c>
      <c r="M472" s="92">
        <f>IFERROR(INDEX(_ZIG_Cadastro!$G:$G,MATCH(I472,_ZIG_Cadastro!$A:$A,0)),IF(NOT(ISERROR(MATCH(I472,_Entradas_ZIG!$C:$C,0))),"Ativo","—"))</f>
        <v/>
      </c>
      <c r="N472" s="94">
        <f>IFERROR(INDEX(_ZIG_Cadastro!$E:$E,MATCH(I472,_ZIG_Cadastro!$A:$A,0)),IFERROR(INDEX(_Entradas_ZIG!$F:$F,MATCH(I472,_Entradas_ZIG!$C:$C,0)),"—"))</f>
        <v/>
      </c>
      <c r="O472" s="92">
        <f>IF(AND(ISNUMBER(SEARCH("Espeto",N472)),ISNUMBER(SEARCH("Carin",N472))),"SIM","")</f>
        <v/>
      </c>
      <c r="P472" s="92">
        <f>IF(AND(ISNUMBER(SEARCH("Espeto",N472)),ISNUMBER(SEARCH("Lapa",N472))),"SIM","")</f>
        <v/>
      </c>
      <c r="Q472" s="92">
        <f>IF(AND(ISNUMBER(SEARCH("Espeto",N472)),ISNUMBER(SEARCH("Tatuapé",N472))),"SIM","")</f>
        <v/>
      </c>
      <c r="R472" s="92">
        <f>IF(AND(ISNUMBER(SEARCH("Espeto",N472)),ISNUMBER(SEARCH("Pavão",N472))),"SIM","")</f>
        <v/>
      </c>
      <c r="S472" s="92">
        <f>IF(AND(ISNUMBER(SEARCH("Espeto",N472)),ISNUMBER(SEARCH("Chac",N472))),"SIM","")</f>
        <v/>
      </c>
      <c r="T472" s="92">
        <f>IF(AND(ISNUMBER(SEARCH("Espeto",N472)),ISNUMBER(SEARCH("Madalena",N472))),"SIM","")</f>
        <v/>
      </c>
      <c r="U472" s="92">
        <f>IF(AND(ISNUMBER(SEARCH("Espeto",N472)),ISNUMBER(SEARCH("Mariana",N472))),"SIM","")</f>
        <v/>
      </c>
      <c r="V472" s="92">
        <f>IF(AND(ISNUMBER(SEARCH("Espeto",N472)),ISNUMBER(SEARCH("Perdizes",N472))),"SIM","")</f>
        <v/>
      </c>
      <c r="W472" s="92">
        <f>IF(AND(ISNUMBER(SEARCH("Espeto",N472)),ISNUMBER(SEARCH("Santana",N472))),"SIM","")</f>
        <v/>
      </c>
      <c r="X472" s="92">
        <f>IF(AND(ISNUMBER(SEARCH("Espeto",N472)),ISNUMBER(SEARCH("André",N472))),"SIM","")</f>
        <v/>
      </c>
      <c r="Y472" s="92">
        <f>IF(AND(ISNUMBER(SEARCH("Delivery",N472)),ISNUMBER(SEARCH("Carin",N472))),"SIM","")</f>
        <v/>
      </c>
      <c r="Z472" s="92">
        <f>IF(AND(ISNUMBER(SEARCH("Delivery",N472)),ISNUMBER(SEARCH("Lapa",N472))),"SIM","")</f>
        <v/>
      </c>
      <c r="AA472" s="92">
        <f>IF(AND(ISNUMBER(SEARCH("Delivery",N472)),ISNUMBER(SEARCH("Tatuapé",N472))),"SIM","")</f>
        <v/>
      </c>
      <c r="AB472" s="92">
        <f>IF(AND(ISNUMBER(SEARCH("Delivery",N472)),ISNUMBER(SEARCH("Pavão",N472))),"SIM","")</f>
        <v/>
      </c>
      <c r="AC472" s="92">
        <f>IF(AND(ISNUMBER(SEARCH("Delivery",N472)),ISNUMBER(SEARCH("Chac",N472))),"SIM","")</f>
        <v/>
      </c>
      <c r="AD472" s="92">
        <f>IF(AND(ISNUMBER(SEARCH("Delivery",N472)),ISNUMBER(SEARCH("Madalena",N472))),"SIM","")</f>
        <v/>
      </c>
      <c r="AE472" s="99">
        <f>IF(AND(ISNUMBER(SEARCH("Delivery",N472)),ISNUMBER(SEARCH("Mariana",N472))),"SIM","")</f>
        <v/>
      </c>
      <c r="AF472" s="99">
        <f>IF(AND(ISNUMBER(SEARCH("Delivery",N472)),ISNUMBER(SEARCH("Perdizes",N472))),"SIM","")</f>
        <v/>
      </c>
      <c r="AG472" s="99">
        <f>IF(AND(ISNUMBER(SEARCH("Delivery",N472)),ISNUMBER(SEARCH("Santana",N472))),"SIM","")</f>
        <v/>
      </c>
      <c r="AH472" s="99">
        <f>IF(AND(ISNUMBER(SEARCH("Delivery",N472)),ISNUMBER(SEARCH("André",N472))),"SIM","")</f>
        <v/>
      </c>
      <c r="AI472" s="99">
        <f>IF(ISNUMBER(SEARCH("Interlagos",N472)),"SIM","")</f>
        <v/>
      </c>
      <c r="AJ472" s="99">
        <f>IF(ISNUMBER(SEARCH("Quiosque",N472)),"SIM","")</f>
        <v/>
      </c>
      <c r="AK472" s="101" t="n"/>
    </row>
    <row r="473">
      <c r="A473" s="88" t="inlineStr">
        <is>
          <t>Protheus</t>
        </is>
      </c>
      <c r="B473" s="96" t="inlineStr">
        <is>
          <t>000029</t>
        </is>
      </c>
      <c r="C473" s="97">
        <f>IF(B473="—","—",IFERROR(VLOOKUP(B473,_Protheus_Cadastro!$A:$B,2,FALSE),"—"))</f>
        <v/>
      </c>
      <c r="D473" s="98">
        <f>IF(B473="—",IFERROR(INDEX(_ZIG_Cadastro!$D:$D,MATCH(H473,_ZIG_Cadastro!$A:$A,0)),"Produto"),IFERROR(VLOOKUP(B473,_Protheus_Cadastro!$A:$C,3,FALSE),"—"))</f>
        <v/>
      </c>
      <c r="E473" s="98">
        <f>IF(B473="—","—",IFERROR(VLOOKUP(B473,_Protheus_Cadastro!$A:$D,4,FALSE),"—"))</f>
        <v/>
      </c>
      <c r="F473" s="98">
        <f>IF(ISERROR(VLOOKUP(B473,'Estrutura Protheus'!A:A,1,FALSE)),"Não","Sim")</f>
        <v/>
      </c>
      <c r="G473" s="99">
        <f>IFERROR(INDEX(_Protheus_Cadastro!$H:$H,MATCH(B473,_Protheus_Cadastro!$A:$A,0)),"—")</f>
        <v/>
      </c>
      <c r="H473" s="211">
        <f>IFERROR(INDEX(_ZIG_Precos!$D:$D,MATCH(I473,_ZIG_Precos!$F:$F,0)),"—")</f>
        <v/>
      </c>
      <c r="I473" s="103">
        <f>IFERROR(VLOOKUP(B473,_Protheus_Cadastro!$A:$I,9,FALSE),"—")</f>
        <v/>
      </c>
      <c r="J473" s="101">
        <f>IFERROR(INDEX(_ZIG_Cadastro!$B:$B,MATCH(I473,_ZIG_Cadastro!$A:$A,0)),IFERROR(INDEX(_Entradas_ZIG!$B:$B,MATCH(I473,_Entradas_ZIG!$C:$C,0)),"—"))</f>
        <v/>
      </c>
      <c r="K473" s="101">
        <f>IFERROR(INDEX(_ZIG_Cadastro!$C:$C,MATCH(I473,_ZIG_Cadastro!$A:$A,0)),IFERROR(INDEX(_Entradas_ZIG!$D:$D,MATCH(I473,_Entradas_ZIG!$C:$C,0)),"—"))</f>
        <v/>
      </c>
      <c r="L473" s="99">
        <f>IF(I473="","Sem SKU ZIG",IF(I473="—","Sem SKU ZIG",IF(NOT(ISERROR(MATCH(I473,_ZIG_Cadastro!$A:$A,0))),IF(EXACT(UPPER(TRIM(C473)),UPPER(TRIM(INDEX(_ZIG_Cadastro!$B:$B,MATCH(I473,_ZIG_Cadastro!$A:$A,0))))),"OK","Atencao - Nome diverge"),IF(NOT(ISERROR(MATCH(I473,_Entradas_ZIG!$C:$C,0))),"OK","Erro - SKU nao encontrado"))))</f>
        <v/>
      </c>
      <c r="M473" s="99">
        <f>IFERROR(INDEX(_ZIG_Cadastro!$G:$G,MATCH(I473,_ZIG_Cadastro!$A:$A,0)),IF(NOT(ISERROR(MATCH(I473,_Entradas_ZIG!$C:$C,0))),"Ativo","—"))</f>
        <v/>
      </c>
      <c r="N473" s="102">
        <f>IFERROR(INDEX(_ZIG_Cadastro!$E:$E,MATCH(I473,_ZIG_Cadastro!$A:$A,0)),IFERROR(INDEX(_Entradas_ZIG!$F:$F,MATCH(I473,_Entradas_ZIG!$C:$C,0)),"—"))</f>
        <v/>
      </c>
      <c r="O473" s="99">
        <f>IF(AND(ISNUMBER(SEARCH("Espeto",N473)),ISNUMBER(SEARCH("Carin",N473))),"SIM","")</f>
        <v/>
      </c>
      <c r="P473" s="99">
        <f>IF(AND(ISNUMBER(SEARCH("Espeto",N473)),ISNUMBER(SEARCH("Lapa",N473))),"SIM","")</f>
        <v/>
      </c>
      <c r="Q473" s="99">
        <f>IF(AND(ISNUMBER(SEARCH("Espeto",N473)),ISNUMBER(SEARCH("Tatuapé",N473))),"SIM","")</f>
        <v/>
      </c>
      <c r="R473" s="99">
        <f>IF(AND(ISNUMBER(SEARCH("Espeto",N473)),ISNUMBER(SEARCH("Pavão",N473))),"SIM","")</f>
        <v/>
      </c>
      <c r="S473" s="99">
        <f>IF(AND(ISNUMBER(SEARCH("Espeto",N473)),ISNUMBER(SEARCH("Chac",N473))),"SIM","")</f>
        <v/>
      </c>
      <c r="T473" s="99">
        <f>IF(AND(ISNUMBER(SEARCH("Espeto",N473)),ISNUMBER(SEARCH("Madalena",N473))),"SIM","")</f>
        <v/>
      </c>
      <c r="U473" s="99">
        <f>IF(AND(ISNUMBER(SEARCH("Espeto",N473)),ISNUMBER(SEARCH("Mariana",N473))),"SIM","")</f>
        <v/>
      </c>
      <c r="V473" s="99">
        <f>IF(AND(ISNUMBER(SEARCH("Espeto",N473)),ISNUMBER(SEARCH("Perdizes",N473))),"SIM","")</f>
        <v/>
      </c>
      <c r="W473" s="99">
        <f>IF(AND(ISNUMBER(SEARCH("Espeto",N473)),ISNUMBER(SEARCH("Santana",N473))),"SIM","")</f>
        <v/>
      </c>
      <c r="X473" s="99">
        <f>IF(AND(ISNUMBER(SEARCH("Espeto",N473)),ISNUMBER(SEARCH("André",N473))),"SIM","")</f>
        <v/>
      </c>
      <c r="Y473" s="99">
        <f>IF(AND(ISNUMBER(SEARCH("Delivery",N473)),ISNUMBER(SEARCH("Carin",N473))),"SIM","")</f>
        <v/>
      </c>
      <c r="Z473" s="99">
        <f>IF(AND(ISNUMBER(SEARCH("Delivery",N473)),ISNUMBER(SEARCH("Lapa",N473))),"SIM","")</f>
        <v/>
      </c>
      <c r="AA473" s="99">
        <f>IF(AND(ISNUMBER(SEARCH("Delivery",N473)),ISNUMBER(SEARCH("Tatuapé",N473))),"SIM","")</f>
        <v/>
      </c>
      <c r="AB473" s="99">
        <f>IF(AND(ISNUMBER(SEARCH("Delivery",N473)),ISNUMBER(SEARCH("Pavão",N473))),"SIM","")</f>
        <v/>
      </c>
      <c r="AC473" s="99">
        <f>IF(AND(ISNUMBER(SEARCH("Delivery",N473)),ISNUMBER(SEARCH("Chac",N473))),"SIM","")</f>
        <v/>
      </c>
      <c r="AD473" s="99">
        <f>IF(AND(ISNUMBER(SEARCH("Delivery",N473)),ISNUMBER(SEARCH("Madalena",N473))),"SIM","")</f>
        <v/>
      </c>
      <c r="AE473" s="92">
        <f>IF(AND(ISNUMBER(SEARCH("Delivery",N473)),ISNUMBER(SEARCH("Mariana",N473))),"SIM","")</f>
        <v/>
      </c>
      <c r="AF473" s="92">
        <f>IF(AND(ISNUMBER(SEARCH("Delivery",N473)),ISNUMBER(SEARCH("Perdizes",N473))),"SIM","")</f>
        <v/>
      </c>
      <c r="AG473" s="92">
        <f>IF(AND(ISNUMBER(SEARCH("Delivery",N473)),ISNUMBER(SEARCH("Santana",N473))),"SIM","")</f>
        <v/>
      </c>
      <c r="AH473" s="92">
        <f>IF(AND(ISNUMBER(SEARCH("Delivery",N473)),ISNUMBER(SEARCH("André",N473))),"SIM","")</f>
        <v/>
      </c>
      <c r="AI473" s="92">
        <f>IF(ISNUMBER(SEARCH("Interlagos",N473)),"SIM","")</f>
        <v/>
      </c>
      <c r="AJ473" s="92">
        <f>IF(ISNUMBER(SEARCH("Quiosque",N473)),"SIM","")</f>
        <v/>
      </c>
      <c r="AK473" s="93" t="n"/>
    </row>
    <row r="474">
      <c r="A474" s="88" t="inlineStr">
        <is>
          <t>Protheus</t>
        </is>
      </c>
      <c r="B474" s="89" t="inlineStr">
        <is>
          <t>002196</t>
        </is>
      </c>
      <c r="C474" s="90">
        <f>IF(B474="—","—",IFERROR(VLOOKUP(B474,_Protheus_Cadastro!$A:$B,2,FALSE),"—"))</f>
        <v/>
      </c>
      <c r="D474" s="91">
        <f>IF(B474="—",IFERROR(INDEX(_ZIG_Cadastro!$D:$D,MATCH(H474,_ZIG_Cadastro!$A:$A,0)),"Produto"),IFERROR(VLOOKUP(B474,_Protheus_Cadastro!$A:$C,3,FALSE),"—"))</f>
        <v/>
      </c>
      <c r="E474" s="91">
        <f>IF(B474="—","—",IFERROR(VLOOKUP(B474,_Protheus_Cadastro!$A:$D,4,FALSE),"—"))</f>
        <v/>
      </c>
      <c r="F474" s="91">
        <f>IF(ISERROR(VLOOKUP(B474,'Estrutura Protheus'!A:A,1,FALSE)),"Não","Sim")</f>
        <v/>
      </c>
      <c r="G474" s="92">
        <f>IFERROR(INDEX(_Protheus_Cadastro!$H:$H,MATCH(B474,_Protheus_Cadastro!$A:$A,0)),"—")</f>
        <v/>
      </c>
      <c r="H474" s="210">
        <f>IFERROR(INDEX(_ZIG_Precos!$D:$D,MATCH(I474,_ZIG_Precos!$F:$F,0)),"—")</f>
        <v/>
      </c>
      <c r="I474" s="95">
        <f>IFERROR(VLOOKUP(B474,_Protheus_Cadastro!$A:$I,9,FALSE),"—")</f>
        <v/>
      </c>
      <c r="J474" s="93">
        <f>IFERROR(INDEX(_ZIG_Cadastro!$B:$B,MATCH(I474,_ZIG_Cadastro!$A:$A,0)),IFERROR(INDEX(_Entradas_ZIG!$B:$B,MATCH(I474,_Entradas_ZIG!$C:$C,0)),"—"))</f>
        <v/>
      </c>
      <c r="K474" s="93">
        <f>IFERROR(INDEX(_ZIG_Cadastro!$C:$C,MATCH(I474,_ZIG_Cadastro!$A:$A,0)),IFERROR(INDEX(_Entradas_ZIG!$D:$D,MATCH(I474,_Entradas_ZIG!$C:$C,0)),"—"))</f>
        <v/>
      </c>
      <c r="L474" s="92">
        <f>IF(I474="","Sem SKU ZIG",IF(I474="—","Sem SKU ZIG",IF(NOT(ISERROR(MATCH(I474,_ZIG_Cadastro!$A:$A,0))),IF(EXACT(UPPER(TRIM(C474)),UPPER(TRIM(INDEX(_ZIG_Cadastro!$B:$B,MATCH(I474,_ZIG_Cadastro!$A:$A,0))))),"OK","Atencao - Nome diverge"),IF(NOT(ISERROR(MATCH(I474,_Entradas_ZIG!$C:$C,0))),"OK","Erro - SKU nao encontrado"))))</f>
        <v/>
      </c>
      <c r="M474" s="92">
        <f>IFERROR(INDEX(_ZIG_Cadastro!$G:$G,MATCH(I474,_ZIG_Cadastro!$A:$A,0)),IF(NOT(ISERROR(MATCH(I474,_Entradas_ZIG!$C:$C,0))),"Ativo","—"))</f>
        <v/>
      </c>
      <c r="N474" s="94">
        <f>IFERROR(INDEX(_ZIG_Cadastro!$E:$E,MATCH(I474,_ZIG_Cadastro!$A:$A,0)),IFERROR(INDEX(_Entradas_ZIG!$F:$F,MATCH(I474,_Entradas_ZIG!$C:$C,0)),"—"))</f>
        <v/>
      </c>
      <c r="O474" s="92">
        <f>IF(AND(ISNUMBER(SEARCH("Espeto",N474)),ISNUMBER(SEARCH("Carin",N474))),"SIM","")</f>
        <v/>
      </c>
      <c r="P474" s="92">
        <f>IF(AND(ISNUMBER(SEARCH("Espeto",N474)),ISNUMBER(SEARCH("Lapa",N474))),"SIM","")</f>
        <v/>
      </c>
      <c r="Q474" s="92">
        <f>IF(AND(ISNUMBER(SEARCH("Espeto",N474)),ISNUMBER(SEARCH("Tatuapé",N474))),"SIM","")</f>
        <v/>
      </c>
      <c r="R474" s="92">
        <f>IF(AND(ISNUMBER(SEARCH("Espeto",N474)),ISNUMBER(SEARCH("Pavão",N474))),"SIM","")</f>
        <v/>
      </c>
      <c r="S474" s="92">
        <f>IF(AND(ISNUMBER(SEARCH("Espeto",N474)),ISNUMBER(SEARCH("Chac",N474))),"SIM","")</f>
        <v/>
      </c>
      <c r="T474" s="92">
        <f>IF(AND(ISNUMBER(SEARCH("Espeto",N474)),ISNUMBER(SEARCH("Madalena",N474))),"SIM","")</f>
        <v/>
      </c>
      <c r="U474" s="92">
        <f>IF(AND(ISNUMBER(SEARCH("Espeto",N474)),ISNUMBER(SEARCH("Mariana",N474))),"SIM","")</f>
        <v/>
      </c>
      <c r="V474" s="92">
        <f>IF(AND(ISNUMBER(SEARCH("Espeto",N474)),ISNUMBER(SEARCH("Perdizes",N474))),"SIM","")</f>
        <v/>
      </c>
      <c r="W474" s="92">
        <f>IF(AND(ISNUMBER(SEARCH("Espeto",N474)),ISNUMBER(SEARCH("Santana",N474))),"SIM","")</f>
        <v/>
      </c>
      <c r="X474" s="92">
        <f>IF(AND(ISNUMBER(SEARCH("Espeto",N474)),ISNUMBER(SEARCH("André",N474))),"SIM","")</f>
        <v/>
      </c>
      <c r="Y474" s="92">
        <f>IF(AND(ISNUMBER(SEARCH("Delivery",N474)),ISNUMBER(SEARCH("Carin",N474))),"SIM","")</f>
        <v/>
      </c>
      <c r="Z474" s="92">
        <f>IF(AND(ISNUMBER(SEARCH("Delivery",N474)),ISNUMBER(SEARCH("Lapa",N474))),"SIM","")</f>
        <v/>
      </c>
      <c r="AA474" s="92">
        <f>IF(AND(ISNUMBER(SEARCH("Delivery",N474)),ISNUMBER(SEARCH("Tatuapé",N474))),"SIM","")</f>
        <v/>
      </c>
      <c r="AB474" s="92">
        <f>IF(AND(ISNUMBER(SEARCH("Delivery",N474)),ISNUMBER(SEARCH("Pavão",N474))),"SIM","")</f>
        <v/>
      </c>
      <c r="AC474" s="92">
        <f>IF(AND(ISNUMBER(SEARCH("Delivery",N474)),ISNUMBER(SEARCH("Chac",N474))),"SIM","")</f>
        <v/>
      </c>
      <c r="AD474" s="92">
        <f>IF(AND(ISNUMBER(SEARCH("Delivery",N474)),ISNUMBER(SEARCH("Madalena",N474))),"SIM","")</f>
        <v/>
      </c>
      <c r="AE474" s="99">
        <f>IF(AND(ISNUMBER(SEARCH("Delivery",N474)),ISNUMBER(SEARCH("Mariana",N474))),"SIM","")</f>
        <v/>
      </c>
      <c r="AF474" s="99">
        <f>IF(AND(ISNUMBER(SEARCH("Delivery",N474)),ISNUMBER(SEARCH("Perdizes",N474))),"SIM","")</f>
        <v/>
      </c>
      <c r="AG474" s="99">
        <f>IF(AND(ISNUMBER(SEARCH("Delivery",N474)),ISNUMBER(SEARCH("Santana",N474))),"SIM","")</f>
        <v/>
      </c>
      <c r="AH474" s="99">
        <f>IF(AND(ISNUMBER(SEARCH("Delivery",N474)),ISNUMBER(SEARCH("André",N474))),"SIM","")</f>
        <v/>
      </c>
      <c r="AI474" s="99">
        <f>IF(ISNUMBER(SEARCH("Interlagos",N474)),"SIM","")</f>
        <v/>
      </c>
      <c r="AJ474" s="99">
        <f>IF(ISNUMBER(SEARCH("Quiosque",N474)),"SIM","")</f>
        <v/>
      </c>
      <c r="AK474" s="101" t="n"/>
    </row>
    <row r="475">
      <c r="A475" s="88" t="inlineStr">
        <is>
          <t>Protheus</t>
        </is>
      </c>
      <c r="B475" s="96" t="inlineStr">
        <is>
          <t>001012</t>
        </is>
      </c>
      <c r="C475" s="97">
        <f>IF(B475="—","—",IFERROR(VLOOKUP(B475,_Protheus_Cadastro!$A:$B,2,FALSE),"—"))</f>
        <v/>
      </c>
      <c r="D475" s="98">
        <f>IF(B475="—",IFERROR(INDEX(_ZIG_Cadastro!$D:$D,MATCH(H475,_ZIG_Cadastro!$A:$A,0)),"Produto"),IFERROR(VLOOKUP(B475,_Protheus_Cadastro!$A:$C,3,FALSE),"—"))</f>
        <v/>
      </c>
      <c r="E475" s="98">
        <f>IF(B475="—","—",IFERROR(VLOOKUP(B475,_Protheus_Cadastro!$A:$D,4,FALSE),"—"))</f>
        <v/>
      </c>
      <c r="F475" s="98">
        <f>IF(ISERROR(VLOOKUP(B475,'Estrutura Protheus'!A:A,1,FALSE)),"Não","Sim")</f>
        <v/>
      </c>
      <c r="G475" s="99">
        <f>IFERROR(INDEX(_Protheus_Cadastro!$H:$H,MATCH(B475,_Protheus_Cadastro!$A:$A,0)),"—")</f>
        <v/>
      </c>
      <c r="H475" s="211">
        <f>IFERROR(INDEX(_ZIG_Precos!$D:$D,MATCH(I475,_ZIG_Precos!$F:$F,0)),"—")</f>
        <v/>
      </c>
      <c r="I475" s="103">
        <f>IFERROR(VLOOKUP(B475,_Protheus_Cadastro!$A:$I,9,FALSE),"—")</f>
        <v/>
      </c>
      <c r="J475" s="101">
        <f>IFERROR(INDEX(_ZIG_Cadastro!$B:$B,MATCH(I475,_ZIG_Cadastro!$A:$A,0)),IFERROR(INDEX(_Entradas_ZIG!$B:$B,MATCH(I475,_Entradas_ZIG!$C:$C,0)),"—"))</f>
        <v/>
      </c>
      <c r="K475" s="101">
        <f>IFERROR(INDEX(_ZIG_Cadastro!$C:$C,MATCH(I475,_ZIG_Cadastro!$A:$A,0)),IFERROR(INDEX(_Entradas_ZIG!$D:$D,MATCH(I475,_Entradas_ZIG!$C:$C,0)),"—"))</f>
        <v/>
      </c>
      <c r="L475" s="99">
        <f>IF(I475="","Sem SKU ZIG",IF(I475="—","Sem SKU ZIG",IF(NOT(ISERROR(MATCH(I475,_ZIG_Cadastro!$A:$A,0))),IF(EXACT(UPPER(TRIM(C475)),UPPER(TRIM(INDEX(_ZIG_Cadastro!$B:$B,MATCH(I475,_ZIG_Cadastro!$A:$A,0))))),"OK","Atencao - Nome diverge"),IF(NOT(ISERROR(MATCH(I475,_Entradas_ZIG!$C:$C,0))),"OK","Erro - SKU nao encontrado"))))</f>
        <v/>
      </c>
      <c r="M475" s="99">
        <f>IFERROR(INDEX(_ZIG_Cadastro!$G:$G,MATCH(I475,_ZIG_Cadastro!$A:$A,0)),IF(NOT(ISERROR(MATCH(I475,_Entradas_ZIG!$C:$C,0))),"Ativo","—"))</f>
        <v/>
      </c>
      <c r="N475" s="102">
        <f>IFERROR(INDEX(_ZIG_Cadastro!$E:$E,MATCH(I475,_ZIG_Cadastro!$A:$A,0)),IFERROR(INDEX(_Entradas_ZIG!$F:$F,MATCH(I475,_Entradas_ZIG!$C:$C,0)),"—"))</f>
        <v/>
      </c>
      <c r="O475" s="99">
        <f>IF(AND(ISNUMBER(SEARCH("Espeto",N475)),ISNUMBER(SEARCH("Carin",N475))),"SIM","")</f>
        <v/>
      </c>
      <c r="P475" s="99">
        <f>IF(AND(ISNUMBER(SEARCH("Espeto",N475)),ISNUMBER(SEARCH("Lapa",N475))),"SIM","")</f>
        <v/>
      </c>
      <c r="Q475" s="99">
        <f>IF(AND(ISNUMBER(SEARCH("Espeto",N475)),ISNUMBER(SEARCH("Tatuapé",N475))),"SIM","")</f>
        <v/>
      </c>
      <c r="R475" s="99">
        <f>IF(AND(ISNUMBER(SEARCH("Espeto",N475)),ISNUMBER(SEARCH("Pavão",N475))),"SIM","")</f>
        <v/>
      </c>
      <c r="S475" s="99">
        <f>IF(AND(ISNUMBER(SEARCH("Espeto",N475)),ISNUMBER(SEARCH("Chac",N475))),"SIM","")</f>
        <v/>
      </c>
      <c r="T475" s="99">
        <f>IF(AND(ISNUMBER(SEARCH("Espeto",N475)),ISNUMBER(SEARCH("Madalena",N475))),"SIM","")</f>
        <v/>
      </c>
      <c r="U475" s="99">
        <f>IF(AND(ISNUMBER(SEARCH("Espeto",N475)),ISNUMBER(SEARCH("Mariana",N475))),"SIM","")</f>
        <v/>
      </c>
      <c r="V475" s="99">
        <f>IF(AND(ISNUMBER(SEARCH("Espeto",N475)),ISNUMBER(SEARCH("Perdizes",N475))),"SIM","")</f>
        <v/>
      </c>
      <c r="W475" s="99">
        <f>IF(AND(ISNUMBER(SEARCH("Espeto",N475)),ISNUMBER(SEARCH("Santana",N475))),"SIM","")</f>
        <v/>
      </c>
      <c r="X475" s="99">
        <f>IF(AND(ISNUMBER(SEARCH("Espeto",N475)),ISNUMBER(SEARCH("André",N475))),"SIM","")</f>
        <v/>
      </c>
      <c r="Y475" s="99">
        <f>IF(AND(ISNUMBER(SEARCH("Delivery",N475)),ISNUMBER(SEARCH("Carin",N475))),"SIM","")</f>
        <v/>
      </c>
      <c r="Z475" s="99">
        <f>IF(AND(ISNUMBER(SEARCH("Delivery",N475)),ISNUMBER(SEARCH("Lapa",N475))),"SIM","")</f>
        <v/>
      </c>
      <c r="AA475" s="99">
        <f>IF(AND(ISNUMBER(SEARCH("Delivery",N475)),ISNUMBER(SEARCH("Tatuapé",N475))),"SIM","")</f>
        <v/>
      </c>
      <c r="AB475" s="99">
        <f>IF(AND(ISNUMBER(SEARCH("Delivery",N475)),ISNUMBER(SEARCH("Pavão",N475))),"SIM","")</f>
        <v/>
      </c>
      <c r="AC475" s="99">
        <f>IF(AND(ISNUMBER(SEARCH("Delivery",N475)),ISNUMBER(SEARCH("Chac",N475))),"SIM","")</f>
        <v/>
      </c>
      <c r="AD475" s="99">
        <f>IF(AND(ISNUMBER(SEARCH("Delivery",N475)),ISNUMBER(SEARCH("Madalena",N475))),"SIM","")</f>
        <v/>
      </c>
      <c r="AE475" s="92">
        <f>IF(AND(ISNUMBER(SEARCH("Delivery",N475)),ISNUMBER(SEARCH("Mariana",N475))),"SIM","")</f>
        <v/>
      </c>
      <c r="AF475" s="92">
        <f>IF(AND(ISNUMBER(SEARCH("Delivery",N475)),ISNUMBER(SEARCH("Perdizes",N475))),"SIM","")</f>
        <v/>
      </c>
      <c r="AG475" s="92">
        <f>IF(AND(ISNUMBER(SEARCH("Delivery",N475)),ISNUMBER(SEARCH("Santana",N475))),"SIM","")</f>
        <v/>
      </c>
      <c r="AH475" s="92">
        <f>IF(AND(ISNUMBER(SEARCH("Delivery",N475)),ISNUMBER(SEARCH("André",N475))),"SIM","")</f>
        <v/>
      </c>
      <c r="AI475" s="92">
        <f>IF(ISNUMBER(SEARCH("Interlagos",N475)),"SIM","")</f>
        <v/>
      </c>
      <c r="AJ475" s="92">
        <f>IF(ISNUMBER(SEARCH("Quiosque",N475)),"SIM","")</f>
        <v/>
      </c>
      <c r="AK475" s="93" t="n"/>
    </row>
    <row r="476">
      <c r="A476" s="88" t="inlineStr">
        <is>
          <t>Protheus</t>
        </is>
      </c>
      <c r="B476" s="89" t="inlineStr">
        <is>
          <t>000026</t>
        </is>
      </c>
      <c r="C476" s="90">
        <f>IF(B476="—","—",IFERROR(VLOOKUP(B476,_Protheus_Cadastro!$A:$B,2,FALSE),"—"))</f>
        <v/>
      </c>
      <c r="D476" s="91">
        <f>IF(B476="—",IFERROR(INDEX(_ZIG_Cadastro!$D:$D,MATCH(H476,_ZIG_Cadastro!$A:$A,0)),"Produto"),IFERROR(VLOOKUP(B476,_Protheus_Cadastro!$A:$C,3,FALSE),"—"))</f>
        <v/>
      </c>
      <c r="E476" s="91">
        <f>IF(B476="—","—",IFERROR(VLOOKUP(B476,_Protheus_Cadastro!$A:$D,4,FALSE),"—"))</f>
        <v/>
      </c>
      <c r="F476" s="91">
        <f>IF(ISERROR(VLOOKUP(B476,'Estrutura Protheus'!A:A,1,FALSE)),"Não","Sim")</f>
        <v/>
      </c>
      <c r="G476" s="92">
        <f>IFERROR(INDEX(_Protheus_Cadastro!$H:$H,MATCH(B476,_Protheus_Cadastro!$A:$A,0)),"—")</f>
        <v/>
      </c>
      <c r="H476" s="210">
        <f>IFERROR(INDEX(_ZIG_Precos!$D:$D,MATCH(I476,_ZIG_Precos!$F:$F,0)),"—")</f>
        <v/>
      </c>
      <c r="I476" s="95">
        <f>IFERROR(VLOOKUP(B476,_Protheus_Cadastro!$A:$I,9,FALSE),"—")</f>
        <v/>
      </c>
      <c r="J476" s="93">
        <f>IFERROR(INDEX(_ZIG_Cadastro!$B:$B,MATCH(I476,_ZIG_Cadastro!$A:$A,0)),IFERROR(INDEX(_Entradas_ZIG!$B:$B,MATCH(I476,_Entradas_ZIG!$C:$C,0)),"—"))</f>
        <v/>
      </c>
      <c r="K476" s="93">
        <f>IFERROR(INDEX(_ZIG_Cadastro!$C:$C,MATCH(I476,_ZIG_Cadastro!$A:$A,0)),IFERROR(INDEX(_Entradas_ZIG!$D:$D,MATCH(I476,_Entradas_ZIG!$C:$C,0)),"—"))</f>
        <v/>
      </c>
      <c r="L476" s="92">
        <f>IF(I476="","Sem SKU ZIG",IF(I476="—","Sem SKU ZIG",IF(NOT(ISERROR(MATCH(I476,_ZIG_Cadastro!$A:$A,0))),IF(EXACT(UPPER(TRIM(C476)),UPPER(TRIM(INDEX(_ZIG_Cadastro!$B:$B,MATCH(I476,_ZIG_Cadastro!$A:$A,0))))),"OK","Atencao - Nome diverge"),IF(NOT(ISERROR(MATCH(I476,_Entradas_ZIG!$C:$C,0))),"OK","Erro - SKU nao encontrado"))))</f>
        <v/>
      </c>
      <c r="M476" s="92">
        <f>IFERROR(INDEX(_ZIG_Cadastro!$G:$G,MATCH(I476,_ZIG_Cadastro!$A:$A,0)),IF(NOT(ISERROR(MATCH(I476,_Entradas_ZIG!$C:$C,0))),"Ativo","—"))</f>
        <v/>
      </c>
      <c r="N476" s="94">
        <f>IFERROR(INDEX(_ZIG_Cadastro!$E:$E,MATCH(I476,_ZIG_Cadastro!$A:$A,0)),IFERROR(INDEX(_Entradas_ZIG!$F:$F,MATCH(I476,_Entradas_ZIG!$C:$C,0)),"—"))</f>
        <v/>
      </c>
      <c r="O476" s="92">
        <f>IF(AND(ISNUMBER(SEARCH("Espeto",N476)),ISNUMBER(SEARCH("Carin",N476))),"SIM","")</f>
        <v/>
      </c>
      <c r="P476" s="92">
        <f>IF(AND(ISNUMBER(SEARCH("Espeto",N476)),ISNUMBER(SEARCH("Lapa",N476))),"SIM","")</f>
        <v/>
      </c>
      <c r="Q476" s="92">
        <f>IF(AND(ISNUMBER(SEARCH("Espeto",N476)),ISNUMBER(SEARCH("Tatuapé",N476))),"SIM","")</f>
        <v/>
      </c>
      <c r="R476" s="92">
        <f>IF(AND(ISNUMBER(SEARCH("Espeto",N476)),ISNUMBER(SEARCH("Pavão",N476))),"SIM","")</f>
        <v/>
      </c>
      <c r="S476" s="92">
        <f>IF(AND(ISNUMBER(SEARCH("Espeto",N476)),ISNUMBER(SEARCH("Chac",N476))),"SIM","")</f>
        <v/>
      </c>
      <c r="T476" s="92">
        <f>IF(AND(ISNUMBER(SEARCH("Espeto",N476)),ISNUMBER(SEARCH("Madalena",N476))),"SIM","")</f>
        <v/>
      </c>
      <c r="U476" s="92">
        <f>IF(AND(ISNUMBER(SEARCH("Espeto",N476)),ISNUMBER(SEARCH("Mariana",N476))),"SIM","")</f>
        <v/>
      </c>
      <c r="V476" s="92">
        <f>IF(AND(ISNUMBER(SEARCH("Espeto",N476)),ISNUMBER(SEARCH("Perdizes",N476))),"SIM","")</f>
        <v/>
      </c>
      <c r="W476" s="92">
        <f>IF(AND(ISNUMBER(SEARCH("Espeto",N476)),ISNUMBER(SEARCH("Santana",N476))),"SIM","")</f>
        <v/>
      </c>
      <c r="X476" s="92">
        <f>IF(AND(ISNUMBER(SEARCH("Espeto",N476)),ISNUMBER(SEARCH("André",N476))),"SIM","")</f>
        <v/>
      </c>
      <c r="Y476" s="92">
        <f>IF(AND(ISNUMBER(SEARCH("Delivery",N476)),ISNUMBER(SEARCH("Carin",N476))),"SIM","")</f>
        <v/>
      </c>
      <c r="Z476" s="92">
        <f>IF(AND(ISNUMBER(SEARCH("Delivery",N476)),ISNUMBER(SEARCH("Lapa",N476))),"SIM","")</f>
        <v/>
      </c>
      <c r="AA476" s="92">
        <f>IF(AND(ISNUMBER(SEARCH("Delivery",N476)),ISNUMBER(SEARCH("Tatuapé",N476))),"SIM","")</f>
        <v/>
      </c>
      <c r="AB476" s="92">
        <f>IF(AND(ISNUMBER(SEARCH("Delivery",N476)),ISNUMBER(SEARCH("Pavão",N476))),"SIM","")</f>
        <v/>
      </c>
      <c r="AC476" s="92">
        <f>IF(AND(ISNUMBER(SEARCH("Delivery",N476)),ISNUMBER(SEARCH("Chac",N476))),"SIM","")</f>
        <v/>
      </c>
      <c r="AD476" s="92">
        <f>IF(AND(ISNUMBER(SEARCH("Delivery",N476)),ISNUMBER(SEARCH("Madalena",N476))),"SIM","")</f>
        <v/>
      </c>
      <c r="AE476" s="99">
        <f>IF(AND(ISNUMBER(SEARCH("Delivery",N476)),ISNUMBER(SEARCH("Mariana",N476))),"SIM","")</f>
        <v/>
      </c>
      <c r="AF476" s="99">
        <f>IF(AND(ISNUMBER(SEARCH("Delivery",N476)),ISNUMBER(SEARCH("Perdizes",N476))),"SIM","")</f>
        <v/>
      </c>
      <c r="AG476" s="99">
        <f>IF(AND(ISNUMBER(SEARCH("Delivery",N476)),ISNUMBER(SEARCH("Santana",N476))),"SIM","")</f>
        <v/>
      </c>
      <c r="AH476" s="99">
        <f>IF(AND(ISNUMBER(SEARCH("Delivery",N476)),ISNUMBER(SEARCH("André",N476))),"SIM","")</f>
        <v/>
      </c>
      <c r="AI476" s="99">
        <f>IF(ISNUMBER(SEARCH("Interlagos",N476)),"SIM","")</f>
        <v/>
      </c>
      <c r="AJ476" s="99">
        <f>IF(ISNUMBER(SEARCH("Quiosque",N476)),"SIM","")</f>
        <v/>
      </c>
      <c r="AK476" s="101" t="n"/>
    </row>
    <row r="477">
      <c r="A477" s="88" t="inlineStr">
        <is>
          <t>Protheus</t>
        </is>
      </c>
      <c r="B477" s="96" t="inlineStr">
        <is>
          <t>002195</t>
        </is>
      </c>
      <c r="C477" s="97">
        <f>IF(B477="—","—",IFERROR(VLOOKUP(B477,_Protheus_Cadastro!$A:$B,2,FALSE),"—"))</f>
        <v/>
      </c>
      <c r="D477" s="98">
        <f>IF(B477="—",IFERROR(INDEX(_ZIG_Cadastro!$D:$D,MATCH(H477,_ZIG_Cadastro!$A:$A,0)),"Produto"),IFERROR(VLOOKUP(B477,_Protheus_Cadastro!$A:$C,3,FALSE),"—"))</f>
        <v/>
      </c>
      <c r="E477" s="98">
        <f>IF(B477="—","—",IFERROR(VLOOKUP(B477,_Protheus_Cadastro!$A:$D,4,FALSE),"—"))</f>
        <v/>
      </c>
      <c r="F477" s="98">
        <f>IF(ISERROR(VLOOKUP(B477,'Estrutura Protheus'!A:A,1,FALSE)),"Não","Sim")</f>
        <v/>
      </c>
      <c r="G477" s="99">
        <f>IFERROR(INDEX(_Protheus_Cadastro!$H:$H,MATCH(B477,_Protheus_Cadastro!$A:$A,0)),"—")</f>
        <v/>
      </c>
      <c r="H477" s="211">
        <f>IFERROR(INDEX(_ZIG_Precos!$D:$D,MATCH(I477,_ZIG_Precos!$F:$F,0)),"—")</f>
        <v/>
      </c>
      <c r="I477" s="103">
        <f>IFERROR(VLOOKUP(B477,_Protheus_Cadastro!$A:$I,9,FALSE),"—")</f>
        <v/>
      </c>
      <c r="J477" s="101">
        <f>IFERROR(INDEX(_ZIG_Cadastro!$B:$B,MATCH(I477,_ZIG_Cadastro!$A:$A,0)),IFERROR(INDEX(_Entradas_ZIG!$B:$B,MATCH(I477,_Entradas_ZIG!$C:$C,0)),"—"))</f>
        <v/>
      </c>
      <c r="K477" s="101">
        <f>IFERROR(INDEX(_ZIG_Cadastro!$C:$C,MATCH(I477,_ZIG_Cadastro!$A:$A,0)),IFERROR(INDEX(_Entradas_ZIG!$D:$D,MATCH(I477,_Entradas_ZIG!$C:$C,0)),"—"))</f>
        <v/>
      </c>
      <c r="L477" s="99">
        <f>IF(I477="","Sem SKU ZIG",IF(I477="—","Sem SKU ZIG",IF(NOT(ISERROR(MATCH(I477,_ZIG_Cadastro!$A:$A,0))),IF(EXACT(UPPER(TRIM(C477)),UPPER(TRIM(INDEX(_ZIG_Cadastro!$B:$B,MATCH(I477,_ZIG_Cadastro!$A:$A,0))))),"OK","Atencao - Nome diverge"),IF(NOT(ISERROR(MATCH(I477,_Entradas_ZIG!$C:$C,0))),"OK","Erro - SKU nao encontrado"))))</f>
        <v/>
      </c>
      <c r="M477" s="99">
        <f>IFERROR(INDEX(_ZIG_Cadastro!$G:$G,MATCH(I477,_ZIG_Cadastro!$A:$A,0)),IF(NOT(ISERROR(MATCH(I477,_Entradas_ZIG!$C:$C,0))),"Ativo","—"))</f>
        <v/>
      </c>
      <c r="N477" s="102">
        <f>IFERROR(INDEX(_ZIG_Cadastro!$E:$E,MATCH(I477,_ZIG_Cadastro!$A:$A,0)),IFERROR(INDEX(_Entradas_ZIG!$F:$F,MATCH(I477,_Entradas_ZIG!$C:$C,0)),"—"))</f>
        <v/>
      </c>
      <c r="O477" s="99">
        <f>IF(AND(ISNUMBER(SEARCH("Espeto",N477)),ISNUMBER(SEARCH("Carin",N477))),"SIM","")</f>
        <v/>
      </c>
      <c r="P477" s="99">
        <f>IF(AND(ISNUMBER(SEARCH("Espeto",N477)),ISNUMBER(SEARCH("Lapa",N477))),"SIM","")</f>
        <v/>
      </c>
      <c r="Q477" s="99">
        <f>IF(AND(ISNUMBER(SEARCH("Espeto",N477)),ISNUMBER(SEARCH("Tatuapé",N477))),"SIM","")</f>
        <v/>
      </c>
      <c r="R477" s="99">
        <f>IF(AND(ISNUMBER(SEARCH("Espeto",N477)),ISNUMBER(SEARCH("Pavão",N477))),"SIM","")</f>
        <v/>
      </c>
      <c r="S477" s="99">
        <f>IF(AND(ISNUMBER(SEARCH("Espeto",N477)),ISNUMBER(SEARCH("Chac",N477))),"SIM","")</f>
        <v/>
      </c>
      <c r="T477" s="99">
        <f>IF(AND(ISNUMBER(SEARCH("Espeto",N477)),ISNUMBER(SEARCH("Madalena",N477))),"SIM","")</f>
        <v/>
      </c>
      <c r="U477" s="99">
        <f>IF(AND(ISNUMBER(SEARCH("Espeto",N477)),ISNUMBER(SEARCH("Mariana",N477))),"SIM","")</f>
        <v/>
      </c>
      <c r="V477" s="99">
        <f>IF(AND(ISNUMBER(SEARCH("Espeto",N477)),ISNUMBER(SEARCH("Perdizes",N477))),"SIM","")</f>
        <v/>
      </c>
      <c r="W477" s="99">
        <f>IF(AND(ISNUMBER(SEARCH("Espeto",N477)),ISNUMBER(SEARCH("Santana",N477))),"SIM","")</f>
        <v/>
      </c>
      <c r="X477" s="99">
        <f>IF(AND(ISNUMBER(SEARCH("Espeto",N477)),ISNUMBER(SEARCH("André",N477))),"SIM","")</f>
        <v/>
      </c>
      <c r="Y477" s="99">
        <f>IF(AND(ISNUMBER(SEARCH("Delivery",N477)),ISNUMBER(SEARCH("Carin",N477))),"SIM","")</f>
        <v/>
      </c>
      <c r="Z477" s="99">
        <f>IF(AND(ISNUMBER(SEARCH("Delivery",N477)),ISNUMBER(SEARCH("Lapa",N477))),"SIM","")</f>
        <v/>
      </c>
      <c r="AA477" s="99">
        <f>IF(AND(ISNUMBER(SEARCH("Delivery",N477)),ISNUMBER(SEARCH("Tatuapé",N477))),"SIM","")</f>
        <v/>
      </c>
      <c r="AB477" s="99">
        <f>IF(AND(ISNUMBER(SEARCH("Delivery",N477)),ISNUMBER(SEARCH("Pavão",N477))),"SIM","")</f>
        <v/>
      </c>
      <c r="AC477" s="99">
        <f>IF(AND(ISNUMBER(SEARCH("Delivery",N477)),ISNUMBER(SEARCH("Chac",N477))),"SIM","")</f>
        <v/>
      </c>
      <c r="AD477" s="99">
        <f>IF(AND(ISNUMBER(SEARCH("Delivery",N477)),ISNUMBER(SEARCH("Madalena",N477))),"SIM","")</f>
        <v/>
      </c>
      <c r="AE477" s="92">
        <f>IF(AND(ISNUMBER(SEARCH("Delivery",N477)),ISNUMBER(SEARCH("Mariana",N477))),"SIM","")</f>
        <v/>
      </c>
      <c r="AF477" s="92">
        <f>IF(AND(ISNUMBER(SEARCH("Delivery",N477)),ISNUMBER(SEARCH("Perdizes",N477))),"SIM","")</f>
        <v/>
      </c>
      <c r="AG477" s="92">
        <f>IF(AND(ISNUMBER(SEARCH("Delivery",N477)),ISNUMBER(SEARCH("Santana",N477))),"SIM","")</f>
        <v/>
      </c>
      <c r="AH477" s="92">
        <f>IF(AND(ISNUMBER(SEARCH("Delivery",N477)),ISNUMBER(SEARCH("André",N477))),"SIM","")</f>
        <v/>
      </c>
      <c r="AI477" s="92">
        <f>IF(ISNUMBER(SEARCH("Interlagos",N477)),"SIM","")</f>
        <v/>
      </c>
      <c r="AJ477" s="92">
        <f>IF(ISNUMBER(SEARCH("Quiosque",N477)),"SIM","")</f>
        <v/>
      </c>
      <c r="AK477" s="93" t="n"/>
    </row>
    <row r="478">
      <c r="A478" s="88" t="inlineStr">
        <is>
          <t>Protheus</t>
        </is>
      </c>
      <c r="B478" s="89" t="inlineStr">
        <is>
          <t>000014</t>
        </is>
      </c>
      <c r="C478" s="90">
        <f>IF(B478="—","—",IFERROR(VLOOKUP(B478,_Protheus_Cadastro!$A:$B,2,FALSE),"—"))</f>
        <v/>
      </c>
      <c r="D478" s="91">
        <f>IF(B478="—",IFERROR(INDEX(_ZIG_Cadastro!$D:$D,MATCH(H478,_ZIG_Cadastro!$A:$A,0)),"Produto"),IFERROR(VLOOKUP(B478,_Protheus_Cadastro!$A:$C,3,FALSE),"—"))</f>
        <v/>
      </c>
      <c r="E478" s="91">
        <f>IF(B478="—","—",IFERROR(VLOOKUP(B478,_Protheus_Cadastro!$A:$D,4,FALSE),"—"))</f>
        <v/>
      </c>
      <c r="F478" s="91">
        <f>IF(ISERROR(VLOOKUP(B478,'Estrutura Protheus'!A:A,1,FALSE)),"Não","Sim")</f>
        <v/>
      </c>
      <c r="G478" s="92">
        <f>IFERROR(INDEX(_Protheus_Cadastro!$H:$H,MATCH(B478,_Protheus_Cadastro!$A:$A,0)),"—")</f>
        <v/>
      </c>
      <c r="H478" s="210">
        <f>IFERROR(INDEX(_ZIG_Precos!$D:$D,MATCH(I478,_ZIG_Precos!$F:$F,0)),"—")</f>
        <v/>
      </c>
      <c r="I478" s="95">
        <f>IFERROR(VLOOKUP(B478,_Protheus_Cadastro!$A:$I,9,FALSE),"—")</f>
        <v/>
      </c>
      <c r="J478" s="93">
        <f>IFERROR(INDEX(_ZIG_Cadastro!$B:$B,MATCH(I478,_ZIG_Cadastro!$A:$A,0)),IFERROR(INDEX(_Entradas_ZIG!$B:$B,MATCH(I478,_Entradas_ZIG!$C:$C,0)),"—"))</f>
        <v/>
      </c>
      <c r="K478" s="93">
        <f>IFERROR(INDEX(_ZIG_Cadastro!$C:$C,MATCH(I478,_ZIG_Cadastro!$A:$A,0)),IFERROR(INDEX(_Entradas_ZIG!$D:$D,MATCH(I478,_Entradas_ZIG!$C:$C,0)),"—"))</f>
        <v/>
      </c>
      <c r="L478" s="92">
        <f>IF(I478="","Sem SKU ZIG",IF(I478="—","Sem SKU ZIG",IF(NOT(ISERROR(MATCH(I478,_ZIG_Cadastro!$A:$A,0))),IF(EXACT(UPPER(TRIM(C478)),UPPER(TRIM(INDEX(_ZIG_Cadastro!$B:$B,MATCH(I478,_ZIG_Cadastro!$A:$A,0))))),"OK","Atencao - Nome diverge"),IF(NOT(ISERROR(MATCH(I478,_Entradas_ZIG!$C:$C,0))),"OK","Erro - SKU nao encontrado"))))</f>
        <v/>
      </c>
      <c r="M478" s="92">
        <f>IFERROR(INDEX(_ZIG_Cadastro!$G:$G,MATCH(I478,_ZIG_Cadastro!$A:$A,0)),IF(NOT(ISERROR(MATCH(I478,_Entradas_ZIG!$C:$C,0))),"Ativo","—"))</f>
        <v/>
      </c>
      <c r="N478" s="94">
        <f>IFERROR(INDEX(_ZIG_Cadastro!$E:$E,MATCH(I478,_ZIG_Cadastro!$A:$A,0)),IFERROR(INDEX(_Entradas_ZIG!$F:$F,MATCH(I478,_Entradas_ZIG!$C:$C,0)),"—"))</f>
        <v/>
      </c>
      <c r="O478" s="92">
        <f>IF(AND(ISNUMBER(SEARCH("Espeto",N478)),ISNUMBER(SEARCH("Carin",N478))),"SIM","")</f>
        <v/>
      </c>
      <c r="P478" s="92">
        <f>IF(AND(ISNUMBER(SEARCH("Espeto",N478)),ISNUMBER(SEARCH("Lapa",N478))),"SIM","")</f>
        <v/>
      </c>
      <c r="Q478" s="92">
        <f>IF(AND(ISNUMBER(SEARCH("Espeto",N478)),ISNUMBER(SEARCH("Tatuapé",N478))),"SIM","")</f>
        <v/>
      </c>
      <c r="R478" s="92">
        <f>IF(AND(ISNUMBER(SEARCH("Espeto",N478)),ISNUMBER(SEARCH("Pavão",N478))),"SIM","")</f>
        <v/>
      </c>
      <c r="S478" s="92">
        <f>IF(AND(ISNUMBER(SEARCH("Espeto",N478)),ISNUMBER(SEARCH("Chac",N478))),"SIM","")</f>
        <v/>
      </c>
      <c r="T478" s="92">
        <f>IF(AND(ISNUMBER(SEARCH("Espeto",N478)),ISNUMBER(SEARCH("Madalena",N478))),"SIM","")</f>
        <v/>
      </c>
      <c r="U478" s="92">
        <f>IF(AND(ISNUMBER(SEARCH("Espeto",N478)),ISNUMBER(SEARCH("Mariana",N478))),"SIM","")</f>
        <v/>
      </c>
      <c r="V478" s="92">
        <f>IF(AND(ISNUMBER(SEARCH("Espeto",N478)),ISNUMBER(SEARCH("Perdizes",N478))),"SIM","")</f>
        <v/>
      </c>
      <c r="W478" s="92">
        <f>IF(AND(ISNUMBER(SEARCH("Espeto",N478)),ISNUMBER(SEARCH("Santana",N478))),"SIM","")</f>
        <v/>
      </c>
      <c r="X478" s="92">
        <f>IF(AND(ISNUMBER(SEARCH("Espeto",N478)),ISNUMBER(SEARCH("André",N478))),"SIM","")</f>
        <v/>
      </c>
      <c r="Y478" s="92">
        <f>IF(AND(ISNUMBER(SEARCH("Delivery",N478)),ISNUMBER(SEARCH("Carin",N478))),"SIM","")</f>
        <v/>
      </c>
      <c r="Z478" s="92">
        <f>IF(AND(ISNUMBER(SEARCH("Delivery",N478)),ISNUMBER(SEARCH("Lapa",N478))),"SIM","")</f>
        <v/>
      </c>
      <c r="AA478" s="92">
        <f>IF(AND(ISNUMBER(SEARCH("Delivery",N478)),ISNUMBER(SEARCH("Tatuapé",N478))),"SIM","")</f>
        <v/>
      </c>
      <c r="AB478" s="92">
        <f>IF(AND(ISNUMBER(SEARCH("Delivery",N478)),ISNUMBER(SEARCH("Pavão",N478))),"SIM","")</f>
        <v/>
      </c>
      <c r="AC478" s="92">
        <f>IF(AND(ISNUMBER(SEARCH("Delivery",N478)),ISNUMBER(SEARCH("Chac",N478))),"SIM","")</f>
        <v/>
      </c>
      <c r="AD478" s="92">
        <f>IF(AND(ISNUMBER(SEARCH("Delivery",N478)),ISNUMBER(SEARCH("Madalena",N478))),"SIM","")</f>
        <v/>
      </c>
      <c r="AE478" s="99">
        <f>IF(AND(ISNUMBER(SEARCH("Delivery",N478)),ISNUMBER(SEARCH("Mariana",N478))),"SIM","")</f>
        <v/>
      </c>
      <c r="AF478" s="99">
        <f>IF(AND(ISNUMBER(SEARCH("Delivery",N478)),ISNUMBER(SEARCH("Perdizes",N478))),"SIM","")</f>
        <v/>
      </c>
      <c r="AG478" s="99">
        <f>IF(AND(ISNUMBER(SEARCH("Delivery",N478)),ISNUMBER(SEARCH("Santana",N478))),"SIM","")</f>
        <v/>
      </c>
      <c r="AH478" s="99">
        <f>IF(AND(ISNUMBER(SEARCH("Delivery",N478)),ISNUMBER(SEARCH("André",N478))),"SIM","")</f>
        <v/>
      </c>
      <c r="AI478" s="99">
        <f>IF(ISNUMBER(SEARCH("Interlagos",N478)),"SIM","")</f>
        <v/>
      </c>
      <c r="AJ478" s="99">
        <f>IF(ISNUMBER(SEARCH("Quiosque",N478)),"SIM","")</f>
        <v/>
      </c>
      <c r="AK478" s="101" t="n"/>
    </row>
    <row r="479">
      <c r="A479" s="88" t="inlineStr">
        <is>
          <t>Protheus</t>
        </is>
      </c>
      <c r="B479" s="96" t="inlineStr">
        <is>
          <t>001008</t>
        </is>
      </c>
      <c r="C479" s="97">
        <f>IF(B479="—","—",IFERROR(VLOOKUP(B479,_Protheus_Cadastro!$A:$B,2,FALSE),"—"))</f>
        <v/>
      </c>
      <c r="D479" s="98">
        <f>IF(B479="—",IFERROR(INDEX(_ZIG_Cadastro!$D:$D,MATCH(H479,_ZIG_Cadastro!$A:$A,0)),"Produto"),IFERROR(VLOOKUP(B479,_Protheus_Cadastro!$A:$C,3,FALSE),"—"))</f>
        <v/>
      </c>
      <c r="E479" s="98">
        <f>IF(B479="—","—",IFERROR(VLOOKUP(B479,_Protheus_Cadastro!$A:$D,4,FALSE),"—"))</f>
        <v/>
      </c>
      <c r="F479" s="98">
        <f>IF(ISERROR(VLOOKUP(B479,'Estrutura Protheus'!A:A,1,FALSE)),"Não","Sim")</f>
        <v/>
      </c>
      <c r="G479" s="99">
        <f>IFERROR(INDEX(_Protheus_Cadastro!$H:$H,MATCH(B479,_Protheus_Cadastro!$A:$A,0)),"—")</f>
        <v/>
      </c>
      <c r="H479" s="211">
        <f>IFERROR(INDEX(_ZIG_Precos!$D:$D,MATCH(I479,_ZIG_Precos!$F:$F,0)),"—")</f>
        <v/>
      </c>
      <c r="I479" s="103">
        <f>IFERROR(VLOOKUP(B479,_Protheus_Cadastro!$A:$I,9,FALSE),"—")</f>
        <v/>
      </c>
      <c r="J479" s="101">
        <f>IFERROR(INDEX(_ZIG_Cadastro!$B:$B,MATCH(I479,_ZIG_Cadastro!$A:$A,0)),IFERROR(INDEX(_Entradas_ZIG!$B:$B,MATCH(I479,_Entradas_ZIG!$C:$C,0)),"—"))</f>
        <v/>
      </c>
      <c r="K479" s="101">
        <f>IFERROR(INDEX(_ZIG_Cadastro!$C:$C,MATCH(I479,_ZIG_Cadastro!$A:$A,0)),IFERROR(INDEX(_Entradas_ZIG!$D:$D,MATCH(I479,_Entradas_ZIG!$C:$C,0)),"—"))</f>
        <v/>
      </c>
      <c r="L479" s="99">
        <f>IF(I479="","Sem SKU ZIG",IF(I479="—","Sem SKU ZIG",IF(NOT(ISERROR(MATCH(I479,_ZIG_Cadastro!$A:$A,0))),IF(EXACT(UPPER(TRIM(C479)),UPPER(TRIM(INDEX(_ZIG_Cadastro!$B:$B,MATCH(I479,_ZIG_Cadastro!$A:$A,0))))),"OK","Atencao - Nome diverge"),IF(NOT(ISERROR(MATCH(I479,_Entradas_ZIG!$C:$C,0))),"OK","Erro - SKU nao encontrado"))))</f>
        <v/>
      </c>
      <c r="M479" s="99">
        <f>IFERROR(INDEX(_ZIG_Cadastro!$G:$G,MATCH(I479,_ZIG_Cadastro!$A:$A,0)),IF(NOT(ISERROR(MATCH(I479,_Entradas_ZIG!$C:$C,0))),"Ativo","—"))</f>
        <v/>
      </c>
      <c r="N479" s="102">
        <f>IFERROR(INDEX(_ZIG_Cadastro!$E:$E,MATCH(I479,_ZIG_Cadastro!$A:$A,0)),IFERROR(INDEX(_Entradas_ZIG!$F:$F,MATCH(I479,_Entradas_ZIG!$C:$C,0)),"—"))</f>
        <v/>
      </c>
      <c r="O479" s="99">
        <f>IF(AND(ISNUMBER(SEARCH("Espeto",N479)),ISNUMBER(SEARCH("Carin",N479))),"SIM","")</f>
        <v/>
      </c>
      <c r="P479" s="99">
        <f>IF(AND(ISNUMBER(SEARCH("Espeto",N479)),ISNUMBER(SEARCH("Lapa",N479))),"SIM","")</f>
        <v/>
      </c>
      <c r="Q479" s="99">
        <f>IF(AND(ISNUMBER(SEARCH("Espeto",N479)),ISNUMBER(SEARCH("Tatuapé",N479))),"SIM","")</f>
        <v/>
      </c>
      <c r="R479" s="99">
        <f>IF(AND(ISNUMBER(SEARCH("Espeto",N479)),ISNUMBER(SEARCH("Pavão",N479))),"SIM","")</f>
        <v/>
      </c>
      <c r="S479" s="99">
        <f>IF(AND(ISNUMBER(SEARCH("Espeto",N479)),ISNUMBER(SEARCH("Chac",N479))),"SIM","")</f>
        <v/>
      </c>
      <c r="T479" s="99">
        <f>IF(AND(ISNUMBER(SEARCH("Espeto",N479)),ISNUMBER(SEARCH("Madalena",N479))),"SIM","")</f>
        <v/>
      </c>
      <c r="U479" s="99">
        <f>IF(AND(ISNUMBER(SEARCH("Espeto",N479)),ISNUMBER(SEARCH("Mariana",N479))),"SIM","")</f>
        <v/>
      </c>
      <c r="V479" s="99">
        <f>IF(AND(ISNUMBER(SEARCH("Espeto",N479)),ISNUMBER(SEARCH("Perdizes",N479))),"SIM","")</f>
        <v/>
      </c>
      <c r="W479" s="99">
        <f>IF(AND(ISNUMBER(SEARCH("Espeto",N479)),ISNUMBER(SEARCH("Santana",N479))),"SIM","")</f>
        <v/>
      </c>
      <c r="X479" s="99">
        <f>IF(AND(ISNUMBER(SEARCH("Espeto",N479)),ISNUMBER(SEARCH("André",N479))),"SIM","")</f>
        <v/>
      </c>
      <c r="Y479" s="99">
        <f>IF(AND(ISNUMBER(SEARCH("Delivery",N479)),ISNUMBER(SEARCH("Carin",N479))),"SIM","")</f>
        <v/>
      </c>
      <c r="Z479" s="99">
        <f>IF(AND(ISNUMBER(SEARCH("Delivery",N479)),ISNUMBER(SEARCH("Lapa",N479))),"SIM","")</f>
        <v/>
      </c>
      <c r="AA479" s="99">
        <f>IF(AND(ISNUMBER(SEARCH("Delivery",N479)),ISNUMBER(SEARCH("Tatuapé",N479))),"SIM","")</f>
        <v/>
      </c>
      <c r="AB479" s="99">
        <f>IF(AND(ISNUMBER(SEARCH("Delivery",N479)),ISNUMBER(SEARCH("Pavão",N479))),"SIM","")</f>
        <v/>
      </c>
      <c r="AC479" s="99">
        <f>IF(AND(ISNUMBER(SEARCH("Delivery",N479)),ISNUMBER(SEARCH("Chac",N479))),"SIM","")</f>
        <v/>
      </c>
      <c r="AD479" s="99">
        <f>IF(AND(ISNUMBER(SEARCH("Delivery",N479)),ISNUMBER(SEARCH("Madalena",N479))),"SIM","")</f>
        <v/>
      </c>
      <c r="AE479" s="92">
        <f>IF(AND(ISNUMBER(SEARCH("Delivery",N479)),ISNUMBER(SEARCH("Mariana",N479))),"SIM","")</f>
        <v/>
      </c>
      <c r="AF479" s="92">
        <f>IF(AND(ISNUMBER(SEARCH("Delivery",N479)),ISNUMBER(SEARCH("Perdizes",N479))),"SIM","")</f>
        <v/>
      </c>
      <c r="AG479" s="92">
        <f>IF(AND(ISNUMBER(SEARCH("Delivery",N479)),ISNUMBER(SEARCH("Santana",N479))),"SIM","")</f>
        <v/>
      </c>
      <c r="AH479" s="92">
        <f>IF(AND(ISNUMBER(SEARCH("Delivery",N479)),ISNUMBER(SEARCH("André",N479))),"SIM","")</f>
        <v/>
      </c>
      <c r="AI479" s="92">
        <f>IF(ISNUMBER(SEARCH("Interlagos",N479)),"SIM","")</f>
        <v/>
      </c>
      <c r="AJ479" s="92">
        <f>IF(ISNUMBER(SEARCH("Quiosque",N479)),"SIM","")</f>
        <v/>
      </c>
      <c r="AK479" s="93" t="n"/>
    </row>
    <row r="480">
      <c r="A480" s="88" t="inlineStr">
        <is>
          <t>Protheus</t>
        </is>
      </c>
      <c r="B480" s="89" t="inlineStr">
        <is>
          <t>000991</t>
        </is>
      </c>
      <c r="C480" s="90">
        <f>IF(B480="—","—",IFERROR(VLOOKUP(B480,_Protheus_Cadastro!$A:$B,2,FALSE),"—"))</f>
        <v/>
      </c>
      <c r="D480" s="91">
        <f>IF(B480="—",IFERROR(INDEX(_ZIG_Cadastro!$D:$D,MATCH(H480,_ZIG_Cadastro!$A:$A,0)),"Produto"),IFERROR(VLOOKUP(B480,_Protheus_Cadastro!$A:$C,3,FALSE),"—"))</f>
        <v/>
      </c>
      <c r="E480" s="91">
        <f>IF(B480="—","—",IFERROR(VLOOKUP(B480,_Protheus_Cadastro!$A:$D,4,FALSE),"—"))</f>
        <v/>
      </c>
      <c r="F480" s="91">
        <f>IF(ISERROR(VLOOKUP(B480,'Estrutura Protheus'!A:A,1,FALSE)),"Não","Sim")</f>
        <v/>
      </c>
      <c r="G480" s="92">
        <f>IFERROR(INDEX(_Protheus_Cadastro!$H:$H,MATCH(B480,_Protheus_Cadastro!$A:$A,0)),"—")</f>
        <v/>
      </c>
      <c r="H480" s="210">
        <f>IFERROR(INDEX(_ZIG_Precos!$D:$D,MATCH(I480,_ZIG_Precos!$F:$F,0)),"—")</f>
        <v/>
      </c>
      <c r="I480" s="95">
        <f>IFERROR(VLOOKUP(B480,_Protheus_Cadastro!$A:$I,9,FALSE),"—")</f>
        <v/>
      </c>
      <c r="J480" s="93">
        <f>IFERROR(INDEX(_ZIG_Cadastro!$B:$B,MATCH(I480,_ZIG_Cadastro!$A:$A,0)),IFERROR(INDEX(_Entradas_ZIG!$B:$B,MATCH(I480,_Entradas_ZIG!$C:$C,0)),"—"))</f>
        <v/>
      </c>
      <c r="K480" s="93">
        <f>IFERROR(INDEX(_ZIG_Cadastro!$C:$C,MATCH(I480,_ZIG_Cadastro!$A:$A,0)),IFERROR(INDEX(_Entradas_ZIG!$D:$D,MATCH(I480,_Entradas_ZIG!$C:$C,0)),"—"))</f>
        <v/>
      </c>
      <c r="L480" s="92">
        <f>IF(I480="","Sem SKU ZIG",IF(I480="—","Sem SKU ZIG",IF(NOT(ISERROR(MATCH(I480,_ZIG_Cadastro!$A:$A,0))),IF(EXACT(UPPER(TRIM(C480)),UPPER(TRIM(INDEX(_ZIG_Cadastro!$B:$B,MATCH(I480,_ZIG_Cadastro!$A:$A,0))))),"OK","Atencao - Nome diverge"),IF(NOT(ISERROR(MATCH(I480,_Entradas_ZIG!$C:$C,0))),"OK","Erro - SKU nao encontrado"))))</f>
        <v/>
      </c>
      <c r="M480" s="92">
        <f>IFERROR(INDEX(_ZIG_Cadastro!$G:$G,MATCH(I480,_ZIG_Cadastro!$A:$A,0)),IF(NOT(ISERROR(MATCH(I480,_Entradas_ZIG!$C:$C,0))),"Ativo","—"))</f>
        <v/>
      </c>
      <c r="N480" s="94">
        <f>IFERROR(INDEX(_ZIG_Cadastro!$E:$E,MATCH(I480,_ZIG_Cadastro!$A:$A,0)),IFERROR(INDEX(_Entradas_ZIG!$F:$F,MATCH(I480,_Entradas_ZIG!$C:$C,0)),"—"))</f>
        <v/>
      </c>
      <c r="O480" s="92">
        <f>IF(AND(ISNUMBER(SEARCH("Espeto",N480)),ISNUMBER(SEARCH("Carin",N480))),"SIM","")</f>
        <v/>
      </c>
      <c r="P480" s="92">
        <f>IF(AND(ISNUMBER(SEARCH("Espeto",N480)),ISNUMBER(SEARCH("Lapa",N480))),"SIM","")</f>
        <v/>
      </c>
      <c r="Q480" s="92">
        <f>IF(AND(ISNUMBER(SEARCH("Espeto",N480)),ISNUMBER(SEARCH("Tatuapé",N480))),"SIM","")</f>
        <v/>
      </c>
      <c r="R480" s="92">
        <f>IF(AND(ISNUMBER(SEARCH("Espeto",N480)),ISNUMBER(SEARCH("Pavão",N480))),"SIM","")</f>
        <v/>
      </c>
      <c r="S480" s="92">
        <f>IF(AND(ISNUMBER(SEARCH("Espeto",N480)),ISNUMBER(SEARCH("Chac",N480))),"SIM","")</f>
        <v/>
      </c>
      <c r="T480" s="92">
        <f>IF(AND(ISNUMBER(SEARCH("Espeto",N480)),ISNUMBER(SEARCH("Madalena",N480))),"SIM","")</f>
        <v/>
      </c>
      <c r="U480" s="92">
        <f>IF(AND(ISNUMBER(SEARCH("Espeto",N480)),ISNUMBER(SEARCH("Mariana",N480))),"SIM","")</f>
        <v/>
      </c>
      <c r="V480" s="92">
        <f>IF(AND(ISNUMBER(SEARCH("Espeto",N480)),ISNUMBER(SEARCH("Perdizes",N480))),"SIM","")</f>
        <v/>
      </c>
      <c r="W480" s="92">
        <f>IF(AND(ISNUMBER(SEARCH("Espeto",N480)),ISNUMBER(SEARCH("Santana",N480))),"SIM","")</f>
        <v/>
      </c>
      <c r="X480" s="92">
        <f>IF(AND(ISNUMBER(SEARCH("Espeto",N480)),ISNUMBER(SEARCH("André",N480))),"SIM","")</f>
        <v/>
      </c>
      <c r="Y480" s="92">
        <f>IF(AND(ISNUMBER(SEARCH("Delivery",N480)),ISNUMBER(SEARCH("Carin",N480))),"SIM","")</f>
        <v/>
      </c>
      <c r="Z480" s="92">
        <f>IF(AND(ISNUMBER(SEARCH("Delivery",N480)),ISNUMBER(SEARCH("Lapa",N480))),"SIM","")</f>
        <v/>
      </c>
      <c r="AA480" s="92">
        <f>IF(AND(ISNUMBER(SEARCH("Delivery",N480)),ISNUMBER(SEARCH("Tatuapé",N480))),"SIM","")</f>
        <v/>
      </c>
      <c r="AB480" s="92">
        <f>IF(AND(ISNUMBER(SEARCH("Delivery",N480)),ISNUMBER(SEARCH("Pavão",N480))),"SIM","")</f>
        <v/>
      </c>
      <c r="AC480" s="92">
        <f>IF(AND(ISNUMBER(SEARCH("Delivery",N480)),ISNUMBER(SEARCH("Chac",N480))),"SIM","")</f>
        <v/>
      </c>
      <c r="AD480" s="92">
        <f>IF(AND(ISNUMBER(SEARCH("Delivery",N480)),ISNUMBER(SEARCH("Madalena",N480))),"SIM","")</f>
        <v/>
      </c>
      <c r="AE480" s="99">
        <f>IF(AND(ISNUMBER(SEARCH("Delivery",N480)),ISNUMBER(SEARCH("Mariana",N480))),"SIM","")</f>
        <v/>
      </c>
      <c r="AF480" s="99">
        <f>IF(AND(ISNUMBER(SEARCH("Delivery",N480)),ISNUMBER(SEARCH("Perdizes",N480))),"SIM","")</f>
        <v/>
      </c>
      <c r="AG480" s="99">
        <f>IF(AND(ISNUMBER(SEARCH("Delivery",N480)),ISNUMBER(SEARCH("Santana",N480))),"SIM","")</f>
        <v/>
      </c>
      <c r="AH480" s="99">
        <f>IF(AND(ISNUMBER(SEARCH("Delivery",N480)),ISNUMBER(SEARCH("André",N480))),"SIM","")</f>
        <v/>
      </c>
      <c r="AI480" s="99">
        <f>IF(ISNUMBER(SEARCH("Interlagos",N480)),"SIM","")</f>
        <v/>
      </c>
      <c r="AJ480" s="99">
        <f>IF(ISNUMBER(SEARCH("Quiosque",N480)),"SIM","")</f>
        <v/>
      </c>
      <c r="AK480" s="101" t="n"/>
    </row>
    <row r="481">
      <c r="A481" s="88" t="inlineStr">
        <is>
          <t>Protheus</t>
        </is>
      </c>
      <c r="B481" s="96" t="inlineStr">
        <is>
          <t>009834</t>
        </is>
      </c>
      <c r="C481" s="97">
        <f>IF(B481="—","—",IFERROR(VLOOKUP(B481,_Protheus_Cadastro!$A:$B,2,FALSE),"—"))</f>
        <v/>
      </c>
      <c r="D481" s="98">
        <f>IF(B481="—",IFERROR(INDEX(_ZIG_Cadastro!$D:$D,MATCH(H481,_ZIG_Cadastro!$A:$A,0)),"Produto"),IFERROR(VLOOKUP(B481,_Protheus_Cadastro!$A:$C,3,FALSE),"—"))</f>
        <v/>
      </c>
      <c r="E481" s="98">
        <f>IF(B481="—","—",IFERROR(VLOOKUP(B481,_Protheus_Cadastro!$A:$D,4,FALSE),"—"))</f>
        <v/>
      </c>
      <c r="F481" s="98">
        <f>IF(ISERROR(VLOOKUP(B481,'Estrutura Protheus'!A:A,1,FALSE)),"Não","Sim")</f>
        <v/>
      </c>
      <c r="G481" s="99">
        <f>IFERROR(INDEX(_Protheus_Cadastro!$H:$H,MATCH(B481,_Protheus_Cadastro!$A:$A,0)),"—")</f>
        <v/>
      </c>
      <c r="H481" s="211">
        <f>IFERROR(INDEX(_ZIG_Precos!$D:$D,MATCH(I481,_ZIG_Precos!$F:$F,0)),"—")</f>
        <v/>
      </c>
      <c r="I481" s="103">
        <f>IFERROR(VLOOKUP(B481,_Protheus_Cadastro!$A:$I,9,FALSE),"—")</f>
        <v/>
      </c>
      <c r="J481" s="101">
        <f>IFERROR(INDEX(_ZIG_Cadastro!$B:$B,MATCH(I481,_ZIG_Cadastro!$A:$A,0)),IFERROR(INDEX(_Entradas_ZIG!$B:$B,MATCH(I481,_Entradas_ZIG!$C:$C,0)),"—"))</f>
        <v/>
      </c>
      <c r="K481" s="101">
        <f>IFERROR(INDEX(_ZIG_Cadastro!$C:$C,MATCH(I481,_ZIG_Cadastro!$A:$A,0)),IFERROR(INDEX(_Entradas_ZIG!$D:$D,MATCH(I481,_Entradas_ZIG!$C:$C,0)),"—"))</f>
        <v/>
      </c>
      <c r="L481" s="99">
        <f>IF(I481="","Sem SKU ZIG",IF(I481="—","Sem SKU ZIG",IF(NOT(ISERROR(MATCH(I481,_ZIG_Cadastro!$A:$A,0))),IF(EXACT(UPPER(TRIM(C481)),UPPER(TRIM(INDEX(_ZIG_Cadastro!$B:$B,MATCH(I481,_ZIG_Cadastro!$A:$A,0))))),"OK","Atencao - Nome diverge"),IF(NOT(ISERROR(MATCH(I481,_Entradas_ZIG!$C:$C,0))),"OK","Erro - SKU nao encontrado"))))</f>
        <v/>
      </c>
      <c r="M481" s="99">
        <f>IFERROR(INDEX(_ZIG_Cadastro!$G:$G,MATCH(I481,_ZIG_Cadastro!$A:$A,0)),IF(NOT(ISERROR(MATCH(I481,_Entradas_ZIG!$C:$C,0))),"Ativo","—"))</f>
        <v/>
      </c>
      <c r="N481" s="102">
        <f>IFERROR(INDEX(_ZIG_Cadastro!$E:$E,MATCH(I481,_ZIG_Cadastro!$A:$A,0)),IFERROR(INDEX(_Entradas_ZIG!$F:$F,MATCH(I481,_Entradas_ZIG!$C:$C,0)),"—"))</f>
        <v/>
      </c>
      <c r="O481" s="99">
        <f>IF(AND(ISNUMBER(SEARCH("Espeto",N481)),ISNUMBER(SEARCH("Carin",N481))),"SIM","")</f>
        <v/>
      </c>
      <c r="P481" s="99">
        <f>IF(AND(ISNUMBER(SEARCH("Espeto",N481)),ISNUMBER(SEARCH("Lapa",N481))),"SIM","")</f>
        <v/>
      </c>
      <c r="Q481" s="99">
        <f>IF(AND(ISNUMBER(SEARCH("Espeto",N481)),ISNUMBER(SEARCH("Tatuapé",N481))),"SIM","")</f>
        <v/>
      </c>
      <c r="R481" s="99">
        <f>IF(AND(ISNUMBER(SEARCH("Espeto",N481)),ISNUMBER(SEARCH("Pavão",N481))),"SIM","")</f>
        <v/>
      </c>
      <c r="S481" s="99">
        <f>IF(AND(ISNUMBER(SEARCH("Espeto",N481)),ISNUMBER(SEARCH("Chac",N481))),"SIM","")</f>
        <v/>
      </c>
      <c r="T481" s="99">
        <f>IF(AND(ISNUMBER(SEARCH("Espeto",N481)),ISNUMBER(SEARCH("Madalena",N481))),"SIM","")</f>
        <v/>
      </c>
      <c r="U481" s="99">
        <f>IF(AND(ISNUMBER(SEARCH("Espeto",N481)),ISNUMBER(SEARCH("Mariana",N481))),"SIM","")</f>
        <v/>
      </c>
      <c r="V481" s="99">
        <f>IF(AND(ISNUMBER(SEARCH("Espeto",N481)),ISNUMBER(SEARCH("Perdizes",N481))),"SIM","")</f>
        <v/>
      </c>
      <c r="W481" s="99">
        <f>IF(AND(ISNUMBER(SEARCH("Espeto",N481)),ISNUMBER(SEARCH("Santana",N481))),"SIM","")</f>
        <v/>
      </c>
      <c r="X481" s="99">
        <f>IF(AND(ISNUMBER(SEARCH("Espeto",N481)),ISNUMBER(SEARCH("André",N481))),"SIM","")</f>
        <v/>
      </c>
      <c r="Y481" s="99">
        <f>IF(AND(ISNUMBER(SEARCH("Delivery",N481)),ISNUMBER(SEARCH("Carin",N481))),"SIM","")</f>
        <v/>
      </c>
      <c r="Z481" s="99">
        <f>IF(AND(ISNUMBER(SEARCH("Delivery",N481)),ISNUMBER(SEARCH("Lapa",N481))),"SIM","")</f>
        <v/>
      </c>
      <c r="AA481" s="99">
        <f>IF(AND(ISNUMBER(SEARCH("Delivery",N481)),ISNUMBER(SEARCH("Tatuapé",N481))),"SIM","")</f>
        <v/>
      </c>
      <c r="AB481" s="99">
        <f>IF(AND(ISNUMBER(SEARCH("Delivery",N481)),ISNUMBER(SEARCH("Pavão",N481))),"SIM","")</f>
        <v/>
      </c>
      <c r="AC481" s="99">
        <f>IF(AND(ISNUMBER(SEARCH("Delivery",N481)),ISNUMBER(SEARCH("Chac",N481))),"SIM","")</f>
        <v/>
      </c>
      <c r="AD481" s="99">
        <f>IF(AND(ISNUMBER(SEARCH("Delivery",N481)),ISNUMBER(SEARCH("Madalena",N481))),"SIM","")</f>
        <v/>
      </c>
      <c r="AE481" s="92">
        <f>IF(AND(ISNUMBER(SEARCH("Delivery",N481)),ISNUMBER(SEARCH("Mariana",N481))),"SIM","")</f>
        <v/>
      </c>
      <c r="AF481" s="92">
        <f>IF(AND(ISNUMBER(SEARCH("Delivery",N481)),ISNUMBER(SEARCH("Perdizes",N481))),"SIM","")</f>
        <v/>
      </c>
      <c r="AG481" s="92">
        <f>IF(AND(ISNUMBER(SEARCH("Delivery",N481)),ISNUMBER(SEARCH("Santana",N481))),"SIM","")</f>
        <v/>
      </c>
      <c r="AH481" s="92">
        <f>IF(AND(ISNUMBER(SEARCH("Delivery",N481)),ISNUMBER(SEARCH("André",N481))),"SIM","")</f>
        <v/>
      </c>
      <c r="AI481" s="92">
        <f>IF(ISNUMBER(SEARCH("Interlagos",N481)),"SIM","")</f>
        <v/>
      </c>
      <c r="AJ481" s="92">
        <f>IF(ISNUMBER(SEARCH("Quiosque",N481)),"SIM","")</f>
        <v/>
      </c>
      <c r="AK481" s="93" t="n"/>
    </row>
    <row r="482">
      <c r="A482" s="88" t="inlineStr">
        <is>
          <t>Protheus</t>
        </is>
      </c>
      <c r="B482" s="89" t="inlineStr">
        <is>
          <t>009950</t>
        </is>
      </c>
      <c r="C482" s="90">
        <f>IF(B482="—","—",IFERROR(VLOOKUP(B482,_Protheus_Cadastro!$A:$B,2,FALSE),"—"))</f>
        <v/>
      </c>
      <c r="D482" s="91">
        <f>IF(B482="—",IFERROR(INDEX(_ZIG_Cadastro!$D:$D,MATCH(H482,_ZIG_Cadastro!$A:$A,0)),"Produto"),IFERROR(VLOOKUP(B482,_Protheus_Cadastro!$A:$C,3,FALSE),"—"))</f>
        <v/>
      </c>
      <c r="E482" s="91">
        <f>IF(B482="—","—",IFERROR(VLOOKUP(B482,_Protheus_Cadastro!$A:$D,4,FALSE),"—"))</f>
        <v/>
      </c>
      <c r="F482" s="91">
        <f>IF(ISERROR(VLOOKUP(B482,'Estrutura Protheus'!A:A,1,FALSE)),"Não","Sim")</f>
        <v/>
      </c>
      <c r="G482" s="92">
        <f>IFERROR(INDEX(_Protheus_Cadastro!$H:$H,MATCH(B482,_Protheus_Cadastro!$A:$A,0)),"—")</f>
        <v/>
      </c>
      <c r="H482" s="210">
        <f>IFERROR(INDEX(_ZIG_Precos!$D:$D,MATCH(I482,_ZIG_Precos!$F:$F,0)),"—")</f>
        <v/>
      </c>
      <c r="I482" s="95">
        <f>IFERROR(VLOOKUP(B482,_Protheus_Cadastro!$A:$I,9,FALSE),"—")</f>
        <v/>
      </c>
      <c r="J482" s="93">
        <f>IFERROR(INDEX(_ZIG_Cadastro!$B:$B,MATCH(I482,_ZIG_Cadastro!$A:$A,0)),IFERROR(INDEX(_Entradas_ZIG!$B:$B,MATCH(I482,_Entradas_ZIG!$C:$C,0)),"—"))</f>
        <v/>
      </c>
      <c r="K482" s="93">
        <f>IFERROR(INDEX(_ZIG_Cadastro!$C:$C,MATCH(I482,_ZIG_Cadastro!$A:$A,0)),IFERROR(INDEX(_Entradas_ZIG!$D:$D,MATCH(I482,_Entradas_ZIG!$C:$C,0)),"—"))</f>
        <v/>
      </c>
      <c r="L482" s="92">
        <f>IF(I482="","Sem SKU ZIG",IF(I482="—","Sem SKU ZIG",IF(NOT(ISERROR(MATCH(I482,_ZIG_Cadastro!$A:$A,0))),IF(EXACT(UPPER(TRIM(C482)),UPPER(TRIM(INDEX(_ZIG_Cadastro!$B:$B,MATCH(I482,_ZIG_Cadastro!$A:$A,0))))),"OK","Atencao - Nome diverge"),IF(NOT(ISERROR(MATCH(I482,_Entradas_ZIG!$C:$C,0))),"OK","Erro - SKU nao encontrado"))))</f>
        <v/>
      </c>
      <c r="M482" s="92">
        <f>IFERROR(INDEX(_ZIG_Cadastro!$G:$G,MATCH(I482,_ZIG_Cadastro!$A:$A,0)),IF(NOT(ISERROR(MATCH(I482,_Entradas_ZIG!$C:$C,0))),"Ativo","—"))</f>
        <v/>
      </c>
      <c r="N482" s="94">
        <f>IFERROR(INDEX(_ZIG_Cadastro!$E:$E,MATCH(I482,_ZIG_Cadastro!$A:$A,0)),IFERROR(INDEX(_Entradas_ZIG!$F:$F,MATCH(I482,_Entradas_ZIG!$C:$C,0)),"—"))</f>
        <v/>
      </c>
      <c r="O482" s="92">
        <f>IF(AND(ISNUMBER(SEARCH("Espeto",N482)),ISNUMBER(SEARCH("Carin",N482))),"SIM","")</f>
        <v/>
      </c>
      <c r="P482" s="92">
        <f>IF(AND(ISNUMBER(SEARCH("Espeto",N482)),ISNUMBER(SEARCH("Lapa",N482))),"SIM","")</f>
        <v/>
      </c>
      <c r="Q482" s="92">
        <f>IF(AND(ISNUMBER(SEARCH("Espeto",N482)),ISNUMBER(SEARCH("Tatuapé",N482))),"SIM","")</f>
        <v/>
      </c>
      <c r="R482" s="92">
        <f>IF(AND(ISNUMBER(SEARCH("Espeto",N482)),ISNUMBER(SEARCH("Pavão",N482))),"SIM","")</f>
        <v/>
      </c>
      <c r="S482" s="92">
        <f>IF(AND(ISNUMBER(SEARCH("Espeto",N482)),ISNUMBER(SEARCH("Chac",N482))),"SIM","")</f>
        <v/>
      </c>
      <c r="T482" s="92">
        <f>IF(AND(ISNUMBER(SEARCH("Espeto",N482)),ISNUMBER(SEARCH("Madalena",N482))),"SIM","")</f>
        <v/>
      </c>
      <c r="U482" s="92">
        <f>IF(AND(ISNUMBER(SEARCH("Espeto",N482)),ISNUMBER(SEARCH("Mariana",N482))),"SIM","")</f>
        <v/>
      </c>
      <c r="V482" s="92">
        <f>IF(AND(ISNUMBER(SEARCH("Espeto",N482)),ISNUMBER(SEARCH("Perdizes",N482))),"SIM","")</f>
        <v/>
      </c>
      <c r="W482" s="92">
        <f>IF(AND(ISNUMBER(SEARCH("Espeto",N482)),ISNUMBER(SEARCH("Santana",N482))),"SIM","")</f>
        <v/>
      </c>
      <c r="X482" s="92">
        <f>IF(AND(ISNUMBER(SEARCH("Espeto",N482)),ISNUMBER(SEARCH("André",N482))),"SIM","")</f>
        <v/>
      </c>
      <c r="Y482" s="92">
        <f>IF(AND(ISNUMBER(SEARCH("Delivery",N482)),ISNUMBER(SEARCH("Carin",N482))),"SIM","")</f>
        <v/>
      </c>
      <c r="Z482" s="92">
        <f>IF(AND(ISNUMBER(SEARCH("Delivery",N482)),ISNUMBER(SEARCH("Lapa",N482))),"SIM","")</f>
        <v/>
      </c>
      <c r="AA482" s="92">
        <f>IF(AND(ISNUMBER(SEARCH("Delivery",N482)),ISNUMBER(SEARCH("Tatuapé",N482))),"SIM","")</f>
        <v/>
      </c>
      <c r="AB482" s="92">
        <f>IF(AND(ISNUMBER(SEARCH("Delivery",N482)),ISNUMBER(SEARCH("Pavão",N482))),"SIM","")</f>
        <v/>
      </c>
      <c r="AC482" s="92">
        <f>IF(AND(ISNUMBER(SEARCH("Delivery",N482)),ISNUMBER(SEARCH("Chac",N482))),"SIM","")</f>
        <v/>
      </c>
      <c r="AD482" s="92">
        <f>IF(AND(ISNUMBER(SEARCH("Delivery",N482)),ISNUMBER(SEARCH("Madalena",N482))),"SIM","")</f>
        <v/>
      </c>
      <c r="AE482" s="99">
        <f>IF(AND(ISNUMBER(SEARCH("Delivery",N482)),ISNUMBER(SEARCH("Mariana",N482))),"SIM","")</f>
        <v/>
      </c>
      <c r="AF482" s="99">
        <f>IF(AND(ISNUMBER(SEARCH("Delivery",N482)),ISNUMBER(SEARCH("Perdizes",N482))),"SIM","")</f>
        <v/>
      </c>
      <c r="AG482" s="99">
        <f>IF(AND(ISNUMBER(SEARCH("Delivery",N482)),ISNUMBER(SEARCH("Santana",N482))),"SIM","")</f>
        <v/>
      </c>
      <c r="AH482" s="99">
        <f>IF(AND(ISNUMBER(SEARCH("Delivery",N482)),ISNUMBER(SEARCH("André",N482))),"SIM","")</f>
        <v/>
      </c>
      <c r="AI482" s="99">
        <f>IF(ISNUMBER(SEARCH("Interlagos",N482)),"SIM","")</f>
        <v/>
      </c>
      <c r="AJ482" s="99">
        <f>IF(ISNUMBER(SEARCH("Quiosque",N482)),"SIM","")</f>
        <v/>
      </c>
      <c r="AK482" s="101" t="n"/>
    </row>
    <row r="483">
      <c r="A483" s="88" t="inlineStr">
        <is>
          <t>Protheus</t>
        </is>
      </c>
      <c r="B483" s="96" t="inlineStr">
        <is>
          <t>009835</t>
        </is>
      </c>
      <c r="C483" s="97">
        <f>IF(B483="—","—",IFERROR(VLOOKUP(B483,_Protheus_Cadastro!$A:$B,2,FALSE),"—"))</f>
        <v/>
      </c>
      <c r="D483" s="98">
        <f>IF(B483="—",IFERROR(INDEX(_ZIG_Cadastro!$D:$D,MATCH(H483,_ZIG_Cadastro!$A:$A,0)),"Produto"),IFERROR(VLOOKUP(B483,_Protheus_Cadastro!$A:$C,3,FALSE),"—"))</f>
        <v/>
      </c>
      <c r="E483" s="98">
        <f>IF(B483="—","—",IFERROR(VLOOKUP(B483,_Protheus_Cadastro!$A:$D,4,FALSE),"—"))</f>
        <v/>
      </c>
      <c r="F483" s="98">
        <f>IF(ISERROR(VLOOKUP(B483,'Estrutura Protheus'!A:A,1,FALSE)),"Não","Sim")</f>
        <v/>
      </c>
      <c r="G483" s="99">
        <f>IFERROR(INDEX(_Protheus_Cadastro!$H:$H,MATCH(B483,_Protheus_Cadastro!$A:$A,0)),"—")</f>
        <v/>
      </c>
      <c r="H483" s="211">
        <f>IFERROR(INDEX(_ZIG_Precos!$D:$D,MATCH(I483,_ZIG_Precos!$F:$F,0)),"—")</f>
        <v/>
      </c>
      <c r="I483" s="103">
        <f>IFERROR(VLOOKUP(B483,_Protheus_Cadastro!$A:$I,9,FALSE),"—")</f>
        <v/>
      </c>
      <c r="J483" s="101">
        <f>IFERROR(INDEX(_ZIG_Cadastro!$B:$B,MATCH(I483,_ZIG_Cadastro!$A:$A,0)),IFERROR(INDEX(_Entradas_ZIG!$B:$B,MATCH(I483,_Entradas_ZIG!$C:$C,0)),"—"))</f>
        <v/>
      </c>
      <c r="K483" s="101">
        <f>IFERROR(INDEX(_ZIG_Cadastro!$C:$C,MATCH(I483,_ZIG_Cadastro!$A:$A,0)),IFERROR(INDEX(_Entradas_ZIG!$D:$D,MATCH(I483,_Entradas_ZIG!$C:$C,0)),"—"))</f>
        <v/>
      </c>
      <c r="L483" s="99">
        <f>IF(I483="","Sem SKU ZIG",IF(I483="—","Sem SKU ZIG",IF(NOT(ISERROR(MATCH(I483,_ZIG_Cadastro!$A:$A,0))),IF(EXACT(UPPER(TRIM(C483)),UPPER(TRIM(INDEX(_ZIG_Cadastro!$B:$B,MATCH(I483,_ZIG_Cadastro!$A:$A,0))))),"OK","Atencao - Nome diverge"),IF(NOT(ISERROR(MATCH(I483,_Entradas_ZIG!$C:$C,0))),"OK","Erro - SKU nao encontrado"))))</f>
        <v/>
      </c>
      <c r="M483" s="99">
        <f>IFERROR(INDEX(_ZIG_Cadastro!$G:$G,MATCH(I483,_ZIG_Cadastro!$A:$A,0)),IF(NOT(ISERROR(MATCH(I483,_Entradas_ZIG!$C:$C,0))),"Ativo","—"))</f>
        <v/>
      </c>
      <c r="N483" s="102">
        <f>IFERROR(INDEX(_ZIG_Cadastro!$E:$E,MATCH(I483,_ZIG_Cadastro!$A:$A,0)),IFERROR(INDEX(_Entradas_ZIG!$F:$F,MATCH(I483,_Entradas_ZIG!$C:$C,0)),"—"))</f>
        <v/>
      </c>
      <c r="O483" s="99">
        <f>IF(AND(ISNUMBER(SEARCH("Espeto",N483)),ISNUMBER(SEARCH("Carin",N483))),"SIM","")</f>
        <v/>
      </c>
      <c r="P483" s="99">
        <f>IF(AND(ISNUMBER(SEARCH("Espeto",N483)),ISNUMBER(SEARCH("Lapa",N483))),"SIM","")</f>
        <v/>
      </c>
      <c r="Q483" s="99">
        <f>IF(AND(ISNUMBER(SEARCH("Espeto",N483)),ISNUMBER(SEARCH("Tatuapé",N483))),"SIM","")</f>
        <v/>
      </c>
      <c r="R483" s="99">
        <f>IF(AND(ISNUMBER(SEARCH("Espeto",N483)),ISNUMBER(SEARCH("Pavão",N483))),"SIM","")</f>
        <v/>
      </c>
      <c r="S483" s="99">
        <f>IF(AND(ISNUMBER(SEARCH("Espeto",N483)),ISNUMBER(SEARCH("Chac",N483))),"SIM","")</f>
        <v/>
      </c>
      <c r="T483" s="99">
        <f>IF(AND(ISNUMBER(SEARCH("Espeto",N483)),ISNUMBER(SEARCH("Madalena",N483))),"SIM","")</f>
        <v/>
      </c>
      <c r="U483" s="99">
        <f>IF(AND(ISNUMBER(SEARCH("Espeto",N483)),ISNUMBER(SEARCH("Mariana",N483))),"SIM","")</f>
        <v/>
      </c>
      <c r="V483" s="99">
        <f>IF(AND(ISNUMBER(SEARCH("Espeto",N483)),ISNUMBER(SEARCH("Perdizes",N483))),"SIM","")</f>
        <v/>
      </c>
      <c r="W483" s="99">
        <f>IF(AND(ISNUMBER(SEARCH("Espeto",N483)),ISNUMBER(SEARCH("Santana",N483))),"SIM","")</f>
        <v/>
      </c>
      <c r="X483" s="99">
        <f>IF(AND(ISNUMBER(SEARCH("Espeto",N483)),ISNUMBER(SEARCH("André",N483))),"SIM","")</f>
        <v/>
      </c>
      <c r="Y483" s="99">
        <f>IF(AND(ISNUMBER(SEARCH("Delivery",N483)),ISNUMBER(SEARCH("Carin",N483))),"SIM","")</f>
        <v/>
      </c>
      <c r="Z483" s="99">
        <f>IF(AND(ISNUMBER(SEARCH("Delivery",N483)),ISNUMBER(SEARCH("Lapa",N483))),"SIM","")</f>
        <v/>
      </c>
      <c r="AA483" s="99">
        <f>IF(AND(ISNUMBER(SEARCH("Delivery",N483)),ISNUMBER(SEARCH("Tatuapé",N483))),"SIM","")</f>
        <v/>
      </c>
      <c r="AB483" s="99">
        <f>IF(AND(ISNUMBER(SEARCH("Delivery",N483)),ISNUMBER(SEARCH("Pavão",N483))),"SIM","")</f>
        <v/>
      </c>
      <c r="AC483" s="99">
        <f>IF(AND(ISNUMBER(SEARCH("Delivery",N483)),ISNUMBER(SEARCH("Chac",N483))),"SIM","")</f>
        <v/>
      </c>
      <c r="AD483" s="99">
        <f>IF(AND(ISNUMBER(SEARCH("Delivery",N483)),ISNUMBER(SEARCH("Madalena",N483))),"SIM","")</f>
        <v/>
      </c>
      <c r="AE483" s="92">
        <f>IF(AND(ISNUMBER(SEARCH("Delivery",N483)),ISNUMBER(SEARCH("Mariana",N483))),"SIM","")</f>
        <v/>
      </c>
      <c r="AF483" s="92">
        <f>IF(AND(ISNUMBER(SEARCH("Delivery",N483)),ISNUMBER(SEARCH("Perdizes",N483))),"SIM","")</f>
        <v/>
      </c>
      <c r="AG483" s="92">
        <f>IF(AND(ISNUMBER(SEARCH("Delivery",N483)),ISNUMBER(SEARCH("Santana",N483))),"SIM","")</f>
        <v/>
      </c>
      <c r="AH483" s="92">
        <f>IF(AND(ISNUMBER(SEARCH("Delivery",N483)),ISNUMBER(SEARCH("André",N483))),"SIM","")</f>
        <v/>
      </c>
      <c r="AI483" s="92">
        <f>IF(ISNUMBER(SEARCH("Interlagos",N483)),"SIM","")</f>
        <v/>
      </c>
      <c r="AJ483" s="92">
        <f>IF(ISNUMBER(SEARCH("Quiosque",N483)),"SIM","")</f>
        <v/>
      </c>
      <c r="AK483" s="93" t="n"/>
    </row>
    <row r="484">
      <c r="A484" s="88" t="inlineStr">
        <is>
          <t>Protheus</t>
        </is>
      </c>
      <c r="B484" s="89" t="inlineStr">
        <is>
          <t>009845</t>
        </is>
      </c>
      <c r="C484" s="90">
        <f>IF(B484="—","—",IFERROR(VLOOKUP(B484,_Protheus_Cadastro!$A:$B,2,FALSE),"—"))</f>
        <v/>
      </c>
      <c r="D484" s="91">
        <f>IF(B484="—",IFERROR(INDEX(_ZIG_Cadastro!$D:$D,MATCH(H484,_ZIG_Cadastro!$A:$A,0)),"Produto"),IFERROR(VLOOKUP(B484,_Protheus_Cadastro!$A:$C,3,FALSE),"—"))</f>
        <v/>
      </c>
      <c r="E484" s="91">
        <f>IF(B484="—","—",IFERROR(VLOOKUP(B484,_Protheus_Cadastro!$A:$D,4,FALSE),"—"))</f>
        <v/>
      </c>
      <c r="F484" s="91">
        <f>IF(ISERROR(VLOOKUP(B484,'Estrutura Protheus'!A:A,1,FALSE)),"Não","Sim")</f>
        <v/>
      </c>
      <c r="G484" s="92">
        <f>IFERROR(INDEX(_Protheus_Cadastro!$H:$H,MATCH(B484,_Protheus_Cadastro!$A:$A,0)),"—")</f>
        <v/>
      </c>
      <c r="H484" s="210">
        <f>IFERROR(INDEX(_ZIG_Precos!$D:$D,MATCH(I484,_ZIG_Precos!$F:$F,0)),"—")</f>
        <v/>
      </c>
      <c r="I484" s="95">
        <f>IFERROR(VLOOKUP(B484,_Protheus_Cadastro!$A:$I,9,FALSE),"—")</f>
        <v/>
      </c>
      <c r="J484" s="93">
        <f>IFERROR(INDEX(_ZIG_Cadastro!$B:$B,MATCH(I484,_ZIG_Cadastro!$A:$A,0)),IFERROR(INDEX(_Entradas_ZIG!$B:$B,MATCH(I484,_Entradas_ZIG!$C:$C,0)),"—"))</f>
        <v/>
      </c>
      <c r="K484" s="93">
        <f>IFERROR(INDEX(_ZIG_Cadastro!$C:$C,MATCH(I484,_ZIG_Cadastro!$A:$A,0)),IFERROR(INDEX(_Entradas_ZIG!$D:$D,MATCH(I484,_Entradas_ZIG!$C:$C,0)),"—"))</f>
        <v/>
      </c>
      <c r="L484" s="92">
        <f>IF(I484="","Sem SKU ZIG",IF(I484="—","Sem SKU ZIG",IF(NOT(ISERROR(MATCH(I484,_ZIG_Cadastro!$A:$A,0))),IF(EXACT(UPPER(TRIM(C484)),UPPER(TRIM(INDEX(_ZIG_Cadastro!$B:$B,MATCH(I484,_ZIG_Cadastro!$A:$A,0))))),"OK","Atencao - Nome diverge"),IF(NOT(ISERROR(MATCH(I484,_Entradas_ZIG!$C:$C,0))),"OK","Erro - SKU nao encontrado"))))</f>
        <v/>
      </c>
      <c r="M484" s="92">
        <f>IFERROR(INDEX(_ZIG_Cadastro!$G:$G,MATCH(I484,_ZIG_Cadastro!$A:$A,0)),IF(NOT(ISERROR(MATCH(I484,_Entradas_ZIG!$C:$C,0))),"Ativo","—"))</f>
        <v/>
      </c>
      <c r="N484" s="94">
        <f>IFERROR(INDEX(_ZIG_Cadastro!$E:$E,MATCH(I484,_ZIG_Cadastro!$A:$A,0)),IFERROR(INDEX(_Entradas_ZIG!$F:$F,MATCH(I484,_Entradas_ZIG!$C:$C,0)),"—"))</f>
        <v/>
      </c>
      <c r="O484" s="92">
        <f>IF(AND(ISNUMBER(SEARCH("Espeto",N484)),ISNUMBER(SEARCH("Carin",N484))),"SIM","")</f>
        <v/>
      </c>
      <c r="P484" s="92">
        <f>IF(AND(ISNUMBER(SEARCH("Espeto",N484)),ISNUMBER(SEARCH("Lapa",N484))),"SIM","")</f>
        <v/>
      </c>
      <c r="Q484" s="92">
        <f>IF(AND(ISNUMBER(SEARCH("Espeto",N484)),ISNUMBER(SEARCH("Tatuapé",N484))),"SIM","")</f>
        <v/>
      </c>
      <c r="R484" s="92">
        <f>IF(AND(ISNUMBER(SEARCH("Espeto",N484)),ISNUMBER(SEARCH("Pavão",N484))),"SIM","")</f>
        <v/>
      </c>
      <c r="S484" s="92">
        <f>IF(AND(ISNUMBER(SEARCH("Espeto",N484)),ISNUMBER(SEARCH("Chac",N484))),"SIM","")</f>
        <v/>
      </c>
      <c r="T484" s="92">
        <f>IF(AND(ISNUMBER(SEARCH("Espeto",N484)),ISNUMBER(SEARCH("Madalena",N484))),"SIM","")</f>
        <v/>
      </c>
      <c r="U484" s="92">
        <f>IF(AND(ISNUMBER(SEARCH("Espeto",N484)),ISNUMBER(SEARCH("Mariana",N484))),"SIM","")</f>
        <v/>
      </c>
      <c r="V484" s="92">
        <f>IF(AND(ISNUMBER(SEARCH("Espeto",N484)),ISNUMBER(SEARCH("Perdizes",N484))),"SIM","")</f>
        <v/>
      </c>
      <c r="W484" s="92">
        <f>IF(AND(ISNUMBER(SEARCH("Espeto",N484)),ISNUMBER(SEARCH("Santana",N484))),"SIM","")</f>
        <v/>
      </c>
      <c r="X484" s="92">
        <f>IF(AND(ISNUMBER(SEARCH("Espeto",N484)),ISNUMBER(SEARCH("André",N484))),"SIM","")</f>
        <v/>
      </c>
      <c r="Y484" s="92">
        <f>IF(AND(ISNUMBER(SEARCH("Delivery",N484)),ISNUMBER(SEARCH("Carin",N484))),"SIM","")</f>
        <v/>
      </c>
      <c r="Z484" s="92">
        <f>IF(AND(ISNUMBER(SEARCH("Delivery",N484)),ISNUMBER(SEARCH("Lapa",N484))),"SIM","")</f>
        <v/>
      </c>
      <c r="AA484" s="92">
        <f>IF(AND(ISNUMBER(SEARCH("Delivery",N484)),ISNUMBER(SEARCH("Tatuapé",N484))),"SIM","")</f>
        <v/>
      </c>
      <c r="AB484" s="92">
        <f>IF(AND(ISNUMBER(SEARCH("Delivery",N484)),ISNUMBER(SEARCH("Pavão",N484))),"SIM","")</f>
        <v/>
      </c>
      <c r="AC484" s="92">
        <f>IF(AND(ISNUMBER(SEARCH("Delivery",N484)),ISNUMBER(SEARCH("Chac",N484))),"SIM","")</f>
        <v/>
      </c>
      <c r="AD484" s="92">
        <f>IF(AND(ISNUMBER(SEARCH("Delivery",N484)),ISNUMBER(SEARCH("Madalena",N484))),"SIM","")</f>
        <v/>
      </c>
      <c r="AE484" s="99">
        <f>IF(AND(ISNUMBER(SEARCH("Delivery",N484)),ISNUMBER(SEARCH("Mariana",N484))),"SIM","")</f>
        <v/>
      </c>
      <c r="AF484" s="99">
        <f>IF(AND(ISNUMBER(SEARCH("Delivery",N484)),ISNUMBER(SEARCH("Perdizes",N484))),"SIM","")</f>
        <v/>
      </c>
      <c r="AG484" s="99">
        <f>IF(AND(ISNUMBER(SEARCH("Delivery",N484)),ISNUMBER(SEARCH("Santana",N484))),"SIM","")</f>
        <v/>
      </c>
      <c r="AH484" s="99">
        <f>IF(AND(ISNUMBER(SEARCH("Delivery",N484)),ISNUMBER(SEARCH("André",N484))),"SIM","")</f>
        <v/>
      </c>
      <c r="AI484" s="99">
        <f>IF(ISNUMBER(SEARCH("Interlagos",N484)),"SIM","")</f>
        <v/>
      </c>
      <c r="AJ484" s="99">
        <f>IF(ISNUMBER(SEARCH("Quiosque",N484)),"SIM","")</f>
        <v/>
      </c>
      <c r="AK484" s="101" t="n"/>
    </row>
    <row r="485">
      <c r="A485" s="88" t="inlineStr">
        <is>
          <t>Protheus</t>
        </is>
      </c>
      <c r="B485" s="96" t="inlineStr">
        <is>
          <t>009841</t>
        </is>
      </c>
      <c r="C485" s="97">
        <f>IF(B485="—","—",IFERROR(VLOOKUP(B485,_Protheus_Cadastro!$A:$B,2,FALSE),"—"))</f>
        <v/>
      </c>
      <c r="D485" s="98">
        <f>IF(B485="—",IFERROR(INDEX(_ZIG_Cadastro!$D:$D,MATCH(H485,_ZIG_Cadastro!$A:$A,0)),"Produto"),IFERROR(VLOOKUP(B485,_Protheus_Cadastro!$A:$C,3,FALSE),"—"))</f>
        <v/>
      </c>
      <c r="E485" s="98">
        <f>IF(B485="—","—",IFERROR(VLOOKUP(B485,_Protheus_Cadastro!$A:$D,4,FALSE),"—"))</f>
        <v/>
      </c>
      <c r="F485" s="98">
        <f>IF(ISERROR(VLOOKUP(B485,'Estrutura Protheus'!A:A,1,FALSE)),"Não","Sim")</f>
        <v/>
      </c>
      <c r="G485" s="99">
        <f>IFERROR(INDEX(_Protheus_Cadastro!$H:$H,MATCH(B485,_Protheus_Cadastro!$A:$A,0)),"—")</f>
        <v/>
      </c>
      <c r="H485" s="211">
        <f>IFERROR(INDEX(_ZIG_Precos!$D:$D,MATCH(I485,_ZIG_Precos!$F:$F,0)),"—")</f>
        <v/>
      </c>
      <c r="I485" s="103">
        <f>IFERROR(VLOOKUP(B485,_Protheus_Cadastro!$A:$I,9,FALSE),"—")</f>
        <v/>
      </c>
      <c r="J485" s="101">
        <f>IFERROR(INDEX(_ZIG_Cadastro!$B:$B,MATCH(I485,_ZIG_Cadastro!$A:$A,0)),IFERROR(INDEX(_Entradas_ZIG!$B:$B,MATCH(I485,_Entradas_ZIG!$C:$C,0)),"—"))</f>
        <v/>
      </c>
      <c r="K485" s="101">
        <f>IFERROR(INDEX(_ZIG_Cadastro!$C:$C,MATCH(I485,_ZIG_Cadastro!$A:$A,0)),IFERROR(INDEX(_Entradas_ZIG!$D:$D,MATCH(I485,_Entradas_ZIG!$C:$C,0)),"—"))</f>
        <v/>
      </c>
      <c r="L485" s="99">
        <f>IF(I485="","Sem SKU ZIG",IF(I485="—","Sem SKU ZIG",IF(NOT(ISERROR(MATCH(I485,_ZIG_Cadastro!$A:$A,0))),IF(EXACT(UPPER(TRIM(C485)),UPPER(TRIM(INDEX(_ZIG_Cadastro!$B:$B,MATCH(I485,_ZIG_Cadastro!$A:$A,0))))),"OK","Atencao - Nome diverge"),IF(NOT(ISERROR(MATCH(I485,_Entradas_ZIG!$C:$C,0))),"OK","Erro - SKU nao encontrado"))))</f>
        <v/>
      </c>
      <c r="M485" s="99">
        <f>IFERROR(INDEX(_ZIG_Cadastro!$G:$G,MATCH(I485,_ZIG_Cadastro!$A:$A,0)),IF(NOT(ISERROR(MATCH(I485,_Entradas_ZIG!$C:$C,0))),"Ativo","—"))</f>
        <v/>
      </c>
      <c r="N485" s="102">
        <f>IFERROR(INDEX(_ZIG_Cadastro!$E:$E,MATCH(I485,_ZIG_Cadastro!$A:$A,0)),IFERROR(INDEX(_Entradas_ZIG!$F:$F,MATCH(I485,_Entradas_ZIG!$C:$C,0)),"—"))</f>
        <v/>
      </c>
      <c r="O485" s="99">
        <f>IF(AND(ISNUMBER(SEARCH("Espeto",N485)),ISNUMBER(SEARCH("Carin",N485))),"SIM","")</f>
        <v/>
      </c>
      <c r="P485" s="99">
        <f>IF(AND(ISNUMBER(SEARCH("Espeto",N485)),ISNUMBER(SEARCH("Lapa",N485))),"SIM","")</f>
        <v/>
      </c>
      <c r="Q485" s="99">
        <f>IF(AND(ISNUMBER(SEARCH("Espeto",N485)),ISNUMBER(SEARCH("Tatuapé",N485))),"SIM","")</f>
        <v/>
      </c>
      <c r="R485" s="99">
        <f>IF(AND(ISNUMBER(SEARCH("Espeto",N485)),ISNUMBER(SEARCH("Pavão",N485))),"SIM","")</f>
        <v/>
      </c>
      <c r="S485" s="99">
        <f>IF(AND(ISNUMBER(SEARCH("Espeto",N485)),ISNUMBER(SEARCH("Chac",N485))),"SIM","")</f>
        <v/>
      </c>
      <c r="T485" s="99">
        <f>IF(AND(ISNUMBER(SEARCH("Espeto",N485)),ISNUMBER(SEARCH("Madalena",N485))),"SIM","")</f>
        <v/>
      </c>
      <c r="U485" s="99">
        <f>IF(AND(ISNUMBER(SEARCH("Espeto",N485)),ISNUMBER(SEARCH("Mariana",N485))),"SIM","")</f>
        <v/>
      </c>
      <c r="V485" s="99">
        <f>IF(AND(ISNUMBER(SEARCH("Espeto",N485)),ISNUMBER(SEARCH("Perdizes",N485))),"SIM","")</f>
        <v/>
      </c>
      <c r="W485" s="99">
        <f>IF(AND(ISNUMBER(SEARCH("Espeto",N485)),ISNUMBER(SEARCH("Santana",N485))),"SIM","")</f>
        <v/>
      </c>
      <c r="X485" s="99">
        <f>IF(AND(ISNUMBER(SEARCH("Espeto",N485)),ISNUMBER(SEARCH("André",N485))),"SIM","")</f>
        <v/>
      </c>
      <c r="Y485" s="99">
        <f>IF(AND(ISNUMBER(SEARCH("Delivery",N485)),ISNUMBER(SEARCH("Carin",N485))),"SIM","")</f>
        <v/>
      </c>
      <c r="Z485" s="99">
        <f>IF(AND(ISNUMBER(SEARCH("Delivery",N485)),ISNUMBER(SEARCH("Lapa",N485))),"SIM","")</f>
        <v/>
      </c>
      <c r="AA485" s="99">
        <f>IF(AND(ISNUMBER(SEARCH("Delivery",N485)),ISNUMBER(SEARCH("Tatuapé",N485))),"SIM","")</f>
        <v/>
      </c>
      <c r="AB485" s="99">
        <f>IF(AND(ISNUMBER(SEARCH("Delivery",N485)),ISNUMBER(SEARCH("Pavão",N485))),"SIM","")</f>
        <v/>
      </c>
      <c r="AC485" s="99">
        <f>IF(AND(ISNUMBER(SEARCH("Delivery",N485)),ISNUMBER(SEARCH("Chac",N485))),"SIM","")</f>
        <v/>
      </c>
      <c r="AD485" s="99">
        <f>IF(AND(ISNUMBER(SEARCH("Delivery",N485)),ISNUMBER(SEARCH("Madalena",N485))),"SIM","")</f>
        <v/>
      </c>
      <c r="AE485" s="92">
        <f>IF(AND(ISNUMBER(SEARCH("Delivery",N485)),ISNUMBER(SEARCH("Mariana",N485))),"SIM","")</f>
        <v/>
      </c>
      <c r="AF485" s="92">
        <f>IF(AND(ISNUMBER(SEARCH("Delivery",N485)),ISNUMBER(SEARCH("Perdizes",N485))),"SIM","")</f>
        <v/>
      </c>
      <c r="AG485" s="92">
        <f>IF(AND(ISNUMBER(SEARCH("Delivery",N485)),ISNUMBER(SEARCH("Santana",N485))),"SIM","")</f>
        <v/>
      </c>
      <c r="AH485" s="92">
        <f>IF(AND(ISNUMBER(SEARCH("Delivery",N485)),ISNUMBER(SEARCH("André",N485))),"SIM","")</f>
        <v/>
      </c>
      <c r="AI485" s="92">
        <f>IF(ISNUMBER(SEARCH("Interlagos",N485)),"SIM","")</f>
        <v/>
      </c>
      <c r="AJ485" s="92">
        <f>IF(ISNUMBER(SEARCH("Quiosque",N485)),"SIM","")</f>
        <v/>
      </c>
      <c r="AK485" s="93" t="n"/>
    </row>
    <row r="486">
      <c r="A486" s="88" t="inlineStr">
        <is>
          <t>Protheus</t>
        </is>
      </c>
      <c r="B486" s="89" t="inlineStr">
        <is>
          <t>000205</t>
        </is>
      </c>
      <c r="C486" s="90">
        <f>IF(B486="—","—",IFERROR(VLOOKUP(B486,_Protheus_Cadastro!$A:$B,2,FALSE),"—"))</f>
        <v/>
      </c>
      <c r="D486" s="91">
        <f>IF(B486="—",IFERROR(INDEX(_ZIG_Cadastro!$D:$D,MATCH(H486,_ZIG_Cadastro!$A:$A,0)),"Produto"),IFERROR(VLOOKUP(B486,_Protheus_Cadastro!$A:$C,3,FALSE),"—"))</f>
        <v/>
      </c>
      <c r="E486" s="91">
        <f>IF(B486="—","—",IFERROR(VLOOKUP(B486,_Protheus_Cadastro!$A:$D,4,FALSE),"—"))</f>
        <v/>
      </c>
      <c r="F486" s="91">
        <f>IF(ISERROR(VLOOKUP(B486,'Estrutura Protheus'!A:A,1,FALSE)),"Não","Sim")</f>
        <v/>
      </c>
      <c r="G486" s="92">
        <f>IFERROR(INDEX(_Protheus_Cadastro!$H:$H,MATCH(B486,_Protheus_Cadastro!$A:$A,0)),"—")</f>
        <v/>
      </c>
      <c r="H486" s="210">
        <f>IFERROR(INDEX(_ZIG_Precos!$D:$D,MATCH(I486,_ZIG_Precos!$F:$F,0)),"—")</f>
        <v/>
      </c>
      <c r="I486" s="95">
        <f>IFERROR(VLOOKUP(B486,_Protheus_Cadastro!$A:$I,9,FALSE),"—")</f>
        <v/>
      </c>
      <c r="J486" s="93">
        <f>IFERROR(INDEX(_ZIG_Cadastro!$B:$B,MATCH(I486,_ZIG_Cadastro!$A:$A,0)),IFERROR(INDEX(_Entradas_ZIG!$B:$B,MATCH(I486,_Entradas_ZIG!$C:$C,0)),"—"))</f>
        <v/>
      </c>
      <c r="K486" s="93">
        <f>IFERROR(INDEX(_ZIG_Cadastro!$C:$C,MATCH(I486,_ZIG_Cadastro!$A:$A,0)),IFERROR(INDEX(_Entradas_ZIG!$D:$D,MATCH(I486,_Entradas_ZIG!$C:$C,0)),"—"))</f>
        <v/>
      </c>
      <c r="L486" s="92">
        <f>IF(I486="","Sem SKU ZIG",IF(I486="—","Sem SKU ZIG",IF(NOT(ISERROR(MATCH(I486,_ZIG_Cadastro!$A:$A,0))),IF(EXACT(UPPER(TRIM(C486)),UPPER(TRIM(INDEX(_ZIG_Cadastro!$B:$B,MATCH(I486,_ZIG_Cadastro!$A:$A,0))))),"OK","Atencao - Nome diverge"),IF(NOT(ISERROR(MATCH(I486,_Entradas_ZIG!$C:$C,0))),"OK","Erro - SKU nao encontrado"))))</f>
        <v/>
      </c>
      <c r="M486" s="92">
        <f>IFERROR(INDEX(_ZIG_Cadastro!$G:$G,MATCH(I486,_ZIG_Cadastro!$A:$A,0)),IF(NOT(ISERROR(MATCH(I486,_Entradas_ZIG!$C:$C,0))),"Ativo","—"))</f>
        <v/>
      </c>
      <c r="N486" s="94">
        <f>IFERROR(INDEX(_ZIG_Cadastro!$E:$E,MATCH(I486,_ZIG_Cadastro!$A:$A,0)),IFERROR(INDEX(_Entradas_ZIG!$F:$F,MATCH(I486,_Entradas_ZIG!$C:$C,0)),"—"))</f>
        <v/>
      </c>
      <c r="O486" s="92">
        <f>IF(AND(ISNUMBER(SEARCH("Espeto",N486)),ISNUMBER(SEARCH("Carin",N486))),"SIM","")</f>
        <v/>
      </c>
      <c r="P486" s="92">
        <f>IF(AND(ISNUMBER(SEARCH("Espeto",N486)),ISNUMBER(SEARCH("Lapa",N486))),"SIM","")</f>
        <v/>
      </c>
      <c r="Q486" s="92">
        <f>IF(AND(ISNUMBER(SEARCH("Espeto",N486)),ISNUMBER(SEARCH("Tatuapé",N486))),"SIM","")</f>
        <v/>
      </c>
      <c r="R486" s="92">
        <f>IF(AND(ISNUMBER(SEARCH("Espeto",N486)),ISNUMBER(SEARCH("Pavão",N486))),"SIM","")</f>
        <v/>
      </c>
      <c r="S486" s="92">
        <f>IF(AND(ISNUMBER(SEARCH("Espeto",N486)),ISNUMBER(SEARCH("Chac",N486))),"SIM","")</f>
        <v/>
      </c>
      <c r="T486" s="92">
        <f>IF(AND(ISNUMBER(SEARCH("Espeto",N486)),ISNUMBER(SEARCH("Madalena",N486))),"SIM","")</f>
        <v/>
      </c>
      <c r="U486" s="92">
        <f>IF(AND(ISNUMBER(SEARCH("Espeto",N486)),ISNUMBER(SEARCH("Mariana",N486))),"SIM","")</f>
        <v/>
      </c>
      <c r="V486" s="92">
        <f>IF(AND(ISNUMBER(SEARCH("Espeto",N486)),ISNUMBER(SEARCH("Perdizes",N486))),"SIM","")</f>
        <v/>
      </c>
      <c r="W486" s="92">
        <f>IF(AND(ISNUMBER(SEARCH("Espeto",N486)),ISNUMBER(SEARCH("Santana",N486))),"SIM","")</f>
        <v/>
      </c>
      <c r="X486" s="92">
        <f>IF(AND(ISNUMBER(SEARCH("Espeto",N486)),ISNUMBER(SEARCH("André",N486))),"SIM","")</f>
        <v/>
      </c>
      <c r="Y486" s="92">
        <f>IF(AND(ISNUMBER(SEARCH("Delivery",N486)),ISNUMBER(SEARCH("Carin",N486))),"SIM","")</f>
        <v/>
      </c>
      <c r="Z486" s="92">
        <f>IF(AND(ISNUMBER(SEARCH("Delivery",N486)),ISNUMBER(SEARCH("Lapa",N486))),"SIM","")</f>
        <v/>
      </c>
      <c r="AA486" s="92">
        <f>IF(AND(ISNUMBER(SEARCH("Delivery",N486)),ISNUMBER(SEARCH("Tatuapé",N486))),"SIM","")</f>
        <v/>
      </c>
      <c r="AB486" s="92">
        <f>IF(AND(ISNUMBER(SEARCH("Delivery",N486)),ISNUMBER(SEARCH("Pavão",N486))),"SIM","")</f>
        <v/>
      </c>
      <c r="AC486" s="92">
        <f>IF(AND(ISNUMBER(SEARCH("Delivery",N486)),ISNUMBER(SEARCH("Chac",N486))),"SIM","")</f>
        <v/>
      </c>
      <c r="AD486" s="92">
        <f>IF(AND(ISNUMBER(SEARCH("Delivery",N486)),ISNUMBER(SEARCH("Madalena",N486))),"SIM","")</f>
        <v/>
      </c>
      <c r="AE486" s="99">
        <f>IF(AND(ISNUMBER(SEARCH("Delivery",N486)),ISNUMBER(SEARCH("Mariana",N486))),"SIM","")</f>
        <v/>
      </c>
      <c r="AF486" s="99">
        <f>IF(AND(ISNUMBER(SEARCH("Delivery",N486)),ISNUMBER(SEARCH("Perdizes",N486))),"SIM","")</f>
        <v/>
      </c>
      <c r="AG486" s="99">
        <f>IF(AND(ISNUMBER(SEARCH("Delivery",N486)),ISNUMBER(SEARCH("Santana",N486))),"SIM","")</f>
        <v/>
      </c>
      <c r="AH486" s="99">
        <f>IF(AND(ISNUMBER(SEARCH("Delivery",N486)),ISNUMBER(SEARCH("André",N486))),"SIM","")</f>
        <v/>
      </c>
      <c r="AI486" s="99">
        <f>IF(ISNUMBER(SEARCH("Interlagos",N486)),"SIM","")</f>
        <v/>
      </c>
      <c r="AJ486" s="99">
        <f>IF(ISNUMBER(SEARCH("Quiosque",N486)),"SIM","")</f>
        <v/>
      </c>
      <c r="AK486" s="101" t="n"/>
    </row>
    <row r="487">
      <c r="A487" s="88" t="inlineStr">
        <is>
          <t>Protheus</t>
        </is>
      </c>
      <c r="B487" s="96" t="inlineStr">
        <is>
          <t>001906</t>
        </is>
      </c>
      <c r="C487" s="97">
        <f>IF(B487="—","—",IFERROR(VLOOKUP(B487,_Protheus_Cadastro!$A:$B,2,FALSE),"—"))</f>
        <v/>
      </c>
      <c r="D487" s="98">
        <f>IF(B487="—",IFERROR(INDEX(_ZIG_Cadastro!$D:$D,MATCH(H487,_ZIG_Cadastro!$A:$A,0)),"Produto"),IFERROR(VLOOKUP(B487,_Protheus_Cadastro!$A:$C,3,FALSE),"—"))</f>
        <v/>
      </c>
      <c r="E487" s="98">
        <f>IF(B487="—","—",IFERROR(VLOOKUP(B487,_Protheus_Cadastro!$A:$D,4,FALSE),"—"))</f>
        <v/>
      </c>
      <c r="F487" s="98">
        <f>IF(ISERROR(VLOOKUP(B487,'Estrutura Protheus'!A:A,1,FALSE)),"Não","Sim")</f>
        <v/>
      </c>
      <c r="G487" s="99">
        <f>IFERROR(INDEX(_Protheus_Cadastro!$H:$H,MATCH(B487,_Protheus_Cadastro!$A:$A,0)),"—")</f>
        <v/>
      </c>
      <c r="H487" s="211">
        <f>IFERROR(INDEX(_ZIG_Precos!$D:$D,MATCH(I487,_ZIG_Precos!$F:$F,0)),"—")</f>
        <v/>
      </c>
      <c r="I487" s="103">
        <f>IFERROR(VLOOKUP(B487,_Protheus_Cadastro!$A:$I,9,FALSE),"—")</f>
        <v/>
      </c>
      <c r="J487" s="101">
        <f>IFERROR(INDEX(_ZIG_Cadastro!$B:$B,MATCH(I487,_ZIG_Cadastro!$A:$A,0)),IFERROR(INDEX(_Entradas_ZIG!$B:$B,MATCH(I487,_Entradas_ZIG!$C:$C,0)),"—"))</f>
        <v/>
      </c>
      <c r="K487" s="101">
        <f>IFERROR(INDEX(_ZIG_Cadastro!$C:$C,MATCH(I487,_ZIG_Cadastro!$A:$A,0)),IFERROR(INDEX(_Entradas_ZIG!$D:$D,MATCH(I487,_Entradas_ZIG!$C:$C,0)),"—"))</f>
        <v/>
      </c>
      <c r="L487" s="99">
        <f>IF(I487="","Sem SKU ZIG",IF(I487="—","Sem SKU ZIG",IF(NOT(ISERROR(MATCH(I487,_ZIG_Cadastro!$A:$A,0))),IF(EXACT(UPPER(TRIM(C487)),UPPER(TRIM(INDEX(_ZIG_Cadastro!$B:$B,MATCH(I487,_ZIG_Cadastro!$A:$A,0))))),"OK","Atencao - Nome diverge"),IF(NOT(ISERROR(MATCH(I487,_Entradas_ZIG!$C:$C,0))),"OK","Erro - SKU nao encontrado"))))</f>
        <v/>
      </c>
      <c r="M487" s="99">
        <f>IFERROR(INDEX(_ZIG_Cadastro!$G:$G,MATCH(I487,_ZIG_Cadastro!$A:$A,0)),IF(NOT(ISERROR(MATCH(I487,_Entradas_ZIG!$C:$C,0))),"Ativo","—"))</f>
        <v/>
      </c>
      <c r="N487" s="102">
        <f>IFERROR(INDEX(_ZIG_Cadastro!$E:$E,MATCH(I487,_ZIG_Cadastro!$A:$A,0)),IFERROR(INDEX(_Entradas_ZIG!$F:$F,MATCH(I487,_Entradas_ZIG!$C:$C,0)),"—"))</f>
        <v/>
      </c>
      <c r="O487" s="99">
        <f>IF(AND(ISNUMBER(SEARCH("Espeto",N487)),ISNUMBER(SEARCH("Carin",N487))),"SIM","")</f>
        <v/>
      </c>
      <c r="P487" s="99">
        <f>IF(AND(ISNUMBER(SEARCH("Espeto",N487)),ISNUMBER(SEARCH("Lapa",N487))),"SIM","")</f>
        <v/>
      </c>
      <c r="Q487" s="99">
        <f>IF(AND(ISNUMBER(SEARCH("Espeto",N487)),ISNUMBER(SEARCH("Tatuapé",N487))),"SIM","")</f>
        <v/>
      </c>
      <c r="R487" s="99">
        <f>IF(AND(ISNUMBER(SEARCH("Espeto",N487)),ISNUMBER(SEARCH("Pavão",N487))),"SIM","")</f>
        <v/>
      </c>
      <c r="S487" s="99">
        <f>IF(AND(ISNUMBER(SEARCH("Espeto",N487)),ISNUMBER(SEARCH("Chac",N487))),"SIM","")</f>
        <v/>
      </c>
      <c r="T487" s="99">
        <f>IF(AND(ISNUMBER(SEARCH("Espeto",N487)),ISNUMBER(SEARCH("Madalena",N487))),"SIM","")</f>
        <v/>
      </c>
      <c r="U487" s="99">
        <f>IF(AND(ISNUMBER(SEARCH("Espeto",N487)),ISNUMBER(SEARCH("Mariana",N487))),"SIM","")</f>
        <v/>
      </c>
      <c r="V487" s="99">
        <f>IF(AND(ISNUMBER(SEARCH("Espeto",N487)),ISNUMBER(SEARCH("Perdizes",N487))),"SIM","")</f>
        <v/>
      </c>
      <c r="W487" s="99">
        <f>IF(AND(ISNUMBER(SEARCH("Espeto",N487)),ISNUMBER(SEARCH("Santana",N487))),"SIM","")</f>
        <v/>
      </c>
      <c r="X487" s="99">
        <f>IF(AND(ISNUMBER(SEARCH("Espeto",N487)),ISNUMBER(SEARCH("André",N487))),"SIM","")</f>
        <v/>
      </c>
      <c r="Y487" s="99">
        <f>IF(AND(ISNUMBER(SEARCH("Delivery",N487)),ISNUMBER(SEARCH("Carin",N487))),"SIM","")</f>
        <v/>
      </c>
      <c r="Z487" s="99">
        <f>IF(AND(ISNUMBER(SEARCH("Delivery",N487)),ISNUMBER(SEARCH("Lapa",N487))),"SIM","")</f>
        <v/>
      </c>
      <c r="AA487" s="99">
        <f>IF(AND(ISNUMBER(SEARCH("Delivery",N487)),ISNUMBER(SEARCH("Tatuapé",N487))),"SIM","")</f>
        <v/>
      </c>
      <c r="AB487" s="99">
        <f>IF(AND(ISNUMBER(SEARCH("Delivery",N487)),ISNUMBER(SEARCH("Pavão",N487))),"SIM","")</f>
        <v/>
      </c>
      <c r="AC487" s="99">
        <f>IF(AND(ISNUMBER(SEARCH("Delivery",N487)),ISNUMBER(SEARCH("Chac",N487))),"SIM","")</f>
        <v/>
      </c>
      <c r="AD487" s="99">
        <f>IF(AND(ISNUMBER(SEARCH("Delivery",N487)),ISNUMBER(SEARCH("Madalena",N487))),"SIM","")</f>
        <v/>
      </c>
      <c r="AE487" s="92">
        <f>IF(AND(ISNUMBER(SEARCH("Delivery",N487)),ISNUMBER(SEARCH("Mariana",N487))),"SIM","")</f>
        <v/>
      </c>
      <c r="AF487" s="92">
        <f>IF(AND(ISNUMBER(SEARCH("Delivery",N487)),ISNUMBER(SEARCH("Perdizes",N487))),"SIM","")</f>
        <v/>
      </c>
      <c r="AG487" s="92">
        <f>IF(AND(ISNUMBER(SEARCH("Delivery",N487)),ISNUMBER(SEARCH("Santana",N487))),"SIM","")</f>
        <v/>
      </c>
      <c r="AH487" s="92">
        <f>IF(AND(ISNUMBER(SEARCH("Delivery",N487)),ISNUMBER(SEARCH("André",N487))),"SIM","")</f>
        <v/>
      </c>
      <c r="AI487" s="92">
        <f>IF(ISNUMBER(SEARCH("Interlagos",N487)),"SIM","")</f>
        <v/>
      </c>
      <c r="AJ487" s="92">
        <f>IF(ISNUMBER(SEARCH("Quiosque",N487)),"SIM","")</f>
        <v/>
      </c>
      <c r="AK487" s="93" t="n"/>
    </row>
    <row r="488">
      <c r="A488" s="88" t="inlineStr">
        <is>
          <t>Protheus</t>
        </is>
      </c>
      <c r="B488" s="89" t="inlineStr">
        <is>
          <t>001907</t>
        </is>
      </c>
      <c r="C488" s="90">
        <f>IF(B488="—","—",IFERROR(VLOOKUP(B488,_Protheus_Cadastro!$A:$B,2,FALSE),"—"))</f>
        <v/>
      </c>
      <c r="D488" s="91">
        <f>IF(B488="—",IFERROR(INDEX(_ZIG_Cadastro!$D:$D,MATCH(H488,_ZIG_Cadastro!$A:$A,0)),"Produto"),IFERROR(VLOOKUP(B488,_Protheus_Cadastro!$A:$C,3,FALSE),"—"))</f>
        <v/>
      </c>
      <c r="E488" s="91">
        <f>IF(B488="—","—",IFERROR(VLOOKUP(B488,_Protheus_Cadastro!$A:$D,4,FALSE),"—"))</f>
        <v/>
      </c>
      <c r="F488" s="91">
        <f>IF(ISERROR(VLOOKUP(B488,'Estrutura Protheus'!A:A,1,FALSE)),"Não","Sim")</f>
        <v/>
      </c>
      <c r="G488" s="92">
        <f>IFERROR(INDEX(_Protheus_Cadastro!$H:$H,MATCH(B488,_Protheus_Cadastro!$A:$A,0)),"—")</f>
        <v/>
      </c>
      <c r="H488" s="210">
        <f>IFERROR(INDEX(_ZIG_Precos!$D:$D,MATCH(I488,_ZIG_Precos!$F:$F,0)),"—")</f>
        <v/>
      </c>
      <c r="I488" s="95">
        <f>IFERROR(VLOOKUP(B488,_Protheus_Cadastro!$A:$I,9,FALSE),"—")</f>
        <v/>
      </c>
      <c r="J488" s="93">
        <f>IFERROR(INDEX(_ZIG_Cadastro!$B:$B,MATCH(I488,_ZIG_Cadastro!$A:$A,0)),IFERROR(INDEX(_Entradas_ZIG!$B:$B,MATCH(I488,_Entradas_ZIG!$C:$C,0)),"—"))</f>
        <v/>
      </c>
      <c r="K488" s="93">
        <f>IFERROR(INDEX(_ZIG_Cadastro!$C:$C,MATCH(I488,_ZIG_Cadastro!$A:$A,0)),IFERROR(INDEX(_Entradas_ZIG!$D:$D,MATCH(I488,_Entradas_ZIG!$C:$C,0)),"—"))</f>
        <v/>
      </c>
      <c r="L488" s="92">
        <f>IF(I488="","Sem SKU ZIG",IF(I488="—","Sem SKU ZIG",IF(NOT(ISERROR(MATCH(I488,_ZIG_Cadastro!$A:$A,0))),IF(EXACT(UPPER(TRIM(C488)),UPPER(TRIM(INDEX(_ZIG_Cadastro!$B:$B,MATCH(I488,_ZIG_Cadastro!$A:$A,0))))),"OK","Atencao - Nome diverge"),IF(NOT(ISERROR(MATCH(I488,_Entradas_ZIG!$C:$C,0))),"OK","Erro - SKU nao encontrado"))))</f>
        <v/>
      </c>
      <c r="M488" s="92">
        <f>IFERROR(INDEX(_ZIG_Cadastro!$G:$G,MATCH(I488,_ZIG_Cadastro!$A:$A,0)),IF(NOT(ISERROR(MATCH(I488,_Entradas_ZIG!$C:$C,0))),"Ativo","—"))</f>
        <v/>
      </c>
      <c r="N488" s="94">
        <f>IFERROR(INDEX(_ZIG_Cadastro!$E:$E,MATCH(I488,_ZIG_Cadastro!$A:$A,0)),IFERROR(INDEX(_Entradas_ZIG!$F:$F,MATCH(I488,_Entradas_ZIG!$C:$C,0)),"—"))</f>
        <v/>
      </c>
      <c r="O488" s="92">
        <f>IF(AND(ISNUMBER(SEARCH("Espeto",N488)),ISNUMBER(SEARCH("Carin",N488))),"SIM","")</f>
        <v/>
      </c>
      <c r="P488" s="92">
        <f>IF(AND(ISNUMBER(SEARCH("Espeto",N488)),ISNUMBER(SEARCH("Lapa",N488))),"SIM","")</f>
        <v/>
      </c>
      <c r="Q488" s="92">
        <f>IF(AND(ISNUMBER(SEARCH("Espeto",N488)),ISNUMBER(SEARCH("Tatuapé",N488))),"SIM","")</f>
        <v/>
      </c>
      <c r="R488" s="92">
        <f>IF(AND(ISNUMBER(SEARCH("Espeto",N488)),ISNUMBER(SEARCH("Pavão",N488))),"SIM","")</f>
        <v/>
      </c>
      <c r="S488" s="92">
        <f>IF(AND(ISNUMBER(SEARCH("Espeto",N488)),ISNUMBER(SEARCH("Chac",N488))),"SIM","")</f>
        <v/>
      </c>
      <c r="T488" s="92">
        <f>IF(AND(ISNUMBER(SEARCH("Espeto",N488)),ISNUMBER(SEARCH("Madalena",N488))),"SIM","")</f>
        <v/>
      </c>
      <c r="U488" s="92">
        <f>IF(AND(ISNUMBER(SEARCH("Espeto",N488)),ISNUMBER(SEARCH("Mariana",N488))),"SIM","")</f>
        <v/>
      </c>
      <c r="V488" s="92">
        <f>IF(AND(ISNUMBER(SEARCH("Espeto",N488)),ISNUMBER(SEARCH("Perdizes",N488))),"SIM","")</f>
        <v/>
      </c>
      <c r="W488" s="92">
        <f>IF(AND(ISNUMBER(SEARCH("Espeto",N488)),ISNUMBER(SEARCH("Santana",N488))),"SIM","")</f>
        <v/>
      </c>
      <c r="X488" s="92">
        <f>IF(AND(ISNUMBER(SEARCH("Espeto",N488)),ISNUMBER(SEARCH("André",N488))),"SIM","")</f>
        <v/>
      </c>
      <c r="Y488" s="92">
        <f>IF(AND(ISNUMBER(SEARCH("Delivery",N488)),ISNUMBER(SEARCH("Carin",N488))),"SIM","")</f>
        <v/>
      </c>
      <c r="Z488" s="92">
        <f>IF(AND(ISNUMBER(SEARCH("Delivery",N488)),ISNUMBER(SEARCH("Lapa",N488))),"SIM","")</f>
        <v/>
      </c>
      <c r="AA488" s="92">
        <f>IF(AND(ISNUMBER(SEARCH("Delivery",N488)),ISNUMBER(SEARCH("Tatuapé",N488))),"SIM","")</f>
        <v/>
      </c>
      <c r="AB488" s="92">
        <f>IF(AND(ISNUMBER(SEARCH("Delivery",N488)),ISNUMBER(SEARCH("Pavão",N488))),"SIM","")</f>
        <v/>
      </c>
      <c r="AC488" s="92">
        <f>IF(AND(ISNUMBER(SEARCH("Delivery",N488)),ISNUMBER(SEARCH("Chac",N488))),"SIM","")</f>
        <v/>
      </c>
      <c r="AD488" s="92">
        <f>IF(AND(ISNUMBER(SEARCH("Delivery",N488)),ISNUMBER(SEARCH("Madalena",N488))),"SIM","")</f>
        <v/>
      </c>
      <c r="AE488" s="99">
        <f>IF(AND(ISNUMBER(SEARCH("Delivery",N488)),ISNUMBER(SEARCH("Mariana",N488))),"SIM","")</f>
        <v/>
      </c>
      <c r="AF488" s="99">
        <f>IF(AND(ISNUMBER(SEARCH("Delivery",N488)),ISNUMBER(SEARCH("Perdizes",N488))),"SIM","")</f>
        <v/>
      </c>
      <c r="AG488" s="99">
        <f>IF(AND(ISNUMBER(SEARCH("Delivery",N488)),ISNUMBER(SEARCH("Santana",N488))),"SIM","")</f>
        <v/>
      </c>
      <c r="AH488" s="99">
        <f>IF(AND(ISNUMBER(SEARCH("Delivery",N488)),ISNUMBER(SEARCH("André",N488))),"SIM","")</f>
        <v/>
      </c>
      <c r="AI488" s="99">
        <f>IF(ISNUMBER(SEARCH("Interlagos",N488)),"SIM","")</f>
        <v/>
      </c>
      <c r="AJ488" s="99">
        <f>IF(ISNUMBER(SEARCH("Quiosque",N488)),"SIM","")</f>
        <v/>
      </c>
      <c r="AK488" s="101" t="n"/>
    </row>
    <row r="489">
      <c r="A489" s="88" t="inlineStr">
        <is>
          <t>Protheus</t>
        </is>
      </c>
      <c r="B489" s="96" t="inlineStr">
        <is>
          <t>001955</t>
        </is>
      </c>
      <c r="C489" s="97">
        <f>IF(B489="—","—",IFERROR(VLOOKUP(B489,_Protheus_Cadastro!$A:$B,2,FALSE),"—"))</f>
        <v/>
      </c>
      <c r="D489" s="98">
        <f>IF(B489="—",IFERROR(INDEX(_ZIG_Cadastro!$D:$D,MATCH(H489,_ZIG_Cadastro!$A:$A,0)),"Produto"),IFERROR(VLOOKUP(B489,_Protheus_Cadastro!$A:$C,3,FALSE),"—"))</f>
        <v/>
      </c>
      <c r="E489" s="98">
        <f>IF(B489="—","—",IFERROR(VLOOKUP(B489,_Protheus_Cadastro!$A:$D,4,FALSE),"—"))</f>
        <v/>
      </c>
      <c r="F489" s="98">
        <f>IF(ISERROR(VLOOKUP(B489,'Estrutura Protheus'!A:A,1,FALSE)),"Não","Sim")</f>
        <v/>
      </c>
      <c r="G489" s="99">
        <f>IFERROR(INDEX(_Protheus_Cadastro!$H:$H,MATCH(B489,_Protheus_Cadastro!$A:$A,0)),"—")</f>
        <v/>
      </c>
      <c r="H489" s="211">
        <f>IFERROR(INDEX(_ZIG_Precos!$D:$D,MATCH(I489,_ZIG_Precos!$F:$F,0)),"—")</f>
        <v/>
      </c>
      <c r="I489" s="103">
        <f>IFERROR(VLOOKUP(B489,_Protheus_Cadastro!$A:$I,9,FALSE),"—")</f>
        <v/>
      </c>
      <c r="J489" s="101">
        <f>IFERROR(INDEX(_ZIG_Cadastro!$B:$B,MATCH(I489,_ZIG_Cadastro!$A:$A,0)),IFERROR(INDEX(_Entradas_ZIG!$B:$B,MATCH(I489,_Entradas_ZIG!$C:$C,0)),"—"))</f>
        <v/>
      </c>
      <c r="K489" s="101">
        <f>IFERROR(INDEX(_ZIG_Cadastro!$C:$C,MATCH(I489,_ZIG_Cadastro!$A:$A,0)),IFERROR(INDEX(_Entradas_ZIG!$D:$D,MATCH(I489,_Entradas_ZIG!$C:$C,0)),"—"))</f>
        <v/>
      </c>
      <c r="L489" s="99">
        <f>IF(I489="","Sem SKU ZIG",IF(I489="—","Sem SKU ZIG",IF(NOT(ISERROR(MATCH(I489,_ZIG_Cadastro!$A:$A,0))),IF(EXACT(UPPER(TRIM(C489)),UPPER(TRIM(INDEX(_ZIG_Cadastro!$B:$B,MATCH(I489,_ZIG_Cadastro!$A:$A,0))))),"OK","Atencao - Nome diverge"),IF(NOT(ISERROR(MATCH(I489,_Entradas_ZIG!$C:$C,0))),"OK","Erro - SKU nao encontrado"))))</f>
        <v/>
      </c>
      <c r="M489" s="99">
        <f>IFERROR(INDEX(_ZIG_Cadastro!$G:$G,MATCH(I489,_ZIG_Cadastro!$A:$A,0)),IF(NOT(ISERROR(MATCH(I489,_Entradas_ZIG!$C:$C,0))),"Ativo","—"))</f>
        <v/>
      </c>
      <c r="N489" s="102">
        <f>IFERROR(INDEX(_ZIG_Cadastro!$E:$E,MATCH(I489,_ZIG_Cadastro!$A:$A,0)),IFERROR(INDEX(_Entradas_ZIG!$F:$F,MATCH(I489,_Entradas_ZIG!$C:$C,0)),"—"))</f>
        <v/>
      </c>
      <c r="O489" s="99">
        <f>IF(AND(ISNUMBER(SEARCH("Espeto",N489)),ISNUMBER(SEARCH("Carin",N489))),"SIM","")</f>
        <v/>
      </c>
      <c r="P489" s="99">
        <f>IF(AND(ISNUMBER(SEARCH("Espeto",N489)),ISNUMBER(SEARCH("Lapa",N489))),"SIM","")</f>
        <v/>
      </c>
      <c r="Q489" s="99">
        <f>IF(AND(ISNUMBER(SEARCH("Espeto",N489)),ISNUMBER(SEARCH("Tatuapé",N489))),"SIM","")</f>
        <v/>
      </c>
      <c r="R489" s="99">
        <f>IF(AND(ISNUMBER(SEARCH("Espeto",N489)),ISNUMBER(SEARCH("Pavão",N489))),"SIM","")</f>
        <v/>
      </c>
      <c r="S489" s="99">
        <f>IF(AND(ISNUMBER(SEARCH("Espeto",N489)),ISNUMBER(SEARCH("Chac",N489))),"SIM","")</f>
        <v/>
      </c>
      <c r="T489" s="99">
        <f>IF(AND(ISNUMBER(SEARCH("Espeto",N489)),ISNUMBER(SEARCH("Madalena",N489))),"SIM","")</f>
        <v/>
      </c>
      <c r="U489" s="99">
        <f>IF(AND(ISNUMBER(SEARCH("Espeto",N489)),ISNUMBER(SEARCH("Mariana",N489))),"SIM","")</f>
        <v/>
      </c>
      <c r="V489" s="99">
        <f>IF(AND(ISNUMBER(SEARCH("Espeto",N489)),ISNUMBER(SEARCH("Perdizes",N489))),"SIM","")</f>
        <v/>
      </c>
      <c r="W489" s="99">
        <f>IF(AND(ISNUMBER(SEARCH("Espeto",N489)),ISNUMBER(SEARCH("Santana",N489))),"SIM","")</f>
        <v/>
      </c>
      <c r="X489" s="99">
        <f>IF(AND(ISNUMBER(SEARCH("Espeto",N489)),ISNUMBER(SEARCH("André",N489))),"SIM","")</f>
        <v/>
      </c>
      <c r="Y489" s="99">
        <f>IF(AND(ISNUMBER(SEARCH("Delivery",N489)),ISNUMBER(SEARCH("Carin",N489))),"SIM","")</f>
        <v/>
      </c>
      <c r="Z489" s="99">
        <f>IF(AND(ISNUMBER(SEARCH("Delivery",N489)),ISNUMBER(SEARCH("Lapa",N489))),"SIM","")</f>
        <v/>
      </c>
      <c r="AA489" s="99">
        <f>IF(AND(ISNUMBER(SEARCH("Delivery",N489)),ISNUMBER(SEARCH("Tatuapé",N489))),"SIM","")</f>
        <v/>
      </c>
      <c r="AB489" s="99">
        <f>IF(AND(ISNUMBER(SEARCH("Delivery",N489)),ISNUMBER(SEARCH("Pavão",N489))),"SIM","")</f>
        <v/>
      </c>
      <c r="AC489" s="99">
        <f>IF(AND(ISNUMBER(SEARCH("Delivery",N489)),ISNUMBER(SEARCH("Chac",N489))),"SIM","")</f>
        <v/>
      </c>
      <c r="AD489" s="99">
        <f>IF(AND(ISNUMBER(SEARCH("Delivery",N489)),ISNUMBER(SEARCH("Madalena",N489))),"SIM","")</f>
        <v/>
      </c>
      <c r="AE489" s="92">
        <f>IF(AND(ISNUMBER(SEARCH("Delivery",N489)),ISNUMBER(SEARCH("Mariana",N489))),"SIM","")</f>
        <v/>
      </c>
      <c r="AF489" s="92">
        <f>IF(AND(ISNUMBER(SEARCH("Delivery",N489)),ISNUMBER(SEARCH("Perdizes",N489))),"SIM","")</f>
        <v/>
      </c>
      <c r="AG489" s="92">
        <f>IF(AND(ISNUMBER(SEARCH("Delivery",N489)),ISNUMBER(SEARCH("Santana",N489))),"SIM","")</f>
        <v/>
      </c>
      <c r="AH489" s="92">
        <f>IF(AND(ISNUMBER(SEARCH("Delivery",N489)),ISNUMBER(SEARCH("André",N489))),"SIM","")</f>
        <v/>
      </c>
      <c r="AI489" s="92">
        <f>IF(ISNUMBER(SEARCH("Interlagos",N489)),"SIM","")</f>
        <v/>
      </c>
      <c r="AJ489" s="92">
        <f>IF(ISNUMBER(SEARCH("Quiosque",N489)),"SIM","")</f>
        <v/>
      </c>
      <c r="AK489" s="93" t="n"/>
    </row>
    <row r="490">
      <c r="A490" s="88" t="inlineStr">
        <is>
          <t>Protheus</t>
        </is>
      </c>
      <c r="B490" s="89" t="inlineStr">
        <is>
          <t>000880</t>
        </is>
      </c>
      <c r="C490" s="90">
        <f>IF(B490="—","—",IFERROR(VLOOKUP(B490,_Protheus_Cadastro!$A:$B,2,FALSE),"—"))</f>
        <v/>
      </c>
      <c r="D490" s="91">
        <f>IF(B490="—",IFERROR(INDEX(_ZIG_Cadastro!$D:$D,MATCH(H490,_ZIG_Cadastro!$A:$A,0)),"Produto"),IFERROR(VLOOKUP(B490,_Protheus_Cadastro!$A:$C,3,FALSE),"—"))</f>
        <v/>
      </c>
      <c r="E490" s="91">
        <f>IF(B490="—","—",IFERROR(VLOOKUP(B490,_Protheus_Cadastro!$A:$D,4,FALSE),"—"))</f>
        <v/>
      </c>
      <c r="F490" s="91">
        <f>IF(ISERROR(VLOOKUP(B490,'Estrutura Protheus'!A:A,1,FALSE)),"Não","Sim")</f>
        <v/>
      </c>
      <c r="G490" s="92">
        <f>IFERROR(INDEX(_Protheus_Cadastro!$H:$H,MATCH(B490,_Protheus_Cadastro!$A:$A,0)),"—")</f>
        <v/>
      </c>
      <c r="H490" s="210">
        <f>IFERROR(INDEX(_ZIG_Precos!$D:$D,MATCH(I490,_ZIG_Precos!$F:$F,0)),"—")</f>
        <v/>
      </c>
      <c r="I490" s="95">
        <f>IFERROR(VLOOKUP(B490,_Protheus_Cadastro!$A:$I,9,FALSE),"—")</f>
        <v/>
      </c>
      <c r="J490" s="93">
        <f>IFERROR(INDEX(_ZIG_Cadastro!$B:$B,MATCH(I490,_ZIG_Cadastro!$A:$A,0)),IFERROR(INDEX(_Entradas_ZIG!$B:$B,MATCH(I490,_Entradas_ZIG!$C:$C,0)),"—"))</f>
        <v/>
      </c>
      <c r="K490" s="93">
        <f>IFERROR(INDEX(_ZIG_Cadastro!$C:$C,MATCH(I490,_ZIG_Cadastro!$A:$A,0)),IFERROR(INDEX(_Entradas_ZIG!$D:$D,MATCH(I490,_Entradas_ZIG!$C:$C,0)),"—"))</f>
        <v/>
      </c>
      <c r="L490" s="92">
        <f>IF(I490="","Sem SKU ZIG",IF(I490="—","Sem SKU ZIG",IF(NOT(ISERROR(MATCH(I490,_ZIG_Cadastro!$A:$A,0))),IF(EXACT(UPPER(TRIM(C490)),UPPER(TRIM(INDEX(_ZIG_Cadastro!$B:$B,MATCH(I490,_ZIG_Cadastro!$A:$A,0))))),"OK","Atencao - Nome diverge"),IF(NOT(ISERROR(MATCH(I490,_Entradas_ZIG!$C:$C,0))),"OK","Erro - SKU nao encontrado"))))</f>
        <v/>
      </c>
      <c r="M490" s="92">
        <f>IFERROR(INDEX(_ZIG_Cadastro!$G:$G,MATCH(I490,_ZIG_Cadastro!$A:$A,0)),IF(NOT(ISERROR(MATCH(I490,_Entradas_ZIG!$C:$C,0))),"Ativo","—"))</f>
        <v/>
      </c>
      <c r="N490" s="94">
        <f>IFERROR(INDEX(_ZIG_Cadastro!$E:$E,MATCH(I490,_ZIG_Cadastro!$A:$A,0)),IFERROR(INDEX(_Entradas_ZIG!$F:$F,MATCH(I490,_Entradas_ZIG!$C:$C,0)),"—"))</f>
        <v/>
      </c>
      <c r="O490" s="92">
        <f>IF(AND(ISNUMBER(SEARCH("Espeto",N490)),ISNUMBER(SEARCH("Carin",N490))),"SIM","")</f>
        <v/>
      </c>
      <c r="P490" s="92">
        <f>IF(AND(ISNUMBER(SEARCH("Espeto",N490)),ISNUMBER(SEARCH("Lapa",N490))),"SIM","")</f>
        <v/>
      </c>
      <c r="Q490" s="92">
        <f>IF(AND(ISNUMBER(SEARCH("Espeto",N490)),ISNUMBER(SEARCH("Tatuapé",N490))),"SIM","")</f>
        <v/>
      </c>
      <c r="R490" s="92">
        <f>IF(AND(ISNUMBER(SEARCH("Espeto",N490)),ISNUMBER(SEARCH("Pavão",N490))),"SIM","")</f>
        <v/>
      </c>
      <c r="S490" s="92">
        <f>IF(AND(ISNUMBER(SEARCH("Espeto",N490)),ISNUMBER(SEARCH("Chac",N490))),"SIM","")</f>
        <v/>
      </c>
      <c r="T490" s="92">
        <f>IF(AND(ISNUMBER(SEARCH("Espeto",N490)),ISNUMBER(SEARCH("Madalena",N490))),"SIM","")</f>
        <v/>
      </c>
      <c r="U490" s="92">
        <f>IF(AND(ISNUMBER(SEARCH("Espeto",N490)),ISNUMBER(SEARCH("Mariana",N490))),"SIM","")</f>
        <v/>
      </c>
      <c r="V490" s="92">
        <f>IF(AND(ISNUMBER(SEARCH("Espeto",N490)),ISNUMBER(SEARCH("Perdizes",N490))),"SIM","")</f>
        <v/>
      </c>
      <c r="W490" s="92">
        <f>IF(AND(ISNUMBER(SEARCH("Espeto",N490)),ISNUMBER(SEARCH("Santana",N490))),"SIM","")</f>
        <v/>
      </c>
      <c r="X490" s="92">
        <f>IF(AND(ISNUMBER(SEARCH("Espeto",N490)),ISNUMBER(SEARCH("André",N490))),"SIM","")</f>
        <v/>
      </c>
      <c r="Y490" s="92">
        <f>IF(AND(ISNUMBER(SEARCH("Delivery",N490)),ISNUMBER(SEARCH("Carin",N490))),"SIM","")</f>
        <v/>
      </c>
      <c r="Z490" s="92">
        <f>IF(AND(ISNUMBER(SEARCH("Delivery",N490)),ISNUMBER(SEARCH("Lapa",N490))),"SIM","")</f>
        <v/>
      </c>
      <c r="AA490" s="92">
        <f>IF(AND(ISNUMBER(SEARCH("Delivery",N490)),ISNUMBER(SEARCH("Tatuapé",N490))),"SIM","")</f>
        <v/>
      </c>
      <c r="AB490" s="92">
        <f>IF(AND(ISNUMBER(SEARCH("Delivery",N490)),ISNUMBER(SEARCH("Pavão",N490))),"SIM","")</f>
        <v/>
      </c>
      <c r="AC490" s="92">
        <f>IF(AND(ISNUMBER(SEARCH("Delivery",N490)),ISNUMBER(SEARCH("Chac",N490))),"SIM","")</f>
        <v/>
      </c>
      <c r="AD490" s="92">
        <f>IF(AND(ISNUMBER(SEARCH("Delivery",N490)),ISNUMBER(SEARCH("Madalena",N490))),"SIM","")</f>
        <v/>
      </c>
      <c r="AE490" s="99">
        <f>IF(AND(ISNUMBER(SEARCH("Delivery",N490)),ISNUMBER(SEARCH("Mariana",N490))),"SIM","")</f>
        <v/>
      </c>
      <c r="AF490" s="99">
        <f>IF(AND(ISNUMBER(SEARCH("Delivery",N490)),ISNUMBER(SEARCH("Perdizes",N490))),"SIM","")</f>
        <v/>
      </c>
      <c r="AG490" s="99">
        <f>IF(AND(ISNUMBER(SEARCH("Delivery",N490)),ISNUMBER(SEARCH("Santana",N490))),"SIM","")</f>
        <v/>
      </c>
      <c r="AH490" s="99">
        <f>IF(AND(ISNUMBER(SEARCH("Delivery",N490)),ISNUMBER(SEARCH("André",N490))),"SIM","")</f>
        <v/>
      </c>
      <c r="AI490" s="99">
        <f>IF(ISNUMBER(SEARCH("Interlagos",N490)),"SIM","")</f>
        <v/>
      </c>
      <c r="AJ490" s="99">
        <f>IF(ISNUMBER(SEARCH("Quiosque",N490)),"SIM","")</f>
        <v/>
      </c>
      <c r="AK490" s="101" t="n"/>
    </row>
    <row r="491">
      <c r="A491" s="88" t="inlineStr">
        <is>
          <t>Protheus</t>
        </is>
      </c>
      <c r="B491" s="96" t="inlineStr">
        <is>
          <t>002185</t>
        </is>
      </c>
      <c r="C491" s="97">
        <f>IF(B491="—","—",IFERROR(VLOOKUP(B491,_Protheus_Cadastro!$A:$B,2,FALSE),"—"))</f>
        <v/>
      </c>
      <c r="D491" s="98">
        <f>IF(B491="—",IFERROR(INDEX(_ZIG_Cadastro!$D:$D,MATCH(H491,_ZIG_Cadastro!$A:$A,0)),"Produto"),IFERROR(VLOOKUP(B491,_Protheus_Cadastro!$A:$C,3,FALSE),"—"))</f>
        <v/>
      </c>
      <c r="E491" s="98">
        <f>IF(B491="—","—",IFERROR(VLOOKUP(B491,_Protheus_Cadastro!$A:$D,4,FALSE),"—"))</f>
        <v/>
      </c>
      <c r="F491" s="98">
        <f>IF(ISERROR(VLOOKUP(B491,'Estrutura Protheus'!A:A,1,FALSE)),"Não","Sim")</f>
        <v/>
      </c>
      <c r="G491" s="99">
        <f>IFERROR(INDEX(_Protheus_Cadastro!$H:$H,MATCH(B491,_Protheus_Cadastro!$A:$A,0)),"—")</f>
        <v/>
      </c>
      <c r="H491" s="211">
        <f>IFERROR(INDEX(_ZIG_Precos!$D:$D,MATCH(I491,_ZIG_Precos!$F:$F,0)),"—")</f>
        <v/>
      </c>
      <c r="I491" s="103">
        <f>IFERROR(VLOOKUP(B491,_Protheus_Cadastro!$A:$I,9,FALSE),"—")</f>
        <v/>
      </c>
      <c r="J491" s="101">
        <f>IFERROR(INDEX(_ZIG_Cadastro!$B:$B,MATCH(I491,_ZIG_Cadastro!$A:$A,0)),IFERROR(INDEX(_Entradas_ZIG!$B:$B,MATCH(I491,_Entradas_ZIG!$C:$C,0)),"—"))</f>
        <v/>
      </c>
      <c r="K491" s="101">
        <f>IFERROR(INDEX(_ZIG_Cadastro!$C:$C,MATCH(I491,_ZIG_Cadastro!$A:$A,0)),IFERROR(INDEX(_Entradas_ZIG!$D:$D,MATCH(I491,_Entradas_ZIG!$C:$C,0)),"—"))</f>
        <v/>
      </c>
      <c r="L491" s="99">
        <f>IF(I491="","Sem SKU ZIG",IF(I491="—","Sem SKU ZIG",IF(NOT(ISERROR(MATCH(I491,_ZIG_Cadastro!$A:$A,0))),IF(EXACT(UPPER(TRIM(C491)),UPPER(TRIM(INDEX(_ZIG_Cadastro!$B:$B,MATCH(I491,_ZIG_Cadastro!$A:$A,0))))),"OK","Atencao - Nome diverge"),IF(NOT(ISERROR(MATCH(I491,_Entradas_ZIG!$C:$C,0))),"OK","Erro - SKU nao encontrado"))))</f>
        <v/>
      </c>
      <c r="M491" s="99">
        <f>IFERROR(INDEX(_ZIG_Cadastro!$G:$G,MATCH(I491,_ZIG_Cadastro!$A:$A,0)),IF(NOT(ISERROR(MATCH(I491,_Entradas_ZIG!$C:$C,0))),"Ativo","—"))</f>
        <v/>
      </c>
      <c r="N491" s="102">
        <f>IFERROR(INDEX(_ZIG_Cadastro!$E:$E,MATCH(I491,_ZIG_Cadastro!$A:$A,0)),IFERROR(INDEX(_Entradas_ZIG!$F:$F,MATCH(I491,_Entradas_ZIG!$C:$C,0)),"—"))</f>
        <v/>
      </c>
      <c r="O491" s="99">
        <f>IF(AND(ISNUMBER(SEARCH("Espeto",N491)),ISNUMBER(SEARCH("Carin",N491))),"SIM","")</f>
        <v/>
      </c>
      <c r="P491" s="99">
        <f>IF(AND(ISNUMBER(SEARCH("Espeto",N491)),ISNUMBER(SEARCH("Lapa",N491))),"SIM","")</f>
        <v/>
      </c>
      <c r="Q491" s="99">
        <f>IF(AND(ISNUMBER(SEARCH("Espeto",N491)),ISNUMBER(SEARCH("Tatuapé",N491))),"SIM","")</f>
        <v/>
      </c>
      <c r="R491" s="99">
        <f>IF(AND(ISNUMBER(SEARCH("Espeto",N491)),ISNUMBER(SEARCH("Pavão",N491))),"SIM","")</f>
        <v/>
      </c>
      <c r="S491" s="99">
        <f>IF(AND(ISNUMBER(SEARCH("Espeto",N491)),ISNUMBER(SEARCH("Chac",N491))),"SIM","")</f>
        <v/>
      </c>
      <c r="T491" s="99">
        <f>IF(AND(ISNUMBER(SEARCH("Espeto",N491)),ISNUMBER(SEARCH("Madalena",N491))),"SIM","")</f>
        <v/>
      </c>
      <c r="U491" s="99">
        <f>IF(AND(ISNUMBER(SEARCH("Espeto",N491)),ISNUMBER(SEARCH("Mariana",N491))),"SIM","")</f>
        <v/>
      </c>
      <c r="V491" s="99">
        <f>IF(AND(ISNUMBER(SEARCH("Espeto",N491)),ISNUMBER(SEARCH("Perdizes",N491))),"SIM","")</f>
        <v/>
      </c>
      <c r="W491" s="99">
        <f>IF(AND(ISNUMBER(SEARCH("Espeto",N491)),ISNUMBER(SEARCH("Santana",N491))),"SIM","")</f>
        <v/>
      </c>
      <c r="X491" s="99">
        <f>IF(AND(ISNUMBER(SEARCH("Espeto",N491)),ISNUMBER(SEARCH("André",N491))),"SIM","")</f>
        <v/>
      </c>
      <c r="Y491" s="99">
        <f>IF(AND(ISNUMBER(SEARCH("Delivery",N491)),ISNUMBER(SEARCH("Carin",N491))),"SIM","")</f>
        <v/>
      </c>
      <c r="Z491" s="99">
        <f>IF(AND(ISNUMBER(SEARCH("Delivery",N491)),ISNUMBER(SEARCH("Lapa",N491))),"SIM","")</f>
        <v/>
      </c>
      <c r="AA491" s="99">
        <f>IF(AND(ISNUMBER(SEARCH("Delivery",N491)),ISNUMBER(SEARCH("Tatuapé",N491))),"SIM","")</f>
        <v/>
      </c>
      <c r="AB491" s="99">
        <f>IF(AND(ISNUMBER(SEARCH("Delivery",N491)),ISNUMBER(SEARCH("Pavão",N491))),"SIM","")</f>
        <v/>
      </c>
      <c r="AC491" s="99">
        <f>IF(AND(ISNUMBER(SEARCH("Delivery",N491)),ISNUMBER(SEARCH("Chac",N491))),"SIM","")</f>
        <v/>
      </c>
      <c r="AD491" s="99">
        <f>IF(AND(ISNUMBER(SEARCH("Delivery",N491)),ISNUMBER(SEARCH("Madalena",N491))),"SIM","")</f>
        <v/>
      </c>
      <c r="AE491" s="92">
        <f>IF(AND(ISNUMBER(SEARCH("Delivery",N491)),ISNUMBER(SEARCH("Mariana",N491))),"SIM","")</f>
        <v/>
      </c>
      <c r="AF491" s="92">
        <f>IF(AND(ISNUMBER(SEARCH("Delivery",N491)),ISNUMBER(SEARCH("Perdizes",N491))),"SIM","")</f>
        <v/>
      </c>
      <c r="AG491" s="92">
        <f>IF(AND(ISNUMBER(SEARCH("Delivery",N491)),ISNUMBER(SEARCH("Santana",N491))),"SIM","")</f>
        <v/>
      </c>
      <c r="AH491" s="92">
        <f>IF(AND(ISNUMBER(SEARCH("Delivery",N491)),ISNUMBER(SEARCH("André",N491))),"SIM","")</f>
        <v/>
      </c>
      <c r="AI491" s="92">
        <f>IF(ISNUMBER(SEARCH("Interlagos",N491)),"SIM","")</f>
        <v/>
      </c>
      <c r="AJ491" s="92">
        <f>IF(ISNUMBER(SEARCH("Quiosque",N491)),"SIM","")</f>
        <v/>
      </c>
      <c r="AK491" s="93" t="n"/>
    </row>
    <row r="492">
      <c r="A492" s="88" t="inlineStr">
        <is>
          <t>Protheus</t>
        </is>
      </c>
      <c r="B492" s="89" t="inlineStr">
        <is>
          <t>000886</t>
        </is>
      </c>
      <c r="C492" s="90">
        <f>IF(B492="—","—",IFERROR(VLOOKUP(B492,_Protheus_Cadastro!$A:$B,2,FALSE),"—"))</f>
        <v/>
      </c>
      <c r="D492" s="91">
        <f>IF(B492="—",IFERROR(INDEX(_ZIG_Cadastro!$D:$D,MATCH(H492,_ZIG_Cadastro!$A:$A,0)),"Produto"),IFERROR(VLOOKUP(B492,_Protheus_Cadastro!$A:$C,3,FALSE),"—"))</f>
        <v/>
      </c>
      <c r="E492" s="91">
        <f>IF(B492="—","—",IFERROR(VLOOKUP(B492,_Protheus_Cadastro!$A:$D,4,FALSE),"—"))</f>
        <v/>
      </c>
      <c r="F492" s="91">
        <f>IF(ISERROR(VLOOKUP(B492,'Estrutura Protheus'!A:A,1,FALSE)),"Não","Sim")</f>
        <v/>
      </c>
      <c r="G492" s="92">
        <f>IFERROR(INDEX(_Protheus_Cadastro!$H:$H,MATCH(B492,_Protheus_Cadastro!$A:$A,0)),"—")</f>
        <v/>
      </c>
      <c r="H492" s="210">
        <f>IFERROR(INDEX(_ZIG_Precos!$D:$D,MATCH(I492,_ZIG_Precos!$F:$F,0)),"—")</f>
        <v/>
      </c>
      <c r="I492" s="95">
        <f>IFERROR(VLOOKUP(B492,_Protheus_Cadastro!$A:$I,9,FALSE),"—")</f>
        <v/>
      </c>
      <c r="J492" s="93">
        <f>IFERROR(INDEX(_ZIG_Cadastro!$B:$B,MATCH(I492,_ZIG_Cadastro!$A:$A,0)),IFERROR(INDEX(_Entradas_ZIG!$B:$B,MATCH(I492,_Entradas_ZIG!$C:$C,0)),"—"))</f>
        <v/>
      </c>
      <c r="K492" s="93">
        <f>IFERROR(INDEX(_ZIG_Cadastro!$C:$C,MATCH(I492,_ZIG_Cadastro!$A:$A,0)),IFERROR(INDEX(_Entradas_ZIG!$D:$D,MATCH(I492,_Entradas_ZIG!$C:$C,0)),"—"))</f>
        <v/>
      </c>
      <c r="L492" s="92">
        <f>IF(I492="","Sem SKU ZIG",IF(I492="—","Sem SKU ZIG",IF(NOT(ISERROR(MATCH(I492,_ZIG_Cadastro!$A:$A,0))),IF(EXACT(UPPER(TRIM(C492)),UPPER(TRIM(INDEX(_ZIG_Cadastro!$B:$B,MATCH(I492,_ZIG_Cadastro!$A:$A,0))))),"OK","Atencao - Nome diverge"),IF(NOT(ISERROR(MATCH(I492,_Entradas_ZIG!$C:$C,0))),"OK","Erro - SKU nao encontrado"))))</f>
        <v/>
      </c>
      <c r="M492" s="92">
        <f>IFERROR(INDEX(_ZIG_Cadastro!$G:$G,MATCH(I492,_ZIG_Cadastro!$A:$A,0)),IF(NOT(ISERROR(MATCH(I492,_Entradas_ZIG!$C:$C,0))),"Ativo","—"))</f>
        <v/>
      </c>
      <c r="N492" s="94">
        <f>IFERROR(INDEX(_ZIG_Cadastro!$E:$E,MATCH(I492,_ZIG_Cadastro!$A:$A,0)),IFERROR(INDEX(_Entradas_ZIG!$F:$F,MATCH(I492,_Entradas_ZIG!$C:$C,0)),"—"))</f>
        <v/>
      </c>
      <c r="O492" s="92">
        <f>IF(AND(ISNUMBER(SEARCH("Espeto",N492)),ISNUMBER(SEARCH("Carin",N492))),"SIM","")</f>
        <v/>
      </c>
      <c r="P492" s="92">
        <f>IF(AND(ISNUMBER(SEARCH("Espeto",N492)),ISNUMBER(SEARCH("Lapa",N492))),"SIM","")</f>
        <v/>
      </c>
      <c r="Q492" s="92">
        <f>IF(AND(ISNUMBER(SEARCH("Espeto",N492)),ISNUMBER(SEARCH("Tatuapé",N492))),"SIM","")</f>
        <v/>
      </c>
      <c r="R492" s="92">
        <f>IF(AND(ISNUMBER(SEARCH("Espeto",N492)),ISNUMBER(SEARCH("Pavão",N492))),"SIM","")</f>
        <v/>
      </c>
      <c r="S492" s="92">
        <f>IF(AND(ISNUMBER(SEARCH("Espeto",N492)),ISNUMBER(SEARCH("Chac",N492))),"SIM","")</f>
        <v/>
      </c>
      <c r="T492" s="92">
        <f>IF(AND(ISNUMBER(SEARCH("Espeto",N492)),ISNUMBER(SEARCH("Madalena",N492))),"SIM","")</f>
        <v/>
      </c>
      <c r="U492" s="92">
        <f>IF(AND(ISNUMBER(SEARCH("Espeto",N492)),ISNUMBER(SEARCH("Mariana",N492))),"SIM","")</f>
        <v/>
      </c>
      <c r="V492" s="92">
        <f>IF(AND(ISNUMBER(SEARCH("Espeto",N492)),ISNUMBER(SEARCH("Perdizes",N492))),"SIM","")</f>
        <v/>
      </c>
      <c r="W492" s="92">
        <f>IF(AND(ISNUMBER(SEARCH("Espeto",N492)),ISNUMBER(SEARCH("Santana",N492))),"SIM","")</f>
        <v/>
      </c>
      <c r="X492" s="92">
        <f>IF(AND(ISNUMBER(SEARCH("Espeto",N492)),ISNUMBER(SEARCH("André",N492))),"SIM","")</f>
        <v/>
      </c>
      <c r="Y492" s="92">
        <f>IF(AND(ISNUMBER(SEARCH("Delivery",N492)),ISNUMBER(SEARCH("Carin",N492))),"SIM","")</f>
        <v/>
      </c>
      <c r="Z492" s="92">
        <f>IF(AND(ISNUMBER(SEARCH("Delivery",N492)),ISNUMBER(SEARCH("Lapa",N492))),"SIM","")</f>
        <v/>
      </c>
      <c r="AA492" s="92">
        <f>IF(AND(ISNUMBER(SEARCH("Delivery",N492)),ISNUMBER(SEARCH("Tatuapé",N492))),"SIM","")</f>
        <v/>
      </c>
      <c r="AB492" s="92">
        <f>IF(AND(ISNUMBER(SEARCH("Delivery",N492)),ISNUMBER(SEARCH("Pavão",N492))),"SIM","")</f>
        <v/>
      </c>
      <c r="AC492" s="92">
        <f>IF(AND(ISNUMBER(SEARCH("Delivery",N492)),ISNUMBER(SEARCH("Chac",N492))),"SIM","")</f>
        <v/>
      </c>
      <c r="AD492" s="92">
        <f>IF(AND(ISNUMBER(SEARCH("Delivery",N492)),ISNUMBER(SEARCH("Madalena",N492))),"SIM","")</f>
        <v/>
      </c>
      <c r="AE492" s="99">
        <f>IF(AND(ISNUMBER(SEARCH("Delivery",N492)),ISNUMBER(SEARCH("Mariana",N492))),"SIM","")</f>
        <v/>
      </c>
      <c r="AF492" s="99">
        <f>IF(AND(ISNUMBER(SEARCH("Delivery",N492)),ISNUMBER(SEARCH("Perdizes",N492))),"SIM","")</f>
        <v/>
      </c>
      <c r="AG492" s="99">
        <f>IF(AND(ISNUMBER(SEARCH("Delivery",N492)),ISNUMBER(SEARCH("Santana",N492))),"SIM","")</f>
        <v/>
      </c>
      <c r="AH492" s="99">
        <f>IF(AND(ISNUMBER(SEARCH("Delivery",N492)),ISNUMBER(SEARCH("André",N492))),"SIM","")</f>
        <v/>
      </c>
      <c r="AI492" s="99">
        <f>IF(ISNUMBER(SEARCH("Interlagos",N492)),"SIM","")</f>
        <v/>
      </c>
      <c r="AJ492" s="99">
        <f>IF(ISNUMBER(SEARCH("Quiosque",N492)),"SIM","")</f>
        <v/>
      </c>
      <c r="AK492" s="101" t="n"/>
    </row>
    <row r="493">
      <c r="A493" s="88" t="inlineStr">
        <is>
          <t>Protheus</t>
        </is>
      </c>
      <c r="B493" s="96" t="inlineStr">
        <is>
          <t>002186</t>
        </is>
      </c>
      <c r="C493" s="97">
        <f>IF(B493="—","—",IFERROR(VLOOKUP(B493,_Protheus_Cadastro!$A:$B,2,FALSE),"—"))</f>
        <v/>
      </c>
      <c r="D493" s="98">
        <f>IF(B493="—",IFERROR(INDEX(_ZIG_Cadastro!$D:$D,MATCH(H493,_ZIG_Cadastro!$A:$A,0)),"Produto"),IFERROR(VLOOKUP(B493,_Protheus_Cadastro!$A:$C,3,FALSE),"—"))</f>
        <v/>
      </c>
      <c r="E493" s="98">
        <f>IF(B493="—","—",IFERROR(VLOOKUP(B493,_Protheus_Cadastro!$A:$D,4,FALSE),"—"))</f>
        <v/>
      </c>
      <c r="F493" s="98">
        <f>IF(ISERROR(VLOOKUP(B493,'Estrutura Protheus'!A:A,1,FALSE)),"Não","Sim")</f>
        <v/>
      </c>
      <c r="G493" s="99">
        <f>IFERROR(INDEX(_Protheus_Cadastro!$H:$H,MATCH(B493,_Protheus_Cadastro!$A:$A,0)),"—")</f>
        <v/>
      </c>
      <c r="H493" s="211">
        <f>IFERROR(INDEX(_ZIG_Precos!$D:$D,MATCH(I493,_ZIG_Precos!$F:$F,0)),"—")</f>
        <v/>
      </c>
      <c r="I493" s="103">
        <f>IFERROR(VLOOKUP(B493,_Protheus_Cadastro!$A:$I,9,FALSE),"—")</f>
        <v/>
      </c>
      <c r="J493" s="101">
        <f>IFERROR(INDEX(_ZIG_Cadastro!$B:$B,MATCH(I493,_ZIG_Cadastro!$A:$A,0)),IFERROR(INDEX(_Entradas_ZIG!$B:$B,MATCH(I493,_Entradas_ZIG!$C:$C,0)),"—"))</f>
        <v/>
      </c>
      <c r="K493" s="101">
        <f>IFERROR(INDEX(_ZIG_Cadastro!$C:$C,MATCH(I493,_ZIG_Cadastro!$A:$A,0)),IFERROR(INDEX(_Entradas_ZIG!$D:$D,MATCH(I493,_Entradas_ZIG!$C:$C,0)),"—"))</f>
        <v/>
      </c>
      <c r="L493" s="99">
        <f>IF(I493="","Sem SKU ZIG",IF(I493="—","Sem SKU ZIG",IF(NOT(ISERROR(MATCH(I493,_ZIG_Cadastro!$A:$A,0))),IF(EXACT(UPPER(TRIM(C493)),UPPER(TRIM(INDEX(_ZIG_Cadastro!$B:$B,MATCH(I493,_ZIG_Cadastro!$A:$A,0))))),"OK","Atencao - Nome diverge"),IF(NOT(ISERROR(MATCH(I493,_Entradas_ZIG!$C:$C,0))),"OK","Erro - SKU nao encontrado"))))</f>
        <v/>
      </c>
      <c r="M493" s="99">
        <f>IFERROR(INDEX(_ZIG_Cadastro!$G:$G,MATCH(I493,_ZIG_Cadastro!$A:$A,0)),IF(NOT(ISERROR(MATCH(I493,_Entradas_ZIG!$C:$C,0))),"Ativo","—"))</f>
        <v/>
      </c>
      <c r="N493" s="102">
        <f>IFERROR(INDEX(_ZIG_Cadastro!$E:$E,MATCH(I493,_ZIG_Cadastro!$A:$A,0)),IFERROR(INDEX(_Entradas_ZIG!$F:$F,MATCH(I493,_Entradas_ZIG!$C:$C,0)),"—"))</f>
        <v/>
      </c>
      <c r="O493" s="99">
        <f>IF(AND(ISNUMBER(SEARCH("Espeto",N493)),ISNUMBER(SEARCH("Carin",N493))),"SIM","")</f>
        <v/>
      </c>
      <c r="P493" s="99">
        <f>IF(AND(ISNUMBER(SEARCH("Espeto",N493)),ISNUMBER(SEARCH("Lapa",N493))),"SIM","")</f>
        <v/>
      </c>
      <c r="Q493" s="99">
        <f>IF(AND(ISNUMBER(SEARCH("Espeto",N493)),ISNUMBER(SEARCH("Tatuapé",N493))),"SIM","")</f>
        <v/>
      </c>
      <c r="R493" s="99">
        <f>IF(AND(ISNUMBER(SEARCH("Espeto",N493)),ISNUMBER(SEARCH("Pavão",N493))),"SIM","")</f>
        <v/>
      </c>
      <c r="S493" s="99">
        <f>IF(AND(ISNUMBER(SEARCH("Espeto",N493)),ISNUMBER(SEARCH("Chac",N493))),"SIM","")</f>
        <v/>
      </c>
      <c r="T493" s="99">
        <f>IF(AND(ISNUMBER(SEARCH("Espeto",N493)),ISNUMBER(SEARCH("Madalena",N493))),"SIM","")</f>
        <v/>
      </c>
      <c r="U493" s="99">
        <f>IF(AND(ISNUMBER(SEARCH("Espeto",N493)),ISNUMBER(SEARCH("Mariana",N493))),"SIM","")</f>
        <v/>
      </c>
      <c r="V493" s="99">
        <f>IF(AND(ISNUMBER(SEARCH("Espeto",N493)),ISNUMBER(SEARCH("Perdizes",N493))),"SIM","")</f>
        <v/>
      </c>
      <c r="W493" s="99">
        <f>IF(AND(ISNUMBER(SEARCH("Espeto",N493)),ISNUMBER(SEARCH("Santana",N493))),"SIM","")</f>
        <v/>
      </c>
      <c r="X493" s="99">
        <f>IF(AND(ISNUMBER(SEARCH("Espeto",N493)),ISNUMBER(SEARCH("André",N493))),"SIM","")</f>
        <v/>
      </c>
      <c r="Y493" s="99">
        <f>IF(AND(ISNUMBER(SEARCH("Delivery",N493)),ISNUMBER(SEARCH("Carin",N493))),"SIM","")</f>
        <v/>
      </c>
      <c r="Z493" s="99">
        <f>IF(AND(ISNUMBER(SEARCH("Delivery",N493)),ISNUMBER(SEARCH("Lapa",N493))),"SIM","")</f>
        <v/>
      </c>
      <c r="AA493" s="99">
        <f>IF(AND(ISNUMBER(SEARCH("Delivery",N493)),ISNUMBER(SEARCH("Tatuapé",N493))),"SIM","")</f>
        <v/>
      </c>
      <c r="AB493" s="99">
        <f>IF(AND(ISNUMBER(SEARCH("Delivery",N493)),ISNUMBER(SEARCH("Pavão",N493))),"SIM","")</f>
        <v/>
      </c>
      <c r="AC493" s="99">
        <f>IF(AND(ISNUMBER(SEARCH("Delivery",N493)),ISNUMBER(SEARCH("Chac",N493))),"SIM","")</f>
        <v/>
      </c>
      <c r="AD493" s="99">
        <f>IF(AND(ISNUMBER(SEARCH("Delivery",N493)),ISNUMBER(SEARCH("Madalena",N493))),"SIM","")</f>
        <v/>
      </c>
      <c r="AE493" s="92">
        <f>IF(AND(ISNUMBER(SEARCH("Delivery",N493)),ISNUMBER(SEARCH("Mariana",N493))),"SIM","")</f>
        <v/>
      </c>
      <c r="AF493" s="92">
        <f>IF(AND(ISNUMBER(SEARCH("Delivery",N493)),ISNUMBER(SEARCH("Perdizes",N493))),"SIM","")</f>
        <v/>
      </c>
      <c r="AG493" s="92">
        <f>IF(AND(ISNUMBER(SEARCH("Delivery",N493)),ISNUMBER(SEARCH("Santana",N493))),"SIM","")</f>
        <v/>
      </c>
      <c r="AH493" s="92">
        <f>IF(AND(ISNUMBER(SEARCH("Delivery",N493)),ISNUMBER(SEARCH("André",N493))),"SIM","")</f>
        <v/>
      </c>
      <c r="AI493" s="92">
        <f>IF(ISNUMBER(SEARCH("Interlagos",N493)),"SIM","")</f>
        <v/>
      </c>
      <c r="AJ493" s="92">
        <f>IF(ISNUMBER(SEARCH("Quiosque",N493)),"SIM","")</f>
        <v/>
      </c>
      <c r="AK493" s="93" t="n"/>
    </row>
    <row r="494">
      <c r="A494" s="88" t="inlineStr">
        <is>
          <t>Protheus</t>
        </is>
      </c>
      <c r="B494" s="89" t="inlineStr">
        <is>
          <t>002216</t>
        </is>
      </c>
      <c r="C494" s="90">
        <f>IF(B494="—","—",IFERROR(VLOOKUP(B494,_Protheus_Cadastro!$A:$B,2,FALSE),"—"))</f>
        <v/>
      </c>
      <c r="D494" s="91">
        <f>IF(B494="—",IFERROR(INDEX(_ZIG_Cadastro!$D:$D,MATCH(H494,_ZIG_Cadastro!$A:$A,0)),"Produto"),IFERROR(VLOOKUP(B494,_Protheus_Cadastro!$A:$C,3,FALSE),"—"))</f>
        <v/>
      </c>
      <c r="E494" s="91">
        <f>IF(B494="—","—",IFERROR(VLOOKUP(B494,_Protheus_Cadastro!$A:$D,4,FALSE),"—"))</f>
        <v/>
      </c>
      <c r="F494" s="91">
        <f>IF(ISERROR(VLOOKUP(B494,'Estrutura Protheus'!A:A,1,FALSE)),"Não","Sim")</f>
        <v/>
      </c>
      <c r="G494" s="92">
        <f>IFERROR(INDEX(_Protheus_Cadastro!$H:$H,MATCH(B494,_Protheus_Cadastro!$A:$A,0)),"—")</f>
        <v/>
      </c>
      <c r="H494" s="210">
        <f>IFERROR(INDEX(_ZIG_Precos!$D:$D,MATCH(I494,_ZIG_Precos!$F:$F,0)),"—")</f>
        <v/>
      </c>
      <c r="I494" s="95">
        <f>IFERROR(VLOOKUP(B494,_Protheus_Cadastro!$A:$I,9,FALSE),"—")</f>
        <v/>
      </c>
      <c r="J494" s="93">
        <f>IFERROR(INDEX(_ZIG_Cadastro!$B:$B,MATCH(I494,_ZIG_Cadastro!$A:$A,0)),IFERROR(INDEX(_Entradas_ZIG!$B:$B,MATCH(I494,_Entradas_ZIG!$C:$C,0)),"—"))</f>
        <v/>
      </c>
      <c r="K494" s="93">
        <f>IFERROR(INDEX(_ZIG_Cadastro!$C:$C,MATCH(I494,_ZIG_Cadastro!$A:$A,0)),IFERROR(INDEX(_Entradas_ZIG!$D:$D,MATCH(I494,_Entradas_ZIG!$C:$C,0)),"—"))</f>
        <v/>
      </c>
      <c r="L494" s="92">
        <f>IF(I494="","Sem SKU ZIG",IF(I494="—","Sem SKU ZIG",IF(NOT(ISERROR(MATCH(I494,_ZIG_Cadastro!$A:$A,0))),IF(EXACT(UPPER(TRIM(C494)),UPPER(TRIM(INDEX(_ZIG_Cadastro!$B:$B,MATCH(I494,_ZIG_Cadastro!$A:$A,0))))),"OK","Atencao - Nome diverge"),IF(NOT(ISERROR(MATCH(I494,_Entradas_ZIG!$C:$C,0))),"OK","Erro - SKU nao encontrado"))))</f>
        <v/>
      </c>
      <c r="M494" s="92">
        <f>IFERROR(INDEX(_ZIG_Cadastro!$G:$G,MATCH(I494,_ZIG_Cadastro!$A:$A,0)),IF(NOT(ISERROR(MATCH(I494,_Entradas_ZIG!$C:$C,0))),"Ativo","—"))</f>
        <v/>
      </c>
      <c r="N494" s="94">
        <f>IFERROR(INDEX(_ZIG_Cadastro!$E:$E,MATCH(I494,_ZIG_Cadastro!$A:$A,0)),IFERROR(INDEX(_Entradas_ZIG!$F:$F,MATCH(I494,_Entradas_ZIG!$C:$C,0)),"—"))</f>
        <v/>
      </c>
      <c r="O494" s="92">
        <f>IF(AND(ISNUMBER(SEARCH("Espeto",N494)),ISNUMBER(SEARCH("Carin",N494))),"SIM","")</f>
        <v/>
      </c>
      <c r="P494" s="92">
        <f>IF(AND(ISNUMBER(SEARCH("Espeto",N494)),ISNUMBER(SEARCH("Lapa",N494))),"SIM","")</f>
        <v/>
      </c>
      <c r="Q494" s="92">
        <f>IF(AND(ISNUMBER(SEARCH("Espeto",N494)),ISNUMBER(SEARCH("Tatuapé",N494))),"SIM","")</f>
        <v/>
      </c>
      <c r="R494" s="92">
        <f>IF(AND(ISNUMBER(SEARCH("Espeto",N494)),ISNUMBER(SEARCH("Pavão",N494))),"SIM","")</f>
        <v/>
      </c>
      <c r="S494" s="92">
        <f>IF(AND(ISNUMBER(SEARCH("Espeto",N494)),ISNUMBER(SEARCH("Chac",N494))),"SIM","")</f>
        <v/>
      </c>
      <c r="T494" s="92">
        <f>IF(AND(ISNUMBER(SEARCH("Espeto",N494)),ISNUMBER(SEARCH("Madalena",N494))),"SIM","")</f>
        <v/>
      </c>
      <c r="U494" s="92">
        <f>IF(AND(ISNUMBER(SEARCH("Espeto",N494)),ISNUMBER(SEARCH("Mariana",N494))),"SIM","")</f>
        <v/>
      </c>
      <c r="V494" s="92">
        <f>IF(AND(ISNUMBER(SEARCH("Espeto",N494)),ISNUMBER(SEARCH("Perdizes",N494))),"SIM","")</f>
        <v/>
      </c>
      <c r="W494" s="92">
        <f>IF(AND(ISNUMBER(SEARCH("Espeto",N494)),ISNUMBER(SEARCH("Santana",N494))),"SIM","")</f>
        <v/>
      </c>
      <c r="X494" s="92">
        <f>IF(AND(ISNUMBER(SEARCH("Espeto",N494)),ISNUMBER(SEARCH("André",N494))),"SIM","")</f>
        <v/>
      </c>
      <c r="Y494" s="92">
        <f>IF(AND(ISNUMBER(SEARCH("Delivery",N494)),ISNUMBER(SEARCH("Carin",N494))),"SIM","")</f>
        <v/>
      </c>
      <c r="Z494" s="92">
        <f>IF(AND(ISNUMBER(SEARCH("Delivery",N494)),ISNUMBER(SEARCH("Lapa",N494))),"SIM","")</f>
        <v/>
      </c>
      <c r="AA494" s="92">
        <f>IF(AND(ISNUMBER(SEARCH("Delivery",N494)),ISNUMBER(SEARCH("Tatuapé",N494))),"SIM","")</f>
        <v/>
      </c>
      <c r="AB494" s="92">
        <f>IF(AND(ISNUMBER(SEARCH("Delivery",N494)),ISNUMBER(SEARCH("Pavão",N494))),"SIM","")</f>
        <v/>
      </c>
      <c r="AC494" s="92">
        <f>IF(AND(ISNUMBER(SEARCH("Delivery",N494)),ISNUMBER(SEARCH("Chac",N494))),"SIM","")</f>
        <v/>
      </c>
      <c r="AD494" s="92">
        <f>IF(AND(ISNUMBER(SEARCH("Delivery",N494)),ISNUMBER(SEARCH("Madalena",N494))),"SIM","")</f>
        <v/>
      </c>
      <c r="AE494" s="99">
        <f>IF(AND(ISNUMBER(SEARCH("Delivery",N494)),ISNUMBER(SEARCH("Mariana",N494))),"SIM","")</f>
        <v/>
      </c>
      <c r="AF494" s="99">
        <f>IF(AND(ISNUMBER(SEARCH("Delivery",N494)),ISNUMBER(SEARCH("Perdizes",N494))),"SIM","")</f>
        <v/>
      </c>
      <c r="AG494" s="99">
        <f>IF(AND(ISNUMBER(SEARCH("Delivery",N494)),ISNUMBER(SEARCH("Santana",N494))),"SIM","")</f>
        <v/>
      </c>
      <c r="AH494" s="99">
        <f>IF(AND(ISNUMBER(SEARCH("Delivery",N494)),ISNUMBER(SEARCH("André",N494))),"SIM","")</f>
        <v/>
      </c>
      <c r="AI494" s="99">
        <f>IF(ISNUMBER(SEARCH("Interlagos",N494)),"SIM","")</f>
        <v/>
      </c>
      <c r="AJ494" s="99">
        <f>IF(ISNUMBER(SEARCH("Quiosque",N494)),"SIM","")</f>
        <v/>
      </c>
      <c r="AK494" s="101" t="n"/>
    </row>
    <row r="495">
      <c r="A495" s="88" t="inlineStr">
        <is>
          <t>Protheus</t>
        </is>
      </c>
      <c r="B495" s="96" t="inlineStr">
        <is>
          <t>000770</t>
        </is>
      </c>
      <c r="C495" s="97">
        <f>IF(B495="—","—",IFERROR(VLOOKUP(B495,_Protheus_Cadastro!$A:$B,2,FALSE),"—"))</f>
        <v/>
      </c>
      <c r="D495" s="98">
        <f>IF(B495="—",IFERROR(INDEX(_ZIG_Cadastro!$D:$D,MATCH(H495,_ZIG_Cadastro!$A:$A,0)),"Produto"),IFERROR(VLOOKUP(B495,_Protheus_Cadastro!$A:$C,3,FALSE),"—"))</f>
        <v/>
      </c>
      <c r="E495" s="98">
        <f>IF(B495="—","—",IFERROR(VLOOKUP(B495,_Protheus_Cadastro!$A:$D,4,FALSE),"—"))</f>
        <v/>
      </c>
      <c r="F495" s="98">
        <f>IF(ISERROR(VLOOKUP(B495,'Estrutura Protheus'!A:A,1,FALSE)),"Não","Sim")</f>
        <v/>
      </c>
      <c r="G495" s="99">
        <f>IFERROR(INDEX(_Protheus_Cadastro!$H:$H,MATCH(B495,_Protheus_Cadastro!$A:$A,0)),"—")</f>
        <v/>
      </c>
      <c r="H495" s="211">
        <f>IFERROR(INDEX(_ZIG_Precos!$D:$D,MATCH(I495,_ZIG_Precos!$F:$F,0)),"—")</f>
        <v/>
      </c>
      <c r="I495" s="103">
        <f>IFERROR(VLOOKUP(B495,_Protheus_Cadastro!$A:$I,9,FALSE),"—")</f>
        <v/>
      </c>
      <c r="J495" s="101">
        <f>IFERROR(INDEX(_ZIG_Cadastro!$B:$B,MATCH(I495,_ZIG_Cadastro!$A:$A,0)),IFERROR(INDEX(_Entradas_ZIG!$B:$B,MATCH(I495,_Entradas_ZIG!$C:$C,0)),"—"))</f>
        <v/>
      </c>
      <c r="K495" s="101">
        <f>IFERROR(INDEX(_ZIG_Cadastro!$C:$C,MATCH(I495,_ZIG_Cadastro!$A:$A,0)),IFERROR(INDEX(_Entradas_ZIG!$D:$D,MATCH(I495,_Entradas_ZIG!$C:$C,0)),"—"))</f>
        <v/>
      </c>
      <c r="L495" s="99">
        <f>IF(I495="","Sem SKU ZIG",IF(I495="—","Sem SKU ZIG",IF(NOT(ISERROR(MATCH(I495,_ZIG_Cadastro!$A:$A,0))),IF(EXACT(UPPER(TRIM(C495)),UPPER(TRIM(INDEX(_ZIG_Cadastro!$B:$B,MATCH(I495,_ZIG_Cadastro!$A:$A,0))))),"OK","Atencao - Nome diverge"),IF(NOT(ISERROR(MATCH(I495,_Entradas_ZIG!$C:$C,0))),"OK","Erro - SKU nao encontrado"))))</f>
        <v/>
      </c>
      <c r="M495" s="99">
        <f>IFERROR(INDEX(_ZIG_Cadastro!$G:$G,MATCH(I495,_ZIG_Cadastro!$A:$A,0)),IF(NOT(ISERROR(MATCH(I495,_Entradas_ZIG!$C:$C,0))),"Ativo","—"))</f>
        <v/>
      </c>
      <c r="N495" s="102">
        <f>IFERROR(INDEX(_ZIG_Cadastro!$E:$E,MATCH(I495,_ZIG_Cadastro!$A:$A,0)),IFERROR(INDEX(_Entradas_ZIG!$F:$F,MATCH(I495,_Entradas_ZIG!$C:$C,0)),"—"))</f>
        <v/>
      </c>
      <c r="O495" s="99">
        <f>IF(AND(ISNUMBER(SEARCH("Espeto",N495)),ISNUMBER(SEARCH("Carin",N495))),"SIM","")</f>
        <v/>
      </c>
      <c r="P495" s="99">
        <f>IF(AND(ISNUMBER(SEARCH("Espeto",N495)),ISNUMBER(SEARCH("Lapa",N495))),"SIM","")</f>
        <v/>
      </c>
      <c r="Q495" s="99">
        <f>IF(AND(ISNUMBER(SEARCH("Espeto",N495)),ISNUMBER(SEARCH("Tatuapé",N495))),"SIM","")</f>
        <v/>
      </c>
      <c r="R495" s="99">
        <f>IF(AND(ISNUMBER(SEARCH("Espeto",N495)),ISNUMBER(SEARCH("Pavão",N495))),"SIM","")</f>
        <v/>
      </c>
      <c r="S495" s="99">
        <f>IF(AND(ISNUMBER(SEARCH("Espeto",N495)),ISNUMBER(SEARCH("Chac",N495))),"SIM","")</f>
        <v/>
      </c>
      <c r="T495" s="99">
        <f>IF(AND(ISNUMBER(SEARCH("Espeto",N495)),ISNUMBER(SEARCH("Madalena",N495))),"SIM","")</f>
        <v/>
      </c>
      <c r="U495" s="99">
        <f>IF(AND(ISNUMBER(SEARCH("Espeto",N495)),ISNUMBER(SEARCH("Mariana",N495))),"SIM","")</f>
        <v/>
      </c>
      <c r="V495" s="99">
        <f>IF(AND(ISNUMBER(SEARCH("Espeto",N495)),ISNUMBER(SEARCH("Perdizes",N495))),"SIM","")</f>
        <v/>
      </c>
      <c r="W495" s="99">
        <f>IF(AND(ISNUMBER(SEARCH("Espeto",N495)),ISNUMBER(SEARCH("Santana",N495))),"SIM","")</f>
        <v/>
      </c>
      <c r="X495" s="99">
        <f>IF(AND(ISNUMBER(SEARCH("Espeto",N495)),ISNUMBER(SEARCH("André",N495))),"SIM","")</f>
        <v/>
      </c>
      <c r="Y495" s="99">
        <f>IF(AND(ISNUMBER(SEARCH("Delivery",N495)),ISNUMBER(SEARCH("Carin",N495))),"SIM","")</f>
        <v/>
      </c>
      <c r="Z495" s="99">
        <f>IF(AND(ISNUMBER(SEARCH("Delivery",N495)),ISNUMBER(SEARCH("Lapa",N495))),"SIM","")</f>
        <v/>
      </c>
      <c r="AA495" s="99">
        <f>IF(AND(ISNUMBER(SEARCH("Delivery",N495)),ISNUMBER(SEARCH("Tatuapé",N495))),"SIM","")</f>
        <v/>
      </c>
      <c r="AB495" s="99">
        <f>IF(AND(ISNUMBER(SEARCH("Delivery",N495)),ISNUMBER(SEARCH("Pavão",N495))),"SIM","")</f>
        <v/>
      </c>
      <c r="AC495" s="99">
        <f>IF(AND(ISNUMBER(SEARCH("Delivery",N495)),ISNUMBER(SEARCH("Chac",N495))),"SIM","")</f>
        <v/>
      </c>
      <c r="AD495" s="99">
        <f>IF(AND(ISNUMBER(SEARCH("Delivery",N495)),ISNUMBER(SEARCH("Madalena",N495))),"SIM","")</f>
        <v/>
      </c>
      <c r="AE495" s="92">
        <f>IF(AND(ISNUMBER(SEARCH("Delivery",N495)),ISNUMBER(SEARCH("Mariana",N495))),"SIM","")</f>
        <v/>
      </c>
      <c r="AF495" s="92">
        <f>IF(AND(ISNUMBER(SEARCH("Delivery",N495)),ISNUMBER(SEARCH("Perdizes",N495))),"SIM","")</f>
        <v/>
      </c>
      <c r="AG495" s="92">
        <f>IF(AND(ISNUMBER(SEARCH("Delivery",N495)),ISNUMBER(SEARCH("Santana",N495))),"SIM","")</f>
        <v/>
      </c>
      <c r="AH495" s="92">
        <f>IF(AND(ISNUMBER(SEARCH("Delivery",N495)),ISNUMBER(SEARCH("André",N495))),"SIM","")</f>
        <v/>
      </c>
      <c r="AI495" s="92">
        <f>IF(ISNUMBER(SEARCH("Interlagos",N495)),"SIM","")</f>
        <v/>
      </c>
      <c r="AJ495" s="92">
        <f>IF(ISNUMBER(SEARCH("Quiosque",N495)),"SIM","")</f>
        <v/>
      </c>
      <c r="AK495" s="93" t="n"/>
    </row>
    <row r="496">
      <c r="A496" s="88" t="inlineStr">
        <is>
          <t>Protheus</t>
        </is>
      </c>
      <c r="B496" s="89" t="inlineStr">
        <is>
          <t>000011</t>
        </is>
      </c>
      <c r="C496" s="90">
        <f>IF(B496="—","—",IFERROR(VLOOKUP(B496,_Protheus_Cadastro!$A:$B,2,FALSE),"—"))</f>
        <v/>
      </c>
      <c r="D496" s="91">
        <f>IF(B496="—",IFERROR(INDEX(_ZIG_Cadastro!$D:$D,MATCH(H496,_ZIG_Cadastro!$A:$A,0)),"Produto"),IFERROR(VLOOKUP(B496,_Protheus_Cadastro!$A:$C,3,FALSE),"—"))</f>
        <v/>
      </c>
      <c r="E496" s="91">
        <f>IF(B496="—","—",IFERROR(VLOOKUP(B496,_Protheus_Cadastro!$A:$D,4,FALSE),"—"))</f>
        <v/>
      </c>
      <c r="F496" s="91">
        <f>IF(ISERROR(VLOOKUP(B496,'Estrutura Protheus'!A:A,1,FALSE)),"Não","Sim")</f>
        <v/>
      </c>
      <c r="G496" s="92">
        <f>IFERROR(INDEX(_Protheus_Cadastro!$H:$H,MATCH(B496,_Protheus_Cadastro!$A:$A,0)),"—")</f>
        <v/>
      </c>
      <c r="H496" s="210">
        <f>IFERROR(INDEX(_ZIG_Precos!$D:$D,MATCH(I496,_ZIG_Precos!$F:$F,0)),"—")</f>
        <v/>
      </c>
      <c r="I496" s="95">
        <f>IFERROR(VLOOKUP(B496,_Protheus_Cadastro!$A:$I,9,FALSE),"—")</f>
        <v/>
      </c>
      <c r="J496" s="93">
        <f>IFERROR(INDEX(_ZIG_Cadastro!$B:$B,MATCH(I496,_ZIG_Cadastro!$A:$A,0)),IFERROR(INDEX(_Entradas_ZIG!$B:$B,MATCH(I496,_Entradas_ZIG!$C:$C,0)),"—"))</f>
        <v/>
      </c>
      <c r="K496" s="93">
        <f>IFERROR(INDEX(_ZIG_Cadastro!$C:$C,MATCH(I496,_ZIG_Cadastro!$A:$A,0)),IFERROR(INDEX(_Entradas_ZIG!$D:$D,MATCH(I496,_Entradas_ZIG!$C:$C,0)),"—"))</f>
        <v/>
      </c>
      <c r="L496" s="92">
        <f>IF(I496="","Sem SKU ZIG",IF(I496="—","Sem SKU ZIG",IF(NOT(ISERROR(MATCH(I496,_ZIG_Cadastro!$A:$A,0))),IF(EXACT(UPPER(TRIM(C496)),UPPER(TRIM(INDEX(_ZIG_Cadastro!$B:$B,MATCH(I496,_ZIG_Cadastro!$A:$A,0))))),"OK","Atencao - Nome diverge"),IF(NOT(ISERROR(MATCH(I496,_Entradas_ZIG!$C:$C,0))),"OK","Erro - SKU nao encontrado"))))</f>
        <v/>
      </c>
      <c r="M496" s="92">
        <f>IFERROR(INDEX(_ZIG_Cadastro!$G:$G,MATCH(I496,_ZIG_Cadastro!$A:$A,0)),IF(NOT(ISERROR(MATCH(I496,_Entradas_ZIG!$C:$C,0))),"Ativo","—"))</f>
        <v/>
      </c>
      <c r="N496" s="94">
        <f>IFERROR(INDEX(_ZIG_Cadastro!$E:$E,MATCH(I496,_ZIG_Cadastro!$A:$A,0)),IFERROR(INDEX(_Entradas_ZIG!$F:$F,MATCH(I496,_Entradas_ZIG!$C:$C,0)),"—"))</f>
        <v/>
      </c>
      <c r="O496" s="92">
        <f>IF(AND(ISNUMBER(SEARCH("Espeto",N496)),ISNUMBER(SEARCH("Carin",N496))),"SIM","")</f>
        <v/>
      </c>
      <c r="P496" s="92">
        <f>IF(AND(ISNUMBER(SEARCH("Espeto",N496)),ISNUMBER(SEARCH("Lapa",N496))),"SIM","")</f>
        <v/>
      </c>
      <c r="Q496" s="92">
        <f>IF(AND(ISNUMBER(SEARCH("Espeto",N496)),ISNUMBER(SEARCH("Tatuapé",N496))),"SIM","")</f>
        <v/>
      </c>
      <c r="R496" s="92">
        <f>IF(AND(ISNUMBER(SEARCH("Espeto",N496)),ISNUMBER(SEARCH("Pavão",N496))),"SIM","")</f>
        <v/>
      </c>
      <c r="S496" s="92">
        <f>IF(AND(ISNUMBER(SEARCH("Espeto",N496)),ISNUMBER(SEARCH("Chac",N496))),"SIM","")</f>
        <v/>
      </c>
      <c r="T496" s="92">
        <f>IF(AND(ISNUMBER(SEARCH("Espeto",N496)),ISNUMBER(SEARCH("Madalena",N496))),"SIM","")</f>
        <v/>
      </c>
      <c r="U496" s="92">
        <f>IF(AND(ISNUMBER(SEARCH("Espeto",N496)),ISNUMBER(SEARCH("Mariana",N496))),"SIM","")</f>
        <v/>
      </c>
      <c r="V496" s="92">
        <f>IF(AND(ISNUMBER(SEARCH("Espeto",N496)),ISNUMBER(SEARCH("Perdizes",N496))),"SIM","")</f>
        <v/>
      </c>
      <c r="W496" s="92">
        <f>IF(AND(ISNUMBER(SEARCH("Espeto",N496)),ISNUMBER(SEARCH("Santana",N496))),"SIM","")</f>
        <v/>
      </c>
      <c r="X496" s="92">
        <f>IF(AND(ISNUMBER(SEARCH("Espeto",N496)),ISNUMBER(SEARCH("André",N496))),"SIM","")</f>
        <v/>
      </c>
      <c r="Y496" s="92">
        <f>IF(AND(ISNUMBER(SEARCH("Delivery",N496)),ISNUMBER(SEARCH("Carin",N496))),"SIM","")</f>
        <v/>
      </c>
      <c r="Z496" s="92">
        <f>IF(AND(ISNUMBER(SEARCH("Delivery",N496)),ISNUMBER(SEARCH("Lapa",N496))),"SIM","")</f>
        <v/>
      </c>
      <c r="AA496" s="92">
        <f>IF(AND(ISNUMBER(SEARCH("Delivery",N496)),ISNUMBER(SEARCH("Tatuapé",N496))),"SIM","")</f>
        <v/>
      </c>
      <c r="AB496" s="92">
        <f>IF(AND(ISNUMBER(SEARCH("Delivery",N496)),ISNUMBER(SEARCH("Pavão",N496))),"SIM","")</f>
        <v/>
      </c>
      <c r="AC496" s="92">
        <f>IF(AND(ISNUMBER(SEARCH("Delivery",N496)),ISNUMBER(SEARCH("Chac",N496))),"SIM","")</f>
        <v/>
      </c>
      <c r="AD496" s="92">
        <f>IF(AND(ISNUMBER(SEARCH("Delivery",N496)),ISNUMBER(SEARCH("Madalena",N496))),"SIM","")</f>
        <v/>
      </c>
      <c r="AE496" s="99">
        <f>IF(AND(ISNUMBER(SEARCH("Delivery",N496)),ISNUMBER(SEARCH("Mariana",N496))),"SIM","")</f>
        <v/>
      </c>
      <c r="AF496" s="99">
        <f>IF(AND(ISNUMBER(SEARCH("Delivery",N496)),ISNUMBER(SEARCH("Perdizes",N496))),"SIM","")</f>
        <v/>
      </c>
      <c r="AG496" s="99">
        <f>IF(AND(ISNUMBER(SEARCH("Delivery",N496)),ISNUMBER(SEARCH("Santana",N496))),"SIM","")</f>
        <v/>
      </c>
      <c r="AH496" s="99">
        <f>IF(AND(ISNUMBER(SEARCH("Delivery",N496)),ISNUMBER(SEARCH("André",N496))),"SIM","")</f>
        <v/>
      </c>
      <c r="AI496" s="99">
        <f>IF(ISNUMBER(SEARCH("Interlagos",N496)),"SIM","")</f>
        <v/>
      </c>
      <c r="AJ496" s="99">
        <f>IF(ISNUMBER(SEARCH("Quiosque",N496)),"SIM","")</f>
        <v/>
      </c>
      <c r="AK496" s="101" t="n"/>
    </row>
    <row r="497">
      <c r="A497" s="88" t="inlineStr">
        <is>
          <t>Protheus</t>
        </is>
      </c>
      <c r="B497" s="96" t="inlineStr">
        <is>
          <t>000059</t>
        </is>
      </c>
      <c r="C497" s="97">
        <f>IF(B497="—","—",IFERROR(VLOOKUP(B497,_Protheus_Cadastro!$A:$B,2,FALSE),"—"))</f>
        <v/>
      </c>
      <c r="D497" s="98">
        <f>IF(B497="—",IFERROR(INDEX(_ZIG_Cadastro!$D:$D,MATCH(H497,_ZIG_Cadastro!$A:$A,0)),"Produto"),IFERROR(VLOOKUP(B497,_Protheus_Cadastro!$A:$C,3,FALSE),"—"))</f>
        <v/>
      </c>
      <c r="E497" s="98">
        <f>IF(B497="—","—",IFERROR(VLOOKUP(B497,_Protheus_Cadastro!$A:$D,4,FALSE),"—"))</f>
        <v/>
      </c>
      <c r="F497" s="98">
        <f>IF(ISERROR(VLOOKUP(B497,'Estrutura Protheus'!A:A,1,FALSE)),"Não","Sim")</f>
        <v/>
      </c>
      <c r="G497" s="99">
        <f>IFERROR(INDEX(_Protheus_Cadastro!$H:$H,MATCH(B497,_Protheus_Cadastro!$A:$A,0)),"—")</f>
        <v/>
      </c>
      <c r="H497" s="211">
        <f>IFERROR(INDEX(_ZIG_Precos!$D:$D,MATCH(I497,_ZIG_Precos!$F:$F,0)),"—")</f>
        <v/>
      </c>
      <c r="I497" s="103">
        <f>IFERROR(VLOOKUP(B497,_Protheus_Cadastro!$A:$I,9,FALSE),"—")</f>
        <v/>
      </c>
      <c r="J497" s="101">
        <f>IFERROR(INDEX(_ZIG_Cadastro!$B:$B,MATCH(I497,_ZIG_Cadastro!$A:$A,0)),IFERROR(INDEX(_Entradas_ZIG!$B:$B,MATCH(I497,_Entradas_ZIG!$C:$C,0)),"—"))</f>
        <v/>
      </c>
      <c r="K497" s="101">
        <f>IFERROR(INDEX(_ZIG_Cadastro!$C:$C,MATCH(I497,_ZIG_Cadastro!$A:$A,0)),IFERROR(INDEX(_Entradas_ZIG!$D:$D,MATCH(I497,_Entradas_ZIG!$C:$C,0)),"—"))</f>
        <v/>
      </c>
      <c r="L497" s="99">
        <f>IF(I497="","Sem SKU ZIG",IF(I497="—","Sem SKU ZIG",IF(NOT(ISERROR(MATCH(I497,_ZIG_Cadastro!$A:$A,0))),IF(EXACT(UPPER(TRIM(C497)),UPPER(TRIM(INDEX(_ZIG_Cadastro!$B:$B,MATCH(I497,_ZIG_Cadastro!$A:$A,0))))),"OK","Atencao - Nome diverge"),IF(NOT(ISERROR(MATCH(I497,_Entradas_ZIG!$C:$C,0))),"OK","Erro - SKU nao encontrado"))))</f>
        <v/>
      </c>
      <c r="M497" s="99">
        <f>IFERROR(INDEX(_ZIG_Cadastro!$G:$G,MATCH(I497,_ZIG_Cadastro!$A:$A,0)),IF(NOT(ISERROR(MATCH(I497,_Entradas_ZIG!$C:$C,0))),"Ativo","—"))</f>
        <v/>
      </c>
      <c r="N497" s="102">
        <f>IFERROR(INDEX(_ZIG_Cadastro!$E:$E,MATCH(I497,_ZIG_Cadastro!$A:$A,0)),IFERROR(INDEX(_Entradas_ZIG!$F:$F,MATCH(I497,_Entradas_ZIG!$C:$C,0)),"—"))</f>
        <v/>
      </c>
      <c r="O497" s="99">
        <f>IF(AND(ISNUMBER(SEARCH("Espeto",N497)),ISNUMBER(SEARCH("Carin",N497))),"SIM","")</f>
        <v/>
      </c>
      <c r="P497" s="99">
        <f>IF(AND(ISNUMBER(SEARCH("Espeto",N497)),ISNUMBER(SEARCH("Lapa",N497))),"SIM","")</f>
        <v/>
      </c>
      <c r="Q497" s="99">
        <f>IF(AND(ISNUMBER(SEARCH("Espeto",N497)),ISNUMBER(SEARCH("Tatuapé",N497))),"SIM","")</f>
        <v/>
      </c>
      <c r="R497" s="99">
        <f>IF(AND(ISNUMBER(SEARCH("Espeto",N497)),ISNUMBER(SEARCH("Pavão",N497))),"SIM","")</f>
        <v/>
      </c>
      <c r="S497" s="99">
        <f>IF(AND(ISNUMBER(SEARCH("Espeto",N497)),ISNUMBER(SEARCH("Chac",N497))),"SIM","")</f>
        <v/>
      </c>
      <c r="T497" s="99">
        <f>IF(AND(ISNUMBER(SEARCH("Espeto",N497)),ISNUMBER(SEARCH("Madalena",N497))),"SIM","")</f>
        <v/>
      </c>
      <c r="U497" s="99">
        <f>IF(AND(ISNUMBER(SEARCH("Espeto",N497)),ISNUMBER(SEARCH("Mariana",N497))),"SIM","")</f>
        <v/>
      </c>
      <c r="V497" s="99">
        <f>IF(AND(ISNUMBER(SEARCH("Espeto",N497)),ISNUMBER(SEARCH("Perdizes",N497))),"SIM","")</f>
        <v/>
      </c>
      <c r="W497" s="99">
        <f>IF(AND(ISNUMBER(SEARCH("Espeto",N497)),ISNUMBER(SEARCH("Santana",N497))),"SIM","")</f>
        <v/>
      </c>
      <c r="X497" s="99">
        <f>IF(AND(ISNUMBER(SEARCH("Espeto",N497)),ISNUMBER(SEARCH("André",N497))),"SIM","")</f>
        <v/>
      </c>
      <c r="Y497" s="99">
        <f>IF(AND(ISNUMBER(SEARCH("Delivery",N497)),ISNUMBER(SEARCH("Carin",N497))),"SIM","")</f>
        <v/>
      </c>
      <c r="Z497" s="99">
        <f>IF(AND(ISNUMBER(SEARCH("Delivery",N497)),ISNUMBER(SEARCH("Lapa",N497))),"SIM","")</f>
        <v/>
      </c>
      <c r="AA497" s="99">
        <f>IF(AND(ISNUMBER(SEARCH("Delivery",N497)),ISNUMBER(SEARCH("Tatuapé",N497))),"SIM","")</f>
        <v/>
      </c>
      <c r="AB497" s="99">
        <f>IF(AND(ISNUMBER(SEARCH("Delivery",N497)),ISNUMBER(SEARCH("Pavão",N497))),"SIM","")</f>
        <v/>
      </c>
      <c r="AC497" s="99">
        <f>IF(AND(ISNUMBER(SEARCH("Delivery",N497)),ISNUMBER(SEARCH("Chac",N497))),"SIM","")</f>
        <v/>
      </c>
      <c r="AD497" s="99">
        <f>IF(AND(ISNUMBER(SEARCH("Delivery",N497)),ISNUMBER(SEARCH("Madalena",N497))),"SIM","")</f>
        <v/>
      </c>
      <c r="AE497" s="92">
        <f>IF(AND(ISNUMBER(SEARCH("Delivery",N497)),ISNUMBER(SEARCH("Mariana",N497))),"SIM","")</f>
        <v/>
      </c>
      <c r="AF497" s="92">
        <f>IF(AND(ISNUMBER(SEARCH("Delivery",N497)),ISNUMBER(SEARCH("Perdizes",N497))),"SIM","")</f>
        <v/>
      </c>
      <c r="AG497" s="92">
        <f>IF(AND(ISNUMBER(SEARCH("Delivery",N497)),ISNUMBER(SEARCH("Santana",N497))),"SIM","")</f>
        <v/>
      </c>
      <c r="AH497" s="92">
        <f>IF(AND(ISNUMBER(SEARCH("Delivery",N497)),ISNUMBER(SEARCH("André",N497))),"SIM","")</f>
        <v/>
      </c>
      <c r="AI497" s="92">
        <f>IF(ISNUMBER(SEARCH("Interlagos",N497)),"SIM","")</f>
        <v/>
      </c>
      <c r="AJ497" s="92">
        <f>IF(ISNUMBER(SEARCH("Quiosque",N497)),"SIM","")</f>
        <v/>
      </c>
      <c r="AK497" s="93" t="n"/>
    </row>
    <row r="498">
      <c r="A498" s="88" t="inlineStr">
        <is>
          <t>Protheus</t>
        </is>
      </c>
      <c r="B498" s="89" t="inlineStr">
        <is>
          <t>001946</t>
        </is>
      </c>
      <c r="C498" s="90">
        <f>IF(B498="—","—",IFERROR(VLOOKUP(B498,_Protheus_Cadastro!$A:$B,2,FALSE),"—"))</f>
        <v/>
      </c>
      <c r="D498" s="91">
        <f>IF(B498="—",IFERROR(INDEX(_ZIG_Cadastro!$D:$D,MATCH(H498,_ZIG_Cadastro!$A:$A,0)),"Produto"),IFERROR(VLOOKUP(B498,_Protheus_Cadastro!$A:$C,3,FALSE),"—"))</f>
        <v/>
      </c>
      <c r="E498" s="91">
        <f>IF(B498="—","—",IFERROR(VLOOKUP(B498,_Protheus_Cadastro!$A:$D,4,FALSE),"—"))</f>
        <v/>
      </c>
      <c r="F498" s="91">
        <f>IF(ISERROR(VLOOKUP(B498,'Estrutura Protheus'!A:A,1,FALSE)),"Não","Sim")</f>
        <v/>
      </c>
      <c r="G498" s="92">
        <f>IFERROR(INDEX(_Protheus_Cadastro!$H:$H,MATCH(B498,_Protheus_Cadastro!$A:$A,0)),"—")</f>
        <v/>
      </c>
      <c r="H498" s="210">
        <f>IFERROR(INDEX(_ZIG_Precos!$D:$D,MATCH(I498,_ZIG_Precos!$F:$F,0)),"—")</f>
        <v/>
      </c>
      <c r="I498" s="95">
        <f>IFERROR(VLOOKUP(B498,_Protheus_Cadastro!$A:$I,9,FALSE),"—")</f>
        <v/>
      </c>
      <c r="J498" s="93">
        <f>IFERROR(INDEX(_ZIG_Cadastro!$B:$B,MATCH(I498,_ZIG_Cadastro!$A:$A,0)),IFERROR(INDEX(_Entradas_ZIG!$B:$B,MATCH(I498,_Entradas_ZIG!$C:$C,0)),"—"))</f>
        <v/>
      </c>
      <c r="K498" s="93">
        <f>IFERROR(INDEX(_ZIG_Cadastro!$C:$C,MATCH(I498,_ZIG_Cadastro!$A:$A,0)),IFERROR(INDEX(_Entradas_ZIG!$D:$D,MATCH(I498,_Entradas_ZIG!$C:$C,0)),"—"))</f>
        <v/>
      </c>
      <c r="L498" s="92">
        <f>IF(I498="","Sem SKU ZIG",IF(I498="—","Sem SKU ZIG",IF(NOT(ISERROR(MATCH(I498,_ZIG_Cadastro!$A:$A,0))),IF(EXACT(UPPER(TRIM(C498)),UPPER(TRIM(INDEX(_ZIG_Cadastro!$B:$B,MATCH(I498,_ZIG_Cadastro!$A:$A,0))))),"OK","Atencao - Nome diverge"),IF(NOT(ISERROR(MATCH(I498,_Entradas_ZIG!$C:$C,0))),"OK","Erro - SKU nao encontrado"))))</f>
        <v/>
      </c>
      <c r="M498" s="92">
        <f>IFERROR(INDEX(_ZIG_Cadastro!$G:$G,MATCH(I498,_ZIG_Cadastro!$A:$A,0)),IF(NOT(ISERROR(MATCH(I498,_Entradas_ZIG!$C:$C,0))),"Ativo","—"))</f>
        <v/>
      </c>
      <c r="N498" s="94">
        <f>IFERROR(INDEX(_ZIG_Cadastro!$E:$E,MATCH(I498,_ZIG_Cadastro!$A:$A,0)),IFERROR(INDEX(_Entradas_ZIG!$F:$F,MATCH(I498,_Entradas_ZIG!$C:$C,0)),"—"))</f>
        <v/>
      </c>
      <c r="O498" s="92">
        <f>IF(AND(ISNUMBER(SEARCH("Espeto",N498)),ISNUMBER(SEARCH("Carin",N498))),"SIM","")</f>
        <v/>
      </c>
      <c r="P498" s="92">
        <f>IF(AND(ISNUMBER(SEARCH("Espeto",N498)),ISNUMBER(SEARCH("Lapa",N498))),"SIM","")</f>
        <v/>
      </c>
      <c r="Q498" s="92">
        <f>IF(AND(ISNUMBER(SEARCH("Espeto",N498)),ISNUMBER(SEARCH("Tatuapé",N498))),"SIM","")</f>
        <v/>
      </c>
      <c r="R498" s="92">
        <f>IF(AND(ISNUMBER(SEARCH("Espeto",N498)),ISNUMBER(SEARCH("Pavão",N498))),"SIM","")</f>
        <v/>
      </c>
      <c r="S498" s="92">
        <f>IF(AND(ISNUMBER(SEARCH("Espeto",N498)),ISNUMBER(SEARCH("Chac",N498))),"SIM","")</f>
        <v/>
      </c>
      <c r="T498" s="92">
        <f>IF(AND(ISNUMBER(SEARCH("Espeto",N498)),ISNUMBER(SEARCH("Madalena",N498))),"SIM","")</f>
        <v/>
      </c>
      <c r="U498" s="92">
        <f>IF(AND(ISNUMBER(SEARCH("Espeto",N498)),ISNUMBER(SEARCH("Mariana",N498))),"SIM","")</f>
        <v/>
      </c>
      <c r="V498" s="92">
        <f>IF(AND(ISNUMBER(SEARCH("Espeto",N498)),ISNUMBER(SEARCH("Perdizes",N498))),"SIM","")</f>
        <v/>
      </c>
      <c r="W498" s="92">
        <f>IF(AND(ISNUMBER(SEARCH("Espeto",N498)),ISNUMBER(SEARCH("Santana",N498))),"SIM","")</f>
        <v/>
      </c>
      <c r="X498" s="92">
        <f>IF(AND(ISNUMBER(SEARCH("Espeto",N498)),ISNUMBER(SEARCH("André",N498))),"SIM","")</f>
        <v/>
      </c>
      <c r="Y498" s="92">
        <f>IF(AND(ISNUMBER(SEARCH("Delivery",N498)),ISNUMBER(SEARCH("Carin",N498))),"SIM","")</f>
        <v/>
      </c>
      <c r="Z498" s="92">
        <f>IF(AND(ISNUMBER(SEARCH("Delivery",N498)),ISNUMBER(SEARCH("Lapa",N498))),"SIM","")</f>
        <v/>
      </c>
      <c r="AA498" s="92">
        <f>IF(AND(ISNUMBER(SEARCH("Delivery",N498)),ISNUMBER(SEARCH("Tatuapé",N498))),"SIM","")</f>
        <v/>
      </c>
      <c r="AB498" s="92">
        <f>IF(AND(ISNUMBER(SEARCH("Delivery",N498)),ISNUMBER(SEARCH("Pavão",N498))),"SIM","")</f>
        <v/>
      </c>
      <c r="AC498" s="92">
        <f>IF(AND(ISNUMBER(SEARCH("Delivery",N498)),ISNUMBER(SEARCH("Chac",N498))),"SIM","")</f>
        <v/>
      </c>
      <c r="AD498" s="92">
        <f>IF(AND(ISNUMBER(SEARCH("Delivery",N498)),ISNUMBER(SEARCH("Madalena",N498))),"SIM","")</f>
        <v/>
      </c>
      <c r="AE498" s="99">
        <f>IF(AND(ISNUMBER(SEARCH("Delivery",N498)),ISNUMBER(SEARCH("Mariana",N498))),"SIM","")</f>
        <v/>
      </c>
      <c r="AF498" s="99">
        <f>IF(AND(ISNUMBER(SEARCH("Delivery",N498)),ISNUMBER(SEARCH("Perdizes",N498))),"SIM","")</f>
        <v/>
      </c>
      <c r="AG498" s="99">
        <f>IF(AND(ISNUMBER(SEARCH("Delivery",N498)),ISNUMBER(SEARCH("Santana",N498))),"SIM","")</f>
        <v/>
      </c>
      <c r="AH498" s="99">
        <f>IF(AND(ISNUMBER(SEARCH("Delivery",N498)),ISNUMBER(SEARCH("André",N498))),"SIM","")</f>
        <v/>
      </c>
      <c r="AI498" s="99">
        <f>IF(ISNUMBER(SEARCH("Interlagos",N498)),"SIM","")</f>
        <v/>
      </c>
      <c r="AJ498" s="99">
        <f>IF(ISNUMBER(SEARCH("Quiosque",N498)),"SIM","")</f>
        <v/>
      </c>
      <c r="AK498" s="101" t="n"/>
    </row>
    <row r="499">
      <c r="A499" s="88" t="inlineStr">
        <is>
          <t>Protheus</t>
        </is>
      </c>
      <c r="B499" s="96" t="inlineStr">
        <is>
          <t>001932</t>
        </is>
      </c>
      <c r="C499" s="97">
        <f>IF(B499="—","—",IFERROR(VLOOKUP(B499,_Protheus_Cadastro!$A:$B,2,FALSE),"—"))</f>
        <v/>
      </c>
      <c r="D499" s="98">
        <f>IF(B499="—",IFERROR(INDEX(_ZIG_Cadastro!$D:$D,MATCH(H499,_ZIG_Cadastro!$A:$A,0)),"Produto"),IFERROR(VLOOKUP(B499,_Protheus_Cadastro!$A:$C,3,FALSE),"—"))</f>
        <v/>
      </c>
      <c r="E499" s="98">
        <f>IF(B499="—","—",IFERROR(VLOOKUP(B499,_Protheus_Cadastro!$A:$D,4,FALSE),"—"))</f>
        <v/>
      </c>
      <c r="F499" s="98">
        <f>IF(ISERROR(VLOOKUP(B499,'Estrutura Protheus'!A:A,1,FALSE)),"Não","Sim")</f>
        <v/>
      </c>
      <c r="G499" s="99">
        <f>IFERROR(INDEX(_Protheus_Cadastro!$H:$H,MATCH(B499,_Protheus_Cadastro!$A:$A,0)),"—")</f>
        <v/>
      </c>
      <c r="H499" s="211">
        <f>IFERROR(INDEX(_ZIG_Precos!$D:$D,MATCH(I499,_ZIG_Precos!$F:$F,0)),"—")</f>
        <v/>
      </c>
      <c r="I499" s="103">
        <f>IFERROR(VLOOKUP(B499,_Protheus_Cadastro!$A:$I,9,FALSE),"—")</f>
        <v/>
      </c>
      <c r="J499" s="101">
        <f>IFERROR(INDEX(_ZIG_Cadastro!$B:$B,MATCH(I499,_ZIG_Cadastro!$A:$A,0)),IFERROR(INDEX(_Entradas_ZIG!$B:$B,MATCH(I499,_Entradas_ZIG!$C:$C,0)),"—"))</f>
        <v/>
      </c>
      <c r="K499" s="101">
        <f>IFERROR(INDEX(_ZIG_Cadastro!$C:$C,MATCH(I499,_ZIG_Cadastro!$A:$A,0)),IFERROR(INDEX(_Entradas_ZIG!$D:$D,MATCH(I499,_Entradas_ZIG!$C:$C,0)),"—"))</f>
        <v/>
      </c>
      <c r="L499" s="99">
        <f>IF(I499="","Sem SKU ZIG",IF(I499="—","Sem SKU ZIG",IF(NOT(ISERROR(MATCH(I499,_ZIG_Cadastro!$A:$A,0))),IF(EXACT(UPPER(TRIM(C499)),UPPER(TRIM(INDEX(_ZIG_Cadastro!$B:$B,MATCH(I499,_ZIG_Cadastro!$A:$A,0))))),"OK","Atencao - Nome diverge"),IF(NOT(ISERROR(MATCH(I499,_Entradas_ZIG!$C:$C,0))),"OK","Erro - SKU nao encontrado"))))</f>
        <v/>
      </c>
      <c r="M499" s="99">
        <f>IFERROR(INDEX(_ZIG_Cadastro!$G:$G,MATCH(I499,_ZIG_Cadastro!$A:$A,0)),IF(NOT(ISERROR(MATCH(I499,_Entradas_ZIG!$C:$C,0))),"Ativo","—"))</f>
        <v/>
      </c>
      <c r="N499" s="102">
        <f>IFERROR(INDEX(_ZIG_Cadastro!$E:$E,MATCH(I499,_ZIG_Cadastro!$A:$A,0)),IFERROR(INDEX(_Entradas_ZIG!$F:$F,MATCH(I499,_Entradas_ZIG!$C:$C,0)),"—"))</f>
        <v/>
      </c>
      <c r="O499" s="99">
        <f>IF(AND(ISNUMBER(SEARCH("Espeto",N499)),ISNUMBER(SEARCH("Carin",N499))),"SIM","")</f>
        <v/>
      </c>
      <c r="P499" s="99">
        <f>IF(AND(ISNUMBER(SEARCH("Espeto",N499)),ISNUMBER(SEARCH("Lapa",N499))),"SIM","")</f>
        <v/>
      </c>
      <c r="Q499" s="99">
        <f>IF(AND(ISNUMBER(SEARCH("Espeto",N499)),ISNUMBER(SEARCH("Tatuapé",N499))),"SIM","")</f>
        <v/>
      </c>
      <c r="R499" s="99">
        <f>IF(AND(ISNUMBER(SEARCH("Espeto",N499)),ISNUMBER(SEARCH("Pavão",N499))),"SIM","")</f>
        <v/>
      </c>
      <c r="S499" s="99">
        <f>IF(AND(ISNUMBER(SEARCH("Espeto",N499)),ISNUMBER(SEARCH("Chac",N499))),"SIM","")</f>
        <v/>
      </c>
      <c r="T499" s="99">
        <f>IF(AND(ISNUMBER(SEARCH("Espeto",N499)),ISNUMBER(SEARCH("Madalena",N499))),"SIM","")</f>
        <v/>
      </c>
      <c r="U499" s="99">
        <f>IF(AND(ISNUMBER(SEARCH("Espeto",N499)),ISNUMBER(SEARCH("Mariana",N499))),"SIM","")</f>
        <v/>
      </c>
      <c r="V499" s="99">
        <f>IF(AND(ISNUMBER(SEARCH("Espeto",N499)),ISNUMBER(SEARCH("Perdizes",N499))),"SIM","")</f>
        <v/>
      </c>
      <c r="W499" s="99">
        <f>IF(AND(ISNUMBER(SEARCH("Espeto",N499)),ISNUMBER(SEARCH("Santana",N499))),"SIM","")</f>
        <v/>
      </c>
      <c r="X499" s="99">
        <f>IF(AND(ISNUMBER(SEARCH("Espeto",N499)),ISNUMBER(SEARCH("André",N499))),"SIM","")</f>
        <v/>
      </c>
      <c r="Y499" s="99">
        <f>IF(AND(ISNUMBER(SEARCH("Delivery",N499)),ISNUMBER(SEARCH("Carin",N499))),"SIM","")</f>
        <v/>
      </c>
      <c r="Z499" s="99">
        <f>IF(AND(ISNUMBER(SEARCH("Delivery",N499)),ISNUMBER(SEARCH("Lapa",N499))),"SIM","")</f>
        <v/>
      </c>
      <c r="AA499" s="99">
        <f>IF(AND(ISNUMBER(SEARCH("Delivery",N499)),ISNUMBER(SEARCH("Tatuapé",N499))),"SIM","")</f>
        <v/>
      </c>
      <c r="AB499" s="99">
        <f>IF(AND(ISNUMBER(SEARCH("Delivery",N499)),ISNUMBER(SEARCH("Pavão",N499))),"SIM","")</f>
        <v/>
      </c>
      <c r="AC499" s="99">
        <f>IF(AND(ISNUMBER(SEARCH("Delivery",N499)),ISNUMBER(SEARCH("Chac",N499))),"SIM","")</f>
        <v/>
      </c>
      <c r="AD499" s="99">
        <f>IF(AND(ISNUMBER(SEARCH("Delivery",N499)),ISNUMBER(SEARCH("Madalena",N499))),"SIM","")</f>
        <v/>
      </c>
      <c r="AE499" s="92">
        <f>IF(AND(ISNUMBER(SEARCH("Delivery",N499)),ISNUMBER(SEARCH("Mariana",N499))),"SIM","")</f>
        <v/>
      </c>
      <c r="AF499" s="92">
        <f>IF(AND(ISNUMBER(SEARCH("Delivery",N499)),ISNUMBER(SEARCH("Perdizes",N499))),"SIM","")</f>
        <v/>
      </c>
      <c r="AG499" s="92">
        <f>IF(AND(ISNUMBER(SEARCH("Delivery",N499)),ISNUMBER(SEARCH("Santana",N499))),"SIM","")</f>
        <v/>
      </c>
      <c r="AH499" s="92">
        <f>IF(AND(ISNUMBER(SEARCH("Delivery",N499)),ISNUMBER(SEARCH("André",N499))),"SIM","")</f>
        <v/>
      </c>
      <c r="AI499" s="92">
        <f>IF(ISNUMBER(SEARCH("Interlagos",N499)),"SIM","")</f>
        <v/>
      </c>
      <c r="AJ499" s="92">
        <f>IF(ISNUMBER(SEARCH("Quiosque",N499)),"SIM","")</f>
        <v/>
      </c>
      <c r="AK499" s="93" t="n"/>
    </row>
    <row r="500">
      <c r="A500" s="88" t="inlineStr">
        <is>
          <t>Protheus</t>
        </is>
      </c>
      <c r="B500" s="89" t="inlineStr">
        <is>
          <t>009633</t>
        </is>
      </c>
      <c r="C500" s="90">
        <f>IF(B500="—","—",IFERROR(VLOOKUP(B500,_Protheus_Cadastro!$A:$B,2,FALSE),"—"))</f>
        <v/>
      </c>
      <c r="D500" s="91">
        <f>IF(B500="—",IFERROR(INDEX(_ZIG_Cadastro!$D:$D,MATCH(H500,_ZIG_Cadastro!$A:$A,0)),"Produto"),IFERROR(VLOOKUP(B500,_Protheus_Cadastro!$A:$C,3,FALSE),"—"))</f>
        <v/>
      </c>
      <c r="E500" s="91">
        <f>IF(B500="—","—",IFERROR(VLOOKUP(B500,_Protheus_Cadastro!$A:$D,4,FALSE),"—"))</f>
        <v/>
      </c>
      <c r="F500" s="91">
        <f>IF(ISERROR(VLOOKUP(B500,'Estrutura Protheus'!A:A,1,FALSE)),"Não","Sim")</f>
        <v/>
      </c>
      <c r="G500" s="92">
        <f>IFERROR(INDEX(_Protheus_Cadastro!$H:$H,MATCH(B500,_Protheus_Cadastro!$A:$A,0)),"—")</f>
        <v/>
      </c>
      <c r="H500" s="210">
        <f>IFERROR(INDEX(_ZIG_Precos!$D:$D,MATCH(I500,_ZIG_Precos!$F:$F,0)),"—")</f>
        <v/>
      </c>
      <c r="I500" s="95">
        <f>IFERROR(VLOOKUP(B500,_Protheus_Cadastro!$A:$I,9,FALSE),"—")</f>
        <v/>
      </c>
      <c r="J500" s="93">
        <f>IFERROR(INDEX(_ZIG_Cadastro!$B:$B,MATCH(I500,_ZIG_Cadastro!$A:$A,0)),IFERROR(INDEX(_Entradas_ZIG!$B:$B,MATCH(I500,_Entradas_ZIG!$C:$C,0)),"—"))</f>
        <v/>
      </c>
      <c r="K500" s="93">
        <f>IFERROR(INDEX(_ZIG_Cadastro!$C:$C,MATCH(I500,_ZIG_Cadastro!$A:$A,0)),IFERROR(INDEX(_Entradas_ZIG!$D:$D,MATCH(I500,_Entradas_ZIG!$C:$C,0)),"—"))</f>
        <v/>
      </c>
      <c r="L500" s="92">
        <f>IF(I500="","Sem SKU ZIG",IF(I500="—","Sem SKU ZIG",IF(NOT(ISERROR(MATCH(I500,_ZIG_Cadastro!$A:$A,0))),IF(EXACT(UPPER(TRIM(C500)),UPPER(TRIM(INDEX(_ZIG_Cadastro!$B:$B,MATCH(I500,_ZIG_Cadastro!$A:$A,0))))),"OK","Atencao - Nome diverge"),IF(NOT(ISERROR(MATCH(I500,_Entradas_ZIG!$C:$C,0))),"OK","Erro - SKU nao encontrado"))))</f>
        <v/>
      </c>
      <c r="M500" s="92">
        <f>IFERROR(INDEX(_ZIG_Cadastro!$G:$G,MATCH(I500,_ZIG_Cadastro!$A:$A,0)),IF(NOT(ISERROR(MATCH(I500,_Entradas_ZIG!$C:$C,0))),"Ativo","—"))</f>
        <v/>
      </c>
      <c r="N500" s="94">
        <f>IFERROR(INDEX(_ZIG_Cadastro!$E:$E,MATCH(I500,_ZIG_Cadastro!$A:$A,0)),IFERROR(INDEX(_Entradas_ZIG!$F:$F,MATCH(I500,_Entradas_ZIG!$C:$C,0)),"—"))</f>
        <v/>
      </c>
      <c r="O500" s="92">
        <f>IF(AND(ISNUMBER(SEARCH("Espeto",N500)),ISNUMBER(SEARCH("Carin",N500))),"SIM","")</f>
        <v/>
      </c>
      <c r="P500" s="92">
        <f>IF(AND(ISNUMBER(SEARCH("Espeto",N500)),ISNUMBER(SEARCH("Lapa",N500))),"SIM","")</f>
        <v/>
      </c>
      <c r="Q500" s="92">
        <f>IF(AND(ISNUMBER(SEARCH("Espeto",N500)),ISNUMBER(SEARCH("Tatuapé",N500))),"SIM","")</f>
        <v/>
      </c>
      <c r="R500" s="92">
        <f>IF(AND(ISNUMBER(SEARCH("Espeto",N500)),ISNUMBER(SEARCH("Pavão",N500))),"SIM","")</f>
        <v/>
      </c>
      <c r="S500" s="92">
        <f>IF(AND(ISNUMBER(SEARCH("Espeto",N500)),ISNUMBER(SEARCH("Chac",N500))),"SIM","")</f>
        <v/>
      </c>
      <c r="T500" s="92">
        <f>IF(AND(ISNUMBER(SEARCH("Espeto",N500)),ISNUMBER(SEARCH("Madalena",N500))),"SIM","")</f>
        <v/>
      </c>
      <c r="U500" s="92">
        <f>IF(AND(ISNUMBER(SEARCH("Espeto",N500)),ISNUMBER(SEARCH("Mariana",N500))),"SIM","")</f>
        <v/>
      </c>
      <c r="V500" s="92">
        <f>IF(AND(ISNUMBER(SEARCH("Espeto",N500)),ISNUMBER(SEARCH("Perdizes",N500))),"SIM","")</f>
        <v/>
      </c>
      <c r="W500" s="92">
        <f>IF(AND(ISNUMBER(SEARCH("Espeto",N500)),ISNUMBER(SEARCH("Santana",N500))),"SIM","")</f>
        <v/>
      </c>
      <c r="X500" s="92">
        <f>IF(AND(ISNUMBER(SEARCH("Espeto",N500)),ISNUMBER(SEARCH("André",N500))),"SIM","")</f>
        <v/>
      </c>
      <c r="Y500" s="92">
        <f>IF(AND(ISNUMBER(SEARCH("Delivery",N500)),ISNUMBER(SEARCH("Carin",N500))),"SIM","")</f>
        <v/>
      </c>
      <c r="Z500" s="92">
        <f>IF(AND(ISNUMBER(SEARCH("Delivery",N500)),ISNUMBER(SEARCH("Lapa",N500))),"SIM","")</f>
        <v/>
      </c>
      <c r="AA500" s="92">
        <f>IF(AND(ISNUMBER(SEARCH("Delivery",N500)),ISNUMBER(SEARCH("Tatuapé",N500))),"SIM","")</f>
        <v/>
      </c>
      <c r="AB500" s="92">
        <f>IF(AND(ISNUMBER(SEARCH("Delivery",N500)),ISNUMBER(SEARCH("Pavão",N500))),"SIM","")</f>
        <v/>
      </c>
      <c r="AC500" s="92">
        <f>IF(AND(ISNUMBER(SEARCH("Delivery",N500)),ISNUMBER(SEARCH("Chac",N500))),"SIM","")</f>
        <v/>
      </c>
      <c r="AD500" s="92">
        <f>IF(AND(ISNUMBER(SEARCH("Delivery",N500)),ISNUMBER(SEARCH("Madalena",N500))),"SIM","")</f>
        <v/>
      </c>
      <c r="AE500" s="99">
        <f>IF(AND(ISNUMBER(SEARCH("Delivery",N500)),ISNUMBER(SEARCH("Mariana",N500))),"SIM","")</f>
        <v/>
      </c>
      <c r="AF500" s="99">
        <f>IF(AND(ISNUMBER(SEARCH("Delivery",N500)),ISNUMBER(SEARCH("Perdizes",N500))),"SIM","")</f>
        <v/>
      </c>
      <c r="AG500" s="99">
        <f>IF(AND(ISNUMBER(SEARCH("Delivery",N500)),ISNUMBER(SEARCH("Santana",N500))),"SIM","")</f>
        <v/>
      </c>
      <c r="AH500" s="99">
        <f>IF(AND(ISNUMBER(SEARCH("Delivery",N500)),ISNUMBER(SEARCH("André",N500))),"SIM","")</f>
        <v/>
      </c>
      <c r="AI500" s="99">
        <f>IF(ISNUMBER(SEARCH("Interlagos",N500)),"SIM","")</f>
        <v/>
      </c>
      <c r="AJ500" s="99">
        <f>IF(ISNUMBER(SEARCH("Quiosque",N500)),"SIM","")</f>
        <v/>
      </c>
      <c r="AK500" s="101" t="n"/>
    </row>
    <row r="501">
      <c r="A501" s="88" t="inlineStr">
        <is>
          <t>Protheus</t>
        </is>
      </c>
      <c r="B501" s="96" t="inlineStr">
        <is>
          <t>001475</t>
        </is>
      </c>
      <c r="C501" s="97">
        <f>IF(B501="—","—",IFERROR(VLOOKUP(B501,_Protheus_Cadastro!$A:$B,2,FALSE),"—"))</f>
        <v/>
      </c>
      <c r="D501" s="98">
        <f>IF(B501="—",IFERROR(INDEX(_ZIG_Cadastro!$D:$D,MATCH(H501,_ZIG_Cadastro!$A:$A,0)),"Produto"),IFERROR(VLOOKUP(B501,_Protheus_Cadastro!$A:$C,3,FALSE),"—"))</f>
        <v/>
      </c>
      <c r="E501" s="98">
        <f>IF(B501="—","—",IFERROR(VLOOKUP(B501,_Protheus_Cadastro!$A:$D,4,FALSE),"—"))</f>
        <v/>
      </c>
      <c r="F501" s="98">
        <f>IF(ISERROR(VLOOKUP(B501,'Estrutura Protheus'!A:A,1,FALSE)),"Não","Sim")</f>
        <v/>
      </c>
      <c r="G501" s="99">
        <f>IFERROR(INDEX(_Protheus_Cadastro!$H:$H,MATCH(B501,_Protheus_Cadastro!$A:$A,0)),"—")</f>
        <v/>
      </c>
      <c r="H501" s="211">
        <f>IFERROR(INDEX(_ZIG_Precos!$D:$D,MATCH(I501,_ZIG_Precos!$F:$F,0)),"—")</f>
        <v/>
      </c>
      <c r="I501" s="103">
        <f>IFERROR(VLOOKUP(B501,_Protheus_Cadastro!$A:$I,9,FALSE),"—")</f>
        <v/>
      </c>
      <c r="J501" s="101">
        <f>IFERROR(INDEX(_ZIG_Cadastro!$B:$B,MATCH(I501,_ZIG_Cadastro!$A:$A,0)),IFERROR(INDEX(_Entradas_ZIG!$B:$B,MATCH(I501,_Entradas_ZIG!$C:$C,0)),"—"))</f>
        <v/>
      </c>
      <c r="K501" s="101">
        <f>IFERROR(INDEX(_ZIG_Cadastro!$C:$C,MATCH(I501,_ZIG_Cadastro!$A:$A,0)),IFERROR(INDEX(_Entradas_ZIG!$D:$D,MATCH(I501,_Entradas_ZIG!$C:$C,0)),"—"))</f>
        <v/>
      </c>
      <c r="L501" s="99">
        <f>IF(I501="","Sem SKU ZIG",IF(I501="—","Sem SKU ZIG",IF(NOT(ISERROR(MATCH(I501,_ZIG_Cadastro!$A:$A,0))),IF(EXACT(UPPER(TRIM(C501)),UPPER(TRIM(INDEX(_ZIG_Cadastro!$B:$B,MATCH(I501,_ZIG_Cadastro!$A:$A,0))))),"OK","Atencao - Nome diverge"),IF(NOT(ISERROR(MATCH(I501,_Entradas_ZIG!$C:$C,0))),"OK","Erro - SKU nao encontrado"))))</f>
        <v/>
      </c>
      <c r="M501" s="99">
        <f>IFERROR(INDEX(_ZIG_Cadastro!$G:$G,MATCH(I501,_ZIG_Cadastro!$A:$A,0)),IF(NOT(ISERROR(MATCH(I501,_Entradas_ZIG!$C:$C,0))),"Ativo","—"))</f>
        <v/>
      </c>
      <c r="N501" s="102">
        <f>IFERROR(INDEX(_ZIG_Cadastro!$E:$E,MATCH(I501,_ZIG_Cadastro!$A:$A,0)),IFERROR(INDEX(_Entradas_ZIG!$F:$F,MATCH(I501,_Entradas_ZIG!$C:$C,0)),"—"))</f>
        <v/>
      </c>
      <c r="O501" s="99">
        <f>IF(AND(ISNUMBER(SEARCH("Espeto",N501)),ISNUMBER(SEARCH("Carin",N501))),"SIM","")</f>
        <v/>
      </c>
      <c r="P501" s="99">
        <f>IF(AND(ISNUMBER(SEARCH("Espeto",N501)),ISNUMBER(SEARCH("Lapa",N501))),"SIM","")</f>
        <v/>
      </c>
      <c r="Q501" s="99">
        <f>IF(AND(ISNUMBER(SEARCH("Espeto",N501)),ISNUMBER(SEARCH("Tatuapé",N501))),"SIM","")</f>
        <v/>
      </c>
      <c r="R501" s="99">
        <f>IF(AND(ISNUMBER(SEARCH("Espeto",N501)),ISNUMBER(SEARCH("Pavão",N501))),"SIM","")</f>
        <v/>
      </c>
      <c r="S501" s="99">
        <f>IF(AND(ISNUMBER(SEARCH("Espeto",N501)),ISNUMBER(SEARCH("Chac",N501))),"SIM","")</f>
        <v/>
      </c>
      <c r="T501" s="99">
        <f>IF(AND(ISNUMBER(SEARCH("Espeto",N501)),ISNUMBER(SEARCH("Madalena",N501))),"SIM","")</f>
        <v/>
      </c>
      <c r="U501" s="99">
        <f>IF(AND(ISNUMBER(SEARCH("Espeto",N501)),ISNUMBER(SEARCH("Mariana",N501))),"SIM","")</f>
        <v/>
      </c>
      <c r="V501" s="99">
        <f>IF(AND(ISNUMBER(SEARCH("Espeto",N501)),ISNUMBER(SEARCH("Perdizes",N501))),"SIM","")</f>
        <v/>
      </c>
      <c r="W501" s="99">
        <f>IF(AND(ISNUMBER(SEARCH("Espeto",N501)),ISNUMBER(SEARCH("Santana",N501))),"SIM","")</f>
        <v/>
      </c>
      <c r="X501" s="99">
        <f>IF(AND(ISNUMBER(SEARCH("Espeto",N501)),ISNUMBER(SEARCH("André",N501))),"SIM","")</f>
        <v/>
      </c>
      <c r="Y501" s="99">
        <f>IF(AND(ISNUMBER(SEARCH("Delivery",N501)),ISNUMBER(SEARCH("Carin",N501))),"SIM","")</f>
        <v/>
      </c>
      <c r="Z501" s="99">
        <f>IF(AND(ISNUMBER(SEARCH("Delivery",N501)),ISNUMBER(SEARCH("Lapa",N501))),"SIM","")</f>
        <v/>
      </c>
      <c r="AA501" s="99">
        <f>IF(AND(ISNUMBER(SEARCH("Delivery",N501)),ISNUMBER(SEARCH("Tatuapé",N501))),"SIM","")</f>
        <v/>
      </c>
      <c r="AB501" s="99">
        <f>IF(AND(ISNUMBER(SEARCH("Delivery",N501)),ISNUMBER(SEARCH("Pavão",N501))),"SIM","")</f>
        <v/>
      </c>
      <c r="AC501" s="99">
        <f>IF(AND(ISNUMBER(SEARCH("Delivery",N501)),ISNUMBER(SEARCH("Chac",N501))),"SIM","")</f>
        <v/>
      </c>
      <c r="AD501" s="99">
        <f>IF(AND(ISNUMBER(SEARCH("Delivery",N501)),ISNUMBER(SEARCH("Madalena",N501))),"SIM","")</f>
        <v/>
      </c>
      <c r="AE501" s="92">
        <f>IF(AND(ISNUMBER(SEARCH("Delivery",N501)),ISNUMBER(SEARCH("Mariana",N501))),"SIM","")</f>
        <v/>
      </c>
      <c r="AF501" s="92">
        <f>IF(AND(ISNUMBER(SEARCH("Delivery",N501)),ISNUMBER(SEARCH("Perdizes",N501))),"SIM","")</f>
        <v/>
      </c>
      <c r="AG501" s="92">
        <f>IF(AND(ISNUMBER(SEARCH("Delivery",N501)),ISNUMBER(SEARCH("Santana",N501))),"SIM","")</f>
        <v/>
      </c>
      <c r="AH501" s="92">
        <f>IF(AND(ISNUMBER(SEARCH("Delivery",N501)),ISNUMBER(SEARCH("André",N501))),"SIM","")</f>
        <v/>
      </c>
      <c r="AI501" s="92">
        <f>IF(ISNUMBER(SEARCH("Interlagos",N501)),"SIM","")</f>
        <v/>
      </c>
      <c r="AJ501" s="92">
        <f>IF(ISNUMBER(SEARCH("Quiosque",N501)),"SIM","")</f>
        <v/>
      </c>
      <c r="AK501" s="93" t="n"/>
    </row>
    <row r="502">
      <c r="A502" s="88" t="inlineStr">
        <is>
          <t>Protheus</t>
        </is>
      </c>
      <c r="B502" s="89" t="inlineStr">
        <is>
          <t>002211</t>
        </is>
      </c>
      <c r="C502" s="90">
        <f>IF(B502="—","—",IFERROR(VLOOKUP(B502,_Protheus_Cadastro!$A:$B,2,FALSE),"—"))</f>
        <v/>
      </c>
      <c r="D502" s="91">
        <f>IF(B502="—",IFERROR(INDEX(_ZIG_Cadastro!$D:$D,MATCH(H502,_ZIG_Cadastro!$A:$A,0)),"Produto"),IFERROR(VLOOKUP(B502,_Protheus_Cadastro!$A:$C,3,FALSE),"—"))</f>
        <v/>
      </c>
      <c r="E502" s="91">
        <f>IF(B502="—","—",IFERROR(VLOOKUP(B502,_Protheus_Cadastro!$A:$D,4,FALSE),"—"))</f>
        <v/>
      </c>
      <c r="F502" s="91">
        <f>IF(ISERROR(VLOOKUP(B502,'Estrutura Protheus'!A:A,1,FALSE)),"Não","Sim")</f>
        <v/>
      </c>
      <c r="G502" s="92">
        <f>IFERROR(INDEX(_Protheus_Cadastro!$H:$H,MATCH(B502,_Protheus_Cadastro!$A:$A,0)),"—")</f>
        <v/>
      </c>
      <c r="H502" s="210">
        <f>IFERROR(INDEX(_ZIG_Precos!$D:$D,MATCH(I502,_ZIG_Precos!$F:$F,0)),"—")</f>
        <v/>
      </c>
      <c r="I502" s="95">
        <f>IFERROR(VLOOKUP(B502,_Protheus_Cadastro!$A:$I,9,FALSE),"—")</f>
        <v/>
      </c>
      <c r="J502" s="93">
        <f>IFERROR(INDEX(_ZIG_Cadastro!$B:$B,MATCH(I502,_ZIG_Cadastro!$A:$A,0)),IFERROR(INDEX(_Entradas_ZIG!$B:$B,MATCH(I502,_Entradas_ZIG!$C:$C,0)),"—"))</f>
        <v/>
      </c>
      <c r="K502" s="93">
        <f>IFERROR(INDEX(_ZIG_Cadastro!$C:$C,MATCH(I502,_ZIG_Cadastro!$A:$A,0)),IFERROR(INDEX(_Entradas_ZIG!$D:$D,MATCH(I502,_Entradas_ZIG!$C:$C,0)),"—"))</f>
        <v/>
      </c>
      <c r="L502" s="92">
        <f>IF(I502="","Sem SKU ZIG",IF(I502="—","Sem SKU ZIG",IF(NOT(ISERROR(MATCH(I502,_ZIG_Cadastro!$A:$A,0))),IF(EXACT(UPPER(TRIM(C502)),UPPER(TRIM(INDEX(_ZIG_Cadastro!$B:$B,MATCH(I502,_ZIG_Cadastro!$A:$A,0))))),"OK","Atencao - Nome diverge"),IF(NOT(ISERROR(MATCH(I502,_Entradas_ZIG!$C:$C,0))),"OK","Erro - SKU nao encontrado"))))</f>
        <v/>
      </c>
      <c r="M502" s="92">
        <f>IFERROR(INDEX(_ZIG_Cadastro!$G:$G,MATCH(I502,_ZIG_Cadastro!$A:$A,0)),IF(NOT(ISERROR(MATCH(I502,_Entradas_ZIG!$C:$C,0))),"Ativo","—"))</f>
        <v/>
      </c>
      <c r="N502" s="94">
        <f>IFERROR(INDEX(_ZIG_Cadastro!$E:$E,MATCH(I502,_ZIG_Cadastro!$A:$A,0)),IFERROR(INDEX(_Entradas_ZIG!$F:$F,MATCH(I502,_Entradas_ZIG!$C:$C,0)),"—"))</f>
        <v/>
      </c>
      <c r="O502" s="92">
        <f>IF(AND(ISNUMBER(SEARCH("Espeto",N502)),ISNUMBER(SEARCH("Carin",N502))),"SIM","")</f>
        <v/>
      </c>
      <c r="P502" s="92">
        <f>IF(AND(ISNUMBER(SEARCH("Espeto",N502)),ISNUMBER(SEARCH("Lapa",N502))),"SIM","")</f>
        <v/>
      </c>
      <c r="Q502" s="92">
        <f>IF(AND(ISNUMBER(SEARCH("Espeto",N502)),ISNUMBER(SEARCH("Tatuapé",N502))),"SIM","")</f>
        <v/>
      </c>
      <c r="R502" s="92">
        <f>IF(AND(ISNUMBER(SEARCH("Espeto",N502)),ISNUMBER(SEARCH("Pavão",N502))),"SIM","")</f>
        <v/>
      </c>
      <c r="S502" s="92">
        <f>IF(AND(ISNUMBER(SEARCH("Espeto",N502)),ISNUMBER(SEARCH("Chac",N502))),"SIM","")</f>
        <v/>
      </c>
      <c r="T502" s="92">
        <f>IF(AND(ISNUMBER(SEARCH("Espeto",N502)),ISNUMBER(SEARCH("Madalena",N502))),"SIM","")</f>
        <v/>
      </c>
      <c r="U502" s="92">
        <f>IF(AND(ISNUMBER(SEARCH("Espeto",N502)),ISNUMBER(SEARCH("Mariana",N502))),"SIM","")</f>
        <v/>
      </c>
      <c r="V502" s="92">
        <f>IF(AND(ISNUMBER(SEARCH("Espeto",N502)),ISNUMBER(SEARCH("Perdizes",N502))),"SIM","")</f>
        <v/>
      </c>
      <c r="W502" s="92">
        <f>IF(AND(ISNUMBER(SEARCH("Espeto",N502)),ISNUMBER(SEARCH("Santana",N502))),"SIM","")</f>
        <v/>
      </c>
      <c r="X502" s="92">
        <f>IF(AND(ISNUMBER(SEARCH("Espeto",N502)),ISNUMBER(SEARCH("André",N502))),"SIM","")</f>
        <v/>
      </c>
      <c r="Y502" s="92">
        <f>IF(AND(ISNUMBER(SEARCH("Delivery",N502)),ISNUMBER(SEARCH("Carin",N502))),"SIM","")</f>
        <v/>
      </c>
      <c r="Z502" s="92">
        <f>IF(AND(ISNUMBER(SEARCH("Delivery",N502)),ISNUMBER(SEARCH("Lapa",N502))),"SIM","")</f>
        <v/>
      </c>
      <c r="AA502" s="92">
        <f>IF(AND(ISNUMBER(SEARCH("Delivery",N502)),ISNUMBER(SEARCH("Tatuapé",N502))),"SIM","")</f>
        <v/>
      </c>
      <c r="AB502" s="92">
        <f>IF(AND(ISNUMBER(SEARCH("Delivery",N502)),ISNUMBER(SEARCH("Pavão",N502))),"SIM","")</f>
        <v/>
      </c>
      <c r="AC502" s="92">
        <f>IF(AND(ISNUMBER(SEARCH("Delivery",N502)),ISNUMBER(SEARCH("Chac",N502))),"SIM","")</f>
        <v/>
      </c>
      <c r="AD502" s="92">
        <f>IF(AND(ISNUMBER(SEARCH("Delivery",N502)),ISNUMBER(SEARCH("Madalena",N502))),"SIM","")</f>
        <v/>
      </c>
      <c r="AE502" s="99">
        <f>IF(AND(ISNUMBER(SEARCH("Delivery",N502)),ISNUMBER(SEARCH("Mariana",N502))),"SIM","")</f>
        <v/>
      </c>
      <c r="AF502" s="99">
        <f>IF(AND(ISNUMBER(SEARCH("Delivery",N502)),ISNUMBER(SEARCH("Perdizes",N502))),"SIM","")</f>
        <v/>
      </c>
      <c r="AG502" s="99">
        <f>IF(AND(ISNUMBER(SEARCH("Delivery",N502)),ISNUMBER(SEARCH("Santana",N502))),"SIM","")</f>
        <v/>
      </c>
      <c r="AH502" s="99">
        <f>IF(AND(ISNUMBER(SEARCH("Delivery",N502)),ISNUMBER(SEARCH("André",N502))),"SIM","")</f>
        <v/>
      </c>
      <c r="AI502" s="99">
        <f>IF(ISNUMBER(SEARCH("Interlagos",N502)),"SIM","")</f>
        <v/>
      </c>
      <c r="AJ502" s="99">
        <f>IF(ISNUMBER(SEARCH("Quiosque",N502)),"SIM","")</f>
        <v/>
      </c>
      <c r="AK502" s="101" t="n"/>
    </row>
    <row r="503">
      <c r="A503" s="88" t="inlineStr">
        <is>
          <t>Protheus</t>
        </is>
      </c>
      <c r="B503" s="96" t="inlineStr">
        <is>
          <t>001474</t>
        </is>
      </c>
      <c r="C503" s="97">
        <f>IF(B503="—","—",IFERROR(VLOOKUP(B503,_Protheus_Cadastro!$A:$B,2,FALSE),"—"))</f>
        <v/>
      </c>
      <c r="D503" s="98">
        <f>IF(B503="—",IFERROR(INDEX(_ZIG_Cadastro!$D:$D,MATCH(H503,_ZIG_Cadastro!$A:$A,0)),"Produto"),IFERROR(VLOOKUP(B503,_Protheus_Cadastro!$A:$C,3,FALSE),"—"))</f>
        <v/>
      </c>
      <c r="E503" s="98">
        <f>IF(B503="—","—",IFERROR(VLOOKUP(B503,_Protheus_Cadastro!$A:$D,4,FALSE),"—"))</f>
        <v/>
      </c>
      <c r="F503" s="98">
        <f>IF(ISERROR(VLOOKUP(B503,'Estrutura Protheus'!A:A,1,FALSE)),"Não","Sim")</f>
        <v/>
      </c>
      <c r="G503" s="99">
        <f>IFERROR(INDEX(_Protheus_Cadastro!$H:$H,MATCH(B503,_Protheus_Cadastro!$A:$A,0)),"—")</f>
        <v/>
      </c>
      <c r="H503" s="211">
        <f>IFERROR(INDEX(_ZIG_Precos!$D:$D,MATCH(I503,_ZIG_Precos!$F:$F,0)),"—")</f>
        <v/>
      </c>
      <c r="I503" s="103">
        <f>IFERROR(VLOOKUP(B503,_Protheus_Cadastro!$A:$I,9,FALSE),"—")</f>
        <v/>
      </c>
      <c r="J503" s="101">
        <f>IFERROR(INDEX(_ZIG_Cadastro!$B:$B,MATCH(I503,_ZIG_Cadastro!$A:$A,0)),IFERROR(INDEX(_Entradas_ZIG!$B:$B,MATCH(I503,_Entradas_ZIG!$C:$C,0)),"—"))</f>
        <v/>
      </c>
      <c r="K503" s="101">
        <f>IFERROR(INDEX(_ZIG_Cadastro!$C:$C,MATCH(I503,_ZIG_Cadastro!$A:$A,0)),IFERROR(INDEX(_Entradas_ZIG!$D:$D,MATCH(I503,_Entradas_ZIG!$C:$C,0)),"—"))</f>
        <v/>
      </c>
      <c r="L503" s="99">
        <f>IF(I503="","Sem SKU ZIG",IF(I503="—","Sem SKU ZIG",IF(NOT(ISERROR(MATCH(I503,_ZIG_Cadastro!$A:$A,0))),IF(EXACT(UPPER(TRIM(C503)),UPPER(TRIM(INDEX(_ZIG_Cadastro!$B:$B,MATCH(I503,_ZIG_Cadastro!$A:$A,0))))),"OK","Atencao - Nome diverge"),IF(NOT(ISERROR(MATCH(I503,_Entradas_ZIG!$C:$C,0))),"OK","Erro - SKU nao encontrado"))))</f>
        <v/>
      </c>
      <c r="M503" s="99">
        <f>IFERROR(INDEX(_ZIG_Cadastro!$G:$G,MATCH(I503,_ZIG_Cadastro!$A:$A,0)),IF(NOT(ISERROR(MATCH(I503,_Entradas_ZIG!$C:$C,0))),"Ativo","—"))</f>
        <v/>
      </c>
      <c r="N503" s="102">
        <f>IFERROR(INDEX(_ZIG_Cadastro!$E:$E,MATCH(I503,_ZIG_Cadastro!$A:$A,0)),IFERROR(INDEX(_Entradas_ZIG!$F:$F,MATCH(I503,_Entradas_ZIG!$C:$C,0)),"—"))</f>
        <v/>
      </c>
      <c r="O503" s="99">
        <f>IF(AND(ISNUMBER(SEARCH("Espeto",N503)),ISNUMBER(SEARCH("Carin",N503))),"SIM","")</f>
        <v/>
      </c>
      <c r="P503" s="99">
        <f>IF(AND(ISNUMBER(SEARCH("Espeto",N503)),ISNUMBER(SEARCH("Lapa",N503))),"SIM","")</f>
        <v/>
      </c>
      <c r="Q503" s="99">
        <f>IF(AND(ISNUMBER(SEARCH("Espeto",N503)),ISNUMBER(SEARCH("Tatuapé",N503))),"SIM","")</f>
        <v/>
      </c>
      <c r="R503" s="99">
        <f>IF(AND(ISNUMBER(SEARCH("Espeto",N503)),ISNUMBER(SEARCH("Pavão",N503))),"SIM","")</f>
        <v/>
      </c>
      <c r="S503" s="99">
        <f>IF(AND(ISNUMBER(SEARCH("Espeto",N503)),ISNUMBER(SEARCH("Chac",N503))),"SIM","")</f>
        <v/>
      </c>
      <c r="T503" s="99">
        <f>IF(AND(ISNUMBER(SEARCH("Espeto",N503)),ISNUMBER(SEARCH("Madalena",N503))),"SIM","")</f>
        <v/>
      </c>
      <c r="U503" s="99">
        <f>IF(AND(ISNUMBER(SEARCH("Espeto",N503)),ISNUMBER(SEARCH("Mariana",N503))),"SIM","")</f>
        <v/>
      </c>
      <c r="V503" s="99">
        <f>IF(AND(ISNUMBER(SEARCH("Espeto",N503)),ISNUMBER(SEARCH("Perdizes",N503))),"SIM","")</f>
        <v/>
      </c>
      <c r="W503" s="99">
        <f>IF(AND(ISNUMBER(SEARCH("Espeto",N503)),ISNUMBER(SEARCH("Santana",N503))),"SIM","")</f>
        <v/>
      </c>
      <c r="X503" s="99">
        <f>IF(AND(ISNUMBER(SEARCH("Espeto",N503)),ISNUMBER(SEARCH("André",N503))),"SIM","")</f>
        <v/>
      </c>
      <c r="Y503" s="99">
        <f>IF(AND(ISNUMBER(SEARCH("Delivery",N503)),ISNUMBER(SEARCH("Carin",N503))),"SIM","")</f>
        <v/>
      </c>
      <c r="Z503" s="99">
        <f>IF(AND(ISNUMBER(SEARCH("Delivery",N503)),ISNUMBER(SEARCH("Lapa",N503))),"SIM","")</f>
        <v/>
      </c>
      <c r="AA503" s="99">
        <f>IF(AND(ISNUMBER(SEARCH("Delivery",N503)),ISNUMBER(SEARCH("Tatuapé",N503))),"SIM","")</f>
        <v/>
      </c>
      <c r="AB503" s="99">
        <f>IF(AND(ISNUMBER(SEARCH("Delivery",N503)),ISNUMBER(SEARCH("Pavão",N503))),"SIM","")</f>
        <v/>
      </c>
      <c r="AC503" s="99">
        <f>IF(AND(ISNUMBER(SEARCH("Delivery",N503)),ISNUMBER(SEARCH("Chac",N503))),"SIM","")</f>
        <v/>
      </c>
      <c r="AD503" s="99">
        <f>IF(AND(ISNUMBER(SEARCH("Delivery",N503)),ISNUMBER(SEARCH("Madalena",N503))),"SIM","")</f>
        <v/>
      </c>
      <c r="AE503" s="92">
        <f>IF(AND(ISNUMBER(SEARCH("Delivery",N503)),ISNUMBER(SEARCH("Mariana",N503))),"SIM","")</f>
        <v/>
      </c>
      <c r="AF503" s="92">
        <f>IF(AND(ISNUMBER(SEARCH("Delivery",N503)),ISNUMBER(SEARCH("Perdizes",N503))),"SIM","")</f>
        <v/>
      </c>
      <c r="AG503" s="92">
        <f>IF(AND(ISNUMBER(SEARCH("Delivery",N503)),ISNUMBER(SEARCH("Santana",N503))),"SIM","")</f>
        <v/>
      </c>
      <c r="AH503" s="92">
        <f>IF(AND(ISNUMBER(SEARCH("Delivery",N503)),ISNUMBER(SEARCH("André",N503))),"SIM","")</f>
        <v/>
      </c>
      <c r="AI503" s="92">
        <f>IF(ISNUMBER(SEARCH("Interlagos",N503)),"SIM","")</f>
        <v/>
      </c>
      <c r="AJ503" s="92">
        <f>IF(ISNUMBER(SEARCH("Quiosque",N503)),"SIM","")</f>
        <v/>
      </c>
      <c r="AK503" s="93" t="n"/>
    </row>
    <row r="504">
      <c r="A504" s="88" t="inlineStr">
        <is>
          <t>Protheus</t>
        </is>
      </c>
      <c r="B504" s="89" t="inlineStr">
        <is>
          <t>002240</t>
        </is>
      </c>
      <c r="C504" s="90">
        <f>IF(B504="—","—",IFERROR(VLOOKUP(B504,_Protheus_Cadastro!$A:$B,2,FALSE),"—"))</f>
        <v/>
      </c>
      <c r="D504" s="91">
        <f>IF(B504="—",IFERROR(INDEX(_ZIG_Cadastro!$D:$D,MATCH(H504,_ZIG_Cadastro!$A:$A,0)),"Produto"),IFERROR(VLOOKUP(B504,_Protheus_Cadastro!$A:$C,3,FALSE),"—"))</f>
        <v/>
      </c>
      <c r="E504" s="91">
        <f>IF(B504="—","—",IFERROR(VLOOKUP(B504,_Protheus_Cadastro!$A:$D,4,FALSE),"—"))</f>
        <v/>
      </c>
      <c r="F504" s="91">
        <f>IF(ISERROR(VLOOKUP(B504,'Estrutura Protheus'!A:A,1,FALSE)),"Não","Sim")</f>
        <v/>
      </c>
      <c r="G504" s="92">
        <f>IFERROR(INDEX(_Protheus_Cadastro!$H:$H,MATCH(B504,_Protheus_Cadastro!$A:$A,0)),"—")</f>
        <v/>
      </c>
      <c r="H504" s="210">
        <f>IFERROR(INDEX(_ZIG_Precos!$D:$D,MATCH(I504,_ZIG_Precos!$F:$F,0)),"—")</f>
        <v/>
      </c>
      <c r="I504" s="95">
        <f>IFERROR(VLOOKUP(B504,_Protheus_Cadastro!$A:$I,9,FALSE),"—")</f>
        <v/>
      </c>
      <c r="J504" s="93">
        <f>IFERROR(INDEX(_ZIG_Cadastro!$B:$B,MATCH(I504,_ZIG_Cadastro!$A:$A,0)),IFERROR(INDEX(_Entradas_ZIG!$B:$B,MATCH(I504,_Entradas_ZIG!$C:$C,0)),"—"))</f>
        <v/>
      </c>
      <c r="K504" s="93">
        <f>IFERROR(INDEX(_ZIG_Cadastro!$C:$C,MATCH(I504,_ZIG_Cadastro!$A:$A,0)),IFERROR(INDEX(_Entradas_ZIG!$D:$D,MATCH(I504,_Entradas_ZIG!$C:$C,0)),"—"))</f>
        <v/>
      </c>
      <c r="L504" s="92">
        <f>IF(I504="","Sem SKU ZIG",IF(I504="—","Sem SKU ZIG",IF(NOT(ISERROR(MATCH(I504,_ZIG_Cadastro!$A:$A,0))),IF(EXACT(UPPER(TRIM(C504)),UPPER(TRIM(INDEX(_ZIG_Cadastro!$B:$B,MATCH(I504,_ZIG_Cadastro!$A:$A,0))))),"OK","Atencao - Nome diverge"),IF(NOT(ISERROR(MATCH(I504,_Entradas_ZIG!$C:$C,0))),"OK","Erro - SKU nao encontrado"))))</f>
        <v/>
      </c>
      <c r="M504" s="92">
        <f>IFERROR(INDEX(_ZIG_Cadastro!$G:$G,MATCH(I504,_ZIG_Cadastro!$A:$A,0)),IF(NOT(ISERROR(MATCH(I504,_Entradas_ZIG!$C:$C,0))),"Ativo","—"))</f>
        <v/>
      </c>
      <c r="N504" s="94">
        <f>IFERROR(INDEX(_ZIG_Cadastro!$E:$E,MATCH(I504,_ZIG_Cadastro!$A:$A,0)),IFERROR(INDEX(_Entradas_ZIG!$F:$F,MATCH(I504,_Entradas_ZIG!$C:$C,0)),"—"))</f>
        <v/>
      </c>
      <c r="O504" s="92">
        <f>IF(AND(ISNUMBER(SEARCH("Espeto",N504)),ISNUMBER(SEARCH("Carin",N504))),"SIM","")</f>
        <v/>
      </c>
      <c r="P504" s="92">
        <f>IF(AND(ISNUMBER(SEARCH("Espeto",N504)),ISNUMBER(SEARCH("Lapa",N504))),"SIM","")</f>
        <v/>
      </c>
      <c r="Q504" s="92">
        <f>IF(AND(ISNUMBER(SEARCH("Espeto",N504)),ISNUMBER(SEARCH("Tatuapé",N504))),"SIM","")</f>
        <v/>
      </c>
      <c r="R504" s="92">
        <f>IF(AND(ISNUMBER(SEARCH("Espeto",N504)),ISNUMBER(SEARCH("Pavão",N504))),"SIM","")</f>
        <v/>
      </c>
      <c r="S504" s="92">
        <f>IF(AND(ISNUMBER(SEARCH("Espeto",N504)),ISNUMBER(SEARCH("Chac",N504))),"SIM","")</f>
        <v/>
      </c>
      <c r="T504" s="92">
        <f>IF(AND(ISNUMBER(SEARCH("Espeto",N504)),ISNUMBER(SEARCH("Madalena",N504))),"SIM","")</f>
        <v/>
      </c>
      <c r="U504" s="92">
        <f>IF(AND(ISNUMBER(SEARCH("Espeto",N504)),ISNUMBER(SEARCH("Mariana",N504))),"SIM","")</f>
        <v/>
      </c>
      <c r="V504" s="92">
        <f>IF(AND(ISNUMBER(SEARCH("Espeto",N504)),ISNUMBER(SEARCH("Perdizes",N504))),"SIM","")</f>
        <v/>
      </c>
      <c r="W504" s="92">
        <f>IF(AND(ISNUMBER(SEARCH("Espeto",N504)),ISNUMBER(SEARCH("Santana",N504))),"SIM","")</f>
        <v/>
      </c>
      <c r="X504" s="92">
        <f>IF(AND(ISNUMBER(SEARCH("Espeto",N504)),ISNUMBER(SEARCH("André",N504))),"SIM","")</f>
        <v/>
      </c>
      <c r="Y504" s="92">
        <f>IF(AND(ISNUMBER(SEARCH("Delivery",N504)),ISNUMBER(SEARCH("Carin",N504))),"SIM","")</f>
        <v/>
      </c>
      <c r="Z504" s="92">
        <f>IF(AND(ISNUMBER(SEARCH("Delivery",N504)),ISNUMBER(SEARCH("Lapa",N504))),"SIM","")</f>
        <v/>
      </c>
      <c r="AA504" s="92">
        <f>IF(AND(ISNUMBER(SEARCH("Delivery",N504)),ISNUMBER(SEARCH("Tatuapé",N504))),"SIM","")</f>
        <v/>
      </c>
      <c r="AB504" s="92">
        <f>IF(AND(ISNUMBER(SEARCH("Delivery",N504)),ISNUMBER(SEARCH("Pavão",N504))),"SIM","")</f>
        <v/>
      </c>
      <c r="AC504" s="92">
        <f>IF(AND(ISNUMBER(SEARCH("Delivery",N504)),ISNUMBER(SEARCH("Chac",N504))),"SIM","")</f>
        <v/>
      </c>
      <c r="AD504" s="92">
        <f>IF(AND(ISNUMBER(SEARCH("Delivery",N504)),ISNUMBER(SEARCH("Madalena",N504))),"SIM","")</f>
        <v/>
      </c>
      <c r="AE504" s="99">
        <f>IF(AND(ISNUMBER(SEARCH("Delivery",N504)),ISNUMBER(SEARCH("Mariana",N504))),"SIM","")</f>
        <v/>
      </c>
      <c r="AF504" s="99">
        <f>IF(AND(ISNUMBER(SEARCH("Delivery",N504)),ISNUMBER(SEARCH("Perdizes",N504))),"SIM","")</f>
        <v/>
      </c>
      <c r="AG504" s="99">
        <f>IF(AND(ISNUMBER(SEARCH("Delivery",N504)),ISNUMBER(SEARCH("Santana",N504))),"SIM","")</f>
        <v/>
      </c>
      <c r="AH504" s="99">
        <f>IF(AND(ISNUMBER(SEARCH("Delivery",N504)),ISNUMBER(SEARCH("André",N504))),"SIM","")</f>
        <v/>
      </c>
      <c r="AI504" s="99">
        <f>IF(ISNUMBER(SEARCH("Interlagos",N504)),"SIM","")</f>
        <v/>
      </c>
      <c r="AJ504" s="99">
        <f>IF(ISNUMBER(SEARCH("Quiosque",N504)),"SIM","")</f>
        <v/>
      </c>
      <c r="AK504" s="101" t="n"/>
    </row>
    <row r="505">
      <c r="A505" s="88" t="inlineStr">
        <is>
          <t>Protheus</t>
        </is>
      </c>
      <c r="B505" s="96" t="inlineStr">
        <is>
          <t>000900</t>
        </is>
      </c>
      <c r="C505" s="97">
        <f>IF(B505="—","—",IFERROR(VLOOKUP(B505,_Protheus_Cadastro!$A:$B,2,FALSE),"—"))</f>
        <v/>
      </c>
      <c r="D505" s="98">
        <f>IF(B505="—",IFERROR(INDEX(_ZIG_Cadastro!$D:$D,MATCH(H505,_ZIG_Cadastro!$A:$A,0)),"Produto"),IFERROR(VLOOKUP(B505,_Protheus_Cadastro!$A:$C,3,FALSE),"—"))</f>
        <v/>
      </c>
      <c r="E505" s="98">
        <f>IF(B505="—","—",IFERROR(VLOOKUP(B505,_Protheus_Cadastro!$A:$D,4,FALSE),"—"))</f>
        <v/>
      </c>
      <c r="F505" s="98">
        <f>IF(ISERROR(VLOOKUP(B505,'Estrutura Protheus'!A:A,1,FALSE)),"Não","Sim")</f>
        <v/>
      </c>
      <c r="G505" s="99">
        <f>IFERROR(INDEX(_Protheus_Cadastro!$H:$H,MATCH(B505,_Protheus_Cadastro!$A:$A,0)),"—")</f>
        <v/>
      </c>
      <c r="H505" s="211">
        <f>IFERROR(INDEX(_ZIG_Precos!$D:$D,MATCH(I505,_ZIG_Precos!$F:$F,0)),"—")</f>
        <v/>
      </c>
      <c r="I505" s="103">
        <f>IFERROR(VLOOKUP(B505,_Protheus_Cadastro!$A:$I,9,FALSE),"—")</f>
        <v/>
      </c>
      <c r="J505" s="101">
        <f>IFERROR(INDEX(_ZIG_Cadastro!$B:$B,MATCH(I505,_ZIG_Cadastro!$A:$A,0)),IFERROR(INDEX(_Entradas_ZIG!$B:$B,MATCH(I505,_Entradas_ZIG!$C:$C,0)),"—"))</f>
        <v/>
      </c>
      <c r="K505" s="101">
        <f>IFERROR(INDEX(_ZIG_Cadastro!$C:$C,MATCH(I505,_ZIG_Cadastro!$A:$A,0)),IFERROR(INDEX(_Entradas_ZIG!$D:$D,MATCH(I505,_Entradas_ZIG!$C:$C,0)),"—"))</f>
        <v/>
      </c>
      <c r="L505" s="99">
        <f>IF(I505="","Sem SKU ZIG",IF(I505="—","Sem SKU ZIG",IF(NOT(ISERROR(MATCH(I505,_ZIG_Cadastro!$A:$A,0))),IF(EXACT(UPPER(TRIM(C505)),UPPER(TRIM(INDEX(_ZIG_Cadastro!$B:$B,MATCH(I505,_ZIG_Cadastro!$A:$A,0))))),"OK","Atencao - Nome diverge"),IF(NOT(ISERROR(MATCH(I505,_Entradas_ZIG!$C:$C,0))),"OK","Erro - SKU nao encontrado"))))</f>
        <v/>
      </c>
      <c r="M505" s="99">
        <f>IFERROR(INDEX(_ZIG_Cadastro!$G:$G,MATCH(I505,_ZIG_Cadastro!$A:$A,0)),IF(NOT(ISERROR(MATCH(I505,_Entradas_ZIG!$C:$C,0))),"Ativo","—"))</f>
        <v/>
      </c>
      <c r="N505" s="102">
        <f>IFERROR(INDEX(_ZIG_Cadastro!$E:$E,MATCH(I505,_ZIG_Cadastro!$A:$A,0)),IFERROR(INDEX(_Entradas_ZIG!$F:$F,MATCH(I505,_Entradas_ZIG!$C:$C,0)),"—"))</f>
        <v/>
      </c>
      <c r="O505" s="99">
        <f>IF(AND(ISNUMBER(SEARCH("Espeto",N505)),ISNUMBER(SEARCH("Carin",N505))),"SIM","")</f>
        <v/>
      </c>
      <c r="P505" s="99">
        <f>IF(AND(ISNUMBER(SEARCH("Espeto",N505)),ISNUMBER(SEARCH("Lapa",N505))),"SIM","")</f>
        <v/>
      </c>
      <c r="Q505" s="99">
        <f>IF(AND(ISNUMBER(SEARCH("Espeto",N505)),ISNUMBER(SEARCH("Tatuapé",N505))),"SIM","")</f>
        <v/>
      </c>
      <c r="R505" s="99">
        <f>IF(AND(ISNUMBER(SEARCH("Espeto",N505)),ISNUMBER(SEARCH("Pavão",N505))),"SIM","")</f>
        <v/>
      </c>
      <c r="S505" s="99">
        <f>IF(AND(ISNUMBER(SEARCH("Espeto",N505)),ISNUMBER(SEARCH("Chac",N505))),"SIM","")</f>
        <v/>
      </c>
      <c r="T505" s="99">
        <f>IF(AND(ISNUMBER(SEARCH("Espeto",N505)),ISNUMBER(SEARCH("Madalena",N505))),"SIM","")</f>
        <v/>
      </c>
      <c r="U505" s="99">
        <f>IF(AND(ISNUMBER(SEARCH("Espeto",N505)),ISNUMBER(SEARCH("Mariana",N505))),"SIM","")</f>
        <v/>
      </c>
      <c r="V505" s="99">
        <f>IF(AND(ISNUMBER(SEARCH("Espeto",N505)),ISNUMBER(SEARCH("Perdizes",N505))),"SIM","")</f>
        <v/>
      </c>
      <c r="W505" s="99">
        <f>IF(AND(ISNUMBER(SEARCH("Espeto",N505)),ISNUMBER(SEARCH("Santana",N505))),"SIM","")</f>
        <v/>
      </c>
      <c r="X505" s="99">
        <f>IF(AND(ISNUMBER(SEARCH("Espeto",N505)),ISNUMBER(SEARCH("André",N505))),"SIM","")</f>
        <v/>
      </c>
      <c r="Y505" s="99">
        <f>IF(AND(ISNUMBER(SEARCH("Delivery",N505)),ISNUMBER(SEARCH("Carin",N505))),"SIM","")</f>
        <v/>
      </c>
      <c r="Z505" s="99">
        <f>IF(AND(ISNUMBER(SEARCH("Delivery",N505)),ISNUMBER(SEARCH("Lapa",N505))),"SIM","")</f>
        <v/>
      </c>
      <c r="AA505" s="99">
        <f>IF(AND(ISNUMBER(SEARCH("Delivery",N505)),ISNUMBER(SEARCH("Tatuapé",N505))),"SIM","")</f>
        <v/>
      </c>
      <c r="AB505" s="99">
        <f>IF(AND(ISNUMBER(SEARCH("Delivery",N505)),ISNUMBER(SEARCH("Pavão",N505))),"SIM","")</f>
        <v/>
      </c>
      <c r="AC505" s="99">
        <f>IF(AND(ISNUMBER(SEARCH("Delivery",N505)),ISNUMBER(SEARCH("Chac",N505))),"SIM","")</f>
        <v/>
      </c>
      <c r="AD505" s="99">
        <f>IF(AND(ISNUMBER(SEARCH("Delivery",N505)),ISNUMBER(SEARCH("Madalena",N505))),"SIM","")</f>
        <v/>
      </c>
      <c r="AE505" s="92">
        <f>IF(AND(ISNUMBER(SEARCH("Delivery",N505)),ISNUMBER(SEARCH("Mariana",N505))),"SIM","")</f>
        <v/>
      </c>
      <c r="AF505" s="92">
        <f>IF(AND(ISNUMBER(SEARCH("Delivery",N505)),ISNUMBER(SEARCH("Perdizes",N505))),"SIM","")</f>
        <v/>
      </c>
      <c r="AG505" s="92">
        <f>IF(AND(ISNUMBER(SEARCH("Delivery",N505)),ISNUMBER(SEARCH("Santana",N505))),"SIM","")</f>
        <v/>
      </c>
      <c r="AH505" s="92">
        <f>IF(AND(ISNUMBER(SEARCH("Delivery",N505)),ISNUMBER(SEARCH("André",N505))),"SIM","")</f>
        <v/>
      </c>
      <c r="AI505" s="92">
        <f>IF(ISNUMBER(SEARCH("Interlagos",N505)),"SIM","")</f>
        <v/>
      </c>
      <c r="AJ505" s="92">
        <f>IF(ISNUMBER(SEARCH("Quiosque",N505)),"SIM","")</f>
        <v/>
      </c>
      <c r="AK505" s="93" t="n"/>
    </row>
    <row r="506">
      <c r="A506" s="88" t="inlineStr">
        <is>
          <t>Protheus</t>
        </is>
      </c>
      <c r="B506" s="89" t="inlineStr">
        <is>
          <t>001069</t>
        </is>
      </c>
      <c r="C506" s="90">
        <f>IF(B506="—","—",IFERROR(VLOOKUP(B506,_Protheus_Cadastro!$A:$B,2,FALSE),"—"))</f>
        <v/>
      </c>
      <c r="D506" s="91">
        <f>IF(B506="—",IFERROR(INDEX(_ZIG_Cadastro!$D:$D,MATCH(H506,_ZIG_Cadastro!$A:$A,0)),"Produto"),IFERROR(VLOOKUP(B506,_Protheus_Cadastro!$A:$C,3,FALSE),"—"))</f>
        <v/>
      </c>
      <c r="E506" s="91">
        <f>IF(B506="—","—",IFERROR(VLOOKUP(B506,_Protheus_Cadastro!$A:$D,4,FALSE),"—"))</f>
        <v/>
      </c>
      <c r="F506" s="91">
        <f>IF(ISERROR(VLOOKUP(B506,'Estrutura Protheus'!A:A,1,FALSE)),"Não","Sim")</f>
        <v/>
      </c>
      <c r="G506" s="92">
        <f>IFERROR(INDEX(_Protheus_Cadastro!$H:$H,MATCH(B506,_Protheus_Cadastro!$A:$A,0)),"—")</f>
        <v/>
      </c>
      <c r="H506" s="210">
        <f>IFERROR(INDEX(_ZIG_Precos!$D:$D,MATCH(I506,_ZIG_Precos!$F:$F,0)),"—")</f>
        <v/>
      </c>
      <c r="I506" s="95">
        <f>IFERROR(VLOOKUP(B506,_Protheus_Cadastro!$A:$I,9,FALSE),"—")</f>
        <v/>
      </c>
      <c r="J506" s="93">
        <f>IFERROR(INDEX(_ZIG_Cadastro!$B:$B,MATCH(I506,_ZIG_Cadastro!$A:$A,0)),IFERROR(INDEX(_Entradas_ZIG!$B:$B,MATCH(I506,_Entradas_ZIG!$C:$C,0)),"—"))</f>
        <v/>
      </c>
      <c r="K506" s="93">
        <f>IFERROR(INDEX(_ZIG_Cadastro!$C:$C,MATCH(I506,_ZIG_Cadastro!$A:$A,0)),IFERROR(INDEX(_Entradas_ZIG!$D:$D,MATCH(I506,_Entradas_ZIG!$C:$C,0)),"—"))</f>
        <v/>
      </c>
      <c r="L506" s="92">
        <f>IF(I506="","Sem SKU ZIG",IF(I506="—","Sem SKU ZIG",IF(NOT(ISERROR(MATCH(I506,_ZIG_Cadastro!$A:$A,0))),IF(EXACT(UPPER(TRIM(C506)),UPPER(TRIM(INDEX(_ZIG_Cadastro!$B:$B,MATCH(I506,_ZIG_Cadastro!$A:$A,0))))),"OK","Atencao - Nome diverge"),IF(NOT(ISERROR(MATCH(I506,_Entradas_ZIG!$C:$C,0))),"OK","Erro - SKU nao encontrado"))))</f>
        <v/>
      </c>
      <c r="M506" s="92">
        <f>IFERROR(INDEX(_ZIG_Cadastro!$G:$G,MATCH(I506,_ZIG_Cadastro!$A:$A,0)),IF(NOT(ISERROR(MATCH(I506,_Entradas_ZIG!$C:$C,0))),"Ativo","—"))</f>
        <v/>
      </c>
      <c r="N506" s="94">
        <f>IFERROR(INDEX(_ZIG_Cadastro!$E:$E,MATCH(I506,_ZIG_Cadastro!$A:$A,0)),IFERROR(INDEX(_Entradas_ZIG!$F:$F,MATCH(I506,_Entradas_ZIG!$C:$C,0)),"—"))</f>
        <v/>
      </c>
      <c r="O506" s="92">
        <f>IF(AND(ISNUMBER(SEARCH("Espeto",N506)),ISNUMBER(SEARCH("Carin",N506))),"SIM","")</f>
        <v/>
      </c>
      <c r="P506" s="92">
        <f>IF(AND(ISNUMBER(SEARCH("Espeto",N506)),ISNUMBER(SEARCH("Lapa",N506))),"SIM","")</f>
        <v/>
      </c>
      <c r="Q506" s="92">
        <f>IF(AND(ISNUMBER(SEARCH("Espeto",N506)),ISNUMBER(SEARCH("Tatuapé",N506))),"SIM","")</f>
        <v/>
      </c>
      <c r="R506" s="92">
        <f>IF(AND(ISNUMBER(SEARCH("Espeto",N506)),ISNUMBER(SEARCH("Pavão",N506))),"SIM","")</f>
        <v/>
      </c>
      <c r="S506" s="92">
        <f>IF(AND(ISNUMBER(SEARCH("Espeto",N506)),ISNUMBER(SEARCH("Chac",N506))),"SIM","")</f>
        <v/>
      </c>
      <c r="T506" s="92">
        <f>IF(AND(ISNUMBER(SEARCH("Espeto",N506)),ISNUMBER(SEARCH("Madalena",N506))),"SIM","")</f>
        <v/>
      </c>
      <c r="U506" s="92">
        <f>IF(AND(ISNUMBER(SEARCH("Espeto",N506)),ISNUMBER(SEARCH("Mariana",N506))),"SIM","")</f>
        <v/>
      </c>
      <c r="V506" s="92">
        <f>IF(AND(ISNUMBER(SEARCH("Espeto",N506)),ISNUMBER(SEARCH("Perdizes",N506))),"SIM","")</f>
        <v/>
      </c>
      <c r="W506" s="92">
        <f>IF(AND(ISNUMBER(SEARCH("Espeto",N506)),ISNUMBER(SEARCH("Santana",N506))),"SIM","")</f>
        <v/>
      </c>
      <c r="X506" s="92">
        <f>IF(AND(ISNUMBER(SEARCH("Espeto",N506)),ISNUMBER(SEARCH("André",N506))),"SIM","")</f>
        <v/>
      </c>
      <c r="Y506" s="92">
        <f>IF(AND(ISNUMBER(SEARCH("Delivery",N506)),ISNUMBER(SEARCH("Carin",N506))),"SIM","")</f>
        <v/>
      </c>
      <c r="Z506" s="92">
        <f>IF(AND(ISNUMBER(SEARCH("Delivery",N506)),ISNUMBER(SEARCH("Lapa",N506))),"SIM","")</f>
        <v/>
      </c>
      <c r="AA506" s="92">
        <f>IF(AND(ISNUMBER(SEARCH("Delivery",N506)),ISNUMBER(SEARCH("Tatuapé",N506))),"SIM","")</f>
        <v/>
      </c>
      <c r="AB506" s="92">
        <f>IF(AND(ISNUMBER(SEARCH("Delivery",N506)),ISNUMBER(SEARCH("Pavão",N506))),"SIM","")</f>
        <v/>
      </c>
      <c r="AC506" s="92">
        <f>IF(AND(ISNUMBER(SEARCH("Delivery",N506)),ISNUMBER(SEARCH("Chac",N506))),"SIM","")</f>
        <v/>
      </c>
      <c r="AD506" s="92">
        <f>IF(AND(ISNUMBER(SEARCH("Delivery",N506)),ISNUMBER(SEARCH("Madalena",N506))),"SIM","")</f>
        <v/>
      </c>
      <c r="AE506" s="99">
        <f>IF(AND(ISNUMBER(SEARCH("Delivery",N506)),ISNUMBER(SEARCH("Mariana",N506))),"SIM","")</f>
        <v/>
      </c>
      <c r="AF506" s="99">
        <f>IF(AND(ISNUMBER(SEARCH("Delivery",N506)),ISNUMBER(SEARCH("Perdizes",N506))),"SIM","")</f>
        <v/>
      </c>
      <c r="AG506" s="99">
        <f>IF(AND(ISNUMBER(SEARCH("Delivery",N506)),ISNUMBER(SEARCH("Santana",N506))),"SIM","")</f>
        <v/>
      </c>
      <c r="AH506" s="99">
        <f>IF(AND(ISNUMBER(SEARCH("Delivery",N506)),ISNUMBER(SEARCH("André",N506))),"SIM","")</f>
        <v/>
      </c>
      <c r="AI506" s="99">
        <f>IF(ISNUMBER(SEARCH("Interlagos",N506)),"SIM","")</f>
        <v/>
      </c>
      <c r="AJ506" s="99">
        <f>IF(ISNUMBER(SEARCH("Quiosque",N506)),"SIM","")</f>
        <v/>
      </c>
      <c r="AK506" s="101" t="n"/>
    </row>
    <row r="507">
      <c r="A507" s="88" t="inlineStr">
        <is>
          <t>Protheus</t>
        </is>
      </c>
      <c r="B507" s="96" t="inlineStr">
        <is>
          <t>002093</t>
        </is>
      </c>
      <c r="C507" s="97">
        <f>IF(B507="—","—",IFERROR(VLOOKUP(B507,_Protheus_Cadastro!$A:$B,2,FALSE),"—"))</f>
        <v/>
      </c>
      <c r="D507" s="98">
        <f>IF(B507="—",IFERROR(INDEX(_ZIG_Cadastro!$D:$D,MATCH(H507,_ZIG_Cadastro!$A:$A,0)),"Produto"),IFERROR(VLOOKUP(B507,_Protheus_Cadastro!$A:$C,3,FALSE),"—"))</f>
        <v/>
      </c>
      <c r="E507" s="98">
        <f>IF(B507="—","—",IFERROR(VLOOKUP(B507,_Protheus_Cadastro!$A:$D,4,FALSE),"—"))</f>
        <v/>
      </c>
      <c r="F507" s="98">
        <f>IF(ISERROR(VLOOKUP(B507,'Estrutura Protheus'!A:A,1,FALSE)),"Não","Sim")</f>
        <v/>
      </c>
      <c r="G507" s="99">
        <f>IFERROR(INDEX(_Protheus_Cadastro!$H:$H,MATCH(B507,_Protheus_Cadastro!$A:$A,0)),"—")</f>
        <v/>
      </c>
      <c r="H507" s="211">
        <f>IFERROR(INDEX(_ZIG_Precos!$D:$D,MATCH(I507,_ZIG_Precos!$F:$F,0)),"—")</f>
        <v/>
      </c>
      <c r="I507" s="103">
        <f>IFERROR(VLOOKUP(B507,_Protheus_Cadastro!$A:$I,9,FALSE),"—")</f>
        <v/>
      </c>
      <c r="J507" s="101">
        <f>IFERROR(INDEX(_ZIG_Cadastro!$B:$B,MATCH(I507,_ZIG_Cadastro!$A:$A,0)),IFERROR(INDEX(_Entradas_ZIG!$B:$B,MATCH(I507,_Entradas_ZIG!$C:$C,0)),"—"))</f>
        <v/>
      </c>
      <c r="K507" s="101">
        <f>IFERROR(INDEX(_ZIG_Cadastro!$C:$C,MATCH(I507,_ZIG_Cadastro!$A:$A,0)),IFERROR(INDEX(_Entradas_ZIG!$D:$D,MATCH(I507,_Entradas_ZIG!$C:$C,0)),"—"))</f>
        <v/>
      </c>
      <c r="L507" s="99">
        <f>IF(I507="","Sem SKU ZIG",IF(I507="—","Sem SKU ZIG",IF(NOT(ISERROR(MATCH(I507,_ZIG_Cadastro!$A:$A,0))),IF(EXACT(UPPER(TRIM(C507)),UPPER(TRIM(INDEX(_ZIG_Cadastro!$B:$B,MATCH(I507,_ZIG_Cadastro!$A:$A,0))))),"OK","Atencao - Nome diverge"),IF(NOT(ISERROR(MATCH(I507,_Entradas_ZIG!$C:$C,0))),"OK","Erro - SKU nao encontrado"))))</f>
        <v/>
      </c>
      <c r="M507" s="99">
        <f>IFERROR(INDEX(_ZIG_Cadastro!$G:$G,MATCH(I507,_ZIG_Cadastro!$A:$A,0)),IF(NOT(ISERROR(MATCH(I507,_Entradas_ZIG!$C:$C,0))),"Ativo","—"))</f>
        <v/>
      </c>
      <c r="N507" s="102">
        <f>IFERROR(INDEX(_ZIG_Cadastro!$E:$E,MATCH(I507,_ZIG_Cadastro!$A:$A,0)),IFERROR(INDEX(_Entradas_ZIG!$F:$F,MATCH(I507,_Entradas_ZIG!$C:$C,0)),"—"))</f>
        <v/>
      </c>
      <c r="O507" s="99">
        <f>IF(AND(ISNUMBER(SEARCH("Espeto",N507)),ISNUMBER(SEARCH("Carin",N507))),"SIM","")</f>
        <v/>
      </c>
      <c r="P507" s="99">
        <f>IF(AND(ISNUMBER(SEARCH("Espeto",N507)),ISNUMBER(SEARCH("Lapa",N507))),"SIM","")</f>
        <v/>
      </c>
      <c r="Q507" s="99">
        <f>IF(AND(ISNUMBER(SEARCH("Espeto",N507)),ISNUMBER(SEARCH("Tatuapé",N507))),"SIM","")</f>
        <v/>
      </c>
      <c r="R507" s="99">
        <f>IF(AND(ISNUMBER(SEARCH("Espeto",N507)),ISNUMBER(SEARCH("Pavão",N507))),"SIM","")</f>
        <v/>
      </c>
      <c r="S507" s="99">
        <f>IF(AND(ISNUMBER(SEARCH("Espeto",N507)),ISNUMBER(SEARCH("Chac",N507))),"SIM","")</f>
        <v/>
      </c>
      <c r="T507" s="99">
        <f>IF(AND(ISNUMBER(SEARCH("Espeto",N507)),ISNUMBER(SEARCH("Madalena",N507))),"SIM","")</f>
        <v/>
      </c>
      <c r="U507" s="99">
        <f>IF(AND(ISNUMBER(SEARCH("Espeto",N507)),ISNUMBER(SEARCH("Mariana",N507))),"SIM","")</f>
        <v/>
      </c>
      <c r="V507" s="99">
        <f>IF(AND(ISNUMBER(SEARCH("Espeto",N507)),ISNUMBER(SEARCH("Perdizes",N507))),"SIM","")</f>
        <v/>
      </c>
      <c r="W507" s="99">
        <f>IF(AND(ISNUMBER(SEARCH("Espeto",N507)),ISNUMBER(SEARCH("Santana",N507))),"SIM","")</f>
        <v/>
      </c>
      <c r="X507" s="99">
        <f>IF(AND(ISNUMBER(SEARCH("Espeto",N507)),ISNUMBER(SEARCH("André",N507))),"SIM","")</f>
        <v/>
      </c>
      <c r="Y507" s="99">
        <f>IF(AND(ISNUMBER(SEARCH("Delivery",N507)),ISNUMBER(SEARCH("Carin",N507))),"SIM","")</f>
        <v/>
      </c>
      <c r="Z507" s="99">
        <f>IF(AND(ISNUMBER(SEARCH("Delivery",N507)),ISNUMBER(SEARCH("Lapa",N507))),"SIM","")</f>
        <v/>
      </c>
      <c r="AA507" s="99">
        <f>IF(AND(ISNUMBER(SEARCH("Delivery",N507)),ISNUMBER(SEARCH("Tatuapé",N507))),"SIM","")</f>
        <v/>
      </c>
      <c r="AB507" s="99">
        <f>IF(AND(ISNUMBER(SEARCH("Delivery",N507)),ISNUMBER(SEARCH("Pavão",N507))),"SIM","")</f>
        <v/>
      </c>
      <c r="AC507" s="99">
        <f>IF(AND(ISNUMBER(SEARCH("Delivery",N507)),ISNUMBER(SEARCH("Chac",N507))),"SIM","")</f>
        <v/>
      </c>
      <c r="AD507" s="99">
        <f>IF(AND(ISNUMBER(SEARCH("Delivery",N507)),ISNUMBER(SEARCH("Madalena",N507))),"SIM","")</f>
        <v/>
      </c>
      <c r="AE507" s="92">
        <f>IF(AND(ISNUMBER(SEARCH("Delivery",N507)),ISNUMBER(SEARCH("Mariana",N507))),"SIM","")</f>
        <v/>
      </c>
      <c r="AF507" s="92">
        <f>IF(AND(ISNUMBER(SEARCH("Delivery",N507)),ISNUMBER(SEARCH("Perdizes",N507))),"SIM","")</f>
        <v/>
      </c>
      <c r="AG507" s="92">
        <f>IF(AND(ISNUMBER(SEARCH("Delivery",N507)),ISNUMBER(SEARCH("Santana",N507))),"SIM","")</f>
        <v/>
      </c>
      <c r="AH507" s="92">
        <f>IF(AND(ISNUMBER(SEARCH("Delivery",N507)),ISNUMBER(SEARCH("André",N507))),"SIM","")</f>
        <v/>
      </c>
      <c r="AI507" s="92">
        <f>IF(ISNUMBER(SEARCH("Interlagos",N507)),"SIM","")</f>
        <v/>
      </c>
      <c r="AJ507" s="92">
        <f>IF(ISNUMBER(SEARCH("Quiosque",N507)),"SIM","")</f>
        <v/>
      </c>
      <c r="AK507" s="93" t="n"/>
    </row>
    <row r="508">
      <c r="A508" s="88" t="inlineStr">
        <is>
          <t>Protheus</t>
        </is>
      </c>
      <c r="B508" s="89" t="inlineStr">
        <is>
          <t>010357</t>
        </is>
      </c>
      <c r="C508" s="125">
        <f>IF(B508="—","—",IFERROR(VLOOKUP(B508,_Protheus_Cadastro!$A:$B,2,FALSE),"—"))</f>
        <v/>
      </c>
      <c r="D508" s="91">
        <f>IF(B508="—",IFERROR(INDEX(_ZIG_Cadastro!$D:$D,MATCH(H508,_ZIG_Cadastro!$A:$A,0)),"Produto"),IFERROR(VLOOKUP(B508,_Protheus_Cadastro!$A:$C,3,FALSE),"—"))</f>
        <v/>
      </c>
      <c r="E508" s="91">
        <f>IF(B508="—","—",IFERROR(VLOOKUP(B508,_Protheus_Cadastro!$A:$D,4,FALSE),"—"))</f>
        <v/>
      </c>
      <c r="F508" s="91">
        <f>IF(ISERROR(VLOOKUP(B508,'Estrutura Protheus'!A:A,1,FALSE)),"Não","Sim")</f>
        <v/>
      </c>
      <c r="G508" s="92">
        <f>IFERROR(INDEX(_Protheus_Cadastro!$H:$H,MATCH(B508,_Protheus_Cadastro!$A:$A,0)),"—")</f>
        <v/>
      </c>
      <c r="H508" s="210">
        <f>IFERROR(INDEX(_ZIG_Precos!$D:$D,MATCH(I508,_ZIG_Precos!$F:$F,0)),"—")</f>
        <v/>
      </c>
      <c r="I508" s="95">
        <f>IFERROR(VLOOKUP(B508,_Protheus_Cadastro!$A:$I,9,FALSE),"—")</f>
        <v/>
      </c>
      <c r="J508" s="93">
        <f>IFERROR(INDEX(_ZIG_Cadastro!$B:$B,MATCH(I508,_ZIG_Cadastro!$A:$A,0)),IFERROR(INDEX(_Entradas_ZIG!$B:$B,MATCH(I508,_Entradas_ZIG!$C:$C,0)),"—"))</f>
        <v/>
      </c>
      <c r="K508" s="93">
        <f>IFERROR(INDEX(_ZIG_Cadastro!$C:$C,MATCH(I508,_ZIG_Cadastro!$A:$A,0)),IFERROR(INDEX(_Entradas_ZIG!$D:$D,MATCH(I508,_Entradas_ZIG!$C:$C,0)),"—"))</f>
        <v/>
      </c>
      <c r="L508" s="92">
        <f>IF(I508="","Sem SKU ZIG",IF(I508="—","Sem SKU ZIG",IF(NOT(ISERROR(MATCH(I508,_ZIG_Cadastro!$A:$A,0))),IF(EXACT(UPPER(TRIM(C508)),UPPER(TRIM(INDEX(_ZIG_Cadastro!$B:$B,MATCH(I508,_ZIG_Cadastro!$A:$A,0))))),"OK","Atencao - Nome diverge"),IF(NOT(ISERROR(MATCH(I508,_Entradas_ZIG!$C:$C,0))),"OK","Erro - SKU nao encontrado"))))</f>
        <v/>
      </c>
      <c r="M508" s="92">
        <f>IFERROR(INDEX(_ZIG_Cadastro!$G:$G,MATCH(I508,_ZIG_Cadastro!$A:$A,0)),IF(NOT(ISERROR(MATCH(I508,_Entradas_ZIG!$C:$C,0))),"Ativo","—"))</f>
        <v/>
      </c>
      <c r="N508" s="94">
        <f>IFERROR(INDEX(_ZIG_Cadastro!$E:$E,MATCH(I508,_ZIG_Cadastro!$A:$A,0)),IFERROR(INDEX(_Entradas_ZIG!$F:$F,MATCH(I508,_Entradas_ZIG!$C:$C,0)),"—"))</f>
        <v/>
      </c>
      <c r="O508" s="92">
        <f>IF(AND(ISNUMBER(SEARCH("Espeto",N508)),ISNUMBER(SEARCH("Carin",N508))),"SIM","")</f>
        <v/>
      </c>
      <c r="P508" s="92">
        <f>IF(AND(ISNUMBER(SEARCH("Espeto",N508)),ISNUMBER(SEARCH("Lapa",N508))),"SIM","")</f>
        <v/>
      </c>
      <c r="Q508" s="92">
        <f>IF(AND(ISNUMBER(SEARCH("Espeto",N508)),ISNUMBER(SEARCH("Tatuapé",N508))),"SIM","")</f>
        <v/>
      </c>
      <c r="R508" s="92">
        <f>IF(AND(ISNUMBER(SEARCH("Espeto",N508)),ISNUMBER(SEARCH("Pavão",N508))),"SIM","")</f>
        <v/>
      </c>
      <c r="S508" s="92">
        <f>IF(AND(ISNUMBER(SEARCH("Espeto",N508)),ISNUMBER(SEARCH("Chac",N508))),"SIM","")</f>
        <v/>
      </c>
      <c r="T508" s="92">
        <f>IF(AND(ISNUMBER(SEARCH("Espeto",N508)),ISNUMBER(SEARCH("Madalena",N508))),"SIM","")</f>
        <v/>
      </c>
      <c r="U508" s="92">
        <f>IF(AND(ISNUMBER(SEARCH("Espeto",N508)),ISNUMBER(SEARCH("Mariana",N508))),"SIM","")</f>
        <v/>
      </c>
      <c r="V508" s="92">
        <f>IF(AND(ISNUMBER(SEARCH("Espeto",N508)),ISNUMBER(SEARCH("Perdizes",N508))),"SIM","")</f>
        <v/>
      </c>
      <c r="W508" s="92">
        <f>IF(AND(ISNUMBER(SEARCH("Espeto",N508)),ISNUMBER(SEARCH("Santana",N508))),"SIM","")</f>
        <v/>
      </c>
      <c r="X508" s="92">
        <f>IF(AND(ISNUMBER(SEARCH("Espeto",N508)),ISNUMBER(SEARCH("André",N508))),"SIM","")</f>
        <v/>
      </c>
      <c r="Y508" s="92">
        <f>IF(AND(ISNUMBER(SEARCH("Delivery",N508)),ISNUMBER(SEARCH("Carin",N508))),"SIM","")</f>
        <v/>
      </c>
      <c r="Z508" s="92">
        <f>IF(AND(ISNUMBER(SEARCH("Delivery",N508)),ISNUMBER(SEARCH("Lapa",N508))),"SIM","")</f>
        <v/>
      </c>
      <c r="AA508" s="92">
        <f>IF(AND(ISNUMBER(SEARCH("Delivery",N508)),ISNUMBER(SEARCH("Tatuapé",N508))),"SIM","")</f>
        <v/>
      </c>
      <c r="AB508" s="92">
        <f>IF(AND(ISNUMBER(SEARCH("Delivery",N508)),ISNUMBER(SEARCH("Pavão",N508))),"SIM","")</f>
        <v/>
      </c>
      <c r="AC508" s="92">
        <f>IF(AND(ISNUMBER(SEARCH("Delivery",N508)),ISNUMBER(SEARCH("Chac",N508))),"SIM","")</f>
        <v/>
      </c>
      <c r="AD508" s="92">
        <f>IF(AND(ISNUMBER(SEARCH("Delivery",N508)),ISNUMBER(SEARCH("Madalena",N508))),"SIM","")</f>
        <v/>
      </c>
      <c r="AE508" s="99">
        <f>IF(AND(ISNUMBER(SEARCH("Delivery",N508)),ISNUMBER(SEARCH("Mariana",N508))),"SIM","")</f>
        <v/>
      </c>
      <c r="AF508" s="99">
        <f>IF(AND(ISNUMBER(SEARCH("Delivery",N508)),ISNUMBER(SEARCH("Perdizes",N508))),"SIM","")</f>
        <v/>
      </c>
      <c r="AG508" s="99">
        <f>IF(AND(ISNUMBER(SEARCH("Delivery",N508)),ISNUMBER(SEARCH("Santana",N508))),"SIM","")</f>
        <v/>
      </c>
      <c r="AH508" s="99">
        <f>IF(AND(ISNUMBER(SEARCH("Delivery",N508)),ISNUMBER(SEARCH("André",N508))),"SIM","")</f>
        <v/>
      </c>
      <c r="AI508" s="99">
        <f>IF(ISNUMBER(SEARCH("Interlagos",N508)),"SIM","")</f>
        <v/>
      </c>
      <c r="AJ508" s="99">
        <f>IF(ISNUMBER(SEARCH("Quiosque",N508)),"SIM","")</f>
        <v/>
      </c>
      <c r="AK508" s="101" t="n"/>
    </row>
    <row r="509">
      <c r="A509" s="88" t="inlineStr">
        <is>
          <t>Protheus</t>
        </is>
      </c>
      <c r="B509" s="96" t="inlineStr">
        <is>
          <t>000280</t>
        </is>
      </c>
      <c r="C509" s="97">
        <f>IF(B509="—","—",IFERROR(VLOOKUP(B509,_Protheus_Cadastro!$A:$B,2,FALSE),"—"))</f>
        <v/>
      </c>
      <c r="D509" s="98">
        <f>IF(B509="—",IFERROR(INDEX(_ZIG_Cadastro!$D:$D,MATCH(H509,_ZIG_Cadastro!$A:$A,0)),"Produto"),IFERROR(VLOOKUP(B509,_Protheus_Cadastro!$A:$C,3,FALSE),"—"))</f>
        <v/>
      </c>
      <c r="E509" s="98">
        <f>IF(B509="—","—",IFERROR(VLOOKUP(B509,_Protheus_Cadastro!$A:$D,4,FALSE),"—"))</f>
        <v/>
      </c>
      <c r="F509" s="98">
        <f>IF(ISERROR(VLOOKUP(B509,'Estrutura Protheus'!A:A,1,FALSE)),"Não","Sim")</f>
        <v/>
      </c>
      <c r="G509" s="99">
        <f>IFERROR(INDEX(_Protheus_Cadastro!$H:$H,MATCH(B509,_Protheus_Cadastro!$A:$A,0)),"—")</f>
        <v/>
      </c>
      <c r="H509" s="211">
        <f>IFERROR(INDEX(_ZIG_Precos!$D:$D,MATCH(I509,_ZIG_Precos!$F:$F,0)),"—")</f>
        <v/>
      </c>
      <c r="I509" s="103">
        <f>IFERROR(VLOOKUP(B509,_Protheus_Cadastro!$A:$I,9,FALSE),"—")</f>
        <v/>
      </c>
      <c r="J509" s="101">
        <f>IFERROR(INDEX(_ZIG_Cadastro!$B:$B,MATCH(I509,_ZIG_Cadastro!$A:$A,0)),IFERROR(INDEX(_Entradas_ZIG!$B:$B,MATCH(I509,_Entradas_ZIG!$C:$C,0)),"—"))</f>
        <v/>
      </c>
      <c r="K509" s="101">
        <f>IFERROR(INDEX(_ZIG_Cadastro!$C:$C,MATCH(I509,_ZIG_Cadastro!$A:$A,0)),IFERROR(INDEX(_Entradas_ZIG!$D:$D,MATCH(I509,_Entradas_ZIG!$C:$C,0)),"—"))</f>
        <v/>
      </c>
      <c r="L509" s="99">
        <f>IF(I509="","Sem SKU ZIG",IF(I509="—","Sem SKU ZIG",IF(NOT(ISERROR(MATCH(I509,_ZIG_Cadastro!$A:$A,0))),IF(EXACT(UPPER(TRIM(C509)),UPPER(TRIM(INDEX(_ZIG_Cadastro!$B:$B,MATCH(I509,_ZIG_Cadastro!$A:$A,0))))),"OK","Atencao - Nome diverge"),IF(NOT(ISERROR(MATCH(I509,_Entradas_ZIG!$C:$C,0))),"OK","Erro - SKU nao encontrado"))))</f>
        <v/>
      </c>
      <c r="M509" s="99">
        <f>IFERROR(INDEX(_ZIG_Cadastro!$G:$G,MATCH(I509,_ZIG_Cadastro!$A:$A,0)),IF(NOT(ISERROR(MATCH(I509,_Entradas_ZIG!$C:$C,0))),"Ativo","—"))</f>
        <v/>
      </c>
      <c r="N509" s="102">
        <f>IFERROR(INDEX(_ZIG_Cadastro!$E:$E,MATCH(I509,_ZIG_Cadastro!$A:$A,0)),IFERROR(INDEX(_Entradas_ZIG!$F:$F,MATCH(I509,_Entradas_ZIG!$C:$C,0)),"—"))</f>
        <v/>
      </c>
      <c r="O509" s="99">
        <f>IF(AND(ISNUMBER(SEARCH("Espeto",N509)),ISNUMBER(SEARCH("Carin",N509))),"SIM","")</f>
        <v/>
      </c>
      <c r="P509" s="99">
        <f>IF(AND(ISNUMBER(SEARCH("Espeto",N509)),ISNUMBER(SEARCH("Lapa",N509))),"SIM","")</f>
        <v/>
      </c>
      <c r="Q509" s="99">
        <f>IF(AND(ISNUMBER(SEARCH("Espeto",N509)),ISNUMBER(SEARCH("Tatuapé",N509))),"SIM","")</f>
        <v/>
      </c>
      <c r="R509" s="99">
        <f>IF(AND(ISNUMBER(SEARCH("Espeto",N509)),ISNUMBER(SEARCH("Pavão",N509))),"SIM","")</f>
        <v/>
      </c>
      <c r="S509" s="99">
        <f>IF(AND(ISNUMBER(SEARCH("Espeto",N509)),ISNUMBER(SEARCH("Chac",N509))),"SIM","")</f>
        <v/>
      </c>
      <c r="T509" s="99">
        <f>IF(AND(ISNUMBER(SEARCH("Espeto",N509)),ISNUMBER(SEARCH("Madalena",N509))),"SIM","")</f>
        <v/>
      </c>
      <c r="U509" s="99">
        <f>IF(AND(ISNUMBER(SEARCH("Espeto",N509)),ISNUMBER(SEARCH("Mariana",N509))),"SIM","")</f>
        <v/>
      </c>
      <c r="V509" s="99">
        <f>IF(AND(ISNUMBER(SEARCH("Espeto",N509)),ISNUMBER(SEARCH("Perdizes",N509))),"SIM","")</f>
        <v/>
      </c>
      <c r="W509" s="99">
        <f>IF(AND(ISNUMBER(SEARCH("Espeto",N509)),ISNUMBER(SEARCH("Santana",N509))),"SIM","")</f>
        <v/>
      </c>
      <c r="X509" s="99">
        <f>IF(AND(ISNUMBER(SEARCH("Espeto",N509)),ISNUMBER(SEARCH("André",N509))),"SIM","")</f>
        <v/>
      </c>
      <c r="Y509" s="99">
        <f>IF(AND(ISNUMBER(SEARCH("Delivery",N509)),ISNUMBER(SEARCH("Carin",N509))),"SIM","")</f>
        <v/>
      </c>
      <c r="Z509" s="99">
        <f>IF(AND(ISNUMBER(SEARCH("Delivery",N509)),ISNUMBER(SEARCH("Lapa",N509))),"SIM","")</f>
        <v/>
      </c>
      <c r="AA509" s="99">
        <f>IF(AND(ISNUMBER(SEARCH("Delivery",N509)),ISNUMBER(SEARCH("Tatuapé",N509))),"SIM","")</f>
        <v/>
      </c>
      <c r="AB509" s="99">
        <f>IF(AND(ISNUMBER(SEARCH("Delivery",N509)),ISNUMBER(SEARCH("Pavão",N509))),"SIM","")</f>
        <v/>
      </c>
      <c r="AC509" s="99">
        <f>IF(AND(ISNUMBER(SEARCH("Delivery",N509)),ISNUMBER(SEARCH("Chac",N509))),"SIM","")</f>
        <v/>
      </c>
      <c r="AD509" s="99">
        <f>IF(AND(ISNUMBER(SEARCH("Delivery",N509)),ISNUMBER(SEARCH("Madalena",N509))),"SIM","")</f>
        <v/>
      </c>
      <c r="AE509" s="92">
        <f>IF(AND(ISNUMBER(SEARCH("Delivery",N509)),ISNUMBER(SEARCH("Mariana",N509))),"SIM","")</f>
        <v/>
      </c>
      <c r="AF509" s="92">
        <f>IF(AND(ISNUMBER(SEARCH("Delivery",N509)),ISNUMBER(SEARCH("Perdizes",N509))),"SIM","")</f>
        <v/>
      </c>
      <c r="AG509" s="92">
        <f>IF(AND(ISNUMBER(SEARCH("Delivery",N509)),ISNUMBER(SEARCH("Santana",N509))),"SIM","")</f>
        <v/>
      </c>
      <c r="AH509" s="92">
        <f>IF(AND(ISNUMBER(SEARCH("Delivery",N509)),ISNUMBER(SEARCH("André",N509))),"SIM","")</f>
        <v/>
      </c>
      <c r="AI509" s="92">
        <f>IF(ISNUMBER(SEARCH("Interlagos",N509)),"SIM","")</f>
        <v/>
      </c>
      <c r="AJ509" s="92">
        <f>IF(ISNUMBER(SEARCH("Quiosque",N509)),"SIM","")</f>
        <v/>
      </c>
      <c r="AK509" s="93" t="n"/>
    </row>
    <row r="510">
      <c r="A510" s="88" t="inlineStr">
        <is>
          <t>Protheus</t>
        </is>
      </c>
      <c r="B510" s="89" t="inlineStr">
        <is>
          <t>001070</t>
        </is>
      </c>
      <c r="C510" s="90">
        <f>IF(B510="—","—",IFERROR(VLOOKUP(B510,_Protheus_Cadastro!$A:$B,2,FALSE),"—"))</f>
        <v/>
      </c>
      <c r="D510" s="91">
        <f>IF(B510="—",IFERROR(INDEX(_ZIG_Cadastro!$D:$D,MATCH(H510,_ZIG_Cadastro!$A:$A,0)),"Produto"),IFERROR(VLOOKUP(B510,_Protheus_Cadastro!$A:$C,3,FALSE),"—"))</f>
        <v/>
      </c>
      <c r="E510" s="91">
        <f>IF(B510="—","—",IFERROR(VLOOKUP(B510,_Protheus_Cadastro!$A:$D,4,FALSE),"—"))</f>
        <v/>
      </c>
      <c r="F510" s="91">
        <f>IF(ISERROR(VLOOKUP(B510,'Estrutura Protheus'!A:A,1,FALSE)),"Não","Sim")</f>
        <v/>
      </c>
      <c r="G510" s="92">
        <f>IFERROR(INDEX(_Protheus_Cadastro!$H:$H,MATCH(B510,_Protheus_Cadastro!$A:$A,0)),"—")</f>
        <v/>
      </c>
      <c r="H510" s="210">
        <f>IFERROR(INDEX(_ZIG_Precos!$D:$D,MATCH(I510,_ZIG_Precos!$F:$F,0)),"—")</f>
        <v/>
      </c>
      <c r="I510" s="95">
        <f>IFERROR(VLOOKUP(B510,_Protheus_Cadastro!$A:$I,9,FALSE),"—")</f>
        <v/>
      </c>
      <c r="J510" s="93">
        <f>IFERROR(INDEX(_ZIG_Cadastro!$B:$B,MATCH(I510,_ZIG_Cadastro!$A:$A,0)),IFERROR(INDEX(_Entradas_ZIG!$B:$B,MATCH(I510,_Entradas_ZIG!$C:$C,0)),"—"))</f>
        <v/>
      </c>
      <c r="K510" s="93">
        <f>IFERROR(INDEX(_ZIG_Cadastro!$C:$C,MATCH(I510,_ZIG_Cadastro!$A:$A,0)),IFERROR(INDEX(_Entradas_ZIG!$D:$D,MATCH(I510,_Entradas_ZIG!$C:$C,0)),"—"))</f>
        <v/>
      </c>
      <c r="L510" s="92">
        <f>IF(I510="","Sem SKU ZIG",IF(I510="—","Sem SKU ZIG",IF(NOT(ISERROR(MATCH(I510,_ZIG_Cadastro!$A:$A,0))),IF(EXACT(UPPER(TRIM(C510)),UPPER(TRIM(INDEX(_ZIG_Cadastro!$B:$B,MATCH(I510,_ZIG_Cadastro!$A:$A,0))))),"OK","Atencao - Nome diverge"),IF(NOT(ISERROR(MATCH(I510,_Entradas_ZIG!$C:$C,0))),"OK","Erro - SKU nao encontrado"))))</f>
        <v/>
      </c>
      <c r="M510" s="92">
        <f>IFERROR(INDEX(_ZIG_Cadastro!$G:$G,MATCH(I510,_ZIG_Cadastro!$A:$A,0)),IF(NOT(ISERROR(MATCH(I510,_Entradas_ZIG!$C:$C,0))),"Ativo","—"))</f>
        <v/>
      </c>
      <c r="N510" s="94">
        <f>IFERROR(INDEX(_ZIG_Cadastro!$E:$E,MATCH(I510,_ZIG_Cadastro!$A:$A,0)),IFERROR(INDEX(_Entradas_ZIG!$F:$F,MATCH(I510,_Entradas_ZIG!$C:$C,0)),"—"))</f>
        <v/>
      </c>
      <c r="O510" s="92">
        <f>IF(AND(ISNUMBER(SEARCH("Espeto",N510)),ISNUMBER(SEARCH("Carin",N510))),"SIM","")</f>
        <v/>
      </c>
      <c r="P510" s="92">
        <f>IF(AND(ISNUMBER(SEARCH("Espeto",N510)),ISNUMBER(SEARCH("Lapa",N510))),"SIM","")</f>
        <v/>
      </c>
      <c r="Q510" s="92">
        <f>IF(AND(ISNUMBER(SEARCH("Espeto",N510)),ISNUMBER(SEARCH("Tatuapé",N510))),"SIM","")</f>
        <v/>
      </c>
      <c r="R510" s="92">
        <f>IF(AND(ISNUMBER(SEARCH("Espeto",N510)),ISNUMBER(SEARCH("Pavão",N510))),"SIM","")</f>
        <v/>
      </c>
      <c r="S510" s="92">
        <f>IF(AND(ISNUMBER(SEARCH("Espeto",N510)),ISNUMBER(SEARCH("Chac",N510))),"SIM","")</f>
        <v/>
      </c>
      <c r="T510" s="92">
        <f>IF(AND(ISNUMBER(SEARCH("Espeto",N510)),ISNUMBER(SEARCH("Madalena",N510))),"SIM","")</f>
        <v/>
      </c>
      <c r="U510" s="92">
        <f>IF(AND(ISNUMBER(SEARCH("Espeto",N510)),ISNUMBER(SEARCH("Mariana",N510))),"SIM","")</f>
        <v/>
      </c>
      <c r="V510" s="92">
        <f>IF(AND(ISNUMBER(SEARCH("Espeto",N510)),ISNUMBER(SEARCH("Perdizes",N510))),"SIM","")</f>
        <v/>
      </c>
      <c r="W510" s="92">
        <f>IF(AND(ISNUMBER(SEARCH("Espeto",N510)),ISNUMBER(SEARCH("Santana",N510))),"SIM","")</f>
        <v/>
      </c>
      <c r="X510" s="92">
        <f>IF(AND(ISNUMBER(SEARCH("Espeto",N510)),ISNUMBER(SEARCH("André",N510))),"SIM","")</f>
        <v/>
      </c>
      <c r="Y510" s="92">
        <f>IF(AND(ISNUMBER(SEARCH("Delivery",N510)),ISNUMBER(SEARCH("Carin",N510))),"SIM","")</f>
        <v/>
      </c>
      <c r="Z510" s="92">
        <f>IF(AND(ISNUMBER(SEARCH("Delivery",N510)),ISNUMBER(SEARCH("Lapa",N510))),"SIM","")</f>
        <v/>
      </c>
      <c r="AA510" s="92">
        <f>IF(AND(ISNUMBER(SEARCH("Delivery",N510)),ISNUMBER(SEARCH("Tatuapé",N510))),"SIM","")</f>
        <v/>
      </c>
      <c r="AB510" s="92">
        <f>IF(AND(ISNUMBER(SEARCH("Delivery",N510)),ISNUMBER(SEARCH("Pavão",N510))),"SIM","")</f>
        <v/>
      </c>
      <c r="AC510" s="92">
        <f>IF(AND(ISNUMBER(SEARCH("Delivery",N510)),ISNUMBER(SEARCH("Chac",N510))),"SIM","")</f>
        <v/>
      </c>
      <c r="AD510" s="92">
        <f>IF(AND(ISNUMBER(SEARCH("Delivery",N510)),ISNUMBER(SEARCH("Madalena",N510))),"SIM","")</f>
        <v/>
      </c>
      <c r="AE510" s="99">
        <f>IF(AND(ISNUMBER(SEARCH("Delivery",N510)),ISNUMBER(SEARCH("Mariana",N510))),"SIM","")</f>
        <v/>
      </c>
      <c r="AF510" s="99">
        <f>IF(AND(ISNUMBER(SEARCH("Delivery",N510)),ISNUMBER(SEARCH("Perdizes",N510))),"SIM","")</f>
        <v/>
      </c>
      <c r="AG510" s="99">
        <f>IF(AND(ISNUMBER(SEARCH("Delivery",N510)),ISNUMBER(SEARCH("Santana",N510))),"SIM","")</f>
        <v/>
      </c>
      <c r="AH510" s="99">
        <f>IF(AND(ISNUMBER(SEARCH("Delivery",N510)),ISNUMBER(SEARCH("André",N510))),"SIM","")</f>
        <v/>
      </c>
      <c r="AI510" s="99">
        <f>IF(ISNUMBER(SEARCH("Interlagos",N510)),"SIM","")</f>
        <v/>
      </c>
      <c r="AJ510" s="99">
        <f>IF(ISNUMBER(SEARCH("Quiosque",N510)),"SIM","")</f>
        <v/>
      </c>
      <c r="AK510" s="101" t="n"/>
    </row>
    <row r="511">
      <c r="A511" s="88" t="inlineStr">
        <is>
          <t>Protheus</t>
        </is>
      </c>
      <c r="B511" s="96" t="inlineStr">
        <is>
          <t>002213</t>
        </is>
      </c>
      <c r="C511" s="97">
        <f>IF(B511="—","—",IFERROR(VLOOKUP(B511,_Protheus_Cadastro!$A:$B,2,FALSE),"—"))</f>
        <v/>
      </c>
      <c r="D511" s="98">
        <f>IF(B511="—",IFERROR(INDEX(_ZIG_Cadastro!$D:$D,MATCH(H511,_ZIG_Cadastro!$A:$A,0)),"Produto"),IFERROR(VLOOKUP(B511,_Protheus_Cadastro!$A:$C,3,FALSE),"—"))</f>
        <v/>
      </c>
      <c r="E511" s="98">
        <f>IF(B511="—","—",IFERROR(VLOOKUP(B511,_Protheus_Cadastro!$A:$D,4,FALSE),"—"))</f>
        <v/>
      </c>
      <c r="F511" s="98">
        <f>IF(ISERROR(VLOOKUP(B511,'Estrutura Protheus'!A:A,1,FALSE)),"Não","Sim")</f>
        <v/>
      </c>
      <c r="G511" s="99">
        <f>IFERROR(INDEX(_Protheus_Cadastro!$H:$H,MATCH(B511,_Protheus_Cadastro!$A:$A,0)),"—")</f>
        <v/>
      </c>
      <c r="H511" s="211">
        <f>IFERROR(INDEX(_ZIG_Precos!$D:$D,MATCH(I511,_ZIG_Precos!$F:$F,0)),"—")</f>
        <v/>
      </c>
      <c r="I511" s="103">
        <f>IFERROR(VLOOKUP(B511,_Protheus_Cadastro!$A:$I,9,FALSE),"—")</f>
        <v/>
      </c>
      <c r="J511" s="101">
        <f>IFERROR(INDEX(_ZIG_Cadastro!$B:$B,MATCH(I511,_ZIG_Cadastro!$A:$A,0)),IFERROR(INDEX(_Entradas_ZIG!$B:$B,MATCH(I511,_Entradas_ZIG!$C:$C,0)),"—"))</f>
        <v/>
      </c>
      <c r="K511" s="101">
        <f>IFERROR(INDEX(_ZIG_Cadastro!$C:$C,MATCH(I511,_ZIG_Cadastro!$A:$A,0)),IFERROR(INDEX(_Entradas_ZIG!$D:$D,MATCH(I511,_Entradas_ZIG!$C:$C,0)),"—"))</f>
        <v/>
      </c>
      <c r="L511" s="99">
        <f>IF(I511="","Sem SKU ZIG",IF(I511="—","Sem SKU ZIG",IF(NOT(ISERROR(MATCH(I511,_ZIG_Cadastro!$A:$A,0))),IF(EXACT(UPPER(TRIM(C511)),UPPER(TRIM(INDEX(_ZIG_Cadastro!$B:$B,MATCH(I511,_ZIG_Cadastro!$A:$A,0))))),"OK","Atencao - Nome diverge"),IF(NOT(ISERROR(MATCH(I511,_Entradas_ZIG!$C:$C,0))),"OK","Erro - SKU nao encontrado"))))</f>
        <v/>
      </c>
      <c r="M511" s="99">
        <f>IFERROR(INDEX(_ZIG_Cadastro!$G:$G,MATCH(I511,_ZIG_Cadastro!$A:$A,0)),IF(NOT(ISERROR(MATCH(I511,_Entradas_ZIG!$C:$C,0))),"Ativo","—"))</f>
        <v/>
      </c>
      <c r="N511" s="102">
        <f>IFERROR(INDEX(_ZIG_Cadastro!$E:$E,MATCH(I511,_ZIG_Cadastro!$A:$A,0)),IFERROR(INDEX(_Entradas_ZIG!$F:$F,MATCH(I511,_Entradas_ZIG!$C:$C,0)),"—"))</f>
        <v/>
      </c>
      <c r="O511" s="99">
        <f>IF(AND(ISNUMBER(SEARCH("Espeto",N511)),ISNUMBER(SEARCH("Carin",N511))),"SIM","")</f>
        <v/>
      </c>
      <c r="P511" s="99">
        <f>IF(AND(ISNUMBER(SEARCH("Espeto",N511)),ISNUMBER(SEARCH("Lapa",N511))),"SIM","")</f>
        <v/>
      </c>
      <c r="Q511" s="99">
        <f>IF(AND(ISNUMBER(SEARCH("Espeto",N511)),ISNUMBER(SEARCH("Tatuapé",N511))),"SIM","")</f>
        <v/>
      </c>
      <c r="R511" s="99">
        <f>IF(AND(ISNUMBER(SEARCH("Espeto",N511)),ISNUMBER(SEARCH("Pavão",N511))),"SIM","")</f>
        <v/>
      </c>
      <c r="S511" s="99">
        <f>IF(AND(ISNUMBER(SEARCH("Espeto",N511)),ISNUMBER(SEARCH("Chac",N511))),"SIM","")</f>
        <v/>
      </c>
      <c r="T511" s="99">
        <f>IF(AND(ISNUMBER(SEARCH("Espeto",N511)),ISNUMBER(SEARCH("Madalena",N511))),"SIM","")</f>
        <v/>
      </c>
      <c r="U511" s="99">
        <f>IF(AND(ISNUMBER(SEARCH("Espeto",N511)),ISNUMBER(SEARCH("Mariana",N511))),"SIM","")</f>
        <v/>
      </c>
      <c r="V511" s="99">
        <f>IF(AND(ISNUMBER(SEARCH("Espeto",N511)),ISNUMBER(SEARCH("Perdizes",N511))),"SIM","")</f>
        <v/>
      </c>
      <c r="W511" s="99">
        <f>IF(AND(ISNUMBER(SEARCH("Espeto",N511)),ISNUMBER(SEARCH("Santana",N511))),"SIM","")</f>
        <v/>
      </c>
      <c r="X511" s="99">
        <f>IF(AND(ISNUMBER(SEARCH("Espeto",N511)),ISNUMBER(SEARCH("André",N511))),"SIM","")</f>
        <v/>
      </c>
      <c r="Y511" s="99">
        <f>IF(AND(ISNUMBER(SEARCH("Delivery",N511)),ISNUMBER(SEARCH("Carin",N511))),"SIM","")</f>
        <v/>
      </c>
      <c r="Z511" s="99">
        <f>IF(AND(ISNUMBER(SEARCH("Delivery",N511)),ISNUMBER(SEARCH("Lapa",N511))),"SIM","")</f>
        <v/>
      </c>
      <c r="AA511" s="99">
        <f>IF(AND(ISNUMBER(SEARCH("Delivery",N511)),ISNUMBER(SEARCH("Tatuapé",N511))),"SIM","")</f>
        <v/>
      </c>
      <c r="AB511" s="99">
        <f>IF(AND(ISNUMBER(SEARCH("Delivery",N511)),ISNUMBER(SEARCH("Pavão",N511))),"SIM","")</f>
        <v/>
      </c>
      <c r="AC511" s="99">
        <f>IF(AND(ISNUMBER(SEARCH("Delivery",N511)),ISNUMBER(SEARCH("Chac",N511))),"SIM","")</f>
        <v/>
      </c>
      <c r="AD511" s="99">
        <f>IF(AND(ISNUMBER(SEARCH("Delivery",N511)),ISNUMBER(SEARCH("Madalena",N511))),"SIM","")</f>
        <v/>
      </c>
      <c r="AE511" s="92">
        <f>IF(AND(ISNUMBER(SEARCH("Delivery",N511)),ISNUMBER(SEARCH("Mariana",N511))),"SIM","")</f>
        <v/>
      </c>
      <c r="AF511" s="92">
        <f>IF(AND(ISNUMBER(SEARCH("Delivery",N511)),ISNUMBER(SEARCH("Perdizes",N511))),"SIM","")</f>
        <v/>
      </c>
      <c r="AG511" s="92">
        <f>IF(AND(ISNUMBER(SEARCH("Delivery",N511)),ISNUMBER(SEARCH("Santana",N511))),"SIM","")</f>
        <v/>
      </c>
      <c r="AH511" s="92">
        <f>IF(AND(ISNUMBER(SEARCH("Delivery",N511)),ISNUMBER(SEARCH("André",N511))),"SIM","")</f>
        <v/>
      </c>
      <c r="AI511" s="92">
        <f>IF(ISNUMBER(SEARCH("Interlagos",N511)),"SIM","")</f>
        <v/>
      </c>
      <c r="AJ511" s="92">
        <f>IF(ISNUMBER(SEARCH("Quiosque",N511)),"SIM","")</f>
        <v/>
      </c>
      <c r="AK511" s="93" t="n"/>
    </row>
    <row r="512">
      <c r="A512" s="88" t="inlineStr">
        <is>
          <t>Protheus</t>
        </is>
      </c>
      <c r="B512" s="89" t="inlineStr">
        <is>
          <t>002246</t>
        </is>
      </c>
      <c r="C512" s="90">
        <f>IF(B512="—","—",IFERROR(VLOOKUP(B512,_Protheus_Cadastro!$A:$B,2,FALSE),"—"))</f>
        <v/>
      </c>
      <c r="D512" s="91">
        <f>IF(B512="—",IFERROR(INDEX(_ZIG_Cadastro!$D:$D,MATCH(H512,_ZIG_Cadastro!$A:$A,0)),"Produto"),IFERROR(VLOOKUP(B512,_Protheus_Cadastro!$A:$C,3,FALSE),"—"))</f>
        <v/>
      </c>
      <c r="E512" s="91">
        <f>IF(B512="—","—",IFERROR(VLOOKUP(B512,_Protheus_Cadastro!$A:$D,4,FALSE),"—"))</f>
        <v/>
      </c>
      <c r="F512" s="91">
        <f>IF(ISERROR(VLOOKUP(B512,'Estrutura Protheus'!A:A,1,FALSE)),"Não","Sim")</f>
        <v/>
      </c>
      <c r="G512" s="92">
        <f>IFERROR(INDEX(_Protheus_Cadastro!$H:$H,MATCH(B512,_Protheus_Cadastro!$A:$A,0)),"—")</f>
        <v/>
      </c>
      <c r="H512" s="210">
        <f>IFERROR(INDEX(_ZIG_Precos!$D:$D,MATCH(I512,_ZIG_Precos!$F:$F,0)),"—")</f>
        <v/>
      </c>
      <c r="I512" s="95">
        <f>IFERROR(VLOOKUP(B512,_Protheus_Cadastro!$A:$I,9,FALSE),"—")</f>
        <v/>
      </c>
      <c r="J512" s="93">
        <f>IFERROR(INDEX(_ZIG_Cadastro!$B:$B,MATCH(I512,_ZIG_Cadastro!$A:$A,0)),IFERROR(INDEX(_Entradas_ZIG!$B:$B,MATCH(I512,_Entradas_ZIG!$C:$C,0)),"—"))</f>
        <v/>
      </c>
      <c r="K512" s="93">
        <f>IFERROR(INDEX(_ZIG_Cadastro!$C:$C,MATCH(I512,_ZIG_Cadastro!$A:$A,0)),IFERROR(INDEX(_Entradas_ZIG!$D:$D,MATCH(I512,_Entradas_ZIG!$C:$C,0)),"—"))</f>
        <v/>
      </c>
      <c r="L512" s="92">
        <f>IF(I512="","Sem SKU ZIG",IF(I512="—","Sem SKU ZIG",IF(NOT(ISERROR(MATCH(I512,_ZIG_Cadastro!$A:$A,0))),IF(EXACT(UPPER(TRIM(C512)),UPPER(TRIM(INDEX(_ZIG_Cadastro!$B:$B,MATCH(I512,_ZIG_Cadastro!$A:$A,0))))),"OK","Atencao - Nome diverge"),IF(NOT(ISERROR(MATCH(I512,_Entradas_ZIG!$C:$C,0))),"OK","Erro - SKU nao encontrado"))))</f>
        <v/>
      </c>
      <c r="M512" s="92">
        <f>IFERROR(INDEX(_ZIG_Cadastro!$G:$G,MATCH(I512,_ZIG_Cadastro!$A:$A,0)),IF(NOT(ISERROR(MATCH(I512,_Entradas_ZIG!$C:$C,0))),"Ativo","—"))</f>
        <v/>
      </c>
      <c r="N512" s="94">
        <f>IFERROR(INDEX(_ZIG_Cadastro!$E:$E,MATCH(I512,_ZIG_Cadastro!$A:$A,0)),IFERROR(INDEX(_Entradas_ZIG!$F:$F,MATCH(I512,_Entradas_ZIG!$C:$C,0)),"—"))</f>
        <v/>
      </c>
      <c r="O512" s="92">
        <f>IF(AND(ISNUMBER(SEARCH("Espeto",N512)),ISNUMBER(SEARCH("Carin",N512))),"SIM","")</f>
        <v/>
      </c>
      <c r="P512" s="92">
        <f>IF(AND(ISNUMBER(SEARCH("Espeto",N512)),ISNUMBER(SEARCH("Lapa",N512))),"SIM","")</f>
        <v/>
      </c>
      <c r="Q512" s="92">
        <f>IF(AND(ISNUMBER(SEARCH("Espeto",N512)),ISNUMBER(SEARCH("Tatuapé",N512))),"SIM","")</f>
        <v/>
      </c>
      <c r="R512" s="92">
        <f>IF(AND(ISNUMBER(SEARCH("Espeto",N512)),ISNUMBER(SEARCH("Pavão",N512))),"SIM","")</f>
        <v/>
      </c>
      <c r="S512" s="92">
        <f>IF(AND(ISNUMBER(SEARCH("Espeto",N512)),ISNUMBER(SEARCH("Chac",N512))),"SIM","")</f>
        <v/>
      </c>
      <c r="T512" s="92">
        <f>IF(AND(ISNUMBER(SEARCH("Espeto",N512)),ISNUMBER(SEARCH("Madalena",N512))),"SIM","")</f>
        <v/>
      </c>
      <c r="U512" s="92">
        <f>IF(AND(ISNUMBER(SEARCH("Espeto",N512)),ISNUMBER(SEARCH("Mariana",N512))),"SIM","")</f>
        <v/>
      </c>
      <c r="V512" s="92">
        <f>IF(AND(ISNUMBER(SEARCH("Espeto",N512)),ISNUMBER(SEARCH("Perdizes",N512))),"SIM","")</f>
        <v/>
      </c>
      <c r="W512" s="92">
        <f>IF(AND(ISNUMBER(SEARCH("Espeto",N512)),ISNUMBER(SEARCH("Santana",N512))),"SIM","")</f>
        <v/>
      </c>
      <c r="X512" s="92">
        <f>IF(AND(ISNUMBER(SEARCH("Espeto",N512)),ISNUMBER(SEARCH("André",N512))),"SIM","")</f>
        <v/>
      </c>
      <c r="Y512" s="92">
        <f>IF(AND(ISNUMBER(SEARCH("Delivery",N512)),ISNUMBER(SEARCH("Carin",N512))),"SIM","")</f>
        <v/>
      </c>
      <c r="Z512" s="92">
        <f>IF(AND(ISNUMBER(SEARCH("Delivery",N512)),ISNUMBER(SEARCH("Lapa",N512))),"SIM","")</f>
        <v/>
      </c>
      <c r="AA512" s="92">
        <f>IF(AND(ISNUMBER(SEARCH("Delivery",N512)),ISNUMBER(SEARCH("Tatuapé",N512))),"SIM","")</f>
        <v/>
      </c>
      <c r="AB512" s="92">
        <f>IF(AND(ISNUMBER(SEARCH("Delivery",N512)),ISNUMBER(SEARCH("Pavão",N512))),"SIM","")</f>
        <v/>
      </c>
      <c r="AC512" s="92">
        <f>IF(AND(ISNUMBER(SEARCH("Delivery",N512)),ISNUMBER(SEARCH("Chac",N512))),"SIM","")</f>
        <v/>
      </c>
      <c r="AD512" s="92">
        <f>IF(AND(ISNUMBER(SEARCH("Delivery",N512)),ISNUMBER(SEARCH("Madalena",N512))),"SIM","")</f>
        <v/>
      </c>
      <c r="AE512" s="99">
        <f>IF(AND(ISNUMBER(SEARCH("Delivery",N512)),ISNUMBER(SEARCH("Mariana",N512))),"SIM","")</f>
        <v/>
      </c>
      <c r="AF512" s="99">
        <f>IF(AND(ISNUMBER(SEARCH("Delivery",N512)),ISNUMBER(SEARCH("Perdizes",N512))),"SIM","")</f>
        <v/>
      </c>
      <c r="AG512" s="99">
        <f>IF(AND(ISNUMBER(SEARCH("Delivery",N512)),ISNUMBER(SEARCH("Santana",N512))),"SIM","")</f>
        <v/>
      </c>
      <c r="AH512" s="99">
        <f>IF(AND(ISNUMBER(SEARCH("Delivery",N512)),ISNUMBER(SEARCH("André",N512))),"SIM","")</f>
        <v/>
      </c>
      <c r="AI512" s="99">
        <f>IF(ISNUMBER(SEARCH("Interlagos",N512)),"SIM","")</f>
        <v/>
      </c>
      <c r="AJ512" s="99">
        <f>IF(ISNUMBER(SEARCH("Quiosque",N512)),"SIM","")</f>
        <v/>
      </c>
      <c r="AK512" s="101" t="n"/>
    </row>
    <row r="513">
      <c r="A513" s="88" t="inlineStr">
        <is>
          <t>Protheus</t>
        </is>
      </c>
      <c r="B513" s="96" t="inlineStr">
        <is>
          <t>002034</t>
        </is>
      </c>
      <c r="C513" s="97">
        <f>IF(B513="—","—",IFERROR(VLOOKUP(B513,_Protheus_Cadastro!$A:$B,2,FALSE),"—"))</f>
        <v/>
      </c>
      <c r="D513" s="98">
        <f>IF(B513="—",IFERROR(INDEX(_ZIG_Cadastro!$D:$D,MATCH(H513,_ZIG_Cadastro!$A:$A,0)),"Produto"),IFERROR(VLOOKUP(B513,_Protheus_Cadastro!$A:$C,3,FALSE),"—"))</f>
        <v/>
      </c>
      <c r="E513" s="98">
        <f>IF(B513="—","—",IFERROR(VLOOKUP(B513,_Protheus_Cadastro!$A:$D,4,FALSE),"—"))</f>
        <v/>
      </c>
      <c r="F513" s="98">
        <f>IF(ISERROR(VLOOKUP(B513,'Estrutura Protheus'!A:A,1,FALSE)),"Não","Sim")</f>
        <v/>
      </c>
      <c r="G513" s="99">
        <f>IFERROR(INDEX(_Protheus_Cadastro!$H:$H,MATCH(B513,_Protheus_Cadastro!$A:$A,0)),"—")</f>
        <v/>
      </c>
      <c r="H513" s="211">
        <f>IFERROR(INDEX(_ZIG_Precos!$D:$D,MATCH(I513,_ZIG_Precos!$F:$F,0)),"—")</f>
        <v/>
      </c>
      <c r="I513" s="103">
        <f>IFERROR(VLOOKUP(B513,_Protheus_Cadastro!$A:$I,9,FALSE),"—")</f>
        <v/>
      </c>
      <c r="J513" s="101">
        <f>IFERROR(INDEX(_ZIG_Cadastro!$B:$B,MATCH(I513,_ZIG_Cadastro!$A:$A,0)),IFERROR(INDEX(_Entradas_ZIG!$B:$B,MATCH(I513,_Entradas_ZIG!$C:$C,0)),"—"))</f>
        <v/>
      </c>
      <c r="K513" s="101">
        <f>IFERROR(INDEX(_ZIG_Cadastro!$C:$C,MATCH(I513,_ZIG_Cadastro!$A:$A,0)),IFERROR(INDEX(_Entradas_ZIG!$D:$D,MATCH(I513,_Entradas_ZIG!$C:$C,0)),"—"))</f>
        <v/>
      </c>
      <c r="L513" s="99">
        <f>IF(I513="","Sem SKU ZIG",IF(I513="—","Sem SKU ZIG",IF(NOT(ISERROR(MATCH(I513,_ZIG_Cadastro!$A:$A,0))),IF(EXACT(UPPER(TRIM(C513)),UPPER(TRIM(INDEX(_ZIG_Cadastro!$B:$B,MATCH(I513,_ZIG_Cadastro!$A:$A,0))))),"OK","Atencao - Nome diverge"),IF(NOT(ISERROR(MATCH(I513,_Entradas_ZIG!$C:$C,0))),"OK","Erro - SKU nao encontrado"))))</f>
        <v/>
      </c>
      <c r="M513" s="99">
        <f>IFERROR(INDEX(_ZIG_Cadastro!$G:$G,MATCH(I513,_ZIG_Cadastro!$A:$A,0)),IF(NOT(ISERROR(MATCH(I513,_Entradas_ZIG!$C:$C,0))),"Ativo","—"))</f>
        <v/>
      </c>
      <c r="N513" s="102">
        <f>IFERROR(INDEX(_ZIG_Cadastro!$E:$E,MATCH(I513,_ZIG_Cadastro!$A:$A,0)),IFERROR(INDEX(_Entradas_ZIG!$F:$F,MATCH(I513,_Entradas_ZIG!$C:$C,0)),"—"))</f>
        <v/>
      </c>
      <c r="O513" s="99">
        <f>IF(AND(ISNUMBER(SEARCH("Espeto",N513)),ISNUMBER(SEARCH("Carin",N513))),"SIM","")</f>
        <v/>
      </c>
      <c r="P513" s="99">
        <f>IF(AND(ISNUMBER(SEARCH("Espeto",N513)),ISNUMBER(SEARCH("Lapa",N513))),"SIM","")</f>
        <v/>
      </c>
      <c r="Q513" s="99">
        <f>IF(AND(ISNUMBER(SEARCH("Espeto",N513)),ISNUMBER(SEARCH("Tatuapé",N513))),"SIM","")</f>
        <v/>
      </c>
      <c r="R513" s="99">
        <f>IF(AND(ISNUMBER(SEARCH("Espeto",N513)),ISNUMBER(SEARCH("Pavão",N513))),"SIM","")</f>
        <v/>
      </c>
      <c r="S513" s="99">
        <f>IF(AND(ISNUMBER(SEARCH("Espeto",N513)),ISNUMBER(SEARCH("Chac",N513))),"SIM","")</f>
        <v/>
      </c>
      <c r="T513" s="99">
        <f>IF(AND(ISNUMBER(SEARCH("Espeto",N513)),ISNUMBER(SEARCH("Madalena",N513))),"SIM","")</f>
        <v/>
      </c>
      <c r="U513" s="99">
        <f>IF(AND(ISNUMBER(SEARCH("Espeto",N513)),ISNUMBER(SEARCH("Mariana",N513))),"SIM","")</f>
        <v/>
      </c>
      <c r="V513" s="99">
        <f>IF(AND(ISNUMBER(SEARCH("Espeto",N513)),ISNUMBER(SEARCH("Perdizes",N513))),"SIM","")</f>
        <v/>
      </c>
      <c r="W513" s="99">
        <f>IF(AND(ISNUMBER(SEARCH("Espeto",N513)),ISNUMBER(SEARCH("Santana",N513))),"SIM","")</f>
        <v/>
      </c>
      <c r="X513" s="99">
        <f>IF(AND(ISNUMBER(SEARCH("Espeto",N513)),ISNUMBER(SEARCH("André",N513))),"SIM","")</f>
        <v/>
      </c>
      <c r="Y513" s="99">
        <f>IF(AND(ISNUMBER(SEARCH("Delivery",N513)),ISNUMBER(SEARCH("Carin",N513))),"SIM","")</f>
        <v/>
      </c>
      <c r="Z513" s="99">
        <f>IF(AND(ISNUMBER(SEARCH("Delivery",N513)),ISNUMBER(SEARCH("Lapa",N513))),"SIM","")</f>
        <v/>
      </c>
      <c r="AA513" s="99">
        <f>IF(AND(ISNUMBER(SEARCH("Delivery",N513)),ISNUMBER(SEARCH("Tatuapé",N513))),"SIM","")</f>
        <v/>
      </c>
      <c r="AB513" s="99">
        <f>IF(AND(ISNUMBER(SEARCH("Delivery",N513)),ISNUMBER(SEARCH("Pavão",N513))),"SIM","")</f>
        <v/>
      </c>
      <c r="AC513" s="99">
        <f>IF(AND(ISNUMBER(SEARCH("Delivery",N513)),ISNUMBER(SEARCH("Chac",N513))),"SIM","")</f>
        <v/>
      </c>
      <c r="AD513" s="99">
        <f>IF(AND(ISNUMBER(SEARCH("Delivery",N513)),ISNUMBER(SEARCH("Madalena",N513))),"SIM","")</f>
        <v/>
      </c>
      <c r="AE513" s="92">
        <f>IF(AND(ISNUMBER(SEARCH("Delivery",N513)),ISNUMBER(SEARCH("Mariana",N513))),"SIM","")</f>
        <v/>
      </c>
      <c r="AF513" s="92">
        <f>IF(AND(ISNUMBER(SEARCH("Delivery",N513)),ISNUMBER(SEARCH("Perdizes",N513))),"SIM","")</f>
        <v/>
      </c>
      <c r="AG513" s="92">
        <f>IF(AND(ISNUMBER(SEARCH("Delivery",N513)),ISNUMBER(SEARCH("Santana",N513))),"SIM","")</f>
        <v/>
      </c>
      <c r="AH513" s="92">
        <f>IF(AND(ISNUMBER(SEARCH("Delivery",N513)),ISNUMBER(SEARCH("André",N513))),"SIM","")</f>
        <v/>
      </c>
      <c r="AI513" s="92">
        <f>IF(ISNUMBER(SEARCH("Interlagos",N513)),"SIM","")</f>
        <v/>
      </c>
      <c r="AJ513" s="92">
        <f>IF(ISNUMBER(SEARCH("Quiosque",N513)),"SIM","")</f>
        <v/>
      </c>
      <c r="AK513" s="93" t="n"/>
    </row>
    <row r="514">
      <c r="A514" s="88" t="inlineStr">
        <is>
          <t>Protheus</t>
        </is>
      </c>
      <c r="B514" s="89" t="inlineStr">
        <is>
          <t>002044</t>
        </is>
      </c>
      <c r="C514" s="90">
        <f>IF(B514="—","—",IFERROR(VLOOKUP(B514,_Protheus_Cadastro!$A:$B,2,FALSE),"—"))</f>
        <v/>
      </c>
      <c r="D514" s="91">
        <f>IF(B514="—",IFERROR(INDEX(_ZIG_Cadastro!$D:$D,MATCH(H514,_ZIG_Cadastro!$A:$A,0)),"Produto"),IFERROR(VLOOKUP(B514,_Protheus_Cadastro!$A:$C,3,FALSE),"—"))</f>
        <v/>
      </c>
      <c r="E514" s="91">
        <f>IF(B514="—","—",IFERROR(VLOOKUP(B514,_Protheus_Cadastro!$A:$D,4,FALSE),"—"))</f>
        <v/>
      </c>
      <c r="F514" s="91">
        <f>IF(ISERROR(VLOOKUP(B514,'Estrutura Protheus'!A:A,1,FALSE)),"Não","Sim")</f>
        <v/>
      </c>
      <c r="G514" s="92">
        <f>IFERROR(INDEX(_Protheus_Cadastro!$H:$H,MATCH(B514,_Protheus_Cadastro!$A:$A,0)),"—")</f>
        <v/>
      </c>
      <c r="H514" s="210">
        <f>IFERROR(INDEX(_ZIG_Precos!$D:$D,MATCH(I514,_ZIG_Precos!$F:$F,0)),"—")</f>
        <v/>
      </c>
      <c r="I514" s="95">
        <f>IFERROR(VLOOKUP(B514,_Protheus_Cadastro!$A:$I,9,FALSE),"—")</f>
        <v/>
      </c>
      <c r="J514" s="93">
        <f>IFERROR(INDEX(_ZIG_Cadastro!$B:$B,MATCH(I514,_ZIG_Cadastro!$A:$A,0)),IFERROR(INDEX(_Entradas_ZIG!$B:$B,MATCH(I514,_Entradas_ZIG!$C:$C,0)),"—"))</f>
        <v/>
      </c>
      <c r="K514" s="93">
        <f>IFERROR(INDEX(_ZIG_Cadastro!$C:$C,MATCH(I514,_ZIG_Cadastro!$A:$A,0)),IFERROR(INDEX(_Entradas_ZIG!$D:$D,MATCH(I514,_Entradas_ZIG!$C:$C,0)),"—"))</f>
        <v/>
      </c>
      <c r="L514" s="92">
        <f>IF(I514="","Sem SKU ZIG",IF(I514="—","Sem SKU ZIG",IF(NOT(ISERROR(MATCH(I514,_ZIG_Cadastro!$A:$A,0))),IF(EXACT(UPPER(TRIM(C514)),UPPER(TRIM(INDEX(_ZIG_Cadastro!$B:$B,MATCH(I514,_ZIG_Cadastro!$A:$A,0))))),"OK","Atencao - Nome diverge"),IF(NOT(ISERROR(MATCH(I514,_Entradas_ZIG!$C:$C,0))),"OK","Erro - SKU nao encontrado"))))</f>
        <v/>
      </c>
      <c r="M514" s="92">
        <f>IFERROR(INDEX(_ZIG_Cadastro!$G:$G,MATCH(I514,_ZIG_Cadastro!$A:$A,0)),IF(NOT(ISERROR(MATCH(I514,_Entradas_ZIG!$C:$C,0))),"Ativo","—"))</f>
        <v/>
      </c>
      <c r="N514" s="94">
        <f>IFERROR(INDEX(_ZIG_Cadastro!$E:$E,MATCH(I514,_ZIG_Cadastro!$A:$A,0)),IFERROR(INDEX(_Entradas_ZIG!$F:$F,MATCH(I514,_Entradas_ZIG!$C:$C,0)),"—"))</f>
        <v/>
      </c>
      <c r="O514" s="92">
        <f>IF(AND(ISNUMBER(SEARCH("Espeto",N514)),ISNUMBER(SEARCH("Carin",N514))),"SIM","")</f>
        <v/>
      </c>
      <c r="P514" s="92">
        <f>IF(AND(ISNUMBER(SEARCH("Espeto",N514)),ISNUMBER(SEARCH("Lapa",N514))),"SIM","")</f>
        <v/>
      </c>
      <c r="Q514" s="92">
        <f>IF(AND(ISNUMBER(SEARCH("Espeto",N514)),ISNUMBER(SEARCH("Tatuapé",N514))),"SIM","")</f>
        <v/>
      </c>
      <c r="R514" s="92">
        <f>IF(AND(ISNUMBER(SEARCH("Espeto",N514)),ISNUMBER(SEARCH("Pavão",N514))),"SIM","")</f>
        <v/>
      </c>
      <c r="S514" s="92">
        <f>IF(AND(ISNUMBER(SEARCH("Espeto",N514)),ISNUMBER(SEARCH("Chac",N514))),"SIM","")</f>
        <v/>
      </c>
      <c r="T514" s="92">
        <f>IF(AND(ISNUMBER(SEARCH("Espeto",N514)),ISNUMBER(SEARCH("Madalena",N514))),"SIM","")</f>
        <v/>
      </c>
      <c r="U514" s="92">
        <f>IF(AND(ISNUMBER(SEARCH("Espeto",N514)),ISNUMBER(SEARCH("Mariana",N514))),"SIM","")</f>
        <v/>
      </c>
      <c r="V514" s="92">
        <f>IF(AND(ISNUMBER(SEARCH("Espeto",N514)),ISNUMBER(SEARCH("Perdizes",N514))),"SIM","")</f>
        <v/>
      </c>
      <c r="W514" s="92">
        <f>IF(AND(ISNUMBER(SEARCH("Espeto",N514)),ISNUMBER(SEARCH("Santana",N514))),"SIM","")</f>
        <v/>
      </c>
      <c r="X514" s="92">
        <f>IF(AND(ISNUMBER(SEARCH("Espeto",N514)),ISNUMBER(SEARCH("André",N514))),"SIM","")</f>
        <v/>
      </c>
      <c r="Y514" s="92">
        <f>IF(AND(ISNUMBER(SEARCH("Delivery",N514)),ISNUMBER(SEARCH("Carin",N514))),"SIM","")</f>
        <v/>
      </c>
      <c r="Z514" s="92">
        <f>IF(AND(ISNUMBER(SEARCH("Delivery",N514)),ISNUMBER(SEARCH("Lapa",N514))),"SIM","")</f>
        <v/>
      </c>
      <c r="AA514" s="92">
        <f>IF(AND(ISNUMBER(SEARCH("Delivery",N514)),ISNUMBER(SEARCH("Tatuapé",N514))),"SIM","")</f>
        <v/>
      </c>
      <c r="AB514" s="92">
        <f>IF(AND(ISNUMBER(SEARCH("Delivery",N514)),ISNUMBER(SEARCH("Pavão",N514))),"SIM","")</f>
        <v/>
      </c>
      <c r="AC514" s="92">
        <f>IF(AND(ISNUMBER(SEARCH("Delivery",N514)),ISNUMBER(SEARCH("Chac",N514))),"SIM","")</f>
        <v/>
      </c>
      <c r="AD514" s="92">
        <f>IF(AND(ISNUMBER(SEARCH("Delivery",N514)),ISNUMBER(SEARCH("Madalena",N514))),"SIM","")</f>
        <v/>
      </c>
      <c r="AE514" s="99">
        <f>IF(AND(ISNUMBER(SEARCH("Delivery",N514)),ISNUMBER(SEARCH("Mariana",N514))),"SIM","")</f>
        <v/>
      </c>
      <c r="AF514" s="99">
        <f>IF(AND(ISNUMBER(SEARCH("Delivery",N514)),ISNUMBER(SEARCH("Perdizes",N514))),"SIM","")</f>
        <v/>
      </c>
      <c r="AG514" s="99">
        <f>IF(AND(ISNUMBER(SEARCH("Delivery",N514)),ISNUMBER(SEARCH("Santana",N514))),"SIM","")</f>
        <v/>
      </c>
      <c r="AH514" s="99">
        <f>IF(AND(ISNUMBER(SEARCH("Delivery",N514)),ISNUMBER(SEARCH("André",N514))),"SIM","")</f>
        <v/>
      </c>
      <c r="AI514" s="99">
        <f>IF(ISNUMBER(SEARCH("Interlagos",N514)),"SIM","")</f>
        <v/>
      </c>
      <c r="AJ514" s="99">
        <f>IF(ISNUMBER(SEARCH("Quiosque",N514)),"SIM","")</f>
        <v/>
      </c>
      <c r="AK514" s="101" t="n"/>
    </row>
    <row r="515">
      <c r="A515" s="88" t="inlineStr">
        <is>
          <t>Protheus</t>
        </is>
      </c>
      <c r="B515" s="96" t="inlineStr">
        <is>
          <t>000282</t>
        </is>
      </c>
      <c r="C515" s="97">
        <f>IF(B515="—","—",IFERROR(VLOOKUP(B515,_Protheus_Cadastro!$A:$B,2,FALSE),"—"))</f>
        <v/>
      </c>
      <c r="D515" s="98">
        <f>IF(B515="—",IFERROR(INDEX(_ZIG_Cadastro!$D:$D,MATCH(H515,_ZIG_Cadastro!$A:$A,0)),"Produto"),IFERROR(VLOOKUP(B515,_Protheus_Cadastro!$A:$C,3,FALSE),"—"))</f>
        <v/>
      </c>
      <c r="E515" s="98">
        <f>IF(B515="—","—",IFERROR(VLOOKUP(B515,_Protheus_Cadastro!$A:$D,4,FALSE),"—"))</f>
        <v/>
      </c>
      <c r="F515" s="98">
        <f>IF(ISERROR(VLOOKUP(B515,'Estrutura Protheus'!A:A,1,FALSE)),"Não","Sim")</f>
        <v/>
      </c>
      <c r="G515" s="99">
        <f>IFERROR(INDEX(_Protheus_Cadastro!$H:$H,MATCH(B515,_Protheus_Cadastro!$A:$A,0)),"—")</f>
        <v/>
      </c>
      <c r="H515" s="211">
        <f>IFERROR(INDEX(_ZIG_Precos!$D:$D,MATCH(I515,_ZIG_Precos!$F:$F,0)),"—")</f>
        <v/>
      </c>
      <c r="I515" s="103">
        <f>IFERROR(VLOOKUP(B515,_Protheus_Cadastro!$A:$I,9,FALSE),"—")</f>
        <v/>
      </c>
      <c r="J515" s="101">
        <f>IFERROR(INDEX(_ZIG_Cadastro!$B:$B,MATCH(I515,_ZIG_Cadastro!$A:$A,0)),IFERROR(INDEX(_Entradas_ZIG!$B:$B,MATCH(I515,_Entradas_ZIG!$C:$C,0)),"—"))</f>
        <v/>
      </c>
      <c r="K515" s="101">
        <f>IFERROR(INDEX(_ZIG_Cadastro!$C:$C,MATCH(I515,_ZIG_Cadastro!$A:$A,0)),IFERROR(INDEX(_Entradas_ZIG!$D:$D,MATCH(I515,_Entradas_ZIG!$C:$C,0)),"—"))</f>
        <v/>
      </c>
      <c r="L515" s="99">
        <f>IF(I515="","Sem SKU ZIG",IF(I515="—","Sem SKU ZIG",IF(NOT(ISERROR(MATCH(I515,_ZIG_Cadastro!$A:$A,0))),IF(EXACT(UPPER(TRIM(C515)),UPPER(TRIM(INDEX(_ZIG_Cadastro!$B:$B,MATCH(I515,_ZIG_Cadastro!$A:$A,0))))),"OK","Atencao - Nome diverge"),IF(NOT(ISERROR(MATCH(I515,_Entradas_ZIG!$C:$C,0))),"OK","Erro - SKU nao encontrado"))))</f>
        <v/>
      </c>
      <c r="M515" s="99">
        <f>IFERROR(INDEX(_ZIG_Cadastro!$G:$G,MATCH(I515,_ZIG_Cadastro!$A:$A,0)),IF(NOT(ISERROR(MATCH(I515,_Entradas_ZIG!$C:$C,0))),"Ativo","—"))</f>
        <v/>
      </c>
      <c r="N515" s="102">
        <f>IFERROR(INDEX(_ZIG_Cadastro!$E:$E,MATCH(I515,_ZIG_Cadastro!$A:$A,0)),IFERROR(INDEX(_Entradas_ZIG!$F:$F,MATCH(I515,_Entradas_ZIG!$C:$C,0)),"—"))</f>
        <v/>
      </c>
      <c r="O515" s="99">
        <f>IF(AND(ISNUMBER(SEARCH("Espeto",N515)),ISNUMBER(SEARCH("Carin",N515))),"SIM","")</f>
        <v/>
      </c>
      <c r="P515" s="99">
        <f>IF(AND(ISNUMBER(SEARCH("Espeto",N515)),ISNUMBER(SEARCH("Lapa",N515))),"SIM","")</f>
        <v/>
      </c>
      <c r="Q515" s="99">
        <f>IF(AND(ISNUMBER(SEARCH("Espeto",N515)),ISNUMBER(SEARCH("Tatuapé",N515))),"SIM","")</f>
        <v/>
      </c>
      <c r="R515" s="99">
        <f>IF(AND(ISNUMBER(SEARCH("Espeto",N515)),ISNUMBER(SEARCH("Pavão",N515))),"SIM","")</f>
        <v/>
      </c>
      <c r="S515" s="99">
        <f>IF(AND(ISNUMBER(SEARCH("Espeto",N515)),ISNUMBER(SEARCH("Chac",N515))),"SIM","")</f>
        <v/>
      </c>
      <c r="T515" s="99">
        <f>IF(AND(ISNUMBER(SEARCH("Espeto",N515)),ISNUMBER(SEARCH("Madalena",N515))),"SIM","")</f>
        <v/>
      </c>
      <c r="U515" s="99">
        <f>IF(AND(ISNUMBER(SEARCH("Espeto",N515)),ISNUMBER(SEARCH("Mariana",N515))),"SIM","")</f>
        <v/>
      </c>
      <c r="V515" s="99">
        <f>IF(AND(ISNUMBER(SEARCH("Espeto",N515)),ISNUMBER(SEARCH("Perdizes",N515))),"SIM","")</f>
        <v/>
      </c>
      <c r="W515" s="99">
        <f>IF(AND(ISNUMBER(SEARCH("Espeto",N515)),ISNUMBER(SEARCH("Santana",N515))),"SIM","")</f>
        <v/>
      </c>
      <c r="X515" s="99">
        <f>IF(AND(ISNUMBER(SEARCH("Espeto",N515)),ISNUMBER(SEARCH("André",N515))),"SIM","")</f>
        <v/>
      </c>
      <c r="Y515" s="99">
        <f>IF(AND(ISNUMBER(SEARCH("Delivery",N515)),ISNUMBER(SEARCH("Carin",N515))),"SIM","")</f>
        <v/>
      </c>
      <c r="Z515" s="99">
        <f>IF(AND(ISNUMBER(SEARCH("Delivery",N515)),ISNUMBER(SEARCH("Lapa",N515))),"SIM","")</f>
        <v/>
      </c>
      <c r="AA515" s="99">
        <f>IF(AND(ISNUMBER(SEARCH("Delivery",N515)),ISNUMBER(SEARCH("Tatuapé",N515))),"SIM","")</f>
        <v/>
      </c>
      <c r="AB515" s="99">
        <f>IF(AND(ISNUMBER(SEARCH("Delivery",N515)),ISNUMBER(SEARCH("Pavão",N515))),"SIM","")</f>
        <v/>
      </c>
      <c r="AC515" s="99">
        <f>IF(AND(ISNUMBER(SEARCH("Delivery",N515)),ISNUMBER(SEARCH("Chac",N515))),"SIM","")</f>
        <v/>
      </c>
      <c r="AD515" s="99">
        <f>IF(AND(ISNUMBER(SEARCH("Delivery",N515)),ISNUMBER(SEARCH("Madalena",N515))),"SIM","")</f>
        <v/>
      </c>
      <c r="AE515" s="92">
        <f>IF(AND(ISNUMBER(SEARCH("Delivery",N515)),ISNUMBER(SEARCH("Mariana",N515))),"SIM","")</f>
        <v/>
      </c>
      <c r="AF515" s="92">
        <f>IF(AND(ISNUMBER(SEARCH("Delivery",N515)),ISNUMBER(SEARCH("Perdizes",N515))),"SIM","")</f>
        <v/>
      </c>
      <c r="AG515" s="92">
        <f>IF(AND(ISNUMBER(SEARCH("Delivery",N515)),ISNUMBER(SEARCH("Santana",N515))),"SIM","")</f>
        <v/>
      </c>
      <c r="AH515" s="92">
        <f>IF(AND(ISNUMBER(SEARCH("Delivery",N515)),ISNUMBER(SEARCH("André",N515))),"SIM","")</f>
        <v/>
      </c>
      <c r="AI515" s="92">
        <f>IF(ISNUMBER(SEARCH("Interlagos",N515)),"SIM","")</f>
        <v/>
      </c>
      <c r="AJ515" s="92">
        <f>IF(ISNUMBER(SEARCH("Quiosque",N515)),"SIM","")</f>
        <v/>
      </c>
      <c r="AK515" s="93" t="n"/>
    </row>
    <row r="516">
      <c r="A516" s="88" t="inlineStr">
        <is>
          <t>Protheus</t>
        </is>
      </c>
      <c r="B516" s="89" t="inlineStr">
        <is>
          <t>002198</t>
        </is>
      </c>
      <c r="C516" s="90">
        <f>IF(B516="—","—",IFERROR(VLOOKUP(B516,_Protheus_Cadastro!$A:$B,2,FALSE),"—"))</f>
        <v/>
      </c>
      <c r="D516" s="91">
        <f>IF(B516="—",IFERROR(INDEX(_ZIG_Cadastro!$D:$D,MATCH(H516,_ZIG_Cadastro!$A:$A,0)),"Produto"),IFERROR(VLOOKUP(B516,_Protheus_Cadastro!$A:$C,3,FALSE),"—"))</f>
        <v/>
      </c>
      <c r="E516" s="91">
        <f>IF(B516="—","—",IFERROR(VLOOKUP(B516,_Protheus_Cadastro!$A:$D,4,FALSE),"—"))</f>
        <v/>
      </c>
      <c r="F516" s="91">
        <f>IF(ISERROR(VLOOKUP(B516,'Estrutura Protheus'!A:A,1,FALSE)),"Não","Sim")</f>
        <v/>
      </c>
      <c r="G516" s="92">
        <f>IFERROR(INDEX(_Protheus_Cadastro!$H:$H,MATCH(B516,_Protheus_Cadastro!$A:$A,0)),"—")</f>
        <v/>
      </c>
      <c r="H516" s="210">
        <f>IFERROR(INDEX(_ZIG_Precos!$D:$D,MATCH(I516,_ZIG_Precos!$F:$F,0)),"—")</f>
        <v/>
      </c>
      <c r="I516" s="95">
        <f>IFERROR(VLOOKUP(B516,_Protheus_Cadastro!$A:$I,9,FALSE),"—")</f>
        <v/>
      </c>
      <c r="J516" s="93">
        <f>IFERROR(INDEX(_ZIG_Cadastro!$B:$B,MATCH(I516,_ZIG_Cadastro!$A:$A,0)),IFERROR(INDEX(_Entradas_ZIG!$B:$B,MATCH(I516,_Entradas_ZIG!$C:$C,0)),"—"))</f>
        <v/>
      </c>
      <c r="K516" s="93">
        <f>IFERROR(INDEX(_ZIG_Cadastro!$C:$C,MATCH(I516,_ZIG_Cadastro!$A:$A,0)),IFERROR(INDEX(_Entradas_ZIG!$D:$D,MATCH(I516,_Entradas_ZIG!$C:$C,0)),"—"))</f>
        <v/>
      </c>
      <c r="L516" s="92">
        <f>IF(I516="","Sem SKU ZIG",IF(I516="—","Sem SKU ZIG",IF(NOT(ISERROR(MATCH(I516,_ZIG_Cadastro!$A:$A,0))),IF(EXACT(UPPER(TRIM(C516)),UPPER(TRIM(INDEX(_ZIG_Cadastro!$B:$B,MATCH(I516,_ZIG_Cadastro!$A:$A,0))))),"OK","Atencao - Nome diverge"),IF(NOT(ISERROR(MATCH(I516,_Entradas_ZIG!$C:$C,0))),"OK","Erro - SKU nao encontrado"))))</f>
        <v/>
      </c>
      <c r="M516" s="92">
        <f>IFERROR(INDEX(_ZIG_Cadastro!$G:$G,MATCH(I516,_ZIG_Cadastro!$A:$A,0)),IF(NOT(ISERROR(MATCH(I516,_Entradas_ZIG!$C:$C,0))),"Ativo","—"))</f>
        <v/>
      </c>
      <c r="N516" s="94">
        <f>IFERROR(INDEX(_ZIG_Cadastro!$E:$E,MATCH(I516,_ZIG_Cadastro!$A:$A,0)),IFERROR(INDEX(_Entradas_ZIG!$F:$F,MATCH(I516,_Entradas_ZIG!$C:$C,0)),"—"))</f>
        <v/>
      </c>
      <c r="O516" s="92">
        <f>IF(AND(ISNUMBER(SEARCH("Espeto",N516)),ISNUMBER(SEARCH("Carin",N516))),"SIM","")</f>
        <v/>
      </c>
      <c r="P516" s="92">
        <f>IF(AND(ISNUMBER(SEARCH("Espeto",N516)),ISNUMBER(SEARCH("Lapa",N516))),"SIM","")</f>
        <v/>
      </c>
      <c r="Q516" s="92">
        <f>IF(AND(ISNUMBER(SEARCH("Espeto",N516)),ISNUMBER(SEARCH("Tatuapé",N516))),"SIM","")</f>
        <v/>
      </c>
      <c r="R516" s="92">
        <f>IF(AND(ISNUMBER(SEARCH("Espeto",N516)),ISNUMBER(SEARCH("Pavão",N516))),"SIM","")</f>
        <v/>
      </c>
      <c r="S516" s="92">
        <f>IF(AND(ISNUMBER(SEARCH("Espeto",N516)),ISNUMBER(SEARCH("Chac",N516))),"SIM","")</f>
        <v/>
      </c>
      <c r="T516" s="92">
        <f>IF(AND(ISNUMBER(SEARCH("Espeto",N516)),ISNUMBER(SEARCH("Madalena",N516))),"SIM","")</f>
        <v/>
      </c>
      <c r="U516" s="92">
        <f>IF(AND(ISNUMBER(SEARCH("Espeto",N516)),ISNUMBER(SEARCH("Mariana",N516))),"SIM","")</f>
        <v/>
      </c>
      <c r="V516" s="92">
        <f>IF(AND(ISNUMBER(SEARCH("Espeto",N516)),ISNUMBER(SEARCH("Perdizes",N516))),"SIM","")</f>
        <v/>
      </c>
      <c r="W516" s="92">
        <f>IF(AND(ISNUMBER(SEARCH("Espeto",N516)),ISNUMBER(SEARCH("Santana",N516))),"SIM","")</f>
        <v/>
      </c>
      <c r="X516" s="92">
        <f>IF(AND(ISNUMBER(SEARCH("Espeto",N516)),ISNUMBER(SEARCH("André",N516))),"SIM","")</f>
        <v/>
      </c>
      <c r="Y516" s="92">
        <f>IF(AND(ISNUMBER(SEARCH("Delivery",N516)),ISNUMBER(SEARCH("Carin",N516))),"SIM","")</f>
        <v/>
      </c>
      <c r="Z516" s="92">
        <f>IF(AND(ISNUMBER(SEARCH("Delivery",N516)),ISNUMBER(SEARCH("Lapa",N516))),"SIM","")</f>
        <v/>
      </c>
      <c r="AA516" s="92">
        <f>IF(AND(ISNUMBER(SEARCH("Delivery",N516)),ISNUMBER(SEARCH("Tatuapé",N516))),"SIM","")</f>
        <v/>
      </c>
      <c r="AB516" s="92">
        <f>IF(AND(ISNUMBER(SEARCH("Delivery",N516)),ISNUMBER(SEARCH("Pavão",N516))),"SIM","")</f>
        <v/>
      </c>
      <c r="AC516" s="92">
        <f>IF(AND(ISNUMBER(SEARCH("Delivery",N516)),ISNUMBER(SEARCH("Chac",N516))),"SIM","")</f>
        <v/>
      </c>
      <c r="AD516" s="92">
        <f>IF(AND(ISNUMBER(SEARCH("Delivery",N516)),ISNUMBER(SEARCH("Madalena",N516))),"SIM","")</f>
        <v/>
      </c>
      <c r="AE516" s="99">
        <f>IF(AND(ISNUMBER(SEARCH("Delivery",N516)),ISNUMBER(SEARCH("Mariana",N516))),"SIM","")</f>
        <v/>
      </c>
      <c r="AF516" s="99">
        <f>IF(AND(ISNUMBER(SEARCH("Delivery",N516)),ISNUMBER(SEARCH("Perdizes",N516))),"SIM","")</f>
        <v/>
      </c>
      <c r="AG516" s="99">
        <f>IF(AND(ISNUMBER(SEARCH("Delivery",N516)),ISNUMBER(SEARCH("Santana",N516))),"SIM","")</f>
        <v/>
      </c>
      <c r="AH516" s="99">
        <f>IF(AND(ISNUMBER(SEARCH("Delivery",N516)),ISNUMBER(SEARCH("André",N516))),"SIM","")</f>
        <v/>
      </c>
      <c r="AI516" s="99">
        <f>IF(ISNUMBER(SEARCH("Interlagos",N516)),"SIM","")</f>
        <v/>
      </c>
      <c r="AJ516" s="99">
        <f>IF(ISNUMBER(SEARCH("Quiosque",N516)),"SIM","")</f>
        <v/>
      </c>
      <c r="AK516" s="101" t="n"/>
    </row>
    <row r="517">
      <c r="A517" s="88" t="inlineStr">
        <is>
          <t>Protheus</t>
        </is>
      </c>
      <c r="B517" s="96" t="inlineStr">
        <is>
          <t>000008</t>
        </is>
      </c>
      <c r="C517" s="97">
        <f>IF(B517="—","—",IFERROR(VLOOKUP(B517,_Protheus_Cadastro!$A:$B,2,FALSE),"—"))</f>
        <v/>
      </c>
      <c r="D517" s="98">
        <f>IF(B517="—",IFERROR(INDEX(_ZIG_Cadastro!$D:$D,MATCH(H517,_ZIG_Cadastro!$A:$A,0)),"Produto"),IFERROR(VLOOKUP(B517,_Protheus_Cadastro!$A:$C,3,FALSE),"—"))</f>
        <v/>
      </c>
      <c r="E517" s="98">
        <f>IF(B517="—","—",IFERROR(VLOOKUP(B517,_Protheus_Cadastro!$A:$D,4,FALSE),"—"))</f>
        <v/>
      </c>
      <c r="F517" s="98">
        <f>IF(ISERROR(VLOOKUP(B517,'Estrutura Protheus'!A:A,1,FALSE)),"Não","Sim")</f>
        <v/>
      </c>
      <c r="G517" s="99">
        <f>IFERROR(INDEX(_Protheus_Cadastro!$H:$H,MATCH(B517,_Protheus_Cadastro!$A:$A,0)),"—")</f>
        <v/>
      </c>
      <c r="H517" s="211">
        <f>IFERROR(INDEX(_ZIG_Precos!$D:$D,MATCH(I517,_ZIG_Precos!$F:$F,0)),"—")</f>
        <v/>
      </c>
      <c r="I517" s="103">
        <f>IFERROR(VLOOKUP(B517,_Protheus_Cadastro!$A:$I,9,FALSE),"—")</f>
        <v/>
      </c>
      <c r="J517" s="101">
        <f>IFERROR(INDEX(_ZIG_Cadastro!$B:$B,MATCH(I517,_ZIG_Cadastro!$A:$A,0)),IFERROR(INDEX(_Entradas_ZIG!$B:$B,MATCH(I517,_Entradas_ZIG!$C:$C,0)),"—"))</f>
        <v/>
      </c>
      <c r="K517" s="101">
        <f>IFERROR(INDEX(_ZIG_Cadastro!$C:$C,MATCH(I517,_ZIG_Cadastro!$A:$A,0)),IFERROR(INDEX(_Entradas_ZIG!$D:$D,MATCH(I517,_Entradas_ZIG!$C:$C,0)),"—"))</f>
        <v/>
      </c>
      <c r="L517" s="99">
        <f>IF(I517="","Sem SKU ZIG",IF(I517="—","Sem SKU ZIG",IF(NOT(ISERROR(MATCH(I517,_ZIG_Cadastro!$A:$A,0))),IF(EXACT(UPPER(TRIM(C517)),UPPER(TRIM(INDEX(_ZIG_Cadastro!$B:$B,MATCH(I517,_ZIG_Cadastro!$A:$A,0))))),"OK","Atencao - Nome diverge"),IF(NOT(ISERROR(MATCH(I517,_Entradas_ZIG!$C:$C,0))),"OK","Erro - SKU nao encontrado"))))</f>
        <v/>
      </c>
      <c r="M517" s="99">
        <f>IFERROR(INDEX(_ZIG_Cadastro!$G:$G,MATCH(I517,_ZIG_Cadastro!$A:$A,0)),IF(NOT(ISERROR(MATCH(I517,_Entradas_ZIG!$C:$C,0))),"Ativo","—"))</f>
        <v/>
      </c>
      <c r="N517" s="102">
        <f>IFERROR(INDEX(_ZIG_Cadastro!$E:$E,MATCH(I517,_ZIG_Cadastro!$A:$A,0)),IFERROR(INDEX(_Entradas_ZIG!$F:$F,MATCH(I517,_Entradas_ZIG!$C:$C,0)),"—"))</f>
        <v/>
      </c>
      <c r="O517" s="99">
        <f>IF(AND(ISNUMBER(SEARCH("Espeto",N517)),ISNUMBER(SEARCH("Carin",N517))),"SIM","")</f>
        <v/>
      </c>
      <c r="P517" s="99">
        <f>IF(AND(ISNUMBER(SEARCH("Espeto",N517)),ISNUMBER(SEARCH("Lapa",N517))),"SIM","")</f>
        <v/>
      </c>
      <c r="Q517" s="99">
        <f>IF(AND(ISNUMBER(SEARCH("Espeto",N517)),ISNUMBER(SEARCH("Tatuapé",N517))),"SIM","")</f>
        <v/>
      </c>
      <c r="R517" s="99">
        <f>IF(AND(ISNUMBER(SEARCH("Espeto",N517)),ISNUMBER(SEARCH("Pavão",N517))),"SIM","")</f>
        <v/>
      </c>
      <c r="S517" s="99">
        <f>IF(AND(ISNUMBER(SEARCH("Espeto",N517)),ISNUMBER(SEARCH("Chac",N517))),"SIM","")</f>
        <v/>
      </c>
      <c r="T517" s="99">
        <f>IF(AND(ISNUMBER(SEARCH("Espeto",N517)),ISNUMBER(SEARCH("Madalena",N517))),"SIM","")</f>
        <v/>
      </c>
      <c r="U517" s="99">
        <f>IF(AND(ISNUMBER(SEARCH("Espeto",N517)),ISNUMBER(SEARCH("Mariana",N517))),"SIM","")</f>
        <v/>
      </c>
      <c r="V517" s="99">
        <f>IF(AND(ISNUMBER(SEARCH("Espeto",N517)),ISNUMBER(SEARCH("Perdizes",N517))),"SIM","")</f>
        <v/>
      </c>
      <c r="W517" s="99">
        <f>IF(AND(ISNUMBER(SEARCH("Espeto",N517)),ISNUMBER(SEARCH("Santana",N517))),"SIM","")</f>
        <v/>
      </c>
      <c r="X517" s="99">
        <f>IF(AND(ISNUMBER(SEARCH("Espeto",N517)),ISNUMBER(SEARCH("André",N517))),"SIM","")</f>
        <v/>
      </c>
      <c r="Y517" s="99">
        <f>IF(AND(ISNUMBER(SEARCH("Delivery",N517)),ISNUMBER(SEARCH("Carin",N517))),"SIM","")</f>
        <v/>
      </c>
      <c r="Z517" s="99">
        <f>IF(AND(ISNUMBER(SEARCH("Delivery",N517)),ISNUMBER(SEARCH("Lapa",N517))),"SIM","")</f>
        <v/>
      </c>
      <c r="AA517" s="99">
        <f>IF(AND(ISNUMBER(SEARCH("Delivery",N517)),ISNUMBER(SEARCH("Tatuapé",N517))),"SIM","")</f>
        <v/>
      </c>
      <c r="AB517" s="99">
        <f>IF(AND(ISNUMBER(SEARCH("Delivery",N517)),ISNUMBER(SEARCH("Pavão",N517))),"SIM","")</f>
        <v/>
      </c>
      <c r="AC517" s="99">
        <f>IF(AND(ISNUMBER(SEARCH("Delivery",N517)),ISNUMBER(SEARCH("Chac",N517))),"SIM","")</f>
        <v/>
      </c>
      <c r="AD517" s="99">
        <f>IF(AND(ISNUMBER(SEARCH("Delivery",N517)),ISNUMBER(SEARCH("Madalena",N517))),"SIM","")</f>
        <v/>
      </c>
      <c r="AE517" s="92">
        <f>IF(AND(ISNUMBER(SEARCH("Delivery",N517)),ISNUMBER(SEARCH("Mariana",N517))),"SIM","")</f>
        <v/>
      </c>
      <c r="AF517" s="92">
        <f>IF(AND(ISNUMBER(SEARCH("Delivery",N517)),ISNUMBER(SEARCH("Perdizes",N517))),"SIM","")</f>
        <v/>
      </c>
      <c r="AG517" s="92">
        <f>IF(AND(ISNUMBER(SEARCH("Delivery",N517)),ISNUMBER(SEARCH("Santana",N517))),"SIM","")</f>
        <v/>
      </c>
      <c r="AH517" s="92">
        <f>IF(AND(ISNUMBER(SEARCH("Delivery",N517)),ISNUMBER(SEARCH("André",N517))),"SIM","")</f>
        <v/>
      </c>
      <c r="AI517" s="92">
        <f>IF(ISNUMBER(SEARCH("Interlagos",N517)),"SIM","")</f>
        <v/>
      </c>
      <c r="AJ517" s="92">
        <f>IF(ISNUMBER(SEARCH("Quiosque",N517)),"SIM","")</f>
        <v/>
      </c>
      <c r="AK517" s="93" t="n"/>
    </row>
    <row r="518">
      <c r="A518" s="88" t="inlineStr">
        <is>
          <t>Protheus</t>
        </is>
      </c>
      <c r="B518" s="89" t="inlineStr">
        <is>
          <t>001934</t>
        </is>
      </c>
      <c r="C518" s="90">
        <f>IF(B518="—","—",IFERROR(VLOOKUP(B518,_Protheus_Cadastro!$A:$B,2,FALSE),"—"))</f>
        <v/>
      </c>
      <c r="D518" s="91">
        <f>IF(B518="—",IFERROR(INDEX(_ZIG_Cadastro!$D:$D,MATCH(H518,_ZIG_Cadastro!$A:$A,0)),"Produto"),IFERROR(VLOOKUP(B518,_Protheus_Cadastro!$A:$C,3,FALSE),"—"))</f>
        <v/>
      </c>
      <c r="E518" s="91">
        <f>IF(B518="—","—",IFERROR(VLOOKUP(B518,_Protheus_Cadastro!$A:$D,4,FALSE),"—"))</f>
        <v/>
      </c>
      <c r="F518" s="91">
        <f>IF(ISERROR(VLOOKUP(B518,'Estrutura Protheus'!A:A,1,FALSE)),"Não","Sim")</f>
        <v/>
      </c>
      <c r="G518" s="92">
        <f>IFERROR(INDEX(_Protheus_Cadastro!$H:$H,MATCH(B518,_Protheus_Cadastro!$A:$A,0)),"—")</f>
        <v/>
      </c>
      <c r="H518" s="210">
        <f>IFERROR(INDEX(_ZIG_Precos!$D:$D,MATCH(I518,_ZIG_Precos!$F:$F,0)),"—")</f>
        <v/>
      </c>
      <c r="I518" s="95">
        <f>IFERROR(VLOOKUP(B518,_Protheus_Cadastro!$A:$I,9,FALSE),"—")</f>
        <v/>
      </c>
      <c r="J518" s="93">
        <f>IFERROR(INDEX(_ZIG_Cadastro!$B:$B,MATCH(I518,_ZIG_Cadastro!$A:$A,0)),IFERROR(INDEX(_Entradas_ZIG!$B:$B,MATCH(I518,_Entradas_ZIG!$C:$C,0)),"—"))</f>
        <v/>
      </c>
      <c r="K518" s="93">
        <f>IFERROR(INDEX(_ZIG_Cadastro!$C:$C,MATCH(I518,_ZIG_Cadastro!$A:$A,0)),IFERROR(INDEX(_Entradas_ZIG!$D:$D,MATCH(I518,_Entradas_ZIG!$C:$C,0)),"—"))</f>
        <v/>
      </c>
      <c r="L518" s="92">
        <f>IF(I518="","Sem SKU ZIG",IF(I518="—","Sem SKU ZIG",IF(NOT(ISERROR(MATCH(I518,_ZIG_Cadastro!$A:$A,0))),IF(EXACT(UPPER(TRIM(C518)),UPPER(TRIM(INDEX(_ZIG_Cadastro!$B:$B,MATCH(I518,_ZIG_Cadastro!$A:$A,0))))),"OK","Atencao - Nome diverge"),IF(NOT(ISERROR(MATCH(I518,_Entradas_ZIG!$C:$C,0))),"OK","Erro - SKU nao encontrado"))))</f>
        <v/>
      </c>
      <c r="M518" s="92">
        <f>IFERROR(INDEX(_ZIG_Cadastro!$G:$G,MATCH(I518,_ZIG_Cadastro!$A:$A,0)),IF(NOT(ISERROR(MATCH(I518,_Entradas_ZIG!$C:$C,0))),"Ativo","—"))</f>
        <v/>
      </c>
      <c r="N518" s="94">
        <f>IFERROR(INDEX(_ZIG_Cadastro!$E:$E,MATCH(I518,_ZIG_Cadastro!$A:$A,0)),IFERROR(INDEX(_Entradas_ZIG!$F:$F,MATCH(I518,_Entradas_ZIG!$C:$C,0)),"—"))</f>
        <v/>
      </c>
      <c r="O518" s="92">
        <f>IF(AND(ISNUMBER(SEARCH("Espeto",N518)),ISNUMBER(SEARCH("Carin",N518))),"SIM","")</f>
        <v/>
      </c>
      <c r="P518" s="92">
        <f>IF(AND(ISNUMBER(SEARCH("Espeto",N518)),ISNUMBER(SEARCH("Lapa",N518))),"SIM","")</f>
        <v/>
      </c>
      <c r="Q518" s="92">
        <f>IF(AND(ISNUMBER(SEARCH("Espeto",N518)),ISNUMBER(SEARCH("Tatuapé",N518))),"SIM","")</f>
        <v/>
      </c>
      <c r="R518" s="92">
        <f>IF(AND(ISNUMBER(SEARCH("Espeto",N518)),ISNUMBER(SEARCH("Pavão",N518))),"SIM","")</f>
        <v/>
      </c>
      <c r="S518" s="92">
        <f>IF(AND(ISNUMBER(SEARCH("Espeto",N518)),ISNUMBER(SEARCH("Chac",N518))),"SIM","")</f>
        <v/>
      </c>
      <c r="T518" s="92">
        <f>IF(AND(ISNUMBER(SEARCH("Espeto",N518)),ISNUMBER(SEARCH("Madalena",N518))),"SIM","")</f>
        <v/>
      </c>
      <c r="U518" s="92">
        <f>IF(AND(ISNUMBER(SEARCH("Espeto",N518)),ISNUMBER(SEARCH("Mariana",N518))),"SIM","")</f>
        <v/>
      </c>
      <c r="V518" s="92">
        <f>IF(AND(ISNUMBER(SEARCH("Espeto",N518)),ISNUMBER(SEARCH("Perdizes",N518))),"SIM","")</f>
        <v/>
      </c>
      <c r="W518" s="92">
        <f>IF(AND(ISNUMBER(SEARCH("Espeto",N518)),ISNUMBER(SEARCH("Santana",N518))),"SIM","")</f>
        <v/>
      </c>
      <c r="X518" s="92">
        <f>IF(AND(ISNUMBER(SEARCH("Espeto",N518)),ISNUMBER(SEARCH("André",N518))),"SIM","")</f>
        <v/>
      </c>
      <c r="Y518" s="92">
        <f>IF(AND(ISNUMBER(SEARCH("Delivery",N518)),ISNUMBER(SEARCH("Carin",N518))),"SIM","")</f>
        <v/>
      </c>
      <c r="Z518" s="92">
        <f>IF(AND(ISNUMBER(SEARCH("Delivery",N518)),ISNUMBER(SEARCH("Lapa",N518))),"SIM","")</f>
        <v/>
      </c>
      <c r="AA518" s="92">
        <f>IF(AND(ISNUMBER(SEARCH("Delivery",N518)),ISNUMBER(SEARCH("Tatuapé",N518))),"SIM","")</f>
        <v/>
      </c>
      <c r="AB518" s="92">
        <f>IF(AND(ISNUMBER(SEARCH("Delivery",N518)),ISNUMBER(SEARCH("Pavão",N518))),"SIM","")</f>
        <v/>
      </c>
      <c r="AC518" s="92">
        <f>IF(AND(ISNUMBER(SEARCH("Delivery",N518)),ISNUMBER(SEARCH("Chac",N518))),"SIM","")</f>
        <v/>
      </c>
      <c r="AD518" s="92">
        <f>IF(AND(ISNUMBER(SEARCH("Delivery",N518)),ISNUMBER(SEARCH("Madalena",N518))),"SIM","")</f>
        <v/>
      </c>
      <c r="AE518" s="99">
        <f>IF(AND(ISNUMBER(SEARCH("Delivery",N518)),ISNUMBER(SEARCH("Mariana",N518))),"SIM","")</f>
        <v/>
      </c>
      <c r="AF518" s="99">
        <f>IF(AND(ISNUMBER(SEARCH("Delivery",N518)),ISNUMBER(SEARCH("Perdizes",N518))),"SIM","")</f>
        <v/>
      </c>
      <c r="AG518" s="99">
        <f>IF(AND(ISNUMBER(SEARCH("Delivery",N518)),ISNUMBER(SEARCH("Santana",N518))),"SIM","")</f>
        <v/>
      </c>
      <c r="AH518" s="99">
        <f>IF(AND(ISNUMBER(SEARCH("Delivery",N518)),ISNUMBER(SEARCH("André",N518))),"SIM","")</f>
        <v/>
      </c>
      <c r="AI518" s="99">
        <f>IF(ISNUMBER(SEARCH("Interlagos",N518)),"SIM","")</f>
        <v/>
      </c>
      <c r="AJ518" s="99">
        <f>IF(ISNUMBER(SEARCH("Quiosque",N518)),"SIM","")</f>
        <v/>
      </c>
      <c r="AK518" s="101" t="n"/>
    </row>
    <row r="519">
      <c r="A519" s="88" t="inlineStr">
        <is>
          <t>Protheus</t>
        </is>
      </c>
      <c r="B519" s="96" t="inlineStr">
        <is>
          <t>010004</t>
        </is>
      </c>
      <c r="C519" s="97">
        <f>IF(B519="—","—",IFERROR(VLOOKUP(B519,_Protheus_Cadastro!$A:$B,2,FALSE),"—"))</f>
        <v/>
      </c>
      <c r="D519" s="98">
        <f>IF(B519="—",IFERROR(INDEX(_ZIG_Cadastro!$D:$D,MATCH(H519,_ZIG_Cadastro!$A:$A,0)),"Produto"),IFERROR(VLOOKUP(B519,_Protheus_Cadastro!$A:$C,3,FALSE),"—"))</f>
        <v/>
      </c>
      <c r="E519" s="98">
        <f>IF(B519="—","—",IFERROR(VLOOKUP(B519,_Protheus_Cadastro!$A:$D,4,FALSE),"—"))</f>
        <v/>
      </c>
      <c r="F519" s="98">
        <f>IF(ISERROR(VLOOKUP(B519,'Estrutura Protheus'!A:A,1,FALSE)),"Não","Sim")</f>
        <v/>
      </c>
      <c r="G519" s="99">
        <f>IFERROR(INDEX(_Protheus_Cadastro!$H:$H,MATCH(B519,_Protheus_Cadastro!$A:$A,0)),"—")</f>
        <v/>
      </c>
      <c r="H519" s="211">
        <f>IFERROR(INDEX(_ZIG_Precos!$D:$D,MATCH(I519,_ZIG_Precos!$F:$F,0)),"—")</f>
        <v/>
      </c>
      <c r="I519" s="103">
        <f>IFERROR(VLOOKUP(B519,_Protheus_Cadastro!$A:$I,9,FALSE),"—")</f>
        <v/>
      </c>
      <c r="J519" s="101">
        <f>IFERROR(INDEX(_ZIG_Cadastro!$B:$B,MATCH(I519,_ZIG_Cadastro!$A:$A,0)),IFERROR(INDEX(_Entradas_ZIG!$B:$B,MATCH(I519,_Entradas_ZIG!$C:$C,0)),"—"))</f>
        <v/>
      </c>
      <c r="K519" s="101">
        <f>IFERROR(INDEX(_ZIG_Cadastro!$C:$C,MATCH(I519,_ZIG_Cadastro!$A:$A,0)),IFERROR(INDEX(_Entradas_ZIG!$D:$D,MATCH(I519,_Entradas_ZIG!$C:$C,0)),"—"))</f>
        <v/>
      </c>
      <c r="L519" s="99">
        <f>IF(I519="","Sem SKU ZIG",IF(I519="—","Sem SKU ZIG",IF(NOT(ISERROR(MATCH(I519,_ZIG_Cadastro!$A:$A,0))),IF(EXACT(UPPER(TRIM(C519)),UPPER(TRIM(INDEX(_ZIG_Cadastro!$B:$B,MATCH(I519,_ZIG_Cadastro!$A:$A,0))))),"OK","Atencao - Nome diverge"),IF(NOT(ISERROR(MATCH(I519,_Entradas_ZIG!$C:$C,0))),"OK","Erro - SKU nao encontrado"))))</f>
        <v/>
      </c>
      <c r="M519" s="99">
        <f>IFERROR(INDEX(_ZIG_Cadastro!$G:$G,MATCH(I519,_ZIG_Cadastro!$A:$A,0)),IF(NOT(ISERROR(MATCH(I519,_Entradas_ZIG!$C:$C,0))),"Ativo","—"))</f>
        <v/>
      </c>
      <c r="N519" s="102">
        <f>IFERROR(INDEX(_ZIG_Cadastro!$E:$E,MATCH(I519,_ZIG_Cadastro!$A:$A,0)),IFERROR(INDEX(_Entradas_ZIG!$F:$F,MATCH(I519,_Entradas_ZIG!$C:$C,0)),"—"))</f>
        <v/>
      </c>
      <c r="O519" s="99">
        <f>IF(AND(ISNUMBER(SEARCH("Espeto",N519)),ISNUMBER(SEARCH("Carin",N519))),"SIM","")</f>
        <v/>
      </c>
      <c r="P519" s="99">
        <f>IF(AND(ISNUMBER(SEARCH("Espeto",N519)),ISNUMBER(SEARCH("Lapa",N519))),"SIM","")</f>
        <v/>
      </c>
      <c r="Q519" s="99">
        <f>IF(AND(ISNUMBER(SEARCH("Espeto",N519)),ISNUMBER(SEARCH("Tatuapé",N519))),"SIM","")</f>
        <v/>
      </c>
      <c r="R519" s="99">
        <f>IF(AND(ISNUMBER(SEARCH("Espeto",N519)),ISNUMBER(SEARCH("Pavão",N519))),"SIM","")</f>
        <v/>
      </c>
      <c r="S519" s="99">
        <f>IF(AND(ISNUMBER(SEARCH("Espeto",N519)),ISNUMBER(SEARCH("Chac",N519))),"SIM","")</f>
        <v/>
      </c>
      <c r="T519" s="99">
        <f>IF(AND(ISNUMBER(SEARCH("Espeto",N519)),ISNUMBER(SEARCH("Madalena",N519))),"SIM","")</f>
        <v/>
      </c>
      <c r="U519" s="99">
        <f>IF(AND(ISNUMBER(SEARCH("Espeto",N519)),ISNUMBER(SEARCH("Mariana",N519))),"SIM","")</f>
        <v/>
      </c>
      <c r="V519" s="99">
        <f>IF(AND(ISNUMBER(SEARCH("Espeto",N519)),ISNUMBER(SEARCH("Perdizes",N519))),"SIM","")</f>
        <v/>
      </c>
      <c r="W519" s="99">
        <f>IF(AND(ISNUMBER(SEARCH("Espeto",N519)),ISNUMBER(SEARCH("Santana",N519))),"SIM","")</f>
        <v/>
      </c>
      <c r="X519" s="99">
        <f>IF(AND(ISNUMBER(SEARCH("Espeto",N519)),ISNUMBER(SEARCH("André",N519))),"SIM","")</f>
        <v/>
      </c>
      <c r="Y519" s="99">
        <f>IF(AND(ISNUMBER(SEARCH("Delivery",N519)),ISNUMBER(SEARCH("Carin",N519))),"SIM","")</f>
        <v/>
      </c>
      <c r="Z519" s="99">
        <f>IF(AND(ISNUMBER(SEARCH("Delivery",N519)),ISNUMBER(SEARCH("Lapa",N519))),"SIM","")</f>
        <v/>
      </c>
      <c r="AA519" s="99">
        <f>IF(AND(ISNUMBER(SEARCH("Delivery",N519)),ISNUMBER(SEARCH("Tatuapé",N519))),"SIM","")</f>
        <v/>
      </c>
      <c r="AB519" s="99">
        <f>IF(AND(ISNUMBER(SEARCH("Delivery",N519)),ISNUMBER(SEARCH("Pavão",N519))),"SIM","")</f>
        <v/>
      </c>
      <c r="AC519" s="99">
        <f>IF(AND(ISNUMBER(SEARCH("Delivery",N519)),ISNUMBER(SEARCH("Chac",N519))),"SIM","")</f>
        <v/>
      </c>
      <c r="AD519" s="99">
        <f>IF(AND(ISNUMBER(SEARCH("Delivery",N519)),ISNUMBER(SEARCH("Madalena",N519))),"SIM","")</f>
        <v/>
      </c>
      <c r="AE519" s="92">
        <f>IF(AND(ISNUMBER(SEARCH("Delivery",N519)),ISNUMBER(SEARCH("Mariana",N519))),"SIM","")</f>
        <v/>
      </c>
      <c r="AF519" s="92">
        <f>IF(AND(ISNUMBER(SEARCH("Delivery",N519)),ISNUMBER(SEARCH("Perdizes",N519))),"SIM","")</f>
        <v/>
      </c>
      <c r="AG519" s="92">
        <f>IF(AND(ISNUMBER(SEARCH("Delivery",N519)),ISNUMBER(SEARCH("Santana",N519))),"SIM","")</f>
        <v/>
      </c>
      <c r="AH519" s="92">
        <f>IF(AND(ISNUMBER(SEARCH("Delivery",N519)),ISNUMBER(SEARCH("André",N519))),"SIM","")</f>
        <v/>
      </c>
      <c r="AI519" s="92">
        <f>IF(ISNUMBER(SEARCH("Interlagos",N519)),"SIM","")</f>
        <v/>
      </c>
      <c r="AJ519" s="92">
        <f>IF(ISNUMBER(SEARCH("Quiosque",N519)),"SIM","")</f>
        <v/>
      </c>
      <c r="AK519" s="93" t="n"/>
    </row>
    <row r="520">
      <c r="A520" s="88" t="inlineStr">
        <is>
          <t>Protheus</t>
        </is>
      </c>
      <c r="B520" s="89" t="inlineStr">
        <is>
          <t>002123</t>
        </is>
      </c>
      <c r="C520" s="90">
        <f>IF(B520="—","—",IFERROR(VLOOKUP(B520,_Protheus_Cadastro!$A:$B,2,FALSE),"—"))</f>
        <v/>
      </c>
      <c r="D520" s="91">
        <f>IF(B520="—",IFERROR(INDEX(_ZIG_Cadastro!$D:$D,MATCH(H520,_ZIG_Cadastro!$A:$A,0)),"Produto"),IFERROR(VLOOKUP(B520,_Protheus_Cadastro!$A:$C,3,FALSE),"—"))</f>
        <v/>
      </c>
      <c r="E520" s="91">
        <f>IF(B520="—","—",IFERROR(VLOOKUP(B520,_Protheus_Cadastro!$A:$D,4,FALSE),"—"))</f>
        <v/>
      </c>
      <c r="F520" s="91">
        <f>IF(ISERROR(VLOOKUP(B520,'Estrutura Protheus'!A:A,1,FALSE)),"Não","Sim")</f>
        <v/>
      </c>
      <c r="G520" s="92">
        <f>IFERROR(INDEX(_Protheus_Cadastro!$H:$H,MATCH(B520,_Protheus_Cadastro!$A:$A,0)),"—")</f>
        <v/>
      </c>
      <c r="H520" s="210">
        <f>IFERROR(INDEX(_ZIG_Precos!$D:$D,MATCH(I520,_ZIG_Precos!$F:$F,0)),"—")</f>
        <v/>
      </c>
      <c r="I520" s="95">
        <f>IFERROR(VLOOKUP(B520,_Protheus_Cadastro!$A:$I,9,FALSE),"—")</f>
        <v/>
      </c>
      <c r="J520" s="93">
        <f>IFERROR(INDEX(_ZIG_Cadastro!$B:$B,MATCH(I520,_ZIG_Cadastro!$A:$A,0)),IFERROR(INDEX(_Entradas_ZIG!$B:$B,MATCH(I520,_Entradas_ZIG!$C:$C,0)),"—"))</f>
        <v/>
      </c>
      <c r="K520" s="93">
        <f>IFERROR(INDEX(_ZIG_Cadastro!$C:$C,MATCH(I520,_ZIG_Cadastro!$A:$A,0)),IFERROR(INDEX(_Entradas_ZIG!$D:$D,MATCH(I520,_Entradas_ZIG!$C:$C,0)),"—"))</f>
        <v/>
      </c>
      <c r="L520" s="92">
        <f>IF(I520="","Sem SKU ZIG",IF(I520="—","Sem SKU ZIG",IF(NOT(ISERROR(MATCH(I520,_ZIG_Cadastro!$A:$A,0))),IF(EXACT(UPPER(TRIM(C520)),UPPER(TRIM(INDEX(_ZIG_Cadastro!$B:$B,MATCH(I520,_ZIG_Cadastro!$A:$A,0))))),"OK","Atencao - Nome diverge"),IF(NOT(ISERROR(MATCH(I520,_Entradas_ZIG!$C:$C,0))),"OK","Erro - SKU nao encontrado"))))</f>
        <v/>
      </c>
      <c r="M520" s="92">
        <f>IFERROR(INDEX(_ZIG_Cadastro!$G:$G,MATCH(I520,_ZIG_Cadastro!$A:$A,0)),IF(NOT(ISERROR(MATCH(I520,_Entradas_ZIG!$C:$C,0))),"Ativo","—"))</f>
        <v/>
      </c>
      <c r="N520" s="94">
        <f>IFERROR(INDEX(_ZIG_Cadastro!$E:$E,MATCH(I520,_ZIG_Cadastro!$A:$A,0)),IFERROR(INDEX(_Entradas_ZIG!$F:$F,MATCH(I520,_Entradas_ZIG!$C:$C,0)),"—"))</f>
        <v/>
      </c>
      <c r="O520" s="92">
        <f>IF(AND(ISNUMBER(SEARCH("Espeto",N520)),ISNUMBER(SEARCH("Carin",N520))),"SIM","")</f>
        <v/>
      </c>
      <c r="P520" s="92">
        <f>IF(AND(ISNUMBER(SEARCH("Espeto",N520)),ISNUMBER(SEARCH("Lapa",N520))),"SIM","")</f>
        <v/>
      </c>
      <c r="Q520" s="92">
        <f>IF(AND(ISNUMBER(SEARCH("Espeto",N520)),ISNUMBER(SEARCH("Tatuapé",N520))),"SIM","")</f>
        <v/>
      </c>
      <c r="R520" s="92">
        <f>IF(AND(ISNUMBER(SEARCH("Espeto",N520)),ISNUMBER(SEARCH("Pavão",N520))),"SIM","")</f>
        <v/>
      </c>
      <c r="S520" s="92">
        <f>IF(AND(ISNUMBER(SEARCH("Espeto",N520)),ISNUMBER(SEARCH("Chac",N520))),"SIM","")</f>
        <v/>
      </c>
      <c r="T520" s="92">
        <f>IF(AND(ISNUMBER(SEARCH("Espeto",N520)),ISNUMBER(SEARCH("Madalena",N520))),"SIM","")</f>
        <v/>
      </c>
      <c r="U520" s="92">
        <f>IF(AND(ISNUMBER(SEARCH("Espeto",N520)),ISNUMBER(SEARCH("Mariana",N520))),"SIM","")</f>
        <v/>
      </c>
      <c r="V520" s="92">
        <f>IF(AND(ISNUMBER(SEARCH("Espeto",N520)),ISNUMBER(SEARCH("Perdizes",N520))),"SIM","")</f>
        <v/>
      </c>
      <c r="W520" s="92">
        <f>IF(AND(ISNUMBER(SEARCH("Espeto",N520)),ISNUMBER(SEARCH("Santana",N520))),"SIM","")</f>
        <v/>
      </c>
      <c r="X520" s="92">
        <f>IF(AND(ISNUMBER(SEARCH("Espeto",N520)),ISNUMBER(SEARCH("André",N520))),"SIM","")</f>
        <v/>
      </c>
      <c r="Y520" s="92">
        <f>IF(AND(ISNUMBER(SEARCH("Delivery",N520)),ISNUMBER(SEARCH("Carin",N520))),"SIM","")</f>
        <v/>
      </c>
      <c r="Z520" s="92">
        <f>IF(AND(ISNUMBER(SEARCH("Delivery",N520)),ISNUMBER(SEARCH("Lapa",N520))),"SIM","")</f>
        <v/>
      </c>
      <c r="AA520" s="92">
        <f>IF(AND(ISNUMBER(SEARCH("Delivery",N520)),ISNUMBER(SEARCH("Tatuapé",N520))),"SIM","")</f>
        <v/>
      </c>
      <c r="AB520" s="92">
        <f>IF(AND(ISNUMBER(SEARCH("Delivery",N520)),ISNUMBER(SEARCH("Pavão",N520))),"SIM","")</f>
        <v/>
      </c>
      <c r="AC520" s="92">
        <f>IF(AND(ISNUMBER(SEARCH("Delivery",N520)),ISNUMBER(SEARCH("Chac",N520))),"SIM","")</f>
        <v/>
      </c>
      <c r="AD520" s="92">
        <f>IF(AND(ISNUMBER(SEARCH("Delivery",N520)),ISNUMBER(SEARCH("Madalena",N520))),"SIM","")</f>
        <v/>
      </c>
      <c r="AE520" s="99">
        <f>IF(AND(ISNUMBER(SEARCH("Delivery",N520)),ISNUMBER(SEARCH("Mariana",N520))),"SIM","")</f>
        <v/>
      </c>
      <c r="AF520" s="99">
        <f>IF(AND(ISNUMBER(SEARCH("Delivery",N520)),ISNUMBER(SEARCH("Perdizes",N520))),"SIM","")</f>
        <v/>
      </c>
      <c r="AG520" s="99">
        <f>IF(AND(ISNUMBER(SEARCH("Delivery",N520)),ISNUMBER(SEARCH("Santana",N520))),"SIM","")</f>
        <v/>
      </c>
      <c r="AH520" s="99">
        <f>IF(AND(ISNUMBER(SEARCH("Delivery",N520)),ISNUMBER(SEARCH("André",N520))),"SIM","")</f>
        <v/>
      </c>
      <c r="AI520" s="99">
        <f>IF(ISNUMBER(SEARCH("Interlagos",N520)),"SIM","")</f>
        <v/>
      </c>
      <c r="AJ520" s="99">
        <f>IF(ISNUMBER(SEARCH("Quiosque",N520)),"SIM","")</f>
        <v/>
      </c>
      <c r="AK520" s="101" t="n"/>
    </row>
    <row r="521">
      <c r="A521" s="88" t="inlineStr">
        <is>
          <t>Protheus</t>
        </is>
      </c>
      <c r="B521" s="96" t="inlineStr">
        <is>
          <t>000891</t>
        </is>
      </c>
      <c r="C521" s="97">
        <f>IF(B521="—","—",IFERROR(VLOOKUP(B521,_Protheus_Cadastro!$A:$B,2,FALSE),"—"))</f>
        <v/>
      </c>
      <c r="D521" s="98">
        <f>IF(B521="—",IFERROR(INDEX(_ZIG_Cadastro!$D:$D,MATCH(H521,_ZIG_Cadastro!$A:$A,0)),"Produto"),IFERROR(VLOOKUP(B521,_Protheus_Cadastro!$A:$C,3,FALSE),"—"))</f>
        <v/>
      </c>
      <c r="E521" s="98">
        <f>IF(B521="—","—",IFERROR(VLOOKUP(B521,_Protheus_Cadastro!$A:$D,4,FALSE),"—"))</f>
        <v/>
      </c>
      <c r="F521" s="98">
        <f>IF(ISERROR(VLOOKUP(B521,'Estrutura Protheus'!A:A,1,FALSE)),"Não","Sim")</f>
        <v/>
      </c>
      <c r="G521" s="99">
        <f>IFERROR(INDEX(_Protheus_Cadastro!$H:$H,MATCH(B521,_Protheus_Cadastro!$A:$A,0)),"—")</f>
        <v/>
      </c>
      <c r="H521" s="211">
        <f>IFERROR(INDEX(_ZIG_Precos!$D:$D,MATCH(I521,_ZIG_Precos!$F:$F,0)),"—")</f>
        <v/>
      </c>
      <c r="I521" s="103">
        <f>IFERROR(VLOOKUP(B521,_Protheus_Cadastro!$A:$I,9,FALSE),"—")</f>
        <v/>
      </c>
      <c r="J521" s="101">
        <f>IFERROR(INDEX(_ZIG_Cadastro!$B:$B,MATCH(I521,_ZIG_Cadastro!$A:$A,0)),IFERROR(INDEX(_Entradas_ZIG!$B:$B,MATCH(I521,_Entradas_ZIG!$C:$C,0)),"—"))</f>
        <v/>
      </c>
      <c r="K521" s="101">
        <f>IFERROR(INDEX(_ZIG_Cadastro!$C:$C,MATCH(I521,_ZIG_Cadastro!$A:$A,0)),IFERROR(INDEX(_Entradas_ZIG!$D:$D,MATCH(I521,_Entradas_ZIG!$C:$C,0)),"—"))</f>
        <v/>
      </c>
      <c r="L521" s="99">
        <f>IF(I521="","Sem SKU ZIG",IF(I521="—","Sem SKU ZIG",IF(NOT(ISERROR(MATCH(I521,_ZIG_Cadastro!$A:$A,0))),IF(EXACT(UPPER(TRIM(C521)),UPPER(TRIM(INDEX(_ZIG_Cadastro!$B:$B,MATCH(I521,_ZIG_Cadastro!$A:$A,0))))),"OK","Atencao - Nome diverge"),IF(NOT(ISERROR(MATCH(I521,_Entradas_ZIG!$C:$C,0))),"OK","Erro - SKU nao encontrado"))))</f>
        <v/>
      </c>
      <c r="M521" s="99">
        <f>IFERROR(INDEX(_ZIG_Cadastro!$G:$G,MATCH(I521,_ZIG_Cadastro!$A:$A,0)),IF(NOT(ISERROR(MATCH(I521,_Entradas_ZIG!$C:$C,0))),"Ativo","—"))</f>
        <v/>
      </c>
      <c r="N521" s="102">
        <f>IFERROR(INDEX(_ZIG_Cadastro!$E:$E,MATCH(I521,_ZIG_Cadastro!$A:$A,0)),IFERROR(INDEX(_Entradas_ZIG!$F:$F,MATCH(I521,_Entradas_ZIG!$C:$C,0)),"—"))</f>
        <v/>
      </c>
      <c r="O521" s="99">
        <f>IF(AND(ISNUMBER(SEARCH("Espeto",N521)),ISNUMBER(SEARCH("Carin",N521))),"SIM","")</f>
        <v/>
      </c>
      <c r="P521" s="99">
        <f>IF(AND(ISNUMBER(SEARCH("Espeto",N521)),ISNUMBER(SEARCH("Lapa",N521))),"SIM","")</f>
        <v/>
      </c>
      <c r="Q521" s="99">
        <f>IF(AND(ISNUMBER(SEARCH("Espeto",N521)),ISNUMBER(SEARCH("Tatuapé",N521))),"SIM","")</f>
        <v/>
      </c>
      <c r="R521" s="99">
        <f>IF(AND(ISNUMBER(SEARCH("Espeto",N521)),ISNUMBER(SEARCH("Pavão",N521))),"SIM","")</f>
        <v/>
      </c>
      <c r="S521" s="99">
        <f>IF(AND(ISNUMBER(SEARCH("Espeto",N521)),ISNUMBER(SEARCH("Chac",N521))),"SIM","")</f>
        <v/>
      </c>
      <c r="T521" s="99">
        <f>IF(AND(ISNUMBER(SEARCH("Espeto",N521)),ISNUMBER(SEARCH("Madalena",N521))),"SIM","")</f>
        <v/>
      </c>
      <c r="U521" s="99">
        <f>IF(AND(ISNUMBER(SEARCH("Espeto",N521)),ISNUMBER(SEARCH("Mariana",N521))),"SIM","")</f>
        <v/>
      </c>
      <c r="V521" s="99">
        <f>IF(AND(ISNUMBER(SEARCH("Espeto",N521)),ISNUMBER(SEARCH("Perdizes",N521))),"SIM","")</f>
        <v/>
      </c>
      <c r="W521" s="99">
        <f>IF(AND(ISNUMBER(SEARCH("Espeto",N521)),ISNUMBER(SEARCH("Santana",N521))),"SIM","")</f>
        <v/>
      </c>
      <c r="X521" s="99">
        <f>IF(AND(ISNUMBER(SEARCH("Espeto",N521)),ISNUMBER(SEARCH("André",N521))),"SIM","")</f>
        <v/>
      </c>
      <c r="Y521" s="99">
        <f>IF(AND(ISNUMBER(SEARCH("Delivery",N521)),ISNUMBER(SEARCH("Carin",N521))),"SIM","")</f>
        <v/>
      </c>
      <c r="Z521" s="99">
        <f>IF(AND(ISNUMBER(SEARCH("Delivery",N521)),ISNUMBER(SEARCH("Lapa",N521))),"SIM","")</f>
        <v/>
      </c>
      <c r="AA521" s="99">
        <f>IF(AND(ISNUMBER(SEARCH("Delivery",N521)),ISNUMBER(SEARCH("Tatuapé",N521))),"SIM","")</f>
        <v/>
      </c>
      <c r="AB521" s="99">
        <f>IF(AND(ISNUMBER(SEARCH("Delivery",N521)),ISNUMBER(SEARCH("Pavão",N521))),"SIM","")</f>
        <v/>
      </c>
      <c r="AC521" s="99">
        <f>IF(AND(ISNUMBER(SEARCH("Delivery",N521)),ISNUMBER(SEARCH("Chac",N521))),"SIM","")</f>
        <v/>
      </c>
      <c r="AD521" s="99">
        <f>IF(AND(ISNUMBER(SEARCH("Delivery",N521)),ISNUMBER(SEARCH("Madalena",N521))),"SIM","")</f>
        <v/>
      </c>
      <c r="AE521" s="92">
        <f>IF(AND(ISNUMBER(SEARCH("Delivery",N521)),ISNUMBER(SEARCH("Mariana",N521))),"SIM","")</f>
        <v/>
      </c>
      <c r="AF521" s="92">
        <f>IF(AND(ISNUMBER(SEARCH("Delivery",N521)),ISNUMBER(SEARCH("Perdizes",N521))),"SIM","")</f>
        <v/>
      </c>
      <c r="AG521" s="92">
        <f>IF(AND(ISNUMBER(SEARCH("Delivery",N521)),ISNUMBER(SEARCH("Santana",N521))),"SIM","")</f>
        <v/>
      </c>
      <c r="AH521" s="92">
        <f>IF(AND(ISNUMBER(SEARCH("Delivery",N521)),ISNUMBER(SEARCH("André",N521))),"SIM","")</f>
        <v/>
      </c>
      <c r="AI521" s="92">
        <f>IF(ISNUMBER(SEARCH("Interlagos",N521)),"SIM","")</f>
        <v/>
      </c>
      <c r="AJ521" s="92">
        <f>IF(ISNUMBER(SEARCH("Quiosque",N521)),"SIM","")</f>
        <v/>
      </c>
      <c r="AK521" s="93" t="n"/>
    </row>
    <row r="522">
      <c r="A522" s="88" t="inlineStr">
        <is>
          <t>Protheus</t>
        </is>
      </c>
      <c r="B522" s="89" t="inlineStr">
        <is>
          <t>001168</t>
        </is>
      </c>
      <c r="C522" s="90">
        <f>IF(B522="—","—",IFERROR(VLOOKUP(B522,_Protheus_Cadastro!$A:$B,2,FALSE),"—"))</f>
        <v/>
      </c>
      <c r="D522" s="91">
        <f>IF(B522="—",IFERROR(INDEX(_ZIG_Cadastro!$D:$D,MATCH(H522,_ZIG_Cadastro!$A:$A,0)),"Produto"),IFERROR(VLOOKUP(B522,_Protheus_Cadastro!$A:$C,3,FALSE),"—"))</f>
        <v/>
      </c>
      <c r="E522" s="91">
        <f>IF(B522="—","—",IFERROR(VLOOKUP(B522,_Protheus_Cadastro!$A:$D,4,FALSE),"—"))</f>
        <v/>
      </c>
      <c r="F522" s="91">
        <f>IF(ISERROR(VLOOKUP(B522,'Estrutura Protheus'!A:A,1,FALSE)),"Não","Sim")</f>
        <v/>
      </c>
      <c r="G522" s="92">
        <f>IFERROR(INDEX(_Protheus_Cadastro!$H:$H,MATCH(B522,_Protheus_Cadastro!$A:$A,0)),"—")</f>
        <v/>
      </c>
      <c r="H522" s="210">
        <f>IFERROR(INDEX(_ZIG_Precos!$D:$D,MATCH(I522,_ZIG_Precos!$F:$F,0)),"—")</f>
        <v/>
      </c>
      <c r="I522" s="95">
        <f>IFERROR(VLOOKUP(B522,_Protheus_Cadastro!$A:$I,9,FALSE),"—")</f>
        <v/>
      </c>
      <c r="J522" s="93">
        <f>IFERROR(INDEX(_ZIG_Cadastro!$B:$B,MATCH(I522,_ZIG_Cadastro!$A:$A,0)),IFERROR(INDEX(_Entradas_ZIG!$B:$B,MATCH(I522,_Entradas_ZIG!$C:$C,0)),"—"))</f>
        <v/>
      </c>
      <c r="K522" s="93">
        <f>IFERROR(INDEX(_ZIG_Cadastro!$C:$C,MATCH(I522,_ZIG_Cadastro!$A:$A,0)),IFERROR(INDEX(_Entradas_ZIG!$D:$D,MATCH(I522,_Entradas_ZIG!$C:$C,0)),"—"))</f>
        <v/>
      </c>
      <c r="L522" s="92">
        <f>IF(I522="","Sem SKU ZIG",IF(I522="—","Sem SKU ZIG",IF(NOT(ISERROR(MATCH(I522,_ZIG_Cadastro!$A:$A,0))),IF(EXACT(UPPER(TRIM(C522)),UPPER(TRIM(INDEX(_ZIG_Cadastro!$B:$B,MATCH(I522,_ZIG_Cadastro!$A:$A,0))))),"OK","Atencao - Nome diverge"),IF(NOT(ISERROR(MATCH(I522,_Entradas_ZIG!$C:$C,0))),"OK","Erro - SKU nao encontrado"))))</f>
        <v/>
      </c>
      <c r="M522" s="92">
        <f>IFERROR(INDEX(_ZIG_Cadastro!$G:$G,MATCH(I522,_ZIG_Cadastro!$A:$A,0)),IF(NOT(ISERROR(MATCH(I522,_Entradas_ZIG!$C:$C,0))),"Ativo","—"))</f>
        <v/>
      </c>
      <c r="N522" s="94">
        <f>IFERROR(INDEX(_ZIG_Cadastro!$E:$E,MATCH(I522,_ZIG_Cadastro!$A:$A,0)),IFERROR(INDEX(_Entradas_ZIG!$F:$F,MATCH(I522,_Entradas_ZIG!$C:$C,0)),"—"))</f>
        <v/>
      </c>
      <c r="O522" s="92">
        <f>IF(AND(ISNUMBER(SEARCH("Espeto",N522)),ISNUMBER(SEARCH("Carin",N522))),"SIM","")</f>
        <v/>
      </c>
      <c r="P522" s="92">
        <f>IF(AND(ISNUMBER(SEARCH("Espeto",N522)),ISNUMBER(SEARCH("Lapa",N522))),"SIM","")</f>
        <v/>
      </c>
      <c r="Q522" s="92">
        <f>IF(AND(ISNUMBER(SEARCH("Espeto",N522)),ISNUMBER(SEARCH("Tatuapé",N522))),"SIM","")</f>
        <v/>
      </c>
      <c r="R522" s="92">
        <f>IF(AND(ISNUMBER(SEARCH("Espeto",N522)),ISNUMBER(SEARCH("Pavão",N522))),"SIM","")</f>
        <v/>
      </c>
      <c r="S522" s="92">
        <f>IF(AND(ISNUMBER(SEARCH("Espeto",N522)),ISNUMBER(SEARCH("Chac",N522))),"SIM","")</f>
        <v/>
      </c>
      <c r="T522" s="92">
        <f>IF(AND(ISNUMBER(SEARCH("Espeto",N522)),ISNUMBER(SEARCH("Madalena",N522))),"SIM","")</f>
        <v/>
      </c>
      <c r="U522" s="92">
        <f>IF(AND(ISNUMBER(SEARCH("Espeto",N522)),ISNUMBER(SEARCH("Mariana",N522))),"SIM","")</f>
        <v/>
      </c>
      <c r="V522" s="92">
        <f>IF(AND(ISNUMBER(SEARCH("Espeto",N522)),ISNUMBER(SEARCH("Perdizes",N522))),"SIM","")</f>
        <v/>
      </c>
      <c r="W522" s="92">
        <f>IF(AND(ISNUMBER(SEARCH("Espeto",N522)),ISNUMBER(SEARCH("Santana",N522))),"SIM","")</f>
        <v/>
      </c>
      <c r="X522" s="92">
        <f>IF(AND(ISNUMBER(SEARCH("Espeto",N522)),ISNUMBER(SEARCH("André",N522))),"SIM","")</f>
        <v/>
      </c>
      <c r="Y522" s="92">
        <f>IF(AND(ISNUMBER(SEARCH("Delivery",N522)),ISNUMBER(SEARCH("Carin",N522))),"SIM","")</f>
        <v/>
      </c>
      <c r="Z522" s="92">
        <f>IF(AND(ISNUMBER(SEARCH("Delivery",N522)),ISNUMBER(SEARCH("Lapa",N522))),"SIM","")</f>
        <v/>
      </c>
      <c r="AA522" s="92">
        <f>IF(AND(ISNUMBER(SEARCH("Delivery",N522)),ISNUMBER(SEARCH("Tatuapé",N522))),"SIM","")</f>
        <v/>
      </c>
      <c r="AB522" s="92">
        <f>IF(AND(ISNUMBER(SEARCH("Delivery",N522)),ISNUMBER(SEARCH("Pavão",N522))),"SIM","")</f>
        <v/>
      </c>
      <c r="AC522" s="92">
        <f>IF(AND(ISNUMBER(SEARCH("Delivery",N522)),ISNUMBER(SEARCH("Chac",N522))),"SIM","")</f>
        <v/>
      </c>
      <c r="AD522" s="92">
        <f>IF(AND(ISNUMBER(SEARCH("Delivery",N522)),ISNUMBER(SEARCH("Madalena",N522))),"SIM","")</f>
        <v/>
      </c>
      <c r="AE522" s="99">
        <f>IF(AND(ISNUMBER(SEARCH("Delivery",N522)),ISNUMBER(SEARCH("Mariana",N522))),"SIM","")</f>
        <v/>
      </c>
      <c r="AF522" s="99">
        <f>IF(AND(ISNUMBER(SEARCH("Delivery",N522)),ISNUMBER(SEARCH("Perdizes",N522))),"SIM","")</f>
        <v/>
      </c>
      <c r="AG522" s="99">
        <f>IF(AND(ISNUMBER(SEARCH("Delivery",N522)),ISNUMBER(SEARCH("Santana",N522))),"SIM","")</f>
        <v/>
      </c>
      <c r="AH522" s="99">
        <f>IF(AND(ISNUMBER(SEARCH("Delivery",N522)),ISNUMBER(SEARCH("André",N522))),"SIM","")</f>
        <v/>
      </c>
      <c r="AI522" s="99">
        <f>IF(ISNUMBER(SEARCH("Interlagos",N522)),"SIM","")</f>
        <v/>
      </c>
      <c r="AJ522" s="99">
        <f>IF(ISNUMBER(SEARCH("Quiosque",N522)),"SIM","")</f>
        <v/>
      </c>
      <c r="AK522" s="101" t="n"/>
    </row>
    <row r="523">
      <c r="A523" s="88" t="inlineStr">
        <is>
          <t>Protheus</t>
        </is>
      </c>
      <c r="B523" s="96" t="inlineStr">
        <is>
          <t>002039</t>
        </is>
      </c>
      <c r="C523" s="97">
        <f>IF(B523="—","—",IFERROR(VLOOKUP(B523,_Protheus_Cadastro!$A:$B,2,FALSE),"—"))</f>
        <v/>
      </c>
      <c r="D523" s="98">
        <f>IF(B523="—",IFERROR(INDEX(_ZIG_Cadastro!$D:$D,MATCH(H523,_ZIG_Cadastro!$A:$A,0)),"Produto"),IFERROR(VLOOKUP(B523,_Protheus_Cadastro!$A:$C,3,FALSE),"—"))</f>
        <v/>
      </c>
      <c r="E523" s="98">
        <f>IF(B523="—","—",IFERROR(VLOOKUP(B523,_Protheus_Cadastro!$A:$D,4,FALSE),"—"))</f>
        <v/>
      </c>
      <c r="F523" s="98">
        <f>IF(ISERROR(VLOOKUP(B523,'Estrutura Protheus'!A:A,1,FALSE)),"Não","Sim")</f>
        <v/>
      </c>
      <c r="G523" s="99">
        <f>IFERROR(INDEX(_Protheus_Cadastro!$H:$H,MATCH(B523,_Protheus_Cadastro!$A:$A,0)),"—")</f>
        <v/>
      </c>
      <c r="H523" s="211">
        <f>IFERROR(INDEX(_ZIG_Precos!$D:$D,MATCH(I523,_ZIG_Precos!$F:$F,0)),"—")</f>
        <v/>
      </c>
      <c r="I523" s="103">
        <f>IFERROR(VLOOKUP(B523,_Protheus_Cadastro!$A:$I,9,FALSE),"—")</f>
        <v/>
      </c>
      <c r="J523" s="101">
        <f>IFERROR(INDEX(_ZIG_Cadastro!$B:$B,MATCH(I523,_ZIG_Cadastro!$A:$A,0)),IFERROR(INDEX(_Entradas_ZIG!$B:$B,MATCH(I523,_Entradas_ZIG!$C:$C,0)),"—"))</f>
        <v/>
      </c>
      <c r="K523" s="101">
        <f>IFERROR(INDEX(_ZIG_Cadastro!$C:$C,MATCH(I523,_ZIG_Cadastro!$A:$A,0)),IFERROR(INDEX(_Entradas_ZIG!$D:$D,MATCH(I523,_Entradas_ZIG!$C:$C,0)),"—"))</f>
        <v/>
      </c>
      <c r="L523" s="99">
        <f>IF(I523="","Sem SKU ZIG",IF(I523="—","Sem SKU ZIG",IF(NOT(ISERROR(MATCH(I523,_ZIG_Cadastro!$A:$A,0))),IF(EXACT(UPPER(TRIM(C523)),UPPER(TRIM(INDEX(_ZIG_Cadastro!$B:$B,MATCH(I523,_ZIG_Cadastro!$A:$A,0))))),"OK","Atencao - Nome diverge"),IF(NOT(ISERROR(MATCH(I523,_Entradas_ZIG!$C:$C,0))),"OK","Erro - SKU nao encontrado"))))</f>
        <v/>
      </c>
      <c r="M523" s="99">
        <f>IFERROR(INDEX(_ZIG_Cadastro!$G:$G,MATCH(I523,_ZIG_Cadastro!$A:$A,0)),IF(NOT(ISERROR(MATCH(I523,_Entradas_ZIG!$C:$C,0))),"Ativo","—"))</f>
        <v/>
      </c>
      <c r="N523" s="102">
        <f>IFERROR(INDEX(_ZIG_Cadastro!$E:$E,MATCH(I523,_ZIG_Cadastro!$A:$A,0)),IFERROR(INDEX(_Entradas_ZIG!$F:$F,MATCH(I523,_Entradas_ZIG!$C:$C,0)),"—"))</f>
        <v/>
      </c>
      <c r="O523" s="99">
        <f>IF(AND(ISNUMBER(SEARCH("Espeto",N523)),ISNUMBER(SEARCH("Carin",N523))),"SIM","")</f>
        <v/>
      </c>
      <c r="P523" s="99">
        <f>IF(AND(ISNUMBER(SEARCH("Espeto",N523)),ISNUMBER(SEARCH("Lapa",N523))),"SIM","")</f>
        <v/>
      </c>
      <c r="Q523" s="99">
        <f>IF(AND(ISNUMBER(SEARCH("Espeto",N523)),ISNUMBER(SEARCH("Tatuapé",N523))),"SIM","")</f>
        <v/>
      </c>
      <c r="R523" s="99">
        <f>IF(AND(ISNUMBER(SEARCH("Espeto",N523)),ISNUMBER(SEARCH("Pavão",N523))),"SIM","")</f>
        <v/>
      </c>
      <c r="S523" s="99">
        <f>IF(AND(ISNUMBER(SEARCH("Espeto",N523)),ISNUMBER(SEARCH("Chac",N523))),"SIM","")</f>
        <v/>
      </c>
      <c r="T523" s="99">
        <f>IF(AND(ISNUMBER(SEARCH("Espeto",N523)),ISNUMBER(SEARCH("Madalena",N523))),"SIM","")</f>
        <v/>
      </c>
      <c r="U523" s="99">
        <f>IF(AND(ISNUMBER(SEARCH("Espeto",N523)),ISNUMBER(SEARCH("Mariana",N523))),"SIM","")</f>
        <v/>
      </c>
      <c r="V523" s="99">
        <f>IF(AND(ISNUMBER(SEARCH("Espeto",N523)),ISNUMBER(SEARCH("Perdizes",N523))),"SIM","")</f>
        <v/>
      </c>
      <c r="W523" s="99">
        <f>IF(AND(ISNUMBER(SEARCH("Espeto",N523)),ISNUMBER(SEARCH("Santana",N523))),"SIM","")</f>
        <v/>
      </c>
      <c r="X523" s="99">
        <f>IF(AND(ISNUMBER(SEARCH("Espeto",N523)),ISNUMBER(SEARCH("André",N523))),"SIM","")</f>
        <v/>
      </c>
      <c r="Y523" s="99">
        <f>IF(AND(ISNUMBER(SEARCH("Delivery",N523)),ISNUMBER(SEARCH("Carin",N523))),"SIM","")</f>
        <v/>
      </c>
      <c r="Z523" s="99">
        <f>IF(AND(ISNUMBER(SEARCH("Delivery",N523)),ISNUMBER(SEARCH("Lapa",N523))),"SIM","")</f>
        <v/>
      </c>
      <c r="AA523" s="99">
        <f>IF(AND(ISNUMBER(SEARCH("Delivery",N523)),ISNUMBER(SEARCH("Tatuapé",N523))),"SIM","")</f>
        <v/>
      </c>
      <c r="AB523" s="99">
        <f>IF(AND(ISNUMBER(SEARCH("Delivery",N523)),ISNUMBER(SEARCH("Pavão",N523))),"SIM","")</f>
        <v/>
      </c>
      <c r="AC523" s="99">
        <f>IF(AND(ISNUMBER(SEARCH("Delivery",N523)),ISNUMBER(SEARCH("Chac",N523))),"SIM","")</f>
        <v/>
      </c>
      <c r="AD523" s="99">
        <f>IF(AND(ISNUMBER(SEARCH("Delivery",N523)),ISNUMBER(SEARCH("Madalena",N523))),"SIM","")</f>
        <v/>
      </c>
      <c r="AE523" s="92">
        <f>IF(AND(ISNUMBER(SEARCH("Delivery",N523)),ISNUMBER(SEARCH("Mariana",N523))),"SIM","")</f>
        <v/>
      </c>
      <c r="AF523" s="92">
        <f>IF(AND(ISNUMBER(SEARCH("Delivery",N523)),ISNUMBER(SEARCH("Perdizes",N523))),"SIM","")</f>
        <v/>
      </c>
      <c r="AG523" s="92">
        <f>IF(AND(ISNUMBER(SEARCH("Delivery",N523)),ISNUMBER(SEARCH("Santana",N523))),"SIM","")</f>
        <v/>
      </c>
      <c r="AH523" s="92">
        <f>IF(AND(ISNUMBER(SEARCH("Delivery",N523)),ISNUMBER(SEARCH("André",N523))),"SIM","")</f>
        <v/>
      </c>
      <c r="AI523" s="92">
        <f>IF(ISNUMBER(SEARCH("Interlagos",N523)),"SIM","")</f>
        <v/>
      </c>
      <c r="AJ523" s="92">
        <f>IF(ISNUMBER(SEARCH("Quiosque",N523)),"SIM","")</f>
        <v/>
      </c>
      <c r="AK523" s="93" t="n"/>
    </row>
    <row r="524">
      <c r="A524" s="88" t="inlineStr">
        <is>
          <t>Protheus</t>
        </is>
      </c>
      <c r="B524" s="89" t="inlineStr">
        <is>
          <t>002037</t>
        </is>
      </c>
      <c r="C524" s="90">
        <f>IF(B524="—","—",IFERROR(VLOOKUP(B524,_Protheus_Cadastro!$A:$B,2,FALSE),"—"))</f>
        <v/>
      </c>
      <c r="D524" s="91">
        <f>IF(B524="—",IFERROR(INDEX(_ZIG_Cadastro!$D:$D,MATCH(H524,_ZIG_Cadastro!$A:$A,0)),"Produto"),IFERROR(VLOOKUP(B524,_Protheus_Cadastro!$A:$C,3,FALSE),"—"))</f>
        <v/>
      </c>
      <c r="E524" s="91">
        <f>IF(B524="—","—",IFERROR(VLOOKUP(B524,_Protheus_Cadastro!$A:$D,4,FALSE),"—"))</f>
        <v/>
      </c>
      <c r="F524" s="91">
        <f>IF(ISERROR(VLOOKUP(B524,'Estrutura Protheus'!A:A,1,FALSE)),"Não","Sim")</f>
        <v/>
      </c>
      <c r="G524" s="92">
        <f>IFERROR(INDEX(_Protheus_Cadastro!$H:$H,MATCH(B524,_Protheus_Cadastro!$A:$A,0)),"—")</f>
        <v/>
      </c>
      <c r="H524" s="210">
        <f>IFERROR(INDEX(_ZIG_Precos!$D:$D,MATCH(I524,_ZIG_Precos!$F:$F,0)),"—")</f>
        <v/>
      </c>
      <c r="I524" s="95">
        <f>IFERROR(VLOOKUP(B524,_Protheus_Cadastro!$A:$I,9,FALSE),"—")</f>
        <v/>
      </c>
      <c r="J524" s="93">
        <f>IFERROR(INDEX(_ZIG_Cadastro!$B:$B,MATCH(I524,_ZIG_Cadastro!$A:$A,0)),IFERROR(INDEX(_Entradas_ZIG!$B:$B,MATCH(I524,_Entradas_ZIG!$C:$C,0)),"—"))</f>
        <v/>
      </c>
      <c r="K524" s="93">
        <f>IFERROR(INDEX(_ZIG_Cadastro!$C:$C,MATCH(I524,_ZIG_Cadastro!$A:$A,0)),IFERROR(INDEX(_Entradas_ZIG!$D:$D,MATCH(I524,_Entradas_ZIG!$C:$C,0)),"—"))</f>
        <v/>
      </c>
      <c r="L524" s="92">
        <f>IF(I524="","Sem SKU ZIG",IF(I524="—","Sem SKU ZIG",IF(NOT(ISERROR(MATCH(I524,_ZIG_Cadastro!$A:$A,0))),IF(EXACT(UPPER(TRIM(C524)),UPPER(TRIM(INDEX(_ZIG_Cadastro!$B:$B,MATCH(I524,_ZIG_Cadastro!$A:$A,0))))),"OK","Atencao - Nome diverge"),IF(NOT(ISERROR(MATCH(I524,_Entradas_ZIG!$C:$C,0))),"OK","Erro - SKU nao encontrado"))))</f>
        <v/>
      </c>
      <c r="M524" s="92">
        <f>IFERROR(INDEX(_ZIG_Cadastro!$G:$G,MATCH(I524,_ZIG_Cadastro!$A:$A,0)),IF(NOT(ISERROR(MATCH(I524,_Entradas_ZIG!$C:$C,0))),"Ativo","—"))</f>
        <v/>
      </c>
      <c r="N524" s="94">
        <f>IFERROR(INDEX(_ZIG_Cadastro!$E:$E,MATCH(I524,_ZIG_Cadastro!$A:$A,0)),IFERROR(INDEX(_Entradas_ZIG!$F:$F,MATCH(I524,_Entradas_ZIG!$C:$C,0)),"—"))</f>
        <v/>
      </c>
      <c r="O524" s="92">
        <f>IF(AND(ISNUMBER(SEARCH("Espeto",N524)),ISNUMBER(SEARCH("Carin",N524))),"SIM","")</f>
        <v/>
      </c>
      <c r="P524" s="92">
        <f>IF(AND(ISNUMBER(SEARCH("Espeto",N524)),ISNUMBER(SEARCH("Lapa",N524))),"SIM","")</f>
        <v/>
      </c>
      <c r="Q524" s="92">
        <f>IF(AND(ISNUMBER(SEARCH("Espeto",N524)),ISNUMBER(SEARCH("Tatuapé",N524))),"SIM","")</f>
        <v/>
      </c>
      <c r="R524" s="92">
        <f>IF(AND(ISNUMBER(SEARCH("Espeto",N524)),ISNUMBER(SEARCH("Pavão",N524))),"SIM","")</f>
        <v/>
      </c>
      <c r="S524" s="92">
        <f>IF(AND(ISNUMBER(SEARCH("Espeto",N524)),ISNUMBER(SEARCH("Chac",N524))),"SIM","")</f>
        <v/>
      </c>
      <c r="T524" s="92">
        <f>IF(AND(ISNUMBER(SEARCH("Espeto",N524)),ISNUMBER(SEARCH("Madalena",N524))),"SIM","")</f>
        <v/>
      </c>
      <c r="U524" s="92">
        <f>IF(AND(ISNUMBER(SEARCH("Espeto",N524)),ISNUMBER(SEARCH("Mariana",N524))),"SIM","")</f>
        <v/>
      </c>
      <c r="V524" s="92">
        <f>IF(AND(ISNUMBER(SEARCH("Espeto",N524)),ISNUMBER(SEARCH("Perdizes",N524))),"SIM","")</f>
        <v/>
      </c>
      <c r="W524" s="92">
        <f>IF(AND(ISNUMBER(SEARCH("Espeto",N524)),ISNUMBER(SEARCH("Santana",N524))),"SIM","")</f>
        <v/>
      </c>
      <c r="X524" s="92">
        <f>IF(AND(ISNUMBER(SEARCH("Espeto",N524)),ISNUMBER(SEARCH("André",N524))),"SIM","")</f>
        <v/>
      </c>
      <c r="Y524" s="92">
        <f>IF(AND(ISNUMBER(SEARCH("Delivery",N524)),ISNUMBER(SEARCH("Carin",N524))),"SIM","")</f>
        <v/>
      </c>
      <c r="Z524" s="92">
        <f>IF(AND(ISNUMBER(SEARCH("Delivery",N524)),ISNUMBER(SEARCH("Lapa",N524))),"SIM","")</f>
        <v/>
      </c>
      <c r="AA524" s="92">
        <f>IF(AND(ISNUMBER(SEARCH("Delivery",N524)),ISNUMBER(SEARCH("Tatuapé",N524))),"SIM","")</f>
        <v/>
      </c>
      <c r="AB524" s="92">
        <f>IF(AND(ISNUMBER(SEARCH("Delivery",N524)),ISNUMBER(SEARCH("Pavão",N524))),"SIM","")</f>
        <v/>
      </c>
      <c r="AC524" s="92">
        <f>IF(AND(ISNUMBER(SEARCH("Delivery",N524)),ISNUMBER(SEARCH("Chac",N524))),"SIM","")</f>
        <v/>
      </c>
      <c r="AD524" s="92">
        <f>IF(AND(ISNUMBER(SEARCH("Delivery",N524)),ISNUMBER(SEARCH("Madalena",N524))),"SIM","")</f>
        <v/>
      </c>
      <c r="AE524" s="99">
        <f>IF(AND(ISNUMBER(SEARCH("Delivery",N524)),ISNUMBER(SEARCH("Mariana",N524))),"SIM","")</f>
        <v/>
      </c>
      <c r="AF524" s="99">
        <f>IF(AND(ISNUMBER(SEARCH("Delivery",N524)),ISNUMBER(SEARCH("Perdizes",N524))),"SIM","")</f>
        <v/>
      </c>
      <c r="AG524" s="99">
        <f>IF(AND(ISNUMBER(SEARCH("Delivery",N524)),ISNUMBER(SEARCH("Santana",N524))),"SIM","")</f>
        <v/>
      </c>
      <c r="AH524" s="99">
        <f>IF(AND(ISNUMBER(SEARCH("Delivery",N524)),ISNUMBER(SEARCH("André",N524))),"SIM","")</f>
        <v/>
      </c>
      <c r="AI524" s="99">
        <f>IF(ISNUMBER(SEARCH("Interlagos",N524)),"SIM","")</f>
        <v/>
      </c>
      <c r="AJ524" s="99">
        <f>IF(ISNUMBER(SEARCH("Quiosque",N524)),"SIM","")</f>
        <v/>
      </c>
      <c r="AK524" s="101" t="n"/>
    </row>
    <row r="525">
      <c r="A525" s="88" t="inlineStr">
        <is>
          <t>Protheus</t>
        </is>
      </c>
      <c r="B525" s="96" t="inlineStr">
        <is>
          <t>001623</t>
        </is>
      </c>
      <c r="C525" s="97">
        <f>IF(B525="—","—",IFERROR(VLOOKUP(B525,_Protheus_Cadastro!$A:$B,2,FALSE),"—"))</f>
        <v/>
      </c>
      <c r="D525" s="98">
        <f>IF(B525="—",IFERROR(INDEX(_ZIG_Cadastro!$D:$D,MATCH(H525,_ZIG_Cadastro!$A:$A,0)),"Produto"),IFERROR(VLOOKUP(B525,_Protheus_Cadastro!$A:$C,3,FALSE),"—"))</f>
        <v/>
      </c>
      <c r="E525" s="98">
        <f>IF(B525="—","—",IFERROR(VLOOKUP(B525,_Protheus_Cadastro!$A:$D,4,FALSE),"—"))</f>
        <v/>
      </c>
      <c r="F525" s="98">
        <f>IF(ISERROR(VLOOKUP(B525,'Estrutura Protheus'!A:A,1,FALSE)),"Não","Sim")</f>
        <v/>
      </c>
      <c r="G525" s="99">
        <f>IFERROR(INDEX(_Protheus_Cadastro!$H:$H,MATCH(B525,_Protheus_Cadastro!$A:$A,0)),"—")</f>
        <v/>
      </c>
      <c r="H525" s="211">
        <f>IFERROR(INDEX(_ZIG_Precos!$D:$D,MATCH(I525,_ZIG_Precos!$F:$F,0)),"—")</f>
        <v/>
      </c>
      <c r="I525" s="103">
        <f>IFERROR(VLOOKUP(B525,_Protheus_Cadastro!$A:$I,9,FALSE),"—")</f>
        <v/>
      </c>
      <c r="J525" s="101">
        <f>IFERROR(INDEX(_ZIG_Cadastro!$B:$B,MATCH(I525,_ZIG_Cadastro!$A:$A,0)),IFERROR(INDEX(_Entradas_ZIG!$B:$B,MATCH(I525,_Entradas_ZIG!$C:$C,0)),"—"))</f>
        <v/>
      </c>
      <c r="K525" s="101">
        <f>IFERROR(INDEX(_ZIG_Cadastro!$C:$C,MATCH(I525,_ZIG_Cadastro!$A:$A,0)),IFERROR(INDEX(_Entradas_ZIG!$D:$D,MATCH(I525,_Entradas_ZIG!$C:$C,0)),"—"))</f>
        <v/>
      </c>
      <c r="L525" s="99">
        <f>IF(I525="","Sem SKU ZIG",IF(I525="—","Sem SKU ZIG",IF(NOT(ISERROR(MATCH(I525,_ZIG_Cadastro!$A:$A,0))),IF(EXACT(UPPER(TRIM(C525)),UPPER(TRIM(INDEX(_ZIG_Cadastro!$B:$B,MATCH(I525,_ZIG_Cadastro!$A:$A,0))))),"OK","Atencao - Nome diverge"),IF(NOT(ISERROR(MATCH(I525,_Entradas_ZIG!$C:$C,0))),"OK","Erro - SKU nao encontrado"))))</f>
        <v/>
      </c>
      <c r="M525" s="99">
        <f>IFERROR(INDEX(_ZIG_Cadastro!$G:$G,MATCH(I525,_ZIG_Cadastro!$A:$A,0)),IF(NOT(ISERROR(MATCH(I525,_Entradas_ZIG!$C:$C,0))),"Ativo","—"))</f>
        <v/>
      </c>
      <c r="N525" s="102">
        <f>IFERROR(INDEX(_ZIG_Cadastro!$E:$E,MATCH(I525,_ZIG_Cadastro!$A:$A,0)),IFERROR(INDEX(_Entradas_ZIG!$F:$F,MATCH(I525,_Entradas_ZIG!$C:$C,0)),"—"))</f>
        <v/>
      </c>
      <c r="O525" s="99">
        <f>IF(AND(ISNUMBER(SEARCH("Espeto",N525)),ISNUMBER(SEARCH("Carin",N525))),"SIM","")</f>
        <v/>
      </c>
      <c r="P525" s="99">
        <f>IF(AND(ISNUMBER(SEARCH("Espeto",N525)),ISNUMBER(SEARCH("Lapa",N525))),"SIM","")</f>
        <v/>
      </c>
      <c r="Q525" s="99">
        <f>IF(AND(ISNUMBER(SEARCH("Espeto",N525)),ISNUMBER(SEARCH("Tatuapé",N525))),"SIM","")</f>
        <v/>
      </c>
      <c r="R525" s="99">
        <f>IF(AND(ISNUMBER(SEARCH("Espeto",N525)),ISNUMBER(SEARCH("Pavão",N525))),"SIM","")</f>
        <v/>
      </c>
      <c r="S525" s="99">
        <f>IF(AND(ISNUMBER(SEARCH("Espeto",N525)),ISNUMBER(SEARCH("Chac",N525))),"SIM","")</f>
        <v/>
      </c>
      <c r="T525" s="99">
        <f>IF(AND(ISNUMBER(SEARCH("Espeto",N525)),ISNUMBER(SEARCH("Madalena",N525))),"SIM","")</f>
        <v/>
      </c>
      <c r="U525" s="99">
        <f>IF(AND(ISNUMBER(SEARCH("Espeto",N525)),ISNUMBER(SEARCH("Mariana",N525))),"SIM","")</f>
        <v/>
      </c>
      <c r="V525" s="99">
        <f>IF(AND(ISNUMBER(SEARCH("Espeto",N525)),ISNUMBER(SEARCH("Perdizes",N525))),"SIM","")</f>
        <v/>
      </c>
      <c r="W525" s="99">
        <f>IF(AND(ISNUMBER(SEARCH("Espeto",N525)),ISNUMBER(SEARCH("Santana",N525))),"SIM","")</f>
        <v/>
      </c>
      <c r="X525" s="99">
        <f>IF(AND(ISNUMBER(SEARCH("Espeto",N525)),ISNUMBER(SEARCH("André",N525))),"SIM","")</f>
        <v/>
      </c>
      <c r="Y525" s="99">
        <f>IF(AND(ISNUMBER(SEARCH("Delivery",N525)),ISNUMBER(SEARCH("Carin",N525))),"SIM","")</f>
        <v/>
      </c>
      <c r="Z525" s="99">
        <f>IF(AND(ISNUMBER(SEARCH("Delivery",N525)),ISNUMBER(SEARCH("Lapa",N525))),"SIM","")</f>
        <v/>
      </c>
      <c r="AA525" s="99">
        <f>IF(AND(ISNUMBER(SEARCH("Delivery",N525)),ISNUMBER(SEARCH("Tatuapé",N525))),"SIM","")</f>
        <v/>
      </c>
      <c r="AB525" s="99">
        <f>IF(AND(ISNUMBER(SEARCH("Delivery",N525)),ISNUMBER(SEARCH("Pavão",N525))),"SIM","")</f>
        <v/>
      </c>
      <c r="AC525" s="99">
        <f>IF(AND(ISNUMBER(SEARCH("Delivery",N525)),ISNUMBER(SEARCH("Chac",N525))),"SIM","")</f>
        <v/>
      </c>
      <c r="AD525" s="99">
        <f>IF(AND(ISNUMBER(SEARCH("Delivery",N525)),ISNUMBER(SEARCH("Madalena",N525))),"SIM","")</f>
        <v/>
      </c>
      <c r="AE525" s="92">
        <f>IF(AND(ISNUMBER(SEARCH("Delivery",N525)),ISNUMBER(SEARCH("Mariana",N525))),"SIM","")</f>
        <v/>
      </c>
      <c r="AF525" s="92">
        <f>IF(AND(ISNUMBER(SEARCH("Delivery",N525)),ISNUMBER(SEARCH("Perdizes",N525))),"SIM","")</f>
        <v/>
      </c>
      <c r="AG525" s="92">
        <f>IF(AND(ISNUMBER(SEARCH("Delivery",N525)),ISNUMBER(SEARCH("Santana",N525))),"SIM","")</f>
        <v/>
      </c>
      <c r="AH525" s="92">
        <f>IF(AND(ISNUMBER(SEARCH("Delivery",N525)),ISNUMBER(SEARCH("André",N525))),"SIM","")</f>
        <v/>
      </c>
      <c r="AI525" s="92">
        <f>IF(ISNUMBER(SEARCH("Interlagos",N525)),"SIM","")</f>
        <v/>
      </c>
      <c r="AJ525" s="92">
        <f>IF(ISNUMBER(SEARCH("Quiosque",N525)),"SIM","")</f>
        <v/>
      </c>
      <c r="AK525" s="93" t="n"/>
    </row>
    <row r="526">
      <c r="A526" s="88" t="inlineStr">
        <is>
          <t>Protheus</t>
        </is>
      </c>
      <c r="B526" s="89" t="inlineStr">
        <is>
          <t>000893</t>
        </is>
      </c>
      <c r="C526" s="90">
        <f>IF(B526="—","—",IFERROR(VLOOKUP(B526,_Protheus_Cadastro!$A:$B,2,FALSE),"—"))</f>
        <v/>
      </c>
      <c r="D526" s="91">
        <f>IF(B526="—",IFERROR(INDEX(_ZIG_Cadastro!$D:$D,MATCH(H526,_ZIG_Cadastro!$A:$A,0)),"Produto"),IFERROR(VLOOKUP(B526,_Protheus_Cadastro!$A:$C,3,FALSE),"—"))</f>
        <v/>
      </c>
      <c r="E526" s="91">
        <f>IF(B526="—","—",IFERROR(VLOOKUP(B526,_Protheus_Cadastro!$A:$D,4,FALSE),"—"))</f>
        <v/>
      </c>
      <c r="F526" s="91">
        <f>IF(ISERROR(VLOOKUP(B526,'Estrutura Protheus'!A:A,1,FALSE)),"Não","Sim")</f>
        <v/>
      </c>
      <c r="G526" s="92">
        <f>IFERROR(INDEX(_Protheus_Cadastro!$H:$H,MATCH(B526,_Protheus_Cadastro!$A:$A,0)),"—")</f>
        <v/>
      </c>
      <c r="H526" s="210">
        <f>IFERROR(INDEX(_ZIG_Precos!$D:$D,MATCH(I526,_ZIG_Precos!$F:$F,0)),"—")</f>
        <v/>
      </c>
      <c r="I526" s="95">
        <f>IFERROR(VLOOKUP(B526,_Protheus_Cadastro!$A:$I,9,FALSE),"—")</f>
        <v/>
      </c>
      <c r="J526" s="93">
        <f>IFERROR(INDEX(_ZIG_Cadastro!$B:$B,MATCH(I526,_ZIG_Cadastro!$A:$A,0)),IFERROR(INDEX(_Entradas_ZIG!$B:$B,MATCH(I526,_Entradas_ZIG!$C:$C,0)),"—"))</f>
        <v/>
      </c>
      <c r="K526" s="93">
        <f>IFERROR(INDEX(_ZIG_Cadastro!$C:$C,MATCH(I526,_ZIG_Cadastro!$A:$A,0)),IFERROR(INDEX(_Entradas_ZIG!$D:$D,MATCH(I526,_Entradas_ZIG!$C:$C,0)),"—"))</f>
        <v/>
      </c>
      <c r="L526" s="92">
        <f>IF(I526="","Sem SKU ZIG",IF(I526="—","Sem SKU ZIG",IF(NOT(ISERROR(MATCH(I526,_ZIG_Cadastro!$A:$A,0))),IF(EXACT(UPPER(TRIM(C526)),UPPER(TRIM(INDEX(_ZIG_Cadastro!$B:$B,MATCH(I526,_ZIG_Cadastro!$A:$A,0))))),"OK","Atencao - Nome diverge"),IF(NOT(ISERROR(MATCH(I526,_Entradas_ZIG!$C:$C,0))),"OK","Erro - SKU nao encontrado"))))</f>
        <v/>
      </c>
      <c r="M526" s="92">
        <f>IFERROR(INDEX(_ZIG_Cadastro!$G:$G,MATCH(I526,_ZIG_Cadastro!$A:$A,0)),IF(NOT(ISERROR(MATCH(I526,_Entradas_ZIG!$C:$C,0))),"Ativo","—"))</f>
        <v/>
      </c>
      <c r="N526" s="94">
        <f>IFERROR(INDEX(_ZIG_Cadastro!$E:$E,MATCH(I526,_ZIG_Cadastro!$A:$A,0)),IFERROR(INDEX(_Entradas_ZIG!$F:$F,MATCH(I526,_Entradas_ZIG!$C:$C,0)),"—"))</f>
        <v/>
      </c>
      <c r="O526" s="92">
        <f>IF(AND(ISNUMBER(SEARCH("Espeto",N526)),ISNUMBER(SEARCH("Carin",N526))),"SIM","")</f>
        <v/>
      </c>
      <c r="P526" s="92">
        <f>IF(AND(ISNUMBER(SEARCH("Espeto",N526)),ISNUMBER(SEARCH("Lapa",N526))),"SIM","")</f>
        <v/>
      </c>
      <c r="Q526" s="92">
        <f>IF(AND(ISNUMBER(SEARCH("Espeto",N526)),ISNUMBER(SEARCH("Tatuapé",N526))),"SIM","")</f>
        <v/>
      </c>
      <c r="R526" s="92">
        <f>IF(AND(ISNUMBER(SEARCH("Espeto",N526)),ISNUMBER(SEARCH("Pavão",N526))),"SIM","")</f>
        <v/>
      </c>
      <c r="S526" s="92">
        <f>IF(AND(ISNUMBER(SEARCH("Espeto",N526)),ISNUMBER(SEARCH("Chac",N526))),"SIM","")</f>
        <v/>
      </c>
      <c r="T526" s="92">
        <f>IF(AND(ISNUMBER(SEARCH("Espeto",N526)),ISNUMBER(SEARCH("Madalena",N526))),"SIM","")</f>
        <v/>
      </c>
      <c r="U526" s="92">
        <f>IF(AND(ISNUMBER(SEARCH("Espeto",N526)),ISNUMBER(SEARCH("Mariana",N526))),"SIM","")</f>
        <v/>
      </c>
      <c r="V526" s="92">
        <f>IF(AND(ISNUMBER(SEARCH("Espeto",N526)),ISNUMBER(SEARCH("Perdizes",N526))),"SIM","")</f>
        <v/>
      </c>
      <c r="W526" s="92">
        <f>IF(AND(ISNUMBER(SEARCH("Espeto",N526)),ISNUMBER(SEARCH("Santana",N526))),"SIM","")</f>
        <v/>
      </c>
      <c r="X526" s="92">
        <f>IF(AND(ISNUMBER(SEARCH("Espeto",N526)),ISNUMBER(SEARCH("André",N526))),"SIM","")</f>
        <v/>
      </c>
      <c r="Y526" s="92">
        <f>IF(AND(ISNUMBER(SEARCH("Delivery",N526)),ISNUMBER(SEARCH("Carin",N526))),"SIM","")</f>
        <v/>
      </c>
      <c r="Z526" s="92">
        <f>IF(AND(ISNUMBER(SEARCH("Delivery",N526)),ISNUMBER(SEARCH("Lapa",N526))),"SIM","")</f>
        <v/>
      </c>
      <c r="AA526" s="92">
        <f>IF(AND(ISNUMBER(SEARCH("Delivery",N526)),ISNUMBER(SEARCH("Tatuapé",N526))),"SIM","")</f>
        <v/>
      </c>
      <c r="AB526" s="92">
        <f>IF(AND(ISNUMBER(SEARCH("Delivery",N526)),ISNUMBER(SEARCH("Pavão",N526))),"SIM","")</f>
        <v/>
      </c>
      <c r="AC526" s="92">
        <f>IF(AND(ISNUMBER(SEARCH("Delivery",N526)),ISNUMBER(SEARCH("Chac",N526))),"SIM","")</f>
        <v/>
      </c>
      <c r="AD526" s="92">
        <f>IF(AND(ISNUMBER(SEARCH("Delivery",N526)),ISNUMBER(SEARCH("Madalena",N526))),"SIM","")</f>
        <v/>
      </c>
      <c r="AE526" s="99">
        <f>IF(AND(ISNUMBER(SEARCH("Delivery",N526)),ISNUMBER(SEARCH("Mariana",N526))),"SIM","")</f>
        <v/>
      </c>
      <c r="AF526" s="99">
        <f>IF(AND(ISNUMBER(SEARCH("Delivery",N526)),ISNUMBER(SEARCH("Perdizes",N526))),"SIM","")</f>
        <v/>
      </c>
      <c r="AG526" s="99">
        <f>IF(AND(ISNUMBER(SEARCH("Delivery",N526)),ISNUMBER(SEARCH("Santana",N526))),"SIM","")</f>
        <v/>
      </c>
      <c r="AH526" s="99">
        <f>IF(AND(ISNUMBER(SEARCH("Delivery",N526)),ISNUMBER(SEARCH("André",N526))),"SIM","")</f>
        <v/>
      </c>
      <c r="AI526" s="99">
        <f>IF(ISNUMBER(SEARCH("Interlagos",N526)),"SIM","")</f>
        <v/>
      </c>
      <c r="AJ526" s="99">
        <f>IF(ISNUMBER(SEARCH("Quiosque",N526)),"SIM","")</f>
        <v/>
      </c>
      <c r="AK526" s="101" t="n"/>
    </row>
    <row r="527">
      <c r="A527" s="88" t="inlineStr">
        <is>
          <t>Protheus</t>
        </is>
      </c>
      <c r="B527" s="96" t="inlineStr">
        <is>
          <t>001145</t>
        </is>
      </c>
      <c r="C527" s="97">
        <f>IF(B527="—","—",IFERROR(VLOOKUP(B527,_Protheus_Cadastro!$A:$B,2,FALSE),"—"))</f>
        <v/>
      </c>
      <c r="D527" s="98">
        <f>IF(B527="—",IFERROR(INDEX(_ZIG_Cadastro!$D:$D,MATCH(H527,_ZIG_Cadastro!$A:$A,0)),"Produto"),IFERROR(VLOOKUP(B527,_Protheus_Cadastro!$A:$C,3,FALSE),"—"))</f>
        <v/>
      </c>
      <c r="E527" s="98">
        <f>IF(B527="—","—",IFERROR(VLOOKUP(B527,_Protheus_Cadastro!$A:$D,4,FALSE),"—"))</f>
        <v/>
      </c>
      <c r="F527" s="98">
        <f>IF(ISERROR(VLOOKUP(B527,'Estrutura Protheus'!A:A,1,FALSE)),"Não","Sim")</f>
        <v/>
      </c>
      <c r="G527" s="99">
        <f>IFERROR(INDEX(_Protheus_Cadastro!$H:$H,MATCH(B527,_Protheus_Cadastro!$A:$A,0)),"—")</f>
        <v/>
      </c>
      <c r="H527" s="211">
        <f>IFERROR(INDEX(_ZIG_Precos!$D:$D,MATCH(I527,_ZIG_Precos!$F:$F,0)),"—")</f>
        <v/>
      </c>
      <c r="I527" s="103">
        <f>IFERROR(VLOOKUP(B527,_Protheus_Cadastro!$A:$I,9,FALSE),"—")</f>
        <v/>
      </c>
      <c r="J527" s="101">
        <f>IFERROR(INDEX(_ZIG_Cadastro!$B:$B,MATCH(I527,_ZIG_Cadastro!$A:$A,0)),IFERROR(INDEX(_Entradas_ZIG!$B:$B,MATCH(I527,_Entradas_ZIG!$C:$C,0)),"—"))</f>
        <v/>
      </c>
      <c r="K527" s="101">
        <f>IFERROR(INDEX(_ZIG_Cadastro!$C:$C,MATCH(I527,_ZIG_Cadastro!$A:$A,0)),IFERROR(INDEX(_Entradas_ZIG!$D:$D,MATCH(I527,_Entradas_ZIG!$C:$C,0)),"—"))</f>
        <v/>
      </c>
      <c r="L527" s="99">
        <f>IF(I527="","Sem SKU ZIG",IF(I527="—","Sem SKU ZIG",IF(NOT(ISERROR(MATCH(I527,_ZIG_Cadastro!$A:$A,0))),IF(EXACT(UPPER(TRIM(C527)),UPPER(TRIM(INDEX(_ZIG_Cadastro!$B:$B,MATCH(I527,_ZIG_Cadastro!$A:$A,0))))),"OK","Atencao - Nome diverge"),IF(NOT(ISERROR(MATCH(I527,_Entradas_ZIG!$C:$C,0))),"OK","Erro - SKU nao encontrado"))))</f>
        <v/>
      </c>
      <c r="M527" s="99">
        <f>IFERROR(INDEX(_ZIG_Cadastro!$G:$G,MATCH(I527,_ZIG_Cadastro!$A:$A,0)),IF(NOT(ISERROR(MATCH(I527,_Entradas_ZIG!$C:$C,0))),"Ativo","—"))</f>
        <v/>
      </c>
      <c r="N527" s="102">
        <f>IFERROR(INDEX(_ZIG_Cadastro!$E:$E,MATCH(I527,_ZIG_Cadastro!$A:$A,0)),IFERROR(INDEX(_Entradas_ZIG!$F:$F,MATCH(I527,_Entradas_ZIG!$C:$C,0)),"—"))</f>
        <v/>
      </c>
      <c r="O527" s="99">
        <f>IF(AND(ISNUMBER(SEARCH("Espeto",N527)),ISNUMBER(SEARCH("Carin",N527))),"SIM","")</f>
        <v/>
      </c>
      <c r="P527" s="99">
        <f>IF(AND(ISNUMBER(SEARCH("Espeto",N527)),ISNUMBER(SEARCH("Lapa",N527))),"SIM","")</f>
        <v/>
      </c>
      <c r="Q527" s="99">
        <f>IF(AND(ISNUMBER(SEARCH("Espeto",N527)),ISNUMBER(SEARCH("Tatuapé",N527))),"SIM","")</f>
        <v/>
      </c>
      <c r="R527" s="99">
        <f>IF(AND(ISNUMBER(SEARCH("Espeto",N527)),ISNUMBER(SEARCH("Pavão",N527))),"SIM","")</f>
        <v/>
      </c>
      <c r="S527" s="99">
        <f>IF(AND(ISNUMBER(SEARCH("Espeto",N527)),ISNUMBER(SEARCH("Chac",N527))),"SIM","")</f>
        <v/>
      </c>
      <c r="T527" s="99">
        <f>IF(AND(ISNUMBER(SEARCH("Espeto",N527)),ISNUMBER(SEARCH("Madalena",N527))),"SIM","")</f>
        <v/>
      </c>
      <c r="U527" s="99">
        <f>IF(AND(ISNUMBER(SEARCH("Espeto",N527)),ISNUMBER(SEARCH("Mariana",N527))),"SIM","")</f>
        <v/>
      </c>
      <c r="V527" s="99">
        <f>IF(AND(ISNUMBER(SEARCH("Espeto",N527)),ISNUMBER(SEARCH("Perdizes",N527))),"SIM","")</f>
        <v/>
      </c>
      <c r="W527" s="99">
        <f>IF(AND(ISNUMBER(SEARCH("Espeto",N527)),ISNUMBER(SEARCH("Santana",N527))),"SIM","")</f>
        <v/>
      </c>
      <c r="X527" s="99">
        <f>IF(AND(ISNUMBER(SEARCH("Espeto",N527)),ISNUMBER(SEARCH("André",N527))),"SIM","")</f>
        <v/>
      </c>
      <c r="Y527" s="99">
        <f>IF(AND(ISNUMBER(SEARCH("Delivery",N527)),ISNUMBER(SEARCH("Carin",N527))),"SIM","")</f>
        <v/>
      </c>
      <c r="Z527" s="99">
        <f>IF(AND(ISNUMBER(SEARCH("Delivery",N527)),ISNUMBER(SEARCH("Lapa",N527))),"SIM","")</f>
        <v/>
      </c>
      <c r="AA527" s="99">
        <f>IF(AND(ISNUMBER(SEARCH("Delivery",N527)),ISNUMBER(SEARCH("Tatuapé",N527))),"SIM","")</f>
        <v/>
      </c>
      <c r="AB527" s="99">
        <f>IF(AND(ISNUMBER(SEARCH("Delivery",N527)),ISNUMBER(SEARCH("Pavão",N527))),"SIM","")</f>
        <v/>
      </c>
      <c r="AC527" s="99">
        <f>IF(AND(ISNUMBER(SEARCH("Delivery",N527)),ISNUMBER(SEARCH("Chac",N527))),"SIM","")</f>
        <v/>
      </c>
      <c r="AD527" s="99">
        <f>IF(AND(ISNUMBER(SEARCH("Delivery",N527)),ISNUMBER(SEARCH("Madalena",N527))),"SIM","")</f>
        <v/>
      </c>
      <c r="AE527" s="92">
        <f>IF(AND(ISNUMBER(SEARCH("Delivery",N527)),ISNUMBER(SEARCH("Mariana",N527))),"SIM","")</f>
        <v/>
      </c>
      <c r="AF527" s="92">
        <f>IF(AND(ISNUMBER(SEARCH("Delivery",N527)),ISNUMBER(SEARCH("Perdizes",N527))),"SIM","")</f>
        <v/>
      </c>
      <c r="AG527" s="92">
        <f>IF(AND(ISNUMBER(SEARCH("Delivery",N527)),ISNUMBER(SEARCH("Santana",N527))),"SIM","")</f>
        <v/>
      </c>
      <c r="AH527" s="92">
        <f>IF(AND(ISNUMBER(SEARCH("Delivery",N527)),ISNUMBER(SEARCH("André",N527))),"SIM","")</f>
        <v/>
      </c>
      <c r="AI527" s="92">
        <f>IF(ISNUMBER(SEARCH("Interlagos",N527)),"SIM","")</f>
        <v/>
      </c>
      <c r="AJ527" s="92">
        <f>IF(ISNUMBER(SEARCH("Quiosque",N527)),"SIM","")</f>
        <v/>
      </c>
      <c r="AK527" s="93" t="n"/>
    </row>
    <row r="528">
      <c r="A528" s="88" t="inlineStr">
        <is>
          <t>Protheus</t>
        </is>
      </c>
      <c r="B528" s="89" t="inlineStr">
        <is>
          <t>001149</t>
        </is>
      </c>
      <c r="C528" s="90">
        <f>IF(B528="—","—",IFERROR(VLOOKUP(B528,_Protheus_Cadastro!$A:$B,2,FALSE),"—"))</f>
        <v/>
      </c>
      <c r="D528" s="91">
        <f>IF(B528="—",IFERROR(INDEX(_ZIG_Cadastro!$D:$D,MATCH(H528,_ZIG_Cadastro!$A:$A,0)),"Produto"),IFERROR(VLOOKUP(B528,_Protheus_Cadastro!$A:$C,3,FALSE),"—"))</f>
        <v/>
      </c>
      <c r="E528" s="91">
        <f>IF(B528="—","—",IFERROR(VLOOKUP(B528,_Protheus_Cadastro!$A:$D,4,FALSE),"—"))</f>
        <v/>
      </c>
      <c r="F528" s="91">
        <f>IF(ISERROR(VLOOKUP(B528,'Estrutura Protheus'!A:A,1,FALSE)),"Não","Sim")</f>
        <v/>
      </c>
      <c r="G528" s="92">
        <f>IFERROR(INDEX(_Protheus_Cadastro!$H:$H,MATCH(B528,_Protheus_Cadastro!$A:$A,0)),"—")</f>
        <v/>
      </c>
      <c r="H528" s="210">
        <f>IFERROR(INDEX(_ZIG_Precos!$D:$D,MATCH(I528,_ZIG_Precos!$F:$F,0)),"—")</f>
        <v/>
      </c>
      <c r="I528" s="95">
        <f>IFERROR(VLOOKUP(B528,_Protheus_Cadastro!$A:$I,9,FALSE),"—")</f>
        <v/>
      </c>
      <c r="J528" s="93">
        <f>IFERROR(INDEX(_ZIG_Cadastro!$B:$B,MATCH(I528,_ZIG_Cadastro!$A:$A,0)),IFERROR(INDEX(_Entradas_ZIG!$B:$B,MATCH(I528,_Entradas_ZIG!$C:$C,0)),"—"))</f>
        <v/>
      </c>
      <c r="K528" s="93">
        <f>IFERROR(INDEX(_ZIG_Cadastro!$C:$C,MATCH(I528,_ZIG_Cadastro!$A:$A,0)),IFERROR(INDEX(_Entradas_ZIG!$D:$D,MATCH(I528,_Entradas_ZIG!$C:$C,0)),"—"))</f>
        <v/>
      </c>
      <c r="L528" s="92">
        <f>IF(I528="","Sem SKU ZIG",IF(I528="—","Sem SKU ZIG",IF(NOT(ISERROR(MATCH(I528,_ZIG_Cadastro!$A:$A,0))),IF(EXACT(UPPER(TRIM(C528)),UPPER(TRIM(INDEX(_ZIG_Cadastro!$B:$B,MATCH(I528,_ZIG_Cadastro!$A:$A,0))))),"OK","Atencao - Nome diverge"),IF(NOT(ISERROR(MATCH(I528,_Entradas_ZIG!$C:$C,0))),"OK","Erro - SKU nao encontrado"))))</f>
        <v/>
      </c>
      <c r="M528" s="92">
        <f>IFERROR(INDEX(_ZIG_Cadastro!$G:$G,MATCH(I528,_ZIG_Cadastro!$A:$A,0)),IF(NOT(ISERROR(MATCH(I528,_Entradas_ZIG!$C:$C,0))),"Ativo","—"))</f>
        <v/>
      </c>
      <c r="N528" s="94">
        <f>IFERROR(INDEX(_ZIG_Cadastro!$E:$E,MATCH(I528,_ZIG_Cadastro!$A:$A,0)),IFERROR(INDEX(_Entradas_ZIG!$F:$F,MATCH(I528,_Entradas_ZIG!$C:$C,0)),"—"))</f>
        <v/>
      </c>
      <c r="O528" s="92">
        <f>IF(AND(ISNUMBER(SEARCH("Espeto",N528)),ISNUMBER(SEARCH("Carin",N528))),"SIM","")</f>
        <v/>
      </c>
      <c r="P528" s="92">
        <f>IF(AND(ISNUMBER(SEARCH("Espeto",N528)),ISNUMBER(SEARCH("Lapa",N528))),"SIM","")</f>
        <v/>
      </c>
      <c r="Q528" s="92">
        <f>IF(AND(ISNUMBER(SEARCH("Espeto",N528)),ISNUMBER(SEARCH("Tatuapé",N528))),"SIM","")</f>
        <v/>
      </c>
      <c r="R528" s="92">
        <f>IF(AND(ISNUMBER(SEARCH("Espeto",N528)),ISNUMBER(SEARCH("Pavão",N528))),"SIM","")</f>
        <v/>
      </c>
      <c r="S528" s="92">
        <f>IF(AND(ISNUMBER(SEARCH("Espeto",N528)),ISNUMBER(SEARCH("Chac",N528))),"SIM","")</f>
        <v/>
      </c>
      <c r="T528" s="92">
        <f>IF(AND(ISNUMBER(SEARCH("Espeto",N528)),ISNUMBER(SEARCH("Madalena",N528))),"SIM","")</f>
        <v/>
      </c>
      <c r="U528" s="92">
        <f>IF(AND(ISNUMBER(SEARCH("Espeto",N528)),ISNUMBER(SEARCH("Mariana",N528))),"SIM","")</f>
        <v/>
      </c>
      <c r="V528" s="92">
        <f>IF(AND(ISNUMBER(SEARCH("Espeto",N528)),ISNUMBER(SEARCH("Perdizes",N528))),"SIM","")</f>
        <v/>
      </c>
      <c r="W528" s="92">
        <f>IF(AND(ISNUMBER(SEARCH("Espeto",N528)),ISNUMBER(SEARCH("Santana",N528))),"SIM","")</f>
        <v/>
      </c>
      <c r="X528" s="92">
        <f>IF(AND(ISNUMBER(SEARCH("Espeto",N528)),ISNUMBER(SEARCH("André",N528))),"SIM","")</f>
        <v/>
      </c>
      <c r="Y528" s="92">
        <f>IF(AND(ISNUMBER(SEARCH("Delivery",N528)),ISNUMBER(SEARCH("Carin",N528))),"SIM","")</f>
        <v/>
      </c>
      <c r="Z528" s="92">
        <f>IF(AND(ISNUMBER(SEARCH("Delivery",N528)),ISNUMBER(SEARCH("Lapa",N528))),"SIM","")</f>
        <v/>
      </c>
      <c r="AA528" s="92">
        <f>IF(AND(ISNUMBER(SEARCH("Delivery",N528)),ISNUMBER(SEARCH("Tatuapé",N528))),"SIM","")</f>
        <v/>
      </c>
      <c r="AB528" s="92">
        <f>IF(AND(ISNUMBER(SEARCH("Delivery",N528)),ISNUMBER(SEARCH("Pavão",N528))),"SIM","")</f>
        <v/>
      </c>
      <c r="AC528" s="92">
        <f>IF(AND(ISNUMBER(SEARCH("Delivery",N528)),ISNUMBER(SEARCH("Chac",N528))),"SIM","")</f>
        <v/>
      </c>
      <c r="AD528" s="92">
        <f>IF(AND(ISNUMBER(SEARCH("Delivery",N528)),ISNUMBER(SEARCH("Madalena",N528))),"SIM","")</f>
        <v/>
      </c>
      <c r="AE528" s="99">
        <f>IF(AND(ISNUMBER(SEARCH("Delivery",N528)),ISNUMBER(SEARCH("Mariana",N528))),"SIM","")</f>
        <v/>
      </c>
      <c r="AF528" s="99">
        <f>IF(AND(ISNUMBER(SEARCH("Delivery",N528)),ISNUMBER(SEARCH("Perdizes",N528))),"SIM","")</f>
        <v/>
      </c>
      <c r="AG528" s="99">
        <f>IF(AND(ISNUMBER(SEARCH("Delivery",N528)),ISNUMBER(SEARCH("Santana",N528))),"SIM","")</f>
        <v/>
      </c>
      <c r="AH528" s="99">
        <f>IF(AND(ISNUMBER(SEARCH("Delivery",N528)),ISNUMBER(SEARCH("André",N528))),"SIM","")</f>
        <v/>
      </c>
      <c r="AI528" s="99">
        <f>IF(ISNUMBER(SEARCH("Interlagos",N528)),"SIM","")</f>
        <v/>
      </c>
      <c r="AJ528" s="99">
        <f>IF(ISNUMBER(SEARCH("Quiosque",N528)),"SIM","")</f>
        <v/>
      </c>
      <c r="AK528" s="101" t="n"/>
    </row>
    <row r="529">
      <c r="A529" s="88" t="inlineStr">
        <is>
          <t>Protheus</t>
        </is>
      </c>
      <c r="B529" s="96" t="inlineStr">
        <is>
          <t>002179</t>
        </is>
      </c>
      <c r="C529" s="97">
        <f>IF(B529="—","—",IFERROR(VLOOKUP(B529,_Protheus_Cadastro!$A:$B,2,FALSE),"—"))</f>
        <v/>
      </c>
      <c r="D529" s="98">
        <f>IF(B529="—",IFERROR(INDEX(_ZIG_Cadastro!$D:$D,MATCH(H529,_ZIG_Cadastro!$A:$A,0)),"Produto"),IFERROR(VLOOKUP(B529,_Protheus_Cadastro!$A:$C,3,FALSE),"—"))</f>
        <v/>
      </c>
      <c r="E529" s="98">
        <f>IF(B529="—","—",IFERROR(VLOOKUP(B529,_Protheus_Cadastro!$A:$D,4,FALSE),"—"))</f>
        <v/>
      </c>
      <c r="F529" s="98">
        <f>IF(ISERROR(VLOOKUP(B529,'Estrutura Protheus'!A:A,1,FALSE)),"Não","Sim")</f>
        <v/>
      </c>
      <c r="G529" s="99">
        <f>IFERROR(INDEX(_Protheus_Cadastro!$H:$H,MATCH(B529,_Protheus_Cadastro!$A:$A,0)),"—")</f>
        <v/>
      </c>
      <c r="H529" s="211">
        <f>IFERROR(INDEX(_ZIG_Precos!$D:$D,MATCH(I529,_ZIG_Precos!$F:$F,0)),"—")</f>
        <v/>
      </c>
      <c r="I529" s="103">
        <f>IFERROR(VLOOKUP(B529,_Protheus_Cadastro!$A:$I,9,FALSE),"—")</f>
        <v/>
      </c>
      <c r="J529" s="101">
        <f>IFERROR(INDEX(_ZIG_Cadastro!$B:$B,MATCH(I529,_ZIG_Cadastro!$A:$A,0)),IFERROR(INDEX(_Entradas_ZIG!$B:$B,MATCH(I529,_Entradas_ZIG!$C:$C,0)),"—"))</f>
        <v/>
      </c>
      <c r="K529" s="101">
        <f>IFERROR(INDEX(_ZIG_Cadastro!$C:$C,MATCH(I529,_ZIG_Cadastro!$A:$A,0)),IFERROR(INDEX(_Entradas_ZIG!$D:$D,MATCH(I529,_Entradas_ZIG!$C:$C,0)),"—"))</f>
        <v/>
      </c>
      <c r="L529" s="99">
        <f>IF(I529="","Sem SKU ZIG",IF(I529="—","Sem SKU ZIG",IF(NOT(ISERROR(MATCH(I529,_ZIG_Cadastro!$A:$A,0))),IF(EXACT(UPPER(TRIM(C529)),UPPER(TRIM(INDEX(_ZIG_Cadastro!$B:$B,MATCH(I529,_ZIG_Cadastro!$A:$A,0))))),"OK","Atencao - Nome diverge"),IF(NOT(ISERROR(MATCH(I529,_Entradas_ZIG!$C:$C,0))),"OK","Erro - SKU nao encontrado"))))</f>
        <v/>
      </c>
      <c r="M529" s="99">
        <f>IFERROR(INDEX(_ZIG_Cadastro!$G:$G,MATCH(I529,_ZIG_Cadastro!$A:$A,0)),IF(NOT(ISERROR(MATCH(I529,_Entradas_ZIG!$C:$C,0))),"Ativo","—"))</f>
        <v/>
      </c>
      <c r="N529" s="102">
        <f>IFERROR(INDEX(_ZIG_Cadastro!$E:$E,MATCH(I529,_ZIG_Cadastro!$A:$A,0)),IFERROR(INDEX(_Entradas_ZIG!$F:$F,MATCH(I529,_Entradas_ZIG!$C:$C,0)),"—"))</f>
        <v/>
      </c>
      <c r="O529" s="99">
        <f>IF(AND(ISNUMBER(SEARCH("Espeto",N529)),ISNUMBER(SEARCH("Carin",N529))),"SIM","")</f>
        <v/>
      </c>
      <c r="P529" s="99">
        <f>IF(AND(ISNUMBER(SEARCH("Espeto",N529)),ISNUMBER(SEARCH("Lapa",N529))),"SIM","")</f>
        <v/>
      </c>
      <c r="Q529" s="99">
        <f>IF(AND(ISNUMBER(SEARCH("Espeto",N529)),ISNUMBER(SEARCH("Tatuapé",N529))),"SIM","")</f>
        <v/>
      </c>
      <c r="R529" s="99">
        <f>IF(AND(ISNUMBER(SEARCH("Espeto",N529)),ISNUMBER(SEARCH("Pavão",N529))),"SIM","")</f>
        <v/>
      </c>
      <c r="S529" s="99">
        <f>IF(AND(ISNUMBER(SEARCH("Espeto",N529)),ISNUMBER(SEARCH("Chac",N529))),"SIM","")</f>
        <v/>
      </c>
      <c r="T529" s="99">
        <f>IF(AND(ISNUMBER(SEARCH("Espeto",N529)),ISNUMBER(SEARCH("Madalena",N529))),"SIM","")</f>
        <v/>
      </c>
      <c r="U529" s="99">
        <f>IF(AND(ISNUMBER(SEARCH("Espeto",N529)),ISNUMBER(SEARCH("Mariana",N529))),"SIM","")</f>
        <v/>
      </c>
      <c r="V529" s="99">
        <f>IF(AND(ISNUMBER(SEARCH("Espeto",N529)),ISNUMBER(SEARCH("Perdizes",N529))),"SIM","")</f>
        <v/>
      </c>
      <c r="W529" s="99">
        <f>IF(AND(ISNUMBER(SEARCH("Espeto",N529)),ISNUMBER(SEARCH("Santana",N529))),"SIM","")</f>
        <v/>
      </c>
      <c r="X529" s="99">
        <f>IF(AND(ISNUMBER(SEARCH("Espeto",N529)),ISNUMBER(SEARCH("André",N529))),"SIM","")</f>
        <v/>
      </c>
      <c r="Y529" s="99">
        <f>IF(AND(ISNUMBER(SEARCH("Delivery",N529)),ISNUMBER(SEARCH("Carin",N529))),"SIM","")</f>
        <v/>
      </c>
      <c r="Z529" s="99">
        <f>IF(AND(ISNUMBER(SEARCH("Delivery",N529)),ISNUMBER(SEARCH("Lapa",N529))),"SIM","")</f>
        <v/>
      </c>
      <c r="AA529" s="99">
        <f>IF(AND(ISNUMBER(SEARCH("Delivery",N529)),ISNUMBER(SEARCH("Tatuapé",N529))),"SIM","")</f>
        <v/>
      </c>
      <c r="AB529" s="99">
        <f>IF(AND(ISNUMBER(SEARCH("Delivery",N529)),ISNUMBER(SEARCH("Pavão",N529))),"SIM","")</f>
        <v/>
      </c>
      <c r="AC529" s="99">
        <f>IF(AND(ISNUMBER(SEARCH("Delivery",N529)),ISNUMBER(SEARCH("Chac",N529))),"SIM","")</f>
        <v/>
      </c>
      <c r="AD529" s="99">
        <f>IF(AND(ISNUMBER(SEARCH("Delivery",N529)),ISNUMBER(SEARCH("Madalena",N529))),"SIM","")</f>
        <v/>
      </c>
      <c r="AE529" s="92">
        <f>IF(AND(ISNUMBER(SEARCH("Delivery",N529)),ISNUMBER(SEARCH("Mariana",N529))),"SIM","")</f>
        <v/>
      </c>
      <c r="AF529" s="92">
        <f>IF(AND(ISNUMBER(SEARCH("Delivery",N529)),ISNUMBER(SEARCH("Perdizes",N529))),"SIM","")</f>
        <v/>
      </c>
      <c r="AG529" s="92">
        <f>IF(AND(ISNUMBER(SEARCH("Delivery",N529)),ISNUMBER(SEARCH("Santana",N529))),"SIM","")</f>
        <v/>
      </c>
      <c r="AH529" s="92">
        <f>IF(AND(ISNUMBER(SEARCH("Delivery",N529)),ISNUMBER(SEARCH("André",N529))),"SIM","")</f>
        <v/>
      </c>
      <c r="AI529" s="92">
        <f>IF(ISNUMBER(SEARCH("Interlagos",N529)),"SIM","")</f>
        <v/>
      </c>
      <c r="AJ529" s="92">
        <f>IF(ISNUMBER(SEARCH("Quiosque",N529)),"SIM","")</f>
        <v/>
      </c>
      <c r="AK529" s="93" t="n"/>
    </row>
    <row r="530">
      <c r="A530" s="88" t="inlineStr">
        <is>
          <t>Protheus</t>
        </is>
      </c>
      <c r="B530" s="89" t="inlineStr">
        <is>
          <t>002181</t>
        </is>
      </c>
      <c r="C530" s="90">
        <f>IF(B530="—","—",IFERROR(VLOOKUP(B530,_Protheus_Cadastro!$A:$B,2,FALSE),"—"))</f>
        <v/>
      </c>
      <c r="D530" s="91">
        <f>IF(B530="—",IFERROR(INDEX(_ZIG_Cadastro!$D:$D,MATCH(H530,_ZIG_Cadastro!$A:$A,0)),"Produto"),IFERROR(VLOOKUP(B530,_Protheus_Cadastro!$A:$C,3,FALSE),"—"))</f>
        <v/>
      </c>
      <c r="E530" s="91">
        <f>IF(B530="—","—",IFERROR(VLOOKUP(B530,_Protheus_Cadastro!$A:$D,4,FALSE),"—"))</f>
        <v/>
      </c>
      <c r="F530" s="91">
        <f>IF(ISERROR(VLOOKUP(B530,'Estrutura Protheus'!A:A,1,FALSE)),"Não","Sim")</f>
        <v/>
      </c>
      <c r="G530" s="92">
        <f>IFERROR(INDEX(_Protheus_Cadastro!$H:$H,MATCH(B530,_Protheus_Cadastro!$A:$A,0)),"—")</f>
        <v/>
      </c>
      <c r="H530" s="210">
        <f>IFERROR(INDEX(_ZIG_Precos!$D:$D,MATCH(I530,_ZIG_Precos!$F:$F,0)),"—")</f>
        <v/>
      </c>
      <c r="I530" s="95">
        <f>IFERROR(VLOOKUP(B530,_Protheus_Cadastro!$A:$I,9,FALSE),"—")</f>
        <v/>
      </c>
      <c r="J530" s="93">
        <f>IFERROR(INDEX(_ZIG_Cadastro!$B:$B,MATCH(I530,_ZIG_Cadastro!$A:$A,0)),IFERROR(INDEX(_Entradas_ZIG!$B:$B,MATCH(I530,_Entradas_ZIG!$C:$C,0)),"—"))</f>
        <v/>
      </c>
      <c r="K530" s="93">
        <f>IFERROR(INDEX(_ZIG_Cadastro!$C:$C,MATCH(I530,_ZIG_Cadastro!$A:$A,0)),IFERROR(INDEX(_Entradas_ZIG!$D:$D,MATCH(I530,_Entradas_ZIG!$C:$C,0)),"—"))</f>
        <v/>
      </c>
      <c r="L530" s="92">
        <f>IF(I530="","Sem SKU ZIG",IF(I530="—","Sem SKU ZIG",IF(NOT(ISERROR(MATCH(I530,_ZIG_Cadastro!$A:$A,0))),IF(EXACT(UPPER(TRIM(C530)),UPPER(TRIM(INDEX(_ZIG_Cadastro!$B:$B,MATCH(I530,_ZIG_Cadastro!$A:$A,0))))),"OK","Atencao - Nome diverge"),IF(NOT(ISERROR(MATCH(I530,_Entradas_ZIG!$C:$C,0))),"OK","Erro - SKU nao encontrado"))))</f>
        <v/>
      </c>
      <c r="M530" s="92">
        <f>IFERROR(INDEX(_ZIG_Cadastro!$G:$G,MATCH(I530,_ZIG_Cadastro!$A:$A,0)),IF(NOT(ISERROR(MATCH(I530,_Entradas_ZIG!$C:$C,0))),"Ativo","—"))</f>
        <v/>
      </c>
      <c r="N530" s="94">
        <f>IFERROR(INDEX(_ZIG_Cadastro!$E:$E,MATCH(I530,_ZIG_Cadastro!$A:$A,0)),IFERROR(INDEX(_Entradas_ZIG!$F:$F,MATCH(I530,_Entradas_ZIG!$C:$C,0)),"—"))</f>
        <v/>
      </c>
      <c r="O530" s="92">
        <f>IF(AND(ISNUMBER(SEARCH("Espeto",N530)),ISNUMBER(SEARCH("Carin",N530))),"SIM","")</f>
        <v/>
      </c>
      <c r="P530" s="92">
        <f>IF(AND(ISNUMBER(SEARCH("Espeto",N530)),ISNUMBER(SEARCH("Lapa",N530))),"SIM","")</f>
        <v/>
      </c>
      <c r="Q530" s="92">
        <f>IF(AND(ISNUMBER(SEARCH("Espeto",N530)),ISNUMBER(SEARCH("Tatuapé",N530))),"SIM","")</f>
        <v/>
      </c>
      <c r="R530" s="92">
        <f>IF(AND(ISNUMBER(SEARCH("Espeto",N530)),ISNUMBER(SEARCH("Pavão",N530))),"SIM","")</f>
        <v/>
      </c>
      <c r="S530" s="92">
        <f>IF(AND(ISNUMBER(SEARCH("Espeto",N530)),ISNUMBER(SEARCH("Chac",N530))),"SIM","")</f>
        <v/>
      </c>
      <c r="T530" s="92">
        <f>IF(AND(ISNUMBER(SEARCH("Espeto",N530)),ISNUMBER(SEARCH("Madalena",N530))),"SIM","")</f>
        <v/>
      </c>
      <c r="U530" s="92">
        <f>IF(AND(ISNUMBER(SEARCH("Espeto",N530)),ISNUMBER(SEARCH("Mariana",N530))),"SIM","")</f>
        <v/>
      </c>
      <c r="V530" s="92">
        <f>IF(AND(ISNUMBER(SEARCH("Espeto",N530)),ISNUMBER(SEARCH("Perdizes",N530))),"SIM","")</f>
        <v/>
      </c>
      <c r="W530" s="92">
        <f>IF(AND(ISNUMBER(SEARCH("Espeto",N530)),ISNUMBER(SEARCH("Santana",N530))),"SIM","")</f>
        <v/>
      </c>
      <c r="X530" s="92">
        <f>IF(AND(ISNUMBER(SEARCH("Espeto",N530)),ISNUMBER(SEARCH("André",N530))),"SIM","")</f>
        <v/>
      </c>
      <c r="Y530" s="92">
        <f>IF(AND(ISNUMBER(SEARCH("Delivery",N530)),ISNUMBER(SEARCH("Carin",N530))),"SIM","")</f>
        <v/>
      </c>
      <c r="Z530" s="92">
        <f>IF(AND(ISNUMBER(SEARCH("Delivery",N530)),ISNUMBER(SEARCH("Lapa",N530))),"SIM","")</f>
        <v/>
      </c>
      <c r="AA530" s="92">
        <f>IF(AND(ISNUMBER(SEARCH("Delivery",N530)),ISNUMBER(SEARCH("Tatuapé",N530))),"SIM","")</f>
        <v/>
      </c>
      <c r="AB530" s="92">
        <f>IF(AND(ISNUMBER(SEARCH("Delivery",N530)),ISNUMBER(SEARCH("Pavão",N530))),"SIM","")</f>
        <v/>
      </c>
      <c r="AC530" s="92">
        <f>IF(AND(ISNUMBER(SEARCH("Delivery",N530)),ISNUMBER(SEARCH("Chac",N530))),"SIM","")</f>
        <v/>
      </c>
      <c r="AD530" s="92">
        <f>IF(AND(ISNUMBER(SEARCH("Delivery",N530)),ISNUMBER(SEARCH("Madalena",N530))),"SIM","")</f>
        <v/>
      </c>
      <c r="AE530" s="99">
        <f>IF(AND(ISNUMBER(SEARCH("Delivery",N530)),ISNUMBER(SEARCH("Mariana",N530))),"SIM","")</f>
        <v/>
      </c>
      <c r="AF530" s="99">
        <f>IF(AND(ISNUMBER(SEARCH("Delivery",N530)),ISNUMBER(SEARCH("Perdizes",N530))),"SIM","")</f>
        <v/>
      </c>
      <c r="AG530" s="99">
        <f>IF(AND(ISNUMBER(SEARCH("Delivery",N530)),ISNUMBER(SEARCH("Santana",N530))),"SIM","")</f>
        <v/>
      </c>
      <c r="AH530" s="99">
        <f>IF(AND(ISNUMBER(SEARCH("Delivery",N530)),ISNUMBER(SEARCH("André",N530))),"SIM","")</f>
        <v/>
      </c>
      <c r="AI530" s="99">
        <f>IF(ISNUMBER(SEARCH("Interlagos",N530)),"SIM","")</f>
        <v/>
      </c>
      <c r="AJ530" s="99">
        <f>IF(ISNUMBER(SEARCH("Quiosque",N530)),"SIM","")</f>
        <v/>
      </c>
      <c r="AK530" s="101" t="n"/>
    </row>
    <row r="531">
      <c r="A531" s="88" t="inlineStr">
        <is>
          <t>Protheus</t>
        </is>
      </c>
      <c r="B531" s="96" t="inlineStr">
        <is>
          <t>002180</t>
        </is>
      </c>
      <c r="C531" s="97">
        <f>IF(B531="—","—",IFERROR(VLOOKUP(B531,_Protheus_Cadastro!$A:$B,2,FALSE),"—"))</f>
        <v/>
      </c>
      <c r="D531" s="98">
        <f>IF(B531="—",IFERROR(INDEX(_ZIG_Cadastro!$D:$D,MATCH(H531,_ZIG_Cadastro!$A:$A,0)),"Produto"),IFERROR(VLOOKUP(B531,_Protheus_Cadastro!$A:$C,3,FALSE),"—"))</f>
        <v/>
      </c>
      <c r="E531" s="98">
        <f>IF(B531="—","—",IFERROR(VLOOKUP(B531,_Protheus_Cadastro!$A:$D,4,FALSE),"—"))</f>
        <v/>
      </c>
      <c r="F531" s="98">
        <f>IF(ISERROR(VLOOKUP(B531,'Estrutura Protheus'!A:A,1,FALSE)),"Não","Sim")</f>
        <v/>
      </c>
      <c r="G531" s="99">
        <f>IFERROR(INDEX(_Protheus_Cadastro!$H:$H,MATCH(B531,_Protheus_Cadastro!$A:$A,0)),"—")</f>
        <v/>
      </c>
      <c r="H531" s="211">
        <f>IFERROR(INDEX(_ZIG_Precos!$D:$D,MATCH(I531,_ZIG_Precos!$F:$F,0)),"—")</f>
        <v/>
      </c>
      <c r="I531" s="103">
        <f>IFERROR(VLOOKUP(B531,_Protheus_Cadastro!$A:$I,9,FALSE),"—")</f>
        <v/>
      </c>
      <c r="J531" s="101">
        <f>IFERROR(INDEX(_ZIG_Cadastro!$B:$B,MATCH(I531,_ZIG_Cadastro!$A:$A,0)),IFERROR(INDEX(_Entradas_ZIG!$B:$B,MATCH(I531,_Entradas_ZIG!$C:$C,0)),"—"))</f>
        <v/>
      </c>
      <c r="K531" s="101">
        <f>IFERROR(INDEX(_ZIG_Cadastro!$C:$C,MATCH(I531,_ZIG_Cadastro!$A:$A,0)),IFERROR(INDEX(_Entradas_ZIG!$D:$D,MATCH(I531,_Entradas_ZIG!$C:$C,0)),"—"))</f>
        <v/>
      </c>
      <c r="L531" s="99">
        <f>IF(I531="","Sem SKU ZIG",IF(I531="—","Sem SKU ZIG",IF(NOT(ISERROR(MATCH(I531,_ZIG_Cadastro!$A:$A,0))),IF(EXACT(UPPER(TRIM(C531)),UPPER(TRIM(INDEX(_ZIG_Cadastro!$B:$B,MATCH(I531,_ZIG_Cadastro!$A:$A,0))))),"OK","Atencao - Nome diverge"),IF(NOT(ISERROR(MATCH(I531,_Entradas_ZIG!$C:$C,0))),"OK","Erro - SKU nao encontrado"))))</f>
        <v/>
      </c>
      <c r="M531" s="99">
        <f>IFERROR(INDEX(_ZIG_Cadastro!$G:$G,MATCH(I531,_ZIG_Cadastro!$A:$A,0)),IF(NOT(ISERROR(MATCH(I531,_Entradas_ZIG!$C:$C,0))),"Ativo","—"))</f>
        <v/>
      </c>
      <c r="N531" s="102">
        <f>IFERROR(INDEX(_ZIG_Cadastro!$E:$E,MATCH(I531,_ZIG_Cadastro!$A:$A,0)),IFERROR(INDEX(_Entradas_ZIG!$F:$F,MATCH(I531,_Entradas_ZIG!$C:$C,0)),"—"))</f>
        <v/>
      </c>
      <c r="O531" s="99">
        <f>IF(AND(ISNUMBER(SEARCH("Espeto",N531)),ISNUMBER(SEARCH("Carin",N531))),"SIM","")</f>
        <v/>
      </c>
      <c r="P531" s="99">
        <f>IF(AND(ISNUMBER(SEARCH("Espeto",N531)),ISNUMBER(SEARCH("Lapa",N531))),"SIM","")</f>
        <v/>
      </c>
      <c r="Q531" s="99">
        <f>IF(AND(ISNUMBER(SEARCH("Espeto",N531)),ISNUMBER(SEARCH("Tatuapé",N531))),"SIM","")</f>
        <v/>
      </c>
      <c r="R531" s="99">
        <f>IF(AND(ISNUMBER(SEARCH("Espeto",N531)),ISNUMBER(SEARCH("Pavão",N531))),"SIM","")</f>
        <v/>
      </c>
      <c r="S531" s="99">
        <f>IF(AND(ISNUMBER(SEARCH("Espeto",N531)),ISNUMBER(SEARCH("Chac",N531))),"SIM","")</f>
        <v/>
      </c>
      <c r="T531" s="99">
        <f>IF(AND(ISNUMBER(SEARCH("Espeto",N531)),ISNUMBER(SEARCH("Madalena",N531))),"SIM","")</f>
        <v/>
      </c>
      <c r="U531" s="99">
        <f>IF(AND(ISNUMBER(SEARCH("Espeto",N531)),ISNUMBER(SEARCH("Mariana",N531))),"SIM","")</f>
        <v/>
      </c>
      <c r="V531" s="99">
        <f>IF(AND(ISNUMBER(SEARCH("Espeto",N531)),ISNUMBER(SEARCH("Perdizes",N531))),"SIM","")</f>
        <v/>
      </c>
      <c r="W531" s="99">
        <f>IF(AND(ISNUMBER(SEARCH("Espeto",N531)),ISNUMBER(SEARCH("Santana",N531))),"SIM","")</f>
        <v/>
      </c>
      <c r="X531" s="99">
        <f>IF(AND(ISNUMBER(SEARCH("Espeto",N531)),ISNUMBER(SEARCH("André",N531))),"SIM","")</f>
        <v/>
      </c>
      <c r="Y531" s="99">
        <f>IF(AND(ISNUMBER(SEARCH("Delivery",N531)),ISNUMBER(SEARCH("Carin",N531))),"SIM","")</f>
        <v/>
      </c>
      <c r="Z531" s="99">
        <f>IF(AND(ISNUMBER(SEARCH("Delivery",N531)),ISNUMBER(SEARCH("Lapa",N531))),"SIM","")</f>
        <v/>
      </c>
      <c r="AA531" s="99">
        <f>IF(AND(ISNUMBER(SEARCH("Delivery",N531)),ISNUMBER(SEARCH("Tatuapé",N531))),"SIM","")</f>
        <v/>
      </c>
      <c r="AB531" s="99">
        <f>IF(AND(ISNUMBER(SEARCH("Delivery",N531)),ISNUMBER(SEARCH("Pavão",N531))),"SIM","")</f>
        <v/>
      </c>
      <c r="AC531" s="99">
        <f>IF(AND(ISNUMBER(SEARCH("Delivery",N531)),ISNUMBER(SEARCH("Chac",N531))),"SIM","")</f>
        <v/>
      </c>
      <c r="AD531" s="99">
        <f>IF(AND(ISNUMBER(SEARCH("Delivery",N531)),ISNUMBER(SEARCH("Madalena",N531))),"SIM","")</f>
        <v/>
      </c>
      <c r="AE531" s="92">
        <f>IF(AND(ISNUMBER(SEARCH("Delivery",N531)),ISNUMBER(SEARCH("Mariana",N531))),"SIM","")</f>
        <v/>
      </c>
      <c r="AF531" s="92">
        <f>IF(AND(ISNUMBER(SEARCH("Delivery",N531)),ISNUMBER(SEARCH("Perdizes",N531))),"SIM","")</f>
        <v/>
      </c>
      <c r="AG531" s="92">
        <f>IF(AND(ISNUMBER(SEARCH("Delivery",N531)),ISNUMBER(SEARCH("Santana",N531))),"SIM","")</f>
        <v/>
      </c>
      <c r="AH531" s="92">
        <f>IF(AND(ISNUMBER(SEARCH("Delivery",N531)),ISNUMBER(SEARCH("André",N531))),"SIM","")</f>
        <v/>
      </c>
      <c r="AI531" s="92">
        <f>IF(ISNUMBER(SEARCH("Interlagos",N531)),"SIM","")</f>
        <v/>
      </c>
      <c r="AJ531" s="92">
        <f>IF(ISNUMBER(SEARCH("Quiosque",N531)),"SIM","")</f>
        <v/>
      </c>
      <c r="AK531" s="93" t="n"/>
    </row>
    <row r="532">
      <c r="A532" s="88" t="inlineStr">
        <is>
          <t>Protheus</t>
        </is>
      </c>
      <c r="B532" s="89" t="inlineStr">
        <is>
          <t>001797</t>
        </is>
      </c>
      <c r="C532" s="90">
        <f>IF(B532="—","—",IFERROR(VLOOKUP(B532,_Protheus_Cadastro!$A:$B,2,FALSE),"—"))</f>
        <v/>
      </c>
      <c r="D532" s="91">
        <f>IF(B532="—",IFERROR(INDEX(_ZIG_Cadastro!$D:$D,MATCH(H532,_ZIG_Cadastro!$A:$A,0)),"Produto"),IFERROR(VLOOKUP(B532,_Protheus_Cadastro!$A:$C,3,FALSE),"—"))</f>
        <v/>
      </c>
      <c r="E532" s="91">
        <f>IF(B532="—","—",IFERROR(VLOOKUP(B532,_Protheus_Cadastro!$A:$D,4,FALSE),"—"))</f>
        <v/>
      </c>
      <c r="F532" s="91">
        <f>IF(ISERROR(VLOOKUP(B532,'Estrutura Protheus'!A:A,1,FALSE)),"Não","Sim")</f>
        <v/>
      </c>
      <c r="G532" s="92">
        <f>IFERROR(INDEX(_Protheus_Cadastro!$H:$H,MATCH(B532,_Protheus_Cadastro!$A:$A,0)),"—")</f>
        <v/>
      </c>
      <c r="H532" s="210">
        <f>IFERROR(INDEX(_ZIG_Precos!$D:$D,MATCH(I532,_ZIG_Precos!$F:$F,0)),"—")</f>
        <v/>
      </c>
      <c r="I532" s="95">
        <f>IFERROR(VLOOKUP(B532,_Protheus_Cadastro!$A:$I,9,FALSE),"—")</f>
        <v/>
      </c>
      <c r="J532" s="93">
        <f>IFERROR(INDEX(_ZIG_Cadastro!$B:$B,MATCH(I532,_ZIG_Cadastro!$A:$A,0)),IFERROR(INDEX(_Entradas_ZIG!$B:$B,MATCH(I532,_Entradas_ZIG!$C:$C,0)),"—"))</f>
        <v/>
      </c>
      <c r="K532" s="93">
        <f>IFERROR(INDEX(_ZIG_Cadastro!$C:$C,MATCH(I532,_ZIG_Cadastro!$A:$A,0)),IFERROR(INDEX(_Entradas_ZIG!$D:$D,MATCH(I532,_Entradas_ZIG!$C:$C,0)),"—"))</f>
        <v/>
      </c>
      <c r="L532" s="92">
        <f>IF(I532="","Sem SKU ZIG",IF(I532="—","Sem SKU ZIG",IF(NOT(ISERROR(MATCH(I532,_ZIG_Cadastro!$A:$A,0))),IF(EXACT(UPPER(TRIM(C532)),UPPER(TRIM(INDEX(_ZIG_Cadastro!$B:$B,MATCH(I532,_ZIG_Cadastro!$A:$A,0))))),"OK","Atencao - Nome diverge"),IF(NOT(ISERROR(MATCH(I532,_Entradas_ZIG!$C:$C,0))),"OK","Erro - SKU nao encontrado"))))</f>
        <v/>
      </c>
      <c r="M532" s="92">
        <f>IFERROR(INDEX(_ZIG_Cadastro!$G:$G,MATCH(I532,_ZIG_Cadastro!$A:$A,0)),IF(NOT(ISERROR(MATCH(I532,_Entradas_ZIG!$C:$C,0))),"Ativo","—"))</f>
        <v/>
      </c>
      <c r="N532" s="94">
        <f>IFERROR(INDEX(_ZIG_Cadastro!$E:$E,MATCH(I532,_ZIG_Cadastro!$A:$A,0)),IFERROR(INDEX(_Entradas_ZIG!$F:$F,MATCH(I532,_Entradas_ZIG!$C:$C,0)),"—"))</f>
        <v/>
      </c>
      <c r="O532" s="92">
        <f>IF(AND(ISNUMBER(SEARCH("Espeto",N532)),ISNUMBER(SEARCH("Carin",N532))),"SIM","")</f>
        <v/>
      </c>
      <c r="P532" s="92">
        <f>IF(AND(ISNUMBER(SEARCH("Espeto",N532)),ISNUMBER(SEARCH("Lapa",N532))),"SIM","")</f>
        <v/>
      </c>
      <c r="Q532" s="92">
        <f>IF(AND(ISNUMBER(SEARCH("Espeto",N532)),ISNUMBER(SEARCH("Tatuapé",N532))),"SIM","")</f>
        <v/>
      </c>
      <c r="R532" s="92">
        <f>IF(AND(ISNUMBER(SEARCH("Espeto",N532)),ISNUMBER(SEARCH("Pavão",N532))),"SIM","")</f>
        <v/>
      </c>
      <c r="S532" s="92">
        <f>IF(AND(ISNUMBER(SEARCH("Espeto",N532)),ISNUMBER(SEARCH("Chac",N532))),"SIM","")</f>
        <v/>
      </c>
      <c r="T532" s="92">
        <f>IF(AND(ISNUMBER(SEARCH("Espeto",N532)),ISNUMBER(SEARCH("Madalena",N532))),"SIM","")</f>
        <v/>
      </c>
      <c r="U532" s="92">
        <f>IF(AND(ISNUMBER(SEARCH("Espeto",N532)),ISNUMBER(SEARCH("Mariana",N532))),"SIM","")</f>
        <v/>
      </c>
      <c r="V532" s="92">
        <f>IF(AND(ISNUMBER(SEARCH("Espeto",N532)),ISNUMBER(SEARCH("Perdizes",N532))),"SIM","")</f>
        <v/>
      </c>
      <c r="W532" s="92">
        <f>IF(AND(ISNUMBER(SEARCH("Espeto",N532)),ISNUMBER(SEARCH("Santana",N532))),"SIM","")</f>
        <v/>
      </c>
      <c r="X532" s="92">
        <f>IF(AND(ISNUMBER(SEARCH("Espeto",N532)),ISNUMBER(SEARCH("André",N532))),"SIM","")</f>
        <v/>
      </c>
      <c r="Y532" s="92">
        <f>IF(AND(ISNUMBER(SEARCH("Delivery",N532)),ISNUMBER(SEARCH("Carin",N532))),"SIM","")</f>
        <v/>
      </c>
      <c r="Z532" s="92">
        <f>IF(AND(ISNUMBER(SEARCH("Delivery",N532)),ISNUMBER(SEARCH("Lapa",N532))),"SIM","")</f>
        <v/>
      </c>
      <c r="AA532" s="92">
        <f>IF(AND(ISNUMBER(SEARCH("Delivery",N532)),ISNUMBER(SEARCH("Tatuapé",N532))),"SIM","")</f>
        <v/>
      </c>
      <c r="AB532" s="92">
        <f>IF(AND(ISNUMBER(SEARCH("Delivery",N532)),ISNUMBER(SEARCH("Pavão",N532))),"SIM","")</f>
        <v/>
      </c>
      <c r="AC532" s="92">
        <f>IF(AND(ISNUMBER(SEARCH("Delivery",N532)),ISNUMBER(SEARCH("Chac",N532))),"SIM","")</f>
        <v/>
      </c>
      <c r="AD532" s="92">
        <f>IF(AND(ISNUMBER(SEARCH("Delivery",N532)),ISNUMBER(SEARCH("Madalena",N532))),"SIM","")</f>
        <v/>
      </c>
      <c r="AE532" s="99">
        <f>IF(AND(ISNUMBER(SEARCH("Delivery",N532)),ISNUMBER(SEARCH("Mariana",N532))),"SIM","")</f>
        <v/>
      </c>
      <c r="AF532" s="99">
        <f>IF(AND(ISNUMBER(SEARCH("Delivery",N532)),ISNUMBER(SEARCH("Perdizes",N532))),"SIM","")</f>
        <v/>
      </c>
      <c r="AG532" s="99">
        <f>IF(AND(ISNUMBER(SEARCH("Delivery",N532)),ISNUMBER(SEARCH("Santana",N532))),"SIM","")</f>
        <v/>
      </c>
      <c r="AH532" s="99">
        <f>IF(AND(ISNUMBER(SEARCH("Delivery",N532)),ISNUMBER(SEARCH("André",N532))),"SIM","")</f>
        <v/>
      </c>
      <c r="AI532" s="99">
        <f>IF(ISNUMBER(SEARCH("Interlagos",N532)),"SIM","")</f>
        <v/>
      </c>
      <c r="AJ532" s="99">
        <f>IF(ISNUMBER(SEARCH("Quiosque",N532)),"SIM","")</f>
        <v/>
      </c>
      <c r="AK532" s="101" t="n"/>
    </row>
    <row r="533">
      <c r="A533" s="88" t="inlineStr">
        <is>
          <t>Protheus</t>
        </is>
      </c>
      <c r="B533" s="96" t="inlineStr">
        <is>
          <t>001000</t>
        </is>
      </c>
      <c r="C533" s="97">
        <f>IF(B533="—","—",IFERROR(VLOOKUP(B533,_Protheus_Cadastro!$A:$B,2,FALSE),"—"))</f>
        <v/>
      </c>
      <c r="D533" s="98">
        <f>IF(B533="—",IFERROR(INDEX(_ZIG_Cadastro!$D:$D,MATCH(H533,_ZIG_Cadastro!$A:$A,0)),"Produto"),IFERROR(VLOOKUP(B533,_Protheus_Cadastro!$A:$C,3,FALSE),"—"))</f>
        <v/>
      </c>
      <c r="E533" s="98">
        <f>IF(B533="—","—",IFERROR(VLOOKUP(B533,_Protheus_Cadastro!$A:$D,4,FALSE),"—"))</f>
        <v/>
      </c>
      <c r="F533" s="98">
        <f>IF(ISERROR(VLOOKUP(B533,'Estrutura Protheus'!A:A,1,FALSE)),"Não","Sim")</f>
        <v/>
      </c>
      <c r="G533" s="99">
        <f>IFERROR(INDEX(_Protheus_Cadastro!$H:$H,MATCH(B533,_Protheus_Cadastro!$A:$A,0)),"—")</f>
        <v/>
      </c>
      <c r="H533" s="211">
        <f>IFERROR(INDEX(_ZIG_Precos!$D:$D,MATCH(I533,_ZIG_Precos!$F:$F,0)),"—")</f>
        <v/>
      </c>
      <c r="I533" s="103">
        <f>IFERROR(VLOOKUP(B533,_Protheus_Cadastro!$A:$I,9,FALSE),"—")</f>
        <v/>
      </c>
      <c r="J533" s="101">
        <f>IFERROR(INDEX(_ZIG_Cadastro!$B:$B,MATCH(I533,_ZIG_Cadastro!$A:$A,0)),IFERROR(INDEX(_Entradas_ZIG!$B:$B,MATCH(I533,_Entradas_ZIG!$C:$C,0)),"—"))</f>
        <v/>
      </c>
      <c r="K533" s="101">
        <f>IFERROR(INDEX(_ZIG_Cadastro!$C:$C,MATCH(I533,_ZIG_Cadastro!$A:$A,0)),IFERROR(INDEX(_Entradas_ZIG!$D:$D,MATCH(I533,_Entradas_ZIG!$C:$C,0)),"—"))</f>
        <v/>
      </c>
      <c r="L533" s="99">
        <f>IF(I533="","Sem SKU ZIG",IF(I533="—","Sem SKU ZIG",IF(NOT(ISERROR(MATCH(I533,_ZIG_Cadastro!$A:$A,0))),IF(EXACT(UPPER(TRIM(C533)),UPPER(TRIM(INDEX(_ZIG_Cadastro!$B:$B,MATCH(I533,_ZIG_Cadastro!$A:$A,0))))),"OK","Atencao - Nome diverge"),IF(NOT(ISERROR(MATCH(I533,_Entradas_ZIG!$C:$C,0))),"OK","Erro - SKU nao encontrado"))))</f>
        <v/>
      </c>
      <c r="M533" s="99">
        <f>IFERROR(INDEX(_ZIG_Cadastro!$G:$G,MATCH(I533,_ZIG_Cadastro!$A:$A,0)),IF(NOT(ISERROR(MATCH(I533,_Entradas_ZIG!$C:$C,0))),"Ativo","—"))</f>
        <v/>
      </c>
      <c r="N533" s="102">
        <f>IFERROR(INDEX(_ZIG_Cadastro!$E:$E,MATCH(I533,_ZIG_Cadastro!$A:$A,0)),IFERROR(INDEX(_Entradas_ZIG!$F:$F,MATCH(I533,_Entradas_ZIG!$C:$C,0)),"—"))</f>
        <v/>
      </c>
      <c r="O533" s="99">
        <f>IF(AND(ISNUMBER(SEARCH("Espeto",N533)),ISNUMBER(SEARCH("Carin",N533))),"SIM","")</f>
        <v/>
      </c>
      <c r="P533" s="99">
        <f>IF(AND(ISNUMBER(SEARCH("Espeto",N533)),ISNUMBER(SEARCH("Lapa",N533))),"SIM","")</f>
        <v/>
      </c>
      <c r="Q533" s="99">
        <f>IF(AND(ISNUMBER(SEARCH("Espeto",N533)),ISNUMBER(SEARCH("Tatuapé",N533))),"SIM","")</f>
        <v/>
      </c>
      <c r="R533" s="99">
        <f>IF(AND(ISNUMBER(SEARCH("Espeto",N533)),ISNUMBER(SEARCH("Pavão",N533))),"SIM","")</f>
        <v/>
      </c>
      <c r="S533" s="99">
        <f>IF(AND(ISNUMBER(SEARCH("Espeto",N533)),ISNUMBER(SEARCH("Chac",N533))),"SIM","")</f>
        <v/>
      </c>
      <c r="T533" s="99">
        <f>IF(AND(ISNUMBER(SEARCH("Espeto",N533)),ISNUMBER(SEARCH("Madalena",N533))),"SIM","")</f>
        <v/>
      </c>
      <c r="U533" s="99">
        <f>IF(AND(ISNUMBER(SEARCH("Espeto",N533)),ISNUMBER(SEARCH("Mariana",N533))),"SIM","")</f>
        <v/>
      </c>
      <c r="V533" s="99">
        <f>IF(AND(ISNUMBER(SEARCH("Espeto",N533)),ISNUMBER(SEARCH("Perdizes",N533))),"SIM","")</f>
        <v/>
      </c>
      <c r="W533" s="99">
        <f>IF(AND(ISNUMBER(SEARCH("Espeto",N533)),ISNUMBER(SEARCH("Santana",N533))),"SIM","")</f>
        <v/>
      </c>
      <c r="X533" s="99">
        <f>IF(AND(ISNUMBER(SEARCH("Espeto",N533)),ISNUMBER(SEARCH("André",N533))),"SIM","")</f>
        <v/>
      </c>
      <c r="Y533" s="99">
        <f>IF(AND(ISNUMBER(SEARCH("Delivery",N533)),ISNUMBER(SEARCH("Carin",N533))),"SIM","")</f>
        <v/>
      </c>
      <c r="Z533" s="99">
        <f>IF(AND(ISNUMBER(SEARCH("Delivery",N533)),ISNUMBER(SEARCH("Lapa",N533))),"SIM","")</f>
        <v/>
      </c>
      <c r="AA533" s="99">
        <f>IF(AND(ISNUMBER(SEARCH("Delivery",N533)),ISNUMBER(SEARCH("Tatuapé",N533))),"SIM","")</f>
        <v/>
      </c>
      <c r="AB533" s="99">
        <f>IF(AND(ISNUMBER(SEARCH("Delivery",N533)),ISNUMBER(SEARCH("Pavão",N533))),"SIM","")</f>
        <v/>
      </c>
      <c r="AC533" s="99">
        <f>IF(AND(ISNUMBER(SEARCH("Delivery",N533)),ISNUMBER(SEARCH("Chac",N533))),"SIM","")</f>
        <v/>
      </c>
      <c r="AD533" s="99">
        <f>IF(AND(ISNUMBER(SEARCH("Delivery",N533)),ISNUMBER(SEARCH("Madalena",N533))),"SIM","")</f>
        <v/>
      </c>
      <c r="AE533" s="92">
        <f>IF(AND(ISNUMBER(SEARCH("Delivery",N533)),ISNUMBER(SEARCH("Mariana",N533))),"SIM","")</f>
        <v/>
      </c>
      <c r="AF533" s="92">
        <f>IF(AND(ISNUMBER(SEARCH("Delivery",N533)),ISNUMBER(SEARCH("Perdizes",N533))),"SIM","")</f>
        <v/>
      </c>
      <c r="AG533" s="92">
        <f>IF(AND(ISNUMBER(SEARCH("Delivery",N533)),ISNUMBER(SEARCH("Santana",N533))),"SIM","")</f>
        <v/>
      </c>
      <c r="AH533" s="92">
        <f>IF(AND(ISNUMBER(SEARCH("Delivery",N533)),ISNUMBER(SEARCH("André",N533))),"SIM","")</f>
        <v/>
      </c>
      <c r="AI533" s="92">
        <f>IF(ISNUMBER(SEARCH("Interlagos",N533)),"SIM","")</f>
        <v/>
      </c>
      <c r="AJ533" s="92">
        <f>IF(ISNUMBER(SEARCH("Quiosque",N533)),"SIM","")</f>
        <v/>
      </c>
      <c r="AK533" s="93" t="n"/>
    </row>
    <row r="534">
      <c r="A534" s="88" t="inlineStr">
        <is>
          <t>Protheus</t>
        </is>
      </c>
      <c r="B534" s="89" t="inlineStr">
        <is>
          <t>001215</t>
        </is>
      </c>
      <c r="C534" s="90">
        <f>IF(B534="—","—",IFERROR(VLOOKUP(B534,_Protheus_Cadastro!$A:$B,2,FALSE),"—"))</f>
        <v/>
      </c>
      <c r="D534" s="91">
        <f>IF(B534="—",IFERROR(INDEX(_ZIG_Cadastro!$D:$D,MATCH(H534,_ZIG_Cadastro!$A:$A,0)),"Produto"),IFERROR(VLOOKUP(B534,_Protheus_Cadastro!$A:$C,3,FALSE),"—"))</f>
        <v/>
      </c>
      <c r="E534" s="91">
        <f>IF(B534="—","—",IFERROR(VLOOKUP(B534,_Protheus_Cadastro!$A:$D,4,FALSE),"—"))</f>
        <v/>
      </c>
      <c r="F534" s="91">
        <f>IF(ISERROR(VLOOKUP(B534,'Estrutura Protheus'!A:A,1,FALSE)),"Não","Sim")</f>
        <v/>
      </c>
      <c r="G534" s="92">
        <f>IFERROR(INDEX(_Protheus_Cadastro!$H:$H,MATCH(B534,_Protheus_Cadastro!$A:$A,0)),"—")</f>
        <v/>
      </c>
      <c r="H534" s="210">
        <f>IFERROR(INDEX(_ZIG_Precos!$D:$D,MATCH(I534,_ZIG_Precos!$F:$F,0)),"—")</f>
        <v/>
      </c>
      <c r="I534" s="95">
        <f>IFERROR(VLOOKUP(B534,_Protheus_Cadastro!$A:$I,9,FALSE),"—")</f>
        <v/>
      </c>
      <c r="J534" s="93">
        <f>IFERROR(INDEX(_ZIG_Cadastro!$B:$B,MATCH(I534,_ZIG_Cadastro!$A:$A,0)),IFERROR(INDEX(_Entradas_ZIG!$B:$B,MATCH(I534,_Entradas_ZIG!$C:$C,0)),"—"))</f>
        <v/>
      </c>
      <c r="K534" s="93">
        <f>IFERROR(INDEX(_ZIG_Cadastro!$C:$C,MATCH(I534,_ZIG_Cadastro!$A:$A,0)),IFERROR(INDEX(_Entradas_ZIG!$D:$D,MATCH(I534,_Entradas_ZIG!$C:$C,0)),"—"))</f>
        <v/>
      </c>
      <c r="L534" s="92">
        <f>IF(I534="","Sem SKU ZIG",IF(I534="—","Sem SKU ZIG",IF(NOT(ISERROR(MATCH(I534,_ZIG_Cadastro!$A:$A,0))),IF(EXACT(UPPER(TRIM(C534)),UPPER(TRIM(INDEX(_ZIG_Cadastro!$B:$B,MATCH(I534,_ZIG_Cadastro!$A:$A,0))))),"OK","Atencao - Nome diverge"),IF(NOT(ISERROR(MATCH(I534,_Entradas_ZIG!$C:$C,0))),"OK","Erro - SKU nao encontrado"))))</f>
        <v/>
      </c>
      <c r="M534" s="92">
        <f>IFERROR(INDEX(_ZIG_Cadastro!$G:$G,MATCH(I534,_ZIG_Cadastro!$A:$A,0)),IF(NOT(ISERROR(MATCH(I534,_Entradas_ZIG!$C:$C,0))),"Ativo","—"))</f>
        <v/>
      </c>
      <c r="N534" s="94">
        <f>IFERROR(INDEX(_ZIG_Cadastro!$E:$E,MATCH(I534,_ZIG_Cadastro!$A:$A,0)),IFERROR(INDEX(_Entradas_ZIG!$F:$F,MATCH(I534,_Entradas_ZIG!$C:$C,0)),"—"))</f>
        <v/>
      </c>
      <c r="O534" s="92">
        <f>IF(AND(ISNUMBER(SEARCH("Espeto",N534)),ISNUMBER(SEARCH("Carin",N534))),"SIM","")</f>
        <v/>
      </c>
      <c r="P534" s="92">
        <f>IF(AND(ISNUMBER(SEARCH("Espeto",N534)),ISNUMBER(SEARCH("Lapa",N534))),"SIM","")</f>
        <v/>
      </c>
      <c r="Q534" s="92">
        <f>IF(AND(ISNUMBER(SEARCH("Espeto",N534)),ISNUMBER(SEARCH("Tatuapé",N534))),"SIM","")</f>
        <v/>
      </c>
      <c r="R534" s="92">
        <f>IF(AND(ISNUMBER(SEARCH("Espeto",N534)),ISNUMBER(SEARCH("Pavão",N534))),"SIM","")</f>
        <v/>
      </c>
      <c r="S534" s="92">
        <f>IF(AND(ISNUMBER(SEARCH("Espeto",N534)),ISNUMBER(SEARCH("Chac",N534))),"SIM","")</f>
        <v/>
      </c>
      <c r="T534" s="92">
        <f>IF(AND(ISNUMBER(SEARCH("Espeto",N534)),ISNUMBER(SEARCH("Madalena",N534))),"SIM","")</f>
        <v/>
      </c>
      <c r="U534" s="92">
        <f>IF(AND(ISNUMBER(SEARCH("Espeto",N534)),ISNUMBER(SEARCH("Mariana",N534))),"SIM","")</f>
        <v/>
      </c>
      <c r="V534" s="92">
        <f>IF(AND(ISNUMBER(SEARCH("Espeto",N534)),ISNUMBER(SEARCH("Perdizes",N534))),"SIM","")</f>
        <v/>
      </c>
      <c r="W534" s="92">
        <f>IF(AND(ISNUMBER(SEARCH("Espeto",N534)),ISNUMBER(SEARCH("Santana",N534))),"SIM","")</f>
        <v/>
      </c>
      <c r="X534" s="92">
        <f>IF(AND(ISNUMBER(SEARCH("Espeto",N534)),ISNUMBER(SEARCH("André",N534))),"SIM","")</f>
        <v/>
      </c>
      <c r="Y534" s="92">
        <f>IF(AND(ISNUMBER(SEARCH("Delivery",N534)),ISNUMBER(SEARCH("Carin",N534))),"SIM","")</f>
        <v/>
      </c>
      <c r="Z534" s="92">
        <f>IF(AND(ISNUMBER(SEARCH("Delivery",N534)),ISNUMBER(SEARCH("Lapa",N534))),"SIM","")</f>
        <v/>
      </c>
      <c r="AA534" s="92">
        <f>IF(AND(ISNUMBER(SEARCH("Delivery",N534)),ISNUMBER(SEARCH("Tatuapé",N534))),"SIM","")</f>
        <v/>
      </c>
      <c r="AB534" s="92">
        <f>IF(AND(ISNUMBER(SEARCH("Delivery",N534)),ISNUMBER(SEARCH("Pavão",N534))),"SIM","")</f>
        <v/>
      </c>
      <c r="AC534" s="92">
        <f>IF(AND(ISNUMBER(SEARCH("Delivery",N534)),ISNUMBER(SEARCH("Chac",N534))),"SIM","")</f>
        <v/>
      </c>
      <c r="AD534" s="92">
        <f>IF(AND(ISNUMBER(SEARCH("Delivery",N534)),ISNUMBER(SEARCH("Madalena",N534))),"SIM","")</f>
        <v/>
      </c>
      <c r="AE534" s="99">
        <f>IF(AND(ISNUMBER(SEARCH("Delivery",N534)),ISNUMBER(SEARCH("Mariana",N534))),"SIM","")</f>
        <v/>
      </c>
      <c r="AF534" s="99">
        <f>IF(AND(ISNUMBER(SEARCH("Delivery",N534)),ISNUMBER(SEARCH("Perdizes",N534))),"SIM","")</f>
        <v/>
      </c>
      <c r="AG534" s="99">
        <f>IF(AND(ISNUMBER(SEARCH("Delivery",N534)),ISNUMBER(SEARCH("Santana",N534))),"SIM","")</f>
        <v/>
      </c>
      <c r="AH534" s="99">
        <f>IF(AND(ISNUMBER(SEARCH("Delivery",N534)),ISNUMBER(SEARCH("André",N534))),"SIM","")</f>
        <v/>
      </c>
      <c r="AI534" s="99">
        <f>IF(ISNUMBER(SEARCH("Interlagos",N534)),"SIM","")</f>
        <v/>
      </c>
      <c r="AJ534" s="99">
        <f>IF(ISNUMBER(SEARCH("Quiosque",N534)),"SIM","")</f>
        <v/>
      </c>
      <c r="AK534" s="101" t="n"/>
    </row>
    <row r="535">
      <c r="A535" s="88" t="inlineStr">
        <is>
          <t>Protheus</t>
        </is>
      </c>
      <c r="B535" s="96" t="inlineStr">
        <is>
          <t>001404</t>
        </is>
      </c>
      <c r="C535" s="97">
        <f>IF(B535="—","—",IFERROR(VLOOKUP(B535,_Protheus_Cadastro!$A:$B,2,FALSE),"—"))</f>
        <v/>
      </c>
      <c r="D535" s="98">
        <f>IF(B535="—",IFERROR(INDEX(_ZIG_Cadastro!$D:$D,MATCH(H535,_ZIG_Cadastro!$A:$A,0)),"Produto"),IFERROR(VLOOKUP(B535,_Protheus_Cadastro!$A:$C,3,FALSE),"—"))</f>
        <v/>
      </c>
      <c r="E535" s="98">
        <f>IF(B535="—","—",IFERROR(VLOOKUP(B535,_Protheus_Cadastro!$A:$D,4,FALSE),"—"))</f>
        <v/>
      </c>
      <c r="F535" s="98">
        <f>IF(ISERROR(VLOOKUP(B535,'Estrutura Protheus'!A:A,1,FALSE)),"Não","Sim")</f>
        <v/>
      </c>
      <c r="G535" s="99">
        <f>IFERROR(INDEX(_Protheus_Cadastro!$H:$H,MATCH(B535,_Protheus_Cadastro!$A:$A,0)),"—")</f>
        <v/>
      </c>
      <c r="H535" s="211">
        <f>IFERROR(INDEX(_ZIG_Precos!$D:$D,MATCH(I535,_ZIG_Precos!$F:$F,0)),"—")</f>
        <v/>
      </c>
      <c r="I535" s="103">
        <f>IFERROR(VLOOKUP(B535,_Protheus_Cadastro!$A:$I,9,FALSE),"—")</f>
        <v/>
      </c>
      <c r="J535" s="101">
        <f>IFERROR(INDEX(_ZIG_Cadastro!$B:$B,MATCH(I535,_ZIG_Cadastro!$A:$A,0)),IFERROR(INDEX(_Entradas_ZIG!$B:$B,MATCH(I535,_Entradas_ZIG!$C:$C,0)),"—"))</f>
        <v/>
      </c>
      <c r="K535" s="101">
        <f>IFERROR(INDEX(_ZIG_Cadastro!$C:$C,MATCH(I535,_ZIG_Cadastro!$A:$A,0)),IFERROR(INDEX(_Entradas_ZIG!$D:$D,MATCH(I535,_Entradas_ZIG!$C:$C,0)),"—"))</f>
        <v/>
      </c>
      <c r="L535" s="99">
        <f>IF(I535="","Sem SKU ZIG",IF(I535="—","Sem SKU ZIG",IF(NOT(ISERROR(MATCH(I535,_ZIG_Cadastro!$A:$A,0))),IF(EXACT(UPPER(TRIM(C535)),UPPER(TRIM(INDEX(_ZIG_Cadastro!$B:$B,MATCH(I535,_ZIG_Cadastro!$A:$A,0))))),"OK","Atencao - Nome diverge"),IF(NOT(ISERROR(MATCH(I535,_Entradas_ZIG!$C:$C,0))),"OK","Erro - SKU nao encontrado"))))</f>
        <v/>
      </c>
      <c r="M535" s="99">
        <f>IFERROR(INDEX(_ZIG_Cadastro!$G:$G,MATCH(I535,_ZIG_Cadastro!$A:$A,0)),IF(NOT(ISERROR(MATCH(I535,_Entradas_ZIG!$C:$C,0))),"Ativo","—"))</f>
        <v/>
      </c>
      <c r="N535" s="102">
        <f>IFERROR(INDEX(_ZIG_Cadastro!$E:$E,MATCH(I535,_ZIG_Cadastro!$A:$A,0)),IFERROR(INDEX(_Entradas_ZIG!$F:$F,MATCH(I535,_Entradas_ZIG!$C:$C,0)),"—"))</f>
        <v/>
      </c>
      <c r="O535" s="99">
        <f>IF(AND(ISNUMBER(SEARCH("Espeto",N535)),ISNUMBER(SEARCH("Carin",N535))),"SIM","")</f>
        <v/>
      </c>
      <c r="P535" s="99">
        <f>IF(AND(ISNUMBER(SEARCH("Espeto",N535)),ISNUMBER(SEARCH("Lapa",N535))),"SIM","")</f>
        <v/>
      </c>
      <c r="Q535" s="99">
        <f>IF(AND(ISNUMBER(SEARCH("Espeto",N535)),ISNUMBER(SEARCH("Tatuapé",N535))),"SIM","")</f>
        <v/>
      </c>
      <c r="R535" s="99">
        <f>IF(AND(ISNUMBER(SEARCH("Espeto",N535)),ISNUMBER(SEARCH("Pavão",N535))),"SIM","")</f>
        <v/>
      </c>
      <c r="S535" s="99">
        <f>IF(AND(ISNUMBER(SEARCH("Espeto",N535)),ISNUMBER(SEARCH("Chac",N535))),"SIM","")</f>
        <v/>
      </c>
      <c r="T535" s="99">
        <f>IF(AND(ISNUMBER(SEARCH("Espeto",N535)),ISNUMBER(SEARCH("Madalena",N535))),"SIM","")</f>
        <v/>
      </c>
      <c r="U535" s="99">
        <f>IF(AND(ISNUMBER(SEARCH("Espeto",N535)),ISNUMBER(SEARCH("Mariana",N535))),"SIM","")</f>
        <v/>
      </c>
      <c r="V535" s="99">
        <f>IF(AND(ISNUMBER(SEARCH("Espeto",N535)),ISNUMBER(SEARCH("Perdizes",N535))),"SIM","")</f>
        <v/>
      </c>
      <c r="W535" s="99">
        <f>IF(AND(ISNUMBER(SEARCH("Espeto",N535)),ISNUMBER(SEARCH("Santana",N535))),"SIM","")</f>
        <v/>
      </c>
      <c r="X535" s="99">
        <f>IF(AND(ISNUMBER(SEARCH("Espeto",N535)),ISNUMBER(SEARCH("André",N535))),"SIM","")</f>
        <v/>
      </c>
      <c r="Y535" s="99">
        <f>IF(AND(ISNUMBER(SEARCH("Delivery",N535)),ISNUMBER(SEARCH("Carin",N535))),"SIM","")</f>
        <v/>
      </c>
      <c r="Z535" s="99">
        <f>IF(AND(ISNUMBER(SEARCH("Delivery",N535)),ISNUMBER(SEARCH("Lapa",N535))),"SIM","")</f>
        <v/>
      </c>
      <c r="AA535" s="99">
        <f>IF(AND(ISNUMBER(SEARCH("Delivery",N535)),ISNUMBER(SEARCH("Tatuapé",N535))),"SIM","")</f>
        <v/>
      </c>
      <c r="AB535" s="99">
        <f>IF(AND(ISNUMBER(SEARCH("Delivery",N535)),ISNUMBER(SEARCH("Pavão",N535))),"SIM","")</f>
        <v/>
      </c>
      <c r="AC535" s="99">
        <f>IF(AND(ISNUMBER(SEARCH("Delivery",N535)),ISNUMBER(SEARCH("Chac",N535))),"SIM","")</f>
        <v/>
      </c>
      <c r="AD535" s="99">
        <f>IF(AND(ISNUMBER(SEARCH("Delivery",N535)),ISNUMBER(SEARCH("Madalena",N535))),"SIM","")</f>
        <v/>
      </c>
      <c r="AE535" s="92">
        <f>IF(AND(ISNUMBER(SEARCH("Delivery",N535)),ISNUMBER(SEARCH("Mariana",N535))),"SIM","")</f>
        <v/>
      </c>
      <c r="AF535" s="92">
        <f>IF(AND(ISNUMBER(SEARCH("Delivery",N535)),ISNUMBER(SEARCH("Perdizes",N535))),"SIM","")</f>
        <v/>
      </c>
      <c r="AG535" s="92">
        <f>IF(AND(ISNUMBER(SEARCH("Delivery",N535)),ISNUMBER(SEARCH("Santana",N535))),"SIM","")</f>
        <v/>
      </c>
      <c r="AH535" s="92">
        <f>IF(AND(ISNUMBER(SEARCH("Delivery",N535)),ISNUMBER(SEARCH("André",N535))),"SIM","")</f>
        <v/>
      </c>
      <c r="AI535" s="92">
        <f>IF(ISNUMBER(SEARCH("Interlagos",N535)),"SIM","")</f>
        <v/>
      </c>
      <c r="AJ535" s="92">
        <f>IF(ISNUMBER(SEARCH("Quiosque",N535)),"SIM","")</f>
        <v/>
      </c>
      <c r="AK535" s="93" t="n"/>
    </row>
    <row r="536">
      <c r="A536" s="88" t="inlineStr">
        <is>
          <t>Protheus</t>
        </is>
      </c>
      <c r="B536" s="89" t="inlineStr">
        <is>
          <t>001405</t>
        </is>
      </c>
      <c r="C536" s="90">
        <f>IF(B536="—","—",IFERROR(VLOOKUP(B536,_Protheus_Cadastro!$A:$B,2,FALSE),"—"))</f>
        <v/>
      </c>
      <c r="D536" s="91">
        <f>IF(B536="—",IFERROR(INDEX(_ZIG_Cadastro!$D:$D,MATCH(H536,_ZIG_Cadastro!$A:$A,0)),"Produto"),IFERROR(VLOOKUP(B536,_Protheus_Cadastro!$A:$C,3,FALSE),"—"))</f>
        <v/>
      </c>
      <c r="E536" s="91">
        <f>IF(B536="—","—",IFERROR(VLOOKUP(B536,_Protheus_Cadastro!$A:$D,4,FALSE),"—"))</f>
        <v/>
      </c>
      <c r="F536" s="91">
        <f>IF(ISERROR(VLOOKUP(B536,'Estrutura Protheus'!A:A,1,FALSE)),"Não","Sim")</f>
        <v/>
      </c>
      <c r="G536" s="92">
        <f>IFERROR(INDEX(_Protheus_Cadastro!$H:$H,MATCH(B536,_Protheus_Cadastro!$A:$A,0)),"—")</f>
        <v/>
      </c>
      <c r="H536" s="210">
        <f>IFERROR(INDEX(_ZIG_Precos!$D:$D,MATCH(I536,_ZIG_Precos!$F:$F,0)),"—")</f>
        <v/>
      </c>
      <c r="I536" s="95">
        <f>IFERROR(VLOOKUP(B536,_Protheus_Cadastro!$A:$I,9,FALSE),"—")</f>
        <v/>
      </c>
      <c r="J536" s="93">
        <f>IFERROR(INDEX(_ZIG_Cadastro!$B:$B,MATCH(I536,_ZIG_Cadastro!$A:$A,0)),IFERROR(INDEX(_Entradas_ZIG!$B:$B,MATCH(I536,_Entradas_ZIG!$C:$C,0)),"—"))</f>
        <v/>
      </c>
      <c r="K536" s="93">
        <f>IFERROR(INDEX(_ZIG_Cadastro!$C:$C,MATCH(I536,_ZIG_Cadastro!$A:$A,0)),IFERROR(INDEX(_Entradas_ZIG!$D:$D,MATCH(I536,_Entradas_ZIG!$C:$C,0)),"—"))</f>
        <v/>
      </c>
      <c r="L536" s="92">
        <f>IF(I536="","Sem SKU ZIG",IF(I536="—","Sem SKU ZIG",IF(NOT(ISERROR(MATCH(I536,_ZIG_Cadastro!$A:$A,0))),IF(EXACT(UPPER(TRIM(C536)),UPPER(TRIM(INDEX(_ZIG_Cadastro!$B:$B,MATCH(I536,_ZIG_Cadastro!$A:$A,0))))),"OK","Atencao - Nome diverge"),IF(NOT(ISERROR(MATCH(I536,_Entradas_ZIG!$C:$C,0))),"OK","Erro - SKU nao encontrado"))))</f>
        <v/>
      </c>
      <c r="M536" s="92">
        <f>IFERROR(INDEX(_ZIG_Cadastro!$G:$G,MATCH(I536,_ZIG_Cadastro!$A:$A,0)),IF(NOT(ISERROR(MATCH(I536,_Entradas_ZIG!$C:$C,0))),"Ativo","—"))</f>
        <v/>
      </c>
      <c r="N536" s="94">
        <f>IFERROR(INDEX(_ZIG_Cadastro!$E:$E,MATCH(I536,_ZIG_Cadastro!$A:$A,0)),IFERROR(INDEX(_Entradas_ZIG!$F:$F,MATCH(I536,_Entradas_ZIG!$C:$C,0)),"—"))</f>
        <v/>
      </c>
      <c r="O536" s="92">
        <f>IF(AND(ISNUMBER(SEARCH("Espeto",N536)),ISNUMBER(SEARCH("Carin",N536))),"SIM","")</f>
        <v/>
      </c>
      <c r="P536" s="92">
        <f>IF(AND(ISNUMBER(SEARCH("Espeto",N536)),ISNUMBER(SEARCH("Lapa",N536))),"SIM","")</f>
        <v/>
      </c>
      <c r="Q536" s="92">
        <f>IF(AND(ISNUMBER(SEARCH("Espeto",N536)),ISNUMBER(SEARCH("Tatuapé",N536))),"SIM","")</f>
        <v/>
      </c>
      <c r="R536" s="92">
        <f>IF(AND(ISNUMBER(SEARCH("Espeto",N536)),ISNUMBER(SEARCH("Pavão",N536))),"SIM","")</f>
        <v/>
      </c>
      <c r="S536" s="92">
        <f>IF(AND(ISNUMBER(SEARCH("Espeto",N536)),ISNUMBER(SEARCH("Chac",N536))),"SIM","")</f>
        <v/>
      </c>
      <c r="T536" s="92">
        <f>IF(AND(ISNUMBER(SEARCH("Espeto",N536)),ISNUMBER(SEARCH("Madalena",N536))),"SIM","")</f>
        <v/>
      </c>
      <c r="U536" s="92">
        <f>IF(AND(ISNUMBER(SEARCH("Espeto",N536)),ISNUMBER(SEARCH("Mariana",N536))),"SIM","")</f>
        <v/>
      </c>
      <c r="V536" s="92">
        <f>IF(AND(ISNUMBER(SEARCH("Espeto",N536)),ISNUMBER(SEARCH("Perdizes",N536))),"SIM","")</f>
        <v/>
      </c>
      <c r="W536" s="92">
        <f>IF(AND(ISNUMBER(SEARCH("Espeto",N536)),ISNUMBER(SEARCH("Santana",N536))),"SIM","")</f>
        <v/>
      </c>
      <c r="X536" s="92">
        <f>IF(AND(ISNUMBER(SEARCH("Espeto",N536)),ISNUMBER(SEARCH("André",N536))),"SIM","")</f>
        <v/>
      </c>
      <c r="Y536" s="92">
        <f>IF(AND(ISNUMBER(SEARCH("Delivery",N536)),ISNUMBER(SEARCH("Carin",N536))),"SIM","")</f>
        <v/>
      </c>
      <c r="Z536" s="92">
        <f>IF(AND(ISNUMBER(SEARCH("Delivery",N536)),ISNUMBER(SEARCH("Lapa",N536))),"SIM","")</f>
        <v/>
      </c>
      <c r="AA536" s="92">
        <f>IF(AND(ISNUMBER(SEARCH("Delivery",N536)),ISNUMBER(SEARCH("Tatuapé",N536))),"SIM","")</f>
        <v/>
      </c>
      <c r="AB536" s="92">
        <f>IF(AND(ISNUMBER(SEARCH("Delivery",N536)),ISNUMBER(SEARCH("Pavão",N536))),"SIM","")</f>
        <v/>
      </c>
      <c r="AC536" s="92">
        <f>IF(AND(ISNUMBER(SEARCH("Delivery",N536)),ISNUMBER(SEARCH("Chac",N536))),"SIM","")</f>
        <v/>
      </c>
      <c r="AD536" s="92">
        <f>IF(AND(ISNUMBER(SEARCH("Delivery",N536)),ISNUMBER(SEARCH("Madalena",N536))),"SIM","")</f>
        <v/>
      </c>
      <c r="AE536" s="99">
        <f>IF(AND(ISNUMBER(SEARCH("Delivery",N536)),ISNUMBER(SEARCH("Mariana",N536))),"SIM","")</f>
        <v/>
      </c>
      <c r="AF536" s="99">
        <f>IF(AND(ISNUMBER(SEARCH("Delivery",N536)),ISNUMBER(SEARCH("Perdizes",N536))),"SIM","")</f>
        <v/>
      </c>
      <c r="AG536" s="99">
        <f>IF(AND(ISNUMBER(SEARCH("Delivery",N536)),ISNUMBER(SEARCH("Santana",N536))),"SIM","")</f>
        <v/>
      </c>
      <c r="AH536" s="99">
        <f>IF(AND(ISNUMBER(SEARCH("Delivery",N536)),ISNUMBER(SEARCH("André",N536))),"SIM","")</f>
        <v/>
      </c>
      <c r="AI536" s="99">
        <f>IF(ISNUMBER(SEARCH("Interlagos",N536)),"SIM","")</f>
        <v/>
      </c>
      <c r="AJ536" s="99">
        <f>IF(ISNUMBER(SEARCH("Quiosque",N536)),"SIM","")</f>
        <v/>
      </c>
      <c r="AK536" s="101" t="n"/>
    </row>
    <row r="537">
      <c r="A537" s="88" t="inlineStr">
        <is>
          <t>Protheus</t>
        </is>
      </c>
      <c r="B537" s="96" t="inlineStr">
        <is>
          <t>000047</t>
        </is>
      </c>
      <c r="C537" s="97">
        <f>IF(B537="—","—",IFERROR(VLOOKUP(B537,_Protheus_Cadastro!$A:$B,2,FALSE),"—"))</f>
        <v/>
      </c>
      <c r="D537" s="98">
        <f>IF(B537="—",IFERROR(INDEX(_ZIG_Cadastro!$D:$D,MATCH(H537,_ZIG_Cadastro!$A:$A,0)),"Produto"),IFERROR(VLOOKUP(B537,_Protheus_Cadastro!$A:$C,3,FALSE),"—"))</f>
        <v/>
      </c>
      <c r="E537" s="98">
        <f>IF(B537="—","—",IFERROR(VLOOKUP(B537,_Protheus_Cadastro!$A:$D,4,FALSE),"—"))</f>
        <v/>
      </c>
      <c r="F537" s="98">
        <f>IF(ISERROR(VLOOKUP(B537,'Estrutura Protheus'!A:A,1,FALSE)),"Não","Sim")</f>
        <v/>
      </c>
      <c r="G537" s="99">
        <f>IFERROR(INDEX(_Protheus_Cadastro!$H:$H,MATCH(B537,_Protheus_Cadastro!$A:$A,0)),"—")</f>
        <v/>
      </c>
      <c r="H537" s="211">
        <f>IFERROR(INDEX(_ZIG_Precos!$D:$D,MATCH(I537,_ZIG_Precos!$F:$F,0)),"—")</f>
        <v/>
      </c>
      <c r="I537" s="103">
        <f>IFERROR(VLOOKUP(B537,_Protheus_Cadastro!$A:$I,9,FALSE),"—")</f>
        <v/>
      </c>
      <c r="J537" s="101">
        <f>IFERROR(INDEX(_ZIG_Cadastro!$B:$B,MATCH(I537,_ZIG_Cadastro!$A:$A,0)),IFERROR(INDEX(_Entradas_ZIG!$B:$B,MATCH(I537,_Entradas_ZIG!$C:$C,0)),"—"))</f>
        <v/>
      </c>
      <c r="K537" s="101">
        <f>IFERROR(INDEX(_ZIG_Cadastro!$C:$C,MATCH(I537,_ZIG_Cadastro!$A:$A,0)),IFERROR(INDEX(_Entradas_ZIG!$D:$D,MATCH(I537,_Entradas_ZIG!$C:$C,0)),"—"))</f>
        <v/>
      </c>
      <c r="L537" s="99">
        <f>IF(I537="","Sem SKU ZIG",IF(I537="—","Sem SKU ZIG",IF(NOT(ISERROR(MATCH(I537,_ZIG_Cadastro!$A:$A,0))),IF(EXACT(UPPER(TRIM(C537)),UPPER(TRIM(INDEX(_ZIG_Cadastro!$B:$B,MATCH(I537,_ZIG_Cadastro!$A:$A,0))))),"OK","Atencao - Nome diverge"),IF(NOT(ISERROR(MATCH(I537,_Entradas_ZIG!$C:$C,0))),"OK","Erro - SKU nao encontrado"))))</f>
        <v/>
      </c>
      <c r="M537" s="99">
        <f>IFERROR(INDEX(_ZIG_Cadastro!$G:$G,MATCH(I537,_ZIG_Cadastro!$A:$A,0)),IF(NOT(ISERROR(MATCH(I537,_Entradas_ZIG!$C:$C,0))),"Ativo","—"))</f>
        <v/>
      </c>
      <c r="N537" s="102">
        <f>IFERROR(INDEX(_ZIG_Cadastro!$E:$E,MATCH(I537,_ZIG_Cadastro!$A:$A,0)),IFERROR(INDEX(_Entradas_ZIG!$F:$F,MATCH(I537,_Entradas_ZIG!$C:$C,0)),"—"))</f>
        <v/>
      </c>
      <c r="O537" s="99">
        <f>IF(AND(ISNUMBER(SEARCH("Espeto",N537)),ISNUMBER(SEARCH("Carin",N537))),"SIM","")</f>
        <v/>
      </c>
      <c r="P537" s="99">
        <f>IF(AND(ISNUMBER(SEARCH("Espeto",N537)),ISNUMBER(SEARCH("Lapa",N537))),"SIM","")</f>
        <v/>
      </c>
      <c r="Q537" s="99">
        <f>IF(AND(ISNUMBER(SEARCH("Espeto",N537)),ISNUMBER(SEARCH("Tatuapé",N537))),"SIM","")</f>
        <v/>
      </c>
      <c r="R537" s="99">
        <f>IF(AND(ISNUMBER(SEARCH("Espeto",N537)),ISNUMBER(SEARCH("Pavão",N537))),"SIM","")</f>
        <v/>
      </c>
      <c r="S537" s="99">
        <f>IF(AND(ISNUMBER(SEARCH("Espeto",N537)),ISNUMBER(SEARCH("Chac",N537))),"SIM","")</f>
        <v/>
      </c>
      <c r="T537" s="99">
        <f>IF(AND(ISNUMBER(SEARCH("Espeto",N537)),ISNUMBER(SEARCH("Madalena",N537))),"SIM","")</f>
        <v/>
      </c>
      <c r="U537" s="99">
        <f>IF(AND(ISNUMBER(SEARCH("Espeto",N537)),ISNUMBER(SEARCH("Mariana",N537))),"SIM","")</f>
        <v/>
      </c>
      <c r="V537" s="99">
        <f>IF(AND(ISNUMBER(SEARCH("Espeto",N537)),ISNUMBER(SEARCH("Perdizes",N537))),"SIM","")</f>
        <v/>
      </c>
      <c r="W537" s="99">
        <f>IF(AND(ISNUMBER(SEARCH("Espeto",N537)),ISNUMBER(SEARCH("Santana",N537))),"SIM","")</f>
        <v/>
      </c>
      <c r="X537" s="99">
        <f>IF(AND(ISNUMBER(SEARCH("Espeto",N537)),ISNUMBER(SEARCH("André",N537))),"SIM","")</f>
        <v/>
      </c>
      <c r="Y537" s="99">
        <f>IF(AND(ISNUMBER(SEARCH("Delivery",N537)),ISNUMBER(SEARCH("Carin",N537))),"SIM","")</f>
        <v/>
      </c>
      <c r="Z537" s="99">
        <f>IF(AND(ISNUMBER(SEARCH("Delivery",N537)),ISNUMBER(SEARCH("Lapa",N537))),"SIM","")</f>
        <v/>
      </c>
      <c r="AA537" s="99">
        <f>IF(AND(ISNUMBER(SEARCH("Delivery",N537)),ISNUMBER(SEARCH("Tatuapé",N537))),"SIM","")</f>
        <v/>
      </c>
      <c r="AB537" s="99">
        <f>IF(AND(ISNUMBER(SEARCH("Delivery",N537)),ISNUMBER(SEARCH("Pavão",N537))),"SIM","")</f>
        <v/>
      </c>
      <c r="AC537" s="99">
        <f>IF(AND(ISNUMBER(SEARCH("Delivery",N537)),ISNUMBER(SEARCH("Chac",N537))),"SIM","")</f>
        <v/>
      </c>
      <c r="AD537" s="99">
        <f>IF(AND(ISNUMBER(SEARCH("Delivery",N537)),ISNUMBER(SEARCH("Madalena",N537))),"SIM","")</f>
        <v/>
      </c>
      <c r="AE537" s="92">
        <f>IF(AND(ISNUMBER(SEARCH("Delivery",N537)),ISNUMBER(SEARCH("Mariana",N537))),"SIM","")</f>
        <v/>
      </c>
      <c r="AF537" s="92">
        <f>IF(AND(ISNUMBER(SEARCH("Delivery",N537)),ISNUMBER(SEARCH("Perdizes",N537))),"SIM","")</f>
        <v/>
      </c>
      <c r="AG537" s="92">
        <f>IF(AND(ISNUMBER(SEARCH("Delivery",N537)),ISNUMBER(SEARCH("Santana",N537))),"SIM","")</f>
        <v/>
      </c>
      <c r="AH537" s="92">
        <f>IF(AND(ISNUMBER(SEARCH("Delivery",N537)),ISNUMBER(SEARCH("André",N537))),"SIM","")</f>
        <v/>
      </c>
      <c r="AI537" s="92">
        <f>IF(ISNUMBER(SEARCH("Interlagos",N537)),"SIM","")</f>
        <v/>
      </c>
      <c r="AJ537" s="92">
        <f>IF(ISNUMBER(SEARCH("Quiosque",N537)),"SIM","")</f>
        <v/>
      </c>
      <c r="AK537" s="93" t="n"/>
    </row>
    <row r="538">
      <c r="A538" s="88" t="inlineStr">
        <is>
          <t>Protheus</t>
        </is>
      </c>
      <c r="B538" s="89" t="inlineStr">
        <is>
          <t>000048</t>
        </is>
      </c>
      <c r="C538" s="90">
        <f>IF(B538="—","—",IFERROR(VLOOKUP(B538,_Protheus_Cadastro!$A:$B,2,FALSE),"—"))</f>
        <v/>
      </c>
      <c r="D538" s="91">
        <f>IF(B538="—",IFERROR(INDEX(_ZIG_Cadastro!$D:$D,MATCH(H538,_ZIG_Cadastro!$A:$A,0)),"Produto"),IFERROR(VLOOKUP(B538,_Protheus_Cadastro!$A:$C,3,FALSE),"—"))</f>
        <v/>
      </c>
      <c r="E538" s="91">
        <f>IF(B538="—","—",IFERROR(VLOOKUP(B538,_Protheus_Cadastro!$A:$D,4,FALSE),"—"))</f>
        <v/>
      </c>
      <c r="F538" s="91">
        <f>IF(ISERROR(VLOOKUP(B538,'Estrutura Protheus'!A:A,1,FALSE)),"Não","Sim")</f>
        <v/>
      </c>
      <c r="G538" s="92">
        <f>IFERROR(INDEX(_Protheus_Cadastro!$H:$H,MATCH(B538,_Protheus_Cadastro!$A:$A,0)),"—")</f>
        <v/>
      </c>
      <c r="H538" s="210">
        <f>IFERROR(INDEX(_ZIG_Precos!$D:$D,MATCH(I538,_ZIG_Precos!$F:$F,0)),"—")</f>
        <v/>
      </c>
      <c r="I538" s="95">
        <f>IFERROR(VLOOKUP(B538,_Protheus_Cadastro!$A:$I,9,FALSE),"—")</f>
        <v/>
      </c>
      <c r="J538" s="93">
        <f>IFERROR(INDEX(_ZIG_Cadastro!$B:$B,MATCH(I538,_ZIG_Cadastro!$A:$A,0)),IFERROR(INDEX(_Entradas_ZIG!$B:$B,MATCH(I538,_Entradas_ZIG!$C:$C,0)),"—"))</f>
        <v/>
      </c>
      <c r="K538" s="93">
        <f>IFERROR(INDEX(_ZIG_Cadastro!$C:$C,MATCH(I538,_ZIG_Cadastro!$A:$A,0)),IFERROR(INDEX(_Entradas_ZIG!$D:$D,MATCH(I538,_Entradas_ZIG!$C:$C,0)),"—"))</f>
        <v/>
      </c>
      <c r="L538" s="92">
        <f>IF(I538="","Sem SKU ZIG",IF(I538="—","Sem SKU ZIG",IF(NOT(ISERROR(MATCH(I538,_ZIG_Cadastro!$A:$A,0))),IF(EXACT(UPPER(TRIM(C538)),UPPER(TRIM(INDEX(_ZIG_Cadastro!$B:$B,MATCH(I538,_ZIG_Cadastro!$A:$A,0))))),"OK","Atencao - Nome diverge"),IF(NOT(ISERROR(MATCH(I538,_Entradas_ZIG!$C:$C,0))),"OK","Erro - SKU nao encontrado"))))</f>
        <v/>
      </c>
      <c r="M538" s="92">
        <f>IFERROR(INDEX(_ZIG_Cadastro!$G:$G,MATCH(I538,_ZIG_Cadastro!$A:$A,0)),IF(NOT(ISERROR(MATCH(I538,_Entradas_ZIG!$C:$C,0))),"Ativo","—"))</f>
        <v/>
      </c>
      <c r="N538" s="94">
        <f>IFERROR(INDEX(_ZIG_Cadastro!$E:$E,MATCH(I538,_ZIG_Cadastro!$A:$A,0)),IFERROR(INDEX(_Entradas_ZIG!$F:$F,MATCH(I538,_Entradas_ZIG!$C:$C,0)),"—"))</f>
        <v/>
      </c>
      <c r="O538" s="92">
        <f>IF(AND(ISNUMBER(SEARCH("Espeto",N538)),ISNUMBER(SEARCH("Carin",N538))),"SIM","")</f>
        <v/>
      </c>
      <c r="P538" s="92">
        <f>IF(AND(ISNUMBER(SEARCH("Espeto",N538)),ISNUMBER(SEARCH("Lapa",N538))),"SIM","")</f>
        <v/>
      </c>
      <c r="Q538" s="92">
        <f>IF(AND(ISNUMBER(SEARCH("Espeto",N538)),ISNUMBER(SEARCH("Tatuapé",N538))),"SIM","")</f>
        <v/>
      </c>
      <c r="R538" s="92">
        <f>IF(AND(ISNUMBER(SEARCH("Espeto",N538)),ISNUMBER(SEARCH("Pavão",N538))),"SIM","")</f>
        <v/>
      </c>
      <c r="S538" s="92">
        <f>IF(AND(ISNUMBER(SEARCH("Espeto",N538)),ISNUMBER(SEARCH("Chac",N538))),"SIM","")</f>
        <v/>
      </c>
      <c r="T538" s="92">
        <f>IF(AND(ISNUMBER(SEARCH("Espeto",N538)),ISNUMBER(SEARCH("Madalena",N538))),"SIM","")</f>
        <v/>
      </c>
      <c r="U538" s="92">
        <f>IF(AND(ISNUMBER(SEARCH("Espeto",N538)),ISNUMBER(SEARCH("Mariana",N538))),"SIM","")</f>
        <v/>
      </c>
      <c r="V538" s="92">
        <f>IF(AND(ISNUMBER(SEARCH("Espeto",N538)),ISNUMBER(SEARCH("Perdizes",N538))),"SIM","")</f>
        <v/>
      </c>
      <c r="W538" s="92">
        <f>IF(AND(ISNUMBER(SEARCH("Espeto",N538)),ISNUMBER(SEARCH("Santana",N538))),"SIM","")</f>
        <v/>
      </c>
      <c r="X538" s="92">
        <f>IF(AND(ISNUMBER(SEARCH("Espeto",N538)),ISNUMBER(SEARCH("André",N538))),"SIM","")</f>
        <v/>
      </c>
      <c r="Y538" s="92">
        <f>IF(AND(ISNUMBER(SEARCH("Delivery",N538)),ISNUMBER(SEARCH("Carin",N538))),"SIM","")</f>
        <v/>
      </c>
      <c r="Z538" s="92">
        <f>IF(AND(ISNUMBER(SEARCH("Delivery",N538)),ISNUMBER(SEARCH("Lapa",N538))),"SIM","")</f>
        <v/>
      </c>
      <c r="AA538" s="92">
        <f>IF(AND(ISNUMBER(SEARCH("Delivery",N538)),ISNUMBER(SEARCH("Tatuapé",N538))),"SIM","")</f>
        <v/>
      </c>
      <c r="AB538" s="92">
        <f>IF(AND(ISNUMBER(SEARCH("Delivery",N538)),ISNUMBER(SEARCH("Pavão",N538))),"SIM","")</f>
        <v/>
      </c>
      <c r="AC538" s="92">
        <f>IF(AND(ISNUMBER(SEARCH("Delivery",N538)),ISNUMBER(SEARCH("Chac",N538))),"SIM","")</f>
        <v/>
      </c>
      <c r="AD538" s="92">
        <f>IF(AND(ISNUMBER(SEARCH("Delivery",N538)),ISNUMBER(SEARCH("Madalena",N538))),"SIM","")</f>
        <v/>
      </c>
      <c r="AE538" s="99">
        <f>IF(AND(ISNUMBER(SEARCH("Delivery",N538)),ISNUMBER(SEARCH("Mariana",N538))),"SIM","")</f>
        <v/>
      </c>
      <c r="AF538" s="99">
        <f>IF(AND(ISNUMBER(SEARCH("Delivery",N538)),ISNUMBER(SEARCH("Perdizes",N538))),"SIM","")</f>
        <v/>
      </c>
      <c r="AG538" s="99">
        <f>IF(AND(ISNUMBER(SEARCH("Delivery",N538)),ISNUMBER(SEARCH("Santana",N538))),"SIM","")</f>
        <v/>
      </c>
      <c r="AH538" s="99">
        <f>IF(AND(ISNUMBER(SEARCH("Delivery",N538)),ISNUMBER(SEARCH("André",N538))),"SIM","")</f>
        <v/>
      </c>
      <c r="AI538" s="99">
        <f>IF(ISNUMBER(SEARCH("Interlagos",N538)),"SIM","")</f>
        <v/>
      </c>
      <c r="AJ538" s="99">
        <f>IF(ISNUMBER(SEARCH("Quiosque",N538)),"SIM","")</f>
        <v/>
      </c>
      <c r="AK538" s="101" t="n"/>
    </row>
    <row r="539">
      <c r="A539" s="88" t="inlineStr">
        <is>
          <t>Protheus</t>
        </is>
      </c>
      <c r="B539" s="96" t="inlineStr">
        <is>
          <t>001364</t>
        </is>
      </c>
      <c r="C539" s="97">
        <f>IF(B539="—","—",IFERROR(VLOOKUP(B539,_Protheus_Cadastro!$A:$B,2,FALSE),"—"))</f>
        <v/>
      </c>
      <c r="D539" s="98">
        <f>IF(B539="—",IFERROR(INDEX(_ZIG_Cadastro!$D:$D,MATCH(H539,_ZIG_Cadastro!$A:$A,0)),"Produto"),IFERROR(VLOOKUP(B539,_Protheus_Cadastro!$A:$C,3,FALSE),"—"))</f>
        <v/>
      </c>
      <c r="E539" s="98">
        <f>IF(B539="—","—",IFERROR(VLOOKUP(B539,_Protheus_Cadastro!$A:$D,4,FALSE),"—"))</f>
        <v/>
      </c>
      <c r="F539" s="98">
        <f>IF(ISERROR(VLOOKUP(B539,'Estrutura Protheus'!A:A,1,FALSE)),"Não","Sim")</f>
        <v/>
      </c>
      <c r="G539" s="99">
        <f>IFERROR(INDEX(_Protheus_Cadastro!$H:$H,MATCH(B539,_Protheus_Cadastro!$A:$A,0)),"—")</f>
        <v/>
      </c>
      <c r="H539" s="211">
        <f>IFERROR(INDEX(_ZIG_Precos!$D:$D,MATCH(I539,_ZIG_Precos!$F:$F,0)),"—")</f>
        <v/>
      </c>
      <c r="I539" s="103">
        <f>IFERROR(VLOOKUP(B539,_Protheus_Cadastro!$A:$I,9,FALSE),"—")</f>
        <v/>
      </c>
      <c r="J539" s="101">
        <f>IFERROR(INDEX(_ZIG_Cadastro!$B:$B,MATCH(I539,_ZIG_Cadastro!$A:$A,0)),IFERROR(INDEX(_Entradas_ZIG!$B:$B,MATCH(I539,_Entradas_ZIG!$C:$C,0)),"—"))</f>
        <v/>
      </c>
      <c r="K539" s="101">
        <f>IFERROR(INDEX(_ZIG_Cadastro!$C:$C,MATCH(I539,_ZIG_Cadastro!$A:$A,0)),IFERROR(INDEX(_Entradas_ZIG!$D:$D,MATCH(I539,_Entradas_ZIG!$C:$C,0)),"—"))</f>
        <v/>
      </c>
      <c r="L539" s="99">
        <f>IF(I539="","Sem SKU ZIG",IF(I539="—","Sem SKU ZIG",IF(NOT(ISERROR(MATCH(I539,_ZIG_Cadastro!$A:$A,0))),IF(EXACT(UPPER(TRIM(C539)),UPPER(TRIM(INDEX(_ZIG_Cadastro!$B:$B,MATCH(I539,_ZIG_Cadastro!$A:$A,0))))),"OK","Atencao - Nome diverge"),IF(NOT(ISERROR(MATCH(I539,_Entradas_ZIG!$C:$C,0))),"OK","Erro - SKU nao encontrado"))))</f>
        <v/>
      </c>
      <c r="M539" s="99">
        <f>IFERROR(INDEX(_ZIG_Cadastro!$G:$G,MATCH(I539,_ZIG_Cadastro!$A:$A,0)),IF(NOT(ISERROR(MATCH(I539,_Entradas_ZIG!$C:$C,0))),"Ativo","—"))</f>
        <v/>
      </c>
      <c r="N539" s="102">
        <f>IFERROR(INDEX(_ZIG_Cadastro!$E:$E,MATCH(I539,_ZIG_Cadastro!$A:$A,0)),IFERROR(INDEX(_Entradas_ZIG!$F:$F,MATCH(I539,_Entradas_ZIG!$C:$C,0)),"—"))</f>
        <v/>
      </c>
      <c r="O539" s="99">
        <f>IF(AND(ISNUMBER(SEARCH("Espeto",N539)),ISNUMBER(SEARCH("Carin",N539))),"SIM","")</f>
        <v/>
      </c>
      <c r="P539" s="99">
        <f>IF(AND(ISNUMBER(SEARCH("Espeto",N539)),ISNUMBER(SEARCH("Lapa",N539))),"SIM","")</f>
        <v/>
      </c>
      <c r="Q539" s="99">
        <f>IF(AND(ISNUMBER(SEARCH("Espeto",N539)),ISNUMBER(SEARCH("Tatuapé",N539))),"SIM","")</f>
        <v/>
      </c>
      <c r="R539" s="99">
        <f>IF(AND(ISNUMBER(SEARCH("Espeto",N539)),ISNUMBER(SEARCH("Pavão",N539))),"SIM","")</f>
        <v/>
      </c>
      <c r="S539" s="99">
        <f>IF(AND(ISNUMBER(SEARCH("Espeto",N539)),ISNUMBER(SEARCH("Chac",N539))),"SIM","")</f>
        <v/>
      </c>
      <c r="T539" s="99">
        <f>IF(AND(ISNUMBER(SEARCH("Espeto",N539)),ISNUMBER(SEARCH("Madalena",N539))),"SIM","")</f>
        <v/>
      </c>
      <c r="U539" s="99">
        <f>IF(AND(ISNUMBER(SEARCH("Espeto",N539)),ISNUMBER(SEARCH("Mariana",N539))),"SIM","")</f>
        <v/>
      </c>
      <c r="V539" s="99">
        <f>IF(AND(ISNUMBER(SEARCH("Espeto",N539)),ISNUMBER(SEARCH("Perdizes",N539))),"SIM","")</f>
        <v/>
      </c>
      <c r="W539" s="99">
        <f>IF(AND(ISNUMBER(SEARCH("Espeto",N539)),ISNUMBER(SEARCH("Santana",N539))),"SIM","")</f>
        <v/>
      </c>
      <c r="X539" s="99">
        <f>IF(AND(ISNUMBER(SEARCH("Espeto",N539)),ISNUMBER(SEARCH("André",N539))),"SIM","")</f>
        <v/>
      </c>
      <c r="Y539" s="99">
        <f>IF(AND(ISNUMBER(SEARCH("Delivery",N539)),ISNUMBER(SEARCH("Carin",N539))),"SIM","")</f>
        <v/>
      </c>
      <c r="Z539" s="99">
        <f>IF(AND(ISNUMBER(SEARCH("Delivery",N539)),ISNUMBER(SEARCH("Lapa",N539))),"SIM","")</f>
        <v/>
      </c>
      <c r="AA539" s="99">
        <f>IF(AND(ISNUMBER(SEARCH("Delivery",N539)),ISNUMBER(SEARCH("Tatuapé",N539))),"SIM","")</f>
        <v/>
      </c>
      <c r="AB539" s="99">
        <f>IF(AND(ISNUMBER(SEARCH("Delivery",N539)),ISNUMBER(SEARCH("Pavão",N539))),"SIM","")</f>
        <v/>
      </c>
      <c r="AC539" s="99">
        <f>IF(AND(ISNUMBER(SEARCH("Delivery",N539)),ISNUMBER(SEARCH("Chac",N539))),"SIM","")</f>
        <v/>
      </c>
      <c r="AD539" s="99">
        <f>IF(AND(ISNUMBER(SEARCH("Delivery",N539)),ISNUMBER(SEARCH("Madalena",N539))),"SIM","")</f>
        <v/>
      </c>
      <c r="AE539" s="92">
        <f>IF(AND(ISNUMBER(SEARCH("Delivery",N539)),ISNUMBER(SEARCH("Mariana",N539))),"SIM","")</f>
        <v/>
      </c>
      <c r="AF539" s="92">
        <f>IF(AND(ISNUMBER(SEARCH("Delivery",N539)),ISNUMBER(SEARCH("Perdizes",N539))),"SIM","")</f>
        <v/>
      </c>
      <c r="AG539" s="92">
        <f>IF(AND(ISNUMBER(SEARCH("Delivery",N539)),ISNUMBER(SEARCH("Santana",N539))),"SIM","")</f>
        <v/>
      </c>
      <c r="AH539" s="92">
        <f>IF(AND(ISNUMBER(SEARCH("Delivery",N539)),ISNUMBER(SEARCH("André",N539))),"SIM","")</f>
        <v/>
      </c>
      <c r="AI539" s="92">
        <f>IF(ISNUMBER(SEARCH("Interlagos",N539)),"SIM","")</f>
        <v/>
      </c>
      <c r="AJ539" s="92">
        <f>IF(ISNUMBER(SEARCH("Quiosque",N539)),"SIM","")</f>
        <v/>
      </c>
      <c r="AK539" s="93" t="n"/>
    </row>
    <row r="540">
      <c r="A540" s="88" t="inlineStr">
        <is>
          <t>Protheus</t>
        </is>
      </c>
      <c r="B540" s="89" t="inlineStr">
        <is>
          <t>010005</t>
        </is>
      </c>
      <c r="C540" s="90">
        <f>IF(B540="—","—",IFERROR(VLOOKUP(B540,_Protheus_Cadastro!$A:$B,2,FALSE),"—"))</f>
        <v/>
      </c>
      <c r="D540" s="91">
        <f>IF(B540="—",IFERROR(INDEX(_ZIG_Cadastro!$D:$D,MATCH(H540,_ZIG_Cadastro!$A:$A,0)),"Produto"),IFERROR(VLOOKUP(B540,_Protheus_Cadastro!$A:$C,3,FALSE),"—"))</f>
        <v/>
      </c>
      <c r="E540" s="91">
        <f>IF(B540="—","—",IFERROR(VLOOKUP(B540,_Protheus_Cadastro!$A:$D,4,FALSE),"—"))</f>
        <v/>
      </c>
      <c r="F540" s="91">
        <f>IF(ISERROR(VLOOKUP(B540,'Estrutura Protheus'!A:A,1,FALSE)),"Não","Sim")</f>
        <v/>
      </c>
      <c r="G540" s="92">
        <f>IFERROR(INDEX(_Protheus_Cadastro!$H:$H,MATCH(B540,_Protheus_Cadastro!$A:$A,0)),"—")</f>
        <v/>
      </c>
      <c r="H540" s="210">
        <f>IFERROR(INDEX(_ZIG_Precos!$D:$D,MATCH(I540,_ZIG_Precos!$F:$F,0)),"—")</f>
        <v/>
      </c>
      <c r="I540" s="95">
        <f>IFERROR(VLOOKUP(B540,_Protheus_Cadastro!$A:$I,9,FALSE),"—")</f>
        <v/>
      </c>
      <c r="J540" s="93">
        <f>IFERROR(INDEX(_ZIG_Cadastro!$B:$B,MATCH(I540,_ZIG_Cadastro!$A:$A,0)),IFERROR(INDEX(_Entradas_ZIG!$B:$B,MATCH(I540,_Entradas_ZIG!$C:$C,0)),"—"))</f>
        <v/>
      </c>
      <c r="K540" s="93">
        <f>IFERROR(INDEX(_ZIG_Cadastro!$C:$C,MATCH(I540,_ZIG_Cadastro!$A:$A,0)),IFERROR(INDEX(_Entradas_ZIG!$D:$D,MATCH(I540,_Entradas_ZIG!$C:$C,0)),"—"))</f>
        <v/>
      </c>
      <c r="L540" s="92">
        <f>IF(I540="","Sem SKU ZIG",IF(I540="—","Sem SKU ZIG",IF(NOT(ISERROR(MATCH(I540,_ZIG_Cadastro!$A:$A,0))),IF(EXACT(UPPER(TRIM(C540)),UPPER(TRIM(INDEX(_ZIG_Cadastro!$B:$B,MATCH(I540,_ZIG_Cadastro!$A:$A,0))))),"OK","Atencao - Nome diverge"),IF(NOT(ISERROR(MATCH(I540,_Entradas_ZIG!$C:$C,0))),"OK","Erro - SKU nao encontrado"))))</f>
        <v/>
      </c>
      <c r="M540" s="92">
        <f>IFERROR(INDEX(_ZIG_Cadastro!$G:$G,MATCH(I540,_ZIG_Cadastro!$A:$A,0)),IF(NOT(ISERROR(MATCH(I540,_Entradas_ZIG!$C:$C,0))),"Ativo","—"))</f>
        <v/>
      </c>
      <c r="N540" s="94">
        <f>IFERROR(INDEX(_ZIG_Cadastro!$E:$E,MATCH(I540,_ZIG_Cadastro!$A:$A,0)),IFERROR(INDEX(_Entradas_ZIG!$F:$F,MATCH(I540,_Entradas_ZIG!$C:$C,0)),"—"))</f>
        <v/>
      </c>
      <c r="O540" s="92">
        <f>IF(AND(ISNUMBER(SEARCH("Espeto",N540)),ISNUMBER(SEARCH("Carin",N540))),"SIM","")</f>
        <v/>
      </c>
      <c r="P540" s="92">
        <f>IF(AND(ISNUMBER(SEARCH("Espeto",N540)),ISNUMBER(SEARCH("Lapa",N540))),"SIM","")</f>
        <v/>
      </c>
      <c r="Q540" s="92">
        <f>IF(AND(ISNUMBER(SEARCH("Espeto",N540)),ISNUMBER(SEARCH("Tatuapé",N540))),"SIM","")</f>
        <v/>
      </c>
      <c r="R540" s="92">
        <f>IF(AND(ISNUMBER(SEARCH("Espeto",N540)),ISNUMBER(SEARCH("Pavão",N540))),"SIM","")</f>
        <v/>
      </c>
      <c r="S540" s="92">
        <f>IF(AND(ISNUMBER(SEARCH("Espeto",N540)),ISNUMBER(SEARCH("Chac",N540))),"SIM","")</f>
        <v/>
      </c>
      <c r="T540" s="92">
        <f>IF(AND(ISNUMBER(SEARCH("Espeto",N540)),ISNUMBER(SEARCH("Madalena",N540))),"SIM","")</f>
        <v/>
      </c>
      <c r="U540" s="92">
        <f>IF(AND(ISNUMBER(SEARCH("Espeto",N540)),ISNUMBER(SEARCH("Mariana",N540))),"SIM","")</f>
        <v/>
      </c>
      <c r="V540" s="92">
        <f>IF(AND(ISNUMBER(SEARCH("Espeto",N540)),ISNUMBER(SEARCH("Perdizes",N540))),"SIM","")</f>
        <v/>
      </c>
      <c r="W540" s="92">
        <f>IF(AND(ISNUMBER(SEARCH("Espeto",N540)),ISNUMBER(SEARCH("Santana",N540))),"SIM","")</f>
        <v/>
      </c>
      <c r="X540" s="92">
        <f>IF(AND(ISNUMBER(SEARCH("Espeto",N540)),ISNUMBER(SEARCH("André",N540))),"SIM","")</f>
        <v/>
      </c>
      <c r="Y540" s="92">
        <f>IF(AND(ISNUMBER(SEARCH("Delivery",N540)),ISNUMBER(SEARCH("Carin",N540))),"SIM","")</f>
        <v/>
      </c>
      <c r="Z540" s="92">
        <f>IF(AND(ISNUMBER(SEARCH("Delivery",N540)),ISNUMBER(SEARCH("Lapa",N540))),"SIM","")</f>
        <v/>
      </c>
      <c r="AA540" s="92">
        <f>IF(AND(ISNUMBER(SEARCH("Delivery",N540)),ISNUMBER(SEARCH("Tatuapé",N540))),"SIM","")</f>
        <v/>
      </c>
      <c r="AB540" s="92">
        <f>IF(AND(ISNUMBER(SEARCH("Delivery",N540)),ISNUMBER(SEARCH("Pavão",N540))),"SIM","")</f>
        <v/>
      </c>
      <c r="AC540" s="92">
        <f>IF(AND(ISNUMBER(SEARCH("Delivery",N540)),ISNUMBER(SEARCH("Chac",N540))),"SIM","")</f>
        <v/>
      </c>
      <c r="AD540" s="92">
        <f>IF(AND(ISNUMBER(SEARCH("Delivery",N540)),ISNUMBER(SEARCH("Madalena",N540))),"SIM","")</f>
        <v/>
      </c>
      <c r="AE540" s="99">
        <f>IF(AND(ISNUMBER(SEARCH("Delivery",N540)),ISNUMBER(SEARCH("Mariana",N540))),"SIM","")</f>
        <v/>
      </c>
      <c r="AF540" s="99">
        <f>IF(AND(ISNUMBER(SEARCH("Delivery",N540)),ISNUMBER(SEARCH("Perdizes",N540))),"SIM","")</f>
        <v/>
      </c>
      <c r="AG540" s="99">
        <f>IF(AND(ISNUMBER(SEARCH("Delivery",N540)),ISNUMBER(SEARCH("Santana",N540))),"SIM","")</f>
        <v/>
      </c>
      <c r="AH540" s="99">
        <f>IF(AND(ISNUMBER(SEARCH("Delivery",N540)),ISNUMBER(SEARCH("André",N540))),"SIM","")</f>
        <v/>
      </c>
      <c r="AI540" s="99">
        <f>IF(ISNUMBER(SEARCH("Interlagos",N540)),"SIM","")</f>
        <v/>
      </c>
      <c r="AJ540" s="99">
        <f>IF(ISNUMBER(SEARCH("Quiosque",N540)),"SIM","")</f>
        <v/>
      </c>
      <c r="AK540" s="101" t="n"/>
    </row>
    <row r="541">
      <c r="A541" s="88" t="inlineStr">
        <is>
          <t>Protheus</t>
        </is>
      </c>
      <c r="B541" s="96" t="inlineStr">
        <is>
          <t>000935</t>
        </is>
      </c>
      <c r="C541" s="97">
        <f>IF(B541="—","—",IFERROR(VLOOKUP(B541,_Protheus_Cadastro!$A:$B,2,FALSE),"—"))</f>
        <v/>
      </c>
      <c r="D541" s="98">
        <f>IF(B541="—",IFERROR(INDEX(_ZIG_Cadastro!$D:$D,MATCH(H541,_ZIG_Cadastro!$A:$A,0)),"Produto"),IFERROR(VLOOKUP(B541,_Protheus_Cadastro!$A:$C,3,FALSE),"—"))</f>
        <v/>
      </c>
      <c r="E541" s="98">
        <f>IF(B541="—","—",IFERROR(VLOOKUP(B541,_Protheus_Cadastro!$A:$D,4,FALSE),"—"))</f>
        <v/>
      </c>
      <c r="F541" s="98">
        <f>IF(ISERROR(VLOOKUP(B541,'Estrutura Protheus'!A:A,1,FALSE)),"Não","Sim")</f>
        <v/>
      </c>
      <c r="G541" s="99">
        <f>IFERROR(INDEX(_Protheus_Cadastro!$H:$H,MATCH(B541,_Protheus_Cadastro!$A:$A,0)),"—")</f>
        <v/>
      </c>
      <c r="H541" s="211">
        <f>IFERROR(INDEX(_ZIG_Precos!$D:$D,MATCH(I541,_ZIG_Precos!$F:$F,0)),"—")</f>
        <v/>
      </c>
      <c r="I541" s="103">
        <f>IFERROR(VLOOKUP(B541,_Protheus_Cadastro!$A:$I,9,FALSE),"—")</f>
        <v/>
      </c>
      <c r="J541" s="101">
        <f>IFERROR(INDEX(_ZIG_Cadastro!$B:$B,MATCH(I541,_ZIG_Cadastro!$A:$A,0)),IFERROR(INDEX(_Entradas_ZIG!$B:$B,MATCH(I541,_Entradas_ZIG!$C:$C,0)),"—"))</f>
        <v/>
      </c>
      <c r="K541" s="101">
        <f>IFERROR(INDEX(_ZIG_Cadastro!$C:$C,MATCH(I541,_ZIG_Cadastro!$A:$A,0)),IFERROR(INDEX(_Entradas_ZIG!$D:$D,MATCH(I541,_Entradas_ZIG!$C:$C,0)),"—"))</f>
        <v/>
      </c>
      <c r="L541" s="99">
        <f>IF(I541="","Sem SKU ZIG",IF(I541="—","Sem SKU ZIG",IF(NOT(ISERROR(MATCH(I541,_ZIG_Cadastro!$A:$A,0))),IF(EXACT(UPPER(TRIM(C541)),UPPER(TRIM(INDEX(_ZIG_Cadastro!$B:$B,MATCH(I541,_ZIG_Cadastro!$A:$A,0))))),"OK","Atencao - Nome diverge"),IF(NOT(ISERROR(MATCH(I541,_Entradas_ZIG!$C:$C,0))),"OK","Erro - SKU nao encontrado"))))</f>
        <v/>
      </c>
      <c r="M541" s="99">
        <f>IFERROR(INDEX(_ZIG_Cadastro!$G:$G,MATCH(I541,_ZIG_Cadastro!$A:$A,0)),IF(NOT(ISERROR(MATCH(I541,_Entradas_ZIG!$C:$C,0))),"Ativo","—"))</f>
        <v/>
      </c>
      <c r="N541" s="102">
        <f>IFERROR(INDEX(_ZIG_Cadastro!$E:$E,MATCH(I541,_ZIG_Cadastro!$A:$A,0)),IFERROR(INDEX(_Entradas_ZIG!$F:$F,MATCH(I541,_Entradas_ZIG!$C:$C,0)),"—"))</f>
        <v/>
      </c>
      <c r="O541" s="99">
        <f>IF(AND(ISNUMBER(SEARCH("Espeto",N541)),ISNUMBER(SEARCH("Carin",N541))),"SIM","")</f>
        <v/>
      </c>
      <c r="P541" s="99">
        <f>IF(AND(ISNUMBER(SEARCH("Espeto",N541)),ISNUMBER(SEARCH("Lapa",N541))),"SIM","")</f>
        <v/>
      </c>
      <c r="Q541" s="99">
        <f>IF(AND(ISNUMBER(SEARCH("Espeto",N541)),ISNUMBER(SEARCH("Tatuapé",N541))),"SIM","")</f>
        <v/>
      </c>
      <c r="R541" s="99">
        <f>IF(AND(ISNUMBER(SEARCH("Espeto",N541)),ISNUMBER(SEARCH("Pavão",N541))),"SIM","")</f>
        <v/>
      </c>
      <c r="S541" s="99">
        <f>IF(AND(ISNUMBER(SEARCH("Espeto",N541)),ISNUMBER(SEARCH("Chac",N541))),"SIM","")</f>
        <v/>
      </c>
      <c r="T541" s="99">
        <f>IF(AND(ISNUMBER(SEARCH("Espeto",N541)),ISNUMBER(SEARCH("Madalena",N541))),"SIM","")</f>
        <v/>
      </c>
      <c r="U541" s="99">
        <f>IF(AND(ISNUMBER(SEARCH("Espeto",N541)),ISNUMBER(SEARCH("Mariana",N541))),"SIM","")</f>
        <v/>
      </c>
      <c r="V541" s="99">
        <f>IF(AND(ISNUMBER(SEARCH("Espeto",N541)),ISNUMBER(SEARCH("Perdizes",N541))),"SIM","")</f>
        <v/>
      </c>
      <c r="W541" s="99">
        <f>IF(AND(ISNUMBER(SEARCH("Espeto",N541)),ISNUMBER(SEARCH("Santana",N541))),"SIM","")</f>
        <v/>
      </c>
      <c r="X541" s="99">
        <f>IF(AND(ISNUMBER(SEARCH("Espeto",N541)),ISNUMBER(SEARCH("André",N541))),"SIM","")</f>
        <v/>
      </c>
      <c r="Y541" s="99">
        <f>IF(AND(ISNUMBER(SEARCH("Delivery",N541)),ISNUMBER(SEARCH("Carin",N541))),"SIM","")</f>
        <v/>
      </c>
      <c r="Z541" s="99">
        <f>IF(AND(ISNUMBER(SEARCH("Delivery",N541)),ISNUMBER(SEARCH("Lapa",N541))),"SIM","")</f>
        <v/>
      </c>
      <c r="AA541" s="99">
        <f>IF(AND(ISNUMBER(SEARCH("Delivery",N541)),ISNUMBER(SEARCH("Tatuapé",N541))),"SIM","")</f>
        <v/>
      </c>
      <c r="AB541" s="99">
        <f>IF(AND(ISNUMBER(SEARCH("Delivery",N541)),ISNUMBER(SEARCH("Pavão",N541))),"SIM","")</f>
        <v/>
      </c>
      <c r="AC541" s="99">
        <f>IF(AND(ISNUMBER(SEARCH("Delivery",N541)),ISNUMBER(SEARCH("Chac",N541))),"SIM","")</f>
        <v/>
      </c>
      <c r="AD541" s="99">
        <f>IF(AND(ISNUMBER(SEARCH("Delivery",N541)),ISNUMBER(SEARCH("Madalena",N541))),"SIM","")</f>
        <v/>
      </c>
      <c r="AE541" s="92">
        <f>IF(AND(ISNUMBER(SEARCH("Delivery",N541)),ISNUMBER(SEARCH("Mariana",N541))),"SIM","")</f>
        <v/>
      </c>
      <c r="AF541" s="92">
        <f>IF(AND(ISNUMBER(SEARCH("Delivery",N541)),ISNUMBER(SEARCH("Perdizes",N541))),"SIM","")</f>
        <v/>
      </c>
      <c r="AG541" s="92">
        <f>IF(AND(ISNUMBER(SEARCH("Delivery",N541)),ISNUMBER(SEARCH("Santana",N541))),"SIM","")</f>
        <v/>
      </c>
      <c r="AH541" s="92">
        <f>IF(AND(ISNUMBER(SEARCH("Delivery",N541)),ISNUMBER(SEARCH("André",N541))),"SIM","")</f>
        <v/>
      </c>
      <c r="AI541" s="92">
        <f>IF(ISNUMBER(SEARCH("Interlagos",N541)),"SIM","")</f>
        <v/>
      </c>
      <c r="AJ541" s="92">
        <f>IF(ISNUMBER(SEARCH("Quiosque",N541)),"SIM","")</f>
        <v/>
      </c>
      <c r="AK541" s="93" t="n"/>
    </row>
    <row r="542">
      <c r="A542" s="88" t="inlineStr">
        <is>
          <t>Protheus</t>
        </is>
      </c>
      <c r="B542" s="89" t="inlineStr">
        <is>
          <t>000936</t>
        </is>
      </c>
      <c r="C542" s="90">
        <f>IF(B542="—","—",IFERROR(VLOOKUP(B542,_Protheus_Cadastro!$A:$B,2,FALSE),"—"))</f>
        <v/>
      </c>
      <c r="D542" s="91">
        <f>IF(B542="—",IFERROR(INDEX(_ZIG_Cadastro!$D:$D,MATCH(H542,_ZIG_Cadastro!$A:$A,0)),"Produto"),IFERROR(VLOOKUP(B542,_Protheus_Cadastro!$A:$C,3,FALSE),"—"))</f>
        <v/>
      </c>
      <c r="E542" s="91">
        <f>IF(B542="—","—",IFERROR(VLOOKUP(B542,_Protheus_Cadastro!$A:$D,4,FALSE),"—"))</f>
        <v/>
      </c>
      <c r="F542" s="91">
        <f>IF(ISERROR(VLOOKUP(B542,'Estrutura Protheus'!A:A,1,FALSE)),"Não","Sim")</f>
        <v/>
      </c>
      <c r="G542" s="92">
        <f>IFERROR(INDEX(_Protheus_Cadastro!$H:$H,MATCH(B542,_Protheus_Cadastro!$A:$A,0)),"—")</f>
        <v/>
      </c>
      <c r="H542" s="210">
        <f>IFERROR(INDEX(_ZIG_Precos!$D:$D,MATCH(I542,_ZIG_Precos!$F:$F,0)),"—")</f>
        <v/>
      </c>
      <c r="I542" s="95">
        <f>IFERROR(VLOOKUP(B542,_Protheus_Cadastro!$A:$I,9,FALSE),"—")</f>
        <v/>
      </c>
      <c r="J542" s="93">
        <f>IFERROR(INDEX(_ZIG_Cadastro!$B:$B,MATCH(I542,_ZIG_Cadastro!$A:$A,0)),IFERROR(INDEX(_Entradas_ZIG!$B:$B,MATCH(I542,_Entradas_ZIG!$C:$C,0)),"—"))</f>
        <v/>
      </c>
      <c r="K542" s="93">
        <f>IFERROR(INDEX(_ZIG_Cadastro!$C:$C,MATCH(I542,_ZIG_Cadastro!$A:$A,0)),IFERROR(INDEX(_Entradas_ZIG!$D:$D,MATCH(I542,_Entradas_ZIG!$C:$C,0)),"—"))</f>
        <v/>
      </c>
      <c r="L542" s="92">
        <f>IF(I542="","Sem SKU ZIG",IF(I542="—","Sem SKU ZIG",IF(NOT(ISERROR(MATCH(I542,_ZIG_Cadastro!$A:$A,0))),IF(EXACT(UPPER(TRIM(C542)),UPPER(TRIM(INDEX(_ZIG_Cadastro!$B:$B,MATCH(I542,_ZIG_Cadastro!$A:$A,0))))),"OK","Atencao - Nome diverge"),IF(NOT(ISERROR(MATCH(I542,_Entradas_ZIG!$C:$C,0))),"OK","Erro - SKU nao encontrado"))))</f>
        <v/>
      </c>
      <c r="M542" s="92">
        <f>IFERROR(INDEX(_ZIG_Cadastro!$G:$G,MATCH(I542,_ZIG_Cadastro!$A:$A,0)),IF(NOT(ISERROR(MATCH(I542,_Entradas_ZIG!$C:$C,0))),"Ativo","—"))</f>
        <v/>
      </c>
      <c r="N542" s="94">
        <f>IFERROR(INDEX(_ZIG_Cadastro!$E:$E,MATCH(I542,_ZIG_Cadastro!$A:$A,0)),IFERROR(INDEX(_Entradas_ZIG!$F:$F,MATCH(I542,_Entradas_ZIG!$C:$C,0)),"—"))</f>
        <v/>
      </c>
      <c r="O542" s="92">
        <f>IF(AND(ISNUMBER(SEARCH("Espeto",N542)),ISNUMBER(SEARCH("Carin",N542))),"SIM","")</f>
        <v/>
      </c>
      <c r="P542" s="92">
        <f>IF(AND(ISNUMBER(SEARCH("Espeto",N542)),ISNUMBER(SEARCH("Lapa",N542))),"SIM","")</f>
        <v/>
      </c>
      <c r="Q542" s="92">
        <f>IF(AND(ISNUMBER(SEARCH("Espeto",N542)),ISNUMBER(SEARCH("Tatuapé",N542))),"SIM","")</f>
        <v/>
      </c>
      <c r="R542" s="92">
        <f>IF(AND(ISNUMBER(SEARCH("Espeto",N542)),ISNUMBER(SEARCH("Pavão",N542))),"SIM","")</f>
        <v/>
      </c>
      <c r="S542" s="92">
        <f>IF(AND(ISNUMBER(SEARCH("Espeto",N542)),ISNUMBER(SEARCH("Chac",N542))),"SIM","")</f>
        <v/>
      </c>
      <c r="T542" s="92">
        <f>IF(AND(ISNUMBER(SEARCH("Espeto",N542)),ISNUMBER(SEARCH("Madalena",N542))),"SIM","")</f>
        <v/>
      </c>
      <c r="U542" s="92">
        <f>IF(AND(ISNUMBER(SEARCH("Espeto",N542)),ISNUMBER(SEARCH("Mariana",N542))),"SIM","")</f>
        <v/>
      </c>
      <c r="V542" s="92">
        <f>IF(AND(ISNUMBER(SEARCH("Espeto",N542)),ISNUMBER(SEARCH("Perdizes",N542))),"SIM","")</f>
        <v/>
      </c>
      <c r="W542" s="92">
        <f>IF(AND(ISNUMBER(SEARCH("Espeto",N542)),ISNUMBER(SEARCH("Santana",N542))),"SIM","")</f>
        <v/>
      </c>
      <c r="X542" s="92">
        <f>IF(AND(ISNUMBER(SEARCH("Espeto",N542)),ISNUMBER(SEARCH("André",N542))),"SIM","")</f>
        <v/>
      </c>
      <c r="Y542" s="92">
        <f>IF(AND(ISNUMBER(SEARCH("Delivery",N542)),ISNUMBER(SEARCH("Carin",N542))),"SIM","")</f>
        <v/>
      </c>
      <c r="Z542" s="92">
        <f>IF(AND(ISNUMBER(SEARCH("Delivery",N542)),ISNUMBER(SEARCH("Lapa",N542))),"SIM","")</f>
        <v/>
      </c>
      <c r="AA542" s="92">
        <f>IF(AND(ISNUMBER(SEARCH("Delivery",N542)),ISNUMBER(SEARCH("Tatuapé",N542))),"SIM","")</f>
        <v/>
      </c>
      <c r="AB542" s="92">
        <f>IF(AND(ISNUMBER(SEARCH("Delivery",N542)),ISNUMBER(SEARCH("Pavão",N542))),"SIM","")</f>
        <v/>
      </c>
      <c r="AC542" s="92">
        <f>IF(AND(ISNUMBER(SEARCH("Delivery",N542)),ISNUMBER(SEARCH("Chac",N542))),"SIM","")</f>
        <v/>
      </c>
      <c r="AD542" s="92">
        <f>IF(AND(ISNUMBER(SEARCH("Delivery",N542)),ISNUMBER(SEARCH("Madalena",N542))),"SIM","")</f>
        <v/>
      </c>
      <c r="AE542" s="99">
        <f>IF(AND(ISNUMBER(SEARCH("Delivery",N542)),ISNUMBER(SEARCH("Mariana",N542))),"SIM","")</f>
        <v/>
      </c>
      <c r="AF542" s="99">
        <f>IF(AND(ISNUMBER(SEARCH("Delivery",N542)),ISNUMBER(SEARCH("Perdizes",N542))),"SIM","")</f>
        <v/>
      </c>
      <c r="AG542" s="99">
        <f>IF(AND(ISNUMBER(SEARCH("Delivery",N542)),ISNUMBER(SEARCH("Santana",N542))),"SIM","")</f>
        <v/>
      </c>
      <c r="AH542" s="99">
        <f>IF(AND(ISNUMBER(SEARCH("Delivery",N542)),ISNUMBER(SEARCH("André",N542))),"SIM","")</f>
        <v/>
      </c>
      <c r="AI542" s="99">
        <f>IF(ISNUMBER(SEARCH("Interlagos",N542)),"SIM","")</f>
        <v/>
      </c>
      <c r="AJ542" s="99">
        <f>IF(ISNUMBER(SEARCH("Quiosque",N542)),"SIM","")</f>
        <v/>
      </c>
      <c r="AK542" s="101" t="n"/>
    </row>
    <row r="543">
      <c r="A543" s="88" t="inlineStr">
        <is>
          <t>Protheus</t>
        </is>
      </c>
      <c r="B543" s="96" t="inlineStr">
        <is>
          <t>002215</t>
        </is>
      </c>
      <c r="C543" s="97">
        <f>IF(B543="—","—",IFERROR(VLOOKUP(B543,_Protheus_Cadastro!$A:$B,2,FALSE),"—"))</f>
        <v/>
      </c>
      <c r="D543" s="98">
        <f>IF(B543="—",IFERROR(INDEX(_ZIG_Cadastro!$D:$D,MATCH(H543,_ZIG_Cadastro!$A:$A,0)),"Produto"),IFERROR(VLOOKUP(B543,_Protheus_Cadastro!$A:$C,3,FALSE),"—"))</f>
        <v/>
      </c>
      <c r="E543" s="98">
        <f>IF(B543="—","—",IFERROR(VLOOKUP(B543,_Protheus_Cadastro!$A:$D,4,FALSE),"—"))</f>
        <v/>
      </c>
      <c r="F543" s="98">
        <f>IF(ISERROR(VLOOKUP(B543,'Estrutura Protheus'!A:A,1,FALSE)),"Não","Sim")</f>
        <v/>
      </c>
      <c r="G543" s="99">
        <f>IFERROR(INDEX(_Protheus_Cadastro!$H:$H,MATCH(B543,_Protheus_Cadastro!$A:$A,0)),"—")</f>
        <v/>
      </c>
      <c r="H543" s="211">
        <f>IFERROR(INDEX(_ZIG_Precos!$D:$D,MATCH(I543,_ZIG_Precos!$F:$F,0)),"—")</f>
        <v/>
      </c>
      <c r="I543" s="103">
        <f>IFERROR(VLOOKUP(B543,_Protheus_Cadastro!$A:$I,9,FALSE),"—")</f>
        <v/>
      </c>
      <c r="J543" s="101">
        <f>IFERROR(INDEX(_ZIG_Cadastro!$B:$B,MATCH(I543,_ZIG_Cadastro!$A:$A,0)),IFERROR(INDEX(_Entradas_ZIG!$B:$B,MATCH(I543,_Entradas_ZIG!$C:$C,0)),"—"))</f>
        <v/>
      </c>
      <c r="K543" s="101">
        <f>IFERROR(INDEX(_ZIG_Cadastro!$C:$C,MATCH(I543,_ZIG_Cadastro!$A:$A,0)),IFERROR(INDEX(_Entradas_ZIG!$D:$D,MATCH(I543,_Entradas_ZIG!$C:$C,0)),"—"))</f>
        <v/>
      </c>
      <c r="L543" s="99">
        <f>IF(I543="","Sem SKU ZIG",IF(I543="—","Sem SKU ZIG",IF(NOT(ISERROR(MATCH(I543,_ZIG_Cadastro!$A:$A,0))),IF(EXACT(UPPER(TRIM(C543)),UPPER(TRIM(INDEX(_ZIG_Cadastro!$B:$B,MATCH(I543,_ZIG_Cadastro!$A:$A,0))))),"OK","Atencao - Nome diverge"),IF(NOT(ISERROR(MATCH(I543,_Entradas_ZIG!$C:$C,0))),"OK","Erro - SKU nao encontrado"))))</f>
        <v/>
      </c>
      <c r="M543" s="99">
        <f>IFERROR(INDEX(_ZIG_Cadastro!$G:$G,MATCH(I543,_ZIG_Cadastro!$A:$A,0)),IF(NOT(ISERROR(MATCH(I543,_Entradas_ZIG!$C:$C,0))),"Ativo","—"))</f>
        <v/>
      </c>
      <c r="N543" s="102">
        <f>IFERROR(INDEX(_ZIG_Cadastro!$E:$E,MATCH(I543,_ZIG_Cadastro!$A:$A,0)),IFERROR(INDEX(_Entradas_ZIG!$F:$F,MATCH(I543,_Entradas_ZIG!$C:$C,0)),"—"))</f>
        <v/>
      </c>
      <c r="O543" s="99">
        <f>IF(AND(ISNUMBER(SEARCH("Espeto",N543)),ISNUMBER(SEARCH("Carin",N543))),"SIM","")</f>
        <v/>
      </c>
      <c r="P543" s="99">
        <f>IF(AND(ISNUMBER(SEARCH("Espeto",N543)),ISNUMBER(SEARCH("Lapa",N543))),"SIM","")</f>
        <v/>
      </c>
      <c r="Q543" s="99">
        <f>IF(AND(ISNUMBER(SEARCH("Espeto",N543)),ISNUMBER(SEARCH("Tatuapé",N543))),"SIM","")</f>
        <v/>
      </c>
      <c r="R543" s="99">
        <f>IF(AND(ISNUMBER(SEARCH("Espeto",N543)),ISNUMBER(SEARCH("Pavão",N543))),"SIM","")</f>
        <v/>
      </c>
      <c r="S543" s="99">
        <f>IF(AND(ISNUMBER(SEARCH("Espeto",N543)),ISNUMBER(SEARCH("Chac",N543))),"SIM","")</f>
        <v/>
      </c>
      <c r="T543" s="99">
        <f>IF(AND(ISNUMBER(SEARCH("Espeto",N543)),ISNUMBER(SEARCH("Madalena",N543))),"SIM","")</f>
        <v/>
      </c>
      <c r="U543" s="99">
        <f>IF(AND(ISNUMBER(SEARCH("Espeto",N543)),ISNUMBER(SEARCH("Mariana",N543))),"SIM","")</f>
        <v/>
      </c>
      <c r="V543" s="99">
        <f>IF(AND(ISNUMBER(SEARCH("Espeto",N543)),ISNUMBER(SEARCH("Perdizes",N543))),"SIM","")</f>
        <v/>
      </c>
      <c r="W543" s="99">
        <f>IF(AND(ISNUMBER(SEARCH("Espeto",N543)),ISNUMBER(SEARCH("Santana",N543))),"SIM","")</f>
        <v/>
      </c>
      <c r="X543" s="99">
        <f>IF(AND(ISNUMBER(SEARCH("Espeto",N543)),ISNUMBER(SEARCH("André",N543))),"SIM","")</f>
        <v/>
      </c>
      <c r="Y543" s="99">
        <f>IF(AND(ISNUMBER(SEARCH("Delivery",N543)),ISNUMBER(SEARCH("Carin",N543))),"SIM","")</f>
        <v/>
      </c>
      <c r="Z543" s="99">
        <f>IF(AND(ISNUMBER(SEARCH("Delivery",N543)),ISNUMBER(SEARCH("Lapa",N543))),"SIM","")</f>
        <v/>
      </c>
      <c r="AA543" s="99">
        <f>IF(AND(ISNUMBER(SEARCH("Delivery",N543)),ISNUMBER(SEARCH("Tatuapé",N543))),"SIM","")</f>
        <v/>
      </c>
      <c r="AB543" s="99">
        <f>IF(AND(ISNUMBER(SEARCH("Delivery",N543)),ISNUMBER(SEARCH("Pavão",N543))),"SIM","")</f>
        <v/>
      </c>
      <c r="AC543" s="99">
        <f>IF(AND(ISNUMBER(SEARCH("Delivery",N543)),ISNUMBER(SEARCH("Chac",N543))),"SIM","")</f>
        <v/>
      </c>
      <c r="AD543" s="99">
        <f>IF(AND(ISNUMBER(SEARCH("Delivery",N543)),ISNUMBER(SEARCH("Madalena",N543))),"SIM","")</f>
        <v/>
      </c>
      <c r="AE543" s="92">
        <f>IF(AND(ISNUMBER(SEARCH("Delivery",N543)),ISNUMBER(SEARCH("Mariana",N543))),"SIM","")</f>
        <v/>
      </c>
      <c r="AF543" s="92">
        <f>IF(AND(ISNUMBER(SEARCH("Delivery",N543)),ISNUMBER(SEARCH("Perdizes",N543))),"SIM","")</f>
        <v/>
      </c>
      <c r="AG543" s="92">
        <f>IF(AND(ISNUMBER(SEARCH("Delivery",N543)),ISNUMBER(SEARCH("Santana",N543))),"SIM","")</f>
        <v/>
      </c>
      <c r="AH543" s="92">
        <f>IF(AND(ISNUMBER(SEARCH("Delivery",N543)),ISNUMBER(SEARCH("André",N543))),"SIM","")</f>
        <v/>
      </c>
      <c r="AI543" s="92">
        <f>IF(ISNUMBER(SEARCH("Interlagos",N543)),"SIM","")</f>
        <v/>
      </c>
      <c r="AJ543" s="92">
        <f>IF(ISNUMBER(SEARCH("Quiosque",N543)),"SIM","")</f>
        <v/>
      </c>
      <c r="AK543" s="93" t="n"/>
    </row>
    <row r="544">
      <c r="A544" s="88" t="inlineStr">
        <is>
          <t>Protheus</t>
        </is>
      </c>
      <c r="B544" s="89" t="inlineStr">
        <is>
          <t>000869</t>
        </is>
      </c>
      <c r="C544" s="90">
        <f>IF(B544="—","—",IFERROR(VLOOKUP(B544,_Protheus_Cadastro!$A:$B,2,FALSE),"—"))</f>
        <v/>
      </c>
      <c r="D544" s="91">
        <f>IF(B544="—",IFERROR(INDEX(_ZIG_Cadastro!$D:$D,MATCH(H544,_ZIG_Cadastro!$A:$A,0)),"Produto"),IFERROR(VLOOKUP(B544,_Protheus_Cadastro!$A:$C,3,FALSE),"—"))</f>
        <v/>
      </c>
      <c r="E544" s="91">
        <f>IF(B544="—","—",IFERROR(VLOOKUP(B544,_Protheus_Cadastro!$A:$D,4,FALSE),"—"))</f>
        <v/>
      </c>
      <c r="F544" s="91">
        <f>IF(ISERROR(VLOOKUP(B544,'Estrutura Protheus'!A:A,1,FALSE)),"Não","Sim")</f>
        <v/>
      </c>
      <c r="G544" s="92">
        <f>IFERROR(INDEX(_Protheus_Cadastro!$H:$H,MATCH(B544,_Protheus_Cadastro!$A:$A,0)),"—")</f>
        <v/>
      </c>
      <c r="H544" s="210">
        <f>IFERROR(INDEX(_ZIG_Precos!$D:$D,MATCH(I544,_ZIG_Precos!$F:$F,0)),"—")</f>
        <v/>
      </c>
      <c r="I544" s="95">
        <f>IFERROR(VLOOKUP(B544,_Protheus_Cadastro!$A:$I,9,FALSE),"—")</f>
        <v/>
      </c>
      <c r="J544" s="93">
        <f>IFERROR(INDEX(_ZIG_Cadastro!$B:$B,MATCH(I544,_ZIG_Cadastro!$A:$A,0)),IFERROR(INDEX(_Entradas_ZIG!$B:$B,MATCH(I544,_Entradas_ZIG!$C:$C,0)),"—"))</f>
        <v/>
      </c>
      <c r="K544" s="93">
        <f>IFERROR(INDEX(_ZIG_Cadastro!$C:$C,MATCH(I544,_ZIG_Cadastro!$A:$A,0)),IFERROR(INDEX(_Entradas_ZIG!$D:$D,MATCH(I544,_Entradas_ZIG!$C:$C,0)),"—"))</f>
        <v/>
      </c>
      <c r="L544" s="92">
        <f>IF(I544="","Sem SKU ZIG",IF(I544="—","Sem SKU ZIG",IF(NOT(ISERROR(MATCH(I544,_ZIG_Cadastro!$A:$A,0))),IF(EXACT(UPPER(TRIM(C544)),UPPER(TRIM(INDEX(_ZIG_Cadastro!$B:$B,MATCH(I544,_ZIG_Cadastro!$A:$A,0))))),"OK","Atencao - Nome diverge"),IF(NOT(ISERROR(MATCH(I544,_Entradas_ZIG!$C:$C,0))),"OK","Erro - SKU nao encontrado"))))</f>
        <v/>
      </c>
      <c r="M544" s="92">
        <f>IFERROR(INDEX(_ZIG_Cadastro!$G:$G,MATCH(I544,_ZIG_Cadastro!$A:$A,0)),IF(NOT(ISERROR(MATCH(I544,_Entradas_ZIG!$C:$C,0))),"Ativo","—"))</f>
        <v/>
      </c>
      <c r="N544" s="94">
        <f>IFERROR(INDEX(_ZIG_Cadastro!$E:$E,MATCH(I544,_ZIG_Cadastro!$A:$A,0)),IFERROR(INDEX(_Entradas_ZIG!$F:$F,MATCH(I544,_Entradas_ZIG!$C:$C,0)),"—"))</f>
        <v/>
      </c>
      <c r="O544" s="92">
        <f>IF(AND(ISNUMBER(SEARCH("Espeto",N544)),ISNUMBER(SEARCH("Carin",N544))),"SIM","")</f>
        <v/>
      </c>
      <c r="P544" s="92">
        <f>IF(AND(ISNUMBER(SEARCH("Espeto",N544)),ISNUMBER(SEARCH("Lapa",N544))),"SIM","")</f>
        <v/>
      </c>
      <c r="Q544" s="92">
        <f>IF(AND(ISNUMBER(SEARCH("Espeto",N544)),ISNUMBER(SEARCH("Tatuapé",N544))),"SIM","")</f>
        <v/>
      </c>
      <c r="R544" s="92">
        <f>IF(AND(ISNUMBER(SEARCH("Espeto",N544)),ISNUMBER(SEARCH("Pavão",N544))),"SIM","")</f>
        <v/>
      </c>
      <c r="S544" s="92">
        <f>IF(AND(ISNUMBER(SEARCH("Espeto",N544)),ISNUMBER(SEARCH("Chac",N544))),"SIM","")</f>
        <v/>
      </c>
      <c r="T544" s="92">
        <f>IF(AND(ISNUMBER(SEARCH("Espeto",N544)),ISNUMBER(SEARCH("Madalena",N544))),"SIM","")</f>
        <v/>
      </c>
      <c r="U544" s="92">
        <f>IF(AND(ISNUMBER(SEARCH("Espeto",N544)),ISNUMBER(SEARCH("Mariana",N544))),"SIM","")</f>
        <v/>
      </c>
      <c r="V544" s="92">
        <f>IF(AND(ISNUMBER(SEARCH("Espeto",N544)),ISNUMBER(SEARCH("Perdizes",N544))),"SIM","")</f>
        <v/>
      </c>
      <c r="W544" s="92">
        <f>IF(AND(ISNUMBER(SEARCH("Espeto",N544)),ISNUMBER(SEARCH("Santana",N544))),"SIM","")</f>
        <v/>
      </c>
      <c r="X544" s="92">
        <f>IF(AND(ISNUMBER(SEARCH("Espeto",N544)),ISNUMBER(SEARCH("André",N544))),"SIM","")</f>
        <v/>
      </c>
      <c r="Y544" s="92">
        <f>IF(AND(ISNUMBER(SEARCH("Delivery",N544)),ISNUMBER(SEARCH("Carin",N544))),"SIM","")</f>
        <v/>
      </c>
      <c r="Z544" s="92">
        <f>IF(AND(ISNUMBER(SEARCH("Delivery",N544)),ISNUMBER(SEARCH("Lapa",N544))),"SIM","")</f>
        <v/>
      </c>
      <c r="AA544" s="92">
        <f>IF(AND(ISNUMBER(SEARCH("Delivery",N544)),ISNUMBER(SEARCH("Tatuapé",N544))),"SIM","")</f>
        <v/>
      </c>
      <c r="AB544" s="92">
        <f>IF(AND(ISNUMBER(SEARCH("Delivery",N544)),ISNUMBER(SEARCH("Pavão",N544))),"SIM","")</f>
        <v/>
      </c>
      <c r="AC544" s="92">
        <f>IF(AND(ISNUMBER(SEARCH("Delivery",N544)),ISNUMBER(SEARCH("Chac",N544))),"SIM","")</f>
        <v/>
      </c>
      <c r="AD544" s="92">
        <f>IF(AND(ISNUMBER(SEARCH("Delivery",N544)),ISNUMBER(SEARCH("Madalena",N544))),"SIM","")</f>
        <v/>
      </c>
      <c r="AE544" s="99">
        <f>IF(AND(ISNUMBER(SEARCH("Delivery",N544)),ISNUMBER(SEARCH("Mariana",N544))),"SIM","")</f>
        <v/>
      </c>
      <c r="AF544" s="99">
        <f>IF(AND(ISNUMBER(SEARCH("Delivery",N544)),ISNUMBER(SEARCH("Perdizes",N544))),"SIM","")</f>
        <v/>
      </c>
      <c r="AG544" s="99">
        <f>IF(AND(ISNUMBER(SEARCH("Delivery",N544)),ISNUMBER(SEARCH("Santana",N544))),"SIM","")</f>
        <v/>
      </c>
      <c r="AH544" s="99">
        <f>IF(AND(ISNUMBER(SEARCH("Delivery",N544)),ISNUMBER(SEARCH("André",N544))),"SIM","")</f>
        <v/>
      </c>
      <c r="AI544" s="99">
        <f>IF(ISNUMBER(SEARCH("Interlagos",N544)),"SIM","")</f>
        <v/>
      </c>
      <c r="AJ544" s="99">
        <f>IF(ISNUMBER(SEARCH("Quiosque",N544)),"SIM","")</f>
        <v/>
      </c>
      <c r="AK544" s="101" t="n"/>
    </row>
    <row r="545">
      <c r="A545" s="88" t="inlineStr">
        <is>
          <t>Protheus</t>
        </is>
      </c>
      <c r="B545" s="96" t="inlineStr">
        <is>
          <t>000870</t>
        </is>
      </c>
      <c r="C545" s="97">
        <f>IF(B545="—","—",IFERROR(VLOOKUP(B545,_Protheus_Cadastro!$A:$B,2,FALSE),"—"))</f>
        <v/>
      </c>
      <c r="D545" s="98">
        <f>IF(B545="—",IFERROR(INDEX(_ZIG_Cadastro!$D:$D,MATCH(H545,_ZIG_Cadastro!$A:$A,0)),"Produto"),IFERROR(VLOOKUP(B545,_Protheus_Cadastro!$A:$C,3,FALSE),"—"))</f>
        <v/>
      </c>
      <c r="E545" s="98">
        <f>IF(B545="—","—",IFERROR(VLOOKUP(B545,_Protheus_Cadastro!$A:$D,4,FALSE),"—"))</f>
        <v/>
      </c>
      <c r="F545" s="98">
        <f>IF(ISERROR(VLOOKUP(B545,'Estrutura Protheus'!A:A,1,FALSE)),"Não","Sim")</f>
        <v/>
      </c>
      <c r="G545" s="99">
        <f>IFERROR(INDEX(_Protheus_Cadastro!$H:$H,MATCH(B545,_Protheus_Cadastro!$A:$A,0)),"—")</f>
        <v/>
      </c>
      <c r="H545" s="211">
        <f>IFERROR(INDEX(_ZIG_Precos!$D:$D,MATCH(I545,_ZIG_Precos!$F:$F,0)),"—")</f>
        <v/>
      </c>
      <c r="I545" s="103">
        <f>IFERROR(VLOOKUP(B545,_Protheus_Cadastro!$A:$I,9,FALSE),"—")</f>
        <v/>
      </c>
      <c r="J545" s="101">
        <f>IFERROR(INDEX(_ZIG_Cadastro!$B:$B,MATCH(I545,_ZIG_Cadastro!$A:$A,0)),IFERROR(INDEX(_Entradas_ZIG!$B:$B,MATCH(I545,_Entradas_ZIG!$C:$C,0)),"—"))</f>
        <v/>
      </c>
      <c r="K545" s="101">
        <f>IFERROR(INDEX(_ZIG_Cadastro!$C:$C,MATCH(I545,_ZIG_Cadastro!$A:$A,0)),IFERROR(INDEX(_Entradas_ZIG!$D:$D,MATCH(I545,_Entradas_ZIG!$C:$C,0)),"—"))</f>
        <v/>
      </c>
      <c r="L545" s="99">
        <f>IF(I545="","Sem SKU ZIG",IF(I545="—","Sem SKU ZIG",IF(NOT(ISERROR(MATCH(I545,_ZIG_Cadastro!$A:$A,0))),IF(EXACT(UPPER(TRIM(C545)),UPPER(TRIM(INDEX(_ZIG_Cadastro!$B:$B,MATCH(I545,_ZIG_Cadastro!$A:$A,0))))),"OK","Atencao - Nome diverge"),IF(NOT(ISERROR(MATCH(I545,_Entradas_ZIG!$C:$C,0))),"OK","Erro - SKU nao encontrado"))))</f>
        <v/>
      </c>
      <c r="M545" s="99">
        <f>IFERROR(INDEX(_ZIG_Cadastro!$G:$G,MATCH(I545,_ZIG_Cadastro!$A:$A,0)),IF(NOT(ISERROR(MATCH(I545,_Entradas_ZIG!$C:$C,0))),"Ativo","—"))</f>
        <v/>
      </c>
      <c r="N545" s="102">
        <f>IFERROR(INDEX(_ZIG_Cadastro!$E:$E,MATCH(I545,_ZIG_Cadastro!$A:$A,0)),IFERROR(INDEX(_Entradas_ZIG!$F:$F,MATCH(I545,_Entradas_ZIG!$C:$C,0)),"—"))</f>
        <v/>
      </c>
      <c r="O545" s="99">
        <f>IF(AND(ISNUMBER(SEARCH("Espeto",N545)),ISNUMBER(SEARCH("Carin",N545))),"SIM","")</f>
        <v/>
      </c>
      <c r="P545" s="99">
        <f>IF(AND(ISNUMBER(SEARCH("Espeto",N545)),ISNUMBER(SEARCH("Lapa",N545))),"SIM","")</f>
        <v/>
      </c>
      <c r="Q545" s="99">
        <f>IF(AND(ISNUMBER(SEARCH("Espeto",N545)),ISNUMBER(SEARCH("Tatuapé",N545))),"SIM","")</f>
        <v/>
      </c>
      <c r="R545" s="99">
        <f>IF(AND(ISNUMBER(SEARCH("Espeto",N545)),ISNUMBER(SEARCH("Pavão",N545))),"SIM","")</f>
        <v/>
      </c>
      <c r="S545" s="99">
        <f>IF(AND(ISNUMBER(SEARCH("Espeto",N545)),ISNUMBER(SEARCH("Chac",N545))),"SIM","")</f>
        <v/>
      </c>
      <c r="T545" s="99">
        <f>IF(AND(ISNUMBER(SEARCH("Espeto",N545)),ISNUMBER(SEARCH("Madalena",N545))),"SIM","")</f>
        <v/>
      </c>
      <c r="U545" s="99">
        <f>IF(AND(ISNUMBER(SEARCH("Espeto",N545)),ISNUMBER(SEARCH("Mariana",N545))),"SIM","")</f>
        <v/>
      </c>
      <c r="V545" s="99">
        <f>IF(AND(ISNUMBER(SEARCH("Espeto",N545)),ISNUMBER(SEARCH("Perdizes",N545))),"SIM","")</f>
        <v/>
      </c>
      <c r="W545" s="99">
        <f>IF(AND(ISNUMBER(SEARCH("Espeto",N545)),ISNUMBER(SEARCH("Santana",N545))),"SIM","")</f>
        <v/>
      </c>
      <c r="X545" s="99">
        <f>IF(AND(ISNUMBER(SEARCH("Espeto",N545)),ISNUMBER(SEARCH("André",N545))),"SIM","")</f>
        <v/>
      </c>
      <c r="Y545" s="99">
        <f>IF(AND(ISNUMBER(SEARCH("Delivery",N545)),ISNUMBER(SEARCH("Carin",N545))),"SIM","")</f>
        <v/>
      </c>
      <c r="Z545" s="99">
        <f>IF(AND(ISNUMBER(SEARCH("Delivery",N545)),ISNUMBER(SEARCH("Lapa",N545))),"SIM","")</f>
        <v/>
      </c>
      <c r="AA545" s="99">
        <f>IF(AND(ISNUMBER(SEARCH("Delivery",N545)),ISNUMBER(SEARCH("Tatuapé",N545))),"SIM","")</f>
        <v/>
      </c>
      <c r="AB545" s="99">
        <f>IF(AND(ISNUMBER(SEARCH("Delivery",N545)),ISNUMBER(SEARCH("Pavão",N545))),"SIM","")</f>
        <v/>
      </c>
      <c r="AC545" s="99">
        <f>IF(AND(ISNUMBER(SEARCH("Delivery",N545)),ISNUMBER(SEARCH("Chac",N545))),"SIM","")</f>
        <v/>
      </c>
      <c r="AD545" s="99">
        <f>IF(AND(ISNUMBER(SEARCH("Delivery",N545)),ISNUMBER(SEARCH("Madalena",N545))),"SIM","")</f>
        <v/>
      </c>
      <c r="AE545" s="92">
        <f>IF(AND(ISNUMBER(SEARCH("Delivery",N545)),ISNUMBER(SEARCH("Mariana",N545))),"SIM","")</f>
        <v/>
      </c>
      <c r="AF545" s="92">
        <f>IF(AND(ISNUMBER(SEARCH("Delivery",N545)),ISNUMBER(SEARCH("Perdizes",N545))),"SIM","")</f>
        <v/>
      </c>
      <c r="AG545" s="92">
        <f>IF(AND(ISNUMBER(SEARCH("Delivery",N545)),ISNUMBER(SEARCH("Santana",N545))),"SIM","")</f>
        <v/>
      </c>
      <c r="AH545" s="92">
        <f>IF(AND(ISNUMBER(SEARCH("Delivery",N545)),ISNUMBER(SEARCH("André",N545))),"SIM","")</f>
        <v/>
      </c>
      <c r="AI545" s="92">
        <f>IF(ISNUMBER(SEARCH("Interlagos",N545)),"SIM","")</f>
        <v/>
      </c>
      <c r="AJ545" s="92">
        <f>IF(ISNUMBER(SEARCH("Quiosque",N545)),"SIM","")</f>
        <v/>
      </c>
      <c r="AK545" s="93" t="n"/>
    </row>
    <row r="546">
      <c r="A546" s="88" t="inlineStr">
        <is>
          <t>Protheus</t>
        </is>
      </c>
      <c r="B546" s="96" t="inlineStr">
        <is>
          <t>000871</t>
        </is>
      </c>
      <c r="C546" s="97">
        <f>IF(B546="—","—",IFERROR(VLOOKUP(B546,_Protheus_Cadastro!$A:$B,2,FALSE),"—"))</f>
        <v/>
      </c>
      <c r="D546" s="98">
        <f>IF(B546="—",IFERROR(INDEX(_ZIG_Cadastro!$D:$D,MATCH(H546,_ZIG_Cadastro!$A:$A,0)),"Produto"),IFERROR(VLOOKUP(B546,_Protheus_Cadastro!$A:$C,3,FALSE),"—"))</f>
        <v/>
      </c>
      <c r="E546" s="98">
        <f>IF(B546="—","—",IFERROR(VLOOKUP(B546,_Protheus_Cadastro!$A:$D,4,FALSE),"—"))</f>
        <v/>
      </c>
      <c r="F546" s="98">
        <f>IF(ISERROR(VLOOKUP(B546,'Estrutura Protheus'!A:A,1,FALSE)),"Não","Sim")</f>
        <v/>
      </c>
      <c r="G546" s="99">
        <f>IFERROR(INDEX(_Protheus_Cadastro!$H:$H,MATCH(B546,_Protheus_Cadastro!$A:$A,0)),"—")</f>
        <v/>
      </c>
      <c r="H546" s="211">
        <f>IFERROR(INDEX(_ZIG_Precos!$D:$D,MATCH(I546,_ZIG_Precos!$F:$F,0)),"—")</f>
        <v/>
      </c>
      <c r="I546" s="103">
        <f>IFERROR(VLOOKUP(B546,_Protheus_Cadastro!$A:$I,9,FALSE),"—")</f>
        <v/>
      </c>
      <c r="J546" s="101">
        <f>IFERROR(INDEX(_ZIG_Cadastro!$B:$B,MATCH(I546,_ZIG_Cadastro!$A:$A,0)),IFERROR(INDEX(_Entradas_ZIG!$B:$B,MATCH(I546,_Entradas_ZIG!$C:$C,0)),"—"))</f>
        <v/>
      </c>
      <c r="K546" s="101">
        <f>IFERROR(INDEX(_ZIG_Cadastro!$C:$C,MATCH(I546,_ZIG_Cadastro!$A:$A,0)),IFERROR(INDEX(_Entradas_ZIG!$D:$D,MATCH(I546,_Entradas_ZIG!$C:$C,0)),"—"))</f>
        <v/>
      </c>
      <c r="L546" s="99">
        <f>IF(I546="","Sem SKU ZIG",IF(I546="—","Sem SKU ZIG",IF(NOT(ISERROR(MATCH(I546,_ZIG_Cadastro!$A:$A,0))),IF(EXACT(UPPER(TRIM(C546)),UPPER(TRIM(INDEX(_ZIG_Cadastro!$B:$B,MATCH(I546,_ZIG_Cadastro!$A:$A,0))))),"OK","Atencao - Nome diverge"),IF(NOT(ISERROR(MATCH(I546,_Entradas_ZIG!$C:$C,0))),"OK","Erro - SKU nao encontrado"))))</f>
        <v/>
      </c>
      <c r="M546" s="99">
        <f>IFERROR(INDEX(_ZIG_Cadastro!$G:$G,MATCH(I546,_ZIG_Cadastro!$A:$A,0)),IF(NOT(ISERROR(MATCH(I546,_Entradas_ZIG!$C:$C,0))),"Ativo","—"))</f>
        <v/>
      </c>
      <c r="N546" s="102">
        <f>IFERROR(INDEX(_ZIG_Cadastro!$E:$E,MATCH(I546,_ZIG_Cadastro!$A:$A,0)),IFERROR(INDEX(_Entradas_ZIG!$F:$F,MATCH(I546,_Entradas_ZIG!$C:$C,0)),"—"))</f>
        <v/>
      </c>
      <c r="O546" s="99">
        <f>IF(AND(ISNUMBER(SEARCH("Espeto",N546)),ISNUMBER(SEARCH("Carin",N546))),"SIM","")</f>
        <v/>
      </c>
      <c r="P546" s="99">
        <f>IF(AND(ISNUMBER(SEARCH("Espeto",N546)),ISNUMBER(SEARCH("Lapa",N546))),"SIM","")</f>
        <v/>
      </c>
      <c r="Q546" s="99">
        <f>IF(AND(ISNUMBER(SEARCH("Espeto",N546)),ISNUMBER(SEARCH("Tatuapé",N546))),"SIM","")</f>
        <v/>
      </c>
      <c r="R546" s="99">
        <f>IF(AND(ISNUMBER(SEARCH("Espeto",N546)),ISNUMBER(SEARCH("Pavão",N546))),"SIM","")</f>
        <v/>
      </c>
      <c r="S546" s="99">
        <f>IF(AND(ISNUMBER(SEARCH("Espeto",N546)),ISNUMBER(SEARCH("Chac",N546))),"SIM","")</f>
        <v/>
      </c>
      <c r="T546" s="99">
        <f>IF(AND(ISNUMBER(SEARCH("Espeto",N546)),ISNUMBER(SEARCH("Madalena",N546))),"SIM","")</f>
        <v/>
      </c>
      <c r="U546" s="99">
        <f>IF(AND(ISNUMBER(SEARCH("Espeto",N546)),ISNUMBER(SEARCH("Mariana",N546))),"SIM","")</f>
        <v/>
      </c>
      <c r="V546" s="99">
        <f>IF(AND(ISNUMBER(SEARCH("Espeto",N546)),ISNUMBER(SEARCH("Perdizes",N546))),"SIM","")</f>
        <v/>
      </c>
      <c r="W546" s="99">
        <f>IF(AND(ISNUMBER(SEARCH("Espeto",N546)),ISNUMBER(SEARCH("Santana",N546))),"SIM","")</f>
        <v/>
      </c>
      <c r="X546" s="99">
        <f>IF(AND(ISNUMBER(SEARCH("Espeto",N546)),ISNUMBER(SEARCH("André",N546))),"SIM","")</f>
        <v/>
      </c>
      <c r="Y546" s="99">
        <f>IF(AND(ISNUMBER(SEARCH("Delivery",N546)),ISNUMBER(SEARCH("Carin",N546))),"SIM","")</f>
        <v/>
      </c>
      <c r="Z546" s="99">
        <f>IF(AND(ISNUMBER(SEARCH("Delivery",N546)),ISNUMBER(SEARCH("Lapa",N546))),"SIM","")</f>
        <v/>
      </c>
      <c r="AA546" s="99">
        <f>IF(AND(ISNUMBER(SEARCH("Delivery",N546)),ISNUMBER(SEARCH("Tatuapé",N546))),"SIM","")</f>
        <v/>
      </c>
      <c r="AB546" s="99">
        <f>IF(AND(ISNUMBER(SEARCH("Delivery",N546)),ISNUMBER(SEARCH("Pavão",N546))),"SIM","")</f>
        <v/>
      </c>
      <c r="AC546" s="99">
        <f>IF(AND(ISNUMBER(SEARCH("Delivery",N546)),ISNUMBER(SEARCH("Chac",N546))),"SIM","")</f>
        <v/>
      </c>
      <c r="AD546" s="99">
        <f>IF(AND(ISNUMBER(SEARCH("Delivery",N546)),ISNUMBER(SEARCH("Madalena",N546))),"SIM","")</f>
        <v/>
      </c>
      <c r="AE546" s="92">
        <f>IF(AND(ISNUMBER(SEARCH("Delivery",N546)),ISNUMBER(SEARCH("Mariana",N546))),"SIM","")</f>
        <v/>
      </c>
      <c r="AF546" s="92">
        <f>IF(AND(ISNUMBER(SEARCH("Delivery",N546)),ISNUMBER(SEARCH("Perdizes",N546))),"SIM","")</f>
        <v/>
      </c>
      <c r="AG546" s="92">
        <f>IF(AND(ISNUMBER(SEARCH("Delivery",N546)),ISNUMBER(SEARCH("Santana",N546))),"SIM","")</f>
        <v/>
      </c>
      <c r="AH546" s="92">
        <f>IF(AND(ISNUMBER(SEARCH("Delivery",N546)),ISNUMBER(SEARCH("André",N546))),"SIM","")</f>
        <v/>
      </c>
      <c r="AI546" s="92">
        <f>IF(ISNUMBER(SEARCH("Interlagos",N546)),"SIM","")</f>
        <v/>
      </c>
      <c r="AJ546" s="92">
        <f>IF(ISNUMBER(SEARCH("Quiosque",N546)),"SIM","")</f>
        <v/>
      </c>
      <c r="AK546" s="93" t="n"/>
    </row>
    <row r="547">
      <c r="A547" s="88" t="inlineStr">
        <is>
          <t>Protheus</t>
        </is>
      </c>
      <c r="B547" s="89" t="inlineStr">
        <is>
          <t>000027</t>
        </is>
      </c>
      <c r="C547" s="90">
        <f>IF(B547="—","—",IFERROR(VLOOKUP(B547,_Protheus_Cadastro!$A:$B,2,FALSE),"—"))</f>
        <v/>
      </c>
      <c r="D547" s="91">
        <f>IF(B547="—",IFERROR(INDEX(_ZIG_Cadastro!$D:$D,MATCH(H547,_ZIG_Cadastro!$A:$A,0)),"Produto"),IFERROR(VLOOKUP(B547,_Protheus_Cadastro!$A:$C,3,FALSE),"—"))</f>
        <v/>
      </c>
      <c r="E547" s="91">
        <f>IF(B547="—","—",IFERROR(VLOOKUP(B547,_Protheus_Cadastro!$A:$D,4,FALSE),"—"))</f>
        <v/>
      </c>
      <c r="F547" s="91">
        <f>IF(ISERROR(VLOOKUP(B547,'Estrutura Protheus'!A:A,1,FALSE)),"Não","Sim")</f>
        <v/>
      </c>
      <c r="G547" s="92">
        <f>IFERROR(INDEX(_Protheus_Cadastro!$H:$H,MATCH(B547,_Protheus_Cadastro!$A:$A,0)),"—")</f>
        <v/>
      </c>
      <c r="H547" s="210">
        <f>IFERROR(INDEX(_ZIG_Precos!$D:$D,MATCH(I547,_ZIG_Precos!$F:$F,0)),"—")</f>
        <v/>
      </c>
      <c r="I547" s="95">
        <f>IFERROR(VLOOKUP(B547,_Protheus_Cadastro!$A:$I,9,FALSE),"—")</f>
        <v/>
      </c>
      <c r="J547" s="93">
        <f>IFERROR(INDEX(_ZIG_Cadastro!$B:$B,MATCH(I547,_ZIG_Cadastro!$A:$A,0)),IFERROR(INDEX(_Entradas_ZIG!$B:$B,MATCH(I547,_Entradas_ZIG!$C:$C,0)),"—"))</f>
        <v/>
      </c>
      <c r="K547" s="93">
        <f>IFERROR(INDEX(_ZIG_Cadastro!$C:$C,MATCH(I547,_ZIG_Cadastro!$A:$A,0)),IFERROR(INDEX(_Entradas_ZIG!$D:$D,MATCH(I547,_Entradas_ZIG!$C:$C,0)),"—"))</f>
        <v/>
      </c>
      <c r="L547" s="92">
        <f>IF(I547="","Sem SKU ZIG",IF(I547="—","Sem SKU ZIG",IF(NOT(ISERROR(MATCH(I547,_ZIG_Cadastro!$A:$A,0))),IF(EXACT(UPPER(TRIM(C547)),UPPER(TRIM(INDEX(_ZIG_Cadastro!$B:$B,MATCH(I547,_ZIG_Cadastro!$A:$A,0))))),"OK","Atencao - Nome diverge"),IF(NOT(ISERROR(MATCH(I547,_Entradas_ZIG!$C:$C,0))),"OK","Erro - SKU nao encontrado"))))</f>
        <v/>
      </c>
      <c r="M547" s="92">
        <f>IFERROR(INDEX(_ZIG_Cadastro!$G:$G,MATCH(I547,_ZIG_Cadastro!$A:$A,0)),IF(NOT(ISERROR(MATCH(I547,_Entradas_ZIG!$C:$C,0))),"Ativo","—"))</f>
        <v/>
      </c>
      <c r="N547" s="94">
        <f>IFERROR(INDEX(_ZIG_Cadastro!$E:$E,MATCH(I547,_ZIG_Cadastro!$A:$A,0)),IFERROR(INDEX(_Entradas_ZIG!$F:$F,MATCH(I547,_Entradas_ZIG!$C:$C,0)),"—"))</f>
        <v/>
      </c>
      <c r="O547" s="92">
        <f>IF(AND(ISNUMBER(SEARCH("Espeto",N547)),ISNUMBER(SEARCH("Carin",N547))),"SIM","")</f>
        <v/>
      </c>
      <c r="P547" s="92">
        <f>IF(AND(ISNUMBER(SEARCH("Espeto",N547)),ISNUMBER(SEARCH("Lapa",N547))),"SIM","")</f>
        <v/>
      </c>
      <c r="Q547" s="92">
        <f>IF(AND(ISNUMBER(SEARCH("Espeto",N547)),ISNUMBER(SEARCH("Tatuapé",N547))),"SIM","")</f>
        <v/>
      </c>
      <c r="R547" s="92">
        <f>IF(AND(ISNUMBER(SEARCH("Espeto",N547)),ISNUMBER(SEARCH("Pavão",N547))),"SIM","")</f>
        <v/>
      </c>
      <c r="S547" s="92">
        <f>IF(AND(ISNUMBER(SEARCH("Espeto",N547)),ISNUMBER(SEARCH("Chac",N547))),"SIM","")</f>
        <v/>
      </c>
      <c r="T547" s="92">
        <f>IF(AND(ISNUMBER(SEARCH("Espeto",N547)),ISNUMBER(SEARCH("Madalena",N547))),"SIM","")</f>
        <v/>
      </c>
      <c r="U547" s="92">
        <f>IF(AND(ISNUMBER(SEARCH("Espeto",N547)),ISNUMBER(SEARCH("Mariana",N547))),"SIM","")</f>
        <v/>
      </c>
      <c r="V547" s="92">
        <f>IF(AND(ISNUMBER(SEARCH("Espeto",N547)),ISNUMBER(SEARCH("Perdizes",N547))),"SIM","")</f>
        <v/>
      </c>
      <c r="W547" s="92">
        <f>IF(AND(ISNUMBER(SEARCH("Espeto",N547)),ISNUMBER(SEARCH("Santana",N547))),"SIM","")</f>
        <v/>
      </c>
      <c r="X547" s="92">
        <f>IF(AND(ISNUMBER(SEARCH("Espeto",N547)),ISNUMBER(SEARCH("André",N547))),"SIM","")</f>
        <v/>
      </c>
      <c r="Y547" s="92">
        <f>IF(AND(ISNUMBER(SEARCH("Delivery",N547)),ISNUMBER(SEARCH("Carin",N547))),"SIM","")</f>
        <v/>
      </c>
      <c r="Z547" s="92">
        <f>IF(AND(ISNUMBER(SEARCH("Delivery",N547)),ISNUMBER(SEARCH("Lapa",N547))),"SIM","")</f>
        <v/>
      </c>
      <c r="AA547" s="92">
        <f>IF(AND(ISNUMBER(SEARCH("Delivery",N547)),ISNUMBER(SEARCH("Tatuapé",N547))),"SIM","")</f>
        <v/>
      </c>
      <c r="AB547" s="92">
        <f>IF(AND(ISNUMBER(SEARCH("Delivery",N547)),ISNUMBER(SEARCH("Pavão",N547))),"SIM","")</f>
        <v/>
      </c>
      <c r="AC547" s="92">
        <f>IF(AND(ISNUMBER(SEARCH("Delivery",N547)),ISNUMBER(SEARCH("Chac",N547))),"SIM","")</f>
        <v/>
      </c>
      <c r="AD547" s="92">
        <f>IF(AND(ISNUMBER(SEARCH("Delivery",N547)),ISNUMBER(SEARCH("Madalena",N547))),"SIM","")</f>
        <v/>
      </c>
      <c r="AE547" s="99">
        <f>IF(AND(ISNUMBER(SEARCH("Delivery",N547)),ISNUMBER(SEARCH("Mariana",N547))),"SIM","")</f>
        <v/>
      </c>
      <c r="AF547" s="99">
        <f>IF(AND(ISNUMBER(SEARCH("Delivery",N547)),ISNUMBER(SEARCH("Perdizes",N547))),"SIM","")</f>
        <v/>
      </c>
      <c r="AG547" s="99">
        <f>IF(AND(ISNUMBER(SEARCH("Delivery",N547)),ISNUMBER(SEARCH("Santana",N547))),"SIM","")</f>
        <v/>
      </c>
      <c r="AH547" s="99">
        <f>IF(AND(ISNUMBER(SEARCH("Delivery",N547)),ISNUMBER(SEARCH("André",N547))),"SIM","")</f>
        <v/>
      </c>
      <c r="AI547" s="99">
        <f>IF(ISNUMBER(SEARCH("Interlagos",N547)),"SIM","")</f>
        <v/>
      </c>
      <c r="AJ547" s="99">
        <f>IF(ISNUMBER(SEARCH("Quiosque",N547)),"SIM","")</f>
        <v/>
      </c>
      <c r="AK547" s="101" t="n"/>
    </row>
    <row r="548">
      <c r="A548" s="88" t="inlineStr">
        <is>
          <t>Protheus</t>
        </is>
      </c>
      <c r="B548" s="96" t="inlineStr">
        <is>
          <t>000765</t>
        </is>
      </c>
      <c r="C548" s="97">
        <f>IF(B548="—","—",IFERROR(VLOOKUP(B548,_Protheus_Cadastro!$A:$B,2,FALSE),"—"))</f>
        <v/>
      </c>
      <c r="D548" s="98">
        <f>IF(B548="—",IFERROR(INDEX(_ZIG_Cadastro!$D:$D,MATCH(H548,_ZIG_Cadastro!$A:$A,0)),"Produto"),IFERROR(VLOOKUP(B548,_Protheus_Cadastro!$A:$C,3,FALSE),"—"))</f>
        <v/>
      </c>
      <c r="E548" s="98">
        <f>IF(B548="—","—",IFERROR(VLOOKUP(B548,_Protheus_Cadastro!$A:$D,4,FALSE),"—"))</f>
        <v/>
      </c>
      <c r="F548" s="98">
        <f>IF(ISERROR(VLOOKUP(B548,'Estrutura Protheus'!A:A,1,FALSE)),"Não","Sim")</f>
        <v/>
      </c>
      <c r="G548" s="99">
        <f>IFERROR(INDEX(_Protheus_Cadastro!$H:$H,MATCH(B548,_Protheus_Cadastro!$A:$A,0)),"—")</f>
        <v/>
      </c>
      <c r="H548" s="211">
        <f>IFERROR(INDEX(_ZIG_Precos!$D:$D,MATCH(I548,_ZIG_Precos!$F:$F,0)),"—")</f>
        <v/>
      </c>
      <c r="I548" s="103">
        <f>IFERROR(VLOOKUP(B548,_Protheus_Cadastro!$A:$I,9,FALSE),"—")</f>
        <v/>
      </c>
      <c r="J548" s="101">
        <f>IFERROR(INDEX(_ZIG_Cadastro!$B:$B,MATCH(I548,_ZIG_Cadastro!$A:$A,0)),IFERROR(INDEX(_Entradas_ZIG!$B:$B,MATCH(I548,_Entradas_ZIG!$C:$C,0)),"—"))</f>
        <v/>
      </c>
      <c r="K548" s="101">
        <f>IFERROR(INDEX(_ZIG_Cadastro!$C:$C,MATCH(I548,_ZIG_Cadastro!$A:$A,0)),IFERROR(INDEX(_Entradas_ZIG!$D:$D,MATCH(I548,_Entradas_ZIG!$C:$C,0)),"—"))</f>
        <v/>
      </c>
      <c r="L548" s="99">
        <f>IF(I548="","Sem SKU ZIG",IF(I548="—","Sem SKU ZIG",IF(NOT(ISERROR(MATCH(I548,_ZIG_Cadastro!$A:$A,0))),IF(EXACT(UPPER(TRIM(C548)),UPPER(TRIM(INDEX(_ZIG_Cadastro!$B:$B,MATCH(I548,_ZIG_Cadastro!$A:$A,0))))),"OK","Atencao - Nome diverge"),IF(NOT(ISERROR(MATCH(I548,_Entradas_ZIG!$C:$C,0))),"OK","Erro - SKU nao encontrado"))))</f>
        <v/>
      </c>
      <c r="M548" s="99">
        <f>IFERROR(INDEX(_ZIG_Cadastro!$G:$G,MATCH(I548,_ZIG_Cadastro!$A:$A,0)),IF(NOT(ISERROR(MATCH(I548,_Entradas_ZIG!$C:$C,0))),"Ativo","—"))</f>
        <v/>
      </c>
      <c r="N548" s="102">
        <f>IFERROR(INDEX(_ZIG_Cadastro!$E:$E,MATCH(I548,_ZIG_Cadastro!$A:$A,0)),IFERROR(INDEX(_Entradas_ZIG!$F:$F,MATCH(I548,_Entradas_ZIG!$C:$C,0)),"—"))</f>
        <v/>
      </c>
      <c r="O548" s="99">
        <f>IF(AND(ISNUMBER(SEARCH("Espeto",N548)),ISNUMBER(SEARCH("Carin",N548))),"SIM","")</f>
        <v/>
      </c>
      <c r="P548" s="99">
        <f>IF(AND(ISNUMBER(SEARCH("Espeto",N548)),ISNUMBER(SEARCH("Lapa",N548))),"SIM","")</f>
        <v/>
      </c>
      <c r="Q548" s="99">
        <f>IF(AND(ISNUMBER(SEARCH("Espeto",N548)),ISNUMBER(SEARCH("Tatuapé",N548))),"SIM","")</f>
        <v/>
      </c>
      <c r="R548" s="99">
        <f>IF(AND(ISNUMBER(SEARCH("Espeto",N548)),ISNUMBER(SEARCH("Pavão",N548))),"SIM","")</f>
        <v/>
      </c>
      <c r="S548" s="99">
        <f>IF(AND(ISNUMBER(SEARCH("Espeto",N548)),ISNUMBER(SEARCH("Chac",N548))),"SIM","")</f>
        <v/>
      </c>
      <c r="T548" s="99">
        <f>IF(AND(ISNUMBER(SEARCH("Espeto",N548)),ISNUMBER(SEARCH("Madalena",N548))),"SIM","")</f>
        <v/>
      </c>
      <c r="U548" s="99">
        <f>IF(AND(ISNUMBER(SEARCH("Espeto",N548)),ISNUMBER(SEARCH("Mariana",N548))),"SIM","")</f>
        <v/>
      </c>
      <c r="V548" s="99">
        <f>IF(AND(ISNUMBER(SEARCH("Espeto",N548)),ISNUMBER(SEARCH("Perdizes",N548))),"SIM","")</f>
        <v/>
      </c>
      <c r="W548" s="99">
        <f>IF(AND(ISNUMBER(SEARCH("Espeto",N548)),ISNUMBER(SEARCH("Santana",N548))),"SIM","")</f>
        <v/>
      </c>
      <c r="X548" s="99">
        <f>IF(AND(ISNUMBER(SEARCH("Espeto",N548)),ISNUMBER(SEARCH("André",N548))),"SIM","")</f>
        <v/>
      </c>
      <c r="Y548" s="99">
        <f>IF(AND(ISNUMBER(SEARCH("Delivery",N548)),ISNUMBER(SEARCH("Carin",N548))),"SIM","")</f>
        <v/>
      </c>
      <c r="Z548" s="99">
        <f>IF(AND(ISNUMBER(SEARCH("Delivery",N548)),ISNUMBER(SEARCH("Lapa",N548))),"SIM","")</f>
        <v/>
      </c>
      <c r="AA548" s="99">
        <f>IF(AND(ISNUMBER(SEARCH("Delivery",N548)),ISNUMBER(SEARCH("Tatuapé",N548))),"SIM","")</f>
        <v/>
      </c>
      <c r="AB548" s="99">
        <f>IF(AND(ISNUMBER(SEARCH("Delivery",N548)),ISNUMBER(SEARCH("Pavão",N548))),"SIM","")</f>
        <v/>
      </c>
      <c r="AC548" s="99">
        <f>IF(AND(ISNUMBER(SEARCH("Delivery",N548)),ISNUMBER(SEARCH("Chac",N548))),"SIM","")</f>
        <v/>
      </c>
      <c r="AD548" s="99">
        <f>IF(AND(ISNUMBER(SEARCH("Delivery",N548)),ISNUMBER(SEARCH("Madalena",N548))),"SIM","")</f>
        <v/>
      </c>
      <c r="AE548" s="92">
        <f>IF(AND(ISNUMBER(SEARCH("Delivery",N548)),ISNUMBER(SEARCH("Mariana",N548))),"SIM","")</f>
        <v/>
      </c>
      <c r="AF548" s="92">
        <f>IF(AND(ISNUMBER(SEARCH("Delivery",N548)),ISNUMBER(SEARCH("Perdizes",N548))),"SIM","")</f>
        <v/>
      </c>
      <c r="AG548" s="92">
        <f>IF(AND(ISNUMBER(SEARCH("Delivery",N548)),ISNUMBER(SEARCH("Santana",N548))),"SIM","")</f>
        <v/>
      </c>
      <c r="AH548" s="92">
        <f>IF(AND(ISNUMBER(SEARCH("Delivery",N548)),ISNUMBER(SEARCH("André",N548))),"SIM","")</f>
        <v/>
      </c>
      <c r="AI548" s="92">
        <f>IF(ISNUMBER(SEARCH("Interlagos",N548)),"SIM","")</f>
        <v/>
      </c>
      <c r="AJ548" s="92">
        <f>IF(ISNUMBER(SEARCH("Quiosque",N548)),"SIM","")</f>
        <v/>
      </c>
      <c r="AK548" s="93" t="n"/>
    </row>
    <row r="549">
      <c r="A549" s="88" t="inlineStr">
        <is>
          <t>Protheus</t>
        </is>
      </c>
      <c r="B549" s="89" t="inlineStr">
        <is>
          <t>000009</t>
        </is>
      </c>
      <c r="C549" s="90">
        <f>IF(B549="—","—",IFERROR(VLOOKUP(B549,_Protheus_Cadastro!$A:$B,2,FALSE),"—"))</f>
        <v/>
      </c>
      <c r="D549" s="91">
        <f>IF(B549="—",IFERROR(INDEX(_ZIG_Cadastro!$D:$D,MATCH(H549,_ZIG_Cadastro!$A:$A,0)),"Produto"),IFERROR(VLOOKUP(B549,_Protheus_Cadastro!$A:$C,3,FALSE),"—"))</f>
        <v/>
      </c>
      <c r="E549" s="91">
        <f>IF(B549="—","—",IFERROR(VLOOKUP(B549,_Protheus_Cadastro!$A:$D,4,FALSE),"—"))</f>
        <v/>
      </c>
      <c r="F549" s="91">
        <f>IF(ISERROR(VLOOKUP(B549,'Estrutura Protheus'!A:A,1,FALSE)),"Não","Sim")</f>
        <v/>
      </c>
      <c r="G549" s="92">
        <f>IFERROR(INDEX(_Protheus_Cadastro!$H:$H,MATCH(B549,_Protheus_Cadastro!$A:$A,0)),"—")</f>
        <v/>
      </c>
      <c r="H549" s="210">
        <f>IFERROR(INDEX(_ZIG_Precos!$D:$D,MATCH(I549,_ZIG_Precos!$F:$F,0)),"—")</f>
        <v/>
      </c>
      <c r="I549" s="95">
        <f>IFERROR(VLOOKUP(B549,_Protheus_Cadastro!$A:$I,9,FALSE),"—")</f>
        <v/>
      </c>
      <c r="J549" s="93">
        <f>IFERROR(INDEX(_ZIG_Cadastro!$B:$B,MATCH(I549,_ZIG_Cadastro!$A:$A,0)),IFERROR(INDEX(_Entradas_ZIG!$B:$B,MATCH(I549,_Entradas_ZIG!$C:$C,0)),"—"))</f>
        <v/>
      </c>
      <c r="K549" s="93">
        <f>IFERROR(INDEX(_ZIG_Cadastro!$C:$C,MATCH(I549,_ZIG_Cadastro!$A:$A,0)),IFERROR(INDEX(_Entradas_ZIG!$D:$D,MATCH(I549,_Entradas_ZIG!$C:$C,0)),"—"))</f>
        <v/>
      </c>
      <c r="L549" s="92">
        <f>IF(I549="","Sem SKU ZIG",IF(I549="—","Sem SKU ZIG",IF(NOT(ISERROR(MATCH(I549,_ZIG_Cadastro!$A:$A,0))),IF(EXACT(UPPER(TRIM(C549)),UPPER(TRIM(INDEX(_ZIG_Cadastro!$B:$B,MATCH(I549,_ZIG_Cadastro!$A:$A,0))))),"OK","Atencao - Nome diverge"),IF(NOT(ISERROR(MATCH(I549,_Entradas_ZIG!$C:$C,0))),"OK","Erro - SKU nao encontrado"))))</f>
        <v/>
      </c>
      <c r="M549" s="92">
        <f>IFERROR(INDEX(_ZIG_Cadastro!$G:$G,MATCH(I549,_ZIG_Cadastro!$A:$A,0)),IF(NOT(ISERROR(MATCH(I549,_Entradas_ZIG!$C:$C,0))),"Ativo","—"))</f>
        <v/>
      </c>
      <c r="N549" s="94">
        <f>IFERROR(INDEX(_ZIG_Cadastro!$E:$E,MATCH(I549,_ZIG_Cadastro!$A:$A,0)),IFERROR(INDEX(_Entradas_ZIG!$F:$F,MATCH(I549,_Entradas_ZIG!$C:$C,0)),"—"))</f>
        <v/>
      </c>
      <c r="O549" s="92">
        <f>IF(AND(ISNUMBER(SEARCH("Espeto",N549)),ISNUMBER(SEARCH("Carin",N549))),"SIM","")</f>
        <v/>
      </c>
      <c r="P549" s="92">
        <f>IF(AND(ISNUMBER(SEARCH("Espeto",N549)),ISNUMBER(SEARCH("Lapa",N549))),"SIM","")</f>
        <v/>
      </c>
      <c r="Q549" s="92">
        <f>IF(AND(ISNUMBER(SEARCH("Espeto",N549)),ISNUMBER(SEARCH("Tatuapé",N549))),"SIM","")</f>
        <v/>
      </c>
      <c r="R549" s="92">
        <f>IF(AND(ISNUMBER(SEARCH("Espeto",N549)),ISNUMBER(SEARCH("Pavão",N549))),"SIM","")</f>
        <v/>
      </c>
      <c r="S549" s="92">
        <f>IF(AND(ISNUMBER(SEARCH("Espeto",N549)),ISNUMBER(SEARCH("Chac",N549))),"SIM","")</f>
        <v/>
      </c>
      <c r="T549" s="92">
        <f>IF(AND(ISNUMBER(SEARCH("Espeto",N549)),ISNUMBER(SEARCH("Madalena",N549))),"SIM","")</f>
        <v/>
      </c>
      <c r="U549" s="92">
        <f>IF(AND(ISNUMBER(SEARCH("Espeto",N549)),ISNUMBER(SEARCH("Mariana",N549))),"SIM","")</f>
        <v/>
      </c>
      <c r="V549" s="92">
        <f>IF(AND(ISNUMBER(SEARCH("Espeto",N549)),ISNUMBER(SEARCH("Perdizes",N549))),"SIM","")</f>
        <v/>
      </c>
      <c r="W549" s="92">
        <f>IF(AND(ISNUMBER(SEARCH("Espeto",N549)),ISNUMBER(SEARCH("Santana",N549))),"SIM","")</f>
        <v/>
      </c>
      <c r="X549" s="92">
        <f>IF(AND(ISNUMBER(SEARCH("Espeto",N549)),ISNUMBER(SEARCH("André",N549))),"SIM","")</f>
        <v/>
      </c>
      <c r="Y549" s="92">
        <f>IF(AND(ISNUMBER(SEARCH("Delivery",N549)),ISNUMBER(SEARCH("Carin",N549))),"SIM","")</f>
        <v/>
      </c>
      <c r="Z549" s="92">
        <f>IF(AND(ISNUMBER(SEARCH("Delivery",N549)),ISNUMBER(SEARCH("Lapa",N549))),"SIM","")</f>
        <v/>
      </c>
      <c r="AA549" s="92">
        <f>IF(AND(ISNUMBER(SEARCH("Delivery",N549)),ISNUMBER(SEARCH("Tatuapé",N549))),"SIM","")</f>
        <v/>
      </c>
      <c r="AB549" s="92">
        <f>IF(AND(ISNUMBER(SEARCH("Delivery",N549)),ISNUMBER(SEARCH("Pavão",N549))),"SIM","")</f>
        <v/>
      </c>
      <c r="AC549" s="92">
        <f>IF(AND(ISNUMBER(SEARCH("Delivery",N549)),ISNUMBER(SEARCH("Chac",N549))),"SIM","")</f>
        <v/>
      </c>
      <c r="AD549" s="92">
        <f>IF(AND(ISNUMBER(SEARCH("Delivery",N549)),ISNUMBER(SEARCH("Madalena",N549))),"SIM","")</f>
        <v/>
      </c>
      <c r="AE549" s="99">
        <f>IF(AND(ISNUMBER(SEARCH("Delivery",N549)),ISNUMBER(SEARCH("Mariana",N549))),"SIM","")</f>
        <v/>
      </c>
      <c r="AF549" s="99">
        <f>IF(AND(ISNUMBER(SEARCH("Delivery",N549)),ISNUMBER(SEARCH("Perdizes",N549))),"SIM","")</f>
        <v/>
      </c>
      <c r="AG549" s="99">
        <f>IF(AND(ISNUMBER(SEARCH("Delivery",N549)),ISNUMBER(SEARCH("Santana",N549))),"SIM","")</f>
        <v/>
      </c>
      <c r="AH549" s="99">
        <f>IF(AND(ISNUMBER(SEARCH("Delivery",N549)),ISNUMBER(SEARCH("André",N549))),"SIM","")</f>
        <v/>
      </c>
      <c r="AI549" s="99">
        <f>IF(ISNUMBER(SEARCH("Interlagos",N549)),"SIM","")</f>
        <v/>
      </c>
      <c r="AJ549" s="99">
        <f>IF(ISNUMBER(SEARCH("Quiosque",N549)),"SIM","")</f>
        <v/>
      </c>
      <c r="AK549" s="101" t="n"/>
    </row>
    <row r="550">
      <c r="A550" s="88" t="inlineStr">
        <is>
          <t>Protheus</t>
        </is>
      </c>
      <c r="B550" s="96" t="inlineStr">
        <is>
          <t>002197</t>
        </is>
      </c>
      <c r="C550" s="97">
        <f>IF(B550="—","—",IFERROR(VLOOKUP(B550,_Protheus_Cadastro!$A:$B,2,FALSE),"—"))</f>
        <v/>
      </c>
      <c r="D550" s="98">
        <f>IF(B550="—",IFERROR(INDEX(_ZIG_Cadastro!$D:$D,MATCH(H550,_ZIG_Cadastro!$A:$A,0)),"Produto"),IFERROR(VLOOKUP(B550,_Protheus_Cadastro!$A:$C,3,FALSE),"—"))</f>
        <v/>
      </c>
      <c r="E550" s="98">
        <f>IF(B550="—","—",IFERROR(VLOOKUP(B550,_Protheus_Cadastro!$A:$D,4,FALSE),"—"))</f>
        <v/>
      </c>
      <c r="F550" s="98">
        <f>IF(ISERROR(VLOOKUP(B550,'Estrutura Protheus'!A:A,1,FALSE)),"Não","Sim")</f>
        <v/>
      </c>
      <c r="G550" s="99">
        <f>IFERROR(INDEX(_Protheus_Cadastro!$H:$H,MATCH(B550,_Protheus_Cadastro!$A:$A,0)),"—")</f>
        <v/>
      </c>
      <c r="H550" s="211">
        <f>IFERROR(INDEX(_ZIG_Precos!$D:$D,MATCH(I550,_ZIG_Precos!$F:$F,0)),"—")</f>
        <v/>
      </c>
      <c r="I550" s="103">
        <f>IFERROR(VLOOKUP(B550,_Protheus_Cadastro!$A:$I,9,FALSE),"—")</f>
        <v/>
      </c>
      <c r="J550" s="101">
        <f>IFERROR(INDEX(_ZIG_Cadastro!$B:$B,MATCH(I550,_ZIG_Cadastro!$A:$A,0)),IFERROR(INDEX(_Entradas_ZIG!$B:$B,MATCH(I550,_Entradas_ZIG!$C:$C,0)),"—"))</f>
        <v/>
      </c>
      <c r="K550" s="101">
        <f>IFERROR(INDEX(_ZIG_Cadastro!$C:$C,MATCH(I550,_ZIG_Cadastro!$A:$A,0)),IFERROR(INDEX(_Entradas_ZIG!$D:$D,MATCH(I550,_Entradas_ZIG!$C:$C,0)),"—"))</f>
        <v/>
      </c>
      <c r="L550" s="99">
        <f>IF(I550="","Sem SKU ZIG",IF(I550="—","Sem SKU ZIG",IF(NOT(ISERROR(MATCH(I550,_ZIG_Cadastro!$A:$A,0))),IF(EXACT(UPPER(TRIM(C550)),UPPER(TRIM(INDEX(_ZIG_Cadastro!$B:$B,MATCH(I550,_ZIG_Cadastro!$A:$A,0))))),"OK","Atencao - Nome diverge"),IF(NOT(ISERROR(MATCH(I550,_Entradas_ZIG!$C:$C,0))),"OK","Erro - SKU nao encontrado"))))</f>
        <v/>
      </c>
      <c r="M550" s="99">
        <f>IFERROR(INDEX(_ZIG_Cadastro!$G:$G,MATCH(I550,_ZIG_Cadastro!$A:$A,0)),IF(NOT(ISERROR(MATCH(I550,_Entradas_ZIG!$C:$C,0))),"Ativo","—"))</f>
        <v/>
      </c>
      <c r="N550" s="102">
        <f>IFERROR(INDEX(_ZIG_Cadastro!$E:$E,MATCH(I550,_ZIG_Cadastro!$A:$A,0)),IFERROR(INDEX(_Entradas_ZIG!$F:$F,MATCH(I550,_Entradas_ZIG!$C:$C,0)),"—"))</f>
        <v/>
      </c>
      <c r="O550" s="99">
        <f>IF(AND(ISNUMBER(SEARCH("Espeto",N550)),ISNUMBER(SEARCH("Carin",N550))),"SIM","")</f>
        <v/>
      </c>
      <c r="P550" s="99">
        <f>IF(AND(ISNUMBER(SEARCH("Espeto",N550)),ISNUMBER(SEARCH("Lapa",N550))),"SIM","")</f>
        <v/>
      </c>
      <c r="Q550" s="99">
        <f>IF(AND(ISNUMBER(SEARCH("Espeto",N550)),ISNUMBER(SEARCH("Tatuapé",N550))),"SIM","")</f>
        <v/>
      </c>
      <c r="R550" s="99">
        <f>IF(AND(ISNUMBER(SEARCH("Espeto",N550)),ISNUMBER(SEARCH("Pavão",N550))),"SIM","")</f>
        <v/>
      </c>
      <c r="S550" s="99">
        <f>IF(AND(ISNUMBER(SEARCH("Espeto",N550)),ISNUMBER(SEARCH("Chac",N550))),"SIM","")</f>
        <v/>
      </c>
      <c r="T550" s="99">
        <f>IF(AND(ISNUMBER(SEARCH("Espeto",N550)),ISNUMBER(SEARCH("Madalena",N550))),"SIM","")</f>
        <v/>
      </c>
      <c r="U550" s="99">
        <f>IF(AND(ISNUMBER(SEARCH("Espeto",N550)),ISNUMBER(SEARCH("Mariana",N550))),"SIM","")</f>
        <v/>
      </c>
      <c r="V550" s="99">
        <f>IF(AND(ISNUMBER(SEARCH("Espeto",N550)),ISNUMBER(SEARCH("Perdizes",N550))),"SIM","")</f>
        <v/>
      </c>
      <c r="W550" s="99">
        <f>IF(AND(ISNUMBER(SEARCH("Espeto",N550)),ISNUMBER(SEARCH("Santana",N550))),"SIM","")</f>
        <v/>
      </c>
      <c r="X550" s="99">
        <f>IF(AND(ISNUMBER(SEARCH("Espeto",N550)),ISNUMBER(SEARCH("André",N550))),"SIM","")</f>
        <v/>
      </c>
      <c r="Y550" s="99">
        <f>IF(AND(ISNUMBER(SEARCH("Delivery",N550)),ISNUMBER(SEARCH("Carin",N550))),"SIM","")</f>
        <v/>
      </c>
      <c r="Z550" s="99">
        <f>IF(AND(ISNUMBER(SEARCH("Delivery",N550)),ISNUMBER(SEARCH("Lapa",N550))),"SIM","")</f>
        <v/>
      </c>
      <c r="AA550" s="99">
        <f>IF(AND(ISNUMBER(SEARCH("Delivery",N550)),ISNUMBER(SEARCH("Tatuapé",N550))),"SIM","")</f>
        <v/>
      </c>
      <c r="AB550" s="99">
        <f>IF(AND(ISNUMBER(SEARCH("Delivery",N550)),ISNUMBER(SEARCH("Pavão",N550))),"SIM","")</f>
        <v/>
      </c>
      <c r="AC550" s="99">
        <f>IF(AND(ISNUMBER(SEARCH("Delivery",N550)),ISNUMBER(SEARCH("Chac",N550))),"SIM","")</f>
        <v/>
      </c>
      <c r="AD550" s="99">
        <f>IF(AND(ISNUMBER(SEARCH("Delivery",N550)),ISNUMBER(SEARCH("Madalena",N550))),"SIM","")</f>
        <v/>
      </c>
      <c r="AE550" s="92">
        <f>IF(AND(ISNUMBER(SEARCH("Delivery",N550)),ISNUMBER(SEARCH("Mariana",N550))),"SIM","")</f>
        <v/>
      </c>
      <c r="AF550" s="92">
        <f>IF(AND(ISNUMBER(SEARCH("Delivery",N550)),ISNUMBER(SEARCH("Perdizes",N550))),"SIM","")</f>
        <v/>
      </c>
      <c r="AG550" s="92">
        <f>IF(AND(ISNUMBER(SEARCH("Delivery",N550)),ISNUMBER(SEARCH("Santana",N550))),"SIM","")</f>
        <v/>
      </c>
      <c r="AH550" s="92">
        <f>IF(AND(ISNUMBER(SEARCH("Delivery",N550)),ISNUMBER(SEARCH("André",N550))),"SIM","")</f>
        <v/>
      </c>
      <c r="AI550" s="92">
        <f>IF(ISNUMBER(SEARCH("Interlagos",N550)),"SIM","")</f>
        <v/>
      </c>
      <c r="AJ550" s="92">
        <f>IF(ISNUMBER(SEARCH("Quiosque",N550)),"SIM","")</f>
        <v/>
      </c>
      <c r="AK550" s="93" t="n"/>
    </row>
    <row r="551">
      <c r="A551" s="88" t="inlineStr">
        <is>
          <t>Protheus</t>
        </is>
      </c>
      <c r="B551" s="89" t="inlineStr">
        <is>
          <t>002244</t>
        </is>
      </c>
      <c r="C551" s="90">
        <f>IF(B551="—","—",IFERROR(VLOOKUP(B551,_Protheus_Cadastro!$A:$B,2,FALSE),"—"))</f>
        <v/>
      </c>
      <c r="D551" s="91">
        <f>IF(B551="—",IFERROR(INDEX(_ZIG_Cadastro!$D:$D,MATCH(H551,_ZIG_Cadastro!$A:$A,0)),"Produto"),IFERROR(VLOOKUP(B551,_Protheus_Cadastro!$A:$C,3,FALSE),"—"))</f>
        <v/>
      </c>
      <c r="E551" s="91">
        <f>IF(B551="—","—",IFERROR(VLOOKUP(B551,_Protheus_Cadastro!$A:$D,4,FALSE),"—"))</f>
        <v/>
      </c>
      <c r="F551" s="91">
        <f>IF(ISERROR(VLOOKUP(B551,'Estrutura Protheus'!A:A,1,FALSE)),"Não","Sim")</f>
        <v/>
      </c>
      <c r="G551" s="92">
        <f>IFERROR(INDEX(_Protheus_Cadastro!$H:$H,MATCH(B551,_Protheus_Cadastro!$A:$A,0)),"—")</f>
        <v/>
      </c>
      <c r="H551" s="210">
        <f>IFERROR(INDEX(_ZIG_Precos!$D:$D,MATCH(I551,_ZIG_Precos!$F:$F,0)),"—")</f>
        <v/>
      </c>
      <c r="I551" s="95">
        <f>IFERROR(VLOOKUP(B551,_Protheus_Cadastro!$A:$I,9,FALSE),"—")</f>
        <v/>
      </c>
      <c r="J551" s="93">
        <f>IFERROR(INDEX(_ZIG_Cadastro!$B:$B,MATCH(I551,_ZIG_Cadastro!$A:$A,0)),IFERROR(INDEX(_Entradas_ZIG!$B:$B,MATCH(I551,_Entradas_ZIG!$C:$C,0)),"—"))</f>
        <v/>
      </c>
      <c r="K551" s="93">
        <f>IFERROR(INDEX(_ZIG_Cadastro!$C:$C,MATCH(I551,_ZIG_Cadastro!$A:$A,0)),IFERROR(INDEX(_Entradas_ZIG!$D:$D,MATCH(I551,_Entradas_ZIG!$C:$C,0)),"—"))</f>
        <v/>
      </c>
      <c r="L551" s="92">
        <f>IF(I551="","Sem SKU ZIG",IF(I551="—","Sem SKU ZIG",IF(NOT(ISERROR(MATCH(I551,_ZIG_Cadastro!$A:$A,0))),IF(EXACT(UPPER(TRIM(C551)),UPPER(TRIM(INDEX(_ZIG_Cadastro!$B:$B,MATCH(I551,_ZIG_Cadastro!$A:$A,0))))),"OK","Atencao - Nome diverge"),IF(NOT(ISERROR(MATCH(I551,_Entradas_ZIG!$C:$C,0))),"OK","Erro - SKU nao encontrado"))))</f>
        <v/>
      </c>
      <c r="M551" s="92">
        <f>IFERROR(INDEX(_ZIG_Cadastro!$G:$G,MATCH(I551,_ZIG_Cadastro!$A:$A,0)),IF(NOT(ISERROR(MATCH(I551,_Entradas_ZIG!$C:$C,0))),"Ativo","—"))</f>
        <v/>
      </c>
      <c r="N551" s="94">
        <f>IFERROR(INDEX(_ZIG_Cadastro!$E:$E,MATCH(I551,_ZIG_Cadastro!$A:$A,0)),IFERROR(INDEX(_Entradas_ZIG!$F:$F,MATCH(I551,_Entradas_ZIG!$C:$C,0)),"—"))</f>
        <v/>
      </c>
      <c r="O551" s="92">
        <f>IF(AND(ISNUMBER(SEARCH("Espeto",N551)),ISNUMBER(SEARCH("Carin",N551))),"SIM","")</f>
        <v/>
      </c>
      <c r="P551" s="92">
        <f>IF(AND(ISNUMBER(SEARCH("Espeto",N551)),ISNUMBER(SEARCH("Lapa",N551))),"SIM","")</f>
        <v/>
      </c>
      <c r="Q551" s="92">
        <f>IF(AND(ISNUMBER(SEARCH("Espeto",N551)),ISNUMBER(SEARCH("Tatuapé",N551))),"SIM","")</f>
        <v/>
      </c>
      <c r="R551" s="92">
        <f>IF(AND(ISNUMBER(SEARCH("Espeto",N551)),ISNUMBER(SEARCH("Pavão",N551))),"SIM","")</f>
        <v/>
      </c>
      <c r="S551" s="92">
        <f>IF(AND(ISNUMBER(SEARCH("Espeto",N551)),ISNUMBER(SEARCH("Chac",N551))),"SIM","")</f>
        <v/>
      </c>
      <c r="T551" s="92">
        <f>IF(AND(ISNUMBER(SEARCH("Espeto",N551)),ISNUMBER(SEARCH("Madalena",N551))),"SIM","")</f>
        <v/>
      </c>
      <c r="U551" s="92">
        <f>IF(AND(ISNUMBER(SEARCH("Espeto",N551)),ISNUMBER(SEARCH("Mariana",N551))),"SIM","")</f>
        <v/>
      </c>
      <c r="V551" s="92">
        <f>IF(AND(ISNUMBER(SEARCH("Espeto",N551)),ISNUMBER(SEARCH("Perdizes",N551))),"SIM","")</f>
        <v/>
      </c>
      <c r="W551" s="92">
        <f>IF(AND(ISNUMBER(SEARCH("Espeto",N551)),ISNUMBER(SEARCH("Santana",N551))),"SIM","")</f>
        <v/>
      </c>
      <c r="X551" s="92">
        <f>IF(AND(ISNUMBER(SEARCH("Espeto",N551)),ISNUMBER(SEARCH("André",N551))),"SIM","")</f>
        <v/>
      </c>
      <c r="Y551" s="92">
        <f>IF(AND(ISNUMBER(SEARCH("Delivery",N551)),ISNUMBER(SEARCH("Carin",N551))),"SIM","")</f>
        <v/>
      </c>
      <c r="Z551" s="92">
        <f>IF(AND(ISNUMBER(SEARCH("Delivery",N551)),ISNUMBER(SEARCH("Lapa",N551))),"SIM","")</f>
        <v/>
      </c>
      <c r="AA551" s="92">
        <f>IF(AND(ISNUMBER(SEARCH("Delivery",N551)),ISNUMBER(SEARCH("Tatuapé",N551))),"SIM","")</f>
        <v/>
      </c>
      <c r="AB551" s="92">
        <f>IF(AND(ISNUMBER(SEARCH("Delivery",N551)),ISNUMBER(SEARCH("Pavão",N551))),"SIM","")</f>
        <v/>
      </c>
      <c r="AC551" s="92">
        <f>IF(AND(ISNUMBER(SEARCH("Delivery",N551)),ISNUMBER(SEARCH("Chac",N551))),"SIM","")</f>
        <v/>
      </c>
      <c r="AD551" s="92">
        <f>IF(AND(ISNUMBER(SEARCH("Delivery",N551)),ISNUMBER(SEARCH("Madalena",N551))),"SIM","")</f>
        <v/>
      </c>
      <c r="AE551" s="99">
        <f>IF(AND(ISNUMBER(SEARCH("Delivery",N551)),ISNUMBER(SEARCH("Mariana",N551))),"SIM","")</f>
        <v/>
      </c>
      <c r="AF551" s="99">
        <f>IF(AND(ISNUMBER(SEARCH("Delivery",N551)),ISNUMBER(SEARCH("Perdizes",N551))),"SIM","")</f>
        <v/>
      </c>
      <c r="AG551" s="99">
        <f>IF(AND(ISNUMBER(SEARCH("Delivery",N551)),ISNUMBER(SEARCH("Santana",N551))),"SIM","")</f>
        <v/>
      </c>
      <c r="AH551" s="99">
        <f>IF(AND(ISNUMBER(SEARCH("Delivery",N551)),ISNUMBER(SEARCH("André",N551))),"SIM","")</f>
        <v/>
      </c>
      <c r="AI551" s="99">
        <f>IF(ISNUMBER(SEARCH("Interlagos",N551)),"SIM","")</f>
        <v/>
      </c>
      <c r="AJ551" s="99">
        <f>IF(ISNUMBER(SEARCH("Quiosque",N551)),"SIM","")</f>
        <v/>
      </c>
      <c r="AK551" s="101" t="n"/>
    </row>
    <row r="552">
      <c r="A552" s="88" t="inlineStr">
        <is>
          <t>Protheus</t>
        </is>
      </c>
      <c r="B552" s="96" t="inlineStr">
        <is>
          <t>000054</t>
        </is>
      </c>
      <c r="C552" s="97">
        <f>IF(B552="—","—",IFERROR(VLOOKUP(B552,_Protheus_Cadastro!$A:$B,2,FALSE),"—"))</f>
        <v/>
      </c>
      <c r="D552" s="98">
        <f>IF(B552="—",IFERROR(INDEX(_ZIG_Cadastro!$D:$D,MATCH(H552,_ZIG_Cadastro!$A:$A,0)),"Produto"),IFERROR(VLOOKUP(B552,_Protheus_Cadastro!$A:$C,3,FALSE),"—"))</f>
        <v/>
      </c>
      <c r="E552" s="98">
        <f>IF(B552="—","—",IFERROR(VLOOKUP(B552,_Protheus_Cadastro!$A:$D,4,FALSE),"—"))</f>
        <v/>
      </c>
      <c r="F552" s="98">
        <f>IF(ISERROR(VLOOKUP(B552,'Estrutura Protheus'!A:A,1,FALSE)),"Não","Sim")</f>
        <v/>
      </c>
      <c r="G552" s="99">
        <f>IFERROR(INDEX(_Protheus_Cadastro!$H:$H,MATCH(B552,_Protheus_Cadastro!$A:$A,0)),"—")</f>
        <v/>
      </c>
      <c r="H552" s="211">
        <f>IFERROR(INDEX(_ZIG_Precos!$D:$D,MATCH(I552,_ZIG_Precos!$F:$F,0)),"—")</f>
        <v/>
      </c>
      <c r="I552" s="103">
        <f>IFERROR(VLOOKUP(B552,_Protheus_Cadastro!$A:$I,9,FALSE),"—")</f>
        <v/>
      </c>
      <c r="J552" s="101">
        <f>IFERROR(INDEX(_ZIG_Cadastro!$B:$B,MATCH(I552,_ZIG_Cadastro!$A:$A,0)),IFERROR(INDEX(_Entradas_ZIG!$B:$B,MATCH(I552,_Entradas_ZIG!$C:$C,0)),"—"))</f>
        <v/>
      </c>
      <c r="K552" s="101">
        <f>IFERROR(INDEX(_ZIG_Cadastro!$C:$C,MATCH(I552,_ZIG_Cadastro!$A:$A,0)),IFERROR(INDEX(_Entradas_ZIG!$D:$D,MATCH(I552,_Entradas_ZIG!$C:$C,0)),"—"))</f>
        <v/>
      </c>
      <c r="L552" s="99">
        <f>IF(I552="","Sem SKU ZIG",IF(I552="—","Sem SKU ZIG",IF(NOT(ISERROR(MATCH(I552,_ZIG_Cadastro!$A:$A,0))),IF(EXACT(UPPER(TRIM(C552)),UPPER(TRIM(INDEX(_ZIG_Cadastro!$B:$B,MATCH(I552,_ZIG_Cadastro!$A:$A,0))))),"OK","Atencao - Nome diverge"),IF(NOT(ISERROR(MATCH(I552,_Entradas_ZIG!$C:$C,0))),"OK","Erro - SKU nao encontrado"))))</f>
        <v/>
      </c>
      <c r="M552" s="99">
        <f>IFERROR(INDEX(_ZIG_Cadastro!$G:$G,MATCH(I552,_ZIG_Cadastro!$A:$A,0)),IF(NOT(ISERROR(MATCH(I552,_Entradas_ZIG!$C:$C,0))),"Ativo","—"))</f>
        <v/>
      </c>
      <c r="N552" s="102">
        <f>IFERROR(INDEX(_ZIG_Cadastro!$E:$E,MATCH(I552,_ZIG_Cadastro!$A:$A,0)),IFERROR(INDEX(_Entradas_ZIG!$F:$F,MATCH(I552,_Entradas_ZIG!$C:$C,0)),"—"))</f>
        <v/>
      </c>
      <c r="O552" s="99">
        <f>IF(AND(ISNUMBER(SEARCH("Espeto",N552)),ISNUMBER(SEARCH("Carin",N552))),"SIM","")</f>
        <v/>
      </c>
      <c r="P552" s="99">
        <f>IF(AND(ISNUMBER(SEARCH("Espeto",N552)),ISNUMBER(SEARCH("Lapa",N552))),"SIM","")</f>
        <v/>
      </c>
      <c r="Q552" s="99">
        <f>IF(AND(ISNUMBER(SEARCH("Espeto",N552)),ISNUMBER(SEARCH("Tatuapé",N552))),"SIM","")</f>
        <v/>
      </c>
      <c r="R552" s="99">
        <f>IF(AND(ISNUMBER(SEARCH("Espeto",N552)),ISNUMBER(SEARCH("Pavão",N552))),"SIM","")</f>
        <v/>
      </c>
      <c r="S552" s="99">
        <f>IF(AND(ISNUMBER(SEARCH("Espeto",N552)),ISNUMBER(SEARCH("Chac",N552))),"SIM","")</f>
        <v/>
      </c>
      <c r="T552" s="99">
        <f>IF(AND(ISNUMBER(SEARCH("Espeto",N552)),ISNUMBER(SEARCH("Madalena",N552))),"SIM","")</f>
        <v/>
      </c>
      <c r="U552" s="99">
        <f>IF(AND(ISNUMBER(SEARCH("Espeto",N552)),ISNUMBER(SEARCH("Mariana",N552))),"SIM","")</f>
        <v/>
      </c>
      <c r="V552" s="99">
        <f>IF(AND(ISNUMBER(SEARCH("Espeto",N552)),ISNUMBER(SEARCH("Perdizes",N552))),"SIM","")</f>
        <v/>
      </c>
      <c r="W552" s="99">
        <f>IF(AND(ISNUMBER(SEARCH("Espeto",N552)),ISNUMBER(SEARCH("Santana",N552))),"SIM","")</f>
        <v/>
      </c>
      <c r="X552" s="99">
        <f>IF(AND(ISNUMBER(SEARCH("Espeto",N552)),ISNUMBER(SEARCH("André",N552))),"SIM","")</f>
        <v/>
      </c>
      <c r="Y552" s="99">
        <f>IF(AND(ISNUMBER(SEARCH("Delivery",N552)),ISNUMBER(SEARCH("Carin",N552))),"SIM","")</f>
        <v/>
      </c>
      <c r="Z552" s="99">
        <f>IF(AND(ISNUMBER(SEARCH("Delivery",N552)),ISNUMBER(SEARCH("Lapa",N552))),"SIM","")</f>
        <v/>
      </c>
      <c r="AA552" s="99">
        <f>IF(AND(ISNUMBER(SEARCH("Delivery",N552)),ISNUMBER(SEARCH("Tatuapé",N552))),"SIM","")</f>
        <v/>
      </c>
      <c r="AB552" s="99">
        <f>IF(AND(ISNUMBER(SEARCH("Delivery",N552)),ISNUMBER(SEARCH("Pavão",N552))),"SIM","")</f>
        <v/>
      </c>
      <c r="AC552" s="99">
        <f>IF(AND(ISNUMBER(SEARCH("Delivery",N552)),ISNUMBER(SEARCH("Chac",N552))),"SIM","")</f>
        <v/>
      </c>
      <c r="AD552" s="99">
        <f>IF(AND(ISNUMBER(SEARCH("Delivery",N552)),ISNUMBER(SEARCH("Madalena",N552))),"SIM","")</f>
        <v/>
      </c>
      <c r="AE552" s="92">
        <f>IF(AND(ISNUMBER(SEARCH("Delivery",N552)),ISNUMBER(SEARCH("Mariana",N552))),"SIM","")</f>
        <v/>
      </c>
      <c r="AF552" s="92">
        <f>IF(AND(ISNUMBER(SEARCH("Delivery",N552)),ISNUMBER(SEARCH("Perdizes",N552))),"SIM","")</f>
        <v/>
      </c>
      <c r="AG552" s="92">
        <f>IF(AND(ISNUMBER(SEARCH("Delivery",N552)),ISNUMBER(SEARCH("Santana",N552))),"SIM","")</f>
        <v/>
      </c>
      <c r="AH552" s="92">
        <f>IF(AND(ISNUMBER(SEARCH("Delivery",N552)),ISNUMBER(SEARCH("André",N552))),"SIM","")</f>
        <v/>
      </c>
      <c r="AI552" s="92">
        <f>IF(ISNUMBER(SEARCH("Interlagos",N552)),"SIM","")</f>
        <v/>
      </c>
      <c r="AJ552" s="92">
        <f>IF(ISNUMBER(SEARCH("Quiosque",N552)),"SIM","")</f>
        <v/>
      </c>
      <c r="AK552" s="93" t="n"/>
    </row>
    <row r="553">
      <c r="A553" s="88" t="inlineStr">
        <is>
          <t>Protheus</t>
        </is>
      </c>
      <c r="B553" s="89" t="inlineStr">
        <is>
          <t>000041</t>
        </is>
      </c>
      <c r="C553" s="90">
        <f>IF(B553="—","—",IFERROR(VLOOKUP(B553,_Protheus_Cadastro!$A:$B,2,FALSE),"—"))</f>
        <v/>
      </c>
      <c r="D553" s="91">
        <f>IF(B553="—",IFERROR(INDEX(_ZIG_Cadastro!$D:$D,MATCH(H553,_ZIG_Cadastro!$A:$A,0)),"Produto"),IFERROR(VLOOKUP(B553,_Protheus_Cadastro!$A:$C,3,FALSE),"—"))</f>
        <v/>
      </c>
      <c r="E553" s="91">
        <f>IF(B553="—","—",IFERROR(VLOOKUP(B553,_Protheus_Cadastro!$A:$D,4,FALSE),"—"))</f>
        <v/>
      </c>
      <c r="F553" s="91">
        <f>IF(ISERROR(VLOOKUP(B553,'Estrutura Protheus'!A:A,1,FALSE)),"Não","Sim")</f>
        <v/>
      </c>
      <c r="G553" s="92">
        <f>IFERROR(INDEX(_Protheus_Cadastro!$H:$H,MATCH(B553,_Protheus_Cadastro!$A:$A,0)),"—")</f>
        <v/>
      </c>
      <c r="H553" s="210">
        <f>IFERROR(INDEX(_ZIG_Precos!$D:$D,MATCH(I553,_ZIG_Precos!$F:$F,0)),"—")</f>
        <v/>
      </c>
      <c r="I553" s="95">
        <f>IFERROR(VLOOKUP(B553,_Protheus_Cadastro!$A:$I,9,FALSE),"—")</f>
        <v/>
      </c>
      <c r="J553" s="93">
        <f>IFERROR(INDEX(_ZIG_Cadastro!$B:$B,MATCH(I553,_ZIG_Cadastro!$A:$A,0)),IFERROR(INDEX(_Entradas_ZIG!$B:$B,MATCH(I553,_Entradas_ZIG!$C:$C,0)),"—"))</f>
        <v/>
      </c>
      <c r="K553" s="93">
        <f>IFERROR(INDEX(_ZIG_Cadastro!$C:$C,MATCH(I553,_ZIG_Cadastro!$A:$A,0)),IFERROR(INDEX(_Entradas_ZIG!$D:$D,MATCH(I553,_Entradas_ZIG!$C:$C,0)),"—"))</f>
        <v/>
      </c>
      <c r="L553" s="92">
        <f>IF(I553="","Sem SKU ZIG",IF(I553="—","Sem SKU ZIG",IF(NOT(ISERROR(MATCH(I553,_ZIG_Cadastro!$A:$A,0))),IF(EXACT(UPPER(TRIM(C553)),UPPER(TRIM(INDEX(_ZIG_Cadastro!$B:$B,MATCH(I553,_ZIG_Cadastro!$A:$A,0))))),"OK","Atencao - Nome diverge"),IF(NOT(ISERROR(MATCH(I553,_Entradas_ZIG!$C:$C,0))),"OK","Erro - SKU nao encontrado"))))</f>
        <v/>
      </c>
      <c r="M553" s="92">
        <f>IFERROR(INDEX(_ZIG_Cadastro!$G:$G,MATCH(I553,_ZIG_Cadastro!$A:$A,0)),IF(NOT(ISERROR(MATCH(I553,_Entradas_ZIG!$C:$C,0))),"Ativo","—"))</f>
        <v/>
      </c>
      <c r="N553" s="94">
        <f>IFERROR(INDEX(_ZIG_Cadastro!$E:$E,MATCH(I553,_ZIG_Cadastro!$A:$A,0)),IFERROR(INDEX(_Entradas_ZIG!$F:$F,MATCH(I553,_Entradas_ZIG!$C:$C,0)),"—"))</f>
        <v/>
      </c>
      <c r="O553" s="92">
        <f>IF(AND(ISNUMBER(SEARCH("Espeto",N553)),ISNUMBER(SEARCH("Carin",N553))),"SIM","")</f>
        <v/>
      </c>
      <c r="P553" s="92">
        <f>IF(AND(ISNUMBER(SEARCH("Espeto",N553)),ISNUMBER(SEARCH("Lapa",N553))),"SIM","")</f>
        <v/>
      </c>
      <c r="Q553" s="92">
        <f>IF(AND(ISNUMBER(SEARCH("Espeto",N553)),ISNUMBER(SEARCH("Tatuapé",N553))),"SIM","")</f>
        <v/>
      </c>
      <c r="R553" s="92">
        <f>IF(AND(ISNUMBER(SEARCH("Espeto",N553)),ISNUMBER(SEARCH("Pavão",N553))),"SIM","")</f>
        <v/>
      </c>
      <c r="S553" s="92">
        <f>IF(AND(ISNUMBER(SEARCH("Espeto",N553)),ISNUMBER(SEARCH("Chac",N553))),"SIM","")</f>
        <v/>
      </c>
      <c r="T553" s="92">
        <f>IF(AND(ISNUMBER(SEARCH("Espeto",N553)),ISNUMBER(SEARCH("Madalena",N553))),"SIM","")</f>
        <v/>
      </c>
      <c r="U553" s="92">
        <f>IF(AND(ISNUMBER(SEARCH("Espeto",N553)),ISNUMBER(SEARCH("Mariana",N553))),"SIM","")</f>
        <v/>
      </c>
      <c r="V553" s="92">
        <f>IF(AND(ISNUMBER(SEARCH("Espeto",N553)),ISNUMBER(SEARCH("Perdizes",N553))),"SIM","")</f>
        <v/>
      </c>
      <c r="W553" s="92">
        <f>IF(AND(ISNUMBER(SEARCH("Espeto",N553)),ISNUMBER(SEARCH("Santana",N553))),"SIM","")</f>
        <v/>
      </c>
      <c r="X553" s="92">
        <f>IF(AND(ISNUMBER(SEARCH("Espeto",N553)),ISNUMBER(SEARCH("André",N553))),"SIM","")</f>
        <v/>
      </c>
      <c r="Y553" s="92">
        <f>IF(AND(ISNUMBER(SEARCH("Delivery",N553)),ISNUMBER(SEARCH("Carin",N553))),"SIM","")</f>
        <v/>
      </c>
      <c r="Z553" s="92">
        <f>IF(AND(ISNUMBER(SEARCH("Delivery",N553)),ISNUMBER(SEARCH("Lapa",N553))),"SIM","")</f>
        <v/>
      </c>
      <c r="AA553" s="92">
        <f>IF(AND(ISNUMBER(SEARCH("Delivery",N553)),ISNUMBER(SEARCH("Tatuapé",N553))),"SIM","")</f>
        <v/>
      </c>
      <c r="AB553" s="92">
        <f>IF(AND(ISNUMBER(SEARCH("Delivery",N553)),ISNUMBER(SEARCH("Pavão",N553))),"SIM","")</f>
        <v/>
      </c>
      <c r="AC553" s="92">
        <f>IF(AND(ISNUMBER(SEARCH("Delivery",N553)),ISNUMBER(SEARCH("Chac",N553))),"SIM","")</f>
        <v/>
      </c>
      <c r="AD553" s="92">
        <f>IF(AND(ISNUMBER(SEARCH("Delivery",N553)),ISNUMBER(SEARCH("Madalena",N553))),"SIM","")</f>
        <v/>
      </c>
      <c r="AE553" s="99">
        <f>IF(AND(ISNUMBER(SEARCH("Delivery",N553)),ISNUMBER(SEARCH("Mariana",N553))),"SIM","")</f>
        <v/>
      </c>
      <c r="AF553" s="99">
        <f>IF(AND(ISNUMBER(SEARCH("Delivery",N553)),ISNUMBER(SEARCH("Perdizes",N553))),"SIM","")</f>
        <v/>
      </c>
      <c r="AG553" s="99">
        <f>IF(AND(ISNUMBER(SEARCH("Delivery",N553)),ISNUMBER(SEARCH("Santana",N553))),"SIM","")</f>
        <v/>
      </c>
      <c r="AH553" s="99">
        <f>IF(AND(ISNUMBER(SEARCH("Delivery",N553)),ISNUMBER(SEARCH("André",N553))),"SIM","")</f>
        <v/>
      </c>
      <c r="AI553" s="99">
        <f>IF(ISNUMBER(SEARCH("Interlagos",N553)),"SIM","")</f>
        <v/>
      </c>
      <c r="AJ553" s="99">
        <f>IF(ISNUMBER(SEARCH("Quiosque",N553)),"SIM","")</f>
        <v/>
      </c>
      <c r="AK553" s="101" t="n"/>
    </row>
    <row r="554">
      <c r="A554" s="88" t="inlineStr">
        <is>
          <t>Protheus</t>
        </is>
      </c>
      <c r="B554" s="96" t="inlineStr">
        <is>
          <t>000051</t>
        </is>
      </c>
      <c r="C554" s="97">
        <f>IF(B554="—","—",IFERROR(VLOOKUP(B554,_Protheus_Cadastro!$A:$B,2,FALSE),"—"))</f>
        <v/>
      </c>
      <c r="D554" s="98">
        <f>IF(B554="—",IFERROR(INDEX(_ZIG_Cadastro!$D:$D,MATCH(H554,_ZIG_Cadastro!$A:$A,0)),"Produto"),IFERROR(VLOOKUP(B554,_Protheus_Cadastro!$A:$C,3,FALSE),"—"))</f>
        <v/>
      </c>
      <c r="E554" s="98">
        <f>IF(B554="—","—",IFERROR(VLOOKUP(B554,_Protheus_Cadastro!$A:$D,4,FALSE),"—"))</f>
        <v/>
      </c>
      <c r="F554" s="98">
        <f>IF(ISERROR(VLOOKUP(B554,'Estrutura Protheus'!A:A,1,FALSE)),"Não","Sim")</f>
        <v/>
      </c>
      <c r="G554" s="99">
        <f>IFERROR(INDEX(_Protheus_Cadastro!$H:$H,MATCH(B554,_Protheus_Cadastro!$A:$A,0)),"—")</f>
        <v/>
      </c>
      <c r="H554" s="211">
        <f>IFERROR(INDEX(_ZIG_Precos!$D:$D,MATCH(I554,_ZIG_Precos!$F:$F,0)),"—")</f>
        <v/>
      </c>
      <c r="I554" s="103">
        <f>IFERROR(VLOOKUP(B554,_Protheus_Cadastro!$A:$I,9,FALSE),"—")</f>
        <v/>
      </c>
      <c r="J554" s="101">
        <f>IFERROR(INDEX(_ZIG_Cadastro!$B:$B,MATCH(I554,_ZIG_Cadastro!$A:$A,0)),IFERROR(INDEX(_Entradas_ZIG!$B:$B,MATCH(I554,_Entradas_ZIG!$C:$C,0)),"—"))</f>
        <v/>
      </c>
      <c r="K554" s="101">
        <f>IFERROR(INDEX(_ZIG_Cadastro!$C:$C,MATCH(I554,_ZIG_Cadastro!$A:$A,0)),IFERROR(INDEX(_Entradas_ZIG!$D:$D,MATCH(I554,_Entradas_ZIG!$C:$C,0)),"—"))</f>
        <v/>
      </c>
      <c r="L554" s="99">
        <f>IF(I554="","Sem SKU ZIG",IF(I554="—","Sem SKU ZIG",IF(NOT(ISERROR(MATCH(I554,_ZIG_Cadastro!$A:$A,0))),IF(EXACT(UPPER(TRIM(C554)),UPPER(TRIM(INDEX(_ZIG_Cadastro!$B:$B,MATCH(I554,_ZIG_Cadastro!$A:$A,0))))),"OK","Atencao - Nome diverge"),IF(NOT(ISERROR(MATCH(I554,_Entradas_ZIG!$C:$C,0))),"OK","Erro - SKU nao encontrado"))))</f>
        <v/>
      </c>
      <c r="M554" s="99">
        <f>IFERROR(INDEX(_ZIG_Cadastro!$G:$G,MATCH(I554,_ZIG_Cadastro!$A:$A,0)),IF(NOT(ISERROR(MATCH(I554,_Entradas_ZIG!$C:$C,0))),"Ativo","—"))</f>
        <v/>
      </c>
      <c r="N554" s="102">
        <f>IFERROR(INDEX(_ZIG_Cadastro!$E:$E,MATCH(I554,_ZIG_Cadastro!$A:$A,0)),IFERROR(INDEX(_Entradas_ZIG!$F:$F,MATCH(I554,_Entradas_ZIG!$C:$C,0)),"—"))</f>
        <v/>
      </c>
      <c r="O554" s="99">
        <f>IF(AND(ISNUMBER(SEARCH("Espeto",N554)),ISNUMBER(SEARCH("Carin",N554))),"SIM","")</f>
        <v/>
      </c>
      <c r="P554" s="99">
        <f>IF(AND(ISNUMBER(SEARCH("Espeto",N554)),ISNUMBER(SEARCH("Lapa",N554))),"SIM","")</f>
        <v/>
      </c>
      <c r="Q554" s="99">
        <f>IF(AND(ISNUMBER(SEARCH("Espeto",N554)),ISNUMBER(SEARCH("Tatuapé",N554))),"SIM","")</f>
        <v/>
      </c>
      <c r="R554" s="99">
        <f>IF(AND(ISNUMBER(SEARCH("Espeto",N554)),ISNUMBER(SEARCH("Pavão",N554))),"SIM","")</f>
        <v/>
      </c>
      <c r="S554" s="99">
        <f>IF(AND(ISNUMBER(SEARCH("Espeto",N554)),ISNUMBER(SEARCH("Chac",N554))),"SIM","")</f>
        <v/>
      </c>
      <c r="T554" s="99">
        <f>IF(AND(ISNUMBER(SEARCH("Espeto",N554)),ISNUMBER(SEARCH("Madalena",N554))),"SIM","")</f>
        <v/>
      </c>
      <c r="U554" s="99">
        <f>IF(AND(ISNUMBER(SEARCH("Espeto",N554)),ISNUMBER(SEARCH("Mariana",N554))),"SIM","")</f>
        <v/>
      </c>
      <c r="V554" s="99">
        <f>IF(AND(ISNUMBER(SEARCH("Espeto",N554)),ISNUMBER(SEARCH("Perdizes",N554))),"SIM","")</f>
        <v/>
      </c>
      <c r="W554" s="99">
        <f>IF(AND(ISNUMBER(SEARCH("Espeto",N554)),ISNUMBER(SEARCH("Santana",N554))),"SIM","")</f>
        <v/>
      </c>
      <c r="X554" s="99">
        <f>IF(AND(ISNUMBER(SEARCH("Espeto",N554)),ISNUMBER(SEARCH("André",N554))),"SIM","")</f>
        <v/>
      </c>
      <c r="Y554" s="99">
        <f>IF(AND(ISNUMBER(SEARCH("Delivery",N554)),ISNUMBER(SEARCH("Carin",N554))),"SIM","")</f>
        <v/>
      </c>
      <c r="Z554" s="99">
        <f>IF(AND(ISNUMBER(SEARCH("Delivery",N554)),ISNUMBER(SEARCH("Lapa",N554))),"SIM","")</f>
        <v/>
      </c>
      <c r="AA554" s="99">
        <f>IF(AND(ISNUMBER(SEARCH("Delivery",N554)),ISNUMBER(SEARCH("Tatuapé",N554))),"SIM","")</f>
        <v/>
      </c>
      <c r="AB554" s="99">
        <f>IF(AND(ISNUMBER(SEARCH("Delivery",N554)),ISNUMBER(SEARCH("Pavão",N554))),"SIM","")</f>
        <v/>
      </c>
      <c r="AC554" s="99">
        <f>IF(AND(ISNUMBER(SEARCH("Delivery",N554)),ISNUMBER(SEARCH("Chac",N554))),"SIM","")</f>
        <v/>
      </c>
      <c r="AD554" s="99">
        <f>IF(AND(ISNUMBER(SEARCH("Delivery",N554)),ISNUMBER(SEARCH("Madalena",N554))),"SIM","")</f>
        <v/>
      </c>
      <c r="AE554" s="92">
        <f>IF(AND(ISNUMBER(SEARCH("Delivery",N554)),ISNUMBER(SEARCH("Mariana",N554))),"SIM","")</f>
        <v/>
      </c>
      <c r="AF554" s="92">
        <f>IF(AND(ISNUMBER(SEARCH("Delivery",N554)),ISNUMBER(SEARCH("Perdizes",N554))),"SIM","")</f>
        <v/>
      </c>
      <c r="AG554" s="92">
        <f>IF(AND(ISNUMBER(SEARCH("Delivery",N554)),ISNUMBER(SEARCH("Santana",N554))),"SIM","")</f>
        <v/>
      </c>
      <c r="AH554" s="92">
        <f>IF(AND(ISNUMBER(SEARCH("Delivery",N554)),ISNUMBER(SEARCH("André",N554))),"SIM","")</f>
        <v/>
      </c>
      <c r="AI554" s="92">
        <f>IF(ISNUMBER(SEARCH("Interlagos",N554)),"SIM","")</f>
        <v/>
      </c>
      <c r="AJ554" s="92">
        <f>IF(ISNUMBER(SEARCH("Quiosque",N554)),"SIM","")</f>
        <v/>
      </c>
      <c r="AK554" s="93" t="n"/>
    </row>
    <row r="555">
      <c r="A555" s="88" t="inlineStr">
        <is>
          <t>Protheus</t>
        </is>
      </c>
      <c r="B555" s="89" t="inlineStr">
        <is>
          <t>002263</t>
        </is>
      </c>
      <c r="C555" s="90">
        <f>IF(B555="—","—",IFERROR(VLOOKUP(B555,_Protheus_Cadastro!$A:$B,2,FALSE),"—"))</f>
        <v/>
      </c>
      <c r="D555" s="91">
        <f>IF(B555="—",IFERROR(INDEX(_ZIG_Cadastro!$D:$D,MATCH(H555,_ZIG_Cadastro!$A:$A,0)),"Produto"),IFERROR(VLOOKUP(B555,_Protheus_Cadastro!$A:$C,3,FALSE),"—"))</f>
        <v/>
      </c>
      <c r="E555" s="91">
        <f>IF(B555="—","—",IFERROR(VLOOKUP(B555,_Protheus_Cadastro!$A:$D,4,FALSE),"—"))</f>
        <v/>
      </c>
      <c r="F555" s="91">
        <f>IF(ISERROR(VLOOKUP(B555,'Estrutura Protheus'!A:A,1,FALSE)),"Não","Sim")</f>
        <v/>
      </c>
      <c r="G555" s="92">
        <f>IFERROR(INDEX(_Protheus_Cadastro!$H:$H,MATCH(B555,_Protheus_Cadastro!$A:$A,0)),"—")</f>
        <v/>
      </c>
      <c r="H555" s="210">
        <f>IFERROR(INDEX(_ZIG_Precos!$D:$D,MATCH(I555,_ZIG_Precos!$F:$F,0)),"—")</f>
        <v/>
      </c>
      <c r="I555" s="95">
        <f>IFERROR(VLOOKUP(B555,_Protheus_Cadastro!$A:$I,9,FALSE),"—")</f>
        <v/>
      </c>
      <c r="J555" s="93">
        <f>IFERROR(INDEX(_ZIG_Cadastro!$B:$B,MATCH(I555,_ZIG_Cadastro!$A:$A,0)),IFERROR(INDEX(_Entradas_ZIG!$B:$B,MATCH(I555,_Entradas_ZIG!$C:$C,0)),"—"))</f>
        <v/>
      </c>
      <c r="K555" s="93">
        <f>IFERROR(INDEX(_ZIG_Cadastro!$C:$C,MATCH(I555,_ZIG_Cadastro!$A:$A,0)),IFERROR(INDEX(_Entradas_ZIG!$D:$D,MATCH(I555,_Entradas_ZIG!$C:$C,0)),"—"))</f>
        <v/>
      </c>
      <c r="L555" s="92">
        <f>IF(I555="","Sem SKU ZIG",IF(I555="—","Sem SKU ZIG",IF(NOT(ISERROR(MATCH(I555,_ZIG_Cadastro!$A:$A,0))),IF(EXACT(UPPER(TRIM(C555)),UPPER(TRIM(INDEX(_ZIG_Cadastro!$B:$B,MATCH(I555,_ZIG_Cadastro!$A:$A,0))))),"OK","Atencao - Nome diverge"),IF(NOT(ISERROR(MATCH(I555,_Entradas_ZIG!$C:$C,0))),"OK","Erro - SKU nao encontrado"))))</f>
        <v/>
      </c>
      <c r="M555" s="92">
        <f>IFERROR(INDEX(_ZIG_Cadastro!$G:$G,MATCH(I555,_ZIG_Cadastro!$A:$A,0)),IF(NOT(ISERROR(MATCH(I555,_Entradas_ZIG!$C:$C,0))),"Ativo","—"))</f>
        <v/>
      </c>
      <c r="N555" s="94">
        <f>IFERROR(INDEX(_ZIG_Cadastro!$E:$E,MATCH(I555,_ZIG_Cadastro!$A:$A,0)),IFERROR(INDEX(_Entradas_ZIG!$F:$F,MATCH(I555,_Entradas_ZIG!$C:$C,0)),"—"))</f>
        <v/>
      </c>
      <c r="O555" s="92">
        <f>IF(AND(ISNUMBER(SEARCH("Espeto",N555)),ISNUMBER(SEARCH("Carin",N555))),"SIM","")</f>
        <v/>
      </c>
      <c r="P555" s="92">
        <f>IF(AND(ISNUMBER(SEARCH("Espeto",N555)),ISNUMBER(SEARCH("Lapa",N555))),"SIM","")</f>
        <v/>
      </c>
      <c r="Q555" s="92">
        <f>IF(AND(ISNUMBER(SEARCH("Espeto",N555)),ISNUMBER(SEARCH("Tatuapé",N555))),"SIM","")</f>
        <v/>
      </c>
      <c r="R555" s="92">
        <f>IF(AND(ISNUMBER(SEARCH("Espeto",N555)),ISNUMBER(SEARCH("Pavão",N555))),"SIM","")</f>
        <v/>
      </c>
      <c r="S555" s="92">
        <f>IF(AND(ISNUMBER(SEARCH("Espeto",N555)),ISNUMBER(SEARCH("Chac",N555))),"SIM","")</f>
        <v/>
      </c>
      <c r="T555" s="92">
        <f>IF(AND(ISNUMBER(SEARCH("Espeto",N555)),ISNUMBER(SEARCH("Madalena",N555))),"SIM","")</f>
        <v/>
      </c>
      <c r="U555" s="92">
        <f>IF(AND(ISNUMBER(SEARCH("Espeto",N555)),ISNUMBER(SEARCH("Mariana",N555))),"SIM","")</f>
        <v/>
      </c>
      <c r="V555" s="92">
        <f>IF(AND(ISNUMBER(SEARCH("Espeto",N555)),ISNUMBER(SEARCH("Perdizes",N555))),"SIM","")</f>
        <v/>
      </c>
      <c r="W555" s="92">
        <f>IF(AND(ISNUMBER(SEARCH("Espeto",N555)),ISNUMBER(SEARCH("Santana",N555))),"SIM","")</f>
        <v/>
      </c>
      <c r="X555" s="92">
        <f>IF(AND(ISNUMBER(SEARCH("Espeto",N555)),ISNUMBER(SEARCH("André",N555))),"SIM","")</f>
        <v/>
      </c>
      <c r="Y555" s="92">
        <f>IF(AND(ISNUMBER(SEARCH("Delivery",N555)),ISNUMBER(SEARCH("Carin",N555))),"SIM","")</f>
        <v/>
      </c>
      <c r="Z555" s="92">
        <f>IF(AND(ISNUMBER(SEARCH("Delivery",N555)),ISNUMBER(SEARCH("Lapa",N555))),"SIM","")</f>
        <v/>
      </c>
      <c r="AA555" s="92">
        <f>IF(AND(ISNUMBER(SEARCH("Delivery",N555)),ISNUMBER(SEARCH("Tatuapé",N555))),"SIM","")</f>
        <v/>
      </c>
      <c r="AB555" s="92">
        <f>IF(AND(ISNUMBER(SEARCH("Delivery",N555)),ISNUMBER(SEARCH("Pavão",N555))),"SIM","")</f>
        <v/>
      </c>
      <c r="AC555" s="92">
        <f>IF(AND(ISNUMBER(SEARCH("Delivery",N555)),ISNUMBER(SEARCH("Chac",N555))),"SIM","")</f>
        <v/>
      </c>
      <c r="AD555" s="92">
        <f>IF(AND(ISNUMBER(SEARCH("Delivery",N555)),ISNUMBER(SEARCH("Madalena",N555))),"SIM","")</f>
        <v/>
      </c>
      <c r="AE555" s="99">
        <f>IF(AND(ISNUMBER(SEARCH("Delivery",N555)),ISNUMBER(SEARCH("Mariana",N555))),"SIM","")</f>
        <v/>
      </c>
      <c r="AF555" s="99">
        <f>IF(AND(ISNUMBER(SEARCH("Delivery",N555)),ISNUMBER(SEARCH("Perdizes",N555))),"SIM","")</f>
        <v/>
      </c>
      <c r="AG555" s="99">
        <f>IF(AND(ISNUMBER(SEARCH("Delivery",N555)),ISNUMBER(SEARCH("Santana",N555))),"SIM","")</f>
        <v/>
      </c>
      <c r="AH555" s="99">
        <f>IF(AND(ISNUMBER(SEARCH("Delivery",N555)),ISNUMBER(SEARCH("André",N555))),"SIM","")</f>
        <v/>
      </c>
      <c r="AI555" s="99">
        <f>IF(ISNUMBER(SEARCH("Interlagos",N555)),"SIM","")</f>
        <v/>
      </c>
      <c r="AJ555" s="99">
        <f>IF(ISNUMBER(SEARCH("Quiosque",N555)),"SIM","")</f>
        <v/>
      </c>
      <c r="AK555" s="101" t="n"/>
    </row>
    <row r="556">
      <c r="A556" s="88" t="inlineStr">
        <is>
          <t>Protheus</t>
        </is>
      </c>
      <c r="B556" s="96" t="inlineStr">
        <is>
          <t>010072</t>
        </is>
      </c>
      <c r="C556" s="97">
        <f>IF(B556="—","—",IFERROR(VLOOKUP(B556,_Protheus_Cadastro!$A:$B,2,FALSE),"—"))</f>
        <v/>
      </c>
      <c r="D556" s="98">
        <f>IF(B556="—",IFERROR(INDEX(_ZIG_Cadastro!$D:$D,MATCH(H556,_ZIG_Cadastro!$A:$A,0)),"Produto"),IFERROR(VLOOKUP(B556,_Protheus_Cadastro!$A:$C,3,FALSE),"—"))</f>
        <v/>
      </c>
      <c r="E556" s="98">
        <f>IF(B556="—","—",IFERROR(VLOOKUP(B556,_Protheus_Cadastro!$A:$D,4,FALSE),"—"))</f>
        <v/>
      </c>
      <c r="F556" s="98">
        <f>IF(ISERROR(VLOOKUP(B556,'Estrutura Protheus'!A:A,1,FALSE)),"Não","Sim")</f>
        <v/>
      </c>
      <c r="G556" s="99">
        <f>IFERROR(INDEX(_Protheus_Cadastro!$H:$H,MATCH(B556,_Protheus_Cadastro!$A:$A,0)),"—")</f>
        <v/>
      </c>
      <c r="H556" s="211">
        <f>IFERROR(INDEX(_ZIG_Precos!$D:$D,MATCH(I556,_ZIG_Precos!$F:$F,0)),"—")</f>
        <v/>
      </c>
      <c r="I556" s="103">
        <f>IFERROR(VLOOKUP(B556,_Protheus_Cadastro!$A:$I,9,FALSE),"—")</f>
        <v/>
      </c>
      <c r="J556" s="101">
        <f>IFERROR(INDEX(_ZIG_Cadastro!$B:$B,MATCH(I556,_ZIG_Cadastro!$A:$A,0)),IFERROR(INDEX(_Entradas_ZIG!$B:$B,MATCH(I556,_Entradas_ZIG!$C:$C,0)),"—"))</f>
        <v/>
      </c>
      <c r="K556" s="101">
        <f>IFERROR(INDEX(_ZIG_Cadastro!$C:$C,MATCH(I556,_ZIG_Cadastro!$A:$A,0)),IFERROR(INDEX(_Entradas_ZIG!$D:$D,MATCH(I556,_Entradas_ZIG!$C:$C,0)),"—"))</f>
        <v/>
      </c>
      <c r="L556" s="99">
        <f>IF(I556="","Sem SKU ZIG",IF(I556="—","Sem SKU ZIG",IF(NOT(ISERROR(MATCH(I556,_ZIG_Cadastro!$A:$A,0))),IF(EXACT(UPPER(TRIM(C556)),UPPER(TRIM(INDEX(_ZIG_Cadastro!$B:$B,MATCH(I556,_ZIG_Cadastro!$A:$A,0))))),"OK","Atencao - Nome diverge"),IF(NOT(ISERROR(MATCH(I556,_Entradas_ZIG!$C:$C,0))),"OK","Erro - SKU nao encontrado"))))</f>
        <v/>
      </c>
      <c r="M556" s="99">
        <f>IFERROR(INDEX(_ZIG_Cadastro!$G:$G,MATCH(I556,_ZIG_Cadastro!$A:$A,0)),IF(NOT(ISERROR(MATCH(I556,_Entradas_ZIG!$C:$C,0))),"Ativo","—"))</f>
        <v/>
      </c>
      <c r="N556" s="102">
        <f>IFERROR(INDEX(_ZIG_Cadastro!$E:$E,MATCH(I556,_ZIG_Cadastro!$A:$A,0)),IFERROR(INDEX(_Entradas_ZIG!$F:$F,MATCH(I556,_Entradas_ZIG!$C:$C,0)),"—"))</f>
        <v/>
      </c>
      <c r="O556" s="99">
        <f>IF(AND(ISNUMBER(SEARCH("Espeto",N556)),ISNUMBER(SEARCH("Carin",N556))),"SIM","")</f>
        <v/>
      </c>
      <c r="P556" s="99">
        <f>IF(AND(ISNUMBER(SEARCH("Espeto",N556)),ISNUMBER(SEARCH("Lapa",N556))),"SIM","")</f>
        <v/>
      </c>
      <c r="Q556" s="99">
        <f>IF(AND(ISNUMBER(SEARCH("Espeto",N556)),ISNUMBER(SEARCH("Tatuapé",N556))),"SIM","")</f>
        <v/>
      </c>
      <c r="R556" s="99">
        <f>IF(AND(ISNUMBER(SEARCH("Espeto",N556)),ISNUMBER(SEARCH("Pavão",N556))),"SIM","")</f>
        <v/>
      </c>
      <c r="S556" s="99">
        <f>IF(AND(ISNUMBER(SEARCH("Espeto",N556)),ISNUMBER(SEARCH("Chac",N556))),"SIM","")</f>
        <v/>
      </c>
      <c r="T556" s="99">
        <f>IF(AND(ISNUMBER(SEARCH("Espeto",N556)),ISNUMBER(SEARCH("Madalena",N556))),"SIM","")</f>
        <v/>
      </c>
      <c r="U556" s="99">
        <f>IF(AND(ISNUMBER(SEARCH("Espeto",N556)),ISNUMBER(SEARCH("Mariana",N556))),"SIM","")</f>
        <v/>
      </c>
      <c r="V556" s="99">
        <f>IF(AND(ISNUMBER(SEARCH("Espeto",N556)),ISNUMBER(SEARCH("Perdizes",N556))),"SIM","")</f>
        <v/>
      </c>
      <c r="W556" s="99">
        <f>IF(AND(ISNUMBER(SEARCH("Espeto",N556)),ISNUMBER(SEARCH("Santana",N556))),"SIM","")</f>
        <v/>
      </c>
      <c r="X556" s="99">
        <f>IF(AND(ISNUMBER(SEARCH("Espeto",N556)),ISNUMBER(SEARCH("André",N556))),"SIM","")</f>
        <v/>
      </c>
      <c r="Y556" s="99">
        <f>IF(AND(ISNUMBER(SEARCH("Delivery",N556)),ISNUMBER(SEARCH("Carin",N556))),"SIM","")</f>
        <v/>
      </c>
      <c r="Z556" s="99">
        <f>IF(AND(ISNUMBER(SEARCH("Delivery",N556)),ISNUMBER(SEARCH("Lapa",N556))),"SIM","")</f>
        <v/>
      </c>
      <c r="AA556" s="99">
        <f>IF(AND(ISNUMBER(SEARCH("Delivery",N556)),ISNUMBER(SEARCH("Tatuapé",N556))),"SIM","")</f>
        <v/>
      </c>
      <c r="AB556" s="99">
        <f>IF(AND(ISNUMBER(SEARCH("Delivery",N556)),ISNUMBER(SEARCH("Pavão",N556))),"SIM","")</f>
        <v/>
      </c>
      <c r="AC556" s="99">
        <f>IF(AND(ISNUMBER(SEARCH("Delivery",N556)),ISNUMBER(SEARCH("Chac",N556))),"SIM","")</f>
        <v/>
      </c>
      <c r="AD556" s="99">
        <f>IF(AND(ISNUMBER(SEARCH("Delivery",N556)),ISNUMBER(SEARCH("Madalena",N556))),"SIM","")</f>
        <v/>
      </c>
      <c r="AE556" s="92">
        <f>IF(AND(ISNUMBER(SEARCH("Delivery",N556)),ISNUMBER(SEARCH("Mariana",N556))),"SIM","")</f>
        <v/>
      </c>
      <c r="AF556" s="92">
        <f>IF(AND(ISNUMBER(SEARCH("Delivery",N556)),ISNUMBER(SEARCH("Perdizes",N556))),"SIM","")</f>
        <v/>
      </c>
      <c r="AG556" s="92">
        <f>IF(AND(ISNUMBER(SEARCH("Delivery",N556)),ISNUMBER(SEARCH("Santana",N556))),"SIM","")</f>
        <v/>
      </c>
      <c r="AH556" s="92">
        <f>IF(AND(ISNUMBER(SEARCH("Delivery",N556)),ISNUMBER(SEARCH("André",N556))),"SIM","")</f>
        <v/>
      </c>
      <c r="AI556" s="92">
        <f>IF(ISNUMBER(SEARCH("Interlagos",N556)),"SIM","")</f>
        <v/>
      </c>
      <c r="AJ556" s="92">
        <f>IF(ISNUMBER(SEARCH("Quiosque",N556)),"SIM","")</f>
        <v/>
      </c>
      <c r="AK556" s="93" t="n"/>
    </row>
    <row r="557">
      <c r="A557" s="88" t="inlineStr">
        <is>
          <t>Protheus</t>
        </is>
      </c>
      <c r="B557" s="89" t="inlineStr">
        <is>
          <t>009839</t>
        </is>
      </c>
      <c r="C557" s="90">
        <f>IF(B557="—","—",IFERROR(VLOOKUP(B557,_Protheus_Cadastro!$A:$B,2,FALSE),"—"))</f>
        <v/>
      </c>
      <c r="D557" s="91">
        <f>IF(B557="—",IFERROR(INDEX(_ZIG_Cadastro!$D:$D,MATCH(H557,_ZIG_Cadastro!$A:$A,0)),"Produto"),IFERROR(VLOOKUP(B557,_Protheus_Cadastro!$A:$C,3,FALSE),"—"))</f>
        <v/>
      </c>
      <c r="E557" s="91">
        <f>IF(B557="—","—",IFERROR(VLOOKUP(B557,_Protheus_Cadastro!$A:$D,4,FALSE),"—"))</f>
        <v/>
      </c>
      <c r="F557" s="91">
        <f>IF(ISERROR(VLOOKUP(B557,'Estrutura Protheus'!A:A,1,FALSE)),"Não","Sim")</f>
        <v/>
      </c>
      <c r="G557" s="92">
        <f>IFERROR(INDEX(_Protheus_Cadastro!$H:$H,MATCH(B557,_Protheus_Cadastro!$A:$A,0)),"—")</f>
        <v/>
      </c>
      <c r="H557" s="210">
        <f>IFERROR(INDEX(_ZIG_Precos!$D:$D,MATCH(I557,_ZIG_Precos!$F:$F,0)),"—")</f>
        <v/>
      </c>
      <c r="I557" s="95">
        <f>IFERROR(VLOOKUP(B557,_Protheus_Cadastro!$A:$I,9,FALSE),"—")</f>
        <v/>
      </c>
      <c r="J557" s="93">
        <f>IFERROR(INDEX(_ZIG_Cadastro!$B:$B,MATCH(I557,_ZIG_Cadastro!$A:$A,0)),IFERROR(INDEX(_Entradas_ZIG!$B:$B,MATCH(I557,_Entradas_ZIG!$C:$C,0)),"—"))</f>
        <v/>
      </c>
      <c r="K557" s="93">
        <f>IFERROR(INDEX(_ZIG_Cadastro!$C:$C,MATCH(I557,_ZIG_Cadastro!$A:$A,0)),IFERROR(INDEX(_Entradas_ZIG!$D:$D,MATCH(I557,_Entradas_ZIG!$C:$C,0)),"—"))</f>
        <v/>
      </c>
      <c r="L557" s="92">
        <f>IF(I557="","Sem SKU ZIG",IF(I557="—","Sem SKU ZIG",IF(NOT(ISERROR(MATCH(I557,_ZIG_Cadastro!$A:$A,0))),IF(EXACT(UPPER(TRIM(C557)),UPPER(TRIM(INDEX(_ZIG_Cadastro!$B:$B,MATCH(I557,_ZIG_Cadastro!$A:$A,0))))),"OK","Atencao - Nome diverge"),IF(NOT(ISERROR(MATCH(I557,_Entradas_ZIG!$C:$C,0))),"OK","Erro - SKU nao encontrado"))))</f>
        <v/>
      </c>
      <c r="M557" s="92">
        <f>IFERROR(INDEX(_ZIG_Cadastro!$G:$G,MATCH(I557,_ZIG_Cadastro!$A:$A,0)),IF(NOT(ISERROR(MATCH(I557,_Entradas_ZIG!$C:$C,0))),"Ativo","—"))</f>
        <v/>
      </c>
      <c r="N557" s="94">
        <f>IFERROR(INDEX(_ZIG_Cadastro!$E:$E,MATCH(I557,_ZIG_Cadastro!$A:$A,0)),IFERROR(INDEX(_Entradas_ZIG!$F:$F,MATCH(I557,_Entradas_ZIG!$C:$C,0)),"—"))</f>
        <v/>
      </c>
      <c r="O557" s="92">
        <f>IF(AND(ISNUMBER(SEARCH("Espeto",N557)),ISNUMBER(SEARCH("Carin",N557))),"SIM","")</f>
        <v/>
      </c>
      <c r="P557" s="92">
        <f>IF(AND(ISNUMBER(SEARCH("Espeto",N557)),ISNUMBER(SEARCH("Lapa",N557))),"SIM","")</f>
        <v/>
      </c>
      <c r="Q557" s="92">
        <f>IF(AND(ISNUMBER(SEARCH("Espeto",N557)),ISNUMBER(SEARCH("Tatuapé",N557))),"SIM","")</f>
        <v/>
      </c>
      <c r="R557" s="92">
        <f>IF(AND(ISNUMBER(SEARCH("Espeto",N557)),ISNUMBER(SEARCH("Pavão",N557))),"SIM","")</f>
        <v/>
      </c>
      <c r="S557" s="92">
        <f>IF(AND(ISNUMBER(SEARCH("Espeto",N557)),ISNUMBER(SEARCH("Chac",N557))),"SIM","")</f>
        <v/>
      </c>
      <c r="T557" s="92">
        <f>IF(AND(ISNUMBER(SEARCH("Espeto",N557)),ISNUMBER(SEARCH("Madalena",N557))),"SIM","")</f>
        <v/>
      </c>
      <c r="U557" s="92">
        <f>IF(AND(ISNUMBER(SEARCH("Espeto",N557)),ISNUMBER(SEARCH("Mariana",N557))),"SIM","")</f>
        <v/>
      </c>
      <c r="V557" s="92">
        <f>IF(AND(ISNUMBER(SEARCH("Espeto",N557)),ISNUMBER(SEARCH("Perdizes",N557))),"SIM","")</f>
        <v/>
      </c>
      <c r="W557" s="92">
        <f>IF(AND(ISNUMBER(SEARCH("Espeto",N557)),ISNUMBER(SEARCH("Santana",N557))),"SIM","")</f>
        <v/>
      </c>
      <c r="X557" s="92">
        <f>IF(AND(ISNUMBER(SEARCH("Espeto",N557)),ISNUMBER(SEARCH("André",N557))),"SIM","")</f>
        <v/>
      </c>
      <c r="Y557" s="92">
        <f>IF(AND(ISNUMBER(SEARCH("Delivery",N557)),ISNUMBER(SEARCH("Carin",N557))),"SIM","")</f>
        <v/>
      </c>
      <c r="Z557" s="92">
        <f>IF(AND(ISNUMBER(SEARCH("Delivery",N557)),ISNUMBER(SEARCH("Lapa",N557))),"SIM","")</f>
        <v/>
      </c>
      <c r="AA557" s="92">
        <f>IF(AND(ISNUMBER(SEARCH("Delivery",N557)),ISNUMBER(SEARCH("Tatuapé",N557))),"SIM","")</f>
        <v/>
      </c>
      <c r="AB557" s="92">
        <f>IF(AND(ISNUMBER(SEARCH("Delivery",N557)),ISNUMBER(SEARCH("Pavão",N557))),"SIM","")</f>
        <v/>
      </c>
      <c r="AC557" s="92">
        <f>IF(AND(ISNUMBER(SEARCH("Delivery",N557)),ISNUMBER(SEARCH("Chac",N557))),"SIM","")</f>
        <v/>
      </c>
      <c r="AD557" s="92">
        <f>IF(AND(ISNUMBER(SEARCH("Delivery",N557)),ISNUMBER(SEARCH("Madalena",N557))),"SIM","")</f>
        <v/>
      </c>
      <c r="AE557" s="99">
        <f>IF(AND(ISNUMBER(SEARCH("Delivery",N557)),ISNUMBER(SEARCH("Mariana",N557))),"SIM","")</f>
        <v/>
      </c>
      <c r="AF557" s="99">
        <f>IF(AND(ISNUMBER(SEARCH("Delivery",N557)),ISNUMBER(SEARCH("Perdizes",N557))),"SIM","")</f>
        <v/>
      </c>
      <c r="AG557" s="99">
        <f>IF(AND(ISNUMBER(SEARCH("Delivery",N557)),ISNUMBER(SEARCH("Santana",N557))),"SIM","")</f>
        <v/>
      </c>
      <c r="AH557" s="99">
        <f>IF(AND(ISNUMBER(SEARCH("Delivery",N557)),ISNUMBER(SEARCH("André",N557))),"SIM","")</f>
        <v/>
      </c>
      <c r="AI557" s="99">
        <f>IF(ISNUMBER(SEARCH("Interlagos",N557)),"SIM","")</f>
        <v/>
      </c>
      <c r="AJ557" s="99">
        <f>IF(ISNUMBER(SEARCH("Quiosque",N557)),"SIM","")</f>
        <v/>
      </c>
      <c r="AK557" s="101" t="n"/>
    </row>
    <row r="558">
      <c r="A558" s="88" t="inlineStr">
        <is>
          <t>Protheus</t>
        </is>
      </c>
      <c r="B558" s="96" t="inlineStr">
        <is>
          <t>001470</t>
        </is>
      </c>
      <c r="C558" s="97">
        <f>IF(B558="—","—",IFERROR(VLOOKUP(B558,_Protheus_Cadastro!$A:$B,2,FALSE),"—"))</f>
        <v/>
      </c>
      <c r="D558" s="98">
        <f>IF(B558="—",IFERROR(INDEX(_ZIG_Cadastro!$D:$D,MATCH(H558,_ZIG_Cadastro!$A:$A,0)),"Produto"),IFERROR(VLOOKUP(B558,_Protheus_Cadastro!$A:$C,3,FALSE),"—"))</f>
        <v/>
      </c>
      <c r="E558" s="98">
        <f>IF(B558="—","—",IFERROR(VLOOKUP(B558,_Protheus_Cadastro!$A:$D,4,FALSE),"—"))</f>
        <v/>
      </c>
      <c r="F558" s="98">
        <f>IF(ISERROR(VLOOKUP(B558,'Estrutura Protheus'!A:A,1,FALSE)),"Não","Sim")</f>
        <v/>
      </c>
      <c r="G558" s="99">
        <f>IFERROR(INDEX(_Protheus_Cadastro!$H:$H,MATCH(B558,_Protheus_Cadastro!$A:$A,0)),"—")</f>
        <v/>
      </c>
      <c r="H558" s="211">
        <f>IFERROR(INDEX(_ZIG_Precos!$D:$D,MATCH(I558,_ZIG_Precos!$F:$F,0)),"—")</f>
        <v/>
      </c>
      <c r="I558" s="103">
        <f>IFERROR(VLOOKUP(B558,_Protheus_Cadastro!$A:$I,9,FALSE),"—")</f>
        <v/>
      </c>
      <c r="J558" s="101">
        <f>IFERROR(INDEX(_ZIG_Cadastro!$B:$B,MATCH(I558,_ZIG_Cadastro!$A:$A,0)),IFERROR(INDEX(_Entradas_ZIG!$B:$B,MATCH(I558,_Entradas_ZIG!$C:$C,0)),"—"))</f>
        <v/>
      </c>
      <c r="K558" s="101">
        <f>IFERROR(INDEX(_ZIG_Cadastro!$C:$C,MATCH(I558,_ZIG_Cadastro!$A:$A,0)),IFERROR(INDEX(_Entradas_ZIG!$D:$D,MATCH(I558,_Entradas_ZIG!$C:$C,0)),"—"))</f>
        <v/>
      </c>
      <c r="L558" s="99">
        <f>IF(I558="","Sem SKU ZIG",IF(I558="—","Sem SKU ZIG",IF(NOT(ISERROR(MATCH(I558,_ZIG_Cadastro!$A:$A,0))),IF(EXACT(UPPER(TRIM(C558)),UPPER(TRIM(INDEX(_ZIG_Cadastro!$B:$B,MATCH(I558,_ZIG_Cadastro!$A:$A,0))))),"OK","Atencao - Nome diverge"),IF(NOT(ISERROR(MATCH(I558,_Entradas_ZIG!$C:$C,0))),"OK","Erro - SKU nao encontrado"))))</f>
        <v/>
      </c>
      <c r="M558" s="99">
        <f>IFERROR(INDEX(_ZIG_Cadastro!$G:$G,MATCH(I558,_ZIG_Cadastro!$A:$A,0)),IF(NOT(ISERROR(MATCH(I558,_Entradas_ZIG!$C:$C,0))),"Ativo","—"))</f>
        <v/>
      </c>
      <c r="N558" s="102">
        <f>IFERROR(INDEX(_ZIG_Cadastro!$E:$E,MATCH(I558,_ZIG_Cadastro!$A:$A,0)),IFERROR(INDEX(_Entradas_ZIG!$F:$F,MATCH(I558,_Entradas_ZIG!$C:$C,0)),"—"))</f>
        <v/>
      </c>
      <c r="O558" s="99">
        <f>IF(AND(ISNUMBER(SEARCH("Espeto",N558)),ISNUMBER(SEARCH("Carin",N558))),"SIM","")</f>
        <v/>
      </c>
      <c r="P558" s="99">
        <f>IF(AND(ISNUMBER(SEARCH("Espeto",N558)),ISNUMBER(SEARCH("Lapa",N558))),"SIM","")</f>
        <v/>
      </c>
      <c r="Q558" s="99">
        <f>IF(AND(ISNUMBER(SEARCH("Espeto",N558)),ISNUMBER(SEARCH("Tatuapé",N558))),"SIM","")</f>
        <v/>
      </c>
      <c r="R558" s="99">
        <f>IF(AND(ISNUMBER(SEARCH("Espeto",N558)),ISNUMBER(SEARCH("Pavão",N558))),"SIM","")</f>
        <v/>
      </c>
      <c r="S558" s="99">
        <f>IF(AND(ISNUMBER(SEARCH("Espeto",N558)),ISNUMBER(SEARCH("Chac",N558))),"SIM","")</f>
        <v/>
      </c>
      <c r="T558" s="99">
        <f>IF(AND(ISNUMBER(SEARCH("Espeto",N558)),ISNUMBER(SEARCH("Madalena",N558))),"SIM","")</f>
        <v/>
      </c>
      <c r="U558" s="99">
        <f>IF(AND(ISNUMBER(SEARCH("Espeto",N558)),ISNUMBER(SEARCH("Mariana",N558))),"SIM","")</f>
        <v/>
      </c>
      <c r="V558" s="99">
        <f>IF(AND(ISNUMBER(SEARCH("Espeto",N558)),ISNUMBER(SEARCH("Perdizes",N558))),"SIM","")</f>
        <v/>
      </c>
      <c r="W558" s="99">
        <f>IF(AND(ISNUMBER(SEARCH("Espeto",N558)),ISNUMBER(SEARCH("Santana",N558))),"SIM","")</f>
        <v/>
      </c>
      <c r="X558" s="99">
        <f>IF(AND(ISNUMBER(SEARCH("Espeto",N558)),ISNUMBER(SEARCH("André",N558))),"SIM","")</f>
        <v/>
      </c>
      <c r="Y558" s="99">
        <f>IF(AND(ISNUMBER(SEARCH("Delivery",N558)),ISNUMBER(SEARCH("Carin",N558))),"SIM","")</f>
        <v/>
      </c>
      <c r="Z558" s="99">
        <f>IF(AND(ISNUMBER(SEARCH("Delivery",N558)),ISNUMBER(SEARCH("Lapa",N558))),"SIM","")</f>
        <v/>
      </c>
      <c r="AA558" s="99">
        <f>IF(AND(ISNUMBER(SEARCH("Delivery",N558)),ISNUMBER(SEARCH("Tatuapé",N558))),"SIM","")</f>
        <v/>
      </c>
      <c r="AB558" s="99">
        <f>IF(AND(ISNUMBER(SEARCH("Delivery",N558)),ISNUMBER(SEARCH("Pavão",N558))),"SIM","")</f>
        <v/>
      </c>
      <c r="AC558" s="99">
        <f>IF(AND(ISNUMBER(SEARCH("Delivery",N558)),ISNUMBER(SEARCH("Chac",N558))),"SIM","")</f>
        <v/>
      </c>
      <c r="AD558" s="99">
        <f>IF(AND(ISNUMBER(SEARCH("Delivery",N558)),ISNUMBER(SEARCH("Madalena",N558))),"SIM","")</f>
        <v/>
      </c>
      <c r="AE558" s="92">
        <f>IF(AND(ISNUMBER(SEARCH("Delivery",N558)),ISNUMBER(SEARCH("Mariana",N558))),"SIM","")</f>
        <v/>
      </c>
      <c r="AF558" s="92">
        <f>IF(AND(ISNUMBER(SEARCH("Delivery",N558)),ISNUMBER(SEARCH("Perdizes",N558))),"SIM","")</f>
        <v/>
      </c>
      <c r="AG558" s="92">
        <f>IF(AND(ISNUMBER(SEARCH("Delivery",N558)),ISNUMBER(SEARCH("Santana",N558))),"SIM","")</f>
        <v/>
      </c>
      <c r="AH558" s="92">
        <f>IF(AND(ISNUMBER(SEARCH("Delivery",N558)),ISNUMBER(SEARCH("André",N558))),"SIM","")</f>
        <v/>
      </c>
      <c r="AI558" s="92">
        <f>IF(ISNUMBER(SEARCH("Interlagos",N558)),"SIM","")</f>
        <v/>
      </c>
      <c r="AJ558" s="92">
        <f>IF(ISNUMBER(SEARCH("Quiosque",N558)),"SIM","")</f>
        <v/>
      </c>
      <c r="AK558" s="93" t="n"/>
    </row>
    <row r="559">
      <c r="A559" s="88" t="inlineStr">
        <is>
          <t>Protheus</t>
        </is>
      </c>
      <c r="B559" s="89" t="inlineStr">
        <is>
          <t>002055</t>
        </is>
      </c>
      <c r="C559" s="90">
        <f>IF(B559="—","—",IFERROR(VLOOKUP(B559,_Protheus_Cadastro!$A:$B,2,FALSE),"—"))</f>
        <v/>
      </c>
      <c r="D559" s="91">
        <f>IF(B559="—",IFERROR(INDEX(_ZIG_Cadastro!$D:$D,MATCH(H559,_ZIG_Cadastro!$A:$A,0)),"Produto"),IFERROR(VLOOKUP(B559,_Protheus_Cadastro!$A:$C,3,FALSE),"—"))</f>
        <v/>
      </c>
      <c r="E559" s="91">
        <f>IF(B559="—","—",IFERROR(VLOOKUP(B559,_Protheus_Cadastro!$A:$D,4,FALSE),"—"))</f>
        <v/>
      </c>
      <c r="F559" s="91">
        <f>IF(ISERROR(VLOOKUP(B559,'Estrutura Protheus'!A:A,1,FALSE)),"Não","Sim")</f>
        <v/>
      </c>
      <c r="G559" s="92">
        <f>IFERROR(INDEX(_Protheus_Cadastro!$H:$H,MATCH(B559,_Protheus_Cadastro!$A:$A,0)),"—")</f>
        <v/>
      </c>
      <c r="H559" s="210">
        <f>IFERROR(INDEX(_ZIG_Precos!$D:$D,MATCH(I559,_ZIG_Precos!$F:$F,0)),"—")</f>
        <v/>
      </c>
      <c r="I559" s="95">
        <f>IFERROR(VLOOKUP(B559,_Protheus_Cadastro!$A:$I,9,FALSE),"—")</f>
        <v/>
      </c>
      <c r="J559" s="93">
        <f>IFERROR(INDEX(_ZIG_Cadastro!$B:$B,MATCH(I559,_ZIG_Cadastro!$A:$A,0)),IFERROR(INDEX(_Entradas_ZIG!$B:$B,MATCH(I559,_Entradas_ZIG!$C:$C,0)),"—"))</f>
        <v/>
      </c>
      <c r="K559" s="93">
        <f>IFERROR(INDEX(_ZIG_Cadastro!$C:$C,MATCH(I559,_ZIG_Cadastro!$A:$A,0)),IFERROR(INDEX(_Entradas_ZIG!$D:$D,MATCH(I559,_Entradas_ZIG!$C:$C,0)),"—"))</f>
        <v/>
      </c>
      <c r="L559" s="92">
        <f>IF(I559="","Sem SKU ZIG",IF(I559="—","Sem SKU ZIG",IF(NOT(ISERROR(MATCH(I559,_ZIG_Cadastro!$A:$A,0))),IF(EXACT(UPPER(TRIM(C559)),UPPER(TRIM(INDEX(_ZIG_Cadastro!$B:$B,MATCH(I559,_ZIG_Cadastro!$A:$A,0))))),"OK","Atencao - Nome diverge"),IF(NOT(ISERROR(MATCH(I559,_Entradas_ZIG!$C:$C,0))),"OK","Erro - SKU nao encontrado"))))</f>
        <v/>
      </c>
      <c r="M559" s="92">
        <f>IFERROR(INDEX(_ZIG_Cadastro!$G:$G,MATCH(I559,_ZIG_Cadastro!$A:$A,0)),IF(NOT(ISERROR(MATCH(I559,_Entradas_ZIG!$C:$C,0))),"Ativo","—"))</f>
        <v/>
      </c>
      <c r="N559" s="94">
        <f>IFERROR(INDEX(_ZIG_Cadastro!$E:$E,MATCH(I559,_ZIG_Cadastro!$A:$A,0)),IFERROR(INDEX(_Entradas_ZIG!$F:$F,MATCH(I559,_Entradas_ZIG!$C:$C,0)),"—"))</f>
        <v/>
      </c>
      <c r="O559" s="92">
        <f>IF(AND(ISNUMBER(SEARCH("Espeto",N559)),ISNUMBER(SEARCH("Carin",N559))),"SIM","")</f>
        <v/>
      </c>
      <c r="P559" s="92">
        <f>IF(AND(ISNUMBER(SEARCH("Espeto",N559)),ISNUMBER(SEARCH("Lapa",N559))),"SIM","")</f>
        <v/>
      </c>
      <c r="Q559" s="92">
        <f>IF(AND(ISNUMBER(SEARCH("Espeto",N559)),ISNUMBER(SEARCH("Tatuapé",N559))),"SIM","")</f>
        <v/>
      </c>
      <c r="R559" s="92">
        <f>IF(AND(ISNUMBER(SEARCH("Espeto",N559)),ISNUMBER(SEARCH("Pavão",N559))),"SIM","")</f>
        <v/>
      </c>
      <c r="S559" s="92">
        <f>IF(AND(ISNUMBER(SEARCH("Espeto",N559)),ISNUMBER(SEARCH("Chac",N559))),"SIM","")</f>
        <v/>
      </c>
      <c r="T559" s="92">
        <f>IF(AND(ISNUMBER(SEARCH("Espeto",N559)),ISNUMBER(SEARCH("Madalena",N559))),"SIM","")</f>
        <v/>
      </c>
      <c r="U559" s="92">
        <f>IF(AND(ISNUMBER(SEARCH("Espeto",N559)),ISNUMBER(SEARCH("Mariana",N559))),"SIM","")</f>
        <v/>
      </c>
      <c r="V559" s="92">
        <f>IF(AND(ISNUMBER(SEARCH("Espeto",N559)),ISNUMBER(SEARCH("Perdizes",N559))),"SIM","")</f>
        <v/>
      </c>
      <c r="W559" s="92">
        <f>IF(AND(ISNUMBER(SEARCH("Espeto",N559)),ISNUMBER(SEARCH("Santana",N559))),"SIM","")</f>
        <v/>
      </c>
      <c r="X559" s="92">
        <f>IF(AND(ISNUMBER(SEARCH("Espeto",N559)),ISNUMBER(SEARCH("André",N559))),"SIM","")</f>
        <v/>
      </c>
      <c r="Y559" s="92">
        <f>IF(AND(ISNUMBER(SEARCH("Delivery",N559)),ISNUMBER(SEARCH("Carin",N559))),"SIM","")</f>
        <v/>
      </c>
      <c r="Z559" s="92">
        <f>IF(AND(ISNUMBER(SEARCH("Delivery",N559)),ISNUMBER(SEARCH("Lapa",N559))),"SIM","")</f>
        <v/>
      </c>
      <c r="AA559" s="92">
        <f>IF(AND(ISNUMBER(SEARCH("Delivery",N559)),ISNUMBER(SEARCH("Tatuapé",N559))),"SIM","")</f>
        <v/>
      </c>
      <c r="AB559" s="92">
        <f>IF(AND(ISNUMBER(SEARCH("Delivery",N559)),ISNUMBER(SEARCH("Pavão",N559))),"SIM","")</f>
        <v/>
      </c>
      <c r="AC559" s="92">
        <f>IF(AND(ISNUMBER(SEARCH("Delivery",N559)),ISNUMBER(SEARCH("Chac",N559))),"SIM","")</f>
        <v/>
      </c>
      <c r="AD559" s="92">
        <f>IF(AND(ISNUMBER(SEARCH("Delivery",N559)),ISNUMBER(SEARCH("Madalena",N559))),"SIM","")</f>
        <v/>
      </c>
      <c r="AE559" s="99">
        <f>IF(AND(ISNUMBER(SEARCH("Delivery",N559)),ISNUMBER(SEARCH("Mariana",N559))),"SIM","")</f>
        <v/>
      </c>
      <c r="AF559" s="99">
        <f>IF(AND(ISNUMBER(SEARCH("Delivery",N559)),ISNUMBER(SEARCH("Perdizes",N559))),"SIM","")</f>
        <v/>
      </c>
      <c r="AG559" s="99">
        <f>IF(AND(ISNUMBER(SEARCH("Delivery",N559)),ISNUMBER(SEARCH("Santana",N559))),"SIM","")</f>
        <v/>
      </c>
      <c r="AH559" s="99">
        <f>IF(AND(ISNUMBER(SEARCH("Delivery",N559)),ISNUMBER(SEARCH("André",N559))),"SIM","")</f>
        <v/>
      </c>
      <c r="AI559" s="99">
        <f>IF(ISNUMBER(SEARCH("Interlagos",N559)),"SIM","")</f>
        <v/>
      </c>
      <c r="AJ559" s="99">
        <f>IF(ISNUMBER(SEARCH("Quiosque",N559)),"SIM","")</f>
        <v/>
      </c>
      <c r="AK559" s="101" t="n"/>
    </row>
    <row r="560">
      <c r="A560" s="88" t="inlineStr">
        <is>
          <t>Protheus</t>
        </is>
      </c>
      <c r="B560" s="96" t="inlineStr">
        <is>
          <t>001901</t>
        </is>
      </c>
      <c r="C560" s="97">
        <f>IF(B560="—","—",IFERROR(VLOOKUP(B560,_Protheus_Cadastro!$A:$B,2,FALSE),"—"))</f>
        <v/>
      </c>
      <c r="D560" s="98">
        <f>IF(B560="—",IFERROR(INDEX(_ZIG_Cadastro!$D:$D,MATCH(H560,_ZIG_Cadastro!$A:$A,0)),"Produto"),IFERROR(VLOOKUP(B560,_Protheus_Cadastro!$A:$C,3,FALSE),"—"))</f>
        <v/>
      </c>
      <c r="E560" s="98">
        <f>IF(B560="—","—",IFERROR(VLOOKUP(B560,_Protheus_Cadastro!$A:$D,4,FALSE),"—"))</f>
        <v/>
      </c>
      <c r="F560" s="98">
        <f>IF(ISERROR(VLOOKUP(B560,'Estrutura Protheus'!A:A,1,FALSE)),"Não","Sim")</f>
        <v/>
      </c>
      <c r="G560" s="99">
        <f>IFERROR(INDEX(_Protheus_Cadastro!$H:$H,MATCH(B560,_Protheus_Cadastro!$A:$A,0)),"—")</f>
        <v/>
      </c>
      <c r="H560" s="211">
        <f>IFERROR(INDEX(_ZIG_Precos!$D:$D,MATCH(I560,_ZIG_Precos!$F:$F,0)),"—")</f>
        <v/>
      </c>
      <c r="I560" s="103">
        <f>IFERROR(VLOOKUP(B560,_Protheus_Cadastro!$A:$I,9,FALSE),"—")</f>
        <v/>
      </c>
      <c r="J560" s="101">
        <f>IFERROR(INDEX(_ZIG_Cadastro!$B:$B,MATCH(I560,_ZIG_Cadastro!$A:$A,0)),IFERROR(INDEX(_Entradas_ZIG!$B:$B,MATCH(I560,_Entradas_ZIG!$C:$C,0)),"—"))</f>
        <v/>
      </c>
      <c r="K560" s="101">
        <f>IFERROR(INDEX(_ZIG_Cadastro!$C:$C,MATCH(I560,_ZIG_Cadastro!$A:$A,0)),IFERROR(INDEX(_Entradas_ZIG!$D:$D,MATCH(I560,_Entradas_ZIG!$C:$C,0)),"—"))</f>
        <v/>
      </c>
      <c r="L560" s="99">
        <f>IF(I560="","Sem SKU ZIG",IF(I560="—","Sem SKU ZIG",IF(NOT(ISERROR(MATCH(I560,_ZIG_Cadastro!$A:$A,0))),IF(EXACT(UPPER(TRIM(C560)),UPPER(TRIM(INDEX(_ZIG_Cadastro!$B:$B,MATCH(I560,_ZIG_Cadastro!$A:$A,0))))),"OK","Atencao - Nome diverge"),IF(NOT(ISERROR(MATCH(I560,_Entradas_ZIG!$C:$C,0))),"OK","Erro - SKU nao encontrado"))))</f>
        <v/>
      </c>
      <c r="M560" s="99">
        <f>IFERROR(INDEX(_ZIG_Cadastro!$G:$G,MATCH(I560,_ZIG_Cadastro!$A:$A,0)),IF(NOT(ISERROR(MATCH(I560,_Entradas_ZIG!$C:$C,0))),"Ativo","—"))</f>
        <v/>
      </c>
      <c r="N560" s="102">
        <f>IFERROR(INDEX(_ZIG_Cadastro!$E:$E,MATCH(I560,_ZIG_Cadastro!$A:$A,0)),IFERROR(INDEX(_Entradas_ZIG!$F:$F,MATCH(I560,_Entradas_ZIG!$C:$C,0)),"—"))</f>
        <v/>
      </c>
      <c r="O560" s="99">
        <f>IF(AND(ISNUMBER(SEARCH("Espeto",N560)),ISNUMBER(SEARCH("Carin",N560))),"SIM","")</f>
        <v/>
      </c>
      <c r="P560" s="99">
        <f>IF(AND(ISNUMBER(SEARCH("Espeto",N560)),ISNUMBER(SEARCH("Lapa",N560))),"SIM","")</f>
        <v/>
      </c>
      <c r="Q560" s="99">
        <f>IF(AND(ISNUMBER(SEARCH("Espeto",N560)),ISNUMBER(SEARCH("Tatuapé",N560))),"SIM","")</f>
        <v/>
      </c>
      <c r="R560" s="99">
        <f>IF(AND(ISNUMBER(SEARCH("Espeto",N560)),ISNUMBER(SEARCH("Pavão",N560))),"SIM","")</f>
        <v/>
      </c>
      <c r="S560" s="99">
        <f>IF(AND(ISNUMBER(SEARCH("Espeto",N560)),ISNUMBER(SEARCH("Chac",N560))),"SIM","")</f>
        <v/>
      </c>
      <c r="T560" s="99">
        <f>IF(AND(ISNUMBER(SEARCH("Espeto",N560)),ISNUMBER(SEARCH("Madalena",N560))),"SIM","")</f>
        <v/>
      </c>
      <c r="U560" s="99">
        <f>IF(AND(ISNUMBER(SEARCH("Espeto",N560)),ISNUMBER(SEARCH("Mariana",N560))),"SIM","")</f>
        <v/>
      </c>
      <c r="V560" s="99">
        <f>IF(AND(ISNUMBER(SEARCH("Espeto",N560)),ISNUMBER(SEARCH("Perdizes",N560))),"SIM","")</f>
        <v/>
      </c>
      <c r="W560" s="99">
        <f>IF(AND(ISNUMBER(SEARCH("Espeto",N560)),ISNUMBER(SEARCH("Santana",N560))),"SIM","")</f>
        <v/>
      </c>
      <c r="X560" s="99">
        <f>IF(AND(ISNUMBER(SEARCH("Espeto",N560)),ISNUMBER(SEARCH("André",N560))),"SIM","")</f>
        <v/>
      </c>
      <c r="Y560" s="99">
        <f>IF(AND(ISNUMBER(SEARCH("Delivery",N560)),ISNUMBER(SEARCH("Carin",N560))),"SIM","")</f>
        <v/>
      </c>
      <c r="Z560" s="99">
        <f>IF(AND(ISNUMBER(SEARCH("Delivery",N560)),ISNUMBER(SEARCH("Lapa",N560))),"SIM","")</f>
        <v/>
      </c>
      <c r="AA560" s="99">
        <f>IF(AND(ISNUMBER(SEARCH("Delivery",N560)),ISNUMBER(SEARCH("Tatuapé",N560))),"SIM","")</f>
        <v/>
      </c>
      <c r="AB560" s="99">
        <f>IF(AND(ISNUMBER(SEARCH("Delivery",N560)),ISNUMBER(SEARCH("Pavão",N560))),"SIM","")</f>
        <v/>
      </c>
      <c r="AC560" s="99">
        <f>IF(AND(ISNUMBER(SEARCH("Delivery",N560)),ISNUMBER(SEARCH("Chac",N560))),"SIM","")</f>
        <v/>
      </c>
      <c r="AD560" s="99">
        <f>IF(AND(ISNUMBER(SEARCH("Delivery",N560)),ISNUMBER(SEARCH("Madalena",N560))),"SIM","")</f>
        <v/>
      </c>
      <c r="AE560" s="92">
        <f>IF(AND(ISNUMBER(SEARCH("Delivery",N560)),ISNUMBER(SEARCH("Mariana",N560))),"SIM","")</f>
        <v/>
      </c>
      <c r="AF560" s="92">
        <f>IF(AND(ISNUMBER(SEARCH("Delivery",N560)),ISNUMBER(SEARCH("Perdizes",N560))),"SIM","")</f>
        <v/>
      </c>
      <c r="AG560" s="92">
        <f>IF(AND(ISNUMBER(SEARCH("Delivery",N560)),ISNUMBER(SEARCH("Santana",N560))),"SIM","")</f>
        <v/>
      </c>
      <c r="AH560" s="92">
        <f>IF(AND(ISNUMBER(SEARCH("Delivery",N560)),ISNUMBER(SEARCH("André",N560))),"SIM","")</f>
        <v/>
      </c>
      <c r="AI560" s="92">
        <f>IF(ISNUMBER(SEARCH("Interlagos",N560)),"SIM","")</f>
        <v/>
      </c>
      <c r="AJ560" s="92">
        <f>IF(ISNUMBER(SEARCH("Quiosque",N560)),"SIM","")</f>
        <v/>
      </c>
      <c r="AK560" s="93" t="n"/>
    </row>
    <row r="561">
      <c r="A561" s="88" t="inlineStr">
        <is>
          <t>Protheus</t>
        </is>
      </c>
      <c r="B561" s="89" t="inlineStr">
        <is>
          <t>001902</t>
        </is>
      </c>
      <c r="C561" s="90">
        <f>IF(B561="—","—",IFERROR(VLOOKUP(B561,_Protheus_Cadastro!$A:$B,2,FALSE),"—"))</f>
        <v/>
      </c>
      <c r="D561" s="91">
        <f>IF(B561="—",IFERROR(INDEX(_ZIG_Cadastro!$D:$D,MATCH(H561,_ZIG_Cadastro!$A:$A,0)),"Produto"),IFERROR(VLOOKUP(B561,_Protheus_Cadastro!$A:$C,3,FALSE),"—"))</f>
        <v/>
      </c>
      <c r="E561" s="91">
        <f>IF(B561="—","—",IFERROR(VLOOKUP(B561,_Protheus_Cadastro!$A:$D,4,FALSE),"—"))</f>
        <v/>
      </c>
      <c r="F561" s="91">
        <f>IF(ISERROR(VLOOKUP(B561,'Estrutura Protheus'!A:A,1,FALSE)),"Não","Sim")</f>
        <v/>
      </c>
      <c r="G561" s="92">
        <f>IFERROR(INDEX(_Protheus_Cadastro!$H:$H,MATCH(B561,_Protheus_Cadastro!$A:$A,0)),"—")</f>
        <v/>
      </c>
      <c r="H561" s="210">
        <f>IFERROR(INDEX(_ZIG_Precos!$D:$D,MATCH(I561,_ZIG_Precos!$F:$F,0)),"—")</f>
        <v/>
      </c>
      <c r="I561" s="95">
        <f>IFERROR(VLOOKUP(B561,_Protheus_Cadastro!$A:$I,9,FALSE),"—")</f>
        <v/>
      </c>
      <c r="J561" s="93">
        <f>IFERROR(INDEX(_ZIG_Cadastro!$B:$B,MATCH(I561,_ZIG_Cadastro!$A:$A,0)),IFERROR(INDEX(_Entradas_ZIG!$B:$B,MATCH(I561,_Entradas_ZIG!$C:$C,0)),"—"))</f>
        <v/>
      </c>
      <c r="K561" s="93">
        <f>IFERROR(INDEX(_ZIG_Cadastro!$C:$C,MATCH(I561,_ZIG_Cadastro!$A:$A,0)),IFERROR(INDEX(_Entradas_ZIG!$D:$D,MATCH(I561,_Entradas_ZIG!$C:$C,0)),"—"))</f>
        <v/>
      </c>
      <c r="L561" s="92">
        <f>IF(I561="","Sem SKU ZIG",IF(I561="—","Sem SKU ZIG",IF(NOT(ISERROR(MATCH(I561,_ZIG_Cadastro!$A:$A,0))),IF(EXACT(UPPER(TRIM(C561)),UPPER(TRIM(INDEX(_ZIG_Cadastro!$B:$B,MATCH(I561,_ZIG_Cadastro!$A:$A,0))))),"OK","Atencao - Nome diverge"),IF(NOT(ISERROR(MATCH(I561,_Entradas_ZIG!$C:$C,0))),"OK","Erro - SKU nao encontrado"))))</f>
        <v/>
      </c>
      <c r="M561" s="92">
        <f>IFERROR(INDEX(_ZIG_Cadastro!$G:$G,MATCH(I561,_ZIG_Cadastro!$A:$A,0)),IF(NOT(ISERROR(MATCH(I561,_Entradas_ZIG!$C:$C,0))),"Ativo","—"))</f>
        <v/>
      </c>
      <c r="N561" s="94">
        <f>IFERROR(INDEX(_ZIG_Cadastro!$E:$E,MATCH(I561,_ZIG_Cadastro!$A:$A,0)),IFERROR(INDEX(_Entradas_ZIG!$F:$F,MATCH(I561,_Entradas_ZIG!$C:$C,0)),"—"))</f>
        <v/>
      </c>
      <c r="O561" s="92">
        <f>IF(AND(ISNUMBER(SEARCH("Espeto",N561)),ISNUMBER(SEARCH("Carin",N561))),"SIM","")</f>
        <v/>
      </c>
      <c r="P561" s="92">
        <f>IF(AND(ISNUMBER(SEARCH("Espeto",N561)),ISNUMBER(SEARCH("Lapa",N561))),"SIM","")</f>
        <v/>
      </c>
      <c r="Q561" s="92">
        <f>IF(AND(ISNUMBER(SEARCH("Espeto",N561)),ISNUMBER(SEARCH("Tatuapé",N561))),"SIM","")</f>
        <v/>
      </c>
      <c r="R561" s="92">
        <f>IF(AND(ISNUMBER(SEARCH("Espeto",N561)),ISNUMBER(SEARCH("Pavão",N561))),"SIM","")</f>
        <v/>
      </c>
      <c r="S561" s="92">
        <f>IF(AND(ISNUMBER(SEARCH("Espeto",N561)),ISNUMBER(SEARCH("Chac",N561))),"SIM","")</f>
        <v/>
      </c>
      <c r="T561" s="92">
        <f>IF(AND(ISNUMBER(SEARCH("Espeto",N561)),ISNUMBER(SEARCH("Madalena",N561))),"SIM","")</f>
        <v/>
      </c>
      <c r="U561" s="92">
        <f>IF(AND(ISNUMBER(SEARCH("Espeto",N561)),ISNUMBER(SEARCH("Mariana",N561))),"SIM","")</f>
        <v/>
      </c>
      <c r="V561" s="92">
        <f>IF(AND(ISNUMBER(SEARCH("Espeto",N561)),ISNUMBER(SEARCH("Perdizes",N561))),"SIM","")</f>
        <v/>
      </c>
      <c r="W561" s="92">
        <f>IF(AND(ISNUMBER(SEARCH("Espeto",N561)),ISNUMBER(SEARCH("Santana",N561))),"SIM","")</f>
        <v/>
      </c>
      <c r="X561" s="92">
        <f>IF(AND(ISNUMBER(SEARCH("Espeto",N561)),ISNUMBER(SEARCH("André",N561))),"SIM","")</f>
        <v/>
      </c>
      <c r="Y561" s="92">
        <f>IF(AND(ISNUMBER(SEARCH("Delivery",N561)),ISNUMBER(SEARCH("Carin",N561))),"SIM","")</f>
        <v/>
      </c>
      <c r="Z561" s="92">
        <f>IF(AND(ISNUMBER(SEARCH("Delivery",N561)),ISNUMBER(SEARCH("Lapa",N561))),"SIM","")</f>
        <v/>
      </c>
      <c r="AA561" s="92">
        <f>IF(AND(ISNUMBER(SEARCH("Delivery",N561)),ISNUMBER(SEARCH("Tatuapé",N561))),"SIM","")</f>
        <v/>
      </c>
      <c r="AB561" s="92">
        <f>IF(AND(ISNUMBER(SEARCH("Delivery",N561)),ISNUMBER(SEARCH("Pavão",N561))),"SIM","")</f>
        <v/>
      </c>
      <c r="AC561" s="92">
        <f>IF(AND(ISNUMBER(SEARCH("Delivery",N561)),ISNUMBER(SEARCH("Chac",N561))),"SIM","")</f>
        <v/>
      </c>
      <c r="AD561" s="92">
        <f>IF(AND(ISNUMBER(SEARCH("Delivery",N561)),ISNUMBER(SEARCH("Madalena",N561))),"SIM","")</f>
        <v/>
      </c>
      <c r="AE561" s="99">
        <f>IF(AND(ISNUMBER(SEARCH("Delivery",N561)),ISNUMBER(SEARCH("Mariana",N561))),"SIM","")</f>
        <v/>
      </c>
      <c r="AF561" s="99">
        <f>IF(AND(ISNUMBER(SEARCH("Delivery",N561)),ISNUMBER(SEARCH("Perdizes",N561))),"SIM","")</f>
        <v/>
      </c>
      <c r="AG561" s="99">
        <f>IF(AND(ISNUMBER(SEARCH("Delivery",N561)),ISNUMBER(SEARCH("Santana",N561))),"SIM","")</f>
        <v/>
      </c>
      <c r="AH561" s="99">
        <f>IF(AND(ISNUMBER(SEARCH("Delivery",N561)),ISNUMBER(SEARCH("André",N561))),"SIM","")</f>
        <v/>
      </c>
      <c r="AI561" s="99">
        <f>IF(ISNUMBER(SEARCH("Interlagos",N561)),"SIM","")</f>
        <v/>
      </c>
      <c r="AJ561" s="99">
        <f>IF(ISNUMBER(SEARCH("Quiosque",N561)),"SIM","")</f>
        <v/>
      </c>
      <c r="AK561" s="101" t="n"/>
    </row>
    <row r="562">
      <c r="A562" s="88" t="inlineStr">
        <is>
          <t>Protheus</t>
        </is>
      </c>
      <c r="B562" s="96" t="inlineStr">
        <is>
          <t>001903</t>
        </is>
      </c>
      <c r="C562" s="97">
        <f>IF(B562="—","—",IFERROR(VLOOKUP(B562,_Protheus_Cadastro!$A:$B,2,FALSE),"—"))</f>
        <v/>
      </c>
      <c r="D562" s="98">
        <f>IF(B562="—",IFERROR(INDEX(_ZIG_Cadastro!$D:$D,MATCH(H562,_ZIG_Cadastro!$A:$A,0)),"Produto"),IFERROR(VLOOKUP(B562,_Protheus_Cadastro!$A:$C,3,FALSE),"—"))</f>
        <v/>
      </c>
      <c r="E562" s="98">
        <f>IF(B562="—","—",IFERROR(VLOOKUP(B562,_Protheus_Cadastro!$A:$D,4,FALSE),"—"))</f>
        <v/>
      </c>
      <c r="F562" s="98">
        <f>IF(ISERROR(VLOOKUP(B562,'Estrutura Protheus'!A:A,1,FALSE)),"Não","Sim")</f>
        <v/>
      </c>
      <c r="G562" s="99">
        <f>IFERROR(INDEX(_Protheus_Cadastro!$H:$H,MATCH(B562,_Protheus_Cadastro!$A:$A,0)),"—")</f>
        <v/>
      </c>
      <c r="H562" s="211">
        <f>IFERROR(INDEX(_ZIG_Precos!$D:$D,MATCH(I562,_ZIG_Precos!$F:$F,0)),"—")</f>
        <v/>
      </c>
      <c r="I562" s="103">
        <f>IFERROR(VLOOKUP(B562,_Protheus_Cadastro!$A:$I,9,FALSE),"—")</f>
        <v/>
      </c>
      <c r="J562" s="101">
        <f>IFERROR(INDEX(_ZIG_Cadastro!$B:$B,MATCH(I562,_ZIG_Cadastro!$A:$A,0)),IFERROR(INDEX(_Entradas_ZIG!$B:$B,MATCH(I562,_Entradas_ZIG!$C:$C,0)),"—"))</f>
        <v/>
      </c>
      <c r="K562" s="101">
        <f>IFERROR(INDEX(_ZIG_Cadastro!$C:$C,MATCH(I562,_ZIG_Cadastro!$A:$A,0)),IFERROR(INDEX(_Entradas_ZIG!$D:$D,MATCH(I562,_Entradas_ZIG!$C:$C,0)),"—"))</f>
        <v/>
      </c>
      <c r="L562" s="99">
        <f>IF(I562="","Sem SKU ZIG",IF(I562="—","Sem SKU ZIG",IF(NOT(ISERROR(MATCH(I562,_ZIG_Cadastro!$A:$A,0))),IF(EXACT(UPPER(TRIM(C562)),UPPER(TRIM(INDEX(_ZIG_Cadastro!$B:$B,MATCH(I562,_ZIG_Cadastro!$A:$A,0))))),"OK","Atencao - Nome diverge"),IF(NOT(ISERROR(MATCH(I562,_Entradas_ZIG!$C:$C,0))),"OK","Erro - SKU nao encontrado"))))</f>
        <v/>
      </c>
      <c r="M562" s="99">
        <f>IFERROR(INDEX(_ZIG_Cadastro!$G:$G,MATCH(I562,_ZIG_Cadastro!$A:$A,0)),IF(NOT(ISERROR(MATCH(I562,_Entradas_ZIG!$C:$C,0))),"Ativo","—"))</f>
        <v/>
      </c>
      <c r="N562" s="102">
        <f>IFERROR(INDEX(_ZIG_Cadastro!$E:$E,MATCH(I562,_ZIG_Cadastro!$A:$A,0)),IFERROR(INDEX(_Entradas_ZIG!$F:$F,MATCH(I562,_Entradas_ZIG!$C:$C,0)),"—"))</f>
        <v/>
      </c>
      <c r="O562" s="99">
        <f>IF(AND(ISNUMBER(SEARCH("Espeto",N562)),ISNUMBER(SEARCH("Carin",N562))),"SIM","")</f>
        <v/>
      </c>
      <c r="P562" s="99">
        <f>IF(AND(ISNUMBER(SEARCH("Espeto",N562)),ISNUMBER(SEARCH("Lapa",N562))),"SIM","")</f>
        <v/>
      </c>
      <c r="Q562" s="99">
        <f>IF(AND(ISNUMBER(SEARCH("Espeto",N562)),ISNUMBER(SEARCH("Tatuapé",N562))),"SIM","")</f>
        <v/>
      </c>
      <c r="R562" s="99">
        <f>IF(AND(ISNUMBER(SEARCH("Espeto",N562)),ISNUMBER(SEARCH("Pavão",N562))),"SIM","")</f>
        <v/>
      </c>
      <c r="S562" s="99">
        <f>IF(AND(ISNUMBER(SEARCH("Espeto",N562)),ISNUMBER(SEARCH("Chac",N562))),"SIM","")</f>
        <v/>
      </c>
      <c r="T562" s="99">
        <f>IF(AND(ISNUMBER(SEARCH("Espeto",N562)),ISNUMBER(SEARCH("Madalena",N562))),"SIM","")</f>
        <v/>
      </c>
      <c r="U562" s="99">
        <f>IF(AND(ISNUMBER(SEARCH("Espeto",N562)),ISNUMBER(SEARCH("Mariana",N562))),"SIM","")</f>
        <v/>
      </c>
      <c r="V562" s="99">
        <f>IF(AND(ISNUMBER(SEARCH("Espeto",N562)),ISNUMBER(SEARCH("Perdizes",N562))),"SIM","")</f>
        <v/>
      </c>
      <c r="W562" s="99">
        <f>IF(AND(ISNUMBER(SEARCH("Espeto",N562)),ISNUMBER(SEARCH("Santana",N562))),"SIM","")</f>
        <v/>
      </c>
      <c r="X562" s="99">
        <f>IF(AND(ISNUMBER(SEARCH("Espeto",N562)),ISNUMBER(SEARCH("André",N562))),"SIM","")</f>
        <v/>
      </c>
      <c r="Y562" s="99">
        <f>IF(AND(ISNUMBER(SEARCH("Delivery",N562)),ISNUMBER(SEARCH("Carin",N562))),"SIM","")</f>
        <v/>
      </c>
      <c r="Z562" s="99">
        <f>IF(AND(ISNUMBER(SEARCH("Delivery",N562)),ISNUMBER(SEARCH("Lapa",N562))),"SIM","")</f>
        <v/>
      </c>
      <c r="AA562" s="99">
        <f>IF(AND(ISNUMBER(SEARCH("Delivery",N562)),ISNUMBER(SEARCH("Tatuapé",N562))),"SIM","")</f>
        <v/>
      </c>
      <c r="AB562" s="99">
        <f>IF(AND(ISNUMBER(SEARCH("Delivery",N562)),ISNUMBER(SEARCH("Pavão",N562))),"SIM","")</f>
        <v/>
      </c>
      <c r="AC562" s="99">
        <f>IF(AND(ISNUMBER(SEARCH("Delivery",N562)),ISNUMBER(SEARCH("Chac",N562))),"SIM","")</f>
        <v/>
      </c>
      <c r="AD562" s="99">
        <f>IF(AND(ISNUMBER(SEARCH("Delivery",N562)),ISNUMBER(SEARCH("Madalena",N562))),"SIM","")</f>
        <v/>
      </c>
      <c r="AE562" s="92">
        <f>IF(AND(ISNUMBER(SEARCH("Delivery",N562)),ISNUMBER(SEARCH("Mariana",N562))),"SIM","")</f>
        <v/>
      </c>
      <c r="AF562" s="92">
        <f>IF(AND(ISNUMBER(SEARCH("Delivery",N562)),ISNUMBER(SEARCH("Perdizes",N562))),"SIM","")</f>
        <v/>
      </c>
      <c r="AG562" s="92">
        <f>IF(AND(ISNUMBER(SEARCH("Delivery",N562)),ISNUMBER(SEARCH("Santana",N562))),"SIM","")</f>
        <v/>
      </c>
      <c r="AH562" s="92">
        <f>IF(AND(ISNUMBER(SEARCH("Delivery",N562)),ISNUMBER(SEARCH("André",N562))),"SIM","")</f>
        <v/>
      </c>
      <c r="AI562" s="92">
        <f>IF(ISNUMBER(SEARCH("Interlagos",N562)),"SIM","")</f>
        <v/>
      </c>
      <c r="AJ562" s="92">
        <f>IF(ISNUMBER(SEARCH("Quiosque",N562)),"SIM","")</f>
        <v/>
      </c>
      <c r="AK562" s="93" t="n"/>
    </row>
    <row r="563">
      <c r="A563" s="88" t="inlineStr">
        <is>
          <t>Protheus</t>
        </is>
      </c>
      <c r="B563" s="89" t="inlineStr">
        <is>
          <t>001904</t>
        </is>
      </c>
      <c r="C563" s="90">
        <f>IF(B563="—","—",IFERROR(VLOOKUP(B563,_Protheus_Cadastro!$A:$B,2,FALSE),"—"))</f>
        <v/>
      </c>
      <c r="D563" s="91">
        <f>IF(B563="—",IFERROR(INDEX(_ZIG_Cadastro!$D:$D,MATCH(H563,_ZIG_Cadastro!$A:$A,0)),"Produto"),IFERROR(VLOOKUP(B563,_Protheus_Cadastro!$A:$C,3,FALSE),"—"))</f>
        <v/>
      </c>
      <c r="E563" s="91">
        <f>IF(B563="—","—",IFERROR(VLOOKUP(B563,_Protheus_Cadastro!$A:$D,4,FALSE),"—"))</f>
        <v/>
      </c>
      <c r="F563" s="91">
        <f>IF(ISERROR(VLOOKUP(B563,'Estrutura Protheus'!A:A,1,FALSE)),"Não","Sim")</f>
        <v/>
      </c>
      <c r="G563" s="175">
        <f>IFERROR(INDEX(_Protheus_Cadastro!$H:$H,MATCH(B563,_Protheus_Cadastro!$A:$A,0)),"—")</f>
        <v/>
      </c>
      <c r="H563" s="210">
        <f>IFERROR(INDEX(_ZIG_Precos!$D:$D,MATCH(I563,_ZIG_Precos!$F:$F,0)),"—")</f>
        <v/>
      </c>
      <c r="I563" s="95">
        <f>IFERROR(VLOOKUP(B563,_Protheus_Cadastro!$A:$I,9,FALSE),"—")</f>
        <v/>
      </c>
      <c r="J563" s="93">
        <f>IFERROR(INDEX(_ZIG_Cadastro!$B:$B,MATCH(I563,_ZIG_Cadastro!$A:$A,0)),IFERROR(INDEX(_Entradas_ZIG!$B:$B,MATCH(I563,_Entradas_ZIG!$C:$C,0)),"—"))</f>
        <v/>
      </c>
      <c r="K563" s="93">
        <f>IFERROR(INDEX(_ZIG_Cadastro!$C:$C,MATCH(I563,_ZIG_Cadastro!$A:$A,0)),IFERROR(INDEX(_Entradas_ZIG!$D:$D,MATCH(I563,_Entradas_ZIG!$C:$C,0)),"—"))</f>
        <v/>
      </c>
      <c r="L563" s="92">
        <f>IF(I563="","Sem SKU ZIG",IF(I563="—","Sem SKU ZIG",IF(NOT(ISERROR(MATCH(I563,_ZIG_Cadastro!$A:$A,0))),IF(EXACT(UPPER(TRIM(C563)),UPPER(TRIM(INDEX(_ZIG_Cadastro!$B:$B,MATCH(I563,_ZIG_Cadastro!$A:$A,0))))),"OK","Atencao - Nome diverge"),IF(NOT(ISERROR(MATCH(I563,_Entradas_ZIG!$C:$C,0))),"OK","Erro - SKU nao encontrado"))))</f>
        <v/>
      </c>
      <c r="M563" s="92">
        <f>IFERROR(INDEX(_ZIG_Cadastro!$G:$G,MATCH(I563,_ZIG_Cadastro!$A:$A,0)),IF(NOT(ISERROR(MATCH(I563,_Entradas_ZIG!$C:$C,0))),"Ativo","—"))</f>
        <v/>
      </c>
      <c r="N563" s="94">
        <f>IFERROR(INDEX(_ZIG_Cadastro!$E:$E,MATCH(I563,_ZIG_Cadastro!$A:$A,0)),IFERROR(INDEX(_Entradas_ZIG!$F:$F,MATCH(I563,_Entradas_ZIG!$C:$C,0)),"—"))</f>
        <v/>
      </c>
      <c r="O563" s="92">
        <f>IF(AND(ISNUMBER(SEARCH("Espeto",N563)),ISNUMBER(SEARCH("Carin",N563))),"SIM","")</f>
        <v/>
      </c>
      <c r="P563" s="92">
        <f>IF(AND(ISNUMBER(SEARCH("Espeto",N563)),ISNUMBER(SEARCH("Lapa",N563))),"SIM","")</f>
        <v/>
      </c>
      <c r="Q563" s="92">
        <f>IF(AND(ISNUMBER(SEARCH("Espeto",N563)),ISNUMBER(SEARCH("Tatuapé",N563))),"SIM","")</f>
        <v/>
      </c>
      <c r="R563" s="92">
        <f>IF(AND(ISNUMBER(SEARCH("Espeto",N563)),ISNUMBER(SEARCH("Pavão",N563))),"SIM","")</f>
        <v/>
      </c>
      <c r="S563" s="92">
        <f>IF(AND(ISNUMBER(SEARCH("Espeto",N563)),ISNUMBER(SEARCH("Chac",N563))),"SIM","")</f>
        <v/>
      </c>
      <c r="T563" s="92">
        <f>IF(AND(ISNUMBER(SEARCH("Espeto",N563)),ISNUMBER(SEARCH("Madalena",N563))),"SIM","")</f>
        <v/>
      </c>
      <c r="U563" s="92">
        <f>IF(AND(ISNUMBER(SEARCH("Espeto",N563)),ISNUMBER(SEARCH("Mariana",N563))),"SIM","")</f>
        <v/>
      </c>
      <c r="V563" s="92">
        <f>IF(AND(ISNUMBER(SEARCH("Espeto",N563)),ISNUMBER(SEARCH("Perdizes",N563))),"SIM","")</f>
        <v/>
      </c>
      <c r="W563" s="92">
        <f>IF(AND(ISNUMBER(SEARCH("Espeto",N563)),ISNUMBER(SEARCH("Santana",N563))),"SIM","")</f>
        <v/>
      </c>
      <c r="X563" s="92">
        <f>IF(AND(ISNUMBER(SEARCH("Espeto",N563)),ISNUMBER(SEARCH("André",N563))),"SIM","")</f>
        <v/>
      </c>
      <c r="Y563" s="92">
        <f>IF(AND(ISNUMBER(SEARCH("Delivery",N563)),ISNUMBER(SEARCH("Carin",N563))),"SIM","")</f>
        <v/>
      </c>
      <c r="Z563" s="92">
        <f>IF(AND(ISNUMBER(SEARCH("Delivery",N563)),ISNUMBER(SEARCH("Lapa",N563))),"SIM","")</f>
        <v/>
      </c>
      <c r="AA563" s="92">
        <f>IF(AND(ISNUMBER(SEARCH("Delivery",N563)),ISNUMBER(SEARCH("Tatuapé",N563))),"SIM","")</f>
        <v/>
      </c>
      <c r="AB563" s="92">
        <f>IF(AND(ISNUMBER(SEARCH("Delivery",N563)),ISNUMBER(SEARCH("Pavão",N563))),"SIM","")</f>
        <v/>
      </c>
      <c r="AC563" s="92">
        <f>IF(AND(ISNUMBER(SEARCH("Delivery",N563)),ISNUMBER(SEARCH("Chac",N563))),"SIM","")</f>
        <v/>
      </c>
      <c r="AD563" s="92">
        <f>IF(AND(ISNUMBER(SEARCH("Delivery",N563)),ISNUMBER(SEARCH("Madalena",N563))),"SIM","")</f>
        <v/>
      </c>
      <c r="AE563" s="99">
        <f>IF(AND(ISNUMBER(SEARCH("Delivery",N563)),ISNUMBER(SEARCH("Mariana",N563))),"SIM","")</f>
        <v/>
      </c>
      <c r="AF563" s="99">
        <f>IF(AND(ISNUMBER(SEARCH("Delivery",N563)),ISNUMBER(SEARCH("Perdizes",N563))),"SIM","")</f>
        <v/>
      </c>
      <c r="AG563" s="99">
        <f>IF(AND(ISNUMBER(SEARCH("Delivery",N563)),ISNUMBER(SEARCH("Santana",N563))),"SIM","")</f>
        <v/>
      </c>
      <c r="AH563" s="99">
        <f>IF(AND(ISNUMBER(SEARCH("Delivery",N563)),ISNUMBER(SEARCH("André",N563))),"SIM","")</f>
        <v/>
      </c>
      <c r="AI563" s="99">
        <f>IF(ISNUMBER(SEARCH("Interlagos",N563)),"SIM","")</f>
        <v/>
      </c>
      <c r="AJ563" s="99">
        <f>IF(ISNUMBER(SEARCH("Quiosque",N563)),"SIM","")</f>
        <v/>
      </c>
      <c r="AK563" s="101" t="n"/>
    </row>
    <row r="564">
      <c r="A564" s="88" t="inlineStr">
        <is>
          <t>Protheus</t>
        </is>
      </c>
      <c r="B564" s="96" t="inlineStr">
        <is>
          <t>001905</t>
        </is>
      </c>
      <c r="C564" s="97">
        <f>IF(B564="—","—",IFERROR(VLOOKUP(B564,_Protheus_Cadastro!$A:$B,2,FALSE),"—"))</f>
        <v/>
      </c>
      <c r="D564" s="98">
        <f>IF(B564="—",IFERROR(INDEX(_ZIG_Cadastro!$D:$D,MATCH(H564,_ZIG_Cadastro!$A:$A,0)),"Produto"),IFERROR(VLOOKUP(B564,_Protheus_Cadastro!$A:$C,3,FALSE),"—"))</f>
        <v/>
      </c>
      <c r="E564" s="98">
        <f>IF(B564="—","—",IFERROR(VLOOKUP(B564,_Protheus_Cadastro!$A:$D,4,FALSE),"—"))</f>
        <v/>
      </c>
      <c r="F564" s="98">
        <f>IF(ISERROR(VLOOKUP(B564,'Estrutura Protheus'!A:A,1,FALSE)),"Não","Sim")</f>
        <v/>
      </c>
      <c r="G564" s="99">
        <f>IFERROR(INDEX(_Protheus_Cadastro!$H:$H,MATCH(B564,_Protheus_Cadastro!$A:$A,0)),"—")</f>
        <v/>
      </c>
      <c r="H564" s="211">
        <f>IFERROR(INDEX(_ZIG_Precos!$D:$D,MATCH(I564,_ZIG_Precos!$F:$F,0)),"—")</f>
        <v/>
      </c>
      <c r="I564" s="103">
        <f>IFERROR(VLOOKUP(B564,_Protheus_Cadastro!$A:$I,9,FALSE),"—")</f>
        <v/>
      </c>
      <c r="J564" s="101">
        <f>IFERROR(INDEX(_ZIG_Cadastro!$B:$B,MATCH(I564,_ZIG_Cadastro!$A:$A,0)),IFERROR(INDEX(_Entradas_ZIG!$B:$B,MATCH(I564,_Entradas_ZIG!$C:$C,0)),"—"))</f>
        <v/>
      </c>
      <c r="K564" s="101">
        <f>IFERROR(INDEX(_ZIG_Cadastro!$C:$C,MATCH(I564,_ZIG_Cadastro!$A:$A,0)),IFERROR(INDEX(_Entradas_ZIG!$D:$D,MATCH(I564,_Entradas_ZIG!$C:$C,0)),"—"))</f>
        <v/>
      </c>
      <c r="L564" s="99">
        <f>IF(I564="","Sem SKU ZIG",IF(I564="—","Sem SKU ZIG",IF(NOT(ISERROR(MATCH(I564,_ZIG_Cadastro!$A:$A,0))),IF(EXACT(UPPER(TRIM(C564)),UPPER(TRIM(INDEX(_ZIG_Cadastro!$B:$B,MATCH(I564,_ZIG_Cadastro!$A:$A,0))))),"OK","Atencao - Nome diverge"),IF(NOT(ISERROR(MATCH(I564,_Entradas_ZIG!$C:$C,0))),"OK","Erro - SKU nao encontrado"))))</f>
        <v/>
      </c>
      <c r="M564" s="99">
        <f>IFERROR(INDEX(_ZIG_Cadastro!$G:$G,MATCH(I564,_ZIG_Cadastro!$A:$A,0)),IF(NOT(ISERROR(MATCH(I564,_Entradas_ZIG!$C:$C,0))),"Ativo","—"))</f>
        <v/>
      </c>
      <c r="N564" s="102">
        <f>IFERROR(INDEX(_ZIG_Cadastro!$E:$E,MATCH(I564,_ZIG_Cadastro!$A:$A,0)),IFERROR(INDEX(_Entradas_ZIG!$F:$F,MATCH(I564,_Entradas_ZIG!$C:$C,0)),"—"))</f>
        <v/>
      </c>
      <c r="O564" s="99">
        <f>IF(AND(ISNUMBER(SEARCH("Espeto",N564)),ISNUMBER(SEARCH("Carin",N564))),"SIM","")</f>
        <v/>
      </c>
      <c r="P564" s="99">
        <f>IF(AND(ISNUMBER(SEARCH("Espeto",N564)),ISNUMBER(SEARCH("Lapa",N564))),"SIM","")</f>
        <v/>
      </c>
      <c r="Q564" s="99">
        <f>IF(AND(ISNUMBER(SEARCH("Espeto",N564)),ISNUMBER(SEARCH("Tatuapé",N564))),"SIM","")</f>
        <v/>
      </c>
      <c r="R564" s="99">
        <f>IF(AND(ISNUMBER(SEARCH("Espeto",N564)),ISNUMBER(SEARCH("Pavão",N564))),"SIM","")</f>
        <v/>
      </c>
      <c r="S564" s="99">
        <f>IF(AND(ISNUMBER(SEARCH("Espeto",N564)),ISNUMBER(SEARCH("Chac",N564))),"SIM","")</f>
        <v/>
      </c>
      <c r="T564" s="99">
        <f>IF(AND(ISNUMBER(SEARCH("Espeto",N564)),ISNUMBER(SEARCH("Madalena",N564))),"SIM","")</f>
        <v/>
      </c>
      <c r="U564" s="99">
        <f>IF(AND(ISNUMBER(SEARCH("Espeto",N564)),ISNUMBER(SEARCH("Mariana",N564))),"SIM","")</f>
        <v/>
      </c>
      <c r="V564" s="99">
        <f>IF(AND(ISNUMBER(SEARCH("Espeto",N564)),ISNUMBER(SEARCH("Perdizes",N564))),"SIM","")</f>
        <v/>
      </c>
      <c r="W564" s="99">
        <f>IF(AND(ISNUMBER(SEARCH("Espeto",N564)),ISNUMBER(SEARCH("Santana",N564))),"SIM","")</f>
        <v/>
      </c>
      <c r="X564" s="99">
        <f>IF(AND(ISNUMBER(SEARCH("Espeto",N564)),ISNUMBER(SEARCH("André",N564))),"SIM","")</f>
        <v/>
      </c>
      <c r="Y564" s="99">
        <f>IF(AND(ISNUMBER(SEARCH("Delivery",N564)),ISNUMBER(SEARCH("Carin",N564))),"SIM","")</f>
        <v/>
      </c>
      <c r="Z564" s="99">
        <f>IF(AND(ISNUMBER(SEARCH("Delivery",N564)),ISNUMBER(SEARCH("Lapa",N564))),"SIM","")</f>
        <v/>
      </c>
      <c r="AA564" s="99">
        <f>IF(AND(ISNUMBER(SEARCH("Delivery",N564)),ISNUMBER(SEARCH("Tatuapé",N564))),"SIM","")</f>
        <v/>
      </c>
      <c r="AB564" s="99">
        <f>IF(AND(ISNUMBER(SEARCH("Delivery",N564)),ISNUMBER(SEARCH("Pavão",N564))),"SIM","")</f>
        <v/>
      </c>
      <c r="AC564" s="99">
        <f>IF(AND(ISNUMBER(SEARCH("Delivery",N564)),ISNUMBER(SEARCH("Chac",N564))),"SIM","")</f>
        <v/>
      </c>
      <c r="AD564" s="99">
        <f>IF(AND(ISNUMBER(SEARCH("Delivery",N564)),ISNUMBER(SEARCH("Madalena",N564))),"SIM","")</f>
        <v/>
      </c>
      <c r="AE564" s="92">
        <f>IF(AND(ISNUMBER(SEARCH("Delivery",N564)),ISNUMBER(SEARCH("Mariana",N564))),"SIM","")</f>
        <v/>
      </c>
      <c r="AF564" s="92">
        <f>IF(AND(ISNUMBER(SEARCH("Delivery",N564)),ISNUMBER(SEARCH("Perdizes",N564))),"SIM","")</f>
        <v/>
      </c>
      <c r="AG564" s="92">
        <f>IF(AND(ISNUMBER(SEARCH("Delivery",N564)),ISNUMBER(SEARCH("Santana",N564))),"SIM","")</f>
        <v/>
      </c>
      <c r="AH564" s="92">
        <f>IF(AND(ISNUMBER(SEARCH("Delivery",N564)),ISNUMBER(SEARCH("André",N564))),"SIM","")</f>
        <v/>
      </c>
      <c r="AI564" s="92">
        <f>IF(ISNUMBER(SEARCH("Interlagos",N564)),"SIM","")</f>
        <v/>
      </c>
      <c r="AJ564" s="92">
        <f>IF(ISNUMBER(SEARCH("Quiosque",N564)),"SIM","")</f>
        <v/>
      </c>
      <c r="AK564" s="93" t="n"/>
    </row>
    <row r="565">
      <c r="A565" s="88" t="inlineStr">
        <is>
          <t>Protheus</t>
        </is>
      </c>
      <c r="B565" s="89" t="inlineStr">
        <is>
          <t>000030</t>
        </is>
      </c>
      <c r="C565" s="90">
        <f>IF(B565="—","—",IFERROR(VLOOKUP(B565,_Protheus_Cadastro!$A:$B,2,FALSE),"—"))</f>
        <v/>
      </c>
      <c r="D565" s="91">
        <f>IF(B565="—",IFERROR(INDEX(_ZIG_Cadastro!$D:$D,MATCH(H565,_ZIG_Cadastro!$A:$A,0)),"Produto"),IFERROR(VLOOKUP(B565,_Protheus_Cadastro!$A:$C,3,FALSE),"—"))</f>
        <v/>
      </c>
      <c r="E565" s="91">
        <f>IF(B565="—","—",IFERROR(VLOOKUP(B565,_Protheus_Cadastro!$A:$D,4,FALSE),"—"))</f>
        <v/>
      </c>
      <c r="F565" s="91">
        <f>IF(ISERROR(VLOOKUP(B565,'Estrutura Protheus'!A:A,1,FALSE)),"Não","Sim")</f>
        <v/>
      </c>
      <c r="G565" s="92">
        <f>IFERROR(INDEX(_Protheus_Cadastro!$H:$H,MATCH(B565,_Protheus_Cadastro!$A:$A,0)),"—")</f>
        <v/>
      </c>
      <c r="H565" s="210">
        <f>IFERROR(INDEX(_ZIG_Precos!$D:$D,MATCH(I565,_ZIG_Precos!$F:$F,0)),"—")</f>
        <v/>
      </c>
      <c r="I565" s="95">
        <f>IFERROR(VLOOKUP(B565,_Protheus_Cadastro!$A:$I,9,FALSE),"—")</f>
        <v/>
      </c>
      <c r="J565" s="93">
        <f>IFERROR(INDEX(_ZIG_Cadastro!$B:$B,MATCH(I565,_ZIG_Cadastro!$A:$A,0)),IFERROR(INDEX(_Entradas_ZIG!$B:$B,MATCH(I565,_Entradas_ZIG!$C:$C,0)),"—"))</f>
        <v/>
      </c>
      <c r="K565" s="93">
        <f>IFERROR(INDEX(_ZIG_Cadastro!$C:$C,MATCH(I565,_ZIG_Cadastro!$A:$A,0)),IFERROR(INDEX(_Entradas_ZIG!$D:$D,MATCH(I565,_Entradas_ZIG!$C:$C,0)),"—"))</f>
        <v/>
      </c>
      <c r="L565" s="92">
        <f>IF(I565="","Sem SKU ZIG",IF(I565="—","Sem SKU ZIG",IF(NOT(ISERROR(MATCH(I565,_ZIG_Cadastro!$A:$A,0))),IF(EXACT(UPPER(TRIM(C565)),UPPER(TRIM(INDEX(_ZIG_Cadastro!$B:$B,MATCH(I565,_ZIG_Cadastro!$A:$A,0))))),"OK","Atencao - Nome diverge"),IF(NOT(ISERROR(MATCH(I565,_Entradas_ZIG!$C:$C,0))),"OK","Erro - SKU nao encontrado"))))</f>
        <v/>
      </c>
      <c r="M565" s="92">
        <f>IFERROR(INDEX(_ZIG_Cadastro!$G:$G,MATCH(I565,_ZIG_Cadastro!$A:$A,0)),IF(NOT(ISERROR(MATCH(I565,_Entradas_ZIG!$C:$C,0))),"Ativo","—"))</f>
        <v/>
      </c>
      <c r="N565" s="94">
        <f>IFERROR(INDEX(_ZIG_Cadastro!$E:$E,MATCH(I565,_ZIG_Cadastro!$A:$A,0)),IFERROR(INDEX(_Entradas_ZIG!$F:$F,MATCH(I565,_Entradas_ZIG!$C:$C,0)),"—"))</f>
        <v/>
      </c>
      <c r="O565" s="92">
        <f>IF(AND(ISNUMBER(SEARCH("Espeto",N565)),ISNUMBER(SEARCH("Carin",N565))),"SIM","")</f>
        <v/>
      </c>
      <c r="P565" s="92">
        <f>IF(AND(ISNUMBER(SEARCH("Espeto",N565)),ISNUMBER(SEARCH("Lapa",N565))),"SIM","")</f>
        <v/>
      </c>
      <c r="Q565" s="92">
        <f>IF(AND(ISNUMBER(SEARCH("Espeto",N565)),ISNUMBER(SEARCH("Tatuapé",N565))),"SIM","")</f>
        <v/>
      </c>
      <c r="R565" s="92">
        <f>IF(AND(ISNUMBER(SEARCH("Espeto",N565)),ISNUMBER(SEARCH("Pavão",N565))),"SIM","")</f>
        <v/>
      </c>
      <c r="S565" s="92">
        <f>IF(AND(ISNUMBER(SEARCH("Espeto",N565)),ISNUMBER(SEARCH("Chac",N565))),"SIM","")</f>
        <v/>
      </c>
      <c r="T565" s="92">
        <f>IF(AND(ISNUMBER(SEARCH("Espeto",N565)),ISNUMBER(SEARCH("Madalena",N565))),"SIM","")</f>
        <v/>
      </c>
      <c r="U565" s="92">
        <f>IF(AND(ISNUMBER(SEARCH("Espeto",N565)),ISNUMBER(SEARCH("Mariana",N565))),"SIM","")</f>
        <v/>
      </c>
      <c r="V565" s="92">
        <f>IF(AND(ISNUMBER(SEARCH("Espeto",N565)),ISNUMBER(SEARCH("Perdizes",N565))),"SIM","")</f>
        <v/>
      </c>
      <c r="W565" s="92">
        <f>IF(AND(ISNUMBER(SEARCH("Espeto",N565)),ISNUMBER(SEARCH("Santana",N565))),"SIM","")</f>
        <v/>
      </c>
      <c r="X565" s="92">
        <f>IF(AND(ISNUMBER(SEARCH("Espeto",N565)),ISNUMBER(SEARCH("André",N565))),"SIM","")</f>
        <v/>
      </c>
      <c r="Y565" s="92">
        <f>IF(AND(ISNUMBER(SEARCH("Delivery",N565)),ISNUMBER(SEARCH("Carin",N565))),"SIM","")</f>
        <v/>
      </c>
      <c r="Z565" s="92">
        <f>IF(AND(ISNUMBER(SEARCH("Delivery",N565)),ISNUMBER(SEARCH("Lapa",N565))),"SIM","")</f>
        <v/>
      </c>
      <c r="AA565" s="92">
        <f>IF(AND(ISNUMBER(SEARCH("Delivery",N565)),ISNUMBER(SEARCH("Tatuapé",N565))),"SIM","")</f>
        <v/>
      </c>
      <c r="AB565" s="92">
        <f>IF(AND(ISNUMBER(SEARCH("Delivery",N565)),ISNUMBER(SEARCH("Pavão",N565))),"SIM","")</f>
        <v/>
      </c>
      <c r="AC565" s="92">
        <f>IF(AND(ISNUMBER(SEARCH("Delivery",N565)),ISNUMBER(SEARCH("Chac",N565))),"SIM","")</f>
        <v/>
      </c>
      <c r="AD565" s="92">
        <f>IF(AND(ISNUMBER(SEARCH("Delivery",N565)),ISNUMBER(SEARCH("Madalena",N565))),"SIM","")</f>
        <v/>
      </c>
      <c r="AE565" s="99">
        <f>IF(AND(ISNUMBER(SEARCH("Delivery",N565)),ISNUMBER(SEARCH("Mariana",N565))),"SIM","")</f>
        <v/>
      </c>
      <c r="AF565" s="99">
        <f>IF(AND(ISNUMBER(SEARCH("Delivery",N565)),ISNUMBER(SEARCH("Perdizes",N565))),"SIM","")</f>
        <v/>
      </c>
      <c r="AG565" s="99">
        <f>IF(AND(ISNUMBER(SEARCH("Delivery",N565)),ISNUMBER(SEARCH("Santana",N565))),"SIM","")</f>
        <v/>
      </c>
      <c r="AH565" s="99">
        <f>IF(AND(ISNUMBER(SEARCH("Delivery",N565)),ISNUMBER(SEARCH("André",N565))),"SIM","")</f>
        <v/>
      </c>
      <c r="AI565" s="99">
        <f>IF(ISNUMBER(SEARCH("Interlagos",N565)),"SIM","")</f>
        <v/>
      </c>
      <c r="AJ565" s="99">
        <f>IF(ISNUMBER(SEARCH("Quiosque",N565)),"SIM","")</f>
        <v/>
      </c>
      <c r="AK565" s="101" t="n"/>
    </row>
    <row r="566">
      <c r="A566" s="88" t="inlineStr">
        <is>
          <t>Protheus</t>
        </is>
      </c>
      <c r="B566" s="96" t="inlineStr">
        <is>
          <t>002184</t>
        </is>
      </c>
      <c r="C566" s="97">
        <f>IF(B566="—","—",IFERROR(VLOOKUP(B566,_Protheus_Cadastro!$A:$B,2,FALSE),"—"))</f>
        <v/>
      </c>
      <c r="D566" s="98">
        <f>IF(B566="—",IFERROR(INDEX(_ZIG_Cadastro!$D:$D,MATCH(H566,_ZIG_Cadastro!$A:$A,0)),"Produto"),IFERROR(VLOOKUP(B566,_Protheus_Cadastro!$A:$C,3,FALSE),"—"))</f>
        <v/>
      </c>
      <c r="E566" s="98">
        <f>IF(B566="—","—",IFERROR(VLOOKUP(B566,_Protheus_Cadastro!$A:$D,4,FALSE),"—"))</f>
        <v/>
      </c>
      <c r="F566" s="98">
        <f>IF(ISERROR(VLOOKUP(B566,'Estrutura Protheus'!A:A,1,FALSE)),"Não","Sim")</f>
        <v/>
      </c>
      <c r="G566" s="99">
        <f>IFERROR(INDEX(_Protheus_Cadastro!$H:$H,MATCH(B566,_Protheus_Cadastro!$A:$A,0)),"—")</f>
        <v/>
      </c>
      <c r="H566" s="211">
        <f>IFERROR(INDEX(_ZIG_Precos!$D:$D,MATCH(I566,_ZIG_Precos!$F:$F,0)),"—")</f>
        <v/>
      </c>
      <c r="I566" s="103">
        <f>IFERROR(VLOOKUP(B566,_Protheus_Cadastro!$A:$I,9,FALSE),"—")</f>
        <v/>
      </c>
      <c r="J566" s="101">
        <f>IFERROR(INDEX(_ZIG_Cadastro!$B:$B,MATCH(I566,_ZIG_Cadastro!$A:$A,0)),IFERROR(INDEX(_Entradas_ZIG!$B:$B,MATCH(I566,_Entradas_ZIG!$C:$C,0)),"—"))</f>
        <v/>
      </c>
      <c r="K566" s="101">
        <f>IFERROR(INDEX(_ZIG_Cadastro!$C:$C,MATCH(I566,_ZIG_Cadastro!$A:$A,0)),IFERROR(INDEX(_Entradas_ZIG!$D:$D,MATCH(I566,_Entradas_ZIG!$C:$C,0)),"—"))</f>
        <v/>
      </c>
      <c r="L566" s="99">
        <f>IF(I566="","Sem SKU ZIG",IF(I566="—","Sem SKU ZIG",IF(NOT(ISERROR(MATCH(I566,_ZIG_Cadastro!$A:$A,0))),IF(EXACT(UPPER(TRIM(C566)),UPPER(TRIM(INDEX(_ZIG_Cadastro!$B:$B,MATCH(I566,_ZIG_Cadastro!$A:$A,0))))),"OK","Atencao - Nome diverge"),IF(NOT(ISERROR(MATCH(I566,_Entradas_ZIG!$C:$C,0))),"OK","Erro - SKU nao encontrado"))))</f>
        <v/>
      </c>
      <c r="M566" s="99">
        <f>IFERROR(INDEX(_ZIG_Cadastro!$G:$G,MATCH(I566,_ZIG_Cadastro!$A:$A,0)),IF(NOT(ISERROR(MATCH(I566,_Entradas_ZIG!$C:$C,0))),"Ativo","—"))</f>
        <v/>
      </c>
      <c r="N566" s="102">
        <f>IFERROR(INDEX(_ZIG_Cadastro!$E:$E,MATCH(I566,_ZIG_Cadastro!$A:$A,0)),IFERROR(INDEX(_Entradas_ZIG!$F:$F,MATCH(I566,_Entradas_ZIG!$C:$C,0)),"—"))</f>
        <v/>
      </c>
      <c r="O566" s="99">
        <f>IF(AND(ISNUMBER(SEARCH("Espeto",N566)),ISNUMBER(SEARCH("Carin",N566))),"SIM","")</f>
        <v/>
      </c>
      <c r="P566" s="99">
        <f>IF(AND(ISNUMBER(SEARCH("Espeto",N566)),ISNUMBER(SEARCH("Lapa",N566))),"SIM","")</f>
        <v/>
      </c>
      <c r="Q566" s="99">
        <f>IF(AND(ISNUMBER(SEARCH("Espeto",N566)),ISNUMBER(SEARCH("Tatuapé",N566))),"SIM","")</f>
        <v/>
      </c>
      <c r="R566" s="99">
        <f>IF(AND(ISNUMBER(SEARCH("Espeto",N566)),ISNUMBER(SEARCH("Pavão",N566))),"SIM","")</f>
        <v/>
      </c>
      <c r="S566" s="99">
        <f>IF(AND(ISNUMBER(SEARCH("Espeto",N566)),ISNUMBER(SEARCH("Chac",N566))),"SIM","")</f>
        <v/>
      </c>
      <c r="T566" s="99">
        <f>IF(AND(ISNUMBER(SEARCH("Espeto",N566)),ISNUMBER(SEARCH("Madalena",N566))),"SIM","")</f>
        <v/>
      </c>
      <c r="U566" s="99">
        <f>IF(AND(ISNUMBER(SEARCH("Espeto",N566)),ISNUMBER(SEARCH("Mariana",N566))),"SIM","")</f>
        <v/>
      </c>
      <c r="V566" s="99">
        <f>IF(AND(ISNUMBER(SEARCH("Espeto",N566)),ISNUMBER(SEARCH("Perdizes",N566))),"SIM","")</f>
        <v/>
      </c>
      <c r="W566" s="99">
        <f>IF(AND(ISNUMBER(SEARCH("Espeto",N566)),ISNUMBER(SEARCH("Santana",N566))),"SIM","")</f>
        <v/>
      </c>
      <c r="X566" s="99">
        <f>IF(AND(ISNUMBER(SEARCH("Espeto",N566)),ISNUMBER(SEARCH("André",N566))),"SIM","")</f>
        <v/>
      </c>
      <c r="Y566" s="99">
        <f>IF(AND(ISNUMBER(SEARCH("Delivery",N566)),ISNUMBER(SEARCH("Carin",N566))),"SIM","")</f>
        <v/>
      </c>
      <c r="Z566" s="99">
        <f>IF(AND(ISNUMBER(SEARCH("Delivery",N566)),ISNUMBER(SEARCH("Lapa",N566))),"SIM","")</f>
        <v/>
      </c>
      <c r="AA566" s="99">
        <f>IF(AND(ISNUMBER(SEARCH("Delivery",N566)),ISNUMBER(SEARCH("Tatuapé",N566))),"SIM","")</f>
        <v/>
      </c>
      <c r="AB566" s="99">
        <f>IF(AND(ISNUMBER(SEARCH("Delivery",N566)),ISNUMBER(SEARCH("Pavão",N566))),"SIM","")</f>
        <v/>
      </c>
      <c r="AC566" s="99">
        <f>IF(AND(ISNUMBER(SEARCH("Delivery",N566)),ISNUMBER(SEARCH("Chac",N566))),"SIM","")</f>
        <v/>
      </c>
      <c r="AD566" s="99">
        <f>IF(AND(ISNUMBER(SEARCH("Delivery",N566)),ISNUMBER(SEARCH("Madalena",N566))),"SIM","")</f>
        <v/>
      </c>
      <c r="AE566" s="92">
        <f>IF(AND(ISNUMBER(SEARCH("Delivery",N566)),ISNUMBER(SEARCH("Mariana",N566))),"SIM","")</f>
        <v/>
      </c>
      <c r="AF566" s="92">
        <f>IF(AND(ISNUMBER(SEARCH("Delivery",N566)),ISNUMBER(SEARCH("Perdizes",N566))),"SIM","")</f>
        <v/>
      </c>
      <c r="AG566" s="92">
        <f>IF(AND(ISNUMBER(SEARCH("Delivery",N566)),ISNUMBER(SEARCH("Santana",N566))),"SIM","")</f>
        <v/>
      </c>
      <c r="AH566" s="92">
        <f>IF(AND(ISNUMBER(SEARCH("Delivery",N566)),ISNUMBER(SEARCH("André",N566))),"SIM","")</f>
        <v/>
      </c>
      <c r="AI566" s="92">
        <f>IF(ISNUMBER(SEARCH("Interlagos",N566)),"SIM","")</f>
        <v/>
      </c>
      <c r="AJ566" s="92">
        <f>IF(ISNUMBER(SEARCH("Quiosque",N566)),"SIM","")</f>
        <v/>
      </c>
      <c r="AK566" s="93" t="n"/>
    </row>
    <row r="567">
      <c r="A567" s="88" t="inlineStr">
        <is>
          <t>Protheus</t>
        </is>
      </c>
      <c r="B567" s="89" t="inlineStr">
        <is>
          <t>010318</t>
        </is>
      </c>
      <c r="C567" s="90">
        <f>IF(B567="—","—",IFERROR(VLOOKUP(B567,_Protheus_Cadastro!$A:$B,2,FALSE),"—"))</f>
        <v/>
      </c>
      <c r="D567" s="91">
        <f>IF(B567="—",IFERROR(INDEX(_ZIG_Cadastro!$D:$D,MATCH(H567,_ZIG_Cadastro!$A:$A,0)),"Produto"),IFERROR(VLOOKUP(B567,_Protheus_Cadastro!$A:$C,3,FALSE),"—"))</f>
        <v/>
      </c>
      <c r="E567" s="91">
        <f>IF(B567="—","—",IFERROR(VLOOKUP(B567,_Protheus_Cadastro!$A:$D,4,FALSE),"—"))</f>
        <v/>
      </c>
      <c r="F567" s="91">
        <f>IF(ISERROR(VLOOKUP(B567,'Estrutura Protheus'!A:A,1,FALSE)),"Não","Sim")</f>
        <v/>
      </c>
      <c r="G567" s="92">
        <f>IFERROR(INDEX(_Protheus_Cadastro!$H:$H,MATCH(B567,_Protheus_Cadastro!$A:$A,0)),"—")</f>
        <v/>
      </c>
      <c r="H567" s="210">
        <f>IFERROR(INDEX(_ZIG_Precos!$D:$D,MATCH(I567,_ZIG_Precos!$F:$F,0)),"—")</f>
        <v/>
      </c>
      <c r="I567" s="95">
        <f>IFERROR(VLOOKUP(B567,_Protheus_Cadastro!$A:$I,9,FALSE),"—")</f>
        <v/>
      </c>
      <c r="J567" s="93">
        <f>IFERROR(INDEX(_ZIG_Cadastro!$B:$B,MATCH(I567,_ZIG_Cadastro!$A:$A,0)),IFERROR(INDEX(_Entradas_ZIG!$B:$B,MATCH(I567,_Entradas_ZIG!$C:$C,0)),"—"))</f>
        <v/>
      </c>
      <c r="K567" s="93">
        <f>IFERROR(INDEX(_ZIG_Cadastro!$C:$C,MATCH(I567,_ZIG_Cadastro!$A:$A,0)),IFERROR(INDEX(_Entradas_ZIG!$D:$D,MATCH(I567,_Entradas_ZIG!$C:$C,0)),"—"))</f>
        <v/>
      </c>
      <c r="L567" s="92">
        <f>IF(I567="","Sem SKU ZIG",IF(I567="—","Sem SKU ZIG",IF(NOT(ISERROR(MATCH(I567,_ZIG_Cadastro!$A:$A,0))),IF(EXACT(UPPER(TRIM(C567)),UPPER(TRIM(INDEX(_ZIG_Cadastro!$B:$B,MATCH(I567,_ZIG_Cadastro!$A:$A,0))))),"OK","Atencao - Nome diverge"),IF(NOT(ISERROR(MATCH(I567,_Entradas_ZIG!$C:$C,0))),"OK","Erro - SKU nao encontrado"))))</f>
        <v/>
      </c>
      <c r="M567" s="92">
        <f>IFERROR(INDEX(_ZIG_Cadastro!$G:$G,MATCH(I567,_ZIG_Cadastro!$A:$A,0)),IF(NOT(ISERROR(MATCH(I567,_Entradas_ZIG!$C:$C,0))),"Ativo","—"))</f>
        <v/>
      </c>
      <c r="N567" s="94">
        <f>IFERROR(INDEX(_ZIG_Cadastro!$E:$E,MATCH(I567,_ZIG_Cadastro!$A:$A,0)),IFERROR(INDEX(_Entradas_ZIG!$F:$F,MATCH(I567,_Entradas_ZIG!$C:$C,0)),"—"))</f>
        <v/>
      </c>
      <c r="O567" s="92">
        <f>IF(AND(ISNUMBER(SEARCH("Espeto",N567)),ISNUMBER(SEARCH("Carin",N567))),"SIM","")</f>
        <v/>
      </c>
      <c r="P567" s="92">
        <f>IF(AND(ISNUMBER(SEARCH("Espeto",N567)),ISNUMBER(SEARCH("Lapa",N567))),"SIM","")</f>
        <v/>
      </c>
      <c r="Q567" s="92">
        <f>IF(AND(ISNUMBER(SEARCH("Espeto",N567)),ISNUMBER(SEARCH("Tatuapé",N567))),"SIM","")</f>
        <v/>
      </c>
      <c r="R567" s="92">
        <f>IF(AND(ISNUMBER(SEARCH("Espeto",N567)),ISNUMBER(SEARCH("Pavão",N567))),"SIM","")</f>
        <v/>
      </c>
      <c r="S567" s="92">
        <f>IF(AND(ISNUMBER(SEARCH("Espeto",N567)),ISNUMBER(SEARCH("Chac",N567))),"SIM","")</f>
        <v/>
      </c>
      <c r="T567" s="92">
        <f>IF(AND(ISNUMBER(SEARCH("Espeto",N567)),ISNUMBER(SEARCH("Madalena",N567))),"SIM","")</f>
        <v/>
      </c>
      <c r="U567" s="92">
        <f>IF(AND(ISNUMBER(SEARCH("Espeto",N567)),ISNUMBER(SEARCH("Mariana",N567))),"SIM","")</f>
        <v/>
      </c>
      <c r="V567" s="92">
        <f>IF(AND(ISNUMBER(SEARCH("Espeto",N567)),ISNUMBER(SEARCH("Perdizes",N567))),"SIM","")</f>
        <v/>
      </c>
      <c r="W567" s="92">
        <f>IF(AND(ISNUMBER(SEARCH("Espeto",N567)),ISNUMBER(SEARCH("Santana",N567))),"SIM","")</f>
        <v/>
      </c>
      <c r="X567" s="92">
        <f>IF(AND(ISNUMBER(SEARCH("Espeto",N567)),ISNUMBER(SEARCH("André",N567))),"SIM","")</f>
        <v/>
      </c>
      <c r="Y567" s="92">
        <f>IF(AND(ISNUMBER(SEARCH("Delivery",N567)),ISNUMBER(SEARCH("Carin",N567))),"SIM","")</f>
        <v/>
      </c>
      <c r="Z567" s="92">
        <f>IF(AND(ISNUMBER(SEARCH("Delivery",N567)),ISNUMBER(SEARCH("Lapa",N567))),"SIM","")</f>
        <v/>
      </c>
      <c r="AA567" s="92">
        <f>IF(AND(ISNUMBER(SEARCH("Delivery",N567)),ISNUMBER(SEARCH("Tatuapé",N567))),"SIM","")</f>
        <v/>
      </c>
      <c r="AB567" s="92">
        <f>IF(AND(ISNUMBER(SEARCH("Delivery",N567)),ISNUMBER(SEARCH("Pavão",N567))),"SIM","")</f>
        <v/>
      </c>
      <c r="AC567" s="92">
        <f>IF(AND(ISNUMBER(SEARCH("Delivery",N567)),ISNUMBER(SEARCH("Chac",N567))),"SIM","")</f>
        <v/>
      </c>
      <c r="AD567" s="92">
        <f>IF(AND(ISNUMBER(SEARCH("Delivery",N567)),ISNUMBER(SEARCH("Madalena",N567))),"SIM","")</f>
        <v/>
      </c>
      <c r="AE567" s="99">
        <f>IF(AND(ISNUMBER(SEARCH("Delivery",N567)),ISNUMBER(SEARCH("Mariana",N567))),"SIM","")</f>
        <v/>
      </c>
      <c r="AF567" s="99">
        <f>IF(AND(ISNUMBER(SEARCH("Delivery",N567)),ISNUMBER(SEARCH("Perdizes",N567))),"SIM","")</f>
        <v/>
      </c>
      <c r="AG567" s="99">
        <f>IF(AND(ISNUMBER(SEARCH("Delivery",N567)),ISNUMBER(SEARCH("Santana",N567))),"SIM","")</f>
        <v/>
      </c>
      <c r="AH567" s="99">
        <f>IF(AND(ISNUMBER(SEARCH("Delivery",N567)),ISNUMBER(SEARCH("André",N567))),"SIM","")</f>
        <v/>
      </c>
      <c r="AI567" s="99">
        <f>IF(ISNUMBER(SEARCH("Interlagos",N567)),"SIM","")</f>
        <v/>
      </c>
      <c r="AJ567" s="99">
        <f>IF(ISNUMBER(SEARCH("Quiosque",N567)),"SIM","")</f>
        <v/>
      </c>
      <c r="AK567" s="101" t="n"/>
    </row>
    <row r="568">
      <c r="A568" s="88" t="inlineStr">
        <is>
          <t>Protheus</t>
        </is>
      </c>
      <c r="B568" s="96" t="inlineStr">
        <is>
          <t>000883</t>
        </is>
      </c>
      <c r="C568" s="97">
        <f>IF(B568="—","—",IFERROR(VLOOKUP(B568,_Protheus_Cadastro!$A:$B,2,FALSE),"—"))</f>
        <v/>
      </c>
      <c r="D568" s="98">
        <f>IF(B568="—",IFERROR(INDEX(_ZIG_Cadastro!$D:$D,MATCH(H568,_ZIG_Cadastro!$A:$A,0)),"Produto"),IFERROR(VLOOKUP(B568,_Protheus_Cadastro!$A:$C,3,FALSE),"—"))</f>
        <v/>
      </c>
      <c r="E568" s="98">
        <f>IF(B568="—","—",IFERROR(VLOOKUP(B568,_Protheus_Cadastro!$A:$D,4,FALSE),"—"))</f>
        <v/>
      </c>
      <c r="F568" s="98">
        <f>IF(ISERROR(VLOOKUP(B568,'Estrutura Protheus'!A:A,1,FALSE)),"Não","Sim")</f>
        <v/>
      </c>
      <c r="G568" s="99">
        <f>IFERROR(INDEX(_Protheus_Cadastro!$H:$H,MATCH(B568,_Protheus_Cadastro!$A:$A,0)),"—")</f>
        <v/>
      </c>
      <c r="H568" s="211">
        <f>IFERROR(INDEX(_ZIG_Precos!$D:$D,MATCH(I568,_ZIG_Precos!$F:$F,0)),"—")</f>
        <v/>
      </c>
      <c r="I568" s="103">
        <f>IFERROR(VLOOKUP(B568,_Protheus_Cadastro!$A:$I,9,FALSE),"—")</f>
        <v/>
      </c>
      <c r="J568" s="101">
        <f>IFERROR(INDEX(_ZIG_Cadastro!$B:$B,MATCH(I568,_ZIG_Cadastro!$A:$A,0)),IFERROR(INDEX(_Entradas_ZIG!$B:$B,MATCH(I568,_Entradas_ZIG!$C:$C,0)),"—"))</f>
        <v/>
      </c>
      <c r="K568" s="101">
        <f>IFERROR(INDEX(_ZIG_Cadastro!$C:$C,MATCH(I568,_ZIG_Cadastro!$A:$A,0)),IFERROR(INDEX(_Entradas_ZIG!$D:$D,MATCH(I568,_Entradas_ZIG!$C:$C,0)),"—"))</f>
        <v/>
      </c>
      <c r="L568" s="99">
        <f>IF(I568="","Sem SKU ZIG",IF(I568="—","Sem SKU ZIG",IF(NOT(ISERROR(MATCH(I568,_ZIG_Cadastro!$A:$A,0))),IF(EXACT(UPPER(TRIM(C568)),UPPER(TRIM(INDEX(_ZIG_Cadastro!$B:$B,MATCH(I568,_ZIG_Cadastro!$A:$A,0))))),"OK","Atencao - Nome diverge"),IF(NOT(ISERROR(MATCH(I568,_Entradas_ZIG!$C:$C,0))),"OK","Erro - SKU nao encontrado"))))</f>
        <v/>
      </c>
      <c r="M568" s="99">
        <f>IFERROR(INDEX(_ZIG_Cadastro!$G:$G,MATCH(I568,_ZIG_Cadastro!$A:$A,0)),IF(NOT(ISERROR(MATCH(I568,_Entradas_ZIG!$C:$C,0))),"Ativo","—"))</f>
        <v/>
      </c>
      <c r="N568" s="102">
        <f>IFERROR(INDEX(_ZIG_Cadastro!$E:$E,MATCH(I568,_ZIG_Cadastro!$A:$A,0)),IFERROR(INDEX(_Entradas_ZIG!$F:$F,MATCH(I568,_Entradas_ZIG!$C:$C,0)),"—"))</f>
        <v/>
      </c>
      <c r="O568" s="99">
        <f>IF(AND(ISNUMBER(SEARCH("Espeto",N568)),ISNUMBER(SEARCH("Carin",N568))),"SIM","")</f>
        <v/>
      </c>
      <c r="P568" s="99">
        <f>IF(AND(ISNUMBER(SEARCH("Espeto",N568)),ISNUMBER(SEARCH("Lapa",N568))),"SIM","")</f>
        <v/>
      </c>
      <c r="Q568" s="99">
        <f>IF(AND(ISNUMBER(SEARCH("Espeto",N568)),ISNUMBER(SEARCH("Tatuapé",N568))),"SIM","")</f>
        <v/>
      </c>
      <c r="R568" s="99">
        <f>IF(AND(ISNUMBER(SEARCH("Espeto",N568)),ISNUMBER(SEARCH("Pavão",N568))),"SIM","")</f>
        <v/>
      </c>
      <c r="S568" s="99">
        <f>IF(AND(ISNUMBER(SEARCH("Espeto",N568)),ISNUMBER(SEARCH("Chac",N568))),"SIM","")</f>
        <v/>
      </c>
      <c r="T568" s="99">
        <f>IF(AND(ISNUMBER(SEARCH("Espeto",N568)),ISNUMBER(SEARCH("Madalena",N568))),"SIM","")</f>
        <v/>
      </c>
      <c r="U568" s="99">
        <f>IF(AND(ISNUMBER(SEARCH("Espeto",N568)),ISNUMBER(SEARCH("Mariana",N568))),"SIM","")</f>
        <v/>
      </c>
      <c r="V568" s="99">
        <f>IF(AND(ISNUMBER(SEARCH("Espeto",N568)),ISNUMBER(SEARCH("Perdizes",N568))),"SIM","")</f>
        <v/>
      </c>
      <c r="W568" s="99">
        <f>IF(AND(ISNUMBER(SEARCH("Espeto",N568)),ISNUMBER(SEARCH("Santana",N568))),"SIM","")</f>
        <v/>
      </c>
      <c r="X568" s="99">
        <f>IF(AND(ISNUMBER(SEARCH("Espeto",N568)),ISNUMBER(SEARCH("André",N568))),"SIM","")</f>
        <v/>
      </c>
      <c r="Y568" s="99">
        <f>IF(AND(ISNUMBER(SEARCH("Delivery",N568)),ISNUMBER(SEARCH("Carin",N568))),"SIM","")</f>
        <v/>
      </c>
      <c r="Z568" s="99">
        <f>IF(AND(ISNUMBER(SEARCH("Delivery",N568)),ISNUMBER(SEARCH("Lapa",N568))),"SIM","")</f>
        <v/>
      </c>
      <c r="AA568" s="99">
        <f>IF(AND(ISNUMBER(SEARCH("Delivery",N568)),ISNUMBER(SEARCH("Tatuapé",N568))),"SIM","")</f>
        <v/>
      </c>
      <c r="AB568" s="99">
        <f>IF(AND(ISNUMBER(SEARCH("Delivery",N568)),ISNUMBER(SEARCH("Pavão",N568))),"SIM","")</f>
        <v/>
      </c>
      <c r="AC568" s="99">
        <f>IF(AND(ISNUMBER(SEARCH("Delivery",N568)),ISNUMBER(SEARCH("Chac",N568))),"SIM","")</f>
        <v/>
      </c>
      <c r="AD568" s="99">
        <f>IF(AND(ISNUMBER(SEARCH("Delivery",N568)),ISNUMBER(SEARCH("Madalena",N568))),"SIM","")</f>
        <v/>
      </c>
      <c r="AE568" s="92">
        <f>IF(AND(ISNUMBER(SEARCH("Delivery",N568)),ISNUMBER(SEARCH("Mariana",N568))),"SIM","")</f>
        <v/>
      </c>
      <c r="AF568" s="92">
        <f>IF(AND(ISNUMBER(SEARCH("Delivery",N568)),ISNUMBER(SEARCH("Perdizes",N568))),"SIM","")</f>
        <v/>
      </c>
      <c r="AG568" s="92">
        <f>IF(AND(ISNUMBER(SEARCH("Delivery",N568)),ISNUMBER(SEARCH("Santana",N568))),"SIM","")</f>
        <v/>
      </c>
      <c r="AH568" s="92">
        <f>IF(AND(ISNUMBER(SEARCH("Delivery",N568)),ISNUMBER(SEARCH("André",N568))),"SIM","")</f>
        <v/>
      </c>
      <c r="AI568" s="92">
        <f>IF(ISNUMBER(SEARCH("Interlagos",N568)),"SIM","")</f>
        <v/>
      </c>
      <c r="AJ568" s="92">
        <f>IF(ISNUMBER(SEARCH("Quiosque",N568)),"SIM","")</f>
        <v/>
      </c>
      <c r="AK568" s="93" t="n"/>
    </row>
    <row r="569">
      <c r="A569" s="88" t="inlineStr">
        <is>
          <t>Protheus</t>
        </is>
      </c>
      <c r="B569" s="89" t="inlineStr">
        <is>
          <t>000889</t>
        </is>
      </c>
      <c r="C569" s="90">
        <f>IF(B569="—","—",IFERROR(VLOOKUP(B569,_Protheus_Cadastro!$A:$B,2,FALSE),"—"))</f>
        <v/>
      </c>
      <c r="D569" s="91">
        <f>IF(B569="—",IFERROR(INDEX(_ZIG_Cadastro!$D:$D,MATCH(H569,_ZIG_Cadastro!$A:$A,0)),"Produto"),IFERROR(VLOOKUP(B569,_Protheus_Cadastro!$A:$C,3,FALSE),"—"))</f>
        <v/>
      </c>
      <c r="E569" s="91">
        <f>IF(B569="—","—",IFERROR(VLOOKUP(B569,_Protheus_Cadastro!$A:$D,4,FALSE),"—"))</f>
        <v/>
      </c>
      <c r="F569" s="91">
        <f>IF(ISERROR(VLOOKUP(B569,'Estrutura Protheus'!A:A,1,FALSE)),"Não","Sim")</f>
        <v/>
      </c>
      <c r="G569" s="92">
        <f>IFERROR(INDEX(_Protheus_Cadastro!$H:$H,MATCH(B569,_Protheus_Cadastro!$A:$A,0)),"—")</f>
        <v/>
      </c>
      <c r="H569" s="210">
        <f>IFERROR(INDEX(_ZIG_Precos!$D:$D,MATCH(I569,_ZIG_Precos!$F:$F,0)),"—")</f>
        <v/>
      </c>
      <c r="I569" s="95">
        <f>IFERROR(VLOOKUP(B569,_Protheus_Cadastro!$A:$I,9,FALSE),"—")</f>
        <v/>
      </c>
      <c r="J569" s="93">
        <f>IFERROR(INDEX(_ZIG_Cadastro!$B:$B,MATCH(I569,_ZIG_Cadastro!$A:$A,0)),IFERROR(INDEX(_Entradas_ZIG!$B:$B,MATCH(I569,_Entradas_ZIG!$C:$C,0)),"—"))</f>
        <v/>
      </c>
      <c r="K569" s="93">
        <f>IFERROR(INDEX(_ZIG_Cadastro!$C:$C,MATCH(I569,_ZIG_Cadastro!$A:$A,0)),IFERROR(INDEX(_Entradas_ZIG!$D:$D,MATCH(I569,_Entradas_ZIG!$C:$C,0)),"—"))</f>
        <v/>
      </c>
      <c r="L569" s="92">
        <f>IF(I569="","Sem SKU ZIG",IF(I569="—","Sem SKU ZIG",IF(NOT(ISERROR(MATCH(I569,_ZIG_Cadastro!$A:$A,0))),IF(EXACT(UPPER(TRIM(C569)),UPPER(TRIM(INDEX(_ZIG_Cadastro!$B:$B,MATCH(I569,_ZIG_Cadastro!$A:$A,0))))),"OK","Atencao - Nome diverge"),IF(NOT(ISERROR(MATCH(I569,_Entradas_ZIG!$C:$C,0))),"OK","Erro - SKU nao encontrado"))))</f>
        <v/>
      </c>
      <c r="M569" s="92">
        <f>IFERROR(INDEX(_ZIG_Cadastro!$G:$G,MATCH(I569,_ZIG_Cadastro!$A:$A,0)),IF(NOT(ISERROR(MATCH(I569,_Entradas_ZIG!$C:$C,0))),"Ativo","—"))</f>
        <v/>
      </c>
      <c r="N569" s="94">
        <f>IFERROR(INDEX(_ZIG_Cadastro!$E:$E,MATCH(I569,_ZIG_Cadastro!$A:$A,0)),IFERROR(INDEX(_Entradas_ZIG!$F:$F,MATCH(I569,_Entradas_ZIG!$C:$C,0)),"—"))</f>
        <v/>
      </c>
      <c r="O569" s="92">
        <f>IF(AND(ISNUMBER(SEARCH("Espeto",N569)),ISNUMBER(SEARCH("Carin",N569))),"SIM","")</f>
        <v/>
      </c>
      <c r="P569" s="92">
        <f>IF(AND(ISNUMBER(SEARCH("Espeto",N569)),ISNUMBER(SEARCH("Lapa",N569))),"SIM","")</f>
        <v/>
      </c>
      <c r="Q569" s="92">
        <f>IF(AND(ISNUMBER(SEARCH("Espeto",N569)),ISNUMBER(SEARCH("Tatuapé",N569))),"SIM","")</f>
        <v/>
      </c>
      <c r="R569" s="92">
        <f>IF(AND(ISNUMBER(SEARCH("Espeto",N569)),ISNUMBER(SEARCH("Pavão",N569))),"SIM","")</f>
        <v/>
      </c>
      <c r="S569" s="92">
        <f>IF(AND(ISNUMBER(SEARCH("Espeto",N569)),ISNUMBER(SEARCH("Chac",N569))),"SIM","")</f>
        <v/>
      </c>
      <c r="T569" s="92">
        <f>IF(AND(ISNUMBER(SEARCH("Espeto",N569)),ISNUMBER(SEARCH("Madalena",N569))),"SIM","")</f>
        <v/>
      </c>
      <c r="U569" s="92">
        <f>IF(AND(ISNUMBER(SEARCH("Espeto",N569)),ISNUMBER(SEARCH("Mariana",N569))),"SIM","")</f>
        <v/>
      </c>
      <c r="V569" s="92">
        <f>IF(AND(ISNUMBER(SEARCH("Espeto",N569)),ISNUMBER(SEARCH("Perdizes",N569))),"SIM","")</f>
        <v/>
      </c>
      <c r="W569" s="92">
        <f>IF(AND(ISNUMBER(SEARCH("Espeto",N569)),ISNUMBER(SEARCH("Santana",N569))),"SIM","")</f>
        <v/>
      </c>
      <c r="X569" s="92">
        <f>IF(AND(ISNUMBER(SEARCH("Espeto",N569)),ISNUMBER(SEARCH("André",N569))),"SIM","")</f>
        <v/>
      </c>
      <c r="Y569" s="92">
        <f>IF(AND(ISNUMBER(SEARCH("Delivery",N569)),ISNUMBER(SEARCH("Carin",N569))),"SIM","")</f>
        <v/>
      </c>
      <c r="Z569" s="92">
        <f>IF(AND(ISNUMBER(SEARCH("Delivery",N569)),ISNUMBER(SEARCH("Lapa",N569))),"SIM","")</f>
        <v/>
      </c>
      <c r="AA569" s="92">
        <f>IF(AND(ISNUMBER(SEARCH("Delivery",N569)),ISNUMBER(SEARCH("Tatuapé",N569))),"SIM","")</f>
        <v/>
      </c>
      <c r="AB569" s="92">
        <f>IF(AND(ISNUMBER(SEARCH("Delivery",N569)),ISNUMBER(SEARCH("Pavão",N569))),"SIM","")</f>
        <v/>
      </c>
      <c r="AC569" s="92">
        <f>IF(AND(ISNUMBER(SEARCH("Delivery",N569)),ISNUMBER(SEARCH("Chac",N569))),"SIM","")</f>
        <v/>
      </c>
      <c r="AD569" s="92">
        <f>IF(AND(ISNUMBER(SEARCH("Delivery",N569)),ISNUMBER(SEARCH("Madalena",N569))),"SIM","")</f>
        <v/>
      </c>
      <c r="AE569" s="99">
        <f>IF(AND(ISNUMBER(SEARCH("Delivery",N569)),ISNUMBER(SEARCH("Mariana",N569))),"SIM","")</f>
        <v/>
      </c>
      <c r="AF569" s="99">
        <f>IF(AND(ISNUMBER(SEARCH("Delivery",N569)),ISNUMBER(SEARCH("Perdizes",N569))),"SIM","")</f>
        <v/>
      </c>
      <c r="AG569" s="99">
        <f>IF(AND(ISNUMBER(SEARCH("Delivery",N569)),ISNUMBER(SEARCH("Santana",N569))),"SIM","")</f>
        <v/>
      </c>
      <c r="AH569" s="99">
        <f>IF(AND(ISNUMBER(SEARCH("Delivery",N569)),ISNUMBER(SEARCH("André",N569))),"SIM","")</f>
        <v/>
      </c>
      <c r="AI569" s="99">
        <f>IF(ISNUMBER(SEARCH("Interlagos",N569)),"SIM","")</f>
        <v/>
      </c>
      <c r="AJ569" s="99">
        <f>IF(ISNUMBER(SEARCH("Quiosque",N569)),"SIM","")</f>
        <v/>
      </c>
      <c r="AK569" s="101" t="n"/>
    </row>
    <row r="570">
      <c r="A570" s="88" t="inlineStr">
        <is>
          <t>Protheus</t>
        </is>
      </c>
      <c r="B570" s="89" t="inlineStr">
        <is>
          <t>001328</t>
        </is>
      </c>
      <c r="C570" s="90">
        <f>IF(B570="—","—",IFERROR(VLOOKUP(B570,_Protheus_Cadastro!$A:$B,2,FALSE),"—"))</f>
        <v/>
      </c>
      <c r="D570" s="91">
        <f>IF(B570="—",IFERROR(INDEX(_ZIG_Cadastro!$D:$D,MATCH(H570,_ZIG_Cadastro!$A:$A,0)),"Produto"),IFERROR(VLOOKUP(B570,_Protheus_Cadastro!$A:$C,3,FALSE),"—"))</f>
        <v/>
      </c>
      <c r="E570" s="91">
        <f>IF(B570="—","—",IFERROR(VLOOKUP(B570,_Protheus_Cadastro!$A:$D,4,FALSE),"—"))</f>
        <v/>
      </c>
      <c r="F570" s="91">
        <f>IF(ISERROR(VLOOKUP(B570,'Estrutura Protheus'!A:A,1,FALSE)),"Não","Sim")</f>
        <v/>
      </c>
      <c r="G570" s="92">
        <f>IFERROR(INDEX(_Protheus_Cadastro!$H:$H,MATCH(B570,_Protheus_Cadastro!$A:$A,0)),"—")</f>
        <v/>
      </c>
      <c r="H570" s="210">
        <f>IFERROR(INDEX(_ZIG_Precos!$D:$D,MATCH(I570,_ZIG_Precos!$F:$F,0)),"—")</f>
        <v/>
      </c>
      <c r="I570" s="95">
        <f>IFERROR(VLOOKUP(B570,_Protheus_Cadastro!$A:$I,9,FALSE),"—")</f>
        <v/>
      </c>
      <c r="J570" s="93">
        <f>IFERROR(INDEX(_ZIG_Cadastro!$B:$B,MATCH(I570,_ZIG_Cadastro!$A:$A,0)),IFERROR(INDEX(_Entradas_ZIG!$B:$B,MATCH(I570,_Entradas_ZIG!$C:$C,0)),"—"))</f>
        <v/>
      </c>
      <c r="K570" s="93">
        <f>IFERROR(INDEX(_ZIG_Cadastro!$C:$C,MATCH(I570,_ZIG_Cadastro!$A:$A,0)),IFERROR(INDEX(_Entradas_ZIG!$D:$D,MATCH(I570,_Entradas_ZIG!$C:$C,0)),"—"))</f>
        <v/>
      </c>
      <c r="L570" s="92">
        <f>IF(I570="","Sem SKU ZIG",IF(I570="—","Sem SKU ZIG",IF(NOT(ISERROR(MATCH(I570,_ZIG_Cadastro!$A:$A,0))),IF(EXACT(UPPER(TRIM(C570)),UPPER(TRIM(INDEX(_ZIG_Cadastro!$B:$B,MATCH(I570,_ZIG_Cadastro!$A:$A,0))))),"OK","Atencao - Nome diverge"),IF(NOT(ISERROR(MATCH(I570,_Entradas_ZIG!$C:$C,0))),"OK","Erro - SKU nao encontrado"))))</f>
        <v/>
      </c>
      <c r="M570" s="92">
        <f>IFERROR(INDEX(_ZIG_Cadastro!$G:$G,MATCH(I570,_ZIG_Cadastro!$A:$A,0)),IF(NOT(ISERROR(MATCH(I570,_Entradas_ZIG!$C:$C,0))),"Ativo","—"))</f>
        <v/>
      </c>
      <c r="N570" s="94">
        <f>IFERROR(INDEX(_ZIG_Cadastro!$E:$E,MATCH(I570,_ZIG_Cadastro!$A:$A,0)),IFERROR(INDEX(_Entradas_ZIG!$F:$F,MATCH(I570,_Entradas_ZIG!$C:$C,0)),"—"))</f>
        <v/>
      </c>
      <c r="O570" s="92">
        <f>IF(AND(ISNUMBER(SEARCH("Espeto",N570)),ISNUMBER(SEARCH("Carin",N570))),"SIM","")</f>
        <v/>
      </c>
      <c r="P570" s="92">
        <f>IF(AND(ISNUMBER(SEARCH("Espeto",N570)),ISNUMBER(SEARCH("Lapa",N570))),"SIM","")</f>
        <v/>
      </c>
      <c r="Q570" s="92">
        <f>IF(AND(ISNUMBER(SEARCH("Espeto",N570)),ISNUMBER(SEARCH("Tatuapé",N570))),"SIM","")</f>
        <v/>
      </c>
      <c r="R570" s="92">
        <f>IF(AND(ISNUMBER(SEARCH("Espeto",N570)),ISNUMBER(SEARCH("Pavão",N570))),"SIM","")</f>
        <v/>
      </c>
      <c r="S570" s="92">
        <f>IF(AND(ISNUMBER(SEARCH("Espeto",N570)),ISNUMBER(SEARCH("Chac",N570))),"SIM","")</f>
        <v/>
      </c>
      <c r="T570" s="92">
        <f>IF(AND(ISNUMBER(SEARCH("Espeto",N570)),ISNUMBER(SEARCH("Madalena",N570))),"SIM","")</f>
        <v/>
      </c>
      <c r="U570" s="92">
        <f>IF(AND(ISNUMBER(SEARCH("Espeto",N570)),ISNUMBER(SEARCH("Mariana",N570))),"SIM","")</f>
        <v/>
      </c>
      <c r="V570" s="92">
        <f>IF(AND(ISNUMBER(SEARCH("Espeto",N570)),ISNUMBER(SEARCH("Perdizes",N570))),"SIM","")</f>
        <v/>
      </c>
      <c r="W570" s="92">
        <f>IF(AND(ISNUMBER(SEARCH("Espeto",N570)),ISNUMBER(SEARCH("Santana",N570))),"SIM","")</f>
        <v/>
      </c>
      <c r="X570" s="92">
        <f>IF(AND(ISNUMBER(SEARCH("Espeto",N570)),ISNUMBER(SEARCH("André",N570))),"SIM","")</f>
        <v/>
      </c>
      <c r="Y570" s="92">
        <f>IF(AND(ISNUMBER(SEARCH("Delivery",N570)),ISNUMBER(SEARCH("Carin",N570))),"SIM","")</f>
        <v/>
      </c>
      <c r="Z570" s="92">
        <f>IF(AND(ISNUMBER(SEARCH("Delivery",N570)),ISNUMBER(SEARCH("Lapa",N570))),"SIM","")</f>
        <v/>
      </c>
      <c r="AA570" s="92">
        <f>IF(AND(ISNUMBER(SEARCH("Delivery",N570)),ISNUMBER(SEARCH("Tatuapé",N570))),"SIM","")</f>
        <v/>
      </c>
      <c r="AB570" s="92">
        <f>IF(AND(ISNUMBER(SEARCH("Delivery",N570)),ISNUMBER(SEARCH("Pavão",N570))),"SIM","")</f>
        <v/>
      </c>
      <c r="AC570" s="92">
        <f>IF(AND(ISNUMBER(SEARCH("Delivery",N570)),ISNUMBER(SEARCH("Chac",N570))),"SIM","")</f>
        <v/>
      </c>
      <c r="AD570" s="92">
        <f>IF(AND(ISNUMBER(SEARCH("Delivery",N570)),ISNUMBER(SEARCH("Madalena",N570))),"SIM","")</f>
        <v/>
      </c>
      <c r="AE570" s="99">
        <f>IF(AND(ISNUMBER(SEARCH("Delivery",N570)),ISNUMBER(SEARCH("Mariana",N570))),"SIM","")</f>
        <v/>
      </c>
      <c r="AF570" s="99">
        <f>IF(AND(ISNUMBER(SEARCH("Delivery",N570)),ISNUMBER(SEARCH("Perdizes",N570))),"SIM","")</f>
        <v/>
      </c>
      <c r="AG570" s="99">
        <f>IF(AND(ISNUMBER(SEARCH("Delivery",N570)),ISNUMBER(SEARCH("Santana",N570))),"SIM","")</f>
        <v/>
      </c>
      <c r="AH570" s="99">
        <f>IF(AND(ISNUMBER(SEARCH("Delivery",N570)),ISNUMBER(SEARCH("André",N570))),"SIM","")</f>
        <v/>
      </c>
      <c r="AI570" s="99">
        <f>IF(ISNUMBER(SEARCH("Interlagos",N570)),"SIM","")</f>
        <v/>
      </c>
      <c r="AJ570" s="99">
        <f>IF(ISNUMBER(SEARCH("Quiosque",N570)),"SIM","")</f>
        <v/>
      </c>
      <c r="AK570" s="101" t="n"/>
    </row>
    <row r="571">
      <c r="A571" s="88" t="inlineStr">
        <is>
          <t>Protheus</t>
        </is>
      </c>
      <c r="B571" s="96" t="inlineStr">
        <is>
          <t>009483</t>
        </is>
      </c>
      <c r="C571" s="97">
        <f>IF(B571="—","—",IFERROR(VLOOKUP(B571,_Protheus_Cadastro!$A:$B,2,FALSE),"—"))</f>
        <v/>
      </c>
      <c r="D571" s="98">
        <f>IF(B571="—",IFERROR(INDEX(_ZIG_Cadastro!$D:$D,MATCH(H571,_ZIG_Cadastro!$A:$A,0)),"Produto"),IFERROR(VLOOKUP(B571,_Protheus_Cadastro!$A:$C,3,FALSE),"—"))</f>
        <v/>
      </c>
      <c r="E571" s="98">
        <f>IF(B571="—","—",IFERROR(VLOOKUP(B571,_Protheus_Cadastro!$A:$D,4,FALSE),"—"))</f>
        <v/>
      </c>
      <c r="F571" s="98">
        <f>IF(ISERROR(VLOOKUP(B571,'Estrutura Protheus'!A:A,1,FALSE)),"Não","Sim")</f>
        <v/>
      </c>
      <c r="G571" s="99">
        <f>IFERROR(INDEX(_Protheus_Cadastro!$H:$H,MATCH(B571,_Protheus_Cadastro!$A:$A,0)),"—")</f>
        <v/>
      </c>
      <c r="H571" s="211">
        <f>IFERROR(INDEX(_ZIG_Precos!$D:$D,MATCH(I571,_ZIG_Precos!$F:$F,0)),"—")</f>
        <v/>
      </c>
      <c r="I571" s="103">
        <f>IFERROR(VLOOKUP(B571,_Protheus_Cadastro!$A:$I,9,FALSE),"—")</f>
        <v/>
      </c>
      <c r="J571" s="101">
        <f>IFERROR(INDEX(_ZIG_Cadastro!$B:$B,MATCH(I571,_ZIG_Cadastro!$A:$A,0)),IFERROR(INDEX(_Entradas_ZIG!$B:$B,MATCH(I571,_Entradas_ZIG!$C:$C,0)),"—"))</f>
        <v/>
      </c>
      <c r="K571" s="101">
        <f>IFERROR(INDEX(_ZIG_Cadastro!$C:$C,MATCH(I571,_ZIG_Cadastro!$A:$A,0)),IFERROR(INDEX(_Entradas_ZIG!$D:$D,MATCH(I571,_Entradas_ZIG!$C:$C,0)),"—"))</f>
        <v/>
      </c>
      <c r="L571" s="99">
        <f>IF(I571="","Sem SKU ZIG",IF(I571="—","Sem SKU ZIG",IF(NOT(ISERROR(MATCH(I571,_ZIG_Cadastro!$A:$A,0))),IF(EXACT(UPPER(TRIM(C571)),UPPER(TRIM(INDEX(_ZIG_Cadastro!$B:$B,MATCH(I571,_ZIG_Cadastro!$A:$A,0))))),"OK","Atencao - Nome diverge"),IF(NOT(ISERROR(MATCH(I571,_Entradas_ZIG!$C:$C,0))),"OK","Erro - SKU nao encontrado"))))</f>
        <v/>
      </c>
      <c r="M571" s="99">
        <f>IFERROR(INDEX(_ZIG_Cadastro!$G:$G,MATCH(I571,_ZIG_Cadastro!$A:$A,0)),IF(NOT(ISERROR(MATCH(I571,_Entradas_ZIG!$C:$C,0))),"Ativo","—"))</f>
        <v/>
      </c>
      <c r="N571" s="102">
        <f>IFERROR(INDEX(_ZIG_Cadastro!$E:$E,MATCH(I571,_ZIG_Cadastro!$A:$A,0)),IFERROR(INDEX(_Entradas_ZIG!$F:$F,MATCH(I571,_Entradas_ZIG!$C:$C,0)),"—"))</f>
        <v/>
      </c>
      <c r="O571" s="99">
        <f>IF(AND(ISNUMBER(SEARCH("Espeto",N571)),ISNUMBER(SEARCH("Carin",N571))),"SIM","")</f>
        <v/>
      </c>
      <c r="P571" s="99">
        <f>IF(AND(ISNUMBER(SEARCH("Espeto",N571)),ISNUMBER(SEARCH("Lapa",N571))),"SIM","")</f>
        <v/>
      </c>
      <c r="Q571" s="99">
        <f>IF(AND(ISNUMBER(SEARCH("Espeto",N571)),ISNUMBER(SEARCH("Tatuapé",N571))),"SIM","")</f>
        <v/>
      </c>
      <c r="R571" s="99">
        <f>IF(AND(ISNUMBER(SEARCH("Espeto",N571)),ISNUMBER(SEARCH("Pavão",N571))),"SIM","")</f>
        <v/>
      </c>
      <c r="S571" s="99">
        <f>IF(AND(ISNUMBER(SEARCH("Espeto",N571)),ISNUMBER(SEARCH("Chac",N571))),"SIM","")</f>
        <v/>
      </c>
      <c r="T571" s="99">
        <f>IF(AND(ISNUMBER(SEARCH("Espeto",N571)),ISNUMBER(SEARCH("Madalena",N571))),"SIM","")</f>
        <v/>
      </c>
      <c r="U571" s="99">
        <f>IF(AND(ISNUMBER(SEARCH("Espeto",N571)),ISNUMBER(SEARCH("Mariana",N571))),"SIM","")</f>
        <v/>
      </c>
      <c r="V571" s="99">
        <f>IF(AND(ISNUMBER(SEARCH("Espeto",N571)),ISNUMBER(SEARCH("Perdizes",N571))),"SIM","")</f>
        <v/>
      </c>
      <c r="W571" s="99">
        <f>IF(AND(ISNUMBER(SEARCH("Espeto",N571)),ISNUMBER(SEARCH("Santana",N571))),"SIM","")</f>
        <v/>
      </c>
      <c r="X571" s="99">
        <f>IF(AND(ISNUMBER(SEARCH("Espeto",N571)),ISNUMBER(SEARCH("André",N571))),"SIM","")</f>
        <v/>
      </c>
      <c r="Y571" s="99">
        <f>IF(AND(ISNUMBER(SEARCH("Delivery",N571)),ISNUMBER(SEARCH("Carin",N571))),"SIM","")</f>
        <v/>
      </c>
      <c r="Z571" s="99">
        <f>IF(AND(ISNUMBER(SEARCH("Delivery",N571)),ISNUMBER(SEARCH("Lapa",N571))),"SIM","")</f>
        <v/>
      </c>
      <c r="AA571" s="99">
        <f>IF(AND(ISNUMBER(SEARCH("Delivery",N571)),ISNUMBER(SEARCH("Tatuapé",N571))),"SIM","")</f>
        <v/>
      </c>
      <c r="AB571" s="99">
        <f>IF(AND(ISNUMBER(SEARCH("Delivery",N571)),ISNUMBER(SEARCH("Pavão",N571))),"SIM","")</f>
        <v/>
      </c>
      <c r="AC571" s="99">
        <f>IF(AND(ISNUMBER(SEARCH("Delivery",N571)),ISNUMBER(SEARCH("Chac",N571))),"SIM","")</f>
        <v/>
      </c>
      <c r="AD571" s="99">
        <f>IF(AND(ISNUMBER(SEARCH("Delivery",N571)),ISNUMBER(SEARCH("Madalena",N571))),"SIM","")</f>
        <v/>
      </c>
      <c r="AE571" s="92">
        <f>IF(AND(ISNUMBER(SEARCH("Delivery",N571)),ISNUMBER(SEARCH("Mariana",N571))),"SIM","")</f>
        <v/>
      </c>
      <c r="AF571" s="92">
        <f>IF(AND(ISNUMBER(SEARCH("Delivery",N571)),ISNUMBER(SEARCH("Perdizes",N571))),"SIM","")</f>
        <v/>
      </c>
      <c r="AG571" s="92">
        <f>IF(AND(ISNUMBER(SEARCH("Delivery",N571)),ISNUMBER(SEARCH("Santana",N571))),"SIM","")</f>
        <v/>
      </c>
      <c r="AH571" s="92">
        <f>IF(AND(ISNUMBER(SEARCH("Delivery",N571)),ISNUMBER(SEARCH("André",N571))),"SIM","")</f>
        <v/>
      </c>
      <c r="AI571" s="92">
        <f>IF(ISNUMBER(SEARCH("Interlagos",N571)),"SIM","")</f>
        <v/>
      </c>
      <c r="AJ571" s="92">
        <f>IF(ISNUMBER(SEARCH("Quiosque",N571)),"SIM","")</f>
        <v/>
      </c>
      <c r="AK571" s="93" t="n"/>
    </row>
    <row r="572">
      <c r="A572" s="88" t="inlineStr">
        <is>
          <t>Protheus</t>
        </is>
      </c>
      <c r="B572" s="89" t="inlineStr">
        <is>
          <t>002205</t>
        </is>
      </c>
      <c r="C572" s="90">
        <f>IF(B572="—","—",IFERROR(VLOOKUP(B572,_Protheus_Cadastro!$A:$B,2,FALSE),"—"))</f>
        <v/>
      </c>
      <c r="D572" s="91">
        <f>IF(B572="—",IFERROR(INDEX(_ZIG_Cadastro!$D:$D,MATCH(H572,_ZIG_Cadastro!$A:$A,0)),"Produto"),IFERROR(VLOOKUP(B572,_Protheus_Cadastro!$A:$C,3,FALSE),"—"))</f>
        <v/>
      </c>
      <c r="E572" s="91">
        <f>IF(B572="—","—",IFERROR(VLOOKUP(B572,_Protheus_Cadastro!$A:$D,4,FALSE),"—"))</f>
        <v/>
      </c>
      <c r="F572" s="91">
        <f>IF(ISERROR(VLOOKUP(B572,'Estrutura Protheus'!A:A,1,FALSE)),"Não","Sim")</f>
        <v/>
      </c>
      <c r="G572" s="92">
        <f>IFERROR(INDEX(_Protheus_Cadastro!$H:$H,MATCH(B572,_Protheus_Cadastro!$A:$A,0)),"—")</f>
        <v/>
      </c>
      <c r="H572" s="210">
        <f>IFERROR(INDEX(_ZIG_Precos!$D:$D,MATCH(I572,_ZIG_Precos!$F:$F,0)),"—")</f>
        <v/>
      </c>
      <c r="I572" s="95">
        <f>IFERROR(VLOOKUP(B572,_Protheus_Cadastro!$A:$I,9,FALSE),"—")</f>
        <v/>
      </c>
      <c r="J572" s="93">
        <f>IFERROR(INDEX(_ZIG_Cadastro!$B:$B,MATCH(I572,_ZIG_Cadastro!$A:$A,0)),IFERROR(INDEX(_Entradas_ZIG!$B:$B,MATCH(I572,_Entradas_ZIG!$C:$C,0)),"—"))</f>
        <v/>
      </c>
      <c r="K572" s="93">
        <f>IFERROR(INDEX(_ZIG_Cadastro!$C:$C,MATCH(I572,_ZIG_Cadastro!$A:$A,0)),IFERROR(INDEX(_Entradas_ZIG!$D:$D,MATCH(I572,_Entradas_ZIG!$C:$C,0)),"—"))</f>
        <v/>
      </c>
      <c r="L572" s="92">
        <f>IF(I572="","Sem SKU ZIG",IF(I572="—","Sem SKU ZIG",IF(NOT(ISERROR(MATCH(I572,_ZIG_Cadastro!$A:$A,0))),IF(EXACT(UPPER(TRIM(C572)),UPPER(TRIM(INDEX(_ZIG_Cadastro!$B:$B,MATCH(I572,_ZIG_Cadastro!$A:$A,0))))),"OK","Atencao - Nome diverge"),IF(NOT(ISERROR(MATCH(I572,_Entradas_ZIG!$C:$C,0))),"OK","Erro - SKU nao encontrado"))))</f>
        <v/>
      </c>
      <c r="M572" s="92">
        <f>IFERROR(INDEX(_ZIG_Cadastro!$G:$G,MATCH(I572,_ZIG_Cadastro!$A:$A,0)),IF(NOT(ISERROR(MATCH(I572,_Entradas_ZIG!$C:$C,0))),"Ativo","—"))</f>
        <v/>
      </c>
      <c r="N572" s="94">
        <f>IFERROR(INDEX(_ZIG_Cadastro!$E:$E,MATCH(I572,_ZIG_Cadastro!$A:$A,0)),IFERROR(INDEX(_Entradas_ZIG!$F:$F,MATCH(I572,_Entradas_ZIG!$C:$C,0)),"—"))</f>
        <v/>
      </c>
      <c r="O572" s="92">
        <f>IF(AND(ISNUMBER(SEARCH("Espeto",N572)),ISNUMBER(SEARCH("Carin",N572))),"SIM","")</f>
        <v/>
      </c>
      <c r="P572" s="92">
        <f>IF(AND(ISNUMBER(SEARCH("Espeto",N572)),ISNUMBER(SEARCH("Lapa",N572))),"SIM","")</f>
        <v/>
      </c>
      <c r="Q572" s="92">
        <f>IF(AND(ISNUMBER(SEARCH("Espeto",N572)),ISNUMBER(SEARCH("Tatuapé",N572))),"SIM","")</f>
        <v/>
      </c>
      <c r="R572" s="92">
        <f>IF(AND(ISNUMBER(SEARCH("Espeto",N572)),ISNUMBER(SEARCH("Pavão",N572))),"SIM","")</f>
        <v/>
      </c>
      <c r="S572" s="92">
        <f>IF(AND(ISNUMBER(SEARCH("Espeto",N572)),ISNUMBER(SEARCH("Chac",N572))),"SIM","")</f>
        <v/>
      </c>
      <c r="T572" s="92">
        <f>IF(AND(ISNUMBER(SEARCH("Espeto",N572)),ISNUMBER(SEARCH("Madalena",N572))),"SIM","")</f>
        <v/>
      </c>
      <c r="U572" s="92">
        <f>IF(AND(ISNUMBER(SEARCH("Espeto",N572)),ISNUMBER(SEARCH("Mariana",N572))),"SIM","")</f>
        <v/>
      </c>
      <c r="V572" s="92">
        <f>IF(AND(ISNUMBER(SEARCH("Espeto",N572)),ISNUMBER(SEARCH("Perdizes",N572))),"SIM","")</f>
        <v/>
      </c>
      <c r="W572" s="92">
        <f>IF(AND(ISNUMBER(SEARCH("Espeto",N572)),ISNUMBER(SEARCH("Santana",N572))),"SIM","")</f>
        <v/>
      </c>
      <c r="X572" s="92">
        <f>IF(AND(ISNUMBER(SEARCH("Espeto",N572)),ISNUMBER(SEARCH("André",N572))),"SIM","")</f>
        <v/>
      </c>
      <c r="Y572" s="92">
        <f>IF(AND(ISNUMBER(SEARCH("Delivery",N572)),ISNUMBER(SEARCH("Carin",N572))),"SIM","")</f>
        <v/>
      </c>
      <c r="Z572" s="92">
        <f>IF(AND(ISNUMBER(SEARCH("Delivery",N572)),ISNUMBER(SEARCH("Lapa",N572))),"SIM","")</f>
        <v/>
      </c>
      <c r="AA572" s="92">
        <f>IF(AND(ISNUMBER(SEARCH("Delivery",N572)),ISNUMBER(SEARCH("Tatuapé",N572))),"SIM","")</f>
        <v/>
      </c>
      <c r="AB572" s="92">
        <f>IF(AND(ISNUMBER(SEARCH("Delivery",N572)),ISNUMBER(SEARCH("Pavão",N572))),"SIM","")</f>
        <v/>
      </c>
      <c r="AC572" s="92">
        <f>IF(AND(ISNUMBER(SEARCH("Delivery",N572)),ISNUMBER(SEARCH("Chac",N572))),"SIM","")</f>
        <v/>
      </c>
      <c r="AD572" s="92">
        <f>IF(AND(ISNUMBER(SEARCH("Delivery",N572)),ISNUMBER(SEARCH("Madalena",N572))),"SIM","")</f>
        <v/>
      </c>
      <c r="AE572" s="99">
        <f>IF(AND(ISNUMBER(SEARCH("Delivery",N572)),ISNUMBER(SEARCH("Mariana",N572))),"SIM","")</f>
        <v/>
      </c>
      <c r="AF572" s="99">
        <f>IF(AND(ISNUMBER(SEARCH("Delivery",N572)),ISNUMBER(SEARCH("Perdizes",N572))),"SIM","")</f>
        <v/>
      </c>
      <c r="AG572" s="99">
        <f>IF(AND(ISNUMBER(SEARCH("Delivery",N572)),ISNUMBER(SEARCH("Santana",N572))),"SIM","")</f>
        <v/>
      </c>
      <c r="AH572" s="99">
        <f>IF(AND(ISNUMBER(SEARCH("Delivery",N572)),ISNUMBER(SEARCH("André",N572))),"SIM","")</f>
        <v/>
      </c>
      <c r="AI572" s="99">
        <f>IF(ISNUMBER(SEARCH("Interlagos",N572)),"SIM","")</f>
        <v/>
      </c>
      <c r="AJ572" s="99">
        <f>IF(ISNUMBER(SEARCH("Quiosque",N572)),"SIM","")</f>
        <v/>
      </c>
      <c r="AK572" s="101" t="n"/>
    </row>
    <row r="573">
      <c r="A573" s="88" t="inlineStr">
        <is>
          <t>Protheus</t>
        </is>
      </c>
      <c r="B573" s="96" t="inlineStr">
        <is>
          <t>001332</t>
        </is>
      </c>
      <c r="C573" s="97">
        <f>IF(B573="—","—",IFERROR(VLOOKUP(B573,_Protheus_Cadastro!$A:$B,2,FALSE),"—"))</f>
        <v/>
      </c>
      <c r="D573" s="98">
        <f>IF(B573="—",IFERROR(INDEX(_ZIG_Cadastro!$D:$D,MATCH(H573,_ZIG_Cadastro!$A:$A,0)),"Produto"),IFERROR(VLOOKUP(B573,_Protheus_Cadastro!$A:$C,3,FALSE),"—"))</f>
        <v/>
      </c>
      <c r="E573" s="98">
        <f>IF(B573="—","—",IFERROR(VLOOKUP(B573,_Protheus_Cadastro!$A:$D,4,FALSE),"—"))</f>
        <v/>
      </c>
      <c r="F573" s="98">
        <f>IF(ISERROR(VLOOKUP(B573,'Estrutura Protheus'!A:A,1,FALSE)),"Não","Sim")</f>
        <v/>
      </c>
      <c r="G573" s="99">
        <f>IFERROR(INDEX(_Protheus_Cadastro!$H:$H,MATCH(B573,_Protheus_Cadastro!$A:$A,0)),"—")</f>
        <v/>
      </c>
      <c r="H573" s="211">
        <f>IFERROR(INDEX(_ZIG_Precos!$D:$D,MATCH(I573,_ZIG_Precos!$F:$F,0)),"—")</f>
        <v/>
      </c>
      <c r="I573" s="103">
        <f>IFERROR(VLOOKUP(B573,_Protheus_Cadastro!$A:$I,9,FALSE),"—")</f>
        <v/>
      </c>
      <c r="J573" s="101">
        <f>IFERROR(INDEX(_ZIG_Cadastro!$B:$B,MATCH(I573,_ZIG_Cadastro!$A:$A,0)),IFERROR(INDEX(_Entradas_ZIG!$B:$B,MATCH(I573,_Entradas_ZIG!$C:$C,0)),"—"))</f>
        <v/>
      </c>
      <c r="K573" s="101">
        <f>IFERROR(INDEX(_ZIG_Cadastro!$C:$C,MATCH(I573,_ZIG_Cadastro!$A:$A,0)),IFERROR(INDEX(_Entradas_ZIG!$D:$D,MATCH(I573,_Entradas_ZIG!$C:$C,0)),"—"))</f>
        <v/>
      </c>
      <c r="L573" s="99">
        <f>IF(I573="","Sem SKU ZIG",IF(I573="—","Sem SKU ZIG",IF(NOT(ISERROR(MATCH(I573,_ZIG_Cadastro!$A:$A,0))),IF(EXACT(UPPER(TRIM(C573)),UPPER(TRIM(INDEX(_ZIG_Cadastro!$B:$B,MATCH(I573,_ZIG_Cadastro!$A:$A,0))))),"OK","Atencao - Nome diverge"),IF(NOT(ISERROR(MATCH(I573,_Entradas_ZIG!$C:$C,0))),"OK","Erro - SKU nao encontrado"))))</f>
        <v/>
      </c>
      <c r="M573" s="99">
        <f>IFERROR(INDEX(_ZIG_Cadastro!$G:$G,MATCH(I573,_ZIG_Cadastro!$A:$A,0)),IF(NOT(ISERROR(MATCH(I573,_Entradas_ZIG!$C:$C,0))),"Ativo","—"))</f>
        <v/>
      </c>
      <c r="N573" s="102">
        <f>IFERROR(INDEX(_ZIG_Cadastro!$E:$E,MATCH(I573,_ZIG_Cadastro!$A:$A,0)),IFERROR(INDEX(_Entradas_ZIG!$F:$F,MATCH(I573,_Entradas_ZIG!$C:$C,0)),"—"))</f>
        <v/>
      </c>
      <c r="O573" s="99">
        <f>IF(AND(ISNUMBER(SEARCH("Espeto",N573)),ISNUMBER(SEARCH("Carin",N573))),"SIM","")</f>
        <v/>
      </c>
      <c r="P573" s="99">
        <f>IF(AND(ISNUMBER(SEARCH("Espeto",N573)),ISNUMBER(SEARCH("Lapa",N573))),"SIM","")</f>
        <v/>
      </c>
      <c r="Q573" s="99">
        <f>IF(AND(ISNUMBER(SEARCH("Espeto",N573)),ISNUMBER(SEARCH("Tatuapé",N573))),"SIM","")</f>
        <v/>
      </c>
      <c r="R573" s="99">
        <f>IF(AND(ISNUMBER(SEARCH("Espeto",N573)),ISNUMBER(SEARCH("Pavão",N573))),"SIM","")</f>
        <v/>
      </c>
      <c r="S573" s="99">
        <f>IF(AND(ISNUMBER(SEARCH("Espeto",N573)),ISNUMBER(SEARCH("Chac",N573))),"SIM","")</f>
        <v/>
      </c>
      <c r="T573" s="99">
        <f>IF(AND(ISNUMBER(SEARCH("Espeto",N573)),ISNUMBER(SEARCH("Madalena",N573))),"SIM","")</f>
        <v/>
      </c>
      <c r="U573" s="99">
        <f>IF(AND(ISNUMBER(SEARCH("Espeto",N573)),ISNUMBER(SEARCH("Mariana",N573))),"SIM","")</f>
        <v/>
      </c>
      <c r="V573" s="99">
        <f>IF(AND(ISNUMBER(SEARCH("Espeto",N573)),ISNUMBER(SEARCH("Perdizes",N573))),"SIM","")</f>
        <v/>
      </c>
      <c r="W573" s="99">
        <f>IF(AND(ISNUMBER(SEARCH("Espeto",N573)),ISNUMBER(SEARCH("Santana",N573))),"SIM","")</f>
        <v/>
      </c>
      <c r="X573" s="99">
        <f>IF(AND(ISNUMBER(SEARCH("Espeto",N573)),ISNUMBER(SEARCH("André",N573))),"SIM","")</f>
        <v/>
      </c>
      <c r="Y573" s="99">
        <f>IF(AND(ISNUMBER(SEARCH("Delivery",N573)),ISNUMBER(SEARCH("Carin",N573))),"SIM","")</f>
        <v/>
      </c>
      <c r="Z573" s="99">
        <f>IF(AND(ISNUMBER(SEARCH("Delivery",N573)),ISNUMBER(SEARCH("Lapa",N573))),"SIM","")</f>
        <v/>
      </c>
      <c r="AA573" s="99">
        <f>IF(AND(ISNUMBER(SEARCH("Delivery",N573)),ISNUMBER(SEARCH("Tatuapé",N573))),"SIM","")</f>
        <v/>
      </c>
      <c r="AB573" s="99">
        <f>IF(AND(ISNUMBER(SEARCH("Delivery",N573)),ISNUMBER(SEARCH("Pavão",N573))),"SIM","")</f>
        <v/>
      </c>
      <c r="AC573" s="99">
        <f>IF(AND(ISNUMBER(SEARCH("Delivery",N573)),ISNUMBER(SEARCH("Chac",N573))),"SIM","")</f>
        <v/>
      </c>
      <c r="AD573" s="99">
        <f>IF(AND(ISNUMBER(SEARCH("Delivery",N573)),ISNUMBER(SEARCH("Madalena",N573))),"SIM","")</f>
        <v/>
      </c>
      <c r="AE573" s="92">
        <f>IF(AND(ISNUMBER(SEARCH("Delivery",N573)),ISNUMBER(SEARCH("Mariana",N573))),"SIM","")</f>
        <v/>
      </c>
      <c r="AF573" s="92">
        <f>IF(AND(ISNUMBER(SEARCH("Delivery",N573)),ISNUMBER(SEARCH("Perdizes",N573))),"SIM","")</f>
        <v/>
      </c>
      <c r="AG573" s="92">
        <f>IF(AND(ISNUMBER(SEARCH("Delivery",N573)),ISNUMBER(SEARCH("Santana",N573))),"SIM","")</f>
        <v/>
      </c>
      <c r="AH573" s="92">
        <f>IF(AND(ISNUMBER(SEARCH("Delivery",N573)),ISNUMBER(SEARCH("André",N573))),"SIM","")</f>
        <v/>
      </c>
      <c r="AI573" s="92">
        <f>IF(ISNUMBER(SEARCH("Interlagos",N573)),"SIM","")</f>
        <v/>
      </c>
      <c r="AJ573" s="92">
        <f>IF(ISNUMBER(SEARCH("Quiosque",N573)),"SIM","")</f>
        <v/>
      </c>
      <c r="AK573" s="93" t="n"/>
    </row>
    <row r="574">
      <c r="A574" s="88" t="inlineStr">
        <is>
          <t>Protheus</t>
        </is>
      </c>
      <c r="B574" s="89" t="inlineStr">
        <is>
          <t>001403</t>
        </is>
      </c>
      <c r="C574" s="90">
        <f>IF(B574="—","—",IFERROR(VLOOKUP(B574,_Protheus_Cadastro!$A:$B,2,FALSE),"—"))</f>
        <v/>
      </c>
      <c r="D574" s="91">
        <f>IF(B574="—",IFERROR(INDEX(_ZIG_Cadastro!$D:$D,MATCH(H574,_ZIG_Cadastro!$A:$A,0)),"Produto"),IFERROR(VLOOKUP(B574,_Protheus_Cadastro!$A:$C,3,FALSE),"—"))</f>
        <v/>
      </c>
      <c r="E574" s="91">
        <f>IF(B574="—","—",IFERROR(VLOOKUP(B574,_Protheus_Cadastro!$A:$D,4,FALSE),"—"))</f>
        <v/>
      </c>
      <c r="F574" s="91">
        <f>IF(ISERROR(VLOOKUP(B574,'Estrutura Protheus'!A:A,1,FALSE)),"Não","Sim")</f>
        <v/>
      </c>
      <c r="G574" s="92">
        <f>IFERROR(INDEX(_Protheus_Cadastro!$H:$H,MATCH(B574,_Protheus_Cadastro!$A:$A,0)),"—")</f>
        <v/>
      </c>
      <c r="H574" s="210">
        <f>IFERROR(INDEX(_ZIG_Precos!$D:$D,MATCH(I574,_ZIG_Precos!$F:$F,0)),"—")</f>
        <v/>
      </c>
      <c r="I574" s="95">
        <f>IFERROR(VLOOKUP(B574,_Protheus_Cadastro!$A:$I,9,FALSE),"—")</f>
        <v/>
      </c>
      <c r="J574" s="93">
        <f>IFERROR(INDEX(_ZIG_Cadastro!$B:$B,MATCH(I574,_ZIG_Cadastro!$A:$A,0)),IFERROR(INDEX(_Entradas_ZIG!$B:$B,MATCH(I574,_Entradas_ZIG!$C:$C,0)),"—"))</f>
        <v/>
      </c>
      <c r="K574" s="93">
        <f>IFERROR(INDEX(_ZIG_Cadastro!$C:$C,MATCH(I574,_ZIG_Cadastro!$A:$A,0)),IFERROR(INDEX(_Entradas_ZIG!$D:$D,MATCH(I574,_Entradas_ZIG!$C:$C,0)),"—"))</f>
        <v/>
      </c>
      <c r="L574" s="92">
        <f>IF(I574="","Sem SKU ZIG",IF(I574="—","Sem SKU ZIG",IF(NOT(ISERROR(MATCH(I574,_ZIG_Cadastro!$A:$A,0))),IF(EXACT(UPPER(TRIM(C574)),UPPER(TRIM(INDEX(_ZIG_Cadastro!$B:$B,MATCH(I574,_ZIG_Cadastro!$A:$A,0))))),"OK","Atencao - Nome diverge"),IF(NOT(ISERROR(MATCH(I574,_Entradas_ZIG!$C:$C,0))),"OK","Erro - SKU nao encontrado"))))</f>
        <v/>
      </c>
      <c r="M574" s="92">
        <f>IFERROR(INDEX(_ZIG_Cadastro!$G:$G,MATCH(I574,_ZIG_Cadastro!$A:$A,0)),IF(NOT(ISERROR(MATCH(I574,_Entradas_ZIG!$C:$C,0))),"Ativo","—"))</f>
        <v/>
      </c>
      <c r="N574" s="94">
        <f>IFERROR(INDEX(_ZIG_Cadastro!$E:$E,MATCH(I574,_ZIG_Cadastro!$A:$A,0)),IFERROR(INDEX(_Entradas_ZIG!$F:$F,MATCH(I574,_Entradas_ZIG!$C:$C,0)),"—"))</f>
        <v/>
      </c>
      <c r="O574" s="92">
        <f>IF(AND(ISNUMBER(SEARCH("Espeto",N574)),ISNUMBER(SEARCH("Carin",N574))),"SIM","")</f>
        <v/>
      </c>
      <c r="P574" s="92">
        <f>IF(AND(ISNUMBER(SEARCH("Espeto",N574)),ISNUMBER(SEARCH("Lapa",N574))),"SIM","")</f>
        <v/>
      </c>
      <c r="Q574" s="92">
        <f>IF(AND(ISNUMBER(SEARCH("Espeto",N574)),ISNUMBER(SEARCH("Tatuapé",N574))),"SIM","")</f>
        <v/>
      </c>
      <c r="R574" s="92">
        <f>IF(AND(ISNUMBER(SEARCH("Espeto",N574)),ISNUMBER(SEARCH("Pavão",N574))),"SIM","")</f>
        <v/>
      </c>
      <c r="S574" s="92">
        <f>IF(AND(ISNUMBER(SEARCH("Espeto",N574)),ISNUMBER(SEARCH("Chac",N574))),"SIM","")</f>
        <v/>
      </c>
      <c r="T574" s="92">
        <f>IF(AND(ISNUMBER(SEARCH("Espeto",N574)),ISNUMBER(SEARCH("Madalena",N574))),"SIM","")</f>
        <v/>
      </c>
      <c r="U574" s="92">
        <f>IF(AND(ISNUMBER(SEARCH("Espeto",N574)),ISNUMBER(SEARCH("Mariana",N574))),"SIM","")</f>
        <v/>
      </c>
      <c r="V574" s="92">
        <f>IF(AND(ISNUMBER(SEARCH("Espeto",N574)),ISNUMBER(SEARCH("Perdizes",N574))),"SIM","")</f>
        <v/>
      </c>
      <c r="W574" s="92">
        <f>IF(AND(ISNUMBER(SEARCH("Espeto",N574)),ISNUMBER(SEARCH("Santana",N574))),"SIM","")</f>
        <v/>
      </c>
      <c r="X574" s="92">
        <f>IF(AND(ISNUMBER(SEARCH("Espeto",N574)),ISNUMBER(SEARCH("André",N574))),"SIM","")</f>
        <v/>
      </c>
      <c r="Y574" s="92">
        <f>IF(AND(ISNUMBER(SEARCH("Delivery",N574)),ISNUMBER(SEARCH("Carin",N574))),"SIM","")</f>
        <v/>
      </c>
      <c r="Z574" s="92">
        <f>IF(AND(ISNUMBER(SEARCH("Delivery",N574)),ISNUMBER(SEARCH("Lapa",N574))),"SIM","")</f>
        <v/>
      </c>
      <c r="AA574" s="92">
        <f>IF(AND(ISNUMBER(SEARCH("Delivery",N574)),ISNUMBER(SEARCH("Tatuapé",N574))),"SIM","")</f>
        <v/>
      </c>
      <c r="AB574" s="92">
        <f>IF(AND(ISNUMBER(SEARCH("Delivery",N574)),ISNUMBER(SEARCH("Pavão",N574))),"SIM","")</f>
        <v/>
      </c>
      <c r="AC574" s="92">
        <f>IF(AND(ISNUMBER(SEARCH("Delivery",N574)),ISNUMBER(SEARCH("Chac",N574))),"SIM","")</f>
        <v/>
      </c>
      <c r="AD574" s="92">
        <f>IF(AND(ISNUMBER(SEARCH("Delivery",N574)),ISNUMBER(SEARCH("Madalena",N574))),"SIM","")</f>
        <v/>
      </c>
      <c r="AE574" s="99">
        <f>IF(AND(ISNUMBER(SEARCH("Delivery",N574)),ISNUMBER(SEARCH("Mariana",N574))),"SIM","")</f>
        <v/>
      </c>
      <c r="AF574" s="99">
        <f>IF(AND(ISNUMBER(SEARCH("Delivery",N574)),ISNUMBER(SEARCH("Perdizes",N574))),"SIM","")</f>
        <v/>
      </c>
      <c r="AG574" s="99">
        <f>IF(AND(ISNUMBER(SEARCH("Delivery",N574)),ISNUMBER(SEARCH("Santana",N574))),"SIM","")</f>
        <v/>
      </c>
      <c r="AH574" s="99">
        <f>IF(AND(ISNUMBER(SEARCH("Delivery",N574)),ISNUMBER(SEARCH("André",N574))),"SIM","")</f>
        <v/>
      </c>
      <c r="AI574" s="99">
        <f>IF(ISNUMBER(SEARCH("Interlagos",N574)),"SIM","")</f>
        <v/>
      </c>
      <c r="AJ574" s="99">
        <f>IF(ISNUMBER(SEARCH("Quiosque",N574)),"SIM","")</f>
        <v/>
      </c>
      <c r="AK574" s="101" t="n"/>
    </row>
    <row r="575">
      <c r="A575" s="88" t="inlineStr">
        <is>
          <t>Protheus</t>
        </is>
      </c>
      <c r="B575" s="96" t="inlineStr">
        <is>
          <t>000897</t>
        </is>
      </c>
      <c r="C575" s="97">
        <f>IF(B575="—","—",IFERROR(VLOOKUP(B575,_Protheus_Cadastro!$A:$B,2,FALSE),"—"))</f>
        <v/>
      </c>
      <c r="D575" s="98">
        <f>IF(B575="—",IFERROR(INDEX(_ZIG_Cadastro!$D:$D,MATCH(H575,_ZIG_Cadastro!$A:$A,0)),"Produto"),IFERROR(VLOOKUP(B575,_Protheus_Cadastro!$A:$C,3,FALSE),"—"))</f>
        <v/>
      </c>
      <c r="E575" s="98">
        <f>IF(B575="—","—",IFERROR(VLOOKUP(B575,_Protheus_Cadastro!$A:$D,4,FALSE),"—"))</f>
        <v/>
      </c>
      <c r="F575" s="98">
        <f>IF(ISERROR(VLOOKUP(B575,'Estrutura Protheus'!A:A,1,FALSE)),"Não","Sim")</f>
        <v/>
      </c>
      <c r="G575" s="99">
        <f>IFERROR(INDEX(_Protheus_Cadastro!$H:$H,MATCH(B575,_Protheus_Cadastro!$A:$A,0)),"—")</f>
        <v/>
      </c>
      <c r="H575" s="211">
        <f>IFERROR(INDEX(_ZIG_Precos!$D:$D,MATCH(I575,_ZIG_Precos!$F:$F,0)),"—")</f>
        <v/>
      </c>
      <c r="I575" s="103">
        <f>IFERROR(VLOOKUP(B575,_Protheus_Cadastro!$A:$I,9,FALSE),"—")</f>
        <v/>
      </c>
      <c r="J575" s="101">
        <f>IFERROR(INDEX(_ZIG_Cadastro!$B:$B,MATCH(I575,_ZIG_Cadastro!$A:$A,0)),IFERROR(INDEX(_Entradas_ZIG!$B:$B,MATCH(I575,_Entradas_ZIG!$C:$C,0)),"—"))</f>
        <v/>
      </c>
      <c r="K575" s="101">
        <f>IFERROR(INDEX(_ZIG_Cadastro!$C:$C,MATCH(I575,_ZIG_Cadastro!$A:$A,0)),IFERROR(INDEX(_Entradas_ZIG!$D:$D,MATCH(I575,_Entradas_ZIG!$C:$C,0)),"—"))</f>
        <v/>
      </c>
      <c r="L575" s="99">
        <f>IF(I575="","Sem SKU ZIG",IF(I575="—","Sem SKU ZIG",IF(NOT(ISERROR(MATCH(I575,_ZIG_Cadastro!$A:$A,0))),IF(EXACT(UPPER(TRIM(C575)),UPPER(TRIM(INDEX(_ZIG_Cadastro!$B:$B,MATCH(I575,_ZIG_Cadastro!$A:$A,0))))),"OK","Atencao - Nome diverge"),IF(NOT(ISERROR(MATCH(I575,_Entradas_ZIG!$C:$C,0))),"OK","Erro - SKU nao encontrado"))))</f>
        <v/>
      </c>
      <c r="M575" s="99">
        <f>IFERROR(INDEX(_ZIG_Cadastro!$G:$G,MATCH(I575,_ZIG_Cadastro!$A:$A,0)),IF(NOT(ISERROR(MATCH(I575,_Entradas_ZIG!$C:$C,0))),"Ativo","—"))</f>
        <v/>
      </c>
      <c r="N575" s="102">
        <f>IFERROR(INDEX(_ZIG_Cadastro!$E:$E,MATCH(I575,_ZIG_Cadastro!$A:$A,0)),IFERROR(INDEX(_Entradas_ZIG!$F:$F,MATCH(I575,_Entradas_ZIG!$C:$C,0)),"—"))</f>
        <v/>
      </c>
      <c r="O575" s="99">
        <f>IF(AND(ISNUMBER(SEARCH("Espeto",N575)),ISNUMBER(SEARCH("Carin",N575))),"SIM","")</f>
        <v/>
      </c>
      <c r="P575" s="99">
        <f>IF(AND(ISNUMBER(SEARCH("Espeto",N575)),ISNUMBER(SEARCH("Lapa",N575))),"SIM","")</f>
        <v/>
      </c>
      <c r="Q575" s="99">
        <f>IF(AND(ISNUMBER(SEARCH("Espeto",N575)),ISNUMBER(SEARCH("Tatuapé",N575))),"SIM","")</f>
        <v/>
      </c>
      <c r="R575" s="99">
        <f>IF(AND(ISNUMBER(SEARCH("Espeto",N575)),ISNUMBER(SEARCH("Pavão",N575))),"SIM","")</f>
        <v/>
      </c>
      <c r="S575" s="99">
        <f>IF(AND(ISNUMBER(SEARCH("Espeto",N575)),ISNUMBER(SEARCH("Chac",N575))),"SIM","")</f>
        <v/>
      </c>
      <c r="T575" s="99">
        <f>IF(AND(ISNUMBER(SEARCH("Espeto",N575)),ISNUMBER(SEARCH("Madalena",N575))),"SIM","")</f>
        <v/>
      </c>
      <c r="U575" s="99">
        <f>IF(AND(ISNUMBER(SEARCH("Espeto",N575)),ISNUMBER(SEARCH("Mariana",N575))),"SIM","")</f>
        <v/>
      </c>
      <c r="V575" s="99">
        <f>IF(AND(ISNUMBER(SEARCH("Espeto",N575)),ISNUMBER(SEARCH("Perdizes",N575))),"SIM","")</f>
        <v/>
      </c>
      <c r="W575" s="99">
        <f>IF(AND(ISNUMBER(SEARCH("Espeto",N575)),ISNUMBER(SEARCH("Santana",N575))),"SIM","")</f>
        <v/>
      </c>
      <c r="X575" s="99">
        <f>IF(AND(ISNUMBER(SEARCH("Espeto",N575)),ISNUMBER(SEARCH("André",N575))),"SIM","")</f>
        <v/>
      </c>
      <c r="Y575" s="99">
        <f>IF(AND(ISNUMBER(SEARCH("Delivery",N575)),ISNUMBER(SEARCH("Carin",N575))),"SIM","")</f>
        <v/>
      </c>
      <c r="Z575" s="99">
        <f>IF(AND(ISNUMBER(SEARCH("Delivery",N575)),ISNUMBER(SEARCH("Lapa",N575))),"SIM","")</f>
        <v/>
      </c>
      <c r="AA575" s="99">
        <f>IF(AND(ISNUMBER(SEARCH("Delivery",N575)),ISNUMBER(SEARCH("Tatuapé",N575))),"SIM","")</f>
        <v/>
      </c>
      <c r="AB575" s="99">
        <f>IF(AND(ISNUMBER(SEARCH("Delivery",N575)),ISNUMBER(SEARCH("Pavão",N575))),"SIM","")</f>
        <v/>
      </c>
      <c r="AC575" s="99">
        <f>IF(AND(ISNUMBER(SEARCH("Delivery",N575)),ISNUMBER(SEARCH("Chac",N575))),"SIM","")</f>
        <v/>
      </c>
      <c r="AD575" s="99">
        <f>IF(AND(ISNUMBER(SEARCH("Delivery",N575)),ISNUMBER(SEARCH("Madalena",N575))),"SIM","")</f>
        <v/>
      </c>
      <c r="AE575" s="92">
        <f>IF(AND(ISNUMBER(SEARCH("Delivery",N575)),ISNUMBER(SEARCH("Mariana",N575))),"SIM","")</f>
        <v/>
      </c>
      <c r="AF575" s="92">
        <f>IF(AND(ISNUMBER(SEARCH("Delivery",N575)),ISNUMBER(SEARCH("Perdizes",N575))),"SIM","")</f>
        <v/>
      </c>
      <c r="AG575" s="92">
        <f>IF(AND(ISNUMBER(SEARCH("Delivery",N575)),ISNUMBER(SEARCH("Santana",N575))),"SIM","")</f>
        <v/>
      </c>
      <c r="AH575" s="92">
        <f>IF(AND(ISNUMBER(SEARCH("Delivery",N575)),ISNUMBER(SEARCH("André",N575))),"SIM","")</f>
        <v/>
      </c>
      <c r="AI575" s="92">
        <f>IF(ISNUMBER(SEARCH("Interlagos",N575)),"SIM","")</f>
        <v/>
      </c>
      <c r="AJ575" s="92">
        <f>IF(ISNUMBER(SEARCH("Quiosque",N575)),"SIM","")</f>
        <v/>
      </c>
      <c r="AK575" s="93" t="n"/>
    </row>
    <row r="576">
      <c r="A576" s="88" t="inlineStr">
        <is>
          <t>Protheus</t>
        </is>
      </c>
      <c r="B576" s="96" t="inlineStr">
        <is>
          <t>000910</t>
        </is>
      </c>
      <c r="C576" s="97">
        <f>IF(B576="—","—",IFERROR(VLOOKUP(B576,_Protheus_Cadastro!$A:$B,2,FALSE),"—"))</f>
        <v/>
      </c>
      <c r="D576" s="98">
        <f>IF(B576="—",IFERROR(INDEX(_ZIG_Cadastro!$D:$D,MATCH(H576,_ZIG_Cadastro!$A:$A,0)),"Produto"),IFERROR(VLOOKUP(B576,_Protheus_Cadastro!$A:$C,3,FALSE),"—"))</f>
        <v/>
      </c>
      <c r="E576" s="98">
        <f>IF(B576="—","—",IFERROR(VLOOKUP(B576,_Protheus_Cadastro!$A:$D,4,FALSE),"—"))</f>
        <v/>
      </c>
      <c r="F576" s="98">
        <f>IF(ISERROR(VLOOKUP(B576,'Estrutura Protheus'!A:A,1,FALSE)),"Não","Sim")</f>
        <v/>
      </c>
      <c r="G576" s="99">
        <f>IFERROR(INDEX(_Protheus_Cadastro!$H:$H,MATCH(B576,_Protheus_Cadastro!$A:$A,0)),"—")</f>
        <v/>
      </c>
      <c r="H576" s="211">
        <f>IFERROR(INDEX(_ZIG_Precos!$D:$D,MATCH(I576,_ZIG_Precos!$F:$F,0)),"—")</f>
        <v/>
      </c>
      <c r="I576" s="103">
        <f>IFERROR(VLOOKUP(B576,_Protheus_Cadastro!$A:$I,9,FALSE),"—")</f>
        <v/>
      </c>
      <c r="J576" s="101">
        <f>IFERROR(INDEX(_ZIG_Cadastro!$B:$B,MATCH(I576,_ZIG_Cadastro!$A:$A,0)),IFERROR(INDEX(_Entradas_ZIG!$B:$B,MATCH(I576,_Entradas_ZIG!$C:$C,0)),"—"))</f>
        <v/>
      </c>
      <c r="K576" s="101">
        <f>IFERROR(INDEX(_ZIG_Cadastro!$C:$C,MATCH(I576,_ZIG_Cadastro!$A:$A,0)),IFERROR(INDEX(_Entradas_ZIG!$D:$D,MATCH(I576,_Entradas_ZIG!$C:$C,0)),"—"))</f>
        <v/>
      </c>
      <c r="L576" s="99">
        <f>IF(I576="","Sem SKU ZIG",IF(I576="—","Sem SKU ZIG",IF(NOT(ISERROR(MATCH(I576,_ZIG_Cadastro!$A:$A,0))),IF(EXACT(UPPER(TRIM(C576)),UPPER(TRIM(INDEX(_ZIG_Cadastro!$B:$B,MATCH(I576,_ZIG_Cadastro!$A:$A,0))))),"OK","Atencao - Nome diverge"),IF(NOT(ISERROR(MATCH(I576,_Entradas_ZIG!$C:$C,0))),"OK","Erro - SKU nao encontrado"))))</f>
        <v/>
      </c>
      <c r="M576" s="99">
        <f>IFERROR(INDEX(_ZIG_Cadastro!$G:$G,MATCH(I576,_ZIG_Cadastro!$A:$A,0)),IF(NOT(ISERROR(MATCH(I576,_Entradas_ZIG!$C:$C,0))),"Ativo","—"))</f>
        <v/>
      </c>
      <c r="N576" s="102">
        <f>IFERROR(INDEX(_ZIG_Cadastro!$E:$E,MATCH(I576,_ZIG_Cadastro!$A:$A,0)),IFERROR(INDEX(_Entradas_ZIG!$F:$F,MATCH(I576,_Entradas_ZIG!$C:$C,0)),"—"))</f>
        <v/>
      </c>
      <c r="O576" s="99">
        <f>IF(AND(ISNUMBER(SEARCH("Espeto",N576)),ISNUMBER(SEARCH("Carin",N576))),"SIM","")</f>
        <v/>
      </c>
      <c r="P576" s="99">
        <f>IF(AND(ISNUMBER(SEARCH("Espeto",N576)),ISNUMBER(SEARCH("Lapa",N576))),"SIM","")</f>
        <v/>
      </c>
      <c r="Q576" s="99">
        <f>IF(AND(ISNUMBER(SEARCH("Espeto",N576)),ISNUMBER(SEARCH("Tatuapé",N576))),"SIM","")</f>
        <v/>
      </c>
      <c r="R576" s="99">
        <f>IF(AND(ISNUMBER(SEARCH("Espeto",N576)),ISNUMBER(SEARCH("Pavão",N576))),"SIM","")</f>
        <v/>
      </c>
      <c r="S576" s="99">
        <f>IF(AND(ISNUMBER(SEARCH("Espeto",N576)),ISNUMBER(SEARCH("Chac",N576))),"SIM","")</f>
        <v/>
      </c>
      <c r="T576" s="99">
        <f>IF(AND(ISNUMBER(SEARCH("Espeto",N576)),ISNUMBER(SEARCH("Madalena",N576))),"SIM","")</f>
        <v/>
      </c>
      <c r="U576" s="99">
        <f>IF(AND(ISNUMBER(SEARCH("Espeto",N576)),ISNUMBER(SEARCH("Mariana",N576))),"SIM","")</f>
        <v/>
      </c>
      <c r="V576" s="99">
        <f>IF(AND(ISNUMBER(SEARCH("Espeto",N576)),ISNUMBER(SEARCH("Perdizes",N576))),"SIM","")</f>
        <v/>
      </c>
      <c r="W576" s="99">
        <f>IF(AND(ISNUMBER(SEARCH("Espeto",N576)),ISNUMBER(SEARCH("Santana",N576))),"SIM","")</f>
        <v/>
      </c>
      <c r="X576" s="99">
        <f>IF(AND(ISNUMBER(SEARCH("Espeto",N576)),ISNUMBER(SEARCH("André",N576))),"SIM","")</f>
        <v/>
      </c>
      <c r="Y576" s="99">
        <f>IF(AND(ISNUMBER(SEARCH("Delivery",N576)),ISNUMBER(SEARCH("Carin",N576))),"SIM","")</f>
        <v/>
      </c>
      <c r="Z576" s="99">
        <f>IF(AND(ISNUMBER(SEARCH("Delivery",N576)),ISNUMBER(SEARCH("Lapa",N576))),"SIM","")</f>
        <v/>
      </c>
      <c r="AA576" s="99">
        <f>IF(AND(ISNUMBER(SEARCH("Delivery",N576)),ISNUMBER(SEARCH("Tatuapé",N576))),"SIM","")</f>
        <v/>
      </c>
      <c r="AB576" s="99">
        <f>IF(AND(ISNUMBER(SEARCH("Delivery",N576)),ISNUMBER(SEARCH("Pavão",N576))),"SIM","")</f>
        <v/>
      </c>
      <c r="AC576" s="99">
        <f>IF(AND(ISNUMBER(SEARCH("Delivery",N576)),ISNUMBER(SEARCH("Chac",N576))),"SIM","")</f>
        <v/>
      </c>
      <c r="AD576" s="99">
        <f>IF(AND(ISNUMBER(SEARCH("Delivery",N576)),ISNUMBER(SEARCH("Madalena",N576))),"SIM","")</f>
        <v/>
      </c>
      <c r="AE576" s="92">
        <f>IF(AND(ISNUMBER(SEARCH("Delivery",N576)),ISNUMBER(SEARCH("Mariana",N576))),"SIM","")</f>
        <v/>
      </c>
      <c r="AF576" s="92">
        <f>IF(AND(ISNUMBER(SEARCH("Delivery",N576)),ISNUMBER(SEARCH("Perdizes",N576))),"SIM","")</f>
        <v/>
      </c>
      <c r="AG576" s="92">
        <f>IF(AND(ISNUMBER(SEARCH("Delivery",N576)),ISNUMBER(SEARCH("Santana",N576))),"SIM","")</f>
        <v/>
      </c>
      <c r="AH576" s="92">
        <f>IF(AND(ISNUMBER(SEARCH("Delivery",N576)),ISNUMBER(SEARCH("André",N576))),"SIM","")</f>
        <v/>
      </c>
      <c r="AI576" s="92">
        <f>IF(ISNUMBER(SEARCH("Interlagos",N576)),"SIM","")</f>
        <v/>
      </c>
      <c r="AJ576" s="92">
        <f>IF(ISNUMBER(SEARCH("Quiosque",N576)),"SIM","")</f>
        <v/>
      </c>
      <c r="AK576" s="93" t="n"/>
    </row>
    <row r="577">
      <c r="A577" s="88" t="inlineStr">
        <is>
          <t>Protheus</t>
        </is>
      </c>
      <c r="B577" s="89" t="inlineStr">
        <is>
          <t>001389</t>
        </is>
      </c>
      <c r="C577" s="90">
        <f>IF(B577="—","—",IFERROR(VLOOKUP(B577,_Protheus_Cadastro!$A:$B,2,FALSE),"—"))</f>
        <v/>
      </c>
      <c r="D577" s="91">
        <f>IF(B577="—",IFERROR(INDEX(_ZIG_Cadastro!$D:$D,MATCH(H577,_ZIG_Cadastro!$A:$A,0)),"Produto"),IFERROR(VLOOKUP(B577,_Protheus_Cadastro!$A:$C,3,FALSE),"—"))</f>
        <v/>
      </c>
      <c r="E577" s="91">
        <f>IF(B577="—","—",IFERROR(VLOOKUP(B577,_Protheus_Cadastro!$A:$D,4,FALSE),"—"))</f>
        <v/>
      </c>
      <c r="F577" s="91">
        <f>IF(ISERROR(VLOOKUP(B577,'Estrutura Protheus'!A:A,1,FALSE)),"Não","Sim")</f>
        <v/>
      </c>
      <c r="G577" s="92">
        <f>IFERROR(INDEX(_Protheus_Cadastro!$H:$H,MATCH(B577,_Protheus_Cadastro!$A:$A,0)),"—")</f>
        <v/>
      </c>
      <c r="H577" s="210">
        <f>IFERROR(INDEX(_ZIG_Precos!$D:$D,MATCH(I577,_ZIG_Precos!$F:$F,0)),"—")</f>
        <v/>
      </c>
      <c r="I577" s="95">
        <f>IFERROR(VLOOKUP(B577,_Protheus_Cadastro!$A:$I,9,FALSE),"—")</f>
        <v/>
      </c>
      <c r="J577" s="93">
        <f>IFERROR(INDEX(_ZIG_Cadastro!$B:$B,MATCH(I577,_ZIG_Cadastro!$A:$A,0)),IFERROR(INDEX(_Entradas_ZIG!$B:$B,MATCH(I577,_Entradas_ZIG!$C:$C,0)),"—"))</f>
        <v/>
      </c>
      <c r="K577" s="93">
        <f>IFERROR(INDEX(_ZIG_Cadastro!$C:$C,MATCH(I577,_ZIG_Cadastro!$A:$A,0)),IFERROR(INDEX(_Entradas_ZIG!$D:$D,MATCH(I577,_Entradas_ZIG!$C:$C,0)),"—"))</f>
        <v/>
      </c>
      <c r="L577" s="92">
        <f>IF(I577="","Sem SKU ZIG",IF(I577="—","Sem SKU ZIG",IF(NOT(ISERROR(MATCH(I577,_ZIG_Cadastro!$A:$A,0))),IF(EXACT(UPPER(TRIM(C577)),UPPER(TRIM(INDEX(_ZIG_Cadastro!$B:$B,MATCH(I577,_ZIG_Cadastro!$A:$A,0))))),"OK","Atencao - Nome diverge"),IF(NOT(ISERROR(MATCH(I577,_Entradas_ZIG!$C:$C,0))),"OK","Erro - SKU nao encontrado"))))</f>
        <v/>
      </c>
      <c r="M577" s="92">
        <f>IFERROR(INDEX(_ZIG_Cadastro!$G:$G,MATCH(I577,_ZIG_Cadastro!$A:$A,0)),IF(NOT(ISERROR(MATCH(I577,_Entradas_ZIG!$C:$C,0))),"Ativo","—"))</f>
        <v/>
      </c>
      <c r="N577" s="94">
        <f>IFERROR(INDEX(_ZIG_Cadastro!$E:$E,MATCH(I577,_ZIG_Cadastro!$A:$A,0)),IFERROR(INDEX(_Entradas_ZIG!$F:$F,MATCH(I577,_Entradas_ZIG!$C:$C,0)),"—"))</f>
        <v/>
      </c>
      <c r="O577" s="92">
        <f>IF(AND(ISNUMBER(SEARCH("Espeto",N577)),ISNUMBER(SEARCH("Carin",N577))),"SIM","")</f>
        <v/>
      </c>
      <c r="P577" s="92">
        <f>IF(AND(ISNUMBER(SEARCH("Espeto",N577)),ISNUMBER(SEARCH("Lapa",N577))),"SIM","")</f>
        <v/>
      </c>
      <c r="Q577" s="92">
        <f>IF(AND(ISNUMBER(SEARCH("Espeto",N577)),ISNUMBER(SEARCH("Tatuapé",N577))),"SIM","")</f>
        <v/>
      </c>
      <c r="R577" s="92">
        <f>IF(AND(ISNUMBER(SEARCH("Espeto",N577)),ISNUMBER(SEARCH("Pavão",N577))),"SIM","")</f>
        <v/>
      </c>
      <c r="S577" s="92">
        <f>IF(AND(ISNUMBER(SEARCH("Espeto",N577)),ISNUMBER(SEARCH("Chac",N577))),"SIM","")</f>
        <v/>
      </c>
      <c r="T577" s="92">
        <f>IF(AND(ISNUMBER(SEARCH("Espeto",N577)),ISNUMBER(SEARCH("Madalena",N577))),"SIM","")</f>
        <v/>
      </c>
      <c r="U577" s="92">
        <f>IF(AND(ISNUMBER(SEARCH("Espeto",N577)),ISNUMBER(SEARCH("Mariana",N577))),"SIM","")</f>
        <v/>
      </c>
      <c r="V577" s="92">
        <f>IF(AND(ISNUMBER(SEARCH("Espeto",N577)),ISNUMBER(SEARCH("Perdizes",N577))),"SIM","")</f>
        <v/>
      </c>
      <c r="W577" s="92">
        <f>IF(AND(ISNUMBER(SEARCH("Espeto",N577)),ISNUMBER(SEARCH("Santana",N577))),"SIM","")</f>
        <v/>
      </c>
      <c r="X577" s="92">
        <f>IF(AND(ISNUMBER(SEARCH("Espeto",N577)),ISNUMBER(SEARCH("André",N577))),"SIM","")</f>
        <v/>
      </c>
      <c r="Y577" s="92">
        <f>IF(AND(ISNUMBER(SEARCH("Delivery",N577)),ISNUMBER(SEARCH("Carin",N577))),"SIM","")</f>
        <v/>
      </c>
      <c r="Z577" s="92">
        <f>IF(AND(ISNUMBER(SEARCH("Delivery",N577)),ISNUMBER(SEARCH("Lapa",N577))),"SIM","")</f>
        <v/>
      </c>
      <c r="AA577" s="92">
        <f>IF(AND(ISNUMBER(SEARCH("Delivery",N577)),ISNUMBER(SEARCH("Tatuapé",N577))),"SIM","")</f>
        <v/>
      </c>
      <c r="AB577" s="92">
        <f>IF(AND(ISNUMBER(SEARCH("Delivery",N577)),ISNUMBER(SEARCH("Pavão",N577))),"SIM","")</f>
        <v/>
      </c>
      <c r="AC577" s="92">
        <f>IF(AND(ISNUMBER(SEARCH("Delivery",N577)),ISNUMBER(SEARCH("Chac",N577))),"SIM","")</f>
        <v/>
      </c>
      <c r="AD577" s="92">
        <f>IF(AND(ISNUMBER(SEARCH("Delivery",N577)),ISNUMBER(SEARCH("Madalena",N577))),"SIM","")</f>
        <v/>
      </c>
      <c r="AE577" s="99">
        <f>IF(AND(ISNUMBER(SEARCH("Delivery",N577)),ISNUMBER(SEARCH("Mariana",N577))),"SIM","")</f>
        <v/>
      </c>
      <c r="AF577" s="99">
        <f>IF(AND(ISNUMBER(SEARCH("Delivery",N577)),ISNUMBER(SEARCH("Perdizes",N577))),"SIM","")</f>
        <v/>
      </c>
      <c r="AG577" s="99">
        <f>IF(AND(ISNUMBER(SEARCH("Delivery",N577)),ISNUMBER(SEARCH("Santana",N577))),"SIM","")</f>
        <v/>
      </c>
      <c r="AH577" s="99">
        <f>IF(AND(ISNUMBER(SEARCH("Delivery",N577)),ISNUMBER(SEARCH("André",N577))),"SIM","")</f>
        <v/>
      </c>
      <c r="AI577" s="99">
        <f>IF(ISNUMBER(SEARCH("Interlagos",N577)),"SIM","")</f>
        <v/>
      </c>
      <c r="AJ577" s="99">
        <f>IF(ISNUMBER(SEARCH("Quiosque",N577)),"SIM","")</f>
        <v/>
      </c>
      <c r="AK577" s="101" t="n"/>
    </row>
    <row r="578">
      <c r="A578" s="88" t="inlineStr">
        <is>
          <t>Protheus</t>
        </is>
      </c>
      <c r="B578" s="89" t="inlineStr">
        <is>
          <t>001472</t>
        </is>
      </c>
      <c r="C578" s="90">
        <f>IF(B578="—","—",IFERROR(VLOOKUP(B578,_Protheus_Cadastro!$A:$B,2,FALSE),"—"))</f>
        <v/>
      </c>
      <c r="D578" s="91">
        <f>IF(B578="—",IFERROR(INDEX(_ZIG_Cadastro!$D:$D,MATCH(H578,_ZIG_Cadastro!$A:$A,0)),"Produto"),IFERROR(VLOOKUP(B578,_Protheus_Cadastro!$A:$C,3,FALSE),"—"))</f>
        <v/>
      </c>
      <c r="E578" s="91">
        <f>IF(B578="—","—",IFERROR(VLOOKUP(B578,_Protheus_Cadastro!$A:$D,4,FALSE),"—"))</f>
        <v/>
      </c>
      <c r="F578" s="91">
        <f>IF(ISERROR(VLOOKUP(B578,'Estrutura Protheus'!A:A,1,FALSE)),"Não","Sim")</f>
        <v/>
      </c>
      <c r="G578" s="92">
        <f>IFERROR(INDEX(_Protheus_Cadastro!$H:$H,MATCH(B578,_Protheus_Cadastro!$A:$A,0)),"—")</f>
        <v/>
      </c>
      <c r="H578" s="210">
        <f>IFERROR(INDEX(_ZIG_Precos!$D:$D,MATCH(I578,_ZIG_Precos!$F:$F,0)),"—")</f>
        <v/>
      </c>
      <c r="I578" s="95">
        <f>IFERROR(VLOOKUP(B578,_Protheus_Cadastro!$A:$I,9,FALSE),"—")</f>
        <v/>
      </c>
      <c r="J578" s="93">
        <f>IFERROR(INDEX(_ZIG_Cadastro!$B:$B,MATCH(I578,_ZIG_Cadastro!$A:$A,0)),IFERROR(INDEX(_Entradas_ZIG!$B:$B,MATCH(I578,_Entradas_ZIG!$C:$C,0)),"—"))</f>
        <v/>
      </c>
      <c r="K578" s="93">
        <f>IFERROR(INDEX(_ZIG_Cadastro!$C:$C,MATCH(I578,_ZIG_Cadastro!$A:$A,0)),IFERROR(INDEX(_Entradas_ZIG!$D:$D,MATCH(I578,_Entradas_ZIG!$C:$C,0)),"—"))</f>
        <v/>
      </c>
      <c r="L578" s="92">
        <f>IF(I578="","Sem SKU ZIG",IF(I578="—","Sem SKU ZIG",IF(NOT(ISERROR(MATCH(I578,_ZIG_Cadastro!$A:$A,0))),IF(EXACT(UPPER(TRIM(C578)),UPPER(TRIM(INDEX(_ZIG_Cadastro!$B:$B,MATCH(I578,_ZIG_Cadastro!$A:$A,0))))),"OK","Atencao - Nome diverge"),IF(NOT(ISERROR(MATCH(I578,_Entradas_ZIG!$C:$C,0))),"OK","Erro - SKU nao encontrado"))))</f>
        <v/>
      </c>
      <c r="M578" s="92">
        <f>IFERROR(INDEX(_ZIG_Cadastro!$G:$G,MATCH(I578,_ZIG_Cadastro!$A:$A,0)),IF(NOT(ISERROR(MATCH(I578,_Entradas_ZIG!$C:$C,0))),"Ativo","—"))</f>
        <v/>
      </c>
      <c r="N578" s="94">
        <f>IFERROR(INDEX(_ZIG_Cadastro!$E:$E,MATCH(I578,_ZIG_Cadastro!$A:$A,0)),IFERROR(INDEX(_Entradas_ZIG!$F:$F,MATCH(I578,_Entradas_ZIG!$C:$C,0)),"—"))</f>
        <v/>
      </c>
      <c r="O578" s="92">
        <f>IF(AND(ISNUMBER(SEARCH("Espeto",N578)),ISNUMBER(SEARCH("Carin",N578))),"SIM","")</f>
        <v/>
      </c>
      <c r="P578" s="92">
        <f>IF(AND(ISNUMBER(SEARCH("Espeto",N578)),ISNUMBER(SEARCH("Lapa",N578))),"SIM","")</f>
        <v/>
      </c>
      <c r="Q578" s="92">
        <f>IF(AND(ISNUMBER(SEARCH("Espeto",N578)),ISNUMBER(SEARCH("Tatuapé",N578))),"SIM","")</f>
        <v/>
      </c>
      <c r="R578" s="92">
        <f>IF(AND(ISNUMBER(SEARCH("Espeto",N578)),ISNUMBER(SEARCH("Pavão",N578))),"SIM","")</f>
        <v/>
      </c>
      <c r="S578" s="92">
        <f>IF(AND(ISNUMBER(SEARCH("Espeto",N578)),ISNUMBER(SEARCH("Chac",N578))),"SIM","")</f>
        <v/>
      </c>
      <c r="T578" s="92">
        <f>IF(AND(ISNUMBER(SEARCH("Espeto",N578)),ISNUMBER(SEARCH("Madalena",N578))),"SIM","")</f>
        <v/>
      </c>
      <c r="U578" s="92">
        <f>IF(AND(ISNUMBER(SEARCH("Espeto",N578)),ISNUMBER(SEARCH("Mariana",N578))),"SIM","")</f>
        <v/>
      </c>
      <c r="V578" s="92">
        <f>IF(AND(ISNUMBER(SEARCH("Espeto",N578)),ISNUMBER(SEARCH("Perdizes",N578))),"SIM","")</f>
        <v/>
      </c>
      <c r="W578" s="92">
        <f>IF(AND(ISNUMBER(SEARCH("Espeto",N578)),ISNUMBER(SEARCH("Santana",N578))),"SIM","")</f>
        <v/>
      </c>
      <c r="X578" s="92">
        <f>IF(AND(ISNUMBER(SEARCH("Espeto",N578)),ISNUMBER(SEARCH("André",N578))),"SIM","")</f>
        <v/>
      </c>
      <c r="Y578" s="92">
        <f>IF(AND(ISNUMBER(SEARCH("Delivery",N578)),ISNUMBER(SEARCH("Carin",N578))),"SIM","")</f>
        <v/>
      </c>
      <c r="Z578" s="92">
        <f>IF(AND(ISNUMBER(SEARCH("Delivery",N578)),ISNUMBER(SEARCH("Lapa",N578))),"SIM","")</f>
        <v/>
      </c>
      <c r="AA578" s="92">
        <f>IF(AND(ISNUMBER(SEARCH("Delivery",N578)),ISNUMBER(SEARCH("Tatuapé",N578))),"SIM","")</f>
        <v/>
      </c>
      <c r="AB578" s="92">
        <f>IF(AND(ISNUMBER(SEARCH("Delivery",N578)),ISNUMBER(SEARCH("Pavão",N578))),"SIM","")</f>
        <v/>
      </c>
      <c r="AC578" s="92">
        <f>IF(AND(ISNUMBER(SEARCH("Delivery",N578)),ISNUMBER(SEARCH("Chac",N578))),"SIM","")</f>
        <v/>
      </c>
      <c r="AD578" s="92">
        <f>IF(AND(ISNUMBER(SEARCH("Delivery",N578)),ISNUMBER(SEARCH("Madalena",N578))),"SIM","")</f>
        <v/>
      </c>
      <c r="AE578" s="99">
        <f>IF(AND(ISNUMBER(SEARCH("Delivery",N578)),ISNUMBER(SEARCH("Mariana",N578))),"SIM","")</f>
        <v/>
      </c>
      <c r="AF578" s="99">
        <f>IF(AND(ISNUMBER(SEARCH("Delivery",N578)),ISNUMBER(SEARCH("Perdizes",N578))),"SIM","")</f>
        <v/>
      </c>
      <c r="AG578" s="99">
        <f>IF(AND(ISNUMBER(SEARCH("Delivery",N578)),ISNUMBER(SEARCH("Santana",N578))),"SIM","")</f>
        <v/>
      </c>
      <c r="AH578" s="99">
        <f>IF(AND(ISNUMBER(SEARCH("Delivery",N578)),ISNUMBER(SEARCH("André",N578))),"SIM","")</f>
        <v/>
      </c>
      <c r="AI578" s="99">
        <f>IF(ISNUMBER(SEARCH("Interlagos",N578)),"SIM","")</f>
        <v/>
      </c>
      <c r="AJ578" s="99">
        <f>IF(ISNUMBER(SEARCH("Quiosque",N578)),"SIM","")</f>
        <v/>
      </c>
      <c r="AK578" s="101" t="n"/>
    </row>
    <row r="579">
      <c r="A579" s="88" t="inlineStr">
        <is>
          <t>Protheus</t>
        </is>
      </c>
      <c r="B579" s="96" t="inlineStr">
        <is>
          <t>000873</t>
        </is>
      </c>
      <c r="C579" s="97">
        <f>IF(B579="—","—",IFERROR(VLOOKUP(B579,_Protheus_Cadastro!$A:$B,2,FALSE),"—"))</f>
        <v/>
      </c>
      <c r="D579" s="98">
        <f>IF(B579="—",IFERROR(INDEX(_ZIG_Cadastro!$D:$D,MATCH(H579,_ZIG_Cadastro!$A:$A,0)),"Produto"),IFERROR(VLOOKUP(B579,_Protheus_Cadastro!$A:$C,3,FALSE),"—"))</f>
        <v/>
      </c>
      <c r="E579" s="98">
        <f>IF(B579="—","—",IFERROR(VLOOKUP(B579,_Protheus_Cadastro!$A:$D,4,FALSE),"—"))</f>
        <v/>
      </c>
      <c r="F579" s="98">
        <f>IF(ISERROR(VLOOKUP(B579,'Estrutura Protheus'!A:A,1,FALSE)),"Não","Sim")</f>
        <v/>
      </c>
      <c r="G579" s="99">
        <f>IFERROR(INDEX(_Protheus_Cadastro!$H:$H,MATCH(B579,_Protheus_Cadastro!$A:$A,0)),"—")</f>
        <v/>
      </c>
      <c r="H579" s="211">
        <f>IFERROR(INDEX(_ZIG_Precos!$D:$D,MATCH(I579,_ZIG_Precos!$F:$F,0)),"—")</f>
        <v/>
      </c>
      <c r="I579" s="103">
        <f>IFERROR(VLOOKUP(B579,_Protheus_Cadastro!$A:$I,9,FALSE),"—")</f>
        <v/>
      </c>
      <c r="J579" s="101">
        <f>IFERROR(INDEX(_ZIG_Cadastro!$B:$B,MATCH(I579,_ZIG_Cadastro!$A:$A,0)),IFERROR(INDEX(_Entradas_ZIG!$B:$B,MATCH(I579,_Entradas_ZIG!$C:$C,0)),"—"))</f>
        <v/>
      </c>
      <c r="K579" s="101">
        <f>IFERROR(INDEX(_ZIG_Cadastro!$C:$C,MATCH(I579,_ZIG_Cadastro!$A:$A,0)),IFERROR(INDEX(_Entradas_ZIG!$D:$D,MATCH(I579,_Entradas_ZIG!$C:$C,0)),"—"))</f>
        <v/>
      </c>
      <c r="L579" s="99">
        <f>IF(I579="","Sem SKU ZIG",IF(I579="—","Sem SKU ZIG",IF(NOT(ISERROR(MATCH(I579,_ZIG_Cadastro!$A:$A,0))),IF(EXACT(UPPER(TRIM(C579)),UPPER(TRIM(INDEX(_ZIG_Cadastro!$B:$B,MATCH(I579,_ZIG_Cadastro!$A:$A,0))))),"OK","Atencao - Nome diverge"),IF(NOT(ISERROR(MATCH(I579,_Entradas_ZIG!$C:$C,0))),"OK","Erro - SKU nao encontrado"))))</f>
        <v/>
      </c>
      <c r="M579" s="99">
        <f>IFERROR(INDEX(_ZIG_Cadastro!$G:$G,MATCH(I579,_ZIG_Cadastro!$A:$A,0)),IF(NOT(ISERROR(MATCH(I579,_Entradas_ZIG!$C:$C,0))),"Ativo","—"))</f>
        <v/>
      </c>
      <c r="N579" s="102">
        <f>IFERROR(INDEX(_ZIG_Cadastro!$E:$E,MATCH(I579,_ZIG_Cadastro!$A:$A,0)),IFERROR(INDEX(_Entradas_ZIG!$F:$F,MATCH(I579,_Entradas_ZIG!$C:$C,0)),"—"))</f>
        <v/>
      </c>
      <c r="O579" s="99">
        <f>IF(AND(ISNUMBER(SEARCH("Espeto",N579)),ISNUMBER(SEARCH("Carin",N579))),"SIM","")</f>
        <v/>
      </c>
      <c r="P579" s="99">
        <f>IF(AND(ISNUMBER(SEARCH("Espeto",N579)),ISNUMBER(SEARCH("Lapa",N579))),"SIM","")</f>
        <v/>
      </c>
      <c r="Q579" s="99">
        <f>IF(AND(ISNUMBER(SEARCH("Espeto",N579)),ISNUMBER(SEARCH("Tatuapé",N579))),"SIM","")</f>
        <v/>
      </c>
      <c r="R579" s="99">
        <f>IF(AND(ISNUMBER(SEARCH("Espeto",N579)),ISNUMBER(SEARCH("Pavão",N579))),"SIM","")</f>
        <v/>
      </c>
      <c r="S579" s="99">
        <f>IF(AND(ISNUMBER(SEARCH("Espeto",N579)),ISNUMBER(SEARCH("Chac",N579))),"SIM","")</f>
        <v/>
      </c>
      <c r="T579" s="99">
        <f>IF(AND(ISNUMBER(SEARCH("Espeto",N579)),ISNUMBER(SEARCH("Madalena",N579))),"SIM","")</f>
        <v/>
      </c>
      <c r="U579" s="99">
        <f>IF(AND(ISNUMBER(SEARCH("Espeto",N579)),ISNUMBER(SEARCH("Mariana",N579))),"SIM","")</f>
        <v/>
      </c>
      <c r="V579" s="99">
        <f>IF(AND(ISNUMBER(SEARCH("Espeto",N579)),ISNUMBER(SEARCH("Perdizes",N579))),"SIM","")</f>
        <v/>
      </c>
      <c r="W579" s="99">
        <f>IF(AND(ISNUMBER(SEARCH("Espeto",N579)),ISNUMBER(SEARCH("Santana",N579))),"SIM","")</f>
        <v/>
      </c>
      <c r="X579" s="99">
        <f>IF(AND(ISNUMBER(SEARCH("Espeto",N579)),ISNUMBER(SEARCH("André",N579))),"SIM","")</f>
        <v/>
      </c>
      <c r="Y579" s="99">
        <f>IF(AND(ISNUMBER(SEARCH("Delivery",N579)),ISNUMBER(SEARCH("Carin",N579))),"SIM","")</f>
        <v/>
      </c>
      <c r="Z579" s="99">
        <f>IF(AND(ISNUMBER(SEARCH("Delivery",N579)),ISNUMBER(SEARCH("Lapa",N579))),"SIM","")</f>
        <v/>
      </c>
      <c r="AA579" s="99">
        <f>IF(AND(ISNUMBER(SEARCH("Delivery",N579)),ISNUMBER(SEARCH("Tatuapé",N579))),"SIM","")</f>
        <v/>
      </c>
      <c r="AB579" s="99">
        <f>IF(AND(ISNUMBER(SEARCH("Delivery",N579)),ISNUMBER(SEARCH("Pavão",N579))),"SIM","")</f>
        <v/>
      </c>
      <c r="AC579" s="99">
        <f>IF(AND(ISNUMBER(SEARCH("Delivery",N579)),ISNUMBER(SEARCH("Chac",N579))),"SIM","")</f>
        <v/>
      </c>
      <c r="AD579" s="99">
        <f>IF(AND(ISNUMBER(SEARCH("Delivery",N579)),ISNUMBER(SEARCH("Madalena",N579))),"SIM","")</f>
        <v/>
      </c>
      <c r="AE579" s="92">
        <f>IF(AND(ISNUMBER(SEARCH("Delivery",N579)),ISNUMBER(SEARCH("Mariana",N579))),"SIM","")</f>
        <v/>
      </c>
      <c r="AF579" s="92">
        <f>IF(AND(ISNUMBER(SEARCH("Delivery",N579)),ISNUMBER(SEARCH("Perdizes",N579))),"SIM","")</f>
        <v/>
      </c>
      <c r="AG579" s="92">
        <f>IF(AND(ISNUMBER(SEARCH("Delivery",N579)),ISNUMBER(SEARCH("Santana",N579))),"SIM","")</f>
        <v/>
      </c>
      <c r="AH579" s="92">
        <f>IF(AND(ISNUMBER(SEARCH("Delivery",N579)),ISNUMBER(SEARCH("André",N579))),"SIM","")</f>
        <v/>
      </c>
      <c r="AI579" s="92">
        <f>IF(ISNUMBER(SEARCH("Interlagos",N579)),"SIM","")</f>
        <v/>
      </c>
      <c r="AJ579" s="92">
        <f>IF(ISNUMBER(SEARCH("Quiosque",N579)),"SIM","")</f>
        <v/>
      </c>
      <c r="AK579" s="93" t="n"/>
    </row>
    <row r="580">
      <c r="A580" s="88" t="inlineStr">
        <is>
          <t>Protheus</t>
        </is>
      </c>
      <c r="B580" s="89" t="inlineStr">
        <is>
          <t>000877</t>
        </is>
      </c>
      <c r="C580" s="90">
        <f>IF(B580="—","—",IFERROR(VLOOKUP(B580,_Protheus_Cadastro!$A:$B,2,FALSE),"—"))</f>
        <v/>
      </c>
      <c r="D580" s="91">
        <f>IF(B580="—",IFERROR(INDEX(_ZIG_Cadastro!$D:$D,MATCH(H580,_ZIG_Cadastro!$A:$A,0)),"Produto"),IFERROR(VLOOKUP(B580,_Protheus_Cadastro!$A:$C,3,FALSE),"—"))</f>
        <v/>
      </c>
      <c r="E580" s="91">
        <f>IF(B580="—","—",IFERROR(VLOOKUP(B580,_Protheus_Cadastro!$A:$D,4,FALSE),"—"))</f>
        <v/>
      </c>
      <c r="F580" s="91">
        <f>IF(ISERROR(VLOOKUP(B580,'Estrutura Protheus'!A:A,1,FALSE)),"Não","Sim")</f>
        <v/>
      </c>
      <c r="G580" s="92">
        <f>IFERROR(INDEX(_Protheus_Cadastro!$H:$H,MATCH(B580,_Protheus_Cadastro!$A:$A,0)),"—")</f>
        <v/>
      </c>
      <c r="H580" s="210">
        <f>IFERROR(INDEX(_ZIG_Precos!$D:$D,MATCH(I580,_ZIG_Precos!$F:$F,0)),"—")</f>
        <v/>
      </c>
      <c r="I580" s="95">
        <f>IFERROR(VLOOKUP(B580,_Protheus_Cadastro!$A:$I,9,FALSE),"—")</f>
        <v/>
      </c>
      <c r="J580" s="93">
        <f>IFERROR(INDEX(_ZIG_Cadastro!$B:$B,MATCH(I580,_ZIG_Cadastro!$A:$A,0)),IFERROR(INDEX(_Entradas_ZIG!$B:$B,MATCH(I580,_Entradas_ZIG!$C:$C,0)),"—"))</f>
        <v/>
      </c>
      <c r="K580" s="93">
        <f>IFERROR(INDEX(_ZIG_Cadastro!$C:$C,MATCH(I580,_ZIG_Cadastro!$A:$A,0)),IFERROR(INDEX(_Entradas_ZIG!$D:$D,MATCH(I580,_Entradas_ZIG!$C:$C,0)),"—"))</f>
        <v/>
      </c>
      <c r="L580" s="92">
        <f>IF(I580="","Sem SKU ZIG",IF(I580="—","Sem SKU ZIG",IF(NOT(ISERROR(MATCH(I580,_ZIG_Cadastro!$A:$A,0))),IF(EXACT(UPPER(TRIM(C580)),UPPER(TRIM(INDEX(_ZIG_Cadastro!$B:$B,MATCH(I580,_ZIG_Cadastro!$A:$A,0))))),"OK","Atencao - Nome diverge"),IF(NOT(ISERROR(MATCH(I580,_Entradas_ZIG!$C:$C,0))),"OK","Erro - SKU nao encontrado"))))</f>
        <v/>
      </c>
      <c r="M580" s="92">
        <f>IFERROR(INDEX(_ZIG_Cadastro!$G:$G,MATCH(I580,_ZIG_Cadastro!$A:$A,0)),IF(NOT(ISERROR(MATCH(I580,_Entradas_ZIG!$C:$C,0))),"Ativo","—"))</f>
        <v/>
      </c>
      <c r="N580" s="94">
        <f>IFERROR(INDEX(_ZIG_Cadastro!$E:$E,MATCH(I580,_ZIG_Cadastro!$A:$A,0)),IFERROR(INDEX(_Entradas_ZIG!$F:$F,MATCH(I580,_Entradas_ZIG!$C:$C,0)),"—"))</f>
        <v/>
      </c>
      <c r="O580" s="92">
        <f>IF(AND(ISNUMBER(SEARCH("Espeto",N580)),ISNUMBER(SEARCH("Carin",N580))),"SIM","")</f>
        <v/>
      </c>
      <c r="P580" s="92">
        <f>IF(AND(ISNUMBER(SEARCH("Espeto",N580)),ISNUMBER(SEARCH("Lapa",N580))),"SIM","")</f>
        <v/>
      </c>
      <c r="Q580" s="92">
        <f>IF(AND(ISNUMBER(SEARCH("Espeto",N580)),ISNUMBER(SEARCH("Tatuapé",N580))),"SIM","")</f>
        <v/>
      </c>
      <c r="R580" s="92">
        <f>IF(AND(ISNUMBER(SEARCH("Espeto",N580)),ISNUMBER(SEARCH("Pavão",N580))),"SIM","")</f>
        <v/>
      </c>
      <c r="S580" s="92">
        <f>IF(AND(ISNUMBER(SEARCH("Espeto",N580)),ISNUMBER(SEARCH("Chac",N580))),"SIM","")</f>
        <v/>
      </c>
      <c r="T580" s="92">
        <f>IF(AND(ISNUMBER(SEARCH("Espeto",N580)),ISNUMBER(SEARCH("Madalena",N580))),"SIM","")</f>
        <v/>
      </c>
      <c r="U580" s="92">
        <f>IF(AND(ISNUMBER(SEARCH("Espeto",N580)),ISNUMBER(SEARCH("Mariana",N580))),"SIM","")</f>
        <v/>
      </c>
      <c r="V580" s="92">
        <f>IF(AND(ISNUMBER(SEARCH("Espeto",N580)),ISNUMBER(SEARCH("Perdizes",N580))),"SIM","")</f>
        <v/>
      </c>
      <c r="W580" s="92">
        <f>IF(AND(ISNUMBER(SEARCH("Espeto",N580)),ISNUMBER(SEARCH("Santana",N580))),"SIM","")</f>
        <v/>
      </c>
      <c r="X580" s="92">
        <f>IF(AND(ISNUMBER(SEARCH("Espeto",N580)),ISNUMBER(SEARCH("André",N580))),"SIM","")</f>
        <v/>
      </c>
      <c r="Y580" s="92">
        <f>IF(AND(ISNUMBER(SEARCH("Delivery",N580)),ISNUMBER(SEARCH("Carin",N580))),"SIM","")</f>
        <v/>
      </c>
      <c r="Z580" s="92">
        <f>IF(AND(ISNUMBER(SEARCH("Delivery",N580)),ISNUMBER(SEARCH("Lapa",N580))),"SIM","")</f>
        <v/>
      </c>
      <c r="AA580" s="92">
        <f>IF(AND(ISNUMBER(SEARCH("Delivery",N580)),ISNUMBER(SEARCH("Tatuapé",N580))),"SIM","")</f>
        <v/>
      </c>
      <c r="AB580" s="92">
        <f>IF(AND(ISNUMBER(SEARCH("Delivery",N580)),ISNUMBER(SEARCH("Pavão",N580))),"SIM","")</f>
        <v/>
      </c>
      <c r="AC580" s="92">
        <f>IF(AND(ISNUMBER(SEARCH("Delivery",N580)),ISNUMBER(SEARCH("Chac",N580))),"SIM","")</f>
        <v/>
      </c>
      <c r="AD580" s="92">
        <f>IF(AND(ISNUMBER(SEARCH("Delivery",N580)),ISNUMBER(SEARCH("Madalena",N580))),"SIM","")</f>
        <v/>
      </c>
      <c r="AE580" s="99">
        <f>IF(AND(ISNUMBER(SEARCH("Delivery",N580)),ISNUMBER(SEARCH("Mariana",N580))),"SIM","")</f>
        <v/>
      </c>
      <c r="AF580" s="99">
        <f>IF(AND(ISNUMBER(SEARCH("Delivery",N580)),ISNUMBER(SEARCH("Perdizes",N580))),"SIM","")</f>
        <v/>
      </c>
      <c r="AG580" s="99">
        <f>IF(AND(ISNUMBER(SEARCH("Delivery",N580)),ISNUMBER(SEARCH("Santana",N580))),"SIM","")</f>
        <v/>
      </c>
      <c r="AH580" s="99">
        <f>IF(AND(ISNUMBER(SEARCH("Delivery",N580)),ISNUMBER(SEARCH("André",N580))),"SIM","")</f>
        <v/>
      </c>
      <c r="AI580" s="99">
        <f>IF(ISNUMBER(SEARCH("Interlagos",N580)),"SIM","")</f>
        <v/>
      </c>
      <c r="AJ580" s="99">
        <f>IF(ISNUMBER(SEARCH("Quiosque",N580)),"SIM","")</f>
        <v/>
      </c>
      <c r="AK580" s="101" t="n"/>
    </row>
    <row r="581">
      <c r="A581" s="88" t="inlineStr">
        <is>
          <t>Protheus</t>
        </is>
      </c>
      <c r="B581" s="96" t="inlineStr">
        <is>
          <t>001781</t>
        </is>
      </c>
      <c r="C581" s="97">
        <f>IF(B581="—","—",IFERROR(VLOOKUP(B581,_Protheus_Cadastro!$A:$B,2,FALSE),"—"))</f>
        <v/>
      </c>
      <c r="D581" s="98">
        <f>IF(B581="—",IFERROR(INDEX(_ZIG_Cadastro!$D:$D,MATCH(H581,_ZIG_Cadastro!$A:$A,0)),"Produto"),IFERROR(VLOOKUP(B581,_Protheus_Cadastro!$A:$C,3,FALSE),"—"))</f>
        <v/>
      </c>
      <c r="E581" s="98">
        <f>IF(B581="—","—",IFERROR(VLOOKUP(B581,_Protheus_Cadastro!$A:$D,4,FALSE),"—"))</f>
        <v/>
      </c>
      <c r="F581" s="98">
        <f>IF(ISERROR(VLOOKUP(B581,'Estrutura Protheus'!A:A,1,FALSE)),"Não","Sim")</f>
        <v/>
      </c>
      <c r="G581" s="99">
        <f>IFERROR(INDEX(_Protheus_Cadastro!$H:$H,MATCH(B581,_Protheus_Cadastro!$A:$A,0)),"—")</f>
        <v/>
      </c>
      <c r="H581" s="211">
        <f>IFERROR(INDEX(_ZIG_Precos!$D:$D,MATCH(I581,_ZIG_Precos!$F:$F,0)),"—")</f>
        <v/>
      </c>
      <c r="I581" s="103">
        <f>IFERROR(VLOOKUP(B581,_Protheus_Cadastro!$A:$I,9,FALSE),"—")</f>
        <v/>
      </c>
      <c r="J581" s="101">
        <f>IFERROR(INDEX(_ZIG_Cadastro!$B:$B,MATCH(I581,_ZIG_Cadastro!$A:$A,0)),IFERROR(INDEX(_Entradas_ZIG!$B:$B,MATCH(I581,_Entradas_ZIG!$C:$C,0)),"—"))</f>
        <v/>
      </c>
      <c r="K581" s="101">
        <f>IFERROR(INDEX(_ZIG_Cadastro!$C:$C,MATCH(I581,_ZIG_Cadastro!$A:$A,0)),IFERROR(INDEX(_Entradas_ZIG!$D:$D,MATCH(I581,_Entradas_ZIG!$C:$C,0)),"—"))</f>
        <v/>
      </c>
      <c r="L581" s="99">
        <f>IF(I581="","Sem SKU ZIG",IF(I581="—","Sem SKU ZIG",IF(NOT(ISERROR(MATCH(I581,_ZIG_Cadastro!$A:$A,0))),IF(EXACT(UPPER(TRIM(C581)),UPPER(TRIM(INDEX(_ZIG_Cadastro!$B:$B,MATCH(I581,_ZIG_Cadastro!$A:$A,0))))),"OK","Atencao - Nome diverge"),IF(NOT(ISERROR(MATCH(I581,_Entradas_ZIG!$C:$C,0))),"OK","Erro - SKU nao encontrado"))))</f>
        <v/>
      </c>
      <c r="M581" s="99">
        <f>IFERROR(INDEX(_ZIG_Cadastro!$G:$G,MATCH(I581,_ZIG_Cadastro!$A:$A,0)),IF(NOT(ISERROR(MATCH(I581,_Entradas_ZIG!$C:$C,0))),"Ativo","—"))</f>
        <v/>
      </c>
      <c r="N581" s="102">
        <f>IFERROR(INDEX(_ZIG_Cadastro!$E:$E,MATCH(I581,_ZIG_Cadastro!$A:$A,0)),IFERROR(INDEX(_Entradas_ZIG!$F:$F,MATCH(I581,_Entradas_ZIG!$C:$C,0)),"—"))</f>
        <v/>
      </c>
      <c r="O581" s="99">
        <f>IF(AND(ISNUMBER(SEARCH("Espeto",N581)),ISNUMBER(SEARCH("Carin",N581))),"SIM","")</f>
        <v/>
      </c>
      <c r="P581" s="99">
        <f>IF(AND(ISNUMBER(SEARCH("Espeto",N581)),ISNUMBER(SEARCH("Lapa",N581))),"SIM","")</f>
        <v/>
      </c>
      <c r="Q581" s="99">
        <f>IF(AND(ISNUMBER(SEARCH("Espeto",N581)),ISNUMBER(SEARCH("Tatuapé",N581))),"SIM","")</f>
        <v/>
      </c>
      <c r="R581" s="99">
        <f>IF(AND(ISNUMBER(SEARCH("Espeto",N581)),ISNUMBER(SEARCH("Pavão",N581))),"SIM","")</f>
        <v/>
      </c>
      <c r="S581" s="99">
        <f>IF(AND(ISNUMBER(SEARCH("Espeto",N581)),ISNUMBER(SEARCH("Chac",N581))),"SIM","")</f>
        <v/>
      </c>
      <c r="T581" s="99">
        <f>IF(AND(ISNUMBER(SEARCH("Espeto",N581)),ISNUMBER(SEARCH("Madalena",N581))),"SIM","")</f>
        <v/>
      </c>
      <c r="U581" s="99">
        <f>IF(AND(ISNUMBER(SEARCH("Espeto",N581)),ISNUMBER(SEARCH("Mariana",N581))),"SIM","")</f>
        <v/>
      </c>
      <c r="V581" s="99">
        <f>IF(AND(ISNUMBER(SEARCH("Espeto",N581)),ISNUMBER(SEARCH("Perdizes",N581))),"SIM","")</f>
        <v/>
      </c>
      <c r="W581" s="99">
        <f>IF(AND(ISNUMBER(SEARCH("Espeto",N581)),ISNUMBER(SEARCH("Santana",N581))),"SIM","")</f>
        <v/>
      </c>
      <c r="X581" s="99">
        <f>IF(AND(ISNUMBER(SEARCH("Espeto",N581)),ISNUMBER(SEARCH("André",N581))),"SIM","")</f>
        <v/>
      </c>
      <c r="Y581" s="99">
        <f>IF(AND(ISNUMBER(SEARCH("Delivery",N581)),ISNUMBER(SEARCH("Carin",N581))),"SIM","")</f>
        <v/>
      </c>
      <c r="Z581" s="99">
        <f>IF(AND(ISNUMBER(SEARCH("Delivery",N581)),ISNUMBER(SEARCH("Lapa",N581))),"SIM","")</f>
        <v/>
      </c>
      <c r="AA581" s="99">
        <f>IF(AND(ISNUMBER(SEARCH("Delivery",N581)),ISNUMBER(SEARCH("Tatuapé",N581))),"SIM","")</f>
        <v/>
      </c>
      <c r="AB581" s="99">
        <f>IF(AND(ISNUMBER(SEARCH("Delivery",N581)),ISNUMBER(SEARCH("Pavão",N581))),"SIM","")</f>
        <v/>
      </c>
      <c r="AC581" s="99">
        <f>IF(AND(ISNUMBER(SEARCH("Delivery",N581)),ISNUMBER(SEARCH("Chac",N581))),"SIM","")</f>
        <v/>
      </c>
      <c r="AD581" s="99">
        <f>IF(AND(ISNUMBER(SEARCH("Delivery",N581)),ISNUMBER(SEARCH("Madalena",N581))),"SIM","")</f>
        <v/>
      </c>
      <c r="AE581" s="92">
        <f>IF(AND(ISNUMBER(SEARCH("Delivery",N581)),ISNUMBER(SEARCH("Mariana",N581))),"SIM","")</f>
        <v/>
      </c>
      <c r="AF581" s="92">
        <f>IF(AND(ISNUMBER(SEARCH("Delivery",N581)),ISNUMBER(SEARCH("Perdizes",N581))),"SIM","")</f>
        <v/>
      </c>
      <c r="AG581" s="92">
        <f>IF(AND(ISNUMBER(SEARCH("Delivery",N581)),ISNUMBER(SEARCH("Santana",N581))),"SIM","")</f>
        <v/>
      </c>
      <c r="AH581" s="92">
        <f>IF(AND(ISNUMBER(SEARCH("Delivery",N581)),ISNUMBER(SEARCH("André",N581))),"SIM","")</f>
        <v/>
      </c>
      <c r="AI581" s="92">
        <f>IF(ISNUMBER(SEARCH("Interlagos",N581)),"SIM","")</f>
        <v/>
      </c>
      <c r="AJ581" s="92">
        <f>IF(ISNUMBER(SEARCH("Quiosque",N581)),"SIM","")</f>
        <v/>
      </c>
      <c r="AK581" s="93" t="n"/>
    </row>
    <row r="582">
      <c r="A582" s="88" t="inlineStr">
        <is>
          <t>Protheus</t>
        </is>
      </c>
      <c r="B582" s="89" t="inlineStr">
        <is>
          <t>001771</t>
        </is>
      </c>
      <c r="C582" s="90">
        <f>IF(B582="—","—",IFERROR(VLOOKUP(B582,_Protheus_Cadastro!$A:$B,2,FALSE),"—"))</f>
        <v/>
      </c>
      <c r="D582" s="91">
        <f>IF(B582="—",IFERROR(INDEX(_ZIG_Cadastro!$D:$D,MATCH(H582,_ZIG_Cadastro!$A:$A,0)),"Produto"),IFERROR(VLOOKUP(B582,_Protheus_Cadastro!$A:$C,3,FALSE),"—"))</f>
        <v/>
      </c>
      <c r="E582" s="91">
        <f>IF(B582="—","—",IFERROR(VLOOKUP(B582,_Protheus_Cadastro!$A:$D,4,FALSE),"—"))</f>
        <v/>
      </c>
      <c r="F582" s="91">
        <f>IF(ISERROR(VLOOKUP(B582,'Estrutura Protheus'!A:A,1,FALSE)),"Não","Sim")</f>
        <v/>
      </c>
      <c r="G582" s="92">
        <f>IFERROR(INDEX(_Protheus_Cadastro!$H:$H,MATCH(B582,_Protheus_Cadastro!$A:$A,0)),"—")</f>
        <v/>
      </c>
      <c r="H582" s="210">
        <f>IFERROR(INDEX(_ZIG_Precos!$D:$D,MATCH(I582,_ZIG_Precos!$F:$F,0)),"—")</f>
        <v/>
      </c>
      <c r="I582" s="95">
        <f>IFERROR(VLOOKUP(B582,_Protheus_Cadastro!$A:$I,9,FALSE),"—")</f>
        <v/>
      </c>
      <c r="J582" s="93">
        <f>IFERROR(INDEX(_ZIG_Cadastro!$B:$B,MATCH(I582,_ZIG_Cadastro!$A:$A,0)),IFERROR(INDEX(_Entradas_ZIG!$B:$B,MATCH(I582,_Entradas_ZIG!$C:$C,0)),"—"))</f>
        <v/>
      </c>
      <c r="K582" s="93">
        <f>IFERROR(INDEX(_ZIG_Cadastro!$C:$C,MATCH(I582,_ZIG_Cadastro!$A:$A,0)),IFERROR(INDEX(_Entradas_ZIG!$D:$D,MATCH(I582,_Entradas_ZIG!$C:$C,0)),"—"))</f>
        <v/>
      </c>
      <c r="L582" s="92">
        <f>IF(I582="","Sem SKU ZIG",IF(I582="—","Sem SKU ZIG",IF(NOT(ISERROR(MATCH(I582,_ZIG_Cadastro!$A:$A,0))),IF(EXACT(UPPER(TRIM(C582)),UPPER(TRIM(INDEX(_ZIG_Cadastro!$B:$B,MATCH(I582,_ZIG_Cadastro!$A:$A,0))))),"OK","Atencao - Nome diverge"),IF(NOT(ISERROR(MATCH(I582,_Entradas_ZIG!$C:$C,0))),"OK","Erro - SKU nao encontrado"))))</f>
        <v/>
      </c>
      <c r="M582" s="92">
        <f>IFERROR(INDEX(_ZIG_Cadastro!$G:$G,MATCH(I582,_ZIG_Cadastro!$A:$A,0)),IF(NOT(ISERROR(MATCH(I582,_Entradas_ZIG!$C:$C,0))),"Ativo","—"))</f>
        <v/>
      </c>
      <c r="N582" s="94">
        <f>IFERROR(INDEX(_ZIG_Cadastro!$E:$E,MATCH(I582,_ZIG_Cadastro!$A:$A,0)),IFERROR(INDEX(_Entradas_ZIG!$F:$F,MATCH(I582,_Entradas_ZIG!$C:$C,0)),"—"))</f>
        <v/>
      </c>
      <c r="O582" s="92">
        <f>IF(AND(ISNUMBER(SEARCH("Espeto",N582)),ISNUMBER(SEARCH("Carin",N582))),"SIM","")</f>
        <v/>
      </c>
      <c r="P582" s="92">
        <f>IF(AND(ISNUMBER(SEARCH("Espeto",N582)),ISNUMBER(SEARCH("Lapa",N582))),"SIM","")</f>
        <v/>
      </c>
      <c r="Q582" s="92">
        <f>IF(AND(ISNUMBER(SEARCH("Espeto",N582)),ISNUMBER(SEARCH("Tatuapé",N582))),"SIM","")</f>
        <v/>
      </c>
      <c r="R582" s="92">
        <f>IF(AND(ISNUMBER(SEARCH("Espeto",N582)),ISNUMBER(SEARCH("Pavão",N582))),"SIM","")</f>
        <v/>
      </c>
      <c r="S582" s="92">
        <f>IF(AND(ISNUMBER(SEARCH("Espeto",N582)),ISNUMBER(SEARCH("Chac",N582))),"SIM","")</f>
        <v/>
      </c>
      <c r="T582" s="92">
        <f>IF(AND(ISNUMBER(SEARCH("Espeto",N582)),ISNUMBER(SEARCH("Madalena",N582))),"SIM","")</f>
        <v/>
      </c>
      <c r="U582" s="92">
        <f>IF(AND(ISNUMBER(SEARCH("Espeto",N582)),ISNUMBER(SEARCH("Mariana",N582))),"SIM","")</f>
        <v/>
      </c>
      <c r="V582" s="92">
        <f>IF(AND(ISNUMBER(SEARCH("Espeto",N582)),ISNUMBER(SEARCH("Perdizes",N582))),"SIM","")</f>
        <v/>
      </c>
      <c r="W582" s="92">
        <f>IF(AND(ISNUMBER(SEARCH("Espeto",N582)),ISNUMBER(SEARCH("Santana",N582))),"SIM","")</f>
        <v/>
      </c>
      <c r="X582" s="92">
        <f>IF(AND(ISNUMBER(SEARCH("Espeto",N582)),ISNUMBER(SEARCH("André",N582))),"SIM","")</f>
        <v/>
      </c>
      <c r="Y582" s="92">
        <f>IF(AND(ISNUMBER(SEARCH("Delivery",N582)),ISNUMBER(SEARCH("Carin",N582))),"SIM","")</f>
        <v/>
      </c>
      <c r="Z582" s="92">
        <f>IF(AND(ISNUMBER(SEARCH("Delivery",N582)),ISNUMBER(SEARCH("Lapa",N582))),"SIM","")</f>
        <v/>
      </c>
      <c r="AA582" s="92">
        <f>IF(AND(ISNUMBER(SEARCH("Delivery",N582)),ISNUMBER(SEARCH("Tatuapé",N582))),"SIM","")</f>
        <v/>
      </c>
      <c r="AB582" s="92">
        <f>IF(AND(ISNUMBER(SEARCH("Delivery",N582)),ISNUMBER(SEARCH("Pavão",N582))),"SIM","")</f>
        <v/>
      </c>
      <c r="AC582" s="92">
        <f>IF(AND(ISNUMBER(SEARCH("Delivery",N582)),ISNUMBER(SEARCH("Chac",N582))),"SIM","")</f>
        <v/>
      </c>
      <c r="AD582" s="92">
        <f>IF(AND(ISNUMBER(SEARCH("Delivery",N582)),ISNUMBER(SEARCH("Madalena",N582))),"SIM","")</f>
        <v/>
      </c>
      <c r="AE582" s="99">
        <f>IF(AND(ISNUMBER(SEARCH("Delivery",N582)),ISNUMBER(SEARCH("Mariana",N582))),"SIM","")</f>
        <v/>
      </c>
      <c r="AF582" s="99">
        <f>IF(AND(ISNUMBER(SEARCH("Delivery",N582)),ISNUMBER(SEARCH("Perdizes",N582))),"SIM","")</f>
        <v/>
      </c>
      <c r="AG582" s="99">
        <f>IF(AND(ISNUMBER(SEARCH("Delivery",N582)),ISNUMBER(SEARCH("Santana",N582))),"SIM","")</f>
        <v/>
      </c>
      <c r="AH582" s="99">
        <f>IF(AND(ISNUMBER(SEARCH("Delivery",N582)),ISNUMBER(SEARCH("André",N582))),"SIM","")</f>
        <v/>
      </c>
      <c r="AI582" s="99">
        <f>IF(ISNUMBER(SEARCH("Interlagos",N582)),"SIM","")</f>
        <v/>
      </c>
      <c r="AJ582" s="99">
        <f>IF(ISNUMBER(SEARCH("Quiosque",N582)),"SIM","")</f>
        <v/>
      </c>
      <c r="AK582" s="101" t="n"/>
    </row>
    <row r="583">
      <c r="A583" s="88" t="inlineStr">
        <is>
          <t>Protheus</t>
        </is>
      </c>
      <c r="B583" s="96" t="inlineStr">
        <is>
          <t>001780</t>
        </is>
      </c>
      <c r="C583" s="97">
        <f>IF(B583="—","—",IFERROR(VLOOKUP(B583,_Protheus_Cadastro!$A:$B,2,FALSE),"—"))</f>
        <v/>
      </c>
      <c r="D583" s="98">
        <f>IF(B583="—",IFERROR(INDEX(_ZIG_Cadastro!$D:$D,MATCH(H583,_ZIG_Cadastro!$A:$A,0)),"Produto"),IFERROR(VLOOKUP(B583,_Protheus_Cadastro!$A:$C,3,FALSE),"—"))</f>
        <v/>
      </c>
      <c r="E583" s="98">
        <f>IF(B583="—","—",IFERROR(VLOOKUP(B583,_Protheus_Cadastro!$A:$D,4,FALSE),"—"))</f>
        <v/>
      </c>
      <c r="F583" s="98">
        <f>IF(ISERROR(VLOOKUP(B583,'Estrutura Protheus'!A:A,1,FALSE)),"Não","Sim")</f>
        <v/>
      </c>
      <c r="G583" s="99">
        <f>IFERROR(INDEX(_Protheus_Cadastro!$H:$H,MATCH(B583,_Protheus_Cadastro!$A:$A,0)),"—")</f>
        <v/>
      </c>
      <c r="H583" s="211">
        <f>IFERROR(INDEX(_ZIG_Precos!$D:$D,MATCH(I583,_ZIG_Precos!$F:$F,0)),"—")</f>
        <v/>
      </c>
      <c r="I583" s="103">
        <f>IFERROR(VLOOKUP(B583,_Protheus_Cadastro!$A:$I,9,FALSE),"—")</f>
        <v/>
      </c>
      <c r="J583" s="101">
        <f>IFERROR(INDEX(_ZIG_Cadastro!$B:$B,MATCH(I583,_ZIG_Cadastro!$A:$A,0)),IFERROR(INDEX(_Entradas_ZIG!$B:$B,MATCH(I583,_Entradas_ZIG!$C:$C,0)),"—"))</f>
        <v/>
      </c>
      <c r="K583" s="101">
        <f>IFERROR(INDEX(_ZIG_Cadastro!$C:$C,MATCH(I583,_ZIG_Cadastro!$A:$A,0)),IFERROR(INDEX(_Entradas_ZIG!$D:$D,MATCH(I583,_Entradas_ZIG!$C:$C,0)),"—"))</f>
        <v/>
      </c>
      <c r="L583" s="99">
        <f>IF(I583="","Sem SKU ZIG",IF(I583="—","Sem SKU ZIG",IF(NOT(ISERROR(MATCH(I583,_ZIG_Cadastro!$A:$A,0))),IF(EXACT(UPPER(TRIM(C583)),UPPER(TRIM(INDEX(_ZIG_Cadastro!$B:$B,MATCH(I583,_ZIG_Cadastro!$A:$A,0))))),"OK","Atencao - Nome diverge"),IF(NOT(ISERROR(MATCH(I583,_Entradas_ZIG!$C:$C,0))),"OK","Erro - SKU nao encontrado"))))</f>
        <v/>
      </c>
      <c r="M583" s="99">
        <f>IFERROR(INDEX(_ZIG_Cadastro!$G:$G,MATCH(I583,_ZIG_Cadastro!$A:$A,0)),IF(NOT(ISERROR(MATCH(I583,_Entradas_ZIG!$C:$C,0))),"Ativo","—"))</f>
        <v/>
      </c>
      <c r="N583" s="102">
        <f>IFERROR(INDEX(_ZIG_Cadastro!$E:$E,MATCH(I583,_ZIG_Cadastro!$A:$A,0)),IFERROR(INDEX(_Entradas_ZIG!$F:$F,MATCH(I583,_Entradas_ZIG!$C:$C,0)),"—"))</f>
        <v/>
      </c>
      <c r="O583" s="99">
        <f>IF(AND(ISNUMBER(SEARCH("Espeto",N583)),ISNUMBER(SEARCH("Carin",N583))),"SIM","")</f>
        <v/>
      </c>
      <c r="P583" s="99">
        <f>IF(AND(ISNUMBER(SEARCH("Espeto",N583)),ISNUMBER(SEARCH("Lapa",N583))),"SIM","")</f>
        <v/>
      </c>
      <c r="Q583" s="99">
        <f>IF(AND(ISNUMBER(SEARCH("Espeto",N583)),ISNUMBER(SEARCH("Tatuapé",N583))),"SIM","")</f>
        <v/>
      </c>
      <c r="R583" s="99">
        <f>IF(AND(ISNUMBER(SEARCH("Espeto",N583)),ISNUMBER(SEARCH("Pavão",N583))),"SIM","")</f>
        <v/>
      </c>
      <c r="S583" s="99">
        <f>IF(AND(ISNUMBER(SEARCH("Espeto",N583)),ISNUMBER(SEARCH("Chac",N583))),"SIM","")</f>
        <v/>
      </c>
      <c r="T583" s="99">
        <f>IF(AND(ISNUMBER(SEARCH("Espeto",N583)),ISNUMBER(SEARCH("Madalena",N583))),"SIM","")</f>
        <v/>
      </c>
      <c r="U583" s="99">
        <f>IF(AND(ISNUMBER(SEARCH("Espeto",N583)),ISNUMBER(SEARCH("Mariana",N583))),"SIM","")</f>
        <v/>
      </c>
      <c r="V583" s="99">
        <f>IF(AND(ISNUMBER(SEARCH("Espeto",N583)),ISNUMBER(SEARCH("Perdizes",N583))),"SIM","")</f>
        <v/>
      </c>
      <c r="W583" s="99">
        <f>IF(AND(ISNUMBER(SEARCH("Espeto",N583)),ISNUMBER(SEARCH("Santana",N583))),"SIM","")</f>
        <v/>
      </c>
      <c r="X583" s="99">
        <f>IF(AND(ISNUMBER(SEARCH("Espeto",N583)),ISNUMBER(SEARCH("André",N583))),"SIM","")</f>
        <v/>
      </c>
      <c r="Y583" s="99">
        <f>IF(AND(ISNUMBER(SEARCH("Delivery",N583)),ISNUMBER(SEARCH("Carin",N583))),"SIM","")</f>
        <v/>
      </c>
      <c r="Z583" s="99">
        <f>IF(AND(ISNUMBER(SEARCH("Delivery",N583)),ISNUMBER(SEARCH("Lapa",N583))),"SIM","")</f>
        <v/>
      </c>
      <c r="AA583" s="99">
        <f>IF(AND(ISNUMBER(SEARCH("Delivery",N583)),ISNUMBER(SEARCH("Tatuapé",N583))),"SIM","")</f>
        <v/>
      </c>
      <c r="AB583" s="99">
        <f>IF(AND(ISNUMBER(SEARCH("Delivery",N583)),ISNUMBER(SEARCH("Pavão",N583))),"SIM","")</f>
        <v/>
      </c>
      <c r="AC583" s="99">
        <f>IF(AND(ISNUMBER(SEARCH("Delivery",N583)),ISNUMBER(SEARCH("Chac",N583))),"SIM","")</f>
        <v/>
      </c>
      <c r="AD583" s="99">
        <f>IF(AND(ISNUMBER(SEARCH("Delivery",N583)),ISNUMBER(SEARCH("Madalena",N583))),"SIM","")</f>
        <v/>
      </c>
      <c r="AE583" s="92">
        <f>IF(AND(ISNUMBER(SEARCH("Delivery",N583)),ISNUMBER(SEARCH("Mariana",N583))),"SIM","")</f>
        <v/>
      </c>
      <c r="AF583" s="92">
        <f>IF(AND(ISNUMBER(SEARCH("Delivery",N583)),ISNUMBER(SEARCH("Perdizes",N583))),"SIM","")</f>
        <v/>
      </c>
      <c r="AG583" s="92">
        <f>IF(AND(ISNUMBER(SEARCH("Delivery",N583)),ISNUMBER(SEARCH("Santana",N583))),"SIM","")</f>
        <v/>
      </c>
      <c r="AH583" s="92">
        <f>IF(AND(ISNUMBER(SEARCH("Delivery",N583)),ISNUMBER(SEARCH("André",N583))),"SIM","")</f>
        <v/>
      </c>
      <c r="AI583" s="92">
        <f>IF(ISNUMBER(SEARCH("Interlagos",N583)),"SIM","")</f>
        <v/>
      </c>
      <c r="AJ583" s="92">
        <f>IF(ISNUMBER(SEARCH("Quiosque",N583)),"SIM","")</f>
        <v/>
      </c>
      <c r="AK583" s="93" t="n"/>
    </row>
    <row r="584">
      <c r="A584" s="88" t="inlineStr">
        <is>
          <t>Protheus</t>
        </is>
      </c>
      <c r="B584" s="89" t="inlineStr">
        <is>
          <t>001782</t>
        </is>
      </c>
      <c r="C584" s="90">
        <f>IF(B584="—","—",IFERROR(VLOOKUP(B584,_Protheus_Cadastro!$A:$B,2,FALSE),"—"))</f>
        <v/>
      </c>
      <c r="D584" s="91">
        <f>IF(B584="—",IFERROR(INDEX(_ZIG_Cadastro!$D:$D,MATCH(H584,_ZIG_Cadastro!$A:$A,0)),"Produto"),IFERROR(VLOOKUP(B584,_Protheus_Cadastro!$A:$C,3,FALSE),"—"))</f>
        <v/>
      </c>
      <c r="E584" s="91">
        <f>IF(B584="—","—",IFERROR(VLOOKUP(B584,_Protheus_Cadastro!$A:$D,4,FALSE),"—"))</f>
        <v/>
      </c>
      <c r="F584" s="91">
        <f>IF(ISERROR(VLOOKUP(B584,'Estrutura Protheus'!A:A,1,FALSE)),"Não","Sim")</f>
        <v/>
      </c>
      <c r="G584" s="92">
        <f>IFERROR(INDEX(_Protheus_Cadastro!$H:$H,MATCH(B584,_Protheus_Cadastro!$A:$A,0)),"—")</f>
        <v/>
      </c>
      <c r="H584" s="210">
        <f>IFERROR(INDEX(_ZIG_Precos!$D:$D,MATCH(I584,_ZIG_Precos!$F:$F,0)),"—")</f>
        <v/>
      </c>
      <c r="I584" s="95">
        <f>IFERROR(VLOOKUP(B584,_Protheus_Cadastro!$A:$I,9,FALSE),"—")</f>
        <v/>
      </c>
      <c r="J584" s="93">
        <f>IFERROR(INDEX(_ZIG_Cadastro!$B:$B,MATCH(I584,_ZIG_Cadastro!$A:$A,0)),IFERROR(INDEX(_Entradas_ZIG!$B:$B,MATCH(I584,_Entradas_ZIG!$C:$C,0)),"—"))</f>
        <v/>
      </c>
      <c r="K584" s="93">
        <f>IFERROR(INDEX(_ZIG_Cadastro!$C:$C,MATCH(I584,_ZIG_Cadastro!$A:$A,0)),IFERROR(INDEX(_Entradas_ZIG!$D:$D,MATCH(I584,_Entradas_ZIG!$C:$C,0)),"—"))</f>
        <v/>
      </c>
      <c r="L584" s="92">
        <f>IF(I584="","Sem SKU ZIG",IF(I584="—","Sem SKU ZIG",IF(NOT(ISERROR(MATCH(I584,_ZIG_Cadastro!$A:$A,0))),IF(EXACT(UPPER(TRIM(C584)),UPPER(TRIM(INDEX(_ZIG_Cadastro!$B:$B,MATCH(I584,_ZIG_Cadastro!$A:$A,0))))),"OK","Atencao - Nome diverge"),IF(NOT(ISERROR(MATCH(I584,_Entradas_ZIG!$C:$C,0))),"OK","Erro - SKU nao encontrado"))))</f>
        <v/>
      </c>
      <c r="M584" s="92">
        <f>IFERROR(INDEX(_ZIG_Cadastro!$G:$G,MATCH(I584,_ZIG_Cadastro!$A:$A,0)),IF(NOT(ISERROR(MATCH(I584,_Entradas_ZIG!$C:$C,0))),"Ativo","—"))</f>
        <v/>
      </c>
      <c r="N584" s="94">
        <f>IFERROR(INDEX(_ZIG_Cadastro!$E:$E,MATCH(I584,_ZIG_Cadastro!$A:$A,0)),IFERROR(INDEX(_Entradas_ZIG!$F:$F,MATCH(I584,_Entradas_ZIG!$C:$C,0)),"—"))</f>
        <v/>
      </c>
      <c r="O584" s="92">
        <f>IF(AND(ISNUMBER(SEARCH("Espeto",N584)),ISNUMBER(SEARCH("Carin",N584))),"SIM","")</f>
        <v/>
      </c>
      <c r="P584" s="92">
        <f>IF(AND(ISNUMBER(SEARCH("Espeto",N584)),ISNUMBER(SEARCH("Lapa",N584))),"SIM","")</f>
        <v/>
      </c>
      <c r="Q584" s="92">
        <f>IF(AND(ISNUMBER(SEARCH("Espeto",N584)),ISNUMBER(SEARCH("Tatuapé",N584))),"SIM","")</f>
        <v/>
      </c>
      <c r="R584" s="92">
        <f>IF(AND(ISNUMBER(SEARCH("Espeto",N584)),ISNUMBER(SEARCH("Pavão",N584))),"SIM","")</f>
        <v/>
      </c>
      <c r="S584" s="92">
        <f>IF(AND(ISNUMBER(SEARCH("Espeto",N584)),ISNUMBER(SEARCH("Chac",N584))),"SIM","")</f>
        <v/>
      </c>
      <c r="T584" s="92">
        <f>IF(AND(ISNUMBER(SEARCH("Espeto",N584)),ISNUMBER(SEARCH("Madalena",N584))),"SIM","")</f>
        <v/>
      </c>
      <c r="U584" s="92">
        <f>IF(AND(ISNUMBER(SEARCH("Espeto",N584)),ISNUMBER(SEARCH("Mariana",N584))),"SIM","")</f>
        <v/>
      </c>
      <c r="V584" s="92">
        <f>IF(AND(ISNUMBER(SEARCH("Espeto",N584)),ISNUMBER(SEARCH("Perdizes",N584))),"SIM","")</f>
        <v/>
      </c>
      <c r="W584" s="92">
        <f>IF(AND(ISNUMBER(SEARCH("Espeto",N584)),ISNUMBER(SEARCH("Santana",N584))),"SIM","")</f>
        <v/>
      </c>
      <c r="X584" s="92">
        <f>IF(AND(ISNUMBER(SEARCH("Espeto",N584)),ISNUMBER(SEARCH("André",N584))),"SIM","")</f>
        <v/>
      </c>
      <c r="Y584" s="92">
        <f>IF(AND(ISNUMBER(SEARCH("Delivery",N584)),ISNUMBER(SEARCH("Carin",N584))),"SIM","")</f>
        <v/>
      </c>
      <c r="Z584" s="92">
        <f>IF(AND(ISNUMBER(SEARCH("Delivery",N584)),ISNUMBER(SEARCH("Lapa",N584))),"SIM","")</f>
        <v/>
      </c>
      <c r="AA584" s="92">
        <f>IF(AND(ISNUMBER(SEARCH("Delivery",N584)),ISNUMBER(SEARCH("Tatuapé",N584))),"SIM","")</f>
        <v/>
      </c>
      <c r="AB584" s="92">
        <f>IF(AND(ISNUMBER(SEARCH("Delivery",N584)),ISNUMBER(SEARCH("Pavão",N584))),"SIM","")</f>
        <v/>
      </c>
      <c r="AC584" s="92">
        <f>IF(AND(ISNUMBER(SEARCH("Delivery",N584)),ISNUMBER(SEARCH("Chac",N584))),"SIM","")</f>
        <v/>
      </c>
      <c r="AD584" s="92">
        <f>IF(AND(ISNUMBER(SEARCH("Delivery",N584)),ISNUMBER(SEARCH("Madalena",N584))),"SIM","")</f>
        <v/>
      </c>
      <c r="AE584" s="99">
        <f>IF(AND(ISNUMBER(SEARCH("Delivery",N584)),ISNUMBER(SEARCH("Mariana",N584))),"SIM","")</f>
        <v/>
      </c>
      <c r="AF584" s="99">
        <f>IF(AND(ISNUMBER(SEARCH("Delivery",N584)),ISNUMBER(SEARCH("Perdizes",N584))),"SIM","")</f>
        <v/>
      </c>
      <c r="AG584" s="99">
        <f>IF(AND(ISNUMBER(SEARCH("Delivery",N584)),ISNUMBER(SEARCH("Santana",N584))),"SIM","")</f>
        <v/>
      </c>
      <c r="AH584" s="99">
        <f>IF(AND(ISNUMBER(SEARCH("Delivery",N584)),ISNUMBER(SEARCH("André",N584))),"SIM","")</f>
        <v/>
      </c>
      <c r="AI584" s="99">
        <f>IF(ISNUMBER(SEARCH("Interlagos",N584)),"SIM","")</f>
        <v/>
      </c>
      <c r="AJ584" s="99">
        <f>IF(ISNUMBER(SEARCH("Quiosque",N584)),"SIM","")</f>
        <v/>
      </c>
      <c r="AK584" s="101" t="n"/>
    </row>
    <row r="585">
      <c r="A585" s="88" t="inlineStr">
        <is>
          <t>Protheus</t>
        </is>
      </c>
      <c r="B585" s="96" t="inlineStr">
        <is>
          <t>000872</t>
        </is>
      </c>
      <c r="C585" s="97">
        <f>IF(B585="—","—",IFERROR(VLOOKUP(B585,_Protheus_Cadastro!$A:$B,2,FALSE),"—"))</f>
        <v/>
      </c>
      <c r="D585" s="98">
        <f>IF(B585="—",IFERROR(INDEX(_ZIG_Cadastro!$D:$D,MATCH(H585,_ZIG_Cadastro!$A:$A,0)),"Produto"),IFERROR(VLOOKUP(B585,_Protheus_Cadastro!$A:$C,3,FALSE),"—"))</f>
        <v/>
      </c>
      <c r="E585" s="98">
        <f>IF(B585="—","—",IFERROR(VLOOKUP(B585,_Protheus_Cadastro!$A:$D,4,FALSE),"—"))</f>
        <v/>
      </c>
      <c r="F585" s="98">
        <f>IF(ISERROR(VLOOKUP(B585,'Estrutura Protheus'!A:A,1,FALSE)),"Não","Sim")</f>
        <v/>
      </c>
      <c r="G585" s="99">
        <f>IFERROR(INDEX(_Protheus_Cadastro!$H:$H,MATCH(B585,_Protheus_Cadastro!$A:$A,0)),"—")</f>
        <v/>
      </c>
      <c r="H585" s="211">
        <f>IFERROR(INDEX(_ZIG_Precos!$D:$D,MATCH(I585,_ZIG_Precos!$F:$F,0)),"—")</f>
        <v/>
      </c>
      <c r="I585" s="103">
        <f>IFERROR(VLOOKUP(B585,_Protheus_Cadastro!$A:$I,9,FALSE),"—")</f>
        <v/>
      </c>
      <c r="J585" s="101">
        <f>IFERROR(INDEX(_ZIG_Cadastro!$B:$B,MATCH(I585,_ZIG_Cadastro!$A:$A,0)),IFERROR(INDEX(_Entradas_ZIG!$B:$B,MATCH(I585,_Entradas_ZIG!$C:$C,0)),"—"))</f>
        <v/>
      </c>
      <c r="K585" s="101">
        <f>IFERROR(INDEX(_ZIG_Cadastro!$C:$C,MATCH(I585,_ZIG_Cadastro!$A:$A,0)),IFERROR(INDEX(_Entradas_ZIG!$D:$D,MATCH(I585,_Entradas_ZIG!$C:$C,0)),"—"))</f>
        <v/>
      </c>
      <c r="L585" s="99">
        <f>IF(I585="","Sem SKU ZIG",IF(I585="—","Sem SKU ZIG",IF(NOT(ISERROR(MATCH(I585,_ZIG_Cadastro!$A:$A,0))),IF(EXACT(UPPER(TRIM(C585)),UPPER(TRIM(INDEX(_ZIG_Cadastro!$B:$B,MATCH(I585,_ZIG_Cadastro!$A:$A,0))))),"OK","Atencao - Nome diverge"),IF(NOT(ISERROR(MATCH(I585,_Entradas_ZIG!$C:$C,0))),"OK","Erro - SKU nao encontrado"))))</f>
        <v/>
      </c>
      <c r="M585" s="99">
        <f>IFERROR(INDEX(_ZIG_Cadastro!$G:$G,MATCH(I585,_ZIG_Cadastro!$A:$A,0)),IF(NOT(ISERROR(MATCH(I585,_Entradas_ZIG!$C:$C,0))),"Ativo","—"))</f>
        <v/>
      </c>
      <c r="N585" s="102">
        <f>IFERROR(INDEX(_ZIG_Cadastro!$E:$E,MATCH(I585,_ZIG_Cadastro!$A:$A,0)),IFERROR(INDEX(_Entradas_ZIG!$F:$F,MATCH(I585,_Entradas_ZIG!$C:$C,0)),"—"))</f>
        <v/>
      </c>
      <c r="O585" s="99">
        <f>IF(AND(ISNUMBER(SEARCH("Espeto",N585)),ISNUMBER(SEARCH("Carin",N585))),"SIM","")</f>
        <v/>
      </c>
      <c r="P585" s="99">
        <f>IF(AND(ISNUMBER(SEARCH("Espeto",N585)),ISNUMBER(SEARCH("Lapa",N585))),"SIM","")</f>
        <v/>
      </c>
      <c r="Q585" s="99">
        <f>IF(AND(ISNUMBER(SEARCH("Espeto",N585)),ISNUMBER(SEARCH("Tatuapé",N585))),"SIM","")</f>
        <v/>
      </c>
      <c r="R585" s="99">
        <f>IF(AND(ISNUMBER(SEARCH("Espeto",N585)),ISNUMBER(SEARCH("Pavão",N585))),"SIM","")</f>
        <v/>
      </c>
      <c r="S585" s="99">
        <f>IF(AND(ISNUMBER(SEARCH("Espeto",N585)),ISNUMBER(SEARCH("Chac",N585))),"SIM","")</f>
        <v/>
      </c>
      <c r="T585" s="99">
        <f>IF(AND(ISNUMBER(SEARCH("Espeto",N585)),ISNUMBER(SEARCH("Madalena",N585))),"SIM","")</f>
        <v/>
      </c>
      <c r="U585" s="99">
        <f>IF(AND(ISNUMBER(SEARCH("Espeto",N585)),ISNUMBER(SEARCH("Mariana",N585))),"SIM","")</f>
        <v/>
      </c>
      <c r="V585" s="99">
        <f>IF(AND(ISNUMBER(SEARCH("Espeto",N585)),ISNUMBER(SEARCH("Perdizes",N585))),"SIM","")</f>
        <v/>
      </c>
      <c r="W585" s="99">
        <f>IF(AND(ISNUMBER(SEARCH("Espeto",N585)),ISNUMBER(SEARCH("Santana",N585))),"SIM","")</f>
        <v/>
      </c>
      <c r="X585" s="99">
        <f>IF(AND(ISNUMBER(SEARCH("Espeto",N585)),ISNUMBER(SEARCH("André",N585))),"SIM","")</f>
        <v/>
      </c>
      <c r="Y585" s="99">
        <f>IF(AND(ISNUMBER(SEARCH("Delivery",N585)),ISNUMBER(SEARCH("Carin",N585))),"SIM","")</f>
        <v/>
      </c>
      <c r="Z585" s="99">
        <f>IF(AND(ISNUMBER(SEARCH("Delivery",N585)),ISNUMBER(SEARCH("Lapa",N585))),"SIM","")</f>
        <v/>
      </c>
      <c r="AA585" s="99">
        <f>IF(AND(ISNUMBER(SEARCH("Delivery",N585)),ISNUMBER(SEARCH("Tatuapé",N585))),"SIM","")</f>
        <v/>
      </c>
      <c r="AB585" s="99">
        <f>IF(AND(ISNUMBER(SEARCH("Delivery",N585)),ISNUMBER(SEARCH("Pavão",N585))),"SIM","")</f>
        <v/>
      </c>
      <c r="AC585" s="99">
        <f>IF(AND(ISNUMBER(SEARCH("Delivery",N585)),ISNUMBER(SEARCH("Chac",N585))),"SIM","")</f>
        <v/>
      </c>
      <c r="AD585" s="99">
        <f>IF(AND(ISNUMBER(SEARCH("Delivery",N585)),ISNUMBER(SEARCH("Madalena",N585))),"SIM","")</f>
        <v/>
      </c>
      <c r="AE585" s="92">
        <f>IF(AND(ISNUMBER(SEARCH("Delivery",N585)),ISNUMBER(SEARCH("Mariana",N585))),"SIM","")</f>
        <v/>
      </c>
      <c r="AF585" s="92">
        <f>IF(AND(ISNUMBER(SEARCH("Delivery",N585)),ISNUMBER(SEARCH("Perdizes",N585))),"SIM","")</f>
        <v/>
      </c>
      <c r="AG585" s="92">
        <f>IF(AND(ISNUMBER(SEARCH("Delivery",N585)),ISNUMBER(SEARCH("Santana",N585))),"SIM","")</f>
        <v/>
      </c>
      <c r="AH585" s="92">
        <f>IF(AND(ISNUMBER(SEARCH("Delivery",N585)),ISNUMBER(SEARCH("André",N585))),"SIM","")</f>
        <v/>
      </c>
      <c r="AI585" s="92">
        <f>IF(ISNUMBER(SEARCH("Interlagos",N585)),"SIM","")</f>
        <v/>
      </c>
      <c r="AJ585" s="92">
        <f>IF(ISNUMBER(SEARCH("Quiosque",N585)),"SIM","")</f>
        <v/>
      </c>
      <c r="AK585" s="93" t="n"/>
    </row>
    <row r="586">
      <c r="A586" s="88" t="inlineStr">
        <is>
          <t>Protheus</t>
        </is>
      </c>
      <c r="B586" s="89" t="inlineStr">
        <is>
          <t>000874</t>
        </is>
      </c>
      <c r="C586" s="90">
        <f>IF(B586="—","—",IFERROR(VLOOKUP(B586,_Protheus_Cadastro!$A:$B,2,FALSE),"—"))</f>
        <v/>
      </c>
      <c r="D586" s="91">
        <f>IF(B586="—",IFERROR(INDEX(_ZIG_Cadastro!$D:$D,MATCH(H586,_ZIG_Cadastro!$A:$A,0)),"Produto"),IFERROR(VLOOKUP(B586,_Protheus_Cadastro!$A:$C,3,FALSE),"—"))</f>
        <v/>
      </c>
      <c r="E586" s="91">
        <f>IF(B586="—","—",IFERROR(VLOOKUP(B586,_Protheus_Cadastro!$A:$D,4,FALSE),"—"))</f>
        <v/>
      </c>
      <c r="F586" s="91">
        <f>IF(ISERROR(VLOOKUP(B586,'Estrutura Protheus'!A:A,1,FALSE)),"Não","Sim")</f>
        <v/>
      </c>
      <c r="G586" s="92">
        <f>IFERROR(INDEX(_Protheus_Cadastro!$H:$H,MATCH(B586,_Protheus_Cadastro!$A:$A,0)),"—")</f>
        <v/>
      </c>
      <c r="H586" s="210">
        <f>IFERROR(INDEX(_ZIG_Precos!$D:$D,MATCH(I586,_ZIG_Precos!$F:$F,0)),"—")</f>
        <v/>
      </c>
      <c r="I586" s="95">
        <f>IFERROR(VLOOKUP(B586,_Protheus_Cadastro!$A:$I,9,FALSE),"—")</f>
        <v/>
      </c>
      <c r="J586" s="93">
        <f>IFERROR(INDEX(_ZIG_Cadastro!$B:$B,MATCH(I586,_ZIG_Cadastro!$A:$A,0)),IFERROR(INDEX(_Entradas_ZIG!$B:$B,MATCH(I586,_Entradas_ZIG!$C:$C,0)),"—"))</f>
        <v/>
      </c>
      <c r="K586" s="93">
        <f>IFERROR(INDEX(_ZIG_Cadastro!$C:$C,MATCH(I586,_ZIG_Cadastro!$A:$A,0)),IFERROR(INDEX(_Entradas_ZIG!$D:$D,MATCH(I586,_Entradas_ZIG!$C:$C,0)),"—"))</f>
        <v/>
      </c>
      <c r="L586" s="92">
        <f>IF(I586="","Sem SKU ZIG",IF(I586="—","Sem SKU ZIG",IF(NOT(ISERROR(MATCH(I586,_ZIG_Cadastro!$A:$A,0))),IF(EXACT(UPPER(TRIM(C586)),UPPER(TRIM(INDEX(_ZIG_Cadastro!$B:$B,MATCH(I586,_ZIG_Cadastro!$A:$A,0))))),"OK","Atencao - Nome diverge"),IF(NOT(ISERROR(MATCH(I586,_Entradas_ZIG!$C:$C,0))),"OK","Erro - SKU nao encontrado"))))</f>
        <v/>
      </c>
      <c r="M586" s="92">
        <f>IFERROR(INDEX(_ZIG_Cadastro!$G:$G,MATCH(I586,_ZIG_Cadastro!$A:$A,0)),IF(NOT(ISERROR(MATCH(I586,_Entradas_ZIG!$C:$C,0))),"Ativo","—"))</f>
        <v/>
      </c>
      <c r="N586" s="94">
        <f>IFERROR(INDEX(_ZIG_Cadastro!$E:$E,MATCH(I586,_ZIG_Cadastro!$A:$A,0)),IFERROR(INDEX(_Entradas_ZIG!$F:$F,MATCH(I586,_Entradas_ZIG!$C:$C,0)),"—"))</f>
        <v/>
      </c>
      <c r="O586" s="92">
        <f>IF(AND(ISNUMBER(SEARCH("Espeto",N586)),ISNUMBER(SEARCH("Carin",N586))),"SIM","")</f>
        <v/>
      </c>
      <c r="P586" s="92">
        <f>IF(AND(ISNUMBER(SEARCH("Espeto",N586)),ISNUMBER(SEARCH("Lapa",N586))),"SIM","")</f>
        <v/>
      </c>
      <c r="Q586" s="92">
        <f>IF(AND(ISNUMBER(SEARCH("Espeto",N586)),ISNUMBER(SEARCH("Tatuapé",N586))),"SIM","")</f>
        <v/>
      </c>
      <c r="R586" s="92">
        <f>IF(AND(ISNUMBER(SEARCH("Espeto",N586)),ISNUMBER(SEARCH("Pavão",N586))),"SIM","")</f>
        <v/>
      </c>
      <c r="S586" s="92">
        <f>IF(AND(ISNUMBER(SEARCH("Espeto",N586)),ISNUMBER(SEARCH("Chac",N586))),"SIM","")</f>
        <v/>
      </c>
      <c r="T586" s="92">
        <f>IF(AND(ISNUMBER(SEARCH("Espeto",N586)),ISNUMBER(SEARCH("Madalena",N586))),"SIM","")</f>
        <v/>
      </c>
      <c r="U586" s="92">
        <f>IF(AND(ISNUMBER(SEARCH("Espeto",N586)),ISNUMBER(SEARCH("Mariana",N586))),"SIM","")</f>
        <v/>
      </c>
      <c r="V586" s="92">
        <f>IF(AND(ISNUMBER(SEARCH("Espeto",N586)),ISNUMBER(SEARCH("Perdizes",N586))),"SIM","")</f>
        <v/>
      </c>
      <c r="W586" s="92">
        <f>IF(AND(ISNUMBER(SEARCH("Espeto",N586)),ISNUMBER(SEARCH("Santana",N586))),"SIM","")</f>
        <v/>
      </c>
      <c r="X586" s="92">
        <f>IF(AND(ISNUMBER(SEARCH("Espeto",N586)),ISNUMBER(SEARCH("André",N586))),"SIM","")</f>
        <v/>
      </c>
      <c r="Y586" s="92">
        <f>IF(AND(ISNUMBER(SEARCH("Delivery",N586)),ISNUMBER(SEARCH("Carin",N586))),"SIM","")</f>
        <v/>
      </c>
      <c r="Z586" s="92">
        <f>IF(AND(ISNUMBER(SEARCH("Delivery",N586)),ISNUMBER(SEARCH("Lapa",N586))),"SIM","")</f>
        <v/>
      </c>
      <c r="AA586" s="92">
        <f>IF(AND(ISNUMBER(SEARCH("Delivery",N586)),ISNUMBER(SEARCH("Tatuapé",N586))),"SIM","")</f>
        <v/>
      </c>
      <c r="AB586" s="92">
        <f>IF(AND(ISNUMBER(SEARCH("Delivery",N586)),ISNUMBER(SEARCH("Pavão",N586))),"SIM","")</f>
        <v/>
      </c>
      <c r="AC586" s="92">
        <f>IF(AND(ISNUMBER(SEARCH("Delivery",N586)),ISNUMBER(SEARCH("Chac",N586))),"SIM","")</f>
        <v/>
      </c>
      <c r="AD586" s="92">
        <f>IF(AND(ISNUMBER(SEARCH("Delivery",N586)),ISNUMBER(SEARCH("Madalena",N586))),"SIM","")</f>
        <v/>
      </c>
      <c r="AE586" s="99">
        <f>IF(AND(ISNUMBER(SEARCH("Delivery",N586)),ISNUMBER(SEARCH("Mariana",N586))),"SIM","")</f>
        <v/>
      </c>
      <c r="AF586" s="99">
        <f>IF(AND(ISNUMBER(SEARCH("Delivery",N586)),ISNUMBER(SEARCH("Perdizes",N586))),"SIM","")</f>
        <v/>
      </c>
      <c r="AG586" s="99">
        <f>IF(AND(ISNUMBER(SEARCH("Delivery",N586)),ISNUMBER(SEARCH("Santana",N586))),"SIM","")</f>
        <v/>
      </c>
      <c r="AH586" s="99">
        <f>IF(AND(ISNUMBER(SEARCH("Delivery",N586)),ISNUMBER(SEARCH("André",N586))),"SIM","")</f>
        <v/>
      </c>
      <c r="AI586" s="99">
        <f>IF(ISNUMBER(SEARCH("Interlagos",N586)),"SIM","")</f>
        <v/>
      </c>
      <c r="AJ586" s="99">
        <f>IF(ISNUMBER(SEARCH("Quiosque",N586)),"SIM","")</f>
        <v/>
      </c>
      <c r="AK586" s="101" t="n"/>
    </row>
    <row r="587">
      <c r="A587" s="88" t="inlineStr">
        <is>
          <t>Protheus</t>
        </is>
      </c>
      <c r="B587" s="96" t="inlineStr">
        <is>
          <t>000875</t>
        </is>
      </c>
      <c r="C587" s="97">
        <f>IF(B587="—","—",IFERROR(VLOOKUP(B587,_Protheus_Cadastro!$A:$B,2,FALSE),"—"))</f>
        <v/>
      </c>
      <c r="D587" s="98">
        <f>IF(B587="—",IFERROR(INDEX(_ZIG_Cadastro!$D:$D,MATCH(H587,_ZIG_Cadastro!$A:$A,0)),"Produto"),IFERROR(VLOOKUP(B587,_Protheus_Cadastro!$A:$C,3,FALSE),"—"))</f>
        <v/>
      </c>
      <c r="E587" s="98">
        <f>IF(B587="—","—",IFERROR(VLOOKUP(B587,_Protheus_Cadastro!$A:$D,4,FALSE),"—"))</f>
        <v/>
      </c>
      <c r="F587" s="98">
        <f>IF(ISERROR(VLOOKUP(B587,'Estrutura Protheus'!A:A,1,FALSE)),"Não","Sim")</f>
        <v/>
      </c>
      <c r="G587" s="99">
        <f>IFERROR(INDEX(_Protheus_Cadastro!$H:$H,MATCH(B587,_Protheus_Cadastro!$A:$A,0)),"—")</f>
        <v/>
      </c>
      <c r="H587" s="211">
        <f>IFERROR(INDEX(_ZIG_Precos!$D:$D,MATCH(I587,_ZIG_Precos!$F:$F,0)),"—")</f>
        <v/>
      </c>
      <c r="I587" s="103">
        <f>IFERROR(VLOOKUP(B587,_Protheus_Cadastro!$A:$I,9,FALSE),"—")</f>
        <v/>
      </c>
      <c r="J587" s="101">
        <f>IFERROR(INDEX(_ZIG_Cadastro!$B:$B,MATCH(I587,_ZIG_Cadastro!$A:$A,0)),IFERROR(INDEX(_Entradas_ZIG!$B:$B,MATCH(I587,_Entradas_ZIG!$C:$C,0)),"—"))</f>
        <v/>
      </c>
      <c r="K587" s="101">
        <f>IFERROR(INDEX(_ZIG_Cadastro!$C:$C,MATCH(I587,_ZIG_Cadastro!$A:$A,0)),IFERROR(INDEX(_Entradas_ZIG!$D:$D,MATCH(I587,_Entradas_ZIG!$C:$C,0)),"—"))</f>
        <v/>
      </c>
      <c r="L587" s="99">
        <f>IF(I587="","Sem SKU ZIG",IF(I587="—","Sem SKU ZIG",IF(NOT(ISERROR(MATCH(I587,_ZIG_Cadastro!$A:$A,0))),IF(EXACT(UPPER(TRIM(C587)),UPPER(TRIM(INDEX(_ZIG_Cadastro!$B:$B,MATCH(I587,_ZIG_Cadastro!$A:$A,0))))),"OK","Atencao - Nome diverge"),IF(NOT(ISERROR(MATCH(I587,_Entradas_ZIG!$C:$C,0))),"OK","Erro - SKU nao encontrado"))))</f>
        <v/>
      </c>
      <c r="M587" s="99">
        <f>IFERROR(INDEX(_ZIG_Cadastro!$G:$G,MATCH(I587,_ZIG_Cadastro!$A:$A,0)),IF(NOT(ISERROR(MATCH(I587,_Entradas_ZIG!$C:$C,0))),"Ativo","—"))</f>
        <v/>
      </c>
      <c r="N587" s="102">
        <f>IFERROR(INDEX(_ZIG_Cadastro!$E:$E,MATCH(I587,_ZIG_Cadastro!$A:$A,0)),IFERROR(INDEX(_Entradas_ZIG!$F:$F,MATCH(I587,_Entradas_ZIG!$C:$C,0)),"—"))</f>
        <v/>
      </c>
      <c r="O587" s="99">
        <f>IF(AND(ISNUMBER(SEARCH("Espeto",N587)),ISNUMBER(SEARCH("Carin",N587))),"SIM","")</f>
        <v/>
      </c>
      <c r="P587" s="99">
        <f>IF(AND(ISNUMBER(SEARCH("Espeto",N587)),ISNUMBER(SEARCH("Lapa",N587))),"SIM","")</f>
        <v/>
      </c>
      <c r="Q587" s="99">
        <f>IF(AND(ISNUMBER(SEARCH("Espeto",N587)),ISNUMBER(SEARCH("Tatuapé",N587))),"SIM","")</f>
        <v/>
      </c>
      <c r="R587" s="99">
        <f>IF(AND(ISNUMBER(SEARCH("Espeto",N587)),ISNUMBER(SEARCH("Pavão",N587))),"SIM","")</f>
        <v/>
      </c>
      <c r="S587" s="99">
        <f>IF(AND(ISNUMBER(SEARCH("Espeto",N587)),ISNUMBER(SEARCH("Chac",N587))),"SIM","")</f>
        <v/>
      </c>
      <c r="T587" s="99">
        <f>IF(AND(ISNUMBER(SEARCH("Espeto",N587)),ISNUMBER(SEARCH("Madalena",N587))),"SIM","")</f>
        <v/>
      </c>
      <c r="U587" s="99">
        <f>IF(AND(ISNUMBER(SEARCH("Espeto",N587)),ISNUMBER(SEARCH("Mariana",N587))),"SIM","")</f>
        <v/>
      </c>
      <c r="V587" s="99">
        <f>IF(AND(ISNUMBER(SEARCH("Espeto",N587)),ISNUMBER(SEARCH("Perdizes",N587))),"SIM","")</f>
        <v/>
      </c>
      <c r="W587" s="99">
        <f>IF(AND(ISNUMBER(SEARCH("Espeto",N587)),ISNUMBER(SEARCH("Santana",N587))),"SIM","")</f>
        <v/>
      </c>
      <c r="X587" s="99">
        <f>IF(AND(ISNUMBER(SEARCH("Espeto",N587)),ISNUMBER(SEARCH("André",N587))),"SIM","")</f>
        <v/>
      </c>
      <c r="Y587" s="99">
        <f>IF(AND(ISNUMBER(SEARCH("Delivery",N587)),ISNUMBER(SEARCH("Carin",N587))),"SIM","")</f>
        <v/>
      </c>
      <c r="Z587" s="99">
        <f>IF(AND(ISNUMBER(SEARCH("Delivery",N587)),ISNUMBER(SEARCH("Lapa",N587))),"SIM","")</f>
        <v/>
      </c>
      <c r="AA587" s="99">
        <f>IF(AND(ISNUMBER(SEARCH("Delivery",N587)),ISNUMBER(SEARCH("Tatuapé",N587))),"SIM","")</f>
        <v/>
      </c>
      <c r="AB587" s="99">
        <f>IF(AND(ISNUMBER(SEARCH("Delivery",N587)),ISNUMBER(SEARCH("Pavão",N587))),"SIM","")</f>
        <v/>
      </c>
      <c r="AC587" s="99">
        <f>IF(AND(ISNUMBER(SEARCH("Delivery",N587)),ISNUMBER(SEARCH("Chac",N587))),"SIM","")</f>
        <v/>
      </c>
      <c r="AD587" s="99">
        <f>IF(AND(ISNUMBER(SEARCH("Delivery",N587)),ISNUMBER(SEARCH("Madalena",N587))),"SIM","")</f>
        <v/>
      </c>
      <c r="AE587" s="92">
        <f>IF(AND(ISNUMBER(SEARCH("Delivery",N587)),ISNUMBER(SEARCH("Mariana",N587))),"SIM","")</f>
        <v/>
      </c>
      <c r="AF587" s="92">
        <f>IF(AND(ISNUMBER(SEARCH("Delivery",N587)),ISNUMBER(SEARCH("Perdizes",N587))),"SIM","")</f>
        <v/>
      </c>
      <c r="AG587" s="92">
        <f>IF(AND(ISNUMBER(SEARCH("Delivery",N587)),ISNUMBER(SEARCH("Santana",N587))),"SIM","")</f>
        <v/>
      </c>
      <c r="AH587" s="92">
        <f>IF(AND(ISNUMBER(SEARCH("Delivery",N587)),ISNUMBER(SEARCH("André",N587))),"SIM","")</f>
        <v/>
      </c>
      <c r="AI587" s="92">
        <f>IF(ISNUMBER(SEARCH("Interlagos",N587)),"SIM","")</f>
        <v/>
      </c>
      <c r="AJ587" s="92">
        <f>IF(ISNUMBER(SEARCH("Quiosque",N587)),"SIM","")</f>
        <v/>
      </c>
      <c r="AK587" s="93" t="n"/>
    </row>
    <row r="588">
      <c r="A588" s="88" t="inlineStr">
        <is>
          <t>Protheus</t>
        </is>
      </c>
      <c r="B588" s="89" t="inlineStr">
        <is>
          <t>000876</t>
        </is>
      </c>
      <c r="C588" s="90">
        <f>IF(B588="—","—",IFERROR(VLOOKUP(B588,_Protheus_Cadastro!$A:$B,2,FALSE),"—"))</f>
        <v/>
      </c>
      <c r="D588" s="91">
        <f>IF(B588="—",IFERROR(INDEX(_ZIG_Cadastro!$D:$D,MATCH(H588,_ZIG_Cadastro!$A:$A,0)),"Produto"),IFERROR(VLOOKUP(B588,_Protheus_Cadastro!$A:$C,3,FALSE),"—"))</f>
        <v/>
      </c>
      <c r="E588" s="91">
        <f>IF(B588="—","—",IFERROR(VLOOKUP(B588,_Protheus_Cadastro!$A:$D,4,FALSE),"—"))</f>
        <v/>
      </c>
      <c r="F588" s="91">
        <f>IF(ISERROR(VLOOKUP(B588,'Estrutura Protheus'!A:A,1,FALSE)),"Não","Sim")</f>
        <v/>
      </c>
      <c r="G588" s="92">
        <f>IFERROR(INDEX(_Protheus_Cadastro!$H:$H,MATCH(B588,_Protheus_Cadastro!$A:$A,0)),"—")</f>
        <v/>
      </c>
      <c r="H588" s="210">
        <f>IFERROR(INDEX(_ZIG_Precos!$D:$D,MATCH(I588,_ZIG_Precos!$F:$F,0)),"—")</f>
        <v/>
      </c>
      <c r="I588" s="95">
        <f>IFERROR(VLOOKUP(B588,_Protheus_Cadastro!$A:$I,9,FALSE),"—")</f>
        <v/>
      </c>
      <c r="J588" s="93">
        <f>IFERROR(INDEX(_ZIG_Cadastro!$B:$B,MATCH(I588,_ZIG_Cadastro!$A:$A,0)),IFERROR(INDEX(_Entradas_ZIG!$B:$B,MATCH(I588,_Entradas_ZIG!$C:$C,0)),"—"))</f>
        <v/>
      </c>
      <c r="K588" s="93">
        <f>IFERROR(INDEX(_ZIG_Cadastro!$C:$C,MATCH(I588,_ZIG_Cadastro!$A:$A,0)),IFERROR(INDEX(_Entradas_ZIG!$D:$D,MATCH(I588,_Entradas_ZIG!$C:$C,0)),"—"))</f>
        <v/>
      </c>
      <c r="L588" s="92">
        <f>IF(I588="","Sem SKU ZIG",IF(I588="—","Sem SKU ZIG",IF(NOT(ISERROR(MATCH(I588,_ZIG_Cadastro!$A:$A,0))),IF(EXACT(UPPER(TRIM(C588)),UPPER(TRIM(INDEX(_ZIG_Cadastro!$B:$B,MATCH(I588,_ZIG_Cadastro!$A:$A,0))))),"OK","Atencao - Nome diverge"),IF(NOT(ISERROR(MATCH(I588,_Entradas_ZIG!$C:$C,0))),"OK","Erro - SKU nao encontrado"))))</f>
        <v/>
      </c>
      <c r="M588" s="92">
        <f>IFERROR(INDEX(_ZIG_Cadastro!$G:$G,MATCH(I588,_ZIG_Cadastro!$A:$A,0)),IF(NOT(ISERROR(MATCH(I588,_Entradas_ZIG!$C:$C,0))),"Ativo","—"))</f>
        <v/>
      </c>
      <c r="N588" s="94">
        <f>IFERROR(INDEX(_ZIG_Cadastro!$E:$E,MATCH(I588,_ZIG_Cadastro!$A:$A,0)),IFERROR(INDEX(_Entradas_ZIG!$F:$F,MATCH(I588,_Entradas_ZIG!$C:$C,0)),"—"))</f>
        <v/>
      </c>
      <c r="O588" s="92">
        <f>IF(AND(ISNUMBER(SEARCH("Espeto",N588)),ISNUMBER(SEARCH("Carin",N588))),"SIM","")</f>
        <v/>
      </c>
      <c r="P588" s="92">
        <f>IF(AND(ISNUMBER(SEARCH("Espeto",N588)),ISNUMBER(SEARCH("Lapa",N588))),"SIM","")</f>
        <v/>
      </c>
      <c r="Q588" s="92">
        <f>IF(AND(ISNUMBER(SEARCH("Espeto",N588)),ISNUMBER(SEARCH("Tatuapé",N588))),"SIM","")</f>
        <v/>
      </c>
      <c r="R588" s="92">
        <f>IF(AND(ISNUMBER(SEARCH("Espeto",N588)),ISNUMBER(SEARCH("Pavão",N588))),"SIM","")</f>
        <v/>
      </c>
      <c r="S588" s="92">
        <f>IF(AND(ISNUMBER(SEARCH("Espeto",N588)),ISNUMBER(SEARCH("Chac",N588))),"SIM","")</f>
        <v/>
      </c>
      <c r="T588" s="92">
        <f>IF(AND(ISNUMBER(SEARCH("Espeto",N588)),ISNUMBER(SEARCH("Madalena",N588))),"SIM","")</f>
        <v/>
      </c>
      <c r="U588" s="92">
        <f>IF(AND(ISNUMBER(SEARCH("Espeto",N588)),ISNUMBER(SEARCH("Mariana",N588))),"SIM","")</f>
        <v/>
      </c>
      <c r="V588" s="92">
        <f>IF(AND(ISNUMBER(SEARCH("Espeto",N588)),ISNUMBER(SEARCH("Perdizes",N588))),"SIM","")</f>
        <v/>
      </c>
      <c r="W588" s="92">
        <f>IF(AND(ISNUMBER(SEARCH("Espeto",N588)),ISNUMBER(SEARCH("Santana",N588))),"SIM","")</f>
        <v/>
      </c>
      <c r="X588" s="92">
        <f>IF(AND(ISNUMBER(SEARCH("Espeto",N588)),ISNUMBER(SEARCH("André",N588))),"SIM","")</f>
        <v/>
      </c>
      <c r="Y588" s="92">
        <f>IF(AND(ISNUMBER(SEARCH("Delivery",N588)),ISNUMBER(SEARCH("Carin",N588))),"SIM","")</f>
        <v/>
      </c>
      <c r="Z588" s="92">
        <f>IF(AND(ISNUMBER(SEARCH("Delivery",N588)),ISNUMBER(SEARCH("Lapa",N588))),"SIM","")</f>
        <v/>
      </c>
      <c r="AA588" s="92">
        <f>IF(AND(ISNUMBER(SEARCH("Delivery",N588)),ISNUMBER(SEARCH("Tatuapé",N588))),"SIM","")</f>
        <v/>
      </c>
      <c r="AB588" s="92">
        <f>IF(AND(ISNUMBER(SEARCH("Delivery",N588)),ISNUMBER(SEARCH("Pavão",N588))),"SIM","")</f>
        <v/>
      </c>
      <c r="AC588" s="92">
        <f>IF(AND(ISNUMBER(SEARCH("Delivery",N588)),ISNUMBER(SEARCH("Chac",N588))),"SIM","")</f>
        <v/>
      </c>
      <c r="AD588" s="92">
        <f>IF(AND(ISNUMBER(SEARCH("Delivery",N588)),ISNUMBER(SEARCH("Madalena",N588))),"SIM","")</f>
        <v/>
      </c>
      <c r="AE588" s="99">
        <f>IF(AND(ISNUMBER(SEARCH("Delivery",N588)),ISNUMBER(SEARCH("Mariana",N588))),"SIM","")</f>
        <v/>
      </c>
      <c r="AF588" s="99">
        <f>IF(AND(ISNUMBER(SEARCH("Delivery",N588)),ISNUMBER(SEARCH("Perdizes",N588))),"SIM","")</f>
        <v/>
      </c>
      <c r="AG588" s="99">
        <f>IF(AND(ISNUMBER(SEARCH("Delivery",N588)),ISNUMBER(SEARCH("Santana",N588))),"SIM","")</f>
        <v/>
      </c>
      <c r="AH588" s="99">
        <f>IF(AND(ISNUMBER(SEARCH("Delivery",N588)),ISNUMBER(SEARCH("André",N588))),"SIM","")</f>
        <v/>
      </c>
      <c r="AI588" s="99">
        <f>IF(ISNUMBER(SEARCH("Interlagos",N588)),"SIM","")</f>
        <v/>
      </c>
      <c r="AJ588" s="99">
        <f>IF(ISNUMBER(SEARCH("Quiosque",N588)),"SIM","")</f>
        <v/>
      </c>
      <c r="AK588" s="101" t="n"/>
    </row>
    <row r="589">
      <c r="A589" s="88" t="inlineStr">
        <is>
          <t>Protheus</t>
        </is>
      </c>
      <c r="B589" s="96" t="inlineStr">
        <is>
          <t>000881</t>
        </is>
      </c>
      <c r="C589" s="97">
        <f>IF(B589="—","—",IFERROR(VLOOKUP(B589,_Protheus_Cadastro!$A:$B,2,FALSE),"—"))</f>
        <v/>
      </c>
      <c r="D589" s="98">
        <f>IF(B589="—",IFERROR(INDEX(_ZIG_Cadastro!$D:$D,MATCH(H589,_ZIG_Cadastro!$A:$A,0)),"Produto"),IFERROR(VLOOKUP(B589,_Protheus_Cadastro!$A:$C,3,FALSE),"—"))</f>
        <v/>
      </c>
      <c r="E589" s="98">
        <f>IF(B589="—","—",IFERROR(VLOOKUP(B589,_Protheus_Cadastro!$A:$D,4,FALSE),"—"))</f>
        <v/>
      </c>
      <c r="F589" s="98">
        <f>IF(ISERROR(VLOOKUP(B589,'Estrutura Protheus'!A:A,1,FALSE)),"Não","Sim")</f>
        <v/>
      </c>
      <c r="G589" s="99">
        <f>IFERROR(INDEX(_Protheus_Cadastro!$H:$H,MATCH(B589,_Protheus_Cadastro!$A:$A,0)),"—")</f>
        <v/>
      </c>
      <c r="H589" s="211">
        <f>IFERROR(INDEX(_ZIG_Precos!$D:$D,MATCH(I589,_ZIG_Precos!$F:$F,0)),"—")</f>
        <v/>
      </c>
      <c r="I589" s="103">
        <f>IFERROR(VLOOKUP(B589,_Protheus_Cadastro!$A:$I,9,FALSE),"—")</f>
        <v/>
      </c>
      <c r="J589" s="101">
        <f>IFERROR(INDEX(_ZIG_Cadastro!$B:$B,MATCH(I589,_ZIG_Cadastro!$A:$A,0)),IFERROR(INDEX(_Entradas_ZIG!$B:$B,MATCH(I589,_Entradas_ZIG!$C:$C,0)),"—"))</f>
        <v/>
      </c>
      <c r="K589" s="101">
        <f>IFERROR(INDEX(_ZIG_Cadastro!$C:$C,MATCH(I589,_ZIG_Cadastro!$A:$A,0)),IFERROR(INDEX(_Entradas_ZIG!$D:$D,MATCH(I589,_Entradas_ZIG!$C:$C,0)),"—"))</f>
        <v/>
      </c>
      <c r="L589" s="99">
        <f>IF(I589="","Sem SKU ZIG",IF(I589="—","Sem SKU ZIG",IF(NOT(ISERROR(MATCH(I589,_ZIG_Cadastro!$A:$A,0))),IF(EXACT(UPPER(TRIM(C589)),UPPER(TRIM(INDEX(_ZIG_Cadastro!$B:$B,MATCH(I589,_ZIG_Cadastro!$A:$A,0))))),"OK","Atencao - Nome diverge"),IF(NOT(ISERROR(MATCH(I589,_Entradas_ZIG!$C:$C,0))),"OK","Erro - SKU nao encontrado"))))</f>
        <v/>
      </c>
      <c r="M589" s="99">
        <f>IFERROR(INDEX(_ZIG_Cadastro!$G:$G,MATCH(I589,_ZIG_Cadastro!$A:$A,0)),IF(NOT(ISERROR(MATCH(I589,_Entradas_ZIG!$C:$C,0))),"Ativo","—"))</f>
        <v/>
      </c>
      <c r="N589" s="102">
        <f>IFERROR(INDEX(_ZIG_Cadastro!$E:$E,MATCH(I589,_ZIG_Cadastro!$A:$A,0)),IFERROR(INDEX(_Entradas_ZIG!$F:$F,MATCH(I589,_Entradas_ZIG!$C:$C,0)),"—"))</f>
        <v/>
      </c>
      <c r="O589" s="99">
        <f>IF(AND(ISNUMBER(SEARCH("Espeto",N589)),ISNUMBER(SEARCH("Carin",N589))),"SIM","")</f>
        <v/>
      </c>
      <c r="P589" s="99">
        <f>IF(AND(ISNUMBER(SEARCH("Espeto",N589)),ISNUMBER(SEARCH("Lapa",N589))),"SIM","")</f>
        <v/>
      </c>
      <c r="Q589" s="99">
        <f>IF(AND(ISNUMBER(SEARCH("Espeto",N589)),ISNUMBER(SEARCH("Tatuapé",N589))),"SIM","")</f>
        <v/>
      </c>
      <c r="R589" s="99">
        <f>IF(AND(ISNUMBER(SEARCH("Espeto",N589)),ISNUMBER(SEARCH("Pavão",N589))),"SIM","")</f>
        <v/>
      </c>
      <c r="S589" s="99">
        <f>IF(AND(ISNUMBER(SEARCH("Espeto",N589)),ISNUMBER(SEARCH("Chac",N589))),"SIM","")</f>
        <v/>
      </c>
      <c r="T589" s="99">
        <f>IF(AND(ISNUMBER(SEARCH("Espeto",N589)),ISNUMBER(SEARCH("Madalena",N589))),"SIM","")</f>
        <v/>
      </c>
      <c r="U589" s="99">
        <f>IF(AND(ISNUMBER(SEARCH("Espeto",N589)),ISNUMBER(SEARCH("Mariana",N589))),"SIM","")</f>
        <v/>
      </c>
      <c r="V589" s="99">
        <f>IF(AND(ISNUMBER(SEARCH("Espeto",N589)),ISNUMBER(SEARCH("Perdizes",N589))),"SIM","")</f>
        <v/>
      </c>
      <c r="W589" s="99">
        <f>IF(AND(ISNUMBER(SEARCH("Espeto",N589)),ISNUMBER(SEARCH("Santana",N589))),"SIM","")</f>
        <v/>
      </c>
      <c r="X589" s="99">
        <f>IF(AND(ISNUMBER(SEARCH("Espeto",N589)),ISNUMBER(SEARCH("André",N589))),"SIM","")</f>
        <v/>
      </c>
      <c r="Y589" s="99">
        <f>IF(AND(ISNUMBER(SEARCH("Delivery",N589)),ISNUMBER(SEARCH("Carin",N589))),"SIM","")</f>
        <v/>
      </c>
      <c r="Z589" s="99">
        <f>IF(AND(ISNUMBER(SEARCH("Delivery",N589)),ISNUMBER(SEARCH("Lapa",N589))),"SIM","")</f>
        <v/>
      </c>
      <c r="AA589" s="99">
        <f>IF(AND(ISNUMBER(SEARCH("Delivery",N589)),ISNUMBER(SEARCH("Tatuapé",N589))),"SIM","")</f>
        <v/>
      </c>
      <c r="AB589" s="99">
        <f>IF(AND(ISNUMBER(SEARCH("Delivery",N589)),ISNUMBER(SEARCH("Pavão",N589))),"SIM","")</f>
        <v/>
      </c>
      <c r="AC589" s="99">
        <f>IF(AND(ISNUMBER(SEARCH("Delivery",N589)),ISNUMBER(SEARCH("Chac",N589))),"SIM","")</f>
        <v/>
      </c>
      <c r="AD589" s="99">
        <f>IF(AND(ISNUMBER(SEARCH("Delivery",N589)),ISNUMBER(SEARCH("Madalena",N589))),"SIM","")</f>
        <v/>
      </c>
      <c r="AE589" s="92">
        <f>IF(AND(ISNUMBER(SEARCH("Delivery",N589)),ISNUMBER(SEARCH("Mariana",N589))),"SIM","")</f>
        <v/>
      </c>
      <c r="AF589" s="92">
        <f>IF(AND(ISNUMBER(SEARCH("Delivery",N589)),ISNUMBER(SEARCH("Perdizes",N589))),"SIM","")</f>
        <v/>
      </c>
      <c r="AG589" s="92">
        <f>IF(AND(ISNUMBER(SEARCH("Delivery",N589)),ISNUMBER(SEARCH("Santana",N589))),"SIM","")</f>
        <v/>
      </c>
      <c r="AH589" s="92">
        <f>IF(AND(ISNUMBER(SEARCH("Delivery",N589)),ISNUMBER(SEARCH("André",N589))),"SIM","")</f>
        <v/>
      </c>
      <c r="AI589" s="92">
        <f>IF(ISNUMBER(SEARCH("Interlagos",N589)),"SIM","")</f>
        <v/>
      </c>
      <c r="AJ589" s="92">
        <f>IF(ISNUMBER(SEARCH("Quiosque",N589)),"SIM","")</f>
        <v/>
      </c>
      <c r="AK589" s="93" t="n"/>
    </row>
    <row r="590">
      <c r="A590" s="88" t="inlineStr">
        <is>
          <t>Protheus</t>
        </is>
      </c>
      <c r="B590" s="89" t="inlineStr">
        <is>
          <t>001471</t>
        </is>
      </c>
      <c r="C590" s="90">
        <f>IF(B590="—","—",IFERROR(VLOOKUP(B590,_Protheus_Cadastro!$A:$B,2,FALSE),"—"))</f>
        <v/>
      </c>
      <c r="D590" s="91">
        <f>IF(B590="—",IFERROR(INDEX(_ZIG_Cadastro!$D:$D,MATCH(H590,_ZIG_Cadastro!$A:$A,0)),"Produto"),IFERROR(VLOOKUP(B590,_Protheus_Cadastro!$A:$C,3,FALSE),"—"))</f>
        <v/>
      </c>
      <c r="E590" s="91">
        <f>IF(B590="—","—",IFERROR(VLOOKUP(B590,_Protheus_Cadastro!$A:$D,4,FALSE),"—"))</f>
        <v/>
      </c>
      <c r="F590" s="91">
        <f>IF(ISERROR(VLOOKUP(B590,'Estrutura Protheus'!A:A,1,FALSE)),"Não","Sim")</f>
        <v/>
      </c>
      <c r="G590" s="92">
        <f>IFERROR(INDEX(_Protheus_Cadastro!$H:$H,MATCH(B590,_Protheus_Cadastro!$A:$A,0)),"—")</f>
        <v/>
      </c>
      <c r="H590" s="210">
        <f>IFERROR(INDEX(_ZIG_Precos!$D:$D,MATCH(I590,_ZIG_Precos!$F:$F,0)),"—")</f>
        <v/>
      </c>
      <c r="I590" s="95">
        <f>IFERROR(VLOOKUP(B590,_Protheus_Cadastro!$A:$I,9,FALSE),"—")</f>
        <v/>
      </c>
      <c r="J590" s="93">
        <f>IFERROR(INDEX(_ZIG_Cadastro!$B:$B,MATCH(I590,_ZIG_Cadastro!$A:$A,0)),IFERROR(INDEX(_Entradas_ZIG!$B:$B,MATCH(I590,_Entradas_ZIG!$C:$C,0)),"—"))</f>
        <v/>
      </c>
      <c r="K590" s="93">
        <f>IFERROR(INDEX(_ZIG_Cadastro!$C:$C,MATCH(I590,_ZIG_Cadastro!$A:$A,0)),IFERROR(INDEX(_Entradas_ZIG!$D:$D,MATCH(I590,_Entradas_ZIG!$C:$C,0)),"—"))</f>
        <v/>
      </c>
      <c r="L590" s="92">
        <f>IF(I590="","Sem SKU ZIG",IF(I590="—","Sem SKU ZIG",IF(NOT(ISERROR(MATCH(I590,_ZIG_Cadastro!$A:$A,0))),IF(EXACT(UPPER(TRIM(C590)),UPPER(TRIM(INDEX(_ZIG_Cadastro!$B:$B,MATCH(I590,_ZIG_Cadastro!$A:$A,0))))),"OK","Atencao - Nome diverge"),IF(NOT(ISERROR(MATCH(I590,_Entradas_ZIG!$C:$C,0))),"OK","Erro - SKU nao encontrado"))))</f>
        <v/>
      </c>
      <c r="M590" s="92">
        <f>IFERROR(INDEX(_ZIG_Cadastro!$G:$G,MATCH(I590,_ZIG_Cadastro!$A:$A,0)),IF(NOT(ISERROR(MATCH(I590,_Entradas_ZIG!$C:$C,0))),"Ativo","—"))</f>
        <v/>
      </c>
      <c r="N590" s="94">
        <f>IFERROR(INDEX(_ZIG_Cadastro!$E:$E,MATCH(I590,_ZIG_Cadastro!$A:$A,0)),IFERROR(INDEX(_Entradas_ZIG!$F:$F,MATCH(I590,_Entradas_ZIG!$C:$C,0)),"—"))</f>
        <v/>
      </c>
      <c r="O590" s="92">
        <f>IF(AND(ISNUMBER(SEARCH("Espeto",N590)),ISNUMBER(SEARCH("Carin",N590))),"SIM","")</f>
        <v/>
      </c>
      <c r="P590" s="92">
        <f>IF(AND(ISNUMBER(SEARCH("Espeto",N590)),ISNUMBER(SEARCH("Lapa",N590))),"SIM","")</f>
        <v/>
      </c>
      <c r="Q590" s="92">
        <f>IF(AND(ISNUMBER(SEARCH("Espeto",N590)),ISNUMBER(SEARCH("Tatuapé",N590))),"SIM","")</f>
        <v/>
      </c>
      <c r="R590" s="92">
        <f>IF(AND(ISNUMBER(SEARCH("Espeto",N590)),ISNUMBER(SEARCH("Pavão",N590))),"SIM","")</f>
        <v/>
      </c>
      <c r="S590" s="92">
        <f>IF(AND(ISNUMBER(SEARCH("Espeto",N590)),ISNUMBER(SEARCH("Chac",N590))),"SIM","")</f>
        <v/>
      </c>
      <c r="T590" s="92">
        <f>IF(AND(ISNUMBER(SEARCH("Espeto",N590)),ISNUMBER(SEARCH("Madalena",N590))),"SIM","")</f>
        <v/>
      </c>
      <c r="U590" s="92">
        <f>IF(AND(ISNUMBER(SEARCH("Espeto",N590)),ISNUMBER(SEARCH("Mariana",N590))),"SIM","")</f>
        <v/>
      </c>
      <c r="V590" s="92">
        <f>IF(AND(ISNUMBER(SEARCH("Espeto",N590)),ISNUMBER(SEARCH("Perdizes",N590))),"SIM","")</f>
        <v/>
      </c>
      <c r="W590" s="92">
        <f>IF(AND(ISNUMBER(SEARCH("Espeto",N590)),ISNUMBER(SEARCH("Santana",N590))),"SIM","")</f>
        <v/>
      </c>
      <c r="X590" s="92">
        <f>IF(AND(ISNUMBER(SEARCH("Espeto",N590)),ISNUMBER(SEARCH("André",N590))),"SIM","")</f>
        <v/>
      </c>
      <c r="Y590" s="92">
        <f>IF(AND(ISNUMBER(SEARCH("Delivery",N590)),ISNUMBER(SEARCH("Carin",N590))),"SIM","")</f>
        <v/>
      </c>
      <c r="Z590" s="92">
        <f>IF(AND(ISNUMBER(SEARCH("Delivery",N590)),ISNUMBER(SEARCH("Lapa",N590))),"SIM","")</f>
        <v/>
      </c>
      <c r="AA590" s="92">
        <f>IF(AND(ISNUMBER(SEARCH("Delivery",N590)),ISNUMBER(SEARCH("Tatuapé",N590))),"SIM","")</f>
        <v/>
      </c>
      <c r="AB590" s="92">
        <f>IF(AND(ISNUMBER(SEARCH("Delivery",N590)),ISNUMBER(SEARCH("Pavão",N590))),"SIM","")</f>
        <v/>
      </c>
      <c r="AC590" s="92">
        <f>IF(AND(ISNUMBER(SEARCH("Delivery",N590)),ISNUMBER(SEARCH("Chac",N590))),"SIM","")</f>
        <v/>
      </c>
      <c r="AD590" s="92">
        <f>IF(AND(ISNUMBER(SEARCH("Delivery",N590)),ISNUMBER(SEARCH("Madalena",N590))),"SIM","")</f>
        <v/>
      </c>
      <c r="AE590" s="99">
        <f>IF(AND(ISNUMBER(SEARCH("Delivery",N590)),ISNUMBER(SEARCH("Mariana",N590))),"SIM","")</f>
        <v/>
      </c>
      <c r="AF590" s="99">
        <f>IF(AND(ISNUMBER(SEARCH("Delivery",N590)),ISNUMBER(SEARCH("Perdizes",N590))),"SIM","")</f>
        <v/>
      </c>
      <c r="AG590" s="99">
        <f>IF(AND(ISNUMBER(SEARCH("Delivery",N590)),ISNUMBER(SEARCH("Santana",N590))),"SIM","")</f>
        <v/>
      </c>
      <c r="AH590" s="99">
        <f>IF(AND(ISNUMBER(SEARCH("Delivery",N590)),ISNUMBER(SEARCH("André",N590))),"SIM","")</f>
        <v/>
      </c>
      <c r="AI590" s="99">
        <f>IF(ISNUMBER(SEARCH("Interlagos",N590)),"SIM","")</f>
        <v/>
      </c>
      <c r="AJ590" s="99">
        <f>IF(ISNUMBER(SEARCH("Quiosque",N590)),"SIM","")</f>
        <v/>
      </c>
      <c r="AK590" s="101" t="n"/>
    </row>
    <row r="591">
      <c r="A591" s="88" t="inlineStr">
        <is>
          <t>Protheus</t>
        </is>
      </c>
      <c r="B591" s="96" t="inlineStr">
        <is>
          <t>001406</t>
        </is>
      </c>
      <c r="C591" s="97">
        <f>IF(B591="—","—",IFERROR(VLOOKUP(B591,_Protheus_Cadastro!$A:$B,2,FALSE),"—"))</f>
        <v/>
      </c>
      <c r="D591" s="98">
        <f>IF(B591="—",IFERROR(INDEX(_ZIG_Cadastro!$D:$D,MATCH(H591,_ZIG_Cadastro!$A:$A,0)),"Produto"),IFERROR(VLOOKUP(B591,_Protheus_Cadastro!$A:$C,3,FALSE),"—"))</f>
        <v/>
      </c>
      <c r="E591" s="98">
        <f>IF(B591="—","—",IFERROR(VLOOKUP(B591,_Protheus_Cadastro!$A:$D,4,FALSE),"—"))</f>
        <v/>
      </c>
      <c r="F591" s="98">
        <f>IF(ISERROR(VLOOKUP(B591,'Estrutura Protheus'!A:A,1,FALSE)),"Não","Sim")</f>
        <v/>
      </c>
      <c r="G591" s="99">
        <f>IFERROR(INDEX(_Protheus_Cadastro!$H:$H,MATCH(B591,_Protheus_Cadastro!$A:$A,0)),"—")</f>
        <v/>
      </c>
      <c r="H591" s="211">
        <f>IFERROR(INDEX(_ZIG_Precos!$D:$D,MATCH(I591,_ZIG_Precos!$F:$F,0)),"—")</f>
        <v/>
      </c>
      <c r="I591" s="103">
        <f>IFERROR(VLOOKUP(B591,_Protheus_Cadastro!$A:$I,9,FALSE),"—")</f>
        <v/>
      </c>
      <c r="J591" s="101">
        <f>IFERROR(INDEX(_ZIG_Cadastro!$B:$B,MATCH(I591,_ZIG_Cadastro!$A:$A,0)),IFERROR(INDEX(_Entradas_ZIG!$B:$B,MATCH(I591,_Entradas_ZIG!$C:$C,0)),"—"))</f>
        <v/>
      </c>
      <c r="K591" s="101">
        <f>IFERROR(INDEX(_ZIG_Cadastro!$C:$C,MATCH(I591,_ZIG_Cadastro!$A:$A,0)),IFERROR(INDEX(_Entradas_ZIG!$D:$D,MATCH(I591,_Entradas_ZIG!$C:$C,0)),"—"))</f>
        <v/>
      </c>
      <c r="L591" s="99">
        <f>IF(I591="","Sem SKU ZIG",IF(I591="—","Sem SKU ZIG",IF(NOT(ISERROR(MATCH(I591,_ZIG_Cadastro!$A:$A,0))),IF(EXACT(UPPER(TRIM(C591)),UPPER(TRIM(INDEX(_ZIG_Cadastro!$B:$B,MATCH(I591,_ZIG_Cadastro!$A:$A,0))))),"OK","Atencao - Nome diverge"),IF(NOT(ISERROR(MATCH(I591,_Entradas_ZIG!$C:$C,0))),"OK","Erro - SKU nao encontrado"))))</f>
        <v/>
      </c>
      <c r="M591" s="99">
        <f>IFERROR(INDEX(_ZIG_Cadastro!$G:$G,MATCH(I591,_ZIG_Cadastro!$A:$A,0)),IF(NOT(ISERROR(MATCH(I591,_Entradas_ZIG!$C:$C,0))),"Ativo","—"))</f>
        <v/>
      </c>
      <c r="N591" s="102">
        <f>IFERROR(INDEX(_ZIG_Cadastro!$E:$E,MATCH(I591,_ZIG_Cadastro!$A:$A,0)),IFERROR(INDEX(_Entradas_ZIG!$F:$F,MATCH(I591,_Entradas_ZIG!$C:$C,0)),"—"))</f>
        <v/>
      </c>
      <c r="O591" s="99">
        <f>IF(AND(ISNUMBER(SEARCH("Espeto",N591)),ISNUMBER(SEARCH("Carin",N591))),"SIM","")</f>
        <v/>
      </c>
      <c r="P591" s="99">
        <f>IF(AND(ISNUMBER(SEARCH("Espeto",N591)),ISNUMBER(SEARCH("Lapa",N591))),"SIM","")</f>
        <v/>
      </c>
      <c r="Q591" s="99">
        <f>IF(AND(ISNUMBER(SEARCH("Espeto",N591)),ISNUMBER(SEARCH("Tatuapé",N591))),"SIM","")</f>
        <v/>
      </c>
      <c r="R591" s="99">
        <f>IF(AND(ISNUMBER(SEARCH("Espeto",N591)),ISNUMBER(SEARCH("Pavão",N591))),"SIM","")</f>
        <v/>
      </c>
      <c r="S591" s="99">
        <f>IF(AND(ISNUMBER(SEARCH("Espeto",N591)),ISNUMBER(SEARCH("Chac",N591))),"SIM","")</f>
        <v/>
      </c>
      <c r="T591" s="99">
        <f>IF(AND(ISNUMBER(SEARCH("Espeto",N591)),ISNUMBER(SEARCH("Madalena",N591))),"SIM","")</f>
        <v/>
      </c>
      <c r="U591" s="99">
        <f>IF(AND(ISNUMBER(SEARCH("Espeto",N591)),ISNUMBER(SEARCH("Mariana",N591))),"SIM","")</f>
        <v/>
      </c>
      <c r="V591" s="99">
        <f>IF(AND(ISNUMBER(SEARCH("Espeto",N591)),ISNUMBER(SEARCH("Perdizes",N591))),"SIM","")</f>
        <v/>
      </c>
      <c r="W591" s="99">
        <f>IF(AND(ISNUMBER(SEARCH("Espeto",N591)),ISNUMBER(SEARCH("Santana",N591))),"SIM","")</f>
        <v/>
      </c>
      <c r="X591" s="99">
        <f>IF(AND(ISNUMBER(SEARCH("Espeto",N591)),ISNUMBER(SEARCH("André",N591))),"SIM","")</f>
        <v/>
      </c>
      <c r="Y591" s="99">
        <f>IF(AND(ISNUMBER(SEARCH("Delivery",N591)),ISNUMBER(SEARCH("Carin",N591))),"SIM","")</f>
        <v/>
      </c>
      <c r="Z591" s="99">
        <f>IF(AND(ISNUMBER(SEARCH("Delivery",N591)),ISNUMBER(SEARCH("Lapa",N591))),"SIM","")</f>
        <v/>
      </c>
      <c r="AA591" s="99">
        <f>IF(AND(ISNUMBER(SEARCH("Delivery",N591)),ISNUMBER(SEARCH("Tatuapé",N591))),"SIM","")</f>
        <v/>
      </c>
      <c r="AB591" s="99">
        <f>IF(AND(ISNUMBER(SEARCH("Delivery",N591)),ISNUMBER(SEARCH("Pavão",N591))),"SIM","")</f>
        <v/>
      </c>
      <c r="AC591" s="99">
        <f>IF(AND(ISNUMBER(SEARCH("Delivery",N591)),ISNUMBER(SEARCH("Chac",N591))),"SIM","")</f>
        <v/>
      </c>
      <c r="AD591" s="99">
        <f>IF(AND(ISNUMBER(SEARCH("Delivery",N591)),ISNUMBER(SEARCH("Madalena",N591))),"SIM","")</f>
        <v/>
      </c>
      <c r="AE591" s="92">
        <f>IF(AND(ISNUMBER(SEARCH("Delivery",N591)),ISNUMBER(SEARCH("Mariana",N591))),"SIM","")</f>
        <v/>
      </c>
      <c r="AF591" s="92">
        <f>IF(AND(ISNUMBER(SEARCH("Delivery",N591)),ISNUMBER(SEARCH("Perdizes",N591))),"SIM","")</f>
        <v/>
      </c>
      <c r="AG591" s="92">
        <f>IF(AND(ISNUMBER(SEARCH("Delivery",N591)),ISNUMBER(SEARCH("Santana",N591))),"SIM","")</f>
        <v/>
      </c>
      <c r="AH591" s="92">
        <f>IF(AND(ISNUMBER(SEARCH("Delivery",N591)),ISNUMBER(SEARCH("André",N591))),"SIM","")</f>
        <v/>
      </c>
      <c r="AI591" s="92">
        <f>IF(ISNUMBER(SEARCH("Interlagos",N591)),"SIM","")</f>
        <v/>
      </c>
      <c r="AJ591" s="92">
        <f>IF(ISNUMBER(SEARCH("Quiosque",N591)),"SIM","")</f>
        <v/>
      </c>
      <c r="AK591" s="93" t="n"/>
    </row>
    <row r="592">
      <c r="A592" s="88" t="inlineStr">
        <is>
          <t>Protheus</t>
        </is>
      </c>
      <c r="B592" s="89" t="inlineStr">
        <is>
          <t>001949</t>
        </is>
      </c>
      <c r="C592" s="90">
        <f>IF(B592="—","—",IFERROR(VLOOKUP(B592,_Protheus_Cadastro!$A:$B,2,FALSE),"—"))</f>
        <v/>
      </c>
      <c r="D592" s="91">
        <f>IF(B592="—",IFERROR(INDEX(_ZIG_Cadastro!$D:$D,MATCH(H592,_ZIG_Cadastro!$A:$A,0)),"Produto"),IFERROR(VLOOKUP(B592,_Protheus_Cadastro!$A:$C,3,FALSE),"—"))</f>
        <v/>
      </c>
      <c r="E592" s="91">
        <f>IF(B592="—","—",IFERROR(VLOOKUP(B592,_Protheus_Cadastro!$A:$D,4,FALSE),"—"))</f>
        <v/>
      </c>
      <c r="F592" s="91">
        <f>IF(ISERROR(VLOOKUP(B592,'Estrutura Protheus'!A:A,1,FALSE)),"Não","Sim")</f>
        <v/>
      </c>
      <c r="G592" s="92">
        <f>IFERROR(INDEX(_Protheus_Cadastro!$H:$H,MATCH(B592,_Protheus_Cadastro!$A:$A,0)),"—")</f>
        <v/>
      </c>
      <c r="H592" s="210">
        <f>IFERROR(INDEX(_ZIG_Precos!$D:$D,MATCH(I592,_ZIG_Precos!$F:$F,0)),"—")</f>
        <v/>
      </c>
      <c r="I592" s="95">
        <f>IFERROR(VLOOKUP(B592,_Protheus_Cadastro!$A:$I,9,FALSE),"—")</f>
        <v/>
      </c>
      <c r="J592" s="93">
        <f>IFERROR(INDEX(_ZIG_Cadastro!$B:$B,MATCH(I592,_ZIG_Cadastro!$A:$A,0)),IFERROR(INDEX(_Entradas_ZIG!$B:$B,MATCH(I592,_Entradas_ZIG!$C:$C,0)),"—"))</f>
        <v/>
      </c>
      <c r="K592" s="93">
        <f>IFERROR(INDEX(_ZIG_Cadastro!$C:$C,MATCH(I592,_ZIG_Cadastro!$A:$A,0)),IFERROR(INDEX(_Entradas_ZIG!$D:$D,MATCH(I592,_Entradas_ZIG!$C:$C,0)),"—"))</f>
        <v/>
      </c>
      <c r="L592" s="92">
        <f>IF(I592="","Sem SKU ZIG",IF(I592="—","Sem SKU ZIG",IF(NOT(ISERROR(MATCH(I592,_ZIG_Cadastro!$A:$A,0))),IF(EXACT(UPPER(TRIM(C592)),UPPER(TRIM(INDEX(_ZIG_Cadastro!$B:$B,MATCH(I592,_ZIG_Cadastro!$A:$A,0))))),"OK","Atencao - Nome diverge"),IF(NOT(ISERROR(MATCH(I592,_Entradas_ZIG!$C:$C,0))),"OK","Erro - SKU nao encontrado"))))</f>
        <v/>
      </c>
      <c r="M592" s="92">
        <f>IFERROR(INDEX(_ZIG_Cadastro!$G:$G,MATCH(I592,_ZIG_Cadastro!$A:$A,0)),IF(NOT(ISERROR(MATCH(I592,_Entradas_ZIG!$C:$C,0))),"Ativo","—"))</f>
        <v/>
      </c>
      <c r="N592" s="94">
        <f>IFERROR(INDEX(_ZIG_Cadastro!$E:$E,MATCH(I592,_ZIG_Cadastro!$A:$A,0)),IFERROR(INDEX(_Entradas_ZIG!$F:$F,MATCH(I592,_Entradas_ZIG!$C:$C,0)),"—"))</f>
        <v/>
      </c>
      <c r="O592" s="92">
        <f>IF(AND(ISNUMBER(SEARCH("Espeto",N592)),ISNUMBER(SEARCH("Carin",N592))),"SIM","")</f>
        <v/>
      </c>
      <c r="P592" s="92">
        <f>IF(AND(ISNUMBER(SEARCH("Espeto",N592)),ISNUMBER(SEARCH("Lapa",N592))),"SIM","")</f>
        <v/>
      </c>
      <c r="Q592" s="92">
        <f>IF(AND(ISNUMBER(SEARCH("Espeto",N592)),ISNUMBER(SEARCH("Tatuapé",N592))),"SIM","")</f>
        <v/>
      </c>
      <c r="R592" s="92">
        <f>IF(AND(ISNUMBER(SEARCH("Espeto",N592)),ISNUMBER(SEARCH("Pavão",N592))),"SIM","")</f>
        <v/>
      </c>
      <c r="S592" s="92">
        <f>IF(AND(ISNUMBER(SEARCH("Espeto",N592)),ISNUMBER(SEARCH("Chac",N592))),"SIM","")</f>
        <v/>
      </c>
      <c r="T592" s="92">
        <f>IF(AND(ISNUMBER(SEARCH("Espeto",N592)),ISNUMBER(SEARCH("Madalena",N592))),"SIM","")</f>
        <v/>
      </c>
      <c r="U592" s="92">
        <f>IF(AND(ISNUMBER(SEARCH("Espeto",N592)),ISNUMBER(SEARCH("Mariana",N592))),"SIM","")</f>
        <v/>
      </c>
      <c r="V592" s="92">
        <f>IF(AND(ISNUMBER(SEARCH("Espeto",N592)),ISNUMBER(SEARCH("Perdizes",N592))),"SIM","")</f>
        <v/>
      </c>
      <c r="W592" s="92">
        <f>IF(AND(ISNUMBER(SEARCH("Espeto",N592)),ISNUMBER(SEARCH("Santana",N592))),"SIM","")</f>
        <v/>
      </c>
      <c r="X592" s="92">
        <f>IF(AND(ISNUMBER(SEARCH("Espeto",N592)),ISNUMBER(SEARCH("André",N592))),"SIM","")</f>
        <v/>
      </c>
      <c r="Y592" s="92">
        <f>IF(AND(ISNUMBER(SEARCH("Delivery",N592)),ISNUMBER(SEARCH("Carin",N592))),"SIM","")</f>
        <v/>
      </c>
      <c r="Z592" s="92">
        <f>IF(AND(ISNUMBER(SEARCH("Delivery",N592)),ISNUMBER(SEARCH("Lapa",N592))),"SIM","")</f>
        <v/>
      </c>
      <c r="AA592" s="92">
        <f>IF(AND(ISNUMBER(SEARCH("Delivery",N592)),ISNUMBER(SEARCH("Tatuapé",N592))),"SIM","")</f>
        <v/>
      </c>
      <c r="AB592" s="92">
        <f>IF(AND(ISNUMBER(SEARCH("Delivery",N592)),ISNUMBER(SEARCH("Pavão",N592))),"SIM","")</f>
        <v/>
      </c>
      <c r="AC592" s="92">
        <f>IF(AND(ISNUMBER(SEARCH("Delivery",N592)),ISNUMBER(SEARCH("Chac",N592))),"SIM","")</f>
        <v/>
      </c>
      <c r="AD592" s="92">
        <f>IF(AND(ISNUMBER(SEARCH("Delivery",N592)),ISNUMBER(SEARCH("Madalena",N592))),"SIM","")</f>
        <v/>
      </c>
      <c r="AE592" s="99">
        <f>IF(AND(ISNUMBER(SEARCH("Delivery",N592)),ISNUMBER(SEARCH("Mariana",N592))),"SIM","")</f>
        <v/>
      </c>
      <c r="AF592" s="99">
        <f>IF(AND(ISNUMBER(SEARCH("Delivery",N592)),ISNUMBER(SEARCH("Perdizes",N592))),"SIM","")</f>
        <v/>
      </c>
      <c r="AG592" s="99">
        <f>IF(AND(ISNUMBER(SEARCH("Delivery",N592)),ISNUMBER(SEARCH("Santana",N592))),"SIM","")</f>
        <v/>
      </c>
      <c r="AH592" s="99">
        <f>IF(AND(ISNUMBER(SEARCH("Delivery",N592)),ISNUMBER(SEARCH("André",N592))),"SIM","")</f>
        <v/>
      </c>
      <c r="AI592" s="99">
        <f>IF(ISNUMBER(SEARCH("Interlagos",N592)),"SIM","")</f>
        <v/>
      </c>
      <c r="AJ592" s="99">
        <f>IF(ISNUMBER(SEARCH("Quiosque",N592)),"SIM","")</f>
        <v/>
      </c>
      <c r="AK592" s="101" t="n"/>
    </row>
    <row r="593">
      <c r="A593" s="88" t="inlineStr">
        <is>
          <t>Protheus</t>
        </is>
      </c>
      <c r="B593" s="96" t="inlineStr">
        <is>
          <t>000046</t>
        </is>
      </c>
      <c r="C593" s="97">
        <f>IF(B593="—","—",IFERROR(VLOOKUP(B593,_Protheus_Cadastro!$A:$B,2,FALSE),"—"))</f>
        <v/>
      </c>
      <c r="D593" s="98">
        <f>IF(B593="—",IFERROR(INDEX(_ZIG_Cadastro!$D:$D,MATCH(H593,_ZIG_Cadastro!$A:$A,0)),"Produto"),IFERROR(VLOOKUP(B593,_Protheus_Cadastro!$A:$C,3,FALSE),"—"))</f>
        <v/>
      </c>
      <c r="E593" s="98">
        <f>IF(B593="—","—",IFERROR(VLOOKUP(B593,_Protheus_Cadastro!$A:$D,4,FALSE),"—"))</f>
        <v/>
      </c>
      <c r="F593" s="98">
        <f>IF(ISERROR(VLOOKUP(B593,'Estrutura Protheus'!A:A,1,FALSE)),"Não","Sim")</f>
        <v/>
      </c>
      <c r="G593" s="99">
        <f>IFERROR(INDEX(_Protheus_Cadastro!$H:$H,MATCH(B593,_Protheus_Cadastro!$A:$A,0)),"—")</f>
        <v/>
      </c>
      <c r="H593" s="211">
        <f>IFERROR(INDEX(_ZIG_Precos!$D:$D,MATCH(I593,_ZIG_Precos!$F:$F,0)),"—")</f>
        <v/>
      </c>
      <c r="I593" s="103">
        <f>IFERROR(VLOOKUP(B593,_Protheus_Cadastro!$A:$I,9,FALSE),"—")</f>
        <v/>
      </c>
      <c r="J593" s="101">
        <f>IFERROR(INDEX(_ZIG_Cadastro!$B:$B,MATCH(I593,_ZIG_Cadastro!$A:$A,0)),IFERROR(INDEX(_Entradas_ZIG!$B:$B,MATCH(I593,_Entradas_ZIG!$C:$C,0)),"—"))</f>
        <v/>
      </c>
      <c r="K593" s="101">
        <f>IFERROR(INDEX(_ZIG_Cadastro!$C:$C,MATCH(I593,_ZIG_Cadastro!$A:$A,0)),IFERROR(INDEX(_Entradas_ZIG!$D:$D,MATCH(I593,_Entradas_ZIG!$C:$C,0)),"—"))</f>
        <v/>
      </c>
      <c r="L593" s="99">
        <f>IF(I593="","Sem SKU ZIG",IF(I593="—","Sem SKU ZIG",IF(NOT(ISERROR(MATCH(I593,_ZIG_Cadastro!$A:$A,0))),IF(EXACT(UPPER(TRIM(C593)),UPPER(TRIM(INDEX(_ZIG_Cadastro!$B:$B,MATCH(I593,_ZIG_Cadastro!$A:$A,0))))),"OK","Atencao - Nome diverge"),IF(NOT(ISERROR(MATCH(I593,_Entradas_ZIG!$C:$C,0))),"OK","Erro - SKU nao encontrado"))))</f>
        <v/>
      </c>
      <c r="M593" s="99">
        <f>IFERROR(INDEX(_ZIG_Cadastro!$G:$G,MATCH(I593,_ZIG_Cadastro!$A:$A,0)),IF(NOT(ISERROR(MATCH(I593,_Entradas_ZIG!$C:$C,0))),"Ativo","—"))</f>
        <v/>
      </c>
      <c r="N593" s="102">
        <f>IFERROR(INDEX(_ZIG_Cadastro!$E:$E,MATCH(I593,_ZIG_Cadastro!$A:$A,0)),IFERROR(INDEX(_Entradas_ZIG!$F:$F,MATCH(I593,_Entradas_ZIG!$C:$C,0)),"—"))</f>
        <v/>
      </c>
      <c r="O593" s="99">
        <f>IF(AND(ISNUMBER(SEARCH("Espeto",N593)),ISNUMBER(SEARCH("Carin",N593))),"SIM","")</f>
        <v/>
      </c>
      <c r="P593" s="99">
        <f>IF(AND(ISNUMBER(SEARCH("Espeto",N593)),ISNUMBER(SEARCH("Lapa",N593))),"SIM","")</f>
        <v/>
      </c>
      <c r="Q593" s="99">
        <f>IF(AND(ISNUMBER(SEARCH("Espeto",N593)),ISNUMBER(SEARCH("Tatuapé",N593))),"SIM","")</f>
        <v/>
      </c>
      <c r="R593" s="99">
        <f>IF(AND(ISNUMBER(SEARCH("Espeto",N593)),ISNUMBER(SEARCH("Pavão",N593))),"SIM","")</f>
        <v/>
      </c>
      <c r="S593" s="99">
        <f>IF(AND(ISNUMBER(SEARCH("Espeto",N593)),ISNUMBER(SEARCH("Chac",N593))),"SIM","")</f>
        <v/>
      </c>
      <c r="T593" s="99">
        <f>IF(AND(ISNUMBER(SEARCH("Espeto",N593)),ISNUMBER(SEARCH("Madalena",N593))),"SIM","")</f>
        <v/>
      </c>
      <c r="U593" s="99">
        <f>IF(AND(ISNUMBER(SEARCH("Espeto",N593)),ISNUMBER(SEARCH("Mariana",N593))),"SIM","")</f>
        <v/>
      </c>
      <c r="V593" s="99">
        <f>IF(AND(ISNUMBER(SEARCH("Espeto",N593)),ISNUMBER(SEARCH("Perdizes",N593))),"SIM","")</f>
        <v/>
      </c>
      <c r="W593" s="99">
        <f>IF(AND(ISNUMBER(SEARCH("Espeto",N593)),ISNUMBER(SEARCH("Santana",N593))),"SIM","")</f>
        <v/>
      </c>
      <c r="X593" s="99">
        <f>IF(AND(ISNUMBER(SEARCH("Espeto",N593)),ISNUMBER(SEARCH("André",N593))),"SIM","")</f>
        <v/>
      </c>
      <c r="Y593" s="99">
        <f>IF(AND(ISNUMBER(SEARCH("Delivery",N593)),ISNUMBER(SEARCH("Carin",N593))),"SIM","")</f>
        <v/>
      </c>
      <c r="Z593" s="99">
        <f>IF(AND(ISNUMBER(SEARCH("Delivery",N593)),ISNUMBER(SEARCH("Lapa",N593))),"SIM","")</f>
        <v/>
      </c>
      <c r="AA593" s="99">
        <f>IF(AND(ISNUMBER(SEARCH("Delivery",N593)),ISNUMBER(SEARCH("Tatuapé",N593))),"SIM","")</f>
        <v/>
      </c>
      <c r="AB593" s="99">
        <f>IF(AND(ISNUMBER(SEARCH("Delivery",N593)),ISNUMBER(SEARCH("Pavão",N593))),"SIM","")</f>
        <v/>
      </c>
      <c r="AC593" s="99">
        <f>IF(AND(ISNUMBER(SEARCH("Delivery",N593)),ISNUMBER(SEARCH("Chac",N593))),"SIM","")</f>
        <v/>
      </c>
      <c r="AD593" s="99">
        <f>IF(AND(ISNUMBER(SEARCH("Delivery",N593)),ISNUMBER(SEARCH("Madalena",N593))),"SIM","")</f>
        <v/>
      </c>
      <c r="AE593" s="92">
        <f>IF(AND(ISNUMBER(SEARCH("Delivery",N593)),ISNUMBER(SEARCH("Mariana",N593))),"SIM","")</f>
        <v/>
      </c>
      <c r="AF593" s="92">
        <f>IF(AND(ISNUMBER(SEARCH("Delivery",N593)),ISNUMBER(SEARCH("Perdizes",N593))),"SIM","")</f>
        <v/>
      </c>
      <c r="AG593" s="92">
        <f>IF(AND(ISNUMBER(SEARCH("Delivery",N593)),ISNUMBER(SEARCH("Santana",N593))),"SIM","")</f>
        <v/>
      </c>
      <c r="AH593" s="92">
        <f>IF(AND(ISNUMBER(SEARCH("Delivery",N593)),ISNUMBER(SEARCH("André",N593))),"SIM","")</f>
        <v/>
      </c>
      <c r="AI593" s="92">
        <f>IF(ISNUMBER(SEARCH("Interlagos",N593)),"SIM","")</f>
        <v/>
      </c>
      <c r="AJ593" s="92">
        <f>IF(ISNUMBER(SEARCH("Quiosque",N593)),"SIM","")</f>
        <v/>
      </c>
      <c r="AK593" s="93" t="n"/>
    </row>
    <row r="594">
      <c r="A594" s="88" t="inlineStr">
        <is>
          <t>Protheus</t>
        </is>
      </c>
      <c r="B594" s="89" t="inlineStr">
        <is>
          <t>001038</t>
        </is>
      </c>
      <c r="C594" s="90">
        <f>IF(B594="—","—",IFERROR(VLOOKUP(B594,_Protheus_Cadastro!$A:$B,2,FALSE),"—"))</f>
        <v/>
      </c>
      <c r="D594" s="91">
        <f>IF(B594="—",IFERROR(INDEX(_ZIG_Cadastro!$D:$D,MATCH(H594,_ZIG_Cadastro!$A:$A,0)),"Produto"),IFERROR(VLOOKUP(B594,_Protheus_Cadastro!$A:$C,3,FALSE),"—"))</f>
        <v/>
      </c>
      <c r="E594" s="91">
        <f>IF(B594="—","—",IFERROR(VLOOKUP(B594,_Protheus_Cadastro!$A:$D,4,FALSE),"—"))</f>
        <v/>
      </c>
      <c r="F594" s="91">
        <f>IF(ISERROR(VLOOKUP(B594,'Estrutura Protheus'!A:A,1,FALSE)),"Não","Sim")</f>
        <v/>
      </c>
      <c r="G594" s="92">
        <f>IFERROR(INDEX(_Protheus_Cadastro!$H:$H,MATCH(B594,_Protheus_Cadastro!$A:$A,0)),"—")</f>
        <v/>
      </c>
      <c r="H594" s="210">
        <f>IFERROR(INDEX(_ZIG_Precos!$D:$D,MATCH(I594,_ZIG_Precos!$F:$F,0)),"—")</f>
        <v/>
      </c>
      <c r="I594" s="95">
        <f>IFERROR(VLOOKUP(B594,_Protheus_Cadastro!$A:$I,9,FALSE),"—")</f>
        <v/>
      </c>
      <c r="J594" s="93">
        <f>IFERROR(INDEX(_ZIG_Cadastro!$B:$B,MATCH(I594,_ZIG_Cadastro!$A:$A,0)),IFERROR(INDEX(_Entradas_ZIG!$B:$B,MATCH(I594,_Entradas_ZIG!$C:$C,0)),"—"))</f>
        <v/>
      </c>
      <c r="K594" s="93">
        <f>IFERROR(INDEX(_ZIG_Cadastro!$C:$C,MATCH(I594,_ZIG_Cadastro!$A:$A,0)),IFERROR(INDEX(_Entradas_ZIG!$D:$D,MATCH(I594,_Entradas_ZIG!$C:$C,0)),"—"))</f>
        <v/>
      </c>
      <c r="L594" s="92">
        <f>IF(I594="","Sem SKU ZIG",IF(I594="—","Sem SKU ZIG",IF(NOT(ISERROR(MATCH(I594,_ZIG_Cadastro!$A:$A,0))),IF(EXACT(UPPER(TRIM(C594)),UPPER(TRIM(INDEX(_ZIG_Cadastro!$B:$B,MATCH(I594,_ZIG_Cadastro!$A:$A,0))))),"OK","Atencao - Nome diverge"),IF(NOT(ISERROR(MATCH(I594,_Entradas_ZIG!$C:$C,0))),"OK","Erro - SKU nao encontrado"))))</f>
        <v/>
      </c>
      <c r="M594" s="92">
        <f>IFERROR(INDEX(_ZIG_Cadastro!$G:$G,MATCH(I594,_ZIG_Cadastro!$A:$A,0)),IF(NOT(ISERROR(MATCH(I594,_Entradas_ZIG!$C:$C,0))),"Ativo","—"))</f>
        <v/>
      </c>
      <c r="N594" s="94">
        <f>IFERROR(INDEX(_ZIG_Cadastro!$E:$E,MATCH(I594,_ZIG_Cadastro!$A:$A,0)),IFERROR(INDEX(_Entradas_ZIG!$F:$F,MATCH(I594,_Entradas_ZIG!$C:$C,0)),"—"))</f>
        <v/>
      </c>
      <c r="O594" s="92">
        <f>IF(AND(ISNUMBER(SEARCH("Espeto",N594)),ISNUMBER(SEARCH("Carin",N594))),"SIM","")</f>
        <v/>
      </c>
      <c r="P594" s="92">
        <f>IF(AND(ISNUMBER(SEARCH("Espeto",N594)),ISNUMBER(SEARCH("Lapa",N594))),"SIM","")</f>
        <v/>
      </c>
      <c r="Q594" s="92">
        <f>IF(AND(ISNUMBER(SEARCH("Espeto",N594)),ISNUMBER(SEARCH("Tatuapé",N594))),"SIM","")</f>
        <v/>
      </c>
      <c r="R594" s="92">
        <f>IF(AND(ISNUMBER(SEARCH("Espeto",N594)),ISNUMBER(SEARCH("Pavão",N594))),"SIM","")</f>
        <v/>
      </c>
      <c r="S594" s="92">
        <f>IF(AND(ISNUMBER(SEARCH("Espeto",N594)),ISNUMBER(SEARCH("Chac",N594))),"SIM","")</f>
        <v/>
      </c>
      <c r="T594" s="92">
        <f>IF(AND(ISNUMBER(SEARCH("Espeto",N594)),ISNUMBER(SEARCH("Madalena",N594))),"SIM","")</f>
        <v/>
      </c>
      <c r="U594" s="92">
        <f>IF(AND(ISNUMBER(SEARCH("Espeto",N594)),ISNUMBER(SEARCH("Mariana",N594))),"SIM","")</f>
        <v/>
      </c>
      <c r="V594" s="92">
        <f>IF(AND(ISNUMBER(SEARCH("Espeto",N594)),ISNUMBER(SEARCH("Perdizes",N594))),"SIM","")</f>
        <v/>
      </c>
      <c r="W594" s="92">
        <f>IF(AND(ISNUMBER(SEARCH("Espeto",N594)),ISNUMBER(SEARCH("Santana",N594))),"SIM","")</f>
        <v/>
      </c>
      <c r="X594" s="92">
        <f>IF(AND(ISNUMBER(SEARCH("Espeto",N594)),ISNUMBER(SEARCH("André",N594))),"SIM","")</f>
        <v/>
      </c>
      <c r="Y594" s="92">
        <f>IF(AND(ISNUMBER(SEARCH("Delivery",N594)),ISNUMBER(SEARCH("Carin",N594))),"SIM","")</f>
        <v/>
      </c>
      <c r="Z594" s="92">
        <f>IF(AND(ISNUMBER(SEARCH("Delivery",N594)),ISNUMBER(SEARCH("Lapa",N594))),"SIM","")</f>
        <v/>
      </c>
      <c r="AA594" s="92">
        <f>IF(AND(ISNUMBER(SEARCH("Delivery",N594)),ISNUMBER(SEARCH("Tatuapé",N594))),"SIM","")</f>
        <v/>
      </c>
      <c r="AB594" s="92">
        <f>IF(AND(ISNUMBER(SEARCH("Delivery",N594)),ISNUMBER(SEARCH("Pavão",N594))),"SIM","")</f>
        <v/>
      </c>
      <c r="AC594" s="92">
        <f>IF(AND(ISNUMBER(SEARCH("Delivery",N594)),ISNUMBER(SEARCH("Chac",N594))),"SIM","")</f>
        <v/>
      </c>
      <c r="AD594" s="92">
        <f>IF(AND(ISNUMBER(SEARCH("Delivery",N594)),ISNUMBER(SEARCH("Madalena",N594))),"SIM","")</f>
        <v/>
      </c>
      <c r="AE594" s="99">
        <f>IF(AND(ISNUMBER(SEARCH("Delivery",N594)),ISNUMBER(SEARCH("Mariana",N594))),"SIM","")</f>
        <v/>
      </c>
      <c r="AF594" s="99">
        <f>IF(AND(ISNUMBER(SEARCH("Delivery",N594)),ISNUMBER(SEARCH("Perdizes",N594))),"SIM","")</f>
        <v/>
      </c>
      <c r="AG594" s="99">
        <f>IF(AND(ISNUMBER(SEARCH("Delivery",N594)),ISNUMBER(SEARCH("Santana",N594))),"SIM","")</f>
        <v/>
      </c>
      <c r="AH594" s="99">
        <f>IF(AND(ISNUMBER(SEARCH("Delivery",N594)),ISNUMBER(SEARCH("André",N594))),"SIM","")</f>
        <v/>
      </c>
      <c r="AI594" s="99">
        <f>IF(ISNUMBER(SEARCH("Interlagos",N594)),"SIM","")</f>
        <v/>
      </c>
      <c r="AJ594" s="99">
        <f>IF(ISNUMBER(SEARCH("Quiosque",N594)),"SIM","")</f>
        <v/>
      </c>
      <c r="AK594" s="101" t="n"/>
    </row>
    <row r="595">
      <c r="A595" s="88" t="inlineStr">
        <is>
          <t>Protheus</t>
        </is>
      </c>
      <c r="B595" s="96" t="inlineStr">
        <is>
          <t>000045</t>
        </is>
      </c>
      <c r="C595" s="97">
        <f>IF(B595="—","—",IFERROR(VLOOKUP(B595,_Protheus_Cadastro!$A:$B,2,FALSE),"—"))</f>
        <v/>
      </c>
      <c r="D595" s="98">
        <f>IF(B595="—",IFERROR(INDEX(_ZIG_Cadastro!$D:$D,MATCH(H595,_ZIG_Cadastro!$A:$A,0)),"Produto"),IFERROR(VLOOKUP(B595,_Protheus_Cadastro!$A:$C,3,FALSE),"—"))</f>
        <v/>
      </c>
      <c r="E595" s="98">
        <f>IF(B595="—","—",IFERROR(VLOOKUP(B595,_Protheus_Cadastro!$A:$D,4,FALSE),"—"))</f>
        <v/>
      </c>
      <c r="F595" s="98">
        <f>IF(ISERROR(VLOOKUP(B595,'Estrutura Protheus'!A:A,1,FALSE)),"Não","Sim")</f>
        <v/>
      </c>
      <c r="G595" s="99">
        <f>IFERROR(INDEX(_Protheus_Cadastro!$H:$H,MATCH(B595,_Protheus_Cadastro!$A:$A,0)),"—")</f>
        <v/>
      </c>
      <c r="H595" s="211">
        <f>IFERROR(INDEX(_ZIG_Precos!$D:$D,MATCH(I595,_ZIG_Precos!$F:$F,0)),"—")</f>
        <v/>
      </c>
      <c r="I595" s="103">
        <f>IFERROR(VLOOKUP(B595,_Protheus_Cadastro!$A:$I,9,FALSE),"—")</f>
        <v/>
      </c>
      <c r="J595" s="101">
        <f>IFERROR(INDEX(_ZIG_Cadastro!$B:$B,MATCH(I595,_ZIG_Cadastro!$A:$A,0)),IFERROR(INDEX(_Entradas_ZIG!$B:$B,MATCH(I595,_Entradas_ZIG!$C:$C,0)),"—"))</f>
        <v/>
      </c>
      <c r="K595" s="101">
        <f>IFERROR(INDEX(_ZIG_Cadastro!$C:$C,MATCH(I595,_ZIG_Cadastro!$A:$A,0)),IFERROR(INDEX(_Entradas_ZIG!$D:$D,MATCH(I595,_Entradas_ZIG!$C:$C,0)),"—"))</f>
        <v/>
      </c>
      <c r="L595" s="99">
        <f>IF(I595="","Sem SKU ZIG",IF(I595="—","Sem SKU ZIG",IF(NOT(ISERROR(MATCH(I595,_ZIG_Cadastro!$A:$A,0))),IF(EXACT(UPPER(TRIM(C595)),UPPER(TRIM(INDEX(_ZIG_Cadastro!$B:$B,MATCH(I595,_ZIG_Cadastro!$A:$A,0))))),"OK","Atencao - Nome diverge"),IF(NOT(ISERROR(MATCH(I595,_Entradas_ZIG!$C:$C,0))),"OK","Erro - SKU nao encontrado"))))</f>
        <v/>
      </c>
      <c r="M595" s="99">
        <f>IFERROR(INDEX(_ZIG_Cadastro!$G:$G,MATCH(I595,_ZIG_Cadastro!$A:$A,0)),IF(NOT(ISERROR(MATCH(I595,_Entradas_ZIG!$C:$C,0))),"Ativo","—"))</f>
        <v/>
      </c>
      <c r="N595" s="102">
        <f>IFERROR(INDEX(_ZIG_Cadastro!$E:$E,MATCH(I595,_ZIG_Cadastro!$A:$A,0)),IFERROR(INDEX(_Entradas_ZIG!$F:$F,MATCH(I595,_Entradas_ZIG!$C:$C,0)),"—"))</f>
        <v/>
      </c>
      <c r="O595" s="99">
        <f>IF(AND(ISNUMBER(SEARCH("Espeto",N595)),ISNUMBER(SEARCH("Carin",N595))),"SIM","")</f>
        <v/>
      </c>
      <c r="P595" s="99">
        <f>IF(AND(ISNUMBER(SEARCH("Espeto",N595)),ISNUMBER(SEARCH("Lapa",N595))),"SIM","")</f>
        <v/>
      </c>
      <c r="Q595" s="99">
        <f>IF(AND(ISNUMBER(SEARCH("Espeto",N595)),ISNUMBER(SEARCH("Tatuapé",N595))),"SIM","")</f>
        <v/>
      </c>
      <c r="R595" s="99">
        <f>IF(AND(ISNUMBER(SEARCH("Espeto",N595)),ISNUMBER(SEARCH("Pavão",N595))),"SIM","")</f>
        <v/>
      </c>
      <c r="S595" s="99">
        <f>IF(AND(ISNUMBER(SEARCH("Espeto",N595)),ISNUMBER(SEARCH("Chac",N595))),"SIM","")</f>
        <v/>
      </c>
      <c r="T595" s="99">
        <f>IF(AND(ISNUMBER(SEARCH("Espeto",N595)),ISNUMBER(SEARCH("Madalena",N595))),"SIM","")</f>
        <v/>
      </c>
      <c r="U595" s="99">
        <f>IF(AND(ISNUMBER(SEARCH("Espeto",N595)),ISNUMBER(SEARCH("Mariana",N595))),"SIM","")</f>
        <v/>
      </c>
      <c r="V595" s="99">
        <f>IF(AND(ISNUMBER(SEARCH("Espeto",N595)),ISNUMBER(SEARCH("Perdizes",N595))),"SIM","")</f>
        <v/>
      </c>
      <c r="W595" s="99">
        <f>IF(AND(ISNUMBER(SEARCH("Espeto",N595)),ISNUMBER(SEARCH("Santana",N595))),"SIM","")</f>
        <v/>
      </c>
      <c r="X595" s="99">
        <f>IF(AND(ISNUMBER(SEARCH("Espeto",N595)),ISNUMBER(SEARCH("André",N595))),"SIM","")</f>
        <v/>
      </c>
      <c r="Y595" s="99">
        <f>IF(AND(ISNUMBER(SEARCH("Delivery",N595)),ISNUMBER(SEARCH("Carin",N595))),"SIM","")</f>
        <v/>
      </c>
      <c r="Z595" s="99">
        <f>IF(AND(ISNUMBER(SEARCH("Delivery",N595)),ISNUMBER(SEARCH("Lapa",N595))),"SIM","")</f>
        <v/>
      </c>
      <c r="AA595" s="99">
        <f>IF(AND(ISNUMBER(SEARCH("Delivery",N595)),ISNUMBER(SEARCH("Tatuapé",N595))),"SIM","")</f>
        <v/>
      </c>
      <c r="AB595" s="99">
        <f>IF(AND(ISNUMBER(SEARCH("Delivery",N595)),ISNUMBER(SEARCH("Pavão",N595))),"SIM","")</f>
        <v/>
      </c>
      <c r="AC595" s="99">
        <f>IF(AND(ISNUMBER(SEARCH("Delivery",N595)),ISNUMBER(SEARCH("Chac",N595))),"SIM","")</f>
        <v/>
      </c>
      <c r="AD595" s="99">
        <f>IF(AND(ISNUMBER(SEARCH("Delivery",N595)),ISNUMBER(SEARCH("Madalena",N595))),"SIM","")</f>
        <v/>
      </c>
      <c r="AE595" s="92">
        <f>IF(AND(ISNUMBER(SEARCH("Delivery",N595)),ISNUMBER(SEARCH("Mariana",N595))),"SIM","")</f>
        <v/>
      </c>
      <c r="AF595" s="92">
        <f>IF(AND(ISNUMBER(SEARCH("Delivery",N595)),ISNUMBER(SEARCH("Perdizes",N595))),"SIM","")</f>
        <v/>
      </c>
      <c r="AG595" s="92">
        <f>IF(AND(ISNUMBER(SEARCH("Delivery",N595)),ISNUMBER(SEARCH("Santana",N595))),"SIM","")</f>
        <v/>
      </c>
      <c r="AH595" s="92">
        <f>IF(AND(ISNUMBER(SEARCH("Delivery",N595)),ISNUMBER(SEARCH("André",N595))),"SIM","")</f>
        <v/>
      </c>
      <c r="AI595" s="92">
        <f>IF(ISNUMBER(SEARCH("Interlagos",N595)),"SIM","")</f>
        <v/>
      </c>
      <c r="AJ595" s="92">
        <f>IF(ISNUMBER(SEARCH("Quiosque",N595)),"SIM","")</f>
        <v/>
      </c>
      <c r="AK595" s="93" t="n"/>
    </row>
    <row r="596">
      <c r="A596" s="88" t="inlineStr">
        <is>
          <t>Protheus</t>
        </is>
      </c>
      <c r="B596" s="89" t="inlineStr">
        <is>
          <t>000043</t>
        </is>
      </c>
      <c r="C596" s="90">
        <f>IF(B596="—","—",IFERROR(VLOOKUP(B596,_Protheus_Cadastro!$A:$B,2,FALSE),"—"))</f>
        <v/>
      </c>
      <c r="D596" s="91">
        <f>IF(B596="—",IFERROR(INDEX(_ZIG_Cadastro!$D:$D,MATCH(H596,_ZIG_Cadastro!$A:$A,0)),"Produto"),IFERROR(VLOOKUP(B596,_Protheus_Cadastro!$A:$C,3,FALSE),"—"))</f>
        <v/>
      </c>
      <c r="E596" s="91">
        <f>IF(B596="—","—",IFERROR(VLOOKUP(B596,_Protheus_Cadastro!$A:$D,4,FALSE),"—"))</f>
        <v/>
      </c>
      <c r="F596" s="91">
        <f>IF(ISERROR(VLOOKUP(B596,'Estrutura Protheus'!A:A,1,FALSE)),"Não","Sim")</f>
        <v/>
      </c>
      <c r="G596" s="92">
        <f>IFERROR(INDEX(_Protheus_Cadastro!$H:$H,MATCH(B596,_Protheus_Cadastro!$A:$A,0)),"—")</f>
        <v/>
      </c>
      <c r="H596" s="210">
        <f>IFERROR(INDEX(_ZIG_Precos!$D:$D,MATCH(I596,_ZIG_Precos!$F:$F,0)),"—")</f>
        <v/>
      </c>
      <c r="I596" s="95">
        <f>IFERROR(VLOOKUP(B596,_Protheus_Cadastro!$A:$I,9,FALSE),"—")</f>
        <v/>
      </c>
      <c r="J596" s="93">
        <f>IFERROR(INDEX(_ZIG_Cadastro!$B:$B,MATCH(I596,_ZIG_Cadastro!$A:$A,0)),IFERROR(INDEX(_Entradas_ZIG!$B:$B,MATCH(I596,_Entradas_ZIG!$C:$C,0)),"—"))</f>
        <v/>
      </c>
      <c r="K596" s="93">
        <f>IFERROR(INDEX(_ZIG_Cadastro!$C:$C,MATCH(I596,_ZIG_Cadastro!$A:$A,0)),IFERROR(INDEX(_Entradas_ZIG!$D:$D,MATCH(I596,_Entradas_ZIG!$C:$C,0)),"—"))</f>
        <v/>
      </c>
      <c r="L596" s="92">
        <f>IF(I596="","Sem SKU ZIG",IF(I596="—","Sem SKU ZIG",IF(NOT(ISERROR(MATCH(I596,_ZIG_Cadastro!$A:$A,0))),IF(EXACT(UPPER(TRIM(C596)),UPPER(TRIM(INDEX(_ZIG_Cadastro!$B:$B,MATCH(I596,_ZIG_Cadastro!$A:$A,0))))),"OK","Atencao - Nome diverge"),IF(NOT(ISERROR(MATCH(I596,_Entradas_ZIG!$C:$C,0))),"OK","Erro - SKU nao encontrado"))))</f>
        <v/>
      </c>
      <c r="M596" s="92">
        <f>IFERROR(INDEX(_ZIG_Cadastro!$G:$G,MATCH(I596,_ZIG_Cadastro!$A:$A,0)),IF(NOT(ISERROR(MATCH(I596,_Entradas_ZIG!$C:$C,0))),"Ativo","—"))</f>
        <v/>
      </c>
      <c r="N596" s="94">
        <f>IFERROR(INDEX(_ZIG_Cadastro!$E:$E,MATCH(I596,_ZIG_Cadastro!$A:$A,0)),IFERROR(INDEX(_Entradas_ZIG!$F:$F,MATCH(I596,_Entradas_ZIG!$C:$C,0)),"—"))</f>
        <v/>
      </c>
      <c r="O596" s="92">
        <f>IF(AND(ISNUMBER(SEARCH("Espeto",N596)),ISNUMBER(SEARCH("Carin",N596))),"SIM","")</f>
        <v/>
      </c>
      <c r="P596" s="92">
        <f>IF(AND(ISNUMBER(SEARCH("Espeto",N596)),ISNUMBER(SEARCH("Lapa",N596))),"SIM","")</f>
        <v/>
      </c>
      <c r="Q596" s="92">
        <f>IF(AND(ISNUMBER(SEARCH("Espeto",N596)),ISNUMBER(SEARCH("Tatuapé",N596))),"SIM","")</f>
        <v/>
      </c>
      <c r="R596" s="92">
        <f>IF(AND(ISNUMBER(SEARCH("Espeto",N596)),ISNUMBER(SEARCH("Pavão",N596))),"SIM","")</f>
        <v/>
      </c>
      <c r="S596" s="92">
        <f>IF(AND(ISNUMBER(SEARCH("Espeto",N596)),ISNUMBER(SEARCH("Chac",N596))),"SIM","")</f>
        <v/>
      </c>
      <c r="T596" s="92">
        <f>IF(AND(ISNUMBER(SEARCH("Espeto",N596)),ISNUMBER(SEARCH("Madalena",N596))),"SIM","")</f>
        <v/>
      </c>
      <c r="U596" s="92">
        <f>IF(AND(ISNUMBER(SEARCH("Espeto",N596)),ISNUMBER(SEARCH("Mariana",N596))),"SIM","")</f>
        <v/>
      </c>
      <c r="V596" s="92">
        <f>IF(AND(ISNUMBER(SEARCH("Espeto",N596)),ISNUMBER(SEARCH("Perdizes",N596))),"SIM","")</f>
        <v/>
      </c>
      <c r="W596" s="92">
        <f>IF(AND(ISNUMBER(SEARCH("Espeto",N596)),ISNUMBER(SEARCH("Santana",N596))),"SIM","")</f>
        <v/>
      </c>
      <c r="X596" s="92">
        <f>IF(AND(ISNUMBER(SEARCH("Espeto",N596)),ISNUMBER(SEARCH("André",N596))),"SIM","")</f>
        <v/>
      </c>
      <c r="Y596" s="92">
        <f>IF(AND(ISNUMBER(SEARCH("Delivery",N596)),ISNUMBER(SEARCH("Carin",N596))),"SIM","")</f>
        <v/>
      </c>
      <c r="Z596" s="92">
        <f>IF(AND(ISNUMBER(SEARCH("Delivery",N596)),ISNUMBER(SEARCH("Lapa",N596))),"SIM","")</f>
        <v/>
      </c>
      <c r="AA596" s="92">
        <f>IF(AND(ISNUMBER(SEARCH("Delivery",N596)),ISNUMBER(SEARCH("Tatuapé",N596))),"SIM","")</f>
        <v/>
      </c>
      <c r="AB596" s="92">
        <f>IF(AND(ISNUMBER(SEARCH("Delivery",N596)),ISNUMBER(SEARCH("Pavão",N596))),"SIM","")</f>
        <v/>
      </c>
      <c r="AC596" s="92">
        <f>IF(AND(ISNUMBER(SEARCH("Delivery",N596)),ISNUMBER(SEARCH("Chac",N596))),"SIM","")</f>
        <v/>
      </c>
      <c r="AD596" s="92">
        <f>IF(AND(ISNUMBER(SEARCH("Delivery",N596)),ISNUMBER(SEARCH("Madalena",N596))),"SIM","")</f>
        <v/>
      </c>
      <c r="AE596" s="99">
        <f>IF(AND(ISNUMBER(SEARCH("Delivery",N596)),ISNUMBER(SEARCH("Mariana",N596))),"SIM","")</f>
        <v/>
      </c>
      <c r="AF596" s="99">
        <f>IF(AND(ISNUMBER(SEARCH("Delivery",N596)),ISNUMBER(SEARCH("Perdizes",N596))),"SIM","")</f>
        <v/>
      </c>
      <c r="AG596" s="99">
        <f>IF(AND(ISNUMBER(SEARCH("Delivery",N596)),ISNUMBER(SEARCH("Santana",N596))),"SIM","")</f>
        <v/>
      </c>
      <c r="AH596" s="99">
        <f>IF(AND(ISNUMBER(SEARCH("Delivery",N596)),ISNUMBER(SEARCH("André",N596))),"SIM","")</f>
        <v/>
      </c>
      <c r="AI596" s="99">
        <f>IF(ISNUMBER(SEARCH("Interlagos",N596)),"SIM","")</f>
        <v/>
      </c>
      <c r="AJ596" s="99">
        <f>IF(ISNUMBER(SEARCH("Quiosque",N596)),"SIM","")</f>
        <v/>
      </c>
      <c r="AK596" s="101" t="n"/>
    </row>
    <row r="597">
      <c r="A597" s="88" t="inlineStr">
        <is>
          <t>Protheus</t>
        </is>
      </c>
      <c r="B597" s="96" t="inlineStr">
        <is>
          <t>001363</t>
        </is>
      </c>
      <c r="C597" s="97">
        <f>IF(B597="—","—",IFERROR(VLOOKUP(B597,_Protheus_Cadastro!$A:$B,2,FALSE),"—"))</f>
        <v/>
      </c>
      <c r="D597" s="98">
        <f>IF(B597="—",IFERROR(INDEX(_ZIG_Cadastro!$D:$D,MATCH(H597,_ZIG_Cadastro!$A:$A,0)),"Produto"),IFERROR(VLOOKUP(B597,_Protheus_Cadastro!$A:$C,3,FALSE),"—"))</f>
        <v/>
      </c>
      <c r="E597" s="98">
        <f>IF(B597="—","—",IFERROR(VLOOKUP(B597,_Protheus_Cadastro!$A:$D,4,FALSE),"—"))</f>
        <v/>
      </c>
      <c r="F597" s="98">
        <f>IF(ISERROR(VLOOKUP(B597,'Estrutura Protheus'!A:A,1,FALSE)),"Não","Sim")</f>
        <v/>
      </c>
      <c r="G597" s="99">
        <f>IFERROR(INDEX(_Protheus_Cadastro!$H:$H,MATCH(B597,_Protheus_Cadastro!$A:$A,0)),"—")</f>
        <v/>
      </c>
      <c r="H597" s="211">
        <f>IFERROR(INDEX(_ZIG_Precos!$D:$D,MATCH(I597,_ZIG_Precos!$F:$F,0)),"—")</f>
        <v/>
      </c>
      <c r="I597" s="103">
        <f>IFERROR(VLOOKUP(B597,_Protheus_Cadastro!$A:$I,9,FALSE),"—")</f>
        <v/>
      </c>
      <c r="J597" s="101">
        <f>IFERROR(INDEX(_ZIG_Cadastro!$B:$B,MATCH(I597,_ZIG_Cadastro!$A:$A,0)),IFERROR(INDEX(_Entradas_ZIG!$B:$B,MATCH(I597,_Entradas_ZIG!$C:$C,0)),"—"))</f>
        <v/>
      </c>
      <c r="K597" s="101">
        <f>IFERROR(INDEX(_ZIG_Cadastro!$C:$C,MATCH(I597,_ZIG_Cadastro!$A:$A,0)),IFERROR(INDEX(_Entradas_ZIG!$D:$D,MATCH(I597,_Entradas_ZIG!$C:$C,0)),"—"))</f>
        <v/>
      </c>
      <c r="L597" s="99">
        <f>IF(I597="","Sem SKU ZIG",IF(I597="—","Sem SKU ZIG",IF(NOT(ISERROR(MATCH(I597,_ZIG_Cadastro!$A:$A,0))),IF(EXACT(UPPER(TRIM(C597)),UPPER(TRIM(INDEX(_ZIG_Cadastro!$B:$B,MATCH(I597,_ZIG_Cadastro!$A:$A,0))))),"OK","Atencao - Nome diverge"),IF(NOT(ISERROR(MATCH(I597,_Entradas_ZIG!$C:$C,0))),"OK","Erro - SKU nao encontrado"))))</f>
        <v/>
      </c>
      <c r="M597" s="99">
        <f>IFERROR(INDEX(_ZIG_Cadastro!$G:$G,MATCH(I597,_ZIG_Cadastro!$A:$A,0)),IF(NOT(ISERROR(MATCH(I597,_Entradas_ZIG!$C:$C,0))),"Ativo","—"))</f>
        <v/>
      </c>
      <c r="N597" s="102">
        <f>IFERROR(INDEX(_ZIG_Cadastro!$E:$E,MATCH(I597,_ZIG_Cadastro!$A:$A,0)),IFERROR(INDEX(_Entradas_ZIG!$F:$F,MATCH(I597,_Entradas_ZIG!$C:$C,0)),"—"))</f>
        <v/>
      </c>
      <c r="O597" s="99">
        <f>IF(AND(ISNUMBER(SEARCH("Espeto",N597)),ISNUMBER(SEARCH("Carin",N597))),"SIM","")</f>
        <v/>
      </c>
      <c r="P597" s="99">
        <f>IF(AND(ISNUMBER(SEARCH("Espeto",N597)),ISNUMBER(SEARCH("Lapa",N597))),"SIM","")</f>
        <v/>
      </c>
      <c r="Q597" s="99">
        <f>IF(AND(ISNUMBER(SEARCH("Espeto",N597)),ISNUMBER(SEARCH("Tatuapé",N597))),"SIM","")</f>
        <v/>
      </c>
      <c r="R597" s="99">
        <f>IF(AND(ISNUMBER(SEARCH("Espeto",N597)),ISNUMBER(SEARCH("Pavão",N597))),"SIM","")</f>
        <v/>
      </c>
      <c r="S597" s="99">
        <f>IF(AND(ISNUMBER(SEARCH("Espeto",N597)),ISNUMBER(SEARCH("Chac",N597))),"SIM","")</f>
        <v/>
      </c>
      <c r="T597" s="99">
        <f>IF(AND(ISNUMBER(SEARCH("Espeto",N597)),ISNUMBER(SEARCH("Madalena",N597))),"SIM","")</f>
        <v/>
      </c>
      <c r="U597" s="99">
        <f>IF(AND(ISNUMBER(SEARCH("Espeto",N597)),ISNUMBER(SEARCH("Mariana",N597))),"SIM","")</f>
        <v/>
      </c>
      <c r="V597" s="99">
        <f>IF(AND(ISNUMBER(SEARCH("Espeto",N597)),ISNUMBER(SEARCH("Perdizes",N597))),"SIM","")</f>
        <v/>
      </c>
      <c r="W597" s="99">
        <f>IF(AND(ISNUMBER(SEARCH("Espeto",N597)),ISNUMBER(SEARCH("Santana",N597))),"SIM","")</f>
        <v/>
      </c>
      <c r="X597" s="99">
        <f>IF(AND(ISNUMBER(SEARCH("Espeto",N597)),ISNUMBER(SEARCH("André",N597))),"SIM","")</f>
        <v/>
      </c>
      <c r="Y597" s="99">
        <f>IF(AND(ISNUMBER(SEARCH("Delivery",N597)),ISNUMBER(SEARCH("Carin",N597))),"SIM","")</f>
        <v/>
      </c>
      <c r="Z597" s="99">
        <f>IF(AND(ISNUMBER(SEARCH("Delivery",N597)),ISNUMBER(SEARCH("Lapa",N597))),"SIM","")</f>
        <v/>
      </c>
      <c r="AA597" s="99">
        <f>IF(AND(ISNUMBER(SEARCH("Delivery",N597)),ISNUMBER(SEARCH("Tatuapé",N597))),"SIM","")</f>
        <v/>
      </c>
      <c r="AB597" s="99">
        <f>IF(AND(ISNUMBER(SEARCH("Delivery",N597)),ISNUMBER(SEARCH("Pavão",N597))),"SIM","")</f>
        <v/>
      </c>
      <c r="AC597" s="99">
        <f>IF(AND(ISNUMBER(SEARCH("Delivery",N597)),ISNUMBER(SEARCH("Chac",N597))),"SIM","")</f>
        <v/>
      </c>
      <c r="AD597" s="99">
        <f>IF(AND(ISNUMBER(SEARCH("Delivery",N597)),ISNUMBER(SEARCH("Madalena",N597))),"SIM","")</f>
        <v/>
      </c>
      <c r="AE597" s="92">
        <f>IF(AND(ISNUMBER(SEARCH("Delivery",N597)),ISNUMBER(SEARCH("Mariana",N597))),"SIM","")</f>
        <v/>
      </c>
      <c r="AF597" s="92">
        <f>IF(AND(ISNUMBER(SEARCH("Delivery",N597)),ISNUMBER(SEARCH("Perdizes",N597))),"SIM","")</f>
        <v/>
      </c>
      <c r="AG597" s="92">
        <f>IF(AND(ISNUMBER(SEARCH("Delivery",N597)),ISNUMBER(SEARCH("Santana",N597))),"SIM","")</f>
        <v/>
      </c>
      <c r="AH597" s="92">
        <f>IF(AND(ISNUMBER(SEARCH("Delivery",N597)),ISNUMBER(SEARCH("André",N597))),"SIM","")</f>
        <v/>
      </c>
      <c r="AI597" s="92">
        <f>IF(ISNUMBER(SEARCH("Interlagos",N597)),"SIM","")</f>
        <v/>
      </c>
      <c r="AJ597" s="92">
        <f>IF(ISNUMBER(SEARCH("Quiosque",N597)),"SIM","")</f>
        <v/>
      </c>
      <c r="AK597" s="93" t="n"/>
    </row>
    <row r="598">
      <c r="A598" s="88" t="inlineStr">
        <is>
          <t>Protheus</t>
        </is>
      </c>
      <c r="B598" s="89" t="inlineStr">
        <is>
          <t>000950</t>
        </is>
      </c>
      <c r="C598" s="90">
        <f>IF(B598="—","—",IFERROR(VLOOKUP(B598,_Protheus_Cadastro!$A:$B,2,FALSE),"—"))</f>
        <v/>
      </c>
      <c r="D598" s="91">
        <f>IF(B598="—",IFERROR(INDEX(_ZIG_Cadastro!$D:$D,MATCH(H598,_ZIG_Cadastro!$A:$A,0)),"Produto"),IFERROR(VLOOKUP(B598,_Protheus_Cadastro!$A:$C,3,FALSE),"—"))</f>
        <v/>
      </c>
      <c r="E598" s="91">
        <f>IF(B598="—","—",IFERROR(VLOOKUP(B598,_Protheus_Cadastro!$A:$D,4,FALSE),"—"))</f>
        <v/>
      </c>
      <c r="F598" s="91">
        <f>IF(ISERROR(VLOOKUP(B598,'Estrutura Protheus'!A:A,1,FALSE)),"Não","Sim")</f>
        <v/>
      </c>
      <c r="G598" s="92">
        <f>IFERROR(INDEX(_Protheus_Cadastro!$H:$H,MATCH(B598,_Protheus_Cadastro!$A:$A,0)),"—")</f>
        <v/>
      </c>
      <c r="H598" s="210">
        <f>IFERROR(INDEX(_ZIG_Precos!$D:$D,MATCH(I598,_ZIG_Precos!$F:$F,0)),"—")</f>
        <v/>
      </c>
      <c r="I598" s="95">
        <f>IFERROR(VLOOKUP(B598,_Protheus_Cadastro!$A:$I,9,FALSE),"—")</f>
        <v/>
      </c>
      <c r="J598" s="93">
        <f>IFERROR(INDEX(_ZIG_Cadastro!$B:$B,MATCH(I598,_ZIG_Cadastro!$A:$A,0)),IFERROR(INDEX(_Entradas_ZIG!$B:$B,MATCH(I598,_Entradas_ZIG!$C:$C,0)),"—"))</f>
        <v/>
      </c>
      <c r="K598" s="93">
        <f>IFERROR(INDEX(_ZIG_Cadastro!$C:$C,MATCH(I598,_ZIG_Cadastro!$A:$A,0)),IFERROR(INDEX(_Entradas_ZIG!$D:$D,MATCH(I598,_Entradas_ZIG!$C:$C,0)),"—"))</f>
        <v/>
      </c>
      <c r="L598" s="92">
        <f>IF(I598="","Sem SKU ZIG",IF(I598="—","Sem SKU ZIG",IF(NOT(ISERROR(MATCH(I598,_ZIG_Cadastro!$A:$A,0))),IF(EXACT(UPPER(TRIM(C598)),UPPER(TRIM(INDEX(_ZIG_Cadastro!$B:$B,MATCH(I598,_ZIG_Cadastro!$A:$A,0))))),"OK","Atencao - Nome diverge"),IF(NOT(ISERROR(MATCH(I598,_Entradas_ZIG!$C:$C,0))),"OK","Erro - SKU nao encontrado"))))</f>
        <v/>
      </c>
      <c r="M598" s="92">
        <f>IFERROR(INDEX(_ZIG_Cadastro!$G:$G,MATCH(I598,_ZIG_Cadastro!$A:$A,0)),IF(NOT(ISERROR(MATCH(I598,_Entradas_ZIG!$C:$C,0))),"Ativo","—"))</f>
        <v/>
      </c>
      <c r="N598" s="94">
        <f>IFERROR(INDEX(_ZIG_Cadastro!$E:$E,MATCH(I598,_ZIG_Cadastro!$A:$A,0)),IFERROR(INDEX(_Entradas_ZIG!$F:$F,MATCH(I598,_Entradas_ZIG!$C:$C,0)),"—"))</f>
        <v/>
      </c>
      <c r="O598" s="92">
        <f>IF(AND(ISNUMBER(SEARCH("Espeto",N598)),ISNUMBER(SEARCH("Carin",N598))),"SIM","")</f>
        <v/>
      </c>
      <c r="P598" s="92">
        <f>IF(AND(ISNUMBER(SEARCH("Espeto",N598)),ISNUMBER(SEARCH("Lapa",N598))),"SIM","")</f>
        <v/>
      </c>
      <c r="Q598" s="92">
        <f>IF(AND(ISNUMBER(SEARCH("Espeto",N598)),ISNUMBER(SEARCH("Tatuapé",N598))),"SIM","")</f>
        <v/>
      </c>
      <c r="R598" s="92">
        <f>IF(AND(ISNUMBER(SEARCH("Espeto",N598)),ISNUMBER(SEARCH("Pavão",N598))),"SIM","")</f>
        <v/>
      </c>
      <c r="S598" s="92">
        <f>IF(AND(ISNUMBER(SEARCH("Espeto",N598)),ISNUMBER(SEARCH("Chac",N598))),"SIM","")</f>
        <v/>
      </c>
      <c r="T598" s="92">
        <f>IF(AND(ISNUMBER(SEARCH("Espeto",N598)),ISNUMBER(SEARCH("Madalena",N598))),"SIM","")</f>
        <v/>
      </c>
      <c r="U598" s="92">
        <f>IF(AND(ISNUMBER(SEARCH("Espeto",N598)),ISNUMBER(SEARCH("Mariana",N598))),"SIM","")</f>
        <v/>
      </c>
      <c r="V598" s="92">
        <f>IF(AND(ISNUMBER(SEARCH("Espeto",N598)),ISNUMBER(SEARCH("Perdizes",N598))),"SIM","")</f>
        <v/>
      </c>
      <c r="W598" s="92">
        <f>IF(AND(ISNUMBER(SEARCH("Espeto",N598)),ISNUMBER(SEARCH("Santana",N598))),"SIM","")</f>
        <v/>
      </c>
      <c r="X598" s="92">
        <f>IF(AND(ISNUMBER(SEARCH("Espeto",N598)),ISNUMBER(SEARCH("André",N598))),"SIM","")</f>
        <v/>
      </c>
      <c r="Y598" s="92">
        <f>IF(AND(ISNUMBER(SEARCH("Delivery",N598)),ISNUMBER(SEARCH("Carin",N598))),"SIM","")</f>
        <v/>
      </c>
      <c r="Z598" s="92">
        <f>IF(AND(ISNUMBER(SEARCH("Delivery",N598)),ISNUMBER(SEARCH("Lapa",N598))),"SIM","")</f>
        <v/>
      </c>
      <c r="AA598" s="92">
        <f>IF(AND(ISNUMBER(SEARCH("Delivery",N598)),ISNUMBER(SEARCH("Tatuapé",N598))),"SIM","")</f>
        <v/>
      </c>
      <c r="AB598" s="92">
        <f>IF(AND(ISNUMBER(SEARCH("Delivery",N598)),ISNUMBER(SEARCH("Pavão",N598))),"SIM","")</f>
        <v/>
      </c>
      <c r="AC598" s="92">
        <f>IF(AND(ISNUMBER(SEARCH("Delivery",N598)),ISNUMBER(SEARCH("Chac",N598))),"SIM","")</f>
        <v/>
      </c>
      <c r="AD598" s="92">
        <f>IF(AND(ISNUMBER(SEARCH("Delivery",N598)),ISNUMBER(SEARCH("Madalena",N598))),"SIM","")</f>
        <v/>
      </c>
      <c r="AE598" s="99">
        <f>IF(AND(ISNUMBER(SEARCH("Delivery",N598)),ISNUMBER(SEARCH("Mariana",N598))),"SIM","")</f>
        <v/>
      </c>
      <c r="AF598" s="99">
        <f>IF(AND(ISNUMBER(SEARCH("Delivery",N598)),ISNUMBER(SEARCH("Perdizes",N598))),"SIM","")</f>
        <v/>
      </c>
      <c r="AG598" s="99">
        <f>IF(AND(ISNUMBER(SEARCH("Delivery",N598)),ISNUMBER(SEARCH("Santana",N598))),"SIM","")</f>
        <v/>
      </c>
      <c r="AH598" s="99">
        <f>IF(AND(ISNUMBER(SEARCH("Delivery",N598)),ISNUMBER(SEARCH("André",N598))),"SIM","")</f>
        <v/>
      </c>
      <c r="AI598" s="99">
        <f>IF(ISNUMBER(SEARCH("Interlagos",N598)),"SIM","")</f>
        <v/>
      </c>
      <c r="AJ598" s="99">
        <f>IF(ISNUMBER(SEARCH("Quiosque",N598)),"SIM","")</f>
        <v/>
      </c>
      <c r="AK598" s="101" t="n"/>
    </row>
    <row r="599">
      <c r="A599" s="88" t="inlineStr">
        <is>
          <t>Protheus</t>
        </is>
      </c>
      <c r="B599" s="96" t="inlineStr">
        <is>
          <t>001081</t>
        </is>
      </c>
      <c r="C599" s="97">
        <f>IF(B599="—","—",IFERROR(VLOOKUP(B599,_Protheus_Cadastro!$A:$B,2,FALSE),"—"))</f>
        <v/>
      </c>
      <c r="D599" s="98">
        <f>IF(B599="—",IFERROR(INDEX(_ZIG_Cadastro!$D:$D,MATCH(H599,_ZIG_Cadastro!$A:$A,0)),"Produto"),IFERROR(VLOOKUP(B599,_Protheus_Cadastro!$A:$C,3,FALSE),"—"))</f>
        <v/>
      </c>
      <c r="E599" s="98">
        <f>IF(B599="—","—",IFERROR(VLOOKUP(B599,_Protheus_Cadastro!$A:$D,4,FALSE),"—"))</f>
        <v/>
      </c>
      <c r="F599" s="98">
        <f>IF(ISERROR(VLOOKUP(B599,'Estrutura Protheus'!A:A,1,FALSE)),"Não","Sim")</f>
        <v/>
      </c>
      <c r="G599" s="99">
        <f>IFERROR(INDEX(_Protheus_Cadastro!$H:$H,MATCH(B599,_Protheus_Cadastro!$A:$A,0)),"—")</f>
        <v/>
      </c>
      <c r="H599" s="211">
        <f>IFERROR(INDEX(_ZIG_Precos!$D:$D,MATCH(I599,_ZIG_Precos!$F:$F,0)),"—")</f>
        <v/>
      </c>
      <c r="I599" s="103">
        <f>IFERROR(VLOOKUP(B599,_Protheus_Cadastro!$A:$I,9,FALSE),"—")</f>
        <v/>
      </c>
      <c r="J599" s="101">
        <f>IFERROR(INDEX(_ZIG_Cadastro!$B:$B,MATCH(I599,_ZIG_Cadastro!$A:$A,0)),IFERROR(INDEX(_Entradas_ZIG!$B:$B,MATCH(I599,_Entradas_ZIG!$C:$C,0)),"—"))</f>
        <v/>
      </c>
      <c r="K599" s="101">
        <f>IFERROR(INDEX(_ZIG_Cadastro!$C:$C,MATCH(I599,_ZIG_Cadastro!$A:$A,0)),IFERROR(INDEX(_Entradas_ZIG!$D:$D,MATCH(I599,_Entradas_ZIG!$C:$C,0)),"—"))</f>
        <v/>
      </c>
      <c r="L599" s="99">
        <f>IF(I599="","Sem SKU ZIG",IF(I599="—","Sem SKU ZIG",IF(NOT(ISERROR(MATCH(I599,_ZIG_Cadastro!$A:$A,0))),IF(EXACT(UPPER(TRIM(C599)),UPPER(TRIM(INDEX(_ZIG_Cadastro!$B:$B,MATCH(I599,_ZIG_Cadastro!$A:$A,0))))),"OK","Atencao - Nome diverge"),IF(NOT(ISERROR(MATCH(I599,_Entradas_ZIG!$C:$C,0))),"OK","Erro - SKU nao encontrado"))))</f>
        <v/>
      </c>
      <c r="M599" s="99">
        <f>IFERROR(INDEX(_ZIG_Cadastro!$G:$G,MATCH(I599,_ZIG_Cadastro!$A:$A,0)),IF(NOT(ISERROR(MATCH(I599,_Entradas_ZIG!$C:$C,0))),"Ativo","—"))</f>
        <v/>
      </c>
      <c r="N599" s="102">
        <f>IFERROR(INDEX(_ZIG_Cadastro!$E:$E,MATCH(I599,_ZIG_Cadastro!$A:$A,0)),IFERROR(INDEX(_Entradas_ZIG!$F:$F,MATCH(I599,_Entradas_ZIG!$C:$C,0)),"—"))</f>
        <v/>
      </c>
      <c r="O599" s="99">
        <f>IF(AND(ISNUMBER(SEARCH("Espeto",N599)),ISNUMBER(SEARCH("Carin",N599))),"SIM","")</f>
        <v/>
      </c>
      <c r="P599" s="99">
        <f>IF(AND(ISNUMBER(SEARCH("Espeto",N599)),ISNUMBER(SEARCH("Lapa",N599))),"SIM","")</f>
        <v/>
      </c>
      <c r="Q599" s="99">
        <f>IF(AND(ISNUMBER(SEARCH("Espeto",N599)),ISNUMBER(SEARCH("Tatuapé",N599))),"SIM","")</f>
        <v/>
      </c>
      <c r="R599" s="99">
        <f>IF(AND(ISNUMBER(SEARCH("Espeto",N599)),ISNUMBER(SEARCH("Pavão",N599))),"SIM","")</f>
        <v/>
      </c>
      <c r="S599" s="99">
        <f>IF(AND(ISNUMBER(SEARCH("Espeto",N599)),ISNUMBER(SEARCH("Chac",N599))),"SIM","")</f>
        <v/>
      </c>
      <c r="T599" s="99">
        <f>IF(AND(ISNUMBER(SEARCH("Espeto",N599)),ISNUMBER(SEARCH("Madalena",N599))),"SIM","")</f>
        <v/>
      </c>
      <c r="U599" s="99">
        <f>IF(AND(ISNUMBER(SEARCH("Espeto",N599)),ISNUMBER(SEARCH("Mariana",N599))),"SIM","")</f>
        <v/>
      </c>
      <c r="V599" s="99">
        <f>IF(AND(ISNUMBER(SEARCH("Espeto",N599)),ISNUMBER(SEARCH("Perdizes",N599))),"SIM","")</f>
        <v/>
      </c>
      <c r="W599" s="99">
        <f>IF(AND(ISNUMBER(SEARCH("Espeto",N599)),ISNUMBER(SEARCH("Santana",N599))),"SIM","")</f>
        <v/>
      </c>
      <c r="X599" s="99">
        <f>IF(AND(ISNUMBER(SEARCH("Espeto",N599)),ISNUMBER(SEARCH("André",N599))),"SIM","")</f>
        <v/>
      </c>
      <c r="Y599" s="99">
        <f>IF(AND(ISNUMBER(SEARCH("Delivery",N599)),ISNUMBER(SEARCH("Carin",N599))),"SIM","")</f>
        <v/>
      </c>
      <c r="Z599" s="99">
        <f>IF(AND(ISNUMBER(SEARCH("Delivery",N599)),ISNUMBER(SEARCH("Lapa",N599))),"SIM","")</f>
        <v/>
      </c>
      <c r="AA599" s="99">
        <f>IF(AND(ISNUMBER(SEARCH("Delivery",N599)),ISNUMBER(SEARCH("Tatuapé",N599))),"SIM","")</f>
        <v/>
      </c>
      <c r="AB599" s="99">
        <f>IF(AND(ISNUMBER(SEARCH("Delivery",N599)),ISNUMBER(SEARCH("Pavão",N599))),"SIM","")</f>
        <v/>
      </c>
      <c r="AC599" s="99">
        <f>IF(AND(ISNUMBER(SEARCH("Delivery",N599)),ISNUMBER(SEARCH("Chac",N599))),"SIM","")</f>
        <v/>
      </c>
      <c r="AD599" s="99">
        <f>IF(AND(ISNUMBER(SEARCH("Delivery",N599)),ISNUMBER(SEARCH("Madalena",N599))),"SIM","")</f>
        <v/>
      </c>
      <c r="AE599" s="92">
        <f>IF(AND(ISNUMBER(SEARCH("Delivery",N599)),ISNUMBER(SEARCH("Mariana",N599))),"SIM","")</f>
        <v/>
      </c>
      <c r="AF599" s="92">
        <f>IF(AND(ISNUMBER(SEARCH("Delivery",N599)),ISNUMBER(SEARCH("Perdizes",N599))),"SIM","")</f>
        <v/>
      </c>
      <c r="AG599" s="92">
        <f>IF(AND(ISNUMBER(SEARCH("Delivery",N599)),ISNUMBER(SEARCH("Santana",N599))),"SIM","")</f>
        <v/>
      </c>
      <c r="AH599" s="92">
        <f>IF(AND(ISNUMBER(SEARCH("Delivery",N599)),ISNUMBER(SEARCH("André",N599))),"SIM","")</f>
        <v/>
      </c>
      <c r="AI599" s="92">
        <f>IF(ISNUMBER(SEARCH("Interlagos",N599)),"SIM","")</f>
        <v/>
      </c>
      <c r="AJ599" s="92">
        <f>IF(ISNUMBER(SEARCH("Quiosque",N599)),"SIM","")</f>
        <v/>
      </c>
      <c r="AK599" s="93" t="n"/>
    </row>
    <row r="600">
      <c r="A600" s="88" t="inlineStr">
        <is>
          <t>Protheus</t>
        </is>
      </c>
      <c r="B600" s="89" t="inlineStr">
        <is>
          <t>010092</t>
        </is>
      </c>
      <c r="C600" s="90">
        <f>IF(B600="—","—",IFERROR(VLOOKUP(B600,_Protheus_Cadastro!$A:$B,2,FALSE),"—"))</f>
        <v/>
      </c>
      <c r="D600" s="91">
        <f>IF(B600="—",IFERROR(INDEX(_ZIG_Cadastro!$D:$D,MATCH(H600,_ZIG_Cadastro!$A:$A,0)),"Produto"),IFERROR(VLOOKUP(B600,_Protheus_Cadastro!$A:$C,3,FALSE),"—"))</f>
        <v/>
      </c>
      <c r="E600" s="91">
        <f>IF(B600="—","—",IFERROR(VLOOKUP(B600,_Protheus_Cadastro!$A:$D,4,FALSE),"—"))</f>
        <v/>
      </c>
      <c r="F600" s="91">
        <f>IF(ISERROR(VLOOKUP(B600,'Estrutura Protheus'!A:A,1,FALSE)),"Não","Sim")</f>
        <v/>
      </c>
      <c r="G600" s="92">
        <f>IFERROR(INDEX(_Protheus_Cadastro!$H:$H,MATCH(B600,_Protheus_Cadastro!$A:$A,0)),"—")</f>
        <v/>
      </c>
      <c r="H600" s="210">
        <f>IFERROR(INDEX(_ZIG_Precos!$D:$D,MATCH(I600,_ZIG_Precos!$F:$F,0)),"—")</f>
        <v/>
      </c>
      <c r="I600" s="95">
        <f>IFERROR(VLOOKUP(B600,_Protheus_Cadastro!$A:$I,9,FALSE),"—")</f>
        <v/>
      </c>
      <c r="J600" s="93">
        <f>IFERROR(INDEX(_ZIG_Cadastro!$B:$B,MATCH(I600,_ZIG_Cadastro!$A:$A,0)),IFERROR(INDEX(_Entradas_ZIG!$B:$B,MATCH(I600,_Entradas_ZIG!$C:$C,0)),"—"))</f>
        <v/>
      </c>
      <c r="K600" s="93">
        <f>IFERROR(INDEX(_ZIG_Cadastro!$C:$C,MATCH(I600,_ZIG_Cadastro!$A:$A,0)),IFERROR(INDEX(_Entradas_ZIG!$D:$D,MATCH(I600,_Entradas_ZIG!$C:$C,0)),"—"))</f>
        <v/>
      </c>
      <c r="L600" s="92">
        <f>IF(I600="","Sem SKU ZIG",IF(I600="—","Sem SKU ZIG",IF(NOT(ISERROR(MATCH(I600,_ZIG_Cadastro!$A:$A,0))),IF(EXACT(UPPER(TRIM(C600)),UPPER(TRIM(INDEX(_ZIG_Cadastro!$B:$B,MATCH(I600,_ZIG_Cadastro!$A:$A,0))))),"OK","Atencao - Nome diverge"),IF(NOT(ISERROR(MATCH(I600,_Entradas_ZIG!$C:$C,0))),"OK","Erro - SKU nao encontrado"))))</f>
        <v/>
      </c>
      <c r="M600" s="92">
        <f>IFERROR(INDEX(_ZIG_Cadastro!$G:$G,MATCH(I600,_ZIG_Cadastro!$A:$A,0)),IF(NOT(ISERROR(MATCH(I600,_Entradas_ZIG!$C:$C,0))),"Ativo","—"))</f>
        <v/>
      </c>
      <c r="N600" s="94">
        <f>IFERROR(INDEX(_ZIG_Cadastro!$E:$E,MATCH(I600,_ZIG_Cadastro!$A:$A,0)),IFERROR(INDEX(_Entradas_ZIG!$F:$F,MATCH(I600,_Entradas_ZIG!$C:$C,0)),"—"))</f>
        <v/>
      </c>
      <c r="O600" s="92">
        <f>IF(AND(ISNUMBER(SEARCH("Espeto",N600)),ISNUMBER(SEARCH("Carin",N600))),"SIM","")</f>
        <v/>
      </c>
      <c r="P600" s="92">
        <f>IF(AND(ISNUMBER(SEARCH("Espeto",N600)),ISNUMBER(SEARCH("Lapa",N600))),"SIM","")</f>
        <v/>
      </c>
      <c r="Q600" s="92">
        <f>IF(AND(ISNUMBER(SEARCH("Espeto",N600)),ISNUMBER(SEARCH("Tatuapé",N600))),"SIM","")</f>
        <v/>
      </c>
      <c r="R600" s="92">
        <f>IF(AND(ISNUMBER(SEARCH("Espeto",N600)),ISNUMBER(SEARCH("Pavão",N600))),"SIM","")</f>
        <v/>
      </c>
      <c r="S600" s="92">
        <f>IF(AND(ISNUMBER(SEARCH("Espeto",N600)),ISNUMBER(SEARCH("Chac",N600))),"SIM","")</f>
        <v/>
      </c>
      <c r="T600" s="92">
        <f>IF(AND(ISNUMBER(SEARCH("Espeto",N600)),ISNUMBER(SEARCH("Madalena",N600))),"SIM","")</f>
        <v/>
      </c>
      <c r="U600" s="92">
        <f>IF(AND(ISNUMBER(SEARCH("Espeto",N600)),ISNUMBER(SEARCH("Mariana",N600))),"SIM","")</f>
        <v/>
      </c>
      <c r="V600" s="92">
        <f>IF(AND(ISNUMBER(SEARCH("Espeto",N600)),ISNUMBER(SEARCH("Perdizes",N600))),"SIM","")</f>
        <v/>
      </c>
      <c r="W600" s="92">
        <f>IF(AND(ISNUMBER(SEARCH("Espeto",N600)),ISNUMBER(SEARCH("Santana",N600))),"SIM","")</f>
        <v/>
      </c>
      <c r="X600" s="92">
        <f>IF(AND(ISNUMBER(SEARCH("Espeto",N600)),ISNUMBER(SEARCH("André",N600))),"SIM","")</f>
        <v/>
      </c>
      <c r="Y600" s="92">
        <f>IF(AND(ISNUMBER(SEARCH("Delivery",N600)),ISNUMBER(SEARCH("Carin",N600))),"SIM","")</f>
        <v/>
      </c>
      <c r="Z600" s="92">
        <f>IF(AND(ISNUMBER(SEARCH("Delivery",N600)),ISNUMBER(SEARCH("Lapa",N600))),"SIM","")</f>
        <v/>
      </c>
      <c r="AA600" s="92">
        <f>IF(AND(ISNUMBER(SEARCH("Delivery",N600)),ISNUMBER(SEARCH("Tatuapé",N600))),"SIM","")</f>
        <v/>
      </c>
      <c r="AB600" s="92">
        <f>IF(AND(ISNUMBER(SEARCH("Delivery",N600)),ISNUMBER(SEARCH("Pavão",N600))),"SIM","")</f>
        <v/>
      </c>
      <c r="AC600" s="92">
        <f>IF(AND(ISNUMBER(SEARCH("Delivery",N600)),ISNUMBER(SEARCH("Chac",N600))),"SIM","")</f>
        <v/>
      </c>
      <c r="AD600" s="92">
        <f>IF(AND(ISNUMBER(SEARCH("Delivery",N600)),ISNUMBER(SEARCH("Madalena",N600))),"SIM","")</f>
        <v/>
      </c>
      <c r="AE600" s="99">
        <f>IF(AND(ISNUMBER(SEARCH("Delivery",N600)),ISNUMBER(SEARCH("Mariana",N600))),"SIM","")</f>
        <v/>
      </c>
      <c r="AF600" s="99">
        <f>IF(AND(ISNUMBER(SEARCH("Delivery",N600)),ISNUMBER(SEARCH("Perdizes",N600))),"SIM","")</f>
        <v/>
      </c>
      <c r="AG600" s="99">
        <f>IF(AND(ISNUMBER(SEARCH("Delivery",N600)),ISNUMBER(SEARCH("Santana",N600))),"SIM","")</f>
        <v/>
      </c>
      <c r="AH600" s="99">
        <f>IF(AND(ISNUMBER(SEARCH("Delivery",N600)),ISNUMBER(SEARCH("André",N600))),"SIM","")</f>
        <v/>
      </c>
      <c r="AI600" s="99">
        <f>IF(ISNUMBER(SEARCH("Interlagos",N600)),"SIM","")</f>
        <v/>
      </c>
      <c r="AJ600" s="99">
        <f>IF(ISNUMBER(SEARCH("Quiosque",N600)),"SIM","")</f>
        <v/>
      </c>
      <c r="AK600" s="101" t="n"/>
    </row>
    <row r="601">
      <c r="A601" s="88" t="inlineStr">
        <is>
          <t>Protheus</t>
        </is>
      </c>
      <c r="B601" s="96" t="inlineStr">
        <is>
          <t>001082</t>
        </is>
      </c>
      <c r="C601" s="97">
        <f>IF(B601="—","—",IFERROR(VLOOKUP(B601,_Protheus_Cadastro!$A:$B,2,FALSE),"—"))</f>
        <v/>
      </c>
      <c r="D601" s="98">
        <f>IF(B601="—",IFERROR(INDEX(_ZIG_Cadastro!$D:$D,MATCH(H601,_ZIG_Cadastro!$A:$A,0)),"Produto"),IFERROR(VLOOKUP(B601,_Protheus_Cadastro!$A:$C,3,FALSE),"—"))</f>
        <v/>
      </c>
      <c r="E601" s="98">
        <f>IF(B601="—","—",IFERROR(VLOOKUP(B601,_Protheus_Cadastro!$A:$D,4,FALSE),"—"))</f>
        <v/>
      </c>
      <c r="F601" s="98">
        <f>IF(ISERROR(VLOOKUP(B601,'Estrutura Protheus'!A:A,1,FALSE)),"Não","Sim")</f>
        <v/>
      </c>
      <c r="G601" s="99">
        <f>IFERROR(INDEX(_Protheus_Cadastro!$H:$H,MATCH(B601,_Protheus_Cadastro!$A:$A,0)),"—")</f>
        <v/>
      </c>
      <c r="H601" s="211">
        <f>IFERROR(INDEX(_ZIG_Precos!$D:$D,MATCH(I601,_ZIG_Precos!$F:$F,0)),"—")</f>
        <v/>
      </c>
      <c r="I601" s="103">
        <f>IFERROR(VLOOKUP(B601,_Protheus_Cadastro!$A:$I,9,FALSE),"—")</f>
        <v/>
      </c>
      <c r="J601" s="101">
        <f>IFERROR(INDEX(_ZIG_Cadastro!$B:$B,MATCH(I601,_ZIG_Cadastro!$A:$A,0)),IFERROR(INDEX(_Entradas_ZIG!$B:$B,MATCH(I601,_Entradas_ZIG!$C:$C,0)),"—"))</f>
        <v/>
      </c>
      <c r="K601" s="101">
        <f>IFERROR(INDEX(_ZIG_Cadastro!$C:$C,MATCH(I601,_ZIG_Cadastro!$A:$A,0)),IFERROR(INDEX(_Entradas_ZIG!$D:$D,MATCH(I601,_Entradas_ZIG!$C:$C,0)),"—"))</f>
        <v/>
      </c>
      <c r="L601" s="99">
        <f>IF(I601="","Sem SKU ZIG",IF(I601="—","Sem SKU ZIG",IF(NOT(ISERROR(MATCH(I601,_ZIG_Cadastro!$A:$A,0))),IF(EXACT(UPPER(TRIM(C601)),UPPER(TRIM(INDEX(_ZIG_Cadastro!$B:$B,MATCH(I601,_ZIG_Cadastro!$A:$A,0))))),"OK","Atencao - Nome diverge"),IF(NOT(ISERROR(MATCH(I601,_Entradas_ZIG!$C:$C,0))),"OK","Erro - SKU nao encontrado"))))</f>
        <v/>
      </c>
      <c r="M601" s="99">
        <f>IFERROR(INDEX(_ZIG_Cadastro!$G:$G,MATCH(I601,_ZIG_Cadastro!$A:$A,0)),IF(NOT(ISERROR(MATCH(I601,_Entradas_ZIG!$C:$C,0))),"Ativo","—"))</f>
        <v/>
      </c>
      <c r="N601" s="102">
        <f>IFERROR(INDEX(_ZIG_Cadastro!$E:$E,MATCH(I601,_ZIG_Cadastro!$A:$A,0)),IFERROR(INDEX(_Entradas_ZIG!$F:$F,MATCH(I601,_Entradas_ZIG!$C:$C,0)),"—"))</f>
        <v/>
      </c>
      <c r="O601" s="99">
        <f>IF(AND(ISNUMBER(SEARCH("Espeto",N601)),ISNUMBER(SEARCH("Carin",N601))),"SIM","")</f>
        <v/>
      </c>
      <c r="P601" s="99">
        <f>IF(AND(ISNUMBER(SEARCH("Espeto",N601)),ISNUMBER(SEARCH("Lapa",N601))),"SIM","")</f>
        <v/>
      </c>
      <c r="Q601" s="99">
        <f>IF(AND(ISNUMBER(SEARCH("Espeto",N601)),ISNUMBER(SEARCH("Tatuapé",N601))),"SIM","")</f>
        <v/>
      </c>
      <c r="R601" s="99">
        <f>IF(AND(ISNUMBER(SEARCH("Espeto",N601)),ISNUMBER(SEARCH("Pavão",N601))),"SIM","")</f>
        <v/>
      </c>
      <c r="S601" s="99">
        <f>IF(AND(ISNUMBER(SEARCH("Espeto",N601)),ISNUMBER(SEARCH("Chac",N601))),"SIM","")</f>
        <v/>
      </c>
      <c r="T601" s="99">
        <f>IF(AND(ISNUMBER(SEARCH("Espeto",N601)),ISNUMBER(SEARCH("Madalena",N601))),"SIM","")</f>
        <v/>
      </c>
      <c r="U601" s="99">
        <f>IF(AND(ISNUMBER(SEARCH("Espeto",N601)),ISNUMBER(SEARCH("Mariana",N601))),"SIM","")</f>
        <v/>
      </c>
      <c r="V601" s="99">
        <f>IF(AND(ISNUMBER(SEARCH("Espeto",N601)),ISNUMBER(SEARCH("Perdizes",N601))),"SIM","")</f>
        <v/>
      </c>
      <c r="W601" s="99">
        <f>IF(AND(ISNUMBER(SEARCH("Espeto",N601)),ISNUMBER(SEARCH("Santana",N601))),"SIM","")</f>
        <v/>
      </c>
      <c r="X601" s="99">
        <f>IF(AND(ISNUMBER(SEARCH("Espeto",N601)),ISNUMBER(SEARCH("André",N601))),"SIM","")</f>
        <v/>
      </c>
      <c r="Y601" s="99">
        <f>IF(AND(ISNUMBER(SEARCH("Delivery",N601)),ISNUMBER(SEARCH("Carin",N601))),"SIM","")</f>
        <v/>
      </c>
      <c r="Z601" s="99">
        <f>IF(AND(ISNUMBER(SEARCH("Delivery",N601)),ISNUMBER(SEARCH("Lapa",N601))),"SIM","")</f>
        <v/>
      </c>
      <c r="AA601" s="99">
        <f>IF(AND(ISNUMBER(SEARCH("Delivery",N601)),ISNUMBER(SEARCH("Tatuapé",N601))),"SIM","")</f>
        <v/>
      </c>
      <c r="AB601" s="99">
        <f>IF(AND(ISNUMBER(SEARCH("Delivery",N601)),ISNUMBER(SEARCH("Pavão",N601))),"SIM","")</f>
        <v/>
      </c>
      <c r="AC601" s="99">
        <f>IF(AND(ISNUMBER(SEARCH("Delivery",N601)),ISNUMBER(SEARCH("Chac",N601))),"SIM","")</f>
        <v/>
      </c>
      <c r="AD601" s="99">
        <f>IF(AND(ISNUMBER(SEARCH("Delivery",N601)),ISNUMBER(SEARCH("Madalena",N601))),"SIM","")</f>
        <v/>
      </c>
      <c r="AE601" s="92">
        <f>IF(AND(ISNUMBER(SEARCH("Delivery",N601)),ISNUMBER(SEARCH("Mariana",N601))),"SIM","")</f>
        <v/>
      </c>
      <c r="AF601" s="92">
        <f>IF(AND(ISNUMBER(SEARCH("Delivery",N601)),ISNUMBER(SEARCH("Perdizes",N601))),"SIM","")</f>
        <v/>
      </c>
      <c r="AG601" s="92">
        <f>IF(AND(ISNUMBER(SEARCH("Delivery",N601)),ISNUMBER(SEARCH("Santana",N601))),"SIM","")</f>
        <v/>
      </c>
      <c r="AH601" s="92">
        <f>IF(AND(ISNUMBER(SEARCH("Delivery",N601)),ISNUMBER(SEARCH("André",N601))),"SIM","")</f>
        <v/>
      </c>
      <c r="AI601" s="92">
        <f>IF(ISNUMBER(SEARCH("Interlagos",N601)),"SIM","")</f>
        <v/>
      </c>
      <c r="AJ601" s="92">
        <f>IF(ISNUMBER(SEARCH("Quiosque",N601)),"SIM","")</f>
        <v/>
      </c>
      <c r="AK601" s="93" t="n"/>
    </row>
    <row r="602">
      <c r="A602" s="88" t="inlineStr">
        <is>
          <t>Protheus</t>
        </is>
      </c>
      <c r="B602" s="89" t="inlineStr">
        <is>
          <t>000010</t>
        </is>
      </c>
      <c r="C602" s="90">
        <f>IF(B602="—","—",IFERROR(VLOOKUP(B602,_Protheus_Cadastro!$A:$B,2,FALSE),"—"))</f>
        <v/>
      </c>
      <c r="D602" s="91">
        <f>IF(B602="—",IFERROR(INDEX(_ZIG_Cadastro!$D:$D,MATCH(H602,_ZIG_Cadastro!$A:$A,0)),"Produto"),IFERROR(VLOOKUP(B602,_Protheus_Cadastro!$A:$C,3,FALSE),"—"))</f>
        <v/>
      </c>
      <c r="E602" s="91">
        <f>IF(B602="—","—",IFERROR(VLOOKUP(B602,_Protheus_Cadastro!$A:$D,4,FALSE),"—"))</f>
        <v/>
      </c>
      <c r="F602" s="91">
        <f>IF(ISERROR(VLOOKUP(B602,'Estrutura Protheus'!A:A,1,FALSE)),"Não","Sim")</f>
        <v/>
      </c>
      <c r="G602" s="92">
        <f>IFERROR(INDEX(_Protheus_Cadastro!$H:$H,MATCH(B602,_Protheus_Cadastro!$A:$A,0)),"—")</f>
        <v/>
      </c>
      <c r="H602" s="210">
        <f>IFERROR(INDEX(_ZIG_Precos!$D:$D,MATCH(I602,_ZIG_Precos!$F:$F,0)),"—")</f>
        <v/>
      </c>
      <c r="I602" s="95">
        <f>IFERROR(VLOOKUP(B602,_Protheus_Cadastro!$A:$I,9,FALSE),"—")</f>
        <v/>
      </c>
      <c r="J602" s="93">
        <f>IFERROR(INDEX(_ZIG_Cadastro!$B:$B,MATCH(I602,_ZIG_Cadastro!$A:$A,0)),IFERROR(INDEX(_Entradas_ZIG!$B:$B,MATCH(I602,_Entradas_ZIG!$C:$C,0)),"—"))</f>
        <v/>
      </c>
      <c r="K602" s="93">
        <f>IFERROR(INDEX(_ZIG_Cadastro!$C:$C,MATCH(I602,_ZIG_Cadastro!$A:$A,0)),IFERROR(INDEX(_Entradas_ZIG!$D:$D,MATCH(I602,_Entradas_ZIG!$C:$C,0)),"—"))</f>
        <v/>
      </c>
      <c r="L602" s="92">
        <f>IF(I602="","Sem SKU ZIG",IF(I602="—","Sem SKU ZIG",IF(NOT(ISERROR(MATCH(I602,_ZIG_Cadastro!$A:$A,0))),IF(EXACT(UPPER(TRIM(C602)),UPPER(TRIM(INDEX(_ZIG_Cadastro!$B:$B,MATCH(I602,_ZIG_Cadastro!$A:$A,0))))),"OK","Atencao - Nome diverge"),IF(NOT(ISERROR(MATCH(I602,_Entradas_ZIG!$C:$C,0))),"OK","Erro - SKU nao encontrado"))))</f>
        <v/>
      </c>
      <c r="M602" s="92">
        <f>IFERROR(INDEX(_ZIG_Cadastro!$G:$G,MATCH(I602,_ZIG_Cadastro!$A:$A,0)),IF(NOT(ISERROR(MATCH(I602,_Entradas_ZIG!$C:$C,0))),"Ativo","—"))</f>
        <v/>
      </c>
      <c r="N602" s="94">
        <f>IFERROR(INDEX(_ZIG_Cadastro!$E:$E,MATCH(I602,_ZIG_Cadastro!$A:$A,0)),IFERROR(INDEX(_Entradas_ZIG!$F:$F,MATCH(I602,_Entradas_ZIG!$C:$C,0)),"—"))</f>
        <v/>
      </c>
      <c r="O602" s="92">
        <f>IF(AND(ISNUMBER(SEARCH("Espeto",N602)),ISNUMBER(SEARCH("Carin",N602))),"SIM","")</f>
        <v/>
      </c>
      <c r="P602" s="92">
        <f>IF(AND(ISNUMBER(SEARCH("Espeto",N602)),ISNUMBER(SEARCH("Lapa",N602))),"SIM","")</f>
        <v/>
      </c>
      <c r="Q602" s="92">
        <f>IF(AND(ISNUMBER(SEARCH("Espeto",N602)),ISNUMBER(SEARCH("Tatuapé",N602))),"SIM","")</f>
        <v/>
      </c>
      <c r="R602" s="92">
        <f>IF(AND(ISNUMBER(SEARCH("Espeto",N602)),ISNUMBER(SEARCH("Pavão",N602))),"SIM","")</f>
        <v/>
      </c>
      <c r="S602" s="92">
        <f>IF(AND(ISNUMBER(SEARCH("Espeto",N602)),ISNUMBER(SEARCH("Chac",N602))),"SIM","")</f>
        <v/>
      </c>
      <c r="T602" s="92">
        <f>IF(AND(ISNUMBER(SEARCH("Espeto",N602)),ISNUMBER(SEARCH("Madalena",N602))),"SIM","")</f>
        <v/>
      </c>
      <c r="U602" s="92">
        <f>IF(AND(ISNUMBER(SEARCH("Espeto",N602)),ISNUMBER(SEARCH("Mariana",N602))),"SIM","")</f>
        <v/>
      </c>
      <c r="V602" s="92">
        <f>IF(AND(ISNUMBER(SEARCH("Espeto",N602)),ISNUMBER(SEARCH("Perdizes",N602))),"SIM","")</f>
        <v/>
      </c>
      <c r="W602" s="92">
        <f>IF(AND(ISNUMBER(SEARCH("Espeto",N602)),ISNUMBER(SEARCH("Santana",N602))),"SIM","")</f>
        <v/>
      </c>
      <c r="X602" s="92">
        <f>IF(AND(ISNUMBER(SEARCH("Espeto",N602)),ISNUMBER(SEARCH("André",N602))),"SIM","")</f>
        <v/>
      </c>
      <c r="Y602" s="92">
        <f>IF(AND(ISNUMBER(SEARCH("Delivery",N602)),ISNUMBER(SEARCH("Carin",N602))),"SIM","")</f>
        <v/>
      </c>
      <c r="Z602" s="92">
        <f>IF(AND(ISNUMBER(SEARCH("Delivery",N602)),ISNUMBER(SEARCH("Lapa",N602))),"SIM","")</f>
        <v/>
      </c>
      <c r="AA602" s="92">
        <f>IF(AND(ISNUMBER(SEARCH("Delivery",N602)),ISNUMBER(SEARCH("Tatuapé",N602))),"SIM","")</f>
        <v/>
      </c>
      <c r="AB602" s="92">
        <f>IF(AND(ISNUMBER(SEARCH("Delivery",N602)),ISNUMBER(SEARCH("Pavão",N602))),"SIM","")</f>
        <v/>
      </c>
      <c r="AC602" s="92">
        <f>IF(AND(ISNUMBER(SEARCH("Delivery",N602)),ISNUMBER(SEARCH("Chac",N602))),"SIM","")</f>
        <v/>
      </c>
      <c r="AD602" s="92">
        <f>IF(AND(ISNUMBER(SEARCH("Delivery",N602)),ISNUMBER(SEARCH("Madalena",N602))),"SIM","")</f>
        <v/>
      </c>
      <c r="AE602" s="99">
        <f>IF(AND(ISNUMBER(SEARCH("Delivery",N602)),ISNUMBER(SEARCH("Mariana",N602))),"SIM","")</f>
        <v/>
      </c>
      <c r="AF602" s="99">
        <f>IF(AND(ISNUMBER(SEARCH("Delivery",N602)),ISNUMBER(SEARCH("Perdizes",N602))),"SIM","")</f>
        <v/>
      </c>
      <c r="AG602" s="99">
        <f>IF(AND(ISNUMBER(SEARCH("Delivery",N602)),ISNUMBER(SEARCH("Santana",N602))),"SIM","")</f>
        <v/>
      </c>
      <c r="AH602" s="99">
        <f>IF(AND(ISNUMBER(SEARCH("Delivery",N602)),ISNUMBER(SEARCH("André",N602))),"SIM","")</f>
        <v/>
      </c>
      <c r="AI602" s="99">
        <f>IF(ISNUMBER(SEARCH("Interlagos",N602)),"SIM","")</f>
        <v/>
      </c>
      <c r="AJ602" s="99">
        <f>IF(ISNUMBER(SEARCH("Quiosque",N602)),"SIM","")</f>
        <v/>
      </c>
      <c r="AK602" s="101" t="n"/>
    </row>
    <row r="603">
      <c r="A603" s="88" t="inlineStr">
        <is>
          <t>Protheus</t>
        </is>
      </c>
      <c r="B603" s="96" t="inlineStr">
        <is>
          <t>000797</t>
        </is>
      </c>
      <c r="C603" s="97">
        <f>IF(B603="—","—",IFERROR(VLOOKUP(B603,_Protheus_Cadastro!$A:$B,2,FALSE),"—"))</f>
        <v/>
      </c>
      <c r="D603" s="98">
        <f>IF(B603="—",IFERROR(INDEX(_ZIG_Cadastro!$D:$D,MATCH(H603,_ZIG_Cadastro!$A:$A,0)),"Produto"),IFERROR(VLOOKUP(B603,_Protheus_Cadastro!$A:$C,3,FALSE),"—"))</f>
        <v/>
      </c>
      <c r="E603" s="98">
        <f>IF(B603="—","—",IFERROR(VLOOKUP(B603,_Protheus_Cadastro!$A:$D,4,FALSE),"—"))</f>
        <v/>
      </c>
      <c r="F603" s="98">
        <f>IF(ISERROR(VLOOKUP(B603,'Estrutura Protheus'!A:A,1,FALSE)),"Não","Sim")</f>
        <v/>
      </c>
      <c r="G603" s="99">
        <f>IFERROR(INDEX(_Protheus_Cadastro!$H:$H,MATCH(B603,_Protheus_Cadastro!$A:$A,0)),"—")</f>
        <v/>
      </c>
      <c r="H603" s="211">
        <f>IFERROR(INDEX(_ZIG_Precos!$D:$D,MATCH(I603,_ZIG_Precos!$F:$F,0)),"—")</f>
        <v/>
      </c>
      <c r="I603" s="103">
        <f>IFERROR(VLOOKUP(B603,_Protheus_Cadastro!$A:$I,9,FALSE),"—")</f>
        <v/>
      </c>
      <c r="J603" s="101">
        <f>IFERROR(INDEX(_ZIG_Cadastro!$B:$B,MATCH(I603,_ZIG_Cadastro!$A:$A,0)),IFERROR(INDEX(_Entradas_ZIG!$B:$B,MATCH(I603,_Entradas_ZIG!$C:$C,0)),"—"))</f>
        <v/>
      </c>
      <c r="K603" s="101">
        <f>IFERROR(INDEX(_ZIG_Cadastro!$C:$C,MATCH(I603,_ZIG_Cadastro!$A:$A,0)),IFERROR(INDEX(_Entradas_ZIG!$D:$D,MATCH(I603,_Entradas_ZIG!$C:$C,0)),"—"))</f>
        <v/>
      </c>
      <c r="L603" s="99">
        <f>IF(I603="","Sem SKU ZIG",IF(I603="—","Sem SKU ZIG",IF(NOT(ISERROR(MATCH(I603,_ZIG_Cadastro!$A:$A,0))),IF(EXACT(UPPER(TRIM(C603)),UPPER(TRIM(INDEX(_ZIG_Cadastro!$B:$B,MATCH(I603,_ZIG_Cadastro!$A:$A,0))))),"OK","Atencao - Nome diverge"),IF(NOT(ISERROR(MATCH(I603,_Entradas_ZIG!$C:$C,0))),"OK","Erro - SKU nao encontrado"))))</f>
        <v/>
      </c>
      <c r="M603" s="99">
        <f>IFERROR(INDEX(_ZIG_Cadastro!$G:$G,MATCH(I603,_ZIG_Cadastro!$A:$A,0)),IF(NOT(ISERROR(MATCH(I603,_Entradas_ZIG!$C:$C,0))),"Ativo","—"))</f>
        <v/>
      </c>
      <c r="N603" s="102">
        <f>IFERROR(INDEX(_ZIG_Cadastro!$E:$E,MATCH(I603,_ZIG_Cadastro!$A:$A,0)),IFERROR(INDEX(_Entradas_ZIG!$F:$F,MATCH(I603,_Entradas_ZIG!$C:$C,0)),"—"))</f>
        <v/>
      </c>
      <c r="O603" s="99">
        <f>IF(AND(ISNUMBER(SEARCH("Espeto",N603)),ISNUMBER(SEARCH("Carin",N603))),"SIM","")</f>
        <v/>
      </c>
      <c r="P603" s="99">
        <f>IF(AND(ISNUMBER(SEARCH("Espeto",N603)),ISNUMBER(SEARCH("Lapa",N603))),"SIM","")</f>
        <v/>
      </c>
      <c r="Q603" s="99">
        <f>IF(AND(ISNUMBER(SEARCH("Espeto",N603)),ISNUMBER(SEARCH("Tatuapé",N603))),"SIM","")</f>
        <v/>
      </c>
      <c r="R603" s="99">
        <f>IF(AND(ISNUMBER(SEARCH("Espeto",N603)),ISNUMBER(SEARCH("Pavão",N603))),"SIM","")</f>
        <v/>
      </c>
      <c r="S603" s="99">
        <f>IF(AND(ISNUMBER(SEARCH("Espeto",N603)),ISNUMBER(SEARCH("Chac",N603))),"SIM","")</f>
        <v/>
      </c>
      <c r="T603" s="99">
        <f>IF(AND(ISNUMBER(SEARCH("Espeto",N603)),ISNUMBER(SEARCH("Madalena",N603))),"SIM","")</f>
        <v/>
      </c>
      <c r="U603" s="99">
        <f>IF(AND(ISNUMBER(SEARCH("Espeto",N603)),ISNUMBER(SEARCH("Mariana",N603))),"SIM","")</f>
        <v/>
      </c>
      <c r="V603" s="99">
        <f>IF(AND(ISNUMBER(SEARCH("Espeto",N603)),ISNUMBER(SEARCH("Perdizes",N603))),"SIM","")</f>
        <v/>
      </c>
      <c r="W603" s="99">
        <f>IF(AND(ISNUMBER(SEARCH("Espeto",N603)),ISNUMBER(SEARCH("Santana",N603))),"SIM","")</f>
        <v/>
      </c>
      <c r="X603" s="99">
        <f>IF(AND(ISNUMBER(SEARCH("Espeto",N603)),ISNUMBER(SEARCH("André",N603))),"SIM","")</f>
        <v/>
      </c>
      <c r="Y603" s="99">
        <f>IF(AND(ISNUMBER(SEARCH("Delivery",N603)),ISNUMBER(SEARCH("Carin",N603))),"SIM","")</f>
        <v/>
      </c>
      <c r="Z603" s="99">
        <f>IF(AND(ISNUMBER(SEARCH("Delivery",N603)),ISNUMBER(SEARCH("Lapa",N603))),"SIM","")</f>
        <v/>
      </c>
      <c r="AA603" s="99">
        <f>IF(AND(ISNUMBER(SEARCH("Delivery",N603)),ISNUMBER(SEARCH("Tatuapé",N603))),"SIM","")</f>
        <v/>
      </c>
      <c r="AB603" s="99">
        <f>IF(AND(ISNUMBER(SEARCH("Delivery",N603)),ISNUMBER(SEARCH("Pavão",N603))),"SIM","")</f>
        <v/>
      </c>
      <c r="AC603" s="99">
        <f>IF(AND(ISNUMBER(SEARCH("Delivery",N603)),ISNUMBER(SEARCH("Chac",N603))),"SIM","")</f>
        <v/>
      </c>
      <c r="AD603" s="99">
        <f>IF(AND(ISNUMBER(SEARCH("Delivery",N603)),ISNUMBER(SEARCH("Madalena",N603))),"SIM","")</f>
        <v/>
      </c>
      <c r="AE603" s="92">
        <f>IF(AND(ISNUMBER(SEARCH("Delivery",N603)),ISNUMBER(SEARCH("Mariana",N603))),"SIM","")</f>
        <v/>
      </c>
      <c r="AF603" s="92">
        <f>IF(AND(ISNUMBER(SEARCH("Delivery",N603)),ISNUMBER(SEARCH("Perdizes",N603))),"SIM","")</f>
        <v/>
      </c>
      <c r="AG603" s="92">
        <f>IF(AND(ISNUMBER(SEARCH("Delivery",N603)),ISNUMBER(SEARCH("Santana",N603))),"SIM","")</f>
        <v/>
      </c>
      <c r="AH603" s="92">
        <f>IF(AND(ISNUMBER(SEARCH("Delivery",N603)),ISNUMBER(SEARCH("André",N603))),"SIM","")</f>
        <v/>
      </c>
      <c r="AI603" s="92">
        <f>IF(ISNUMBER(SEARCH("Interlagos",N603)),"SIM","")</f>
        <v/>
      </c>
      <c r="AJ603" s="92">
        <f>IF(ISNUMBER(SEARCH("Quiosque",N603)),"SIM","")</f>
        <v/>
      </c>
      <c r="AK603" s="93" t="n"/>
    </row>
    <row r="604">
      <c r="A604" s="88" t="inlineStr">
        <is>
          <t>Protheus</t>
        </is>
      </c>
      <c r="B604" s="89" t="inlineStr">
        <is>
          <t>001509</t>
        </is>
      </c>
      <c r="C604" s="90">
        <f>IF(B604="—","—",IFERROR(VLOOKUP(B604,_Protheus_Cadastro!$A:$B,2,FALSE),"—"))</f>
        <v/>
      </c>
      <c r="D604" s="91">
        <f>IF(B604="—",IFERROR(INDEX(_ZIG_Cadastro!$D:$D,MATCH(H604,_ZIG_Cadastro!$A:$A,0)),"Produto"),IFERROR(VLOOKUP(B604,_Protheus_Cadastro!$A:$C,3,FALSE),"—"))</f>
        <v/>
      </c>
      <c r="E604" s="91">
        <f>IF(B604="—","—",IFERROR(VLOOKUP(B604,_Protheus_Cadastro!$A:$D,4,FALSE),"—"))</f>
        <v/>
      </c>
      <c r="F604" s="91">
        <f>IF(ISERROR(VLOOKUP(B604,'Estrutura Protheus'!A:A,1,FALSE)),"Não","Sim")</f>
        <v/>
      </c>
      <c r="G604" s="92">
        <f>IFERROR(INDEX(_Protheus_Cadastro!$H:$H,MATCH(B604,_Protheus_Cadastro!$A:$A,0)),"—")</f>
        <v/>
      </c>
      <c r="H604" s="210">
        <f>IFERROR(INDEX(_ZIG_Precos!$D:$D,MATCH(I604,_ZIG_Precos!$F:$F,0)),"—")</f>
        <v/>
      </c>
      <c r="I604" s="95">
        <f>IFERROR(VLOOKUP(B604,_Protheus_Cadastro!$A:$I,9,FALSE),"—")</f>
        <v/>
      </c>
      <c r="J604" s="93">
        <f>IFERROR(INDEX(_ZIG_Cadastro!$B:$B,MATCH(I604,_ZIG_Cadastro!$A:$A,0)),IFERROR(INDEX(_Entradas_ZIG!$B:$B,MATCH(I604,_Entradas_ZIG!$C:$C,0)),"—"))</f>
        <v/>
      </c>
      <c r="K604" s="93">
        <f>IFERROR(INDEX(_ZIG_Cadastro!$C:$C,MATCH(I604,_ZIG_Cadastro!$A:$A,0)),IFERROR(INDEX(_Entradas_ZIG!$D:$D,MATCH(I604,_Entradas_ZIG!$C:$C,0)),"—"))</f>
        <v/>
      </c>
      <c r="L604" s="92">
        <f>IF(I604="","Sem SKU ZIG",IF(I604="—","Sem SKU ZIG",IF(NOT(ISERROR(MATCH(I604,_ZIG_Cadastro!$A:$A,0))),IF(EXACT(UPPER(TRIM(C604)),UPPER(TRIM(INDEX(_ZIG_Cadastro!$B:$B,MATCH(I604,_ZIG_Cadastro!$A:$A,0))))),"OK","Atencao - Nome diverge"),IF(NOT(ISERROR(MATCH(I604,_Entradas_ZIG!$C:$C,0))),"OK","Erro - SKU nao encontrado"))))</f>
        <v/>
      </c>
      <c r="M604" s="92">
        <f>IFERROR(INDEX(_ZIG_Cadastro!$G:$G,MATCH(I604,_ZIG_Cadastro!$A:$A,0)),IF(NOT(ISERROR(MATCH(I604,_Entradas_ZIG!$C:$C,0))),"Ativo","—"))</f>
        <v/>
      </c>
      <c r="N604" s="94">
        <f>IFERROR(INDEX(_ZIG_Cadastro!$E:$E,MATCH(I604,_ZIG_Cadastro!$A:$A,0)),IFERROR(INDEX(_Entradas_ZIG!$F:$F,MATCH(I604,_Entradas_ZIG!$C:$C,0)),"—"))</f>
        <v/>
      </c>
      <c r="O604" s="92">
        <f>IF(AND(ISNUMBER(SEARCH("Espeto",N604)),ISNUMBER(SEARCH("Carin",N604))),"SIM","")</f>
        <v/>
      </c>
      <c r="P604" s="92">
        <f>IF(AND(ISNUMBER(SEARCH("Espeto",N604)),ISNUMBER(SEARCH("Lapa",N604))),"SIM","")</f>
        <v/>
      </c>
      <c r="Q604" s="92">
        <f>IF(AND(ISNUMBER(SEARCH("Espeto",N604)),ISNUMBER(SEARCH("Tatuapé",N604))),"SIM","")</f>
        <v/>
      </c>
      <c r="R604" s="92">
        <f>IF(AND(ISNUMBER(SEARCH("Espeto",N604)),ISNUMBER(SEARCH("Pavão",N604))),"SIM","")</f>
        <v/>
      </c>
      <c r="S604" s="92">
        <f>IF(AND(ISNUMBER(SEARCH("Espeto",N604)),ISNUMBER(SEARCH("Chac",N604))),"SIM","")</f>
        <v/>
      </c>
      <c r="T604" s="92">
        <f>IF(AND(ISNUMBER(SEARCH("Espeto",N604)),ISNUMBER(SEARCH("Madalena",N604))),"SIM","")</f>
        <v/>
      </c>
      <c r="U604" s="92">
        <f>IF(AND(ISNUMBER(SEARCH("Espeto",N604)),ISNUMBER(SEARCH("Mariana",N604))),"SIM","")</f>
        <v/>
      </c>
      <c r="V604" s="92">
        <f>IF(AND(ISNUMBER(SEARCH("Espeto",N604)),ISNUMBER(SEARCH("Perdizes",N604))),"SIM","")</f>
        <v/>
      </c>
      <c r="W604" s="92">
        <f>IF(AND(ISNUMBER(SEARCH("Espeto",N604)),ISNUMBER(SEARCH("Santana",N604))),"SIM","")</f>
        <v/>
      </c>
      <c r="X604" s="92">
        <f>IF(AND(ISNUMBER(SEARCH("Espeto",N604)),ISNUMBER(SEARCH("André",N604))),"SIM","")</f>
        <v/>
      </c>
      <c r="Y604" s="92">
        <f>IF(AND(ISNUMBER(SEARCH("Delivery",N604)),ISNUMBER(SEARCH("Carin",N604))),"SIM","")</f>
        <v/>
      </c>
      <c r="Z604" s="92">
        <f>IF(AND(ISNUMBER(SEARCH("Delivery",N604)),ISNUMBER(SEARCH("Lapa",N604))),"SIM","")</f>
        <v/>
      </c>
      <c r="AA604" s="92">
        <f>IF(AND(ISNUMBER(SEARCH("Delivery",N604)),ISNUMBER(SEARCH("Tatuapé",N604))),"SIM","")</f>
        <v/>
      </c>
      <c r="AB604" s="92">
        <f>IF(AND(ISNUMBER(SEARCH("Delivery",N604)),ISNUMBER(SEARCH("Pavão",N604))),"SIM","")</f>
        <v/>
      </c>
      <c r="AC604" s="92">
        <f>IF(AND(ISNUMBER(SEARCH("Delivery",N604)),ISNUMBER(SEARCH("Chac",N604))),"SIM","")</f>
        <v/>
      </c>
      <c r="AD604" s="92">
        <f>IF(AND(ISNUMBER(SEARCH("Delivery",N604)),ISNUMBER(SEARCH("Madalena",N604))),"SIM","")</f>
        <v/>
      </c>
      <c r="AE604" s="99">
        <f>IF(AND(ISNUMBER(SEARCH("Delivery",N604)),ISNUMBER(SEARCH("Mariana",N604))),"SIM","")</f>
        <v/>
      </c>
      <c r="AF604" s="99">
        <f>IF(AND(ISNUMBER(SEARCH("Delivery",N604)),ISNUMBER(SEARCH("Perdizes",N604))),"SIM","")</f>
        <v/>
      </c>
      <c r="AG604" s="99">
        <f>IF(AND(ISNUMBER(SEARCH("Delivery",N604)),ISNUMBER(SEARCH("Santana",N604))),"SIM","")</f>
        <v/>
      </c>
      <c r="AH604" s="99">
        <f>IF(AND(ISNUMBER(SEARCH("Delivery",N604)),ISNUMBER(SEARCH("André",N604))),"SIM","")</f>
        <v/>
      </c>
      <c r="AI604" s="99">
        <f>IF(ISNUMBER(SEARCH("Interlagos",N604)),"SIM","")</f>
        <v/>
      </c>
      <c r="AJ604" s="99">
        <f>IF(ISNUMBER(SEARCH("Quiosque",N604)),"SIM","")</f>
        <v/>
      </c>
      <c r="AK604" s="101" t="n"/>
    </row>
    <row r="605">
      <c r="A605" s="88" t="inlineStr">
        <is>
          <t>Protheus</t>
        </is>
      </c>
      <c r="B605" s="96" t="inlineStr">
        <is>
          <t>009636</t>
        </is>
      </c>
      <c r="C605" s="97">
        <f>IF(B605="—","—",IFERROR(VLOOKUP(B605,_Protheus_Cadastro!$A:$B,2,FALSE),"—"))</f>
        <v/>
      </c>
      <c r="D605" s="98">
        <f>IF(B605="—",IFERROR(INDEX(_ZIG_Cadastro!$D:$D,MATCH(H605,_ZIG_Cadastro!$A:$A,0)),"Produto"),IFERROR(VLOOKUP(B605,_Protheus_Cadastro!$A:$C,3,FALSE),"—"))</f>
        <v/>
      </c>
      <c r="E605" s="98">
        <f>IF(B605="—","—",IFERROR(VLOOKUP(B605,_Protheus_Cadastro!$A:$D,4,FALSE),"—"))</f>
        <v/>
      </c>
      <c r="F605" s="98">
        <f>IF(ISERROR(VLOOKUP(B605,'Estrutura Protheus'!A:A,1,FALSE)),"Não","Sim")</f>
        <v/>
      </c>
      <c r="G605" s="99">
        <f>IFERROR(INDEX(_Protheus_Cadastro!$H:$H,MATCH(B605,_Protheus_Cadastro!$A:$A,0)),"—")</f>
        <v/>
      </c>
      <c r="H605" s="211">
        <f>IFERROR(INDEX(_ZIG_Precos!$D:$D,MATCH(I605,_ZIG_Precos!$F:$F,0)),"—")</f>
        <v/>
      </c>
      <c r="I605" s="103">
        <f>IFERROR(VLOOKUP(B605,_Protheus_Cadastro!$A:$I,9,FALSE),"—")</f>
        <v/>
      </c>
      <c r="J605" s="101">
        <f>IFERROR(INDEX(_ZIG_Cadastro!$B:$B,MATCH(I605,_ZIG_Cadastro!$A:$A,0)),IFERROR(INDEX(_Entradas_ZIG!$B:$B,MATCH(I605,_Entradas_ZIG!$C:$C,0)),"—"))</f>
        <v/>
      </c>
      <c r="K605" s="101">
        <f>IFERROR(INDEX(_ZIG_Cadastro!$C:$C,MATCH(I605,_ZIG_Cadastro!$A:$A,0)),IFERROR(INDEX(_Entradas_ZIG!$D:$D,MATCH(I605,_Entradas_ZIG!$C:$C,0)),"—"))</f>
        <v/>
      </c>
      <c r="L605" s="99">
        <f>IF(I605="","Sem SKU ZIG",IF(I605="—","Sem SKU ZIG",IF(NOT(ISERROR(MATCH(I605,_ZIG_Cadastro!$A:$A,0))),IF(EXACT(UPPER(TRIM(C605)),UPPER(TRIM(INDEX(_ZIG_Cadastro!$B:$B,MATCH(I605,_ZIG_Cadastro!$A:$A,0))))),"OK","Atencao - Nome diverge"),IF(NOT(ISERROR(MATCH(I605,_Entradas_ZIG!$C:$C,0))),"OK","Erro - SKU nao encontrado"))))</f>
        <v/>
      </c>
      <c r="M605" s="99">
        <f>IFERROR(INDEX(_ZIG_Cadastro!$G:$G,MATCH(I605,_ZIG_Cadastro!$A:$A,0)),IF(NOT(ISERROR(MATCH(I605,_Entradas_ZIG!$C:$C,0))),"Ativo","—"))</f>
        <v/>
      </c>
      <c r="N605" s="102">
        <f>IFERROR(INDEX(_ZIG_Cadastro!$E:$E,MATCH(I605,_ZIG_Cadastro!$A:$A,0)),IFERROR(INDEX(_Entradas_ZIG!$F:$F,MATCH(I605,_Entradas_ZIG!$C:$C,0)),"—"))</f>
        <v/>
      </c>
      <c r="O605" s="99">
        <f>IF(AND(ISNUMBER(SEARCH("Espeto",N605)),ISNUMBER(SEARCH("Carin",N605))),"SIM","")</f>
        <v/>
      </c>
      <c r="P605" s="99">
        <f>IF(AND(ISNUMBER(SEARCH("Espeto",N605)),ISNUMBER(SEARCH("Lapa",N605))),"SIM","")</f>
        <v/>
      </c>
      <c r="Q605" s="99">
        <f>IF(AND(ISNUMBER(SEARCH("Espeto",N605)),ISNUMBER(SEARCH("Tatuapé",N605))),"SIM","")</f>
        <v/>
      </c>
      <c r="R605" s="99">
        <f>IF(AND(ISNUMBER(SEARCH("Espeto",N605)),ISNUMBER(SEARCH("Pavão",N605))),"SIM","")</f>
        <v/>
      </c>
      <c r="S605" s="99">
        <f>IF(AND(ISNUMBER(SEARCH("Espeto",N605)),ISNUMBER(SEARCH("Chac",N605))),"SIM","")</f>
        <v/>
      </c>
      <c r="T605" s="99">
        <f>IF(AND(ISNUMBER(SEARCH("Espeto",N605)),ISNUMBER(SEARCH("Madalena",N605))),"SIM","")</f>
        <v/>
      </c>
      <c r="U605" s="99">
        <f>IF(AND(ISNUMBER(SEARCH("Espeto",N605)),ISNUMBER(SEARCH("Mariana",N605))),"SIM","")</f>
        <v/>
      </c>
      <c r="V605" s="99">
        <f>IF(AND(ISNUMBER(SEARCH("Espeto",N605)),ISNUMBER(SEARCH("Perdizes",N605))),"SIM","")</f>
        <v/>
      </c>
      <c r="W605" s="99">
        <f>IF(AND(ISNUMBER(SEARCH("Espeto",N605)),ISNUMBER(SEARCH("Santana",N605))),"SIM","")</f>
        <v/>
      </c>
      <c r="X605" s="99">
        <f>IF(AND(ISNUMBER(SEARCH("Espeto",N605)),ISNUMBER(SEARCH("André",N605))),"SIM","")</f>
        <v/>
      </c>
      <c r="Y605" s="99">
        <f>IF(AND(ISNUMBER(SEARCH("Delivery",N605)),ISNUMBER(SEARCH("Carin",N605))),"SIM","")</f>
        <v/>
      </c>
      <c r="Z605" s="99">
        <f>IF(AND(ISNUMBER(SEARCH("Delivery",N605)),ISNUMBER(SEARCH("Lapa",N605))),"SIM","")</f>
        <v/>
      </c>
      <c r="AA605" s="99">
        <f>IF(AND(ISNUMBER(SEARCH("Delivery",N605)),ISNUMBER(SEARCH("Tatuapé",N605))),"SIM","")</f>
        <v/>
      </c>
      <c r="AB605" s="99">
        <f>IF(AND(ISNUMBER(SEARCH("Delivery",N605)),ISNUMBER(SEARCH("Pavão",N605))),"SIM","")</f>
        <v/>
      </c>
      <c r="AC605" s="99">
        <f>IF(AND(ISNUMBER(SEARCH("Delivery",N605)),ISNUMBER(SEARCH("Chac",N605))),"SIM","")</f>
        <v/>
      </c>
      <c r="AD605" s="99">
        <f>IF(AND(ISNUMBER(SEARCH("Delivery",N605)),ISNUMBER(SEARCH("Madalena",N605))),"SIM","")</f>
        <v/>
      </c>
      <c r="AE605" s="92">
        <f>IF(AND(ISNUMBER(SEARCH("Delivery",N605)),ISNUMBER(SEARCH("Mariana",N605))),"SIM","")</f>
        <v/>
      </c>
      <c r="AF605" s="92">
        <f>IF(AND(ISNUMBER(SEARCH("Delivery",N605)),ISNUMBER(SEARCH("Perdizes",N605))),"SIM","")</f>
        <v/>
      </c>
      <c r="AG605" s="92">
        <f>IF(AND(ISNUMBER(SEARCH("Delivery",N605)),ISNUMBER(SEARCH("Santana",N605))),"SIM","")</f>
        <v/>
      </c>
      <c r="AH605" s="92">
        <f>IF(AND(ISNUMBER(SEARCH("Delivery",N605)),ISNUMBER(SEARCH("André",N605))),"SIM","")</f>
        <v/>
      </c>
      <c r="AI605" s="92">
        <f>IF(ISNUMBER(SEARCH("Interlagos",N605)),"SIM","")</f>
        <v/>
      </c>
      <c r="AJ605" s="92">
        <f>IF(ISNUMBER(SEARCH("Quiosque",N605)),"SIM","")</f>
        <v/>
      </c>
      <c r="AK605" s="93" t="n"/>
    </row>
    <row r="606">
      <c r="A606" s="88" t="inlineStr">
        <is>
          <t>Protheus</t>
        </is>
      </c>
      <c r="B606" s="89" t="inlineStr">
        <is>
          <t>000281</t>
        </is>
      </c>
      <c r="C606" s="90">
        <f>IF(B606="—","—",IFERROR(VLOOKUP(B606,_Protheus_Cadastro!$A:$B,2,FALSE),"—"))</f>
        <v/>
      </c>
      <c r="D606" s="91">
        <f>IF(B606="—",IFERROR(INDEX(_ZIG_Cadastro!$D:$D,MATCH(H606,_ZIG_Cadastro!$A:$A,0)),"Produto"),IFERROR(VLOOKUP(B606,_Protheus_Cadastro!$A:$C,3,FALSE),"—"))</f>
        <v/>
      </c>
      <c r="E606" s="91">
        <f>IF(B606="—","—",IFERROR(VLOOKUP(B606,_Protheus_Cadastro!$A:$D,4,FALSE),"—"))</f>
        <v/>
      </c>
      <c r="F606" s="91">
        <f>IF(ISERROR(VLOOKUP(B606,'Estrutura Protheus'!A:A,1,FALSE)),"Não","Sim")</f>
        <v/>
      </c>
      <c r="G606" s="92">
        <f>IFERROR(INDEX(_Protheus_Cadastro!$H:$H,MATCH(B606,_Protheus_Cadastro!$A:$A,0)),"—")</f>
        <v/>
      </c>
      <c r="H606" s="210">
        <f>IFERROR(INDEX(_ZIG_Precos!$D:$D,MATCH(I606,_ZIG_Precos!$F:$F,0)),"—")</f>
        <v/>
      </c>
      <c r="I606" s="95">
        <f>IFERROR(VLOOKUP(B606,_Protheus_Cadastro!$A:$I,9,FALSE),"—")</f>
        <v/>
      </c>
      <c r="J606" s="93">
        <f>IFERROR(INDEX(_ZIG_Cadastro!$B:$B,MATCH(I606,_ZIG_Cadastro!$A:$A,0)),IFERROR(INDEX(_Entradas_ZIG!$B:$B,MATCH(I606,_Entradas_ZIG!$C:$C,0)),"—"))</f>
        <v/>
      </c>
      <c r="K606" s="93">
        <f>IFERROR(INDEX(_ZIG_Cadastro!$C:$C,MATCH(I606,_ZIG_Cadastro!$A:$A,0)),IFERROR(INDEX(_Entradas_ZIG!$D:$D,MATCH(I606,_Entradas_ZIG!$C:$C,0)),"—"))</f>
        <v/>
      </c>
      <c r="L606" s="92">
        <f>IF(I606="","Sem SKU ZIG",IF(I606="—","Sem SKU ZIG",IF(NOT(ISERROR(MATCH(I606,_ZIG_Cadastro!$A:$A,0))),IF(EXACT(UPPER(TRIM(C606)),UPPER(TRIM(INDEX(_ZIG_Cadastro!$B:$B,MATCH(I606,_ZIG_Cadastro!$A:$A,0))))),"OK","Atencao - Nome diverge"),IF(NOT(ISERROR(MATCH(I606,_Entradas_ZIG!$C:$C,0))),"OK","Erro - SKU nao encontrado"))))</f>
        <v/>
      </c>
      <c r="M606" s="92">
        <f>IFERROR(INDEX(_ZIG_Cadastro!$G:$G,MATCH(I606,_ZIG_Cadastro!$A:$A,0)),IF(NOT(ISERROR(MATCH(I606,_Entradas_ZIG!$C:$C,0))),"Ativo","—"))</f>
        <v/>
      </c>
      <c r="N606" s="94">
        <f>IFERROR(INDEX(_ZIG_Cadastro!$E:$E,MATCH(I606,_ZIG_Cadastro!$A:$A,0)),IFERROR(INDEX(_Entradas_ZIG!$F:$F,MATCH(I606,_Entradas_ZIG!$C:$C,0)),"—"))</f>
        <v/>
      </c>
      <c r="O606" s="92">
        <f>IF(AND(ISNUMBER(SEARCH("Espeto",N606)),ISNUMBER(SEARCH("Carin",N606))),"SIM","")</f>
        <v/>
      </c>
      <c r="P606" s="92">
        <f>IF(AND(ISNUMBER(SEARCH("Espeto",N606)),ISNUMBER(SEARCH("Lapa",N606))),"SIM","")</f>
        <v/>
      </c>
      <c r="Q606" s="92">
        <f>IF(AND(ISNUMBER(SEARCH("Espeto",N606)),ISNUMBER(SEARCH("Tatuapé",N606))),"SIM","")</f>
        <v/>
      </c>
      <c r="R606" s="92">
        <f>IF(AND(ISNUMBER(SEARCH("Espeto",N606)),ISNUMBER(SEARCH("Pavão",N606))),"SIM","")</f>
        <v/>
      </c>
      <c r="S606" s="92">
        <f>IF(AND(ISNUMBER(SEARCH("Espeto",N606)),ISNUMBER(SEARCH("Chac",N606))),"SIM","")</f>
        <v/>
      </c>
      <c r="T606" s="92">
        <f>IF(AND(ISNUMBER(SEARCH("Espeto",N606)),ISNUMBER(SEARCH("Madalena",N606))),"SIM","")</f>
        <v/>
      </c>
      <c r="U606" s="92">
        <f>IF(AND(ISNUMBER(SEARCH("Espeto",N606)),ISNUMBER(SEARCH("Mariana",N606))),"SIM","")</f>
        <v/>
      </c>
      <c r="V606" s="92">
        <f>IF(AND(ISNUMBER(SEARCH("Espeto",N606)),ISNUMBER(SEARCH("Perdizes",N606))),"SIM","")</f>
        <v/>
      </c>
      <c r="W606" s="92">
        <f>IF(AND(ISNUMBER(SEARCH("Espeto",N606)),ISNUMBER(SEARCH("Santana",N606))),"SIM","")</f>
        <v/>
      </c>
      <c r="X606" s="92">
        <f>IF(AND(ISNUMBER(SEARCH("Espeto",N606)),ISNUMBER(SEARCH("André",N606))),"SIM","")</f>
        <v/>
      </c>
      <c r="Y606" s="92">
        <f>IF(AND(ISNUMBER(SEARCH("Delivery",N606)),ISNUMBER(SEARCH("Carin",N606))),"SIM","")</f>
        <v/>
      </c>
      <c r="Z606" s="92">
        <f>IF(AND(ISNUMBER(SEARCH("Delivery",N606)),ISNUMBER(SEARCH("Lapa",N606))),"SIM","")</f>
        <v/>
      </c>
      <c r="AA606" s="92">
        <f>IF(AND(ISNUMBER(SEARCH("Delivery",N606)),ISNUMBER(SEARCH("Tatuapé",N606))),"SIM","")</f>
        <v/>
      </c>
      <c r="AB606" s="92">
        <f>IF(AND(ISNUMBER(SEARCH("Delivery",N606)),ISNUMBER(SEARCH("Pavão",N606))),"SIM","")</f>
        <v/>
      </c>
      <c r="AC606" s="92">
        <f>IF(AND(ISNUMBER(SEARCH("Delivery",N606)),ISNUMBER(SEARCH("Chac",N606))),"SIM","")</f>
        <v/>
      </c>
      <c r="AD606" s="92">
        <f>IF(AND(ISNUMBER(SEARCH("Delivery",N606)),ISNUMBER(SEARCH("Madalena",N606))),"SIM","")</f>
        <v/>
      </c>
      <c r="AE606" s="99">
        <f>IF(AND(ISNUMBER(SEARCH("Delivery",N606)),ISNUMBER(SEARCH("Mariana",N606))),"SIM","")</f>
        <v/>
      </c>
      <c r="AF606" s="99">
        <f>IF(AND(ISNUMBER(SEARCH("Delivery",N606)),ISNUMBER(SEARCH("Perdizes",N606))),"SIM","")</f>
        <v/>
      </c>
      <c r="AG606" s="99">
        <f>IF(AND(ISNUMBER(SEARCH("Delivery",N606)),ISNUMBER(SEARCH("Santana",N606))),"SIM","")</f>
        <v/>
      </c>
      <c r="AH606" s="99">
        <f>IF(AND(ISNUMBER(SEARCH("Delivery",N606)),ISNUMBER(SEARCH("André",N606))),"SIM","")</f>
        <v/>
      </c>
      <c r="AI606" s="99">
        <f>IF(ISNUMBER(SEARCH("Interlagos",N606)),"SIM","")</f>
        <v/>
      </c>
      <c r="AJ606" s="99">
        <f>IF(ISNUMBER(SEARCH("Quiosque",N606)),"SIM","")</f>
        <v/>
      </c>
      <c r="AK606" s="101" t="n"/>
    </row>
    <row r="607">
      <c r="A607" s="88" t="inlineStr">
        <is>
          <t>Protheus</t>
        </is>
      </c>
      <c r="B607" s="96" t="inlineStr">
        <is>
          <t>010020</t>
        </is>
      </c>
      <c r="C607" s="97">
        <f>IF(B607="—","—",IFERROR(VLOOKUP(B607,_Protheus_Cadastro!$A:$B,2,FALSE),"—"))</f>
        <v/>
      </c>
      <c r="D607" s="98">
        <f>IF(B607="—",IFERROR(INDEX(_ZIG_Cadastro!$D:$D,MATCH(H607,_ZIG_Cadastro!$A:$A,0)),"Produto"),IFERROR(VLOOKUP(B607,_Protheus_Cadastro!$A:$C,3,FALSE),"—"))</f>
        <v/>
      </c>
      <c r="E607" s="98">
        <f>IF(B607="—","—",IFERROR(VLOOKUP(B607,_Protheus_Cadastro!$A:$D,4,FALSE),"—"))</f>
        <v/>
      </c>
      <c r="F607" s="98">
        <f>IF(ISERROR(VLOOKUP(B607,'Estrutura Protheus'!A:A,1,FALSE)),"Não","Sim")</f>
        <v/>
      </c>
      <c r="G607" s="99">
        <f>IFERROR(INDEX(_Protheus_Cadastro!$H:$H,MATCH(B607,_Protheus_Cadastro!$A:$A,0)),"—")</f>
        <v/>
      </c>
      <c r="H607" s="211">
        <f>IFERROR(INDEX(_ZIG_Precos!$D:$D,MATCH(I607,_ZIG_Precos!$F:$F,0)),"—")</f>
        <v/>
      </c>
      <c r="I607" s="103">
        <f>IFERROR(VLOOKUP(B607,_Protheus_Cadastro!$A:$I,9,FALSE),"—")</f>
        <v/>
      </c>
      <c r="J607" s="101">
        <f>IFERROR(INDEX(_ZIG_Cadastro!$B:$B,MATCH(I607,_ZIG_Cadastro!$A:$A,0)),IFERROR(INDEX(_Entradas_ZIG!$B:$B,MATCH(I607,_Entradas_ZIG!$C:$C,0)),"—"))</f>
        <v/>
      </c>
      <c r="K607" s="101">
        <f>IFERROR(INDEX(_ZIG_Cadastro!$C:$C,MATCH(I607,_ZIG_Cadastro!$A:$A,0)),IFERROR(INDEX(_Entradas_ZIG!$D:$D,MATCH(I607,_Entradas_ZIG!$C:$C,0)),"—"))</f>
        <v/>
      </c>
      <c r="L607" s="99">
        <f>IF(I607="","Sem SKU ZIG",IF(I607="—","Sem SKU ZIG",IF(NOT(ISERROR(MATCH(I607,_ZIG_Cadastro!$A:$A,0))),IF(EXACT(UPPER(TRIM(C607)),UPPER(TRIM(INDEX(_ZIG_Cadastro!$B:$B,MATCH(I607,_ZIG_Cadastro!$A:$A,0))))),"OK","Atencao - Nome diverge"),IF(NOT(ISERROR(MATCH(I607,_Entradas_ZIG!$C:$C,0))),"OK","Erro - SKU nao encontrado"))))</f>
        <v/>
      </c>
      <c r="M607" s="99">
        <f>IFERROR(INDEX(_ZIG_Cadastro!$G:$G,MATCH(I607,_ZIG_Cadastro!$A:$A,0)),IF(NOT(ISERROR(MATCH(I607,_Entradas_ZIG!$C:$C,0))),"Ativo","—"))</f>
        <v/>
      </c>
      <c r="N607" s="102">
        <f>IFERROR(INDEX(_ZIG_Cadastro!$E:$E,MATCH(I607,_ZIG_Cadastro!$A:$A,0)),IFERROR(INDEX(_Entradas_ZIG!$F:$F,MATCH(I607,_Entradas_ZIG!$C:$C,0)),"—"))</f>
        <v/>
      </c>
      <c r="O607" s="99">
        <f>IF(AND(ISNUMBER(SEARCH("Espeto",N607)),ISNUMBER(SEARCH("Carin",N607))),"SIM","")</f>
        <v/>
      </c>
      <c r="P607" s="99">
        <f>IF(AND(ISNUMBER(SEARCH("Espeto",N607)),ISNUMBER(SEARCH("Lapa",N607))),"SIM","")</f>
        <v/>
      </c>
      <c r="Q607" s="99">
        <f>IF(AND(ISNUMBER(SEARCH("Espeto",N607)),ISNUMBER(SEARCH("Tatuapé",N607))),"SIM","")</f>
        <v/>
      </c>
      <c r="R607" s="99">
        <f>IF(AND(ISNUMBER(SEARCH("Espeto",N607)),ISNUMBER(SEARCH("Pavão",N607))),"SIM","")</f>
        <v/>
      </c>
      <c r="S607" s="99">
        <f>IF(AND(ISNUMBER(SEARCH("Espeto",N607)),ISNUMBER(SEARCH("Chac",N607))),"SIM","")</f>
        <v/>
      </c>
      <c r="T607" s="99">
        <f>IF(AND(ISNUMBER(SEARCH("Espeto",N607)),ISNUMBER(SEARCH("Madalena",N607))),"SIM","")</f>
        <v/>
      </c>
      <c r="U607" s="99">
        <f>IF(AND(ISNUMBER(SEARCH("Espeto",N607)),ISNUMBER(SEARCH("Mariana",N607))),"SIM","")</f>
        <v/>
      </c>
      <c r="V607" s="99">
        <f>IF(AND(ISNUMBER(SEARCH("Espeto",N607)),ISNUMBER(SEARCH("Perdizes",N607))),"SIM","")</f>
        <v/>
      </c>
      <c r="W607" s="99">
        <f>IF(AND(ISNUMBER(SEARCH("Espeto",N607)),ISNUMBER(SEARCH("Santana",N607))),"SIM","")</f>
        <v/>
      </c>
      <c r="X607" s="99">
        <f>IF(AND(ISNUMBER(SEARCH("Espeto",N607)),ISNUMBER(SEARCH("André",N607))),"SIM","")</f>
        <v/>
      </c>
      <c r="Y607" s="99">
        <f>IF(AND(ISNUMBER(SEARCH("Delivery",N607)),ISNUMBER(SEARCH("Carin",N607))),"SIM","")</f>
        <v/>
      </c>
      <c r="Z607" s="99">
        <f>IF(AND(ISNUMBER(SEARCH("Delivery",N607)),ISNUMBER(SEARCH("Lapa",N607))),"SIM","")</f>
        <v/>
      </c>
      <c r="AA607" s="99">
        <f>IF(AND(ISNUMBER(SEARCH("Delivery",N607)),ISNUMBER(SEARCH("Tatuapé",N607))),"SIM","")</f>
        <v/>
      </c>
      <c r="AB607" s="99">
        <f>IF(AND(ISNUMBER(SEARCH("Delivery",N607)),ISNUMBER(SEARCH("Pavão",N607))),"SIM","")</f>
        <v/>
      </c>
      <c r="AC607" s="99">
        <f>IF(AND(ISNUMBER(SEARCH("Delivery",N607)),ISNUMBER(SEARCH("Chac",N607))),"SIM","")</f>
        <v/>
      </c>
      <c r="AD607" s="99">
        <f>IF(AND(ISNUMBER(SEARCH("Delivery",N607)),ISNUMBER(SEARCH("Madalena",N607))),"SIM","")</f>
        <v/>
      </c>
      <c r="AE607" s="92">
        <f>IF(AND(ISNUMBER(SEARCH("Delivery",N607)),ISNUMBER(SEARCH("Mariana",N607))),"SIM","")</f>
        <v/>
      </c>
      <c r="AF607" s="92">
        <f>IF(AND(ISNUMBER(SEARCH("Delivery",N607)),ISNUMBER(SEARCH("Perdizes",N607))),"SIM","")</f>
        <v/>
      </c>
      <c r="AG607" s="92">
        <f>IF(AND(ISNUMBER(SEARCH("Delivery",N607)),ISNUMBER(SEARCH("Santana",N607))),"SIM","")</f>
        <v/>
      </c>
      <c r="AH607" s="92">
        <f>IF(AND(ISNUMBER(SEARCH("Delivery",N607)),ISNUMBER(SEARCH("André",N607))),"SIM","")</f>
        <v/>
      </c>
      <c r="AI607" s="92">
        <f>IF(ISNUMBER(SEARCH("Interlagos",N607)),"SIM","")</f>
        <v/>
      </c>
      <c r="AJ607" s="92">
        <f>IF(ISNUMBER(SEARCH("Quiosque",N607)),"SIM","")</f>
        <v/>
      </c>
      <c r="AK607" s="93" t="n"/>
    </row>
    <row r="608">
      <c r="A608" s="88" t="inlineStr">
        <is>
          <t>Protheus</t>
        </is>
      </c>
      <c r="B608" s="89" t="inlineStr">
        <is>
          <t>010021</t>
        </is>
      </c>
      <c r="C608" s="90">
        <f>IF(B608="—","—",IFERROR(VLOOKUP(B608,_Protheus_Cadastro!$A:$B,2,FALSE),"—"))</f>
        <v/>
      </c>
      <c r="D608" s="91">
        <f>IF(B608="—",IFERROR(INDEX(_ZIG_Cadastro!$D:$D,MATCH(H608,_ZIG_Cadastro!$A:$A,0)),"Produto"),IFERROR(VLOOKUP(B608,_Protheus_Cadastro!$A:$C,3,FALSE),"—"))</f>
        <v/>
      </c>
      <c r="E608" s="91">
        <f>IF(B608="—","—",IFERROR(VLOOKUP(B608,_Protheus_Cadastro!$A:$D,4,FALSE),"—"))</f>
        <v/>
      </c>
      <c r="F608" s="91">
        <f>IF(ISERROR(VLOOKUP(B608,'Estrutura Protheus'!A:A,1,FALSE)),"Não","Sim")</f>
        <v/>
      </c>
      <c r="G608" s="92">
        <f>IFERROR(INDEX(_Protheus_Cadastro!$H:$H,MATCH(B608,_Protheus_Cadastro!$A:$A,0)),"—")</f>
        <v/>
      </c>
      <c r="H608" s="210">
        <f>IFERROR(INDEX(_ZIG_Precos!$D:$D,MATCH(I608,_ZIG_Precos!$F:$F,0)),"—")</f>
        <v/>
      </c>
      <c r="I608" s="95">
        <f>IFERROR(VLOOKUP(B608,_Protheus_Cadastro!$A:$I,9,FALSE),"—")</f>
        <v/>
      </c>
      <c r="J608" s="93">
        <f>IFERROR(INDEX(_ZIG_Cadastro!$B:$B,MATCH(I608,_ZIG_Cadastro!$A:$A,0)),IFERROR(INDEX(_Entradas_ZIG!$B:$B,MATCH(I608,_Entradas_ZIG!$C:$C,0)),"—"))</f>
        <v/>
      </c>
      <c r="K608" s="93">
        <f>IFERROR(INDEX(_ZIG_Cadastro!$C:$C,MATCH(I608,_ZIG_Cadastro!$A:$A,0)),IFERROR(INDEX(_Entradas_ZIG!$D:$D,MATCH(I608,_Entradas_ZIG!$C:$C,0)),"—"))</f>
        <v/>
      </c>
      <c r="L608" s="92">
        <f>IF(I608="","Sem SKU ZIG",IF(I608="—","Sem SKU ZIG",IF(NOT(ISERROR(MATCH(I608,_ZIG_Cadastro!$A:$A,0))),IF(EXACT(UPPER(TRIM(C608)),UPPER(TRIM(INDEX(_ZIG_Cadastro!$B:$B,MATCH(I608,_ZIG_Cadastro!$A:$A,0))))),"OK","Atencao - Nome diverge"),IF(NOT(ISERROR(MATCH(I608,_Entradas_ZIG!$C:$C,0))),"OK","Erro - SKU nao encontrado"))))</f>
        <v/>
      </c>
      <c r="M608" s="92">
        <f>IFERROR(INDEX(_ZIG_Cadastro!$G:$G,MATCH(I608,_ZIG_Cadastro!$A:$A,0)),IF(NOT(ISERROR(MATCH(I608,_Entradas_ZIG!$C:$C,0))),"Ativo","—"))</f>
        <v/>
      </c>
      <c r="N608" s="94">
        <f>IFERROR(INDEX(_ZIG_Cadastro!$E:$E,MATCH(I608,_ZIG_Cadastro!$A:$A,0)),IFERROR(INDEX(_Entradas_ZIG!$F:$F,MATCH(I608,_Entradas_ZIG!$C:$C,0)),"—"))</f>
        <v/>
      </c>
      <c r="O608" s="92">
        <f>IF(AND(ISNUMBER(SEARCH("Espeto",N608)),ISNUMBER(SEARCH("Carin",N608))),"SIM","")</f>
        <v/>
      </c>
      <c r="P608" s="92">
        <f>IF(AND(ISNUMBER(SEARCH("Espeto",N608)),ISNUMBER(SEARCH("Lapa",N608))),"SIM","")</f>
        <v/>
      </c>
      <c r="Q608" s="92">
        <f>IF(AND(ISNUMBER(SEARCH("Espeto",N608)),ISNUMBER(SEARCH("Tatuapé",N608))),"SIM","")</f>
        <v/>
      </c>
      <c r="R608" s="92">
        <f>IF(AND(ISNUMBER(SEARCH("Espeto",N608)),ISNUMBER(SEARCH("Pavão",N608))),"SIM","")</f>
        <v/>
      </c>
      <c r="S608" s="92">
        <f>IF(AND(ISNUMBER(SEARCH("Espeto",N608)),ISNUMBER(SEARCH("Chac",N608))),"SIM","")</f>
        <v/>
      </c>
      <c r="T608" s="92">
        <f>IF(AND(ISNUMBER(SEARCH("Espeto",N608)),ISNUMBER(SEARCH("Madalena",N608))),"SIM","")</f>
        <v/>
      </c>
      <c r="U608" s="92">
        <f>IF(AND(ISNUMBER(SEARCH("Espeto",N608)),ISNUMBER(SEARCH("Mariana",N608))),"SIM","")</f>
        <v/>
      </c>
      <c r="V608" s="92">
        <f>IF(AND(ISNUMBER(SEARCH("Espeto",N608)),ISNUMBER(SEARCH("Perdizes",N608))),"SIM","")</f>
        <v/>
      </c>
      <c r="W608" s="92">
        <f>IF(AND(ISNUMBER(SEARCH("Espeto",N608)),ISNUMBER(SEARCH("Santana",N608))),"SIM","")</f>
        <v/>
      </c>
      <c r="X608" s="92">
        <f>IF(AND(ISNUMBER(SEARCH("Espeto",N608)),ISNUMBER(SEARCH("André",N608))),"SIM","")</f>
        <v/>
      </c>
      <c r="Y608" s="92">
        <f>IF(AND(ISNUMBER(SEARCH("Delivery",N608)),ISNUMBER(SEARCH("Carin",N608))),"SIM","")</f>
        <v/>
      </c>
      <c r="Z608" s="92">
        <f>IF(AND(ISNUMBER(SEARCH("Delivery",N608)),ISNUMBER(SEARCH("Lapa",N608))),"SIM","")</f>
        <v/>
      </c>
      <c r="AA608" s="92">
        <f>IF(AND(ISNUMBER(SEARCH("Delivery",N608)),ISNUMBER(SEARCH("Tatuapé",N608))),"SIM","")</f>
        <v/>
      </c>
      <c r="AB608" s="92">
        <f>IF(AND(ISNUMBER(SEARCH("Delivery",N608)),ISNUMBER(SEARCH("Pavão",N608))),"SIM","")</f>
        <v/>
      </c>
      <c r="AC608" s="92">
        <f>IF(AND(ISNUMBER(SEARCH("Delivery",N608)),ISNUMBER(SEARCH("Chac",N608))),"SIM","")</f>
        <v/>
      </c>
      <c r="AD608" s="92">
        <f>IF(AND(ISNUMBER(SEARCH("Delivery",N608)),ISNUMBER(SEARCH("Madalena",N608))),"SIM","")</f>
        <v/>
      </c>
      <c r="AE608" s="99">
        <f>IF(AND(ISNUMBER(SEARCH("Delivery",N608)),ISNUMBER(SEARCH("Mariana",N608))),"SIM","")</f>
        <v/>
      </c>
      <c r="AF608" s="99">
        <f>IF(AND(ISNUMBER(SEARCH("Delivery",N608)),ISNUMBER(SEARCH("Perdizes",N608))),"SIM","")</f>
        <v/>
      </c>
      <c r="AG608" s="99">
        <f>IF(AND(ISNUMBER(SEARCH("Delivery",N608)),ISNUMBER(SEARCH("Santana",N608))),"SIM","")</f>
        <v/>
      </c>
      <c r="AH608" s="99">
        <f>IF(AND(ISNUMBER(SEARCH("Delivery",N608)),ISNUMBER(SEARCH("André",N608))),"SIM","")</f>
        <v/>
      </c>
      <c r="AI608" s="99">
        <f>IF(ISNUMBER(SEARCH("Interlagos",N608)),"SIM","")</f>
        <v/>
      </c>
      <c r="AJ608" s="99">
        <f>IF(ISNUMBER(SEARCH("Quiosque",N608)),"SIM","")</f>
        <v/>
      </c>
      <c r="AK608" s="101" t="n"/>
    </row>
    <row r="609">
      <c r="A609" s="88" t="inlineStr">
        <is>
          <t>Protheus</t>
        </is>
      </c>
      <c r="B609" s="96" t="inlineStr">
        <is>
          <t>010029</t>
        </is>
      </c>
      <c r="C609" s="97">
        <f>IF(B609="—","—",IFERROR(VLOOKUP(B609,_Protheus_Cadastro!$A:$B,2,FALSE),"—"))</f>
        <v/>
      </c>
      <c r="D609" s="98">
        <f>IF(B609="—",IFERROR(INDEX(_ZIG_Cadastro!$D:$D,MATCH(H609,_ZIG_Cadastro!$A:$A,0)),"Produto"),IFERROR(VLOOKUP(B609,_Protheus_Cadastro!$A:$C,3,FALSE),"—"))</f>
        <v/>
      </c>
      <c r="E609" s="98">
        <f>IF(B609="—","—",IFERROR(VLOOKUP(B609,_Protheus_Cadastro!$A:$D,4,FALSE),"—"))</f>
        <v/>
      </c>
      <c r="F609" s="98">
        <f>IF(ISERROR(VLOOKUP(B609,'Estrutura Protheus'!A:A,1,FALSE)),"Não","Sim")</f>
        <v/>
      </c>
      <c r="G609" s="99">
        <f>IFERROR(INDEX(_Protheus_Cadastro!$H:$H,MATCH(B609,_Protheus_Cadastro!$A:$A,0)),"—")</f>
        <v/>
      </c>
      <c r="H609" s="211">
        <f>IFERROR(INDEX(_ZIG_Precos!$D:$D,MATCH(I609,_ZIG_Precos!$F:$F,0)),"—")</f>
        <v/>
      </c>
      <c r="I609" s="103">
        <f>IFERROR(VLOOKUP(B609,_Protheus_Cadastro!$A:$I,9,FALSE),"—")</f>
        <v/>
      </c>
      <c r="J609" s="101">
        <f>IFERROR(INDEX(_ZIG_Cadastro!$B:$B,MATCH(I609,_ZIG_Cadastro!$A:$A,0)),IFERROR(INDEX(_Entradas_ZIG!$B:$B,MATCH(I609,_Entradas_ZIG!$C:$C,0)),"—"))</f>
        <v/>
      </c>
      <c r="K609" s="101">
        <f>IFERROR(INDEX(_ZIG_Cadastro!$C:$C,MATCH(I609,_ZIG_Cadastro!$A:$A,0)),IFERROR(INDEX(_Entradas_ZIG!$D:$D,MATCH(I609,_Entradas_ZIG!$C:$C,0)),"—"))</f>
        <v/>
      </c>
      <c r="L609" s="99">
        <f>IF(I609="","Sem SKU ZIG",IF(I609="—","Sem SKU ZIG",IF(NOT(ISERROR(MATCH(I609,_ZIG_Cadastro!$A:$A,0))),IF(EXACT(UPPER(TRIM(C609)),UPPER(TRIM(INDEX(_ZIG_Cadastro!$B:$B,MATCH(I609,_ZIG_Cadastro!$A:$A,0))))),"OK","Atencao - Nome diverge"),IF(NOT(ISERROR(MATCH(I609,_Entradas_ZIG!$C:$C,0))),"OK","Erro - SKU nao encontrado"))))</f>
        <v/>
      </c>
      <c r="M609" s="99">
        <f>IFERROR(INDEX(_ZIG_Cadastro!$G:$G,MATCH(I609,_ZIG_Cadastro!$A:$A,0)),IF(NOT(ISERROR(MATCH(I609,_Entradas_ZIG!$C:$C,0))),"Ativo","—"))</f>
        <v/>
      </c>
      <c r="N609" s="102">
        <f>IFERROR(INDEX(_ZIG_Cadastro!$E:$E,MATCH(I609,_ZIG_Cadastro!$A:$A,0)),IFERROR(INDEX(_Entradas_ZIG!$F:$F,MATCH(I609,_Entradas_ZIG!$C:$C,0)),"—"))</f>
        <v/>
      </c>
      <c r="O609" s="99">
        <f>IF(AND(ISNUMBER(SEARCH("Espeto",N609)),ISNUMBER(SEARCH("Carin",N609))),"SIM","")</f>
        <v/>
      </c>
      <c r="P609" s="99">
        <f>IF(AND(ISNUMBER(SEARCH("Espeto",N609)),ISNUMBER(SEARCH("Lapa",N609))),"SIM","")</f>
        <v/>
      </c>
      <c r="Q609" s="99">
        <f>IF(AND(ISNUMBER(SEARCH("Espeto",N609)),ISNUMBER(SEARCH("Tatuapé",N609))),"SIM","")</f>
        <v/>
      </c>
      <c r="R609" s="99">
        <f>IF(AND(ISNUMBER(SEARCH("Espeto",N609)),ISNUMBER(SEARCH("Pavão",N609))),"SIM","")</f>
        <v/>
      </c>
      <c r="S609" s="99">
        <f>IF(AND(ISNUMBER(SEARCH("Espeto",N609)),ISNUMBER(SEARCH("Chac",N609))),"SIM","")</f>
        <v/>
      </c>
      <c r="T609" s="99">
        <f>IF(AND(ISNUMBER(SEARCH("Espeto",N609)),ISNUMBER(SEARCH("Madalena",N609))),"SIM","")</f>
        <v/>
      </c>
      <c r="U609" s="99">
        <f>IF(AND(ISNUMBER(SEARCH("Espeto",N609)),ISNUMBER(SEARCH("Mariana",N609))),"SIM","")</f>
        <v/>
      </c>
      <c r="V609" s="99">
        <f>IF(AND(ISNUMBER(SEARCH("Espeto",N609)),ISNUMBER(SEARCH("Perdizes",N609))),"SIM","")</f>
        <v/>
      </c>
      <c r="W609" s="99">
        <f>IF(AND(ISNUMBER(SEARCH("Espeto",N609)),ISNUMBER(SEARCH("Santana",N609))),"SIM","")</f>
        <v/>
      </c>
      <c r="X609" s="99">
        <f>IF(AND(ISNUMBER(SEARCH("Espeto",N609)),ISNUMBER(SEARCH("André",N609))),"SIM","")</f>
        <v/>
      </c>
      <c r="Y609" s="99">
        <f>IF(AND(ISNUMBER(SEARCH("Delivery",N609)),ISNUMBER(SEARCH("Carin",N609))),"SIM","")</f>
        <v/>
      </c>
      <c r="Z609" s="99">
        <f>IF(AND(ISNUMBER(SEARCH("Delivery",N609)),ISNUMBER(SEARCH("Lapa",N609))),"SIM","")</f>
        <v/>
      </c>
      <c r="AA609" s="99">
        <f>IF(AND(ISNUMBER(SEARCH("Delivery",N609)),ISNUMBER(SEARCH("Tatuapé",N609))),"SIM","")</f>
        <v/>
      </c>
      <c r="AB609" s="99">
        <f>IF(AND(ISNUMBER(SEARCH("Delivery",N609)),ISNUMBER(SEARCH("Pavão",N609))),"SIM","")</f>
        <v/>
      </c>
      <c r="AC609" s="99">
        <f>IF(AND(ISNUMBER(SEARCH("Delivery",N609)),ISNUMBER(SEARCH("Chac",N609))),"SIM","")</f>
        <v/>
      </c>
      <c r="AD609" s="99">
        <f>IF(AND(ISNUMBER(SEARCH("Delivery",N609)),ISNUMBER(SEARCH("Madalena",N609))),"SIM","")</f>
        <v/>
      </c>
      <c r="AE609" s="92">
        <f>IF(AND(ISNUMBER(SEARCH("Delivery",N609)),ISNUMBER(SEARCH("Mariana",N609))),"SIM","")</f>
        <v/>
      </c>
      <c r="AF609" s="92">
        <f>IF(AND(ISNUMBER(SEARCH("Delivery",N609)),ISNUMBER(SEARCH("Perdizes",N609))),"SIM","")</f>
        <v/>
      </c>
      <c r="AG609" s="92">
        <f>IF(AND(ISNUMBER(SEARCH("Delivery",N609)),ISNUMBER(SEARCH("Santana",N609))),"SIM","")</f>
        <v/>
      </c>
      <c r="AH609" s="92">
        <f>IF(AND(ISNUMBER(SEARCH("Delivery",N609)),ISNUMBER(SEARCH("André",N609))),"SIM","")</f>
        <v/>
      </c>
      <c r="AI609" s="92">
        <f>IF(ISNUMBER(SEARCH("Interlagos",N609)),"SIM","")</f>
        <v/>
      </c>
      <c r="AJ609" s="92">
        <f>IF(ISNUMBER(SEARCH("Quiosque",N609)),"SIM","")</f>
        <v/>
      </c>
      <c r="AK609" s="93" t="n"/>
    </row>
    <row r="610">
      <c r="A610" s="88" t="inlineStr">
        <is>
          <t>Protheus</t>
        </is>
      </c>
      <c r="B610" s="89" t="inlineStr">
        <is>
          <t>010014</t>
        </is>
      </c>
      <c r="C610" s="90">
        <f>IF(B610="—","—",IFERROR(VLOOKUP(B610,_Protheus_Cadastro!$A:$B,2,FALSE),"—"))</f>
        <v/>
      </c>
      <c r="D610" s="91">
        <f>IF(B610="—",IFERROR(INDEX(_ZIG_Cadastro!$D:$D,MATCH(H610,_ZIG_Cadastro!$A:$A,0)),"Produto"),IFERROR(VLOOKUP(B610,_Protheus_Cadastro!$A:$C,3,FALSE),"—"))</f>
        <v/>
      </c>
      <c r="E610" s="91">
        <f>IF(B610="—","—",IFERROR(VLOOKUP(B610,_Protheus_Cadastro!$A:$D,4,FALSE),"—"))</f>
        <v/>
      </c>
      <c r="F610" s="91">
        <f>IF(ISERROR(VLOOKUP(B610,'Estrutura Protheus'!A:A,1,FALSE)),"Não","Sim")</f>
        <v/>
      </c>
      <c r="G610" s="92">
        <f>IFERROR(INDEX(_Protheus_Cadastro!$H:$H,MATCH(B610,_Protheus_Cadastro!$A:$A,0)),"—")</f>
        <v/>
      </c>
      <c r="H610" s="210">
        <f>IFERROR(INDEX(_ZIG_Precos!$D:$D,MATCH(I610,_ZIG_Precos!$F:$F,0)),"—")</f>
        <v/>
      </c>
      <c r="I610" s="95">
        <f>IFERROR(VLOOKUP(B610,_Protheus_Cadastro!$A:$I,9,FALSE),"—")</f>
        <v/>
      </c>
      <c r="J610" s="93">
        <f>IFERROR(INDEX(_ZIG_Cadastro!$B:$B,MATCH(I610,_ZIG_Cadastro!$A:$A,0)),IFERROR(INDEX(_Entradas_ZIG!$B:$B,MATCH(I610,_Entradas_ZIG!$C:$C,0)),"—"))</f>
        <v/>
      </c>
      <c r="K610" s="93">
        <f>IFERROR(INDEX(_ZIG_Cadastro!$C:$C,MATCH(I610,_ZIG_Cadastro!$A:$A,0)),IFERROR(INDEX(_Entradas_ZIG!$D:$D,MATCH(I610,_Entradas_ZIG!$C:$C,0)),"—"))</f>
        <v/>
      </c>
      <c r="L610" s="92">
        <f>IF(I610="","Sem SKU ZIG",IF(I610="—","Sem SKU ZIG",IF(NOT(ISERROR(MATCH(I610,_ZIG_Cadastro!$A:$A,0))),IF(EXACT(UPPER(TRIM(C610)),UPPER(TRIM(INDEX(_ZIG_Cadastro!$B:$B,MATCH(I610,_ZIG_Cadastro!$A:$A,0))))),"OK","Atencao - Nome diverge"),IF(NOT(ISERROR(MATCH(I610,_Entradas_ZIG!$C:$C,0))),"OK","Erro - SKU nao encontrado"))))</f>
        <v/>
      </c>
      <c r="M610" s="92">
        <f>IFERROR(INDEX(_ZIG_Cadastro!$G:$G,MATCH(I610,_ZIG_Cadastro!$A:$A,0)),IF(NOT(ISERROR(MATCH(I610,_Entradas_ZIG!$C:$C,0))),"Ativo","—"))</f>
        <v/>
      </c>
      <c r="N610" s="94">
        <f>IFERROR(INDEX(_ZIG_Cadastro!$E:$E,MATCH(I610,_ZIG_Cadastro!$A:$A,0)),IFERROR(INDEX(_Entradas_ZIG!$F:$F,MATCH(I610,_Entradas_ZIG!$C:$C,0)),"—"))</f>
        <v/>
      </c>
      <c r="O610" s="92">
        <f>IF(AND(ISNUMBER(SEARCH("Espeto",N610)),ISNUMBER(SEARCH("Carin",N610))),"SIM","")</f>
        <v/>
      </c>
      <c r="P610" s="92">
        <f>IF(AND(ISNUMBER(SEARCH("Espeto",N610)),ISNUMBER(SEARCH("Lapa",N610))),"SIM","")</f>
        <v/>
      </c>
      <c r="Q610" s="92">
        <f>IF(AND(ISNUMBER(SEARCH("Espeto",N610)),ISNUMBER(SEARCH("Tatuapé",N610))),"SIM","")</f>
        <v/>
      </c>
      <c r="R610" s="92">
        <f>IF(AND(ISNUMBER(SEARCH("Espeto",N610)),ISNUMBER(SEARCH("Pavão",N610))),"SIM","")</f>
        <v/>
      </c>
      <c r="S610" s="92">
        <f>IF(AND(ISNUMBER(SEARCH("Espeto",N610)),ISNUMBER(SEARCH("Chac",N610))),"SIM","")</f>
        <v/>
      </c>
      <c r="T610" s="92">
        <f>IF(AND(ISNUMBER(SEARCH("Espeto",N610)),ISNUMBER(SEARCH("Madalena",N610))),"SIM","")</f>
        <v/>
      </c>
      <c r="U610" s="92">
        <f>IF(AND(ISNUMBER(SEARCH("Espeto",N610)),ISNUMBER(SEARCH("Mariana",N610))),"SIM","")</f>
        <v/>
      </c>
      <c r="V610" s="92">
        <f>IF(AND(ISNUMBER(SEARCH("Espeto",N610)),ISNUMBER(SEARCH("Perdizes",N610))),"SIM","")</f>
        <v/>
      </c>
      <c r="W610" s="92">
        <f>IF(AND(ISNUMBER(SEARCH("Espeto",N610)),ISNUMBER(SEARCH("Santana",N610))),"SIM","")</f>
        <v/>
      </c>
      <c r="X610" s="92">
        <f>IF(AND(ISNUMBER(SEARCH("Espeto",N610)),ISNUMBER(SEARCH("André",N610))),"SIM","")</f>
        <v/>
      </c>
      <c r="Y610" s="92">
        <f>IF(AND(ISNUMBER(SEARCH("Delivery",N610)),ISNUMBER(SEARCH("Carin",N610))),"SIM","")</f>
        <v/>
      </c>
      <c r="Z610" s="92">
        <f>IF(AND(ISNUMBER(SEARCH("Delivery",N610)),ISNUMBER(SEARCH("Lapa",N610))),"SIM","")</f>
        <v/>
      </c>
      <c r="AA610" s="92">
        <f>IF(AND(ISNUMBER(SEARCH("Delivery",N610)),ISNUMBER(SEARCH("Tatuapé",N610))),"SIM","")</f>
        <v/>
      </c>
      <c r="AB610" s="92">
        <f>IF(AND(ISNUMBER(SEARCH("Delivery",N610)),ISNUMBER(SEARCH("Pavão",N610))),"SIM","")</f>
        <v/>
      </c>
      <c r="AC610" s="92">
        <f>IF(AND(ISNUMBER(SEARCH("Delivery",N610)),ISNUMBER(SEARCH("Chac",N610))),"SIM","")</f>
        <v/>
      </c>
      <c r="AD610" s="92">
        <f>IF(AND(ISNUMBER(SEARCH("Delivery",N610)),ISNUMBER(SEARCH("Madalena",N610))),"SIM","")</f>
        <v/>
      </c>
      <c r="AE610" s="99">
        <f>IF(AND(ISNUMBER(SEARCH("Delivery",N610)),ISNUMBER(SEARCH("Mariana",N610))),"SIM","")</f>
        <v/>
      </c>
      <c r="AF610" s="99">
        <f>IF(AND(ISNUMBER(SEARCH("Delivery",N610)),ISNUMBER(SEARCH("Perdizes",N610))),"SIM","")</f>
        <v/>
      </c>
      <c r="AG610" s="99">
        <f>IF(AND(ISNUMBER(SEARCH("Delivery",N610)),ISNUMBER(SEARCH("Santana",N610))),"SIM","")</f>
        <v/>
      </c>
      <c r="AH610" s="99">
        <f>IF(AND(ISNUMBER(SEARCH("Delivery",N610)),ISNUMBER(SEARCH("André",N610))),"SIM","")</f>
        <v/>
      </c>
      <c r="AI610" s="99">
        <f>IF(ISNUMBER(SEARCH("Interlagos",N610)),"SIM","")</f>
        <v/>
      </c>
      <c r="AJ610" s="99">
        <f>IF(ISNUMBER(SEARCH("Quiosque",N610)),"SIM","")</f>
        <v/>
      </c>
      <c r="AK610" s="101" t="n"/>
    </row>
    <row r="611">
      <c r="A611" s="88" t="inlineStr">
        <is>
          <t>Protheus</t>
        </is>
      </c>
      <c r="B611" s="96" t="inlineStr">
        <is>
          <t>010019</t>
        </is>
      </c>
      <c r="C611" s="97">
        <f>IF(B611="—","—",IFERROR(VLOOKUP(B611,_Protheus_Cadastro!$A:$B,2,FALSE),"—"))</f>
        <v/>
      </c>
      <c r="D611" s="98">
        <f>IF(B611="—",IFERROR(INDEX(_ZIG_Cadastro!$D:$D,MATCH(H611,_ZIG_Cadastro!$A:$A,0)),"Produto"),IFERROR(VLOOKUP(B611,_Protheus_Cadastro!$A:$C,3,FALSE),"—"))</f>
        <v/>
      </c>
      <c r="E611" s="98">
        <f>IF(B611="—","—",IFERROR(VLOOKUP(B611,_Protheus_Cadastro!$A:$D,4,FALSE),"—"))</f>
        <v/>
      </c>
      <c r="F611" s="98">
        <f>IF(ISERROR(VLOOKUP(B611,'Estrutura Protheus'!A:A,1,FALSE)),"Não","Sim")</f>
        <v/>
      </c>
      <c r="G611" s="99">
        <f>IFERROR(INDEX(_Protheus_Cadastro!$H:$H,MATCH(B611,_Protheus_Cadastro!$A:$A,0)),"—")</f>
        <v/>
      </c>
      <c r="H611" s="211">
        <f>IFERROR(INDEX(_ZIG_Precos!$D:$D,MATCH(I611,_ZIG_Precos!$F:$F,0)),"—")</f>
        <v/>
      </c>
      <c r="I611" s="103">
        <f>IFERROR(VLOOKUP(B611,_Protheus_Cadastro!$A:$I,9,FALSE),"—")</f>
        <v/>
      </c>
      <c r="J611" s="101">
        <f>IFERROR(INDEX(_ZIG_Cadastro!$B:$B,MATCH(I611,_ZIG_Cadastro!$A:$A,0)),IFERROR(INDEX(_Entradas_ZIG!$B:$B,MATCH(I611,_Entradas_ZIG!$C:$C,0)),"—"))</f>
        <v/>
      </c>
      <c r="K611" s="101">
        <f>IFERROR(INDEX(_ZIG_Cadastro!$C:$C,MATCH(I611,_ZIG_Cadastro!$A:$A,0)),IFERROR(INDEX(_Entradas_ZIG!$D:$D,MATCH(I611,_Entradas_ZIG!$C:$C,0)),"—"))</f>
        <v/>
      </c>
      <c r="L611" s="99">
        <f>IF(I611="","Sem SKU ZIG",IF(I611="—","Sem SKU ZIG",IF(NOT(ISERROR(MATCH(I611,_ZIG_Cadastro!$A:$A,0))),IF(EXACT(UPPER(TRIM(C611)),UPPER(TRIM(INDEX(_ZIG_Cadastro!$B:$B,MATCH(I611,_ZIG_Cadastro!$A:$A,0))))),"OK","Atencao - Nome diverge"),IF(NOT(ISERROR(MATCH(I611,_Entradas_ZIG!$C:$C,0))),"OK","Erro - SKU nao encontrado"))))</f>
        <v/>
      </c>
      <c r="M611" s="99">
        <f>IFERROR(INDEX(_ZIG_Cadastro!$G:$G,MATCH(I611,_ZIG_Cadastro!$A:$A,0)),IF(NOT(ISERROR(MATCH(I611,_Entradas_ZIG!$C:$C,0))),"Ativo","—"))</f>
        <v/>
      </c>
      <c r="N611" s="102">
        <f>IFERROR(INDEX(_ZIG_Cadastro!$E:$E,MATCH(I611,_ZIG_Cadastro!$A:$A,0)),IFERROR(INDEX(_Entradas_ZIG!$F:$F,MATCH(I611,_Entradas_ZIG!$C:$C,0)),"—"))</f>
        <v/>
      </c>
      <c r="O611" s="99">
        <f>IF(AND(ISNUMBER(SEARCH("Espeto",N611)),ISNUMBER(SEARCH("Carin",N611))),"SIM","")</f>
        <v/>
      </c>
      <c r="P611" s="99">
        <f>IF(AND(ISNUMBER(SEARCH("Espeto",N611)),ISNUMBER(SEARCH("Lapa",N611))),"SIM","")</f>
        <v/>
      </c>
      <c r="Q611" s="99">
        <f>IF(AND(ISNUMBER(SEARCH("Espeto",N611)),ISNUMBER(SEARCH("Tatuapé",N611))),"SIM","")</f>
        <v/>
      </c>
      <c r="R611" s="99">
        <f>IF(AND(ISNUMBER(SEARCH("Espeto",N611)),ISNUMBER(SEARCH("Pavão",N611))),"SIM","")</f>
        <v/>
      </c>
      <c r="S611" s="99">
        <f>IF(AND(ISNUMBER(SEARCH("Espeto",N611)),ISNUMBER(SEARCH("Chac",N611))),"SIM","")</f>
        <v/>
      </c>
      <c r="T611" s="99">
        <f>IF(AND(ISNUMBER(SEARCH("Espeto",N611)),ISNUMBER(SEARCH("Madalena",N611))),"SIM","")</f>
        <v/>
      </c>
      <c r="U611" s="99">
        <f>IF(AND(ISNUMBER(SEARCH("Espeto",N611)),ISNUMBER(SEARCH("Mariana",N611))),"SIM","")</f>
        <v/>
      </c>
      <c r="V611" s="99">
        <f>IF(AND(ISNUMBER(SEARCH("Espeto",N611)),ISNUMBER(SEARCH("Perdizes",N611))),"SIM","")</f>
        <v/>
      </c>
      <c r="W611" s="99">
        <f>IF(AND(ISNUMBER(SEARCH("Espeto",N611)),ISNUMBER(SEARCH("Santana",N611))),"SIM","")</f>
        <v/>
      </c>
      <c r="X611" s="99">
        <f>IF(AND(ISNUMBER(SEARCH("Espeto",N611)),ISNUMBER(SEARCH("André",N611))),"SIM","")</f>
        <v/>
      </c>
      <c r="Y611" s="99">
        <f>IF(AND(ISNUMBER(SEARCH("Delivery",N611)),ISNUMBER(SEARCH("Carin",N611))),"SIM","")</f>
        <v/>
      </c>
      <c r="Z611" s="99">
        <f>IF(AND(ISNUMBER(SEARCH("Delivery",N611)),ISNUMBER(SEARCH("Lapa",N611))),"SIM","")</f>
        <v/>
      </c>
      <c r="AA611" s="99">
        <f>IF(AND(ISNUMBER(SEARCH("Delivery",N611)),ISNUMBER(SEARCH("Tatuapé",N611))),"SIM","")</f>
        <v/>
      </c>
      <c r="AB611" s="99">
        <f>IF(AND(ISNUMBER(SEARCH("Delivery",N611)),ISNUMBER(SEARCH("Pavão",N611))),"SIM","")</f>
        <v/>
      </c>
      <c r="AC611" s="99">
        <f>IF(AND(ISNUMBER(SEARCH("Delivery",N611)),ISNUMBER(SEARCH("Chac",N611))),"SIM","")</f>
        <v/>
      </c>
      <c r="AD611" s="99">
        <f>IF(AND(ISNUMBER(SEARCH("Delivery",N611)),ISNUMBER(SEARCH("Madalena",N611))),"SIM","")</f>
        <v/>
      </c>
      <c r="AE611" s="92">
        <f>IF(AND(ISNUMBER(SEARCH("Delivery",N611)),ISNUMBER(SEARCH("Mariana",N611))),"SIM","")</f>
        <v/>
      </c>
      <c r="AF611" s="92">
        <f>IF(AND(ISNUMBER(SEARCH("Delivery",N611)),ISNUMBER(SEARCH("Perdizes",N611))),"SIM","")</f>
        <v/>
      </c>
      <c r="AG611" s="92">
        <f>IF(AND(ISNUMBER(SEARCH("Delivery",N611)),ISNUMBER(SEARCH("Santana",N611))),"SIM","")</f>
        <v/>
      </c>
      <c r="AH611" s="92">
        <f>IF(AND(ISNUMBER(SEARCH("Delivery",N611)),ISNUMBER(SEARCH("André",N611))),"SIM","")</f>
        <v/>
      </c>
      <c r="AI611" s="92">
        <f>IF(ISNUMBER(SEARCH("Interlagos",N611)),"SIM","")</f>
        <v/>
      </c>
      <c r="AJ611" s="92">
        <f>IF(ISNUMBER(SEARCH("Quiosque",N611)),"SIM","")</f>
        <v/>
      </c>
      <c r="AK611" s="93" t="n"/>
    </row>
    <row r="612">
      <c r="A612" s="88" t="inlineStr">
        <is>
          <t>Protheus</t>
        </is>
      </c>
      <c r="B612" s="89" t="inlineStr">
        <is>
          <t>001310</t>
        </is>
      </c>
      <c r="C612" s="90">
        <f>IF(B612="—","—",IFERROR(VLOOKUP(B612,_Protheus_Cadastro!$A:$B,2,FALSE),"—"))</f>
        <v/>
      </c>
      <c r="D612" s="91">
        <f>IF(B612="—",IFERROR(INDEX(_ZIG_Cadastro!$D:$D,MATCH(H612,_ZIG_Cadastro!$A:$A,0)),"Produto"),IFERROR(VLOOKUP(B612,_Protheus_Cadastro!$A:$C,3,FALSE),"—"))</f>
        <v/>
      </c>
      <c r="E612" s="91">
        <f>IF(B612="—","—",IFERROR(VLOOKUP(B612,_Protheus_Cadastro!$A:$D,4,FALSE),"—"))</f>
        <v/>
      </c>
      <c r="F612" s="91">
        <f>IF(ISERROR(VLOOKUP(B612,'Estrutura Protheus'!A:A,1,FALSE)),"Não","Sim")</f>
        <v/>
      </c>
      <c r="G612" s="92">
        <f>IFERROR(INDEX(_Protheus_Cadastro!$H:$H,MATCH(B612,_Protheus_Cadastro!$A:$A,0)),"—")</f>
        <v/>
      </c>
      <c r="H612" s="210">
        <f>IFERROR(INDEX(_ZIG_Precos!$D:$D,MATCH(I612,_ZIG_Precos!$F:$F,0)),"—")</f>
        <v/>
      </c>
      <c r="I612" s="95">
        <f>IFERROR(VLOOKUP(B612,_Protheus_Cadastro!$A:$I,9,FALSE),"—")</f>
        <v/>
      </c>
      <c r="J612" s="93">
        <f>IFERROR(INDEX(_ZIG_Cadastro!$B:$B,MATCH(I612,_ZIG_Cadastro!$A:$A,0)),IFERROR(INDEX(_Entradas_ZIG!$B:$B,MATCH(I612,_Entradas_ZIG!$C:$C,0)),"—"))</f>
        <v/>
      </c>
      <c r="K612" s="93">
        <f>IFERROR(INDEX(_ZIG_Cadastro!$C:$C,MATCH(I612,_ZIG_Cadastro!$A:$A,0)),IFERROR(INDEX(_Entradas_ZIG!$D:$D,MATCH(I612,_Entradas_ZIG!$C:$C,0)),"—"))</f>
        <v/>
      </c>
      <c r="L612" s="92">
        <f>IF(I612="","Sem SKU ZIG",IF(I612="—","Sem SKU ZIG",IF(NOT(ISERROR(MATCH(I612,_ZIG_Cadastro!$A:$A,0))),IF(EXACT(UPPER(TRIM(C612)),UPPER(TRIM(INDEX(_ZIG_Cadastro!$B:$B,MATCH(I612,_ZIG_Cadastro!$A:$A,0))))),"OK","Atencao - Nome diverge"),IF(NOT(ISERROR(MATCH(I612,_Entradas_ZIG!$C:$C,0))),"OK","Erro - SKU nao encontrado"))))</f>
        <v/>
      </c>
      <c r="M612" s="92">
        <f>IFERROR(INDEX(_ZIG_Cadastro!$G:$G,MATCH(I612,_ZIG_Cadastro!$A:$A,0)),IF(NOT(ISERROR(MATCH(I612,_Entradas_ZIG!$C:$C,0))),"Ativo","—"))</f>
        <v/>
      </c>
      <c r="N612" s="94">
        <f>IFERROR(INDEX(_ZIG_Cadastro!$E:$E,MATCH(I612,_ZIG_Cadastro!$A:$A,0)),IFERROR(INDEX(_Entradas_ZIG!$F:$F,MATCH(I612,_Entradas_ZIG!$C:$C,0)),"—"))</f>
        <v/>
      </c>
      <c r="O612" s="92">
        <f>IF(AND(ISNUMBER(SEARCH("Espeto",N612)),ISNUMBER(SEARCH("Carin",N612))),"SIM","")</f>
        <v/>
      </c>
      <c r="P612" s="92">
        <f>IF(AND(ISNUMBER(SEARCH("Espeto",N612)),ISNUMBER(SEARCH("Lapa",N612))),"SIM","")</f>
        <v/>
      </c>
      <c r="Q612" s="92">
        <f>IF(AND(ISNUMBER(SEARCH("Espeto",N612)),ISNUMBER(SEARCH("Tatuapé",N612))),"SIM","")</f>
        <v/>
      </c>
      <c r="R612" s="92">
        <f>IF(AND(ISNUMBER(SEARCH("Espeto",N612)),ISNUMBER(SEARCH("Pavão",N612))),"SIM","")</f>
        <v/>
      </c>
      <c r="S612" s="92">
        <f>IF(AND(ISNUMBER(SEARCH("Espeto",N612)),ISNUMBER(SEARCH("Chac",N612))),"SIM","")</f>
        <v/>
      </c>
      <c r="T612" s="92">
        <f>IF(AND(ISNUMBER(SEARCH("Espeto",N612)),ISNUMBER(SEARCH("Madalena",N612))),"SIM","")</f>
        <v/>
      </c>
      <c r="U612" s="92">
        <f>IF(AND(ISNUMBER(SEARCH("Espeto",N612)),ISNUMBER(SEARCH("Mariana",N612))),"SIM","")</f>
        <v/>
      </c>
      <c r="V612" s="92">
        <f>IF(AND(ISNUMBER(SEARCH("Espeto",N612)),ISNUMBER(SEARCH("Perdizes",N612))),"SIM","")</f>
        <v/>
      </c>
      <c r="W612" s="92">
        <f>IF(AND(ISNUMBER(SEARCH("Espeto",N612)),ISNUMBER(SEARCH("Santana",N612))),"SIM","")</f>
        <v/>
      </c>
      <c r="X612" s="92">
        <f>IF(AND(ISNUMBER(SEARCH("Espeto",N612)),ISNUMBER(SEARCH("André",N612))),"SIM","")</f>
        <v/>
      </c>
      <c r="Y612" s="92">
        <f>IF(AND(ISNUMBER(SEARCH("Delivery",N612)),ISNUMBER(SEARCH("Carin",N612))),"SIM","")</f>
        <v/>
      </c>
      <c r="Z612" s="92">
        <f>IF(AND(ISNUMBER(SEARCH("Delivery",N612)),ISNUMBER(SEARCH("Lapa",N612))),"SIM","")</f>
        <v/>
      </c>
      <c r="AA612" s="92">
        <f>IF(AND(ISNUMBER(SEARCH("Delivery",N612)),ISNUMBER(SEARCH("Tatuapé",N612))),"SIM","")</f>
        <v/>
      </c>
      <c r="AB612" s="92">
        <f>IF(AND(ISNUMBER(SEARCH("Delivery",N612)),ISNUMBER(SEARCH("Pavão",N612))),"SIM","")</f>
        <v/>
      </c>
      <c r="AC612" s="92">
        <f>IF(AND(ISNUMBER(SEARCH("Delivery",N612)),ISNUMBER(SEARCH("Chac",N612))),"SIM","")</f>
        <v/>
      </c>
      <c r="AD612" s="92">
        <f>IF(AND(ISNUMBER(SEARCH("Delivery",N612)),ISNUMBER(SEARCH("Madalena",N612))),"SIM","")</f>
        <v/>
      </c>
      <c r="AE612" s="99">
        <f>IF(AND(ISNUMBER(SEARCH("Delivery",N612)),ISNUMBER(SEARCH("Mariana",N612))),"SIM","")</f>
        <v/>
      </c>
      <c r="AF612" s="99">
        <f>IF(AND(ISNUMBER(SEARCH("Delivery",N612)),ISNUMBER(SEARCH("Perdizes",N612))),"SIM","")</f>
        <v/>
      </c>
      <c r="AG612" s="99">
        <f>IF(AND(ISNUMBER(SEARCH("Delivery",N612)),ISNUMBER(SEARCH("Santana",N612))),"SIM","")</f>
        <v/>
      </c>
      <c r="AH612" s="99">
        <f>IF(AND(ISNUMBER(SEARCH("Delivery",N612)),ISNUMBER(SEARCH("André",N612))),"SIM","")</f>
        <v/>
      </c>
      <c r="AI612" s="99">
        <f>IF(ISNUMBER(SEARCH("Interlagos",N612)),"SIM","")</f>
        <v/>
      </c>
      <c r="AJ612" s="99">
        <f>IF(ISNUMBER(SEARCH("Quiosque",N612)),"SIM","")</f>
        <v/>
      </c>
      <c r="AK612" s="101" t="n"/>
    </row>
    <row r="613">
      <c r="A613" s="88" t="inlineStr">
        <is>
          <t>Protheus</t>
        </is>
      </c>
      <c r="B613" s="96" t="inlineStr">
        <is>
          <t>010016</t>
        </is>
      </c>
      <c r="C613" s="97">
        <f>IF(B613="—","—",IFERROR(VLOOKUP(B613,_Protheus_Cadastro!$A:$B,2,FALSE),"—"))</f>
        <v/>
      </c>
      <c r="D613" s="98">
        <f>IF(B613="—",IFERROR(INDEX(_ZIG_Cadastro!$D:$D,MATCH(H613,_ZIG_Cadastro!$A:$A,0)),"Produto"),IFERROR(VLOOKUP(B613,_Protheus_Cadastro!$A:$C,3,FALSE),"—"))</f>
        <v/>
      </c>
      <c r="E613" s="98">
        <f>IF(B613="—","—",IFERROR(VLOOKUP(B613,_Protheus_Cadastro!$A:$D,4,FALSE),"—"))</f>
        <v/>
      </c>
      <c r="F613" s="98">
        <f>IF(ISERROR(VLOOKUP(B613,'Estrutura Protheus'!A:A,1,FALSE)),"Não","Sim")</f>
        <v/>
      </c>
      <c r="G613" s="99">
        <f>IFERROR(INDEX(_Protheus_Cadastro!$H:$H,MATCH(B613,_Protheus_Cadastro!$A:$A,0)),"—")</f>
        <v/>
      </c>
      <c r="H613" s="211">
        <f>IFERROR(INDEX(_ZIG_Precos!$D:$D,MATCH(I613,_ZIG_Precos!$F:$F,0)),"—")</f>
        <v/>
      </c>
      <c r="I613" s="103">
        <f>IFERROR(VLOOKUP(B613,_Protheus_Cadastro!$A:$I,9,FALSE),"—")</f>
        <v/>
      </c>
      <c r="J613" s="101">
        <f>IFERROR(INDEX(_ZIG_Cadastro!$B:$B,MATCH(I613,_ZIG_Cadastro!$A:$A,0)),IFERROR(INDEX(_Entradas_ZIG!$B:$B,MATCH(I613,_Entradas_ZIG!$C:$C,0)),"—"))</f>
        <v/>
      </c>
      <c r="K613" s="101">
        <f>IFERROR(INDEX(_ZIG_Cadastro!$C:$C,MATCH(I613,_ZIG_Cadastro!$A:$A,0)),IFERROR(INDEX(_Entradas_ZIG!$D:$D,MATCH(I613,_Entradas_ZIG!$C:$C,0)),"—"))</f>
        <v/>
      </c>
      <c r="L613" s="99">
        <f>IF(I613="","Sem SKU ZIG",IF(I613="—","Sem SKU ZIG",IF(NOT(ISERROR(MATCH(I613,_ZIG_Cadastro!$A:$A,0))),IF(EXACT(UPPER(TRIM(C613)),UPPER(TRIM(INDEX(_ZIG_Cadastro!$B:$B,MATCH(I613,_ZIG_Cadastro!$A:$A,0))))),"OK","Atencao - Nome diverge"),IF(NOT(ISERROR(MATCH(I613,_Entradas_ZIG!$C:$C,0))),"OK","Erro - SKU nao encontrado"))))</f>
        <v/>
      </c>
      <c r="M613" s="99">
        <f>IFERROR(INDEX(_ZIG_Cadastro!$G:$G,MATCH(I613,_ZIG_Cadastro!$A:$A,0)),IF(NOT(ISERROR(MATCH(I613,_Entradas_ZIG!$C:$C,0))),"Ativo","—"))</f>
        <v/>
      </c>
      <c r="N613" s="102">
        <f>IFERROR(INDEX(_ZIG_Cadastro!$E:$E,MATCH(I613,_ZIG_Cadastro!$A:$A,0)),IFERROR(INDEX(_Entradas_ZIG!$F:$F,MATCH(I613,_Entradas_ZIG!$C:$C,0)),"—"))</f>
        <v/>
      </c>
      <c r="O613" s="99">
        <f>IF(AND(ISNUMBER(SEARCH("Espeto",N613)),ISNUMBER(SEARCH("Carin",N613))),"SIM","")</f>
        <v/>
      </c>
      <c r="P613" s="99">
        <f>IF(AND(ISNUMBER(SEARCH("Espeto",N613)),ISNUMBER(SEARCH("Lapa",N613))),"SIM","")</f>
        <v/>
      </c>
      <c r="Q613" s="99">
        <f>IF(AND(ISNUMBER(SEARCH("Espeto",N613)),ISNUMBER(SEARCH("Tatuapé",N613))),"SIM","")</f>
        <v/>
      </c>
      <c r="R613" s="99">
        <f>IF(AND(ISNUMBER(SEARCH("Espeto",N613)),ISNUMBER(SEARCH("Pavão",N613))),"SIM","")</f>
        <v/>
      </c>
      <c r="S613" s="99">
        <f>IF(AND(ISNUMBER(SEARCH("Espeto",N613)),ISNUMBER(SEARCH("Chac",N613))),"SIM","")</f>
        <v/>
      </c>
      <c r="T613" s="99">
        <f>IF(AND(ISNUMBER(SEARCH("Espeto",N613)),ISNUMBER(SEARCH("Madalena",N613))),"SIM","")</f>
        <v/>
      </c>
      <c r="U613" s="99">
        <f>IF(AND(ISNUMBER(SEARCH("Espeto",N613)),ISNUMBER(SEARCH("Mariana",N613))),"SIM","")</f>
        <v/>
      </c>
      <c r="V613" s="99">
        <f>IF(AND(ISNUMBER(SEARCH("Espeto",N613)),ISNUMBER(SEARCH("Perdizes",N613))),"SIM","")</f>
        <v/>
      </c>
      <c r="W613" s="99">
        <f>IF(AND(ISNUMBER(SEARCH("Espeto",N613)),ISNUMBER(SEARCH("Santana",N613))),"SIM","")</f>
        <v/>
      </c>
      <c r="X613" s="99">
        <f>IF(AND(ISNUMBER(SEARCH("Espeto",N613)),ISNUMBER(SEARCH("André",N613))),"SIM","")</f>
        <v/>
      </c>
      <c r="Y613" s="99">
        <f>IF(AND(ISNUMBER(SEARCH("Delivery",N613)),ISNUMBER(SEARCH("Carin",N613))),"SIM","")</f>
        <v/>
      </c>
      <c r="Z613" s="99">
        <f>IF(AND(ISNUMBER(SEARCH("Delivery",N613)),ISNUMBER(SEARCH("Lapa",N613))),"SIM","")</f>
        <v/>
      </c>
      <c r="AA613" s="99">
        <f>IF(AND(ISNUMBER(SEARCH("Delivery",N613)),ISNUMBER(SEARCH("Tatuapé",N613))),"SIM","")</f>
        <v/>
      </c>
      <c r="AB613" s="99">
        <f>IF(AND(ISNUMBER(SEARCH("Delivery",N613)),ISNUMBER(SEARCH("Pavão",N613))),"SIM","")</f>
        <v/>
      </c>
      <c r="AC613" s="99">
        <f>IF(AND(ISNUMBER(SEARCH("Delivery",N613)),ISNUMBER(SEARCH("Chac",N613))),"SIM","")</f>
        <v/>
      </c>
      <c r="AD613" s="99">
        <f>IF(AND(ISNUMBER(SEARCH("Delivery",N613)),ISNUMBER(SEARCH("Madalena",N613))),"SIM","")</f>
        <v/>
      </c>
      <c r="AE613" s="92">
        <f>IF(AND(ISNUMBER(SEARCH("Delivery",N613)),ISNUMBER(SEARCH("Mariana",N613))),"SIM","")</f>
        <v/>
      </c>
      <c r="AF613" s="92">
        <f>IF(AND(ISNUMBER(SEARCH("Delivery",N613)),ISNUMBER(SEARCH("Perdizes",N613))),"SIM","")</f>
        <v/>
      </c>
      <c r="AG613" s="92">
        <f>IF(AND(ISNUMBER(SEARCH("Delivery",N613)),ISNUMBER(SEARCH("Santana",N613))),"SIM","")</f>
        <v/>
      </c>
      <c r="AH613" s="92">
        <f>IF(AND(ISNUMBER(SEARCH("Delivery",N613)),ISNUMBER(SEARCH("André",N613))),"SIM","")</f>
        <v/>
      </c>
      <c r="AI613" s="92">
        <f>IF(ISNUMBER(SEARCH("Interlagos",N613)),"SIM","")</f>
        <v/>
      </c>
      <c r="AJ613" s="92">
        <f>IF(ISNUMBER(SEARCH("Quiosque",N613)),"SIM","")</f>
        <v/>
      </c>
      <c r="AK613" s="93" t="n"/>
    </row>
    <row r="614">
      <c r="A614" s="88" t="inlineStr">
        <is>
          <t>Protheus</t>
        </is>
      </c>
      <c r="B614" s="89" t="inlineStr">
        <is>
          <t>010015</t>
        </is>
      </c>
      <c r="C614" s="90">
        <f>IF(B614="—","—",IFERROR(VLOOKUP(B614,_Protheus_Cadastro!$A:$B,2,FALSE),"—"))</f>
        <v/>
      </c>
      <c r="D614" s="91">
        <f>IF(B614="—",IFERROR(INDEX(_ZIG_Cadastro!$D:$D,MATCH(H614,_ZIG_Cadastro!$A:$A,0)),"Produto"),IFERROR(VLOOKUP(B614,_Protheus_Cadastro!$A:$C,3,FALSE),"—"))</f>
        <v/>
      </c>
      <c r="E614" s="91">
        <f>IF(B614="—","—",IFERROR(VLOOKUP(B614,_Protheus_Cadastro!$A:$D,4,FALSE),"—"))</f>
        <v/>
      </c>
      <c r="F614" s="91">
        <f>IF(ISERROR(VLOOKUP(B614,'Estrutura Protheus'!A:A,1,FALSE)),"Não","Sim")</f>
        <v/>
      </c>
      <c r="G614" s="92">
        <f>IFERROR(INDEX(_Protheus_Cadastro!$H:$H,MATCH(B614,_Protheus_Cadastro!$A:$A,0)),"—")</f>
        <v/>
      </c>
      <c r="H614" s="210">
        <f>IFERROR(INDEX(_ZIG_Precos!$D:$D,MATCH(I614,_ZIG_Precos!$F:$F,0)),"—")</f>
        <v/>
      </c>
      <c r="I614" s="95">
        <f>IFERROR(VLOOKUP(B614,_Protheus_Cadastro!$A:$I,9,FALSE),"—")</f>
        <v/>
      </c>
      <c r="J614" s="93">
        <f>IFERROR(INDEX(_ZIG_Cadastro!$B:$B,MATCH(I614,_ZIG_Cadastro!$A:$A,0)),IFERROR(INDEX(_Entradas_ZIG!$B:$B,MATCH(I614,_Entradas_ZIG!$C:$C,0)),"—"))</f>
        <v/>
      </c>
      <c r="K614" s="93">
        <f>IFERROR(INDEX(_ZIG_Cadastro!$C:$C,MATCH(I614,_ZIG_Cadastro!$A:$A,0)),IFERROR(INDEX(_Entradas_ZIG!$D:$D,MATCH(I614,_Entradas_ZIG!$C:$C,0)),"—"))</f>
        <v/>
      </c>
      <c r="L614" s="92">
        <f>IF(I614="","Sem SKU ZIG",IF(I614="—","Sem SKU ZIG",IF(NOT(ISERROR(MATCH(I614,_ZIG_Cadastro!$A:$A,0))),IF(EXACT(UPPER(TRIM(C614)),UPPER(TRIM(INDEX(_ZIG_Cadastro!$B:$B,MATCH(I614,_ZIG_Cadastro!$A:$A,0))))),"OK","Atencao - Nome diverge"),IF(NOT(ISERROR(MATCH(I614,_Entradas_ZIG!$C:$C,0))),"OK","Erro - SKU nao encontrado"))))</f>
        <v/>
      </c>
      <c r="M614" s="92">
        <f>IFERROR(INDEX(_ZIG_Cadastro!$G:$G,MATCH(I614,_ZIG_Cadastro!$A:$A,0)),IF(NOT(ISERROR(MATCH(I614,_Entradas_ZIG!$C:$C,0))),"Ativo","—"))</f>
        <v/>
      </c>
      <c r="N614" s="94">
        <f>IFERROR(INDEX(_ZIG_Cadastro!$E:$E,MATCH(I614,_ZIG_Cadastro!$A:$A,0)),IFERROR(INDEX(_Entradas_ZIG!$F:$F,MATCH(I614,_Entradas_ZIG!$C:$C,0)),"—"))</f>
        <v/>
      </c>
      <c r="O614" s="92">
        <f>IF(AND(ISNUMBER(SEARCH("Espeto",N614)),ISNUMBER(SEARCH("Carin",N614))),"SIM","")</f>
        <v/>
      </c>
      <c r="P614" s="92">
        <f>IF(AND(ISNUMBER(SEARCH("Espeto",N614)),ISNUMBER(SEARCH("Lapa",N614))),"SIM","")</f>
        <v/>
      </c>
      <c r="Q614" s="92">
        <f>IF(AND(ISNUMBER(SEARCH("Espeto",N614)),ISNUMBER(SEARCH("Tatuapé",N614))),"SIM","")</f>
        <v/>
      </c>
      <c r="R614" s="92">
        <f>IF(AND(ISNUMBER(SEARCH("Espeto",N614)),ISNUMBER(SEARCH("Pavão",N614))),"SIM","")</f>
        <v/>
      </c>
      <c r="S614" s="92">
        <f>IF(AND(ISNUMBER(SEARCH("Espeto",N614)),ISNUMBER(SEARCH("Chac",N614))),"SIM","")</f>
        <v/>
      </c>
      <c r="T614" s="92">
        <f>IF(AND(ISNUMBER(SEARCH("Espeto",N614)),ISNUMBER(SEARCH("Madalena",N614))),"SIM","")</f>
        <v/>
      </c>
      <c r="U614" s="92">
        <f>IF(AND(ISNUMBER(SEARCH("Espeto",N614)),ISNUMBER(SEARCH("Mariana",N614))),"SIM","")</f>
        <v/>
      </c>
      <c r="V614" s="92">
        <f>IF(AND(ISNUMBER(SEARCH("Espeto",N614)),ISNUMBER(SEARCH("Perdizes",N614))),"SIM","")</f>
        <v/>
      </c>
      <c r="W614" s="92">
        <f>IF(AND(ISNUMBER(SEARCH("Espeto",N614)),ISNUMBER(SEARCH("Santana",N614))),"SIM","")</f>
        <v/>
      </c>
      <c r="X614" s="92">
        <f>IF(AND(ISNUMBER(SEARCH("Espeto",N614)),ISNUMBER(SEARCH("André",N614))),"SIM","")</f>
        <v/>
      </c>
      <c r="Y614" s="92">
        <f>IF(AND(ISNUMBER(SEARCH("Delivery",N614)),ISNUMBER(SEARCH("Carin",N614))),"SIM","")</f>
        <v/>
      </c>
      <c r="Z614" s="92">
        <f>IF(AND(ISNUMBER(SEARCH("Delivery",N614)),ISNUMBER(SEARCH("Lapa",N614))),"SIM","")</f>
        <v/>
      </c>
      <c r="AA614" s="92">
        <f>IF(AND(ISNUMBER(SEARCH("Delivery",N614)),ISNUMBER(SEARCH("Tatuapé",N614))),"SIM","")</f>
        <v/>
      </c>
      <c r="AB614" s="92">
        <f>IF(AND(ISNUMBER(SEARCH("Delivery",N614)),ISNUMBER(SEARCH("Pavão",N614))),"SIM","")</f>
        <v/>
      </c>
      <c r="AC614" s="92">
        <f>IF(AND(ISNUMBER(SEARCH("Delivery",N614)),ISNUMBER(SEARCH("Chac",N614))),"SIM","")</f>
        <v/>
      </c>
      <c r="AD614" s="92">
        <f>IF(AND(ISNUMBER(SEARCH("Delivery",N614)),ISNUMBER(SEARCH("Madalena",N614))),"SIM","")</f>
        <v/>
      </c>
      <c r="AE614" s="99">
        <f>IF(AND(ISNUMBER(SEARCH("Delivery",N614)),ISNUMBER(SEARCH("Mariana",N614))),"SIM","")</f>
        <v/>
      </c>
      <c r="AF614" s="99">
        <f>IF(AND(ISNUMBER(SEARCH("Delivery",N614)),ISNUMBER(SEARCH("Perdizes",N614))),"SIM","")</f>
        <v/>
      </c>
      <c r="AG614" s="99">
        <f>IF(AND(ISNUMBER(SEARCH("Delivery",N614)),ISNUMBER(SEARCH("Santana",N614))),"SIM","")</f>
        <v/>
      </c>
      <c r="AH614" s="99">
        <f>IF(AND(ISNUMBER(SEARCH("Delivery",N614)),ISNUMBER(SEARCH("André",N614))),"SIM","")</f>
        <v/>
      </c>
      <c r="AI614" s="99">
        <f>IF(ISNUMBER(SEARCH("Interlagos",N614)),"SIM","")</f>
        <v/>
      </c>
      <c r="AJ614" s="99">
        <f>IF(ISNUMBER(SEARCH("Quiosque",N614)),"SIM","")</f>
        <v/>
      </c>
      <c r="AK614" s="101" t="n"/>
    </row>
    <row r="615">
      <c r="A615" s="88" t="inlineStr">
        <is>
          <t>Protheus</t>
        </is>
      </c>
      <c r="B615" s="96" t="inlineStr">
        <is>
          <t>010017</t>
        </is>
      </c>
      <c r="C615" s="97">
        <f>IF(B615="—","—",IFERROR(VLOOKUP(B615,_Protheus_Cadastro!$A:$B,2,FALSE),"—"))</f>
        <v/>
      </c>
      <c r="D615" s="98">
        <f>IF(B615="—",IFERROR(INDEX(_ZIG_Cadastro!$D:$D,MATCH(H615,_ZIG_Cadastro!$A:$A,0)),"Produto"),IFERROR(VLOOKUP(B615,_Protheus_Cadastro!$A:$C,3,FALSE),"—"))</f>
        <v/>
      </c>
      <c r="E615" s="98">
        <f>IF(B615="—","—",IFERROR(VLOOKUP(B615,_Protheus_Cadastro!$A:$D,4,FALSE),"—"))</f>
        <v/>
      </c>
      <c r="F615" s="98">
        <f>IF(ISERROR(VLOOKUP(B615,'Estrutura Protheus'!A:A,1,FALSE)),"Não","Sim")</f>
        <v/>
      </c>
      <c r="G615" s="99">
        <f>IFERROR(INDEX(_Protheus_Cadastro!$H:$H,MATCH(B615,_Protheus_Cadastro!$A:$A,0)),"—")</f>
        <v/>
      </c>
      <c r="H615" s="211">
        <f>IFERROR(INDEX(_ZIG_Precos!$D:$D,MATCH(I615,_ZIG_Precos!$F:$F,0)),"—")</f>
        <v/>
      </c>
      <c r="I615" s="103">
        <f>IFERROR(VLOOKUP(B615,_Protheus_Cadastro!$A:$I,9,FALSE),"—")</f>
        <v/>
      </c>
      <c r="J615" s="101">
        <f>IFERROR(INDEX(_ZIG_Cadastro!$B:$B,MATCH(I615,_ZIG_Cadastro!$A:$A,0)),IFERROR(INDEX(_Entradas_ZIG!$B:$B,MATCH(I615,_Entradas_ZIG!$C:$C,0)),"—"))</f>
        <v/>
      </c>
      <c r="K615" s="101">
        <f>IFERROR(INDEX(_ZIG_Cadastro!$C:$C,MATCH(I615,_ZIG_Cadastro!$A:$A,0)),IFERROR(INDEX(_Entradas_ZIG!$D:$D,MATCH(I615,_Entradas_ZIG!$C:$C,0)),"—"))</f>
        <v/>
      </c>
      <c r="L615" s="99">
        <f>IF(I615="","Sem SKU ZIG",IF(I615="—","Sem SKU ZIG",IF(NOT(ISERROR(MATCH(I615,_ZIG_Cadastro!$A:$A,0))),IF(EXACT(UPPER(TRIM(C615)),UPPER(TRIM(INDEX(_ZIG_Cadastro!$B:$B,MATCH(I615,_ZIG_Cadastro!$A:$A,0))))),"OK","Atencao - Nome diverge"),IF(NOT(ISERROR(MATCH(I615,_Entradas_ZIG!$C:$C,0))),"OK","Erro - SKU nao encontrado"))))</f>
        <v/>
      </c>
      <c r="M615" s="99">
        <f>IFERROR(INDEX(_ZIG_Cadastro!$G:$G,MATCH(I615,_ZIG_Cadastro!$A:$A,0)),IF(NOT(ISERROR(MATCH(I615,_Entradas_ZIG!$C:$C,0))),"Ativo","—"))</f>
        <v/>
      </c>
      <c r="N615" s="102">
        <f>IFERROR(INDEX(_ZIG_Cadastro!$E:$E,MATCH(I615,_ZIG_Cadastro!$A:$A,0)),IFERROR(INDEX(_Entradas_ZIG!$F:$F,MATCH(I615,_Entradas_ZIG!$C:$C,0)),"—"))</f>
        <v/>
      </c>
      <c r="O615" s="99">
        <f>IF(AND(ISNUMBER(SEARCH("Espeto",N615)),ISNUMBER(SEARCH("Carin",N615))),"SIM","")</f>
        <v/>
      </c>
      <c r="P615" s="99">
        <f>IF(AND(ISNUMBER(SEARCH("Espeto",N615)),ISNUMBER(SEARCH("Lapa",N615))),"SIM","")</f>
        <v/>
      </c>
      <c r="Q615" s="99">
        <f>IF(AND(ISNUMBER(SEARCH("Espeto",N615)),ISNUMBER(SEARCH("Tatuapé",N615))),"SIM","")</f>
        <v/>
      </c>
      <c r="R615" s="99">
        <f>IF(AND(ISNUMBER(SEARCH("Espeto",N615)),ISNUMBER(SEARCH("Pavão",N615))),"SIM","")</f>
        <v/>
      </c>
      <c r="S615" s="99">
        <f>IF(AND(ISNUMBER(SEARCH("Espeto",N615)),ISNUMBER(SEARCH("Chac",N615))),"SIM","")</f>
        <v/>
      </c>
      <c r="T615" s="99">
        <f>IF(AND(ISNUMBER(SEARCH("Espeto",N615)),ISNUMBER(SEARCH("Madalena",N615))),"SIM","")</f>
        <v/>
      </c>
      <c r="U615" s="99">
        <f>IF(AND(ISNUMBER(SEARCH("Espeto",N615)),ISNUMBER(SEARCH("Mariana",N615))),"SIM","")</f>
        <v/>
      </c>
      <c r="V615" s="99">
        <f>IF(AND(ISNUMBER(SEARCH("Espeto",N615)),ISNUMBER(SEARCH("Perdizes",N615))),"SIM","")</f>
        <v/>
      </c>
      <c r="W615" s="99">
        <f>IF(AND(ISNUMBER(SEARCH("Espeto",N615)),ISNUMBER(SEARCH("Santana",N615))),"SIM","")</f>
        <v/>
      </c>
      <c r="X615" s="99">
        <f>IF(AND(ISNUMBER(SEARCH("Espeto",N615)),ISNUMBER(SEARCH("André",N615))),"SIM","")</f>
        <v/>
      </c>
      <c r="Y615" s="99">
        <f>IF(AND(ISNUMBER(SEARCH("Delivery",N615)),ISNUMBER(SEARCH("Carin",N615))),"SIM","")</f>
        <v/>
      </c>
      <c r="Z615" s="99">
        <f>IF(AND(ISNUMBER(SEARCH("Delivery",N615)),ISNUMBER(SEARCH("Lapa",N615))),"SIM","")</f>
        <v/>
      </c>
      <c r="AA615" s="99">
        <f>IF(AND(ISNUMBER(SEARCH("Delivery",N615)),ISNUMBER(SEARCH("Tatuapé",N615))),"SIM","")</f>
        <v/>
      </c>
      <c r="AB615" s="99">
        <f>IF(AND(ISNUMBER(SEARCH("Delivery",N615)),ISNUMBER(SEARCH("Pavão",N615))),"SIM","")</f>
        <v/>
      </c>
      <c r="AC615" s="99">
        <f>IF(AND(ISNUMBER(SEARCH("Delivery",N615)),ISNUMBER(SEARCH("Chac",N615))),"SIM","")</f>
        <v/>
      </c>
      <c r="AD615" s="99">
        <f>IF(AND(ISNUMBER(SEARCH("Delivery",N615)),ISNUMBER(SEARCH("Madalena",N615))),"SIM","")</f>
        <v/>
      </c>
      <c r="AE615" s="92">
        <f>IF(AND(ISNUMBER(SEARCH("Delivery",N615)),ISNUMBER(SEARCH("Mariana",N615))),"SIM","")</f>
        <v/>
      </c>
      <c r="AF615" s="92">
        <f>IF(AND(ISNUMBER(SEARCH("Delivery",N615)),ISNUMBER(SEARCH("Perdizes",N615))),"SIM","")</f>
        <v/>
      </c>
      <c r="AG615" s="92">
        <f>IF(AND(ISNUMBER(SEARCH("Delivery",N615)),ISNUMBER(SEARCH("Santana",N615))),"SIM","")</f>
        <v/>
      </c>
      <c r="AH615" s="92">
        <f>IF(AND(ISNUMBER(SEARCH("Delivery",N615)),ISNUMBER(SEARCH("André",N615))),"SIM","")</f>
        <v/>
      </c>
      <c r="AI615" s="92">
        <f>IF(ISNUMBER(SEARCH("Interlagos",N615)),"SIM","")</f>
        <v/>
      </c>
      <c r="AJ615" s="92">
        <f>IF(ISNUMBER(SEARCH("Quiosque",N615)),"SIM","")</f>
        <v/>
      </c>
      <c r="AK615" s="93" t="n"/>
    </row>
    <row r="616">
      <c r="A616" s="88" t="inlineStr">
        <is>
          <t>Protheus</t>
        </is>
      </c>
      <c r="B616" s="89" t="inlineStr">
        <is>
          <t>010024</t>
        </is>
      </c>
      <c r="C616" s="90">
        <f>IF(B616="—","—",IFERROR(VLOOKUP(B616,_Protheus_Cadastro!$A:$B,2,FALSE),"—"))</f>
        <v/>
      </c>
      <c r="D616" s="91">
        <f>IF(B616="—",IFERROR(INDEX(_ZIG_Cadastro!$D:$D,MATCH(H616,_ZIG_Cadastro!$A:$A,0)),"Produto"),IFERROR(VLOOKUP(B616,_Protheus_Cadastro!$A:$C,3,FALSE),"—"))</f>
        <v/>
      </c>
      <c r="E616" s="91">
        <f>IF(B616="—","—",IFERROR(VLOOKUP(B616,_Protheus_Cadastro!$A:$D,4,FALSE),"—"))</f>
        <v/>
      </c>
      <c r="F616" s="91">
        <f>IF(ISERROR(VLOOKUP(B616,'Estrutura Protheus'!A:A,1,FALSE)),"Não","Sim")</f>
        <v/>
      </c>
      <c r="G616" s="92">
        <f>IFERROR(INDEX(_Protheus_Cadastro!$H:$H,MATCH(B616,_Protheus_Cadastro!$A:$A,0)),"—")</f>
        <v/>
      </c>
      <c r="H616" s="210">
        <f>IFERROR(INDEX(_ZIG_Precos!$D:$D,MATCH(I616,_ZIG_Precos!$F:$F,0)),"—")</f>
        <v/>
      </c>
      <c r="I616" s="95">
        <f>IFERROR(VLOOKUP(B616,_Protheus_Cadastro!$A:$I,9,FALSE),"—")</f>
        <v/>
      </c>
      <c r="J616" s="93">
        <f>IFERROR(INDEX(_ZIG_Cadastro!$B:$B,MATCH(I616,_ZIG_Cadastro!$A:$A,0)),IFERROR(INDEX(_Entradas_ZIG!$B:$B,MATCH(I616,_Entradas_ZIG!$C:$C,0)),"—"))</f>
        <v/>
      </c>
      <c r="K616" s="93">
        <f>IFERROR(INDEX(_ZIG_Cadastro!$C:$C,MATCH(I616,_ZIG_Cadastro!$A:$A,0)),IFERROR(INDEX(_Entradas_ZIG!$D:$D,MATCH(I616,_Entradas_ZIG!$C:$C,0)),"—"))</f>
        <v/>
      </c>
      <c r="L616" s="92">
        <f>IF(I616="","Sem SKU ZIG",IF(I616="—","Sem SKU ZIG",IF(NOT(ISERROR(MATCH(I616,_ZIG_Cadastro!$A:$A,0))),IF(EXACT(UPPER(TRIM(C616)),UPPER(TRIM(INDEX(_ZIG_Cadastro!$B:$B,MATCH(I616,_ZIG_Cadastro!$A:$A,0))))),"OK","Atencao - Nome diverge"),IF(NOT(ISERROR(MATCH(I616,_Entradas_ZIG!$C:$C,0))),"OK","Erro - SKU nao encontrado"))))</f>
        <v/>
      </c>
      <c r="M616" s="92">
        <f>IFERROR(INDEX(_ZIG_Cadastro!$G:$G,MATCH(I616,_ZIG_Cadastro!$A:$A,0)),IF(NOT(ISERROR(MATCH(I616,_Entradas_ZIG!$C:$C,0))),"Ativo","—"))</f>
        <v/>
      </c>
      <c r="N616" s="94">
        <f>IFERROR(INDEX(_ZIG_Cadastro!$E:$E,MATCH(I616,_ZIG_Cadastro!$A:$A,0)),IFERROR(INDEX(_Entradas_ZIG!$F:$F,MATCH(I616,_Entradas_ZIG!$C:$C,0)),"—"))</f>
        <v/>
      </c>
      <c r="O616" s="92">
        <f>IF(AND(ISNUMBER(SEARCH("Espeto",N616)),ISNUMBER(SEARCH("Carin",N616))),"SIM","")</f>
        <v/>
      </c>
      <c r="P616" s="92">
        <f>IF(AND(ISNUMBER(SEARCH("Espeto",N616)),ISNUMBER(SEARCH("Lapa",N616))),"SIM","")</f>
        <v/>
      </c>
      <c r="Q616" s="92">
        <f>IF(AND(ISNUMBER(SEARCH("Espeto",N616)),ISNUMBER(SEARCH("Tatuapé",N616))),"SIM","")</f>
        <v/>
      </c>
      <c r="R616" s="92">
        <f>IF(AND(ISNUMBER(SEARCH("Espeto",N616)),ISNUMBER(SEARCH("Pavão",N616))),"SIM","")</f>
        <v/>
      </c>
      <c r="S616" s="92">
        <f>IF(AND(ISNUMBER(SEARCH("Espeto",N616)),ISNUMBER(SEARCH("Chac",N616))),"SIM","")</f>
        <v/>
      </c>
      <c r="T616" s="92">
        <f>IF(AND(ISNUMBER(SEARCH("Espeto",N616)),ISNUMBER(SEARCH("Madalena",N616))),"SIM","")</f>
        <v/>
      </c>
      <c r="U616" s="92">
        <f>IF(AND(ISNUMBER(SEARCH("Espeto",N616)),ISNUMBER(SEARCH("Mariana",N616))),"SIM","")</f>
        <v/>
      </c>
      <c r="V616" s="92">
        <f>IF(AND(ISNUMBER(SEARCH("Espeto",N616)),ISNUMBER(SEARCH("Perdizes",N616))),"SIM","")</f>
        <v/>
      </c>
      <c r="W616" s="92">
        <f>IF(AND(ISNUMBER(SEARCH("Espeto",N616)),ISNUMBER(SEARCH("Santana",N616))),"SIM","")</f>
        <v/>
      </c>
      <c r="X616" s="92">
        <f>IF(AND(ISNUMBER(SEARCH("Espeto",N616)),ISNUMBER(SEARCH("André",N616))),"SIM","")</f>
        <v/>
      </c>
      <c r="Y616" s="92">
        <f>IF(AND(ISNUMBER(SEARCH("Delivery",N616)),ISNUMBER(SEARCH("Carin",N616))),"SIM","")</f>
        <v/>
      </c>
      <c r="Z616" s="92">
        <f>IF(AND(ISNUMBER(SEARCH("Delivery",N616)),ISNUMBER(SEARCH("Lapa",N616))),"SIM","")</f>
        <v/>
      </c>
      <c r="AA616" s="92">
        <f>IF(AND(ISNUMBER(SEARCH("Delivery",N616)),ISNUMBER(SEARCH("Tatuapé",N616))),"SIM","")</f>
        <v/>
      </c>
      <c r="AB616" s="92">
        <f>IF(AND(ISNUMBER(SEARCH("Delivery",N616)),ISNUMBER(SEARCH("Pavão",N616))),"SIM","")</f>
        <v/>
      </c>
      <c r="AC616" s="92">
        <f>IF(AND(ISNUMBER(SEARCH("Delivery",N616)),ISNUMBER(SEARCH("Chac",N616))),"SIM","")</f>
        <v/>
      </c>
      <c r="AD616" s="92">
        <f>IF(AND(ISNUMBER(SEARCH("Delivery",N616)),ISNUMBER(SEARCH("Madalena",N616))),"SIM","")</f>
        <v/>
      </c>
      <c r="AE616" s="99">
        <f>IF(AND(ISNUMBER(SEARCH("Delivery",N616)),ISNUMBER(SEARCH("Mariana",N616))),"SIM","")</f>
        <v/>
      </c>
      <c r="AF616" s="99">
        <f>IF(AND(ISNUMBER(SEARCH("Delivery",N616)),ISNUMBER(SEARCH("Perdizes",N616))),"SIM","")</f>
        <v/>
      </c>
      <c r="AG616" s="99">
        <f>IF(AND(ISNUMBER(SEARCH("Delivery",N616)),ISNUMBER(SEARCH("Santana",N616))),"SIM","")</f>
        <v/>
      </c>
      <c r="AH616" s="99">
        <f>IF(AND(ISNUMBER(SEARCH("Delivery",N616)),ISNUMBER(SEARCH("André",N616))),"SIM","")</f>
        <v/>
      </c>
      <c r="AI616" s="99">
        <f>IF(ISNUMBER(SEARCH("Interlagos",N616)),"SIM","")</f>
        <v/>
      </c>
      <c r="AJ616" s="99">
        <f>IF(ISNUMBER(SEARCH("Quiosque",N616)),"SIM","")</f>
        <v/>
      </c>
      <c r="AK616" s="101" t="n"/>
    </row>
    <row r="617">
      <c r="A617" s="88" t="inlineStr">
        <is>
          <t>Protheus</t>
        </is>
      </c>
      <c r="B617" s="96" t="inlineStr">
        <is>
          <t>010023</t>
        </is>
      </c>
      <c r="C617" s="97">
        <f>IF(B617="—","—",IFERROR(VLOOKUP(B617,_Protheus_Cadastro!$A:$B,2,FALSE),"—"))</f>
        <v/>
      </c>
      <c r="D617" s="98">
        <f>IF(B617="—",IFERROR(INDEX(_ZIG_Cadastro!$D:$D,MATCH(H617,_ZIG_Cadastro!$A:$A,0)),"Produto"),IFERROR(VLOOKUP(B617,_Protheus_Cadastro!$A:$C,3,FALSE),"—"))</f>
        <v/>
      </c>
      <c r="E617" s="98">
        <f>IF(B617="—","—",IFERROR(VLOOKUP(B617,_Protheus_Cadastro!$A:$D,4,FALSE),"—"))</f>
        <v/>
      </c>
      <c r="F617" s="98">
        <f>IF(ISERROR(VLOOKUP(B617,'Estrutura Protheus'!A:A,1,FALSE)),"Não","Sim")</f>
        <v/>
      </c>
      <c r="G617" s="99">
        <f>IFERROR(INDEX(_Protheus_Cadastro!$H:$H,MATCH(B617,_Protheus_Cadastro!$A:$A,0)),"—")</f>
        <v/>
      </c>
      <c r="H617" s="211">
        <f>IFERROR(INDEX(_ZIG_Precos!$D:$D,MATCH(I617,_ZIG_Precos!$F:$F,0)),"—")</f>
        <v/>
      </c>
      <c r="I617" s="103">
        <f>IFERROR(VLOOKUP(B617,_Protheus_Cadastro!$A:$I,9,FALSE),"—")</f>
        <v/>
      </c>
      <c r="J617" s="101">
        <f>IFERROR(INDEX(_ZIG_Cadastro!$B:$B,MATCH(I617,_ZIG_Cadastro!$A:$A,0)),IFERROR(INDEX(_Entradas_ZIG!$B:$B,MATCH(I617,_Entradas_ZIG!$C:$C,0)),"—"))</f>
        <v/>
      </c>
      <c r="K617" s="101">
        <f>IFERROR(INDEX(_ZIG_Cadastro!$C:$C,MATCH(I617,_ZIG_Cadastro!$A:$A,0)),IFERROR(INDEX(_Entradas_ZIG!$D:$D,MATCH(I617,_Entradas_ZIG!$C:$C,0)),"—"))</f>
        <v/>
      </c>
      <c r="L617" s="99">
        <f>IF(I617="","Sem SKU ZIG",IF(I617="—","Sem SKU ZIG",IF(NOT(ISERROR(MATCH(I617,_ZIG_Cadastro!$A:$A,0))),IF(EXACT(UPPER(TRIM(C617)),UPPER(TRIM(INDEX(_ZIG_Cadastro!$B:$B,MATCH(I617,_ZIG_Cadastro!$A:$A,0))))),"OK","Atencao - Nome diverge"),IF(NOT(ISERROR(MATCH(I617,_Entradas_ZIG!$C:$C,0))),"OK","Erro - SKU nao encontrado"))))</f>
        <v/>
      </c>
      <c r="M617" s="99">
        <f>IFERROR(INDEX(_ZIG_Cadastro!$G:$G,MATCH(I617,_ZIG_Cadastro!$A:$A,0)),IF(NOT(ISERROR(MATCH(I617,_Entradas_ZIG!$C:$C,0))),"Ativo","—"))</f>
        <v/>
      </c>
      <c r="N617" s="102">
        <f>IFERROR(INDEX(_ZIG_Cadastro!$E:$E,MATCH(I617,_ZIG_Cadastro!$A:$A,0)),IFERROR(INDEX(_Entradas_ZIG!$F:$F,MATCH(I617,_Entradas_ZIG!$C:$C,0)),"—"))</f>
        <v/>
      </c>
      <c r="O617" s="99">
        <f>IF(AND(ISNUMBER(SEARCH("Espeto",N617)),ISNUMBER(SEARCH("Carin",N617))),"SIM","")</f>
        <v/>
      </c>
      <c r="P617" s="99">
        <f>IF(AND(ISNUMBER(SEARCH("Espeto",N617)),ISNUMBER(SEARCH("Lapa",N617))),"SIM","")</f>
        <v/>
      </c>
      <c r="Q617" s="99">
        <f>IF(AND(ISNUMBER(SEARCH("Espeto",N617)),ISNUMBER(SEARCH("Tatuapé",N617))),"SIM","")</f>
        <v/>
      </c>
      <c r="R617" s="99">
        <f>IF(AND(ISNUMBER(SEARCH("Espeto",N617)),ISNUMBER(SEARCH("Pavão",N617))),"SIM","")</f>
        <v/>
      </c>
      <c r="S617" s="99">
        <f>IF(AND(ISNUMBER(SEARCH("Espeto",N617)),ISNUMBER(SEARCH("Chac",N617))),"SIM","")</f>
        <v/>
      </c>
      <c r="T617" s="99">
        <f>IF(AND(ISNUMBER(SEARCH("Espeto",N617)),ISNUMBER(SEARCH("Madalena",N617))),"SIM","")</f>
        <v/>
      </c>
      <c r="U617" s="99">
        <f>IF(AND(ISNUMBER(SEARCH("Espeto",N617)),ISNUMBER(SEARCH("Mariana",N617))),"SIM","")</f>
        <v/>
      </c>
      <c r="V617" s="99">
        <f>IF(AND(ISNUMBER(SEARCH("Espeto",N617)),ISNUMBER(SEARCH("Perdizes",N617))),"SIM","")</f>
        <v/>
      </c>
      <c r="W617" s="99">
        <f>IF(AND(ISNUMBER(SEARCH("Espeto",N617)),ISNUMBER(SEARCH("Santana",N617))),"SIM","")</f>
        <v/>
      </c>
      <c r="X617" s="99">
        <f>IF(AND(ISNUMBER(SEARCH("Espeto",N617)),ISNUMBER(SEARCH("André",N617))),"SIM","")</f>
        <v/>
      </c>
      <c r="Y617" s="99">
        <f>IF(AND(ISNUMBER(SEARCH("Delivery",N617)),ISNUMBER(SEARCH("Carin",N617))),"SIM","")</f>
        <v/>
      </c>
      <c r="Z617" s="99">
        <f>IF(AND(ISNUMBER(SEARCH("Delivery",N617)),ISNUMBER(SEARCH("Lapa",N617))),"SIM","")</f>
        <v/>
      </c>
      <c r="AA617" s="99">
        <f>IF(AND(ISNUMBER(SEARCH("Delivery",N617)),ISNUMBER(SEARCH("Tatuapé",N617))),"SIM","")</f>
        <v/>
      </c>
      <c r="AB617" s="99">
        <f>IF(AND(ISNUMBER(SEARCH("Delivery",N617)),ISNUMBER(SEARCH("Pavão",N617))),"SIM","")</f>
        <v/>
      </c>
      <c r="AC617" s="99">
        <f>IF(AND(ISNUMBER(SEARCH("Delivery",N617)),ISNUMBER(SEARCH("Chac",N617))),"SIM","")</f>
        <v/>
      </c>
      <c r="AD617" s="99">
        <f>IF(AND(ISNUMBER(SEARCH("Delivery",N617)),ISNUMBER(SEARCH("Madalena",N617))),"SIM","")</f>
        <v/>
      </c>
      <c r="AE617" s="92">
        <f>IF(AND(ISNUMBER(SEARCH("Delivery",N617)),ISNUMBER(SEARCH("Mariana",N617))),"SIM","")</f>
        <v/>
      </c>
      <c r="AF617" s="92">
        <f>IF(AND(ISNUMBER(SEARCH("Delivery",N617)),ISNUMBER(SEARCH("Perdizes",N617))),"SIM","")</f>
        <v/>
      </c>
      <c r="AG617" s="92">
        <f>IF(AND(ISNUMBER(SEARCH("Delivery",N617)),ISNUMBER(SEARCH("Santana",N617))),"SIM","")</f>
        <v/>
      </c>
      <c r="AH617" s="92">
        <f>IF(AND(ISNUMBER(SEARCH("Delivery",N617)),ISNUMBER(SEARCH("André",N617))),"SIM","")</f>
        <v/>
      </c>
      <c r="AI617" s="92">
        <f>IF(ISNUMBER(SEARCH("Interlagos",N617)),"SIM","")</f>
        <v/>
      </c>
      <c r="AJ617" s="92">
        <f>IF(ISNUMBER(SEARCH("Quiosque",N617)),"SIM","")</f>
        <v/>
      </c>
      <c r="AK617" s="93" t="n"/>
    </row>
    <row r="618">
      <c r="A618" s="88" t="inlineStr">
        <is>
          <t>Protheus</t>
        </is>
      </c>
      <c r="B618" s="89" t="inlineStr">
        <is>
          <t>010022</t>
        </is>
      </c>
      <c r="C618" s="90">
        <f>IF(B618="—","—",IFERROR(VLOOKUP(B618,_Protheus_Cadastro!$A:$B,2,FALSE),"—"))</f>
        <v/>
      </c>
      <c r="D618" s="91">
        <f>IF(B618="—",IFERROR(INDEX(_ZIG_Cadastro!$D:$D,MATCH(H618,_ZIG_Cadastro!$A:$A,0)),"Produto"),IFERROR(VLOOKUP(B618,_Protheus_Cadastro!$A:$C,3,FALSE),"—"))</f>
        <v/>
      </c>
      <c r="E618" s="91">
        <f>IF(B618="—","—",IFERROR(VLOOKUP(B618,_Protheus_Cadastro!$A:$D,4,FALSE),"—"))</f>
        <v/>
      </c>
      <c r="F618" s="91">
        <f>IF(ISERROR(VLOOKUP(B618,'Estrutura Protheus'!A:A,1,FALSE)),"Não","Sim")</f>
        <v/>
      </c>
      <c r="G618" s="92">
        <f>IFERROR(INDEX(_Protheus_Cadastro!$H:$H,MATCH(B618,_Protheus_Cadastro!$A:$A,0)),"—")</f>
        <v/>
      </c>
      <c r="H618" s="210">
        <f>IFERROR(INDEX(_ZIG_Precos!$D:$D,MATCH(I618,_ZIG_Precos!$F:$F,0)),"—")</f>
        <v/>
      </c>
      <c r="I618" s="95">
        <f>IFERROR(VLOOKUP(B618,_Protheus_Cadastro!$A:$I,9,FALSE),"—")</f>
        <v/>
      </c>
      <c r="J618" s="93">
        <f>IFERROR(INDEX(_ZIG_Cadastro!$B:$B,MATCH(I618,_ZIG_Cadastro!$A:$A,0)),IFERROR(INDEX(_Entradas_ZIG!$B:$B,MATCH(I618,_Entradas_ZIG!$C:$C,0)),"—"))</f>
        <v/>
      </c>
      <c r="K618" s="93">
        <f>IFERROR(INDEX(_ZIG_Cadastro!$C:$C,MATCH(I618,_ZIG_Cadastro!$A:$A,0)),IFERROR(INDEX(_Entradas_ZIG!$D:$D,MATCH(I618,_Entradas_ZIG!$C:$C,0)),"—"))</f>
        <v/>
      </c>
      <c r="L618" s="92">
        <f>IF(I618="","Sem SKU ZIG",IF(I618="—","Sem SKU ZIG",IF(NOT(ISERROR(MATCH(I618,_ZIG_Cadastro!$A:$A,0))),IF(EXACT(UPPER(TRIM(C618)),UPPER(TRIM(INDEX(_ZIG_Cadastro!$B:$B,MATCH(I618,_ZIG_Cadastro!$A:$A,0))))),"OK","Atencao - Nome diverge"),IF(NOT(ISERROR(MATCH(I618,_Entradas_ZIG!$C:$C,0))),"OK","Erro - SKU nao encontrado"))))</f>
        <v/>
      </c>
      <c r="M618" s="92">
        <f>IFERROR(INDEX(_ZIG_Cadastro!$G:$G,MATCH(I618,_ZIG_Cadastro!$A:$A,0)),IF(NOT(ISERROR(MATCH(I618,_Entradas_ZIG!$C:$C,0))),"Ativo","—"))</f>
        <v/>
      </c>
      <c r="N618" s="94">
        <f>IFERROR(INDEX(_ZIG_Cadastro!$E:$E,MATCH(I618,_ZIG_Cadastro!$A:$A,0)),IFERROR(INDEX(_Entradas_ZIG!$F:$F,MATCH(I618,_Entradas_ZIG!$C:$C,0)),"—"))</f>
        <v/>
      </c>
      <c r="O618" s="92">
        <f>IF(AND(ISNUMBER(SEARCH("Espeto",N618)),ISNUMBER(SEARCH("Carin",N618))),"SIM","")</f>
        <v/>
      </c>
      <c r="P618" s="92">
        <f>IF(AND(ISNUMBER(SEARCH("Espeto",N618)),ISNUMBER(SEARCH("Lapa",N618))),"SIM","")</f>
        <v/>
      </c>
      <c r="Q618" s="92">
        <f>IF(AND(ISNUMBER(SEARCH("Espeto",N618)),ISNUMBER(SEARCH("Tatuapé",N618))),"SIM","")</f>
        <v/>
      </c>
      <c r="R618" s="92">
        <f>IF(AND(ISNUMBER(SEARCH("Espeto",N618)),ISNUMBER(SEARCH("Pavão",N618))),"SIM","")</f>
        <v/>
      </c>
      <c r="S618" s="92">
        <f>IF(AND(ISNUMBER(SEARCH("Espeto",N618)),ISNUMBER(SEARCH("Chac",N618))),"SIM","")</f>
        <v/>
      </c>
      <c r="T618" s="92">
        <f>IF(AND(ISNUMBER(SEARCH("Espeto",N618)),ISNUMBER(SEARCH("Madalena",N618))),"SIM","")</f>
        <v/>
      </c>
      <c r="U618" s="92">
        <f>IF(AND(ISNUMBER(SEARCH("Espeto",N618)),ISNUMBER(SEARCH("Mariana",N618))),"SIM","")</f>
        <v/>
      </c>
      <c r="V618" s="92">
        <f>IF(AND(ISNUMBER(SEARCH("Espeto",N618)),ISNUMBER(SEARCH("Perdizes",N618))),"SIM","")</f>
        <v/>
      </c>
      <c r="W618" s="92">
        <f>IF(AND(ISNUMBER(SEARCH("Espeto",N618)),ISNUMBER(SEARCH("Santana",N618))),"SIM","")</f>
        <v/>
      </c>
      <c r="X618" s="92">
        <f>IF(AND(ISNUMBER(SEARCH("Espeto",N618)),ISNUMBER(SEARCH("André",N618))),"SIM","")</f>
        <v/>
      </c>
      <c r="Y618" s="92">
        <f>IF(AND(ISNUMBER(SEARCH("Delivery",N618)),ISNUMBER(SEARCH("Carin",N618))),"SIM","")</f>
        <v/>
      </c>
      <c r="Z618" s="92">
        <f>IF(AND(ISNUMBER(SEARCH("Delivery",N618)),ISNUMBER(SEARCH("Lapa",N618))),"SIM","")</f>
        <v/>
      </c>
      <c r="AA618" s="92">
        <f>IF(AND(ISNUMBER(SEARCH("Delivery",N618)),ISNUMBER(SEARCH("Tatuapé",N618))),"SIM","")</f>
        <v/>
      </c>
      <c r="AB618" s="92">
        <f>IF(AND(ISNUMBER(SEARCH("Delivery",N618)),ISNUMBER(SEARCH("Pavão",N618))),"SIM","")</f>
        <v/>
      </c>
      <c r="AC618" s="92">
        <f>IF(AND(ISNUMBER(SEARCH("Delivery",N618)),ISNUMBER(SEARCH("Chac",N618))),"SIM","")</f>
        <v/>
      </c>
      <c r="AD618" s="92">
        <f>IF(AND(ISNUMBER(SEARCH("Delivery",N618)),ISNUMBER(SEARCH("Madalena",N618))),"SIM","")</f>
        <v/>
      </c>
      <c r="AE618" s="99">
        <f>IF(AND(ISNUMBER(SEARCH("Delivery",N618)),ISNUMBER(SEARCH("Mariana",N618))),"SIM","")</f>
        <v/>
      </c>
      <c r="AF618" s="99">
        <f>IF(AND(ISNUMBER(SEARCH("Delivery",N618)),ISNUMBER(SEARCH("Perdizes",N618))),"SIM","")</f>
        <v/>
      </c>
      <c r="AG618" s="99">
        <f>IF(AND(ISNUMBER(SEARCH("Delivery",N618)),ISNUMBER(SEARCH("Santana",N618))),"SIM","")</f>
        <v/>
      </c>
      <c r="AH618" s="99">
        <f>IF(AND(ISNUMBER(SEARCH("Delivery",N618)),ISNUMBER(SEARCH("André",N618))),"SIM","")</f>
        <v/>
      </c>
      <c r="AI618" s="99">
        <f>IF(ISNUMBER(SEARCH("Interlagos",N618)),"SIM","")</f>
        <v/>
      </c>
      <c r="AJ618" s="99">
        <f>IF(ISNUMBER(SEARCH("Quiosque",N618)),"SIM","")</f>
        <v/>
      </c>
      <c r="AK618" s="101" t="n"/>
    </row>
    <row r="619">
      <c r="A619" s="88" t="inlineStr">
        <is>
          <t>Protheus</t>
        </is>
      </c>
      <c r="B619" s="96" t="inlineStr">
        <is>
          <t>010027</t>
        </is>
      </c>
      <c r="C619" s="97">
        <f>IF(B619="—","—",IFERROR(VLOOKUP(B619,_Protheus_Cadastro!$A:$B,2,FALSE),"—"))</f>
        <v/>
      </c>
      <c r="D619" s="98">
        <f>IF(B619="—",IFERROR(INDEX(_ZIG_Cadastro!$D:$D,MATCH(H619,_ZIG_Cadastro!$A:$A,0)),"Produto"),IFERROR(VLOOKUP(B619,_Protheus_Cadastro!$A:$C,3,FALSE),"—"))</f>
        <v/>
      </c>
      <c r="E619" s="98">
        <f>IF(B619="—","—",IFERROR(VLOOKUP(B619,_Protheus_Cadastro!$A:$D,4,FALSE),"—"))</f>
        <v/>
      </c>
      <c r="F619" s="98">
        <f>IF(ISERROR(VLOOKUP(B619,'Estrutura Protheus'!A:A,1,FALSE)),"Não","Sim")</f>
        <v/>
      </c>
      <c r="G619" s="99">
        <f>IFERROR(INDEX(_Protheus_Cadastro!$H:$H,MATCH(B619,_Protheus_Cadastro!$A:$A,0)),"—")</f>
        <v/>
      </c>
      <c r="H619" s="211">
        <f>IFERROR(INDEX(_ZIG_Precos!$D:$D,MATCH(I619,_ZIG_Precos!$F:$F,0)),"—")</f>
        <v/>
      </c>
      <c r="I619" s="103">
        <f>IFERROR(VLOOKUP(B619,_Protheus_Cadastro!$A:$I,9,FALSE),"—")</f>
        <v/>
      </c>
      <c r="J619" s="101">
        <f>IFERROR(INDEX(_ZIG_Cadastro!$B:$B,MATCH(I619,_ZIG_Cadastro!$A:$A,0)),IFERROR(INDEX(_Entradas_ZIG!$B:$B,MATCH(I619,_Entradas_ZIG!$C:$C,0)),"—"))</f>
        <v/>
      </c>
      <c r="K619" s="101">
        <f>IFERROR(INDEX(_ZIG_Cadastro!$C:$C,MATCH(I619,_ZIG_Cadastro!$A:$A,0)),IFERROR(INDEX(_Entradas_ZIG!$D:$D,MATCH(I619,_Entradas_ZIG!$C:$C,0)),"—"))</f>
        <v/>
      </c>
      <c r="L619" s="99">
        <f>IF(I619="","Sem SKU ZIG",IF(I619="—","Sem SKU ZIG",IF(NOT(ISERROR(MATCH(I619,_ZIG_Cadastro!$A:$A,0))),IF(EXACT(UPPER(TRIM(C619)),UPPER(TRIM(INDEX(_ZIG_Cadastro!$B:$B,MATCH(I619,_ZIG_Cadastro!$A:$A,0))))),"OK","Atencao - Nome diverge"),IF(NOT(ISERROR(MATCH(I619,_Entradas_ZIG!$C:$C,0))),"OK","Erro - SKU nao encontrado"))))</f>
        <v/>
      </c>
      <c r="M619" s="99">
        <f>IFERROR(INDEX(_ZIG_Cadastro!$G:$G,MATCH(I619,_ZIG_Cadastro!$A:$A,0)),IF(NOT(ISERROR(MATCH(I619,_Entradas_ZIG!$C:$C,0))),"Ativo","—"))</f>
        <v/>
      </c>
      <c r="N619" s="102">
        <f>IFERROR(INDEX(_ZIG_Cadastro!$E:$E,MATCH(I619,_ZIG_Cadastro!$A:$A,0)),IFERROR(INDEX(_Entradas_ZIG!$F:$F,MATCH(I619,_Entradas_ZIG!$C:$C,0)),"—"))</f>
        <v/>
      </c>
      <c r="O619" s="99">
        <f>IF(AND(ISNUMBER(SEARCH("Espeto",N619)),ISNUMBER(SEARCH("Carin",N619))),"SIM","")</f>
        <v/>
      </c>
      <c r="P619" s="99">
        <f>IF(AND(ISNUMBER(SEARCH("Espeto",N619)),ISNUMBER(SEARCH("Lapa",N619))),"SIM","")</f>
        <v/>
      </c>
      <c r="Q619" s="99">
        <f>IF(AND(ISNUMBER(SEARCH("Espeto",N619)),ISNUMBER(SEARCH("Tatuapé",N619))),"SIM","")</f>
        <v/>
      </c>
      <c r="R619" s="99">
        <f>IF(AND(ISNUMBER(SEARCH("Espeto",N619)),ISNUMBER(SEARCH("Pavão",N619))),"SIM","")</f>
        <v/>
      </c>
      <c r="S619" s="99">
        <f>IF(AND(ISNUMBER(SEARCH("Espeto",N619)),ISNUMBER(SEARCH("Chac",N619))),"SIM","")</f>
        <v/>
      </c>
      <c r="T619" s="99">
        <f>IF(AND(ISNUMBER(SEARCH("Espeto",N619)),ISNUMBER(SEARCH("Madalena",N619))),"SIM","")</f>
        <v/>
      </c>
      <c r="U619" s="99">
        <f>IF(AND(ISNUMBER(SEARCH("Espeto",N619)),ISNUMBER(SEARCH("Mariana",N619))),"SIM","")</f>
        <v/>
      </c>
      <c r="V619" s="99">
        <f>IF(AND(ISNUMBER(SEARCH("Espeto",N619)),ISNUMBER(SEARCH("Perdizes",N619))),"SIM","")</f>
        <v/>
      </c>
      <c r="W619" s="99">
        <f>IF(AND(ISNUMBER(SEARCH("Espeto",N619)),ISNUMBER(SEARCH("Santana",N619))),"SIM","")</f>
        <v/>
      </c>
      <c r="X619" s="99">
        <f>IF(AND(ISNUMBER(SEARCH("Espeto",N619)),ISNUMBER(SEARCH("André",N619))),"SIM","")</f>
        <v/>
      </c>
      <c r="Y619" s="99">
        <f>IF(AND(ISNUMBER(SEARCH("Delivery",N619)),ISNUMBER(SEARCH("Carin",N619))),"SIM","")</f>
        <v/>
      </c>
      <c r="Z619" s="99">
        <f>IF(AND(ISNUMBER(SEARCH("Delivery",N619)),ISNUMBER(SEARCH("Lapa",N619))),"SIM","")</f>
        <v/>
      </c>
      <c r="AA619" s="99">
        <f>IF(AND(ISNUMBER(SEARCH("Delivery",N619)),ISNUMBER(SEARCH("Tatuapé",N619))),"SIM","")</f>
        <v/>
      </c>
      <c r="AB619" s="99">
        <f>IF(AND(ISNUMBER(SEARCH("Delivery",N619)),ISNUMBER(SEARCH("Pavão",N619))),"SIM","")</f>
        <v/>
      </c>
      <c r="AC619" s="99">
        <f>IF(AND(ISNUMBER(SEARCH("Delivery",N619)),ISNUMBER(SEARCH("Chac",N619))),"SIM","")</f>
        <v/>
      </c>
      <c r="AD619" s="99">
        <f>IF(AND(ISNUMBER(SEARCH("Delivery",N619)),ISNUMBER(SEARCH("Madalena",N619))),"SIM","")</f>
        <v/>
      </c>
      <c r="AE619" s="92">
        <f>IF(AND(ISNUMBER(SEARCH("Delivery",N619)),ISNUMBER(SEARCH("Mariana",N619))),"SIM","")</f>
        <v/>
      </c>
      <c r="AF619" s="92">
        <f>IF(AND(ISNUMBER(SEARCH("Delivery",N619)),ISNUMBER(SEARCH("Perdizes",N619))),"SIM","")</f>
        <v/>
      </c>
      <c r="AG619" s="92">
        <f>IF(AND(ISNUMBER(SEARCH("Delivery",N619)),ISNUMBER(SEARCH("Santana",N619))),"SIM","")</f>
        <v/>
      </c>
      <c r="AH619" s="92">
        <f>IF(AND(ISNUMBER(SEARCH("Delivery",N619)),ISNUMBER(SEARCH("André",N619))),"SIM","")</f>
        <v/>
      </c>
      <c r="AI619" s="92">
        <f>IF(ISNUMBER(SEARCH("Interlagos",N619)),"SIM","")</f>
        <v/>
      </c>
      <c r="AJ619" s="92">
        <f>IF(ISNUMBER(SEARCH("Quiosque",N619)),"SIM","")</f>
        <v/>
      </c>
      <c r="AK619" s="93" t="n"/>
    </row>
    <row r="620">
      <c r="A620" s="88" t="inlineStr">
        <is>
          <t>Protheus</t>
        </is>
      </c>
      <c r="B620" s="89" t="inlineStr">
        <is>
          <t>010028</t>
        </is>
      </c>
      <c r="C620" s="90">
        <f>IF(B620="—","—",IFERROR(VLOOKUP(B620,_Protheus_Cadastro!$A:$B,2,FALSE),"—"))</f>
        <v/>
      </c>
      <c r="D620" s="91">
        <f>IF(B620="—",IFERROR(INDEX(_ZIG_Cadastro!$D:$D,MATCH(H620,_ZIG_Cadastro!$A:$A,0)),"Produto"),IFERROR(VLOOKUP(B620,_Protheus_Cadastro!$A:$C,3,FALSE),"—"))</f>
        <v/>
      </c>
      <c r="E620" s="91">
        <f>IF(B620="—","—",IFERROR(VLOOKUP(B620,_Protheus_Cadastro!$A:$D,4,FALSE),"—"))</f>
        <v/>
      </c>
      <c r="F620" s="91">
        <f>IF(ISERROR(VLOOKUP(B620,'Estrutura Protheus'!A:A,1,FALSE)),"Não","Sim")</f>
        <v/>
      </c>
      <c r="G620" s="92">
        <f>IFERROR(INDEX(_Protheus_Cadastro!$H:$H,MATCH(B620,_Protheus_Cadastro!$A:$A,0)),"—")</f>
        <v/>
      </c>
      <c r="H620" s="210">
        <f>IFERROR(INDEX(_ZIG_Precos!$D:$D,MATCH(I620,_ZIG_Precos!$F:$F,0)),"—")</f>
        <v/>
      </c>
      <c r="I620" s="95">
        <f>IFERROR(VLOOKUP(B620,_Protheus_Cadastro!$A:$I,9,FALSE),"—")</f>
        <v/>
      </c>
      <c r="J620" s="93">
        <f>IFERROR(INDEX(_ZIG_Cadastro!$B:$B,MATCH(I620,_ZIG_Cadastro!$A:$A,0)),IFERROR(INDEX(_Entradas_ZIG!$B:$B,MATCH(I620,_Entradas_ZIG!$C:$C,0)),"—"))</f>
        <v/>
      </c>
      <c r="K620" s="93">
        <f>IFERROR(INDEX(_ZIG_Cadastro!$C:$C,MATCH(I620,_ZIG_Cadastro!$A:$A,0)),IFERROR(INDEX(_Entradas_ZIG!$D:$D,MATCH(I620,_Entradas_ZIG!$C:$C,0)),"—"))</f>
        <v/>
      </c>
      <c r="L620" s="92">
        <f>IF(I620="","Sem SKU ZIG",IF(I620="—","Sem SKU ZIG",IF(NOT(ISERROR(MATCH(I620,_ZIG_Cadastro!$A:$A,0))),IF(EXACT(UPPER(TRIM(C620)),UPPER(TRIM(INDEX(_ZIG_Cadastro!$B:$B,MATCH(I620,_ZIG_Cadastro!$A:$A,0))))),"OK","Atencao - Nome diverge"),IF(NOT(ISERROR(MATCH(I620,_Entradas_ZIG!$C:$C,0))),"OK","Erro - SKU nao encontrado"))))</f>
        <v/>
      </c>
      <c r="M620" s="92">
        <f>IFERROR(INDEX(_ZIG_Cadastro!$G:$G,MATCH(I620,_ZIG_Cadastro!$A:$A,0)),IF(NOT(ISERROR(MATCH(I620,_Entradas_ZIG!$C:$C,0))),"Ativo","—"))</f>
        <v/>
      </c>
      <c r="N620" s="94">
        <f>IFERROR(INDEX(_ZIG_Cadastro!$E:$E,MATCH(I620,_ZIG_Cadastro!$A:$A,0)),IFERROR(INDEX(_Entradas_ZIG!$F:$F,MATCH(I620,_Entradas_ZIG!$C:$C,0)),"—"))</f>
        <v/>
      </c>
      <c r="O620" s="92">
        <f>IF(AND(ISNUMBER(SEARCH("Espeto",N620)),ISNUMBER(SEARCH("Carin",N620))),"SIM","")</f>
        <v/>
      </c>
      <c r="P620" s="92">
        <f>IF(AND(ISNUMBER(SEARCH("Espeto",N620)),ISNUMBER(SEARCH("Lapa",N620))),"SIM","")</f>
        <v/>
      </c>
      <c r="Q620" s="92">
        <f>IF(AND(ISNUMBER(SEARCH("Espeto",N620)),ISNUMBER(SEARCH("Tatuapé",N620))),"SIM","")</f>
        <v/>
      </c>
      <c r="R620" s="92">
        <f>IF(AND(ISNUMBER(SEARCH("Espeto",N620)),ISNUMBER(SEARCH("Pavão",N620))),"SIM","")</f>
        <v/>
      </c>
      <c r="S620" s="92">
        <f>IF(AND(ISNUMBER(SEARCH("Espeto",N620)),ISNUMBER(SEARCH("Chac",N620))),"SIM","")</f>
        <v/>
      </c>
      <c r="T620" s="92">
        <f>IF(AND(ISNUMBER(SEARCH("Espeto",N620)),ISNUMBER(SEARCH("Madalena",N620))),"SIM","")</f>
        <v/>
      </c>
      <c r="U620" s="92">
        <f>IF(AND(ISNUMBER(SEARCH("Espeto",N620)),ISNUMBER(SEARCH("Mariana",N620))),"SIM","")</f>
        <v/>
      </c>
      <c r="V620" s="92">
        <f>IF(AND(ISNUMBER(SEARCH("Espeto",N620)),ISNUMBER(SEARCH("Perdizes",N620))),"SIM","")</f>
        <v/>
      </c>
      <c r="W620" s="92">
        <f>IF(AND(ISNUMBER(SEARCH("Espeto",N620)),ISNUMBER(SEARCH("Santana",N620))),"SIM","")</f>
        <v/>
      </c>
      <c r="X620" s="92">
        <f>IF(AND(ISNUMBER(SEARCH("Espeto",N620)),ISNUMBER(SEARCH("André",N620))),"SIM","")</f>
        <v/>
      </c>
      <c r="Y620" s="92">
        <f>IF(AND(ISNUMBER(SEARCH("Delivery",N620)),ISNUMBER(SEARCH("Carin",N620))),"SIM","")</f>
        <v/>
      </c>
      <c r="Z620" s="92">
        <f>IF(AND(ISNUMBER(SEARCH("Delivery",N620)),ISNUMBER(SEARCH("Lapa",N620))),"SIM","")</f>
        <v/>
      </c>
      <c r="AA620" s="92">
        <f>IF(AND(ISNUMBER(SEARCH("Delivery",N620)),ISNUMBER(SEARCH("Tatuapé",N620))),"SIM","")</f>
        <v/>
      </c>
      <c r="AB620" s="92">
        <f>IF(AND(ISNUMBER(SEARCH("Delivery",N620)),ISNUMBER(SEARCH("Pavão",N620))),"SIM","")</f>
        <v/>
      </c>
      <c r="AC620" s="92">
        <f>IF(AND(ISNUMBER(SEARCH("Delivery",N620)),ISNUMBER(SEARCH("Chac",N620))),"SIM","")</f>
        <v/>
      </c>
      <c r="AD620" s="92">
        <f>IF(AND(ISNUMBER(SEARCH("Delivery",N620)),ISNUMBER(SEARCH("Madalena",N620))),"SIM","")</f>
        <v/>
      </c>
      <c r="AE620" s="99">
        <f>IF(AND(ISNUMBER(SEARCH("Delivery",N620)),ISNUMBER(SEARCH("Mariana",N620))),"SIM","")</f>
        <v/>
      </c>
      <c r="AF620" s="99">
        <f>IF(AND(ISNUMBER(SEARCH("Delivery",N620)),ISNUMBER(SEARCH("Perdizes",N620))),"SIM","")</f>
        <v/>
      </c>
      <c r="AG620" s="99">
        <f>IF(AND(ISNUMBER(SEARCH("Delivery",N620)),ISNUMBER(SEARCH("Santana",N620))),"SIM","")</f>
        <v/>
      </c>
      <c r="AH620" s="99">
        <f>IF(AND(ISNUMBER(SEARCH("Delivery",N620)),ISNUMBER(SEARCH("André",N620))),"SIM","")</f>
        <v/>
      </c>
      <c r="AI620" s="99">
        <f>IF(ISNUMBER(SEARCH("Interlagos",N620)),"SIM","")</f>
        <v/>
      </c>
      <c r="AJ620" s="99">
        <f>IF(ISNUMBER(SEARCH("Quiosque",N620)),"SIM","")</f>
        <v/>
      </c>
      <c r="AK620" s="101" t="n"/>
    </row>
    <row r="621">
      <c r="A621" s="88" t="inlineStr">
        <is>
          <t>Protheus</t>
        </is>
      </c>
      <c r="B621" s="96" t="inlineStr">
        <is>
          <t>010026</t>
        </is>
      </c>
      <c r="C621" s="97">
        <f>IF(B621="—","—",IFERROR(VLOOKUP(B621,_Protheus_Cadastro!$A:$B,2,FALSE),"—"))</f>
        <v/>
      </c>
      <c r="D621" s="98">
        <f>IF(B621="—",IFERROR(INDEX(_ZIG_Cadastro!$D:$D,MATCH(H621,_ZIG_Cadastro!$A:$A,0)),"Produto"),IFERROR(VLOOKUP(B621,_Protheus_Cadastro!$A:$C,3,FALSE),"—"))</f>
        <v/>
      </c>
      <c r="E621" s="98">
        <f>IF(B621="—","—",IFERROR(VLOOKUP(B621,_Protheus_Cadastro!$A:$D,4,FALSE),"—"))</f>
        <v/>
      </c>
      <c r="F621" s="98">
        <f>IF(ISERROR(VLOOKUP(B621,'Estrutura Protheus'!A:A,1,FALSE)),"Não","Sim")</f>
        <v/>
      </c>
      <c r="G621" s="99">
        <f>IFERROR(INDEX(_Protheus_Cadastro!$H:$H,MATCH(B621,_Protheus_Cadastro!$A:$A,0)),"—")</f>
        <v/>
      </c>
      <c r="H621" s="211">
        <f>IFERROR(INDEX(_ZIG_Precos!$D:$D,MATCH(I621,_ZIG_Precos!$F:$F,0)),"—")</f>
        <v/>
      </c>
      <c r="I621" s="103">
        <f>IFERROR(VLOOKUP(B621,_Protheus_Cadastro!$A:$I,9,FALSE),"—")</f>
        <v/>
      </c>
      <c r="J621" s="101">
        <f>IFERROR(INDEX(_ZIG_Cadastro!$B:$B,MATCH(I621,_ZIG_Cadastro!$A:$A,0)),IFERROR(INDEX(_Entradas_ZIG!$B:$B,MATCH(I621,_Entradas_ZIG!$C:$C,0)),"—"))</f>
        <v/>
      </c>
      <c r="K621" s="101">
        <f>IFERROR(INDEX(_ZIG_Cadastro!$C:$C,MATCH(I621,_ZIG_Cadastro!$A:$A,0)),IFERROR(INDEX(_Entradas_ZIG!$D:$D,MATCH(I621,_Entradas_ZIG!$C:$C,0)),"—"))</f>
        <v/>
      </c>
      <c r="L621" s="99">
        <f>IF(I621="","Sem SKU ZIG",IF(I621="—","Sem SKU ZIG",IF(NOT(ISERROR(MATCH(I621,_ZIG_Cadastro!$A:$A,0))),IF(EXACT(UPPER(TRIM(C621)),UPPER(TRIM(INDEX(_ZIG_Cadastro!$B:$B,MATCH(I621,_ZIG_Cadastro!$A:$A,0))))),"OK","Atencao - Nome diverge"),IF(NOT(ISERROR(MATCH(I621,_Entradas_ZIG!$C:$C,0))),"OK","Erro - SKU nao encontrado"))))</f>
        <v/>
      </c>
      <c r="M621" s="99">
        <f>IFERROR(INDEX(_ZIG_Cadastro!$G:$G,MATCH(I621,_ZIG_Cadastro!$A:$A,0)),IF(NOT(ISERROR(MATCH(I621,_Entradas_ZIG!$C:$C,0))),"Ativo","—"))</f>
        <v/>
      </c>
      <c r="N621" s="102">
        <f>IFERROR(INDEX(_ZIG_Cadastro!$E:$E,MATCH(I621,_ZIG_Cadastro!$A:$A,0)),IFERROR(INDEX(_Entradas_ZIG!$F:$F,MATCH(I621,_Entradas_ZIG!$C:$C,0)),"—"))</f>
        <v/>
      </c>
      <c r="O621" s="99">
        <f>IF(AND(ISNUMBER(SEARCH("Espeto",N621)),ISNUMBER(SEARCH("Carin",N621))),"SIM","")</f>
        <v/>
      </c>
      <c r="P621" s="99">
        <f>IF(AND(ISNUMBER(SEARCH("Espeto",N621)),ISNUMBER(SEARCH("Lapa",N621))),"SIM","")</f>
        <v/>
      </c>
      <c r="Q621" s="99">
        <f>IF(AND(ISNUMBER(SEARCH("Espeto",N621)),ISNUMBER(SEARCH("Tatuapé",N621))),"SIM","")</f>
        <v/>
      </c>
      <c r="R621" s="99">
        <f>IF(AND(ISNUMBER(SEARCH("Espeto",N621)),ISNUMBER(SEARCH("Pavão",N621))),"SIM","")</f>
        <v/>
      </c>
      <c r="S621" s="99">
        <f>IF(AND(ISNUMBER(SEARCH("Espeto",N621)),ISNUMBER(SEARCH("Chac",N621))),"SIM","")</f>
        <v/>
      </c>
      <c r="T621" s="99">
        <f>IF(AND(ISNUMBER(SEARCH("Espeto",N621)),ISNUMBER(SEARCH("Madalena",N621))),"SIM","")</f>
        <v/>
      </c>
      <c r="U621" s="99">
        <f>IF(AND(ISNUMBER(SEARCH("Espeto",N621)),ISNUMBER(SEARCH("Mariana",N621))),"SIM","")</f>
        <v/>
      </c>
      <c r="V621" s="99">
        <f>IF(AND(ISNUMBER(SEARCH("Espeto",N621)),ISNUMBER(SEARCH("Perdizes",N621))),"SIM","")</f>
        <v/>
      </c>
      <c r="W621" s="99">
        <f>IF(AND(ISNUMBER(SEARCH("Espeto",N621)),ISNUMBER(SEARCH("Santana",N621))),"SIM","")</f>
        <v/>
      </c>
      <c r="X621" s="99">
        <f>IF(AND(ISNUMBER(SEARCH("Espeto",N621)),ISNUMBER(SEARCH("André",N621))),"SIM","")</f>
        <v/>
      </c>
      <c r="Y621" s="99">
        <f>IF(AND(ISNUMBER(SEARCH("Delivery",N621)),ISNUMBER(SEARCH("Carin",N621))),"SIM","")</f>
        <v/>
      </c>
      <c r="Z621" s="99">
        <f>IF(AND(ISNUMBER(SEARCH("Delivery",N621)),ISNUMBER(SEARCH("Lapa",N621))),"SIM","")</f>
        <v/>
      </c>
      <c r="AA621" s="99">
        <f>IF(AND(ISNUMBER(SEARCH("Delivery",N621)),ISNUMBER(SEARCH("Tatuapé",N621))),"SIM","")</f>
        <v/>
      </c>
      <c r="AB621" s="99">
        <f>IF(AND(ISNUMBER(SEARCH("Delivery",N621)),ISNUMBER(SEARCH("Pavão",N621))),"SIM","")</f>
        <v/>
      </c>
      <c r="AC621" s="99">
        <f>IF(AND(ISNUMBER(SEARCH("Delivery",N621)),ISNUMBER(SEARCH("Chac",N621))),"SIM","")</f>
        <v/>
      </c>
      <c r="AD621" s="99">
        <f>IF(AND(ISNUMBER(SEARCH("Delivery",N621)),ISNUMBER(SEARCH("Madalena",N621))),"SIM","")</f>
        <v/>
      </c>
      <c r="AE621" s="92">
        <f>IF(AND(ISNUMBER(SEARCH("Delivery",N621)),ISNUMBER(SEARCH("Mariana",N621))),"SIM","")</f>
        <v/>
      </c>
      <c r="AF621" s="92">
        <f>IF(AND(ISNUMBER(SEARCH("Delivery",N621)),ISNUMBER(SEARCH("Perdizes",N621))),"SIM","")</f>
        <v/>
      </c>
      <c r="AG621" s="92">
        <f>IF(AND(ISNUMBER(SEARCH("Delivery",N621)),ISNUMBER(SEARCH("Santana",N621))),"SIM","")</f>
        <v/>
      </c>
      <c r="AH621" s="92">
        <f>IF(AND(ISNUMBER(SEARCH("Delivery",N621)),ISNUMBER(SEARCH("André",N621))),"SIM","")</f>
        <v/>
      </c>
      <c r="AI621" s="92">
        <f>IF(ISNUMBER(SEARCH("Interlagos",N621)),"SIM","")</f>
        <v/>
      </c>
      <c r="AJ621" s="92">
        <f>IF(ISNUMBER(SEARCH("Quiosque",N621)),"SIM","")</f>
        <v/>
      </c>
      <c r="AK621" s="93" t="n"/>
    </row>
    <row r="622">
      <c r="A622" s="88" t="inlineStr">
        <is>
          <t>Protheus</t>
        </is>
      </c>
      <c r="B622" s="89" t="inlineStr">
        <is>
          <t>009580</t>
        </is>
      </c>
      <c r="C622" s="90">
        <f>IF(B622="—","—",IFERROR(VLOOKUP(B622,_Protheus_Cadastro!$A:$B,2,FALSE),"—"))</f>
        <v/>
      </c>
      <c r="D622" s="91">
        <f>IF(B622="—",IFERROR(INDEX(_ZIG_Cadastro!$D:$D,MATCH(H622,_ZIG_Cadastro!$A:$A,0)),"Produto"),IFERROR(VLOOKUP(B622,_Protheus_Cadastro!$A:$C,3,FALSE),"—"))</f>
        <v/>
      </c>
      <c r="E622" s="91">
        <f>IF(B622="—","—",IFERROR(VLOOKUP(B622,_Protheus_Cadastro!$A:$D,4,FALSE),"—"))</f>
        <v/>
      </c>
      <c r="F622" s="91">
        <f>IF(ISERROR(VLOOKUP(B622,'Estrutura Protheus'!A:A,1,FALSE)),"Não","Sim")</f>
        <v/>
      </c>
      <c r="G622" s="92">
        <f>IFERROR(INDEX(_Protheus_Cadastro!$H:$H,MATCH(B622,_Protheus_Cadastro!$A:$A,0)),"—")</f>
        <v/>
      </c>
      <c r="H622" s="210">
        <f>IFERROR(INDEX(_ZIG_Precos!$D:$D,MATCH(I622,_ZIG_Precos!$F:$F,0)),"—")</f>
        <v/>
      </c>
      <c r="I622" s="95">
        <f>IFERROR(VLOOKUP(B622,_Protheus_Cadastro!$A:$I,9,FALSE),"—")</f>
        <v/>
      </c>
      <c r="J622" s="93">
        <f>IFERROR(INDEX(_ZIG_Cadastro!$B:$B,MATCH(I622,_ZIG_Cadastro!$A:$A,0)),IFERROR(INDEX(_Entradas_ZIG!$B:$B,MATCH(I622,_Entradas_ZIG!$C:$C,0)),"—"))</f>
        <v/>
      </c>
      <c r="K622" s="93">
        <f>IFERROR(INDEX(_ZIG_Cadastro!$C:$C,MATCH(I622,_ZIG_Cadastro!$A:$A,0)),IFERROR(INDEX(_Entradas_ZIG!$D:$D,MATCH(I622,_Entradas_ZIG!$C:$C,0)),"—"))</f>
        <v/>
      </c>
      <c r="L622" s="92">
        <f>IF(I622="","Sem SKU ZIG",IF(I622="—","Sem SKU ZIG",IF(NOT(ISERROR(MATCH(I622,_ZIG_Cadastro!$A:$A,0))),IF(EXACT(UPPER(TRIM(C622)),UPPER(TRIM(INDEX(_ZIG_Cadastro!$B:$B,MATCH(I622,_ZIG_Cadastro!$A:$A,0))))),"OK","Atencao - Nome diverge"),IF(NOT(ISERROR(MATCH(I622,_Entradas_ZIG!$C:$C,0))),"OK","Erro - SKU nao encontrado"))))</f>
        <v/>
      </c>
      <c r="M622" s="92">
        <f>IFERROR(INDEX(_ZIG_Cadastro!$G:$G,MATCH(I622,_ZIG_Cadastro!$A:$A,0)),IF(NOT(ISERROR(MATCH(I622,_Entradas_ZIG!$C:$C,0))),"Ativo","—"))</f>
        <v/>
      </c>
      <c r="N622" s="94">
        <f>IFERROR(INDEX(_ZIG_Cadastro!$E:$E,MATCH(I622,_ZIG_Cadastro!$A:$A,0)),IFERROR(INDEX(_Entradas_ZIG!$F:$F,MATCH(I622,_Entradas_ZIG!$C:$C,0)),"—"))</f>
        <v/>
      </c>
      <c r="O622" s="92">
        <f>IF(AND(ISNUMBER(SEARCH("Espeto",N622)),ISNUMBER(SEARCH("Carin",N622))),"SIM","")</f>
        <v/>
      </c>
      <c r="P622" s="92">
        <f>IF(AND(ISNUMBER(SEARCH("Espeto",N622)),ISNUMBER(SEARCH("Lapa",N622))),"SIM","")</f>
        <v/>
      </c>
      <c r="Q622" s="92">
        <f>IF(AND(ISNUMBER(SEARCH("Espeto",N622)),ISNUMBER(SEARCH("Tatuapé",N622))),"SIM","")</f>
        <v/>
      </c>
      <c r="R622" s="92">
        <f>IF(AND(ISNUMBER(SEARCH("Espeto",N622)),ISNUMBER(SEARCH("Pavão",N622))),"SIM","")</f>
        <v/>
      </c>
      <c r="S622" s="92">
        <f>IF(AND(ISNUMBER(SEARCH("Espeto",N622)),ISNUMBER(SEARCH("Chac",N622))),"SIM","")</f>
        <v/>
      </c>
      <c r="T622" s="92">
        <f>IF(AND(ISNUMBER(SEARCH("Espeto",N622)),ISNUMBER(SEARCH("Madalena",N622))),"SIM","")</f>
        <v/>
      </c>
      <c r="U622" s="92">
        <f>IF(AND(ISNUMBER(SEARCH("Espeto",N622)),ISNUMBER(SEARCH("Mariana",N622))),"SIM","")</f>
        <v/>
      </c>
      <c r="V622" s="92">
        <f>IF(AND(ISNUMBER(SEARCH("Espeto",N622)),ISNUMBER(SEARCH("Perdizes",N622))),"SIM","")</f>
        <v/>
      </c>
      <c r="W622" s="92">
        <f>IF(AND(ISNUMBER(SEARCH("Espeto",N622)),ISNUMBER(SEARCH("Santana",N622))),"SIM","")</f>
        <v/>
      </c>
      <c r="X622" s="92">
        <f>IF(AND(ISNUMBER(SEARCH("Espeto",N622)),ISNUMBER(SEARCH("André",N622))),"SIM","")</f>
        <v/>
      </c>
      <c r="Y622" s="92">
        <f>IF(AND(ISNUMBER(SEARCH("Delivery",N622)),ISNUMBER(SEARCH("Carin",N622))),"SIM","")</f>
        <v/>
      </c>
      <c r="Z622" s="92">
        <f>IF(AND(ISNUMBER(SEARCH("Delivery",N622)),ISNUMBER(SEARCH("Lapa",N622))),"SIM","")</f>
        <v/>
      </c>
      <c r="AA622" s="92">
        <f>IF(AND(ISNUMBER(SEARCH("Delivery",N622)),ISNUMBER(SEARCH("Tatuapé",N622))),"SIM","")</f>
        <v/>
      </c>
      <c r="AB622" s="92">
        <f>IF(AND(ISNUMBER(SEARCH("Delivery",N622)),ISNUMBER(SEARCH("Pavão",N622))),"SIM","")</f>
        <v/>
      </c>
      <c r="AC622" s="92">
        <f>IF(AND(ISNUMBER(SEARCH("Delivery",N622)),ISNUMBER(SEARCH("Chac",N622))),"SIM","")</f>
        <v/>
      </c>
      <c r="AD622" s="92">
        <f>IF(AND(ISNUMBER(SEARCH("Delivery",N622)),ISNUMBER(SEARCH("Madalena",N622))),"SIM","")</f>
        <v/>
      </c>
      <c r="AE622" s="99">
        <f>IF(AND(ISNUMBER(SEARCH("Delivery",N622)),ISNUMBER(SEARCH("Mariana",N622))),"SIM","")</f>
        <v/>
      </c>
      <c r="AF622" s="99">
        <f>IF(AND(ISNUMBER(SEARCH("Delivery",N622)),ISNUMBER(SEARCH("Perdizes",N622))),"SIM","")</f>
        <v/>
      </c>
      <c r="AG622" s="99">
        <f>IF(AND(ISNUMBER(SEARCH("Delivery",N622)),ISNUMBER(SEARCH("Santana",N622))),"SIM","")</f>
        <v/>
      </c>
      <c r="AH622" s="99">
        <f>IF(AND(ISNUMBER(SEARCH("Delivery",N622)),ISNUMBER(SEARCH("André",N622))),"SIM","")</f>
        <v/>
      </c>
      <c r="AI622" s="99">
        <f>IF(ISNUMBER(SEARCH("Interlagos",N622)),"SIM","")</f>
        <v/>
      </c>
      <c r="AJ622" s="99">
        <f>IF(ISNUMBER(SEARCH("Quiosque",N622)),"SIM","")</f>
        <v/>
      </c>
      <c r="AK622" s="101" t="n"/>
    </row>
    <row r="623">
      <c r="A623" s="88" t="inlineStr">
        <is>
          <t>Protheus</t>
        </is>
      </c>
      <c r="B623" s="96" t="inlineStr">
        <is>
          <t>000283</t>
        </is>
      </c>
      <c r="C623" s="97">
        <f>IF(B623="—","—",IFERROR(VLOOKUP(B623,_Protheus_Cadastro!$A:$B,2,FALSE),"—"))</f>
        <v/>
      </c>
      <c r="D623" s="98">
        <f>IF(B623="—",IFERROR(INDEX(_ZIG_Cadastro!$D:$D,MATCH(H623,_ZIG_Cadastro!$A:$A,0)),"Produto"),IFERROR(VLOOKUP(B623,_Protheus_Cadastro!$A:$C,3,FALSE),"—"))</f>
        <v/>
      </c>
      <c r="E623" s="98">
        <f>IF(B623="—","—",IFERROR(VLOOKUP(B623,_Protheus_Cadastro!$A:$D,4,FALSE),"—"))</f>
        <v/>
      </c>
      <c r="F623" s="98">
        <f>IF(ISERROR(VLOOKUP(B623,'Estrutura Protheus'!A:A,1,FALSE)),"Não","Sim")</f>
        <v/>
      </c>
      <c r="G623" s="99">
        <f>IFERROR(INDEX(_Protheus_Cadastro!$H:$H,MATCH(B623,_Protheus_Cadastro!$A:$A,0)),"—")</f>
        <v/>
      </c>
      <c r="H623" s="211">
        <f>IFERROR(INDEX(_ZIG_Precos!$D:$D,MATCH(I623,_ZIG_Precos!$F:$F,0)),"—")</f>
        <v/>
      </c>
      <c r="I623" s="103">
        <f>IFERROR(VLOOKUP(B623,_Protheus_Cadastro!$A:$I,9,FALSE),"—")</f>
        <v/>
      </c>
      <c r="J623" s="101">
        <f>IFERROR(INDEX(_ZIG_Cadastro!$B:$B,MATCH(I623,_ZIG_Cadastro!$A:$A,0)),IFERROR(INDEX(_Entradas_ZIG!$B:$B,MATCH(I623,_Entradas_ZIG!$C:$C,0)),"—"))</f>
        <v/>
      </c>
      <c r="K623" s="101">
        <f>IFERROR(INDEX(_ZIG_Cadastro!$C:$C,MATCH(I623,_ZIG_Cadastro!$A:$A,0)),IFERROR(INDEX(_Entradas_ZIG!$D:$D,MATCH(I623,_Entradas_ZIG!$C:$C,0)),"—"))</f>
        <v/>
      </c>
      <c r="L623" s="99">
        <f>IF(I623="","Sem SKU ZIG",IF(I623="—","Sem SKU ZIG",IF(NOT(ISERROR(MATCH(I623,_ZIG_Cadastro!$A:$A,0))),IF(EXACT(UPPER(TRIM(C623)),UPPER(TRIM(INDEX(_ZIG_Cadastro!$B:$B,MATCH(I623,_ZIG_Cadastro!$A:$A,0))))),"OK","Atencao - Nome diverge"),IF(NOT(ISERROR(MATCH(I623,_Entradas_ZIG!$C:$C,0))),"OK","Erro - SKU nao encontrado"))))</f>
        <v/>
      </c>
      <c r="M623" s="99">
        <f>IFERROR(INDEX(_ZIG_Cadastro!$G:$G,MATCH(I623,_ZIG_Cadastro!$A:$A,0)),IF(NOT(ISERROR(MATCH(I623,_Entradas_ZIG!$C:$C,0))),"Ativo","—"))</f>
        <v/>
      </c>
      <c r="N623" s="102">
        <f>IFERROR(INDEX(_ZIG_Cadastro!$E:$E,MATCH(I623,_ZIG_Cadastro!$A:$A,0)),IFERROR(INDEX(_Entradas_ZIG!$F:$F,MATCH(I623,_Entradas_ZIG!$C:$C,0)),"—"))</f>
        <v/>
      </c>
      <c r="O623" s="99">
        <f>IF(AND(ISNUMBER(SEARCH("Espeto",N623)),ISNUMBER(SEARCH("Carin",N623))),"SIM","")</f>
        <v/>
      </c>
      <c r="P623" s="99">
        <f>IF(AND(ISNUMBER(SEARCH("Espeto",N623)),ISNUMBER(SEARCH("Lapa",N623))),"SIM","")</f>
        <v/>
      </c>
      <c r="Q623" s="99">
        <f>IF(AND(ISNUMBER(SEARCH("Espeto",N623)),ISNUMBER(SEARCH("Tatuapé",N623))),"SIM","")</f>
        <v/>
      </c>
      <c r="R623" s="99">
        <f>IF(AND(ISNUMBER(SEARCH("Espeto",N623)),ISNUMBER(SEARCH("Pavão",N623))),"SIM","")</f>
        <v/>
      </c>
      <c r="S623" s="99">
        <f>IF(AND(ISNUMBER(SEARCH("Espeto",N623)),ISNUMBER(SEARCH("Chac",N623))),"SIM","")</f>
        <v/>
      </c>
      <c r="T623" s="99">
        <f>IF(AND(ISNUMBER(SEARCH("Espeto",N623)),ISNUMBER(SEARCH("Madalena",N623))),"SIM","")</f>
        <v/>
      </c>
      <c r="U623" s="99">
        <f>IF(AND(ISNUMBER(SEARCH("Espeto",N623)),ISNUMBER(SEARCH("Mariana",N623))),"SIM","")</f>
        <v/>
      </c>
      <c r="V623" s="99">
        <f>IF(AND(ISNUMBER(SEARCH("Espeto",N623)),ISNUMBER(SEARCH("Perdizes",N623))),"SIM","")</f>
        <v/>
      </c>
      <c r="W623" s="99">
        <f>IF(AND(ISNUMBER(SEARCH("Espeto",N623)),ISNUMBER(SEARCH("Santana",N623))),"SIM","")</f>
        <v/>
      </c>
      <c r="X623" s="99">
        <f>IF(AND(ISNUMBER(SEARCH("Espeto",N623)),ISNUMBER(SEARCH("André",N623))),"SIM","")</f>
        <v/>
      </c>
      <c r="Y623" s="99">
        <f>IF(AND(ISNUMBER(SEARCH("Delivery",N623)),ISNUMBER(SEARCH("Carin",N623))),"SIM","")</f>
        <v/>
      </c>
      <c r="Z623" s="99">
        <f>IF(AND(ISNUMBER(SEARCH("Delivery",N623)),ISNUMBER(SEARCH("Lapa",N623))),"SIM","")</f>
        <v/>
      </c>
      <c r="AA623" s="99">
        <f>IF(AND(ISNUMBER(SEARCH("Delivery",N623)),ISNUMBER(SEARCH("Tatuapé",N623))),"SIM","")</f>
        <v/>
      </c>
      <c r="AB623" s="99">
        <f>IF(AND(ISNUMBER(SEARCH("Delivery",N623)),ISNUMBER(SEARCH("Pavão",N623))),"SIM","")</f>
        <v/>
      </c>
      <c r="AC623" s="99">
        <f>IF(AND(ISNUMBER(SEARCH("Delivery",N623)),ISNUMBER(SEARCH("Chac",N623))),"SIM","")</f>
        <v/>
      </c>
      <c r="AD623" s="99">
        <f>IF(AND(ISNUMBER(SEARCH("Delivery",N623)),ISNUMBER(SEARCH("Madalena",N623))),"SIM","")</f>
        <v/>
      </c>
      <c r="AE623" s="92">
        <f>IF(AND(ISNUMBER(SEARCH("Delivery",N623)),ISNUMBER(SEARCH("Mariana",N623))),"SIM","")</f>
        <v/>
      </c>
      <c r="AF623" s="92">
        <f>IF(AND(ISNUMBER(SEARCH("Delivery",N623)),ISNUMBER(SEARCH("Perdizes",N623))),"SIM","")</f>
        <v/>
      </c>
      <c r="AG623" s="92">
        <f>IF(AND(ISNUMBER(SEARCH("Delivery",N623)),ISNUMBER(SEARCH("Santana",N623))),"SIM","")</f>
        <v/>
      </c>
      <c r="AH623" s="92">
        <f>IF(AND(ISNUMBER(SEARCH("Delivery",N623)),ISNUMBER(SEARCH("André",N623))),"SIM","")</f>
        <v/>
      </c>
      <c r="AI623" s="92">
        <f>IF(ISNUMBER(SEARCH("Interlagos",N623)),"SIM","")</f>
        <v/>
      </c>
      <c r="AJ623" s="92">
        <f>IF(ISNUMBER(SEARCH("Quiosque",N623)),"SIM","")</f>
        <v/>
      </c>
      <c r="AK623" s="93" t="n"/>
    </row>
    <row r="624">
      <c r="A624" s="88" t="inlineStr">
        <is>
          <t>Protheus</t>
        </is>
      </c>
      <c r="B624" s="89" t="inlineStr">
        <is>
          <t>010025</t>
        </is>
      </c>
      <c r="C624" s="90">
        <f>IF(B624="—","—",IFERROR(VLOOKUP(B624,_Protheus_Cadastro!$A:$B,2,FALSE),"—"))</f>
        <v/>
      </c>
      <c r="D624" s="91">
        <f>IF(B624="—",IFERROR(INDEX(_ZIG_Cadastro!$D:$D,MATCH(H624,_ZIG_Cadastro!$A:$A,0)),"Produto"),IFERROR(VLOOKUP(B624,_Protheus_Cadastro!$A:$C,3,FALSE),"—"))</f>
        <v/>
      </c>
      <c r="E624" s="91">
        <f>IF(B624="—","—",IFERROR(VLOOKUP(B624,_Protheus_Cadastro!$A:$D,4,FALSE),"—"))</f>
        <v/>
      </c>
      <c r="F624" s="91">
        <f>IF(ISERROR(VLOOKUP(B624,'Estrutura Protheus'!A:A,1,FALSE)),"Não","Sim")</f>
        <v/>
      </c>
      <c r="G624" s="92">
        <f>IFERROR(INDEX(_Protheus_Cadastro!$H:$H,MATCH(B624,_Protheus_Cadastro!$A:$A,0)),"—")</f>
        <v/>
      </c>
      <c r="H624" s="210">
        <f>IFERROR(INDEX(_ZIG_Precos!$D:$D,MATCH(I624,_ZIG_Precos!$F:$F,0)),"—")</f>
        <v/>
      </c>
      <c r="I624" s="95">
        <f>IFERROR(VLOOKUP(B624,_Protheus_Cadastro!$A:$I,9,FALSE),"—")</f>
        <v/>
      </c>
      <c r="J624" s="93">
        <f>IFERROR(INDEX(_ZIG_Cadastro!$B:$B,MATCH(I624,_ZIG_Cadastro!$A:$A,0)),IFERROR(INDEX(_Entradas_ZIG!$B:$B,MATCH(I624,_Entradas_ZIG!$C:$C,0)),"—"))</f>
        <v/>
      </c>
      <c r="K624" s="93">
        <f>IFERROR(INDEX(_ZIG_Cadastro!$C:$C,MATCH(I624,_ZIG_Cadastro!$A:$A,0)),IFERROR(INDEX(_Entradas_ZIG!$D:$D,MATCH(I624,_Entradas_ZIG!$C:$C,0)),"—"))</f>
        <v/>
      </c>
      <c r="L624" s="92">
        <f>IF(I624="","Sem SKU ZIG",IF(I624="—","Sem SKU ZIG",IF(NOT(ISERROR(MATCH(I624,_ZIG_Cadastro!$A:$A,0))),IF(EXACT(UPPER(TRIM(C624)),UPPER(TRIM(INDEX(_ZIG_Cadastro!$B:$B,MATCH(I624,_ZIG_Cadastro!$A:$A,0))))),"OK","Atencao - Nome diverge"),IF(NOT(ISERROR(MATCH(I624,_Entradas_ZIG!$C:$C,0))),"OK","Erro - SKU nao encontrado"))))</f>
        <v/>
      </c>
      <c r="M624" s="92">
        <f>IFERROR(INDEX(_ZIG_Cadastro!$G:$G,MATCH(I624,_ZIG_Cadastro!$A:$A,0)),IF(NOT(ISERROR(MATCH(I624,_Entradas_ZIG!$C:$C,0))),"Ativo","—"))</f>
        <v/>
      </c>
      <c r="N624" s="94">
        <f>IFERROR(INDEX(_ZIG_Cadastro!$E:$E,MATCH(I624,_ZIG_Cadastro!$A:$A,0)),IFERROR(INDEX(_Entradas_ZIG!$F:$F,MATCH(I624,_Entradas_ZIG!$C:$C,0)),"—"))</f>
        <v/>
      </c>
      <c r="O624" s="92">
        <f>IF(AND(ISNUMBER(SEARCH("Espeto",N624)),ISNUMBER(SEARCH("Carin",N624))),"SIM","")</f>
        <v/>
      </c>
      <c r="P624" s="92">
        <f>IF(AND(ISNUMBER(SEARCH("Espeto",N624)),ISNUMBER(SEARCH("Lapa",N624))),"SIM","")</f>
        <v/>
      </c>
      <c r="Q624" s="92">
        <f>IF(AND(ISNUMBER(SEARCH("Espeto",N624)),ISNUMBER(SEARCH("Tatuapé",N624))),"SIM","")</f>
        <v/>
      </c>
      <c r="R624" s="92">
        <f>IF(AND(ISNUMBER(SEARCH("Espeto",N624)),ISNUMBER(SEARCH("Pavão",N624))),"SIM","")</f>
        <v/>
      </c>
      <c r="S624" s="92">
        <f>IF(AND(ISNUMBER(SEARCH("Espeto",N624)),ISNUMBER(SEARCH("Chac",N624))),"SIM","")</f>
        <v/>
      </c>
      <c r="T624" s="92">
        <f>IF(AND(ISNUMBER(SEARCH("Espeto",N624)),ISNUMBER(SEARCH("Madalena",N624))),"SIM","")</f>
        <v/>
      </c>
      <c r="U624" s="92">
        <f>IF(AND(ISNUMBER(SEARCH("Espeto",N624)),ISNUMBER(SEARCH("Mariana",N624))),"SIM","")</f>
        <v/>
      </c>
      <c r="V624" s="92">
        <f>IF(AND(ISNUMBER(SEARCH("Espeto",N624)),ISNUMBER(SEARCH("Perdizes",N624))),"SIM","")</f>
        <v/>
      </c>
      <c r="W624" s="92">
        <f>IF(AND(ISNUMBER(SEARCH("Espeto",N624)),ISNUMBER(SEARCH("Santana",N624))),"SIM","")</f>
        <v/>
      </c>
      <c r="X624" s="92">
        <f>IF(AND(ISNUMBER(SEARCH("Espeto",N624)),ISNUMBER(SEARCH("André",N624))),"SIM","")</f>
        <v/>
      </c>
      <c r="Y624" s="92">
        <f>IF(AND(ISNUMBER(SEARCH("Delivery",N624)),ISNUMBER(SEARCH("Carin",N624))),"SIM","")</f>
        <v/>
      </c>
      <c r="Z624" s="92">
        <f>IF(AND(ISNUMBER(SEARCH("Delivery",N624)),ISNUMBER(SEARCH("Lapa",N624))),"SIM","")</f>
        <v/>
      </c>
      <c r="AA624" s="92">
        <f>IF(AND(ISNUMBER(SEARCH("Delivery",N624)),ISNUMBER(SEARCH("Tatuapé",N624))),"SIM","")</f>
        <v/>
      </c>
      <c r="AB624" s="92">
        <f>IF(AND(ISNUMBER(SEARCH("Delivery",N624)),ISNUMBER(SEARCH("Pavão",N624))),"SIM","")</f>
        <v/>
      </c>
      <c r="AC624" s="92">
        <f>IF(AND(ISNUMBER(SEARCH("Delivery",N624)),ISNUMBER(SEARCH("Chac",N624))),"SIM","")</f>
        <v/>
      </c>
      <c r="AD624" s="92">
        <f>IF(AND(ISNUMBER(SEARCH("Delivery",N624)),ISNUMBER(SEARCH("Madalena",N624))),"SIM","")</f>
        <v/>
      </c>
      <c r="AE624" s="99">
        <f>IF(AND(ISNUMBER(SEARCH("Delivery",N624)),ISNUMBER(SEARCH("Mariana",N624))),"SIM","")</f>
        <v/>
      </c>
      <c r="AF624" s="99">
        <f>IF(AND(ISNUMBER(SEARCH("Delivery",N624)),ISNUMBER(SEARCH("Perdizes",N624))),"SIM","")</f>
        <v/>
      </c>
      <c r="AG624" s="99">
        <f>IF(AND(ISNUMBER(SEARCH("Delivery",N624)),ISNUMBER(SEARCH("Santana",N624))),"SIM","")</f>
        <v/>
      </c>
      <c r="AH624" s="99">
        <f>IF(AND(ISNUMBER(SEARCH("Delivery",N624)),ISNUMBER(SEARCH("André",N624))),"SIM","")</f>
        <v/>
      </c>
      <c r="AI624" s="99">
        <f>IF(ISNUMBER(SEARCH("Interlagos",N624)),"SIM","")</f>
        <v/>
      </c>
      <c r="AJ624" s="99">
        <f>IF(ISNUMBER(SEARCH("Quiosque",N624)),"SIM","")</f>
        <v/>
      </c>
      <c r="AK624" s="101" t="n"/>
    </row>
    <row r="625">
      <c r="A625" s="88" t="inlineStr">
        <is>
          <t>Protheus</t>
        </is>
      </c>
      <c r="B625" s="96" t="inlineStr">
        <is>
          <t>010030</t>
        </is>
      </c>
      <c r="C625" s="97">
        <f>IF(B625="—","—",IFERROR(VLOOKUP(B625,_Protheus_Cadastro!$A:$B,2,FALSE),"—"))</f>
        <v/>
      </c>
      <c r="D625" s="98">
        <f>IF(B625="—",IFERROR(INDEX(_ZIG_Cadastro!$D:$D,MATCH(H625,_ZIG_Cadastro!$A:$A,0)),"Produto"),IFERROR(VLOOKUP(B625,_Protheus_Cadastro!$A:$C,3,FALSE),"—"))</f>
        <v/>
      </c>
      <c r="E625" s="98">
        <f>IF(B625="—","—",IFERROR(VLOOKUP(B625,_Protheus_Cadastro!$A:$D,4,FALSE),"—"))</f>
        <v/>
      </c>
      <c r="F625" s="98">
        <f>IF(ISERROR(VLOOKUP(B625,'Estrutura Protheus'!A:A,1,FALSE)),"Não","Sim")</f>
        <v/>
      </c>
      <c r="G625" s="99">
        <f>IFERROR(INDEX(_Protheus_Cadastro!$H:$H,MATCH(B625,_Protheus_Cadastro!$A:$A,0)),"—")</f>
        <v/>
      </c>
      <c r="H625" s="211">
        <f>IFERROR(INDEX(_ZIG_Precos!$D:$D,MATCH(I625,_ZIG_Precos!$F:$F,0)),"—")</f>
        <v/>
      </c>
      <c r="I625" s="103">
        <f>IFERROR(VLOOKUP(B625,_Protheus_Cadastro!$A:$I,9,FALSE),"—")</f>
        <v/>
      </c>
      <c r="J625" s="101">
        <f>IFERROR(INDEX(_ZIG_Cadastro!$B:$B,MATCH(I625,_ZIG_Cadastro!$A:$A,0)),IFERROR(INDEX(_Entradas_ZIG!$B:$B,MATCH(I625,_Entradas_ZIG!$C:$C,0)),"—"))</f>
        <v/>
      </c>
      <c r="K625" s="101">
        <f>IFERROR(INDEX(_ZIG_Cadastro!$C:$C,MATCH(I625,_ZIG_Cadastro!$A:$A,0)),IFERROR(INDEX(_Entradas_ZIG!$D:$D,MATCH(I625,_Entradas_ZIG!$C:$C,0)),"—"))</f>
        <v/>
      </c>
      <c r="L625" s="99">
        <f>IF(I625="","Sem SKU ZIG",IF(I625="—","Sem SKU ZIG",IF(NOT(ISERROR(MATCH(I625,_ZIG_Cadastro!$A:$A,0))),IF(EXACT(UPPER(TRIM(C625)),UPPER(TRIM(INDEX(_ZIG_Cadastro!$B:$B,MATCH(I625,_ZIG_Cadastro!$A:$A,0))))),"OK","Atencao - Nome diverge"),IF(NOT(ISERROR(MATCH(I625,_Entradas_ZIG!$C:$C,0))),"OK","Erro - SKU nao encontrado"))))</f>
        <v/>
      </c>
      <c r="M625" s="99">
        <f>IFERROR(INDEX(_ZIG_Cadastro!$G:$G,MATCH(I625,_ZIG_Cadastro!$A:$A,0)),IF(NOT(ISERROR(MATCH(I625,_Entradas_ZIG!$C:$C,0))),"Ativo","—"))</f>
        <v/>
      </c>
      <c r="N625" s="102">
        <f>IFERROR(INDEX(_ZIG_Cadastro!$E:$E,MATCH(I625,_ZIG_Cadastro!$A:$A,0)),IFERROR(INDEX(_Entradas_ZIG!$F:$F,MATCH(I625,_Entradas_ZIG!$C:$C,0)),"—"))</f>
        <v/>
      </c>
      <c r="O625" s="99">
        <f>IF(AND(ISNUMBER(SEARCH("Espeto",N625)),ISNUMBER(SEARCH("Carin",N625))),"SIM","")</f>
        <v/>
      </c>
      <c r="P625" s="99">
        <f>IF(AND(ISNUMBER(SEARCH("Espeto",N625)),ISNUMBER(SEARCH("Lapa",N625))),"SIM","")</f>
        <v/>
      </c>
      <c r="Q625" s="99">
        <f>IF(AND(ISNUMBER(SEARCH("Espeto",N625)),ISNUMBER(SEARCH("Tatuapé",N625))),"SIM","")</f>
        <v/>
      </c>
      <c r="R625" s="99">
        <f>IF(AND(ISNUMBER(SEARCH("Espeto",N625)),ISNUMBER(SEARCH("Pavão",N625))),"SIM","")</f>
        <v/>
      </c>
      <c r="S625" s="99">
        <f>IF(AND(ISNUMBER(SEARCH("Espeto",N625)),ISNUMBER(SEARCH("Chac",N625))),"SIM","")</f>
        <v/>
      </c>
      <c r="T625" s="99">
        <f>IF(AND(ISNUMBER(SEARCH("Espeto",N625)),ISNUMBER(SEARCH("Madalena",N625))),"SIM","")</f>
        <v/>
      </c>
      <c r="U625" s="99">
        <f>IF(AND(ISNUMBER(SEARCH("Espeto",N625)),ISNUMBER(SEARCH("Mariana",N625))),"SIM","")</f>
        <v/>
      </c>
      <c r="V625" s="99">
        <f>IF(AND(ISNUMBER(SEARCH("Espeto",N625)),ISNUMBER(SEARCH("Perdizes",N625))),"SIM","")</f>
        <v/>
      </c>
      <c r="W625" s="99">
        <f>IF(AND(ISNUMBER(SEARCH("Espeto",N625)),ISNUMBER(SEARCH("Santana",N625))),"SIM","")</f>
        <v/>
      </c>
      <c r="X625" s="99">
        <f>IF(AND(ISNUMBER(SEARCH("Espeto",N625)),ISNUMBER(SEARCH("André",N625))),"SIM","")</f>
        <v/>
      </c>
      <c r="Y625" s="99">
        <f>IF(AND(ISNUMBER(SEARCH("Delivery",N625)),ISNUMBER(SEARCH("Carin",N625))),"SIM","")</f>
        <v/>
      </c>
      <c r="Z625" s="99">
        <f>IF(AND(ISNUMBER(SEARCH("Delivery",N625)),ISNUMBER(SEARCH("Lapa",N625))),"SIM","")</f>
        <v/>
      </c>
      <c r="AA625" s="99">
        <f>IF(AND(ISNUMBER(SEARCH("Delivery",N625)),ISNUMBER(SEARCH("Tatuapé",N625))),"SIM","")</f>
        <v/>
      </c>
      <c r="AB625" s="99">
        <f>IF(AND(ISNUMBER(SEARCH("Delivery",N625)),ISNUMBER(SEARCH("Pavão",N625))),"SIM","")</f>
        <v/>
      </c>
      <c r="AC625" s="99">
        <f>IF(AND(ISNUMBER(SEARCH("Delivery",N625)),ISNUMBER(SEARCH("Chac",N625))),"SIM","")</f>
        <v/>
      </c>
      <c r="AD625" s="99">
        <f>IF(AND(ISNUMBER(SEARCH("Delivery",N625)),ISNUMBER(SEARCH("Madalena",N625))),"SIM","")</f>
        <v/>
      </c>
      <c r="AE625" s="92">
        <f>IF(AND(ISNUMBER(SEARCH("Delivery",N625)),ISNUMBER(SEARCH("Mariana",N625))),"SIM","")</f>
        <v/>
      </c>
      <c r="AF625" s="92">
        <f>IF(AND(ISNUMBER(SEARCH("Delivery",N625)),ISNUMBER(SEARCH("Perdizes",N625))),"SIM","")</f>
        <v/>
      </c>
      <c r="AG625" s="92">
        <f>IF(AND(ISNUMBER(SEARCH("Delivery",N625)),ISNUMBER(SEARCH("Santana",N625))),"SIM","")</f>
        <v/>
      </c>
      <c r="AH625" s="92">
        <f>IF(AND(ISNUMBER(SEARCH("Delivery",N625)),ISNUMBER(SEARCH("André",N625))),"SIM","")</f>
        <v/>
      </c>
      <c r="AI625" s="92">
        <f>IF(ISNUMBER(SEARCH("Interlagos",N625)),"SIM","")</f>
        <v/>
      </c>
      <c r="AJ625" s="92">
        <f>IF(ISNUMBER(SEARCH("Quiosque",N625)),"SIM","")</f>
        <v/>
      </c>
      <c r="AK625" s="93" t="n"/>
    </row>
    <row r="626">
      <c r="A626" s="88" t="inlineStr">
        <is>
          <t>Protheus</t>
        </is>
      </c>
      <c r="B626" s="89" t="inlineStr">
        <is>
          <t>010031</t>
        </is>
      </c>
      <c r="C626" s="90">
        <f>IF(B626="—","—",IFERROR(VLOOKUP(B626,_Protheus_Cadastro!$A:$B,2,FALSE),"—"))</f>
        <v/>
      </c>
      <c r="D626" s="91">
        <f>IF(B626="—",IFERROR(INDEX(_ZIG_Cadastro!$D:$D,MATCH(H626,_ZIG_Cadastro!$A:$A,0)),"Produto"),IFERROR(VLOOKUP(B626,_Protheus_Cadastro!$A:$C,3,FALSE),"—"))</f>
        <v/>
      </c>
      <c r="E626" s="91">
        <f>IF(B626="—","—",IFERROR(VLOOKUP(B626,_Protheus_Cadastro!$A:$D,4,FALSE),"—"))</f>
        <v/>
      </c>
      <c r="F626" s="91">
        <f>IF(ISERROR(VLOOKUP(B626,'Estrutura Protheus'!A:A,1,FALSE)),"Não","Sim")</f>
        <v/>
      </c>
      <c r="G626" s="92">
        <f>IFERROR(INDEX(_Protheus_Cadastro!$H:$H,MATCH(B626,_Protheus_Cadastro!$A:$A,0)),"—")</f>
        <v/>
      </c>
      <c r="H626" s="210">
        <f>IFERROR(INDEX(_ZIG_Precos!$D:$D,MATCH(I626,_ZIG_Precos!$F:$F,0)),"—")</f>
        <v/>
      </c>
      <c r="I626" s="95">
        <f>IFERROR(VLOOKUP(B626,_Protheus_Cadastro!$A:$I,9,FALSE),"—")</f>
        <v/>
      </c>
      <c r="J626" s="93">
        <f>IFERROR(INDEX(_ZIG_Cadastro!$B:$B,MATCH(I626,_ZIG_Cadastro!$A:$A,0)),IFERROR(INDEX(_Entradas_ZIG!$B:$B,MATCH(I626,_Entradas_ZIG!$C:$C,0)),"—"))</f>
        <v/>
      </c>
      <c r="K626" s="93">
        <f>IFERROR(INDEX(_ZIG_Cadastro!$C:$C,MATCH(I626,_ZIG_Cadastro!$A:$A,0)),IFERROR(INDEX(_Entradas_ZIG!$D:$D,MATCH(I626,_Entradas_ZIG!$C:$C,0)),"—"))</f>
        <v/>
      </c>
      <c r="L626" s="92">
        <f>IF(I626="","Sem SKU ZIG",IF(I626="—","Sem SKU ZIG",IF(NOT(ISERROR(MATCH(I626,_ZIG_Cadastro!$A:$A,0))),IF(EXACT(UPPER(TRIM(C626)),UPPER(TRIM(INDEX(_ZIG_Cadastro!$B:$B,MATCH(I626,_ZIG_Cadastro!$A:$A,0))))),"OK","Atencao - Nome diverge"),IF(NOT(ISERROR(MATCH(I626,_Entradas_ZIG!$C:$C,0))),"OK","Erro - SKU nao encontrado"))))</f>
        <v/>
      </c>
      <c r="M626" s="92">
        <f>IFERROR(INDEX(_ZIG_Cadastro!$G:$G,MATCH(I626,_ZIG_Cadastro!$A:$A,0)),IF(NOT(ISERROR(MATCH(I626,_Entradas_ZIG!$C:$C,0))),"Ativo","—"))</f>
        <v/>
      </c>
      <c r="N626" s="94">
        <f>IFERROR(INDEX(_ZIG_Cadastro!$E:$E,MATCH(I626,_ZIG_Cadastro!$A:$A,0)),IFERROR(INDEX(_Entradas_ZIG!$F:$F,MATCH(I626,_Entradas_ZIG!$C:$C,0)),"—"))</f>
        <v/>
      </c>
      <c r="O626" s="92">
        <f>IF(AND(ISNUMBER(SEARCH("Espeto",N626)),ISNUMBER(SEARCH("Carin",N626))),"SIM","")</f>
        <v/>
      </c>
      <c r="P626" s="92">
        <f>IF(AND(ISNUMBER(SEARCH("Espeto",N626)),ISNUMBER(SEARCH("Lapa",N626))),"SIM","")</f>
        <v/>
      </c>
      <c r="Q626" s="92">
        <f>IF(AND(ISNUMBER(SEARCH("Espeto",N626)),ISNUMBER(SEARCH("Tatuapé",N626))),"SIM","")</f>
        <v/>
      </c>
      <c r="R626" s="92">
        <f>IF(AND(ISNUMBER(SEARCH("Espeto",N626)),ISNUMBER(SEARCH("Pavão",N626))),"SIM","")</f>
        <v/>
      </c>
      <c r="S626" s="92">
        <f>IF(AND(ISNUMBER(SEARCH("Espeto",N626)),ISNUMBER(SEARCH("Chac",N626))),"SIM","")</f>
        <v/>
      </c>
      <c r="T626" s="92">
        <f>IF(AND(ISNUMBER(SEARCH("Espeto",N626)),ISNUMBER(SEARCH("Madalena",N626))),"SIM","")</f>
        <v/>
      </c>
      <c r="U626" s="92">
        <f>IF(AND(ISNUMBER(SEARCH("Espeto",N626)),ISNUMBER(SEARCH("Mariana",N626))),"SIM","")</f>
        <v/>
      </c>
      <c r="V626" s="92">
        <f>IF(AND(ISNUMBER(SEARCH("Espeto",N626)),ISNUMBER(SEARCH("Perdizes",N626))),"SIM","")</f>
        <v/>
      </c>
      <c r="W626" s="92">
        <f>IF(AND(ISNUMBER(SEARCH("Espeto",N626)),ISNUMBER(SEARCH("Santana",N626))),"SIM","")</f>
        <v/>
      </c>
      <c r="X626" s="92">
        <f>IF(AND(ISNUMBER(SEARCH("Espeto",N626)),ISNUMBER(SEARCH("André",N626))),"SIM","")</f>
        <v/>
      </c>
      <c r="Y626" s="92">
        <f>IF(AND(ISNUMBER(SEARCH("Delivery",N626)),ISNUMBER(SEARCH("Carin",N626))),"SIM","")</f>
        <v/>
      </c>
      <c r="Z626" s="92">
        <f>IF(AND(ISNUMBER(SEARCH("Delivery",N626)),ISNUMBER(SEARCH("Lapa",N626))),"SIM","")</f>
        <v/>
      </c>
      <c r="AA626" s="92">
        <f>IF(AND(ISNUMBER(SEARCH("Delivery",N626)),ISNUMBER(SEARCH("Tatuapé",N626))),"SIM","")</f>
        <v/>
      </c>
      <c r="AB626" s="92">
        <f>IF(AND(ISNUMBER(SEARCH("Delivery",N626)),ISNUMBER(SEARCH("Pavão",N626))),"SIM","")</f>
        <v/>
      </c>
      <c r="AC626" s="92">
        <f>IF(AND(ISNUMBER(SEARCH("Delivery",N626)),ISNUMBER(SEARCH("Chac",N626))),"SIM","")</f>
        <v/>
      </c>
      <c r="AD626" s="92">
        <f>IF(AND(ISNUMBER(SEARCH("Delivery",N626)),ISNUMBER(SEARCH("Madalena",N626))),"SIM","")</f>
        <v/>
      </c>
      <c r="AE626" s="99">
        <f>IF(AND(ISNUMBER(SEARCH("Delivery",N626)),ISNUMBER(SEARCH("Mariana",N626))),"SIM","")</f>
        <v/>
      </c>
      <c r="AF626" s="99">
        <f>IF(AND(ISNUMBER(SEARCH("Delivery",N626)),ISNUMBER(SEARCH("Perdizes",N626))),"SIM","")</f>
        <v/>
      </c>
      <c r="AG626" s="99">
        <f>IF(AND(ISNUMBER(SEARCH("Delivery",N626)),ISNUMBER(SEARCH("Santana",N626))),"SIM","")</f>
        <v/>
      </c>
      <c r="AH626" s="99">
        <f>IF(AND(ISNUMBER(SEARCH("Delivery",N626)),ISNUMBER(SEARCH("André",N626))),"SIM","")</f>
        <v/>
      </c>
      <c r="AI626" s="99">
        <f>IF(ISNUMBER(SEARCH("Interlagos",N626)),"SIM","")</f>
        <v/>
      </c>
      <c r="AJ626" s="99">
        <f>IF(ISNUMBER(SEARCH("Quiosque",N626)),"SIM","")</f>
        <v/>
      </c>
      <c r="AK626" s="101" t="n"/>
    </row>
    <row r="627">
      <c r="A627" s="88" t="inlineStr">
        <is>
          <t>Protheus</t>
        </is>
      </c>
      <c r="B627" s="89" t="inlineStr">
        <is>
          <t>002225</t>
        </is>
      </c>
      <c r="C627" s="90">
        <f>IF(B627="—","—",IFERROR(VLOOKUP(B627,_Protheus_Cadastro!$A:$B,2,FALSE),"—"))</f>
        <v/>
      </c>
      <c r="D627" s="91">
        <f>IF(B627="—",IFERROR(INDEX(_ZIG_Cadastro!$D:$D,MATCH(H627,_ZIG_Cadastro!$A:$A,0)),"Produto"),IFERROR(VLOOKUP(B627,_Protheus_Cadastro!$A:$C,3,FALSE),"—"))</f>
        <v/>
      </c>
      <c r="E627" s="91">
        <f>IF(B627="—","—",IFERROR(VLOOKUP(B627,_Protheus_Cadastro!$A:$D,4,FALSE),"—"))</f>
        <v/>
      </c>
      <c r="F627" s="91">
        <f>IF(ISERROR(VLOOKUP(B627,'Estrutura Protheus'!A:A,1,FALSE)),"Não","Sim")</f>
        <v/>
      </c>
      <c r="G627" s="92">
        <f>IFERROR(INDEX(_Protheus_Cadastro!$H:$H,MATCH(B627,_Protheus_Cadastro!$A:$A,0)),"—")</f>
        <v/>
      </c>
      <c r="H627" s="210">
        <f>IFERROR(INDEX(_ZIG_Precos!$D:$D,MATCH(I627,_ZIG_Precos!$F:$F,0)),"—")</f>
        <v/>
      </c>
      <c r="I627" s="95">
        <f>IFERROR(VLOOKUP(B627,_Protheus_Cadastro!$A:$I,9,FALSE),"—")</f>
        <v/>
      </c>
      <c r="J627" s="93">
        <f>IFERROR(INDEX(_ZIG_Cadastro!$B:$B,MATCH(I627,_ZIG_Cadastro!$A:$A,0)),IFERROR(INDEX(_Entradas_ZIG!$B:$B,MATCH(I627,_Entradas_ZIG!$C:$C,0)),"—"))</f>
        <v/>
      </c>
      <c r="K627" s="93">
        <f>IFERROR(INDEX(_ZIG_Cadastro!$C:$C,MATCH(I627,_ZIG_Cadastro!$A:$A,0)),IFERROR(INDEX(_Entradas_ZIG!$D:$D,MATCH(I627,_Entradas_ZIG!$C:$C,0)),"—"))</f>
        <v/>
      </c>
      <c r="L627" s="92">
        <f>IF(I627="","Sem SKU ZIG",IF(I627="—","Sem SKU ZIG",IF(NOT(ISERROR(MATCH(I627,_ZIG_Cadastro!$A:$A,0))),IF(EXACT(UPPER(TRIM(C627)),UPPER(TRIM(INDEX(_ZIG_Cadastro!$B:$B,MATCH(I627,_ZIG_Cadastro!$A:$A,0))))),"OK","Atencao - Nome diverge"),IF(NOT(ISERROR(MATCH(I627,_Entradas_ZIG!$C:$C,0))),"OK","Erro - SKU nao encontrado"))))</f>
        <v/>
      </c>
      <c r="M627" s="92">
        <f>IFERROR(INDEX(_ZIG_Cadastro!$G:$G,MATCH(I627,_ZIG_Cadastro!$A:$A,0)),IF(NOT(ISERROR(MATCH(I627,_Entradas_ZIG!$C:$C,0))),"Ativo","—"))</f>
        <v/>
      </c>
      <c r="N627" s="94">
        <f>IFERROR(INDEX(_ZIG_Cadastro!$E:$E,MATCH(I627,_ZIG_Cadastro!$A:$A,0)),IFERROR(INDEX(_Entradas_ZIG!$F:$F,MATCH(I627,_Entradas_ZIG!$C:$C,0)),"—"))</f>
        <v/>
      </c>
      <c r="O627" s="92">
        <f>IF(AND(ISNUMBER(SEARCH("Espeto",N627)),ISNUMBER(SEARCH("Carin",N627))),"SIM","")</f>
        <v/>
      </c>
      <c r="P627" s="92">
        <f>IF(AND(ISNUMBER(SEARCH("Espeto",N627)),ISNUMBER(SEARCH("Lapa",N627))),"SIM","")</f>
        <v/>
      </c>
      <c r="Q627" s="92">
        <f>IF(AND(ISNUMBER(SEARCH("Espeto",N627)),ISNUMBER(SEARCH("Tatuapé",N627))),"SIM","")</f>
        <v/>
      </c>
      <c r="R627" s="92">
        <f>IF(AND(ISNUMBER(SEARCH("Espeto",N627)),ISNUMBER(SEARCH("Pavão",N627))),"SIM","")</f>
        <v/>
      </c>
      <c r="S627" s="92">
        <f>IF(AND(ISNUMBER(SEARCH("Espeto",N627)),ISNUMBER(SEARCH("Chac",N627))),"SIM","")</f>
        <v/>
      </c>
      <c r="T627" s="92">
        <f>IF(AND(ISNUMBER(SEARCH("Espeto",N627)),ISNUMBER(SEARCH("Madalena",N627))),"SIM","")</f>
        <v/>
      </c>
      <c r="U627" s="92">
        <f>IF(AND(ISNUMBER(SEARCH("Espeto",N627)),ISNUMBER(SEARCH("Mariana",N627))),"SIM","")</f>
        <v/>
      </c>
      <c r="V627" s="92">
        <f>IF(AND(ISNUMBER(SEARCH("Espeto",N627)),ISNUMBER(SEARCH("Perdizes",N627))),"SIM","")</f>
        <v/>
      </c>
      <c r="W627" s="92">
        <f>IF(AND(ISNUMBER(SEARCH("Espeto",N627)),ISNUMBER(SEARCH("Santana",N627))),"SIM","")</f>
        <v/>
      </c>
      <c r="X627" s="92">
        <f>IF(AND(ISNUMBER(SEARCH("Espeto",N627)),ISNUMBER(SEARCH("André",N627))),"SIM","")</f>
        <v/>
      </c>
      <c r="Y627" s="92">
        <f>IF(AND(ISNUMBER(SEARCH("Delivery",N627)),ISNUMBER(SEARCH("Carin",N627))),"SIM","")</f>
        <v/>
      </c>
      <c r="Z627" s="92">
        <f>IF(AND(ISNUMBER(SEARCH("Delivery",N627)),ISNUMBER(SEARCH("Lapa",N627))),"SIM","")</f>
        <v/>
      </c>
      <c r="AA627" s="92">
        <f>IF(AND(ISNUMBER(SEARCH("Delivery",N627)),ISNUMBER(SEARCH("Tatuapé",N627))),"SIM","")</f>
        <v/>
      </c>
      <c r="AB627" s="92">
        <f>IF(AND(ISNUMBER(SEARCH("Delivery",N627)),ISNUMBER(SEARCH("Pavão",N627))),"SIM","")</f>
        <v/>
      </c>
      <c r="AC627" s="92">
        <f>IF(AND(ISNUMBER(SEARCH("Delivery",N627)),ISNUMBER(SEARCH("Chac",N627))),"SIM","")</f>
        <v/>
      </c>
      <c r="AD627" s="92">
        <f>IF(AND(ISNUMBER(SEARCH("Delivery",N627)),ISNUMBER(SEARCH("Madalena",N627))),"SIM","")</f>
        <v/>
      </c>
      <c r="AE627" s="99">
        <f>IF(AND(ISNUMBER(SEARCH("Delivery",N627)),ISNUMBER(SEARCH("Mariana",N627))),"SIM","")</f>
        <v/>
      </c>
      <c r="AF627" s="99">
        <f>IF(AND(ISNUMBER(SEARCH("Delivery",N627)),ISNUMBER(SEARCH("Perdizes",N627))),"SIM","")</f>
        <v/>
      </c>
      <c r="AG627" s="99">
        <f>IF(AND(ISNUMBER(SEARCH("Delivery",N627)),ISNUMBER(SEARCH("Santana",N627))),"SIM","")</f>
        <v/>
      </c>
      <c r="AH627" s="99">
        <f>IF(AND(ISNUMBER(SEARCH("Delivery",N627)),ISNUMBER(SEARCH("André",N627))),"SIM","")</f>
        <v/>
      </c>
      <c r="AI627" s="99">
        <f>IF(ISNUMBER(SEARCH("Interlagos",N627)),"SIM","")</f>
        <v/>
      </c>
      <c r="AJ627" s="99">
        <f>IF(ISNUMBER(SEARCH("Quiosque",N627)),"SIM","")</f>
        <v/>
      </c>
      <c r="AK627" s="101" t="n"/>
    </row>
    <row r="628">
      <c r="A628" s="88" t="inlineStr">
        <is>
          <t>Protheus</t>
        </is>
      </c>
      <c r="B628" s="96" t="inlineStr">
        <is>
          <t>010013</t>
        </is>
      </c>
      <c r="C628" s="97">
        <f>IF(B628="—","—",IFERROR(VLOOKUP(B628,_Protheus_Cadastro!$A:$B,2,FALSE),"—"))</f>
        <v/>
      </c>
      <c r="D628" s="98">
        <f>IF(B628="—",IFERROR(INDEX(_ZIG_Cadastro!$D:$D,MATCH(H628,_ZIG_Cadastro!$A:$A,0)),"Produto"),IFERROR(VLOOKUP(B628,_Protheus_Cadastro!$A:$C,3,FALSE),"—"))</f>
        <v/>
      </c>
      <c r="E628" s="98">
        <f>IF(B628="—","—",IFERROR(VLOOKUP(B628,_Protheus_Cadastro!$A:$D,4,FALSE),"—"))</f>
        <v/>
      </c>
      <c r="F628" s="98">
        <f>IF(ISERROR(VLOOKUP(B628,'Estrutura Protheus'!A:A,1,FALSE)),"Não","Sim")</f>
        <v/>
      </c>
      <c r="G628" s="99">
        <f>IFERROR(INDEX(_Protheus_Cadastro!$H:$H,MATCH(B628,_Protheus_Cadastro!$A:$A,0)),"—")</f>
        <v/>
      </c>
      <c r="H628" s="211">
        <f>IFERROR(INDEX(_ZIG_Precos!$D:$D,MATCH(I628,_ZIG_Precos!$F:$F,0)),"—")</f>
        <v/>
      </c>
      <c r="I628" s="103">
        <f>IFERROR(VLOOKUP(B628,_Protheus_Cadastro!$A:$I,9,FALSE),"—")</f>
        <v/>
      </c>
      <c r="J628" s="101">
        <f>IFERROR(INDEX(_ZIG_Cadastro!$B:$B,MATCH(I628,_ZIG_Cadastro!$A:$A,0)),IFERROR(INDEX(_Entradas_ZIG!$B:$B,MATCH(I628,_Entradas_ZIG!$C:$C,0)),"—"))</f>
        <v/>
      </c>
      <c r="K628" s="101">
        <f>IFERROR(INDEX(_ZIG_Cadastro!$C:$C,MATCH(I628,_ZIG_Cadastro!$A:$A,0)),IFERROR(INDEX(_Entradas_ZIG!$D:$D,MATCH(I628,_Entradas_ZIG!$C:$C,0)),"—"))</f>
        <v/>
      </c>
      <c r="L628" s="99">
        <f>IF(I628="","Sem SKU ZIG",IF(I628="—","Sem SKU ZIG",IF(NOT(ISERROR(MATCH(I628,_ZIG_Cadastro!$A:$A,0))),IF(EXACT(UPPER(TRIM(C628)),UPPER(TRIM(INDEX(_ZIG_Cadastro!$B:$B,MATCH(I628,_ZIG_Cadastro!$A:$A,0))))),"OK","Atencao - Nome diverge"),IF(NOT(ISERROR(MATCH(I628,_Entradas_ZIG!$C:$C,0))),"OK","Erro - SKU nao encontrado"))))</f>
        <v/>
      </c>
      <c r="M628" s="99">
        <f>IFERROR(INDEX(_ZIG_Cadastro!$G:$G,MATCH(I628,_ZIG_Cadastro!$A:$A,0)),IF(NOT(ISERROR(MATCH(I628,_Entradas_ZIG!$C:$C,0))),"Ativo","—"))</f>
        <v/>
      </c>
      <c r="N628" s="102">
        <f>IFERROR(INDEX(_ZIG_Cadastro!$E:$E,MATCH(I628,_ZIG_Cadastro!$A:$A,0)),IFERROR(INDEX(_Entradas_ZIG!$F:$F,MATCH(I628,_Entradas_ZIG!$C:$C,0)),"—"))</f>
        <v/>
      </c>
      <c r="O628" s="99">
        <f>IF(AND(ISNUMBER(SEARCH("Espeto",N628)),ISNUMBER(SEARCH("Carin",N628))),"SIM","")</f>
        <v/>
      </c>
      <c r="P628" s="99">
        <f>IF(AND(ISNUMBER(SEARCH("Espeto",N628)),ISNUMBER(SEARCH("Lapa",N628))),"SIM","")</f>
        <v/>
      </c>
      <c r="Q628" s="99">
        <f>IF(AND(ISNUMBER(SEARCH("Espeto",N628)),ISNUMBER(SEARCH("Tatuapé",N628))),"SIM","")</f>
        <v/>
      </c>
      <c r="R628" s="99">
        <f>IF(AND(ISNUMBER(SEARCH("Espeto",N628)),ISNUMBER(SEARCH("Pavão",N628))),"SIM","")</f>
        <v/>
      </c>
      <c r="S628" s="99">
        <f>IF(AND(ISNUMBER(SEARCH("Espeto",N628)),ISNUMBER(SEARCH("Chac",N628))),"SIM","")</f>
        <v/>
      </c>
      <c r="T628" s="99">
        <f>IF(AND(ISNUMBER(SEARCH("Espeto",N628)),ISNUMBER(SEARCH("Madalena",N628))),"SIM","")</f>
        <v/>
      </c>
      <c r="U628" s="99">
        <f>IF(AND(ISNUMBER(SEARCH("Espeto",N628)),ISNUMBER(SEARCH("Mariana",N628))),"SIM","")</f>
        <v/>
      </c>
      <c r="V628" s="99">
        <f>IF(AND(ISNUMBER(SEARCH("Espeto",N628)),ISNUMBER(SEARCH("Perdizes",N628))),"SIM","")</f>
        <v/>
      </c>
      <c r="W628" s="99">
        <f>IF(AND(ISNUMBER(SEARCH("Espeto",N628)),ISNUMBER(SEARCH("Santana",N628))),"SIM","")</f>
        <v/>
      </c>
      <c r="X628" s="99">
        <f>IF(AND(ISNUMBER(SEARCH("Espeto",N628)),ISNUMBER(SEARCH("André",N628))),"SIM","")</f>
        <v/>
      </c>
      <c r="Y628" s="99">
        <f>IF(AND(ISNUMBER(SEARCH("Delivery",N628)),ISNUMBER(SEARCH("Carin",N628))),"SIM","")</f>
        <v/>
      </c>
      <c r="Z628" s="99">
        <f>IF(AND(ISNUMBER(SEARCH("Delivery",N628)),ISNUMBER(SEARCH("Lapa",N628))),"SIM","")</f>
        <v/>
      </c>
      <c r="AA628" s="99">
        <f>IF(AND(ISNUMBER(SEARCH("Delivery",N628)),ISNUMBER(SEARCH("Tatuapé",N628))),"SIM","")</f>
        <v/>
      </c>
      <c r="AB628" s="99">
        <f>IF(AND(ISNUMBER(SEARCH("Delivery",N628)),ISNUMBER(SEARCH("Pavão",N628))),"SIM","")</f>
        <v/>
      </c>
      <c r="AC628" s="99">
        <f>IF(AND(ISNUMBER(SEARCH("Delivery",N628)),ISNUMBER(SEARCH("Chac",N628))),"SIM","")</f>
        <v/>
      </c>
      <c r="AD628" s="99">
        <f>IF(AND(ISNUMBER(SEARCH("Delivery",N628)),ISNUMBER(SEARCH("Madalena",N628))),"SIM","")</f>
        <v/>
      </c>
      <c r="AE628" s="92">
        <f>IF(AND(ISNUMBER(SEARCH("Delivery",N628)),ISNUMBER(SEARCH("Mariana",N628))),"SIM","")</f>
        <v/>
      </c>
      <c r="AF628" s="92">
        <f>IF(AND(ISNUMBER(SEARCH("Delivery",N628)),ISNUMBER(SEARCH("Perdizes",N628))),"SIM","")</f>
        <v/>
      </c>
      <c r="AG628" s="92">
        <f>IF(AND(ISNUMBER(SEARCH("Delivery",N628)),ISNUMBER(SEARCH("Santana",N628))),"SIM","")</f>
        <v/>
      </c>
      <c r="AH628" s="92">
        <f>IF(AND(ISNUMBER(SEARCH("Delivery",N628)),ISNUMBER(SEARCH("André",N628))),"SIM","")</f>
        <v/>
      </c>
      <c r="AI628" s="92">
        <f>IF(ISNUMBER(SEARCH("Interlagos",N628)),"SIM","")</f>
        <v/>
      </c>
      <c r="AJ628" s="92">
        <f>IF(ISNUMBER(SEARCH("Quiosque",N628)),"SIM","")</f>
        <v/>
      </c>
      <c r="AK628" s="93" t="n"/>
    </row>
    <row r="629">
      <c r="A629" s="88" t="inlineStr">
        <is>
          <t>Protheus</t>
        </is>
      </c>
      <c r="B629" s="89" t="inlineStr">
        <is>
          <t>000944</t>
        </is>
      </c>
      <c r="C629" s="90">
        <f>IF(B629="—","—",IFERROR(VLOOKUP(B629,_Protheus_Cadastro!$A:$B,2,FALSE),"—"))</f>
        <v/>
      </c>
      <c r="D629" s="91">
        <f>IF(B629="—",IFERROR(INDEX(_ZIG_Cadastro!$D:$D,MATCH(H629,_ZIG_Cadastro!$A:$A,0)),"Produto"),IFERROR(VLOOKUP(B629,_Protheus_Cadastro!$A:$C,3,FALSE),"—"))</f>
        <v/>
      </c>
      <c r="E629" s="91">
        <f>IF(B629="—","—",IFERROR(VLOOKUP(B629,_Protheus_Cadastro!$A:$D,4,FALSE),"—"))</f>
        <v/>
      </c>
      <c r="F629" s="91">
        <f>IF(ISERROR(VLOOKUP(B629,'Estrutura Protheus'!A:A,1,FALSE)),"Não","Sim")</f>
        <v/>
      </c>
      <c r="G629" s="92">
        <f>IFERROR(INDEX(_Protheus_Cadastro!$H:$H,MATCH(B629,_Protheus_Cadastro!$A:$A,0)),"—")</f>
        <v/>
      </c>
      <c r="H629" s="210">
        <f>IFERROR(INDEX(_ZIG_Precos!$D:$D,MATCH(I629,_ZIG_Precos!$F:$F,0)),"—")</f>
        <v/>
      </c>
      <c r="I629" s="95">
        <f>IFERROR(VLOOKUP(B629,_Protheus_Cadastro!$A:$I,9,FALSE),"—")</f>
        <v/>
      </c>
      <c r="J629" s="93">
        <f>IFERROR(INDEX(_ZIG_Cadastro!$B:$B,MATCH(I629,_ZIG_Cadastro!$A:$A,0)),IFERROR(INDEX(_Entradas_ZIG!$B:$B,MATCH(I629,_Entradas_ZIG!$C:$C,0)),"—"))</f>
        <v/>
      </c>
      <c r="K629" s="93">
        <f>IFERROR(INDEX(_ZIG_Cadastro!$C:$C,MATCH(I629,_ZIG_Cadastro!$A:$A,0)),IFERROR(INDEX(_Entradas_ZIG!$D:$D,MATCH(I629,_Entradas_ZIG!$C:$C,0)),"—"))</f>
        <v/>
      </c>
      <c r="L629" s="92">
        <f>IF(I629="","Sem SKU ZIG",IF(I629="—","Sem SKU ZIG",IF(NOT(ISERROR(MATCH(I629,_ZIG_Cadastro!$A:$A,0))),IF(EXACT(UPPER(TRIM(C629)),UPPER(TRIM(INDEX(_ZIG_Cadastro!$B:$B,MATCH(I629,_ZIG_Cadastro!$A:$A,0))))),"OK","Atencao - Nome diverge"),IF(NOT(ISERROR(MATCH(I629,_Entradas_ZIG!$C:$C,0))),"OK","Erro - SKU nao encontrado"))))</f>
        <v/>
      </c>
      <c r="M629" s="92">
        <f>IFERROR(INDEX(_ZIG_Cadastro!$G:$G,MATCH(I629,_ZIG_Cadastro!$A:$A,0)),IF(NOT(ISERROR(MATCH(I629,_Entradas_ZIG!$C:$C,0))),"Ativo","—"))</f>
        <v/>
      </c>
      <c r="N629" s="94">
        <f>IFERROR(INDEX(_ZIG_Cadastro!$E:$E,MATCH(I629,_ZIG_Cadastro!$A:$A,0)),IFERROR(INDEX(_Entradas_ZIG!$F:$F,MATCH(I629,_Entradas_ZIG!$C:$C,0)),"—"))</f>
        <v/>
      </c>
      <c r="O629" s="92">
        <f>IF(AND(ISNUMBER(SEARCH("Espeto",N629)),ISNUMBER(SEARCH("Carin",N629))),"SIM","")</f>
        <v/>
      </c>
      <c r="P629" s="92">
        <f>IF(AND(ISNUMBER(SEARCH("Espeto",N629)),ISNUMBER(SEARCH("Lapa",N629))),"SIM","")</f>
        <v/>
      </c>
      <c r="Q629" s="92">
        <f>IF(AND(ISNUMBER(SEARCH("Espeto",N629)),ISNUMBER(SEARCH("Tatuapé",N629))),"SIM","")</f>
        <v/>
      </c>
      <c r="R629" s="92">
        <f>IF(AND(ISNUMBER(SEARCH("Espeto",N629)),ISNUMBER(SEARCH("Pavão",N629))),"SIM","")</f>
        <v/>
      </c>
      <c r="S629" s="92">
        <f>IF(AND(ISNUMBER(SEARCH("Espeto",N629)),ISNUMBER(SEARCH("Chac",N629))),"SIM","")</f>
        <v/>
      </c>
      <c r="T629" s="92">
        <f>IF(AND(ISNUMBER(SEARCH("Espeto",N629)),ISNUMBER(SEARCH("Madalena",N629))),"SIM","")</f>
        <v/>
      </c>
      <c r="U629" s="92">
        <f>IF(AND(ISNUMBER(SEARCH("Espeto",N629)),ISNUMBER(SEARCH("Mariana",N629))),"SIM","")</f>
        <v/>
      </c>
      <c r="V629" s="92">
        <f>IF(AND(ISNUMBER(SEARCH("Espeto",N629)),ISNUMBER(SEARCH("Perdizes",N629))),"SIM","")</f>
        <v/>
      </c>
      <c r="W629" s="92">
        <f>IF(AND(ISNUMBER(SEARCH("Espeto",N629)),ISNUMBER(SEARCH("Santana",N629))),"SIM","")</f>
        <v/>
      </c>
      <c r="X629" s="92">
        <f>IF(AND(ISNUMBER(SEARCH("Espeto",N629)),ISNUMBER(SEARCH("André",N629))),"SIM","")</f>
        <v/>
      </c>
      <c r="Y629" s="92">
        <f>IF(AND(ISNUMBER(SEARCH("Delivery",N629)),ISNUMBER(SEARCH("Carin",N629))),"SIM","")</f>
        <v/>
      </c>
      <c r="Z629" s="92">
        <f>IF(AND(ISNUMBER(SEARCH("Delivery",N629)),ISNUMBER(SEARCH("Lapa",N629))),"SIM","")</f>
        <v/>
      </c>
      <c r="AA629" s="92">
        <f>IF(AND(ISNUMBER(SEARCH("Delivery",N629)),ISNUMBER(SEARCH("Tatuapé",N629))),"SIM","")</f>
        <v/>
      </c>
      <c r="AB629" s="92">
        <f>IF(AND(ISNUMBER(SEARCH("Delivery",N629)),ISNUMBER(SEARCH("Pavão",N629))),"SIM","")</f>
        <v/>
      </c>
      <c r="AC629" s="92">
        <f>IF(AND(ISNUMBER(SEARCH("Delivery",N629)),ISNUMBER(SEARCH("Chac",N629))),"SIM","")</f>
        <v/>
      </c>
      <c r="AD629" s="92">
        <f>IF(AND(ISNUMBER(SEARCH("Delivery",N629)),ISNUMBER(SEARCH("Madalena",N629))),"SIM","")</f>
        <v/>
      </c>
      <c r="AE629" s="99">
        <f>IF(AND(ISNUMBER(SEARCH("Delivery",N629)),ISNUMBER(SEARCH("Mariana",N629))),"SIM","")</f>
        <v/>
      </c>
      <c r="AF629" s="99">
        <f>IF(AND(ISNUMBER(SEARCH("Delivery",N629)),ISNUMBER(SEARCH("Perdizes",N629))),"SIM","")</f>
        <v/>
      </c>
      <c r="AG629" s="99">
        <f>IF(AND(ISNUMBER(SEARCH("Delivery",N629)),ISNUMBER(SEARCH("Santana",N629))),"SIM","")</f>
        <v/>
      </c>
      <c r="AH629" s="99">
        <f>IF(AND(ISNUMBER(SEARCH("Delivery",N629)),ISNUMBER(SEARCH("André",N629))),"SIM","")</f>
        <v/>
      </c>
      <c r="AI629" s="99">
        <f>IF(ISNUMBER(SEARCH("Interlagos",N629)),"SIM","")</f>
        <v/>
      </c>
      <c r="AJ629" s="99">
        <f>IF(ISNUMBER(SEARCH("Quiosque",N629)),"SIM","")</f>
        <v/>
      </c>
      <c r="AK629" s="101" t="n"/>
    </row>
    <row r="630">
      <c r="A630" s="88" t="inlineStr">
        <is>
          <t>Protheus</t>
        </is>
      </c>
      <c r="B630" s="96" t="inlineStr">
        <is>
          <t>000943</t>
        </is>
      </c>
      <c r="C630" s="97">
        <f>IF(B630="—","—",IFERROR(VLOOKUP(B630,_Protheus_Cadastro!$A:$B,2,FALSE),"—"))</f>
        <v/>
      </c>
      <c r="D630" s="98">
        <f>IF(B630="—",IFERROR(INDEX(_ZIG_Cadastro!$D:$D,MATCH(H630,_ZIG_Cadastro!$A:$A,0)),"Produto"),IFERROR(VLOOKUP(B630,_Protheus_Cadastro!$A:$C,3,FALSE),"—"))</f>
        <v/>
      </c>
      <c r="E630" s="98">
        <f>IF(B630="—","—",IFERROR(VLOOKUP(B630,_Protheus_Cadastro!$A:$D,4,FALSE),"—"))</f>
        <v/>
      </c>
      <c r="F630" s="98">
        <f>IF(ISERROR(VLOOKUP(B630,'Estrutura Protheus'!A:A,1,FALSE)),"Não","Sim")</f>
        <v/>
      </c>
      <c r="G630" s="99">
        <f>IFERROR(INDEX(_Protheus_Cadastro!$H:$H,MATCH(B630,_Protheus_Cadastro!$A:$A,0)),"—")</f>
        <v/>
      </c>
      <c r="H630" s="211">
        <f>IFERROR(INDEX(_ZIG_Precos!$D:$D,MATCH(I630,_ZIG_Precos!$F:$F,0)),"—")</f>
        <v/>
      </c>
      <c r="I630" s="103">
        <f>IFERROR(VLOOKUP(B630,_Protheus_Cadastro!$A:$I,9,FALSE),"—")</f>
        <v/>
      </c>
      <c r="J630" s="101">
        <f>IFERROR(INDEX(_ZIG_Cadastro!$B:$B,MATCH(I630,_ZIG_Cadastro!$A:$A,0)),IFERROR(INDEX(_Entradas_ZIG!$B:$B,MATCH(I630,_Entradas_ZIG!$C:$C,0)),"—"))</f>
        <v/>
      </c>
      <c r="K630" s="101">
        <f>IFERROR(INDEX(_ZIG_Cadastro!$C:$C,MATCH(I630,_ZIG_Cadastro!$A:$A,0)),IFERROR(INDEX(_Entradas_ZIG!$D:$D,MATCH(I630,_Entradas_ZIG!$C:$C,0)),"—"))</f>
        <v/>
      </c>
      <c r="L630" s="99">
        <f>IF(I630="","Sem SKU ZIG",IF(I630="—","Sem SKU ZIG",IF(NOT(ISERROR(MATCH(I630,_ZIG_Cadastro!$A:$A,0))),IF(EXACT(UPPER(TRIM(C630)),UPPER(TRIM(INDEX(_ZIG_Cadastro!$B:$B,MATCH(I630,_ZIG_Cadastro!$A:$A,0))))),"OK","Atencao - Nome diverge"),IF(NOT(ISERROR(MATCH(I630,_Entradas_ZIG!$C:$C,0))),"OK","Erro - SKU nao encontrado"))))</f>
        <v/>
      </c>
      <c r="M630" s="99">
        <f>IFERROR(INDEX(_ZIG_Cadastro!$G:$G,MATCH(I630,_ZIG_Cadastro!$A:$A,0)),IF(NOT(ISERROR(MATCH(I630,_Entradas_ZIG!$C:$C,0))),"Ativo","—"))</f>
        <v/>
      </c>
      <c r="N630" s="102">
        <f>IFERROR(INDEX(_ZIG_Cadastro!$E:$E,MATCH(I630,_ZIG_Cadastro!$A:$A,0)),IFERROR(INDEX(_Entradas_ZIG!$F:$F,MATCH(I630,_Entradas_ZIG!$C:$C,0)),"—"))</f>
        <v/>
      </c>
      <c r="O630" s="99">
        <f>IF(AND(ISNUMBER(SEARCH("Espeto",N630)),ISNUMBER(SEARCH("Carin",N630))),"SIM","")</f>
        <v/>
      </c>
      <c r="P630" s="99">
        <f>IF(AND(ISNUMBER(SEARCH("Espeto",N630)),ISNUMBER(SEARCH("Lapa",N630))),"SIM","")</f>
        <v/>
      </c>
      <c r="Q630" s="99">
        <f>IF(AND(ISNUMBER(SEARCH("Espeto",N630)),ISNUMBER(SEARCH("Tatuapé",N630))),"SIM","")</f>
        <v/>
      </c>
      <c r="R630" s="99">
        <f>IF(AND(ISNUMBER(SEARCH("Espeto",N630)),ISNUMBER(SEARCH("Pavão",N630))),"SIM","")</f>
        <v/>
      </c>
      <c r="S630" s="99">
        <f>IF(AND(ISNUMBER(SEARCH("Espeto",N630)),ISNUMBER(SEARCH("Chac",N630))),"SIM","")</f>
        <v/>
      </c>
      <c r="T630" s="99">
        <f>IF(AND(ISNUMBER(SEARCH("Espeto",N630)),ISNUMBER(SEARCH("Madalena",N630))),"SIM","")</f>
        <v/>
      </c>
      <c r="U630" s="99">
        <f>IF(AND(ISNUMBER(SEARCH("Espeto",N630)),ISNUMBER(SEARCH("Mariana",N630))),"SIM","")</f>
        <v/>
      </c>
      <c r="V630" s="99">
        <f>IF(AND(ISNUMBER(SEARCH("Espeto",N630)),ISNUMBER(SEARCH("Perdizes",N630))),"SIM","")</f>
        <v/>
      </c>
      <c r="W630" s="99">
        <f>IF(AND(ISNUMBER(SEARCH("Espeto",N630)),ISNUMBER(SEARCH("Santana",N630))),"SIM","")</f>
        <v/>
      </c>
      <c r="X630" s="99">
        <f>IF(AND(ISNUMBER(SEARCH("Espeto",N630)),ISNUMBER(SEARCH("André",N630))),"SIM","")</f>
        <v/>
      </c>
      <c r="Y630" s="99">
        <f>IF(AND(ISNUMBER(SEARCH("Delivery",N630)),ISNUMBER(SEARCH("Carin",N630))),"SIM","")</f>
        <v/>
      </c>
      <c r="Z630" s="99">
        <f>IF(AND(ISNUMBER(SEARCH("Delivery",N630)),ISNUMBER(SEARCH("Lapa",N630))),"SIM","")</f>
        <v/>
      </c>
      <c r="AA630" s="99">
        <f>IF(AND(ISNUMBER(SEARCH("Delivery",N630)),ISNUMBER(SEARCH("Tatuapé",N630))),"SIM","")</f>
        <v/>
      </c>
      <c r="AB630" s="99">
        <f>IF(AND(ISNUMBER(SEARCH("Delivery",N630)),ISNUMBER(SEARCH("Pavão",N630))),"SIM","")</f>
        <v/>
      </c>
      <c r="AC630" s="99">
        <f>IF(AND(ISNUMBER(SEARCH("Delivery",N630)),ISNUMBER(SEARCH("Chac",N630))),"SIM","")</f>
        <v/>
      </c>
      <c r="AD630" s="99">
        <f>IF(AND(ISNUMBER(SEARCH("Delivery",N630)),ISNUMBER(SEARCH("Madalena",N630))),"SIM","")</f>
        <v/>
      </c>
      <c r="AE630" s="92">
        <f>IF(AND(ISNUMBER(SEARCH("Delivery",N630)),ISNUMBER(SEARCH("Mariana",N630))),"SIM","")</f>
        <v/>
      </c>
      <c r="AF630" s="92">
        <f>IF(AND(ISNUMBER(SEARCH("Delivery",N630)),ISNUMBER(SEARCH("Perdizes",N630))),"SIM","")</f>
        <v/>
      </c>
      <c r="AG630" s="92">
        <f>IF(AND(ISNUMBER(SEARCH("Delivery",N630)),ISNUMBER(SEARCH("Santana",N630))),"SIM","")</f>
        <v/>
      </c>
      <c r="AH630" s="92">
        <f>IF(AND(ISNUMBER(SEARCH("Delivery",N630)),ISNUMBER(SEARCH("André",N630))),"SIM","")</f>
        <v/>
      </c>
      <c r="AI630" s="92">
        <f>IF(ISNUMBER(SEARCH("Interlagos",N630)),"SIM","")</f>
        <v/>
      </c>
      <c r="AJ630" s="92">
        <f>IF(ISNUMBER(SEARCH("Quiosque",N630)),"SIM","")</f>
        <v/>
      </c>
      <c r="AK630" s="93" t="n"/>
    </row>
    <row r="631">
      <c r="A631" s="88" t="inlineStr">
        <is>
          <t>Protheus</t>
        </is>
      </c>
      <c r="B631" s="89" t="inlineStr">
        <is>
          <t>000946</t>
        </is>
      </c>
      <c r="C631" s="90">
        <f>IF(B631="—","—",IFERROR(VLOOKUP(B631,_Protheus_Cadastro!$A:$B,2,FALSE),"—"))</f>
        <v/>
      </c>
      <c r="D631" s="91">
        <f>IF(B631="—",IFERROR(INDEX(_ZIG_Cadastro!$D:$D,MATCH(H631,_ZIG_Cadastro!$A:$A,0)),"Produto"),IFERROR(VLOOKUP(B631,_Protheus_Cadastro!$A:$C,3,FALSE),"—"))</f>
        <v/>
      </c>
      <c r="E631" s="91">
        <f>IF(B631="—","—",IFERROR(VLOOKUP(B631,_Protheus_Cadastro!$A:$D,4,FALSE),"—"))</f>
        <v/>
      </c>
      <c r="F631" s="91">
        <f>IF(ISERROR(VLOOKUP(B631,'Estrutura Protheus'!A:A,1,FALSE)),"Não","Sim")</f>
        <v/>
      </c>
      <c r="G631" s="92">
        <f>IFERROR(INDEX(_Protheus_Cadastro!$H:$H,MATCH(B631,_Protheus_Cadastro!$A:$A,0)),"—")</f>
        <v/>
      </c>
      <c r="H631" s="210">
        <f>IFERROR(INDEX(_ZIG_Precos!$D:$D,MATCH(I631,_ZIG_Precos!$F:$F,0)),"—")</f>
        <v/>
      </c>
      <c r="I631" s="95">
        <f>IFERROR(VLOOKUP(B631,_Protheus_Cadastro!$A:$I,9,FALSE),"—")</f>
        <v/>
      </c>
      <c r="J631" s="93">
        <f>IFERROR(INDEX(_ZIG_Cadastro!$B:$B,MATCH(I631,_ZIG_Cadastro!$A:$A,0)),IFERROR(INDEX(_Entradas_ZIG!$B:$B,MATCH(I631,_Entradas_ZIG!$C:$C,0)),"—"))</f>
        <v/>
      </c>
      <c r="K631" s="93">
        <f>IFERROR(INDEX(_ZIG_Cadastro!$C:$C,MATCH(I631,_ZIG_Cadastro!$A:$A,0)),IFERROR(INDEX(_Entradas_ZIG!$D:$D,MATCH(I631,_Entradas_ZIG!$C:$C,0)),"—"))</f>
        <v/>
      </c>
      <c r="L631" s="92">
        <f>IF(I631="","Sem SKU ZIG",IF(I631="—","Sem SKU ZIG",IF(NOT(ISERROR(MATCH(I631,_ZIG_Cadastro!$A:$A,0))),IF(EXACT(UPPER(TRIM(C631)),UPPER(TRIM(INDEX(_ZIG_Cadastro!$B:$B,MATCH(I631,_ZIG_Cadastro!$A:$A,0))))),"OK","Atencao - Nome diverge"),IF(NOT(ISERROR(MATCH(I631,_Entradas_ZIG!$C:$C,0))),"OK","Erro - SKU nao encontrado"))))</f>
        <v/>
      </c>
      <c r="M631" s="92">
        <f>IFERROR(INDEX(_ZIG_Cadastro!$G:$G,MATCH(I631,_ZIG_Cadastro!$A:$A,0)),IF(NOT(ISERROR(MATCH(I631,_Entradas_ZIG!$C:$C,0))),"Ativo","—"))</f>
        <v/>
      </c>
      <c r="N631" s="94">
        <f>IFERROR(INDEX(_ZIG_Cadastro!$E:$E,MATCH(I631,_ZIG_Cadastro!$A:$A,0)),IFERROR(INDEX(_Entradas_ZIG!$F:$F,MATCH(I631,_Entradas_ZIG!$C:$C,0)),"—"))</f>
        <v/>
      </c>
      <c r="O631" s="92">
        <f>IF(AND(ISNUMBER(SEARCH("Espeto",N631)),ISNUMBER(SEARCH("Carin",N631))),"SIM","")</f>
        <v/>
      </c>
      <c r="P631" s="92">
        <f>IF(AND(ISNUMBER(SEARCH("Espeto",N631)),ISNUMBER(SEARCH("Lapa",N631))),"SIM","")</f>
        <v/>
      </c>
      <c r="Q631" s="92">
        <f>IF(AND(ISNUMBER(SEARCH("Espeto",N631)),ISNUMBER(SEARCH("Tatuapé",N631))),"SIM","")</f>
        <v/>
      </c>
      <c r="R631" s="92">
        <f>IF(AND(ISNUMBER(SEARCH("Espeto",N631)),ISNUMBER(SEARCH("Pavão",N631))),"SIM","")</f>
        <v/>
      </c>
      <c r="S631" s="92">
        <f>IF(AND(ISNUMBER(SEARCH("Espeto",N631)),ISNUMBER(SEARCH("Chac",N631))),"SIM","")</f>
        <v/>
      </c>
      <c r="T631" s="92">
        <f>IF(AND(ISNUMBER(SEARCH("Espeto",N631)),ISNUMBER(SEARCH("Madalena",N631))),"SIM","")</f>
        <v/>
      </c>
      <c r="U631" s="92">
        <f>IF(AND(ISNUMBER(SEARCH("Espeto",N631)),ISNUMBER(SEARCH("Mariana",N631))),"SIM","")</f>
        <v/>
      </c>
      <c r="V631" s="92">
        <f>IF(AND(ISNUMBER(SEARCH("Espeto",N631)),ISNUMBER(SEARCH("Perdizes",N631))),"SIM","")</f>
        <v/>
      </c>
      <c r="W631" s="92">
        <f>IF(AND(ISNUMBER(SEARCH("Espeto",N631)),ISNUMBER(SEARCH("Santana",N631))),"SIM","")</f>
        <v/>
      </c>
      <c r="X631" s="92">
        <f>IF(AND(ISNUMBER(SEARCH("Espeto",N631)),ISNUMBER(SEARCH("André",N631))),"SIM","")</f>
        <v/>
      </c>
      <c r="Y631" s="92">
        <f>IF(AND(ISNUMBER(SEARCH("Delivery",N631)),ISNUMBER(SEARCH("Carin",N631))),"SIM","")</f>
        <v/>
      </c>
      <c r="Z631" s="92">
        <f>IF(AND(ISNUMBER(SEARCH("Delivery",N631)),ISNUMBER(SEARCH("Lapa",N631))),"SIM","")</f>
        <v/>
      </c>
      <c r="AA631" s="92">
        <f>IF(AND(ISNUMBER(SEARCH("Delivery",N631)),ISNUMBER(SEARCH("Tatuapé",N631))),"SIM","")</f>
        <v/>
      </c>
      <c r="AB631" s="92">
        <f>IF(AND(ISNUMBER(SEARCH("Delivery",N631)),ISNUMBER(SEARCH("Pavão",N631))),"SIM","")</f>
        <v/>
      </c>
      <c r="AC631" s="92">
        <f>IF(AND(ISNUMBER(SEARCH("Delivery",N631)),ISNUMBER(SEARCH("Chac",N631))),"SIM","")</f>
        <v/>
      </c>
      <c r="AD631" s="92">
        <f>IF(AND(ISNUMBER(SEARCH("Delivery",N631)),ISNUMBER(SEARCH("Madalena",N631))),"SIM","")</f>
        <v/>
      </c>
      <c r="AE631" s="99">
        <f>IF(AND(ISNUMBER(SEARCH("Delivery",N631)),ISNUMBER(SEARCH("Mariana",N631))),"SIM","")</f>
        <v/>
      </c>
      <c r="AF631" s="99">
        <f>IF(AND(ISNUMBER(SEARCH("Delivery",N631)),ISNUMBER(SEARCH("Perdizes",N631))),"SIM","")</f>
        <v/>
      </c>
      <c r="AG631" s="99">
        <f>IF(AND(ISNUMBER(SEARCH("Delivery",N631)),ISNUMBER(SEARCH("Santana",N631))),"SIM","")</f>
        <v/>
      </c>
      <c r="AH631" s="99">
        <f>IF(AND(ISNUMBER(SEARCH("Delivery",N631)),ISNUMBER(SEARCH("André",N631))),"SIM","")</f>
        <v/>
      </c>
      <c r="AI631" s="99">
        <f>IF(ISNUMBER(SEARCH("Interlagos",N631)),"SIM","")</f>
        <v/>
      </c>
      <c r="AJ631" s="99">
        <f>IF(ISNUMBER(SEARCH("Quiosque",N631)),"SIM","")</f>
        <v/>
      </c>
      <c r="AK631" s="101" t="n"/>
    </row>
    <row r="632">
      <c r="A632" s="88" t="inlineStr">
        <is>
          <t>Protheus</t>
        </is>
      </c>
      <c r="B632" s="96" t="inlineStr">
        <is>
          <t>000947</t>
        </is>
      </c>
      <c r="C632" s="97">
        <f>IF(B632="—","—",IFERROR(VLOOKUP(B632,_Protheus_Cadastro!$A:$B,2,FALSE),"—"))</f>
        <v/>
      </c>
      <c r="D632" s="98">
        <f>IF(B632="—",IFERROR(INDEX(_ZIG_Cadastro!$D:$D,MATCH(H632,_ZIG_Cadastro!$A:$A,0)),"Produto"),IFERROR(VLOOKUP(B632,_Protheus_Cadastro!$A:$C,3,FALSE),"—"))</f>
        <v/>
      </c>
      <c r="E632" s="98">
        <f>IF(B632="—","—",IFERROR(VLOOKUP(B632,_Protheus_Cadastro!$A:$D,4,FALSE),"—"))</f>
        <v/>
      </c>
      <c r="F632" s="98">
        <f>IF(ISERROR(VLOOKUP(B632,'Estrutura Protheus'!A:A,1,FALSE)),"Não","Sim")</f>
        <v/>
      </c>
      <c r="G632" s="99">
        <f>IFERROR(INDEX(_Protheus_Cadastro!$H:$H,MATCH(B632,_Protheus_Cadastro!$A:$A,0)),"—")</f>
        <v/>
      </c>
      <c r="H632" s="211">
        <f>IFERROR(INDEX(_ZIG_Precos!$D:$D,MATCH(I632,_ZIG_Precos!$F:$F,0)),"—")</f>
        <v/>
      </c>
      <c r="I632" s="103">
        <f>IFERROR(VLOOKUP(B632,_Protheus_Cadastro!$A:$I,9,FALSE),"—")</f>
        <v/>
      </c>
      <c r="J632" s="101">
        <f>IFERROR(INDEX(_ZIG_Cadastro!$B:$B,MATCH(I632,_ZIG_Cadastro!$A:$A,0)),IFERROR(INDEX(_Entradas_ZIG!$B:$B,MATCH(I632,_Entradas_ZIG!$C:$C,0)),"—"))</f>
        <v/>
      </c>
      <c r="K632" s="101">
        <f>IFERROR(INDEX(_ZIG_Cadastro!$C:$C,MATCH(I632,_ZIG_Cadastro!$A:$A,0)),IFERROR(INDEX(_Entradas_ZIG!$D:$D,MATCH(I632,_Entradas_ZIG!$C:$C,0)),"—"))</f>
        <v/>
      </c>
      <c r="L632" s="99">
        <f>IF(I632="","Sem SKU ZIG",IF(I632="—","Sem SKU ZIG",IF(NOT(ISERROR(MATCH(I632,_ZIG_Cadastro!$A:$A,0))),IF(EXACT(UPPER(TRIM(C632)),UPPER(TRIM(INDEX(_ZIG_Cadastro!$B:$B,MATCH(I632,_ZIG_Cadastro!$A:$A,0))))),"OK","Atencao - Nome diverge"),IF(NOT(ISERROR(MATCH(I632,_Entradas_ZIG!$C:$C,0))),"OK","Erro - SKU nao encontrado"))))</f>
        <v/>
      </c>
      <c r="M632" s="99">
        <f>IFERROR(INDEX(_ZIG_Cadastro!$G:$G,MATCH(I632,_ZIG_Cadastro!$A:$A,0)),IF(NOT(ISERROR(MATCH(I632,_Entradas_ZIG!$C:$C,0))),"Ativo","—"))</f>
        <v/>
      </c>
      <c r="N632" s="102">
        <f>IFERROR(INDEX(_ZIG_Cadastro!$E:$E,MATCH(I632,_ZIG_Cadastro!$A:$A,0)),IFERROR(INDEX(_Entradas_ZIG!$F:$F,MATCH(I632,_Entradas_ZIG!$C:$C,0)),"—"))</f>
        <v/>
      </c>
      <c r="O632" s="99">
        <f>IF(AND(ISNUMBER(SEARCH("Espeto",N632)),ISNUMBER(SEARCH("Carin",N632))),"SIM","")</f>
        <v/>
      </c>
      <c r="P632" s="99">
        <f>IF(AND(ISNUMBER(SEARCH("Espeto",N632)),ISNUMBER(SEARCH("Lapa",N632))),"SIM","")</f>
        <v/>
      </c>
      <c r="Q632" s="99">
        <f>IF(AND(ISNUMBER(SEARCH("Espeto",N632)),ISNUMBER(SEARCH("Tatuapé",N632))),"SIM","")</f>
        <v/>
      </c>
      <c r="R632" s="99">
        <f>IF(AND(ISNUMBER(SEARCH("Espeto",N632)),ISNUMBER(SEARCH("Pavão",N632))),"SIM","")</f>
        <v/>
      </c>
      <c r="S632" s="99">
        <f>IF(AND(ISNUMBER(SEARCH("Espeto",N632)),ISNUMBER(SEARCH("Chac",N632))),"SIM","")</f>
        <v/>
      </c>
      <c r="T632" s="99">
        <f>IF(AND(ISNUMBER(SEARCH("Espeto",N632)),ISNUMBER(SEARCH("Madalena",N632))),"SIM","")</f>
        <v/>
      </c>
      <c r="U632" s="99">
        <f>IF(AND(ISNUMBER(SEARCH("Espeto",N632)),ISNUMBER(SEARCH("Mariana",N632))),"SIM","")</f>
        <v/>
      </c>
      <c r="V632" s="99">
        <f>IF(AND(ISNUMBER(SEARCH("Espeto",N632)),ISNUMBER(SEARCH("Perdizes",N632))),"SIM","")</f>
        <v/>
      </c>
      <c r="W632" s="99">
        <f>IF(AND(ISNUMBER(SEARCH("Espeto",N632)),ISNUMBER(SEARCH("Santana",N632))),"SIM","")</f>
        <v/>
      </c>
      <c r="X632" s="99">
        <f>IF(AND(ISNUMBER(SEARCH("Espeto",N632)),ISNUMBER(SEARCH("André",N632))),"SIM","")</f>
        <v/>
      </c>
      <c r="Y632" s="99">
        <f>IF(AND(ISNUMBER(SEARCH("Delivery",N632)),ISNUMBER(SEARCH("Carin",N632))),"SIM","")</f>
        <v/>
      </c>
      <c r="Z632" s="99">
        <f>IF(AND(ISNUMBER(SEARCH("Delivery",N632)),ISNUMBER(SEARCH("Lapa",N632))),"SIM","")</f>
        <v/>
      </c>
      <c r="AA632" s="99">
        <f>IF(AND(ISNUMBER(SEARCH("Delivery",N632)),ISNUMBER(SEARCH("Tatuapé",N632))),"SIM","")</f>
        <v/>
      </c>
      <c r="AB632" s="99">
        <f>IF(AND(ISNUMBER(SEARCH("Delivery",N632)),ISNUMBER(SEARCH("Pavão",N632))),"SIM","")</f>
        <v/>
      </c>
      <c r="AC632" s="99">
        <f>IF(AND(ISNUMBER(SEARCH("Delivery",N632)),ISNUMBER(SEARCH("Chac",N632))),"SIM","")</f>
        <v/>
      </c>
      <c r="AD632" s="99">
        <f>IF(AND(ISNUMBER(SEARCH("Delivery",N632)),ISNUMBER(SEARCH("Madalena",N632))),"SIM","")</f>
        <v/>
      </c>
      <c r="AE632" s="92">
        <f>IF(AND(ISNUMBER(SEARCH("Delivery",N632)),ISNUMBER(SEARCH("Mariana",N632))),"SIM","")</f>
        <v/>
      </c>
      <c r="AF632" s="92">
        <f>IF(AND(ISNUMBER(SEARCH("Delivery",N632)),ISNUMBER(SEARCH("Perdizes",N632))),"SIM","")</f>
        <v/>
      </c>
      <c r="AG632" s="92">
        <f>IF(AND(ISNUMBER(SEARCH("Delivery",N632)),ISNUMBER(SEARCH("Santana",N632))),"SIM","")</f>
        <v/>
      </c>
      <c r="AH632" s="92">
        <f>IF(AND(ISNUMBER(SEARCH("Delivery",N632)),ISNUMBER(SEARCH("André",N632))),"SIM","")</f>
        <v/>
      </c>
      <c r="AI632" s="92">
        <f>IF(ISNUMBER(SEARCH("Interlagos",N632)),"SIM","")</f>
        <v/>
      </c>
      <c r="AJ632" s="92">
        <f>IF(ISNUMBER(SEARCH("Quiosque",N632)),"SIM","")</f>
        <v/>
      </c>
      <c r="AK632" s="93" t="n"/>
    </row>
    <row r="633">
      <c r="A633" s="88" t="inlineStr">
        <is>
          <t>Protheus</t>
        </is>
      </c>
      <c r="B633" s="89" t="inlineStr">
        <is>
          <t>010012</t>
        </is>
      </c>
      <c r="C633" s="90">
        <f>IF(B633="—","—",IFERROR(VLOOKUP(B633,_Protheus_Cadastro!$A:$B,2,FALSE),"—"))</f>
        <v/>
      </c>
      <c r="D633" s="91">
        <f>IF(B633="—",IFERROR(INDEX(_ZIG_Cadastro!$D:$D,MATCH(H633,_ZIG_Cadastro!$A:$A,0)),"Produto"),IFERROR(VLOOKUP(B633,_Protheus_Cadastro!$A:$C,3,FALSE),"—"))</f>
        <v/>
      </c>
      <c r="E633" s="91">
        <f>IF(B633="—","—",IFERROR(VLOOKUP(B633,_Protheus_Cadastro!$A:$D,4,FALSE),"—"))</f>
        <v/>
      </c>
      <c r="F633" s="91">
        <f>IF(ISERROR(VLOOKUP(B633,'Estrutura Protheus'!A:A,1,FALSE)),"Não","Sim")</f>
        <v/>
      </c>
      <c r="G633" s="92">
        <f>IFERROR(INDEX(_Protheus_Cadastro!$H:$H,MATCH(B633,_Protheus_Cadastro!$A:$A,0)),"—")</f>
        <v/>
      </c>
      <c r="H633" s="210">
        <f>IFERROR(INDEX(_ZIG_Precos!$D:$D,MATCH(I633,_ZIG_Precos!$F:$F,0)),"—")</f>
        <v/>
      </c>
      <c r="I633" s="95">
        <f>IFERROR(VLOOKUP(B633,_Protheus_Cadastro!$A:$I,9,FALSE),"—")</f>
        <v/>
      </c>
      <c r="J633" s="93">
        <f>IFERROR(INDEX(_ZIG_Cadastro!$B:$B,MATCH(I633,_ZIG_Cadastro!$A:$A,0)),IFERROR(INDEX(_Entradas_ZIG!$B:$B,MATCH(I633,_Entradas_ZIG!$C:$C,0)),"—"))</f>
        <v/>
      </c>
      <c r="K633" s="93">
        <f>IFERROR(INDEX(_ZIG_Cadastro!$C:$C,MATCH(I633,_ZIG_Cadastro!$A:$A,0)),IFERROR(INDEX(_Entradas_ZIG!$D:$D,MATCH(I633,_Entradas_ZIG!$C:$C,0)),"—"))</f>
        <v/>
      </c>
      <c r="L633" s="92">
        <f>IF(I633="","Sem SKU ZIG",IF(I633="—","Sem SKU ZIG",IF(NOT(ISERROR(MATCH(I633,_ZIG_Cadastro!$A:$A,0))),IF(EXACT(UPPER(TRIM(C633)),UPPER(TRIM(INDEX(_ZIG_Cadastro!$B:$B,MATCH(I633,_ZIG_Cadastro!$A:$A,0))))),"OK","Atencao - Nome diverge"),IF(NOT(ISERROR(MATCH(I633,_Entradas_ZIG!$C:$C,0))),"OK","Erro - SKU nao encontrado"))))</f>
        <v/>
      </c>
      <c r="M633" s="92">
        <f>IFERROR(INDEX(_ZIG_Cadastro!$G:$G,MATCH(I633,_ZIG_Cadastro!$A:$A,0)),IF(NOT(ISERROR(MATCH(I633,_Entradas_ZIG!$C:$C,0))),"Ativo","—"))</f>
        <v/>
      </c>
      <c r="N633" s="94">
        <f>IFERROR(INDEX(_ZIG_Cadastro!$E:$E,MATCH(I633,_ZIG_Cadastro!$A:$A,0)),IFERROR(INDEX(_Entradas_ZIG!$F:$F,MATCH(I633,_Entradas_ZIG!$C:$C,0)),"—"))</f>
        <v/>
      </c>
      <c r="O633" s="92">
        <f>IF(AND(ISNUMBER(SEARCH("Espeto",N633)),ISNUMBER(SEARCH("Carin",N633))),"SIM","")</f>
        <v/>
      </c>
      <c r="P633" s="92">
        <f>IF(AND(ISNUMBER(SEARCH("Espeto",N633)),ISNUMBER(SEARCH("Lapa",N633))),"SIM","")</f>
        <v/>
      </c>
      <c r="Q633" s="92">
        <f>IF(AND(ISNUMBER(SEARCH("Espeto",N633)),ISNUMBER(SEARCH("Tatuapé",N633))),"SIM","")</f>
        <v/>
      </c>
      <c r="R633" s="92">
        <f>IF(AND(ISNUMBER(SEARCH("Espeto",N633)),ISNUMBER(SEARCH("Pavão",N633))),"SIM","")</f>
        <v/>
      </c>
      <c r="S633" s="92">
        <f>IF(AND(ISNUMBER(SEARCH("Espeto",N633)),ISNUMBER(SEARCH("Chac",N633))),"SIM","")</f>
        <v/>
      </c>
      <c r="T633" s="92">
        <f>IF(AND(ISNUMBER(SEARCH("Espeto",N633)),ISNUMBER(SEARCH("Madalena",N633))),"SIM","")</f>
        <v/>
      </c>
      <c r="U633" s="92">
        <f>IF(AND(ISNUMBER(SEARCH("Espeto",N633)),ISNUMBER(SEARCH("Mariana",N633))),"SIM","")</f>
        <v/>
      </c>
      <c r="V633" s="92">
        <f>IF(AND(ISNUMBER(SEARCH("Espeto",N633)),ISNUMBER(SEARCH("Perdizes",N633))),"SIM","")</f>
        <v/>
      </c>
      <c r="W633" s="92">
        <f>IF(AND(ISNUMBER(SEARCH("Espeto",N633)),ISNUMBER(SEARCH("Santana",N633))),"SIM","")</f>
        <v/>
      </c>
      <c r="X633" s="92">
        <f>IF(AND(ISNUMBER(SEARCH("Espeto",N633)),ISNUMBER(SEARCH("André",N633))),"SIM","")</f>
        <v/>
      </c>
      <c r="Y633" s="92">
        <f>IF(AND(ISNUMBER(SEARCH("Delivery",N633)),ISNUMBER(SEARCH("Carin",N633))),"SIM","")</f>
        <v/>
      </c>
      <c r="Z633" s="92">
        <f>IF(AND(ISNUMBER(SEARCH("Delivery",N633)),ISNUMBER(SEARCH("Lapa",N633))),"SIM","")</f>
        <v/>
      </c>
      <c r="AA633" s="92">
        <f>IF(AND(ISNUMBER(SEARCH("Delivery",N633)),ISNUMBER(SEARCH("Tatuapé",N633))),"SIM","")</f>
        <v/>
      </c>
      <c r="AB633" s="92">
        <f>IF(AND(ISNUMBER(SEARCH("Delivery",N633)),ISNUMBER(SEARCH("Pavão",N633))),"SIM","")</f>
        <v/>
      </c>
      <c r="AC633" s="92">
        <f>IF(AND(ISNUMBER(SEARCH("Delivery",N633)),ISNUMBER(SEARCH("Chac",N633))),"SIM","")</f>
        <v/>
      </c>
      <c r="AD633" s="92">
        <f>IF(AND(ISNUMBER(SEARCH("Delivery",N633)),ISNUMBER(SEARCH("Madalena",N633))),"SIM","")</f>
        <v/>
      </c>
      <c r="AE633" s="99">
        <f>IF(AND(ISNUMBER(SEARCH("Delivery",N633)),ISNUMBER(SEARCH("Mariana",N633))),"SIM","")</f>
        <v/>
      </c>
      <c r="AF633" s="99">
        <f>IF(AND(ISNUMBER(SEARCH("Delivery",N633)),ISNUMBER(SEARCH("Perdizes",N633))),"SIM","")</f>
        <v/>
      </c>
      <c r="AG633" s="99">
        <f>IF(AND(ISNUMBER(SEARCH("Delivery",N633)),ISNUMBER(SEARCH("Santana",N633))),"SIM","")</f>
        <v/>
      </c>
      <c r="AH633" s="99">
        <f>IF(AND(ISNUMBER(SEARCH("Delivery",N633)),ISNUMBER(SEARCH("André",N633))),"SIM","")</f>
        <v/>
      </c>
      <c r="AI633" s="99">
        <f>IF(ISNUMBER(SEARCH("Interlagos",N633)),"SIM","")</f>
        <v/>
      </c>
      <c r="AJ633" s="99">
        <f>IF(ISNUMBER(SEARCH("Quiosque",N633)),"SIM","")</f>
        <v/>
      </c>
      <c r="AK633" s="101" t="n"/>
    </row>
    <row r="634">
      <c r="A634" s="88" t="inlineStr">
        <is>
          <t>Protheus</t>
        </is>
      </c>
      <c r="B634" s="96" t="inlineStr">
        <is>
          <t>001400</t>
        </is>
      </c>
      <c r="C634" s="97">
        <f>IF(B634="—","—",IFERROR(VLOOKUP(B634,_Protheus_Cadastro!$A:$B,2,FALSE),"—"))</f>
        <v/>
      </c>
      <c r="D634" s="98">
        <f>IF(B634="—",IFERROR(INDEX(_ZIG_Cadastro!$D:$D,MATCH(H634,_ZIG_Cadastro!$A:$A,0)),"Produto"),IFERROR(VLOOKUP(B634,_Protheus_Cadastro!$A:$C,3,FALSE),"—"))</f>
        <v/>
      </c>
      <c r="E634" s="98">
        <f>IF(B634="—","—",IFERROR(VLOOKUP(B634,_Protheus_Cadastro!$A:$D,4,FALSE),"—"))</f>
        <v/>
      </c>
      <c r="F634" s="98">
        <f>IF(ISERROR(VLOOKUP(B634,'Estrutura Protheus'!A:A,1,FALSE)),"Não","Sim")</f>
        <v/>
      </c>
      <c r="G634" s="99">
        <f>IFERROR(INDEX(_Protheus_Cadastro!$H:$H,MATCH(B634,_Protheus_Cadastro!$A:$A,0)),"—")</f>
        <v/>
      </c>
      <c r="H634" s="211">
        <f>IFERROR(INDEX(_ZIG_Precos!$D:$D,MATCH(I634,_ZIG_Precos!$F:$F,0)),"—")</f>
        <v/>
      </c>
      <c r="I634" s="103">
        <f>IFERROR(VLOOKUP(B634,_Protheus_Cadastro!$A:$I,9,FALSE),"—")</f>
        <v/>
      </c>
      <c r="J634" s="101">
        <f>IFERROR(INDEX(_ZIG_Cadastro!$B:$B,MATCH(I634,_ZIG_Cadastro!$A:$A,0)),IFERROR(INDEX(_Entradas_ZIG!$B:$B,MATCH(I634,_Entradas_ZIG!$C:$C,0)),"—"))</f>
        <v/>
      </c>
      <c r="K634" s="101">
        <f>IFERROR(INDEX(_ZIG_Cadastro!$C:$C,MATCH(I634,_ZIG_Cadastro!$A:$A,0)),IFERROR(INDEX(_Entradas_ZIG!$D:$D,MATCH(I634,_Entradas_ZIG!$C:$C,0)),"—"))</f>
        <v/>
      </c>
      <c r="L634" s="99">
        <f>IF(I634="","Sem SKU ZIG",IF(I634="—","Sem SKU ZIG",IF(NOT(ISERROR(MATCH(I634,_ZIG_Cadastro!$A:$A,0))),IF(EXACT(UPPER(TRIM(C634)),UPPER(TRIM(INDEX(_ZIG_Cadastro!$B:$B,MATCH(I634,_ZIG_Cadastro!$A:$A,0))))),"OK","Atencao - Nome diverge"),IF(NOT(ISERROR(MATCH(I634,_Entradas_ZIG!$C:$C,0))),"OK","Erro - SKU nao encontrado"))))</f>
        <v/>
      </c>
      <c r="M634" s="99">
        <f>IFERROR(INDEX(_ZIG_Cadastro!$G:$G,MATCH(I634,_ZIG_Cadastro!$A:$A,0)),IF(NOT(ISERROR(MATCH(I634,_Entradas_ZIG!$C:$C,0))),"Ativo","—"))</f>
        <v/>
      </c>
      <c r="N634" s="102">
        <f>IFERROR(INDEX(_ZIG_Cadastro!$E:$E,MATCH(I634,_ZIG_Cadastro!$A:$A,0)),IFERROR(INDEX(_Entradas_ZIG!$F:$F,MATCH(I634,_Entradas_ZIG!$C:$C,0)),"—"))</f>
        <v/>
      </c>
      <c r="O634" s="99">
        <f>IF(AND(ISNUMBER(SEARCH("Espeto",N634)),ISNUMBER(SEARCH("Carin",N634))),"SIM","")</f>
        <v/>
      </c>
      <c r="P634" s="99">
        <f>IF(AND(ISNUMBER(SEARCH("Espeto",N634)),ISNUMBER(SEARCH("Lapa",N634))),"SIM","")</f>
        <v/>
      </c>
      <c r="Q634" s="99">
        <f>IF(AND(ISNUMBER(SEARCH("Espeto",N634)),ISNUMBER(SEARCH("Tatuapé",N634))),"SIM","")</f>
        <v/>
      </c>
      <c r="R634" s="99">
        <f>IF(AND(ISNUMBER(SEARCH("Espeto",N634)),ISNUMBER(SEARCH("Pavão",N634))),"SIM","")</f>
        <v/>
      </c>
      <c r="S634" s="99">
        <f>IF(AND(ISNUMBER(SEARCH("Espeto",N634)),ISNUMBER(SEARCH("Chac",N634))),"SIM","")</f>
        <v/>
      </c>
      <c r="T634" s="99">
        <f>IF(AND(ISNUMBER(SEARCH("Espeto",N634)),ISNUMBER(SEARCH("Madalena",N634))),"SIM","")</f>
        <v/>
      </c>
      <c r="U634" s="99">
        <f>IF(AND(ISNUMBER(SEARCH("Espeto",N634)),ISNUMBER(SEARCH("Mariana",N634))),"SIM","")</f>
        <v/>
      </c>
      <c r="V634" s="99">
        <f>IF(AND(ISNUMBER(SEARCH("Espeto",N634)),ISNUMBER(SEARCH("Perdizes",N634))),"SIM","")</f>
        <v/>
      </c>
      <c r="W634" s="99">
        <f>IF(AND(ISNUMBER(SEARCH("Espeto",N634)),ISNUMBER(SEARCH("Santana",N634))),"SIM","")</f>
        <v/>
      </c>
      <c r="X634" s="99">
        <f>IF(AND(ISNUMBER(SEARCH("Espeto",N634)),ISNUMBER(SEARCH("André",N634))),"SIM","")</f>
        <v/>
      </c>
      <c r="Y634" s="99">
        <f>IF(AND(ISNUMBER(SEARCH("Delivery",N634)),ISNUMBER(SEARCH("Carin",N634))),"SIM","")</f>
        <v/>
      </c>
      <c r="Z634" s="99">
        <f>IF(AND(ISNUMBER(SEARCH("Delivery",N634)),ISNUMBER(SEARCH("Lapa",N634))),"SIM","")</f>
        <v/>
      </c>
      <c r="AA634" s="99">
        <f>IF(AND(ISNUMBER(SEARCH("Delivery",N634)),ISNUMBER(SEARCH("Tatuapé",N634))),"SIM","")</f>
        <v/>
      </c>
      <c r="AB634" s="99">
        <f>IF(AND(ISNUMBER(SEARCH("Delivery",N634)),ISNUMBER(SEARCH("Pavão",N634))),"SIM","")</f>
        <v/>
      </c>
      <c r="AC634" s="99">
        <f>IF(AND(ISNUMBER(SEARCH("Delivery",N634)),ISNUMBER(SEARCH("Chac",N634))),"SIM","")</f>
        <v/>
      </c>
      <c r="AD634" s="99">
        <f>IF(AND(ISNUMBER(SEARCH("Delivery",N634)),ISNUMBER(SEARCH("Madalena",N634))),"SIM","")</f>
        <v/>
      </c>
      <c r="AE634" s="92">
        <f>IF(AND(ISNUMBER(SEARCH("Delivery",N634)),ISNUMBER(SEARCH("Mariana",N634))),"SIM","")</f>
        <v/>
      </c>
      <c r="AF634" s="92">
        <f>IF(AND(ISNUMBER(SEARCH("Delivery",N634)),ISNUMBER(SEARCH("Perdizes",N634))),"SIM","")</f>
        <v/>
      </c>
      <c r="AG634" s="92">
        <f>IF(AND(ISNUMBER(SEARCH("Delivery",N634)),ISNUMBER(SEARCH("Santana",N634))),"SIM","")</f>
        <v/>
      </c>
      <c r="AH634" s="92">
        <f>IF(AND(ISNUMBER(SEARCH("Delivery",N634)),ISNUMBER(SEARCH("André",N634))),"SIM","")</f>
        <v/>
      </c>
      <c r="AI634" s="92">
        <f>IF(ISNUMBER(SEARCH("Interlagos",N634)),"SIM","")</f>
        <v/>
      </c>
      <c r="AJ634" s="92">
        <f>IF(ISNUMBER(SEARCH("Quiosque",N634)),"SIM","")</f>
        <v/>
      </c>
      <c r="AK634" s="93" t="n"/>
    </row>
    <row r="635">
      <c r="A635" s="88" t="inlineStr">
        <is>
          <t>Protheus</t>
        </is>
      </c>
      <c r="B635" s="89" t="inlineStr">
        <is>
          <t>009479</t>
        </is>
      </c>
      <c r="C635" s="90">
        <f>IF(B635="—","—",IFERROR(VLOOKUP(B635,_Protheus_Cadastro!$A:$B,2,FALSE),"—"))</f>
        <v/>
      </c>
      <c r="D635" s="91">
        <f>IF(B635="—",IFERROR(INDEX(_ZIG_Cadastro!$D:$D,MATCH(H635,_ZIG_Cadastro!$A:$A,0)),"Produto"),IFERROR(VLOOKUP(B635,_Protheus_Cadastro!$A:$C,3,FALSE),"—"))</f>
        <v/>
      </c>
      <c r="E635" s="91">
        <f>IF(B635="—","—",IFERROR(VLOOKUP(B635,_Protheus_Cadastro!$A:$D,4,FALSE),"—"))</f>
        <v/>
      </c>
      <c r="F635" s="91">
        <f>IF(ISERROR(VLOOKUP(B635,'Estrutura Protheus'!A:A,1,FALSE)),"Não","Sim")</f>
        <v/>
      </c>
      <c r="G635" s="92">
        <f>IFERROR(INDEX(_Protheus_Cadastro!$H:$H,MATCH(B635,_Protheus_Cadastro!$A:$A,0)),"—")</f>
        <v/>
      </c>
      <c r="H635" s="210">
        <f>IFERROR(INDEX(_ZIG_Precos!$D:$D,MATCH(I635,_ZIG_Precos!$F:$F,0)),"—")</f>
        <v/>
      </c>
      <c r="I635" s="95">
        <f>IFERROR(VLOOKUP(B635,_Protheus_Cadastro!$A:$I,9,FALSE),"—")</f>
        <v/>
      </c>
      <c r="J635" s="93">
        <f>IFERROR(INDEX(_ZIG_Cadastro!$B:$B,MATCH(I635,_ZIG_Cadastro!$A:$A,0)),IFERROR(INDEX(_Entradas_ZIG!$B:$B,MATCH(I635,_Entradas_ZIG!$C:$C,0)),"—"))</f>
        <v/>
      </c>
      <c r="K635" s="93">
        <f>IFERROR(INDEX(_ZIG_Cadastro!$C:$C,MATCH(I635,_ZIG_Cadastro!$A:$A,0)),IFERROR(INDEX(_Entradas_ZIG!$D:$D,MATCH(I635,_Entradas_ZIG!$C:$C,0)),"—"))</f>
        <v/>
      </c>
      <c r="L635" s="92">
        <f>IF(I635="","Sem SKU ZIG",IF(I635="—","Sem SKU ZIG",IF(NOT(ISERROR(MATCH(I635,_ZIG_Cadastro!$A:$A,0))),IF(EXACT(UPPER(TRIM(C635)),UPPER(TRIM(INDEX(_ZIG_Cadastro!$B:$B,MATCH(I635,_ZIG_Cadastro!$A:$A,0))))),"OK","Atencao - Nome diverge"),IF(NOT(ISERROR(MATCH(I635,_Entradas_ZIG!$C:$C,0))),"OK","Erro - SKU nao encontrado"))))</f>
        <v/>
      </c>
      <c r="M635" s="92">
        <f>IFERROR(INDEX(_ZIG_Cadastro!$G:$G,MATCH(I635,_ZIG_Cadastro!$A:$A,0)),IF(NOT(ISERROR(MATCH(I635,_Entradas_ZIG!$C:$C,0))),"Ativo","—"))</f>
        <v/>
      </c>
      <c r="N635" s="94">
        <f>IFERROR(INDEX(_ZIG_Cadastro!$E:$E,MATCH(I635,_ZIG_Cadastro!$A:$A,0)),IFERROR(INDEX(_Entradas_ZIG!$F:$F,MATCH(I635,_Entradas_ZIG!$C:$C,0)),"—"))</f>
        <v/>
      </c>
      <c r="O635" s="92">
        <f>IF(AND(ISNUMBER(SEARCH("Espeto",N635)),ISNUMBER(SEARCH("Carin",N635))),"SIM","")</f>
        <v/>
      </c>
      <c r="P635" s="92">
        <f>IF(AND(ISNUMBER(SEARCH("Espeto",N635)),ISNUMBER(SEARCH("Lapa",N635))),"SIM","")</f>
        <v/>
      </c>
      <c r="Q635" s="92">
        <f>IF(AND(ISNUMBER(SEARCH("Espeto",N635)),ISNUMBER(SEARCH("Tatuapé",N635))),"SIM","")</f>
        <v/>
      </c>
      <c r="R635" s="92">
        <f>IF(AND(ISNUMBER(SEARCH("Espeto",N635)),ISNUMBER(SEARCH("Pavão",N635))),"SIM","")</f>
        <v/>
      </c>
      <c r="S635" s="92">
        <f>IF(AND(ISNUMBER(SEARCH("Espeto",N635)),ISNUMBER(SEARCH("Chac",N635))),"SIM","")</f>
        <v/>
      </c>
      <c r="T635" s="92">
        <f>IF(AND(ISNUMBER(SEARCH("Espeto",N635)),ISNUMBER(SEARCH("Madalena",N635))),"SIM","")</f>
        <v/>
      </c>
      <c r="U635" s="92">
        <f>IF(AND(ISNUMBER(SEARCH("Espeto",N635)),ISNUMBER(SEARCH("Mariana",N635))),"SIM","")</f>
        <v/>
      </c>
      <c r="V635" s="92">
        <f>IF(AND(ISNUMBER(SEARCH("Espeto",N635)),ISNUMBER(SEARCH("Perdizes",N635))),"SIM","")</f>
        <v/>
      </c>
      <c r="W635" s="92">
        <f>IF(AND(ISNUMBER(SEARCH("Espeto",N635)),ISNUMBER(SEARCH("Santana",N635))),"SIM","")</f>
        <v/>
      </c>
      <c r="X635" s="92">
        <f>IF(AND(ISNUMBER(SEARCH("Espeto",N635)),ISNUMBER(SEARCH("André",N635))),"SIM","")</f>
        <v/>
      </c>
      <c r="Y635" s="92">
        <f>IF(AND(ISNUMBER(SEARCH("Delivery",N635)),ISNUMBER(SEARCH("Carin",N635))),"SIM","")</f>
        <v/>
      </c>
      <c r="Z635" s="92">
        <f>IF(AND(ISNUMBER(SEARCH("Delivery",N635)),ISNUMBER(SEARCH("Lapa",N635))),"SIM","")</f>
        <v/>
      </c>
      <c r="AA635" s="92">
        <f>IF(AND(ISNUMBER(SEARCH("Delivery",N635)),ISNUMBER(SEARCH("Tatuapé",N635))),"SIM","")</f>
        <v/>
      </c>
      <c r="AB635" s="92">
        <f>IF(AND(ISNUMBER(SEARCH("Delivery",N635)),ISNUMBER(SEARCH("Pavão",N635))),"SIM","")</f>
        <v/>
      </c>
      <c r="AC635" s="92">
        <f>IF(AND(ISNUMBER(SEARCH("Delivery",N635)),ISNUMBER(SEARCH("Chac",N635))),"SIM","")</f>
        <v/>
      </c>
      <c r="AD635" s="92">
        <f>IF(AND(ISNUMBER(SEARCH("Delivery",N635)),ISNUMBER(SEARCH("Madalena",N635))),"SIM","")</f>
        <v/>
      </c>
      <c r="AE635" s="99">
        <f>IF(AND(ISNUMBER(SEARCH("Delivery",N635)),ISNUMBER(SEARCH("Mariana",N635))),"SIM","")</f>
        <v/>
      </c>
      <c r="AF635" s="99">
        <f>IF(AND(ISNUMBER(SEARCH("Delivery",N635)),ISNUMBER(SEARCH("Perdizes",N635))),"SIM","")</f>
        <v/>
      </c>
      <c r="AG635" s="99">
        <f>IF(AND(ISNUMBER(SEARCH("Delivery",N635)),ISNUMBER(SEARCH("Santana",N635))),"SIM","")</f>
        <v/>
      </c>
      <c r="AH635" s="99">
        <f>IF(AND(ISNUMBER(SEARCH("Delivery",N635)),ISNUMBER(SEARCH("André",N635))),"SIM","")</f>
        <v/>
      </c>
      <c r="AI635" s="99">
        <f>IF(ISNUMBER(SEARCH("Interlagos",N635)),"SIM","")</f>
        <v/>
      </c>
      <c r="AJ635" s="99">
        <f>IF(ISNUMBER(SEARCH("Quiosque",N635)),"SIM","")</f>
        <v/>
      </c>
      <c r="AK635" s="101" t="n"/>
    </row>
    <row r="636">
      <c r="A636" s="88" t="inlineStr">
        <is>
          <t>Protheus</t>
        </is>
      </c>
      <c r="B636" s="96" t="inlineStr">
        <is>
          <t>009480</t>
        </is>
      </c>
      <c r="C636" s="97">
        <f>IF(B636="—","—",IFERROR(VLOOKUP(B636,_Protheus_Cadastro!$A:$B,2,FALSE),"—"))</f>
        <v/>
      </c>
      <c r="D636" s="98">
        <f>IF(B636="—",IFERROR(INDEX(_ZIG_Cadastro!$D:$D,MATCH(H636,_ZIG_Cadastro!$A:$A,0)),"Produto"),IFERROR(VLOOKUP(B636,_Protheus_Cadastro!$A:$C,3,FALSE),"—"))</f>
        <v/>
      </c>
      <c r="E636" s="98">
        <f>IF(B636="—","—",IFERROR(VLOOKUP(B636,_Protheus_Cadastro!$A:$D,4,FALSE),"—"))</f>
        <v/>
      </c>
      <c r="F636" s="98">
        <f>IF(ISERROR(VLOOKUP(B636,'Estrutura Protheus'!A:A,1,FALSE)),"Não","Sim")</f>
        <v/>
      </c>
      <c r="G636" s="99">
        <f>IFERROR(INDEX(_Protheus_Cadastro!$H:$H,MATCH(B636,_Protheus_Cadastro!$A:$A,0)),"—")</f>
        <v/>
      </c>
      <c r="H636" s="211">
        <f>IFERROR(INDEX(_ZIG_Precos!$D:$D,MATCH(I636,_ZIG_Precos!$F:$F,0)),"—")</f>
        <v/>
      </c>
      <c r="I636" s="103">
        <f>IFERROR(VLOOKUP(B636,_Protheus_Cadastro!$A:$I,9,FALSE),"—")</f>
        <v/>
      </c>
      <c r="J636" s="101">
        <f>IFERROR(INDEX(_ZIG_Cadastro!$B:$B,MATCH(I636,_ZIG_Cadastro!$A:$A,0)),IFERROR(INDEX(_Entradas_ZIG!$B:$B,MATCH(I636,_Entradas_ZIG!$C:$C,0)),"—"))</f>
        <v/>
      </c>
      <c r="K636" s="101">
        <f>IFERROR(INDEX(_ZIG_Cadastro!$C:$C,MATCH(I636,_ZIG_Cadastro!$A:$A,0)),IFERROR(INDEX(_Entradas_ZIG!$D:$D,MATCH(I636,_Entradas_ZIG!$C:$C,0)),"—"))</f>
        <v/>
      </c>
      <c r="L636" s="99">
        <f>IF(I636="","Sem SKU ZIG",IF(I636="—","Sem SKU ZIG",IF(NOT(ISERROR(MATCH(I636,_ZIG_Cadastro!$A:$A,0))),IF(EXACT(UPPER(TRIM(C636)),UPPER(TRIM(INDEX(_ZIG_Cadastro!$B:$B,MATCH(I636,_ZIG_Cadastro!$A:$A,0))))),"OK","Atencao - Nome diverge"),IF(NOT(ISERROR(MATCH(I636,_Entradas_ZIG!$C:$C,0))),"OK","Erro - SKU nao encontrado"))))</f>
        <v/>
      </c>
      <c r="M636" s="99">
        <f>IFERROR(INDEX(_ZIG_Cadastro!$G:$G,MATCH(I636,_ZIG_Cadastro!$A:$A,0)),IF(NOT(ISERROR(MATCH(I636,_Entradas_ZIG!$C:$C,0))),"Ativo","—"))</f>
        <v/>
      </c>
      <c r="N636" s="102">
        <f>IFERROR(INDEX(_ZIG_Cadastro!$E:$E,MATCH(I636,_ZIG_Cadastro!$A:$A,0)),IFERROR(INDEX(_Entradas_ZIG!$F:$F,MATCH(I636,_Entradas_ZIG!$C:$C,0)),"—"))</f>
        <v/>
      </c>
      <c r="O636" s="99">
        <f>IF(AND(ISNUMBER(SEARCH("Espeto",N636)),ISNUMBER(SEARCH("Carin",N636))),"SIM","")</f>
        <v/>
      </c>
      <c r="P636" s="99">
        <f>IF(AND(ISNUMBER(SEARCH("Espeto",N636)),ISNUMBER(SEARCH("Lapa",N636))),"SIM","")</f>
        <v/>
      </c>
      <c r="Q636" s="99">
        <f>IF(AND(ISNUMBER(SEARCH("Espeto",N636)),ISNUMBER(SEARCH("Tatuapé",N636))),"SIM","")</f>
        <v/>
      </c>
      <c r="R636" s="99">
        <f>IF(AND(ISNUMBER(SEARCH("Espeto",N636)),ISNUMBER(SEARCH("Pavão",N636))),"SIM","")</f>
        <v/>
      </c>
      <c r="S636" s="99">
        <f>IF(AND(ISNUMBER(SEARCH("Espeto",N636)),ISNUMBER(SEARCH("Chac",N636))),"SIM","")</f>
        <v/>
      </c>
      <c r="T636" s="99">
        <f>IF(AND(ISNUMBER(SEARCH("Espeto",N636)),ISNUMBER(SEARCH("Madalena",N636))),"SIM","")</f>
        <v/>
      </c>
      <c r="U636" s="99">
        <f>IF(AND(ISNUMBER(SEARCH("Espeto",N636)),ISNUMBER(SEARCH("Mariana",N636))),"SIM","")</f>
        <v/>
      </c>
      <c r="V636" s="99">
        <f>IF(AND(ISNUMBER(SEARCH("Espeto",N636)),ISNUMBER(SEARCH("Perdizes",N636))),"SIM","")</f>
        <v/>
      </c>
      <c r="W636" s="99">
        <f>IF(AND(ISNUMBER(SEARCH("Espeto",N636)),ISNUMBER(SEARCH("Santana",N636))),"SIM","")</f>
        <v/>
      </c>
      <c r="X636" s="99">
        <f>IF(AND(ISNUMBER(SEARCH("Espeto",N636)),ISNUMBER(SEARCH("André",N636))),"SIM","")</f>
        <v/>
      </c>
      <c r="Y636" s="99">
        <f>IF(AND(ISNUMBER(SEARCH("Delivery",N636)),ISNUMBER(SEARCH("Carin",N636))),"SIM","")</f>
        <v/>
      </c>
      <c r="Z636" s="99">
        <f>IF(AND(ISNUMBER(SEARCH("Delivery",N636)),ISNUMBER(SEARCH("Lapa",N636))),"SIM","")</f>
        <v/>
      </c>
      <c r="AA636" s="99">
        <f>IF(AND(ISNUMBER(SEARCH("Delivery",N636)),ISNUMBER(SEARCH("Tatuapé",N636))),"SIM","")</f>
        <v/>
      </c>
      <c r="AB636" s="99">
        <f>IF(AND(ISNUMBER(SEARCH("Delivery",N636)),ISNUMBER(SEARCH("Pavão",N636))),"SIM","")</f>
        <v/>
      </c>
      <c r="AC636" s="99">
        <f>IF(AND(ISNUMBER(SEARCH("Delivery",N636)),ISNUMBER(SEARCH("Chac",N636))),"SIM","")</f>
        <v/>
      </c>
      <c r="AD636" s="99">
        <f>IF(AND(ISNUMBER(SEARCH("Delivery",N636)),ISNUMBER(SEARCH("Madalena",N636))),"SIM","")</f>
        <v/>
      </c>
      <c r="AE636" s="92">
        <f>IF(AND(ISNUMBER(SEARCH("Delivery",N636)),ISNUMBER(SEARCH("Mariana",N636))),"SIM","")</f>
        <v/>
      </c>
      <c r="AF636" s="92">
        <f>IF(AND(ISNUMBER(SEARCH("Delivery",N636)),ISNUMBER(SEARCH("Perdizes",N636))),"SIM","")</f>
        <v/>
      </c>
      <c r="AG636" s="92">
        <f>IF(AND(ISNUMBER(SEARCH("Delivery",N636)),ISNUMBER(SEARCH("Santana",N636))),"SIM","")</f>
        <v/>
      </c>
      <c r="AH636" s="92">
        <f>IF(AND(ISNUMBER(SEARCH("Delivery",N636)),ISNUMBER(SEARCH("André",N636))),"SIM","")</f>
        <v/>
      </c>
      <c r="AI636" s="92">
        <f>IF(ISNUMBER(SEARCH("Interlagos",N636)),"SIM","")</f>
        <v/>
      </c>
      <c r="AJ636" s="92">
        <f>IF(ISNUMBER(SEARCH("Quiosque",N636)),"SIM","")</f>
        <v/>
      </c>
      <c r="AK636" s="93" t="n"/>
    </row>
    <row r="637">
      <c r="A637" s="88" t="inlineStr">
        <is>
          <t>Protheus</t>
        </is>
      </c>
      <c r="B637" s="89" t="inlineStr">
        <is>
          <t>00</t>
        </is>
      </c>
      <c r="C637" s="176">
        <f>IF(B637="—","—",IFERROR(VLOOKUP(B637,_Protheus_Cadastro!$A:$B,2,FALSE),"—"))</f>
        <v/>
      </c>
      <c r="D637" s="91">
        <f>IF(B637="—",IFERROR(INDEX(_ZIG_Cadastro!$D:$D,MATCH(H637,_ZIG_Cadastro!$A:$A,0)),"Produto"),IFERROR(VLOOKUP(B637,_Protheus_Cadastro!$A:$C,3,FALSE),"—"))</f>
        <v/>
      </c>
      <c r="E637" s="91">
        <f>IF(B637="—","—",IFERROR(VLOOKUP(B637,_Protheus_Cadastro!$A:$D,4,FALSE),"—"))</f>
        <v/>
      </c>
      <c r="F637" s="91">
        <f>IF(ISERROR(VLOOKUP(B637,'Estrutura Protheus'!A:A,1,FALSE)),"Não","Sim")</f>
        <v/>
      </c>
      <c r="G637" s="92">
        <f>IFERROR(INDEX(_Protheus_Cadastro!$H:$H,MATCH(B637,_Protheus_Cadastro!$A:$A,0)),"—")</f>
        <v/>
      </c>
      <c r="H637" s="210">
        <f>IFERROR(INDEX(_ZIG_Precos!$D:$D,MATCH(I637,_ZIG_Precos!$F:$F,0)),"—")</f>
        <v/>
      </c>
      <c r="I637" s="95">
        <f>IFERROR(VLOOKUP(B637,_Protheus_Cadastro!$A:$I,9,FALSE),"—")</f>
        <v/>
      </c>
      <c r="J637" s="93">
        <f>IFERROR(INDEX(_ZIG_Cadastro!$B:$B,MATCH(I637,_ZIG_Cadastro!$A:$A,0)),IFERROR(INDEX(_Entradas_ZIG!$B:$B,MATCH(I637,_Entradas_ZIG!$C:$C,0)),"—"))</f>
        <v/>
      </c>
      <c r="K637" s="93">
        <f>IFERROR(INDEX(_ZIG_Cadastro!$C:$C,MATCH(I637,_ZIG_Cadastro!$A:$A,0)),IFERROR(INDEX(_Entradas_ZIG!$D:$D,MATCH(I637,_Entradas_ZIG!$C:$C,0)),"—"))</f>
        <v/>
      </c>
      <c r="L637" s="92">
        <f>IF(I637="","Sem SKU ZIG",IF(I637="—","Sem SKU ZIG",IF(NOT(ISERROR(MATCH(I637,_ZIG_Cadastro!$A:$A,0))),IF(EXACT(UPPER(TRIM(C637)),UPPER(TRIM(INDEX(_ZIG_Cadastro!$B:$B,MATCH(I637,_ZIG_Cadastro!$A:$A,0))))),"OK","Atencao - Nome diverge"),IF(NOT(ISERROR(MATCH(I637,_Entradas_ZIG!$C:$C,0))),"OK","Erro - SKU nao encontrado"))))</f>
        <v/>
      </c>
      <c r="M637" s="92">
        <f>IFERROR(INDEX(_ZIG_Cadastro!$G:$G,MATCH(I637,_ZIG_Cadastro!$A:$A,0)),IF(NOT(ISERROR(MATCH(I637,_Entradas_ZIG!$C:$C,0))),"Ativo","—"))</f>
        <v/>
      </c>
      <c r="N637" s="94">
        <f>IFERROR(INDEX(_ZIG_Cadastro!$E:$E,MATCH(I637,_ZIG_Cadastro!$A:$A,0)),IFERROR(INDEX(_Entradas_ZIG!$F:$F,MATCH(I637,_Entradas_ZIG!$C:$C,0)),"—"))</f>
        <v/>
      </c>
      <c r="O637" s="92">
        <f>IF(AND(ISNUMBER(SEARCH("Espeto",N637)),ISNUMBER(SEARCH("Carin",N637))),"SIM","")</f>
        <v/>
      </c>
      <c r="P637" s="92">
        <f>IF(AND(ISNUMBER(SEARCH("Espeto",N637)),ISNUMBER(SEARCH("Lapa",N637))),"SIM","")</f>
        <v/>
      </c>
      <c r="Q637" s="92">
        <f>IF(AND(ISNUMBER(SEARCH("Espeto",N637)),ISNUMBER(SEARCH("Tatuapé",N637))),"SIM","")</f>
        <v/>
      </c>
      <c r="R637" s="92">
        <f>IF(AND(ISNUMBER(SEARCH("Espeto",N637)),ISNUMBER(SEARCH("Pavão",N637))),"SIM","")</f>
        <v/>
      </c>
      <c r="S637" s="92">
        <f>IF(AND(ISNUMBER(SEARCH("Espeto",N637)),ISNUMBER(SEARCH("Chac",N637))),"SIM","")</f>
        <v/>
      </c>
      <c r="T637" s="92">
        <f>IF(AND(ISNUMBER(SEARCH("Espeto",N637)),ISNUMBER(SEARCH("Madalena",N637))),"SIM","")</f>
        <v/>
      </c>
      <c r="U637" s="92">
        <f>IF(AND(ISNUMBER(SEARCH("Espeto",N637)),ISNUMBER(SEARCH("Mariana",N637))),"SIM","")</f>
        <v/>
      </c>
      <c r="V637" s="92">
        <f>IF(AND(ISNUMBER(SEARCH("Espeto",N637)),ISNUMBER(SEARCH("Perdizes",N637))),"SIM","")</f>
        <v/>
      </c>
      <c r="W637" s="92">
        <f>IF(AND(ISNUMBER(SEARCH("Espeto",N637)),ISNUMBER(SEARCH("Santana",N637))),"SIM","")</f>
        <v/>
      </c>
      <c r="X637" s="92">
        <f>IF(AND(ISNUMBER(SEARCH("Espeto",N637)),ISNUMBER(SEARCH("André",N637))),"SIM","")</f>
        <v/>
      </c>
      <c r="Y637" s="92">
        <f>IF(AND(ISNUMBER(SEARCH("Delivery",N637)),ISNUMBER(SEARCH("Carin",N637))),"SIM","")</f>
        <v/>
      </c>
      <c r="Z637" s="92">
        <f>IF(AND(ISNUMBER(SEARCH("Delivery",N637)),ISNUMBER(SEARCH("Lapa",N637))),"SIM","")</f>
        <v/>
      </c>
      <c r="AA637" s="92">
        <f>IF(AND(ISNUMBER(SEARCH("Delivery",N637)),ISNUMBER(SEARCH("Tatuapé",N637))),"SIM","")</f>
        <v/>
      </c>
      <c r="AB637" s="92">
        <f>IF(AND(ISNUMBER(SEARCH("Delivery",N637)),ISNUMBER(SEARCH("Pavão",N637))),"SIM","")</f>
        <v/>
      </c>
      <c r="AC637" s="92">
        <f>IF(AND(ISNUMBER(SEARCH("Delivery",N637)),ISNUMBER(SEARCH("Chac",N637))),"SIM","")</f>
        <v/>
      </c>
      <c r="AD637" s="92">
        <f>IF(AND(ISNUMBER(SEARCH("Delivery",N637)),ISNUMBER(SEARCH("Madalena",N637))),"SIM","")</f>
        <v/>
      </c>
      <c r="AE637" s="99">
        <f>IF(AND(ISNUMBER(SEARCH("Delivery",N637)),ISNUMBER(SEARCH("Mariana",N637))),"SIM","")</f>
        <v/>
      </c>
      <c r="AF637" s="99">
        <f>IF(AND(ISNUMBER(SEARCH("Delivery",N637)),ISNUMBER(SEARCH("Perdizes",N637))),"SIM","")</f>
        <v/>
      </c>
      <c r="AG637" s="99">
        <f>IF(AND(ISNUMBER(SEARCH("Delivery",N637)),ISNUMBER(SEARCH("Santana",N637))),"SIM","")</f>
        <v/>
      </c>
      <c r="AH637" s="99">
        <f>IF(AND(ISNUMBER(SEARCH("Delivery",N637)),ISNUMBER(SEARCH("André",N637))),"SIM","")</f>
        <v/>
      </c>
      <c r="AI637" s="99">
        <f>IF(ISNUMBER(SEARCH("Interlagos",N637)),"SIM","")</f>
        <v/>
      </c>
      <c r="AJ637" s="99">
        <f>IF(ISNUMBER(SEARCH("Quiosque",N637)),"SIM","")</f>
        <v/>
      </c>
      <c r="AK637" s="101" t="n"/>
    </row>
    <row r="638">
      <c r="A638" s="88" t="inlineStr">
        <is>
          <t>Protheus</t>
        </is>
      </c>
      <c r="B638" s="89" t="inlineStr">
        <is>
          <t>000036</t>
        </is>
      </c>
      <c r="C638" s="90">
        <f>IF(B638="—","—",IFERROR(VLOOKUP(B638,_Protheus_Cadastro!$A:$B,2,FALSE),"—"))</f>
        <v/>
      </c>
      <c r="D638" s="91">
        <f>IF(B638="—",IFERROR(INDEX(_ZIG_Cadastro!$D:$D,MATCH(H638,_ZIG_Cadastro!$A:$A,0)),"Produto"),IFERROR(VLOOKUP(B638,_Protheus_Cadastro!$A:$C,3,FALSE),"—"))</f>
        <v/>
      </c>
      <c r="E638" s="91">
        <f>IF(B638="—","—",IFERROR(VLOOKUP(B638,_Protheus_Cadastro!$A:$D,4,FALSE),"—"))</f>
        <v/>
      </c>
      <c r="F638" s="91">
        <f>IF(ISERROR(VLOOKUP(B638,'Estrutura Protheus'!A:A,1,FALSE)),"Não","Sim")</f>
        <v/>
      </c>
      <c r="G638" s="92">
        <f>IFERROR(INDEX(_Protheus_Cadastro!$H:$H,MATCH(B638,_Protheus_Cadastro!$A:$A,0)),"—")</f>
        <v/>
      </c>
      <c r="H638" s="210">
        <f>IFERROR(INDEX(_ZIG_Precos!$D:$D,MATCH(I638,_ZIG_Precos!$F:$F,0)),"—")</f>
        <v/>
      </c>
      <c r="I638" s="95">
        <f>IFERROR(VLOOKUP(B638,_Protheus_Cadastro!$A:$I,9,FALSE),"—")</f>
        <v/>
      </c>
      <c r="J638" s="93">
        <f>IFERROR(INDEX(_ZIG_Cadastro!$B:$B,MATCH(I638,_ZIG_Cadastro!$A:$A,0)),IFERROR(INDEX(_Entradas_ZIG!$B:$B,MATCH(I638,_Entradas_ZIG!$C:$C,0)),"—"))</f>
        <v/>
      </c>
      <c r="K638" s="93">
        <f>IFERROR(INDEX(_ZIG_Cadastro!$C:$C,MATCH(I638,_ZIG_Cadastro!$A:$A,0)),IFERROR(INDEX(_Entradas_ZIG!$D:$D,MATCH(I638,_Entradas_ZIG!$C:$C,0)),"—"))</f>
        <v/>
      </c>
      <c r="L638" s="92">
        <f>IF(I638="","Sem SKU ZIG",IF(I638="—","Sem SKU ZIG",IF(NOT(ISERROR(MATCH(I638,_ZIG_Cadastro!$A:$A,0))),IF(EXACT(UPPER(TRIM(C638)),UPPER(TRIM(INDEX(_ZIG_Cadastro!$B:$B,MATCH(I638,_ZIG_Cadastro!$A:$A,0))))),"OK","Atencao - Nome diverge"),IF(NOT(ISERROR(MATCH(I638,_Entradas_ZIG!$C:$C,0))),"OK","Erro - SKU nao encontrado"))))</f>
        <v/>
      </c>
      <c r="M638" s="92">
        <f>IFERROR(INDEX(_ZIG_Cadastro!$G:$G,MATCH(I638,_ZIG_Cadastro!$A:$A,0)),IF(NOT(ISERROR(MATCH(I638,_Entradas_ZIG!$C:$C,0))),"Ativo","—"))</f>
        <v/>
      </c>
      <c r="N638" s="94">
        <f>IFERROR(INDEX(_ZIG_Cadastro!$E:$E,MATCH(I638,_ZIG_Cadastro!$A:$A,0)),IFERROR(INDEX(_Entradas_ZIG!$F:$F,MATCH(I638,_Entradas_ZIG!$C:$C,0)),"—"))</f>
        <v/>
      </c>
      <c r="O638" s="92">
        <f>IF(AND(ISNUMBER(SEARCH("Espeto",N638)),ISNUMBER(SEARCH("Carin",N638))),"SIM","")</f>
        <v/>
      </c>
      <c r="P638" s="92">
        <f>IF(AND(ISNUMBER(SEARCH("Espeto",N638)),ISNUMBER(SEARCH("Lapa",N638))),"SIM","")</f>
        <v/>
      </c>
      <c r="Q638" s="92">
        <f>IF(AND(ISNUMBER(SEARCH("Espeto",N638)),ISNUMBER(SEARCH("Tatuapé",N638))),"SIM","")</f>
        <v/>
      </c>
      <c r="R638" s="92">
        <f>IF(AND(ISNUMBER(SEARCH("Espeto",N638)),ISNUMBER(SEARCH("Pavão",N638))),"SIM","")</f>
        <v/>
      </c>
      <c r="S638" s="92">
        <f>IF(AND(ISNUMBER(SEARCH("Espeto",N638)),ISNUMBER(SEARCH("Chac",N638))),"SIM","")</f>
        <v/>
      </c>
      <c r="T638" s="92">
        <f>IF(AND(ISNUMBER(SEARCH("Espeto",N638)),ISNUMBER(SEARCH("Madalena",N638))),"SIM","")</f>
        <v/>
      </c>
      <c r="U638" s="92">
        <f>IF(AND(ISNUMBER(SEARCH("Espeto",N638)),ISNUMBER(SEARCH("Mariana",N638))),"SIM","")</f>
        <v/>
      </c>
      <c r="V638" s="92">
        <f>IF(AND(ISNUMBER(SEARCH("Espeto",N638)),ISNUMBER(SEARCH("Perdizes",N638))),"SIM","")</f>
        <v/>
      </c>
      <c r="W638" s="92">
        <f>IF(AND(ISNUMBER(SEARCH("Espeto",N638)),ISNUMBER(SEARCH("Santana",N638))),"SIM","")</f>
        <v/>
      </c>
      <c r="X638" s="92">
        <f>IF(AND(ISNUMBER(SEARCH("Espeto",N638)),ISNUMBER(SEARCH("André",N638))),"SIM","")</f>
        <v/>
      </c>
      <c r="Y638" s="92">
        <f>IF(AND(ISNUMBER(SEARCH("Delivery",N638)),ISNUMBER(SEARCH("Carin",N638))),"SIM","")</f>
        <v/>
      </c>
      <c r="Z638" s="92">
        <f>IF(AND(ISNUMBER(SEARCH("Delivery",N638)),ISNUMBER(SEARCH("Lapa",N638))),"SIM","")</f>
        <v/>
      </c>
      <c r="AA638" s="92">
        <f>IF(AND(ISNUMBER(SEARCH("Delivery",N638)),ISNUMBER(SEARCH("Tatuapé",N638))),"SIM","")</f>
        <v/>
      </c>
      <c r="AB638" s="92">
        <f>IF(AND(ISNUMBER(SEARCH("Delivery",N638)),ISNUMBER(SEARCH("Pavão",N638))),"SIM","")</f>
        <v/>
      </c>
      <c r="AC638" s="92">
        <f>IF(AND(ISNUMBER(SEARCH("Delivery",N638)),ISNUMBER(SEARCH("Chac",N638))),"SIM","")</f>
        <v/>
      </c>
      <c r="AD638" s="92">
        <f>IF(AND(ISNUMBER(SEARCH("Delivery",N638)),ISNUMBER(SEARCH("Madalena",N638))),"SIM","")</f>
        <v/>
      </c>
      <c r="AE638" s="99">
        <f>IF(AND(ISNUMBER(SEARCH("Delivery",N638)),ISNUMBER(SEARCH("Mariana",N638))),"SIM","")</f>
        <v/>
      </c>
      <c r="AF638" s="99">
        <f>IF(AND(ISNUMBER(SEARCH("Delivery",N638)),ISNUMBER(SEARCH("Perdizes",N638))),"SIM","")</f>
        <v/>
      </c>
      <c r="AG638" s="99">
        <f>IF(AND(ISNUMBER(SEARCH("Delivery",N638)),ISNUMBER(SEARCH("Santana",N638))),"SIM","")</f>
        <v/>
      </c>
      <c r="AH638" s="99">
        <f>IF(AND(ISNUMBER(SEARCH("Delivery",N638)),ISNUMBER(SEARCH("André",N638))),"SIM","")</f>
        <v/>
      </c>
      <c r="AI638" s="99">
        <f>IF(ISNUMBER(SEARCH("Interlagos",N638)),"SIM","")</f>
        <v/>
      </c>
      <c r="AJ638" s="99">
        <f>IF(ISNUMBER(SEARCH("Quiosque",N638)),"SIM","")</f>
        <v/>
      </c>
      <c r="AK638" s="101" t="n"/>
    </row>
    <row r="639">
      <c r="A639" s="88" t="inlineStr">
        <is>
          <t>Protheus</t>
        </is>
      </c>
      <c r="B639" s="89" t="inlineStr">
        <is>
          <t>000776</t>
        </is>
      </c>
      <c r="C639" s="90">
        <f>IF(B639="—","—",IFERROR(VLOOKUP(B639,_Protheus_Cadastro!$A:$B,2,FALSE),"—"))</f>
        <v/>
      </c>
      <c r="D639" s="91">
        <f>IF(B639="—",IFERROR(INDEX(_ZIG_Cadastro!$D:$D,MATCH(H639,_ZIG_Cadastro!$A:$A,0)),"Produto"),IFERROR(VLOOKUP(B639,_Protheus_Cadastro!$A:$C,3,FALSE),"—"))</f>
        <v/>
      </c>
      <c r="E639" s="91">
        <f>IF(B639="—","—",IFERROR(VLOOKUP(B639,_Protheus_Cadastro!$A:$D,4,FALSE),"—"))</f>
        <v/>
      </c>
      <c r="F639" s="91">
        <f>IF(ISERROR(VLOOKUP(B639,'Estrutura Protheus'!A:A,1,FALSE)),"Não","Sim")</f>
        <v/>
      </c>
      <c r="G639" s="92">
        <f>IFERROR(INDEX(_Protheus_Cadastro!$H:$H,MATCH(B639,_Protheus_Cadastro!$A:$A,0)),"—")</f>
        <v/>
      </c>
      <c r="H639" s="210">
        <f>IFERROR(INDEX(_ZIG_Precos!$D:$D,MATCH(I639,_ZIG_Precos!$F:$F,0)),"—")</f>
        <v/>
      </c>
      <c r="I639" s="95">
        <f>IFERROR(VLOOKUP(B639,_Protheus_Cadastro!$A:$I,9,FALSE),"—")</f>
        <v/>
      </c>
      <c r="J639" s="93">
        <f>IFERROR(INDEX(_ZIG_Cadastro!$B:$B,MATCH(I639,_ZIG_Cadastro!$A:$A,0)),IFERROR(INDEX(_Entradas_ZIG!$B:$B,MATCH(I639,_Entradas_ZIG!$C:$C,0)),"—"))</f>
        <v/>
      </c>
      <c r="K639" s="93">
        <f>IFERROR(INDEX(_ZIG_Cadastro!$C:$C,MATCH(I639,_ZIG_Cadastro!$A:$A,0)),IFERROR(INDEX(_Entradas_ZIG!$D:$D,MATCH(I639,_Entradas_ZIG!$C:$C,0)),"—"))</f>
        <v/>
      </c>
      <c r="L639" s="92">
        <f>IF(I639="","Sem SKU ZIG",IF(I639="—","Sem SKU ZIG",IF(NOT(ISERROR(MATCH(I639,_ZIG_Cadastro!$A:$A,0))),IF(EXACT(UPPER(TRIM(C639)),UPPER(TRIM(INDEX(_ZIG_Cadastro!$B:$B,MATCH(I639,_ZIG_Cadastro!$A:$A,0))))),"OK","Atencao - Nome diverge"),IF(NOT(ISERROR(MATCH(I639,_Entradas_ZIG!$C:$C,0))),"OK","Erro - SKU nao encontrado"))))</f>
        <v/>
      </c>
      <c r="M639" s="92">
        <f>IFERROR(INDEX(_ZIG_Cadastro!$G:$G,MATCH(I639,_ZIG_Cadastro!$A:$A,0)),IF(NOT(ISERROR(MATCH(I639,_Entradas_ZIG!$C:$C,0))),"Ativo","—"))</f>
        <v/>
      </c>
      <c r="N639" s="94">
        <f>IFERROR(INDEX(_ZIG_Cadastro!$E:$E,MATCH(I639,_ZIG_Cadastro!$A:$A,0)),IFERROR(INDEX(_Entradas_ZIG!$F:$F,MATCH(I639,_Entradas_ZIG!$C:$C,0)),"—"))</f>
        <v/>
      </c>
      <c r="O639" s="92">
        <f>IF(AND(ISNUMBER(SEARCH("Espeto",N639)),ISNUMBER(SEARCH("Carin",N639))),"SIM","")</f>
        <v/>
      </c>
      <c r="P639" s="92">
        <f>IF(AND(ISNUMBER(SEARCH("Espeto",N639)),ISNUMBER(SEARCH("Lapa",N639))),"SIM","")</f>
        <v/>
      </c>
      <c r="Q639" s="92">
        <f>IF(AND(ISNUMBER(SEARCH("Espeto",N639)),ISNUMBER(SEARCH("Tatuapé",N639))),"SIM","")</f>
        <v/>
      </c>
      <c r="R639" s="92">
        <f>IF(AND(ISNUMBER(SEARCH("Espeto",N639)),ISNUMBER(SEARCH("Pavão",N639))),"SIM","")</f>
        <v/>
      </c>
      <c r="S639" s="92">
        <f>IF(AND(ISNUMBER(SEARCH("Espeto",N639)),ISNUMBER(SEARCH("Chac",N639))),"SIM","")</f>
        <v/>
      </c>
      <c r="T639" s="92">
        <f>IF(AND(ISNUMBER(SEARCH("Espeto",N639)),ISNUMBER(SEARCH("Madalena",N639))),"SIM","")</f>
        <v/>
      </c>
      <c r="U639" s="92">
        <f>IF(AND(ISNUMBER(SEARCH("Espeto",N639)),ISNUMBER(SEARCH("Mariana",N639))),"SIM","")</f>
        <v/>
      </c>
      <c r="V639" s="92">
        <f>IF(AND(ISNUMBER(SEARCH("Espeto",N639)),ISNUMBER(SEARCH("Perdizes",N639))),"SIM","")</f>
        <v/>
      </c>
      <c r="W639" s="92">
        <f>IF(AND(ISNUMBER(SEARCH("Espeto",N639)),ISNUMBER(SEARCH("Santana",N639))),"SIM","")</f>
        <v/>
      </c>
      <c r="X639" s="92">
        <f>IF(AND(ISNUMBER(SEARCH("Espeto",N639)),ISNUMBER(SEARCH("André",N639))),"SIM","")</f>
        <v/>
      </c>
      <c r="Y639" s="92">
        <f>IF(AND(ISNUMBER(SEARCH("Delivery",N639)),ISNUMBER(SEARCH("Carin",N639))),"SIM","")</f>
        <v/>
      </c>
      <c r="Z639" s="92">
        <f>IF(AND(ISNUMBER(SEARCH("Delivery",N639)),ISNUMBER(SEARCH("Lapa",N639))),"SIM","")</f>
        <v/>
      </c>
      <c r="AA639" s="92">
        <f>IF(AND(ISNUMBER(SEARCH("Delivery",N639)),ISNUMBER(SEARCH("Tatuapé",N639))),"SIM","")</f>
        <v/>
      </c>
      <c r="AB639" s="92">
        <f>IF(AND(ISNUMBER(SEARCH("Delivery",N639)),ISNUMBER(SEARCH("Pavão",N639))),"SIM","")</f>
        <v/>
      </c>
      <c r="AC639" s="92">
        <f>IF(AND(ISNUMBER(SEARCH("Delivery",N639)),ISNUMBER(SEARCH("Chac",N639))),"SIM","")</f>
        <v/>
      </c>
      <c r="AD639" s="92">
        <f>IF(AND(ISNUMBER(SEARCH("Delivery",N639)),ISNUMBER(SEARCH("Madalena",N639))),"SIM","")</f>
        <v/>
      </c>
      <c r="AE639" s="99">
        <f>IF(AND(ISNUMBER(SEARCH("Delivery",N639)),ISNUMBER(SEARCH("Mariana",N639))),"SIM","")</f>
        <v/>
      </c>
      <c r="AF639" s="99">
        <f>IF(AND(ISNUMBER(SEARCH("Delivery",N639)),ISNUMBER(SEARCH("Perdizes",N639))),"SIM","")</f>
        <v/>
      </c>
      <c r="AG639" s="99">
        <f>IF(AND(ISNUMBER(SEARCH("Delivery",N639)),ISNUMBER(SEARCH("Santana",N639))),"SIM","")</f>
        <v/>
      </c>
      <c r="AH639" s="99">
        <f>IF(AND(ISNUMBER(SEARCH("Delivery",N639)),ISNUMBER(SEARCH("André",N639))),"SIM","")</f>
        <v/>
      </c>
      <c r="AI639" s="99">
        <f>IF(ISNUMBER(SEARCH("Interlagos",N639)),"SIM","")</f>
        <v/>
      </c>
      <c r="AJ639" s="99">
        <f>IF(ISNUMBER(SEARCH("Quiosque",N639)),"SIM","")</f>
        <v/>
      </c>
      <c r="AK639" s="101" t="n"/>
    </row>
    <row r="640">
      <c r="A640" s="88" t="inlineStr">
        <is>
          <t>Protheus</t>
        </is>
      </c>
      <c r="B640" s="89" t="inlineStr">
        <is>
          <t>000821</t>
        </is>
      </c>
      <c r="C640" s="90">
        <f>IF(B640="—","—",IFERROR(VLOOKUP(B640,_Protheus_Cadastro!$A:$B,2,FALSE),"—"))</f>
        <v/>
      </c>
      <c r="D640" s="91">
        <f>IF(B640="—",IFERROR(INDEX(_ZIG_Cadastro!$D:$D,MATCH(H640,_ZIG_Cadastro!$A:$A,0)),"Produto"),IFERROR(VLOOKUP(B640,_Protheus_Cadastro!$A:$C,3,FALSE),"—"))</f>
        <v/>
      </c>
      <c r="E640" s="91">
        <f>IF(B640="—","—",IFERROR(VLOOKUP(B640,_Protheus_Cadastro!$A:$D,4,FALSE),"—"))</f>
        <v/>
      </c>
      <c r="F640" s="91">
        <f>IF(ISERROR(VLOOKUP(B640,'Estrutura Protheus'!A:A,1,FALSE)),"Não","Sim")</f>
        <v/>
      </c>
      <c r="G640" s="92">
        <f>IFERROR(INDEX(_Protheus_Cadastro!$H:$H,MATCH(B640,_Protheus_Cadastro!$A:$A,0)),"—")</f>
        <v/>
      </c>
      <c r="H640" s="210">
        <f>IFERROR(INDEX(_ZIG_Precos!$D:$D,MATCH(I640,_ZIG_Precos!$F:$F,0)),"—")</f>
        <v/>
      </c>
      <c r="I640" s="95">
        <f>IFERROR(VLOOKUP(B640,_Protheus_Cadastro!$A:$I,9,FALSE),"—")</f>
        <v/>
      </c>
      <c r="J640" s="93">
        <f>IFERROR(INDEX(_ZIG_Cadastro!$B:$B,MATCH(I640,_ZIG_Cadastro!$A:$A,0)),IFERROR(INDEX(_Entradas_ZIG!$B:$B,MATCH(I640,_Entradas_ZIG!$C:$C,0)),"—"))</f>
        <v/>
      </c>
      <c r="K640" s="93">
        <f>IFERROR(INDEX(_ZIG_Cadastro!$C:$C,MATCH(I640,_ZIG_Cadastro!$A:$A,0)),IFERROR(INDEX(_Entradas_ZIG!$D:$D,MATCH(I640,_Entradas_ZIG!$C:$C,0)),"—"))</f>
        <v/>
      </c>
      <c r="L640" s="92">
        <f>IF(I640="","Sem SKU ZIG",IF(I640="—","Sem SKU ZIG",IF(NOT(ISERROR(MATCH(I640,_ZIG_Cadastro!$A:$A,0))),IF(EXACT(UPPER(TRIM(C640)),UPPER(TRIM(INDEX(_ZIG_Cadastro!$B:$B,MATCH(I640,_ZIG_Cadastro!$A:$A,0))))),"OK","Atencao - Nome diverge"),IF(NOT(ISERROR(MATCH(I640,_Entradas_ZIG!$C:$C,0))),"OK","Erro - SKU nao encontrado"))))</f>
        <v/>
      </c>
      <c r="M640" s="92">
        <f>IFERROR(INDEX(_ZIG_Cadastro!$G:$G,MATCH(I640,_ZIG_Cadastro!$A:$A,0)),IF(NOT(ISERROR(MATCH(I640,_Entradas_ZIG!$C:$C,0))),"Ativo","—"))</f>
        <v/>
      </c>
      <c r="N640" s="94">
        <f>IFERROR(INDEX(_ZIG_Cadastro!$E:$E,MATCH(I640,_ZIG_Cadastro!$A:$A,0)),IFERROR(INDEX(_Entradas_ZIG!$F:$F,MATCH(I640,_Entradas_ZIG!$C:$C,0)),"—"))</f>
        <v/>
      </c>
      <c r="O640" s="92">
        <f>IF(AND(ISNUMBER(SEARCH("Espeto",N640)),ISNUMBER(SEARCH("Carin",N640))),"SIM","")</f>
        <v/>
      </c>
      <c r="P640" s="92">
        <f>IF(AND(ISNUMBER(SEARCH("Espeto",N640)),ISNUMBER(SEARCH("Lapa",N640))),"SIM","")</f>
        <v/>
      </c>
      <c r="Q640" s="92">
        <f>IF(AND(ISNUMBER(SEARCH("Espeto",N640)),ISNUMBER(SEARCH("Tatuapé",N640))),"SIM","")</f>
        <v/>
      </c>
      <c r="R640" s="92">
        <f>IF(AND(ISNUMBER(SEARCH("Espeto",N640)),ISNUMBER(SEARCH("Pavão",N640))),"SIM","")</f>
        <v/>
      </c>
      <c r="S640" s="92">
        <f>IF(AND(ISNUMBER(SEARCH("Espeto",N640)),ISNUMBER(SEARCH("Chac",N640))),"SIM","")</f>
        <v/>
      </c>
      <c r="T640" s="92">
        <f>IF(AND(ISNUMBER(SEARCH("Espeto",N640)),ISNUMBER(SEARCH("Madalena",N640))),"SIM","")</f>
        <v/>
      </c>
      <c r="U640" s="92">
        <f>IF(AND(ISNUMBER(SEARCH("Espeto",N640)),ISNUMBER(SEARCH("Mariana",N640))),"SIM","")</f>
        <v/>
      </c>
      <c r="V640" s="92">
        <f>IF(AND(ISNUMBER(SEARCH("Espeto",N640)),ISNUMBER(SEARCH("Perdizes",N640))),"SIM","")</f>
        <v/>
      </c>
      <c r="W640" s="92">
        <f>IF(AND(ISNUMBER(SEARCH("Espeto",N640)),ISNUMBER(SEARCH("Santana",N640))),"SIM","")</f>
        <v/>
      </c>
      <c r="X640" s="92">
        <f>IF(AND(ISNUMBER(SEARCH("Espeto",N640)),ISNUMBER(SEARCH("André",N640))),"SIM","")</f>
        <v/>
      </c>
      <c r="Y640" s="92">
        <f>IF(AND(ISNUMBER(SEARCH("Delivery",N640)),ISNUMBER(SEARCH("Carin",N640))),"SIM","")</f>
        <v/>
      </c>
      <c r="Z640" s="92">
        <f>IF(AND(ISNUMBER(SEARCH("Delivery",N640)),ISNUMBER(SEARCH("Lapa",N640))),"SIM","")</f>
        <v/>
      </c>
      <c r="AA640" s="92">
        <f>IF(AND(ISNUMBER(SEARCH("Delivery",N640)),ISNUMBER(SEARCH("Tatuapé",N640))),"SIM","")</f>
        <v/>
      </c>
      <c r="AB640" s="92">
        <f>IF(AND(ISNUMBER(SEARCH("Delivery",N640)),ISNUMBER(SEARCH("Pavão",N640))),"SIM","")</f>
        <v/>
      </c>
      <c r="AC640" s="92">
        <f>IF(AND(ISNUMBER(SEARCH("Delivery",N640)),ISNUMBER(SEARCH("Chac",N640))),"SIM","")</f>
        <v/>
      </c>
      <c r="AD640" s="92">
        <f>IF(AND(ISNUMBER(SEARCH("Delivery",N640)),ISNUMBER(SEARCH("Madalena",N640))),"SIM","")</f>
        <v/>
      </c>
      <c r="AE640" s="99">
        <f>IF(AND(ISNUMBER(SEARCH("Delivery",N640)),ISNUMBER(SEARCH("Mariana",N640))),"SIM","")</f>
        <v/>
      </c>
      <c r="AF640" s="99">
        <f>IF(AND(ISNUMBER(SEARCH("Delivery",N640)),ISNUMBER(SEARCH("Perdizes",N640))),"SIM","")</f>
        <v/>
      </c>
      <c r="AG640" s="99">
        <f>IF(AND(ISNUMBER(SEARCH("Delivery",N640)),ISNUMBER(SEARCH("Santana",N640))),"SIM","")</f>
        <v/>
      </c>
      <c r="AH640" s="99">
        <f>IF(AND(ISNUMBER(SEARCH("Delivery",N640)),ISNUMBER(SEARCH("André",N640))),"SIM","")</f>
        <v/>
      </c>
      <c r="AI640" s="99">
        <f>IF(ISNUMBER(SEARCH("Interlagos",N640)),"SIM","")</f>
        <v/>
      </c>
      <c r="AJ640" s="99">
        <f>IF(ISNUMBER(SEARCH("Quiosque",N640)),"SIM","")</f>
        <v/>
      </c>
      <c r="AK640" s="101" t="n"/>
    </row>
    <row r="641">
      <c r="A641" s="88" t="inlineStr">
        <is>
          <t>Protheus</t>
        </is>
      </c>
      <c r="B641" s="89" t="inlineStr">
        <is>
          <t>000822</t>
        </is>
      </c>
      <c r="C641" s="90">
        <f>IF(B641="—","—",IFERROR(VLOOKUP(B641,_Protheus_Cadastro!$A:$B,2,FALSE),"—"))</f>
        <v/>
      </c>
      <c r="D641" s="91">
        <f>IF(B641="—",IFERROR(INDEX(_ZIG_Cadastro!$D:$D,MATCH(H641,_ZIG_Cadastro!$A:$A,0)),"Produto"),IFERROR(VLOOKUP(B641,_Protheus_Cadastro!$A:$C,3,FALSE),"—"))</f>
        <v/>
      </c>
      <c r="E641" s="91">
        <f>IF(B641="—","—",IFERROR(VLOOKUP(B641,_Protheus_Cadastro!$A:$D,4,FALSE),"—"))</f>
        <v/>
      </c>
      <c r="F641" s="91">
        <f>IF(ISERROR(VLOOKUP(B641,'Estrutura Protheus'!A:A,1,FALSE)),"Não","Sim")</f>
        <v/>
      </c>
      <c r="G641" s="92">
        <f>IFERROR(INDEX(_Protheus_Cadastro!$H:$H,MATCH(B641,_Protheus_Cadastro!$A:$A,0)),"—")</f>
        <v/>
      </c>
      <c r="H641" s="210">
        <f>IFERROR(INDEX(_ZIG_Precos!$D:$D,MATCH(I641,_ZIG_Precos!$F:$F,0)),"—")</f>
        <v/>
      </c>
      <c r="I641" s="95">
        <f>IFERROR(VLOOKUP(B641,_Protheus_Cadastro!$A:$I,9,FALSE),"—")</f>
        <v/>
      </c>
      <c r="J641" s="93">
        <f>IFERROR(INDEX(_ZIG_Cadastro!$B:$B,MATCH(I641,_ZIG_Cadastro!$A:$A,0)),IFERROR(INDEX(_Entradas_ZIG!$B:$B,MATCH(I641,_Entradas_ZIG!$C:$C,0)),"—"))</f>
        <v/>
      </c>
      <c r="K641" s="93">
        <f>IFERROR(INDEX(_ZIG_Cadastro!$C:$C,MATCH(I641,_ZIG_Cadastro!$A:$A,0)),IFERROR(INDEX(_Entradas_ZIG!$D:$D,MATCH(I641,_Entradas_ZIG!$C:$C,0)),"—"))</f>
        <v/>
      </c>
      <c r="L641" s="92">
        <f>IF(I641="","Sem SKU ZIG",IF(I641="—","Sem SKU ZIG",IF(NOT(ISERROR(MATCH(I641,_ZIG_Cadastro!$A:$A,0))),IF(EXACT(UPPER(TRIM(C641)),UPPER(TRIM(INDEX(_ZIG_Cadastro!$B:$B,MATCH(I641,_ZIG_Cadastro!$A:$A,0))))),"OK","Atencao - Nome diverge"),IF(NOT(ISERROR(MATCH(I641,_Entradas_ZIG!$C:$C,0))),"OK","Erro - SKU nao encontrado"))))</f>
        <v/>
      </c>
      <c r="M641" s="92">
        <f>IFERROR(INDEX(_ZIG_Cadastro!$G:$G,MATCH(I641,_ZIG_Cadastro!$A:$A,0)),IF(NOT(ISERROR(MATCH(I641,_Entradas_ZIG!$C:$C,0))),"Ativo","—"))</f>
        <v/>
      </c>
      <c r="N641" s="94">
        <f>IFERROR(INDEX(_ZIG_Cadastro!$E:$E,MATCH(I641,_ZIG_Cadastro!$A:$A,0)),IFERROR(INDEX(_Entradas_ZIG!$F:$F,MATCH(I641,_Entradas_ZIG!$C:$C,0)),"—"))</f>
        <v/>
      </c>
      <c r="O641" s="92">
        <f>IF(AND(ISNUMBER(SEARCH("Espeto",N641)),ISNUMBER(SEARCH("Carin",N641))),"SIM","")</f>
        <v/>
      </c>
      <c r="P641" s="92">
        <f>IF(AND(ISNUMBER(SEARCH("Espeto",N641)),ISNUMBER(SEARCH("Lapa",N641))),"SIM","")</f>
        <v/>
      </c>
      <c r="Q641" s="92">
        <f>IF(AND(ISNUMBER(SEARCH("Espeto",N641)),ISNUMBER(SEARCH("Tatuapé",N641))),"SIM","")</f>
        <v/>
      </c>
      <c r="R641" s="92">
        <f>IF(AND(ISNUMBER(SEARCH("Espeto",N641)),ISNUMBER(SEARCH("Pavão",N641))),"SIM","")</f>
        <v/>
      </c>
      <c r="S641" s="92">
        <f>IF(AND(ISNUMBER(SEARCH("Espeto",N641)),ISNUMBER(SEARCH("Chac",N641))),"SIM","")</f>
        <v/>
      </c>
      <c r="T641" s="92">
        <f>IF(AND(ISNUMBER(SEARCH("Espeto",N641)),ISNUMBER(SEARCH("Madalena",N641))),"SIM","")</f>
        <v/>
      </c>
      <c r="U641" s="92">
        <f>IF(AND(ISNUMBER(SEARCH("Espeto",N641)),ISNUMBER(SEARCH("Mariana",N641))),"SIM","")</f>
        <v/>
      </c>
      <c r="V641" s="92">
        <f>IF(AND(ISNUMBER(SEARCH("Espeto",N641)),ISNUMBER(SEARCH("Perdizes",N641))),"SIM","")</f>
        <v/>
      </c>
      <c r="W641" s="92">
        <f>IF(AND(ISNUMBER(SEARCH("Espeto",N641)),ISNUMBER(SEARCH("Santana",N641))),"SIM","")</f>
        <v/>
      </c>
      <c r="X641" s="92">
        <f>IF(AND(ISNUMBER(SEARCH("Espeto",N641)),ISNUMBER(SEARCH("André",N641))),"SIM","")</f>
        <v/>
      </c>
      <c r="Y641" s="92">
        <f>IF(AND(ISNUMBER(SEARCH("Delivery",N641)),ISNUMBER(SEARCH("Carin",N641))),"SIM","")</f>
        <v/>
      </c>
      <c r="Z641" s="92">
        <f>IF(AND(ISNUMBER(SEARCH("Delivery",N641)),ISNUMBER(SEARCH("Lapa",N641))),"SIM","")</f>
        <v/>
      </c>
      <c r="AA641" s="92">
        <f>IF(AND(ISNUMBER(SEARCH("Delivery",N641)),ISNUMBER(SEARCH("Tatuapé",N641))),"SIM","")</f>
        <v/>
      </c>
      <c r="AB641" s="92">
        <f>IF(AND(ISNUMBER(SEARCH("Delivery",N641)),ISNUMBER(SEARCH("Pavão",N641))),"SIM","")</f>
        <v/>
      </c>
      <c r="AC641" s="92">
        <f>IF(AND(ISNUMBER(SEARCH("Delivery",N641)),ISNUMBER(SEARCH("Chac",N641))),"SIM","")</f>
        <v/>
      </c>
      <c r="AD641" s="92">
        <f>IF(AND(ISNUMBER(SEARCH("Delivery",N641)),ISNUMBER(SEARCH("Madalena",N641))),"SIM","")</f>
        <v/>
      </c>
      <c r="AE641" s="99">
        <f>IF(AND(ISNUMBER(SEARCH("Delivery",N641)),ISNUMBER(SEARCH("Mariana",N641))),"SIM","")</f>
        <v/>
      </c>
      <c r="AF641" s="99">
        <f>IF(AND(ISNUMBER(SEARCH("Delivery",N641)),ISNUMBER(SEARCH("Perdizes",N641))),"SIM","")</f>
        <v/>
      </c>
      <c r="AG641" s="99">
        <f>IF(AND(ISNUMBER(SEARCH("Delivery",N641)),ISNUMBER(SEARCH("Santana",N641))),"SIM","")</f>
        <v/>
      </c>
      <c r="AH641" s="99">
        <f>IF(AND(ISNUMBER(SEARCH("Delivery",N641)),ISNUMBER(SEARCH("André",N641))),"SIM","")</f>
        <v/>
      </c>
      <c r="AI641" s="99">
        <f>IF(ISNUMBER(SEARCH("Interlagos",N641)),"SIM","")</f>
        <v/>
      </c>
      <c r="AJ641" s="99">
        <f>IF(ISNUMBER(SEARCH("Quiosque",N641)),"SIM","")</f>
        <v/>
      </c>
      <c r="AK641" s="101" t="n"/>
    </row>
    <row r="642">
      <c r="A642" s="88" t="inlineStr">
        <is>
          <t>Protheus</t>
        </is>
      </c>
      <c r="B642" s="89" t="inlineStr">
        <is>
          <t>000823</t>
        </is>
      </c>
      <c r="C642" s="90">
        <f>IF(B642="—","—",IFERROR(VLOOKUP(B642,_Protheus_Cadastro!$A:$B,2,FALSE),"—"))</f>
        <v/>
      </c>
      <c r="D642" s="91">
        <f>IF(B642="—",IFERROR(INDEX(_ZIG_Cadastro!$D:$D,MATCH(H642,_ZIG_Cadastro!$A:$A,0)),"Produto"),IFERROR(VLOOKUP(B642,_Protheus_Cadastro!$A:$C,3,FALSE),"—"))</f>
        <v/>
      </c>
      <c r="E642" s="91">
        <f>IF(B642="—","—",IFERROR(VLOOKUP(B642,_Protheus_Cadastro!$A:$D,4,FALSE),"—"))</f>
        <v/>
      </c>
      <c r="F642" s="91">
        <f>IF(ISERROR(VLOOKUP(B642,'Estrutura Protheus'!A:A,1,FALSE)),"Não","Sim")</f>
        <v/>
      </c>
      <c r="G642" s="92">
        <f>IFERROR(INDEX(_Protheus_Cadastro!$H:$H,MATCH(B642,_Protheus_Cadastro!$A:$A,0)),"—")</f>
        <v/>
      </c>
      <c r="H642" s="210">
        <f>IFERROR(INDEX(_ZIG_Precos!$D:$D,MATCH(I642,_ZIG_Precos!$F:$F,0)),"—")</f>
        <v/>
      </c>
      <c r="I642" s="95">
        <f>IFERROR(VLOOKUP(B642,_Protheus_Cadastro!$A:$I,9,FALSE),"—")</f>
        <v/>
      </c>
      <c r="J642" s="93">
        <f>IFERROR(INDEX(_ZIG_Cadastro!$B:$B,MATCH(I642,_ZIG_Cadastro!$A:$A,0)),IFERROR(INDEX(_Entradas_ZIG!$B:$B,MATCH(I642,_Entradas_ZIG!$C:$C,0)),"—"))</f>
        <v/>
      </c>
      <c r="K642" s="93">
        <f>IFERROR(INDEX(_ZIG_Cadastro!$C:$C,MATCH(I642,_ZIG_Cadastro!$A:$A,0)),IFERROR(INDEX(_Entradas_ZIG!$D:$D,MATCH(I642,_Entradas_ZIG!$C:$C,0)),"—"))</f>
        <v/>
      </c>
      <c r="L642" s="92">
        <f>IF(I642="","Sem SKU ZIG",IF(I642="—","Sem SKU ZIG",IF(NOT(ISERROR(MATCH(I642,_ZIG_Cadastro!$A:$A,0))),IF(EXACT(UPPER(TRIM(C642)),UPPER(TRIM(INDEX(_ZIG_Cadastro!$B:$B,MATCH(I642,_ZIG_Cadastro!$A:$A,0))))),"OK","Atencao - Nome diverge"),IF(NOT(ISERROR(MATCH(I642,_Entradas_ZIG!$C:$C,0))),"OK","Erro - SKU nao encontrado"))))</f>
        <v/>
      </c>
      <c r="M642" s="92">
        <f>IFERROR(INDEX(_ZIG_Cadastro!$G:$G,MATCH(I642,_ZIG_Cadastro!$A:$A,0)),IF(NOT(ISERROR(MATCH(I642,_Entradas_ZIG!$C:$C,0))),"Ativo","—"))</f>
        <v/>
      </c>
      <c r="N642" s="94">
        <f>IFERROR(INDEX(_ZIG_Cadastro!$E:$E,MATCH(I642,_ZIG_Cadastro!$A:$A,0)),IFERROR(INDEX(_Entradas_ZIG!$F:$F,MATCH(I642,_Entradas_ZIG!$C:$C,0)),"—"))</f>
        <v/>
      </c>
      <c r="O642" s="92">
        <f>IF(AND(ISNUMBER(SEARCH("Espeto",N642)),ISNUMBER(SEARCH("Carin",N642))),"SIM","")</f>
        <v/>
      </c>
      <c r="P642" s="92">
        <f>IF(AND(ISNUMBER(SEARCH("Espeto",N642)),ISNUMBER(SEARCH("Lapa",N642))),"SIM","")</f>
        <v/>
      </c>
      <c r="Q642" s="92">
        <f>IF(AND(ISNUMBER(SEARCH("Espeto",N642)),ISNUMBER(SEARCH("Tatuapé",N642))),"SIM","")</f>
        <v/>
      </c>
      <c r="R642" s="92">
        <f>IF(AND(ISNUMBER(SEARCH("Espeto",N642)),ISNUMBER(SEARCH("Pavão",N642))),"SIM","")</f>
        <v/>
      </c>
      <c r="S642" s="92">
        <f>IF(AND(ISNUMBER(SEARCH("Espeto",N642)),ISNUMBER(SEARCH("Chac",N642))),"SIM","")</f>
        <v/>
      </c>
      <c r="T642" s="92">
        <f>IF(AND(ISNUMBER(SEARCH("Espeto",N642)),ISNUMBER(SEARCH("Madalena",N642))),"SIM","")</f>
        <v/>
      </c>
      <c r="U642" s="92">
        <f>IF(AND(ISNUMBER(SEARCH("Espeto",N642)),ISNUMBER(SEARCH("Mariana",N642))),"SIM","")</f>
        <v/>
      </c>
      <c r="V642" s="92">
        <f>IF(AND(ISNUMBER(SEARCH("Espeto",N642)),ISNUMBER(SEARCH("Perdizes",N642))),"SIM","")</f>
        <v/>
      </c>
      <c r="W642" s="92">
        <f>IF(AND(ISNUMBER(SEARCH("Espeto",N642)),ISNUMBER(SEARCH("Santana",N642))),"SIM","")</f>
        <v/>
      </c>
      <c r="X642" s="92">
        <f>IF(AND(ISNUMBER(SEARCH("Espeto",N642)),ISNUMBER(SEARCH("André",N642))),"SIM","")</f>
        <v/>
      </c>
      <c r="Y642" s="92">
        <f>IF(AND(ISNUMBER(SEARCH("Delivery",N642)),ISNUMBER(SEARCH("Carin",N642))),"SIM","")</f>
        <v/>
      </c>
      <c r="Z642" s="92">
        <f>IF(AND(ISNUMBER(SEARCH("Delivery",N642)),ISNUMBER(SEARCH("Lapa",N642))),"SIM","")</f>
        <v/>
      </c>
      <c r="AA642" s="92">
        <f>IF(AND(ISNUMBER(SEARCH("Delivery",N642)),ISNUMBER(SEARCH("Tatuapé",N642))),"SIM","")</f>
        <v/>
      </c>
      <c r="AB642" s="92">
        <f>IF(AND(ISNUMBER(SEARCH("Delivery",N642)),ISNUMBER(SEARCH("Pavão",N642))),"SIM","")</f>
        <v/>
      </c>
      <c r="AC642" s="92">
        <f>IF(AND(ISNUMBER(SEARCH("Delivery",N642)),ISNUMBER(SEARCH("Chac",N642))),"SIM","")</f>
        <v/>
      </c>
      <c r="AD642" s="92">
        <f>IF(AND(ISNUMBER(SEARCH("Delivery",N642)),ISNUMBER(SEARCH("Madalena",N642))),"SIM","")</f>
        <v/>
      </c>
      <c r="AE642" s="99">
        <f>IF(AND(ISNUMBER(SEARCH("Delivery",N642)),ISNUMBER(SEARCH("Mariana",N642))),"SIM","")</f>
        <v/>
      </c>
      <c r="AF642" s="99">
        <f>IF(AND(ISNUMBER(SEARCH("Delivery",N642)),ISNUMBER(SEARCH("Perdizes",N642))),"SIM","")</f>
        <v/>
      </c>
      <c r="AG642" s="99">
        <f>IF(AND(ISNUMBER(SEARCH("Delivery",N642)),ISNUMBER(SEARCH("Santana",N642))),"SIM","")</f>
        <v/>
      </c>
      <c r="AH642" s="99">
        <f>IF(AND(ISNUMBER(SEARCH("Delivery",N642)),ISNUMBER(SEARCH("André",N642))),"SIM","")</f>
        <v/>
      </c>
      <c r="AI642" s="99">
        <f>IF(ISNUMBER(SEARCH("Interlagos",N642)),"SIM","")</f>
        <v/>
      </c>
      <c r="AJ642" s="99">
        <f>IF(ISNUMBER(SEARCH("Quiosque",N642)),"SIM","")</f>
        <v/>
      </c>
      <c r="AK642" s="101" t="n"/>
    </row>
    <row r="643">
      <c r="A643" s="88" t="inlineStr">
        <is>
          <t>Protheus</t>
        </is>
      </c>
      <c r="B643" s="89" t="inlineStr">
        <is>
          <t>000824</t>
        </is>
      </c>
      <c r="C643" s="90">
        <f>IF(B643="—","—",IFERROR(VLOOKUP(B643,_Protheus_Cadastro!$A:$B,2,FALSE),"—"))</f>
        <v/>
      </c>
      <c r="D643" s="91">
        <f>IF(B643="—",IFERROR(INDEX(_ZIG_Cadastro!$D:$D,MATCH(H643,_ZIG_Cadastro!$A:$A,0)),"Produto"),IFERROR(VLOOKUP(B643,_Protheus_Cadastro!$A:$C,3,FALSE),"—"))</f>
        <v/>
      </c>
      <c r="E643" s="91">
        <f>IF(B643="—","—",IFERROR(VLOOKUP(B643,_Protheus_Cadastro!$A:$D,4,FALSE),"—"))</f>
        <v/>
      </c>
      <c r="F643" s="91">
        <f>IF(ISERROR(VLOOKUP(B643,'Estrutura Protheus'!A:A,1,FALSE)),"Não","Sim")</f>
        <v/>
      </c>
      <c r="G643" s="92">
        <f>IFERROR(INDEX(_Protheus_Cadastro!$H:$H,MATCH(B643,_Protheus_Cadastro!$A:$A,0)),"—")</f>
        <v/>
      </c>
      <c r="H643" s="210">
        <f>IFERROR(INDEX(_ZIG_Precos!$D:$D,MATCH(I643,_ZIG_Precos!$F:$F,0)),"—")</f>
        <v/>
      </c>
      <c r="I643" s="95">
        <f>IFERROR(VLOOKUP(B643,_Protheus_Cadastro!$A:$I,9,FALSE),"—")</f>
        <v/>
      </c>
      <c r="J643" s="93">
        <f>IFERROR(INDEX(_ZIG_Cadastro!$B:$B,MATCH(I643,_ZIG_Cadastro!$A:$A,0)),IFERROR(INDEX(_Entradas_ZIG!$B:$B,MATCH(I643,_Entradas_ZIG!$C:$C,0)),"—"))</f>
        <v/>
      </c>
      <c r="K643" s="93">
        <f>IFERROR(INDEX(_ZIG_Cadastro!$C:$C,MATCH(I643,_ZIG_Cadastro!$A:$A,0)),IFERROR(INDEX(_Entradas_ZIG!$D:$D,MATCH(I643,_Entradas_ZIG!$C:$C,0)),"—"))</f>
        <v/>
      </c>
      <c r="L643" s="92">
        <f>IF(I643="","Sem SKU ZIG",IF(I643="—","Sem SKU ZIG",IF(NOT(ISERROR(MATCH(I643,_ZIG_Cadastro!$A:$A,0))),IF(EXACT(UPPER(TRIM(C643)),UPPER(TRIM(INDEX(_ZIG_Cadastro!$B:$B,MATCH(I643,_ZIG_Cadastro!$A:$A,0))))),"OK","Atencao - Nome diverge"),IF(NOT(ISERROR(MATCH(I643,_Entradas_ZIG!$C:$C,0))),"OK","Erro - SKU nao encontrado"))))</f>
        <v/>
      </c>
      <c r="M643" s="92">
        <f>IFERROR(INDEX(_ZIG_Cadastro!$G:$G,MATCH(I643,_ZIG_Cadastro!$A:$A,0)),IF(NOT(ISERROR(MATCH(I643,_Entradas_ZIG!$C:$C,0))),"Ativo","—"))</f>
        <v/>
      </c>
      <c r="N643" s="94">
        <f>IFERROR(INDEX(_ZIG_Cadastro!$E:$E,MATCH(I643,_ZIG_Cadastro!$A:$A,0)),IFERROR(INDEX(_Entradas_ZIG!$F:$F,MATCH(I643,_Entradas_ZIG!$C:$C,0)),"—"))</f>
        <v/>
      </c>
      <c r="O643" s="92">
        <f>IF(AND(ISNUMBER(SEARCH("Espeto",N643)),ISNUMBER(SEARCH("Carin",N643))),"SIM","")</f>
        <v/>
      </c>
      <c r="P643" s="92">
        <f>IF(AND(ISNUMBER(SEARCH("Espeto",N643)),ISNUMBER(SEARCH("Lapa",N643))),"SIM","")</f>
        <v/>
      </c>
      <c r="Q643" s="92">
        <f>IF(AND(ISNUMBER(SEARCH("Espeto",N643)),ISNUMBER(SEARCH("Tatuapé",N643))),"SIM","")</f>
        <v/>
      </c>
      <c r="R643" s="92">
        <f>IF(AND(ISNUMBER(SEARCH("Espeto",N643)),ISNUMBER(SEARCH("Pavão",N643))),"SIM","")</f>
        <v/>
      </c>
      <c r="S643" s="92">
        <f>IF(AND(ISNUMBER(SEARCH("Espeto",N643)),ISNUMBER(SEARCH("Chac",N643))),"SIM","")</f>
        <v/>
      </c>
      <c r="T643" s="92">
        <f>IF(AND(ISNUMBER(SEARCH("Espeto",N643)),ISNUMBER(SEARCH("Madalena",N643))),"SIM","")</f>
        <v/>
      </c>
      <c r="U643" s="92">
        <f>IF(AND(ISNUMBER(SEARCH("Espeto",N643)),ISNUMBER(SEARCH("Mariana",N643))),"SIM","")</f>
        <v/>
      </c>
      <c r="V643" s="92">
        <f>IF(AND(ISNUMBER(SEARCH("Espeto",N643)),ISNUMBER(SEARCH("Perdizes",N643))),"SIM","")</f>
        <v/>
      </c>
      <c r="W643" s="92">
        <f>IF(AND(ISNUMBER(SEARCH("Espeto",N643)),ISNUMBER(SEARCH("Santana",N643))),"SIM","")</f>
        <v/>
      </c>
      <c r="X643" s="92">
        <f>IF(AND(ISNUMBER(SEARCH("Espeto",N643)),ISNUMBER(SEARCH("André",N643))),"SIM","")</f>
        <v/>
      </c>
      <c r="Y643" s="92">
        <f>IF(AND(ISNUMBER(SEARCH("Delivery",N643)),ISNUMBER(SEARCH("Carin",N643))),"SIM","")</f>
        <v/>
      </c>
      <c r="Z643" s="92">
        <f>IF(AND(ISNUMBER(SEARCH("Delivery",N643)),ISNUMBER(SEARCH("Lapa",N643))),"SIM","")</f>
        <v/>
      </c>
      <c r="AA643" s="92">
        <f>IF(AND(ISNUMBER(SEARCH("Delivery",N643)),ISNUMBER(SEARCH("Tatuapé",N643))),"SIM","")</f>
        <v/>
      </c>
      <c r="AB643" s="92">
        <f>IF(AND(ISNUMBER(SEARCH("Delivery",N643)),ISNUMBER(SEARCH("Pavão",N643))),"SIM","")</f>
        <v/>
      </c>
      <c r="AC643" s="92">
        <f>IF(AND(ISNUMBER(SEARCH("Delivery",N643)),ISNUMBER(SEARCH("Chac",N643))),"SIM","")</f>
        <v/>
      </c>
      <c r="AD643" s="92">
        <f>IF(AND(ISNUMBER(SEARCH("Delivery",N643)),ISNUMBER(SEARCH("Madalena",N643))),"SIM","")</f>
        <v/>
      </c>
      <c r="AE643" s="99">
        <f>IF(AND(ISNUMBER(SEARCH("Delivery",N643)),ISNUMBER(SEARCH("Mariana",N643))),"SIM","")</f>
        <v/>
      </c>
      <c r="AF643" s="99">
        <f>IF(AND(ISNUMBER(SEARCH("Delivery",N643)),ISNUMBER(SEARCH("Perdizes",N643))),"SIM","")</f>
        <v/>
      </c>
      <c r="AG643" s="99">
        <f>IF(AND(ISNUMBER(SEARCH("Delivery",N643)),ISNUMBER(SEARCH("Santana",N643))),"SIM","")</f>
        <v/>
      </c>
      <c r="AH643" s="99">
        <f>IF(AND(ISNUMBER(SEARCH("Delivery",N643)),ISNUMBER(SEARCH("André",N643))),"SIM","")</f>
        <v/>
      </c>
      <c r="AI643" s="99">
        <f>IF(ISNUMBER(SEARCH("Interlagos",N643)),"SIM","")</f>
        <v/>
      </c>
      <c r="AJ643" s="99">
        <f>IF(ISNUMBER(SEARCH("Quiosque",N643)),"SIM","")</f>
        <v/>
      </c>
      <c r="AK643" s="101" t="n"/>
    </row>
    <row r="644">
      <c r="A644" s="88" t="inlineStr">
        <is>
          <t>Protheus</t>
        </is>
      </c>
      <c r="B644" s="89" t="inlineStr">
        <is>
          <t>000825</t>
        </is>
      </c>
      <c r="C644" s="90">
        <f>IF(B644="—","—",IFERROR(VLOOKUP(B644,_Protheus_Cadastro!$A:$B,2,FALSE),"—"))</f>
        <v/>
      </c>
      <c r="D644" s="91">
        <f>IF(B644="—",IFERROR(INDEX(_ZIG_Cadastro!$D:$D,MATCH(H644,_ZIG_Cadastro!$A:$A,0)),"Produto"),IFERROR(VLOOKUP(B644,_Protheus_Cadastro!$A:$C,3,FALSE),"—"))</f>
        <v/>
      </c>
      <c r="E644" s="91">
        <f>IF(B644="—","—",IFERROR(VLOOKUP(B644,_Protheus_Cadastro!$A:$D,4,FALSE),"—"))</f>
        <v/>
      </c>
      <c r="F644" s="91">
        <f>IF(ISERROR(VLOOKUP(B644,'Estrutura Protheus'!A:A,1,FALSE)),"Não","Sim")</f>
        <v/>
      </c>
      <c r="G644" s="92">
        <f>IFERROR(INDEX(_Protheus_Cadastro!$H:$H,MATCH(B644,_Protheus_Cadastro!$A:$A,0)),"—")</f>
        <v/>
      </c>
      <c r="H644" s="210">
        <f>IFERROR(INDEX(_ZIG_Precos!$D:$D,MATCH(I644,_ZIG_Precos!$F:$F,0)),"—")</f>
        <v/>
      </c>
      <c r="I644" s="95">
        <f>IFERROR(VLOOKUP(B644,_Protheus_Cadastro!$A:$I,9,FALSE),"—")</f>
        <v/>
      </c>
      <c r="J644" s="93">
        <f>IFERROR(INDEX(_ZIG_Cadastro!$B:$B,MATCH(I644,_ZIG_Cadastro!$A:$A,0)),IFERROR(INDEX(_Entradas_ZIG!$B:$B,MATCH(I644,_Entradas_ZIG!$C:$C,0)),"—"))</f>
        <v/>
      </c>
      <c r="K644" s="93">
        <f>IFERROR(INDEX(_ZIG_Cadastro!$C:$C,MATCH(I644,_ZIG_Cadastro!$A:$A,0)),IFERROR(INDEX(_Entradas_ZIG!$D:$D,MATCH(I644,_Entradas_ZIG!$C:$C,0)),"—"))</f>
        <v/>
      </c>
      <c r="L644" s="92">
        <f>IF(I644="","Sem SKU ZIG",IF(I644="—","Sem SKU ZIG",IF(NOT(ISERROR(MATCH(I644,_ZIG_Cadastro!$A:$A,0))),IF(EXACT(UPPER(TRIM(C644)),UPPER(TRIM(INDEX(_ZIG_Cadastro!$B:$B,MATCH(I644,_ZIG_Cadastro!$A:$A,0))))),"OK","Atencao - Nome diverge"),IF(NOT(ISERROR(MATCH(I644,_Entradas_ZIG!$C:$C,0))),"OK","Erro - SKU nao encontrado"))))</f>
        <v/>
      </c>
      <c r="M644" s="92">
        <f>IFERROR(INDEX(_ZIG_Cadastro!$G:$G,MATCH(I644,_ZIG_Cadastro!$A:$A,0)),IF(NOT(ISERROR(MATCH(I644,_Entradas_ZIG!$C:$C,0))),"Ativo","—"))</f>
        <v/>
      </c>
      <c r="N644" s="94">
        <f>IFERROR(INDEX(_ZIG_Cadastro!$E:$E,MATCH(I644,_ZIG_Cadastro!$A:$A,0)),IFERROR(INDEX(_Entradas_ZIG!$F:$F,MATCH(I644,_Entradas_ZIG!$C:$C,0)),"—"))</f>
        <v/>
      </c>
      <c r="O644" s="92">
        <f>IF(AND(ISNUMBER(SEARCH("Espeto",N644)),ISNUMBER(SEARCH("Carin",N644))),"SIM","")</f>
        <v/>
      </c>
      <c r="P644" s="92">
        <f>IF(AND(ISNUMBER(SEARCH("Espeto",N644)),ISNUMBER(SEARCH("Lapa",N644))),"SIM","")</f>
        <v/>
      </c>
      <c r="Q644" s="92">
        <f>IF(AND(ISNUMBER(SEARCH("Espeto",N644)),ISNUMBER(SEARCH("Tatuapé",N644))),"SIM","")</f>
        <v/>
      </c>
      <c r="R644" s="92">
        <f>IF(AND(ISNUMBER(SEARCH("Espeto",N644)),ISNUMBER(SEARCH("Pavão",N644))),"SIM","")</f>
        <v/>
      </c>
      <c r="S644" s="92">
        <f>IF(AND(ISNUMBER(SEARCH("Espeto",N644)),ISNUMBER(SEARCH("Chac",N644))),"SIM","")</f>
        <v/>
      </c>
      <c r="T644" s="92">
        <f>IF(AND(ISNUMBER(SEARCH("Espeto",N644)),ISNUMBER(SEARCH("Madalena",N644))),"SIM","")</f>
        <v/>
      </c>
      <c r="U644" s="92">
        <f>IF(AND(ISNUMBER(SEARCH("Espeto",N644)),ISNUMBER(SEARCH("Mariana",N644))),"SIM","")</f>
        <v/>
      </c>
      <c r="V644" s="92">
        <f>IF(AND(ISNUMBER(SEARCH("Espeto",N644)),ISNUMBER(SEARCH("Perdizes",N644))),"SIM","")</f>
        <v/>
      </c>
      <c r="W644" s="92">
        <f>IF(AND(ISNUMBER(SEARCH("Espeto",N644)),ISNUMBER(SEARCH("Santana",N644))),"SIM","")</f>
        <v/>
      </c>
      <c r="X644" s="92">
        <f>IF(AND(ISNUMBER(SEARCH("Espeto",N644)),ISNUMBER(SEARCH("André",N644))),"SIM","")</f>
        <v/>
      </c>
      <c r="Y644" s="92">
        <f>IF(AND(ISNUMBER(SEARCH("Delivery",N644)),ISNUMBER(SEARCH("Carin",N644))),"SIM","")</f>
        <v/>
      </c>
      <c r="Z644" s="92">
        <f>IF(AND(ISNUMBER(SEARCH("Delivery",N644)),ISNUMBER(SEARCH("Lapa",N644))),"SIM","")</f>
        <v/>
      </c>
      <c r="AA644" s="92">
        <f>IF(AND(ISNUMBER(SEARCH("Delivery",N644)),ISNUMBER(SEARCH("Tatuapé",N644))),"SIM","")</f>
        <v/>
      </c>
      <c r="AB644" s="92">
        <f>IF(AND(ISNUMBER(SEARCH("Delivery",N644)),ISNUMBER(SEARCH("Pavão",N644))),"SIM","")</f>
        <v/>
      </c>
      <c r="AC644" s="92">
        <f>IF(AND(ISNUMBER(SEARCH("Delivery",N644)),ISNUMBER(SEARCH("Chac",N644))),"SIM","")</f>
        <v/>
      </c>
      <c r="AD644" s="92">
        <f>IF(AND(ISNUMBER(SEARCH("Delivery",N644)),ISNUMBER(SEARCH("Madalena",N644))),"SIM","")</f>
        <v/>
      </c>
      <c r="AE644" s="99">
        <f>IF(AND(ISNUMBER(SEARCH("Delivery",N644)),ISNUMBER(SEARCH("Mariana",N644))),"SIM","")</f>
        <v/>
      </c>
      <c r="AF644" s="99">
        <f>IF(AND(ISNUMBER(SEARCH("Delivery",N644)),ISNUMBER(SEARCH("Perdizes",N644))),"SIM","")</f>
        <v/>
      </c>
      <c r="AG644" s="99">
        <f>IF(AND(ISNUMBER(SEARCH("Delivery",N644)),ISNUMBER(SEARCH("Santana",N644))),"SIM","")</f>
        <v/>
      </c>
      <c r="AH644" s="99">
        <f>IF(AND(ISNUMBER(SEARCH("Delivery",N644)),ISNUMBER(SEARCH("André",N644))),"SIM","")</f>
        <v/>
      </c>
      <c r="AI644" s="99">
        <f>IF(ISNUMBER(SEARCH("Interlagos",N644)),"SIM","")</f>
        <v/>
      </c>
      <c r="AJ644" s="99">
        <f>IF(ISNUMBER(SEARCH("Quiosque",N644)),"SIM","")</f>
        <v/>
      </c>
      <c r="AK644" s="101" t="n"/>
    </row>
    <row r="645">
      <c r="A645" s="88" t="inlineStr">
        <is>
          <t>Protheus</t>
        </is>
      </c>
      <c r="B645" s="89" t="inlineStr">
        <is>
          <t>000826</t>
        </is>
      </c>
      <c r="C645" s="90">
        <f>IF(B645="—","—",IFERROR(VLOOKUP(B645,_Protheus_Cadastro!$A:$B,2,FALSE),"—"))</f>
        <v/>
      </c>
      <c r="D645" s="91">
        <f>IF(B645="—",IFERROR(INDEX(_ZIG_Cadastro!$D:$D,MATCH(H645,_ZIG_Cadastro!$A:$A,0)),"Produto"),IFERROR(VLOOKUP(B645,_Protheus_Cadastro!$A:$C,3,FALSE),"—"))</f>
        <v/>
      </c>
      <c r="E645" s="91">
        <f>IF(B645="—","—",IFERROR(VLOOKUP(B645,_Protheus_Cadastro!$A:$D,4,FALSE),"—"))</f>
        <v/>
      </c>
      <c r="F645" s="91">
        <f>IF(ISERROR(VLOOKUP(B645,'Estrutura Protheus'!A:A,1,FALSE)),"Não","Sim")</f>
        <v/>
      </c>
      <c r="G645" s="92">
        <f>IFERROR(INDEX(_Protheus_Cadastro!$H:$H,MATCH(B645,_Protheus_Cadastro!$A:$A,0)),"—")</f>
        <v/>
      </c>
      <c r="H645" s="210">
        <f>IFERROR(INDEX(_ZIG_Precos!$D:$D,MATCH(I645,_ZIG_Precos!$F:$F,0)),"—")</f>
        <v/>
      </c>
      <c r="I645" s="95">
        <f>IFERROR(VLOOKUP(B645,_Protheus_Cadastro!$A:$I,9,FALSE),"—")</f>
        <v/>
      </c>
      <c r="J645" s="93">
        <f>IFERROR(INDEX(_ZIG_Cadastro!$B:$B,MATCH(I645,_ZIG_Cadastro!$A:$A,0)),IFERROR(INDEX(_Entradas_ZIG!$B:$B,MATCH(I645,_Entradas_ZIG!$C:$C,0)),"—"))</f>
        <v/>
      </c>
      <c r="K645" s="93">
        <f>IFERROR(INDEX(_ZIG_Cadastro!$C:$C,MATCH(I645,_ZIG_Cadastro!$A:$A,0)),IFERROR(INDEX(_Entradas_ZIG!$D:$D,MATCH(I645,_Entradas_ZIG!$C:$C,0)),"—"))</f>
        <v/>
      </c>
      <c r="L645" s="92">
        <f>IF(I645="","Sem SKU ZIG",IF(I645="—","Sem SKU ZIG",IF(NOT(ISERROR(MATCH(I645,_ZIG_Cadastro!$A:$A,0))),IF(EXACT(UPPER(TRIM(C645)),UPPER(TRIM(INDEX(_ZIG_Cadastro!$B:$B,MATCH(I645,_ZIG_Cadastro!$A:$A,0))))),"OK","Atencao - Nome diverge"),IF(NOT(ISERROR(MATCH(I645,_Entradas_ZIG!$C:$C,0))),"OK","Erro - SKU nao encontrado"))))</f>
        <v/>
      </c>
      <c r="M645" s="92">
        <f>IFERROR(INDEX(_ZIG_Cadastro!$G:$G,MATCH(I645,_ZIG_Cadastro!$A:$A,0)),IF(NOT(ISERROR(MATCH(I645,_Entradas_ZIG!$C:$C,0))),"Ativo","—"))</f>
        <v/>
      </c>
      <c r="N645" s="94">
        <f>IFERROR(INDEX(_ZIG_Cadastro!$E:$E,MATCH(I645,_ZIG_Cadastro!$A:$A,0)),IFERROR(INDEX(_Entradas_ZIG!$F:$F,MATCH(I645,_Entradas_ZIG!$C:$C,0)),"—"))</f>
        <v/>
      </c>
      <c r="O645" s="92">
        <f>IF(AND(ISNUMBER(SEARCH("Espeto",N645)),ISNUMBER(SEARCH("Carin",N645))),"SIM","")</f>
        <v/>
      </c>
      <c r="P645" s="92">
        <f>IF(AND(ISNUMBER(SEARCH("Espeto",N645)),ISNUMBER(SEARCH("Lapa",N645))),"SIM","")</f>
        <v/>
      </c>
      <c r="Q645" s="92">
        <f>IF(AND(ISNUMBER(SEARCH("Espeto",N645)),ISNUMBER(SEARCH("Tatuapé",N645))),"SIM","")</f>
        <v/>
      </c>
      <c r="R645" s="92">
        <f>IF(AND(ISNUMBER(SEARCH("Espeto",N645)),ISNUMBER(SEARCH("Pavão",N645))),"SIM","")</f>
        <v/>
      </c>
      <c r="S645" s="92">
        <f>IF(AND(ISNUMBER(SEARCH("Espeto",N645)),ISNUMBER(SEARCH("Chac",N645))),"SIM","")</f>
        <v/>
      </c>
      <c r="T645" s="92">
        <f>IF(AND(ISNUMBER(SEARCH("Espeto",N645)),ISNUMBER(SEARCH("Madalena",N645))),"SIM","")</f>
        <v/>
      </c>
      <c r="U645" s="92">
        <f>IF(AND(ISNUMBER(SEARCH("Espeto",N645)),ISNUMBER(SEARCH("Mariana",N645))),"SIM","")</f>
        <v/>
      </c>
      <c r="V645" s="92">
        <f>IF(AND(ISNUMBER(SEARCH("Espeto",N645)),ISNUMBER(SEARCH("Perdizes",N645))),"SIM","")</f>
        <v/>
      </c>
      <c r="W645" s="92">
        <f>IF(AND(ISNUMBER(SEARCH("Espeto",N645)),ISNUMBER(SEARCH("Santana",N645))),"SIM","")</f>
        <v/>
      </c>
      <c r="X645" s="92">
        <f>IF(AND(ISNUMBER(SEARCH("Espeto",N645)),ISNUMBER(SEARCH("André",N645))),"SIM","")</f>
        <v/>
      </c>
      <c r="Y645" s="92">
        <f>IF(AND(ISNUMBER(SEARCH("Delivery",N645)),ISNUMBER(SEARCH("Carin",N645))),"SIM","")</f>
        <v/>
      </c>
      <c r="Z645" s="92">
        <f>IF(AND(ISNUMBER(SEARCH("Delivery",N645)),ISNUMBER(SEARCH("Lapa",N645))),"SIM","")</f>
        <v/>
      </c>
      <c r="AA645" s="92">
        <f>IF(AND(ISNUMBER(SEARCH("Delivery",N645)),ISNUMBER(SEARCH("Tatuapé",N645))),"SIM","")</f>
        <v/>
      </c>
      <c r="AB645" s="92">
        <f>IF(AND(ISNUMBER(SEARCH("Delivery",N645)),ISNUMBER(SEARCH("Pavão",N645))),"SIM","")</f>
        <v/>
      </c>
      <c r="AC645" s="92">
        <f>IF(AND(ISNUMBER(SEARCH("Delivery",N645)),ISNUMBER(SEARCH("Chac",N645))),"SIM","")</f>
        <v/>
      </c>
      <c r="AD645" s="92">
        <f>IF(AND(ISNUMBER(SEARCH("Delivery",N645)),ISNUMBER(SEARCH("Madalena",N645))),"SIM","")</f>
        <v/>
      </c>
      <c r="AE645" s="99">
        <f>IF(AND(ISNUMBER(SEARCH("Delivery",N645)),ISNUMBER(SEARCH("Mariana",N645))),"SIM","")</f>
        <v/>
      </c>
      <c r="AF645" s="99">
        <f>IF(AND(ISNUMBER(SEARCH("Delivery",N645)),ISNUMBER(SEARCH("Perdizes",N645))),"SIM","")</f>
        <v/>
      </c>
      <c r="AG645" s="99">
        <f>IF(AND(ISNUMBER(SEARCH("Delivery",N645)),ISNUMBER(SEARCH("Santana",N645))),"SIM","")</f>
        <v/>
      </c>
      <c r="AH645" s="99">
        <f>IF(AND(ISNUMBER(SEARCH("Delivery",N645)),ISNUMBER(SEARCH("André",N645))),"SIM","")</f>
        <v/>
      </c>
      <c r="AI645" s="99">
        <f>IF(ISNUMBER(SEARCH("Interlagos",N645)),"SIM","")</f>
        <v/>
      </c>
      <c r="AJ645" s="99">
        <f>IF(ISNUMBER(SEARCH("Quiosque",N645)),"SIM","")</f>
        <v/>
      </c>
      <c r="AK645" s="101" t="n"/>
    </row>
    <row r="646">
      <c r="A646" s="88" t="inlineStr">
        <is>
          <t>Protheus</t>
        </is>
      </c>
      <c r="B646" s="89" t="inlineStr">
        <is>
          <t>000827</t>
        </is>
      </c>
      <c r="C646" s="90">
        <f>IF(B646="—","—",IFERROR(VLOOKUP(B646,_Protheus_Cadastro!$A:$B,2,FALSE),"—"))</f>
        <v/>
      </c>
      <c r="D646" s="91">
        <f>IF(B646="—",IFERROR(INDEX(_ZIG_Cadastro!$D:$D,MATCH(H646,_ZIG_Cadastro!$A:$A,0)),"Produto"),IFERROR(VLOOKUP(B646,_Protheus_Cadastro!$A:$C,3,FALSE),"—"))</f>
        <v/>
      </c>
      <c r="E646" s="91">
        <f>IF(B646="—","—",IFERROR(VLOOKUP(B646,_Protheus_Cadastro!$A:$D,4,FALSE),"—"))</f>
        <v/>
      </c>
      <c r="F646" s="91">
        <f>IF(ISERROR(VLOOKUP(B646,'Estrutura Protheus'!A:A,1,FALSE)),"Não","Sim")</f>
        <v/>
      </c>
      <c r="G646" s="92">
        <f>IFERROR(INDEX(_Protheus_Cadastro!$H:$H,MATCH(B646,_Protheus_Cadastro!$A:$A,0)),"—")</f>
        <v/>
      </c>
      <c r="H646" s="210">
        <f>IFERROR(INDEX(_ZIG_Precos!$D:$D,MATCH(I646,_ZIG_Precos!$F:$F,0)),"—")</f>
        <v/>
      </c>
      <c r="I646" s="95">
        <f>IFERROR(VLOOKUP(B646,_Protheus_Cadastro!$A:$I,9,FALSE),"—")</f>
        <v/>
      </c>
      <c r="J646" s="93">
        <f>IFERROR(INDEX(_ZIG_Cadastro!$B:$B,MATCH(I646,_ZIG_Cadastro!$A:$A,0)),IFERROR(INDEX(_Entradas_ZIG!$B:$B,MATCH(I646,_Entradas_ZIG!$C:$C,0)),"—"))</f>
        <v/>
      </c>
      <c r="K646" s="93">
        <f>IFERROR(INDEX(_ZIG_Cadastro!$C:$C,MATCH(I646,_ZIG_Cadastro!$A:$A,0)),IFERROR(INDEX(_Entradas_ZIG!$D:$D,MATCH(I646,_Entradas_ZIG!$C:$C,0)),"—"))</f>
        <v/>
      </c>
      <c r="L646" s="92">
        <f>IF(I646="","Sem SKU ZIG",IF(I646="—","Sem SKU ZIG",IF(NOT(ISERROR(MATCH(I646,_ZIG_Cadastro!$A:$A,0))),IF(EXACT(UPPER(TRIM(C646)),UPPER(TRIM(INDEX(_ZIG_Cadastro!$B:$B,MATCH(I646,_ZIG_Cadastro!$A:$A,0))))),"OK","Atencao - Nome diverge"),IF(NOT(ISERROR(MATCH(I646,_Entradas_ZIG!$C:$C,0))),"OK","Erro - SKU nao encontrado"))))</f>
        <v/>
      </c>
      <c r="M646" s="92">
        <f>IFERROR(INDEX(_ZIG_Cadastro!$G:$G,MATCH(I646,_ZIG_Cadastro!$A:$A,0)),IF(NOT(ISERROR(MATCH(I646,_Entradas_ZIG!$C:$C,0))),"Ativo","—"))</f>
        <v/>
      </c>
      <c r="N646" s="94">
        <f>IFERROR(INDEX(_ZIG_Cadastro!$E:$E,MATCH(I646,_ZIG_Cadastro!$A:$A,0)),IFERROR(INDEX(_Entradas_ZIG!$F:$F,MATCH(I646,_Entradas_ZIG!$C:$C,0)),"—"))</f>
        <v/>
      </c>
      <c r="O646" s="92">
        <f>IF(AND(ISNUMBER(SEARCH("Espeto",N646)),ISNUMBER(SEARCH("Carin",N646))),"SIM","")</f>
        <v/>
      </c>
      <c r="P646" s="92">
        <f>IF(AND(ISNUMBER(SEARCH("Espeto",N646)),ISNUMBER(SEARCH("Lapa",N646))),"SIM","")</f>
        <v/>
      </c>
      <c r="Q646" s="92">
        <f>IF(AND(ISNUMBER(SEARCH("Espeto",N646)),ISNUMBER(SEARCH("Tatuapé",N646))),"SIM","")</f>
        <v/>
      </c>
      <c r="R646" s="92">
        <f>IF(AND(ISNUMBER(SEARCH("Espeto",N646)),ISNUMBER(SEARCH("Pavão",N646))),"SIM","")</f>
        <v/>
      </c>
      <c r="S646" s="92">
        <f>IF(AND(ISNUMBER(SEARCH("Espeto",N646)),ISNUMBER(SEARCH("Chac",N646))),"SIM","")</f>
        <v/>
      </c>
      <c r="T646" s="92">
        <f>IF(AND(ISNUMBER(SEARCH("Espeto",N646)),ISNUMBER(SEARCH("Madalena",N646))),"SIM","")</f>
        <v/>
      </c>
      <c r="U646" s="92">
        <f>IF(AND(ISNUMBER(SEARCH("Espeto",N646)),ISNUMBER(SEARCH("Mariana",N646))),"SIM","")</f>
        <v/>
      </c>
      <c r="V646" s="92">
        <f>IF(AND(ISNUMBER(SEARCH("Espeto",N646)),ISNUMBER(SEARCH("Perdizes",N646))),"SIM","")</f>
        <v/>
      </c>
      <c r="W646" s="92">
        <f>IF(AND(ISNUMBER(SEARCH("Espeto",N646)),ISNUMBER(SEARCH("Santana",N646))),"SIM","")</f>
        <v/>
      </c>
      <c r="X646" s="92">
        <f>IF(AND(ISNUMBER(SEARCH("Espeto",N646)),ISNUMBER(SEARCH("André",N646))),"SIM","")</f>
        <v/>
      </c>
      <c r="Y646" s="92">
        <f>IF(AND(ISNUMBER(SEARCH("Delivery",N646)),ISNUMBER(SEARCH("Carin",N646))),"SIM","")</f>
        <v/>
      </c>
      <c r="Z646" s="92">
        <f>IF(AND(ISNUMBER(SEARCH("Delivery",N646)),ISNUMBER(SEARCH("Lapa",N646))),"SIM","")</f>
        <v/>
      </c>
      <c r="AA646" s="92">
        <f>IF(AND(ISNUMBER(SEARCH("Delivery",N646)),ISNUMBER(SEARCH("Tatuapé",N646))),"SIM","")</f>
        <v/>
      </c>
      <c r="AB646" s="92">
        <f>IF(AND(ISNUMBER(SEARCH("Delivery",N646)),ISNUMBER(SEARCH("Pavão",N646))),"SIM","")</f>
        <v/>
      </c>
      <c r="AC646" s="92">
        <f>IF(AND(ISNUMBER(SEARCH("Delivery",N646)),ISNUMBER(SEARCH("Chac",N646))),"SIM","")</f>
        <v/>
      </c>
      <c r="AD646" s="92">
        <f>IF(AND(ISNUMBER(SEARCH("Delivery",N646)),ISNUMBER(SEARCH("Madalena",N646))),"SIM","")</f>
        <v/>
      </c>
      <c r="AE646" s="99">
        <f>IF(AND(ISNUMBER(SEARCH("Delivery",N646)),ISNUMBER(SEARCH("Mariana",N646))),"SIM","")</f>
        <v/>
      </c>
      <c r="AF646" s="99">
        <f>IF(AND(ISNUMBER(SEARCH("Delivery",N646)),ISNUMBER(SEARCH("Perdizes",N646))),"SIM","")</f>
        <v/>
      </c>
      <c r="AG646" s="99">
        <f>IF(AND(ISNUMBER(SEARCH("Delivery",N646)),ISNUMBER(SEARCH("Santana",N646))),"SIM","")</f>
        <v/>
      </c>
      <c r="AH646" s="99">
        <f>IF(AND(ISNUMBER(SEARCH("Delivery",N646)),ISNUMBER(SEARCH("André",N646))),"SIM","")</f>
        <v/>
      </c>
      <c r="AI646" s="99">
        <f>IF(ISNUMBER(SEARCH("Interlagos",N646)),"SIM","")</f>
        <v/>
      </c>
      <c r="AJ646" s="99">
        <f>IF(ISNUMBER(SEARCH("Quiosque",N646)),"SIM","")</f>
        <v/>
      </c>
      <c r="AK646" s="101" t="n"/>
    </row>
    <row r="647">
      <c r="A647" s="88" t="inlineStr">
        <is>
          <t>Protheus</t>
        </is>
      </c>
      <c r="B647" s="89" t="inlineStr">
        <is>
          <t>000828</t>
        </is>
      </c>
      <c r="C647" s="90">
        <f>IF(B647="—","—",IFERROR(VLOOKUP(B647,_Protheus_Cadastro!$A:$B,2,FALSE),"—"))</f>
        <v/>
      </c>
      <c r="D647" s="91">
        <f>IF(B647="—",IFERROR(INDEX(_ZIG_Cadastro!$D:$D,MATCH(H647,_ZIG_Cadastro!$A:$A,0)),"Produto"),IFERROR(VLOOKUP(B647,_Protheus_Cadastro!$A:$C,3,FALSE),"—"))</f>
        <v/>
      </c>
      <c r="E647" s="91">
        <f>IF(B647="—","—",IFERROR(VLOOKUP(B647,_Protheus_Cadastro!$A:$D,4,FALSE),"—"))</f>
        <v/>
      </c>
      <c r="F647" s="91">
        <f>IF(ISERROR(VLOOKUP(B647,'Estrutura Protheus'!A:A,1,FALSE)),"Não","Sim")</f>
        <v/>
      </c>
      <c r="G647" s="92">
        <f>IFERROR(INDEX(_Protheus_Cadastro!$H:$H,MATCH(B647,_Protheus_Cadastro!$A:$A,0)),"—")</f>
        <v/>
      </c>
      <c r="H647" s="210">
        <f>IFERROR(INDEX(_ZIG_Precos!$D:$D,MATCH(I647,_ZIG_Precos!$F:$F,0)),"—")</f>
        <v/>
      </c>
      <c r="I647" s="95">
        <f>IFERROR(VLOOKUP(B647,_Protheus_Cadastro!$A:$I,9,FALSE),"—")</f>
        <v/>
      </c>
      <c r="J647" s="93">
        <f>IFERROR(INDEX(_ZIG_Cadastro!$B:$B,MATCH(I647,_ZIG_Cadastro!$A:$A,0)),IFERROR(INDEX(_Entradas_ZIG!$B:$B,MATCH(I647,_Entradas_ZIG!$C:$C,0)),"—"))</f>
        <v/>
      </c>
      <c r="K647" s="93">
        <f>IFERROR(INDEX(_ZIG_Cadastro!$C:$C,MATCH(I647,_ZIG_Cadastro!$A:$A,0)),IFERROR(INDEX(_Entradas_ZIG!$D:$D,MATCH(I647,_Entradas_ZIG!$C:$C,0)),"—"))</f>
        <v/>
      </c>
      <c r="L647" s="92">
        <f>IF(I647="","Sem SKU ZIG",IF(I647="—","Sem SKU ZIG",IF(NOT(ISERROR(MATCH(I647,_ZIG_Cadastro!$A:$A,0))),IF(EXACT(UPPER(TRIM(C647)),UPPER(TRIM(INDEX(_ZIG_Cadastro!$B:$B,MATCH(I647,_ZIG_Cadastro!$A:$A,0))))),"OK","Atencao - Nome diverge"),IF(NOT(ISERROR(MATCH(I647,_Entradas_ZIG!$C:$C,0))),"OK","Erro - SKU nao encontrado"))))</f>
        <v/>
      </c>
      <c r="M647" s="92">
        <f>IFERROR(INDEX(_ZIG_Cadastro!$G:$G,MATCH(I647,_ZIG_Cadastro!$A:$A,0)),IF(NOT(ISERROR(MATCH(I647,_Entradas_ZIG!$C:$C,0))),"Ativo","—"))</f>
        <v/>
      </c>
      <c r="N647" s="94">
        <f>IFERROR(INDEX(_ZIG_Cadastro!$E:$E,MATCH(I647,_ZIG_Cadastro!$A:$A,0)),IFERROR(INDEX(_Entradas_ZIG!$F:$F,MATCH(I647,_Entradas_ZIG!$C:$C,0)),"—"))</f>
        <v/>
      </c>
      <c r="O647" s="92">
        <f>IF(AND(ISNUMBER(SEARCH("Espeto",N647)),ISNUMBER(SEARCH("Carin",N647))),"SIM","")</f>
        <v/>
      </c>
      <c r="P647" s="92">
        <f>IF(AND(ISNUMBER(SEARCH("Espeto",N647)),ISNUMBER(SEARCH("Lapa",N647))),"SIM","")</f>
        <v/>
      </c>
      <c r="Q647" s="92">
        <f>IF(AND(ISNUMBER(SEARCH("Espeto",N647)),ISNUMBER(SEARCH("Tatuapé",N647))),"SIM","")</f>
        <v/>
      </c>
      <c r="R647" s="92">
        <f>IF(AND(ISNUMBER(SEARCH("Espeto",N647)),ISNUMBER(SEARCH("Pavão",N647))),"SIM","")</f>
        <v/>
      </c>
      <c r="S647" s="92">
        <f>IF(AND(ISNUMBER(SEARCH("Espeto",N647)),ISNUMBER(SEARCH("Chac",N647))),"SIM","")</f>
        <v/>
      </c>
      <c r="T647" s="92">
        <f>IF(AND(ISNUMBER(SEARCH("Espeto",N647)),ISNUMBER(SEARCH("Madalena",N647))),"SIM","")</f>
        <v/>
      </c>
      <c r="U647" s="92">
        <f>IF(AND(ISNUMBER(SEARCH("Espeto",N647)),ISNUMBER(SEARCH("Mariana",N647))),"SIM","")</f>
        <v/>
      </c>
      <c r="V647" s="92">
        <f>IF(AND(ISNUMBER(SEARCH("Espeto",N647)),ISNUMBER(SEARCH("Perdizes",N647))),"SIM","")</f>
        <v/>
      </c>
      <c r="W647" s="92">
        <f>IF(AND(ISNUMBER(SEARCH("Espeto",N647)),ISNUMBER(SEARCH("Santana",N647))),"SIM","")</f>
        <v/>
      </c>
      <c r="X647" s="92">
        <f>IF(AND(ISNUMBER(SEARCH("Espeto",N647)),ISNUMBER(SEARCH("André",N647))),"SIM","")</f>
        <v/>
      </c>
      <c r="Y647" s="92">
        <f>IF(AND(ISNUMBER(SEARCH("Delivery",N647)),ISNUMBER(SEARCH("Carin",N647))),"SIM","")</f>
        <v/>
      </c>
      <c r="Z647" s="92">
        <f>IF(AND(ISNUMBER(SEARCH("Delivery",N647)),ISNUMBER(SEARCH("Lapa",N647))),"SIM","")</f>
        <v/>
      </c>
      <c r="AA647" s="92">
        <f>IF(AND(ISNUMBER(SEARCH("Delivery",N647)),ISNUMBER(SEARCH("Tatuapé",N647))),"SIM","")</f>
        <v/>
      </c>
      <c r="AB647" s="92">
        <f>IF(AND(ISNUMBER(SEARCH("Delivery",N647)),ISNUMBER(SEARCH("Pavão",N647))),"SIM","")</f>
        <v/>
      </c>
      <c r="AC647" s="92">
        <f>IF(AND(ISNUMBER(SEARCH("Delivery",N647)),ISNUMBER(SEARCH("Chac",N647))),"SIM","")</f>
        <v/>
      </c>
      <c r="AD647" s="92">
        <f>IF(AND(ISNUMBER(SEARCH("Delivery",N647)),ISNUMBER(SEARCH("Madalena",N647))),"SIM","")</f>
        <v/>
      </c>
      <c r="AE647" s="99">
        <f>IF(AND(ISNUMBER(SEARCH("Delivery",N647)),ISNUMBER(SEARCH("Mariana",N647))),"SIM","")</f>
        <v/>
      </c>
      <c r="AF647" s="99">
        <f>IF(AND(ISNUMBER(SEARCH("Delivery",N647)),ISNUMBER(SEARCH("Perdizes",N647))),"SIM","")</f>
        <v/>
      </c>
      <c r="AG647" s="99">
        <f>IF(AND(ISNUMBER(SEARCH("Delivery",N647)),ISNUMBER(SEARCH("Santana",N647))),"SIM","")</f>
        <v/>
      </c>
      <c r="AH647" s="99">
        <f>IF(AND(ISNUMBER(SEARCH("Delivery",N647)),ISNUMBER(SEARCH("André",N647))),"SIM","")</f>
        <v/>
      </c>
      <c r="AI647" s="99">
        <f>IF(ISNUMBER(SEARCH("Interlagos",N647)),"SIM","")</f>
        <v/>
      </c>
      <c r="AJ647" s="99">
        <f>IF(ISNUMBER(SEARCH("Quiosque",N647)),"SIM","")</f>
        <v/>
      </c>
      <c r="AK647" s="101" t="n"/>
    </row>
    <row r="648">
      <c r="A648" s="88" t="inlineStr">
        <is>
          <t>Protheus</t>
        </is>
      </c>
      <c r="B648" s="89" t="inlineStr">
        <is>
          <t>000832</t>
        </is>
      </c>
      <c r="C648" s="90">
        <f>IF(B648="—","—",IFERROR(VLOOKUP(B648,_Protheus_Cadastro!$A:$B,2,FALSE),"—"))</f>
        <v/>
      </c>
      <c r="D648" s="91">
        <f>IF(B648="—",IFERROR(INDEX(_ZIG_Cadastro!$D:$D,MATCH(H648,_ZIG_Cadastro!$A:$A,0)),"Produto"),IFERROR(VLOOKUP(B648,_Protheus_Cadastro!$A:$C,3,FALSE),"—"))</f>
        <v/>
      </c>
      <c r="E648" s="91">
        <f>IF(B648="—","—",IFERROR(VLOOKUP(B648,_Protheus_Cadastro!$A:$D,4,FALSE),"—"))</f>
        <v/>
      </c>
      <c r="F648" s="91">
        <f>IF(ISERROR(VLOOKUP(B648,'Estrutura Protheus'!A:A,1,FALSE)),"Não","Sim")</f>
        <v/>
      </c>
      <c r="G648" s="92">
        <f>IFERROR(INDEX(_Protheus_Cadastro!$H:$H,MATCH(B648,_Protheus_Cadastro!$A:$A,0)),"—")</f>
        <v/>
      </c>
      <c r="H648" s="210">
        <f>IFERROR(INDEX(_ZIG_Precos!$D:$D,MATCH(I648,_ZIG_Precos!$F:$F,0)),"—")</f>
        <v/>
      </c>
      <c r="I648" s="95">
        <f>IFERROR(VLOOKUP(B648,_Protheus_Cadastro!$A:$I,9,FALSE),"—")</f>
        <v/>
      </c>
      <c r="J648" s="93">
        <f>IFERROR(INDEX(_ZIG_Cadastro!$B:$B,MATCH(I648,_ZIG_Cadastro!$A:$A,0)),IFERROR(INDEX(_Entradas_ZIG!$B:$B,MATCH(I648,_Entradas_ZIG!$C:$C,0)),"—"))</f>
        <v/>
      </c>
      <c r="K648" s="93">
        <f>IFERROR(INDEX(_ZIG_Cadastro!$C:$C,MATCH(I648,_ZIG_Cadastro!$A:$A,0)),IFERROR(INDEX(_Entradas_ZIG!$D:$D,MATCH(I648,_Entradas_ZIG!$C:$C,0)),"—"))</f>
        <v/>
      </c>
      <c r="L648" s="92">
        <f>IF(I648="","Sem SKU ZIG",IF(I648="—","Sem SKU ZIG",IF(NOT(ISERROR(MATCH(I648,_ZIG_Cadastro!$A:$A,0))),IF(EXACT(UPPER(TRIM(C648)),UPPER(TRIM(INDEX(_ZIG_Cadastro!$B:$B,MATCH(I648,_ZIG_Cadastro!$A:$A,0))))),"OK","Atencao - Nome diverge"),IF(NOT(ISERROR(MATCH(I648,_Entradas_ZIG!$C:$C,0))),"OK","Erro - SKU nao encontrado"))))</f>
        <v/>
      </c>
      <c r="M648" s="92">
        <f>IFERROR(INDEX(_ZIG_Cadastro!$G:$G,MATCH(I648,_ZIG_Cadastro!$A:$A,0)),IF(NOT(ISERROR(MATCH(I648,_Entradas_ZIG!$C:$C,0))),"Ativo","—"))</f>
        <v/>
      </c>
      <c r="N648" s="94">
        <f>IFERROR(INDEX(_ZIG_Cadastro!$E:$E,MATCH(I648,_ZIG_Cadastro!$A:$A,0)),IFERROR(INDEX(_Entradas_ZIG!$F:$F,MATCH(I648,_Entradas_ZIG!$C:$C,0)),"—"))</f>
        <v/>
      </c>
      <c r="O648" s="92">
        <f>IF(AND(ISNUMBER(SEARCH("Espeto",N648)),ISNUMBER(SEARCH("Carin",N648))),"SIM","")</f>
        <v/>
      </c>
      <c r="P648" s="92">
        <f>IF(AND(ISNUMBER(SEARCH("Espeto",N648)),ISNUMBER(SEARCH("Lapa",N648))),"SIM","")</f>
        <v/>
      </c>
      <c r="Q648" s="92">
        <f>IF(AND(ISNUMBER(SEARCH("Espeto",N648)),ISNUMBER(SEARCH("Tatuapé",N648))),"SIM","")</f>
        <v/>
      </c>
      <c r="R648" s="92">
        <f>IF(AND(ISNUMBER(SEARCH("Espeto",N648)),ISNUMBER(SEARCH("Pavão",N648))),"SIM","")</f>
        <v/>
      </c>
      <c r="S648" s="92">
        <f>IF(AND(ISNUMBER(SEARCH("Espeto",N648)),ISNUMBER(SEARCH("Chac",N648))),"SIM","")</f>
        <v/>
      </c>
      <c r="T648" s="92">
        <f>IF(AND(ISNUMBER(SEARCH("Espeto",N648)),ISNUMBER(SEARCH("Madalena",N648))),"SIM","")</f>
        <v/>
      </c>
      <c r="U648" s="92">
        <f>IF(AND(ISNUMBER(SEARCH("Espeto",N648)),ISNUMBER(SEARCH("Mariana",N648))),"SIM","")</f>
        <v/>
      </c>
      <c r="V648" s="92">
        <f>IF(AND(ISNUMBER(SEARCH("Espeto",N648)),ISNUMBER(SEARCH("Perdizes",N648))),"SIM","")</f>
        <v/>
      </c>
      <c r="W648" s="92">
        <f>IF(AND(ISNUMBER(SEARCH("Espeto",N648)),ISNUMBER(SEARCH("Santana",N648))),"SIM","")</f>
        <v/>
      </c>
      <c r="X648" s="92">
        <f>IF(AND(ISNUMBER(SEARCH("Espeto",N648)),ISNUMBER(SEARCH("André",N648))),"SIM","")</f>
        <v/>
      </c>
      <c r="Y648" s="92">
        <f>IF(AND(ISNUMBER(SEARCH("Delivery",N648)),ISNUMBER(SEARCH("Carin",N648))),"SIM","")</f>
        <v/>
      </c>
      <c r="Z648" s="92">
        <f>IF(AND(ISNUMBER(SEARCH("Delivery",N648)),ISNUMBER(SEARCH("Lapa",N648))),"SIM","")</f>
        <v/>
      </c>
      <c r="AA648" s="92">
        <f>IF(AND(ISNUMBER(SEARCH("Delivery",N648)),ISNUMBER(SEARCH("Tatuapé",N648))),"SIM","")</f>
        <v/>
      </c>
      <c r="AB648" s="92">
        <f>IF(AND(ISNUMBER(SEARCH("Delivery",N648)),ISNUMBER(SEARCH("Pavão",N648))),"SIM","")</f>
        <v/>
      </c>
      <c r="AC648" s="92">
        <f>IF(AND(ISNUMBER(SEARCH("Delivery",N648)),ISNUMBER(SEARCH("Chac",N648))),"SIM","")</f>
        <v/>
      </c>
      <c r="AD648" s="92">
        <f>IF(AND(ISNUMBER(SEARCH("Delivery",N648)),ISNUMBER(SEARCH("Madalena",N648))),"SIM","")</f>
        <v/>
      </c>
      <c r="AE648" s="99">
        <f>IF(AND(ISNUMBER(SEARCH("Delivery",N648)),ISNUMBER(SEARCH("Mariana",N648))),"SIM","")</f>
        <v/>
      </c>
      <c r="AF648" s="99">
        <f>IF(AND(ISNUMBER(SEARCH("Delivery",N648)),ISNUMBER(SEARCH("Perdizes",N648))),"SIM","")</f>
        <v/>
      </c>
      <c r="AG648" s="99">
        <f>IF(AND(ISNUMBER(SEARCH("Delivery",N648)),ISNUMBER(SEARCH("Santana",N648))),"SIM","")</f>
        <v/>
      </c>
      <c r="AH648" s="99">
        <f>IF(AND(ISNUMBER(SEARCH("Delivery",N648)),ISNUMBER(SEARCH("André",N648))),"SIM","")</f>
        <v/>
      </c>
      <c r="AI648" s="99">
        <f>IF(ISNUMBER(SEARCH("Interlagos",N648)),"SIM","")</f>
        <v/>
      </c>
      <c r="AJ648" s="99">
        <f>IF(ISNUMBER(SEARCH("Quiosque",N648)),"SIM","")</f>
        <v/>
      </c>
      <c r="AK648" s="101" t="n"/>
    </row>
    <row r="649">
      <c r="A649" s="88" t="inlineStr">
        <is>
          <t>Protheus</t>
        </is>
      </c>
      <c r="B649" s="89" t="inlineStr">
        <is>
          <t>000833</t>
        </is>
      </c>
      <c r="C649" s="90">
        <f>IF(B649="—","—",IFERROR(VLOOKUP(B649,_Protheus_Cadastro!$A:$B,2,FALSE),"—"))</f>
        <v/>
      </c>
      <c r="D649" s="91">
        <f>IF(B649="—",IFERROR(INDEX(_ZIG_Cadastro!$D:$D,MATCH(H649,_ZIG_Cadastro!$A:$A,0)),"Produto"),IFERROR(VLOOKUP(B649,_Protheus_Cadastro!$A:$C,3,FALSE),"—"))</f>
        <v/>
      </c>
      <c r="E649" s="91">
        <f>IF(B649="—","—",IFERROR(VLOOKUP(B649,_Protheus_Cadastro!$A:$D,4,FALSE),"—"))</f>
        <v/>
      </c>
      <c r="F649" s="91">
        <f>IF(ISERROR(VLOOKUP(B649,'Estrutura Protheus'!A:A,1,FALSE)),"Não","Sim")</f>
        <v/>
      </c>
      <c r="G649" s="92">
        <f>IFERROR(INDEX(_Protheus_Cadastro!$H:$H,MATCH(B649,_Protheus_Cadastro!$A:$A,0)),"—")</f>
        <v/>
      </c>
      <c r="H649" s="210">
        <f>IFERROR(INDEX(_ZIG_Precos!$D:$D,MATCH(I649,_ZIG_Precos!$F:$F,0)),"—")</f>
        <v/>
      </c>
      <c r="I649" s="95">
        <f>IFERROR(VLOOKUP(B649,_Protheus_Cadastro!$A:$I,9,FALSE),"—")</f>
        <v/>
      </c>
      <c r="J649" s="93">
        <f>IFERROR(INDEX(_ZIG_Cadastro!$B:$B,MATCH(I649,_ZIG_Cadastro!$A:$A,0)),IFERROR(INDEX(_Entradas_ZIG!$B:$B,MATCH(I649,_Entradas_ZIG!$C:$C,0)),"—"))</f>
        <v/>
      </c>
      <c r="K649" s="93">
        <f>IFERROR(INDEX(_ZIG_Cadastro!$C:$C,MATCH(I649,_ZIG_Cadastro!$A:$A,0)),IFERROR(INDEX(_Entradas_ZIG!$D:$D,MATCH(I649,_Entradas_ZIG!$C:$C,0)),"—"))</f>
        <v/>
      </c>
      <c r="L649" s="92">
        <f>IF(I649="","Sem SKU ZIG",IF(I649="—","Sem SKU ZIG",IF(NOT(ISERROR(MATCH(I649,_ZIG_Cadastro!$A:$A,0))),IF(EXACT(UPPER(TRIM(C649)),UPPER(TRIM(INDEX(_ZIG_Cadastro!$B:$B,MATCH(I649,_ZIG_Cadastro!$A:$A,0))))),"OK","Atencao - Nome diverge"),IF(NOT(ISERROR(MATCH(I649,_Entradas_ZIG!$C:$C,0))),"OK","Erro - SKU nao encontrado"))))</f>
        <v/>
      </c>
      <c r="M649" s="92">
        <f>IFERROR(INDEX(_ZIG_Cadastro!$G:$G,MATCH(I649,_ZIG_Cadastro!$A:$A,0)),IF(NOT(ISERROR(MATCH(I649,_Entradas_ZIG!$C:$C,0))),"Ativo","—"))</f>
        <v/>
      </c>
      <c r="N649" s="94">
        <f>IFERROR(INDEX(_ZIG_Cadastro!$E:$E,MATCH(I649,_ZIG_Cadastro!$A:$A,0)),IFERROR(INDEX(_Entradas_ZIG!$F:$F,MATCH(I649,_Entradas_ZIG!$C:$C,0)),"—"))</f>
        <v/>
      </c>
      <c r="O649" s="92">
        <f>IF(AND(ISNUMBER(SEARCH("Espeto",N649)),ISNUMBER(SEARCH("Carin",N649))),"SIM","")</f>
        <v/>
      </c>
      <c r="P649" s="92">
        <f>IF(AND(ISNUMBER(SEARCH("Espeto",N649)),ISNUMBER(SEARCH("Lapa",N649))),"SIM","")</f>
        <v/>
      </c>
      <c r="Q649" s="92">
        <f>IF(AND(ISNUMBER(SEARCH("Espeto",N649)),ISNUMBER(SEARCH("Tatuapé",N649))),"SIM","")</f>
        <v/>
      </c>
      <c r="R649" s="92">
        <f>IF(AND(ISNUMBER(SEARCH("Espeto",N649)),ISNUMBER(SEARCH("Pavão",N649))),"SIM","")</f>
        <v/>
      </c>
      <c r="S649" s="92">
        <f>IF(AND(ISNUMBER(SEARCH("Espeto",N649)),ISNUMBER(SEARCH("Chac",N649))),"SIM","")</f>
        <v/>
      </c>
      <c r="T649" s="92">
        <f>IF(AND(ISNUMBER(SEARCH("Espeto",N649)),ISNUMBER(SEARCH("Madalena",N649))),"SIM","")</f>
        <v/>
      </c>
      <c r="U649" s="92">
        <f>IF(AND(ISNUMBER(SEARCH("Espeto",N649)),ISNUMBER(SEARCH("Mariana",N649))),"SIM","")</f>
        <v/>
      </c>
      <c r="V649" s="92">
        <f>IF(AND(ISNUMBER(SEARCH("Espeto",N649)),ISNUMBER(SEARCH("Perdizes",N649))),"SIM","")</f>
        <v/>
      </c>
      <c r="W649" s="92">
        <f>IF(AND(ISNUMBER(SEARCH("Espeto",N649)),ISNUMBER(SEARCH("Santana",N649))),"SIM","")</f>
        <v/>
      </c>
      <c r="X649" s="92">
        <f>IF(AND(ISNUMBER(SEARCH("Espeto",N649)),ISNUMBER(SEARCH("André",N649))),"SIM","")</f>
        <v/>
      </c>
      <c r="Y649" s="92">
        <f>IF(AND(ISNUMBER(SEARCH("Delivery",N649)),ISNUMBER(SEARCH("Carin",N649))),"SIM","")</f>
        <v/>
      </c>
      <c r="Z649" s="92">
        <f>IF(AND(ISNUMBER(SEARCH("Delivery",N649)),ISNUMBER(SEARCH("Lapa",N649))),"SIM","")</f>
        <v/>
      </c>
      <c r="AA649" s="92">
        <f>IF(AND(ISNUMBER(SEARCH("Delivery",N649)),ISNUMBER(SEARCH("Tatuapé",N649))),"SIM","")</f>
        <v/>
      </c>
      <c r="AB649" s="92">
        <f>IF(AND(ISNUMBER(SEARCH("Delivery",N649)),ISNUMBER(SEARCH("Pavão",N649))),"SIM","")</f>
        <v/>
      </c>
      <c r="AC649" s="92">
        <f>IF(AND(ISNUMBER(SEARCH("Delivery",N649)),ISNUMBER(SEARCH("Chac",N649))),"SIM","")</f>
        <v/>
      </c>
      <c r="AD649" s="92">
        <f>IF(AND(ISNUMBER(SEARCH("Delivery",N649)),ISNUMBER(SEARCH("Madalena",N649))),"SIM","")</f>
        <v/>
      </c>
      <c r="AE649" s="99">
        <f>IF(AND(ISNUMBER(SEARCH("Delivery",N649)),ISNUMBER(SEARCH("Mariana",N649))),"SIM","")</f>
        <v/>
      </c>
      <c r="AF649" s="99">
        <f>IF(AND(ISNUMBER(SEARCH("Delivery",N649)),ISNUMBER(SEARCH("Perdizes",N649))),"SIM","")</f>
        <v/>
      </c>
      <c r="AG649" s="99">
        <f>IF(AND(ISNUMBER(SEARCH("Delivery",N649)),ISNUMBER(SEARCH("Santana",N649))),"SIM","")</f>
        <v/>
      </c>
      <c r="AH649" s="99">
        <f>IF(AND(ISNUMBER(SEARCH("Delivery",N649)),ISNUMBER(SEARCH("André",N649))),"SIM","")</f>
        <v/>
      </c>
      <c r="AI649" s="99">
        <f>IF(ISNUMBER(SEARCH("Interlagos",N649)),"SIM","")</f>
        <v/>
      </c>
      <c r="AJ649" s="99">
        <f>IF(ISNUMBER(SEARCH("Quiosque",N649)),"SIM","")</f>
        <v/>
      </c>
      <c r="AK649" s="101" t="n"/>
    </row>
    <row r="650">
      <c r="A650" s="88" t="inlineStr">
        <is>
          <t>Protheus</t>
        </is>
      </c>
      <c r="B650" s="89" t="inlineStr">
        <is>
          <t>000834</t>
        </is>
      </c>
      <c r="C650" s="90">
        <f>IF(B650="—","—",IFERROR(VLOOKUP(B650,_Protheus_Cadastro!$A:$B,2,FALSE),"—"))</f>
        <v/>
      </c>
      <c r="D650" s="91">
        <f>IF(B650="—",IFERROR(INDEX(_ZIG_Cadastro!$D:$D,MATCH(H650,_ZIG_Cadastro!$A:$A,0)),"Produto"),IFERROR(VLOOKUP(B650,_Protheus_Cadastro!$A:$C,3,FALSE),"—"))</f>
        <v/>
      </c>
      <c r="E650" s="91">
        <f>IF(B650="—","—",IFERROR(VLOOKUP(B650,_Protheus_Cadastro!$A:$D,4,FALSE),"—"))</f>
        <v/>
      </c>
      <c r="F650" s="91">
        <f>IF(ISERROR(VLOOKUP(B650,'Estrutura Protheus'!A:A,1,FALSE)),"Não","Sim")</f>
        <v/>
      </c>
      <c r="G650" s="92">
        <f>IFERROR(INDEX(_Protheus_Cadastro!$H:$H,MATCH(B650,_Protheus_Cadastro!$A:$A,0)),"—")</f>
        <v/>
      </c>
      <c r="H650" s="210">
        <f>IFERROR(INDEX(_ZIG_Precos!$D:$D,MATCH(I650,_ZIG_Precos!$F:$F,0)),"—")</f>
        <v/>
      </c>
      <c r="I650" s="95">
        <f>IFERROR(VLOOKUP(B650,_Protheus_Cadastro!$A:$I,9,FALSE),"—")</f>
        <v/>
      </c>
      <c r="J650" s="93">
        <f>IFERROR(INDEX(_ZIG_Cadastro!$B:$B,MATCH(I650,_ZIG_Cadastro!$A:$A,0)),IFERROR(INDEX(_Entradas_ZIG!$B:$B,MATCH(I650,_Entradas_ZIG!$C:$C,0)),"—"))</f>
        <v/>
      </c>
      <c r="K650" s="93">
        <f>IFERROR(INDEX(_ZIG_Cadastro!$C:$C,MATCH(I650,_ZIG_Cadastro!$A:$A,0)),IFERROR(INDEX(_Entradas_ZIG!$D:$D,MATCH(I650,_Entradas_ZIG!$C:$C,0)),"—"))</f>
        <v/>
      </c>
      <c r="L650" s="92">
        <f>IF(I650="","Sem SKU ZIG",IF(I650="—","Sem SKU ZIG",IF(NOT(ISERROR(MATCH(I650,_ZIG_Cadastro!$A:$A,0))),IF(EXACT(UPPER(TRIM(C650)),UPPER(TRIM(INDEX(_ZIG_Cadastro!$B:$B,MATCH(I650,_ZIG_Cadastro!$A:$A,0))))),"OK","Atencao - Nome diverge"),IF(NOT(ISERROR(MATCH(I650,_Entradas_ZIG!$C:$C,0))),"OK","Erro - SKU nao encontrado"))))</f>
        <v/>
      </c>
      <c r="M650" s="92">
        <f>IFERROR(INDEX(_ZIG_Cadastro!$G:$G,MATCH(I650,_ZIG_Cadastro!$A:$A,0)),IF(NOT(ISERROR(MATCH(I650,_Entradas_ZIG!$C:$C,0))),"Ativo","—"))</f>
        <v/>
      </c>
      <c r="N650" s="94">
        <f>IFERROR(INDEX(_ZIG_Cadastro!$E:$E,MATCH(I650,_ZIG_Cadastro!$A:$A,0)),IFERROR(INDEX(_Entradas_ZIG!$F:$F,MATCH(I650,_Entradas_ZIG!$C:$C,0)),"—"))</f>
        <v/>
      </c>
      <c r="O650" s="92">
        <f>IF(AND(ISNUMBER(SEARCH("Espeto",N650)),ISNUMBER(SEARCH("Carin",N650))),"SIM","")</f>
        <v/>
      </c>
      <c r="P650" s="92">
        <f>IF(AND(ISNUMBER(SEARCH("Espeto",N650)),ISNUMBER(SEARCH("Lapa",N650))),"SIM","")</f>
        <v/>
      </c>
      <c r="Q650" s="92">
        <f>IF(AND(ISNUMBER(SEARCH("Espeto",N650)),ISNUMBER(SEARCH("Tatuapé",N650))),"SIM","")</f>
        <v/>
      </c>
      <c r="R650" s="92">
        <f>IF(AND(ISNUMBER(SEARCH("Espeto",N650)),ISNUMBER(SEARCH("Pavão",N650))),"SIM","")</f>
        <v/>
      </c>
      <c r="S650" s="92">
        <f>IF(AND(ISNUMBER(SEARCH("Espeto",N650)),ISNUMBER(SEARCH("Chac",N650))),"SIM","")</f>
        <v/>
      </c>
      <c r="T650" s="92">
        <f>IF(AND(ISNUMBER(SEARCH("Espeto",N650)),ISNUMBER(SEARCH("Madalena",N650))),"SIM","")</f>
        <v/>
      </c>
      <c r="U650" s="92">
        <f>IF(AND(ISNUMBER(SEARCH("Espeto",N650)),ISNUMBER(SEARCH("Mariana",N650))),"SIM","")</f>
        <v/>
      </c>
      <c r="V650" s="92">
        <f>IF(AND(ISNUMBER(SEARCH("Espeto",N650)),ISNUMBER(SEARCH("Perdizes",N650))),"SIM","")</f>
        <v/>
      </c>
      <c r="W650" s="92">
        <f>IF(AND(ISNUMBER(SEARCH("Espeto",N650)),ISNUMBER(SEARCH("Santana",N650))),"SIM","")</f>
        <v/>
      </c>
      <c r="X650" s="92">
        <f>IF(AND(ISNUMBER(SEARCH("Espeto",N650)),ISNUMBER(SEARCH("André",N650))),"SIM","")</f>
        <v/>
      </c>
      <c r="Y650" s="92">
        <f>IF(AND(ISNUMBER(SEARCH("Delivery",N650)),ISNUMBER(SEARCH("Carin",N650))),"SIM","")</f>
        <v/>
      </c>
      <c r="Z650" s="92">
        <f>IF(AND(ISNUMBER(SEARCH("Delivery",N650)),ISNUMBER(SEARCH("Lapa",N650))),"SIM","")</f>
        <v/>
      </c>
      <c r="AA650" s="92">
        <f>IF(AND(ISNUMBER(SEARCH("Delivery",N650)),ISNUMBER(SEARCH("Tatuapé",N650))),"SIM","")</f>
        <v/>
      </c>
      <c r="AB650" s="92">
        <f>IF(AND(ISNUMBER(SEARCH("Delivery",N650)),ISNUMBER(SEARCH("Pavão",N650))),"SIM","")</f>
        <v/>
      </c>
      <c r="AC650" s="92">
        <f>IF(AND(ISNUMBER(SEARCH("Delivery",N650)),ISNUMBER(SEARCH("Chac",N650))),"SIM","")</f>
        <v/>
      </c>
      <c r="AD650" s="92">
        <f>IF(AND(ISNUMBER(SEARCH("Delivery",N650)),ISNUMBER(SEARCH("Madalena",N650))),"SIM","")</f>
        <v/>
      </c>
      <c r="AE650" s="99">
        <f>IF(AND(ISNUMBER(SEARCH("Delivery",N650)),ISNUMBER(SEARCH("Mariana",N650))),"SIM","")</f>
        <v/>
      </c>
      <c r="AF650" s="99">
        <f>IF(AND(ISNUMBER(SEARCH("Delivery",N650)),ISNUMBER(SEARCH("Perdizes",N650))),"SIM","")</f>
        <v/>
      </c>
      <c r="AG650" s="99">
        <f>IF(AND(ISNUMBER(SEARCH("Delivery",N650)),ISNUMBER(SEARCH("Santana",N650))),"SIM","")</f>
        <v/>
      </c>
      <c r="AH650" s="99">
        <f>IF(AND(ISNUMBER(SEARCH("Delivery",N650)),ISNUMBER(SEARCH("André",N650))),"SIM","")</f>
        <v/>
      </c>
      <c r="AI650" s="99">
        <f>IF(ISNUMBER(SEARCH("Interlagos",N650)),"SIM","")</f>
        <v/>
      </c>
      <c r="AJ650" s="99">
        <f>IF(ISNUMBER(SEARCH("Quiosque",N650)),"SIM","")</f>
        <v/>
      </c>
      <c r="AK650" s="101" t="n"/>
    </row>
    <row r="651">
      <c r="A651" s="88" t="inlineStr">
        <is>
          <t>Protheus</t>
        </is>
      </c>
      <c r="B651" s="89" t="inlineStr">
        <is>
          <t>000835</t>
        </is>
      </c>
      <c r="C651" s="90">
        <f>IF(B651="—","—",IFERROR(VLOOKUP(B651,_Protheus_Cadastro!$A:$B,2,FALSE),"—"))</f>
        <v/>
      </c>
      <c r="D651" s="91">
        <f>IF(B651="—",IFERROR(INDEX(_ZIG_Cadastro!$D:$D,MATCH(H651,_ZIG_Cadastro!$A:$A,0)),"Produto"),IFERROR(VLOOKUP(B651,_Protheus_Cadastro!$A:$C,3,FALSE),"—"))</f>
        <v/>
      </c>
      <c r="E651" s="91">
        <f>IF(B651="—","—",IFERROR(VLOOKUP(B651,_Protheus_Cadastro!$A:$D,4,FALSE),"—"))</f>
        <v/>
      </c>
      <c r="F651" s="91">
        <f>IF(ISERROR(VLOOKUP(B651,'Estrutura Protheus'!A:A,1,FALSE)),"Não","Sim")</f>
        <v/>
      </c>
      <c r="G651" s="92">
        <f>IFERROR(INDEX(_Protheus_Cadastro!$H:$H,MATCH(B651,_Protheus_Cadastro!$A:$A,0)),"—")</f>
        <v/>
      </c>
      <c r="H651" s="210">
        <f>IFERROR(INDEX(_ZIG_Precos!$D:$D,MATCH(I651,_ZIG_Precos!$F:$F,0)),"—")</f>
        <v/>
      </c>
      <c r="I651" s="95">
        <f>IFERROR(VLOOKUP(B651,_Protheus_Cadastro!$A:$I,9,FALSE),"—")</f>
        <v/>
      </c>
      <c r="J651" s="93">
        <f>IFERROR(INDEX(_ZIG_Cadastro!$B:$B,MATCH(I651,_ZIG_Cadastro!$A:$A,0)),IFERROR(INDEX(_Entradas_ZIG!$B:$B,MATCH(I651,_Entradas_ZIG!$C:$C,0)),"—"))</f>
        <v/>
      </c>
      <c r="K651" s="93">
        <f>IFERROR(INDEX(_ZIG_Cadastro!$C:$C,MATCH(I651,_ZIG_Cadastro!$A:$A,0)),IFERROR(INDEX(_Entradas_ZIG!$D:$D,MATCH(I651,_Entradas_ZIG!$C:$C,0)),"—"))</f>
        <v/>
      </c>
      <c r="L651" s="92">
        <f>IF(I651="","Sem SKU ZIG",IF(I651="—","Sem SKU ZIG",IF(NOT(ISERROR(MATCH(I651,_ZIG_Cadastro!$A:$A,0))),IF(EXACT(UPPER(TRIM(C651)),UPPER(TRIM(INDEX(_ZIG_Cadastro!$B:$B,MATCH(I651,_ZIG_Cadastro!$A:$A,0))))),"OK","Atencao - Nome diverge"),IF(NOT(ISERROR(MATCH(I651,_Entradas_ZIG!$C:$C,0))),"OK","Erro - SKU nao encontrado"))))</f>
        <v/>
      </c>
      <c r="M651" s="92">
        <f>IFERROR(INDEX(_ZIG_Cadastro!$G:$G,MATCH(I651,_ZIG_Cadastro!$A:$A,0)),IF(NOT(ISERROR(MATCH(I651,_Entradas_ZIG!$C:$C,0))),"Ativo","—"))</f>
        <v/>
      </c>
      <c r="N651" s="94">
        <f>IFERROR(INDEX(_ZIG_Cadastro!$E:$E,MATCH(I651,_ZIG_Cadastro!$A:$A,0)),IFERROR(INDEX(_Entradas_ZIG!$F:$F,MATCH(I651,_Entradas_ZIG!$C:$C,0)),"—"))</f>
        <v/>
      </c>
      <c r="O651" s="92">
        <f>IF(AND(ISNUMBER(SEARCH("Espeto",N651)),ISNUMBER(SEARCH("Carin",N651))),"SIM","")</f>
        <v/>
      </c>
      <c r="P651" s="92">
        <f>IF(AND(ISNUMBER(SEARCH("Espeto",N651)),ISNUMBER(SEARCH("Lapa",N651))),"SIM","")</f>
        <v/>
      </c>
      <c r="Q651" s="92">
        <f>IF(AND(ISNUMBER(SEARCH("Espeto",N651)),ISNUMBER(SEARCH("Tatuapé",N651))),"SIM","")</f>
        <v/>
      </c>
      <c r="R651" s="92">
        <f>IF(AND(ISNUMBER(SEARCH("Espeto",N651)),ISNUMBER(SEARCH("Pavão",N651))),"SIM","")</f>
        <v/>
      </c>
      <c r="S651" s="92">
        <f>IF(AND(ISNUMBER(SEARCH("Espeto",N651)),ISNUMBER(SEARCH("Chac",N651))),"SIM","")</f>
        <v/>
      </c>
      <c r="T651" s="92">
        <f>IF(AND(ISNUMBER(SEARCH("Espeto",N651)),ISNUMBER(SEARCH("Madalena",N651))),"SIM","")</f>
        <v/>
      </c>
      <c r="U651" s="92">
        <f>IF(AND(ISNUMBER(SEARCH("Espeto",N651)),ISNUMBER(SEARCH("Mariana",N651))),"SIM","")</f>
        <v/>
      </c>
      <c r="V651" s="92">
        <f>IF(AND(ISNUMBER(SEARCH("Espeto",N651)),ISNUMBER(SEARCH("Perdizes",N651))),"SIM","")</f>
        <v/>
      </c>
      <c r="W651" s="92">
        <f>IF(AND(ISNUMBER(SEARCH("Espeto",N651)),ISNUMBER(SEARCH("Santana",N651))),"SIM","")</f>
        <v/>
      </c>
      <c r="X651" s="92">
        <f>IF(AND(ISNUMBER(SEARCH("Espeto",N651)),ISNUMBER(SEARCH("André",N651))),"SIM","")</f>
        <v/>
      </c>
      <c r="Y651" s="92">
        <f>IF(AND(ISNUMBER(SEARCH("Delivery",N651)),ISNUMBER(SEARCH("Carin",N651))),"SIM","")</f>
        <v/>
      </c>
      <c r="Z651" s="92">
        <f>IF(AND(ISNUMBER(SEARCH("Delivery",N651)),ISNUMBER(SEARCH("Lapa",N651))),"SIM","")</f>
        <v/>
      </c>
      <c r="AA651" s="92">
        <f>IF(AND(ISNUMBER(SEARCH("Delivery",N651)),ISNUMBER(SEARCH("Tatuapé",N651))),"SIM","")</f>
        <v/>
      </c>
      <c r="AB651" s="92">
        <f>IF(AND(ISNUMBER(SEARCH("Delivery",N651)),ISNUMBER(SEARCH("Pavão",N651))),"SIM","")</f>
        <v/>
      </c>
      <c r="AC651" s="92">
        <f>IF(AND(ISNUMBER(SEARCH("Delivery",N651)),ISNUMBER(SEARCH("Chac",N651))),"SIM","")</f>
        <v/>
      </c>
      <c r="AD651" s="92">
        <f>IF(AND(ISNUMBER(SEARCH("Delivery",N651)),ISNUMBER(SEARCH("Madalena",N651))),"SIM","")</f>
        <v/>
      </c>
      <c r="AE651" s="99">
        <f>IF(AND(ISNUMBER(SEARCH("Delivery",N651)),ISNUMBER(SEARCH("Mariana",N651))),"SIM","")</f>
        <v/>
      </c>
      <c r="AF651" s="99">
        <f>IF(AND(ISNUMBER(SEARCH("Delivery",N651)),ISNUMBER(SEARCH("Perdizes",N651))),"SIM","")</f>
        <v/>
      </c>
      <c r="AG651" s="99">
        <f>IF(AND(ISNUMBER(SEARCH("Delivery",N651)),ISNUMBER(SEARCH("Santana",N651))),"SIM","")</f>
        <v/>
      </c>
      <c r="AH651" s="99">
        <f>IF(AND(ISNUMBER(SEARCH("Delivery",N651)),ISNUMBER(SEARCH("André",N651))),"SIM","")</f>
        <v/>
      </c>
      <c r="AI651" s="99">
        <f>IF(ISNUMBER(SEARCH("Interlagos",N651)),"SIM","")</f>
        <v/>
      </c>
      <c r="AJ651" s="99">
        <f>IF(ISNUMBER(SEARCH("Quiosque",N651)),"SIM","")</f>
        <v/>
      </c>
      <c r="AK651" s="101" t="n"/>
    </row>
    <row r="652">
      <c r="A652" s="88" t="inlineStr">
        <is>
          <t>Protheus</t>
        </is>
      </c>
      <c r="B652" s="89" t="inlineStr">
        <is>
          <t>000836</t>
        </is>
      </c>
      <c r="C652" s="90">
        <f>IF(B652="—","—",IFERROR(VLOOKUP(B652,_Protheus_Cadastro!$A:$B,2,FALSE),"—"))</f>
        <v/>
      </c>
      <c r="D652" s="91">
        <f>IF(B652="—",IFERROR(INDEX(_ZIG_Cadastro!$D:$D,MATCH(H652,_ZIG_Cadastro!$A:$A,0)),"Produto"),IFERROR(VLOOKUP(B652,_Protheus_Cadastro!$A:$C,3,FALSE),"—"))</f>
        <v/>
      </c>
      <c r="E652" s="91">
        <f>IF(B652="—","—",IFERROR(VLOOKUP(B652,_Protheus_Cadastro!$A:$D,4,FALSE),"—"))</f>
        <v/>
      </c>
      <c r="F652" s="91">
        <f>IF(ISERROR(VLOOKUP(B652,'Estrutura Protheus'!A:A,1,FALSE)),"Não","Sim")</f>
        <v/>
      </c>
      <c r="G652" s="92">
        <f>IFERROR(INDEX(_Protheus_Cadastro!$H:$H,MATCH(B652,_Protheus_Cadastro!$A:$A,0)),"—")</f>
        <v/>
      </c>
      <c r="H652" s="210">
        <f>IFERROR(INDEX(_ZIG_Precos!$D:$D,MATCH(I652,_ZIG_Precos!$F:$F,0)),"—")</f>
        <v/>
      </c>
      <c r="I652" s="95">
        <f>IFERROR(VLOOKUP(B652,_Protheus_Cadastro!$A:$I,9,FALSE),"—")</f>
        <v/>
      </c>
      <c r="J652" s="93">
        <f>IFERROR(INDEX(_ZIG_Cadastro!$B:$B,MATCH(I652,_ZIG_Cadastro!$A:$A,0)),IFERROR(INDEX(_Entradas_ZIG!$B:$B,MATCH(I652,_Entradas_ZIG!$C:$C,0)),"—"))</f>
        <v/>
      </c>
      <c r="K652" s="93">
        <f>IFERROR(INDEX(_ZIG_Cadastro!$C:$C,MATCH(I652,_ZIG_Cadastro!$A:$A,0)),IFERROR(INDEX(_Entradas_ZIG!$D:$D,MATCH(I652,_Entradas_ZIG!$C:$C,0)),"—"))</f>
        <v/>
      </c>
      <c r="L652" s="92">
        <f>IF(I652="","Sem SKU ZIG",IF(I652="—","Sem SKU ZIG",IF(NOT(ISERROR(MATCH(I652,_ZIG_Cadastro!$A:$A,0))),IF(EXACT(UPPER(TRIM(C652)),UPPER(TRIM(INDEX(_ZIG_Cadastro!$B:$B,MATCH(I652,_ZIG_Cadastro!$A:$A,0))))),"OK","Atencao - Nome diverge"),IF(NOT(ISERROR(MATCH(I652,_Entradas_ZIG!$C:$C,0))),"OK","Erro - SKU nao encontrado"))))</f>
        <v/>
      </c>
      <c r="M652" s="92">
        <f>IFERROR(INDEX(_ZIG_Cadastro!$G:$G,MATCH(I652,_ZIG_Cadastro!$A:$A,0)),IF(NOT(ISERROR(MATCH(I652,_Entradas_ZIG!$C:$C,0))),"Ativo","—"))</f>
        <v/>
      </c>
      <c r="N652" s="94">
        <f>IFERROR(INDEX(_ZIG_Cadastro!$E:$E,MATCH(I652,_ZIG_Cadastro!$A:$A,0)),IFERROR(INDEX(_Entradas_ZIG!$F:$F,MATCH(I652,_Entradas_ZIG!$C:$C,0)),"—"))</f>
        <v/>
      </c>
      <c r="O652" s="92">
        <f>IF(AND(ISNUMBER(SEARCH("Espeto",N652)),ISNUMBER(SEARCH("Carin",N652))),"SIM","")</f>
        <v/>
      </c>
      <c r="P652" s="92">
        <f>IF(AND(ISNUMBER(SEARCH("Espeto",N652)),ISNUMBER(SEARCH("Lapa",N652))),"SIM","")</f>
        <v/>
      </c>
      <c r="Q652" s="92">
        <f>IF(AND(ISNUMBER(SEARCH("Espeto",N652)),ISNUMBER(SEARCH("Tatuapé",N652))),"SIM","")</f>
        <v/>
      </c>
      <c r="R652" s="92">
        <f>IF(AND(ISNUMBER(SEARCH("Espeto",N652)),ISNUMBER(SEARCH("Pavão",N652))),"SIM","")</f>
        <v/>
      </c>
      <c r="S652" s="92">
        <f>IF(AND(ISNUMBER(SEARCH("Espeto",N652)),ISNUMBER(SEARCH("Chac",N652))),"SIM","")</f>
        <v/>
      </c>
      <c r="T652" s="92">
        <f>IF(AND(ISNUMBER(SEARCH("Espeto",N652)),ISNUMBER(SEARCH("Madalena",N652))),"SIM","")</f>
        <v/>
      </c>
      <c r="U652" s="92">
        <f>IF(AND(ISNUMBER(SEARCH("Espeto",N652)),ISNUMBER(SEARCH("Mariana",N652))),"SIM","")</f>
        <v/>
      </c>
      <c r="V652" s="92">
        <f>IF(AND(ISNUMBER(SEARCH("Espeto",N652)),ISNUMBER(SEARCH("Perdizes",N652))),"SIM","")</f>
        <v/>
      </c>
      <c r="W652" s="92">
        <f>IF(AND(ISNUMBER(SEARCH("Espeto",N652)),ISNUMBER(SEARCH("Santana",N652))),"SIM","")</f>
        <v/>
      </c>
      <c r="X652" s="92">
        <f>IF(AND(ISNUMBER(SEARCH("Espeto",N652)),ISNUMBER(SEARCH("André",N652))),"SIM","")</f>
        <v/>
      </c>
      <c r="Y652" s="92">
        <f>IF(AND(ISNUMBER(SEARCH("Delivery",N652)),ISNUMBER(SEARCH("Carin",N652))),"SIM","")</f>
        <v/>
      </c>
      <c r="Z652" s="92">
        <f>IF(AND(ISNUMBER(SEARCH("Delivery",N652)),ISNUMBER(SEARCH("Lapa",N652))),"SIM","")</f>
        <v/>
      </c>
      <c r="AA652" s="92">
        <f>IF(AND(ISNUMBER(SEARCH("Delivery",N652)),ISNUMBER(SEARCH("Tatuapé",N652))),"SIM","")</f>
        <v/>
      </c>
      <c r="AB652" s="92">
        <f>IF(AND(ISNUMBER(SEARCH("Delivery",N652)),ISNUMBER(SEARCH("Pavão",N652))),"SIM","")</f>
        <v/>
      </c>
      <c r="AC652" s="92">
        <f>IF(AND(ISNUMBER(SEARCH("Delivery",N652)),ISNUMBER(SEARCH("Chac",N652))),"SIM","")</f>
        <v/>
      </c>
      <c r="AD652" s="92">
        <f>IF(AND(ISNUMBER(SEARCH("Delivery",N652)),ISNUMBER(SEARCH("Madalena",N652))),"SIM","")</f>
        <v/>
      </c>
      <c r="AE652" s="99">
        <f>IF(AND(ISNUMBER(SEARCH("Delivery",N652)),ISNUMBER(SEARCH("Mariana",N652))),"SIM","")</f>
        <v/>
      </c>
      <c r="AF652" s="99">
        <f>IF(AND(ISNUMBER(SEARCH("Delivery",N652)),ISNUMBER(SEARCH("Perdizes",N652))),"SIM","")</f>
        <v/>
      </c>
      <c r="AG652" s="99">
        <f>IF(AND(ISNUMBER(SEARCH("Delivery",N652)),ISNUMBER(SEARCH("Santana",N652))),"SIM","")</f>
        <v/>
      </c>
      <c r="AH652" s="99">
        <f>IF(AND(ISNUMBER(SEARCH("Delivery",N652)),ISNUMBER(SEARCH("André",N652))),"SIM","")</f>
        <v/>
      </c>
      <c r="AI652" s="99">
        <f>IF(ISNUMBER(SEARCH("Interlagos",N652)),"SIM","")</f>
        <v/>
      </c>
      <c r="AJ652" s="99">
        <f>IF(ISNUMBER(SEARCH("Quiosque",N652)),"SIM","")</f>
        <v/>
      </c>
      <c r="AK652" s="101" t="n"/>
    </row>
    <row r="653">
      <c r="A653" s="88" t="inlineStr">
        <is>
          <t>Protheus</t>
        </is>
      </c>
      <c r="B653" s="89" t="inlineStr">
        <is>
          <t>000837</t>
        </is>
      </c>
      <c r="C653" s="90">
        <f>IF(B653="—","—",IFERROR(VLOOKUP(B653,_Protheus_Cadastro!$A:$B,2,FALSE),"—"))</f>
        <v/>
      </c>
      <c r="D653" s="91">
        <f>IF(B653="—",IFERROR(INDEX(_ZIG_Cadastro!$D:$D,MATCH(H653,_ZIG_Cadastro!$A:$A,0)),"Produto"),IFERROR(VLOOKUP(B653,_Protheus_Cadastro!$A:$C,3,FALSE),"—"))</f>
        <v/>
      </c>
      <c r="E653" s="91">
        <f>IF(B653="—","—",IFERROR(VLOOKUP(B653,_Protheus_Cadastro!$A:$D,4,FALSE),"—"))</f>
        <v/>
      </c>
      <c r="F653" s="91">
        <f>IF(ISERROR(VLOOKUP(B653,'Estrutura Protheus'!A:A,1,FALSE)),"Não","Sim")</f>
        <v/>
      </c>
      <c r="G653" s="92">
        <f>IFERROR(INDEX(_Protheus_Cadastro!$H:$H,MATCH(B653,_Protheus_Cadastro!$A:$A,0)),"—")</f>
        <v/>
      </c>
      <c r="H653" s="210">
        <f>IFERROR(INDEX(_ZIG_Precos!$D:$D,MATCH(I653,_ZIG_Precos!$F:$F,0)),"—")</f>
        <v/>
      </c>
      <c r="I653" s="95">
        <f>IFERROR(VLOOKUP(B653,_Protheus_Cadastro!$A:$I,9,FALSE),"—")</f>
        <v/>
      </c>
      <c r="J653" s="93">
        <f>IFERROR(INDEX(_ZIG_Cadastro!$B:$B,MATCH(I653,_ZIG_Cadastro!$A:$A,0)),IFERROR(INDEX(_Entradas_ZIG!$B:$B,MATCH(I653,_Entradas_ZIG!$C:$C,0)),"—"))</f>
        <v/>
      </c>
      <c r="K653" s="93">
        <f>IFERROR(INDEX(_ZIG_Cadastro!$C:$C,MATCH(I653,_ZIG_Cadastro!$A:$A,0)),IFERROR(INDEX(_Entradas_ZIG!$D:$D,MATCH(I653,_Entradas_ZIG!$C:$C,0)),"—"))</f>
        <v/>
      </c>
      <c r="L653" s="92">
        <f>IF(I653="","Sem SKU ZIG",IF(I653="—","Sem SKU ZIG",IF(NOT(ISERROR(MATCH(I653,_ZIG_Cadastro!$A:$A,0))),IF(EXACT(UPPER(TRIM(C653)),UPPER(TRIM(INDEX(_ZIG_Cadastro!$B:$B,MATCH(I653,_ZIG_Cadastro!$A:$A,0))))),"OK","Atencao - Nome diverge"),IF(NOT(ISERROR(MATCH(I653,_Entradas_ZIG!$C:$C,0))),"OK","Erro - SKU nao encontrado"))))</f>
        <v/>
      </c>
      <c r="M653" s="92">
        <f>IFERROR(INDEX(_ZIG_Cadastro!$G:$G,MATCH(I653,_ZIG_Cadastro!$A:$A,0)),IF(NOT(ISERROR(MATCH(I653,_Entradas_ZIG!$C:$C,0))),"Ativo","—"))</f>
        <v/>
      </c>
      <c r="N653" s="94">
        <f>IFERROR(INDEX(_ZIG_Cadastro!$E:$E,MATCH(I653,_ZIG_Cadastro!$A:$A,0)),IFERROR(INDEX(_Entradas_ZIG!$F:$F,MATCH(I653,_Entradas_ZIG!$C:$C,0)),"—"))</f>
        <v/>
      </c>
      <c r="O653" s="92">
        <f>IF(AND(ISNUMBER(SEARCH("Espeto",N653)),ISNUMBER(SEARCH("Carin",N653))),"SIM","")</f>
        <v/>
      </c>
      <c r="P653" s="92">
        <f>IF(AND(ISNUMBER(SEARCH("Espeto",N653)),ISNUMBER(SEARCH("Lapa",N653))),"SIM","")</f>
        <v/>
      </c>
      <c r="Q653" s="92">
        <f>IF(AND(ISNUMBER(SEARCH("Espeto",N653)),ISNUMBER(SEARCH("Tatuapé",N653))),"SIM","")</f>
        <v/>
      </c>
      <c r="R653" s="92">
        <f>IF(AND(ISNUMBER(SEARCH("Espeto",N653)),ISNUMBER(SEARCH("Pavão",N653))),"SIM","")</f>
        <v/>
      </c>
      <c r="S653" s="92">
        <f>IF(AND(ISNUMBER(SEARCH("Espeto",N653)),ISNUMBER(SEARCH("Chac",N653))),"SIM","")</f>
        <v/>
      </c>
      <c r="T653" s="92">
        <f>IF(AND(ISNUMBER(SEARCH("Espeto",N653)),ISNUMBER(SEARCH("Madalena",N653))),"SIM","")</f>
        <v/>
      </c>
      <c r="U653" s="92">
        <f>IF(AND(ISNUMBER(SEARCH("Espeto",N653)),ISNUMBER(SEARCH("Mariana",N653))),"SIM","")</f>
        <v/>
      </c>
      <c r="V653" s="92">
        <f>IF(AND(ISNUMBER(SEARCH("Espeto",N653)),ISNUMBER(SEARCH("Perdizes",N653))),"SIM","")</f>
        <v/>
      </c>
      <c r="W653" s="92">
        <f>IF(AND(ISNUMBER(SEARCH("Espeto",N653)),ISNUMBER(SEARCH("Santana",N653))),"SIM","")</f>
        <v/>
      </c>
      <c r="X653" s="92">
        <f>IF(AND(ISNUMBER(SEARCH("Espeto",N653)),ISNUMBER(SEARCH("André",N653))),"SIM","")</f>
        <v/>
      </c>
      <c r="Y653" s="92">
        <f>IF(AND(ISNUMBER(SEARCH("Delivery",N653)),ISNUMBER(SEARCH("Carin",N653))),"SIM","")</f>
        <v/>
      </c>
      <c r="Z653" s="92">
        <f>IF(AND(ISNUMBER(SEARCH("Delivery",N653)),ISNUMBER(SEARCH("Lapa",N653))),"SIM","")</f>
        <v/>
      </c>
      <c r="AA653" s="92">
        <f>IF(AND(ISNUMBER(SEARCH("Delivery",N653)),ISNUMBER(SEARCH("Tatuapé",N653))),"SIM","")</f>
        <v/>
      </c>
      <c r="AB653" s="92">
        <f>IF(AND(ISNUMBER(SEARCH("Delivery",N653)),ISNUMBER(SEARCH("Pavão",N653))),"SIM","")</f>
        <v/>
      </c>
      <c r="AC653" s="92">
        <f>IF(AND(ISNUMBER(SEARCH("Delivery",N653)),ISNUMBER(SEARCH("Chac",N653))),"SIM","")</f>
        <v/>
      </c>
      <c r="AD653" s="92">
        <f>IF(AND(ISNUMBER(SEARCH("Delivery",N653)),ISNUMBER(SEARCH("Madalena",N653))),"SIM","")</f>
        <v/>
      </c>
      <c r="AE653" s="99">
        <f>IF(AND(ISNUMBER(SEARCH("Delivery",N653)),ISNUMBER(SEARCH("Mariana",N653))),"SIM","")</f>
        <v/>
      </c>
      <c r="AF653" s="99">
        <f>IF(AND(ISNUMBER(SEARCH("Delivery",N653)),ISNUMBER(SEARCH("Perdizes",N653))),"SIM","")</f>
        <v/>
      </c>
      <c r="AG653" s="99">
        <f>IF(AND(ISNUMBER(SEARCH("Delivery",N653)),ISNUMBER(SEARCH("Santana",N653))),"SIM","")</f>
        <v/>
      </c>
      <c r="AH653" s="99">
        <f>IF(AND(ISNUMBER(SEARCH("Delivery",N653)),ISNUMBER(SEARCH("André",N653))),"SIM","")</f>
        <v/>
      </c>
      <c r="AI653" s="99">
        <f>IF(ISNUMBER(SEARCH("Interlagos",N653)),"SIM","")</f>
        <v/>
      </c>
      <c r="AJ653" s="99">
        <f>IF(ISNUMBER(SEARCH("Quiosque",N653)),"SIM","")</f>
        <v/>
      </c>
      <c r="AK653" s="101" t="n"/>
    </row>
    <row r="654">
      <c r="A654" s="88" t="inlineStr">
        <is>
          <t>Protheus</t>
        </is>
      </c>
      <c r="B654" s="89" t="inlineStr">
        <is>
          <t>000846</t>
        </is>
      </c>
      <c r="C654" s="90">
        <f>IF(B654="—","—",IFERROR(VLOOKUP(B654,_Protheus_Cadastro!$A:$B,2,FALSE),"—"))</f>
        <v/>
      </c>
      <c r="D654" s="91">
        <f>IF(B654="—",IFERROR(INDEX(_ZIG_Cadastro!$D:$D,MATCH(H654,_ZIG_Cadastro!$A:$A,0)),"Produto"),IFERROR(VLOOKUP(B654,_Protheus_Cadastro!$A:$C,3,FALSE),"—"))</f>
        <v/>
      </c>
      <c r="E654" s="91">
        <f>IF(B654="—","—",IFERROR(VLOOKUP(B654,_Protheus_Cadastro!$A:$D,4,FALSE),"—"))</f>
        <v/>
      </c>
      <c r="F654" s="91">
        <f>IF(ISERROR(VLOOKUP(B654,'Estrutura Protheus'!A:A,1,FALSE)),"Não","Sim")</f>
        <v/>
      </c>
      <c r="G654" s="92">
        <f>IFERROR(INDEX(_Protheus_Cadastro!$H:$H,MATCH(B654,_Protheus_Cadastro!$A:$A,0)),"—")</f>
        <v/>
      </c>
      <c r="H654" s="210">
        <f>IFERROR(INDEX(_ZIG_Precos!$D:$D,MATCH(I654,_ZIG_Precos!$F:$F,0)),"—")</f>
        <v/>
      </c>
      <c r="I654" s="95">
        <f>IFERROR(VLOOKUP(B654,_Protheus_Cadastro!$A:$I,9,FALSE),"—")</f>
        <v/>
      </c>
      <c r="J654" s="93">
        <f>IFERROR(INDEX(_ZIG_Cadastro!$B:$B,MATCH(I654,_ZIG_Cadastro!$A:$A,0)),IFERROR(INDEX(_Entradas_ZIG!$B:$B,MATCH(I654,_Entradas_ZIG!$C:$C,0)),"—"))</f>
        <v/>
      </c>
      <c r="K654" s="93">
        <f>IFERROR(INDEX(_ZIG_Cadastro!$C:$C,MATCH(I654,_ZIG_Cadastro!$A:$A,0)),IFERROR(INDEX(_Entradas_ZIG!$D:$D,MATCH(I654,_Entradas_ZIG!$C:$C,0)),"—"))</f>
        <v/>
      </c>
      <c r="L654" s="92">
        <f>IF(I654="","Sem SKU ZIG",IF(I654="—","Sem SKU ZIG",IF(NOT(ISERROR(MATCH(I654,_ZIG_Cadastro!$A:$A,0))),IF(EXACT(UPPER(TRIM(C654)),UPPER(TRIM(INDEX(_ZIG_Cadastro!$B:$B,MATCH(I654,_ZIG_Cadastro!$A:$A,0))))),"OK","Atencao - Nome diverge"),IF(NOT(ISERROR(MATCH(I654,_Entradas_ZIG!$C:$C,0))),"OK","Erro - SKU nao encontrado"))))</f>
        <v/>
      </c>
      <c r="M654" s="92">
        <f>IFERROR(INDEX(_ZIG_Cadastro!$G:$G,MATCH(I654,_ZIG_Cadastro!$A:$A,0)),IF(NOT(ISERROR(MATCH(I654,_Entradas_ZIG!$C:$C,0))),"Ativo","—"))</f>
        <v/>
      </c>
      <c r="N654" s="94">
        <f>IFERROR(INDEX(_ZIG_Cadastro!$E:$E,MATCH(I654,_ZIG_Cadastro!$A:$A,0)),IFERROR(INDEX(_Entradas_ZIG!$F:$F,MATCH(I654,_Entradas_ZIG!$C:$C,0)),"—"))</f>
        <v/>
      </c>
      <c r="O654" s="92">
        <f>IF(AND(ISNUMBER(SEARCH("Espeto",N654)),ISNUMBER(SEARCH("Carin",N654))),"SIM","")</f>
        <v/>
      </c>
      <c r="P654" s="92">
        <f>IF(AND(ISNUMBER(SEARCH("Espeto",N654)),ISNUMBER(SEARCH("Lapa",N654))),"SIM","")</f>
        <v/>
      </c>
      <c r="Q654" s="92">
        <f>IF(AND(ISNUMBER(SEARCH("Espeto",N654)),ISNUMBER(SEARCH("Tatuapé",N654))),"SIM","")</f>
        <v/>
      </c>
      <c r="R654" s="92">
        <f>IF(AND(ISNUMBER(SEARCH("Espeto",N654)),ISNUMBER(SEARCH("Pavão",N654))),"SIM","")</f>
        <v/>
      </c>
      <c r="S654" s="92">
        <f>IF(AND(ISNUMBER(SEARCH("Espeto",N654)),ISNUMBER(SEARCH("Chac",N654))),"SIM","")</f>
        <v/>
      </c>
      <c r="T654" s="92">
        <f>IF(AND(ISNUMBER(SEARCH("Espeto",N654)),ISNUMBER(SEARCH("Madalena",N654))),"SIM","")</f>
        <v/>
      </c>
      <c r="U654" s="92">
        <f>IF(AND(ISNUMBER(SEARCH("Espeto",N654)),ISNUMBER(SEARCH("Mariana",N654))),"SIM","")</f>
        <v/>
      </c>
      <c r="V654" s="92">
        <f>IF(AND(ISNUMBER(SEARCH("Espeto",N654)),ISNUMBER(SEARCH("Perdizes",N654))),"SIM","")</f>
        <v/>
      </c>
      <c r="W654" s="92">
        <f>IF(AND(ISNUMBER(SEARCH("Espeto",N654)),ISNUMBER(SEARCH("Santana",N654))),"SIM","")</f>
        <v/>
      </c>
      <c r="X654" s="92">
        <f>IF(AND(ISNUMBER(SEARCH("Espeto",N654)),ISNUMBER(SEARCH("André",N654))),"SIM","")</f>
        <v/>
      </c>
      <c r="Y654" s="92">
        <f>IF(AND(ISNUMBER(SEARCH("Delivery",N654)),ISNUMBER(SEARCH("Carin",N654))),"SIM","")</f>
        <v/>
      </c>
      <c r="Z654" s="92">
        <f>IF(AND(ISNUMBER(SEARCH("Delivery",N654)),ISNUMBER(SEARCH("Lapa",N654))),"SIM","")</f>
        <v/>
      </c>
      <c r="AA654" s="92">
        <f>IF(AND(ISNUMBER(SEARCH("Delivery",N654)),ISNUMBER(SEARCH("Tatuapé",N654))),"SIM","")</f>
        <v/>
      </c>
      <c r="AB654" s="92">
        <f>IF(AND(ISNUMBER(SEARCH("Delivery",N654)),ISNUMBER(SEARCH("Pavão",N654))),"SIM","")</f>
        <v/>
      </c>
      <c r="AC654" s="92">
        <f>IF(AND(ISNUMBER(SEARCH("Delivery",N654)),ISNUMBER(SEARCH("Chac",N654))),"SIM","")</f>
        <v/>
      </c>
      <c r="AD654" s="92">
        <f>IF(AND(ISNUMBER(SEARCH("Delivery",N654)),ISNUMBER(SEARCH("Madalena",N654))),"SIM","")</f>
        <v/>
      </c>
      <c r="AE654" s="99">
        <f>IF(AND(ISNUMBER(SEARCH("Delivery",N654)),ISNUMBER(SEARCH("Mariana",N654))),"SIM","")</f>
        <v/>
      </c>
      <c r="AF654" s="99">
        <f>IF(AND(ISNUMBER(SEARCH("Delivery",N654)),ISNUMBER(SEARCH("Perdizes",N654))),"SIM","")</f>
        <v/>
      </c>
      <c r="AG654" s="99">
        <f>IF(AND(ISNUMBER(SEARCH("Delivery",N654)),ISNUMBER(SEARCH("Santana",N654))),"SIM","")</f>
        <v/>
      </c>
      <c r="AH654" s="99">
        <f>IF(AND(ISNUMBER(SEARCH("Delivery",N654)),ISNUMBER(SEARCH("André",N654))),"SIM","")</f>
        <v/>
      </c>
      <c r="AI654" s="99">
        <f>IF(ISNUMBER(SEARCH("Interlagos",N654)),"SIM","")</f>
        <v/>
      </c>
      <c r="AJ654" s="99">
        <f>IF(ISNUMBER(SEARCH("Quiosque",N654)),"SIM","")</f>
        <v/>
      </c>
      <c r="AK654" s="101" t="n"/>
    </row>
    <row r="655">
      <c r="A655" s="88" t="inlineStr">
        <is>
          <t>Protheus</t>
        </is>
      </c>
      <c r="B655" s="89" t="inlineStr">
        <is>
          <t>000847</t>
        </is>
      </c>
      <c r="C655" s="90">
        <f>IF(B655="—","—",IFERROR(VLOOKUP(B655,_Protheus_Cadastro!$A:$B,2,FALSE),"—"))</f>
        <v/>
      </c>
      <c r="D655" s="91">
        <f>IF(B655="—",IFERROR(INDEX(_ZIG_Cadastro!$D:$D,MATCH(H655,_ZIG_Cadastro!$A:$A,0)),"Produto"),IFERROR(VLOOKUP(B655,_Protheus_Cadastro!$A:$C,3,FALSE),"—"))</f>
        <v/>
      </c>
      <c r="E655" s="91">
        <f>IF(B655="—","—",IFERROR(VLOOKUP(B655,_Protheus_Cadastro!$A:$D,4,FALSE),"—"))</f>
        <v/>
      </c>
      <c r="F655" s="91">
        <f>IF(ISERROR(VLOOKUP(B655,'Estrutura Protheus'!A:A,1,FALSE)),"Não","Sim")</f>
        <v/>
      </c>
      <c r="G655" s="92">
        <f>IFERROR(INDEX(_Protheus_Cadastro!$H:$H,MATCH(B655,_Protheus_Cadastro!$A:$A,0)),"—")</f>
        <v/>
      </c>
      <c r="H655" s="210">
        <f>IFERROR(INDEX(_ZIG_Precos!$D:$D,MATCH(I655,_ZIG_Precos!$F:$F,0)),"—")</f>
        <v/>
      </c>
      <c r="I655" s="95">
        <f>IFERROR(VLOOKUP(B655,_Protheus_Cadastro!$A:$I,9,FALSE),"—")</f>
        <v/>
      </c>
      <c r="J655" s="93">
        <f>IFERROR(INDEX(_ZIG_Cadastro!$B:$B,MATCH(I655,_ZIG_Cadastro!$A:$A,0)),IFERROR(INDEX(_Entradas_ZIG!$B:$B,MATCH(I655,_Entradas_ZIG!$C:$C,0)),"—"))</f>
        <v/>
      </c>
      <c r="K655" s="93">
        <f>IFERROR(INDEX(_ZIG_Cadastro!$C:$C,MATCH(I655,_ZIG_Cadastro!$A:$A,0)),IFERROR(INDEX(_Entradas_ZIG!$D:$D,MATCH(I655,_Entradas_ZIG!$C:$C,0)),"—"))</f>
        <v/>
      </c>
      <c r="L655" s="92">
        <f>IF(I655="","Sem SKU ZIG",IF(I655="—","Sem SKU ZIG",IF(NOT(ISERROR(MATCH(I655,_ZIG_Cadastro!$A:$A,0))),IF(EXACT(UPPER(TRIM(C655)),UPPER(TRIM(INDEX(_ZIG_Cadastro!$B:$B,MATCH(I655,_ZIG_Cadastro!$A:$A,0))))),"OK","Atencao - Nome diverge"),IF(NOT(ISERROR(MATCH(I655,_Entradas_ZIG!$C:$C,0))),"OK","Erro - SKU nao encontrado"))))</f>
        <v/>
      </c>
      <c r="M655" s="92">
        <f>IFERROR(INDEX(_ZIG_Cadastro!$G:$G,MATCH(I655,_ZIG_Cadastro!$A:$A,0)),IF(NOT(ISERROR(MATCH(I655,_Entradas_ZIG!$C:$C,0))),"Ativo","—"))</f>
        <v/>
      </c>
      <c r="N655" s="94">
        <f>IFERROR(INDEX(_ZIG_Cadastro!$E:$E,MATCH(I655,_ZIG_Cadastro!$A:$A,0)),IFERROR(INDEX(_Entradas_ZIG!$F:$F,MATCH(I655,_Entradas_ZIG!$C:$C,0)),"—"))</f>
        <v/>
      </c>
      <c r="O655" s="92">
        <f>IF(AND(ISNUMBER(SEARCH("Espeto",N655)),ISNUMBER(SEARCH("Carin",N655))),"SIM","")</f>
        <v/>
      </c>
      <c r="P655" s="92">
        <f>IF(AND(ISNUMBER(SEARCH("Espeto",N655)),ISNUMBER(SEARCH("Lapa",N655))),"SIM","")</f>
        <v/>
      </c>
      <c r="Q655" s="92">
        <f>IF(AND(ISNUMBER(SEARCH("Espeto",N655)),ISNUMBER(SEARCH("Tatuapé",N655))),"SIM","")</f>
        <v/>
      </c>
      <c r="R655" s="92">
        <f>IF(AND(ISNUMBER(SEARCH("Espeto",N655)),ISNUMBER(SEARCH("Pavão",N655))),"SIM","")</f>
        <v/>
      </c>
      <c r="S655" s="92">
        <f>IF(AND(ISNUMBER(SEARCH("Espeto",N655)),ISNUMBER(SEARCH("Chac",N655))),"SIM","")</f>
        <v/>
      </c>
      <c r="T655" s="92">
        <f>IF(AND(ISNUMBER(SEARCH("Espeto",N655)),ISNUMBER(SEARCH("Madalena",N655))),"SIM","")</f>
        <v/>
      </c>
      <c r="U655" s="92">
        <f>IF(AND(ISNUMBER(SEARCH("Espeto",N655)),ISNUMBER(SEARCH("Mariana",N655))),"SIM","")</f>
        <v/>
      </c>
      <c r="V655" s="92">
        <f>IF(AND(ISNUMBER(SEARCH("Espeto",N655)),ISNUMBER(SEARCH("Perdizes",N655))),"SIM","")</f>
        <v/>
      </c>
      <c r="W655" s="92">
        <f>IF(AND(ISNUMBER(SEARCH("Espeto",N655)),ISNUMBER(SEARCH("Santana",N655))),"SIM","")</f>
        <v/>
      </c>
      <c r="X655" s="92">
        <f>IF(AND(ISNUMBER(SEARCH("Espeto",N655)),ISNUMBER(SEARCH("André",N655))),"SIM","")</f>
        <v/>
      </c>
      <c r="Y655" s="92">
        <f>IF(AND(ISNUMBER(SEARCH("Delivery",N655)),ISNUMBER(SEARCH("Carin",N655))),"SIM","")</f>
        <v/>
      </c>
      <c r="Z655" s="92">
        <f>IF(AND(ISNUMBER(SEARCH("Delivery",N655)),ISNUMBER(SEARCH("Lapa",N655))),"SIM","")</f>
        <v/>
      </c>
      <c r="AA655" s="92">
        <f>IF(AND(ISNUMBER(SEARCH("Delivery",N655)),ISNUMBER(SEARCH("Tatuapé",N655))),"SIM","")</f>
        <v/>
      </c>
      <c r="AB655" s="92">
        <f>IF(AND(ISNUMBER(SEARCH("Delivery",N655)),ISNUMBER(SEARCH("Pavão",N655))),"SIM","")</f>
        <v/>
      </c>
      <c r="AC655" s="92">
        <f>IF(AND(ISNUMBER(SEARCH("Delivery",N655)),ISNUMBER(SEARCH("Chac",N655))),"SIM","")</f>
        <v/>
      </c>
      <c r="AD655" s="92">
        <f>IF(AND(ISNUMBER(SEARCH("Delivery",N655)),ISNUMBER(SEARCH("Madalena",N655))),"SIM","")</f>
        <v/>
      </c>
      <c r="AE655" s="99">
        <f>IF(AND(ISNUMBER(SEARCH("Delivery",N655)),ISNUMBER(SEARCH("Mariana",N655))),"SIM","")</f>
        <v/>
      </c>
      <c r="AF655" s="99">
        <f>IF(AND(ISNUMBER(SEARCH("Delivery",N655)),ISNUMBER(SEARCH("Perdizes",N655))),"SIM","")</f>
        <v/>
      </c>
      <c r="AG655" s="99">
        <f>IF(AND(ISNUMBER(SEARCH("Delivery",N655)),ISNUMBER(SEARCH("Santana",N655))),"SIM","")</f>
        <v/>
      </c>
      <c r="AH655" s="99">
        <f>IF(AND(ISNUMBER(SEARCH("Delivery",N655)),ISNUMBER(SEARCH("André",N655))),"SIM","")</f>
        <v/>
      </c>
      <c r="AI655" s="99">
        <f>IF(ISNUMBER(SEARCH("Interlagos",N655)),"SIM","")</f>
        <v/>
      </c>
      <c r="AJ655" s="99">
        <f>IF(ISNUMBER(SEARCH("Quiosque",N655)),"SIM","")</f>
        <v/>
      </c>
      <c r="AK655" s="101" t="n"/>
    </row>
    <row r="656">
      <c r="A656" s="88" t="inlineStr">
        <is>
          <t>Protheus</t>
        </is>
      </c>
      <c r="B656" s="89" t="inlineStr">
        <is>
          <t>000854</t>
        </is>
      </c>
      <c r="C656" s="90">
        <f>IF(B656="—","—",IFERROR(VLOOKUP(B656,_Protheus_Cadastro!$A:$B,2,FALSE),"—"))</f>
        <v/>
      </c>
      <c r="D656" s="91">
        <f>IF(B656="—",IFERROR(INDEX(_ZIG_Cadastro!$D:$D,MATCH(H656,_ZIG_Cadastro!$A:$A,0)),"Produto"),IFERROR(VLOOKUP(B656,_Protheus_Cadastro!$A:$C,3,FALSE),"—"))</f>
        <v/>
      </c>
      <c r="E656" s="91">
        <f>IF(B656="—","—",IFERROR(VLOOKUP(B656,_Protheus_Cadastro!$A:$D,4,FALSE),"—"))</f>
        <v/>
      </c>
      <c r="F656" s="91">
        <f>IF(ISERROR(VLOOKUP(B656,'Estrutura Protheus'!A:A,1,FALSE)),"Não","Sim")</f>
        <v/>
      </c>
      <c r="G656" s="92">
        <f>IFERROR(INDEX(_Protheus_Cadastro!$H:$H,MATCH(B656,_Protheus_Cadastro!$A:$A,0)),"—")</f>
        <v/>
      </c>
      <c r="H656" s="210">
        <f>IFERROR(INDEX(_ZIG_Precos!$D:$D,MATCH(I656,_ZIG_Precos!$F:$F,0)),"—")</f>
        <v/>
      </c>
      <c r="I656" s="95">
        <f>IFERROR(VLOOKUP(B656,_Protheus_Cadastro!$A:$I,9,FALSE),"—")</f>
        <v/>
      </c>
      <c r="J656" s="93">
        <f>IFERROR(INDEX(_ZIG_Cadastro!$B:$B,MATCH(I656,_ZIG_Cadastro!$A:$A,0)),IFERROR(INDEX(_Entradas_ZIG!$B:$B,MATCH(I656,_Entradas_ZIG!$C:$C,0)),"—"))</f>
        <v/>
      </c>
      <c r="K656" s="93">
        <f>IFERROR(INDEX(_ZIG_Cadastro!$C:$C,MATCH(I656,_ZIG_Cadastro!$A:$A,0)),IFERROR(INDEX(_Entradas_ZIG!$D:$D,MATCH(I656,_Entradas_ZIG!$C:$C,0)),"—"))</f>
        <v/>
      </c>
      <c r="L656" s="92">
        <f>IF(I656="","Sem SKU ZIG",IF(I656="—","Sem SKU ZIG",IF(NOT(ISERROR(MATCH(I656,_ZIG_Cadastro!$A:$A,0))),IF(EXACT(UPPER(TRIM(C656)),UPPER(TRIM(INDEX(_ZIG_Cadastro!$B:$B,MATCH(I656,_ZIG_Cadastro!$A:$A,0))))),"OK","Atencao - Nome diverge"),IF(NOT(ISERROR(MATCH(I656,_Entradas_ZIG!$C:$C,0))),"OK","Erro - SKU nao encontrado"))))</f>
        <v/>
      </c>
      <c r="M656" s="92">
        <f>IFERROR(INDEX(_ZIG_Cadastro!$G:$G,MATCH(I656,_ZIG_Cadastro!$A:$A,0)),IF(NOT(ISERROR(MATCH(I656,_Entradas_ZIG!$C:$C,0))),"Ativo","—"))</f>
        <v/>
      </c>
      <c r="N656" s="94">
        <f>IFERROR(INDEX(_ZIG_Cadastro!$E:$E,MATCH(I656,_ZIG_Cadastro!$A:$A,0)),IFERROR(INDEX(_Entradas_ZIG!$F:$F,MATCH(I656,_Entradas_ZIG!$C:$C,0)),"—"))</f>
        <v/>
      </c>
      <c r="O656" s="92">
        <f>IF(AND(ISNUMBER(SEARCH("Espeto",N656)),ISNUMBER(SEARCH("Carin",N656))),"SIM","")</f>
        <v/>
      </c>
      <c r="P656" s="92">
        <f>IF(AND(ISNUMBER(SEARCH("Espeto",N656)),ISNUMBER(SEARCH("Lapa",N656))),"SIM","")</f>
        <v/>
      </c>
      <c r="Q656" s="92">
        <f>IF(AND(ISNUMBER(SEARCH("Espeto",N656)),ISNUMBER(SEARCH("Tatuapé",N656))),"SIM","")</f>
        <v/>
      </c>
      <c r="R656" s="92">
        <f>IF(AND(ISNUMBER(SEARCH("Espeto",N656)),ISNUMBER(SEARCH("Pavão",N656))),"SIM","")</f>
        <v/>
      </c>
      <c r="S656" s="92">
        <f>IF(AND(ISNUMBER(SEARCH("Espeto",N656)),ISNUMBER(SEARCH("Chac",N656))),"SIM","")</f>
        <v/>
      </c>
      <c r="T656" s="92">
        <f>IF(AND(ISNUMBER(SEARCH("Espeto",N656)),ISNUMBER(SEARCH("Madalena",N656))),"SIM","")</f>
        <v/>
      </c>
      <c r="U656" s="92">
        <f>IF(AND(ISNUMBER(SEARCH("Espeto",N656)),ISNUMBER(SEARCH("Mariana",N656))),"SIM","")</f>
        <v/>
      </c>
      <c r="V656" s="92">
        <f>IF(AND(ISNUMBER(SEARCH("Espeto",N656)),ISNUMBER(SEARCH("Perdizes",N656))),"SIM","")</f>
        <v/>
      </c>
      <c r="W656" s="92">
        <f>IF(AND(ISNUMBER(SEARCH("Espeto",N656)),ISNUMBER(SEARCH("Santana",N656))),"SIM","")</f>
        <v/>
      </c>
      <c r="X656" s="92">
        <f>IF(AND(ISNUMBER(SEARCH("Espeto",N656)),ISNUMBER(SEARCH("André",N656))),"SIM","")</f>
        <v/>
      </c>
      <c r="Y656" s="92">
        <f>IF(AND(ISNUMBER(SEARCH("Delivery",N656)),ISNUMBER(SEARCH("Carin",N656))),"SIM","")</f>
        <v/>
      </c>
      <c r="Z656" s="92">
        <f>IF(AND(ISNUMBER(SEARCH("Delivery",N656)),ISNUMBER(SEARCH("Lapa",N656))),"SIM","")</f>
        <v/>
      </c>
      <c r="AA656" s="92">
        <f>IF(AND(ISNUMBER(SEARCH("Delivery",N656)),ISNUMBER(SEARCH("Tatuapé",N656))),"SIM","")</f>
        <v/>
      </c>
      <c r="AB656" s="92">
        <f>IF(AND(ISNUMBER(SEARCH("Delivery",N656)),ISNUMBER(SEARCH("Pavão",N656))),"SIM","")</f>
        <v/>
      </c>
      <c r="AC656" s="92">
        <f>IF(AND(ISNUMBER(SEARCH("Delivery",N656)),ISNUMBER(SEARCH("Chac",N656))),"SIM","")</f>
        <v/>
      </c>
      <c r="AD656" s="92">
        <f>IF(AND(ISNUMBER(SEARCH("Delivery",N656)),ISNUMBER(SEARCH("Madalena",N656))),"SIM","")</f>
        <v/>
      </c>
      <c r="AE656" s="99">
        <f>IF(AND(ISNUMBER(SEARCH("Delivery",N656)),ISNUMBER(SEARCH("Mariana",N656))),"SIM","")</f>
        <v/>
      </c>
      <c r="AF656" s="99">
        <f>IF(AND(ISNUMBER(SEARCH("Delivery",N656)),ISNUMBER(SEARCH("Perdizes",N656))),"SIM","")</f>
        <v/>
      </c>
      <c r="AG656" s="99">
        <f>IF(AND(ISNUMBER(SEARCH("Delivery",N656)),ISNUMBER(SEARCH("Santana",N656))),"SIM","")</f>
        <v/>
      </c>
      <c r="AH656" s="99">
        <f>IF(AND(ISNUMBER(SEARCH("Delivery",N656)),ISNUMBER(SEARCH("André",N656))),"SIM","")</f>
        <v/>
      </c>
      <c r="AI656" s="99">
        <f>IF(ISNUMBER(SEARCH("Interlagos",N656)),"SIM","")</f>
        <v/>
      </c>
      <c r="AJ656" s="99">
        <f>IF(ISNUMBER(SEARCH("Quiosque",N656)),"SIM","")</f>
        <v/>
      </c>
      <c r="AK656" s="101" t="n"/>
    </row>
    <row r="657">
      <c r="A657" s="88" t="inlineStr">
        <is>
          <t>Protheus</t>
        </is>
      </c>
      <c r="B657" s="89" t="inlineStr">
        <is>
          <t>000855</t>
        </is>
      </c>
      <c r="C657" s="90">
        <f>IF(B657="—","—",IFERROR(VLOOKUP(B657,_Protheus_Cadastro!$A:$B,2,FALSE),"—"))</f>
        <v/>
      </c>
      <c r="D657" s="91">
        <f>IF(B657="—",IFERROR(INDEX(_ZIG_Cadastro!$D:$D,MATCH(H657,_ZIG_Cadastro!$A:$A,0)),"Produto"),IFERROR(VLOOKUP(B657,_Protheus_Cadastro!$A:$C,3,FALSE),"—"))</f>
        <v/>
      </c>
      <c r="E657" s="91">
        <f>IF(B657="—","—",IFERROR(VLOOKUP(B657,_Protheus_Cadastro!$A:$D,4,FALSE),"—"))</f>
        <v/>
      </c>
      <c r="F657" s="91">
        <f>IF(ISERROR(VLOOKUP(B657,'Estrutura Protheus'!A:A,1,FALSE)),"Não","Sim")</f>
        <v/>
      </c>
      <c r="G657" s="92">
        <f>IFERROR(INDEX(_Protheus_Cadastro!$H:$H,MATCH(B657,_Protheus_Cadastro!$A:$A,0)),"—")</f>
        <v/>
      </c>
      <c r="H657" s="210">
        <f>IFERROR(INDEX(_ZIG_Precos!$D:$D,MATCH(I657,_ZIG_Precos!$F:$F,0)),"—")</f>
        <v/>
      </c>
      <c r="I657" s="95">
        <f>IFERROR(VLOOKUP(B657,_Protheus_Cadastro!$A:$I,9,FALSE),"—")</f>
        <v/>
      </c>
      <c r="J657" s="93">
        <f>IFERROR(INDEX(_ZIG_Cadastro!$B:$B,MATCH(I657,_ZIG_Cadastro!$A:$A,0)),IFERROR(INDEX(_Entradas_ZIG!$B:$B,MATCH(I657,_Entradas_ZIG!$C:$C,0)),"—"))</f>
        <v/>
      </c>
      <c r="K657" s="93">
        <f>IFERROR(INDEX(_ZIG_Cadastro!$C:$C,MATCH(I657,_ZIG_Cadastro!$A:$A,0)),IFERROR(INDEX(_Entradas_ZIG!$D:$D,MATCH(I657,_Entradas_ZIG!$C:$C,0)),"—"))</f>
        <v/>
      </c>
      <c r="L657" s="92">
        <f>IF(I657="","Sem SKU ZIG",IF(I657="—","Sem SKU ZIG",IF(NOT(ISERROR(MATCH(I657,_ZIG_Cadastro!$A:$A,0))),IF(EXACT(UPPER(TRIM(C657)),UPPER(TRIM(INDEX(_ZIG_Cadastro!$B:$B,MATCH(I657,_ZIG_Cadastro!$A:$A,0))))),"OK","Atencao - Nome diverge"),IF(NOT(ISERROR(MATCH(I657,_Entradas_ZIG!$C:$C,0))),"OK","Erro - SKU nao encontrado"))))</f>
        <v/>
      </c>
      <c r="M657" s="92">
        <f>IFERROR(INDEX(_ZIG_Cadastro!$G:$G,MATCH(I657,_ZIG_Cadastro!$A:$A,0)),IF(NOT(ISERROR(MATCH(I657,_Entradas_ZIG!$C:$C,0))),"Ativo","—"))</f>
        <v/>
      </c>
      <c r="N657" s="94">
        <f>IFERROR(INDEX(_ZIG_Cadastro!$E:$E,MATCH(I657,_ZIG_Cadastro!$A:$A,0)),IFERROR(INDEX(_Entradas_ZIG!$F:$F,MATCH(I657,_Entradas_ZIG!$C:$C,0)),"—"))</f>
        <v/>
      </c>
      <c r="O657" s="92">
        <f>IF(AND(ISNUMBER(SEARCH("Espeto",N657)),ISNUMBER(SEARCH("Carin",N657))),"SIM","")</f>
        <v/>
      </c>
      <c r="P657" s="92">
        <f>IF(AND(ISNUMBER(SEARCH("Espeto",N657)),ISNUMBER(SEARCH("Lapa",N657))),"SIM","")</f>
        <v/>
      </c>
      <c r="Q657" s="92">
        <f>IF(AND(ISNUMBER(SEARCH("Espeto",N657)),ISNUMBER(SEARCH("Tatuapé",N657))),"SIM","")</f>
        <v/>
      </c>
      <c r="R657" s="92">
        <f>IF(AND(ISNUMBER(SEARCH("Espeto",N657)),ISNUMBER(SEARCH("Pavão",N657))),"SIM","")</f>
        <v/>
      </c>
      <c r="S657" s="92">
        <f>IF(AND(ISNUMBER(SEARCH("Espeto",N657)),ISNUMBER(SEARCH("Chac",N657))),"SIM","")</f>
        <v/>
      </c>
      <c r="T657" s="92">
        <f>IF(AND(ISNUMBER(SEARCH("Espeto",N657)),ISNUMBER(SEARCH("Madalena",N657))),"SIM","")</f>
        <v/>
      </c>
      <c r="U657" s="92">
        <f>IF(AND(ISNUMBER(SEARCH("Espeto",N657)),ISNUMBER(SEARCH("Mariana",N657))),"SIM","")</f>
        <v/>
      </c>
      <c r="V657" s="92">
        <f>IF(AND(ISNUMBER(SEARCH("Espeto",N657)),ISNUMBER(SEARCH("Perdizes",N657))),"SIM","")</f>
        <v/>
      </c>
      <c r="W657" s="92">
        <f>IF(AND(ISNUMBER(SEARCH("Espeto",N657)),ISNUMBER(SEARCH("Santana",N657))),"SIM","")</f>
        <v/>
      </c>
      <c r="X657" s="92">
        <f>IF(AND(ISNUMBER(SEARCH("Espeto",N657)),ISNUMBER(SEARCH("André",N657))),"SIM","")</f>
        <v/>
      </c>
      <c r="Y657" s="92">
        <f>IF(AND(ISNUMBER(SEARCH("Delivery",N657)),ISNUMBER(SEARCH("Carin",N657))),"SIM","")</f>
        <v/>
      </c>
      <c r="Z657" s="92">
        <f>IF(AND(ISNUMBER(SEARCH("Delivery",N657)),ISNUMBER(SEARCH("Lapa",N657))),"SIM","")</f>
        <v/>
      </c>
      <c r="AA657" s="92">
        <f>IF(AND(ISNUMBER(SEARCH("Delivery",N657)),ISNUMBER(SEARCH("Tatuapé",N657))),"SIM","")</f>
        <v/>
      </c>
      <c r="AB657" s="92">
        <f>IF(AND(ISNUMBER(SEARCH("Delivery",N657)),ISNUMBER(SEARCH("Pavão",N657))),"SIM","")</f>
        <v/>
      </c>
      <c r="AC657" s="92">
        <f>IF(AND(ISNUMBER(SEARCH("Delivery",N657)),ISNUMBER(SEARCH("Chac",N657))),"SIM","")</f>
        <v/>
      </c>
      <c r="AD657" s="92">
        <f>IF(AND(ISNUMBER(SEARCH("Delivery",N657)),ISNUMBER(SEARCH("Madalena",N657))),"SIM","")</f>
        <v/>
      </c>
      <c r="AE657" s="99">
        <f>IF(AND(ISNUMBER(SEARCH("Delivery",N657)),ISNUMBER(SEARCH("Mariana",N657))),"SIM","")</f>
        <v/>
      </c>
      <c r="AF657" s="99">
        <f>IF(AND(ISNUMBER(SEARCH("Delivery",N657)),ISNUMBER(SEARCH("Perdizes",N657))),"SIM","")</f>
        <v/>
      </c>
      <c r="AG657" s="99">
        <f>IF(AND(ISNUMBER(SEARCH("Delivery",N657)),ISNUMBER(SEARCH("Santana",N657))),"SIM","")</f>
        <v/>
      </c>
      <c r="AH657" s="99">
        <f>IF(AND(ISNUMBER(SEARCH("Delivery",N657)),ISNUMBER(SEARCH("André",N657))),"SIM","")</f>
        <v/>
      </c>
      <c r="AI657" s="99">
        <f>IF(ISNUMBER(SEARCH("Interlagos",N657)),"SIM","")</f>
        <v/>
      </c>
      <c r="AJ657" s="99">
        <f>IF(ISNUMBER(SEARCH("Quiosque",N657)),"SIM","")</f>
        <v/>
      </c>
      <c r="AK657" s="101" t="n"/>
    </row>
    <row r="658">
      <c r="A658" s="88" t="inlineStr">
        <is>
          <t>Protheus</t>
        </is>
      </c>
      <c r="B658" s="89" t="inlineStr">
        <is>
          <t>000856</t>
        </is>
      </c>
      <c r="C658" s="90">
        <f>IF(B658="—","—",IFERROR(VLOOKUP(B658,_Protheus_Cadastro!$A:$B,2,FALSE),"—"))</f>
        <v/>
      </c>
      <c r="D658" s="91">
        <f>IF(B658="—",IFERROR(INDEX(_ZIG_Cadastro!$D:$D,MATCH(H658,_ZIG_Cadastro!$A:$A,0)),"Produto"),IFERROR(VLOOKUP(B658,_Protheus_Cadastro!$A:$C,3,FALSE),"—"))</f>
        <v/>
      </c>
      <c r="E658" s="91">
        <f>IF(B658="—","—",IFERROR(VLOOKUP(B658,_Protheus_Cadastro!$A:$D,4,FALSE),"—"))</f>
        <v/>
      </c>
      <c r="F658" s="91">
        <f>IF(ISERROR(VLOOKUP(B658,'Estrutura Protheus'!A:A,1,FALSE)),"Não","Sim")</f>
        <v/>
      </c>
      <c r="G658" s="92">
        <f>IFERROR(INDEX(_Protheus_Cadastro!$H:$H,MATCH(B658,_Protheus_Cadastro!$A:$A,0)),"—")</f>
        <v/>
      </c>
      <c r="H658" s="210">
        <f>IFERROR(INDEX(_ZIG_Precos!$D:$D,MATCH(I658,_ZIG_Precos!$F:$F,0)),"—")</f>
        <v/>
      </c>
      <c r="I658" s="95">
        <f>IFERROR(VLOOKUP(B658,_Protheus_Cadastro!$A:$I,9,FALSE),"—")</f>
        <v/>
      </c>
      <c r="J658" s="93">
        <f>IFERROR(INDEX(_ZIG_Cadastro!$B:$B,MATCH(I658,_ZIG_Cadastro!$A:$A,0)),IFERROR(INDEX(_Entradas_ZIG!$B:$B,MATCH(I658,_Entradas_ZIG!$C:$C,0)),"—"))</f>
        <v/>
      </c>
      <c r="K658" s="93">
        <f>IFERROR(INDEX(_ZIG_Cadastro!$C:$C,MATCH(I658,_ZIG_Cadastro!$A:$A,0)),IFERROR(INDEX(_Entradas_ZIG!$D:$D,MATCH(I658,_Entradas_ZIG!$C:$C,0)),"—"))</f>
        <v/>
      </c>
      <c r="L658" s="92">
        <f>IF(I658="","Sem SKU ZIG",IF(I658="—","Sem SKU ZIG",IF(NOT(ISERROR(MATCH(I658,_ZIG_Cadastro!$A:$A,0))),IF(EXACT(UPPER(TRIM(C658)),UPPER(TRIM(INDEX(_ZIG_Cadastro!$B:$B,MATCH(I658,_ZIG_Cadastro!$A:$A,0))))),"OK","Atencao - Nome diverge"),IF(NOT(ISERROR(MATCH(I658,_Entradas_ZIG!$C:$C,0))),"OK","Erro - SKU nao encontrado"))))</f>
        <v/>
      </c>
      <c r="M658" s="92">
        <f>IFERROR(INDEX(_ZIG_Cadastro!$G:$G,MATCH(I658,_ZIG_Cadastro!$A:$A,0)),IF(NOT(ISERROR(MATCH(I658,_Entradas_ZIG!$C:$C,0))),"Ativo","—"))</f>
        <v/>
      </c>
      <c r="N658" s="94">
        <f>IFERROR(INDEX(_ZIG_Cadastro!$E:$E,MATCH(I658,_ZIG_Cadastro!$A:$A,0)),IFERROR(INDEX(_Entradas_ZIG!$F:$F,MATCH(I658,_Entradas_ZIG!$C:$C,0)),"—"))</f>
        <v/>
      </c>
      <c r="O658" s="92">
        <f>IF(AND(ISNUMBER(SEARCH("Espeto",N658)),ISNUMBER(SEARCH("Carin",N658))),"SIM","")</f>
        <v/>
      </c>
      <c r="P658" s="92">
        <f>IF(AND(ISNUMBER(SEARCH("Espeto",N658)),ISNUMBER(SEARCH("Lapa",N658))),"SIM","")</f>
        <v/>
      </c>
      <c r="Q658" s="92">
        <f>IF(AND(ISNUMBER(SEARCH("Espeto",N658)),ISNUMBER(SEARCH("Tatuapé",N658))),"SIM","")</f>
        <v/>
      </c>
      <c r="R658" s="92">
        <f>IF(AND(ISNUMBER(SEARCH("Espeto",N658)),ISNUMBER(SEARCH("Pavão",N658))),"SIM","")</f>
        <v/>
      </c>
      <c r="S658" s="92">
        <f>IF(AND(ISNUMBER(SEARCH("Espeto",N658)),ISNUMBER(SEARCH("Chac",N658))),"SIM","")</f>
        <v/>
      </c>
      <c r="T658" s="92">
        <f>IF(AND(ISNUMBER(SEARCH("Espeto",N658)),ISNUMBER(SEARCH("Madalena",N658))),"SIM","")</f>
        <v/>
      </c>
      <c r="U658" s="92">
        <f>IF(AND(ISNUMBER(SEARCH("Espeto",N658)),ISNUMBER(SEARCH("Mariana",N658))),"SIM","")</f>
        <v/>
      </c>
      <c r="V658" s="92">
        <f>IF(AND(ISNUMBER(SEARCH("Espeto",N658)),ISNUMBER(SEARCH("Perdizes",N658))),"SIM","")</f>
        <v/>
      </c>
      <c r="W658" s="92">
        <f>IF(AND(ISNUMBER(SEARCH("Espeto",N658)),ISNUMBER(SEARCH("Santana",N658))),"SIM","")</f>
        <v/>
      </c>
      <c r="X658" s="92">
        <f>IF(AND(ISNUMBER(SEARCH("Espeto",N658)),ISNUMBER(SEARCH("André",N658))),"SIM","")</f>
        <v/>
      </c>
      <c r="Y658" s="92">
        <f>IF(AND(ISNUMBER(SEARCH("Delivery",N658)),ISNUMBER(SEARCH("Carin",N658))),"SIM","")</f>
        <v/>
      </c>
      <c r="Z658" s="92">
        <f>IF(AND(ISNUMBER(SEARCH("Delivery",N658)),ISNUMBER(SEARCH("Lapa",N658))),"SIM","")</f>
        <v/>
      </c>
      <c r="AA658" s="92">
        <f>IF(AND(ISNUMBER(SEARCH("Delivery",N658)),ISNUMBER(SEARCH("Tatuapé",N658))),"SIM","")</f>
        <v/>
      </c>
      <c r="AB658" s="92">
        <f>IF(AND(ISNUMBER(SEARCH("Delivery",N658)),ISNUMBER(SEARCH("Pavão",N658))),"SIM","")</f>
        <v/>
      </c>
      <c r="AC658" s="92">
        <f>IF(AND(ISNUMBER(SEARCH("Delivery",N658)),ISNUMBER(SEARCH("Chac",N658))),"SIM","")</f>
        <v/>
      </c>
      <c r="AD658" s="92">
        <f>IF(AND(ISNUMBER(SEARCH("Delivery",N658)),ISNUMBER(SEARCH("Madalena",N658))),"SIM","")</f>
        <v/>
      </c>
      <c r="AE658" s="99">
        <f>IF(AND(ISNUMBER(SEARCH("Delivery",N658)),ISNUMBER(SEARCH("Mariana",N658))),"SIM","")</f>
        <v/>
      </c>
      <c r="AF658" s="99">
        <f>IF(AND(ISNUMBER(SEARCH("Delivery",N658)),ISNUMBER(SEARCH("Perdizes",N658))),"SIM","")</f>
        <v/>
      </c>
      <c r="AG658" s="99">
        <f>IF(AND(ISNUMBER(SEARCH("Delivery",N658)),ISNUMBER(SEARCH("Santana",N658))),"SIM","")</f>
        <v/>
      </c>
      <c r="AH658" s="99">
        <f>IF(AND(ISNUMBER(SEARCH("Delivery",N658)),ISNUMBER(SEARCH("André",N658))),"SIM","")</f>
        <v/>
      </c>
      <c r="AI658" s="99">
        <f>IF(ISNUMBER(SEARCH("Interlagos",N658)),"SIM","")</f>
        <v/>
      </c>
      <c r="AJ658" s="99">
        <f>IF(ISNUMBER(SEARCH("Quiosque",N658)),"SIM","")</f>
        <v/>
      </c>
      <c r="AK658" s="101" t="n"/>
    </row>
    <row r="659">
      <c r="A659" s="88" t="inlineStr">
        <is>
          <t>Protheus</t>
        </is>
      </c>
      <c r="B659" s="89" t="inlineStr">
        <is>
          <t>000858</t>
        </is>
      </c>
      <c r="C659" s="90">
        <f>IF(B659="—","—",IFERROR(VLOOKUP(B659,_Protheus_Cadastro!$A:$B,2,FALSE),"—"))</f>
        <v/>
      </c>
      <c r="D659" s="91">
        <f>IF(B659="—",IFERROR(INDEX(_ZIG_Cadastro!$D:$D,MATCH(H659,_ZIG_Cadastro!$A:$A,0)),"Produto"),IFERROR(VLOOKUP(B659,_Protheus_Cadastro!$A:$C,3,FALSE),"—"))</f>
        <v/>
      </c>
      <c r="E659" s="91">
        <f>IF(B659="—","—",IFERROR(VLOOKUP(B659,_Protheus_Cadastro!$A:$D,4,FALSE),"—"))</f>
        <v/>
      </c>
      <c r="F659" s="91">
        <f>IF(ISERROR(VLOOKUP(B659,'Estrutura Protheus'!A:A,1,FALSE)),"Não","Sim")</f>
        <v/>
      </c>
      <c r="G659" s="92">
        <f>IFERROR(INDEX(_Protheus_Cadastro!$H:$H,MATCH(B659,_Protheus_Cadastro!$A:$A,0)),"—")</f>
        <v/>
      </c>
      <c r="H659" s="210">
        <f>IFERROR(INDEX(_ZIG_Precos!$D:$D,MATCH(I659,_ZIG_Precos!$F:$F,0)),"—")</f>
        <v/>
      </c>
      <c r="I659" s="95">
        <f>IFERROR(VLOOKUP(B659,_Protheus_Cadastro!$A:$I,9,FALSE),"—")</f>
        <v/>
      </c>
      <c r="J659" s="93">
        <f>IFERROR(INDEX(_ZIG_Cadastro!$B:$B,MATCH(I659,_ZIG_Cadastro!$A:$A,0)),IFERROR(INDEX(_Entradas_ZIG!$B:$B,MATCH(I659,_Entradas_ZIG!$C:$C,0)),"—"))</f>
        <v/>
      </c>
      <c r="K659" s="93">
        <f>IFERROR(INDEX(_ZIG_Cadastro!$C:$C,MATCH(I659,_ZIG_Cadastro!$A:$A,0)),IFERROR(INDEX(_Entradas_ZIG!$D:$D,MATCH(I659,_Entradas_ZIG!$C:$C,0)),"—"))</f>
        <v/>
      </c>
      <c r="L659" s="92">
        <f>IF(I659="","Sem SKU ZIG",IF(I659="—","Sem SKU ZIG",IF(NOT(ISERROR(MATCH(I659,_ZIG_Cadastro!$A:$A,0))),IF(EXACT(UPPER(TRIM(C659)),UPPER(TRIM(INDEX(_ZIG_Cadastro!$B:$B,MATCH(I659,_ZIG_Cadastro!$A:$A,0))))),"OK","Atencao - Nome diverge"),IF(NOT(ISERROR(MATCH(I659,_Entradas_ZIG!$C:$C,0))),"OK","Erro - SKU nao encontrado"))))</f>
        <v/>
      </c>
      <c r="M659" s="92">
        <f>IFERROR(INDEX(_ZIG_Cadastro!$G:$G,MATCH(I659,_ZIG_Cadastro!$A:$A,0)),IF(NOT(ISERROR(MATCH(I659,_Entradas_ZIG!$C:$C,0))),"Ativo","—"))</f>
        <v/>
      </c>
      <c r="N659" s="94">
        <f>IFERROR(INDEX(_ZIG_Cadastro!$E:$E,MATCH(I659,_ZIG_Cadastro!$A:$A,0)),IFERROR(INDEX(_Entradas_ZIG!$F:$F,MATCH(I659,_Entradas_ZIG!$C:$C,0)),"—"))</f>
        <v/>
      </c>
      <c r="O659" s="92">
        <f>IF(AND(ISNUMBER(SEARCH("Espeto",N659)),ISNUMBER(SEARCH("Carin",N659))),"SIM","")</f>
        <v/>
      </c>
      <c r="P659" s="92">
        <f>IF(AND(ISNUMBER(SEARCH("Espeto",N659)),ISNUMBER(SEARCH("Lapa",N659))),"SIM","")</f>
        <v/>
      </c>
      <c r="Q659" s="92">
        <f>IF(AND(ISNUMBER(SEARCH("Espeto",N659)),ISNUMBER(SEARCH("Tatuapé",N659))),"SIM","")</f>
        <v/>
      </c>
      <c r="R659" s="92">
        <f>IF(AND(ISNUMBER(SEARCH("Espeto",N659)),ISNUMBER(SEARCH("Pavão",N659))),"SIM","")</f>
        <v/>
      </c>
      <c r="S659" s="92">
        <f>IF(AND(ISNUMBER(SEARCH("Espeto",N659)),ISNUMBER(SEARCH("Chac",N659))),"SIM","")</f>
        <v/>
      </c>
      <c r="T659" s="92">
        <f>IF(AND(ISNUMBER(SEARCH("Espeto",N659)),ISNUMBER(SEARCH("Madalena",N659))),"SIM","")</f>
        <v/>
      </c>
      <c r="U659" s="92">
        <f>IF(AND(ISNUMBER(SEARCH("Espeto",N659)),ISNUMBER(SEARCH("Mariana",N659))),"SIM","")</f>
        <v/>
      </c>
      <c r="V659" s="92">
        <f>IF(AND(ISNUMBER(SEARCH("Espeto",N659)),ISNUMBER(SEARCH("Perdizes",N659))),"SIM","")</f>
        <v/>
      </c>
      <c r="W659" s="92">
        <f>IF(AND(ISNUMBER(SEARCH("Espeto",N659)),ISNUMBER(SEARCH("Santana",N659))),"SIM","")</f>
        <v/>
      </c>
      <c r="X659" s="92">
        <f>IF(AND(ISNUMBER(SEARCH("Espeto",N659)),ISNUMBER(SEARCH("André",N659))),"SIM","")</f>
        <v/>
      </c>
      <c r="Y659" s="92">
        <f>IF(AND(ISNUMBER(SEARCH("Delivery",N659)),ISNUMBER(SEARCH("Carin",N659))),"SIM","")</f>
        <v/>
      </c>
      <c r="Z659" s="92">
        <f>IF(AND(ISNUMBER(SEARCH("Delivery",N659)),ISNUMBER(SEARCH("Lapa",N659))),"SIM","")</f>
        <v/>
      </c>
      <c r="AA659" s="92">
        <f>IF(AND(ISNUMBER(SEARCH("Delivery",N659)),ISNUMBER(SEARCH("Tatuapé",N659))),"SIM","")</f>
        <v/>
      </c>
      <c r="AB659" s="92">
        <f>IF(AND(ISNUMBER(SEARCH("Delivery",N659)),ISNUMBER(SEARCH("Pavão",N659))),"SIM","")</f>
        <v/>
      </c>
      <c r="AC659" s="92">
        <f>IF(AND(ISNUMBER(SEARCH("Delivery",N659)),ISNUMBER(SEARCH("Chac",N659))),"SIM","")</f>
        <v/>
      </c>
      <c r="AD659" s="92">
        <f>IF(AND(ISNUMBER(SEARCH("Delivery",N659)),ISNUMBER(SEARCH("Madalena",N659))),"SIM","")</f>
        <v/>
      </c>
      <c r="AE659" s="99">
        <f>IF(AND(ISNUMBER(SEARCH("Delivery",N659)),ISNUMBER(SEARCH("Mariana",N659))),"SIM","")</f>
        <v/>
      </c>
      <c r="AF659" s="99">
        <f>IF(AND(ISNUMBER(SEARCH("Delivery",N659)),ISNUMBER(SEARCH("Perdizes",N659))),"SIM","")</f>
        <v/>
      </c>
      <c r="AG659" s="99">
        <f>IF(AND(ISNUMBER(SEARCH("Delivery",N659)),ISNUMBER(SEARCH("Santana",N659))),"SIM","")</f>
        <v/>
      </c>
      <c r="AH659" s="99">
        <f>IF(AND(ISNUMBER(SEARCH("Delivery",N659)),ISNUMBER(SEARCH("André",N659))),"SIM","")</f>
        <v/>
      </c>
      <c r="AI659" s="99">
        <f>IF(ISNUMBER(SEARCH("Interlagos",N659)),"SIM","")</f>
        <v/>
      </c>
      <c r="AJ659" s="99">
        <f>IF(ISNUMBER(SEARCH("Quiosque",N659)),"SIM","")</f>
        <v/>
      </c>
      <c r="AK659" s="101" t="n"/>
    </row>
    <row r="660">
      <c r="A660" s="88" t="inlineStr">
        <is>
          <t>Protheus</t>
        </is>
      </c>
      <c r="B660" s="89" t="inlineStr">
        <is>
          <t>000859</t>
        </is>
      </c>
      <c r="C660" s="90">
        <f>IF(B660="—","—",IFERROR(VLOOKUP(B660,_Protheus_Cadastro!$A:$B,2,FALSE),"—"))</f>
        <v/>
      </c>
      <c r="D660" s="91">
        <f>IF(B660="—",IFERROR(INDEX(_ZIG_Cadastro!$D:$D,MATCH(H660,_ZIG_Cadastro!$A:$A,0)),"Produto"),IFERROR(VLOOKUP(B660,_Protheus_Cadastro!$A:$C,3,FALSE),"—"))</f>
        <v/>
      </c>
      <c r="E660" s="91">
        <f>IF(B660="—","—",IFERROR(VLOOKUP(B660,_Protheus_Cadastro!$A:$D,4,FALSE),"—"))</f>
        <v/>
      </c>
      <c r="F660" s="91">
        <f>IF(ISERROR(VLOOKUP(B660,'Estrutura Protheus'!A:A,1,FALSE)),"Não","Sim")</f>
        <v/>
      </c>
      <c r="G660" s="92">
        <f>IFERROR(INDEX(_Protheus_Cadastro!$H:$H,MATCH(B660,_Protheus_Cadastro!$A:$A,0)),"—")</f>
        <v/>
      </c>
      <c r="H660" s="210">
        <f>IFERROR(INDEX(_ZIG_Precos!$D:$D,MATCH(I660,_ZIG_Precos!$F:$F,0)),"—")</f>
        <v/>
      </c>
      <c r="I660" s="95">
        <f>IFERROR(VLOOKUP(B660,_Protheus_Cadastro!$A:$I,9,FALSE),"—")</f>
        <v/>
      </c>
      <c r="J660" s="93">
        <f>IFERROR(INDEX(_ZIG_Cadastro!$B:$B,MATCH(I660,_ZIG_Cadastro!$A:$A,0)),IFERROR(INDEX(_Entradas_ZIG!$B:$B,MATCH(I660,_Entradas_ZIG!$C:$C,0)),"—"))</f>
        <v/>
      </c>
      <c r="K660" s="93">
        <f>IFERROR(INDEX(_ZIG_Cadastro!$C:$C,MATCH(I660,_ZIG_Cadastro!$A:$A,0)),IFERROR(INDEX(_Entradas_ZIG!$D:$D,MATCH(I660,_Entradas_ZIG!$C:$C,0)),"—"))</f>
        <v/>
      </c>
      <c r="L660" s="92">
        <f>IF(I660="","Sem SKU ZIG",IF(I660="—","Sem SKU ZIG",IF(NOT(ISERROR(MATCH(I660,_ZIG_Cadastro!$A:$A,0))),IF(EXACT(UPPER(TRIM(C660)),UPPER(TRIM(INDEX(_ZIG_Cadastro!$B:$B,MATCH(I660,_ZIG_Cadastro!$A:$A,0))))),"OK","Atencao - Nome diverge"),IF(NOT(ISERROR(MATCH(I660,_Entradas_ZIG!$C:$C,0))),"OK","Erro - SKU nao encontrado"))))</f>
        <v/>
      </c>
      <c r="M660" s="92">
        <f>IFERROR(INDEX(_ZIG_Cadastro!$G:$G,MATCH(I660,_ZIG_Cadastro!$A:$A,0)),IF(NOT(ISERROR(MATCH(I660,_Entradas_ZIG!$C:$C,0))),"Ativo","—"))</f>
        <v/>
      </c>
      <c r="N660" s="94">
        <f>IFERROR(INDEX(_ZIG_Cadastro!$E:$E,MATCH(I660,_ZIG_Cadastro!$A:$A,0)),IFERROR(INDEX(_Entradas_ZIG!$F:$F,MATCH(I660,_Entradas_ZIG!$C:$C,0)),"—"))</f>
        <v/>
      </c>
      <c r="O660" s="92">
        <f>IF(AND(ISNUMBER(SEARCH("Espeto",N660)),ISNUMBER(SEARCH("Carin",N660))),"SIM","")</f>
        <v/>
      </c>
      <c r="P660" s="92">
        <f>IF(AND(ISNUMBER(SEARCH("Espeto",N660)),ISNUMBER(SEARCH("Lapa",N660))),"SIM","")</f>
        <v/>
      </c>
      <c r="Q660" s="92">
        <f>IF(AND(ISNUMBER(SEARCH("Espeto",N660)),ISNUMBER(SEARCH("Tatuapé",N660))),"SIM","")</f>
        <v/>
      </c>
      <c r="R660" s="92">
        <f>IF(AND(ISNUMBER(SEARCH("Espeto",N660)),ISNUMBER(SEARCH("Pavão",N660))),"SIM","")</f>
        <v/>
      </c>
      <c r="S660" s="92">
        <f>IF(AND(ISNUMBER(SEARCH("Espeto",N660)),ISNUMBER(SEARCH("Chac",N660))),"SIM","")</f>
        <v/>
      </c>
      <c r="T660" s="92">
        <f>IF(AND(ISNUMBER(SEARCH("Espeto",N660)),ISNUMBER(SEARCH("Madalena",N660))),"SIM","")</f>
        <v/>
      </c>
      <c r="U660" s="92">
        <f>IF(AND(ISNUMBER(SEARCH("Espeto",N660)),ISNUMBER(SEARCH("Mariana",N660))),"SIM","")</f>
        <v/>
      </c>
      <c r="V660" s="92">
        <f>IF(AND(ISNUMBER(SEARCH("Espeto",N660)),ISNUMBER(SEARCH("Perdizes",N660))),"SIM","")</f>
        <v/>
      </c>
      <c r="W660" s="92">
        <f>IF(AND(ISNUMBER(SEARCH("Espeto",N660)),ISNUMBER(SEARCH("Santana",N660))),"SIM","")</f>
        <v/>
      </c>
      <c r="X660" s="92">
        <f>IF(AND(ISNUMBER(SEARCH("Espeto",N660)),ISNUMBER(SEARCH("André",N660))),"SIM","")</f>
        <v/>
      </c>
      <c r="Y660" s="92">
        <f>IF(AND(ISNUMBER(SEARCH("Delivery",N660)),ISNUMBER(SEARCH("Carin",N660))),"SIM","")</f>
        <v/>
      </c>
      <c r="Z660" s="92">
        <f>IF(AND(ISNUMBER(SEARCH("Delivery",N660)),ISNUMBER(SEARCH("Lapa",N660))),"SIM","")</f>
        <v/>
      </c>
      <c r="AA660" s="92">
        <f>IF(AND(ISNUMBER(SEARCH("Delivery",N660)),ISNUMBER(SEARCH("Tatuapé",N660))),"SIM","")</f>
        <v/>
      </c>
      <c r="AB660" s="92">
        <f>IF(AND(ISNUMBER(SEARCH("Delivery",N660)),ISNUMBER(SEARCH("Pavão",N660))),"SIM","")</f>
        <v/>
      </c>
      <c r="AC660" s="92">
        <f>IF(AND(ISNUMBER(SEARCH("Delivery",N660)),ISNUMBER(SEARCH("Chac",N660))),"SIM","")</f>
        <v/>
      </c>
      <c r="AD660" s="92">
        <f>IF(AND(ISNUMBER(SEARCH("Delivery",N660)),ISNUMBER(SEARCH("Madalena",N660))),"SIM","")</f>
        <v/>
      </c>
      <c r="AE660" s="99">
        <f>IF(AND(ISNUMBER(SEARCH("Delivery",N660)),ISNUMBER(SEARCH("Mariana",N660))),"SIM","")</f>
        <v/>
      </c>
      <c r="AF660" s="99">
        <f>IF(AND(ISNUMBER(SEARCH("Delivery",N660)),ISNUMBER(SEARCH("Perdizes",N660))),"SIM","")</f>
        <v/>
      </c>
      <c r="AG660" s="99">
        <f>IF(AND(ISNUMBER(SEARCH("Delivery",N660)),ISNUMBER(SEARCH("Santana",N660))),"SIM","")</f>
        <v/>
      </c>
      <c r="AH660" s="99">
        <f>IF(AND(ISNUMBER(SEARCH("Delivery",N660)),ISNUMBER(SEARCH("André",N660))),"SIM","")</f>
        <v/>
      </c>
      <c r="AI660" s="99">
        <f>IF(ISNUMBER(SEARCH("Interlagos",N660)),"SIM","")</f>
        <v/>
      </c>
      <c r="AJ660" s="99">
        <f>IF(ISNUMBER(SEARCH("Quiosque",N660)),"SIM","")</f>
        <v/>
      </c>
      <c r="AK660" s="101" t="n"/>
    </row>
    <row r="661">
      <c r="A661" s="88" t="inlineStr">
        <is>
          <t>Protheus</t>
        </is>
      </c>
      <c r="B661" s="89" t="inlineStr">
        <is>
          <t>000861</t>
        </is>
      </c>
      <c r="C661" s="90">
        <f>IF(B661="—","—",IFERROR(VLOOKUP(B661,_Protheus_Cadastro!$A:$B,2,FALSE),"—"))</f>
        <v/>
      </c>
      <c r="D661" s="91">
        <f>IF(B661="—",IFERROR(INDEX(_ZIG_Cadastro!$D:$D,MATCH(H661,_ZIG_Cadastro!$A:$A,0)),"Produto"),IFERROR(VLOOKUP(B661,_Protheus_Cadastro!$A:$C,3,FALSE),"—"))</f>
        <v/>
      </c>
      <c r="E661" s="91">
        <f>IF(B661="—","—",IFERROR(VLOOKUP(B661,_Protheus_Cadastro!$A:$D,4,FALSE),"—"))</f>
        <v/>
      </c>
      <c r="F661" s="91">
        <f>IF(ISERROR(VLOOKUP(B661,'Estrutura Protheus'!A:A,1,FALSE)),"Não","Sim")</f>
        <v/>
      </c>
      <c r="G661" s="92">
        <f>IFERROR(INDEX(_Protheus_Cadastro!$H:$H,MATCH(B661,_Protheus_Cadastro!$A:$A,0)),"—")</f>
        <v/>
      </c>
      <c r="H661" s="210">
        <f>IFERROR(INDEX(_ZIG_Precos!$D:$D,MATCH(I661,_ZIG_Precos!$F:$F,0)),"—")</f>
        <v/>
      </c>
      <c r="I661" s="95">
        <f>IFERROR(VLOOKUP(B661,_Protheus_Cadastro!$A:$I,9,FALSE),"—")</f>
        <v/>
      </c>
      <c r="J661" s="93">
        <f>IFERROR(INDEX(_ZIG_Cadastro!$B:$B,MATCH(I661,_ZIG_Cadastro!$A:$A,0)),IFERROR(INDEX(_Entradas_ZIG!$B:$B,MATCH(I661,_Entradas_ZIG!$C:$C,0)),"—"))</f>
        <v/>
      </c>
      <c r="K661" s="93">
        <f>IFERROR(INDEX(_ZIG_Cadastro!$C:$C,MATCH(I661,_ZIG_Cadastro!$A:$A,0)),IFERROR(INDEX(_Entradas_ZIG!$D:$D,MATCH(I661,_Entradas_ZIG!$C:$C,0)),"—"))</f>
        <v/>
      </c>
      <c r="L661" s="92">
        <f>IF(I661="","Sem SKU ZIG",IF(I661="—","Sem SKU ZIG",IF(NOT(ISERROR(MATCH(I661,_ZIG_Cadastro!$A:$A,0))),IF(EXACT(UPPER(TRIM(C661)),UPPER(TRIM(INDEX(_ZIG_Cadastro!$B:$B,MATCH(I661,_ZIG_Cadastro!$A:$A,0))))),"OK","Atencao - Nome diverge"),IF(NOT(ISERROR(MATCH(I661,_Entradas_ZIG!$C:$C,0))),"OK","Erro - SKU nao encontrado"))))</f>
        <v/>
      </c>
      <c r="M661" s="92">
        <f>IFERROR(INDEX(_ZIG_Cadastro!$G:$G,MATCH(I661,_ZIG_Cadastro!$A:$A,0)),IF(NOT(ISERROR(MATCH(I661,_Entradas_ZIG!$C:$C,0))),"Ativo","—"))</f>
        <v/>
      </c>
      <c r="N661" s="94">
        <f>IFERROR(INDEX(_ZIG_Cadastro!$E:$E,MATCH(I661,_ZIG_Cadastro!$A:$A,0)),IFERROR(INDEX(_Entradas_ZIG!$F:$F,MATCH(I661,_Entradas_ZIG!$C:$C,0)),"—"))</f>
        <v/>
      </c>
      <c r="O661" s="92">
        <f>IF(AND(ISNUMBER(SEARCH("Espeto",N661)),ISNUMBER(SEARCH("Carin",N661))),"SIM","")</f>
        <v/>
      </c>
      <c r="P661" s="92">
        <f>IF(AND(ISNUMBER(SEARCH("Espeto",N661)),ISNUMBER(SEARCH("Lapa",N661))),"SIM","")</f>
        <v/>
      </c>
      <c r="Q661" s="92">
        <f>IF(AND(ISNUMBER(SEARCH("Espeto",N661)),ISNUMBER(SEARCH("Tatuapé",N661))),"SIM","")</f>
        <v/>
      </c>
      <c r="R661" s="92">
        <f>IF(AND(ISNUMBER(SEARCH("Espeto",N661)),ISNUMBER(SEARCH("Pavão",N661))),"SIM","")</f>
        <v/>
      </c>
      <c r="S661" s="92">
        <f>IF(AND(ISNUMBER(SEARCH("Espeto",N661)),ISNUMBER(SEARCH("Chac",N661))),"SIM","")</f>
        <v/>
      </c>
      <c r="T661" s="92">
        <f>IF(AND(ISNUMBER(SEARCH("Espeto",N661)),ISNUMBER(SEARCH("Madalena",N661))),"SIM","")</f>
        <v/>
      </c>
      <c r="U661" s="92">
        <f>IF(AND(ISNUMBER(SEARCH("Espeto",N661)),ISNUMBER(SEARCH("Mariana",N661))),"SIM","")</f>
        <v/>
      </c>
      <c r="V661" s="92">
        <f>IF(AND(ISNUMBER(SEARCH("Espeto",N661)),ISNUMBER(SEARCH("Perdizes",N661))),"SIM","")</f>
        <v/>
      </c>
      <c r="W661" s="92">
        <f>IF(AND(ISNUMBER(SEARCH("Espeto",N661)),ISNUMBER(SEARCH("Santana",N661))),"SIM","")</f>
        <v/>
      </c>
      <c r="X661" s="92">
        <f>IF(AND(ISNUMBER(SEARCH("Espeto",N661)),ISNUMBER(SEARCH("André",N661))),"SIM","")</f>
        <v/>
      </c>
      <c r="Y661" s="92">
        <f>IF(AND(ISNUMBER(SEARCH("Delivery",N661)),ISNUMBER(SEARCH("Carin",N661))),"SIM","")</f>
        <v/>
      </c>
      <c r="Z661" s="92">
        <f>IF(AND(ISNUMBER(SEARCH("Delivery",N661)),ISNUMBER(SEARCH("Lapa",N661))),"SIM","")</f>
        <v/>
      </c>
      <c r="AA661" s="92">
        <f>IF(AND(ISNUMBER(SEARCH("Delivery",N661)),ISNUMBER(SEARCH("Tatuapé",N661))),"SIM","")</f>
        <v/>
      </c>
      <c r="AB661" s="92">
        <f>IF(AND(ISNUMBER(SEARCH("Delivery",N661)),ISNUMBER(SEARCH("Pavão",N661))),"SIM","")</f>
        <v/>
      </c>
      <c r="AC661" s="92">
        <f>IF(AND(ISNUMBER(SEARCH("Delivery",N661)),ISNUMBER(SEARCH("Chac",N661))),"SIM","")</f>
        <v/>
      </c>
      <c r="AD661" s="92">
        <f>IF(AND(ISNUMBER(SEARCH("Delivery",N661)),ISNUMBER(SEARCH("Madalena",N661))),"SIM","")</f>
        <v/>
      </c>
      <c r="AE661" s="99">
        <f>IF(AND(ISNUMBER(SEARCH("Delivery",N661)),ISNUMBER(SEARCH("Mariana",N661))),"SIM","")</f>
        <v/>
      </c>
      <c r="AF661" s="99">
        <f>IF(AND(ISNUMBER(SEARCH("Delivery",N661)),ISNUMBER(SEARCH("Perdizes",N661))),"SIM","")</f>
        <v/>
      </c>
      <c r="AG661" s="99">
        <f>IF(AND(ISNUMBER(SEARCH("Delivery",N661)),ISNUMBER(SEARCH("Santana",N661))),"SIM","")</f>
        <v/>
      </c>
      <c r="AH661" s="99">
        <f>IF(AND(ISNUMBER(SEARCH("Delivery",N661)),ISNUMBER(SEARCH("André",N661))),"SIM","")</f>
        <v/>
      </c>
      <c r="AI661" s="99">
        <f>IF(ISNUMBER(SEARCH("Interlagos",N661)),"SIM","")</f>
        <v/>
      </c>
      <c r="AJ661" s="99">
        <f>IF(ISNUMBER(SEARCH("Quiosque",N661)),"SIM","")</f>
        <v/>
      </c>
      <c r="AK661" s="101" t="n"/>
    </row>
    <row r="662">
      <c r="A662" s="88" t="inlineStr">
        <is>
          <t>Protheus</t>
        </is>
      </c>
      <c r="B662" s="89" t="inlineStr">
        <is>
          <t>000863</t>
        </is>
      </c>
      <c r="C662" s="90">
        <f>IF(B662="—","—",IFERROR(VLOOKUP(B662,_Protheus_Cadastro!$A:$B,2,FALSE),"—"))</f>
        <v/>
      </c>
      <c r="D662" s="91">
        <f>IF(B662="—",IFERROR(INDEX(_ZIG_Cadastro!$D:$D,MATCH(H662,_ZIG_Cadastro!$A:$A,0)),"Produto"),IFERROR(VLOOKUP(B662,_Protheus_Cadastro!$A:$C,3,FALSE),"—"))</f>
        <v/>
      </c>
      <c r="E662" s="91">
        <f>IF(B662="—","—",IFERROR(VLOOKUP(B662,_Protheus_Cadastro!$A:$D,4,FALSE),"—"))</f>
        <v/>
      </c>
      <c r="F662" s="91">
        <f>IF(ISERROR(VLOOKUP(B662,'Estrutura Protheus'!A:A,1,FALSE)),"Não","Sim")</f>
        <v/>
      </c>
      <c r="G662" s="92">
        <f>IFERROR(INDEX(_Protheus_Cadastro!$H:$H,MATCH(B662,_Protheus_Cadastro!$A:$A,0)),"—")</f>
        <v/>
      </c>
      <c r="H662" s="210">
        <f>IFERROR(INDEX(_ZIG_Precos!$D:$D,MATCH(I662,_ZIG_Precos!$F:$F,0)),"—")</f>
        <v/>
      </c>
      <c r="I662" s="95">
        <f>IFERROR(VLOOKUP(B662,_Protheus_Cadastro!$A:$I,9,FALSE),"—")</f>
        <v/>
      </c>
      <c r="J662" s="93">
        <f>IFERROR(INDEX(_ZIG_Cadastro!$B:$B,MATCH(I662,_ZIG_Cadastro!$A:$A,0)),IFERROR(INDEX(_Entradas_ZIG!$B:$B,MATCH(I662,_Entradas_ZIG!$C:$C,0)),"—"))</f>
        <v/>
      </c>
      <c r="K662" s="93">
        <f>IFERROR(INDEX(_ZIG_Cadastro!$C:$C,MATCH(I662,_ZIG_Cadastro!$A:$A,0)),IFERROR(INDEX(_Entradas_ZIG!$D:$D,MATCH(I662,_Entradas_ZIG!$C:$C,0)),"—"))</f>
        <v/>
      </c>
      <c r="L662" s="92">
        <f>IF(I662="","Sem SKU ZIG",IF(I662="—","Sem SKU ZIG",IF(NOT(ISERROR(MATCH(I662,_ZIG_Cadastro!$A:$A,0))),IF(EXACT(UPPER(TRIM(C662)),UPPER(TRIM(INDEX(_ZIG_Cadastro!$B:$B,MATCH(I662,_ZIG_Cadastro!$A:$A,0))))),"OK","Atencao - Nome diverge"),IF(NOT(ISERROR(MATCH(I662,_Entradas_ZIG!$C:$C,0))),"OK","Erro - SKU nao encontrado"))))</f>
        <v/>
      </c>
      <c r="M662" s="92">
        <f>IFERROR(INDEX(_ZIG_Cadastro!$G:$G,MATCH(I662,_ZIG_Cadastro!$A:$A,0)),IF(NOT(ISERROR(MATCH(I662,_Entradas_ZIG!$C:$C,0))),"Ativo","—"))</f>
        <v/>
      </c>
      <c r="N662" s="94">
        <f>IFERROR(INDEX(_ZIG_Cadastro!$E:$E,MATCH(I662,_ZIG_Cadastro!$A:$A,0)),IFERROR(INDEX(_Entradas_ZIG!$F:$F,MATCH(I662,_Entradas_ZIG!$C:$C,0)),"—"))</f>
        <v/>
      </c>
      <c r="O662" s="92">
        <f>IF(AND(ISNUMBER(SEARCH("Espeto",N662)),ISNUMBER(SEARCH("Carin",N662))),"SIM","")</f>
        <v/>
      </c>
      <c r="P662" s="92">
        <f>IF(AND(ISNUMBER(SEARCH("Espeto",N662)),ISNUMBER(SEARCH("Lapa",N662))),"SIM","")</f>
        <v/>
      </c>
      <c r="Q662" s="92">
        <f>IF(AND(ISNUMBER(SEARCH("Espeto",N662)),ISNUMBER(SEARCH("Tatuapé",N662))),"SIM","")</f>
        <v/>
      </c>
      <c r="R662" s="92">
        <f>IF(AND(ISNUMBER(SEARCH("Espeto",N662)),ISNUMBER(SEARCH("Pavão",N662))),"SIM","")</f>
        <v/>
      </c>
      <c r="S662" s="92">
        <f>IF(AND(ISNUMBER(SEARCH("Espeto",N662)),ISNUMBER(SEARCH("Chac",N662))),"SIM","")</f>
        <v/>
      </c>
      <c r="T662" s="92">
        <f>IF(AND(ISNUMBER(SEARCH("Espeto",N662)),ISNUMBER(SEARCH("Madalena",N662))),"SIM","")</f>
        <v/>
      </c>
      <c r="U662" s="92">
        <f>IF(AND(ISNUMBER(SEARCH("Espeto",N662)),ISNUMBER(SEARCH("Mariana",N662))),"SIM","")</f>
        <v/>
      </c>
      <c r="V662" s="92">
        <f>IF(AND(ISNUMBER(SEARCH("Espeto",N662)),ISNUMBER(SEARCH("Perdizes",N662))),"SIM","")</f>
        <v/>
      </c>
      <c r="W662" s="92">
        <f>IF(AND(ISNUMBER(SEARCH("Espeto",N662)),ISNUMBER(SEARCH("Santana",N662))),"SIM","")</f>
        <v/>
      </c>
      <c r="X662" s="92">
        <f>IF(AND(ISNUMBER(SEARCH("Espeto",N662)),ISNUMBER(SEARCH("André",N662))),"SIM","")</f>
        <v/>
      </c>
      <c r="Y662" s="92">
        <f>IF(AND(ISNUMBER(SEARCH("Delivery",N662)),ISNUMBER(SEARCH("Carin",N662))),"SIM","")</f>
        <v/>
      </c>
      <c r="Z662" s="92">
        <f>IF(AND(ISNUMBER(SEARCH("Delivery",N662)),ISNUMBER(SEARCH("Lapa",N662))),"SIM","")</f>
        <v/>
      </c>
      <c r="AA662" s="92">
        <f>IF(AND(ISNUMBER(SEARCH("Delivery",N662)),ISNUMBER(SEARCH("Tatuapé",N662))),"SIM","")</f>
        <v/>
      </c>
      <c r="AB662" s="92">
        <f>IF(AND(ISNUMBER(SEARCH("Delivery",N662)),ISNUMBER(SEARCH("Pavão",N662))),"SIM","")</f>
        <v/>
      </c>
      <c r="AC662" s="92">
        <f>IF(AND(ISNUMBER(SEARCH("Delivery",N662)),ISNUMBER(SEARCH("Chac",N662))),"SIM","")</f>
        <v/>
      </c>
      <c r="AD662" s="92">
        <f>IF(AND(ISNUMBER(SEARCH("Delivery",N662)),ISNUMBER(SEARCH("Madalena",N662))),"SIM","")</f>
        <v/>
      </c>
      <c r="AE662" s="99">
        <f>IF(AND(ISNUMBER(SEARCH("Delivery",N662)),ISNUMBER(SEARCH("Mariana",N662))),"SIM","")</f>
        <v/>
      </c>
      <c r="AF662" s="99">
        <f>IF(AND(ISNUMBER(SEARCH("Delivery",N662)),ISNUMBER(SEARCH("Perdizes",N662))),"SIM","")</f>
        <v/>
      </c>
      <c r="AG662" s="99">
        <f>IF(AND(ISNUMBER(SEARCH("Delivery",N662)),ISNUMBER(SEARCH("Santana",N662))),"SIM","")</f>
        <v/>
      </c>
      <c r="AH662" s="99">
        <f>IF(AND(ISNUMBER(SEARCH("Delivery",N662)),ISNUMBER(SEARCH("André",N662))),"SIM","")</f>
        <v/>
      </c>
      <c r="AI662" s="99">
        <f>IF(ISNUMBER(SEARCH("Interlagos",N662)),"SIM","")</f>
        <v/>
      </c>
      <c r="AJ662" s="99">
        <f>IF(ISNUMBER(SEARCH("Quiosque",N662)),"SIM","")</f>
        <v/>
      </c>
      <c r="AK662" s="101" t="n"/>
    </row>
    <row r="663">
      <c r="A663" s="88" t="inlineStr">
        <is>
          <t>Protheus</t>
        </is>
      </c>
      <c r="B663" s="89" t="inlineStr">
        <is>
          <t>000905</t>
        </is>
      </c>
      <c r="C663" s="90">
        <f>IF(B663="—","—",IFERROR(VLOOKUP(B663,_Protheus_Cadastro!$A:$B,2,FALSE),"—"))</f>
        <v/>
      </c>
      <c r="D663" s="91">
        <f>IF(B663="—",IFERROR(INDEX(_ZIG_Cadastro!$D:$D,MATCH(H663,_ZIG_Cadastro!$A:$A,0)),"Produto"),IFERROR(VLOOKUP(B663,_Protheus_Cadastro!$A:$C,3,FALSE),"—"))</f>
        <v/>
      </c>
      <c r="E663" s="91">
        <f>IF(B663="—","—",IFERROR(VLOOKUP(B663,_Protheus_Cadastro!$A:$D,4,FALSE),"—"))</f>
        <v/>
      </c>
      <c r="F663" s="91">
        <f>IF(ISERROR(VLOOKUP(B663,'Estrutura Protheus'!A:A,1,FALSE)),"Não","Sim")</f>
        <v/>
      </c>
      <c r="G663" s="92">
        <f>IFERROR(INDEX(_Protheus_Cadastro!$H:$H,MATCH(B663,_Protheus_Cadastro!$A:$A,0)),"—")</f>
        <v/>
      </c>
      <c r="H663" s="210">
        <f>IFERROR(INDEX(_ZIG_Precos!$D:$D,MATCH(I663,_ZIG_Precos!$F:$F,0)),"—")</f>
        <v/>
      </c>
      <c r="I663" s="95">
        <f>IFERROR(VLOOKUP(B663,_Protheus_Cadastro!$A:$I,9,FALSE),"—")</f>
        <v/>
      </c>
      <c r="J663" s="93">
        <f>IFERROR(INDEX(_ZIG_Cadastro!$B:$B,MATCH(I663,_ZIG_Cadastro!$A:$A,0)),IFERROR(INDEX(_Entradas_ZIG!$B:$B,MATCH(I663,_Entradas_ZIG!$C:$C,0)),"—"))</f>
        <v/>
      </c>
      <c r="K663" s="93">
        <f>IFERROR(INDEX(_ZIG_Cadastro!$C:$C,MATCH(I663,_ZIG_Cadastro!$A:$A,0)),IFERROR(INDEX(_Entradas_ZIG!$D:$D,MATCH(I663,_Entradas_ZIG!$C:$C,0)),"—"))</f>
        <v/>
      </c>
      <c r="L663" s="92">
        <f>IF(I663="","Sem SKU ZIG",IF(I663="—","Sem SKU ZIG",IF(NOT(ISERROR(MATCH(I663,_ZIG_Cadastro!$A:$A,0))),IF(EXACT(UPPER(TRIM(C663)),UPPER(TRIM(INDEX(_ZIG_Cadastro!$B:$B,MATCH(I663,_ZIG_Cadastro!$A:$A,0))))),"OK","Atencao - Nome diverge"),IF(NOT(ISERROR(MATCH(I663,_Entradas_ZIG!$C:$C,0))),"OK","Erro - SKU nao encontrado"))))</f>
        <v/>
      </c>
      <c r="M663" s="92">
        <f>IFERROR(INDEX(_ZIG_Cadastro!$G:$G,MATCH(I663,_ZIG_Cadastro!$A:$A,0)),IF(NOT(ISERROR(MATCH(I663,_Entradas_ZIG!$C:$C,0))),"Ativo","—"))</f>
        <v/>
      </c>
      <c r="N663" s="94">
        <f>IFERROR(INDEX(_ZIG_Cadastro!$E:$E,MATCH(I663,_ZIG_Cadastro!$A:$A,0)),IFERROR(INDEX(_Entradas_ZIG!$F:$F,MATCH(I663,_Entradas_ZIG!$C:$C,0)),"—"))</f>
        <v/>
      </c>
      <c r="O663" s="92">
        <f>IF(AND(ISNUMBER(SEARCH("Espeto",N663)),ISNUMBER(SEARCH("Carin",N663))),"SIM","")</f>
        <v/>
      </c>
      <c r="P663" s="92">
        <f>IF(AND(ISNUMBER(SEARCH("Espeto",N663)),ISNUMBER(SEARCH("Lapa",N663))),"SIM","")</f>
        <v/>
      </c>
      <c r="Q663" s="92">
        <f>IF(AND(ISNUMBER(SEARCH("Espeto",N663)),ISNUMBER(SEARCH("Tatuapé",N663))),"SIM","")</f>
        <v/>
      </c>
      <c r="R663" s="92">
        <f>IF(AND(ISNUMBER(SEARCH("Espeto",N663)),ISNUMBER(SEARCH("Pavão",N663))),"SIM","")</f>
        <v/>
      </c>
      <c r="S663" s="92">
        <f>IF(AND(ISNUMBER(SEARCH("Espeto",N663)),ISNUMBER(SEARCH("Chac",N663))),"SIM","")</f>
        <v/>
      </c>
      <c r="T663" s="92">
        <f>IF(AND(ISNUMBER(SEARCH("Espeto",N663)),ISNUMBER(SEARCH("Madalena",N663))),"SIM","")</f>
        <v/>
      </c>
      <c r="U663" s="92">
        <f>IF(AND(ISNUMBER(SEARCH("Espeto",N663)),ISNUMBER(SEARCH("Mariana",N663))),"SIM","")</f>
        <v/>
      </c>
      <c r="V663" s="92">
        <f>IF(AND(ISNUMBER(SEARCH("Espeto",N663)),ISNUMBER(SEARCH("Perdizes",N663))),"SIM","")</f>
        <v/>
      </c>
      <c r="W663" s="92">
        <f>IF(AND(ISNUMBER(SEARCH("Espeto",N663)),ISNUMBER(SEARCH("Santana",N663))),"SIM","")</f>
        <v/>
      </c>
      <c r="X663" s="92">
        <f>IF(AND(ISNUMBER(SEARCH("Espeto",N663)),ISNUMBER(SEARCH("André",N663))),"SIM","")</f>
        <v/>
      </c>
      <c r="Y663" s="92">
        <f>IF(AND(ISNUMBER(SEARCH("Delivery",N663)),ISNUMBER(SEARCH("Carin",N663))),"SIM","")</f>
        <v/>
      </c>
      <c r="Z663" s="92">
        <f>IF(AND(ISNUMBER(SEARCH("Delivery",N663)),ISNUMBER(SEARCH("Lapa",N663))),"SIM","")</f>
        <v/>
      </c>
      <c r="AA663" s="92">
        <f>IF(AND(ISNUMBER(SEARCH("Delivery",N663)),ISNUMBER(SEARCH("Tatuapé",N663))),"SIM","")</f>
        <v/>
      </c>
      <c r="AB663" s="92">
        <f>IF(AND(ISNUMBER(SEARCH("Delivery",N663)),ISNUMBER(SEARCH("Pavão",N663))),"SIM","")</f>
        <v/>
      </c>
      <c r="AC663" s="92">
        <f>IF(AND(ISNUMBER(SEARCH("Delivery",N663)),ISNUMBER(SEARCH("Chac",N663))),"SIM","")</f>
        <v/>
      </c>
      <c r="AD663" s="92">
        <f>IF(AND(ISNUMBER(SEARCH("Delivery",N663)),ISNUMBER(SEARCH("Madalena",N663))),"SIM","")</f>
        <v/>
      </c>
      <c r="AE663" s="99">
        <f>IF(AND(ISNUMBER(SEARCH("Delivery",N663)),ISNUMBER(SEARCH("Mariana",N663))),"SIM","")</f>
        <v/>
      </c>
      <c r="AF663" s="99">
        <f>IF(AND(ISNUMBER(SEARCH("Delivery",N663)),ISNUMBER(SEARCH("Perdizes",N663))),"SIM","")</f>
        <v/>
      </c>
      <c r="AG663" s="99">
        <f>IF(AND(ISNUMBER(SEARCH("Delivery",N663)),ISNUMBER(SEARCH("Santana",N663))),"SIM","")</f>
        <v/>
      </c>
      <c r="AH663" s="99">
        <f>IF(AND(ISNUMBER(SEARCH("Delivery",N663)),ISNUMBER(SEARCH("André",N663))),"SIM","")</f>
        <v/>
      </c>
      <c r="AI663" s="99">
        <f>IF(ISNUMBER(SEARCH("Interlagos",N663)),"SIM","")</f>
        <v/>
      </c>
      <c r="AJ663" s="99">
        <f>IF(ISNUMBER(SEARCH("Quiosque",N663)),"SIM","")</f>
        <v/>
      </c>
      <c r="AK663" s="101" t="n"/>
    </row>
    <row r="664">
      <c r="A664" s="88" t="inlineStr">
        <is>
          <t>Protheus</t>
        </is>
      </c>
      <c r="B664" s="89" t="inlineStr">
        <is>
          <t>000906</t>
        </is>
      </c>
      <c r="C664" s="90">
        <f>IF(B664="—","—",IFERROR(VLOOKUP(B664,_Protheus_Cadastro!$A:$B,2,FALSE),"—"))</f>
        <v/>
      </c>
      <c r="D664" s="91">
        <f>IF(B664="—",IFERROR(INDEX(_ZIG_Cadastro!$D:$D,MATCH(H664,_ZIG_Cadastro!$A:$A,0)),"Produto"),IFERROR(VLOOKUP(B664,_Protheus_Cadastro!$A:$C,3,FALSE),"—"))</f>
        <v/>
      </c>
      <c r="E664" s="91">
        <f>IF(B664="—","—",IFERROR(VLOOKUP(B664,_Protheus_Cadastro!$A:$D,4,FALSE),"—"))</f>
        <v/>
      </c>
      <c r="F664" s="91">
        <f>IF(ISERROR(VLOOKUP(B664,'Estrutura Protheus'!A:A,1,FALSE)),"Não","Sim")</f>
        <v/>
      </c>
      <c r="G664" s="92">
        <f>IFERROR(INDEX(_Protheus_Cadastro!$H:$H,MATCH(B664,_Protheus_Cadastro!$A:$A,0)),"—")</f>
        <v/>
      </c>
      <c r="H664" s="210">
        <f>IFERROR(INDEX(_ZIG_Precos!$D:$D,MATCH(I664,_ZIG_Precos!$F:$F,0)),"—")</f>
        <v/>
      </c>
      <c r="I664" s="95">
        <f>IFERROR(VLOOKUP(B664,_Protheus_Cadastro!$A:$I,9,FALSE),"—")</f>
        <v/>
      </c>
      <c r="J664" s="93">
        <f>IFERROR(INDEX(_ZIG_Cadastro!$B:$B,MATCH(I664,_ZIG_Cadastro!$A:$A,0)),IFERROR(INDEX(_Entradas_ZIG!$B:$B,MATCH(I664,_Entradas_ZIG!$C:$C,0)),"—"))</f>
        <v/>
      </c>
      <c r="K664" s="93">
        <f>IFERROR(INDEX(_ZIG_Cadastro!$C:$C,MATCH(I664,_ZIG_Cadastro!$A:$A,0)),IFERROR(INDEX(_Entradas_ZIG!$D:$D,MATCH(I664,_Entradas_ZIG!$C:$C,0)),"—"))</f>
        <v/>
      </c>
      <c r="L664" s="92">
        <f>IF(I664="","Sem SKU ZIG",IF(I664="—","Sem SKU ZIG",IF(NOT(ISERROR(MATCH(I664,_ZIG_Cadastro!$A:$A,0))),IF(EXACT(UPPER(TRIM(C664)),UPPER(TRIM(INDEX(_ZIG_Cadastro!$B:$B,MATCH(I664,_ZIG_Cadastro!$A:$A,0))))),"OK","Atencao - Nome diverge"),IF(NOT(ISERROR(MATCH(I664,_Entradas_ZIG!$C:$C,0))),"OK","Erro - SKU nao encontrado"))))</f>
        <v/>
      </c>
      <c r="M664" s="92">
        <f>IFERROR(INDEX(_ZIG_Cadastro!$G:$G,MATCH(I664,_ZIG_Cadastro!$A:$A,0)),IF(NOT(ISERROR(MATCH(I664,_Entradas_ZIG!$C:$C,0))),"Ativo","—"))</f>
        <v/>
      </c>
      <c r="N664" s="94">
        <f>IFERROR(INDEX(_ZIG_Cadastro!$E:$E,MATCH(I664,_ZIG_Cadastro!$A:$A,0)),IFERROR(INDEX(_Entradas_ZIG!$F:$F,MATCH(I664,_Entradas_ZIG!$C:$C,0)),"—"))</f>
        <v/>
      </c>
      <c r="O664" s="92">
        <f>IF(AND(ISNUMBER(SEARCH("Espeto",N664)),ISNUMBER(SEARCH("Carin",N664))),"SIM","")</f>
        <v/>
      </c>
      <c r="P664" s="92">
        <f>IF(AND(ISNUMBER(SEARCH("Espeto",N664)),ISNUMBER(SEARCH("Lapa",N664))),"SIM","")</f>
        <v/>
      </c>
      <c r="Q664" s="92">
        <f>IF(AND(ISNUMBER(SEARCH("Espeto",N664)),ISNUMBER(SEARCH("Tatuapé",N664))),"SIM","")</f>
        <v/>
      </c>
      <c r="R664" s="92">
        <f>IF(AND(ISNUMBER(SEARCH("Espeto",N664)),ISNUMBER(SEARCH("Pavão",N664))),"SIM","")</f>
        <v/>
      </c>
      <c r="S664" s="92">
        <f>IF(AND(ISNUMBER(SEARCH("Espeto",N664)),ISNUMBER(SEARCH("Chac",N664))),"SIM","")</f>
        <v/>
      </c>
      <c r="T664" s="92">
        <f>IF(AND(ISNUMBER(SEARCH("Espeto",N664)),ISNUMBER(SEARCH("Madalena",N664))),"SIM","")</f>
        <v/>
      </c>
      <c r="U664" s="92">
        <f>IF(AND(ISNUMBER(SEARCH("Espeto",N664)),ISNUMBER(SEARCH("Mariana",N664))),"SIM","")</f>
        <v/>
      </c>
      <c r="V664" s="92">
        <f>IF(AND(ISNUMBER(SEARCH("Espeto",N664)),ISNUMBER(SEARCH("Perdizes",N664))),"SIM","")</f>
        <v/>
      </c>
      <c r="W664" s="92">
        <f>IF(AND(ISNUMBER(SEARCH("Espeto",N664)),ISNUMBER(SEARCH("Santana",N664))),"SIM","")</f>
        <v/>
      </c>
      <c r="X664" s="92">
        <f>IF(AND(ISNUMBER(SEARCH("Espeto",N664)),ISNUMBER(SEARCH("André",N664))),"SIM","")</f>
        <v/>
      </c>
      <c r="Y664" s="92">
        <f>IF(AND(ISNUMBER(SEARCH("Delivery",N664)),ISNUMBER(SEARCH("Carin",N664))),"SIM","")</f>
        <v/>
      </c>
      <c r="Z664" s="92">
        <f>IF(AND(ISNUMBER(SEARCH("Delivery",N664)),ISNUMBER(SEARCH("Lapa",N664))),"SIM","")</f>
        <v/>
      </c>
      <c r="AA664" s="92">
        <f>IF(AND(ISNUMBER(SEARCH("Delivery",N664)),ISNUMBER(SEARCH("Tatuapé",N664))),"SIM","")</f>
        <v/>
      </c>
      <c r="AB664" s="92">
        <f>IF(AND(ISNUMBER(SEARCH("Delivery",N664)),ISNUMBER(SEARCH("Pavão",N664))),"SIM","")</f>
        <v/>
      </c>
      <c r="AC664" s="92">
        <f>IF(AND(ISNUMBER(SEARCH("Delivery",N664)),ISNUMBER(SEARCH("Chac",N664))),"SIM","")</f>
        <v/>
      </c>
      <c r="AD664" s="92">
        <f>IF(AND(ISNUMBER(SEARCH("Delivery",N664)),ISNUMBER(SEARCH("Madalena",N664))),"SIM","")</f>
        <v/>
      </c>
      <c r="AE664" s="99">
        <f>IF(AND(ISNUMBER(SEARCH("Delivery",N664)),ISNUMBER(SEARCH("Mariana",N664))),"SIM","")</f>
        <v/>
      </c>
      <c r="AF664" s="99">
        <f>IF(AND(ISNUMBER(SEARCH("Delivery",N664)),ISNUMBER(SEARCH("Perdizes",N664))),"SIM","")</f>
        <v/>
      </c>
      <c r="AG664" s="99">
        <f>IF(AND(ISNUMBER(SEARCH("Delivery",N664)),ISNUMBER(SEARCH("Santana",N664))),"SIM","")</f>
        <v/>
      </c>
      <c r="AH664" s="99">
        <f>IF(AND(ISNUMBER(SEARCH("Delivery",N664)),ISNUMBER(SEARCH("André",N664))),"SIM","")</f>
        <v/>
      </c>
      <c r="AI664" s="99">
        <f>IF(ISNUMBER(SEARCH("Interlagos",N664)),"SIM","")</f>
        <v/>
      </c>
      <c r="AJ664" s="99">
        <f>IF(ISNUMBER(SEARCH("Quiosque",N664)),"SIM","")</f>
        <v/>
      </c>
      <c r="AK664" s="101" t="n"/>
    </row>
    <row r="665">
      <c r="A665" s="88" t="inlineStr">
        <is>
          <t>Protheus</t>
        </is>
      </c>
      <c r="B665" s="89" t="inlineStr">
        <is>
          <t>000907</t>
        </is>
      </c>
      <c r="C665" s="90">
        <f>IF(B665="—","—",IFERROR(VLOOKUP(B665,_Protheus_Cadastro!$A:$B,2,FALSE),"—"))</f>
        <v/>
      </c>
      <c r="D665" s="91">
        <f>IF(B665="—",IFERROR(INDEX(_ZIG_Cadastro!$D:$D,MATCH(H665,_ZIG_Cadastro!$A:$A,0)),"Produto"),IFERROR(VLOOKUP(B665,_Protheus_Cadastro!$A:$C,3,FALSE),"—"))</f>
        <v/>
      </c>
      <c r="E665" s="91">
        <f>IF(B665="—","—",IFERROR(VLOOKUP(B665,_Protheus_Cadastro!$A:$D,4,FALSE),"—"))</f>
        <v/>
      </c>
      <c r="F665" s="91">
        <f>IF(ISERROR(VLOOKUP(B665,'Estrutura Protheus'!A:A,1,FALSE)),"Não","Sim")</f>
        <v/>
      </c>
      <c r="G665" s="92">
        <f>IFERROR(INDEX(_Protheus_Cadastro!$H:$H,MATCH(B665,_Protheus_Cadastro!$A:$A,0)),"—")</f>
        <v/>
      </c>
      <c r="H665" s="210">
        <f>IFERROR(INDEX(_ZIG_Precos!$D:$D,MATCH(I665,_ZIG_Precos!$F:$F,0)),"—")</f>
        <v/>
      </c>
      <c r="I665" s="95">
        <f>IFERROR(VLOOKUP(B665,_Protheus_Cadastro!$A:$I,9,FALSE),"—")</f>
        <v/>
      </c>
      <c r="J665" s="93">
        <f>IFERROR(INDEX(_ZIG_Cadastro!$B:$B,MATCH(I665,_ZIG_Cadastro!$A:$A,0)),IFERROR(INDEX(_Entradas_ZIG!$B:$B,MATCH(I665,_Entradas_ZIG!$C:$C,0)),"—"))</f>
        <v/>
      </c>
      <c r="K665" s="93">
        <f>IFERROR(INDEX(_ZIG_Cadastro!$C:$C,MATCH(I665,_ZIG_Cadastro!$A:$A,0)),IFERROR(INDEX(_Entradas_ZIG!$D:$D,MATCH(I665,_Entradas_ZIG!$C:$C,0)),"—"))</f>
        <v/>
      </c>
      <c r="L665" s="92">
        <f>IF(I665="","Sem SKU ZIG",IF(I665="—","Sem SKU ZIG",IF(NOT(ISERROR(MATCH(I665,_ZIG_Cadastro!$A:$A,0))),IF(EXACT(UPPER(TRIM(C665)),UPPER(TRIM(INDEX(_ZIG_Cadastro!$B:$B,MATCH(I665,_ZIG_Cadastro!$A:$A,0))))),"OK","Atencao - Nome diverge"),IF(NOT(ISERROR(MATCH(I665,_Entradas_ZIG!$C:$C,0))),"OK","Erro - SKU nao encontrado"))))</f>
        <v/>
      </c>
      <c r="M665" s="92">
        <f>IFERROR(INDEX(_ZIG_Cadastro!$G:$G,MATCH(I665,_ZIG_Cadastro!$A:$A,0)),IF(NOT(ISERROR(MATCH(I665,_Entradas_ZIG!$C:$C,0))),"Ativo","—"))</f>
        <v/>
      </c>
      <c r="N665" s="94">
        <f>IFERROR(INDEX(_ZIG_Cadastro!$E:$E,MATCH(I665,_ZIG_Cadastro!$A:$A,0)),IFERROR(INDEX(_Entradas_ZIG!$F:$F,MATCH(I665,_Entradas_ZIG!$C:$C,0)),"—"))</f>
        <v/>
      </c>
      <c r="O665" s="92">
        <f>IF(AND(ISNUMBER(SEARCH("Espeto",N665)),ISNUMBER(SEARCH("Carin",N665))),"SIM","")</f>
        <v/>
      </c>
      <c r="P665" s="92">
        <f>IF(AND(ISNUMBER(SEARCH("Espeto",N665)),ISNUMBER(SEARCH("Lapa",N665))),"SIM","")</f>
        <v/>
      </c>
      <c r="Q665" s="92">
        <f>IF(AND(ISNUMBER(SEARCH("Espeto",N665)),ISNUMBER(SEARCH("Tatuapé",N665))),"SIM","")</f>
        <v/>
      </c>
      <c r="R665" s="92">
        <f>IF(AND(ISNUMBER(SEARCH("Espeto",N665)),ISNUMBER(SEARCH("Pavão",N665))),"SIM","")</f>
        <v/>
      </c>
      <c r="S665" s="92">
        <f>IF(AND(ISNUMBER(SEARCH("Espeto",N665)),ISNUMBER(SEARCH("Chac",N665))),"SIM","")</f>
        <v/>
      </c>
      <c r="T665" s="92">
        <f>IF(AND(ISNUMBER(SEARCH("Espeto",N665)),ISNUMBER(SEARCH("Madalena",N665))),"SIM","")</f>
        <v/>
      </c>
      <c r="U665" s="92">
        <f>IF(AND(ISNUMBER(SEARCH("Espeto",N665)),ISNUMBER(SEARCH("Mariana",N665))),"SIM","")</f>
        <v/>
      </c>
      <c r="V665" s="92">
        <f>IF(AND(ISNUMBER(SEARCH("Espeto",N665)),ISNUMBER(SEARCH("Perdizes",N665))),"SIM","")</f>
        <v/>
      </c>
      <c r="W665" s="92">
        <f>IF(AND(ISNUMBER(SEARCH("Espeto",N665)),ISNUMBER(SEARCH("Santana",N665))),"SIM","")</f>
        <v/>
      </c>
      <c r="X665" s="92">
        <f>IF(AND(ISNUMBER(SEARCH("Espeto",N665)),ISNUMBER(SEARCH("André",N665))),"SIM","")</f>
        <v/>
      </c>
      <c r="Y665" s="92">
        <f>IF(AND(ISNUMBER(SEARCH("Delivery",N665)),ISNUMBER(SEARCH("Carin",N665))),"SIM","")</f>
        <v/>
      </c>
      <c r="Z665" s="92">
        <f>IF(AND(ISNUMBER(SEARCH("Delivery",N665)),ISNUMBER(SEARCH("Lapa",N665))),"SIM","")</f>
        <v/>
      </c>
      <c r="AA665" s="92">
        <f>IF(AND(ISNUMBER(SEARCH("Delivery",N665)),ISNUMBER(SEARCH("Tatuapé",N665))),"SIM","")</f>
        <v/>
      </c>
      <c r="AB665" s="92">
        <f>IF(AND(ISNUMBER(SEARCH("Delivery",N665)),ISNUMBER(SEARCH("Pavão",N665))),"SIM","")</f>
        <v/>
      </c>
      <c r="AC665" s="92">
        <f>IF(AND(ISNUMBER(SEARCH("Delivery",N665)),ISNUMBER(SEARCH("Chac",N665))),"SIM","")</f>
        <v/>
      </c>
      <c r="AD665" s="92">
        <f>IF(AND(ISNUMBER(SEARCH("Delivery",N665)),ISNUMBER(SEARCH("Madalena",N665))),"SIM","")</f>
        <v/>
      </c>
      <c r="AE665" s="99">
        <f>IF(AND(ISNUMBER(SEARCH("Delivery",N665)),ISNUMBER(SEARCH("Mariana",N665))),"SIM","")</f>
        <v/>
      </c>
      <c r="AF665" s="99">
        <f>IF(AND(ISNUMBER(SEARCH("Delivery",N665)),ISNUMBER(SEARCH("Perdizes",N665))),"SIM","")</f>
        <v/>
      </c>
      <c r="AG665" s="99">
        <f>IF(AND(ISNUMBER(SEARCH("Delivery",N665)),ISNUMBER(SEARCH("Santana",N665))),"SIM","")</f>
        <v/>
      </c>
      <c r="AH665" s="99">
        <f>IF(AND(ISNUMBER(SEARCH("Delivery",N665)),ISNUMBER(SEARCH("André",N665))),"SIM","")</f>
        <v/>
      </c>
      <c r="AI665" s="99">
        <f>IF(ISNUMBER(SEARCH("Interlagos",N665)),"SIM","")</f>
        <v/>
      </c>
      <c r="AJ665" s="99">
        <f>IF(ISNUMBER(SEARCH("Quiosque",N665)),"SIM","")</f>
        <v/>
      </c>
      <c r="AK665" s="101" t="n"/>
    </row>
    <row r="666">
      <c r="A666" s="88" t="inlineStr">
        <is>
          <t>Protheus</t>
        </is>
      </c>
      <c r="B666" s="89" t="inlineStr">
        <is>
          <t>000908</t>
        </is>
      </c>
      <c r="C666" s="90">
        <f>IF(B666="—","—",IFERROR(VLOOKUP(B666,_Protheus_Cadastro!$A:$B,2,FALSE),"—"))</f>
        <v/>
      </c>
      <c r="D666" s="91">
        <f>IF(B666="—",IFERROR(INDEX(_ZIG_Cadastro!$D:$D,MATCH(H666,_ZIG_Cadastro!$A:$A,0)),"Produto"),IFERROR(VLOOKUP(B666,_Protheus_Cadastro!$A:$C,3,FALSE),"—"))</f>
        <v/>
      </c>
      <c r="E666" s="91">
        <f>IF(B666="—","—",IFERROR(VLOOKUP(B666,_Protheus_Cadastro!$A:$D,4,FALSE),"—"))</f>
        <v/>
      </c>
      <c r="F666" s="91">
        <f>IF(ISERROR(VLOOKUP(B666,'Estrutura Protheus'!A:A,1,FALSE)),"Não","Sim")</f>
        <v/>
      </c>
      <c r="G666" s="92">
        <f>IFERROR(INDEX(_Protheus_Cadastro!$H:$H,MATCH(B666,_Protheus_Cadastro!$A:$A,0)),"—")</f>
        <v/>
      </c>
      <c r="H666" s="210">
        <f>IFERROR(INDEX(_ZIG_Precos!$D:$D,MATCH(I666,_ZIG_Precos!$F:$F,0)),"—")</f>
        <v/>
      </c>
      <c r="I666" s="95">
        <f>IFERROR(VLOOKUP(B666,_Protheus_Cadastro!$A:$I,9,FALSE),"—")</f>
        <v/>
      </c>
      <c r="J666" s="93">
        <f>IFERROR(INDEX(_ZIG_Cadastro!$B:$B,MATCH(I666,_ZIG_Cadastro!$A:$A,0)),IFERROR(INDEX(_Entradas_ZIG!$B:$B,MATCH(I666,_Entradas_ZIG!$C:$C,0)),"—"))</f>
        <v/>
      </c>
      <c r="K666" s="93">
        <f>IFERROR(INDEX(_ZIG_Cadastro!$C:$C,MATCH(I666,_ZIG_Cadastro!$A:$A,0)),IFERROR(INDEX(_Entradas_ZIG!$D:$D,MATCH(I666,_Entradas_ZIG!$C:$C,0)),"—"))</f>
        <v/>
      </c>
      <c r="L666" s="92">
        <f>IF(I666="","Sem SKU ZIG",IF(I666="—","Sem SKU ZIG",IF(NOT(ISERROR(MATCH(I666,_ZIG_Cadastro!$A:$A,0))),IF(EXACT(UPPER(TRIM(C666)),UPPER(TRIM(INDEX(_ZIG_Cadastro!$B:$B,MATCH(I666,_ZIG_Cadastro!$A:$A,0))))),"OK","Atencao - Nome diverge"),IF(NOT(ISERROR(MATCH(I666,_Entradas_ZIG!$C:$C,0))),"OK","Erro - SKU nao encontrado"))))</f>
        <v/>
      </c>
      <c r="M666" s="92">
        <f>IFERROR(INDEX(_ZIG_Cadastro!$G:$G,MATCH(I666,_ZIG_Cadastro!$A:$A,0)),IF(NOT(ISERROR(MATCH(I666,_Entradas_ZIG!$C:$C,0))),"Ativo","—"))</f>
        <v/>
      </c>
      <c r="N666" s="94">
        <f>IFERROR(INDEX(_ZIG_Cadastro!$E:$E,MATCH(I666,_ZIG_Cadastro!$A:$A,0)),IFERROR(INDEX(_Entradas_ZIG!$F:$F,MATCH(I666,_Entradas_ZIG!$C:$C,0)),"—"))</f>
        <v/>
      </c>
      <c r="O666" s="92">
        <f>IF(AND(ISNUMBER(SEARCH("Espeto",N666)),ISNUMBER(SEARCH("Carin",N666))),"SIM","")</f>
        <v/>
      </c>
      <c r="P666" s="92">
        <f>IF(AND(ISNUMBER(SEARCH("Espeto",N666)),ISNUMBER(SEARCH("Lapa",N666))),"SIM","")</f>
        <v/>
      </c>
      <c r="Q666" s="92">
        <f>IF(AND(ISNUMBER(SEARCH("Espeto",N666)),ISNUMBER(SEARCH("Tatuapé",N666))),"SIM","")</f>
        <v/>
      </c>
      <c r="R666" s="92">
        <f>IF(AND(ISNUMBER(SEARCH("Espeto",N666)),ISNUMBER(SEARCH("Pavão",N666))),"SIM","")</f>
        <v/>
      </c>
      <c r="S666" s="92">
        <f>IF(AND(ISNUMBER(SEARCH("Espeto",N666)),ISNUMBER(SEARCH("Chac",N666))),"SIM","")</f>
        <v/>
      </c>
      <c r="T666" s="92">
        <f>IF(AND(ISNUMBER(SEARCH("Espeto",N666)),ISNUMBER(SEARCH("Madalena",N666))),"SIM","")</f>
        <v/>
      </c>
      <c r="U666" s="92">
        <f>IF(AND(ISNUMBER(SEARCH("Espeto",N666)),ISNUMBER(SEARCH("Mariana",N666))),"SIM","")</f>
        <v/>
      </c>
      <c r="V666" s="92">
        <f>IF(AND(ISNUMBER(SEARCH("Espeto",N666)),ISNUMBER(SEARCH("Perdizes",N666))),"SIM","")</f>
        <v/>
      </c>
      <c r="W666" s="92">
        <f>IF(AND(ISNUMBER(SEARCH("Espeto",N666)),ISNUMBER(SEARCH("Santana",N666))),"SIM","")</f>
        <v/>
      </c>
      <c r="X666" s="92">
        <f>IF(AND(ISNUMBER(SEARCH("Espeto",N666)),ISNUMBER(SEARCH("André",N666))),"SIM","")</f>
        <v/>
      </c>
      <c r="Y666" s="92">
        <f>IF(AND(ISNUMBER(SEARCH("Delivery",N666)),ISNUMBER(SEARCH("Carin",N666))),"SIM","")</f>
        <v/>
      </c>
      <c r="Z666" s="92">
        <f>IF(AND(ISNUMBER(SEARCH("Delivery",N666)),ISNUMBER(SEARCH("Lapa",N666))),"SIM","")</f>
        <v/>
      </c>
      <c r="AA666" s="92">
        <f>IF(AND(ISNUMBER(SEARCH("Delivery",N666)),ISNUMBER(SEARCH("Tatuapé",N666))),"SIM","")</f>
        <v/>
      </c>
      <c r="AB666" s="92">
        <f>IF(AND(ISNUMBER(SEARCH("Delivery",N666)),ISNUMBER(SEARCH("Pavão",N666))),"SIM","")</f>
        <v/>
      </c>
      <c r="AC666" s="92">
        <f>IF(AND(ISNUMBER(SEARCH("Delivery",N666)),ISNUMBER(SEARCH("Chac",N666))),"SIM","")</f>
        <v/>
      </c>
      <c r="AD666" s="92">
        <f>IF(AND(ISNUMBER(SEARCH("Delivery",N666)),ISNUMBER(SEARCH("Madalena",N666))),"SIM","")</f>
        <v/>
      </c>
      <c r="AE666" s="99">
        <f>IF(AND(ISNUMBER(SEARCH("Delivery",N666)),ISNUMBER(SEARCH("Mariana",N666))),"SIM","")</f>
        <v/>
      </c>
      <c r="AF666" s="99">
        <f>IF(AND(ISNUMBER(SEARCH("Delivery",N666)),ISNUMBER(SEARCH("Perdizes",N666))),"SIM","")</f>
        <v/>
      </c>
      <c r="AG666" s="99">
        <f>IF(AND(ISNUMBER(SEARCH("Delivery",N666)),ISNUMBER(SEARCH("Santana",N666))),"SIM","")</f>
        <v/>
      </c>
      <c r="AH666" s="99">
        <f>IF(AND(ISNUMBER(SEARCH("Delivery",N666)),ISNUMBER(SEARCH("André",N666))),"SIM","")</f>
        <v/>
      </c>
      <c r="AI666" s="99">
        <f>IF(ISNUMBER(SEARCH("Interlagos",N666)),"SIM","")</f>
        <v/>
      </c>
      <c r="AJ666" s="99">
        <f>IF(ISNUMBER(SEARCH("Quiosque",N666)),"SIM","")</f>
        <v/>
      </c>
      <c r="AK666" s="101" t="n"/>
    </row>
    <row r="667">
      <c r="A667" s="88" t="inlineStr">
        <is>
          <t>Protheus</t>
        </is>
      </c>
      <c r="B667" s="89" t="inlineStr">
        <is>
          <t>000909</t>
        </is>
      </c>
      <c r="C667" s="90">
        <f>IF(B667="—","—",IFERROR(VLOOKUP(B667,_Protheus_Cadastro!$A:$B,2,FALSE),"—"))</f>
        <v/>
      </c>
      <c r="D667" s="91">
        <f>IF(B667="—",IFERROR(INDEX(_ZIG_Cadastro!$D:$D,MATCH(H667,_ZIG_Cadastro!$A:$A,0)),"Produto"),IFERROR(VLOOKUP(B667,_Protheus_Cadastro!$A:$C,3,FALSE),"—"))</f>
        <v/>
      </c>
      <c r="E667" s="91">
        <f>IF(B667="—","—",IFERROR(VLOOKUP(B667,_Protheus_Cadastro!$A:$D,4,FALSE),"—"))</f>
        <v/>
      </c>
      <c r="F667" s="91">
        <f>IF(ISERROR(VLOOKUP(B667,'Estrutura Protheus'!A:A,1,FALSE)),"Não","Sim")</f>
        <v/>
      </c>
      <c r="G667" s="92">
        <f>IFERROR(INDEX(_Protheus_Cadastro!$H:$H,MATCH(B667,_Protheus_Cadastro!$A:$A,0)),"—")</f>
        <v/>
      </c>
      <c r="H667" s="210">
        <f>IFERROR(INDEX(_ZIG_Precos!$D:$D,MATCH(I667,_ZIG_Precos!$F:$F,0)),"—")</f>
        <v/>
      </c>
      <c r="I667" s="95">
        <f>IFERROR(VLOOKUP(B667,_Protheus_Cadastro!$A:$I,9,FALSE),"—")</f>
        <v/>
      </c>
      <c r="J667" s="93">
        <f>IFERROR(INDEX(_ZIG_Cadastro!$B:$B,MATCH(I667,_ZIG_Cadastro!$A:$A,0)),IFERROR(INDEX(_Entradas_ZIG!$B:$B,MATCH(I667,_Entradas_ZIG!$C:$C,0)),"—"))</f>
        <v/>
      </c>
      <c r="K667" s="93">
        <f>IFERROR(INDEX(_ZIG_Cadastro!$C:$C,MATCH(I667,_ZIG_Cadastro!$A:$A,0)),IFERROR(INDEX(_Entradas_ZIG!$D:$D,MATCH(I667,_Entradas_ZIG!$C:$C,0)),"—"))</f>
        <v/>
      </c>
      <c r="L667" s="92">
        <f>IF(I667="","Sem SKU ZIG",IF(I667="—","Sem SKU ZIG",IF(NOT(ISERROR(MATCH(I667,_ZIG_Cadastro!$A:$A,0))),IF(EXACT(UPPER(TRIM(C667)),UPPER(TRIM(INDEX(_ZIG_Cadastro!$B:$B,MATCH(I667,_ZIG_Cadastro!$A:$A,0))))),"OK","Atencao - Nome diverge"),IF(NOT(ISERROR(MATCH(I667,_Entradas_ZIG!$C:$C,0))),"OK","Erro - SKU nao encontrado"))))</f>
        <v/>
      </c>
      <c r="M667" s="92">
        <f>IFERROR(INDEX(_ZIG_Cadastro!$G:$G,MATCH(I667,_ZIG_Cadastro!$A:$A,0)),IF(NOT(ISERROR(MATCH(I667,_Entradas_ZIG!$C:$C,0))),"Ativo","—"))</f>
        <v/>
      </c>
      <c r="N667" s="94">
        <f>IFERROR(INDEX(_ZIG_Cadastro!$E:$E,MATCH(I667,_ZIG_Cadastro!$A:$A,0)),IFERROR(INDEX(_Entradas_ZIG!$F:$F,MATCH(I667,_Entradas_ZIG!$C:$C,0)),"—"))</f>
        <v/>
      </c>
      <c r="O667" s="92">
        <f>IF(AND(ISNUMBER(SEARCH("Espeto",N667)),ISNUMBER(SEARCH("Carin",N667))),"SIM","")</f>
        <v/>
      </c>
      <c r="P667" s="92">
        <f>IF(AND(ISNUMBER(SEARCH("Espeto",N667)),ISNUMBER(SEARCH("Lapa",N667))),"SIM","")</f>
        <v/>
      </c>
      <c r="Q667" s="92">
        <f>IF(AND(ISNUMBER(SEARCH("Espeto",N667)),ISNUMBER(SEARCH("Tatuapé",N667))),"SIM","")</f>
        <v/>
      </c>
      <c r="R667" s="92">
        <f>IF(AND(ISNUMBER(SEARCH("Espeto",N667)),ISNUMBER(SEARCH("Pavão",N667))),"SIM","")</f>
        <v/>
      </c>
      <c r="S667" s="92">
        <f>IF(AND(ISNUMBER(SEARCH("Espeto",N667)),ISNUMBER(SEARCH("Chac",N667))),"SIM","")</f>
        <v/>
      </c>
      <c r="T667" s="92">
        <f>IF(AND(ISNUMBER(SEARCH("Espeto",N667)),ISNUMBER(SEARCH("Madalena",N667))),"SIM","")</f>
        <v/>
      </c>
      <c r="U667" s="92">
        <f>IF(AND(ISNUMBER(SEARCH("Espeto",N667)),ISNUMBER(SEARCH("Mariana",N667))),"SIM","")</f>
        <v/>
      </c>
      <c r="V667" s="92">
        <f>IF(AND(ISNUMBER(SEARCH("Espeto",N667)),ISNUMBER(SEARCH("Perdizes",N667))),"SIM","")</f>
        <v/>
      </c>
      <c r="W667" s="92">
        <f>IF(AND(ISNUMBER(SEARCH("Espeto",N667)),ISNUMBER(SEARCH("Santana",N667))),"SIM","")</f>
        <v/>
      </c>
      <c r="X667" s="92">
        <f>IF(AND(ISNUMBER(SEARCH("Espeto",N667)),ISNUMBER(SEARCH("André",N667))),"SIM","")</f>
        <v/>
      </c>
      <c r="Y667" s="92">
        <f>IF(AND(ISNUMBER(SEARCH("Delivery",N667)),ISNUMBER(SEARCH("Carin",N667))),"SIM","")</f>
        <v/>
      </c>
      <c r="Z667" s="92">
        <f>IF(AND(ISNUMBER(SEARCH("Delivery",N667)),ISNUMBER(SEARCH("Lapa",N667))),"SIM","")</f>
        <v/>
      </c>
      <c r="AA667" s="92">
        <f>IF(AND(ISNUMBER(SEARCH("Delivery",N667)),ISNUMBER(SEARCH("Tatuapé",N667))),"SIM","")</f>
        <v/>
      </c>
      <c r="AB667" s="92">
        <f>IF(AND(ISNUMBER(SEARCH("Delivery",N667)),ISNUMBER(SEARCH("Pavão",N667))),"SIM","")</f>
        <v/>
      </c>
      <c r="AC667" s="92">
        <f>IF(AND(ISNUMBER(SEARCH("Delivery",N667)),ISNUMBER(SEARCH("Chac",N667))),"SIM","")</f>
        <v/>
      </c>
      <c r="AD667" s="92">
        <f>IF(AND(ISNUMBER(SEARCH("Delivery",N667)),ISNUMBER(SEARCH("Madalena",N667))),"SIM","")</f>
        <v/>
      </c>
      <c r="AE667" s="99">
        <f>IF(AND(ISNUMBER(SEARCH("Delivery",N667)),ISNUMBER(SEARCH("Mariana",N667))),"SIM","")</f>
        <v/>
      </c>
      <c r="AF667" s="99">
        <f>IF(AND(ISNUMBER(SEARCH("Delivery",N667)),ISNUMBER(SEARCH("Perdizes",N667))),"SIM","")</f>
        <v/>
      </c>
      <c r="AG667" s="99">
        <f>IF(AND(ISNUMBER(SEARCH("Delivery",N667)),ISNUMBER(SEARCH("Santana",N667))),"SIM","")</f>
        <v/>
      </c>
      <c r="AH667" s="99">
        <f>IF(AND(ISNUMBER(SEARCH("Delivery",N667)),ISNUMBER(SEARCH("André",N667))),"SIM","")</f>
        <v/>
      </c>
      <c r="AI667" s="99">
        <f>IF(ISNUMBER(SEARCH("Interlagos",N667)),"SIM","")</f>
        <v/>
      </c>
      <c r="AJ667" s="99">
        <f>IF(ISNUMBER(SEARCH("Quiosque",N667)),"SIM","")</f>
        <v/>
      </c>
      <c r="AK667" s="101" t="n"/>
    </row>
    <row r="668">
      <c r="A668" s="88" t="inlineStr">
        <is>
          <t>Protheus</t>
        </is>
      </c>
      <c r="B668" s="89" t="inlineStr">
        <is>
          <t>000911</t>
        </is>
      </c>
      <c r="C668" s="90">
        <f>IF(B668="—","—",IFERROR(VLOOKUP(B668,_Protheus_Cadastro!$A:$B,2,FALSE),"—"))</f>
        <v/>
      </c>
      <c r="D668" s="91">
        <f>IF(B668="—",IFERROR(INDEX(_ZIG_Cadastro!$D:$D,MATCH(H668,_ZIG_Cadastro!$A:$A,0)),"Produto"),IFERROR(VLOOKUP(B668,_Protheus_Cadastro!$A:$C,3,FALSE),"—"))</f>
        <v/>
      </c>
      <c r="E668" s="91">
        <f>IF(B668="—","—",IFERROR(VLOOKUP(B668,_Protheus_Cadastro!$A:$D,4,FALSE),"—"))</f>
        <v/>
      </c>
      <c r="F668" s="91">
        <f>IF(ISERROR(VLOOKUP(B668,'Estrutura Protheus'!A:A,1,FALSE)),"Não","Sim")</f>
        <v/>
      </c>
      <c r="G668" s="92">
        <f>IFERROR(INDEX(_Protheus_Cadastro!$H:$H,MATCH(B668,_Protheus_Cadastro!$A:$A,0)),"—")</f>
        <v/>
      </c>
      <c r="H668" s="210">
        <f>IFERROR(INDEX(_ZIG_Precos!$D:$D,MATCH(I668,_ZIG_Precos!$F:$F,0)),"—")</f>
        <v/>
      </c>
      <c r="I668" s="95">
        <f>IFERROR(VLOOKUP(B668,_Protheus_Cadastro!$A:$I,9,FALSE),"—")</f>
        <v/>
      </c>
      <c r="J668" s="93">
        <f>IFERROR(INDEX(_ZIG_Cadastro!$B:$B,MATCH(I668,_ZIG_Cadastro!$A:$A,0)),IFERROR(INDEX(_Entradas_ZIG!$B:$B,MATCH(I668,_Entradas_ZIG!$C:$C,0)),"—"))</f>
        <v/>
      </c>
      <c r="K668" s="93">
        <f>IFERROR(INDEX(_ZIG_Cadastro!$C:$C,MATCH(I668,_ZIG_Cadastro!$A:$A,0)),IFERROR(INDEX(_Entradas_ZIG!$D:$D,MATCH(I668,_Entradas_ZIG!$C:$C,0)),"—"))</f>
        <v/>
      </c>
      <c r="L668" s="92">
        <f>IF(I668="","Sem SKU ZIG",IF(I668="—","Sem SKU ZIG",IF(NOT(ISERROR(MATCH(I668,_ZIG_Cadastro!$A:$A,0))),IF(EXACT(UPPER(TRIM(C668)),UPPER(TRIM(INDEX(_ZIG_Cadastro!$B:$B,MATCH(I668,_ZIG_Cadastro!$A:$A,0))))),"OK","Atencao - Nome diverge"),IF(NOT(ISERROR(MATCH(I668,_Entradas_ZIG!$C:$C,0))),"OK","Erro - SKU nao encontrado"))))</f>
        <v/>
      </c>
      <c r="M668" s="92">
        <f>IFERROR(INDEX(_ZIG_Cadastro!$G:$G,MATCH(I668,_ZIG_Cadastro!$A:$A,0)),IF(NOT(ISERROR(MATCH(I668,_Entradas_ZIG!$C:$C,0))),"Ativo","—"))</f>
        <v/>
      </c>
      <c r="N668" s="94">
        <f>IFERROR(INDEX(_ZIG_Cadastro!$E:$E,MATCH(I668,_ZIG_Cadastro!$A:$A,0)),IFERROR(INDEX(_Entradas_ZIG!$F:$F,MATCH(I668,_Entradas_ZIG!$C:$C,0)),"—"))</f>
        <v/>
      </c>
      <c r="O668" s="92">
        <f>IF(AND(ISNUMBER(SEARCH("Espeto",N668)),ISNUMBER(SEARCH("Carin",N668))),"SIM","")</f>
        <v/>
      </c>
      <c r="P668" s="92">
        <f>IF(AND(ISNUMBER(SEARCH("Espeto",N668)),ISNUMBER(SEARCH("Lapa",N668))),"SIM","")</f>
        <v/>
      </c>
      <c r="Q668" s="92">
        <f>IF(AND(ISNUMBER(SEARCH("Espeto",N668)),ISNUMBER(SEARCH("Tatuapé",N668))),"SIM","")</f>
        <v/>
      </c>
      <c r="R668" s="92">
        <f>IF(AND(ISNUMBER(SEARCH("Espeto",N668)),ISNUMBER(SEARCH("Pavão",N668))),"SIM","")</f>
        <v/>
      </c>
      <c r="S668" s="92">
        <f>IF(AND(ISNUMBER(SEARCH("Espeto",N668)),ISNUMBER(SEARCH("Chac",N668))),"SIM","")</f>
        <v/>
      </c>
      <c r="T668" s="92">
        <f>IF(AND(ISNUMBER(SEARCH("Espeto",N668)),ISNUMBER(SEARCH("Madalena",N668))),"SIM","")</f>
        <v/>
      </c>
      <c r="U668" s="92">
        <f>IF(AND(ISNUMBER(SEARCH("Espeto",N668)),ISNUMBER(SEARCH("Mariana",N668))),"SIM","")</f>
        <v/>
      </c>
      <c r="V668" s="92">
        <f>IF(AND(ISNUMBER(SEARCH("Espeto",N668)),ISNUMBER(SEARCH("Perdizes",N668))),"SIM","")</f>
        <v/>
      </c>
      <c r="W668" s="92">
        <f>IF(AND(ISNUMBER(SEARCH("Espeto",N668)),ISNUMBER(SEARCH("Santana",N668))),"SIM","")</f>
        <v/>
      </c>
      <c r="X668" s="92">
        <f>IF(AND(ISNUMBER(SEARCH("Espeto",N668)),ISNUMBER(SEARCH("André",N668))),"SIM","")</f>
        <v/>
      </c>
      <c r="Y668" s="92">
        <f>IF(AND(ISNUMBER(SEARCH("Delivery",N668)),ISNUMBER(SEARCH("Carin",N668))),"SIM","")</f>
        <v/>
      </c>
      <c r="Z668" s="92">
        <f>IF(AND(ISNUMBER(SEARCH("Delivery",N668)),ISNUMBER(SEARCH("Lapa",N668))),"SIM","")</f>
        <v/>
      </c>
      <c r="AA668" s="92">
        <f>IF(AND(ISNUMBER(SEARCH("Delivery",N668)),ISNUMBER(SEARCH("Tatuapé",N668))),"SIM","")</f>
        <v/>
      </c>
      <c r="AB668" s="92">
        <f>IF(AND(ISNUMBER(SEARCH("Delivery",N668)),ISNUMBER(SEARCH("Pavão",N668))),"SIM","")</f>
        <v/>
      </c>
      <c r="AC668" s="92">
        <f>IF(AND(ISNUMBER(SEARCH("Delivery",N668)),ISNUMBER(SEARCH("Chac",N668))),"SIM","")</f>
        <v/>
      </c>
      <c r="AD668" s="92">
        <f>IF(AND(ISNUMBER(SEARCH("Delivery",N668)),ISNUMBER(SEARCH("Madalena",N668))),"SIM","")</f>
        <v/>
      </c>
      <c r="AE668" s="99">
        <f>IF(AND(ISNUMBER(SEARCH("Delivery",N668)),ISNUMBER(SEARCH("Mariana",N668))),"SIM","")</f>
        <v/>
      </c>
      <c r="AF668" s="99">
        <f>IF(AND(ISNUMBER(SEARCH("Delivery",N668)),ISNUMBER(SEARCH("Perdizes",N668))),"SIM","")</f>
        <v/>
      </c>
      <c r="AG668" s="99">
        <f>IF(AND(ISNUMBER(SEARCH("Delivery",N668)),ISNUMBER(SEARCH("Santana",N668))),"SIM","")</f>
        <v/>
      </c>
      <c r="AH668" s="99">
        <f>IF(AND(ISNUMBER(SEARCH("Delivery",N668)),ISNUMBER(SEARCH("André",N668))),"SIM","")</f>
        <v/>
      </c>
      <c r="AI668" s="99">
        <f>IF(ISNUMBER(SEARCH("Interlagos",N668)),"SIM","")</f>
        <v/>
      </c>
      <c r="AJ668" s="99">
        <f>IF(ISNUMBER(SEARCH("Quiosque",N668)),"SIM","")</f>
        <v/>
      </c>
      <c r="AK668" s="101" t="n"/>
    </row>
    <row r="669">
      <c r="A669" s="88" t="inlineStr">
        <is>
          <t>Protheus</t>
        </is>
      </c>
      <c r="B669" s="89" t="inlineStr">
        <is>
          <t>000914</t>
        </is>
      </c>
      <c r="C669" s="90">
        <f>IF(B669="—","—",IFERROR(VLOOKUP(B669,_Protheus_Cadastro!$A:$B,2,FALSE),"—"))</f>
        <v/>
      </c>
      <c r="D669" s="91">
        <f>IF(B669="—",IFERROR(INDEX(_ZIG_Cadastro!$D:$D,MATCH(H669,_ZIG_Cadastro!$A:$A,0)),"Produto"),IFERROR(VLOOKUP(B669,_Protheus_Cadastro!$A:$C,3,FALSE),"—"))</f>
        <v/>
      </c>
      <c r="E669" s="91">
        <f>IF(B669="—","—",IFERROR(VLOOKUP(B669,_Protheus_Cadastro!$A:$D,4,FALSE),"—"))</f>
        <v/>
      </c>
      <c r="F669" s="91">
        <f>IF(ISERROR(VLOOKUP(B669,'Estrutura Protheus'!A:A,1,FALSE)),"Não","Sim")</f>
        <v/>
      </c>
      <c r="G669" s="92">
        <f>IFERROR(INDEX(_Protheus_Cadastro!$H:$H,MATCH(B669,_Protheus_Cadastro!$A:$A,0)),"—")</f>
        <v/>
      </c>
      <c r="H669" s="210">
        <f>IFERROR(INDEX(_ZIG_Precos!$D:$D,MATCH(I669,_ZIG_Precos!$F:$F,0)),"—")</f>
        <v/>
      </c>
      <c r="I669" s="95">
        <f>IFERROR(VLOOKUP(B669,_Protheus_Cadastro!$A:$I,9,FALSE),"—")</f>
        <v/>
      </c>
      <c r="J669" s="93">
        <f>IFERROR(INDEX(_ZIG_Cadastro!$B:$B,MATCH(I669,_ZIG_Cadastro!$A:$A,0)),IFERROR(INDEX(_Entradas_ZIG!$B:$B,MATCH(I669,_Entradas_ZIG!$C:$C,0)),"—"))</f>
        <v/>
      </c>
      <c r="K669" s="93">
        <f>IFERROR(INDEX(_ZIG_Cadastro!$C:$C,MATCH(I669,_ZIG_Cadastro!$A:$A,0)),IFERROR(INDEX(_Entradas_ZIG!$D:$D,MATCH(I669,_Entradas_ZIG!$C:$C,0)),"—"))</f>
        <v/>
      </c>
      <c r="L669" s="92">
        <f>IF(I669="","Sem SKU ZIG",IF(I669="—","Sem SKU ZIG",IF(NOT(ISERROR(MATCH(I669,_ZIG_Cadastro!$A:$A,0))),IF(EXACT(UPPER(TRIM(C669)),UPPER(TRIM(INDEX(_ZIG_Cadastro!$B:$B,MATCH(I669,_ZIG_Cadastro!$A:$A,0))))),"OK","Atencao - Nome diverge"),IF(NOT(ISERROR(MATCH(I669,_Entradas_ZIG!$C:$C,0))),"OK","Erro - SKU nao encontrado"))))</f>
        <v/>
      </c>
      <c r="M669" s="92">
        <f>IFERROR(INDEX(_ZIG_Cadastro!$G:$G,MATCH(I669,_ZIG_Cadastro!$A:$A,0)),IF(NOT(ISERROR(MATCH(I669,_Entradas_ZIG!$C:$C,0))),"Ativo","—"))</f>
        <v/>
      </c>
      <c r="N669" s="94">
        <f>IFERROR(INDEX(_ZIG_Cadastro!$E:$E,MATCH(I669,_ZIG_Cadastro!$A:$A,0)),IFERROR(INDEX(_Entradas_ZIG!$F:$F,MATCH(I669,_Entradas_ZIG!$C:$C,0)),"—"))</f>
        <v/>
      </c>
      <c r="O669" s="92">
        <f>IF(AND(ISNUMBER(SEARCH("Espeto",N669)),ISNUMBER(SEARCH("Carin",N669))),"SIM","")</f>
        <v/>
      </c>
      <c r="P669" s="92">
        <f>IF(AND(ISNUMBER(SEARCH("Espeto",N669)),ISNUMBER(SEARCH("Lapa",N669))),"SIM","")</f>
        <v/>
      </c>
      <c r="Q669" s="92">
        <f>IF(AND(ISNUMBER(SEARCH("Espeto",N669)),ISNUMBER(SEARCH("Tatuapé",N669))),"SIM","")</f>
        <v/>
      </c>
      <c r="R669" s="92">
        <f>IF(AND(ISNUMBER(SEARCH("Espeto",N669)),ISNUMBER(SEARCH("Pavão",N669))),"SIM","")</f>
        <v/>
      </c>
      <c r="S669" s="92">
        <f>IF(AND(ISNUMBER(SEARCH("Espeto",N669)),ISNUMBER(SEARCH("Chac",N669))),"SIM","")</f>
        <v/>
      </c>
      <c r="T669" s="92">
        <f>IF(AND(ISNUMBER(SEARCH("Espeto",N669)),ISNUMBER(SEARCH("Madalena",N669))),"SIM","")</f>
        <v/>
      </c>
      <c r="U669" s="92">
        <f>IF(AND(ISNUMBER(SEARCH("Espeto",N669)),ISNUMBER(SEARCH("Mariana",N669))),"SIM","")</f>
        <v/>
      </c>
      <c r="V669" s="92">
        <f>IF(AND(ISNUMBER(SEARCH("Espeto",N669)),ISNUMBER(SEARCH("Perdizes",N669))),"SIM","")</f>
        <v/>
      </c>
      <c r="W669" s="92">
        <f>IF(AND(ISNUMBER(SEARCH("Espeto",N669)),ISNUMBER(SEARCH("Santana",N669))),"SIM","")</f>
        <v/>
      </c>
      <c r="X669" s="92">
        <f>IF(AND(ISNUMBER(SEARCH("Espeto",N669)),ISNUMBER(SEARCH("André",N669))),"SIM","")</f>
        <v/>
      </c>
      <c r="Y669" s="92">
        <f>IF(AND(ISNUMBER(SEARCH("Delivery",N669)),ISNUMBER(SEARCH("Carin",N669))),"SIM","")</f>
        <v/>
      </c>
      <c r="Z669" s="92">
        <f>IF(AND(ISNUMBER(SEARCH("Delivery",N669)),ISNUMBER(SEARCH("Lapa",N669))),"SIM","")</f>
        <v/>
      </c>
      <c r="AA669" s="92">
        <f>IF(AND(ISNUMBER(SEARCH("Delivery",N669)),ISNUMBER(SEARCH("Tatuapé",N669))),"SIM","")</f>
        <v/>
      </c>
      <c r="AB669" s="92">
        <f>IF(AND(ISNUMBER(SEARCH("Delivery",N669)),ISNUMBER(SEARCH("Pavão",N669))),"SIM","")</f>
        <v/>
      </c>
      <c r="AC669" s="92">
        <f>IF(AND(ISNUMBER(SEARCH("Delivery",N669)),ISNUMBER(SEARCH("Chac",N669))),"SIM","")</f>
        <v/>
      </c>
      <c r="AD669" s="92">
        <f>IF(AND(ISNUMBER(SEARCH("Delivery",N669)),ISNUMBER(SEARCH("Madalena",N669))),"SIM","")</f>
        <v/>
      </c>
      <c r="AE669" s="99">
        <f>IF(AND(ISNUMBER(SEARCH("Delivery",N669)),ISNUMBER(SEARCH("Mariana",N669))),"SIM","")</f>
        <v/>
      </c>
      <c r="AF669" s="99">
        <f>IF(AND(ISNUMBER(SEARCH("Delivery",N669)),ISNUMBER(SEARCH("Perdizes",N669))),"SIM","")</f>
        <v/>
      </c>
      <c r="AG669" s="99">
        <f>IF(AND(ISNUMBER(SEARCH("Delivery",N669)),ISNUMBER(SEARCH("Santana",N669))),"SIM","")</f>
        <v/>
      </c>
      <c r="AH669" s="99">
        <f>IF(AND(ISNUMBER(SEARCH("Delivery",N669)),ISNUMBER(SEARCH("André",N669))),"SIM","")</f>
        <v/>
      </c>
      <c r="AI669" s="99">
        <f>IF(ISNUMBER(SEARCH("Interlagos",N669)),"SIM","")</f>
        <v/>
      </c>
      <c r="AJ669" s="99">
        <f>IF(ISNUMBER(SEARCH("Quiosque",N669)),"SIM","")</f>
        <v/>
      </c>
      <c r="AK669" s="101" t="n"/>
    </row>
    <row r="670">
      <c r="A670" s="88" t="inlineStr">
        <is>
          <t>Protheus</t>
        </is>
      </c>
      <c r="B670" s="89" t="inlineStr">
        <is>
          <t>000923</t>
        </is>
      </c>
      <c r="C670" s="90">
        <f>IF(B670="—","—",IFERROR(VLOOKUP(B670,_Protheus_Cadastro!$A:$B,2,FALSE),"—"))</f>
        <v/>
      </c>
      <c r="D670" s="91">
        <f>IF(B670="—",IFERROR(INDEX(_ZIG_Cadastro!$D:$D,MATCH(H670,_ZIG_Cadastro!$A:$A,0)),"Produto"),IFERROR(VLOOKUP(B670,_Protheus_Cadastro!$A:$C,3,FALSE),"—"))</f>
        <v/>
      </c>
      <c r="E670" s="91">
        <f>IF(B670="—","—",IFERROR(VLOOKUP(B670,_Protheus_Cadastro!$A:$D,4,FALSE),"—"))</f>
        <v/>
      </c>
      <c r="F670" s="91">
        <f>IF(ISERROR(VLOOKUP(B670,'Estrutura Protheus'!A:A,1,FALSE)),"Não","Sim")</f>
        <v/>
      </c>
      <c r="G670" s="92">
        <f>IFERROR(INDEX(_Protheus_Cadastro!$H:$H,MATCH(B670,_Protheus_Cadastro!$A:$A,0)),"—")</f>
        <v/>
      </c>
      <c r="H670" s="210">
        <f>IFERROR(INDEX(_ZIG_Precos!$D:$D,MATCH(I670,_ZIG_Precos!$F:$F,0)),"—")</f>
        <v/>
      </c>
      <c r="I670" s="95">
        <f>IFERROR(VLOOKUP(B670,_Protheus_Cadastro!$A:$I,9,FALSE),"—")</f>
        <v/>
      </c>
      <c r="J670" s="93">
        <f>IFERROR(INDEX(_ZIG_Cadastro!$B:$B,MATCH(I670,_ZIG_Cadastro!$A:$A,0)),IFERROR(INDEX(_Entradas_ZIG!$B:$B,MATCH(I670,_Entradas_ZIG!$C:$C,0)),"—"))</f>
        <v/>
      </c>
      <c r="K670" s="93">
        <f>IFERROR(INDEX(_ZIG_Cadastro!$C:$C,MATCH(I670,_ZIG_Cadastro!$A:$A,0)),IFERROR(INDEX(_Entradas_ZIG!$D:$D,MATCH(I670,_Entradas_ZIG!$C:$C,0)),"—"))</f>
        <v/>
      </c>
      <c r="L670" s="92">
        <f>IF(I670="","Sem SKU ZIG",IF(I670="—","Sem SKU ZIG",IF(NOT(ISERROR(MATCH(I670,_ZIG_Cadastro!$A:$A,0))),IF(EXACT(UPPER(TRIM(C670)),UPPER(TRIM(INDEX(_ZIG_Cadastro!$B:$B,MATCH(I670,_ZIG_Cadastro!$A:$A,0))))),"OK","Atencao - Nome diverge"),IF(NOT(ISERROR(MATCH(I670,_Entradas_ZIG!$C:$C,0))),"OK","Erro - SKU nao encontrado"))))</f>
        <v/>
      </c>
      <c r="M670" s="92">
        <f>IFERROR(INDEX(_ZIG_Cadastro!$G:$G,MATCH(I670,_ZIG_Cadastro!$A:$A,0)),IF(NOT(ISERROR(MATCH(I670,_Entradas_ZIG!$C:$C,0))),"Ativo","—"))</f>
        <v/>
      </c>
      <c r="N670" s="94">
        <f>IFERROR(INDEX(_ZIG_Cadastro!$E:$E,MATCH(I670,_ZIG_Cadastro!$A:$A,0)),IFERROR(INDEX(_Entradas_ZIG!$F:$F,MATCH(I670,_Entradas_ZIG!$C:$C,0)),"—"))</f>
        <v/>
      </c>
      <c r="O670" s="92">
        <f>IF(AND(ISNUMBER(SEARCH("Espeto",N670)),ISNUMBER(SEARCH("Carin",N670))),"SIM","")</f>
        <v/>
      </c>
      <c r="P670" s="92">
        <f>IF(AND(ISNUMBER(SEARCH("Espeto",N670)),ISNUMBER(SEARCH("Lapa",N670))),"SIM","")</f>
        <v/>
      </c>
      <c r="Q670" s="92">
        <f>IF(AND(ISNUMBER(SEARCH("Espeto",N670)),ISNUMBER(SEARCH("Tatuapé",N670))),"SIM","")</f>
        <v/>
      </c>
      <c r="R670" s="92">
        <f>IF(AND(ISNUMBER(SEARCH("Espeto",N670)),ISNUMBER(SEARCH("Pavão",N670))),"SIM","")</f>
        <v/>
      </c>
      <c r="S670" s="92">
        <f>IF(AND(ISNUMBER(SEARCH("Espeto",N670)),ISNUMBER(SEARCH("Chac",N670))),"SIM","")</f>
        <v/>
      </c>
      <c r="T670" s="92">
        <f>IF(AND(ISNUMBER(SEARCH("Espeto",N670)),ISNUMBER(SEARCH("Madalena",N670))),"SIM","")</f>
        <v/>
      </c>
      <c r="U670" s="92">
        <f>IF(AND(ISNUMBER(SEARCH("Espeto",N670)),ISNUMBER(SEARCH("Mariana",N670))),"SIM","")</f>
        <v/>
      </c>
      <c r="V670" s="92">
        <f>IF(AND(ISNUMBER(SEARCH("Espeto",N670)),ISNUMBER(SEARCH("Perdizes",N670))),"SIM","")</f>
        <v/>
      </c>
      <c r="W670" s="92">
        <f>IF(AND(ISNUMBER(SEARCH("Espeto",N670)),ISNUMBER(SEARCH("Santana",N670))),"SIM","")</f>
        <v/>
      </c>
      <c r="X670" s="92">
        <f>IF(AND(ISNUMBER(SEARCH("Espeto",N670)),ISNUMBER(SEARCH("André",N670))),"SIM","")</f>
        <v/>
      </c>
      <c r="Y670" s="92">
        <f>IF(AND(ISNUMBER(SEARCH("Delivery",N670)),ISNUMBER(SEARCH("Carin",N670))),"SIM","")</f>
        <v/>
      </c>
      <c r="Z670" s="92">
        <f>IF(AND(ISNUMBER(SEARCH("Delivery",N670)),ISNUMBER(SEARCH("Lapa",N670))),"SIM","")</f>
        <v/>
      </c>
      <c r="AA670" s="92">
        <f>IF(AND(ISNUMBER(SEARCH("Delivery",N670)),ISNUMBER(SEARCH("Tatuapé",N670))),"SIM","")</f>
        <v/>
      </c>
      <c r="AB670" s="92">
        <f>IF(AND(ISNUMBER(SEARCH("Delivery",N670)),ISNUMBER(SEARCH("Pavão",N670))),"SIM","")</f>
        <v/>
      </c>
      <c r="AC670" s="92">
        <f>IF(AND(ISNUMBER(SEARCH("Delivery",N670)),ISNUMBER(SEARCH("Chac",N670))),"SIM","")</f>
        <v/>
      </c>
      <c r="AD670" s="92">
        <f>IF(AND(ISNUMBER(SEARCH("Delivery",N670)),ISNUMBER(SEARCH("Madalena",N670))),"SIM","")</f>
        <v/>
      </c>
      <c r="AE670" s="99">
        <f>IF(AND(ISNUMBER(SEARCH("Delivery",N670)),ISNUMBER(SEARCH("Mariana",N670))),"SIM","")</f>
        <v/>
      </c>
      <c r="AF670" s="99">
        <f>IF(AND(ISNUMBER(SEARCH("Delivery",N670)),ISNUMBER(SEARCH("Perdizes",N670))),"SIM","")</f>
        <v/>
      </c>
      <c r="AG670" s="99">
        <f>IF(AND(ISNUMBER(SEARCH("Delivery",N670)),ISNUMBER(SEARCH("Santana",N670))),"SIM","")</f>
        <v/>
      </c>
      <c r="AH670" s="99">
        <f>IF(AND(ISNUMBER(SEARCH("Delivery",N670)),ISNUMBER(SEARCH("André",N670))),"SIM","")</f>
        <v/>
      </c>
      <c r="AI670" s="99">
        <f>IF(ISNUMBER(SEARCH("Interlagos",N670)),"SIM","")</f>
        <v/>
      </c>
      <c r="AJ670" s="99">
        <f>IF(ISNUMBER(SEARCH("Quiosque",N670)),"SIM","")</f>
        <v/>
      </c>
      <c r="AK670" s="101" t="n"/>
    </row>
    <row r="671">
      <c r="A671" s="88" t="inlineStr">
        <is>
          <t>Protheus</t>
        </is>
      </c>
      <c r="B671" s="89" t="inlineStr">
        <is>
          <t>000926</t>
        </is>
      </c>
      <c r="C671" s="90">
        <f>IF(B671="—","—",IFERROR(VLOOKUP(B671,_Protheus_Cadastro!$A:$B,2,FALSE),"—"))</f>
        <v/>
      </c>
      <c r="D671" s="91">
        <f>IF(B671="—",IFERROR(INDEX(_ZIG_Cadastro!$D:$D,MATCH(H671,_ZIG_Cadastro!$A:$A,0)),"Produto"),IFERROR(VLOOKUP(B671,_Protheus_Cadastro!$A:$C,3,FALSE),"—"))</f>
        <v/>
      </c>
      <c r="E671" s="91">
        <f>IF(B671="—","—",IFERROR(VLOOKUP(B671,_Protheus_Cadastro!$A:$D,4,FALSE),"—"))</f>
        <v/>
      </c>
      <c r="F671" s="91">
        <f>IF(ISERROR(VLOOKUP(B671,'Estrutura Protheus'!A:A,1,FALSE)),"Não","Sim")</f>
        <v/>
      </c>
      <c r="G671" s="92">
        <f>IFERROR(INDEX(_Protheus_Cadastro!$H:$H,MATCH(B671,_Protheus_Cadastro!$A:$A,0)),"—")</f>
        <v/>
      </c>
      <c r="H671" s="210">
        <f>IFERROR(INDEX(_ZIG_Precos!$D:$D,MATCH(I671,_ZIG_Precos!$F:$F,0)),"—")</f>
        <v/>
      </c>
      <c r="I671" s="95">
        <f>IFERROR(VLOOKUP(B671,_Protheus_Cadastro!$A:$I,9,FALSE),"—")</f>
        <v/>
      </c>
      <c r="J671" s="93">
        <f>IFERROR(INDEX(_ZIG_Cadastro!$B:$B,MATCH(I671,_ZIG_Cadastro!$A:$A,0)),IFERROR(INDEX(_Entradas_ZIG!$B:$B,MATCH(I671,_Entradas_ZIG!$C:$C,0)),"—"))</f>
        <v/>
      </c>
      <c r="K671" s="93">
        <f>IFERROR(INDEX(_ZIG_Cadastro!$C:$C,MATCH(I671,_ZIG_Cadastro!$A:$A,0)),IFERROR(INDEX(_Entradas_ZIG!$D:$D,MATCH(I671,_Entradas_ZIG!$C:$C,0)),"—"))</f>
        <v/>
      </c>
      <c r="L671" s="92">
        <f>IF(I671="","Sem SKU ZIG",IF(I671="—","Sem SKU ZIG",IF(NOT(ISERROR(MATCH(I671,_ZIG_Cadastro!$A:$A,0))),IF(EXACT(UPPER(TRIM(C671)),UPPER(TRIM(INDEX(_ZIG_Cadastro!$B:$B,MATCH(I671,_ZIG_Cadastro!$A:$A,0))))),"OK","Atencao - Nome diverge"),IF(NOT(ISERROR(MATCH(I671,_Entradas_ZIG!$C:$C,0))),"OK","Erro - SKU nao encontrado"))))</f>
        <v/>
      </c>
      <c r="M671" s="92">
        <f>IFERROR(INDEX(_ZIG_Cadastro!$G:$G,MATCH(I671,_ZIG_Cadastro!$A:$A,0)),IF(NOT(ISERROR(MATCH(I671,_Entradas_ZIG!$C:$C,0))),"Ativo","—"))</f>
        <v/>
      </c>
      <c r="N671" s="94">
        <f>IFERROR(INDEX(_ZIG_Cadastro!$E:$E,MATCH(I671,_ZIG_Cadastro!$A:$A,0)),IFERROR(INDEX(_Entradas_ZIG!$F:$F,MATCH(I671,_Entradas_ZIG!$C:$C,0)),"—"))</f>
        <v/>
      </c>
      <c r="O671" s="92">
        <f>IF(AND(ISNUMBER(SEARCH("Espeto",N671)),ISNUMBER(SEARCH("Carin",N671))),"SIM","")</f>
        <v/>
      </c>
      <c r="P671" s="92">
        <f>IF(AND(ISNUMBER(SEARCH("Espeto",N671)),ISNUMBER(SEARCH("Lapa",N671))),"SIM","")</f>
        <v/>
      </c>
      <c r="Q671" s="92">
        <f>IF(AND(ISNUMBER(SEARCH("Espeto",N671)),ISNUMBER(SEARCH("Tatuapé",N671))),"SIM","")</f>
        <v/>
      </c>
      <c r="R671" s="92">
        <f>IF(AND(ISNUMBER(SEARCH("Espeto",N671)),ISNUMBER(SEARCH("Pavão",N671))),"SIM","")</f>
        <v/>
      </c>
      <c r="S671" s="92">
        <f>IF(AND(ISNUMBER(SEARCH("Espeto",N671)),ISNUMBER(SEARCH("Chac",N671))),"SIM","")</f>
        <v/>
      </c>
      <c r="T671" s="92">
        <f>IF(AND(ISNUMBER(SEARCH("Espeto",N671)),ISNUMBER(SEARCH("Madalena",N671))),"SIM","")</f>
        <v/>
      </c>
      <c r="U671" s="92">
        <f>IF(AND(ISNUMBER(SEARCH("Espeto",N671)),ISNUMBER(SEARCH("Mariana",N671))),"SIM","")</f>
        <v/>
      </c>
      <c r="V671" s="92">
        <f>IF(AND(ISNUMBER(SEARCH("Espeto",N671)),ISNUMBER(SEARCH("Perdizes",N671))),"SIM","")</f>
        <v/>
      </c>
      <c r="W671" s="92">
        <f>IF(AND(ISNUMBER(SEARCH("Espeto",N671)),ISNUMBER(SEARCH("Santana",N671))),"SIM","")</f>
        <v/>
      </c>
      <c r="X671" s="92">
        <f>IF(AND(ISNUMBER(SEARCH("Espeto",N671)),ISNUMBER(SEARCH("André",N671))),"SIM","")</f>
        <v/>
      </c>
      <c r="Y671" s="92">
        <f>IF(AND(ISNUMBER(SEARCH("Delivery",N671)),ISNUMBER(SEARCH("Carin",N671))),"SIM","")</f>
        <v/>
      </c>
      <c r="Z671" s="92">
        <f>IF(AND(ISNUMBER(SEARCH("Delivery",N671)),ISNUMBER(SEARCH("Lapa",N671))),"SIM","")</f>
        <v/>
      </c>
      <c r="AA671" s="92">
        <f>IF(AND(ISNUMBER(SEARCH("Delivery",N671)),ISNUMBER(SEARCH("Tatuapé",N671))),"SIM","")</f>
        <v/>
      </c>
      <c r="AB671" s="92">
        <f>IF(AND(ISNUMBER(SEARCH("Delivery",N671)),ISNUMBER(SEARCH("Pavão",N671))),"SIM","")</f>
        <v/>
      </c>
      <c r="AC671" s="92">
        <f>IF(AND(ISNUMBER(SEARCH("Delivery",N671)),ISNUMBER(SEARCH("Chac",N671))),"SIM","")</f>
        <v/>
      </c>
      <c r="AD671" s="92">
        <f>IF(AND(ISNUMBER(SEARCH("Delivery",N671)),ISNUMBER(SEARCH("Madalena",N671))),"SIM","")</f>
        <v/>
      </c>
      <c r="AE671" s="99">
        <f>IF(AND(ISNUMBER(SEARCH("Delivery",N671)),ISNUMBER(SEARCH("Mariana",N671))),"SIM","")</f>
        <v/>
      </c>
      <c r="AF671" s="99">
        <f>IF(AND(ISNUMBER(SEARCH("Delivery",N671)),ISNUMBER(SEARCH("Perdizes",N671))),"SIM","")</f>
        <v/>
      </c>
      <c r="AG671" s="99">
        <f>IF(AND(ISNUMBER(SEARCH("Delivery",N671)),ISNUMBER(SEARCH("Santana",N671))),"SIM","")</f>
        <v/>
      </c>
      <c r="AH671" s="99">
        <f>IF(AND(ISNUMBER(SEARCH("Delivery",N671)),ISNUMBER(SEARCH("André",N671))),"SIM","")</f>
        <v/>
      </c>
      <c r="AI671" s="99">
        <f>IF(ISNUMBER(SEARCH("Interlagos",N671)),"SIM","")</f>
        <v/>
      </c>
      <c r="AJ671" s="99">
        <f>IF(ISNUMBER(SEARCH("Quiosque",N671)),"SIM","")</f>
        <v/>
      </c>
      <c r="AK671" s="101" t="n"/>
    </row>
    <row r="672">
      <c r="A672" s="88" t="inlineStr">
        <is>
          <t>Protheus</t>
        </is>
      </c>
      <c r="B672" s="89" t="inlineStr">
        <is>
          <t>000931</t>
        </is>
      </c>
      <c r="C672" s="90">
        <f>IF(B672="—","—",IFERROR(VLOOKUP(B672,_Protheus_Cadastro!$A:$B,2,FALSE),"—"))</f>
        <v/>
      </c>
      <c r="D672" s="91">
        <f>IF(B672="—",IFERROR(INDEX(_ZIG_Cadastro!$D:$D,MATCH(H672,_ZIG_Cadastro!$A:$A,0)),"Produto"),IFERROR(VLOOKUP(B672,_Protheus_Cadastro!$A:$C,3,FALSE),"—"))</f>
        <v/>
      </c>
      <c r="E672" s="91">
        <f>IF(B672="—","—",IFERROR(VLOOKUP(B672,_Protheus_Cadastro!$A:$D,4,FALSE),"—"))</f>
        <v/>
      </c>
      <c r="F672" s="91">
        <f>IF(ISERROR(VLOOKUP(B672,'Estrutura Protheus'!A:A,1,FALSE)),"Não","Sim")</f>
        <v/>
      </c>
      <c r="G672" s="92">
        <f>IFERROR(INDEX(_Protheus_Cadastro!$H:$H,MATCH(B672,_Protheus_Cadastro!$A:$A,0)),"—")</f>
        <v/>
      </c>
      <c r="H672" s="210">
        <f>IFERROR(INDEX(_ZIG_Precos!$D:$D,MATCH(I672,_ZIG_Precos!$F:$F,0)),"—")</f>
        <v/>
      </c>
      <c r="I672" s="95">
        <f>IFERROR(VLOOKUP(B672,_Protheus_Cadastro!$A:$I,9,FALSE),"—")</f>
        <v/>
      </c>
      <c r="J672" s="93">
        <f>IFERROR(INDEX(_ZIG_Cadastro!$B:$B,MATCH(I672,_ZIG_Cadastro!$A:$A,0)),IFERROR(INDEX(_Entradas_ZIG!$B:$B,MATCH(I672,_Entradas_ZIG!$C:$C,0)),"—"))</f>
        <v/>
      </c>
      <c r="K672" s="93">
        <f>IFERROR(INDEX(_ZIG_Cadastro!$C:$C,MATCH(I672,_ZIG_Cadastro!$A:$A,0)),IFERROR(INDEX(_Entradas_ZIG!$D:$D,MATCH(I672,_Entradas_ZIG!$C:$C,0)),"—"))</f>
        <v/>
      </c>
      <c r="L672" s="92">
        <f>IF(I672="","Sem SKU ZIG",IF(I672="—","Sem SKU ZIG",IF(NOT(ISERROR(MATCH(I672,_ZIG_Cadastro!$A:$A,0))),IF(EXACT(UPPER(TRIM(C672)),UPPER(TRIM(INDEX(_ZIG_Cadastro!$B:$B,MATCH(I672,_ZIG_Cadastro!$A:$A,0))))),"OK","Atencao - Nome diverge"),IF(NOT(ISERROR(MATCH(I672,_Entradas_ZIG!$C:$C,0))),"OK","Erro - SKU nao encontrado"))))</f>
        <v/>
      </c>
      <c r="M672" s="92">
        <f>IFERROR(INDEX(_ZIG_Cadastro!$G:$G,MATCH(I672,_ZIG_Cadastro!$A:$A,0)),IF(NOT(ISERROR(MATCH(I672,_Entradas_ZIG!$C:$C,0))),"Ativo","—"))</f>
        <v/>
      </c>
      <c r="N672" s="94">
        <f>IFERROR(INDEX(_ZIG_Cadastro!$E:$E,MATCH(I672,_ZIG_Cadastro!$A:$A,0)),IFERROR(INDEX(_Entradas_ZIG!$F:$F,MATCH(I672,_Entradas_ZIG!$C:$C,0)),"—"))</f>
        <v/>
      </c>
      <c r="O672" s="92">
        <f>IF(AND(ISNUMBER(SEARCH("Espeto",N672)),ISNUMBER(SEARCH("Carin",N672))),"SIM","")</f>
        <v/>
      </c>
      <c r="P672" s="92">
        <f>IF(AND(ISNUMBER(SEARCH("Espeto",N672)),ISNUMBER(SEARCH("Lapa",N672))),"SIM","")</f>
        <v/>
      </c>
      <c r="Q672" s="92">
        <f>IF(AND(ISNUMBER(SEARCH("Espeto",N672)),ISNUMBER(SEARCH("Tatuapé",N672))),"SIM","")</f>
        <v/>
      </c>
      <c r="R672" s="92">
        <f>IF(AND(ISNUMBER(SEARCH("Espeto",N672)),ISNUMBER(SEARCH("Pavão",N672))),"SIM","")</f>
        <v/>
      </c>
      <c r="S672" s="92">
        <f>IF(AND(ISNUMBER(SEARCH("Espeto",N672)),ISNUMBER(SEARCH("Chac",N672))),"SIM","")</f>
        <v/>
      </c>
      <c r="T672" s="92">
        <f>IF(AND(ISNUMBER(SEARCH("Espeto",N672)),ISNUMBER(SEARCH("Madalena",N672))),"SIM","")</f>
        <v/>
      </c>
      <c r="U672" s="92">
        <f>IF(AND(ISNUMBER(SEARCH("Espeto",N672)),ISNUMBER(SEARCH("Mariana",N672))),"SIM","")</f>
        <v/>
      </c>
      <c r="V672" s="92">
        <f>IF(AND(ISNUMBER(SEARCH("Espeto",N672)),ISNUMBER(SEARCH("Perdizes",N672))),"SIM","")</f>
        <v/>
      </c>
      <c r="W672" s="92">
        <f>IF(AND(ISNUMBER(SEARCH("Espeto",N672)),ISNUMBER(SEARCH("Santana",N672))),"SIM","")</f>
        <v/>
      </c>
      <c r="X672" s="92">
        <f>IF(AND(ISNUMBER(SEARCH("Espeto",N672)),ISNUMBER(SEARCH("André",N672))),"SIM","")</f>
        <v/>
      </c>
      <c r="Y672" s="92">
        <f>IF(AND(ISNUMBER(SEARCH("Delivery",N672)),ISNUMBER(SEARCH("Carin",N672))),"SIM","")</f>
        <v/>
      </c>
      <c r="Z672" s="92">
        <f>IF(AND(ISNUMBER(SEARCH("Delivery",N672)),ISNUMBER(SEARCH("Lapa",N672))),"SIM","")</f>
        <v/>
      </c>
      <c r="AA672" s="92">
        <f>IF(AND(ISNUMBER(SEARCH("Delivery",N672)),ISNUMBER(SEARCH("Tatuapé",N672))),"SIM","")</f>
        <v/>
      </c>
      <c r="AB672" s="92">
        <f>IF(AND(ISNUMBER(SEARCH("Delivery",N672)),ISNUMBER(SEARCH("Pavão",N672))),"SIM","")</f>
        <v/>
      </c>
      <c r="AC672" s="92">
        <f>IF(AND(ISNUMBER(SEARCH("Delivery",N672)),ISNUMBER(SEARCH("Chac",N672))),"SIM","")</f>
        <v/>
      </c>
      <c r="AD672" s="92">
        <f>IF(AND(ISNUMBER(SEARCH("Delivery",N672)),ISNUMBER(SEARCH("Madalena",N672))),"SIM","")</f>
        <v/>
      </c>
      <c r="AE672" s="99">
        <f>IF(AND(ISNUMBER(SEARCH("Delivery",N672)),ISNUMBER(SEARCH("Mariana",N672))),"SIM","")</f>
        <v/>
      </c>
      <c r="AF672" s="99">
        <f>IF(AND(ISNUMBER(SEARCH("Delivery",N672)),ISNUMBER(SEARCH("Perdizes",N672))),"SIM","")</f>
        <v/>
      </c>
      <c r="AG672" s="99">
        <f>IF(AND(ISNUMBER(SEARCH("Delivery",N672)),ISNUMBER(SEARCH("Santana",N672))),"SIM","")</f>
        <v/>
      </c>
      <c r="AH672" s="99">
        <f>IF(AND(ISNUMBER(SEARCH("Delivery",N672)),ISNUMBER(SEARCH("André",N672))),"SIM","")</f>
        <v/>
      </c>
      <c r="AI672" s="99">
        <f>IF(ISNUMBER(SEARCH("Interlagos",N672)),"SIM","")</f>
        <v/>
      </c>
      <c r="AJ672" s="99">
        <f>IF(ISNUMBER(SEARCH("Quiosque",N672)),"SIM","")</f>
        <v/>
      </c>
      <c r="AK672" s="101" t="n"/>
    </row>
    <row r="673">
      <c r="A673" s="88" t="inlineStr">
        <is>
          <t>Protheus</t>
        </is>
      </c>
      <c r="B673" s="89" t="inlineStr">
        <is>
          <t>000932</t>
        </is>
      </c>
      <c r="C673" s="90">
        <f>IF(B673="—","—",IFERROR(VLOOKUP(B673,_Protheus_Cadastro!$A:$B,2,FALSE),"—"))</f>
        <v/>
      </c>
      <c r="D673" s="91">
        <f>IF(B673="—",IFERROR(INDEX(_ZIG_Cadastro!$D:$D,MATCH(H673,_ZIG_Cadastro!$A:$A,0)),"Produto"),IFERROR(VLOOKUP(B673,_Protheus_Cadastro!$A:$C,3,FALSE),"—"))</f>
        <v/>
      </c>
      <c r="E673" s="91">
        <f>IF(B673="—","—",IFERROR(VLOOKUP(B673,_Protheus_Cadastro!$A:$D,4,FALSE),"—"))</f>
        <v/>
      </c>
      <c r="F673" s="91">
        <f>IF(ISERROR(VLOOKUP(B673,'Estrutura Protheus'!A:A,1,FALSE)),"Não","Sim")</f>
        <v/>
      </c>
      <c r="G673" s="92">
        <f>IFERROR(INDEX(_Protheus_Cadastro!$H:$H,MATCH(B673,_Protheus_Cadastro!$A:$A,0)),"—")</f>
        <v/>
      </c>
      <c r="H673" s="210">
        <f>IFERROR(INDEX(_ZIG_Precos!$D:$D,MATCH(I673,_ZIG_Precos!$F:$F,0)),"—")</f>
        <v/>
      </c>
      <c r="I673" s="95">
        <f>IFERROR(VLOOKUP(B673,_Protheus_Cadastro!$A:$I,9,FALSE),"—")</f>
        <v/>
      </c>
      <c r="J673" s="93">
        <f>IFERROR(INDEX(_ZIG_Cadastro!$B:$B,MATCH(I673,_ZIG_Cadastro!$A:$A,0)),IFERROR(INDEX(_Entradas_ZIG!$B:$B,MATCH(I673,_Entradas_ZIG!$C:$C,0)),"—"))</f>
        <v/>
      </c>
      <c r="K673" s="93">
        <f>IFERROR(INDEX(_ZIG_Cadastro!$C:$C,MATCH(I673,_ZIG_Cadastro!$A:$A,0)),IFERROR(INDEX(_Entradas_ZIG!$D:$D,MATCH(I673,_Entradas_ZIG!$C:$C,0)),"—"))</f>
        <v/>
      </c>
      <c r="L673" s="92">
        <f>IF(I673="","Sem SKU ZIG",IF(I673="—","Sem SKU ZIG",IF(NOT(ISERROR(MATCH(I673,_ZIG_Cadastro!$A:$A,0))),IF(EXACT(UPPER(TRIM(C673)),UPPER(TRIM(INDEX(_ZIG_Cadastro!$B:$B,MATCH(I673,_ZIG_Cadastro!$A:$A,0))))),"OK","Atencao - Nome diverge"),IF(NOT(ISERROR(MATCH(I673,_Entradas_ZIG!$C:$C,0))),"OK","Erro - SKU nao encontrado"))))</f>
        <v/>
      </c>
      <c r="M673" s="92">
        <f>IFERROR(INDEX(_ZIG_Cadastro!$G:$G,MATCH(I673,_ZIG_Cadastro!$A:$A,0)),IF(NOT(ISERROR(MATCH(I673,_Entradas_ZIG!$C:$C,0))),"Ativo","—"))</f>
        <v/>
      </c>
      <c r="N673" s="94">
        <f>IFERROR(INDEX(_ZIG_Cadastro!$E:$E,MATCH(I673,_ZIG_Cadastro!$A:$A,0)),IFERROR(INDEX(_Entradas_ZIG!$F:$F,MATCH(I673,_Entradas_ZIG!$C:$C,0)),"—"))</f>
        <v/>
      </c>
      <c r="O673" s="92">
        <f>IF(AND(ISNUMBER(SEARCH("Espeto",N673)),ISNUMBER(SEARCH("Carin",N673))),"SIM","")</f>
        <v/>
      </c>
      <c r="P673" s="92">
        <f>IF(AND(ISNUMBER(SEARCH("Espeto",N673)),ISNUMBER(SEARCH("Lapa",N673))),"SIM","")</f>
        <v/>
      </c>
      <c r="Q673" s="92">
        <f>IF(AND(ISNUMBER(SEARCH("Espeto",N673)),ISNUMBER(SEARCH("Tatuapé",N673))),"SIM","")</f>
        <v/>
      </c>
      <c r="R673" s="92">
        <f>IF(AND(ISNUMBER(SEARCH("Espeto",N673)),ISNUMBER(SEARCH("Pavão",N673))),"SIM","")</f>
        <v/>
      </c>
      <c r="S673" s="92">
        <f>IF(AND(ISNUMBER(SEARCH("Espeto",N673)),ISNUMBER(SEARCH("Chac",N673))),"SIM","")</f>
        <v/>
      </c>
      <c r="T673" s="92">
        <f>IF(AND(ISNUMBER(SEARCH("Espeto",N673)),ISNUMBER(SEARCH("Madalena",N673))),"SIM","")</f>
        <v/>
      </c>
      <c r="U673" s="92">
        <f>IF(AND(ISNUMBER(SEARCH("Espeto",N673)),ISNUMBER(SEARCH("Mariana",N673))),"SIM","")</f>
        <v/>
      </c>
      <c r="V673" s="92">
        <f>IF(AND(ISNUMBER(SEARCH("Espeto",N673)),ISNUMBER(SEARCH("Perdizes",N673))),"SIM","")</f>
        <v/>
      </c>
      <c r="W673" s="92">
        <f>IF(AND(ISNUMBER(SEARCH("Espeto",N673)),ISNUMBER(SEARCH("Santana",N673))),"SIM","")</f>
        <v/>
      </c>
      <c r="X673" s="92">
        <f>IF(AND(ISNUMBER(SEARCH("Espeto",N673)),ISNUMBER(SEARCH("André",N673))),"SIM","")</f>
        <v/>
      </c>
      <c r="Y673" s="92">
        <f>IF(AND(ISNUMBER(SEARCH("Delivery",N673)),ISNUMBER(SEARCH("Carin",N673))),"SIM","")</f>
        <v/>
      </c>
      <c r="Z673" s="92">
        <f>IF(AND(ISNUMBER(SEARCH("Delivery",N673)),ISNUMBER(SEARCH("Lapa",N673))),"SIM","")</f>
        <v/>
      </c>
      <c r="AA673" s="92">
        <f>IF(AND(ISNUMBER(SEARCH("Delivery",N673)),ISNUMBER(SEARCH("Tatuapé",N673))),"SIM","")</f>
        <v/>
      </c>
      <c r="AB673" s="92">
        <f>IF(AND(ISNUMBER(SEARCH("Delivery",N673)),ISNUMBER(SEARCH("Pavão",N673))),"SIM","")</f>
        <v/>
      </c>
      <c r="AC673" s="92">
        <f>IF(AND(ISNUMBER(SEARCH("Delivery",N673)),ISNUMBER(SEARCH("Chac",N673))),"SIM","")</f>
        <v/>
      </c>
      <c r="AD673" s="92">
        <f>IF(AND(ISNUMBER(SEARCH("Delivery",N673)),ISNUMBER(SEARCH("Madalena",N673))),"SIM","")</f>
        <v/>
      </c>
      <c r="AE673" s="99">
        <f>IF(AND(ISNUMBER(SEARCH("Delivery",N673)),ISNUMBER(SEARCH("Mariana",N673))),"SIM","")</f>
        <v/>
      </c>
      <c r="AF673" s="99">
        <f>IF(AND(ISNUMBER(SEARCH("Delivery",N673)),ISNUMBER(SEARCH("Perdizes",N673))),"SIM","")</f>
        <v/>
      </c>
      <c r="AG673" s="99">
        <f>IF(AND(ISNUMBER(SEARCH("Delivery",N673)),ISNUMBER(SEARCH("Santana",N673))),"SIM","")</f>
        <v/>
      </c>
      <c r="AH673" s="99">
        <f>IF(AND(ISNUMBER(SEARCH("Delivery",N673)),ISNUMBER(SEARCH("André",N673))),"SIM","")</f>
        <v/>
      </c>
      <c r="AI673" s="99">
        <f>IF(ISNUMBER(SEARCH("Interlagos",N673)),"SIM","")</f>
        <v/>
      </c>
      <c r="AJ673" s="99">
        <f>IF(ISNUMBER(SEARCH("Quiosque",N673)),"SIM","")</f>
        <v/>
      </c>
      <c r="AK673" s="101" t="n"/>
    </row>
    <row r="674">
      <c r="A674" s="88" t="inlineStr">
        <is>
          <t>Protheus</t>
        </is>
      </c>
      <c r="B674" s="89" t="inlineStr">
        <is>
          <t>000934</t>
        </is>
      </c>
      <c r="C674" s="90">
        <f>IF(B674="—","—",IFERROR(VLOOKUP(B674,_Protheus_Cadastro!$A:$B,2,FALSE),"—"))</f>
        <v/>
      </c>
      <c r="D674" s="91">
        <f>IF(B674="—",IFERROR(INDEX(_ZIG_Cadastro!$D:$D,MATCH(H674,_ZIG_Cadastro!$A:$A,0)),"Produto"),IFERROR(VLOOKUP(B674,_Protheus_Cadastro!$A:$C,3,FALSE),"—"))</f>
        <v/>
      </c>
      <c r="E674" s="91">
        <f>IF(B674="—","—",IFERROR(VLOOKUP(B674,_Protheus_Cadastro!$A:$D,4,FALSE),"—"))</f>
        <v/>
      </c>
      <c r="F674" s="91">
        <f>IF(ISERROR(VLOOKUP(B674,'Estrutura Protheus'!A:A,1,FALSE)),"Não","Sim")</f>
        <v/>
      </c>
      <c r="G674" s="92">
        <f>IFERROR(INDEX(_Protheus_Cadastro!$H:$H,MATCH(B674,_Protheus_Cadastro!$A:$A,0)),"—")</f>
        <v/>
      </c>
      <c r="H674" s="210">
        <f>IFERROR(INDEX(_ZIG_Precos!$D:$D,MATCH(I674,_ZIG_Precos!$F:$F,0)),"—")</f>
        <v/>
      </c>
      <c r="I674" s="95">
        <f>IFERROR(VLOOKUP(B674,_Protheus_Cadastro!$A:$I,9,FALSE),"—")</f>
        <v/>
      </c>
      <c r="J674" s="93">
        <f>IFERROR(INDEX(_ZIG_Cadastro!$B:$B,MATCH(I674,_ZIG_Cadastro!$A:$A,0)),IFERROR(INDEX(_Entradas_ZIG!$B:$B,MATCH(I674,_Entradas_ZIG!$C:$C,0)),"—"))</f>
        <v/>
      </c>
      <c r="K674" s="93">
        <f>IFERROR(INDEX(_ZIG_Cadastro!$C:$C,MATCH(I674,_ZIG_Cadastro!$A:$A,0)),IFERROR(INDEX(_Entradas_ZIG!$D:$D,MATCH(I674,_Entradas_ZIG!$C:$C,0)),"—"))</f>
        <v/>
      </c>
      <c r="L674" s="92">
        <f>IF(I674="","Sem SKU ZIG",IF(I674="—","Sem SKU ZIG",IF(NOT(ISERROR(MATCH(I674,_ZIG_Cadastro!$A:$A,0))),IF(EXACT(UPPER(TRIM(C674)),UPPER(TRIM(INDEX(_ZIG_Cadastro!$B:$B,MATCH(I674,_ZIG_Cadastro!$A:$A,0))))),"OK","Atencao - Nome diverge"),IF(NOT(ISERROR(MATCH(I674,_Entradas_ZIG!$C:$C,0))),"OK","Erro - SKU nao encontrado"))))</f>
        <v/>
      </c>
      <c r="M674" s="92">
        <f>IFERROR(INDEX(_ZIG_Cadastro!$G:$G,MATCH(I674,_ZIG_Cadastro!$A:$A,0)),IF(NOT(ISERROR(MATCH(I674,_Entradas_ZIG!$C:$C,0))),"Ativo","—"))</f>
        <v/>
      </c>
      <c r="N674" s="94">
        <f>IFERROR(INDEX(_ZIG_Cadastro!$E:$E,MATCH(I674,_ZIG_Cadastro!$A:$A,0)),IFERROR(INDEX(_Entradas_ZIG!$F:$F,MATCH(I674,_Entradas_ZIG!$C:$C,0)),"—"))</f>
        <v/>
      </c>
      <c r="O674" s="92">
        <f>IF(AND(ISNUMBER(SEARCH("Espeto",N674)),ISNUMBER(SEARCH("Carin",N674))),"SIM","")</f>
        <v/>
      </c>
      <c r="P674" s="92">
        <f>IF(AND(ISNUMBER(SEARCH("Espeto",N674)),ISNUMBER(SEARCH("Lapa",N674))),"SIM","")</f>
        <v/>
      </c>
      <c r="Q674" s="92">
        <f>IF(AND(ISNUMBER(SEARCH("Espeto",N674)),ISNUMBER(SEARCH("Tatuapé",N674))),"SIM","")</f>
        <v/>
      </c>
      <c r="R674" s="92">
        <f>IF(AND(ISNUMBER(SEARCH("Espeto",N674)),ISNUMBER(SEARCH("Pavão",N674))),"SIM","")</f>
        <v/>
      </c>
      <c r="S674" s="92">
        <f>IF(AND(ISNUMBER(SEARCH("Espeto",N674)),ISNUMBER(SEARCH("Chac",N674))),"SIM","")</f>
        <v/>
      </c>
      <c r="T674" s="92">
        <f>IF(AND(ISNUMBER(SEARCH("Espeto",N674)),ISNUMBER(SEARCH("Madalena",N674))),"SIM","")</f>
        <v/>
      </c>
      <c r="U674" s="92">
        <f>IF(AND(ISNUMBER(SEARCH("Espeto",N674)),ISNUMBER(SEARCH("Mariana",N674))),"SIM","")</f>
        <v/>
      </c>
      <c r="V674" s="92">
        <f>IF(AND(ISNUMBER(SEARCH("Espeto",N674)),ISNUMBER(SEARCH("Perdizes",N674))),"SIM","")</f>
        <v/>
      </c>
      <c r="W674" s="92">
        <f>IF(AND(ISNUMBER(SEARCH("Espeto",N674)),ISNUMBER(SEARCH("Santana",N674))),"SIM","")</f>
        <v/>
      </c>
      <c r="X674" s="92">
        <f>IF(AND(ISNUMBER(SEARCH("Espeto",N674)),ISNUMBER(SEARCH("André",N674))),"SIM","")</f>
        <v/>
      </c>
      <c r="Y674" s="92">
        <f>IF(AND(ISNUMBER(SEARCH("Delivery",N674)),ISNUMBER(SEARCH("Carin",N674))),"SIM","")</f>
        <v/>
      </c>
      <c r="Z674" s="92">
        <f>IF(AND(ISNUMBER(SEARCH("Delivery",N674)),ISNUMBER(SEARCH("Lapa",N674))),"SIM","")</f>
        <v/>
      </c>
      <c r="AA674" s="92">
        <f>IF(AND(ISNUMBER(SEARCH("Delivery",N674)),ISNUMBER(SEARCH("Tatuapé",N674))),"SIM","")</f>
        <v/>
      </c>
      <c r="AB674" s="92">
        <f>IF(AND(ISNUMBER(SEARCH("Delivery",N674)),ISNUMBER(SEARCH("Pavão",N674))),"SIM","")</f>
        <v/>
      </c>
      <c r="AC674" s="92">
        <f>IF(AND(ISNUMBER(SEARCH("Delivery",N674)),ISNUMBER(SEARCH("Chac",N674))),"SIM","")</f>
        <v/>
      </c>
      <c r="AD674" s="92">
        <f>IF(AND(ISNUMBER(SEARCH("Delivery",N674)),ISNUMBER(SEARCH("Madalena",N674))),"SIM","")</f>
        <v/>
      </c>
      <c r="AE674" s="99">
        <f>IF(AND(ISNUMBER(SEARCH("Delivery",N674)),ISNUMBER(SEARCH("Mariana",N674))),"SIM","")</f>
        <v/>
      </c>
      <c r="AF674" s="99">
        <f>IF(AND(ISNUMBER(SEARCH("Delivery",N674)),ISNUMBER(SEARCH("Perdizes",N674))),"SIM","")</f>
        <v/>
      </c>
      <c r="AG674" s="99">
        <f>IF(AND(ISNUMBER(SEARCH("Delivery",N674)),ISNUMBER(SEARCH("Santana",N674))),"SIM","")</f>
        <v/>
      </c>
      <c r="AH674" s="99">
        <f>IF(AND(ISNUMBER(SEARCH("Delivery",N674)),ISNUMBER(SEARCH("André",N674))),"SIM","")</f>
        <v/>
      </c>
      <c r="AI674" s="99">
        <f>IF(ISNUMBER(SEARCH("Interlagos",N674)),"SIM","")</f>
        <v/>
      </c>
      <c r="AJ674" s="99">
        <f>IF(ISNUMBER(SEARCH("Quiosque",N674)),"SIM","")</f>
        <v/>
      </c>
      <c r="AK674" s="101" t="n"/>
    </row>
    <row r="675">
      <c r="A675" s="88" t="inlineStr">
        <is>
          <t>Protheus</t>
        </is>
      </c>
      <c r="B675" s="89" t="inlineStr">
        <is>
          <t>000961</t>
        </is>
      </c>
      <c r="C675" s="90">
        <f>IF(B675="—","—",IFERROR(VLOOKUP(B675,_Protheus_Cadastro!$A:$B,2,FALSE),"—"))</f>
        <v/>
      </c>
      <c r="D675" s="91">
        <f>IF(B675="—",IFERROR(INDEX(_ZIG_Cadastro!$D:$D,MATCH(H675,_ZIG_Cadastro!$A:$A,0)),"Produto"),IFERROR(VLOOKUP(B675,_Protheus_Cadastro!$A:$C,3,FALSE),"—"))</f>
        <v/>
      </c>
      <c r="E675" s="91">
        <f>IF(B675="—","—",IFERROR(VLOOKUP(B675,_Protheus_Cadastro!$A:$D,4,FALSE),"—"))</f>
        <v/>
      </c>
      <c r="F675" s="91">
        <f>IF(ISERROR(VLOOKUP(B675,'Estrutura Protheus'!A:A,1,FALSE)),"Não","Sim")</f>
        <v/>
      </c>
      <c r="G675" s="92">
        <f>IFERROR(INDEX(_Protheus_Cadastro!$H:$H,MATCH(B675,_Protheus_Cadastro!$A:$A,0)),"—")</f>
        <v/>
      </c>
      <c r="H675" s="210">
        <f>IFERROR(INDEX(_ZIG_Precos!$D:$D,MATCH(I675,_ZIG_Precos!$F:$F,0)),"—")</f>
        <v/>
      </c>
      <c r="I675" s="95">
        <f>IFERROR(VLOOKUP(B675,_Protheus_Cadastro!$A:$I,9,FALSE),"—")</f>
        <v/>
      </c>
      <c r="J675" s="93">
        <f>IFERROR(INDEX(_ZIG_Cadastro!$B:$B,MATCH(I675,_ZIG_Cadastro!$A:$A,0)),IFERROR(INDEX(_Entradas_ZIG!$B:$B,MATCH(I675,_Entradas_ZIG!$C:$C,0)),"—"))</f>
        <v/>
      </c>
      <c r="K675" s="93">
        <f>IFERROR(INDEX(_ZIG_Cadastro!$C:$C,MATCH(I675,_ZIG_Cadastro!$A:$A,0)),IFERROR(INDEX(_Entradas_ZIG!$D:$D,MATCH(I675,_Entradas_ZIG!$C:$C,0)),"—"))</f>
        <v/>
      </c>
      <c r="L675" s="92">
        <f>IF(I675="","Sem SKU ZIG",IF(I675="—","Sem SKU ZIG",IF(NOT(ISERROR(MATCH(I675,_ZIG_Cadastro!$A:$A,0))),IF(EXACT(UPPER(TRIM(C675)),UPPER(TRIM(INDEX(_ZIG_Cadastro!$B:$B,MATCH(I675,_ZIG_Cadastro!$A:$A,0))))),"OK","Atencao - Nome diverge"),IF(NOT(ISERROR(MATCH(I675,_Entradas_ZIG!$C:$C,0))),"OK","Erro - SKU nao encontrado"))))</f>
        <v/>
      </c>
      <c r="M675" s="92">
        <f>IFERROR(INDEX(_ZIG_Cadastro!$G:$G,MATCH(I675,_ZIG_Cadastro!$A:$A,0)),IF(NOT(ISERROR(MATCH(I675,_Entradas_ZIG!$C:$C,0))),"Ativo","—"))</f>
        <v/>
      </c>
      <c r="N675" s="94">
        <f>IFERROR(INDEX(_ZIG_Cadastro!$E:$E,MATCH(I675,_ZIG_Cadastro!$A:$A,0)),IFERROR(INDEX(_Entradas_ZIG!$F:$F,MATCH(I675,_Entradas_ZIG!$C:$C,0)),"—"))</f>
        <v/>
      </c>
      <c r="O675" s="92">
        <f>IF(AND(ISNUMBER(SEARCH("Espeto",N675)),ISNUMBER(SEARCH("Carin",N675))),"SIM","")</f>
        <v/>
      </c>
      <c r="P675" s="92">
        <f>IF(AND(ISNUMBER(SEARCH("Espeto",N675)),ISNUMBER(SEARCH("Lapa",N675))),"SIM","")</f>
        <v/>
      </c>
      <c r="Q675" s="92">
        <f>IF(AND(ISNUMBER(SEARCH("Espeto",N675)),ISNUMBER(SEARCH("Tatuapé",N675))),"SIM","")</f>
        <v/>
      </c>
      <c r="R675" s="92">
        <f>IF(AND(ISNUMBER(SEARCH("Espeto",N675)),ISNUMBER(SEARCH("Pavão",N675))),"SIM","")</f>
        <v/>
      </c>
      <c r="S675" s="92">
        <f>IF(AND(ISNUMBER(SEARCH("Espeto",N675)),ISNUMBER(SEARCH("Chac",N675))),"SIM","")</f>
        <v/>
      </c>
      <c r="T675" s="92">
        <f>IF(AND(ISNUMBER(SEARCH("Espeto",N675)),ISNUMBER(SEARCH("Madalena",N675))),"SIM","")</f>
        <v/>
      </c>
      <c r="U675" s="92">
        <f>IF(AND(ISNUMBER(SEARCH("Espeto",N675)),ISNUMBER(SEARCH("Mariana",N675))),"SIM","")</f>
        <v/>
      </c>
      <c r="V675" s="92">
        <f>IF(AND(ISNUMBER(SEARCH("Espeto",N675)),ISNUMBER(SEARCH("Perdizes",N675))),"SIM","")</f>
        <v/>
      </c>
      <c r="W675" s="92">
        <f>IF(AND(ISNUMBER(SEARCH("Espeto",N675)),ISNUMBER(SEARCH("Santana",N675))),"SIM","")</f>
        <v/>
      </c>
      <c r="X675" s="92">
        <f>IF(AND(ISNUMBER(SEARCH("Espeto",N675)),ISNUMBER(SEARCH("André",N675))),"SIM","")</f>
        <v/>
      </c>
      <c r="Y675" s="92">
        <f>IF(AND(ISNUMBER(SEARCH("Delivery",N675)),ISNUMBER(SEARCH("Carin",N675))),"SIM","")</f>
        <v/>
      </c>
      <c r="Z675" s="92">
        <f>IF(AND(ISNUMBER(SEARCH("Delivery",N675)),ISNUMBER(SEARCH("Lapa",N675))),"SIM","")</f>
        <v/>
      </c>
      <c r="AA675" s="92">
        <f>IF(AND(ISNUMBER(SEARCH("Delivery",N675)),ISNUMBER(SEARCH("Tatuapé",N675))),"SIM","")</f>
        <v/>
      </c>
      <c r="AB675" s="92">
        <f>IF(AND(ISNUMBER(SEARCH("Delivery",N675)),ISNUMBER(SEARCH("Pavão",N675))),"SIM","")</f>
        <v/>
      </c>
      <c r="AC675" s="92">
        <f>IF(AND(ISNUMBER(SEARCH("Delivery",N675)),ISNUMBER(SEARCH("Chac",N675))),"SIM","")</f>
        <v/>
      </c>
      <c r="AD675" s="92">
        <f>IF(AND(ISNUMBER(SEARCH("Delivery",N675)),ISNUMBER(SEARCH("Madalena",N675))),"SIM","")</f>
        <v/>
      </c>
      <c r="AE675" s="99">
        <f>IF(AND(ISNUMBER(SEARCH("Delivery",N675)),ISNUMBER(SEARCH("Mariana",N675))),"SIM","")</f>
        <v/>
      </c>
      <c r="AF675" s="99">
        <f>IF(AND(ISNUMBER(SEARCH("Delivery",N675)),ISNUMBER(SEARCH("Perdizes",N675))),"SIM","")</f>
        <v/>
      </c>
      <c r="AG675" s="99">
        <f>IF(AND(ISNUMBER(SEARCH("Delivery",N675)),ISNUMBER(SEARCH("Santana",N675))),"SIM","")</f>
        <v/>
      </c>
      <c r="AH675" s="99">
        <f>IF(AND(ISNUMBER(SEARCH("Delivery",N675)),ISNUMBER(SEARCH("André",N675))),"SIM","")</f>
        <v/>
      </c>
      <c r="AI675" s="99">
        <f>IF(ISNUMBER(SEARCH("Interlagos",N675)),"SIM","")</f>
        <v/>
      </c>
      <c r="AJ675" s="99">
        <f>IF(ISNUMBER(SEARCH("Quiosque",N675)),"SIM","")</f>
        <v/>
      </c>
      <c r="AK675" s="101" t="n"/>
    </row>
    <row r="676">
      <c r="A676" s="88" t="inlineStr">
        <is>
          <t>Protheus</t>
        </is>
      </c>
      <c r="B676" s="89" t="inlineStr">
        <is>
          <t>001010</t>
        </is>
      </c>
      <c r="C676" s="90">
        <f>IF(B676="—","—",IFERROR(VLOOKUP(B676,_Protheus_Cadastro!$A:$B,2,FALSE),"—"))</f>
        <v/>
      </c>
      <c r="D676" s="91">
        <f>IF(B676="—",IFERROR(INDEX(_ZIG_Cadastro!$D:$D,MATCH(H676,_ZIG_Cadastro!$A:$A,0)),"Produto"),IFERROR(VLOOKUP(B676,_Protheus_Cadastro!$A:$C,3,FALSE),"—"))</f>
        <v/>
      </c>
      <c r="E676" s="91">
        <f>IF(B676="—","—",IFERROR(VLOOKUP(B676,_Protheus_Cadastro!$A:$D,4,FALSE),"—"))</f>
        <v/>
      </c>
      <c r="F676" s="91">
        <f>IF(ISERROR(VLOOKUP(B676,'Estrutura Protheus'!A:A,1,FALSE)),"Não","Sim")</f>
        <v/>
      </c>
      <c r="G676" s="92">
        <f>IFERROR(INDEX(_Protheus_Cadastro!$H:$H,MATCH(B676,_Protheus_Cadastro!$A:$A,0)),"—")</f>
        <v/>
      </c>
      <c r="H676" s="210">
        <f>IFERROR(INDEX(_ZIG_Precos!$D:$D,MATCH(I676,_ZIG_Precos!$F:$F,0)),"—")</f>
        <v/>
      </c>
      <c r="I676" s="95">
        <f>IFERROR(VLOOKUP(B676,_Protheus_Cadastro!$A:$I,9,FALSE),"—")</f>
        <v/>
      </c>
      <c r="J676" s="93">
        <f>IFERROR(INDEX(_ZIG_Cadastro!$B:$B,MATCH(I676,_ZIG_Cadastro!$A:$A,0)),IFERROR(INDEX(_Entradas_ZIG!$B:$B,MATCH(I676,_Entradas_ZIG!$C:$C,0)),"—"))</f>
        <v/>
      </c>
      <c r="K676" s="93">
        <f>IFERROR(INDEX(_ZIG_Cadastro!$C:$C,MATCH(I676,_ZIG_Cadastro!$A:$A,0)),IFERROR(INDEX(_Entradas_ZIG!$D:$D,MATCH(I676,_Entradas_ZIG!$C:$C,0)),"—"))</f>
        <v/>
      </c>
      <c r="L676" s="92">
        <f>IF(I676="","Sem SKU ZIG",IF(I676="—","Sem SKU ZIG",IF(NOT(ISERROR(MATCH(I676,_ZIG_Cadastro!$A:$A,0))),IF(EXACT(UPPER(TRIM(C676)),UPPER(TRIM(INDEX(_ZIG_Cadastro!$B:$B,MATCH(I676,_ZIG_Cadastro!$A:$A,0))))),"OK","Atencao - Nome diverge"),IF(NOT(ISERROR(MATCH(I676,_Entradas_ZIG!$C:$C,0))),"OK","Erro - SKU nao encontrado"))))</f>
        <v/>
      </c>
      <c r="M676" s="92">
        <f>IFERROR(INDEX(_ZIG_Cadastro!$G:$G,MATCH(I676,_ZIG_Cadastro!$A:$A,0)),IF(NOT(ISERROR(MATCH(I676,_Entradas_ZIG!$C:$C,0))),"Ativo","—"))</f>
        <v/>
      </c>
      <c r="N676" s="94">
        <f>IFERROR(INDEX(_ZIG_Cadastro!$E:$E,MATCH(I676,_ZIG_Cadastro!$A:$A,0)),IFERROR(INDEX(_Entradas_ZIG!$F:$F,MATCH(I676,_Entradas_ZIG!$C:$C,0)),"—"))</f>
        <v/>
      </c>
      <c r="O676" s="92">
        <f>IF(AND(ISNUMBER(SEARCH("Espeto",N676)),ISNUMBER(SEARCH("Carin",N676))),"SIM","")</f>
        <v/>
      </c>
      <c r="P676" s="92">
        <f>IF(AND(ISNUMBER(SEARCH("Espeto",N676)),ISNUMBER(SEARCH("Lapa",N676))),"SIM","")</f>
        <v/>
      </c>
      <c r="Q676" s="92">
        <f>IF(AND(ISNUMBER(SEARCH("Espeto",N676)),ISNUMBER(SEARCH("Tatuapé",N676))),"SIM","")</f>
        <v/>
      </c>
      <c r="R676" s="92">
        <f>IF(AND(ISNUMBER(SEARCH("Espeto",N676)),ISNUMBER(SEARCH("Pavão",N676))),"SIM","")</f>
        <v/>
      </c>
      <c r="S676" s="92">
        <f>IF(AND(ISNUMBER(SEARCH("Espeto",N676)),ISNUMBER(SEARCH("Chac",N676))),"SIM","")</f>
        <v/>
      </c>
      <c r="T676" s="92">
        <f>IF(AND(ISNUMBER(SEARCH("Espeto",N676)),ISNUMBER(SEARCH("Madalena",N676))),"SIM","")</f>
        <v/>
      </c>
      <c r="U676" s="92">
        <f>IF(AND(ISNUMBER(SEARCH("Espeto",N676)),ISNUMBER(SEARCH("Mariana",N676))),"SIM","")</f>
        <v/>
      </c>
      <c r="V676" s="92">
        <f>IF(AND(ISNUMBER(SEARCH("Espeto",N676)),ISNUMBER(SEARCH("Perdizes",N676))),"SIM","")</f>
        <v/>
      </c>
      <c r="W676" s="92">
        <f>IF(AND(ISNUMBER(SEARCH("Espeto",N676)),ISNUMBER(SEARCH("Santana",N676))),"SIM","")</f>
        <v/>
      </c>
      <c r="X676" s="92">
        <f>IF(AND(ISNUMBER(SEARCH("Espeto",N676)),ISNUMBER(SEARCH("André",N676))),"SIM","")</f>
        <v/>
      </c>
      <c r="Y676" s="92">
        <f>IF(AND(ISNUMBER(SEARCH("Delivery",N676)),ISNUMBER(SEARCH("Carin",N676))),"SIM","")</f>
        <v/>
      </c>
      <c r="Z676" s="92">
        <f>IF(AND(ISNUMBER(SEARCH("Delivery",N676)),ISNUMBER(SEARCH("Lapa",N676))),"SIM","")</f>
        <v/>
      </c>
      <c r="AA676" s="92">
        <f>IF(AND(ISNUMBER(SEARCH("Delivery",N676)),ISNUMBER(SEARCH("Tatuapé",N676))),"SIM","")</f>
        <v/>
      </c>
      <c r="AB676" s="92">
        <f>IF(AND(ISNUMBER(SEARCH("Delivery",N676)),ISNUMBER(SEARCH("Pavão",N676))),"SIM","")</f>
        <v/>
      </c>
      <c r="AC676" s="92">
        <f>IF(AND(ISNUMBER(SEARCH("Delivery",N676)),ISNUMBER(SEARCH("Chac",N676))),"SIM","")</f>
        <v/>
      </c>
      <c r="AD676" s="92">
        <f>IF(AND(ISNUMBER(SEARCH("Delivery",N676)),ISNUMBER(SEARCH("Madalena",N676))),"SIM","")</f>
        <v/>
      </c>
      <c r="AE676" s="99">
        <f>IF(AND(ISNUMBER(SEARCH("Delivery",N676)),ISNUMBER(SEARCH("Mariana",N676))),"SIM","")</f>
        <v/>
      </c>
      <c r="AF676" s="99">
        <f>IF(AND(ISNUMBER(SEARCH("Delivery",N676)),ISNUMBER(SEARCH("Perdizes",N676))),"SIM","")</f>
        <v/>
      </c>
      <c r="AG676" s="99">
        <f>IF(AND(ISNUMBER(SEARCH("Delivery",N676)),ISNUMBER(SEARCH("Santana",N676))),"SIM","")</f>
        <v/>
      </c>
      <c r="AH676" s="99">
        <f>IF(AND(ISNUMBER(SEARCH("Delivery",N676)),ISNUMBER(SEARCH("André",N676))),"SIM","")</f>
        <v/>
      </c>
      <c r="AI676" s="99">
        <f>IF(ISNUMBER(SEARCH("Interlagos",N676)),"SIM","")</f>
        <v/>
      </c>
      <c r="AJ676" s="99">
        <f>IF(ISNUMBER(SEARCH("Quiosque",N676)),"SIM","")</f>
        <v/>
      </c>
      <c r="AK676" s="101" t="n"/>
    </row>
    <row r="677">
      <c r="A677" s="88" t="inlineStr">
        <is>
          <t>Protheus</t>
        </is>
      </c>
      <c r="B677" s="89" t="inlineStr">
        <is>
          <t>001022</t>
        </is>
      </c>
      <c r="C677" s="90">
        <f>IF(B677="—","—",IFERROR(VLOOKUP(B677,_Protheus_Cadastro!$A:$B,2,FALSE),"—"))</f>
        <v/>
      </c>
      <c r="D677" s="91">
        <f>IF(B677="—",IFERROR(INDEX(_ZIG_Cadastro!$D:$D,MATCH(H677,_ZIG_Cadastro!$A:$A,0)),"Produto"),IFERROR(VLOOKUP(B677,_Protheus_Cadastro!$A:$C,3,FALSE),"—"))</f>
        <v/>
      </c>
      <c r="E677" s="91">
        <f>IF(B677="—","—",IFERROR(VLOOKUP(B677,_Protheus_Cadastro!$A:$D,4,FALSE),"—"))</f>
        <v/>
      </c>
      <c r="F677" s="91">
        <f>IF(ISERROR(VLOOKUP(B677,'Estrutura Protheus'!A:A,1,FALSE)),"Não","Sim")</f>
        <v/>
      </c>
      <c r="G677" s="92">
        <f>IFERROR(INDEX(_Protheus_Cadastro!$H:$H,MATCH(B677,_Protheus_Cadastro!$A:$A,0)),"—")</f>
        <v/>
      </c>
      <c r="H677" s="210">
        <f>IFERROR(INDEX(_ZIG_Precos!$D:$D,MATCH(I677,_ZIG_Precos!$F:$F,0)),"—")</f>
        <v/>
      </c>
      <c r="I677" s="95">
        <f>IFERROR(VLOOKUP(B677,_Protheus_Cadastro!$A:$I,9,FALSE),"—")</f>
        <v/>
      </c>
      <c r="J677" s="93">
        <f>IFERROR(INDEX(_ZIG_Cadastro!$B:$B,MATCH(I677,_ZIG_Cadastro!$A:$A,0)),IFERROR(INDEX(_Entradas_ZIG!$B:$B,MATCH(I677,_Entradas_ZIG!$C:$C,0)),"—"))</f>
        <v/>
      </c>
      <c r="K677" s="93">
        <f>IFERROR(INDEX(_ZIG_Cadastro!$C:$C,MATCH(I677,_ZIG_Cadastro!$A:$A,0)),IFERROR(INDEX(_Entradas_ZIG!$D:$D,MATCH(I677,_Entradas_ZIG!$C:$C,0)),"—"))</f>
        <v/>
      </c>
      <c r="L677" s="92">
        <f>IF(I677="","Sem SKU ZIG",IF(I677="—","Sem SKU ZIG",IF(NOT(ISERROR(MATCH(I677,_ZIG_Cadastro!$A:$A,0))),IF(EXACT(UPPER(TRIM(C677)),UPPER(TRIM(INDEX(_ZIG_Cadastro!$B:$B,MATCH(I677,_ZIG_Cadastro!$A:$A,0))))),"OK","Atencao - Nome diverge"),IF(NOT(ISERROR(MATCH(I677,_Entradas_ZIG!$C:$C,0))),"OK","Erro - SKU nao encontrado"))))</f>
        <v/>
      </c>
      <c r="M677" s="92">
        <f>IFERROR(INDEX(_ZIG_Cadastro!$G:$G,MATCH(I677,_ZIG_Cadastro!$A:$A,0)),IF(NOT(ISERROR(MATCH(I677,_Entradas_ZIG!$C:$C,0))),"Ativo","—"))</f>
        <v/>
      </c>
      <c r="N677" s="94">
        <f>IFERROR(INDEX(_ZIG_Cadastro!$E:$E,MATCH(I677,_ZIG_Cadastro!$A:$A,0)),IFERROR(INDEX(_Entradas_ZIG!$F:$F,MATCH(I677,_Entradas_ZIG!$C:$C,0)),"—"))</f>
        <v/>
      </c>
      <c r="O677" s="92">
        <f>IF(AND(ISNUMBER(SEARCH("Espeto",N677)),ISNUMBER(SEARCH("Carin",N677))),"SIM","")</f>
        <v/>
      </c>
      <c r="P677" s="92">
        <f>IF(AND(ISNUMBER(SEARCH("Espeto",N677)),ISNUMBER(SEARCH("Lapa",N677))),"SIM","")</f>
        <v/>
      </c>
      <c r="Q677" s="92">
        <f>IF(AND(ISNUMBER(SEARCH("Espeto",N677)),ISNUMBER(SEARCH("Tatuapé",N677))),"SIM","")</f>
        <v/>
      </c>
      <c r="R677" s="92">
        <f>IF(AND(ISNUMBER(SEARCH("Espeto",N677)),ISNUMBER(SEARCH("Pavão",N677))),"SIM","")</f>
        <v/>
      </c>
      <c r="S677" s="92">
        <f>IF(AND(ISNUMBER(SEARCH("Espeto",N677)),ISNUMBER(SEARCH("Chac",N677))),"SIM","")</f>
        <v/>
      </c>
      <c r="T677" s="92">
        <f>IF(AND(ISNUMBER(SEARCH("Espeto",N677)),ISNUMBER(SEARCH("Madalena",N677))),"SIM","")</f>
        <v/>
      </c>
      <c r="U677" s="92">
        <f>IF(AND(ISNUMBER(SEARCH("Espeto",N677)),ISNUMBER(SEARCH("Mariana",N677))),"SIM","")</f>
        <v/>
      </c>
      <c r="V677" s="92">
        <f>IF(AND(ISNUMBER(SEARCH("Espeto",N677)),ISNUMBER(SEARCH("Perdizes",N677))),"SIM","")</f>
        <v/>
      </c>
      <c r="W677" s="92">
        <f>IF(AND(ISNUMBER(SEARCH("Espeto",N677)),ISNUMBER(SEARCH("Santana",N677))),"SIM","")</f>
        <v/>
      </c>
      <c r="X677" s="92">
        <f>IF(AND(ISNUMBER(SEARCH("Espeto",N677)),ISNUMBER(SEARCH("André",N677))),"SIM","")</f>
        <v/>
      </c>
      <c r="Y677" s="92">
        <f>IF(AND(ISNUMBER(SEARCH("Delivery",N677)),ISNUMBER(SEARCH("Carin",N677))),"SIM","")</f>
        <v/>
      </c>
      <c r="Z677" s="92">
        <f>IF(AND(ISNUMBER(SEARCH("Delivery",N677)),ISNUMBER(SEARCH("Lapa",N677))),"SIM","")</f>
        <v/>
      </c>
      <c r="AA677" s="92">
        <f>IF(AND(ISNUMBER(SEARCH("Delivery",N677)),ISNUMBER(SEARCH("Tatuapé",N677))),"SIM","")</f>
        <v/>
      </c>
      <c r="AB677" s="92">
        <f>IF(AND(ISNUMBER(SEARCH("Delivery",N677)),ISNUMBER(SEARCH("Pavão",N677))),"SIM","")</f>
        <v/>
      </c>
      <c r="AC677" s="92">
        <f>IF(AND(ISNUMBER(SEARCH("Delivery",N677)),ISNUMBER(SEARCH("Chac",N677))),"SIM","")</f>
        <v/>
      </c>
      <c r="AD677" s="92">
        <f>IF(AND(ISNUMBER(SEARCH("Delivery",N677)),ISNUMBER(SEARCH("Madalena",N677))),"SIM","")</f>
        <v/>
      </c>
      <c r="AE677" s="99">
        <f>IF(AND(ISNUMBER(SEARCH("Delivery",N677)),ISNUMBER(SEARCH("Mariana",N677))),"SIM","")</f>
        <v/>
      </c>
      <c r="AF677" s="99">
        <f>IF(AND(ISNUMBER(SEARCH("Delivery",N677)),ISNUMBER(SEARCH("Perdizes",N677))),"SIM","")</f>
        <v/>
      </c>
      <c r="AG677" s="99">
        <f>IF(AND(ISNUMBER(SEARCH("Delivery",N677)),ISNUMBER(SEARCH("Santana",N677))),"SIM","")</f>
        <v/>
      </c>
      <c r="AH677" s="99">
        <f>IF(AND(ISNUMBER(SEARCH("Delivery",N677)),ISNUMBER(SEARCH("André",N677))),"SIM","")</f>
        <v/>
      </c>
      <c r="AI677" s="99">
        <f>IF(ISNUMBER(SEARCH("Interlagos",N677)),"SIM","")</f>
        <v/>
      </c>
      <c r="AJ677" s="99">
        <f>IF(ISNUMBER(SEARCH("Quiosque",N677)),"SIM","")</f>
        <v/>
      </c>
      <c r="AK677" s="101" t="n"/>
    </row>
    <row r="678">
      <c r="A678" s="88" t="inlineStr">
        <is>
          <t>Protheus</t>
        </is>
      </c>
      <c r="B678" s="89" t="inlineStr">
        <is>
          <t>001026</t>
        </is>
      </c>
      <c r="C678" s="90">
        <f>IF(B678="—","—",IFERROR(VLOOKUP(B678,_Protheus_Cadastro!$A:$B,2,FALSE),"—"))</f>
        <v/>
      </c>
      <c r="D678" s="91">
        <f>IF(B678="—",IFERROR(INDEX(_ZIG_Cadastro!$D:$D,MATCH(H678,_ZIG_Cadastro!$A:$A,0)),"Produto"),IFERROR(VLOOKUP(B678,_Protheus_Cadastro!$A:$C,3,FALSE),"—"))</f>
        <v/>
      </c>
      <c r="E678" s="91">
        <f>IF(B678="—","—",IFERROR(VLOOKUP(B678,_Protheus_Cadastro!$A:$D,4,FALSE),"—"))</f>
        <v/>
      </c>
      <c r="F678" s="91">
        <f>IF(ISERROR(VLOOKUP(B678,'Estrutura Protheus'!A:A,1,FALSE)),"Não","Sim")</f>
        <v/>
      </c>
      <c r="G678" s="92">
        <f>IFERROR(INDEX(_Protheus_Cadastro!$H:$H,MATCH(B678,_Protheus_Cadastro!$A:$A,0)),"—")</f>
        <v/>
      </c>
      <c r="H678" s="210">
        <f>IFERROR(INDEX(_ZIG_Precos!$D:$D,MATCH(I678,_ZIG_Precos!$F:$F,0)),"—")</f>
        <v/>
      </c>
      <c r="I678" s="95">
        <f>IFERROR(VLOOKUP(B678,_Protheus_Cadastro!$A:$I,9,FALSE),"—")</f>
        <v/>
      </c>
      <c r="J678" s="93">
        <f>IFERROR(INDEX(_ZIG_Cadastro!$B:$B,MATCH(I678,_ZIG_Cadastro!$A:$A,0)),IFERROR(INDEX(_Entradas_ZIG!$B:$B,MATCH(I678,_Entradas_ZIG!$C:$C,0)),"—"))</f>
        <v/>
      </c>
      <c r="K678" s="93">
        <f>IFERROR(INDEX(_ZIG_Cadastro!$C:$C,MATCH(I678,_ZIG_Cadastro!$A:$A,0)),IFERROR(INDEX(_Entradas_ZIG!$D:$D,MATCH(I678,_Entradas_ZIG!$C:$C,0)),"—"))</f>
        <v/>
      </c>
      <c r="L678" s="92">
        <f>IF(I678="","Sem SKU ZIG",IF(I678="—","Sem SKU ZIG",IF(NOT(ISERROR(MATCH(I678,_ZIG_Cadastro!$A:$A,0))),IF(EXACT(UPPER(TRIM(C678)),UPPER(TRIM(INDEX(_ZIG_Cadastro!$B:$B,MATCH(I678,_ZIG_Cadastro!$A:$A,0))))),"OK","Atencao - Nome diverge"),IF(NOT(ISERROR(MATCH(I678,_Entradas_ZIG!$C:$C,0))),"OK","Erro - SKU nao encontrado"))))</f>
        <v/>
      </c>
      <c r="M678" s="92">
        <f>IFERROR(INDEX(_ZIG_Cadastro!$G:$G,MATCH(I678,_ZIG_Cadastro!$A:$A,0)),IF(NOT(ISERROR(MATCH(I678,_Entradas_ZIG!$C:$C,0))),"Ativo","—"))</f>
        <v/>
      </c>
      <c r="N678" s="94">
        <f>IFERROR(INDEX(_ZIG_Cadastro!$E:$E,MATCH(I678,_ZIG_Cadastro!$A:$A,0)),IFERROR(INDEX(_Entradas_ZIG!$F:$F,MATCH(I678,_Entradas_ZIG!$C:$C,0)),"—"))</f>
        <v/>
      </c>
      <c r="O678" s="92">
        <f>IF(AND(ISNUMBER(SEARCH("Espeto",N678)),ISNUMBER(SEARCH("Carin",N678))),"SIM","")</f>
        <v/>
      </c>
      <c r="P678" s="92">
        <f>IF(AND(ISNUMBER(SEARCH("Espeto",N678)),ISNUMBER(SEARCH("Lapa",N678))),"SIM","")</f>
        <v/>
      </c>
      <c r="Q678" s="92">
        <f>IF(AND(ISNUMBER(SEARCH("Espeto",N678)),ISNUMBER(SEARCH("Tatuapé",N678))),"SIM","")</f>
        <v/>
      </c>
      <c r="R678" s="92">
        <f>IF(AND(ISNUMBER(SEARCH("Espeto",N678)),ISNUMBER(SEARCH("Pavão",N678))),"SIM","")</f>
        <v/>
      </c>
      <c r="S678" s="92">
        <f>IF(AND(ISNUMBER(SEARCH("Espeto",N678)),ISNUMBER(SEARCH("Chac",N678))),"SIM","")</f>
        <v/>
      </c>
      <c r="T678" s="92">
        <f>IF(AND(ISNUMBER(SEARCH("Espeto",N678)),ISNUMBER(SEARCH("Madalena",N678))),"SIM","")</f>
        <v/>
      </c>
      <c r="U678" s="92">
        <f>IF(AND(ISNUMBER(SEARCH("Espeto",N678)),ISNUMBER(SEARCH("Mariana",N678))),"SIM","")</f>
        <v/>
      </c>
      <c r="V678" s="92">
        <f>IF(AND(ISNUMBER(SEARCH("Espeto",N678)),ISNUMBER(SEARCH("Perdizes",N678))),"SIM","")</f>
        <v/>
      </c>
      <c r="W678" s="92">
        <f>IF(AND(ISNUMBER(SEARCH("Espeto",N678)),ISNUMBER(SEARCH("Santana",N678))),"SIM","")</f>
        <v/>
      </c>
      <c r="X678" s="92">
        <f>IF(AND(ISNUMBER(SEARCH("Espeto",N678)),ISNUMBER(SEARCH("André",N678))),"SIM","")</f>
        <v/>
      </c>
      <c r="Y678" s="92">
        <f>IF(AND(ISNUMBER(SEARCH("Delivery",N678)),ISNUMBER(SEARCH("Carin",N678))),"SIM","")</f>
        <v/>
      </c>
      <c r="Z678" s="92">
        <f>IF(AND(ISNUMBER(SEARCH("Delivery",N678)),ISNUMBER(SEARCH("Lapa",N678))),"SIM","")</f>
        <v/>
      </c>
      <c r="AA678" s="92">
        <f>IF(AND(ISNUMBER(SEARCH("Delivery",N678)),ISNUMBER(SEARCH("Tatuapé",N678))),"SIM","")</f>
        <v/>
      </c>
      <c r="AB678" s="92">
        <f>IF(AND(ISNUMBER(SEARCH("Delivery",N678)),ISNUMBER(SEARCH("Pavão",N678))),"SIM","")</f>
        <v/>
      </c>
      <c r="AC678" s="92">
        <f>IF(AND(ISNUMBER(SEARCH("Delivery",N678)),ISNUMBER(SEARCH("Chac",N678))),"SIM","")</f>
        <v/>
      </c>
      <c r="AD678" s="92">
        <f>IF(AND(ISNUMBER(SEARCH("Delivery",N678)),ISNUMBER(SEARCH("Madalena",N678))),"SIM","")</f>
        <v/>
      </c>
      <c r="AE678" s="99">
        <f>IF(AND(ISNUMBER(SEARCH("Delivery",N678)),ISNUMBER(SEARCH("Mariana",N678))),"SIM","")</f>
        <v/>
      </c>
      <c r="AF678" s="99">
        <f>IF(AND(ISNUMBER(SEARCH("Delivery",N678)),ISNUMBER(SEARCH("Perdizes",N678))),"SIM","")</f>
        <v/>
      </c>
      <c r="AG678" s="99">
        <f>IF(AND(ISNUMBER(SEARCH("Delivery",N678)),ISNUMBER(SEARCH("Santana",N678))),"SIM","")</f>
        <v/>
      </c>
      <c r="AH678" s="99">
        <f>IF(AND(ISNUMBER(SEARCH("Delivery",N678)),ISNUMBER(SEARCH("André",N678))),"SIM","")</f>
        <v/>
      </c>
      <c r="AI678" s="99">
        <f>IF(ISNUMBER(SEARCH("Interlagos",N678)),"SIM","")</f>
        <v/>
      </c>
      <c r="AJ678" s="99">
        <f>IF(ISNUMBER(SEARCH("Quiosque",N678)),"SIM","")</f>
        <v/>
      </c>
      <c r="AK678" s="101" t="n"/>
    </row>
    <row r="679">
      <c r="A679" s="88" t="inlineStr">
        <is>
          <t>Protheus</t>
        </is>
      </c>
      <c r="B679" s="89" t="inlineStr">
        <is>
          <t>001028</t>
        </is>
      </c>
      <c r="C679" s="90">
        <f>IF(B679="—","—",IFERROR(VLOOKUP(B679,_Protheus_Cadastro!$A:$B,2,FALSE),"—"))</f>
        <v/>
      </c>
      <c r="D679" s="91">
        <f>IF(B679="—",IFERROR(INDEX(_ZIG_Cadastro!$D:$D,MATCH(H679,_ZIG_Cadastro!$A:$A,0)),"Produto"),IFERROR(VLOOKUP(B679,_Protheus_Cadastro!$A:$C,3,FALSE),"—"))</f>
        <v/>
      </c>
      <c r="E679" s="91">
        <f>IF(B679="—","—",IFERROR(VLOOKUP(B679,_Protheus_Cadastro!$A:$D,4,FALSE),"—"))</f>
        <v/>
      </c>
      <c r="F679" s="91">
        <f>IF(ISERROR(VLOOKUP(B679,'Estrutura Protheus'!A:A,1,FALSE)),"Não","Sim")</f>
        <v/>
      </c>
      <c r="G679" s="92">
        <f>IFERROR(INDEX(_Protheus_Cadastro!$H:$H,MATCH(B679,_Protheus_Cadastro!$A:$A,0)),"—")</f>
        <v/>
      </c>
      <c r="H679" s="210">
        <f>IFERROR(INDEX(_ZIG_Precos!$D:$D,MATCH(I679,_ZIG_Precos!$F:$F,0)),"—")</f>
        <v/>
      </c>
      <c r="I679" s="95">
        <f>IFERROR(VLOOKUP(B679,_Protheus_Cadastro!$A:$I,9,FALSE),"—")</f>
        <v/>
      </c>
      <c r="J679" s="93">
        <f>IFERROR(INDEX(_ZIG_Cadastro!$B:$B,MATCH(I679,_ZIG_Cadastro!$A:$A,0)),IFERROR(INDEX(_Entradas_ZIG!$B:$B,MATCH(I679,_Entradas_ZIG!$C:$C,0)),"—"))</f>
        <v/>
      </c>
      <c r="K679" s="93">
        <f>IFERROR(INDEX(_ZIG_Cadastro!$C:$C,MATCH(I679,_ZIG_Cadastro!$A:$A,0)),IFERROR(INDEX(_Entradas_ZIG!$D:$D,MATCH(I679,_Entradas_ZIG!$C:$C,0)),"—"))</f>
        <v/>
      </c>
      <c r="L679" s="92">
        <f>IF(I679="","Sem SKU ZIG",IF(I679="—","Sem SKU ZIG",IF(NOT(ISERROR(MATCH(I679,_ZIG_Cadastro!$A:$A,0))),IF(EXACT(UPPER(TRIM(C679)),UPPER(TRIM(INDEX(_ZIG_Cadastro!$B:$B,MATCH(I679,_ZIG_Cadastro!$A:$A,0))))),"OK","Atencao - Nome diverge"),IF(NOT(ISERROR(MATCH(I679,_Entradas_ZIG!$C:$C,0))),"OK","Erro - SKU nao encontrado"))))</f>
        <v/>
      </c>
      <c r="M679" s="92">
        <f>IFERROR(INDEX(_ZIG_Cadastro!$G:$G,MATCH(I679,_ZIG_Cadastro!$A:$A,0)),IF(NOT(ISERROR(MATCH(I679,_Entradas_ZIG!$C:$C,0))),"Ativo","—"))</f>
        <v/>
      </c>
      <c r="N679" s="94">
        <f>IFERROR(INDEX(_ZIG_Cadastro!$E:$E,MATCH(I679,_ZIG_Cadastro!$A:$A,0)),IFERROR(INDEX(_Entradas_ZIG!$F:$F,MATCH(I679,_Entradas_ZIG!$C:$C,0)),"—"))</f>
        <v/>
      </c>
      <c r="O679" s="92">
        <f>IF(AND(ISNUMBER(SEARCH("Espeto",N679)),ISNUMBER(SEARCH("Carin",N679))),"SIM","")</f>
        <v/>
      </c>
      <c r="P679" s="92">
        <f>IF(AND(ISNUMBER(SEARCH("Espeto",N679)),ISNUMBER(SEARCH("Lapa",N679))),"SIM","")</f>
        <v/>
      </c>
      <c r="Q679" s="92">
        <f>IF(AND(ISNUMBER(SEARCH("Espeto",N679)),ISNUMBER(SEARCH("Tatuapé",N679))),"SIM","")</f>
        <v/>
      </c>
      <c r="R679" s="92">
        <f>IF(AND(ISNUMBER(SEARCH("Espeto",N679)),ISNUMBER(SEARCH("Pavão",N679))),"SIM","")</f>
        <v/>
      </c>
      <c r="S679" s="92">
        <f>IF(AND(ISNUMBER(SEARCH("Espeto",N679)),ISNUMBER(SEARCH("Chac",N679))),"SIM","")</f>
        <v/>
      </c>
      <c r="T679" s="92">
        <f>IF(AND(ISNUMBER(SEARCH("Espeto",N679)),ISNUMBER(SEARCH("Madalena",N679))),"SIM","")</f>
        <v/>
      </c>
      <c r="U679" s="92">
        <f>IF(AND(ISNUMBER(SEARCH("Espeto",N679)),ISNUMBER(SEARCH("Mariana",N679))),"SIM","")</f>
        <v/>
      </c>
      <c r="V679" s="92">
        <f>IF(AND(ISNUMBER(SEARCH("Espeto",N679)),ISNUMBER(SEARCH("Perdizes",N679))),"SIM","")</f>
        <v/>
      </c>
      <c r="W679" s="92">
        <f>IF(AND(ISNUMBER(SEARCH("Espeto",N679)),ISNUMBER(SEARCH("Santana",N679))),"SIM","")</f>
        <v/>
      </c>
      <c r="X679" s="92">
        <f>IF(AND(ISNUMBER(SEARCH("Espeto",N679)),ISNUMBER(SEARCH("André",N679))),"SIM","")</f>
        <v/>
      </c>
      <c r="Y679" s="92">
        <f>IF(AND(ISNUMBER(SEARCH("Delivery",N679)),ISNUMBER(SEARCH("Carin",N679))),"SIM","")</f>
        <v/>
      </c>
      <c r="Z679" s="92">
        <f>IF(AND(ISNUMBER(SEARCH("Delivery",N679)),ISNUMBER(SEARCH("Lapa",N679))),"SIM","")</f>
        <v/>
      </c>
      <c r="AA679" s="92">
        <f>IF(AND(ISNUMBER(SEARCH("Delivery",N679)),ISNUMBER(SEARCH("Tatuapé",N679))),"SIM","")</f>
        <v/>
      </c>
      <c r="AB679" s="92">
        <f>IF(AND(ISNUMBER(SEARCH("Delivery",N679)),ISNUMBER(SEARCH("Pavão",N679))),"SIM","")</f>
        <v/>
      </c>
      <c r="AC679" s="92">
        <f>IF(AND(ISNUMBER(SEARCH("Delivery",N679)),ISNUMBER(SEARCH("Chac",N679))),"SIM","")</f>
        <v/>
      </c>
      <c r="AD679" s="92">
        <f>IF(AND(ISNUMBER(SEARCH("Delivery",N679)),ISNUMBER(SEARCH("Madalena",N679))),"SIM","")</f>
        <v/>
      </c>
      <c r="AE679" s="99">
        <f>IF(AND(ISNUMBER(SEARCH("Delivery",N679)),ISNUMBER(SEARCH("Mariana",N679))),"SIM","")</f>
        <v/>
      </c>
      <c r="AF679" s="99">
        <f>IF(AND(ISNUMBER(SEARCH("Delivery",N679)),ISNUMBER(SEARCH("Perdizes",N679))),"SIM","")</f>
        <v/>
      </c>
      <c r="AG679" s="99">
        <f>IF(AND(ISNUMBER(SEARCH("Delivery",N679)),ISNUMBER(SEARCH("Santana",N679))),"SIM","")</f>
        <v/>
      </c>
      <c r="AH679" s="99">
        <f>IF(AND(ISNUMBER(SEARCH("Delivery",N679)),ISNUMBER(SEARCH("André",N679))),"SIM","")</f>
        <v/>
      </c>
      <c r="AI679" s="99">
        <f>IF(ISNUMBER(SEARCH("Interlagos",N679)),"SIM","")</f>
        <v/>
      </c>
      <c r="AJ679" s="99">
        <f>IF(ISNUMBER(SEARCH("Quiosque",N679)),"SIM","")</f>
        <v/>
      </c>
      <c r="AK679" s="101" t="n"/>
    </row>
    <row r="680">
      <c r="A680" s="88" t="inlineStr">
        <is>
          <t>Protheus</t>
        </is>
      </c>
      <c r="B680" s="89" t="inlineStr">
        <is>
          <t>001033</t>
        </is>
      </c>
      <c r="C680" s="90">
        <f>IF(B680="—","—",IFERROR(VLOOKUP(B680,_Protheus_Cadastro!$A:$B,2,FALSE),"—"))</f>
        <v/>
      </c>
      <c r="D680" s="91">
        <f>IF(B680="—",IFERROR(INDEX(_ZIG_Cadastro!$D:$D,MATCH(H680,_ZIG_Cadastro!$A:$A,0)),"Produto"),IFERROR(VLOOKUP(B680,_Protheus_Cadastro!$A:$C,3,FALSE),"—"))</f>
        <v/>
      </c>
      <c r="E680" s="91">
        <f>IF(B680="—","—",IFERROR(VLOOKUP(B680,_Protheus_Cadastro!$A:$D,4,FALSE),"—"))</f>
        <v/>
      </c>
      <c r="F680" s="91">
        <f>IF(ISERROR(VLOOKUP(B680,'Estrutura Protheus'!A:A,1,FALSE)),"Não","Sim")</f>
        <v/>
      </c>
      <c r="G680" s="92">
        <f>IFERROR(INDEX(_Protheus_Cadastro!$H:$H,MATCH(B680,_Protheus_Cadastro!$A:$A,0)),"—")</f>
        <v/>
      </c>
      <c r="H680" s="210">
        <f>IFERROR(INDEX(_ZIG_Precos!$D:$D,MATCH(I680,_ZIG_Precos!$F:$F,0)),"—")</f>
        <v/>
      </c>
      <c r="I680" s="95">
        <f>IFERROR(VLOOKUP(B680,_Protheus_Cadastro!$A:$I,9,FALSE),"—")</f>
        <v/>
      </c>
      <c r="J680" s="93">
        <f>IFERROR(INDEX(_ZIG_Cadastro!$B:$B,MATCH(I680,_ZIG_Cadastro!$A:$A,0)),IFERROR(INDEX(_Entradas_ZIG!$B:$B,MATCH(I680,_Entradas_ZIG!$C:$C,0)),"—"))</f>
        <v/>
      </c>
      <c r="K680" s="93">
        <f>IFERROR(INDEX(_ZIG_Cadastro!$C:$C,MATCH(I680,_ZIG_Cadastro!$A:$A,0)),IFERROR(INDEX(_Entradas_ZIG!$D:$D,MATCH(I680,_Entradas_ZIG!$C:$C,0)),"—"))</f>
        <v/>
      </c>
      <c r="L680" s="92">
        <f>IF(I680="","Sem SKU ZIG",IF(I680="—","Sem SKU ZIG",IF(NOT(ISERROR(MATCH(I680,_ZIG_Cadastro!$A:$A,0))),IF(EXACT(UPPER(TRIM(C680)),UPPER(TRIM(INDEX(_ZIG_Cadastro!$B:$B,MATCH(I680,_ZIG_Cadastro!$A:$A,0))))),"OK","Atencao - Nome diverge"),IF(NOT(ISERROR(MATCH(I680,_Entradas_ZIG!$C:$C,0))),"OK","Erro - SKU nao encontrado"))))</f>
        <v/>
      </c>
      <c r="M680" s="92">
        <f>IFERROR(INDEX(_ZIG_Cadastro!$G:$G,MATCH(I680,_ZIG_Cadastro!$A:$A,0)),IF(NOT(ISERROR(MATCH(I680,_Entradas_ZIG!$C:$C,0))),"Ativo","—"))</f>
        <v/>
      </c>
      <c r="N680" s="94">
        <f>IFERROR(INDEX(_ZIG_Cadastro!$E:$E,MATCH(I680,_ZIG_Cadastro!$A:$A,0)),IFERROR(INDEX(_Entradas_ZIG!$F:$F,MATCH(I680,_Entradas_ZIG!$C:$C,0)),"—"))</f>
        <v/>
      </c>
      <c r="O680" s="92">
        <f>IF(AND(ISNUMBER(SEARCH("Espeto",N680)),ISNUMBER(SEARCH("Carin",N680))),"SIM","")</f>
        <v/>
      </c>
      <c r="P680" s="92">
        <f>IF(AND(ISNUMBER(SEARCH("Espeto",N680)),ISNUMBER(SEARCH("Lapa",N680))),"SIM","")</f>
        <v/>
      </c>
      <c r="Q680" s="92">
        <f>IF(AND(ISNUMBER(SEARCH("Espeto",N680)),ISNUMBER(SEARCH("Tatuapé",N680))),"SIM","")</f>
        <v/>
      </c>
      <c r="R680" s="92">
        <f>IF(AND(ISNUMBER(SEARCH("Espeto",N680)),ISNUMBER(SEARCH("Pavão",N680))),"SIM","")</f>
        <v/>
      </c>
      <c r="S680" s="92">
        <f>IF(AND(ISNUMBER(SEARCH("Espeto",N680)),ISNUMBER(SEARCH("Chac",N680))),"SIM","")</f>
        <v/>
      </c>
      <c r="T680" s="92">
        <f>IF(AND(ISNUMBER(SEARCH("Espeto",N680)),ISNUMBER(SEARCH("Madalena",N680))),"SIM","")</f>
        <v/>
      </c>
      <c r="U680" s="92">
        <f>IF(AND(ISNUMBER(SEARCH("Espeto",N680)),ISNUMBER(SEARCH("Mariana",N680))),"SIM","")</f>
        <v/>
      </c>
      <c r="V680" s="92">
        <f>IF(AND(ISNUMBER(SEARCH("Espeto",N680)),ISNUMBER(SEARCH("Perdizes",N680))),"SIM","")</f>
        <v/>
      </c>
      <c r="W680" s="92">
        <f>IF(AND(ISNUMBER(SEARCH("Espeto",N680)),ISNUMBER(SEARCH("Santana",N680))),"SIM","")</f>
        <v/>
      </c>
      <c r="X680" s="92">
        <f>IF(AND(ISNUMBER(SEARCH("Espeto",N680)),ISNUMBER(SEARCH("André",N680))),"SIM","")</f>
        <v/>
      </c>
      <c r="Y680" s="92">
        <f>IF(AND(ISNUMBER(SEARCH("Delivery",N680)),ISNUMBER(SEARCH("Carin",N680))),"SIM","")</f>
        <v/>
      </c>
      <c r="Z680" s="92">
        <f>IF(AND(ISNUMBER(SEARCH("Delivery",N680)),ISNUMBER(SEARCH("Lapa",N680))),"SIM","")</f>
        <v/>
      </c>
      <c r="AA680" s="92">
        <f>IF(AND(ISNUMBER(SEARCH("Delivery",N680)),ISNUMBER(SEARCH("Tatuapé",N680))),"SIM","")</f>
        <v/>
      </c>
      <c r="AB680" s="92">
        <f>IF(AND(ISNUMBER(SEARCH("Delivery",N680)),ISNUMBER(SEARCH("Pavão",N680))),"SIM","")</f>
        <v/>
      </c>
      <c r="AC680" s="92">
        <f>IF(AND(ISNUMBER(SEARCH("Delivery",N680)),ISNUMBER(SEARCH("Chac",N680))),"SIM","")</f>
        <v/>
      </c>
      <c r="AD680" s="92">
        <f>IF(AND(ISNUMBER(SEARCH("Delivery",N680)),ISNUMBER(SEARCH("Madalena",N680))),"SIM","")</f>
        <v/>
      </c>
      <c r="AE680" s="99">
        <f>IF(AND(ISNUMBER(SEARCH("Delivery",N680)),ISNUMBER(SEARCH("Mariana",N680))),"SIM","")</f>
        <v/>
      </c>
      <c r="AF680" s="99">
        <f>IF(AND(ISNUMBER(SEARCH("Delivery",N680)),ISNUMBER(SEARCH("Perdizes",N680))),"SIM","")</f>
        <v/>
      </c>
      <c r="AG680" s="99">
        <f>IF(AND(ISNUMBER(SEARCH("Delivery",N680)),ISNUMBER(SEARCH("Santana",N680))),"SIM","")</f>
        <v/>
      </c>
      <c r="AH680" s="99">
        <f>IF(AND(ISNUMBER(SEARCH("Delivery",N680)),ISNUMBER(SEARCH("André",N680))),"SIM","")</f>
        <v/>
      </c>
      <c r="AI680" s="99">
        <f>IF(ISNUMBER(SEARCH("Interlagos",N680)),"SIM","")</f>
        <v/>
      </c>
      <c r="AJ680" s="99">
        <f>IF(ISNUMBER(SEARCH("Quiosque",N680)),"SIM","")</f>
        <v/>
      </c>
      <c r="AK680" s="101" t="n"/>
    </row>
    <row r="681">
      <c r="A681" s="88" t="inlineStr">
        <is>
          <t>Protheus</t>
        </is>
      </c>
      <c r="B681" s="89" t="inlineStr">
        <is>
          <t>001034</t>
        </is>
      </c>
      <c r="C681" s="90">
        <f>IF(B681="—","—",IFERROR(VLOOKUP(B681,_Protheus_Cadastro!$A:$B,2,FALSE),"—"))</f>
        <v/>
      </c>
      <c r="D681" s="91">
        <f>IF(B681="—",IFERROR(INDEX(_ZIG_Cadastro!$D:$D,MATCH(H681,_ZIG_Cadastro!$A:$A,0)),"Produto"),IFERROR(VLOOKUP(B681,_Protheus_Cadastro!$A:$C,3,FALSE),"—"))</f>
        <v/>
      </c>
      <c r="E681" s="91">
        <f>IF(B681="—","—",IFERROR(VLOOKUP(B681,_Protheus_Cadastro!$A:$D,4,FALSE),"—"))</f>
        <v/>
      </c>
      <c r="F681" s="91">
        <f>IF(ISERROR(VLOOKUP(B681,'Estrutura Protheus'!A:A,1,FALSE)),"Não","Sim")</f>
        <v/>
      </c>
      <c r="G681" s="92">
        <f>IFERROR(INDEX(_Protheus_Cadastro!$H:$H,MATCH(B681,_Protheus_Cadastro!$A:$A,0)),"—")</f>
        <v/>
      </c>
      <c r="H681" s="210">
        <f>IFERROR(INDEX(_ZIG_Precos!$D:$D,MATCH(I681,_ZIG_Precos!$F:$F,0)),"—")</f>
        <v/>
      </c>
      <c r="I681" s="95">
        <f>IFERROR(VLOOKUP(B681,_Protheus_Cadastro!$A:$I,9,FALSE),"—")</f>
        <v/>
      </c>
      <c r="J681" s="93">
        <f>IFERROR(INDEX(_ZIG_Cadastro!$B:$B,MATCH(I681,_ZIG_Cadastro!$A:$A,0)),IFERROR(INDEX(_Entradas_ZIG!$B:$B,MATCH(I681,_Entradas_ZIG!$C:$C,0)),"—"))</f>
        <v/>
      </c>
      <c r="K681" s="93">
        <f>IFERROR(INDEX(_ZIG_Cadastro!$C:$C,MATCH(I681,_ZIG_Cadastro!$A:$A,0)),IFERROR(INDEX(_Entradas_ZIG!$D:$D,MATCH(I681,_Entradas_ZIG!$C:$C,0)),"—"))</f>
        <v/>
      </c>
      <c r="L681" s="92">
        <f>IF(I681="","Sem SKU ZIG",IF(I681="—","Sem SKU ZIG",IF(NOT(ISERROR(MATCH(I681,_ZIG_Cadastro!$A:$A,0))),IF(EXACT(UPPER(TRIM(C681)),UPPER(TRIM(INDEX(_ZIG_Cadastro!$B:$B,MATCH(I681,_ZIG_Cadastro!$A:$A,0))))),"OK","Atencao - Nome diverge"),IF(NOT(ISERROR(MATCH(I681,_Entradas_ZIG!$C:$C,0))),"OK","Erro - SKU nao encontrado"))))</f>
        <v/>
      </c>
      <c r="M681" s="92">
        <f>IFERROR(INDEX(_ZIG_Cadastro!$G:$G,MATCH(I681,_ZIG_Cadastro!$A:$A,0)),IF(NOT(ISERROR(MATCH(I681,_Entradas_ZIG!$C:$C,0))),"Ativo","—"))</f>
        <v/>
      </c>
      <c r="N681" s="94">
        <f>IFERROR(INDEX(_ZIG_Cadastro!$E:$E,MATCH(I681,_ZIG_Cadastro!$A:$A,0)),IFERROR(INDEX(_Entradas_ZIG!$F:$F,MATCH(I681,_Entradas_ZIG!$C:$C,0)),"—"))</f>
        <v/>
      </c>
      <c r="O681" s="92">
        <f>IF(AND(ISNUMBER(SEARCH("Espeto",N681)),ISNUMBER(SEARCH("Carin",N681))),"SIM","")</f>
        <v/>
      </c>
      <c r="P681" s="92">
        <f>IF(AND(ISNUMBER(SEARCH("Espeto",N681)),ISNUMBER(SEARCH("Lapa",N681))),"SIM","")</f>
        <v/>
      </c>
      <c r="Q681" s="92">
        <f>IF(AND(ISNUMBER(SEARCH("Espeto",N681)),ISNUMBER(SEARCH("Tatuapé",N681))),"SIM","")</f>
        <v/>
      </c>
      <c r="R681" s="92">
        <f>IF(AND(ISNUMBER(SEARCH("Espeto",N681)),ISNUMBER(SEARCH("Pavão",N681))),"SIM","")</f>
        <v/>
      </c>
      <c r="S681" s="92">
        <f>IF(AND(ISNUMBER(SEARCH("Espeto",N681)),ISNUMBER(SEARCH("Chac",N681))),"SIM","")</f>
        <v/>
      </c>
      <c r="T681" s="92">
        <f>IF(AND(ISNUMBER(SEARCH("Espeto",N681)),ISNUMBER(SEARCH("Madalena",N681))),"SIM","")</f>
        <v/>
      </c>
      <c r="U681" s="92">
        <f>IF(AND(ISNUMBER(SEARCH("Espeto",N681)),ISNUMBER(SEARCH("Mariana",N681))),"SIM","")</f>
        <v/>
      </c>
      <c r="V681" s="92">
        <f>IF(AND(ISNUMBER(SEARCH("Espeto",N681)),ISNUMBER(SEARCH("Perdizes",N681))),"SIM","")</f>
        <v/>
      </c>
      <c r="W681" s="92">
        <f>IF(AND(ISNUMBER(SEARCH("Espeto",N681)),ISNUMBER(SEARCH("Santana",N681))),"SIM","")</f>
        <v/>
      </c>
      <c r="X681" s="92">
        <f>IF(AND(ISNUMBER(SEARCH("Espeto",N681)),ISNUMBER(SEARCH("André",N681))),"SIM","")</f>
        <v/>
      </c>
      <c r="Y681" s="92">
        <f>IF(AND(ISNUMBER(SEARCH("Delivery",N681)),ISNUMBER(SEARCH("Carin",N681))),"SIM","")</f>
        <v/>
      </c>
      <c r="Z681" s="92">
        <f>IF(AND(ISNUMBER(SEARCH("Delivery",N681)),ISNUMBER(SEARCH("Lapa",N681))),"SIM","")</f>
        <v/>
      </c>
      <c r="AA681" s="92">
        <f>IF(AND(ISNUMBER(SEARCH("Delivery",N681)),ISNUMBER(SEARCH("Tatuapé",N681))),"SIM","")</f>
        <v/>
      </c>
      <c r="AB681" s="92">
        <f>IF(AND(ISNUMBER(SEARCH("Delivery",N681)),ISNUMBER(SEARCH("Pavão",N681))),"SIM","")</f>
        <v/>
      </c>
      <c r="AC681" s="92">
        <f>IF(AND(ISNUMBER(SEARCH("Delivery",N681)),ISNUMBER(SEARCH("Chac",N681))),"SIM","")</f>
        <v/>
      </c>
      <c r="AD681" s="92">
        <f>IF(AND(ISNUMBER(SEARCH("Delivery",N681)),ISNUMBER(SEARCH("Madalena",N681))),"SIM","")</f>
        <v/>
      </c>
      <c r="AE681" s="99">
        <f>IF(AND(ISNUMBER(SEARCH("Delivery",N681)),ISNUMBER(SEARCH("Mariana",N681))),"SIM","")</f>
        <v/>
      </c>
      <c r="AF681" s="99">
        <f>IF(AND(ISNUMBER(SEARCH("Delivery",N681)),ISNUMBER(SEARCH("Perdizes",N681))),"SIM","")</f>
        <v/>
      </c>
      <c r="AG681" s="99">
        <f>IF(AND(ISNUMBER(SEARCH("Delivery",N681)),ISNUMBER(SEARCH("Santana",N681))),"SIM","")</f>
        <v/>
      </c>
      <c r="AH681" s="99">
        <f>IF(AND(ISNUMBER(SEARCH("Delivery",N681)),ISNUMBER(SEARCH("André",N681))),"SIM","")</f>
        <v/>
      </c>
      <c r="AI681" s="99">
        <f>IF(ISNUMBER(SEARCH("Interlagos",N681)),"SIM","")</f>
        <v/>
      </c>
      <c r="AJ681" s="99">
        <f>IF(ISNUMBER(SEARCH("Quiosque",N681)),"SIM","")</f>
        <v/>
      </c>
      <c r="AK681" s="101" t="n"/>
    </row>
    <row r="682">
      <c r="A682" s="88" t="inlineStr">
        <is>
          <t>Protheus</t>
        </is>
      </c>
      <c r="B682" s="89" t="inlineStr">
        <is>
          <t>001035</t>
        </is>
      </c>
      <c r="C682" s="90">
        <f>IF(B682="—","—",IFERROR(VLOOKUP(B682,_Protheus_Cadastro!$A:$B,2,FALSE),"—"))</f>
        <v/>
      </c>
      <c r="D682" s="91">
        <f>IF(B682="—",IFERROR(INDEX(_ZIG_Cadastro!$D:$D,MATCH(H682,_ZIG_Cadastro!$A:$A,0)),"Produto"),IFERROR(VLOOKUP(B682,_Protheus_Cadastro!$A:$C,3,FALSE),"—"))</f>
        <v/>
      </c>
      <c r="E682" s="91">
        <f>IF(B682="—","—",IFERROR(VLOOKUP(B682,_Protheus_Cadastro!$A:$D,4,FALSE),"—"))</f>
        <v/>
      </c>
      <c r="F682" s="91">
        <f>IF(ISERROR(VLOOKUP(B682,'Estrutura Protheus'!A:A,1,FALSE)),"Não","Sim")</f>
        <v/>
      </c>
      <c r="G682" s="92">
        <f>IFERROR(INDEX(_Protheus_Cadastro!$H:$H,MATCH(B682,_Protheus_Cadastro!$A:$A,0)),"—")</f>
        <v/>
      </c>
      <c r="H682" s="210">
        <f>IFERROR(INDEX(_ZIG_Precos!$D:$D,MATCH(I682,_ZIG_Precos!$F:$F,0)),"—")</f>
        <v/>
      </c>
      <c r="I682" s="95">
        <f>IFERROR(VLOOKUP(B682,_Protheus_Cadastro!$A:$I,9,FALSE),"—")</f>
        <v/>
      </c>
      <c r="J682" s="93">
        <f>IFERROR(INDEX(_ZIG_Cadastro!$B:$B,MATCH(I682,_ZIG_Cadastro!$A:$A,0)),IFERROR(INDEX(_Entradas_ZIG!$B:$B,MATCH(I682,_Entradas_ZIG!$C:$C,0)),"—"))</f>
        <v/>
      </c>
      <c r="K682" s="93">
        <f>IFERROR(INDEX(_ZIG_Cadastro!$C:$C,MATCH(I682,_ZIG_Cadastro!$A:$A,0)),IFERROR(INDEX(_Entradas_ZIG!$D:$D,MATCH(I682,_Entradas_ZIG!$C:$C,0)),"—"))</f>
        <v/>
      </c>
      <c r="L682" s="92">
        <f>IF(I682="","Sem SKU ZIG",IF(I682="—","Sem SKU ZIG",IF(NOT(ISERROR(MATCH(I682,_ZIG_Cadastro!$A:$A,0))),IF(EXACT(UPPER(TRIM(C682)),UPPER(TRIM(INDEX(_ZIG_Cadastro!$B:$B,MATCH(I682,_ZIG_Cadastro!$A:$A,0))))),"OK","Atencao - Nome diverge"),IF(NOT(ISERROR(MATCH(I682,_Entradas_ZIG!$C:$C,0))),"OK","Erro - SKU nao encontrado"))))</f>
        <v/>
      </c>
      <c r="M682" s="92">
        <f>IFERROR(INDEX(_ZIG_Cadastro!$G:$G,MATCH(I682,_ZIG_Cadastro!$A:$A,0)),IF(NOT(ISERROR(MATCH(I682,_Entradas_ZIG!$C:$C,0))),"Ativo","—"))</f>
        <v/>
      </c>
      <c r="N682" s="94">
        <f>IFERROR(INDEX(_ZIG_Cadastro!$E:$E,MATCH(I682,_ZIG_Cadastro!$A:$A,0)),IFERROR(INDEX(_Entradas_ZIG!$F:$F,MATCH(I682,_Entradas_ZIG!$C:$C,0)),"—"))</f>
        <v/>
      </c>
      <c r="O682" s="92">
        <f>IF(AND(ISNUMBER(SEARCH("Espeto",N682)),ISNUMBER(SEARCH("Carin",N682))),"SIM","")</f>
        <v/>
      </c>
      <c r="P682" s="92">
        <f>IF(AND(ISNUMBER(SEARCH("Espeto",N682)),ISNUMBER(SEARCH("Lapa",N682))),"SIM","")</f>
        <v/>
      </c>
      <c r="Q682" s="92">
        <f>IF(AND(ISNUMBER(SEARCH("Espeto",N682)),ISNUMBER(SEARCH("Tatuapé",N682))),"SIM","")</f>
        <v/>
      </c>
      <c r="R682" s="92">
        <f>IF(AND(ISNUMBER(SEARCH("Espeto",N682)),ISNUMBER(SEARCH("Pavão",N682))),"SIM","")</f>
        <v/>
      </c>
      <c r="S682" s="92">
        <f>IF(AND(ISNUMBER(SEARCH("Espeto",N682)),ISNUMBER(SEARCH("Chac",N682))),"SIM","")</f>
        <v/>
      </c>
      <c r="T682" s="92">
        <f>IF(AND(ISNUMBER(SEARCH("Espeto",N682)),ISNUMBER(SEARCH("Madalena",N682))),"SIM","")</f>
        <v/>
      </c>
      <c r="U682" s="92">
        <f>IF(AND(ISNUMBER(SEARCH("Espeto",N682)),ISNUMBER(SEARCH("Mariana",N682))),"SIM","")</f>
        <v/>
      </c>
      <c r="V682" s="92">
        <f>IF(AND(ISNUMBER(SEARCH("Espeto",N682)),ISNUMBER(SEARCH("Perdizes",N682))),"SIM","")</f>
        <v/>
      </c>
      <c r="W682" s="92">
        <f>IF(AND(ISNUMBER(SEARCH("Espeto",N682)),ISNUMBER(SEARCH("Santana",N682))),"SIM","")</f>
        <v/>
      </c>
      <c r="X682" s="92">
        <f>IF(AND(ISNUMBER(SEARCH("Espeto",N682)),ISNUMBER(SEARCH("André",N682))),"SIM","")</f>
        <v/>
      </c>
      <c r="Y682" s="92">
        <f>IF(AND(ISNUMBER(SEARCH("Delivery",N682)),ISNUMBER(SEARCH("Carin",N682))),"SIM","")</f>
        <v/>
      </c>
      <c r="Z682" s="92">
        <f>IF(AND(ISNUMBER(SEARCH("Delivery",N682)),ISNUMBER(SEARCH("Lapa",N682))),"SIM","")</f>
        <v/>
      </c>
      <c r="AA682" s="92">
        <f>IF(AND(ISNUMBER(SEARCH("Delivery",N682)),ISNUMBER(SEARCH("Tatuapé",N682))),"SIM","")</f>
        <v/>
      </c>
      <c r="AB682" s="92">
        <f>IF(AND(ISNUMBER(SEARCH("Delivery",N682)),ISNUMBER(SEARCH("Pavão",N682))),"SIM","")</f>
        <v/>
      </c>
      <c r="AC682" s="92">
        <f>IF(AND(ISNUMBER(SEARCH("Delivery",N682)),ISNUMBER(SEARCH("Chac",N682))),"SIM","")</f>
        <v/>
      </c>
      <c r="AD682" s="92">
        <f>IF(AND(ISNUMBER(SEARCH("Delivery",N682)),ISNUMBER(SEARCH("Madalena",N682))),"SIM","")</f>
        <v/>
      </c>
      <c r="AE682" s="99">
        <f>IF(AND(ISNUMBER(SEARCH("Delivery",N682)),ISNUMBER(SEARCH("Mariana",N682))),"SIM","")</f>
        <v/>
      </c>
      <c r="AF682" s="99">
        <f>IF(AND(ISNUMBER(SEARCH("Delivery",N682)),ISNUMBER(SEARCH("Perdizes",N682))),"SIM","")</f>
        <v/>
      </c>
      <c r="AG682" s="99">
        <f>IF(AND(ISNUMBER(SEARCH("Delivery",N682)),ISNUMBER(SEARCH("Santana",N682))),"SIM","")</f>
        <v/>
      </c>
      <c r="AH682" s="99">
        <f>IF(AND(ISNUMBER(SEARCH("Delivery",N682)),ISNUMBER(SEARCH("André",N682))),"SIM","")</f>
        <v/>
      </c>
      <c r="AI682" s="99">
        <f>IF(ISNUMBER(SEARCH("Interlagos",N682)),"SIM","")</f>
        <v/>
      </c>
      <c r="AJ682" s="99">
        <f>IF(ISNUMBER(SEARCH("Quiosque",N682)),"SIM","")</f>
        <v/>
      </c>
      <c r="AK682" s="101" t="n"/>
    </row>
    <row r="683">
      <c r="A683" s="88" t="inlineStr">
        <is>
          <t>Protheus</t>
        </is>
      </c>
      <c r="B683" s="89" t="inlineStr">
        <is>
          <t>001036</t>
        </is>
      </c>
      <c r="C683" s="90">
        <f>IF(B683="—","—",IFERROR(VLOOKUP(B683,_Protheus_Cadastro!$A:$B,2,FALSE),"—"))</f>
        <v/>
      </c>
      <c r="D683" s="91">
        <f>IF(B683="—",IFERROR(INDEX(_ZIG_Cadastro!$D:$D,MATCH(H683,_ZIG_Cadastro!$A:$A,0)),"Produto"),IFERROR(VLOOKUP(B683,_Protheus_Cadastro!$A:$C,3,FALSE),"—"))</f>
        <v/>
      </c>
      <c r="E683" s="91">
        <f>IF(B683="—","—",IFERROR(VLOOKUP(B683,_Protheus_Cadastro!$A:$D,4,FALSE),"—"))</f>
        <v/>
      </c>
      <c r="F683" s="91">
        <f>IF(ISERROR(VLOOKUP(B683,'Estrutura Protheus'!A:A,1,FALSE)),"Não","Sim")</f>
        <v/>
      </c>
      <c r="G683" s="92">
        <f>IFERROR(INDEX(_Protheus_Cadastro!$H:$H,MATCH(B683,_Protheus_Cadastro!$A:$A,0)),"—")</f>
        <v/>
      </c>
      <c r="H683" s="210">
        <f>IFERROR(INDEX(_ZIG_Precos!$D:$D,MATCH(I683,_ZIG_Precos!$F:$F,0)),"—")</f>
        <v/>
      </c>
      <c r="I683" s="95">
        <f>IFERROR(VLOOKUP(B683,_Protheus_Cadastro!$A:$I,9,FALSE),"—")</f>
        <v/>
      </c>
      <c r="J683" s="93">
        <f>IFERROR(INDEX(_ZIG_Cadastro!$B:$B,MATCH(I683,_ZIG_Cadastro!$A:$A,0)),IFERROR(INDEX(_Entradas_ZIG!$B:$B,MATCH(I683,_Entradas_ZIG!$C:$C,0)),"—"))</f>
        <v/>
      </c>
      <c r="K683" s="93">
        <f>IFERROR(INDEX(_ZIG_Cadastro!$C:$C,MATCH(I683,_ZIG_Cadastro!$A:$A,0)),IFERROR(INDEX(_Entradas_ZIG!$D:$D,MATCH(I683,_Entradas_ZIG!$C:$C,0)),"—"))</f>
        <v/>
      </c>
      <c r="L683" s="92">
        <f>IF(I683="","Sem SKU ZIG",IF(I683="—","Sem SKU ZIG",IF(NOT(ISERROR(MATCH(I683,_ZIG_Cadastro!$A:$A,0))),IF(EXACT(UPPER(TRIM(C683)),UPPER(TRIM(INDEX(_ZIG_Cadastro!$B:$B,MATCH(I683,_ZIG_Cadastro!$A:$A,0))))),"OK","Atencao - Nome diverge"),IF(NOT(ISERROR(MATCH(I683,_Entradas_ZIG!$C:$C,0))),"OK","Erro - SKU nao encontrado"))))</f>
        <v/>
      </c>
      <c r="M683" s="92">
        <f>IFERROR(INDEX(_ZIG_Cadastro!$G:$G,MATCH(I683,_ZIG_Cadastro!$A:$A,0)),IF(NOT(ISERROR(MATCH(I683,_Entradas_ZIG!$C:$C,0))),"Ativo","—"))</f>
        <v/>
      </c>
      <c r="N683" s="94">
        <f>IFERROR(INDEX(_ZIG_Cadastro!$E:$E,MATCH(I683,_ZIG_Cadastro!$A:$A,0)),IFERROR(INDEX(_Entradas_ZIG!$F:$F,MATCH(I683,_Entradas_ZIG!$C:$C,0)),"—"))</f>
        <v/>
      </c>
      <c r="O683" s="92">
        <f>IF(AND(ISNUMBER(SEARCH("Espeto",N683)),ISNUMBER(SEARCH("Carin",N683))),"SIM","")</f>
        <v/>
      </c>
      <c r="P683" s="92">
        <f>IF(AND(ISNUMBER(SEARCH("Espeto",N683)),ISNUMBER(SEARCH("Lapa",N683))),"SIM","")</f>
        <v/>
      </c>
      <c r="Q683" s="92">
        <f>IF(AND(ISNUMBER(SEARCH("Espeto",N683)),ISNUMBER(SEARCH("Tatuapé",N683))),"SIM","")</f>
        <v/>
      </c>
      <c r="R683" s="92">
        <f>IF(AND(ISNUMBER(SEARCH("Espeto",N683)),ISNUMBER(SEARCH("Pavão",N683))),"SIM","")</f>
        <v/>
      </c>
      <c r="S683" s="92">
        <f>IF(AND(ISNUMBER(SEARCH("Espeto",N683)),ISNUMBER(SEARCH("Chac",N683))),"SIM","")</f>
        <v/>
      </c>
      <c r="T683" s="92">
        <f>IF(AND(ISNUMBER(SEARCH("Espeto",N683)),ISNUMBER(SEARCH("Madalena",N683))),"SIM","")</f>
        <v/>
      </c>
      <c r="U683" s="92">
        <f>IF(AND(ISNUMBER(SEARCH("Espeto",N683)),ISNUMBER(SEARCH("Mariana",N683))),"SIM","")</f>
        <v/>
      </c>
      <c r="V683" s="92">
        <f>IF(AND(ISNUMBER(SEARCH("Espeto",N683)),ISNUMBER(SEARCH("Perdizes",N683))),"SIM","")</f>
        <v/>
      </c>
      <c r="W683" s="92">
        <f>IF(AND(ISNUMBER(SEARCH("Espeto",N683)),ISNUMBER(SEARCH("Santana",N683))),"SIM","")</f>
        <v/>
      </c>
      <c r="X683" s="92">
        <f>IF(AND(ISNUMBER(SEARCH("Espeto",N683)),ISNUMBER(SEARCH("André",N683))),"SIM","")</f>
        <v/>
      </c>
      <c r="Y683" s="92">
        <f>IF(AND(ISNUMBER(SEARCH("Delivery",N683)),ISNUMBER(SEARCH("Carin",N683))),"SIM","")</f>
        <v/>
      </c>
      <c r="Z683" s="92">
        <f>IF(AND(ISNUMBER(SEARCH("Delivery",N683)),ISNUMBER(SEARCH("Lapa",N683))),"SIM","")</f>
        <v/>
      </c>
      <c r="AA683" s="92">
        <f>IF(AND(ISNUMBER(SEARCH("Delivery",N683)),ISNUMBER(SEARCH("Tatuapé",N683))),"SIM","")</f>
        <v/>
      </c>
      <c r="AB683" s="92">
        <f>IF(AND(ISNUMBER(SEARCH("Delivery",N683)),ISNUMBER(SEARCH("Pavão",N683))),"SIM","")</f>
        <v/>
      </c>
      <c r="AC683" s="92">
        <f>IF(AND(ISNUMBER(SEARCH("Delivery",N683)),ISNUMBER(SEARCH("Chac",N683))),"SIM","")</f>
        <v/>
      </c>
      <c r="AD683" s="92">
        <f>IF(AND(ISNUMBER(SEARCH("Delivery",N683)),ISNUMBER(SEARCH("Madalena",N683))),"SIM","")</f>
        <v/>
      </c>
      <c r="AE683" s="99">
        <f>IF(AND(ISNUMBER(SEARCH("Delivery",N683)),ISNUMBER(SEARCH("Mariana",N683))),"SIM","")</f>
        <v/>
      </c>
      <c r="AF683" s="99">
        <f>IF(AND(ISNUMBER(SEARCH("Delivery",N683)),ISNUMBER(SEARCH("Perdizes",N683))),"SIM","")</f>
        <v/>
      </c>
      <c r="AG683" s="99">
        <f>IF(AND(ISNUMBER(SEARCH("Delivery",N683)),ISNUMBER(SEARCH("Santana",N683))),"SIM","")</f>
        <v/>
      </c>
      <c r="AH683" s="99">
        <f>IF(AND(ISNUMBER(SEARCH("Delivery",N683)),ISNUMBER(SEARCH("André",N683))),"SIM","")</f>
        <v/>
      </c>
      <c r="AI683" s="99">
        <f>IF(ISNUMBER(SEARCH("Interlagos",N683)),"SIM","")</f>
        <v/>
      </c>
      <c r="AJ683" s="99">
        <f>IF(ISNUMBER(SEARCH("Quiosque",N683)),"SIM","")</f>
        <v/>
      </c>
      <c r="AK683" s="101" t="n"/>
    </row>
    <row r="684">
      <c r="A684" s="88" t="inlineStr">
        <is>
          <t>Protheus</t>
        </is>
      </c>
      <c r="B684" s="89" t="inlineStr">
        <is>
          <t>001055</t>
        </is>
      </c>
      <c r="C684" s="90">
        <f>IF(B684="—","—",IFERROR(VLOOKUP(B684,_Protheus_Cadastro!$A:$B,2,FALSE),"—"))</f>
        <v/>
      </c>
      <c r="D684" s="91">
        <f>IF(B684="—",IFERROR(INDEX(_ZIG_Cadastro!$D:$D,MATCH(H684,_ZIG_Cadastro!$A:$A,0)),"Produto"),IFERROR(VLOOKUP(B684,_Protheus_Cadastro!$A:$C,3,FALSE),"—"))</f>
        <v/>
      </c>
      <c r="E684" s="91">
        <f>IF(B684="—","—",IFERROR(VLOOKUP(B684,_Protheus_Cadastro!$A:$D,4,FALSE),"—"))</f>
        <v/>
      </c>
      <c r="F684" s="91">
        <f>IF(ISERROR(VLOOKUP(B684,'Estrutura Protheus'!A:A,1,FALSE)),"Não","Sim")</f>
        <v/>
      </c>
      <c r="G684" s="92">
        <f>IFERROR(INDEX(_Protheus_Cadastro!$H:$H,MATCH(B684,_Protheus_Cadastro!$A:$A,0)),"—")</f>
        <v/>
      </c>
      <c r="H684" s="210">
        <f>IFERROR(INDEX(_ZIG_Precos!$D:$D,MATCH(I684,_ZIG_Precos!$F:$F,0)),"—")</f>
        <v/>
      </c>
      <c r="I684" s="95">
        <f>IFERROR(VLOOKUP(B684,_Protheus_Cadastro!$A:$I,9,FALSE),"—")</f>
        <v/>
      </c>
      <c r="J684" s="93">
        <f>IFERROR(INDEX(_ZIG_Cadastro!$B:$B,MATCH(I684,_ZIG_Cadastro!$A:$A,0)),IFERROR(INDEX(_Entradas_ZIG!$B:$B,MATCH(I684,_Entradas_ZIG!$C:$C,0)),"—"))</f>
        <v/>
      </c>
      <c r="K684" s="93">
        <f>IFERROR(INDEX(_ZIG_Cadastro!$C:$C,MATCH(I684,_ZIG_Cadastro!$A:$A,0)),IFERROR(INDEX(_Entradas_ZIG!$D:$D,MATCH(I684,_Entradas_ZIG!$C:$C,0)),"—"))</f>
        <v/>
      </c>
      <c r="L684" s="92">
        <f>IF(I684="","Sem SKU ZIG",IF(I684="—","Sem SKU ZIG",IF(NOT(ISERROR(MATCH(I684,_ZIG_Cadastro!$A:$A,0))),IF(EXACT(UPPER(TRIM(C684)),UPPER(TRIM(INDEX(_ZIG_Cadastro!$B:$B,MATCH(I684,_ZIG_Cadastro!$A:$A,0))))),"OK","Atencao - Nome diverge"),IF(NOT(ISERROR(MATCH(I684,_Entradas_ZIG!$C:$C,0))),"OK","Erro - SKU nao encontrado"))))</f>
        <v/>
      </c>
      <c r="M684" s="92">
        <f>IFERROR(INDEX(_ZIG_Cadastro!$G:$G,MATCH(I684,_ZIG_Cadastro!$A:$A,0)),IF(NOT(ISERROR(MATCH(I684,_Entradas_ZIG!$C:$C,0))),"Ativo","—"))</f>
        <v/>
      </c>
      <c r="N684" s="94">
        <f>IFERROR(INDEX(_ZIG_Cadastro!$E:$E,MATCH(I684,_ZIG_Cadastro!$A:$A,0)),IFERROR(INDEX(_Entradas_ZIG!$F:$F,MATCH(I684,_Entradas_ZIG!$C:$C,0)),"—"))</f>
        <v/>
      </c>
      <c r="O684" s="92">
        <f>IF(AND(ISNUMBER(SEARCH("Espeto",N684)),ISNUMBER(SEARCH("Carin",N684))),"SIM","")</f>
        <v/>
      </c>
      <c r="P684" s="92">
        <f>IF(AND(ISNUMBER(SEARCH("Espeto",N684)),ISNUMBER(SEARCH("Lapa",N684))),"SIM","")</f>
        <v/>
      </c>
      <c r="Q684" s="92">
        <f>IF(AND(ISNUMBER(SEARCH("Espeto",N684)),ISNUMBER(SEARCH("Tatuapé",N684))),"SIM","")</f>
        <v/>
      </c>
      <c r="R684" s="92">
        <f>IF(AND(ISNUMBER(SEARCH("Espeto",N684)),ISNUMBER(SEARCH("Pavão",N684))),"SIM","")</f>
        <v/>
      </c>
      <c r="S684" s="92">
        <f>IF(AND(ISNUMBER(SEARCH("Espeto",N684)),ISNUMBER(SEARCH("Chac",N684))),"SIM","")</f>
        <v/>
      </c>
      <c r="T684" s="92">
        <f>IF(AND(ISNUMBER(SEARCH("Espeto",N684)),ISNUMBER(SEARCH("Madalena",N684))),"SIM","")</f>
        <v/>
      </c>
      <c r="U684" s="92">
        <f>IF(AND(ISNUMBER(SEARCH("Espeto",N684)),ISNUMBER(SEARCH("Mariana",N684))),"SIM","")</f>
        <v/>
      </c>
      <c r="V684" s="92">
        <f>IF(AND(ISNUMBER(SEARCH("Espeto",N684)),ISNUMBER(SEARCH("Perdizes",N684))),"SIM","")</f>
        <v/>
      </c>
      <c r="W684" s="92">
        <f>IF(AND(ISNUMBER(SEARCH("Espeto",N684)),ISNUMBER(SEARCH("Santana",N684))),"SIM","")</f>
        <v/>
      </c>
      <c r="X684" s="92">
        <f>IF(AND(ISNUMBER(SEARCH("Espeto",N684)),ISNUMBER(SEARCH("André",N684))),"SIM","")</f>
        <v/>
      </c>
      <c r="Y684" s="92">
        <f>IF(AND(ISNUMBER(SEARCH("Delivery",N684)),ISNUMBER(SEARCH("Carin",N684))),"SIM","")</f>
        <v/>
      </c>
      <c r="Z684" s="92">
        <f>IF(AND(ISNUMBER(SEARCH("Delivery",N684)),ISNUMBER(SEARCH("Lapa",N684))),"SIM","")</f>
        <v/>
      </c>
      <c r="AA684" s="92">
        <f>IF(AND(ISNUMBER(SEARCH("Delivery",N684)),ISNUMBER(SEARCH("Tatuapé",N684))),"SIM","")</f>
        <v/>
      </c>
      <c r="AB684" s="92">
        <f>IF(AND(ISNUMBER(SEARCH("Delivery",N684)),ISNUMBER(SEARCH("Pavão",N684))),"SIM","")</f>
        <v/>
      </c>
      <c r="AC684" s="92">
        <f>IF(AND(ISNUMBER(SEARCH("Delivery",N684)),ISNUMBER(SEARCH("Chac",N684))),"SIM","")</f>
        <v/>
      </c>
      <c r="AD684" s="92">
        <f>IF(AND(ISNUMBER(SEARCH("Delivery",N684)),ISNUMBER(SEARCH("Madalena",N684))),"SIM","")</f>
        <v/>
      </c>
      <c r="AE684" s="99">
        <f>IF(AND(ISNUMBER(SEARCH("Delivery",N684)),ISNUMBER(SEARCH("Mariana",N684))),"SIM","")</f>
        <v/>
      </c>
      <c r="AF684" s="99">
        <f>IF(AND(ISNUMBER(SEARCH("Delivery",N684)),ISNUMBER(SEARCH("Perdizes",N684))),"SIM","")</f>
        <v/>
      </c>
      <c r="AG684" s="99">
        <f>IF(AND(ISNUMBER(SEARCH("Delivery",N684)),ISNUMBER(SEARCH("Santana",N684))),"SIM","")</f>
        <v/>
      </c>
      <c r="AH684" s="99">
        <f>IF(AND(ISNUMBER(SEARCH("Delivery",N684)),ISNUMBER(SEARCH("André",N684))),"SIM","")</f>
        <v/>
      </c>
      <c r="AI684" s="99">
        <f>IF(ISNUMBER(SEARCH("Interlagos",N684)),"SIM","")</f>
        <v/>
      </c>
      <c r="AJ684" s="99">
        <f>IF(ISNUMBER(SEARCH("Quiosque",N684)),"SIM","")</f>
        <v/>
      </c>
      <c r="AK684" s="101" t="n"/>
    </row>
    <row r="685">
      <c r="A685" s="88" t="inlineStr">
        <is>
          <t>Protheus</t>
        </is>
      </c>
      <c r="B685" s="89" t="inlineStr">
        <is>
          <t>001062</t>
        </is>
      </c>
      <c r="C685" s="90">
        <f>IF(B685="—","—",IFERROR(VLOOKUP(B685,_Protheus_Cadastro!$A:$B,2,FALSE),"—"))</f>
        <v/>
      </c>
      <c r="D685" s="91">
        <f>IF(B685="—",IFERROR(INDEX(_ZIG_Cadastro!$D:$D,MATCH(H685,_ZIG_Cadastro!$A:$A,0)),"Produto"),IFERROR(VLOOKUP(B685,_Protheus_Cadastro!$A:$C,3,FALSE),"—"))</f>
        <v/>
      </c>
      <c r="E685" s="91">
        <f>IF(B685="—","—",IFERROR(VLOOKUP(B685,_Protheus_Cadastro!$A:$D,4,FALSE),"—"))</f>
        <v/>
      </c>
      <c r="F685" s="91">
        <f>IF(ISERROR(VLOOKUP(B685,'Estrutura Protheus'!A:A,1,FALSE)),"Não","Sim")</f>
        <v/>
      </c>
      <c r="G685" s="92">
        <f>IFERROR(INDEX(_Protheus_Cadastro!$H:$H,MATCH(B685,_Protheus_Cadastro!$A:$A,0)),"—")</f>
        <v/>
      </c>
      <c r="H685" s="210">
        <f>IFERROR(INDEX(_ZIG_Precos!$D:$D,MATCH(I685,_ZIG_Precos!$F:$F,0)),"—")</f>
        <v/>
      </c>
      <c r="I685" s="95">
        <f>IFERROR(VLOOKUP(B685,_Protheus_Cadastro!$A:$I,9,FALSE),"—")</f>
        <v/>
      </c>
      <c r="J685" s="93">
        <f>IFERROR(INDEX(_ZIG_Cadastro!$B:$B,MATCH(I685,_ZIG_Cadastro!$A:$A,0)),IFERROR(INDEX(_Entradas_ZIG!$B:$B,MATCH(I685,_Entradas_ZIG!$C:$C,0)),"—"))</f>
        <v/>
      </c>
      <c r="K685" s="93">
        <f>IFERROR(INDEX(_ZIG_Cadastro!$C:$C,MATCH(I685,_ZIG_Cadastro!$A:$A,0)),IFERROR(INDEX(_Entradas_ZIG!$D:$D,MATCH(I685,_Entradas_ZIG!$C:$C,0)),"—"))</f>
        <v/>
      </c>
      <c r="L685" s="92">
        <f>IF(I685="","Sem SKU ZIG",IF(I685="—","Sem SKU ZIG",IF(NOT(ISERROR(MATCH(I685,_ZIG_Cadastro!$A:$A,0))),IF(EXACT(UPPER(TRIM(C685)),UPPER(TRIM(INDEX(_ZIG_Cadastro!$B:$B,MATCH(I685,_ZIG_Cadastro!$A:$A,0))))),"OK","Atencao - Nome diverge"),IF(NOT(ISERROR(MATCH(I685,_Entradas_ZIG!$C:$C,0))),"OK","Erro - SKU nao encontrado"))))</f>
        <v/>
      </c>
      <c r="M685" s="92">
        <f>IFERROR(INDEX(_ZIG_Cadastro!$G:$G,MATCH(I685,_ZIG_Cadastro!$A:$A,0)),IF(NOT(ISERROR(MATCH(I685,_Entradas_ZIG!$C:$C,0))),"Ativo","—"))</f>
        <v/>
      </c>
      <c r="N685" s="94">
        <f>IFERROR(INDEX(_ZIG_Cadastro!$E:$E,MATCH(I685,_ZIG_Cadastro!$A:$A,0)),IFERROR(INDEX(_Entradas_ZIG!$F:$F,MATCH(I685,_Entradas_ZIG!$C:$C,0)),"—"))</f>
        <v/>
      </c>
      <c r="O685" s="92">
        <f>IF(AND(ISNUMBER(SEARCH("Espeto",N685)),ISNUMBER(SEARCH("Carin",N685))),"SIM","")</f>
        <v/>
      </c>
      <c r="P685" s="92">
        <f>IF(AND(ISNUMBER(SEARCH("Espeto",N685)),ISNUMBER(SEARCH("Lapa",N685))),"SIM","")</f>
        <v/>
      </c>
      <c r="Q685" s="92">
        <f>IF(AND(ISNUMBER(SEARCH("Espeto",N685)),ISNUMBER(SEARCH("Tatuapé",N685))),"SIM","")</f>
        <v/>
      </c>
      <c r="R685" s="92">
        <f>IF(AND(ISNUMBER(SEARCH("Espeto",N685)),ISNUMBER(SEARCH("Pavão",N685))),"SIM","")</f>
        <v/>
      </c>
      <c r="S685" s="92">
        <f>IF(AND(ISNUMBER(SEARCH("Espeto",N685)),ISNUMBER(SEARCH("Chac",N685))),"SIM","")</f>
        <v/>
      </c>
      <c r="T685" s="92">
        <f>IF(AND(ISNUMBER(SEARCH("Espeto",N685)),ISNUMBER(SEARCH("Madalena",N685))),"SIM","")</f>
        <v/>
      </c>
      <c r="U685" s="92">
        <f>IF(AND(ISNUMBER(SEARCH("Espeto",N685)),ISNUMBER(SEARCH("Mariana",N685))),"SIM","")</f>
        <v/>
      </c>
      <c r="V685" s="92">
        <f>IF(AND(ISNUMBER(SEARCH("Espeto",N685)),ISNUMBER(SEARCH("Perdizes",N685))),"SIM","")</f>
        <v/>
      </c>
      <c r="W685" s="92">
        <f>IF(AND(ISNUMBER(SEARCH("Espeto",N685)),ISNUMBER(SEARCH("Santana",N685))),"SIM","")</f>
        <v/>
      </c>
      <c r="X685" s="92">
        <f>IF(AND(ISNUMBER(SEARCH("Espeto",N685)),ISNUMBER(SEARCH("André",N685))),"SIM","")</f>
        <v/>
      </c>
      <c r="Y685" s="92">
        <f>IF(AND(ISNUMBER(SEARCH("Delivery",N685)),ISNUMBER(SEARCH("Carin",N685))),"SIM","")</f>
        <v/>
      </c>
      <c r="Z685" s="92">
        <f>IF(AND(ISNUMBER(SEARCH("Delivery",N685)),ISNUMBER(SEARCH("Lapa",N685))),"SIM","")</f>
        <v/>
      </c>
      <c r="AA685" s="92">
        <f>IF(AND(ISNUMBER(SEARCH("Delivery",N685)),ISNUMBER(SEARCH("Tatuapé",N685))),"SIM","")</f>
        <v/>
      </c>
      <c r="AB685" s="92">
        <f>IF(AND(ISNUMBER(SEARCH("Delivery",N685)),ISNUMBER(SEARCH("Pavão",N685))),"SIM","")</f>
        <v/>
      </c>
      <c r="AC685" s="92">
        <f>IF(AND(ISNUMBER(SEARCH("Delivery",N685)),ISNUMBER(SEARCH("Chac",N685))),"SIM","")</f>
        <v/>
      </c>
      <c r="AD685" s="92">
        <f>IF(AND(ISNUMBER(SEARCH("Delivery",N685)),ISNUMBER(SEARCH("Madalena",N685))),"SIM","")</f>
        <v/>
      </c>
      <c r="AE685" s="99">
        <f>IF(AND(ISNUMBER(SEARCH("Delivery",N685)),ISNUMBER(SEARCH("Mariana",N685))),"SIM","")</f>
        <v/>
      </c>
      <c r="AF685" s="99">
        <f>IF(AND(ISNUMBER(SEARCH("Delivery",N685)),ISNUMBER(SEARCH("Perdizes",N685))),"SIM","")</f>
        <v/>
      </c>
      <c r="AG685" s="99">
        <f>IF(AND(ISNUMBER(SEARCH("Delivery",N685)),ISNUMBER(SEARCH("Santana",N685))),"SIM","")</f>
        <v/>
      </c>
      <c r="AH685" s="99">
        <f>IF(AND(ISNUMBER(SEARCH("Delivery",N685)),ISNUMBER(SEARCH("André",N685))),"SIM","")</f>
        <v/>
      </c>
      <c r="AI685" s="99">
        <f>IF(ISNUMBER(SEARCH("Interlagos",N685)),"SIM","")</f>
        <v/>
      </c>
      <c r="AJ685" s="99">
        <f>IF(ISNUMBER(SEARCH("Quiosque",N685)),"SIM","")</f>
        <v/>
      </c>
      <c r="AK685" s="101" t="n"/>
    </row>
    <row r="686">
      <c r="A686" s="88" t="inlineStr">
        <is>
          <t>Protheus</t>
        </is>
      </c>
      <c r="B686" s="89" t="inlineStr">
        <is>
          <t>001063</t>
        </is>
      </c>
      <c r="C686" s="90">
        <f>IF(B686="—","—",IFERROR(VLOOKUP(B686,_Protheus_Cadastro!$A:$B,2,FALSE),"—"))</f>
        <v/>
      </c>
      <c r="D686" s="91">
        <f>IF(B686="—",IFERROR(INDEX(_ZIG_Cadastro!$D:$D,MATCH(H686,_ZIG_Cadastro!$A:$A,0)),"Produto"),IFERROR(VLOOKUP(B686,_Protheus_Cadastro!$A:$C,3,FALSE),"—"))</f>
        <v/>
      </c>
      <c r="E686" s="91">
        <f>IF(B686="—","—",IFERROR(VLOOKUP(B686,_Protheus_Cadastro!$A:$D,4,FALSE),"—"))</f>
        <v/>
      </c>
      <c r="F686" s="91">
        <f>IF(ISERROR(VLOOKUP(B686,'Estrutura Protheus'!A:A,1,FALSE)),"Não","Sim")</f>
        <v/>
      </c>
      <c r="G686" s="92">
        <f>IFERROR(INDEX(_Protheus_Cadastro!$H:$H,MATCH(B686,_Protheus_Cadastro!$A:$A,0)),"—")</f>
        <v/>
      </c>
      <c r="H686" s="210">
        <f>IFERROR(INDEX(_ZIG_Precos!$D:$D,MATCH(I686,_ZIG_Precos!$F:$F,0)),"—")</f>
        <v/>
      </c>
      <c r="I686" s="95">
        <f>IFERROR(VLOOKUP(B686,_Protheus_Cadastro!$A:$I,9,FALSE),"—")</f>
        <v/>
      </c>
      <c r="J686" s="93">
        <f>IFERROR(INDEX(_ZIG_Cadastro!$B:$B,MATCH(I686,_ZIG_Cadastro!$A:$A,0)),IFERROR(INDEX(_Entradas_ZIG!$B:$B,MATCH(I686,_Entradas_ZIG!$C:$C,0)),"—"))</f>
        <v/>
      </c>
      <c r="K686" s="93">
        <f>IFERROR(INDEX(_ZIG_Cadastro!$C:$C,MATCH(I686,_ZIG_Cadastro!$A:$A,0)),IFERROR(INDEX(_Entradas_ZIG!$D:$D,MATCH(I686,_Entradas_ZIG!$C:$C,0)),"—"))</f>
        <v/>
      </c>
      <c r="L686" s="92">
        <f>IF(I686="","Sem SKU ZIG",IF(I686="—","Sem SKU ZIG",IF(NOT(ISERROR(MATCH(I686,_ZIG_Cadastro!$A:$A,0))),IF(EXACT(UPPER(TRIM(C686)),UPPER(TRIM(INDEX(_ZIG_Cadastro!$B:$B,MATCH(I686,_ZIG_Cadastro!$A:$A,0))))),"OK","Atencao - Nome diverge"),IF(NOT(ISERROR(MATCH(I686,_Entradas_ZIG!$C:$C,0))),"OK","Erro - SKU nao encontrado"))))</f>
        <v/>
      </c>
      <c r="M686" s="92">
        <f>IFERROR(INDEX(_ZIG_Cadastro!$G:$G,MATCH(I686,_ZIG_Cadastro!$A:$A,0)),IF(NOT(ISERROR(MATCH(I686,_Entradas_ZIG!$C:$C,0))),"Ativo","—"))</f>
        <v/>
      </c>
      <c r="N686" s="94">
        <f>IFERROR(INDEX(_ZIG_Cadastro!$E:$E,MATCH(I686,_ZIG_Cadastro!$A:$A,0)),IFERROR(INDEX(_Entradas_ZIG!$F:$F,MATCH(I686,_Entradas_ZIG!$C:$C,0)),"—"))</f>
        <v/>
      </c>
      <c r="O686" s="92">
        <f>IF(AND(ISNUMBER(SEARCH("Espeto",N686)),ISNUMBER(SEARCH("Carin",N686))),"SIM","")</f>
        <v/>
      </c>
      <c r="P686" s="92">
        <f>IF(AND(ISNUMBER(SEARCH("Espeto",N686)),ISNUMBER(SEARCH("Lapa",N686))),"SIM","")</f>
        <v/>
      </c>
      <c r="Q686" s="92">
        <f>IF(AND(ISNUMBER(SEARCH("Espeto",N686)),ISNUMBER(SEARCH("Tatuapé",N686))),"SIM","")</f>
        <v/>
      </c>
      <c r="R686" s="92">
        <f>IF(AND(ISNUMBER(SEARCH("Espeto",N686)),ISNUMBER(SEARCH("Pavão",N686))),"SIM","")</f>
        <v/>
      </c>
      <c r="S686" s="92">
        <f>IF(AND(ISNUMBER(SEARCH("Espeto",N686)),ISNUMBER(SEARCH("Chac",N686))),"SIM","")</f>
        <v/>
      </c>
      <c r="T686" s="92">
        <f>IF(AND(ISNUMBER(SEARCH("Espeto",N686)),ISNUMBER(SEARCH("Madalena",N686))),"SIM","")</f>
        <v/>
      </c>
      <c r="U686" s="92">
        <f>IF(AND(ISNUMBER(SEARCH("Espeto",N686)),ISNUMBER(SEARCH("Mariana",N686))),"SIM","")</f>
        <v/>
      </c>
      <c r="V686" s="92">
        <f>IF(AND(ISNUMBER(SEARCH("Espeto",N686)),ISNUMBER(SEARCH("Perdizes",N686))),"SIM","")</f>
        <v/>
      </c>
      <c r="W686" s="92">
        <f>IF(AND(ISNUMBER(SEARCH("Espeto",N686)),ISNUMBER(SEARCH("Santana",N686))),"SIM","")</f>
        <v/>
      </c>
      <c r="X686" s="92">
        <f>IF(AND(ISNUMBER(SEARCH("Espeto",N686)),ISNUMBER(SEARCH("André",N686))),"SIM","")</f>
        <v/>
      </c>
      <c r="Y686" s="92">
        <f>IF(AND(ISNUMBER(SEARCH("Delivery",N686)),ISNUMBER(SEARCH("Carin",N686))),"SIM","")</f>
        <v/>
      </c>
      <c r="Z686" s="92">
        <f>IF(AND(ISNUMBER(SEARCH("Delivery",N686)),ISNUMBER(SEARCH("Lapa",N686))),"SIM","")</f>
        <v/>
      </c>
      <c r="AA686" s="92">
        <f>IF(AND(ISNUMBER(SEARCH("Delivery",N686)),ISNUMBER(SEARCH("Tatuapé",N686))),"SIM","")</f>
        <v/>
      </c>
      <c r="AB686" s="92">
        <f>IF(AND(ISNUMBER(SEARCH("Delivery",N686)),ISNUMBER(SEARCH("Pavão",N686))),"SIM","")</f>
        <v/>
      </c>
      <c r="AC686" s="92">
        <f>IF(AND(ISNUMBER(SEARCH("Delivery",N686)),ISNUMBER(SEARCH("Chac",N686))),"SIM","")</f>
        <v/>
      </c>
      <c r="AD686" s="92">
        <f>IF(AND(ISNUMBER(SEARCH("Delivery",N686)),ISNUMBER(SEARCH("Madalena",N686))),"SIM","")</f>
        <v/>
      </c>
      <c r="AE686" s="99">
        <f>IF(AND(ISNUMBER(SEARCH("Delivery",N686)),ISNUMBER(SEARCH("Mariana",N686))),"SIM","")</f>
        <v/>
      </c>
      <c r="AF686" s="99">
        <f>IF(AND(ISNUMBER(SEARCH("Delivery",N686)),ISNUMBER(SEARCH("Perdizes",N686))),"SIM","")</f>
        <v/>
      </c>
      <c r="AG686" s="99">
        <f>IF(AND(ISNUMBER(SEARCH("Delivery",N686)),ISNUMBER(SEARCH("Santana",N686))),"SIM","")</f>
        <v/>
      </c>
      <c r="AH686" s="99">
        <f>IF(AND(ISNUMBER(SEARCH("Delivery",N686)),ISNUMBER(SEARCH("André",N686))),"SIM","")</f>
        <v/>
      </c>
      <c r="AI686" s="99">
        <f>IF(ISNUMBER(SEARCH("Interlagos",N686)),"SIM","")</f>
        <v/>
      </c>
      <c r="AJ686" s="99">
        <f>IF(ISNUMBER(SEARCH("Quiosque",N686)),"SIM","")</f>
        <v/>
      </c>
      <c r="AK686" s="101" t="n"/>
    </row>
    <row r="687">
      <c r="A687" s="88" t="inlineStr">
        <is>
          <t>Protheus</t>
        </is>
      </c>
      <c r="B687" s="89" t="inlineStr">
        <is>
          <t>001064</t>
        </is>
      </c>
      <c r="C687" s="90">
        <f>IF(B687="—","—",IFERROR(VLOOKUP(B687,_Protheus_Cadastro!$A:$B,2,FALSE),"—"))</f>
        <v/>
      </c>
      <c r="D687" s="91">
        <f>IF(B687="—",IFERROR(INDEX(_ZIG_Cadastro!$D:$D,MATCH(H687,_ZIG_Cadastro!$A:$A,0)),"Produto"),IFERROR(VLOOKUP(B687,_Protheus_Cadastro!$A:$C,3,FALSE),"—"))</f>
        <v/>
      </c>
      <c r="E687" s="91">
        <f>IF(B687="—","—",IFERROR(VLOOKUP(B687,_Protheus_Cadastro!$A:$D,4,FALSE),"—"))</f>
        <v/>
      </c>
      <c r="F687" s="91">
        <f>IF(ISERROR(VLOOKUP(B687,'Estrutura Protheus'!A:A,1,FALSE)),"Não","Sim")</f>
        <v/>
      </c>
      <c r="G687" s="92">
        <f>IFERROR(INDEX(_Protheus_Cadastro!$H:$H,MATCH(B687,_Protheus_Cadastro!$A:$A,0)),"—")</f>
        <v/>
      </c>
      <c r="H687" s="210">
        <f>IFERROR(INDEX(_ZIG_Precos!$D:$D,MATCH(I687,_ZIG_Precos!$F:$F,0)),"—")</f>
        <v/>
      </c>
      <c r="I687" s="95">
        <f>IFERROR(VLOOKUP(B687,_Protheus_Cadastro!$A:$I,9,FALSE),"—")</f>
        <v/>
      </c>
      <c r="J687" s="93">
        <f>IFERROR(INDEX(_ZIG_Cadastro!$B:$B,MATCH(I687,_ZIG_Cadastro!$A:$A,0)),IFERROR(INDEX(_Entradas_ZIG!$B:$B,MATCH(I687,_Entradas_ZIG!$C:$C,0)),"—"))</f>
        <v/>
      </c>
      <c r="K687" s="93">
        <f>IFERROR(INDEX(_ZIG_Cadastro!$C:$C,MATCH(I687,_ZIG_Cadastro!$A:$A,0)),IFERROR(INDEX(_Entradas_ZIG!$D:$D,MATCH(I687,_Entradas_ZIG!$C:$C,0)),"—"))</f>
        <v/>
      </c>
      <c r="L687" s="92">
        <f>IF(I687="","Sem SKU ZIG",IF(I687="—","Sem SKU ZIG",IF(NOT(ISERROR(MATCH(I687,_ZIG_Cadastro!$A:$A,0))),IF(EXACT(UPPER(TRIM(C687)),UPPER(TRIM(INDEX(_ZIG_Cadastro!$B:$B,MATCH(I687,_ZIG_Cadastro!$A:$A,0))))),"OK","Atencao - Nome diverge"),IF(NOT(ISERROR(MATCH(I687,_Entradas_ZIG!$C:$C,0))),"OK","Erro - SKU nao encontrado"))))</f>
        <v/>
      </c>
      <c r="M687" s="92">
        <f>IFERROR(INDEX(_ZIG_Cadastro!$G:$G,MATCH(I687,_ZIG_Cadastro!$A:$A,0)),IF(NOT(ISERROR(MATCH(I687,_Entradas_ZIG!$C:$C,0))),"Ativo","—"))</f>
        <v/>
      </c>
      <c r="N687" s="94">
        <f>IFERROR(INDEX(_ZIG_Cadastro!$E:$E,MATCH(I687,_ZIG_Cadastro!$A:$A,0)),IFERROR(INDEX(_Entradas_ZIG!$F:$F,MATCH(I687,_Entradas_ZIG!$C:$C,0)),"—"))</f>
        <v/>
      </c>
      <c r="O687" s="92">
        <f>IF(AND(ISNUMBER(SEARCH("Espeto",N687)),ISNUMBER(SEARCH("Carin",N687))),"SIM","")</f>
        <v/>
      </c>
      <c r="P687" s="92">
        <f>IF(AND(ISNUMBER(SEARCH("Espeto",N687)),ISNUMBER(SEARCH("Lapa",N687))),"SIM","")</f>
        <v/>
      </c>
      <c r="Q687" s="92">
        <f>IF(AND(ISNUMBER(SEARCH("Espeto",N687)),ISNUMBER(SEARCH("Tatuapé",N687))),"SIM","")</f>
        <v/>
      </c>
      <c r="R687" s="92">
        <f>IF(AND(ISNUMBER(SEARCH("Espeto",N687)),ISNUMBER(SEARCH("Pavão",N687))),"SIM","")</f>
        <v/>
      </c>
      <c r="S687" s="92">
        <f>IF(AND(ISNUMBER(SEARCH("Espeto",N687)),ISNUMBER(SEARCH("Chac",N687))),"SIM","")</f>
        <v/>
      </c>
      <c r="T687" s="92">
        <f>IF(AND(ISNUMBER(SEARCH("Espeto",N687)),ISNUMBER(SEARCH("Madalena",N687))),"SIM","")</f>
        <v/>
      </c>
      <c r="U687" s="92">
        <f>IF(AND(ISNUMBER(SEARCH("Espeto",N687)),ISNUMBER(SEARCH("Mariana",N687))),"SIM","")</f>
        <v/>
      </c>
      <c r="V687" s="92">
        <f>IF(AND(ISNUMBER(SEARCH("Espeto",N687)),ISNUMBER(SEARCH("Perdizes",N687))),"SIM","")</f>
        <v/>
      </c>
      <c r="W687" s="92">
        <f>IF(AND(ISNUMBER(SEARCH("Espeto",N687)),ISNUMBER(SEARCH("Santana",N687))),"SIM","")</f>
        <v/>
      </c>
      <c r="X687" s="92">
        <f>IF(AND(ISNUMBER(SEARCH("Espeto",N687)),ISNUMBER(SEARCH("André",N687))),"SIM","")</f>
        <v/>
      </c>
      <c r="Y687" s="92">
        <f>IF(AND(ISNUMBER(SEARCH("Delivery",N687)),ISNUMBER(SEARCH("Carin",N687))),"SIM","")</f>
        <v/>
      </c>
      <c r="Z687" s="92">
        <f>IF(AND(ISNUMBER(SEARCH("Delivery",N687)),ISNUMBER(SEARCH("Lapa",N687))),"SIM","")</f>
        <v/>
      </c>
      <c r="AA687" s="92">
        <f>IF(AND(ISNUMBER(SEARCH("Delivery",N687)),ISNUMBER(SEARCH("Tatuapé",N687))),"SIM","")</f>
        <v/>
      </c>
      <c r="AB687" s="92">
        <f>IF(AND(ISNUMBER(SEARCH("Delivery",N687)),ISNUMBER(SEARCH("Pavão",N687))),"SIM","")</f>
        <v/>
      </c>
      <c r="AC687" s="92">
        <f>IF(AND(ISNUMBER(SEARCH("Delivery",N687)),ISNUMBER(SEARCH("Chac",N687))),"SIM","")</f>
        <v/>
      </c>
      <c r="AD687" s="92">
        <f>IF(AND(ISNUMBER(SEARCH("Delivery",N687)),ISNUMBER(SEARCH("Madalena",N687))),"SIM","")</f>
        <v/>
      </c>
      <c r="AE687" s="99">
        <f>IF(AND(ISNUMBER(SEARCH("Delivery",N687)),ISNUMBER(SEARCH("Mariana",N687))),"SIM","")</f>
        <v/>
      </c>
      <c r="AF687" s="99">
        <f>IF(AND(ISNUMBER(SEARCH("Delivery",N687)),ISNUMBER(SEARCH("Perdizes",N687))),"SIM","")</f>
        <v/>
      </c>
      <c r="AG687" s="99">
        <f>IF(AND(ISNUMBER(SEARCH("Delivery",N687)),ISNUMBER(SEARCH("Santana",N687))),"SIM","")</f>
        <v/>
      </c>
      <c r="AH687" s="99">
        <f>IF(AND(ISNUMBER(SEARCH("Delivery",N687)),ISNUMBER(SEARCH("André",N687))),"SIM","")</f>
        <v/>
      </c>
      <c r="AI687" s="99">
        <f>IF(ISNUMBER(SEARCH("Interlagos",N687)),"SIM","")</f>
        <v/>
      </c>
      <c r="AJ687" s="99">
        <f>IF(ISNUMBER(SEARCH("Quiosque",N687)),"SIM","")</f>
        <v/>
      </c>
      <c r="AK687" s="101" t="n"/>
    </row>
    <row r="688">
      <c r="A688" s="88" t="inlineStr">
        <is>
          <t>Protheus</t>
        </is>
      </c>
      <c r="B688" s="89" t="inlineStr">
        <is>
          <t>001065</t>
        </is>
      </c>
      <c r="C688" s="90">
        <f>IF(B688="—","—",IFERROR(VLOOKUP(B688,_Protheus_Cadastro!$A:$B,2,FALSE),"—"))</f>
        <v/>
      </c>
      <c r="D688" s="91">
        <f>IF(B688="—",IFERROR(INDEX(_ZIG_Cadastro!$D:$D,MATCH(H688,_ZIG_Cadastro!$A:$A,0)),"Produto"),IFERROR(VLOOKUP(B688,_Protheus_Cadastro!$A:$C,3,FALSE),"—"))</f>
        <v/>
      </c>
      <c r="E688" s="91">
        <f>IF(B688="—","—",IFERROR(VLOOKUP(B688,_Protheus_Cadastro!$A:$D,4,FALSE),"—"))</f>
        <v/>
      </c>
      <c r="F688" s="91">
        <f>IF(ISERROR(VLOOKUP(B688,'Estrutura Protheus'!A:A,1,FALSE)),"Não","Sim")</f>
        <v/>
      </c>
      <c r="G688" s="92">
        <f>IFERROR(INDEX(_Protheus_Cadastro!$H:$H,MATCH(B688,_Protheus_Cadastro!$A:$A,0)),"—")</f>
        <v/>
      </c>
      <c r="H688" s="210">
        <f>IFERROR(INDEX(_ZIG_Precos!$D:$D,MATCH(I688,_ZIG_Precos!$F:$F,0)),"—")</f>
        <v/>
      </c>
      <c r="I688" s="95">
        <f>IFERROR(VLOOKUP(B688,_Protheus_Cadastro!$A:$I,9,FALSE),"—")</f>
        <v/>
      </c>
      <c r="J688" s="93">
        <f>IFERROR(INDEX(_ZIG_Cadastro!$B:$B,MATCH(I688,_ZIG_Cadastro!$A:$A,0)),IFERROR(INDEX(_Entradas_ZIG!$B:$B,MATCH(I688,_Entradas_ZIG!$C:$C,0)),"—"))</f>
        <v/>
      </c>
      <c r="K688" s="93">
        <f>IFERROR(INDEX(_ZIG_Cadastro!$C:$C,MATCH(I688,_ZIG_Cadastro!$A:$A,0)),IFERROR(INDEX(_Entradas_ZIG!$D:$D,MATCH(I688,_Entradas_ZIG!$C:$C,0)),"—"))</f>
        <v/>
      </c>
      <c r="L688" s="92">
        <f>IF(I688="","Sem SKU ZIG",IF(I688="—","Sem SKU ZIG",IF(NOT(ISERROR(MATCH(I688,_ZIG_Cadastro!$A:$A,0))),IF(EXACT(UPPER(TRIM(C688)),UPPER(TRIM(INDEX(_ZIG_Cadastro!$B:$B,MATCH(I688,_ZIG_Cadastro!$A:$A,0))))),"OK","Atencao - Nome diverge"),IF(NOT(ISERROR(MATCH(I688,_Entradas_ZIG!$C:$C,0))),"OK","Erro - SKU nao encontrado"))))</f>
        <v/>
      </c>
      <c r="M688" s="92">
        <f>IFERROR(INDEX(_ZIG_Cadastro!$G:$G,MATCH(I688,_ZIG_Cadastro!$A:$A,0)),IF(NOT(ISERROR(MATCH(I688,_Entradas_ZIG!$C:$C,0))),"Ativo","—"))</f>
        <v/>
      </c>
      <c r="N688" s="94">
        <f>IFERROR(INDEX(_ZIG_Cadastro!$E:$E,MATCH(I688,_ZIG_Cadastro!$A:$A,0)),IFERROR(INDEX(_Entradas_ZIG!$F:$F,MATCH(I688,_Entradas_ZIG!$C:$C,0)),"—"))</f>
        <v/>
      </c>
      <c r="O688" s="92">
        <f>IF(AND(ISNUMBER(SEARCH("Espeto",N688)),ISNUMBER(SEARCH("Carin",N688))),"SIM","")</f>
        <v/>
      </c>
      <c r="P688" s="92">
        <f>IF(AND(ISNUMBER(SEARCH("Espeto",N688)),ISNUMBER(SEARCH("Lapa",N688))),"SIM","")</f>
        <v/>
      </c>
      <c r="Q688" s="92">
        <f>IF(AND(ISNUMBER(SEARCH("Espeto",N688)),ISNUMBER(SEARCH("Tatuapé",N688))),"SIM","")</f>
        <v/>
      </c>
      <c r="R688" s="92">
        <f>IF(AND(ISNUMBER(SEARCH("Espeto",N688)),ISNUMBER(SEARCH("Pavão",N688))),"SIM","")</f>
        <v/>
      </c>
      <c r="S688" s="92">
        <f>IF(AND(ISNUMBER(SEARCH("Espeto",N688)),ISNUMBER(SEARCH("Chac",N688))),"SIM","")</f>
        <v/>
      </c>
      <c r="T688" s="92">
        <f>IF(AND(ISNUMBER(SEARCH("Espeto",N688)),ISNUMBER(SEARCH("Madalena",N688))),"SIM","")</f>
        <v/>
      </c>
      <c r="U688" s="92">
        <f>IF(AND(ISNUMBER(SEARCH("Espeto",N688)),ISNUMBER(SEARCH("Mariana",N688))),"SIM","")</f>
        <v/>
      </c>
      <c r="V688" s="92">
        <f>IF(AND(ISNUMBER(SEARCH("Espeto",N688)),ISNUMBER(SEARCH("Perdizes",N688))),"SIM","")</f>
        <v/>
      </c>
      <c r="W688" s="92">
        <f>IF(AND(ISNUMBER(SEARCH("Espeto",N688)),ISNUMBER(SEARCH("Santana",N688))),"SIM","")</f>
        <v/>
      </c>
      <c r="X688" s="92">
        <f>IF(AND(ISNUMBER(SEARCH("Espeto",N688)),ISNUMBER(SEARCH("André",N688))),"SIM","")</f>
        <v/>
      </c>
      <c r="Y688" s="92">
        <f>IF(AND(ISNUMBER(SEARCH("Delivery",N688)),ISNUMBER(SEARCH("Carin",N688))),"SIM","")</f>
        <v/>
      </c>
      <c r="Z688" s="92">
        <f>IF(AND(ISNUMBER(SEARCH("Delivery",N688)),ISNUMBER(SEARCH("Lapa",N688))),"SIM","")</f>
        <v/>
      </c>
      <c r="AA688" s="92">
        <f>IF(AND(ISNUMBER(SEARCH("Delivery",N688)),ISNUMBER(SEARCH("Tatuapé",N688))),"SIM","")</f>
        <v/>
      </c>
      <c r="AB688" s="92">
        <f>IF(AND(ISNUMBER(SEARCH("Delivery",N688)),ISNUMBER(SEARCH("Pavão",N688))),"SIM","")</f>
        <v/>
      </c>
      <c r="AC688" s="92">
        <f>IF(AND(ISNUMBER(SEARCH("Delivery",N688)),ISNUMBER(SEARCH("Chac",N688))),"SIM","")</f>
        <v/>
      </c>
      <c r="AD688" s="92">
        <f>IF(AND(ISNUMBER(SEARCH("Delivery",N688)),ISNUMBER(SEARCH("Madalena",N688))),"SIM","")</f>
        <v/>
      </c>
      <c r="AE688" s="99">
        <f>IF(AND(ISNUMBER(SEARCH("Delivery",N688)),ISNUMBER(SEARCH("Mariana",N688))),"SIM","")</f>
        <v/>
      </c>
      <c r="AF688" s="99">
        <f>IF(AND(ISNUMBER(SEARCH("Delivery",N688)),ISNUMBER(SEARCH("Perdizes",N688))),"SIM","")</f>
        <v/>
      </c>
      <c r="AG688" s="99">
        <f>IF(AND(ISNUMBER(SEARCH("Delivery",N688)),ISNUMBER(SEARCH("Santana",N688))),"SIM","")</f>
        <v/>
      </c>
      <c r="AH688" s="99">
        <f>IF(AND(ISNUMBER(SEARCH("Delivery",N688)),ISNUMBER(SEARCH("André",N688))),"SIM","")</f>
        <v/>
      </c>
      <c r="AI688" s="99">
        <f>IF(ISNUMBER(SEARCH("Interlagos",N688)),"SIM","")</f>
        <v/>
      </c>
      <c r="AJ688" s="99">
        <f>IF(ISNUMBER(SEARCH("Quiosque",N688)),"SIM","")</f>
        <v/>
      </c>
      <c r="AK688" s="101" t="n"/>
    </row>
    <row r="689">
      <c r="A689" s="88" t="inlineStr">
        <is>
          <t>Protheus</t>
        </is>
      </c>
      <c r="B689" s="89" t="inlineStr">
        <is>
          <t>001066</t>
        </is>
      </c>
      <c r="C689" s="90">
        <f>IF(B689="—","—",IFERROR(VLOOKUP(B689,_Protheus_Cadastro!$A:$B,2,FALSE),"—"))</f>
        <v/>
      </c>
      <c r="D689" s="91">
        <f>IF(B689="—",IFERROR(INDEX(_ZIG_Cadastro!$D:$D,MATCH(H689,_ZIG_Cadastro!$A:$A,0)),"Produto"),IFERROR(VLOOKUP(B689,_Protheus_Cadastro!$A:$C,3,FALSE),"—"))</f>
        <v/>
      </c>
      <c r="E689" s="91">
        <f>IF(B689="—","—",IFERROR(VLOOKUP(B689,_Protheus_Cadastro!$A:$D,4,FALSE),"—"))</f>
        <v/>
      </c>
      <c r="F689" s="91">
        <f>IF(ISERROR(VLOOKUP(B689,'Estrutura Protheus'!A:A,1,FALSE)),"Não","Sim")</f>
        <v/>
      </c>
      <c r="G689" s="92">
        <f>IFERROR(INDEX(_Protheus_Cadastro!$H:$H,MATCH(B689,_Protheus_Cadastro!$A:$A,0)),"—")</f>
        <v/>
      </c>
      <c r="H689" s="210">
        <f>IFERROR(INDEX(_ZIG_Precos!$D:$D,MATCH(I689,_ZIG_Precos!$F:$F,0)),"—")</f>
        <v/>
      </c>
      <c r="I689" s="95">
        <f>IFERROR(VLOOKUP(B689,_Protheus_Cadastro!$A:$I,9,FALSE),"—")</f>
        <v/>
      </c>
      <c r="J689" s="93">
        <f>IFERROR(INDEX(_ZIG_Cadastro!$B:$B,MATCH(I689,_ZIG_Cadastro!$A:$A,0)),IFERROR(INDEX(_Entradas_ZIG!$B:$B,MATCH(I689,_Entradas_ZIG!$C:$C,0)),"—"))</f>
        <v/>
      </c>
      <c r="K689" s="93">
        <f>IFERROR(INDEX(_ZIG_Cadastro!$C:$C,MATCH(I689,_ZIG_Cadastro!$A:$A,0)),IFERROR(INDEX(_Entradas_ZIG!$D:$D,MATCH(I689,_Entradas_ZIG!$C:$C,0)),"—"))</f>
        <v/>
      </c>
      <c r="L689" s="92">
        <f>IF(I689="","Sem SKU ZIG",IF(I689="—","Sem SKU ZIG",IF(NOT(ISERROR(MATCH(I689,_ZIG_Cadastro!$A:$A,0))),IF(EXACT(UPPER(TRIM(C689)),UPPER(TRIM(INDEX(_ZIG_Cadastro!$B:$B,MATCH(I689,_ZIG_Cadastro!$A:$A,0))))),"OK","Atencao - Nome diverge"),IF(NOT(ISERROR(MATCH(I689,_Entradas_ZIG!$C:$C,0))),"OK","Erro - SKU nao encontrado"))))</f>
        <v/>
      </c>
      <c r="M689" s="92">
        <f>IFERROR(INDEX(_ZIG_Cadastro!$G:$G,MATCH(I689,_ZIG_Cadastro!$A:$A,0)),IF(NOT(ISERROR(MATCH(I689,_Entradas_ZIG!$C:$C,0))),"Ativo","—"))</f>
        <v/>
      </c>
      <c r="N689" s="94">
        <f>IFERROR(INDEX(_ZIG_Cadastro!$E:$E,MATCH(I689,_ZIG_Cadastro!$A:$A,0)),IFERROR(INDEX(_Entradas_ZIG!$F:$F,MATCH(I689,_Entradas_ZIG!$C:$C,0)),"—"))</f>
        <v/>
      </c>
      <c r="O689" s="92">
        <f>IF(AND(ISNUMBER(SEARCH("Espeto",N689)),ISNUMBER(SEARCH("Carin",N689))),"SIM","")</f>
        <v/>
      </c>
      <c r="P689" s="92">
        <f>IF(AND(ISNUMBER(SEARCH("Espeto",N689)),ISNUMBER(SEARCH("Lapa",N689))),"SIM","")</f>
        <v/>
      </c>
      <c r="Q689" s="92">
        <f>IF(AND(ISNUMBER(SEARCH("Espeto",N689)),ISNUMBER(SEARCH("Tatuapé",N689))),"SIM","")</f>
        <v/>
      </c>
      <c r="R689" s="92">
        <f>IF(AND(ISNUMBER(SEARCH("Espeto",N689)),ISNUMBER(SEARCH("Pavão",N689))),"SIM","")</f>
        <v/>
      </c>
      <c r="S689" s="92">
        <f>IF(AND(ISNUMBER(SEARCH("Espeto",N689)),ISNUMBER(SEARCH("Chac",N689))),"SIM","")</f>
        <v/>
      </c>
      <c r="T689" s="92">
        <f>IF(AND(ISNUMBER(SEARCH("Espeto",N689)),ISNUMBER(SEARCH("Madalena",N689))),"SIM","")</f>
        <v/>
      </c>
      <c r="U689" s="92">
        <f>IF(AND(ISNUMBER(SEARCH("Espeto",N689)),ISNUMBER(SEARCH("Mariana",N689))),"SIM","")</f>
        <v/>
      </c>
      <c r="V689" s="92">
        <f>IF(AND(ISNUMBER(SEARCH("Espeto",N689)),ISNUMBER(SEARCH("Perdizes",N689))),"SIM","")</f>
        <v/>
      </c>
      <c r="W689" s="92">
        <f>IF(AND(ISNUMBER(SEARCH("Espeto",N689)),ISNUMBER(SEARCH("Santana",N689))),"SIM","")</f>
        <v/>
      </c>
      <c r="X689" s="92">
        <f>IF(AND(ISNUMBER(SEARCH("Espeto",N689)),ISNUMBER(SEARCH("André",N689))),"SIM","")</f>
        <v/>
      </c>
      <c r="Y689" s="92">
        <f>IF(AND(ISNUMBER(SEARCH("Delivery",N689)),ISNUMBER(SEARCH("Carin",N689))),"SIM","")</f>
        <v/>
      </c>
      <c r="Z689" s="92">
        <f>IF(AND(ISNUMBER(SEARCH("Delivery",N689)),ISNUMBER(SEARCH("Lapa",N689))),"SIM","")</f>
        <v/>
      </c>
      <c r="AA689" s="92">
        <f>IF(AND(ISNUMBER(SEARCH("Delivery",N689)),ISNUMBER(SEARCH("Tatuapé",N689))),"SIM","")</f>
        <v/>
      </c>
      <c r="AB689" s="92">
        <f>IF(AND(ISNUMBER(SEARCH("Delivery",N689)),ISNUMBER(SEARCH("Pavão",N689))),"SIM","")</f>
        <v/>
      </c>
      <c r="AC689" s="92">
        <f>IF(AND(ISNUMBER(SEARCH("Delivery",N689)),ISNUMBER(SEARCH("Chac",N689))),"SIM","")</f>
        <v/>
      </c>
      <c r="AD689" s="92">
        <f>IF(AND(ISNUMBER(SEARCH("Delivery",N689)),ISNUMBER(SEARCH("Madalena",N689))),"SIM","")</f>
        <v/>
      </c>
      <c r="AE689" s="99">
        <f>IF(AND(ISNUMBER(SEARCH("Delivery",N689)),ISNUMBER(SEARCH("Mariana",N689))),"SIM","")</f>
        <v/>
      </c>
      <c r="AF689" s="99">
        <f>IF(AND(ISNUMBER(SEARCH("Delivery",N689)),ISNUMBER(SEARCH("Perdizes",N689))),"SIM","")</f>
        <v/>
      </c>
      <c r="AG689" s="99">
        <f>IF(AND(ISNUMBER(SEARCH("Delivery",N689)),ISNUMBER(SEARCH("Santana",N689))),"SIM","")</f>
        <v/>
      </c>
      <c r="AH689" s="99">
        <f>IF(AND(ISNUMBER(SEARCH("Delivery",N689)),ISNUMBER(SEARCH("André",N689))),"SIM","")</f>
        <v/>
      </c>
      <c r="AI689" s="99">
        <f>IF(ISNUMBER(SEARCH("Interlagos",N689)),"SIM","")</f>
        <v/>
      </c>
      <c r="AJ689" s="99">
        <f>IF(ISNUMBER(SEARCH("Quiosque",N689)),"SIM","")</f>
        <v/>
      </c>
      <c r="AK689" s="101" t="n"/>
    </row>
    <row r="690">
      <c r="A690" s="88" t="inlineStr">
        <is>
          <t>Protheus</t>
        </is>
      </c>
      <c r="B690" s="89" t="inlineStr">
        <is>
          <t>001067</t>
        </is>
      </c>
      <c r="C690" s="90">
        <f>IF(B690="—","—",IFERROR(VLOOKUP(B690,_Protheus_Cadastro!$A:$B,2,FALSE),"—"))</f>
        <v/>
      </c>
      <c r="D690" s="91">
        <f>IF(B690="—",IFERROR(INDEX(_ZIG_Cadastro!$D:$D,MATCH(H690,_ZIG_Cadastro!$A:$A,0)),"Produto"),IFERROR(VLOOKUP(B690,_Protheus_Cadastro!$A:$C,3,FALSE),"—"))</f>
        <v/>
      </c>
      <c r="E690" s="91">
        <f>IF(B690="—","—",IFERROR(VLOOKUP(B690,_Protheus_Cadastro!$A:$D,4,FALSE),"—"))</f>
        <v/>
      </c>
      <c r="F690" s="91">
        <f>IF(ISERROR(VLOOKUP(B690,'Estrutura Protheus'!A:A,1,FALSE)),"Não","Sim")</f>
        <v/>
      </c>
      <c r="G690" s="92">
        <f>IFERROR(INDEX(_Protheus_Cadastro!$H:$H,MATCH(B690,_Protheus_Cadastro!$A:$A,0)),"—")</f>
        <v/>
      </c>
      <c r="H690" s="210">
        <f>IFERROR(INDEX(_ZIG_Precos!$D:$D,MATCH(I690,_ZIG_Precos!$F:$F,0)),"—")</f>
        <v/>
      </c>
      <c r="I690" s="95">
        <f>IFERROR(VLOOKUP(B690,_Protheus_Cadastro!$A:$I,9,FALSE),"—")</f>
        <v/>
      </c>
      <c r="J690" s="93">
        <f>IFERROR(INDEX(_ZIG_Cadastro!$B:$B,MATCH(I690,_ZIG_Cadastro!$A:$A,0)),IFERROR(INDEX(_Entradas_ZIG!$B:$B,MATCH(I690,_Entradas_ZIG!$C:$C,0)),"—"))</f>
        <v/>
      </c>
      <c r="K690" s="93">
        <f>IFERROR(INDEX(_ZIG_Cadastro!$C:$C,MATCH(I690,_ZIG_Cadastro!$A:$A,0)),IFERROR(INDEX(_Entradas_ZIG!$D:$D,MATCH(I690,_Entradas_ZIG!$C:$C,0)),"—"))</f>
        <v/>
      </c>
      <c r="L690" s="92">
        <f>IF(I690="","Sem SKU ZIG",IF(I690="—","Sem SKU ZIG",IF(NOT(ISERROR(MATCH(I690,_ZIG_Cadastro!$A:$A,0))),IF(EXACT(UPPER(TRIM(C690)),UPPER(TRIM(INDEX(_ZIG_Cadastro!$B:$B,MATCH(I690,_ZIG_Cadastro!$A:$A,0))))),"OK","Atencao - Nome diverge"),IF(NOT(ISERROR(MATCH(I690,_Entradas_ZIG!$C:$C,0))),"OK","Erro - SKU nao encontrado"))))</f>
        <v/>
      </c>
      <c r="M690" s="92">
        <f>IFERROR(INDEX(_ZIG_Cadastro!$G:$G,MATCH(I690,_ZIG_Cadastro!$A:$A,0)),IF(NOT(ISERROR(MATCH(I690,_Entradas_ZIG!$C:$C,0))),"Ativo","—"))</f>
        <v/>
      </c>
      <c r="N690" s="94">
        <f>IFERROR(INDEX(_ZIG_Cadastro!$E:$E,MATCH(I690,_ZIG_Cadastro!$A:$A,0)),IFERROR(INDEX(_Entradas_ZIG!$F:$F,MATCH(I690,_Entradas_ZIG!$C:$C,0)),"—"))</f>
        <v/>
      </c>
      <c r="O690" s="92">
        <f>IF(AND(ISNUMBER(SEARCH("Espeto",N690)),ISNUMBER(SEARCH("Carin",N690))),"SIM","")</f>
        <v/>
      </c>
      <c r="P690" s="92">
        <f>IF(AND(ISNUMBER(SEARCH("Espeto",N690)),ISNUMBER(SEARCH("Lapa",N690))),"SIM","")</f>
        <v/>
      </c>
      <c r="Q690" s="92">
        <f>IF(AND(ISNUMBER(SEARCH("Espeto",N690)),ISNUMBER(SEARCH("Tatuapé",N690))),"SIM","")</f>
        <v/>
      </c>
      <c r="R690" s="92">
        <f>IF(AND(ISNUMBER(SEARCH("Espeto",N690)),ISNUMBER(SEARCH("Pavão",N690))),"SIM","")</f>
        <v/>
      </c>
      <c r="S690" s="92">
        <f>IF(AND(ISNUMBER(SEARCH("Espeto",N690)),ISNUMBER(SEARCH("Chac",N690))),"SIM","")</f>
        <v/>
      </c>
      <c r="T690" s="92">
        <f>IF(AND(ISNUMBER(SEARCH("Espeto",N690)),ISNUMBER(SEARCH("Madalena",N690))),"SIM","")</f>
        <v/>
      </c>
      <c r="U690" s="92">
        <f>IF(AND(ISNUMBER(SEARCH("Espeto",N690)),ISNUMBER(SEARCH("Mariana",N690))),"SIM","")</f>
        <v/>
      </c>
      <c r="V690" s="92">
        <f>IF(AND(ISNUMBER(SEARCH("Espeto",N690)),ISNUMBER(SEARCH("Perdizes",N690))),"SIM","")</f>
        <v/>
      </c>
      <c r="W690" s="92">
        <f>IF(AND(ISNUMBER(SEARCH("Espeto",N690)),ISNUMBER(SEARCH("Santana",N690))),"SIM","")</f>
        <v/>
      </c>
      <c r="X690" s="92">
        <f>IF(AND(ISNUMBER(SEARCH("Espeto",N690)),ISNUMBER(SEARCH("André",N690))),"SIM","")</f>
        <v/>
      </c>
      <c r="Y690" s="92">
        <f>IF(AND(ISNUMBER(SEARCH("Delivery",N690)),ISNUMBER(SEARCH("Carin",N690))),"SIM","")</f>
        <v/>
      </c>
      <c r="Z690" s="92">
        <f>IF(AND(ISNUMBER(SEARCH("Delivery",N690)),ISNUMBER(SEARCH("Lapa",N690))),"SIM","")</f>
        <v/>
      </c>
      <c r="AA690" s="92">
        <f>IF(AND(ISNUMBER(SEARCH("Delivery",N690)),ISNUMBER(SEARCH("Tatuapé",N690))),"SIM","")</f>
        <v/>
      </c>
      <c r="AB690" s="92">
        <f>IF(AND(ISNUMBER(SEARCH("Delivery",N690)),ISNUMBER(SEARCH("Pavão",N690))),"SIM","")</f>
        <v/>
      </c>
      <c r="AC690" s="92">
        <f>IF(AND(ISNUMBER(SEARCH("Delivery",N690)),ISNUMBER(SEARCH("Chac",N690))),"SIM","")</f>
        <v/>
      </c>
      <c r="AD690" s="92">
        <f>IF(AND(ISNUMBER(SEARCH("Delivery",N690)),ISNUMBER(SEARCH("Madalena",N690))),"SIM","")</f>
        <v/>
      </c>
      <c r="AE690" s="99">
        <f>IF(AND(ISNUMBER(SEARCH("Delivery",N690)),ISNUMBER(SEARCH("Mariana",N690))),"SIM","")</f>
        <v/>
      </c>
      <c r="AF690" s="99">
        <f>IF(AND(ISNUMBER(SEARCH("Delivery",N690)),ISNUMBER(SEARCH("Perdizes",N690))),"SIM","")</f>
        <v/>
      </c>
      <c r="AG690" s="99">
        <f>IF(AND(ISNUMBER(SEARCH("Delivery",N690)),ISNUMBER(SEARCH("Santana",N690))),"SIM","")</f>
        <v/>
      </c>
      <c r="AH690" s="99">
        <f>IF(AND(ISNUMBER(SEARCH("Delivery",N690)),ISNUMBER(SEARCH("André",N690))),"SIM","")</f>
        <v/>
      </c>
      <c r="AI690" s="99">
        <f>IF(ISNUMBER(SEARCH("Interlagos",N690)),"SIM","")</f>
        <v/>
      </c>
      <c r="AJ690" s="99">
        <f>IF(ISNUMBER(SEARCH("Quiosque",N690)),"SIM","")</f>
        <v/>
      </c>
      <c r="AK690" s="101" t="n"/>
    </row>
    <row r="691">
      <c r="A691" s="88" t="inlineStr">
        <is>
          <t>Protheus</t>
        </is>
      </c>
      <c r="B691" s="89" t="inlineStr">
        <is>
          <t>001068</t>
        </is>
      </c>
      <c r="C691" s="90">
        <f>IF(B691="—","—",IFERROR(VLOOKUP(B691,_Protheus_Cadastro!$A:$B,2,FALSE),"—"))</f>
        <v/>
      </c>
      <c r="D691" s="91">
        <f>IF(B691="—",IFERROR(INDEX(_ZIG_Cadastro!$D:$D,MATCH(H691,_ZIG_Cadastro!$A:$A,0)),"Produto"),IFERROR(VLOOKUP(B691,_Protheus_Cadastro!$A:$C,3,FALSE),"—"))</f>
        <v/>
      </c>
      <c r="E691" s="91">
        <f>IF(B691="—","—",IFERROR(VLOOKUP(B691,_Protheus_Cadastro!$A:$D,4,FALSE),"—"))</f>
        <v/>
      </c>
      <c r="F691" s="91">
        <f>IF(ISERROR(VLOOKUP(B691,'Estrutura Protheus'!A:A,1,FALSE)),"Não","Sim")</f>
        <v/>
      </c>
      <c r="G691" s="92">
        <f>IFERROR(INDEX(_Protheus_Cadastro!$H:$H,MATCH(B691,_Protheus_Cadastro!$A:$A,0)),"—")</f>
        <v/>
      </c>
      <c r="H691" s="210">
        <f>IFERROR(INDEX(_ZIG_Precos!$D:$D,MATCH(I691,_ZIG_Precos!$F:$F,0)),"—")</f>
        <v/>
      </c>
      <c r="I691" s="95">
        <f>IFERROR(VLOOKUP(B691,_Protheus_Cadastro!$A:$I,9,FALSE),"—")</f>
        <v/>
      </c>
      <c r="J691" s="93">
        <f>IFERROR(INDEX(_ZIG_Cadastro!$B:$B,MATCH(I691,_ZIG_Cadastro!$A:$A,0)),IFERROR(INDEX(_Entradas_ZIG!$B:$B,MATCH(I691,_Entradas_ZIG!$C:$C,0)),"—"))</f>
        <v/>
      </c>
      <c r="K691" s="93">
        <f>IFERROR(INDEX(_ZIG_Cadastro!$C:$C,MATCH(I691,_ZIG_Cadastro!$A:$A,0)),IFERROR(INDEX(_Entradas_ZIG!$D:$D,MATCH(I691,_Entradas_ZIG!$C:$C,0)),"—"))</f>
        <v/>
      </c>
      <c r="L691" s="92">
        <f>IF(I691="","Sem SKU ZIG",IF(I691="—","Sem SKU ZIG",IF(NOT(ISERROR(MATCH(I691,_ZIG_Cadastro!$A:$A,0))),IF(EXACT(UPPER(TRIM(C691)),UPPER(TRIM(INDEX(_ZIG_Cadastro!$B:$B,MATCH(I691,_ZIG_Cadastro!$A:$A,0))))),"OK","Atencao - Nome diverge"),IF(NOT(ISERROR(MATCH(I691,_Entradas_ZIG!$C:$C,0))),"OK","Erro - SKU nao encontrado"))))</f>
        <v/>
      </c>
      <c r="M691" s="92">
        <f>IFERROR(INDEX(_ZIG_Cadastro!$G:$G,MATCH(I691,_ZIG_Cadastro!$A:$A,0)),IF(NOT(ISERROR(MATCH(I691,_Entradas_ZIG!$C:$C,0))),"Ativo","—"))</f>
        <v/>
      </c>
      <c r="N691" s="94">
        <f>IFERROR(INDEX(_ZIG_Cadastro!$E:$E,MATCH(I691,_ZIG_Cadastro!$A:$A,0)),IFERROR(INDEX(_Entradas_ZIG!$F:$F,MATCH(I691,_Entradas_ZIG!$C:$C,0)),"—"))</f>
        <v/>
      </c>
      <c r="O691" s="92">
        <f>IF(AND(ISNUMBER(SEARCH("Espeto",N691)),ISNUMBER(SEARCH("Carin",N691))),"SIM","")</f>
        <v/>
      </c>
      <c r="P691" s="92">
        <f>IF(AND(ISNUMBER(SEARCH("Espeto",N691)),ISNUMBER(SEARCH("Lapa",N691))),"SIM","")</f>
        <v/>
      </c>
      <c r="Q691" s="92">
        <f>IF(AND(ISNUMBER(SEARCH("Espeto",N691)),ISNUMBER(SEARCH("Tatuapé",N691))),"SIM","")</f>
        <v/>
      </c>
      <c r="R691" s="92">
        <f>IF(AND(ISNUMBER(SEARCH("Espeto",N691)),ISNUMBER(SEARCH("Pavão",N691))),"SIM","")</f>
        <v/>
      </c>
      <c r="S691" s="92">
        <f>IF(AND(ISNUMBER(SEARCH("Espeto",N691)),ISNUMBER(SEARCH("Chac",N691))),"SIM","")</f>
        <v/>
      </c>
      <c r="T691" s="92">
        <f>IF(AND(ISNUMBER(SEARCH("Espeto",N691)),ISNUMBER(SEARCH("Madalena",N691))),"SIM","")</f>
        <v/>
      </c>
      <c r="U691" s="92">
        <f>IF(AND(ISNUMBER(SEARCH("Espeto",N691)),ISNUMBER(SEARCH("Mariana",N691))),"SIM","")</f>
        <v/>
      </c>
      <c r="V691" s="92">
        <f>IF(AND(ISNUMBER(SEARCH("Espeto",N691)),ISNUMBER(SEARCH("Perdizes",N691))),"SIM","")</f>
        <v/>
      </c>
      <c r="W691" s="92">
        <f>IF(AND(ISNUMBER(SEARCH("Espeto",N691)),ISNUMBER(SEARCH("Santana",N691))),"SIM","")</f>
        <v/>
      </c>
      <c r="X691" s="92">
        <f>IF(AND(ISNUMBER(SEARCH("Espeto",N691)),ISNUMBER(SEARCH("André",N691))),"SIM","")</f>
        <v/>
      </c>
      <c r="Y691" s="92">
        <f>IF(AND(ISNUMBER(SEARCH("Delivery",N691)),ISNUMBER(SEARCH("Carin",N691))),"SIM","")</f>
        <v/>
      </c>
      <c r="Z691" s="92">
        <f>IF(AND(ISNUMBER(SEARCH("Delivery",N691)),ISNUMBER(SEARCH("Lapa",N691))),"SIM","")</f>
        <v/>
      </c>
      <c r="AA691" s="92">
        <f>IF(AND(ISNUMBER(SEARCH("Delivery",N691)),ISNUMBER(SEARCH("Tatuapé",N691))),"SIM","")</f>
        <v/>
      </c>
      <c r="AB691" s="92">
        <f>IF(AND(ISNUMBER(SEARCH("Delivery",N691)),ISNUMBER(SEARCH("Pavão",N691))),"SIM","")</f>
        <v/>
      </c>
      <c r="AC691" s="92">
        <f>IF(AND(ISNUMBER(SEARCH("Delivery",N691)),ISNUMBER(SEARCH("Chac",N691))),"SIM","")</f>
        <v/>
      </c>
      <c r="AD691" s="92">
        <f>IF(AND(ISNUMBER(SEARCH("Delivery",N691)),ISNUMBER(SEARCH("Madalena",N691))),"SIM","")</f>
        <v/>
      </c>
      <c r="AE691" s="99">
        <f>IF(AND(ISNUMBER(SEARCH("Delivery",N691)),ISNUMBER(SEARCH("Mariana",N691))),"SIM","")</f>
        <v/>
      </c>
      <c r="AF691" s="99">
        <f>IF(AND(ISNUMBER(SEARCH("Delivery",N691)),ISNUMBER(SEARCH("Perdizes",N691))),"SIM","")</f>
        <v/>
      </c>
      <c r="AG691" s="99">
        <f>IF(AND(ISNUMBER(SEARCH("Delivery",N691)),ISNUMBER(SEARCH("Santana",N691))),"SIM","")</f>
        <v/>
      </c>
      <c r="AH691" s="99">
        <f>IF(AND(ISNUMBER(SEARCH("Delivery",N691)),ISNUMBER(SEARCH("André",N691))),"SIM","")</f>
        <v/>
      </c>
      <c r="AI691" s="99">
        <f>IF(ISNUMBER(SEARCH("Interlagos",N691)),"SIM","")</f>
        <v/>
      </c>
      <c r="AJ691" s="99">
        <f>IF(ISNUMBER(SEARCH("Quiosque",N691)),"SIM","")</f>
        <v/>
      </c>
      <c r="AK691" s="101" t="n"/>
    </row>
    <row r="692">
      <c r="A692" s="88" t="inlineStr">
        <is>
          <t>Protheus</t>
        </is>
      </c>
      <c r="B692" s="89" t="inlineStr">
        <is>
          <t>001074</t>
        </is>
      </c>
      <c r="C692" s="90">
        <f>IF(B692="—","—",IFERROR(VLOOKUP(B692,_Protheus_Cadastro!$A:$B,2,FALSE),"—"))</f>
        <v/>
      </c>
      <c r="D692" s="91">
        <f>IF(B692="—",IFERROR(INDEX(_ZIG_Cadastro!$D:$D,MATCH(H692,_ZIG_Cadastro!$A:$A,0)),"Produto"),IFERROR(VLOOKUP(B692,_Protheus_Cadastro!$A:$C,3,FALSE),"—"))</f>
        <v/>
      </c>
      <c r="E692" s="91">
        <f>IF(B692="—","—",IFERROR(VLOOKUP(B692,_Protheus_Cadastro!$A:$D,4,FALSE),"—"))</f>
        <v/>
      </c>
      <c r="F692" s="91">
        <f>IF(ISERROR(VLOOKUP(B692,'Estrutura Protheus'!A:A,1,FALSE)),"Não","Sim")</f>
        <v/>
      </c>
      <c r="G692" s="92">
        <f>IFERROR(INDEX(_Protheus_Cadastro!$H:$H,MATCH(B692,_Protheus_Cadastro!$A:$A,0)),"—")</f>
        <v/>
      </c>
      <c r="H692" s="210">
        <f>IFERROR(INDEX(_ZIG_Precos!$D:$D,MATCH(I692,_ZIG_Precos!$F:$F,0)),"—")</f>
        <v/>
      </c>
      <c r="I692" s="95">
        <f>IFERROR(VLOOKUP(B692,_Protheus_Cadastro!$A:$I,9,FALSE),"—")</f>
        <v/>
      </c>
      <c r="J692" s="93">
        <f>IFERROR(INDEX(_ZIG_Cadastro!$B:$B,MATCH(I692,_ZIG_Cadastro!$A:$A,0)),IFERROR(INDEX(_Entradas_ZIG!$B:$B,MATCH(I692,_Entradas_ZIG!$C:$C,0)),"—"))</f>
        <v/>
      </c>
      <c r="K692" s="93">
        <f>IFERROR(INDEX(_ZIG_Cadastro!$C:$C,MATCH(I692,_ZIG_Cadastro!$A:$A,0)),IFERROR(INDEX(_Entradas_ZIG!$D:$D,MATCH(I692,_Entradas_ZIG!$C:$C,0)),"—"))</f>
        <v/>
      </c>
      <c r="L692" s="92">
        <f>IF(I692="","Sem SKU ZIG",IF(I692="—","Sem SKU ZIG",IF(NOT(ISERROR(MATCH(I692,_ZIG_Cadastro!$A:$A,0))),IF(EXACT(UPPER(TRIM(C692)),UPPER(TRIM(INDEX(_ZIG_Cadastro!$B:$B,MATCH(I692,_ZIG_Cadastro!$A:$A,0))))),"OK","Atencao - Nome diverge"),IF(NOT(ISERROR(MATCH(I692,_Entradas_ZIG!$C:$C,0))),"OK","Erro - SKU nao encontrado"))))</f>
        <v/>
      </c>
      <c r="M692" s="92">
        <f>IFERROR(INDEX(_ZIG_Cadastro!$G:$G,MATCH(I692,_ZIG_Cadastro!$A:$A,0)),IF(NOT(ISERROR(MATCH(I692,_Entradas_ZIG!$C:$C,0))),"Ativo","—"))</f>
        <v/>
      </c>
      <c r="N692" s="94">
        <f>IFERROR(INDEX(_ZIG_Cadastro!$E:$E,MATCH(I692,_ZIG_Cadastro!$A:$A,0)),IFERROR(INDEX(_Entradas_ZIG!$F:$F,MATCH(I692,_Entradas_ZIG!$C:$C,0)),"—"))</f>
        <v/>
      </c>
      <c r="O692" s="92">
        <f>IF(AND(ISNUMBER(SEARCH("Espeto",N692)),ISNUMBER(SEARCH("Carin",N692))),"SIM","")</f>
        <v/>
      </c>
      <c r="P692" s="92">
        <f>IF(AND(ISNUMBER(SEARCH("Espeto",N692)),ISNUMBER(SEARCH("Lapa",N692))),"SIM","")</f>
        <v/>
      </c>
      <c r="Q692" s="92">
        <f>IF(AND(ISNUMBER(SEARCH("Espeto",N692)),ISNUMBER(SEARCH("Tatuapé",N692))),"SIM","")</f>
        <v/>
      </c>
      <c r="R692" s="92">
        <f>IF(AND(ISNUMBER(SEARCH("Espeto",N692)),ISNUMBER(SEARCH("Pavão",N692))),"SIM","")</f>
        <v/>
      </c>
      <c r="S692" s="92">
        <f>IF(AND(ISNUMBER(SEARCH("Espeto",N692)),ISNUMBER(SEARCH("Chac",N692))),"SIM","")</f>
        <v/>
      </c>
      <c r="T692" s="92">
        <f>IF(AND(ISNUMBER(SEARCH("Espeto",N692)),ISNUMBER(SEARCH("Madalena",N692))),"SIM","")</f>
        <v/>
      </c>
      <c r="U692" s="92">
        <f>IF(AND(ISNUMBER(SEARCH("Espeto",N692)),ISNUMBER(SEARCH("Mariana",N692))),"SIM","")</f>
        <v/>
      </c>
      <c r="V692" s="92">
        <f>IF(AND(ISNUMBER(SEARCH("Espeto",N692)),ISNUMBER(SEARCH("Perdizes",N692))),"SIM","")</f>
        <v/>
      </c>
      <c r="W692" s="92">
        <f>IF(AND(ISNUMBER(SEARCH("Espeto",N692)),ISNUMBER(SEARCH("Santana",N692))),"SIM","")</f>
        <v/>
      </c>
      <c r="X692" s="92">
        <f>IF(AND(ISNUMBER(SEARCH("Espeto",N692)),ISNUMBER(SEARCH("André",N692))),"SIM","")</f>
        <v/>
      </c>
      <c r="Y692" s="92">
        <f>IF(AND(ISNUMBER(SEARCH("Delivery",N692)),ISNUMBER(SEARCH("Carin",N692))),"SIM","")</f>
        <v/>
      </c>
      <c r="Z692" s="92">
        <f>IF(AND(ISNUMBER(SEARCH("Delivery",N692)),ISNUMBER(SEARCH("Lapa",N692))),"SIM","")</f>
        <v/>
      </c>
      <c r="AA692" s="92">
        <f>IF(AND(ISNUMBER(SEARCH("Delivery",N692)),ISNUMBER(SEARCH("Tatuapé",N692))),"SIM","")</f>
        <v/>
      </c>
      <c r="AB692" s="92">
        <f>IF(AND(ISNUMBER(SEARCH("Delivery",N692)),ISNUMBER(SEARCH("Pavão",N692))),"SIM","")</f>
        <v/>
      </c>
      <c r="AC692" s="92">
        <f>IF(AND(ISNUMBER(SEARCH("Delivery",N692)),ISNUMBER(SEARCH("Chac",N692))),"SIM","")</f>
        <v/>
      </c>
      <c r="AD692" s="92">
        <f>IF(AND(ISNUMBER(SEARCH("Delivery",N692)),ISNUMBER(SEARCH("Madalena",N692))),"SIM","")</f>
        <v/>
      </c>
      <c r="AE692" s="99">
        <f>IF(AND(ISNUMBER(SEARCH("Delivery",N692)),ISNUMBER(SEARCH("Mariana",N692))),"SIM","")</f>
        <v/>
      </c>
      <c r="AF692" s="99">
        <f>IF(AND(ISNUMBER(SEARCH("Delivery",N692)),ISNUMBER(SEARCH("Perdizes",N692))),"SIM","")</f>
        <v/>
      </c>
      <c r="AG692" s="99">
        <f>IF(AND(ISNUMBER(SEARCH("Delivery",N692)),ISNUMBER(SEARCH("Santana",N692))),"SIM","")</f>
        <v/>
      </c>
      <c r="AH692" s="99">
        <f>IF(AND(ISNUMBER(SEARCH("Delivery",N692)),ISNUMBER(SEARCH("André",N692))),"SIM","")</f>
        <v/>
      </c>
      <c r="AI692" s="99">
        <f>IF(ISNUMBER(SEARCH("Interlagos",N692)),"SIM","")</f>
        <v/>
      </c>
      <c r="AJ692" s="99">
        <f>IF(ISNUMBER(SEARCH("Quiosque",N692)),"SIM","")</f>
        <v/>
      </c>
      <c r="AK692" s="101" t="n"/>
    </row>
    <row r="693">
      <c r="A693" s="88" t="inlineStr">
        <is>
          <t>Protheus</t>
        </is>
      </c>
      <c r="B693" s="89" t="inlineStr">
        <is>
          <t>001084</t>
        </is>
      </c>
      <c r="C693" s="90">
        <f>IF(B693="—","—",IFERROR(VLOOKUP(B693,_Protheus_Cadastro!$A:$B,2,FALSE),"—"))</f>
        <v/>
      </c>
      <c r="D693" s="91">
        <f>IF(B693="—",IFERROR(INDEX(_ZIG_Cadastro!$D:$D,MATCH(H693,_ZIG_Cadastro!$A:$A,0)),"Produto"),IFERROR(VLOOKUP(B693,_Protheus_Cadastro!$A:$C,3,FALSE),"—"))</f>
        <v/>
      </c>
      <c r="E693" s="91">
        <f>IF(B693="—","—",IFERROR(VLOOKUP(B693,_Protheus_Cadastro!$A:$D,4,FALSE),"—"))</f>
        <v/>
      </c>
      <c r="F693" s="91">
        <f>IF(ISERROR(VLOOKUP(B693,'Estrutura Protheus'!A:A,1,FALSE)),"Não","Sim")</f>
        <v/>
      </c>
      <c r="G693" s="92">
        <f>IFERROR(INDEX(_Protheus_Cadastro!$H:$H,MATCH(B693,_Protheus_Cadastro!$A:$A,0)),"—")</f>
        <v/>
      </c>
      <c r="H693" s="210">
        <f>IFERROR(INDEX(_ZIG_Precos!$D:$D,MATCH(I693,_ZIG_Precos!$F:$F,0)),"—")</f>
        <v/>
      </c>
      <c r="I693" s="95">
        <f>IFERROR(VLOOKUP(B693,_Protheus_Cadastro!$A:$I,9,FALSE),"—")</f>
        <v/>
      </c>
      <c r="J693" s="93">
        <f>IFERROR(INDEX(_ZIG_Cadastro!$B:$B,MATCH(I693,_ZIG_Cadastro!$A:$A,0)),IFERROR(INDEX(_Entradas_ZIG!$B:$B,MATCH(I693,_Entradas_ZIG!$C:$C,0)),"—"))</f>
        <v/>
      </c>
      <c r="K693" s="93">
        <f>IFERROR(INDEX(_ZIG_Cadastro!$C:$C,MATCH(I693,_ZIG_Cadastro!$A:$A,0)),IFERROR(INDEX(_Entradas_ZIG!$D:$D,MATCH(I693,_Entradas_ZIG!$C:$C,0)),"—"))</f>
        <v/>
      </c>
      <c r="L693" s="92">
        <f>IF(I693="","Sem SKU ZIG",IF(I693="—","Sem SKU ZIG",IF(NOT(ISERROR(MATCH(I693,_ZIG_Cadastro!$A:$A,0))),IF(EXACT(UPPER(TRIM(C693)),UPPER(TRIM(INDEX(_ZIG_Cadastro!$B:$B,MATCH(I693,_ZIG_Cadastro!$A:$A,0))))),"OK","Atencao - Nome diverge"),IF(NOT(ISERROR(MATCH(I693,_Entradas_ZIG!$C:$C,0))),"OK","Erro - SKU nao encontrado"))))</f>
        <v/>
      </c>
      <c r="M693" s="92">
        <f>IFERROR(INDEX(_ZIG_Cadastro!$G:$G,MATCH(I693,_ZIG_Cadastro!$A:$A,0)),IF(NOT(ISERROR(MATCH(I693,_Entradas_ZIG!$C:$C,0))),"Ativo","—"))</f>
        <v/>
      </c>
      <c r="N693" s="94">
        <f>IFERROR(INDEX(_ZIG_Cadastro!$E:$E,MATCH(I693,_ZIG_Cadastro!$A:$A,0)),IFERROR(INDEX(_Entradas_ZIG!$F:$F,MATCH(I693,_Entradas_ZIG!$C:$C,0)),"—"))</f>
        <v/>
      </c>
      <c r="O693" s="92">
        <f>IF(AND(ISNUMBER(SEARCH("Espeto",N693)),ISNUMBER(SEARCH("Carin",N693))),"SIM","")</f>
        <v/>
      </c>
      <c r="P693" s="92">
        <f>IF(AND(ISNUMBER(SEARCH("Espeto",N693)),ISNUMBER(SEARCH("Lapa",N693))),"SIM","")</f>
        <v/>
      </c>
      <c r="Q693" s="92">
        <f>IF(AND(ISNUMBER(SEARCH("Espeto",N693)),ISNUMBER(SEARCH("Tatuapé",N693))),"SIM","")</f>
        <v/>
      </c>
      <c r="R693" s="92">
        <f>IF(AND(ISNUMBER(SEARCH("Espeto",N693)),ISNUMBER(SEARCH("Pavão",N693))),"SIM","")</f>
        <v/>
      </c>
      <c r="S693" s="92">
        <f>IF(AND(ISNUMBER(SEARCH("Espeto",N693)),ISNUMBER(SEARCH("Chac",N693))),"SIM","")</f>
        <v/>
      </c>
      <c r="T693" s="92">
        <f>IF(AND(ISNUMBER(SEARCH("Espeto",N693)),ISNUMBER(SEARCH("Madalena",N693))),"SIM","")</f>
        <v/>
      </c>
      <c r="U693" s="92">
        <f>IF(AND(ISNUMBER(SEARCH("Espeto",N693)),ISNUMBER(SEARCH("Mariana",N693))),"SIM","")</f>
        <v/>
      </c>
      <c r="V693" s="92">
        <f>IF(AND(ISNUMBER(SEARCH("Espeto",N693)),ISNUMBER(SEARCH("Perdizes",N693))),"SIM","")</f>
        <v/>
      </c>
      <c r="W693" s="92">
        <f>IF(AND(ISNUMBER(SEARCH("Espeto",N693)),ISNUMBER(SEARCH("Santana",N693))),"SIM","")</f>
        <v/>
      </c>
      <c r="X693" s="92">
        <f>IF(AND(ISNUMBER(SEARCH("Espeto",N693)),ISNUMBER(SEARCH("André",N693))),"SIM","")</f>
        <v/>
      </c>
      <c r="Y693" s="92">
        <f>IF(AND(ISNUMBER(SEARCH("Delivery",N693)),ISNUMBER(SEARCH("Carin",N693))),"SIM","")</f>
        <v/>
      </c>
      <c r="Z693" s="92">
        <f>IF(AND(ISNUMBER(SEARCH("Delivery",N693)),ISNUMBER(SEARCH("Lapa",N693))),"SIM","")</f>
        <v/>
      </c>
      <c r="AA693" s="92">
        <f>IF(AND(ISNUMBER(SEARCH("Delivery",N693)),ISNUMBER(SEARCH("Tatuapé",N693))),"SIM","")</f>
        <v/>
      </c>
      <c r="AB693" s="92">
        <f>IF(AND(ISNUMBER(SEARCH("Delivery",N693)),ISNUMBER(SEARCH("Pavão",N693))),"SIM","")</f>
        <v/>
      </c>
      <c r="AC693" s="92">
        <f>IF(AND(ISNUMBER(SEARCH("Delivery",N693)),ISNUMBER(SEARCH("Chac",N693))),"SIM","")</f>
        <v/>
      </c>
      <c r="AD693" s="92">
        <f>IF(AND(ISNUMBER(SEARCH("Delivery",N693)),ISNUMBER(SEARCH("Madalena",N693))),"SIM","")</f>
        <v/>
      </c>
      <c r="AE693" s="99">
        <f>IF(AND(ISNUMBER(SEARCH("Delivery",N693)),ISNUMBER(SEARCH("Mariana",N693))),"SIM","")</f>
        <v/>
      </c>
      <c r="AF693" s="99">
        <f>IF(AND(ISNUMBER(SEARCH("Delivery",N693)),ISNUMBER(SEARCH("Perdizes",N693))),"SIM","")</f>
        <v/>
      </c>
      <c r="AG693" s="99">
        <f>IF(AND(ISNUMBER(SEARCH("Delivery",N693)),ISNUMBER(SEARCH("Santana",N693))),"SIM","")</f>
        <v/>
      </c>
      <c r="AH693" s="99">
        <f>IF(AND(ISNUMBER(SEARCH("Delivery",N693)),ISNUMBER(SEARCH("André",N693))),"SIM","")</f>
        <v/>
      </c>
      <c r="AI693" s="99">
        <f>IF(ISNUMBER(SEARCH("Interlagos",N693)),"SIM","")</f>
        <v/>
      </c>
      <c r="AJ693" s="99">
        <f>IF(ISNUMBER(SEARCH("Quiosque",N693)),"SIM","")</f>
        <v/>
      </c>
      <c r="AK693" s="101" t="n"/>
    </row>
    <row r="694">
      <c r="A694" s="88" t="inlineStr">
        <is>
          <t>Protheus</t>
        </is>
      </c>
      <c r="B694" s="89" t="inlineStr">
        <is>
          <t>001086</t>
        </is>
      </c>
      <c r="C694" s="90">
        <f>IF(B694="—","—",IFERROR(VLOOKUP(B694,_Protheus_Cadastro!$A:$B,2,FALSE),"—"))</f>
        <v/>
      </c>
      <c r="D694" s="91">
        <f>IF(B694="—",IFERROR(INDEX(_ZIG_Cadastro!$D:$D,MATCH(H694,_ZIG_Cadastro!$A:$A,0)),"Produto"),IFERROR(VLOOKUP(B694,_Protheus_Cadastro!$A:$C,3,FALSE),"—"))</f>
        <v/>
      </c>
      <c r="E694" s="91">
        <f>IF(B694="—","—",IFERROR(VLOOKUP(B694,_Protheus_Cadastro!$A:$D,4,FALSE),"—"))</f>
        <v/>
      </c>
      <c r="F694" s="91">
        <f>IF(ISERROR(VLOOKUP(B694,'Estrutura Protheus'!A:A,1,FALSE)),"Não","Sim")</f>
        <v/>
      </c>
      <c r="G694" s="92">
        <f>IFERROR(INDEX(_Protheus_Cadastro!$H:$H,MATCH(B694,_Protheus_Cadastro!$A:$A,0)),"—")</f>
        <v/>
      </c>
      <c r="H694" s="210">
        <f>IFERROR(INDEX(_ZIG_Precos!$D:$D,MATCH(I694,_ZIG_Precos!$F:$F,0)),"—")</f>
        <v/>
      </c>
      <c r="I694" s="95">
        <f>IFERROR(VLOOKUP(B694,_Protheus_Cadastro!$A:$I,9,FALSE),"—")</f>
        <v/>
      </c>
      <c r="J694" s="93">
        <f>IFERROR(INDEX(_ZIG_Cadastro!$B:$B,MATCH(I694,_ZIG_Cadastro!$A:$A,0)),IFERROR(INDEX(_Entradas_ZIG!$B:$B,MATCH(I694,_Entradas_ZIG!$C:$C,0)),"—"))</f>
        <v/>
      </c>
      <c r="K694" s="93">
        <f>IFERROR(INDEX(_ZIG_Cadastro!$C:$C,MATCH(I694,_ZIG_Cadastro!$A:$A,0)),IFERROR(INDEX(_Entradas_ZIG!$D:$D,MATCH(I694,_Entradas_ZIG!$C:$C,0)),"—"))</f>
        <v/>
      </c>
      <c r="L694" s="92">
        <f>IF(I694="","Sem SKU ZIG",IF(I694="—","Sem SKU ZIG",IF(NOT(ISERROR(MATCH(I694,_ZIG_Cadastro!$A:$A,0))),IF(EXACT(UPPER(TRIM(C694)),UPPER(TRIM(INDEX(_ZIG_Cadastro!$B:$B,MATCH(I694,_ZIG_Cadastro!$A:$A,0))))),"OK","Atencao - Nome diverge"),IF(NOT(ISERROR(MATCH(I694,_Entradas_ZIG!$C:$C,0))),"OK","Erro - SKU nao encontrado"))))</f>
        <v/>
      </c>
      <c r="M694" s="92">
        <f>IFERROR(INDEX(_ZIG_Cadastro!$G:$G,MATCH(I694,_ZIG_Cadastro!$A:$A,0)),IF(NOT(ISERROR(MATCH(I694,_Entradas_ZIG!$C:$C,0))),"Ativo","—"))</f>
        <v/>
      </c>
      <c r="N694" s="94">
        <f>IFERROR(INDEX(_ZIG_Cadastro!$E:$E,MATCH(I694,_ZIG_Cadastro!$A:$A,0)),IFERROR(INDEX(_Entradas_ZIG!$F:$F,MATCH(I694,_Entradas_ZIG!$C:$C,0)),"—"))</f>
        <v/>
      </c>
      <c r="O694" s="92">
        <f>IF(AND(ISNUMBER(SEARCH("Espeto",N694)),ISNUMBER(SEARCH("Carin",N694))),"SIM","")</f>
        <v/>
      </c>
      <c r="P694" s="92">
        <f>IF(AND(ISNUMBER(SEARCH("Espeto",N694)),ISNUMBER(SEARCH("Lapa",N694))),"SIM","")</f>
        <v/>
      </c>
      <c r="Q694" s="92">
        <f>IF(AND(ISNUMBER(SEARCH("Espeto",N694)),ISNUMBER(SEARCH("Tatuapé",N694))),"SIM","")</f>
        <v/>
      </c>
      <c r="R694" s="92">
        <f>IF(AND(ISNUMBER(SEARCH("Espeto",N694)),ISNUMBER(SEARCH("Pavão",N694))),"SIM","")</f>
        <v/>
      </c>
      <c r="S694" s="92">
        <f>IF(AND(ISNUMBER(SEARCH("Espeto",N694)),ISNUMBER(SEARCH("Chac",N694))),"SIM","")</f>
        <v/>
      </c>
      <c r="T694" s="92">
        <f>IF(AND(ISNUMBER(SEARCH("Espeto",N694)),ISNUMBER(SEARCH("Madalena",N694))),"SIM","")</f>
        <v/>
      </c>
      <c r="U694" s="92">
        <f>IF(AND(ISNUMBER(SEARCH("Espeto",N694)),ISNUMBER(SEARCH("Mariana",N694))),"SIM","")</f>
        <v/>
      </c>
      <c r="V694" s="92">
        <f>IF(AND(ISNUMBER(SEARCH("Espeto",N694)),ISNUMBER(SEARCH("Perdizes",N694))),"SIM","")</f>
        <v/>
      </c>
      <c r="W694" s="92">
        <f>IF(AND(ISNUMBER(SEARCH("Espeto",N694)),ISNUMBER(SEARCH("Santana",N694))),"SIM","")</f>
        <v/>
      </c>
      <c r="X694" s="92">
        <f>IF(AND(ISNUMBER(SEARCH("Espeto",N694)),ISNUMBER(SEARCH("André",N694))),"SIM","")</f>
        <v/>
      </c>
      <c r="Y694" s="92">
        <f>IF(AND(ISNUMBER(SEARCH("Delivery",N694)),ISNUMBER(SEARCH("Carin",N694))),"SIM","")</f>
        <v/>
      </c>
      <c r="Z694" s="92">
        <f>IF(AND(ISNUMBER(SEARCH("Delivery",N694)),ISNUMBER(SEARCH("Lapa",N694))),"SIM","")</f>
        <v/>
      </c>
      <c r="AA694" s="92">
        <f>IF(AND(ISNUMBER(SEARCH("Delivery",N694)),ISNUMBER(SEARCH("Tatuapé",N694))),"SIM","")</f>
        <v/>
      </c>
      <c r="AB694" s="92">
        <f>IF(AND(ISNUMBER(SEARCH("Delivery",N694)),ISNUMBER(SEARCH("Pavão",N694))),"SIM","")</f>
        <v/>
      </c>
      <c r="AC694" s="92">
        <f>IF(AND(ISNUMBER(SEARCH("Delivery",N694)),ISNUMBER(SEARCH("Chac",N694))),"SIM","")</f>
        <v/>
      </c>
      <c r="AD694" s="92">
        <f>IF(AND(ISNUMBER(SEARCH("Delivery",N694)),ISNUMBER(SEARCH("Madalena",N694))),"SIM","")</f>
        <v/>
      </c>
      <c r="AE694" s="99">
        <f>IF(AND(ISNUMBER(SEARCH("Delivery",N694)),ISNUMBER(SEARCH("Mariana",N694))),"SIM","")</f>
        <v/>
      </c>
      <c r="AF694" s="99">
        <f>IF(AND(ISNUMBER(SEARCH("Delivery",N694)),ISNUMBER(SEARCH("Perdizes",N694))),"SIM","")</f>
        <v/>
      </c>
      <c r="AG694" s="99">
        <f>IF(AND(ISNUMBER(SEARCH("Delivery",N694)),ISNUMBER(SEARCH("Santana",N694))),"SIM","")</f>
        <v/>
      </c>
      <c r="AH694" s="99">
        <f>IF(AND(ISNUMBER(SEARCH("Delivery",N694)),ISNUMBER(SEARCH("André",N694))),"SIM","")</f>
        <v/>
      </c>
      <c r="AI694" s="99">
        <f>IF(ISNUMBER(SEARCH("Interlagos",N694)),"SIM","")</f>
        <v/>
      </c>
      <c r="AJ694" s="99">
        <f>IF(ISNUMBER(SEARCH("Quiosque",N694)),"SIM","")</f>
        <v/>
      </c>
      <c r="AK694" s="101" t="n"/>
    </row>
    <row r="695">
      <c r="A695" s="88" t="inlineStr">
        <is>
          <t>Protheus</t>
        </is>
      </c>
      <c r="B695" s="89" t="inlineStr">
        <is>
          <t>001090</t>
        </is>
      </c>
      <c r="C695" s="90">
        <f>IF(B695="—","—",IFERROR(VLOOKUP(B695,_Protheus_Cadastro!$A:$B,2,FALSE),"—"))</f>
        <v/>
      </c>
      <c r="D695" s="91">
        <f>IF(B695="—",IFERROR(INDEX(_ZIG_Cadastro!$D:$D,MATCH(H695,_ZIG_Cadastro!$A:$A,0)),"Produto"),IFERROR(VLOOKUP(B695,_Protheus_Cadastro!$A:$C,3,FALSE),"—"))</f>
        <v/>
      </c>
      <c r="E695" s="91">
        <f>IF(B695="—","—",IFERROR(VLOOKUP(B695,_Protheus_Cadastro!$A:$D,4,FALSE),"—"))</f>
        <v/>
      </c>
      <c r="F695" s="91">
        <f>IF(ISERROR(VLOOKUP(B695,'Estrutura Protheus'!A:A,1,FALSE)),"Não","Sim")</f>
        <v/>
      </c>
      <c r="G695" s="92">
        <f>IFERROR(INDEX(_Protheus_Cadastro!$H:$H,MATCH(B695,_Protheus_Cadastro!$A:$A,0)),"—")</f>
        <v/>
      </c>
      <c r="H695" s="210">
        <f>IFERROR(INDEX(_ZIG_Precos!$D:$D,MATCH(I695,_ZIG_Precos!$F:$F,0)),"—")</f>
        <v/>
      </c>
      <c r="I695" s="95">
        <f>IFERROR(VLOOKUP(B695,_Protheus_Cadastro!$A:$I,9,FALSE),"—")</f>
        <v/>
      </c>
      <c r="J695" s="93">
        <f>IFERROR(INDEX(_ZIG_Cadastro!$B:$B,MATCH(I695,_ZIG_Cadastro!$A:$A,0)),IFERROR(INDEX(_Entradas_ZIG!$B:$B,MATCH(I695,_Entradas_ZIG!$C:$C,0)),"—"))</f>
        <v/>
      </c>
      <c r="K695" s="93">
        <f>IFERROR(INDEX(_ZIG_Cadastro!$C:$C,MATCH(I695,_ZIG_Cadastro!$A:$A,0)),IFERROR(INDEX(_Entradas_ZIG!$D:$D,MATCH(I695,_Entradas_ZIG!$C:$C,0)),"—"))</f>
        <v/>
      </c>
      <c r="L695" s="92">
        <f>IF(I695="","Sem SKU ZIG",IF(I695="—","Sem SKU ZIG",IF(NOT(ISERROR(MATCH(I695,_ZIG_Cadastro!$A:$A,0))),IF(EXACT(UPPER(TRIM(C695)),UPPER(TRIM(INDEX(_ZIG_Cadastro!$B:$B,MATCH(I695,_ZIG_Cadastro!$A:$A,0))))),"OK","Atencao - Nome diverge"),IF(NOT(ISERROR(MATCH(I695,_Entradas_ZIG!$C:$C,0))),"OK","Erro - SKU nao encontrado"))))</f>
        <v/>
      </c>
      <c r="M695" s="92">
        <f>IFERROR(INDEX(_ZIG_Cadastro!$G:$G,MATCH(I695,_ZIG_Cadastro!$A:$A,0)),IF(NOT(ISERROR(MATCH(I695,_Entradas_ZIG!$C:$C,0))),"Ativo","—"))</f>
        <v/>
      </c>
      <c r="N695" s="94">
        <f>IFERROR(INDEX(_ZIG_Cadastro!$E:$E,MATCH(I695,_ZIG_Cadastro!$A:$A,0)),IFERROR(INDEX(_Entradas_ZIG!$F:$F,MATCH(I695,_Entradas_ZIG!$C:$C,0)),"—"))</f>
        <v/>
      </c>
      <c r="O695" s="92">
        <f>IF(AND(ISNUMBER(SEARCH("Espeto",N695)),ISNUMBER(SEARCH("Carin",N695))),"SIM","")</f>
        <v/>
      </c>
      <c r="P695" s="92">
        <f>IF(AND(ISNUMBER(SEARCH("Espeto",N695)),ISNUMBER(SEARCH("Lapa",N695))),"SIM","")</f>
        <v/>
      </c>
      <c r="Q695" s="92">
        <f>IF(AND(ISNUMBER(SEARCH("Espeto",N695)),ISNUMBER(SEARCH("Tatuapé",N695))),"SIM","")</f>
        <v/>
      </c>
      <c r="R695" s="92">
        <f>IF(AND(ISNUMBER(SEARCH("Espeto",N695)),ISNUMBER(SEARCH("Pavão",N695))),"SIM","")</f>
        <v/>
      </c>
      <c r="S695" s="92">
        <f>IF(AND(ISNUMBER(SEARCH("Espeto",N695)),ISNUMBER(SEARCH("Chac",N695))),"SIM","")</f>
        <v/>
      </c>
      <c r="T695" s="92">
        <f>IF(AND(ISNUMBER(SEARCH("Espeto",N695)),ISNUMBER(SEARCH("Madalena",N695))),"SIM","")</f>
        <v/>
      </c>
      <c r="U695" s="92">
        <f>IF(AND(ISNUMBER(SEARCH("Espeto",N695)),ISNUMBER(SEARCH("Mariana",N695))),"SIM","")</f>
        <v/>
      </c>
      <c r="V695" s="92">
        <f>IF(AND(ISNUMBER(SEARCH("Espeto",N695)),ISNUMBER(SEARCH("Perdizes",N695))),"SIM","")</f>
        <v/>
      </c>
      <c r="W695" s="92">
        <f>IF(AND(ISNUMBER(SEARCH("Espeto",N695)),ISNUMBER(SEARCH("Santana",N695))),"SIM","")</f>
        <v/>
      </c>
      <c r="X695" s="92">
        <f>IF(AND(ISNUMBER(SEARCH("Espeto",N695)),ISNUMBER(SEARCH("André",N695))),"SIM","")</f>
        <v/>
      </c>
      <c r="Y695" s="92">
        <f>IF(AND(ISNUMBER(SEARCH("Delivery",N695)),ISNUMBER(SEARCH("Carin",N695))),"SIM","")</f>
        <v/>
      </c>
      <c r="Z695" s="92">
        <f>IF(AND(ISNUMBER(SEARCH("Delivery",N695)),ISNUMBER(SEARCH("Lapa",N695))),"SIM","")</f>
        <v/>
      </c>
      <c r="AA695" s="92">
        <f>IF(AND(ISNUMBER(SEARCH("Delivery",N695)),ISNUMBER(SEARCH("Tatuapé",N695))),"SIM","")</f>
        <v/>
      </c>
      <c r="AB695" s="92">
        <f>IF(AND(ISNUMBER(SEARCH("Delivery",N695)),ISNUMBER(SEARCH("Pavão",N695))),"SIM","")</f>
        <v/>
      </c>
      <c r="AC695" s="92">
        <f>IF(AND(ISNUMBER(SEARCH("Delivery",N695)),ISNUMBER(SEARCH("Chac",N695))),"SIM","")</f>
        <v/>
      </c>
      <c r="AD695" s="92">
        <f>IF(AND(ISNUMBER(SEARCH("Delivery",N695)),ISNUMBER(SEARCH("Madalena",N695))),"SIM","")</f>
        <v/>
      </c>
      <c r="AE695" s="99">
        <f>IF(AND(ISNUMBER(SEARCH("Delivery",N695)),ISNUMBER(SEARCH("Mariana",N695))),"SIM","")</f>
        <v/>
      </c>
      <c r="AF695" s="99">
        <f>IF(AND(ISNUMBER(SEARCH("Delivery",N695)),ISNUMBER(SEARCH("Perdizes",N695))),"SIM","")</f>
        <v/>
      </c>
      <c r="AG695" s="99">
        <f>IF(AND(ISNUMBER(SEARCH("Delivery",N695)),ISNUMBER(SEARCH("Santana",N695))),"SIM","")</f>
        <v/>
      </c>
      <c r="AH695" s="99">
        <f>IF(AND(ISNUMBER(SEARCH("Delivery",N695)),ISNUMBER(SEARCH("André",N695))),"SIM","")</f>
        <v/>
      </c>
      <c r="AI695" s="99">
        <f>IF(ISNUMBER(SEARCH("Interlagos",N695)),"SIM","")</f>
        <v/>
      </c>
      <c r="AJ695" s="99">
        <f>IF(ISNUMBER(SEARCH("Quiosque",N695)),"SIM","")</f>
        <v/>
      </c>
      <c r="AK695" s="101" t="n"/>
    </row>
    <row r="696">
      <c r="A696" s="88" t="inlineStr">
        <is>
          <t>Protheus</t>
        </is>
      </c>
      <c r="B696" s="89" t="inlineStr">
        <is>
          <t>001091</t>
        </is>
      </c>
      <c r="C696" s="90">
        <f>IF(B696="—","—",IFERROR(VLOOKUP(B696,_Protheus_Cadastro!$A:$B,2,FALSE),"—"))</f>
        <v/>
      </c>
      <c r="D696" s="91">
        <f>IF(B696="—",IFERROR(INDEX(_ZIG_Cadastro!$D:$D,MATCH(H696,_ZIG_Cadastro!$A:$A,0)),"Produto"),IFERROR(VLOOKUP(B696,_Protheus_Cadastro!$A:$C,3,FALSE),"—"))</f>
        <v/>
      </c>
      <c r="E696" s="91">
        <f>IF(B696="—","—",IFERROR(VLOOKUP(B696,_Protheus_Cadastro!$A:$D,4,FALSE),"—"))</f>
        <v/>
      </c>
      <c r="F696" s="91">
        <f>IF(ISERROR(VLOOKUP(B696,'Estrutura Protheus'!A:A,1,FALSE)),"Não","Sim")</f>
        <v/>
      </c>
      <c r="G696" s="92">
        <f>IFERROR(INDEX(_Protheus_Cadastro!$H:$H,MATCH(B696,_Protheus_Cadastro!$A:$A,0)),"—")</f>
        <v/>
      </c>
      <c r="H696" s="210">
        <f>IFERROR(INDEX(_ZIG_Precos!$D:$D,MATCH(I696,_ZIG_Precos!$F:$F,0)),"—")</f>
        <v/>
      </c>
      <c r="I696" s="95">
        <f>IFERROR(VLOOKUP(B696,_Protheus_Cadastro!$A:$I,9,FALSE),"—")</f>
        <v/>
      </c>
      <c r="J696" s="93">
        <f>IFERROR(INDEX(_ZIG_Cadastro!$B:$B,MATCH(I696,_ZIG_Cadastro!$A:$A,0)),IFERROR(INDEX(_Entradas_ZIG!$B:$B,MATCH(I696,_Entradas_ZIG!$C:$C,0)),"—"))</f>
        <v/>
      </c>
      <c r="K696" s="93">
        <f>IFERROR(INDEX(_ZIG_Cadastro!$C:$C,MATCH(I696,_ZIG_Cadastro!$A:$A,0)),IFERROR(INDEX(_Entradas_ZIG!$D:$D,MATCH(I696,_Entradas_ZIG!$C:$C,0)),"—"))</f>
        <v/>
      </c>
      <c r="L696" s="92">
        <f>IF(I696="","Sem SKU ZIG",IF(I696="—","Sem SKU ZIG",IF(NOT(ISERROR(MATCH(I696,_ZIG_Cadastro!$A:$A,0))),IF(EXACT(UPPER(TRIM(C696)),UPPER(TRIM(INDEX(_ZIG_Cadastro!$B:$B,MATCH(I696,_ZIG_Cadastro!$A:$A,0))))),"OK","Atencao - Nome diverge"),IF(NOT(ISERROR(MATCH(I696,_Entradas_ZIG!$C:$C,0))),"OK","Erro - SKU nao encontrado"))))</f>
        <v/>
      </c>
      <c r="M696" s="92">
        <f>IFERROR(INDEX(_ZIG_Cadastro!$G:$G,MATCH(I696,_ZIG_Cadastro!$A:$A,0)),IF(NOT(ISERROR(MATCH(I696,_Entradas_ZIG!$C:$C,0))),"Ativo","—"))</f>
        <v/>
      </c>
      <c r="N696" s="94">
        <f>IFERROR(INDEX(_ZIG_Cadastro!$E:$E,MATCH(I696,_ZIG_Cadastro!$A:$A,0)),IFERROR(INDEX(_Entradas_ZIG!$F:$F,MATCH(I696,_Entradas_ZIG!$C:$C,0)),"—"))</f>
        <v/>
      </c>
      <c r="O696" s="92">
        <f>IF(AND(ISNUMBER(SEARCH("Espeto",N696)),ISNUMBER(SEARCH("Carin",N696))),"SIM","")</f>
        <v/>
      </c>
      <c r="P696" s="92">
        <f>IF(AND(ISNUMBER(SEARCH("Espeto",N696)),ISNUMBER(SEARCH("Lapa",N696))),"SIM","")</f>
        <v/>
      </c>
      <c r="Q696" s="92">
        <f>IF(AND(ISNUMBER(SEARCH("Espeto",N696)),ISNUMBER(SEARCH("Tatuapé",N696))),"SIM","")</f>
        <v/>
      </c>
      <c r="R696" s="92">
        <f>IF(AND(ISNUMBER(SEARCH("Espeto",N696)),ISNUMBER(SEARCH("Pavão",N696))),"SIM","")</f>
        <v/>
      </c>
      <c r="S696" s="92">
        <f>IF(AND(ISNUMBER(SEARCH("Espeto",N696)),ISNUMBER(SEARCH("Chac",N696))),"SIM","")</f>
        <v/>
      </c>
      <c r="T696" s="92">
        <f>IF(AND(ISNUMBER(SEARCH("Espeto",N696)),ISNUMBER(SEARCH("Madalena",N696))),"SIM","")</f>
        <v/>
      </c>
      <c r="U696" s="92">
        <f>IF(AND(ISNUMBER(SEARCH("Espeto",N696)),ISNUMBER(SEARCH("Mariana",N696))),"SIM","")</f>
        <v/>
      </c>
      <c r="V696" s="92">
        <f>IF(AND(ISNUMBER(SEARCH("Espeto",N696)),ISNUMBER(SEARCH("Perdizes",N696))),"SIM","")</f>
        <v/>
      </c>
      <c r="W696" s="92">
        <f>IF(AND(ISNUMBER(SEARCH("Espeto",N696)),ISNUMBER(SEARCH("Santana",N696))),"SIM","")</f>
        <v/>
      </c>
      <c r="X696" s="92">
        <f>IF(AND(ISNUMBER(SEARCH("Espeto",N696)),ISNUMBER(SEARCH("André",N696))),"SIM","")</f>
        <v/>
      </c>
      <c r="Y696" s="92">
        <f>IF(AND(ISNUMBER(SEARCH("Delivery",N696)),ISNUMBER(SEARCH("Carin",N696))),"SIM","")</f>
        <v/>
      </c>
      <c r="Z696" s="92">
        <f>IF(AND(ISNUMBER(SEARCH("Delivery",N696)),ISNUMBER(SEARCH("Lapa",N696))),"SIM","")</f>
        <v/>
      </c>
      <c r="AA696" s="92">
        <f>IF(AND(ISNUMBER(SEARCH("Delivery",N696)),ISNUMBER(SEARCH("Tatuapé",N696))),"SIM","")</f>
        <v/>
      </c>
      <c r="AB696" s="92">
        <f>IF(AND(ISNUMBER(SEARCH("Delivery",N696)),ISNUMBER(SEARCH("Pavão",N696))),"SIM","")</f>
        <v/>
      </c>
      <c r="AC696" s="92">
        <f>IF(AND(ISNUMBER(SEARCH("Delivery",N696)),ISNUMBER(SEARCH("Chac",N696))),"SIM","")</f>
        <v/>
      </c>
      <c r="AD696" s="92">
        <f>IF(AND(ISNUMBER(SEARCH("Delivery",N696)),ISNUMBER(SEARCH("Madalena",N696))),"SIM","")</f>
        <v/>
      </c>
      <c r="AE696" s="99">
        <f>IF(AND(ISNUMBER(SEARCH("Delivery",N696)),ISNUMBER(SEARCH("Mariana",N696))),"SIM","")</f>
        <v/>
      </c>
      <c r="AF696" s="99">
        <f>IF(AND(ISNUMBER(SEARCH("Delivery",N696)),ISNUMBER(SEARCH("Perdizes",N696))),"SIM","")</f>
        <v/>
      </c>
      <c r="AG696" s="99">
        <f>IF(AND(ISNUMBER(SEARCH("Delivery",N696)),ISNUMBER(SEARCH("Santana",N696))),"SIM","")</f>
        <v/>
      </c>
      <c r="AH696" s="99">
        <f>IF(AND(ISNUMBER(SEARCH("Delivery",N696)),ISNUMBER(SEARCH("André",N696))),"SIM","")</f>
        <v/>
      </c>
      <c r="AI696" s="99">
        <f>IF(ISNUMBER(SEARCH("Interlagos",N696)),"SIM","")</f>
        <v/>
      </c>
      <c r="AJ696" s="99">
        <f>IF(ISNUMBER(SEARCH("Quiosque",N696)),"SIM","")</f>
        <v/>
      </c>
      <c r="AK696" s="101" t="n"/>
    </row>
    <row r="697">
      <c r="A697" s="88" t="inlineStr">
        <is>
          <t>Protheus</t>
        </is>
      </c>
      <c r="B697" s="89" t="inlineStr">
        <is>
          <t>001093</t>
        </is>
      </c>
      <c r="C697" s="90">
        <f>IF(B697="—","—",IFERROR(VLOOKUP(B697,_Protheus_Cadastro!$A:$B,2,FALSE),"—"))</f>
        <v/>
      </c>
      <c r="D697" s="91">
        <f>IF(B697="—",IFERROR(INDEX(_ZIG_Cadastro!$D:$D,MATCH(H697,_ZIG_Cadastro!$A:$A,0)),"Produto"),IFERROR(VLOOKUP(B697,_Protheus_Cadastro!$A:$C,3,FALSE),"—"))</f>
        <v/>
      </c>
      <c r="E697" s="91">
        <f>IF(B697="—","—",IFERROR(VLOOKUP(B697,_Protheus_Cadastro!$A:$D,4,FALSE),"—"))</f>
        <v/>
      </c>
      <c r="F697" s="91">
        <f>IF(ISERROR(VLOOKUP(B697,'Estrutura Protheus'!A:A,1,FALSE)),"Não","Sim")</f>
        <v/>
      </c>
      <c r="G697" s="92">
        <f>IFERROR(INDEX(_Protheus_Cadastro!$H:$H,MATCH(B697,_Protheus_Cadastro!$A:$A,0)),"—")</f>
        <v/>
      </c>
      <c r="H697" s="210">
        <f>IFERROR(INDEX(_ZIG_Precos!$D:$D,MATCH(I697,_ZIG_Precos!$F:$F,0)),"—")</f>
        <v/>
      </c>
      <c r="I697" s="95">
        <f>IFERROR(VLOOKUP(B697,_Protheus_Cadastro!$A:$I,9,FALSE),"—")</f>
        <v/>
      </c>
      <c r="J697" s="93">
        <f>IFERROR(INDEX(_ZIG_Cadastro!$B:$B,MATCH(I697,_ZIG_Cadastro!$A:$A,0)),IFERROR(INDEX(_Entradas_ZIG!$B:$B,MATCH(I697,_Entradas_ZIG!$C:$C,0)),"—"))</f>
        <v/>
      </c>
      <c r="K697" s="93">
        <f>IFERROR(INDEX(_ZIG_Cadastro!$C:$C,MATCH(I697,_ZIG_Cadastro!$A:$A,0)),IFERROR(INDEX(_Entradas_ZIG!$D:$D,MATCH(I697,_Entradas_ZIG!$C:$C,0)),"—"))</f>
        <v/>
      </c>
      <c r="L697" s="92">
        <f>IF(I697="","Sem SKU ZIG",IF(I697="—","Sem SKU ZIG",IF(NOT(ISERROR(MATCH(I697,_ZIG_Cadastro!$A:$A,0))),IF(EXACT(UPPER(TRIM(C697)),UPPER(TRIM(INDEX(_ZIG_Cadastro!$B:$B,MATCH(I697,_ZIG_Cadastro!$A:$A,0))))),"OK","Atencao - Nome diverge"),IF(NOT(ISERROR(MATCH(I697,_Entradas_ZIG!$C:$C,0))),"OK","Erro - SKU nao encontrado"))))</f>
        <v/>
      </c>
      <c r="M697" s="92">
        <f>IFERROR(INDEX(_ZIG_Cadastro!$G:$G,MATCH(I697,_ZIG_Cadastro!$A:$A,0)),IF(NOT(ISERROR(MATCH(I697,_Entradas_ZIG!$C:$C,0))),"Ativo","—"))</f>
        <v/>
      </c>
      <c r="N697" s="94">
        <f>IFERROR(INDEX(_ZIG_Cadastro!$E:$E,MATCH(I697,_ZIG_Cadastro!$A:$A,0)),IFERROR(INDEX(_Entradas_ZIG!$F:$F,MATCH(I697,_Entradas_ZIG!$C:$C,0)),"—"))</f>
        <v/>
      </c>
      <c r="O697" s="92">
        <f>IF(AND(ISNUMBER(SEARCH("Espeto",N697)),ISNUMBER(SEARCH("Carin",N697))),"SIM","")</f>
        <v/>
      </c>
      <c r="P697" s="92">
        <f>IF(AND(ISNUMBER(SEARCH("Espeto",N697)),ISNUMBER(SEARCH("Lapa",N697))),"SIM","")</f>
        <v/>
      </c>
      <c r="Q697" s="92">
        <f>IF(AND(ISNUMBER(SEARCH("Espeto",N697)),ISNUMBER(SEARCH("Tatuapé",N697))),"SIM","")</f>
        <v/>
      </c>
      <c r="R697" s="92">
        <f>IF(AND(ISNUMBER(SEARCH("Espeto",N697)),ISNUMBER(SEARCH("Pavão",N697))),"SIM","")</f>
        <v/>
      </c>
      <c r="S697" s="92">
        <f>IF(AND(ISNUMBER(SEARCH("Espeto",N697)),ISNUMBER(SEARCH("Chac",N697))),"SIM","")</f>
        <v/>
      </c>
      <c r="T697" s="92">
        <f>IF(AND(ISNUMBER(SEARCH("Espeto",N697)),ISNUMBER(SEARCH("Madalena",N697))),"SIM","")</f>
        <v/>
      </c>
      <c r="U697" s="92">
        <f>IF(AND(ISNUMBER(SEARCH("Espeto",N697)),ISNUMBER(SEARCH("Mariana",N697))),"SIM","")</f>
        <v/>
      </c>
      <c r="V697" s="92">
        <f>IF(AND(ISNUMBER(SEARCH("Espeto",N697)),ISNUMBER(SEARCH("Perdizes",N697))),"SIM","")</f>
        <v/>
      </c>
      <c r="W697" s="92">
        <f>IF(AND(ISNUMBER(SEARCH("Espeto",N697)),ISNUMBER(SEARCH("Santana",N697))),"SIM","")</f>
        <v/>
      </c>
      <c r="X697" s="92">
        <f>IF(AND(ISNUMBER(SEARCH("Espeto",N697)),ISNUMBER(SEARCH("André",N697))),"SIM","")</f>
        <v/>
      </c>
      <c r="Y697" s="92">
        <f>IF(AND(ISNUMBER(SEARCH("Delivery",N697)),ISNUMBER(SEARCH("Carin",N697))),"SIM","")</f>
        <v/>
      </c>
      <c r="Z697" s="92">
        <f>IF(AND(ISNUMBER(SEARCH("Delivery",N697)),ISNUMBER(SEARCH("Lapa",N697))),"SIM","")</f>
        <v/>
      </c>
      <c r="AA697" s="92">
        <f>IF(AND(ISNUMBER(SEARCH("Delivery",N697)),ISNUMBER(SEARCH("Tatuapé",N697))),"SIM","")</f>
        <v/>
      </c>
      <c r="AB697" s="92">
        <f>IF(AND(ISNUMBER(SEARCH("Delivery",N697)),ISNUMBER(SEARCH("Pavão",N697))),"SIM","")</f>
        <v/>
      </c>
      <c r="AC697" s="92">
        <f>IF(AND(ISNUMBER(SEARCH("Delivery",N697)),ISNUMBER(SEARCH("Chac",N697))),"SIM","")</f>
        <v/>
      </c>
      <c r="AD697" s="92">
        <f>IF(AND(ISNUMBER(SEARCH("Delivery",N697)),ISNUMBER(SEARCH("Madalena",N697))),"SIM","")</f>
        <v/>
      </c>
      <c r="AE697" s="99">
        <f>IF(AND(ISNUMBER(SEARCH("Delivery",N697)),ISNUMBER(SEARCH("Mariana",N697))),"SIM","")</f>
        <v/>
      </c>
      <c r="AF697" s="99">
        <f>IF(AND(ISNUMBER(SEARCH("Delivery",N697)),ISNUMBER(SEARCH("Perdizes",N697))),"SIM","")</f>
        <v/>
      </c>
      <c r="AG697" s="99">
        <f>IF(AND(ISNUMBER(SEARCH("Delivery",N697)),ISNUMBER(SEARCH("Santana",N697))),"SIM","")</f>
        <v/>
      </c>
      <c r="AH697" s="99">
        <f>IF(AND(ISNUMBER(SEARCH("Delivery",N697)),ISNUMBER(SEARCH("André",N697))),"SIM","")</f>
        <v/>
      </c>
      <c r="AI697" s="99">
        <f>IF(ISNUMBER(SEARCH("Interlagos",N697)),"SIM","")</f>
        <v/>
      </c>
      <c r="AJ697" s="99">
        <f>IF(ISNUMBER(SEARCH("Quiosque",N697)),"SIM","")</f>
        <v/>
      </c>
      <c r="AK697" s="101" t="n"/>
    </row>
    <row r="698">
      <c r="A698" s="88" t="inlineStr">
        <is>
          <t>Protheus</t>
        </is>
      </c>
      <c r="B698" s="89" t="inlineStr">
        <is>
          <t>001094</t>
        </is>
      </c>
      <c r="C698" s="90">
        <f>IF(B698="—","—",IFERROR(VLOOKUP(B698,_Protheus_Cadastro!$A:$B,2,FALSE),"—"))</f>
        <v/>
      </c>
      <c r="D698" s="91">
        <f>IF(B698="—",IFERROR(INDEX(_ZIG_Cadastro!$D:$D,MATCH(H698,_ZIG_Cadastro!$A:$A,0)),"Produto"),IFERROR(VLOOKUP(B698,_Protheus_Cadastro!$A:$C,3,FALSE),"—"))</f>
        <v/>
      </c>
      <c r="E698" s="91">
        <f>IF(B698="—","—",IFERROR(VLOOKUP(B698,_Protheus_Cadastro!$A:$D,4,FALSE),"—"))</f>
        <v/>
      </c>
      <c r="F698" s="91">
        <f>IF(ISERROR(VLOOKUP(B698,'Estrutura Protheus'!A:A,1,FALSE)),"Não","Sim")</f>
        <v/>
      </c>
      <c r="G698" s="92">
        <f>IFERROR(INDEX(_Protheus_Cadastro!$H:$H,MATCH(B698,_Protheus_Cadastro!$A:$A,0)),"—")</f>
        <v/>
      </c>
      <c r="H698" s="210">
        <f>IFERROR(INDEX(_ZIG_Precos!$D:$D,MATCH(I698,_ZIG_Precos!$F:$F,0)),"—")</f>
        <v/>
      </c>
      <c r="I698" s="95">
        <f>IFERROR(VLOOKUP(B698,_Protheus_Cadastro!$A:$I,9,FALSE),"—")</f>
        <v/>
      </c>
      <c r="J698" s="93">
        <f>IFERROR(INDEX(_ZIG_Cadastro!$B:$B,MATCH(I698,_ZIG_Cadastro!$A:$A,0)),IFERROR(INDEX(_Entradas_ZIG!$B:$B,MATCH(I698,_Entradas_ZIG!$C:$C,0)),"—"))</f>
        <v/>
      </c>
      <c r="K698" s="93">
        <f>IFERROR(INDEX(_ZIG_Cadastro!$C:$C,MATCH(I698,_ZIG_Cadastro!$A:$A,0)),IFERROR(INDEX(_Entradas_ZIG!$D:$D,MATCH(I698,_Entradas_ZIG!$C:$C,0)),"—"))</f>
        <v/>
      </c>
      <c r="L698" s="92">
        <f>IF(I698="","Sem SKU ZIG",IF(I698="—","Sem SKU ZIG",IF(NOT(ISERROR(MATCH(I698,_ZIG_Cadastro!$A:$A,0))),IF(EXACT(UPPER(TRIM(C698)),UPPER(TRIM(INDEX(_ZIG_Cadastro!$B:$B,MATCH(I698,_ZIG_Cadastro!$A:$A,0))))),"OK","Atencao - Nome diverge"),IF(NOT(ISERROR(MATCH(I698,_Entradas_ZIG!$C:$C,0))),"OK","Erro - SKU nao encontrado"))))</f>
        <v/>
      </c>
      <c r="M698" s="92">
        <f>IFERROR(INDEX(_ZIG_Cadastro!$G:$G,MATCH(I698,_ZIG_Cadastro!$A:$A,0)),IF(NOT(ISERROR(MATCH(I698,_Entradas_ZIG!$C:$C,0))),"Ativo","—"))</f>
        <v/>
      </c>
      <c r="N698" s="94">
        <f>IFERROR(INDEX(_ZIG_Cadastro!$E:$E,MATCH(I698,_ZIG_Cadastro!$A:$A,0)),IFERROR(INDEX(_Entradas_ZIG!$F:$F,MATCH(I698,_Entradas_ZIG!$C:$C,0)),"—"))</f>
        <v/>
      </c>
      <c r="O698" s="92">
        <f>IF(AND(ISNUMBER(SEARCH("Espeto",N698)),ISNUMBER(SEARCH("Carin",N698))),"SIM","")</f>
        <v/>
      </c>
      <c r="P698" s="92">
        <f>IF(AND(ISNUMBER(SEARCH("Espeto",N698)),ISNUMBER(SEARCH("Lapa",N698))),"SIM","")</f>
        <v/>
      </c>
      <c r="Q698" s="92">
        <f>IF(AND(ISNUMBER(SEARCH("Espeto",N698)),ISNUMBER(SEARCH("Tatuapé",N698))),"SIM","")</f>
        <v/>
      </c>
      <c r="R698" s="92">
        <f>IF(AND(ISNUMBER(SEARCH("Espeto",N698)),ISNUMBER(SEARCH("Pavão",N698))),"SIM","")</f>
        <v/>
      </c>
      <c r="S698" s="92">
        <f>IF(AND(ISNUMBER(SEARCH("Espeto",N698)),ISNUMBER(SEARCH("Chac",N698))),"SIM","")</f>
        <v/>
      </c>
      <c r="T698" s="92">
        <f>IF(AND(ISNUMBER(SEARCH("Espeto",N698)),ISNUMBER(SEARCH("Madalena",N698))),"SIM","")</f>
        <v/>
      </c>
      <c r="U698" s="92">
        <f>IF(AND(ISNUMBER(SEARCH("Espeto",N698)),ISNUMBER(SEARCH("Mariana",N698))),"SIM","")</f>
        <v/>
      </c>
      <c r="V698" s="92">
        <f>IF(AND(ISNUMBER(SEARCH("Espeto",N698)),ISNUMBER(SEARCH("Perdizes",N698))),"SIM","")</f>
        <v/>
      </c>
      <c r="W698" s="92">
        <f>IF(AND(ISNUMBER(SEARCH("Espeto",N698)),ISNUMBER(SEARCH("Santana",N698))),"SIM","")</f>
        <v/>
      </c>
      <c r="X698" s="92">
        <f>IF(AND(ISNUMBER(SEARCH("Espeto",N698)),ISNUMBER(SEARCH("André",N698))),"SIM","")</f>
        <v/>
      </c>
      <c r="Y698" s="92">
        <f>IF(AND(ISNUMBER(SEARCH("Delivery",N698)),ISNUMBER(SEARCH("Carin",N698))),"SIM","")</f>
        <v/>
      </c>
      <c r="Z698" s="92">
        <f>IF(AND(ISNUMBER(SEARCH("Delivery",N698)),ISNUMBER(SEARCH("Lapa",N698))),"SIM","")</f>
        <v/>
      </c>
      <c r="AA698" s="92">
        <f>IF(AND(ISNUMBER(SEARCH("Delivery",N698)),ISNUMBER(SEARCH("Tatuapé",N698))),"SIM","")</f>
        <v/>
      </c>
      <c r="AB698" s="92">
        <f>IF(AND(ISNUMBER(SEARCH("Delivery",N698)),ISNUMBER(SEARCH("Pavão",N698))),"SIM","")</f>
        <v/>
      </c>
      <c r="AC698" s="92">
        <f>IF(AND(ISNUMBER(SEARCH("Delivery",N698)),ISNUMBER(SEARCH("Chac",N698))),"SIM","")</f>
        <v/>
      </c>
      <c r="AD698" s="92">
        <f>IF(AND(ISNUMBER(SEARCH("Delivery",N698)),ISNUMBER(SEARCH("Madalena",N698))),"SIM","")</f>
        <v/>
      </c>
      <c r="AE698" s="99">
        <f>IF(AND(ISNUMBER(SEARCH("Delivery",N698)),ISNUMBER(SEARCH("Mariana",N698))),"SIM","")</f>
        <v/>
      </c>
      <c r="AF698" s="99">
        <f>IF(AND(ISNUMBER(SEARCH("Delivery",N698)),ISNUMBER(SEARCH("Perdizes",N698))),"SIM","")</f>
        <v/>
      </c>
      <c r="AG698" s="99">
        <f>IF(AND(ISNUMBER(SEARCH("Delivery",N698)),ISNUMBER(SEARCH("Santana",N698))),"SIM","")</f>
        <v/>
      </c>
      <c r="AH698" s="99">
        <f>IF(AND(ISNUMBER(SEARCH("Delivery",N698)),ISNUMBER(SEARCH("André",N698))),"SIM","")</f>
        <v/>
      </c>
      <c r="AI698" s="99">
        <f>IF(ISNUMBER(SEARCH("Interlagos",N698)),"SIM","")</f>
        <v/>
      </c>
      <c r="AJ698" s="99">
        <f>IF(ISNUMBER(SEARCH("Quiosque",N698)),"SIM","")</f>
        <v/>
      </c>
      <c r="AK698" s="101" t="n"/>
    </row>
    <row r="699">
      <c r="A699" s="88" t="inlineStr">
        <is>
          <t>Protheus</t>
        </is>
      </c>
      <c r="B699" s="89" t="inlineStr">
        <is>
          <t>001095</t>
        </is>
      </c>
      <c r="C699" s="90">
        <f>IF(B699="—","—",IFERROR(VLOOKUP(B699,_Protheus_Cadastro!$A:$B,2,FALSE),"—"))</f>
        <v/>
      </c>
      <c r="D699" s="91">
        <f>IF(B699="—",IFERROR(INDEX(_ZIG_Cadastro!$D:$D,MATCH(H699,_ZIG_Cadastro!$A:$A,0)),"Produto"),IFERROR(VLOOKUP(B699,_Protheus_Cadastro!$A:$C,3,FALSE),"—"))</f>
        <v/>
      </c>
      <c r="E699" s="91">
        <f>IF(B699="—","—",IFERROR(VLOOKUP(B699,_Protheus_Cadastro!$A:$D,4,FALSE),"—"))</f>
        <v/>
      </c>
      <c r="F699" s="91">
        <f>IF(ISERROR(VLOOKUP(B699,'Estrutura Protheus'!A:A,1,FALSE)),"Não","Sim")</f>
        <v/>
      </c>
      <c r="G699" s="92">
        <f>IFERROR(INDEX(_Protheus_Cadastro!$H:$H,MATCH(B699,_Protheus_Cadastro!$A:$A,0)),"—")</f>
        <v/>
      </c>
      <c r="H699" s="210">
        <f>IFERROR(INDEX(_ZIG_Precos!$D:$D,MATCH(I699,_ZIG_Precos!$F:$F,0)),"—")</f>
        <v/>
      </c>
      <c r="I699" s="95">
        <f>IFERROR(VLOOKUP(B699,_Protheus_Cadastro!$A:$I,9,FALSE),"—")</f>
        <v/>
      </c>
      <c r="J699" s="93">
        <f>IFERROR(INDEX(_ZIG_Cadastro!$B:$B,MATCH(I699,_ZIG_Cadastro!$A:$A,0)),IFERROR(INDEX(_Entradas_ZIG!$B:$B,MATCH(I699,_Entradas_ZIG!$C:$C,0)),"—"))</f>
        <v/>
      </c>
      <c r="K699" s="93">
        <f>IFERROR(INDEX(_ZIG_Cadastro!$C:$C,MATCH(I699,_ZIG_Cadastro!$A:$A,0)),IFERROR(INDEX(_Entradas_ZIG!$D:$D,MATCH(I699,_Entradas_ZIG!$C:$C,0)),"—"))</f>
        <v/>
      </c>
      <c r="L699" s="92">
        <f>IF(I699="","Sem SKU ZIG",IF(I699="—","Sem SKU ZIG",IF(NOT(ISERROR(MATCH(I699,_ZIG_Cadastro!$A:$A,0))),IF(EXACT(UPPER(TRIM(C699)),UPPER(TRIM(INDEX(_ZIG_Cadastro!$B:$B,MATCH(I699,_ZIG_Cadastro!$A:$A,0))))),"OK","Atencao - Nome diverge"),IF(NOT(ISERROR(MATCH(I699,_Entradas_ZIG!$C:$C,0))),"OK","Erro - SKU nao encontrado"))))</f>
        <v/>
      </c>
      <c r="M699" s="92">
        <f>IFERROR(INDEX(_ZIG_Cadastro!$G:$G,MATCH(I699,_ZIG_Cadastro!$A:$A,0)),IF(NOT(ISERROR(MATCH(I699,_Entradas_ZIG!$C:$C,0))),"Ativo","—"))</f>
        <v/>
      </c>
      <c r="N699" s="94">
        <f>IFERROR(INDEX(_ZIG_Cadastro!$E:$E,MATCH(I699,_ZIG_Cadastro!$A:$A,0)),IFERROR(INDEX(_Entradas_ZIG!$F:$F,MATCH(I699,_Entradas_ZIG!$C:$C,0)),"—"))</f>
        <v/>
      </c>
      <c r="O699" s="92">
        <f>IF(AND(ISNUMBER(SEARCH("Espeto",N699)),ISNUMBER(SEARCH("Carin",N699))),"SIM","")</f>
        <v/>
      </c>
      <c r="P699" s="92">
        <f>IF(AND(ISNUMBER(SEARCH("Espeto",N699)),ISNUMBER(SEARCH("Lapa",N699))),"SIM","")</f>
        <v/>
      </c>
      <c r="Q699" s="92">
        <f>IF(AND(ISNUMBER(SEARCH("Espeto",N699)),ISNUMBER(SEARCH("Tatuapé",N699))),"SIM","")</f>
        <v/>
      </c>
      <c r="R699" s="92">
        <f>IF(AND(ISNUMBER(SEARCH("Espeto",N699)),ISNUMBER(SEARCH("Pavão",N699))),"SIM","")</f>
        <v/>
      </c>
      <c r="S699" s="92">
        <f>IF(AND(ISNUMBER(SEARCH("Espeto",N699)),ISNUMBER(SEARCH("Chac",N699))),"SIM","")</f>
        <v/>
      </c>
      <c r="T699" s="92">
        <f>IF(AND(ISNUMBER(SEARCH("Espeto",N699)),ISNUMBER(SEARCH("Madalena",N699))),"SIM","")</f>
        <v/>
      </c>
      <c r="U699" s="92">
        <f>IF(AND(ISNUMBER(SEARCH("Espeto",N699)),ISNUMBER(SEARCH("Mariana",N699))),"SIM","")</f>
        <v/>
      </c>
      <c r="V699" s="92">
        <f>IF(AND(ISNUMBER(SEARCH("Espeto",N699)),ISNUMBER(SEARCH("Perdizes",N699))),"SIM","")</f>
        <v/>
      </c>
      <c r="W699" s="92">
        <f>IF(AND(ISNUMBER(SEARCH("Espeto",N699)),ISNUMBER(SEARCH("Santana",N699))),"SIM","")</f>
        <v/>
      </c>
      <c r="X699" s="92">
        <f>IF(AND(ISNUMBER(SEARCH("Espeto",N699)),ISNUMBER(SEARCH("André",N699))),"SIM","")</f>
        <v/>
      </c>
      <c r="Y699" s="92">
        <f>IF(AND(ISNUMBER(SEARCH("Delivery",N699)),ISNUMBER(SEARCH("Carin",N699))),"SIM","")</f>
        <v/>
      </c>
      <c r="Z699" s="92">
        <f>IF(AND(ISNUMBER(SEARCH("Delivery",N699)),ISNUMBER(SEARCH("Lapa",N699))),"SIM","")</f>
        <v/>
      </c>
      <c r="AA699" s="92">
        <f>IF(AND(ISNUMBER(SEARCH("Delivery",N699)),ISNUMBER(SEARCH("Tatuapé",N699))),"SIM","")</f>
        <v/>
      </c>
      <c r="AB699" s="92">
        <f>IF(AND(ISNUMBER(SEARCH("Delivery",N699)),ISNUMBER(SEARCH("Pavão",N699))),"SIM","")</f>
        <v/>
      </c>
      <c r="AC699" s="92">
        <f>IF(AND(ISNUMBER(SEARCH("Delivery",N699)),ISNUMBER(SEARCH("Chac",N699))),"SIM","")</f>
        <v/>
      </c>
      <c r="AD699" s="92">
        <f>IF(AND(ISNUMBER(SEARCH("Delivery",N699)),ISNUMBER(SEARCH("Madalena",N699))),"SIM","")</f>
        <v/>
      </c>
      <c r="AE699" s="99">
        <f>IF(AND(ISNUMBER(SEARCH("Delivery",N699)),ISNUMBER(SEARCH("Mariana",N699))),"SIM","")</f>
        <v/>
      </c>
      <c r="AF699" s="99">
        <f>IF(AND(ISNUMBER(SEARCH("Delivery",N699)),ISNUMBER(SEARCH("Perdizes",N699))),"SIM","")</f>
        <v/>
      </c>
      <c r="AG699" s="99">
        <f>IF(AND(ISNUMBER(SEARCH("Delivery",N699)),ISNUMBER(SEARCH("Santana",N699))),"SIM","")</f>
        <v/>
      </c>
      <c r="AH699" s="99">
        <f>IF(AND(ISNUMBER(SEARCH("Delivery",N699)),ISNUMBER(SEARCH("André",N699))),"SIM","")</f>
        <v/>
      </c>
      <c r="AI699" s="99">
        <f>IF(ISNUMBER(SEARCH("Interlagos",N699)),"SIM","")</f>
        <v/>
      </c>
      <c r="AJ699" s="99">
        <f>IF(ISNUMBER(SEARCH("Quiosque",N699)),"SIM","")</f>
        <v/>
      </c>
      <c r="AK699" s="101" t="n"/>
    </row>
    <row r="700">
      <c r="A700" s="88" t="inlineStr">
        <is>
          <t>Protheus</t>
        </is>
      </c>
      <c r="B700" s="89" t="inlineStr">
        <is>
          <t>001098</t>
        </is>
      </c>
      <c r="C700" s="90">
        <f>IF(B700="—","—",IFERROR(VLOOKUP(B700,_Protheus_Cadastro!$A:$B,2,FALSE),"—"))</f>
        <v/>
      </c>
      <c r="D700" s="91">
        <f>IF(B700="—",IFERROR(INDEX(_ZIG_Cadastro!$D:$D,MATCH(H700,_ZIG_Cadastro!$A:$A,0)),"Produto"),IFERROR(VLOOKUP(B700,_Protheus_Cadastro!$A:$C,3,FALSE),"—"))</f>
        <v/>
      </c>
      <c r="E700" s="91">
        <f>IF(B700="—","—",IFERROR(VLOOKUP(B700,_Protheus_Cadastro!$A:$D,4,FALSE),"—"))</f>
        <v/>
      </c>
      <c r="F700" s="91">
        <f>IF(ISERROR(VLOOKUP(B700,'Estrutura Protheus'!A:A,1,FALSE)),"Não","Sim")</f>
        <v/>
      </c>
      <c r="G700" s="92">
        <f>IFERROR(INDEX(_Protheus_Cadastro!$H:$H,MATCH(B700,_Protheus_Cadastro!$A:$A,0)),"—")</f>
        <v/>
      </c>
      <c r="H700" s="210">
        <f>IFERROR(INDEX(_ZIG_Precos!$D:$D,MATCH(I700,_ZIG_Precos!$F:$F,0)),"—")</f>
        <v/>
      </c>
      <c r="I700" s="95">
        <f>IFERROR(VLOOKUP(B700,_Protheus_Cadastro!$A:$I,9,FALSE),"—")</f>
        <v/>
      </c>
      <c r="J700" s="93">
        <f>IFERROR(INDEX(_ZIG_Cadastro!$B:$B,MATCH(I700,_ZIG_Cadastro!$A:$A,0)),IFERROR(INDEX(_Entradas_ZIG!$B:$B,MATCH(I700,_Entradas_ZIG!$C:$C,0)),"—"))</f>
        <v/>
      </c>
      <c r="K700" s="93">
        <f>IFERROR(INDEX(_ZIG_Cadastro!$C:$C,MATCH(I700,_ZIG_Cadastro!$A:$A,0)),IFERROR(INDEX(_Entradas_ZIG!$D:$D,MATCH(I700,_Entradas_ZIG!$C:$C,0)),"—"))</f>
        <v/>
      </c>
      <c r="L700" s="92">
        <f>IF(I700="","Sem SKU ZIG",IF(I700="—","Sem SKU ZIG",IF(NOT(ISERROR(MATCH(I700,_ZIG_Cadastro!$A:$A,0))),IF(EXACT(UPPER(TRIM(C700)),UPPER(TRIM(INDEX(_ZIG_Cadastro!$B:$B,MATCH(I700,_ZIG_Cadastro!$A:$A,0))))),"OK","Atencao - Nome diverge"),IF(NOT(ISERROR(MATCH(I700,_Entradas_ZIG!$C:$C,0))),"OK","Erro - SKU nao encontrado"))))</f>
        <v/>
      </c>
      <c r="M700" s="92">
        <f>IFERROR(INDEX(_ZIG_Cadastro!$G:$G,MATCH(I700,_ZIG_Cadastro!$A:$A,0)),IF(NOT(ISERROR(MATCH(I700,_Entradas_ZIG!$C:$C,0))),"Ativo","—"))</f>
        <v/>
      </c>
      <c r="N700" s="94">
        <f>IFERROR(INDEX(_ZIG_Cadastro!$E:$E,MATCH(I700,_ZIG_Cadastro!$A:$A,0)),IFERROR(INDEX(_Entradas_ZIG!$F:$F,MATCH(I700,_Entradas_ZIG!$C:$C,0)),"—"))</f>
        <v/>
      </c>
      <c r="O700" s="92">
        <f>IF(AND(ISNUMBER(SEARCH("Espeto",N700)),ISNUMBER(SEARCH("Carin",N700))),"SIM","")</f>
        <v/>
      </c>
      <c r="P700" s="92">
        <f>IF(AND(ISNUMBER(SEARCH("Espeto",N700)),ISNUMBER(SEARCH("Lapa",N700))),"SIM","")</f>
        <v/>
      </c>
      <c r="Q700" s="92">
        <f>IF(AND(ISNUMBER(SEARCH("Espeto",N700)),ISNUMBER(SEARCH("Tatuapé",N700))),"SIM","")</f>
        <v/>
      </c>
      <c r="R700" s="92">
        <f>IF(AND(ISNUMBER(SEARCH("Espeto",N700)),ISNUMBER(SEARCH("Pavão",N700))),"SIM","")</f>
        <v/>
      </c>
      <c r="S700" s="92">
        <f>IF(AND(ISNUMBER(SEARCH("Espeto",N700)),ISNUMBER(SEARCH("Chac",N700))),"SIM","")</f>
        <v/>
      </c>
      <c r="T700" s="92">
        <f>IF(AND(ISNUMBER(SEARCH("Espeto",N700)),ISNUMBER(SEARCH("Madalena",N700))),"SIM","")</f>
        <v/>
      </c>
      <c r="U700" s="92">
        <f>IF(AND(ISNUMBER(SEARCH("Espeto",N700)),ISNUMBER(SEARCH("Mariana",N700))),"SIM","")</f>
        <v/>
      </c>
      <c r="V700" s="92">
        <f>IF(AND(ISNUMBER(SEARCH("Espeto",N700)),ISNUMBER(SEARCH("Perdizes",N700))),"SIM","")</f>
        <v/>
      </c>
      <c r="W700" s="92">
        <f>IF(AND(ISNUMBER(SEARCH("Espeto",N700)),ISNUMBER(SEARCH("Santana",N700))),"SIM","")</f>
        <v/>
      </c>
      <c r="X700" s="92">
        <f>IF(AND(ISNUMBER(SEARCH("Espeto",N700)),ISNUMBER(SEARCH("André",N700))),"SIM","")</f>
        <v/>
      </c>
      <c r="Y700" s="92">
        <f>IF(AND(ISNUMBER(SEARCH("Delivery",N700)),ISNUMBER(SEARCH("Carin",N700))),"SIM","")</f>
        <v/>
      </c>
      <c r="Z700" s="92">
        <f>IF(AND(ISNUMBER(SEARCH("Delivery",N700)),ISNUMBER(SEARCH("Lapa",N700))),"SIM","")</f>
        <v/>
      </c>
      <c r="AA700" s="92">
        <f>IF(AND(ISNUMBER(SEARCH("Delivery",N700)),ISNUMBER(SEARCH("Tatuapé",N700))),"SIM","")</f>
        <v/>
      </c>
      <c r="AB700" s="92">
        <f>IF(AND(ISNUMBER(SEARCH("Delivery",N700)),ISNUMBER(SEARCH("Pavão",N700))),"SIM","")</f>
        <v/>
      </c>
      <c r="AC700" s="92">
        <f>IF(AND(ISNUMBER(SEARCH("Delivery",N700)),ISNUMBER(SEARCH("Chac",N700))),"SIM","")</f>
        <v/>
      </c>
      <c r="AD700" s="92">
        <f>IF(AND(ISNUMBER(SEARCH("Delivery",N700)),ISNUMBER(SEARCH("Madalena",N700))),"SIM","")</f>
        <v/>
      </c>
      <c r="AE700" s="99">
        <f>IF(AND(ISNUMBER(SEARCH("Delivery",N700)),ISNUMBER(SEARCH("Mariana",N700))),"SIM","")</f>
        <v/>
      </c>
      <c r="AF700" s="99">
        <f>IF(AND(ISNUMBER(SEARCH("Delivery",N700)),ISNUMBER(SEARCH("Perdizes",N700))),"SIM","")</f>
        <v/>
      </c>
      <c r="AG700" s="99">
        <f>IF(AND(ISNUMBER(SEARCH("Delivery",N700)),ISNUMBER(SEARCH("Santana",N700))),"SIM","")</f>
        <v/>
      </c>
      <c r="AH700" s="99">
        <f>IF(AND(ISNUMBER(SEARCH("Delivery",N700)),ISNUMBER(SEARCH("André",N700))),"SIM","")</f>
        <v/>
      </c>
      <c r="AI700" s="99">
        <f>IF(ISNUMBER(SEARCH("Interlagos",N700)),"SIM","")</f>
        <v/>
      </c>
      <c r="AJ700" s="99">
        <f>IF(ISNUMBER(SEARCH("Quiosque",N700)),"SIM","")</f>
        <v/>
      </c>
      <c r="AK700" s="101" t="n"/>
    </row>
    <row r="701">
      <c r="A701" s="88" t="inlineStr">
        <is>
          <t>Protheus</t>
        </is>
      </c>
      <c r="B701" s="89" t="inlineStr">
        <is>
          <t>001099</t>
        </is>
      </c>
      <c r="C701" s="90">
        <f>IF(B701="—","—",IFERROR(VLOOKUP(B701,_Protheus_Cadastro!$A:$B,2,FALSE),"—"))</f>
        <v/>
      </c>
      <c r="D701" s="91">
        <f>IF(B701="—",IFERROR(INDEX(_ZIG_Cadastro!$D:$D,MATCH(H701,_ZIG_Cadastro!$A:$A,0)),"Produto"),IFERROR(VLOOKUP(B701,_Protheus_Cadastro!$A:$C,3,FALSE),"—"))</f>
        <v/>
      </c>
      <c r="E701" s="91">
        <f>IF(B701="—","—",IFERROR(VLOOKUP(B701,_Protheus_Cadastro!$A:$D,4,FALSE),"—"))</f>
        <v/>
      </c>
      <c r="F701" s="91">
        <f>IF(ISERROR(VLOOKUP(B701,'Estrutura Protheus'!A:A,1,FALSE)),"Não","Sim")</f>
        <v/>
      </c>
      <c r="G701" s="92">
        <f>IFERROR(INDEX(_Protheus_Cadastro!$H:$H,MATCH(B701,_Protheus_Cadastro!$A:$A,0)),"—")</f>
        <v/>
      </c>
      <c r="H701" s="210">
        <f>IFERROR(INDEX(_ZIG_Precos!$D:$D,MATCH(I701,_ZIG_Precos!$F:$F,0)),"—")</f>
        <v/>
      </c>
      <c r="I701" s="95">
        <f>IFERROR(VLOOKUP(B701,_Protheus_Cadastro!$A:$I,9,FALSE),"—")</f>
        <v/>
      </c>
      <c r="J701" s="93">
        <f>IFERROR(INDEX(_ZIG_Cadastro!$B:$B,MATCH(I701,_ZIG_Cadastro!$A:$A,0)),IFERROR(INDEX(_Entradas_ZIG!$B:$B,MATCH(I701,_Entradas_ZIG!$C:$C,0)),"—"))</f>
        <v/>
      </c>
      <c r="K701" s="93">
        <f>IFERROR(INDEX(_ZIG_Cadastro!$C:$C,MATCH(I701,_ZIG_Cadastro!$A:$A,0)),IFERROR(INDEX(_Entradas_ZIG!$D:$D,MATCH(I701,_Entradas_ZIG!$C:$C,0)),"—"))</f>
        <v/>
      </c>
      <c r="L701" s="92">
        <f>IF(I701="","Sem SKU ZIG",IF(I701="—","Sem SKU ZIG",IF(NOT(ISERROR(MATCH(I701,_ZIG_Cadastro!$A:$A,0))),IF(EXACT(UPPER(TRIM(C701)),UPPER(TRIM(INDEX(_ZIG_Cadastro!$B:$B,MATCH(I701,_ZIG_Cadastro!$A:$A,0))))),"OK","Atencao - Nome diverge"),IF(NOT(ISERROR(MATCH(I701,_Entradas_ZIG!$C:$C,0))),"OK","Erro - SKU nao encontrado"))))</f>
        <v/>
      </c>
      <c r="M701" s="92">
        <f>IFERROR(INDEX(_ZIG_Cadastro!$G:$G,MATCH(I701,_ZIG_Cadastro!$A:$A,0)),IF(NOT(ISERROR(MATCH(I701,_Entradas_ZIG!$C:$C,0))),"Ativo","—"))</f>
        <v/>
      </c>
      <c r="N701" s="94">
        <f>IFERROR(INDEX(_ZIG_Cadastro!$E:$E,MATCH(I701,_ZIG_Cadastro!$A:$A,0)),IFERROR(INDEX(_Entradas_ZIG!$F:$F,MATCH(I701,_Entradas_ZIG!$C:$C,0)),"—"))</f>
        <v/>
      </c>
      <c r="O701" s="92">
        <f>IF(AND(ISNUMBER(SEARCH("Espeto",N701)),ISNUMBER(SEARCH("Carin",N701))),"SIM","")</f>
        <v/>
      </c>
      <c r="P701" s="92">
        <f>IF(AND(ISNUMBER(SEARCH("Espeto",N701)),ISNUMBER(SEARCH("Lapa",N701))),"SIM","")</f>
        <v/>
      </c>
      <c r="Q701" s="92">
        <f>IF(AND(ISNUMBER(SEARCH("Espeto",N701)),ISNUMBER(SEARCH("Tatuapé",N701))),"SIM","")</f>
        <v/>
      </c>
      <c r="R701" s="92">
        <f>IF(AND(ISNUMBER(SEARCH("Espeto",N701)),ISNUMBER(SEARCH("Pavão",N701))),"SIM","")</f>
        <v/>
      </c>
      <c r="S701" s="92">
        <f>IF(AND(ISNUMBER(SEARCH("Espeto",N701)),ISNUMBER(SEARCH("Chac",N701))),"SIM","")</f>
        <v/>
      </c>
      <c r="T701" s="92">
        <f>IF(AND(ISNUMBER(SEARCH("Espeto",N701)),ISNUMBER(SEARCH("Madalena",N701))),"SIM","")</f>
        <v/>
      </c>
      <c r="U701" s="92">
        <f>IF(AND(ISNUMBER(SEARCH("Espeto",N701)),ISNUMBER(SEARCH("Mariana",N701))),"SIM","")</f>
        <v/>
      </c>
      <c r="V701" s="92">
        <f>IF(AND(ISNUMBER(SEARCH("Espeto",N701)),ISNUMBER(SEARCH("Perdizes",N701))),"SIM","")</f>
        <v/>
      </c>
      <c r="W701" s="92">
        <f>IF(AND(ISNUMBER(SEARCH("Espeto",N701)),ISNUMBER(SEARCH("Santana",N701))),"SIM","")</f>
        <v/>
      </c>
      <c r="X701" s="92">
        <f>IF(AND(ISNUMBER(SEARCH("Espeto",N701)),ISNUMBER(SEARCH("André",N701))),"SIM","")</f>
        <v/>
      </c>
      <c r="Y701" s="92">
        <f>IF(AND(ISNUMBER(SEARCH("Delivery",N701)),ISNUMBER(SEARCH("Carin",N701))),"SIM","")</f>
        <v/>
      </c>
      <c r="Z701" s="92">
        <f>IF(AND(ISNUMBER(SEARCH("Delivery",N701)),ISNUMBER(SEARCH("Lapa",N701))),"SIM","")</f>
        <v/>
      </c>
      <c r="AA701" s="92">
        <f>IF(AND(ISNUMBER(SEARCH("Delivery",N701)),ISNUMBER(SEARCH("Tatuapé",N701))),"SIM","")</f>
        <v/>
      </c>
      <c r="AB701" s="92">
        <f>IF(AND(ISNUMBER(SEARCH("Delivery",N701)),ISNUMBER(SEARCH("Pavão",N701))),"SIM","")</f>
        <v/>
      </c>
      <c r="AC701" s="92">
        <f>IF(AND(ISNUMBER(SEARCH("Delivery",N701)),ISNUMBER(SEARCH("Chac",N701))),"SIM","")</f>
        <v/>
      </c>
      <c r="AD701" s="92">
        <f>IF(AND(ISNUMBER(SEARCH("Delivery",N701)),ISNUMBER(SEARCH("Madalena",N701))),"SIM","")</f>
        <v/>
      </c>
      <c r="AE701" s="99">
        <f>IF(AND(ISNUMBER(SEARCH("Delivery",N701)),ISNUMBER(SEARCH("Mariana",N701))),"SIM","")</f>
        <v/>
      </c>
      <c r="AF701" s="99">
        <f>IF(AND(ISNUMBER(SEARCH("Delivery",N701)),ISNUMBER(SEARCH("Perdizes",N701))),"SIM","")</f>
        <v/>
      </c>
      <c r="AG701" s="99">
        <f>IF(AND(ISNUMBER(SEARCH("Delivery",N701)),ISNUMBER(SEARCH("Santana",N701))),"SIM","")</f>
        <v/>
      </c>
      <c r="AH701" s="99">
        <f>IF(AND(ISNUMBER(SEARCH("Delivery",N701)),ISNUMBER(SEARCH("André",N701))),"SIM","")</f>
        <v/>
      </c>
      <c r="AI701" s="99">
        <f>IF(ISNUMBER(SEARCH("Interlagos",N701)),"SIM","")</f>
        <v/>
      </c>
      <c r="AJ701" s="99">
        <f>IF(ISNUMBER(SEARCH("Quiosque",N701)),"SIM","")</f>
        <v/>
      </c>
      <c r="AK701" s="101" t="n"/>
    </row>
    <row r="702">
      <c r="A702" s="88" t="inlineStr">
        <is>
          <t>Protheus</t>
        </is>
      </c>
      <c r="B702" s="89" t="inlineStr">
        <is>
          <t>001102</t>
        </is>
      </c>
      <c r="C702" s="90">
        <f>IF(B702="—","—",IFERROR(VLOOKUP(B702,_Protheus_Cadastro!$A:$B,2,FALSE),"—"))</f>
        <v/>
      </c>
      <c r="D702" s="91">
        <f>IF(B702="—",IFERROR(INDEX(_ZIG_Cadastro!$D:$D,MATCH(H702,_ZIG_Cadastro!$A:$A,0)),"Produto"),IFERROR(VLOOKUP(B702,_Protheus_Cadastro!$A:$C,3,FALSE),"—"))</f>
        <v/>
      </c>
      <c r="E702" s="91">
        <f>IF(B702="—","—",IFERROR(VLOOKUP(B702,_Protheus_Cadastro!$A:$D,4,FALSE),"—"))</f>
        <v/>
      </c>
      <c r="F702" s="91">
        <f>IF(ISERROR(VLOOKUP(B702,'Estrutura Protheus'!A:A,1,FALSE)),"Não","Sim")</f>
        <v/>
      </c>
      <c r="G702" s="92">
        <f>IFERROR(INDEX(_Protheus_Cadastro!$H:$H,MATCH(B702,_Protheus_Cadastro!$A:$A,0)),"—")</f>
        <v/>
      </c>
      <c r="H702" s="210">
        <f>IFERROR(INDEX(_ZIG_Precos!$D:$D,MATCH(I702,_ZIG_Precos!$F:$F,0)),"—")</f>
        <v/>
      </c>
      <c r="I702" s="95">
        <f>IFERROR(VLOOKUP(B702,_Protheus_Cadastro!$A:$I,9,FALSE),"—")</f>
        <v/>
      </c>
      <c r="J702" s="93">
        <f>IFERROR(INDEX(_ZIG_Cadastro!$B:$B,MATCH(I702,_ZIG_Cadastro!$A:$A,0)),IFERROR(INDEX(_Entradas_ZIG!$B:$B,MATCH(I702,_Entradas_ZIG!$C:$C,0)),"—"))</f>
        <v/>
      </c>
      <c r="K702" s="93">
        <f>IFERROR(INDEX(_ZIG_Cadastro!$C:$C,MATCH(I702,_ZIG_Cadastro!$A:$A,0)),IFERROR(INDEX(_Entradas_ZIG!$D:$D,MATCH(I702,_Entradas_ZIG!$C:$C,0)),"—"))</f>
        <v/>
      </c>
      <c r="L702" s="92">
        <f>IF(I702="","Sem SKU ZIG",IF(I702="—","Sem SKU ZIG",IF(NOT(ISERROR(MATCH(I702,_ZIG_Cadastro!$A:$A,0))),IF(EXACT(UPPER(TRIM(C702)),UPPER(TRIM(INDEX(_ZIG_Cadastro!$B:$B,MATCH(I702,_ZIG_Cadastro!$A:$A,0))))),"OK","Atencao - Nome diverge"),IF(NOT(ISERROR(MATCH(I702,_Entradas_ZIG!$C:$C,0))),"OK","Erro - SKU nao encontrado"))))</f>
        <v/>
      </c>
      <c r="M702" s="92">
        <f>IFERROR(INDEX(_ZIG_Cadastro!$G:$G,MATCH(I702,_ZIG_Cadastro!$A:$A,0)),IF(NOT(ISERROR(MATCH(I702,_Entradas_ZIG!$C:$C,0))),"Ativo","—"))</f>
        <v/>
      </c>
      <c r="N702" s="94">
        <f>IFERROR(INDEX(_ZIG_Cadastro!$E:$E,MATCH(I702,_ZIG_Cadastro!$A:$A,0)),IFERROR(INDEX(_Entradas_ZIG!$F:$F,MATCH(I702,_Entradas_ZIG!$C:$C,0)),"—"))</f>
        <v/>
      </c>
      <c r="O702" s="92">
        <f>IF(AND(ISNUMBER(SEARCH("Espeto",N702)),ISNUMBER(SEARCH("Carin",N702))),"SIM","")</f>
        <v/>
      </c>
      <c r="P702" s="92">
        <f>IF(AND(ISNUMBER(SEARCH("Espeto",N702)),ISNUMBER(SEARCH("Lapa",N702))),"SIM","")</f>
        <v/>
      </c>
      <c r="Q702" s="92">
        <f>IF(AND(ISNUMBER(SEARCH("Espeto",N702)),ISNUMBER(SEARCH("Tatuapé",N702))),"SIM","")</f>
        <v/>
      </c>
      <c r="R702" s="92">
        <f>IF(AND(ISNUMBER(SEARCH("Espeto",N702)),ISNUMBER(SEARCH("Pavão",N702))),"SIM","")</f>
        <v/>
      </c>
      <c r="S702" s="92">
        <f>IF(AND(ISNUMBER(SEARCH("Espeto",N702)),ISNUMBER(SEARCH("Chac",N702))),"SIM","")</f>
        <v/>
      </c>
      <c r="T702" s="92">
        <f>IF(AND(ISNUMBER(SEARCH("Espeto",N702)),ISNUMBER(SEARCH("Madalena",N702))),"SIM","")</f>
        <v/>
      </c>
      <c r="U702" s="92">
        <f>IF(AND(ISNUMBER(SEARCH("Espeto",N702)),ISNUMBER(SEARCH("Mariana",N702))),"SIM","")</f>
        <v/>
      </c>
      <c r="V702" s="92">
        <f>IF(AND(ISNUMBER(SEARCH("Espeto",N702)),ISNUMBER(SEARCH("Perdizes",N702))),"SIM","")</f>
        <v/>
      </c>
      <c r="W702" s="92">
        <f>IF(AND(ISNUMBER(SEARCH("Espeto",N702)),ISNUMBER(SEARCH("Santana",N702))),"SIM","")</f>
        <v/>
      </c>
      <c r="X702" s="92">
        <f>IF(AND(ISNUMBER(SEARCH("Espeto",N702)),ISNUMBER(SEARCH("André",N702))),"SIM","")</f>
        <v/>
      </c>
      <c r="Y702" s="92">
        <f>IF(AND(ISNUMBER(SEARCH("Delivery",N702)),ISNUMBER(SEARCH("Carin",N702))),"SIM","")</f>
        <v/>
      </c>
      <c r="Z702" s="92">
        <f>IF(AND(ISNUMBER(SEARCH("Delivery",N702)),ISNUMBER(SEARCH("Lapa",N702))),"SIM","")</f>
        <v/>
      </c>
      <c r="AA702" s="92">
        <f>IF(AND(ISNUMBER(SEARCH("Delivery",N702)),ISNUMBER(SEARCH("Tatuapé",N702))),"SIM","")</f>
        <v/>
      </c>
      <c r="AB702" s="92">
        <f>IF(AND(ISNUMBER(SEARCH("Delivery",N702)),ISNUMBER(SEARCH("Pavão",N702))),"SIM","")</f>
        <v/>
      </c>
      <c r="AC702" s="92">
        <f>IF(AND(ISNUMBER(SEARCH("Delivery",N702)),ISNUMBER(SEARCH("Chac",N702))),"SIM","")</f>
        <v/>
      </c>
      <c r="AD702" s="92">
        <f>IF(AND(ISNUMBER(SEARCH("Delivery",N702)),ISNUMBER(SEARCH("Madalena",N702))),"SIM","")</f>
        <v/>
      </c>
      <c r="AE702" s="99">
        <f>IF(AND(ISNUMBER(SEARCH("Delivery",N702)),ISNUMBER(SEARCH("Mariana",N702))),"SIM","")</f>
        <v/>
      </c>
      <c r="AF702" s="99">
        <f>IF(AND(ISNUMBER(SEARCH("Delivery",N702)),ISNUMBER(SEARCH("Perdizes",N702))),"SIM","")</f>
        <v/>
      </c>
      <c r="AG702" s="99">
        <f>IF(AND(ISNUMBER(SEARCH("Delivery",N702)),ISNUMBER(SEARCH("Santana",N702))),"SIM","")</f>
        <v/>
      </c>
      <c r="AH702" s="99">
        <f>IF(AND(ISNUMBER(SEARCH("Delivery",N702)),ISNUMBER(SEARCH("André",N702))),"SIM","")</f>
        <v/>
      </c>
      <c r="AI702" s="99">
        <f>IF(ISNUMBER(SEARCH("Interlagos",N702)),"SIM","")</f>
        <v/>
      </c>
      <c r="AJ702" s="99">
        <f>IF(ISNUMBER(SEARCH("Quiosque",N702)),"SIM","")</f>
        <v/>
      </c>
      <c r="AK702" s="101" t="n"/>
    </row>
    <row r="703">
      <c r="A703" s="88" t="inlineStr">
        <is>
          <t>Protheus</t>
        </is>
      </c>
      <c r="B703" s="89" t="inlineStr">
        <is>
          <t>001103</t>
        </is>
      </c>
      <c r="C703" s="90">
        <f>IF(B703="—","—",IFERROR(VLOOKUP(B703,_Protheus_Cadastro!$A:$B,2,FALSE),"—"))</f>
        <v/>
      </c>
      <c r="D703" s="91">
        <f>IF(B703="—",IFERROR(INDEX(_ZIG_Cadastro!$D:$D,MATCH(H703,_ZIG_Cadastro!$A:$A,0)),"Produto"),IFERROR(VLOOKUP(B703,_Protheus_Cadastro!$A:$C,3,FALSE),"—"))</f>
        <v/>
      </c>
      <c r="E703" s="91">
        <f>IF(B703="—","—",IFERROR(VLOOKUP(B703,_Protheus_Cadastro!$A:$D,4,FALSE),"—"))</f>
        <v/>
      </c>
      <c r="F703" s="91">
        <f>IF(ISERROR(VLOOKUP(B703,'Estrutura Protheus'!A:A,1,FALSE)),"Não","Sim")</f>
        <v/>
      </c>
      <c r="G703" s="92">
        <f>IFERROR(INDEX(_Protheus_Cadastro!$H:$H,MATCH(B703,_Protheus_Cadastro!$A:$A,0)),"—")</f>
        <v/>
      </c>
      <c r="H703" s="210">
        <f>IFERROR(INDEX(_ZIG_Precos!$D:$D,MATCH(I703,_ZIG_Precos!$F:$F,0)),"—")</f>
        <v/>
      </c>
      <c r="I703" s="95">
        <f>IFERROR(VLOOKUP(B703,_Protheus_Cadastro!$A:$I,9,FALSE),"—")</f>
        <v/>
      </c>
      <c r="J703" s="93">
        <f>IFERROR(INDEX(_ZIG_Cadastro!$B:$B,MATCH(I703,_ZIG_Cadastro!$A:$A,0)),IFERROR(INDEX(_Entradas_ZIG!$B:$B,MATCH(I703,_Entradas_ZIG!$C:$C,0)),"—"))</f>
        <v/>
      </c>
      <c r="K703" s="93">
        <f>IFERROR(INDEX(_ZIG_Cadastro!$C:$C,MATCH(I703,_ZIG_Cadastro!$A:$A,0)),IFERROR(INDEX(_Entradas_ZIG!$D:$D,MATCH(I703,_Entradas_ZIG!$C:$C,0)),"—"))</f>
        <v/>
      </c>
      <c r="L703" s="92">
        <f>IF(I703="","Sem SKU ZIG",IF(I703="—","Sem SKU ZIG",IF(NOT(ISERROR(MATCH(I703,_ZIG_Cadastro!$A:$A,0))),IF(EXACT(UPPER(TRIM(C703)),UPPER(TRIM(INDEX(_ZIG_Cadastro!$B:$B,MATCH(I703,_ZIG_Cadastro!$A:$A,0))))),"OK","Atencao - Nome diverge"),IF(NOT(ISERROR(MATCH(I703,_Entradas_ZIG!$C:$C,0))),"OK","Erro - SKU nao encontrado"))))</f>
        <v/>
      </c>
      <c r="M703" s="92">
        <f>IFERROR(INDEX(_ZIG_Cadastro!$G:$G,MATCH(I703,_ZIG_Cadastro!$A:$A,0)),IF(NOT(ISERROR(MATCH(I703,_Entradas_ZIG!$C:$C,0))),"Ativo","—"))</f>
        <v/>
      </c>
      <c r="N703" s="94">
        <f>IFERROR(INDEX(_ZIG_Cadastro!$E:$E,MATCH(I703,_ZIG_Cadastro!$A:$A,0)),IFERROR(INDEX(_Entradas_ZIG!$F:$F,MATCH(I703,_Entradas_ZIG!$C:$C,0)),"—"))</f>
        <v/>
      </c>
      <c r="O703" s="92">
        <f>IF(AND(ISNUMBER(SEARCH("Espeto",N703)),ISNUMBER(SEARCH("Carin",N703))),"SIM","")</f>
        <v/>
      </c>
      <c r="P703" s="92">
        <f>IF(AND(ISNUMBER(SEARCH("Espeto",N703)),ISNUMBER(SEARCH("Lapa",N703))),"SIM","")</f>
        <v/>
      </c>
      <c r="Q703" s="92">
        <f>IF(AND(ISNUMBER(SEARCH("Espeto",N703)),ISNUMBER(SEARCH("Tatuapé",N703))),"SIM","")</f>
        <v/>
      </c>
      <c r="R703" s="92">
        <f>IF(AND(ISNUMBER(SEARCH("Espeto",N703)),ISNUMBER(SEARCH("Pavão",N703))),"SIM","")</f>
        <v/>
      </c>
      <c r="S703" s="92">
        <f>IF(AND(ISNUMBER(SEARCH("Espeto",N703)),ISNUMBER(SEARCH("Chac",N703))),"SIM","")</f>
        <v/>
      </c>
      <c r="T703" s="92">
        <f>IF(AND(ISNUMBER(SEARCH("Espeto",N703)),ISNUMBER(SEARCH("Madalena",N703))),"SIM","")</f>
        <v/>
      </c>
      <c r="U703" s="92">
        <f>IF(AND(ISNUMBER(SEARCH("Espeto",N703)),ISNUMBER(SEARCH("Mariana",N703))),"SIM","")</f>
        <v/>
      </c>
      <c r="V703" s="92">
        <f>IF(AND(ISNUMBER(SEARCH("Espeto",N703)),ISNUMBER(SEARCH("Perdizes",N703))),"SIM","")</f>
        <v/>
      </c>
      <c r="W703" s="92">
        <f>IF(AND(ISNUMBER(SEARCH("Espeto",N703)),ISNUMBER(SEARCH("Santana",N703))),"SIM","")</f>
        <v/>
      </c>
      <c r="X703" s="92">
        <f>IF(AND(ISNUMBER(SEARCH("Espeto",N703)),ISNUMBER(SEARCH("André",N703))),"SIM","")</f>
        <v/>
      </c>
      <c r="Y703" s="92">
        <f>IF(AND(ISNUMBER(SEARCH("Delivery",N703)),ISNUMBER(SEARCH("Carin",N703))),"SIM","")</f>
        <v/>
      </c>
      <c r="Z703" s="92">
        <f>IF(AND(ISNUMBER(SEARCH("Delivery",N703)),ISNUMBER(SEARCH("Lapa",N703))),"SIM","")</f>
        <v/>
      </c>
      <c r="AA703" s="92">
        <f>IF(AND(ISNUMBER(SEARCH("Delivery",N703)),ISNUMBER(SEARCH("Tatuapé",N703))),"SIM","")</f>
        <v/>
      </c>
      <c r="AB703" s="92">
        <f>IF(AND(ISNUMBER(SEARCH("Delivery",N703)),ISNUMBER(SEARCH("Pavão",N703))),"SIM","")</f>
        <v/>
      </c>
      <c r="AC703" s="92">
        <f>IF(AND(ISNUMBER(SEARCH("Delivery",N703)),ISNUMBER(SEARCH("Chac",N703))),"SIM","")</f>
        <v/>
      </c>
      <c r="AD703" s="92">
        <f>IF(AND(ISNUMBER(SEARCH("Delivery",N703)),ISNUMBER(SEARCH("Madalena",N703))),"SIM","")</f>
        <v/>
      </c>
      <c r="AE703" s="99">
        <f>IF(AND(ISNUMBER(SEARCH("Delivery",N703)),ISNUMBER(SEARCH("Mariana",N703))),"SIM","")</f>
        <v/>
      </c>
      <c r="AF703" s="99">
        <f>IF(AND(ISNUMBER(SEARCH("Delivery",N703)),ISNUMBER(SEARCH("Perdizes",N703))),"SIM","")</f>
        <v/>
      </c>
      <c r="AG703" s="99">
        <f>IF(AND(ISNUMBER(SEARCH("Delivery",N703)),ISNUMBER(SEARCH("Santana",N703))),"SIM","")</f>
        <v/>
      </c>
      <c r="AH703" s="99">
        <f>IF(AND(ISNUMBER(SEARCH("Delivery",N703)),ISNUMBER(SEARCH("André",N703))),"SIM","")</f>
        <v/>
      </c>
      <c r="AI703" s="99">
        <f>IF(ISNUMBER(SEARCH("Interlagos",N703)),"SIM","")</f>
        <v/>
      </c>
      <c r="AJ703" s="99">
        <f>IF(ISNUMBER(SEARCH("Quiosque",N703)),"SIM","")</f>
        <v/>
      </c>
      <c r="AK703" s="101" t="n"/>
    </row>
    <row r="704">
      <c r="A704" s="88" t="inlineStr">
        <is>
          <t>Protheus</t>
        </is>
      </c>
      <c r="B704" s="89" t="inlineStr">
        <is>
          <t>001110</t>
        </is>
      </c>
      <c r="C704" s="90">
        <f>IF(B704="—","—",IFERROR(VLOOKUP(B704,_Protheus_Cadastro!$A:$B,2,FALSE),"—"))</f>
        <v/>
      </c>
      <c r="D704" s="91">
        <f>IF(B704="—",IFERROR(INDEX(_ZIG_Cadastro!$D:$D,MATCH(H704,_ZIG_Cadastro!$A:$A,0)),"Produto"),IFERROR(VLOOKUP(B704,_Protheus_Cadastro!$A:$C,3,FALSE),"—"))</f>
        <v/>
      </c>
      <c r="E704" s="91">
        <f>IF(B704="—","—",IFERROR(VLOOKUP(B704,_Protheus_Cadastro!$A:$D,4,FALSE),"—"))</f>
        <v/>
      </c>
      <c r="F704" s="91">
        <f>IF(ISERROR(VLOOKUP(B704,'Estrutura Protheus'!A:A,1,FALSE)),"Não","Sim")</f>
        <v/>
      </c>
      <c r="G704" s="92">
        <f>IFERROR(INDEX(_Protheus_Cadastro!$H:$H,MATCH(B704,_Protheus_Cadastro!$A:$A,0)),"—")</f>
        <v/>
      </c>
      <c r="H704" s="210">
        <f>IFERROR(INDEX(_ZIG_Precos!$D:$D,MATCH(I704,_ZIG_Precos!$F:$F,0)),"—")</f>
        <v/>
      </c>
      <c r="I704" s="95">
        <f>IFERROR(VLOOKUP(B704,_Protheus_Cadastro!$A:$I,9,FALSE),"—")</f>
        <v/>
      </c>
      <c r="J704" s="93">
        <f>IFERROR(INDEX(_ZIG_Cadastro!$B:$B,MATCH(I704,_ZIG_Cadastro!$A:$A,0)),IFERROR(INDEX(_Entradas_ZIG!$B:$B,MATCH(I704,_Entradas_ZIG!$C:$C,0)),"—"))</f>
        <v/>
      </c>
      <c r="K704" s="93">
        <f>IFERROR(INDEX(_ZIG_Cadastro!$C:$C,MATCH(I704,_ZIG_Cadastro!$A:$A,0)),IFERROR(INDEX(_Entradas_ZIG!$D:$D,MATCH(I704,_Entradas_ZIG!$C:$C,0)),"—"))</f>
        <v/>
      </c>
      <c r="L704" s="92">
        <f>IF(I704="","Sem SKU ZIG",IF(I704="—","Sem SKU ZIG",IF(NOT(ISERROR(MATCH(I704,_ZIG_Cadastro!$A:$A,0))),IF(EXACT(UPPER(TRIM(C704)),UPPER(TRIM(INDEX(_ZIG_Cadastro!$B:$B,MATCH(I704,_ZIG_Cadastro!$A:$A,0))))),"OK","Atencao - Nome diverge"),IF(NOT(ISERROR(MATCH(I704,_Entradas_ZIG!$C:$C,0))),"OK","Erro - SKU nao encontrado"))))</f>
        <v/>
      </c>
      <c r="M704" s="92">
        <f>IFERROR(INDEX(_ZIG_Cadastro!$G:$G,MATCH(I704,_ZIG_Cadastro!$A:$A,0)),IF(NOT(ISERROR(MATCH(I704,_Entradas_ZIG!$C:$C,0))),"Ativo","—"))</f>
        <v/>
      </c>
      <c r="N704" s="94">
        <f>IFERROR(INDEX(_ZIG_Cadastro!$E:$E,MATCH(I704,_ZIG_Cadastro!$A:$A,0)),IFERROR(INDEX(_Entradas_ZIG!$F:$F,MATCH(I704,_Entradas_ZIG!$C:$C,0)),"—"))</f>
        <v/>
      </c>
      <c r="O704" s="92">
        <f>IF(AND(ISNUMBER(SEARCH("Espeto",N704)),ISNUMBER(SEARCH("Carin",N704))),"SIM","")</f>
        <v/>
      </c>
      <c r="P704" s="92">
        <f>IF(AND(ISNUMBER(SEARCH("Espeto",N704)),ISNUMBER(SEARCH("Lapa",N704))),"SIM","")</f>
        <v/>
      </c>
      <c r="Q704" s="92">
        <f>IF(AND(ISNUMBER(SEARCH("Espeto",N704)),ISNUMBER(SEARCH("Tatuapé",N704))),"SIM","")</f>
        <v/>
      </c>
      <c r="R704" s="92">
        <f>IF(AND(ISNUMBER(SEARCH("Espeto",N704)),ISNUMBER(SEARCH("Pavão",N704))),"SIM","")</f>
        <v/>
      </c>
      <c r="S704" s="92">
        <f>IF(AND(ISNUMBER(SEARCH("Espeto",N704)),ISNUMBER(SEARCH("Chac",N704))),"SIM","")</f>
        <v/>
      </c>
      <c r="T704" s="92">
        <f>IF(AND(ISNUMBER(SEARCH("Espeto",N704)),ISNUMBER(SEARCH("Madalena",N704))),"SIM","")</f>
        <v/>
      </c>
      <c r="U704" s="92">
        <f>IF(AND(ISNUMBER(SEARCH("Espeto",N704)),ISNUMBER(SEARCH("Mariana",N704))),"SIM","")</f>
        <v/>
      </c>
      <c r="V704" s="92">
        <f>IF(AND(ISNUMBER(SEARCH("Espeto",N704)),ISNUMBER(SEARCH("Perdizes",N704))),"SIM","")</f>
        <v/>
      </c>
      <c r="W704" s="92">
        <f>IF(AND(ISNUMBER(SEARCH("Espeto",N704)),ISNUMBER(SEARCH("Santana",N704))),"SIM","")</f>
        <v/>
      </c>
      <c r="X704" s="92">
        <f>IF(AND(ISNUMBER(SEARCH("Espeto",N704)),ISNUMBER(SEARCH("André",N704))),"SIM","")</f>
        <v/>
      </c>
      <c r="Y704" s="92">
        <f>IF(AND(ISNUMBER(SEARCH("Delivery",N704)),ISNUMBER(SEARCH("Carin",N704))),"SIM","")</f>
        <v/>
      </c>
      <c r="Z704" s="92">
        <f>IF(AND(ISNUMBER(SEARCH("Delivery",N704)),ISNUMBER(SEARCH("Lapa",N704))),"SIM","")</f>
        <v/>
      </c>
      <c r="AA704" s="92">
        <f>IF(AND(ISNUMBER(SEARCH("Delivery",N704)),ISNUMBER(SEARCH("Tatuapé",N704))),"SIM","")</f>
        <v/>
      </c>
      <c r="AB704" s="92">
        <f>IF(AND(ISNUMBER(SEARCH("Delivery",N704)),ISNUMBER(SEARCH("Pavão",N704))),"SIM","")</f>
        <v/>
      </c>
      <c r="AC704" s="92">
        <f>IF(AND(ISNUMBER(SEARCH("Delivery",N704)),ISNUMBER(SEARCH("Chac",N704))),"SIM","")</f>
        <v/>
      </c>
      <c r="AD704" s="92">
        <f>IF(AND(ISNUMBER(SEARCH("Delivery",N704)),ISNUMBER(SEARCH("Madalena",N704))),"SIM","")</f>
        <v/>
      </c>
      <c r="AE704" s="99">
        <f>IF(AND(ISNUMBER(SEARCH("Delivery",N704)),ISNUMBER(SEARCH("Mariana",N704))),"SIM","")</f>
        <v/>
      </c>
      <c r="AF704" s="99">
        <f>IF(AND(ISNUMBER(SEARCH("Delivery",N704)),ISNUMBER(SEARCH("Perdizes",N704))),"SIM","")</f>
        <v/>
      </c>
      <c r="AG704" s="99">
        <f>IF(AND(ISNUMBER(SEARCH("Delivery",N704)),ISNUMBER(SEARCH("Santana",N704))),"SIM","")</f>
        <v/>
      </c>
      <c r="AH704" s="99">
        <f>IF(AND(ISNUMBER(SEARCH("Delivery",N704)),ISNUMBER(SEARCH("André",N704))),"SIM","")</f>
        <v/>
      </c>
      <c r="AI704" s="99">
        <f>IF(ISNUMBER(SEARCH("Interlagos",N704)),"SIM","")</f>
        <v/>
      </c>
      <c r="AJ704" s="99">
        <f>IF(ISNUMBER(SEARCH("Quiosque",N704)),"SIM","")</f>
        <v/>
      </c>
      <c r="AK704" s="101" t="n"/>
    </row>
    <row r="705">
      <c r="A705" s="88" t="inlineStr">
        <is>
          <t>Protheus</t>
        </is>
      </c>
      <c r="B705" s="89" t="inlineStr">
        <is>
          <t>001111</t>
        </is>
      </c>
      <c r="C705" s="90">
        <f>IF(B705="—","—",IFERROR(VLOOKUP(B705,_Protheus_Cadastro!$A:$B,2,FALSE),"—"))</f>
        <v/>
      </c>
      <c r="D705" s="91">
        <f>IF(B705="—",IFERROR(INDEX(_ZIG_Cadastro!$D:$D,MATCH(H705,_ZIG_Cadastro!$A:$A,0)),"Produto"),IFERROR(VLOOKUP(B705,_Protheus_Cadastro!$A:$C,3,FALSE),"—"))</f>
        <v/>
      </c>
      <c r="E705" s="91">
        <f>IF(B705="—","—",IFERROR(VLOOKUP(B705,_Protheus_Cadastro!$A:$D,4,FALSE),"—"))</f>
        <v/>
      </c>
      <c r="F705" s="91">
        <f>IF(ISERROR(VLOOKUP(B705,'Estrutura Protheus'!A:A,1,FALSE)),"Não","Sim")</f>
        <v/>
      </c>
      <c r="G705" s="92">
        <f>IFERROR(INDEX(_Protheus_Cadastro!$H:$H,MATCH(B705,_Protheus_Cadastro!$A:$A,0)),"—")</f>
        <v/>
      </c>
      <c r="H705" s="210">
        <f>IFERROR(INDEX(_ZIG_Precos!$D:$D,MATCH(I705,_ZIG_Precos!$F:$F,0)),"—")</f>
        <v/>
      </c>
      <c r="I705" s="95">
        <f>IFERROR(VLOOKUP(B705,_Protheus_Cadastro!$A:$I,9,FALSE),"—")</f>
        <v/>
      </c>
      <c r="J705" s="93">
        <f>IFERROR(INDEX(_ZIG_Cadastro!$B:$B,MATCH(I705,_ZIG_Cadastro!$A:$A,0)),IFERROR(INDEX(_Entradas_ZIG!$B:$B,MATCH(I705,_Entradas_ZIG!$C:$C,0)),"—"))</f>
        <v/>
      </c>
      <c r="K705" s="93">
        <f>IFERROR(INDEX(_ZIG_Cadastro!$C:$C,MATCH(I705,_ZIG_Cadastro!$A:$A,0)),IFERROR(INDEX(_Entradas_ZIG!$D:$D,MATCH(I705,_Entradas_ZIG!$C:$C,0)),"—"))</f>
        <v/>
      </c>
      <c r="L705" s="92">
        <f>IF(I705="","Sem SKU ZIG",IF(I705="—","Sem SKU ZIG",IF(NOT(ISERROR(MATCH(I705,_ZIG_Cadastro!$A:$A,0))),IF(EXACT(UPPER(TRIM(C705)),UPPER(TRIM(INDEX(_ZIG_Cadastro!$B:$B,MATCH(I705,_ZIG_Cadastro!$A:$A,0))))),"OK","Atencao - Nome diverge"),IF(NOT(ISERROR(MATCH(I705,_Entradas_ZIG!$C:$C,0))),"OK","Erro - SKU nao encontrado"))))</f>
        <v/>
      </c>
      <c r="M705" s="92">
        <f>IFERROR(INDEX(_ZIG_Cadastro!$G:$G,MATCH(I705,_ZIG_Cadastro!$A:$A,0)),IF(NOT(ISERROR(MATCH(I705,_Entradas_ZIG!$C:$C,0))),"Ativo","—"))</f>
        <v/>
      </c>
      <c r="N705" s="94">
        <f>IFERROR(INDEX(_ZIG_Cadastro!$E:$E,MATCH(I705,_ZIG_Cadastro!$A:$A,0)),IFERROR(INDEX(_Entradas_ZIG!$F:$F,MATCH(I705,_Entradas_ZIG!$C:$C,0)),"—"))</f>
        <v/>
      </c>
      <c r="O705" s="92">
        <f>IF(AND(ISNUMBER(SEARCH("Espeto",N705)),ISNUMBER(SEARCH("Carin",N705))),"SIM","")</f>
        <v/>
      </c>
      <c r="P705" s="92">
        <f>IF(AND(ISNUMBER(SEARCH("Espeto",N705)),ISNUMBER(SEARCH("Lapa",N705))),"SIM","")</f>
        <v/>
      </c>
      <c r="Q705" s="92">
        <f>IF(AND(ISNUMBER(SEARCH("Espeto",N705)),ISNUMBER(SEARCH("Tatuapé",N705))),"SIM","")</f>
        <v/>
      </c>
      <c r="R705" s="92">
        <f>IF(AND(ISNUMBER(SEARCH("Espeto",N705)),ISNUMBER(SEARCH("Pavão",N705))),"SIM","")</f>
        <v/>
      </c>
      <c r="S705" s="92">
        <f>IF(AND(ISNUMBER(SEARCH("Espeto",N705)),ISNUMBER(SEARCH("Chac",N705))),"SIM","")</f>
        <v/>
      </c>
      <c r="T705" s="92">
        <f>IF(AND(ISNUMBER(SEARCH("Espeto",N705)),ISNUMBER(SEARCH("Madalena",N705))),"SIM","")</f>
        <v/>
      </c>
      <c r="U705" s="92">
        <f>IF(AND(ISNUMBER(SEARCH("Espeto",N705)),ISNUMBER(SEARCH("Mariana",N705))),"SIM","")</f>
        <v/>
      </c>
      <c r="V705" s="92">
        <f>IF(AND(ISNUMBER(SEARCH("Espeto",N705)),ISNUMBER(SEARCH("Perdizes",N705))),"SIM","")</f>
        <v/>
      </c>
      <c r="W705" s="92">
        <f>IF(AND(ISNUMBER(SEARCH("Espeto",N705)),ISNUMBER(SEARCH("Santana",N705))),"SIM","")</f>
        <v/>
      </c>
      <c r="X705" s="92">
        <f>IF(AND(ISNUMBER(SEARCH("Espeto",N705)),ISNUMBER(SEARCH("André",N705))),"SIM","")</f>
        <v/>
      </c>
      <c r="Y705" s="92">
        <f>IF(AND(ISNUMBER(SEARCH("Delivery",N705)),ISNUMBER(SEARCH("Carin",N705))),"SIM","")</f>
        <v/>
      </c>
      <c r="Z705" s="92">
        <f>IF(AND(ISNUMBER(SEARCH("Delivery",N705)),ISNUMBER(SEARCH("Lapa",N705))),"SIM","")</f>
        <v/>
      </c>
      <c r="AA705" s="92">
        <f>IF(AND(ISNUMBER(SEARCH("Delivery",N705)),ISNUMBER(SEARCH("Tatuapé",N705))),"SIM","")</f>
        <v/>
      </c>
      <c r="AB705" s="92">
        <f>IF(AND(ISNUMBER(SEARCH("Delivery",N705)),ISNUMBER(SEARCH("Pavão",N705))),"SIM","")</f>
        <v/>
      </c>
      <c r="AC705" s="92">
        <f>IF(AND(ISNUMBER(SEARCH("Delivery",N705)),ISNUMBER(SEARCH("Chac",N705))),"SIM","")</f>
        <v/>
      </c>
      <c r="AD705" s="92">
        <f>IF(AND(ISNUMBER(SEARCH("Delivery",N705)),ISNUMBER(SEARCH("Madalena",N705))),"SIM","")</f>
        <v/>
      </c>
      <c r="AE705" s="99">
        <f>IF(AND(ISNUMBER(SEARCH("Delivery",N705)),ISNUMBER(SEARCH("Mariana",N705))),"SIM","")</f>
        <v/>
      </c>
      <c r="AF705" s="99">
        <f>IF(AND(ISNUMBER(SEARCH("Delivery",N705)),ISNUMBER(SEARCH("Perdizes",N705))),"SIM","")</f>
        <v/>
      </c>
      <c r="AG705" s="99">
        <f>IF(AND(ISNUMBER(SEARCH("Delivery",N705)),ISNUMBER(SEARCH("Santana",N705))),"SIM","")</f>
        <v/>
      </c>
      <c r="AH705" s="99">
        <f>IF(AND(ISNUMBER(SEARCH("Delivery",N705)),ISNUMBER(SEARCH("André",N705))),"SIM","")</f>
        <v/>
      </c>
      <c r="AI705" s="99">
        <f>IF(ISNUMBER(SEARCH("Interlagos",N705)),"SIM","")</f>
        <v/>
      </c>
      <c r="AJ705" s="99">
        <f>IF(ISNUMBER(SEARCH("Quiosque",N705)),"SIM","")</f>
        <v/>
      </c>
      <c r="AK705" s="101" t="n"/>
    </row>
    <row r="706">
      <c r="A706" s="88" t="inlineStr">
        <is>
          <t>Protheus</t>
        </is>
      </c>
      <c r="B706" s="89" t="inlineStr">
        <is>
          <t>001112</t>
        </is>
      </c>
      <c r="C706" s="90">
        <f>IF(B706="—","—",IFERROR(VLOOKUP(B706,_Protheus_Cadastro!$A:$B,2,FALSE),"—"))</f>
        <v/>
      </c>
      <c r="D706" s="91">
        <f>IF(B706="—",IFERROR(INDEX(_ZIG_Cadastro!$D:$D,MATCH(H706,_ZIG_Cadastro!$A:$A,0)),"Produto"),IFERROR(VLOOKUP(B706,_Protheus_Cadastro!$A:$C,3,FALSE),"—"))</f>
        <v/>
      </c>
      <c r="E706" s="91">
        <f>IF(B706="—","—",IFERROR(VLOOKUP(B706,_Protheus_Cadastro!$A:$D,4,FALSE),"—"))</f>
        <v/>
      </c>
      <c r="F706" s="91">
        <f>IF(ISERROR(VLOOKUP(B706,'Estrutura Protheus'!A:A,1,FALSE)),"Não","Sim")</f>
        <v/>
      </c>
      <c r="G706" s="92">
        <f>IFERROR(INDEX(_Protheus_Cadastro!$H:$H,MATCH(B706,_Protheus_Cadastro!$A:$A,0)),"—")</f>
        <v/>
      </c>
      <c r="H706" s="210">
        <f>IFERROR(INDEX(_ZIG_Precos!$D:$D,MATCH(I706,_ZIG_Precos!$F:$F,0)),"—")</f>
        <v/>
      </c>
      <c r="I706" s="95">
        <f>IFERROR(VLOOKUP(B706,_Protheus_Cadastro!$A:$I,9,FALSE),"—")</f>
        <v/>
      </c>
      <c r="J706" s="93">
        <f>IFERROR(INDEX(_ZIG_Cadastro!$B:$B,MATCH(I706,_ZIG_Cadastro!$A:$A,0)),IFERROR(INDEX(_Entradas_ZIG!$B:$B,MATCH(I706,_Entradas_ZIG!$C:$C,0)),"—"))</f>
        <v/>
      </c>
      <c r="K706" s="93">
        <f>IFERROR(INDEX(_ZIG_Cadastro!$C:$C,MATCH(I706,_ZIG_Cadastro!$A:$A,0)),IFERROR(INDEX(_Entradas_ZIG!$D:$D,MATCH(I706,_Entradas_ZIG!$C:$C,0)),"—"))</f>
        <v/>
      </c>
      <c r="L706" s="92">
        <f>IF(I706="","Sem SKU ZIG",IF(I706="—","Sem SKU ZIG",IF(NOT(ISERROR(MATCH(I706,_ZIG_Cadastro!$A:$A,0))),IF(EXACT(UPPER(TRIM(C706)),UPPER(TRIM(INDEX(_ZIG_Cadastro!$B:$B,MATCH(I706,_ZIG_Cadastro!$A:$A,0))))),"OK","Atencao - Nome diverge"),IF(NOT(ISERROR(MATCH(I706,_Entradas_ZIG!$C:$C,0))),"OK","Erro - SKU nao encontrado"))))</f>
        <v/>
      </c>
      <c r="M706" s="92">
        <f>IFERROR(INDEX(_ZIG_Cadastro!$G:$G,MATCH(I706,_ZIG_Cadastro!$A:$A,0)),IF(NOT(ISERROR(MATCH(I706,_Entradas_ZIG!$C:$C,0))),"Ativo","—"))</f>
        <v/>
      </c>
      <c r="N706" s="94">
        <f>IFERROR(INDEX(_ZIG_Cadastro!$E:$E,MATCH(I706,_ZIG_Cadastro!$A:$A,0)),IFERROR(INDEX(_Entradas_ZIG!$F:$F,MATCH(I706,_Entradas_ZIG!$C:$C,0)),"—"))</f>
        <v/>
      </c>
      <c r="O706" s="92">
        <f>IF(AND(ISNUMBER(SEARCH("Espeto",N706)),ISNUMBER(SEARCH("Carin",N706))),"SIM","")</f>
        <v/>
      </c>
      <c r="P706" s="92">
        <f>IF(AND(ISNUMBER(SEARCH("Espeto",N706)),ISNUMBER(SEARCH("Lapa",N706))),"SIM","")</f>
        <v/>
      </c>
      <c r="Q706" s="92">
        <f>IF(AND(ISNUMBER(SEARCH("Espeto",N706)),ISNUMBER(SEARCH("Tatuapé",N706))),"SIM","")</f>
        <v/>
      </c>
      <c r="R706" s="92">
        <f>IF(AND(ISNUMBER(SEARCH("Espeto",N706)),ISNUMBER(SEARCH("Pavão",N706))),"SIM","")</f>
        <v/>
      </c>
      <c r="S706" s="92">
        <f>IF(AND(ISNUMBER(SEARCH("Espeto",N706)),ISNUMBER(SEARCH("Chac",N706))),"SIM","")</f>
        <v/>
      </c>
      <c r="T706" s="92">
        <f>IF(AND(ISNUMBER(SEARCH("Espeto",N706)),ISNUMBER(SEARCH("Madalena",N706))),"SIM","")</f>
        <v/>
      </c>
      <c r="U706" s="92">
        <f>IF(AND(ISNUMBER(SEARCH("Espeto",N706)),ISNUMBER(SEARCH("Mariana",N706))),"SIM","")</f>
        <v/>
      </c>
      <c r="V706" s="92">
        <f>IF(AND(ISNUMBER(SEARCH("Espeto",N706)),ISNUMBER(SEARCH("Perdizes",N706))),"SIM","")</f>
        <v/>
      </c>
      <c r="W706" s="92">
        <f>IF(AND(ISNUMBER(SEARCH("Espeto",N706)),ISNUMBER(SEARCH("Santana",N706))),"SIM","")</f>
        <v/>
      </c>
      <c r="X706" s="92">
        <f>IF(AND(ISNUMBER(SEARCH("Espeto",N706)),ISNUMBER(SEARCH("André",N706))),"SIM","")</f>
        <v/>
      </c>
      <c r="Y706" s="92">
        <f>IF(AND(ISNUMBER(SEARCH("Delivery",N706)),ISNUMBER(SEARCH("Carin",N706))),"SIM","")</f>
        <v/>
      </c>
      <c r="Z706" s="92">
        <f>IF(AND(ISNUMBER(SEARCH("Delivery",N706)),ISNUMBER(SEARCH("Lapa",N706))),"SIM","")</f>
        <v/>
      </c>
      <c r="AA706" s="92">
        <f>IF(AND(ISNUMBER(SEARCH("Delivery",N706)),ISNUMBER(SEARCH("Tatuapé",N706))),"SIM","")</f>
        <v/>
      </c>
      <c r="AB706" s="92">
        <f>IF(AND(ISNUMBER(SEARCH("Delivery",N706)),ISNUMBER(SEARCH("Pavão",N706))),"SIM","")</f>
        <v/>
      </c>
      <c r="AC706" s="92">
        <f>IF(AND(ISNUMBER(SEARCH("Delivery",N706)),ISNUMBER(SEARCH("Chac",N706))),"SIM","")</f>
        <v/>
      </c>
      <c r="AD706" s="92">
        <f>IF(AND(ISNUMBER(SEARCH("Delivery",N706)),ISNUMBER(SEARCH("Madalena",N706))),"SIM","")</f>
        <v/>
      </c>
      <c r="AE706" s="99">
        <f>IF(AND(ISNUMBER(SEARCH("Delivery",N706)),ISNUMBER(SEARCH("Mariana",N706))),"SIM","")</f>
        <v/>
      </c>
      <c r="AF706" s="99">
        <f>IF(AND(ISNUMBER(SEARCH("Delivery",N706)),ISNUMBER(SEARCH("Perdizes",N706))),"SIM","")</f>
        <v/>
      </c>
      <c r="AG706" s="99">
        <f>IF(AND(ISNUMBER(SEARCH("Delivery",N706)),ISNUMBER(SEARCH("Santana",N706))),"SIM","")</f>
        <v/>
      </c>
      <c r="AH706" s="99">
        <f>IF(AND(ISNUMBER(SEARCH("Delivery",N706)),ISNUMBER(SEARCH("André",N706))),"SIM","")</f>
        <v/>
      </c>
      <c r="AI706" s="99">
        <f>IF(ISNUMBER(SEARCH("Interlagos",N706)),"SIM","")</f>
        <v/>
      </c>
      <c r="AJ706" s="99">
        <f>IF(ISNUMBER(SEARCH("Quiosque",N706)),"SIM","")</f>
        <v/>
      </c>
      <c r="AK706" s="101" t="n"/>
    </row>
    <row r="707">
      <c r="A707" s="88" t="inlineStr">
        <is>
          <t>Protheus</t>
        </is>
      </c>
      <c r="B707" s="89" t="inlineStr">
        <is>
          <t>001113</t>
        </is>
      </c>
      <c r="C707" s="90">
        <f>IF(B707="—","—",IFERROR(VLOOKUP(B707,_Protheus_Cadastro!$A:$B,2,FALSE),"—"))</f>
        <v/>
      </c>
      <c r="D707" s="91">
        <f>IF(B707="—",IFERROR(INDEX(_ZIG_Cadastro!$D:$D,MATCH(H707,_ZIG_Cadastro!$A:$A,0)),"Produto"),IFERROR(VLOOKUP(B707,_Protheus_Cadastro!$A:$C,3,FALSE),"—"))</f>
        <v/>
      </c>
      <c r="E707" s="91">
        <f>IF(B707="—","—",IFERROR(VLOOKUP(B707,_Protheus_Cadastro!$A:$D,4,FALSE),"—"))</f>
        <v/>
      </c>
      <c r="F707" s="91">
        <f>IF(ISERROR(VLOOKUP(B707,'Estrutura Protheus'!A:A,1,FALSE)),"Não","Sim")</f>
        <v/>
      </c>
      <c r="G707" s="92">
        <f>IFERROR(INDEX(_Protheus_Cadastro!$H:$H,MATCH(B707,_Protheus_Cadastro!$A:$A,0)),"—")</f>
        <v/>
      </c>
      <c r="H707" s="210">
        <f>IFERROR(INDEX(_ZIG_Precos!$D:$D,MATCH(I707,_ZIG_Precos!$F:$F,0)),"—")</f>
        <v/>
      </c>
      <c r="I707" s="95">
        <f>IFERROR(VLOOKUP(B707,_Protheus_Cadastro!$A:$I,9,FALSE),"—")</f>
        <v/>
      </c>
      <c r="J707" s="93">
        <f>IFERROR(INDEX(_ZIG_Cadastro!$B:$B,MATCH(I707,_ZIG_Cadastro!$A:$A,0)),IFERROR(INDEX(_Entradas_ZIG!$B:$B,MATCH(I707,_Entradas_ZIG!$C:$C,0)),"—"))</f>
        <v/>
      </c>
      <c r="K707" s="93">
        <f>IFERROR(INDEX(_ZIG_Cadastro!$C:$C,MATCH(I707,_ZIG_Cadastro!$A:$A,0)),IFERROR(INDEX(_Entradas_ZIG!$D:$D,MATCH(I707,_Entradas_ZIG!$C:$C,0)),"—"))</f>
        <v/>
      </c>
      <c r="L707" s="92">
        <f>IF(I707="","Sem SKU ZIG",IF(I707="—","Sem SKU ZIG",IF(NOT(ISERROR(MATCH(I707,_ZIG_Cadastro!$A:$A,0))),IF(EXACT(UPPER(TRIM(C707)),UPPER(TRIM(INDEX(_ZIG_Cadastro!$B:$B,MATCH(I707,_ZIG_Cadastro!$A:$A,0))))),"OK","Atencao - Nome diverge"),IF(NOT(ISERROR(MATCH(I707,_Entradas_ZIG!$C:$C,0))),"OK","Erro - SKU nao encontrado"))))</f>
        <v/>
      </c>
      <c r="M707" s="92">
        <f>IFERROR(INDEX(_ZIG_Cadastro!$G:$G,MATCH(I707,_ZIG_Cadastro!$A:$A,0)),IF(NOT(ISERROR(MATCH(I707,_Entradas_ZIG!$C:$C,0))),"Ativo","—"))</f>
        <v/>
      </c>
      <c r="N707" s="94">
        <f>IFERROR(INDEX(_ZIG_Cadastro!$E:$E,MATCH(I707,_ZIG_Cadastro!$A:$A,0)),IFERROR(INDEX(_Entradas_ZIG!$F:$F,MATCH(I707,_Entradas_ZIG!$C:$C,0)),"—"))</f>
        <v/>
      </c>
      <c r="O707" s="92">
        <f>IF(AND(ISNUMBER(SEARCH("Espeto",N707)),ISNUMBER(SEARCH("Carin",N707))),"SIM","")</f>
        <v/>
      </c>
      <c r="P707" s="92">
        <f>IF(AND(ISNUMBER(SEARCH("Espeto",N707)),ISNUMBER(SEARCH("Lapa",N707))),"SIM","")</f>
        <v/>
      </c>
      <c r="Q707" s="92">
        <f>IF(AND(ISNUMBER(SEARCH("Espeto",N707)),ISNUMBER(SEARCH("Tatuapé",N707))),"SIM","")</f>
        <v/>
      </c>
      <c r="R707" s="92">
        <f>IF(AND(ISNUMBER(SEARCH("Espeto",N707)),ISNUMBER(SEARCH("Pavão",N707))),"SIM","")</f>
        <v/>
      </c>
      <c r="S707" s="92">
        <f>IF(AND(ISNUMBER(SEARCH("Espeto",N707)),ISNUMBER(SEARCH("Chac",N707))),"SIM","")</f>
        <v/>
      </c>
      <c r="T707" s="92">
        <f>IF(AND(ISNUMBER(SEARCH("Espeto",N707)),ISNUMBER(SEARCH("Madalena",N707))),"SIM","")</f>
        <v/>
      </c>
      <c r="U707" s="92">
        <f>IF(AND(ISNUMBER(SEARCH("Espeto",N707)),ISNUMBER(SEARCH("Mariana",N707))),"SIM","")</f>
        <v/>
      </c>
      <c r="V707" s="92">
        <f>IF(AND(ISNUMBER(SEARCH("Espeto",N707)),ISNUMBER(SEARCH("Perdizes",N707))),"SIM","")</f>
        <v/>
      </c>
      <c r="W707" s="92">
        <f>IF(AND(ISNUMBER(SEARCH("Espeto",N707)),ISNUMBER(SEARCH("Santana",N707))),"SIM","")</f>
        <v/>
      </c>
      <c r="X707" s="92">
        <f>IF(AND(ISNUMBER(SEARCH("Espeto",N707)),ISNUMBER(SEARCH("André",N707))),"SIM","")</f>
        <v/>
      </c>
      <c r="Y707" s="92">
        <f>IF(AND(ISNUMBER(SEARCH("Delivery",N707)),ISNUMBER(SEARCH("Carin",N707))),"SIM","")</f>
        <v/>
      </c>
      <c r="Z707" s="92">
        <f>IF(AND(ISNUMBER(SEARCH("Delivery",N707)),ISNUMBER(SEARCH("Lapa",N707))),"SIM","")</f>
        <v/>
      </c>
      <c r="AA707" s="92">
        <f>IF(AND(ISNUMBER(SEARCH("Delivery",N707)),ISNUMBER(SEARCH("Tatuapé",N707))),"SIM","")</f>
        <v/>
      </c>
      <c r="AB707" s="92">
        <f>IF(AND(ISNUMBER(SEARCH("Delivery",N707)),ISNUMBER(SEARCH("Pavão",N707))),"SIM","")</f>
        <v/>
      </c>
      <c r="AC707" s="92">
        <f>IF(AND(ISNUMBER(SEARCH("Delivery",N707)),ISNUMBER(SEARCH("Chac",N707))),"SIM","")</f>
        <v/>
      </c>
      <c r="AD707" s="92">
        <f>IF(AND(ISNUMBER(SEARCH("Delivery",N707)),ISNUMBER(SEARCH("Madalena",N707))),"SIM","")</f>
        <v/>
      </c>
      <c r="AE707" s="99">
        <f>IF(AND(ISNUMBER(SEARCH("Delivery",N707)),ISNUMBER(SEARCH("Mariana",N707))),"SIM","")</f>
        <v/>
      </c>
      <c r="AF707" s="99">
        <f>IF(AND(ISNUMBER(SEARCH("Delivery",N707)),ISNUMBER(SEARCH("Perdizes",N707))),"SIM","")</f>
        <v/>
      </c>
      <c r="AG707" s="99">
        <f>IF(AND(ISNUMBER(SEARCH("Delivery",N707)),ISNUMBER(SEARCH("Santana",N707))),"SIM","")</f>
        <v/>
      </c>
      <c r="AH707" s="99">
        <f>IF(AND(ISNUMBER(SEARCH("Delivery",N707)),ISNUMBER(SEARCH("André",N707))),"SIM","")</f>
        <v/>
      </c>
      <c r="AI707" s="99">
        <f>IF(ISNUMBER(SEARCH("Interlagos",N707)),"SIM","")</f>
        <v/>
      </c>
      <c r="AJ707" s="99">
        <f>IF(ISNUMBER(SEARCH("Quiosque",N707)),"SIM","")</f>
        <v/>
      </c>
      <c r="AK707" s="101" t="n"/>
    </row>
    <row r="708">
      <c r="A708" s="88" t="inlineStr">
        <is>
          <t>Protheus</t>
        </is>
      </c>
      <c r="B708" s="89" t="inlineStr">
        <is>
          <t>001114</t>
        </is>
      </c>
      <c r="C708" s="90">
        <f>IF(B708="—","—",IFERROR(VLOOKUP(B708,_Protheus_Cadastro!$A:$B,2,FALSE),"—"))</f>
        <v/>
      </c>
      <c r="D708" s="91">
        <f>IF(B708="—",IFERROR(INDEX(_ZIG_Cadastro!$D:$D,MATCH(H708,_ZIG_Cadastro!$A:$A,0)),"Produto"),IFERROR(VLOOKUP(B708,_Protheus_Cadastro!$A:$C,3,FALSE),"—"))</f>
        <v/>
      </c>
      <c r="E708" s="91">
        <f>IF(B708="—","—",IFERROR(VLOOKUP(B708,_Protheus_Cadastro!$A:$D,4,FALSE),"—"))</f>
        <v/>
      </c>
      <c r="F708" s="91">
        <f>IF(ISERROR(VLOOKUP(B708,'Estrutura Protheus'!A:A,1,FALSE)),"Não","Sim")</f>
        <v/>
      </c>
      <c r="G708" s="92">
        <f>IFERROR(INDEX(_Protheus_Cadastro!$H:$H,MATCH(B708,_Protheus_Cadastro!$A:$A,0)),"—")</f>
        <v/>
      </c>
      <c r="H708" s="210">
        <f>IFERROR(INDEX(_ZIG_Precos!$D:$D,MATCH(I708,_ZIG_Precos!$F:$F,0)),"—")</f>
        <v/>
      </c>
      <c r="I708" s="95">
        <f>IFERROR(VLOOKUP(B708,_Protheus_Cadastro!$A:$I,9,FALSE),"—")</f>
        <v/>
      </c>
      <c r="J708" s="93">
        <f>IFERROR(INDEX(_ZIG_Cadastro!$B:$B,MATCH(I708,_ZIG_Cadastro!$A:$A,0)),IFERROR(INDEX(_Entradas_ZIG!$B:$B,MATCH(I708,_Entradas_ZIG!$C:$C,0)),"—"))</f>
        <v/>
      </c>
      <c r="K708" s="93">
        <f>IFERROR(INDEX(_ZIG_Cadastro!$C:$C,MATCH(I708,_ZIG_Cadastro!$A:$A,0)),IFERROR(INDEX(_Entradas_ZIG!$D:$D,MATCH(I708,_Entradas_ZIG!$C:$C,0)),"—"))</f>
        <v/>
      </c>
      <c r="L708" s="92">
        <f>IF(I708="","Sem SKU ZIG",IF(I708="—","Sem SKU ZIG",IF(NOT(ISERROR(MATCH(I708,_ZIG_Cadastro!$A:$A,0))),IF(EXACT(UPPER(TRIM(C708)),UPPER(TRIM(INDEX(_ZIG_Cadastro!$B:$B,MATCH(I708,_ZIG_Cadastro!$A:$A,0))))),"OK","Atencao - Nome diverge"),IF(NOT(ISERROR(MATCH(I708,_Entradas_ZIG!$C:$C,0))),"OK","Erro - SKU nao encontrado"))))</f>
        <v/>
      </c>
      <c r="M708" s="92">
        <f>IFERROR(INDEX(_ZIG_Cadastro!$G:$G,MATCH(I708,_ZIG_Cadastro!$A:$A,0)),IF(NOT(ISERROR(MATCH(I708,_Entradas_ZIG!$C:$C,0))),"Ativo","—"))</f>
        <v/>
      </c>
      <c r="N708" s="94">
        <f>IFERROR(INDEX(_ZIG_Cadastro!$E:$E,MATCH(I708,_ZIG_Cadastro!$A:$A,0)),IFERROR(INDEX(_Entradas_ZIG!$F:$F,MATCH(I708,_Entradas_ZIG!$C:$C,0)),"—"))</f>
        <v/>
      </c>
      <c r="O708" s="92">
        <f>IF(AND(ISNUMBER(SEARCH("Espeto",N708)),ISNUMBER(SEARCH("Carin",N708))),"SIM","")</f>
        <v/>
      </c>
      <c r="P708" s="92">
        <f>IF(AND(ISNUMBER(SEARCH("Espeto",N708)),ISNUMBER(SEARCH("Lapa",N708))),"SIM","")</f>
        <v/>
      </c>
      <c r="Q708" s="92">
        <f>IF(AND(ISNUMBER(SEARCH("Espeto",N708)),ISNUMBER(SEARCH("Tatuapé",N708))),"SIM","")</f>
        <v/>
      </c>
      <c r="R708" s="92">
        <f>IF(AND(ISNUMBER(SEARCH("Espeto",N708)),ISNUMBER(SEARCH("Pavão",N708))),"SIM","")</f>
        <v/>
      </c>
      <c r="S708" s="92">
        <f>IF(AND(ISNUMBER(SEARCH("Espeto",N708)),ISNUMBER(SEARCH("Chac",N708))),"SIM","")</f>
        <v/>
      </c>
      <c r="T708" s="92">
        <f>IF(AND(ISNUMBER(SEARCH("Espeto",N708)),ISNUMBER(SEARCH("Madalena",N708))),"SIM","")</f>
        <v/>
      </c>
      <c r="U708" s="92">
        <f>IF(AND(ISNUMBER(SEARCH("Espeto",N708)),ISNUMBER(SEARCH("Mariana",N708))),"SIM","")</f>
        <v/>
      </c>
      <c r="V708" s="92">
        <f>IF(AND(ISNUMBER(SEARCH("Espeto",N708)),ISNUMBER(SEARCH("Perdizes",N708))),"SIM","")</f>
        <v/>
      </c>
      <c r="W708" s="92">
        <f>IF(AND(ISNUMBER(SEARCH("Espeto",N708)),ISNUMBER(SEARCH("Santana",N708))),"SIM","")</f>
        <v/>
      </c>
      <c r="X708" s="92">
        <f>IF(AND(ISNUMBER(SEARCH("Espeto",N708)),ISNUMBER(SEARCH("André",N708))),"SIM","")</f>
        <v/>
      </c>
      <c r="Y708" s="92">
        <f>IF(AND(ISNUMBER(SEARCH("Delivery",N708)),ISNUMBER(SEARCH("Carin",N708))),"SIM","")</f>
        <v/>
      </c>
      <c r="Z708" s="92">
        <f>IF(AND(ISNUMBER(SEARCH("Delivery",N708)),ISNUMBER(SEARCH("Lapa",N708))),"SIM","")</f>
        <v/>
      </c>
      <c r="AA708" s="92">
        <f>IF(AND(ISNUMBER(SEARCH("Delivery",N708)),ISNUMBER(SEARCH("Tatuapé",N708))),"SIM","")</f>
        <v/>
      </c>
      <c r="AB708" s="92">
        <f>IF(AND(ISNUMBER(SEARCH("Delivery",N708)),ISNUMBER(SEARCH("Pavão",N708))),"SIM","")</f>
        <v/>
      </c>
      <c r="AC708" s="92">
        <f>IF(AND(ISNUMBER(SEARCH("Delivery",N708)),ISNUMBER(SEARCH("Chac",N708))),"SIM","")</f>
        <v/>
      </c>
      <c r="AD708" s="92">
        <f>IF(AND(ISNUMBER(SEARCH("Delivery",N708)),ISNUMBER(SEARCH("Madalena",N708))),"SIM","")</f>
        <v/>
      </c>
      <c r="AE708" s="99">
        <f>IF(AND(ISNUMBER(SEARCH("Delivery",N708)),ISNUMBER(SEARCH("Mariana",N708))),"SIM","")</f>
        <v/>
      </c>
      <c r="AF708" s="99">
        <f>IF(AND(ISNUMBER(SEARCH("Delivery",N708)),ISNUMBER(SEARCH("Perdizes",N708))),"SIM","")</f>
        <v/>
      </c>
      <c r="AG708" s="99">
        <f>IF(AND(ISNUMBER(SEARCH("Delivery",N708)),ISNUMBER(SEARCH("Santana",N708))),"SIM","")</f>
        <v/>
      </c>
      <c r="AH708" s="99">
        <f>IF(AND(ISNUMBER(SEARCH("Delivery",N708)),ISNUMBER(SEARCH("André",N708))),"SIM","")</f>
        <v/>
      </c>
      <c r="AI708" s="99">
        <f>IF(ISNUMBER(SEARCH("Interlagos",N708)),"SIM","")</f>
        <v/>
      </c>
      <c r="AJ708" s="99">
        <f>IF(ISNUMBER(SEARCH("Quiosque",N708)),"SIM","")</f>
        <v/>
      </c>
      <c r="AK708" s="101" t="n"/>
    </row>
    <row r="709">
      <c r="A709" s="88" t="inlineStr">
        <is>
          <t>Protheus</t>
        </is>
      </c>
      <c r="B709" s="89" t="inlineStr">
        <is>
          <t>001115</t>
        </is>
      </c>
      <c r="C709" s="90">
        <f>IF(B709="—","—",IFERROR(VLOOKUP(B709,_Protheus_Cadastro!$A:$B,2,FALSE),"—"))</f>
        <v/>
      </c>
      <c r="D709" s="91">
        <f>IF(B709="—",IFERROR(INDEX(_ZIG_Cadastro!$D:$D,MATCH(H709,_ZIG_Cadastro!$A:$A,0)),"Produto"),IFERROR(VLOOKUP(B709,_Protheus_Cadastro!$A:$C,3,FALSE),"—"))</f>
        <v/>
      </c>
      <c r="E709" s="91">
        <f>IF(B709="—","—",IFERROR(VLOOKUP(B709,_Protheus_Cadastro!$A:$D,4,FALSE),"—"))</f>
        <v/>
      </c>
      <c r="F709" s="91">
        <f>IF(ISERROR(VLOOKUP(B709,'Estrutura Protheus'!A:A,1,FALSE)),"Não","Sim")</f>
        <v/>
      </c>
      <c r="G709" s="92">
        <f>IFERROR(INDEX(_Protheus_Cadastro!$H:$H,MATCH(B709,_Protheus_Cadastro!$A:$A,0)),"—")</f>
        <v/>
      </c>
      <c r="H709" s="210">
        <f>IFERROR(INDEX(_ZIG_Precos!$D:$D,MATCH(I709,_ZIG_Precos!$F:$F,0)),"—")</f>
        <v/>
      </c>
      <c r="I709" s="95">
        <f>IFERROR(VLOOKUP(B709,_Protheus_Cadastro!$A:$I,9,FALSE),"—")</f>
        <v/>
      </c>
      <c r="J709" s="93">
        <f>IFERROR(INDEX(_ZIG_Cadastro!$B:$B,MATCH(I709,_ZIG_Cadastro!$A:$A,0)),IFERROR(INDEX(_Entradas_ZIG!$B:$B,MATCH(I709,_Entradas_ZIG!$C:$C,0)),"—"))</f>
        <v/>
      </c>
      <c r="K709" s="93">
        <f>IFERROR(INDEX(_ZIG_Cadastro!$C:$C,MATCH(I709,_ZIG_Cadastro!$A:$A,0)),IFERROR(INDEX(_Entradas_ZIG!$D:$D,MATCH(I709,_Entradas_ZIG!$C:$C,0)),"—"))</f>
        <v/>
      </c>
      <c r="L709" s="92">
        <f>IF(I709="","Sem SKU ZIG",IF(I709="—","Sem SKU ZIG",IF(NOT(ISERROR(MATCH(I709,_ZIG_Cadastro!$A:$A,0))),IF(EXACT(UPPER(TRIM(C709)),UPPER(TRIM(INDEX(_ZIG_Cadastro!$B:$B,MATCH(I709,_ZIG_Cadastro!$A:$A,0))))),"OK","Atencao - Nome diverge"),IF(NOT(ISERROR(MATCH(I709,_Entradas_ZIG!$C:$C,0))),"OK","Erro - SKU nao encontrado"))))</f>
        <v/>
      </c>
      <c r="M709" s="92">
        <f>IFERROR(INDEX(_ZIG_Cadastro!$G:$G,MATCH(I709,_ZIG_Cadastro!$A:$A,0)),IF(NOT(ISERROR(MATCH(I709,_Entradas_ZIG!$C:$C,0))),"Ativo","—"))</f>
        <v/>
      </c>
      <c r="N709" s="94">
        <f>IFERROR(INDEX(_ZIG_Cadastro!$E:$E,MATCH(I709,_ZIG_Cadastro!$A:$A,0)),IFERROR(INDEX(_Entradas_ZIG!$F:$F,MATCH(I709,_Entradas_ZIG!$C:$C,0)),"—"))</f>
        <v/>
      </c>
      <c r="O709" s="92">
        <f>IF(AND(ISNUMBER(SEARCH("Espeto",N709)),ISNUMBER(SEARCH("Carin",N709))),"SIM","")</f>
        <v/>
      </c>
      <c r="P709" s="92">
        <f>IF(AND(ISNUMBER(SEARCH("Espeto",N709)),ISNUMBER(SEARCH("Lapa",N709))),"SIM","")</f>
        <v/>
      </c>
      <c r="Q709" s="92">
        <f>IF(AND(ISNUMBER(SEARCH("Espeto",N709)),ISNUMBER(SEARCH("Tatuapé",N709))),"SIM","")</f>
        <v/>
      </c>
      <c r="R709" s="92">
        <f>IF(AND(ISNUMBER(SEARCH("Espeto",N709)),ISNUMBER(SEARCH("Pavão",N709))),"SIM","")</f>
        <v/>
      </c>
      <c r="S709" s="92">
        <f>IF(AND(ISNUMBER(SEARCH("Espeto",N709)),ISNUMBER(SEARCH("Chac",N709))),"SIM","")</f>
        <v/>
      </c>
      <c r="T709" s="92">
        <f>IF(AND(ISNUMBER(SEARCH("Espeto",N709)),ISNUMBER(SEARCH("Madalena",N709))),"SIM","")</f>
        <v/>
      </c>
      <c r="U709" s="92">
        <f>IF(AND(ISNUMBER(SEARCH("Espeto",N709)),ISNUMBER(SEARCH("Mariana",N709))),"SIM","")</f>
        <v/>
      </c>
      <c r="V709" s="92">
        <f>IF(AND(ISNUMBER(SEARCH("Espeto",N709)),ISNUMBER(SEARCH("Perdizes",N709))),"SIM","")</f>
        <v/>
      </c>
      <c r="W709" s="92">
        <f>IF(AND(ISNUMBER(SEARCH("Espeto",N709)),ISNUMBER(SEARCH("Santana",N709))),"SIM","")</f>
        <v/>
      </c>
      <c r="X709" s="92">
        <f>IF(AND(ISNUMBER(SEARCH("Espeto",N709)),ISNUMBER(SEARCH("André",N709))),"SIM","")</f>
        <v/>
      </c>
      <c r="Y709" s="92">
        <f>IF(AND(ISNUMBER(SEARCH("Delivery",N709)),ISNUMBER(SEARCH("Carin",N709))),"SIM","")</f>
        <v/>
      </c>
      <c r="Z709" s="92">
        <f>IF(AND(ISNUMBER(SEARCH("Delivery",N709)),ISNUMBER(SEARCH("Lapa",N709))),"SIM","")</f>
        <v/>
      </c>
      <c r="AA709" s="92">
        <f>IF(AND(ISNUMBER(SEARCH("Delivery",N709)),ISNUMBER(SEARCH("Tatuapé",N709))),"SIM","")</f>
        <v/>
      </c>
      <c r="AB709" s="92">
        <f>IF(AND(ISNUMBER(SEARCH("Delivery",N709)),ISNUMBER(SEARCH("Pavão",N709))),"SIM","")</f>
        <v/>
      </c>
      <c r="AC709" s="92">
        <f>IF(AND(ISNUMBER(SEARCH("Delivery",N709)),ISNUMBER(SEARCH("Chac",N709))),"SIM","")</f>
        <v/>
      </c>
      <c r="AD709" s="92">
        <f>IF(AND(ISNUMBER(SEARCH("Delivery",N709)),ISNUMBER(SEARCH("Madalena",N709))),"SIM","")</f>
        <v/>
      </c>
      <c r="AE709" s="99">
        <f>IF(AND(ISNUMBER(SEARCH("Delivery",N709)),ISNUMBER(SEARCH("Mariana",N709))),"SIM","")</f>
        <v/>
      </c>
      <c r="AF709" s="99">
        <f>IF(AND(ISNUMBER(SEARCH("Delivery",N709)),ISNUMBER(SEARCH("Perdizes",N709))),"SIM","")</f>
        <v/>
      </c>
      <c r="AG709" s="99">
        <f>IF(AND(ISNUMBER(SEARCH("Delivery",N709)),ISNUMBER(SEARCH("Santana",N709))),"SIM","")</f>
        <v/>
      </c>
      <c r="AH709" s="99">
        <f>IF(AND(ISNUMBER(SEARCH("Delivery",N709)),ISNUMBER(SEARCH("André",N709))),"SIM","")</f>
        <v/>
      </c>
      <c r="AI709" s="99">
        <f>IF(ISNUMBER(SEARCH("Interlagos",N709)),"SIM","")</f>
        <v/>
      </c>
      <c r="AJ709" s="99">
        <f>IF(ISNUMBER(SEARCH("Quiosque",N709)),"SIM","")</f>
        <v/>
      </c>
      <c r="AK709" s="101" t="n"/>
    </row>
    <row r="710">
      <c r="A710" s="88" t="inlineStr">
        <is>
          <t>Protheus</t>
        </is>
      </c>
      <c r="B710" s="89" t="inlineStr">
        <is>
          <t>001118</t>
        </is>
      </c>
      <c r="C710" s="90">
        <f>IF(B710="—","—",IFERROR(VLOOKUP(B710,_Protheus_Cadastro!$A:$B,2,FALSE),"—"))</f>
        <v/>
      </c>
      <c r="D710" s="91">
        <f>IF(B710="—",IFERROR(INDEX(_ZIG_Cadastro!$D:$D,MATCH(H710,_ZIG_Cadastro!$A:$A,0)),"Produto"),IFERROR(VLOOKUP(B710,_Protheus_Cadastro!$A:$C,3,FALSE),"—"))</f>
        <v/>
      </c>
      <c r="E710" s="91">
        <f>IF(B710="—","—",IFERROR(VLOOKUP(B710,_Protheus_Cadastro!$A:$D,4,FALSE),"—"))</f>
        <v/>
      </c>
      <c r="F710" s="91">
        <f>IF(ISERROR(VLOOKUP(B710,'Estrutura Protheus'!A:A,1,FALSE)),"Não","Sim")</f>
        <v/>
      </c>
      <c r="G710" s="92">
        <f>IFERROR(INDEX(_Protheus_Cadastro!$H:$H,MATCH(B710,_Protheus_Cadastro!$A:$A,0)),"—")</f>
        <v/>
      </c>
      <c r="H710" s="210">
        <f>IFERROR(INDEX(_ZIG_Precos!$D:$D,MATCH(I710,_ZIG_Precos!$F:$F,0)),"—")</f>
        <v/>
      </c>
      <c r="I710" s="95">
        <f>IFERROR(VLOOKUP(B710,_Protheus_Cadastro!$A:$I,9,FALSE),"—")</f>
        <v/>
      </c>
      <c r="J710" s="93">
        <f>IFERROR(INDEX(_ZIG_Cadastro!$B:$B,MATCH(I710,_ZIG_Cadastro!$A:$A,0)),IFERROR(INDEX(_Entradas_ZIG!$B:$B,MATCH(I710,_Entradas_ZIG!$C:$C,0)),"—"))</f>
        <v/>
      </c>
      <c r="K710" s="93">
        <f>IFERROR(INDEX(_ZIG_Cadastro!$C:$C,MATCH(I710,_ZIG_Cadastro!$A:$A,0)),IFERROR(INDEX(_Entradas_ZIG!$D:$D,MATCH(I710,_Entradas_ZIG!$C:$C,0)),"—"))</f>
        <v/>
      </c>
      <c r="L710" s="92">
        <f>IF(I710="","Sem SKU ZIG",IF(I710="—","Sem SKU ZIG",IF(NOT(ISERROR(MATCH(I710,_ZIG_Cadastro!$A:$A,0))),IF(EXACT(UPPER(TRIM(C710)),UPPER(TRIM(INDEX(_ZIG_Cadastro!$B:$B,MATCH(I710,_ZIG_Cadastro!$A:$A,0))))),"OK","Atencao - Nome diverge"),IF(NOT(ISERROR(MATCH(I710,_Entradas_ZIG!$C:$C,0))),"OK","Erro - SKU nao encontrado"))))</f>
        <v/>
      </c>
      <c r="M710" s="92">
        <f>IFERROR(INDEX(_ZIG_Cadastro!$G:$G,MATCH(I710,_ZIG_Cadastro!$A:$A,0)),IF(NOT(ISERROR(MATCH(I710,_Entradas_ZIG!$C:$C,0))),"Ativo","—"))</f>
        <v/>
      </c>
      <c r="N710" s="94">
        <f>IFERROR(INDEX(_ZIG_Cadastro!$E:$E,MATCH(I710,_ZIG_Cadastro!$A:$A,0)),IFERROR(INDEX(_Entradas_ZIG!$F:$F,MATCH(I710,_Entradas_ZIG!$C:$C,0)),"—"))</f>
        <v/>
      </c>
      <c r="O710" s="92">
        <f>IF(AND(ISNUMBER(SEARCH("Espeto",N710)),ISNUMBER(SEARCH("Carin",N710))),"SIM","")</f>
        <v/>
      </c>
      <c r="P710" s="92">
        <f>IF(AND(ISNUMBER(SEARCH("Espeto",N710)),ISNUMBER(SEARCH("Lapa",N710))),"SIM","")</f>
        <v/>
      </c>
      <c r="Q710" s="92">
        <f>IF(AND(ISNUMBER(SEARCH("Espeto",N710)),ISNUMBER(SEARCH("Tatuapé",N710))),"SIM","")</f>
        <v/>
      </c>
      <c r="R710" s="92">
        <f>IF(AND(ISNUMBER(SEARCH("Espeto",N710)),ISNUMBER(SEARCH("Pavão",N710))),"SIM","")</f>
        <v/>
      </c>
      <c r="S710" s="92">
        <f>IF(AND(ISNUMBER(SEARCH("Espeto",N710)),ISNUMBER(SEARCH("Chac",N710))),"SIM","")</f>
        <v/>
      </c>
      <c r="T710" s="92">
        <f>IF(AND(ISNUMBER(SEARCH("Espeto",N710)),ISNUMBER(SEARCH("Madalena",N710))),"SIM","")</f>
        <v/>
      </c>
      <c r="U710" s="92">
        <f>IF(AND(ISNUMBER(SEARCH("Espeto",N710)),ISNUMBER(SEARCH("Mariana",N710))),"SIM","")</f>
        <v/>
      </c>
      <c r="V710" s="92">
        <f>IF(AND(ISNUMBER(SEARCH("Espeto",N710)),ISNUMBER(SEARCH("Perdizes",N710))),"SIM","")</f>
        <v/>
      </c>
      <c r="W710" s="92">
        <f>IF(AND(ISNUMBER(SEARCH("Espeto",N710)),ISNUMBER(SEARCH("Santana",N710))),"SIM","")</f>
        <v/>
      </c>
      <c r="X710" s="92">
        <f>IF(AND(ISNUMBER(SEARCH("Espeto",N710)),ISNUMBER(SEARCH("André",N710))),"SIM","")</f>
        <v/>
      </c>
      <c r="Y710" s="92">
        <f>IF(AND(ISNUMBER(SEARCH("Delivery",N710)),ISNUMBER(SEARCH("Carin",N710))),"SIM","")</f>
        <v/>
      </c>
      <c r="Z710" s="92">
        <f>IF(AND(ISNUMBER(SEARCH("Delivery",N710)),ISNUMBER(SEARCH("Lapa",N710))),"SIM","")</f>
        <v/>
      </c>
      <c r="AA710" s="92">
        <f>IF(AND(ISNUMBER(SEARCH("Delivery",N710)),ISNUMBER(SEARCH("Tatuapé",N710))),"SIM","")</f>
        <v/>
      </c>
      <c r="AB710" s="92">
        <f>IF(AND(ISNUMBER(SEARCH("Delivery",N710)),ISNUMBER(SEARCH("Pavão",N710))),"SIM","")</f>
        <v/>
      </c>
      <c r="AC710" s="92">
        <f>IF(AND(ISNUMBER(SEARCH("Delivery",N710)),ISNUMBER(SEARCH("Chac",N710))),"SIM","")</f>
        <v/>
      </c>
      <c r="AD710" s="92">
        <f>IF(AND(ISNUMBER(SEARCH("Delivery",N710)),ISNUMBER(SEARCH("Madalena",N710))),"SIM","")</f>
        <v/>
      </c>
      <c r="AE710" s="99">
        <f>IF(AND(ISNUMBER(SEARCH("Delivery",N710)),ISNUMBER(SEARCH("Mariana",N710))),"SIM","")</f>
        <v/>
      </c>
      <c r="AF710" s="99">
        <f>IF(AND(ISNUMBER(SEARCH("Delivery",N710)),ISNUMBER(SEARCH("Perdizes",N710))),"SIM","")</f>
        <v/>
      </c>
      <c r="AG710" s="99">
        <f>IF(AND(ISNUMBER(SEARCH("Delivery",N710)),ISNUMBER(SEARCH("Santana",N710))),"SIM","")</f>
        <v/>
      </c>
      <c r="AH710" s="99">
        <f>IF(AND(ISNUMBER(SEARCH("Delivery",N710)),ISNUMBER(SEARCH("André",N710))),"SIM","")</f>
        <v/>
      </c>
      <c r="AI710" s="99">
        <f>IF(ISNUMBER(SEARCH("Interlagos",N710)),"SIM","")</f>
        <v/>
      </c>
      <c r="AJ710" s="99">
        <f>IF(ISNUMBER(SEARCH("Quiosque",N710)),"SIM","")</f>
        <v/>
      </c>
      <c r="AK710" s="101" t="n"/>
    </row>
    <row r="711">
      <c r="A711" s="88" t="inlineStr">
        <is>
          <t>Protheus</t>
        </is>
      </c>
      <c r="B711" s="89" t="inlineStr">
        <is>
          <t>001119</t>
        </is>
      </c>
      <c r="C711" s="90">
        <f>IF(B711="—","—",IFERROR(VLOOKUP(B711,_Protheus_Cadastro!$A:$B,2,FALSE),"—"))</f>
        <v/>
      </c>
      <c r="D711" s="91">
        <f>IF(B711="—",IFERROR(INDEX(_ZIG_Cadastro!$D:$D,MATCH(H711,_ZIG_Cadastro!$A:$A,0)),"Produto"),IFERROR(VLOOKUP(B711,_Protheus_Cadastro!$A:$C,3,FALSE),"—"))</f>
        <v/>
      </c>
      <c r="E711" s="91">
        <f>IF(B711="—","—",IFERROR(VLOOKUP(B711,_Protheus_Cadastro!$A:$D,4,FALSE),"—"))</f>
        <v/>
      </c>
      <c r="F711" s="91">
        <f>IF(ISERROR(VLOOKUP(B711,'Estrutura Protheus'!A:A,1,FALSE)),"Não","Sim")</f>
        <v/>
      </c>
      <c r="G711" s="92">
        <f>IFERROR(INDEX(_Protheus_Cadastro!$H:$H,MATCH(B711,_Protheus_Cadastro!$A:$A,0)),"—")</f>
        <v/>
      </c>
      <c r="H711" s="210">
        <f>IFERROR(INDEX(_ZIG_Precos!$D:$D,MATCH(I711,_ZIG_Precos!$F:$F,0)),"—")</f>
        <v/>
      </c>
      <c r="I711" s="95">
        <f>IFERROR(VLOOKUP(B711,_Protheus_Cadastro!$A:$I,9,FALSE),"—")</f>
        <v/>
      </c>
      <c r="J711" s="93">
        <f>IFERROR(INDEX(_ZIG_Cadastro!$B:$B,MATCH(I711,_ZIG_Cadastro!$A:$A,0)),IFERROR(INDEX(_Entradas_ZIG!$B:$B,MATCH(I711,_Entradas_ZIG!$C:$C,0)),"—"))</f>
        <v/>
      </c>
      <c r="K711" s="93">
        <f>IFERROR(INDEX(_ZIG_Cadastro!$C:$C,MATCH(I711,_ZIG_Cadastro!$A:$A,0)),IFERROR(INDEX(_Entradas_ZIG!$D:$D,MATCH(I711,_Entradas_ZIG!$C:$C,0)),"—"))</f>
        <v/>
      </c>
      <c r="L711" s="92">
        <f>IF(I711="","Sem SKU ZIG",IF(I711="—","Sem SKU ZIG",IF(NOT(ISERROR(MATCH(I711,_ZIG_Cadastro!$A:$A,0))),IF(EXACT(UPPER(TRIM(C711)),UPPER(TRIM(INDEX(_ZIG_Cadastro!$B:$B,MATCH(I711,_ZIG_Cadastro!$A:$A,0))))),"OK","Atencao - Nome diverge"),IF(NOT(ISERROR(MATCH(I711,_Entradas_ZIG!$C:$C,0))),"OK","Erro - SKU nao encontrado"))))</f>
        <v/>
      </c>
      <c r="M711" s="92">
        <f>IFERROR(INDEX(_ZIG_Cadastro!$G:$G,MATCH(I711,_ZIG_Cadastro!$A:$A,0)),IF(NOT(ISERROR(MATCH(I711,_Entradas_ZIG!$C:$C,0))),"Ativo","—"))</f>
        <v/>
      </c>
      <c r="N711" s="94">
        <f>IFERROR(INDEX(_ZIG_Cadastro!$E:$E,MATCH(I711,_ZIG_Cadastro!$A:$A,0)),IFERROR(INDEX(_Entradas_ZIG!$F:$F,MATCH(I711,_Entradas_ZIG!$C:$C,0)),"—"))</f>
        <v/>
      </c>
      <c r="O711" s="92">
        <f>IF(AND(ISNUMBER(SEARCH("Espeto",N711)),ISNUMBER(SEARCH("Carin",N711))),"SIM","")</f>
        <v/>
      </c>
      <c r="P711" s="92">
        <f>IF(AND(ISNUMBER(SEARCH("Espeto",N711)),ISNUMBER(SEARCH("Lapa",N711))),"SIM","")</f>
        <v/>
      </c>
      <c r="Q711" s="92">
        <f>IF(AND(ISNUMBER(SEARCH("Espeto",N711)),ISNUMBER(SEARCH("Tatuapé",N711))),"SIM","")</f>
        <v/>
      </c>
      <c r="R711" s="92">
        <f>IF(AND(ISNUMBER(SEARCH("Espeto",N711)),ISNUMBER(SEARCH("Pavão",N711))),"SIM","")</f>
        <v/>
      </c>
      <c r="S711" s="92">
        <f>IF(AND(ISNUMBER(SEARCH("Espeto",N711)),ISNUMBER(SEARCH("Chac",N711))),"SIM","")</f>
        <v/>
      </c>
      <c r="T711" s="92">
        <f>IF(AND(ISNUMBER(SEARCH("Espeto",N711)),ISNUMBER(SEARCH("Madalena",N711))),"SIM","")</f>
        <v/>
      </c>
      <c r="U711" s="92">
        <f>IF(AND(ISNUMBER(SEARCH("Espeto",N711)),ISNUMBER(SEARCH("Mariana",N711))),"SIM","")</f>
        <v/>
      </c>
      <c r="V711" s="92">
        <f>IF(AND(ISNUMBER(SEARCH("Espeto",N711)),ISNUMBER(SEARCH("Perdizes",N711))),"SIM","")</f>
        <v/>
      </c>
      <c r="W711" s="92">
        <f>IF(AND(ISNUMBER(SEARCH("Espeto",N711)),ISNUMBER(SEARCH("Santana",N711))),"SIM","")</f>
        <v/>
      </c>
      <c r="X711" s="92">
        <f>IF(AND(ISNUMBER(SEARCH("Espeto",N711)),ISNUMBER(SEARCH("André",N711))),"SIM","")</f>
        <v/>
      </c>
      <c r="Y711" s="92">
        <f>IF(AND(ISNUMBER(SEARCH("Delivery",N711)),ISNUMBER(SEARCH("Carin",N711))),"SIM","")</f>
        <v/>
      </c>
      <c r="Z711" s="92">
        <f>IF(AND(ISNUMBER(SEARCH("Delivery",N711)),ISNUMBER(SEARCH("Lapa",N711))),"SIM","")</f>
        <v/>
      </c>
      <c r="AA711" s="92">
        <f>IF(AND(ISNUMBER(SEARCH("Delivery",N711)),ISNUMBER(SEARCH("Tatuapé",N711))),"SIM","")</f>
        <v/>
      </c>
      <c r="AB711" s="92">
        <f>IF(AND(ISNUMBER(SEARCH("Delivery",N711)),ISNUMBER(SEARCH("Pavão",N711))),"SIM","")</f>
        <v/>
      </c>
      <c r="AC711" s="92">
        <f>IF(AND(ISNUMBER(SEARCH("Delivery",N711)),ISNUMBER(SEARCH("Chac",N711))),"SIM","")</f>
        <v/>
      </c>
      <c r="AD711" s="92">
        <f>IF(AND(ISNUMBER(SEARCH("Delivery",N711)),ISNUMBER(SEARCH("Madalena",N711))),"SIM","")</f>
        <v/>
      </c>
      <c r="AE711" s="99">
        <f>IF(AND(ISNUMBER(SEARCH("Delivery",N711)),ISNUMBER(SEARCH("Mariana",N711))),"SIM","")</f>
        <v/>
      </c>
      <c r="AF711" s="99">
        <f>IF(AND(ISNUMBER(SEARCH("Delivery",N711)),ISNUMBER(SEARCH("Perdizes",N711))),"SIM","")</f>
        <v/>
      </c>
      <c r="AG711" s="99">
        <f>IF(AND(ISNUMBER(SEARCH("Delivery",N711)),ISNUMBER(SEARCH("Santana",N711))),"SIM","")</f>
        <v/>
      </c>
      <c r="AH711" s="99">
        <f>IF(AND(ISNUMBER(SEARCH("Delivery",N711)),ISNUMBER(SEARCH("André",N711))),"SIM","")</f>
        <v/>
      </c>
      <c r="AI711" s="99">
        <f>IF(ISNUMBER(SEARCH("Interlagos",N711)),"SIM","")</f>
        <v/>
      </c>
      <c r="AJ711" s="99">
        <f>IF(ISNUMBER(SEARCH("Quiosque",N711)),"SIM","")</f>
        <v/>
      </c>
      <c r="AK711" s="101" t="n"/>
    </row>
    <row r="712">
      <c r="A712" s="88" t="inlineStr">
        <is>
          <t>Protheus</t>
        </is>
      </c>
      <c r="B712" s="89" t="inlineStr">
        <is>
          <t>001120</t>
        </is>
      </c>
      <c r="C712" s="90">
        <f>IF(B712="—","—",IFERROR(VLOOKUP(B712,_Protheus_Cadastro!$A:$B,2,FALSE),"—"))</f>
        <v/>
      </c>
      <c r="D712" s="91">
        <f>IF(B712="—",IFERROR(INDEX(_ZIG_Cadastro!$D:$D,MATCH(H712,_ZIG_Cadastro!$A:$A,0)),"Produto"),IFERROR(VLOOKUP(B712,_Protheus_Cadastro!$A:$C,3,FALSE),"—"))</f>
        <v/>
      </c>
      <c r="E712" s="91">
        <f>IF(B712="—","—",IFERROR(VLOOKUP(B712,_Protheus_Cadastro!$A:$D,4,FALSE),"—"))</f>
        <v/>
      </c>
      <c r="F712" s="91">
        <f>IF(ISERROR(VLOOKUP(B712,'Estrutura Protheus'!A:A,1,FALSE)),"Não","Sim")</f>
        <v/>
      </c>
      <c r="G712" s="92">
        <f>IFERROR(INDEX(_Protheus_Cadastro!$H:$H,MATCH(B712,_Protheus_Cadastro!$A:$A,0)),"—")</f>
        <v/>
      </c>
      <c r="H712" s="210">
        <f>IFERROR(INDEX(_ZIG_Precos!$D:$D,MATCH(I712,_ZIG_Precos!$F:$F,0)),"—")</f>
        <v/>
      </c>
      <c r="I712" s="95">
        <f>IFERROR(VLOOKUP(B712,_Protheus_Cadastro!$A:$I,9,FALSE),"—")</f>
        <v/>
      </c>
      <c r="J712" s="93">
        <f>IFERROR(INDEX(_ZIG_Cadastro!$B:$B,MATCH(I712,_ZIG_Cadastro!$A:$A,0)),IFERROR(INDEX(_Entradas_ZIG!$B:$B,MATCH(I712,_Entradas_ZIG!$C:$C,0)),"—"))</f>
        <v/>
      </c>
      <c r="K712" s="93">
        <f>IFERROR(INDEX(_ZIG_Cadastro!$C:$C,MATCH(I712,_ZIG_Cadastro!$A:$A,0)),IFERROR(INDEX(_Entradas_ZIG!$D:$D,MATCH(I712,_Entradas_ZIG!$C:$C,0)),"—"))</f>
        <v/>
      </c>
      <c r="L712" s="92">
        <f>IF(I712="","Sem SKU ZIG",IF(I712="—","Sem SKU ZIG",IF(NOT(ISERROR(MATCH(I712,_ZIG_Cadastro!$A:$A,0))),IF(EXACT(UPPER(TRIM(C712)),UPPER(TRIM(INDEX(_ZIG_Cadastro!$B:$B,MATCH(I712,_ZIG_Cadastro!$A:$A,0))))),"OK","Atencao - Nome diverge"),IF(NOT(ISERROR(MATCH(I712,_Entradas_ZIG!$C:$C,0))),"OK","Erro - SKU nao encontrado"))))</f>
        <v/>
      </c>
      <c r="M712" s="92">
        <f>IFERROR(INDEX(_ZIG_Cadastro!$G:$G,MATCH(I712,_ZIG_Cadastro!$A:$A,0)),IF(NOT(ISERROR(MATCH(I712,_Entradas_ZIG!$C:$C,0))),"Ativo","—"))</f>
        <v/>
      </c>
      <c r="N712" s="94">
        <f>IFERROR(INDEX(_ZIG_Cadastro!$E:$E,MATCH(I712,_ZIG_Cadastro!$A:$A,0)),IFERROR(INDEX(_Entradas_ZIG!$F:$F,MATCH(I712,_Entradas_ZIG!$C:$C,0)),"—"))</f>
        <v/>
      </c>
      <c r="O712" s="92">
        <f>IF(AND(ISNUMBER(SEARCH("Espeto",N712)),ISNUMBER(SEARCH("Carin",N712))),"SIM","")</f>
        <v/>
      </c>
      <c r="P712" s="92">
        <f>IF(AND(ISNUMBER(SEARCH("Espeto",N712)),ISNUMBER(SEARCH("Lapa",N712))),"SIM","")</f>
        <v/>
      </c>
      <c r="Q712" s="92">
        <f>IF(AND(ISNUMBER(SEARCH("Espeto",N712)),ISNUMBER(SEARCH("Tatuapé",N712))),"SIM","")</f>
        <v/>
      </c>
      <c r="R712" s="92">
        <f>IF(AND(ISNUMBER(SEARCH("Espeto",N712)),ISNUMBER(SEARCH("Pavão",N712))),"SIM","")</f>
        <v/>
      </c>
      <c r="S712" s="92">
        <f>IF(AND(ISNUMBER(SEARCH("Espeto",N712)),ISNUMBER(SEARCH("Chac",N712))),"SIM","")</f>
        <v/>
      </c>
      <c r="T712" s="92">
        <f>IF(AND(ISNUMBER(SEARCH("Espeto",N712)),ISNUMBER(SEARCH("Madalena",N712))),"SIM","")</f>
        <v/>
      </c>
      <c r="U712" s="92">
        <f>IF(AND(ISNUMBER(SEARCH("Espeto",N712)),ISNUMBER(SEARCH("Mariana",N712))),"SIM","")</f>
        <v/>
      </c>
      <c r="V712" s="92">
        <f>IF(AND(ISNUMBER(SEARCH("Espeto",N712)),ISNUMBER(SEARCH("Perdizes",N712))),"SIM","")</f>
        <v/>
      </c>
      <c r="W712" s="92">
        <f>IF(AND(ISNUMBER(SEARCH("Espeto",N712)),ISNUMBER(SEARCH("Santana",N712))),"SIM","")</f>
        <v/>
      </c>
      <c r="X712" s="92">
        <f>IF(AND(ISNUMBER(SEARCH("Espeto",N712)),ISNUMBER(SEARCH("André",N712))),"SIM","")</f>
        <v/>
      </c>
      <c r="Y712" s="92">
        <f>IF(AND(ISNUMBER(SEARCH("Delivery",N712)),ISNUMBER(SEARCH("Carin",N712))),"SIM","")</f>
        <v/>
      </c>
      <c r="Z712" s="92">
        <f>IF(AND(ISNUMBER(SEARCH("Delivery",N712)),ISNUMBER(SEARCH("Lapa",N712))),"SIM","")</f>
        <v/>
      </c>
      <c r="AA712" s="92">
        <f>IF(AND(ISNUMBER(SEARCH("Delivery",N712)),ISNUMBER(SEARCH("Tatuapé",N712))),"SIM","")</f>
        <v/>
      </c>
      <c r="AB712" s="92">
        <f>IF(AND(ISNUMBER(SEARCH("Delivery",N712)),ISNUMBER(SEARCH("Pavão",N712))),"SIM","")</f>
        <v/>
      </c>
      <c r="AC712" s="92">
        <f>IF(AND(ISNUMBER(SEARCH("Delivery",N712)),ISNUMBER(SEARCH("Chac",N712))),"SIM","")</f>
        <v/>
      </c>
      <c r="AD712" s="92">
        <f>IF(AND(ISNUMBER(SEARCH("Delivery",N712)),ISNUMBER(SEARCH("Madalena",N712))),"SIM","")</f>
        <v/>
      </c>
      <c r="AE712" s="99">
        <f>IF(AND(ISNUMBER(SEARCH("Delivery",N712)),ISNUMBER(SEARCH("Mariana",N712))),"SIM","")</f>
        <v/>
      </c>
      <c r="AF712" s="99">
        <f>IF(AND(ISNUMBER(SEARCH("Delivery",N712)),ISNUMBER(SEARCH("Perdizes",N712))),"SIM","")</f>
        <v/>
      </c>
      <c r="AG712" s="99">
        <f>IF(AND(ISNUMBER(SEARCH("Delivery",N712)),ISNUMBER(SEARCH("Santana",N712))),"SIM","")</f>
        <v/>
      </c>
      <c r="AH712" s="99">
        <f>IF(AND(ISNUMBER(SEARCH("Delivery",N712)),ISNUMBER(SEARCH("André",N712))),"SIM","")</f>
        <v/>
      </c>
      <c r="AI712" s="99">
        <f>IF(ISNUMBER(SEARCH("Interlagos",N712)),"SIM","")</f>
        <v/>
      </c>
      <c r="AJ712" s="99">
        <f>IF(ISNUMBER(SEARCH("Quiosque",N712)),"SIM","")</f>
        <v/>
      </c>
      <c r="AK712" s="101" t="n"/>
    </row>
    <row r="713">
      <c r="A713" s="88" t="inlineStr">
        <is>
          <t>Protheus</t>
        </is>
      </c>
      <c r="B713" s="89" t="inlineStr">
        <is>
          <t>001121</t>
        </is>
      </c>
      <c r="C713" s="90">
        <f>IF(B713="—","—",IFERROR(VLOOKUP(B713,_Protheus_Cadastro!$A:$B,2,FALSE),"—"))</f>
        <v/>
      </c>
      <c r="D713" s="91">
        <f>IF(B713="—",IFERROR(INDEX(_ZIG_Cadastro!$D:$D,MATCH(H713,_ZIG_Cadastro!$A:$A,0)),"Produto"),IFERROR(VLOOKUP(B713,_Protheus_Cadastro!$A:$C,3,FALSE),"—"))</f>
        <v/>
      </c>
      <c r="E713" s="91">
        <f>IF(B713="—","—",IFERROR(VLOOKUP(B713,_Protheus_Cadastro!$A:$D,4,FALSE),"—"))</f>
        <v/>
      </c>
      <c r="F713" s="91">
        <f>IF(ISERROR(VLOOKUP(B713,'Estrutura Protheus'!A:A,1,FALSE)),"Não","Sim")</f>
        <v/>
      </c>
      <c r="G713" s="92">
        <f>IFERROR(INDEX(_Protheus_Cadastro!$H:$H,MATCH(B713,_Protheus_Cadastro!$A:$A,0)),"—")</f>
        <v/>
      </c>
      <c r="H713" s="210">
        <f>IFERROR(INDEX(_ZIG_Precos!$D:$D,MATCH(I713,_ZIG_Precos!$F:$F,0)),"—")</f>
        <v/>
      </c>
      <c r="I713" s="95">
        <f>IFERROR(VLOOKUP(B713,_Protheus_Cadastro!$A:$I,9,FALSE),"—")</f>
        <v/>
      </c>
      <c r="J713" s="93">
        <f>IFERROR(INDEX(_ZIG_Cadastro!$B:$B,MATCH(I713,_ZIG_Cadastro!$A:$A,0)),IFERROR(INDEX(_Entradas_ZIG!$B:$B,MATCH(I713,_Entradas_ZIG!$C:$C,0)),"—"))</f>
        <v/>
      </c>
      <c r="K713" s="93">
        <f>IFERROR(INDEX(_ZIG_Cadastro!$C:$C,MATCH(I713,_ZIG_Cadastro!$A:$A,0)),IFERROR(INDEX(_Entradas_ZIG!$D:$D,MATCH(I713,_Entradas_ZIG!$C:$C,0)),"—"))</f>
        <v/>
      </c>
      <c r="L713" s="92">
        <f>IF(I713="","Sem SKU ZIG",IF(I713="—","Sem SKU ZIG",IF(NOT(ISERROR(MATCH(I713,_ZIG_Cadastro!$A:$A,0))),IF(EXACT(UPPER(TRIM(C713)),UPPER(TRIM(INDEX(_ZIG_Cadastro!$B:$B,MATCH(I713,_ZIG_Cadastro!$A:$A,0))))),"OK","Atencao - Nome diverge"),IF(NOT(ISERROR(MATCH(I713,_Entradas_ZIG!$C:$C,0))),"OK","Erro - SKU nao encontrado"))))</f>
        <v/>
      </c>
      <c r="M713" s="92">
        <f>IFERROR(INDEX(_ZIG_Cadastro!$G:$G,MATCH(I713,_ZIG_Cadastro!$A:$A,0)),IF(NOT(ISERROR(MATCH(I713,_Entradas_ZIG!$C:$C,0))),"Ativo","—"))</f>
        <v/>
      </c>
      <c r="N713" s="94">
        <f>IFERROR(INDEX(_ZIG_Cadastro!$E:$E,MATCH(I713,_ZIG_Cadastro!$A:$A,0)),IFERROR(INDEX(_Entradas_ZIG!$F:$F,MATCH(I713,_Entradas_ZIG!$C:$C,0)),"—"))</f>
        <v/>
      </c>
      <c r="O713" s="92">
        <f>IF(AND(ISNUMBER(SEARCH("Espeto",N713)),ISNUMBER(SEARCH("Carin",N713))),"SIM","")</f>
        <v/>
      </c>
      <c r="P713" s="92">
        <f>IF(AND(ISNUMBER(SEARCH("Espeto",N713)),ISNUMBER(SEARCH("Lapa",N713))),"SIM","")</f>
        <v/>
      </c>
      <c r="Q713" s="92">
        <f>IF(AND(ISNUMBER(SEARCH("Espeto",N713)),ISNUMBER(SEARCH("Tatuapé",N713))),"SIM","")</f>
        <v/>
      </c>
      <c r="R713" s="92">
        <f>IF(AND(ISNUMBER(SEARCH("Espeto",N713)),ISNUMBER(SEARCH("Pavão",N713))),"SIM","")</f>
        <v/>
      </c>
      <c r="S713" s="92">
        <f>IF(AND(ISNUMBER(SEARCH("Espeto",N713)),ISNUMBER(SEARCH("Chac",N713))),"SIM","")</f>
        <v/>
      </c>
      <c r="T713" s="92">
        <f>IF(AND(ISNUMBER(SEARCH("Espeto",N713)),ISNUMBER(SEARCH("Madalena",N713))),"SIM","")</f>
        <v/>
      </c>
      <c r="U713" s="92">
        <f>IF(AND(ISNUMBER(SEARCH("Espeto",N713)),ISNUMBER(SEARCH("Mariana",N713))),"SIM","")</f>
        <v/>
      </c>
      <c r="V713" s="92">
        <f>IF(AND(ISNUMBER(SEARCH("Espeto",N713)),ISNUMBER(SEARCH("Perdizes",N713))),"SIM","")</f>
        <v/>
      </c>
      <c r="W713" s="92">
        <f>IF(AND(ISNUMBER(SEARCH("Espeto",N713)),ISNUMBER(SEARCH("Santana",N713))),"SIM","")</f>
        <v/>
      </c>
      <c r="X713" s="92">
        <f>IF(AND(ISNUMBER(SEARCH("Espeto",N713)),ISNUMBER(SEARCH("André",N713))),"SIM","")</f>
        <v/>
      </c>
      <c r="Y713" s="92">
        <f>IF(AND(ISNUMBER(SEARCH("Delivery",N713)),ISNUMBER(SEARCH("Carin",N713))),"SIM","")</f>
        <v/>
      </c>
      <c r="Z713" s="92">
        <f>IF(AND(ISNUMBER(SEARCH("Delivery",N713)),ISNUMBER(SEARCH("Lapa",N713))),"SIM","")</f>
        <v/>
      </c>
      <c r="AA713" s="92">
        <f>IF(AND(ISNUMBER(SEARCH("Delivery",N713)),ISNUMBER(SEARCH("Tatuapé",N713))),"SIM","")</f>
        <v/>
      </c>
      <c r="AB713" s="92">
        <f>IF(AND(ISNUMBER(SEARCH("Delivery",N713)),ISNUMBER(SEARCH("Pavão",N713))),"SIM","")</f>
        <v/>
      </c>
      <c r="AC713" s="92">
        <f>IF(AND(ISNUMBER(SEARCH("Delivery",N713)),ISNUMBER(SEARCH("Chac",N713))),"SIM","")</f>
        <v/>
      </c>
      <c r="AD713" s="92">
        <f>IF(AND(ISNUMBER(SEARCH("Delivery",N713)),ISNUMBER(SEARCH("Madalena",N713))),"SIM","")</f>
        <v/>
      </c>
      <c r="AE713" s="99">
        <f>IF(AND(ISNUMBER(SEARCH("Delivery",N713)),ISNUMBER(SEARCH("Mariana",N713))),"SIM","")</f>
        <v/>
      </c>
      <c r="AF713" s="99">
        <f>IF(AND(ISNUMBER(SEARCH("Delivery",N713)),ISNUMBER(SEARCH("Perdizes",N713))),"SIM","")</f>
        <v/>
      </c>
      <c r="AG713" s="99">
        <f>IF(AND(ISNUMBER(SEARCH("Delivery",N713)),ISNUMBER(SEARCH("Santana",N713))),"SIM","")</f>
        <v/>
      </c>
      <c r="AH713" s="99">
        <f>IF(AND(ISNUMBER(SEARCH("Delivery",N713)),ISNUMBER(SEARCH("André",N713))),"SIM","")</f>
        <v/>
      </c>
      <c r="AI713" s="99">
        <f>IF(ISNUMBER(SEARCH("Interlagos",N713)),"SIM","")</f>
        <v/>
      </c>
      <c r="AJ713" s="99">
        <f>IF(ISNUMBER(SEARCH("Quiosque",N713)),"SIM","")</f>
        <v/>
      </c>
      <c r="AK713" s="101" t="n"/>
    </row>
    <row r="714">
      <c r="A714" s="88" t="inlineStr">
        <is>
          <t>Protheus</t>
        </is>
      </c>
      <c r="B714" s="89" t="inlineStr">
        <is>
          <t>001122</t>
        </is>
      </c>
      <c r="C714" s="90">
        <f>IF(B714="—","—",IFERROR(VLOOKUP(B714,_Protheus_Cadastro!$A:$B,2,FALSE),"—"))</f>
        <v/>
      </c>
      <c r="D714" s="91">
        <f>IF(B714="—",IFERROR(INDEX(_ZIG_Cadastro!$D:$D,MATCH(H714,_ZIG_Cadastro!$A:$A,0)),"Produto"),IFERROR(VLOOKUP(B714,_Protheus_Cadastro!$A:$C,3,FALSE),"—"))</f>
        <v/>
      </c>
      <c r="E714" s="91">
        <f>IF(B714="—","—",IFERROR(VLOOKUP(B714,_Protheus_Cadastro!$A:$D,4,FALSE),"—"))</f>
        <v/>
      </c>
      <c r="F714" s="91">
        <f>IF(ISERROR(VLOOKUP(B714,'Estrutura Protheus'!A:A,1,FALSE)),"Não","Sim")</f>
        <v/>
      </c>
      <c r="G714" s="92">
        <f>IFERROR(INDEX(_Protheus_Cadastro!$H:$H,MATCH(B714,_Protheus_Cadastro!$A:$A,0)),"—")</f>
        <v/>
      </c>
      <c r="H714" s="210">
        <f>IFERROR(INDEX(_ZIG_Precos!$D:$D,MATCH(I714,_ZIG_Precos!$F:$F,0)),"—")</f>
        <v/>
      </c>
      <c r="I714" s="95">
        <f>IFERROR(VLOOKUP(B714,_Protheus_Cadastro!$A:$I,9,FALSE),"—")</f>
        <v/>
      </c>
      <c r="J714" s="93">
        <f>IFERROR(INDEX(_ZIG_Cadastro!$B:$B,MATCH(I714,_ZIG_Cadastro!$A:$A,0)),IFERROR(INDEX(_Entradas_ZIG!$B:$B,MATCH(I714,_Entradas_ZIG!$C:$C,0)),"—"))</f>
        <v/>
      </c>
      <c r="K714" s="93">
        <f>IFERROR(INDEX(_ZIG_Cadastro!$C:$C,MATCH(I714,_ZIG_Cadastro!$A:$A,0)),IFERROR(INDEX(_Entradas_ZIG!$D:$D,MATCH(I714,_Entradas_ZIG!$C:$C,0)),"—"))</f>
        <v/>
      </c>
      <c r="L714" s="92">
        <f>IF(I714="","Sem SKU ZIG",IF(I714="—","Sem SKU ZIG",IF(NOT(ISERROR(MATCH(I714,_ZIG_Cadastro!$A:$A,0))),IF(EXACT(UPPER(TRIM(C714)),UPPER(TRIM(INDEX(_ZIG_Cadastro!$B:$B,MATCH(I714,_ZIG_Cadastro!$A:$A,0))))),"OK","Atencao - Nome diverge"),IF(NOT(ISERROR(MATCH(I714,_Entradas_ZIG!$C:$C,0))),"OK","Erro - SKU nao encontrado"))))</f>
        <v/>
      </c>
      <c r="M714" s="92">
        <f>IFERROR(INDEX(_ZIG_Cadastro!$G:$G,MATCH(I714,_ZIG_Cadastro!$A:$A,0)),IF(NOT(ISERROR(MATCH(I714,_Entradas_ZIG!$C:$C,0))),"Ativo","—"))</f>
        <v/>
      </c>
      <c r="N714" s="94">
        <f>IFERROR(INDEX(_ZIG_Cadastro!$E:$E,MATCH(I714,_ZIG_Cadastro!$A:$A,0)),IFERROR(INDEX(_Entradas_ZIG!$F:$F,MATCH(I714,_Entradas_ZIG!$C:$C,0)),"—"))</f>
        <v/>
      </c>
      <c r="O714" s="92">
        <f>IF(AND(ISNUMBER(SEARCH("Espeto",N714)),ISNUMBER(SEARCH("Carin",N714))),"SIM","")</f>
        <v/>
      </c>
      <c r="P714" s="92">
        <f>IF(AND(ISNUMBER(SEARCH("Espeto",N714)),ISNUMBER(SEARCH("Lapa",N714))),"SIM","")</f>
        <v/>
      </c>
      <c r="Q714" s="92">
        <f>IF(AND(ISNUMBER(SEARCH("Espeto",N714)),ISNUMBER(SEARCH("Tatuapé",N714))),"SIM","")</f>
        <v/>
      </c>
      <c r="R714" s="92">
        <f>IF(AND(ISNUMBER(SEARCH("Espeto",N714)),ISNUMBER(SEARCH("Pavão",N714))),"SIM","")</f>
        <v/>
      </c>
      <c r="S714" s="92">
        <f>IF(AND(ISNUMBER(SEARCH("Espeto",N714)),ISNUMBER(SEARCH("Chac",N714))),"SIM","")</f>
        <v/>
      </c>
      <c r="T714" s="92">
        <f>IF(AND(ISNUMBER(SEARCH("Espeto",N714)),ISNUMBER(SEARCH("Madalena",N714))),"SIM","")</f>
        <v/>
      </c>
      <c r="U714" s="92">
        <f>IF(AND(ISNUMBER(SEARCH("Espeto",N714)),ISNUMBER(SEARCH("Mariana",N714))),"SIM","")</f>
        <v/>
      </c>
      <c r="V714" s="92">
        <f>IF(AND(ISNUMBER(SEARCH("Espeto",N714)),ISNUMBER(SEARCH("Perdizes",N714))),"SIM","")</f>
        <v/>
      </c>
      <c r="W714" s="92">
        <f>IF(AND(ISNUMBER(SEARCH("Espeto",N714)),ISNUMBER(SEARCH("Santana",N714))),"SIM","")</f>
        <v/>
      </c>
      <c r="X714" s="92">
        <f>IF(AND(ISNUMBER(SEARCH("Espeto",N714)),ISNUMBER(SEARCH("André",N714))),"SIM","")</f>
        <v/>
      </c>
      <c r="Y714" s="92">
        <f>IF(AND(ISNUMBER(SEARCH("Delivery",N714)),ISNUMBER(SEARCH("Carin",N714))),"SIM","")</f>
        <v/>
      </c>
      <c r="Z714" s="92">
        <f>IF(AND(ISNUMBER(SEARCH("Delivery",N714)),ISNUMBER(SEARCH("Lapa",N714))),"SIM","")</f>
        <v/>
      </c>
      <c r="AA714" s="92">
        <f>IF(AND(ISNUMBER(SEARCH("Delivery",N714)),ISNUMBER(SEARCH("Tatuapé",N714))),"SIM","")</f>
        <v/>
      </c>
      <c r="AB714" s="92">
        <f>IF(AND(ISNUMBER(SEARCH("Delivery",N714)),ISNUMBER(SEARCH("Pavão",N714))),"SIM","")</f>
        <v/>
      </c>
      <c r="AC714" s="92">
        <f>IF(AND(ISNUMBER(SEARCH("Delivery",N714)),ISNUMBER(SEARCH("Chac",N714))),"SIM","")</f>
        <v/>
      </c>
      <c r="AD714" s="92">
        <f>IF(AND(ISNUMBER(SEARCH("Delivery",N714)),ISNUMBER(SEARCH("Madalena",N714))),"SIM","")</f>
        <v/>
      </c>
      <c r="AE714" s="99">
        <f>IF(AND(ISNUMBER(SEARCH("Delivery",N714)),ISNUMBER(SEARCH("Mariana",N714))),"SIM","")</f>
        <v/>
      </c>
      <c r="AF714" s="99">
        <f>IF(AND(ISNUMBER(SEARCH("Delivery",N714)),ISNUMBER(SEARCH("Perdizes",N714))),"SIM","")</f>
        <v/>
      </c>
      <c r="AG714" s="99">
        <f>IF(AND(ISNUMBER(SEARCH("Delivery",N714)),ISNUMBER(SEARCH("Santana",N714))),"SIM","")</f>
        <v/>
      </c>
      <c r="AH714" s="99">
        <f>IF(AND(ISNUMBER(SEARCH("Delivery",N714)),ISNUMBER(SEARCH("André",N714))),"SIM","")</f>
        <v/>
      </c>
      <c r="AI714" s="99">
        <f>IF(ISNUMBER(SEARCH("Interlagos",N714)),"SIM","")</f>
        <v/>
      </c>
      <c r="AJ714" s="99">
        <f>IF(ISNUMBER(SEARCH("Quiosque",N714)),"SIM","")</f>
        <v/>
      </c>
      <c r="AK714" s="101" t="n"/>
    </row>
    <row r="715">
      <c r="A715" s="88" t="inlineStr">
        <is>
          <t>Protheus</t>
        </is>
      </c>
      <c r="B715" s="89" t="inlineStr">
        <is>
          <t>001124</t>
        </is>
      </c>
      <c r="C715" s="90">
        <f>IF(B715="—","—",IFERROR(VLOOKUP(B715,_Protheus_Cadastro!$A:$B,2,FALSE),"—"))</f>
        <v/>
      </c>
      <c r="D715" s="91">
        <f>IF(B715="—",IFERROR(INDEX(_ZIG_Cadastro!$D:$D,MATCH(H715,_ZIG_Cadastro!$A:$A,0)),"Produto"),IFERROR(VLOOKUP(B715,_Protheus_Cadastro!$A:$C,3,FALSE),"—"))</f>
        <v/>
      </c>
      <c r="E715" s="91">
        <f>IF(B715="—","—",IFERROR(VLOOKUP(B715,_Protheus_Cadastro!$A:$D,4,FALSE),"—"))</f>
        <v/>
      </c>
      <c r="F715" s="91">
        <f>IF(ISERROR(VLOOKUP(B715,'Estrutura Protheus'!A:A,1,FALSE)),"Não","Sim")</f>
        <v/>
      </c>
      <c r="G715" s="92">
        <f>IFERROR(INDEX(_Protheus_Cadastro!$H:$H,MATCH(B715,_Protheus_Cadastro!$A:$A,0)),"—")</f>
        <v/>
      </c>
      <c r="H715" s="210">
        <f>IFERROR(INDEX(_ZIG_Precos!$D:$D,MATCH(I715,_ZIG_Precos!$F:$F,0)),"—")</f>
        <v/>
      </c>
      <c r="I715" s="95">
        <f>IFERROR(VLOOKUP(B715,_Protheus_Cadastro!$A:$I,9,FALSE),"—")</f>
        <v/>
      </c>
      <c r="J715" s="93">
        <f>IFERROR(INDEX(_ZIG_Cadastro!$B:$B,MATCH(I715,_ZIG_Cadastro!$A:$A,0)),IFERROR(INDEX(_Entradas_ZIG!$B:$B,MATCH(I715,_Entradas_ZIG!$C:$C,0)),"—"))</f>
        <v/>
      </c>
      <c r="K715" s="93">
        <f>IFERROR(INDEX(_ZIG_Cadastro!$C:$C,MATCH(I715,_ZIG_Cadastro!$A:$A,0)),IFERROR(INDEX(_Entradas_ZIG!$D:$D,MATCH(I715,_Entradas_ZIG!$C:$C,0)),"—"))</f>
        <v/>
      </c>
      <c r="L715" s="92">
        <f>IF(I715="","Sem SKU ZIG",IF(I715="—","Sem SKU ZIG",IF(NOT(ISERROR(MATCH(I715,_ZIG_Cadastro!$A:$A,0))),IF(EXACT(UPPER(TRIM(C715)),UPPER(TRIM(INDEX(_ZIG_Cadastro!$B:$B,MATCH(I715,_ZIG_Cadastro!$A:$A,0))))),"OK","Atencao - Nome diverge"),IF(NOT(ISERROR(MATCH(I715,_Entradas_ZIG!$C:$C,0))),"OK","Erro - SKU nao encontrado"))))</f>
        <v/>
      </c>
      <c r="M715" s="92">
        <f>IFERROR(INDEX(_ZIG_Cadastro!$G:$G,MATCH(I715,_ZIG_Cadastro!$A:$A,0)),IF(NOT(ISERROR(MATCH(I715,_Entradas_ZIG!$C:$C,0))),"Ativo","—"))</f>
        <v/>
      </c>
      <c r="N715" s="94">
        <f>IFERROR(INDEX(_ZIG_Cadastro!$E:$E,MATCH(I715,_ZIG_Cadastro!$A:$A,0)),IFERROR(INDEX(_Entradas_ZIG!$F:$F,MATCH(I715,_Entradas_ZIG!$C:$C,0)),"—"))</f>
        <v/>
      </c>
      <c r="O715" s="92">
        <f>IF(AND(ISNUMBER(SEARCH("Espeto",N715)),ISNUMBER(SEARCH("Carin",N715))),"SIM","")</f>
        <v/>
      </c>
      <c r="P715" s="92">
        <f>IF(AND(ISNUMBER(SEARCH("Espeto",N715)),ISNUMBER(SEARCH("Lapa",N715))),"SIM","")</f>
        <v/>
      </c>
      <c r="Q715" s="92">
        <f>IF(AND(ISNUMBER(SEARCH("Espeto",N715)),ISNUMBER(SEARCH("Tatuapé",N715))),"SIM","")</f>
        <v/>
      </c>
      <c r="R715" s="92">
        <f>IF(AND(ISNUMBER(SEARCH("Espeto",N715)),ISNUMBER(SEARCH("Pavão",N715))),"SIM","")</f>
        <v/>
      </c>
      <c r="S715" s="92">
        <f>IF(AND(ISNUMBER(SEARCH("Espeto",N715)),ISNUMBER(SEARCH("Chac",N715))),"SIM","")</f>
        <v/>
      </c>
      <c r="T715" s="92">
        <f>IF(AND(ISNUMBER(SEARCH("Espeto",N715)),ISNUMBER(SEARCH("Madalena",N715))),"SIM","")</f>
        <v/>
      </c>
      <c r="U715" s="92">
        <f>IF(AND(ISNUMBER(SEARCH("Espeto",N715)),ISNUMBER(SEARCH("Mariana",N715))),"SIM","")</f>
        <v/>
      </c>
      <c r="V715" s="92">
        <f>IF(AND(ISNUMBER(SEARCH("Espeto",N715)),ISNUMBER(SEARCH("Perdizes",N715))),"SIM","")</f>
        <v/>
      </c>
      <c r="W715" s="92">
        <f>IF(AND(ISNUMBER(SEARCH("Espeto",N715)),ISNUMBER(SEARCH("Santana",N715))),"SIM","")</f>
        <v/>
      </c>
      <c r="X715" s="92">
        <f>IF(AND(ISNUMBER(SEARCH("Espeto",N715)),ISNUMBER(SEARCH("André",N715))),"SIM","")</f>
        <v/>
      </c>
      <c r="Y715" s="92">
        <f>IF(AND(ISNUMBER(SEARCH("Delivery",N715)),ISNUMBER(SEARCH("Carin",N715))),"SIM","")</f>
        <v/>
      </c>
      <c r="Z715" s="92">
        <f>IF(AND(ISNUMBER(SEARCH("Delivery",N715)),ISNUMBER(SEARCH("Lapa",N715))),"SIM","")</f>
        <v/>
      </c>
      <c r="AA715" s="92">
        <f>IF(AND(ISNUMBER(SEARCH("Delivery",N715)),ISNUMBER(SEARCH("Tatuapé",N715))),"SIM","")</f>
        <v/>
      </c>
      <c r="AB715" s="92">
        <f>IF(AND(ISNUMBER(SEARCH("Delivery",N715)),ISNUMBER(SEARCH("Pavão",N715))),"SIM","")</f>
        <v/>
      </c>
      <c r="AC715" s="92">
        <f>IF(AND(ISNUMBER(SEARCH("Delivery",N715)),ISNUMBER(SEARCH("Chac",N715))),"SIM","")</f>
        <v/>
      </c>
      <c r="AD715" s="92">
        <f>IF(AND(ISNUMBER(SEARCH("Delivery",N715)),ISNUMBER(SEARCH("Madalena",N715))),"SIM","")</f>
        <v/>
      </c>
      <c r="AE715" s="99">
        <f>IF(AND(ISNUMBER(SEARCH("Delivery",N715)),ISNUMBER(SEARCH("Mariana",N715))),"SIM","")</f>
        <v/>
      </c>
      <c r="AF715" s="99">
        <f>IF(AND(ISNUMBER(SEARCH("Delivery",N715)),ISNUMBER(SEARCH("Perdizes",N715))),"SIM","")</f>
        <v/>
      </c>
      <c r="AG715" s="99">
        <f>IF(AND(ISNUMBER(SEARCH("Delivery",N715)),ISNUMBER(SEARCH("Santana",N715))),"SIM","")</f>
        <v/>
      </c>
      <c r="AH715" s="99">
        <f>IF(AND(ISNUMBER(SEARCH("Delivery",N715)),ISNUMBER(SEARCH("André",N715))),"SIM","")</f>
        <v/>
      </c>
      <c r="AI715" s="99">
        <f>IF(ISNUMBER(SEARCH("Interlagos",N715)),"SIM","")</f>
        <v/>
      </c>
      <c r="AJ715" s="99">
        <f>IF(ISNUMBER(SEARCH("Quiosque",N715)),"SIM","")</f>
        <v/>
      </c>
      <c r="AK715" s="101" t="n"/>
    </row>
    <row r="716">
      <c r="A716" s="88" t="inlineStr">
        <is>
          <t>Protheus</t>
        </is>
      </c>
      <c r="B716" s="89" t="inlineStr">
        <is>
          <t>001125</t>
        </is>
      </c>
      <c r="C716" s="90">
        <f>IF(B716="—","—",IFERROR(VLOOKUP(B716,_Protheus_Cadastro!$A:$B,2,FALSE),"—"))</f>
        <v/>
      </c>
      <c r="D716" s="91">
        <f>IF(B716="—",IFERROR(INDEX(_ZIG_Cadastro!$D:$D,MATCH(H716,_ZIG_Cadastro!$A:$A,0)),"Produto"),IFERROR(VLOOKUP(B716,_Protheus_Cadastro!$A:$C,3,FALSE),"—"))</f>
        <v/>
      </c>
      <c r="E716" s="91">
        <f>IF(B716="—","—",IFERROR(VLOOKUP(B716,_Protheus_Cadastro!$A:$D,4,FALSE),"—"))</f>
        <v/>
      </c>
      <c r="F716" s="91">
        <f>IF(ISERROR(VLOOKUP(B716,'Estrutura Protheus'!A:A,1,FALSE)),"Não","Sim")</f>
        <v/>
      </c>
      <c r="G716" s="92">
        <f>IFERROR(INDEX(_Protheus_Cadastro!$H:$H,MATCH(B716,_Protheus_Cadastro!$A:$A,0)),"—")</f>
        <v/>
      </c>
      <c r="H716" s="210">
        <f>IFERROR(INDEX(_ZIG_Precos!$D:$D,MATCH(I716,_ZIG_Precos!$F:$F,0)),"—")</f>
        <v/>
      </c>
      <c r="I716" s="95">
        <f>IFERROR(VLOOKUP(B716,_Protheus_Cadastro!$A:$I,9,FALSE),"—")</f>
        <v/>
      </c>
      <c r="J716" s="93">
        <f>IFERROR(INDEX(_ZIG_Cadastro!$B:$B,MATCH(I716,_ZIG_Cadastro!$A:$A,0)),IFERROR(INDEX(_Entradas_ZIG!$B:$B,MATCH(I716,_Entradas_ZIG!$C:$C,0)),"—"))</f>
        <v/>
      </c>
      <c r="K716" s="93">
        <f>IFERROR(INDEX(_ZIG_Cadastro!$C:$C,MATCH(I716,_ZIG_Cadastro!$A:$A,0)),IFERROR(INDEX(_Entradas_ZIG!$D:$D,MATCH(I716,_Entradas_ZIG!$C:$C,0)),"—"))</f>
        <v/>
      </c>
      <c r="L716" s="92">
        <f>IF(I716="","Sem SKU ZIG",IF(I716="—","Sem SKU ZIG",IF(NOT(ISERROR(MATCH(I716,_ZIG_Cadastro!$A:$A,0))),IF(EXACT(UPPER(TRIM(C716)),UPPER(TRIM(INDEX(_ZIG_Cadastro!$B:$B,MATCH(I716,_ZIG_Cadastro!$A:$A,0))))),"OK","Atencao - Nome diverge"),IF(NOT(ISERROR(MATCH(I716,_Entradas_ZIG!$C:$C,0))),"OK","Erro - SKU nao encontrado"))))</f>
        <v/>
      </c>
      <c r="M716" s="92">
        <f>IFERROR(INDEX(_ZIG_Cadastro!$G:$G,MATCH(I716,_ZIG_Cadastro!$A:$A,0)),IF(NOT(ISERROR(MATCH(I716,_Entradas_ZIG!$C:$C,0))),"Ativo","—"))</f>
        <v/>
      </c>
      <c r="N716" s="94">
        <f>IFERROR(INDEX(_ZIG_Cadastro!$E:$E,MATCH(I716,_ZIG_Cadastro!$A:$A,0)),IFERROR(INDEX(_Entradas_ZIG!$F:$F,MATCH(I716,_Entradas_ZIG!$C:$C,0)),"—"))</f>
        <v/>
      </c>
      <c r="O716" s="92">
        <f>IF(AND(ISNUMBER(SEARCH("Espeto",N716)),ISNUMBER(SEARCH("Carin",N716))),"SIM","")</f>
        <v/>
      </c>
      <c r="P716" s="92">
        <f>IF(AND(ISNUMBER(SEARCH("Espeto",N716)),ISNUMBER(SEARCH("Lapa",N716))),"SIM","")</f>
        <v/>
      </c>
      <c r="Q716" s="92">
        <f>IF(AND(ISNUMBER(SEARCH("Espeto",N716)),ISNUMBER(SEARCH("Tatuapé",N716))),"SIM","")</f>
        <v/>
      </c>
      <c r="R716" s="92">
        <f>IF(AND(ISNUMBER(SEARCH("Espeto",N716)),ISNUMBER(SEARCH("Pavão",N716))),"SIM","")</f>
        <v/>
      </c>
      <c r="S716" s="92">
        <f>IF(AND(ISNUMBER(SEARCH("Espeto",N716)),ISNUMBER(SEARCH("Chac",N716))),"SIM","")</f>
        <v/>
      </c>
      <c r="T716" s="92">
        <f>IF(AND(ISNUMBER(SEARCH("Espeto",N716)),ISNUMBER(SEARCH("Madalena",N716))),"SIM","")</f>
        <v/>
      </c>
      <c r="U716" s="92">
        <f>IF(AND(ISNUMBER(SEARCH("Espeto",N716)),ISNUMBER(SEARCH("Mariana",N716))),"SIM","")</f>
        <v/>
      </c>
      <c r="V716" s="92">
        <f>IF(AND(ISNUMBER(SEARCH("Espeto",N716)),ISNUMBER(SEARCH("Perdizes",N716))),"SIM","")</f>
        <v/>
      </c>
      <c r="W716" s="92">
        <f>IF(AND(ISNUMBER(SEARCH("Espeto",N716)),ISNUMBER(SEARCH("Santana",N716))),"SIM","")</f>
        <v/>
      </c>
      <c r="X716" s="92">
        <f>IF(AND(ISNUMBER(SEARCH("Espeto",N716)),ISNUMBER(SEARCH("André",N716))),"SIM","")</f>
        <v/>
      </c>
      <c r="Y716" s="92">
        <f>IF(AND(ISNUMBER(SEARCH("Delivery",N716)),ISNUMBER(SEARCH("Carin",N716))),"SIM","")</f>
        <v/>
      </c>
      <c r="Z716" s="92">
        <f>IF(AND(ISNUMBER(SEARCH("Delivery",N716)),ISNUMBER(SEARCH("Lapa",N716))),"SIM","")</f>
        <v/>
      </c>
      <c r="AA716" s="92">
        <f>IF(AND(ISNUMBER(SEARCH("Delivery",N716)),ISNUMBER(SEARCH("Tatuapé",N716))),"SIM","")</f>
        <v/>
      </c>
      <c r="AB716" s="92">
        <f>IF(AND(ISNUMBER(SEARCH("Delivery",N716)),ISNUMBER(SEARCH("Pavão",N716))),"SIM","")</f>
        <v/>
      </c>
      <c r="AC716" s="92">
        <f>IF(AND(ISNUMBER(SEARCH("Delivery",N716)),ISNUMBER(SEARCH("Chac",N716))),"SIM","")</f>
        <v/>
      </c>
      <c r="AD716" s="92">
        <f>IF(AND(ISNUMBER(SEARCH("Delivery",N716)),ISNUMBER(SEARCH("Madalena",N716))),"SIM","")</f>
        <v/>
      </c>
      <c r="AE716" s="99">
        <f>IF(AND(ISNUMBER(SEARCH("Delivery",N716)),ISNUMBER(SEARCH("Mariana",N716))),"SIM","")</f>
        <v/>
      </c>
      <c r="AF716" s="99">
        <f>IF(AND(ISNUMBER(SEARCH("Delivery",N716)),ISNUMBER(SEARCH("Perdizes",N716))),"SIM","")</f>
        <v/>
      </c>
      <c r="AG716" s="99">
        <f>IF(AND(ISNUMBER(SEARCH("Delivery",N716)),ISNUMBER(SEARCH("Santana",N716))),"SIM","")</f>
        <v/>
      </c>
      <c r="AH716" s="99">
        <f>IF(AND(ISNUMBER(SEARCH("Delivery",N716)),ISNUMBER(SEARCH("André",N716))),"SIM","")</f>
        <v/>
      </c>
      <c r="AI716" s="99">
        <f>IF(ISNUMBER(SEARCH("Interlagos",N716)),"SIM","")</f>
        <v/>
      </c>
      <c r="AJ716" s="99">
        <f>IF(ISNUMBER(SEARCH("Quiosque",N716)),"SIM","")</f>
        <v/>
      </c>
      <c r="AK716" s="101" t="n"/>
    </row>
    <row r="717">
      <c r="A717" s="88" t="inlineStr">
        <is>
          <t>Protheus</t>
        </is>
      </c>
      <c r="B717" s="89" t="inlineStr">
        <is>
          <t>001127</t>
        </is>
      </c>
      <c r="C717" s="90">
        <f>IF(B717="—","—",IFERROR(VLOOKUP(B717,_Protheus_Cadastro!$A:$B,2,FALSE),"—"))</f>
        <v/>
      </c>
      <c r="D717" s="91">
        <f>IF(B717="—",IFERROR(INDEX(_ZIG_Cadastro!$D:$D,MATCH(H717,_ZIG_Cadastro!$A:$A,0)),"Produto"),IFERROR(VLOOKUP(B717,_Protheus_Cadastro!$A:$C,3,FALSE),"—"))</f>
        <v/>
      </c>
      <c r="E717" s="91">
        <f>IF(B717="—","—",IFERROR(VLOOKUP(B717,_Protheus_Cadastro!$A:$D,4,FALSE),"—"))</f>
        <v/>
      </c>
      <c r="F717" s="91">
        <f>IF(ISERROR(VLOOKUP(B717,'Estrutura Protheus'!A:A,1,FALSE)),"Não","Sim")</f>
        <v/>
      </c>
      <c r="G717" s="92">
        <f>IFERROR(INDEX(_Protheus_Cadastro!$H:$H,MATCH(B717,_Protheus_Cadastro!$A:$A,0)),"—")</f>
        <v/>
      </c>
      <c r="H717" s="210">
        <f>IFERROR(INDEX(_ZIG_Precos!$D:$D,MATCH(I717,_ZIG_Precos!$F:$F,0)),"—")</f>
        <v/>
      </c>
      <c r="I717" s="95">
        <f>IFERROR(VLOOKUP(B717,_Protheus_Cadastro!$A:$I,9,FALSE),"—")</f>
        <v/>
      </c>
      <c r="J717" s="93">
        <f>IFERROR(INDEX(_ZIG_Cadastro!$B:$B,MATCH(I717,_ZIG_Cadastro!$A:$A,0)),IFERROR(INDEX(_Entradas_ZIG!$B:$B,MATCH(I717,_Entradas_ZIG!$C:$C,0)),"—"))</f>
        <v/>
      </c>
      <c r="K717" s="93">
        <f>IFERROR(INDEX(_ZIG_Cadastro!$C:$C,MATCH(I717,_ZIG_Cadastro!$A:$A,0)),IFERROR(INDEX(_Entradas_ZIG!$D:$D,MATCH(I717,_Entradas_ZIG!$C:$C,0)),"—"))</f>
        <v/>
      </c>
      <c r="L717" s="92">
        <f>IF(I717="","Sem SKU ZIG",IF(I717="—","Sem SKU ZIG",IF(NOT(ISERROR(MATCH(I717,_ZIG_Cadastro!$A:$A,0))),IF(EXACT(UPPER(TRIM(C717)),UPPER(TRIM(INDEX(_ZIG_Cadastro!$B:$B,MATCH(I717,_ZIG_Cadastro!$A:$A,0))))),"OK","Atencao - Nome diverge"),IF(NOT(ISERROR(MATCH(I717,_Entradas_ZIG!$C:$C,0))),"OK","Erro - SKU nao encontrado"))))</f>
        <v/>
      </c>
      <c r="M717" s="92">
        <f>IFERROR(INDEX(_ZIG_Cadastro!$G:$G,MATCH(I717,_ZIG_Cadastro!$A:$A,0)),IF(NOT(ISERROR(MATCH(I717,_Entradas_ZIG!$C:$C,0))),"Ativo","—"))</f>
        <v/>
      </c>
      <c r="N717" s="94">
        <f>IFERROR(INDEX(_ZIG_Cadastro!$E:$E,MATCH(I717,_ZIG_Cadastro!$A:$A,0)),IFERROR(INDEX(_Entradas_ZIG!$F:$F,MATCH(I717,_Entradas_ZIG!$C:$C,0)),"—"))</f>
        <v/>
      </c>
      <c r="O717" s="92">
        <f>IF(AND(ISNUMBER(SEARCH("Espeto",N717)),ISNUMBER(SEARCH("Carin",N717))),"SIM","")</f>
        <v/>
      </c>
      <c r="P717" s="92">
        <f>IF(AND(ISNUMBER(SEARCH("Espeto",N717)),ISNUMBER(SEARCH("Lapa",N717))),"SIM","")</f>
        <v/>
      </c>
      <c r="Q717" s="92">
        <f>IF(AND(ISNUMBER(SEARCH("Espeto",N717)),ISNUMBER(SEARCH("Tatuapé",N717))),"SIM","")</f>
        <v/>
      </c>
      <c r="R717" s="92">
        <f>IF(AND(ISNUMBER(SEARCH("Espeto",N717)),ISNUMBER(SEARCH("Pavão",N717))),"SIM","")</f>
        <v/>
      </c>
      <c r="S717" s="92">
        <f>IF(AND(ISNUMBER(SEARCH("Espeto",N717)),ISNUMBER(SEARCH("Chac",N717))),"SIM","")</f>
        <v/>
      </c>
      <c r="T717" s="92">
        <f>IF(AND(ISNUMBER(SEARCH("Espeto",N717)),ISNUMBER(SEARCH("Madalena",N717))),"SIM","")</f>
        <v/>
      </c>
      <c r="U717" s="92">
        <f>IF(AND(ISNUMBER(SEARCH("Espeto",N717)),ISNUMBER(SEARCH("Mariana",N717))),"SIM","")</f>
        <v/>
      </c>
      <c r="V717" s="92">
        <f>IF(AND(ISNUMBER(SEARCH("Espeto",N717)),ISNUMBER(SEARCH("Perdizes",N717))),"SIM","")</f>
        <v/>
      </c>
      <c r="W717" s="92">
        <f>IF(AND(ISNUMBER(SEARCH("Espeto",N717)),ISNUMBER(SEARCH("Santana",N717))),"SIM","")</f>
        <v/>
      </c>
      <c r="X717" s="92">
        <f>IF(AND(ISNUMBER(SEARCH("Espeto",N717)),ISNUMBER(SEARCH("André",N717))),"SIM","")</f>
        <v/>
      </c>
      <c r="Y717" s="92">
        <f>IF(AND(ISNUMBER(SEARCH("Delivery",N717)),ISNUMBER(SEARCH("Carin",N717))),"SIM","")</f>
        <v/>
      </c>
      <c r="Z717" s="92">
        <f>IF(AND(ISNUMBER(SEARCH("Delivery",N717)),ISNUMBER(SEARCH("Lapa",N717))),"SIM","")</f>
        <v/>
      </c>
      <c r="AA717" s="92">
        <f>IF(AND(ISNUMBER(SEARCH("Delivery",N717)),ISNUMBER(SEARCH("Tatuapé",N717))),"SIM","")</f>
        <v/>
      </c>
      <c r="AB717" s="92">
        <f>IF(AND(ISNUMBER(SEARCH("Delivery",N717)),ISNUMBER(SEARCH("Pavão",N717))),"SIM","")</f>
        <v/>
      </c>
      <c r="AC717" s="92">
        <f>IF(AND(ISNUMBER(SEARCH("Delivery",N717)),ISNUMBER(SEARCH("Chac",N717))),"SIM","")</f>
        <v/>
      </c>
      <c r="AD717" s="92">
        <f>IF(AND(ISNUMBER(SEARCH("Delivery",N717)),ISNUMBER(SEARCH("Madalena",N717))),"SIM","")</f>
        <v/>
      </c>
      <c r="AE717" s="99">
        <f>IF(AND(ISNUMBER(SEARCH("Delivery",N717)),ISNUMBER(SEARCH("Mariana",N717))),"SIM","")</f>
        <v/>
      </c>
      <c r="AF717" s="99">
        <f>IF(AND(ISNUMBER(SEARCH("Delivery",N717)),ISNUMBER(SEARCH("Perdizes",N717))),"SIM","")</f>
        <v/>
      </c>
      <c r="AG717" s="99">
        <f>IF(AND(ISNUMBER(SEARCH("Delivery",N717)),ISNUMBER(SEARCH("Santana",N717))),"SIM","")</f>
        <v/>
      </c>
      <c r="AH717" s="99">
        <f>IF(AND(ISNUMBER(SEARCH("Delivery",N717)),ISNUMBER(SEARCH("André",N717))),"SIM","")</f>
        <v/>
      </c>
      <c r="AI717" s="99">
        <f>IF(ISNUMBER(SEARCH("Interlagos",N717)),"SIM","")</f>
        <v/>
      </c>
      <c r="AJ717" s="99">
        <f>IF(ISNUMBER(SEARCH("Quiosque",N717)),"SIM","")</f>
        <v/>
      </c>
      <c r="AK717" s="101" t="n"/>
    </row>
    <row r="718">
      <c r="A718" s="88" t="inlineStr">
        <is>
          <t>Protheus</t>
        </is>
      </c>
      <c r="B718" s="89" t="inlineStr">
        <is>
          <t>001221</t>
        </is>
      </c>
      <c r="C718" s="90">
        <f>IF(B718="—","—",IFERROR(VLOOKUP(B718,_Protheus_Cadastro!$A:$B,2,FALSE),"—"))</f>
        <v/>
      </c>
      <c r="D718" s="91">
        <f>IF(B718="—",IFERROR(INDEX(_ZIG_Cadastro!$D:$D,MATCH(H718,_ZIG_Cadastro!$A:$A,0)),"Produto"),IFERROR(VLOOKUP(B718,_Protheus_Cadastro!$A:$C,3,FALSE),"—"))</f>
        <v/>
      </c>
      <c r="E718" s="91">
        <f>IF(B718="—","—",IFERROR(VLOOKUP(B718,_Protheus_Cadastro!$A:$D,4,FALSE),"—"))</f>
        <v/>
      </c>
      <c r="F718" s="91">
        <f>IF(ISERROR(VLOOKUP(B718,'Estrutura Protheus'!A:A,1,FALSE)),"Não","Sim")</f>
        <v/>
      </c>
      <c r="G718" s="92">
        <f>IFERROR(INDEX(_Protheus_Cadastro!$H:$H,MATCH(B718,_Protheus_Cadastro!$A:$A,0)),"—")</f>
        <v/>
      </c>
      <c r="H718" s="210">
        <f>IFERROR(INDEX(_ZIG_Precos!$D:$D,MATCH(I718,_ZIG_Precos!$F:$F,0)),"—")</f>
        <v/>
      </c>
      <c r="I718" s="95">
        <f>IFERROR(VLOOKUP(B718,_Protheus_Cadastro!$A:$I,9,FALSE),"—")</f>
        <v/>
      </c>
      <c r="J718" s="93">
        <f>IFERROR(INDEX(_ZIG_Cadastro!$B:$B,MATCH(I718,_ZIG_Cadastro!$A:$A,0)),IFERROR(INDEX(_Entradas_ZIG!$B:$B,MATCH(I718,_Entradas_ZIG!$C:$C,0)),"—"))</f>
        <v/>
      </c>
      <c r="K718" s="93">
        <f>IFERROR(INDEX(_ZIG_Cadastro!$C:$C,MATCH(I718,_ZIG_Cadastro!$A:$A,0)),IFERROR(INDEX(_Entradas_ZIG!$D:$D,MATCH(I718,_Entradas_ZIG!$C:$C,0)),"—"))</f>
        <v/>
      </c>
      <c r="L718" s="92">
        <f>IF(I718="","Sem SKU ZIG",IF(I718="—","Sem SKU ZIG",IF(NOT(ISERROR(MATCH(I718,_ZIG_Cadastro!$A:$A,0))),IF(EXACT(UPPER(TRIM(C718)),UPPER(TRIM(INDEX(_ZIG_Cadastro!$B:$B,MATCH(I718,_ZIG_Cadastro!$A:$A,0))))),"OK","Atencao - Nome diverge"),IF(NOT(ISERROR(MATCH(I718,_Entradas_ZIG!$C:$C,0))),"OK","Erro - SKU nao encontrado"))))</f>
        <v/>
      </c>
      <c r="M718" s="92">
        <f>IFERROR(INDEX(_ZIG_Cadastro!$G:$G,MATCH(I718,_ZIG_Cadastro!$A:$A,0)),IF(NOT(ISERROR(MATCH(I718,_Entradas_ZIG!$C:$C,0))),"Ativo","—"))</f>
        <v/>
      </c>
      <c r="N718" s="94">
        <f>IFERROR(INDEX(_ZIG_Cadastro!$E:$E,MATCH(I718,_ZIG_Cadastro!$A:$A,0)),IFERROR(INDEX(_Entradas_ZIG!$F:$F,MATCH(I718,_Entradas_ZIG!$C:$C,0)),"—"))</f>
        <v/>
      </c>
      <c r="O718" s="92">
        <f>IF(AND(ISNUMBER(SEARCH("Espeto",N718)),ISNUMBER(SEARCH("Carin",N718))),"SIM","")</f>
        <v/>
      </c>
      <c r="P718" s="92">
        <f>IF(AND(ISNUMBER(SEARCH("Espeto",N718)),ISNUMBER(SEARCH("Lapa",N718))),"SIM","")</f>
        <v/>
      </c>
      <c r="Q718" s="92">
        <f>IF(AND(ISNUMBER(SEARCH("Espeto",N718)),ISNUMBER(SEARCH("Tatuapé",N718))),"SIM","")</f>
        <v/>
      </c>
      <c r="R718" s="92">
        <f>IF(AND(ISNUMBER(SEARCH("Espeto",N718)),ISNUMBER(SEARCH("Pavão",N718))),"SIM","")</f>
        <v/>
      </c>
      <c r="S718" s="92">
        <f>IF(AND(ISNUMBER(SEARCH("Espeto",N718)),ISNUMBER(SEARCH("Chac",N718))),"SIM","")</f>
        <v/>
      </c>
      <c r="T718" s="92">
        <f>IF(AND(ISNUMBER(SEARCH("Espeto",N718)),ISNUMBER(SEARCH("Madalena",N718))),"SIM","")</f>
        <v/>
      </c>
      <c r="U718" s="92">
        <f>IF(AND(ISNUMBER(SEARCH("Espeto",N718)),ISNUMBER(SEARCH("Mariana",N718))),"SIM","")</f>
        <v/>
      </c>
      <c r="V718" s="92">
        <f>IF(AND(ISNUMBER(SEARCH("Espeto",N718)),ISNUMBER(SEARCH("Perdizes",N718))),"SIM","")</f>
        <v/>
      </c>
      <c r="W718" s="92">
        <f>IF(AND(ISNUMBER(SEARCH("Espeto",N718)),ISNUMBER(SEARCH("Santana",N718))),"SIM","")</f>
        <v/>
      </c>
      <c r="X718" s="92">
        <f>IF(AND(ISNUMBER(SEARCH("Espeto",N718)),ISNUMBER(SEARCH("André",N718))),"SIM","")</f>
        <v/>
      </c>
      <c r="Y718" s="92">
        <f>IF(AND(ISNUMBER(SEARCH("Delivery",N718)),ISNUMBER(SEARCH("Carin",N718))),"SIM","")</f>
        <v/>
      </c>
      <c r="Z718" s="92">
        <f>IF(AND(ISNUMBER(SEARCH("Delivery",N718)),ISNUMBER(SEARCH("Lapa",N718))),"SIM","")</f>
        <v/>
      </c>
      <c r="AA718" s="92">
        <f>IF(AND(ISNUMBER(SEARCH("Delivery",N718)),ISNUMBER(SEARCH("Tatuapé",N718))),"SIM","")</f>
        <v/>
      </c>
      <c r="AB718" s="92">
        <f>IF(AND(ISNUMBER(SEARCH("Delivery",N718)),ISNUMBER(SEARCH("Pavão",N718))),"SIM","")</f>
        <v/>
      </c>
      <c r="AC718" s="92">
        <f>IF(AND(ISNUMBER(SEARCH("Delivery",N718)),ISNUMBER(SEARCH("Chac",N718))),"SIM","")</f>
        <v/>
      </c>
      <c r="AD718" s="92">
        <f>IF(AND(ISNUMBER(SEARCH("Delivery",N718)),ISNUMBER(SEARCH("Madalena",N718))),"SIM","")</f>
        <v/>
      </c>
      <c r="AE718" s="99">
        <f>IF(AND(ISNUMBER(SEARCH("Delivery",N718)),ISNUMBER(SEARCH("Mariana",N718))),"SIM","")</f>
        <v/>
      </c>
      <c r="AF718" s="99">
        <f>IF(AND(ISNUMBER(SEARCH("Delivery",N718)),ISNUMBER(SEARCH("Perdizes",N718))),"SIM","")</f>
        <v/>
      </c>
      <c r="AG718" s="99">
        <f>IF(AND(ISNUMBER(SEARCH("Delivery",N718)),ISNUMBER(SEARCH("Santana",N718))),"SIM","")</f>
        <v/>
      </c>
      <c r="AH718" s="99">
        <f>IF(AND(ISNUMBER(SEARCH("Delivery",N718)),ISNUMBER(SEARCH("André",N718))),"SIM","")</f>
        <v/>
      </c>
      <c r="AI718" s="99">
        <f>IF(ISNUMBER(SEARCH("Interlagos",N718)),"SIM","")</f>
        <v/>
      </c>
      <c r="AJ718" s="99">
        <f>IF(ISNUMBER(SEARCH("Quiosque",N718)),"SIM","")</f>
        <v/>
      </c>
      <c r="AK718" s="101" t="n"/>
    </row>
    <row r="719">
      <c r="A719" s="88" t="inlineStr">
        <is>
          <t>Protheus</t>
        </is>
      </c>
      <c r="B719" s="89" t="inlineStr">
        <is>
          <t>001226</t>
        </is>
      </c>
      <c r="C719" s="90">
        <f>IF(B719="—","—",IFERROR(VLOOKUP(B719,_Protheus_Cadastro!$A:$B,2,FALSE),"—"))</f>
        <v/>
      </c>
      <c r="D719" s="91">
        <f>IF(B719="—",IFERROR(INDEX(_ZIG_Cadastro!$D:$D,MATCH(H719,_ZIG_Cadastro!$A:$A,0)),"Produto"),IFERROR(VLOOKUP(B719,_Protheus_Cadastro!$A:$C,3,FALSE),"—"))</f>
        <v/>
      </c>
      <c r="E719" s="91">
        <f>IF(B719="—","—",IFERROR(VLOOKUP(B719,_Protheus_Cadastro!$A:$D,4,FALSE),"—"))</f>
        <v/>
      </c>
      <c r="F719" s="91">
        <f>IF(ISERROR(VLOOKUP(B719,'Estrutura Protheus'!A:A,1,FALSE)),"Não","Sim")</f>
        <v/>
      </c>
      <c r="G719" s="92">
        <f>IFERROR(INDEX(_Protheus_Cadastro!$H:$H,MATCH(B719,_Protheus_Cadastro!$A:$A,0)),"—")</f>
        <v/>
      </c>
      <c r="H719" s="210">
        <f>IFERROR(INDEX(_ZIG_Precos!$D:$D,MATCH(I719,_ZIG_Precos!$F:$F,0)),"—")</f>
        <v/>
      </c>
      <c r="I719" s="95">
        <f>IFERROR(VLOOKUP(B719,_Protheus_Cadastro!$A:$I,9,FALSE),"—")</f>
        <v/>
      </c>
      <c r="J719" s="93">
        <f>IFERROR(INDEX(_ZIG_Cadastro!$B:$B,MATCH(I719,_ZIG_Cadastro!$A:$A,0)),IFERROR(INDEX(_Entradas_ZIG!$B:$B,MATCH(I719,_Entradas_ZIG!$C:$C,0)),"—"))</f>
        <v/>
      </c>
      <c r="K719" s="93">
        <f>IFERROR(INDEX(_ZIG_Cadastro!$C:$C,MATCH(I719,_ZIG_Cadastro!$A:$A,0)),IFERROR(INDEX(_Entradas_ZIG!$D:$D,MATCH(I719,_Entradas_ZIG!$C:$C,0)),"—"))</f>
        <v/>
      </c>
      <c r="L719" s="92">
        <f>IF(I719="","Sem SKU ZIG",IF(I719="—","Sem SKU ZIG",IF(NOT(ISERROR(MATCH(I719,_ZIG_Cadastro!$A:$A,0))),IF(EXACT(UPPER(TRIM(C719)),UPPER(TRIM(INDEX(_ZIG_Cadastro!$B:$B,MATCH(I719,_ZIG_Cadastro!$A:$A,0))))),"OK","Atencao - Nome diverge"),IF(NOT(ISERROR(MATCH(I719,_Entradas_ZIG!$C:$C,0))),"OK","Erro - SKU nao encontrado"))))</f>
        <v/>
      </c>
      <c r="M719" s="92">
        <f>IFERROR(INDEX(_ZIG_Cadastro!$G:$G,MATCH(I719,_ZIG_Cadastro!$A:$A,0)),IF(NOT(ISERROR(MATCH(I719,_Entradas_ZIG!$C:$C,0))),"Ativo","—"))</f>
        <v/>
      </c>
      <c r="N719" s="94">
        <f>IFERROR(INDEX(_ZIG_Cadastro!$E:$E,MATCH(I719,_ZIG_Cadastro!$A:$A,0)),IFERROR(INDEX(_Entradas_ZIG!$F:$F,MATCH(I719,_Entradas_ZIG!$C:$C,0)),"—"))</f>
        <v/>
      </c>
      <c r="O719" s="92">
        <f>IF(AND(ISNUMBER(SEARCH("Espeto",N719)),ISNUMBER(SEARCH("Carin",N719))),"SIM","")</f>
        <v/>
      </c>
      <c r="P719" s="92">
        <f>IF(AND(ISNUMBER(SEARCH("Espeto",N719)),ISNUMBER(SEARCH("Lapa",N719))),"SIM","")</f>
        <v/>
      </c>
      <c r="Q719" s="92">
        <f>IF(AND(ISNUMBER(SEARCH("Espeto",N719)),ISNUMBER(SEARCH("Tatuapé",N719))),"SIM","")</f>
        <v/>
      </c>
      <c r="R719" s="92">
        <f>IF(AND(ISNUMBER(SEARCH("Espeto",N719)),ISNUMBER(SEARCH("Pavão",N719))),"SIM","")</f>
        <v/>
      </c>
      <c r="S719" s="92">
        <f>IF(AND(ISNUMBER(SEARCH("Espeto",N719)),ISNUMBER(SEARCH("Chac",N719))),"SIM","")</f>
        <v/>
      </c>
      <c r="T719" s="92">
        <f>IF(AND(ISNUMBER(SEARCH("Espeto",N719)),ISNUMBER(SEARCH("Madalena",N719))),"SIM","")</f>
        <v/>
      </c>
      <c r="U719" s="92">
        <f>IF(AND(ISNUMBER(SEARCH("Espeto",N719)),ISNUMBER(SEARCH("Mariana",N719))),"SIM","")</f>
        <v/>
      </c>
      <c r="V719" s="92">
        <f>IF(AND(ISNUMBER(SEARCH("Espeto",N719)),ISNUMBER(SEARCH("Perdizes",N719))),"SIM","")</f>
        <v/>
      </c>
      <c r="W719" s="92">
        <f>IF(AND(ISNUMBER(SEARCH("Espeto",N719)),ISNUMBER(SEARCH("Santana",N719))),"SIM","")</f>
        <v/>
      </c>
      <c r="X719" s="92">
        <f>IF(AND(ISNUMBER(SEARCH("Espeto",N719)),ISNUMBER(SEARCH("André",N719))),"SIM","")</f>
        <v/>
      </c>
      <c r="Y719" s="92">
        <f>IF(AND(ISNUMBER(SEARCH("Delivery",N719)),ISNUMBER(SEARCH("Carin",N719))),"SIM","")</f>
        <v/>
      </c>
      <c r="Z719" s="92">
        <f>IF(AND(ISNUMBER(SEARCH("Delivery",N719)),ISNUMBER(SEARCH("Lapa",N719))),"SIM","")</f>
        <v/>
      </c>
      <c r="AA719" s="92">
        <f>IF(AND(ISNUMBER(SEARCH("Delivery",N719)),ISNUMBER(SEARCH("Tatuapé",N719))),"SIM","")</f>
        <v/>
      </c>
      <c r="AB719" s="92">
        <f>IF(AND(ISNUMBER(SEARCH("Delivery",N719)),ISNUMBER(SEARCH("Pavão",N719))),"SIM","")</f>
        <v/>
      </c>
      <c r="AC719" s="92">
        <f>IF(AND(ISNUMBER(SEARCH("Delivery",N719)),ISNUMBER(SEARCH("Chac",N719))),"SIM","")</f>
        <v/>
      </c>
      <c r="AD719" s="92">
        <f>IF(AND(ISNUMBER(SEARCH("Delivery",N719)),ISNUMBER(SEARCH("Madalena",N719))),"SIM","")</f>
        <v/>
      </c>
      <c r="AE719" s="99">
        <f>IF(AND(ISNUMBER(SEARCH("Delivery",N719)),ISNUMBER(SEARCH("Mariana",N719))),"SIM","")</f>
        <v/>
      </c>
      <c r="AF719" s="99">
        <f>IF(AND(ISNUMBER(SEARCH("Delivery",N719)),ISNUMBER(SEARCH("Perdizes",N719))),"SIM","")</f>
        <v/>
      </c>
      <c r="AG719" s="99">
        <f>IF(AND(ISNUMBER(SEARCH("Delivery",N719)),ISNUMBER(SEARCH("Santana",N719))),"SIM","")</f>
        <v/>
      </c>
      <c r="AH719" s="99">
        <f>IF(AND(ISNUMBER(SEARCH("Delivery",N719)),ISNUMBER(SEARCH("André",N719))),"SIM","")</f>
        <v/>
      </c>
      <c r="AI719" s="99">
        <f>IF(ISNUMBER(SEARCH("Interlagos",N719)),"SIM","")</f>
        <v/>
      </c>
      <c r="AJ719" s="99">
        <f>IF(ISNUMBER(SEARCH("Quiosque",N719)),"SIM","")</f>
        <v/>
      </c>
      <c r="AK719" s="101" t="n"/>
    </row>
    <row r="720">
      <c r="A720" s="88" t="inlineStr">
        <is>
          <t>Protheus</t>
        </is>
      </c>
      <c r="B720" s="89" t="inlineStr">
        <is>
          <t>001230</t>
        </is>
      </c>
      <c r="C720" s="90">
        <f>IF(B720="—","—",IFERROR(VLOOKUP(B720,_Protheus_Cadastro!$A:$B,2,FALSE),"—"))</f>
        <v/>
      </c>
      <c r="D720" s="91">
        <f>IF(B720="—",IFERROR(INDEX(_ZIG_Cadastro!$D:$D,MATCH(H720,_ZIG_Cadastro!$A:$A,0)),"Produto"),IFERROR(VLOOKUP(B720,_Protheus_Cadastro!$A:$C,3,FALSE),"—"))</f>
        <v/>
      </c>
      <c r="E720" s="91">
        <f>IF(B720="—","—",IFERROR(VLOOKUP(B720,_Protheus_Cadastro!$A:$D,4,FALSE),"—"))</f>
        <v/>
      </c>
      <c r="F720" s="91">
        <f>IF(ISERROR(VLOOKUP(B720,'Estrutura Protheus'!A:A,1,FALSE)),"Não","Sim")</f>
        <v/>
      </c>
      <c r="G720" s="92">
        <f>IFERROR(INDEX(_Protheus_Cadastro!$H:$H,MATCH(B720,_Protheus_Cadastro!$A:$A,0)),"—")</f>
        <v/>
      </c>
      <c r="H720" s="210">
        <f>IFERROR(INDEX(_ZIG_Precos!$D:$D,MATCH(I720,_ZIG_Precos!$F:$F,0)),"—")</f>
        <v/>
      </c>
      <c r="I720" s="95">
        <f>IFERROR(VLOOKUP(B720,_Protheus_Cadastro!$A:$I,9,FALSE),"—")</f>
        <v/>
      </c>
      <c r="J720" s="93">
        <f>IFERROR(INDEX(_ZIG_Cadastro!$B:$B,MATCH(I720,_ZIG_Cadastro!$A:$A,0)),IFERROR(INDEX(_Entradas_ZIG!$B:$B,MATCH(I720,_Entradas_ZIG!$C:$C,0)),"—"))</f>
        <v/>
      </c>
      <c r="K720" s="93">
        <f>IFERROR(INDEX(_ZIG_Cadastro!$C:$C,MATCH(I720,_ZIG_Cadastro!$A:$A,0)),IFERROR(INDEX(_Entradas_ZIG!$D:$D,MATCH(I720,_Entradas_ZIG!$C:$C,0)),"—"))</f>
        <v/>
      </c>
      <c r="L720" s="92">
        <f>IF(I720="","Sem SKU ZIG",IF(I720="—","Sem SKU ZIG",IF(NOT(ISERROR(MATCH(I720,_ZIG_Cadastro!$A:$A,0))),IF(EXACT(UPPER(TRIM(C720)),UPPER(TRIM(INDEX(_ZIG_Cadastro!$B:$B,MATCH(I720,_ZIG_Cadastro!$A:$A,0))))),"OK","Atencao - Nome diverge"),IF(NOT(ISERROR(MATCH(I720,_Entradas_ZIG!$C:$C,0))),"OK","Erro - SKU nao encontrado"))))</f>
        <v/>
      </c>
      <c r="M720" s="92">
        <f>IFERROR(INDEX(_ZIG_Cadastro!$G:$G,MATCH(I720,_ZIG_Cadastro!$A:$A,0)),IF(NOT(ISERROR(MATCH(I720,_Entradas_ZIG!$C:$C,0))),"Ativo","—"))</f>
        <v/>
      </c>
      <c r="N720" s="94">
        <f>IFERROR(INDEX(_ZIG_Cadastro!$E:$E,MATCH(I720,_ZIG_Cadastro!$A:$A,0)),IFERROR(INDEX(_Entradas_ZIG!$F:$F,MATCH(I720,_Entradas_ZIG!$C:$C,0)),"—"))</f>
        <v/>
      </c>
      <c r="O720" s="92">
        <f>IF(AND(ISNUMBER(SEARCH("Espeto",N720)),ISNUMBER(SEARCH("Carin",N720))),"SIM","")</f>
        <v/>
      </c>
      <c r="P720" s="92">
        <f>IF(AND(ISNUMBER(SEARCH("Espeto",N720)),ISNUMBER(SEARCH("Lapa",N720))),"SIM","")</f>
        <v/>
      </c>
      <c r="Q720" s="92">
        <f>IF(AND(ISNUMBER(SEARCH("Espeto",N720)),ISNUMBER(SEARCH("Tatuapé",N720))),"SIM","")</f>
        <v/>
      </c>
      <c r="R720" s="92">
        <f>IF(AND(ISNUMBER(SEARCH("Espeto",N720)),ISNUMBER(SEARCH("Pavão",N720))),"SIM","")</f>
        <v/>
      </c>
      <c r="S720" s="92">
        <f>IF(AND(ISNUMBER(SEARCH("Espeto",N720)),ISNUMBER(SEARCH("Chac",N720))),"SIM","")</f>
        <v/>
      </c>
      <c r="T720" s="92">
        <f>IF(AND(ISNUMBER(SEARCH("Espeto",N720)),ISNUMBER(SEARCH("Madalena",N720))),"SIM","")</f>
        <v/>
      </c>
      <c r="U720" s="92">
        <f>IF(AND(ISNUMBER(SEARCH("Espeto",N720)),ISNUMBER(SEARCH("Mariana",N720))),"SIM","")</f>
        <v/>
      </c>
      <c r="V720" s="92">
        <f>IF(AND(ISNUMBER(SEARCH("Espeto",N720)),ISNUMBER(SEARCH("Perdizes",N720))),"SIM","")</f>
        <v/>
      </c>
      <c r="W720" s="92">
        <f>IF(AND(ISNUMBER(SEARCH("Espeto",N720)),ISNUMBER(SEARCH("Santana",N720))),"SIM","")</f>
        <v/>
      </c>
      <c r="X720" s="92">
        <f>IF(AND(ISNUMBER(SEARCH("Espeto",N720)),ISNUMBER(SEARCH("André",N720))),"SIM","")</f>
        <v/>
      </c>
      <c r="Y720" s="92">
        <f>IF(AND(ISNUMBER(SEARCH("Delivery",N720)),ISNUMBER(SEARCH("Carin",N720))),"SIM","")</f>
        <v/>
      </c>
      <c r="Z720" s="92">
        <f>IF(AND(ISNUMBER(SEARCH("Delivery",N720)),ISNUMBER(SEARCH("Lapa",N720))),"SIM","")</f>
        <v/>
      </c>
      <c r="AA720" s="92">
        <f>IF(AND(ISNUMBER(SEARCH("Delivery",N720)),ISNUMBER(SEARCH("Tatuapé",N720))),"SIM","")</f>
        <v/>
      </c>
      <c r="AB720" s="92">
        <f>IF(AND(ISNUMBER(SEARCH("Delivery",N720)),ISNUMBER(SEARCH("Pavão",N720))),"SIM","")</f>
        <v/>
      </c>
      <c r="AC720" s="92">
        <f>IF(AND(ISNUMBER(SEARCH("Delivery",N720)),ISNUMBER(SEARCH("Chac",N720))),"SIM","")</f>
        <v/>
      </c>
      <c r="AD720" s="92">
        <f>IF(AND(ISNUMBER(SEARCH("Delivery",N720)),ISNUMBER(SEARCH("Madalena",N720))),"SIM","")</f>
        <v/>
      </c>
      <c r="AE720" s="99">
        <f>IF(AND(ISNUMBER(SEARCH("Delivery",N720)),ISNUMBER(SEARCH("Mariana",N720))),"SIM","")</f>
        <v/>
      </c>
      <c r="AF720" s="99">
        <f>IF(AND(ISNUMBER(SEARCH("Delivery",N720)),ISNUMBER(SEARCH("Perdizes",N720))),"SIM","")</f>
        <v/>
      </c>
      <c r="AG720" s="99">
        <f>IF(AND(ISNUMBER(SEARCH("Delivery",N720)),ISNUMBER(SEARCH("Santana",N720))),"SIM","")</f>
        <v/>
      </c>
      <c r="AH720" s="99">
        <f>IF(AND(ISNUMBER(SEARCH("Delivery",N720)),ISNUMBER(SEARCH("André",N720))),"SIM","")</f>
        <v/>
      </c>
      <c r="AI720" s="99">
        <f>IF(ISNUMBER(SEARCH("Interlagos",N720)),"SIM","")</f>
        <v/>
      </c>
      <c r="AJ720" s="99">
        <f>IF(ISNUMBER(SEARCH("Quiosque",N720)),"SIM","")</f>
        <v/>
      </c>
      <c r="AK720" s="101" t="n"/>
    </row>
    <row r="721">
      <c r="A721" s="88" t="inlineStr">
        <is>
          <t>Protheus</t>
        </is>
      </c>
      <c r="B721" s="89" t="inlineStr">
        <is>
          <t>001233</t>
        </is>
      </c>
      <c r="C721" s="90">
        <f>IF(B721="—","—",IFERROR(VLOOKUP(B721,_Protheus_Cadastro!$A:$B,2,FALSE),"—"))</f>
        <v/>
      </c>
      <c r="D721" s="91">
        <f>IF(B721="—",IFERROR(INDEX(_ZIG_Cadastro!$D:$D,MATCH(H721,_ZIG_Cadastro!$A:$A,0)),"Produto"),IFERROR(VLOOKUP(B721,_Protheus_Cadastro!$A:$C,3,FALSE),"—"))</f>
        <v/>
      </c>
      <c r="E721" s="91">
        <f>IF(B721="—","—",IFERROR(VLOOKUP(B721,_Protheus_Cadastro!$A:$D,4,FALSE),"—"))</f>
        <v/>
      </c>
      <c r="F721" s="91">
        <f>IF(ISERROR(VLOOKUP(B721,'Estrutura Protheus'!A:A,1,FALSE)),"Não","Sim")</f>
        <v/>
      </c>
      <c r="G721" s="92">
        <f>IFERROR(INDEX(_Protheus_Cadastro!$H:$H,MATCH(B721,_Protheus_Cadastro!$A:$A,0)),"—")</f>
        <v/>
      </c>
      <c r="H721" s="210">
        <f>IFERROR(INDEX(_ZIG_Precos!$D:$D,MATCH(I721,_ZIG_Precos!$F:$F,0)),"—")</f>
        <v/>
      </c>
      <c r="I721" s="95">
        <f>IFERROR(VLOOKUP(B721,_Protheus_Cadastro!$A:$I,9,FALSE),"—")</f>
        <v/>
      </c>
      <c r="J721" s="93">
        <f>IFERROR(INDEX(_ZIG_Cadastro!$B:$B,MATCH(I721,_ZIG_Cadastro!$A:$A,0)),IFERROR(INDEX(_Entradas_ZIG!$B:$B,MATCH(I721,_Entradas_ZIG!$C:$C,0)),"—"))</f>
        <v/>
      </c>
      <c r="K721" s="93">
        <f>IFERROR(INDEX(_ZIG_Cadastro!$C:$C,MATCH(I721,_ZIG_Cadastro!$A:$A,0)),IFERROR(INDEX(_Entradas_ZIG!$D:$D,MATCH(I721,_Entradas_ZIG!$C:$C,0)),"—"))</f>
        <v/>
      </c>
      <c r="L721" s="92">
        <f>IF(I721="","Sem SKU ZIG",IF(I721="—","Sem SKU ZIG",IF(NOT(ISERROR(MATCH(I721,_ZIG_Cadastro!$A:$A,0))),IF(EXACT(UPPER(TRIM(C721)),UPPER(TRIM(INDEX(_ZIG_Cadastro!$B:$B,MATCH(I721,_ZIG_Cadastro!$A:$A,0))))),"OK","Atencao - Nome diverge"),IF(NOT(ISERROR(MATCH(I721,_Entradas_ZIG!$C:$C,0))),"OK","Erro - SKU nao encontrado"))))</f>
        <v/>
      </c>
      <c r="M721" s="92">
        <f>IFERROR(INDEX(_ZIG_Cadastro!$G:$G,MATCH(I721,_ZIG_Cadastro!$A:$A,0)),IF(NOT(ISERROR(MATCH(I721,_Entradas_ZIG!$C:$C,0))),"Ativo","—"))</f>
        <v/>
      </c>
      <c r="N721" s="94">
        <f>IFERROR(INDEX(_ZIG_Cadastro!$E:$E,MATCH(I721,_ZIG_Cadastro!$A:$A,0)),IFERROR(INDEX(_Entradas_ZIG!$F:$F,MATCH(I721,_Entradas_ZIG!$C:$C,0)),"—"))</f>
        <v/>
      </c>
      <c r="O721" s="92">
        <f>IF(AND(ISNUMBER(SEARCH("Espeto",N721)),ISNUMBER(SEARCH("Carin",N721))),"SIM","")</f>
        <v/>
      </c>
      <c r="P721" s="92">
        <f>IF(AND(ISNUMBER(SEARCH("Espeto",N721)),ISNUMBER(SEARCH("Lapa",N721))),"SIM","")</f>
        <v/>
      </c>
      <c r="Q721" s="92">
        <f>IF(AND(ISNUMBER(SEARCH("Espeto",N721)),ISNUMBER(SEARCH("Tatuapé",N721))),"SIM","")</f>
        <v/>
      </c>
      <c r="R721" s="92">
        <f>IF(AND(ISNUMBER(SEARCH("Espeto",N721)),ISNUMBER(SEARCH("Pavão",N721))),"SIM","")</f>
        <v/>
      </c>
      <c r="S721" s="92">
        <f>IF(AND(ISNUMBER(SEARCH("Espeto",N721)),ISNUMBER(SEARCH("Chac",N721))),"SIM","")</f>
        <v/>
      </c>
      <c r="T721" s="92">
        <f>IF(AND(ISNUMBER(SEARCH("Espeto",N721)),ISNUMBER(SEARCH("Madalena",N721))),"SIM","")</f>
        <v/>
      </c>
      <c r="U721" s="92">
        <f>IF(AND(ISNUMBER(SEARCH("Espeto",N721)),ISNUMBER(SEARCH("Mariana",N721))),"SIM","")</f>
        <v/>
      </c>
      <c r="V721" s="92">
        <f>IF(AND(ISNUMBER(SEARCH("Espeto",N721)),ISNUMBER(SEARCH("Perdizes",N721))),"SIM","")</f>
        <v/>
      </c>
      <c r="W721" s="92">
        <f>IF(AND(ISNUMBER(SEARCH("Espeto",N721)),ISNUMBER(SEARCH("Santana",N721))),"SIM","")</f>
        <v/>
      </c>
      <c r="X721" s="92">
        <f>IF(AND(ISNUMBER(SEARCH("Espeto",N721)),ISNUMBER(SEARCH("André",N721))),"SIM","")</f>
        <v/>
      </c>
      <c r="Y721" s="92">
        <f>IF(AND(ISNUMBER(SEARCH("Delivery",N721)),ISNUMBER(SEARCH("Carin",N721))),"SIM","")</f>
        <v/>
      </c>
      <c r="Z721" s="92">
        <f>IF(AND(ISNUMBER(SEARCH("Delivery",N721)),ISNUMBER(SEARCH("Lapa",N721))),"SIM","")</f>
        <v/>
      </c>
      <c r="AA721" s="92">
        <f>IF(AND(ISNUMBER(SEARCH("Delivery",N721)),ISNUMBER(SEARCH("Tatuapé",N721))),"SIM","")</f>
        <v/>
      </c>
      <c r="AB721" s="92">
        <f>IF(AND(ISNUMBER(SEARCH("Delivery",N721)),ISNUMBER(SEARCH("Pavão",N721))),"SIM","")</f>
        <v/>
      </c>
      <c r="AC721" s="92">
        <f>IF(AND(ISNUMBER(SEARCH("Delivery",N721)),ISNUMBER(SEARCH("Chac",N721))),"SIM","")</f>
        <v/>
      </c>
      <c r="AD721" s="92">
        <f>IF(AND(ISNUMBER(SEARCH("Delivery",N721)),ISNUMBER(SEARCH("Madalena",N721))),"SIM","")</f>
        <v/>
      </c>
      <c r="AE721" s="99">
        <f>IF(AND(ISNUMBER(SEARCH("Delivery",N721)),ISNUMBER(SEARCH("Mariana",N721))),"SIM","")</f>
        <v/>
      </c>
      <c r="AF721" s="99">
        <f>IF(AND(ISNUMBER(SEARCH("Delivery",N721)),ISNUMBER(SEARCH("Perdizes",N721))),"SIM","")</f>
        <v/>
      </c>
      <c r="AG721" s="99">
        <f>IF(AND(ISNUMBER(SEARCH("Delivery",N721)),ISNUMBER(SEARCH("Santana",N721))),"SIM","")</f>
        <v/>
      </c>
      <c r="AH721" s="99">
        <f>IF(AND(ISNUMBER(SEARCH("Delivery",N721)),ISNUMBER(SEARCH("André",N721))),"SIM","")</f>
        <v/>
      </c>
      <c r="AI721" s="99">
        <f>IF(ISNUMBER(SEARCH("Interlagos",N721)),"SIM","")</f>
        <v/>
      </c>
      <c r="AJ721" s="99">
        <f>IF(ISNUMBER(SEARCH("Quiosque",N721)),"SIM","")</f>
        <v/>
      </c>
      <c r="AK721" s="101" t="n"/>
    </row>
    <row r="722">
      <c r="A722" s="88" t="inlineStr">
        <is>
          <t>Protheus</t>
        </is>
      </c>
      <c r="B722" s="89" t="inlineStr">
        <is>
          <t>001234</t>
        </is>
      </c>
      <c r="C722" s="90">
        <f>IF(B722="—","—",IFERROR(VLOOKUP(B722,_Protheus_Cadastro!$A:$B,2,FALSE),"—"))</f>
        <v/>
      </c>
      <c r="D722" s="91">
        <f>IF(B722="—",IFERROR(INDEX(_ZIG_Cadastro!$D:$D,MATCH(H722,_ZIG_Cadastro!$A:$A,0)),"Produto"),IFERROR(VLOOKUP(B722,_Protheus_Cadastro!$A:$C,3,FALSE),"—"))</f>
        <v/>
      </c>
      <c r="E722" s="91">
        <f>IF(B722="—","—",IFERROR(VLOOKUP(B722,_Protheus_Cadastro!$A:$D,4,FALSE),"—"))</f>
        <v/>
      </c>
      <c r="F722" s="91">
        <f>IF(ISERROR(VLOOKUP(B722,'Estrutura Protheus'!A:A,1,FALSE)),"Não","Sim")</f>
        <v/>
      </c>
      <c r="G722" s="92">
        <f>IFERROR(INDEX(_Protheus_Cadastro!$H:$H,MATCH(B722,_Protheus_Cadastro!$A:$A,0)),"—")</f>
        <v/>
      </c>
      <c r="H722" s="210">
        <f>IFERROR(INDEX(_ZIG_Precos!$D:$D,MATCH(I722,_ZIG_Precos!$F:$F,0)),"—")</f>
        <v/>
      </c>
      <c r="I722" s="95">
        <f>IFERROR(VLOOKUP(B722,_Protheus_Cadastro!$A:$I,9,FALSE),"—")</f>
        <v/>
      </c>
      <c r="J722" s="93">
        <f>IFERROR(INDEX(_ZIG_Cadastro!$B:$B,MATCH(I722,_ZIG_Cadastro!$A:$A,0)),IFERROR(INDEX(_Entradas_ZIG!$B:$B,MATCH(I722,_Entradas_ZIG!$C:$C,0)),"—"))</f>
        <v/>
      </c>
      <c r="K722" s="93">
        <f>IFERROR(INDEX(_ZIG_Cadastro!$C:$C,MATCH(I722,_ZIG_Cadastro!$A:$A,0)),IFERROR(INDEX(_Entradas_ZIG!$D:$D,MATCH(I722,_Entradas_ZIG!$C:$C,0)),"—"))</f>
        <v/>
      </c>
      <c r="L722" s="92">
        <f>IF(I722="","Sem SKU ZIG",IF(I722="—","Sem SKU ZIG",IF(NOT(ISERROR(MATCH(I722,_ZIG_Cadastro!$A:$A,0))),IF(EXACT(UPPER(TRIM(C722)),UPPER(TRIM(INDEX(_ZIG_Cadastro!$B:$B,MATCH(I722,_ZIG_Cadastro!$A:$A,0))))),"OK","Atencao - Nome diverge"),IF(NOT(ISERROR(MATCH(I722,_Entradas_ZIG!$C:$C,0))),"OK","Erro - SKU nao encontrado"))))</f>
        <v/>
      </c>
      <c r="M722" s="92">
        <f>IFERROR(INDEX(_ZIG_Cadastro!$G:$G,MATCH(I722,_ZIG_Cadastro!$A:$A,0)),IF(NOT(ISERROR(MATCH(I722,_Entradas_ZIG!$C:$C,0))),"Ativo","—"))</f>
        <v/>
      </c>
      <c r="N722" s="94">
        <f>IFERROR(INDEX(_ZIG_Cadastro!$E:$E,MATCH(I722,_ZIG_Cadastro!$A:$A,0)),IFERROR(INDEX(_Entradas_ZIG!$F:$F,MATCH(I722,_Entradas_ZIG!$C:$C,0)),"—"))</f>
        <v/>
      </c>
      <c r="O722" s="92">
        <f>IF(AND(ISNUMBER(SEARCH("Espeto",N722)),ISNUMBER(SEARCH("Carin",N722))),"SIM","")</f>
        <v/>
      </c>
      <c r="P722" s="92">
        <f>IF(AND(ISNUMBER(SEARCH("Espeto",N722)),ISNUMBER(SEARCH("Lapa",N722))),"SIM","")</f>
        <v/>
      </c>
      <c r="Q722" s="92">
        <f>IF(AND(ISNUMBER(SEARCH("Espeto",N722)),ISNUMBER(SEARCH("Tatuapé",N722))),"SIM","")</f>
        <v/>
      </c>
      <c r="R722" s="92">
        <f>IF(AND(ISNUMBER(SEARCH("Espeto",N722)),ISNUMBER(SEARCH("Pavão",N722))),"SIM","")</f>
        <v/>
      </c>
      <c r="S722" s="92">
        <f>IF(AND(ISNUMBER(SEARCH("Espeto",N722)),ISNUMBER(SEARCH("Chac",N722))),"SIM","")</f>
        <v/>
      </c>
      <c r="T722" s="92">
        <f>IF(AND(ISNUMBER(SEARCH("Espeto",N722)),ISNUMBER(SEARCH("Madalena",N722))),"SIM","")</f>
        <v/>
      </c>
      <c r="U722" s="92">
        <f>IF(AND(ISNUMBER(SEARCH("Espeto",N722)),ISNUMBER(SEARCH("Mariana",N722))),"SIM","")</f>
        <v/>
      </c>
      <c r="V722" s="92">
        <f>IF(AND(ISNUMBER(SEARCH("Espeto",N722)),ISNUMBER(SEARCH("Perdizes",N722))),"SIM","")</f>
        <v/>
      </c>
      <c r="W722" s="92">
        <f>IF(AND(ISNUMBER(SEARCH("Espeto",N722)),ISNUMBER(SEARCH("Santana",N722))),"SIM","")</f>
        <v/>
      </c>
      <c r="X722" s="92">
        <f>IF(AND(ISNUMBER(SEARCH("Espeto",N722)),ISNUMBER(SEARCH("André",N722))),"SIM","")</f>
        <v/>
      </c>
      <c r="Y722" s="92">
        <f>IF(AND(ISNUMBER(SEARCH("Delivery",N722)),ISNUMBER(SEARCH("Carin",N722))),"SIM","")</f>
        <v/>
      </c>
      <c r="Z722" s="92">
        <f>IF(AND(ISNUMBER(SEARCH("Delivery",N722)),ISNUMBER(SEARCH("Lapa",N722))),"SIM","")</f>
        <v/>
      </c>
      <c r="AA722" s="92">
        <f>IF(AND(ISNUMBER(SEARCH("Delivery",N722)),ISNUMBER(SEARCH("Tatuapé",N722))),"SIM","")</f>
        <v/>
      </c>
      <c r="AB722" s="92">
        <f>IF(AND(ISNUMBER(SEARCH("Delivery",N722)),ISNUMBER(SEARCH("Pavão",N722))),"SIM","")</f>
        <v/>
      </c>
      <c r="AC722" s="92">
        <f>IF(AND(ISNUMBER(SEARCH("Delivery",N722)),ISNUMBER(SEARCH("Chac",N722))),"SIM","")</f>
        <v/>
      </c>
      <c r="AD722" s="92">
        <f>IF(AND(ISNUMBER(SEARCH("Delivery",N722)),ISNUMBER(SEARCH("Madalena",N722))),"SIM","")</f>
        <v/>
      </c>
      <c r="AE722" s="99">
        <f>IF(AND(ISNUMBER(SEARCH("Delivery",N722)),ISNUMBER(SEARCH("Mariana",N722))),"SIM","")</f>
        <v/>
      </c>
      <c r="AF722" s="99">
        <f>IF(AND(ISNUMBER(SEARCH("Delivery",N722)),ISNUMBER(SEARCH("Perdizes",N722))),"SIM","")</f>
        <v/>
      </c>
      <c r="AG722" s="99">
        <f>IF(AND(ISNUMBER(SEARCH("Delivery",N722)),ISNUMBER(SEARCH("Santana",N722))),"SIM","")</f>
        <v/>
      </c>
      <c r="AH722" s="99">
        <f>IF(AND(ISNUMBER(SEARCH("Delivery",N722)),ISNUMBER(SEARCH("André",N722))),"SIM","")</f>
        <v/>
      </c>
      <c r="AI722" s="99">
        <f>IF(ISNUMBER(SEARCH("Interlagos",N722)),"SIM","")</f>
        <v/>
      </c>
      <c r="AJ722" s="99">
        <f>IF(ISNUMBER(SEARCH("Quiosque",N722)),"SIM","")</f>
        <v/>
      </c>
      <c r="AK722" s="101" t="n"/>
    </row>
    <row r="723">
      <c r="A723" s="88" t="inlineStr">
        <is>
          <t>Protheus</t>
        </is>
      </c>
      <c r="B723" s="89" t="inlineStr">
        <is>
          <t>001237</t>
        </is>
      </c>
      <c r="C723" s="90">
        <f>IF(B723="—","—",IFERROR(VLOOKUP(B723,_Protheus_Cadastro!$A:$B,2,FALSE),"—"))</f>
        <v/>
      </c>
      <c r="D723" s="91">
        <f>IF(B723="—",IFERROR(INDEX(_ZIG_Cadastro!$D:$D,MATCH(H723,_ZIG_Cadastro!$A:$A,0)),"Produto"),IFERROR(VLOOKUP(B723,_Protheus_Cadastro!$A:$C,3,FALSE),"—"))</f>
        <v/>
      </c>
      <c r="E723" s="91">
        <f>IF(B723="—","—",IFERROR(VLOOKUP(B723,_Protheus_Cadastro!$A:$D,4,FALSE),"—"))</f>
        <v/>
      </c>
      <c r="F723" s="91">
        <f>IF(ISERROR(VLOOKUP(B723,'Estrutura Protheus'!A:A,1,FALSE)),"Não","Sim")</f>
        <v/>
      </c>
      <c r="G723" s="92">
        <f>IFERROR(INDEX(_Protheus_Cadastro!$H:$H,MATCH(B723,_Protheus_Cadastro!$A:$A,0)),"—")</f>
        <v/>
      </c>
      <c r="H723" s="210">
        <f>IFERROR(INDEX(_ZIG_Precos!$D:$D,MATCH(I723,_ZIG_Precos!$F:$F,0)),"—")</f>
        <v/>
      </c>
      <c r="I723" s="95">
        <f>IFERROR(VLOOKUP(B723,_Protheus_Cadastro!$A:$I,9,FALSE),"—")</f>
        <v/>
      </c>
      <c r="J723" s="93">
        <f>IFERROR(INDEX(_ZIG_Cadastro!$B:$B,MATCH(I723,_ZIG_Cadastro!$A:$A,0)),IFERROR(INDEX(_Entradas_ZIG!$B:$B,MATCH(I723,_Entradas_ZIG!$C:$C,0)),"—"))</f>
        <v/>
      </c>
      <c r="K723" s="93">
        <f>IFERROR(INDEX(_ZIG_Cadastro!$C:$C,MATCH(I723,_ZIG_Cadastro!$A:$A,0)),IFERROR(INDEX(_Entradas_ZIG!$D:$D,MATCH(I723,_Entradas_ZIG!$C:$C,0)),"—"))</f>
        <v/>
      </c>
      <c r="L723" s="92">
        <f>IF(I723="","Sem SKU ZIG",IF(I723="—","Sem SKU ZIG",IF(NOT(ISERROR(MATCH(I723,_ZIG_Cadastro!$A:$A,0))),IF(EXACT(UPPER(TRIM(C723)),UPPER(TRIM(INDEX(_ZIG_Cadastro!$B:$B,MATCH(I723,_ZIG_Cadastro!$A:$A,0))))),"OK","Atencao - Nome diverge"),IF(NOT(ISERROR(MATCH(I723,_Entradas_ZIG!$C:$C,0))),"OK","Erro - SKU nao encontrado"))))</f>
        <v/>
      </c>
      <c r="M723" s="92">
        <f>IFERROR(INDEX(_ZIG_Cadastro!$G:$G,MATCH(I723,_ZIG_Cadastro!$A:$A,0)),IF(NOT(ISERROR(MATCH(I723,_Entradas_ZIG!$C:$C,0))),"Ativo","—"))</f>
        <v/>
      </c>
      <c r="N723" s="94">
        <f>IFERROR(INDEX(_ZIG_Cadastro!$E:$E,MATCH(I723,_ZIG_Cadastro!$A:$A,0)),IFERROR(INDEX(_Entradas_ZIG!$F:$F,MATCH(I723,_Entradas_ZIG!$C:$C,0)),"—"))</f>
        <v/>
      </c>
      <c r="O723" s="92">
        <f>IF(AND(ISNUMBER(SEARCH("Espeto",N723)),ISNUMBER(SEARCH("Carin",N723))),"SIM","")</f>
        <v/>
      </c>
      <c r="P723" s="92">
        <f>IF(AND(ISNUMBER(SEARCH("Espeto",N723)),ISNUMBER(SEARCH("Lapa",N723))),"SIM","")</f>
        <v/>
      </c>
      <c r="Q723" s="92">
        <f>IF(AND(ISNUMBER(SEARCH("Espeto",N723)),ISNUMBER(SEARCH("Tatuapé",N723))),"SIM","")</f>
        <v/>
      </c>
      <c r="R723" s="92">
        <f>IF(AND(ISNUMBER(SEARCH("Espeto",N723)),ISNUMBER(SEARCH("Pavão",N723))),"SIM","")</f>
        <v/>
      </c>
      <c r="S723" s="92">
        <f>IF(AND(ISNUMBER(SEARCH("Espeto",N723)),ISNUMBER(SEARCH("Chac",N723))),"SIM","")</f>
        <v/>
      </c>
      <c r="T723" s="92">
        <f>IF(AND(ISNUMBER(SEARCH("Espeto",N723)),ISNUMBER(SEARCH("Madalena",N723))),"SIM","")</f>
        <v/>
      </c>
      <c r="U723" s="92">
        <f>IF(AND(ISNUMBER(SEARCH("Espeto",N723)),ISNUMBER(SEARCH("Mariana",N723))),"SIM","")</f>
        <v/>
      </c>
      <c r="V723" s="92">
        <f>IF(AND(ISNUMBER(SEARCH("Espeto",N723)),ISNUMBER(SEARCH("Perdizes",N723))),"SIM","")</f>
        <v/>
      </c>
      <c r="W723" s="92">
        <f>IF(AND(ISNUMBER(SEARCH("Espeto",N723)),ISNUMBER(SEARCH("Santana",N723))),"SIM","")</f>
        <v/>
      </c>
      <c r="X723" s="92">
        <f>IF(AND(ISNUMBER(SEARCH("Espeto",N723)),ISNUMBER(SEARCH("André",N723))),"SIM","")</f>
        <v/>
      </c>
      <c r="Y723" s="92">
        <f>IF(AND(ISNUMBER(SEARCH("Delivery",N723)),ISNUMBER(SEARCH("Carin",N723))),"SIM","")</f>
        <v/>
      </c>
      <c r="Z723" s="92">
        <f>IF(AND(ISNUMBER(SEARCH("Delivery",N723)),ISNUMBER(SEARCH("Lapa",N723))),"SIM","")</f>
        <v/>
      </c>
      <c r="AA723" s="92">
        <f>IF(AND(ISNUMBER(SEARCH("Delivery",N723)),ISNUMBER(SEARCH("Tatuapé",N723))),"SIM","")</f>
        <v/>
      </c>
      <c r="AB723" s="92">
        <f>IF(AND(ISNUMBER(SEARCH("Delivery",N723)),ISNUMBER(SEARCH("Pavão",N723))),"SIM","")</f>
        <v/>
      </c>
      <c r="AC723" s="92">
        <f>IF(AND(ISNUMBER(SEARCH("Delivery",N723)),ISNUMBER(SEARCH("Chac",N723))),"SIM","")</f>
        <v/>
      </c>
      <c r="AD723" s="92">
        <f>IF(AND(ISNUMBER(SEARCH("Delivery",N723)),ISNUMBER(SEARCH("Madalena",N723))),"SIM","")</f>
        <v/>
      </c>
      <c r="AE723" s="99">
        <f>IF(AND(ISNUMBER(SEARCH("Delivery",N723)),ISNUMBER(SEARCH("Mariana",N723))),"SIM","")</f>
        <v/>
      </c>
      <c r="AF723" s="99">
        <f>IF(AND(ISNUMBER(SEARCH("Delivery",N723)),ISNUMBER(SEARCH("Perdizes",N723))),"SIM","")</f>
        <v/>
      </c>
      <c r="AG723" s="99">
        <f>IF(AND(ISNUMBER(SEARCH("Delivery",N723)),ISNUMBER(SEARCH("Santana",N723))),"SIM","")</f>
        <v/>
      </c>
      <c r="AH723" s="99">
        <f>IF(AND(ISNUMBER(SEARCH("Delivery",N723)),ISNUMBER(SEARCH("André",N723))),"SIM","")</f>
        <v/>
      </c>
      <c r="AI723" s="99">
        <f>IF(ISNUMBER(SEARCH("Interlagos",N723)),"SIM","")</f>
        <v/>
      </c>
      <c r="AJ723" s="99">
        <f>IF(ISNUMBER(SEARCH("Quiosque",N723)),"SIM","")</f>
        <v/>
      </c>
      <c r="AK723" s="101" t="n"/>
    </row>
    <row r="724">
      <c r="A724" s="88" t="inlineStr">
        <is>
          <t>Protheus</t>
        </is>
      </c>
      <c r="B724" s="89" t="inlineStr">
        <is>
          <t>001245</t>
        </is>
      </c>
      <c r="C724" s="90">
        <f>IF(B724="—","—",IFERROR(VLOOKUP(B724,_Protheus_Cadastro!$A:$B,2,FALSE),"—"))</f>
        <v/>
      </c>
      <c r="D724" s="91">
        <f>IF(B724="—",IFERROR(INDEX(_ZIG_Cadastro!$D:$D,MATCH(H724,_ZIG_Cadastro!$A:$A,0)),"Produto"),IFERROR(VLOOKUP(B724,_Protheus_Cadastro!$A:$C,3,FALSE),"—"))</f>
        <v/>
      </c>
      <c r="E724" s="91">
        <f>IF(B724="—","—",IFERROR(VLOOKUP(B724,_Protheus_Cadastro!$A:$D,4,FALSE),"—"))</f>
        <v/>
      </c>
      <c r="F724" s="91">
        <f>IF(ISERROR(VLOOKUP(B724,'Estrutura Protheus'!A:A,1,FALSE)),"Não","Sim")</f>
        <v/>
      </c>
      <c r="G724" s="92">
        <f>IFERROR(INDEX(_Protheus_Cadastro!$H:$H,MATCH(B724,_Protheus_Cadastro!$A:$A,0)),"—")</f>
        <v/>
      </c>
      <c r="H724" s="210">
        <f>IFERROR(INDEX(_ZIG_Precos!$D:$D,MATCH(I724,_ZIG_Precos!$F:$F,0)),"—")</f>
        <v/>
      </c>
      <c r="I724" s="95">
        <f>IFERROR(VLOOKUP(B724,_Protheus_Cadastro!$A:$I,9,FALSE),"—")</f>
        <v/>
      </c>
      <c r="J724" s="93">
        <f>IFERROR(INDEX(_ZIG_Cadastro!$B:$B,MATCH(I724,_ZIG_Cadastro!$A:$A,0)),IFERROR(INDEX(_Entradas_ZIG!$B:$B,MATCH(I724,_Entradas_ZIG!$C:$C,0)),"—"))</f>
        <v/>
      </c>
      <c r="K724" s="93">
        <f>IFERROR(INDEX(_ZIG_Cadastro!$C:$C,MATCH(I724,_ZIG_Cadastro!$A:$A,0)),IFERROR(INDEX(_Entradas_ZIG!$D:$D,MATCH(I724,_Entradas_ZIG!$C:$C,0)),"—"))</f>
        <v/>
      </c>
      <c r="L724" s="92">
        <f>IF(I724="","Sem SKU ZIG",IF(I724="—","Sem SKU ZIG",IF(NOT(ISERROR(MATCH(I724,_ZIG_Cadastro!$A:$A,0))),IF(EXACT(UPPER(TRIM(C724)),UPPER(TRIM(INDEX(_ZIG_Cadastro!$B:$B,MATCH(I724,_ZIG_Cadastro!$A:$A,0))))),"OK","Atencao - Nome diverge"),IF(NOT(ISERROR(MATCH(I724,_Entradas_ZIG!$C:$C,0))),"OK","Erro - SKU nao encontrado"))))</f>
        <v/>
      </c>
      <c r="M724" s="92">
        <f>IFERROR(INDEX(_ZIG_Cadastro!$G:$G,MATCH(I724,_ZIG_Cadastro!$A:$A,0)),IF(NOT(ISERROR(MATCH(I724,_Entradas_ZIG!$C:$C,0))),"Ativo","—"))</f>
        <v/>
      </c>
      <c r="N724" s="94">
        <f>IFERROR(INDEX(_ZIG_Cadastro!$E:$E,MATCH(I724,_ZIG_Cadastro!$A:$A,0)),IFERROR(INDEX(_Entradas_ZIG!$F:$F,MATCH(I724,_Entradas_ZIG!$C:$C,0)),"—"))</f>
        <v/>
      </c>
      <c r="O724" s="92">
        <f>IF(AND(ISNUMBER(SEARCH("Espeto",N724)),ISNUMBER(SEARCH("Carin",N724))),"SIM","")</f>
        <v/>
      </c>
      <c r="P724" s="92">
        <f>IF(AND(ISNUMBER(SEARCH("Espeto",N724)),ISNUMBER(SEARCH("Lapa",N724))),"SIM","")</f>
        <v/>
      </c>
      <c r="Q724" s="92">
        <f>IF(AND(ISNUMBER(SEARCH("Espeto",N724)),ISNUMBER(SEARCH("Tatuapé",N724))),"SIM","")</f>
        <v/>
      </c>
      <c r="R724" s="92">
        <f>IF(AND(ISNUMBER(SEARCH("Espeto",N724)),ISNUMBER(SEARCH("Pavão",N724))),"SIM","")</f>
        <v/>
      </c>
      <c r="S724" s="92">
        <f>IF(AND(ISNUMBER(SEARCH("Espeto",N724)),ISNUMBER(SEARCH("Chac",N724))),"SIM","")</f>
        <v/>
      </c>
      <c r="T724" s="92">
        <f>IF(AND(ISNUMBER(SEARCH("Espeto",N724)),ISNUMBER(SEARCH("Madalena",N724))),"SIM","")</f>
        <v/>
      </c>
      <c r="U724" s="92">
        <f>IF(AND(ISNUMBER(SEARCH("Espeto",N724)),ISNUMBER(SEARCH("Mariana",N724))),"SIM","")</f>
        <v/>
      </c>
      <c r="V724" s="92">
        <f>IF(AND(ISNUMBER(SEARCH("Espeto",N724)),ISNUMBER(SEARCH("Perdizes",N724))),"SIM","")</f>
        <v/>
      </c>
      <c r="W724" s="92">
        <f>IF(AND(ISNUMBER(SEARCH("Espeto",N724)),ISNUMBER(SEARCH("Santana",N724))),"SIM","")</f>
        <v/>
      </c>
      <c r="X724" s="92">
        <f>IF(AND(ISNUMBER(SEARCH("Espeto",N724)),ISNUMBER(SEARCH("André",N724))),"SIM","")</f>
        <v/>
      </c>
      <c r="Y724" s="92">
        <f>IF(AND(ISNUMBER(SEARCH("Delivery",N724)),ISNUMBER(SEARCH("Carin",N724))),"SIM","")</f>
        <v/>
      </c>
      <c r="Z724" s="92">
        <f>IF(AND(ISNUMBER(SEARCH("Delivery",N724)),ISNUMBER(SEARCH("Lapa",N724))),"SIM","")</f>
        <v/>
      </c>
      <c r="AA724" s="92">
        <f>IF(AND(ISNUMBER(SEARCH("Delivery",N724)),ISNUMBER(SEARCH("Tatuapé",N724))),"SIM","")</f>
        <v/>
      </c>
      <c r="AB724" s="92">
        <f>IF(AND(ISNUMBER(SEARCH("Delivery",N724)),ISNUMBER(SEARCH("Pavão",N724))),"SIM","")</f>
        <v/>
      </c>
      <c r="AC724" s="92">
        <f>IF(AND(ISNUMBER(SEARCH("Delivery",N724)),ISNUMBER(SEARCH("Chac",N724))),"SIM","")</f>
        <v/>
      </c>
      <c r="AD724" s="92">
        <f>IF(AND(ISNUMBER(SEARCH("Delivery",N724)),ISNUMBER(SEARCH("Madalena",N724))),"SIM","")</f>
        <v/>
      </c>
      <c r="AE724" s="99">
        <f>IF(AND(ISNUMBER(SEARCH("Delivery",N724)),ISNUMBER(SEARCH("Mariana",N724))),"SIM","")</f>
        <v/>
      </c>
      <c r="AF724" s="99">
        <f>IF(AND(ISNUMBER(SEARCH("Delivery",N724)),ISNUMBER(SEARCH("Perdizes",N724))),"SIM","")</f>
        <v/>
      </c>
      <c r="AG724" s="99">
        <f>IF(AND(ISNUMBER(SEARCH("Delivery",N724)),ISNUMBER(SEARCH("Santana",N724))),"SIM","")</f>
        <v/>
      </c>
      <c r="AH724" s="99">
        <f>IF(AND(ISNUMBER(SEARCH("Delivery",N724)),ISNUMBER(SEARCH("André",N724))),"SIM","")</f>
        <v/>
      </c>
      <c r="AI724" s="99">
        <f>IF(ISNUMBER(SEARCH("Interlagos",N724)),"SIM","")</f>
        <v/>
      </c>
      <c r="AJ724" s="99">
        <f>IF(ISNUMBER(SEARCH("Quiosque",N724)),"SIM","")</f>
        <v/>
      </c>
      <c r="AK724" s="101" t="n"/>
    </row>
    <row r="725">
      <c r="A725" s="88" t="inlineStr">
        <is>
          <t>Protheus</t>
        </is>
      </c>
      <c r="B725" s="89" t="inlineStr">
        <is>
          <t>001272</t>
        </is>
      </c>
      <c r="C725" s="90">
        <f>IF(B725="—","—",IFERROR(VLOOKUP(B725,_Protheus_Cadastro!$A:$B,2,FALSE),"—"))</f>
        <v/>
      </c>
      <c r="D725" s="91">
        <f>IF(B725="—",IFERROR(INDEX(_ZIG_Cadastro!$D:$D,MATCH(H725,_ZIG_Cadastro!$A:$A,0)),"Produto"),IFERROR(VLOOKUP(B725,_Protheus_Cadastro!$A:$C,3,FALSE),"—"))</f>
        <v/>
      </c>
      <c r="E725" s="91">
        <f>IF(B725="—","—",IFERROR(VLOOKUP(B725,_Protheus_Cadastro!$A:$D,4,FALSE),"—"))</f>
        <v/>
      </c>
      <c r="F725" s="91">
        <f>IF(ISERROR(VLOOKUP(B725,'Estrutura Protheus'!A:A,1,FALSE)),"Não","Sim")</f>
        <v/>
      </c>
      <c r="G725" s="92">
        <f>IFERROR(INDEX(_Protheus_Cadastro!$H:$H,MATCH(B725,_Protheus_Cadastro!$A:$A,0)),"—")</f>
        <v/>
      </c>
      <c r="H725" s="210">
        <f>IFERROR(INDEX(_ZIG_Precos!$D:$D,MATCH(I725,_ZIG_Precos!$F:$F,0)),"—")</f>
        <v/>
      </c>
      <c r="I725" s="95">
        <f>IFERROR(VLOOKUP(B725,_Protheus_Cadastro!$A:$I,9,FALSE),"—")</f>
        <v/>
      </c>
      <c r="J725" s="93">
        <f>IFERROR(INDEX(_ZIG_Cadastro!$B:$B,MATCH(I725,_ZIG_Cadastro!$A:$A,0)),IFERROR(INDEX(_Entradas_ZIG!$B:$B,MATCH(I725,_Entradas_ZIG!$C:$C,0)),"—"))</f>
        <v/>
      </c>
      <c r="K725" s="93">
        <f>IFERROR(INDEX(_ZIG_Cadastro!$C:$C,MATCH(I725,_ZIG_Cadastro!$A:$A,0)),IFERROR(INDEX(_Entradas_ZIG!$D:$D,MATCH(I725,_Entradas_ZIG!$C:$C,0)),"—"))</f>
        <v/>
      </c>
      <c r="L725" s="92">
        <f>IF(I725="","Sem SKU ZIG",IF(I725="—","Sem SKU ZIG",IF(NOT(ISERROR(MATCH(I725,_ZIG_Cadastro!$A:$A,0))),IF(EXACT(UPPER(TRIM(C725)),UPPER(TRIM(INDEX(_ZIG_Cadastro!$B:$B,MATCH(I725,_ZIG_Cadastro!$A:$A,0))))),"OK","Atencao - Nome diverge"),IF(NOT(ISERROR(MATCH(I725,_Entradas_ZIG!$C:$C,0))),"OK","Erro - SKU nao encontrado"))))</f>
        <v/>
      </c>
      <c r="M725" s="92">
        <f>IFERROR(INDEX(_ZIG_Cadastro!$G:$G,MATCH(I725,_ZIG_Cadastro!$A:$A,0)),IF(NOT(ISERROR(MATCH(I725,_Entradas_ZIG!$C:$C,0))),"Ativo","—"))</f>
        <v/>
      </c>
      <c r="N725" s="94">
        <f>IFERROR(INDEX(_ZIG_Cadastro!$E:$E,MATCH(I725,_ZIG_Cadastro!$A:$A,0)),IFERROR(INDEX(_Entradas_ZIG!$F:$F,MATCH(I725,_Entradas_ZIG!$C:$C,0)),"—"))</f>
        <v/>
      </c>
      <c r="O725" s="92">
        <f>IF(AND(ISNUMBER(SEARCH("Espeto",N725)),ISNUMBER(SEARCH("Carin",N725))),"SIM","")</f>
        <v/>
      </c>
      <c r="P725" s="92">
        <f>IF(AND(ISNUMBER(SEARCH("Espeto",N725)),ISNUMBER(SEARCH("Lapa",N725))),"SIM","")</f>
        <v/>
      </c>
      <c r="Q725" s="92">
        <f>IF(AND(ISNUMBER(SEARCH("Espeto",N725)),ISNUMBER(SEARCH("Tatuapé",N725))),"SIM","")</f>
        <v/>
      </c>
      <c r="R725" s="92">
        <f>IF(AND(ISNUMBER(SEARCH("Espeto",N725)),ISNUMBER(SEARCH("Pavão",N725))),"SIM","")</f>
        <v/>
      </c>
      <c r="S725" s="92">
        <f>IF(AND(ISNUMBER(SEARCH("Espeto",N725)),ISNUMBER(SEARCH("Chac",N725))),"SIM","")</f>
        <v/>
      </c>
      <c r="T725" s="92">
        <f>IF(AND(ISNUMBER(SEARCH("Espeto",N725)),ISNUMBER(SEARCH("Madalena",N725))),"SIM","")</f>
        <v/>
      </c>
      <c r="U725" s="92">
        <f>IF(AND(ISNUMBER(SEARCH("Espeto",N725)),ISNUMBER(SEARCH("Mariana",N725))),"SIM","")</f>
        <v/>
      </c>
      <c r="V725" s="92">
        <f>IF(AND(ISNUMBER(SEARCH("Espeto",N725)),ISNUMBER(SEARCH("Perdizes",N725))),"SIM","")</f>
        <v/>
      </c>
      <c r="W725" s="92">
        <f>IF(AND(ISNUMBER(SEARCH("Espeto",N725)),ISNUMBER(SEARCH("Santana",N725))),"SIM","")</f>
        <v/>
      </c>
      <c r="X725" s="92">
        <f>IF(AND(ISNUMBER(SEARCH("Espeto",N725)),ISNUMBER(SEARCH("André",N725))),"SIM","")</f>
        <v/>
      </c>
      <c r="Y725" s="92">
        <f>IF(AND(ISNUMBER(SEARCH("Delivery",N725)),ISNUMBER(SEARCH("Carin",N725))),"SIM","")</f>
        <v/>
      </c>
      <c r="Z725" s="92">
        <f>IF(AND(ISNUMBER(SEARCH("Delivery",N725)),ISNUMBER(SEARCH("Lapa",N725))),"SIM","")</f>
        <v/>
      </c>
      <c r="AA725" s="92">
        <f>IF(AND(ISNUMBER(SEARCH("Delivery",N725)),ISNUMBER(SEARCH("Tatuapé",N725))),"SIM","")</f>
        <v/>
      </c>
      <c r="AB725" s="92">
        <f>IF(AND(ISNUMBER(SEARCH("Delivery",N725)),ISNUMBER(SEARCH("Pavão",N725))),"SIM","")</f>
        <v/>
      </c>
      <c r="AC725" s="92">
        <f>IF(AND(ISNUMBER(SEARCH("Delivery",N725)),ISNUMBER(SEARCH("Chac",N725))),"SIM","")</f>
        <v/>
      </c>
      <c r="AD725" s="92">
        <f>IF(AND(ISNUMBER(SEARCH("Delivery",N725)),ISNUMBER(SEARCH("Madalena",N725))),"SIM","")</f>
        <v/>
      </c>
      <c r="AE725" s="99">
        <f>IF(AND(ISNUMBER(SEARCH("Delivery",N725)),ISNUMBER(SEARCH("Mariana",N725))),"SIM","")</f>
        <v/>
      </c>
      <c r="AF725" s="99">
        <f>IF(AND(ISNUMBER(SEARCH("Delivery",N725)),ISNUMBER(SEARCH("Perdizes",N725))),"SIM","")</f>
        <v/>
      </c>
      <c r="AG725" s="99">
        <f>IF(AND(ISNUMBER(SEARCH("Delivery",N725)),ISNUMBER(SEARCH("Santana",N725))),"SIM","")</f>
        <v/>
      </c>
      <c r="AH725" s="99">
        <f>IF(AND(ISNUMBER(SEARCH("Delivery",N725)),ISNUMBER(SEARCH("André",N725))),"SIM","")</f>
        <v/>
      </c>
      <c r="AI725" s="99">
        <f>IF(ISNUMBER(SEARCH("Interlagos",N725)),"SIM","")</f>
        <v/>
      </c>
      <c r="AJ725" s="99">
        <f>IF(ISNUMBER(SEARCH("Quiosque",N725)),"SIM","")</f>
        <v/>
      </c>
      <c r="AK725" s="101" t="n"/>
    </row>
    <row r="726">
      <c r="A726" s="88" t="inlineStr">
        <is>
          <t>Protheus</t>
        </is>
      </c>
      <c r="B726" s="89" t="inlineStr">
        <is>
          <t>001273</t>
        </is>
      </c>
      <c r="C726" s="90">
        <f>IF(B726="—","—",IFERROR(VLOOKUP(B726,_Protheus_Cadastro!$A:$B,2,FALSE),"—"))</f>
        <v/>
      </c>
      <c r="D726" s="91">
        <f>IF(B726="—",IFERROR(INDEX(_ZIG_Cadastro!$D:$D,MATCH(H726,_ZIG_Cadastro!$A:$A,0)),"Produto"),IFERROR(VLOOKUP(B726,_Protheus_Cadastro!$A:$C,3,FALSE),"—"))</f>
        <v/>
      </c>
      <c r="E726" s="91">
        <f>IF(B726="—","—",IFERROR(VLOOKUP(B726,_Protheus_Cadastro!$A:$D,4,FALSE),"—"))</f>
        <v/>
      </c>
      <c r="F726" s="91">
        <f>IF(ISERROR(VLOOKUP(B726,'Estrutura Protheus'!A:A,1,FALSE)),"Não","Sim")</f>
        <v/>
      </c>
      <c r="G726" s="92">
        <f>IFERROR(INDEX(_Protheus_Cadastro!$H:$H,MATCH(B726,_Protheus_Cadastro!$A:$A,0)),"—")</f>
        <v/>
      </c>
      <c r="H726" s="210">
        <f>IFERROR(INDEX(_ZIG_Precos!$D:$D,MATCH(I726,_ZIG_Precos!$F:$F,0)),"—")</f>
        <v/>
      </c>
      <c r="I726" s="95">
        <f>IFERROR(VLOOKUP(B726,_Protheus_Cadastro!$A:$I,9,FALSE),"—")</f>
        <v/>
      </c>
      <c r="J726" s="93">
        <f>IFERROR(INDEX(_ZIG_Cadastro!$B:$B,MATCH(I726,_ZIG_Cadastro!$A:$A,0)),IFERROR(INDEX(_Entradas_ZIG!$B:$B,MATCH(I726,_Entradas_ZIG!$C:$C,0)),"—"))</f>
        <v/>
      </c>
      <c r="K726" s="93">
        <f>IFERROR(INDEX(_ZIG_Cadastro!$C:$C,MATCH(I726,_ZIG_Cadastro!$A:$A,0)),IFERROR(INDEX(_Entradas_ZIG!$D:$D,MATCH(I726,_Entradas_ZIG!$C:$C,0)),"—"))</f>
        <v/>
      </c>
      <c r="L726" s="92">
        <f>IF(I726="","Sem SKU ZIG",IF(I726="—","Sem SKU ZIG",IF(NOT(ISERROR(MATCH(I726,_ZIG_Cadastro!$A:$A,0))),IF(EXACT(UPPER(TRIM(C726)),UPPER(TRIM(INDEX(_ZIG_Cadastro!$B:$B,MATCH(I726,_ZIG_Cadastro!$A:$A,0))))),"OK","Atencao - Nome diverge"),IF(NOT(ISERROR(MATCH(I726,_Entradas_ZIG!$C:$C,0))),"OK","Erro - SKU nao encontrado"))))</f>
        <v/>
      </c>
      <c r="M726" s="92">
        <f>IFERROR(INDEX(_ZIG_Cadastro!$G:$G,MATCH(I726,_ZIG_Cadastro!$A:$A,0)),IF(NOT(ISERROR(MATCH(I726,_Entradas_ZIG!$C:$C,0))),"Ativo","—"))</f>
        <v/>
      </c>
      <c r="N726" s="94">
        <f>IFERROR(INDEX(_ZIG_Cadastro!$E:$E,MATCH(I726,_ZIG_Cadastro!$A:$A,0)),IFERROR(INDEX(_Entradas_ZIG!$F:$F,MATCH(I726,_Entradas_ZIG!$C:$C,0)),"—"))</f>
        <v/>
      </c>
      <c r="O726" s="92">
        <f>IF(AND(ISNUMBER(SEARCH("Espeto",N726)),ISNUMBER(SEARCH("Carin",N726))),"SIM","")</f>
        <v/>
      </c>
      <c r="P726" s="92">
        <f>IF(AND(ISNUMBER(SEARCH("Espeto",N726)),ISNUMBER(SEARCH("Lapa",N726))),"SIM","")</f>
        <v/>
      </c>
      <c r="Q726" s="92">
        <f>IF(AND(ISNUMBER(SEARCH("Espeto",N726)),ISNUMBER(SEARCH("Tatuapé",N726))),"SIM","")</f>
        <v/>
      </c>
      <c r="R726" s="92">
        <f>IF(AND(ISNUMBER(SEARCH("Espeto",N726)),ISNUMBER(SEARCH("Pavão",N726))),"SIM","")</f>
        <v/>
      </c>
      <c r="S726" s="92">
        <f>IF(AND(ISNUMBER(SEARCH("Espeto",N726)),ISNUMBER(SEARCH("Chac",N726))),"SIM","")</f>
        <v/>
      </c>
      <c r="T726" s="92">
        <f>IF(AND(ISNUMBER(SEARCH("Espeto",N726)),ISNUMBER(SEARCH("Madalena",N726))),"SIM","")</f>
        <v/>
      </c>
      <c r="U726" s="92">
        <f>IF(AND(ISNUMBER(SEARCH("Espeto",N726)),ISNUMBER(SEARCH("Mariana",N726))),"SIM","")</f>
        <v/>
      </c>
      <c r="V726" s="92">
        <f>IF(AND(ISNUMBER(SEARCH("Espeto",N726)),ISNUMBER(SEARCH("Perdizes",N726))),"SIM","")</f>
        <v/>
      </c>
      <c r="W726" s="92">
        <f>IF(AND(ISNUMBER(SEARCH("Espeto",N726)),ISNUMBER(SEARCH("Santana",N726))),"SIM","")</f>
        <v/>
      </c>
      <c r="X726" s="92">
        <f>IF(AND(ISNUMBER(SEARCH("Espeto",N726)),ISNUMBER(SEARCH("André",N726))),"SIM","")</f>
        <v/>
      </c>
      <c r="Y726" s="92">
        <f>IF(AND(ISNUMBER(SEARCH("Delivery",N726)),ISNUMBER(SEARCH("Carin",N726))),"SIM","")</f>
        <v/>
      </c>
      <c r="Z726" s="92">
        <f>IF(AND(ISNUMBER(SEARCH("Delivery",N726)),ISNUMBER(SEARCH("Lapa",N726))),"SIM","")</f>
        <v/>
      </c>
      <c r="AA726" s="92">
        <f>IF(AND(ISNUMBER(SEARCH("Delivery",N726)),ISNUMBER(SEARCH("Tatuapé",N726))),"SIM","")</f>
        <v/>
      </c>
      <c r="AB726" s="92">
        <f>IF(AND(ISNUMBER(SEARCH("Delivery",N726)),ISNUMBER(SEARCH("Pavão",N726))),"SIM","")</f>
        <v/>
      </c>
      <c r="AC726" s="92">
        <f>IF(AND(ISNUMBER(SEARCH("Delivery",N726)),ISNUMBER(SEARCH("Chac",N726))),"SIM","")</f>
        <v/>
      </c>
      <c r="AD726" s="92">
        <f>IF(AND(ISNUMBER(SEARCH("Delivery",N726)),ISNUMBER(SEARCH("Madalena",N726))),"SIM","")</f>
        <v/>
      </c>
      <c r="AE726" s="99">
        <f>IF(AND(ISNUMBER(SEARCH("Delivery",N726)),ISNUMBER(SEARCH("Mariana",N726))),"SIM","")</f>
        <v/>
      </c>
      <c r="AF726" s="99">
        <f>IF(AND(ISNUMBER(SEARCH("Delivery",N726)),ISNUMBER(SEARCH("Perdizes",N726))),"SIM","")</f>
        <v/>
      </c>
      <c r="AG726" s="99">
        <f>IF(AND(ISNUMBER(SEARCH("Delivery",N726)),ISNUMBER(SEARCH("Santana",N726))),"SIM","")</f>
        <v/>
      </c>
      <c r="AH726" s="99">
        <f>IF(AND(ISNUMBER(SEARCH("Delivery",N726)),ISNUMBER(SEARCH("André",N726))),"SIM","")</f>
        <v/>
      </c>
      <c r="AI726" s="99">
        <f>IF(ISNUMBER(SEARCH("Interlagos",N726)),"SIM","")</f>
        <v/>
      </c>
      <c r="AJ726" s="99">
        <f>IF(ISNUMBER(SEARCH("Quiosque",N726)),"SIM","")</f>
        <v/>
      </c>
      <c r="AK726" s="101" t="n"/>
    </row>
    <row r="727">
      <c r="A727" s="88" t="inlineStr">
        <is>
          <t>Protheus</t>
        </is>
      </c>
      <c r="B727" s="89" t="inlineStr">
        <is>
          <t>001280</t>
        </is>
      </c>
      <c r="C727" s="90">
        <f>IF(B727="—","—",IFERROR(VLOOKUP(B727,_Protheus_Cadastro!$A:$B,2,FALSE),"—"))</f>
        <v/>
      </c>
      <c r="D727" s="91">
        <f>IF(B727="—",IFERROR(INDEX(_ZIG_Cadastro!$D:$D,MATCH(H727,_ZIG_Cadastro!$A:$A,0)),"Produto"),IFERROR(VLOOKUP(B727,_Protheus_Cadastro!$A:$C,3,FALSE),"—"))</f>
        <v/>
      </c>
      <c r="E727" s="91">
        <f>IF(B727="—","—",IFERROR(VLOOKUP(B727,_Protheus_Cadastro!$A:$D,4,FALSE),"—"))</f>
        <v/>
      </c>
      <c r="F727" s="91">
        <f>IF(ISERROR(VLOOKUP(B727,'Estrutura Protheus'!A:A,1,FALSE)),"Não","Sim")</f>
        <v/>
      </c>
      <c r="G727" s="92">
        <f>IFERROR(INDEX(_Protheus_Cadastro!$H:$H,MATCH(B727,_Protheus_Cadastro!$A:$A,0)),"—")</f>
        <v/>
      </c>
      <c r="H727" s="210">
        <f>IFERROR(INDEX(_ZIG_Precos!$D:$D,MATCH(I727,_ZIG_Precos!$F:$F,0)),"—")</f>
        <v/>
      </c>
      <c r="I727" s="95">
        <f>IFERROR(VLOOKUP(B727,_Protheus_Cadastro!$A:$I,9,FALSE),"—")</f>
        <v/>
      </c>
      <c r="J727" s="93">
        <f>IFERROR(INDEX(_ZIG_Cadastro!$B:$B,MATCH(I727,_ZIG_Cadastro!$A:$A,0)),IFERROR(INDEX(_Entradas_ZIG!$B:$B,MATCH(I727,_Entradas_ZIG!$C:$C,0)),"—"))</f>
        <v/>
      </c>
      <c r="K727" s="93">
        <f>IFERROR(INDEX(_ZIG_Cadastro!$C:$C,MATCH(I727,_ZIG_Cadastro!$A:$A,0)),IFERROR(INDEX(_Entradas_ZIG!$D:$D,MATCH(I727,_Entradas_ZIG!$C:$C,0)),"—"))</f>
        <v/>
      </c>
      <c r="L727" s="92">
        <f>IF(I727="","Sem SKU ZIG",IF(I727="—","Sem SKU ZIG",IF(NOT(ISERROR(MATCH(I727,_ZIG_Cadastro!$A:$A,0))),IF(EXACT(UPPER(TRIM(C727)),UPPER(TRIM(INDEX(_ZIG_Cadastro!$B:$B,MATCH(I727,_ZIG_Cadastro!$A:$A,0))))),"OK","Atencao - Nome diverge"),IF(NOT(ISERROR(MATCH(I727,_Entradas_ZIG!$C:$C,0))),"OK","Erro - SKU nao encontrado"))))</f>
        <v/>
      </c>
      <c r="M727" s="92">
        <f>IFERROR(INDEX(_ZIG_Cadastro!$G:$G,MATCH(I727,_ZIG_Cadastro!$A:$A,0)),IF(NOT(ISERROR(MATCH(I727,_Entradas_ZIG!$C:$C,0))),"Ativo","—"))</f>
        <v/>
      </c>
      <c r="N727" s="94">
        <f>IFERROR(INDEX(_ZIG_Cadastro!$E:$E,MATCH(I727,_ZIG_Cadastro!$A:$A,0)),IFERROR(INDEX(_Entradas_ZIG!$F:$F,MATCH(I727,_Entradas_ZIG!$C:$C,0)),"—"))</f>
        <v/>
      </c>
      <c r="O727" s="92">
        <f>IF(AND(ISNUMBER(SEARCH("Espeto",N727)),ISNUMBER(SEARCH("Carin",N727))),"SIM","")</f>
        <v/>
      </c>
      <c r="P727" s="92">
        <f>IF(AND(ISNUMBER(SEARCH("Espeto",N727)),ISNUMBER(SEARCH("Lapa",N727))),"SIM","")</f>
        <v/>
      </c>
      <c r="Q727" s="92">
        <f>IF(AND(ISNUMBER(SEARCH("Espeto",N727)),ISNUMBER(SEARCH("Tatuapé",N727))),"SIM","")</f>
        <v/>
      </c>
      <c r="R727" s="92">
        <f>IF(AND(ISNUMBER(SEARCH("Espeto",N727)),ISNUMBER(SEARCH("Pavão",N727))),"SIM","")</f>
        <v/>
      </c>
      <c r="S727" s="92">
        <f>IF(AND(ISNUMBER(SEARCH("Espeto",N727)),ISNUMBER(SEARCH("Chac",N727))),"SIM","")</f>
        <v/>
      </c>
      <c r="T727" s="92">
        <f>IF(AND(ISNUMBER(SEARCH("Espeto",N727)),ISNUMBER(SEARCH("Madalena",N727))),"SIM","")</f>
        <v/>
      </c>
      <c r="U727" s="92">
        <f>IF(AND(ISNUMBER(SEARCH("Espeto",N727)),ISNUMBER(SEARCH("Mariana",N727))),"SIM","")</f>
        <v/>
      </c>
      <c r="V727" s="92">
        <f>IF(AND(ISNUMBER(SEARCH("Espeto",N727)),ISNUMBER(SEARCH("Perdizes",N727))),"SIM","")</f>
        <v/>
      </c>
      <c r="W727" s="92">
        <f>IF(AND(ISNUMBER(SEARCH("Espeto",N727)),ISNUMBER(SEARCH("Santana",N727))),"SIM","")</f>
        <v/>
      </c>
      <c r="X727" s="92">
        <f>IF(AND(ISNUMBER(SEARCH("Espeto",N727)),ISNUMBER(SEARCH("André",N727))),"SIM","")</f>
        <v/>
      </c>
      <c r="Y727" s="92">
        <f>IF(AND(ISNUMBER(SEARCH("Delivery",N727)),ISNUMBER(SEARCH("Carin",N727))),"SIM","")</f>
        <v/>
      </c>
      <c r="Z727" s="92">
        <f>IF(AND(ISNUMBER(SEARCH("Delivery",N727)),ISNUMBER(SEARCH("Lapa",N727))),"SIM","")</f>
        <v/>
      </c>
      <c r="AA727" s="92">
        <f>IF(AND(ISNUMBER(SEARCH("Delivery",N727)),ISNUMBER(SEARCH("Tatuapé",N727))),"SIM","")</f>
        <v/>
      </c>
      <c r="AB727" s="92">
        <f>IF(AND(ISNUMBER(SEARCH("Delivery",N727)),ISNUMBER(SEARCH("Pavão",N727))),"SIM","")</f>
        <v/>
      </c>
      <c r="AC727" s="92">
        <f>IF(AND(ISNUMBER(SEARCH("Delivery",N727)),ISNUMBER(SEARCH("Chac",N727))),"SIM","")</f>
        <v/>
      </c>
      <c r="AD727" s="92">
        <f>IF(AND(ISNUMBER(SEARCH("Delivery",N727)),ISNUMBER(SEARCH("Madalena",N727))),"SIM","")</f>
        <v/>
      </c>
      <c r="AE727" s="99">
        <f>IF(AND(ISNUMBER(SEARCH("Delivery",N727)),ISNUMBER(SEARCH("Mariana",N727))),"SIM","")</f>
        <v/>
      </c>
      <c r="AF727" s="99">
        <f>IF(AND(ISNUMBER(SEARCH("Delivery",N727)),ISNUMBER(SEARCH("Perdizes",N727))),"SIM","")</f>
        <v/>
      </c>
      <c r="AG727" s="99">
        <f>IF(AND(ISNUMBER(SEARCH("Delivery",N727)),ISNUMBER(SEARCH("Santana",N727))),"SIM","")</f>
        <v/>
      </c>
      <c r="AH727" s="99">
        <f>IF(AND(ISNUMBER(SEARCH("Delivery",N727)),ISNUMBER(SEARCH("André",N727))),"SIM","")</f>
        <v/>
      </c>
      <c r="AI727" s="99">
        <f>IF(ISNUMBER(SEARCH("Interlagos",N727)),"SIM","")</f>
        <v/>
      </c>
      <c r="AJ727" s="99">
        <f>IF(ISNUMBER(SEARCH("Quiosque",N727)),"SIM","")</f>
        <v/>
      </c>
      <c r="AK727" s="101" t="n"/>
    </row>
    <row r="728">
      <c r="A728" s="88" t="inlineStr">
        <is>
          <t>Protheus</t>
        </is>
      </c>
      <c r="B728" s="89" t="inlineStr">
        <is>
          <t>001282</t>
        </is>
      </c>
      <c r="C728" s="90">
        <f>IF(B728="—","—",IFERROR(VLOOKUP(B728,_Protheus_Cadastro!$A:$B,2,FALSE),"—"))</f>
        <v/>
      </c>
      <c r="D728" s="91">
        <f>IF(B728="—",IFERROR(INDEX(_ZIG_Cadastro!$D:$D,MATCH(H728,_ZIG_Cadastro!$A:$A,0)),"Produto"),IFERROR(VLOOKUP(B728,_Protheus_Cadastro!$A:$C,3,FALSE),"—"))</f>
        <v/>
      </c>
      <c r="E728" s="91">
        <f>IF(B728="—","—",IFERROR(VLOOKUP(B728,_Protheus_Cadastro!$A:$D,4,FALSE),"—"))</f>
        <v/>
      </c>
      <c r="F728" s="91">
        <f>IF(ISERROR(VLOOKUP(B728,'Estrutura Protheus'!A:A,1,FALSE)),"Não","Sim")</f>
        <v/>
      </c>
      <c r="G728" s="92">
        <f>IFERROR(INDEX(_Protheus_Cadastro!$H:$H,MATCH(B728,_Protheus_Cadastro!$A:$A,0)),"—")</f>
        <v/>
      </c>
      <c r="H728" s="210">
        <f>IFERROR(INDEX(_ZIG_Precos!$D:$D,MATCH(I728,_ZIG_Precos!$F:$F,0)),"—")</f>
        <v/>
      </c>
      <c r="I728" s="95">
        <f>IFERROR(VLOOKUP(B728,_Protheus_Cadastro!$A:$I,9,FALSE),"—")</f>
        <v/>
      </c>
      <c r="J728" s="93">
        <f>IFERROR(INDEX(_ZIG_Cadastro!$B:$B,MATCH(I728,_ZIG_Cadastro!$A:$A,0)),IFERROR(INDEX(_Entradas_ZIG!$B:$B,MATCH(I728,_Entradas_ZIG!$C:$C,0)),"—"))</f>
        <v/>
      </c>
      <c r="K728" s="93">
        <f>IFERROR(INDEX(_ZIG_Cadastro!$C:$C,MATCH(I728,_ZIG_Cadastro!$A:$A,0)),IFERROR(INDEX(_Entradas_ZIG!$D:$D,MATCH(I728,_Entradas_ZIG!$C:$C,0)),"—"))</f>
        <v/>
      </c>
      <c r="L728" s="92">
        <f>IF(I728="","Sem SKU ZIG",IF(I728="—","Sem SKU ZIG",IF(NOT(ISERROR(MATCH(I728,_ZIG_Cadastro!$A:$A,0))),IF(EXACT(UPPER(TRIM(C728)),UPPER(TRIM(INDEX(_ZIG_Cadastro!$B:$B,MATCH(I728,_ZIG_Cadastro!$A:$A,0))))),"OK","Atencao - Nome diverge"),IF(NOT(ISERROR(MATCH(I728,_Entradas_ZIG!$C:$C,0))),"OK","Erro - SKU nao encontrado"))))</f>
        <v/>
      </c>
      <c r="M728" s="92">
        <f>IFERROR(INDEX(_ZIG_Cadastro!$G:$G,MATCH(I728,_ZIG_Cadastro!$A:$A,0)),IF(NOT(ISERROR(MATCH(I728,_Entradas_ZIG!$C:$C,0))),"Ativo","—"))</f>
        <v/>
      </c>
      <c r="N728" s="94">
        <f>IFERROR(INDEX(_ZIG_Cadastro!$E:$E,MATCH(I728,_ZIG_Cadastro!$A:$A,0)),IFERROR(INDEX(_Entradas_ZIG!$F:$F,MATCH(I728,_Entradas_ZIG!$C:$C,0)),"—"))</f>
        <v/>
      </c>
      <c r="O728" s="92">
        <f>IF(AND(ISNUMBER(SEARCH("Espeto",N728)),ISNUMBER(SEARCH("Carin",N728))),"SIM","")</f>
        <v/>
      </c>
      <c r="P728" s="92">
        <f>IF(AND(ISNUMBER(SEARCH("Espeto",N728)),ISNUMBER(SEARCH("Lapa",N728))),"SIM","")</f>
        <v/>
      </c>
      <c r="Q728" s="92">
        <f>IF(AND(ISNUMBER(SEARCH("Espeto",N728)),ISNUMBER(SEARCH("Tatuapé",N728))),"SIM","")</f>
        <v/>
      </c>
      <c r="R728" s="92">
        <f>IF(AND(ISNUMBER(SEARCH("Espeto",N728)),ISNUMBER(SEARCH("Pavão",N728))),"SIM","")</f>
        <v/>
      </c>
      <c r="S728" s="92">
        <f>IF(AND(ISNUMBER(SEARCH("Espeto",N728)),ISNUMBER(SEARCH("Chac",N728))),"SIM","")</f>
        <v/>
      </c>
      <c r="T728" s="92">
        <f>IF(AND(ISNUMBER(SEARCH("Espeto",N728)),ISNUMBER(SEARCH("Madalena",N728))),"SIM","")</f>
        <v/>
      </c>
      <c r="U728" s="92">
        <f>IF(AND(ISNUMBER(SEARCH("Espeto",N728)),ISNUMBER(SEARCH("Mariana",N728))),"SIM","")</f>
        <v/>
      </c>
      <c r="V728" s="92">
        <f>IF(AND(ISNUMBER(SEARCH("Espeto",N728)),ISNUMBER(SEARCH("Perdizes",N728))),"SIM","")</f>
        <v/>
      </c>
      <c r="W728" s="92">
        <f>IF(AND(ISNUMBER(SEARCH("Espeto",N728)),ISNUMBER(SEARCH("Santana",N728))),"SIM","")</f>
        <v/>
      </c>
      <c r="X728" s="92">
        <f>IF(AND(ISNUMBER(SEARCH("Espeto",N728)),ISNUMBER(SEARCH("André",N728))),"SIM","")</f>
        <v/>
      </c>
      <c r="Y728" s="92">
        <f>IF(AND(ISNUMBER(SEARCH("Delivery",N728)),ISNUMBER(SEARCH("Carin",N728))),"SIM","")</f>
        <v/>
      </c>
      <c r="Z728" s="92">
        <f>IF(AND(ISNUMBER(SEARCH("Delivery",N728)),ISNUMBER(SEARCH("Lapa",N728))),"SIM","")</f>
        <v/>
      </c>
      <c r="AA728" s="92">
        <f>IF(AND(ISNUMBER(SEARCH("Delivery",N728)),ISNUMBER(SEARCH("Tatuapé",N728))),"SIM","")</f>
        <v/>
      </c>
      <c r="AB728" s="92">
        <f>IF(AND(ISNUMBER(SEARCH("Delivery",N728)),ISNUMBER(SEARCH("Pavão",N728))),"SIM","")</f>
        <v/>
      </c>
      <c r="AC728" s="92">
        <f>IF(AND(ISNUMBER(SEARCH("Delivery",N728)),ISNUMBER(SEARCH("Chac",N728))),"SIM","")</f>
        <v/>
      </c>
      <c r="AD728" s="92">
        <f>IF(AND(ISNUMBER(SEARCH("Delivery",N728)),ISNUMBER(SEARCH("Madalena",N728))),"SIM","")</f>
        <v/>
      </c>
      <c r="AE728" s="99">
        <f>IF(AND(ISNUMBER(SEARCH("Delivery",N728)),ISNUMBER(SEARCH("Mariana",N728))),"SIM","")</f>
        <v/>
      </c>
      <c r="AF728" s="99">
        <f>IF(AND(ISNUMBER(SEARCH("Delivery",N728)),ISNUMBER(SEARCH("Perdizes",N728))),"SIM","")</f>
        <v/>
      </c>
      <c r="AG728" s="99">
        <f>IF(AND(ISNUMBER(SEARCH("Delivery",N728)),ISNUMBER(SEARCH("Santana",N728))),"SIM","")</f>
        <v/>
      </c>
      <c r="AH728" s="99">
        <f>IF(AND(ISNUMBER(SEARCH("Delivery",N728)),ISNUMBER(SEARCH("André",N728))),"SIM","")</f>
        <v/>
      </c>
      <c r="AI728" s="99">
        <f>IF(ISNUMBER(SEARCH("Interlagos",N728)),"SIM","")</f>
        <v/>
      </c>
      <c r="AJ728" s="99">
        <f>IF(ISNUMBER(SEARCH("Quiosque",N728)),"SIM","")</f>
        <v/>
      </c>
      <c r="AK728" s="101" t="n"/>
    </row>
    <row r="729">
      <c r="A729" s="88" t="inlineStr">
        <is>
          <t>Protheus</t>
        </is>
      </c>
      <c r="B729" s="89" t="inlineStr">
        <is>
          <t>001283</t>
        </is>
      </c>
      <c r="C729" s="90">
        <f>IF(B729="—","—",IFERROR(VLOOKUP(B729,_Protheus_Cadastro!$A:$B,2,FALSE),"—"))</f>
        <v/>
      </c>
      <c r="D729" s="91">
        <f>IF(B729="—",IFERROR(INDEX(_ZIG_Cadastro!$D:$D,MATCH(H729,_ZIG_Cadastro!$A:$A,0)),"Produto"),IFERROR(VLOOKUP(B729,_Protheus_Cadastro!$A:$C,3,FALSE),"—"))</f>
        <v/>
      </c>
      <c r="E729" s="91">
        <f>IF(B729="—","—",IFERROR(VLOOKUP(B729,_Protheus_Cadastro!$A:$D,4,FALSE),"—"))</f>
        <v/>
      </c>
      <c r="F729" s="91">
        <f>IF(ISERROR(VLOOKUP(B729,'Estrutura Protheus'!A:A,1,FALSE)),"Não","Sim")</f>
        <v/>
      </c>
      <c r="G729" s="92">
        <f>IFERROR(INDEX(_Protheus_Cadastro!$H:$H,MATCH(B729,_Protheus_Cadastro!$A:$A,0)),"—")</f>
        <v/>
      </c>
      <c r="H729" s="210">
        <f>IFERROR(INDEX(_ZIG_Precos!$D:$D,MATCH(I729,_ZIG_Precos!$F:$F,0)),"—")</f>
        <v/>
      </c>
      <c r="I729" s="95">
        <f>IFERROR(VLOOKUP(B729,_Protheus_Cadastro!$A:$I,9,FALSE),"—")</f>
        <v/>
      </c>
      <c r="J729" s="93">
        <f>IFERROR(INDEX(_ZIG_Cadastro!$B:$B,MATCH(I729,_ZIG_Cadastro!$A:$A,0)),IFERROR(INDEX(_Entradas_ZIG!$B:$B,MATCH(I729,_Entradas_ZIG!$C:$C,0)),"—"))</f>
        <v/>
      </c>
      <c r="K729" s="93">
        <f>IFERROR(INDEX(_ZIG_Cadastro!$C:$C,MATCH(I729,_ZIG_Cadastro!$A:$A,0)),IFERROR(INDEX(_Entradas_ZIG!$D:$D,MATCH(I729,_Entradas_ZIG!$C:$C,0)),"—"))</f>
        <v/>
      </c>
      <c r="L729" s="92">
        <f>IF(I729="","Sem SKU ZIG",IF(I729="—","Sem SKU ZIG",IF(NOT(ISERROR(MATCH(I729,_ZIG_Cadastro!$A:$A,0))),IF(EXACT(UPPER(TRIM(C729)),UPPER(TRIM(INDEX(_ZIG_Cadastro!$B:$B,MATCH(I729,_ZIG_Cadastro!$A:$A,0))))),"OK","Atencao - Nome diverge"),IF(NOT(ISERROR(MATCH(I729,_Entradas_ZIG!$C:$C,0))),"OK","Erro - SKU nao encontrado"))))</f>
        <v/>
      </c>
      <c r="M729" s="92">
        <f>IFERROR(INDEX(_ZIG_Cadastro!$G:$G,MATCH(I729,_ZIG_Cadastro!$A:$A,0)),IF(NOT(ISERROR(MATCH(I729,_Entradas_ZIG!$C:$C,0))),"Ativo","—"))</f>
        <v/>
      </c>
      <c r="N729" s="94">
        <f>IFERROR(INDEX(_ZIG_Cadastro!$E:$E,MATCH(I729,_ZIG_Cadastro!$A:$A,0)),IFERROR(INDEX(_Entradas_ZIG!$F:$F,MATCH(I729,_Entradas_ZIG!$C:$C,0)),"—"))</f>
        <v/>
      </c>
      <c r="O729" s="92">
        <f>IF(AND(ISNUMBER(SEARCH("Espeto",N729)),ISNUMBER(SEARCH("Carin",N729))),"SIM","")</f>
        <v/>
      </c>
      <c r="P729" s="92">
        <f>IF(AND(ISNUMBER(SEARCH("Espeto",N729)),ISNUMBER(SEARCH("Lapa",N729))),"SIM","")</f>
        <v/>
      </c>
      <c r="Q729" s="92">
        <f>IF(AND(ISNUMBER(SEARCH("Espeto",N729)),ISNUMBER(SEARCH("Tatuapé",N729))),"SIM","")</f>
        <v/>
      </c>
      <c r="R729" s="92">
        <f>IF(AND(ISNUMBER(SEARCH("Espeto",N729)),ISNUMBER(SEARCH("Pavão",N729))),"SIM","")</f>
        <v/>
      </c>
      <c r="S729" s="92">
        <f>IF(AND(ISNUMBER(SEARCH("Espeto",N729)),ISNUMBER(SEARCH("Chac",N729))),"SIM","")</f>
        <v/>
      </c>
      <c r="T729" s="92">
        <f>IF(AND(ISNUMBER(SEARCH("Espeto",N729)),ISNUMBER(SEARCH("Madalena",N729))),"SIM","")</f>
        <v/>
      </c>
      <c r="U729" s="92">
        <f>IF(AND(ISNUMBER(SEARCH("Espeto",N729)),ISNUMBER(SEARCH("Mariana",N729))),"SIM","")</f>
        <v/>
      </c>
      <c r="V729" s="92">
        <f>IF(AND(ISNUMBER(SEARCH("Espeto",N729)),ISNUMBER(SEARCH("Perdizes",N729))),"SIM","")</f>
        <v/>
      </c>
      <c r="W729" s="92">
        <f>IF(AND(ISNUMBER(SEARCH("Espeto",N729)),ISNUMBER(SEARCH("Santana",N729))),"SIM","")</f>
        <v/>
      </c>
      <c r="X729" s="92">
        <f>IF(AND(ISNUMBER(SEARCH("Espeto",N729)),ISNUMBER(SEARCH("André",N729))),"SIM","")</f>
        <v/>
      </c>
      <c r="Y729" s="92">
        <f>IF(AND(ISNUMBER(SEARCH("Delivery",N729)),ISNUMBER(SEARCH("Carin",N729))),"SIM","")</f>
        <v/>
      </c>
      <c r="Z729" s="92">
        <f>IF(AND(ISNUMBER(SEARCH("Delivery",N729)),ISNUMBER(SEARCH("Lapa",N729))),"SIM","")</f>
        <v/>
      </c>
      <c r="AA729" s="92">
        <f>IF(AND(ISNUMBER(SEARCH("Delivery",N729)),ISNUMBER(SEARCH("Tatuapé",N729))),"SIM","")</f>
        <v/>
      </c>
      <c r="AB729" s="92">
        <f>IF(AND(ISNUMBER(SEARCH("Delivery",N729)),ISNUMBER(SEARCH("Pavão",N729))),"SIM","")</f>
        <v/>
      </c>
      <c r="AC729" s="92">
        <f>IF(AND(ISNUMBER(SEARCH("Delivery",N729)),ISNUMBER(SEARCH("Chac",N729))),"SIM","")</f>
        <v/>
      </c>
      <c r="AD729" s="92">
        <f>IF(AND(ISNUMBER(SEARCH("Delivery",N729)),ISNUMBER(SEARCH("Madalena",N729))),"SIM","")</f>
        <v/>
      </c>
      <c r="AE729" s="99">
        <f>IF(AND(ISNUMBER(SEARCH("Delivery",N729)),ISNUMBER(SEARCH("Mariana",N729))),"SIM","")</f>
        <v/>
      </c>
      <c r="AF729" s="99">
        <f>IF(AND(ISNUMBER(SEARCH("Delivery",N729)),ISNUMBER(SEARCH("Perdizes",N729))),"SIM","")</f>
        <v/>
      </c>
      <c r="AG729" s="99">
        <f>IF(AND(ISNUMBER(SEARCH("Delivery",N729)),ISNUMBER(SEARCH("Santana",N729))),"SIM","")</f>
        <v/>
      </c>
      <c r="AH729" s="99">
        <f>IF(AND(ISNUMBER(SEARCH("Delivery",N729)),ISNUMBER(SEARCH("André",N729))),"SIM","")</f>
        <v/>
      </c>
      <c r="AI729" s="99">
        <f>IF(ISNUMBER(SEARCH("Interlagos",N729)),"SIM","")</f>
        <v/>
      </c>
      <c r="AJ729" s="99">
        <f>IF(ISNUMBER(SEARCH("Quiosque",N729)),"SIM","")</f>
        <v/>
      </c>
      <c r="AK729" s="101" t="n"/>
    </row>
    <row r="730">
      <c r="A730" s="88" t="inlineStr">
        <is>
          <t>Protheus</t>
        </is>
      </c>
      <c r="B730" s="89" t="inlineStr">
        <is>
          <t>001285</t>
        </is>
      </c>
      <c r="C730" s="90">
        <f>IF(B730="—","—",IFERROR(VLOOKUP(B730,_Protheus_Cadastro!$A:$B,2,FALSE),"—"))</f>
        <v/>
      </c>
      <c r="D730" s="91">
        <f>IF(B730="—",IFERROR(INDEX(_ZIG_Cadastro!$D:$D,MATCH(H730,_ZIG_Cadastro!$A:$A,0)),"Produto"),IFERROR(VLOOKUP(B730,_Protheus_Cadastro!$A:$C,3,FALSE),"—"))</f>
        <v/>
      </c>
      <c r="E730" s="91">
        <f>IF(B730="—","—",IFERROR(VLOOKUP(B730,_Protheus_Cadastro!$A:$D,4,FALSE),"—"))</f>
        <v/>
      </c>
      <c r="F730" s="91">
        <f>IF(ISERROR(VLOOKUP(B730,'Estrutura Protheus'!A:A,1,FALSE)),"Não","Sim")</f>
        <v/>
      </c>
      <c r="G730" s="92">
        <f>IFERROR(INDEX(_Protheus_Cadastro!$H:$H,MATCH(B730,_Protheus_Cadastro!$A:$A,0)),"—")</f>
        <v/>
      </c>
      <c r="H730" s="210">
        <f>IFERROR(INDEX(_ZIG_Precos!$D:$D,MATCH(I730,_ZIG_Precos!$F:$F,0)),"—")</f>
        <v/>
      </c>
      <c r="I730" s="95">
        <f>IFERROR(VLOOKUP(B730,_Protheus_Cadastro!$A:$I,9,FALSE),"—")</f>
        <v/>
      </c>
      <c r="J730" s="93">
        <f>IFERROR(INDEX(_ZIG_Cadastro!$B:$B,MATCH(I730,_ZIG_Cadastro!$A:$A,0)),IFERROR(INDEX(_Entradas_ZIG!$B:$B,MATCH(I730,_Entradas_ZIG!$C:$C,0)),"—"))</f>
        <v/>
      </c>
      <c r="K730" s="93">
        <f>IFERROR(INDEX(_ZIG_Cadastro!$C:$C,MATCH(I730,_ZIG_Cadastro!$A:$A,0)),IFERROR(INDEX(_Entradas_ZIG!$D:$D,MATCH(I730,_Entradas_ZIG!$C:$C,0)),"—"))</f>
        <v/>
      </c>
      <c r="L730" s="92">
        <f>IF(I730="","Sem SKU ZIG",IF(I730="—","Sem SKU ZIG",IF(NOT(ISERROR(MATCH(I730,_ZIG_Cadastro!$A:$A,0))),IF(EXACT(UPPER(TRIM(C730)),UPPER(TRIM(INDEX(_ZIG_Cadastro!$B:$B,MATCH(I730,_ZIG_Cadastro!$A:$A,0))))),"OK","Atencao - Nome diverge"),IF(NOT(ISERROR(MATCH(I730,_Entradas_ZIG!$C:$C,0))),"OK","Erro - SKU nao encontrado"))))</f>
        <v/>
      </c>
      <c r="M730" s="92">
        <f>IFERROR(INDEX(_ZIG_Cadastro!$G:$G,MATCH(I730,_ZIG_Cadastro!$A:$A,0)),IF(NOT(ISERROR(MATCH(I730,_Entradas_ZIG!$C:$C,0))),"Ativo","—"))</f>
        <v/>
      </c>
      <c r="N730" s="94">
        <f>IFERROR(INDEX(_ZIG_Cadastro!$E:$E,MATCH(I730,_ZIG_Cadastro!$A:$A,0)),IFERROR(INDEX(_Entradas_ZIG!$F:$F,MATCH(I730,_Entradas_ZIG!$C:$C,0)),"—"))</f>
        <v/>
      </c>
      <c r="O730" s="92">
        <f>IF(AND(ISNUMBER(SEARCH("Espeto",N730)),ISNUMBER(SEARCH("Carin",N730))),"SIM","")</f>
        <v/>
      </c>
      <c r="P730" s="92">
        <f>IF(AND(ISNUMBER(SEARCH("Espeto",N730)),ISNUMBER(SEARCH("Lapa",N730))),"SIM","")</f>
        <v/>
      </c>
      <c r="Q730" s="92">
        <f>IF(AND(ISNUMBER(SEARCH("Espeto",N730)),ISNUMBER(SEARCH("Tatuapé",N730))),"SIM","")</f>
        <v/>
      </c>
      <c r="R730" s="92">
        <f>IF(AND(ISNUMBER(SEARCH("Espeto",N730)),ISNUMBER(SEARCH("Pavão",N730))),"SIM","")</f>
        <v/>
      </c>
      <c r="S730" s="92">
        <f>IF(AND(ISNUMBER(SEARCH("Espeto",N730)),ISNUMBER(SEARCH("Chac",N730))),"SIM","")</f>
        <v/>
      </c>
      <c r="T730" s="92">
        <f>IF(AND(ISNUMBER(SEARCH("Espeto",N730)),ISNUMBER(SEARCH("Madalena",N730))),"SIM","")</f>
        <v/>
      </c>
      <c r="U730" s="92">
        <f>IF(AND(ISNUMBER(SEARCH("Espeto",N730)),ISNUMBER(SEARCH("Mariana",N730))),"SIM","")</f>
        <v/>
      </c>
      <c r="V730" s="92">
        <f>IF(AND(ISNUMBER(SEARCH("Espeto",N730)),ISNUMBER(SEARCH("Perdizes",N730))),"SIM","")</f>
        <v/>
      </c>
      <c r="W730" s="92">
        <f>IF(AND(ISNUMBER(SEARCH("Espeto",N730)),ISNUMBER(SEARCH("Santana",N730))),"SIM","")</f>
        <v/>
      </c>
      <c r="X730" s="92">
        <f>IF(AND(ISNUMBER(SEARCH("Espeto",N730)),ISNUMBER(SEARCH("André",N730))),"SIM","")</f>
        <v/>
      </c>
      <c r="Y730" s="92">
        <f>IF(AND(ISNUMBER(SEARCH("Delivery",N730)),ISNUMBER(SEARCH("Carin",N730))),"SIM","")</f>
        <v/>
      </c>
      <c r="Z730" s="92">
        <f>IF(AND(ISNUMBER(SEARCH("Delivery",N730)),ISNUMBER(SEARCH("Lapa",N730))),"SIM","")</f>
        <v/>
      </c>
      <c r="AA730" s="92">
        <f>IF(AND(ISNUMBER(SEARCH("Delivery",N730)),ISNUMBER(SEARCH("Tatuapé",N730))),"SIM","")</f>
        <v/>
      </c>
      <c r="AB730" s="92">
        <f>IF(AND(ISNUMBER(SEARCH("Delivery",N730)),ISNUMBER(SEARCH("Pavão",N730))),"SIM","")</f>
        <v/>
      </c>
      <c r="AC730" s="92">
        <f>IF(AND(ISNUMBER(SEARCH("Delivery",N730)),ISNUMBER(SEARCH("Chac",N730))),"SIM","")</f>
        <v/>
      </c>
      <c r="AD730" s="92">
        <f>IF(AND(ISNUMBER(SEARCH("Delivery",N730)),ISNUMBER(SEARCH("Madalena",N730))),"SIM","")</f>
        <v/>
      </c>
      <c r="AE730" s="99">
        <f>IF(AND(ISNUMBER(SEARCH("Delivery",N730)),ISNUMBER(SEARCH("Mariana",N730))),"SIM","")</f>
        <v/>
      </c>
      <c r="AF730" s="99">
        <f>IF(AND(ISNUMBER(SEARCH("Delivery",N730)),ISNUMBER(SEARCH("Perdizes",N730))),"SIM","")</f>
        <v/>
      </c>
      <c r="AG730" s="99">
        <f>IF(AND(ISNUMBER(SEARCH("Delivery",N730)),ISNUMBER(SEARCH("Santana",N730))),"SIM","")</f>
        <v/>
      </c>
      <c r="AH730" s="99">
        <f>IF(AND(ISNUMBER(SEARCH("Delivery",N730)),ISNUMBER(SEARCH("André",N730))),"SIM","")</f>
        <v/>
      </c>
      <c r="AI730" s="99">
        <f>IF(ISNUMBER(SEARCH("Interlagos",N730)),"SIM","")</f>
        <v/>
      </c>
      <c r="AJ730" s="99">
        <f>IF(ISNUMBER(SEARCH("Quiosque",N730)),"SIM","")</f>
        <v/>
      </c>
      <c r="AK730" s="101" t="n"/>
    </row>
    <row r="731">
      <c r="A731" s="88" t="inlineStr">
        <is>
          <t>Protheus</t>
        </is>
      </c>
      <c r="B731" s="89" t="inlineStr">
        <is>
          <t>001286</t>
        </is>
      </c>
      <c r="C731" s="90">
        <f>IF(B731="—","—",IFERROR(VLOOKUP(B731,_Protheus_Cadastro!$A:$B,2,FALSE),"—"))</f>
        <v/>
      </c>
      <c r="D731" s="91">
        <f>IF(B731="—",IFERROR(INDEX(_ZIG_Cadastro!$D:$D,MATCH(H731,_ZIG_Cadastro!$A:$A,0)),"Produto"),IFERROR(VLOOKUP(B731,_Protheus_Cadastro!$A:$C,3,FALSE),"—"))</f>
        <v/>
      </c>
      <c r="E731" s="91">
        <f>IF(B731="—","—",IFERROR(VLOOKUP(B731,_Protheus_Cadastro!$A:$D,4,FALSE),"—"))</f>
        <v/>
      </c>
      <c r="F731" s="91">
        <f>IF(ISERROR(VLOOKUP(B731,'Estrutura Protheus'!A:A,1,FALSE)),"Não","Sim")</f>
        <v/>
      </c>
      <c r="G731" s="92">
        <f>IFERROR(INDEX(_Protheus_Cadastro!$H:$H,MATCH(B731,_Protheus_Cadastro!$A:$A,0)),"—")</f>
        <v/>
      </c>
      <c r="H731" s="210">
        <f>IFERROR(INDEX(_ZIG_Precos!$D:$D,MATCH(I731,_ZIG_Precos!$F:$F,0)),"—")</f>
        <v/>
      </c>
      <c r="I731" s="95">
        <f>IFERROR(VLOOKUP(B731,_Protheus_Cadastro!$A:$I,9,FALSE),"—")</f>
        <v/>
      </c>
      <c r="J731" s="93">
        <f>IFERROR(INDEX(_ZIG_Cadastro!$B:$B,MATCH(I731,_ZIG_Cadastro!$A:$A,0)),IFERROR(INDEX(_Entradas_ZIG!$B:$B,MATCH(I731,_Entradas_ZIG!$C:$C,0)),"—"))</f>
        <v/>
      </c>
      <c r="K731" s="93">
        <f>IFERROR(INDEX(_ZIG_Cadastro!$C:$C,MATCH(I731,_ZIG_Cadastro!$A:$A,0)),IFERROR(INDEX(_Entradas_ZIG!$D:$D,MATCH(I731,_Entradas_ZIG!$C:$C,0)),"—"))</f>
        <v/>
      </c>
      <c r="L731" s="92">
        <f>IF(I731="","Sem SKU ZIG",IF(I731="—","Sem SKU ZIG",IF(NOT(ISERROR(MATCH(I731,_ZIG_Cadastro!$A:$A,0))),IF(EXACT(UPPER(TRIM(C731)),UPPER(TRIM(INDEX(_ZIG_Cadastro!$B:$B,MATCH(I731,_ZIG_Cadastro!$A:$A,0))))),"OK","Atencao - Nome diverge"),IF(NOT(ISERROR(MATCH(I731,_Entradas_ZIG!$C:$C,0))),"OK","Erro - SKU nao encontrado"))))</f>
        <v/>
      </c>
      <c r="M731" s="92">
        <f>IFERROR(INDEX(_ZIG_Cadastro!$G:$G,MATCH(I731,_ZIG_Cadastro!$A:$A,0)),IF(NOT(ISERROR(MATCH(I731,_Entradas_ZIG!$C:$C,0))),"Ativo","—"))</f>
        <v/>
      </c>
      <c r="N731" s="94">
        <f>IFERROR(INDEX(_ZIG_Cadastro!$E:$E,MATCH(I731,_ZIG_Cadastro!$A:$A,0)),IFERROR(INDEX(_Entradas_ZIG!$F:$F,MATCH(I731,_Entradas_ZIG!$C:$C,0)),"—"))</f>
        <v/>
      </c>
      <c r="O731" s="92">
        <f>IF(AND(ISNUMBER(SEARCH("Espeto",N731)),ISNUMBER(SEARCH("Carin",N731))),"SIM","")</f>
        <v/>
      </c>
      <c r="P731" s="92">
        <f>IF(AND(ISNUMBER(SEARCH("Espeto",N731)),ISNUMBER(SEARCH("Lapa",N731))),"SIM","")</f>
        <v/>
      </c>
      <c r="Q731" s="92">
        <f>IF(AND(ISNUMBER(SEARCH("Espeto",N731)),ISNUMBER(SEARCH("Tatuapé",N731))),"SIM","")</f>
        <v/>
      </c>
      <c r="R731" s="92">
        <f>IF(AND(ISNUMBER(SEARCH("Espeto",N731)),ISNUMBER(SEARCH("Pavão",N731))),"SIM","")</f>
        <v/>
      </c>
      <c r="S731" s="92">
        <f>IF(AND(ISNUMBER(SEARCH("Espeto",N731)),ISNUMBER(SEARCH("Chac",N731))),"SIM","")</f>
        <v/>
      </c>
      <c r="T731" s="92">
        <f>IF(AND(ISNUMBER(SEARCH("Espeto",N731)),ISNUMBER(SEARCH("Madalena",N731))),"SIM","")</f>
        <v/>
      </c>
      <c r="U731" s="92">
        <f>IF(AND(ISNUMBER(SEARCH("Espeto",N731)),ISNUMBER(SEARCH("Mariana",N731))),"SIM","")</f>
        <v/>
      </c>
      <c r="V731" s="92">
        <f>IF(AND(ISNUMBER(SEARCH("Espeto",N731)),ISNUMBER(SEARCH("Perdizes",N731))),"SIM","")</f>
        <v/>
      </c>
      <c r="W731" s="92">
        <f>IF(AND(ISNUMBER(SEARCH("Espeto",N731)),ISNUMBER(SEARCH("Santana",N731))),"SIM","")</f>
        <v/>
      </c>
      <c r="X731" s="92">
        <f>IF(AND(ISNUMBER(SEARCH("Espeto",N731)),ISNUMBER(SEARCH("André",N731))),"SIM","")</f>
        <v/>
      </c>
      <c r="Y731" s="92">
        <f>IF(AND(ISNUMBER(SEARCH("Delivery",N731)),ISNUMBER(SEARCH("Carin",N731))),"SIM","")</f>
        <v/>
      </c>
      <c r="Z731" s="92">
        <f>IF(AND(ISNUMBER(SEARCH("Delivery",N731)),ISNUMBER(SEARCH("Lapa",N731))),"SIM","")</f>
        <v/>
      </c>
      <c r="AA731" s="92">
        <f>IF(AND(ISNUMBER(SEARCH("Delivery",N731)),ISNUMBER(SEARCH("Tatuapé",N731))),"SIM","")</f>
        <v/>
      </c>
      <c r="AB731" s="92">
        <f>IF(AND(ISNUMBER(SEARCH("Delivery",N731)),ISNUMBER(SEARCH("Pavão",N731))),"SIM","")</f>
        <v/>
      </c>
      <c r="AC731" s="92">
        <f>IF(AND(ISNUMBER(SEARCH("Delivery",N731)),ISNUMBER(SEARCH("Chac",N731))),"SIM","")</f>
        <v/>
      </c>
      <c r="AD731" s="92">
        <f>IF(AND(ISNUMBER(SEARCH("Delivery",N731)),ISNUMBER(SEARCH("Madalena",N731))),"SIM","")</f>
        <v/>
      </c>
      <c r="AE731" s="99">
        <f>IF(AND(ISNUMBER(SEARCH("Delivery",N731)),ISNUMBER(SEARCH("Mariana",N731))),"SIM","")</f>
        <v/>
      </c>
      <c r="AF731" s="99">
        <f>IF(AND(ISNUMBER(SEARCH("Delivery",N731)),ISNUMBER(SEARCH("Perdizes",N731))),"SIM","")</f>
        <v/>
      </c>
      <c r="AG731" s="99">
        <f>IF(AND(ISNUMBER(SEARCH("Delivery",N731)),ISNUMBER(SEARCH("Santana",N731))),"SIM","")</f>
        <v/>
      </c>
      <c r="AH731" s="99">
        <f>IF(AND(ISNUMBER(SEARCH("Delivery",N731)),ISNUMBER(SEARCH("André",N731))),"SIM","")</f>
        <v/>
      </c>
      <c r="AI731" s="99">
        <f>IF(ISNUMBER(SEARCH("Interlagos",N731)),"SIM","")</f>
        <v/>
      </c>
      <c r="AJ731" s="99">
        <f>IF(ISNUMBER(SEARCH("Quiosque",N731)),"SIM","")</f>
        <v/>
      </c>
      <c r="AK731" s="101" t="n"/>
    </row>
    <row r="732">
      <c r="A732" s="88" t="inlineStr">
        <is>
          <t>Protheus</t>
        </is>
      </c>
      <c r="B732" s="89" t="inlineStr">
        <is>
          <t>001287</t>
        </is>
      </c>
      <c r="C732" s="90">
        <f>IF(B732="—","—",IFERROR(VLOOKUP(B732,_Protheus_Cadastro!$A:$B,2,FALSE),"—"))</f>
        <v/>
      </c>
      <c r="D732" s="91">
        <f>IF(B732="—",IFERROR(INDEX(_ZIG_Cadastro!$D:$D,MATCH(H732,_ZIG_Cadastro!$A:$A,0)),"Produto"),IFERROR(VLOOKUP(B732,_Protheus_Cadastro!$A:$C,3,FALSE),"—"))</f>
        <v/>
      </c>
      <c r="E732" s="91">
        <f>IF(B732="—","—",IFERROR(VLOOKUP(B732,_Protheus_Cadastro!$A:$D,4,FALSE),"—"))</f>
        <v/>
      </c>
      <c r="F732" s="91">
        <f>IF(ISERROR(VLOOKUP(B732,'Estrutura Protheus'!A:A,1,FALSE)),"Não","Sim")</f>
        <v/>
      </c>
      <c r="G732" s="92">
        <f>IFERROR(INDEX(_Protheus_Cadastro!$H:$H,MATCH(B732,_Protheus_Cadastro!$A:$A,0)),"—")</f>
        <v/>
      </c>
      <c r="H732" s="210">
        <f>IFERROR(INDEX(_ZIG_Precos!$D:$D,MATCH(I732,_ZIG_Precos!$F:$F,0)),"—")</f>
        <v/>
      </c>
      <c r="I732" s="95">
        <f>IFERROR(VLOOKUP(B732,_Protheus_Cadastro!$A:$I,9,FALSE),"—")</f>
        <v/>
      </c>
      <c r="J732" s="93">
        <f>IFERROR(INDEX(_ZIG_Cadastro!$B:$B,MATCH(I732,_ZIG_Cadastro!$A:$A,0)),IFERROR(INDEX(_Entradas_ZIG!$B:$B,MATCH(I732,_Entradas_ZIG!$C:$C,0)),"—"))</f>
        <v/>
      </c>
      <c r="K732" s="93">
        <f>IFERROR(INDEX(_ZIG_Cadastro!$C:$C,MATCH(I732,_ZIG_Cadastro!$A:$A,0)),IFERROR(INDEX(_Entradas_ZIG!$D:$D,MATCH(I732,_Entradas_ZIG!$C:$C,0)),"—"))</f>
        <v/>
      </c>
      <c r="L732" s="92">
        <f>IF(I732="","Sem SKU ZIG",IF(I732="—","Sem SKU ZIG",IF(NOT(ISERROR(MATCH(I732,_ZIG_Cadastro!$A:$A,0))),IF(EXACT(UPPER(TRIM(C732)),UPPER(TRIM(INDEX(_ZIG_Cadastro!$B:$B,MATCH(I732,_ZIG_Cadastro!$A:$A,0))))),"OK","Atencao - Nome diverge"),IF(NOT(ISERROR(MATCH(I732,_Entradas_ZIG!$C:$C,0))),"OK","Erro - SKU nao encontrado"))))</f>
        <v/>
      </c>
      <c r="M732" s="92">
        <f>IFERROR(INDEX(_ZIG_Cadastro!$G:$G,MATCH(I732,_ZIG_Cadastro!$A:$A,0)),IF(NOT(ISERROR(MATCH(I732,_Entradas_ZIG!$C:$C,0))),"Ativo","—"))</f>
        <v/>
      </c>
      <c r="N732" s="94">
        <f>IFERROR(INDEX(_ZIG_Cadastro!$E:$E,MATCH(I732,_ZIG_Cadastro!$A:$A,0)),IFERROR(INDEX(_Entradas_ZIG!$F:$F,MATCH(I732,_Entradas_ZIG!$C:$C,0)),"—"))</f>
        <v/>
      </c>
      <c r="O732" s="92">
        <f>IF(AND(ISNUMBER(SEARCH("Espeto",N732)),ISNUMBER(SEARCH("Carin",N732))),"SIM","")</f>
        <v/>
      </c>
      <c r="P732" s="92">
        <f>IF(AND(ISNUMBER(SEARCH("Espeto",N732)),ISNUMBER(SEARCH("Lapa",N732))),"SIM","")</f>
        <v/>
      </c>
      <c r="Q732" s="92">
        <f>IF(AND(ISNUMBER(SEARCH("Espeto",N732)),ISNUMBER(SEARCH("Tatuapé",N732))),"SIM","")</f>
        <v/>
      </c>
      <c r="R732" s="92">
        <f>IF(AND(ISNUMBER(SEARCH("Espeto",N732)),ISNUMBER(SEARCH("Pavão",N732))),"SIM","")</f>
        <v/>
      </c>
      <c r="S732" s="92">
        <f>IF(AND(ISNUMBER(SEARCH("Espeto",N732)),ISNUMBER(SEARCH("Chac",N732))),"SIM","")</f>
        <v/>
      </c>
      <c r="T732" s="92">
        <f>IF(AND(ISNUMBER(SEARCH("Espeto",N732)),ISNUMBER(SEARCH("Madalena",N732))),"SIM","")</f>
        <v/>
      </c>
      <c r="U732" s="92">
        <f>IF(AND(ISNUMBER(SEARCH("Espeto",N732)),ISNUMBER(SEARCH("Mariana",N732))),"SIM","")</f>
        <v/>
      </c>
      <c r="V732" s="92">
        <f>IF(AND(ISNUMBER(SEARCH("Espeto",N732)),ISNUMBER(SEARCH("Perdizes",N732))),"SIM","")</f>
        <v/>
      </c>
      <c r="W732" s="92">
        <f>IF(AND(ISNUMBER(SEARCH("Espeto",N732)),ISNUMBER(SEARCH("Santana",N732))),"SIM","")</f>
        <v/>
      </c>
      <c r="X732" s="92">
        <f>IF(AND(ISNUMBER(SEARCH("Espeto",N732)),ISNUMBER(SEARCH("André",N732))),"SIM","")</f>
        <v/>
      </c>
      <c r="Y732" s="92">
        <f>IF(AND(ISNUMBER(SEARCH("Delivery",N732)),ISNUMBER(SEARCH("Carin",N732))),"SIM","")</f>
        <v/>
      </c>
      <c r="Z732" s="92">
        <f>IF(AND(ISNUMBER(SEARCH("Delivery",N732)),ISNUMBER(SEARCH("Lapa",N732))),"SIM","")</f>
        <v/>
      </c>
      <c r="AA732" s="92">
        <f>IF(AND(ISNUMBER(SEARCH("Delivery",N732)),ISNUMBER(SEARCH("Tatuapé",N732))),"SIM","")</f>
        <v/>
      </c>
      <c r="AB732" s="92">
        <f>IF(AND(ISNUMBER(SEARCH("Delivery",N732)),ISNUMBER(SEARCH("Pavão",N732))),"SIM","")</f>
        <v/>
      </c>
      <c r="AC732" s="92">
        <f>IF(AND(ISNUMBER(SEARCH("Delivery",N732)),ISNUMBER(SEARCH("Chac",N732))),"SIM","")</f>
        <v/>
      </c>
      <c r="AD732" s="92">
        <f>IF(AND(ISNUMBER(SEARCH("Delivery",N732)),ISNUMBER(SEARCH("Madalena",N732))),"SIM","")</f>
        <v/>
      </c>
      <c r="AE732" s="99">
        <f>IF(AND(ISNUMBER(SEARCH("Delivery",N732)),ISNUMBER(SEARCH("Mariana",N732))),"SIM","")</f>
        <v/>
      </c>
      <c r="AF732" s="99">
        <f>IF(AND(ISNUMBER(SEARCH("Delivery",N732)),ISNUMBER(SEARCH("Perdizes",N732))),"SIM","")</f>
        <v/>
      </c>
      <c r="AG732" s="99">
        <f>IF(AND(ISNUMBER(SEARCH("Delivery",N732)),ISNUMBER(SEARCH("Santana",N732))),"SIM","")</f>
        <v/>
      </c>
      <c r="AH732" s="99">
        <f>IF(AND(ISNUMBER(SEARCH("Delivery",N732)),ISNUMBER(SEARCH("André",N732))),"SIM","")</f>
        <v/>
      </c>
      <c r="AI732" s="99">
        <f>IF(ISNUMBER(SEARCH("Interlagos",N732)),"SIM","")</f>
        <v/>
      </c>
      <c r="AJ732" s="99">
        <f>IF(ISNUMBER(SEARCH("Quiosque",N732)),"SIM","")</f>
        <v/>
      </c>
      <c r="AK732" s="101" t="n"/>
    </row>
    <row r="733">
      <c r="A733" s="88" t="inlineStr">
        <is>
          <t>Protheus</t>
        </is>
      </c>
      <c r="B733" s="89" t="inlineStr">
        <is>
          <t>001288</t>
        </is>
      </c>
      <c r="C733" s="90">
        <f>IF(B733="—","—",IFERROR(VLOOKUP(B733,_Protheus_Cadastro!$A:$B,2,FALSE),"—"))</f>
        <v/>
      </c>
      <c r="D733" s="91">
        <f>IF(B733="—",IFERROR(INDEX(_ZIG_Cadastro!$D:$D,MATCH(H733,_ZIG_Cadastro!$A:$A,0)),"Produto"),IFERROR(VLOOKUP(B733,_Protheus_Cadastro!$A:$C,3,FALSE),"—"))</f>
        <v/>
      </c>
      <c r="E733" s="91">
        <f>IF(B733="—","—",IFERROR(VLOOKUP(B733,_Protheus_Cadastro!$A:$D,4,FALSE),"—"))</f>
        <v/>
      </c>
      <c r="F733" s="91">
        <f>IF(ISERROR(VLOOKUP(B733,'Estrutura Protheus'!A:A,1,FALSE)),"Não","Sim")</f>
        <v/>
      </c>
      <c r="G733" s="92">
        <f>IFERROR(INDEX(_Protheus_Cadastro!$H:$H,MATCH(B733,_Protheus_Cadastro!$A:$A,0)),"—")</f>
        <v/>
      </c>
      <c r="H733" s="210">
        <f>IFERROR(INDEX(_ZIG_Precos!$D:$D,MATCH(I733,_ZIG_Precos!$F:$F,0)),"—")</f>
        <v/>
      </c>
      <c r="I733" s="95">
        <f>IFERROR(VLOOKUP(B733,_Protheus_Cadastro!$A:$I,9,FALSE),"—")</f>
        <v/>
      </c>
      <c r="J733" s="93">
        <f>IFERROR(INDEX(_ZIG_Cadastro!$B:$B,MATCH(I733,_ZIG_Cadastro!$A:$A,0)),IFERROR(INDEX(_Entradas_ZIG!$B:$B,MATCH(I733,_Entradas_ZIG!$C:$C,0)),"—"))</f>
        <v/>
      </c>
      <c r="K733" s="93">
        <f>IFERROR(INDEX(_ZIG_Cadastro!$C:$C,MATCH(I733,_ZIG_Cadastro!$A:$A,0)),IFERROR(INDEX(_Entradas_ZIG!$D:$D,MATCH(I733,_Entradas_ZIG!$C:$C,0)),"—"))</f>
        <v/>
      </c>
      <c r="L733" s="92">
        <f>IF(I733="","Sem SKU ZIG",IF(I733="—","Sem SKU ZIG",IF(NOT(ISERROR(MATCH(I733,_ZIG_Cadastro!$A:$A,0))),IF(EXACT(UPPER(TRIM(C733)),UPPER(TRIM(INDEX(_ZIG_Cadastro!$B:$B,MATCH(I733,_ZIG_Cadastro!$A:$A,0))))),"OK","Atencao - Nome diverge"),IF(NOT(ISERROR(MATCH(I733,_Entradas_ZIG!$C:$C,0))),"OK","Erro - SKU nao encontrado"))))</f>
        <v/>
      </c>
      <c r="M733" s="92">
        <f>IFERROR(INDEX(_ZIG_Cadastro!$G:$G,MATCH(I733,_ZIG_Cadastro!$A:$A,0)),IF(NOT(ISERROR(MATCH(I733,_Entradas_ZIG!$C:$C,0))),"Ativo","—"))</f>
        <v/>
      </c>
      <c r="N733" s="94">
        <f>IFERROR(INDEX(_ZIG_Cadastro!$E:$E,MATCH(I733,_ZIG_Cadastro!$A:$A,0)),IFERROR(INDEX(_Entradas_ZIG!$F:$F,MATCH(I733,_Entradas_ZIG!$C:$C,0)),"—"))</f>
        <v/>
      </c>
      <c r="O733" s="92">
        <f>IF(AND(ISNUMBER(SEARCH("Espeto",N733)),ISNUMBER(SEARCH("Carin",N733))),"SIM","")</f>
        <v/>
      </c>
      <c r="P733" s="92">
        <f>IF(AND(ISNUMBER(SEARCH("Espeto",N733)),ISNUMBER(SEARCH("Lapa",N733))),"SIM","")</f>
        <v/>
      </c>
      <c r="Q733" s="92">
        <f>IF(AND(ISNUMBER(SEARCH("Espeto",N733)),ISNUMBER(SEARCH("Tatuapé",N733))),"SIM","")</f>
        <v/>
      </c>
      <c r="R733" s="92">
        <f>IF(AND(ISNUMBER(SEARCH("Espeto",N733)),ISNUMBER(SEARCH("Pavão",N733))),"SIM","")</f>
        <v/>
      </c>
      <c r="S733" s="92">
        <f>IF(AND(ISNUMBER(SEARCH("Espeto",N733)),ISNUMBER(SEARCH("Chac",N733))),"SIM","")</f>
        <v/>
      </c>
      <c r="T733" s="92">
        <f>IF(AND(ISNUMBER(SEARCH("Espeto",N733)),ISNUMBER(SEARCH("Madalena",N733))),"SIM","")</f>
        <v/>
      </c>
      <c r="U733" s="92">
        <f>IF(AND(ISNUMBER(SEARCH("Espeto",N733)),ISNUMBER(SEARCH("Mariana",N733))),"SIM","")</f>
        <v/>
      </c>
      <c r="V733" s="92">
        <f>IF(AND(ISNUMBER(SEARCH("Espeto",N733)),ISNUMBER(SEARCH("Perdizes",N733))),"SIM","")</f>
        <v/>
      </c>
      <c r="W733" s="92">
        <f>IF(AND(ISNUMBER(SEARCH("Espeto",N733)),ISNUMBER(SEARCH("Santana",N733))),"SIM","")</f>
        <v/>
      </c>
      <c r="X733" s="92">
        <f>IF(AND(ISNUMBER(SEARCH("Espeto",N733)),ISNUMBER(SEARCH("André",N733))),"SIM","")</f>
        <v/>
      </c>
      <c r="Y733" s="92">
        <f>IF(AND(ISNUMBER(SEARCH("Delivery",N733)),ISNUMBER(SEARCH("Carin",N733))),"SIM","")</f>
        <v/>
      </c>
      <c r="Z733" s="92">
        <f>IF(AND(ISNUMBER(SEARCH("Delivery",N733)),ISNUMBER(SEARCH("Lapa",N733))),"SIM","")</f>
        <v/>
      </c>
      <c r="AA733" s="92">
        <f>IF(AND(ISNUMBER(SEARCH("Delivery",N733)),ISNUMBER(SEARCH("Tatuapé",N733))),"SIM","")</f>
        <v/>
      </c>
      <c r="AB733" s="92">
        <f>IF(AND(ISNUMBER(SEARCH("Delivery",N733)),ISNUMBER(SEARCH("Pavão",N733))),"SIM","")</f>
        <v/>
      </c>
      <c r="AC733" s="92">
        <f>IF(AND(ISNUMBER(SEARCH("Delivery",N733)),ISNUMBER(SEARCH("Chac",N733))),"SIM","")</f>
        <v/>
      </c>
      <c r="AD733" s="92">
        <f>IF(AND(ISNUMBER(SEARCH("Delivery",N733)),ISNUMBER(SEARCH("Madalena",N733))),"SIM","")</f>
        <v/>
      </c>
      <c r="AE733" s="99">
        <f>IF(AND(ISNUMBER(SEARCH("Delivery",N733)),ISNUMBER(SEARCH("Mariana",N733))),"SIM","")</f>
        <v/>
      </c>
      <c r="AF733" s="99">
        <f>IF(AND(ISNUMBER(SEARCH("Delivery",N733)),ISNUMBER(SEARCH("Perdizes",N733))),"SIM","")</f>
        <v/>
      </c>
      <c r="AG733" s="99">
        <f>IF(AND(ISNUMBER(SEARCH("Delivery",N733)),ISNUMBER(SEARCH("Santana",N733))),"SIM","")</f>
        <v/>
      </c>
      <c r="AH733" s="99">
        <f>IF(AND(ISNUMBER(SEARCH("Delivery",N733)),ISNUMBER(SEARCH("André",N733))),"SIM","")</f>
        <v/>
      </c>
      <c r="AI733" s="99">
        <f>IF(ISNUMBER(SEARCH("Interlagos",N733)),"SIM","")</f>
        <v/>
      </c>
      <c r="AJ733" s="99">
        <f>IF(ISNUMBER(SEARCH("Quiosque",N733)),"SIM","")</f>
        <v/>
      </c>
      <c r="AK733" s="101" t="n"/>
    </row>
    <row r="734">
      <c r="A734" s="88" t="inlineStr">
        <is>
          <t>Protheus</t>
        </is>
      </c>
      <c r="B734" s="89" t="inlineStr">
        <is>
          <t>001298</t>
        </is>
      </c>
      <c r="C734" s="90">
        <f>IF(B734="—","—",IFERROR(VLOOKUP(B734,_Protheus_Cadastro!$A:$B,2,FALSE),"—"))</f>
        <v/>
      </c>
      <c r="D734" s="91">
        <f>IF(B734="—",IFERROR(INDEX(_ZIG_Cadastro!$D:$D,MATCH(H734,_ZIG_Cadastro!$A:$A,0)),"Produto"),IFERROR(VLOOKUP(B734,_Protheus_Cadastro!$A:$C,3,FALSE),"—"))</f>
        <v/>
      </c>
      <c r="E734" s="91">
        <f>IF(B734="—","—",IFERROR(VLOOKUP(B734,_Protheus_Cadastro!$A:$D,4,FALSE),"—"))</f>
        <v/>
      </c>
      <c r="F734" s="91">
        <f>IF(ISERROR(VLOOKUP(B734,'Estrutura Protheus'!A:A,1,FALSE)),"Não","Sim")</f>
        <v/>
      </c>
      <c r="G734" s="92">
        <f>IFERROR(INDEX(_Protheus_Cadastro!$H:$H,MATCH(B734,_Protheus_Cadastro!$A:$A,0)),"—")</f>
        <v/>
      </c>
      <c r="H734" s="210">
        <f>IFERROR(INDEX(_ZIG_Precos!$D:$D,MATCH(I734,_ZIG_Precos!$F:$F,0)),"—")</f>
        <v/>
      </c>
      <c r="I734" s="95">
        <f>IFERROR(VLOOKUP(B734,_Protheus_Cadastro!$A:$I,9,FALSE),"—")</f>
        <v/>
      </c>
      <c r="J734" s="93">
        <f>IFERROR(INDEX(_ZIG_Cadastro!$B:$B,MATCH(I734,_ZIG_Cadastro!$A:$A,0)),IFERROR(INDEX(_Entradas_ZIG!$B:$B,MATCH(I734,_Entradas_ZIG!$C:$C,0)),"—"))</f>
        <v/>
      </c>
      <c r="K734" s="93">
        <f>IFERROR(INDEX(_ZIG_Cadastro!$C:$C,MATCH(I734,_ZIG_Cadastro!$A:$A,0)),IFERROR(INDEX(_Entradas_ZIG!$D:$D,MATCH(I734,_Entradas_ZIG!$C:$C,0)),"—"))</f>
        <v/>
      </c>
      <c r="L734" s="92">
        <f>IF(I734="","Sem SKU ZIG",IF(I734="—","Sem SKU ZIG",IF(NOT(ISERROR(MATCH(I734,_ZIG_Cadastro!$A:$A,0))),IF(EXACT(UPPER(TRIM(C734)),UPPER(TRIM(INDEX(_ZIG_Cadastro!$B:$B,MATCH(I734,_ZIG_Cadastro!$A:$A,0))))),"OK","Atencao - Nome diverge"),IF(NOT(ISERROR(MATCH(I734,_Entradas_ZIG!$C:$C,0))),"OK","Erro - SKU nao encontrado"))))</f>
        <v/>
      </c>
      <c r="M734" s="92">
        <f>IFERROR(INDEX(_ZIG_Cadastro!$G:$G,MATCH(I734,_ZIG_Cadastro!$A:$A,0)),IF(NOT(ISERROR(MATCH(I734,_Entradas_ZIG!$C:$C,0))),"Ativo","—"))</f>
        <v/>
      </c>
      <c r="N734" s="94">
        <f>IFERROR(INDEX(_ZIG_Cadastro!$E:$E,MATCH(I734,_ZIG_Cadastro!$A:$A,0)),IFERROR(INDEX(_Entradas_ZIG!$F:$F,MATCH(I734,_Entradas_ZIG!$C:$C,0)),"—"))</f>
        <v/>
      </c>
      <c r="O734" s="92">
        <f>IF(AND(ISNUMBER(SEARCH("Espeto",N734)),ISNUMBER(SEARCH("Carin",N734))),"SIM","")</f>
        <v/>
      </c>
      <c r="P734" s="92">
        <f>IF(AND(ISNUMBER(SEARCH("Espeto",N734)),ISNUMBER(SEARCH("Lapa",N734))),"SIM","")</f>
        <v/>
      </c>
      <c r="Q734" s="92">
        <f>IF(AND(ISNUMBER(SEARCH("Espeto",N734)),ISNUMBER(SEARCH("Tatuapé",N734))),"SIM","")</f>
        <v/>
      </c>
      <c r="R734" s="92">
        <f>IF(AND(ISNUMBER(SEARCH("Espeto",N734)),ISNUMBER(SEARCH("Pavão",N734))),"SIM","")</f>
        <v/>
      </c>
      <c r="S734" s="92">
        <f>IF(AND(ISNUMBER(SEARCH("Espeto",N734)),ISNUMBER(SEARCH("Chac",N734))),"SIM","")</f>
        <v/>
      </c>
      <c r="T734" s="92">
        <f>IF(AND(ISNUMBER(SEARCH("Espeto",N734)),ISNUMBER(SEARCH("Madalena",N734))),"SIM","")</f>
        <v/>
      </c>
      <c r="U734" s="92">
        <f>IF(AND(ISNUMBER(SEARCH("Espeto",N734)),ISNUMBER(SEARCH("Mariana",N734))),"SIM","")</f>
        <v/>
      </c>
      <c r="V734" s="92">
        <f>IF(AND(ISNUMBER(SEARCH("Espeto",N734)),ISNUMBER(SEARCH("Perdizes",N734))),"SIM","")</f>
        <v/>
      </c>
      <c r="W734" s="92">
        <f>IF(AND(ISNUMBER(SEARCH("Espeto",N734)),ISNUMBER(SEARCH("Santana",N734))),"SIM","")</f>
        <v/>
      </c>
      <c r="X734" s="92">
        <f>IF(AND(ISNUMBER(SEARCH("Espeto",N734)),ISNUMBER(SEARCH("André",N734))),"SIM","")</f>
        <v/>
      </c>
      <c r="Y734" s="92">
        <f>IF(AND(ISNUMBER(SEARCH("Delivery",N734)),ISNUMBER(SEARCH("Carin",N734))),"SIM","")</f>
        <v/>
      </c>
      <c r="Z734" s="92">
        <f>IF(AND(ISNUMBER(SEARCH("Delivery",N734)),ISNUMBER(SEARCH("Lapa",N734))),"SIM","")</f>
        <v/>
      </c>
      <c r="AA734" s="92">
        <f>IF(AND(ISNUMBER(SEARCH("Delivery",N734)),ISNUMBER(SEARCH("Tatuapé",N734))),"SIM","")</f>
        <v/>
      </c>
      <c r="AB734" s="92">
        <f>IF(AND(ISNUMBER(SEARCH("Delivery",N734)),ISNUMBER(SEARCH("Pavão",N734))),"SIM","")</f>
        <v/>
      </c>
      <c r="AC734" s="92">
        <f>IF(AND(ISNUMBER(SEARCH("Delivery",N734)),ISNUMBER(SEARCH("Chac",N734))),"SIM","")</f>
        <v/>
      </c>
      <c r="AD734" s="92">
        <f>IF(AND(ISNUMBER(SEARCH("Delivery",N734)),ISNUMBER(SEARCH("Madalena",N734))),"SIM","")</f>
        <v/>
      </c>
      <c r="AE734" s="99">
        <f>IF(AND(ISNUMBER(SEARCH("Delivery",N734)),ISNUMBER(SEARCH("Mariana",N734))),"SIM","")</f>
        <v/>
      </c>
      <c r="AF734" s="99">
        <f>IF(AND(ISNUMBER(SEARCH("Delivery",N734)),ISNUMBER(SEARCH("Perdizes",N734))),"SIM","")</f>
        <v/>
      </c>
      <c r="AG734" s="99">
        <f>IF(AND(ISNUMBER(SEARCH("Delivery",N734)),ISNUMBER(SEARCH("Santana",N734))),"SIM","")</f>
        <v/>
      </c>
      <c r="AH734" s="99">
        <f>IF(AND(ISNUMBER(SEARCH("Delivery",N734)),ISNUMBER(SEARCH("André",N734))),"SIM","")</f>
        <v/>
      </c>
      <c r="AI734" s="99">
        <f>IF(ISNUMBER(SEARCH("Interlagos",N734)),"SIM","")</f>
        <v/>
      </c>
      <c r="AJ734" s="99">
        <f>IF(ISNUMBER(SEARCH("Quiosque",N734)),"SIM","")</f>
        <v/>
      </c>
      <c r="AK734" s="101" t="n"/>
    </row>
    <row r="735">
      <c r="A735" s="88" t="inlineStr">
        <is>
          <t>Protheus</t>
        </is>
      </c>
      <c r="B735" s="89" t="inlineStr">
        <is>
          <t>001299</t>
        </is>
      </c>
      <c r="C735" s="90">
        <f>IF(B735="—","—",IFERROR(VLOOKUP(B735,_Protheus_Cadastro!$A:$B,2,FALSE),"—"))</f>
        <v/>
      </c>
      <c r="D735" s="91">
        <f>IF(B735="—",IFERROR(INDEX(_ZIG_Cadastro!$D:$D,MATCH(H735,_ZIG_Cadastro!$A:$A,0)),"Produto"),IFERROR(VLOOKUP(B735,_Protheus_Cadastro!$A:$C,3,FALSE),"—"))</f>
        <v/>
      </c>
      <c r="E735" s="91">
        <f>IF(B735="—","—",IFERROR(VLOOKUP(B735,_Protheus_Cadastro!$A:$D,4,FALSE),"—"))</f>
        <v/>
      </c>
      <c r="F735" s="91">
        <f>IF(ISERROR(VLOOKUP(B735,'Estrutura Protheus'!A:A,1,FALSE)),"Não","Sim")</f>
        <v/>
      </c>
      <c r="G735" s="92">
        <f>IFERROR(INDEX(_Protheus_Cadastro!$H:$H,MATCH(B735,_Protheus_Cadastro!$A:$A,0)),"—")</f>
        <v/>
      </c>
      <c r="H735" s="210">
        <f>IFERROR(INDEX(_ZIG_Precos!$D:$D,MATCH(I735,_ZIG_Precos!$F:$F,0)),"—")</f>
        <v/>
      </c>
      <c r="I735" s="95">
        <f>IFERROR(VLOOKUP(B735,_Protheus_Cadastro!$A:$I,9,FALSE),"—")</f>
        <v/>
      </c>
      <c r="J735" s="93">
        <f>IFERROR(INDEX(_ZIG_Cadastro!$B:$B,MATCH(I735,_ZIG_Cadastro!$A:$A,0)),IFERROR(INDEX(_Entradas_ZIG!$B:$B,MATCH(I735,_Entradas_ZIG!$C:$C,0)),"—"))</f>
        <v/>
      </c>
      <c r="K735" s="93">
        <f>IFERROR(INDEX(_ZIG_Cadastro!$C:$C,MATCH(I735,_ZIG_Cadastro!$A:$A,0)),IFERROR(INDEX(_Entradas_ZIG!$D:$D,MATCH(I735,_Entradas_ZIG!$C:$C,0)),"—"))</f>
        <v/>
      </c>
      <c r="L735" s="92">
        <f>IF(I735="","Sem SKU ZIG",IF(I735="—","Sem SKU ZIG",IF(NOT(ISERROR(MATCH(I735,_ZIG_Cadastro!$A:$A,0))),IF(EXACT(UPPER(TRIM(C735)),UPPER(TRIM(INDEX(_ZIG_Cadastro!$B:$B,MATCH(I735,_ZIG_Cadastro!$A:$A,0))))),"OK","Atencao - Nome diverge"),IF(NOT(ISERROR(MATCH(I735,_Entradas_ZIG!$C:$C,0))),"OK","Erro - SKU nao encontrado"))))</f>
        <v/>
      </c>
      <c r="M735" s="92">
        <f>IFERROR(INDEX(_ZIG_Cadastro!$G:$G,MATCH(I735,_ZIG_Cadastro!$A:$A,0)),IF(NOT(ISERROR(MATCH(I735,_Entradas_ZIG!$C:$C,0))),"Ativo","—"))</f>
        <v/>
      </c>
      <c r="N735" s="94">
        <f>IFERROR(INDEX(_ZIG_Cadastro!$E:$E,MATCH(I735,_ZIG_Cadastro!$A:$A,0)),IFERROR(INDEX(_Entradas_ZIG!$F:$F,MATCH(I735,_Entradas_ZIG!$C:$C,0)),"—"))</f>
        <v/>
      </c>
      <c r="O735" s="92">
        <f>IF(AND(ISNUMBER(SEARCH("Espeto",N735)),ISNUMBER(SEARCH("Carin",N735))),"SIM","")</f>
        <v/>
      </c>
      <c r="P735" s="92">
        <f>IF(AND(ISNUMBER(SEARCH("Espeto",N735)),ISNUMBER(SEARCH("Lapa",N735))),"SIM","")</f>
        <v/>
      </c>
      <c r="Q735" s="92">
        <f>IF(AND(ISNUMBER(SEARCH("Espeto",N735)),ISNUMBER(SEARCH("Tatuapé",N735))),"SIM","")</f>
        <v/>
      </c>
      <c r="R735" s="92">
        <f>IF(AND(ISNUMBER(SEARCH("Espeto",N735)),ISNUMBER(SEARCH("Pavão",N735))),"SIM","")</f>
        <v/>
      </c>
      <c r="S735" s="92">
        <f>IF(AND(ISNUMBER(SEARCH("Espeto",N735)),ISNUMBER(SEARCH("Chac",N735))),"SIM","")</f>
        <v/>
      </c>
      <c r="T735" s="92">
        <f>IF(AND(ISNUMBER(SEARCH("Espeto",N735)),ISNUMBER(SEARCH("Madalena",N735))),"SIM","")</f>
        <v/>
      </c>
      <c r="U735" s="92">
        <f>IF(AND(ISNUMBER(SEARCH("Espeto",N735)),ISNUMBER(SEARCH("Mariana",N735))),"SIM","")</f>
        <v/>
      </c>
      <c r="V735" s="92">
        <f>IF(AND(ISNUMBER(SEARCH("Espeto",N735)),ISNUMBER(SEARCH("Perdizes",N735))),"SIM","")</f>
        <v/>
      </c>
      <c r="W735" s="92">
        <f>IF(AND(ISNUMBER(SEARCH("Espeto",N735)),ISNUMBER(SEARCH("Santana",N735))),"SIM","")</f>
        <v/>
      </c>
      <c r="X735" s="92">
        <f>IF(AND(ISNUMBER(SEARCH("Espeto",N735)),ISNUMBER(SEARCH("André",N735))),"SIM","")</f>
        <v/>
      </c>
      <c r="Y735" s="92">
        <f>IF(AND(ISNUMBER(SEARCH("Delivery",N735)),ISNUMBER(SEARCH("Carin",N735))),"SIM","")</f>
        <v/>
      </c>
      <c r="Z735" s="92">
        <f>IF(AND(ISNUMBER(SEARCH("Delivery",N735)),ISNUMBER(SEARCH("Lapa",N735))),"SIM","")</f>
        <v/>
      </c>
      <c r="AA735" s="92">
        <f>IF(AND(ISNUMBER(SEARCH("Delivery",N735)),ISNUMBER(SEARCH("Tatuapé",N735))),"SIM","")</f>
        <v/>
      </c>
      <c r="AB735" s="92">
        <f>IF(AND(ISNUMBER(SEARCH("Delivery",N735)),ISNUMBER(SEARCH("Pavão",N735))),"SIM","")</f>
        <v/>
      </c>
      <c r="AC735" s="92">
        <f>IF(AND(ISNUMBER(SEARCH("Delivery",N735)),ISNUMBER(SEARCH("Chac",N735))),"SIM","")</f>
        <v/>
      </c>
      <c r="AD735" s="92">
        <f>IF(AND(ISNUMBER(SEARCH("Delivery",N735)),ISNUMBER(SEARCH("Madalena",N735))),"SIM","")</f>
        <v/>
      </c>
      <c r="AE735" s="99">
        <f>IF(AND(ISNUMBER(SEARCH("Delivery",N735)),ISNUMBER(SEARCH("Mariana",N735))),"SIM","")</f>
        <v/>
      </c>
      <c r="AF735" s="99">
        <f>IF(AND(ISNUMBER(SEARCH("Delivery",N735)),ISNUMBER(SEARCH("Perdizes",N735))),"SIM","")</f>
        <v/>
      </c>
      <c r="AG735" s="99">
        <f>IF(AND(ISNUMBER(SEARCH("Delivery",N735)),ISNUMBER(SEARCH("Santana",N735))),"SIM","")</f>
        <v/>
      </c>
      <c r="AH735" s="99">
        <f>IF(AND(ISNUMBER(SEARCH("Delivery",N735)),ISNUMBER(SEARCH("André",N735))),"SIM","")</f>
        <v/>
      </c>
      <c r="AI735" s="99">
        <f>IF(ISNUMBER(SEARCH("Interlagos",N735)),"SIM","")</f>
        <v/>
      </c>
      <c r="AJ735" s="99">
        <f>IF(ISNUMBER(SEARCH("Quiosque",N735)),"SIM","")</f>
        <v/>
      </c>
      <c r="AK735" s="101" t="n"/>
    </row>
    <row r="736">
      <c r="A736" s="88" t="inlineStr">
        <is>
          <t>Protheus</t>
        </is>
      </c>
      <c r="B736" s="89" t="inlineStr">
        <is>
          <t>001473</t>
        </is>
      </c>
      <c r="C736" s="90">
        <f>IF(B736="—","—",IFERROR(VLOOKUP(B736,_Protheus_Cadastro!$A:$B,2,FALSE),"—"))</f>
        <v/>
      </c>
      <c r="D736" s="91">
        <f>IF(B736="—",IFERROR(INDEX(_ZIG_Cadastro!$D:$D,MATCH(H736,_ZIG_Cadastro!$A:$A,0)),"Produto"),IFERROR(VLOOKUP(B736,_Protheus_Cadastro!$A:$C,3,FALSE),"—"))</f>
        <v/>
      </c>
      <c r="E736" s="91">
        <f>IF(B736="—","—",IFERROR(VLOOKUP(B736,_Protheus_Cadastro!$A:$D,4,FALSE),"—"))</f>
        <v/>
      </c>
      <c r="F736" s="91">
        <f>IF(ISERROR(VLOOKUP(B736,'Estrutura Protheus'!A:A,1,FALSE)),"Não","Sim")</f>
        <v/>
      </c>
      <c r="G736" s="92">
        <f>IFERROR(INDEX(_Protheus_Cadastro!$H:$H,MATCH(B736,_Protheus_Cadastro!$A:$A,0)),"—")</f>
        <v/>
      </c>
      <c r="H736" s="210">
        <f>IFERROR(INDEX(_ZIG_Precos!$D:$D,MATCH(I736,_ZIG_Precos!$F:$F,0)),"—")</f>
        <v/>
      </c>
      <c r="I736" s="95">
        <f>IFERROR(VLOOKUP(B736,_Protheus_Cadastro!$A:$I,9,FALSE),"—")</f>
        <v/>
      </c>
      <c r="J736" s="93">
        <f>IFERROR(INDEX(_ZIG_Cadastro!$B:$B,MATCH(I736,_ZIG_Cadastro!$A:$A,0)),IFERROR(INDEX(_Entradas_ZIG!$B:$B,MATCH(I736,_Entradas_ZIG!$C:$C,0)),"—"))</f>
        <v/>
      </c>
      <c r="K736" s="93">
        <f>IFERROR(INDEX(_ZIG_Cadastro!$C:$C,MATCH(I736,_ZIG_Cadastro!$A:$A,0)),IFERROR(INDEX(_Entradas_ZIG!$D:$D,MATCH(I736,_Entradas_ZIG!$C:$C,0)),"—"))</f>
        <v/>
      </c>
      <c r="L736" s="92">
        <f>IF(I736="","Sem SKU ZIG",IF(I736="—","Sem SKU ZIG",IF(NOT(ISERROR(MATCH(I736,_ZIG_Cadastro!$A:$A,0))),IF(EXACT(UPPER(TRIM(C736)),UPPER(TRIM(INDEX(_ZIG_Cadastro!$B:$B,MATCH(I736,_ZIG_Cadastro!$A:$A,0))))),"OK","Atencao - Nome diverge"),IF(NOT(ISERROR(MATCH(I736,_Entradas_ZIG!$C:$C,0))),"OK","Erro - SKU nao encontrado"))))</f>
        <v/>
      </c>
      <c r="M736" s="92">
        <f>IFERROR(INDEX(_ZIG_Cadastro!$G:$G,MATCH(I736,_ZIG_Cadastro!$A:$A,0)),IF(NOT(ISERROR(MATCH(I736,_Entradas_ZIG!$C:$C,0))),"Ativo","—"))</f>
        <v/>
      </c>
      <c r="N736" s="94">
        <f>IFERROR(INDEX(_ZIG_Cadastro!$E:$E,MATCH(I736,_ZIG_Cadastro!$A:$A,0)),IFERROR(INDEX(_Entradas_ZIG!$F:$F,MATCH(I736,_Entradas_ZIG!$C:$C,0)),"—"))</f>
        <v/>
      </c>
      <c r="O736" s="92">
        <f>IF(AND(ISNUMBER(SEARCH("Espeto",N736)),ISNUMBER(SEARCH("Carin",N736))),"SIM","")</f>
        <v/>
      </c>
      <c r="P736" s="92">
        <f>IF(AND(ISNUMBER(SEARCH("Espeto",N736)),ISNUMBER(SEARCH("Lapa",N736))),"SIM","")</f>
        <v/>
      </c>
      <c r="Q736" s="92">
        <f>IF(AND(ISNUMBER(SEARCH("Espeto",N736)),ISNUMBER(SEARCH("Tatuapé",N736))),"SIM","")</f>
        <v/>
      </c>
      <c r="R736" s="92">
        <f>IF(AND(ISNUMBER(SEARCH("Espeto",N736)),ISNUMBER(SEARCH("Pavão",N736))),"SIM","")</f>
        <v/>
      </c>
      <c r="S736" s="92">
        <f>IF(AND(ISNUMBER(SEARCH("Espeto",N736)),ISNUMBER(SEARCH("Chac",N736))),"SIM","")</f>
        <v/>
      </c>
      <c r="T736" s="92">
        <f>IF(AND(ISNUMBER(SEARCH("Espeto",N736)),ISNUMBER(SEARCH("Madalena",N736))),"SIM","")</f>
        <v/>
      </c>
      <c r="U736" s="92">
        <f>IF(AND(ISNUMBER(SEARCH("Espeto",N736)),ISNUMBER(SEARCH("Mariana",N736))),"SIM","")</f>
        <v/>
      </c>
      <c r="V736" s="92">
        <f>IF(AND(ISNUMBER(SEARCH("Espeto",N736)),ISNUMBER(SEARCH("Perdizes",N736))),"SIM","")</f>
        <v/>
      </c>
      <c r="W736" s="92">
        <f>IF(AND(ISNUMBER(SEARCH("Espeto",N736)),ISNUMBER(SEARCH("Santana",N736))),"SIM","")</f>
        <v/>
      </c>
      <c r="X736" s="92">
        <f>IF(AND(ISNUMBER(SEARCH("Espeto",N736)),ISNUMBER(SEARCH("André",N736))),"SIM","")</f>
        <v/>
      </c>
      <c r="Y736" s="92">
        <f>IF(AND(ISNUMBER(SEARCH("Delivery",N736)),ISNUMBER(SEARCH("Carin",N736))),"SIM","")</f>
        <v/>
      </c>
      <c r="Z736" s="92">
        <f>IF(AND(ISNUMBER(SEARCH("Delivery",N736)),ISNUMBER(SEARCH("Lapa",N736))),"SIM","")</f>
        <v/>
      </c>
      <c r="AA736" s="92">
        <f>IF(AND(ISNUMBER(SEARCH("Delivery",N736)),ISNUMBER(SEARCH("Tatuapé",N736))),"SIM","")</f>
        <v/>
      </c>
      <c r="AB736" s="92">
        <f>IF(AND(ISNUMBER(SEARCH("Delivery",N736)),ISNUMBER(SEARCH("Pavão",N736))),"SIM","")</f>
        <v/>
      </c>
      <c r="AC736" s="92">
        <f>IF(AND(ISNUMBER(SEARCH("Delivery",N736)),ISNUMBER(SEARCH("Chac",N736))),"SIM","")</f>
        <v/>
      </c>
      <c r="AD736" s="92">
        <f>IF(AND(ISNUMBER(SEARCH("Delivery",N736)),ISNUMBER(SEARCH("Madalena",N736))),"SIM","")</f>
        <v/>
      </c>
      <c r="AE736" s="99">
        <f>IF(AND(ISNUMBER(SEARCH("Delivery",N736)),ISNUMBER(SEARCH("Mariana",N736))),"SIM","")</f>
        <v/>
      </c>
      <c r="AF736" s="99">
        <f>IF(AND(ISNUMBER(SEARCH("Delivery",N736)),ISNUMBER(SEARCH("Perdizes",N736))),"SIM","")</f>
        <v/>
      </c>
      <c r="AG736" s="99">
        <f>IF(AND(ISNUMBER(SEARCH("Delivery",N736)),ISNUMBER(SEARCH("Santana",N736))),"SIM","")</f>
        <v/>
      </c>
      <c r="AH736" s="99">
        <f>IF(AND(ISNUMBER(SEARCH("Delivery",N736)),ISNUMBER(SEARCH("André",N736))),"SIM","")</f>
        <v/>
      </c>
      <c r="AI736" s="99">
        <f>IF(ISNUMBER(SEARCH("Interlagos",N736)),"SIM","")</f>
        <v/>
      </c>
      <c r="AJ736" s="99">
        <f>IF(ISNUMBER(SEARCH("Quiosque",N736)),"SIM","")</f>
        <v/>
      </c>
      <c r="AK736" s="101" t="n"/>
    </row>
    <row r="737">
      <c r="A737" s="88" t="inlineStr">
        <is>
          <t>Protheus</t>
        </is>
      </c>
      <c r="B737" s="89" t="inlineStr">
        <is>
          <t>001488</t>
        </is>
      </c>
      <c r="C737" s="90">
        <f>IF(B737="—","—",IFERROR(VLOOKUP(B737,_Protheus_Cadastro!$A:$B,2,FALSE),"—"))</f>
        <v/>
      </c>
      <c r="D737" s="91">
        <f>IF(B737="—",IFERROR(INDEX(_ZIG_Cadastro!$D:$D,MATCH(H737,_ZIG_Cadastro!$A:$A,0)),"Produto"),IFERROR(VLOOKUP(B737,_Protheus_Cadastro!$A:$C,3,FALSE),"—"))</f>
        <v/>
      </c>
      <c r="E737" s="91">
        <f>IF(B737="—","—",IFERROR(VLOOKUP(B737,_Protheus_Cadastro!$A:$D,4,FALSE),"—"))</f>
        <v/>
      </c>
      <c r="F737" s="91">
        <f>IF(ISERROR(VLOOKUP(B737,'Estrutura Protheus'!A:A,1,FALSE)),"Não","Sim")</f>
        <v/>
      </c>
      <c r="G737" s="92">
        <f>IFERROR(INDEX(_Protheus_Cadastro!$H:$H,MATCH(B737,_Protheus_Cadastro!$A:$A,0)),"—")</f>
        <v/>
      </c>
      <c r="H737" s="210">
        <f>IFERROR(INDEX(_ZIG_Precos!$D:$D,MATCH(I737,_ZIG_Precos!$F:$F,0)),"—")</f>
        <v/>
      </c>
      <c r="I737" s="95">
        <f>IFERROR(VLOOKUP(B737,_Protheus_Cadastro!$A:$I,9,FALSE),"—")</f>
        <v/>
      </c>
      <c r="J737" s="93">
        <f>IFERROR(INDEX(_ZIG_Cadastro!$B:$B,MATCH(I737,_ZIG_Cadastro!$A:$A,0)),IFERROR(INDEX(_Entradas_ZIG!$B:$B,MATCH(I737,_Entradas_ZIG!$C:$C,0)),"—"))</f>
        <v/>
      </c>
      <c r="K737" s="93">
        <f>IFERROR(INDEX(_ZIG_Cadastro!$C:$C,MATCH(I737,_ZIG_Cadastro!$A:$A,0)),IFERROR(INDEX(_Entradas_ZIG!$D:$D,MATCH(I737,_Entradas_ZIG!$C:$C,0)),"—"))</f>
        <v/>
      </c>
      <c r="L737" s="92">
        <f>IF(I737="","Sem SKU ZIG",IF(I737="—","Sem SKU ZIG",IF(NOT(ISERROR(MATCH(I737,_ZIG_Cadastro!$A:$A,0))),IF(EXACT(UPPER(TRIM(C737)),UPPER(TRIM(INDEX(_ZIG_Cadastro!$B:$B,MATCH(I737,_ZIG_Cadastro!$A:$A,0))))),"OK","Atencao - Nome diverge"),IF(NOT(ISERROR(MATCH(I737,_Entradas_ZIG!$C:$C,0))),"OK","Erro - SKU nao encontrado"))))</f>
        <v/>
      </c>
      <c r="M737" s="92">
        <f>IFERROR(INDEX(_ZIG_Cadastro!$G:$G,MATCH(I737,_ZIG_Cadastro!$A:$A,0)),IF(NOT(ISERROR(MATCH(I737,_Entradas_ZIG!$C:$C,0))),"Ativo","—"))</f>
        <v/>
      </c>
      <c r="N737" s="94">
        <f>IFERROR(INDEX(_ZIG_Cadastro!$E:$E,MATCH(I737,_ZIG_Cadastro!$A:$A,0)),IFERROR(INDEX(_Entradas_ZIG!$F:$F,MATCH(I737,_Entradas_ZIG!$C:$C,0)),"—"))</f>
        <v/>
      </c>
      <c r="O737" s="92">
        <f>IF(AND(ISNUMBER(SEARCH("Espeto",N737)),ISNUMBER(SEARCH("Carin",N737))),"SIM","")</f>
        <v/>
      </c>
      <c r="P737" s="92">
        <f>IF(AND(ISNUMBER(SEARCH("Espeto",N737)),ISNUMBER(SEARCH("Lapa",N737))),"SIM","")</f>
        <v/>
      </c>
      <c r="Q737" s="92">
        <f>IF(AND(ISNUMBER(SEARCH("Espeto",N737)),ISNUMBER(SEARCH("Tatuapé",N737))),"SIM","")</f>
        <v/>
      </c>
      <c r="R737" s="92">
        <f>IF(AND(ISNUMBER(SEARCH("Espeto",N737)),ISNUMBER(SEARCH("Pavão",N737))),"SIM","")</f>
        <v/>
      </c>
      <c r="S737" s="92">
        <f>IF(AND(ISNUMBER(SEARCH("Espeto",N737)),ISNUMBER(SEARCH("Chac",N737))),"SIM","")</f>
        <v/>
      </c>
      <c r="T737" s="92">
        <f>IF(AND(ISNUMBER(SEARCH("Espeto",N737)),ISNUMBER(SEARCH("Madalena",N737))),"SIM","")</f>
        <v/>
      </c>
      <c r="U737" s="92">
        <f>IF(AND(ISNUMBER(SEARCH("Espeto",N737)),ISNUMBER(SEARCH("Mariana",N737))),"SIM","")</f>
        <v/>
      </c>
      <c r="V737" s="92">
        <f>IF(AND(ISNUMBER(SEARCH("Espeto",N737)),ISNUMBER(SEARCH("Perdizes",N737))),"SIM","")</f>
        <v/>
      </c>
      <c r="W737" s="92">
        <f>IF(AND(ISNUMBER(SEARCH("Espeto",N737)),ISNUMBER(SEARCH("Santana",N737))),"SIM","")</f>
        <v/>
      </c>
      <c r="X737" s="92">
        <f>IF(AND(ISNUMBER(SEARCH("Espeto",N737)),ISNUMBER(SEARCH("André",N737))),"SIM","")</f>
        <v/>
      </c>
      <c r="Y737" s="92">
        <f>IF(AND(ISNUMBER(SEARCH("Delivery",N737)),ISNUMBER(SEARCH("Carin",N737))),"SIM","")</f>
        <v/>
      </c>
      <c r="Z737" s="92">
        <f>IF(AND(ISNUMBER(SEARCH("Delivery",N737)),ISNUMBER(SEARCH("Lapa",N737))),"SIM","")</f>
        <v/>
      </c>
      <c r="AA737" s="92">
        <f>IF(AND(ISNUMBER(SEARCH("Delivery",N737)),ISNUMBER(SEARCH("Tatuapé",N737))),"SIM","")</f>
        <v/>
      </c>
      <c r="AB737" s="92">
        <f>IF(AND(ISNUMBER(SEARCH("Delivery",N737)),ISNUMBER(SEARCH("Pavão",N737))),"SIM","")</f>
        <v/>
      </c>
      <c r="AC737" s="92">
        <f>IF(AND(ISNUMBER(SEARCH("Delivery",N737)),ISNUMBER(SEARCH("Chac",N737))),"SIM","")</f>
        <v/>
      </c>
      <c r="AD737" s="92">
        <f>IF(AND(ISNUMBER(SEARCH("Delivery",N737)),ISNUMBER(SEARCH("Madalena",N737))),"SIM","")</f>
        <v/>
      </c>
      <c r="AE737" s="99">
        <f>IF(AND(ISNUMBER(SEARCH("Delivery",N737)),ISNUMBER(SEARCH("Mariana",N737))),"SIM","")</f>
        <v/>
      </c>
      <c r="AF737" s="99">
        <f>IF(AND(ISNUMBER(SEARCH("Delivery",N737)),ISNUMBER(SEARCH("Perdizes",N737))),"SIM","")</f>
        <v/>
      </c>
      <c r="AG737" s="99">
        <f>IF(AND(ISNUMBER(SEARCH("Delivery",N737)),ISNUMBER(SEARCH("Santana",N737))),"SIM","")</f>
        <v/>
      </c>
      <c r="AH737" s="99">
        <f>IF(AND(ISNUMBER(SEARCH("Delivery",N737)),ISNUMBER(SEARCH("André",N737))),"SIM","")</f>
        <v/>
      </c>
      <c r="AI737" s="99">
        <f>IF(ISNUMBER(SEARCH("Interlagos",N737)),"SIM","")</f>
        <v/>
      </c>
      <c r="AJ737" s="99">
        <f>IF(ISNUMBER(SEARCH("Quiosque",N737)),"SIM","")</f>
        <v/>
      </c>
      <c r="AK737" s="101" t="n"/>
    </row>
    <row r="738">
      <c r="A738" s="88" t="inlineStr">
        <is>
          <t>Protheus</t>
        </is>
      </c>
      <c r="B738" s="89" t="inlineStr">
        <is>
          <t>001492</t>
        </is>
      </c>
      <c r="C738" s="90">
        <f>IF(B738="—","—",IFERROR(VLOOKUP(B738,_Protheus_Cadastro!$A:$B,2,FALSE),"—"))</f>
        <v/>
      </c>
      <c r="D738" s="91">
        <f>IF(B738="—",IFERROR(INDEX(_ZIG_Cadastro!$D:$D,MATCH(H738,_ZIG_Cadastro!$A:$A,0)),"Produto"),IFERROR(VLOOKUP(B738,_Protheus_Cadastro!$A:$C,3,FALSE),"—"))</f>
        <v/>
      </c>
      <c r="E738" s="91">
        <f>IF(B738="—","—",IFERROR(VLOOKUP(B738,_Protheus_Cadastro!$A:$D,4,FALSE),"—"))</f>
        <v/>
      </c>
      <c r="F738" s="91">
        <f>IF(ISERROR(VLOOKUP(B738,'Estrutura Protheus'!A:A,1,FALSE)),"Não","Sim")</f>
        <v/>
      </c>
      <c r="G738" s="92">
        <f>IFERROR(INDEX(_Protheus_Cadastro!$H:$H,MATCH(B738,_Protheus_Cadastro!$A:$A,0)),"—")</f>
        <v/>
      </c>
      <c r="H738" s="210">
        <f>IFERROR(INDEX(_ZIG_Precos!$D:$D,MATCH(I738,_ZIG_Precos!$F:$F,0)),"—")</f>
        <v/>
      </c>
      <c r="I738" s="95">
        <f>IFERROR(VLOOKUP(B738,_Protheus_Cadastro!$A:$I,9,FALSE),"—")</f>
        <v/>
      </c>
      <c r="J738" s="93">
        <f>IFERROR(INDEX(_ZIG_Cadastro!$B:$B,MATCH(I738,_ZIG_Cadastro!$A:$A,0)),IFERROR(INDEX(_Entradas_ZIG!$B:$B,MATCH(I738,_Entradas_ZIG!$C:$C,0)),"—"))</f>
        <v/>
      </c>
      <c r="K738" s="93">
        <f>IFERROR(INDEX(_ZIG_Cadastro!$C:$C,MATCH(I738,_ZIG_Cadastro!$A:$A,0)),IFERROR(INDEX(_Entradas_ZIG!$D:$D,MATCH(I738,_Entradas_ZIG!$C:$C,0)),"—"))</f>
        <v/>
      </c>
      <c r="L738" s="92">
        <f>IF(I738="","Sem SKU ZIG",IF(I738="—","Sem SKU ZIG",IF(NOT(ISERROR(MATCH(I738,_ZIG_Cadastro!$A:$A,0))),IF(EXACT(UPPER(TRIM(C738)),UPPER(TRIM(INDEX(_ZIG_Cadastro!$B:$B,MATCH(I738,_ZIG_Cadastro!$A:$A,0))))),"OK","Atencao - Nome diverge"),IF(NOT(ISERROR(MATCH(I738,_Entradas_ZIG!$C:$C,0))),"OK","Erro - SKU nao encontrado"))))</f>
        <v/>
      </c>
      <c r="M738" s="92">
        <f>IFERROR(INDEX(_ZIG_Cadastro!$G:$G,MATCH(I738,_ZIG_Cadastro!$A:$A,0)),IF(NOT(ISERROR(MATCH(I738,_Entradas_ZIG!$C:$C,0))),"Ativo","—"))</f>
        <v/>
      </c>
      <c r="N738" s="94">
        <f>IFERROR(INDEX(_ZIG_Cadastro!$E:$E,MATCH(I738,_ZIG_Cadastro!$A:$A,0)),IFERROR(INDEX(_Entradas_ZIG!$F:$F,MATCH(I738,_Entradas_ZIG!$C:$C,0)),"—"))</f>
        <v/>
      </c>
      <c r="O738" s="92">
        <f>IF(AND(ISNUMBER(SEARCH("Espeto",N738)),ISNUMBER(SEARCH("Carin",N738))),"SIM","")</f>
        <v/>
      </c>
      <c r="P738" s="92">
        <f>IF(AND(ISNUMBER(SEARCH("Espeto",N738)),ISNUMBER(SEARCH("Lapa",N738))),"SIM","")</f>
        <v/>
      </c>
      <c r="Q738" s="92">
        <f>IF(AND(ISNUMBER(SEARCH("Espeto",N738)),ISNUMBER(SEARCH("Tatuapé",N738))),"SIM","")</f>
        <v/>
      </c>
      <c r="R738" s="92">
        <f>IF(AND(ISNUMBER(SEARCH("Espeto",N738)),ISNUMBER(SEARCH("Pavão",N738))),"SIM","")</f>
        <v/>
      </c>
      <c r="S738" s="92">
        <f>IF(AND(ISNUMBER(SEARCH("Espeto",N738)),ISNUMBER(SEARCH("Chac",N738))),"SIM","")</f>
        <v/>
      </c>
      <c r="T738" s="92">
        <f>IF(AND(ISNUMBER(SEARCH("Espeto",N738)),ISNUMBER(SEARCH("Madalena",N738))),"SIM","")</f>
        <v/>
      </c>
      <c r="U738" s="92">
        <f>IF(AND(ISNUMBER(SEARCH("Espeto",N738)),ISNUMBER(SEARCH("Mariana",N738))),"SIM","")</f>
        <v/>
      </c>
      <c r="V738" s="92">
        <f>IF(AND(ISNUMBER(SEARCH("Espeto",N738)),ISNUMBER(SEARCH("Perdizes",N738))),"SIM","")</f>
        <v/>
      </c>
      <c r="W738" s="92">
        <f>IF(AND(ISNUMBER(SEARCH("Espeto",N738)),ISNUMBER(SEARCH("Santana",N738))),"SIM","")</f>
        <v/>
      </c>
      <c r="X738" s="92">
        <f>IF(AND(ISNUMBER(SEARCH("Espeto",N738)),ISNUMBER(SEARCH("André",N738))),"SIM","")</f>
        <v/>
      </c>
      <c r="Y738" s="92">
        <f>IF(AND(ISNUMBER(SEARCH("Delivery",N738)),ISNUMBER(SEARCH("Carin",N738))),"SIM","")</f>
        <v/>
      </c>
      <c r="Z738" s="92">
        <f>IF(AND(ISNUMBER(SEARCH("Delivery",N738)),ISNUMBER(SEARCH("Lapa",N738))),"SIM","")</f>
        <v/>
      </c>
      <c r="AA738" s="92">
        <f>IF(AND(ISNUMBER(SEARCH("Delivery",N738)),ISNUMBER(SEARCH("Tatuapé",N738))),"SIM","")</f>
        <v/>
      </c>
      <c r="AB738" s="92">
        <f>IF(AND(ISNUMBER(SEARCH("Delivery",N738)),ISNUMBER(SEARCH("Pavão",N738))),"SIM","")</f>
        <v/>
      </c>
      <c r="AC738" s="92">
        <f>IF(AND(ISNUMBER(SEARCH("Delivery",N738)),ISNUMBER(SEARCH("Chac",N738))),"SIM","")</f>
        <v/>
      </c>
      <c r="AD738" s="92">
        <f>IF(AND(ISNUMBER(SEARCH("Delivery",N738)),ISNUMBER(SEARCH("Madalena",N738))),"SIM","")</f>
        <v/>
      </c>
      <c r="AE738" s="99">
        <f>IF(AND(ISNUMBER(SEARCH("Delivery",N738)),ISNUMBER(SEARCH("Mariana",N738))),"SIM","")</f>
        <v/>
      </c>
      <c r="AF738" s="99">
        <f>IF(AND(ISNUMBER(SEARCH("Delivery",N738)),ISNUMBER(SEARCH("Perdizes",N738))),"SIM","")</f>
        <v/>
      </c>
      <c r="AG738" s="99">
        <f>IF(AND(ISNUMBER(SEARCH("Delivery",N738)),ISNUMBER(SEARCH("Santana",N738))),"SIM","")</f>
        <v/>
      </c>
      <c r="AH738" s="99">
        <f>IF(AND(ISNUMBER(SEARCH("Delivery",N738)),ISNUMBER(SEARCH("André",N738))),"SIM","")</f>
        <v/>
      </c>
      <c r="AI738" s="99">
        <f>IF(ISNUMBER(SEARCH("Interlagos",N738)),"SIM","")</f>
        <v/>
      </c>
      <c r="AJ738" s="99">
        <f>IF(ISNUMBER(SEARCH("Quiosque",N738)),"SIM","")</f>
        <v/>
      </c>
      <c r="AK738" s="101" t="n"/>
    </row>
    <row r="739">
      <c r="A739" s="88" t="inlineStr">
        <is>
          <t>Protheus</t>
        </is>
      </c>
      <c r="B739" s="89" t="inlineStr">
        <is>
          <t>001494</t>
        </is>
      </c>
      <c r="C739" s="90">
        <f>IF(B739="—","—",IFERROR(VLOOKUP(B739,_Protheus_Cadastro!$A:$B,2,FALSE),"—"))</f>
        <v/>
      </c>
      <c r="D739" s="91">
        <f>IF(B739="—",IFERROR(INDEX(_ZIG_Cadastro!$D:$D,MATCH(H739,_ZIG_Cadastro!$A:$A,0)),"Produto"),IFERROR(VLOOKUP(B739,_Protheus_Cadastro!$A:$C,3,FALSE),"—"))</f>
        <v/>
      </c>
      <c r="E739" s="91">
        <f>IF(B739="—","—",IFERROR(VLOOKUP(B739,_Protheus_Cadastro!$A:$D,4,FALSE),"—"))</f>
        <v/>
      </c>
      <c r="F739" s="91">
        <f>IF(ISERROR(VLOOKUP(B739,'Estrutura Protheus'!A:A,1,FALSE)),"Não","Sim")</f>
        <v/>
      </c>
      <c r="G739" s="92">
        <f>IFERROR(INDEX(_Protheus_Cadastro!$H:$H,MATCH(B739,_Protheus_Cadastro!$A:$A,0)),"—")</f>
        <v/>
      </c>
      <c r="H739" s="210">
        <f>IFERROR(INDEX(_ZIG_Precos!$D:$D,MATCH(I739,_ZIG_Precos!$F:$F,0)),"—")</f>
        <v/>
      </c>
      <c r="I739" s="95">
        <f>IFERROR(VLOOKUP(B739,_Protheus_Cadastro!$A:$I,9,FALSE),"—")</f>
        <v/>
      </c>
      <c r="J739" s="93">
        <f>IFERROR(INDEX(_ZIG_Cadastro!$B:$B,MATCH(I739,_ZIG_Cadastro!$A:$A,0)),IFERROR(INDEX(_Entradas_ZIG!$B:$B,MATCH(I739,_Entradas_ZIG!$C:$C,0)),"—"))</f>
        <v/>
      </c>
      <c r="K739" s="93">
        <f>IFERROR(INDEX(_ZIG_Cadastro!$C:$C,MATCH(I739,_ZIG_Cadastro!$A:$A,0)),IFERROR(INDEX(_Entradas_ZIG!$D:$D,MATCH(I739,_Entradas_ZIG!$C:$C,0)),"—"))</f>
        <v/>
      </c>
      <c r="L739" s="92">
        <f>IF(I739="","Sem SKU ZIG",IF(I739="—","Sem SKU ZIG",IF(NOT(ISERROR(MATCH(I739,_ZIG_Cadastro!$A:$A,0))),IF(EXACT(UPPER(TRIM(C739)),UPPER(TRIM(INDEX(_ZIG_Cadastro!$B:$B,MATCH(I739,_ZIG_Cadastro!$A:$A,0))))),"OK","Atencao - Nome diverge"),IF(NOT(ISERROR(MATCH(I739,_Entradas_ZIG!$C:$C,0))),"OK","Erro - SKU nao encontrado"))))</f>
        <v/>
      </c>
      <c r="M739" s="92">
        <f>IFERROR(INDEX(_ZIG_Cadastro!$G:$G,MATCH(I739,_ZIG_Cadastro!$A:$A,0)),IF(NOT(ISERROR(MATCH(I739,_Entradas_ZIG!$C:$C,0))),"Ativo","—"))</f>
        <v/>
      </c>
      <c r="N739" s="94">
        <f>IFERROR(INDEX(_ZIG_Cadastro!$E:$E,MATCH(I739,_ZIG_Cadastro!$A:$A,0)),IFERROR(INDEX(_Entradas_ZIG!$F:$F,MATCH(I739,_Entradas_ZIG!$C:$C,0)),"—"))</f>
        <v/>
      </c>
      <c r="O739" s="92">
        <f>IF(AND(ISNUMBER(SEARCH("Espeto",N739)),ISNUMBER(SEARCH("Carin",N739))),"SIM","")</f>
        <v/>
      </c>
      <c r="P739" s="92">
        <f>IF(AND(ISNUMBER(SEARCH("Espeto",N739)),ISNUMBER(SEARCH("Lapa",N739))),"SIM","")</f>
        <v/>
      </c>
      <c r="Q739" s="92">
        <f>IF(AND(ISNUMBER(SEARCH("Espeto",N739)),ISNUMBER(SEARCH("Tatuapé",N739))),"SIM","")</f>
        <v/>
      </c>
      <c r="R739" s="92">
        <f>IF(AND(ISNUMBER(SEARCH("Espeto",N739)),ISNUMBER(SEARCH("Pavão",N739))),"SIM","")</f>
        <v/>
      </c>
      <c r="S739" s="92">
        <f>IF(AND(ISNUMBER(SEARCH("Espeto",N739)),ISNUMBER(SEARCH("Chac",N739))),"SIM","")</f>
        <v/>
      </c>
      <c r="T739" s="92">
        <f>IF(AND(ISNUMBER(SEARCH("Espeto",N739)),ISNUMBER(SEARCH("Madalena",N739))),"SIM","")</f>
        <v/>
      </c>
      <c r="U739" s="92">
        <f>IF(AND(ISNUMBER(SEARCH("Espeto",N739)),ISNUMBER(SEARCH("Mariana",N739))),"SIM","")</f>
        <v/>
      </c>
      <c r="V739" s="92">
        <f>IF(AND(ISNUMBER(SEARCH("Espeto",N739)),ISNUMBER(SEARCH("Perdizes",N739))),"SIM","")</f>
        <v/>
      </c>
      <c r="W739" s="92">
        <f>IF(AND(ISNUMBER(SEARCH("Espeto",N739)),ISNUMBER(SEARCH("Santana",N739))),"SIM","")</f>
        <v/>
      </c>
      <c r="X739" s="92">
        <f>IF(AND(ISNUMBER(SEARCH("Espeto",N739)),ISNUMBER(SEARCH("André",N739))),"SIM","")</f>
        <v/>
      </c>
      <c r="Y739" s="92">
        <f>IF(AND(ISNUMBER(SEARCH("Delivery",N739)),ISNUMBER(SEARCH("Carin",N739))),"SIM","")</f>
        <v/>
      </c>
      <c r="Z739" s="92">
        <f>IF(AND(ISNUMBER(SEARCH("Delivery",N739)),ISNUMBER(SEARCH("Lapa",N739))),"SIM","")</f>
        <v/>
      </c>
      <c r="AA739" s="92">
        <f>IF(AND(ISNUMBER(SEARCH("Delivery",N739)),ISNUMBER(SEARCH("Tatuapé",N739))),"SIM","")</f>
        <v/>
      </c>
      <c r="AB739" s="92">
        <f>IF(AND(ISNUMBER(SEARCH("Delivery",N739)),ISNUMBER(SEARCH("Pavão",N739))),"SIM","")</f>
        <v/>
      </c>
      <c r="AC739" s="92">
        <f>IF(AND(ISNUMBER(SEARCH("Delivery",N739)),ISNUMBER(SEARCH("Chac",N739))),"SIM","")</f>
        <v/>
      </c>
      <c r="AD739" s="92">
        <f>IF(AND(ISNUMBER(SEARCH("Delivery",N739)),ISNUMBER(SEARCH("Madalena",N739))),"SIM","")</f>
        <v/>
      </c>
      <c r="AE739" s="99">
        <f>IF(AND(ISNUMBER(SEARCH("Delivery",N739)),ISNUMBER(SEARCH("Mariana",N739))),"SIM","")</f>
        <v/>
      </c>
      <c r="AF739" s="99">
        <f>IF(AND(ISNUMBER(SEARCH("Delivery",N739)),ISNUMBER(SEARCH("Perdizes",N739))),"SIM","")</f>
        <v/>
      </c>
      <c r="AG739" s="99">
        <f>IF(AND(ISNUMBER(SEARCH("Delivery",N739)),ISNUMBER(SEARCH("Santana",N739))),"SIM","")</f>
        <v/>
      </c>
      <c r="AH739" s="99">
        <f>IF(AND(ISNUMBER(SEARCH("Delivery",N739)),ISNUMBER(SEARCH("André",N739))),"SIM","")</f>
        <v/>
      </c>
      <c r="AI739" s="99">
        <f>IF(ISNUMBER(SEARCH("Interlagos",N739)),"SIM","")</f>
        <v/>
      </c>
      <c r="AJ739" s="99">
        <f>IF(ISNUMBER(SEARCH("Quiosque",N739)),"SIM","")</f>
        <v/>
      </c>
      <c r="AK739" s="101" t="n"/>
    </row>
    <row r="740">
      <c r="A740" s="88" t="inlineStr">
        <is>
          <t>Protheus</t>
        </is>
      </c>
      <c r="B740" s="89" t="inlineStr">
        <is>
          <t>001499</t>
        </is>
      </c>
      <c r="C740" s="90">
        <f>IF(B740="—","—",IFERROR(VLOOKUP(B740,_Protheus_Cadastro!$A:$B,2,FALSE),"—"))</f>
        <v/>
      </c>
      <c r="D740" s="91">
        <f>IF(B740="—",IFERROR(INDEX(_ZIG_Cadastro!$D:$D,MATCH(H740,_ZIG_Cadastro!$A:$A,0)),"Produto"),IFERROR(VLOOKUP(B740,_Protheus_Cadastro!$A:$C,3,FALSE),"—"))</f>
        <v/>
      </c>
      <c r="E740" s="91">
        <f>IF(B740="—","—",IFERROR(VLOOKUP(B740,_Protheus_Cadastro!$A:$D,4,FALSE),"—"))</f>
        <v/>
      </c>
      <c r="F740" s="91">
        <f>IF(ISERROR(VLOOKUP(B740,'Estrutura Protheus'!A:A,1,FALSE)),"Não","Sim")</f>
        <v/>
      </c>
      <c r="G740" s="92">
        <f>IFERROR(INDEX(_Protheus_Cadastro!$H:$H,MATCH(B740,_Protheus_Cadastro!$A:$A,0)),"—")</f>
        <v/>
      </c>
      <c r="H740" s="210">
        <f>IFERROR(INDEX(_ZIG_Precos!$D:$D,MATCH(I740,_ZIG_Precos!$F:$F,0)),"—")</f>
        <v/>
      </c>
      <c r="I740" s="95">
        <f>IFERROR(VLOOKUP(B740,_Protheus_Cadastro!$A:$I,9,FALSE),"—")</f>
        <v/>
      </c>
      <c r="J740" s="93">
        <f>IFERROR(INDEX(_ZIG_Cadastro!$B:$B,MATCH(I740,_ZIG_Cadastro!$A:$A,0)),IFERROR(INDEX(_Entradas_ZIG!$B:$B,MATCH(I740,_Entradas_ZIG!$C:$C,0)),"—"))</f>
        <v/>
      </c>
      <c r="K740" s="93">
        <f>IFERROR(INDEX(_ZIG_Cadastro!$C:$C,MATCH(I740,_ZIG_Cadastro!$A:$A,0)),IFERROR(INDEX(_Entradas_ZIG!$D:$D,MATCH(I740,_Entradas_ZIG!$C:$C,0)),"—"))</f>
        <v/>
      </c>
      <c r="L740" s="92">
        <f>IF(I740="","Sem SKU ZIG",IF(I740="—","Sem SKU ZIG",IF(NOT(ISERROR(MATCH(I740,_ZIG_Cadastro!$A:$A,0))),IF(EXACT(UPPER(TRIM(C740)),UPPER(TRIM(INDEX(_ZIG_Cadastro!$B:$B,MATCH(I740,_ZIG_Cadastro!$A:$A,0))))),"OK","Atencao - Nome diverge"),IF(NOT(ISERROR(MATCH(I740,_Entradas_ZIG!$C:$C,0))),"OK","Erro - SKU nao encontrado"))))</f>
        <v/>
      </c>
      <c r="M740" s="92">
        <f>IFERROR(INDEX(_ZIG_Cadastro!$G:$G,MATCH(I740,_ZIG_Cadastro!$A:$A,0)),IF(NOT(ISERROR(MATCH(I740,_Entradas_ZIG!$C:$C,0))),"Ativo","—"))</f>
        <v/>
      </c>
      <c r="N740" s="94">
        <f>IFERROR(INDEX(_ZIG_Cadastro!$E:$E,MATCH(I740,_ZIG_Cadastro!$A:$A,0)),IFERROR(INDEX(_Entradas_ZIG!$F:$F,MATCH(I740,_Entradas_ZIG!$C:$C,0)),"—"))</f>
        <v/>
      </c>
      <c r="O740" s="92">
        <f>IF(AND(ISNUMBER(SEARCH("Espeto",N740)),ISNUMBER(SEARCH("Carin",N740))),"SIM","")</f>
        <v/>
      </c>
      <c r="P740" s="92">
        <f>IF(AND(ISNUMBER(SEARCH("Espeto",N740)),ISNUMBER(SEARCH("Lapa",N740))),"SIM","")</f>
        <v/>
      </c>
      <c r="Q740" s="92">
        <f>IF(AND(ISNUMBER(SEARCH("Espeto",N740)),ISNUMBER(SEARCH("Tatuapé",N740))),"SIM","")</f>
        <v/>
      </c>
      <c r="R740" s="92">
        <f>IF(AND(ISNUMBER(SEARCH("Espeto",N740)),ISNUMBER(SEARCH("Pavão",N740))),"SIM","")</f>
        <v/>
      </c>
      <c r="S740" s="92">
        <f>IF(AND(ISNUMBER(SEARCH("Espeto",N740)),ISNUMBER(SEARCH("Chac",N740))),"SIM","")</f>
        <v/>
      </c>
      <c r="T740" s="92">
        <f>IF(AND(ISNUMBER(SEARCH("Espeto",N740)),ISNUMBER(SEARCH("Madalena",N740))),"SIM","")</f>
        <v/>
      </c>
      <c r="U740" s="92">
        <f>IF(AND(ISNUMBER(SEARCH("Espeto",N740)),ISNUMBER(SEARCH("Mariana",N740))),"SIM","")</f>
        <v/>
      </c>
      <c r="V740" s="92">
        <f>IF(AND(ISNUMBER(SEARCH("Espeto",N740)),ISNUMBER(SEARCH("Perdizes",N740))),"SIM","")</f>
        <v/>
      </c>
      <c r="W740" s="92">
        <f>IF(AND(ISNUMBER(SEARCH("Espeto",N740)),ISNUMBER(SEARCH("Santana",N740))),"SIM","")</f>
        <v/>
      </c>
      <c r="X740" s="92">
        <f>IF(AND(ISNUMBER(SEARCH("Espeto",N740)),ISNUMBER(SEARCH("André",N740))),"SIM","")</f>
        <v/>
      </c>
      <c r="Y740" s="92">
        <f>IF(AND(ISNUMBER(SEARCH("Delivery",N740)),ISNUMBER(SEARCH("Carin",N740))),"SIM","")</f>
        <v/>
      </c>
      <c r="Z740" s="92">
        <f>IF(AND(ISNUMBER(SEARCH("Delivery",N740)),ISNUMBER(SEARCH("Lapa",N740))),"SIM","")</f>
        <v/>
      </c>
      <c r="AA740" s="92">
        <f>IF(AND(ISNUMBER(SEARCH("Delivery",N740)),ISNUMBER(SEARCH("Tatuapé",N740))),"SIM","")</f>
        <v/>
      </c>
      <c r="AB740" s="92">
        <f>IF(AND(ISNUMBER(SEARCH("Delivery",N740)),ISNUMBER(SEARCH("Pavão",N740))),"SIM","")</f>
        <v/>
      </c>
      <c r="AC740" s="92">
        <f>IF(AND(ISNUMBER(SEARCH("Delivery",N740)),ISNUMBER(SEARCH("Chac",N740))),"SIM","")</f>
        <v/>
      </c>
      <c r="AD740" s="92">
        <f>IF(AND(ISNUMBER(SEARCH("Delivery",N740)),ISNUMBER(SEARCH("Madalena",N740))),"SIM","")</f>
        <v/>
      </c>
      <c r="AE740" s="99">
        <f>IF(AND(ISNUMBER(SEARCH("Delivery",N740)),ISNUMBER(SEARCH("Mariana",N740))),"SIM","")</f>
        <v/>
      </c>
      <c r="AF740" s="99">
        <f>IF(AND(ISNUMBER(SEARCH("Delivery",N740)),ISNUMBER(SEARCH("Perdizes",N740))),"SIM","")</f>
        <v/>
      </c>
      <c r="AG740" s="99">
        <f>IF(AND(ISNUMBER(SEARCH("Delivery",N740)),ISNUMBER(SEARCH("Santana",N740))),"SIM","")</f>
        <v/>
      </c>
      <c r="AH740" s="99">
        <f>IF(AND(ISNUMBER(SEARCH("Delivery",N740)),ISNUMBER(SEARCH("André",N740))),"SIM","")</f>
        <v/>
      </c>
      <c r="AI740" s="99">
        <f>IF(ISNUMBER(SEARCH("Interlagos",N740)),"SIM","")</f>
        <v/>
      </c>
      <c r="AJ740" s="99">
        <f>IF(ISNUMBER(SEARCH("Quiosque",N740)),"SIM","")</f>
        <v/>
      </c>
      <c r="AK740" s="101" t="n"/>
    </row>
    <row r="741">
      <c r="A741" s="88" t="inlineStr">
        <is>
          <t>Protheus</t>
        </is>
      </c>
      <c r="B741" s="89" t="inlineStr">
        <is>
          <t>001510</t>
        </is>
      </c>
      <c r="C741" s="90">
        <f>IF(B741="—","—",IFERROR(VLOOKUP(B741,_Protheus_Cadastro!$A:$B,2,FALSE),"—"))</f>
        <v/>
      </c>
      <c r="D741" s="91">
        <f>IF(B741="—",IFERROR(INDEX(_ZIG_Cadastro!$D:$D,MATCH(H741,_ZIG_Cadastro!$A:$A,0)),"Produto"),IFERROR(VLOOKUP(B741,_Protheus_Cadastro!$A:$C,3,FALSE),"—"))</f>
        <v/>
      </c>
      <c r="E741" s="91">
        <f>IF(B741="—","—",IFERROR(VLOOKUP(B741,_Protheus_Cadastro!$A:$D,4,FALSE),"—"))</f>
        <v/>
      </c>
      <c r="F741" s="91">
        <f>IF(ISERROR(VLOOKUP(B741,'Estrutura Protheus'!A:A,1,FALSE)),"Não","Sim")</f>
        <v/>
      </c>
      <c r="G741" s="92">
        <f>IFERROR(INDEX(_Protheus_Cadastro!$H:$H,MATCH(B741,_Protheus_Cadastro!$A:$A,0)),"—")</f>
        <v/>
      </c>
      <c r="H741" s="210">
        <f>IFERROR(INDEX(_ZIG_Precos!$D:$D,MATCH(I741,_ZIG_Precos!$F:$F,0)),"—")</f>
        <v/>
      </c>
      <c r="I741" s="95">
        <f>IFERROR(VLOOKUP(B741,_Protheus_Cadastro!$A:$I,9,FALSE),"—")</f>
        <v/>
      </c>
      <c r="J741" s="93">
        <f>IFERROR(INDEX(_ZIG_Cadastro!$B:$B,MATCH(I741,_ZIG_Cadastro!$A:$A,0)),IFERROR(INDEX(_Entradas_ZIG!$B:$B,MATCH(I741,_Entradas_ZIG!$C:$C,0)),"—"))</f>
        <v/>
      </c>
      <c r="K741" s="93">
        <f>IFERROR(INDEX(_ZIG_Cadastro!$C:$C,MATCH(I741,_ZIG_Cadastro!$A:$A,0)),IFERROR(INDEX(_Entradas_ZIG!$D:$D,MATCH(I741,_Entradas_ZIG!$C:$C,0)),"—"))</f>
        <v/>
      </c>
      <c r="L741" s="92">
        <f>IF(I741="","Sem SKU ZIG",IF(I741="—","Sem SKU ZIG",IF(NOT(ISERROR(MATCH(I741,_ZIG_Cadastro!$A:$A,0))),IF(EXACT(UPPER(TRIM(C741)),UPPER(TRIM(INDEX(_ZIG_Cadastro!$B:$B,MATCH(I741,_ZIG_Cadastro!$A:$A,0))))),"OK","Atencao - Nome diverge"),IF(NOT(ISERROR(MATCH(I741,_Entradas_ZIG!$C:$C,0))),"OK","Erro - SKU nao encontrado"))))</f>
        <v/>
      </c>
      <c r="M741" s="92">
        <f>IFERROR(INDEX(_ZIG_Cadastro!$G:$G,MATCH(I741,_ZIG_Cadastro!$A:$A,0)),IF(NOT(ISERROR(MATCH(I741,_Entradas_ZIG!$C:$C,0))),"Ativo","—"))</f>
        <v/>
      </c>
      <c r="N741" s="94">
        <f>IFERROR(INDEX(_ZIG_Cadastro!$E:$E,MATCH(I741,_ZIG_Cadastro!$A:$A,0)),IFERROR(INDEX(_Entradas_ZIG!$F:$F,MATCH(I741,_Entradas_ZIG!$C:$C,0)),"—"))</f>
        <v/>
      </c>
      <c r="O741" s="92">
        <f>IF(AND(ISNUMBER(SEARCH("Espeto",N741)),ISNUMBER(SEARCH("Carin",N741))),"SIM","")</f>
        <v/>
      </c>
      <c r="P741" s="92">
        <f>IF(AND(ISNUMBER(SEARCH("Espeto",N741)),ISNUMBER(SEARCH("Lapa",N741))),"SIM","")</f>
        <v/>
      </c>
      <c r="Q741" s="92">
        <f>IF(AND(ISNUMBER(SEARCH("Espeto",N741)),ISNUMBER(SEARCH("Tatuapé",N741))),"SIM","")</f>
        <v/>
      </c>
      <c r="R741" s="92">
        <f>IF(AND(ISNUMBER(SEARCH("Espeto",N741)),ISNUMBER(SEARCH("Pavão",N741))),"SIM","")</f>
        <v/>
      </c>
      <c r="S741" s="92">
        <f>IF(AND(ISNUMBER(SEARCH("Espeto",N741)),ISNUMBER(SEARCH("Chac",N741))),"SIM","")</f>
        <v/>
      </c>
      <c r="T741" s="92">
        <f>IF(AND(ISNUMBER(SEARCH("Espeto",N741)),ISNUMBER(SEARCH("Madalena",N741))),"SIM","")</f>
        <v/>
      </c>
      <c r="U741" s="92">
        <f>IF(AND(ISNUMBER(SEARCH("Espeto",N741)),ISNUMBER(SEARCH("Mariana",N741))),"SIM","")</f>
        <v/>
      </c>
      <c r="V741" s="92">
        <f>IF(AND(ISNUMBER(SEARCH("Espeto",N741)),ISNUMBER(SEARCH("Perdizes",N741))),"SIM","")</f>
        <v/>
      </c>
      <c r="W741" s="92">
        <f>IF(AND(ISNUMBER(SEARCH("Espeto",N741)),ISNUMBER(SEARCH("Santana",N741))),"SIM","")</f>
        <v/>
      </c>
      <c r="X741" s="92">
        <f>IF(AND(ISNUMBER(SEARCH("Espeto",N741)),ISNUMBER(SEARCH("André",N741))),"SIM","")</f>
        <v/>
      </c>
      <c r="Y741" s="92">
        <f>IF(AND(ISNUMBER(SEARCH("Delivery",N741)),ISNUMBER(SEARCH("Carin",N741))),"SIM","")</f>
        <v/>
      </c>
      <c r="Z741" s="92">
        <f>IF(AND(ISNUMBER(SEARCH("Delivery",N741)),ISNUMBER(SEARCH("Lapa",N741))),"SIM","")</f>
        <v/>
      </c>
      <c r="AA741" s="92">
        <f>IF(AND(ISNUMBER(SEARCH("Delivery",N741)),ISNUMBER(SEARCH("Tatuapé",N741))),"SIM","")</f>
        <v/>
      </c>
      <c r="AB741" s="92">
        <f>IF(AND(ISNUMBER(SEARCH("Delivery",N741)),ISNUMBER(SEARCH("Pavão",N741))),"SIM","")</f>
        <v/>
      </c>
      <c r="AC741" s="92">
        <f>IF(AND(ISNUMBER(SEARCH("Delivery",N741)),ISNUMBER(SEARCH("Chac",N741))),"SIM","")</f>
        <v/>
      </c>
      <c r="AD741" s="92">
        <f>IF(AND(ISNUMBER(SEARCH("Delivery",N741)),ISNUMBER(SEARCH("Madalena",N741))),"SIM","")</f>
        <v/>
      </c>
      <c r="AE741" s="99">
        <f>IF(AND(ISNUMBER(SEARCH("Delivery",N741)),ISNUMBER(SEARCH("Mariana",N741))),"SIM","")</f>
        <v/>
      </c>
      <c r="AF741" s="99">
        <f>IF(AND(ISNUMBER(SEARCH("Delivery",N741)),ISNUMBER(SEARCH("Perdizes",N741))),"SIM","")</f>
        <v/>
      </c>
      <c r="AG741" s="99">
        <f>IF(AND(ISNUMBER(SEARCH("Delivery",N741)),ISNUMBER(SEARCH("Santana",N741))),"SIM","")</f>
        <v/>
      </c>
      <c r="AH741" s="99">
        <f>IF(AND(ISNUMBER(SEARCH("Delivery",N741)),ISNUMBER(SEARCH("André",N741))),"SIM","")</f>
        <v/>
      </c>
      <c r="AI741" s="99">
        <f>IF(ISNUMBER(SEARCH("Interlagos",N741)),"SIM","")</f>
        <v/>
      </c>
      <c r="AJ741" s="99">
        <f>IF(ISNUMBER(SEARCH("Quiosque",N741)),"SIM","")</f>
        <v/>
      </c>
      <c r="AK741" s="101" t="n"/>
    </row>
    <row r="742">
      <c r="A742" s="88" t="inlineStr">
        <is>
          <t>Protheus</t>
        </is>
      </c>
      <c r="B742" s="89" t="inlineStr">
        <is>
          <t>001512</t>
        </is>
      </c>
      <c r="C742" s="90">
        <f>IF(B742="—","—",IFERROR(VLOOKUP(B742,_Protheus_Cadastro!$A:$B,2,FALSE),"—"))</f>
        <v/>
      </c>
      <c r="D742" s="91">
        <f>IF(B742="—",IFERROR(INDEX(_ZIG_Cadastro!$D:$D,MATCH(H742,_ZIG_Cadastro!$A:$A,0)),"Produto"),IFERROR(VLOOKUP(B742,_Protheus_Cadastro!$A:$C,3,FALSE),"—"))</f>
        <v/>
      </c>
      <c r="E742" s="91">
        <f>IF(B742="—","—",IFERROR(VLOOKUP(B742,_Protheus_Cadastro!$A:$D,4,FALSE),"—"))</f>
        <v/>
      </c>
      <c r="F742" s="91">
        <f>IF(ISERROR(VLOOKUP(B742,'Estrutura Protheus'!A:A,1,FALSE)),"Não","Sim")</f>
        <v/>
      </c>
      <c r="G742" s="92">
        <f>IFERROR(INDEX(_Protheus_Cadastro!$H:$H,MATCH(B742,_Protheus_Cadastro!$A:$A,0)),"—")</f>
        <v/>
      </c>
      <c r="H742" s="210">
        <f>IFERROR(INDEX(_ZIG_Precos!$D:$D,MATCH(I742,_ZIG_Precos!$F:$F,0)),"—")</f>
        <v/>
      </c>
      <c r="I742" s="95">
        <f>IFERROR(VLOOKUP(B742,_Protheus_Cadastro!$A:$I,9,FALSE),"—")</f>
        <v/>
      </c>
      <c r="J742" s="93">
        <f>IFERROR(INDEX(_ZIG_Cadastro!$B:$B,MATCH(I742,_ZIG_Cadastro!$A:$A,0)),IFERROR(INDEX(_Entradas_ZIG!$B:$B,MATCH(I742,_Entradas_ZIG!$C:$C,0)),"—"))</f>
        <v/>
      </c>
      <c r="K742" s="93">
        <f>IFERROR(INDEX(_ZIG_Cadastro!$C:$C,MATCH(I742,_ZIG_Cadastro!$A:$A,0)),IFERROR(INDEX(_Entradas_ZIG!$D:$D,MATCH(I742,_Entradas_ZIG!$C:$C,0)),"—"))</f>
        <v/>
      </c>
      <c r="L742" s="92">
        <f>IF(I742="","Sem SKU ZIG",IF(I742="—","Sem SKU ZIG",IF(NOT(ISERROR(MATCH(I742,_ZIG_Cadastro!$A:$A,0))),IF(EXACT(UPPER(TRIM(C742)),UPPER(TRIM(INDEX(_ZIG_Cadastro!$B:$B,MATCH(I742,_ZIG_Cadastro!$A:$A,0))))),"OK","Atencao - Nome diverge"),IF(NOT(ISERROR(MATCH(I742,_Entradas_ZIG!$C:$C,0))),"OK","Erro - SKU nao encontrado"))))</f>
        <v/>
      </c>
      <c r="M742" s="92">
        <f>IFERROR(INDEX(_ZIG_Cadastro!$G:$G,MATCH(I742,_ZIG_Cadastro!$A:$A,0)),IF(NOT(ISERROR(MATCH(I742,_Entradas_ZIG!$C:$C,0))),"Ativo","—"))</f>
        <v/>
      </c>
      <c r="N742" s="94">
        <f>IFERROR(INDEX(_ZIG_Cadastro!$E:$E,MATCH(I742,_ZIG_Cadastro!$A:$A,0)),IFERROR(INDEX(_Entradas_ZIG!$F:$F,MATCH(I742,_Entradas_ZIG!$C:$C,0)),"—"))</f>
        <v/>
      </c>
      <c r="O742" s="92">
        <f>IF(AND(ISNUMBER(SEARCH("Espeto",N742)),ISNUMBER(SEARCH("Carin",N742))),"SIM","")</f>
        <v/>
      </c>
      <c r="P742" s="92">
        <f>IF(AND(ISNUMBER(SEARCH("Espeto",N742)),ISNUMBER(SEARCH("Lapa",N742))),"SIM","")</f>
        <v/>
      </c>
      <c r="Q742" s="92">
        <f>IF(AND(ISNUMBER(SEARCH("Espeto",N742)),ISNUMBER(SEARCH("Tatuapé",N742))),"SIM","")</f>
        <v/>
      </c>
      <c r="R742" s="92">
        <f>IF(AND(ISNUMBER(SEARCH("Espeto",N742)),ISNUMBER(SEARCH("Pavão",N742))),"SIM","")</f>
        <v/>
      </c>
      <c r="S742" s="92">
        <f>IF(AND(ISNUMBER(SEARCH("Espeto",N742)),ISNUMBER(SEARCH("Chac",N742))),"SIM","")</f>
        <v/>
      </c>
      <c r="T742" s="92">
        <f>IF(AND(ISNUMBER(SEARCH("Espeto",N742)),ISNUMBER(SEARCH("Madalena",N742))),"SIM","")</f>
        <v/>
      </c>
      <c r="U742" s="92">
        <f>IF(AND(ISNUMBER(SEARCH("Espeto",N742)),ISNUMBER(SEARCH("Mariana",N742))),"SIM","")</f>
        <v/>
      </c>
      <c r="V742" s="92">
        <f>IF(AND(ISNUMBER(SEARCH("Espeto",N742)),ISNUMBER(SEARCH("Perdizes",N742))),"SIM","")</f>
        <v/>
      </c>
      <c r="W742" s="92">
        <f>IF(AND(ISNUMBER(SEARCH("Espeto",N742)),ISNUMBER(SEARCH("Santana",N742))),"SIM","")</f>
        <v/>
      </c>
      <c r="X742" s="92">
        <f>IF(AND(ISNUMBER(SEARCH("Espeto",N742)),ISNUMBER(SEARCH("André",N742))),"SIM","")</f>
        <v/>
      </c>
      <c r="Y742" s="92">
        <f>IF(AND(ISNUMBER(SEARCH("Delivery",N742)),ISNUMBER(SEARCH("Carin",N742))),"SIM","")</f>
        <v/>
      </c>
      <c r="Z742" s="92">
        <f>IF(AND(ISNUMBER(SEARCH("Delivery",N742)),ISNUMBER(SEARCH("Lapa",N742))),"SIM","")</f>
        <v/>
      </c>
      <c r="AA742" s="92">
        <f>IF(AND(ISNUMBER(SEARCH("Delivery",N742)),ISNUMBER(SEARCH("Tatuapé",N742))),"SIM","")</f>
        <v/>
      </c>
      <c r="AB742" s="92">
        <f>IF(AND(ISNUMBER(SEARCH("Delivery",N742)),ISNUMBER(SEARCH("Pavão",N742))),"SIM","")</f>
        <v/>
      </c>
      <c r="AC742" s="92">
        <f>IF(AND(ISNUMBER(SEARCH("Delivery",N742)),ISNUMBER(SEARCH("Chac",N742))),"SIM","")</f>
        <v/>
      </c>
      <c r="AD742" s="92">
        <f>IF(AND(ISNUMBER(SEARCH("Delivery",N742)),ISNUMBER(SEARCH("Madalena",N742))),"SIM","")</f>
        <v/>
      </c>
      <c r="AE742" s="99">
        <f>IF(AND(ISNUMBER(SEARCH("Delivery",N742)),ISNUMBER(SEARCH("Mariana",N742))),"SIM","")</f>
        <v/>
      </c>
      <c r="AF742" s="99">
        <f>IF(AND(ISNUMBER(SEARCH("Delivery",N742)),ISNUMBER(SEARCH("Perdizes",N742))),"SIM","")</f>
        <v/>
      </c>
      <c r="AG742" s="99">
        <f>IF(AND(ISNUMBER(SEARCH("Delivery",N742)),ISNUMBER(SEARCH("Santana",N742))),"SIM","")</f>
        <v/>
      </c>
      <c r="AH742" s="99">
        <f>IF(AND(ISNUMBER(SEARCH("Delivery",N742)),ISNUMBER(SEARCH("André",N742))),"SIM","")</f>
        <v/>
      </c>
      <c r="AI742" s="99">
        <f>IF(ISNUMBER(SEARCH("Interlagos",N742)),"SIM","")</f>
        <v/>
      </c>
      <c r="AJ742" s="99">
        <f>IF(ISNUMBER(SEARCH("Quiosque",N742)),"SIM","")</f>
        <v/>
      </c>
      <c r="AK742" s="101" t="n"/>
    </row>
    <row r="743">
      <c r="A743" s="88" t="inlineStr">
        <is>
          <t>Protheus</t>
        </is>
      </c>
      <c r="B743" s="89" t="inlineStr">
        <is>
          <t>001563</t>
        </is>
      </c>
      <c r="C743" s="90">
        <f>IF(B743="—","—",IFERROR(VLOOKUP(B743,_Protheus_Cadastro!$A:$B,2,FALSE),"—"))</f>
        <v/>
      </c>
      <c r="D743" s="91">
        <f>IF(B743="—",IFERROR(INDEX(_ZIG_Cadastro!$D:$D,MATCH(H743,_ZIG_Cadastro!$A:$A,0)),"Produto"),IFERROR(VLOOKUP(B743,_Protheus_Cadastro!$A:$C,3,FALSE),"—"))</f>
        <v/>
      </c>
      <c r="E743" s="91">
        <f>IF(B743="—","—",IFERROR(VLOOKUP(B743,_Protheus_Cadastro!$A:$D,4,FALSE),"—"))</f>
        <v/>
      </c>
      <c r="F743" s="91">
        <f>IF(ISERROR(VLOOKUP(B743,'Estrutura Protheus'!A:A,1,FALSE)),"Não","Sim")</f>
        <v/>
      </c>
      <c r="G743" s="92">
        <f>IFERROR(INDEX(_Protheus_Cadastro!$H:$H,MATCH(B743,_Protheus_Cadastro!$A:$A,0)),"—")</f>
        <v/>
      </c>
      <c r="H743" s="210">
        <f>IFERROR(INDEX(_ZIG_Precos!$D:$D,MATCH(I743,_ZIG_Precos!$F:$F,0)),"—")</f>
        <v/>
      </c>
      <c r="I743" s="95">
        <f>IFERROR(VLOOKUP(B743,_Protheus_Cadastro!$A:$I,9,FALSE),"—")</f>
        <v/>
      </c>
      <c r="J743" s="93">
        <f>IFERROR(INDEX(_ZIG_Cadastro!$B:$B,MATCH(I743,_ZIG_Cadastro!$A:$A,0)),IFERROR(INDEX(_Entradas_ZIG!$B:$B,MATCH(I743,_Entradas_ZIG!$C:$C,0)),"—"))</f>
        <v/>
      </c>
      <c r="K743" s="93">
        <f>IFERROR(INDEX(_ZIG_Cadastro!$C:$C,MATCH(I743,_ZIG_Cadastro!$A:$A,0)),IFERROR(INDEX(_Entradas_ZIG!$D:$D,MATCH(I743,_Entradas_ZIG!$C:$C,0)),"—"))</f>
        <v/>
      </c>
      <c r="L743" s="92">
        <f>IF(I743="","Sem SKU ZIG",IF(I743="—","Sem SKU ZIG",IF(NOT(ISERROR(MATCH(I743,_ZIG_Cadastro!$A:$A,0))),IF(EXACT(UPPER(TRIM(C743)),UPPER(TRIM(INDEX(_ZIG_Cadastro!$B:$B,MATCH(I743,_ZIG_Cadastro!$A:$A,0))))),"OK","Atencao - Nome diverge"),IF(NOT(ISERROR(MATCH(I743,_Entradas_ZIG!$C:$C,0))),"OK","Erro - SKU nao encontrado"))))</f>
        <v/>
      </c>
      <c r="M743" s="92">
        <f>IFERROR(INDEX(_ZIG_Cadastro!$G:$G,MATCH(I743,_ZIG_Cadastro!$A:$A,0)),IF(NOT(ISERROR(MATCH(I743,_Entradas_ZIG!$C:$C,0))),"Ativo","—"))</f>
        <v/>
      </c>
      <c r="N743" s="94">
        <f>IFERROR(INDEX(_ZIG_Cadastro!$E:$E,MATCH(I743,_ZIG_Cadastro!$A:$A,0)),IFERROR(INDEX(_Entradas_ZIG!$F:$F,MATCH(I743,_Entradas_ZIG!$C:$C,0)),"—"))</f>
        <v/>
      </c>
      <c r="O743" s="92">
        <f>IF(AND(ISNUMBER(SEARCH("Espeto",N743)),ISNUMBER(SEARCH("Carin",N743))),"SIM","")</f>
        <v/>
      </c>
      <c r="P743" s="92">
        <f>IF(AND(ISNUMBER(SEARCH("Espeto",N743)),ISNUMBER(SEARCH("Lapa",N743))),"SIM","")</f>
        <v/>
      </c>
      <c r="Q743" s="92">
        <f>IF(AND(ISNUMBER(SEARCH("Espeto",N743)),ISNUMBER(SEARCH("Tatuapé",N743))),"SIM","")</f>
        <v/>
      </c>
      <c r="R743" s="92">
        <f>IF(AND(ISNUMBER(SEARCH("Espeto",N743)),ISNUMBER(SEARCH("Pavão",N743))),"SIM","")</f>
        <v/>
      </c>
      <c r="S743" s="92">
        <f>IF(AND(ISNUMBER(SEARCH("Espeto",N743)),ISNUMBER(SEARCH("Chac",N743))),"SIM","")</f>
        <v/>
      </c>
      <c r="T743" s="92">
        <f>IF(AND(ISNUMBER(SEARCH("Espeto",N743)),ISNUMBER(SEARCH("Madalena",N743))),"SIM","")</f>
        <v/>
      </c>
      <c r="U743" s="92">
        <f>IF(AND(ISNUMBER(SEARCH("Espeto",N743)),ISNUMBER(SEARCH("Mariana",N743))),"SIM","")</f>
        <v/>
      </c>
      <c r="V743" s="92">
        <f>IF(AND(ISNUMBER(SEARCH("Espeto",N743)),ISNUMBER(SEARCH("Perdizes",N743))),"SIM","")</f>
        <v/>
      </c>
      <c r="W743" s="92">
        <f>IF(AND(ISNUMBER(SEARCH("Espeto",N743)),ISNUMBER(SEARCH("Santana",N743))),"SIM","")</f>
        <v/>
      </c>
      <c r="X743" s="92">
        <f>IF(AND(ISNUMBER(SEARCH("Espeto",N743)),ISNUMBER(SEARCH("André",N743))),"SIM","")</f>
        <v/>
      </c>
      <c r="Y743" s="92">
        <f>IF(AND(ISNUMBER(SEARCH("Delivery",N743)),ISNUMBER(SEARCH("Carin",N743))),"SIM","")</f>
        <v/>
      </c>
      <c r="Z743" s="92">
        <f>IF(AND(ISNUMBER(SEARCH("Delivery",N743)),ISNUMBER(SEARCH("Lapa",N743))),"SIM","")</f>
        <v/>
      </c>
      <c r="AA743" s="92">
        <f>IF(AND(ISNUMBER(SEARCH("Delivery",N743)),ISNUMBER(SEARCH("Tatuapé",N743))),"SIM","")</f>
        <v/>
      </c>
      <c r="AB743" s="92">
        <f>IF(AND(ISNUMBER(SEARCH("Delivery",N743)),ISNUMBER(SEARCH("Pavão",N743))),"SIM","")</f>
        <v/>
      </c>
      <c r="AC743" s="92">
        <f>IF(AND(ISNUMBER(SEARCH("Delivery",N743)),ISNUMBER(SEARCH("Chac",N743))),"SIM","")</f>
        <v/>
      </c>
      <c r="AD743" s="92">
        <f>IF(AND(ISNUMBER(SEARCH("Delivery",N743)),ISNUMBER(SEARCH("Madalena",N743))),"SIM","")</f>
        <v/>
      </c>
      <c r="AE743" s="99">
        <f>IF(AND(ISNUMBER(SEARCH("Delivery",N743)),ISNUMBER(SEARCH("Mariana",N743))),"SIM","")</f>
        <v/>
      </c>
      <c r="AF743" s="99">
        <f>IF(AND(ISNUMBER(SEARCH("Delivery",N743)),ISNUMBER(SEARCH("Perdizes",N743))),"SIM","")</f>
        <v/>
      </c>
      <c r="AG743" s="99">
        <f>IF(AND(ISNUMBER(SEARCH("Delivery",N743)),ISNUMBER(SEARCH("Santana",N743))),"SIM","")</f>
        <v/>
      </c>
      <c r="AH743" s="99">
        <f>IF(AND(ISNUMBER(SEARCH("Delivery",N743)),ISNUMBER(SEARCH("André",N743))),"SIM","")</f>
        <v/>
      </c>
      <c r="AI743" s="99">
        <f>IF(ISNUMBER(SEARCH("Interlagos",N743)),"SIM","")</f>
        <v/>
      </c>
      <c r="AJ743" s="99">
        <f>IF(ISNUMBER(SEARCH("Quiosque",N743)),"SIM","")</f>
        <v/>
      </c>
      <c r="AK743" s="101" t="n"/>
    </row>
    <row r="744">
      <c r="A744" s="88" t="inlineStr">
        <is>
          <t>Protheus</t>
        </is>
      </c>
      <c r="B744" s="89" t="inlineStr">
        <is>
          <t>001565</t>
        </is>
      </c>
      <c r="C744" s="90">
        <f>IF(B744="—","—",IFERROR(VLOOKUP(B744,_Protheus_Cadastro!$A:$B,2,FALSE),"—"))</f>
        <v/>
      </c>
      <c r="D744" s="91">
        <f>IF(B744="—",IFERROR(INDEX(_ZIG_Cadastro!$D:$D,MATCH(H744,_ZIG_Cadastro!$A:$A,0)),"Produto"),IFERROR(VLOOKUP(B744,_Protheus_Cadastro!$A:$C,3,FALSE),"—"))</f>
        <v/>
      </c>
      <c r="E744" s="91">
        <f>IF(B744="—","—",IFERROR(VLOOKUP(B744,_Protheus_Cadastro!$A:$D,4,FALSE),"—"))</f>
        <v/>
      </c>
      <c r="F744" s="91">
        <f>IF(ISERROR(VLOOKUP(B744,'Estrutura Protheus'!A:A,1,FALSE)),"Não","Sim")</f>
        <v/>
      </c>
      <c r="G744" s="92">
        <f>IFERROR(INDEX(_Protheus_Cadastro!$H:$H,MATCH(B744,_Protheus_Cadastro!$A:$A,0)),"—")</f>
        <v/>
      </c>
      <c r="H744" s="210">
        <f>IFERROR(INDEX(_ZIG_Precos!$D:$D,MATCH(I744,_ZIG_Precos!$F:$F,0)),"—")</f>
        <v/>
      </c>
      <c r="I744" s="95">
        <f>IFERROR(VLOOKUP(B744,_Protheus_Cadastro!$A:$I,9,FALSE),"—")</f>
        <v/>
      </c>
      <c r="J744" s="93">
        <f>IFERROR(INDEX(_ZIG_Cadastro!$B:$B,MATCH(I744,_ZIG_Cadastro!$A:$A,0)),IFERROR(INDEX(_Entradas_ZIG!$B:$B,MATCH(I744,_Entradas_ZIG!$C:$C,0)),"—"))</f>
        <v/>
      </c>
      <c r="K744" s="93">
        <f>IFERROR(INDEX(_ZIG_Cadastro!$C:$C,MATCH(I744,_ZIG_Cadastro!$A:$A,0)),IFERROR(INDEX(_Entradas_ZIG!$D:$D,MATCH(I744,_Entradas_ZIG!$C:$C,0)),"—"))</f>
        <v/>
      </c>
      <c r="L744" s="92">
        <f>IF(I744="","Sem SKU ZIG",IF(I744="—","Sem SKU ZIG",IF(NOT(ISERROR(MATCH(I744,_ZIG_Cadastro!$A:$A,0))),IF(EXACT(UPPER(TRIM(C744)),UPPER(TRIM(INDEX(_ZIG_Cadastro!$B:$B,MATCH(I744,_ZIG_Cadastro!$A:$A,0))))),"OK","Atencao - Nome diverge"),IF(NOT(ISERROR(MATCH(I744,_Entradas_ZIG!$C:$C,0))),"OK","Erro - SKU nao encontrado"))))</f>
        <v/>
      </c>
      <c r="M744" s="92">
        <f>IFERROR(INDEX(_ZIG_Cadastro!$G:$G,MATCH(I744,_ZIG_Cadastro!$A:$A,0)),IF(NOT(ISERROR(MATCH(I744,_Entradas_ZIG!$C:$C,0))),"Ativo","—"))</f>
        <v/>
      </c>
      <c r="N744" s="94">
        <f>IFERROR(INDEX(_ZIG_Cadastro!$E:$E,MATCH(I744,_ZIG_Cadastro!$A:$A,0)),IFERROR(INDEX(_Entradas_ZIG!$F:$F,MATCH(I744,_Entradas_ZIG!$C:$C,0)),"—"))</f>
        <v/>
      </c>
      <c r="O744" s="92">
        <f>IF(AND(ISNUMBER(SEARCH("Espeto",N744)),ISNUMBER(SEARCH("Carin",N744))),"SIM","")</f>
        <v/>
      </c>
      <c r="P744" s="92">
        <f>IF(AND(ISNUMBER(SEARCH("Espeto",N744)),ISNUMBER(SEARCH("Lapa",N744))),"SIM","")</f>
        <v/>
      </c>
      <c r="Q744" s="92">
        <f>IF(AND(ISNUMBER(SEARCH("Espeto",N744)),ISNUMBER(SEARCH("Tatuapé",N744))),"SIM","")</f>
        <v/>
      </c>
      <c r="R744" s="92">
        <f>IF(AND(ISNUMBER(SEARCH("Espeto",N744)),ISNUMBER(SEARCH("Pavão",N744))),"SIM","")</f>
        <v/>
      </c>
      <c r="S744" s="92">
        <f>IF(AND(ISNUMBER(SEARCH("Espeto",N744)),ISNUMBER(SEARCH("Chac",N744))),"SIM","")</f>
        <v/>
      </c>
      <c r="T744" s="92">
        <f>IF(AND(ISNUMBER(SEARCH("Espeto",N744)),ISNUMBER(SEARCH("Madalena",N744))),"SIM","")</f>
        <v/>
      </c>
      <c r="U744" s="92">
        <f>IF(AND(ISNUMBER(SEARCH("Espeto",N744)),ISNUMBER(SEARCH("Mariana",N744))),"SIM","")</f>
        <v/>
      </c>
      <c r="V744" s="92">
        <f>IF(AND(ISNUMBER(SEARCH("Espeto",N744)),ISNUMBER(SEARCH("Perdizes",N744))),"SIM","")</f>
        <v/>
      </c>
      <c r="W744" s="92">
        <f>IF(AND(ISNUMBER(SEARCH("Espeto",N744)),ISNUMBER(SEARCH("Santana",N744))),"SIM","")</f>
        <v/>
      </c>
      <c r="X744" s="92">
        <f>IF(AND(ISNUMBER(SEARCH("Espeto",N744)),ISNUMBER(SEARCH("André",N744))),"SIM","")</f>
        <v/>
      </c>
      <c r="Y744" s="92">
        <f>IF(AND(ISNUMBER(SEARCH("Delivery",N744)),ISNUMBER(SEARCH("Carin",N744))),"SIM","")</f>
        <v/>
      </c>
      <c r="Z744" s="92">
        <f>IF(AND(ISNUMBER(SEARCH("Delivery",N744)),ISNUMBER(SEARCH("Lapa",N744))),"SIM","")</f>
        <v/>
      </c>
      <c r="AA744" s="92">
        <f>IF(AND(ISNUMBER(SEARCH("Delivery",N744)),ISNUMBER(SEARCH("Tatuapé",N744))),"SIM","")</f>
        <v/>
      </c>
      <c r="AB744" s="92">
        <f>IF(AND(ISNUMBER(SEARCH("Delivery",N744)),ISNUMBER(SEARCH("Pavão",N744))),"SIM","")</f>
        <v/>
      </c>
      <c r="AC744" s="92">
        <f>IF(AND(ISNUMBER(SEARCH("Delivery",N744)),ISNUMBER(SEARCH("Chac",N744))),"SIM","")</f>
        <v/>
      </c>
      <c r="AD744" s="92">
        <f>IF(AND(ISNUMBER(SEARCH("Delivery",N744)),ISNUMBER(SEARCH("Madalena",N744))),"SIM","")</f>
        <v/>
      </c>
      <c r="AE744" s="99">
        <f>IF(AND(ISNUMBER(SEARCH("Delivery",N744)),ISNUMBER(SEARCH("Mariana",N744))),"SIM","")</f>
        <v/>
      </c>
      <c r="AF744" s="99">
        <f>IF(AND(ISNUMBER(SEARCH("Delivery",N744)),ISNUMBER(SEARCH("Perdizes",N744))),"SIM","")</f>
        <v/>
      </c>
      <c r="AG744" s="99">
        <f>IF(AND(ISNUMBER(SEARCH("Delivery",N744)),ISNUMBER(SEARCH("Santana",N744))),"SIM","")</f>
        <v/>
      </c>
      <c r="AH744" s="99">
        <f>IF(AND(ISNUMBER(SEARCH("Delivery",N744)),ISNUMBER(SEARCH("André",N744))),"SIM","")</f>
        <v/>
      </c>
      <c r="AI744" s="99">
        <f>IF(ISNUMBER(SEARCH("Interlagos",N744)),"SIM","")</f>
        <v/>
      </c>
      <c r="AJ744" s="99">
        <f>IF(ISNUMBER(SEARCH("Quiosque",N744)),"SIM","")</f>
        <v/>
      </c>
      <c r="AK744" s="101" t="n"/>
    </row>
    <row r="745">
      <c r="A745" s="88" t="inlineStr">
        <is>
          <t>Protheus</t>
        </is>
      </c>
      <c r="B745" s="89" t="inlineStr">
        <is>
          <t>001569</t>
        </is>
      </c>
      <c r="C745" s="90">
        <f>IF(B745="—","—",IFERROR(VLOOKUP(B745,_Protheus_Cadastro!$A:$B,2,FALSE),"—"))</f>
        <v/>
      </c>
      <c r="D745" s="91">
        <f>IF(B745="—",IFERROR(INDEX(_ZIG_Cadastro!$D:$D,MATCH(H745,_ZIG_Cadastro!$A:$A,0)),"Produto"),IFERROR(VLOOKUP(B745,_Protheus_Cadastro!$A:$C,3,FALSE),"—"))</f>
        <v/>
      </c>
      <c r="E745" s="91">
        <f>IF(B745="—","—",IFERROR(VLOOKUP(B745,_Protheus_Cadastro!$A:$D,4,FALSE),"—"))</f>
        <v/>
      </c>
      <c r="F745" s="91">
        <f>IF(ISERROR(VLOOKUP(B745,'Estrutura Protheus'!A:A,1,FALSE)),"Não","Sim")</f>
        <v/>
      </c>
      <c r="G745" s="92">
        <f>IFERROR(INDEX(_Protheus_Cadastro!$H:$H,MATCH(B745,_Protheus_Cadastro!$A:$A,0)),"—")</f>
        <v/>
      </c>
      <c r="H745" s="210">
        <f>IFERROR(INDEX(_ZIG_Precos!$D:$D,MATCH(I745,_ZIG_Precos!$F:$F,0)),"—")</f>
        <v/>
      </c>
      <c r="I745" s="95">
        <f>IFERROR(VLOOKUP(B745,_Protheus_Cadastro!$A:$I,9,FALSE),"—")</f>
        <v/>
      </c>
      <c r="J745" s="93">
        <f>IFERROR(INDEX(_ZIG_Cadastro!$B:$B,MATCH(I745,_ZIG_Cadastro!$A:$A,0)),IFERROR(INDEX(_Entradas_ZIG!$B:$B,MATCH(I745,_Entradas_ZIG!$C:$C,0)),"—"))</f>
        <v/>
      </c>
      <c r="K745" s="93">
        <f>IFERROR(INDEX(_ZIG_Cadastro!$C:$C,MATCH(I745,_ZIG_Cadastro!$A:$A,0)),IFERROR(INDEX(_Entradas_ZIG!$D:$D,MATCH(I745,_Entradas_ZIG!$C:$C,0)),"—"))</f>
        <v/>
      </c>
      <c r="L745" s="92">
        <f>IF(I745="","Sem SKU ZIG",IF(I745="—","Sem SKU ZIG",IF(NOT(ISERROR(MATCH(I745,_ZIG_Cadastro!$A:$A,0))),IF(EXACT(UPPER(TRIM(C745)),UPPER(TRIM(INDEX(_ZIG_Cadastro!$B:$B,MATCH(I745,_ZIG_Cadastro!$A:$A,0))))),"OK","Atencao - Nome diverge"),IF(NOT(ISERROR(MATCH(I745,_Entradas_ZIG!$C:$C,0))),"OK","Erro - SKU nao encontrado"))))</f>
        <v/>
      </c>
      <c r="M745" s="92">
        <f>IFERROR(INDEX(_ZIG_Cadastro!$G:$G,MATCH(I745,_ZIG_Cadastro!$A:$A,0)),IF(NOT(ISERROR(MATCH(I745,_Entradas_ZIG!$C:$C,0))),"Ativo","—"))</f>
        <v/>
      </c>
      <c r="N745" s="94">
        <f>IFERROR(INDEX(_ZIG_Cadastro!$E:$E,MATCH(I745,_ZIG_Cadastro!$A:$A,0)),IFERROR(INDEX(_Entradas_ZIG!$F:$F,MATCH(I745,_Entradas_ZIG!$C:$C,0)),"—"))</f>
        <v/>
      </c>
      <c r="O745" s="92">
        <f>IF(AND(ISNUMBER(SEARCH("Espeto",N745)),ISNUMBER(SEARCH("Carin",N745))),"SIM","")</f>
        <v/>
      </c>
      <c r="P745" s="92">
        <f>IF(AND(ISNUMBER(SEARCH("Espeto",N745)),ISNUMBER(SEARCH("Lapa",N745))),"SIM","")</f>
        <v/>
      </c>
      <c r="Q745" s="92">
        <f>IF(AND(ISNUMBER(SEARCH("Espeto",N745)),ISNUMBER(SEARCH("Tatuapé",N745))),"SIM","")</f>
        <v/>
      </c>
      <c r="R745" s="92">
        <f>IF(AND(ISNUMBER(SEARCH("Espeto",N745)),ISNUMBER(SEARCH("Pavão",N745))),"SIM","")</f>
        <v/>
      </c>
      <c r="S745" s="92">
        <f>IF(AND(ISNUMBER(SEARCH("Espeto",N745)),ISNUMBER(SEARCH("Chac",N745))),"SIM","")</f>
        <v/>
      </c>
      <c r="T745" s="92">
        <f>IF(AND(ISNUMBER(SEARCH("Espeto",N745)),ISNUMBER(SEARCH("Madalena",N745))),"SIM","")</f>
        <v/>
      </c>
      <c r="U745" s="92">
        <f>IF(AND(ISNUMBER(SEARCH("Espeto",N745)),ISNUMBER(SEARCH("Mariana",N745))),"SIM","")</f>
        <v/>
      </c>
      <c r="V745" s="92">
        <f>IF(AND(ISNUMBER(SEARCH("Espeto",N745)),ISNUMBER(SEARCH("Perdizes",N745))),"SIM","")</f>
        <v/>
      </c>
      <c r="W745" s="92">
        <f>IF(AND(ISNUMBER(SEARCH("Espeto",N745)),ISNUMBER(SEARCH("Santana",N745))),"SIM","")</f>
        <v/>
      </c>
      <c r="X745" s="92">
        <f>IF(AND(ISNUMBER(SEARCH("Espeto",N745)),ISNUMBER(SEARCH("André",N745))),"SIM","")</f>
        <v/>
      </c>
      <c r="Y745" s="92">
        <f>IF(AND(ISNUMBER(SEARCH("Delivery",N745)),ISNUMBER(SEARCH("Carin",N745))),"SIM","")</f>
        <v/>
      </c>
      <c r="Z745" s="92">
        <f>IF(AND(ISNUMBER(SEARCH("Delivery",N745)),ISNUMBER(SEARCH("Lapa",N745))),"SIM","")</f>
        <v/>
      </c>
      <c r="AA745" s="92">
        <f>IF(AND(ISNUMBER(SEARCH("Delivery",N745)),ISNUMBER(SEARCH("Tatuapé",N745))),"SIM","")</f>
        <v/>
      </c>
      <c r="AB745" s="92">
        <f>IF(AND(ISNUMBER(SEARCH("Delivery",N745)),ISNUMBER(SEARCH("Pavão",N745))),"SIM","")</f>
        <v/>
      </c>
      <c r="AC745" s="92">
        <f>IF(AND(ISNUMBER(SEARCH("Delivery",N745)),ISNUMBER(SEARCH("Chac",N745))),"SIM","")</f>
        <v/>
      </c>
      <c r="AD745" s="92">
        <f>IF(AND(ISNUMBER(SEARCH("Delivery",N745)),ISNUMBER(SEARCH("Madalena",N745))),"SIM","")</f>
        <v/>
      </c>
      <c r="AE745" s="99">
        <f>IF(AND(ISNUMBER(SEARCH("Delivery",N745)),ISNUMBER(SEARCH("Mariana",N745))),"SIM","")</f>
        <v/>
      </c>
      <c r="AF745" s="99">
        <f>IF(AND(ISNUMBER(SEARCH("Delivery",N745)),ISNUMBER(SEARCH("Perdizes",N745))),"SIM","")</f>
        <v/>
      </c>
      <c r="AG745" s="99">
        <f>IF(AND(ISNUMBER(SEARCH("Delivery",N745)),ISNUMBER(SEARCH("Santana",N745))),"SIM","")</f>
        <v/>
      </c>
      <c r="AH745" s="99">
        <f>IF(AND(ISNUMBER(SEARCH("Delivery",N745)),ISNUMBER(SEARCH("André",N745))),"SIM","")</f>
        <v/>
      </c>
      <c r="AI745" s="99">
        <f>IF(ISNUMBER(SEARCH("Interlagos",N745)),"SIM","")</f>
        <v/>
      </c>
      <c r="AJ745" s="99">
        <f>IF(ISNUMBER(SEARCH("Quiosque",N745)),"SIM","")</f>
        <v/>
      </c>
      <c r="AK745" s="101" t="n"/>
    </row>
    <row r="746">
      <c r="A746" s="88" t="inlineStr">
        <is>
          <t>Protheus</t>
        </is>
      </c>
      <c r="B746" s="89" t="inlineStr">
        <is>
          <t>001625</t>
        </is>
      </c>
      <c r="C746" s="90">
        <f>IF(B746="—","—",IFERROR(VLOOKUP(B746,_Protheus_Cadastro!$A:$B,2,FALSE),"—"))</f>
        <v/>
      </c>
      <c r="D746" s="91">
        <f>IF(B746="—",IFERROR(INDEX(_ZIG_Cadastro!$D:$D,MATCH(H746,_ZIG_Cadastro!$A:$A,0)),"Produto"),IFERROR(VLOOKUP(B746,_Protheus_Cadastro!$A:$C,3,FALSE),"—"))</f>
        <v/>
      </c>
      <c r="E746" s="91">
        <f>IF(B746="—","—",IFERROR(VLOOKUP(B746,_Protheus_Cadastro!$A:$D,4,FALSE),"—"))</f>
        <v/>
      </c>
      <c r="F746" s="91">
        <f>IF(ISERROR(VLOOKUP(B746,'Estrutura Protheus'!A:A,1,FALSE)),"Não","Sim")</f>
        <v/>
      </c>
      <c r="G746" s="92">
        <f>IFERROR(INDEX(_Protheus_Cadastro!$H:$H,MATCH(B746,_Protheus_Cadastro!$A:$A,0)),"—")</f>
        <v/>
      </c>
      <c r="H746" s="210">
        <f>IFERROR(INDEX(_ZIG_Precos!$D:$D,MATCH(I746,_ZIG_Precos!$F:$F,0)),"—")</f>
        <v/>
      </c>
      <c r="I746" s="95">
        <f>IFERROR(VLOOKUP(B746,_Protheus_Cadastro!$A:$I,9,FALSE),"—")</f>
        <v/>
      </c>
      <c r="J746" s="93">
        <f>IFERROR(INDEX(_ZIG_Cadastro!$B:$B,MATCH(I746,_ZIG_Cadastro!$A:$A,0)),IFERROR(INDEX(_Entradas_ZIG!$B:$B,MATCH(I746,_Entradas_ZIG!$C:$C,0)),"—"))</f>
        <v/>
      </c>
      <c r="K746" s="93">
        <f>IFERROR(INDEX(_ZIG_Cadastro!$C:$C,MATCH(I746,_ZIG_Cadastro!$A:$A,0)),IFERROR(INDEX(_Entradas_ZIG!$D:$D,MATCH(I746,_Entradas_ZIG!$C:$C,0)),"—"))</f>
        <v/>
      </c>
      <c r="L746" s="92">
        <f>IF(I746="","Sem SKU ZIG",IF(I746="—","Sem SKU ZIG",IF(NOT(ISERROR(MATCH(I746,_ZIG_Cadastro!$A:$A,0))),IF(EXACT(UPPER(TRIM(C746)),UPPER(TRIM(INDEX(_ZIG_Cadastro!$B:$B,MATCH(I746,_ZIG_Cadastro!$A:$A,0))))),"OK","Atencao - Nome diverge"),IF(NOT(ISERROR(MATCH(I746,_Entradas_ZIG!$C:$C,0))),"OK","Erro - SKU nao encontrado"))))</f>
        <v/>
      </c>
      <c r="M746" s="92">
        <f>IFERROR(INDEX(_ZIG_Cadastro!$G:$G,MATCH(I746,_ZIG_Cadastro!$A:$A,0)),IF(NOT(ISERROR(MATCH(I746,_Entradas_ZIG!$C:$C,0))),"Ativo","—"))</f>
        <v/>
      </c>
      <c r="N746" s="94">
        <f>IFERROR(INDEX(_ZIG_Cadastro!$E:$E,MATCH(I746,_ZIG_Cadastro!$A:$A,0)),IFERROR(INDEX(_Entradas_ZIG!$F:$F,MATCH(I746,_Entradas_ZIG!$C:$C,0)),"—"))</f>
        <v/>
      </c>
      <c r="O746" s="92">
        <f>IF(AND(ISNUMBER(SEARCH("Espeto",N746)),ISNUMBER(SEARCH("Carin",N746))),"SIM","")</f>
        <v/>
      </c>
      <c r="P746" s="92">
        <f>IF(AND(ISNUMBER(SEARCH("Espeto",N746)),ISNUMBER(SEARCH("Lapa",N746))),"SIM","")</f>
        <v/>
      </c>
      <c r="Q746" s="92">
        <f>IF(AND(ISNUMBER(SEARCH("Espeto",N746)),ISNUMBER(SEARCH("Tatuapé",N746))),"SIM","")</f>
        <v/>
      </c>
      <c r="R746" s="92">
        <f>IF(AND(ISNUMBER(SEARCH("Espeto",N746)),ISNUMBER(SEARCH("Pavão",N746))),"SIM","")</f>
        <v/>
      </c>
      <c r="S746" s="92">
        <f>IF(AND(ISNUMBER(SEARCH("Espeto",N746)),ISNUMBER(SEARCH("Chac",N746))),"SIM","")</f>
        <v/>
      </c>
      <c r="T746" s="92">
        <f>IF(AND(ISNUMBER(SEARCH("Espeto",N746)),ISNUMBER(SEARCH("Madalena",N746))),"SIM","")</f>
        <v/>
      </c>
      <c r="U746" s="92">
        <f>IF(AND(ISNUMBER(SEARCH("Espeto",N746)),ISNUMBER(SEARCH("Mariana",N746))),"SIM","")</f>
        <v/>
      </c>
      <c r="V746" s="92">
        <f>IF(AND(ISNUMBER(SEARCH("Espeto",N746)),ISNUMBER(SEARCH("Perdizes",N746))),"SIM","")</f>
        <v/>
      </c>
      <c r="W746" s="92">
        <f>IF(AND(ISNUMBER(SEARCH("Espeto",N746)),ISNUMBER(SEARCH("Santana",N746))),"SIM","")</f>
        <v/>
      </c>
      <c r="X746" s="92">
        <f>IF(AND(ISNUMBER(SEARCH("Espeto",N746)),ISNUMBER(SEARCH("André",N746))),"SIM","")</f>
        <v/>
      </c>
      <c r="Y746" s="92">
        <f>IF(AND(ISNUMBER(SEARCH("Delivery",N746)),ISNUMBER(SEARCH("Carin",N746))),"SIM","")</f>
        <v/>
      </c>
      <c r="Z746" s="92">
        <f>IF(AND(ISNUMBER(SEARCH("Delivery",N746)),ISNUMBER(SEARCH("Lapa",N746))),"SIM","")</f>
        <v/>
      </c>
      <c r="AA746" s="92">
        <f>IF(AND(ISNUMBER(SEARCH("Delivery",N746)),ISNUMBER(SEARCH("Tatuapé",N746))),"SIM","")</f>
        <v/>
      </c>
      <c r="AB746" s="92">
        <f>IF(AND(ISNUMBER(SEARCH("Delivery",N746)),ISNUMBER(SEARCH("Pavão",N746))),"SIM","")</f>
        <v/>
      </c>
      <c r="AC746" s="92">
        <f>IF(AND(ISNUMBER(SEARCH("Delivery",N746)),ISNUMBER(SEARCH("Chac",N746))),"SIM","")</f>
        <v/>
      </c>
      <c r="AD746" s="92">
        <f>IF(AND(ISNUMBER(SEARCH("Delivery",N746)),ISNUMBER(SEARCH("Madalena",N746))),"SIM","")</f>
        <v/>
      </c>
      <c r="AE746" s="99">
        <f>IF(AND(ISNUMBER(SEARCH("Delivery",N746)),ISNUMBER(SEARCH("Mariana",N746))),"SIM","")</f>
        <v/>
      </c>
      <c r="AF746" s="99">
        <f>IF(AND(ISNUMBER(SEARCH("Delivery",N746)),ISNUMBER(SEARCH("Perdizes",N746))),"SIM","")</f>
        <v/>
      </c>
      <c r="AG746" s="99">
        <f>IF(AND(ISNUMBER(SEARCH("Delivery",N746)),ISNUMBER(SEARCH("Santana",N746))),"SIM","")</f>
        <v/>
      </c>
      <c r="AH746" s="99">
        <f>IF(AND(ISNUMBER(SEARCH("Delivery",N746)),ISNUMBER(SEARCH("André",N746))),"SIM","")</f>
        <v/>
      </c>
      <c r="AI746" s="99">
        <f>IF(ISNUMBER(SEARCH("Interlagos",N746)),"SIM","")</f>
        <v/>
      </c>
      <c r="AJ746" s="99">
        <f>IF(ISNUMBER(SEARCH("Quiosque",N746)),"SIM","")</f>
        <v/>
      </c>
      <c r="AK746" s="101" t="n"/>
    </row>
    <row r="747">
      <c r="A747" s="88" t="inlineStr">
        <is>
          <t>Protheus</t>
        </is>
      </c>
      <c r="B747" s="89" t="inlineStr">
        <is>
          <t>001626</t>
        </is>
      </c>
      <c r="C747" s="90">
        <f>IF(B747="—","—",IFERROR(VLOOKUP(B747,_Protheus_Cadastro!$A:$B,2,FALSE),"—"))</f>
        <v/>
      </c>
      <c r="D747" s="91">
        <f>IF(B747="—",IFERROR(INDEX(_ZIG_Cadastro!$D:$D,MATCH(H747,_ZIG_Cadastro!$A:$A,0)),"Produto"),IFERROR(VLOOKUP(B747,_Protheus_Cadastro!$A:$C,3,FALSE),"—"))</f>
        <v/>
      </c>
      <c r="E747" s="91">
        <f>IF(B747="—","—",IFERROR(VLOOKUP(B747,_Protheus_Cadastro!$A:$D,4,FALSE),"—"))</f>
        <v/>
      </c>
      <c r="F747" s="91">
        <f>IF(ISERROR(VLOOKUP(B747,'Estrutura Protheus'!A:A,1,FALSE)),"Não","Sim")</f>
        <v/>
      </c>
      <c r="G747" s="92">
        <f>IFERROR(INDEX(_Protheus_Cadastro!$H:$H,MATCH(B747,_Protheus_Cadastro!$A:$A,0)),"—")</f>
        <v/>
      </c>
      <c r="H747" s="210">
        <f>IFERROR(INDEX(_ZIG_Precos!$D:$D,MATCH(I747,_ZIG_Precos!$F:$F,0)),"—")</f>
        <v/>
      </c>
      <c r="I747" s="95">
        <f>IFERROR(VLOOKUP(B747,_Protheus_Cadastro!$A:$I,9,FALSE),"—")</f>
        <v/>
      </c>
      <c r="J747" s="93">
        <f>IFERROR(INDEX(_ZIG_Cadastro!$B:$B,MATCH(I747,_ZIG_Cadastro!$A:$A,0)),IFERROR(INDEX(_Entradas_ZIG!$B:$B,MATCH(I747,_Entradas_ZIG!$C:$C,0)),"—"))</f>
        <v/>
      </c>
      <c r="K747" s="93">
        <f>IFERROR(INDEX(_ZIG_Cadastro!$C:$C,MATCH(I747,_ZIG_Cadastro!$A:$A,0)),IFERROR(INDEX(_Entradas_ZIG!$D:$D,MATCH(I747,_Entradas_ZIG!$C:$C,0)),"—"))</f>
        <v/>
      </c>
      <c r="L747" s="92">
        <f>IF(I747="","Sem SKU ZIG",IF(I747="—","Sem SKU ZIG",IF(NOT(ISERROR(MATCH(I747,_ZIG_Cadastro!$A:$A,0))),IF(EXACT(UPPER(TRIM(C747)),UPPER(TRIM(INDEX(_ZIG_Cadastro!$B:$B,MATCH(I747,_ZIG_Cadastro!$A:$A,0))))),"OK","Atencao - Nome diverge"),IF(NOT(ISERROR(MATCH(I747,_Entradas_ZIG!$C:$C,0))),"OK","Erro - SKU nao encontrado"))))</f>
        <v/>
      </c>
      <c r="M747" s="92">
        <f>IFERROR(INDEX(_ZIG_Cadastro!$G:$G,MATCH(I747,_ZIG_Cadastro!$A:$A,0)),IF(NOT(ISERROR(MATCH(I747,_Entradas_ZIG!$C:$C,0))),"Ativo","—"))</f>
        <v/>
      </c>
      <c r="N747" s="94">
        <f>IFERROR(INDEX(_ZIG_Cadastro!$E:$E,MATCH(I747,_ZIG_Cadastro!$A:$A,0)),IFERROR(INDEX(_Entradas_ZIG!$F:$F,MATCH(I747,_Entradas_ZIG!$C:$C,0)),"—"))</f>
        <v/>
      </c>
      <c r="O747" s="92">
        <f>IF(AND(ISNUMBER(SEARCH("Espeto",N747)),ISNUMBER(SEARCH("Carin",N747))),"SIM","")</f>
        <v/>
      </c>
      <c r="P747" s="92">
        <f>IF(AND(ISNUMBER(SEARCH("Espeto",N747)),ISNUMBER(SEARCH("Lapa",N747))),"SIM","")</f>
        <v/>
      </c>
      <c r="Q747" s="92">
        <f>IF(AND(ISNUMBER(SEARCH("Espeto",N747)),ISNUMBER(SEARCH("Tatuapé",N747))),"SIM","")</f>
        <v/>
      </c>
      <c r="R747" s="92">
        <f>IF(AND(ISNUMBER(SEARCH("Espeto",N747)),ISNUMBER(SEARCH("Pavão",N747))),"SIM","")</f>
        <v/>
      </c>
      <c r="S747" s="92">
        <f>IF(AND(ISNUMBER(SEARCH("Espeto",N747)),ISNUMBER(SEARCH("Chac",N747))),"SIM","")</f>
        <v/>
      </c>
      <c r="T747" s="92">
        <f>IF(AND(ISNUMBER(SEARCH("Espeto",N747)),ISNUMBER(SEARCH("Madalena",N747))),"SIM","")</f>
        <v/>
      </c>
      <c r="U747" s="92">
        <f>IF(AND(ISNUMBER(SEARCH("Espeto",N747)),ISNUMBER(SEARCH("Mariana",N747))),"SIM","")</f>
        <v/>
      </c>
      <c r="V747" s="92">
        <f>IF(AND(ISNUMBER(SEARCH("Espeto",N747)),ISNUMBER(SEARCH("Perdizes",N747))),"SIM","")</f>
        <v/>
      </c>
      <c r="W747" s="92">
        <f>IF(AND(ISNUMBER(SEARCH("Espeto",N747)),ISNUMBER(SEARCH("Santana",N747))),"SIM","")</f>
        <v/>
      </c>
      <c r="X747" s="92">
        <f>IF(AND(ISNUMBER(SEARCH("Espeto",N747)),ISNUMBER(SEARCH("André",N747))),"SIM","")</f>
        <v/>
      </c>
      <c r="Y747" s="92">
        <f>IF(AND(ISNUMBER(SEARCH("Delivery",N747)),ISNUMBER(SEARCH("Carin",N747))),"SIM","")</f>
        <v/>
      </c>
      <c r="Z747" s="92">
        <f>IF(AND(ISNUMBER(SEARCH("Delivery",N747)),ISNUMBER(SEARCH("Lapa",N747))),"SIM","")</f>
        <v/>
      </c>
      <c r="AA747" s="92">
        <f>IF(AND(ISNUMBER(SEARCH("Delivery",N747)),ISNUMBER(SEARCH("Tatuapé",N747))),"SIM","")</f>
        <v/>
      </c>
      <c r="AB747" s="92">
        <f>IF(AND(ISNUMBER(SEARCH("Delivery",N747)),ISNUMBER(SEARCH("Pavão",N747))),"SIM","")</f>
        <v/>
      </c>
      <c r="AC747" s="92">
        <f>IF(AND(ISNUMBER(SEARCH("Delivery",N747)),ISNUMBER(SEARCH("Chac",N747))),"SIM","")</f>
        <v/>
      </c>
      <c r="AD747" s="92">
        <f>IF(AND(ISNUMBER(SEARCH("Delivery",N747)),ISNUMBER(SEARCH("Madalena",N747))),"SIM","")</f>
        <v/>
      </c>
      <c r="AE747" s="99">
        <f>IF(AND(ISNUMBER(SEARCH("Delivery",N747)),ISNUMBER(SEARCH("Mariana",N747))),"SIM","")</f>
        <v/>
      </c>
      <c r="AF747" s="99">
        <f>IF(AND(ISNUMBER(SEARCH("Delivery",N747)),ISNUMBER(SEARCH("Perdizes",N747))),"SIM","")</f>
        <v/>
      </c>
      <c r="AG747" s="99">
        <f>IF(AND(ISNUMBER(SEARCH("Delivery",N747)),ISNUMBER(SEARCH("Santana",N747))),"SIM","")</f>
        <v/>
      </c>
      <c r="AH747" s="99">
        <f>IF(AND(ISNUMBER(SEARCH("Delivery",N747)),ISNUMBER(SEARCH("André",N747))),"SIM","")</f>
        <v/>
      </c>
      <c r="AI747" s="99">
        <f>IF(ISNUMBER(SEARCH("Interlagos",N747)),"SIM","")</f>
        <v/>
      </c>
      <c r="AJ747" s="99">
        <f>IF(ISNUMBER(SEARCH("Quiosque",N747)),"SIM","")</f>
        <v/>
      </c>
      <c r="AK747" s="101" t="n"/>
    </row>
    <row r="748">
      <c r="A748" s="88" t="inlineStr">
        <is>
          <t>Protheus</t>
        </is>
      </c>
      <c r="B748" s="89" t="inlineStr">
        <is>
          <t>001661</t>
        </is>
      </c>
      <c r="C748" s="90">
        <f>IF(B748="—","—",IFERROR(VLOOKUP(B748,_Protheus_Cadastro!$A:$B,2,FALSE),"—"))</f>
        <v/>
      </c>
      <c r="D748" s="91">
        <f>IF(B748="—",IFERROR(INDEX(_ZIG_Cadastro!$D:$D,MATCH(H748,_ZIG_Cadastro!$A:$A,0)),"Produto"),IFERROR(VLOOKUP(B748,_Protheus_Cadastro!$A:$C,3,FALSE),"—"))</f>
        <v/>
      </c>
      <c r="E748" s="91">
        <f>IF(B748="—","—",IFERROR(VLOOKUP(B748,_Protheus_Cadastro!$A:$D,4,FALSE),"—"))</f>
        <v/>
      </c>
      <c r="F748" s="91">
        <f>IF(ISERROR(VLOOKUP(B748,'Estrutura Protheus'!A:A,1,FALSE)),"Não","Sim")</f>
        <v/>
      </c>
      <c r="G748" s="92">
        <f>IFERROR(INDEX(_Protheus_Cadastro!$H:$H,MATCH(B748,_Protheus_Cadastro!$A:$A,0)),"—")</f>
        <v/>
      </c>
      <c r="H748" s="210">
        <f>IFERROR(INDEX(_ZIG_Precos!$D:$D,MATCH(I748,_ZIG_Precos!$F:$F,0)),"—")</f>
        <v/>
      </c>
      <c r="I748" s="95">
        <f>IFERROR(VLOOKUP(B748,_Protheus_Cadastro!$A:$I,9,FALSE),"—")</f>
        <v/>
      </c>
      <c r="J748" s="93">
        <f>IFERROR(INDEX(_ZIG_Cadastro!$B:$B,MATCH(I748,_ZIG_Cadastro!$A:$A,0)),IFERROR(INDEX(_Entradas_ZIG!$B:$B,MATCH(I748,_Entradas_ZIG!$C:$C,0)),"—"))</f>
        <v/>
      </c>
      <c r="K748" s="93">
        <f>IFERROR(INDEX(_ZIG_Cadastro!$C:$C,MATCH(I748,_ZIG_Cadastro!$A:$A,0)),IFERROR(INDEX(_Entradas_ZIG!$D:$D,MATCH(I748,_Entradas_ZIG!$C:$C,0)),"—"))</f>
        <v/>
      </c>
      <c r="L748" s="92">
        <f>IF(I748="","Sem SKU ZIG",IF(I748="—","Sem SKU ZIG",IF(NOT(ISERROR(MATCH(I748,_ZIG_Cadastro!$A:$A,0))),IF(EXACT(UPPER(TRIM(C748)),UPPER(TRIM(INDEX(_ZIG_Cadastro!$B:$B,MATCH(I748,_ZIG_Cadastro!$A:$A,0))))),"OK","Atencao - Nome diverge"),IF(NOT(ISERROR(MATCH(I748,_Entradas_ZIG!$C:$C,0))),"OK","Erro - SKU nao encontrado"))))</f>
        <v/>
      </c>
      <c r="M748" s="92">
        <f>IFERROR(INDEX(_ZIG_Cadastro!$G:$G,MATCH(I748,_ZIG_Cadastro!$A:$A,0)),IF(NOT(ISERROR(MATCH(I748,_Entradas_ZIG!$C:$C,0))),"Ativo","—"))</f>
        <v/>
      </c>
      <c r="N748" s="94">
        <f>IFERROR(INDEX(_ZIG_Cadastro!$E:$E,MATCH(I748,_ZIG_Cadastro!$A:$A,0)),IFERROR(INDEX(_Entradas_ZIG!$F:$F,MATCH(I748,_Entradas_ZIG!$C:$C,0)),"—"))</f>
        <v/>
      </c>
      <c r="O748" s="92">
        <f>IF(AND(ISNUMBER(SEARCH("Espeto",N748)),ISNUMBER(SEARCH("Carin",N748))),"SIM","")</f>
        <v/>
      </c>
      <c r="P748" s="92">
        <f>IF(AND(ISNUMBER(SEARCH("Espeto",N748)),ISNUMBER(SEARCH("Lapa",N748))),"SIM","")</f>
        <v/>
      </c>
      <c r="Q748" s="92">
        <f>IF(AND(ISNUMBER(SEARCH("Espeto",N748)),ISNUMBER(SEARCH("Tatuapé",N748))),"SIM","")</f>
        <v/>
      </c>
      <c r="R748" s="92">
        <f>IF(AND(ISNUMBER(SEARCH("Espeto",N748)),ISNUMBER(SEARCH("Pavão",N748))),"SIM","")</f>
        <v/>
      </c>
      <c r="S748" s="92">
        <f>IF(AND(ISNUMBER(SEARCH("Espeto",N748)),ISNUMBER(SEARCH("Chac",N748))),"SIM","")</f>
        <v/>
      </c>
      <c r="T748" s="92">
        <f>IF(AND(ISNUMBER(SEARCH("Espeto",N748)),ISNUMBER(SEARCH("Madalena",N748))),"SIM","")</f>
        <v/>
      </c>
      <c r="U748" s="92">
        <f>IF(AND(ISNUMBER(SEARCH("Espeto",N748)),ISNUMBER(SEARCH("Mariana",N748))),"SIM","")</f>
        <v/>
      </c>
      <c r="V748" s="92">
        <f>IF(AND(ISNUMBER(SEARCH("Espeto",N748)),ISNUMBER(SEARCH("Perdizes",N748))),"SIM","")</f>
        <v/>
      </c>
      <c r="W748" s="92">
        <f>IF(AND(ISNUMBER(SEARCH("Espeto",N748)),ISNUMBER(SEARCH("Santana",N748))),"SIM","")</f>
        <v/>
      </c>
      <c r="X748" s="92">
        <f>IF(AND(ISNUMBER(SEARCH("Espeto",N748)),ISNUMBER(SEARCH("André",N748))),"SIM","")</f>
        <v/>
      </c>
      <c r="Y748" s="92">
        <f>IF(AND(ISNUMBER(SEARCH("Delivery",N748)),ISNUMBER(SEARCH("Carin",N748))),"SIM","")</f>
        <v/>
      </c>
      <c r="Z748" s="92">
        <f>IF(AND(ISNUMBER(SEARCH("Delivery",N748)),ISNUMBER(SEARCH("Lapa",N748))),"SIM","")</f>
        <v/>
      </c>
      <c r="AA748" s="92">
        <f>IF(AND(ISNUMBER(SEARCH("Delivery",N748)),ISNUMBER(SEARCH("Tatuapé",N748))),"SIM","")</f>
        <v/>
      </c>
      <c r="AB748" s="92">
        <f>IF(AND(ISNUMBER(SEARCH("Delivery",N748)),ISNUMBER(SEARCH("Pavão",N748))),"SIM","")</f>
        <v/>
      </c>
      <c r="AC748" s="92">
        <f>IF(AND(ISNUMBER(SEARCH("Delivery",N748)),ISNUMBER(SEARCH("Chac",N748))),"SIM","")</f>
        <v/>
      </c>
      <c r="AD748" s="92">
        <f>IF(AND(ISNUMBER(SEARCH("Delivery",N748)),ISNUMBER(SEARCH("Madalena",N748))),"SIM","")</f>
        <v/>
      </c>
      <c r="AE748" s="99">
        <f>IF(AND(ISNUMBER(SEARCH("Delivery",N748)),ISNUMBER(SEARCH("Mariana",N748))),"SIM","")</f>
        <v/>
      </c>
      <c r="AF748" s="99">
        <f>IF(AND(ISNUMBER(SEARCH("Delivery",N748)),ISNUMBER(SEARCH("Perdizes",N748))),"SIM","")</f>
        <v/>
      </c>
      <c r="AG748" s="99">
        <f>IF(AND(ISNUMBER(SEARCH("Delivery",N748)),ISNUMBER(SEARCH("Santana",N748))),"SIM","")</f>
        <v/>
      </c>
      <c r="AH748" s="99">
        <f>IF(AND(ISNUMBER(SEARCH("Delivery",N748)),ISNUMBER(SEARCH("André",N748))),"SIM","")</f>
        <v/>
      </c>
      <c r="AI748" s="99">
        <f>IF(ISNUMBER(SEARCH("Interlagos",N748)),"SIM","")</f>
        <v/>
      </c>
      <c r="AJ748" s="99">
        <f>IF(ISNUMBER(SEARCH("Quiosque",N748)),"SIM","")</f>
        <v/>
      </c>
      <c r="AK748" s="101" t="n"/>
    </row>
    <row r="749">
      <c r="A749" s="88" t="inlineStr">
        <is>
          <t>Protheus</t>
        </is>
      </c>
      <c r="B749" s="89" t="inlineStr">
        <is>
          <t>001693</t>
        </is>
      </c>
      <c r="C749" s="90">
        <f>IF(B749="—","—",IFERROR(VLOOKUP(B749,_Protheus_Cadastro!$A:$B,2,FALSE),"—"))</f>
        <v/>
      </c>
      <c r="D749" s="91">
        <f>IF(B749="—",IFERROR(INDEX(_ZIG_Cadastro!$D:$D,MATCH(H749,_ZIG_Cadastro!$A:$A,0)),"Produto"),IFERROR(VLOOKUP(B749,_Protheus_Cadastro!$A:$C,3,FALSE),"—"))</f>
        <v/>
      </c>
      <c r="E749" s="91">
        <f>IF(B749="—","—",IFERROR(VLOOKUP(B749,_Protheus_Cadastro!$A:$D,4,FALSE),"—"))</f>
        <v/>
      </c>
      <c r="F749" s="91">
        <f>IF(ISERROR(VLOOKUP(B749,'Estrutura Protheus'!A:A,1,FALSE)),"Não","Sim")</f>
        <v/>
      </c>
      <c r="G749" s="92">
        <f>IFERROR(INDEX(_Protheus_Cadastro!$H:$H,MATCH(B749,_Protheus_Cadastro!$A:$A,0)),"—")</f>
        <v/>
      </c>
      <c r="H749" s="210">
        <f>IFERROR(INDEX(_ZIG_Precos!$D:$D,MATCH(I749,_ZIG_Precos!$F:$F,0)),"—")</f>
        <v/>
      </c>
      <c r="I749" s="95">
        <f>IFERROR(VLOOKUP(B749,_Protheus_Cadastro!$A:$I,9,FALSE),"—")</f>
        <v/>
      </c>
      <c r="J749" s="93">
        <f>IFERROR(INDEX(_ZIG_Cadastro!$B:$B,MATCH(I749,_ZIG_Cadastro!$A:$A,0)),IFERROR(INDEX(_Entradas_ZIG!$B:$B,MATCH(I749,_Entradas_ZIG!$C:$C,0)),"—"))</f>
        <v/>
      </c>
      <c r="K749" s="93">
        <f>IFERROR(INDEX(_ZIG_Cadastro!$C:$C,MATCH(I749,_ZIG_Cadastro!$A:$A,0)),IFERROR(INDEX(_Entradas_ZIG!$D:$D,MATCH(I749,_Entradas_ZIG!$C:$C,0)),"—"))</f>
        <v/>
      </c>
      <c r="L749" s="92">
        <f>IF(I749="","Sem SKU ZIG",IF(I749="—","Sem SKU ZIG",IF(NOT(ISERROR(MATCH(I749,_ZIG_Cadastro!$A:$A,0))),IF(EXACT(UPPER(TRIM(C749)),UPPER(TRIM(INDEX(_ZIG_Cadastro!$B:$B,MATCH(I749,_ZIG_Cadastro!$A:$A,0))))),"OK","Atencao - Nome diverge"),IF(NOT(ISERROR(MATCH(I749,_Entradas_ZIG!$C:$C,0))),"OK","Erro - SKU nao encontrado"))))</f>
        <v/>
      </c>
      <c r="M749" s="92">
        <f>IFERROR(INDEX(_ZIG_Cadastro!$G:$G,MATCH(I749,_ZIG_Cadastro!$A:$A,0)),IF(NOT(ISERROR(MATCH(I749,_Entradas_ZIG!$C:$C,0))),"Ativo","—"))</f>
        <v/>
      </c>
      <c r="N749" s="94">
        <f>IFERROR(INDEX(_ZIG_Cadastro!$E:$E,MATCH(I749,_ZIG_Cadastro!$A:$A,0)),IFERROR(INDEX(_Entradas_ZIG!$F:$F,MATCH(I749,_Entradas_ZIG!$C:$C,0)),"—"))</f>
        <v/>
      </c>
      <c r="O749" s="92">
        <f>IF(AND(ISNUMBER(SEARCH("Espeto",N749)),ISNUMBER(SEARCH("Carin",N749))),"SIM","")</f>
        <v/>
      </c>
      <c r="P749" s="92">
        <f>IF(AND(ISNUMBER(SEARCH("Espeto",N749)),ISNUMBER(SEARCH("Lapa",N749))),"SIM","")</f>
        <v/>
      </c>
      <c r="Q749" s="92">
        <f>IF(AND(ISNUMBER(SEARCH("Espeto",N749)),ISNUMBER(SEARCH("Tatuapé",N749))),"SIM","")</f>
        <v/>
      </c>
      <c r="R749" s="92">
        <f>IF(AND(ISNUMBER(SEARCH("Espeto",N749)),ISNUMBER(SEARCH("Pavão",N749))),"SIM","")</f>
        <v/>
      </c>
      <c r="S749" s="92">
        <f>IF(AND(ISNUMBER(SEARCH("Espeto",N749)),ISNUMBER(SEARCH("Chac",N749))),"SIM","")</f>
        <v/>
      </c>
      <c r="T749" s="92">
        <f>IF(AND(ISNUMBER(SEARCH("Espeto",N749)),ISNUMBER(SEARCH("Madalena",N749))),"SIM","")</f>
        <v/>
      </c>
      <c r="U749" s="92">
        <f>IF(AND(ISNUMBER(SEARCH("Espeto",N749)),ISNUMBER(SEARCH("Mariana",N749))),"SIM","")</f>
        <v/>
      </c>
      <c r="V749" s="92">
        <f>IF(AND(ISNUMBER(SEARCH("Espeto",N749)),ISNUMBER(SEARCH("Perdizes",N749))),"SIM","")</f>
        <v/>
      </c>
      <c r="W749" s="92">
        <f>IF(AND(ISNUMBER(SEARCH("Espeto",N749)),ISNUMBER(SEARCH("Santana",N749))),"SIM","")</f>
        <v/>
      </c>
      <c r="X749" s="92">
        <f>IF(AND(ISNUMBER(SEARCH("Espeto",N749)),ISNUMBER(SEARCH("André",N749))),"SIM","")</f>
        <v/>
      </c>
      <c r="Y749" s="92">
        <f>IF(AND(ISNUMBER(SEARCH("Delivery",N749)),ISNUMBER(SEARCH("Carin",N749))),"SIM","")</f>
        <v/>
      </c>
      <c r="Z749" s="92">
        <f>IF(AND(ISNUMBER(SEARCH("Delivery",N749)),ISNUMBER(SEARCH("Lapa",N749))),"SIM","")</f>
        <v/>
      </c>
      <c r="AA749" s="92">
        <f>IF(AND(ISNUMBER(SEARCH("Delivery",N749)),ISNUMBER(SEARCH("Tatuapé",N749))),"SIM","")</f>
        <v/>
      </c>
      <c r="AB749" s="92">
        <f>IF(AND(ISNUMBER(SEARCH("Delivery",N749)),ISNUMBER(SEARCH("Pavão",N749))),"SIM","")</f>
        <v/>
      </c>
      <c r="AC749" s="92">
        <f>IF(AND(ISNUMBER(SEARCH("Delivery",N749)),ISNUMBER(SEARCH("Chac",N749))),"SIM","")</f>
        <v/>
      </c>
      <c r="AD749" s="92">
        <f>IF(AND(ISNUMBER(SEARCH("Delivery",N749)),ISNUMBER(SEARCH("Madalena",N749))),"SIM","")</f>
        <v/>
      </c>
      <c r="AE749" s="99">
        <f>IF(AND(ISNUMBER(SEARCH("Delivery",N749)),ISNUMBER(SEARCH("Mariana",N749))),"SIM","")</f>
        <v/>
      </c>
      <c r="AF749" s="99">
        <f>IF(AND(ISNUMBER(SEARCH("Delivery",N749)),ISNUMBER(SEARCH("Perdizes",N749))),"SIM","")</f>
        <v/>
      </c>
      <c r="AG749" s="99">
        <f>IF(AND(ISNUMBER(SEARCH("Delivery",N749)),ISNUMBER(SEARCH("Santana",N749))),"SIM","")</f>
        <v/>
      </c>
      <c r="AH749" s="99">
        <f>IF(AND(ISNUMBER(SEARCH("Delivery",N749)),ISNUMBER(SEARCH("André",N749))),"SIM","")</f>
        <v/>
      </c>
      <c r="AI749" s="99">
        <f>IF(ISNUMBER(SEARCH("Interlagos",N749)),"SIM","")</f>
        <v/>
      </c>
      <c r="AJ749" s="99">
        <f>IF(ISNUMBER(SEARCH("Quiosque",N749)),"SIM","")</f>
        <v/>
      </c>
      <c r="AK749" s="101" t="n"/>
    </row>
    <row r="750">
      <c r="A750" s="88" t="inlineStr">
        <is>
          <t>Protheus</t>
        </is>
      </c>
      <c r="B750" s="89" t="inlineStr">
        <is>
          <t>001753</t>
        </is>
      </c>
      <c r="C750" s="90">
        <f>IF(B750="—","—",IFERROR(VLOOKUP(B750,_Protheus_Cadastro!$A:$B,2,FALSE),"—"))</f>
        <v/>
      </c>
      <c r="D750" s="91">
        <f>IF(B750="—",IFERROR(INDEX(_ZIG_Cadastro!$D:$D,MATCH(H750,_ZIG_Cadastro!$A:$A,0)),"Produto"),IFERROR(VLOOKUP(B750,_Protheus_Cadastro!$A:$C,3,FALSE),"—"))</f>
        <v/>
      </c>
      <c r="E750" s="91">
        <f>IF(B750="—","—",IFERROR(VLOOKUP(B750,_Protheus_Cadastro!$A:$D,4,FALSE),"—"))</f>
        <v/>
      </c>
      <c r="F750" s="91">
        <f>IF(ISERROR(VLOOKUP(B750,'Estrutura Protheus'!A:A,1,FALSE)),"Não","Sim")</f>
        <v/>
      </c>
      <c r="G750" s="92">
        <f>IFERROR(INDEX(_Protheus_Cadastro!$H:$H,MATCH(B750,_Protheus_Cadastro!$A:$A,0)),"—")</f>
        <v/>
      </c>
      <c r="H750" s="210">
        <f>IFERROR(INDEX(_ZIG_Precos!$D:$D,MATCH(I750,_ZIG_Precos!$F:$F,0)),"—")</f>
        <v/>
      </c>
      <c r="I750" s="95">
        <f>IFERROR(VLOOKUP(B750,_Protheus_Cadastro!$A:$I,9,FALSE),"—")</f>
        <v/>
      </c>
      <c r="J750" s="93">
        <f>IFERROR(INDEX(_ZIG_Cadastro!$B:$B,MATCH(I750,_ZIG_Cadastro!$A:$A,0)),IFERROR(INDEX(_Entradas_ZIG!$B:$B,MATCH(I750,_Entradas_ZIG!$C:$C,0)),"—"))</f>
        <v/>
      </c>
      <c r="K750" s="93">
        <f>IFERROR(INDEX(_ZIG_Cadastro!$C:$C,MATCH(I750,_ZIG_Cadastro!$A:$A,0)),IFERROR(INDEX(_Entradas_ZIG!$D:$D,MATCH(I750,_Entradas_ZIG!$C:$C,0)),"—"))</f>
        <v/>
      </c>
      <c r="L750" s="92">
        <f>IF(I750="","Sem SKU ZIG",IF(I750="—","Sem SKU ZIG",IF(NOT(ISERROR(MATCH(I750,_ZIG_Cadastro!$A:$A,0))),IF(EXACT(UPPER(TRIM(C750)),UPPER(TRIM(INDEX(_ZIG_Cadastro!$B:$B,MATCH(I750,_ZIG_Cadastro!$A:$A,0))))),"OK","Atencao - Nome diverge"),IF(NOT(ISERROR(MATCH(I750,_Entradas_ZIG!$C:$C,0))),"OK","Erro - SKU nao encontrado"))))</f>
        <v/>
      </c>
      <c r="M750" s="92">
        <f>IFERROR(INDEX(_ZIG_Cadastro!$G:$G,MATCH(I750,_ZIG_Cadastro!$A:$A,0)),IF(NOT(ISERROR(MATCH(I750,_Entradas_ZIG!$C:$C,0))),"Ativo","—"))</f>
        <v/>
      </c>
      <c r="N750" s="94">
        <f>IFERROR(INDEX(_ZIG_Cadastro!$E:$E,MATCH(I750,_ZIG_Cadastro!$A:$A,0)),IFERROR(INDEX(_Entradas_ZIG!$F:$F,MATCH(I750,_Entradas_ZIG!$C:$C,0)),"—"))</f>
        <v/>
      </c>
      <c r="O750" s="92">
        <f>IF(AND(ISNUMBER(SEARCH("Espeto",N750)),ISNUMBER(SEARCH("Carin",N750))),"SIM","")</f>
        <v/>
      </c>
      <c r="P750" s="92">
        <f>IF(AND(ISNUMBER(SEARCH("Espeto",N750)),ISNUMBER(SEARCH("Lapa",N750))),"SIM","")</f>
        <v/>
      </c>
      <c r="Q750" s="92">
        <f>IF(AND(ISNUMBER(SEARCH("Espeto",N750)),ISNUMBER(SEARCH("Tatuapé",N750))),"SIM","")</f>
        <v/>
      </c>
      <c r="R750" s="92">
        <f>IF(AND(ISNUMBER(SEARCH("Espeto",N750)),ISNUMBER(SEARCH("Pavão",N750))),"SIM","")</f>
        <v/>
      </c>
      <c r="S750" s="92">
        <f>IF(AND(ISNUMBER(SEARCH("Espeto",N750)),ISNUMBER(SEARCH("Chac",N750))),"SIM","")</f>
        <v/>
      </c>
      <c r="T750" s="92">
        <f>IF(AND(ISNUMBER(SEARCH("Espeto",N750)),ISNUMBER(SEARCH("Madalena",N750))),"SIM","")</f>
        <v/>
      </c>
      <c r="U750" s="92">
        <f>IF(AND(ISNUMBER(SEARCH("Espeto",N750)),ISNUMBER(SEARCH("Mariana",N750))),"SIM","")</f>
        <v/>
      </c>
      <c r="V750" s="92">
        <f>IF(AND(ISNUMBER(SEARCH("Espeto",N750)),ISNUMBER(SEARCH("Perdizes",N750))),"SIM","")</f>
        <v/>
      </c>
      <c r="W750" s="92">
        <f>IF(AND(ISNUMBER(SEARCH("Espeto",N750)),ISNUMBER(SEARCH("Santana",N750))),"SIM","")</f>
        <v/>
      </c>
      <c r="X750" s="92">
        <f>IF(AND(ISNUMBER(SEARCH("Espeto",N750)),ISNUMBER(SEARCH("André",N750))),"SIM","")</f>
        <v/>
      </c>
      <c r="Y750" s="92">
        <f>IF(AND(ISNUMBER(SEARCH("Delivery",N750)),ISNUMBER(SEARCH("Carin",N750))),"SIM","")</f>
        <v/>
      </c>
      <c r="Z750" s="92">
        <f>IF(AND(ISNUMBER(SEARCH("Delivery",N750)),ISNUMBER(SEARCH("Lapa",N750))),"SIM","")</f>
        <v/>
      </c>
      <c r="AA750" s="92">
        <f>IF(AND(ISNUMBER(SEARCH("Delivery",N750)),ISNUMBER(SEARCH("Tatuapé",N750))),"SIM","")</f>
        <v/>
      </c>
      <c r="AB750" s="92">
        <f>IF(AND(ISNUMBER(SEARCH("Delivery",N750)),ISNUMBER(SEARCH("Pavão",N750))),"SIM","")</f>
        <v/>
      </c>
      <c r="AC750" s="92">
        <f>IF(AND(ISNUMBER(SEARCH("Delivery",N750)),ISNUMBER(SEARCH("Chac",N750))),"SIM","")</f>
        <v/>
      </c>
      <c r="AD750" s="92">
        <f>IF(AND(ISNUMBER(SEARCH("Delivery",N750)),ISNUMBER(SEARCH("Madalena",N750))),"SIM","")</f>
        <v/>
      </c>
      <c r="AE750" s="99">
        <f>IF(AND(ISNUMBER(SEARCH("Delivery",N750)),ISNUMBER(SEARCH("Mariana",N750))),"SIM","")</f>
        <v/>
      </c>
      <c r="AF750" s="99">
        <f>IF(AND(ISNUMBER(SEARCH("Delivery",N750)),ISNUMBER(SEARCH("Perdizes",N750))),"SIM","")</f>
        <v/>
      </c>
      <c r="AG750" s="99">
        <f>IF(AND(ISNUMBER(SEARCH("Delivery",N750)),ISNUMBER(SEARCH("Santana",N750))),"SIM","")</f>
        <v/>
      </c>
      <c r="AH750" s="99">
        <f>IF(AND(ISNUMBER(SEARCH("Delivery",N750)),ISNUMBER(SEARCH("André",N750))),"SIM","")</f>
        <v/>
      </c>
      <c r="AI750" s="99">
        <f>IF(ISNUMBER(SEARCH("Interlagos",N750)),"SIM","")</f>
        <v/>
      </c>
      <c r="AJ750" s="99">
        <f>IF(ISNUMBER(SEARCH("Quiosque",N750)),"SIM","")</f>
        <v/>
      </c>
      <c r="AK750" s="101" t="n"/>
    </row>
    <row r="751">
      <c r="A751" s="88" t="inlineStr">
        <is>
          <t>Protheus</t>
        </is>
      </c>
      <c r="B751" s="89" t="inlineStr">
        <is>
          <t>001769</t>
        </is>
      </c>
      <c r="C751" s="90">
        <f>IF(B751="—","—",IFERROR(VLOOKUP(B751,_Protheus_Cadastro!$A:$B,2,FALSE),"—"))</f>
        <v/>
      </c>
      <c r="D751" s="91">
        <f>IF(B751="—",IFERROR(INDEX(_ZIG_Cadastro!$D:$D,MATCH(H751,_ZIG_Cadastro!$A:$A,0)),"Produto"),IFERROR(VLOOKUP(B751,_Protheus_Cadastro!$A:$C,3,FALSE),"—"))</f>
        <v/>
      </c>
      <c r="E751" s="91">
        <f>IF(B751="—","—",IFERROR(VLOOKUP(B751,_Protheus_Cadastro!$A:$D,4,FALSE),"—"))</f>
        <v/>
      </c>
      <c r="F751" s="91">
        <f>IF(ISERROR(VLOOKUP(B751,'Estrutura Protheus'!A:A,1,FALSE)),"Não","Sim")</f>
        <v/>
      </c>
      <c r="G751" s="92">
        <f>IFERROR(INDEX(_Protheus_Cadastro!$H:$H,MATCH(B751,_Protheus_Cadastro!$A:$A,0)),"—")</f>
        <v/>
      </c>
      <c r="H751" s="210">
        <f>IFERROR(INDEX(_ZIG_Precos!$D:$D,MATCH(I751,_ZIG_Precos!$F:$F,0)),"—")</f>
        <v/>
      </c>
      <c r="I751" s="95">
        <f>IFERROR(VLOOKUP(B751,_Protheus_Cadastro!$A:$I,9,FALSE),"—")</f>
        <v/>
      </c>
      <c r="J751" s="93">
        <f>IFERROR(INDEX(_ZIG_Cadastro!$B:$B,MATCH(I751,_ZIG_Cadastro!$A:$A,0)),IFERROR(INDEX(_Entradas_ZIG!$B:$B,MATCH(I751,_Entradas_ZIG!$C:$C,0)),"—"))</f>
        <v/>
      </c>
      <c r="K751" s="93">
        <f>IFERROR(INDEX(_ZIG_Cadastro!$C:$C,MATCH(I751,_ZIG_Cadastro!$A:$A,0)),IFERROR(INDEX(_Entradas_ZIG!$D:$D,MATCH(I751,_Entradas_ZIG!$C:$C,0)),"—"))</f>
        <v/>
      </c>
      <c r="L751" s="92">
        <f>IF(I751="","Sem SKU ZIG",IF(I751="—","Sem SKU ZIG",IF(NOT(ISERROR(MATCH(I751,_ZIG_Cadastro!$A:$A,0))),IF(EXACT(UPPER(TRIM(C751)),UPPER(TRIM(INDEX(_ZIG_Cadastro!$B:$B,MATCH(I751,_ZIG_Cadastro!$A:$A,0))))),"OK","Atencao - Nome diverge"),IF(NOT(ISERROR(MATCH(I751,_Entradas_ZIG!$C:$C,0))),"OK","Erro - SKU nao encontrado"))))</f>
        <v/>
      </c>
      <c r="M751" s="92">
        <f>IFERROR(INDEX(_ZIG_Cadastro!$G:$G,MATCH(I751,_ZIG_Cadastro!$A:$A,0)),IF(NOT(ISERROR(MATCH(I751,_Entradas_ZIG!$C:$C,0))),"Ativo","—"))</f>
        <v/>
      </c>
      <c r="N751" s="94">
        <f>IFERROR(INDEX(_ZIG_Cadastro!$E:$E,MATCH(I751,_ZIG_Cadastro!$A:$A,0)),IFERROR(INDEX(_Entradas_ZIG!$F:$F,MATCH(I751,_Entradas_ZIG!$C:$C,0)),"—"))</f>
        <v/>
      </c>
      <c r="O751" s="92">
        <f>IF(AND(ISNUMBER(SEARCH("Espeto",N751)),ISNUMBER(SEARCH("Carin",N751))),"SIM","")</f>
        <v/>
      </c>
      <c r="P751" s="92">
        <f>IF(AND(ISNUMBER(SEARCH("Espeto",N751)),ISNUMBER(SEARCH("Lapa",N751))),"SIM","")</f>
        <v/>
      </c>
      <c r="Q751" s="92">
        <f>IF(AND(ISNUMBER(SEARCH("Espeto",N751)),ISNUMBER(SEARCH("Tatuapé",N751))),"SIM","")</f>
        <v/>
      </c>
      <c r="R751" s="92">
        <f>IF(AND(ISNUMBER(SEARCH("Espeto",N751)),ISNUMBER(SEARCH("Pavão",N751))),"SIM","")</f>
        <v/>
      </c>
      <c r="S751" s="92">
        <f>IF(AND(ISNUMBER(SEARCH("Espeto",N751)),ISNUMBER(SEARCH("Chac",N751))),"SIM","")</f>
        <v/>
      </c>
      <c r="T751" s="92">
        <f>IF(AND(ISNUMBER(SEARCH("Espeto",N751)),ISNUMBER(SEARCH("Madalena",N751))),"SIM","")</f>
        <v/>
      </c>
      <c r="U751" s="92">
        <f>IF(AND(ISNUMBER(SEARCH("Espeto",N751)),ISNUMBER(SEARCH("Mariana",N751))),"SIM","")</f>
        <v/>
      </c>
      <c r="V751" s="92">
        <f>IF(AND(ISNUMBER(SEARCH("Espeto",N751)),ISNUMBER(SEARCH("Perdizes",N751))),"SIM","")</f>
        <v/>
      </c>
      <c r="W751" s="92">
        <f>IF(AND(ISNUMBER(SEARCH("Espeto",N751)),ISNUMBER(SEARCH("Santana",N751))),"SIM","")</f>
        <v/>
      </c>
      <c r="X751" s="92">
        <f>IF(AND(ISNUMBER(SEARCH("Espeto",N751)),ISNUMBER(SEARCH("André",N751))),"SIM","")</f>
        <v/>
      </c>
      <c r="Y751" s="92">
        <f>IF(AND(ISNUMBER(SEARCH("Delivery",N751)),ISNUMBER(SEARCH("Carin",N751))),"SIM","")</f>
        <v/>
      </c>
      <c r="Z751" s="92">
        <f>IF(AND(ISNUMBER(SEARCH("Delivery",N751)),ISNUMBER(SEARCH("Lapa",N751))),"SIM","")</f>
        <v/>
      </c>
      <c r="AA751" s="92">
        <f>IF(AND(ISNUMBER(SEARCH("Delivery",N751)),ISNUMBER(SEARCH("Tatuapé",N751))),"SIM","")</f>
        <v/>
      </c>
      <c r="AB751" s="92">
        <f>IF(AND(ISNUMBER(SEARCH("Delivery",N751)),ISNUMBER(SEARCH("Pavão",N751))),"SIM","")</f>
        <v/>
      </c>
      <c r="AC751" s="92">
        <f>IF(AND(ISNUMBER(SEARCH("Delivery",N751)),ISNUMBER(SEARCH("Chac",N751))),"SIM","")</f>
        <v/>
      </c>
      <c r="AD751" s="92">
        <f>IF(AND(ISNUMBER(SEARCH("Delivery",N751)),ISNUMBER(SEARCH("Madalena",N751))),"SIM","")</f>
        <v/>
      </c>
      <c r="AE751" s="99">
        <f>IF(AND(ISNUMBER(SEARCH("Delivery",N751)),ISNUMBER(SEARCH("Mariana",N751))),"SIM","")</f>
        <v/>
      </c>
      <c r="AF751" s="99">
        <f>IF(AND(ISNUMBER(SEARCH("Delivery",N751)),ISNUMBER(SEARCH("Perdizes",N751))),"SIM","")</f>
        <v/>
      </c>
      <c r="AG751" s="99">
        <f>IF(AND(ISNUMBER(SEARCH("Delivery",N751)),ISNUMBER(SEARCH("Santana",N751))),"SIM","")</f>
        <v/>
      </c>
      <c r="AH751" s="99">
        <f>IF(AND(ISNUMBER(SEARCH("Delivery",N751)),ISNUMBER(SEARCH("André",N751))),"SIM","")</f>
        <v/>
      </c>
      <c r="AI751" s="99">
        <f>IF(ISNUMBER(SEARCH("Interlagos",N751)),"SIM","")</f>
        <v/>
      </c>
      <c r="AJ751" s="99">
        <f>IF(ISNUMBER(SEARCH("Quiosque",N751)),"SIM","")</f>
        <v/>
      </c>
      <c r="AK751" s="101" t="n"/>
    </row>
    <row r="752">
      <c r="A752" s="88" t="inlineStr">
        <is>
          <t>Protheus</t>
        </is>
      </c>
      <c r="B752" s="89" t="inlineStr">
        <is>
          <t>001787</t>
        </is>
      </c>
      <c r="C752" s="90">
        <f>IF(B752="—","—",IFERROR(VLOOKUP(B752,_Protheus_Cadastro!$A:$B,2,FALSE),"—"))</f>
        <v/>
      </c>
      <c r="D752" s="91">
        <f>IF(B752="—",IFERROR(INDEX(_ZIG_Cadastro!$D:$D,MATCH(H752,_ZIG_Cadastro!$A:$A,0)),"Produto"),IFERROR(VLOOKUP(B752,_Protheus_Cadastro!$A:$C,3,FALSE),"—"))</f>
        <v/>
      </c>
      <c r="E752" s="91">
        <f>IF(B752="—","—",IFERROR(VLOOKUP(B752,_Protheus_Cadastro!$A:$D,4,FALSE),"—"))</f>
        <v/>
      </c>
      <c r="F752" s="91">
        <f>IF(ISERROR(VLOOKUP(B752,'Estrutura Protheus'!A:A,1,FALSE)),"Não","Sim")</f>
        <v/>
      </c>
      <c r="G752" s="92">
        <f>IFERROR(INDEX(_Protheus_Cadastro!$H:$H,MATCH(B752,_Protheus_Cadastro!$A:$A,0)),"—")</f>
        <v/>
      </c>
      <c r="H752" s="210">
        <f>IFERROR(INDEX(_ZIG_Precos!$D:$D,MATCH(I752,_ZIG_Precos!$F:$F,0)),"—")</f>
        <v/>
      </c>
      <c r="I752" s="95">
        <f>IFERROR(VLOOKUP(B752,_Protheus_Cadastro!$A:$I,9,FALSE),"—")</f>
        <v/>
      </c>
      <c r="J752" s="93">
        <f>IFERROR(INDEX(_ZIG_Cadastro!$B:$B,MATCH(I752,_ZIG_Cadastro!$A:$A,0)),IFERROR(INDEX(_Entradas_ZIG!$B:$B,MATCH(I752,_Entradas_ZIG!$C:$C,0)),"—"))</f>
        <v/>
      </c>
      <c r="K752" s="93">
        <f>IFERROR(INDEX(_ZIG_Cadastro!$C:$C,MATCH(I752,_ZIG_Cadastro!$A:$A,0)),IFERROR(INDEX(_Entradas_ZIG!$D:$D,MATCH(I752,_Entradas_ZIG!$C:$C,0)),"—"))</f>
        <v/>
      </c>
      <c r="L752" s="92">
        <f>IF(I752="","Sem SKU ZIG",IF(I752="—","Sem SKU ZIG",IF(NOT(ISERROR(MATCH(I752,_ZIG_Cadastro!$A:$A,0))),IF(EXACT(UPPER(TRIM(C752)),UPPER(TRIM(INDEX(_ZIG_Cadastro!$B:$B,MATCH(I752,_ZIG_Cadastro!$A:$A,0))))),"OK","Atencao - Nome diverge"),IF(NOT(ISERROR(MATCH(I752,_Entradas_ZIG!$C:$C,0))),"OK","Erro - SKU nao encontrado"))))</f>
        <v/>
      </c>
      <c r="M752" s="92">
        <f>IFERROR(INDEX(_ZIG_Cadastro!$G:$G,MATCH(I752,_ZIG_Cadastro!$A:$A,0)),IF(NOT(ISERROR(MATCH(I752,_Entradas_ZIG!$C:$C,0))),"Ativo","—"))</f>
        <v/>
      </c>
      <c r="N752" s="94">
        <f>IFERROR(INDEX(_ZIG_Cadastro!$E:$E,MATCH(I752,_ZIG_Cadastro!$A:$A,0)),IFERROR(INDEX(_Entradas_ZIG!$F:$F,MATCH(I752,_Entradas_ZIG!$C:$C,0)),"—"))</f>
        <v/>
      </c>
      <c r="O752" s="92">
        <f>IF(AND(ISNUMBER(SEARCH("Espeto",N752)),ISNUMBER(SEARCH("Carin",N752))),"SIM","")</f>
        <v/>
      </c>
      <c r="P752" s="92">
        <f>IF(AND(ISNUMBER(SEARCH("Espeto",N752)),ISNUMBER(SEARCH("Lapa",N752))),"SIM","")</f>
        <v/>
      </c>
      <c r="Q752" s="92">
        <f>IF(AND(ISNUMBER(SEARCH("Espeto",N752)),ISNUMBER(SEARCH("Tatuapé",N752))),"SIM","")</f>
        <v/>
      </c>
      <c r="R752" s="92">
        <f>IF(AND(ISNUMBER(SEARCH("Espeto",N752)),ISNUMBER(SEARCH("Pavão",N752))),"SIM","")</f>
        <v/>
      </c>
      <c r="S752" s="92">
        <f>IF(AND(ISNUMBER(SEARCH("Espeto",N752)),ISNUMBER(SEARCH("Chac",N752))),"SIM","")</f>
        <v/>
      </c>
      <c r="T752" s="92">
        <f>IF(AND(ISNUMBER(SEARCH("Espeto",N752)),ISNUMBER(SEARCH("Madalena",N752))),"SIM","")</f>
        <v/>
      </c>
      <c r="U752" s="92">
        <f>IF(AND(ISNUMBER(SEARCH("Espeto",N752)),ISNUMBER(SEARCH("Mariana",N752))),"SIM","")</f>
        <v/>
      </c>
      <c r="V752" s="92">
        <f>IF(AND(ISNUMBER(SEARCH("Espeto",N752)),ISNUMBER(SEARCH("Perdizes",N752))),"SIM","")</f>
        <v/>
      </c>
      <c r="W752" s="92">
        <f>IF(AND(ISNUMBER(SEARCH("Espeto",N752)),ISNUMBER(SEARCH("Santana",N752))),"SIM","")</f>
        <v/>
      </c>
      <c r="X752" s="92">
        <f>IF(AND(ISNUMBER(SEARCH("Espeto",N752)),ISNUMBER(SEARCH("André",N752))),"SIM","")</f>
        <v/>
      </c>
      <c r="Y752" s="92">
        <f>IF(AND(ISNUMBER(SEARCH("Delivery",N752)),ISNUMBER(SEARCH("Carin",N752))),"SIM","")</f>
        <v/>
      </c>
      <c r="Z752" s="92">
        <f>IF(AND(ISNUMBER(SEARCH("Delivery",N752)),ISNUMBER(SEARCH("Lapa",N752))),"SIM","")</f>
        <v/>
      </c>
      <c r="AA752" s="92">
        <f>IF(AND(ISNUMBER(SEARCH("Delivery",N752)),ISNUMBER(SEARCH("Tatuapé",N752))),"SIM","")</f>
        <v/>
      </c>
      <c r="AB752" s="92">
        <f>IF(AND(ISNUMBER(SEARCH("Delivery",N752)),ISNUMBER(SEARCH("Pavão",N752))),"SIM","")</f>
        <v/>
      </c>
      <c r="AC752" s="92">
        <f>IF(AND(ISNUMBER(SEARCH("Delivery",N752)),ISNUMBER(SEARCH("Chac",N752))),"SIM","")</f>
        <v/>
      </c>
      <c r="AD752" s="92">
        <f>IF(AND(ISNUMBER(SEARCH("Delivery",N752)),ISNUMBER(SEARCH("Madalena",N752))),"SIM","")</f>
        <v/>
      </c>
      <c r="AE752" s="99">
        <f>IF(AND(ISNUMBER(SEARCH("Delivery",N752)),ISNUMBER(SEARCH("Mariana",N752))),"SIM","")</f>
        <v/>
      </c>
      <c r="AF752" s="99">
        <f>IF(AND(ISNUMBER(SEARCH("Delivery",N752)),ISNUMBER(SEARCH("Perdizes",N752))),"SIM","")</f>
        <v/>
      </c>
      <c r="AG752" s="99">
        <f>IF(AND(ISNUMBER(SEARCH("Delivery",N752)),ISNUMBER(SEARCH("Santana",N752))),"SIM","")</f>
        <v/>
      </c>
      <c r="AH752" s="99">
        <f>IF(AND(ISNUMBER(SEARCH("Delivery",N752)),ISNUMBER(SEARCH("André",N752))),"SIM","")</f>
        <v/>
      </c>
      <c r="AI752" s="99">
        <f>IF(ISNUMBER(SEARCH("Interlagos",N752)),"SIM","")</f>
        <v/>
      </c>
      <c r="AJ752" s="99">
        <f>IF(ISNUMBER(SEARCH("Quiosque",N752)),"SIM","")</f>
        <v/>
      </c>
      <c r="AK752" s="101" t="n"/>
    </row>
    <row r="753">
      <c r="A753" s="88" t="inlineStr">
        <is>
          <t>Protheus</t>
        </is>
      </c>
      <c r="B753" s="89" t="inlineStr">
        <is>
          <t>001788</t>
        </is>
      </c>
      <c r="C753" s="90">
        <f>IF(B753="—","—",IFERROR(VLOOKUP(B753,_Protheus_Cadastro!$A:$B,2,FALSE),"—"))</f>
        <v/>
      </c>
      <c r="D753" s="91">
        <f>IF(B753="—",IFERROR(INDEX(_ZIG_Cadastro!$D:$D,MATCH(H753,_ZIG_Cadastro!$A:$A,0)),"Produto"),IFERROR(VLOOKUP(B753,_Protheus_Cadastro!$A:$C,3,FALSE),"—"))</f>
        <v/>
      </c>
      <c r="E753" s="91">
        <f>IF(B753="—","—",IFERROR(VLOOKUP(B753,_Protheus_Cadastro!$A:$D,4,FALSE),"—"))</f>
        <v/>
      </c>
      <c r="F753" s="91">
        <f>IF(ISERROR(VLOOKUP(B753,'Estrutura Protheus'!A:A,1,FALSE)),"Não","Sim")</f>
        <v/>
      </c>
      <c r="G753" s="92">
        <f>IFERROR(INDEX(_Protheus_Cadastro!$H:$H,MATCH(B753,_Protheus_Cadastro!$A:$A,0)),"—")</f>
        <v/>
      </c>
      <c r="H753" s="210">
        <f>IFERROR(INDEX(_ZIG_Precos!$D:$D,MATCH(I753,_ZIG_Precos!$F:$F,0)),"—")</f>
        <v/>
      </c>
      <c r="I753" s="95">
        <f>IFERROR(VLOOKUP(B753,_Protheus_Cadastro!$A:$I,9,FALSE),"—")</f>
        <v/>
      </c>
      <c r="J753" s="93">
        <f>IFERROR(INDEX(_ZIG_Cadastro!$B:$B,MATCH(I753,_ZIG_Cadastro!$A:$A,0)),IFERROR(INDEX(_Entradas_ZIG!$B:$B,MATCH(I753,_Entradas_ZIG!$C:$C,0)),"—"))</f>
        <v/>
      </c>
      <c r="K753" s="93">
        <f>IFERROR(INDEX(_ZIG_Cadastro!$C:$C,MATCH(I753,_ZIG_Cadastro!$A:$A,0)),IFERROR(INDEX(_Entradas_ZIG!$D:$D,MATCH(I753,_Entradas_ZIG!$C:$C,0)),"—"))</f>
        <v/>
      </c>
      <c r="L753" s="92">
        <f>IF(I753="","Sem SKU ZIG",IF(I753="—","Sem SKU ZIG",IF(NOT(ISERROR(MATCH(I753,_ZIG_Cadastro!$A:$A,0))),IF(EXACT(UPPER(TRIM(C753)),UPPER(TRIM(INDEX(_ZIG_Cadastro!$B:$B,MATCH(I753,_ZIG_Cadastro!$A:$A,0))))),"OK","Atencao - Nome diverge"),IF(NOT(ISERROR(MATCH(I753,_Entradas_ZIG!$C:$C,0))),"OK","Erro - SKU nao encontrado"))))</f>
        <v/>
      </c>
      <c r="M753" s="92">
        <f>IFERROR(INDEX(_ZIG_Cadastro!$G:$G,MATCH(I753,_ZIG_Cadastro!$A:$A,0)),IF(NOT(ISERROR(MATCH(I753,_Entradas_ZIG!$C:$C,0))),"Ativo","—"))</f>
        <v/>
      </c>
      <c r="N753" s="94">
        <f>IFERROR(INDEX(_ZIG_Cadastro!$E:$E,MATCH(I753,_ZIG_Cadastro!$A:$A,0)),IFERROR(INDEX(_Entradas_ZIG!$F:$F,MATCH(I753,_Entradas_ZIG!$C:$C,0)),"—"))</f>
        <v/>
      </c>
      <c r="O753" s="92">
        <f>IF(AND(ISNUMBER(SEARCH("Espeto",N753)),ISNUMBER(SEARCH("Carin",N753))),"SIM","")</f>
        <v/>
      </c>
      <c r="P753" s="92">
        <f>IF(AND(ISNUMBER(SEARCH("Espeto",N753)),ISNUMBER(SEARCH("Lapa",N753))),"SIM","")</f>
        <v/>
      </c>
      <c r="Q753" s="92">
        <f>IF(AND(ISNUMBER(SEARCH("Espeto",N753)),ISNUMBER(SEARCH("Tatuapé",N753))),"SIM","")</f>
        <v/>
      </c>
      <c r="R753" s="92">
        <f>IF(AND(ISNUMBER(SEARCH("Espeto",N753)),ISNUMBER(SEARCH("Pavão",N753))),"SIM","")</f>
        <v/>
      </c>
      <c r="S753" s="92">
        <f>IF(AND(ISNUMBER(SEARCH("Espeto",N753)),ISNUMBER(SEARCH("Chac",N753))),"SIM","")</f>
        <v/>
      </c>
      <c r="T753" s="92">
        <f>IF(AND(ISNUMBER(SEARCH("Espeto",N753)),ISNUMBER(SEARCH("Madalena",N753))),"SIM","")</f>
        <v/>
      </c>
      <c r="U753" s="92">
        <f>IF(AND(ISNUMBER(SEARCH("Espeto",N753)),ISNUMBER(SEARCH("Mariana",N753))),"SIM","")</f>
        <v/>
      </c>
      <c r="V753" s="92">
        <f>IF(AND(ISNUMBER(SEARCH("Espeto",N753)),ISNUMBER(SEARCH("Perdizes",N753))),"SIM","")</f>
        <v/>
      </c>
      <c r="W753" s="92">
        <f>IF(AND(ISNUMBER(SEARCH("Espeto",N753)),ISNUMBER(SEARCH("Santana",N753))),"SIM","")</f>
        <v/>
      </c>
      <c r="X753" s="92">
        <f>IF(AND(ISNUMBER(SEARCH("Espeto",N753)),ISNUMBER(SEARCH("André",N753))),"SIM","")</f>
        <v/>
      </c>
      <c r="Y753" s="92">
        <f>IF(AND(ISNUMBER(SEARCH("Delivery",N753)),ISNUMBER(SEARCH("Carin",N753))),"SIM","")</f>
        <v/>
      </c>
      <c r="Z753" s="92">
        <f>IF(AND(ISNUMBER(SEARCH("Delivery",N753)),ISNUMBER(SEARCH("Lapa",N753))),"SIM","")</f>
        <v/>
      </c>
      <c r="AA753" s="92">
        <f>IF(AND(ISNUMBER(SEARCH("Delivery",N753)),ISNUMBER(SEARCH("Tatuapé",N753))),"SIM","")</f>
        <v/>
      </c>
      <c r="AB753" s="92">
        <f>IF(AND(ISNUMBER(SEARCH("Delivery",N753)),ISNUMBER(SEARCH("Pavão",N753))),"SIM","")</f>
        <v/>
      </c>
      <c r="AC753" s="92">
        <f>IF(AND(ISNUMBER(SEARCH("Delivery",N753)),ISNUMBER(SEARCH("Chac",N753))),"SIM","")</f>
        <v/>
      </c>
      <c r="AD753" s="92">
        <f>IF(AND(ISNUMBER(SEARCH("Delivery",N753)),ISNUMBER(SEARCH("Madalena",N753))),"SIM","")</f>
        <v/>
      </c>
      <c r="AE753" s="99">
        <f>IF(AND(ISNUMBER(SEARCH("Delivery",N753)),ISNUMBER(SEARCH("Mariana",N753))),"SIM","")</f>
        <v/>
      </c>
      <c r="AF753" s="99">
        <f>IF(AND(ISNUMBER(SEARCH("Delivery",N753)),ISNUMBER(SEARCH("Perdizes",N753))),"SIM","")</f>
        <v/>
      </c>
      <c r="AG753" s="99">
        <f>IF(AND(ISNUMBER(SEARCH("Delivery",N753)),ISNUMBER(SEARCH("Santana",N753))),"SIM","")</f>
        <v/>
      </c>
      <c r="AH753" s="99">
        <f>IF(AND(ISNUMBER(SEARCH("Delivery",N753)),ISNUMBER(SEARCH("André",N753))),"SIM","")</f>
        <v/>
      </c>
      <c r="AI753" s="99">
        <f>IF(ISNUMBER(SEARCH("Interlagos",N753)),"SIM","")</f>
        <v/>
      </c>
      <c r="AJ753" s="99">
        <f>IF(ISNUMBER(SEARCH("Quiosque",N753)),"SIM","")</f>
        <v/>
      </c>
      <c r="AK753" s="101" t="n"/>
    </row>
    <row r="754">
      <c r="A754" s="88" t="inlineStr">
        <is>
          <t>Protheus</t>
        </is>
      </c>
      <c r="B754" s="89" t="inlineStr">
        <is>
          <t>001789</t>
        </is>
      </c>
      <c r="C754" s="90">
        <f>IF(B754="—","—",IFERROR(VLOOKUP(B754,_Protheus_Cadastro!$A:$B,2,FALSE),"—"))</f>
        <v/>
      </c>
      <c r="D754" s="91">
        <f>IF(B754="—",IFERROR(INDEX(_ZIG_Cadastro!$D:$D,MATCH(H754,_ZIG_Cadastro!$A:$A,0)),"Produto"),IFERROR(VLOOKUP(B754,_Protheus_Cadastro!$A:$C,3,FALSE),"—"))</f>
        <v/>
      </c>
      <c r="E754" s="91">
        <f>IF(B754="—","—",IFERROR(VLOOKUP(B754,_Protheus_Cadastro!$A:$D,4,FALSE),"—"))</f>
        <v/>
      </c>
      <c r="F754" s="91">
        <f>IF(ISERROR(VLOOKUP(B754,'Estrutura Protheus'!A:A,1,FALSE)),"Não","Sim")</f>
        <v/>
      </c>
      <c r="G754" s="92">
        <f>IFERROR(INDEX(_Protheus_Cadastro!$H:$H,MATCH(B754,_Protheus_Cadastro!$A:$A,0)),"—")</f>
        <v/>
      </c>
      <c r="H754" s="210">
        <f>IFERROR(INDEX(_ZIG_Precos!$D:$D,MATCH(I754,_ZIG_Precos!$F:$F,0)),"—")</f>
        <v/>
      </c>
      <c r="I754" s="95">
        <f>IFERROR(VLOOKUP(B754,_Protheus_Cadastro!$A:$I,9,FALSE),"—")</f>
        <v/>
      </c>
      <c r="J754" s="93">
        <f>IFERROR(INDEX(_ZIG_Cadastro!$B:$B,MATCH(I754,_ZIG_Cadastro!$A:$A,0)),IFERROR(INDEX(_Entradas_ZIG!$B:$B,MATCH(I754,_Entradas_ZIG!$C:$C,0)),"—"))</f>
        <v/>
      </c>
      <c r="K754" s="93">
        <f>IFERROR(INDEX(_ZIG_Cadastro!$C:$C,MATCH(I754,_ZIG_Cadastro!$A:$A,0)),IFERROR(INDEX(_Entradas_ZIG!$D:$D,MATCH(I754,_Entradas_ZIG!$C:$C,0)),"—"))</f>
        <v/>
      </c>
      <c r="L754" s="92">
        <f>IF(I754="","Sem SKU ZIG",IF(I754="—","Sem SKU ZIG",IF(NOT(ISERROR(MATCH(I754,_ZIG_Cadastro!$A:$A,0))),IF(EXACT(UPPER(TRIM(C754)),UPPER(TRIM(INDEX(_ZIG_Cadastro!$B:$B,MATCH(I754,_ZIG_Cadastro!$A:$A,0))))),"OK","Atencao - Nome diverge"),IF(NOT(ISERROR(MATCH(I754,_Entradas_ZIG!$C:$C,0))),"OK","Erro - SKU nao encontrado"))))</f>
        <v/>
      </c>
      <c r="M754" s="92">
        <f>IFERROR(INDEX(_ZIG_Cadastro!$G:$G,MATCH(I754,_ZIG_Cadastro!$A:$A,0)),IF(NOT(ISERROR(MATCH(I754,_Entradas_ZIG!$C:$C,0))),"Ativo","—"))</f>
        <v/>
      </c>
      <c r="N754" s="94">
        <f>IFERROR(INDEX(_ZIG_Cadastro!$E:$E,MATCH(I754,_ZIG_Cadastro!$A:$A,0)),IFERROR(INDEX(_Entradas_ZIG!$F:$F,MATCH(I754,_Entradas_ZIG!$C:$C,0)),"—"))</f>
        <v/>
      </c>
      <c r="O754" s="92">
        <f>IF(AND(ISNUMBER(SEARCH("Espeto",N754)),ISNUMBER(SEARCH("Carin",N754))),"SIM","")</f>
        <v/>
      </c>
      <c r="P754" s="92">
        <f>IF(AND(ISNUMBER(SEARCH("Espeto",N754)),ISNUMBER(SEARCH("Lapa",N754))),"SIM","")</f>
        <v/>
      </c>
      <c r="Q754" s="92">
        <f>IF(AND(ISNUMBER(SEARCH("Espeto",N754)),ISNUMBER(SEARCH("Tatuapé",N754))),"SIM","")</f>
        <v/>
      </c>
      <c r="R754" s="92">
        <f>IF(AND(ISNUMBER(SEARCH("Espeto",N754)),ISNUMBER(SEARCH("Pavão",N754))),"SIM","")</f>
        <v/>
      </c>
      <c r="S754" s="92">
        <f>IF(AND(ISNUMBER(SEARCH("Espeto",N754)),ISNUMBER(SEARCH("Chac",N754))),"SIM","")</f>
        <v/>
      </c>
      <c r="T754" s="92">
        <f>IF(AND(ISNUMBER(SEARCH("Espeto",N754)),ISNUMBER(SEARCH("Madalena",N754))),"SIM","")</f>
        <v/>
      </c>
      <c r="U754" s="92">
        <f>IF(AND(ISNUMBER(SEARCH("Espeto",N754)),ISNUMBER(SEARCH("Mariana",N754))),"SIM","")</f>
        <v/>
      </c>
      <c r="V754" s="92">
        <f>IF(AND(ISNUMBER(SEARCH("Espeto",N754)),ISNUMBER(SEARCH("Perdizes",N754))),"SIM","")</f>
        <v/>
      </c>
      <c r="W754" s="92">
        <f>IF(AND(ISNUMBER(SEARCH("Espeto",N754)),ISNUMBER(SEARCH("Santana",N754))),"SIM","")</f>
        <v/>
      </c>
      <c r="X754" s="92">
        <f>IF(AND(ISNUMBER(SEARCH("Espeto",N754)),ISNUMBER(SEARCH("André",N754))),"SIM","")</f>
        <v/>
      </c>
      <c r="Y754" s="92">
        <f>IF(AND(ISNUMBER(SEARCH("Delivery",N754)),ISNUMBER(SEARCH("Carin",N754))),"SIM","")</f>
        <v/>
      </c>
      <c r="Z754" s="92">
        <f>IF(AND(ISNUMBER(SEARCH("Delivery",N754)),ISNUMBER(SEARCH("Lapa",N754))),"SIM","")</f>
        <v/>
      </c>
      <c r="AA754" s="92">
        <f>IF(AND(ISNUMBER(SEARCH("Delivery",N754)),ISNUMBER(SEARCH("Tatuapé",N754))),"SIM","")</f>
        <v/>
      </c>
      <c r="AB754" s="92">
        <f>IF(AND(ISNUMBER(SEARCH("Delivery",N754)),ISNUMBER(SEARCH("Pavão",N754))),"SIM","")</f>
        <v/>
      </c>
      <c r="AC754" s="92">
        <f>IF(AND(ISNUMBER(SEARCH("Delivery",N754)),ISNUMBER(SEARCH("Chac",N754))),"SIM","")</f>
        <v/>
      </c>
      <c r="AD754" s="92">
        <f>IF(AND(ISNUMBER(SEARCH("Delivery",N754)),ISNUMBER(SEARCH("Madalena",N754))),"SIM","")</f>
        <v/>
      </c>
      <c r="AE754" s="99">
        <f>IF(AND(ISNUMBER(SEARCH("Delivery",N754)),ISNUMBER(SEARCH("Mariana",N754))),"SIM","")</f>
        <v/>
      </c>
      <c r="AF754" s="99">
        <f>IF(AND(ISNUMBER(SEARCH("Delivery",N754)),ISNUMBER(SEARCH("Perdizes",N754))),"SIM","")</f>
        <v/>
      </c>
      <c r="AG754" s="99">
        <f>IF(AND(ISNUMBER(SEARCH("Delivery",N754)),ISNUMBER(SEARCH("Santana",N754))),"SIM","")</f>
        <v/>
      </c>
      <c r="AH754" s="99">
        <f>IF(AND(ISNUMBER(SEARCH("Delivery",N754)),ISNUMBER(SEARCH("André",N754))),"SIM","")</f>
        <v/>
      </c>
      <c r="AI754" s="99">
        <f>IF(ISNUMBER(SEARCH("Interlagos",N754)),"SIM","")</f>
        <v/>
      </c>
      <c r="AJ754" s="99">
        <f>IF(ISNUMBER(SEARCH("Quiosque",N754)),"SIM","")</f>
        <v/>
      </c>
      <c r="AK754" s="101" t="n"/>
    </row>
    <row r="755">
      <c r="A755" s="88" t="inlineStr">
        <is>
          <t>Protheus</t>
        </is>
      </c>
      <c r="B755" s="89" t="inlineStr">
        <is>
          <t>001792</t>
        </is>
      </c>
      <c r="C755" s="90">
        <f>IF(B755="—","—",IFERROR(VLOOKUP(B755,_Protheus_Cadastro!$A:$B,2,FALSE),"—"))</f>
        <v/>
      </c>
      <c r="D755" s="91">
        <f>IF(B755="—",IFERROR(INDEX(_ZIG_Cadastro!$D:$D,MATCH(H755,_ZIG_Cadastro!$A:$A,0)),"Produto"),IFERROR(VLOOKUP(B755,_Protheus_Cadastro!$A:$C,3,FALSE),"—"))</f>
        <v/>
      </c>
      <c r="E755" s="91">
        <f>IF(B755="—","—",IFERROR(VLOOKUP(B755,_Protheus_Cadastro!$A:$D,4,FALSE),"—"))</f>
        <v/>
      </c>
      <c r="F755" s="91">
        <f>IF(ISERROR(VLOOKUP(B755,'Estrutura Protheus'!A:A,1,FALSE)),"Não","Sim")</f>
        <v/>
      </c>
      <c r="G755" s="92">
        <f>IFERROR(INDEX(_Protheus_Cadastro!$H:$H,MATCH(B755,_Protheus_Cadastro!$A:$A,0)),"—")</f>
        <v/>
      </c>
      <c r="H755" s="210">
        <f>IFERROR(INDEX(_ZIG_Precos!$D:$D,MATCH(I755,_ZIG_Precos!$F:$F,0)),"—")</f>
        <v/>
      </c>
      <c r="I755" s="95">
        <f>IFERROR(VLOOKUP(B755,_Protheus_Cadastro!$A:$I,9,FALSE),"—")</f>
        <v/>
      </c>
      <c r="J755" s="93">
        <f>IFERROR(INDEX(_ZIG_Cadastro!$B:$B,MATCH(I755,_ZIG_Cadastro!$A:$A,0)),IFERROR(INDEX(_Entradas_ZIG!$B:$B,MATCH(I755,_Entradas_ZIG!$C:$C,0)),"—"))</f>
        <v/>
      </c>
      <c r="K755" s="93">
        <f>IFERROR(INDEX(_ZIG_Cadastro!$C:$C,MATCH(I755,_ZIG_Cadastro!$A:$A,0)),IFERROR(INDEX(_Entradas_ZIG!$D:$D,MATCH(I755,_Entradas_ZIG!$C:$C,0)),"—"))</f>
        <v/>
      </c>
      <c r="L755" s="92">
        <f>IF(I755="","Sem SKU ZIG",IF(I755="—","Sem SKU ZIG",IF(NOT(ISERROR(MATCH(I755,_ZIG_Cadastro!$A:$A,0))),IF(EXACT(UPPER(TRIM(C755)),UPPER(TRIM(INDEX(_ZIG_Cadastro!$B:$B,MATCH(I755,_ZIG_Cadastro!$A:$A,0))))),"OK","Atencao - Nome diverge"),IF(NOT(ISERROR(MATCH(I755,_Entradas_ZIG!$C:$C,0))),"OK","Erro - SKU nao encontrado"))))</f>
        <v/>
      </c>
      <c r="M755" s="92">
        <f>IFERROR(INDEX(_ZIG_Cadastro!$G:$G,MATCH(I755,_ZIG_Cadastro!$A:$A,0)),IF(NOT(ISERROR(MATCH(I755,_Entradas_ZIG!$C:$C,0))),"Ativo","—"))</f>
        <v/>
      </c>
      <c r="N755" s="94">
        <f>IFERROR(INDEX(_ZIG_Cadastro!$E:$E,MATCH(I755,_ZIG_Cadastro!$A:$A,0)),IFERROR(INDEX(_Entradas_ZIG!$F:$F,MATCH(I755,_Entradas_ZIG!$C:$C,0)),"—"))</f>
        <v/>
      </c>
      <c r="O755" s="92">
        <f>IF(AND(ISNUMBER(SEARCH("Espeto",N755)),ISNUMBER(SEARCH("Carin",N755))),"SIM","")</f>
        <v/>
      </c>
      <c r="P755" s="92">
        <f>IF(AND(ISNUMBER(SEARCH("Espeto",N755)),ISNUMBER(SEARCH("Lapa",N755))),"SIM","")</f>
        <v/>
      </c>
      <c r="Q755" s="92">
        <f>IF(AND(ISNUMBER(SEARCH("Espeto",N755)),ISNUMBER(SEARCH("Tatuapé",N755))),"SIM","")</f>
        <v/>
      </c>
      <c r="R755" s="92">
        <f>IF(AND(ISNUMBER(SEARCH("Espeto",N755)),ISNUMBER(SEARCH("Pavão",N755))),"SIM","")</f>
        <v/>
      </c>
      <c r="S755" s="92">
        <f>IF(AND(ISNUMBER(SEARCH("Espeto",N755)),ISNUMBER(SEARCH("Chac",N755))),"SIM","")</f>
        <v/>
      </c>
      <c r="T755" s="92">
        <f>IF(AND(ISNUMBER(SEARCH("Espeto",N755)),ISNUMBER(SEARCH("Madalena",N755))),"SIM","")</f>
        <v/>
      </c>
      <c r="U755" s="92">
        <f>IF(AND(ISNUMBER(SEARCH("Espeto",N755)),ISNUMBER(SEARCH("Mariana",N755))),"SIM","")</f>
        <v/>
      </c>
      <c r="V755" s="92">
        <f>IF(AND(ISNUMBER(SEARCH("Espeto",N755)),ISNUMBER(SEARCH("Perdizes",N755))),"SIM","")</f>
        <v/>
      </c>
      <c r="W755" s="92">
        <f>IF(AND(ISNUMBER(SEARCH("Espeto",N755)),ISNUMBER(SEARCH("Santana",N755))),"SIM","")</f>
        <v/>
      </c>
      <c r="X755" s="92">
        <f>IF(AND(ISNUMBER(SEARCH("Espeto",N755)),ISNUMBER(SEARCH("André",N755))),"SIM","")</f>
        <v/>
      </c>
      <c r="Y755" s="92">
        <f>IF(AND(ISNUMBER(SEARCH("Delivery",N755)),ISNUMBER(SEARCH("Carin",N755))),"SIM","")</f>
        <v/>
      </c>
      <c r="Z755" s="92">
        <f>IF(AND(ISNUMBER(SEARCH("Delivery",N755)),ISNUMBER(SEARCH("Lapa",N755))),"SIM","")</f>
        <v/>
      </c>
      <c r="AA755" s="92">
        <f>IF(AND(ISNUMBER(SEARCH("Delivery",N755)),ISNUMBER(SEARCH("Tatuapé",N755))),"SIM","")</f>
        <v/>
      </c>
      <c r="AB755" s="92">
        <f>IF(AND(ISNUMBER(SEARCH("Delivery",N755)),ISNUMBER(SEARCH("Pavão",N755))),"SIM","")</f>
        <v/>
      </c>
      <c r="AC755" s="92">
        <f>IF(AND(ISNUMBER(SEARCH("Delivery",N755)),ISNUMBER(SEARCH("Chac",N755))),"SIM","")</f>
        <v/>
      </c>
      <c r="AD755" s="92">
        <f>IF(AND(ISNUMBER(SEARCH("Delivery",N755)),ISNUMBER(SEARCH("Madalena",N755))),"SIM","")</f>
        <v/>
      </c>
      <c r="AE755" s="99">
        <f>IF(AND(ISNUMBER(SEARCH("Delivery",N755)),ISNUMBER(SEARCH("Mariana",N755))),"SIM","")</f>
        <v/>
      </c>
      <c r="AF755" s="99">
        <f>IF(AND(ISNUMBER(SEARCH("Delivery",N755)),ISNUMBER(SEARCH("Perdizes",N755))),"SIM","")</f>
        <v/>
      </c>
      <c r="AG755" s="99">
        <f>IF(AND(ISNUMBER(SEARCH("Delivery",N755)),ISNUMBER(SEARCH("Santana",N755))),"SIM","")</f>
        <v/>
      </c>
      <c r="AH755" s="99">
        <f>IF(AND(ISNUMBER(SEARCH("Delivery",N755)),ISNUMBER(SEARCH("André",N755))),"SIM","")</f>
        <v/>
      </c>
      <c r="AI755" s="99">
        <f>IF(ISNUMBER(SEARCH("Interlagos",N755)),"SIM","")</f>
        <v/>
      </c>
      <c r="AJ755" s="99">
        <f>IF(ISNUMBER(SEARCH("Quiosque",N755)),"SIM","")</f>
        <v/>
      </c>
      <c r="AK755" s="101" t="n"/>
    </row>
    <row r="756">
      <c r="A756" s="88" t="inlineStr">
        <is>
          <t>Protheus</t>
        </is>
      </c>
      <c r="B756" s="89" t="inlineStr">
        <is>
          <t>001793</t>
        </is>
      </c>
      <c r="C756" s="90">
        <f>IF(B756="—","—",IFERROR(VLOOKUP(B756,_Protheus_Cadastro!$A:$B,2,FALSE),"—"))</f>
        <v/>
      </c>
      <c r="D756" s="91">
        <f>IF(B756="—",IFERROR(INDEX(_ZIG_Cadastro!$D:$D,MATCH(H756,_ZIG_Cadastro!$A:$A,0)),"Produto"),IFERROR(VLOOKUP(B756,_Protheus_Cadastro!$A:$C,3,FALSE),"—"))</f>
        <v/>
      </c>
      <c r="E756" s="91">
        <f>IF(B756="—","—",IFERROR(VLOOKUP(B756,_Protheus_Cadastro!$A:$D,4,FALSE),"—"))</f>
        <v/>
      </c>
      <c r="F756" s="91">
        <f>IF(ISERROR(VLOOKUP(B756,'Estrutura Protheus'!A:A,1,FALSE)),"Não","Sim")</f>
        <v/>
      </c>
      <c r="G756" s="92">
        <f>IFERROR(INDEX(_Protheus_Cadastro!$H:$H,MATCH(B756,_Protheus_Cadastro!$A:$A,0)),"—")</f>
        <v/>
      </c>
      <c r="H756" s="210">
        <f>IFERROR(INDEX(_ZIG_Precos!$D:$D,MATCH(I756,_ZIG_Precos!$F:$F,0)),"—")</f>
        <v/>
      </c>
      <c r="I756" s="95">
        <f>IFERROR(VLOOKUP(B756,_Protheus_Cadastro!$A:$I,9,FALSE),"—")</f>
        <v/>
      </c>
      <c r="J756" s="93">
        <f>IFERROR(INDEX(_ZIG_Cadastro!$B:$B,MATCH(I756,_ZIG_Cadastro!$A:$A,0)),IFERROR(INDEX(_Entradas_ZIG!$B:$B,MATCH(I756,_Entradas_ZIG!$C:$C,0)),"—"))</f>
        <v/>
      </c>
      <c r="K756" s="93">
        <f>IFERROR(INDEX(_ZIG_Cadastro!$C:$C,MATCH(I756,_ZIG_Cadastro!$A:$A,0)),IFERROR(INDEX(_Entradas_ZIG!$D:$D,MATCH(I756,_Entradas_ZIG!$C:$C,0)),"—"))</f>
        <v/>
      </c>
      <c r="L756" s="92">
        <f>IF(I756="","Sem SKU ZIG",IF(I756="—","Sem SKU ZIG",IF(NOT(ISERROR(MATCH(I756,_ZIG_Cadastro!$A:$A,0))),IF(EXACT(UPPER(TRIM(C756)),UPPER(TRIM(INDEX(_ZIG_Cadastro!$B:$B,MATCH(I756,_ZIG_Cadastro!$A:$A,0))))),"OK","Atencao - Nome diverge"),IF(NOT(ISERROR(MATCH(I756,_Entradas_ZIG!$C:$C,0))),"OK","Erro - SKU nao encontrado"))))</f>
        <v/>
      </c>
      <c r="M756" s="92">
        <f>IFERROR(INDEX(_ZIG_Cadastro!$G:$G,MATCH(I756,_ZIG_Cadastro!$A:$A,0)),IF(NOT(ISERROR(MATCH(I756,_Entradas_ZIG!$C:$C,0))),"Ativo","—"))</f>
        <v/>
      </c>
      <c r="N756" s="94">
        <f>IFERROR(INDEX(_ZIG_Cadastro!$E:$E,MATCH(I756,_ZIG_Cadastro!$A:$A,0)),IFERROR(INDEX(_Entradas_ZIG!$F:$F,MATCH(I756,_Entradas_ZIG!$C:$C,0)),"—"))</f>
        <v/>
      </c>
      <c r="O756" s="92">
        <f>IF(AND(ISNUMBER(SEARCH("Espeto",N756)),ISNUMBER(SEARCH("Carin",N756))),"SIM","")</f>
        <v/>
      </c>
      <c r="P756" s="92">
        <f>IF(AND(ISNUMBER(SEARCH("Espeto",N756)),ISNUMBER(SEARCH("Lapa",N756))),"SIM","")</f>
        <v/>
      </c>
      <c r="Q756" s="92">
        <f>IF(AND(ISNUMBER(SEARCH("Espeto",N756)),ISNUMBER(SEARCH("Tatuapé",N756))),"SIM","")</f>
        <v/>
      </c>
      <c r="R756" s="92">
        <f>IF(AND(ISNUMBER(SEARCH("Espeto",N756)),ISNUMBER(SEARCH("Pavão",N756))),"SIM","")</f>
        <v/>
      </c>
      <c r="S756" s="92">
        <f>IF(AND(ISNUMBER(SEARCH("Espeto",N756)),ISNUMBER(SEARCH("Chac",N756))),"SIM","")</f>
        <v/>
      </c>
      <c r="T756" s="92">
        <f>IF(AND(ISNUMBER(SEARCH("Espeto",N756)),ISNUMBER(SEARCH("Madalena",N756))),"SIM","")</f>
        <v/>
      </c>
      <c r="U756" s="92">
        <f>IF(AND(ISNUMBER(SEARCH("Espeto",N756)),ISNUMBER(SEARCH("Mariana",N756))),"SIM","")</f>
        <v/>
      </c>
      <c r="V756" s="92">
        <f>IF(AND(ISNUMBER(SEARCH("Espeto",N756)),ISNUMBER(SEARCH("Perdizes",N756))),"SIM","")</f>
        <v/>
      </c>
      <c r="W756" s="92">
        <f>IF(AND(ISNUMBER(SEARCH("Espeto",N756)),ISNUMBER(SEARCH("Santana",N756))),"SIM","")</f>
        <v/>
      </c>
      <c r="X756" s="92">
        <f>IF(AND(ISNUMBER(SEARCH("Espeto",N756)),ISNUMBER(SEARCH("André",N756))),"SIM","")</f>
        <v/>
      </c>
      <c r="Y756" s="92">
        <f>IF(AND(ISNUMBER(SEARCH("Delivery",N756)),ISNUMBER(SEARCH("Carin",N756))),"SIM","")</f>
        <v/>
      </c>
      <c r="Z756" s="92">
        <f>IF(AND(ISNUMBER(SEARCH("Delivery",N756)),ISNUMBER(SEARCH("Lapa",N756))),"SIM","")</f>
        <v/>
      </c>
      <c r="AA756" s="92">
        <f>IF(AND(ISNUMBER(SEARCH("Delivery",N756)),ISNUMBER(SEARCH("Tatuapé",N756))),"SIM","")</f>
        <v/>
      </c>
      <c r="AB756" s="92">
        <f>IF(AND(ISNUMBER(SEARCH("Delivery",N756)),ISNUMBER(SEARCH("Pavão",N756))),"SIM","")</f>
        <v/>
      </c>
      <c r="AC756" s="92">
        <f>IF(AND(ISNUMBER(SEARCH("Delivery",N756)),ISNUMBER(SEARCH("Chac",N756))),"SIM","")</f>
        <v/>
      </c>
      <c r="AD756" s="92">
        <f>IF(AND(ISNUMBER(SEARCH("Delivery",N756)),ISNUMBER(SEARCH("Madalena",N756))),"SIM","")</f>
        <v/>
      </c>
      <c r="AE756" s="99">
        <f>IF(AND(ISNUMBER(SEARCH("Delivery",N756)),ISNUMBER(SEARCH("Mariana",N756))),"SIM","")</f>
        <v/>
      </c>
      <c r="AF756" s="99">
        <f>IF(AND(ISNUMBER(SEARCH("Delivery",N756)),ISNUMBER(SEARCH("Perdizes",N756))),"SIM","")</f>
        <v/>
      </c>
      <c r="AG756" s="99">
        <f>IF(AND(ISNUMBER(SEARCH("Delivery",N756)),ISNUMBER(SEARCH("Santana",N756))),"SIM","")</f>
        <v/>
      </c>
      <c r="AH756" s="99">
        <f>IF(AND(ISNUMBER(SEARCH("Delivery",N756)),ISNUMBER(SEARCH("André",N756))),"SIM","")</f>
        <v/>
      </c>
      <c r="AI756" s="99">
        <f>IF(ISNUMBER(SEARCH("Interlagos",N756)),"SIM","")</f>
        <v/>
      </c>
      <c r="AJ756" s="99">
        <f>IF(ISNUMBER(SEARCH("Quiosque",N756)),"SIM","")</f>
        <v/>
      </c>
      <c r="AK756" s="101" t="n"/>
    </row>
    <row r="757">
      <c r="A757" s="88" t="inlineStr">
        <is>
          <t>Protheus</t>
        </is>
      </c>
      <c r="B757" s="89" t="inlineStr">
        <is>
          <t>001794</t>
        </is>
      </c>
      <c r="C757" s="90">
        <f>IF(B757="—","—",IFERROR(VLOOKUP(B757,_Protheus_Cadastro!$A:$B,2,FALSE),"—"))</f>
        <v/>
      </c>
      <c r="D757" s="91">
        <f>IF(B757="—",IFERROR(INDEX(_ZIG_Cadastro!$D:$D,MATCH(H757,_ZIG_Cadastro!$A:$A,0)),"Produto"),IFERROR(VLOOKUP(B757,_Protheus_Cadastro!$A:$C,3,FALSE),"—"))</f>
        <v/>
      </c>
      <c r="E757" s="91">
        <f>IF(B757="—","—",IFERROR(VLOOKUP(B757,_Protheus_Cadastro!$A:$D,4,FALSE),"—"))</f>
        <v/>
      </c>
      <c r="F757" s="91">
        <f>IF(ISERROR(VLOOKUP(B757,'Estrutura Protheus'!A:A,1,FALSE)),"Não","Sim")</f>
        <v/>
      </c>
      <c r="G757" s="92">
        <f>IFERROR(INDEX(_Protheus_Cadastro!$H:$H,MATCH(B757,_Protheus_Cadastro!$A:$A,0)),"—")</f>
        <v/>
      </c>
      <c r="H757" s="210">
        <f>IFERROR(INDEX(_ZIG_Precos!$D:$D,MATCH(I757,_ZIG_Precos!$F:$F,0)),"—")</f>
        <v/>
      </c>
      <c r="I757" s="95">
        <f>IFERROR(VLOOKUP(B757,_Protheus_Cadastro!$A:$I,9,FALSE),"—")</f>
        <v/>
      </c>
      <c r="J757" s="93">
        <f>IFERROR(INDEX(_ZIG_Cadastro!$B:$B,MATCH(I757,_ZIG_Cadastro!$A:$A,0)),IFERROR(INDEX(_Entradas_ZIG!$B:$B,MATCH(I757,_Entradas_ZIG!$C:$C,0)),"—"))</f>
        <v/>
      </c>
      <c r="K757" s="93">
        <f>IFERROR(INDEX(_ZIG_Cadastro!$C:$C,MATCH(I757,_ZIG_Cadastro!$A:$A,0)),IFERROR(INDEX(_Entradas_ZIG!$D:$D,MATCH(I757,_Entradas_ZIG!$C:$C,0)),"—"))</f>
        <v/>
      </c>
      <c r="L757" s="92">
        <f>IF(I757="","Sem SKU ZIG",IF(I757="—","Sem SKU ZIG",IF(NOT(ISERROR(MATCH(I757,_ZIG_Cadastro!$A:$A,0))),IF(EXACT(UPPER(TRIM(C757)),UPPER(TRIM(INDEX(_ZIG_Cadastro!$B:$B,MATCH(I757,_ZIG_Cadastro!$A:$A,0))))),"OK","Atencao - Nome diverge"),IF(NOT(ISERROR(MATCH(I757,_Entradas_ZIG!$C:$C,0))),"OK","Erro - SKU nao encontrado"))))</f>
        <v/>
      </c>
      <c r="M757" s="92">
        <f>IFERROR(INDEX(_ZIG_Cadastro!$G:$G,MATCH(I757,_ZIG_Cadastro!$A:$A,0)),IF(NOT(ISERROR(MATCH(I757,_Entradas_ZIG!$C:$C,0))),"Ativo","—"))</f>
        <v/>
      </c>
      <c r="N757" s="94">
        <f>IFERROR(INDEX(_ZIG_Cadastro!$E:$E,MATCH(I757,_ZIG_Cadastro!$A:$A,0)),IFERROR(INDEX(_Entradas_ZIG!$F:$F,MATCH(I757,_Entradas_ZIG!$C:$C,0)),"—"))</f>
        <v/>
      </c>
      <c r="O757" s="92">
        <f>IF(AND(ISNUMBER(SEARCH("Espeto",N757)),ISNUMBER(SEARCH("Carin",N757))),"SIM","")</f>
        <v/>
      </c>
      <c r="P757" s="92">
        <f>IF(AND(ISNUMBER(SEARCH("Espeto",N757)),ISNUMBER(SEARCH("Lapa",N757))),"SIM","")</f>
        <v/>
      </c>
      <c r="Q757" s="92">
        <f>IF(AND(ISNUMBER(SEARCH("Espeto",N757)),ISNUMBER(SEARCH("Tatuapé",N757))),"SIM","")</f>
        <v/>
      </c>
      <c r="R757" s="92">
        <f>IF(AND(ISNUMBER(SEARCH("Espeto",N757)),ISNUMBER(SEARCH("Pavão",N757))),"SIM","")</f>
        <v/>
      </c>
      <c r="S757" s="92">
        <f>IF(AND(ISNUMBER(SEARCH("Espeto",N757)),ISNUMBER(SEARCH("Chac",N757))),"SIM","")</f>
        <v/>
      </c>
      <c r="T757" s="92">
        <f>IF(AND(ISNUMBER(SEARCH("Espeto",N757)),ISNUMBER(SEARCH("Madalena",N757))),"SIM","")</f>
        <v/>
      </c>
      <c r="U757" s="92">
        <f>IF(AND(ISNUMBER(SEARCH("Espeto",N757)),ISNUMBER(SEARCH("Mariana",N757))),"SIM","")</f>
        <v/>
      </c>
      <c r="V757" s="92">
        <f>IF(AND(ISNUMBER(SEARCH("Espeto",N757)),ISNUMBER(SEARCH("Perdizes",N757))),"SIM","")</f>
        <v/>
      </c>
      <c r="W757" s="92">
        <f>IF(AND(ISNUMBER(SEARCH("Espeto",N757)),ISNUMBER(SEARCH("Santana",N757))),"SIM","")</f>
        <v/>
      </c>
      <c r="X757" s="92">
        <f>IF(AND(ISNUMBER(SEARCH("Espeto",N757)),ISNUMBER(SEARCH("André",N757))),"SIM","")</f>
        <v/>
      </c>
      <c r="Y757" s="92">
        <f>IF(AND(ISNUMBER(SEARCH("Delivery",N757)),ISNUMBER(SEARCH("Carin",N757))),"SIM","")</f>
        <v/>
      </c>
      <c r="Z757" s="92">
        <f>IF(AND(ISNUMBER(SEARCH("Delivery",N757)),ISNUMBER(SEARCH("Lapa",N757))),"SIM","")</f>
        <v/>
      </c>
      <c r="AA757" s="92">
        <f>IF(AND(ISNUMBER(SEARCH("Delivery",N757)),ISNUMBER(SEARCH("Tatuapé",N757))),"SIM","")</f>
        <v/>
      </c>
      <c r="AB757" s="92">
        <f>IF(AND(ISNUMBER(SEARCH("Delivery",N757)),ISNUMBER(SEARCH("Pavão",N757))),"SIM","")</f>
        <v/>
      </c>
      <c r="AC757" s="92">
        <f>IF(AND(ISNUMBER(SEARCH("Delivery",N757)),ISNUMBER(SEARCH("Chac",N757))),"SIM","")</f>
        <v/>
      </c>
      <c r="AD757" s="92">
        <f>IF(AND(ISNUMBER(SEARCH("Delivery",N757)),ISNUMBER(SEARCH("Madalena",N757))),"SIM","")</f>
        <v/>
      </c>
      <c r="AE757" s="99">
        <f>IF(AND(ISNUMBER(SEARCH("Delivery",N757)),ISNUMBER(SEARCH("Mariana",N757))),"SIM","")</f>
        <v/>
      </c>
      <c r="AF757" s="99">
        <f>IF(AND(ISNUMBER(SEARCH("Delivery",N757)),ISNUMBER(SEARCH("Perdizes",N757))),"SIM","")</f>
        <v/>
      </c>
      <c r="AG757" s="99">
        <f>IF(AND(ISNUMBER(SEARCH("Delivery",N757)),ISNUMBER(SEARCH("Santana",N757))),"SIM","")</f>
        <v/>
      </c>
      <c r="AH757" s="99">
        <f>IF(AND(ISNUMBER(SEARCH("Delivery",N757)),ISNUMBER(SEARCH("André",N757))),"SIM","")</f>
        <v/>
      </c>
      <c r="AI757" s="99">
        <f>IF(ISNUMBER(SEARCH("Interlagos",N757)),"SIM","")</f>
        <v/>
      </c>
      <c r="AJ757" s="99">
        <f>IF(ISNUMBER(SEARCH("Quiosque",N757)),"SIM","")</f>
        <v/>
      </c>
      <c r="AK757" s="101" t="n"/>
    </row>
    <row r="758">
      <c r="A758" s="88" t="inlineStr">
        <is>
          <t>Protheus</t>
        </is>
      </c>
      <c r="B758" s="89" t="inlineStr">
        <is>
          <t>001795</t>
        </is>
      </c>
      <c r="C758" s="90">
        <f>IF(B758="—","—",IFERROR(VLOOKUP(B758,_Protheus_Cadastro!$A:$B,2,FALSE),"—"))</f>
        <v/>
      </c>
      <c r="D758" s="91">
        <f>IF(B758="—",IFERROR(INDEX(_ZIG_Cadastro!$D:$D,MATCH(H758,_ZIG_Cadastro!$A:$A,0)),"Produto"),IFERROR(VLOOKUP(B758,_Protheus_Cadastro!$A:$C,3,FALSE),"—"))</f>
        <v/>
      </c>
      <c r="E758" s="91">
        <f>IF(B758="—","—",IFERROR(VLOOKUP(B758,_Protheus_Cadastro!$A:$D,4,FALSE),"—"))</f>
        <v/>
      </c>
      <c r="F758" s="91">
        <f>IF(ISERROR(VLOOKUP(B758,'Estrutura Protheus'!A:A,1,FALSE)),"Não","Sim")</f>
        <v/>
      </c>
      <c r="G758" s="92">
        <f>IFERROR(INDEX(_Protheus_Cadastro!$H:$H,MATCH(B758,_Protheus_Cadastro!$A:$A,0)),"—")</f>
        <v/>
      </c>
      <c r="H758" s="210">
        <f>IFERROR(INDEX(_ZIG_Precos!$D:$D,MATCH(I758,_ZIG_Precos!$F:$F,0)),"—")</f>
        <v/>
      </c>
      <c r="I758" s="95">
        <f>IFERROR(VLOOKUP(B758,_Protheus_Cadastro!$A:$I,9,FALSE),"—")</f>
        <v/>
      </c>
      <c r="J758" s="93">
        <f>IFERROR(INDEX(_ZIG_Cadastro!$B:$B,MATCH(I758,_ZIG_Cadastro!$A:$A,0)),IFERROR(INDEX(_Entradas_ZIG!$B:$B,MATCH(I758,_Entradas_ZIG!$C:$C,0)),"—"))</f>
        <v/>
      </c>
      <c r="K758" s="93">
        <f>IFERROR(INDEX(_ZIG_Cadastro!$C:$C,MATCH(I758,_ZIG_Cadastro!$A:$A,0)),IFERROR(INDEX(_Entradas_ZIG!$D:$D,MATCH(I758,_Entradas_ZIG!$C:$C,0)),"—"))</f>
        <v/>
      </c>
      <c r="L758" s="92">
        <f>IF(I758="","Sem SKU ZIG",IF(I758="—","Sem SKU ZIG",IF(NOT(ISERROR(MATCH(I758,_ZIG_Cadastro!$A:$A,0))),IF(EXACT(UPPER(TRIM(C758)),UPPER(TRIM(INDEX(_ZIG_Cadastro!$B:$B,MATCH(I758,_ZIG_Cadastro!$A:$A,0))))),"OK","Atencao - Nome diverge"),IF(NOT(ISERROR(MATCH(I758,_Entradas_ZIG!$C:$C,0))),"OK","Erro - SKU nao encontrado"))))</f>
        <v/>
      </c>
      <c r="M758" s="92">
        <f>IFERROR(INDEX(_ZIG_Cadastro!$G:$G,MATCH(I758,_ZIG_Cadastro!$A:$A,0)),IF(NOT(ISERROR(MATCH(I758,_Entradas_ZIG!$C:$C,0))),"Ativo","—"))</f>
        <v/>
      </c>
      <c r="N758" s="94">
        <f>IFERROR(INDEX(_ZIG_Cadastro!$E:$E,MATCH(I758,_ZIG_Cadastro!$A:$A,0)),IFERROR(INDEX(_Entradas_ZIG!$F:$F,MATCH(I758,_Entradas_ZIG!$C:$C,0)),"—"))</f>
        <v/>
      </c>
      <c r="O758" s="92">
        <f>IF(AND(ISNUMBER(SEARCH("Espeto",N758)),ISNUMBER(SEARCH("Carin",N758))),"SIM","")</f>
        <v/>
      </c>
      <c r="P758" s="92">
        <f>IF(AND(ISNUMBER(SEARCH("Espeto",N758)),ISNUMBER(SEARCH("Lapa",N758))),"SIM","")</f>
        <v/>
      </c>
      <c r="Q758" s="92">
        <f>IF(AND(ISNUMBER(SEARCH("Espeto",N758)),ISNUMBER(SEARCH("Tatuapé",N758))),"SIM","")</f>
        <v/>
      </c>
      <c r="R758" s="92">
        <f>IF(AND(ISNUMBER(SEARCH("Espeto",N758)),ISNUMBER(SEARCH("Pavão",N758))),"SIM","")</f>
        <v/>
      </c>
      <c r="S758" s="92">
        <f>IF(AND(ISNUMBER(SEARCH("Espeto",N758)),ISNUMBER(SEARCH("Chac",N758))),"SIM","")</f>
        <v/>
      </c>
      <c r="T758" s="92">
        <f>IF(AND(ISNUMBER(SEARCH("Espeto",N758)),ISNUMBER(SEARCH("Madalena",N758))),"SIM","")</f>
        <v/>
      </c>
      <c r="U758" s="92">
        <f>IF(AND(ISNUMBER(SEARCH("Espeto",N758)),ISNUMBER(SEARCH("Mariana",N758))),"SIM","")</f>
        <v/>
      </c>
      <c r="V758" s="92">
        <f>IF(AND(ISNUMBER(SEARCH("Espeto",N758)),ISNUMBER(SEARCH("Perdizes",N758))),"SIM","")</f>
        <v/>
      </c>
      <c r="W758" s="92">
        <f>IF(AND(ISNUMBER(SEARCH("Espeto",N758)),ISNUMBER(SEARCH("Santana",N758))),"SIM","")</f>
        <v/>
      </c>
      <c r="X758" s="92">
        <f>IF(AND(ISNUMBER(SEARCH("Espeto",N758)),ISNUMBER(SEARCH("André",N758))),"SIM","")</f>
        <v/>
      </c>
      <c r="Y758" s="92">
        <f>IF(AND(ISNUMBER(SEARCH("Delivery",N758)),ISNUMBER(SEARCH("Carin",N758))),"SIM","")</f>
        <v/>
      </c>
      <c r="Z758" s="92">
        <f>IF(AND(ISNUMBER(SEARCH("Delivery",N758)),ISNUMBER(SEARCH("Lapa",N758))),"SIM","")</f>
        <v/>
      </c>
      <c r="AA758" s="92">
        <f>IF(AND(ISNUMBER(SEARCH("Delivery",N758)),ISNUMBER(SEARCH("Tatuapé",N758))),"SIM","")</f>
        <v/>
      </c>
      <c r="AB758" s="92">
        <f>IF(AND(ISNUMBER(SEARCH("Delivery",N758)),ISNUMBER(SEARCH("Pavão",N758))),"SIM","")</f>
        <v/>
      </c>
      <c r="AC758" s="92">
        <f>IF(AND(ISNUMBER(SEARCH("Delivery",N758)),ISNUMBER(SEARCH("Chac",N758))),"SIM","")</f>
        <v/>
      </c>
      <c r="AD758" s="92">
        <f>IF(AND(ISNUMBER(SEARCH("Delivery",N758)),ISNUMBER(SEARCH("Madalena",N758))),"SIM","")</f>
        <v/>
      </c>
      <c r="AE758" s="99">
        <f>IF(AND(ISNUMBER(SEARCH("Delivery",N758)),ISNUMBER(SEARCH("Mariana",N758))),"SIM","")</f>
        <v/>
      </c>
      <c r="AF758" s="99">
        <f>IF(AND(ISNUMBER(SEARCH("Delivery",N758)),ISNUMBER(SEARCH("Perdizes",N758))),"SIM","")</f>
        <v/>
      </c>
      <c r="AG758" s="99">
        <f>IF(AND(ISNUMBER(SEARCH("Delivery",N758)),ISNUMBER(SEARCH("Santana",N758))),"SIM","")</f>
        <v/>
      </c>
      <c r="AH758" s="99">
        <f>IF(AND(ISNUMBER(SEARCH("Delivery",N758)),ISNUMBER(SEARCH("André",N758))),"SIM","")</f>
        <v/>
      </c>
      <c r="AI758" s="99">
        <f>IF(ISNUMBER(SEARCH("Interlagos",N758)),"SIM","")</f>
        <v/>
      </c>
      <c r="AJ758" s="99">
        <f>IF(ISNUMBER(SEARCH("Quiosque",N758)),"SIM","")</f>
        <v/>
      </c>
      <c r="AK758" s="101" t="n"/>
    </row>
    <row r="759">
      <c r="A759" s="88" t="inlineStr">
        <is>
          <t>Protheus</t>
        </is>
      </c>
      <c r="B759" s="89" t="inlineStr">
        <is>
          <t>001796</t>
        </is>
      </c>
      <c r="C759" s="90">
        <f>IF(B759="—","—",IFERROR(VLOOKUP(B759,_Protheus_Cadastro!$A:$B,2,FALSE),"—"))</f>
        <v/>
      </c>
      <c r="D759" s="91">
        <f>IF(B759="—",IFERROR(INDEX(_ZIG_Cadastro!$D:$D,MATCH(H759,_ZIG_Cadastro!$A:$A,0)),"Produto"),IFERROR(VLOOKUP(B759,_Protheus_Cadastro!$A:$C,3,FALSE),"—"))</f>
        <v/>
      </c>
      <c r="E759" s="91">
        <f>IF(B759="—","—",IFERROR(VLOOKUP(B759,_Protheus_Cadastro!$A:$D,4,FALSE),"—"))</f>
        <v/>
      </c>
      <c r="F759" s="91">
        <f>IF(ISERROR(VLOOKUP(B759,'Estrutura Protheus'!A:A,1,FALSE)),"Não","Sim")</f>
        <v/>
      </c>
      <c r="G759" s="92">
        <f>IFERROR(INDEX(_Protheus_Cadastro!$H:$H,MATCH(B759,_Protheus_Cadastro!$A:$A,0)),"—")</f>
        <v/>
      </c>
      <c r="H759" s="210">
        <f>IFERROR(INDEX(_ZIG_Precos!$D:$D,MATCH(I759,_ZIG_Precos!$F:$F,0)),"—")</f>
        <v/>
      </c>
      <c r="I759" s="95">
        <f>IFERROR(VLOOKUP(B759,_Protheus_Cadastro!$A:$I,9,FALSE),"—")</f>
        <v/>
      </c>
      <c r="J759" s="93">
        <f>IFERROR(INDEX(_ZIG_Cadastro!$B:$B,MATCH(I759,_ZIG_Cadastro!$A:$A,0)),IFERROR(INDEX(_Entradas_ZIG!$B:$B,MATCH(I759,_Entradas_ZIG!$C:$C,0)),"—"))</f>
        <v/>
      </c>
      <c r="K759" s="93">
        <f>IFERROR(INDEX(_ZIG_Cadastro!$C:$C,MATCH(I759,_ZIG_Cadastro!$A:$A,0)),IFERROR(INDEX(_Entradas_ZIG!$D:$D,MATCH(I759,_Entradas_ZIG!$C:$C,0)),"—"))</f>
        <v/>
      </c>
      <c r="L759" s="92">
        <f>IF(I759="","Sem SKU ZIG",IF(I759="—","Sem SKU ZIG",IF(NOT(ISERROR(MATCH(I759,_ZIG_Cadastro!$A:$A,0))),IF(EXACT(UPPER(TRIM(C759)),UPPER(TRIM(INDEX(_ZIG_Cadastro!$B:$B,MATCH(I759,_ZIG_Cadastro!$A:$A,0))))),"OK","Atencao - Nome diverge"),IF(NOT(ISERROR(MATCH(I759,_Entradas_ZIG!$C:$C,0))),"OK","Erro - SKU nao encontrado"))))</f>
        <v/>
      </c>
      <c r="M759" s="92">
        <f>IFERROR(INDEX(_ZIG_Cadastro!$G:$G,MATCH(I759,_ZIG_Cadastro!$A:$A,0)),IF(NOT(ISERROR(MATCH(I759,_Entradas_ZIG!$C:$C,0))),"Ativo","—"))</f>
        <v/>
      </c>
      <c r="N759" s="94">
        <f>IFERROR(INDEX(_ZIG_Cadastro!$E:$E,MATCH(I759,_ZIG_Cadastro!$A:$A,0)),IFERROR(INDEX(_Entradas_ZIG!$F:$F,MATCH(I759,_Entradas_ZIG!$C:$C,0)),"—"))</f>
        <v/>
      </c>
      <c r="O759" s="92">
        <f>IF(AND(ISNUMBER(SEARCH("Espeto",N759)),ISNUMBER(SEARCH("Carin",N759))),"SIM","")</f>
        <v/>
      </c>
      <c r="P759" s="92">
        <f>IF(AND(ISNUMBER(SEARCH("Espeto",N759)),ISNUMBER(SEARCH("Lapa",N759))),"SIM","")</f>
        <v/>
      </c>
      <c r="Q759" s="92">
        <f>IF(AND(ISNUMBER(SEARCH("Espeto",N759)),ISNUMBER(SEARCH("Tatuapé",N759))),"SIM","")</f>
        <v/>
      </c>
      <c r="R759" s="92">
        <f>IF(AND(ISNUMBER(SEARCH("Espeto",N759)),ISNUMBER(SEARCH("Pavão",N759))),"SIM","")</f>
        <v/>
      </c>
      <c r="S759" s="92">
        <f>IF(AND(ISNUMBER(SEARCH("Espeto",N759)),ISNUMBER(SEARCH("Chac",N759))),"SIM","")</f>
        <v/>
      </c>
      <c r="T759" s="92">
        <f>IF(AND(ISNUMBER(SEARCH("Espeto",N759)),ISNUMBER(SEARCH("Madalena",N759))),"SIM","")</f>
        <v/>
      </c>
      <c r="U759" s="92">
        <f>IF(AND(ISNUMBER(SEARCH("Espeto",N759)),ISNUMBER(SEARCH("Mariana",N759))),"SIM","")</f>
        <v/>
      </c>
      <c r="V759" s="92">
        <f>IF(AND(ISNUMBER(SEARCH("Espeto",N759)),ISNUMBER(SEARCH("Perdizes",N759))),"SIM","")</f>
        <v/>
      </c>
      <c r="W759" s="92">
        <f>IF(AND(ISNUMBER(SEARCH("Espeto",N759)),ISNUMBER(SEARCH("Santana",N759))),"SIM","")</f>
        <v/>
      </c>
      <c r="X759" s="92">
        <f>IF(AND(ISNUMBER(SEARCH("Espeto",N759)),ISNUMBER(SEARCH("André",N759))),"SIM","")</f>
        <v/>
      </c>
      <c r="Y759" s="92">
        <f>IF(AND(ISNUMBER(SEARCH("Delivery",N759)),ISNUMBER(SEARCH("Carin",N759))),"SIM","")</f>
        <v/>
      </c>
      <c r="Z759" s="92">
        <f>IF(AND(ISNUMBER(SEARCH("Delivery",N759)),ISNUMBER(SEARCH("Lapa",N759))),"SIM","")</f>
        <v/>
      </c>
      <c r="AA759" s="92">
        <f>IF(AND(ISNUMBER(SEARCH("Delivery",N759)),ISNUMBER(SEARCH("Tatuapé",N759))),"SIM","")</f>
        <v/>
      </c>
      <c r="AB759" s="92">
        <f>IF(AND(ISNUMBER(SEARCH("Delivery",N759)),ISNUMBER(SEARCH("Pavão",N759))),"SIM","")</f>
        <v/>
      </c>
      <c r="AC759" s="92">
        <f>IF(AND(ISNUMBER(SEARCH("Delivery",N759)),ISNUMBER(SEARCH("Chac",N759))),"SIM","")</f>
        <v/>
      </c>
      <c r="AD759" s="92">
        <f>IF(AND(ISNUMBER(SEARCH("Delivery",N759)),ISNUMBER(SEARCH("Madalena",N759))),"SIM","")</f>
        <v/>
      </c>
      <c r="AE759" s="99">
        <f>IF(AND(ISNUMBER(SEARCH("Delivery",N759)),ISNUMBER(SEARCH("Mariana",N759))),"SIM","")</f>
        <v/>
      </c>
      <c r="AF759" s="99">
        <f>IF(AND(ISNUMBER(SEARCH("Delivery",N759)),ISNUMBER(SEARCH("Perdizes",N759))),"SIM","")</f>
        <v/>
      </c>
      <c r="AG759" s="99">
        <f>IF(AND(ISNUMBER(SEARCH("Delivery",N759)),ISNUMBER(SEARCH("Santana",N759))),"SIM","")</f>
        <v/>
      </c>
      <c r="AH759" s="99">
        <f>IF(AND(ISNUMBER(SEARCH("Delivery",N759)),ISNUMBER(SEARCH("André",N759))),"SIM","")</f>
        <v/>
      </c>
      <c r="AI759" s="99">
        <f>IF(ISNUMBER(SEARCH("Interlagos",N759)),"SIM","")</f>
        <v/>
      </c>
      <c r="AJ759" s="99">
        <f>IF(ISNUMBER(SEARCH("Quiosque",N759)),"SIM","")</f>
        <v/>
      </c>
      <c r="AK759" s="101" t="n"/>
    </row>
    <row r="760">
      <c r="A760" s="88" t="inlineStr">
        <is>
          <t>Protheus</t>
        </is>
      </c>
      <c r="B760" s="89" t="inlineStr">
        <is>
          <t>001930</t>
        </is>
      </c>
      <c r="C760" s="90">
        <f>IF(B760="—","—",IFERROR(VLOOKUP(B760,_Protheus_Cadastro!$A:$B,2,FALSE),"—"))</f>
        <v/>
      </c>
      <c r="D760" s="91">
        <f>IF(B760="—",IFERROR(INDEX(_ZIG_Cadastro!$D:$D,MATCH(H760,_ZIG_Cadastro!$A:$A,0)),"Produto"),IFERROR(VLOOKUP(B760,_Protheus_Cadastro!$A:$C,3,FALSE),"—"))</f>
        <v/>
      </c>
      <c r="E760" s="91">
        <f>IF(B760="—","—",IFERROR(VLOOKUP(B760,_Protheus_Cadastro!$A:$D,4,FALSE),"—"))</f>
        <v/>
      </c>
      <c r="F760" s="91">
        <f>IF(ISERROR(VLOOKUP(B760,'Estrutura Protheus'!A:A,1,FALSE)),"Não","Sim")</f>
        <v/>
      </c>
      <c r="G760" s="92">
        <f>IFERROR(INDEX(_Protheus_Cadastro!$H:$H,MATCH(B760,_Protheus_Cadastro!$A:$A,0)),"—")</f>
        <v/>
      </c>
      <c r="H760" s="210">
        <f>IFERROR(INDEX(_ZIG_Precos!$D:$D,MATCH(I760,_ZIG_Precos!$F:$F,0)),"—")</f>
        <v/>
      </c>
      <c r="I760" s="95">
        <f>IFERROR(VLOOKUP(B760,_Protheus_Cadastro!$A:$I,9,FALSE),"—")</f>
        <v/>
      </c>
      <c r="J760" s="93">
        <f>IFERROR(INDEX(_ZIG_Cadastro!$B:$B,MATCH(I760,_ZIG_Cadastro!$A:$A,0)),IFERROR(INDEX(_Entradas_ZIG!$B:$B,MATCH(I760,_Entradas_ZIG!$C:$C,0)),"—"))</f>
        <v/>
      </c>
      <c r="K760" s="93">
        <f>IFERROR(INDEX(_ZIG_Cadastro!$C:$C,MATCH(I760,_ZIG_Cadastro!$A:$A,0)),IFERROR(INDEX(_Entradas_ZIG!$D:$D,MATCH(I760,_Entradas_ZIG!$C:$C,0)),"—"))</f>
        <v/>
      </c>
      <c r="L760" s="92">
        <f>IF(I760="","Sem SKU ZIG",IF(I760="—","Sem SKU ZIG",IF(NOT(ISERROR(MATCH(I760,_ZIG_Cadastro!$A:$A,0))),IF(EXACT(UPPER(TRIM(C760)),UPPER(TRIM(INDEX(_ZIG_Cadastro!$B:$B,MATCH(I760,_ZIG_Cadastro!$A:$A,0))))),"OK","Atencao - Nome diverge"),IF(NOT(ISERROR(MATCH(I760,_Entradas_ZIG!$C:$C,0))),"OK","Erro - SKU nao encontrado"))))</f>
        <v/>
      </c>
      <c r="M760" s="92">
        <f>IFERROR(INDEX(_ZIG_Cadastro!$G:$G,MATCH(I760,_ZIG_Cadastro!$A:$A,0)),IF(NOT(ISERROR(MATCH(I760,_Entradas_ZIG!$C:$C,0))),"Ativo","—"))</f>
        <v/>
      </c>
      <c r="N760" s="94">
        <f>IFERROR(INDEX(_ZIG_Cadastro!$E:$E,MATCH(I760,_ZIG_Cadastro!$A:$A,0)),IFERROR(INDEX(_Entradas_ZIG!$F:$F,MATCH(I760,_Entradas_ZIG!$C:$C,0)),"—"))</f>
        <v/>
      </c>
      <c r="O760" s="92">
        <f>IF(AND(ISNUMBER(SEARCH("Espeto",N760)),ISNUMBER(SEARCH("Carin",N760))),"SIM","")</f>
        <v/>
      </c>
      <c r="P760" s="92">
        <f>IF(AND(ISNUMBER(SEARCH("Espeto",N760)),ISNUMBER(SEARCH("Lapa",N760))),"SIM","")</f>
        <v/>
      </c>
      <c r="Q760" s="92">
        <f>IF(AND(ISNUMBER(SEARCH("Espeto",N760)),ISNUMBER(SEARCH("Tatuapé",N760))),"SIM","")</f>
        <v/>
      </c>
      <c r="R760" s="92">
        <f>IF(AND(ISNUMBER(SEARCH("Espeto",N760)),ISNUMBER(SEARCH("Pavão",N760))),"SIM","")</f>
        <v/>
      </c>
      <c r="S760" s="92">
        <f>IF(AND(ISNUMBER(SEARCH("Espeto",N760)),ISNUMBER(SEARCH("Chac",N760))),"SIM","")</f>
        <v/>
      </c>
      <c r="T760" s="92">
        <f>IF(AND(ISNUMBER(SEARCH("Espeto",N760)),ISNUMBER(SEARCH("Madalena",N760))),"SIM","")</f>
        <v/>
      </c>
      <c r="U760" s="92">
        <f>IF(AND(ISNUMBER(SEARCH("Espeto",N760)),ISNUMBER(SEARCH("Mariana",N760))),"SIM","")</f>
        <v/>
      </c>
      <c r="V760" s="92">
        <f>IF(AND(ISNUMBER(SEARCH("Espeto",N760)),ISNUMBER(SEARCH("Perdizes",N760))),"SIM","")</f>
        <v/>
      </c>
      <c r="W760" s="92">
        <f>IF(AND(ISNUMBER(SEARCH("Espeto",N760)),ISNUMBER(SEARCH("Santana",N760))),"SIM","")</f>
        <v/>
      </c>
      <c r="X760" s="92">
        <f>IF(AND(ISNUMBER(SEARCH("Espeto",N760)),ISNUMBER(SEARCH("André",N760))),"SIM","")</f>
        <v/>
      </c>
      <c r="Y760" s="92">
        <f>IF(AND(ISNUMBER(SEARCH("Delivery",N760)),ISNUMBER(SEARCH("Carin",N760))),"SIM","")</f>
        <v/>
      </c>
      <c r="Z760" s="92">
        <f>IF(AND(ISNUMBER(SEARCH("Delivery",N760)),ISNUMBER(SEARCH("Lapa",N760))),"SIM","")</f>
        <v/>
      </c>
      <c r="AA760" s="92">
        <f>IF(AND(ISNUMBER(SEARCH("Delivery",N760)),ISNUMBER(SEARCH("Tatuapé",N760))),"SIM","")</f>
        <v/>
      </c>
      <c r="AB760" s="92">
        <f>IF(AND(ISNUMBER(SEARCH("Delivery",N760)),ISNUMBER(SEARCH("Pavão",N760))),"SIM","")</f>
        <v/>
      </c>
      <c r="AC760" s="92">
        <f>IF(AND(ISNUMBER(SEARCH("Delivery",N760)),ISNUMBER(SEARCH("Chac",N760))),"SIM","")</f>
        <v/>
      </c>
      <c r="AD760" s="92">
        <f>IF(AND(ISNUMBER(SEARCH("Delivery",N760)),ISNUMBER(SEARCH("Madalena",N760))),"SIM","")</f>
        <v/>
      </c>
      <c r="AE760" s="99">
        <f>IF(AND(ISNUMBER(SEARCH("Delivery",N760)),ISNUMBER(SEARCH("Mariana",N760))),"SIM","")</f>
        <v/>
      </c>
      <c r="AF760" s="99">
        <f>IF(AND(ISNUMBER(SEARCH("Delivery",N760)),ISNUMBER(SEARCH("Perdizes",N760))),"SIM","")</f>
        <v/>
      </c>
      <c r="AG760" s="99">
        <f>IF(AND(ISNUMBER(SEARCH("Delivery",N760)),ISNUMBER(SEARCH("Santana",N760))),"SIM","")</f>
        <v/>
      </c>
      <c r="AH760" s="99">
        <f>IF(AND(ISNUMBER(SEARCH("Delivery",N760)),ISNUMBER(SEARCH("André",N760))),"SIM","")</f>
        <v/>
      </c>
      <c r="AI760" s="99">
        <f>IF(ISNUMBER(SEARCH("Interlagos",N760)),"SIM","")</f>
        <v/>
      </c>
      <c r="AJ760" s="99">
        <f>IF(ISNUMBER(SEARCH("Quiosque",N760)),"SIM","")</f>
        <v/>
      </c>
      <c r="AK760" s="101" t="n"/>
    </row>
    <row r="761">
      <c r="A761" s="88" t="inlineStr">
        <is>
          <t>Protheus</t>
        </is>
      </c>
      <c r="B761" s="89" t="inlineStr">
        <is>
          <t>001931</t>
        </is>
      </c>
      <c r="C761" s="90">
        <f>IF(B761="—","—",IFERROR(VLOOKUP(B761,_Protheus_Cadastro!$A:$B,2,FALSE),"—"))</f>
        <v/>
      </c>
      <c r="D761" s="91">
        <f>IF(B761="—",IFERROR(INDEX(_ZIG_Cadastro!$D:$D,MATCH(H761,_ZIG_Cadastro!$A:$A,0)),"Produto"),IFERROR(VLOOKUP(B761,_Protheus_Cadastro!$A:$C,3,FALSE),"—"))</f>
        <v/>
      </c>
      <c r="E761" s="91">
        <f>IF(B761="—","—",IFERROR(VLOOKUP(B761,_Protheus_Cadastro!$A:$D,4,FALSE),"—"))</f>
        <v/>
      </c>
      <c r="F761" s="91">
        <f>IF(ISERROR(VLOOKUP(B761,'Estrutura Protheus'!A:A,1,FALSE)),"Não","Sim")</f>
        <v/>
      </c>
      <c r="G761" s="92">
        <f>IFERROR(INDEX(_Protheus_Cadastro!$H:$H,MATCH(B761,_Protheus_Cadastro!$A:$A,0)),"—")</f>
        <v/>
      </c>
      <c r="H761" s="210">
        <f>IFERROR(INDEX(_ZIG_Precos!$D:$D,MATCH(I761,_ZIG_Precos!$F:$F,0)),"—")</f>
        <v/>
      </c>
      <c r="I761" s="95">
        <f>IFERROR(VLOOKUP(B761,_Protheus_Cadastro!$A:$I,9,FALSE),"—")</f>
        <v/>
      </c>
      <c r="J761" s="93">
        <f>IFERROR(INDEX(_ZIG_Cadastro!$B:$B,MATCH(I761,_ZIG_Cadastro!$A:$A,0)),IFERROR(INDEX(_Entradas_ZIG!$B:$B,MATCH(I761,_Entradas_ZIG!$C:$C,0)),"—"))</f>
        <v/>
      </c>
      <c r="K761" s="93">
        <f>IFERROR(INDEX(_ZIG_Cadastro!$C:$C,MATCH(I761,_ZIG_Cadastro!$A:$A,0)),IFERROR(INDEX(_Entradas_ZIG!$D:$D,MATCH(I761,_Entradas_ZIG!$C:$C,0)),"—"))</f>
        <v/>
      </c>
      <c r="L761" s="92">
        <f>IF(I761="","Sem SKU ZIG",IF(I761="—","Sem SKU ZIG",IF(NOT(ISERROR(MATCH(I761,_ZIG_Cadastro!$A:$A,0))),IF(EXACT(UPPER(TRIM(C761)),UPPER(TRIM(INDEX(_ZIG_Cadastro!$B:$B,MATCH(I761,_ZIG_Cadastro!$A:$A,0))))),"OK","Atencao - Nome diverge"),IF(NOT(ISERROR(MATCH(I761,_Entradas_ZIG!$C:$C,0))),"OK","Erro - SKU nao encontrado"))))</f>
        <v/>
      </c>
      <c r="M761" s="92">
        <f>IFERROR(INDEX(_ZIG_Cadastro!$G:$G,MATCH(I761,_ZIG_Cadastro!$A:$A,0)),IF(NOT(ISERROR(MATCH(I761,_Entradas_ZIG!$C:$C,0))),"Ativo","—"))</f>
        <v/>
      </c>
      <c r="N761" s="94">
        <f>IFERROR(INDEX(_ZIG_Cadastro!$E:$E,MATCH(I761,_ZIG_Cadastro!$A:$A,0)),IFERROR(INDEX(_Entradas_ZIG!$F:$F,MATCH(I761,_Entradas_ZIG!$C:$C,0)),"—"))</f>
        <v/>
      </c>
      <c r="O761" s="92">
        <f>IF(AND(ISNUMBER(SEARCH("Espeto",N761)),ISNUMBER(SEARCH("Carin",N761))),"SIM","")</f>
        <v/>
      </c>
      <c r="P761" s="92">
        <f>IF(AND(ISNUMBER(SEARCH("Espeto",N761)),ISNUMBER(SEARCH("Lapa",N761))),"SIM","")</f>
        <v/>
      </c>
      <c r="Q761" s="92">
        <f>IF(AND(ISNUMBER(SEARCH("Espeto",N761)),ISNUMBER(SEARCH("Tatuapé",N761))),"SIM","")</f>
        <v/>
      </c>
      <c r="R761" s="92">
        <f>IF(AND(ISNUMBER(SEARCH("Espeto",N761)),ISNUMBER(SEARCH("Pavão",N761))),"SIM","")</f>
        <v/>
      </c>
      <c r="S761" s="92">
        <f>IF(AND(ISNUMBER(SEARCH("Espeto",N761)),ISNUMBER(SEARCH("Chac",N761))),"SIM","")</f>
        <v/>
      </c>
      <c r="T761" s="92">
        <f>IF(AND(ISNUMBER(SEARCH("Espeto",N761)),ISNUMBER(SEARCH("Madalena",N761))),"SIM","")</f>
        <v/>
      </c>
      <c r="U761" s="92">
        <f>IF(AND(ISNUMBER(SEARCH("Espeto",N761)),ISNUMBER(SEARCH("Mariana",N761))),"SIM","")</f>
        <v/>
      </c>
      <c r="V761" s="92">
        <f>IF(AND(ISNUMBER(SEARCH("Espeto",N761)),ISNUMBER(SEARCH("Perdizes",N761))),"SIM","")</f>
        <v/>
      </c>
      <c r="W761" s="92">
        <f>IF(AND(ISNUMBER(SEARCH("Espeto",N761)),ISNUMBER(SEARCH("Santana",N761))),"SIM","")</f>
        <v/>
      </c>
      <c r="X761" s="92">
        <f>IF(AND(ISNUMBER(SEARCH("Espeto",N761)),ISNUMBER(SEARCH("André",N761))),"SIM","")</f>
        <v/>
      </c>
      <c r="Y761" s="92">
        <f>IF(AND(ISNUMBER(SEARCH("Delivery",N761)),ISNUMBER(SEARCH("Carin",N761))),"SIM","")</f>
        <v/>
      </c>
      <c r="Z761" s="92">
        <f>IF(AND(ISNUMBER(SEARCH("Delivery",N761)),ISNUMBER(SEARCH("Lapa",N761))),"SIM","")</f>
        <v/>
      </c>
      <c r="AA761" s="92">
        <f>IF(AND(ISNUMBER(SEARCH("Delivery",N761)),ISNUMBER(SEARCH("Tatuapé",N761))),"SIM","")</f>
        <v/>
      </c>
      <c r="AB761" s="92">
        <f>IF(AND(ISNUMBER(SEARCH("Delivery",N761)),ISNUMBER(SEARCH("Pavão",N761))),"SIM","")</f>
        <v/>
      </c>
      <c r="AC761" s="92">
        <f>IF(AND(ISNUMBER(SEARCH("Delivery",N761)),ISNUMBER(SEARCH("Chac",N761))),"SIM","")</f>
        <v/>
      </c>
      <c r="AD761" s="92">
        <f>IF(AND(ISNUMBER(SEARCH("Delivery",N761)),ISNUMBER(SEARCH("Madalena",N761))),"SIM","")</f>
        <v/>
      </c>
      <c r="AE761" s="99">
        <f>IF(AND(ISNUMBER(SEARCH("Delivery",N761)),ISNUMBER(SEARCH("Mariana",N761))),"SIM","")</f>
        <v/>
      </c>
      <c r="AF761" s="99">
        <f>IF(AND(ISNUMBER(SEARCH("Delivery",N761)),ISNUMBER(SEARCH("Perdizes",N761))),"SIM","")</f>
        <v/>
      </c>
      <c r="AG761" s="99">
        <f>IF(AND(ISNUMBER(SEARCH("Delivery",N761)),ISNUMBER(SEARCH("Santana",N761))),"SIM","")</f>
        <v/>
      </c>
      <c r="AH761" s="99">
        <f>IF(AND(ISNUMBER(SEARCH("Delivery",N761)),ISNUMBER(SEARCH("André",N761))),"SIM","")</f>
        <v/>
      </c>
      <c r="AI761" s="99">
        <f>IF(ISNUMBER(SEARCH("Interlagos",N761)),"SIM","")</f>
        <v/>
      </c>
      <c r="AJ761" s="99">
        <f>IF(ISNUMBER(SEARCH("Quiosque",N761)),"SIM","")</f>
        <v/>
      </c>
      <c r="AK761" s="101" t="n"/>
    </row>
    <row r="762">
      <c r="A762" s="88" t="inlineStr">
        <is>
          <t>Protheus</t>
        </is>
      </c>
      <c r="B762" s="89" t="inlineStr">
        <is>
          <t>001933</t>
        </is>
      </c>
      <c r="C762" s="90">
        <f>IF(B762="—","—",IFERROR(VLOOKUP(B762,_Protheus_Cadastro!$A:$B,2,FALSE),"—"))</f>
        <v/>
      </c>
      <c r="D762" s="91">
        <f>IF(B762="—",IFERROR(INDEX(_ZIG_Cadastro!$D:$D,MATCH(H762,_ZIG_Cadastro!$A:$A,0)),"Produto"),IFERROR(VLOOKUP(B762,_Protheus_Cadastro!$A:$C,3,FALSE),"—"))</f>
        <v/>
      </c>
      <c r="E762" s="91">
        <f>IF(B762="—","—",IFERROR(VLOOKUP(B762,_Protheus_Cadastro!$A:$D,4,FALSE),"—"))</f>
        <v/>
      </c>
      <c r="F762" s="91">
        <f>IF(ISERROR(VLOOKUP(B762,'Estrutura Protheus'!A:A,1,FALSE)),"Não","Sim")</f>
        <v/>
      </c>
      <c r="G762" s="92">
        <f>IFERROR(INDEX(_Protheus_Cadastro!$H:$H,MATCH(B762,_Protheus_Cadastro!$A:$A,0)),"—")</f>
        <v/>
      </c>
      <c r="H762" s="210">
        <f>IFERROR(INDEX(_ZIG_Precos!$D:$D,MATCH(I762,_ZIG_Precos!$F:$F,0)),"—")</f>
        <v/>
      </c>
      <c r="I762" s="95">
        <f>IFERROR(VLOOKUP(B762,_Protheus_Cadastro!$A:$I,9,FALSE),"—")</f>
        <v/>
      </c>
      <c r="J762" s="93">
        <f>IFERROR(INDEX(_ZIG_Cadastro!$B:$B,MATCH(I762,_ZIG_Cadastro!$A:$A,0)),IFERROR(INDEX(_Entradas_ZIG!$B:$B,MATCH(I762,_Entradas_ZIG!$C:$C,0)),"—"))</f>
        <v/>
      </c>
      <c r="K762" s="93">
        <f>IFERROR(INDEX(_ZIG_Cadastro!$C:$C,MATCH(I762,_ZIG_Cadastro!$A:$A,0)),IFERROR(INDEX(_Entradas_ZIG!$D:$D,MATCH(I762,_Entradas_ZIG!$C:$C,0)),"—"))</f>
        <v/>
      </c>
      <c r="L762" s="92">
        <f>IF(I762="","Sem SKU ZIG",IF(I762="—","Sem SKU ZIG",IF(NOT(ISERROR(MATCH(I762,_ZIG_Cadastro!$A:$A,0))),IF(EXACT(UPPER(TRIM(C762)),UPPER(TRIM(INDEX(_ZIG_Cadastro!$B:$B,MATCH(I762,_ZIG_Cadastro!$A:$A,0))))),"OK","Atencao - Nome diverge"),IF(NOT(ISERROR(MATCH(I762,_Entradas_ZIG!$C:$C,0))),"OK","Erro - SKU nao encontrado"))))</f>
        <v/>
      </c>
      <c r="M762" s="92">
        <f>IFERROR(INDEX(_ZIG_Cadastro!$G:$G,MATCH(I762,_ZIG_Cadastro!$A:$A,0)),IF(NOT(ISERROR(MATCH(I762,_Entradas_ZIG!$C:$C,0))),"Ativo","—"))</f>
        <v/>
      </c>
      <c r="N762" s="94">
        <f>IFERROR(INDEX(_ZIG_Cadastro!$E:$E,MATCH(I762,_ZIG_Cadastro!$A:$A,0)),IFERROR(INDEX(_Entradas_ZIG!$F:$F,MATCH(I762,_Entradas_ZIG!$C:$C,0)),"—"))</f>
        <v/>
      </c>
      <c r="O762" s="92">
        <f>IF(AND(ISNUMBER(SEARCH("Espeto",N762)),ISNUMBER(SEARCH("Carin",N762))),"SIM","")</f>
        <v/>
      </c>
      <c r="P762" s="92">
        <f>IF(AND(ISNUMBER(SEARCH("Espeto",N762)),ISNUMBER(SEARCH("Lapa",N762))),"SIM","")</f>
        <v/>
      </c>
      <c r="Q762" s="92">
        <f>IF(AND(ISNUMBER(SEARCH("Espeto",N762)),ISNUMBER(SEARCH("Tatuapé",N762))),"SIM","")</f>
        <v/>
      </c>
      <c r="R762" s="92">
        <f>IF(AND(ISNUMBER(SEARCH("Espeto",N762)),ISNUMBER(SEARCH("Pavão",N762))),"SIM","")</f>
        <v/>
      </c>
      <c r="S762" s="92">
        <f>IF(AND(ISNUMBER(SEARCH("Espeto",N762)),ISNUMBER(SEARCH("Chac",N762))),"SIM","")</f>
        <v/>
      </c>
      <c r="T762" s="92">
        <f>IF(AND(ISNUMBER(SEARCH("Espeto",N762)),ISNUMBER(SEARCH("Madalena",N762))),"SIM","")</f>
        <v/>
      </c>
      <c r="U762" s="92">
        <f>IF(AND(ISNUMBER(SEARCH("Espeto",N762)),ISNUMBER(SEARCH("Mariana",N762))),"SIM","")</f>
        <v/>
      </c>
      <c r="V762" s="92">
        <f>IF(AND(ISNUMBER(SEARCH("Espeto",N762)),ISNUMBER(SEARCH("Perdizes",N762))),"SIM","")</f>
        <v/>
      </c>
      <c r="W762" s="92">
        <f>IF(AND(ISNUMBER(SEARCH("Espeto",N762)),ISNUMBER(SEARCH("Santana",N762))),"SIM","")</f>
        <v/>
      </c>
      <c r="X762" s="92">
        <f>IF(AND(ISNUMBER(SEARCH("Espeto",N762)),ISNUMBER(SEARCH("André",N762))),"SIM","")</f>
        <v/>
      </c>
      <c r="Y762" s="92">
        <f>IF(AND(ISNUMBER(SEARCH("Delivery",N762)),ISNUMBER(SEARCH("Carin",N762))),"SIM","")</f>
        <v/>
      </c>
      <c r="Z762" s="92">
        <f>IF(AND(ISNUMBER(SEARCH("Delivery",N762)),ISNUMBER(SEARCH("Lapa",N762))),"SIM","")</f>
        <v/>
      </c>
      <c r="AA762" s="92">
        <f>IF(AND(ISNUMBER(SEARCH("Delivery",N762)),ISNUMBER(SEARCH("Tatuapé",N762))),"SIM","")</f>
        <v/>
      </c>
      <c r="AB762" s="92">
        <f>IF(AND(ISNUMBER(SEARCH("Delivery",N762)),ISNUMBER(SEARCH("Pavão",N762))),"SIM","")</f>
        <v/>
      </c>
      <c r="AC762" s="92">
        <f>IF(AND(ISNUMBER(SEARCH("Delivery",N762)),ISNUMBER(SEARCH("Chac",N762))),"SIM","")</f>
        <v/>
      </c>
      <c r="AD762" s="92">
        <f>IF(AND(ISNUMBER(SEARCH("Delivery",N762)),ISNUMBER(SEARCH("Madalena",N762))),"SIM","")</f>
        <v/>
      </c>
      <c r="AE762" s="99">
        <f>IF(AND(ISNUMBER(SEARCH("Delivery",N762)),ISNUMBER(SEARCH("Mariana",N762))),"SIM","")</f>
        <v/>
      </c>
      <c r="AF762" s="99">
        <f>IF(AND(ISNUMBER(SEARCH("Delivery",N762)),ISNUMBER(SEARCH("Perdizes",N762))),"SIM","")</f>
        <v/>
      </c>
      <c r="AG762" s="99">
        <f>IF(AND(ISNUMBER(SEARCH("Delivery",N762)),ISNUMBER(SEARCH("Santana",N762))),"SIM","")</f>
        <v/>
      </c>
      <c r="AH762" s="99">
        <f>IF(AND(ISNUMBER(SEARCH("Delivery",N762)),ISNUMBER(SEARCH("André",N762))),"SIM","")</f>
        <v/>
      </c>
      <c r="AI762" s="99">
        <f>IF(ISNUMBER(SEARCH("Interlagos",N762)),"SIM","")</f>
        <v/>
      </c>
      <c r="AJ762" s="99">
        <f>IF(ISNUMBER(SEARCH("Quiosque",N762)),"SIM","")</f>
        <v/>
      </c>
      <c r="AK762" s="101" t="n"/>
    </row>
    <row r="763">
      <c r="A763" s="88" t="inlineStr">
        <is>
          <t>Protheus</t>
        </is>
      </c>
      <c r="B763" s="89" t="inlineStr">
        <is>
          <t>001969</t>
        </is>
      </c>
      <c r="C763" s="90">
        <f>IF(B763="—","—",IFERROR(VLOOKUP(B763,_Protheus_Cadastro!$A:$B,2,FALSE),"—"))</f>
        <v/>
      </c>
      <c r="D763" s="91">
        <f>IF(B763="—",IFERROR(INDEX(_ZIG_Cadastro!$D:$D,MATCH(H763,_ZIG_Cadastro!$A:$A,0)),"Produto"),IFERROR(VLOOKUP(B763,_Protheus_Cadastro!$A:$C,3,FALSE),"—"))</f>
        <v/>
      </c>
      <c r="E763" s="91">
        <f>IF(B763="—","—",IFERROR(VLOOKUP(B763,_Protheus_Cadastro!$A:$D,4,FALSE),"—"))</f>
        <v/>
      </c>
      <c r="F763" s="91">
        <f>IF(ISERROR(VLOOKUP(B763,'Estrutura Protheus'!A:A,1,FALSE)),"Não","Sim")</f>
        <v/>
      </c>
      <c r="G763" s="92">
        <f>IFERROR(INDEX(_Protheus_Cadastro!$H:$H,MATCH(B763,_Protheus_Cadastro!$A:$A,0)),"—")</f>
        <v/>
      </c>
      <c r="H763" s="210">
        <f>IFERROR(INDEX(_ZIG_Precos!$D:$D,MATCH(I763,_ZIG_Precos!$F:$F,0)),"—")</f>
        <v/>
      </c>
      <c r="I763" s="95">
        <f>IFERROR(VLOOKUP(B763,_Protheus_Cadastro!$A:$I,9,FALSE),"—")</f>
        <v/>
      </c>
      <c r="J763" s="93">
        <f>IFERROR(INDEX(_ZIG_Cadastro!$B:$B,MATCH(I763,_ZIG_Cadastro!$A:$A,0)),IFERROR(INDEX(_Entradas_ZIG!$B:$B,MATCH(I763,_Entradas_ZIG!$C:$C,0)),"—"))</f>
        <v/>
      </c>
      <c r="K763" s="93">
        <f>IFERROR(INDEX(_ZIG_Cadastro!$C:$C,MATCH(I763,_ZIG_Cadastro!$A:$A,0)),IFERROR(INDEX(_Entradas_ZIG!$D:$D,MATCH(I763,_Entradas_ZIG!$C:$C,0)),"—"))</f>
        <v/>
      </c>
      <c r="L763" s="92">
        <f>IF(I763="","Sem SKU ZIG",IF(I763="—","Sem SKU ZIG",IF(NOT(ISERROR(MATCH(I763,_ZIG_Cadastro!$A:$A,0))),IF(EXACT(UPPER(TRIM(C763)),UPPER(TRIM(INDEX(_ZIG_Cadastro!$B:$B,MATCH(I763,_ZIG_Cadastro!$A:$A,0))))),"OK","Atencao - Nome diverge"),IF(NOT(ISERROR(MATCH(I763,_Entradas_ZIG!$C:$C,0))),"OK","Erro - SKU nao encontrado"))))</f>
        <v/>
      </c>
      <c r="M763" s="92">
        <f>IFERROR(INDEX(_ZIG_Cadastro!$G:$G,MATCH(I763,_ZIG_Cadastro!$A:$A,0)),IF(NOT(ISERROR(MATCH(I763,_Entradas_ZIG!$C:$C,0))),"Ativo","—"))</f>
        <v/>
      </c>
      <c r="N763" s="94">
        <f>IFERROR(INDEX(_ZIG_Cadastro!$E:$E,MATCH(I763,_ZIG_Cadastro!$A:$A,0)),IFERROR(INDEX(_Entradas_ZIG!$F:$F,MATCH(I763,_Entradas_ZIG!$C:$C,0)),"—"))</f>
        <v/>
      </c>
      <c r="O763" s="92">
        <f>IF(AND(ISNUMBER(SEARCH("Espeto",N763)),ISNUMBER(SEARCH("Carin",N763))),"SIM","")</f>
        <v/>
      </c>
      <c r="P763" s="92">
        <f>IF(AND(ISNUMBER(SEARCH("Espeto",N763)),ISNUMBER(SEARCH("Lapa",N763))),"SIM","")</f>
        <v/>
      </c>
      <c r="Q763" s="92">
        <f>IF(AND(ISNUMBER(SEARCH("Espeto",N763)),ISNUMBER(SEARCH("Tatuapé",N763))),"SIM","")</f>
        <v/>
      </c>
      <c r="R763" s="92">
        <f>IF(AND(ISNUMBER(SEARCH("Espeto",N763)),ISNUMBER(SEARCH("Pavão",N763))),"SIM","")</f>
        <v/>
      </c>
      <c r="S763" s="92">
        <f>IF(AND(ISNUMBER(SEARCH("Espeto",N763)),ISNUMBER(SEARCH("Chac",N763))),"SIM","")</f>
        <v/>
      </c>
      <c r="T763" s="92">
        <f>IF(AND(ISNUMBER(SEARCH("Espeto",N763)),ISNUMBER(SEARCH("Madalena",N763))),"SIM","")</f>
        <v/>
      </c>
      <c r="U763" s="92">
        <f>IF(AND(ISNUMBER(SEARCH("Espeto",N763)),ISNUMBER(SEARCH("Mariana",N763))),"SIM","")</f>
        <v/>
      </c>
      <c r="V763" s="92">
        <f>IF(AND(ISNUMBER(SEARCH("Espeto",N763)),ISNUMBER(SEARCH("Perdizes",N763))),"SIM","")</f>
        <v/>
      </c>
      <c r="W763" s="92">
        <f>IF(AND(ISNUMBER(SEARCH("Espeto",N763)),ISNUMBER(SEARCH("Santana",N763))),"SIM","")</f>
        <v/>
      </c>
      <c r="X763" s="92">
        <f>IF(AND(ISNUMBER(SEARCH("Espeto",N763)),ISNUMBER(SEARCH("André",N763))),"SIM","")</f>
        <v/>
      </c>
      <c r="Y763" s="92">
        <f>IF(AND(ISNUMBER(SEARCH("Delivery",N763)),ISNUMBER(SEARCH("Carin",N763))),"SIM","")</f>
        <v/>
      </c>
      <c r="Z763" s="92">
        <f>IF(AND(ISNUMBER(SEARCH("Delivery",N763)),ISNUMBER(SEARCH("Lapa",N763))),"SIM","")</f>
        <v/>
      </c>
      <c r="AA763" s="92">
        <f>IF(AND(ISNUMBER(SEARCH("Delivery",N763)),ISNUMBER(SEARCH("Tatuapé",N763))),"SIM","")</f>
        <v/>
      </c>
      <c r="AB763" s="92">
        <f>IF(AND(ISNUMBER(SEARCH("Delivery",N763)),ISNUMBER(SEARCH("Pavão",N763))),"SIM","")</f>
        <v/>
      </c>
      <c r="AC763" s="92">
        <f>IF(AND(ISNUMBER(SEARCH("Delivery",N763)),ISNUMBER(SEARCH("Chac",N763))),"SIM","")</f>
        <v/>
      </c>
      <c r="AD763" s="92">
        <f>IF(AND(ISNUMBER(SEARCH("Delivery",N763)),ISNUMBER(SEARCH("Madalena",N763))),"SIM","")</f>
        <v/>
      </c>
      <c r="AE763" s="99">
        <f>IF(AND(ISNUMBER(SEARCH("Delivery",N763)),ISNUMBER(SEARCH("Mariana",N763))),"SIM","")</f>
        <v/>
      </c>
      <c r="AF763" s="99">
        <f>IF(AND(ISNUMBER(SEARCH("Delivery",N763)),ISNUMBER(SEARCH("Perdizes",N763))),"SIM","")</f>
        <v/>
      </c>
      <c r="AG763" s="99">
        <f>IF(AND(ISNUMBER(SEARCH("Delivery",N763)),ISNUMBER(SEARCH("Santana",N763))),"SIM","")</f>
        <v/>
      </c>
      <c r="AH763" s="99">
        <f>IF(AND(ISNUMBER(SEARCH("Delivery",N763)),ISNUMBER(SEARCH("André",N763))),"SIM","")</f>
        <v/>
      </c>
      <c r="AI763" s="99">
        <f>IF(ISNUMBER(SEARCH("Interlagos",N763)),"SIM","")</f>
        <v/>
      </c>
      <c r="AJ763" s="99">
        <f>IF(ISNUMBER(SEARCH("Quiosque",N763)),"SIM","")</f>
        <v/>
      </c>
      <c r="AK763" s="101" t="n"/>
    </row>
    <row r="764">
      <c r="A764" s="88" t="inlineStr">
        <is>
          <t>Protheus</t>
        </is>
      </c>
      <c r="B764" s="89" t="inlineStr">
        <is>
          <t>001970</t>
        </is>
      </c>
      <c r="C764" s="90">
        <f>IF(B764="—","—",IFERROR(VLOOKUP(B764,_Protheus_Cadastro!$A:$B,2,FALSE),"—"))</f>
        <v/>
      </c>
      <c r="D764" s="91">
        <f>IF(B764="—",IFERROR(INDEX(_ZIG_Cadastro!$D:$D,MATCH(H764,_ZIG_Cadastro!$A:$A,0)),"Produto"),IFERROR(VLOOKUP(B764,_Protheus_Cadastro!$A:$C,3,FALSE),"—"))</f>
        <v/>
      </c>
      <c r="E764" s="91">
        <f>IF(B764="—","—",IFERROR(VLOOKUP(B764,_Protheus_Cadastro!$A:$D,4,FALSE),"—"))</f>
        <v/>
      </c>
      <c r="F764" s="91">
        <f>IF(ISERROR(VLOOKUP(B764,'Estrutura Protheus'!A:A,1,FALSE)),"Não","Sim")</f>
        <v/>
      </c>
      <c r="G764" s="92">
        <f>IFERROR(INDEX(_Protheus_Cadastro!$H:$H,MATCH(B764,_Protheus_Cadastro!$A:$A,0)),"—")</f>
        <v/>
      </c>
      <c r="H764" s="210">
        <f>IFERROR(INDEX(_ZIG_Precos!$D:$D,MATCH(I764,_ZIG_Precos!$F:$F,0)),"—")</f>
        <v/>
      </c>
      <c r="I764" s="95">
        <f>IFERROR(VLOOKUP(B764,_Protheus_Cadastro!$A:$I,9,FALSE),"—")</f>
        <v/>
      </c>
      <c r="J764" s="93">
        <f>IFERROR(INDEX(_ZIG_Cadastro!$B:$B,MATCH(I764,_ZIG_Cadastro!$A:$A,0)),IFERROR(INDEX(_Entradas_ZIG!$B:$B,MATCH(I764,_Entradas_ZIG!$C:$C,0)),"—"))</f>
        <v/>
      </c>
      <c r="K764" s="93">
        <f>IFERROR(INDEX(_ZIG_Cadastro!$C:$C,MATCH(I764,_ZIG_Cadastro!$A:$A,0)),IFERROR(INDEX(_Entradas_ZIG!$D:$D,MATCH(I764,_Entradas_ZIG!$C:$C,0)),"—"))</f>
        <v/>
      </c>
      <c r="L764" s="92">
        <f>IF(I764="","Sem SKU ZIG",IF(I764="—","Sem SKU ZIG",IF(NOT(ISERROR(MATCH(I764,_ZIG_Cadastro!$A:$A,0))),IF(EXACT(UPPER(TRIM(C764)),UPPER(TRIM(INDEX(_ZIG_Cadastro!$B:$B,MATCH(I764,_ZIG_Cadastro!$A:$A,0))))),"OK","Atencao - Nome diverge"),IF(NOT(ISERROR(MATCH(I764,_Entradas_ZIG!$C:$C,0))),"OK","Erro - SKU nao encontrado"))))</f>
        <v/>
      </c>
      <c r="M764" s="92">
        <f>IFERROR(INDEX(_ZIG_Cadastro!$G:$G,MATCH(I764,_ZIG_Cadastro!$A:$A,0)),IF(NOT(ISERROR(MATCH(I764,_Entradas_ZIG!$C:$C,0))),"Ativo","—"))</f>
        <v/>
      </c>
      <c r="N764" s="94">
        <f>IFERROR(INDEX(_ZIG_Cadastro!$E:$E,MATCH(I764,_ZIG_Cadastro!$A:$A,0)),IFERROR(INDEX(_Entradas_ZIG!$F:$F,MATCH(I764,_Entradas_ZIG!$C:$C,0)),"—"))</f>
        <v/>
      </c>
      <c r="O764" s="92">
        <f>IF(AND(ISNUMBER(SEARCH("Espeto",N764)),ISNUMBER(SEARCH("Carin",N764))),"SIM","")</f>
        <v/>
      </c>
      <c r="P764" s="92">
        <f>IF(AND(ISNUMBER(SEARCH("Espeto",N764)),ISNUMBER(SEARCH("Lapa",N764))),"SIM","")</f>
        <v/>
      </c>
      <c r="Q764" s="92">
        <f>IF(AND(ISNUMBER(SEARCH("Espeto",N764)),ISNUMBER(SEARCH("Tatuapé",N764))),"SIM","")</f>
        <v/>
      </c>
      <c r="R764" s="92">
        <f>IF(AND(ISNUMBER(SEARCH("Espeto",N764)),ISNUMBER(SEARCH("Pavão",N764))),"SIM","")</f>
        <v/>
      </c>
      <c r="S764" s="92">
        <f>IF(AND(ISNUMBER(SEARCH("Espeto",N764)),ISNUMBER(SEARCH("Chac",N764))),"SIM","")</f>
        <v/>
      </c>
      <c r="T764" s="92">
        <f>IF(AND(ISNUMBER(SEARCH("Espeto",N764)),ISNUMBER(SEARCH("Madalena",N764))),"SIM","")</f>
        <v/>
      </c>
      <c r="U764" s="92">
        <f>IF(AND(ISNUMBER(SEARCH("Espeto",N764)),ISNUMBER(SEARCH("Mariana",N764))),"SIM","")</f>
        <v/>
      </c>
      <c r="V764" s="92">
        <f>IF(AND(ISNUMBER(SEARCH("Espeto",N764)),ISNUMBER(SEARCH("Perdizes",N764))),"SIM","")</f>
        <v/>
      </c>
      <c r="W764" s="92">
        <f>IF(AND(ISNUMBER(SEARCH("Espeto",N764)),ISNUMBER(SEARCH("Santana",N764))),"SIM","")</f>
        <v/>
      </c>
      <c r="X764" s="92">
        <f>IF(AND(ISNUMBER(SEARCH("Espeto",N764)),ISNUMBER(SEARCH("André",N764))),"SIM","")</f>
        <v/>
      </c>
      <c r="Y764" s="92">
        <f>IF(AND(ISNUMBER(SEARCH("Delivery",N764)),ISNUMBER(SEARCH("Carin",N764))),"SIM","")</f>
        <v/>
      </c>
      <c r="Z764" s="92">
        <f>IF(AND(ISNUMBER(SEARCH("Delivery",N764)),ISNUMBER(SEARCH("Lapa",N764))),"SIM","")</f>
        <v/>
      </c>
      <c r="AA764" s="92">
        <f>IF(AND(ISNUMBER(SEARCH("Delivery",N764)),ISNUMBER(SEARCH("Tatuapé",N764))),"SIM","")</f>
        <v/>
      </c>
      <c r="AB764" s="92">
        <f>IF(AND(ISNUMBER(SEARCH("Delivery",N764)),ISNUMBER(SEARCH("Pavão",N764))),"SIM","")</f>
        <v/>
      </c>
      <c r="AC764" s="92">
        <f>IF(AND(ISNUMBER(SEARCH("Delivery",N764)),ISNUMBER(SEARCH("Chac",N764))),"SIM","")</f>
        <v/>
      </c>
      <c r="AD764" s="92">
        <f>IF(AND(ISNUMBER(SEARCH("Delivery",N764)),ISNUMBER(SEARCH("Madalena",N764))),"SIM","")</f>
        <v/>
      </c>
      <c r="AE764" s="99">
        <f>IF(AND(ISNUMBER(SEARCH("Delivery",N764)),ISNUMBER(SEARCH("Mariana",N764))),"SIM","")</f>
        <v/>
      </c>
      <c r="AF764" s="99">
        <f>IF(AND(ISNUMBER(SEARCH("Delivery",N764)),ISNUMBER(SEARCH("Perdizes",N764))),"SIM","")</f>
        <v/>
      </c>
      <c r="AG764" s="99">
        <f>IF(AND(ISNUMBER(SEARCH("Delivery",N764)),ISNUMBER(SEARCH("Santana",N764))),"SIM","")</f>
        <v/>
      </c>
      <c r="AH764" s="99">
        <f>IF(AND(ISNUMBER(SEARCH("Delivery",N764)),ISNUMBER(SEARCH("André",N764))),"SIM","")</f>
        <v/>
      </c>
      <c r="AI764" s="99">
        <f>IF(ISNUMBER(SEARCH("Interlagos",N764)),"SIM","")</f>
        <v/>
      </c>
      <c r="AJ764" s="99">
        <f>IF(ISNUMBER(SEARCH("Quiosque",N764)),"SIM","")</f>
        <v/>
      </c>
      <c r="AK764" s="101" t="n"/>
    </row>
    <row r="765">
      <c r="A765" s="88" t="inlineStr">
        <is>
          <t>Protheus</t>
        </is>
      </c>
      <c r="B765" s="89" t="inlineStr">
        <is>
          <t>001971</t>
        </is>
      </c>
      <c r="C765" s="90">
        <f>IF(B765="—","—",IFERROR(VLOOKUP(B765,_Protheus_Cadastro!$A:$B,2,FALSE),"—"))</f>
        <v/>
      </c>
      <c r="D765" s="91">
        <f>IF(B765="—",IFERROR(INDEX(_ZIG_Cadastro!$D:$D,MATCH(H765,_ZIG_Cadastro!$A:$A,0)),"Produto"),IFERROR(VLOOKUP(B765,_Protheus_Cadastro!$A:$C,3,FALSE),"—"))</f>
        <v/>
      </c>
      <c r="E765" s="91">
        <f>IF(B765="—","—",IFERROR(VLOOKUP(B765,_Protheus_Cadastro!$A:$D,4,FALSE),"—"))</f>
        <v/>
      </c>
      <c r="F765" s="91">
        <f>IF(ISERROR(VLOOKUP(B765,'Estrutura Protheus'!A:A,1,FALSE)),"Não","Sim")</f>
        <v/>
      </c>
      <c r="G765" s="92">
        <f>IFERROR(INDEX(_Protheus_Cadastro!$H:$H,MATCH(B765,_Protheus_Cadastro!$A:$A,0)),"—")</f>
        <v/>
      </c>
      <c r="H765" s="210">
        <f>IFERROR(INDEX(_ZIG_Precos!$D:$D,MATCH(I765,_ZIG_Precos!$F:$F,0)),"—")</f>
        <v/>
      </c>
      <c r="I765" s="95">
        <f>IFERROR(VLOOKUP(B765,_Protheus_Cadastro!$A:$I,9,FALSE),"—")</f>
        <v/>
      </c>
      <c r="J765" s="93">
        <f>IFERROR(INDEX(_ZIG_Cadastro!$B:$B,MATCH(I765,_ZIG_Cadastro!$A:$A,0)),IFERROR(INDEX(_Entradas_ZIG!$B:$B,MATCH(I765,_Entradas_ZIG!$C:$C,0)),"—"))</f>
        <v/>
      </c>
      <c r="K765" s="93">
        <f>IFERROR(INDEX(_ZIG_Cadastro!$C:$C,MATCH(I765,_ZIG_Cadastro!$A:$A,0)),IFERROR(INDEX(_Entradas_ZIG!$D:$D,MATCH(I765,_Entradas_ZIG!$C:$C,0)),"—"))</f>
        <v/>
      </c>
      <c r="L765" s="92">
        <f>IF(I765="","Sem SKU ZIG",IF(I765="—","Sem SKU ZIG",IF(NOT(ISERROR(MATCH(I765,_ZIG_Cadastro!$A:$A,0))),IF(EXACT(UPPER(TRIM(C765)),UPPER(TRIM(INDEX(_ZIG_Cadastro!$B:$B,MATCH(I765,_ZIG_Cadastro!$A:$A,0))))),"OK","Atencao - Nome diverge"),IF(NOT(ISERROR(MATCH(I765,_Entradas_ZIG!$C:$C,0))),"OK","Erro - SKU nao encontrado"))))</f>
        <v/>
      </c>
      <c r="M765" s="92">
        <f>IFERROR(INDEX(_ZIG_Cadastro!$G:$G,MATCH(I765,_ZIG_Cadastro!$A:$A,0)),IF(NOT(ISERROR(MATCH(I765,_Entradas_ZIG!$C:$C,0))),"Ativo","—"))</f>
        <v/>
      </c>
      <c r="N765" s="94">
        <f>IFERROR(INDEX(_ZIG_Cadastro!$E:$E,MATCH(I765,_ZIG_Cadastro!$A:$A,0)),IFERROR(INDEX(_Entradas_ZIG!$F:$F,MATCH(I765,_Entradas_ZIG!$C:$C,0)),"—"))</f>
        <v/>
      </c>
      <c r="O765" s="92">
        <f>IF(AND(ISNUMBER(SEARCH("Espeto",N765)),ISNUMBER(SEARCH("Carin",N765))),"SIM","")</f>
        <v/>
      </c>
      <c r="P765" s="92">
        <f>IF(AND(ISNUMBER(SEARCH("Espeto",N765)),ISNUMBER(SEARCH("Lapa",N765))),"SIM","")</f>
        <v/>
      </c>
      <c r="Q765" s="92">
        <f>IF(AND(ISNUMBER(SEARCH("Espeto",N765)),ISNUMBER(SEARCH("Tatuapé",N765))),"SIM","")</f>
        <v/>
      </c>
      <c r="R765" s="92">
        <f>IF(AND(ISNUMBER(SEARCH("Espeto",N765)),ISNUMBER(SEARCH("Pavão",N765))),"SIM","")</f>
        <v/>
      </c>
      <c r="S765" s="92">
        <f>IF(AND(ISNUMBER(SEARCH("Espeto",N765)),ISNUMBER(SEARCH("Chac",N765))),"SIM","")</f>
        <v/>
      </c>
      <c r="T765" s="92">
        <f>IF(AND(ISNUMBER(SEARCH("Espeto",N765)),ISNUMBER(SEARCH("Madalena",N765))),"SIM","")</f>
        <v/>
      </c>
      <c r="U765" s="92">
        <f>IF(AND(ISNUMBER(SEARCH("Espeto",N765)),ISNUMBER(SEARCH("Mariana",N765))),"SIM","")</f>
        <v/>
      </c>
      <c r="V765" s="92">
        <f>IF(AND(ISNUMBER(SEARCH("Espeto",N765)),ISNUMBER(SEARCH("Perdizes",N765))),"SIM","")</f>
        <v/>
      </c>
      <c r="W765" s="92">
        <f>IF(AND(ISNUMBER(SEARCH("Espeto",N765)),ISNUMBER(SEARCH("Santana",N765))),"SIM","")</f>
        <v/>
      </c>
      <c r="X765" s="92">
        <f>IF(AND(ISNUMBER(SEARCH("Espeto",N765)),ISNUMBER(SEARCH("André",N765))),"SIM","")</f>
        <v/>
      </c>
      <c r="Y765" s="92">
        <f>IF(AND(ISNUMBER(SEARCH("Delivery",N765)),ISNUMBER(SEARCH("Carin",N765))),"SIM","")</f>
        <v/>
      </c>
      <c r="Z765" s="92">
        <f>IF(AND(ISNUMBER(SEARCH("Delivery",N765)),ISNUMBER(SEARCH("Lapa",N765))),"SIM","")</f>
        <v/>
      </c>
      <c r="AA765" s="92">
        <f>IF(AND(ISNUMBER(SEARCH("Delivery",N765)),ISNUMBER(SEARCH("Tatuapé",N765))),"SIM","")</f>
        <v/>
      </c>
      <c r="AB765" s="92">
        <f>IF(AND(ISNUMBER(SEARCH("Delivery",N765)),ISNUMBER(SEARCH("Pavão",N765))),"SIM","")</f>
        <v/>
      </c>
      <c r="AC765" s="92">
        <f>IF(AND(ISNUMBER(SEARCH("Delivery",N765)),ISNUMBER(SEARCH("Chac",N765))),"SIM","")</f>
        <v/>
      </c>
      <c r="AD765" s="92">
        <f>IF(AND(ISNUMBER(SEARCH("Delivery",N765)),ISNUMBER(SEARCH("Madalena",N765))),"SIM","")</f>
        <v/>
      </c>
      <c r="AE765" s="99">
        <f>IF(AND(ISNUMBER(SEARCH("Delivery",N765)),ISNUMBER(SEARCH("Mariana",N765))),"SIM","")</f>
        <v/>
      </c>
      <c r="AF765" s="99">
        <f>IF(AND(ISNUMBER(SEARCH("Delivery",N765)),ISNUMBER(SEARCH("Perdizes",N765))),"SIM","")</f>
        <v/>
      </c>
      <c r="AG765" s="99">
        <f>IF(AND(ISNUMBER(SEARCH("Delivery",N765)),ISNUMBER(SEARCH("Santana",N765))),"SIM","")</f>
        <v/>
      </c>
      <c r="AH765" s="99">
        <f>IF(AND(ISNUMBER(SEARCH("Delivery",N765)),ISNUMBER(SEARCH("André",N765))),"SIM","")</f>
        <v/>
      </c>
      <c r="AI765" s="99">
        <f>IF(ISNUMBER(SEARCH("Interlagos",N765)),"SIM","")</f>
        <v/>
      </c>
      <c r="AJ765" s="99">
        <f>IF(ISNUMBER(SEARCH("Quiosque",N765)),"SIM","")</f>
        <v/>
      </c>
      <c r="AK765" s="101" t="n"/>
    </row>
    <row r="766">
      <c r="A766" s="88" t="inlineStr">
        <is>
          <t>Protheus</t>
        </is>
      </c>
      <c r="B766" s="89" t="inlineStr">
        <is>
          <t>002000</t>
        </is>
      </c>
      <c r="C766" s="90">
        <f>IF(B766="—","—",IFERROR(VLOOKUP(B766,_Protheus_Cadastro!$A:$B,2,FALSE),"—"))</f>
        <v/>
      </c>
      <c r="D766" s="91">
        <f>IF(B766="—",IFERROR(INDEX(_ZIG_Cadastro!$D:$D,MATCH(H766,_ZIG_Cadastro!$A:$A,0)),"Produto"),IFERROR(VLOOKUP(B766,_Protheus_Cadastro!$A:$C,3,FALSE),"—"))</f>
        <v/>
      </c>
      <c r="E766" s="91">
        <f>IF(B766="—","—",IFERROR(VLOOKUP(B766,_Protheus_Cadastro!$A:$D,4,FALSE),"—"))</f>
        <v/>
      </c>
      <c r="F766" s="91">
        <f>IF(ISERROR(VLOOKUP(B766,'Estrutura Protheus'!A:A,1,FALSE)),"Não","Sim")</f>
        <v/>
      </c>
      <c r="G766" s="92">
        <f>IFERROR(INDEX(_Protheus_Cadastro!$H:$H,MATCH(B766,_Protheus_Cadastro!$A:$A,0)),"—")</f>
        <v/>
      </c>
      <c r="H766" s="210">
        <f>IFERROR(INDEX(_ZIG_Precos!$D:$D,MATCH(I766,_ZIG_Precos!$F:$F,0)),"—")</f>
        <v/>
      </c>
      <c r="I766" s="95">
        <f>IFERROR(VLOOKUP(B766,_Protheus_Cadastro!$A:$I,9,FALSE),"—")</f>
        <v/>
      </c>
      <c r="J766" s="93">
        <f>IFERROR(INDEX(_ZIG_Cadastro!$B:$B,MATCH(I766,_ZIG_Cadastro!$A:$A,0)),IFERROR(INDEX(_Entradas_ZIG!$B:$B,MATCH(I766,_Entradas_ZIG!$C:$C,0)),"—"))</f>
        <v/>
      </c>
      <c r="K766" s="93">
        <f>IFERROR(INDEX(_ZIG_Cadastro!$C:$C,MATCH(I766,_ZIG_Cadastro!$A:$A,0)),IFERROR(INDEX(_Entradas_ZIG!$D:$D,MATCH(I766,_Entradas_ZIG!$C:$C,0)),"—"))</f>
        <v/>
      </c>
      <c r="L766" s="92">
        <f>IF(I766="","Sem SKU ZIG",IF(I766="—","Sem SKU ZIG",IF(NOT(ISERROR(MATCH(I766,_ZIG_Cadastro!$A:$A,0))),IF(EXACT(UPPER(TRIM(C766)),UPPER(TRIM(INDEX(_ZIG_Cadastro!$B:$B,MATCH(I766,_ZIG_Cadastro!$A:$A,0))))),"OK","Atencao - Nome diverge"),IF(NOT(ISERROR(MATCH(I766,_Entradas_ZIG!$C:$C,0))),"OK","Erro - SKU nao encontrado"))))</f>
        <v/>
      </c>
      <c r="M766" s="92">
        <f>IFERROR(INDEX(_ZIG_Cadastro!$G:$G,MATCH(I766,_ZIG_Cadastro!$A:$A,0)),IF(NOT(ISERROR(MATCH(I766,_Entradas_ZIG!$C:$C,0))),"Ativo","—"))</f>
        <v/>
      </c>
      <c r="N766" s="94">
        <f>IFERROR(INDEX(_ZIG_Cadastro!$E:$E,MATCH(I766,_ZIG_Cadastro!$A:$A,0)),IFERROR(INDEX(_Entradas_ZIG!$F:$F,MATCH(I766,_Entradas_ZIG!$C:$C,0)),"—"))</f>
        <v/>
      </c>
      <c r="O766" s="92">
        <f>IF(AND(ISNUMBER(SEARCH("Espeto",N766)),ISNUMBER(SEARCH("Carin",N766))),"SIM","")</f>
        <v/>
      </c>
      <c r="P766" s="92">
        <f>IF(AND(ISNUMBER(SEARCH("Espeto",N766)),ISNUMBER(SEARCH("Lapa",N766))),"SIM","")</f>
        <v/>
      </c>
      <c r="Q766" s="92">
        <f>IF(AND(ISNUMBER(SEARCH("Espeto",N766)),ISNUMBER(SEARCH("Tatuapé",N766))),"SIM","")</f>
        <v/>
      </c>
      <c r="R766" s="92">
        <f>IF(AND(ISNUMBER(SEARCH("Espeto",N766)),ISNUMBER(SEARCH("Pavão",N766))),"SIM","")</f>
        <v/>
      </c>
      <c r="S766" s="92">
        <f>IF(AND(ISNUMBER(SEARCH("Espeto",N766)),ISNUMBER(SEARCH("Chac",N766))),"SIM","")</f>
        <v/>
      </c>
      <c r="T766" s="92">
        <f>IF(AND(ISNUMBER(SEARCH("Espeto",N766)),ISNUMBER(SEARCH("Madalena",N766))),"SIM","")</f>
        <v/>
      </c>
      <c r="U766" s="92">
        <f>IF(AND(ISNUMBER(SEARCH("Espeto",N766)),ISNUMBER(SEARCH("Mariana",N766))),"SIM","")</f>
        <v/>
      </c>
      <c r="V766" s="92">
        <f>IF(AND(ISNUMBER(SEARCH("Espeto",N766)),ISNUMBER(SEARCH("Perdizes",N766))),"SIM","")</f>
        <v/>
      </c>
      <c r="W766" s="92">
        <f>IF(AND(ISNUMBER(SEARCH("Espeto",N766)),ISNUMBER(SEARCH("Santana",N766))),"SIM","")</f>
        <v/>
      </c>
      <c r="X766" s="92">
        <f>IF(AND(ISNUMBER(SEARCH("Espeto",N766)),ISNUMBER(SEARCH("André",N766))),"SIM","")</f>
        <v/>
      </c>
      <c r="Y766" s="92">
        <f>IF(AND(ISNUMBER(SEARCH("Delivery",N766)),ISNUMBER(SEARCH("Carin",N766))),"SIM","")</f>
        <v/>
      </c>
      <c r="Z766" s="92">
        <f>IF(AND(ISNUMBER(SEARCH("Delivery",N766)),ISNUMBER(SEARCH("Lapa",N766))),"SIM","")</f>
        <v/>
      </c>
      <c r="AA766" s="92">
        <f>IF(AND(ISNUMBER(SEARCH("Delivery",N766)),ISNUMBER(SEARCH("Tatuapé",N766))),"SIM","")</f>
        <v/>
      </c>
      <c r="AB766" s="92">
        <f>IF(AND(ISNUMBER(SEARCH("Delivery",N766)),ISNUMBER(SEARCH("Pavão",N766))),"SIM","")</f>
        <v/>
      </c>
      <c r="AC766" s="92">
        <f>IF(AND(ISNUMBER(SEARCH("Delivery",N766)),ISNUMBER(SEARCH("Chac",N766))),"SIM","")</f>
        <v/>
      </c>
      <c r="AD766" s="92">
        <f>IF(AND(ISNUMBER(SEARCH("Delivery",N766)),ISNUMBER(SEARCH("Madalena",N766))),"SIM","")</f>
        <v/>
      </c>
      <c r="AE766" s="99">
        <f>IF(AND(ISNUMBER(SEARCH("Delivery",N766)),ISNUMBER(SEARCH("Mariana",N766))),"SIM","")</f>
        <v/>
      </c>
      <c r="AF766" s="99">
        <f>IF(AND(ISNUMBER(SEARCH("Delivery",N766)),ISNUMBER(SEARCH("Perdizes",N766))),"SIM","")</f>
        <v/>
      </c>
      <c r="AG766" s="99">
        <f>IF(AND(ISNUMBER(SEARCH("Delivery",N766)),ISNUMBER(SEARCH("Santana",N766))),"SIM","")</f>
        <v/>
      </c>
      <c r="AH766" s="99">
        <f>IF(AND(ISNUMBER(SEARCH("Delivery",N766)),ISNUMBER(SEARCH("André",N766))),"SIM","")</f>
        <v/>
      </c>
      <c r="AI766" s="99">
        <f>IF(ISNUMBER(SEARCH("Interlagos",N766)),"SIM","")</f>
        <v/>
      </c>
      <c r="AJ766" s="99">
        <f>IF(ISNUMBER(SEARCH("Quiosque",N766)),"SIM","")</f>
        <v/>
      </c>
      <c r="AK766" s="101" t="n"/>
    </row>
    <row r="767">
      <c r="A767" s="88" t="inlineStr">
        <is>
          <t>Protheus</t>
        </is>
      </c>
      <c r="B767" s="89" t="inlineStr">
        <is>
          <t>002001</t>
        </is>
      </c>
      <c r="C767" s="90">
        <f>IF(B767="—","—",IFERROR(VLOOKUP(B767,_Protheus_Cadastro!$A:$B,2,FALSE),"—"))</f>
        <v/>
      </c>
      <c r="D767" s="91">
        <f>IF(B767="—",IFERROR(INDEX(_ZIG_Cadastro!$D:$D,MATCH(H767,_ZIG_Cadastro!$A:$A,0)),"Produto"),IFERROR(VLOOKUP(B767,_Protheus_Cadastro!$A:$C,3,FALSE),"—"))</f>
        <v/>
      </c>
      <c r="E767" s="91">
        <f>IF(B767="—","—",IFERROR(VLOOKUP(B767,_Protheus_Cadastro!$A:$D,4,FALSE),"—"))</f>
        <v/>
      </c>
      <c r="F767" s="91">
        <f>IF(ISERROR(VLOOKUP(B767,'Estrutura Protheus'!A:A,1,FALSE)),"Não","Sim")</f>
        <v/>
      </c>
      <c r="G767" s="92">
        <f>IFERROR(INDEX(_Protheus_Cadastro!$H:$H,MATCH(B767,_Protheus_Cadastro!$A:$A,0)),"—")</f>
        <v/>
      </c>
      <c r="H767" s="210">
        <f>IFERROR(INDEX(_ZIG_Precos!$D:$D,MATCH(I767,_ZIG_Precos!$F:$F,0)),"—")</f>
        <v/>
      </c>
      <c r="I767" s="95">
        <f>IFERROR(VLOOKUP(B767,_Protheus_Cadastro!$A:$I,9,FALSE),"—")</f>
        <v/>
      </c>
      <c r="J767" s="93">
        <f>IFERROR(INDEX(_ZIG_Cadastro!$B:$B,MATCH(I767,_ZIG_Cadastro!$A:$A,0)),IFERROR(INDEX(_Entradas_ZIG!$B:$B,MATCH(I767,_Entradas_ZIG!$C:$C,0)),"—"))</f>
        <v/>
      </c>
      <c r="K767" s="93">
        <f>IFERROR(INDEX(_ZIG_Cadastro!$C:$C,MATCH(I767,_ZIG_Cadastro!$A:$A,0)),IFERROR(INDEX(_Entradas_ZIG!$D:$D,MATCH(I767,_Entradas_ZIG!$C:$C,0)),"—"))</f>
        <v/>
      </c>
      <c r="L767" s="92">
        <f>IF(I767="","Sem SKU ZIG",IF(I767="—","Sem SKU ZIG",IF(NOT(ISERROR(MATCH(I767,_ZIG_Cadastro!$A:$A,0))),IF(EXACT(UPPER(TRIM(C767)),UPPER(TRIM(INDEX(_ZIG_Cadastro!$B:$B,MATCH(I767,_ZIG_Cadastro!$A:$A,0))))),"OK","Atencao - Nome diverge"),IF(NOT(ISERROR(MATCH(I767,_Entradas_ZIG!$C:$C,0))),"OK","Erro - SKU nao encontrado"))))</f>
        <v/>
      </c>
      <c r="M767" s="92">
        <f>IFERROR(INDEX(_ZIG_Cadastro!$G:$G,MATCH(I767,_ZIG_Cadastro!$A:$A,0)),IF(NOT(ISERROR(MATCH(I767,_Entradas_ZIG!$C:$C,0))),"Ativo","—"))</f>
        <v/>
      </c>
      <c r="N767" s="94">
        <f>IFERROR(INDEX(_ZIG_Cadastro!$E:$E,MATCH(I767,_ZIG_Cadastro!$A:$A,0)),IFERROR(INDEX(_Entradas_ZIG!$F:$F,MATCH(I767,_Entradas_ZIG!$C:$C,0)),"—"))</f>
        <v/>
      </c>
      <c r="O767" s="92">
        <f>IF(AND(ISNUMBER(SEARCH("Espeto",N767)),ISNUMBER(SEARCH("Carin",N767))),"SIM","")</f>
        <v/>
      </c>
      <c r="P767" s="92">
        <f>IF(AND(ISNUMBER(SEARCH("Espeto",N767)),ISNUMBER(SEARCH("Lapa",N767))),"SIM","")</f>
        <v/>
      </c>
      <c r="Q767" s="92">
        <f>IF(AND(ISNUMBER(SEARCH("Espeto",N767)),ISNUMBER(SEARCH("Tatuapé",N767))),"SIM","")</f>
        <v/>
      </c>
      <c r="R767" s="92">
        <f>IF(AND(ISNUMBER(SEARCH("Espeto",N767)),ISNUMBER(SEARCH("Pavão",N767))),"SIM","")</f>
        <v/>
      </c>
      <c r="S767" s="92">
        <f>IF(AND(ISNUMBER(SEARCH("Espeto",N767)),ISNUMBER(SEARCH("Chac",N767))),"SIM","")</f>
        <v/>
      </c>
      <c r="T767" s="92">
        <f>IF(AND(ISNUMBER(SEARCH("Espeto",N767)),ISNUMBER(SEARCH("Madalena",N767))),"SIM","")</f>
        <v/>
      </c>
      <c r="U767" s="92">
        <f>IF(AND(ISNUMBER(SEARCH("Espeto",N767)),ISNUMBER(SEARCH("Mariana",N767))),"SIM","")</f>
        <v/>
      </c>
      <c r="V767" s="92">
        <f>IF(AND(ISNUMBER(SEARCH("Espeto",N767)),ISNUMBER(SEARCH("Perdizes",N767))),"SIM","")</f>
        <v/>
      </c>
      <c r="W767" s="92">
        <f>IF(AND(ISNUMBER(SEARCH("Espeto",N767)),ISNUMBER(SEARCH("Santana",N767))),"SIM","")</f>
        <v/>
      </c>
      <c r="X767" s="92">
        <f>IF(AND(ISNUMBER(SEARCH("Espeto",N767)),ISNUMBER(SEARCH("André",N767))),"SIM","")</f>
        <v/>
      </c>
      <c r="Y767" s="92">
        <f>IF(AND(ISNUMBER(SEARCH("Delivery",N767)),ISNUMBER(SEARCH("Carin",N767))),"SIM","")</f>
        <v/>
      </c>
      <c r="Z767" s="92">
        <f>IF(AND(ISNUMBER(SEARCH("Delivery",N767)),ISNUMBER(SEARCH("Lapa",N767))),"SIM","")</f>
        <v/>
      </c>
      <c r="AA767" s="92">
        <f>IF(AND(ISNUMBER(SEARCH("Delivery",N767)),ISNUMBER(SEARCH("Tatuapé",N767))),"SIM","")</f>
        <v/>
      </c>
      <c r="AB767" s="92">
        <f>IF(AND(ISNUMBER(SEARCH("Delivery",N767)),ISNUMBER(SEARCH("Pavão",N767))),"SIM","")</f>
        <v/>
      </c>
      <c r="AC767" s="92">
        <f>IF(AND(ISNUMBER(SEARCH("Delivery",N767)),ISNUMBER(SEARCH("Chac",N767))),"SIM","")</f>
        <v/>
      </c>
      <c r="AD767" s="92">
        <f>IF(AND(ISNUMBER(SEARCH("Delivery",N767)),ISNUMBER(SEARCH("Madalena",N767))),"SIM","")</f>
        <v/>
      </c>
      <c r="AE767" s="99">
        <f>IF(AND(ISNUMBER(SEARCH("Delivery",N767)),ISNUMBER(SEARCH("Mariana",N767))),"SIM","")</f>
        <v/>
      </c>
      <c r="AF767" s="99">
        <f>IF(AND(ISNUMBER(SEARCH("Delivery",N767)),ISNUMBER(SEARCH("Perdizes",N767))),"SIM","")</f>
        <v/>
      </c>
      <c r="AG767" s="99">
        <f>IF(AND(ISNUMBER(SEARCH("Delivery",N767)),ISNUMBER(SEARCH("Santana",N767))),"SIM","")</f>
        <v/>
      </c>
      <c r="AH767" s="99">
        <f>IF(AND(ISNUMBER(SEARCH("Delivery",N767)),ISNUMBER(SEARCH("André",N767))),"SIM","")</f>
        <v/>
      </c>
      <c r="AI767" s="99">
        <f>IF(ISNUMBER(SEARCH("Interlagos",N767)),"SIM","")</f>
        <v/>
      </c>
      <c r="AJ767" s="99">
        <f>IF(ISNUMBER(SEARCH("Quiosque",N767)),"SIM","")</f>
        <v/>
      </c>
      <c r="AK767" s="101" t="n"/>
    </row>
    <row r="768">
      <c r="A768" s="88" t="inlineStr">
        <is>
          <t>Protheus</t>
        </is>
      </c>
      <c r="B768" s="89" t="inlineStr">
        <is>
          <t>002010</t>
        </is>
      </c>
      <c r="C768" s="90">
        <f>IF(B768="—","—",IFERROR(VLOOKUP(B768,_Protheus_Cadastro!$A:$B,2,FALSE),"—"))</f>
        <v/>
      </c>
      <c r="D768" s="91">
        <f>IF(B768="—",IFERROR(INDEX(_ZIG_Cadastro!$D:$D,MATCH(H768,_ZIG_Cadastro!$A:$A,0)),"Produto"),IFERROR(VLOOKUP(B768,_Protheus_Cadastro!$A:$C,3,FALSE),"—"))</f>
        <v/>
      </c>
      <c r="E768" s="91">
        <f>IF(B768="—","—",IFERROR(VLOOKUP(B768,_Protheus_Cadastro!$A:$D,4,FALSE),"—"))</f>
        <v/>
      </c>
      <c r="F768" s="91">
        <f>IF(ISERROR(VLOOKUP(B768,'Estrutura Protheus'!A:A,1,FALSE)),"Não","Sim")</f>
        <v/>
      </c>
      <c r="G768" s="92">
        <f>IFERROR(INDEX(_Protheus_Cadastro!$H:$H,MATCH(B768,_Protheus_Cadastro!$A:$A,0)),"—")</f>
        <v/>
      </c>
      <c r="H768" s="210">
        <f>IFERROR(INDEX(_ZIG_Precos!$D:$D,MATCH(I768,_ZIG_Precos!$F:$F,0)),"—")</f>
        <v/>
      </c>
      <c r="I768" s="95">
        <f>IFERROR(VLOOKUP(B768,_Protheus_Cadastro!$A:$I,9,FALSE),"—")</f>
        <v/>
      </c>
      <c r="J768" s="93">
        <f>IFERROR(INDEX(_ZIG_Cadastro!$B:$B,MATCH(I768,_ZIG_Cadastro!$A:$A,0)),IFERROR(INDEX(_Entradas_ZIG!$B:$B,MATCH(I768,_Entradas_ZIG!$C:$C,0)),"—"))</f>
        <v/>
      </c>
      <c r="K768" s="93">
        <f>IFERROR(INDEX(_ZIG_Cadastro!$C:$C,MATCH(I768,_ZIG_Cadastro!$A:$A,0)),IFERROR(INDEX(_Entradas_ZIG!$D:$D,MATCH(I768,_Entradas_ZIG!$C:$C,0)),"—"))</f>
        <v/>
      </c>
      <c r="L768" s="92">
        <f>IF(I768="","Sem SKU ZIG",IF(I768="—","Sem SKU ZIG",IF(NOT(ISERROR(MATCH(I768,_ZIG_Cadastro!$A:$A,0))),IF(EXACT(UPPER(TRIM(C768)),UPPER(TRIM(INDEX(_ZIG_Cadastro!$B:$B,MATCH(I768,_ZIG_Cadastro!$A:$A,0))))),"OK","Atencao - Nome diverge"),IF(NOT(ISERROR(MATCH(I768,_Entradas_ZIG!$C:$C,0))),"OK","Erro - SKU nao encontrado"))))</f>
        <v/>
      </c>
      <c r="M768" s="92">
        <f>IFERROR(INDEX(_ZIG_Cadastro!$G:$G,MATCH(I768,_ZIG_Cadastro!$A:$A,0)),IF(NOT(ISERROR(MATCH(I768,_Entradas_ZIG!$C:$C,0))),"Ativo","—"))</f>
        <v/>
      </c>
      <c r="N768" s="94">
        <f>IFERROR(INDEX(_ZIG_Cadastro!$E:$E,MATCH(I768,_ZIG_Cadastro!$A:$A,0)),IFERROR(INDEX(_Entradas_ZIG!$F:$F,MATCH(I768,_Entradas_ZIG!$C:$C,0)),"—"))</f>
        <v/>
      </c>
      <c r="O768" s="92">
        <f>IF(AND(ISNUMBER(SEARCH("Espeto",N768)),ISNUMBER(SEARCH("Carin",N768))),"SIM","")</f>
        <v/>
      </c>
      <c r="P768" s="92">
        <f>IF(AND(ISNUMBER(SEARCH("Espeto",N768)),ISNUMBER(SEARCH("Lapa",N768))),"SIM","")</f>
        <v/>
      </c>
      <c r="Q768" s="92">
        <f>IF(AND(ISNUMBER(SEARCH("Espeto",N768)),ISNUMBER(SEARCH("Tatuapé",N768))),"SIM","")</f>
        <v/>
      </c>
      <c r="R768" s="92">
        <f>IF(AND(ISNUMBER(SEARCH("Espeto",N768)),ISNUMBER(SEARCH("Pavão",N768))),"SIM","")</f>
        <v/>
      </c>
      <c r="S768" s="92">
        <f>IF(AND(ISNUMBER(SEARCH("Espeto",N768)),ISNUMBER(SEARCH("Chac",N768))),"SIM","")</f>
        <v/>
      </c>
      <c r="T768" s="92">
        <f>IF(AND(ISNUMBER(SEARCH("Espeto",N768)),ISNUMBER(SEARCH("Madalena",N768))),"SIM","")</f>
        <v/>
      </c>
      <c r="U768" s="92">
        <f>IF(AND(ISNUMBER(SEARCH("Espeto",N768)),ISNUMBER(SEARCH("Mariana",N768))),"SIM","")</f>
        <v/>
      </c>
      <c r="V768" s="92">
        <f>IF(AND(ISNUMBER(SEARCH("Espeto",N768)),ISNUMBER(SEARCH("Perdizes",N768))),"SIM","")</f>
        <v/>
      </c>
      <c r="W768" s="92">
        <f>IF(AND(ISNUMBER(SEARCH("Espeto",N768)),ISNUMBER(SEARCH("Santana",N768))),"SIM","")</f>
        <v/>
      </c>
      <c r="X768" s="92">
        <f>IF(AND(ISNUMBER(SEARCH("Espeto",N768)),ISNUMBER(SEARCH("André",N768))),"SIM","")</f>
        <v/>
      </c>
      <c r="Y768" s="92">
        <f>IF(AND(ISNUMBER(SEARCH("Delivery",N768)),ISNUMBER(SEARCH("Carin",N768))),"SIM","")</f>
        <v/>
      </c>
      <c r="Z768" s="92">
        <f>IF(AND(ISNUMBER(SEARCH("Delivery",N768)),ISNUMBER(SEARCH("Lapa",N768))),"SIM","")</f>
        <v/>
      </c>
      <c r="AA768" s="92">
        <f>IF(AND(ISNUMBER(SEARCH("Delivery",N768)),ISNUMBER(SEARCH("Tatuapé",N768))),"SIM","")</f>
        <v/>
      </c>
      <c r="AB768" s="92">
        <f>IF(AND(ISNUMBER(SEARCH("Delivery",N768)),ISNUMBER(SEARCH("Pavão",N768))),"SIM","")</f>
        <v/>
      </c>
      <c r="AC768" s="92">
        <f>IF(AND(ISNUMBER(SEARCH("Delivery",N768)),ISNUMBER(SEARCH("Chac",N768))),"SIM","")</f>
        <v/>
      </c>
      <c r="AD768" s="92">
        <f>IF(AND(ISNUMBER(SEARCH("Delivery",N768)),ISNUMBER(SEARCH("Madalena",N768))),"SIM","")</f>
        <v/>
      </c>
      <c r="AE768" s="99">
        <f>IF(AND(ISNUMBER(SEARCH("Delivery",N768)),ISNUMBER(SEARCH("Mariana",N768))),"SIM","")</f>
        <v/>
      </c>
      <c r="AF768" s="99">
        <f>IF(AND(ISNUMBER(SEARCH("Delivery",N768)),ISNUMBER(SEARCH("Perdizes",N768))),"SIM","")</f>
        <v/>
      </c>
      <c r="AG768" s="99">
        <f>IF(AND(ISNUMBER(SEARCH("Delivery",N768)),ISNUMBER(SEARCH("Santana",N768))),"SIM","")</f>
        <v/>
      </c>
      <c r="AH768" s="99">
        <f>IF(AND(ISNUMBER(SEARCH("Delivery",N768)),ISNUMBER(SEARCH("André",N768))),"SIM","")</f>
        <v/>
      </c>
      <c r="AI768" s="99">
        <f>IF(ISNUMBER(SEARCH("Interlagos",N768)),"SIM","")</f>
        <v/>
      </c>
      <c r="AJ768" s="99">
        <f>IF(ISNUMBER(SEARCH("Quiosque",N768)),"SIM","")</f>
        <v/>
      </c>
      <c r="AK768" s="101" t="n"/>
    </row>
    <row r="769">
      <c r="A769" s="88" t="inlineStr">
        <is>
          <t>Protheus</t>
        </is>
      </c>
      <c r="B769" s="89" t="inlineStr">
        <is>
          <t>002012</t>
        </is>
      </c>
      <c r="C769" s="90">
        <f>IF(B769="—","—",IFERROR(VLOOKUP(B769,_Protheus_Cadastro!$A:$B,2,FALSE),"—"))</f>
        <v/>
      </c>
      <c r="D769" s="91">
        <f>IF(B769="—",IFERROR(INDEX(_ZIG_Cadastro!$D:$D,MATCH(H769,_ZIG_Cadastro!$A:$A,0)),"Produto"),IFERROR(VLOOKUP(B769,_Protheus_Cadastro!$A:$C,3,FALSE),"—"))</f>
        <v/>
      </c>
      <c r="E769" s="91">
        <f>IF(B769="—","—",IFERROR(VLOOKUP(B769,_Protheus_Cadastro!$A:$D,4,FALSE),"—"))</f>
        <v/>
      </c>
      <c r="F769" s="91">
        <f>IF(ISERROR(VLOOKUP(B769,'Estrutura Protheus'!A:A,1,FALSE)),"Não","Sim")</f>
        <v/>
      </c>
      <c r="G769" s="92">
        <f>IFERROR(INDEX(_Protheus_Cadastro!$H:$H,MATCH(B769,_Protheus_Cadastro!$A:$A,0)),"—")</f>
        <v/>
      </c>
      <c r="H769" s="210">
        <f>IFERROR(INDEX(_ZIG_Precos!$D:$D,MATCH(I769,_ZIG_Precos!$F:$F,0)),"—")</f>
        <v/>
      </c>
      <c r="I769" s="95">
        <f>IFERROR(VLOOKUP(B769,_Protheus_Cadastro!$A:$I,9,FALSE),"—")</f>
        <v/>
      </c>
      <c r="J769" s="93">
        <f>IFERROR(INDEX(_ZIG_Cadastro!$B:$B,MATCH(I769,_ZIG_Cadastro!$A:$A,0)),IFERROR(INDEX(_Entradas_ZIG!$B:$B,MATCH(I769,_Entradas_ZIG!$C:$C,0)),"—"))</f>
        <v/>
      </c>
      <c r="K769" s="93">
        <f>IFERROR(INDEX(_ZIG_Cadastro!$C:$C,MATCH(I769,_ZIG_Cadastro!$A:$A,0)),IFERROR(INDEX(_Entradas_ZIG!$D:$D,MATCH(I769,_Entradas_ZIG!$C:$C,0)),"—"))</f>
        <v/>
      </c>
      <c r="L769" s="92">
        <f>IF(I769="","Sem SKU ZIG",IF(I769="—","Sem SKU ZIG",IF(NOT(ISERROR(MATCH(I769,_ZIG_Cadastro!$A:$A,0))),IF(EXACT(UPPER(TRIM(C769)),UPPER(TRIM(INDEX(_ZIG_Cadastro!$B:$B,MATCH(I769,_ZIG_Cadastro!$A:$A,0))))),"OK","Atencao - Nome diverge"),IF(NOT(ISERROR(MATCH(I769,_Entradas_ZIG!$C:$C,0))),"OK","Erro - SKU nao encontrado"))))</f>
        <v/>
      </c>
      <c r="M769" s="92">
        <f>IFERROR(INDEX(_ZIG_Cadastro!$G:$G,MATCH(I769,_ZIG_Cadastro!$A:$A,0)),IF(NOT(ISERROR(MATCH(I769,_Entradas_ZIG!$C:$C,0))),"Ativo","—"))</f>
        <v/>
      </c>
      <c r="N769" s="94">
        <f>IFERROR(INDEX(_ZIG_Cadastro!$E:$E,MATCH(I769,_ZIG_Cadastro!$A:$A,0)),IFERROR(INDEX(_Entradas_ZIG!$F:$F,MATCH(I769,_Entradas_ZIG!$C:$C,0)),"—"))</f>
        <v/>
      </c>
      <c r="O769" s="92">
        <f>IF(AND(ISNUMBER(SEARCH("Espeto",N769)),ISNUMBER(SEARCH("Carin",N769))),"SIM","")</f>
        <v/>
      </c>
      <c r="P769" s="92">
        <f>IF(AND(ISNUMBER(SEARCH("Espeto",N769)),ISNUMBER(SEARCH("Lapa",N769))),"SIM","")</f>
        <v/>
      </c>
      <c r="Q769" s="92">
        <f>IF(AND(ISNUMBER(SEARCH("Espeto",N769)),ISNUMBER(SEARCH("Tatuapé",N769))),"SIM","")</f>
        <v/>
      </c>
      <c r="R769" s="92">
        <f>IF(AND(ISNUMBER(SEARCH("Espeto",N769)),ISNUMBER(SEARCH("Pavão",N769))),"SIM","")</f>
        <v/>
      </c>
      <c r="S769" s="92">
        <f>IF(AND(ISNUMBER(SEARCH("Espeto",N769)),ISNUMBER(SEARCH("Chac",N769))),"SIM","")</f>
        <v/>
      </c>
      <c r="T769" s="92">
        <f>IF(AND(ISNUMBER(SEARCH("Espeto",N769)),ISNUMBER(SEARCH("Madalena",N769))),"SIM","")</f>
        <v/>
      </c>
      <c r="U769" s="92">
        <f>IF(AND(ISNUMBER(SEARCH("Espeto",N769)),ISNUMBER(SEARCH("Mariana",N769))),"SIM","")</f>
        <v/>
      </c>
      <c r="V769" s="92">
        <f>IF(AND(ISNUMBER(SEARCH("Espeto",N769)),ISNUMBER(SEARCH("Perdizes",N769))),"SIM","")</f>
        <v/>
      </c>
      <c r="W769" s="92">
        <f>IF(AND(ISNUMBER(SEARCH("Espeto",N769)),ISNUMBER(SEARCH("Santana",N769))),"SIM","")</f>
        <v/>
      </c>
      <c r="X769" s="92">
        <f>IF(AND(ISNUMBER(SEARCH("Espeto",N769)),ISNUMBER(SEARCH("André",N769))),"SIM","")</f>
        <v/>
      </c>
      <c r="Y769" s="92">
        <f>IF(AND(ISNUMBER(SEARCH("Delivery",N769)),ISNUMBER(SEARCH("Carin",N769))),"SIM","")</f>
        <v/>
      </c>
      <c r="Z769" s="92">
        <f>IF(AND(ISNUMBER(SEARCH("Delivery",N769)),ISNUMBER(SEARCH("Lapa",N769))),"SIM","")</f>
        <v/>
      </c>
      <c r="AA769" s="92">
        <f>IF(AND(ISNUMBER(SEARCH("Delivery",N769)),ISNUMBER(SEARCH("Tatuapé",N769))),"SIM","")</f>
        <v/>
      </c>
      <c r="AB769" s="92">
        <f>IF(AND(ISNUMBER(SEARCH("Delivery",N769)),ISNUMBER(SEARCH("Pavão",N769))),"SIM","")</f>
        <v/>
      </c>
      <c r="AC769" s="92">
        <f>IF(AND(ISNUMBER(SEARCH("Delivery",N769)),ISNUMBER(SEARCH("Chac",N769))),"SIM","")</f>
        <v/>
      </c>
      <c r="AD769" s="92">
        <f>IF(AND(ISNUMBER(SEARCH("Delivery",N769)),ISNUMBER(SEARCH("Madalena",N769))),"SIM","")</f>
        <v/>
      </c>
      <c r="AE769" s="99">
        <f>IF(AND(ISNUMBER(SEARCH("Delivery",N769)),ISNUMBER(SEARCH("Mariana",N769))),"SIM","")</f>
        <v/>
      </c>
      <c r="AF769" s="99">
        <f>IF(AND(ISNUMBER(SEARCH("Delivery",N769)),ISNUMBER(SEARCH("Perdizes",N769))),"SIM","")</f>
        <v/>
      </c>
      <c r="AG769" s="99">
        <f>IF(AND(ISNUMBER(SEARCH("Delivery",N769)),ISNUMBER(SEARCH("Santana",N769))),"SIM","")</f>
        <v/>
      </c>
      <c r="AH769" s="99">
        <f>IF(AND(ISNUMBER(SEARCH("Delivery",N769)),ISNUMBER(SEARCH("André",N769))),"SIM","")</f>
        <v/>
      </c>
      <c r="AI769" s="99">
        <f>IF(ISNUMBER(SEARCH("Interlagos",N769)),"SIM","")</f>
        <v/>
      </c>
      <c r="AJ769" s="99">
        <f>IF(ISNUMBER(SEARCH("Quiosque",N769)),"SIM","")</f>
        <v/>
      </c>
      <c r="AK769" s="101" t="n"/>
    </row>
    <row r="770">
      <c r="A770" s="88" t="inlineStr">
        <is>
          <t>Protheus</t>
        </is>
      </c>
      <c r="B770" s="89" t="inlineStr">
        <is>
          <t>002041</t>
        </is>
      </c>
      <c r="C770" s="90">
        <f>IF(B770="—","—",IFERROR(VLOOKUP(B770,_Protheus_Cadastro!$A:$B,2,FALSE),"—"))</f>
        <v/>
      </c>
      <c r="D770" s="91">
        <f>IF(B770="—",IFERROR(INDEX(_ZIG_Cadastro!$D:$D,MATCH(H770,_ZIG_Cadastro!$A:$A,0)),"Produto"),IFERROR(VLOOKUP(B770,_Protheus_Cadastro!$A:$C,3,FALSE),"—"))</f>
        <v/>
      </c>
      <c r="E770" s="91">
        <f>IF(B770="—","—",IFERROR(VLOOKUP(B770,_Protheus_Cadastro!$A:$D,4,FALSE),"—"))</f>
        <v/>
      </c>
      <c r="F770" s="91">
        <f>IF(ISERROR(VLOOKUP(B770,'Estrutura Protheus'!A:A,1,FALSE)),"Não","Sim")</f>
        <v/>
      </c>
      <c r="G770" s="92">
        <f>IFERROR(INDEX(_Protheus_Cadastro!$H:$H,MATCH(B770,_Protheus_Cadastro!$A:$A,0)),"—")</f>
        <v/>
      </c>
      <c r="H770" s="210">
        <f>IFERROR(INDEX(_ZIG_Precos!$D:$D,MATCH(I770,_ZIG_Precos!$F:$F,0)),"—")</f>
        <v/>
      </c>
      <c r="I770" s="95">
        <f>IFERROR(VLOOKUP(B770,_Protheus_Cadastro!$A:$I,9,FALSE),"—")</f>
        <v/>
      </c>
      <c r="J770" s="93">
        <f>IFERROR(INDEX(_ZIG_Cadastro!$B:$B,MATCH(I770,_ZIG_Cadastro!$A:$A,0)),IFERROR(INDEX(_Entradas_ZIG!$B:$B,MATCH(I770,_Entradas_ZIG!$C:$C,0)),"—"))</f>
        <v/>
      </c>
      <c r="K770" s="93">
        <f>IFERROR(INDEX(_ZIG_Cadastro!$C:$C,MATCH(I770,_ZIG_Cadastro!$A:$A,0)),IFERROR(INDEX(_Entradas_ZIG!$D:$D,MATCH(I770,_Entradas_ZIG!$C:$C,0)),"—"))</f>
        <v/>
      </c>
      <c r="L770" s="92">
        <f>IF(I770="","Sem SKU ZIG",IF(I770="—","Sem SKU ZIG",IF(NOT(ISERROR(MATCH(I770,_ZIG_Cadastro!$A:$A,0))),IF(EXACT(UPPER(TRIM(C770)),UPPER(TRIM(INDEX(_ZIG_Cadastro!$B:$B,MATCH(I770,_ZIG_Cadastro!$A:$A,0))))),"OK","Atencao - Nome diverge"),IF(NOT(ISERROR(MATCH(I770,_Entradas_ZIG!$C:$C,0))),"OK","Erro - SKU nao encontrado"))))</f>
        <v/>
      </c>
      <c r="M770" s="92">
        <f>IFERROR(INDEX(_ZIG_Cadastro!$G:$G,MATCH(I770,_ZIG_Cadastro!$A:$A,0)),IF(NOT(ISERROR(MATCH(I770,_Entradas_ZIG!$C:$C,0))),"Ativo","—"))</f>
        <v/>
      </c>
      <c r="N770" s="94">
        <f>IFERROR(INDEX(_ZIG_Cadastro!$E:$E,MATCH(I770,_ZIG_Cadastro!$A:$A,0)),IFERROR(INDEX(_Entradas_ZIG!$F:$F,MATCH(I770,_Entradas_ZIG!$C:$C,0)),"—"))</f>
        <v/>
      </c>
      <c r="O770" s="92">
        <f>IF(AND(ISNUMBER(SEARCH("Espeto",N770)),ISNUMBER(SEARCH("Carin",N770))),"SIM","")</f>
        <v/>
      </c>
      <c r="P770" s="92">
        <f>IF(AND(ISNUMBER(SEARCH("Espeto",N770)),ISNUMBER(SEARCH("Lapa",N770))),"SIM","")</f>
        <v/>
      </c>
      <c r="Q770" s="92">
        <f>IF(AND(ISNUMBER(SEARCH("Espeto",N770)),ISNUMBER(SEARCH("Tatuapé",N770))),"SIM","")</f>
        <v/>
      </c>
      <c r="R770" s="92">
        <f>IF(AND(ISNUMBER(SEARCH("Espeto",N770)),ISNUMBER(SEARCH("Pavão",N770))),"SIM","")</f>
        <v/>
      </c>
      <c r="S770" s="92">
        <f>IF(AND(ISNUMBER(SEARCH("Espeto",N770)),ISNUMBER(SEARCH("Chac",N770))),"SIM","")</f>
        <v/>
      </c>
      <c r="T770" s="92">
        <f>IF(AND(ISNUMBER(SEARCH("Espeto",N770)),ISNUMBER(SEARCH("Madalena",N770))),"SIM","")</f>
        <v/>
      </c>
      <c r="U770" s="92">
        <f>IF(AND(ISNUMBER(SEARCH("Espeto",N770)),ISNUMBER(SEARCH("Mariana",N770))),"SIM","")</f>
        <v/>
      </c>
      <c r="V770" s="92">
        <f>IF(AND(ISNUMBER(SEARCH("Espeto",N770)),ISNUMBER(SEARCH("Perdizes",N770))),"SIM","")</f>
        <v/>
      </c>
      <c r="W770" s="92">
        <f>IF(AND(ISNUMBER(SEARCH("Espeto",N770)),ISNUMBER(SEARCH("Santana",N770))),"SIM","")</f>
        <v/>
      </c>
      <c r="X770" s="92">
        <f>IF(AND(ISNUMBER(SEARCH("Espeto",N770)),ISNUMBER(SEARCH("André",N770))),"SIM","")</f>
        <v/>
      </c>
      <c r="Y770" s="92">
        <f>IF(AND(ISNUMBER(SEARCH("Delivery",N770)),ISNUMBER(SEARCH("Carin",N770))),"SIM","")</f>
        <v/>
      </c>
      <c r="Z770" s="92">
        <f>IF(AND(ISNUMBER(SEARCH("Delivery",N770)),ISNUMBER(SEARCH("Lapa",N770))),"SIM","")</f>
        <v/>
      </c>
      <c r="AA770" s="92">
        <f>IF(AND(ISNUMBER(SEARCH("Delivery",N770)),ISNUMBER(SEARCH("Tatuapé",N770))),"SIM","")</f>
        <v/>
      </c>
      <c r="AB770" s="92">
        <f>IF(AND(ISNUMBER(SEARCH("Delivery",N770)),ISNUMBER(SEARCH("Pavão",N770))),"SIM","")</f>
        <v/>
      </c>
      <c r="AC770" s="92">
        <f>IF(AND(ISNUMBER(SEARCH("Delivery",N770)),ISNUMBER(SEARCH("Chac",N770))),"SIM","")</f>
        <v/>
      </c>
      <c r="AD770" s="92">
        <f>IF(AND(ISNUMBER(SEARCH("Delivery",N770)),ISNUMBER(SEARCH("Madalena",N770))),"SIM","")</f>
        <v/>
      </c>
      <c r="AE770" s="99">
        <f>IF(AND(ISNUMBER(SEARCH("Delivery",N770)),ISNUMBER(SEARCH("Mariana",N770))),"SIM","")</f>
        <v/>
      </c>
      <c r="AF770" s="99">
        <f>IF(AND(ISNUMBER(SEARCH("Delivery",N770)),ISNUMBER(SEARCH("Perdizes",N770))),"SIM","")</f>
        <v/>
      </c>
      <c r="AG770" s="99">
        <f>IF(AND(ISNUMBER(SEARCH("Delivery",N770)),ISNUMBER(SEARCH("Santana",N770))),"SIM","")</f>
        <v/>
      </c>
      <c r="AH770" s="99">
        <f>IF(AND(ISNUMBER(SEARCH("Delivery",N770)),ISNUMBER(SEARCH("André",N770))),"SIM","")</f>
        <v/>
      </c>
      <c r="AI770" s="99">
        <f>IF(ISNUMBER(SEARCH("Interlagos",N770)),"SIM","")</f>
        <v/>
      </c>
      <c r="AJ770" s="99">
        <f>IF(ISNUMBER(SEARCH("Quiosque",N770)),"SIM","")</f>
        <v/>
      </c>
      <c r="AK770" s="101" t="n"/>
    </row>
    <row r="771">
      <c r="A771" s="88" t="inlineStr">
        <is>
          <t>Protheus</t>
        </is>
      </c>
      <c r="B771" s="89" t="inlineStr">
        <is>
          <t>002042</t>
        </is>
      </c>
      <c r="C771" s="90">
        <f>IF(B771="—","—",IFERROR(VLOOKUP(B771,_Protheus_Cadastro!$A:$B,2,FALSE),"—"))</f>
        <v/>
      </c>
      <c r="D771" s="91">
        <f>IF(B771="—",IFERROR(INDEX(_ZIG_Cadastro!$D:$D,MATCH(H771,_ZIG_Cadastro!$A:$A,0)),"Produto"),IFERROR(VLOOKUP(B771,_Protheus_Cadastro!$A:$C,3,FALSE),"—"))</f>
        <v/>
      </c>
      <c r="E771" s="91">
        <f>IF(B771="—","—",IFERROR(VLOOKUP(B771,_Protheus_Cadastro!$A:$D,4,FALSE),"—"))</f>
        <v/>
      </c>
      <c r="F771" s="91">
        <f>IF(ISERROR(VLOOKUP(B771,'Estrutura Protheus'!A:A,1,FALSE)),"Não","Sim")</f>
        <v/>
      </c>
      <c r="G771" s="92">
        <f>IFERROR(INDEX(_Protheus_Cadastro!$H:$H,MATCH(B771,_Protheus_Cadastro!$A:$A,0)),"—")</f>
        <v/>
      </c>
      <c r="H771" s="210">
        <f>IFERROR(INDEX(_ZIG_Precos!$D:$D,MATCH(I771,_ZIG_Precos!$F:$F,0)),"—")</f>
        <v/>
      </c>
      <c r="I771" s="95">
        <f>IFERROR(VLOOKUP(B771,_Protheus_Cadastro!$A:$I,9,FALSE),"—")</f>
        <v/>
      </c>
      <c r="J771" s="93">
        <f>IFERROR(INDEX(_ZIG_Cadastro!$B:$B,MATCH(I771,_ZIG_Cadastro!$A:$A,0)),IFERROR(INDEX(_Entradas_ZIG!$B:$B,MATCH(I771,_Entradas_ZIG!$C:$C,0)),"—"))</f>
        <v/>
      </c>
      <c r="K771" s="93">
        <f>IFERROR(INDEX(_ZIG_Cadastro!$C:$C,MATCH(I771,_ZIG_Cadastro!$A:$A,0)),IFERROR(INDEX(_Entradas_ZIG!$D:$D,MATCH(I771,_Entradas_ZIG!$C:$C,0)),"—"))</f>
        <v/>
      </c>
      <c r="L771" s="92">
        <f>IF(I771="","Sem SKU ZIG",IF(I771="—","Sem SKU ZIG",IF(NOT(ISERROR(MATCH(I771,_ZIG_Cadastro!$A:$A,0))),IF(EXACT(UPPER(TRIM(C771)),UPPER(TRIM(INDEX(_ZIG_Cadastro!$B:$B,MATCH(I771,_ZIG_Cadastro!$A:$A,0))))),"OK","Atencao - Nome diverge"),IF(NOT(ISERROR(MATCH(I771,_Entradas_ZIG!$C:$C,0))),"OK","Erro - SKU nao encontrado"))))</f>
        <v/>
      </c>
      <c r="M771" s="92">
        <f>IFERROR(INDEX(_ZIG_Cadastro!$G:$G,MATCH(I771,_ZIG_Cadastro!$A:$A,0)),IF(NOT(ISERROR(MATCH(I771,_Entradas_ZIG!$C:$C,0))),"Ativo","—"))</f>
        <v/>
      </c>
      <c r="N771" s="94">
        <f>IFERROR(INDEX(_ZIG_Cadastro!$E:$E,MATCH(I771,_ZIG_Cadastro!$A:$A,0)),IFERROR(INDEX(_Entradas_ZIG!$F:$F,MATCH(I771,_Entradas_ZIG!$C:$C,0)),"—"))</f>
        <v/>
      </c>
      <c r="O771" s="92">
        <f>IF(AND(ISNUMBER(SEARCH("Espeto",N771)),ISNUMBER(SEARCH("Carin",N771))),"SIM","")</f>
        <v/>
      </c>
      <c r="P771" s="92">
        <f>IF(AND(ISNUMBER(SEARCH("Espeto",N771)),ISNUMBER(SEARCH("Lapa",N771))),"SIM","")</f>
        <v/>
      </c>
      <c r="Q771" s="92">
        <f>IF(AND(ISNUMBER(SEARCH("Espeto",N771)),ISNUMBER(SEARCH("Tatuapé",N771))),"SIM","")</f>
        <v/>
      </c>
      <c r="R771" s="92">
        <f>IF(AND(ISNUMBER(SEARCH("Espeto",N771)),ISNUMBER(SEARCH("Pavão",N771))),"SIM","")</f>
        <v/>
      </c>
      <c r="S771" s="92">
        <f>IF(AND(ISNUMBER(SEARCH("Espeto",N771)),ISNUMBER(SEARCH("Chac",N771))),"SIM","")</f>
        <v/>
      </c>
      <c r="T771" s="92">
        <f>IF(AND(ISNUMBER(SEARCH("Espeto",N771)),ISNUMBER(SEARCH("Madalena",N771))),"SIM","")</f>
        <v/>
      </c>
      <c r="U771" s="92">
        <f>IF(AND(ISNUMBER(SEARCH("Espeto",N771)),ISNUMBER(SEARCH("Mariana",N771))),"SIM","")</f>
        <v/>
      </c>
      <c r="V771" s="92">
        <f>IF(AND(ISNUMBER(SEARCH("Espeto",N771)),ISNUMBER(SEARCH("Perdizes",N771))),"SIM","")</f>
        <v/>
      </c>
      <c r="W771" s="92">
        <f>IF(AND(ISNUMBER(SEARCH("Espeto",N771)),ISNUMBER(SEARCH("Santana",N771))),"SIM","")</f>
        <v/>
      </c>
      <c r="X771" s="92">
        <f>IF(AND(ISNUMBER(SEARCH("Espeto",N771)),ISNUMBER(SEARCH("André",N771))),"SIM","")</f>
        <v/>
      </c>
      <c r="Y771" s="92">
        <f>IF(AND(ISNUMBER(SEARCH("Delivery",N771)),ISNUMBER(SEARCH("Carin",N771))),"SIM","")</f>
        <v/>
      </c>
      <c r="Z771" s="92">
        <f>IF(AND(ISNUMBER(SEARCH("Delivery",N771)),ISNUMBER(SEARCH("Lapa",N771))),"SIM","")</f>
        <v/>
      </c>
      <c r="AA771" s="92">
        <f>IF(AND(ISNUMBER(SEARCH("Delivery",N771)),ISNUMBER(SEARCH("Tatuapé",N771))),"SIM","")</f>
        <v/>
      </c>
      <c r="AB771" s="92">
        <f>IF(AND(ISNUMBER(SEARCH("Delivery",N771)),ISNUMBER(SEARCH("Pavão",N771))),"SIM","")</f>
        <v/>
      </c>
      <c r="AC771" s="92">
        <f>IF(AND(ISNUMBER(SEARCH("Delivery",N771)),ISNUMBER(SEARCH("Chac",N771))),"SIM","")</f>
        <v/>
      </c>
      <c r="AD771" s="92">
        <f>IF(AND(ISNUMBER(SEARCH("Delivery",N771)),ISNUMBER(SEARCH("Madalena",N771))),"SIM","")</f>
        <v/>
      </c>
      <c r="AE771" s="99">
        <f>IF(AND(ISNUMBER(SEARCH("Delivery",N771)),ISNUMBER(SEARCH("Mariana",N771))),"SIM","")</f>
        <v/>
      </c>
      <c r="AF771" s="99">
        <f>IF(AND(ISNUMBER(SEARCH("Delivery",N771)),ISNUMBER(SEARCH("Perdizes",N771))),"SIM","")</f>
        <v/>
      </c>
      <c r="AG771" s="99">
        <f>IF(AND(ISNUMBER(SEARCH("Delivery",N771)),ISNUMBER(SEARCH("Santana",N771))),"SIM","")</f>
        <v/>
      </c>
      <c r="AH771" s="99">
        <f>IF(AND(ISNUMBER(SEARCH("Delivery",N771)),ISNUMBER(SEARCH("André",N771))),"SIM","")</f>
        <v/>
      </c>
      <c r="AI771" s="99">
        <f>IF(ISNUMBER(SEARCH("Interlagos",N771)),"SIM","")</f>
        <v/>
      </c>
      <c r="AJ771" s="99">
        <f>IF(ISNUMBER(SEARCH("Quiosque",N771)),"SIM","")</f>
        <v/>
      </c>
      <c r="AK771" s="101" t="n"/>
    </row>
    <row r="772">
      <c r="A772" s="88" t="inlineStr">
        <is>
          <t>Protheus</t>
        </is>
      </c>
      <c r="B772" s="89" t="inlineStr">
        <is>
          <t>002050</t>
        </is>
      </c>
      <c r="C772" s="90">
        <f>IF(B772="—","—",IFERROR(VLOOKUP(B772,_Protheus_Cadastro!$A:$B,2,FALSE),"—"))</f>
        <v/>
      </c>
      <c r="D772" s="91">
        <f>IF(B772="—",IFERROR(INDEX(_ZIG_Cadastro!$D:$D,MATCH(H772,_ZIG_Cadastro!$A:$A,0)),"Produto"),IFERROR(VLOOKUP(B772,_Protheus_Cadastro!$A:$C,3,FALSE),"—"))</f>
        <v/>
      </c>
      <c r="E772" s="91">
        <f>IF(B772="—","—",IFERROR(VLOOKUP(B772,_Protheus_Cadastro!$A:$D,4,FALSE),"—"))</f>
        <v/>
      </c>
      <c r="F772" s="91">
        <f>IF(ISERROR(VLOOKUP(B772,'Estrutura Protheus'!A:A,1,FALSE)),"Não","Sim")</f>
        <v/>
      </c>
      <c r="G772" s="92">
        <f>IFERROR(INDEX(_Protheus_Cadastro!$H:$H,MATCH(B772,_Protheus_Cadastro!$A:$A,0)),"—")</f>
        <v/>
      </c>
      <c r="H772" s="210">
        <f>IFERROR(INDEX(_ZIG_Precos!$D:$D,MATCH(I772,_ZIG_Precos!$F:$F,0)),"—")</f>
        <v/>
      </c>
      <c r="I772" s="95">
        <f>IFERROR(VLOOKUP(B772,_Protheus_Cadastro!$A:$I,9,FALSE),"—")</f>
        <v/>
      </c>
      <c r="J772" s="93">
        <f>IFERROR(INDEX(_ZIG_Cadastro!$B:$B,MATCH(I772,_ZIG_Cadastro!$A:$A,0)),IFERROR(INDEX(_Entradas_ZIG!$B:$B,MATCH(I772,_Entradas_ZIG!$C:$C,0)),"—"))</f>
        <v/>
      </c>
      <c r="K772" s="93">
        <f>IFERROR(INDEX(_ZIG_Cadastro!$C:$C,MATCH(I772,_ZIG_Cadastro!$A:$A,0)),IFERROR(INDEX(_Entradas_ZIG!$D:$D,MATCH(I772,_Entradas_ZIG!$C:$C,0)),"—"))</f>
        <v/>
      </c>
      <c r="L772" s="92">
        <f>IF(I772="","Sem SKU ZIG",IF(I772="—","Sem SKU ZIG",IF(NOT(ISERROR(MATCH(I772,_ZIG_Cadastro!$A:$A,0))),IF(EXACT(UPPER(TRIM(C772)),UPPER(TRIM(INDEX(_ZIG_Cadastro!$B:$B,MATCH(I772,_ZIG_Cadastro!$A:$A,0))))),"OK","Atencao - Nome diverge"),IF(NOT(ISERROR(MATCH(I772,_Entradas_ZIG!$C:$C,0))),"OK","Erro - SKU nao encontrado"))))</f>
        <v/>
      </c>
      <c r="M772" s="92">
        <f>IFERROR(INDEX(_ZIG_Cadastro!$G:$G,MATCH(I772,_ZIG_Cadastro!$A:$A,0)),IF(NOT(ISERROR(MATCH(I772,_Entradas_ZIG!$C:$C,0))),"Ativo","—"))</f>
        <v/>
      </c>
      <c r="N772" s="94">
        <f>IFERROR(INDEX(_ZIG_Cadastro!$E:$E,MATCH(I772,_ZIG_Cadastro!$A:$A,0)),IFERROR(INDEX(_Entradas_ZIG!$F:$F,MATCH(I772,_Entradas_ZIG!$C:$C,0)),"—"))</f>
        <v/>
      </c>
      <c r="O772" s="92">
        <f>IF(AND(ISNUMBER(SEARCH("Espeto",N772)),ISNUMBER(SEARCH("Carin",N772))),"SIM","")</f>
        <v/>
      </c>
      <c r="P772" s="92">
        <f>IF(AND(ISNUMBER(SEARCH("Espeto",N772)),ISNUMBER(SEARCH("Lapa",N772))),"SIM","")</f>
        <v/>
      </c>
      <c r="Q772" s="92">
        <f>IF(AND(ISNUMBER(SEARCH("Espeto",N772)),ISNUMBER(SEARCH("Tatuapé",N772))),"SIM","")</f>
        <v/>
      </c>
      <c r="R772" s="92">
        <f>IF(AND(ISNUMBER(SEARCH("Espeto",N772)),ISNUMBER(SEARCH("Pavão",N772))),"SIM","")</f>
        <v/>
      </c>
      <c r="S772" s="92">
        <f>IF(AND(ISNUMBER(SEARCH("Espeto",N772)),ISNUMBER(SEARCH("Chac",N772))),"SIM","")</f>
        <v/>
      </c>
      <c r="T772" s="92">
        <f>IF(AND(ISNUMBER(SEARCH("Espeto",N772)),ISNUMBER(SEARCH("Madalena",N772))),"SIM","")</f>
        <v/>
      </c>
      <c r="U772" s="92">
        <f>IF(AND(ISNUMBER(SEARCH("Espeto",N772)),ISNUMBER(SEARCH("Mariana",N772))),"SIM","")</f>
        <v/>
      </c>
      <c r="V772" s="92">
        <f>IF(AND(ISNUMBER(SEARCH("Espeto",N772)),ISNUMBER(SEARCH("Perdizes",N772))),"SIM","")</f>
        <v/>
      </c>
      <c r="W772" s="92">
        <f>IF(AND(ISNUMBER(SEARCH("Espeto",N772)),ISNUMBER(SEARCH("Santana",N772))),"SIM","")</f>
        <v/>
      </c>
      <c r="X772" s="92">
        <f>IF(AND(ISNUMBER(SEARCH("Espeto",N772)),ISNUMBER(SEARCH("André",N772))),"SIM","")</f>
        <v/>
      </c>
      <c r="Y772" s="92">
        <f>IF(AND(ISNUMBER(SEARCH("Delivery",N772)),ISNUMBER(SEARCH("Carin",N772))),"SIM","")</f>
        <v/>
      </c>
      <c r="Z772" s="92">
        <f>IF(AND(ISNUMBER(SEARCH("Delivery",N772)),ISNUMBER(SEARCH("Lapa",N772))),"SIM","")</f>
        <v/>
      </c>
      <c r="AA772" s="92">
        <f>IF(AND(ISNUMBER(SEARCH("Delivery",N772)),ISNUMBER(SEARCH("Tatuapé",N772))),"SIM","")</f>
        <v/>
      </c>
      <c r="AB772" s="92">
        <f>IF(AND(ISNUMBER(SEARCH("Delivery",N772)),ISNUMBER(SEARCH("Pavão",N772))),"SIM","")</f>
        <v/>
      </c>
      <c r="AC772" s="92">
        <f>IF(AND(ISNUMBER(SEARCH("Delivery",N772)),ISNUMBER(SEARCH("Chac",N772))),"SIM","")</f>
        <v/>
      </c>
      <c r="AD772" s="92">
        <f>IF(AND(ISNUMBER(SEARCH("Delivery",N772)),ISNUMBER(SEARCH("Madalena",N772))),"SIM","")</f>
        <v/>
      </c>
      <c r="AE772" s="99">
        <f>IF(AND(ISNUMBER(SEARCH("Delivery",N772)),ISNUMBER(SEARCH("Mariana",N772))),"SIM","")</f>
        <v/>
      </c>
      <c r="AF772" s="99">
        <f>IF(AND(ISNUMBER(SEARCH("Delivery",N772)),ISNUMBER(SEARCH("Perdizes",N772))),"SIM","")</f>
        <v/>
      </c>
      <c r="AG772" s="99">
        <f>IF(AND(ISNUMBER(SEARCH("Delivery",N772)),ISNUMBER(SEARCH("Santana",N772))),"SIM","")</f>
        <v/>
      </c>
      <c r="AH772" s="99">
        <f>IF(AND(ISNUMBER(SEARCH("Delivery",N772)),ISNUMBER(SEARCH("André",N772))),"SIM","")</f>
        <v/>
      </c>
      <c r="AI772" s="99">
        <f>IF(ISNUMBER(SEARCH("Interlagos",N772)),"SIM","")</f>
        <v/>
      </c>
      <c r="AJ772" s="99">
        <f>IF(ISNUMBER(SEARCH("Quiosque",N772)),"SIM","")</f>
        <v/>
      </c>
      <c r="AK772" s="101" t="n"/>
    </row>
    <row r="773">
      <c r="A773" s="88" t="inlineStr">
        <is>
          <t>Protheus</t>
        </is>
      </c>
      <c r="B773" s="89" t="inlineStr">
        <is>
          <t>002051</t>
        </is>
      </c>
      <c r="C773" s="90">
        <f>IF(B773="—","—",IFERROR(VLOOKUP(B773,_Protheus_Cadastro!$A:$B,2,FALSE),"—"))</f>
        <v/>
      </c>
      <c r="D773" s="91">
        <f>IF(B773="—",IFERROR(INDEX(_ZIG_Cadastro!$D:$D,MATCH(H773,_ZIG_Cadastro!$A:$A,0)),"Produto"),IFERROR(VLOOKUP(B773,_Protheus_Cadastro!$A:$C,3,FALSE),"—"))</f>
        <v/>
      </c>
      <c r="E773" s="91">
        <f>IF(B773="—","—",IFERROR(VLOOKUP(B773,_Protheus_Cadastro!$A:$D,4,FALSE),"—"))</f>
        <v/>
      </c>
      <c r="F773" s="91">
        <f>IF(ISERROR(VLOOKUP(B773,'Estrutura Protheus'!A:A,1,FALSE)),"Não","Sim")</f>
        <v/>
      </c>
      <c r="G773" s="92">
        <f>IFERROR(INDEX(_Protheus_Cadastro!$H:$H,MATCH(B773,_Protheus_Cadastro!$A:$A,0)),"—")</f>
        <v/>
      </c>
      <c r="H773" s="210">
        <f>IFERROR(INDEX(_ZIG_Precos!$D:$D,MATCH(I773,_ZIG_Precos!$F:$F,0)),"—")</f>
        <v/>
      </c>
      <c r="I773" s="95">
        <f>IFERROR(VLOOKUP(B773,_Protheus_Cadastro!$A:$I,9,FALSE),"—")</f>
        <v/>
      </c>
      <c r="J773" s="93">
        <f>IFERROR(INDEX(_ZIG_Cadastro!$B:$B,MATCH(I773,_ZIG_Cadastro!$A:$A,0)),IFERROR(INDEX(_Entradas_ZIG!$B:$B,MATCH(I773,_Entradas_ZIG!$C:$C,0)),"—"))</f>
        <v/>
      </c>
      <c r="K773" s="93">
        <f>IFERROR(INDEX(_ZIG_Cadastro!$C:$C,MATCH(I773,_ZIG_Cadastro!$A:$A,0)),IFERROR(INDEX(_Entradas_ZIG!$D:$D,MATCH(I773,_Entradas_ZIG!$C:$C,0)),"—"))</f>
        <v/>
      </c>
      <c r="L773" s="92">
        <f>IF(I773="","Sem SKU ZIG",IF(I773="—","Sem SKU ZIG",IF(NOT(ISERROR(MATCH(I773,_ZIG_Cadastro!$A:$A,0))),IF(EXACT(UPPER(TRIM(C773)),UPPER(TRIM(INDEX(_ZIG_Cadastro!$B:$B,MATCH(I773,_ZIG_Cadastro!$A:$A,0))))),"OK","Atencao - Nome diverge"),IF(NOT(ISERROR(MATCH(I773,_Entradas_ZIG!$C:$C,0))),"OK","Erro - SKU nao encontrado"))))</f>
        <v/>
      </c>
      <c r="M773" s="92">
        <f>IFERROR(INDEX(_ZIG_Cadastro!$G:$G,MATCH(I773,_ZIG_Cadastro!$A:$A,0)),IF(NOT(ISERROR(MATCH(I773,_Entradas_ZIG!$C:$C,0))),"Ativo","—"))</f>
        <v/>
      </c>
      <c r="N773" s="94">
        <f>IFERROR(INDEX(_ZIG_Cadastro!$E:$E,MATCH(I773,_ZIG_Cadastro!$A:$A,0)),IFERROR(INDEX(_Entradas_ZIG!$F:$F,MATCH(I773,_Entradas_ZIG!$C:$C,0)),"—"))</f>
        <v/>
      </c>
      <c r="O773" s="92">
        <f>IF(AND(ISNUMBER(SEARCH("Espeto",N773)),ISNUMBER(SEARCH("Carin",N773))),"SIM","")</f>
        <v/>
      </c>
      <c r="P773" s="92">
        <f>IF(AND(ISNUMBER(SEARCH("Espeto",N773)),ISNUMBER(SEARCH("Lapa",N773))),"SIM","")</f>
        <v/>
      </c>
      <c r="Q773" s="92">
        <f>IF(AND(ISNUMBER(SEARCH("Espeto",N773)),ISNUMBER(SEARCH("Tatuapé",N773))),"SIM","")</f>
        <v/>
      </c>
      <c r="R773" s="92">
        <f>IF(AND(ISNUMBER(SEARCH("Espeto",N773)),ISNUMBER(SEARCH("Pavão",N773))),"SIM","")</f>
        <v/>
      </c>
      <c r="S773" s="92">
        <f>IF(AND(ISNUMBER(SEARCH("Espeto",N773)),ISNUMBER(SEARCH("Chac",N773))),"SIM","")</f>
        <v/>
      </c>
      <c r="T773" s="92">
        <f>IF(AND(ISNUMBER(SEARCH("Espeto",N773)),ISNUMBER(SEARCH("Madalena",N773))),"SIM","")</f>
        <v/>
      </c>
      <c r="U773" s="92">
        <f>IF(AND(ISNUMBER(SEARCH("Espeto",N773)),ISNUMBER(SEARCH("Mariana",N773))),"SIM","")</f>
        <v/>
      </c>
      <c r="V773" s="92">
        <f>IF(AND(ISNUMBER(SEARCH("Espeto",N773)),ISNUMBER(SEARCH("Perdizes",N773))),"SIM","")</f>
        <v/>
      </c>
      <c r="W773" s="92">
        <f>IF(AND(ISNUMBER(SEARCH("Espeto",N773)),ISNUMBER(SEARCH("Santana",N773))),"SIM","")</f>
        <v/>
      </c>
      <c r="X773" s="92">
        <f>IF(AND(ISNUMBER(SEARCH("Espeto",N773)),ISNUMBER(SEARCH("André",N773))),"SIM","")</f>
        <v/>
      </c>
      <c r="Y773" s="92">
        <f>IF(AND(ISNUMBER(SEARCH("Delivery",N773)),ISNUMBER(SEARCH("Carin",N773))),"SIM","")</f>
        <v/>
      </c>
      <c r="Z773" s="92">
        <f>IF(AND(ISNUMBER(SEARCH("Delivery",N773)),ISNUMBER(SEARCH("Lapa",N773))),"SIM","")</f>
        <v/>
      </c>
      <c r="AA773" s="92">
        <f>IF(AND(ISNUMBER(SEARCH("Delivery",N773)),ISNUMBER(SEARCH("Tatuapé",N773))),"SIM","")</f>
        <v/>
      </c>
      <c r="AB773" s="92">
        <f>IF(AND(ISNUMBER(SEARCH("Delivery",N773)),ISNUMBER(SEARCH("Pavão",N773))),"SIM","")</f>
        <v/>
      </c>
      <c r="AC773" s="92">
        <f>IF(AND(ISNUMBER(SEARCH("Delivery",N773)),ISNUMBER(SEARCH("Chac",N773))),"SIM","")</f>
        <v/>
      </c>
      <c r="AD773" s="92">
        <f>IF(AND(ISNUMBER(SEARCH("Delivery",N773)),ISNUMBER(SEARCH("Madalena",N773))),"SIM","")</f>
        <v/>
      </c>
      <c r="AE773" s="99">
        <f>IF(AND(ISNUMBER(SEARCH("Delivery",N773)),ISNUMBER(SEARCH("Mariana",N773))),"SIM","")</f>
        <v/>
      </c>
      <c r="AF773" s="99">
        <f>IF(AND(ISNUMBER(SEARCH("Delivery",N773)),ISNUMBER(SEARCH("Perdizes",N773))),"SIM","")</f>
        <v/>
      </c>
      <c r="AG773" s="99">
        <f>IF(AND(ISNUMBER(SEARCH("Delivery",N773)),ISNUMBER(SEARCH("Santana",N773))),"SIM","")</f>
        <v/>
      </c>
      <c r="AH773" s="99">
        <f>IF(AND(ISNUMBER(SEARCH("Delivery",N773)),ISNUMBER(SEARCH("André",N773))),"SIM","")</f>
        <v/>
      </c>
      <c r="AI773" s="99">
        <f>IF(ISNUMBER(SEARCH("Interlagos",N773)),"SIM","")</f>
        <v/>
      </c>
      <c r="AJ773" s="99">
        <f>IF(ISNUMBER(SEARCH("Quiosque",N773)),"SIM","")</f>
        <v/>
      </c>
      <c r="AK773" s="101" t="n"/>
    </row>
    <row r="774">
      <c r="A774" s="88" t="inlineStr">
        <is>
          <t>Protheus</t>
        </is>
      </c>
      <c r="B774" s="89" t="inlineStr">
        <is>
          <t>002121</t>
        </is>
      </c>
      <c r="C774" s="90">
        <f>IF(B774="—","—",IFERROR(VLOOKUP(B774,_Protheus_Cadastro!$A:$B,2,FALSE),"—"))</f>
        <v/>
      </c>
      <c r="D774" s="91">
        <f>IF(B774="—",IFERROR(INDEX(_ZIG_Cadastro!$D:$D,MATCH(H774,_ZIG_Cadastro!$A:$A,0)),"Produto"),IFERROR(VLOOKUP(B774,_Protheus_Cadastro!$A:$C,3,FALSE),"—"))</f>
        <v/>
      </c>
      <c r="E774" s="91">
        <f>IF(B774="—","—",IFERROR(VLOOKUP(B774,_Protheus_Cadastro!$A:$D,4,FALSE),"—"))</f>
        <v/>
      </c>
      <c r="F774" s="91">
        <f>IF(ISERROR(VLOOKUP(B774,'Estrutura Protheus'!A:A,1,FALSE)),"Não","Sim")</f>
        <v/>
      </c>
      <c r="G774" s="92">
        <f>IFERROR(INDEX(_Protheus_Cadastro!$H:$H,MATCH(B774,_Protheus_Cadastro!$A:$A,0)),"—")</f>
        <v/>
      </c>
      <c r="H774" s="210">
        <f>IFERROR(INDEX(_ZIG_Precos!$D:$D,MATCH(I774,_ZIG_Precos!$F:$F,0)),"—")</f>
        <v/>
      </c>
      <c r="I774" s="95">
        <f>IFERROR(VLOOKUP(B774,_Protheus_Cadastro!$A:$I,9,FALSE),"—")</f>
        <v/>
      </c>
      <c r="J774" s="93">
        <f>IFERROR(INDEX(_ZIG_Cadastro!$B:$B,MATCH(I774,_ZIG_Cadastro!$A:$A,0)),IFERROR(INDEX(_Entradas_ZIG!$B:$B,MATCH(I774,_Entradas_ZIG!$C:$C,0)),"—"))</f>
        <v/>
      </c>
      <c r="K774" s="93">
        <f>IFERROR(INDEX(_ZIG_Cadastro!$C:$C,MATCH(I774,_ZIG_Cadastro!$A:$A,0)),IFERROR(INDEX(_Entradas_ZIG!$D:$D,MATCH(I774,_Entradas_ZIG!$C:$C,0)),"—"))</f>
        <v/>
      </c>
      <c r="L774" s="92">
        <f>IF(I774="","Sem SKU ZIG",IF(I774="—","Sem SKU ZIG",IF(NOT(ISERROR(MATCH(I774,_ZIG_Cadastro!$A:$A,0))),IF(EXACT(UPPER(TRIM(C774)),UPPER(TRIM(INDEX(_ZIG_Cadastro!$B:$B,MATCH(I774,_ZIG_Cadastro!$A:$A,0))))),"OK","Atencao - Nome diverge"),IF(NOT(ISERROR(MATCH(I774,_Entradas_ZIG!$C:$C,0))),"OK","Erro - SKU nao encontrado"))))</f>
        <v/>
      </c>
      <c r="M774" s="92">
        <f>IFERROR(INDEX(_ZIG_Cadastro!$G:$G,MATCH(I774,_ZIG_Cadastro!$A:$A,0)),IF(NOT(ISERROR(MATCH(I774,_Entradas_ZIG!$C:$C,0))),"Ativo","—"))</f>
        <v/>
      </c>
      <c r="N774" s="94">
        <f>IFERROR(INDEX(_ZIG_Cadastro!$E:$E,MATCH(I774,_ZIG_Cadastro!$A:$A,0)),IFERROR(INDEX(_Entradas_ZIG!$F:$F,MATCH(I774,_Entradas_ZIG!$C:$C,0)),"—"))</f>
        <v/>
      </c>
      <c r="O774" s="92">
        <f>IF(AND(ISNUMBER(SEARCH("Espeto",N774)),ISNUMBER(SEARCH("Carin",N774))),"SIM","")</f>
        <v/>
      </c>
      <c r="P774" s="92">
        <f>IF(AND(ISNUMBER(SEARCH("Espeto",N774)),ISNUMBER(SEARCH("Lapa",N774))),"SIM","")</f>
        <v/>
      </c>
      <c r="Q774" s="92">
        <f>IF(AND(ISNUMBER(SEARCH("Espeto",N774)),ISNUMBER(SEARCH("Tatuapé",N774))),"SIM","")</f>
        <v/>
      </c>
      <c r="R774" s="92">
        <f>IF(AND(ISNUMBER(SEARCH("Espeto",N774)),ISNUMBER(SEARCH("Pavão",N774))),"SIM","")</f>
        <v/>
      </c>
      <c r="S774" s="92">
        <f>IF(AND(ISNUMBER(SEARCH("Espeto",N774)),ISNUMBER(SEARCH("Chac",N774))),"SIM","")</f>
        <v/>
      </c>
      <c r="T774" s="92">
        <f>IF(AND(ISNUMBER(SEARCH("Espeto",N774)),ISNUMBER(SEARCH("Madalena",N774))),"SIM","")</f>
        <v/>
      </c>
      <c r="U774" s="92">
        <f>IF(AND(ISNUMBER(SEARCH("Espeto",N774)),ISNUMBER(SEARCH("Mariana",N774))),"SIM","")</f>
        <v/>
      </c>
      <c r="V774" s="92">
        <f>IF(AND(ISNUMBER(SEARCH("Espeto",N774)),ISNUMBER(SEARCH("Perdizes",N774))),"SIM","")</f>
        <v/>
      </c>
      <c r="W774" s="92">
        <f>IF(AND(ISNUMBER(SEARCH("Espeto",N774)),ISNUMBER(SEARCH("Santana",N774))),"SIM","")</f>
        <v/>
      </c>
      <c r="X774" s="92">
        <f>IF(AND(ISNUMBER(SEARCH("Espeto",N774)),ISNUMBER(SEARCH("André",N774))),"SIM","")</f>
        <v/>
      </c>
      <c r="Y774" s="92">
        <f>IF(AND(ISNUMBER(SEARCH("Delivery",N774)),ISNUMBER(SEARCH("Carin",N774))),"SIM","")</f>
        <v/>
      </c>
      <c r="Z774" s="92">
        <f>IF(AND(ISNUMBER(SEARCH("Delivery",N774)),ISNUMBER(SEARCH("Lapa",N774))),"SIM","")</f>
        <v/>
      </c>
      <c r="AA774" s="92">
        <f>IF(AND(ISNUMBER(SEARCH("Delivery",N774)),ISNUMBER(SEARCH("Tatuapé",N774))),"SIM","")</f>
        <v/>
      </c>
      <c r="AB774" s="92">
        <f>IF(AND(ISNUMBER(SEARCH("Delivery",N774)),ISNUMBER(SEARCH("Pavão",N774))),"SIM","")</f>
        <v/>
      </c>
      <c r="AC774" s="92">
        <f>IF(AND(ISNUMBER(SEARCH("Delivery",N774)),ISNUMBER(SEARCH("Chac",N774))),"SIM","")</f>
        <v/>
      </c>
      <c r="AD774" s="92">
        <f>IF(AND(ISNUMBER(SEARCH("Delivery",N774)),ISNUMBER(SEARCH("Madalena",N774))),"SIM","")</f>
        <v/>
      </c>
      <c r="AE774" s="99">
        <f>IF(AND(ISNUMBER(SEARCH("Delivery",N774)),ISNUMBER(SEARCH("Mariana",N774))),"SIM","")</f>
        <v/>
      </c>
      <c r="AF774" s="99">
        <f>IF(AND(ISNUMBER(SEARCH("Delivery",N774)),ISNUMBER(SEARCH("Perdizes",N774))),"SIM","")</f>
        <v/>
      </c>
      <c r="AG774" s="99">
        <f>IF(AND(ISNUMBER(SEARCH("Delivery",N774)),ISNUMBER(SEARCH("Santana",N774))),"SIM","")</f>
        <v/>
      </c>
      <c r="AH774" s="99">
        <f>IF(AND(ISNUMBER(SEARCH("Delivery",N774)),ISNUMBER(SEARCH("André",N774))),"SIM","")</f>
        <v/>
      </c>
      <c r="AI774" s="99">
        <f>IF(ISNUMBER(SEARCH("Interlagos",N774)),"SIM","")</f>
        <v/>
      </c>
      <c r="AJ774" s="99">
        <f>IF(ISNUMBER(SEARCH("Quiosque",N774)),"SIM","")</f>
        <v/>
      </c>
      <c r="AK774" s="101" t="n"/>
    </row>
    <row r="775">
      <c r="A775" s="88" t="inlineStr">
        <is>
          <t>Protheus</t>
        </is>
      </c>
      <c r="B775" s="89" t="inlineStr">
        <is>
          <t>002127</t>
        </is>
      </c>
      <c r="C775" s="90">
        <f>IF(B775="—","—",IFERROR(VLOOKUP(B775,_Protheus_Cadastro!$A:$B,2,FALSE),"—"))</f>
        <v/>
      </c>
      <c r="D775" s="91">
        <f>IF(B775="—",IFERROR(INDEX(_ZIG_Cadastro!$D:$D,MATCH(H775,_ZIG_Cadastro!$A:$A,0)),"Produto"),IFERROR(VLOOKUP(B775,_Protheus_Cadastro!$A:$C,3,FALSE),"—"))</f>
        <v/>
      </c>
      <c r="E775" s="91">
        <f>IF(B775="—","—",IFERROR(VLOOKUP(B775,_Protheus_Cadastro!$A:$D,4,FALSE),"—"))</f>
        <v/>
      </c>
      <c r="F775" s="91">
        <f>IF(ISERROR(VLOOKUP(B775,'Estrutura Protheus'!A:A,1,FALSE)),"Não","Sim")</f>
        <v/>
      </c>
      <c r="G775" s="92">
        <f>IFERROR(INDEX(_Protheus_Cadastro!$H:$H,MATCH(B775,_Protheus_Cadastro!$A:$A,0)),"—")</f>
        <v/>
      </c>
      <c r="H775" s="210">
        <f>IFERROR(INDEX(_ZIG_Precos!$D:$D,MATCH(I775,_ZIG_Precos!$F:$F,0)),"—")</f>
        <v/>
      </c>
      <c r="I775" s="95">
        <f>IFERROR(VLOOKUP(B775,_Protheus_Cadastro!$A:$I,9,FALSE),"—")</f>
        <v/>
      </c>
      <c r="J775" s="93">
        <f>IFERROR(INDEX(_ZIG_Cadastro!$B:$B,MATCH(I775,_ZIG_Cadastro!$A:$A,0)),IFERROR(INDEX(_Entradas_ZIG!$B:$B,MATCH(I775,_Entradas_ZIG!$C:$C,0)),"—"))</f>
        <v/>
      </c>
      <c r="K775" s="93">
        <f>IFERROR(INDEX(_ZIG_Cadastro!$C:$C,MATCH(I775,_ZIG_Cadastro!$A:$A,0)),IFERROR(INDEX(_Entradas_ZIG!$D:$D,MATCH(I775,_Entradas_ZIG!$C:$C,0)),"—"))</f>
        <v/>
      </c>
      <c r="L775" s="92">
        <f>IF(I775="","Sem SKU ZIG",IF(I775="—","Sem SKU ZIG",IF(NOT(ISERROR(MATCH(I775,_ZIG_Cadastro!$A:$A,0))),IF(EXACT(UPPER(TRIM(C775)),UPPER(TRIM(INDEX(_ZIG_Cadastro!$B:$B,MATCH(I775,_ZIG_Cadastro!$A:$A,0))))),"OK","Atencao - Nome diverge"),IF(NOT(ISERROR(MATCH(I775,_Entradas_ZIG!$C:$C,0))),"OK","Erro - SKU nao encontrado"))))</f>
        <v/>
      </c>
      <c r="M775" s="92">
        <f>IFERROR(INDEX(_ZIG_Cadastro!$G:$G,MATCH(I775,_ZIG_Cadastro!$A:$A,0)),IF(NOT(ISERROR(MATCH(I775,_Entradas_ZIG!$C:$C,0))),"Ativo","—"))</f>
        <v/>
      </c>
      <c r="N775" s="94">
        <f>IFERROR(INDEX(_ZIG_Cadastro!$E:$E,MATCH(I775,_ZIG_Cadastro!$A:$A,0)),IFERROR(INDEX(_Entradas_ZIG!$F:$F,MATCH(I775,_Entradas_ZIG!$C:$C,0)),"—"))</f>
        <v/>
      </c>
      <c r="O775" s="92">
        <f>IF(AND(ISNUMBER(SEARCH("Espeto",N775)),ISNUMBER(SEARCH("Carin",N775))),"SIM","")</f>
        <v/>
      </c>
      <c r="P775" s="92">
        <f>IF(AND(ISNUMBER(SEARCH("Espeto",N775)),ISNUMBER(SEARCH("Lapa",N775))),"SIM","")</f>
        <v/>
      </c>
      <c r="Q775" s="92">
        <f>IF(AND(ISNUMBER(SEARCH("Espeto",N775)),ISNUMBER(SEARCH("Tatuapé",N775))),"SIM","")</f>
        <v/>
      </c>
      <c r="R775" s="92">
        <f>IF(AND(ISNUMBER(SEARCH("Espeto",N775)),ISNUMBER(SEARCH("Pavão",N775))),"SIM","")</f>
        <v/>
      </c>
      <c r="S775" s="92">
        <f>IF(AND(ISNUMBER(SEARCH("Espeto",N775)),ISNUMBER(SEARCH("Chac",N775))),"SIM","")</f>
        <v/>
      </c>
      <c r="T775" s="92">
        <f>IF(AND(ISNUMBER(SEARCH("Espeto",N775)),ISNUMBER(SEARCH("Madalena",N775))),"SIM","")</f>
        <v/>
      </c>
      <c r="U775" s="92">
        <f>IF(AND(ISNUMBER(SEARCH("Espeto",N775)),ISNUMBER(SEARCH("Mariana",N775))),"SIM","")</f>
        <v/>
      </c>
      <c r="V775" s="92">
        <f>IF(AND(ISNUMBER(SEARCH("Espeto",N775)),ISNUMBER(SEARCH("Perdizes",N775))),"SIM","")</f>
        <v/>
      </c>
      <c r="W775" s="92">
        <f>IF(AND(ISNUMBER(SEARCH("Espeto",N775)),ISNUMBER(SEARCH("Santana",N775))),"SIM","")</f>
        <v/>
      </c>
      <c r="X775" s="92">
        <f>IF(AND(ISNUMBER(SEARCH("Espeto",N775)),ISNUMBER(SEARCH("André",N775))),"SIM","")</f>
        <v/>
      </c>
      <c r="Y775" s="92">
        <f>IF(AND(ISNUMBER(SEARCH("Delivery",N775)),ISNUMBER(SEARCH("Carin",N775))),"SIM","")</f>
        <v/>
      </c>
      <c r="Z775" s="92">
        <f>IF(AND(ISNUMBER(SEARCH("Delivery",N775)),ISNUMBER(SEARCH("Lapa",N775))),"SIM","")</f>
        <v/>
      </c>
      <c r="AA775" s="92">
        <f>IF(AND(ISNUMBER(SEARCH("Delivery",N775)),ISNUMBER(SEARCH("Tatuapé",N775))),"SIM","")</f>
        <v/>
      </c>
      <c r="AB775" s="92">
        <f>IF(AND(ISNUMBER(SEARCH("Delivery",N775)),ISNUMBER(SEARCH("Pavão",N775))),"SIM","")</f>
        <v/>
      </c>
      <c r="AC775" s="92">
        <f>IF(AND(ISNUMBER(SEARCH("Delivery",N775)),ISNUMBER(SEARCH("Chac",N775))),"SIM","")</f>
        <v/>
      </c>
      <c r="AD775" s="92">
        <f>IF(AND(ISNUMBER(SEARCH("Delivery",N775)),ISNUMBER(SEARCH("Madalena",N775))),"SIM","")</f>
        <v/>
      </c>
      <c r="AE775" s="99">
        <f>IF(AND(ISNUMBER(SEARCH("Delivery",N775)),ISNUMBER(SEARCH("Mariana",N775))),"SIM","")</f>
        <v/>
      </c>
      <c r="AF775" s="99">
        <f>IF(AND(ISNUMBER(SEARCH("Delivery",N775)),ISNUMBER(SEARCH("Perdizes",N775))),"SIM","")</f>
        <v/>
      </c>
      <c r="AG775" s="99">
        <f>IF(AND(ISNUMBER(SEARCH("Delivery",N775)),ISNUMBER(SEARCH("Santana",N775))),"SIM","")</f>
        <v/>
      </c>
      <c r="AH775" s="99">
        <f>IF(AND(ISNUMBER(SEARCH("Delivery",N775)),ISNUMBER(SEARCH("André",N775))),"SIM","")</f>
        <v/>
      </c>
      <c r="AI775" s="99">
        <f>IF(ISNUMBER(SEARCH("Interlagos",N775)),"SIM","")</f>
        <v/>
      </c>
      <c r="AJ775" s="99">
        <f>IF(ISNUMBER(SEARCH("Quiosque",N775)),"SIM","")</f>
        <v/>
      </c>
      <c r="AK775" s="101" t="n"/>
    </row>
    <row r="776">
      <c r="A776" s="88" t="inlineStr">
        <is>
          <t>Protheus</t>
        </is>
      </c>
      <c r="B776" s="89" t="inlineStr">
        <is>
          <t>002202</t>
        </is>
      </c>
      <c r="C776" s="90">
        <f>IF(B776="—","—",IFERROR(VLOOKUP(B776,_Protheus_Cadastro!$A:$B,2,FALSE),"—"))</f>
        <v/>
      </c>
      <c r="D776" s="91">
        <f>IF(B776="—",IFERROR(INDEX(_ZIG_Cadastro!$D:$D,MATCH(H776,_ZIG_Cadastro!$A:$A,0)),"Produto"),IFERROR(VLOOKUP(B776,_Protheus_Cadastro!$A:$C,3,FALSE),"—"))</f>
        <v/>
      </c>
      <c r="E776" s="91">
        <f>IF(B776="—","—",IFERROR(VLOOKUP(B776,_Protheus_Cadastro!$A:$D,4,FALSE),"—"))</f>
        <v/>
      </c>
      <c r="F776" s="91">
        <f>IF(ISERROR(VLOOKUP(B776,'Estrutura Protheus'!A:A,1,FALSE)),"Não","Sim")</f>
        <v/>
      </c>
      <c r="G776" s="92">
        <f>IFERROR(INDEX(_Protheus_Cadastro!$H:$H,MATCH(B776,_Protheus_Cadastro!$A:$A,0)),"—")</f>
        <v/>
      </c>
      <c r="H776" s="210">
        <f>IFERROR(INDEX(_ZIG_Precos!$D:$D,MATCH(I776,_ZIG_Precos!$F:$F,0)),"—")</f>
        <v/>
      </c>
      <c r="I776" s="95">
        <f>IFERROR(VLOOKUP(B776,_Protheus_Cadastro!$A:$I,9,FALSE),"—")</f>
        <v/>
      </c>
      <c r="J776" s="93">
        <f>IFERROR(INDEX(_ZIG_Cadastro!$B:$B,MATCH(I776,_ZIG_Cadastro!$A:$A,0)),IFERROR(INDEX(_Entradas_ZIG!$B:$B,MATCH(I776,_Entradas_ZIG!$C:$C,0)),"—"))</f>
        <v/>
      </c>
      <c r="K776" s="93">
        <f>IFERROR(INDEX(_ZIG_Cadastro!$C:$C,MATCH(I776,_ZIG_Cadastro!$A:$A,0)),IFERROR(INDEX(_Entradas_ZIG!$D:$D,MATCH(I776,_Entradas_ZIG!$C:$C,0)),"—"))</f>
        <v/>
      </c>
      <c r="L776" s="92">
        <f>IF(I776="","Sem SKU ZIG",IF(I776="—","Sem SKU ZIG",IF(NOT(ISERROR(MATCH(I776,_ZIG_Cadastro!$A:$A,0))),IF(EXACT(UPPER(TRIM(C776)),UPPER(TRIM(INDEX(_ZIG_Cadastro!$B:$B,MATCH(I776,_ZIG_Cadastro!$A:$A,0))))),"OK","Atencao - Nome diverge"),IF(NOT(ISERROR(MATCH(I776,_Entradas_ZIG!$C:$C,0))),"OK","Erro - SKU nao encontrado"))))</f>
        <v/>
      </c>
      <c r="M776" s="92">
        <f>IFERROR(INDEX(_ZIG_Cadastro!$G:$G,MATCH(I776,_ZIG_Cadastro!$A:$A,0)),IF(NOT(ISERROR(MATCH(I776,_Entradas_ZIG!$C:$C,0))),"Ativo","—"))</f>
        <v/>
      </c>
      <c r="N776" s="94">
        <f>IFERROR(INDEX(_ZIG_Cadastro!$E:$E,MATCH(I776,_ZIG_Cadastro!$A:$A,0)),IFERROR(INDEX(_Entradas_ZIG!$F:$F,MATCH(I776,_Entradas_ZIG!$C:$C,0)),"—"))</f>
        <v/>
      </c>
      <c r="O776" s="92">
        <f>IF(AND(ISNUMBER(SEARCH("Espeto",N776)),ISNUMBER(SEARCH("Carin",N776))),"SIM","")</f>
        <v/>
      </c>
      <c r="P776" s="92">
        <f>IF(AND(ISNUMBER(SEARCH("Espeto",N776)),ISNUMBER(SEARCH("Lapa",N776))),"SIM","")</f>
        <v/>
      </c>
      <c r="Q776" s="92">
        <f>IF(AND(ISNUMBER(SEARCH("Espeto",N776)),ISNUMBER(SEARCH("Tatuapé",N776))),"SIM","")</f>
        <v/>
      </c>
      <c r="R776" s="92">
        <f>IF(AND(ISNUMBER(SEARCH("Espeto",N776)),ISNUMBER(SEARCH("Pavão",N776))),"SIM","")</f>
        <v/>
      </c>
      <c r="S776" s="92">
        <f>IF(AND(ISNUMBER(SEARCH("Espeto",N776)),ISNUMBER(SEARCH("Chac",N776))),"SIM","")</f>
        <v/>
      </c>
      <c r="T776" s="92">
        <f>IF(AND(ISNUMBER(SEARCH("Espeto",N776)),ISNUMBER(SEARCH("Madalena",N776))),"SIM","")</f>
        <v/>
      </c>
      <c r="U776" s="92">
        <f>IF(AND(ISNUMBER(SEARCH("Espeto",N776)),ISNUMBER(SEARCH("Mariana",N776))),"SIM","")</f>
        <v/>
      </c>
      <c r="V776" s="92">
        <f>IF(AND(ISNUMBER(SEARCH("Espeto",N776)),ISNUMBER(SEARCH("Perdizes",N776))),"SIM","")</f>
        <v/>
      </c>
      <c r="W776" s="92">
        <f>IF(AND(ISNUMBER(SEARCH("Espeto",N776)),ISNUMBER(SEARCH("Santana",N776))),"SIM","")</f>
        <v/>
      </c>
      <c r="X776" s="92">
        <f>IF(AND(ISNUMBER(SEARCH("Espeto",N776)),ISNUMBER(SEARCH("André",N776))),"SIM","")</f>
        <v/>
      </c>
      <c r="Y776" s="92">
        <f>IF(AND(ISNUMBER(SEARCH("Delivery",N776)),ISNUMBER(SEARCH("Carin",N776))),"SIM","")</f>
        <v/>
      </c>
      <c r="Z776" s="92">
        <f>IF(AND(ISNUMBER(SEARCH("Delivery",N776)),ISNUMBER(SEARCH("Lapa",N776))),"SIM","")</f>
        <v/>
      </c>
      <c r="AA776" s="92">
        <f>IF(AND(ISNUMBER(SEARCH("Delivery",N776)),ISNUMBER(SEARCH("Tatuapé",N776))),"SIM","")</f>
        <v/>
      </c>
      <c r="AB776" s="92">
        <f>IF(AND(ISNUMBER(SEARCH("Delivery",N776)),ISNUMBER(SEARCH("Pavão",N776))),"SIM","")</f>
        <v/>
      </c>
      <c r="AC776" s="92">
        <f>IF(AND(ISNUMBER(SEARCH("Delivery",N776)),ISNUMBER(SEARCH("Chac",N776))),"SIM","")</f>
        <v/>
      </c>
      <c r="AD776" s="92">
        <f>IF(AND(ISNUMBER(SEARCH("Delivery",N776)),ISNUMBER(SEARCH("Madalena",N776))),"SIM","")</f>
        <v/>
      </c>
      <c r="AE776" s="99">
        <f>IF(AND(ISNUMBER(SEARCH("Delivery",N776)),ISNUMBER(SEARCH("Mariana",N776))),"SIM","")</f>
        <v/>
      </c>
      <c r="AF776" s="99">
        <f>IF(AND(ISNUMBER(SEARCH("Delivery",N776)),ISNUMBER(SEARCH("Perdizes",N776))),"SIM","")</f>
        <v/>
      </c>
      <c r="AG776" s="99">
        <f>IF(AND(ISNUMBER(SEARCH("Delivery",N776)),ISNUMBER(SEARCH("Santana",N776))),"SIM","")</f>
        <v/>
      </c>
      <c r="AH776" s="99">
        <f>IF(AND(ISNUMBER(SEARCH("Delivery",N776)),ISNUMBER(SEARCH("André",N776))),"SIM","")</f>
        <v/>
      </c>
      <c r="AI776" s="99">
        <f>IF(ISNUMBER(SEARCH("Interlagos",N776)),"SIM","")</f>
        <v/>
      </c>
      <c r="AJ776" s="99">
        <f>IF(ISNUMBER(SEARCH("Quiosque",N776)),"SIM","")</f>
        <v/>
      </c>
      <c r="AK776" s="101" t="n"/>
    </row>
    <row r="777">
      <c r="A777" s="88" t="inlineStr">
        <is>
          <t>Protheus</t>
        </is>
      </c>
      <c r="B777" s="89" t="inlineStr">
        <is>
          <t>002203</t>
        </is>
      </c>
      <c r="C777" s="90">
        <f>IF(B777="—","—",IFERROR(VLOOKUP(B777,_Protheus_Cadastro!$A:$B,2,FALSE),"—"))</f>
        <v/>
      </c>
      <c r="D777" s="91">
        <f>IF(B777="—",IFERROR(INDEX(_ZIG_Cadastro!$D:$D,MATCH(H777,_ZIG_Cadastro!$A:$A,0)),"Produto"),IFERROR(VLOOKUP(B777,_Protheus_Cadastro!$A:$C,3,FALSE),"—"))</f>
        <v/>
      </c>
      <c r="E777" s="91">
        <f>IF(B777="—","—",IFERROR(VLOOKUP(B777,_Protheus_Cadastro!$A:$D,4,FALSE),"—"))</f>
        <v/>
      </c>
      <c r="F777" s="91">
        <f>IF(ISERROR(VLOOKUP(B777,'Estrutura Protheus'!A:A,1,FALSE)),"Não","Sim")</f>
        <v/>
      </c>
      <c r="G777" s="92">
        <f>IFERROR(INDEX(_Protheus_Cadastro!$H:$H,MATCH(B777,_Protheus_Cadastro!$A:$A,0)),"—")</f>
        <v/>
      </c>
      <c r="H777" s="210">
        <f>IFERROR(INDEX(_ZIG_Precos!$D:$D,MATCH(I777,_ZIG_Precos!$F:$F,0)),"—")</f>
        <v/>
      </c>
      <c r="I777" s="95">
        <f>IFERROR(VLOOKUP(B777,_Protheus_Cadastro!$A:$I,9,FALSE),"—")</f>
        <v/>
      </c>
      <c r="J777" s="93">
        <f>IFERROR(INDEX(_ZIG_Cadastro!$B:$B,MATCH(I777,_ZIG_Cadastro!$A:$A,0)),IFERROR(INDEX(_Entradas_ZIG!$B:$B,MATCH(I777,_Entradas_ZIG!$C:$C,0)),"—"))</f>
        <v/>
      </c>
      <c r="K777" s="93">
        <f>IFERROR(INDEX(_ZIG_Cadastro!$C:$C,MATCH(I777,_ZIG_Cadastro!$A:$A,0)),IFERROR(INDEX(_Entradas_ZIG!$D:$D,MATCH(I777,_Entradas_ZIG!$C:$C,0)),"—"))</f>
        <v/>
      </c>
      <c r="L777" s="92">
        <f>IF(I777="","Sem SKU ZIG",IF(I777="—","Sem SKU ZIG",IF(NOT(ISERROR(MATCH(I777,_ZIG_Cadastro!$A:$A,0))),IF(EXACT(UPPER(TRIM(C777)),UPPER(TRIM(INDEX(_ZIG_Cadastro!$B:$B,MATCH(I777,_ZIG_Cadastro!$A:$A,0))))),"OK","Atencao - Nome diverge"),IF(NOT(ISERROR(MATCH(I777,_Entradas_ZIG!$C:$C,0))),"OK","Erro - SKU nao encontrado"))))</f>
        <v/>
      </c>
      <c r="M777" s="92">
        <f>IFERROR(INDEX(_ZIG_Cadastro!$G:$G,MATCH(I777,_ZIG_Cadastro!$A:$A,0)),IF(NOT(ISERROR(MATCH(I777,_Entradas_ZIG!$C:$C,0))),"Ativo","—"))</f>
        <v/>
      </c>
      <c r="N777" s="94">
        <f>IFERROR(INDEX(_ZIG_Cadastro!$E:$E,MATCH(I777,_ZIG_Cadastro!$A:$A,0)),IFERROR(INDEX(_Entradas_ZIG!$F:$F,MATCH(I777,_Entradas_ZIG!$C:$C,0)),"—"))</f>
        <v/>
      </c>
      <c r="O777" s="92">
        <f>IF(AND(ISNUMBER(SEARCH("Espeto",N777)),ISNUMBER(SEARCH("Carin",N777))),"SIM","")</f>
        <v/>
      </c>
      <c r="P777" s="92">
        <f>IF(AND(ISNUMBER(SEARCH("Espeto",N777)),ISNUMBER(SEARCH("Lapa",N777))),"SIM","")</f>
        <v/>
      </c>
      <c r="Q777" s="92">
        <f>IF(AND(ISNUMBER(SEARCH("Espeto",N777)),ISNUMBER(SEARCH("Tatuapé",N777))),"SIM","")</f>
        <v/>
      </c>
      <c r="R777" s="92">
        <f>IF(AND(ISNUMBER(SEARCH("Espeto",N777)),ISNUMBER(SEARCH("Pavão",N777))),"SIM","")</f>
        <v/>
      </c>
      <c r="S777" s="92">
        <f>IF(AND(ISNUMBER(SEARCH("Espeto",N777)),ISNUMBER(SEARCH("Chac",N777))),"SIM","")</f>
        <v/>
      </c>
      <c r="T777" s="92">
        <f>IF(AND(ISNUMBER(SEARCH("Espeto",N777)),ISNUMBER(SEARCH("Madalena",N777))),"SIM","")</f>
        <v/>
      </c>
      <c r="U777" s="92">
        <f>IF(AND(ISNUMBER(SEARCH("Espeto",N777)),ISNUMBER(SEARCH("Mariana",N777))),"SIM","")</f>
        <v/>
      </c>
      <c r="V777" s="92">
        <f>IF(AND(ISNUMBER(SEARCH("Espeto",N777)),ISNUMBER(SEARCH("Perdizes",N777))),"SIM","")</f>
        <v/>
      </c>
      <c r="W777" s="92">
        <f>IF(AND(ISNUMBER(SEARCH("Espeto",N777)),ISNUMBER(SEARCH("Santana",N777))),"SIM","")</f>
        <v/>
      </c>
      <c r="X777" s="92">
        <f>IF(AND(ISNUMBER(SEARCH("Espeto",N777)),ISNUMBER(SEARCH("André",N777))),"SIM","")</f>
        <v/>
      </c>
      <c r="Y777" s="92">
        <f>IF(AND(ISNUMBER(SEARCH("Delivery",N777)),ISNUMBER(SEARCH("Carin",N777))),"SIM","")</f>
        <v/>
      </c>
      <c r="Z777" s="92">
        <f>IF(AND(ISNUMBER(SEARCH("Delivery",N777)),ISNUMBER(SEARCH("Lapa",N777))),"SIM","")</f>
        <v/>
      </c>
      <c r="AA777" s="92">
        <f>IF(AND(ISNUMBER(SEARCH("Delivery",N777)),ISNUMBER(SEARCH("Tatuapé",N777))),"SIM","")</f>
        <v/>
      </c>
      <c r="AB777" s="92">
        <f>IF(AND(ISNUMBER(SEARCH("Delivery",N777)),ISNUMBER(SEARCH("Pavão",N777))),"SIM","")</f>
        <v/>
      </c>
      <c r="AC777" s="92">
        <f>IF(AND(ISNUMBER(SEARCH("Delivery",N777)),ISNUMBER(SEARCH("Chac",N777))),"SIM","")</f>
        <v/>
      </c>
      <c r="AD777" s="92">
        <f>IF(AND(ISNUMBER(SEARCH("Delivery",N777)),ISNUMBER(SEARCH("Madalena",N777))),"SIM","")</f>
        <v/>
      </c>
      <c r="AE777" s="99">
        <f>IF(AND(ISNUMBER(SEARCH("Delivery",N777)),ISNUMBER(SEARCH("Mariana",N777))),"SIM","")</f>
        <v/>
      </c>
      <c r="AF777" s="99">
        <f>IF(AND(ISNUMBER(SEARCH("Delivery",N777)),ISNUMBER(SEARCH("Perdizes",N777))),"SIM","")</f>
        <v/>
      </c>
      <c r="AG777" s="99">
        <f>IF(AND(ISNUMBER(SEARCH("Delivery",N777)),ISNUMBER(SEARCH("Santana",N777))),"SIM","")</f>
        <v/>
      </c>
      <c r="AH777" s="99">
        <f>IF(AND(ISNUMBER(SEARCH("Delivery",N777)),ISNUMBER(SEARCH("André",N777))),"SIM","")</f>
        <v/>
      </c>
      <c r="AI777" s="99">
        <f>IF(ISNUMBER(SEARCH("Interlagos",N777)),"SIM","")</f>
        <v/>
      </c>
      <c r="AJ777" s="99">
        <f>IF(ISNUMBER(SEARCH("Quiosque",N777)),"SIM","")</f>
        <v/>
      </c>
      <c r="AK777" s="101" t="n"/>
    </row>
    <row r="778">
      <c r="A778" s="88" t="inlineStr">
        <is>
          <t>Protheus</t>
        </is>
      </c>
      <c r="B778" s="89" t="inlineStr">
        <is>
          <t>002210</t>
        </is>
      </c>
      <c r="C778" s="90">
        <f>IF(B778="—","—",IFERROR(VLOOKUP(B778,_Protheus_Cadastro!$A:$B,2,FALSE),"—"))</f>
        <v/>
      </c>
      <c r="D778" s="91">
        <f>IF(B778="—",IFERROR(INDEX(_ZIG_Cadastro!$D:$D,MATCH(H778,_ZIG_Cadastro!$A:$A,0)),"Produto"),IFERROR(VLOOKUP(B778,_Protheus_Cadastro!$A:$C,3,FALSE),"—"))</f>
        <v/>
      </c>
      <c r="E778" s="91">
        <f>IF(B778="—","—",IFERROR(VLOOKUP(B778,_Protheus_Cadastro!$A:$D,4,FALSE),"—"))</f>
        <v/>
      </c>
      <c r="F778" s="91">
        <f>IF(ISERROR(VLOOKUP(B778,'Estrutura Protheus'!A:A,1,FALSE)),"Não","Sim")</f>
        <v/>
      </c>
      <c r="G778" s="92">
        <f>IFERROR(INDEX(_Protheus_Cadastro!$H:$H,MATCH(B778,_Protheus_Cadastro!$A:$A,0)),"—")</f>
        <v/>
      </c>
      <c r="H778" s="210">
        <f>IFERROR(INDEX(_ZIG_Precos!$D:$D,MATCH(I778,_ZIG_Precos!$F:$F,0)),"—")</f>
        <v/>
      </c>
      <c r="I778" s="95">
        <f>IFERROR(VLOOKUP(B778,_Protheus_Cadastro!$A:$I,9,FALSE),"—")</f>
        <v/>
      </c>
      <c r="J778" s="93">
        <f>IFERROR(INDEX(_ZIG_Cadastro!$B:$B,MATCH(I778,_ZIG_Cadastro!$A:$A,0)),IFERROR(INDEX(_Entradas_ZIG!$B:$B,MATCH(I778,_Entradas_ZIG!$C:$C,0)),"—"))</f>
        <v/>
      </c>
      <c r="K778" s="93">
        <f>IFERROR(INDEX(_ZIG_Cadastro!$C:$C,MATCH(I778,_ZIG_Cadastro!$A:$A,0)),IFERROR(INDEX(_Entradas_ZIG!$D:$D,MATCH(I778,_Entradas_ZIG!$C:$C,0)),"—"))</f>
        <v/>
      </c>
      <c r="L778" s="92">
        <f>IF(I778="","Sem SKU ZIG",IF(I778="—","Sem SKU ZIG",IF(NOT(ISERROR(MATCH(I778,_ZIG_Cadastro!$A:$A,0))),IF(EXACT(UPPER(TRIM(C778)),UPPER(TRIM(INDEX(_ZIG_Cadastro!$B:$B,MATCH(I778,_ZIG_Cadastro!$A:$A,0))))),"OK","Atencao - Nome diverge"),IF(NOT(ISERROR(MATCH(I778,_Entradas_ZIG!$C:$C,0))),"OK","Erro - SKU nao encontrado"))))</f>
        <v/>
      </c>
      <c r="M778" s="92">
        <f>IFERROR(INDEX(_ZIG_Cadastro!$G:$G,MATCH(I778,_ZIG_Cadastro!$A:$A,0)),IF(NOT(ISERROR(MATCH(I778,_Entradas_ZIG!$C:$C,0))),"Ativo","—"))</f>
        <v/>
      </c>
      <c r="N778" s="94">
        <f>IFERROR(INDEX(_ZIG_Cadastro!$E:$E,MATCH(I778,_ZIG_Cadastro!$A:$A,0)),IFERROR(INDEX(_Entradas_ZIG!$F:$F,MATCH(I778,_Entradas_ZIG!$C:$C,0)),"—"))</f>
        <v/>
      </c>
      <c r="O778" s="92">
        <f>IF(AND(ISNUMBER(SEARCH("Espeto",N778)),ISNUMBER(SEARCH("Carin",N778))),"SIM","")</f>
        <v/>
      </c>
      <c r="P778" s="92">
        <f>IF(AND(ISNUMBER(SEARCH("Espeto",N778)),ISNUMBER(SEARCH("Lapa",N778))),"SIM","")</f>
        <v/>
      </c>
      <c r="Q778" s="92">
        <f>IF(AND(ISNUMBER(SEARCH("Espeto",N778)),ISNUMBER(SEARCH("Tatuapé",N778))),"SIM","")</f>
        <v/>
      </c>
      <c r="R778" s="92">
        <f>IF(AND(ISNUMBER(SEARCH("Espeto",N778)),ISNUMBER(SEARCH("Pavão",N778))),"SIM","")</f>
        <v/>
      </c>
      <c r="S778" s="92">
        <f>IF(AND(ISNUMBER(SEARCH("Espeto",N778)),ISNUMBER(SEARCH("Chac",N778))),"SIM","")</f>
        <v/>
      </c>
      <c r="T778" s="92">
        <f>IF(AND(ISNUMBER(SEARCH("Espeto",N778)),ISNUMBER(SEARCH("Madalena",N778))),"SIM","")</f>
        <v/>
      </c>
      <c r="U778" s="92">
        <f>IF(AND(ISNUMBER(SEARCH("Espeto",N778)),ISNUMBER(SEARCH("Mariana",N778))),"SIM","")</f>
        <v/>
      </c>
      <c r="V778" s="92">
        <f>IF(AND(ISNUMBER(SEARCH("Espeto",N778)),ISNUMBER(SEARCH("Perdizes",N778))),"SIM","")</f>
        <v/>
      </c>
      <c r="W778" s="92">
        <f>IF(AND(ISNUMBER(SEARCH("Espeto",N778)),ISNUMBER(SEARCH("Santana",N778))),"SIM","")</f>
        <v/>
      </c>
      <c r="X778" s="92">
        <f>IF(AND(ISNUMBER(SEARCH("Espeto",N778)),ISNUMBER(SEARCH("André",N778))),"SIM","")</f>
        <v/>
      </c>
      <c r="Y778" s="92">
        <f>IF(AND(ISNUMBER(SEARCH("Delivery",N778)),ISNUMBER(SEARCH("Carin",N778))),"SIM","")</f>
        <v/>
      </c>
      <c r="Z778" s="92">
        <f>IF(AND(ISNUMBER(SEARCH("Delivery",N778)),ISNUMBER(SEARCH("Lapa",N778))),"SIM","")</f>
        <v/>
      </c>
      <c r="AA778" s="92">
        <f>IF(AND(ISNUMBER(SEARCH("Delivery",N778)),ISNUMBER(SEARCH("Tatuapé",N778))),"SIM","")</f>
        <v/>
      </c>
      <c r="AB778" s="92">
        <f>IF(AND(ISNUMBER(SEARCH("Delivery",N778)),ISNUMBER(SEARCH("Pavão",N778))),"SIM","")</f>
        <v/>
      </c>
      <c r="AC778" s="92">
        <f>IF(AND(ISNUMBER(SEARCH("Delivery",N778)),ISNUMBER(SEARCH("Chac",N778))),"SIM","")</f>
        <v/>
      </c>
      <c r="AD778" s="92">
        <f>IF(AND(ISNUMBER(SEARCH("Delivery",N778)),ISNUMBER(SEARCH("Madalena",N778))),"SIM","")</f>
        <v/>
      </c>
      <c r="AE778" s="99">
        <f>IF(AND(ISNUMBER(SEARCH("Delivery",N778)),ISNUMBER(SEARCH("Mariana",N778))),"SIM","")</f>
        <v/>
      </c>
      <c r="AF778" s="99">
        <f>IF(AND(ISNUMBER(SEARCH("Delivery",N778)),ISNUMBER(SEARCH("Perdizes",N778))),"SIM","")</f>
        <v/>
      </c>
      <c r="AG778" s="99">
        <f>IF(AND(ISNUMBER(SEARCH("Delivery",N778)),ISNUMBER(SEARCH("Santana",N778))),"SIM","")</f>
        <v/>
      </c>
      <c r="AH778" s="99">
        <f>IF(AND(ISNUMBER(SEARCH("Delivery",N778)),ISNUMBER(SEARCH("André",N778))),"SIM","")</f>
        <v/>
      </c>
      <c r="AI778" s="99">
        <f>IF(ISNUMBER(SEARCH("Interlagos",N778)),"SIM","")</f>
        <v/>
      </c>
      <c r="AJ778" s="99">
        <f>IF(ISNUMBER(SEARCH("Quiosque",N778)),"SIM","")</f>
        <v/>
      </c>
      <c r="AK778" s="101" t="n"/>
    </row>
    <row r="779">
      <c r="A779" s="88" t="inlineStr">
        <is>
          <t>Protheus</t>
        </is>
      </c>
      <c r="B779" s="89" t="inlineStr">
        <is>
          <t>002242</t>
        </is>
      </c>
      <c r="C779" s="90">
        <f>IF(B779="—","—",IFERROR(VLOOKUP(B779,_Protheus_Cadastro!$A:$B,2,FALSE),"—"))</f>
        <v/>
      </c>
      <c r="D779" s="91">
        <f>IF(B779="—",IFERROR(INDEX(_ZIG_Cadastro!$D:$D,MATCH(H779,_ZIG_Cadastro!$A:$A,0)),"Produto"),IFERROR(VLOOKUP(B779,_Protheus_Cadastro!$A:$C,3,FALSE),"—"))</f>
        <v/>
      </c>
      <c r="E779" s="91">
        <f>IF(B779="—","—",IFERROR(VLOOKUP(B779,_Protheus_Cadastro!$A:$D,4,FALSE),"—"))</f>
        <v/>
      </c>
      <c r="F779" s="91">
        <f>IF(ISERROR(VLOOKUP(B779,'Estrutura Protheus'!A:A,1,FALSE)),"Não","Sim")</f>
        <v/>
      </c>
      <c r="G779" s="92">
        <f>IFERROR(INDEX(_Protheus_Cadastro!$H:$H,MATCH(B779,_Protheus_Cadastro!$A:$A,0)),"—")</f>
        <v/>
      </c>
      <c r="H779" s="210">
        <f>IFERROR(INDEX(_ZIG_Precos!$D:$D,MATCH(I779,_ZIG_Precos!$F:$F,0)),"—")</f>
        <v/>
      </c>
      <c r="I779" s="95">
        <f>IFERROR(VLOOKUP(B779,_Protheus_Cadastro!$A:$I,9,FALSE),"—")</f>
        <v/>
      </c>
      <c r="J779" s="93">
        <f>IFERROR(INDEX(_ZIG_Cadastro!$B:$B,MATCH(I779,_ZIG_Cadastro!$A:$A,0)),IFERROR(INDEX(_Entradas_ZIG!$B:$B,MATCH(I779,_Entradas_ZIG!$C:$C,0)),"—"))</f>
        <v/>
      </c>
      <c r="K779" s="93">
        <f>IFERROR(INDEX(_ZIG_Cadastro!$C:$C,MATCH(I779,_ZIG_Cadastro!$A:$A,0)),IFERROR(INDEX(_Entradas_ZIG!$D:$D,MATCH(I779,_Entradas_ZIG!$C:$C,0)),"—"))</f>
        <v/>
      </c>
      <c r="L779" s="92">
        <f>IF(I779="","Sem SKU ZIG",IF(I779="—","Sem SKU ZIG",IF(NOT(ISERROR(MATCH(I779,_ZIG_Cadastro!$A:$A,0))),IF(EXACT(UPPER(TRIM(C779)),UPPER(TRIM(INDEX(_ZIG_Cadastro!$B:$B,MATCH(I779,_ZIG_Cadastro!$A:$A,0))))),"OK","Atencao - Nome diverge"),IF(NOT(ISERROR(MATCH(I779,_Entradas_ZIG!$C:$C,0))),"OK","Erro - SKU nao encontrado"))))</f>
        <v/>
      </c>
      <c r="M779" s="92">
        <f>IFERROR(INDEX(_ZIG_Cadastro!$G:$G,MATCH(I779,_ZIG_Cadastro!$A:$A,0)),IF(NOT(ISERROR(MATCH(I779,_Entradas_ZIG!$C:$C,0))),"Ativo","—"))</f>
        <v/>
      </c>
      <c r="N779" s="94">
        <f>IFERROR(INDEX(_ZIG_Cadastro!$E:$E,MATCH(I779,_ZIG_Cadastro!$A:$A,0)),IFERROR(INDEX(_Entradas_ZIG!$F:$F,MATCH(I779,_Entradas_ZIG!$C:$C,0)),"—"))</f>
        <v/>
      </c>
      <c r="O779" s="92">
        <f>IF(AND(ISNUMBER(SEARCH("Espeto",N779)),ISNUMBER(SEARCH("Carin",N779))),"SIM","")</f>
        <v/>
      </c>
      <c r="P779" s="92">
        <f>IF(AND(ISNUMBER(SEARCH("Espeto",N779)),ISNUMBER(SEARCH("Lapa",N779))),"SIM","")</f>
        <v/>
      </c>
      <c r="Q779" s="92">
        <f>IF(AND(ISNUMBER(SEARCH("Espeto",N779)),ISNUMBER(SEARCH("Tatuapé",N779))),"SIM","")</f>
        <v/>
      </c>
      <c r="R779" s="92">
        <f>IF(AND(ISNUMBER(SEARCH("Espeto",N779)),ISNUMBER(SEARCH("Pavão",N779))),"SIM","")</f>
        <v/>
      </c>
      <c r="S779" s="92">
        <f>IF(AND(ISNUMBER(SEARCH("Espeto",N779)),ISNUMBER(SEARCH("Chac",N779))),"SIM","")</f>
        <v/>
      </c>
      <c r="T779" s="92">
        <f>IF(AND(ISNUMBER(SEARCH("Espeto",N779)),ISNUMBER(SEARCH("Madalena",N779))),"SIM","")</f>
        <v/>
      </c>
      <c r="U779" s="92">
        <f>IF(AND(ISNUMBER(SEARCH("Espeto",N779)),ISNUMBER(SEARCH("Mariana",N779))),"SIM","")</f>
        <v/>
      </c>
      <c r="V779" s="92">
        <f>IF(AND(ISNUMBER(SEARCH("Espeto",N779)),ISNUMBER(SEARCH("Perdizes",N779))),"SIM","")</f>
        <v/>
      </c>
      <c r="W779" s="92">
        <f>IF(AND(ISNUMBER(SEARCH("Espeto",N779)),ISNUMBER(SEARCH("Santana",N779))),"SIM","")</f>
        <v/>
      </c>
      <c r="X779" s="92">
        <f>IF(AND(ISNUMBER(SEARCH("Espeto",N779)),ISNUMBER(SEARCH("André",N779))),"SIM","")</f>
        <v/>
      </c>
      <c r="Y779" s="92">
        <f>IF(AND(ISNUMBER(SEARCH("Delivery",N779)),ISNUMBER(SEARCH("Carin",N779))),"SIM","")</f>
        <v/>
      </c>
      <c r="Z779" s="92">
        <f>IF(AND(ISNUMBER(SEARCH("Delivery",N779)),ISNUMBER(SEARCH("Lapa",N779))),"SIM","")</f>
        <v/>
      </c>
      <c r="AA779" s="92">
        <f>IF(AND(ISNUMBER(SEARCH("Delivery",N779)),ISNUMBER(SEARCH("Tatuapé",N779))),"SIM","")</f>
        <v/>
      </c>
      <c r="AB779" s="92">
        <f>IF(AND(ISNUMBER(SEARCH("Delivery",N779)),ISNUMBER(SEARCH("Pavão",N779))),"SIM","")</f>
        <v/>
      </c>
      <c r="AC779" s="92">
        <f>IF(AND(ISNUMBER(SEARCH("Delivery",N779)),ISNUMBER(SEARCH("Chac",N779))),"SIM","")</f>
        <v/>
      </c>
      <c r="AD779" s="92">
        <f>IF(AND(ISNUMBER(SEARCH("Delivery",N779)),ISNUMBER(SEARCH("Madalena",N779))),"SIM","")</f>
        <v/>
      </c>
      <c r="AE779" s="99">
        <f>IF(AND(ISNUMBER(SEARCH("Delivery",N779)),ISNUMBER(SEARCH("Mariana",N779))),"SIM","")</f>
        <v/>
      </c>
      <c r="AF779" s="99">
        <f>IF(AND(ISNUMBER(SEARCH("Delivery",N779)),ISNUMBER(SEARCH("Perdizes",N779))),"SIM","")</f>
        <v/>
      </c>
      <c r="AG779" s="99">
        <f>IF(AND(ISNUMBER(SEARCH("Delivery",N779)),ISNUMBER(SEARCH("Santana",N779))),"SIM","")</f>
        <v/>
      </c>
      <c r="AH779" s="99">
        <f>IF(AND(ISNUMBER(SEARCH("Delivery",N779)),ISNUMBER(SEARCH("André",N779))),"SIM","")</f>
        <v/>
      </c>
      <c r="AI779" s="99">
        <f>IF(ISNUMBER(SEARCH("Interlagos",N779)),"SIM","")</f>
        <v/>
      </c>
      <c r="AJ779" s="99">
        <f>IF(ISNUMBER(SEARCH("Quiosque",N779)),"SIM","")</f>
        <v/>
      </c>
      <c r="AK779" s="101" t="n"/>
    </row>
    <row r="780">
      <c r="A780" s="88" t="inlineStr">
        <is>
          <t>Protheus</t>
        </is>
      </c>
      <c r="B780" s="89" t="inlineStr">
        <is>
          <t>002245</t>
        </is>
      </c>
      <c r="C780" s="90">
        <f>IF(B780="—","—",IFERROR(VLOOKUP(B780,_Protheus_Cadastro!$A:$B,2,FALSE),"—"))</f>
        <v/>
      </c>
      <c r="D780" s="91">
        <f>IF(B780="—",IFERROR(INDEX(_ZIG_Cadastro!$D:$D,MATCH(H780,_ZIG_Cadastro!$A:$A,0)),"Produto"),IFERROR(VLOOKUP(B780,_Protheus_Cadastro!$A:$C,3,FALSE),"—"))</f>
        <v/>
      </c>
      <c r="E780" s="91">
        <f>IF(B780="—","—",IFERROR(VLOOKUP(B780,_Protheus_Cadastro!$A:$D,4,FALSE),"—"))</f>
        <v/>
      </c>
      <c r="F780" s="91">
        <f>IF(ISERROR(VLOOKUP(B780,'Estrutura Protheus'!A:A,1,FALSE)),"Não","Sim")</f>
        <v/>
      </c>
      <c r="G780" s="92">
        <f>IFERROR(INDEX(_Protheus_Cadastro!$H:$H,MATCH(B780,_Protheus_Cadastro!$A:$A,0)),"—")</f>
        <v/>
      </c>
      <c r="H780" s="210">
        <f>IFERROR(INDEX(_ZIG_Precos!$D:$D,MATCH(I780,_ZIG_Precos!$F:$F,0)),"—")</f>
        <v/>
      </c>
      <c r="I780" s="95">
        <f>IFERROR(VLOOKUP(B780,_Protheus_Cadastro!$A:$I,9,FALSE),"—")</f>
        <v/>
      </c>
      <c r="J780" s="93">
        <f>IFERROR(INDEX(_ZIG_Cadastro!$B:$B,MATCH(I780,_ZIG_Cadastro!$A:$A,0)),IFERROR(INDEX(_Entradas_ZIG!$B:$B,MATCH(I780,_Entradas_ZIG!$C:$C,0)),"—"))</f>
        <v/>
      </c>
      <c r="K780" s="93">
        <f>IFERROR(INDEX(_ZIG_Cadastro!$C:$C,MATCH(I780,_ZIG_Cadastro!$A:$A,0)),IFERROR(INDEX(_Entradas_ZIG!$D:$D,MATCH(I780,_Entradas_ZIG!$C:$C,0)),"—"))</f>
        <v/>
      </c>
      <c r="L780" s="92">
        <f>IF(I780="","Sem SKU ZIG",IF(I780="—","Sem SKU ZIG",IF(NOT(ISERROR(MATCH(I780,_ZIG_Cadastro!$A:$A,0))),IF(EXACT(UPPER(TRIM(C780)),UPPER(TRIM(INDEX(_ZIG_Cadastro!$B:$B,MATCH(I780,_ZIG_Cadastro!$A:$A,0))))),"OK","Atencao - Nome diverge"),IF(NOT(ISERROR(MATCH(I780,_Entradas_ZIG!$C:$C,0))),"OK","Erro - SKU nao encontrado"))))</f>
        <v/>
      </c>
      <c r="M780" s="92">
        <f>IFERROR(INDEX(_ZIG_Cadastro!$G:$G,MATCH(I780,_ZIG_Cadastro!$A:$A,0)),IF(NOT(ISERROR(MATCH(I780,_Entradas_ZIG!$C:$C,0))),"Ativo","—"))</f>
        <v/>
      </c>
      <c r="N780" s="94">
        <f>IFERROR(INDEX(_ZIG_Cadastro!$E:$E,MATCH(I780,_ZIG_Cadastro!$A:$A,0)),IFERROR(INDEX(_Entradas_ZIG!$F:$F,MATCH(I780,_Entradas_ZIG!$C:$C,0)),"—"))</f>
        <v/>
      </c>
      <c r="O780" s="92">
        <f>IF(AND(ISNUMBER(SEARCH("Espeto",N780)),ISNUMBER(SEARCH("Carin",N780))),"SIM","")</f>
        <v/>
      </c>
      <c r="P780" s="92">
        <f>IF(AND(ISNUMBER(SEARCH("Espeto",N780)),ISNUMBER(SEARCH("Lapa",N780))),"SIM","")</f>
        <v/>
      </c>
      <c r="Q780" s="92">
        <f>IF(AND(ISNUMBER(SEARCH("Espeto",N780)),ISNUMBER(SEARCH("Tatuapé",N780))),"SIM","")</f>
        <v/>
      </c>
      <c r="R780" s="92">
        <f>IF(AND(ISNUMBER(SEARCH("Espeto",N780)),ISNUMBER(SEARCH("Pavão",N780))),"SIM","")</f>
        <v/>
      </c>
      <c r="S780" s="92">
        <f>IF(AND(ISNUMBER(SEARCH("Espeto",N780)),ISNUMBER(SEARCH("Chac",N780))),"SIM","")</f>
        <v/>
      </c>
      <c r="T780" s="92">
        <f>IF(AND(ISNUMBER(SEARCH("Espeto",N780)),ISNUMBER(SEARCH("Madalena",N780))),"SIM","")</f>
        <v/>
      </c>
      <c r="U780" s="92">
        <f>IF(AND(ISNUMBER(SEARCH("Espeto",N780)),ISNUMBER(SEARCH("Mariana",N780))),"SIM","")</f>
        <v/>
      </c>
      <c r="V780" s="92">
        <f>IF(AND(ISNUMBER(SEARCH("Espeto",N780)),ISNUMBER(SEARCH("Perdizes",N780))),"SIM","")</f>
        <v/>
      </c>
      <c r="W780" s="92">
        <f>IF(AND(ISNUMBER(SEARCH("Espeto",N780)),ISNUMBER(SEARCH("Santana",N780))),"SIM","")</f>
        <v/>
      </c>
      <c r="X780" s="92">
        <f>IF(AND(ISNUMBER(SEARCH("Espeto",N780)),ISNUMBER(SEARCH("André",N780))),"SIM","")</f>
        <v/>
      </c>
      <c r="Y780" s="92">
        <f>IF(AND(ISNUMBER(SEARCH("Delivery",N780)),ISNUMBER(SEARCH("Carin",N780))),"SIM","")</f>
        <v/>
      </c>
      <c r="Z780" s="92">
        <f>IF(AND(ISNUMBER(SEARCH("Delivery",N780)),ISNUMBER(SEARCH("Lapa",N780))),"SIM","")</f>
        <v/>
      </c>
      <c r="AA780" s="92">
        <f>IF(AND(ISNUMBER(SEARCH("Delivery",N780)),ISNUMBER(SEARCH("Tatuapé",N780))),"SIM","")</f>
        <v/>
      </c>
      <c r="AB780" s="92">
        <f>IF(AND(ISNUMBER(SEARCH("Delivery",N780)),ISNUMBER(SEARCH("Pavão",N780))),"SIM","")</f>
        <v/>
      </c>
      <c r="AC780" s="92">
        <f>IF(AND(ISNUMBER(SEARCH("Delivery",N780)),ISNUMBER(SEARCH("Chac",N780))),"SIM","")</f>
        <v/>
      </c>
      <c r="AD780" s="92">
        <f>IF(AND(ISNUMBER(SEARCH("Delivery",N780)),ISNUMBER(SEARCH("Madalena",N780))),"SIM","")</f>
        <v/>
      </c>
      <c r="AE780" s="99">
        <f>IF(AND(ISNUMBER(SEARCH("Delivery",N780)),ISNUMBER(SEARCH("Mariana",N780))),"SIM","")</f>
        <v/>
      </c>
      <c r="AF780" s="99">
        <f>IF(AND(ISNUMBER(SEARCH("Delivery",N780)),ISNUMBER(SEARCH("Perdizes",N780))),"SIM","")</f>
        <v/>
      </c>
      <c r="AG780" s="99">
        <f>IF(AND(ISNUMBER(SEARCH("Delivery",N780)),ISNUMBER(SEARCH("Santana",N780))),"SIM","")</f>
        <v/>
      </c>
      <c r="AH780" s="99">
        <f>IF(AND(ISNUMBER(SEARCH("Delivery",N780)),ISNUMBER(SEARCH("André",N780))),"SIM","")</f>
        <v/>
      </c>
      <c r="AI780" s="99">
        <f>IF(ISNUMBER(SEARCH("Interlagos",N780)),"SIM","")</f>
        <v/>
      </c>
      <c r="AJ780" s="99">
        <f>IF(ISNUMBER(SEARCH("Quiosque",N780)),"SIM","")</f>
        <v/>
      </c>
      <c r="AK780" s="101" t="n"/>
    </row>
    <row r="781">
      <c r="A781" s="88" t="inlineStr">
        <is>
          <t>Protheus</t>
        </is>
      </c>
      <c r="B781" s="89" t="inlineStr">
        <is>
          <t>009570</t>
        </is>
      </c>
      <c r="C781" s="90">
        <f>IF(B781="—","—",IFERROR(VLOOKUP(B781,_Protheus_Cadastro!$A:$B,2,FALSE),"—"))</f>
        <v/>
      </c>
      <c r="D781" s="91">
        <f>IF(B781="—",IFERROR(INDEX(_ZIG_Cadastro!$D:$D,MATCH(H781,_ZIG_Cadastro!$A:$A,0)),"Produto"),IFERROR(VLOOKUP(B781,_Protheus_Cadastro!$A:$C,3,FALSE),"—"))</f>
        <v/>
      </c>
      <c r="E781" s="91">
        <f>IF(B781="—","—",IFERROR(VLOOKUP(B781,_Protheus_Cadastro!$A:$D,4,FALSE),"—"))</f>
        <v/>
      </c>
      <c r="F781" s="91">
        <f>IF(ISERROR(VLOOKUP(B781,'Estrutura Protheus'!A:A,1,FALSE)),"Não","Sim")</f>
        <v/>
      </c>
      <c r="G781" s="92">
        <f>IFERROR(INDEX(_Protheus_Cadastro!$H:$H,MATCH(B781,_Protheus_Cadastro!$A:$A,0)),"—")</f>
        <v/>
      </c>
      <c r="H781" s="210">
        <f>IFERROR(INDEX(_ZIG_Precos!$D:$D,MATCH(I781,_ZIG_Precos!$F:$F,0)),"—")</f>
        <v/>
      </c>
      <c r="I781" s="95">
        <f>IFERROR(VLOOKUP(B781,_Protheus_Cadastro!$A:$I,9,FALSE),"—")</f>
        <v/>
      </c>
      <c r="J781" s="93">
        <f>IFERROR(INDEX(_ZIG_Cadastro!$B:$B,MATCH(I781,_ZIG_Cadastro!$A:$A,0)),IFERROR(INDEX(_Entradas_ZIG!$B:$B,MATCH(I781,_Entradas_ZIG!$C:$C,0)),"—"))</f>
        <v/>
      </c>
      <c r="K781" s="93">
        <f>IFERROR(INDEX(_ZIG_Cadastro!$C:$C,MATCH(I781,_ZIG_Cadastro!$A:$A,0)),IFERROR(INDEX(_Entradas_ZIG!$D:$D,MATCH(I781,_Entradas_ZIG!$C:$C,0)),"—"))</f>
        <v/>
      </c>
      <c r="L781" s="92">
        <f>IF(I781="","Sem SKU ZIG",IF(I781="—","Sem SKU ZIG",IF(NOT(ISERROR(MATCH(I781,_ZIG_Cadastro!$A:$A,0))),IF(EXACT(UPPER(TRIM(C781)),UPPER(TRIM(INDEX(_ZIG_Cadastro!$B:$B,MATCH(I781,_ZIG_Cadastro!$A:$A,0))))),"OK","Atencao - Nome diverge"),IF(NOT(ISERROR(MATCH(I781,_Entradas_ZIG!$C:$C,0))),"OK","Erro - SKU nao encontrado"))))</f>
        <v/>
      </c>
      <c r="M781" s="92">
        <f>IFERROR(INDEX(_ZIG_Cadastro!$G:$G,MATCH(I781,_ZIG_Cadastro!$A:$A,0)),IF(NOT(ISERROR(MATCH(I781,_Entradas_ZIG!$C:$C,0))),"Ativo","—"))</f>
        <v/>
      </c>
      <c r="N781" s="94">
        <f>IFERROR(INDEX(_ZIG_Cadastro!$E:$E,MATCH(I781,_ZIG_Cadastro!$A:$A,0)),IFERROR(INDEX(_Entradas_ZIG!$F:$F,MATCH(I781,_Entradas_ZIG!$C:$C,0)),"—"))</f>
        <v/>
      </c>
      <c r="O781" s="92">
        <f>IF(AND(ISNUMBER(SEARCH("Espeto",N781)),ISNUMBER(SEARCH("Carin",N781))),"SIM","")</f>
        <v/>
      </c>
      <c r="P781" s="92">
        <f>IF(AND(ISNUMBER(SEARCH("Espeto",N781)),ISNUMBER(SEARCH("Lapa",N781))),"SIM","")</f>
        <v/>
      </c>
      <c r="Q781" s="92">
        <f>IF(AND(ISNUMBER(SEARCH("Espeto",N781)),ISNUMBER(SEARCH("Tatuapé",N781))),"SIM","")</f>
        <v/>
      </c>
      <c r="R781" s="92">
        <f>IF(AND(ISNUMBER(SEARCH("Espeto",N781)),ISNUMBER(SEARCH("Pavão",N781))),"SIM","")</f>
        <v/>
      </c>
      <c r="S781" s="92">
        <f>IF(AND(ISNUMBER(SEARCH("Espeto",N781)),ISNUMBER(SEARCH("Chac",N781))),"SIM","")</f>
        <v/>
      </c>
      <c r="T781" s="92">
        <f>IF(AND(ISNUMBER(SEARCH("Espeto",N781)),ISNUMBER(SEARCH("Madalena",N781))),"SIM","")</f>
        <v/>
      </c>
      <c r="U781" s="92">
        <f>IF(AND(ISNUMBER(SEARCH("Espeto",N781)),ISNUMBER(SEARCH("Mariana",N781))),"SIM","")</f>
        <v/>
      </c>
      <c r="V781" s="92">
        <f>IF(AND(ISNUMBER(SEARCH("Espeto",N781)),ISNUMBER(SEARCH("Perdizes",N781))),"SIM","")</f>
        <v/>
      </c>
      <c r="W781" s="92">
        <f>IF(AND(ISNUMBER(SEARCH("Espeto",N781)),ISNUMBER(SEARCH("Santana",N781))),"SIM","")</f>
        <v/>
      </c>
      <c r="X781" s="92">
        <f>IF(AND(ISNUMBER(SEARCH("Espeto",N781)),ISNUMBER(SEARCH("André",N781))),"SIM","")</f>
        <v/>
      </c>
      <c r="Y781" s="92">
        <f>IF(AND(ISNUMBER(SEARCH("Delivery",N781)),ISNUMBER(SEARCH("Carin",N781))),"SIM","")</f>
        <v/>
      </c>
      <c r="Z781" s="92">
        <f>IF(AND(ISNUMBER(SEARCH("Delivery",N781)),ISNUMBER(SEARCH("Lapa",N781))),"SIM","")</f>
        <v/>
      </c>
      <c r="AA781" s="92">
        <f>IF(AND(ISNUMBER(SEARCH("Delivery",N781)),ISNUMBER(SEARCH("Tatuapé",N781))),"SIM","")</f>
        <v/>
      </c>
      <c r="AB781" s="92">
        <f>IF(AND(ISNUMBER(SEARCH("Delivery",N781)),ISNUMBER(SEARCH("Pavão",N781))),"SIM","")</f>
        <v/>
      </c>
      <c r="AC781" s="92">
        <f>IF(AND(ISNUMBER(SEARCH("Delivery",N781)),ISNUMBER(SEARCH("Chac",N781))),"SIM","")</f>
        <v/>
      </c>
      <c r="AD781" s="92">
        <f>IF(AND(ISNUMBER(SEARCH("Delivery",N781)),ISNUMBER(SEARCH("Madalena",N781))),"SIM","")</f>
        <v/>
      </c>
      <c r="AE781" s="99">
        <f>IF(AND(ISNUMBER(SEARCH("Delivery",N781)),ISNUMBER(SEARCH("Mariana",N781))),"SIM","")</f>
        <v/>
      </c>
      <c r="AF781" s="99">
        <f>IF(AND(ISNUMBER(SEARCH("Delivery",N781)),ISNUMBER(SEARCH("Perdizes",N781))),"SIM","")</f>
        <v/>
      </c>
      <c r="AG781" s="99">
        <f>IF(AND(ISNUMBER(SEARCH("Delivery",N781)),ISNUMBER(SEARCH("Santana",N781))),"SIM","")</f>
        <v/>
      </c>
      <c r="AH781" s="99">
        <f>IF(AND(ISNUMBER(SEARCH("Delivery",N781)),ISNUMBER(SEARCH("André",N781))),"SIM","")</f>
        <v/>
      </c>
      <c r="AI781" s="99">
        <f>IF(ISNUMBER(SEARCH("Interlagos",N781)),"SIM","")</f>
        <v/>
      </c>
      <c r="AJ781" s="99">
        <f>IF(ISNUMBER(SEARCH("Quiosque",N781)),"SIM","")</f>
        <v/>
      </c>
      <c r="AK781" s="101" t="n"/>
    </row>
    <row r="782">
      <c r="A782" s="88" t="inlineStr">
        <is>
          <t>Protheus</t>
        </is>
      </c>
      <c r="B782" s="89" t="inlineStr">
        <is>
          <t>010397</t>
        </is>
      </c>
      <c r="C782" s="90">
        <f>IF(B782="—","—",IFERROR(VLOOKUP(B782,_Protheus_Cadastro!$A:$B,2,FALSE),"—"))</f>
        <v/>
      </c>
      <c r="D782" s="91">
        <f>IF(B782="—",IFERROR(INDEX(_ZIG_Cadastro!$D:$D,MATCH(H782,_ZIG_Cadastro!$A:$A,0)),"Produto"),IFERROR(VLOOKUP(B782,_Protheus_Cadastro!$A:$C,3,FALSE),"—"))</f>
        <v/>
      </c>
      <c r="E782" s="91">
        <f>IF(B782="—","—",IFERROR(VLOOKUP(B782,_Protheus_Cadastro!$A:$D,4,FALSE),"—"))</f>
        <v/>
      </c>
      <c r="F782" s="91">
        <f>IF(ISERROR(VLOOKUP(B782,'Estrutura Protheus'!A:A,1,FALSE)),"Não","Sim")</f>
        <v/>
      </c>
      <c r="G782" s="92">
        <f>IFERROR(INDEX(_Protheus_Cadastro!$H:$H,MATCH(B782,_Protheus_Cadastro!$A:$A,0)),"—")</f>
        <v/>
      </c>
      <c r="H782" s="210">
        <f>IFERROR(INDEX(_ZIG_Precos!$D:$D,MATCH(I782,_ZIG_Precos!$F:$F,0)),"—")</f>
        <v/>
      </c>
      <c r="I782" s="95">
        <f>IFERROR(VLOOKUP(B782,_Protheus_Cadastro!$A:$I,9,FALSE),"—")</f>
        <v/>
      </c>
      <c r="J782" s="93">
        <f>IFERROR(INDEX(_ZIG_Cadastro!$B:$B,MATCH(I782,_ZIG_Cadastro!$A:$A,0)),IFERROR(INDEX(_Entradas_ZIG!$B:$B,MATCH(I782,_Entradas_ZIG!$C:$C,0)),"—"))</f>
        <v/>
      </c>
      <c r="K782" s="93">
        <f>IFERROR(INDEX(_ZIG_Cadastro!$C:$C,MATCH(I782,_ZIG_Cadastro!$A:$A,0)),IFERROR(INDEX(_Entradas_ZIG!$D:$D,MATCH(I782,_Entradas_ZIG!$C:$C,0)),"—"))</f>
        <v/>
      </c>
      <c r="L782" s="92">
        <f>IF(I782="","Sem SKU ZIG",IF(I782="—","Sem SKU ZIG",IF(NOT(ISERROR(MATCH(I782,_ZIG_Cadastro!$A:$A,0))),IF(EXACT(UPPER(TRIM(C782)),UPPER(TRIM(INDEX(_ZIG_Cadastro!$B:$B,MATCH(I782,_ZIG_Cadastro!$A:$A,0))))),"OK","Atencao - Nome diverge"),IF(NOT(ISERROR(MATCH(I782,_Entradas_ZIG!$C:$C,0))),"OK","Erro - SKU nao encontrado"))))</f>
        <v/>
      </c>
      <c r="M782" s="92">
        <f>IFERROR(INDEX(_ZIG_Cadastro!$G:$G,MATCH(I782,_ZIG_Cadastro!$A:$A,0)),IF(NOT(ISERROR(MATCH(I782,_Entradas_ZIG!$C:$C,0))),"Ativo","—"))</f>
        <v/>
      </c>
      <c r="N782" s="94">
        <f>IFERROR(INDEX(_ZIG_Cadastro!$E:$E,MATCH(I782,_ZIG_Cadastro!$A:$A,0)),IFERROR(INDEX(_Entradas_ZIG!$F:$F,MATCH(I782,_Entradas_ZIG!$C:$C,0)),"—"))</f>
        <v/>
      </c>
      <c r="O782" s="92">
        <f>IF(AND(ISNUMBER(SEARCH("Espeto",N782)),ISNUMBER(SEARCH("Carin",N782))),"SIM","")</f>
        <v/>
      </c>
      <c r="P782" s="92">
        <f>IF(AND(ISNUMBER(SEARCH("Espeto",N782)),ISNUMBER(SEARCH("Lapa",N782))),"SIM","")</f>
        <v/>
      </c>
      <c r="Q782" s="92">
        <f>IF(AND(ISNUMBER(SEARCH("Espeto",N782)),ISNUMBER(SEARCH("Tatuapé",N782))),"SIM","")</f>
        <v/>
      </c>
      <c r="R782" s="92">
        <f>IF(AND(ISNUMBER(SEARCH("Espeto",N782)),ISNUMBER(SEARCH("Pavão",N782))),"SIM","")</f>
        <v/>
      </c>
      <c r="S782" s="92">
        <f>IF(AND(ISNUMBER(SEARCH("Espeto",N782)),ISNUMBER(SEARCH("Chac",N782))),"SIM","")</f>
        <v/>
      </c>
      <c r="T782" s="92">
        <f>IF(AND(ISNUMBER(SEARCH("Espeto",N782)),ISNUMBER(SEARCH("Madalena",N782))),"SIM","")</f>
        <v/>
      </c>
      <c r="U782" s="92">
        <f>IF(AND(ISNUMBER(SEARCH("Espeto",N782)),ISNUMBER(SEARCH("Mariana",N782))),"SIM","")</f>
        <v/>
      </c>
      <c r="V782" s="92">
        <f>IF(AND(ISNUMBER(SEARCH("Espeto",N782)),ISNUMBER(SEARCH("Perdizes",N782))),"SIM","")</f>
        <v/>
      </c>
      <c r="W782" s="92">
        <f>IF(AND(ISNUMBER(SEARCH("Espeto",N782)),ISNUMBER(SEARCH("Santana",N782))),"SIM","")</f>
        <v/>
      </c>
      <c r="X782" s="92">
        <f>IF(AND(ISNUMBER(SEARCH("Espeto",N782)),ISNUMBER(SEARCH("André",N782))),"SIM","")</f>
        <v/>
      </c>
      <c r="Y782" s="92">
        <f>IF(AND(ISNUMBER(SEARCH("Delivery",N782)),ISNUMBER(SEARCH("Carin",N782))),"SIM","")</f>
        <v/>
      </c>
      <c r="Z782" s="92">
        <f>IF(AND(ISNUMBER(SEARCH("Delivery",N782)),ISNUMBER(SEARCH("Lapa",N782))),"SIM","")</f>
        <v/>
      </c>
      <c r="AA782" s="92">
        <f>IF(AND(ISNUMBER(SEARCH("Delivery",N782)),ISNUMBER(SEARCH("Tatuapé",N782))),"SIM","")</f>
        <v/>
      </c>
      <c r="AB782" s="92">
        <f>IF(AND(ISNUMBER(SEARCH("Delivery",N782)),ISNUMBER(SEARCH("Pavão",N782))),"SIM","")</f>
        <v/>
      </c>
      <c r="AC782" s="92">
        <f>IF(AND(ISNUMBER(SEARCH("Delivery",N782)),ISNUMBER(SEARCH("Chac",N782))),"SIM","")</f>
        <v/>
      </c>
      <c r="AD782" s="92">
        <f>IF(AND(ISNUMBER(SEARCH("Delivery",N782)),ISNUMBER(SEARCH("Madalena",N782))),"SIM","")</f>
        <v/>
      </c>
      <c r="AE782" s="99">
        <f>IF(AND(ISNUMBER(SEARCH("Delivery",N782)),ISNUMBER(SEARCH("Mariana",N782))),"SIM","")</f>
        <v/>
      </c>
      <c r="AF782" s="99">
        <f>IF(AND(ISNUMBER(SEARCH("Delivery",N782)),ISNUMBER(SEARCH("Perdizes",N782))),"SIM","")</f>
        <v/>
      </c>
      <c r="AG782" s="99">
        <f>IF(AND(ISNUMBER(SEARCH("Delivery",N782)),ISNUMBER(SEARCH("Santana",N782))),"SIM","")</f>
        <v/>
      </c>
      <c r="AH782" s="99">
        <f>IF(AND(ISNUMBER(SEARCH("Delivery",N782)),ISNUMBER(SEARCH("André",N782))),"SIM","")</f>
        <v/>
      </c>
      <c r="AI782" s="99">
        <f>IF(ISNUMBER(SEARCH("Interlagos",N782)),"SIM","")</f>
        <v/>
      </c>
      <c r="AJ782" s="99">
        <f>IF(ISNUMBER(SEARCH("Quiosque",N782)),"SIM","")</f>
        <v/>
      </c>
      <c r="AK782" s="101" t="n"/>
    </row>
    <row r="783">
      <c r="A783" s="88" t="inlineStr">
        <is>
          <t>Protheus</t>
        </is>
      </c>
      <c r="B783" s="89" t="inlineStr">
        <is>
          <t>010427</t>
        </is>
      </c>
      <c r="C783" s="90">
        <f>IF(B783="—","—",IFERROR(VLOOKUP(B783,_Protheus_Cadastro!$A:$B,2,FALSE),"—"))</f>
        <v/>
      </c>
      <c r="D783" s="91">
        <f>IF(B783="—",IFERROR(INDEX(_ZIG_Cadastro!$D:$D,MATCH(H783,_ZIG_Cadastro!$A:$A,0)),"Produto"),IFERROR(VLOOKUP(B783,_Protheus_Cadastro!$A:$C,3,FALSE),"—"))</f>
        <v/>
      </c>
      <c r="E783" s="91">
        <f>IF(B783="—","—",IFERROR(VLOOKUP(B783,_Protheus_Cadastro!$A:$D,4,FALSE),"—"))</f>
        <v/>
      </c>
      <c r="F783" s="91">
        <f>IF(ISERROR(VLOOKUP(B783,'Estrutura Protheus'!A:A,1,FALSE)),"Não","Sim")</f>
        <v/>
      </c>
      <c r="G783" s="92">
        <f>IFERROR(INDEX(_Protheus_Cadastro!$H:$H,MATCH(B783,_Protheus_Cadastro!$A:$A,0)),"—")</f>
        <v/>
      </c>
      <c r="H783" s="210">
        <f>IFERROR(INDEX(_ZIG_Precos!$D:$D,MATCH(I783,_ZIG_Precos!$F:$F,0)),"—")</f>
        <v/>
      </c>
      <c r="I783" s="95">
        <f>IFERROR(VLOOKUP(B783,_Protheus_Cadastro!$A:$I,9,FALSE),"—")</f>
        <v/>
      </c>
      <c r="J783" s="93">
        <f>IFERROR(INDEX(_ZIG_Cadastro!$B:$B,MATCH(I783,_ZIG_Cadastro!$A:$A,0)),IFERROR(INDEX(_Entradas_ZIG!$B:$B,MATCH(I783,_Entradas_ZIG!$C:$C,0)),"—"))</f>
        <v/>
      </c>
      <c r="K783" s="93">
        <f>IFERROR(INDEX(_ZIG_Cadastro!$C:$C,MATCH(I783,_ZIG_Cadastro!$A:$A,0)),IFERROR(INDEX(_Entradas_ZIG!$D:$D,MATCH(I783,_Entradas_ZIG!$C:$C,0)),"—"))</f>
        <v/>
      </c>
      <c r="L783" s="92">
        <f>IF(I783="","Sem SKU ZIG",IF(I783="—","Sem SKU ZIG",IF(NOT(ISERROR(MATCH(I783,_ZIG_Cadastro!$A:$A,0))),IF(EXACT(UPPER(TRIM(C783)),UPPER(TRIM(INDEX(_ZIG_Cadastro!$B:$B,MATCH(I783,_ZIG_Cadastro!$A:$A,0))))),"OK","Atencao - Nome diverge"),IF(NOT(ISERROR(MATCH(I783,_Entradas_ZIG!$C:$C,0))),"OK","Erro - SKU nao encontrado"))))</f>
        <v/>
      </c>
      <c r="M783" s="92">
        <f>IFERROR(INDEX(_ZIG_Cadastro!$G:$G,MATCH(I783,_ZIG_Cadastro!$A:$A,0)),IF(NOT(ISERROR(MATCH(I783,_Entradas_ZIG!$C:$C,0))),"Ativo","—"))</f>
        <v/>
      </c>
      <c r="N783" s="94">
        <f>IFERROR(INDEX(_ZIG_Cadastro!$E:$E,MATCH(I783,_ZIG_Cadastro!$A:$A,0)),IFERROR(INDEX(_Entradas_ZIG!$F:$F,MATCH(I783,_Entradas_ZIG!$C:$C,0)),"—"))</f>
        <v/>
      </c>
      <c r="O783" s="92">
        <f>IF(AND(ISNUMBER(SEARCH("Espeto",N783)),ISNUMBER(SEARCH("Carin",N783))),"SIM","")</f>
        <v/>
      </c>
      <c r="P783" s="92">
        <f>IF(AND(ISNUMBER(SEARCH("Espeto",N783)),ISNUMBER(SEARCH("Lapa",N783))),"SIM","")</f>
        <v/>
      </c>
      <c r="Q783" s="92">
        <f>IF(AND(ISNUMBER(SEARCH("Espeto",N783)),ISNUMBER(SEARCH("Tatuapé",N783))),"SIM","")</f>
        <v/>
      </c>
      <c r="R783" s="92">
        <f>IF(AND(ISNUMBER(SEARCH("Espeto",N783)),ISNUMBER(SEARCH("Pavão",N783))),"SIM","")</f>
        <v/>
      </c>
      <c r="S783" s="92">
        <f>IF(AND(ISNUMBER(SEARCH("Espeto",N783)),ISNUMBER(SEARCH("Chac",N783))),"SIM","")</f>
        <v/>
      </c>
      <c r="T783" s="92">
        <f>IF(AND(ISNUMBER(SEARCH("Espeto",N783)),ISNUMBER(SEARCH("Madalena",N783))),"SIM","")</f>
        <v/>
      </c>
      <c r="U783" s="92">
        <f>IF(AND(ISNUMBER(SEARCH("Espeto",N783)),ISNUMBER(SEARCH("Mariana",N783))),"SIM","")</f>
        <v/>
      </c>
      <c r="V783" s="92">
        <f>IF(AND(ISNUMBER(SEARCH("Espeto",N783)),ISNUMBER(SEARCH("Perdizes",N783))),"SIM","")</f>
        <v/>
      </c>
      <c r="W783" s="92">
        <f>IF(AND(ISNUMBER(SEARCH("Espeto",N783)),ISNUMBER(SEARCH("Santana",N783))),"SIM","")</f>
        <v/>
      </c>
      <c r="X783" s="92">
        <f>IF(AND(ISNUMBER(SEARCH("Espeto",N783)),ISNUMBER(SEARCH("André",N783))),"SIM","")</f>
        <v/>
      </c>
      <c r="Y783" s="92">
        <f>IF(AND(ISNUMBER(SEARCH("Delivery",N783)),ISNUMBER(SEARCH("Carin",N783))),"SIM","")</f>
        <v/>
      </c>
      <c r="Z783" s="92">
        <f>IF(AND(ISNUMBER(SEARCH("Delivery",N783)),ISNUMBER(SEARCH("Lapa",N783))),"SIM","")</f>
        <v/>
      </c>
      <c r="AA783" s="92">
        <f>IF(AND(ISNUMBER(SEARCH("Delivery",N783)),ISNUMBER(SEARCH("Tatuapé",N783))),"SIM","")</f>
        <v/>
      </c>
      <c r="AB783" s="92">
        <f>IF(AND(ISNUMBER(SEARCH("Delivery",N783)),ISNUMBER(SEARCH("Pavão",N783))),"SIM","")</f>
        <v/>
      </c>
      <c r="AC783" s="92">
        <f>IF(AND(ISNUMBER(SEARCH("Delivery",N783)),ISNUMBER(SEARCH("Chac",N783))),"SIM","")</f>
        <v/>
      </c>
      <c r="AD783" s="92">
        <f>IF(AND(ISNUMBER(SEARCH("Delivery",N783)),ISNUMBER(SEARCH("Madalena",N783))),"SIM","")</f>
        <v/>
      </c>
      <c r="AE783" s="99">
        <f>IF(AND(ISNUMBER(SEARCH("Delivery",N783)),ISNUMBER(SEARCH("Mariana",N783))),"SIM","")</f>
        <v/>
      </c>
      <c r="AF783" s="99">
        <f>IF(AND(ISNUMBER(SEARCH("Delivery",N783)),ISNUMBER(SEARCH("Perdizes",N783))),"SIM","")</f>
        <v/>
      </c>
      <c r="AG783" s="99">
        <f>IF(AND(ISNUMBER(SEARCH("Delivery",N783)),ISNUMBER(SEARCH("Santana",N783))),"SIM","")</f>
        <v/>
      </c>
      <c r="AH783" s="99">
        <f>IF(AND(ISNUMBER(SEARCH("Delivery",N783)),ISNUMBER(SEARCH("André",N783))),"SIM","")</f>
        <v/>
      </c>
      <c r="AI783" s="99">
        <f>IF(ISNUMBER(SEARCH("Interlagos",N783)),"SIM","")</f>
        <v/>
      </c>
      <c r="AJ783" s="99">
        <f>IF(ISNUMBER(SEARCH("Quiosque",N783)),"SIM","")</f>
        <v/>
      </c>
      <c r="AK783" s="101" t="n"/>
    </row>
    <row r="784">
      <c r="A784" s="88" t="inlineStr">
        <is>
          <t>Protheus</t>
        </is>
      </c>
      <c r="B784" s="89" t="inlineStr">
        <is>
          <t>010432</t>
        </is>
      </c>
      <c r="C784" s="90">
        <f>IF(B784="—","—",IFERROR(VLOOKUP(B784,_Protheus_Cadastro!$A:$B,2,FALSE),"—"))</f>
        <v/>
      </c>
      <c r="D784" s="91">
        <f>IF(B784="—",IFERROR(INDEX(_ZIG_Cadastro!$D:$D,MATCH(H784,_ZIG_Cadastro!$A:$A,0)),"Produto"),IFERROR(VLOOKUP(B784,_Protheus_Cadastro!$A:$C,3,FALSE),"—"))</f>
        <v/>
      </c>
      <c r="E784" s="91">
        <f>IF(B784="—","—",IFERROR(VLOOKUP(B784,_Protheus_Cadastro!$A:$D,4,FALSE),"—"))</f>
        <v/>
      </c>
      <c r="F784" s="91">
        <f>IF(ISERROR(VLOOKUP(B784,'Estrutura Protheus'!A:A,1,FALSE)),"Não","Sim")</f>
        <v/>
      </c>
      <c r="G784" s="92">
        <f>IFERROR(INDEX(_Protheus_Cadastro!$H:$H,MATCH(B784,_Protheus_Cadastro!$A:$A,0)),"—")</f>
        <v/>
      </c>
      <c r="H784" s="210">
        <f>IFERROR(INDEX(_ZIG_Precos!$D:$D,MATCH(I784,_ZIG_Precos!$F:$F,0)),"—")</f>
        <v/>
      </c>
      <c r="I784" s="95">
        <f>IFERROR(VLOOKUP(B784,_Protheus_Cadastro!$A:$I,9,FALSE),"—")</f>
        <v/>
      </c>
      <c r="J784" s="93">
        <f>IFERROR(INDEX(_ZIG_Cadastro!$B:$B,MATCH(I784,_ZIG_Cadastro!$A:$A,0)),IFERROR(INDEX(_Entradas_ZIG!$B:$B,MATCH(I784,_Entradas_ZIG!$C:$C,0)),"—"))</f>
        <v/>
      </c>
      <c r="K784" s="93">
        <f>IFERROR(INDEX(_ZIG_Cadastro!$C:$C,MATCH(I784,_ZIG_Cadastro!$A:$A,0)),IFERROR(INDEX(_Entradas_ZIG!$D:$D,MATCH(I784,_Entradas_ZIG!$C:$C,0)),"—"))</f>
        <v/>
      </c>
      <c r="L784" s="92">
        <f>IF(I784="","Sem SKU ZIG",IF(I784="—","Sem SKU ZIG",IF(NOT(ISERROR(MATCH(I784,_ZIG_Cadastro!$A:$A,0))),IF(EXACT(UPPER(TRIM(C784)),UPPER(TRIM(INDEX(_ZIG_Cadastro!$B:$B,MATCH(I784,_ZIG_Cadastro!$A:$A,0))))),"OK","Atencao - Nome diverge"),IF(NOT(ISERROR(MATCH(I784,_Entradas_ZIG!$C:$C,0))),"OK","Erro - SKU nao encontrado"))))</f>
        <v/>
      </c>
      <c r="M784" s="92">
        <f>IFERROR(INDEX(_ZIG_Cadastro!$G:$G,MATCH(I784,_ZIG_Cadastro!$A:$A,0)),IF(NOT(ISERROR(MATCH(I784,_Entradas_ZIG!$C:$C,0))),"Ativo","—"))</f>
        <v/>
      </c>
      <c r="N784" s="94">
        <f>IFERROR(INDEX(_ZIG_Cadastro!$E:$E,MATCH(I784,_ZIG_Cadastro!$A:$A,0)),IFERROR(INDEX(_Entradas_ZIG!$F:$F,MATCH(I784,_Entradas_ZIG!$C:$C,0)),"—"))</f>
        <v/>
      </c>
      <c r="O784" s="92">
        <f>IF(AND(ISNUMBER(SEARCH("Espeto",N784)),ISNUMBER(SEARCH("Carin",N784))),"SIM","")</f>
        <v/>
      </c>
      <c r="P784" s="92">
        <f>IF(AND(ISNUMBER(SEARCH("Espeto",N784)),ISNUMBER(SEARCH("Lapa",N784))),"SIM","")</f>
        <v/>
      </c>
      <c r="Q784" s="92">
        <f>IF(AND(ISNUMBER(SEARCH("Espeto",N784)),ISNUMBER(SEARCH("Tatuapé",N784))),"SIM","")</f>
        <v/>
      </c>
      <c r="R784" s="92">
        <f>IF(AND(ISNUMBER(SEARCH("Espeto",N784)),ISNUMBER(SEARCH("Pavão",N784))),"SIM","")</f>
        <v/>
      </c>
      <c r="S784" s="92">
        <f>IF(AND(ISNUMBER(SEARCH("Espeto",N784)),ISNUMBER(SEARCH("Chac",N784))),"SIM","")</f>
        <v/>
      </c>
      <c r="T784" s="92">
        <f>IF(AND(ISNUMBER(SEARCH("Espeto",N784)),ISNUMBER(SEARCH("Madalena",N784))),"SIM","")</f>
        <v/>
      </c>
      <c r="U784" s="92">
        <f>IF(AND(ISNUMBER(SEARCH("Espeto",N784)),ISNUMBER(SEARCH("Mariana",N784))),"SIM","")</f>
        <v/>
      </c>
      <c r="V784" s="92">
        <f>IF(AND(ISNUMBER(SEARCH("Espeto",N784)),ISNUMBER(SEARCH("Perdizes",N784))),"SIM","")</f>
        <v/>
      </c>
      <c r="W784" s="92">
        <f>IF(AND(ISNUMBER(SEARCH("Espeto",N784)),ISNUMBER(SEARCH("Santana",N784))),"SIM","")</f>
        <v/>
      </c>
      <c r="X784" s="92">
        <f>IF(AND(ISNUMBER(SEARCH("Espeto",N784)),ISNUMBER(SEARCH("André",N784))),"SIM","")</f>
        <v/>
      </c>
      <c r="Y784" s="92">
        <f>IF(AND(ISNUMBER(SEARCH("Delivery",N784)),ISNUMBER(SEARCH("Carin",N784))),"SIM","")</f>
        <v/>
      </c>
      <c r="Z784" s="92">
        <f>IF(AND(ISNUMBER(SEARCH("Delivery",N784)),ISNUMBER(SEARCH("Lapa",N784))),"SIM","")</f>
        <v/>
      </c>
      <c r="AA784" s="92">
        <f>IF(AND(ISNUMBER(SEARCH("Delivery",N784)),ISNUMBER(SEARCH("Tatuapé",N784))),"SIM","")</f>
        <v/>
      </c>
      <c r="AB784" s="92">
        <f>IF(AND(ISNUMBER(SEARCH("Delivery",N784)),ISNUMBER(SEARCH("Pavão",N784))),"SIM","")</f>
        <v/>
      </c>
      <c r="AC784" s="92">
        <f>IF(AND(ISNUMBER(SEARCH("Delivery",N784)),ISNUMBER(SEARCH("Chac",N784))),"SIM","")</f>
        <v/>
      </c>
      <c r="AD784" s="92">
        <f>IF(AND(ISNUMBER(SEARCH("Delivery",N784)),ISNUMBER(SEARCH("Madalena",N784))),"SIM","")</f>
        <v/>
      </c>
      <c r="AE784" s="99">
        <f>IF(AND(ISNUMBER(SEARCH("Delivery",N784)),ISNUMBER(SEARCH("Mariana",N784))),"SIM","")</f>
        <v/>
      </c>
      <c r="AF784" s="99">
        <f>IF(AND(ISNUMBER(SEARCH("Delivery",N784)),ISNUMBER(SEARCH("Perdizes",N784))),"SIM","")</f>
        <v/>
      </c>
      <c r="AG784" s="99">
        <f>IF(AND(ISNUMBER(SEARCH("Delivery",N784)),ISNUMBER(SEARCH("Santana",N784))),"SIM","")</f>
        <v/>
      </c>
      <c r="AH784" s="99">
        <f>IF(AND(ISNUMBER(SEARCH("Delivery",N784)),ISNUMBER(SEARCH("André",N784))),"SIM","")</f>
        <v/>
      </c>
      <c r="AI784" s="99">
        <f>IF(ISNUMBER(SEARCH("Interlagos",N784)),"SIM","")</f>
        <v/>
      </c>
      <c r="AJ784" s="99">
        <f>IF(ISNUMBER(SEARCH("Quiosque",N784)),"SIM","")</f>
        <v/>
      </c>
      <c r="AK784" s="101" t="n"/>
    </row>
    <row r="785">
      <c r="A785" s="88" t="inlineStr">
        <is>
          <t>Protheus</t>
        </is>
      </c>
      <c r="B785" s="89" t="inlineStr">
        <is>
          <t>010433</t>
        </is>
      </c>
      <c r="C785" s="90">
        <f>IF(B785="—","—",IFERROR(VLOOKUP(B785,_Protheus_Cadastro!$A:$B,2,FALSE),"—"))</f>
        <v/>
      </c>
      <c r="D785" s="91">
        <f>IF(B785="—",IFERROR(INDEX(_ZIG_Cadastro!$D:$D,MATCH(H785,_ZIG_Cadastro!$A:$A,0)),"Produto"),IFERROR(VLOOKUP(B785,_Protheus_Cadastro!$A:$C,3,FALSE),"—"))</f>
        <v/>
      </c>
      <c r="E785" s="91">
        <f>IF(B785="—","—",IFERROR(VLOOKUP(B785,_Protheus_Cadastro!$A:$D,4,FALSE),"—"))</f>
        <v/>
      </c>
      <c r="F785" s="91">
        <f>IF(ISERROR(VLOOKUP(B785,'Estrutura Protheus'!A:A,1,FALSE)),"Não","Sim")</f>
        <v/>
      </c>
      <c r="G785" s="92">
        <f>IFERROR(INDEX(_Protheus_Cadastro!$H:$H,MATCH(B785,_Protheus_Cadastro!$A:$A,0)),"—")</f>
        <v/>
      </c>
      <c r="H785" s="210">
        <f>IFERROR(INDEX(_ZIG_Precos!$D:$D,MATCH(I785,_ZIG_Precos!$F:$F,0)),"—")</f>
        <v/>
      </c>
      <c r="I785" s="95">
        <f>IFERROR(VLOOKUP(B785,_Protheus_Cadastro!$A:$I,9,FALSE),"—")</f>
        <v/>
      </c>
      <c r="J785" s="93">
        <f>IFERROR(INDEX(_ZIG_Cadastro!$B:$B,MATCH(I785,_ZIG_Cadastro!$A:$A,0)),IFERROR(INDEX(_Entradas_ZIG!$B:$B,MATCH(I785,_Entradas_ZIG!$C:$C,0)),"—"))</f>
        <v/>
      </c>
      <c r="K785" s="93">
        <f>IFERROR(INDEX(_ZIG_Cadastro!$C:$C,MATCH(I785,_ZIG_Cadastro!$A:$A,0)),IFERROR(INDEX(_Entradas_ZIG!$D:$D,MATCH(I785,_Entradas_ZIG!$C:$C,0)),"—"))</f>
        <v/>
      </c>
      <c r="L785" s="92">
        <f>IF(I785="","Sem SKU ZIG",IF(I785="—","Sem SKU ZIG",IF(NOT(ISERROR(MATCH(I785,_ZIG_Cadastro!$A:$A,0))),IF(EXACT(UPPER(TRIM(C785)),UPPER(TRIM(INDEX(_ZIG_Cadastro!$B:$B,MATCH(I785,_ZIG_Cadastro!$A:$A,0))))),"OK","Atencao - Nome diverge"),IF(NOT(ISERROR(MATCH(I785,_Entradas_ZIG!$C:$C,0))),"OK","Erro - SKU nao encontrado"))))</f>
        <v/>
      </c>
      <c r="M785" s="92">
        <f>IFERROR(INDEX(_ZIG_Cadastro!$G:$G,MATCH(I785,_ZIG_Cadastro!$A:$A,0)),IF(NOT(ISERROR(MATCH(I785,_Entradas_ZIG!$C:$C,0))),"Ativo","—"))</f>
        <v/>
      </c>
      <c r="N785" s="94">
        <f>IFERROR(INDEX(_ZIG_Cadastro!$E:$E,MATCH(I785,_ZIG_Cadastro!$A:$A,0)),IFERROR(INDEX(_Entradas_ZIG!$F:$F,MATCH(I785,_Entradas_ZIG!$C:$C,0)),"—"))</f>
        <v/>
      </c>
      <c r="O785" s="92">
        <f>IF(AND(ISNUMBER(SEARCH("Espeto",N785)),ISNUMBER(SEARCH("Carin",N785))),"SIM","")</f>
        <v/>
      </c>
      <c r="P785" s="92">
        <f>IF(AND(ISNUMBER(SEARCH("Espeto",N785)),ISNUMBER(SEARCH("Lapa",N785))),"SIM","")</f>
        <v/>
      </c>
      <c r="Q785" s="92">
        <f>IF(AND(ISNUMBER(SEARCH("Espeto",N785)),ISNUMBER(SEARCH("Tatuapé",N785))),"SIM","")</f>
        <v/>
      </c>
      <c r="R785" s="92">
        <f>IF(AND(ISNUMBER(SEARCH("Espeto",N785)),ISNUMBER(SEARCH("Pavão",N785))),"SIM","")</f>
        <v/>
      </c>
      <c r="S785" s="92">
        <f>IF(AND(ISNUMBER(SEARCH("Espeto",N785)),ISNUMBER(SEARCH("Chac",N785))),"SIM","")</f>
        <v/>
      </c>
      <c r="T785" s="92">
        <f>IF(AND(ISNUMBER(SEARCH("Espeto",N785)),ISNUMBER(SEARCH("Madalena",N785))),"SIM","")</f>
        <v/>
      </c>
      <c r="U785" s="92">
        <f>IF(AND(ISNUMBER(SEARCH("Espeto",N785)),ISNUMBER(SEARCH("Mariana",N785))),"SIM","")</f>
        <v/>
      </c>
      <c r="V785" s="92">
        <f>IF(AND(ISNUMBER(SEARCH("Espeto",N785)),ISNUMBER(SEARCH("Perdizes",N785))),"SIM","")</f>
        <v/>
      </c>
      <c r="W785" s="92">
        <f>IF(AND(ISNUMBER(SEARCH("Espeto",N785)),ISNUMBER(SEARCH("Santana",N785))),"SIM","")</f>
        <v/>
      </c>
      <c r="X785" s="92">
        <f>IF(AND(ISNUMBER(SEARCH("Espeto",N785)),ISNUMBER(SEARCH("André",N785))),"SIM","")</f>
        <v/>
      </c>
      <c r="Y785" s="92">
        <f>IF(AND(ISNUMBER(SEARCH("Delivery",N785)),ISNUMBER(SEARCH("Carin",N785))),"SIM","")</f>
        <v/>
      </c>
      <c r="Z785" s="92">
        <f>IF(AND(ISNUMBER(SEARCH("Delivery",N785)),ISNUMBER(SEARCH("Lapa",N785))),"SIM","")</f>
        <v/>
      </c>
      <c r="AA785" s="92">
        <f>IF(AND(ISNUMBER(SEARCH("Delivery",N785)),ISNUMBER(SEARCH("Tatuapé",N785))),"SIM","")</f>
        <v/>
      </c>
      <c r="AB785" s="92">
        <f>IF(AND(ISNUMBER(SEARCH("Delivery",N785)),ISNUMBER(SEARCH("Pavão",N785))),"SIM","")</f>
        <v/>
      </c>
      <c r="AC785" s="92">
        <f>IF(AND(ISNUMBER(SEARCH("Delivery",N785)),ISNUMBER(SEARCH("Chac",N785))),"SIM","")</f>
        <v/>
      </c>
      <c r="AD785" s="92">
        <f>IF(AND(ISNUMBER(SEARCH("Delivery",N785)),ISNUMBER(SEARCH("Madalena",N785))),"SIM","")</f>
        <v/>
      </c>
      <c r="AE785" s="99">
        <f>IF(AND(ISNUMBER(SEARCH("Delivery",N785)),ISNUMBER(SEARCH("Mariana",N785))),"SIM","")</f>
        <v/>
      </c>
      <c r="AF785" s="99">
        <f>IF(AND(ISNUMBER(SEARCH("Delivery",N785)),ISNUMBER(SEARCH("Perdizes",N785))),"SIM","")</f>
        <v/>
      </c>
      <c r="AG785" s="99">
        <f>IF(AND(ISNUMBER(SEARCH("Delivery",N785)),ISNUMBER(SEARCH("Santana",N785))),"SIM","")</f>
        <v/>
      </c>
      <c r="AH785" s="99">
        <f>IF(AND(ISNUMBER(SEARCH("Delivery",N785)),ISNUMBER(SEARCH("André",N785))),"SIM","")</f>
        <v/>
      </c>
      <c r="AI785" s="99">
        <f>IF(ISNUMBER(SEARCH("Interlagos",N785)),"SIM","")</f>
        <v/>
      </c>
      <c r="AJ785" s="99">
        <f>IF(ISNUMBER(SEARCH("Quiosque",N785)),"SIM","")</f>
        <v/>
      </c>
      <c r="AK785" s="101" t="n"/>
    </row>
    <row r="786">
      <c r="A786" s="88" t="inlineStr">
        <is>
          <t>Protheus</t>
        </is>
      </c>
      <c r="B786" s="89" t="inlineStr">
        <is>
          <t>010434</t>
        </is>
      </c>
      <c r="C786" s="90">
        <f>IF(B786="—","—",IFERROR(VLOOKUP(B786,_Protheus_Cadastro!$A:$B,2,FALSE),"—"))</f>
        <v/>
      </c>
      <c r="D786" s="91">
        <f>IF(B786="—",IFERROR(INDEX(_ZIG_Cadastro!$D:$D,MATCH(H786,_ZIG_Cadastro!$A:$A,0)),"Produto"),IFERROR(VLOOKUP(B786,_Protheus_Cadastro!$A:$C,3,FALSE),"—"))</f>
        <v/>
      </c>
      <c r="E786" s="91">
        <f>IF(B786="—","—",IFERROR(VLOOKUP(B786,_Protheus_Cadastro!$A:$D,4,FALSE),"—"))</f>
        <v/>
      </c>
      <c r="F786" s="91">
        <f>IF(ISERROR(VLOOKUP(B786,'Estrutura Protheus'!A:A,1,FALSE)),"Não","Sim")</f>
        <v/>
      </c>
      <c r="G786" s="92">
        <f>IFERROR(INDEX(_Protheus_Cadastro!$H:$H,MATCH(B786,_Protheus_Cadastro!$A:$A,0)),"—")</f>
        <v/>
      </c>
      <c r="H786" s="210">
        <f>IFERROR(INDEX(_ZIG_Precos!$D:$D,MATCH(I786,_ZIG_Precos!$F:$F,0)),"—")</f>
        <v/>
      </c>
      <c r="I786" s="95">
        <f>IFERROR(VLOOKUP(B786,_Protheus_Cadastro!$A:$I,9,FALSE),"—")</f>
        <v/>
      </c>
      <c r="J786" s="93">
        <f>IFERROR(INDEX(_ZIG_Cadastro!$B:$B,MATCH(I786,_ZIG_Cadastro!$A:$A,0)),IFERROR(INDEX(_Entradas_ZIG!$B:$B,MATCH(I786,_Entradas_ZIG!$C:$C,0)),"—"))</f>
        <v/>
      </c>
      <c r="K786" s="93">
        <f>IFERROR(INDEX(_ZIG_Cadastro!$C:$C,MATCH(I786,_ZIG_Cadastro!$A:$A,0)),IFERROR(INDEX(_Entradas_ZIG!$D:$D,MATCH(I786,_Entradas_ZIG!$C:$C,0)),"—"))</f>
        <v/>
      </c>
      <c r="L786" s="92">
        <f>IF(I786="","Sem SKU ZIG",IF(I786="—","Sem SKU ZIG",IF(NOT(ISERROR(MATCH(I786,_ZIG_Cadastro!$A:$A,0))),IF(EXACT(UPPER(TRIM(C786)),UPPER(TRIM(INDEX(_ZIG_Cadastro!$B:$B,MATCH(I786,_ZIG_Cadastro!$A:$A,0))))),"OK","Atencao - Nome diverge"),IF(NOT(ISERROR(MATCH(I786,_Entradas_ZIG!$C:$C,0))),"OK","Erro - SKU nao encontrado"))))</f>
        <v/>
      </c>
      <c r="M786" s="92">
        <f>IFERROR(INDEX(_ZIG_Cadastro!$G:$G,MATCH(I786,_ZIG_Cadastro!$A:$A,0)),IF(NOT(ISERROR(MATCH(I786,_Entradas_ZIG!$C:$C,0))),"Ativo","—"))</f>
        <v/>
      </c>
      <c r="N786" s="94">
        <f>IFERROR(INDEX(_ZIG_Cadastro!$E:$E,MATCH(I786,_ZIG_Cadastro!$A:$A,0)),IFERROR(INDEX(_Entradas_ZIG!$F:$F,MATCH(I786,_Entradas_ZIG!$C:$C,0)),"—"))</f>
        <v/>
      </c>
      <c r="O786" s="92">
        <f>IF(AND(ISNUMBER(SEARCH("Espeto",N786)),ISNUMBER(SEARCH("Carin",N786))),"SIM","")</f>
        <v/>
      </c>
      <c r="P786" s="92">
        <f>IF(AND(ISNUMBER(SEARCH("Espeto",N786)),ISNUMBER(SEARCH("Lapa",N786))),"SIM","")</f>
        <v/>
      </c>
      <c r="Q786" s="92">
        <f>IF(AND(ISNUMBER(SEARCH("Espeto",N786)),ISNUMBER(SEARCH("Tatuapé",N786))),"SIM","")</f>
        <v/>
      </c>
      <c r="R786" s="92">
        <f>IF(AND(ISNUMBER(SEARCH("Espeto",N786)),ISNUMBER(SEARCH("Pavão",N786))),"SIM","")</f>
        <v/>
      </c>
      <c r="S786" s="92">
        <f>IF(AND(ISNUMBER(SEARCH("Espeto",N786)),ISNUMBER(SEARCH("Chac",N786))),"SIM","")</f>
        <v/>
      </c>
      <c r="T786" s="92">
        <f>IF(AND(ISNUMBER(SEARCH("Espeto",N786)),ISNUMBER(SEARCH("Madalena",N786))),"SIM","")</f>
        <v/>
      </c>
      <c r="U786" s="92">
        <f>IF(AND(ISNUMBER(SEARCH("Espeto",N786)),ISNUMBER(SEARCH("Mariana",N786))),"SIM","")</f>
        <v/>
      </c>
      <c r="V786" s="92">
        <f>IF(AND(ISNUMBER(SEARCH("Espeto",N786)),ISNUMBER(SEARCH("Perdizes",N786))),"SIM","")</f>
        <v/>
      </c>
      <c r="W786" s="92">
        <f>IF(AND(ISNUMBER(SEARCH("Espeto",N786)),ISNUMBER(SEARCH("Santana",N786))),"SIM","")</f>
        <v/>
      </c>
      <c r="X786" s="92">
        <f>IF(AND(ISNUMBER(SEARCH("Espeto",N786)),ISNUMBER(SEARCH("André",N786))),"SIM","")</f>
        <v/>
      </c>
      <c r="Y786" s="92">
        <f>IF(AND(ISNUMBER(SEARCH("Delivery",N786)),ISNUMBER(SEARCH("Carin",N786))),"SIM","")</f>
        <v/>
      </c>
      <c r="Z786" s="92">
        <f>IF(AND(ISNUMBER(SEARCH("Delivery",N786)),ISNUMBER(SEARCH("Lapa",N786))),"SIM","")</f>
        <v/>
      </c>
      <c r="AA786" s="92">
        <f>IF(AND(ISNUMBER(SEARCH("Delivery",N786)),ISNUMBER(SEARCH("Tatuapé",N786))),"SIM","")</f>
        <v/>
      </c>
      <c r="AB786" s="92">
        <f>IF(AND(ISNUMBER(SEARCH("Delivery",N786)),ISNUMBER(SEARCH("Pavão",N786))),"SIM","")</f>
        <v/>
      </c>
      <c r="AC786" s="92">
        <f>IF(AND(ISNUMBER(SEARCH("Delivery",N786)),ISNUMBER(SEARCH("Chac",N786))),"SIM","")</f>
        <v/>
      </c>
      <c r="AD786" s="92">
        <f>IF(AND(ISNUMBER(SEARCH("Delivery",N786)),ISNUMBER(SEARCH("Madalena",N786))),"SIM","")</f>
        <v/>
      </c>
      <c r="AE786" s="99">
        <f>IF(AND(ISNUMBER(SEARCH("Delivery",N786)),ISNUMBER(SEARCH("Mariana",N786))),"SIM","")</f>
        <v/>
      </c>
      <c r="AF786" s="99">
        <f>IF(AND(ISNUMBER(SEARCH("Delivery",N786)),ISNUMBER(SEARCH("Perdizes",N786))),"SIM","")</f>
        <v/>
      </c>
      <c r="AG786" s="99">
        <f>IF(AND(ISNUMBER(SEARCH("Delivery",N786)),ISNUMBER(SEARCH("Santana",N786))),"SIM","")</f>
        <v/>
      </c>
      <c r="AH786" s="99">
        <f>IF(AND(ISNUMBER(SEARCH("Delivery",N786)),ISNUMBER(SEARCH("André",N786))),"SIM","")</f>
        <v/>
      </c>
      <c r="AI786" s="99">
        <f>IF(ISNUMBER(SEARCH("Interlagos",N786)),"SIM","")</f>
        <v/>
      </c>
      <c r="AJ786" s="99">
        <f>IF(ISNUMBER(SEARCH("Quiosque",N786)),"SIM","")</f>
        <v/>
      </c>
      <c r="AK786" s="101" t="n"/>
    </row>
    <row r="787">
      <c r="A787" s="88" t="inlineStr">
        <is>
          <t>Protheus</t>
        </is>
      </c>
      <c r="B787" s="89" t="inlineStr">
        <is>
          <t>010435</t>
        </is>
      </c>
      <c r="C787" s="90">
        <f>IF(B787="—","—",IFERROR(VLOOKUP(B787,_Protheus_Cadastro!$A:$B,2,FALSE),"—"))</f>
        <v/>
      </c>
      <c r="D787" s="91">
        <f>IF(B787="—",IFERROR(INDEX(_ZIG_Cadastro!$D:$D,MATCH(H787,_ZIG_Cadastro!$A:$A,0)),"Produto"),IFERROR(VLOOKUP(B787,_Protheus_Cadastro!$A:$C,3,FALSE),"—"))</f>
        <v/>
      </c>
      <c r="E787" s="91">
        <f>IF(B787="—","—",IFERROR(VLOOKUP(B787,_Protheus_Cadastro!$A:$D,4,FALSE),"—"))</f>
        <v/>
      </c>
      <c r="F787" s="91">
        <f>IF(ISERROR(VLOOKUP(B787,'Estrutura Protheus'!A:A,1,FALSE)),"Não","Sim")</f>
        <v/>
      </c>
      <c r="G787" s="92">
        <f>IFERROR(INDEX(_Protheus_Cadastro!$H:$H,MATCH(B787,_Protheus_Cadastro!$A:$A,0)),"—")</f>
        <v/>
      </c>
      <c r="H787" s="210">
        <f>IFERROR(INDEX(_ZIG_Precos!$D:$D,MATCH(I787,_ZIG_Precos!$F:$F,0)),"—")</f>
        <v/>
      </c>
      <c r="I787" s="95">
        <f>IFERROR(VLOOKUP(B787,_Protheus_Cadastro!$A:$I,9,FALSE),"—")</f>
        <v/>
      </c>
      <c r="J787" s="93">
        <f>IFERROR(INDEX(_ZIG_Cadastro!$B:$B,MATCH(I787,_ZIG_Cadastro!$A:$A,0)),IFERROR(INDEX(_Entradas_ZIG!$B:$B,MATCH(I787,_Entradas_ZIG!$C:$C,0)),"—"))</f>
        <v/>
      </c>
      <c r="K787" s="93">
        <f>IFERROR(INDEX(_ZIG_Cadastro!$C:$C,MATCH(I787,_ZIG_Cadastro!$A:$A,0)),IFERROR(INDEX(_Entradas_ZIG!$D:$D,MATCH(I787,_Entradas_ZIG!$C:$C,0)),"—"))</f>
        <v/>
      </c>
      <c r="L787" s="92">
        <f>IF(I787="","Sem SKU ZIG",IF(I787="—","Sem SKU ZIG",IF(NOT(ISERROR(MATCH(I787,_ZIG_Cadastro!$A:$A,0))),IF(EXACT(UPPER(TRIM(C787)),UPPER(TRIM(INDEX(_ZIG_Cadastro!$B:$B,MATCH(I787,_ZIG_Cadastro!$A:$A,0))))),"OK","Atencao - Nome diverge"),IF(NOT(ISERROR(MATCH(I787,_Entradas_ZIG!$C:$C,0))),"OK","Erro - SKU nao encontrado"))))</f>
        <v/>
      </c>
      <c r="M787" s="92">
        <f>IFERROR(INDEX(_ZIG_Cadastro!$G:$G,MATCH(I787,_ZIG_Cadastro!$A:$A,0)),IF(NOT(ISERROR(MATCH(I787,_Entradas_ZIG!$C:$C,0))),"Ativo","—"))</f>
        <v/>
      </c>
      <c r="N787" s="94">
        <f>IFERROR(INDEX(_ZIG_Cadastro!$E:$E,MATCH(I787,_ZIG_Cadastro!$A:$A,0)),IFERROR(INDEX(_Entradas_ZIG!$F:$F,MATCH(I787,_Entradas_ZIG!$C:$C,0)),"—"))</f>
        <v/>
      </c>
      <c r="O787" s="92">
        <f>IF(AND(ISNUMBER(SEARCH("Espeto",N787)),ISNUMBER(SEARCH("Carin",N787))),"SIM","")</f>
        <v/>
      </c>
      <c r="P787" s="92">
        <f>IF(AND(ISNUMBER(SEARCH("Espeto",N787)),ISNUMBER(SEARCH("Lapa",N787))),"SIM","")</f>
        <v/>
      </c>
      <c r="Q787" s="92">
        <f>IF(AND(ISNUMBER(SEARCH("Espeto",N787)),ISNUMBER(SEARCH("Tatuapé",N787))),"SIM","")</f>
        <v/>
      </c>
      <c r="R787" s="92">
        <f>IF(AND(ISNUMBER(SEARCH("Espeto",N787)),ISNUMBER(SEARCH("Pavão",N787))),"SIM","")</f>
        <v/>
      </c>
      <c r="S787" s="92">
        <f>IF(AND(ISNUMBER(SEARCH("Espeto",N787)),ISNUMBER(SEARCH("Chac",N787))),"SIM","")</f>
        <v/>
      </c>
      <c r="T787" s="92">
        <f>IF(AND(ISNUMBER(SEARCH("Espeto",N787)),ISNUMBER(SEARCH("Madalena",N787))),"SIM","")</f>
        <v/>
      </c>
      <c r="U787" s="92">
        <f>IF(AND(ISNUMBER(SEARCH("Espeto",N787)),ISNUMBER(SEARCH("Mariana",N787))),"SIM","")</f>
        <v/>
      </c>
      <c r="V787" s="92">
        <f>IF(AND(ISNUMBER(SEARCH("Espeto",N787)),ISNUMBER(SEARCH("Perdizes",N787))),"SIM","")</f>
        <v/>
      </c>
      <c r="W787" s="92">
        <f>IF(AND(ISNUMBER(SEARCH("Espeto",N787)),ISNUMBER(SEARCH("Santana",N787))),"SIM","")</f>
        <v/>
      </c>
      <c r="X787" s="92">
        <f>IF(AND(ISNUMBER(SEARCH("Espeto",N787)),ISNUMBER(SEARCH("André",N787))),"SIM","")</f>
        <v/>
      </c>
      <c r="Y787" s="92">
        <f>IF(AND(ISNUMBER(SEARCH("Delivery",N787)),ISNUMBER(SEARCH("Carin",N787))),"SIM","")</f>
        <v/>
      </c>
      <c r="Z787" s="92">
        <f>IF(AND(ISNUMBER(SEARCH("Delivery",N787)),ISNUMBER(SEARCH("Lapa",N787))),"SIM","")</f>
        <v/>
      </c>
      <c r="AA787" s="92">
        <f>IF(AND(ISNUMBER(SEARCH("Delivery",N787)),ISNUMBER(SEARCH("Tatuapé",N787))),"SIM","")</f>
        <v/>
      </c>
      <c r="AB787" s="92">
        <f>IF(AND(ISNUMBER(SEARCH("Delivery",N787)),ISNUMBER(SEARCH("Pavão",N787))),"SIM","")</f>
        <v/>
      </c>
      <c r="AC787" s="92">
        <f>IF(AND(ISNUMBER(SEARCH("Delivery",N787)),ISNUMBER(SEARCH("Chac",N787))),"SIM","")</f>
        <v/>
      </c>
      <c r="AD787" s="92">
        <f>IF(AND(ISNUMBER(SEARCH("Delivery",N787)),ISNUMBER(SEARCH("Madalena",N787))),"SIM","")</f>
        <v/>
      </c>
      <c r="AE787" s="99">
        <f>IF(AND(ISNUMBER(SEARCH("Delivery",N787)),ISNUMBER(SEARCH("Mariana",N787))),"SIM","")</f>
        <v/>
      </c>
      <c r="AF787" s="99">
        <f>IF(AND(ISNUMBER(SEARCH("Delivery",N787)),ISNUMBER(SEARCH("Perdizes",N787))),"SIM","")</f>
        <v/>
      </c>
      <c r="AG787" s="99">
        <f>IF(AND(ISNUMBER(SEARCH("Delivery",N787)),ISNUMBER(SEARCH("Santana",N787))),"SIM","")</f>
        <v/>
      </c>
      <c r="AH787" s="99">
        <f>IF(AND(ISNUMBER(SEARCH("Delivery",N787)),ISNUMBER(SEARCH("André",N787))),"SIM","")</f>
        <v/>
      </c>
      <c r="AI787" s="99">
        <f>IF(ISNUMBER(SEARCH("Interlagos",N787)),"SIM","")</f>
        <v/>
      </c>
      <c r="AJ787" s="99">
        <f>IF(ISNUMBER(SEARCH("Quiosque",N787)),"SIM","")</f>
        <v/>
      </c>
      <c r="AK787" s="101" t="n"/>
    </row>
    <row r="788">
      <c r="A788" s="88" t="inlineStr">
        <is>
          <t>Protheus</t>
        </is>
      </c>
      <c r="B788" s="89" t="inlineStr">
        <is>
          <t>010436</t>
        </is>
      </c>
      <c r="C788" s="90">
        <f>IF(B788="—","—",IFERROR(VLOOKUP(B788,_Protheus_Cadastro!$A:$B,2,FALSE),"—"))</f>
        <v/>
      </c>
      <c r="D788" s="91">
        <f>IF(B788="—",IFERROR(INDEX(_ZIG_Cadastro!$D:$D,MATCH(H788,_ZIG_Cadastro!$A:$A,0)),"Produto"),IFERROR(VLOOKUP(B788,_Protheus_Cadastro!$A:$C,3,FALSE),"—"))</f>
        <v/>
      </c>
      <c r="E788" s="91">
        <f>IF(B788="—","—",IFERROR(VLOOKUP(B788,_Protheus_Cadastro!$A:$D,4,FALSE),"—"))</f>
        <v/>
      </c>
      <c r="F788" s="91">
        <f>IF(ISERROR(VLOOKUP(B788,'Estrutura Protheus'!A:A,1,FALSE)),"Não","Sim")</f>
        <v/>
      </c>
      <c r="G788" s="92">
        <f>IFERROR(INDEX(_Protheus_Cadastro!$H:$H,MATCH(B788,_Protheus_Cadastro!$A:$A,0)),"—")</f>
        <v/>
      </c>
      <c r="H788" s="210">
        <f>IFERROR(INDEX(_ZIG_Precos!$D:$D,MATCH(I788,_ZIG_Precos!$F:$F,0)),"—")</f>
        <v/>
      </c>
      <c r="I788" s="95">
        <f>IFERROR(VLOOKUP(B788,_Protheus_Cadastro!$A:$I,9,FALSE),"—")</f>
        <v/>
      </c>
      <c r="J788" s="93">
        <f>IFERROR(INDEX(_ZIG_Cadastro!$B:$B,MATCH(I788,_ZIG_Cadastro!$A:$A,0)),IFERROR(INDEX(_Entradas_ZIG!$B:$B,MATCH(I788,_Entradas_ZIG!$C:$C,0)),"—"))</f>
        <v/>
      </c>
      <c r="K788" s="93">
        <f>IFERROR(INDEX(_ZIG_Cadastro!$C:$C,MATCH(I788,_ZIG_Cadastro!$A:$A,0)),IFERROR(INDEX(_Entradas_ZIG!$D:$D,MATCH(I788,_Entradas_ZIG!$C:$C,0)),"—"))</f>
        <v/>
      </c>
      <c r="L788" s="92">
        <f>IF(I788="","Sem SKU ZIG",IF(I788="—","Sem SKU ZIG",IF(NOT(ISERROR(MATCH(I788,_ZIG_Cadastro!$A:$A,0))),IF(EXACT(UPPER(TRIM(C788)),UPPER(TRIM(INDEX(_ZIG_Cadastro!$B:$B,MATCH(I788,_ZIG_Cadastro!$A:$A,0))))),"OK","Atencao - Nome diverge"),IF(NOT(ISERROR(MATCH(I788,_Entradas_ZIG!$C:$C,0))),"OK","Erro - SKU nao encontrado"))))</f>
        <v/>
      </c>
      <c r="M788" s="92">
        <f>IFERROR(INDEX(_ZIG_Cadastro!$G:$G,MATCH(I788,_ZIG_Cadastro!$A:$A,0)),IF(NOT(ISERROR(MATCH(I788,_Entradas_ZIG!$C:$C,0))),"Ativo","—"))</f>
        <v/>
      </c>
      <c r="N788" s="94">
        <f>IFERROR(INDEX(_ZIG_Cadastro!$E:$E,MATCH(I788,_ZIG_Cadastro!$A:$A,0)),IFERROR(INDEX(_Entradas_ZIG!$F:$F,MATCH(I788,_Entradas_ZIG!$C:$C,0)),"—"))</f>
        <v/>
      </c>
      <c r="O788" s="92">
        <f>IF(AND(ISNUMBER(SEARCH("Espeto",N788)),ISNUMBER(SEARCH("Carin",N788))),"SIM","")</f>
        <v/>
      </c>
      <c r="P788" s="92">
        <f>IF(AND(ISNUMBER(SEARCH("Espeto",N788)),ISNUMBER(SEARCH("Lapa",N788))),"SIM","")</f>
        <v/>
      </c>
      <c r="Q788" s="92">
        <f>IF(AND(ISNUMBER(SEARCH("Espeto",N788)),ISNUMBER(SEARCH("Tatuapé",N788))),"SIM","")</f>
        <v/>
      </c>
      <c r="R788" s="92">
        <f>IF(AND(ISNUMBER(SEARCH("Espeto",N788)),ISNUMBER(SEARCH("Pavão",N788))),"SIM","")</f>
        <v/>
      </c>
      <c r="S788" s="92">
        <f>IF(AND(ISNUMBER(SEARCH("Espeto",N788)),ISNUMBER(SEARCH("Chac",N788))),"SIM","")</f>
        <v/>
      </c>
      <c r="T788" s="92">
        <f>IF(AND(ISNUMBER(SEARCH("Espeto",N788)),ISNUMBER(SEARCH("Madalena",N788))),"SIM","")</f>
        <v/>
      </c>
      <c r="U788" s="92">
        <f>IF(AND(ISNUMBER(SEARCH("Espeto",N788)),ISNUMBER(SEARCH("Mariana",N788))),"SIM","")</f>
        <v/>
      </c>
      <c r="V788" s="92">
        <f>IF(AND(ISNUMBER(SEARCH("Espeto",N788)),ISNUMBER(SEARCH("Perdizes",N788))),"SIM","")</f>
        <v/>
      </c>
      <c r="W788" s="92">
        <f>IF(AND(ISNUMBER(SEARCH("Espeto",N788)),ISNUMBER(SEARCH("Santana",N788))),"SIM","")</f>
        <v/>
      </c>
      <c r="X788" s="92">
        <f>IF(AND(ISNUMBER(SEARCH("Espeto",N788)),ISNUMBER(SEARCH("André",N788))),"SIM","")</f>
        <v/>
      </c>
      <c r="Y788" s="92">
        <f>IF(AND(ISNUMBER(SEARCH("Delivery",N788)),ISNUMBER(SEARCH("Carin",N788))),"SIM","")</f>
        <v/>
      </c>
      <c r="Z788" s="92">
        <f>IF(AND(ISNUMBER(SEARCH("Delivery",N788)),ISNUMBER(SEARCH("Lapa",N788))),"SIM","")</f>
        <v/>
      </c>
      <c r="AA788" s="92">
        <f>IF(AND(ISNUMBER(SEARCH("Delivery",N788)),ISNUMBER(SEARCH("Tatuapé",N788))),"SIM","")</f>
        <v/>
      </c>
      <c r="AB788" s="92">
        <f>IF(AND(ISNUMBER(SEARCH("Delivery",N788)),ISNUMBER(SEARCH("Pavão",N788))),"SIM","")</f>
        <v/>
      </c>
      <c r="AC788" s="92">
        <f>IF(AND(ISNUMBER(SEARCH("Delivery",N788)),ISNUMBER(SEARCH("Chac",N788))),"SIM","")</f>
        <v/>
      </c>
      <c r="AD788" s="92">
        <f>IF(AND(ISNUMBER(SEARCH("Delivery",N788)),ISNUMBER(SEARCH("Madalena",N788))),"SIM","")</f>
        <v/>
      </c>
      <c r="AE788" s="99">
        <f>IF(AND(ISNUMBER(SEARCH("Delivery",N788)),ISNUMBER(SEARCH("Mariana",N788))),"SIM","")</f>
        <v/>
      </c>
      <c r="AF788" s="99">
        <f>IF(AND(ISNUMBER(SEARCH("Delivery",N788)),ISNUMBER(SEARCH("Perdizes",N788))),"SIM","")</f>
        <v/>
      </c>
      <c r="AG788" s="99">
        <f>IF(AND(ISNUMBER(SEARCH("Delivery",N788)),ISNUMBER(SEARCH("Santana",N788))),"SIM","")</f>
        <v/>
      </c>
      <c r="AH788" s="99">
        <f>IF(AND(ISNUMBER(SEARCH("Delivery",N788)),ISNUMBER(SEARCH("André",N788))),"SIM","")</f>
        <v/>
      </c>
      <c r="AI788" s="99">
        <f>IF(ISNUMBER(SEARCH("Interlagos",N788)),"SIM","")</f>
        <v/>
      </c>
      <c r="AJ788" s="99">
        <f>IF(ISNUMBER(SEARCH("Quiosque",N788)),"SIM","")</f>
        <v/>
      </c>
      <c r="AK788" s="101" t="n"/>
    </row>
    <row r="789">
      <c r="A789" s="88" t="inlineStr">
        <is>
          <t>Protheus</t>
        </is>
      </c>
      <c r="B789" s="89" t="inlineStr">
        <is>
          <t>010439</t>
        </is>
      </c>
      <c r="C789" s="90">
        <f>IF(B789="—","—",IFERROR(VLOOKUP(B789,_Protheus_Cadastro!$A:$B,2,FALSE),"—"))</f>
        <v/>
      </c>
      <c r="D789" s="91">
        <f>IF(B789="—",IFERROR(INDEX(_ZIG_Cadastro!$D:$D,MATCH(H789,_ZIG_Cadastro!$A:$A,0)),"Produto"),IFERROR(VLOOKUP(B789,_Protheus_Cadastro!$A:$C,3,FALSE),"—"))</f>
        <v/>
      </c>
      <c r="E789" s="91">
        <f>IF(B789="—","—",IFERROR(VLOOKUP(B789,_Protheus_Cadastro!$A:$D,4,FALSE),"—"))</f>
        <v/>
      </c>
      <c r="F789" s="91">
        <f>IF(ISERROR(VLOOKUP(B789,'Estrutura Protheus'!A:A,1,FALSE)),"Não","Sim")</f>
        <v/>
      </c>
      <c r="G789" s="92">
        <f>IFERROR(INDEX(_Protheus_Cadastro!$H:$H,MATCH(B789,_Protheus_Cadastro!$A:$A,0)),"—")</f>
        <v/>
      </c>
      <c r="H789" s="210">
        <f>IFERROR(INDEX(_ZIG_Precos!$D:$D,MATCH(I789,_ZIG_Precos!$F:$F,0)),"—")</f>
        <v/>
      </c>
      <c r="I789" s="95">
        <f>IFERROR(VLOOKUP(B789,_Protheus_Cadastro!$A:$I,9,FALSE),"—")</f>
        <v/>
      </c>
      <c r="J789" s="93">
        <f>IFERROR(INDEX(_ZIG_Cadastro!$B:$B,MATCH(I789,_ZIG_Cadastro!$A:$A,0)),IFERROR(INDEX(_Entradas_ZIG!$B:$B,MATCH(I789,_Entradas_ZIG!$C:$C,0)),"—"))</f>
        <v/>
      </c>
      <c r="K789" s="93">
        <f>IFERROR(INDEX(_ZIG_Cadastro!$C:$C,MATCH(I789,_ZIG_Cadastro!$A:$A,0)),IFERROR(INDEX(_Entradas_ZIG!$D:$D,MATCH(I789,_Entradas_ZIG!$C:$C,0)),"—"))</f>
        <v/>
      </c>
      <c r="L789" s="92">
        <f>IF(I789="","Sem SKU ZIG",IF(I789="—","Sem SKU ZIG",IF(NOT(ISERROR(MATCH(I789,_ZIG_Cadastro!$A:$A,0))),IF(EXACT(UPPER(TRIM(C789)),UPPER(TRIM(INDEX(_ZIG_Cadastro!$B:$B,MATCH(I789,_ZIG_Cadastro!$A:$A,0))))),"OK","Atencao - Nome diverge"),IF(NOT(ISERROR(MATCH(I789,_Entradas_ZIG!$C:$C,0))),"OK","Erro - SKU nao encontrado"))))</f>
        <v/>
      </c>
      <c r="M789" s="92">
        <f>IFERROR(INDEX(_ZIG_Cadastro!$G:$G,MATCH(I789,_ZIG_Cadastro!$A:$A,0)),IF(NOT(ISERROR(MATCH(I789,_Entradas_ZIG!$C:$C,0))),"Ativo","—"))</f>
        <v/>
      </c>
      <c r="N789" s="94">
        <f>IFERROR(INDEX(_ZIG_Cadastro!$E:$E,MATCH(I789,_ZIG_Cadastro!$A:$A,0)),IFERROR(INDEX(_Entradas_ZIG!$F:$F,MATCH(I789,_Entradas_ZIG!$C:$C,0)),"—"))</f>
        <v/>
      </c>
      <c r="O789" s="92">
        <f>IF(AND(ISNUMBER(SEARCH("Espeto",N789)),ISNUMBER(SEARCH("Carin",N789))),"SIM","")</f>
        <v/>
      </c>
      <c r="P789" s="92">
        <f>IF(AND(ISNUMBER(SEARCH("Espeto",N789)),ISNUMBER(SEARCH("Lapa",N789))),"SIM","")</f>
        <v/>
      </c>
      <c r="Q789" s="92">
        <f>IF(AND(ISNUMBER(SEARCH("Espeto",N789)),ISNUMBER(SEARCH("Tatuapé",N789))),"SIM","")</f>
        <v/>
      </c>
      <c r="R789" s="92">
        <f>IF(AND(ISNUMBER(SEARCH("Espeto",N789)),ISNUMBER(SEARCH("Pavão",N789))),"SIM","")</f>
        <v/>
      </c>
      <c r="S789" s="92">
        <f>IF(AND(ISNUMBER(SEARCH("Espeto",N789)),ISNUMBER(SEARCH("Chac",N789))),"SIM","")</f>
        <v/>
      </c>
      <c r="T789" s="92">
        <f>IF(AND(ISNUMBER(SEARCH("Espeto",N789)),ISNUMBER(SEARCH("Madalena",N789))),"SIM","")</f>
        <v/>
      </c>
      <c r="U789" s="92">
        <f>IF(AND(ISNUMBER(SEARCH("Espeto",N789)),ISNUMBER(SEARCH("Mariana",N789))),"SIM","")</f>
        <v/>
      </c>
      <c r="V789" s="92">
        <f>IF(AND(ISNUMBER(SEARCH("Espeto",N789)),ISNUMBER(SEARCH("Perdizes",N789))),"SIM","")</f>
        <v/>
      </c>
      <c r="W789" s="92">
        <f>IF(AND(ISNUMBER(SEARCH("Espeto",N789)),ISNUMBER(SEARCH("Santana",N789))),"SIM","")</f>
        <v/>
      </c>
      <c r="X789" s="92">
        <f>IF(AND(ISNUMBER(SEARCH("Espeto",N789)),ISNUMBER(SEARCH("André",N789))),"SIM","")</f>
        <v/>
      </c>
      <c r="Y789" s="92">
        <f>IF(AND(ISNUMBER(SEARCH("Delivery",N789)),ISNUMBER(SEARCH("Carin",N789))),"SIM","")</f>
        <v/>
      </c>
      <c r="Z789" s="92">
        <f>IF(AND(ISNUMBER(SEARCH("Delivery",N789)),ISNUMBER(SEARCH("Lapa",N789))),"SIM","")</f>
        <v/>
      </c>
      <c r="AA789" s="92">
        <f>IF(AND(ISNUMBER(SEARCH("Delivery",N789)),ISNUMBER(SEARCH("Tatuapé",N789))),"SIM","")</f>
        <v/>
      </c>
      <c r="AB789" s="92">
        <f>IF(AND(ISNUMBER(SEARCH("Delivery",N789)),ISNUMBER(SEARCH("Pavão",N789))),"SIM","")</f>
        <v/>
      </c>
      <c r="AC789" s="92">
        <f>IF(AND(ISNUMBER(SEARCH("Delivery",N789)),ISNUMBER(SEARCH("Chac",N789))),"SIM","")</f>
        <v/>
      </c>
      <c r="AD789" s="92">
        <f>IF(AND(ISNUMBER(SEARCH("Delivery",N789)),ISNUMBER(SEARCH("Madalena",N789))),"SIM","")</f>
        <v/>
      </c>
      <c r="AE789" s="99">
        <f>IF(AND(ISNUMBER(SEARCH("Delivery",N789)),ISNUMBER(SEARCH("Mariana",N789))),"SIM","")</f>
        <v/>
      </c>
      <c r="AF789" s="99">
        <f>IF(AND(ISNUMBER(SEARCH("Delivery",N789)),ISNUMBER(SEARCH("Perdizes",N789))),"SIM","")</f>
        <v/>
      </c>
      <c r="AG789" s="99">
        <f>IF(AND(ISNUMBER(SEARCH("Delivery",N789)),ISNUMBER(SEARCH("Santana",N789))),"SIM","")</f>
        <v/>
      </c>
      <c r="AH789" s="99">
        <f>IF(AND(ISNUMBER(SEARCH("Delivery",N789)),ISNUMBER(SEARCH("André",N789))),"SIM","")</f>
        <v/>
      </c>
      <c r="AI789" s="99">
        <f>IF(ISNUMBER(SEARCH("Interlagos",N789)),"SIM","")</f>
        <v/>
      </c>
      <c r="AJ789" s="99">
        <f>IF(ISNUMBER(SEARCH("Quiosque",N789)),"SIM","")</f>
        <v/>
      </c>
      <c r="AK789" s="101" t="n"/>
    </row>
    <row r="790">
      <c r="A790" s="88" t="inlineStr">
        <is>
          <t>Protheus</t>
        </is>
      </c>
      <c r="B790" s="89" t="inlineStr">
        <is>
          <t>2210</t>
        </is>
      </c>
      <c r="C790" s="90">
        <f>IF(B790="—","—",IFERROR(VLOOKUP(B790,_Protheus_Cadastro!$A:$B,2,FALSE),"—"))</f>
        <v/>
      </c>
      <c r="D790" s="91">
        <f>IF(B790="—",IFERROR(INDEX(_ZIG_Cadastro!$D:$D,MATCH(H790,_ZIG_Cadastro!$A:$A,0)),"Produto"),IFERROR(VLOOKUP(B790,_Protheus_Cadastro!$A:$C,3,FALSE),"—"))</f>
        <v/>
      </c>
      <c r="E790" s="91">
        <f>IF(B790="—","—",IFERROR(VLOOKUP(B790,_Protheus_Cadastro!$A:$D,4,FALSE),"—"))</f>
        <v/>
      </c>
      <c r="F790" s="91">
        <f>IF(ISERROR(VLOOKUP(B790,'Estrutura Protheus'!A:A,1,FALSE)),"Não","Sim")</f>
        <v/>
      </c>
      <c r="G790" s="92">
        <f>IFERROR(INDEX(_Protheus_Cadastro!$H:$H,MATCH(B790,_Protheus_Cadastro!$A:$A,0)),"—")</f>
        <v/>
      </c>
      <c r="H790" s="210">
        <f>IFERROR(INDEX(_ZIG_Precos!$D:$D,MATCH(I790,_ZIG_Precos!$F:$F,0)),"—")</f>
        <v/>
      </c>
      <c r="I790" s="95">
        <f>IFERROR(VLOOKUP(B790,_Protheus_Cadastro!$A:$I,9,FALSE),"—")</f>
        <v/>
      </c>
      <c r="J790" s="93">
        <f>IFERROR(INDEX(_ZIG_Cadastro!$B:$B,MATCH(I790,_ZIG_Cadastro!$A:$A,0)),IFERROR(INDEX(_Entradas_ZIG!$B:$B,MATCH(I790,_Entradas_ZIG!$C:$C,0)),"—"))</f>
        <v/>
      </c>
      <c r="K790" s="93">
        <f>IFERROR(INDEX(_ZIG_Cadastro!$C:$C,MATCH(I790,_ZIG_Cadastro!$A:$A,0)),IFERROR(INDEX(_Entradas_ZIG!$D:$D,MATCH(I790,_Entradas_ZIG!$C:$C,0)),"—"))</f>
        <v/>
      </c>
      <c r="L790" s="92">
        <f>IF(I790="","Sem SKU ZIG",IF(I790="—","Sem SKU ZIG",IF(NOT(ISERROR(MATCH(I790,_ZIG_Cadastro!$A:$A,0))),IF(EXACT(UPPER(TRIM(C790)),UPPER(TRIM(INDEX(_ZIG_Cadastro!$B:$B,MATCH(I790,_ZIG_Cadastro!$A:$A,0))))),"OK","Atencao - Nome diverge"),IF(NOT(ISERROR(MATCH(I790,_Entradas_ZIG!$C:$C,0))),"OK","Erro - SKU nao encontrado"))))</f>
        <v/>
      </c>
      <c r="M790" s="92">
        <f>IFERROR(INDEX(_ZIG_Cadastro!$G:$G,MATCH(I790,_ZIG_Cadastro!$A:$A,0)),IF(NOT(ISERROR(MATCH(I790,_Entradas_ZIG!$C:$C,0))),"Ativo","—"))</f>
        <v/>
      </c>
      <c r="N790" s="94">
        <f>IFERROR(INDEX(_ZIG_Cadastro!$E:$E,MATCH(I790,_ZIG_Cadastro!$A:$A,0)),IFERROR(INDEX(_Entradas_ZIG!$F:$F,MATCH(I790,_Entradas_ZIG!$C:$C,0)),"—"))</f>
        <v/>
      </c>
      <c r="O790" s="92">
        <f>IF(AND(ISNUMBER(SEARCH("Espeto",N790)),ISNUMBER(SEARCH("Carin",N790))),"SIM","")</f>
        <v/>
      </c>
      <c r="P790" s="92">
        <f>IF(AND(ISNUMBER(SEARCH("Espeto",N790)),ISNUMBER(SEARCH("Lapa",N790))),"SIM","")</f>
        <v/>
      </c>
      <c r="Q790" s="92">
        <f>IF(AND(ISNUMBER(SEARCH("Espeto",N790)),ISNUMBER(SEARCH("Tatuapé",N790))),"SIM","")</f>
        <v/>
      </c>
      <c r="R790" s="92">
        <f>IF(AND(ISNUMBER(SEARCH("Espeto",N790)),ISNUMBER(SEARCH("Pavão",N790))),"SIM","")</f>
        <v/>
      </c>
      <c r="S790" s="92">
        <f>IF(AND(ISNUMBER(SEARCH("Espeto",N790)),ISNUMBER(SEARCH("Chac",N790))),"SIM","")</f>
        <v/>
      </c>
      <c r="T790" s="92">
        <f>IF(AND(ISNUMBER(SEARCH("Espeto",N790)),ISNUMBER(SEARCH("Madalena",N790))),"SIM","")</f>
        <v/>
      </c>
      <c r="U790" s="92">
        <f>IF(AND(ISNUMBER(SEARCH("Espeto",N790)),ISNUMBER(SEARCH("Mariana",N790))),"SIM","")</f>
        <v/>
      </c>
      <c r="V790" s="92">
        <f>IF(AND(ISNUMBER(SEARCH("Espeto",N790)),ISNUMBER(SEARCH("Perdizes",N790))),"SIM","")</f>
        <v/>
      </c>
      <c r="W790" s="92">
        <f>IF(AND(ISNUMBER(SEARCH("Espeto",N790)),ISNUMBER(SEARCH("Santana",N790))),"SIM","")</f>
        <v/>
      </c>
      <c r="X790" s="92">
        <f>IF(AND(ISNUMBER(SEARCH("Espeto",N790)),ISNUMBER(SEARCH("André",N790))),"SIM","")</f>
        <v/>
      </c>
      <c r="Y790" s="92">
        <f>IF(AND(ISNUMBER(SEARCH("Delivery",N790)),ISNUMBER(SEARCH("Carin",N790))),"SIM","")</f>
        <v/>
      </c>
      <c r="Z790" s="92">
        <f>IF(AND(ISNUMBER(SEARCH("Delivery",N790)),ISNUMBER(SEARCH("Lapa",N790))),"SIM","")</f>
        <v/>
      </c>
      <c r="AA790" s="92">
        <f>IF(AND(ISNUMBER(SEARCH("Delivery",N790)),ISNUMBER(SEARCH("Tatuapé",N790))),"SIM","")</f>
        <v/>
      </c>
      <c r="AB790" s="92">
        <f>IF(AND(ISNUMBER(SEARCH("Delivery",N790)),ISNUMBER(SEARCH("Pavão",N790))),"SIM","")</f>
        <v/>
      </c>
      <c r="AC790" s="92">
        <f>IF(AND(ISNUMBER(SEARCH("Delivery",N790)),ISNUMBER(SEARCH("Chac",N790))),"SIM","")</f>
        <v/>
      </c>
      <c r="AD790" s="92">
        <f>IF(AND(ISNUMBER(SEARCH("Delivery",N790)),ISNUMBER(SEARCH("Madalena",N790))),"SIM","")</f>
        <v/>
      </c>
      <c r="AE790" s="99">
        <f>IF(AND(ISNUMBER(SEARCH("Delivery",N790)),ISNUMBER(SEARCH("Mariana",N790))),"SIM","")</f>
        <v/>
      </c>
      <c r="AF790" s="99">
        <f>IF(AND(ISNUMBER(SEARCH("Delivery",N790)),ISNUMBER(SEARCH("Perdizes",N790))),"SIM","")</f>
        <v/>
      </c>
      <c r="AG790" s="99">
        <f>IF(AND(ISNUMBER(SEARCH("Delivery",N790)),ISNUMBER(SEARCH("Santana",N790))),"SIM","")</f>
        <v/>
      </c>
      <c r="AH790" s="99">
        <f>IF(AND(ISNUMBER(SEARCH("Delivery",N790)),ISNUMBER(SEARCH("André",N790))),"SIM","")</f>
        <v/>
      </c>
      <c r="AI790" s="99">
        <f>IF(ISNUMBER(SEARCH("Interlagos",N790)),"SIM","")</f>
        <v/>
      </c>
      <c r="AJ790" s="99">
        <f>IF(ISNUMBER(SEARCH("Quiosque",N790)),"SIM","")</f>
        <v/>
      </c>
      <c r="AK790" s="101" t="n"/>
    </row>
    <row r="791">
      <c r="A791" s="88" t="inlineStr">
        <is>
          <t>Protheus</t>
        </is>
      </c>
      <c r="B791" s="89" t="inlineStr">
        <is>
          <t>2211</t>
        </is>
      </c>
      <c r="C791" s="90">
        <f>IF(B791="—","—",IFERROR(VLOOKUP(B791,_Protheus_Cadastro!$A:$B,2,FALSE),"—"))</f>
        <v/>
      </c>
      <c r="D791" s="91">
        <f>IF(B791="—",IFERROR(INDEX(_ZIG_Cadastro!$D:$D,MATCH(H791,_ZIG_Cadastro!$A:$A,0)),"Produto"),IFERROR(VLOOKUP(B791,_Protheus_Cadastro!$A:$C,3,FALSE),"—"))</f>
        <v/>
      </c>
      <c r="E791" s="91">
        <f>IF(B791="—","—",IFERROR(VLOOKUP(B791,_Protheus_Cadastro!$A:$D,4,FALSE),"—"))</f>
        <v/>
      </c>
      <c r="F791" s="91">
        <f>IF(ISERROR(VLOOKUP(B791,'Estrutura Protheus'!A:A,1,FALSE)),"Não","Sim")</f>
        <v/>
      </c>
      <c r="G791" s="92">
        <f>IFERROR(INDEX(_Protheus_Cadastro!$H:$H,MATCH(B791,_Protheus_Cadastro!$A:$A,0)),"—")</f>
        <v/>
      </c>
      <c r="H791" s="210">
        <f>IFERROR(INDEX(_ZIG_Precos!$D:$D,MATCH(I791,_ZIG_Precos!$F:$F,0)),"—")</f>
        <v/>
      </c>
      <c r="I791" s="95">
        <f>IFERROR(VLOOKUP(B791,_Protheus_Cadastro!$A:$I,9,FALSE),"—")</f>
        <v/>
      </c>
      <c r="J791" s="93">
        <f>IFERROR(INDEX(_ZIG_Cadastro!$B:$B,MATCH(I791,_ZIG_Cadastro!$A:$A,0)),IFERROR(INDEX(_Entradas_ZIG!$B:$B,MATCH(I791,_Entradas_ZIG!$C:$C,0)),"—"))</f>
        <v/>
      </c>
      <c r="K791" s="93">
        <f>IFERROR(INDEX(_ZIG_Cadastro!$C:$C,MATCH(I791,_ZIG_Cadastro!$A:$A,0)),IFERROR(INDEX(_Entradas_ZIG!$D:$D,MATCH(I791,_Entradas_ZIG!$C:$C,0)),"—"))</f>
        <v/>
      </c>
      <c r="L791" s="92">
        <f>IF(I791="","Sem SKU ZIG",IF(I791="—","Sem SKU ZIG",IF(NOT(ISERROR(MATCH(I791,_ZIG_Cadastro!$A:$A,0))),IF(EXACT(UPPER(TRIM(C791)),UPPER(TRIM(INDEX(_ZIG_Cadastro!$B:$B,MATCH(I791,_ZIG_Cadastro!$A:$A,0))))),"OK","Atencao - Nome diverge"),IF(NOT(ISERROR(MATCH(I791,_Entradas_ZIG!$C:$C,0))),"OK","Erro - SKU nao encontrado"))))</f>
        <v/>
      </c>
      <c r="M791" s="92">
        <f>IFERROR(INDEX(_ZIG_Cadastro!$G:$G,MATCH(I791,_ZIG_Cadastro!$A:$A,0)),IF(NOT(ISERROR(MATCH(I791,_Entradas_ZIG!$C:$C,0))),"Ativo","—"))</f>
        <v/>
      </c>
      <c r="N791" s="94">
        <f>IFERROR(INDEX(_ZIG_Cadastro!$E:$E,MATCH(I791,_ZIG_Cadastro!$A:$A,0)),IFERROR(INDEX(_Entradas_ZIG!$F:$F,MATCH(I791,_Entradas_ZIG!$C:$C,0)),"—"))</f>
        <v/>
      </c>
      <c r="O791" s="92">
        <f>IF(AND(ISNUMBER(SEARCH("Espeto",N791)),ISNUMBER(SEARCH("Carin",N791))),"SIM","")</f>
        <v/>
      </c>
      <c r="P791" s="92">
        <f>IF(AND(ISNUMBER(SEARCH("Espeto",N791)),ISNUMBER(SEARCH("Lapa",N791))),"SIM","")</f>
        <v/>
      </c>
      <c r="Q791" s="92">
        <f>IF(AND(ISNUMBER(SEARCH("Espeto",N791)),ISNUMBER(SEARCH("Tatuapé",N791))),"SIM","")</f>
        <v/>
      </c>
      <c r="R791" s="92">
        <f>IF(AND(ISNUMBER(SEARCH("Espeto",N791)),ISNUMBER(SEARCH("Pavão",N791))),"SIM","")</f>
        <v/>
      </c>
      <c r="S791" s="92">
        <f>IF(AND(ISNUMBER(SEARCH("Espeto",N791)),ISNUMBER(SEARCH("Chac",N791))),"SIM","")</f>
        <v/>
      </c>
      <c r="T791" s="92">
        <f>IF(AND(ISNUMBER(SEARCH("Espeto",N791)),ISNUMBER(SEARCH("Madalena",N791))),"SIM","")</f>
        <v/>
      </c>
      <c r="U791" s="92">
        <f>IF(AND(ISNUMBER(SEARCH("Espeto",N791)),ISNUMBER(SEARCH("Mariana",N791))),"SIM","")</f>
        <v/>
      </c>
      <c r="V791" s="92">
        <f>IF(AND(ISNUMBER(SEARCH("Espeto",N791)),ISNUMBER(SEARCH("Perdizes",N791))),"SIM","")</f>
        <v/>
      </c>
      <c r="W791" s="92">
        <f>IF(AND(ISNUMBER(SEARCH("Espeto",N791)),ISNUMBER(SEARCH("Santana",N791))),"SIM","")</f>
        <v/>
      </c>
      <c r="X791" s="92">
        <f>IF(AND(ISNUMBER(SEARCH("Espeto",N791)),ISNUMBER(SEARCH("André",N791))),"SIM","")</f>
        <v/>
      </c>
      <c r="Y791" s="92">
        <f>IF(AND(ISNUMBER(SEARCH("Delivery",N791)),ISNUMBER(SEARCH("Carin",N791))),"SIM","")</f>
        <v/>
      </c>
      <c r="Z791" s="92">
        <f>IF(AND(ISNUMBER(SEARCH("Delivery",N791)),ISNUMBER(SEARCH("Lapa",N791))),"SIM","")</f>
        <v/>
      </c>
      <c r="AA791" s="92">
        <f>IF(AND(ISNUMBER(SEARCH("Delivery",N791)),ISNUMBER(SEARCH("Tatuapé",N791))),"SIM","")</f>
        <v/>
      </c>
      <c r="AB791" s="92">
        <f>IF(AND(ISNUMBER(SEARCH("Delivery",N791)),ISNUMBER(SEARCH("Pavão",N791))),"SIM","")</f>
        <v/>
      </c>
      <c r="AC791" s="92">
        <f>IF(AND(ISNUMBER(SEARCH("Delivery",N791)),ISNUMBER(SEARCH("Chac",N791))),"SIM","")</f>
        <v/>
      </c>
      <c r="AD791" s="92">
        <f>IF(AND(ISNUMBER(SEARCH("Delivery",N791)),ISNUMBER(SEARCH("Madalena",N791))),"SIM","")</f>
        <v/>
      </c>
      <c r="AE791" s="99">
        <f>IF(AND(ISNUMBER(SEARCH("Delivery",N791)),ISNUMBER(SEARCH("Mariana",N791))),"SIM","")</f>
        <v/>
      </c>
      <c r="AF791" s="99">
        <f>IF(AND(ISNUMBER(SEARCH("Delivery",N791)),ISNUMBER(SEARCH("Perdizes",N791))),"SIM","")</f>
        <v/>
      </c>
      <c r="AG791" s="99">
        <f>IF(AND(ISNUMBER(SEARCH("Delivery",N791)),ISNUMBER(SEARCH("Santana",N791))),"SIM","")</f>
        <v/>
      </c>
      <c r="AH791" s="99">
        <f>IF(AND(ISNUMBER(SEARCH("Delivery",N791)),ISNUMBER(SEARCH("André",N791))),"SIM","")</f>
        <v/>
      </c>
      <c r="AI791" s="99">
        <f>IF(ISNUMBER(SEARCH("Interlagos",N791)),"SIM","")</f>
        <v/>
      </c>
      <c r="AJ791" s="99">
        <f>IF(ISNUMBER(SEARCH("Quiosque",N791)),"SIM","")</f>
        <v/>
      </c>
      <c r="AK791" s="101" t="n"/>
    </row>
    <row r="792">
      <c r="A792" s="88" t="inlineStr">
        <is>
          <t>Protheus</t>
        </is>
      </c>
      <c r="B792" s="89" t="inlineStr">
        <is>
          <t>2260</t>
        </is>
      </c>
      <c r="C792" s="90">
        <f>IF(B792="—","—",IFERROR(VLOOKUP(B792,_Protheus_Cadastro!$A:$B,2,FALSE),"—"))</f>
        <v/>
      </c>
      <c r="D792" s="91">
        <f>IF(B792="—",IFERROR(INDEX(_ZIG_Cadastro!$D:$D,MATCH(H792,_ZIG_Cadastro!$A:$A,0)),"Produto"),IFERROR(VLOOKUP(B792,_Protheus_Cadastro!$A:$C,3,FALSE),"—"))</f>
        <v/>
      </c>
      <c r="E792" s="91">
        <f>IF(B792="—","—",IFERROR(VLOOKUP(B792,_Protheus_Cadastro!$A:$D,4,FALSE),"—"))</f>
        <v/>
      </c>
      <c r="F792" s="91">
        <f>IF(ISERROR(VLOOKUP(B792,'Estrutura Protheus'!A:A,1,FALSE)),"Não","Sim")</f>
        <v/>
      </c>
      <c r="G792" s="92">
        <f>IFERROR(INDEX(_Protheus_Cadastro!$H:$H,MATCH(B792,_Protheus_Cadastro!$A:$A,0)),"—")</f>
        <v/>
      </c>
      <c r="H792" s="210">
        <f>IFERROR(INDEX(_ZIG_Precos!$D:$D,MATCH(I792,_ZIG_Precos!$F:$F,0)),"—")</f>
        <v/>
      </c>
      <c r="I792" s="95">
        <f>IFERROR(VLOOKUP(B792,_Protheus_Cadastro!$A:$I,9,FALSE),"—")</f>
        <v/>
      </c>
      <c r="J792" s="93">
        <f>IFERROR(INDEX(_ZIG_Cadastro!$B:$B,MATCH(I792,_ZIG_Cadastro!$A:$A,0)),IFERROR(INDEX(_Entradas_ZIG!$B:$B,MATCH(I792,_Entradas_ZIG!$C:$C,0)),"—"))</f>
        <v/>
      </c>
      <c r="K792" s="93">
        <f>IFERROR(INDEX(_ZIG_Cadastro!$C:$C,MATCH(I792,_ZIG_Cadastro!$A:$A,0)),IFERROR(INDEX(_Entradas_ZIG!$D:$D,MATCH(I792,_Entradas_ZIG!$C:$C,0)),"—"))</f>
        <v/>
      </c>
      <c r="L792" s="92">
        <f>IF(I792="","Sem SKU ZIG",IF(I792="—","Sem SKU ZIG",IF(NOT(ISERROR(MATCH(I792,_ZIG_Cadastro!$A:$A,0))),IF(EXACT(UPPER(TRIM(C792)),UPPER(TRIM(INDEX(_ZIG_Cadastro!$B:$B,MATCH(I792,_ZIG_Cadastro!$A:$A,0))))),"OK","Atencao - Nome diverge"),IF(NOT(ISERROR(MATCH(I792,_Entradas_ZIG!$C:$C,0))),"OK","Erro - SKU nao encontrado"))))</f>
        <v/>
      </c>
      <c r="M792" s="92">
        <f>IFERROR(INDEX(_ZIG_Cadastro!$G:$G,MATCH(I792,_ZIG_Cadastro!$A:$A,0)),IF(NOT(ISERROR(MATCH(I792,_Entradas_ZIG!$C:$C,0))),"Ativo","—"))</f>
        <v/>
      </c>
      <c r="N792" s="94">
        <f>IFERROR(INDEX(_ZIG_Cadastro!$E:$E,MATCH(I792,_ZIG_Cadastro!$A:$A,0)),IFERROR(INDEX(_Entradas_ZIG!$F:$F,MATCH(I792,_Entradas_ZIG!$C:$C,0)),"—"))</f>
        <v/>
      </c>
      <c r="O792" s="92">
        <f>IF(AND(ISNUMBER(SEARCH("Espeto",N792)),ISNUMBER(SEARCH("Carin",N792))),"SIM","")</f>
        <v/>
      </c>
      <c r="P792" s="92">
        <f>IF(AND(ISNUMBER(SEARCH("Espeto",N792)),ISNUMBER(SEARCH("Lapa",N792))),"SIM","")</f>
        <v/>
      </c>
      <c r="Q792" s="92">
        <f>IF(AND(ISNUMBER(SEARCH("Espeto",N792)),ISNUMBER(SEARCH("Tatuapé",N792))),"SIM","")</f>
        <v/>
      </c>
      <c r="R792" s="92">
        <f>IF(AND(ISNUMBER(SEARCH("Espeto",N792)),ISNUMBER(SEARCH("Pavão",N792))),"SIM","")</f>
        <v/>
      </c>
      <c r="S792" s="92">
        <f>IF(AND(ISNUMBER(SEARCH("Espeto",N792)),ISNUMBER(SEARCH("Chac",N792))),"SIM","")</f>
        <v/>
      </c>
      <c r="T792" s="92">
        <f>IF(AND(ISNUMBER(SEARCH("Espeto",N792)),ISNUMBER(SEARCH("Madalena",N792))),"SIM","")</f>
        <v/>
      </c>
      <c r="U792" s="92">
        <f>IF(AND(ISNUMBER(SEARCH("Espeto",N792)),ISNUMBER(SEARCH("Mariana",N792))),"SIM","")</f>
        <v/>
      </c>
      <c r="V792" s="92">
        <f>IF(AND(ISNUMBER(SEARCH("Espeto",N792)),ISNUMBER(SEARCH("Perdizes",N792))),"SIM","")</f>
        <v/>
      </c>
      <c r="W792" s="92">
        <f>IF(AND(ISNUMBER(SEARCH("Espeto",N792)),ISNUMBER(SEARCH("Santana",N792))),"SIM","")</f>
        <v/>
      </c>
      <c r="X792" s="92">
        <f>IF(AND(ISNUMBER(SEARCH("Espeto",N792)),ISNUMBER(SEARCH("André",N792))),"SIM","")</f>
        <v/>
      </c>
      <c r="Y792" s="92">
        <f>IF(AND(ISNUMBER(SEARCH("Delivery",N792)),ISNUMBER(SEARCH("Carin",N792))),"SIM","")</f>
        <v/>
      </c>
      <c r="Z792" s="92">
        <f>IF(AND(ISNUMBER(SEARCH("Delivery",N792)),ISNUMBER(SEARCH("Lapa",N792))),"SIM","")</f>
        <v/>
      </c>
      <c r="AA792" s="92">
        <f>IF(AND(ISNUMBER(SEARCH("Delivery",N792)),ISNUMBER(SEARCH("Tatuapé",N792))),"SIM","")</f>
        <v/>
      </c>
      <c r="AB792" s="92">
        <f>IF(AND(ISNUMBER(SEARCH("Delivery",N792)),ISNUMBER(SEARCH("Pavão",N792))),"SIM","")</f>
        <v/>
      </c>
      <c r="AC792" s="92">
        <f>IF(AND(ISNUMBER(SEARCH("Delivery",N792)),ISNUMBER(SEARCH("Chac",N792))),"SIM","")</f>
        <v/>
      </c>
      <c r="AD792" s="92">
        <f>IF(AND(ISNUMBER(SEARCH("Delivery",N792)),ISNUMBER(SEARCH("Madalena",N792))),"SIM","")</f>
        <v/>
      </c>
      <c r="AE792" s="99">
        <f>IF(AND(ISNUMBER(SEARCH("Delivery",N792)),ISNUMBER(SEARCH("Mariana",N792))),"SIM","")</f>
        <v/>
      </c>
      <c r="AF792" s="99">
        <f>IF(AND(ISNUMBER(SEARCH("Delivery",N792)),ISNUMBER(SEARCH("Perdizes",N792))),"SIM","")</f>
        <v/>
      </c>
      <c r="AG792" s="99">
        <f>IF(AND(ISNUMBER(SEARCH("Delivery",N792)),ISNUMBER(SEARCH("Santana",N792))),"SIM","")</f>
        <v/>
      </c>
      <c r="AH792" s="99">
        <f>IF(AND(ISNUMBER(SEARCH("Delivery",N792)),ISNUMBER(SEARCH("André",N792))),"SIM","")</f>
        <v/>
      </c>
      <c r="AI792" s="99">
        <f>IF(ISNUMBER(SEARCH("Interlagos",N792)),"SIM","")</f>
        <v/>
      </c>
      <c r="AJ792" s="99">
        <f>IF(ISNUMBER(SEARCH("Quiosque",N792)),"SIM","")</f>
        <v/>
      </c>
      <c r="AK792" s="101" t="n"/>
    </row>
    <row r="793">
      <c r="A793" s="88" t="inlineStr">
        <is>
          <t>Protheus</t>
        </is>
      </c>
      <c r="B793" s="89" t="inlineStr">
        <is>
          <t>99999</t>
        </is>
      </c>
      <c r="C793" s="176">
        <f>IF(B793="—","—",IFERROR(VLOOKUP(B793,_Protheus_Cadastro!$A:$B,2,FALSE),"—"))</f>
        <v/>
      </c>
      <c r="D793" s="91">
        <f>IF(B793="—",IFERROR(INDEX(_ZIG_Cadastro!$D:$D,MATCH(H793,_ZIG_Cadastro!$A:$A,0)),"Produto"),IFERROR(VLOOKUP(B793,_Protheus_Cadastro!$A:$C,3,FALSE),"—"))</f>
        <v/>
      </c>
      <c r="E793" s="91">
        <f>IF(B793="—","—",IFERROR(VLOOKUP(B793,_Protheus_Cadastro!$A:$D,4,FALSE),"—"))</f>
        <v/>
      </c>
      <c r="F793" s="91">
        <f>IF(ISERROR(VLOOKUP(B793,'Estrutura Protheus'!A:A,1,FALSE)),"Não","Sim")</f>
        <v/>
      </c>
      <c r="G793" s="92">
        <f>IFERROR(INDEX(_Protheus_Cadastro!$H:$H,MATCH(B793,_Protheus_Cadastro!$A:$A,0)),"—")</f>
        <v/>
      </c>
      <c r="H793" s="210">
        <f>IFERROR(INDEX(_ZIG_Precos!$D:$D,MATCH(I793,_ZIG_Precos!$F:$F,0)),"—")</f>
        <v/>
      </c>
      <c r="I793" s="95">
        <f>IFERROR(VLOOKUP(B793,_Protheus_Cadastro!$A:$I,9,FALSE),"—")</f>
        <v/>
      </c>
      <c r="J793" s="93">
        <f>IFERROR(INDEX(_ZIG_Cadastro!$B:$B,MATCH(I793,_ZIG_Cadastro!$A:$A,0)),IFERROR(INDEX(_Entradas_ZIG!$B:$B,MATCH(I793,_Entradas_ZIG!$C:$C,0)),"—"))</f>
        <v/>
      </c>
      <c r="K793" s="93">
        <f>IFERROR(INDEX(_ZIG_Cadastro!$C:$C,MATCH(I793,_ZIG_Cadastro!$A:$A,0)),IFERROR(INDEX(_Entradas_ZIG!$D:$D,MATCH(I793,_Entradas_ZIG!$C:$C,0)),"—"))</f>
        <v/>
      </c>
      <c r="L793" s="92">
        <f>IF(I793="","Sem SKU ZIG",IF(I793="—","Sem SKU ZIG",IF(NOT(ISERROR(MATCH(I793,_ZIG_Cadastro!$A:$A,0))),IF(EXACT(UPPER(TRIM(C793)),UPPER(TRIM(INDEX(_ZIG_Cadastro!$B:$B,MATCH(I793,_ZIG_Cadastro!$A:$A,0))))),"OK","Atencao - Nome diverge"),IF(NOT(ISERROR(MATCH(I793,_Entradas_ZIG!$C:$C,0))),"OK","Erro - SKU nao encontrado"))))</f>
        <v/>
      </c>
      <c r="M793" s="92">
        <f>IFERROR(INDEX(_ZIG_Cadastro!$G:$G,MATCH(I793,_ZIG_Cadastro!$A:$A,0)),IF(NOT(ISERROR(MATCH(I793,_Entradas_ZIG!$C:$C,0))),"Ativo","—"))</f>
        <v/>
      </c>
      <c r="N793" s="94">
        <f>IFERROR(INDEX(_ZIG_Cadastro!$E:$E,MATCH(I793,_ZIG_Cadastro!$A:$A,0)),IFERROR(INDEX(_Entradas_ZIG!$F:$F,MATCH(I793,_Entradas_ZIG!$C:$C,0)),"—"))</f>
        <v/>
      </c>
      <c r="O793" s="92">
        <f>IF(AND(ISNUMBER(SEARCH("Espeto",N793)),ISNUMBER(SEARCH("Carin",N793))),"SIM","")</f>
        <v/>
      </c>
      <c r="P793" s="92">
        <f>IF(AND(ISNUMBER(SEARCH("Espeto",N793)),ISNUMBER(SEARCH("Lapa",N793))),"SIM","")</f>
        <v/>
      </c>
      <c r="Q793" s="92">
        <f>IF(AND(ISNUMBER(SEARCH("Espeto",N793)),ISNUMBER(SEARCH("Tatuapé",N793))),"SIM","")</f>
        <v/>
      </c>
      <c r="R793" s="92">
        <f>IF(AND(ISNUMBER(SEARCH("Espeto",N793)),ISNUMBER(SEARCH("Pavão",N793))),"SIM","")</f>
        <v/>
      </c>
      <c r="S793" s="92">
        <f>IF(AND(ISNUMBER(SEARCH("Espeto",N793)),ISNUMBER(SEARCH("Chac",N793))),"SIM","")</f>
        <v/>
      </c>
      <c r="T793" s="92">
        <f>IF(AND(ISNUMBER(SEARCH("Espeto",N793)),ISNUMBER(SEARCH("Madalena",N793))),"SIM","")</f>
        <v/>
      </c>
      <c r="U793" s="92">
        <f>IF(AND(ISNUMBER(SEARCH("Espeto",N793)),ISNUMBER(SEARCH("Mariana",N793))),"SIM","")</f>
        <v/>
      </c>
      <c r="V793" s="92">
        <f>IF(AND(ISNUMBER(SEARCH("Espeto",N793)),ISNUMBER(SEARCH("Perdizes",N793))),"SIM","")</f>
        <v/>
      </c>
      <c r="W793" s="92">
        <f>IF(AND(ISNUMBER(SEARCH("Espeto",N793)),ISNUMBER(SEARCH("Santana",N793))),"SIM","")</f>
        <v/>
      </c>
      <c r="X793" s="92">
        <f>IF(AND(ISNUMBER(SEARCH("Espeto",N793)),ISNUMBER(SEARCH("André",N793))),"SIM","")</f>
        <v/>
      </c>
      <c r="Y793" s="92">
        <f>IF(AND(ISNUMBER(SEARCH("Delivery",N793)),ISNUMBER(SEARCH("Carin",N793))),"SIM","")</f>
        <v/>
      </c>
      <c r="Z793" s="92">
        <f>IF(AND(ISNUMBER(SEARCH("Delivery",N793)),ISNUMBER(SEARCH("Lapa",N793))),"SIM","")</f>
        <v/>
      </c>
      <c r="AA793" s="92">
        <f>IF(AND(ISNUMBER(SEARCH("Delivery",N793)),ISNUMBER(SEARCH("Tatuapé",N793))),"SIM","")</f>
        <v/>
      </c>
      <c r="AB793" s="92">
        <f>IF(AND(ISNUMBER(SEARCH("Delivery",N793)),ISNUMBER(SEARCH("Pavão",N793))),"SIM","")</f>
        <v/>
      </c>
      <c r="AC793" s="92">
        <f>IF(AND(ISNUMBER(SEARCH("Delivery",N793)),ISNUMBER(SEARCH("Chac",N793))),"SIM","")</f>
        <v/>
      </c>
      <c r="AD793" s="92">
        <f>IF(AND(ISNUMBER(SEARCH("Delivery",N793)),ISNUMBER(SEARCH("Madalena",N793))),"SIM","")</f>
        <v/>
      </c>
      <c r="AE793" s="99">
        <f>IF(AND(ISNUMBER(SEARCH("Delivery",N793)),ISNUMBER(SEARCH("Mariana",N793))),"SIM","")</f>
        <v/>
      </c>
      <c r="AF793" s="99">
        <f>IF(AND(ISNUMBER(SEARCH("Delivery",N793)),ISNUMBER(SEARCH("Perdizes",N793))),"SIM","")</f>
        <v/>
      </c>
      <c r="AG793" s="99">
        <f>IF(AND(ISNUMBER(SEARCH("Delivery",N793)),ISNUMBER(SEARCH("Santana",N793))),"SIM","")</f>
        <v/>
      </c>
      <c r="AH793" s="99">
        <f>IF(AND(ISNUMBER(SEARCH("Delivery",N793)),ISNUMBER(SEARCH("André",N793))),"SIM","")</f>
        <v/>
      </c>
      <c r="AI793" s="99">
        <f>IF(ISNUMBER(SEARCH("Interlagos",N793)),"SIM","")</f>
        <v/>
      </c>
      <c r="AJ793" s="99">
        <f>IF(ISNUMBER(SEARCH("Quiosque",N793)),"SIM","")</f>
        <v/>
      </c>
      <c r="AK793" s="101" t="n"/>
    </row>
  </sheetData>
  <autoFilter ref="A2:AK891"/>
  <mergeCells count="3">
    <mergeCell ref="N1:AJ1"/>
    <mergeCell ref="H1:M1"/>
    <mergeCell ref="A1:G1"/>
  </mergeCells>
  <conditionalFormatting sqref="G3:H698">
    <cfRule type="containsText" priority="2" operator="containsText" dxfId="1" text="Sim">
      <formula>NOT(ISERROR(SEARCH("Sim",G3)))</formula>
    </cfRule>
    <cfRule type="containsText" priority="3" operator="containsText" dxfId="0" text="Não">
      <formula>NOT(ISERROR(SEARCH("Não",G3)))</formula>
    </cfRule>
  </conditionalFormatting>
  <conditionalFormatting sqref="K3:K698">
    <cfRule type="containsText" priority="5" operator="containsText" dxfId="0" text="OK">
      <formula>NOT(ISERROR(SEARCH("OK",K3)))</formula>
    </cfRule>
    <cfRule type="containsText" priority="6" operator="containsText" dxfId="14" text="Atencao">
      <formula>NOT(ISERROR(SEARCH("Atencao",K3)))</formula>
    </cfRule>
    <cfRule type="containsText" priority="7" operator="containsText" dxfId="1" text="Erro">
      <formula>NOT(ISERROR(SEARCH("Erro",K3)))</formula>
    </cfRule>
    <cfRule type="containsText" priority="8" operator="containsText" dxfId="3" text="Sem SKU">
      <formula>NOT(ISERROR(SEARCH("Sem SKU",K3)))</formula>
    </cfRule>
    <cfRule type="containsText" priority="9" operator="containsText" dxfId="11" text="ZIG -">
      <formula>NOT(ISERROR(SEARCH("ZIG -",K3)))</formula>
    </cfRule>
  </conditionalFormatting>
  <conditionalFormatting sqref="L3:L698">
    <cfRule type="containsText" priority="10" operator="containsText" dxfId="0" text="Ativo">
      <formula>NOT(ISERROR(SEARCH("Ativo",L3)))</formula>
    </cfRule>
    <cfRule type="containsText" priority="11" operator="containsText" dxfId="3" text="Inativo">
      <formula>NOT(ISERROR(SEARCH("Inativo",L3)))</formula>
    </cfRule>
  </conditionalFormatting>
  <conditionalFormatting sqref="N3:AI698">
    <cfRule type="containsText" priority="14" operator="containsText" dxfId="0" text="SIM">
      <formula>NOT(ISERROR(SEARCH("SIM",N3)))</formula>
    </cfRule>
  </conditionalFormatting>
  <conditionalFormatting sqref="AJ3:AJ698">
    <cfRule type="containsText" priority="36" operator="containsText" dxfId="0" text="Revisado">
      <formula>NOT(ISERROR(SEARCH("Revisado",AJ3)))</formula>
    </cfRule>
  </conditionalFormatting>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0AD47"/>
    <outlinePr summaryBelow="1" summaryRight="1"/>
    <pageSetUpPr/>
  </sheetPr>
  <dimension ref="A1:H534"/>
  <sheetViews>
    <sheetView showGridLines="0" workbookViewId="0">
      <pane ySplit="1" topLeftCell="A80" activePane="bottomLeft" state="frozen"/>
      <selection pane="bottomLeft" activeCell="E23" sqref="E22:E23"/>
    </sheetView>
  </sheetViews>
  <sheetFormatPr baseColWidth="8" defaultRowHeight="15"/>
  <cols>
    <col width="20" customWidth="1" min="1" max="1"/>
    <col width="38" customWidth="1" min="2" max="2"/>
    <col width="22" customWidth="1" min="3" max="3"/>
    <col width="8" customWidth="1" min="4" max="4"/>
    <col width="81.42578125" customWidth="1" min="5" max="5"/>
    <col width="9.7109375" bestFit="1" customWidth="1" min="6" max="6"/>
    <col width="12" customWidth="1" min="7" max="7"/>
  </cols>
  <sheetData>
    <row r="1" ht="21.95" customHeight="1">
      <c r="A1" s="30" t="inlineStr">
        <is>
          <t>SKU (Código ZIG)</t>
        </is>
      </c>
      <c r="B1" s="30" t="inlineStr">
        <is>
          <t>Nome</t>
        </is>
      </c>
      <c r="C1" s="30" t="inlineStr">
        <is>
          <t>Categoria</t>
        </is>
      </c>
      <c r="D1" s="30" t="inlineStr">
        <is>
          <t>Tipo</t>
        </is>
      </c>
      <c r="E1" s="30" t="inlineStr">
        <is>
          <t>Locais</t>
        </is>
      </c>
      <c r="F1" s="64" t="inlineStr">
        <is>
          <t>ID Sistema</t>
        </is>
      </c>
      <c r="G1" s="46" t="inlineStr">
        <is>
          <t>Situação</t>
        </is>
      </c>
      <c r="H1" t="inlineStr">
        <is>
          <t>Última Atualização: 13/05/2026</t>
        </is>
      </c>
    </row>
    <row r="2">
      <c r="A2" s="96" t="inlineStr">
        <is>
          <t>7898905687807</t>
        </is>
      </c>
      <c r="B2" s="97" t="inlineStr">
        <is>
          <t>EXPRESSO AMENO</t>
        </is>
      </c>
      <c r="C2" s="97" t="inlineStr">
        <is>
          <t>A  CAFE</t>
        </is>
      </c>
      <c r="D2" s="98" t="inlineStr">
        <is>
          <t>Produto</t>
        </is>
      </c>
      <c r="E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 s="165" t="inlineStr">
        <is>
          <t>783165d5-261b-45b1-bf32-e093cbc855c1</t>
        </is>
      </c>
      <c r="G2" s="166">
        <f>IF(E2="","Inativo",IF(SUMPRODUCT(--(ISNUMBER(SEARCH({"Lapa","Santana","Mariana","Perdizes","André","Tatuapé","Madalena","Carinás","Pavão","Chac"},E2))))&gt;0,"Ativo","Inativo"))</f>
        <v/>
      </c>
    </row>
    <row r="3">
      <c r="A3" s="96" t="inlineStr">
        <is>
          <t>7898905687808</t>
        </is>
      </c>
      <c r="B3" s="97" t="inlineStr">
        <is>
          <t>EXPRESSO VIBRANTE</t>
        </is>
      </c>
      <c r="C3" s="97" t="inlineStr">
        <is>
          <t>A  CAFE</t>
        </is>
      </c>
      <c r="D3" s="98" t="inlineStr">
        <is>
          <t>Produto</t>
        </is>
      </c>
      <c r="E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 s="165" t="inlineStr">
        <is>
          <t>1fa87ca7-b4a7-4a7d-9bca-819c542d3097</t>
        </is>
      </c>
      <c r="G3" s="166">
        <f>IF(E3="","Inativo",IF(SUMPRODUCT(--(ISNUMBER(SEARCH({"Lapa","Santana","Mariana","Perdizes","André","Tatuapé","Madalena","Carinás","Pavão","Chac"},E3))))&gt;0,"Ativo","Inativo"))</f>
        <v/>
      </c>
    </row>
    <row r="4">
      <c r="A4" s="96" t="inlineStr">
        <is>
          <t>7898905687809</t>
        </is>
      </c>
      <c r="B4" s="97" t="inlineStr">
        <is>
          <t>EXPRESSO DECAF</t>
        </is>
      </c>
      <c r="C4" s="97" t="inlineStr">
        <is>
          <t>A  CAFE</t>
        </is>
      </c>
      <c r="D4" s="98" t="inlineStr">
        <is>
          <t>Produto</t>
        </is>
      </c>
      <c r="E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 s="165" t="inlineStr">
        <is>
          <t>364182ae-2e91-47b4-aba2-40949b93cf6f</t>
        </is>
      </c>
      <c r="G4" s="166">
        <f>IF(E4="","Inativo",IF(SUMPRODUCT(--(ISNUMBER(SEARCH({"Lapa","Santana","Mariana","Perdizes","André","Tatuapé","Madalena","Carinás","Pavão","Chac"},E4))))&gt;0,"Ativo","Inativo"))</f>
        <v/>
      </c>
    </row>
    <row r="5">
      <c r="A5" s="96" t="inlineStr">
        <is>
          <t>78989056877256</t>
        </is>
      </c>
      <c r="B5" s="97" t="inlineStr">
        <is>
          <t>Double chopp</t>
        </is>
      </c>
      <c r="C5" s="97" t="inlineStr">
        <is>
          <t>A CHOPP BRAHMA</t>
        </is>
      </c>
      <c r="D5" s="98" t="inlineStr">
        <is>
          <t>Produto</t>
        </is>
      </c>
      <c r="E5" s="164" t="inlineStr">
        <is>
          <t>Quintal do Espeto Santana, Quintal do Espeto Perdizes, Quintal do Espeto  V. Madalena, Quintal do Espeto Carinás, Quintal do Espeto Pavão</t>
        </is>
      </c>
      <c r="F5" s="165" t="inlineStr">
        <is>
          <t>afafc3f0-4a36-4203-a19b-649a288b4b04</t>
        </is>
      </c>
      <c r="G5" s="166">
        <f>IF(E5="","Inativo",IF(SUMPRODUCT(--(ISNUMBER(SEARCH({"Lapa","Santana","Mariana","Perdizes","André","Tatuapé","Madalena","Carinás","Pavão","Chac"},E5))))&gt;0,"Ativo","Inativo"))</f>
        <v/>
      </c>
    </row>
    <row r="6">
      <c r="A6" s="96" t="inlineStr">
        <is>
          <t>78989056877292</t>
        </is>
      </c>
      <c r="B6" s="97" t="inlineStr">
        <is>
          <t>CHOPP OKTOBERFEST 500 ML</t>
        </is>
      </c>
      <c r="C6" s="97" t="inlineStr">
        <is>
          <t>A CHOPP BRAHMA</t>
        </is>
      </c>
      <c r="D6" s="98" t="inlineStr">
        <is>
          <t>Produto</t>
        </is>
      </c>
      <c r="E6" s="164" t="n"/>
      <c r="F6" s="165" t="inlineStr">
        <is>
          <t>fb1d0df2-9ee7-4196-be49-13e3e60d27b9</t>
        </is>
      </c>
      <c r="G6" s="166">
        <f>IF(E6="","Inativo",IF(SUMPRODUCT(--(ISNUMBER(SEARCH({"Lapa","Santana","Mariana","Perdizes","André","Tatuapé","Madalena","Carinás","Pavão","Chac"},E6))))&gt;0,"Ativo","Inativo"))</f>
        <v/>
      </c>
    </row>
    <row r="7">
      <c r="A7" s="96" t="inlineStr">
        <is>
          <t>80101</t>
        </is>
      </c>
      <c r="B7" s="97" t="inlineStr">
        <is>
          <t>CHOPP BRAHMA CANECA</t>
        </is>
      </c>
      <c r="C7" s="97" t="inlineStr">
        <is>
          <t>A CHOPP BRAHMA</t>
        </is>
      </c>
      <c r="D7" s="98" t="inlineStr">
        <is>
          <t>Produto</t>
        </is>
      </c>
      <c r="E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 s="165" t="inlineStr">
        <is>
          <t>0e0cb7d1-6896-4a6f-ad2e-8b868426e8b9</t>
        </is>
      </c>
      <c r="G7" s="166">
        <f>IF(E7="","Inativo",IF(SUMPRODUCT(--(ISNUMBER(SEARCH({"Lapa","Santana","Mariana","Perdizes","André","Tatuapé","Madalena","Carinás","Pavão","Chac"},E7))))&gt;0,"Ativo","Inativo"))</f>
        <v/>
      </c>
    </row>
    <row r="8">
      <c r="A8" s="96" t="inlineStr">
        <is>
          <t>0001</t>
        </is>
      </c>
      <c r="B8" s="97" t="inlineStr">
        <is>
          <t>COMBO RED BULL MELAO</t>
        </is>
      </c>
      <c r="C8" s="97" t="inlineStr">
        <is>
          <t>A BEBIDAS NÃO ALCOÓLICAS</t>
        </is>
      </c>
      <c r="D8" s="98" t="inlineStr">
        <is>
          <t>Produto</t>
        </is>
      </c>
      <c r="E8" s="164" t="inlineStr">
        <is>
          <t>Quintal do Espeto Santana</t>
        </is>
      </c>
      <c r="F8" s="165" t="inlineStr">
        <is>
          <t>6ec8c48e-a998-4449-ba77-e0ef68287b4f</t>
        </is>
      </c>
      <c r="G8" s="166">
        <f>IF(E8="","Inativo",IF(SUMPRODUCT(--(ISNUMBER(SEARCH({"Lapa","Santana","Mariana","Perdizes","André","Tatuapé","Madalena","Carinás","Pavão","Chac"},E8))))&gt;0,"Ativo","Inativo"))</f>
        <v/>
      </c>
    </row>
    <row r="9">
      <c r="A9" s="96" t="inlineStr">
        <is>
          <t>71001</t>
        </is>
      </c>
      <c r="B9" s="97" t="inlineStr">
        <is>
          <t>AGUA S/ GAS</t>
        </is>
      </c>
      <c r="C9" s="97" t="inlineStr">
        <is>
          <t>A BEBIDAS NÃO ALCOÓLICAS</t>
        </is>
      </c>
      <c r="D9" s="98" t="inlineStr">
        <is>
          <t>Produto</t>
        </is>
      </c>
      <c r="E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9" s="165" t="inlineStr">
        <is>
          <t>34bc7e25-9a58-411a-b15b-ba9ba1eda1da</t>
        </is>
      </c>
      <c r="G9" s="166">
        <f>IF(E9="","Inativo",IF(SUMPRODUCT(--(ISNUMBER(SEARCH({"Lapa","Santana","Mariana","Perdizes","André","Tatuapé","Madalena","Carinás","Pavão","Chac"},E9))))&gt;0,"Ativo","Inativo"))</f>
        <v/>
      </c>
    </row>
    <row r="10">
      <c r="A10" s="96" t="inlineStr">
        <is>
          <t>71002</t>
        </is>
      </c>
      <c r="B10" s="97" t="inlineStr">
        <is>
          <t>AGUA TONICA</t>
        </is>
      </c>
      <c r="C10" s="97" t="inlineStr">
        <is>
          <t>A BEBIDAS NÃO ALCOÓLICAS</t>
        </is>
      </c>
      <c r="D10" s="98" t="inlineStr">
        <is>
          <t>Produto</t>
        </is>
      </c>
      <c r="E1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0" s="165" t="inlineStr">
        <is>
          <t>6b153949-4f1c-4297-acff-73e2c1cd609e</t>
        </is>
      </c>
      <c r="G10" s="166">
        <f>IF(E10="","Inativo",IF(SUMPRODUCT(--(ISNUMBER(SEARCH({"Lapa","Santana","Mariana","Perdizes","André","Tatuapé","Madalena","Carinás","Pavão","Chac"},E10))))&gt;0,"Ativo","Inativo"))</f>
        <v/>
      </c>
    </row>
    <row r="11">
      <c r="A11" s="96" t="inlineStr">
        <is>
          <t>71003</t>
        </is>
      </c>
      <c r="B11" s="97" t="inlineStr">
        <is>
          <t>PEPSI</t>
        </is>
      </c>
      <c r="C11" s="97" t="inlineStr">
        <is>
          <t>A BEBIDAS NÃO ALCOÓLICAS</t>
        </is>
      </c>
      <c r="D11" s="98" t="inlineStr">
        <is>
          <t>Produto</t>
        </is>
      </c>
      <c r="E11"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1" s="165" t="inlineStr">
        <is>
          <t>dc1914d4-06d2-46b5-95e0-bd3871c65227</t>
        </is>
      </c>
      <c r="G11" s="166">
        <f>IF(E11="","Inativo",IF(SUMPRODUCT(--(ISNUMBER(SEARCH({"Lapa","Santana","Mariana","Perdizes","André","Tatuapé","Madalena","Carinás","Pavão","Chac"},E11))))&gt;0,"Ativo","Inativo"))</f>
        <v/>
      </c>
    </row>
    <row r="12">
      <c r="A12" s="96" t="inlineStr">
        <is>
          <t>71004</t>
        </is>
      </c>
      <c r="B12" s="97" t="inlineStr">
        <is>
          <t>SUKITA</t>
        </is>
      </c>
      <c r="C12" s="97" t="inlineStr">
        <is>
          <t>A BEBIDAS NÃO ALCOÓLICAS</t>
        </is>
      </c>
      <c r="D12" s="98" t="inlineStr">
        <is>
          <t>Produto</t>
        </is>
      </c>
      <c r="E1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 s="165" t="inlineStr">
        <is>
          <t>9c0c357b-a6e8-4794-8b8d-aefa5c524016</t>
        </is>
      </c>
      <c r="G12" s="166">
        <f>IF(E12="","Inativo",IF(SUMPRODUCT(--(ISNUMBER(SEARCH({"Lapa","Santana","Mariana","Perdizes","André","Tatuapé","Madalena","Carinás","Pavão","Chac"},E12))))&gt;0,"Ativo","Inativo"))</f>
        <v/>
      </c>
    </row>
    <row r="13">
      <c r="A13" s="96" t="inlineStr">
        <is>
          <t>71005</t>
        </is>
      </c>
      <c r="B13" s="97" t="inlineStr">
        <is>
          <t>GUARANA</t>
        </is>
      </c>
      <c r="C13" s="97" t="inlineStr">
        <is>
          <t>A BEBIDAS NÃO ALCOÓLICAS</t>
        </is>
      </c>
      <c r="D13" s="98" t="inlineStr">
        <is>
          <t>Produto</t>
        </is>
      </c>
      <c r="E1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3" s="165" t="inlineStr">
        <is>
          <t>0da698a1-b944-4667-92a5-5902a5a5043b</t>
        </is>
      </c>
      <c r="G13" s="166">
        <f>IF(E13="","Inativo",IF(SUMPRODUCT(--(ISNUMBER(SEARCH({"Lapa","Santana","Mariana","Perdizes","André","Tatuapé","Madalena","Carinás","Pavão","Chac"},E13))))&gt;0,"Ativo","Inativo"))</f>
        <v/>
      </c>
    </row>
    <row r="14">
      <c r="A14" s="96" t="inlineStr">
        <is>
          <t>71006</t>
        </is>
      </c>
      <c r="B14" s="97" t="inlineStr">
        <is>
          <t>SODA LIMONADA</t>
        </is>
      </c>
      <c r="C14" s="97" t="inlineStr">
        <is>
          <t>A BEBIDAS NÃO ALCOÓLICAS</t>
        </is>
      </c>
      <c r="D14" s="98" t="inlineStr">
        <is>
          <t>Produto</t>
        </is>
      </c>
      <c r="E14"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4" s="165" t="inlineStr">
        <is>
          <t>e5fcc179-a311-4526-b471-b7f1fad91f6e</t>
        </is>
      </c>
      <c r="G14" s="166">
        <f>IF(E14="","Inativo",IF(SUMPRODUCT(--(ISNUMBER(SEARCH({"Lapa","Santana","Mariana","Perdizes","André","Tatuapé","Madalena","Carinás","Pavão","Chac"},E14))))&gt;0,"Ativo","Inativo"))</f>
        <v/>
      </c>
    </row>
    <row r="15">
      <c r="A15" s="96" t="inlineStr">
        <is>
          <t>71007</t>
        </is>
      </c>
      <c r="B15" s="97" t="inlineStr">
        <is>
          <t>H2OH!</t>
        </is>
      </c>
      <c r="C15" s="97" t="inlineStr">
        <is>
          <t>A BEBIDAS NÃO ALCOÓLICAS</t>
        </is>
      </c>
      <c r="D15" s="98" t="inlineStr">
        <is>
          <t>Produto</t>
        </is>
      </c>
      <c r="E1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5" s="165" t="inlineStr">
        <is>
          <t>728f645e-bf3b-4706-a717-3bcfcf16bfc1</t>
        </is>
      </c>
      <c r="G15" s="166">
        <f>IF(E15="","Inativo",IF(SUMPRODUCT(--(ISNUMBER(SEARCH({"Lapa","Santana","Mariana","Perdizes","André","Tatuapé","Madalena","Carinás","Pavão","Chac"},E15))))&gt;0,"Ativo","Inativo"))</f>
        <v/>
      </c>
    </row>
    <row r="16">
      <c r="A16" s="96" t="inlineStr">
        <is>
          <t>71008</t>
        </is>
      </c>
      <c r="B16" s="97" t="inlineStr">
        <is>
          <t>AGUA TONICA DIET</t>
        </is>
      </c>
      <c r="C16" s="97" t="inlineStr">
        <is>
          <t>A BEBIDAS NÃO ALCOÓLICAS</t>
        </is>
      </c>
      <c r="D16" s="98" t="inlineStr">
        <is>
          <t>Produto</t>
        </is>
      </c>
      <c r="E1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6" s="165" t="inlineStr">
        <is>
          <t>7e9fcf72-266d-48db-9ed1-82b3f0d7930c</t>
        </is>
      </c>
      <c r="G16" s="166">
        <f>IF(E16="","Inativo",IF(SUMPRODUCT(--(ISNUMBER(SEARCH({"Lapa","Santana","Mariana","Perdizes","André","Tatuapé","Madalena","Carinás","Pavão","Chac"},E16))))&gt;0,"Ativo","Inativo"))</f>
        <v/>
      </c>
    </row>
    <row r="17">
      <c r="A17" s="96" t="inlineStr">
        <is>
          <t>71009</t>
        </is>
      </c>
      <c r="B17" s="97" t="inlineStr">
        <is>
          <t>PEPSI LIGHT</t>
        </is>
      </c>
      <c r="C17" s="97" t="inlineStr">
        <is>
          <t>A BEBIDAS NÃO ALCOÓLICAS</t>
        </is>
      </c>
      <c r="D17" s="98" t="inlineStr">
        <is>
          <t>Produto</t>
        </is>
      </c>
      <c r="E17"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7" s="165" t="inlineStr">
        <is>
          <t>59f7af6c-1b88-4d24-a5e7-3a3a4578de52</t>
        </is>
      </c>
      <c r="G17" s="166">
        <f>IF(E17="","Inativo",IF(SUMPRODUCT(--(ISNUMBER(SEARCH({"Lapa","Santana","Mariana","Perdizes","André","Tatuapé","Madalena","Carinás","Pavão","Chac"},E17))))&gt;0,"Ativo","Inativo"))</f>
        <v/>
      </c>
    </row>
    <row r="18">
      <c r="A18" s="96" t="inlineStr">
        <is>
          <t>71011</t>
        </is>
      </c>
      <c r="B18" s="97" t="inlineStr">
        <is>
          <t>GUARANA ANTARTICA  ZERO</t>
        </is>
      </c>
      <c r="C18" s="97" t="inlineStr">
        <is>
          <t>A BEBIDAS NÃO ALCOÓLICAS</t>
        </is>
      </c>
      <c r="D18" s="98" t="inlineStr">
        <is>
          <t>Produto</t>
        </is>
      </c>
      <c r="E18"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8" s="165" t="inlineStr">
        <is>
          <t>32c6871f-be04-45c8-98aa-3f4968fc7210</t>
        </is>
      </c>
      <c r="G18" s="166">
        <f>IF(E18="","Inativo",IF(SUMPRODUCT(--(ISNUMBER(SEARCH({"Lapa","Santana","Mariana","Perdizes","André","Tatuapé","Madalena","Carinás","Pavão","Chac"},E18))))&gt;0,"Ativo","Inativo"))</f>
        <v/>
      </c>
    </row>
    <row r="19">
      <c r="A19" s="96" t="inlineStr">
        <is>
          <t>71012</t>
        </is>
      </c>
      <c r="B19" s="97" t="inlineStr">
        <is>
          <t>SODA LIMONADA DIET</t>
        </is>
      </c>
      <c r="C19" s="97" t="inlineStr">
        <is>
          <t>A BEBIDAS NÃO ALCOÓLICAS</t>
        </is>
      </c>
      <c r="D19" s="98" t="inlineStr">
        <is>
          <t>Produto</t>
        </is>
      </c>
      <c r="E1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9" s="165" t="inlineStr">
        <is>
          <t>5bb063d3-5c2b-46cd-ba5b-df481584ab27</t>
        </is>
      </c>
      <c r="G19" s="166">
        <f>IF(E19="","Inativo",IF(SUMPRODUCT(--(ISNUMBER(SEARCH({"Lapa","Santana","Mariana","Perdizes","André","Tatuapé","Madalena","Carinás","Pavão","Chac"},E19))))&gt;0,"Ativo","Inativo"))</f>
        <v/>
      </c>
    </row>
    <row r="20">
      <c r="A20" s="96" t="inlineStr">
        <is>
          <t>71014</t>
        </is>
      </c>
      <c r="B20" s="97" t="inlineStr">
        <is>
          <t>AGUA C/ GAS</t>
        </is>
      </c>
      <c r="C20" s="97" t="inlineStr">
        <is>
          <t>A BEBIDAS NÃO ALCOÓLICAS</t>
        </is>
      </c>
      <c r="D20" s="98" t="inlineStr">
        <is>
          <t>Produto</t>
        </is>
      </c>
      <c r="E2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0" s="165" t="inlineStr">
        <is>
          <t>51a3d53f-be8f-4324-9d48-64bcea9f289b</t>
        </is>
      </c>
      <c r="G20" s="166">
        <f>IF(E20="","Inativo",IF(SUMPRODUCT(--(ISNUMBER(SEARCH({"Lapa","Santana","Mariana","Perdizes","André","Tatuapé","Madalena","Carinás","Pavão","Chac"},E20))))&gt;0,"Ativo","Inativo"))</f>
        <v/>
      </c>
    </row>
    <row r="21">
      <c r="A21" s="96" t="inlineStr">
        <is>
          <t>71015</t>
        </is>
      </c>
      <c r="B21" s="97" t="inlineStr">
        <is>
          <t>RED BULL</t>
        </is>
      </c>
      <c r="C21" s="97" t="inlineStr">
        <is>
          <t>A BEBIDAS NÃO ALCOÓLICAS</t>
        </is>
      </c>
      <c r="D21" s="98" t="inlineStr">
        <is>
          <t>Produto</t>
        </is>
      </c>
      <c r="E2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1" s="165" t="inlineStr">
        <is>
          <t>392553a7-56bc-481c-a64e-082076e8c420</t>
        </is>
      </c>
      <c r="G21" s="166">
        <f>IF(E21="","Inativo",IF(SUMPRODUCT(--(ISNUMBER(SEARCH({"Lapa","Santana","Mariana","Perdizes","André","Tatuapé","Madalena","Carinás","Pavão","Chac"},E21))))&gt;0,"Ativo","Inativo"))</f>
        <v/>
      </c>
    </row>
    <row r="22">
      <c r="A22" s="96" t="inlineStr">
        <is>
          <t>71016</t>
        </is>
      </c>
      <c r="B22" s="97" t="inlineStr">
        <is>
          <t>R BULLSUGARFREE</t>
        </is>
      </c>
      <c r="C22" s="97" t="inlineStr">
        <is>
          <t>A BEBIDAS NÃO ALCOÓLICAS</t>
        </is>
      </c>
      <c r="D22" s="98" t="inlineStr">
        <is>
          <t>Produto</t>
        </is>
      </c>
      <c r="E2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2" s="165" t="inlineStr">
        <is>
          <t>f173ce9c-4c16-475b-b91c-f3923ac0f0b1</t>
        </is>
      </c>
      <c r="G22" s="166">
        <f>IF(E22="","Inativo",IF(SUMPRODUCT(--(ISNUMBER(SEARCH({"Lapa","Santana","Mariana","Perdizes","André","Tatuapé","Madalena","Carinás","Pavão","Chac"},E22))))&gt;0,"Ativo","Inativo"))</f>
        <v/>
      </c>
    </row>
    <row r="23">
      <c r="A23" s="96" t="inlineStr">
        <is>
          <t>71018</t>
        </is>
      </c>
      <c r="B23" s="97" t="inlineStr">
        <is>
          <t>AGUA DE COCO</t>
        </is>
      </c>
      <c r="C23" s="97" t="inlineStr">
        <is>
          <t>A BEBIDAS NÃO ALCOÓLICAS</t>
        </is>
      </c>
      <c r="D23" s="98" t="inlineStr">
        <is>
          <t>Produto</t>
        </is>
      </c>
      <c r="E2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 s="165" t="inlineStr">
        <is>
          <t>4f1f2f94-7db2-48f0-ae27-ad1605a2c7db</t>
        </is>
      </c>
      <c r="G23" s="166">
        <f>IF(E23="","Inativo",IF(SUMPRODUCT(--(ISNUMBER(SEARCH({"Lapa","Santana","Mariana","Perdizes","André","Tatuapé","Madalena","Carinás","Pavão","Chac"},E23))))&gt;0,"Ativo","Inativo"))</f>
        <v/>
      </c>
    </row>
    <row r="24">
      <c r="A24" s="96" t="inlineStr">
        <is>
          <t>71022</t>
        </is>
      </c>
      <c r="B24" s="97" t="inlineStr">
        <is>
          <t>RED BULL TROPICAL</t>
        </is>
      </c>
      <c r="C24" s="97" t="inlineStr">
        <is>
          <t>A BEBIDAS NÃO ALCOÓLICAS</t>
        </is>
      </c>
      <c r="D24" s="98" t="inlineStr">
        <is>
          <t>Produto</t>
        </is>
      </c>
      <c r="E2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 s="165" t="inlineStr">
        <is>
          <t>0aa7e018-d68a-4809-8fe1-eb6bc385ec3e</t>
        </is>
      </c>
      <c r="G24" s="166">
        <f>IF(E24="","Inativo",IF(SUMPRODUCT(--(ISNUMBER(SEARCH({"Lapa","Santana","Mariana","Perdizes","André","Tatuapé","Madalena","Carinás","Pavão","Chac"},E24))))&gt;0,"Ativo","Inativo"))</f>
        <v/>
      </c>
    </row>
    <row r="25">
      <c r="A25" s="96" t="inlineStr">
        <is>
          <t>78989056877189</t>
        </is>
      </c>
      <c r="B25" s="97" t="inlineStr">
        <is>
          <t>SUCO DE LATA UVA</t>
        </is>
      </c>
      <c r="C25" s="97" t="inlineStr">
        <is>
          <t>A BEBIDAS NÃO ALCOÓLICAS</t>
        </is>
      </c>
      <c r="D25" s="98" t="inlineStr">
        <is>
          <t>Produto</t>
        </is>
      </c>
      <c r="E25" s="164" t="inlineStr">
        <is>
          <t>Quintal do Espeto Pavão</t>
        </is>
      </c>
      <c r="F25" s="165" t="inlineStr">
        <is>
          <t>266e6dbd-37a1-4fdf-ad66-ee4d00551c08</t>
        </is>
      </c>
      <c r="G25" s="166">
        <f>IF(E25="","Inativo",IF(SUMPRODUCT(--(ISNUMBER(SEARCH({"Lapa","Santana","Mariana","Perdizes","André","Tatuapé","Madalena","Carinás","Pavão","Chac"},E25))))&gt;0,"Ativo","Inativo"))</f>
        <v/>
      </c>
    </row>
    <row r="26">
      <c r="A26" s="96" t="inlineStr">
        <is>
          <t>78989056877190</t>
        </is>
      </c>
      <c r="B26" s="97" t="inlineStr">
        <is>
          <t>SUCO DE LATA MORANGO</t>
        </is>
      </c>
      <c r="C26" s="97" t="inlineStr">
        <is>
          <t>A BEBIDAS NÃO ALCOÓLICAS</t>
        </is>
      </c>
      <c r="D26" s="98" t="inlineStr">
        <is>
          <t>Produto</t>
        </is>
      </c>
      <c r="E26" s="164" t="inlineStr">
        <is>
          <t>Quintal do Espeto Pavão</t>
        </is>
      </c>
      <c r="F26" s="165" t="inlineStr">
        <is>
          <t>2d619831-807e-41cf-b967-885cd04870ab</t>
        </is>
      </c>
      <c r="G26" s="166">
        <f>IF(E26="","Inativo",IF(SUMPRODUCT(--(ISNUMBER(SEARCH({"Lapa","Santana","Mariana","Perdizes","André","Tatuapé","Madalena","Carinás","Pavão","Chac"},E26))))&gt;0,"Ativo","Inativo"))</f>
        <v/>
      </c>
    </row>
    <row r="27">
      <c r="A27" s="96" t="inlineStr">
        <is>
          <t>78989056877191</t>
        </is>
      </c>
      <c r="B27" s="97" t="inlineStr">
        <is>
          <t>SUCO DE LATA MARACUJA</t>
        </is>
      </c>
      <c r="C27" s="97" t="inlineStr">
        <is>
          <t>A BEBIDAS NÃO ALCOÓLICAS</t>
        </is>
      </c>
      <c r="D27" s="98" t="inlineStr">
        <is>
          <t>Produto</t>
        </is>
      </c>
      <c r="E27" s="164" t="inlineStr">
        <is>
          <t>Quintal do Espeto Pavão</t>
        </is>
      </c>
      <c r="F27" s="165" t="inlineStr">
        <is>
          <t>c7d6d791-22fc-4b28-b88b-aea550335a7a</t>
        </is>
      </c>
      <c r="G27" s="166">
        <f>IF(E27="","Inativo",IF(SUMPRODUCT(--(ISNUMBER(SEARCH({"Lapa","Santana","Mariana","Perdizes","André","Tatuapé","Madalena","Carinás","Pavão","Chac"},E27))))&gt;0,"Ativo","Inativo"))</f>
        <v/>
      </c>
    </row>
    <row r="28">
      <c r="A28" s="96" t="inlineStr">
        <is>
          <t>78989056877192</t>
        </is>
      </c>
      <c r="B28" s="97" t="inlineStr">
        <is>
          <t>SUCO DE LATA LARANJA</t>
        </is>
      </c>
      <c r="C28" s="97" t="inlineStr">
        <is>
          <t>A BEBIDAS NÃO ALCOÓLICAS</t>
        </is>
      </c>
      <c r="D28" s="98" t="inlineStr">
        <is>
          <t>Produto</t>
        </is>
      </c>
      <c r="E28" s="164" t="inlineStr">
        <is>
          <t>Quintal do Espeto Pavão</t>
        </is>
      </c>
      <c r="F28" s="165" t="inlineStr">
        <is>
          <t>a4598dd5-53a7-48b8-894e-b3feb8b026a9</t>
        </is>
      </c>
      <c r="G28" s="166">
        <f>IF(E28="","Inativo",IF(SUMPRODUCT(--(ISNUMBER(SEARCH({"Lapa","Santana","Mariana","Perdizes","André","Tatuapé","Madalena","Carinás","Pavão","Chac"},E28))))&gt;0,"Ativo","Inativo"))</f>
        <v/>
      </c>
    </row>
    <row r="29">
      <c r="A29" s="96" t="inlineStr">
        <is>
          <t>789890568772140</t>
        </is>
      </c>
      <c r="B29" s="97" t="inlineStr">
        <is>
          <t>PROMOÇÃO RED BULL POMELO</t>
        </is>
      </c>
      <c r="C29" s="97" t="inlineStr">
        <is>
          <t>A BEBIDAS NÃO ALCOÓLICAS</t>
        </is>
      </c>
      <c r="D29" s="98" t="inlineStr">
        <is>
          <t>Produto</t>
        </is>
      </c>
      <c r="E29" s="164" t="inlineStr">
        <is>
          <t>Quintal do Espeto Santana</t>
        </is>
      </c>
      <c r="F29" s="165" t="inlineStr">
        <is>
          <t>23057579-1fc9-42d2-a52c-33914359d43f</t>
        </is>
      </c>
      <c r="G29" s="166">
        <f>IF(E29="","Inativo",IF(SUMPRODUCT(--(ISNUMBER(SEARCH({"Lapa","Santana","Mariana","Perdizes","André","Tatuapé","Madalena","Carinás","Pavão","Chac"},E29))))&gt;0,"Ativo","Inativo"))</f>
        <v/>
      </c>
    </row>
    <row r="30">
      <c r="A30" s="96" t="inlineStr">
        <is>
          <t>78989056877288</t>
        </is>
      </c>
      <c r="B30" s="97" t="inlineStr">
        <is>
          <t>RED BULL POMELO SUGARFREE</t>
        </is>
      </c>
      <c r="C30" s="97" t="inlineStr">
        <is>
          <t>A BEBIDAS NÃO ALCOÓLICAS</t>
        </is>
      </c>
      <c r="D30" s="98" t="inlineStr">
        <is>
          <t>Produto</t>
        </is>
      </c>
      <c r="E3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0" s="165" t="inlineStr">
        <is>
          <t>609501c5-1e43-4c98-b283-ced19d445aca</t>
        </is>
      </c>
      <c r="G30" s="166">
        <f>IF(E30="","Inativo",IF(SUMPRODUCT(--(ISNUMBER(SEARCH({"Lapa","Santana","Mariana","Perdizes","André","Tatuapé","Madalena","Carinás","Pavão","Chac"},E30))))&gt;0,"Ativo","Inativo"))</f>
        <v/>
      </c>
    </row>
    <row r="31">
      <c r="A31" s="96" t="inlineStr">
        <is>
          <t>78989056877289</t>
        </is>
      </c>
      <c r="B31" s="97" t="inlineStr">
        <is>
          <t>RED BULL MELÃO EDITION</t>
        </is>
      </c>
      <c r="C31" s="97" t="inlineStr">
        <is>
          <t>A BEBIDAS NÃO ALCOÓLICAS</t>
        </is>
      </c>
      <c r="D31" s="98" t="inlineStr">
        <is>
          <t>Produto</t>
        </is>
      </c>
      <c r="E3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1" s="165" t="inlineStr">
        <is>
          <t>e1d4081b-4180-413f-9738-f984ebf0c5a3</t>
        </is>
      </c>
      <c r="G31" s="166">
        <f>IF(E31="","Inativo",IF(SUMPRODUCT(--(ISNUMBER(SEARCH({"Lapa","Santana","Mariana","Perdizes","André","Tatuapé","Madalena","Carinás","Pavão","Chac"},E31))))&gt;0,"Ativo","Inativo"))</f>
        <v/>
      </c>
    </row>
    <row r="32">
      <c r="A32" s="96" t="inlineStr">
        <is>
          <t>7898905687804</t>
        </is>
      </c>
      <c r="B32" s="97" t="inlineStr">
        <is>
          <t xml:space="preserve">SODA ITALIANA </t>
        </is>
      </c>
      <c r="C32" s="97" t="inlineStr">
        <is>
          <t>A BEBIDAS NÃO ALCOÓLICAS</t>
        </is>
      </c>
      <c r="D32" s="98" t="inlineStr">
        <is>
          <t>Produto</t>
        </is>
      </c>
      <c r="E3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2" s="165" t="inlineStr">
        <is>
          <t>ce687d83-f144-4525-ba98-401a81b37de1</t>
        </is>
      </c>
      <c r="G32" s="166">
        <f>IF(E32="","Inativo",IF(SUMPRODUCT(--(ISNUMBER(SEARCH({"Lapa","Santana","Mariana","Perdizes","André","Tatuapé","Madalena","Carinás","Pavão","Chac"},E32))))&gt;0,"Ativo","Inativo"))</f>
        <v/>
      </c>
    </row>
    <row r="33">
      <c r="A33" s="96" t="inlineStr">
        <is>
          <t>9003501</t>
        </is>
      </c>
      <c r="B33" s="97" t="inlineStr">
        <is>
          <t>GELO DE COCO</t>
        </is>
      </c>
      <c r="C33" s="97" t="inlineStr">
        <is>
          <t>A BEBIDAS NÃO ALCOÓLICAS</t>
        </is>
      </c>
      <c r="D33" s="98" t="inlineStr">
        <is>
          <t>Produto</t>
        </is>
      </c>
      <c r="E3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3" s="165" t="inlineStr">
        <is>
          <t>c7b7d326-57d4-4c59-b482-03c9072226c0</t>
        </is>
      </c>
      <c r="G33" s="166">
        <f>IF(E33="","Inativo",IF(SUMPRODUCT(--(ISNUMBER(SEARCH({"Lapa","Santana","Mariana","Perdizes","André","Tatuapé","Madalena","Carinás","Pavão","Chac"},E33))))&gt;0,"Ativo","Inativo"))</f>
        <v/>
      </c>
    </row>
    <row r="34">
      <c r="A34" s="96" t="inlineStr">
        <is>
          <t>9003506</t>
        </is>
      </c>
      <c r="B34" s="97" t="inlineStr">
        <is>
          <t>RED BULL MELANCIA</t>
        </is>
      </c>
      <c r="C34" s="97" t="inlineStr">
        <is>
          <t>A BEBIDAS NÃO ALCOÓLICAS</t>
        </is>
      </c>
      <c r="D34" s="98" t="inlineStr">
        <is>
          <t>Produto</t>
        </is>
      </c>
      <c r="E3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4" s="165" t="inlineStr">
        <is>
          <t>5e0c45db-643c-48bc-b50e-dd99d937d28e</t>
        </is>
      </c>
      <c r="G34" s="166">
        <f>IF(E34="","Inativo",IF(SUMPRODUCT(--(ISNUMBER(SEARCH({"Lapa","Santana","Mariana","Perdizes","André","Tatuapé","Madalena","Carinás","Pavão","Chac"},E34))))&gt;0,"Ativo","Inativo"))</f>
        <v/>
      </c>
    </row>
    <row r="35">
      <c r="A35" s="96" t="inlineStr">
        <is>
          <t>104001</t>
        </is>
      </c>
      <c r="B35" s="97" t="inlineStr">
        <is>
          <t>CLERICOT</t>
        </is>
      </c>
      <c r="C35" s="97" t="inlineStr">
        <is>
          <t>A COQUETEIS</t>
        </is>
      </c>
      <c r="D35" s="98" t="inlineStr">
        <is>
          <t>Produto</t>
        </is>
      </c>
      <c r="E3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5" s="165" t="inlineStr">
        <is>
          <t>4d51539f-72b8-47f5-85dc-241b2bac6b3d</t>
        </is>
      </c>
      <c r="G35" s="166">
        <f>IF(E35="","Inativo",IF(SUMPRODUCT(--(ISNUMBER(SEARCH({"Lapa","Santana","Mariana","Perdizes","André","Tatuapé","Madalena","Carinás","Pavão","Chac"},E35))))&gt;0,"Ativo","Inativo"))</f>
        <v/>
      </c>
    </row>
    <row r="36">
      <c r="A36" s="96" t="inlineStr">
        <is>
          <t>104002</t>
        </is>
      </c>
      <c r="B36" s="97" t="inlineStr">
        <is>
          <t>SANGRIA</t>
        </is>
      </c>
      <c r="C36" s="97" t="inlineStr">
        <is>
          <t>A COQUETEIS</t>
        </is>
      </c>
      <c r="D36" s="98" t="inlineStr">
        <is>
          <t>Produto</t>
        </is>
      </c>
      <c r="E3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6" s="165" t="inlineStr">
        <is>
          <t>4f9751e8-e8f6-42ca-bbef-076e0c942b32</t>
        </is>
      </c>
      <c r="G36" s="166">
        <f>IF(E36="","Inativo",IF(SUMPRODUCT(--(ISNUMBER(SEARCH({"Lapa","Santana","Mariana","Perdizes","André","Tatuapé","Madalena","Carinás","Pavão","Chac"},E36))))&gt;0,"Ativo","Inativo"))</f>
        <v/>
      </c>
    </row>
    <row r="37">
      <c r="A37" s="96" t="inlineStr">
        <is>
          <t>200005</t>
        </is>
      </c>
      <c r="B37" s="97" t="inlineStr">
        <is>
          <t>COQUETEL FRUTAS</t>
        </is>
      </c>
      <c r="C37" s="97" t="inlineStr">
        <is>
          <t>A COQUETEIS</t>
        </is>
      </c>
      <c r="D37" s="98" t="inlineStr">
        <is>
          <t>Produto</t>
        </is>
      </c>
      <c r="E3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7" s="165" t="inlineStr">
        <is>
          <t>6ea0066b-d629-4b0d-bded-aec18285b606</t>
        </is>
      </c>
      <c r="G37" s="166">
        <f>IF(E37="","Inativo",IF(SUMPRODUCT(--(ISNUMBER(SEARCH({"Lapa","Santana","Mariana","Perdizes","André","Tatuapé","Madalena","Carinás","Pavão","Chac"},E37))))&gt;0,"Ativo","Inativo"))</f>
        <v/>
      </c>
    </row>
    <row r="38">
      <c r="A38" s="96" t="inlineStr">
        <is>
          <t>200015</t>
        </is>
      </c>
      <c r="B38" s="97" t="inlineStr">
        <is>
          <t>PINA COLADA</t>
        </is>
      </c>
      <c r="C38" s="97" t="inlineStr">
        <is>
          <t>A COQUETEIS</t>
        </is>
      </c>
      <c r="D38" s="98" t="inlineStr">
        <is>
          <t>Produto</t>
        </is>
      </c>
      <c r="E3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8" s="165" t="inlineStr">
        <is>
          <t>3cdab7aa-c191-4013-8f9c-f6fa05c8270e</t>
        </is>
      </c>
      <c r="G38" s="166">
        <f>IF(E38="","Inativo",IF(SUMPRODUCT(--(ISNUMBER(SEARCH({"Lapa","Santana","Mariana","Perdizes","André","Tatuapé","Madalena","Carinás","Pavão","Chac"},E38))))&gt;0,"Ativo","Inativo"))</f>
        <v/>
      </c>
    </row>
    <row r="39">
      <c r="A39" s="96" t="inlineStr">
        <is>
          <t>200021</t>
        </is>
      </c>
      <c r="B39" s="97" t="inlineStr">
        <is>
          <t>ESPANHOLA</t>
        </is>
      </c>
      <c r="C39" s="97" t="inlineStr">
        <is>
          <t>A COQUETEIS</t>
        </is>
      </c>
      <c r="D39" s="98" t="inlineStr">
        <is>
          <t>Produto</t>
        </is>
      </c>
      <c r="E3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9" s="165" t="inlineStr">
        <is>
          <t>356dfa1c-c8dc-489d-be06-8f725f589f3e</t>
        </is>
      </c>
      <c r="G39" s="166">
        <f>IF(E39="","Inativo",IF(SUMPRODUCT(--(ISNUMBER(SEARCH({"Lapa","Santana","Mariana","Perdizes","André","Tatuapé","Madalena","Carinás","Pavão","Chac"},E39))))&gt;0,"Ativo","Inativo"))</f>
        <v/>
      </c>
    </row>
    <row r="40">
      <c r="A40" s="96" t="inlineStr">
        <is>
          <t>200022</t>
        </is>
      </c>
      <c r="B40" s="97" t="inlineStr">
        <is>
          <t>GIN TÔNICA CLÁSSICO</t>
        </is>
      </c>
      <c r="C40" s="97" t="inlineStr">
        <is>
          <t>A COQUETEIS</t>
        </is>
      </c>
      <c r="D40" s="98" t="inlineStr">
        <is>
          <t>Produto</t>
        </is>
      </c>
      <c r="E4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 s="165" t="inlineStr">
        <is>
          <t>ace98b6d-e50e-4305-9bf8-d6ad5c19a8db</t>
        </is>
      </c>
      <c r="G40" s="166">
        <f>IF(E40="","Inativo",IF(SUMPRODUCT(--(ISNUMBER(SEARCH({"Lapa","Santana","Mariana","Perdizes","André","Tatuapé","Madalena","Carinás","Pavão","Chac"},E40))))&gt;0,"Ativo","Inativo"))</f>
        <v/>
      </c>
    </row>
    <row r="41">
      <c r="A41" s="96" t="inlineStr">
        <is>
          <t>200027</t>
        </is>
      </c>
      <c r="B41" s="97" t="inlineStr">
        <is>
          <t>NEGRONI</t>
        </is>
      </c>
      <c r="C41" s="97" t="inlineStr">
        <is>
          <t>A COQUETEIS</t>
        </is>
      </c>
      <c r="D41" s="98" t="inlineStr">
        <is>
          <t>Produto</t>
        </is>
      </c>
      <c r="E4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1" s="165" t="inlineStr">
        <is>
          <t>e3261381-1562-411c-bff4-10310ab3f824</t>
        </is>
      </c>
      <c r="G41" s="166">
        <f>IF(E41="","Inativo",IF(SUMPRODUCT(--(ISNUMBER(SEARCH({"Lapa","Santana","Mariana","Perdizes","André","Tatuapé","Madalena","Carinás","Pavão","Chac"},E41))))&gt;0,"Ativo","Inativo"))</f>
        <v/>
      </c>
    </row>
    <row r="42">
      <c r="A42" s="96" t="inlineStr">
        <is>
          <t>51565</t>
        </is>
      </c>
      <c r="B42" s="97" t="inlineStr">
        <is>
          <t>APEROL SPRITZ</t>
        </is>
      </c>
      <c r="C42" s="97" t="inlineStr">
        <is>
          <t>A COQUETEIS</t>
        </is>
      </c>
      <c r="D42" s="98" t="inlineStr">
        <is>
          <t>Produto</t>
        </is>
      </c>
      <c r="E4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 s="165" t="inlineStr">
        <is>
          <t>cdc2182d-ffe3-40a4-a2e8-ac0734bbd30e</t>
        </is>
      </c>
      <c r="G42" s="166">
        <f>IF(E42="","Inativo",IF(SUMPRODUCT(--(ISNUMBER(SEARCH({"Lapa","Santana","Mariana","Perdizes","André","Tatuapé","Madalena","Carinás","Pavão","Chac"},E42))))&gt;0,"Ativo","Inativo"))</f>
        <v/>
      </c>
    </row>
    <row r="43">
      <c r="A43" s="96" t="inlineStr">
        <is>
          <t>7898905687138</t>
        </is>
      </c>
      <c r="B43" s="97" t="inlineStr">
        <is>
          <t>COQUETEL JACK APPLE &amp; TONIC</t>
        </is>
      </c>
      <c r="C43" s="97" t="inlineStr">
        <is>
          <t>A COQUETEIS</t>
        </is>
      </c>
      <c r="D43" s="98" t="inlineStr">
        <is>
          <t>Produto</t>
        </is>
      </c>
      <c r="E4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3" s="165" t="inlineStr">
        <is>
          <t>75b67f18-8972-4d65-8144-95604f81bed7</t>
        </is>
      </c>
      <c r="G43" s="166">
        <f>IF(E43="","Inativo",IF(SUMPRODUCT(--(ISNUMBER(SEARCH({"Lapa","Santana","Mariana","Perdizes","André","Tatuapé","Madalena","Carinás","Pavão","Chac"},E43))))&gt;0,"Ativo","Inativo"))</f>
        <v/>
      </c>
    </row>
    <row r="44">
      <c r="A44" s="96" t="inlineStr">
        <is>
          <t>78989056877119</t>
        </is>
      </c>
      <c r="B44" s="97" t="inlineStr">
        <is>
          <t>CARAMELITO</t>
        </is>
      </c>
      <c r="C44" s="97" t="inlineStr">
        <is>
          <t>A COQUETEIS</t>
        </is>
      </c>
      <c r="D44" s="98" t="inlineStr">
        <is>
          <t>Produto</t>
        </is>
      </c>
      <c r="E4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 s="165" t="inlineStr">
        <is>
          <t>34a29457-5614-4faa-9983-b007ebad3f4f</t>
        </is>
      </c>
      <c r="G44" s="166">
        <f>IF(E44="","Inativo",IF(SUMPRODUCT(--(ISNUMBER(SEARCH({"Lapa","Santana","Mariana","Perdizes","André","Tatuapé","Madalena","Carinás","Pavão","Chac"},E44))))&gt;0,"Ativo","Inativo"))</f>
        <v/>
      </c>
    </row>
    <row r="45">
      <c r="A45" s="96" t="inlineStr">
        <is>
          <t>7898905687716</t>
        </is>
      </c>
      <c r="B45" s="97" t="inlineStr">
        <is>
          <t>LONDON MULE</t>
        </is>
      </c>
      <c r="C45" s="97" t="inlineStr">
        <is>
          <t>A COQUETEIS</t>
        </is>
      </c>
      <c r="D45" s="98" t="inlineStr">
        <is>
          <t>Produto</t>
        </is>
      </c>
      <c r="E4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 s="165" t="inlineStr">
        <is>
          <t>d8d0bd43-4101-4012-b6ed-1a17b542c4b0</t>
        </is>
      </c>
      <c r="G45" s="166">
        <f>IF(E45="","Inativo",IF(SUMPRODUCT(--(ISNUMBER(SEARCH({"Lapa","Santana","Mariana","Perdizes","André","Tatuapé","Madalena","Carinás","Pavão","Chac"},E45))))&gt;0,"Ativo","Inativo"))</f>
        <v/>
      </c>
    </row>
    <row r="46">
      <c r="A46" s="96" t="inlineStr">
        <is>
          <t>7898905687717</t>
        </is>
      </c>
      <c r="B46" s="97" t="inlineStr">
        <is>
          <t>MOSCOW MULE GENGIBRE</t>
        </is>
      </c>
      <c r="C46" s="97" t="inlineStr">
        <is>
          <t>A COQUETEIS</t>
        </is>
      </c>
      <c r="D46" s="98" t="inlineStr">
        <is>
          <t>Produto</t>
        </is>
      </c>
      <c r="E4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6" s="165" t="inlineStr">
        <is>
          <t>394f790b-0193-492d-b5b4-9cb67b5c3da9</t>
        </is>
      </c>
      <c r="G46" s="166">
        <f>IF(E46="","Inativo",IF(SUMPRODUCT(--(ISNUMBER(SEARCH({"Lapa","Santana","Mariana","Perdizes","André","Tatuapé","Madalena","Carinás","Pavão","Chac"},E46))))&gt;0,"Ativo","Inativo"))</f>
        <v/>
      </c>
    </row>
    <row r="47">
      <c r="A47" s="96" t="inlineStr">
        <is>
          <t>7898905687718</t>
        </is>
      </c>
      <c r="B47" s="97" t="inlineStr">
        <is>
          <t>SUNSET MULE</t>
        </is>
      </c>
      <c r="C47" s="97" t="inlineStr">
        <is>
          <t>A COQUETEIS</t>
        </is>
      </c>
      <c r="D47" s="98" t="inlineStr">
        <is>
          <t>Produto</t>
        </is>
      </c>
      <c r="E4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7" s="165" t="inlineStr">
        <is>
          <t>bfdafcd1-2e24-48aa-b821-6e0d4f1b9939</t>
        </is>
      </c>
      <c r="G47" s="166">
        <f>IF(E47="","Inativo",IF(SUMPRODUCT(--(ISNUMBER(SEARCH({"Lapa","Santana","Mariana","Perdizes","André","Tatuapé","Madalena","Carinás","Pavão","Chac"},E47))))&gt;0,"Ativo","Inativo"))</f>
        <v/>
      </c>
    </row>
    <row r="48">
      <c r="A48" s="96" t="inlineStr">
        <is>
          <t>78989056877221</t>
        </is>
      </c>
      <c r="B48" s="97" t="inlineStr">
        <is>
          <t>Mint Negroni</t>
        </is>
      </c>
      <c r="C48" s="97" t="inlineStr">
        <is>
          <t>A COQUETEIS</t>
        </is>
      </c>
      <c r="D48" s="98" t="inlineStr">
        <is>
          <t>Produto</t>
        </is>
      </c>
      <c r="E4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 s="165" t="inlineStr">
        <is>
          <t>529da46a-df21-4aeb-ba44-fb142137a941</t>
        </is>
      </c>
      <c r="G48" s="166">
        <f>IF(E48="","Inativo",IF(SUMPRODUCT(--(ISNUMBER(SEARCH({"Lapa","Santana","Mariana","Perdizes","André","Tatuapé","Madalena","Carinás","Pavão","Chac"},E48))))&gt;0,"Ativo","Inativo"))</f>
        <v/>
      </c>
    </row>
    <row r="49">
      <c r="A49" s="96" t="inlineStr">
        <is>
          <t>78989056877222</t>
        </is>
      </c>
      <c r="B49" s="97" t="inlineStr">
        <is>
          <t>Mango Negroni</t>
        </is>
      </c>
      <c r="C49" s="97" t="inlineStr">
        <is>
          <t>A COQUETEIS</t>
        </is>
      </c>
      <c r="D49" s="98" t="inlineStr">
        <is>
          <t>Produto</t>
        </is>
      </c>
      <c r="E4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9" s="165" t="inlineStr">
        <is>
          <t>29e4b745-41db-4da1-81fc-b053d6e01b1a</t>
        </is>
      </c>
      <c r="G49" s="166">
        <f>IF(E49="","Inativo",IF(SUMPRODUCT(--(ISNUMBER(SEARCH({"Lapa","Santana","Mariana","Perdizes","André","Tatuapé","Madalena","Carinás","Pavão","Chac"},E49))))&gt;0,"Ativo","Inativo"))</f>
        <v/>
      </c>
    </row>
    <row r="50">
      <c r="A50" s="96" t="inlineStr">
        <is>
          <t>78989056877223</t>
        </is>
      </c>
      <c r="B50" s="97" t="inlineStr">
        <is>
          <t>Canarinho</t>
        </is>
      </c>
      <c r="C50" s="97" t="inlineStr">
        <is>
          <t>A COQUETEIS</t>
        </is>
      </c>
      <c r="D50" s="98" t="inlineStr">
        <is>
          <t>Produto</t>
        </is>
      </c>
      <c r="E5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0" s="165" t="inlineStr">
        <is>
          <t>3469c32c-ad18-49bb-b74e-3d5ca157c0d4</t>
        </is>
      </c>
      <c r="G50" s="166">
        <f>IF(E50="","Inativo",IF(SUMPRODUCT(--(ISNUMBER(SEARCH({"Lapa","Santana","Mariana","Perdizes","André","Tatuapé","Madalena","Carinás","Pavão","Chac"},E50))))&gt;0,"Ativo","Inativo"))</f>
        <v/>
      </c>
    </row>
    <row r="51">
      <c r="A51" s="96" t="inlineStr">
        <is>
          <t>78989056877224</t>
        </is>
      </c>
      <c r="B51" s="97" t="inlineStr">
        <is>
          <t>Piranga</t>
        </is>
      </c>
      <c r="C51" s="97" t="inlineStr">
        <is>
          <t>A COQUETEIS</t>
        </is>
      </c>
      <c r="D51" s="98" t="inlineStr">
        <is>
          <t>Produto</t>
        </is>
      </c>
      <c r="E5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1" s="165" t="inlineStr">
        <is>
          <t>05942725-0f26-4234-9af7-05f999d60bf7</t>
        </is>
      </c>
      <c r="G51" s="166">
        <f>IF(E51="","Inativo",IF(SUMPRODUCT(--(ISNUMBER(SEARCH({"Lapa","Santana","Mariana","Perdizes","André","Tatuapé","Madalena","Carinás","Pavão","Chac"},E51))))&gt;0,"Ativo","Inativo"))</f>
        <v/>
      </c>
    </row>
    <row r="52">
      <c r="A52" s="96" t="inlineStr">
        <is>
          <t>78989056877225</t>
        </is>
      </c>
      <c r="B52" s="97" t="inlineStr">
        <is>
          <t>Margarita do Quintal</t>
        </is>
      </c>
      <c r="C52" s="97" t="inlineStr">
        <is>
          <t>A COQUETEIS</t>
        </is>
      </c>
      <c r="D52" s="98" t="inlineStr">
        <is>
          <t>Produto</t>
        </is>
      </c>
      <c r="E5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2" s="165" t="inlineStr">
        <is>
          <t>0ee966d7-8db0-4782-ab48-109ffd0c97ce</t>
        </is>
      </c>
      <c r="G52" s="166">
        <f>IF(E52="","Inativo",IF(SUMPRODUCT(--(ISNUMBER(SEARCH({"Lapa","Santana","Mariana","Perdizes","André","Tatuapé","Madalena","Carinás","Pavão","Chac"},E52))))&gt;0,"Ativo","Inativo"))</f>
        <v/>
      </c>
    </row>
    <row r="53">
      <c r="A53" s="96" t="inlineStr">
        <is>
          <t>78989056877226</t>
        </is>
      </c>
      <c r="B53" s="97" t="inlineStr">
        <is>
          <t>Espeto Ice tea</t>
        </is>
      </c>
      <c r="C53" s="97" t="inlineStr">
        <is>
          <t>A COQUETEIS</t>
        </is>
      </c>
      <c r="D53" s="98" t="inlineStr">
        <is>
          <t>Produto</t>
        </is>
      </c>
      <c r="E5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3" s="165" t="inlineStr">
        <is>
          <t>4ca1059c-99df-45d8-89b2-1918463be2b9</t>
        </is>
      </c>
      <c r="G53" s="166">
        <f>IF(E53="","Inativo",IF(SUMPRODUCT(--(ISNUMBER(SEARCH({"Lapa","Santana","Mariana","Perdizes","André","Tatuapé","Madalena","Carinás","Pavão","Chac"},E53))))&gt;0,"Ativo","Inativo"))</f>
        <v/>
      </c>
    </row>
    <row r="54">
      <c r="A54" s="96" t="inlineStr">
        <is>
          <t>78989056877227</t>
        </is>
      </c>
      <c r="B54" s="97" t="inlineStr">
        <is>
          <t>Teajuca</t>
        </is>
      </c>
      <c r="C54" s="97" t="inlineStr">
        <is>
          <t>A COQUETEIS</t>
        </is>
      </c>
      <c r="D54" s="98" t="inlineStr">
        <is>
          <t>Produto</t>
        </is>
      </c>
      <c r="E5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4" s="165" t="inlineStr">
        <is>
          <t>9b575d49-b569-4694-b295-234847c3d14a</t>
        </is>
      </c>
      <c r="G54" s="166">
        <f>IF(E54="","Inativo",IF(SUMPRODUCT(--(ISNUMBER(SEARCH({"Lapa","Santana","Mariana","Perdizes","André","Tatuapé","Madalena","Carinás","Pavão","Chac"},E54))))&gt;0,"Ativo","Inativo"))</f>
        <v/>
      </c>
    </row>
    <row r="55">
      <c r="A55" s="96" t="inlineStr">
        <is>
          <t>78989056877228</t>
        </is>
      </c>
      <c r="B55" s="97" t="inlineStr">
        <is>
          <t>Fitz Florinda</t>
        </is>
      </c>
      <c r="C55" s="97" t="inlineStr">
        <is>
          <t>A COQUETEIS</t>
        </is>
      </c>
      <c r="D55" s="98" t="inlineStr">
        <is>
          <t>Produto</t>
        </is>
      </c>
      <c r="E5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5" s="165" t="inlineStr">
        <is>
          <t>d0e00b7f-a64c-4347-a845-4bb7a63bf664</t>
        </is>
      </c>
      <c r="G55" s="166">
        <f>IF(E55="","Inativo",IF(SUMPRODUCT(--(ISNUMBER(SEARCH({"Lapa","Santana","Mariana","Perdizes","André","Tatuapé","Madalena","Carinás","Pavão","Chac"},E55))))&gt;0,"Ativo","Inativo"))</f>
        <v/>
      </c>
    </row>
    <row r="56">
      <c r="A56" s="96" t="inlineStr">
        <is>
          <t>78989056877229</t>
        </is>
      </c>
      <c r="B56" s="97" t="inlineStr">
        <is>
          <t>Fitz Gerald</t>
        </is>
      </c>
      <c r="C56" s="97" t="inlineStr">
        <is>
          <t>A COQUETEIS</t>
        </is>
      </c>
      <c r="D56" s="98" t="inlineStr">
        <is>
          <t>Produto</t>
        </is>
      </c>
      <c r="E5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56" s="165" t="inlineStr">
        <is>
          <t>6c09cee4-19f8-4a3b-aa2e-7adbd65f744d</t>
        </is>
      </c>
      <c r="G56" s="166">
        <f>IF(E56="","Inativo",IF(SUMPRODUCT(--(ISNUMBER(SEARCH({"Lapa","Santana","Mariana","Perdizes","André","Tatuapé","Madalena","Carinás","Pavão","Chac"},E56))))&gt;0,"Ativo","Inativo"))</f>
        <v/>
      </c>
    </row>
    <row r="57">
      <c r="A57" s="96" t="inlineStr">
        <is>
          <t>78989056877230</t>
        </is>
      </c>
      <c r="B57" s="97" t="inlineStr">
        <is>
          <t>Caju Amigo</t>
        </is>
      </c>
      <c r="C57" s="97" t="inlineStr">
        <is>
          <t>A COQUETEIS</t>
        </is>
      </c>
      <c r="D57" s="98" t="inlineStr">
        <is>
          <t>Produto</t>
        </is>
      </c>
      <c r="E5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7" s="165" t="inlineStr">
        <is>
          <t>384db9e2-f62a-4343-8dc7-bd7e5ece386e</t>
        </is>
      </c>
      <c r="G57" s="166">
        <f>IF(E57="","Inativo",IF(SUMPRODUCT(--(ISNUMBER(SEARCH({"Lapa","Santana","Mariana","Perdizes","André","Tatuapé","Madalena","Carinás","Pavão","Chac"},E57))))&gt;0,"Ativo","Inativo"))</f>
        <v/>
      </c>
    </row>
    <row r="58">
      <c r="A58" s="96" t="inlineStr">
        <is>
          <t>78989056877231</t>
        </is>
      </c>
      <c r="B58" s="97" t="inlineStr">
        <is>
          <t>Boulevardier</t>
        </is>
      </c>
      <c r="C58" s="97" t="inlineStr">
        <is>
          <t>A COQUETEIS</t>
        </is>
      </c>
      <c r="D58" s="98" t="inlineStr">
        <is>
          <t>Produto</t>
        </is>
      </c>
      <c r="E5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8" s="165" t="inlineStr">
        <is>
          <t>d512a7a8-1c15-43f9-ae4d-4bd9e789b9d7</t>
        </is>
      </c>
      <c r="G58" s="166">
        <f>IF(E58="","Inativo",IF(SUMPRODUCT(--(ISNUMBER(SEARCH({"Lapa","Santana","Mariana","Perdizes","André","Tatuapé","Madalena","Carinás","Pavão","Chac"},E58))))&gt;0,"Ativo","Inativo"))</f>
        <v/>
      </c>
    </row>
    <row r="59">
      <c r="A59" s="96" t="inlineStr">
        <is>
          <t>78989056877232</t>
        </is>
      </c>
      <c r="B59" s="97" t="inlineStr">
        <is>
          <t>OldFeshioned</t>
        </is>
      </c>
      <c r="C59" s="97" t="inlineStr">
        <is>
          <t>A COQUETEIS</t>
        </is>
      </c>
      <c r="D59" s="98" t="inlineStr">
        <is>
          <t>Produto</t>
        </is>
      </c>
      <c r="E5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9" s="165" t="inlineStr">
        <is>
          <t>5e312834-c927-4fac-8bb9-b462937527e8</t>
        </is>
      </c>
      <c r="G59" s="166">
        <f>IF(E59="","Inativo",IF(SUMPRODUCT(--(ISNUMBER(SEARCH({"Lapa","Santana","Mariana","Perdizes","André","Tatuapé","Madalena","Carinás","Pavão","Chac"},E59))))&gt;0,"Ativo","Inativo"))</f>
        <v/>
      </c>
    </row>
    <row r="60">
      <c r="A60" s="96" t="inlineStr">
        <is>
          <t>78989056877233</t>
        </is>
      </c>
      <c r="B60" s="97" t="inlineStr">
        <is>
          <t>Penicilin</t>
        </is>
      </c>
      <c r="C60" s="97" t="inlineStr">
        <is>
          <t>A COQUETEIS</t>
        </is>
      </c>
      <c r="D60" s="98" t="inlineStr">
        <is>
          <t>Produto</t>
        </is>
      </c>
      <c r="E6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60" s="165" t="inlineStr">
        <is>
          <t>8ddcb9ff-b5ad-4090-bc69-eddbf1c78c85</t>
        </is>
      </c>
      <c r="G60" s="166">
        <f>IF(E60="","Inativo",IF(SUMPRODUCT(--(ISNUMBER(SEARCH({"Lapa","Santana","Mariana","Perdizes","André","Tatuapé","Madalena","Carinás","Pavão","Chac"},E60))))&gt;0,"Ativo","Inativo"))</f>
        <v/>
      </c>
    </row>
    <row r="61">
      <c r="A61" s="96" t="inlineStr">
        <is>
          <t>78989056877234</t>
        </is>
      </c>
      <c r="B61" s="97" t="inlineStr">
        <is>
          <t>Limoncello Spritz</t>
        </is>
      </c>
      <c r="C61" s="97" t="inlineStr">
        <is>
          <t>A COQUETEIS</t>
        </is>
      </c>
      <c r="D61" s="98" t="inlineStr">
        <is>
          <t>Produto</t>
        </is>
      </c>
      <c r="E6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61" s="165" t="inlineStr">
        <is>
          <t>691e8bdb-a466-48ac-8e37-27079e37b1ce</t>
        </is>
      </c>
      <c r="G61" s="166">
        <f>IF(E61="","Inativo",IF(SUMPRODUCT(--(ISNUMBER(SEARCH({"Lapa","Santana","Mariana","Perdizes","André","Tatuapé","Madalena","Carinás","Pavão","Chac"},E61))))&gt;0,"Ativo","Inativo"))</f>
        <v/>
      </c>
    </row>
    <row r="62">
      <c r="A62" s="96" t="inlineStr">
        <is>
          <t>78989056877235</t>
        </is>
      </c>
      <c r="B62" s="97" t="inlineStr">
        <is>
          <t>Hugo Spriz</t>
        </is>
      </c>
      <c r="C62" s="97" t="inlineStr">
        <is>
          <t>A COQUETEIS</t>
        </is>
      </c>
      <c r="D62" s="98" t="inlineStr">
        <is>
          <t>Produto</t>
        </is>
      </c>
      <c r="E6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62" s="165" t="inlineStr">
        <is>
          <t>e31720c6-487f-42eb-bb00-be863335573b</t>
        </is>
      </c>
      <c r="G62" s="166">
        <f>IF(E62="","Inativo",IF(SUMPRODUCT(--(ISNUMBER(SEARCH({"Lapa","Santana","Mariana","Perdizes","André","Tatuapé","Madalena","Carinás","Pavão","Chac"},E62))))&gt;0,"Ativo","Inativo"))</f>
        <v/>
      </c>
    </row>
    <row r="63">
      <c r="A63" s="96" t="inlineStr">
        <is>
          <t>78989056877236</t>
        </is>
      </c>
      <c r="B63" s="97" t="inlineStr">
        <is>
          <t>Basil Smash</t>
        </is>
      </c>
      <c r="C63" s="97" t="inlineStr">
        <is>
          <t>A COQUETEIS</t>
        </is>
      </c>
      <c r="D63" s="98" t="inlineStr">
        <is>
          <t>Produto</t>
        </is>
      </c>
      <c r="E6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63" s="165" t="inlineStr">
        <is>
          <t>631e0662-b581-477e-b409-9a31dec7d9f8</t>
        </is>
      </c>
      <c r="G63" s="166">
        <f>IF(E63="","Inativo",IF(SUMPRODUCT(--(ISNUMBER(SEARCH({"Lapa","Santana","Mariana","Perdizes","André","Tatuapé","Madalena","Carinás","Pavão","Chac"},E63))))&gt;0,"Ativo","Inativo"))</f>
        <v/>
      </c>
    </row>
    <row r="64">
      <c r="A64" s="96" t="inlineStr">
        <is>
          <t>78989056877237</t>
        </is>
      </c>
      <c r="B64" s="97" t="inlineStr">
        <is>
          <t>Gold Rush</t>
        </is>
      </c>
      <c r="C64" s="97" t="inlineStr">
        <is>
          <t>A COQUETEIS</t>
        </is>
      </c>
      <c r="D64" s="98" t="inlineStr">
        <is>
          <t>Produto</t>
        </is>
      </c>
      <c r="E6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64" s="165" t="inlineStr">
        <is>
          <t>170aec3d-689b-47fb-81d9-9b630735810b</t>
        </is>
      </c>
      <c r="G64" s="166">
        <f>IF(E64="","Inativo",IF(SUMPRODUCT(--(ISNUMBER(SEARCH({"Lapa","Santana","Mariana","Perdizes","André","Tatuapé","Madalena","Carinás","Pavão","Chac"},E64))))&gt;0,"Ativo","Inativo"))</f>
        <v/>
      </c>
    </row>
    <row r="65">
      <c r="A65" s="96" t="inlineStr">
        <is>
          <t>78989056877284</t>
        </is>
      </c>
      <c r="B65" s="97" t="inlineStr">
        <is>
          <t>PURPLE GIN</t>
        </is>
      </c>
      <c r="C65" s="97" t="inlineStr">
        <is>
          <t>A COQUETEIS</t>
        </is>
      </c>
      <c r="D65" s="98" t="inlineStr">
        <is>
          <t>Produto</t>
        </is>
      </c>
      <c r="E6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65" s="165" t="inlineStr">
        <is>
          <t>1445e136-6a78-4630-8f46-f59b8e23517d</t>
        </is>
      </c>
      <c r="G65" s="166">
        <f>IF(E65="","Inativo",IF(SUMPRODUCT(--(ISNUMBER(SEARCH({"Lapa","Santana","Mariana","Perdizes","André","Tatuapé","Madalena","Carinás","Pavão","Chac"},E65))))&gt;0,"Ativo","Inativo"))</f>
        <v/>
      </c>
    </row>
    <row r="66">
      <c r="A66" s="96" t="inlineStr">
        <is>
          <t>78989056877285</t>
        </is>
      </c>
      <c r="B66" s="97" t="inlineStr">
        <is>
          <t>MELÃO VODKA</t>
        </is>
      </c>
      <c r="C66" s="97" t="inlineStr">
        <is>
          <t>A COQUETEIS</t>
        </is>
      </c>
      <c r="D66" s="98" t="inlineStr">
        <is>
          <t>Produto</t>
        </is>
      </c>
      <c r="E6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66" s="165" t="inlineStr">
        <is>
          <t>42476066-9b2c-46dc-ad42-ef761d957c87</t>
        </is>
      </c>
      <c r="G66" s="166">
        <f>IF(E66="","Inativo",IF(SUMPRODUCT(--(ISNUMBER(SEARCH({"Lapa","Santana","Mariana","Perdizes","André","Tatuapé","Madalena","Carinás","Pavão","Chac"},E66))))&gt;0,"Ativo","Inativo"))</f>
        <v/>
      </c>
    </row>
    <row r="67">
      <c r="A67" s="96" t="inlineStr">
        <is>
          <t>78989056877286</t>
        </is>
      </c>
      <c r="B67" s="97" t="inlineStr">
        <is>
          <t>PURPLE VODKA</t>
        </is>
      </c>
      <c r="C67" s="97" t="inlineStr">
        <is>
          <t>A COQUETEIS</t>
        </is>
      </c>
      <c r="D67" s="98" t="inlineStr">
        <is>
          <t>Produto</t>
        </is>
      </c>
      <c r="E6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67" s="165" t="inlineStr">
        <is>
          <t>8e6f586a-90ff-48d1-8331-864fd13cba78</t>
        </is>
      </c>
      <c r="G67" s="166">
        <f>IF(E67="","Inativo",IF(SUMPRODUCT(--(ISNUMBER(SEARCH({"Lapa","Santana","Mariana","Perdizes","André","Tatuapé","Madalena","Carinás","Pavão","Chac"},E67))))&gt;0,"Ativo","Inativo"))</f>
        <v/>
      </c>
    </row>
    <row r="68">
      <c r="A68" s="96" t="inlineStr">
        <is>
          <t>78989056877287</t>
        </is>
      </c>
      <c r="B68" s="97" t="inlineStr">
        <is>
          <t>MELÃO GIN</t>
        </is>
      </c>
      <c r="C68" s="97" t="inlineStr">
        <is>
          <t>A COQUETEIS</t>
        </is>
      </c>
      <c r="D68" s="98" t="inlineStr">
        <is>
          <t>Produto</t>
        </is>
      </c>
      <c r="E6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68" s="165" t="inlineStr">
        <is>
          <t>d6322172-4342-4baf-9a19-f45cd9e0c711</t>
        </is>
      </c>
      <c r="G68" s="166">
        <f>IF(E68="","Inativo",IF(SUMPRODUCT(--(ISNUMBER(SEARCH({"Lapa","Santana","Mariana","Perdizes","André","Tatuapé","Madalena","Carinás","Pavão","Chac"},E68))))&gt;0,"Ativo","Inativo"))</f>
        <v/>
      </c>
    </row>
    <row r="69">
      <c r="A69" s="96" t="inlineStr">
        <is>
          <t>9003155</t>
        </is>
      </c>
      <c r="B69" s="97" t="inlineStr">
        <is>
          <t>GIN TÔNICA PINK</t>
        </is>
      </c>
      <c r="C69" s="97" t="inlineStr">
        <is>
          <t>A COQUETEIS</t>
        </is>
      </c>
      <c r="D69" s="98" t="inlineStr">
        <is>
          <t>Produto</t>
        </is>
      </c>
      <c r="E6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69" s="165" t="inlineStr">
        <is>
          <t>80872a9b-1f9b-4982-a7aa-84a78f868d80</t>
        </is>
      </c>
      <c r="G69" s="166">
        <f>IF(E69="","Inativo",IF(SUMPRODUCT(--(ISNUMBER(SEARCH({"Lapa","Santana","Mariana","Perdizes","André","Tatuapé","Madalena","Carinás","Pavão","Chac"},E69))))&gt;0,"Ativo","Inativo"))</f>
        <v/>
      </c>
    </row>
    <row r="70">
      <c r="A70" s="96" t="inlineStr">
        <is>
          <t>9003156</t>
        </is>
      </c>
      <c r="B70" s="97" t="inlineStr">
        <is>
          <t>TROPICAL GIN</t>
        </is>
      </c>
      <c r="C70" s="97" t="inlineStr">
        <is>
          <t>A COQUETEIS</t>
        </is>
      </c>
      <c r="D70" s="98" t="inlineStr">
        <is>
          <t>Produto</t>
        </is>
      </c>
      <c r="E7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0" s="165" t="inlineStr">
        <is>
          <t>e2ab107a-a79e-4e2e-843a-26b3af1299b2</t>
        </is>
      </c>
      <c r="G70" s="166">
        <f>IF(E70="","Inativo",IF(SUMPRODUCT(--(ISNUMBER(SEARCH({"Lapa","Santana","Mariana","Perdizes","André","Tatuapé","Madalena","Carinás","Pavão","Chac"},E70))))&gt;0,"Ativo","Inativo"))</f>
        <v/>
      </c>
    </row>
    <row r="71">
      <c r="A71" s="96" t="inlineStr">
        <is>
          <t>9003510</t>
        </is>
      </c>
      <c r="B71" s="97" t="inlineStr">
        <is>
          <t>MELANCITA GIN</t>
        </is>
      </c>
      <c r="C71" s="97" t="inlineStr">
        <is>
          <t>A COQUETEIS</t>
        </is>
      </c>
      <c r="D71" s="98" t="inlineStr">
        <is>
          <t>Produto</t>
        </is>
      </c>
      <c r="E7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1" s="165" t="inlineStr">
        <is>
          <t>69a5e3dd-b1d8-4c3d-8dc2-31dce106848f</t>
        </is>
      </c>
      <c r="G71" s="166">
        <f>IF(E71="","Inativo",IF(SUMPRODUCT(--(ISNUMBER(SEARCH({"Lapa","Santana","Mariana","Perdizes","André","Tatuapé","Madalena","Carinás","Pavão","Chac"},E71))))&gt;0,"Ativo","Inativo"))</f>
        <v/>
      </c>
    </row>
    <row r="72">
      <c r="A72" s="96" t="inlineStr">
        <is>
          <t>9003511</t>
        </is>
      </c>
      <c r="B72" s="97" t="inlineStr">
        <is>
          <t>GIN TÔNICA FRUTAS VERMELHAS</t>
        </is>
      </c>
      <c r="C72" s="97" t="inlineStr">
        <is>
          <t>A COQUETEIS</t>
        </is>
      </c>
      <c r="D72" s="98" t="inlineStr">
        <is>
          <t>Produto</t>
        </is>
      </c>
      <c r="E7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2" s="165" t="inlineStr">
        <is>
          <t>095a31f3-367b-46ee-8fa4-5553866d52a2</t>
        </is>
      </c>
      <c r="G72" s="166">
        <f>IF(E72="","Inativo",IF(SUMPRODUCT(--(ISNUMBER(SEARCH({"Lapa","Santana","Mariana","Perdizes","André","Tatuapé","Madalena","Carinás","Pavão","Chac"},E72))))&gt;0,"Ativo","Inativo"))</f>
        <v/>
      </c>
    </row>
    <row r="73">
      <c r="A73" s="96" t="inlineStr">
        <is>
          <t>9003512</t>
        </is>
      </c>
      <c r="B73" s="97" t="inlineStr">
        <is>
          <t>GIN TÔNICA DO QUINTAL</t>
        </is>
      </c>
      <c r="C73" s="97" t="inlineStr">
        <is>
          <t>A COQUETEIS</t>
        </is>
      </c>
      <c r="D73" s="98" t="inlineStr">
        <is>
          <t>Produto</t>
        </is>
      </c>
      <c r="E7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3" s="165" t="inlineStr">
        <is>
          <t>8b1438d7-5e92-44a1-8406-8e5ad554bb35</t>
        </is>
      </c>
      <c r="G73" s="166">
        <f>IF(E73="","Inativo",IF(SUMPRODUCT(--(ISNUMBER(SEARCH({"Lapa","Santana","Mariana","Perdizes","André","Tatuapé","Madalena","Carinás","Pavão","Chac"},E73))))&gt;0,"Ativo","Inativo"))</f>
        <v/>
      </c>
    </row>
    <row r="74">
      <c r="A74" s="96" t="inlineStr">
        <is>
          <t>9003513</t>
        </is>
      </c>
      <c r="B74" s="97" t="inlineStr">
        <is>
          <t>GIN TÔNICA SICILIANO</t>
        </is>
      </c>
      <c r="C74" s="97" t="inlineStr">
        <is>
          <t>A COQUETEIS</t>
        </is>
      </c>
      <c r="D74" s="98" t="inlineStr">
        <is>
          <t>Produto</t>
        </is>
      </c>
      <c r="E7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4" s="165" t="inlineStr">
        <is>
          <t>29b534ef-78cf-46eb-8866-ee92247212c9</t>
        </is>
      </c>
      <c r="G74" s="166">
        <f>IF(E74="","Inativo",IF(SUMPRODUCT(--(ISNUMBER(SEARCH({"Lapa","Santana","Mariana","Perdizes","André","Tatuapé","Madalena","Carinás","Pavão","Chac"},E74))))&gt;0,"Ativo","Inativo"))</f>
        <v/>
      </c>
    </row>
    <row r="75">
      <c r="A75" s="96" t="inlineStr">
        <is>
          <t>9003545</t>
        </is>
      </c>
      <c r="B75" s="97" t="inlineStr">
        <is>
          <t>JACK E COKE</t>
        </is>
      </c>
      <c r="C75" s="97" t="inlineStr">
        <is>
          <t>A COQUETEIS</t>
        </is>
      </c>
      <c r="D75" s="98" t="inlineStr">
        <is>
          <t>Produto</t>
        </is>
      </c>
      <c r="E7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5" s="165" t="inlineStr">
        <is>
          <t>b0db12c6-45e2-4dd9-8710-a4274f45a2bf</t>
        </is>
      </c>
      <c r="G75" s="166">
        <f>IF(E75="","Inativo",IF(SUMPRODUCT(--(ISNUMBER(SEARCH({"Lapa","Santana","Mariana","Perdizes","André","Tatuapé","Madalena","Carinás","Pavão","Chac"},E75))))&gt;0,"Ativo","Inativo"))</f>
        <v/>
      </c>
    </row>
    <row r="76">
      <c r="A76" s="96" t="inlineStr">
        <is>
          <t>7898905687148</t>
        </is>
      </c>
      <c r="B76" s="97" t="inlineStr">
        <is>
          <t>SPATEN LONG NECK</t>
        </is>
      </c>
      <c r="C76" s="97" t="inlineStr">
        <is>
          <t>A CERVEJAS LONG NECK</t>
        </is>
      </c>
      <c r="D76" s="98" t="inlineStr">
        <is>
          <t>Produto</t>
        </is>
      </c>
      <c r="E7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6" s="165" t="inlineStr">
        <is>
          <t>937ddd0c-df23-42d5-a835-390dd11e8c1e</t>
        </is>
      </c>
      <c r="G76" s="166">
        <f>IF(E76="","Inativo",IF(SUMPRODUCT(--(ISNUMBER(SEARCH({"Lapa","Santana","Mariana","Perdizes","André","Tatuapé","Madalena","Carinás","Pavão","Chac"},E76))))&gt;0,"Ativo","Inativo"))</f>
        <v/>
      </c>
    </row>
    <row r="77">
      <c r="A77" s="96" t="inlineStr">
        <is>
          <t>7898905687149</t>
        </is>
      </c>
      <c r="B77" s="97" t="inlineStr">
        <is>
          <t>BECKS LONG NECK</t>
        </is>
      </c>
      <c r="C77" s="97" t="inlineStr">
        <is>
          <t>A CERVEJAS LONG NECK</t>
        </is>
      </c>
      <c r="D77" s="98" t="inlineStr">
        <is>
          <t>Produto</t>
        </is>
      </c>
      <c r="E7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7" s="165" t="inlineStr">
        <is>
          <t>63c101e8-da58-4281-99a6-643994763ff8</t>
        </is>
      </c>
      <c r="G77" s="166">
        <f>IF(E77="","Inativo",IF(SUMPRODUCT(--(ISNUMBER(SEARCH({"Lapa","Santana","Mariana","Perdizes","André","Tatuapé","Madalena","Carinás","Pavão","Chac"},E77))))&gt;0,"Ativo","Inativo"))</f>
        <v/>
      </c>
    </row>
    <row r="78">
      <c r="A78" s="96" t="inlineStr">
        <is>
          <t>7898905687171</t>
        </is>
      </c>
      <c r="B78" s="97" t="inlineStr">
        <is>
          <t>BUDWEISER ZERO</t>
        </is>
      </c>
      <c r="C78" s="97" t="inlineStr">
        <is>
          <t>A CERVEJAS LONG NECK</t>
        </is>
      </c>
      <c r="D78" s="98" t="inlineStr">
        <is>
          <t>Produto</t>
        </is>
      </c>
      <c r="E7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8" s="165" t="inlineStr">
        <is>
          <t>82ff8b5e-a7c4-4956-9449-97700bb5908a</t>
        </is>
      </c>
      <c r="G78" s="166">
        <f>IF(E78="","Inativo",IF(SUMPRODUCT(--(ISNUMBER(SEARCH({"Lapa","Santana","Mariana","Perdizes","André","Tatuapé","Madalena","Carinás","Pavão","Chac"},E78))))&gt;0,"Ativo","Inativo"))</f>
        <v/>
      </c>
    </row>
    <row r="79">
      <c r="A79" s="96" t="inlineStr">
        <is>
          <t>7898905687187</t>
        </is>
      </c>
      <c r="B79" s="97" t="inlineStr">
        <is>
          <t>STELLA LONG S/ GLUTEN</t>
        </is>
      </c>
      <c r="C79" s="97" t="inlineStr">
        <is>
          <t>A CERVEJAS LONG NECK</t>
        </is>
      </c>
      <c r="D79" s="98" t="inlineStr">
        <is>
          <t>Produto</t>
        </is>
      </c>
      <c r="E7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79" s="165" t="inlineStr">
        <is>
          <t>4af6c929-bd83-42d2-9e9a-4edfa86e392a</t>
        </is>
      </c>
      <c r="G79" s="166">
        <f>IF(E79="","Inativo",IF(SUMPRODUCT(--(ISNUMBER(SEARCH({"Lapa","Santana","Mariana","Perdizes","André","Tatuapé","Madalena","Carinás","Pavão","Chac"},E79))))&gt;0,"Ativo","Inativo"))</f>
        <v/>
      </c>
    </row>
    <row r="80">
      <c r="A80" s="96" t="inlineStr">
        <is>
          <t>78989056877305</t>
        </is>
      </c>
      <c r="B80" s="97" t="inlineStr">
        <is>
          <t xml:space="preserve">BALDE DE STELLA LONG </t>
        </is>
      </c>
      <c r="C80" s="97" t="inlineStr">
        <is>
          <t>A CERVEJAS LONG NECK</t>
        </is>
      </c>
      <c r="D80" s="98" t="inlineStr">
        <is>
          <t>Produto</t>
        </is>
      </c>
      <c r="E8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80" s="165" t="inlineStr">
        <is>
          <t>3b7ca5ae-ce46-4545-beb7-f8f74b8d381b</t>
        </is>
      </c>
      <c r="G80" s="166">
        <f>IF(E80="","Inativo",IF(SUMPRODUCT(--(ISNUMBER(SEARCH({"Lapa","Santana","Mariana","Perdizes","André","Tatuapé","Madalena","Carinás","Pavão","Chac"},E80))))&gt;0,"Ativo","Inativo"))</f>
        <v/>
      </c>
    </row>
    <row r="81">
      <c r="A81" s="96" t="inlineStr">
        <is>
          <t>78989056877306</t>
        </is>
      </c>
      <c r="B81" s="97" t="inlineStr">
        <is>
          <t>BALDE DE BECKS LONG</t>
        </is>
      </c>
      <c r="C81" s="97" t="inlineStr">
        <is>
          <t>A CERVEJAS LONG NECK</t>
        </is>
      </c>
      <c r="D81" s="98" t="inlineStr">
        <is>
          <t>Produto</t>
        </is>
      </c>
      <c r="E8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81" s="165" t="inlineStr">
        <is>
          <t>487c45e8-41e7-4007-b722-15014115c748</t>
        </is>
      </c>
      <c r="G81" s="166">
        <f>IF(E81="","Inativo",IF(SUMPRODUCT(--(ISNUMBER(SEARCH({"Lapa","Santana","Mariana","Perdizes","André","Tatuapé","Madalena","Carinás","Pavão","Chac"},E81))))&gt;0,"Ativo","Inativo"))</f>
        <v/>
      </c>
    </row>
    <row r="82">
      <c r="A82" s="96" t="inlineStr">
        <is>
          <t>78989056877307</t>
        </is>
      </c>
      <c r="B82" s="97" t="inlineStr">
        <is>
          <t>BALDE DE SPATEN LONG</t>
        </is>
      </c>
      <c r="C82" s="97" t="inlineStr">
        <is>
          <t>A CERVEJAS LONG NECK</t>
        </is>
      </c>
      <c r="D82" s="98" t="inlineStr">
        <is>
          <t>Produto</t>
        </is>
      </c>
      <c r="E8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82" s="165" t="inlineStr">
        <is>
          <t>e1bae88b-f3e8-4259-8577-32867e5e25ad</t>
        </is>
      </c>
      <c r="G82" s="166">
        <f>IF(E82="","Inativo",IF(SUMPRODUCT(--(ISNUMBER(SEARCH({"Lapa","Santana","Mariana","Perdizes","André","Tatuapé","Madalena","Carinás","Pavão","Chac"},E82))))&gt;0,"Ativo","Inativo"))</f>
        <v/>
      </c>
    </row>
    <row r="83">
      <c r="A83" s="96" t="inlineStr">
        <is>
          <t>78989056877308</t>
        </is>
      </c>
      <c r="B83" s="97" t="inlineStr">
        <is>
          <t>BALDE DE CORONA LONG</t>
        </is>
      </c>
      <c r="C83" s="97" t="inlineStr">
        <is>
          <t>A CERVEJAS LONG NECK</t>
        </is>
      </c>
      <c r="D83" s="98" t="inlineStr">
        <is>
          <t>Produto</t>
        </is>
      </c>
      <c r="E8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83" s="165" t="inlineStr">
        <is>
          <t>b5a685c1-ca0e-4416-ab9a-a7dc7777e2a4</t>
        </is>
      </c>
      <c r="G83" s="166">
        <f>IF(E83="","Inativo",IF(SUMPRODUCT(--(ISNUMBER(SEARCH({"Lapa","Santana","Mariana","Perdizes","André","Tatuapé","Madalena","Carinás","Pavão","Chac"},E83))))&gt;0,"Ativo","Inativo"))</f>
        <v/>
      </c>
    </row>
    <row r="84">
      <c r="A84" s="96" t="inlineStr">
        <is>
          <t>78989056877318</t>
        </is>
      </c>
      <c r="B84" s="97" t="inlineStr">
        <is>
          <t>BALDE BUDWEISER LONG</t>
        </is>
      </c>
      <c r="C84" s="97" t="inlineStr">
        <is>
          <t>A CERVEJAS LONG NECK</t>
        </is>
      </c>
      <c r="D84" s="98" t="inlineStr">
        <is>
          <t>Produto</t>
        </is>
      </c>
      <c r="E84" s="164" t="inlineStr">
        <is>
          <t>Quintal do Espeto Santo André</t>
        </is>
      </c>
      <c r="F84" s="165" t="inlineStr">
        <is>
          <t>1b484b45-697d-4902-8891-17b46a4cb0a6</t>
        </is>
      </c>
      <c r="G84" s="166">
        <f>IF(E84="","Inativo",IF(SUMPRODUCT(--(ISNUMBER(SEARCH({"Lapa","Santana","Mariana","Perdizes","André","Tatuapé","Madalena","Carinás","Pavão","Chac"},E84))))&gt;0,"Ativo","Inativo"))</f>
        <v/>
      </c>
    </row>
    <row r="85">
      <c r="A85" s="96" t="inlineStr">
        <is>
          <t>78989056877319</t>
        </is>
      </c>
      <c r="B85" s="97" t="inlineStr">
        <is>
          <t>BALDE BUDWEISER ZERO LONG</t>
        </is>
      </c>
      <c r="C85" s="97" t="inlineStr">
        <is>
          <t>A CERVEJAS LONG NECK</t>
        </is>
      </c>
      <c r="D85" s="98" t="inlineStr">
        <is>
          <t>Produto</t>
        </is>
      </c>
      <c r="E85" s="164" t="inlineStr">
        <is>
          <t>Quintal do Espeto Santo André</t>
        </is>
      </c>
      <c r="F85" s="165" t="inlineStr">
        <is>
          <t>6ccc0645-6fcd-4649-86be-c5eb4a6d81d7</t>
        </is>
      </c>
      <c r="G85" s="166">
        <f>IF(E85="","Inativo",IF(SUMPRODUCT(--(ISNUMBER(SEARCH({"Lapa","Santana","Mariana","Perdizes","André","Tatuapé","Madalena","Carinás","Pavão","Chac"},E85))))&gt;0,"Ativo","Inativo"))</f>
        <v/>
      </c>
    </row>
    <row r="86">
      <c r="A86" s="96" t="inlineStr">
        <is>
          <t>78989056877320</t>
        </is>
      </c>
      <c r="B86" s="97" t="inlineStr">
        <is>
          <t>BALDE CORONA ZERO LONG</t>
        </is>
      </c>
      <c r="C86" s="97" t="inlineStr">
        <is>
          <t>A CERVEJAS LONG NECK</t>
        </is>
      </c>
      <c r="D86" s="98" t="inlineStr">
        <is>
          <t>Produto</t>
        </is>
      </c>
      <c r="E86" s="164" t="inlineStr">
        <is>
          <t>Quintal do Espeto Santo André</t>
        </is>
      </c>
      <c r="F86" s="165" t="inlineStr">
        <is>
          <t>ccf96cce-97f3-4606-a24a-91c5d52f94f9</t>
        </is>
      </c>
      <c r="G86" s="166">
        <f>IF(E86="","Inativo",IF(SUMPRODUCT(--(ISNUMBER(SEARCH({"Lapa","Santana","Mariana","Perdizes","André","Tatuapé","Madalena","Carinás","Pavão","Chac"},E86))))&gt;0,"Ativo","Inativo"))</f>
        <v/>
      </c>
    </row>
    <row r="87">
      <c r="A87" s="96" t="inlineStr">
        <is>
          <t>78989956877327</t>
        </is>
      </c>
      <c r="B87" s="97" t="inlineStr">
        <is>
          <t>BALDE DE STELLA LONG SEM GLUTEN</t>
        </is>
      </c>
      <c r="C87" s="97" t="inlineStr">
        <is>
          <t>A CERVEJAS LONG NECK</t>
        </is>
      </c>
      <c r="D87" s="98" t="inlineStr">
        <is>
          <t>Produto</t>
        </is>
      </c>
      <c r="E8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87" s="165" t="inlineStr">
        <is>
          <t>64d81226-9fa9-405c-883d-e33fd1b59b5f</t>
        </is>
      </c>
      <c r="G87" s="166">
        <f>IF(E87="","Inativo",IF(SUMPRODUCT(--(ISNUMBER(SEARCH({"Lapa","Santana","Mariana","Perdizes","André","Tatuapé","Madalena","Carinás","Pavão","Chac"},E87))))&gt;0,"Ativo","Inativo"))</f>
        <v/>
      </c>
    </row>
    <row r="88">
      <c r="A88" s="96" t="inlineStr">
        <is>
          <t>80003</t>
        </is>
      </c>
      <c r="B88" s="97" t="inlineStr">
        <is>
          <t>MALZEBIER LONG</t>
        </is>
      </c>
      <c r="C88" s="97" t="inlineStr">
        <is>
          <t>A CERVEJAS LONG NECK</t>
        </is>
      </c>
      <c r="D88" s="98" t="inlineStr">
        <is>
          <t>Produto</t>
        </is>
      </c>
      <c r="E8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88" s="165" t="inlineStr">
        <is>
          <t>ec36fac2-4527-4926-abfb-5a4ea739e424</t>
        </is>
      </c>
      <c r="G88" s="166">
        <f>IF(E88="","Inativo",IF(SUMPRODUCT(--(ISNUMBER(SEARCH({"Lapa","Santana","Mariana","Perdizes","André","Tatuapé","Madalena","Carinás","Pavão","Chac"},E88))))&gt;0,"Ativo","Inativo"))</f>
        <v/>
      </c>
    </row>
    <row r="89">
      <c r="A89" s="96" t="inlineStr">
        <is>
          <t>80006</t>
        </is>
      </c>
      <c r="B89" s="97" t="inlineStr">
        <is>
          <t>BUDWEISER LONG</t>
        </is>
      </c>
      <c r="C89" s="97" t="inlineStr">
        <is>
          <t>A CERVEJAS LONG NECK</t>
        </is>
      </c>
      <c r="D89" s="98" t="inlineStr">
        <is>
          <t>Produto</t>
        </is>
      </c>
      <c r="E8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89" s="165" t="inlineStr">
        <is>
          <t>45312941-0200-4ef8-9dfe-a37fc9b6fe4e</t>
        </is>
      </c>
      <c r="G89" s="166">
        <f>IF(E89="","Inativo",IF(SUMPRODUCT(--(ISNUMBER(SEARCH({"Lapa","Santana","Mariana","Perdizes","André","Tatuapé","Madalena","Carinás","Pavão","Chac"},E89))))&gt;0,"Ativo","Inativo"))</f>
        <v/>
      </c>
    </row>
    <row r="90">
      <c r="A90" s="96" t="inlineStr">
        <is>
          <t>80007</t>
        </is>
      </c>
      <c r="B90" s="97" t="inlineStr">
        <is>
          <t>STELLA LONG</t>
        </is>
      </c>
      <c r="C90" s="97" t="inlineStr">
        <is>
          <t>A CERVEJAS LONG NECK</t>
        </is>
      </c>
      <c r="D90" s="98" t="inlineStr">
        <is>
          <t>Produto</t>
        </is>
      </c>
      <c r="E9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90" s="165" t="inlineStr">
        <is>
          <t>c54dfaa0-e2e3-4388-bc30-8857ae97ff9a</t>
        </is>
      </c>
      <c r="G90" s="166">
        <f>IF(E90="","Inativo",IF(SUMPRODUCT(--(ISNUMBER(SEARCH({"Lapa","Santana","Mariana","Perdizes","André","Tatuapé","Madalena","Carinás","Pavão","Chac"},E90))))&gt;0,"Ativo","Inativo"))</f>
        <v/>
      </c>
    </row>
    <row r="91">
      <c r="A91" s="96" t="inlineStr">
        <is>
          <t>80008</t>
        </is>
      </c>
      <c r="B91" s="97" t="inlineStr">
        <is>
          <t xml:space="preserve">BRAHMA ZERO </t>
        </is>
      </c>
      <c r="C91" s="97" t="inlineStr">
        <is>
          <t>A CERVEJAS LONG NECK</t>
        </is>
      </c>
      <c r="D91" s="98" t="inlineStr">
        <is>
          <t>Produto</t>
        </is>
      </c>
      <c r="E91" s="164" t="inlineStr">
        <is>
          <t>Quintal do Espeto Carinás, Quintal do Espeto Recargas/Bônus</t>
        </is>
      </c>
      <c r="F91" s="165" t="inlineStr">
        <is>
          <t>8812d3f1-ddc3-4639-85cf-465f87b1d224</t>
        </is>
      </c>
      <c r="G91" s="166">
        <f>IF(E91="","Inativo",IF(SUMPRODUCT(--(ISNUMBER(SEARCH({"Lapa","Santana","Mariana","Perdizes","André","Tatuapé","Madalena","Carinás","Pavão","Chac"},E91))))&gt;0,"Ativo","Inativo"))</f>
        <v/>
      </c>
    </row>
    <row r="92">
      <c r="A92" s="96" t="inlineStr">
        <is>
          <t>10031</t>
        </is>
      </c>
      <c r="B92" s="97" t="inlineStr">
        <is>
          <t>BOVINO</t>
        </is>
      </c>
      <c r="C92" s="97" t="inlineStr">
        <is>
          <t>ESPETOS CLÁSSICOS</t>
        </is>
      </c>
      <c r="D92" s="98" t="inlineStr">
        <is>
          <t>Produto</t>
        </is>
      </c>
      <c r="E9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2" s="165" t="inlineStr">
        <is>
          <t>b5cdb9cf-21ed-45d3-a628-9110f51274bc</t>
        </is>
      </c>
      <c r="G92" s="166">
        <f>IF(E92="","Inativo",IF(SUMPRODUCT(--(ISNUMBER(SEARCH({"Lapa","Santana","Mariana","Perdizes","André","Tatuapé","Madalena","Carinás","Pavão","Chac"},E92))))&gt;0,"Ativo","Inativo"))</f>
        <v/>
      </c>
    </row>
    <row r="93">
      <c r="A93" s="96" t="inlineStr">
        <is>
          <t>10032</t>
        </is>
      </c>
      <c r="B93" s="97" t="inlineStr">
        <is>
          <t>CALABRESA C/ PIMENTA</t>
        </is>
      </c>
      <c r="C93" s="97" t="inlineStr">
        <is>
          <t>ESPETOS CLÁSSICOS</t>
        </is>
      </c>
      <c r="D93" s="98" t="inlineStr">
        <is>
          <t>Produto</t>
        </is>
      </c>
      <c r="E9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3" s="165" t="inlineStr">
        <is>
          <t>52578cad-1949-47d8-b875-a6c375a21aa9</t>
        </is>
      </c>
      <c r="G93" s="166">
        <f>IF(E93="","Inativo",IF(SUMPRODUCT(--(ISNUMBER(SEARCH({"Lapa","Santana","Mariana","Perdizes","André","Tatuapé","Madalena","Carinás","Pavão","Chac"},E93))))&gt;0,"Ativo","Inativo"))</f>
        <v/>
      </c>
    </row>
    <row r="94">
      <c r="A94" s="96" t="inlineStr">
        <is>
          <t>10033</t>
        </is>
      </c>
      <c r="B94" s="97" t="inlineStr">
        <is>
          <t>CALABRESA S/ PIMENTA</t>
        </is>
      </c>
      <c r="C94" s="97" t="inlineStr">
        <is>
          <t>ESPETOS CLÁSSICOS</t>
        </is>
      </c>
      <c r="D94" s="98" t="inlineStr">
        <is>
          <t>Produto</t>
        </is>
      </c>
      <c r="E94"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4" s="165" t="inlineStr">
        <is>
          <t>d5eb0b71-c5e6-48f8-9acb-c72631d11d99</t>
        </is>
      </c>
      <c r="G94" s="166">
        <f>IF(E94="","Inativo",IF(SUMPRODUCT(--(ISNUMBER(SEARCH({"Lapa","Santana","Mariana","Perdizes","André","Tatuapé","Madalena","Carinás","Pavão","Chac"},E94))))&gt;0,"Ativo","Inativo"))</f>
        <v/>
      </c>
    </row>
    <row r="95">
      <c r="A95" s="96" t="inlineStr">
        <is>
          <t>10034</t>
        </is>
      </c>
      <c r="B95" s="97" t="inlineStr">
        <is>
          <t>CORACAO</t>
        </is>
      </c>
      <c r="C95" s="97" t="inlineStr">
        <is>
          <t>ESPETOS CLÁSSICOS</t>
        </is>
      </c>
      <c r="D95" s="98" t="inlineStr">
        <is>
          <t>Produto</t>
        </is>
      </c>
      <c r="E95"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5" s="165" t="inlineStr">
        <is>
          <t>95461587-7b26-4fe3-8d60-01bcf249e6ee</t>
        </is>
      </c>
      <c r="G95" s="166">
        <f>IF(E95="","Inativo",IF(SUMPRODUCT(--(ISNUMBER(SEARCH({"Lapa","Santana","Mariana","Perdizes","André","Tatuapé","Madalena","Carinás","Pavão","Chac"},E95))))&gt;0,"Ativo","Inativo"))</f>
        <v/>
      </c>
    </row>
    <row r="96">
      <c r="A96" s="96" t="inlineStr">
        <is>
          <t>10036</t>
        </is>
      </c>
      <c r="B96" s="97" t="inlineStr">
        <is>
          <t>FRANGO</t>
        </is>
      </c>
      <c r="C96" s="97" t="inlineStr">
        <is>
          <t>ESPETOS CLÁSSICOS</t>
        </is>
      </c>
      <c r="D96" s="98" t="inlineStr">
        <is>
          <t>Produto</t>
        </is>
      </c>
      <c r="E96"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6" s="165" t="inlineStr">
        <is>
          <t>a632824b-2eea-47f3-a52b-57fb2aba1a58</t>
        </is>
      </c>
      <c r="G96" s="166">
        <f>IF(E96="","Inativo",IF(SUMPRODUCT(--(ISNUMBER(SEARCH({"Lapa","Santana","Mariana","Perdizes","André","Tatuapé","Madalena","Carinás","Pavão","Chac"},E96))))&gt;0,"Ativo","Inativo"))</f>
        <v/>
      </c>
    </row>
    <row r="97">
      <c r="A97" s="96" t="inlineStr">
        <is>
          <t>10037</t>
        </is>
      </c>
      <c r="B97" s="97" t="inlineStr">
        <is>
          <t>KAFTA</t>
        </is>
      </c>
      <c r="C97" s="97" t="inlineStr">
        <is>
          <t>ESPETOS CLÁSSICOS</t>
        </is>
      </c>
      <c r="D97" s="98" t="inlineStr">
        <is>
          <t>Produto</t>
        </is>
      </c>
      <c r="E97"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7" s="165" t="inlineStr">
        <is>
          <t>94eb566b-7a87-4e05-950a-3f85835c6547</t>
        </is>
      </c>
      <c r="G97" s="166">
        <f>IF(E97="","Inativo",IF(SUMPRODUCT(--(ISNUMBER(SEARCH({"Lapa","Santana","Mariana","Perdizes","André","Tatuapé","Madalena","Carinás","Pavão","Chac"},E97))))&gt;0,"Ativo","Inativo"))</f>
        <v/>
      </c>
    </row>
    <row r="98">
      <c r="A98" s="96" t="inlineStr">
        <is>
          <t>10038</t>
        </is>
      </c>
      <c r="B98" s="97" t="inlineStr">
        <is>
          <t>PAO DE ALHO</t>
        </is>
      </c>
      <c r="C98" s="97" t="inlineStr">
        <is>
          <t>ESPETOS CLÁSSICOS</t>
        </is>
      </c>
      <c r="D98" s="98" t="inlineStr">
        <is>
          <t>Produto</t>
        </is>
      </c>
      <c r="E98"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8" s="165" t="inlineStr">
        <is>
          <t>8ce8d470-6d70-4f8d-a4a8-eef69799c9be</t>
        </is>
      </c>
      <c r="G98" s="166">
        <f>IF(E98="","Inativo",IF(SUMPRODUCT(--(ISNUMBER(SEARCH({"Lapa","Santana","Mariana","Perdizes","André","Tatuapé","Madalena","Carinás","Pavão","Chac"},E98))))&gt;0,"Ativo","Inativo"))</f>
        <v/>
      </c>
    </row>
    <row r="99">
      <c r="A99" s="96" t="inlineStr">
        <is>
          <t>10040</t>
        </is>
      </c>
      <c r="B99" s="97" t="inlineStr">
        <is>
          <t>SALSICHAO</t>
        </is>
      </c>
      <c r="C99" s="97" t="inlineStr">
        <is>
          <t>ESPETOS CLÁSSICOS</t>
        </is>
      </c>
      <c r="D99" s="98" t="inlineStr">
        <is>
          <t>Produto</t>
        </is>
      </c>
      <c r="E99"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99" s="165" t="inlineStr">
        <is>
          <t>2fd7485c-37cc-4cd9-a794-e27671d77c22</t>
        </is>
      </c>
      <c r="G99" s="166">
        <f>IF(E99="","Inativo",IF(SUMPRODUCT(--(ISNUMBER(SEARCH({"Lapa","Santana","Mariana","Perdizes","André","Tatuapé","Madalena","Carinás","Pavão","Chac"},E99))))&gt;0,"Ativo","Inativo"))</f>
        <v/>
      </c>
    </row>
    <row r="100">
      <c r="A100" s="96" t="inlineStr">
        <is>
          <t>10043</t>
        </is>
      </c>
      <c r="B100" s="97" t="inlineStr">
        <is>
          <t>PANCETA</t>
        </is>
      </c>
      <c r="C100" s="97" t="inlineStr">
        <is>
          <t>ESPETOS CLÁSSICOS</t>
        </is>
      </c>
      <c r="D100" s="98" t="inlineStr">
        <is>
          <t>Produto</t>
        </is>
      </c>
      <c r="E10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00" s="165" t="inlineStr">
        <is>
          <t>c80c2e4b-0c53-4609-a8ac-d493155405c4</t>
        </is>
      </c>
      <c r="G100" s="166">
        <f>IF(E100="","Inativo",IF(SUMPRODUCT(--(ISNUMBER(SEARCH({"Lapa","Santana","Mariana","Perdizes","André","Tatuapé","Madalena","Carinás","Pavão","Chac"},E100))))&gt;0,"Ativo","Inativo"))</f>
        <v/>
      </c>
    </row>
    <row r="101">
      <c r="A101" s="96" t="inlineStr">
        <is>
          <t>789890568773450</t>
        </is>
      </c>
      <c r="B101" s="97" t="inlineStr">
        <is>
          <t>ESPETO BOVINO TURBO</t>
        </is>
      </c>
      <c r="C101" s="97" t="inlineStr">
        <is>
          <t>ESPETOS CLÁSSICOS</t>
        </is>
      </c>
      <c r="D101" s="98" t="inlineStr">
        <is>
          <t>Produto</t>
        </is>
      </c>
      <c r="E101" s="164" t="inlineStr">
        <is>
          <t>Delivery Carinás, Delivery Tatuapé, Delivery Santo André, Delivery Santana</t>
        </is>
      </c>
      <c r="F101" s="165" t="inlineStr">
        <is>
          <t>35d561ae-52fe-482a-9910-050e30948e7f</t>
        </is>
      </c>
      <c r="G101" s="166">
        <f>IF(E101="","Inativo",IF(SUMPRODUCT(--(ISNUMBER(SEARCH({"Lapa","Santana","Mariana","Perdizes","André","Tatuapé","Madalena","Carinás","Pavão","Chac"},E101))))&gt;0,"Ativo","Inativo"))</f>
        <v/>
      </c>
    </row>
    <row r="102">
      <c r="A102" s="96" t="inlineStr">
        <is>
          <t>789890568773451</t>
        </is>
      </c>
      <c r="B102" s="97" t="inlineStr">
        <is>
          <t>ESPETO CALABRESA SEM PIMENTA - TURBO</t>
        </is>
      </c>
      <c r="C102" s="97" t="inlineStr">
        <is>
          <t>ESPETOS CLÁSSICOS</t>
        </is>
      </c>
      <c r="D102" s="98" t="inlineStr">
        <is>
          <t>Produto</t>
        </is>
      </c>
      <c r="E102" s="164" t="inlineStr">
        <is>
          <t>Delivery Carinás, Delivery Tatuapé, Delivery Santo André, Delivery Santana</t>
        </is>
      </c>
      <c r="F102" s="165" t="inlineStr">
        <is>
          <t>877b7f7e-d832-4c64-8dfe-de8bf8a297ba</t>
        </is>
      </c>
      <c r="G102" s="166">
        <f>IF(E102="","Inativo",IF(SUMPRODUCT(--(ISNUMBER(SEARCH({"Lapa","Santana","Mariana","Perdizes","André","Tatuapé","Madalena","Carinás","Pavão","Chac"},E102))))&gt;0,"Ativo","Inativo"))</f>
        <v/>
      </c>
    </row>
    <row r="103">
      <c r="A103" s="96" t="inlineStr">
        <is>
          <t>789890568773452</t>
        </is>
      </c>
      <c r="B103" s="97" t="inlineStr">
        <is>
          <t>ESPETO CALABRESA COM PIMENTA - TURBO</t>
        </is>
      </c>
      <c r="C103" s="97" t="inlineStr">
        <is>
          <t>ESPETOS CLÁSSICOS</t>
        </is>
      </c>
      <c r="D103" s="98" t="inlineStr">
        <is>
          <t>Produto</t>
        </is>
      </c>
      <c r="E103" s="164" t="inlineStr">
        <is>
          <t>Delivery Carinás, Delivery Tatuapé, Delivery Santo André, Delivery Santana</t>
        </is>
      </c>
      <c r="F103" s="165" t="inlineStr">
        <is>
          <t>b415f0e3-3bfb-4440-8d50-447ec67981e4</t>
        </is>
      </c>
      <c r="G103" s="166">
        <f>IF(E103="","Inativo",IF(SUMPRODUCT(--(ISNUMBER(SEARCH({"Lapa","Santana","Mariana","Perdizes","André","Tatuapé","Madalena","Carinás","Pavão","Chac"},E103))))&gt;0,"Ativo","Inativo"))</f>
        <v/>
      </c>
    </row>
    <row r="104">
      <c r="A104" s="96" t="inlineStr">
        <is>
          <t>789890568773453</t>
        </is>
      </c>
      <c r="B104" s="97" t="inlineStr">
        <is>
          <t>ESPETO DE CORAÇÃO FRANGO - TURBO</t>
        </is>
      </c>
      <c r="C104" s="97" t="inlineStr">
        <is>
          <t>ESPETOS CLÁSSICOS</t>
        </is>
      </c>
      <c r="D104" s="98" t="inlineStr">
        <is>
          <t>Produto</t>
        </is>
      </c>
      <c r="E104" s="164" t="inlineStr">
        <is>
          <t>Delivery Carinás, Delivery Tatuapé, Delivery Santo André, Delivery Santana</t>
        </is>
      </c>
      <c r="F104" s="165" t="inlineStr">
        <is>
          <t>36d52214-82c3-41c8-b1a2-82bdb3151516</t>
        </is>
      </c>
      <c r="G104" s="166">
        <f>IF(E104="","Inativo",IF(SUMPRODUCT(--(ISNUMBER(SEARCH({"Lapa","Santana","Mariana","Perdizes","André","Tatuapé","Madalena","Carinás","Pavão","Chac"},E104))))&gt;0,"Ativo","Inativo"))</f>
        <v/>
      </c>
    </row>
    <row r="105">
      <c r="A105" s="96" t="inlineStr">
        <is>
          <t>789890568773454</t>
        </is>
      </c>
      <c r="B105" s="97" t="inlineStr">
        <is>
          <t>ESPETO DE FRANGO - TURBO</t>
        </is>
      </c>
      <c r="C105" s="97" t="inlineStr">
        <is>
          <t>ESPETOS CLÁSSICOS</t>
        </is>
      </c>
      <c r="D105" s="98" t="inlineStr">
        <is>
          <t>Produto</t>
        </is>
      </c>
      <c r="E105" s="164" t="inlineStr">
        <is>
          <t>Delivery Carinás, Delivery Tatuapé, Delivery Santo André, Delivery Santana</t>
        </is>
      </c>
      <c r="F105" s="165" t="inlineStr">
        <is>
          <t>4666510e-37e3-4b8f-929e-9175c4ef91c9</t>
        </is>
      </c>
      <c r="G105" s="166">
        <f>IF(E105="","Inativo",IF(SUMPRODUCT(--(ISNUMBER(SEARCH({"Lapa","Santana","Mariana","Perdizes","André","Tatuapé","Madalena","Carinás","Pavão","Chac"},E105))))&gt;0,"Ativo","Inativo"))</f>
        <v/>
      </c>
    </row>
    <row r="106">
      <c r="A106" s="96" t="inlineStr">
        <is>
          <t>9003135</t>
        </is>
      </c>
      <c r="B106" s="97" t="inlineStr">
        <is>
          <t>CLÁSSICOS</t>
        </is>
      </c>
      <c r="C106" s="97" t="inlineStr">
        <is>
          <t>ESPETOS CLÁSSICOS</t>
        </is>
      </c>
      <c r="D106" s="98" t="inlineStr">
        <is>
          <t>Produto</t>
        </is>
      </c>
      <c r="E106" s="164" t="n"/>
      <c r="F106" s="165" t="inlineStr">
        <is>
          <t>7c37ccec-69fe-4406-8f87-e7705fa70c78</t>
        </is>
      </c>
      <c r="G106" s="166">
        <f>IF(E106="","Inativo",IF(SUMPRODUCT(--(ISNUMBER(SEARCH({"Lapa","Santana","Mariana","Perdizes","André","Tatuapé","Madalena","Carinás","Pavão","Chac"},E106))))&gt;0,"Ativo","Inativo"))</f>
        <v/>
      </c>
    </row>
    <row r="107">
      <c r="A107" s="96" t="inlineStr">
        <is>
          <t>10042</t>
        </is>
      </c>
      <c r="B107" s="97" t="inlineStr">
        <is>
          <t>CUIABANA</t>
        </is>
      </c>
      <c r="C107" s="97" t="inlineStr">
        <is>
          <t>SELEÇÃO PREMIUM</t>
        </is>
      </c>
      <c r="D107" s="98" t="inlineStr">
        <is>
          <t>Produto</t>
        </is>
      </c>
      <c r="E107"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07" s="165" t="inlineStr">
        <is>
          <t>15b991d9-ea2d-4451-98d9-14cbcbe06474</t>
        </is>
      </c>
      <c r="G107" s="166">
        <f>IF(E107="","Inativo",IF(SUMPRODUCT(--(ISNUMBER(SEARCH({"Lapa","Santana","Mariana","Perdizes","André","Tatuapé","Madalena","Carinás","Pavão","Chac"},E107))))&gt;0,"Ativo","Inativo"))</f>
        <v/>
      </c>
    </row>
    <row r="108">
      <c r="A108" s="96" t="inlineStr">
        <is>
          <t>40001</t>
        </is>
      </c>
      <c r="B108" s="97" t="inlineStr">
        <is>
          <t>CAMARAO BRASA</t>
        </is>
      </c>
      <c r="C108" s="97" t="inlineStr">
        <is>
          <t>SELEÇÃO PREMIUM</t>
        </is>
      </c>
      <c r="D108" s="98" t="inlineStr">
        <is>
          <t>Produto</t>
        </is>
      </c>
      <c r="E108"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08" s="165" t="inlineStr">
        <is>
          <t>69870b84-fb9c-48dd-94a1-54033b4c6dac</t>
        </is>
      </c>
      <c r="G108" s="166">
        <f>IF(E108="","Inativo",IF(SUMPRODUCT(--(ISNUMBER(SEARCH({"Lapa","Santana","Mariana","Perdizes","André","Tatuapé","Madalena","Carinás","Pavão","Chac"},E108))))&gt;0,"Ativo","Inativo"))</f>
        <v/>
      </c>
    </row>
    <row r="109">
      <c r="A109" s="96" t="inlineStr">
        <is>
          <t>40007</t>
        </is>
      </c>
      <c r="B109" s="97" t="inlineStr">
        <is>
          <t>SHIMEJI</t>
        </is>
      </c>
      <c r="C109" s="97" t="inlineStr">
        <is>
          <t>SELEÇÃO PREMIUM</t>
        </is>
      </c>
      <c r="D109" s="98" t="inlineStr">
        <is>
          <t>Produto</t>
        </is>
      </c>
      <c r="E10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09" s="165" t="inlineStr">
        <is>
          <t>95eaa444-8382-40d2-8515-3096508b7104</t>
        </is>
      </c>
      <c r="G109" s="166">
        <f>IF(E109="","Inativo",IF(SUMPRODUCT(--(ISNUMBER(SEARCH({"Lapa","Santana","Mariana","Perdizes","André","Tatuapé","Madalena","Carinás","Pavão","Chac"},E109))))&gt;0,"Ativo","Inativo"))</f>
        <v/>
      </c>
    </row>
    <row r="110">
      <c r="A110" s="96" t="inlineStr">
        <is>
          <t>40009</t>
        </is>
      </c>
      <c r="B110" s="97" t="inlineStr">
        <is>
          <t>SALSICHAO C/ PROVOLONE</t>
        </is>
      </c>
      <c r="C110" s="97" t="inlineStr">
        <is>
          <t>SELEÇÃO PREMIUM</t>
        </is>
      </c>
      <c r="D110" s="98" t="inlineStr">
        <is>
          <t>Produto</t>
        </is>
      </c>
      <c r="E11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10" s="165" t="inlineStr">
        <is>
          <t>f7a341a5-a770-473a-a91e-a43193a83b69</t>
        </is>
      </c>
      <c r="G110" s="166">
        <f>IF(E110="","Inativo",IF(SUMPRODUCT(--(ISNUMBER(SEARCH({"Lapa","Santana","Mariana","Perdizes","André","Tatuapé","Madalena","Carinás","Pavão","Chac"},E110))))&gt;0,"Ativo","Inativo"))</f>
        <v/>
      </c>
    </row>
    <row r="111">
      <c r="A111" s="96" t="inlineStr">
        <is>
          <t>40016</t>
        </is>
      </c>
      <c r="B111" s="97" t="inlineStr">
        <is>
          <t>PICANHA</t>
        </is>
      </c>
      <c r="C111" s="97" t="inlineStr">
        <is>
          <t>SELEÇÃO PREMIUM</t>
        </is>
      </c>
      <c r="D111" s="98" t="inlineStr">
        <is>
          <t>Produto</t>
        </is>
      </c>
      <c r="E11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11" s="165" t="inlineStr">
        <is>
          <t>7f4e6fb5-b666-4346-a766-72c2812fac16</t>
        </is>
      </c>
      <c r="G111" s="166">
        <f>IF(E111="","Inativo",IF(SUMPRODUCT(--(ISNUMBER(SEARCH({"Lapa","Santana","Mariana","Perdizes","André","Tatuapé","Madalena","Carinás","Pavão","Chac"},E111))))&gt;0,"Ativo","Inativo"))</f>
        <v/>
      </c>
    </row>
    <row r="112">
      <c r="A112" s="96" t="inlineStr">
        <is>
          <t>40020</t>
        </is>
      </c>
      <c r="B112" s="97" t="inlineStr">
        <is>
          <t>CARRE DE CORDEIRO</t>
        </is>
      </c>
      <c r="C112" s="97" t="inlineStr">
        <is>
          <t>SELEÇÃO PREMIUM</t>
        </is>
      </c>
      <c r="D112" s="98" t="inlineStr">
        <is>
          <t>Produto</t>
        </is>
      </c>
      <c r="E11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12" s="165" t="inlineStr">
        <is>
          <t>5c55e3d1-52c3-40b2-9338-beebcdfb66f6</t>
        </is>
      </c>
      <c r="G112" s="166">
        <f>IF(E112="","Inativo",IF(SUMPRODUCT(--(ISNUMBER(SEARCH({"Lapa","Santana","Mariana","Perdizes","André","Tatuapé","Madalena","Carinás","Pavão","Chac"},E112))))&gt;0,"Ativo","Inativo"))</f>
        <v/>
      </c>
    </row>
    <row r="113">
      <c r="A113" s="96" t="inlineStr">
        <is>
          <t>40022</t>
        </is>
      </c>
      <c r="B113" s="97" t="inlineStr">
        <is>
          <t>FILE MIGNON BOVINO</t>
        </is>
      </c>
      <c r="C113" s="97" t="inlineStr">
        <is>
          <t>SELEÇÃO PREMIUM</t>
        </is>
      </c>
      <c r="D113" s="98" t="inlineStr">
        <is>
          <t>Produto</t>
        </is>
      </c>
      <c r="E11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13" s="165" t="inlineStr">
        <is>
          <t>d154257e-ad1e-4451-a619-e917f07f4d43</t>
        </is>
      </c>
      <c r="G113" s="166">
        <f>IF(E113="","Inativo",IF(SUMPRODUCT(--(ISNUMBER(SEARCH({"Lapa","Santana","Mariana","Perdizes","André","Tatuapé","Madalena","Carinás","Pavão","Chac"},E113))))&gt;0,"Ativo","Inativo"))</f>
        <v/>
      </c>
    </row>
    <row r="114">
      <c r="A114" s="96" t="inlineStr">
        <is>
          <t>789890568772111</t>
        </is>
      </c>
      <c r="B114" s="97" t="inlineStr">
        <is>
          <t>ESPETO MEDALHÃO MANDIOCA</t>
        </is>
      </c>
      <c r="C114" s="97" t="inlineStr">
        <is>
          <t>SELEÇÃO PREMIUM</t>
        </is>
      </c>
      <c r="D114" s="98" t="inlineStr">
        <is>
          <t>Produto</t>
        </is>
      </c>
      <c r="E11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14" s="165" t="inlineStr">
        <is>
          <t>e13d8731-0477-4c30-98f0-9a8be50f8e17</t>
        </is>
      </c>
      <c r="G114" s="166">
        <f>IF(E114="","Inativo",IF(SUMPRODUCT(--(ISNUMBER(SEARCH({"Lapa","Santana","Mariana","Perdizes","André","Tatuapé","Madalena","Carinás","Pavão","Chac"},E114))))&gt;0,"Ativo","Inativo"))</f>
        <v/>
      </c>
    </row>
    <row r="115">
      <c r="A115" s="96" t="inlineStr">
        <is>
          <t>789890568772112</t>
        </is>
      </c>
      <c r="B115" s="97" t="inlineStr">
        <is>
          <t>ESPETO PROVOLONE DEFUMADO</t>
        </is>
      </c>
      <c r="C115" s="97" t="inlineStr">
        <is>
          <t>SELEÇÃO PREMIUM</t>
        </is>
      </c>
      <c r="D115" s="98" t="inlineStr">
        <is>
          <t>Produto</t>
        </is>
      </c>
      <c r="E11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15" s="165" t="inlineStr">
        <is>
          <t>0ea10e70-8dbe-4260-aaf9-fb11624baa2b</t>
        </is>
      </c>
      <c r="G115" s="166">
        <f>IF(E115="","Inativo",IF(SUMPRODUCT(--(ISNUMBER(SEARCH({"Lapa","Santana","Mariana","Perdizes","André","Tatuapé","Madalena","Carinás","Pavão","Chac"},E115))))&gt;0,"Ativo","Inativo"))</f>
        <v/>
      </c>
    </row>
    <row r="116">
      <c r="A116" s="96" t="inlineStr">
        <is>
          <t>789890568772113</t>
        </is>
      </c>
      <c r="B116" s="97" t="inlineStr">
        <is>
          <t>ESPETO MEDALHAO ALCATRA</t>
        </is>
      </c>
      <c r="C116" s="97" t="inlineStr">
        <is>
          <t>SELEÇÃO PREMIUM</t>
        </is>
      </c>
      <c r="D116" s="98" t="inlineStr">
        <is>
          <t>Produto</t>
        </is>
      </c>
      <c r="E11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16" s="165" t="inlineStr">
        <is>
          <t>e1595f39-b850-4571-95ad-a8a7be406017</t>
        </is>
      </c>
      <c r="G116" s="166">
        <f>IF(E116="","Inativo",IF(SUMPRODUCT(--(ISNUMBER(SEARCH({"Lapa","Santana","Mariana","Perdizes","André","Tatuapé","Madalena","Carinás","Pavão","Chac"},E116))))&gt;0,"Ativo","Inativo"))</f>
        <v/>
      </c>
    </row>
    <row r="117">
      <c r="A117" s="96" t="inlineStr">
        <is>
          <t>789890568772114</t>
        </is>
      </c>
      <c r="B117" s="97" t="inlineStr">
        <is>
          <t>ESPETO MEDALHÃO DE FRANGO</t>
        </is>
      </c>
      <c r="C117" s="97" t="inlineStr">
        <is>
          <t>SELEÇÃO PREMIUM</t>
        </is>
      </c>
      <c r="D117" s="98" t="inlineStr">
        <is>
          <t>Produto</t>
        </is>
      </c>
      <c r="E11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17" s="165" t="inlineStr">
        <is>
          <t>c0ef4e2e-0176-4029-987a-0193df4d75a6</t>
        </is>
      </c>
      <c r="G117" s="166">
        <f>IF(E117="","Inativo",IF(SUMPRODUCT(--(ISNUMBER(SEARCH({"Lapa","Santana","Mariana","Perdizes","André","Tatuapé","Madalena","Carinás","Pavão","Chac"},E117))))&gt;0,"Ativo","Inativo"))</f>
        <v/>
      </c>
    </row>
    <row r="118">
      <c r="A118" s="96" t="inlineStr">
        <is>
          <t>9003337</t>
        </is>
      </c>
      <c r="B118" s="97" t="inlineStr">
        <is>
          <t>COSTELA BOVINA</t>
        </is>
      </c>
      <c r="C118" s="97" t="inlineStr">
        <is>
          <t>SELEÇÃO PREMIUM</t>
        </is>
      </c>
      <c r="D118" s="98" t="inlineStr">
        <is>
          <t>Produto</t>
        </is>
      </c>
      <c r="E11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18" s="165" t="inlineStr">
        <is>
          <t>05efde93-ec52-43d8-bb74-01ab7139e709</t>
        </is>
      </c>
      <c r="G118" s="166">
        <f>IF(E118="","Inativo",IF(SUMPRODUCT(--(ISNUMBER(SEARCH({"Lapa","Santana","Mariana","Perdizes","André","Tatuapé","Madalena","Carinás","Pavão","Chac"},E118))))&gt;0,"Ativo","Inativo"))</f>
        <v/>
      </c>
    </row>
    <row r="119">
      <c r="A119" s="96" t="inlineStr">
        <is>
          <t>9003338</t>
        </is>
      </c>
      <c r="B119" s="97" t="inlineStr">
        <is>
          <t>TULIPA DE FRANGO</t>
        </is>
      </c>
      <c r="C119" s="97" t="inlineStr">
        <is>
          <t>SELEÇÃO PREMIUM</t>
        </is>
      </c>
      <c r="D119" s="98" t="inlineStr">
        <is>
          <t>Produto</t>
        </is>
      </c>
      <c r="E119"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19" s="165" t="inlineStr">
        <is>
          <t>6c3b9c89-6322-4682-915d-c2bbbd0d43d9</t>
        </is>
      </c>
      <c r="G119" s="166">
        <f>IF(E119="","Inativo",IF(SUMPRODUCT(--(ISNUMBER(SEARCH({"Lapa","Santana","Mariana","Perdizes","André","Tatuapé","Madalena","Carinás","Pavão","Chac"},E119))))&gt;0,"Ativo","Inativo"))</f>
        <v/>
      </c>
    </row>
    <row r="120">
      <c r="A120" s="96" t="inlineStr">
        <is>
          <t>30005</t>
        </is>
      </c>
      <c r="B120" s="97" t="inlineStr">
        <is>
          <t>MUSSARELA BUFALA C/  RUCULA E TOMATE GRAPE</t>
        </is>
      </c>
      <c r="C120" s="97" t="inlineStr">
        <is>
          <t>DIRETO DA FAZENDA</t>
        </is>
      </c>
      <c r="D120" s="98" t="inlineStr">
        <is>
          <t>Produto</t>
        </is>
      </c>
      <c r="E120"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20" s="165" t="inlineStr">
        <is>
          <t>a4e751d9-b279-4d1e-bd10-83ed7d17ee28</t>
        </is>
      </c>
      <c r="G120" s="166">
        <f>IF(E120="","Inativo",IF(SUMPRODUCT(--(ISNUMBER(SEARCH({"Lapa","Santana","Mariana","Perdizes","André","Tatuapé","Madalena","Carinás","Pavão","Chac"},E120))))&gt;0,"Ativo","Inativo"))</f>
        <v/>
      </c>
    </row>
    <row r="121">
      <c r="A121" s="96" t="inlineStr">
        <is>
          <t>30007</t>
        </is>
      </c>
      <c r="B121" s="97" t="inlineStr">
        <is>
          <t>QUEIJO COALHO C/ MELACO</t>
        </is>
      </c>
      <c r="C121" s="97" t="inlineStr">
        <is>
          <t>DIRETO DA FAZENDA</t>
        </is>
      </c>
      <c r="D121" s="98" t="inlineStr">
        <is>
          <t>Produto</t>
        </is>
      </c>
      <c r="E121"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21" s="165" t="inlineStr">
        <is>
          <t>96549dec-7761-4930-bf4f-19ccf210d23c</t>
        </is>
      </c>
      <c r="G121" s="166">
        <f>IF(E121="","Inativo",IF(SUMPRODUCT(--(ISNUMBER(SEARCH({"Lapa","Santana","Mariana","Perdizes","André","Tatuapé","Madalena","Carinás","Pavão","Chac"},E121))))&gt;0,"Ativo","Inativo"))</f>
        <v/>
      </c>
    </row>
    <row r="122">
      <c r="A122" s="96" t="inlineStr">
        <is>
          <t>40011</t>
        </is>
      </c>
      <c r="B122" s="97" t="inlineStr">
        <is>
          <t>BOLINHO BACALHAU</t>
        </is>
      </c>
      <c r="C122" s="97" t="inlineStr">
        <is>
          <t>BOTECO NO ESPETO</t>
        </is>
      </c>
      <c r="D122" s="98" t="inlineStr">
        <is>
          <t>Produto</t>
        </is>
      </c>
      <c r="E12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2" s="165" t="inlineStr">
        <is>
          <t>b67461db-250a-4f80-a643-f21871f446c0</t>
        </is>
      </c>
      <c r="G122" s="166">
        <f>IF(E122="","Inativo",IF(SUMPRODUCT(--(ISNUMBER(SEARCH({"Lapa","Santana","Mariana","Perdizes","André","Tatuapé","Madalena","Carinás","Pavão","Chac"},E122))))&gt;0,"Ativo","Inativo"))</f>
        <v/>
      </c>
    </row>
    <row r="123">
      <c r="A123" s="96" t="inlineStr">
        <is>
          <t>40012</t>
        </is>
      </c>
      <c r="B123" s="97" t="inlineStr">
        <is>
          <t>KIBE</t>
        </is>
      </c>
      <c r="C123" s="97" t="inlineStr">
        <is>
          <t>BOTECO NO ESPETO</t>
        </is>
      </c>
      <c r="D123" s="98" t="inlineStr">
        <is>
          <t>Produto</t>
        </is>
      </c>
      <c r="E12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3" s="165" t="inlineStr">
        <is>
          <t>d2b95f0d-e52e-41e2-82d0-9e1cdaa199b3</t>
        </is>
      </c>
      <c r="G123" s="166">
        <f>IF(E123="","Inativo",IF(SUMPRODUCT(--(ISNUMBER(SEARCH({"Lapa","Santana","Mariana","Perdizes","André","Tatuapé","Madalena","Carinás","Pavão","Chac"},E123))))&gt;0,"Ativo","Inativo"))</f>
        <v/>
      </c>
    </row>
    <row r="124">
      <c r="A124" s="96" t="inlineStr">
        <is>
          <t>40014</t>
        </is>
      </c>
      <c r="B124" s="97" t="inlineStr">
        <is>
          <t>BOLINHO QUEIJO</t>
        </is>
      </c>
      <c r="C124" s="97" t="inlineStr">
        <is>
          <t>BOTECO NO ESPETO</t>
        </is>
      </c>
      <c r="D124" s="98" t="inlineStr">
        <is>
          <t>Produto</t>
        </is>
      </c>
      <c r="E12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4" s="165" t="inlineStr">
        <is>
          <t>5653615f-beaf-42c1-812c-8d6f0538a126</t>
        </is>
      </c>
      <c r="G124" s="166">
        <f>IF(E124="","Inativo",IF(SUMPRODUCT(--(ISNUMBER(SEARCH({"Lapa","Santana","Mariana","Perdizes","André","Tatuapé","Madalena","Carinás","Pavão","Chac"},E124))))&gt;0,"Ativo","Inativo"))</f>
        <v/>
      </c>
    </row>
    <row r="125">
      <c r="A125" s="96" t="inlineStr">
        <is>
          <t>78989056877111</t>
        </is>
      </c>
      <c r="B125" s="97" t="inlineStr">
        <is>
          <t>BOLINHO DE PEPPERONI</t>
        </is>
      </c>
      <c r="C125" s="97" t="inlineStr">
        <is>
          <t>BOTECO NO ESPETO</t>
        </is>
      </c>
      <c r="D125" s="98" t="inlineStr">
        <is>
          <t>Produto</t>
        </is>
      </c>
      <c r="E12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5" s="165" t="inlineStr">
        <is>
          <t>32375f51-cec1-4747-a441-4a61f2438bb7</t>
        </is>
      </c>
      <c r="G125" s="166">
        <f>IF(E125="","Inativo",IF(SUMPRODUCT(--(ISNUMBER(SEARCH({"Lapa","Santana","Mariana","Perdizes","André","Tatuapé","Madalena","Carinás","Pavão","Chac"},E125))))&gt;0,"Ativo","Inativo"))</f>
        <v/>
      </c>
    </row>
    <row r="126">
      <c r="A126" s="96" t="inlineStr">
        <is>
          <t>78989056877112</t>
        </is>
      </c>
      <c r="B126" s="97" t="inlineStr">
        <is>
          <t>CRISPY DE QUEIJO GOUDA</t>
        </is>
      </c>
      <c r="C126" s="97" t="inlineStr">
        <is>
          <t>BOTECO NO ESPETO</t>
        </is>
      </c>
      <c r="D126" s="98" t="inlineStr">
        <is>
          <t>Produto</t>
        </is>
      </c>
      <c r="E12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6" s="165" t="inlineStr">
        <is>
          <t>9eac18e0-9f79-4145-b357-f1face0fbc1d</t>
        </is>
      </c>
      <c r="G126" s="166">
        <f>IF(E126="","Inativo",IF(SUMPRODUCT(--(ISNUMBER(SEARCH({"Lapa","Santana","Mariana","Perdizes","André","Tatuapé","Madalena","Carinás","Pavão","Chac"},E126))))&gt;0,"Ativo","Inativo"))</f>
        <v/>
      </c>
    </row>
    <row r="127">
      <c r="A127" s="96" t="inlineStr">
        <is>
          <t>78989056877114</t>
        </is>
      </c>
      <c r="B127" s="97" t="inlineStr">
        <is>
          <t>COXINHA FRANGO C/ REQUEIJÃO</t>
        </is>
      </c>
      <c r="C127" s="97" t="inlineStr">
        <is>
          <t>BOTECO NO ESPETO</t>
        </is>
      </c>
      <c r="D127" s="98" t="inlineStr">
        <is>
          <t>Produto</t>
        </is>
      </c>
      <c r="E12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7" s="165" t="inlineStr">
        <is>
          <t>98fffbb2-58f3-47ed-bf6d-a057e8852381</t>
        </is>
      </c>
      <c r="G127" s="166">
        <f>IF(E127="","Inativo",IF(SUMPRODUCT(--(ISNUMBER(SEARCH({"Lapa","Santana","Mariana","Perdizes","André","Tatuapé","Madalena","Carinás","Pavão","Chac"},E127))))&gt;0,"Ativo","Inativo"))</f>
        <v/>
      </c>
    </row>
    <row r="128">
      <c r="A128" s="96" t="inlineStr">
        <is>
          <t>78989056877116</t>
        </is>
      </c>
      <c r="B128" s="97" t="inlineStr">
        <is>
          <t>STICKS DE MUSSARELA</t>
        </is>
      </c>
      <c r="C128" s="97" t="inlineStr">
        <is>
          <t>BOTECO NO ESPETO</t>
        </is>
      </c>
      <c r="D128" s="98" t="inlineStr">
        <is>
          <t>Produto</t>
        </is>
      </c>
      <c r="E12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8" s="165" t="inlineStr">
        <is>
          <t>fbfdf7ef-4ccd-4c1d-bd9a-849d5672ac28</t>
        </is>
      </c>
      <c r="G128" s="166">
        <f>IF(E128="","Inativo",IF(SUMPRODUCT(--(ISNUMBER(SEARCH({"Lapa","Santana","Mariana","Perdizes","André","Tatuapé","Madalena","Carinás","Pavão","Chac"},E128))))&gt;0,"Ativo","Inativo"))</f>
        <v/>
      </c>
    </row>
    <row r="129">
      <c r="A129" s="96" t="inlineStr">
        <is>
          <t>78989056877118</t>
        </is>
      </c>
      <c r="B129" s="97" t="inlineStr">
        <is>
          <t>POPS CALABRESA E BACON</t>
        </is>
      </c>
      <c r="C129" s="97" t="inlineStr">
        <is>
          <t>BOTECO NO ESPETO</t>
        </is>
      </c>
      <c r="D129" s="98" t="inlineStr">
        <is>
          <t>Produto</t>
        </is>
      </c>
      <c r="E12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29" s="165" t="inlineStr">
        <is>
          <t>a311784f-b149-4752-b9dd-2143cca22b3c</t>
        </is>
      </c>
      <c r="G129" s="166">
        <f>IF(E129="","Inativo",IF(SUMPRODUCT(--(ISNUMBER(SEARCH({"Lapa","Santana","Mariana","Perdizes","André","Tatuapé","Madalena","Carinás","Pavão","Chac"},E129))))&gt;0,"Ativo","Inativo"))</f>
        <v/>
      </c>
    </row>
    <row r="130">
      <c r="A130" s="96" t="inlineStr">
        <is>
          <t>9003339</t>
        </is>
      </c>
      <c r="B130" s="97" t="inlineStr">
        <is>
          <t>PORÇÃO DE PASTÉIS</t>
        </is>
      </c>
      <c r="C130" s="97" t="inlineStr">
        <is>
          <t>BOTECO NO ESPETO</t>
        </is>
      </c>
      <c r="D130" s="98" t="inlineStr">
        <is>
          <t>Produto</t>
        </is>
      </c>
      <c r="E13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30" s="165" t="inlineStr">
        <is>
          <t>3a172bac-9002-43c8-b0a2-839f5734b767</t>
        </is>
      </c>
      <c r="G130" s="166">
        <f>IF(E130="","Inativo",IF(SUMPRODUCT(--(ISNUMBER(SEARCH({"Lapa","Santana","Mariana","Perdizes","André","Tatuapé","Madalena","Carinás","Pavão","Chac"},E130))))&gt;0,"Ativo","Inativo"))</f>
        <v/>
      </c>
    </row>
    <row r="131">
      <c r="A131" s="96" t="inlineStr">
        <is>
          <t>9003634</t>
        </is>
      </c>
      <c r="B131" s="97" t="inlineStr">
        <is>
          <t>ESPETO DADINHO DE TAPIOCA C/ GELEIA DE PIMENTA</t>
        </is>
      </c>
      <c r="C131" s="97" t="inlineStr">
        <is>
          <t>BOTECO NO ESPETO</t>
        </is>
      </c>
      <c r="D131" s="98" t="inlineStr">
        <is>
          <t>Produto</t>
        </is>
      </c>
      <c r="E13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31" s="165" t="inlineStr">
        <is>
          <t>9d8cb85a-8633-4c9f-911f-b6be948a23d5</t>
        </is>
      </c>
      <c r="G131" s="166">
        <f>IF(E131="","Inativo",IF(SUMPRODUCT(--(ISNUMBER(SEARCH({"Lapa","Santana","Mariana","Perdizes","André","Tatuapé","Madalena","Carinás","Pavão","Chac"},E131))))&gt;0,"Ativo","Inativo"))</f>
        <v/>
      </c>
    </row>
    <row r="132">
      <c r="A132" s="96" t="inlineStr">
        <is>
          <t>20001</t>
        </is>
      </c>
      <c r="B132" s="97" t="inlineStr">
        <is>
          <t>ABOBRINHA</t>
        </is>
      </c>
      <c r="C132" s="97" t="inlineStr">
        <is>
          <t>VEGGIE</t>
        </is>
      </c>
      <c r="D132" s="98" t="inlineStr">
        <is>
          <t>Produto</t>
        </is>
      </c>
      <c r="E13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32" s="165" t="inlineStr">
        <is>
          <t>c7ec94da-109b-445b-833d-a7b4b9ad9614</t>
        </is>
      </c>
      <c r="G132" s="166">
        <f>IF(E132="","Inativo",IF(SUMPRODUCT(--(ISNUMBER(SEARCH({"Lapa","Santana","Mariana","Perdizes","André","Tatuapé","Madalena","Carinás","Pavão","Chac"},E132))))&gt;0,"Ativo","Inativo"))</f>
        <v/>
      </c>
    </row>
    <row r="133">
      <c r="A133" s="96" t="inlineStr">
        <is>
          <t>20003</t>
        </is>
      </c>
      <c r="B133" s="97" t="inlineStr">
        <is>
          <t>BERINJELA</t>
        </is>
      </c>
      <c r="C133" s="97" t="inlineStr">
        <is>
          <t>VEGGIE</t>
        </is>
      </c>
      <c r="D133" s="98" t="inlineStr">
        <is>
          <t>Produto</t>
        </is>
      </c>
      <c r="E13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33" s="165" t="inlineStr">
        <is>
          <t>36682641-224a-4aed-a6fa-920bb4a58ec5</t>
        </is>
      </c>
      <c r="G133" s="166">
        <f>IF(E133="","Inativo",IF(SUMPRODUCT(--(ISNUMBER(SEARCH({"Lapa","Santana","Mariana","Perdizes","André","Tatuapé","Madalena","Carinás","Pavão","Chac"},E133))))&gt;0,"Ativo","Inativo"))</f>
        <v/>
      </c>
    </row>
    <row r="134">
      <c r="A134" s="96" t="inlineStr">
        <is>
          <t>20004</t>
        </is>
      </c>
      <c r="B134" s="97" t="inlineStr">
        <is>
          <t>BATATA BOLINHA</t>
        </is>
      </c>
      <c r="C134" s="97" t="inlineStr">
        <is>
          <t>VEGGIE</t>
        </is>
      </c>
      <c r="D134" s="98" t="inlineStr">
        <is>
          <t>Produto</t>
        </is>
      </c>
      <c r="E134"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34" s="165" t="inlineStr">
        <is>
          <t>fef89891-cfad-4804-93cd-1d9b910f0150</t>
        </is>
      </c>
      <c r="G134" s="166">
        <f>IF(E134="","Inativo",IF(SUMPRODUCT(--(ISNUMBER(SEARCH({"Lapa","Santana","Mariana","Perdizes","André","Tatuapé","Madalena","Carinás","Pavão","Chac"},E134))))&gt;0,"Ativo","Inativo"))</f>
        <v/>
      </c>
    </row>
    <row r="135">
      <c r="A135" s="96" t="inlineStr">
        <is>
          <t>30006</t>
        </is>
      </c>
      <c r="B135" s="97" t="inlineStr">
        <is>
          <t>PUPUNHA C/ TOMATE SECO E RUCULA</t>
        </is>
      </c>
      <c r="C135" s="97" t="inlineStr">
        <is>
          <t>VEGGIE</t>
        </is>
      </c>
      <c r="D135" s="98" t="inlineStr">
        <is>
          <t>Produto</t>
        </is>
      </c>
      <c r="E135"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35" s="165" t="inlineStr">
        <is>
          <t>00701619-ab2d-4240-b0a8-3eb7b3c7ad88</t>
        </is>
      </c>
      <c r="G135" s="166">
        <f>IF(E135="","Inativo",IF(SUMPRODUCT(--(ISNUMBER(SEARCH({"Lapa","Santana","Mariana","Perdizes","André","Tatuapé","Madalena","Carinás","Pavão","Chac"},E135))))&gt;0,"Ativo","Inativo"))</f>
        <v/>
      </c>
    </row>
    <row r="136">
      <c r="A136" s="96" t="inlineStr">
        <is>
          <t>78989056877315</t>
        </is>
      </c>
      <c r="B136" s="97" t="inlineStr">
        <is>
          <t>ALHO PORÓ COM TOMATE CEREJA</t>
        </is>
      </c>
      <c r="C136" s="97" t="inlineStr">
        <is>
          <t>VEGGIE</t>
        </is>
      </c>
      <c r="D136" s="98" t="inlineStr">
        <is>
          <t>Produto</t>
        </is>
      </c>
      <c r="E136" s="164" t="inlineStr">
        <is>
          <t>Quintal do Espeto Lapa , Quintal do Espeto Santo André, Quintal do Espeto Chac Sto Antonio, Delivery Lapa, Delivery Vila Madalena, Delivery Chac. Sto Antonio, Quintal do Espeto Santana, Quintal do Espeto  V. Mariana, Delivery Pavão, Delivery V. Mariana, Delivery Perdizes, Quintal do Espeto Perdizes, Quintal do Espeto Tatuapé, Quintal do Espeto  V. Madalena, Quintal do Espeto Carinás, Quintal do Espeto Pavão</t>
        </is>
      </c>
      <c r="F136" s="165" t="inlineStr">
        <is>
          <t>2362d088-bcd0-43f7-a437-2fbfb60bec39</t>
        </is>
      </c>
      <c r="G136" s="166">
        <f>IF(E136="","Inativo",IF(SUMPRODUCT(--(ISNUMBER(SEARCH({"Lapa","Santana","Mariana","Perdizes","André","Tatuapé","Madalena","Carinás","Pavão","Chac"},E136))))&gt;0,"Ativo","Inativo"))</f>
        <v/>
      </c>
    </row>
    <row r="137">
      <c r="A137" s="96" t="inlineStr">
        <is>
          <t>78989056877316</t>
        </is>
      </c>
      <c r="B137" s="97" t="inlineStr">
        <is>
          <t>ABOBORA ASSADA</t>
        </is>
      </c>
      <c r="C137" s="97" t="inlineStr">
        <is>
          <t>VEGGIE</t>
        </is>
      </c>
      <c r="D137" s="98" t="inlineStr">
        <is>
          <t>Produto</t>
        </is>
      </c>
      <c r="E137" s="164" t="inlineStr">
        <is>
          <t>Quintal do Espeto Lapa , Quintal do Espeto Santo André, Quintal do Espeto Chac Sto Antonio, Delivery Lapa, Delivery Vila Madalena, Delivery Chac. Sto Antonio, Quintal do Espeto Santana, Quintal do Espeto  V. Mariana, Delivery Pavão, Delivery V. Mariana, Delivery Perdizes, Quintal do Espeto Perdizes, Quintal do Espeto Tatuapé, Quintal do Espeto  V. Madalena, Quintal do Espeto Carinás, Quintal do Espeto Pavão</t>
        </is>
      </c>
      <c r="F137" s="165" t="inlineStr">
        <is>
          <t>5fb3f755-be96-49b3-8d00-82a786a7074b</t>
        </is>
      </c>
      <c r="G137" s="166">
        <f>IF(E137="","Inativo",IF(SUMPRODUCT(--(ISNUMBER(SEARCH({"Lapa","Santana","Mariana","Perdizes","André","Tatuapé","Madalena","Carinás","Pavão","Chac"},E137))))&gt;0,"Ativo","Inativo"))</f>
        <v/>
      </c>
    </row>
    <row r="138">
      <c r="A138" s="96" t="inlineStr">
        <is>
          <t>78989056877317</t>
        </is>
      </c>
      <c r="B138" s="97" t="inlineStr">
        <is>
          <t>BERINJELA NO SHOYO</t>
        </is>
      </c>
      <c r="C138" s="97" t="inlineStr">
        <is>
          <t>VEGGIE</t>
        </is>
      </c>
      <c r="D138" s="98" t="inlineStr">
        <is>
          <t>Produto</t>
        </is>
      </c>
      <c r="E138" s="164" t="inlineStr">
        <is>
          <t>Quintal do Espeto Lapa , Quintal do Espeto Santo André, Quintal do Espeto Chac Sto Antonio, Delivery Lapa, Delivery Vila Madalena, Delivery Chac. Sto Antonio, Quintal do Espeto Santana, Quintal do Espeto  V. Mariana, Delivery Pavão, Delivery V. Mariana, Delivery Perdizes, Quintal do Espeto Perdizes, Quintal do Espeto Tatuapé, Quintal do Espeto  V. Madalena, Quintal do Espeto Carinás, Quintal do Espeto Pavão</t>
        </is>
      </c>
      <c r="F138" s="165" t="inlineStr">
        <is>
          <t>eac947a6-9523-418a-bc0b-d0ed00cd8c93</t>
        </is>
      </c>
      <c r="G138" s="166">
        <f>IF(E138="","Inativo",IF(SUMPRODUCT(--(ISNUMBER(SEARCH({"Lapa","Santana","Mariana","Perdizes","André","Tatuapé","Madalena","Carinás","Pavão","Chac"},E138))))&gt;0,"Ativo","Inativo"))</f>
        <v/>
      </c>
    </row>
    <row r="139">
      <c r="A139" s="96" t="inlineStr">
        <is>
          <t>78989056877326</t>
        </is>
      </c>
      <c r="B139" s="97" t="inlineStr">
        <is>
          <t>RATATOUILLE</t>
        </is>
      </c>
      <c r="C139" s="97" t="inlineStr">
        <is>
          <t>VEGGIE</t>
        </is>
      </c>
      <c r="D139" s="98" t="inlineStr">
        <is>
          <t>Produto</t>
        </is>
      </c>
      <c r="E139" s="164" t="inlineStr">
        <is>
          <t>Quintal do Espeto Lapa , Quintal do Espeto Santo André, Quintal do Espeto Chac Sto Antonio, Delivery Lapa, Delivery Vila Madalena, Delivery Chac. Sto Antonio, Quintal do Espeto Santana, Quintal do Espeto  V. Mariana, Delivery Pavão, Delivery V. Mariana, Delivery Perdizes, Quintal do Espeto Perdizes, Quintal do Espeto Tatuapé, Quintal do Espeto  V. Madalena, Quintal do Espeto Carinás, Quintal do Espeto Pavão</t>
        </is>
      </c>
      <c r="F139" s="165" t="inlineStr">
        <is>
          <t>1eb33583-518c-40a6-bd35-d5793c2fec88</t>
        </is>
      </c>
      <c r="G139" s="166">
        <f>IF(E139="","Inativo",IF(SUMPRODUCT(--(ISNUMBER(SEARCH({"Lapa","Santana","Mariana","Perdizes","André","Tatuapé","Madalena","Carinás","Pavão","Chac"},E139))))&gt;0,"Ativo","Inativo"))</f>
        <v/>
      </c>
    </row>
    <row r="140">
      <c r="A140" s="96" t="inlineStr">
        <is>
          <t>9003335</t>
        </is>
      </c>
      <c r="B140" s="97" t="inlineStr">
        <is>
          <t>PUPUNHA NA BRASA</t>
        </is>
      </c>
      <c r="C140" s="97" t="inlineStr">
        <is>
          <t>VEGGIE</t>
        </is>
      </c>
      <c r="D140" s="98" t="inlineStr">
        <is>
          <t>Produto</t>
        </is>
      </c>
      <c r="E14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40" s="165" t="inlineStr">
        <is>
          <t>b140c35d-efb6-4919-beb6-1b3ee00e2efd</t>
        </is>
      </c>
      <c r="G140" s="166">
        <f>IF(E140="","Inativo",IF(SUMPRODUCT(--(ISNUMBER(SEARCH({"Lapa","Santana","Mariana","Perdizes","André","Tatuapé","Madalena","Carinás","Pavão","Chac"},E140))))&gt;0,"Ativo","Inativo"))</f>
        <v/>
      </c>
    </row>
    <row r="141">
      <c r="A141" s="96" t="inlineStr">
        <is>
          <t>60007</t>
        </is>
      </c>
      <c r="B141" s="97" t="inlineStr">
        <is>
          <t>SALADA CAPRESE</t>
        </is>
      </c>
      <c r="C141" s="97" t="inlineStr">
        <is>
          <t>A SALADAS</t>
        </is>
      </c>
      <c r="D141" s="98" t="inlineStr">
        <is>
          <t>Produto</t>
        </is>
      </c>
      <c r="E141"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41" s="165" t="inlineStr">
        <is>
          <t>f1f5cf7d-34ab-4bf5-af62-8adc67b109ac</t>
        </is>
      </c>
      <c r="G141" s="166">
        <f>IF(E141="","Inativo",IF(SUMPRODUCT(--(ISNUMBER(SEARCH({"Lapa","Santana","Mariana","Perdizes","André","Tatuapé","Madalena","Carinás","Pavão","Chac"},E141))))&gt;0,"Ativo","Inativo"))</f>
        <v/>
      </c>
    </row>
    <row r="142">
      <c r="A142" s="96" t="inlineStr">
        <is>
          <t>60012</t>
        </is>
      </c>
      <c r="B142" s="97" t="inlineStr">
        <is>
          <t>SALADA DA CASA</t>
        </is>
      </c>
      <c r="C142" s="97" t="inlineStr">
        <is>
          <t>A SALADAS</t>
        </is>
      </c>
      <c r="D142" s="98" t="inlineStr">
        <is>
          <t>Produto</t>
        </is>
      </c>
      <c r="E142"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42" s="165" t="inlineStr">
        <is>
          <t>dd6234c5-9de4-4320-b5d5-b85d4035c9dc</t>
        </is>
      </c>
      <c r="G142" s="166">
        <f>IF(E142="","Inativo",IF(SUMPRODUCT(--(ISNUMBER(SEARCH({"Lapa","Santana","Mariana","Perdizes","André","Tatuapé","Madalena","Carinás","Pavão","Chac"},E142))))&gt;0,"Ativo","Inativo"))</f>
        <v/>
      </c>
    </row>
    <row r="143">
      <c r="A143" s="96" t="inlineStr">
        <is>
          <t>60013</t>
        </is>
      </c>
      <c r="B143" s="97" t="inlineStr">
        <is>
          <t>SALADA JULIANA</t>
        </is>
      </c>
      <c r="C143" s="97" t="inlineStr">
        <is>
          <t>A SALADAS</t>
        </is>
      </c>
      <c r="D143" s="98" t="inlineStr">
        <is>
          <t>Produto</t>
        </is>
      </c>
      <c r="E143"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43" s="165" t="inlineStr">
        <is>
          <t>cdfc4068-b01c-4767-8ad0-bce4ec6af805</t>
        </is>
      </c>
      <c r="G143" s="166">
        <f>IF(E143="","Inativo",IF(SUMPRODUCT(--(ISNUMBER(SEARCH({"Lapa","Santana","Mariana","Perdizes","André","Tatuapé","Madalena","Carinás","Pavão","Chac"},E143))))&gt;0,"Ativo","Inativo"))</f>
        <v/>
      </c>
    </row>
    <row r="144">
      <c r="A144" s="96" t="inlineStr">
        <is>
          <t>78989056877335</t>
        </is>
      </c>
      <c r="B144" s="97" t="inlineStr">
        <is>
          <t>MINI SALADA FRESCA</t>
        </is>
      </c>
      <c r="C144" s="97" t="inlineStr">
        <is>
          <t>A SALADAS</t>
        </is>
      </c>
      <c r="D144" s="98" t="inlineStr">
        <is>
          <t>Produto</t>
        </is>
      </c>
      <c r="E144" s="164" t="inlineStr">
        <is>
          <t>Quintal do Espeto Lapa , Quintal do Espeto Chac Sto Antonio, Delivery Lapa, Delivery Carinás, Delivery Vila Madalena, Delivery Tatuapé, Delivery Chac. Sto Antonio, Quintal do Espeto  V. Mariana, Delivery Santo André, Delivery Pavão, Delivery V. Mariana, Delivery Perdizes, Quintal do Espeto Perdizes, Delivery Santana, Quintal do Espeto  V. Madalena, Quintal do Espeto Carinás, Quintal do Espeto Pavão</t>
        </is>
      </c>
      <c r="F144" s="165" t="inlineStr">
        <is>
          <t>47e9ace5-026e-40ac-853e-d2fdcc53f050</t>
        </is>
      </c>
      <c r="G144" s="166">
        <f>IF(E144="","Inativo",IF(SUMPRODUCT(--(ISNUMBER(SEARCH({"Lapa","Santana","Mariana","Perdizes","André","Tatuapé","Madalena","Carinás","Pavão","Chac"},E144))))&gt;0,"Ativo","Inativo"))</f>
        <v/>
      </c>
    </row>
    <row r="145">
      <c r="A145" s="96" t="inlineStr">
        <is>
          <t>78989056877336</t>
        </is>
      </c>
      <c r="B145" s="97" t="inlineStr">
        <is>
          <t>MINI SALADA QUINTAL</t>
        </is>
      </c>
      <c r="C145" s="97" t="inlineStr">
        <is>
          <t>A SALADAS</t>
        </is>
      </c>
      <c r="D145" s="98" t="inlineStr">
        <is>
          <t>Produto</t>
        </is>
      </c>
      <c r="E145" s="164" t="inlineStr">
        <is>
          <t>Delivery Lapa, Delivery Carinás, Delivery Vila Madalena, Delivery Tatuapé, Delivery Chac. Sto Antonio, Quintal do Espeto  V. Mariana, Delivery Santo André, Delivery Pavão, Delivery V. Mariana, Delivery Perdizes, Delivery Santana</t>
        </is>
      </c>
      <c r="F145" s="165" t="inlineStr">
        <is>
          <t>0d9b543f-7038-42d5-9cfc-9155b9d4e8c7</t>
        </is>
      </c>
      <c r="G145" s="166">
        <f>IF(E145="","Inativo",IF(SUMPRODUCT(--(ISNUMBER(SEARCH({"Lapa","Santana","Mariana","Perdizes","André","Tatuapé","Madalena","Carinás","Pavão","Chac"},E145))))&gt;0,"Ativo","Inativo"))</f>
        <v/>
      </c>
    </row>
    <row r="146">
      <c r="A146" s="96" t="inlineStr">
        <is>
          <t>78989056877338</t>
        </is>
      </c>
      <c r="B146" s="97" t="inlineStr">
        <is>
          <t>SALADA CALIFÓRNIA</t>
        </is>
      </c>
      <c r="C146" s="97" t="inlineStr">
        <is>
          <t>A SALADAS</t>
        </is>
      </c>
      <c r="D146" s="98" t="inlineStr">
        <is>
          <t>Produto</t>
        </is>
      </c>
      <c r="E146" s="164" t="inlineStr">
        <is>
          <t>Delivery Lapa, Delivery Carinás, Delivery Vila Madalena, Delivery Tatuapé, Delivery Chac. Sto Antonio, Delivery Santo André, Delivery Pavão, Delivery V. Mariana, Delivery Perdizes, Delivery Santana</t>
        </is>
      </c>
      <c r="F146" s="165" t="inlineStr">
        <is>
          <t>6d18788a-dd12-4c24-a4aa-2df2f282319e</t>
        </is>
      </c>
      <c r="G146" s="166">
        <f>IF(E146="","Inativo",IF(SUMPRODUCT(--(ISNUMBER(SEARCH({"Lapa","Santana","Mariana","Perdizes","André","Tatuapé","Madalena","Carinás","Pavão","Chac"},E146))))&gt;0,"Ativo","Inativo"))</f>
        <v/>
      </c>
    </row>
    <row r="147">
      <c r="A147" s="96" t="inlineStr">
        <is>
          <t>78989056877110</t>
        </is>
      </c>
      <c r="B147" s="97" t="inlineStr">
        <is>
          <t>BATATA SMILES</t>
        </is>
      </c>
      <c r="C147" s="97" t="inlineStr">
        <is>
          <t>ACOMPANHAMENTOS</t>
        </is>
      </c>
      <c r="D147" s="98" t="inlineStr">
        <is>
          <t>Produto</t>
        </is>
      </c>
      <c r="E14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47" s="165" t="inlineStr">
        <is>
          <t>c8fd2586-15dc-4788-85c7-917a26283b28</t>
        </is>
      </c>
      <c r="G147" s="166">
        <f>IF(E147="","Inativo",IF(SUMPRODUCT(--(ISNUMBER(SEARCH({"Lapa","Santana","Mariana","Perdizes","André","Tatuapé","Madalena","Carinás","Pavão","Chac"},E147))))&gt;0,"Ativo","Inativo"))</f>
        <v/>
      </c>
    </row>
    <row r="148">
      <c r="A148" s="96" t="inlineStr">
        <is>
          <t>78989056877113</t>
        </is>
      </c>
      <c r="B148" s="97" t="inlineStr">
        <is>
          <t>ANEIS DE CEBOLA PRÉ-FORMADA</t>
        </is>
      </c>
      <c r="C148" s="97" t="inlineStr">
        <is>
          <t>ACOMPANHAMENTOS</t>
        </is>
      </c>
      <c r="D148" s="98" t="inlineStr">
        <is>
          <t>Produto</t>
        </is>
      </c>
      <c r="E14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48" s="165" t="inlineStr">
        <is>
          <t>1dcbd3d3-31ad-40b6-971f-80aa7f7c6bc4</t>
        </is>
      </c>
      <c r="G148" s="166">
        <f>IF(E148="","Inativo",IF(SUMPRODUCT(--(ISNUMBER(SEARCH({"Lapa","Santana","Mariana","Perdizes","André","Tatuapé","Madalena","Carinás","Pavão","Chac"},E148))))&gt;0,"Ativo","Inativo"))</f>
        <v/>
      </c>
    </row>
    <row r="149">
      <c r="A149" s="96" t="inlineStr">
        <is>
          <t>78989056877115</t>
        </is>
      </c>
      <c r="B149" s="97" t="inlineStr">
        <is>
          <t>MANDIOCA FRITA P</t>
        </is>
      </c>
      <c r="C149" s="97" t="inlineStr">
        <is>
          <t>ACOMPANHAMENTOS</t>
        </is>
      </c>
      <c r="D149" s="98" t="inlineStr">
        <is>
          <t>Produto</t>
        </is>
      </c>
      <c r="E14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49" s="165" t="inlineStr">
        <is>
          <t>0770b87c-b3b0-4ab0-8750-f6900c654325</t>
        </is>
      </c>
      <c r="G149" s="166">
        <f>IF(E149="","Inativo",IF(SUMPRODUCT(--(ISNUMBER(SEARCH({"Lapa","Santana","Mariana","Perdizes","André","Tatuapé","Madalena","Carinás","Pavão","Chac"},E149))))&gt;0,"Ativo","Inativo"))</f>
        <v/>
      </c>
    </row>
    <row r="150">
      <c r="A150" s="96" t="inlineStr">
        <is>
          <t>78989056877117</t>
        </is>
      </c>
      <c r="B150" s="97" t="inlineStr">
        <is>
          <t>POLENTA FRITA</t>
        </is>
      </c>
      <c r="C150" s="97" t="inlineStr">
        <is>
          <t>ACOMPANHAMENTOS</t>
        </is>
      </c>
      <c r="D150" s="98" t="inlineStr">
        <is>
          <t>Produto</t>
        </is>
      </c>
      <c r="E15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50" s="165" t="inlineStr">
        <is>
          <t>f56e96a8-020f-42cd-8c0d-a8acf1f7c212</t>
        </is>
      </c>
      <c r="G150" s="166">
        <f>IF(E150="","Inativo",IF(SUMPRODUCT(--(ISNUMBER(SEARCH({"Lapa","Santana","Mariana","Perdizes","André","Tatuapé","Madalena","Carinás","Pavão","Chac"},E150))))&gt;0,"Ativo","Inativo"))</f>
        <v/>
      </c>
    </row>
    <row r="151">
      <c r="A151" s="96" t="inlineStr">
        <is>
          <t>78989056877291</t>
        </is>
      </c>
      <c r="B151" s="97" t="inlineStr">
        <is>
          <t>FAROFA  DA CASA</t>
        </is>
      </c>
      <c r="C151" s="97" t="inlineStr">
        <is>
          <t>ACOMPANHAMENTOS</t>
        </is>
      </c>
      <c r="D151" s="98" t="inlineStr">
        <is>
          <t>Produto</t>
        </is>
      </c>
      <c r="E151"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Pavão</t>
        </is>
      </c>
      <c r="F151" s="165" t="inlineStr">
        <is>
          <t>3ec325f8-8db9-4272-93df-00d30c47a665</t>
        </is>
      </c>
      <c r="G151" s="166">
        <f>IF(E151="","Inativo",IF(SUMPRODUCT(--(ISNUMBER(SEARCH({"Lapa","Santana","Mariana","Perdizes","André","Tatuapé","Madalena","Carinás","Pavão","Chac"},E151))))&gt;0,"Ativo","Inativo"))</f>
        <v/>
      </c>
    </row>
    <row r="152">
      <c r="A152" s="96" t="inlineStr">
        <is>
          <t>78989056877329</t>
        </is>
      </c>
      <c r="B152" s="97" t="inlineStr">
        <is>
          <t>ANÉIS DE CEBOLA</t>
        </is>
      </c>
      <c r="C152" s="97" t="inlineStr">
        <is>
          <t>ACOMPANHAMENTOS</t>
        </is>
      </c>
      <c r="D152" s="98" t="inlineStr">
        <is>
          <t>Produto</t>
        </is>
      </c>
      <c r="E152" s="164" t="inlineStr">
        <is>
          <t>Delivery Lapa, Delivery Carinás, Delivery Vila Madalena, Delivery Tatuapé, Delivery Chac. Sto Antonio, Delivery Santo André, Delivery Pavão, Delivery V. Mariana, Delivery Perdizes, Delivery Santana</t>
        </is>
      </c>
      <c r="F152" s="165" t="inlineStr">
        <is>
          <t>02878df3-46f3-46fc-bb6a-4701d21dc53d</t>
        </is>
      </c>
      <c r="G152" s="166">
        <f>IF(E152="","Inativo",IF(SUMPRODUCT(--(ISNUMBER(SEARCH({"Lapa","Santana","Mariana","Perdizes","André","Tatuapé","Madalena","Carinás","Pavão","Chac"},E152))))&gt;0,"Ativo","Inativo"))</f>
        <v/>
      </c>
    </row>
    <row r="153">
      <c r="A153" s="96" t="inlineStr">
        <is>
          <t>78989056877330</t>
        </is>
      </c>
      <c r="B153" s="97" t="inlineStr">
        <is>
          <t>MANDIOCA FRITA</t>
        </is>
      </c>
      <c r="C153" s="97" t="inlineStr">
        <is>
          <t>ACOMPANHAMENTOS</t>
        </is>
      </c>
      <c r="D153" s="98" t="inlineStr">
        <is>
          <t>Produto</t>
        </is>
      </c>
      <c r="E153" s="164" t="inlineStr">
        <is>
          <t>Delivery Lapa, Delivery Carinás, Delivery Vila Madalena, Delivery Tatuapé, Delivery Chac. Sto Antonio, Delivery Santo André, Delivery Pavão, Delivery V. Mariana, Delivery Perdizes, Delivery Santana</t>
        </is>
      </c>
      <c r="F153" s="165" t="inlineStr">
        <is>
          <t>4e24c27e-e4bc-48fa-b695-7fb91387fefd</t>
        </is>
      </c>
      <c r="G153" s="166">
        <f>IF(E153="","Inativo",IF(SUMPRODUCT(--(ISNUMBER(SEARCH({"Lapa","Santana","Mariana","Perdizes","André","Tatuapé","Madalena","Carinás","Pavão","Chac"},E153))))&gt;0,"Ativo","Inativo"))</f>
        <v/>
      </c>
    </row>
    <row r="154">
      <c r="A154" s="96" t="inlineStr">
        <is>
          <t>78989056877331</t>
        </is>
      </c>
      <c r="B154" s="97" t="inlineStr">
        <is>
          <t>POLENTA FRITA</t>
        </is>
      </c>
      <c r="C154" s="97" t="inlineStr">
        <is>
          <t>ACOMPANHAMENTOS</t>
        </is>
      </c>
      <c r="D154" s="98" t="inlineStr">
        <is>
          <t>Produto</t>
        </is>
      </c>
      <c r="E154" s="164" t="inlineStr">
        <is>
          <t>Delivery Lapa, Delivery Carinás, Delivery Vila Madalena, Delivery Tatuapé, Delivery Chac. Sto Antonio, Delivery Santo André, Delivery Pavão, Delivery V. Mariana, Delivery Perdizes, Delivery Santana</t>
        </is>
      </c>
      <c r="F154" s="165" t="inlineStr">
        <is>
          <t>8ec815e5-fbbf-422d-bb79-4422a2116cac</t>
        </is>
      </c>
      <c r="G154" s="166">
        <f>IF(E154="","Inativo",IF(SUMPRODUCT(--(ISNUMBER(SEARCH({"Lapa","Santana","Mariana","Perdizes","André","Tatuapé","Madalena","Carinás","Pavão","Chac"},E154))))&gt;0,"Ativo","Inativo"))</f>
        <v/>
      </c>
    </row>
    <row r="155">
      <c r="A155" s="96" t="inlineStr">
        <is>
          <t>78989056877332</t>
        </is>
      </c>
      <c r="B155" s="97" t="inlineStr">
        <is>
          <t>BATATA FRITA</t>
        </is>
      </c>
      <c r="C155" s="97" t="inlineStr">
        <is>
          <t>ACOMPANHAMENTOS</t>
        </is>
      </c>
      <c r="D155" s="98" t="inlineStr">
        <is>
          <t>Produto</t>
        </is>
      </c>
      <c r="E155" s="164" t="inlineStr">
        <is>
          <t>Delivery Lapa, Delivery Carinás, Delivery Vila Madalena, Delivery Tatuapé, Delivery Chac. Sto Antonio, Delivery Santo André, Delivery Pavão, Delivery V. Mariana, Delivery Perdizes, Delivery Santana</t>
        </is>
      </c>
      <c r="F155" s="165" t="inlineStr">
        <is>
          <t>2ac30c3e-2dd7-4576-bd68-6f09c0317737</t>
        </is>
      </c>
      <c r="G155" s="166">
        <f>IF(E155="","Inativo",IF(SUMPRODUCT(--(ISNUMBER(SEARCH({"Lapa","Santana","Mariana","Perdizes","André","Tatuapé","Madalena","Carinás","Pavão","Chac"},E155))))&gt;0,"Ativo","Inativo"))</f>
        <v/>
      </c>
    </row>
    <row r="156">
      <c r="A156" s="96" t="inlineStr">
        <is>
          <t>78989056877333</t>
        </is>
      </c>
      <c r="B156" s="97" t="inlineStr">
        <is>
          <t>PURE E ABÓBORA</t>
        </is>
      </c>
      <c r="C156" s="97" t="inlineStr">
        <is>
          <t>ACOMPANHAMENTOS</t>
        </is>
      </c>
      <c r="D156" s="98" t="inlineStr">
        <is>
          <t>Produto</t>
        </is>
      </c>
      <c r="E156" s="164" t="inlineStr">
        <is>
          <t>Delivery Lapa, Delivery Carinás, Delivery Vila Madalena, Delivery Tatuapé, Delivery Chac. Sto Antonio, Delivery Santo André, Delivery Pavão, Delivery V. Mariana, Delivery Perdizes, Delivery Santana</t>
        </is>
      </c>
      <c r="F156" s="165" t="inlineStr">
        <is>
          <t>a1686719-e2ec-4ced-9ffb-e4d88134faee</t>
        </is>
      </c>
      <c r="G156" s="166">
        <f>IF(E156="","Inativo",IF(SUMPRODUCT(--(ISNUMBER(SEARCH({"Lapa","Santana","Mariana","Perdizes","André","Tatuapé","Madalena","Carinás","Pavão","Chac"},E156))))&gt;0,"Ativo","Inativo"))</f>
        <v/>
      </c>
    </row>
    <row r="157">
      <c r="A157" s="96" t="inlineStr">
        <is>
          <t>78989056877334</t>
        </is>
      </c>
      <c r="B157" s="97" t="inlineStr">
        <is>
          <t>PURE DE BATATA</t>
        </is>
      </c>
      <c r="C157" s="97" t="inlineStr">
        <is>
          <t>ACOMPANHAMENTOS</t>
        </is>
      </c>
      <c r="D157" s="98" t="inlineStr">
        <is>
          <t>Produto</t>
        </is>
      </c>
      <c r="E157" s="164" t="inlineStr">
        <is>
          <t>Delivery Lapa, Delivery Carinás, Delivery Vila Madalena, Delivery Tatuapé, Delivery Chac. Sto Antonio, Delivery Santo André, Delivery Pavão, Delivery V. Mariana, Delivery Perdizes, Delivery Santana</t>
        </is>
      </c>
      <c r="F157" s="165" t="inlineStr">
        <is>
          <t>3cb04d2a-eafb-4e06-a92f-55474c763af9</t>
        </is>
      </c>
      <c r="G157" s="166">
        <f>IF(E157="","Inativo",IF(SUMPRODUCT(--(ISNUMBER(SEARCH({"Lapa","Santana","Mariana","Perdizes","André","Tatuapé","Madalena","Carinás","Pavão","Chac"},E157))))&gt;0,"Ativo","Inativo"))</f>
        <v/>
      </c>
    </row>
    <row r="158">
      <c r="A158" s="96" t="inlineStr">
        <is>
          <t>78989056877337</t>
        </is>
      </c>
      <c r="B158" s="97" t="inlineStr">
        <is>
          <t>FEIJÃO</t>
        </is>
      </c>
      <c r="C158" s="97" t="inlineStr">
        <is>
          <t>ACOMPANHAMENTOS</t>
        </is>
      </c>
      <c r="D158" s="98" t="inlineStr">
        <is>
          <t>Produto</t>
        </is>
      </c>
      <c r="E158" s="164" t="inlineStr">
        <is>
          <t>Quintal do Espeto Lapa , Quintal do Espeto Chac Sto Antonio, Delivery Lapa, Delivery Carinás, Delivery Vila Madalena, Delivery Tatuapé, Delivery Chac. Sto Antonio, Quintal do Espeto  V. Mariana, Delivery Santo André, Delivery Pavão, Delivery V. Mariana, Delivery Perdizes, Quintal do Espeto Perdizes, Delivery Santana, Quintal do Espeto  V. Madalena, Quintal do Espeto Carinás, Quintal do Espeto Pavão</t>
        </is>
      </c>
      <c r="F158" s="165" t="inlineStr">
        <is>
          <t>722f1488-e361-4fef-ba18-c87ee4b59e79</t>
        </is>
      </c>
      <c r="G158" s="166">
        <f>IF(E158="","Inativo",IF(SUMPRODUCT(--(ISNUMBER(SEARCH({"Lapa","Santana","Mariana","Perdizes","André","Tatuapé","Madalena","Carinás","Pavão","Chac"},E158))))&gt;0,"Ativo","Inativo"))</f>
        <v/>
      </c>
    </row>
    <row r="159">
      <c r="A159" s="96" t="inlineStr">
        <is>
          <t>800001</t>
        </is>
      </c>
      <c r="B159" s="97" t="inlineStr">
        <is>
          <t>FRITAS</t>
        </is>
      </c>
      <c r="C159" s="97" t="inlineStr">
        <is>
          <t>ACOMPANHAMENTOS</t>
        </is>
      </c>
      <c r="D159" s="98" t="inlineStr">
        <is>
          <t>Produto</t>
        </is>
      </c>
      <c r="E15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59" s="165" t="inlineStr">
        <is>
          <t>f73ad169-f4ed-4fad-b08f-4f33a8bd856b</t>
        </is>
      </c>
      <c r="G159" s="166">
        <f>IF(E159="","Inativo",IF(SUMPRODUCT(--(ISNUMBER(SEARCH({"Lapa","Santana","Mariana","Perdizes","André","Tatuapé","Madalena","Carinás","Pavão","Chac"},E159))))&gt;0,"Ativo","Inativo"))</f>
        <v/>
      </c>
    </row>
    <row r="160">
      <c r="A160" s="96" t="inlineStr">
        <is>
          <t>800002</t>
        </is>
      </c>
      <c r="B160" s="97" t="inlineStr">
        <is>
          <t>VINAGRETE</t>
        </is>
      </c>
      <c r="C160" s="97" t="inlineStr">
        <is>
          <t>ACOMPANHAMENTOS</t>
        </is>
      </c>
      <c r="D160" s="98" t="inlineStr">
        <is>
          <t>Produto</t>
        </is>
      </c>
      <c r="E16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60" s="165" t="inlineStr">
        <is>
          <t>65460d05-179d-482a-9322-31e59a1567ff</t>
        </is>
      </c>
      <c r="G160" s="166">
        <f>IF(E160="","Inativo",IF(SUMPRODUCT(--(ISNUMBER(SEARCH({"Lapa","Santana","Mariana","Perdizes","André","Tatuapé","Madalena","Carinás","Pavão","Chac"},E160))))&gt;0,"Ativo","Inativo"))</f>
        <v/>
      </c>
    </row>
    <row r="161">
      <c r="A161" s="96" t="inlineStr">
        <is>
          <t>800003</t>
        </is>
      </c>
      <c r="B161" s="97" t="inlineStr">
        <is>
          <t>ARROZ</t>
        </is>
      </c>
      <c r="C161" s="97" t="inlineStr">
        <is>
          <t>ACOMPANHAMENTOS</t>
        </is>
      </c>
      <c r="D161" s="98" t="inlineStr">
        <is>
          <t>Produto</t>
        </is>
      </c>
      <c r="E161"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61" s="165" t="inlineStr">
        <is>
          <t>9c93a2cf-38cd-485c-95cc-feeca2f284b9</t>
        </is>
      </c>
      <c r="G161" s="166">
        <f>IF(E161="","Inativo",IF(SUMPRODUCT(--(ISNUMBER(SEARCH({"Lapa","Santana","Mariana","Perdizes","André","Tatuapé","Madalena","Carinás","Pavão","Chac"},E161))))&gt;0,"Ativo","Inativo"))</f>
        <v/>
      </c>
    </row>
    <row r="162">
      <c r="A162" s="96" t="inlineStr">
        <is>
          <t>800004</t>
        </is>
      </c>
      <c r="B162" s="97" t="inlineStr">
        <is>
          <t>FAROFA MARMITA</t>
        </is>
      </c>
      <c r="C162" s="97" t="inlineStr">
        <is>
          <t>ACOMPANHAMENTOS</t>
        </is>
      </c>
      <c r="D162" s="98" t="inlineStr">
        <is>
          <t>Produto</t>
        </is>
      </c>
      <c r="E16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62" s="165" t="inlineStr">
        <is>
          <t>ac77b68a-8acf-4f1f-a386-936757df44a2</t>
        </is>
      </c>
      <c r="G162" s="166">
        <f>IF(E162="","Inativo",IF(SUMPRODUCT(--(ISNUMBER(SEARCH({"Lapa","Santana","Mariana","Perdizes","André","Tatuapé","Madalena","Carinás","Pavão","Chac"},E162))))&gt;0,"Ativo","Inativo"))</f>
        <v/>
      </c>
    </row>
    <row r="163">
      <c r="A163" s="96" t="inlineStr">
        <is>
          <t>800006</t>
        </is>
      </c>
      <c r="B163" s="97" t="inlineStr">
        <is>
          <t>ARROZ BIRO BIRO</t>
        </is>
      </c>
      <c r="C163" s="97" t="inlineStr">
        <is>
          <t>ACOMPANHAMENTOS</t>
        </is>
      </c>
      <c r="D163" s="98" t="inlineStr">
        <is>
          <t>Produto</t>
        </is>
      </c>
      <c r="E16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163" s="165" t="inlineStr">
        <is>
          <t>fb85481a-6ed0-4d43-b58b-8448f2b70fb1</t>
        </is>
      </c>
      <c r="G163" s="166">
        <f>IF(E163="","Inativo",IF(SUMPRODUCT(--(ISNUMBER(SEARCH({"Lapa","Santana","Mariana","Perdizes","André","Tatuapé","Madalena","Carinás","Pavão","Chac"},E163))))&gt;0,"Ativo","Inativo"))</f>
        <v/>
      </c>
    </row>
    <row r="164">
      <c r="A164" s="96" t="inlineStr">
        <is>
          <t>9003307</t>
        </is>
      </c>
      <c r="B164" s="97" t="inlineStr">
        <is>
          <t>KIT 1:FAROFA/ARROZ BRANCO/VINAGRETE</t>
        </is>
      </c>
      <c r="C164" s="97" t="inlineStr">
        <is>
          <t>ACOMPANHAMENTOS</t>
        </is>
      </c>
      <c r="D164" s="98" t="inlineStr">
        <is>
          <t>Produto</t>
        </is>
      </c>
      <c r="E164" s="164" t="inlineStr">
        <is>
          <t>Delivery Interlagos, Delivery Lapa, Delivery Carinás, Delivery Vila Madalena, Delivery Tatuapé, Delivery Chac. Sto Antonio, Delivery Santo André, Delivery Pavão, Delivery V. Mariana, Delivery Perdizes, Delivery Santana</t>
        </is>
      </c>
      <c r="F164" s="165" t="inlineStr">
        <is>
          <t>f429b0f2-54b5-4df4-b913-a526f2291943</t>
        </is>
      </c>
      <c r="G164" s="166">
        <f>IF(E164="","Inativo",IF(SUMPRODUCT(--(ISNUMBER(SEARCH({"Lapa","Santana","Mariana","Perdizes","André","Tatuapé","Madalena","Carinás","Pavão","Chac"},E164))))&gt;0,"Ativo","Inativo"))</f>
        <v/>
      </c>
    </row>
    <row r="165">
      <c r="A165" s="96" t="inlineStr">
        <is>
          <t>9003308</t>
        </is>
      </c>
      <c r="B165" s="97" t="inlineStr">
        <is>
          <t>KIT 2:ARROZ BIRO BIRO/FAROFA/VINAGRETE</t>
        </is>
      </c>
      <c r="C165" s="97" t="inlineStr">
        <is>
          <t>ACOMPANHAMENTOS</t>
        </is>
      </c>
      <c r="D165" s="98" t="inlineStr">
        <is>
          <t>Produto</t>
        </is>
      </c>
      <c r="E165" s="164" t="inlineStr">
        <is>
          <t>Delivery Interlagos, Delivery Lapa, Delivery Carinás, Delivery Vila Madalena, Delivery Tatuapé, Delivery Chac. Sto Antonio, Delivery Santo André, Delivery Pavão, Delivery V. Mariana, Delivery Perdizes, Delivery Santana</t>
        </is>
      </c>
      <c r="F165" s="165" t="inlineStr">
        <is>
          <t>862a9760-b473-43ca-baf7-d91a60076c42</t>
        </is>
      </c>
      <c r="G165" s="166">
        <f>IF(E165="","Inativo",IF(SUMPRODUCT(--(ISNUMBER(SEARCH({"Lapa","Santana","Mariana","Perdizes","André","Tatuapé","Madalena","Carinás","Pavão","Chac"},E165))))&gt;0,"Ativo","Inativo"))</f>
        <v/>
      </c>
    </row>
    <row r="166">
      <c r="A166" s="96" t="inlineStr">
        <is>
          <t>101008</t>
        </is>
      </c>
      <c r="B166" s="97" t="inlineStr">
        <is>
          <t>SMINORFF ICE</t>
        </is>
      </c>
      <c r="C166" s="97" t="inlineStr">
        <is>
          <t>A DESTILADOS</t>
        </is>
      </c>
      <c r="D166" s="98" t="inlineStr">
        <is>
          <t>Produto</t>
        </is>
      </c>
      <c r="E16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66" s="165" t="inlineStr">
        <is>
          <t>1d36bbf4-5c77-4cc7-8de6-5f0416c2a58f</t>
        </is>
      </c>
      <c r="G166" s="166">
        <f>IF(E166="","Inativo",IF(SUMPRODUCT(--(ISNUMBER(SEARCH({"Lapa","Santana","Mariana","Perdizes","André","Tatuapé","Madalena","Carinás","Pavão","Chac"},E166))))&gt;0,"Ativo","Inativo"))</f>
        <v/>
      </c>
    </row>
    <row r="167">
      <c r="A167" s="96" t="inlineStr">
        <is>
          <t>101014</t>
        </is>
      </c>
      <c r="B167" s="97" t="inlineStr">
        <is>
          <t>MONTILLA OURO DOSE</t>
        </is>
      </c>
      <c r="C167" s="97" t="inlineStr">
        <is>
          <t>A DESTILADOS</t>
        </is>
      </c>
      <c r="D167" s="98" t="inlineStr">
        <is>
          <t>Produto</t>
        </is>
      </c>
      <c r="E16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67" s="165" t="inlineStr">
        <is>
          <t>d6dc5fd3-3098-4a23-9c10-14299b1c1b67</t>
        </is>
      </c>
      <c r="G167" s="166">
        <f>IF(E167="","Inativo",IF(SUMPRODUCT(--(ISNUMBER(SEARCH({"Lapa","Santana","Mariana","Perdizes","André","Tatuapé","Madalena","Carinás","Pavão","Chac"},E167))))&gt;0,"Ativo","Inativo"))</f>
        <v/>
      </c>
    </row>
    <row r="168">
      <c r="A168" s="96" t="inlineStr">
        <is>
          <t>101017</t>
        </is>
      </c>
      <c r="B168" s="97" t="inlineStr">
        <is>
          <t>SAO FRANCISCO DOSE</t>
        </is>
      </c>
      <c r="C168" s="97" t="inlineStr">
        <is>
          <t>A DESTILADOS</t>
        </is>
      </c>
      <c r="D168" s="98" t="inlineStr">
        <is>
          <t>Produto</t>
        </is>
      </c>
      <c r="E16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68" s="165" t="inlineStr">
        <is>
          <t>53f80591-bdd0-4725-98e3-5336f1b023ff</t>
        </is>
      </c>
      <c r="G168" s="166">
        <f>IF(E168="","Inativo",IF(SUMPRODUCT(--(ISNUMBER(SEARCH({"Lapa","Santana","Mariana","Perdizes","André","Tatuapé","Madalena","Carinás","Pavão","Chac"},E168))))&gt;0,"Ativo","Inativo"))</f>
        <v/>
      </c>
    </row>
    <row r="169">
      <c r="A169" s="96" t="inlineStr">
        <is>
          <t>102006</t>
        </is>
      </c>
      <c r="B169" s="97" t="inlineStr">
        <is>
          <t>LICOR 43 DOSE</t>
        </is>
      </c>
      <c r="C169" s="97" t="inlineStr">
        <is>
          <t>A DESTILADOS</t>
        </is>
      </c>
      <c r="D169" s="98" t="inlineStr">
        <is>
          <t>Produto</t>
        </is>
      </c>
      <c r="E16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69" s="165" t="inlineStr">
        <is>
          <t>ae4d3ce4-632b-4e09-ad12-543ac2062506</t>
        </is>
      </c>
      <c r="G169" s="166">
        <f>IF(E169="","Inativo",IF(SUMPRODUCT(--(ISNUMBER(SEARCH({"Lapa","Santana","Mariana","Perdizes","André","Tatuapé","Madalena","Carinás","Pavão","Chac"},E169))))&gt;0,"Ativo","Inativo"))</f>
        <v/>
      </c>
    </row>
    <row r="170">
      <c r="A170" s="96" t="inlineStr">
        <is>
          <t>102008</t>
        </is>
      </c>
      <c r="B170" s="97" t="inlineStr">
        <is>
          <t>TEQUILA PRATA DOSE</t>
        </is>
      </c>
      <c r="C170" s="97" t="inlineStr">
        <is>
          <t>A DESTILADOS</t>
        </is>
      </c>
      <c r="D170" s="98" t="inlineStr">
        <is>
          <t>Produto</t>
        </is>
      </c>
      <c r="E17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0" s="165" t="inlineStr">
        <is>
          <t>6beacfc2-a95e-443f-96bf-dec72c2ab474</t>
        </is>
      </c>
      <c r="G170" s="166">
        <f>IF(E170="","Inativo",IF(SUMPRODUCT(--(ISNUMBER(SEARCH({"Lapa","Santana","Mariana","Perdizes","André","Tatuapé","Madalena","Carinás","Pavão","Chac"},E170))))&gt;0,"Ativo","Inativo"))</f>
        <v/>
      </c>
    </row>
    <row r="171">
      <c r="A171" s="96" t="inlineStr">
        <is>
          <t>102012</t>
        </is>
      </c>
      <c r="B171" s="97" t="inlineStr">
        <is>
          <t>BEEFEATER DOSE</t>
        </is>
      </c>
      <c r="C171" s="97" t="inlineStr">
        <is>
          <t>A DESTILADOS</t>
        </is>
      </c>
      <c r="D171" s="98" t="inlineStr">
        <is>
          <t>Produto</t>
        </is>
      </c>
      <c r="E17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1" s="165" t="inlineStr">
        <is>
          <t>767a9a8b-d87e-419d-a4f7-cfc3b0ae828c</t>
        </is>
      </c>
      <c r="G171" s="166">
        <f>IF(E171="","Inativo",IF(SUMPRODUCT(--(ISNUMBER(SEARCH({"Lapa","Santana","Mariana","Perdizes","André","Tatuapé","Madalena","Carinás","Pavão","Chac"},E171))))&gt;0,"Ativo","Inativo"))</f>
        <v/>
      </c>
    </row>
    <row r="172">
      <c r="A172" s="96" t="inlineStr">
        <is>
          <t>15460</t>
        </is>
      </c>
      <c r="B172" s="97" t="inlineStr">
        <is>
          <t xml:space="preserve"> VINHO QUENTE</t>
        </is>
      </c>
      <c r="C172" s="97" t="inlineStr">
        <is>
          <t>A DESTILADOS</t>
        </is>
      </c>
      <c r="D172" s="98" t="inlineStr">
        <is>
          <t>Produto</t>
        </is>
      </c>
      <c r="E17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2" s="165" t="inlineStr">
        <is>
          <t>b9fc2019-1afd-40f4-b8bc-d0e398433b85</t>
        </is>
      </c>
      <c r="G172" s="166">
        <f>IF(E172="","Inativo",IF(SUMPRODUCT(--(ISNUMBER(SEARCH({"Lapa","Santana","Mariana","Perdizes","André","Tatuapé","Madalena","Carinás","Pavão","Chac"},E172))))&gt;0,"Ativo","Inativo"))</f>
        <v/>
      </c>
    </row>
    <row r="173">
      <c r="A173" s="96" t="inlineStr">
        <is>
          <t>56451</t>
        </is>
      </c>
      <c r="B173" s="97" t="inlineStr">
        <is>
          <t>MONTILLA PRATA DOSE</t>
        </is>
      </c>
      <c r="C173" s="97" t="inlineStr">
        <is>
          <t>A DESTILADOS</t>
        </is>
      </c>
      <c r="D173" s="98" t="inlineStr">
        <is>
          <t>Produto</t>
        </is>
      </c>
      <c r="E17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3" s="165" t="inlineStr">
        <is>
          <t>911cbde8-5c83-4c76-a1c1-97c854eebf55</t>
        </is>
      </c>
      <c r="G173" s="166">
        <f>IF(E173="","Inativo",IF(SUMPRODUCT(--(ISNUMBER(SEARCH({"Lapa","Santana","Mariana","Perdizes","André","Tatuapé","Madalena","Carinás","Pavão","Chac"},E173))))&gt;0,"Ativo","Inativo"))</f>
        <v/>
      </c>
    </row>
    <row r="174">
      <c r="A174" s="96" t="inlineStr">
        <is>
          <t>61180</t>
        </is>
      </c>
      <c r="B174" s="97" t="inlineStr">
        <is>
          <t>CAMPARI DOSE</t>
        </is>
      </c>
      <c r="C174" s="97" t="inlineStr">
        <is>
          <t>A DESTILADOS</t>
        </is>
      </c>
      <c r="D174" s="98" t="inlineStr">
        <is>
          <t>Produto</t>
        </is>
      </c>
      <c r="E17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4" s="165" t="inlineStr">
        <is>
          <t>1d91907f-f9dd-4ec0-8fd0-002245e6002d</t>
        </is>
      </c>
      <c r="G174" s="166">
        <f>IF(E174="","Inativo",IF(SUMPRODUCT(--(ISNUMBER(SEARCH({"Lapa","Santana","Mariana","Perdizes","André","Tatuapé","Madalena","Carinás","Pavão","Chac"},E174))))&gt;0,"Ativo","Inativo"))</f>
        <v/>
      </c>
    </row>
    <row r="175">
      <c r="A175" s="96" t="inlineStr">
        <is>
          <t>78792</t>
        </is>
      </c>
      <c r="B175" s="97" t="inlineStr">
        <is>
          <t>TEQUILA OURO DOSE</t>
        </is>
      </c>
      <c r="C175" s="97" t="inlineStr">
        <is>
          <t>A DESTILADOS</t>
        </is>
      </c>
      <c r="D175" s="98" t="inlineStr">
        <is>
          <t>Produto</t>
        </is>
      </c>
      <c r="E17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5" s="165" t="inlineStr">
        <is>
          <t>323798b0-e35d-4350-846c-5f1946d4ffc1</t>
        </is>
      </c>
      <c r="G175" s="166">
        <f>IF(E175="","Inativo",IF(SUMPRODUCT(--(ISNUMBER(SEARCH({"Lapa","Santana","Mariana","Perdizes","André","Tatuapé","Madalena","Carinás","Pavão","Chac"},E175))))&gt;0,"Ativo","Inativo"))</f>
        <v/>
      </c>
    </row>
    <row r="176">
      <c r="A176" s="96" t="inlineStr">
        <is>
          <t>78989056877166</t>
        </is>
      </c>
      <c r="B176" s="97" t="inlineStr">
        <is>
          <t>QUENTÃO</t>
        </is>
      </c>
      <c r="C176" s="97" t="inlineStr">
        <is>
          <t>A DESTILADOS</t>
        </is>
      </c>
      <c r="D176" s="98" t="inlineStr">
        <is>
          <t>Produto</t>
        </is>
      </c>
      <c r="E17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6" s="165" t="inlineStr">
        <is>
          <t>2a11fd5c-1c80-40f6-b6c9-b7828d8d3b8c</t>
        </is>
      </c>
      <c r="G176" s="166">
        <f>IF(E176="","Inativo",IF(SUMPRODUCT(--(ISNUMBER(SEARCH({"Lapa","Santana","Mariana","Perdizes","André","Tatuapé","Madalena","Carinás","Pavão","Chac"},E176))))&gt;0,"Ativo","Inativo"))</f>
        <v/>
      </c>
    </row>
    <row r="177">
      <c r="A177" s="96" t="inlineStr">
        <is>
          <t>78989056877195</t>
        </is>
      </c>
      <c r="B177" s="97" t="inlineStr">
        <is>
          <t>LICOR BAUNY DOSE</t>
        </is>
      </c>
      <c r="C177" s="97" t="inlineStr">
        <is>
          <t>A DESTILADOS</t>
        </is>
      </c>
      <c r="D177" s="98" t="inlineStr">
        <is>
          <t>Produto</t>
        </is>
      </c>
      <c r="E17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177" s="165" t="inlineStr">
        <is>
          <t>9adc5717-564c-438a-92db-1e6c94998d55</t>
        </is>
      </c>
      <c r="G177" s="166">
        <f>IF(E177="","Inativo",IF(SUMPRODUCT(--(ISNUMBER(SEARCH({"Lapa","Santana","Mariana","Perdizes","André","Tatuapé","Madalena","Carinás","Pavão","Chac"},E177))))&gt;0,"Ativo","Inativo"))</f>
        <v/>
      </c>
    </row>
    <row r="178">
      <c r="A178" s="96" t="inlineStr">
        <is>
          <t>78989956877326</t>
        </is>
      </c>
      <c r="B178" s="97" t="inlineStr">
        <is>
          <t>Balde Srminoff ice</t>
        </is>
      </c>
      <c r="C178" s="97" t="inlineStr">
        <is>
          <t>A DESTILADOS</t>
        </is>
      </c>
      <c r="D178" s="98" t="inlineStr">
        <is>
          <t>Produto</t>
        </is>
      </c>
      <c r="E17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78" s="165" t="inlineStr">
        <is>
          <t>fbae23b1-17ec-47d2-9320-b3b9e8d0374d</t>
        </is>
      </c>
      <c r="G178" s="166">
        <f>IF(E178="","Inativo",IF(SUMPRODUCT(--(ISNUMBER(SEARCH({"Lapa","Santana","Mariana","Perdizes","André","Tatuapé","Madalena","Carinás","Pavão","Chac"},E178))))&gt;0,"Ativo","Inativo"))</f>
        <v/>
      </c>
    </row>
    <row r="179">
      <c r="A179" s="96" t="inlineStr">
        <is>
          <t>89552</t>
        </is>
      </c>
      <c r="B179" s="97" t="inlineStr">
        <is>
          <t>ABSOLUT DOSE</t>
        </is>
      </c>
      <c r="C179" s="97" t="inlineStr">
        <is>
          <t>A DESTILADOS</t>
        </is>
      </c>
      <c r="D179" s="98" t="inlineStr">
        <is>
          <t>Produto</t>
        </is>
      </c>
      <c r="E17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79" s="165" t="inlineStr">
        <is>
          <t>69fdf307-43d3-4b7a-bd8f-daf0f274d262</t>
        </is>
      </c>
      <c r="G179" s="166">
        <f>IF(E179="","Inativo",IF(SUMPRODUCT(--(ISNUMBER(SEARCH({"Lapa","Santana","Mariana","Perdizes","André","Tatuapé","Madalena","Carinás","Pavão","Chac"},E179))))&gt;0,"Ativo","Inativo"))</f>
        <v/>
      </c>
    </row>
    <row r="180">
      <c r="A180" s="96" t="inlineStr">
        <is>
          <t>9003140</t>
        </is>
      </c>
      <c r="B180" s="97" t="inlineStr">
        <is>
          <t>SABOR DE MINAS DOSE</t>
        </is>
      </c>
      <c r="C180" s="97" t="inlineStr">
        <is>
          <t>A DESTILADOS</t>
        </is>
      </c>
      <c r="D180" s="98" t="inlineStr">
        <is>
          <t>Produto</t>
        </is>
      </c>
      <c r="E180"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180" s="165" t="inlineStr">
        <is>
          <t>9d21ef69-ef2e-454d-b300-12d9a7f628fd</t>
        </is>
      </c>
      <c r="G180" s="166">
        <f>IF(E180="","Inativo",IF(SUMPRODUCT(--(ISNUMBER(SEARCH({"Lapa","Santana","Mariana","Perdizes","André","Tatuapé","Madalena","Carinás","Pavão","Chac"},E180))))&gt;0,"Ativo","Inativo"))</f>
        <v/>
      </c>
    </row>
    <row r="181">
      <c r="A181" s="96" t="inlineStr">
        <is>
          <t>9003161</t>
        </is>
      </c>
      <c r="B181" s="97" t="inlineStr">
        <is>
          <t>CACHAÇA QUINTAL PRATA DOSE</t>
        </is>
      </c>
      <c r="C181" s="97" t="inlineStr">
        <is>
          <t>A DESTILADOS</t>
        </is>
      </c>
      <c r="D181" s="98" t="inlineStr">
        <is>
          <t>Produto</t>
        </is>
      </c>
      <c r="E18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1" s="165" t="inlineStr">
        <is>
          <t>9ea4e043-7137-424d-bed5-370a11d5b174</t>
        </is>
      </c>
      <c r="G181" s="166">
        <f>IF(E181="","Inativo",IF(SUMPRODUCT(--(ISNUMBER(SEARCH({"Lapa","Santana","Mariana","Perdizes","André","Tatuapé","Madalena","Carinás","Pavão","Chac"},E181))))&gt;0,"Ativo","Inativo"))</f>
        <v/>
      </c>
    </row>
    <row r="182">
      <c r="A182" s="96" t="inlineStr">
        <is>
          <t>9003163</t>
        </is>
      </c>
      <c r="B182" s="97" t="inlineStr">
        <is>
          <t>CACHAÇA QUINTAL OURO DOSE</t>
        </is>
      </c>
      <c r="C182" s="97" t="inlineStr">
        <is>
          <t>A DESTILADOS</t>
        </is>
      </c>
      <c r="D182" s="98" t="inlineStr">
        <is>
          <t>Produto</t>
        </is>
      </c>
      <c r="E18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2" s="165" t="inlineStr">
        <is>
          <t>21af8590-1bcf-4d5c-8d1b-be0f5fd49db0</t>
        </is>
      </c>
      <c r="G182" s="166">
        <f>IF(E182="","Inativo",IF(SUMPRODUCT(--(ISNUMBER(SEARCH({"Lapa","Santana","Mariana","Perdizes","André","Tatuapé","Madalena","Carinás","Pavão","Chac"},E182))))&gt;0,"Ativo","Inativo"))</f>
        <v/>
      </c>
    </row>
    <row r="183">
      <c r="A183" s="96" t="inlineStr">
        <is>
          <t>9003165</t>
        </is>
      </c>
      <c r="B183" s="97" t="inlineStr">
        <is>
          <t>CACHAÇA QUINTAL MEL E LIMÃO DOSE</t>
        </is>
      </c>
      <c r="C183" s="97" t="inlineStr">
        <is>
          <t>A DESTILADOS</t>
        </is>
      </c>
      <c r="D183" s="98" t="inlineStr">
        <is>
          <t>Produto</t>
        </is>
      </c>
      <c r="E18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3" s="165" t="inlineStr">
        <is>
          <t>20634851-2223-4d78-990c-8b4ef8fec61e</t>
        </is>
      </c>
      <c r="G183" s="166">
        <f>IF(E183="","Inativo",IF(SUMPRODUCT(--(ISNUMBER(SEARCH({"Lapa","Santana","Mariana","Perdizes","André","Tatuapé","Madalena","Carinás","Pavão","Chac"},E183))))&gt;0,"Ativo","Inativo"))</f>
        <v/>
      </c>
    </row>
    <row r="184">
      <c r="A184" s="96" t="inlineStr">
        <is>
          <t>9003482</t>
        </is>
      </c>
      <c r="B184" s="97" t="inlineStr">
        <is>
          <t>GIN TANQUERAY DOSE</t>
        </is>
      </c>
      <c r="C184" s="97" t="inlineStr">
        <is>
          <t>A DESTILADOS</t>
        </is>
      </c>
      <c r="D184" s="98" t="inlineStr">
        <is>
          <t>Produto</t>
        </is>
      </c>
      <c r="E18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4" s="165" t="inlineStr">
        <is>
          <t>e905f763-96c0-47f7-91d0-8dde2d8114a5</t>
        </is>
      </c>
      <c r="G184" s="166">
        <f>IF(E184="","Inativo",IF(SUMPRODUCT(--(ISNUMBER(SEARCH({"Lapa","Santana","Mariana","Perdizes","André","Tatuapé","Madalena","Carinás","Pavão","Chac"},E184))))&gt;0,"Ativo","Inativo"))</f>
        <v/>
      </c>
    </row>
    <row r="185">
      <c r="A185" s="96" t="inlineStr">
        <is>
          <t>21069094</t>
        </is>
      </c>
      <c r="B185" s="97" t="inlineStr">
        <is>
          <t>VINHO CASA DE TANGO 750 ML TT</t>
        </is>
      </c>
      <c r="C185" s="97" t="inlineStr">
        <is>
          <t>VINHOS TINTOS</t>
        </is>
      </c>
      <c r="D185" s="98" t="inlineStr">
        <is>
          <t>Produto</t>
        </is>
      </c>
      <c r="E185" s="164" t="n"/>
      <c r="F185" s="165" t="inlineStr">
        <is>
          <t>7b5d973f-98c3-4594-b3b1-771352891b87</t>
        </is>
      </c>
      <c r="G185" s="166">
        <f>IF(E185="","Inativo",IF(SUMPRODUCT(--(ISNUMBER(SEARCH({"Lapa","Santana","Mariana","Perdizes","André","Tatuapé","Madalena","Carinás","Pavão","Chac"},E185))))&gt;0,"Ativo","Inativo"))</f>
        <v/>
      </c>
    </row>
    <row r="186">
      <c r="A186" s="96" t="inlineStr">
        <is>
          <t>21069095</t>
        </is>
      </c>
      <c r="B186" s="97" t="inlineStr">
        <is>
          <t>VINHO GALLO REI</t>
        </is>
      </c>
      <c r="C186" s="97" t="inlineStr">
        <is>
          <t>VINHOS TINTOS</t>
        </is>
      </c>
      <c r="D186" s="98" t="inlineStr">
        <is>
          <t>Produto</t>
        </is>
      </c>
      <c r="E18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186" s="165" t="inlineStr">
        <is>
          <t>49c13390-2ad6-4e0c-898f-f37c86193bdc</t>
        </is>
      </c>
      <c r="G186" s="166">
        <f>IF(E186="","Inativo",IF(SUMPRODUCT(--(ISNUMBER(SEARCH({"Lapa","Santana","Mariana","Perdizes","André","Tatuapé","Madalena","Carinás","Pavão","Chac"},E186))))&gt;0,"Ativo","Inativo"))</f>
        <v/>
      </c>
    </row>
    <row r="187">
      <c r="A187" s="96" t="inlineStr">
        <is>
          <t>300066</t>
        </is>
      </c>
      <c r="B187" s="97" t="inlineStr">
        <is>
          <t>ANTARES CARMENERE 750 ml</t>
        </is>
      </c>
      <c r="C187" s="97" t="inlineStr">
        <is>
          <t>VINHOS TINTOS</t>
        </is>
      </c>
      <c r="D187" s="98" t="inlineStr">
        <is>
          <t>Produto</t>
        </is>
      </c>
      <c r="E18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7" s="165" t="inlineStr">
        <is>
          <t>d2a3e5ca-5e26-4cea-8265-7c50b097292c</t>
        </is>
      </c>
      <c r="G187" s="166">
        <f>IF(E187="","Inativo",IF(SUMPRODUCT(--(ISNUMBER(SEARCH({"Lapa","Santana","Mariana","Perdizes","André","Tatuapé","Madalena","Carinás","Pavão","Chac"},E187))))&gt;0,"Ativo","Inativo"))</f>
        <v/>
      </c>
    </row>
    <row r="188">
      <c r="A188" s="96" t="inlineStr">
        <is>
          <t>300202</t>
        </is>
      </c>
      <c r="B188" s="97" t="inlineStr">
        <is>
          <t xml:space="preserve">LAMBRUSCO </t>
        </is>
      </c>
      <c r="C188" s="97" t="inlineStr">
        <is>
          <t>VINHOS TINTOS</t>
        </is>
      </c>
      <c r="D188" s="98" t="inlineStr">
        <is>
          <t>Produto</t>
        </is>
      </c>
      <c r="E18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8" s="165" t="inlineStr">
        <is>
          <t>ba178f21-f5f6-41ee-b90c-dc2cf6362573</t>
        </is>
      </c>
      <c r="G188" s="166">
        <f>IF(E188="","Inativo",IF(SUMPRODUCT(--(ISNUMBER(SEARCH({"Lapa","Santana","Mariana","Perdizes","André","Tatuapé","Madalena","Carinás","Pavão","Chac"},E188))))&gt;0,"Ativo","Inativo"))</f>
        <v/>
      </c>
    </row>
    <row r="189">
      <c r="A189" s="96" t="inlineStr">
        <is>
          <t>7898905687190</t>
        </is>
      </c>
      <c r="B189" s="97" t="inlineStr">
        <is>
          <t>NORTON PORTEÑO MALBEC</t>
        </is>
      </c>
      <c r="C189" s="97" t="inlineStr">
        <is>
          <t>VINHOS TINTOS</t>
        </is>
      </c>
      <c r="D189" s="98" t="inlineStr">
        <is>
          <t>Produto</t>
        </is>
      </c>
      <c r="E18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189" s="165" t="inlineStr">
        <is>
          <t>61fabcc8-6c25-4496-89ac-127b1a30f8ba</t>
        </is>
      </c>
      <c r="G189" s="166">
        <f>IF(E189="","Inativo",IF(SUMPRODUCT(--(ISNUMBER(SEARCH({"Lapa","Santana","Mariana","Perdizes","André","Tatuapé","Madalena","Carinás","Pavão","Chac"},E189))))&gt;0,"Ativo","Inativo"))</f>
        <v/>
      </c>
    </row>
    <row r="190">
      <c r="A190" s="96" t="inlineStr">
        <is>
          <t>789890568772117</t>
        </is>
      </c>
      <c r="B190" s="97" t="inlineStr">
        <is>
          <t>VINHO TINTO PORTUGUES TERRA DEL REI ALENTEJO 750ML</t>
        </is>
      </c>
      <c r="C190" s="97" t="inlineStr">
        <is>
          <t>VINHOS TINTOS</t>
        </is>
      </c>
      <c r="D190" s="98" t="inlineStr">
        <is>
          <t>Produto</t>
        </is>
      </c>
      <c r="E190" s="164" t="inlineStr">
        <is>
          <t>Quintal do Espeto Lapa , Quintal do Espeto Santo André, Quintal do Espeto Chac Sto Antonio, Quintal do Espeto Santana, Quintal do Espeto Perdizes, Quintal do Espeto Tatuapé, Quintal do Espeto  V. Madalena, Quintal do Espeto Carinás, Quintal do Espeto Pavão</t>
        </is>
      </c>
      <c r="F190" s="165" t="inlineStr">
        <is>
          <t>3b8c7504-4449-4d5b-9052-4ef9680bd602</t>
        </is>
      </c>
      <c r="G190" s="166">
        <f>IF(E190="","Inativo",IF(SUMPRODUCT(--(ISNUMBER(SEARCH({"Lapa","Santana","Mariana","Perdizes","André","Tatuapé","Madalena","Carinás","Pavão","Chac"},E190))))&gt;0,"Ativo","Inativo"))</f>
        <v/>
      </c>
    </row>
    <row r="191">
      <c r="A191" s="96" t="inlineStr">
        <is>
          <t>789890568772119</t>
        </is>
      </c>
      <c r="B191" s="97" t="inlineStr">
        <is>
          <t>VINHO CHILENO VISTANA CABERNET SAUVINGON 375ML</t>
        </is>
      </c>
      <c r="C191" s="97" t="inlineStr">
        <is>
          <t>VINHOS TINTOS</t>
        </is>
      </c>
      <c r="D191" s="98" t="inlineStr">
        <is>
          <t>Produto</t>
        </is>
      </c>
      <c r="E19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1" s="165" t="inlineStr">
        <is>
          <t>64faf0ca-26f7-47b4-9f42-e34cef1ccb74</t>
        </is>
      </c>
      <c r="G191" s="166">
        <f>IF(E191="","Inativo",IF(SUMPRODUCT(--(ISNUMBER(SEARCH({"Lapa","Santana","Mariana","Perdizes","André","Tatuapé","Madalena","Carinás","Pavão","Chac"},E191))))&gt;0,"Ativo","Inativo"))</f>
        <v/>
      </c>
    </row>
    <row r="192">
      <c r="A192" s="96" t="inlineStr">
        <is>
          <t>789890568772120</t>
        </is>
      </c>
      <c r="B192" s="97" t="inlineStr">
        <is>
          <t>VINHO CHILENO VISTANA CABERNET MERLOT 375ML</t>
        </is>
      </c>
      <c r="C192" s="97" t="inlineStr">
        <is>
          <t>VINHOS TINTOS</t>
        </is>
      </c>
      <c r="D192" s="98" t="inlineStr">
        <is>
          <t>Produto</t>
        </is>
      </c>
      <c r="E19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2" s="165" t="inlineStr">
        <is>
          <t>bed47a49-4a31-4d9a-b454-d3bcfac32e0f</t>
        </is>
      </c>
      <c r="G192" s="166">
        <f>IF(E192="","Inativo",IF(SUMPRODUCT(--(ISNUMBER(SEARCH({"Lapa","Santana","Mariana","Perdizes","André","Tatuapé","Madalena","Carinás","Pavão","Chac"},E192))))&gt;0,"Ativo","Inativo"))</f>
        <v/>
      </c>
    </row>
    <row r="193">
      <c r="A193" s="96" t="inlineStr">
        <is>
          <t>789890568772123</t>
        </is>
      </c>
      <c r="B193" s="97" t="inlineStr">
        <is>
          <t>VINHO ARGENTINO ALFREDO ROCA MALBEC 375ML</t>
        </is>
      </c>
      <c r="C193" s="97" t="inlineStr">
        <is>
          <t>VINHOS TINTOS</t>
        </is>
      </c>
      <c r="D193" s="98" t="inlineStr">
        <is>
          <t>Produto</t>
        </is>
      </c>
      <c r="E19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3" s="165" t="inlineStr">
        <is>
          <t>b8f6780c-6ecb-40b5-aba8-8bd1e1a3520e</t>
        </is>
      </c>
      <c r="G193" s="166">
        <f>IF(E193="","Inativo",IF(SUMPRODUCT(--(ISNUMBER(SEARCH({"Lapa","Santana","Mariana","Perdizes","André","Tatuapé","Madalena","Carinás","Pavão","Chac"},E193))))&gt;0,"Ativo","Inativo"))</f>
        <v/>
      </c>
    </row>
    <row r="194">
      <c r="A194" s="96" t="inlineStr">
        <is>
          <t>789890568772124</t>
        </is>
      </c>
      <c r="B194" s="97" t="inlineStr">
        <is>
          <t>VINHO ARGENTINO ALFREDO ROCA CHARDONNAY 375ML</t>
        </is>
      </c>
      <c r="C194" s="97" t="inlineStr">
        <is>
          <t>VINHOS TINTOS</t>
        </is>
      </c>
      <c r="D194" s="98" t="inlineStr">
        <is>
          <t>Produto</t>
        </is>
      </c>
      <c r="E19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4" s="165" t="inlineStr">
        <is>
          <t>74c44ae2-f977-4bf3-bb5f-44ca3325b8b3</t>
        </is>
      </c>
      <c r="G194" s="166">
        <f>IF(E194="","Inativo",IF(SUMPRODUCT(--(ISNUMBER(SEARCH({"Lapa","Santana","Mariana","Perdizes","André","Tatuapé","Madalena","Carinás","Pavão","Chac"},E194))))&gt;0,"Ativo","Inativo"))</f>
        <v/>
      </c>
    </row>
    <row r="195">
      <c r="A195" s="96" t="inlineStr">
        <is>
          <t>789890568772125</t>
        </is>
      </c>
      <c r="B195" s="97" t="inlineStr">
        <is>
          <t>VINHO ESPANHOL PATA NEGRA ORO TEMPRANILLO 750ML</t>
        </is>
      </c>
      <c r="C195" s="97" t="inlineStr">
        <is>
          <t>VINHOS TINTOS</t>
        </is>
      </c>
      <c r="D195" s="98" t="inlineStr">
        <is>
          <t>Produto</t>
        </is>
      </c>
      <c r="E19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5" s="165" t="inlineStr">
        <is>
          <t>7794589e-2162-4aba-8b3d-775846930128</t>
        </is>
      </c>
      <c r="G195" s="166">
        <f>IF(E195="","Inativo",IF(SUMPRODUCT(--(ISNUMBER(SEARCH({"Lapa","Santana","Mariana","Perdizes","André","Tatuapé","Madalena","Carinás","Pavão","Chac"},E195))))&gt;0,"Ativo","Inativo"))</f>
        <v/>
      </c>
    </row>
    <row r="196">
      <c r="A196" s="96" t="inlineStr">
        <is>
          <t>789890568772128</t>
        </is>
      </c>
      <c r="B196" s="97" t="inlineStr">
        <is>
          <t>VINHO ITALIANO LAMBRUSCO VILLA FABRIZIA TINTO 750ML</t>
        </is>
      </c>
      <c r="C196" s="97" t="inlineStr">
        <is>
          <t>VINHOS TINTOS</t>
        </is>
      </c>
      <c r="D196" s="98" t="inlineStr">
        <is>
          <t>Produto</t>
        </is>
      </c>
      <c r="E19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6" s="165" t="inlineStr">
        <is>
          <t>01e6fa72-660d-45cc-a5b6-36599ca6fa1e</t>
        </is>
      </c>
      <c r="G196" s="166">
        <f>IF(E196="","Inativo",IF(SUMPRODUCT(--(ISNUMBER(SEARCH({"Lapa","Santana","Mariana","Perdizes","André","Tatuapé","Madalena","Carinás","Pavão","Chac"},E196))))&gt;0,"Ativo","Inativo"))</f>
        <v/>
      </c>
    </row>
    <row r="197">
      <c r="A197" s="96" t="inlineStr">
        <is>
          <t>789890568772129</t>
        </is>
      </c>
      <c r="B197" s="97" t="inlineStr">
        <is>
          <t>VINHO FRANCES MONTMEYRAC TINTO 750 ML</t>
        </is>
      </c>
      <c r="C197" s="97" t="inlineStr">
        <is>
          <t>VINHOS TINTOS</t>
        </is>
      </c>
      <c r="D197" s="98" t="inlineStr">
        <is>
          <t>Produto</t>
        </is>
      </c>
      <c r="E19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7" s="165" t="inlineStr">
        <is>
          <t>3e38a78f-16bd-4732-aa31-a882206ae4a5</t>
        </is>
      </c>
      <c r="G197" s="166">
        <f>IF(E197="","Inativo",IF(SUMPRODUCT(--(ISNUMBER(SEARCH({"Lapa","Santana","Mariana","Perdizes","André","Tatuapé","Madalena","Carinás","Pavão","Chac"},E197))))&gt;0,"Ativo","Inativo"))</f>
        <v/>
      </c>
    </row>
    <row r="198">
      <c r="A198" s="96" t="inlineStr">
        <is>
          <t>789890568772132</t>
        </is>
      </c>
      <c r="B198" s="97" t="inlineStr">
        <is>
          <t>VINHO ARGENTINO PORTENO MALBEC 750ML</t>
        </is>
      </c>
      <c r="C198" s="97" t="inlineStr">
        <is>
          <t>VINHOS TINTOS</t>
        </is>
      </c>
      <c r="D198" s="98" t="inlineStr">
        <is>
          <t>Produto</t>
        </is>
      </c>
      <c r="E19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8" s="165" t="inlineStr">
        <is>
          <t>bf085b02-e2fd-4d87-8e6c-78b22d187cd0</t>
        </is>
      </c>
      <c r="G198" s="166">
        <f>IF(E198="","Inativo",IF(SUMPRODUCT(--(ISNUMBER(SEARCH({"Lapa","Santana","Mariana","Perdizes","André","Tatuapé","Madalena","Carinás","Pavão","Chac"},E198))))&gt;0,"Ativo","Inativo"))</f>
        <v/>
      </c>
    </row>
    <row r="199">
      <c r="A199" s="96" t="inlineStr">
        <is>
          <t>789890568772134</t>
        </is>
      </c>
      <c r="B199" s="97" t="inlineStr">
        <is>
          <t xml:space="preserve">VINHO ITALIANO TARVENELLO ROSSO D'ITALIA 750ML </t>
        </is>
      </c>
      <c r="C199" s="97" t="inlineStr">
        <is>
          <t>VINHOS TINTOS</t>
        </is>
      </c>
      <c r="D199" s="98" t="inlineStr">
        <is>
          <t>Produto</t>
        </is>
      </c>
      <c r="E19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199" s="165" t="inlineStr">
        <is>
          <t>dc62e111-2596-42f0-a127-0702a281f30e</t>
        </is>
      </c>
      <c r="G199" s="166">
        <f>IF(E199="","Inativo",IF(SUMPRODUCT(--(ISNUMBER(SEARCH({"Lapa","Santana","Mariana","Perdizes","André","Tatuapé","Madalena","Carinás","Pavão","Chac"},E199))))&gt;0,"Ativo","Inativo"))</f>
        <v/>
      </c>
    </row>
    <row r="200">
      <c r="A200" s="96" t="inlineStr">
        <is>
          <t>78989056877214</t>
        </is>
      </c>
      <c r="B200" s="97" t="inlineStr">
        <is>
          <t>SIEMPRE TENGO MALBEC</t>
        </is>
      </c>
      <c r="C200" s="97" t="inlineStr">
        <is>
          <t>VINHOS TINTOS</t>
        </is>
      </c>
      <c r="D200" s="98" t="inlineStr">
        <is>
          <t>Produto</t>
        </is>
      </c>
      <c r="E20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00" s="165" t="inlineStr">
        <is>
          <t>3584101b-000b-4941-b46f-331f77486076</t>
        </is>
      </c>
      <c r="G200" s="166">
        <f>IF(E200="","Inativo",IF(SUMPRODUCT(--(ISNUMBER(SEARCH({"Lapa","Santana","Mariana","Perdizes","André","Tatuapé","Madalena","Carinás","Pavão","Chac"},E200))))&gt;0,"Ativo","Inativo"))</f>
        <v/>
      </c>
    </row>
    <row r="201">
      <c r="A201" s="96" t="inlineStr">
        <is>
          <t>78989056877215</t>
        </is>
      </c>
      <c r="B201" s="97" t="inlineStr">
        <is>
          <t>SIEMPRE TENGO UN PLAN B BONARDA</t>
        </is>
      </c>
      <c r="C201" s="97" t="inlineStr">
        <is>
          <t>VINHOS TINTOS</t>
        </is>
      </c>
      <c r="D201" s="98" t="inlineStr">
        <is>
          <t>Produto</t>
        </is>
      </c>
      <c r="E20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01" s="165" t="inlineStr">
        <is>
          <t>f37a261d-a431-4616-966b-71833b343fa2</t>
        </is>
      </c>
      <c r="G201" s="166">
        <f>IF(E201="","Inativo",IF(SUMPRODUCT(--(ISNUMBER(SEARCH({"Lapa","Santana","Mariana","Perdizes","André","Tatuapé","Madalena","Carinás","Pavão","Chac"},E201))))&gt;0,"Ativo","Inativo"))</f>
        <v/>
      </c>
    </row>
    <row r="202">
      <c r="A202" s="96" t="inlineStr">
        <is>
          <t>78989056877216</t>
        </is>
      </c>
      <c r="B202" s="97" t="inlineStr">
        <is>
          <t>SIEMPRE TENGO UN PLAN B CABERNET SAUVIGNON</t>
        </is>
      </c>
      <c r="C202" s="97" t="inlineStr">
        <is>
          <t>VINHOS TINTOS</t>
        </is>
      </c>
      <c r="D202" s="98" t="inlineStr">
        <is>
          <t>Produto</t>
        </is>
      </c>
      <c r="E20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02" s="165" t="inlineStr">
        <is>
          <t>14f79a96-5f6e-4c02-9d43-b4c3a5b92eb8</t>
        </is>
      </c>
      <c r="G202" s="166">
        <f>IF(E202="","Inativo",IF(SUMPRODUCT(--(ISNUMBER(SEARCH({"Lapa","Santana","Mariana","Perdizes","André","Tatuapé","Madalena","Carinás","Pavão","Chac"},E202))))&gt;0,"Ativo","Inativo"))</f>
        <v/>
      </c>
    </row>
    <row r="203">
      <c r="A203" s="96" t="inlineStr">
        <is>
          <t>78989056877220</t>
        </is>
      </c>
      <c r="B203" s="97" t="inlineStr">
        <is>
          <t>PATRIA NUEVA TINTO</t>
        </is>
      </c>
      <c r="C203" s="97" t="inlineStr">
        <is>
          <t>VINHOS TINTOS</t>
        </is>
      </c>
      <c r="D203" s="98" t="inlineStr">
        <is>
          <t>Produto</t>
        </is>
      </c>
      <c r="E20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03" s="165" t="inlineStr">
        <is>
          <t>090ea5a3-7a68-4aee-b182-fa7477a18032</t>
        </is>
      </c>
      <c r="G203" s="166">
        <f>IF(E203="","Inativo",IF(SUMPRODUCT(--(ISNUMBER(SEARCH({"Lapa","Santana","Mariana","Perdizes","André","Tatuapé","Madalena","Carinás","Pavão","Chac"},E203))))&gt;0,"Ativo","Inativo"))</f>
        <v/>
      </c>
    </row>
    <row r="204">
      <c r="A204" s="96" t="inlineStr">
        <is>
          <t>9003149</t>
        </is>
      </c>
      <c r="B204" s="97" t="inlineStr">
        <is>
          <t>VISTAÑA  CABERNET  MERLOT 375ML</t>
        </is>
      </c>
      <c r="C204" s="97" t="inlineStr">
        <is>
          <t>VINHOS TINTOS</t>
        </is>
      </c>
      <c r="D204" s="98" t="inlineStr">
        <is>
          <t>Produto</t>
        </is>
      </c>
      <c r="E20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04" s="165" t="inlineStr">
        <is>
          <t>b4090b5a-c616-45da-a900-c198e177c6d1</t>
        </is>
      </c>
      <c r="G204" s="166">
        <f>IF(E204="","Inativo",IF(SUMPRODUCT(--(ISNUMBER(SEARCH({"Lapa","Santana","Mariana","Perdizes","André","Tatuapé","Madalena","Carinás","Pavão","Chac"},E204))))&gt;0,"Ativo","Inativo"))</f>
        <v/>
      </c>
    </row>
    <row r="205">
      <c r="A205" s="96" t="inlineStr">
        <is>
          <t>9003150</t>
        </is>
      </c>
      <c r="B205" s="97" t="inlineStr">
        <is>
          <t>VISTAÑA CABERNET MERLOT 750ML</t>
        </is>
      </c>
      <c r="C205" s="97" t="inlineStr">
        <is>
          <t>VINHOS TINTOS</t>
        </is>
      </c>
      <c r="D205" s="98" t="inlineStr">
        <is>
          <t>Produto</t>
        </is>
      </c>
      <c r="E20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05" s="165" t="inlineStr">
        <is>
          <t>8e8dff60-8b52-446d-a307-cac58ef97934</t>
        </is>
      </c>
      <c r="G205" s="166">
        <f>IF(E205="","Inativo",IF(SUMPRODUCT(--(ISNUMBER(SEARCH({"Lapa","Santana","Mariana","Perdizes","André","Tatuapé","Madalena","Carinás","Pavão","Chac"},E205))))&gt;0,"Ativo","Inativo"))</f>
        <v/>
      </c>
    </row>
    <row r="206">
      <c r="A206" s="96" t="inlineStr">
        <is>
          <t>9003151</t>
        </is>
      </c>
      <c r="B206" s="97" t="inlineStr">
        <is>
          <t>BARBERA LA QUERCIA</t>
        </is>
      </c>
      <c r="C206" s="97" t="inlineStr">
        <is>
          <t>VINHOS TINTOS</t>
        </is>
      </c>
      <c r="D206" s="98" t="inlineStr">
        <is>
          <t>Produto</t>
        </is>
      </c>
      <c r="E20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06" s="165" t="inlineStr">
        <is>
          <t>bd453429-6178-4fcd-805e-5687a936286a</t>
        </is>
      </c>
      <c r="G206" s="166">
        <f>IF(E206="","Inativo",IF(SUMPRODUCT(--(ISNUMBER(SEARCH({"Lapa","Santana","Mariana","Perdizes","André","Tatuapé","Madalena","Carinás","Pavão","Chac"},E206))))&gt;0,"Ativo","Inativo"))</f>
        <v/>
      </c>
    </row>
    <row r="207">
      <c r="A207" s="96" t="inlineStr">
        <is>
          <t>7898905687189</t>
        </is>
      </c>
      <c r="B207" s="97" t="inlineStr">
        <is>
          <t>NORTON PORTEÑO CHARDONNAY</t>
        </is>
      </c>
      <c r="C207" s="97" t="inlineStr">
        <is>
          <t>VINHOS BRANCOS</t>
        </is>
      </c>
      <c r="D207" s="98" t="inlineStr">
        <is>
          <t>Produto</t>
        </is>
      </c>
      <c r="E20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07" s="165" t="inlineStr">
        <is>
          <t>4d669382-3560-4749-a840-9dafef8c61e6</t>
        </is>
      </c>
      <c r="G207" s="166">
        <f>IF(E207="","Inativo",IF(SUMPRODUCT(--(ISNUMBER(SEARCH({"Lapa","Santana","Mariana","Perdizes","André","Tatuapé","Madalena","Carinás","Pavão","Chac"},E207))))&gt;0,"Ativo","Inativo"))</f>
        <v/>
      </c>
    </row>
    <row r="208">
      <c r="A208" s="96" t="inlineStr">
        <is>
          <t>789890568772118</t>
        </is>
      </c>
      <c r="B208" s="97" t="inlineStr">
        <is>
          <t>VINHO BCO  PORTUGUES TERRA DEL REI ALENTEJO 750ML</t>
        </is>
      </c>
      <c r="C208" s="97" t="inlineStr">
        <is>
          <t>VINHOS BRANCOS</t>
        </is>
      </c>
      <c r="D208" s="98" t="inlineStr">
        <is>
          <t>Produto</t>
        </is>
      </c>
      <c r="E208" s="164" t="inlineStr">
        <is>
          <t>Quintal do Espeto Lapa , Quintal do Espeto Santo André, Quintal do Espeto Chac Sto Antonio, Quintal do Espeto Santana, Quintal do Espeto Perdizes, Quintal do Espeto Tatuapé, Quintal do Espeto  V. Madalena, Quintal do Espeto Carinás, Quintal do Espeto Pavão</t>
        </is>
      </c>
      <c r="F208" s="165" t="inlineStr">
        <is>
          <t>911b4f67-11b7-4df5-acca-fe226c6f19e1</t>
        </is>
      </c>
      <c r="G208" s="166">
        <f>IF(E208="","Inativo",IF(SUMPRODUCT(--(ISNUMBER(SEARCH({"Lapa","Santana","Mariana","Perdizes","André","Tatuapé","Madalena","Carinás","Pavão","Chac"},E208))))&gt;0,"Ativo","Inativo"))</f>
        <v/>
      </c>
    </row>
    <row r="209">
      <c r="A209" s="96" t="inlineStr">
        <is>
          <t>789890568772121</t>
        </is>
      </c>
      <c r="B209" s="97" t="inlineStr">
        <is>
          <t>VINHO CHILENO VISTANA SAUVINGON BLANC 375ML</t>
        </is>
      </c>
      <c r="C209" s="97" t="inlineStr">
        <is>
          <t>VINHOS BRANCOS</t>
        </is>
      </c>
      <c r="D209" s="98" t="inlineStr">
        <is>
          <t>Produto</t>
        </is>
      </c>
      <c r="E20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09" s="165" t="inlineStr">
        <is>
          <t>3665bf79-89b8-4349-8a20-fa70328fe8e3</t>
        </is>
      </c>
      <c r="G209" s="166">
        <f>IF(E209="","Inativo",IF(SUMPRODUCT(--(ISNUMBER(SEARCH({"Lapa","Santana","Mariana","Perdizes","André","Tatuapé","Madalena","Carinás","Pavão","Chac"},E209))))&gt;0,"Ativo","Inativo"))</f>
        <v/>
      </c>
    </row>
    <row r="210">
      <c r="A210" s="96" t="inlineStr">
        <is>
          <t>789890568772127</t>
        </is>
      </c>
      <c r="B210" s="97" t="inlineStr">
        <is>
          <t>VINHO ESPANHOL PATA NEGRA ORO BRANCO 750 ML</t>
        </is>
      </c>
      <c r="C210" s="97" t="inlineStr">
        <is>
          <t>VINHOS BRANCOS</t>
        </is>
      </c>
      <c r="D210" s="98" t="inlineStr">
        <is>
          <t>Produto</t>
        </is>
      </c>
      <c r="E21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10" s="165" t="inlineStr">
        <is>
          <t>e58f1b42-40fc-41f2-bf8c-14cbb49420ea</t>
        </is>
      </c>
      <c r="G210" s="166">
        <f>IF(E210="","Inativo",IF(SUMPRODUCT(--(ISNUMBER(SEARCH({"Lapa","Santana","Mariana","Perdizes","André","Tatuapé","Madalena","Carinás","Pavão","Chac"},E210))))&gt;0,"Ativo","Inativo"))</f>
        <v/>
      </c>
    </row>
    <row r="211">
      <c r="A211" s="96" t="inlineStr">
        <is>
          <t>789890568772130</t>
        </is>
      </c>
      <c r="B211" s="97" t="inlineStr">
        <is>
          <t>VINHO FRANCES MONTMEYRAC BRANCO 750ML</t>
        </is>
      </c>
      <c r="C211" s="97" t="inlineStr">
        <is>
          <t>VINHOS BRANCOS</t>
        </is>
      </c>
      <c r="D211" s="98" t="inlineStr">
        <is>
          <t>Produto</t>
        </is>
      </c>
      <c r="E21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11" s="165" t="inlineStr">
        <is>
          <t>d5d226dd-f734-48ee-9aa8-2bd8b32a5df0</t>
        </is>
      </c>
      <c r="G211" s="166">
        <f>IF(E211="","Inativo",IF(SUMPRODUCT(--(ISNUMBER(SEARCH({"Lapa","Santana","Mariana","Perdizes","André","Tatuapé","Madalena","Carinás","Pavão","Chac"},E211))))&gt;0,"Ativo","Inativo"))</f>
        <v/>
      </c>
    </row>
    <row r="212">
      <c r="A212" s="96" t="inlineStr">
        <is>
          <t>789890568772133</t>
        </is>
      </c>
      <c r="B212" s="97" t="inlineStr">
        <is>
          <t>VINHO ITALIANO TARVENELLO BIANCO D'ITALIA 750 ML</t>
        </is>
      </c>
      <c r="C212" s="97" t="inlineStr">
        <is>
          <t>VINHOS BRANCOS</t>
        </is>
      </c>
      <c r="D212" s="98" t="inlineStr">
        <is>
          <t>Produto</t>
        </is>
      </c>
      <c r="E21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12" s="165" t="inlineStr">
        <is>
          <t>80962c0d-445a-4b66-97cf-1adeb22b2db4</t>
        </is>
      </c>
      <c r="G212" s="166">
        <f>IF(E212="","Inativo",IF(SUMPRODUCT(--(ISNUMBER(SEARCH({"Lapa","Santana","Mariana","Perdizes","André","Tatuapé","Madalena","Carinás","Pavão","Chac"},E212))))&gt;0,"Ativo","Inativo"))</f>
        <v/>
      </c>
    </row>
    <row r="213">
      <c r="A213" s="96" t="inlineStr">
        <is>
          <t>78989056877218</t>
        </is>
      </c>
      <c r="B213" s="97" t="inlineStr">
        <is>
          <t>SIEMPRE TENGO UN PLAN B WHITE BLEND</t>
        </is>
      </c>
      <c r="C213" s="97" t="inlineStr">
        <is>
          <t>VINHOS BRANCOS</t>
        </is>
      </c>
      <c r="D213" s="98" t="inlineStr">
        <is>
          <t>Produto</t>
        </is>
      </c>
      <c r="E21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13" s="165" t="inlineStr">
        <is>
          <t>2723e191-4fa0-4f07-9432-c28f4687efe0</t>
        </is>
      </c>
      <c r="G213" s="166">
        <f>IF(E213="","Inativo",IF(SUMPRODUCT(--(ISNUMBER(SEARCH({"Lapa","Santana","Mariana","Perdizes","André","Tatuapé","Madalena","Carinás","Pavão","Chac"},E213))))&gt;0,"Ativo","Inativo"))</f>
        <v/>
      </c>
    </row>
    <row r="214">
      <c r="A214" s="96" t="inlineStr">
        <is>
          <t>78989056877219</t>
        </is>
      </c>
      <c r="B214" s="97" t="inlineStr">
        <is>
          <t>PATRIA NUEVA BRANCO</t>
        </is>
      </c>
      <c r="C214" s="97" t="inlineStr">
        <is>
          <t>VINHOS BRANCOS</t>
        </is>
      </c>
      <c r="D214" s="98" t="inlineStr">
        <is>
          <t>Produto</t>
        </is>
      </c>
      <c r="E21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14" s="165" t="inlineStr">
        <is>
          <t>bd613403-b6b3-4d67-aa70-a54fe410d371</t>
        </is>
      </c>
      <c r="G214" s="166">
        <f>IF(E214="","Inativo",IF(SUMPRODUCT(--(ISNUMBER(SEARCH({"Lapa","Santana","Mariana","Perdizes","André","Tatuapé","Madalena","Carinás","Pavão","Chac"},E214))))&gt;0,"Ativo","Inativo"))</f>
        <v/>
      </c>
    </row>
    <row r="215">
      <c r="A215" s="96" t="inlineStr">
        <is>
          <t>9003152</t>
        </is>
      </c>
      <c r="B215" s="97" t="inlineStr">
        <is>
          <t>VISTAÑA SAUVIGNON BLANC 375ML</t>
        </is>
      </c>
      <c r="C215" s="97" t="inlineStr">
        <is>
          <t>VINHOS BRANCOS</t>
        </is>
      </c>
      <c r="D215" s="98" t="inlineStr">
        <is>
          <t>Produto</t>
        </is>
      </c>
      <c r="E21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15" s="165" t="inlineStr">
        <is>
          <t>17ce15f0-4bae-4194-85f8-adc47566f1fe</t>
        </is>
      </c>
      <c r="G215" s="166">
        <f>IF(E215="","Inativo",IF(SUMPRODUCT(--(ISNUMBER(SEARCH({"Lapa","Santana","Mariana","Perdizes","André","Tatuapé","Madalena","Carinás","Pavão","Chac"},E215))))&gt;0,"Ativo","Inativo"))</f>
        <v/>
      </c>
    </row>
    <row r="216">
      <c r="A216" s="96" t="inlineStr">
        <is>
          <t>9003153</t>
        </is>
      </c>
      <c r="B216" s="97" t="inlineStr">
        <is>
          <t>VISTAÑA SAUVIGNON BLANC 750ML</t>
        </is>
      </c>
      <c r="C216" s="97" t="inlineStr">
        <is>
          <t>VINHOS BRANCOS</t>
        </is>
      </c>
      <c r="D216" s="98" t="inlineStr">
        <is>
          <t>Produto</t>
        </is>
      </c>
      <c r="E21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16" s="165" t="inlineStr">
        <is>
          <t>af8ad8c4-57ce-4102-9994-8b219d61792b</t>
        </is>
      </c>
      <c r="G216" s="166">
        <f>IF(E216="","Inativo",IF(SUMPRODUCT(--(ISNUMBER(SEARCH({"Lapa","Santana","Mariana","Perdizes","André","Tatuapé","Madalena","Carinás","Pavão","Chac"},E216))))&gt;0,"Ativo","Inativo"))</f>
        <v/>
      </c>
    </row>
    <row r="217">
      <c r="A217" s="96" t="inlineStr">
        <is>
          <t>999999</t>
        </is>
      </c>
      <c r="B217" s="97" t="inlineStr">
        <is>
          <t>GORJETA OPCIONAL</t>
        </is>
      </c>
      <c r="C217" s="97" t="inlineStr">
        <is>
          <t>Gorjeta</t>
        </is>
      </c>
      <c r="D217" s="98" t="inlineStr">
        <is>
          <t>Produto</t>
        </is>
      </c>
      <c r="E21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17" s="165" t="inlineStr">
        <is>
          <t>6b225ea0-1db3-477b-9899-e213c3adc658</t>
        </is>
      </c>
      <c r="G217" s="166">
        <f>IF(E217="","Inativo",IF(SUMPRODUCT(--(ISNUMBER(SEARCH({"Lapa","Santana","Mariana","Perdizes","André","Tatuapé","Madalena","Carinás","Pavão","Chac"},E217))))&gt;0,"Ativo","Inativo"))</f>
        <v/>
      </c>
    </row>
    <row r="218">
      <c r="A218" s="96" t="inlineStr">
        <is>
          <t>10000</t>
        </is>
      </c>
      <c r="B218" s="97" t="inlineStr">
        <is>
          <t>BOVINO IN NATURA</t>
        </is>
      </c>
      <c r="C218" s="97" t="inlineStr">
        <is>
          <t>PRODUTOS IN NATURA</t>
        </is>
      </c>
      <c r="D218" s="98" t="inlineStr">
        <is>
          <t>Produto</t>
        </is>
      </c>
      <c r="E218"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18" s="165" t="inlineStr">
        <is>
          <t>6d2a9994-e71f-4652-89a0-858b5fab8237</t>
        </is>
      </c>
      <c r="G218" s="166">
        <f>IF(E218="","Inativo",IF(SUMPRODUCT(--(ISNUMBER(SEARCH({"Lapa","Santana","Mariana","Perdizes","André","Tatuapé","Madalena","Carinás","Pavão","Chac"},E218))))&gt;0,"Ativo","Inativo"))</f>
        <v/>
      </c>
    </row>
    <row r="219">
      <c r="A219" s="96" t="inlineStr">
        <is>
          <t>10002</t>
        </is>
      </c>
      <c r="B219" s="97" t="inlineStr">
        <is>
          <t>CALABRESA C/ PIMENTA IN NATURA</t>
        </is>
      </c>
      <c r="C219" s="97" t="inlineStr">
        <is>
          <t>PRODUTOS IN NATURA</t>
        </is>
      </c>
      <c r="D219" s="98" t="inlineStr">
        <is>
          <t>Produto</t>
        </is>
      </c>
      <c r="E219"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19" s="165" t="inlineStr">
        <is>
          <t>4d89bc76-0d7c-42a1-a3ee-d92f40f20c32</t>
        </is>
      </c>
      <c r="G219" s="166">
        <f>IF(E219="","Inativo",IF(SUMPRODUCT(--(ISNUMBER(SEARCH({"Lapa","Santana","Mariana","Perdizes","André","Tatuapé","Madalena","Carinás","Pavão","Chac"},E219))))&gt;0,"Ativo","Inativo"))</f>
        <v/>
      </c>
    </row>
    <row r="220">
      <c r="A220" s="96" t="inlineStr">
        <is>
          <t>10003</t>
        </is>
      </c>
      <c r="B220" s="97" t="inlineStr">
        <is>
          <t>CALABRESA S/ PIMENTA IN NATURA</t>
        </is>
      </c>
      <c r="C220" s="97" t="inlineStr">
        <is>
          <t>PRODUTOS IN NATURA</t>
        </is>
      </c>
      <c r="D220" s="98" t="inlineStr">
        <is>
          <t>Produto</t>
        </is>
      </c>
      <c r="E22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0" s="165" t="inlineStr">
        <is>
          <t>5ac37d49-c152-4261-9a79-0d876ebc6eaa</t>
        </is>
      </c>
      <c r="G220" s="166">
        <f>IF(E220="","Inativo",IF(SUMPRODUCT(--(ISNUMBER(SEARCH({"Lapa","Santana","Mariana","Perdizes","André","Tatuapé","Madalena","Carinás","Pavão","Chac"},E220))))&gt;0,"Ativo","Inativo"))</f>
        <v/>
      </c>
    </row>
    <row r="221">
      <c r="A221" s="96" t="inlineStr">
        <is>
          <t>10004</t>
        </is>
      </c>
      <c r="B221" s="97" t="inlineStr">
        <is>
          <t>CORACAO IN NATURA</t>
        </is>
      </c>
      <c r="C221" s="97" t="inlineStr">
        <is>
          <t>PRODUTOS IN NATURA</t>
        </is>
      </c>
      <c r="D221" s="98" t="inlineStr">
        <is>
          <t>Produto</t>
        </is>
      </c>
      <c r="E221"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1" s="165" t="inlineStr">
        <is>
          <t>e2176063-86da-4502-adaf-ccf2a2dc3b4f</t>
        </is>
      </c>
      <c r="G221" s="166">
        <f>IF(E221="","Inativo",IF(SUMPRODUCT(--(ISNUMBER(SEARCH({"Lapa","Santana","Mariana","Perdizes","André","Tatuapé","Madalena","Carinás","Pavão","Chac"},E221))))&gt;0,"Ativo","Inativo"))</f>
        <v/>
      </c>
    </row>
    <row r="222">
      <c r="A222" s="96" t="inlineStr">
        <is>
          <t>10005</t>
        </is>
      </c>
      <c r="B222" s="97" t="inlineStr">
        <is>
          <t>COSTELA BOVINA IN NATURA</t>
        </is>
      </c>
      <c r="C222" s="97" t="inlineStr">
        <is>
          <t>PRODUTOS IN NATURA</t>
        </is>
      </c>
      <c r="D222" s="98" t="inlineStr">
        <is>
          <t>Produto</t>
        </is>
      </c>
      <c r="E22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2" s="165" t="inlineStr">
        <is>
          <t>81412f44-9600-4427-ab86-0dfc9e0dc532</t>
        </is>
      </c>
      <c r="G222" s="166">
        <f>IF(E222="","Inativo",IF(SUMPRODUCT(--(ISNUMBER(SEARCH({"Lapa","Santana","Mariana","Perdizes","André","Tatuapé","Madalena","Carinás","Pavão","Chac"},E222))))&gt;0,"Ativo","Inativo"))</f>
        <v/>
      </c>
    </row>
    <row r="223">
      <c r="A223" s="96" t="inlineStr">
        <is>
          <t>10007</t>
        </is>
      </c>
      <c r="B223" s="97" t="inlineStr">
        <is>
          <t>FRANGO IN NATURA</t>
        </is>
      </c>
      <c r="C223" s="97" t="inlineStr">
        <is>
          <t>PRODUTOS IN NATURA</t>
        </is>
      </c>
      <c r="D223" s="98" t="inlineStr">
        <is>
          <t>Produto</t>
        </is>
      </c>
      <c r="E223"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3" s="165" t="inlineStr">
        <is>
          <t>386f8215-7db6-4ff2-9ee5-390187ea1694</t>
        </is>
      </c>
      <c r="G223" s="166">
        <f>IF(E223="","Inativo",IF(SUMPRODUCT(--(ISNUMBER(SEARCH({"Lapa","Santana","Mariana","Perdizes","André","Tatuapé","Madalena","Carinás","Pavão","Chac"},E223))))&gt;0,"Ativo","Inativo"))</f>
        <v/>
      </c>
    </row>
    <row r="224">
      <c r="A224" s="96" t="inlineStr">
        <is>
          <t>10008</t>
        </is>
      </c>
      <c r="B224" s="97" t="inlineStr">
        <is>
          <t>KAFTA IN NATURA</t>
        </is>
      </c>
      <c r="C224" s="97" t="inlineStr">
        <is>
          <t>PRODUTOS IN NATURA</t>
        </is>
      </c>
      <c r="D224" s="98" t="inlineStr">
        <is>
          <t>Produto</t>
        </is>
      </c>
      <c r="E224"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4" s="165" t="inlineStr">
        <is>
          <t>5a97775f-b5d9-4fa5-9134-d6249138c5d0</t>
        </is>
      </c>
      <c r="G224" s="166">
        <f>IF(E224="","Inativo",IF(SUMPRODUCT(--(ISNUMBER(SEARCH({"Lapa","Santana","Mariana","Perdizes","André","Tatuapé","Madalena","Carinás","Pavão","Chac"},E224))))&gt;0,"Ativo","Inativo"))</f>
        <v/>
      </c>
    </row>
    <row r="225">
      <c r="A225" s="96" t="inlineStr">
        <is>
          <t>10010</t>
        </is>
      </c>
      <c r="B225" s="97" t="inlineStr">
        <is>
          <t>QUEIJO COALHO IN NATURA</t>
        </is>
      </c>
      <c r="C225" s="97" t="inlineStr">
        <is>
          <t>PRODUTOS IN NATURA</t>
        </is>
      </c>
      <c r="D225" s="98" t="inlineStr">
        <is>
          <t>Produto</t>
        </is>
      </c>
      <c r="E22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25" s="165" t="inlineStr">
        <is>
          <t>19125cee-2a93-436d-babe-de1e68b50320</t>
        </is>
      </c>
      <c r="G225" s="166">
        <f>IF(E225="","Inativo",IF(SUMPRODUCT(--(ISNUMBER(SEARCH({"Lapa","Santana","Mariana","Perdizes","André","Tatuapé","Madalena","Carinás","Pavão","Chac"},E225))))&gt;0,"Ativo","Inativo"))</f>
        <v/>
      </c>
    </row>
    <row r="226">
      <c r="A226" s="96" t="inlineStr">
        <is>
          <t>10011</t>
        </is>
      </c>
      <c r="B226" s="97" t="inlineStr">
        <is>
          <t>SALSICHAO IN NATURA</t>
        </is>
      </c>
      <c r="C226" s="97" t="inlineStr">
        <is>
          <t>PRODUTOS IN NATURA</t>
        </is>
      </c>
      <c r="D226" s="98" t="inlineStr">
        <is>
          <t>Produto</t>
        </is>
      </c>
      <c r="E22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26" s="165" t="inlineStr">
        <is>
          <t>02ec174c-44fb-423f-a3a8-ae8fb98288a2</t>
        </is>
      </c>
      <c r="G226" s="166">
        <f>IF(E226="","Inativo",IF(SUMPRODUCT(--(ISNUMBER(SEARCH({"Lapa","Santana","Mariana","Perdizes","André","Tatuapé","Madalena","Carinás","Pavão","Chac"},E226))))&gt;0,"Ativo","Inativo"))</f>
        <v/>
      </c>
    </row>
    <row r="227">
      <c r="A227" s="96" t="inlineStr">
        <is>
          <t>10012</t>
        </is>
      </c>
      <c r="B227" s="97" t="inlineStr">
        <is>
          <t>TULIPA IN NATURA</t>
        </is>
      </c>
      <c r="C227" s="97" t="inlineStr">
        <is>
          <t>PRODUTOS IN NATURA</t>
        </is>
      </c>
      <c r="D227" s="98" t="inlineStr">
        <is>
          <t>Produto</t>
        </is>
      </c>
      <c r="E227"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7" s="165" t="inlineStr">
        <is>
          <t>9d68e633-faef-4e4e-9786-f8edd7fb60d0</t>
        </is>
      </c>
      <c r="G227" s="166">
        <f>IF(E227="","Inativo",IF(SUMPRODUCT(--(ISNUMBER(SEARCH({"Lapa","Santana","Mariana","Perdizes","André","Tatuapé","Madalena","Carinás","Pavão","Chac"},E227))))&gt;0,"Ativo","Inativo"))</f>
        <v/>
      </c>
    </row>
    <row r="228">
      <c r="A228" s="96" t="inlineStr">
        <is>
          <t>10013</t>
        </is>
      </c>
      <c r="B228" s="97" t="inlineStr">
        <is>
          <t>PICANHA IN NATURA</t>
        </is>
      </c>
      <c r="C228" s="97" t="inlineStr">
        <is>
          <t>PRODUTOS IN NATURA</t>
        </is>
      </c>
      <c r="D228" s="98" t="inlineStr">
        <is>
          <t>Produto</t>
        </is>
      </c>
      <c r="E228"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8" s="165" t="inlineStr">
        <is>
          <t>b36f089a-1f9e-4319-814e-9493be4290b3</t>
        </is>
      </c>
      <c r="G228" s="166">
        <f>IF(E228="","Inativo",IF(SUMPRODUCT(--(ISNUMBER(SEARCH({"Lapa","Santana","Mariana","Perdizes","André","Tatuapé","Madalena","Carinás","Pavão","Chac"},E228))))&gt;0,"Ativo","Inativo"))</f>
        <v/>
      </c>
    </row>
    <row r="229">
      <c r="A229" s="96" t="inlineStr">
        <is>
          <t>10014</t>
        </is>
      </c>
      <c r="B229" s="97" t="inlineStr">
        <is>
          <t>FILET MIGNON IN NATURA</t>
        </is>
      </c>
      <c r="C229" s="97" t="inlineStr">
        <is>
          <t>PRODUTOS IN NATURA</t>
        </is>
      </c>
      <c r="D229" s="98" t="inlineStr">
        <is>
          <t>Produto</t>
        </is>
      </c>
      <c r="E229"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29" s="165" t="inlineStr">
        <is>
          <t>ec6f01ec-7d7d-42d2-bf01-1c76dfe04273</t>
        </is>
      </c>
      <c r="G229" s="166">
        <f>IF(E229="","Inativo",IF(SUMPRODUCT(--(ISNUMBER(SEARCH({"Lapa","Santana","Mariana","Perdizes","André","Tatuapé","Madalena","Carinás","Pavão","Chac"},E229))))&gt;0,"Ativo","Inativo"))</f>
        <v/>
      </c>
    </row>
    <row r="230">
      <c r="A230" s="96" t="inlineStr">
        <is>
          <t>10015</t>
        </is>
      </c>
      <c r="B230" s="97" t="inlineStr">
        <is>
          <t>MEDALHAO ALCATRA IN NATURA</t>
        </is>
      </c>
      <c r="C230" s="97" t="inlineStr">
        <is>
          <t>PRODUTOS IN NATURA</t>
        </is>
      </c>
      <c r="D230" s="98" t="inlineStr">
        <is>
          <t>Produto</t>
        </is>
      </c>
      <c r="E23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V. Mariana, Delivery Perdizes, Quintal do Espeto Perdizes, Delivery Santana, Quintal do Espeto Tatuapé, Quintal do Espeto  V. Madalena, Quintal do Espeto Pavão, Quintal do Espeto Interlagos</t>
        </is>
      </c>
      <c r="F230" s="165" t="inlineStr">
        <is>
          <t>d5ada98f-743b-46ad-b9df-143587f63362</t>
        </is>
      </c>
      <c r="G230" s="166">
        <f>IF(E230="","Inativo",IF(SUMPRODUCT(--(ISNUMBER(SEARCH({"Lapa","Santana","Mariana","Perdizes","André","Tatuapé","Madalena","Carinás","Pavão","Chac"},E230))))&gt;0,"Ativo","Inativo"))</f>
        <v/>
      </c>
    </row>
    <row r="231">
      <c r="A231" s="96" t="inlineStr">
        <is>
          <t>10017</t>
        </is>
      </c>
      <c r="B231" s="97" t="inlineStr">
        <is>
          <t>PAO C/ MUSSARELA IN NATURA</t>
        </is>
      </c>
      <c r="C231" s="97" t="inlineStr">
        <is>
          <t>PRODUTOS IN NATURA</t>
        </is>
      </c>
      <c r="D231" s="98" t="inlineStr">
        <is>
          <t>Produto</t>
        </is>
      </c>
      <c r="E23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1" s="165" t="inlineStr">
        <is>
          <t>084a01d8-d47d-4faa-b410-ed6f31760dee</t>
        </is>
      </c>
      <c r="G231" s="166">
        <f>IF(E231="","Inativo",IF(SUMPRODUCT(--(ISNUMBER(SEARCH({"Lapa","Santana","Mariana","Perdizes","André","Tatuapé","Madalena","Carinás","Pavão","Chac"},E231))))&gt;0,"Ativo","Inativo"))</f>
        <v/>
      </c>
    </row>
    <row r="232">
      <c r="A232" s="96" t="inlineStr">
        <is>
          <t>10019</t>
        </is>
      </c>
      <c r="B232" s="97" t="inlineStr">
        <is>
          <t>CORDEIRO IN NATURA</t>
        </is>
      </c>
      <c r="C232" s="97" t="inlineStr">
        <is>
          <t>PRODUTOS IN NATURA</t>
        </is>
      </c>
      <c r="D232" s="98" t="inlineStr">
        <is>
          <t>Produto</t>
        </is>
      </c>
      <c r="E23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2" s="165" t="inlineStr">
        <is>
          <t>3fbc0113-934e-4ce7-aa0d-0f075df9f163</t>
        </is>
      </c>
      <c r="G232" s="166">
        <f>IF(E232="","Inativo",IF(SUMPRODUCT(--(ISNUMBER(SEARCH({"Lapa","Santana","Mariana","Perdizes","André","Tatuapé","Madalena","Carinás","Pavão","Chac"},E232))))&gt;0,"Ativo","Inativo"))</f>
        <v/>
      </c>
    </row>
    <row r="233">
      <c r="A233" s="96" t="inlineStr">
        <is>
          <t>10021</t>
        </is>
      </c>
      <c r="B233" s="97" t="inlineStr">
        <is>
          <t>CAMARAO IN NATURA</t>
        </is>
      </c>
      <c r="C233" s="97" t="inlineStr">
        <is>
          <t>PRODUTOS IN NATURA</t>
        </is>
      </c>
      <c r="D233" s="98" t="inlineStr">
        <is>
          <t>Produto</t>
        </is>
      </c>
      <c r="E23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3" s="165" t="inlineStr">
        <is>
          <t>53133d8f-6b71-465f-afd5-9296353c5c3f</t>
        </is>
      </c>
      <c r="G233" s="166">
        <f>IF(E233="","Inativo",IF(SUMPRODUCT(--(ISNUMBER(SEARCH({"Lapa","Santana","Mariana","Perdizes","André","Tatuapé","Madalena","Carinás","Pavão","Chac"},E233))))&gt;0,"Ativo","Inativo"))</f>
        <v/>
      </c>
    </row>
    <row r="234">
      <c r="A234" s="96" t="inlineStr">
        <is>
          <t>10024</t>
        </is>
      </c>
      <c r="B234" s="97" t="inlineStr">
        <is>
          <t>GELO 5KG VENDA</t>
        </is>
      </c>
      <c r="C234" s="97" t="inlineStr">
        <is>
          <t>PRODUTOS IN NATURA</t>
        </is>
      </c>
      <c r="D234" s="98" t="inlineStr">
        <is>
          <t>Produto</t>
        </is>
      </c>
      <c r="E23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4" s="165" t="inlineStr">
        <is>
          <t>e4097905-ab7b-4245-acf8-8ae012526326</t>
        </is>
      </c>
      <c r="G234" s="166">
        <f>IF(E234="","Inativo",IF(SUMPRODUCT(--(ISNUMBER(SEARCH({"Lapa","Santana","Mariana","Perdizes","André","Tatuapé","Madalena","Carinás","Pavão","Chac"},E234))))&gt;0,"Ativo","Inativo"))</f>
        <v/>
      </c>
    </row>
    <row r="235">
      <c r="A235" s="96" t="inlineStr">
        <is>
          <t>9003281</t>
        </is>
      </c>
      <c r="B235" s="97" t="inlineStr">
        <is>
          <t>PANCETA IN NATURA</t>
        </is>
      </c>
      <c r="C235" s="97" t="inlineStr">
        <is>
          <t>PRODUTOS IN NATURA</t>
        </is>
      </c>
      <c r="D235" s="98" t="inlineStr">
        <is>
          <t>Produto</t>
        </is>
      </c>
      <c r="E235"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35" s="165" t="inlineStr">
        <is>
          <t>95e677b8-875b-4711-80c9-a3fd41a6c213</t>
        </is>
      </c>
      <c r="G235" s="166">
        <f>IF(E235="","Inativo",IF(SUMPRODUCT(--(ISNUMBER(SEARCH({"Lapa","Santana","Mariana","Perdizes","André","Tatuapé","Madalena","Carinás","Pavão","Chac"},E235))))&gt;0,"Ativo","Inativo"))</f>
        <v/>
      </c>
    </row>
    <row r="236">
      <c r="A236" s="96" t="inlineStr">
        <is>
          <t>102121</t>
        </is>
      </c>
      <c r="B236" s="97" t="inlineStr">
        <is>
          <t>CHIVAS 12 GARRAFA</t>
        </is>
      </c>
      <c r="C236" s="97" t="inlineStr">
        <is>
          <t>A WHISKIES</t>
        </is>
      </c>
      <c r="D236" s="98" t="inlineStr">
        <is>
          <t>Produto</t>
        </is>
      </c>
      <c r="E23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6" s="165" t="inlineStr">
        <is>
          <t>aefe58d7-b811-4a3d-a009-a1e91baa1b8a</t>
        </is>
      </c>
      <c r="G236" s="166">
        <f>IF(E236="","Inativo",IF(SUMPRODUCT(--(ISNUMBER(SEARCH({"Lapa","Santana","Mariana","Perdizes","André","Tatuapé","Madalena","Carinás","Pavão","Chac"},E236))))&gt;0,"Ativo","Inativo"))</f>
        <v/>
      </c>
    </row>
    <row r="237">
      <c r="A237" s="96" t="inlineStr">
        <is>
          <t>30045</t>
        </is>
      </c>
      <c r="B237" s="97" t="inlineStr">
        <is>
          <t>CHIVAS 12 DOSE</t>
        </is>
      </c>
      <c r="C237" s="97" t="inlineStr">
        <is>
          <t>A WHISKIES</t>
        </is>
      </c>
      <c r="D237" s="98" t="inlineStr">
        <is>
          <t>Produto</t>
        </is>
      </c>
      <c r="E23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7" s="165" t="inlineStr">
        <is>
          <t>03ba7e7c-a29d-414f-bfc0-0ff93816fcc0</t>
        </is>
      </c>
      <c r="G237" s="166">
        <f>IF(E237="","Inativo",IF(SUMPRODUCT(--(ISNUMBER(SEARCH({"Lapa","Santana","Mariana","Perdizes","André","Tatuapé","Madalena","Carinás","Pavão","Chac"},E237))))&gt;0,"Ativo","Inativo"))</f>
        <v/>
      </c>
    </row>
    <row r="238">
      <c r="A238" s="96" t="inlineStr">
        <is>
          <t>7898905687139</t>
        </is>
      </c>
      <c r="B238" s="97" t="inlineStr">
        <is>
          <t>JACK APPLE DOSE</t>
        </is>
      </c>
      <c r="C238" s="97" t="inlineStr">
        <is>
          <t>A WHISKIES</t>
        </is>
      </c>
      <c r="D238" s="98" t="inlineStr">
        <is>
          <t>Produto</t>
        </is>
      </c>
      <c r="E23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8" s="165" t="inlineStr">
        <is>
          <t>93d54997-0ff4-413b-ae31-8e255ba0253b</t>
        </is>
      </c>
      <c r="G238" s="166">
        <f>IF(E238="","Inativo",IF(SUMPRODUCT(--(ISNUMBER(SEARCH({"Lapa","Santana","Mariana","Perdizes","André","Tatuapé","Madalena","Carinás","Pavão","Chac"},E238))))&gt;0,"Ativo","Inativo"))</f>
        <v/>
      </c>
    </row>
    <row r="239">
      <c r="A239" s="96" t="inlineStr">
        <is>
          <t>7898905687140</t>
        </is>
      </c>
      <c r="B239" s="97" t="inlineStr">
        <is>
          <t>JACK APPLE GARRAFA</t>
        </is>
      </c>
      <c r="C239" s="97" t="inlineStr">
        <is>
          <t>A WHISKIES</t>
        </is>
      </c>
      <c r="D239" s="98" t="inlineStr">
        <is>
          <t>Produto</t>
        </is>
      </c>
      <c r="E23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39" s="165" t="inlineStr">
        <is>
          <t>6c9811b6-cd9e-4660-b048-1e2ce50d92d4</t>
        </is>
      </c>
      <c r="G239" s="166">
        <f>IF(E239="","Inativo",IF(SUMPRODUCT(--(ISNUMBER(SEARCH({"Lapa","Santana","Mariana","Perdizes","André","Tatuapé","Madalena","Carinás","Pavão","Chac"},E239))))&gt;0,"Ativo","Inativo"))</f>
        <v/>
      </c>
    </row>
    <row r="240">
      <c r="A240" s="96" t="inlineStr">
        <is>
          <t>7898905687141</t>
        </is>
      </c>
      <c r="B240" s="97" t="inlineStr">
        <is>
          <t>JACK GENTLEMAN GARRAFA</t>
        </is>
      </c>
      <c r="C240" s="97" t="inlineStr">
        <is>
          <t>A WHISKIES</t>
        </is>
      </c>
      <c r="D240" s="98" t="inlineStr">
        <is>
          <t>Produto</t>
        </is>
      </c>
      <c r="E24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0" s="165" t="inlineStr">
        <is>
          <t>75557c91-89f7-4833-9fae-9325eccf920b</t>
        </is>
      </c>
      <c r="G240" s="166">
        <f>IF(E240="","Inativo",IF(SUMPRODUCT(--(ISNUMBER(SEARCH({"Lapa","Santana","Mariana","Perdizes","André","Tatuapé","Madalena","Carinás","Pavão","Chac"},E240))))&gt;0,"Ativo","Inativo"))</f>
        <v/>
      </c>
    </row>
    <row r="241">
      <c r="A241" s="96" t="inlineStr">
        <is>
          <t>7898905687143</t>
        </is>
      </c>
      <c r="B241" s="97" t="inlineStr">
        <is>
          <t>JACK GENTLEMAN DOSE</t>
        </is>
      </c>
      <c r="C241" s="97" t="inlineStr">
        <is>
          <t>A WHISKIES</t>
        </is>
      </c>
      <c r="D241" s="98" t="inlineStr">
        <is>
          <t>Produto</t>
        </is>
      </c>
      <c r="E24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1" s="165" t="inlineStr">
        <is>
          <t>20310b40-d968-4c24-a274-3532dd93d383</t>
        </is>
      </c>
      <c r="G241" s="166">
        <f>IF(E241="","Inativo",IF(SUMPRODUCT(--(ISNUMBER(SEARCH({"Lapa","Santana","Mariana","Perdizes","André","Tatuapé","Madalena","Carinás","Pavão","Chac"},E241))))&gt;0,"Ativo","Inativo"))</f>
        <v/>
      </c>
    </row>
    <row r="242">
      <c r="A242" s="96" t="inlineStr">
        <is>
          <t>7898905687150</t>
        </is>
      </c>
      <c r="B242" s="97" t="inlineStr">
        <is>
          <t>GOLD LABEL GARRAFA</t>
        </is>
      </c>
      <c r="C242" s="97" t="inlineStr">
        <is>
          <t>A WHISKIES</t>
        </is>
      </c>
      <c r="D242" s="98" t="inlineStr">
        <is>
          <t>Produto</t>
        </is>
      </c>
      <c r="E24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2" s="165" t="inlineStr">
        <is>
          <t>6aeee8d4-bab5-49fe-b53e-4b97ca9a88ec</t>
        </is>
      </c>
      <c r="G242" s="166">
        <f>IF(E242="","Inativo",IF(SUMPRODUCT(--(ISNUMBER(SEARCH({"Lapa","Santana","Mariana","Perdizes","André","Tatuapé","Madalena","Carinás","Pavão","Chac"},E242))))&gt;0,"Ativo","Inativo"))</f>
        <v/>
      </c>
    </row>
    <row r="243">
      <c r="A243" s="96" t="inlineStr">
        <is>
          <t>7898905687151</t>
        </is>
      </c>
      <c r="B243" s="97" t="inlineStr">
        <is>
          <t>GOLD LABEL DOSE</t>
        </is>
      </c>
      <c r="C243" s="97" t="inlineStr">
        <is>
          <t>A WHISKIES</t>
        </is>
      </c>
      <c r="D243" s="98" t="inlineStr">
        <is>
          <t>Produto</t>
        </is>
      </c>
      <c r="E24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3" s="165" t="inlineStr">
        <is>
          <t>cb74d900-1c9d-4b75-a523-168587df57af</t>
        </is>
      </c>
      <c r="G243" s="166">
        <f>IF(E243="","Inativo",IF(SUMPRODUCT(--(ISNUMBER(SEARCH({"Lapa","Santana","Mariana","Perdizes","André","Tatuapé","Madalena","Carinás","Pavão","Chac"},E243))))&gt;0,"Ativo","Inativo"))</f>
        <v/>
      </c>
    </row>
    <row r="244">
      <c r="A244" s="96" t="inlineStr">
        <is>
          <t>7898905687154</t>
        </is>
      </c>
      <c r="B244" s="97" t="inlineStr">
        <is>
          <t>BLACK LABEL GARRAFA</t>
        </is>
      </c>
      <c r="C244" s="97" t="inlineStr">
        <is>
          <t>A WHISKIES</t>
        </is>
      </c>
      <c r="D244" s="98" t="inlineStr">
        <is>
          <t>Produto</t>
        </is>
      </c>
      <c r="E24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4" s="165" t="inlineStr">
        <is>
          <t>bcafc061-3dd8-407a-b485-5d60089e50b6</t>
        </is>
      </c>
      <c r="G244" s="166">
        <f>IF(E244="","Inativo",IF(SUMPRODUCT(--(ISNUMBER(SEARCH({"Lapa","Santana","Mariana","Perdizes","André","Tatuapé","Madalena","Carinás","Pavão","Chac"},E244))))&gt;0,"Ativo","Inativo"))</f>
        <v/>
      </c>
    </row>
    <row r="245">
      <c r="A245" s="96" t="inlineStr">
        <is>
          <t>9003422</t>
        </is>
      </c>
      <c r="B245" s="97" t="inlineStr">
        <is>
          <t>RED LABEL GARRAFA</t>
        </is>
      </c>
      <c r="C245" s="97" t="inlineStr">
        <is>
          <t>A WHISKIES</t>
        </is>
      </c>
      <c r="D245" s="98" t="inlineStr">
        <is>
          <t>Produto</t>
        </is>
      </c>
      <c r="E24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5" s="165" t="inlineStr">
        <is>
          <t>7a7343ee-00e1-4131-9ce2-f7298ebe13e5</t>
        </is>
      </c>
      <c r="G245" s="166">
        <f>IF(E245="","Inativo",IF(SUMPRODUCT(--(ISNUMBER(SEARCH({"Lapa","Santana","Mariana","Perdizes","André","Tatuapé","Madalena","Carinás","Pavão","Chac"},E245))))&gt;0,"Ativo","Inativo"))</f>
        <v/>
      </c>
    </row>
    <row r="246">
      <c r="A246" s="96" t="inlineStr">
        <is>
          <t>9003423</t>
        </is>
      </c>
      <c r="B246" s="97" t="inlineStr">
        <is>
          <t>RED LABEL DOSE</t>
        </is>
      </c>
      <c r="C246" s="97" t="inlineStr">
        <is>
          <t>A WHISKIES</t>
        </is>
      </c>
      <c r="D246" s="98" t="inlineStr">
        <is>
          <t>Produto</t>
        </is>
      </c>
      <c r="E24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6" s="165" t="inlineStr">
        <is>
          <t>0536140e-bae1-41e6-a262-792f83ee9ec2</t>
        </is>
      </c>
      <c r="G246" s="166">
        <f>IF(E246="","Inativo",IF(SUMPRODUCT(--(ISNUMBER(SEARCH({"Lapa","Santana","Mariana","Perdizes","André","Tatuapé","Madalena","Carinás","Pavão","Chac"},E246))))&gt;0,"Ativo","Inativo"))</f>
        <v/>
      </c>
    </row>
    <row r="247">
      <c r="A247" s="96" t="inlineStr">
        <is>
          <t>9003425</t>
        </is>
      </c>
      <c r="B247" s="97" t="inlineStr">
        <is>
          <t>BLACK LABEL DOSE</t>
        </is>
      </c>
      <c r="C247" s="97" t="inlineStr">
        <is>
          <t>A WHISKIES</t>
        </is>
      </c>
      <c r="D247" s="98" t="inlineStr">
        <is>
          <t>Produto</t>
        </is>
      </c>
      <c r="E24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7" s="165" t="inlineStr">
        <is>
          <t>161e2e64-6530-4139-bae6-f60542ed2cfb</t>
        </is>
      </c>
      <c r="G247" s="166">
        <f>IF(E247="","Inativo",IF(SUMPRODUCT(--(ISNUMBER(SEARCH({"Lapa","Santana","Mariana","Perdizes","André","Tatuapé","Madalena","Carinás","Pavão","Chac"},E247))))&gt;0,"Ativo","Inativo"))</f>
        <v/>
      </c>
    </row>
    <row r="248">
      <c r="A248" s="96" t="inlineStr">
        <is>
          <t>9003541</t>
        </is>
      </c>
      <c r="B248" s="97" t="inlineStr">
        <is>
          <t>JACK DANIELS DOSE</t>
        </is>
      </c>
      <c r="C248" s="97" t="inlineStr">
        <is>
          <t>A WHISKIES</t>
        </is>
      </c>
      <c r="D248" s="98" t="inlineStr">
        <is>
          <t>Produto</t>
        </is>
      </c>
      <c r="E24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8" s="165" t="inlineStr">
        <is>
          <t>cf8eb2a1-c837-4cb7-bdbe-ccf4e80ad24e</t>
        </is>
      </c>
      <c r="G248" s="166">
        <f>IF(E248="","Inativo",IF(SUMPRODUCT(--(ISNUMBER(SEARCH({"Lapa","Santana","Mariana","Perdizes","André","Tatuapé","Madalena","Carinás","Pavão","Chac"},E248))))&gt;0,"Ativo","Inativo"))</f>
        <v/>
      </c>
    </row>
    <row r="249">
      <c r="A249" s="96" t="inlineStr">
        <is>
          <t>9003543</t>
        </is>
      </c>
      <c r="B249" s="97" t="inlineStr">
        <is>
          <t>JACK DANIELS GARRAFA</t>
        </is>
      </c>
      <c r="C249" s="97" t="inlineStr">
        <is>
          <t>A WHISKIES</t>
        </is>
      </c>
      <c r="D249" s="98" t="inlineStr">
        <is>
          <t>Produto</t>
        </is>
      </c>
      <c r="E24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49" s="165" t="inlineStr">
        <is>
          <t>e8eb0b1b-7d9e-4399-913a-17b0e8d6fbb2</t>
        </is>
      </c>
      <c r="G249" s="166">
        <f>IF(E249="","Inativo",IF(SUMPRODUCT(--(ISNUMBER(SEARCH({"Lapa","Santana","Mariana","Perdizes","André","Tatuapé","Madalena","Carinás","Pavão","Chac"},E249))))&gt;0,"Ativo","Inativo"))</f>
        <v/>
      </c>
    </row>
    <row r="250">
      <c r="A250" s="96" t="inlineStr">
        <is>
          <t>9003555</t>
        </is>
      </c>
      <c r="B250" s="97" t="inlineStr">
        <is>
          <t>JACK DANIELS HONEY GARRAFA</t>
        </is>
      </c>
      <c r="C250" s="97" t="inlineStr">
        <is>
          <t>A WHISKIES</t>
        </is>
      </c>
      <c r="D250" s="98" t="inlineStr">
        <is>
          <t>Produto</t>
        </is>
      </c>
      <c r="E25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50" s="165" t="inlineStr">
        <is>
          <t>9a683e0c-fc1e-4706-8932-203b545cb743</t>
        </is>
      </c>
      <c r="G250" s="166">
        <f>IF(E250="","Inativo",IF(SUMPRODUCT(--(ISNUMBER(SEARCH({"Lapa","Santana","Mariana","Perdizes","André","Tatuapé","Madalena","Carinás","Pavão","Chac"},E250))))&gt;0,"Ativo","Inativo"))</f>
        <v/>
      </c>
    </row>
    <row r="251">
      <c r="A251" s="96" t="inlineStr">
        <is>
          <t>9003556</t>
        </is>
      </c>
      <c r="B251" s="97" t="inlineStr">
        <is>
          <t>JACK DANIELS HONEY DOSE</t>
        </is>
      </c>
      <c r="C251" s="97" t="inlineStr">
        <is>
          <t>A WHISKIES</t>
        </is>
      </c>
      <c r="D251" s="98" t="inlineStr">
        <is>
          <t>Produto</t>
        </is>
      </c>
      <c r="E25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51" s="165" t="inlineStr">
        <is>
          <t>39c9af5f-bd1f-4ac6-a51a-dc9cbc42bf7c</t>
        </is>
      </c>
      <c r="G251" s="166">
        <f>IF(E251="","Inativo",IF(SUMPRODUCT(--(ISNUMBER(SEARCH({"Lapa","Santana","Mariana","Perdizes","André","Tatuapé","Madalena","Carinás","Pavão","Chac"},E251))))&gt;0,"Ativo","Inativo"))</f>
        <v/>
      </c>
    </row>
    <row r="252">
      <c r="A252" s="96" t="inlineStr">
        <is>
          <t>9003558</t>
        </is>
      </c>
      <c r="B252" s="97" t="inlineStr">
        <is>
          <t>JACK DANIELS FIRE GARRAFA</t>
        </is>
      </c>
      <c r="C252" s="97" t="inlineStr">
        <is>
          <t>A WHISKIES</t>
        </is>
      </c>
      <c r="D252" s="98" t="inlineStr">
        <is>
          <t>Produto</t>
        </is>
      </c>
      <c r="E25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52" s="165" t="inlineStr">
        <is>
          <t>acb200bc-1c1b-4865-a622-cde7d6189c4e</t>
        </is>
      </c>
      <c r="G252" s="166">
        <f>IF(E252="","Inativo",IF(SUMPRODUCT(--(ISNUMBER(SEARCH({"Lapa","Santana","Mariana","Perdizes","André","Tatuapé","Madalena","Carinás","Pavão","Chac"},E252))))&gt;0,"Ativo","Inativo"))</f>
        <v/>
      </c>
    </row>
    <row r="253">
      <c r="A253" s="96" t="inlineStr">
        <is>
          <t>9003559</t>
        </is>
      </c>
      <c r="B253" s="97" t="inlineStr">
        <is>
          <t>JACK DANIELS FIRE DOSE</t>
        </is>
      </c>
      <c r="C253" s="97" t="inlineStr">
        <is>
          <t>A WHISKIES</t>
        </is>
      </c>
      <c r="D253" s="98" t="inlineStr">
        <is>
          <t>Produto</t>
        </is>
      </c>
      <c r="E253"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53" s="165" t="inlineStr">
        <is>
          <t>60760a04-106b-486c-9c02-2fe1f27e540d</t>
        </is>
      </c>
      <c r="G253" s="166">
        <f>IF(E253="","Inativo",IF(SUMPRODUCT(--(ISNUMBER(SEARCH({"Lapa","Santana","Mariana","Perdizes","André","Tatuapé","Madalena","Carinás","Pavão","Chac"},E253))))&gt;0,"Ativo","Inativo"))</f>
        <v/>
      </c>
    </row>
    <row r="254">
      <c r="A254" s="96" t="inlineStr">
        <is>
          <t>789890568772135</t>
        </is>
      </c>
      <c r="B254" s="97" t="inlineStr">
        <is>
          <t>ESPUMANTE BRASILEIRO VIVA LA VIDA BRUT 750ML</t>
        </is>
      </c>
      <c r="C254" s="97" t="inlineStr">
        <is>
          <t>A ESPUMANTES</t>
        </is>
      </c>
      <c r="D254" s="98" t="inlineStr">
        <is>
          <t>Produto</t>
        </is>
      </c>
      <c r="E25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54" s="165" t="inlineStr">
        <is>
          <t>a65b776c-a1cc-43da-b6cb-6f52430f1039</t>
        </is>
      </c>
      <c r="G254" s="166">
        <f>IF(E254="","Inativo",IF(SUMPRODUCT(--(ISNUMBER(SEARCH({"Lapa","Santana","Mariana","Perdizes","André","Tatuapé","Madalena","Carinás","Pavão","Chac"},E254))))&gt;0,"Ativo","Inativo"))</f>
        <v/>
      </c>
    </row>
    <row r="255">
      <c r="A255" s="96" t="inlineStr">
        <is>
          <t>78989056877367</t>
        </is>
      </c>
      <c r="B255" s="97" t="inlineStr">
        <is>
          <t>SALTON BRUT</t>
        </is>
      </c>
      <c r="C255" s="97" t="inlineStr">
        <is>
          <t>A ESPUMANTES</t>
        </is>
      </c>
      <c r="D255" s="98" t="inlineStr">
        <is>
          <t>Produto</t>
        </is>
      </c>
      <c r="E255" s="164" t="inlineStr">
        <is>
          <t>Quintal do Espeto Santana</t>
        </is>
      </c>
      <c r="F255" s="165" t="inlineStr">
        <is>
          <t>fac2c4f9-00a0-4f05-9589-920a8b00a0de</t>
        </is>
      </c>
      <c r="G255" s="166">
        <f>IF(E255="","Inativo",IF(SUMPRODUCT(--(ISNUMBER(SEARCH({"Lapa","Santana","Mariana","Perdizes","André","Tatuapé","Madalena","Carinás","Pavão","Chac"},E255))))&gt;0,"Ativo","Inativo"))</f>
        <v/>
      </c>
    </row>
    <row r="256">
      <c r="A256" s="96" t="inlineStr">
        <is>
          <t>78989056877368</t>
        </is>
      </c>
      <c r="B256" s="97" t="inlineStr">
        <is>
          <t>SALTON</t>
        </is>
      </c>
      <c r="C256" s="97" t="inlineStr">
        <is>
          <t>A ESPUMANTES</t>
        </is>
      </c>
      <c r="D256" s="98" t="inlineStr">
        <is>
          <t>Produto</t>
        </is>
      </c>
      <c r="E256" s="164" t="inlineStr">
        <is>
          <t>Quintal do Espeto Santo André</t>
        </is>
      </c>
      <c r="F256" s="165" t="inlineStr">
        <is>
          <t>aa966df9-87db-4e79-b85d-2869b4d16b82</t>
        </is>
      </c>
      <c r="G256" s="166">
        <f>IF(E256="","Inativo",IF(SUMPRODUCT(--(ISNUMBER(SEARCH({"Lapa","Santana","Mariana","Perdizes","André","Tatuapé","Madalena","Carinás","Pavão","Chac"},E256))))&gt;0,"Ativo","Inativo"))</f>
        <v/>
      </c>
    </row>
    <row r="257">
      <c r="A257" s="96" t="inlineStr">
        <is>
          <t>9003485</t>
        </is>
      </c>
      <c r="B257" s="97" t="inlineStr">
        <is>
          <t>CHANDON ROSE 750 ML</t>
        </is>
      </c>
      <c r="C257" s="97" t="inlineStr">
        <is>
          <t>A ESPUMANTES</t>
        </is>
      </c>
      <c r="D257" s="98" t="inlineStr">
        <is>
          <t>Produto</t>
        </is>
      </c>
      <c r="E25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57" s="165" t="inlineStr">
        <is>
          <t>7b0d37a3-e78b-4602-a47e-402ff78afef5</t>
        </is>
      </c>
      <c r="G257" s="166">
        <f>IF(E257="","Inativo",IF(SUMPRODUCT(--(ISNUMBER(SEARCH({"Lapa","Santana","Mariana","Perdizes","André","Tatuapé","Madalena","Carinás","Pavão","Chac"},E257))))&gt;0,"Ativo","Inativo"))</f>
        <v/>
      </c>
    </row>
    <row r="258">
      <c r="A258" s="96" t="inlineStr">
        <is>
          <t>3000163</t>
        </is>
      </c>
      <c r="B258" s="97" t="inlineStr">
        <is>
          <t>MORANGO C/ CHOCOLATE</t>
        </is>
      </c>
      <c r="C258" s="97" t="inlineStr">
        <is>
          <t>SOBREMESAS</t>
        </is>
      </c>
      <c r="D258" s="98" t="inlineStr">
        <is>
          <t>Produto</t>
        </is>
      </c>
      <c r="E258" s="164" t="inlineStr">
        <is>
          <t>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t>
        </is>
      </c>
      <c r="F258" s="165" t="inlineStr">
        <is>
          <t>692ca746-0e38-48c9-8832-323e3a3af4d6</t>
        </is>
      </c>
      <c r="G258" s="166">
        <f>IF(E258="","Inativo",IF(SUMPRODUCT(--(ISNUMBER(SEARCH({"Lapa","Santana","Mariana","Perdizes","André","Tatuapé","Madalena","Carinás","Pavão","Chac"},E258))))&gt;0,"Ativo","Inativo"))</f>
        <v/>
      </c>
    </row>
    <row r="259">
      <c r="A259" s="96" t="inlineStr">
        <is>
          <t>50001</t>
        </is>
      </c>
      <c r="B259" s="97" t="inlineStr">
        <is>
          <t>ABACAXI C/ CHOCOLATE</t>
        </is>
      </c>
      <c r="C259" s="97" t="inlineStr">
        <is>
          <t>SOBREMESAS</t>
        </is>
      </c>
      <c r="D259" s="98" t="inlineStr">
        <is>
          <t>Produto</t>
        </is>
      </c>
      <c r="E259"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59" s="165" t="inlineStr">
        <is>
          <t>70761248-f7d3-452e-8293-ecf699cf8219</t>
        </is>
      </c>
      <c r="G259" s="166">
        <f>IF(E259="","Inativo",IF(SUMPRODUCT(--(ISNUMBER(SEARCH({"Lapa","Santana","Mariana","Perdizes","André","Tatuapé","Madalena","Carinás","Pavão","Chac"},E259))))&gt;0,"Ativo","Inativo"))</f>
        <v/>
      </c>
    </row>
    <row r="260">
      <c r="A260" s="96" t="inlineStr">
        <is>
          <t>50002</t>
        </is>
      </c>
      <c r="B260" s="97" t="inlineStr">
        <is>
          <t>BANANA C/ CHOCOLATE</t>
        </is>
      </c>
      <c r="C260" s="97" t="inlineStr">
        <is>
          <t>SOBREMESAS</t>
        </is>
      </c>
      <c r="D260" s="98" t="inlineStr">
        <is>
          <t>Produto</t>
        </is>
      </c>
      <c r="E26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60" s="165" t="inlineStr">
        <is>
          <t>03fad915-55e3-4faf-9d14-b5d7f703550a</t>
        </is>
      </c>
      <c r="G260" s="166">
        <f>IF(E260="","Inativo",IF(SUMPRODUCT(--(ISNUMBER(SEARCH({"Lapa","Santana","Mariana","Perdizes","André","Tatuapé","Madalena","Carinás","Pavão","Chac"},E260))))&gt;0,"Ativo","Inativo"))</f>
        <v/>
      </c>
    </row>
    <row r="261">
      <c r="A261" s="96" t="inlineStr">
        <is>
          <t>50005</t>
        </is>
      </c>
      <c r="B261" s="97" t="inlineStr">
        <is>
          <t>UVA C/ CHOCOLATE</t>
        </is>
      </c>
      <c r="C261" s="97" t="inlineStr">
        <is>
          <t>SOBREMESAS</t>
        </is>
      </c>
      <c r="D261" s="98" t="inlineStr">
        <is>
          <t>Produto</t>
        </is>
      </c>
      <c r="E261"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61" s="165" t="inlineStr">
        <is>
          <t>4bcc9187-27ce-49f9-868e-441b833e236c</t>
        </is>
      </c>
      <c r="G261" s="166">
        <f>IF(E261="","Inativo",IF(SUMPRODUCT(--(ISNUMBER(SEARCH({"Lapa","Santana","Mariana","Perdizes","André","Tatuapé","Madalena","Carinás","Pavão","Chac"},E261))))&gt;0,"Ativo","Inativo"))</f>
        <v/>
      </c>
    </row>
    <row r="262">
      <c r="A262" s="96" t="inlineStr">
        <is>
          <t>50008</t>
        </is>
      </c>
      <c r="B262" s="97" t="inlineStr">
        <is>
          <t>BRIGADEIRO</t>
        </is>
      </c>
      <c r="C262" s="97" t="inlineStr">
        <is>
          <t>SOBREMESAS</t>
        </is>
      </c>
      <c r="D262" s="98" t="inlineStr">
        <is>
          <t>Produto</t>
        </is>
      </c>
      <c r="E26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62" s="165" t="inlineStr">
        <is>
          <t>9ab69a16-8527-43ec-acf8-595c4703ee49</t>
        </is>
      </c>
      <c r="G262" s="166">
        <f>IF(E262="","Inativo",IF(SUMPRODUCT(--(ISNUMBER(SEARCH({"Lapa","Santana","Mariana","Perdizes","André","Tatuapé","Madalena","Carinás","Pavão","Chac"},E262))))&gt;0,"Ativo","Inativo"))</f>
        <v/>
      </c>
    </row>
    <row r="263">
      <c r="A263" s="96" t="inlineStr">
        <is>
          <t>78989056877167</t>
        </is>
      </c>
      <c r="B263" s="97" t="inlineStr">
        <is>
          <t>ARROZ DOCE</t>
        </is>
      </c>
      <c r="C263" s="97" t="inlineStr">
        <is>
          <t>SOBREMESAS</t>
        </is>
      </c>
      <c r="D263" s="98" t="inlineStr">
        <is>
          <t>Produto</t>
        </is>
      </c>
      <c r="E26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63" s="165" t="inlineStr">
        <is>
          <t>5c8af7b6-9777-4525-a5b3-ac67cdbad9ac</t>
        </is>
      </c>
      <c r="G263" s="166">
        <f>IF(E263="","Inativo",IF(SUMPRODUCT(--(ISNUMBER(SEARCH({"Lapa","Santana","Mariana","Perdizes","André","Tatuapé","Madalena","Carinás","Pavão","Chac"},E263))))&gt;0,"Ativo","Inativo"))</f>
        <v/>
      </c>
    </row>
    <row r="264">
      <c r="A264" s="96" t="inlineStr">
        <is>
          <t>789890568772136</t>
        </is>
      </c>
      <c r="B264" s="97" t="inlineStr">
        <is>
          <t>CASQUINHA DE SORVETE BAUNILHA</t>
        </is>
      </c>
      <c r="C264" s="97" t="inlineStr">
        <is>
          <t>SOBREMESAS</t>
        </is>
      </c>
      <c r="D264" s="98" t="inlineStr">
        <is>
          <t>Produto</t>
        </is>
      </c>
      <c r="E264" s="164" t="inlineStr">
        <is>
          <t>Quintal do Espeto Carinás</t>
        </is>
      </c>
      <c r="F264" s="165" t="inlineStr">
        <is>
          <t>85c6237d-d33a-42dc-9a8a-c4dffc8a3737</t>
        </is>
      </c>
      <c r="G264" s="166">
        <f>IF(E264="","Inativo",IF(SUMPRODUCT(--(ISNUMBER(SEARCH({"Lapa","Santana","Mariana","Perdizes","André","Tatuapé","Madalena","Carinás","Pavão","Chac"},E264))))&gt;0,"Ativo","Inativo"))</f>
        <v/>
      </c>
    </row>
    <row r="265">
      <c r="A265" s="96" t="inlineStr">
        <is>
          <t>789890568772137</t>
        </is>
      </c>
      <c r="B265" s="97" t="inlineStr">
        <is>
          <t>CASQUINHA DE SORVETE CHOCOLATE</t>
        </is>
      </c>
      <c r="C265" s="97" t="inlineStr">
        <is>
          <t>SOBREMESAS</t>
        </is>
      </c>
      <c r="D265" s="98" t="inlineStr">
        <is>
          <t>Produto</t>
        </is>
      </c>
      <c r="E265" s="164" t="inlineStr">
        <is>
          <t>Quintal do Espeto Carinás</t>
        </is>
      </c>
      <c r="F265" s="165" t="inlineStr">
        <is>
          <t>0c4565d9-f7a6-4971-b1bf-7f9b7648d361</t>
        </is>
      </c>
      <c r="G265" s="166">
        <f>IF(E265="","Inativo",IF(SUMPRODUCT(--(ISNUMBER(SEARCH({"Lapa","Santana","Mariana","Perdizes","André","Tatuapé","Madalena","Carinás","Pavão","Chac"},E265))))&gt;0,"Ativo","Inativo"))</f>
        <v/>
      </c>
    </row>
    <row r="266">
      <c r="A266" s="96" t="inlineStr">
        <is>
          <t>789890568772138</t>
        </is>
      </c>
      <c r="B266" s="97" t="inlineStr">
        <is>
          <t>CASQUINHA DE SORVETE MISTA</t>
        </is>
      </c>
      <c r="C266" s="97" t="inlineStr">
        <is>
          <t>SOBREMESAS</t>
        </is>
      </c>
      <c r="D266" s="98" t="inlineStr">
        <is>
          <t>Produto</t>
        </is>
      </c>
      <c r="E266" s="164" t="inlineStr">
        <is>
          <t>Quintal do Espeto Carinás</t>
        </is>
      </c>
      <c r="F266" s="165" t="inlineStr">
        <is>
          <t>c9a105a0-a847-4e0d-a751-0b3cddc03b1f</t>
        </is>
      </c>
      <c r="G266" s="166">
        <f>IF(E266="","Inativo",IF(SUMPRODUCT(--(ISNUMBER(SEARCH({"Lapa","Santana","Mariana","Perdizes","André","Tatuapé","Madalena","Carinás","Pavão","Chac"},E266))))&gt;0,"Ativo","Inativo"))</f>
        <v/>
      </c>
    </row>
    <row r="267">
      <c r="A267" s="96" t="inlineStr">
        <is>
          <t>78989056877250</t>
        </is>
      </c>
      <c r="B267" s="97" t="inlineStr">
        <is>
          <t>Canjica</t>
        </is>
      </c>
      <c r="C267" s="97" t="inlineStr">
        <is>
          <t>SOBREMESAS</t>
        </is>
      </c>
      <c r="D267" s="98" t="inlineStr">
        <is>
          <t>Produto</t>
        </is>
      </c>
      <c r="E267" s="164" t="inlineStr">
        <is>
          <t>Quintal do Espeto Santo André, Quintal do Espeto Tatuapé</t>
        </is>
      </c>
      <c r="F267" s="165" t="inlineStr">
        <is>
          <t>4181e6e8-1b74-4a48-b2c5-3519f68181db</t>
        </is>
      </c>
      <c r="G267" s="166">
        <f>IF(E267="","Inativo",IF(SUMPRODUCT(--(ISNUMBER(SEARCH({"Lapa","Santana","Mariana","Perdizes","André","Tatuapé","Madalena","Carinás","Pavão","Chac"},E267))))&gt;0,"Ativo","Inativo"))</f>
        <v/>
      </c>
    </row>
    <row r="268">
      <c r="A268" s="96" t="inlineStr">
        <is>
          <t>78989056877252</t>
        </is>
      </c>
      <c r="B268" s="97" t="inlineStr">
        <is>
          <t>DOCE DE LEITE EM POTE</t>
        </is>
      </c>
      <c r="C268" s="97" t="inlineStr">
        <is>
          <t>SOBREMESAS</t>
        </is>
      </c>
      <c r="D268" s="98" t="inlineStr">
        <is>
          <t>Produto</t>
        </is>
      </c>
      <c r="E268" s="164" t="inlineStr">
        <is>
          <t>Quintal do Espeto Tatuapé</t>
        </is>
      </c>
      <c r="F268" s="165" t="inlineStr">
        <is>
          <t>27a6c926-d8ee-48e8-bd4c-fa2a10aca318</t>
        </is>
      </c>
      <c r="G268" s="166">
        <f>IF(E268="","Inativo",IF(SUMPRODUCT(--(ISNUMBER(SEARCH({"Lapa","Santana","Mariana","Perdizes","André","Tatuapé","Madalena","Carinás","Pavão","Chac"},E268))))&gt;0,"Ativo","Inativo"))</f>
        <v/>
      </c>
    </row>
    <row r="269">
      <c r="A269" s="96" t="inlineStr">
        <is>
          <t>78989956877332</t>
        </is>
      </c>
      <c r="B269" s="97" t="inlineStr">
        <is>
          <t>BOLO ANIVERSARIO CHOCOLATE</t>
        </is>
      </c>
      <c r="C269" s="97" t="inlineStr">
        <is>
          <t>SOBREMESAS</t>
        </is>
      </c>
      <c r="D269" s="98" t="inlineStr">
        <is>
          <t>Produto</t>
        </is>
      </c>
      <c r="E269" s="164" t="inlineStr">
        <is>
          <t>Quintal do Espeto Tatuapé, Quintal do Espeto Carinás</t>
        </is>
      </c>
      <c r="F269" s="165" t="inlineStr">
        <is>
          <t>6e3f1a96-2a6e-4c29-b2b7-31c0984e4518</t>
        </is>
      </c>
      <c r="G269" s="166">
        <f>IF(E269="","Inativo",IF(SUMPRODUCT(--(ISNUMBER(SEARCH({"Lapa","Santana","Mariana","Perdizes","André","Tatuapé","Madalena","Carinás","Pavão","Chac"},E269))))&gt;0,"Ativo","Inativo"))</f>
        <v/>
      </c>
    </row>
    <row r="270">
      <c r="A270" s="96" t="inlineStr">
        <is>
          <t>78989956877333</t>
        </is>
      </c>
      <c r="B270" s="97" t="inlineStr">
        <is>
          <t>BOLO ANIVERSARIO ABACAXI</t>
        </is>
      </c>
      <c r="C270" s="97" t="inlineStr">
        <is>
          <t>SOBREMESAS</t>
        </is>
      </c>
      <c r="D270" s="98" t="inlineStr">
        <is>
          <t>Produto</t>
        </is>
      </c>
      <c r="E270" s="164" t="inlineStr">
        <is>
          <t>Quintal do Espeto Tatuapé, Quintal do Espeto Carinás</t>
        </is>
      </c>
      <c r="F270" s="165" t="inlineStr">
        <is>
          <t>6db957e3-7d65-4115-8ec6-92a2d42d1fd7</t>
        </is>
      </c>
      <c r="G270" s="166">
        <f>IF(E270="","Inativo",IF(SUMPRODUCT(--(ISNUMBER(SEARCH({"Lapa","Santana","Mariana","Perdizes","André","Tatuapé","Madalena","Carinás","Pavão","Chac"},E270))))&gt;0,"Ativo","Inativo"))</f>
        <v/>
      </c>
    </row>
    <row r="271">
      <c r="A271" s="96" t="inlineStr">
        <is>
          <t>800056</t>
        </is>
      </c>
      <c r="B271" s="97" t="inlineStr">
        <is>
          <t>CURAU</t>
        </is>
      </c>
      <c r="C271" s="97" t="inlineStr">
        <is>
          <t>SOBREMESAS</t>
        </is>
      </c>
      <c r="D271" s="98" t="inlineStr">
        <is>
          <t>Produto</t>
        </is>
      </c>
      <c r="E271" s="164" t="inlineStr">
        <is>
          <t>Quintal do Espeto Santo André, Quintal do Espeto Santana, Quintal do Espeto Tatuapé, Quintal do Espeto Carinás, Quintal do Espeto Interlagos, Quintal do Espeto Recargas/Bônus</t>
        </is>
      </c>
      <c r="F271" s="165" t="inlineStr">
        <is>
          <t>5a8c5b42-6d74-49e0-849e-b8fdc42ffc54</t>
        </is>
      </c>
      <c r="G271" s="166">
        <f>IF(E271="","Inativo",IF(SUMPRODUCT(--(ISNUMBER(SEARCH({"Lapa","Santana","Mariana","Perdizes","André","Tatuapé","Madalena","Carinás","Pavão","Chac"},E271))))&gt;0,"Ativo","Inativo"))</f>
        <v/>
      </c>
    </row>
    <row r="272">
      <c r="A272" s="96" t="inlineStr">
        <is>
          <t>9003333</t>
        </is>
      </c>
      <c r="B272" s="97" t="inlineStr">
        <is>
          <t>MINI CHURROS C/ DOCE DE LEITE</t>
        </is>
      </c>
      <c r="C272" s="97" t="inlineStr">
        <is>
          <t>SOBREMESAS</t>
        </is>
      </c>
      <c r="D272" s="98" t="inlineStr">
        <is>
          <t>Produto</t>
        </is>
      </c>
      <c r="E272"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72" s="165" t="inlineStr">
        <is>
          <t>b69b08d0-77a6-4932-95ae-a523b610304c</t>
        </is>
      </c>
      <c r="G272" s="166">
        <f>IF(E272="","Inativo",IF(SUMPRODUCT(--(ISNUMBER(SEARCH({"Lapa","Santana","Mariana","Perdizes","André","Tatuapé","Madalena","Carinás","Pavão","Chac"},E272))))&gt;0,"Ativo","Inativo"))</f>
        <v/>
      </c>
    </row>
    <row r="273">
      <c r="A273" s="96" t="inlineStr">
        <is>
          <t>7898905687610</t>
        </is>
      </c>
      <c r="B273" s="97" t="inlineStr">
        <is>
          <t>CERVEJA QUINTAL PILSEN</t>
        </is>
      </c>
      <c r="C273" s="97" t="inlineStr">
        <is>
          <t>A CERVEJA GARRAFA 600ML</t>
        </is>
      </c>
      <c r="D273" s="98" t="inlineStr">
        <is>
          <t>Produto</t>
        </is>
      </c>
      <c r="E27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73" s="165" t="inlineStr">
        <is>
          <t>c27f7eaf-2bd9-4417-9355-a2bab0a09e6f</t>
        </is>
      </c>
      <c r="G273" s="166">
        <f>IF(E273="","Inativo",IF(SUMPRODUCT(--(ISNUMBER(SEARCH({"Lapa","Santana","Mariana","Perdizes","André","Tatuapé","Madalena","Carinás","Pavão","Chac"},E273))))&gt;0,"Ativo","Inativo"))</f>
        <v/>
      </c>
    </row>
    <row r="274">
      <c r="A274" s="96" t="inlineStr">
        <is>
          <t>7898905687611</t>
        </is>
      </c>
      <c r="B274" s="97" t="inlineStr">
        <is>
          <t>CERVEJA IPA QUINTAL</t>
        </is>
      </c>
      <c r="C274" s="97" t="inlineStr">
        <is>
          <t>A CERVEJA GARRAFA 600ML</t>
        </is>
      </c>
      <c r="D274" s="98" t="inlineStr">
        <is>
          <t>Produto</t>
        </is>
      </c>
      <c r="E27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74" s="165" t="inlineStr">
        <is>
          <t>2349a169-e7a6-43cb-888f-e171d2a80fe8</t>
        </is>
      </c>
      <c r="G274" s="166">
        <f>IF(E274="","Inativo",IF(SUMPRODUCT(--(ISNUMBER(SEARCH({"Lapa","Santana","Mariana","Perdizes","André","Tatuapé","Madalena","Carinás","Pavão","Chac"},E274))))&gt;0,"Ativo","Inativo"))</f>
        <v/>
      </c>
    </row>
    <row r="275">
      <c r="A275" s="96" t="inlineStr">
        <is>
          <t>78989056877300</t>
        </is>
      </c>
      <c r="B275" s="97" t="inlineStr">
        <is>
          <t>BALDE DE BECKS 600ML</t>
        </is>
      </c>
      <c r="C275" s="97" t="inlineStr">
        <is>
          <t>A CERVEJA GARRAFA 600ML</t>
        </is>
      </c>
      <c r="D275" s="98" t="inlineStr">
        <is>
          <t>Produto</t>
        </is>
      </c>
      <c r="E27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75" s="165" t="inlineStr">
        <is>
          <t>06b85ddd-f414-466d-8fb4-41fba09291b7</t>
        </is>
      </c>
      <c r="G275" s="166">
        <f>IF(E275="","Inativo",IF(SUMPRODUCT(--(ISNUMBER(SEARCH({"Lapa","Santana","Mariana","Perdizes","André","Tatuapé","Madalena","Carinás","Pavão","Chac"},E275))))&gt;0,"Ativo","Inativo"))</f>
        <v/>
      </c>
    </row>
    <row r="276">
      <c r="A276" s="96" t="inlineStr">
        <is>
          <t>78989056877301</t>
        </is>
      </c>
      <c r="B276" s="97" t="inlineStr">
        <is>
          <t>BALDE DE ORIGINAL 600ML</t>
        </is>
      </c>
      <c r="C276" s="97" t="inlineStr">
        <is>
          <t>A CERVEJA GARRAFA 600ML</t>
        </is>
      </c>
      <c r="D276" s="98" t="inlineStr">
        <is>
          <t>Produto</t>
        </is>
      </c>
      <c r="E27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76" s="165" t="inlineStr">
        <is>
          <t>d727bcfa-c682-4e7f-8655-dc7923ab04a8</t>
        </is>
      </c>
      <c r="G276" s="166">
        <f>IF(E276="","Inativo",IF(SUMPRODUCT(--(ISNUMBER(SEARCH({"Lapa","Santana","Mariana","Perdizes","André","Tatuapé","Madalena","Carinás","Pavão","Chac"},E276))))&gt;0,"Ativo","Inativo"))</f>
        <v/>
      </c>
    </row>
    <row r="277">
      <c r="A277" s="96" t="inlineStr">
        <is>
          <t>78989056877302</t>
        </is>
      </c>
      <c r="B277" s="97" t="inlineStr">
        <is>
          <t>BALDE DE SPATEN 600ML</t>
        </is>
      </c>
      <c r="C277" s="97" t="inlineStr">
        <is>
          <t>A CERVEJA GARRAFA 600ML</t>
        </is>
      </c>
      <c r="D277" s="98" t="inlineStr">
        <is>
          <t>Produto</t>
        </is>
      </c>
      <c r="E27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77" s="165" t="inlineStr">
        <is>
          <t>7e1b012a-3690-40c1-84a8-4dc1b0af087d</t>
        </is>
      </c>
      <c r="G277" s="166">
        <f>IF(E277="","Inativo",IF(SUMPRODUCT(--(ISNUMBER(SEARCH({"Lapa","Santana","Mariana","Perdizes","André","Tatuapé","Madalena","Carinás","Pavão","Chac"},E277))))&gt;0,"Ativo","Inativo"))</f>
        <v/>
      </c>
    </row>
    <row r="278">
      <c r="A278" s="96" t="inlineStr">
        <is>
          <t>78989056877303</t>
        </is>
      </c>
      <c r="B278" s="97" t="inlineStr">
        <is>
          <t>BALDE DE STELLA 600ML</t>
        </is>
      </c>
      <c r="C278" s="97" t="inlineStr">
        <is>
          <t>A CERVEJA GARRAFA 600ML</t>
        </is>
      </c>
      <c r="D278" s="98" t="inlineStr">
        <is>
          <t>Produto</t>
        </is>
      </c>
      <c r="E27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78" s="165" t="inlineStr">
        <is>
          <t>fca3e00c-01d2-4391-bd99-78b420e43a0a</t>
        </is>
      </c>
      <c r="G278" s="166">
        <f>IF(E278="","Inativo",IF(SUMPRODUCT(--(ISNUMBER(SEARCH({"Lapa","Santana","Mariana","Perdizes","André","Tatuapé","Madalena","Carinás","Pavão","Chac"},E278))))&gt;0,"Ativo","Inativo"))</f>
        <v/>
      </c>
    </row>
    <row r="279">
      <c r="A279" s="96" t="inlineStr">
        <is>
          <t>78989056877304</t>
        </is>
      </c>
      <c r="B279" s="97" t="inlineStr">
        <is>
          <t>BALDE DE CORONA 600ML</t>
        </is>
      </c>
      <c r="C279" s="97" t="inlineStr">
        <is>
          <t>A CERVEJA GARRAFA 600ML</t>
        </is>
      </c>
      <c r="D279" s="98" t="inlineStr">
        <is>
          <t>Produto</t>
        </is>
      </c>
      <c r="E27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79" s="165" t="inlineStr">
        <is>
          <t>a6ae8990-d992-4667-b981-c1b3fdead7ce</t>
        </is>
      </c>
      <c r="G279" s="166">
        <f>IF(E279="","Inativo",IF(SUMPRODUCT(--(ISNUMBER(SEARCH({"Lapa","Santana","Mariana","Perdizes","André","Tatuapé","Madalena","Carinás","Pavão","Chac"},E279))))&gt;0,"Ativo","Inativo"))</f>
        <v/>
      </c>
    </row>
    <row r="280">
      <c r="A280" s="96" t="inlineStr">
        <is>
          <t>79002</t>
        </is>
      </c>
      <c r="B280" s="97" t="inlineStr">
        <is>
          <t>ORIGINAL 600</t>
        </is>
      </c>
      <c r="C280" s="97" t="inlineStr">
        <is>
          <t>A CERVEJA GARRAFA 600ML</t>
        </is>
      </c>
      <c r="D280" s="98" t="inlineStr">
        <is>
          <t>Produto</t>
        </is>
      </c>
      <c r="E280" s="164" t="inlineStr">
        <is>
          <t>Delivery Interlagos, Quintal do Espeto Lapa , Quintal do Espeto Santo André, Quintal do Espeto Chac Sto Antonio, Delivery Lapa, Delivery Carinás, Delivery Vila Madalena, Delivery Tatuapé, Delivery Chac. Sto Antonio, Quintal do Espeto Santana, Quintal do Espeto  V. Mariana, Delivery Santo André, Delivery Pavão, Delivery V. Mariana, Delivery Perdizes, Quintal do Espeto Perdizes, Delivery Santana, Quintal do Espeto Tatuapé, Quintal do Espeto  V. Madalena, Quintal do Espeto Carinás, Quintal do Espeto Pavão, Quintal do Espeto Interlagos, Quintal do Espeto Recargas/Bônus</t>
        </is>
      </c>
      <c r="F280" s="165" t="inlineStr">
        <is>
          <t>3b4abb32-d485-4275-aa16-cb5cba377ccc</t>
        </is>
      </c>
      <c r="G280" s="166">
        <f>IF(E280="","Inativo",IF(SUMPRODUCT(--(ISNUMBER(SEARCH({"Lapa","Santana","Mariana","Perdizes","André","Tatuapé","Madalena","Carinás","Pavão","Chac"},E280))))&gt;0,"Ativo","Inativo"))</f>
        <v/>
      </c>
    </row>
    <row r="281">
      <c r="A281" s="96" t="inlineStr">
        <is>
          <t>79006</t>
        </is>
      </c>
      <c r="B281" s="97" t="inlineStr">
        <is>
          <t>STELLA 550</t>
        </is>
      </c>
      <c r="C281" s="97" t="inlineStr">
        <is>
          <t>A CERVEJA GARRAFA 600ML</t>
        </is>
      </c>
      <c r="D281" s="98" t="inlineStr">
        <is>
          <t>Produto</t>
        </is>
      </c>
      <c r="E28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81" s="165" t="inlineStr">
        <is>
          <t>4b170df7-c4ee-4855-938c-1bd8e41e5e4d</t>
        </is>
      </c>
      <c r="G281" s="166">
        <f>IF(E281="","Inativo",IF(SUMPRODUCT(--(ISNUMBER(SEARCH({"Lapa","Santana","Mariana","Perdizes","André","Tatuapé","Madalena","Carinás","Pavão","Chac"},E281))))&gt;0,"Ativo","Inativo"))</f>
        <v/>
      </c>
    </row>
    <row r="282">
      <c r="A282" s="96" t="inlineStr">
        <is>
          <t>9003310</t>
        </is>
      </c>
      <c r="B282" s="97" t="inlineStr">
        <is>
          <t>CERVEJA BECKS 600 ML</t>
        </is>
      </c>
      <c r="C282" s="97" t="inlineStr">
        <is>
          <t>A CERVEJA GARRAFA 600ML</t>
        </is>
      </c>
      <c r="D282" s="98" t="inlineStr">
        <is>
          <t>Produto</t>
        </is>
      </c>
      <c r="E28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82" s="165" t="inlineStr">
        <is>
          <t>9faa3ecf-593a-4140-b6f8-7413c33d5159</t>
        </is>
      </c>
      <c r="G282" s="166">
        <f>IF(E282="","Inativo",IF(SUMPRODUCT(--(ISNUMBER(SEARCH({"Lapa","Santana","Mariana","Perdizes","André","Tatuapé","Madalena","Carinás","Pavão","Chac"},E282))))&gt;0,"Ativo","Inativo"))</f>
        <v/>
      </c>
    </row>
    <row r="283">
      <c r="A283" s="96" t="inlineStr">
        <is>
          <t>9003350</t>
        </is>
      </c>
      <c r="B283" s="97" t="inlineStr">
        <is>
          <t>BRAHMA DUPLO MALTE 600 ML</t>
        </is>
      </c>
      <c r="C283" s="97" t="inlineStr">
        <is>
          <t>A CERVEJA GARRAFA 600ML</t>
        </is>
      </c>
      <c r="D283" s="98" t="inlineStr">
        <is>
          <t>Produto</t>
        </is>
      </c>
      <c r="E283"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83" s="165" t="inlineStr">
        <is>
          <t>6a195534-f3c4-4190-8b5a-c8b162ec94ff</t>
        </is>
      </c>
      <c r="G283" s="166">
        <f>IF(E283="","Inativo",IF(SUMPRODUCT(--(ISNUMBER(SEARCH({"Lapa","Santana","Mariana","Perdizes","André","Tatuapé","Madalena","Carinás","Pavão","Chac"},E283))))&gt;0,"Ativo","Inativo"))</f>
        <v/>
      </c>
    </row>
    <row r="284">
      <c r="A284" s="96" t="inlineStr">
        <is>
          <t>9003579</t>
        </is>
      </c>
      <c r="B284" s="97" t="inlineStr">
        <is>
          <t>CERVEJA SPATEN</t>
        </is>
      </c>
      <c r="C284" s="97" t="inlineStr">
        <is>
          <t>A CERVEJA GARRAFA 600ML</t>
        </is>
      </c>
      <c r="D284" s="98" t="inlineStr">
        <is>
          <t>Produto</t>
        </is>
      </c>
      <c r="E28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84" s="165" t="inlineStr">
        <is>
          <t>6d26832a-23c4-4c3d-8cec-84c67a44b785</t>
        </is>
      </c>
      <c r="G284" s="166">
        <f>IF(E284="","Inativo",IF(SUMPRODUCT(--(ISNUMBER(SEARCH({"Lapa","Santana","Mariana","Perdizes","André","Tatuapé","Madalena","Carinás","Pavão","Chac"},E284))))&gt;0,"Ativo","Inativo"))</f>
        <v/>
      </c>
    </row>
    <row r="285">
      <c r="A285" s="96" t="inlineStr">
        <is>
          <t>3000174</t>
        </is>
      </c>
      <c r="B285" s="97" t="inlineStr">
        <is>
          <t>PATAGONIA IPA  600 ML</t>
        </is>
      </c>
      <c r="C285" s="97" t="inlineStr">
        <is>
          <t>A CERVEJAS ESPECIAIS</t>
        </is>
      </c>
      <c r="D285" s="98" t="inlineStr">
        <is>
          <t>Produto</t>
        </is>
      </c>
      <c r="E285"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85" s="165" t="inlineStr">
        <is>
          <t>91f88e96-6e7f-498e-971a-e9fef7679f15</t>
        </is>
      </c>
      <c r="G285" s="166">
        <f>IF(E285="","Inativo",IF(SUMPRODUCT(--(ISNUMBER(SEARCH({"Lapa","Santana","Mariana","Perdizes","André","Tatuapé","Madalena","Carinás","Pavão","Chac"},E285))))&gt;0,"Ativo","Inativo"))</f>
        <v/>
      </c>
    </row>
    <row r="286">
      <c r="A286" s="96" t="inlineStr">
        <is>
          <t>78989056877179</t>
        </is>
      </c>
      <c r="B286" s="97" t="inlineStr">
        <is>
          <t>CORONA 600ML</t>
        </is>
      </c>
      <c r="C286" s="97" t="inlineStr">
        <is>
          <t>A CERVEJAS ESPECIAIS</t>
        </is>
      </c>
      <c r="D286" s="98" t="inlineStr">
        <is>
          <t>Produto</t>
        </is>
      </c>
      <c r="E28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86" s="165" t="inlineStr">
        <is>
          <t>aa4abd69-3cbd-4058-b740-541c2a08cb98</t>
        </is>
      </c>
      <c r="G286" s="166">
        <f>IF(E286="","Inativo",IF(SUMPRODUCT(--(ISNUMBER(SEARCH({"Lapa","Santana","Mariana","Perdizes","André","Tatuapé","Madalena","Carinás","Pavão","Chac"},E286))))&gt;0,"Ativo","Inativo"))</f>
        <v/>
      </c>
    </row>
    <row r="287">
      <c r="A287" s="96" t="inlineStr">
        <is>
          <t>78989056877180</t>
        </is>
      </c>
      <c r="B287" s="97" t="inlineStr">
        <is>
          <t>CORONA CERO</t>
        </is>
      </c>
      <c r="C287" s="97" t="inlineStr">
        <is>
          <t>A CERVEJAS ESPECIAIS</t>
        </is>
      </c>
      <c r="D287" s="98" t="inlineStr">
        <is>
          <t>Produto</t>
        </is>
      </c>
      <c r="E28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287" s="165" t="inlineStr">
        <is>
          <t>88326c69-ae98-4034-8c7f-9322d7c8b352</t>
        </is>
      </c>
      <c r="G287" s="166">
        <f>IF(E287="","Inativo",IF(SUMPRODUCT(--(ISNUMBER(SEARCH({"Lapa","Santana","Mariana","Perdizes","André","Tatuapé","Madalena","Carinás","Pavão","Chac"},E287))))&gt;0,"Ativo","Inativo"))</f>
        <v/>
      </c>
    </row>
    <row r="288">
      <c r="A288" s="96" t="inlineStr">
        <is>
          <t>80017</t>
        </is>
      </c>
      <c r="B288" s="97" t="inlineStr">
        <is>
          <t>COLORADO APPIA</t>
        </is>
      </c>
      <c r="C288" s="97" t="inlineStr">
        <is>
          <t>A CERVEJAS ESPECIAIS</t>
        </is>
      </c>
      <c r="D288" s="98" t="inlineStr">
        <is>
          <t>Produto</t>
        </is>
      </c>
      <c r="E288"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88" s="165" t="inlineStr">
        <is>
          <t>144b5617-3adc-48e4-bb2c-fad16148646c</t>
        </is>
      </c>
      <c r="G288" s="166">
        <f>IF(E288="","Inativo",IF(SUMPRODUCT(--(ISNUMBER(SEARCH({"Lapa","Santana","Mariana","Perdizes","André","Tatuapé","Madalena","Carinás","Pavão","Chac"},E288))))&gt;0,"Ativo","Inativo"))</f>
        <v/>
      </c>
    </row>
    <row r="289">
      <c r="A289" s="96" t="inlineStr">
        <is>
          <t>80022</t>
        </is>
      </c>
      <c r="B289" s="97" t="inlineStr">
        <is>
          <t>NORTENA</t>
        </is>
      </c>
      <c r="C289" s="97" t="inlineStr">
        <is>
          <t>A CERVEJAS ESPECIAIS</t>
        </is>
      </c>
      <c r="D289" s="98" t="inlineStr">
        <is>
          <t>Produto</t>
        </is>
      </c>
      <c r="E289"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89" s="165" t="inlineStr">
        <is>
          <t>78823ac1-8673-46fe-b317-138b03a115f1</t>
        </is>
      </c>
      <c r="G289" s="166">
        <f>IF(E289="","Inativo",IF(SUMPRODUCT(--(ISNUMBER(SEARCH({"Lapa","Santana","Mariana","Perdizes","André","Tatuapé","Madalena","Carinás","Pavão","Chac"},E289))))&gt;0,"Ativo","Inativo"))</f>
        <v/>
      </c>
    </row>
    <row r="290">
      <c r="A290" s="96" t="inlineStr">
        <is>
          <t>80028</t>
        </is>
      </c>
      <c r="B290" s="97" t="inlineStr">
        <is>
          <t>HOEGAARDEN</t>
        </is>
      </c>
      <c r="C290" s="97" t="inlineStr">
        <is>
          <t>A CERVEJAS ESPECIAIS</t>
        </is>
      </c>
      <c r="D290" s="98" t="inlineStr">
        <is>
          <t>Produto</t>
        </is>
      </c>
      <c r="E290"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90" s="165" t="inlineStr">
        <is>
          <t>11170aba-9711-4135-abcf-5690c821022d</t>
        </is>
      </c>
      <c r="G290" s="166">
        <f>IF(E290="","Inativo",IF(SUMPRODUCT(--(ISNUMBER(SEARCH({"Lapa","Santana","Mariana","Perdizes","André","Tatuapé","Madalena","Carinás","Pavão","Chac"},E290))))&gt;0,"Ativo","Inativo"))</f>
        <v/>
      </c>
    </row>
    <row r="291">
      <c r="A291" s="96" t="inlineStr">
        <is>
          <t>80045</t>
        </is>
      </c>
      <c r="B291" s="97" t="inlineStr">
        <is>
          <t>CORONA EXTRA</t>
        </is>
      </c>
      <c r="C291" s="97" t="inlineStr">
        <is>
          <t>A CERVEJAS ESPECIAIS</t>
        </is>
      </c>
      <c r="D291" s="98" t="inlineStr">
        <is>
          <t>Produto</t>
        </is>
      </c>
      <c r="E29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91" s="165" t="inlineStr">
        <is>
          <t>454e110f-cea9-4797-856b-378edb3c3736</t>
        </is>
      </c>
      <c r="G291" s="166">
        <f>IF(E291="","Inativo",IF(SUMPRODUCT(--(ISNUMBER(SEARCH({"Lapa","Santana","Mariana","Perdizes","André","Tatuapé","Madalena","Carinás","Pavão","Chac"},E291))))&gt;0,"Ativo","Inativo"))</f>
        <v/>
      </c>
    </row>
    <row r="292">
      <c r="A292" s="96" t="inlineStr">
        <is>
          <t>80046</t>
        </is>
      </c>
      <c r="B292" s="97" t="inlineStr">
        <is>
          <t>GOOSE ISLAND IPA</t>
        </is>
      </c>
      <c r="C292" s="97" t="inlineStr">
        <is>
          <t>A CERVEJAS ESPECIAIS</t>
        </is>
      </c>
      <c r="D292" s="98" t="inlineStr">
        <is>
          <t>Produto</t>
        </is>
      </c>
      <c r="E292"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292" s="165" t="inlineStr">
        <is>
          <t>3bcd6beb-581b-44f5-bda3-1d8739917187</t>
        </is>
      </c>
      <c r="G292" s="166">
        <f>IF(E292="","Inativo",IF(SUMPRODUCT(--(ISNUMBER(SEARCH({"Lapa","Santana","Mariana","Perdizes","André","Tatuapé","Madalena","Carinás","Pavão","Chac"},E292))))&gt;0,"Ativo","Inativo"))</f>
        <v/>
      </c>
    </row>
    <row r="293">
      <c r="A293" s="96" t="inlineStr">
        <is>
          <t>80104</t>
        </is>
      </c>
      <c r="B293" s="97" t="inlineStr">
        <is>
          <t>COLORADO RIBEIRÃO 600 ML</t>
        </is>
      </c>
      <c r="C293" s="97" t="inlineStr">
        <is>
          <t>A CERVEJAS ESPECIAIS</t>
        </is>
      </c>
      <c r="D293" s="98" t="inlineStr">
        <is>
          <t>Produto</t>
        </is>
      </c>
      <c r="E293" s="164" t="inlineStr">
        <is>
          <t>Delivery Interlagos, Quintal do Espeto Lapa , Quintal do Espeto Santo André, Quintal do Espeto Chac Sto Antonio, Delivery Lapa, Delivery Vila Madalena, Delivery Tatuapé, Delivery Chac. Sto Antonio, Quintal do Espeto Santana, Quintal do Espeto  V. Mariana, Delivery V. Mariana, Delivery Perdizes, Quintal do Espeto Perdizes, Delivery Santana, Quintal do Espeto Tatuapé, Quintal do Espeto  V. Madalena, Quintal do Espeto Pavão, Quintal do Espeto Interlagos</t>
        </is>
      </c>
      <c r="F293" s="165" t="inlineStr">
        <is>
          <t>6464d84d-f6e6-4b33-8a79-11be43099860</t>
        </is>
      </c>
      <c r="G293" s="166">
        <f>IF(E293="","Inativo",IF(SUMPRODUCT(--(ISNUMBER(SEARCH({"Lapa","Santana","Mariana","Perdizes","André","Tatuapé","Madalena","Carinás","Pavão","Chac"},E293))))&gt;0,"Ativo","Inativo"))</f>
        <v/>
      </c>
    </row>
    <row r="294">
      <c r="A294" s="96" t="inlineStr">
        <is>
          <t>7898905687511</t>
        </is>
      </c>
      <c r="B294" s="97" t="inlineStr">
        <is>
          <t>KIT GIN</t>
        </is>
      </c>
      <c r="C294" s="97" t="inlineStr">
        <is>
          <t>A COMBO</t>
        </is>
      </c>
      <c r="D294" s="98" t="inlineStr">
        <is>
          <t>Produto</t>
        </is>
      </c>
      <c r="E29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294" s="165" t="inlineStr">
        <is>
          <t>30395212-ce99-4d21-acd9-66affd04e857</t>
        </is>
      </c>
      <c r="G294" s="166">
        <f>IF(E294="","Inativo",IF(SUMPRODUCT(--(ISNUMBER(SEARCH({"Lapa","Santana","Mariana","Perdizes","André","Tatuapé","Madalena","Carinás","Pavão","Chac"},E294))))&gt;0,"Ativo","Inativo"))</f>
        <v/>
      </c>
    </row>
    <row r="295">
      <c r="A295" s="96" t="inlineStr">
        <is>
          <t>7898905687700</t>
        </is>
      </c>
      <c r="B295" s="97" t="inlineStr">
        <is>
          <t>COMBO FESTA DA FIRMA 1</t>
        </is>
      </c>
      <c r="C295" s="97" t="inlineStr">
        <is>
          <t>A COMBO</t>
        </is>
      </c>
      <c r="D295" s="98" t="inlineStr">
        <is>
          <t>Produto</t>
        </is>
      </c>
      <c r="E295" s="164" t="inlineStr">
        <is>
          <t>Quintal do Espeto Chac Sto Antonio, Quintal do Espeto Interlagos</t>
        </is>
      </c>
      <c r="F295" s="165" t="inlineStr">
        <is>
          <t>443ab23b-a596-47f7-9c62-9b51b95b849b</t>
        </is>
      </c>
      <c r="G295" s="166">
        <f>IF(E295="","Inativo",IF(SUMPRODUCT(--(ISNUMBER(SEARCH({"Lapa","Santana","Mariana","Perdizes","André","Tatuapé","Madalena","Carinás","Pavão","Chac"},E295))))&gt;0,"Ativo","Inativo"))</f>
        <v/>
      </c>
    </row>
    <row r="296">
      <c r="A296" s="96" t="inlineStr">
        <is>
          <t>7898905687701</t>
        </is>
      </c>
      <c r="B296" s="97" t="inlineStr">
        <is>
          <t>COMBO FESTA DE FIRMA 2</t>
        </is>
      </c>
      <c r="C296" s="97" t="inlineStr">
        <is>
          <t>A COMBO</t>
        </is>
      </c>
      <c r="D296" s="98" t="inlineStr">
        <is>
          <t>Produto</t>
        </is>
      </c>
      <c r="E296" s="164" t="inlineStr">
        <is>
          <t>Quintal do Espeto Chac Sto Antonio, Quintal do Espeto Interlagos</t>
        </is>
      </c>
      <c r="F296" s="165" t="inlineStr">
        <is>
          <t>c89c32c0-9be3-4925-9bcf-f8a79c88302e</t>
        </is>
      </c>
      <c r="G296" s="166">
        <f>IF(E296="","Inativo",IF(SUMPRODUCT(--(ISNUMBER(SEARCH({"Lapa","Santana","Mariana","Perdizes","André","Tatuapé","Madalena","Carinás","Pavão","Chac"},E296))))&gt;0,"Ativo","Inativo"))</f>
        <v/>
      </c>
    </row>
    <row r="297">
      <c r="A297" s="96" t="inlineStr">
        <is>
          <t>7898905687702</t>
        </is>
      </c>
      <c r="B297" s="97" t="inlineStr">
        <is>
          <t>COMBO SMIRNOFF + REFRIGERANTE</t>
        </is>
      </c>
      <c r="C297" s="97" t="inlineStr">
        <is>
          <t>A COMBO</t>
        </is>
      </c>
      <c r="D297" s="98" t="inlineStr">
        <is>
          <t>Produto</t>
        </is>
      </c>
      <c r="E297" s="164" t="inlineStr">
        <is>
          <t>Quintal do Espeto Santana, Quintal do Espeto Interlagos</t>
        </is>
      </c>
      <c r="F297" s="165" t="inlineStr">
        <is>
          <t>dbb581da-5a66-41e2-8300-3e12621fe525</t>
        </is>
      </c>
      <c r="G297" s="166">
        <f>IF(E297="","Inativo",IF(SUMPRODUCT(--(ISNUMBER(SEARCH({"Lapa","Santana","Mariana","Perdizes","André","Tatuapé","Madalena","Carinás","Pavão","Chac"},E297))))&gt;0,"Ativo","Inativo"))</f>
        <v/>
      </c>
    </row>
    <row r="298">
      <c r="A298" s="96" t="inlineStr">
        <is>
          <t>7898905687703</t>
        </is>
      </c>
      <c r="B298" s="97" t="inlineStr">
        <is>
          <t>COMBO SMIRNOFF + ENERGETICO</t>
        </is>
      </c>
      <c r="C298" s="97" t="inlineStr">
        <is>
          <t>A COMBO</t>
        </is>
      </c>
      <c r="D298" s="98" t="inlineStr">
        <is>
          <t>Produto</t>
        </is>
      </c>
      <c r="E298" s="164" t="inlineStr">
        <is>
          <t>Quintal do Espeto Santana, Quintal do Espeto Interlagos</t>
        </is>
      </c>
      <c r="F298" s="165" t="inlineStr">
        <is>
          <t>4c2172e3-6750-433d-8c9d-a16320438d51</t>
        </is>
      </c>
      <c r="G298" s="166">
        <f>IF(E298="","Inativo",IF(SUMPRODUCT(--(ISNUMBER(SEARCH({"Lapa","Santana","Mariana","Perdizes","André","Tatuapé","Madalena","Carinás","Pavão","Chac"},E298))))&gt;0,"Ativo","Inativo"))</f>
        <v/>
      </c>
    </row>
    <row r="299">
      <c r="A299" s="96" t="inlineStr">
        <is>
          <t>789890568772142</t>
        </is>
      </c>
      <c r="B299" s="97" t="inlineStr">
        <is>
          <t>COMBO GIN APTK * PROMO*</t>
        </is>
      </c>
      <c r="C299" s="97" t="inlineStr">
        <is>
          <t>A COMBO</t>
        </is>
      </c>
      <c r="D299" s="98" t="inlineStr">
        <is>
          <t>Produto</t>
        </is>
      </c>
      <c r="E29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299" s="165" t="inlineStr">
        <is>
          <t>203b983e-6f41-42bf-80de-371e28be4e69</t>
        </is>
      </c>
      <c r="G299" s="166">
        <f>IF(E299="","Inativo",IF(SUMPRODUCT(--(ISNUMBER(SEARCH({"Lapa","Santana","Mariana","Perdizes","André","Tatuapé","Madalena","Carinás","Pavão","Chac"},E299))))&gt;0,"Ativo","Inativo"))</f>
        <v/>
      </c>
    </row>
    <row r="300">
      <c r="A300" s="96" t="inlineStr">
        <is>
          <t>9003424</t>
        </is>
      </c>
      <c r="B300" s="97" t="inlineStr">
        <is>
          <t>BLACK LABEL COMBO</t>
        </is>
      </c>
      <c r="C300" s="97" t="inlineStr">
        <is>
          <t>A COMBO</t>
        </is>
      </c>
      <c r="D300" s="98" t="inlineStr">
        <is>
          <t>Produto</t>
        </is>
      </c>
      <c r="E30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0" s="165" t="inlineStr">
        <is>
          <t>3bceb878-01f9-4281-87bf-7e97a94f34ca</t>
        </is>
      </c>
      <c r="G300" s="166">
        <f>IF(E300="","Inativo",IF(SUMPRODUCT(--(ISNUMBER(SEARCH({"Lapa","Santana","Mariana","Perdizes","André","Tatuapé","Madalena","Carinás","Pavão","Chac"},E300))))&gt;0,"Ativo","Inativo"))</f>
        <v/>
      </c>
    </row>
    <row r="301">
      <c r="A301" s="96" t="inlineStr">
        <is>
          <t>9003488</t>
        </is>
      </c>
      <c r="B301" s="97" t="inlineStr">
        <is>
          <t>COMBO ABSOLUT</t>
        </is>
      </c>
      <c r="C301" s="97" t="inlineStr">
        <is>
          <t>A COMBO</t>
        </is>
      </c>
      <c r="D301" s="98" t="inlineStr">
        <is>
          <t>Produto</t>
        </is>
      </c>
      <c r="E30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1" s="165" t="inlineStr">
        <is>
          <t>11ae38ce-1435-4259-ac29-5c03363e7f4b</t>
        </is>
      </c>
      <c r="G301" s="166">
        <f>IF(E301="","Inativo",IF(SUMPRODUCT(--(ISNUMBER(SEARCH({"Lapa","Santana","Mariana","Perdizes","André","Tatuapé","Madalena","Carinás","Pavão","Chac"},E301))))&gt;0,"Ativo","Inativo"))</f>
        <v/>
      </c>
    </row>
    <row r="302">
      <c r="A302" s="96" t="inlineStr">
        <is>
          <t>9003552</t>
        </is>
      </c>
      <c r="B302" s="97" t="inlineStr">
        <is>
          <t>COMBO TANQUERAY</t>
        </is>
      </c>
      <c r="C302" s="97" t="inlineStr">
        <is>
          <t>A COMBO</t>
        </is>
      </c>
      <c r="D302" s="98" t="inlineStr">
        <is>
          <t>Produto</t>
        </is>
      </c>
      <c r="E30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2" s="165" t="inlineStr">
        <is>
          <t>d8450af5-c540-4e5c-8f0d-890e24a851dc</t>
        </is>
      </c>
      <c r="G302" s="166">
        <f>IF(E302="","Inativo",IF(SUMPRODUCT(--(ISNUMBER(SEARCH({"Lapa","Santana","Mariana","Perdizes","André","Tatuapé","Madalena","Carinás","Pavão","Chac"},E302))))&gt;0,"Ativo","Inativo"))</f>
        <v/>
      </c>
    </row>
    <row r="303">
      <c r="A303" s="96" t="inlineStr">
        <is>
          <t>9003553</t>
        </is>
      </c>
      <c r="B303" s="97" t="inlineStr">
        <is>
          <t>COMBO BEEFEATER</t>
        </is>
      </c>
      <c r="C303" s="97" t="inlineStr">
        <is>
          <t>A COMBO</t>
        </is>
      </c>
      <c r="D303" s="98" t="inlineStr">
        <is>
          <t>Produto</t>
        </is>
      </c>
      <c r="E30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3" s="165" t="inlineStr">
        <is>
          <t>2c793035-67ce-4077-ace0-22d3126e8ee9</t>
        </is>
      </c>
      <c r="G303" s="166">
        <f>IF(E303="","Inativo",IF(SUMPRODUCT(--(ISNUMBER(SEARCH({"Lapa","Santana","Mariana","Perdizes","André","Tatuapé","Madalena","Carinás","Pavão","Chac"},E303))))&gt;0,"Ativo","Inativo"))</f>
        <v/>
      </c>
    </row>
    <row r="304">
      <c r="A304" s="96" t="inlineStr">
        <is>
          <t>7898905687806</t>
        </is>
      </c>
      <c r="B304" s="97" t="inlineStr">
        <is>
          <t>RODIZIO DIA DAS MAES</t>
        </is>
      </c>
      <c r="C304" s="97" t="inlineStr">
        <is>
          <t>RODIZIO DE CLÁSSICOS</t>
        </is>
      </c>
      <c r="D304" s="98" t="inlineStr">
        <is>
          <t>Produto</t>
        </is>
      </c>
      <c r="E304" s="164" t="inlineStr">
        <is>
          <t>Quintal do Espeto Lapa , Quintal do Espeto Chac Sto Antonio, Quintal do Espeto Santana, Quintal do Espeto  V. Mariana, Quintal do Espeto Perdizes, Quintal do Espeto Tatuapé, Quintal do Espeto  V. Madalena, Quintal do Espeto Carinás, Quintal do Espeto Pavão</t>
        </is>
      </c>
      <c r="F304" s="165" t="inlineStr">
        <is>
          <t>0e8868f4-6927-455a-925b-be835f3d4662</t>
        </is>
      </c>
      <c r="G304" s="166">
        <f>IF(E304="","Inativo",IF(SUMPRODUCT(--(ISNUMBER(SEARCH({"Lapa","Santana","Mariana","Perdizes","André","Tatuapé","Madalena","Carinás","Pavão","Chac"},E304))))&gt;0,"Ativo","Inativo"))</f>
        <v/>
      </c>
    </row>
    <row r="305">
      <c r="A305" s="96" t="inlineStr">
        <is>
          <t>102102</t>
        </is>
      </c>
      <c r="B305" s="97" t="inlineStr">
        <is>
          <t>TEQUILA OURO GARRAFA</t>
        </is>
      </c>
      <c r="C305" s="97" t="inlineStr">
        <is>
          <t>A DESTILADOS GARRAFAS</t>
        </is>
      </c>
      <c r="D305" s="98" t="inlineStr">
        <is>
          <t>Produto</t>
        </is>
      </c>
      <c r="E30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5" s="165" t="inlineStr">
        <is>
          <t>5f43ced8-3391-4d72-bfe3-b3749569554c</t>
        </is>
      </c>
      <c r="G305" s="166">
        <f>IF(E305="","Inativo",IF(SUMPRODUCT(--(ISNUMBER(SEARCH({"Lapa","Santana","Mariana","Perdizes","André","Tatuapé","Madalena","Carinás","Pavão","Chac"},E305))))&gt;0,"Ativo","Inativo"))</f>
        <v/>
      </c>
    </row>
    <row r="306">
      <c r="A306" s="96" t="inlineStr">
        <is>
          <t>102114</t>
        </is>
      </c>
      <c r="B306" s="97" t="inlineStr">
        <is>
          <t>TEQUILA  PRATA GARRAFA</t>
        </is>
      </c>
      <c r="C306" s="97" t="inlineStr">
        <is>
          <t>A DESTILADOS GARRAFAS</t>
        </is>
      </c>
      <c r="D306" s="98" t="inlineStr">
        <is>
          <t>Produto</t>
        </is>
      </c>
      <c r="E30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6" s="165" t="inlineStr">
        <is>
          <t>40e4e635-fa08-42fe-9bc5-2ca7a94df91f</t>
        </is>
      </c>
      <c r="G306" s="166">
        <f>IF(E306="","Inativo",IF(SUMPRODUCT(--(ISNUMBER(SEARCH({"Lapa","Santana","Mariana","Perdizes","André","Tatuapé","Madalena","Carinás","Pavão","Chac"},E306))))&gt;0,"Ativo","Inativo"))</f>
        <v/>
      </c>
    </row>
    <row r="307">
      <c r="A307" s="96" t="inlineStr">
        <is>
          <t>102115</t>
        </is>
      </c>
      <c r="B307" s="97" t="inlineStr">
        <is>
          <t>ROLHA IMPORTADO</t>
        </is>
      </c>
      <c r="C307" s="97" t="inlineStr">
        <is>
          <t>A DESTILADOS GARRAFAS</t>
        </is>
      </c>
      <c r="D307" s="98" t="inlineStr">
        <is>
          <t>Produto</t>
        </is>
      </c>
      <c r="E30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7" s="165" t="inlineStr">
        <is>
          <t>73be7e32-4718-4368-aa37-d9e5589b7f74</t>
        </is>
      </c>
      <c r="G307" s="166">
        <f>IF(E307="","Inativo",IF(SUMPRODUCT(--(ISNUMBER(SEARCH({"Lapa","Santana","Mariana","Perdizes","André","Tatuapé","Madalena","Carinás","Pavão","Chac"},E307))))&gt;0,"Ativo","Inativo"))</f>
        <v/>
      </c>
    </row>
    <row r="308">
      <c r="A308" s="96" t="inlineStr">
        <is>
          <t>102116</t>
        </is>
      </c>
      <c r="B308" s="97" t="inlineStr">
        <is>
          <t>ROLHA NACIONAL</t>
        </is>
      </c>
      <c r="C308" s="97" t="inlineStr">
        <is>
          <t>A DESTILADOS GARRAFAS</t>
        </is>
      </c>
      <c r="D308" s="98" t="inlineStr">
        <is>
          <t>Produto</t>
        </is>
      </c>
      <c r="E30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8" s="165" t="inlineStr">
        <is>
          <t>51469c37-5afa-4ebd-87a5-7ad19253589b</t>
        </is>
      </c>
      <c r="G308" s="166">
        <f>IF(E308="","Inativo",IF(SUMPRODUCT(--(ISNUMBER(SEARCH({"Lapa","Santana","Mariana","Perdizes","André","Tatuapé","Madalena","Carinás","Pavão","Chac"},E308))))&gt;0,"Ativo","Inativo"))</f>
        <v/>
      </c>
    </row>
    <row r="309">
      <c r="A309" s="96" t="inlineStr">
        <is>
          <t>102120</t>
        </is>
      </c>
      <c r="B309" s="97" t="inlineStr">
        <is>
          <t>ABSOLUT GARRAFA</t>
        </is>
      </c>
      <c r="C309" s="97" t="inlineStr">
        <is>
          <t>A DESTILADOS GARRAFAS</t>
        </is>
      </c>
      <c r="D309" s="98" t="inlineStr">
        <is>
          <t>Produto</t>
        </is>
      </c>
      <c r="E30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09" s="165" t="inlineStr">
        <is>
          <t>70ed1103-4c80-4688-ad85-c6c53d581ba4</t>
        </is>
      </c>
      <c r="G309" s="166">
        <f>IF(E309="","Inativo",IF(SUMPRODUCT(--(ISNUMBER(SEARCH({"Lapa","Santana","Mariana","Perdizes","André","Tatuapé","Madalena","Carinás","Pavão","Chac"},E309))))&gt;0,"Ativo","Inativo"))</f>
        <v/>
      </c>
    </row>
    <row r="310">
      <c r="A310" s="96" t="inlineStr">
        <is>
          <t>102125</t>
        </is>
      </c>
      <c r="B310" s="97" t="inlineStr">
        <is>
          <t>SAO FRANCISCO GARRAFA</t>
        </is>
      </c>
      <c r="C310" s="97" t="inlineStr">
        <is>
          <t>A DESTILADOS GARRAFAS</t>
        </is>
      </c>
      <c r="D310" s="98" t="inlineStr">
        <is>
          <t>Produto</t>
        </is>
      </c>
      <c r="E31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10" s="165" t="inlineStr">
        <is>
          <t>7ab97d2a-c25a-46ea-983a-f740e50c9109</t>
        </is>
      </c>
      <c r="G310" s="166">
        <f>IF(E310="","Inativo",IF(SUMPRODUCT(--(ISNUMBER(SEARCH({"Lapa","Santana","Mariana","Perdizes","André","Tatuapé","Madalena","Carinás","Pavão","Chac"},E310))))&gt;0,"Ativo","Inativo"))</f>
        <v/>
      </c>
    </row>
    <row r="311">
      <c r="A311" s="96" t="inlineStr">
        <is>
          <t>102126</t>
        </is>
      </c>
      <c r="B311" s="97" t="inlineStr">
        <is>
          <t>BEEFEATER GARRAFA</t>
        </is>
      </c>
      <c r="C311" s="97" t="inlineStr">
        <is>
          <t>A DESTILADOS GARRAFAS</t>
        </is>
      </c>
      <c r="D311" s="98" t="inlineStr">
        <is>
          <t>Produto</t>
        </is>
      </c>
      <c r="E31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11" s="165" t="inlineStr">
        <is>
          <t>20fc21b9-5f79-4ea9-b1ab-de8ed8074798</t>
        </is>
      </c>
      <c r="G311" s="166">
        <f>IF(E311="","Inativo",IF(SUMPRODUCT(--(ISNUMBER(SEARCH({"Lapa","Santana","Mariana","Perdizes","André","Tatuapé","Madalena","Carinás","Pavão","Chac"},E311))))&gt;0,"Ativo","Inativo"))</f>
        <v/>
      </c>
    </row>
    <row r="312">
      <c r="A312" s="96" t="inlineStr">
        <is>
          <t>78989056877196</t>
        </is>
      </c>
      <c r="B312" s="97" t="inlineStr">
        <is>
          <t>LICOR BAUNY GARRAFA</t>
        </is>
      </c>
      <c r="C312" s="97" t="inlineStr">
        <is>
          <t>A DESTILADOS GARRAFAS</t>
        </is>
      </c>
      <c r="D312" s="98" t="inlineStr">
        <is>
          <t>Produto</t>
        </is>
      </c>
      <c r="E31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312" s="165" t="inlineStr">
        <is>
          <t>19637f16-06e4-40a8-8568-83d84fac5405</t>
        </is>
      </c>
      <c r="G312" s="166">
        <f>IF(E312="","Inativo",IF(SUMPRODUCT(--(ISNUMBER(SEARCH({"Lapa","Santana","Mariana","Perdizes","André","Tatuapé","Madalena","Carinás","Pavão","Chac"},E312))))&gt;0,"Ativo","Inativo"))</f>
        <v/>
      </c>
    </row>
    <row r="313">
      <c r="A313" s="96" t="inlineStr">
        <is>
          <t>789890568772115</t>
        </is>
      </c>
      <c r="B313" s="97" t="inlineStr">
        <is>
          <t>GIN BACCO QUINTAL GARRAFA 700ML</t>
        </is>
      </c>
      <c r="C313" s="97" t="inlineStr">
        <is>
          <t>A DESTILADOS GARRAFAS</t>
        </is>
      </c>
      <c r="D313" s="98" t="inlineStr">
        <is>
          <t>Produto</t>
        </is>
      </c>
      <c r="E31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13" s="165" t="inlineStr">
        <is>
          <t>38ff8191-2f9a-4051-b5ac-6022fc8009f5</t>
        </is>
      </c>
      <c r="G313" s="166">
        <f>IF(E313="","Inativo",IF(SUMPRODUCT(--(ISNUMBER(SEARCH({"Lapa","Santana","Mariana","Perdizes","André","Tatuapé","Madalena","Carinás","Pavão","Chac"},E313))))&gt;0,"Ativo","Inativo"))</f>
        <v/>
      </c>
    </row>
    <row r="314">
      <c r="A314" s="96" t="inlineStr">
        <is>
          <t>789890568772116</t>
        </is>
      </c>
      <c r="B314" s="97" t="inlineStr">
        <is>
          <t>VODKA BACCO GARRAFA 1LT</t>
        </is>
      </c>
      <c r="C314" s="97" t="inlineStr">
        <is>
          <t>A DESTILADOS GARRAFAS</t>
        </is>
      </c>
      <c r="D314" s="98" t="inlineStr">
        <is>
          <t>Produto</t>
        </is>
      </c>
      <c r="E31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14" s="165" t="inlineStr">
        <is>
          <t>0ba32f41-76c7-403d-81f3-16ae38ca856c</t>
        </is>
      </c>
      <c r="G314" s="166">
        <f>IF(E314="","Inativo",IF(SUMPRODUCT(--(ISNUMBER(SEARCH({"Lapa","Santana","Mariana","Perdizes","André","Tatuapé","Madalena","Carinás","Pavão","Chac"},E314))))&gt;0,"Ativo","Inativo"))</f>
        <v/>
      </c>
    </row>
    <row r="315">
      <c r="A315" s="96" t="inlineStr">
        <is>
          <t>789890568772141</t>
        </is>
      </c>
      <c r="B315" s="97" t="inlineStr">
        <is>
          <t>GARRAFA GIN APTK</t>
        </is>
      </c>
      <c r="C315" s="97" t="inlineStr">
        <is>
          <t>A DESTILADOS GARRAFAS</t>
        </is>
      </c>
      <c r="D315" s="98" t="inlineStr">
        <is>
          <t>Produto</t>
        </is>
      </c>
      <c r="E31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15" s="165" t="inlineStr">
        <is>
          <t>dc8e83f3-5613-4fe2-a3e4-0d5db7892085</t>
        </is>
      </c>
      <c r="G315" s="166">
        <f>IF(E315="","Inativo",IF(SUMPRODUCT(--(ISNUMBER(SEARCH({"Lapa","Santana","Mariana","Perdizes","André","Tatuapé","Madalena","Carinás","Pavão","Chac"},E315))))&gt;0,"Ativo","Inativo"))</f>
        <v/>
      </c>
    </row>
    <row r="316">
      <c r="A316" s="96" t="inlineStr">
        <is>
          <t>9003141</t>
        </is>
      </c>
      <c r="B316" s="97" t="inlineStr">
        <is>
          <t>SABOR DE MINAS GARRAFA</t>
        </is>
      </c>
      <c r="C316" s="97" t="inlineStr">
        <is>
          <t>A DESTILADOS GARRAFAS</t>
        </is>
      </c>
      <c r="D316" s="98" t="inlineStr">
        <is>
          <t>Produto</t>
        </is>
      </c>
      <c r="E316"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316" s="165" t="inlineStr">
        <is>
          <t>2ca98aa1-a027-4ec7-a37e-f863d83015df</t>
        </is>
      </c>
      <c r="G316" s="166">
        <f>IF(E316="","Inativo",IF(SUMPRODUCT(--(ISNUMBER(SEARCH({"Lapa","Santana","Mariana","Perdizes","André","Tatuapé","Madalena","Carinás","Pavão","Chac"},E316))))&gt;0,"Ativo","Inativo"))</f>
        <v/>
      </c>
    </row>
    <row r="317">
      <c r="A317" s="96" t="inlineStr">
        <is>
          <t>9003147</t>
        </is>
      </c>
      <c r="B317" s="97" t="inlineStr">
        <is>
          <t>CAMPARI GARRAFA</t>
        </is>
      </c>
      <c r="C317" s="97" t="inlineStr">
        <is>
          <t>A DESTILADOS GARRAFAS</t>
        </is>
      </c>
      <c r="D317" s="98" t="inlineStr">
        <is>
          <t>Produto</t>
        </is>
      </c>
      <c r="E31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17" s="165" t="inlineStr">
        <is>
          <t>53ed7093-1c78-472d-aec2-84c0cb9d8c08</t>
        </is>
      </c>
      <c r="G317" s="166">
        <f>IF(E317="","Inativo",IF(SUMPRODUCT(--(ISNUMBER(SEARCH({"Lapa","Santana","Mariana","Perdizes","André","Tatuapé","Madalena","Carinás","Pavão","Chac"},E317))))&gt;0,"Ativo","Inativo"))</f>
        <v/>
      </c>
    </row>
    <row r="318">
      <c r="A318" s="96" t="inlineStr">
        <is>
          <t>9003162</t>
        </is>
      </c>
      <c r="B318" s="97" t="inlineStr">
        <is>
          <t>CACHAÇA QUINTAL PRATA GARRAFA</t>
        </is>
      </c>
      <c r="C318" s="97" t="inlineStr">
        <is>
          <t>A DESTILADOS GARRAFAS</t>
        </is>
      </c>
      <c r="D318" s="98" t="inlineStr">
        <is>
          <t>Produto</t>
        </is>
      </c>
      <c r="E31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18" s="165" t="inlineStr">
        <is>
          <t>3c5c3ca8-425c-4cac-9ca0-f8ae3f6fad82</t>
        </is>
      </c>
      <c r="G318" s="166">
        <f>IF(E318="","Inativo",IF(SUMPRODUCT(--(ISNUMBER(SEARCH({"Lapa","Santana","Mariana","Perdizes","André","Tatuapé","Madalena","Carinás","Pavão","Chac"},E318))))&gt;0,"Ativo","Inativo"))</f>
        <v/>
      </c>
    </row>
    <row r="319">
      <c r="A319" s="96" t="inlineStr">
        <is>
          <t>9003164</t>
        </is>
      </c>
      <c r="B319" s="97" t="inlineStr">
        <is>
          <t>CACHAÇA QUINTAL OURO GARRAFA</t>
        </is>
      </c>
      <c r="C319" s="97" t="inlineStr">
        <is>
          <t>A DESTILADOS GARRAFAS</t>
        </is>
      </c>
      <c r="D319" s="98" t="inlineStr">
        <is>
          <t>Produto</t>
        </is>
      </c>
      <c r="E31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19" s="165" t="inlineStr">
        <is>
          <t>333bc37a-fbda-4995-bcaa-13d5a6858ab9</t>
        </is>
      </c>
      <c r="G319" s="166">
        <f>IF(E319="","Inativo",IF(SUMPRODUCT(--(ISNUMBER(SEARCH({"Lapa","Santana","Mariana","Perdizes","André","Tatuapé","Madalena","Carinás","Pavão","Chac"},E319))))&gt;0,"Ativo","Inativo"))</f>
        <v/>
      </c>
    </row>
    <row r="320">
      <c r="A320" s="96" t="inlineStr">
        <is>
          <t>9003166</t>
        </is>
      </c>
      <c r="B320" s="97" t="inlineStr">
        <is>
          <t>CACHAÇA QUINTAL MEL E LIMÃO GARRAFA</t>
        </is>
      </c>
      <c r="C320" s="97" t="inlineStr">
        <is>
          <t>A DESTILADOS GARRAFAS</t>
        </is>
      </c>
      <c r="D320" s="98" t="inlineStr">
        <is>
          <t>Produto</t>
        </is>
      </c>
      <c r="E32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0" s="165" t="inlineStr">
        <is>
          <t>4b99c42b-3fda-43b3-ae0a-4abd1d177503</t>
        </is>
      </c>
      <c r="G320" s="166">
        <f>IF(E320="","Inativo",IF(SUMPRODUCT(--(ISNUMBER(SEARCH({"Lapa","Santana","Mariana","Perdizes","André","Tatuapé","Madalena","Carinás","Pavão","Chac"},E320))))&gt;0,"Ativo","Inativo"))</f>
        <v/>
      </c>
    </row>
    <row r="321">
      <c r="A321" s="96" t="inlineStr">
        <is>
          <t>9003453</t>
        </is>
      </c>
      <c r="B321" s="97" t="inlineStr">
        <is>
          <t>GIN  TANQUERAY</t>
        </is>
      </c>
      <c r="C321" s="97" t="inlineStr">
        <is>
          <t>A DESTILADOS GARRAFAS</t>
        </is>
      </c>
      <c r="D321" s="98" t="inlineStr">
        <is>
          <t>Produto</t>
        </is>
      </c>
      <c r="E32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1" s="165" t="inlineStr">
        <is>
          <t>1d6b24e0-3450-4313-9979-c688d430c388</t>
        </is>
      </c>
      <c r="G321" s="166">
        <f>IF(E321="","Inativo",IF(SUMPRODUCT(--(ISNUMBER(SEARCH({"Lapa","Santana","Mariana","Perdizes","André","Tatuapé","Madalena","Carinás","Pavão","Chac"},E321))))&gt;0,"Ativo","Inativo"))</f>
        <v/>
      </c>
    </row>
    <row r="322">
      <c r="A322" s="96" t="inlineStr">
        <is>
          <t>9003571</t>
        </is>
      </c>
      <c r="B322" s="97" t="inlineStr">
        <is>
          <t>LICOR 43 GARRAFA</t>
        </is>
      </c>
      <c r="C322" s="97" t="inlineStr">
        <is>
          <t>A DESTILADOS GARRAFAS</t>
        </is>
      </c>
      <c r="D322" s="98" t="inlineStr">
        <is>
          <t>Produto</t>
        </is>
      </c>
      <c r="E32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2" s="165" t="inlineStr">
        <is>
          <t>fe8f8962-cecf-4c2a-8043-293b56a593ec</t>
        </is>
      </c>
      <c r="G322" s="166">
        <f>IF(E322="","Inativo",IF(SUMPRODUCT(--(ISNUMBER(SEARCH({"Lapa","Santana","Mariana","Perdizes","André","Tatuapé","Madalena","Carinás","Pavão","Chac"},E322))))&gt;0,"Ativo","Inativo"))</f>
        <v/>
      </c>
    </row>
    <row r="323">
      <c r="A323" s="96" t="inlineStr">
        <is>
          <t>7898905687145</t>
        </is>
      </c>
      <c r="B323" s="97" t="inlineStr">
        <is>
          <t>**BEEFEATER DRINKS**</t>
        </is>
      </c>
      <c r="C323" s="97" t="inlineStr">
        <is>
          <t>Supply</t>
        </is>
      </c>
      <c r="D323" s="98" t="inlineStr">
        <is>
          <t>Produto</t>
        </is>
      </c>
      <c r="E32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3" s="165" t="inlineStr">
        <is>
          <t>c0e6b49c-260b-4f90-b56f-e1479dff33fe</t>
        </is>
      </c>
      <c r="G323" s="166">
        <f>IF(E323="","Inativo",IF(SUMPRODUCT(--(ISNUMBER(SEARCH({"Lapa","Santana","Mariana","Perdizes","André","Tatuapé","Madalena","Carinás","Pavão","Chac"},E323))))&gt;0,"Ativo","Inativo"))</f>
        <v/>
      </c>
    </row>
    <row r="324">
      <c r="A324" s="96" t="inlineStr">
        <is>
          <t>7898905687146</t>
        </is>
      </c>
      <c r="B324" s="97" t="inlineStr">
        <is>
          <t>**BEEFEATER PINK DRINKS**</t>
        </is>
      </c>
      <c r="C324" s="97" t="inlineStr">
        <is>
          <t>Supply</t>
        </is>
      </c>
      <c r="D324" s="98" t="inlineStr">
        <is>
          <t>Produto</t>
        </is>
      </c>
      <c r="E324" s="164" t="inlineStr">
        <is>
          <t>Quintal do Espeto Lapa , Quintal do Espeto Santo André, Quintal do Espeto Chac Sto Antonio, Quintal do Espeto Santana, Quintal do Espeto  V. Mariana, Quintal do Espeto Perdizes, Quintal do Espeto Tatuapé, Quintal do Espeto  V. Madalena, Quintal do Espeto Pavão, Quintal do Espeto Interlagos</t>
        </is>
      </c>
      <c r="F324" s="165" t="inlineStr">
        <is>
          <t>01c968ad-d606-42ef-a82a-6e5abf791d24</t>
        </is>
      </c>
      <c r="G324" s="166">
        <f>IF(E324="","Inativo",IF(SUMPRODUCT(--(ISNUMBER(SEARCH({"Lapa","Santana","Mariana","Perdizes","André","Tatuapé","Madalena","Carinás","Pavão","Chac"},E324))))&gt;0,"Ativo","Inativo"))</f>
        <v/>
      </c>
    </row>
    <row r="325">
      <c r="A325" s="96" t="inlineStr">
        <is>
          <t>7898905687147</t>
        </is>
      </c>
      <c r="B325" s="97" t="inlineStr">
        <is>
          <t>**GIN KAWAI PINK DRINKS**</t>
        </is>
      </c>
      <c r="C325" s="97" t="inlineStr">
        <is>
          <t>Supply</t>
        </is>
      </c>
      <c r="D325" s="98" t="inlineStr">
        <is>
          <t>Produto</t>
        </is>
      </c>
      <c r="E32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5" s="165" t="inlineStr">
        <is>
          <t>1a8352b6-1ba1-4c3a-9730-3bf01111bd64</t>
        </is>
      </c>
      <c r="G325" s="166">
        <f>IF(E325="","Inativo",IF(SUMPRODUCT(--(ISNUMBER(SEARCH({"Lapa","Santana","Mariana","Perdizes","André","Tatuapé","Madalena","Carinás","Pavão","Chac"},E325))))&gt;0,"Ativo","Inativo"))</f>
        <v/>
      </c>
    </row>
    <row r="326">
      <c r="A326" s="96" t="inlineStr">
        <is>
          <t>7898905687192</t>
        </is>
      </c>
      <c r="B326" s="97" t="inlineStr">
        <is>
          <t>**GIN APTK DRINKS**</t>
        </is>
      </c>
      <c r="C326" s="97" t="inlineStr">
        <is>
          <t>Supply</t>
        </is>
      </c>
      <c r="D326" s="98" t="inlineStr">
        <is>
          <t>Produto</t>
        </is>
      </c>
      <c r="E32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26" s="165" t="inlineStr">
        <is>
          <t>079f8c45-6ce7-474f-ad17-0a1a1c8c0cef</t>
        </is>
      </c>
      <c r="G326" s="166">
        <f>IF(E326="","Inativo",IF(SUMPRODUCT(--(ISNUMBER(SEARCH({"Lapa","Santana","Mariana","Perdizes","André","Tatuapé","Madalena","Carinás","Pavão","Chac"},E326))))&gt;0,"Ativo","Inativo"))</f>
        <v/>
      </c>
    </row>
    <row r="327">
      <c r="A327" s="96" t="inlineStr">
        <is>
          <t>78989056877245</t>
        </is>
      </c>
      <c r="B327" s="97" t="inlineStr">
        <is>
          <t>*ABSOLUT*</t>
        </is>
      </c>
      <c r="C327" s="97" t="inlineStr">
        <is>
          <t>Supply</t>
        </is>
      </c>
      <c r="D327" s="98" t="inlineStr">
        <is>
          <t>Produto</t>
        </is>
      </c>
      <c r="E32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27" s="165" t="inlineStr">
        <is>
          <t>8dfb8b23-f563-4ab4-882a-f4460130a33d</t>
        </is>
      </c>
      <c r="G327" s="166">
        <f>IF(E327="","Inativo",IF(SUMPRODUCT(--(ISNUMBER(SEARCH({"Lapa","Santana","Mariana","Perdizes","André","Tatuapé","Madalena","Carinás","Pavão","Chac"},E327))))&gt;0,"Ativo","Inativo"))</f>
        <v/>
      </c>
    </row>
    <row r="328">
      <c r="A328" s="96" t="inlineStr">
        <is>
          <t>78989056877247</t>
        </is>
      </c>
      <c r="B328" s="97" t="inlineStr">
        <is>
          <t>*SAKE*</t>
        </is>
      </c>
      <c r="C328" s="97" t="inlineStr">
        <is>
          <t>Supply</t>
        </is>
      </c>
      <c r="D328" s="98" t="inlineStr">
        <is>
          <t>Produto</t>
        </is>
      </c>
      <c r="E32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28" s="165" t="inlineStr">
        <is>
          <t>cd0dddca-b12a-49ef-8a80-c02722a6a947</t>
        </is>
      </c>
      <c r="G328" s="166">
        <f>IF(E328="","Inativo",IF(SUMPRODUCT(--(ISNUMBER(SEARCH({"Lapa","Santana","Mariana","Perdizes","André","Tatuapé","Madalena","Carinás","Pavão","Chac"},E328))))&gt;0,"Ativo","Inativo"))</f>
        <v/>
      </c>
    </row>
    <row r="329">
      <c r="A329" s="96" t="inlineStr">
        <is>
          <t>78989056877248</t>
        </is>
      </c>
      <c r="B329" s="97" t="inlineStr">
        <is>
          <t>*VODKA NACIONAL*</t>
        </is>
      </c>
      <c r="C329" s="97" t="inlineStr">
        <is>
          <t>Supply</t>
        </is>
      </c>
      <c r="D329" s="98" t="inlineStr">
        <is>
          <t>Produto</t>
        </is>
      </c>
      <c r="E32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29" s="165" t="inlineStr">
        <is>
          <t>d9361982-df86-4514-904c-39f1ecfc55f3</t>
        </is>
      </c>
      <c r="G329" s="166">
        <f>IF(E329="","Inativo",IF(SUMPRODUCT(--(ISNUMBER(SEARCH({"Lapa","Santana","Mariana","Perdizes","André","Tatuapé","Madalena","Carinás","Pavão","Chac"},E329))))&gt;0,"Ativo","Inativo"))</f>
        <v/>
      </c>
    </row>
    <row r="330">
      <c r="A330" s="96" t="inlineStr">
        <is>
          <t>78989056877249</t>
        </is>
      </c>
      <c r="B330" s="97" t="inlineStr">
        <is>
          <t>*CACHAÇA*</t>
        </is>
      </c>
      <c r="C330" s="97" t="inlineStr">
        <is>
          <t>Supply</t>
        </is>
      </c>
      <c r="D330" s="98" t="inlineStr">
        <is>
          <t>Produto</t>
        </is>
      </c>
      <c r="E33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30" s="165" t="inlineStr">
        <is>
          <t>c13effd3-2a31-43bc-8212-b4884e4a0924</t>
        </is>
      </c>
      <c r="G330" s="166">
        <f>IF(E330="","Inativo",IF(SUMPRODUCT(--(ISNUMBER(SEARCH({"Lapa","Santana","Mariana","Perdizes","André","Tatuapé","Madalena","Carinás","Pavão","Chac"},E330))))&gt;0,"Ativo","Inativo"))</f>
        <v/>
      </c>
    </row>
    <row r="331">
      <c r="A331" s="96" t="inlineStr">
        <is>
          <t>7898905687800</t>
        </is>
      </c>
      <c r="B331" s="97" t="inlineStr">
        <is>
          <t>**XAROPE MORANGO**</t>
        </is>
      </c>
      <c r="C331" s="97" t="inlineStr">
        <is>
          <t>Supply</t>
        </is>
      </c>
      <c r="D331" s="98" t="inlineStr">
        <is>
          <t>Produto</t>
        </is>
      </c>
      <c r="E33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31" s="165" t="inlineStr">
        <is>
          <t>9269f4ba-ca73-47dc-a00c-5f7ee223aa61</t>
        </is>
      </c>
      <c r="G331" s="166">
        <f>IF(E331="","Inativo",IF(SUMPRODUCT(--(ISNUMBER(SEARCH({"Lapa","Santana","Mariana","Perdizes","André","Tatuapé","Madalena","Carinás","Pavão","Chac"},E331))))&gt;0,"Ativo","Inativo"))</f>
        <v/>
      </c>
    </row>
    <row r="332">
      <c r="A332" s="96" t="inlineStr">
        <is>
          <t>7898905687801</t>
        </is>
      </c>
      <c r="B332" s="97" t="inlineStr">
        <is>
          <t>**XAROPE LIMAO SICILIANO**</t>
        </is>
      </c>
      <c r="C332" s="97" t="inlineStr">
        <is>
          <t>Supply</t>
        </is>
      </c>
      <c r="D332" s="98" t="inlineStr">
        <is>
          <t>Produto</t>
        </is>
      </c>
      <c r="E33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32" s="165" t="inlineStr">
        <is>
          <t>e5c1e6ba-c326-4898-9e61-bb58b3d6742a</t>
        </is>
      </c>
      <c r="G332" s="166">
        <f>IF(E332="","Inativo",IF(SUMPRODUCT(--(ISNUMBER(SEARCH({"Lapa","Santana","Mariana","Perdizes","André","Tatuapé","Madalena","Carinás","Pavão","Chac"},E332))))&gt;0,"Ativo","Inativo"))</f>
        <v/>
      </c>
    </row>
    <row r="333">
      <c r="A333" s="96" t="inlineStr">
        <is>
          <t>7898905687802</t>
        </is>
      </c>
      <c r="B333" s="97" t="inlineStr">
        <is>
          <t>**XAROPE MARACUJA**</t>
        </is>
      </c>
      <c r="C333" s="97" t="inlineStr">
        <is>
          <t>Supply</t>
        </is>
      </c>
      <c r="D333" s="98" t="inlineStr">
        <is>
          <t>Produto</t>
        </is>
      </c>
      <c r="E33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33" s="165" t="inlineStr">
        <is>
          <t>13464b12-bb56-4d90-9fb3-5c338c243518</t>
        </is>
      </c>
      <c r="G333" s="166">
        <f>IF(E333="","Inativo",IF(SUMPRODUCT(--(ISNUMBER(SEARCH({"Lapa","Santana","Mariana","Perdizes","André","Tatuapé","Madalena","Carinás","Pavão","Chac"},E333))))&gt;0,"Ativo","Inativo"))</f>
        <v/>
      </c>
    </row>
    <row r="334">
      <c r="A334" s="96" t="inlineStr">
        <is>
          <t>7898905687803</t>
        </is>
      </c>
      <c r="B334" s="97" t="inlineStr">
        <is>
          <t>**XAROPE MAÇA VERDE**</t>
        </is>
      </c>
      <c r="C334" s="97" t="inlineStr">
        <is>
          <t>Supply</t>
        </is>
      </c>
      <c r="D334" s="98" t="inlineStr">
        <is>
          <t>Produto</t>
        </is>
      </c>
      <c r="E33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334" s="165" t="inlineStr">
        <is>
          <t>c5d4f84f-e541-46db-8da6-4a1ca5b3098a</t>
        </is>
      </c>
      <c r="G334" s="166">
        <f>IF(E334="","Inativo",IF(SUMPRODUCT(--(ISNUMBER(SEARCH({"Lapa","Santana","Mariana","Perdizes","André","Tatuapé","Madalena","Carinás","Pavão","Chac"},E334))))&gt;0,"Ativo","Inativo"))</f>
        <v/>
      </c>
    </row>
    <row r="335">
      <c r="A335" s="96" t="inlineStr">
        <is>
          <t>9003137</t>
        </is>
      </c>
      <c r="B335" s="97" t="inlineStr">
        <is>
          <t>**ABACAXI**</t>
        </is>
      </c>
      <c r="C335" s="97" t="inlineStr">
        <is>
          <t>Supply</t>
        </is>
      </c>
      <c r="D335" s="98" t="inlineStr">
        <is>
          <t>Insumo</t>
        </is>
      </c>
      <c r="E33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35" s="165" t="inlineStr">
        <is>
          <t>e0f01547-d14b-41d9-bf06-8f8a6377e32d</t>
        </is>
      </c>
      <c r="G335" s="166">
        <f>IF(E335="","Inativo",IF(SUMPRODUCT(--(ISNUMBER(SEARCH({"Lapa","Santana","Mariana","Perdizes","André","Tatuapé","Madalena","Carinás","Pavão","Chac"},E335))))&gt;0,"Ativo","Inativo"))</f>
        <v/>
      </c>
    </row>
    <row r="336">
      <c r="A336" s="96" t="inlineStr">
        <is>
          <t>9003138</t>
        </is>
      </c>
      <c r="B336" s="97" t="inlineStr">
        <is>
          <t>**NÃO FAZER**</t>
        </is>
      </c>
      <c r="C336" s="97" t="inlineStr">
        <is>
          <t>Supply</t>
        </is>
      </c>
      <c r="D336" s="98" t="inlineStr">
        <is>
          <t>Insumo</t>
        </is>
      </c>
      <c r="E33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36" s="165" t="inlineStr">
        <is>
          <t>5ad43cb7-027d-4c29-807f-04faa87b4d05</t>
        </is>
      </c>
      <c r="G336" s="166">
        <f>IF(E336="","Inativo",IF(SUMPRODUCT(--(ISNUMBER(SEARCH({"Lapa","Santana","Mariana","Perdizes","André","Tatuapé","Madalena","Carinás","Pavão","Chac"},E336))))&gt;0,"Ativo","Inativo"))</f>
        <v/>
      </c>
    </row>
    <row r="337">
      <c r="A337" s="96" t="inlineStr">
        <is>
          <t>9003139</t>
        </is>
      </c>
      <c r="B337" s="97" t="inlineStr">
        <is>
          <t>**SEM AÇUCAR**</t>
        </is>
      </c>
      <c r="C337" s="97" t="inlineStr">
        <is>
          <t>Supply</t>
        </is>
      </c>
      <c r="D337" s="98" t="inlineStr">
        <is>
          <t>Insumo</t>
        </is>
      </c>
      <c r="E33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37" s="165" t="inlineStr">
        <is>
          <t>f241aa10-616f-4727-873a-ee8c9efc9b40</t>
        </is>
      </c>
      <c r="G337" s="166">
        <f>IF(E337="","Inativo",IF(SUMPRODUCT(--(ISNUMBER(SEARCH({"Lapa","Santana","Mariana","Perdizes","André","Tatuapé","Madalena","Carinás","Pavão","Chac"},E337))))&gt;0,"Ativo","Inativo"))</f>
        <v/>
      </c>
    </row>
    <row r="338">
      <c r="A338" s="96" t="inlineStr">
        <is>
          <t>9003186</t>
        </is>
      </c>
      <c r="B338" s="97" t="inlineStr">
        <is>
          <t>**SEM COLARINHO**</t>
        </is>
      </c>
      <c r="C338" s="97" t="inlineStr">
        <is>
          <t>Supply</t>
        </is>
      </c>
      <c r="D338" s="98" t="inlineStr">
        <is>
          <t>Insumo</t>
        </is>
      </c>
      <c r="E33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38" s="165" t="inlineStr">
        <is>
          <t>f7fc8afc-a25d-4b3c-8d70-280ae5100774</t>
        </is>
      </c>
      <c r="G338" s="166">
        <f>IF(E338="","Inativo",IF(SUMPRODUCT(--(ISNUMBER(SEARCH({"Lapa","Santana","Mariana","Perdizes","André","Tatuapé","Madalena","Carinás","Pavão","Chac"},E338))))&gt;0,"Ativo","Inativo"))</f>
        <v/>
      </c>
    </row>
    <row r="339">
      <c r="A339" s="96" t="inlineStr">
        <is>
          <t>9003197</t>
        </is>
      </c>
      <c r="B339" s="97" t="inlineStr">
        <is>
          <t>**COADA**</t>
        </is>
      </c>
      <c r="C339" s="97" t="inlineStr">
        <is>
          <t>Supply</t>
        </is>
      </c>
      <c r="D339" s="98" t="inlineStr">
        <is>
          <t>Insumo</t>
        </is>
      </c>
      <c r="E33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39" s="165" t="inlineStr">
        <is>
          <t>0b2534fb-7f83-41fc-b75d-61233c2dd353</t>
        </is>
      </c>
      <c r="G339" s="166">
        <f>IF(E339="","Inativo",IF(SUMPRODUCT(--(ISNUMBER(SEARCH({"Lapa","Santana","Mariana","Perdizes","André","Tatuapé","Madalena","Carinás","Pavão","Chac"},E339))))&gt;0,"Ativo","Inativo"))</f>
        <v/>
      </c>
    </row>
    <row r="340">
      <c r="A340" s="96" t="inlineStr">
        <is>
          <t>9003614</t>
        </is>
      </c>
      <c r="B340" s="97" t="inlineStr">
        <is>
          <t>**MORANGO**</t>
        </is>
      </c>
      <c r="C340" s="97" t="inlineStr">
        <is>
          <t>Supply</t>
        </is>
      </c>
      <c r="D340" s="98" t="inlineStr">
        <is>
          <t>Insumo</t>
        </is>
      </c>
      <c r="E34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0" s="165" t="inlineStr">
        <is>
          <t>3c1cdcdd-0ea9-4480-8016-423b3b0d2bf5</t>
        </is>
      </c>
      <c r="G340" s="166">
        <f>IF(E340="","Inativo",IF(SUMPRODUCT(--(ISNUMBER(SEARCH({"Lapa","Santana","Mariana","Perdizes","André","Tatuapé","Madalena","Carinás","Pavão","Chac"},E340))))&gt;0,"Ativo","Inativo"))</f>
        <v/>
      </c>
    </row>
    <row r="341">
      <c r="A341" s="96" t="inlineStr">
        <is>
          <t>9003615</t>
        </is>
      </c>
      <c r="B341" s="97" t="inlineStr">
        <is>
          <t>**MARACUJA**</t>
        </is>
      </c>
      <c r="C341" s="97" t="inlineStr">
        <is>
          <t>Supply</t>
        </is>
      </c>
      <c r="D341" s="98" t="inlineStr">
        <is>
          <t>Insumo</t>
        </is>
      </c>
      <c r="E34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1" s="165" t="inlineStr">
        <is>
          <t>c94ff74a-d448-4dbd-9102-fbf27aec2017</t>
        </is>
      </c>
      <c r="G341" s="166">
        <f>IF(E341="","Inativo",IF(SUMPRODUCT(--(ISNUMBER(SEARCH({"Lapa","Santana","Mariana","Perdizes","André","Tatuapé","Madalena","Carinás","Pavão","Chac"},E341))))&gt;0,"Ativo","Inativo"))</f>
        <v/>
      </c>
    </row>
    <row r="342">
      <c r="A342" s="96" t="inlineStr">
        <is>
          <t>9003616</t>
        </is>
      </c>
      <c r="B342" s="97" t="inlineStr">
        <is>
          <t>**FRUTAS VERMELHAS **</t>
        </is>
      </c>
      <c r="C342" s="97" t="inlineStr">
        <is>
          <t>Supply</t>
        </is>
      </c>
      <c r="D342" s="98" t="inlineStr">
        <is>
          <t>Insumo</t>
        </is>
      </c>
      <c r="E34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2" s="165" t="inlineStr">
        <is>
          <t>26821760-125a-4b5c-bdaa-463d1a2c5aa4</t>
        </is>
      </c>
      <c r="G342" s="166">
        <f>IF(E342="","Inativo",IF(SUMPRODUCT(--(ISNUMBER(SEARCH({"Lapa","Santana","Mariana","Perdizes","André","Tatuapé","Madalena","Carinás","Pavão","Chac"},E342))))&gt;0,"Ativo","Inativo"))</f>
        <v/>
      </c>
    </row>
    <row r="343">
      <c r="A343" s="96" t="inlineStr">
        <is>
          <t>9003617</t>
        </is>
      </c>
      <c r="B343" s="97" t="inlineStr">
        <is>
          <t>**FRUTAS VERDES**</t>
        </is>
      </c>
      <c r="C343" s="97" t="inlineStr">
        <is>
          <t>Supply</t>
        </is>
      </c>
      <c r="D343" s="98" t="inlineStr">
        <is>
          <t>Insumo</t>
        </is>
      </c>
      <c r="E34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3" s="165" t="inlineStr">
        <is>
          <t>13354b72-fa32-4df0-a6e9-2e8b096a6eba</t>
        </is>
      </c>
      <c r="G343" s="166">
        <f>IF(E343="","Inativo",IF(SUMPRODUCT(--(ISNUMBER(SEARCH({"Lapa","Santana","Mariana","Perdizes","André","Tatuapé","Madalena","Carinás","Pavão","Chac"},E343))))&gt;0,"Ativo","Inativo"))</f>
        <v/>
      </c>
    </row>
    <row r="344">
      <c r="A344" s="96" t="inlineStr">
        <is>
          <t>9003618</t>
        </is>
      </c>
      <c r="B344" s="97" t="inlineStr">
        <is>
          <t>**LIMA DA PERSIA**</t>
        </is>
      </c>
      <c r="C344" s="97" t="inlineStr">
        <is>
          <t>Supply</t>
        </is>
      </c>
      <c r="D344" s="98" t="inlineStr">
        <is>
          <t>Insumo</t>
        </is>
      </c>
      <c r="E34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4" s="165" t="inlineStr">
        <is>
          <t>73ef4dca-300b-406c-8a20-44239a29cbfc</t>
        </is>
      </c>
      <c r="G344" s="166">
        <f>IF(E344="","Inativo",IF(SUMPRODUCT(--(ISNUMBER(SEARCH({"Lapa","Santana","Mariana","Perdizes","André","Tatuapé","Madalena","Carinás","Pavão","Chac"},E344))))&gt;0,"Ativo","Inativo"))</f>
        <v/>
      </c>
    </row>
    <row r="345">
      <c r="A345" s="96" t="inlineStr">
        <is>
          <t>9003620</t>
        </is>
      </c>
      <c r="B345" s="97" t="inlineStr">
        <is>
          <t>**TANGERINA C/ LIMÃO ROSA E P/ ROSA**</t>
        </is>
      </c>
      <c r="C345" s="97" t="inlineStr">
        <is>
          <t>Supply</t>
        </is>
      </c>
      <c r="D345" s="98" t="inlineStr">
        <is>
          <t>Insumo</t>
        </is>
      </c>
      <c r="E34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5" s="165" t="inlineStr">
        <is>
          <t>c5ed092d-3173-4497-a9e1-fba4a20b4bb9</t>
        </is>
      </c>
      <c r="G345" s="166">
        <f>IF(E345="","Inativo",IF(SUMPRODUCT(--(ISNUMBER(SEARCH({"Lapa","Santana","Mariana","Perdizes","André","Tatuapé","Madalena","Carinás","Pavão","Chac"},E345))))&gt;0,"Ativo","Inativo"))</f>
        <v/>
      </c>
    </row>
    <row r="346">
      <c r="A346" s="96" t="inlineStr">
        <is>
          <t>9003621</t>
        </is>
      </c>
      <c r="B346" s="97" t="inlineStr">
        <is>
          <t>**LIMÃO**</t>
        </is>
      </c>
      <c r="C346" s="97" t="inlineStr">
        <is>
          <t>Supply</t>
        </is>
      </c>
      <c r="D346" s="98" t="inlineStr">
        <is>
          <t>Insumo</t>
        </is>
      </c>
      <c r="E34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6" s="165" t="inlineStr">
        <is>
          <t>0c70e36e-4341-4bd1-bff0-5e396ca828f6</t>
        </is>
      </c>
      <c r="G346" s="166">
        <f>IF(E346="","Inativo",IF(SUMPRODUCT(--(ISNUMBER(SEARCH({"Lapa","Santana","Mariana","Perdizes","André","Tatuapé","Madalena","Carinás","Pavão","Chac"},E346))))&gt;0,"Ativo","Inativo"))</f>
        <v/>
      </c>
    </row>
    <row r="347">
      <c r="A347" s="96" t="inlineStr">
        <is>
          <t>9003622</t>
        </is>
      </c>
      <c r="B347" s="97" t="inlineStr">
        <is>
          <t>**AÇUCAR**</t>
        </is>
      </c>
      <c r="C347" s="97" t="inlineStr">
        <is>
          <t>Supply</t>
        </is>
      </c>
      <c r="D347" s="98" t="inlineStr">
        <is>
          <t>Insumo</t>
        </is>
      </c>
      <c r="E34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7" s="165" t="inlineStr">
        <is>
          <t>4fac1ac8-943e-4458-924d-4cca70adf5cb</t>
        </is>
      </c>
      <c r="G347" s="166">
        <f>IF(E347="","Inativo",IF(SUMPRODUCT(--(ISNUMBER(SEARCH({"Lapa","Santana","Mariana","Perdizes","André","Tatuapé","Madalena","Carinás","Pavão","Chac"},E347))))&gt;0,"Ativo","Inativo"))</f>
        <v/>
      </c>
    </row>
    <row r="348">
      <c r="A348" s="96" t="inlineStr">
        <is>
          <t>9003627</t>
        </is>
      </c>
      <c r="B348" s="97" t="inlineStr">
        <is>
          <t>**ADOÇANTE**</t>
        </is>
      </c>
      <c r="C348" s="97" t="inlineStr">
        <is>
          <t>Supply</t>
        </is>
      </c>
      <c r="D348" s="98" t="inlineStr">
        <is>
          <t>Insumo</t>
        </is>
      </c>
      <c r="E34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8" s="165" t="inlineStr">
        <is>
          <t>a8c15819-ed84-4229-9f58-2700c2bfd641</t>
        </is>
      </c>
      <c r="G348" s="166">
        <f>IF(E348="","Inativo",IF(SUMPRODUCT(--(ISNUMBER(SEARCH({"Lapa","Santana","Mariana","Perdizes","André","Tatuapé","Madalena","Carinás","Pavão","Chac"},E348))))&gt;0,"Ativo","Inativo"))</f>
        <v/>
      </c>
    </row>
    <row r="349">
      <c r="A349" s="96" t="inlineStr">
        <is>
          <t>9003628</t>
        </is>
      </c>
      <c r="B349" s="97" t="inlineStr">
        <is>
          <t>**SEM GELO**</t>
        </is>
      </c>
      <c r="C349" s="97" t="inlineStr">
        <is>
          <t>Supply</t>
        </is>
      </c>
      <c r="D349" s="98" t="inlineStr">
        <is>
          <t>Insumo</t>
        </is>
      </c>
      <c r="E34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49" s="165" t="inlineStr">
        <is>
          <t>a5a4f55c-cab9-4e75-9c91-edcb45e27976</t>
        </is>
      </c>
      <c r="G349" s="166">
        <f>IF(E349="","Inativo",IF(SUMPRODUCT(--(ISNUMBER(SEARCH({"Lapa","Santana","Mariana","Perdizes","André","Tatuapé","Madalena","Carinás","Pavão","Chac"},E349))))&gt;0,"Ativo","Inativo"))</f>
        <v/>
      </c>
    </row>
    <row r="350">
      <c r="A350" s="96" t="inlineStr">
        <is>
          <t>9003659</t>
        </is>
      </c>
      <c r="B350" s="97" t="inlineStr">
        <is>
          <t>**TANQUERAY DRINKS**</t>
        </is>
      </c>
      <c r="C350" s="97" t="inlineStr">
        <is>
          <t>Supply</t>
        </is>
      </c>
      <c r="D350" s="98" t="inlineStr">
        <is>
          <t>Produto</t>
        </is>
      </c>
      <c r="E35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350" s="165" t="inlineStr">
        <is>
          <t>1892ab6d-2797-4ec3-85d7-8f4534f25907</t>
        </is>
      </c>
      <c r="G350" s="166">
        <f>IF(E350="","Inativo",IF(SUMPRODUCT(--(ISNUMBER(SEARCH({"Lapa","Santana","Mariana","Perdizes","André","Tatuapé","Madalena","Carinás","Pavão","Chac"},E350))))&gt;0,"Ativo","Inativo"))</f>
        <v/>
      </c>
    </row>
    <row r="351">
      <c r="A351" s="96" t="inlineStr">
        <is>
          <t>9003687</t>
        </is>
      </c>
      <c r="B351" s="97" t="inlineStr">
        <is>
          <t>**COM GELO**</t>
        </is>
      </c>
      <c r="C351" s="97" t="inlineStr">
        <is>
          <t>Supply</t>
        </is>
      </c>
      <c r="D351" s="98" t="inlineStr">
        <is>
          <t>Insumo</t>
        </is>
      </c>
      <c r="E35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51" s="165" t="inlineStr">
        <is>
          <t>7ca64dfe-b497-44a2-aa57-71dcfd99c7a3</t>
        </is>
      </c>
      <c r="G351" s="166">
        <f>IF(E351="","Inativo",IF(SUMPRODUCT(--(ISNUMBER(SEARCH({"Lapa","Santana","Mariana","Perdizes","André","Tatuapé","Madalena","Carinás","Pavão","Chac"},E351))))&gt;0,"Ativo","Inativo"))</f>
        <v/>
      </c>
    </row>
    <row r="352">
      <c r="A352" s="96" t="inlineStr">
        <is>
          <t>9003688</t>
        </is>
      </c>
      <c r="B352" s="97" t="inlineStr">
        <is>
          <t>** COM COLARINHO**</t>
        </is>
      </c>
      <c r="C352" s="97" t="inlineStr">
        <is>
          <t>Supply</t>
        </is>
      </c>
      <c r="D352" s="98" t="inlineStr">
        <is>
          <t>Insumo</t>
        </is>
      </c>
      <c r="E35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t>
        </is>
      </c>
      <c r="F352" s="165" t="inlineStr">
        <is>
          <t>97496792-33f5-400a-b68d-f32a7ebfe708</t>
        </is>
      </c>
      <c r="G352" s="166">
        <f>IF(E352="","Inativo",IF(SUMPRODUCT(--(ISNUMBER(SEARCH({"Lapa","Santana","Mariana","Perdizes","André","Tatuapé","Madalena","Carinás","Pavão","Chac"},E352))))&gt;0,"Ativo","Inativo"))</f>
        <v/>
      </c>
    </row>
    <row r="353">
      <c r="A353" s="96" t="inlineStr">
        <is>
          <t>78989056877279</t>
        </is>
      </c>
      <c r="B353" s="97" t="inlineStr">
        <is>
          <t>Combo Individual p/ 1 pessoa</t>
        </is>
      </c>
      <c r="C353" s="97" t="inlineStr">
        <is>
          <t>DELIVERY</t>
        </is>
      </c>
      <c r="D353" s="98" t="inlineStr">
        <is>
          <t>Produto</t>
        </is>
      </c>
      <c r="E353" s="164" t="inlineStr">
        <is>
          <t>Delivery Lapa, Delivery Carinás, Delivery Vila Madalena, Delivery Tatuapé, Delivery Chac. Sto Antonio, Delivery Santo André, Delivery Pavão, Delivery V. Mariana, Delivery Perdizes, Delivery Santana</t>
        </is>
      </c>
      <c r="F353" s="165" t="inlineStr">
        <is>
          <t>3a103c3a-6efb-424e-8e3b-5699fcd7525f</t>
        </is>
      </c>
      <c r="G353" s="166">
        <f>IF(E353="","Inativo",IF(SUMPRODUCT(--(ISNUMBER(SEARCH({"Lapa","Santana","Mariana","Perdizes","André","Tatuapé","Madalena","Carinás","Pavão","Chac"},E353))))&gt;0,"Ativo","Inativo"))</f>
        <v/>
      </c>
    </row>
    <row r="354">
      <c r="A354" s="96" t="inlineStr">
        <is>
          <t>78989056877280</t>
        </is>
      </c>
      <c r="B354" s="97" t="inlineStr">
        <is>
          <t>Combo Casal p/ 2 pessoas</t>
        </is>
      </c>
      <c r="C354" s="97" t="inlineStr">
        <is>
          <t>DELIVERY</t>
        </is>
      </c>
      <c r="D354" s="98" t="inlineStr">
        <is>
          <t>Produto</t>
        </is>
      </c>
      <c r="E354" s="164" t="inlineStr">
        <is>
          <t>Delivery Lapa, Delivery Carinás, Delivery Vila Madalena, Delivery Tatuapé, Delivery Chac. Sto Antonio, Delivery Santo André, Delivery Pavão, Delivery V. Mariana, Delivery Perdizes, Delivery Santana</t>
        </is>
      </c>
      <c r="F354" s="165" t="inlineStr">
        <is>
          <t>bd616fd6-c313-4378-b313-05b321332386</t>
        </is>
      </c>
      <c r="G354" s="166">
        <f>IF(E354="","Inativo",IF(SUMPRODUCT(--(ISNUMBER(SEARCH({"Lapa","Santana","Mariana","Perdizes","André","Tatuapé","Madalena","Carinás","Pavão","Chac"},E354))))&gt;0,"Ativo","Inativo"))</f>
        <v/>
      </c>
    </row>
    <row r="355">
      <c r="A355" s="96" t="inlineStr">
        <is>
          <t>78989056877281</t>
        </is>
      </c>
      <c r="B355" s="97" t="inlineStr">
        <is>
          <t>Combo Família p/ 3 pessoas</t>
        </is>
      </c>
      <c r="C355" s="97" t="inlineStr">
        <is>
          <t>DELIVERY</t>
        </is>
      </c>
      <c r="D355" s="98" t="inlineStr">
        <is>
          <t>Produto</t>
        </is>
      </c>
      <c r="E355" s="164" t="inlineStr">
        <is>
          <t>Delivery Lapa, Delivery Carinás, Delivery Vila Madalena, Delivery Tatuapé, Delivery Chac. Sto Antonio, Delivery Santo André, Delivery Pavão, Delivery V. Mariana, Delivery Perdizes, Delivery Santana</t>
        </is>
      </c>
      <c r="F355" s="165" t="inlineStr">
        <is>
          <t>7a7fbe9f-5076-47d7-ada5-d887b9844ad4</t>
        </is>
      </c>
      <c r="G355" s="166">
        <f>IF(E355="","Inativo",IF(SUMPRODUCT(--(ISNUMBER(SEARCH({"Lapa","Santana","Mariana","Perdizes","André","Tatuapé","Madalena","Carinás","Pavão","Chac"},E355))))&gt;0,"Ativo","Inativo"))</f>
        <v/>
      </c>
    </row>
    <row r="356">
      <c r="A356" s="96" t="inlineStr">
        <is>
          <t>78989056877282</t>
        </is>
      </c>
      <c r="B356" s="97" t="inlineStr">
        <is>
          <t>Combo "Big Family" p/ 4 pessoas</t>
        </is>
      </c>
      <c r="C356" s="97" t="inlineStr">
        <is>
          <t>DELIVERY</t>
        </is>
      </c>
      <c r="D356" s="98" t="inlineStr">
        <is>
          <t>Produto</t>
        </is>
      </c>
      <c r="E356" s="164" t="inlineStr">
        <is>
          <t>Delivery Lapa, Delivery Carinás, Delivery Vila Madalena, Delivery Tatuapé, Delivery Chac. Sto Antonio, Delivery Santo André, Delivery Pavão, Delivery V. Mariana, Delivery Perdizes, Delivery Santana</t>
        </is>
      </c>
      <c r="F356" s="165" t="inlineStr">
        <is>
          <t>02dd2e46-434c-42bf-8879-7d812b4f797c</t>
        </is>
      </c>
      <c r="G356" s="166">
        <f>IF(E356="","Inativo",IF(SUMPRODUCT(--(ISNUMBER(SEARCH({"Lapa","Santana","Mariana","Perdizes","André","Tatuapé","Madalena","Carinás","Pavão","Chac"},E356))))&gt;0,"Ativo","Inativo"))</f>
        <v/>
      </c>
    </row>
    <row r="357">
      <c r="A357" s="96" t="inlineStr">
        <is>
          <t>78989056877290</t>
        </is>
      </c>
      <c r="B357" s="97" t="inlineStr">
        <is>
          <t>Combo Monte seu churrasco do jeito que quiser</t>
        </is>
      </c>
      <c r="C357" s="97" t="inlineStr">
        <is>
          <t>DELIVERY</t>
        </is>
      </c>
      <c r="D357" s="98" t="inlineStr">
        <is>
          <t>Produto</t>
        </is>
      </c>
      <c r="E357" s="164" t="inlineStr">
        <is>
          <t>Delivery Lapa, Delivery Carinás, Delivery Vila Madalena, Delivery Tatuapé, Delivery Chac. Sto Antonio, Delivery Santo André, Delivery Pavão, Delivery V. Mariana, Delivery Perdizes, Delivery Santana</t>
        </is>
      </c>
      <c r="F357" s="165" t="inlineStr">
        <is>
          <t>eb39ede6-ff04-4e9e-bd10-16ff58926c0a</t>
        </is>
      </c>
      <c r="G357" s="166">
        <f>IF(E357="","Inativo",IF(SUMPRODUCT(--(ISNUMBER(SEARCH({"Lapa","Santana","Mariana","Perdizes","André","Tatuapé","Madalena","Carinás","Pavão","Chac"},E357))))&gt;0,"Ativo","Inativo"))</f>
        <v/>
      </c>
    </row>
    <row r="358">
      <c r="A358" s="96" t="inlineStr">
        <is>
          <t>78989056877293</t>
        </is>
      </c>
      <c r="B358" s="97" t="inlineStr">
        <is>
          <t>MARMITAS DO QUINTAL 2 (BOVINO)</t>
        </is>
      </c>
      <c r="C358" s="97" t="inlineStr">
        <is>
          <t>DELIVERY</t>
        </is>
      </c>
      <c r="D358" s="98" t="inlineStr">
        <is>
          <t>Produto</t>
        </is>
      </c>
      <c r="E358" s="164" t="inlineStr">
        <is>
          <t>Delivery Lapa, Delivery Carinás, Delivery Vila Madalena, Delivery Tatuapé, Delivery Chac. Sto Antonio, Delivery Santo André, Delivery Pavão, Delivery V. Mariana, Delivery Perdizes, Delivery Santana</t>
        </is>
      </c>
      <c r="F358" s="165" t="inlineStr">
        <is>
          <t>abbbde79-5a8b-4e93-80c5-71dc01d5e223</t>
        </is>
      </c>
      <c r="G358" s="166">
        <f>IF(E358="","Inativo",IF(SUMPRODUCT(--(ISNUMBER(SEARCH({"Lapa","Santana","Mariana","Perdizes","André","Tatuapé","Madalena","Carinás","Pavão","Chac"},E358))))&gt;0,"Ativo","Inativo"))</f>
        <v/>
      </c>
    </row>
    <row r="359">
      <c r="A359" s="96" t="inlineStr">
        <is>
          <t>78989056877294</t>
        </is>
      </c>
      <c r="B359" s="97" t="inlineStr">
        <is>
          <t>MARMITAS DO QUINTAL (FRANGO)</t>
        </is>
      </c>
      <c r="C359" s="97" t="inlineStr">
        <is>
          <t>DELIVERY</t>
        </is>
      </c>
      <c r="D359" s="98" t="inlineStr">
        <is>
          <t>Produto</t>
        </is>
      </c>
      <c r="E359" s="164" t="inlineStr">
        <is>
          <t>Delivery Lapa, Delivery Carinás, Delivery Vila Madalena, Delivery Tatuapé, Delivery Chac. Sto Antonio, Delivery Santo André, Delivery Pavão, Delivery V. Mariana, Delivery Perdizes, Delivery Santana</t>
        </is>
      </c>
      <c r="F359" s="165" t="inlineStr">
        <is>
          <t>06b42f8f-001d-49c4-9c75-7753a8c2db7e</t>
        </is>
      </c>
      <c r="G359" s="166">
        <f>IF(E359="","Inativo",IF(SUMPRODUCT(--(ISNUMBER(SEARCH({"Lapa","Santana","Mariana","Perdizes","André","Tatuapé","Madalena","Carinás","Pavão","Chac"},E359))))&gt;0,"Ativo","Inativo"))</f>
        <v/>
      </c>
    </row>
    <row r="360">
      <c r="A360" s="96" t="inlineStr">
        <is>
          <t>78989056877295</t>
        </is>
      </c>
      <c r="B360" s="97" t="inlineStr">
        <is>
          <t>MONTE SEU PRATO 1</t>
        </is>
      </c>
      <c r="C360" s="97" t="inlineStr">
        <is>
          <t>DELIVERY</t>
        </is>
      </c>
      <c r="D360" s="98" t="inlineStr">
        <is>
          <t>Produto</t>
        </is>
      </c>
      <c r="E360" s="164" t="inlineStr">
        <is>
          <t>Delivery Lapa, Delivery Carinás, Delivery Vila Madalena, Delivery Tatuapé, Delivery Chac. Sto Antonio, Delivery Santo André, Delivery Pavão, Delivery V. Mariana, Delivery Perdizes, Delivery Santana</t>
        </is>
      </c>
      <c r="F360" s="165" t="inlineStr">
        <is>
          <t>0db9d809-9cc1-4f99-9f33-08e617bf07d7</t>
        </is>
      </c>
      <c r="G360" s="166">
        <f>IF(E360="","Inativo",IF(SUMPRODUCT(--(ISNUMBER(SEARCH({"Lapa","Santana","Mariana","Perdizes","André","Tatuapé","Madalena","Carinás","Pavão","Chac"},E360))))&gt;0,"Ativo","Inativo"))</f>
        <v/>
      </c>
    </row>
    <row r="361">
      <c r="A361" s="96" t="inlineStr">
        <is>
          <t>78989056877296</t>
        </is>
      </c>
      <c r="B361" s="97" t="inlineStr">
        <is>
          <t>MONTE SEU PRATO 2</t>
        </is>
      </c>
      <c r="C361" s="97" t="inlineStr">
        <is>
          <t>DELIVERY</t>
        </is>
      </c>
      <c r="D361" s="98" t="inlineStr">
        <is>
          <t>Produto</t>
        </is>
      </c>
      <c r="E361" s="164" t="inlineStr">
        <is>
          <t>Delivery Lapa, Delivery Carinás, Delivery Vila Madalena, Delivery Tatuapé, Delivery Chac. Sto Antonio, Delivery Santo André, Delivery Pavão, Delivery V. Mariana, Delivery Perdizes, Delivery Santana</t>
        </is>
      </c>
      <c r="F361" s="165" t="inlineStr">
        <is>
          <t>282e0033-96be-4937-b69c-58532ddada5f</t>
        </is>
      </c>
      <c r="G361" s="166">
        <f>IF(E361="","Inativo",IF(SUMPRODUCT(--(ISNUMBER(SEARCH({"Lapa","Santana","Mariana","Perdizes","André","Tatuapé","Madalena","Carinás","Pavão","Chac"},E361))))&gt;0,"Ativo","Inativo"))</f>
        <v/>
      </c>
    </row>
    <row r="362">
      <c r="A362" s="96" t="inlineStr">
        <is>
          <t>78989056877297</t>
        </is>
      </c>
      <c r="B362" s="97" t="inlineStr">
        <is>
          <t>MONTE SEU PRATO 3</t>
        </is>
      </c>
      <c r="C362" s="97" t="inlineStr">
        <is>
          <t>DELIVERY</t>
        </is>
      </c>
      <c r="D362" s="98" t="inlineStr">
        <is>
          <t>Produto</t>
        </is>
      </c>
      <c r="E362" s="164" t="inlineStr">
        <is>
          <t>Delivery Lapa, Delivery Carinás, Delivery Vila Madalena, Delivery Tatuapé, Delivery Chac. Sto Antonio, Delivery Santo André, Delivery Pavão, Delivery V. Mariana, Delivery Perdizes, Delivery Santana</t>
        </is>
      </c>
      <c r="F362" s="165" t="inlineStr">
        <is>
          <t>45d99391-a705-452a-b615-809c5eb283bc</t>
        </is>
      </c>
      <c r="G362" s="166">
        <f>IF(E362="","Inativo",IF(SUMPRODUCT(--(ISNUMBER(SEARCH({"Lapa","Santana","Mariana","Perdizes","André","Tatuapé","Madalena","Carinás","Pavão","Chac"},E362))))&gt;0,"Ativo","Inativo"))</f>
        <v/>
      </c>
    </row>
    <row r="363">
      <c r="A363" s="96" t="inlineStr">
        <is>
          <t>78989056877298</t>
        </is>
      </c>
      <c r="B363" s="97" t="inlineStr">
        <is>
          <t>COMBO EXECUTIVO DO QUINTAL 2 (BOVINO)</t>
        </is>
      </c>
      <c r="C363" s="97" t="inlineStr">
        <is>
          <t>DELIVERY</t>
        </is>
      </c>
      <c r="D363" s="98" t="inlineStr">
        <is>
          <t>Produto</t>
        </is>
      </c>
      <c r="E363" s="164" t="inlineStr">
        <is>
          <t>Delivery Lapa, Delivery Carinás, Delivery Vila Madalena, Delivery Tatuapé, Delivery Chac. Sto Antonio, Delivery Santo André, Delivery Pavão, Delivery V. Mariana, Delivery Perdizes, Delivery Santana</t>
        </is>
      </c>
      <c r="F363" s="165" t="inlineStr">
        <is>
          <t>d668d9a1-8ca7-4d1b-830e-a04b285c0606</t>
        </is>
      </c>
      <c r="G363" s="166">
        <f>IF(E363="","Inativo",IF(SUMPRODUCT(--(ISNUMBER(SEARCH({"Lapa","Santana","Mariana","Perdizes","André","Tatuapé","Madalena","Carinás","Pavão","Chac"},E363))))&gt;0,"Ativo","Inativo"))</f>
        <v/>
      </c>
    </row>
    <row r="364">
      <c r="A364" s="96" t="inlineStr">
        <is>
          <t>78989056877299</t>
        </is>
      </c>
      <c r="B364" s="97" t="inlineStr">
        <is>
          <t>COMBO EXECUTIVO DO QUINTAL  (FRANGO)</t>
        </is>
      </c>
      <c r="C364" s="97" t="inlineStr">
        <is>
          <t>DELIVERY</t>
        </is>
      </c>
      <c r="D364" s="98" t="inlineStr">
        <is>
          <t>Produto</t>
        </is>
      </c>
      <c r="E364" s="164" t="inlineStr">
        <is>
          <t>Delivery Lapa, Delivery Carinás, Delivery Vila Madalena, Delivery Tatuapé, Delivery Chac. Sto Antonio, Delivery Santo André, Delivery Pavão, Delivery V. Mariana, Delivery Perdizes, Delivery Santana</t>
        </is>
      </c>
      <c r="F364" s="165" t="inlineStr">
        <is>
          <t>e1e3ab37-1764-42d4-8e92-a612cd635d49</t>
        </is>
      </c>
      <c r="G364" s="166">
        <f>IF(E364="","Inativo",IF(SUMPRODUCT(--(ISNUMBER(SEARCH({"Lapa","Santana","Mariana","Perdizes","André","Tatuapé","Madalena","Carinás","Pavão","Chac"},E364))))&gt;0,"Ativo","Inativo"))</f>
        <v/>
      </c>
    </row>
    <row r="365">
      <c r="A365" s="96" t="inlineStr">
        <is>
          <t>78989056877309</t>
        </is>
      </c>
      <c r="B365" s="97" t="inlineStr">
        <is>
          <t>MARMITAS DO QUINTAL 3 ( CALABRESA C/ PIMENTA)</t>
        </is>
      </c>
      <c r="C365" s="97" t="inlineStr">
        <is>
          <t>DELIVERY</t>
        </is>
      </c>
      <c r="D365" s="98" t="inlineStr">
        <is>
          <t>Produto</t>
        </is>
      </c>
      <c r="E365" s="164" t="inlineStr">
        <is>
          <t>Delivery Lapa, Delivery Carinás, Delivery Vila Madalena, Delivery Tatuapé, Delivery Chac. Sto Antonio, Delivery Santo André, Delivery Pavão, Delivery V. Mariana, Delivery Perdizes, Delivery Santana</t>
        </is>
      </c>
      <c r="F365" s="165" t="inlineStr">
        <is>
          <t>530c09aa-78b1-401b-9382-10e0c57cc561</t>
        </is>
      </c>
      <c r="G365" s="166">
        <f>IF(E365="","Inativo",IF(SUMPRODUCT(--(ISNUMBER(SEARCH({"Lapa","Santana","Mariana","Perdizes","André","Tatuapé","Madalena","Carinás","Pavão","Chac"},E365))))&gt;0,"Ativo","Inativo"))</f>
        <v/>
      </c>
    </row>
    <row r="366">
      <c r="A366" s="96" t="inlineStr">
        <is>
          <t>78989056877310</t>
        </is>
      </c>
      <c r="B366" s="97" t="inlineStr">
        <is>
          <t>MARMITAS DO QUINTAL 4 (CALABRESA S/ PIMENTA</t>
        </is>
      </c>
      <c r="C366" s="97" t="inlineStr">
        <is>
          <t>DELIVERY</t>
        </is>
      </c>
      <c r="D366" s="98" t="inlineStr">
        <is>
          <t>Produto</t>
        </is>
      </c>
      <c r="E366" s="164" t="inlineStr">
        <is>
          <t>Delivery Lapa, Delivery Carinás, Delivery Vila Madalena, Delivery Tatuapé, Delivery Chac. Sto Antonio, Delivery Santo André, Delivery Pavão, Delivery V. Mariana, Delivery Perdizes, Delivery Santana</t>
        </is>
      </c>
      <c r="F366" s="165" t="inlineStr">
        <is>
          <t>3d1b1ff2-b02e-4e1d-87ad-211160b23a44</t>
        </is>
      </c>
      <c r="G366" s="166">
        <f>IF(E366="","Inativo",IF(SUMPRODUCT(--(ISNUMBER(SEARCH({"Lapa","Santana","Mariana","Perdizes","André","Tatuapé","Madalena","Carinás","Pavão","Chac"},E366))))&gt;0,"Ativo","Inativo"))</f>
        <v/>
      </c>
    </row>
    <row r="367">
      <c r="A367" s="96" t="inlineStr">
        <is>
          <t>78989056877311</t>
        </is>
      </c>
      <c r="B367" s="97" t="inlineStr">
        <is>
          <t>COMBO EXECUTIVO DO QUINTAL 3 (CALABRESA C/ PIMENTA)</t>
        </is>
      </c>
      <c r="C367" s="97" t="inlineStr">
        <is>
          <t>DELIVERY</t>
        </is>
      </c>
      <c r="D367" s="98" t="inlineStr">
        <is>
          <t>Produto</t>
        </is>
      </c>
      <c r="E367" s="164" t="inlineStr">
        <is>
          <t>Delivery Lapa, Delivery Carinás, Delivery Vila Madalena, Delivery Tatuapé, Delivery Chac. Sto Antonio, Delivery Santo André, Delivery Pavão, Delivery V. Mariana, Delivery Perdizes, Delivery Santana</t>
        </is>
      </c>
      <c r="F367" s="165" t="inlineStr">
        <is>
          <t>c9082823-42c4-4782-8ca1-936746e692c9</t>
        </is>
      </c>
      <c r="G367" s="166">
        <f>IF(E367="","Inativo",IF(SUMPRODUCT(--(ISNUMBER(SEARCH({"Lapa","Santana","Mariana","Perdizes","André","Tatuapé","Madalena","Carinás","Pavão","Chac"},E367))))&gt;0,"Ativo","Inativo"))</f>
        <v/>
      </c>
    </row>
    <row r="368">
      <c r="A368" s="96" t="inlineStr">
        <is>
          <t>78989056877312</t>
        </is>
      </c>
      <c r="B368" s="97" t="inlineStr">
        <is>
          <t>COMBO EXECUTIVO DO QUINTAL 4 (CALABRESA S/ PIMENTA)</t>
        </is>
      </c>
      <c r="C368" s="97" t="inlineStr">
        <is>
          <t>DELIVERY</t>
        </is>
      </c>
      <c r="D368" s="98" t="inlineStr">
        <is>
          <t>Produto</t>
        </is>
      </c>
      <c r="E368" s="164" t="inlineStr">
        <is>
          <t>Delivery Lapa, Delivery Carinás, Delivery Vila Madalena, Delivery Tatuapé, Delivery Chac. Sto Antonio, Delivery Santo André, Delivery Pavão, Delivery V. Mariana, Delivery Perdizes, Delivery Santana</t>
        </is>
      </c>
      <c r="F368" s="165" t="inlineStr">
        <is>
          <t>44851480-52bb-42ae-b17b-812b9d4e66e7</t>
        </is>
      </c>
      <c r="G368" s="166">
        <f>IF(E368="","Inativo",IF(SUMPRODUCT(--(ISNUMBER(SEARCH({"Lapa","Santana","Mariana","Perdizes","André","Tatuapé","Madalena","Carinás","Pavão","Chac"},E368))))&gt;0,"Ativo","Inativo"))</f>
        <v/>
      </c>
    </row>
    <row r="369">
      <c r="A369" s="96" t="inlineStr">
        <is>
          <t>78989056877313</t>
        </is>
      </c>
      <c r="B369" s="97" t="inlineStr">
        <is>
          <t xml:space="preserve">PROMOÇÃO CLASSICOS </t>
        </is>
      </c>
      <c r="C369" s="97" t="inlineStr">
        <is>
          <t>DELIVERY</t>
        </is>
      </c>
      <c r="D369" s="98" t="inlineStr">
        <is>
          <t>Produto</t>
        </is>
      </c>
      <c r="E369" s="164" t="inlineStr">
        <is>
          <t>Delivery Lapa, Delivery Carinás, Delivery Vila Madalena, Delivery Tatuapé, Delivery Chac. Sto Antonio, Delivery Santo André, Delivery Pavão, Delivery V. Mariana, Delivery Perdizes, Delivery Santana</t>
        </is>
      </c>
      <c r="F369" s="165" t="inlineStr">
        <is>
          <t>a949506f-950e-4a54-bab4-765d2c891b29</t>
        </is>
      </c>
      <c r="G369" s="166">
        <f>IF(E369="","Inativo",IF(SUMPRODUCT(--(ISNUMBER(SEARCH({"Lapa","Santana","Mariana","Perdizes","André","Tatuapé","Madalena","Carinás","Pavão","Chac"},E369))))&gt;0,"Ativo","Inativo"))</f>
        <v/>
      </c>
    </row>
    <row r="370">
      <c r="A370" s="96" t="inlineStr">
        <is>
          <t>78989056877339</t>
        </is>
      </c>
      <c r="B370" s="97" t="inlineStr">
        <is>
          <t>2 ESPETOS CLÁSSICOS + SALADA</t>
        </is>
      </c>
      <c r="C370" s="97" t="inlineStr">
        <is>
          <t>DELIVERY</t>
        </is>
      </c>
      <c r="D370" s="98" t="inlineStr">
        <is>
          <t>Produto</t>
        </is>
      </c>
      <c r="E370" s="164" t="inlineStr">
        <is>
          <t>Delivery Lapa, Delivery Carinás, Delivery Vila Madalena, Delivery Tatuapé, Delivery Chac. Sto Antonio, Delivery Santo André, Delivery Pavão, Delivery V. Mariana, Delivery Perdizes, Delivery Santana</t>
        </is>
      </c>
      <c r="F370" s="165" t="inlineStr">
        <is>
          <t>963499d2-71ae-4f36-a76a-ed9d0c0c97f3</t>
        </is>
      </c>
      <c r="G370" s="166">
        <f>IF(E370="","Inativo",IF(SUMPRODUCT(--(ISNUMBER(SEARCH({"Lapa","Santana","Mariana","Perdizes","André","Tatuapé","Madalena","Carinás","Pavão","Chac"},E370))))&gt;0,"Ativo","Inativo"))</f>
        <v/>
      </c>
    </row>
    <row r="371">
      <c r="A371" s="96" t="inlineStr">
        <is>
          <t>78989056877340</t>
        </is>
      </c>
      <c r="B371" s="97" t="inlineStr">
        <is>
          <t>PF QUINTAL</t>
        </is>
      </c>
      <c r="C371" s="97" t="inlineStr">
        <is>
          <t>DELIVERY</t>
        </is>
      </c>
      <c r="D371" s="98" t="inlineStr">
        <is>
          <t>Produto</t>
        </is>
      </c>
      <c r="E371" s="164" t="inlineStr">
        <is>
          <t>Delivery Lapa, Delivery Carinás, Delivery Vila Madalena, Delivery Tatuapé, Delivery Chac. Sto Antonio, Delivery Santo André, Delivery Pavão, Delivery V. Mariana, Delivery Perdizes, Delivery Santana</t>
        </is>
      </c>
      <c r="F371" s="165" t="inlineStr">
        <is>
          <t>4780613f-1ea9-476e-a96e-9cd33a4aae4c</t>
        </is>
      </c>
      <c r="G371" s="166">
        <f>IF(E371="","Inativo",IF(SUMPRODUCT(--(ISNUMBER(SEARCH({"Lapa","Santana","Mariana","Perdizes","André","Tatuapé","Madalena","Carinás","Pavão","Chac"},E371))))&gt;0,"Ativo","Inativo"))</f>
        <v/>
      </c>
    </row>
    <row r="372">
      <c r="A372" s="96" t="inlineStr">
        <is>
          <t>9003270</t>
        </is>
      </c>
      <c r="B372" s="97" t="inlineStr">
        <is>
          <t>COMBO FAMILIA</t>
        </is>
      </c>
      <c r="C372" s="97" t="inlineStr">
        <is>
          <t>DELIVERY</t>
        </is>
      </c>
      <c r="D372" s="98" t="inlineStr">
        <is>
          <t>Produto</t>
        </is>
      </c>
      <c r="E372" s="164" t="inlineStr">
        <is>
          <t>Delivery Interlagos, Quintal do Espeto Santo André, Delivery Lapa, Delivery Carinás, Delivery Vila Madalena, Delivery Tatuapé, Delivery Chac. Sto Antonio, Delivery Santo André, Delivery Pavão, Delivery V. Mariana, Delivery Perdizes, Delivery Santana</t>
        </is>
      </c>
      <c r="F372" s="165" t="inlineStr">
        <is>
          <t>a39562a3-e58d-4ccf-922b-e0e78fbd7684</t>
        </is>
      </c>
      <c r="G372" s="166">
        <f>IF(E372="","Inativo",IF(SUMPRODUCT(--(ISNUMBER(SEARCH({"Lapa","Santana","Mariana","Perdizes","André","Tatuapé","Madalena","Carinás","Pavão","Chac"},E372))))&gt;0,"Ativo","Inativo"))</f>
        <v/>
      </c>
    </row>
    <row r="373">
      <c r="A373" s="96" t="inlineStr">
        <is>
          <t>9003272</t>
        </is>
      </c>
      <c r="B373" s="97" t="inlineStr">
        <is>
          <t>COMBO JUNIOR</t>
        </is>
      </c>
      <c r="C373" s="97" t="inlineStr">
        <is>
          <t>DELIVERY</t>
        </is>
      </c>
      <c r="D373" s="98" t="inlineStr">
        <is>
          <t>Produto</t>
        </is>
      </c>
      <c r="E373" s="164" t="inlineStr">
        <is>
          <t>Delivery Interlagos, Delivery Lapa, Delivery Carinás, Delivery Vila Madalena, Delivery Tatuapé, Delivery Chac. Sto Antonio, Delivery Santo André, Delivery Pavão, Delivery V. Mariana, Delivery Perdizes, Delivery Santana</t>
        </is>
      </c>
      <c r="F373" s="165" t="inlineStr">
        <is>
          <t>5fe05f09-8e3f-4122-b2ba-d31636a9f998</t>
        </is>
      </c>
      <c r="G373" s="166">
        <f>IF(E373="","Inativo",IF(SUMPRODUCT(--(ISNUMBER(SEARCH({"Lapa","Santana","Mariana","Perdizes","André","Tatuapé","Madalena","Carinás","Pavão","Chac"},E373))))&gt;0,"Ativo","Inativo"))</f>
        <v/>
      </c>
    </row>
    <row r="374">
      <c r="A374" s="96" t="inlineStr">
        <is>
          <t>9003273</t>
        </is>
      </c>
      <c r="B374" s="97" t="inlineStr">
        <is>
          <t>CHURRASCO COM CERJEVA</t>
        </is>
      </c>
      <c r="C374" s="97" t="inlineStr">
        <is>
          <t>DELIVERY</t>
        </is>
      </c>
      <c r="D374" s="98" t="inlineStr">
        <is>
          <t>Produto</t>
        </is>
      </c>
      <c r="E374" s="164" t="inlineStr">
        <is>
          <t>Delivery Interlagos, Delivery Lapa, Delivery Carinás, Delivery Vila Madalena, Delivery Tatuapé, Delivery Chac. Sto Antonio, Delivery Santo André, Delivery Pavão, Delivery V. Mariana, Delivery Perdizes, Delivery Santana</t>
        </is>
      </c>
      <c r="F374" s="165" t="inlineStr">
        <is>
          <t>396184ec-494c-4ee6-829e-c91ec258295c</t>
        </is>
      </c>
      <c r="G374" s="166">
        <f>IF(E374="","Inativo",IF(SUMPRODUCT(--(ISNUMBER(SEARCH({"Lapa","Santana","Mariana","Perdizes","André","Tatuapé","Madalena","Carinás","Pavão","Chac"},E374))))&gt;0,"Ativo","Inativo"))</f>
        <v/>
      </c>
    </row>
    <row r="375">
      <c r="A375" s="96" t="inlineStr">
        <is>
          <t>9003275</t>
        </is>
      </c>
      <c r="B375" s="97" t="inlineStr">
        <is>
          <t>PARA COMPARTILHAR</t>
        </is>
      </c>
      <c r="C375" s="97" t="inlineStr">
        <is>
          <t>DELIVERY</t>
        </is>
      </c>
      <c r="D375" s="98" t="inlineStr">
        <is>
          <t>Produto</t>
        </is>
      </c>
      <c r="E375" s="164" t="inlineStr">
        <is>
          <t>Delivery Interlagos, Delivery Lapa, Delivery Carinás, Delivery Vila Madalena, Delivery Tatuapé, Delivery Chac. Sto Antonio, Delivery Santo André, Delivery Pavão, Delivery V. Mariana, Delivery Perdizes, Delivery Santana</t>
        </is>
      </c>
      <c r="F375" s="165" t="inlineStr">
        <is>
          <t>ff8ee1f0-ecde-4571-83b3-424f644d1750</t>
        </is>
      </c>
      <c r="G375" s="166">
        <f>IF(E375="","Inativo",IF(SUMPRODUCT(--(ISNUMBER(SEARCH({"Lapa","Santana","Mariana","Perdizes","André","Tatuapé","Madalena","Carinás","Pavão","Chac"},E375))))&gt;0,"Ativo","Inativo"))</f>
        <v/>
      </c>
    </row>
    <row r="376">
      <c r="A376" s="96" t="inlineStr">
        <is>
          <t>9003276</t>
        </is>
      </c>
      <c r="B376" s="97" t="inlineStr">
        <is>
          <t>PARA COMPARTILHAR  2</t>
        </is>
      </c>
      <c r="C376" s="97" t="inlineStr">
        <is>
          <t>DELIVERY</t>
        </is>
      </c>
      <c r="D376" s="98" t="inlineStr">
        <is>
          <t>Produto</t>
        </is>
      </c>
      <c r="E376" s="164" t="inlineStr">
        <is>
          <t>Delivery Interlagos, Delivery Lapa, Delivery Carinás, Delivery Vila Madalena, Delivery Tatuapé, Delivery Chac. Sto Antonio, Delivery Santo André, Delivery Pavão, Delivery V. Mariana, Delivery Perdizes, Delivery Santana</t>
        </is>
      </c>
      <c r="F376" s="165" t="inlineStr">
        <is>
          <t>447a7793-9fd1-4dd5-95dc-961b2b494174</t>
        </is>
      </c>
      <c r="G376" s="166">
        <f>IF(E376="","Inativo",IF(SUMPRODUCT(--(ISNUMBER(SEARCH({"Lapa","Santana","Mariana","Perdizes","André","Tatuapé","Madalena","Carinás","Pavão","Chac"},E376))))&gt;0,"Ativo","Inativo"))</f>
        <v/>
      </c>
    </row>
    <row r="377">
      <c r="A377" s="96" t="inlineStr">
        <is>
          <t>10023</t>
        </is>
      </c>
      <c r="B377" s="97" t="inlineStr">
        <is>
          <t>CARVAO 10KG</t>
        </is>
      </c>
      <c r="C377" s="97" t="inlineStr">
        <is>
          <t>BOUTIQUE</t>
        </is>
      </c>
      <c r="D377" s="98" t="inlineStr">
        <is>
          <t>Produto</t>
        </is>
      </c>
      <c r="E377" s="164" t="inlineStr">
        <is>
          <t>Quintal do Espeto Lapa , Quintal do Espeto Santana, Quintal do Espeto  V. Mariana, Quintal do Espeto Perdizes, Quintal do Espeto Tatuapé, Quintal do Espeto  V. Madalena, Quintal do Espeto Carinás, Quintal do Espeto Pavão, Quintal do Espeto Recargas/Bônus</t>
        </is>
      </c>
      <c r="F377" s="165" t="inlineStr">
        <is>
          <t>1f77fba3-b28c-410d-9cdf-7e255b93374f</t>
        </is>
      </c>
      <c r="G377" s="166">
        <f>IF(E377="","Inativo",IF(SUMPRODUCT(--(ISNUMBER(SEARCH({"Lapa","Santana","Mariana","Perdizes","André","Tatuapé","Madalena","Carinás","Pavão","Chac"},E377))))&gt;0,"Ativo","Inativo"))</f>
        <v/>
      </c>
    </row>
    <row r="378">
      <c r="A378" s="96" t="inlineStr">
        <is>
          <t>7898905687706</t>
        </is>
      </c>
      <c r="B378" s="97" t="inlineStr">
        <is>
          <t>KIT CERVEJA DO QUINTAL</t>
        </is>
      </c>
      <c r="C378" s="97" t="inlineStr">
        <is>
          <t>BOUTIQUE</t>
        </is>
      </c>
      <c r="D378" s="98" t="inlineStr">
        <is>
          <t>Produto</t>
        </is>
      </c>
      <c r="E37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378" s="165" t="inlineStr">
        <is>
          <t>e4f19bd8-2d59-4e26-af63-fa5296d2380d</t>
        </is>
      </c>
      <c r="G378" s="166">
        <f>IF(E378="","Inativo",IF(SUMPRODUCT(--(ISNUMBER(SEARCH({"Lapa","Santana","Mariana","Perdizes","André","Tatuapé","Madalena","Carinás","Pavão","Chac"},E378))))&gt;0,"Ativo","Inativo"))</f>
        <v/>
      </c>
    </row>
    <row r="379">
      <c r="A379" s="96" t="inlineStr">
        <is>
          <t>78989056877314</t>
        </is>
      </c>
      <c r="B379" s="97" t="inlineStr">
        <is>
          <t>CANECA CHOPP 500ML</t>
        </is>
      </c>
      <c r="C379" s="97" t="inlineStr">
        <is>
          <t>BOUTIQUE</t>
        </is>
      </c>
      <c r="D379" s="98" t="inlineStr">
        <is>
          <t>Produto</t>
        </is>
      </c>
      <c r="E379" s="164" t="inlineStr">
        <is>
          <t>Quintal do Espeto Santo André, Quintal do Espeto Chac Sto Antonio, Quintal do Espeto Santana, Quintal do Espeto Tatuapé, Quintal do Espeto Carinás</t>
        </is>
      </c>
      <c r="F379" s="165" t="inlineStr">
        <is>
          <t>874f4ad8-5d75-4374-84d5-da9fd436e0a6</t>
        </is>
      </c>
      <c r="G379" s="166">
        <f>IF(E379="","Inativo",IF(SUMPRODUCT(--(ISNUMBER(SEARCH({"Lapa","Santana","Mariana","Perdizes","André","Tatuapé","Madalena","Carinás","Pavão","Chac"},E379))))&gt;0,"Ativo","Inativo"))</f>
        <v/>
      </c>
    </row>
    <row r="380">
      <c r="A380" s="96" t="inlineStr">
        <is>
          <t>9003262</t>
        </is>
      </c>
      <c r="B380" s="97" t="inlineStr">
        <is>
          <t>CARVÃO 4K</t>
        </is>
      </c>
      <c r="C380" s="97" t="inlineStr">
        <is>
          <t>BOUTIQUE</t>
        </is>
      </c>
      <c r="D380" s="98" t="inlineStr">
        <is>
          <t>Produto</t>
        </is>
      </c>
      <c r="E380" s="164" t="inlineStr">
        <is>
          <t>Quintal do Espeto Lapa , Quintal do Espeto Santana, Quintal do Espeto  V. Mariana, Quintal do Espeto Perdizes, Quintal do Espeto Tatuapé, Quintal do Espeto  V. Madalena, Quintal do Espeto Carinás, Quintal do Espeto Pavão, Quintal do Espeto Recargas/Bônus</t>
        </is>
      </c>
      <c r="F380" s="165" t="inlineStr">
        <is>
          <t>aee81472-ad53-484d-a1d0-85e77370c816</t>
        </is>
      </c>
      <c r="G380" s="166">
        <f>IF(E380="","Inativo",IF(SUMPRODUCT(--(ISNUMBER(SEARCH({"Lapa","Santana","Mariana","Perdizes","André","Tatuapé","Madalena","Carinás","Pavão","Chac"},E380))))&gt;0,"Ativo","Inativo"))</f>
        <v/>
      </c>
    </row>
    <row r="381">
      <c r="A381" s="96" t="inlineStr">
        <is>
          <t>9003284</t>
        </is>
      </c>
      <c r="B381" s="97" t="inlineStr">
        <is>
          <t>CHURRASQUEIRA PEQUENA</t>
        </is>
      </c>
      <c r="C381" s="97" t="inlineStr">
        <is>
          <t>BOUTIQUE</t>
        </is>
      </c>
      <c r="D381" s="98" t="inlineStr">
        <is>
          <t>Produto</t>
        </is>
      </c>
      <c r="E381" s="164" t="inlineStr">
        <is>
          <t>Quintal do Espeto Lapa , Quintal do Espeto Santana, Quintal do Espeto  V. Mariana, Quintal do Espeto Perdizes, Quintal do Espeto Tatuapé, Quintal do Espeto  V. Madalena, Quintal do Espeto Carinás, Quintal do Espeto Pavão, Quintal do Espeto Recargas/Bônus</t>
        </is>
      </c>
      <c r="F381" s="165" t="inlineStr">
        <is>
          <t>583fb41e-233a-4859-8097-1e06bc8158a9</t>
        </is>
      </c>
      <c r="G381" s="166">
        <f>IF(E381="","Inativo",IF(SUMPRODUCT(--(ISNUMBER(SEARCH({"Lapa","Santana","Mariana","Perdizes","André","Tatuapé","Madalena","Carinás","Pavão","Chac"},E381))))&gt;0,"Ativo","Inativo"))</f>
        <v/>
      </c>
    </row>
    <row r="382">
      <c r="A382" s="96" t="inlineStr">
        <is>
          <t>9003289</t>
        </is>
      </c>
      <c r="B382" s="97" t="inlineStr">
        <is>
          <t>CHURRASQUEIRA MÉDIA</t>
        </is>
      </c>
      <c r="C382" s="97" t="inlineStr">
        <is>
          <t>BOUTIQUE</t>
        </is>
      </c>
      <c r="D382" s="98" t="inlineStr">
        <is>
          <t>Produto</t>
        </is>
      </c>
      <c r="E382" s="164" t="inlineStr">
        <is>
          <t>Quintal do Espeto Lapa , Quintal do Espeto Santana, Quintal do Espeto  V. Mariana, Quintal do Espeto Perdizes, Quintal do Espeto Tatuapé, Quintal do Espeto  V. Madalena, Quintal do Espeto Carinás, Quintal do Espeto Pavão, Quintal do Espeto Recargas/Bônus</t>
        </is>
      </c>
      <c r="F382" s="165" t="inlineStr">
        <is>
          <t>98886c13-85bd-4f67-8cde-997b4398d590</t>
        </is>
      </c>
      <c r="G382" s="166">
        <f>IF(E382="","Inativo",IF(SUMPRODUCT(--(ISNUMBER(SEARCH({"Lapa","Santana","Mariana","Perdizes","André","Tatuapé","Madalena","Carinás","Pavão","Chac"},E382))))&gt;0,"Ativo","Inativo"))</f>
        <v/>
      </c>
    </row>
    <row r="383">
      <c r="A383" s="96" t="inlineStr">
        <is>
          <t>9003290</t>
        </is>
      </c>
      <c r="B383" s="97" t="inlineStr">
        <is>
          <t>CHURRASQUEIRA GRANDE</t>
        </is>
      </c>
      <c r="C383" s="97" t="inlineStr">
        <is>
          <t>BOUTIQUE</t>
        </is>
      </c>
      <c r="D383" s="98" t="inlineStr">
        <is>
          <t>Produto</t>
        </is>
      </c>
      <c r="E383" s="164" t="inlineStr">
        <is>
          <t>Quintal do Espeto Lapa , Quintal do Espeto Santana, Quintal do Espeto  V. Mariana, Quintal do Espeto Perdizes, Quintal do Espeto Tatuapé, Quintal do Espeto  V. Madalena, Quintal do Espeto Carinás, Quintal do Espeto Pavão, Quintal do Espeto Recargas/Bônus</t>
        </is>
      </c>
      <c r="F383" s="165" t="inlineStr">
        <is>
          <t>fe4ec2ea-fe0f-4764-9888-64a15f34a92f</t>
        </is>
      </c>
      <c r="G383" s="166">
        <f>IF(E383="","Inativo",IF(SUMPRODUCT(--(ISNUMBER(SEARCH({"Lapa","Santana","Mariana","Perdizes","André","Tatuapé","Madalena","Carinás","Pavão","Chac"},E383))))&gt;0,"Ativo","Inativo"))</f>
        <v/>
      </c>
    </row>
    <row r="384">
      <c r="A384" s="96" t="inlineStr">
        <is>
          <t>9003291</t>
        </is>
      </c>
      <c r="B384" s="97" t="inlineStr">
        <is>
          <t>GRELHA PEQUENA</t>
        </is>
      </c>
      <c r="C384" s="97" t="inlineStr">
        <is>
          <t>BOUTIQUE</t>
        </is>
      </c>
      <c r="D384" s="98" t="inlineStr">
        <is>
          <t>Produto</t>
        </is>
      </c>
      <c r="E384" s="164" t="inlineStr">
        <is>
          <t>Quintal do Espeto Lapa , Quintal do Espeto Santana, Quintal do Espeto  V. Mariana, Quintal do Espeto Perdizes, Quintal do Espeto Tatuapé, Quintal do Espeto  V. Madalena, Quintal do Espeto Carinás, Quintal do Espeto Pavão, Quintal do Espeto Recargas/Bônus</t>
        </is>
      </c>
      <c r="F384" s="165" t="inlineStr">
        <is>
          <t>c2ebb123-0ff7-455e-8a4c-3809290d68d4</t>
        </is>
      </c>
      <c r="G384" s="166">
        <f>IF(E384="","Inativo",IF(SUMPRODUCT(--(ISNUMBER(SEARCH({"Lapa","Santana","Mariana","Perdizes","André","Tatuapé","Madalena","Carinás","Pavão","Chac"},E384))))&gt;0,"Ativo","Inativo"))</f>
        <v/>
      </c>
    </row>
    <row r="385">
      <c r="A385" s="96" t="inlineStr">
        <is>
          <t>9003292</t>
        </is>
      </c>
      <c r="B385" s="97" t="inlineStr">
        <is>
          <t>GRELHA MÉDIA</t>
        </is>
      </c>
      <c r="C385" s="97" t="inlineStr">
        <is>
          <t>BOUTIQUE</t>
        </is>
      </c>
      <c r="D385" s="98" t="inlineStr">
        <is>
          <t>Produto</t>
        </is>
      </c>
      <c r="E385" s="164" t="inlineStr">
        <is>
          <t>Quintal do Espeto Lapa , Quintal do Espeto Santana, Quintal do Espeto  V. Mariana, Quintal do Espeto Perdizes, Quintal do Espeto Tatuapé, Quintal do Espeto  V. Madalena, Quintal do Espeto Carinás, Quintal do Espeto Pavão, Quintal do Espeto Recargas/Bônus</t>
        </is>
      </c>
      <c r="F385" s="165" t="inlineStr">
        <is>
          <t>65be8997-3bf7-4805-88d1-87d32a9c8e27</t>
        </is>
      </c>
      <c r="G385" s="166">
        <f>IF(E385="","Inativo",IF(SUMPRODUCT(--(ISNUMBER(SEARCH({"Lapa","Santana","Mariana","Perdizes","André","Tatuapé","Madalena","Carinás","Pavão","Chac"},E385))))&gt;0,"Ativo","Inativo"))</f>
        <v/>
      </c>
    </row>
    <row r="386">
      <c r="A386" s="96" t="inlineStr">
        <is>
          <t>9003293</t>
        </is>
      </c>
      <c r="B386" s="97" t="inlineStr">
        <is>
          <t>GRELHA GRANDE</t>
        </is>
      </c>
      <c r="C386" s="97" t="inlineStr">
        <is>
          <t>BOUTIQUE</t>
        </is>
      </c>
      <c r="D386" s="98" t="inlineStr">
        <is>
          <t>Produto</t>
        </is>
      </c>
      <c r="E386" s="164" t="inlineStr">
        <is>
          <t>Quintal do Espeto Lapa , Quintal do Espeto Santana, Quintal do Espeto  V. Mariana, Quintal do Espeto Perdizes, Quintal do Espeto Tatuapé, Quintal do Espeto  V. Madalena, Quintal do Espeto Carinás, Quintal do Espeto Pavão, Quintal do Espeto Recargas/Bônus</t>
        </is>
      </c>
      <c r="F386" s="165" t="inlineStr">
        <is>
          <t>98367421-438d-484a-bd3d-f0f730169bc1</t>
        </is>
      </c>
      <c r="G386" s="166">
        <f>IF(E386="","Inativo",IF(SUMPRODUCT(--(ISNUMBER(SEARCH({"Lapa","Santana","Mariana","Perdizes","André","Tatuapé","Madalena","Carinás","Pavão","Chac"},E386))))&gt;0,"Ativo","Inativo"))</f>
        <v/>
      </c>
    </row>
    <row r="387">
      <c r="A387" s="96" t="inlineStr">
        <is>
          <t>9003295</t>
        </is>
      </c>
      <c r="B387" s="97" t="inlineStr">
        <is>
          <t xml:space="preserve">BOLSA TERMICA </t>
        </is>
      </c>
      <c r="C387" s="97" t="inlineStr">
        <is>
          <t>BOUTIQUE</t>
        </is>
      </c>
      <c r="D387" s="98" t="inlineStr">
        <is>
          <t>Produto</t>
        </is>
      </c>
      <c r="E387" s="164" t="inlineStr">
        <is>
          <t>Quintal do Espeto Lapa , Quintal do Espeto Santana, Quintal do Espeto  V. Mariana, Quintal do Espeto Perdizes, Quintal do Espeto Tatuapé, Quintal do Espeto  V. Madalena, Quintal do Espeto Carinás, Quintal do Espeto Pavão, Quintal do Espeto Recargas/Bônus</t>
        </is>
      </c>
      <c r="F387" s="165" t="inlineStr">
        <is>
          <t>60056e6f-a906-4d9b-9677-c4bd1502a98f</t>
        </is>
      </c>
      <c r="G387" s="166">
        <f>IF(E387="","Inativo",IF(SUMPRODUCT(--(ISNUMBER(SEARCH({"Lapa","Santana","Mariana","Perdizes","André","Tatuapé","Madalena","Carinás","Pavão","Chac"},E387))))&gt;0,"Ativo","Inativo"))</f>
        <v/>
      </c>
    </row>
    <row r="388">
      <c r="A388" s="96" t="inlineStr">
        <is>
          <t>9003343</t>
        </is>
      </c>
      <c r="B388" s="97" t="inlineStr">
        <is>
          <t>JOGO CHURRASCO INOX 3 PC POLYWO</t>
        </is>
      </c>
      <c r="C388" s="97" t="inlineStr">
        <is>
          <t>BOUTIQUE</t>
        </is>
      </c>
      <c r="D388" s="98" t="inlineStr">
        <is>
          <t>Produto</t>
        </is>
      </c>
      <c r="E388" s="164" t="inlineStr">
        <is>
          <t>Quintal do Espeto Lapa , Quintal do Espeto Santana, Quintal do Espeto  V. Mariana, Quintal do Espeto Perdizes, Quintal do Espeto Tatuapé, Quintal do Espeto  V. Madalena, Quintal do Espeto Carinás, Quintal do Espeto Pavão, Quintal do Espeto Recargas/Bônus</t>
        </is>
      </c>
      <c r="F388" s="165" t="inlineStr">
        <is>
          <t>921f60a1-146c-4387-923e-d940d9132dd4</t>
        </is>
      </c>
      <c r="G388" s="166">
        <f>IF(E388="","Inativo",IF(SUMPRODUCT(--(ISNUMBER(SEARCH({"Lapa","Santana","Mariana","Perdizes","André","Tatuapé","Madalena","Carinás","Pavão","Chac"},E388))))&gt;0,"Ativo","Inativo"))</f>
        <v/>
      </c>
    </row>
    <row r="389">
      <c r="A389" s="96" t="inlineStr">
        <is>
          <t>9003344</t>
        </is>
      </c>
      <c r="B389" s="97" t="inlineStr">
        <is>
          <t>CONJUNTO FACA CIMO 2440/6 E CHAIRA 6 C/BAINHA</t>
        </is>
      </c>
      <c r="C389" s="97" t="inlineStr">
        <is>
          <t>BOUTIQUE</t>
        </is>
      </c>
      <c r="D389" s="98" t="inlineStr">
        <is>
          <t>Produto</t>
        </is>
      </c>
      <c r="E389" s="164" t="inlineStr">
        <is>
          <t>Quintal do Espeto Lapa , Quintal do Espeto Santana, Quintal do Espeto Perdizes, Quintal do Espeto Tatuapé, Quintal do Espeto  V. Madalena, Quintal do Espeto Carinás, Quintal do Espeto Pavão, Quintal do Espeto Recargas/Bônus</t>
        </is>
      </c>
      <c r="F389" s="165" t="inlineStr">
        <is>
          <t>84a71bc0-93fc-48f6-93a9-ae352ab8b5b9</t>
        </is>
      </c>
      <c r="G389" s="166">
        <f>IF(E389="","Inativo",IF(SUMPRODUCT(--(ISNUMBER(SEARCH({"Lapa","Santana","Mariana","Perdizes","André","Tatuapé","Madalena","Carinás","Pavão","Chac"},E389))))&gt;0,"Ativo","Inativo"))</f>
        <v/>
      </c>
    </row>
    <row r="390">
      <c r="A390" s="96" t="inlineStr">
        <is>
          <t>9003345</t>
        </is>
      </c>
      <c r="B390" s="97" t="inlineStr">
        <is>
          <t>CARVÃO 2,5 KG</t>
        </is>
      </c>
      <c r="C390" s="97" t="inlineStr">
        <is>
          <t>BOUTIQUE</t>
        </is>
      </c>
      <c r="D390" s="98" t="inlineStr">
        <is>
          <t>Produto</t>
        </is>
      </c>
      <c r="E390" s="164" t="inlineStr">
        <is>
          <t>Quintal do Espeto Lapa , Quintal do Espeto Santana, Quintal do Espeto  V. Mariana, Quintal do Espeto Perdizes, Quintal do Espeto Tatuapé, Quintal do Espeto  V. Madalena, Quintal do Espeto Carinás, Quintal do Espeto Pavão, Quintal do Espeto Recargas/Bônus</t>
        </is>
      </c>
      <c r="F390" s="165" t="inlineStr">
        <is>
          <t>1e45a759-e997-4a3b-8d81-32363ceeb438</t>
        </is>
      </c>
      <c r="G390" s="166">
        <f>IF(E390="","Inativo",IF(SUMPRODUCT(--(ISNUMBER(SEARCH({"Lapa","Santana","Mariana","Perdizes","André","Tatuapé","Madalena","Carinás","Pavão","Chac"},E390))))&gt;0,"Ativo","Inativo"))</f>
        <v/>
      </c>
    </row>
    <row r="391">
      <c r="A391" s="96" t="inlineStr">
        <is>
          <t>9003347</t>
        </is>
      </c>
      <c r="B391" s="97" t="inlineStr">
        <is>
          <t>TABUA CHURRASCO 400X240MM</t>
        </is>
      </c>
      <c r="C391" s="97" t="inlineStr">
        <is>
          <t>BOUTIQUE</t>
        </is>
      </c>
      <c r="D391" s="98" t="inlineStr">
        <is>
          <t>Produto</t>
        </is>
      </c>
      <c r="E391" s="164" t="inlineStr">
        <is>
          <t>Quintal do Espeto Lapa , Quintal do Espeto Santana, Quintal do Espeto  V. Mariana, Quintal do Espeto Perdizes, Quintal do Espeto Tatuapé, Quintal do Espeto  V. Madalena, Quintal do Espeto Carinás, Quintal do Espeto Pavão, Quintal do Espeto Recargas/Bônus</t>
        </is>
      </c>
      <c r="F391" s="165" t="inlineStr">
        <is>
          <t>df7d4067-dd29-4370-a4e7-3a897f436b0d</t>
        </is>
      </c>
      <c r="G391" s="166">
        <f>IF(E391="","Inativo",IF(SUMPRODUCT(--(ISNUMBER(SEARCH({"Lapa","Santana","Mariana","Perdizes","André","Tatuapé","Madalena","Carinás","Pavão","Chac"},E391))))&gt;0,"Ativo","Inativo"))</f>
        <v/>
      </c>
    </row>
    <row r="392">
      <c r="A392" s="96" t="inlineStr">
        <is>
          <t>9003349</t>
        </is>
      </c>
      <c r="B392" s="97" t="inlineStr">
        <is>
          <t>FACA CIMO 660/PQ 8 INOX MADEIRA</t>
        </is>
      </c>
      <c r="C392" s="97" t="inlineStr">
        <is>
          <t>BOUTIQUE</t>
        </is>
      </c>
      <c r="D392" s="98" t="inlineStr">
        <is>
          <t>Produto</t>
        </is>
      </c>
      <c r="E392" s="164" t="inlineStr">
        <is>
          <t>Quintal do Espeto Lapa , Quintal do Espeto Santana, Quintal do Espeto  V. Mariana, Quintal do Espeto Perdizes, Quintal do Espeto Tatuapé, Quintal do Espeto  V. Madalena, Quintal do Espeto Carinás, Quintal do Espeto Pavão, Quintal do Espeto Recargas/Bônus</t>
        </is>
      </c>
      <c r="F392" s="165" t="inlineStr">
        <is>
          <t>862bc7fb-4060-45f3-97c9-4ac26e86ca40</t>
        </is>
      </c>
      <c r="G392" s="166">
        <f>IF(E392="","Inativo",IF(SUMPRODUCT(--(ISNUMBER(SEARCH({"Lapa","Santana","Mariana","Perdizes","André","Tatuapé","Madalena","Carinás","Pavão","Chac"},E392))))&gt;0,"Ativo","Inativo"))</f>
        <v/>
      </c>
    </row>
    <row r="393">
      <c r="A393" s="96" t="inlineStr">
        <is>
          <t>9003356</t>
        </is>
      </c>
      <c r="B393" s="97" t="inlineStr">
        <is>
          <t>GARFO CIMO 2052/8 INOX MADEIRA 8</t>
        </is>
      </c>
      <c r="C393" s="97" t="inlineStr">
        <is>
          <t>BOUTIQUE</t>
        </is>
      </c>
      <c r="D393" s="98" t="inlineStr">
        <is>
          <t>Produto</t>
        </is>
      </c>
      <c r="E393" s="164" t="inlineStr">
        <is>
          <t>Quintal do Espeto Lapa , Quintal do Espeto Santana, Quintal do Espeto  V. Mariana, Quintal do Espeto Perdizes, Quintal do Espeto Tatuapé, Quintal do Espeto  V. Madalena, Quintal do Espeto Carinás, Quintal do Espeto Pavão, Quintal do Espeto Recargas/Bônus</t>
        </is>
      </c>
      <c r="F393" s="165" t="inlineStr">
        <is>
          <t>75661a64-5124-41c7-be6b-b0b57ae85f82</t>
        </is>
      </c>
      <c r="G393" s="166">
        <f>IF(E393="","Inativo",IF(SUMPRODUCT(--(ISNUMBER(SEARCH({"Lapa","Santana","Mariana","Perdizes","André","Tatuapé","Madalena","Carinás","Pavão","Chac"},E393))))&gt;0,"Ativo","Inativo"))</f>
        <v/>
      </c>
    </row>
    <row r="394">
      <c r="A394" s="96" t="inlineStr">
        <is>
          <t>9003357</t>
        </is>
      </c>
      <c r="B394" s="97" t="inlineStr">
        <is>
          <t>FACA CIMO 660/8 INOX ANTI-BAC 8</t>
        </is>
      </c>
      <c r="C394" s="97" t="inlineStr">
        <is>
          <t>BOUTIQUE</t>
        </is>
      </c>
      <c r="D394" s="98" t="inlineStr">
        <is>
          <t>Produto</t>
        </is>
      </c>
      <c r="E394" s="164" t="inlineStr">
        <is>
          <t>Quintal do Espeto Lapa , Quintal do Espeto Santana, Quintal do Espeto  V. Mariana, Quintal do Espeto Perdizes, Quintal do Espeto Tatuapé, Quintal do Espeto  V. Madalena, Quintal do Espeto Carinás, Quintal do Espeto Pavão, Quintal do Espeto Recargas/Bônus</t>
        </is>
      </c>
      <c r="F394" s="165" t="inlineStr">
        <is>
          <t>b20aa0c5-8e73-417d-822b-bf5cd870a32b</t>
        </is>
      </c>
      <c r="G394" s="166">
        <f>IF(E394="","Inativo",IF(SUMPRODUCT(--(ISNUMBER(SEARCH({"Lapa","Santana","Mariana","Perdizes","André","Tatuapé","Madalena","Carinás","Pavão","Chac"},E394))))&gt;0,"Ativo","Inativo"))</f>
        <v/>
      </c>
    </row>
    <row r="395">
      <c r="A395" s="96" t="inlineStr">
        <is>
          <t>9003358</t>
        </is>
      </c>
      <c r="B395" s="97" t="inlineStr">
        <is>
          <t>CANIVETE  CIMO 14/3INOX CB C/CLIP</t>
        </is>
      </c>
      <c r="C395" s="97" t="inlineStr">
        <is>
          <t>BOUTIQUE</t>
        </is>
      </c>
      <c r="D395" s="98" t="inlineStr">
        <is>
          <t>Produto</t>
        </is>
      </c>
      <c r="E395" s="164" t="inlineStr">
        <is>
          <t>Quintal do Espeto Lapa , Quintal do Espeto Santana, Quintal do Espeto  V. Mariana, Quintal do Espeto Perdizes, Quintal do Espeto Tatuapé, Quintal do Espeto  V. Madalena, Quintal do Espeto Carinás, Quintal do Espeto Pavão, Quintal do Espeto Recargas/Bônus</t>
        </is>
      </c>
      <c r="F395" s="165" t="inlineStr">
        <is>
          <t>cae9c5c5-4437-434c-82bf-a4d86df5f9a6</t>
        </is>
      </c>
      <c r="G395" s="166">
        <f>IF(E395="","Inativo",IF(SUMPRODUCT(--(ISNUMBER(SEARCH({"Lapa","Santana","Mariana","Perdizes","André","Tatuapé","Madalena","Carinás","Pavão","Chac"},E395))))&gt;0,"Ativo","Inativo"))</f>
        <v/>
      </c>
    </row>
    <row r="396">
      <c r="A396" s="96" t="inlineStr">
        <is>
          <t>9003563</t>
        </is>
      </c>
      <c r="B396" s="97" t="inlineStr">
        <is>
          <t>CANIVETE CIMO 143 INOX C/ CLIP</t>
        </is>
      </c>
      <c r="C396" s="97" t="inlineStr">
        <is>
          <t>BOUTIQUE</t>
        </is>
      </c>
      <c r="D396" s="98" t="inlineStr">
        <is>
          <t>Produto</t>
        </is>
      </c>
      <c r="E396" s="164" t="inlineStr">
        <is>
          <t>Quintal do Espeto Lapa , Quintal do Espeto Santana, Quintal do Espeto Perdizes, Quintal do Espeto Tatuapé, Quintal do Espeto  V. Madalena, Quintal do Espeto Carinás, Quintal do Espeto Pavão, Quintal do Espeto Recargas/Bônus</t>
        </is>
      </c>
      <c r="F396" s="165" t="inlineStr">
        <is>
          <t>1a63e2e1-bdbb-4a61-b135-06c0b3427a12</t>
        </is>
      </c>
      <c r="G396" s="166">
        <f>IF(E396="","Inativo",IF(SUMPRODUCT(--(ISNUMBER(SEARCH({"Lapa","Santana","Mariana","Perdizes","André","Tatuapé","Madalena","Carinás","Pavão","Chac"},E396))))&gt;0,"Ativo","Inativo"))</f>
        <v/>
      </c>
    </row>
    <row r="397">
      <c r="A397" s="96" t="inlineStr">
        <is>
          <t>9003565</t>
        </is>
      </c>
      <c r="B397" s="97" t="inlineStr">
        <is>
          <t>TULIPA QUINTAL DO ESPETO</t>
        </is>
      </c>
      <c r="C397" s="97" t="inlineStr">
        <is>
          <t>BOUTIQUE</t>
        </is>
      </c>
      <c r="D397" s="98" t="inlineStr">
        <is>
          <t>Produto</t>
        </is>
      </c>
      <c r="E39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397" s="165" t="inlineStr">
        <is>
          <t>d4bb98c1-9b8f-4a4e-b369-66c0daefe9bb</t>
        </is>
      </c>
      <c r="G397" s="166">
        <f>IF(E397="","Inativo",IF(SUMPRODUCT(--(ISNUMBER(SEARCH({"Lapa","Santana","Mariana","Perdizes","André","Tatuapé","Madalena","Carinás","Pavão","Chac"},E397))))&gt;0,"Ativo","Inativo"))</f>
        <v/>
      </c>
    </row>
    <row r="398">
      <c r="A398" s="96" t="inlineStr">
        <is>
          <t>9003566</t>
        </is>
      </c>
      <c r="B398" s="97" t="inlineStr">
        <is>
          <t>CHURRASQUEIRA PARA FOGAO</t>
        </is>
      </c>
      <c r="C398" s="97" t="inlineStr">
        <is>
          <t>BOUTIQUE</t>
        </is>
      </c>
      <c r="D398" s="98" t="inlineStr">
        <is>
          <t>Produto</t>
        </is>
      </c>
      <c r="E398" s="164" t="inlineStr">
        <is>
          <t>Quintal do Espeto Lapa , Quintal do Espeto Santana, Quintal do Espeto  V. Mariana, Quintal do Espeto Perdizes, Quintal do Espeto Tatuapé, Quintal do Espeto  V. Madalena, Quintal do Espeto Carinás, Quintal do Espeto Pavão, Quintal do Espeto Recargas/Bônus</t>
        </is>
      </c>
      <c r="F398" s="165" t="inlineStr">
        <is>
          <t>f760d81f-349d-4b4a-8a6e-4f50fa0c6df5</t>
        </is>
      </c>
      <c r="G398" s="166">
        <f>IF(E398="","Inativo",IF(SUMPRODUCT(--(ISNUMBER(SEARCH({"Lapa","Santana","Mariana","Perdizes","André","Tatuapé","Madalena","Carinás","Pavão","Chac"},E398))))&gt;0,"Ativo","Inativo"))</f>
        <v/>
      </c>
    </row>
    <row r="399">
      <c r="A399" s="96" t="inlineStr">
        <is>
          <t>9003567</t>
        </is>
      </c>
      <c r="B399" s="97" t="inlineStr">
        <is>
          <t>FACA CIMO 660/6 INOX ANTI-BAC 6</t>
        </is>
      </c>
      <c r="C399" s="97" t="inlineStr">
        <is>
          <t>BOUTIQUE</t>
        </is>
      </c>
      <c r="D399" s="98" t="inlineStr">
        <is>
          <t>Produto</t>
        </is>
      </c>
      <c r="E399" s="164" t="inlineStr">
        <is>
          <t>Quintal do Espeto Lapa , Quintal do Espeto Santana, Quintal do Espeto  V. Mariana, Quintal do Espeto Perdizes, Quintal do Espeto Tatuapé, Quintal do Espeto  V. Madalena, Quintal do Espeto Carinás, Quintal do Espeto Pavão, Quintal do Espeto Recargas/Bônus</t>
        </is>
      </c>
      <c r="F399" s="165" t="inlineStr">
        <is>
          <t>37c0c9cc-8b07-4af4-b929-b820882bbadc</t>
        </is>
      </c>
      <c r="G399" s="166">
        <f>IF(E399="","Inativo",IF(SUMPRODUCT(--(ISNUMBER(SEARCH({"Lapa","Santana","Mariana","Perdizes","André","Tatuapé","Madalena","Carinás","Pavão","Chac"},E399))))&gt;0,"Ativo","Inativo"))</f>
        <v/>
      </c>
    </row>
    <row r="400">
      <c r="A400" s="96" t="inlineStr">
        <is>
          <t>9003582</t>
        </is>
      </c>
      <c r="B400" s="97" t="inlineStr">
        <is>
          <t>GARRA LOBO-GUARA</t>
        </is>
      </c>
      <c r="C400" s="97" t="inlineStr">
        <is>
          <t>BOUTIQUE</t>
        </is>
      </c>
      <c r="D400" s="98" t="inlineStr">
        <is>
          <t>Produto</t>
        </is>
      </c>
      <c r="E400" s="164" t="inlineStr">
        <is>
          <t>Quintal do Espeto Lapa , Quintal do Espeto Santana, Quintal do Espeto Perdizes, Quintal do Espeto Tatuapé, Quintal do Espeto  V. Madalena, Quintal do Espeto Carinás, Quintal do Espeto Pavão, Quintal do Espeto Recargas/Bônus</t>
        </is>
      </c>
      <c r="F400" s="165" t="inlineStr">
        <is>
          <t>79e1f0cf-f761-4807-8906-8531bab30c15</t>
        </is>
      </c>
      <c r="G400" s="166">
        <f>IF(E400="","Inativo",IF(SUMPRODUCT(--(ISNUMBER(SEARCH({"Lapa","Santana","Mariana","Perdizes","André","Tatuapé","Madalena","Carinás","Pavão","Chac"},E400))))&gt;0,"Ativo","Inativo"))</f>
        <v/>
      </c>
    </row>
    <row r="401">
      <c r="A401" s="96" t="inlineStr">
        <is>
          <t>9003586</t>
        </is>
      </c>
      <c r="B401" s="97" t="inlineStr">
        <is>
          <t>CUTELO</t>
        </is>
      </c>
      <c r="C401" s="97" t="inlineStr">
        <is>
          <t>BOUTIQUE</t>
        </is>
      </c>
      <c r="D401" s="98" t="inlineStr">
        <is>
          <t>Produto</t>
        </is>
      </c>
      <c r="E401" s="164" t="inlineStr">
        <is>
          <t>Quintal do Espeto Santana, Quintal do Espeto Tatuapé, Quintal do Espeto Carinás, Quintal do Espeto Recargas/Bônus</t>
        </is>
      </c>
      <c r="F401" s="165" t="inlineStr">
        <is>
          <t>744ae854-da4b-469b-879d-7a1068e3e140</t>
        </is>
      </c>
      <c r="G401" s="166">
        <f>IF(E401="","Inativo",IF(SUMPRODUCT(--(ISNUMBER(SEARCH({"Lapa","Santana","Mariana","Perdizes","André","Tatuapé","Madalena","Carinás","Pavão","Chac"},E401))))&gt;0,"Ativo","Inativo"))</f>
        <v/>
      </c>
    </row>
    <row r="402">
      <c r="A402" s="96" t="inlineStr">
        <is>
          <t>70002</t>
        </is>
      </c>
      <c r="B402" s="97" t="inlineStr">
        <is>
          <t>SUCO LARANJA</t>
        </is>
      </c>
      <c r="C402" s="97" t="inlineStr">
        <is>
          <t>SUCOS</t>
        </is>
      </c>
      <c r="D402" s="98" t="inlineStr">
        <is>
          <t>Produto</t>
        </is>
      </c>
      <c r="E40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2" s="165" t="inlineStr">
        <is>
          <t>13a256ec-5b49-4ddb-8785-a668c2c9d765</t>
        </is>
      </c>
      <c r="G402" s="166">
        <f>IF(E402="","Inativo",IF(SUMPRODUCT(--(ISNUMBER(SEARCH({"Lapa","Santana","Mariana","Perdizes","André","Tatuapé","Madalena","Carinás","Pavão","Chac"},E402))))&gt;0,"Ativo","Inativo"))</f>
        <v/>
      </c>
    </row>
    <row r="403">
      <c r="A403" s="96" t="inlineStr">
        <is>
          <t>70003</t>
        </is>
      </c>
      <c r="B403" s="97" t="inlineStr">
        <is>
          <t>SUCO ABACAXI</t>
        </is>
      </c>
      <c r="C403" s="97" t="inlineStr">
        <is>
          <t>SUCOS</t>
        </is>
      </c>
      <c r="D403" s="98" t="inlineStr">
        <is>
          <t>Produto</t>
        </is>
      </c>
      <c r="E40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3" s="165" t="inlineStr">
        <is>
          <t>07da004d-333f-4854-b951-0463c94a2264</t>
        </is>
      </c>
      <c r="G403" s="166">
        <f>IF(E403="","Inativo",IF(SUMPRODUCT(--(ISNUMBER(SEARCH({"Lapa","Santana","Mariana","Perdizes","André","Tatuapé","Madalena","Carinás","Pavão","Chac"},E403))))&gt;0,"Ativo","Inativo"))</f>
        <v/>
      </c>
    </row>
    <row r="404">
      <c r="A404" s="96" t="inlineStr">
        <is>
          <t>70005</t>
        </is>
      </c>
      <c r="B404" s="97" t="inlineStr">
        <is>
          <t>SUCO LIMAO</t>
        </is>
      </c>
      <c r="C404" s="97" t="inlineStr">
        <is>
          <t>SUCOS</t>
        </is>
      </c>
      <c r="D404" s="98" t="inlineStr">
        <is>
          <t>Produto</t>
        </is>
      </c>
      <c r="E40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4" s="165" t="inlineStr">
        <is>
          <t>90ae8df7-51f1-4cbf-92f4-85eeb005a9f1</t>
        </is>
      </c>
      <c r="G404" s="166">
        <f>IF(E404="","Inativo",IF(SUMPRODUCT(--(ISNUMBER(SEARCH({"Lapa","Santana","Mariana","Perdizes","André","Tatuapé","Madalena","Carinás","Pavão","Chac"},E404))))&gt;0,"Ativo","Inativo"))</f>
        <v/>
      </c>
    </row>
    <row r="405">
      <c r="A405" s="96" t="inlineStr">
        <is>
          <t>70013</t>
        </is>
      </c>
      <c r="B405" s="97" t="inlineStr">
        <is>
          <t>SUCO MARACUJA</t>
        </is>
      </c>
      <c r="C405" s="97" t="inlineStr">
        <is>
          <t>SUCOS</t>
        </is>
      </c>
      <c r="D405" s="98" t="inlineStr">
        <is>
          <t>Produto</t>
        </is>
      </c>
      <c r="E40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5" s="165" t="inlineStr">
        <is>
          <t>fd54eb0b-e4a7-4e37-9946-19bb59fc3123</t>
        </is>
      </c>
      <c r="G405" s="166">
        <f>IF(E405="","Inativo",IF(SUMPRODUCT(--(ISNUMBER(SEARCH({"Lapa","Santana","Mariana","Perdizes","André","Tatuapé","Madalena","Carinás","Pavão","Chac"},E405))))&gt;0,"Ativo","Inativo"))</f>
        <v/>
      </c>
    </row>
    <row r="406">
      <c r="A406" s="96" t="inlineStr">
        <is>
          <t>70014</t>
        </is>
      </c>
      <c r="B406" s="97" t="inlineStr">
        <is>
          <t>SUCO MORANGO</t>
        </is>
      </c>
      <c r="C406" s="97" t="inlineStr">
        <is>
          <t>SUCOS</t>
        </is>
      </c>
      <c r="D406" s="98" t="inlineStr">
        <is>
          <t>Produto</t>
        </is>
      </c>
      <c r="E40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6" s="165" t="inlineStr">
        <is>
          <t>b2de3852-4344-4c28-8a85-4373d5a035bb</t>
        </is>
      </c>
      <c r="G406" s="166">
        <f>IF(E406="","Inativo",IF(SUMPRODUCT(--(ISNUMBER(SEARCH({"Lapa","Santana","Mariana","Perdizes","André","Tatuapé","Madalena","Carinás","Pavão","Chac"},E406))))&gt;0,"Ativo","Inativo"))</f>
        <v/>
      </c>
    </row>
    <row r="407">
      <c r="A407" s="96" t="inlineStr">
        <is>
          <t>70018</t>
        </is>
      </c>
      <c r="B407" s="97" t="inlineStr">
        <is>
          <t>SUCO ABACAXI C/ HORTELA</t>
        </is>
      </c>
      <c r="C407" s="97" t="inlineStr">
        <is>
          <t>SUCOS</t>
        </is>
      </c>
      <c r="D407" s="98" t="inlineStr">
        <is>
          <t>Produto</t>
        </is>
      </c>
      <c r="E40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07" s="165" t="inlineStr">
        <is>
          <t>cf01c4f9-a0b7-4e7b-a38e-93f88e520a37</t>
        </is>
      </c>
      <c r="G407" s="166">
        <f>IF(E407="","Inativo",IF(SUMPRODUCT(--(ISNUMBER(SEARCH({"Lapa","Santana","Mariana","Perdizes","André","Tatuapé","Madalena","Carinás","Pavão","Chac"},E407))))&gt;0,"Ativo","Inativo"))</f>
        <v/>
      </c>
    </row>
    <row r="408">
      <c r="A408" s="96" t="inlineStr">
        <is>
          <t>78989056877273</t>
        </is>
      </c>
      <c r="B408" s="97" t="inlineStr">
        <is>
          <t>Jarra Suco Laranja</t>
        </is>
      </c>
      <c r="C408" s="97" t="inlineStr">
        <is>
          <t>SUCOS</t>
        </is>
      </c>
      <c r="D408" s="98" t="inlineStr">
        <is>
          <t>Produto</t>
        </is>
      </c>
      <c r="E40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08" s="165" t="inlineStr">
        <is>
          <t>6d925a57-51a4-4e24-b010-a0ce165674c8</t>
        </is>
      </c>
      <c r="G408" s="166">
        <f>IF(E408="","Inativo",IF(SUMPRODUCT(--(ISNUMBER(SEARCH({"Lapa","Santana","Mariana","Perdizes","André","Tatuapé","Madalena","Carinás","Pavão","Chac"},E408))))&gt;0,"Ativo","Inativo"))</f>
        <v/>
      </c>
    </row>
    <row r="409">
      <c r="A409" s="96" t="inlineStr">
        <is>
          <t>78989056877274</t>
        </is>
      </c>
      <c r="B409" s="97" t="inlineStr">
        <is>
          <t>Jarra Suco Abacaxi</t>
        </is>
      </c>
      <c r="C409" s="97" t="inlineStr">
        <is>
          <t>SUCOS</t>
        </is>
      </c>
      <c r="D409" s="98" t="inlineStr">
        <is>
          <t>Produto</t>
        </is>
      </c>
      <c r="E40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09" s="165" t="inlineStr">
        <is>
          <t>8952af5e-fe6d-41e8-a676-9dc007453c11</t>
        </is>
      </c>
      <c r="G409" s="166">
        <f>IF(E409="","Inativo",IF(SUMPRODUCT(--(ISNUMBER(SEARCH({"Lapa","Santana","Mariana","Perdizes","André","Tatuapé","Madalena","Carinás","Pavão","Chac"},E409))))&gt;0,"Ativo","Inativo"))</f>
        <v/>
      </c>
    </row>
    <row r="410">
      <c r="A410" s="96" t="inlineStr">
        <is>
          <t>78989056877275</t>
        </is>
      </c>
      <c r="B410" s="97" t="inlineStr">
        <is>
          <t>Jarra Suco Limão</t>
        </is>
      </c>
      <c r="C410" s="97" t="inlineStr">
        <is>
          <t>SUCOS</t>
        </is>
      </c>
      <c r="D410" s="98" t="inlineStr">
        <is>
          <t>Produto</t>
        </is>
      </c>
      <c r="E41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10" s="165" t="inlineStr">
        <is>
          <t>af5de563-a3a3-44d7-9794-be4d5c6ab447</t>
        </is>
      </c>
      <c r="G410" s="166">
        <f>IF(E410="","Inativo",IF(SUMPRODUCT(--(ISNUMBER(SEARCH({"Lapa","Santana","Mariana","Perdizes","André","Tatuapé","Madalena","Carinás","Pavão","Chac"},E410))))&gt;0,"Ativo","Inativo"))</f>
        <v/>
      </c>
    </row>
    <row r="411">
      <c r="A411" s="96" t="inlineStr">
        <is>
          <t>78989056877276</t>
        </is>
      </c>
      <c r="B411" s="97" t="inlineStr">
        <is>
          <t>Jarra Suco Maracujá</t>
        </is>
      </c>
      <c r="C411" s="97" t="inlineStr">
        <is>
          <t>SUCOS</t>
        </is>
      </c>
      <c r="D411" s="98" t="inlineStr">
        <is>
          <t>Produto</t>
        </is>
      </c>
      <c r="E41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11" s="165" t="inlineStr">
        <is>
          <t>5085126b-3446-4e5d-9a8d-593890a89ca8</t>
        </is>
      </c>
      <c r="G411" s="166">
        <f>IF(E411="","Inativo",IF(SUMPRODUCT(--(ISNUMBER(SEARCH({"Lapa","Santana","Mariana","Perdizes","André","Tatuapé","Madalena","Carinás","Pavão","Chac"},E411))))&gt;0,"Ativo","Inativo"))</f>
        <v/>
      </c>
    </row>
    <row r="412">
      <c r="A412" s="96" t="inlineStr">
        <is>
          <t>78989056877277</t>
        </is>
      </c>
      <c r="B412" s="97" t="inlineStr">
        <is>
          <t>Jarra Suco Morango</t>
        </is>
      </c>
      <c r="C412" s="97" t="inlineStr">
        <is>
          <t>SUCOS</t>
        </is>
      </c>
      <c r="D412" s="98" t="inlineStr">
        <is>
          <t>Produto</t>
        </is>
      </c>
      <c r="E41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12" s="165" t="inlineStr">
        <is>
          <t>c1593b2d-57df-4607-af5e-95053d617488</t>
        </is>
      </c>
      <c r="G412" s="166">
        <f>IF(E412="","Inativo",IF(SUMPRODUCT(--(ISNUMBER(SEARCH({"Lapa","Santana","Mariana","Perdizes","André","Tatuapé","Madalena","Carinás","Pavão","Chac"},E412))))&gt;0,"Ativo","Inativo"))</f>
        <v/>
      </c>
    </row>
    <row r="413">
      <c r="A413" s="96" t="inlineStr">
        <is>
          <t>78989056877278</t>
        </is>
      </c>
      <c r="B413" s="97" t="inlineStr">
        <is>
          <t>Jarra Suco Abacaxi c Hortelã</t>
        </is>
      </c>
      <c r="C413" s="97" t="inlineStr">
        <is>
          <t>SUCOS</t>
        </is>
      </c>
      <c r="D413" s="98" t="inlineStr">
        <is>
          <t>Produto</t>
        </is>
      </c>
      <c r="E41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13" s="165" t="inlineStr">
        <is>
          <t>dba6d9aa-e429-41e2-95b9-c4debdbab295</t>
        </is>
      </c>
      <c r="G413" s="166">
        <f>IF(E413="","Inativo",IF(SUMPRODUCT(--(ISNUMBER(SEARCH({"Lapa","Santana","Mariana","Perdizes","André","Tatuapé","Madalena","Carinás","Pavão","Chac"},E413))))&gt;0,"Ativo","Inativo"))</f>
        <v/>
      </c>
    </row>
    <row r="414">
      <c r="A414" s="96" t="inlineStr">
        <is>
          <t>78989056877328</t>
        </is>
      </c>
      <c r="B414" s="97" t="inlineStr">
        <is>
          <t>BATATA SMILES</t>
        </is>
      </c>
      <c r="C414" s="97" t="inlineStr">
        <is>
          <t>PORÇÕES</t>
        </is>
      </c>
      <c r="D414" s="98" t="inlineStr">
        <is>
          <t>Produto</t>
        </is>
      </c>
      <c r="E414" s="164" t="inlineStr">
        <is>
          <t>Delivery Lapa, Delivery Carinás, Delivery Vila Madalena, Delivery Tatuapé, Delivery Chac. Sto Antonio, Delivery Santo André, Delivery Pavão, Delivery V. Mariana, Delivery Perdizes, Delivery Santana</t>
        </is>
      </c>
      <c r="F414" s="165" t="inlineStr">
        <is>
          <t>a63cfbe7-055b-4756-878d-b6de7d405262</t>
        </is>
      </c>
      <c r="G414" s="166">
        <f>IF(E414="","Inativo",IF(SUMPRODUCT(--(ISNUMBER(SEARCH({"Lapa","Santana","Mariana","Perdizes","André","Tatuapé","Madalena","Carinás","Pavão","Chac"},E414))))&gt;0,"Ativo","Inativo"))</f>
        <v/>
      </c>
    </row>
    <row r="415">
      <c r="A415" s="96" t="inlineStr">
        <is>
          <t>7898905687805</t>
        </is>
      </c>
      <c r="B415" s="97" t="inlineStr">
        <is>
          <t>BATATA RUSTICA</t>
        </is>
      </c>
      <c r="C415" s="97" t="inlineStr">
        <is>
          <t>PORÇÕES</t>
        </is>
      </c>
      <c r="D415" s="98" t="inlineStr">
        <is>
          <t>Produto</t>
        </is>
      </c>
      <c r="E415" s="164" t="inlineStr">
        <is>
          <t>Quintal do Espeto Tatuapé</t>
        </is>
      </c>
      <c r="F415" s="165" t="inlineStr">
        <is>
          <t>364bd6b7-f64f-4807-9060-472abe658e3f</t>
        </is>
      </c>
      <c r="G415" s="166">
        <f>IF(E415="","Inativo",IF(SUMPRODUCT(--(ISNUMBER(SEARCH({"Lapa","Santana","Mariana","Perdizes","André","Tatuapé","Madalena","Carinás","Pavão","Chac"},E415))))&gt;0,"Ativo","Inativo"))</f>
        <v/>
      </c>
    </row>
    <row r="416">
      <c r="A416" s="96" t="inlineStr">
        <is>
          <t>9003551</t>
        </is>
      </c>
      <c r="B416" s="97" t="inlineStr">
        <is>
          <t>FRUTAS PORÇÂO</t>
        </is>
      </c>
      <c r="C416" s="97" t="inlineStr">
        <is>
          <t>PORÇÕES</t>
        </is>
      </c>
      <c r="D416" s="98" t="inlineStr">
        <is>
          <t>Produto</t>
        </is>
      </c>
      <c r="E41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16" s="165" t="inlineStr">
        <is>
          <t>8225c599-cb38-48ad-83a0-c27a89fc5458</t>
        </is>
      </c>
      <c r="G416" s="166">
        <f>IF(E416="","Inativo",IF(SUMPRODUCT(--(ISNUMBER(SEARCH({"Lapa","Santana","Mariana","Perdizes","André","Tatuapé","Madalena","Carinás","Pavão","Chac"},E416))))&gt;0,"Ativo","Inativo"))</f>
        <v/>
      </c>
    </row>
    <row r="417">
      <c r="A417" s="96" t="inlineStr">
        <is>
          <t>29690</t>
        </is>
      </c>
      <c r="B417" s="97" t="inlineStr">
        <is>
          <t>CAIPIRINHA CACHACA NACIONAL</t>
        </is>
      </c>
      <c r="C417" s="97" t="inlineStr">
        <is>
          <t>A CAIPIRINHA</t>
        </is>
      </c>
      <c r="D417" s="98" t="inlineStr">
        <is>
          <t>Produto</t>
        </is>
      </c>
      <c r="E41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17" s="165" t="inlineStr">
        <is>
          <t>43557dcd-c029-4f9c-bdb6-b9208496464d</t>
        </is>
      </c>
      <c r="G417" s="166">
        <f>IF(E417="","Inativo",IF(SUMPRODUCT(--(ISNUMBER(SEARCH({"Lapa","Santana","Mariana","Perdizes","André","Tatuapé","Madalena","Carinás","Pavão","Chac"},E417))))&gt;0,"Ativo","Inativo"))</f>
        <v/>
      </c>
    </row>
    <row r="418">
      <c r="A418" s="96" t="inlineStr">
        <is>
          <t>39636</t>
        </is>
      </c>
      <c r="B418" s="97" t="inlineStr">
        <is>
          <t>CAIPIRINHA VODKA NACIONAL</t>
        </is>
      </c>
      <c r="C418" s="97" t="inlineStr">
        <is>
          <t>A CAIPIRINHA</t>
        </is>
      </c>
      <c r="D418" s="98" t="inlineStr">
        <is>
          <t>Produto</t>
        </is>
      </c>
      <c r="E41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18" s="165" t="inlineStr">
        <is>
          <t>a14721d1-467a-49d7-b64d-93f29223844f</t>
        </is>
      </c>
      <c r="G418" s="166">
        <f>IF(E418="","Inativo",IF(SUMPRODUCT(--(ISNUMBER(SEARCH({"Lapa","Santana","Mariana","Perdizes","André","Tatuapé","Madalena","Carinás","Pavão","Chac"},E418))))&gt;0,"Ativo","Inativo"))</f>
        <v/>
      </c>
    </row>
    <row r="419">
      <c r="A419" s="96" t="inlineStr">
        <is>
          <t>69657</t>
        </is>
      </c>
      <c r="B419" s="97" t="inlineStr">
        <is>
          <t>CAIPIRINHA SAO FRANCISCO</t>
        </is>
      </c>
      <c r="C419" s="97" t="inlineStr">
        <is>
          <t>A CAIPIRINHA</t>
        </is>
      </c>
      <c r="D419" s="98" t="inlineStr">
        <is>
          <t>Produto</t>
        </is>
      </c>
      <c r="E41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19" s="165" t="inlineStr">
        <is>
          <t>f47fe726-0eda-4872-8d75-3028ae5f2b0c</t>
        </is>
      </c>
      <c r="G419" s="166">
        <f>IF(E419="","Inativo",IF(SUMPRODUCT(--(ISNUMBER(SEARCH({"Lapa","Santana","Mariana","Perdizes","André","Tatuapé","Madalena","Carinás","Pavão","Chac"},E419))))&gt;0,"Ativo","Inativo"))</f>
        <v/>
      </c>
    </row>
    <row r="420">
      <c r="A420" s="96" t="inlineStr">
        <is>
          <t>78989056877238</t>
        </is>
      </c>
      <c r="B420" s="97" t="inlineStr">
        <is>
          <t>Caipirinha Maracuja, gengibre</t>
        </is>
      </c>
      <c r="C420" s="97" t="inlineStr">
        <is>
          <t>A CAIPIRINHA</t>
        </is>
      </c>
      <c r="D420" s="98" t="inlineStr">
        <is>
          <t>Produto</t>
        </is>
      </c>
      <c r="E42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20" s="165" t="inlineStr">
        <is>
          <t>7cbc0982-3ac0-4193-8c8f-92fe2daae47e</t>
        </is>
      </c>
      <c r="G420" s="166">
        <f>IF(E420="","Inativo",IF(SUMPRODUCT(--(ISNUMBER(SEARCH({"Lapa","Santana","Mariana","Perdizes","André","Tatuapé","Madalena","Carinás","Pavão","Chac"},E420))))&gt;0,"Ativo","Inativo"))</f>
        <v/>
      </c>
    </row>
    <row r="421">
      <c r="A421" s="96" t="inlineStr">
        <is>
          <t>78989056877239</t>
        </is>
      </c>
      <c r="B421" s="97" t="inlineStr">
        <is>
          <t>Caipirinha Abacaxi, hortela</t>
        </is>
      </c>
      <c r="C421" s="97" t="inlineStr">
        <is>
          <t>A CAIPIRINHA</t>
        </is>
      </c>
      <c r="D421" s="98" t="inlineStr">
        <is>
          <t>Produto</t>
        </is>
      </c>
      <c r="E42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21" s="165" t="inlineStr">
        <is>
          <t>dd5225ac-16e5-4286-a035-a8cc08eefd0a</t>
        </is>
      </c>
      <c r="G421" s="166">
        <f>IF(E421="","Inativo",IF(SUMPRODUCT(--(ISNUMBER(SEARCH({"Lapa","Santana","Mariana","Perdizes","André","Tatuapé","Madalena","Carinás","Pavão","Chac"},E421))))&gt;0,"Ativo","Inativo"))</f>
        <v/>
      </c>
    </row>
    <row r="422">
      <c r="A422" s="96" t="inlineStr">
        <is>
          <t>78989056877240</t>
        </is>
      </c>
      <c r="B422" s="97" t="inlineStr">
        <is>
          <t>Caipirinha Morango, Lichia</t>
        </is>
      </c>
      <c r="C422" s="97" t="inlineStr">
        <is>
          <t>A CAIPIRINHA</t>
        </is>
      </c>
      <c r="D422" s="98" t="inlineStr">
        <is>
          <t>Produto</t>
        </is>
      </c>
      <c r="E42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22" s="165" t="inlineStr">
        <is>
          <t>cd281dbc-1b4b-4f1c-a80f-468d8b2b5679</t>
        </is>
      </c>
      <c r="G422" s="166">
        <f>IF(E422="","Inativo",IF(SUMPRODUCT(--(ISNUMBER(SEARCH({"Lapa","Santana","Mariana","Perdizes","André","Tatuapé","Madalena","Carinás","Pavão","Chac"},E422))))&gt;0,"Ativo","Inativo"))</f>
        <v/>
      </c>
    </row>
    <row r="423">
      <c r="A423" s="96" t="inlineStr">
        <is>
          <t>78989056877241</t>
        </is>
      </c>
      <c r="B423" s="97" t="inlineStr">
        <is>
          <t>Caipirinha Kiwi, maça verde</t>
        </is>
      </c>
      <c r="C423" s="97" t="inlineStr">
        <is>
          <t>A CAIPIRINHA</t>
        </is>
      </c>
      <c r="D423" s="98" t="inlineStr">
        <is>
          <t>Produto</t>
        </is>
      </c>
      <c r="E42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23" s="165" t="inlineStr">
        <is>
          <t>d06b27da-e1ec-471c-bee2-63ca554939a6</t>
        </is>
      </c>
      <c r="G423" s="166">
        <f>IF(E423="","Inativo",IF(SUMPRODUCT(--(ISNUMBER(SEARCH({"Lapa","Santana","Mariana","Perdizes","André","Tatuapé","Madalena","Carinás","Pavão","Chac"},E423))))&gt;0,"Ativo","Inativo"))</f>
        <v/>
      </c>
    </row>
    <row r="424">
      <c r="A424" s="96" t="inlineStr">
        <is>
          <t>90018</t>
        </is>
      </c>
      <c r="B424" s="97" t="inlineStr">
        <is>
          <t>CAIPIRINHA SAKE</t>
        </is>
      </c>
      <c r="C424" s="97" t="inlineStr">
        <is>
          <t>A CAIPIRINHA</t>
        </is>
      </c>
      <c r="D424" s="98" t="inlineStr">
        <is>
          <t>Produto</t>
        </is>
      </c>
      <c r="E42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4" s="165" t="inlineStr">
        <is>
          <t>966a31ef-3d7b-4289-b916-cde142539665</t>
        </is>
      </c>
      <c r="G424" s="166">
        <f>IF(E424="","Inativo",IF(SUMPRODUCT(--(ISNUMBER(SEARCH({"Lapa","Santana","Mariana","Perdizes","André","Tatuapé","Madalena","Carinás","Pavão","Chac"},E424))))&gt;0,"Ativo","Inativo"))</f>
        <v/>
      </c>
    </row>
    <row r="425">
      <c r="A425" s="96" t="inlineStr">
        <is>
          <t>9003142</t>
        </is>
      </c>
      <c r="B425" s="97" t="inlineStr">
        <is>
          <t>CAIPIRINHA SABOR DE MINAS</t>
        </is>
      </c>
      <c r="C425" s="97" t="inlineStr">
        <is>
          <t>A CAIPIRINHA</t>
        </is>
      </c>
      <c r="D425" s="98" t="inlineStr">
        <is>
          <t>Produto</t>
        </is>
      </c>
      <c r="E425" s="164" t="inlineStr">
        <is>
          <t>Quintal do Espeto Carinás, Quintal do Espeto Recargas/Bônus</t>
        </is>
      </c>
      <c r="F425" s="165" t="inlineStr">
        <is>
          <t>5aa2299b-5f8b-4bb6-bdd8-9551fa5bb96a</t>
        </is>
      </c>
      <c r="G425" s="166">
        <f>IF(E425="","Inativo",IF(SUMPRODUCT(--(ISNUMBER(SEARCH({"Lapa","Santana","Mariana","Perdizes","André","Tatuapé","Madalena","Carinás","Pavão","Chac"},E425))))&gt;0,"Ativo","Inativo"))</f>
        <v/>
      </c>
    </row>
    <row r="426">
      <c r="A426" s="96" t="inlineStr">
        <is>
          <t>9003167</t>
        </is>
      </c>
      <c r="B426" s="97" t="inlineStr">
        <is>
          <t>CAIPIRINHA DO QUINTAL  PRATA</t>
        </is>
      </c>
      <c r="C426" s="97" t="inlineStr">
        <is>
          <t>A CAIPIRINHA</t>
        </is>
      </c>
      <c r="D426" s="98" t="inlineStr">
        <is>
          <t>Produto</t>
        </is>
      </c>
      <c r="E42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6" s="165" t="inlineStr">
        <is>
          <t>2b768b01-cc0c-4495-80bf-8cad1825f13b</t>
        </is>
      </c>
      <c r="G426" s="166">
        <f>IF(E426="","Inativo",IF(SUMPRODUCT(--(ISNUMBER(SEARCH({"Lapa","Santana","Mariana","Perdizes","André","Tatuapé","Madalena","Carinás","Pavão","Chac"},E426))))&gt;0,"Ativo","Inativo"))</f>
        <v/>
      </c>
    </row>
    <row r="427">
      <c r="A427" s="96" t="inlineStr">
        <is>
          <t>9003168</t>
        </is>
      </c>
      <c r="B427" s="97" t="inlineStr">
        <is>
          <t>CAIPIRINHA DO QUINTAL  OURO</t>
        </is>
      </c>
      <c r="C427" s="97" t="inlineStr">
        <is>
          <t>A CAIPIRINHA</t>
        </is>
      </c>
      <c r="D427" s="98" t="inlineStr">
        <is>
          <t>Produto</t>
        </is>
      </c>
      <c r="E42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7" s="165" t="inlineStr">
        <is>
          <t>df020c08-682c-4c60-9bfc-5f0b532a6e4e</t>
        </is>
      </c>
      <c r="G427" s="166">
        <f>IF(E427="","Inativo",IF(SUMPRODUCT(--(ISNUMBER(SEARCH({"Lapa","Santana","Mariana","Perdizes","André","Tatuapé","Madalena","Carinás","Pavão","Chac"},E427))))&gt;0,"Ativo","Inativo"))</f>
        <v/>
      </c>
    </row>
    <row r="428">
      <c r="A428" s="96" t="inlineStr">
        <is>
          <t>9003169</t>
        </is>
      </c>
      <c r="B428" s="97" t="inlineStr">
        <is>
          <t>CAIPIRINHA DO QUINTAL MEL E LIMÃO</t>
        </is>
      </c>
      <c r="C428" s="97" t="inlineStr">
        <is>
          <t>A CAIPIRINHA</t>
        </is>
      </c>
      <c r="D428" s="98" t="inlineStr">
        <is>
          <t>Produto</t>
        </is>
      </c>
      <c r="E42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8" s="165" t="inlineStr">
        <is>
          <t>6ea5aef2-663f-4b41-90c6-86dea0149873</t>
        </is>
      </c>
      <c r="G428" s="166">
        <f>IF(E428="","Inativo",IF(SUMPRODUCT(--(ISNUMBER(SEARCH({"Lapa","Santana","Mariana","Perdizes","André","Tatuapé","Madalena","Carinás","Pavão","Chac"},E428))))&gt;0,"Ativo","Inativo"))</f>
        <v/>
      </c>
    </row>
    <row r="429">
      <c r="A429" s="96" t="inlineStr">
        <is>
          <t>90043</t>
        </is>
      </c>
      <c r="B429" s="97" t="inlineStr">
        <is>
          <t>CAIPIRINHA ABSOLUT</t>
        </is>
      </c>
      <c r="C429" s="97" t="inlineStr">
        <is>
          <t>A CAIPIRINHA</t>
        </is>
      </c>
      <c r="D429" s="98" t="inlineStr">
        <is>
          <t>Produto</t>
        </is>
      </c>
      <c r="E42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29" s="165" t="inlineStr">
        <is>
          <t>7851fa04-adba-4841-8a6e-fdebb48299ce</t>
        </is>
      </c>
      <c r="G429" s="166">
        <f>IF(E429="","Inativo",IF(SUMPRODUCT(--(ISNUMBER(SEARCH({"Lapa","Santana","Mariana","Perdizes","André","Tatuapé","Madalena","Carinás","Pavão","Chac"},E429))))&gt;0,"Ativo","Inativo"))</f>
        <v/>
      </c>
    </row>
    <row r="430">
      <c r="A430" s="96" t="inlineStr">
        <is>
          <t>789890568772122</t>
        </is>
      </c>
      <c r="B430" s="97" t="inlineStr">
        <is>
          <t>VINHO CHILENO VISTANA SEMILLON 375ML</t>
        </is>
      </c>
      <c r="C430" s="97" t="inlineStr">
        <is>
          <t>VINHO ROSE</t>
        </is>
      </c>
      <c r="D430" s="98" t="inlineStr">
        <is>
          <t>Produto</t>
        </is>
      </c>
      <c r="E43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30" s="165" t="inlineStr">
        <is>
          <t>bc07c5f7-5314-4a5f-8930-c11f6ff412c7</t>
        </is>
      </c>
      <c r="G430" s="166">
        <f>IF(E430="","Inativo",IF(SUMPRODUCT(--(ISNUMBER(SEARCH({"Lapa","Santana","Mariana","Perdizes","André","Tatuapé","Madalena","Carinás","Pavão","Chac"},E430))))&gt;0,"Ativo","Inativo"))</f>
        <v/>
      </c>
    </row>
    <row r="431">
      <c r="A431" s="96" t="inlineStr">
        <is>
          <t>789890568772126</t>
        </is>
      </c>
      <c r="B431" s="97" t="inlineStr">
        <is>
          <t>VINHO ESPANHOL PATA NEGRA ORO ROSE 750ML</t>
        </is>
      </c>
      <c r="C431" s="97" t="inlineStr">
        <is>
          <t>VINHO ROSE</t>
        </is>
      </c>
      <c r="D431" s="98" t="inlineStr">
        <is>
          <t>Produto</t>
        </is>
      </c>
      <c r="E43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31" s="165" t="inlineStr">
        <is>
          <t>5c507c75-b68a-4b2b-8bc1-f7fcb2816997</t>
        </is>
      </c>
      <c r="G431" s="166">
        <f>IF(E431="","Inativo",IF(SUMPRODUCT(--(ISNUMBER(SEARCH({"Lapa","Santana","Mariana","Perdizes","André","Tatuapé","Madalena","Carinás","Pavão","Chac"},E431))))&gt;0,"Ativo","Inativo"))</f>
        <v/>
      </c>
    </row>
    <row r="432">
      <c r="A432" s="96" t="inlineStr">
        <is>
          <t>789890568772131</t>
        </is>
      </c>
      <c r="B432" s="97" t="inlineStr">
        <is>
          <t>VINHO FRANCES MONTMEYRAC ROSE 750 ML</t>
        </is>
      </c>
      <c r="C432" s="97" t="inlineStr">
        <is>
          <t>VINHO ROSE</t>
        </is>
      </c>
      <c r="D432" s="98" t="inlineStr">
        <is>
          <t>Produto</t>
        </is>
      </c>
      <c r="E43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32" s="165" t="inlineStr">
        <is>
          <t>580fe18f-fb16-444c-b4db-41ef985979f5</t>
        </is>
      </c>
      <c r="G432" s="166">
        <f>IF(E432="","Inativo",IF(SUMPRODUCT(--(ISNUMBER(SEARCH({"Lapa","Santana","Mariana","Perdizes","André","Tatuapé","Madalena","Carinás","Pavão","Chac"},E432))))&gt;0,"Ativo","Inativo"))</f>
        <v/>
      </c>
    </row>
    <row r="433">
      <c r="A433" s="96" t="inlineStr">
        <is>
          <t>78989056877217</t>
        </is>
      </c>
      <c r="B433" s="97" t="inlineStr">
        <is>
          <t>SIEMPRE TENGO UN PLAN B ROSADO</t>
        </is>
      </c>
      <c r="C433" s="97" t="inlineStr">
        <is>
          <t>VINHO ROSE</t>
        </is>
      </c>
      <c r="D433" s="98" t="inlineStr">
        <is>
          <t>Produto</t>
        </is>
      </c>
      <c r="E43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33" s="165" t="inlineStr">
        <is>
          <t>c0c3369e-9771-404f-932b-d772fd012e8e</t>
        </is>
      </c>
      <c r="G433" s="166">
        <f>IF(E433="","Inativo",IF(SUMPRODUCT(--(ISNUMBER(SEARCH({"Lapa","Santana","Mariana","Perdizes","André","Tatuapé","Madalena","Carinás","Pavão","Chac"},E433))))&gt;0,"Ativo","Inativo"))</f>
        <v/>
      </c>
    </row>
    <row r="434">
      <c r="A434" s="96" t="inlineStr">
        <is>
          <t>78989056877397</t>
        </is>
      </c>
      <c r="B434" s="97" t="inlineStr">
        <is>
          <t>LICOR MELLY GARRAFA</t>
        </is>
      </c>
      <c r="C434" s="97" t="inlineStr">
        <is>
          <t>LICOR</t>
        </is>
      </c>
      <c r="D434" s="98" t="inlineStr">
        <is>
          <t>Produto</t>
        </is>
      </c>
      <c r="E43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34" s="165" t="inlineStr">
        <is>
          <t>5d2dd834-6478-48c3-ab62-fb3d08eb978a</t>
        </is>
      </c>
      <c r="G434" s="166">
        <f>IF(E434="","Inativo",IF(SUMPRODUCT(--(ISNUMBER(SEARCH({"Lapa","Santana","Mariana","Perdizes","André","Tatuapé","Madalena","Carinás","Pavão","Chac"},E434))))&gt;0,"Ativo","Inativo"))</f>
        <v/>
      </c>
    </row>
    <row r="435">
      <c r="A435" s="96" t="inlineStr">
        <is>
          <t>78989056877398</t>
        </is>
      </c>
      <c r="B435" s="97" t="inlineStr">
        <is>
          <t>DOSE MELLY</t>
        </is>
      </c>
      <c r="C435" s="97" t="inlineStr">
        <is>
          <t>LICOR</t>
        </is>
      </c>
      <c r="D435" s="98" t="inlineStr">
        <is>
          <t>Produto</t>
        </is>
      </c>
      <c r="E43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35" s="165" t="inlineStr">
        <is>
          <t>d4ecccac-6384-42a1-804a-d6a45889b9e0</t>
        </is>
      </c>
      <c r="G435" s="166">
        <f>IF(E435="","Inativo",IF(SUMPRODUCT(--(ISNUMBER(SEARCH({"Lapa","Santana","Mariana","Perdizes","André","Tatuapé","Madalena","Carinás","Pavão","Chac"},E435))))&gt;0,"Ativo","Inativo"))</f>
        <v/>
      </c>
    </row>
    <row r="436">
      <c r="A436" s="96" t="inlineStr">
        <is>
          <t>7898905687191</t>
        </is>
      </c>
      <c r="B436" s="97" t="inlineStr">
        <is>
          <t>CARTAO ZIG PAY</t>
        </is>
      </c>
      <c r="C436" s="97" t="inlineStr">
        <is>
          <t>ENTRADAS</t>
        </is>
      </c>
      <c r="D436" s="98" t="inlineStr">
        <is>
          <t>Produto</t>
        </is>
      </c>
      <c r="E43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36" s="165" t="inlineStr">
        <is>
          <t>b0d9b218-89ec-40ea-9935-b71d08e7ab4e</t>
        </is>
      </c>
      <c r="G436" s="166">
        <f>IF(E436="","Inativo",IF(SUMPRODUCT(--(ISNUMBER(SEARCH({"Lapa","Santana","Mariana","Perdizes","André","Tatuapé","Madalena","Carinás","Pavão","Chac"},E436))))&gt;0,"Ativo","Inativo"))</f>
        <v/>
      </c>
    </row>
    <row r="437">
      <c r="A437" s="96" t="inlineStr">
        <is>
          <t>7898905687707</t>
        </is>
      </c>
      <c r="B437" s="97" t="inlineStr">
        <is>
          <t>QUINTAL PILSEN QUARTA</t>
        </is>
      </c>
      <c r="C437" s="97" t="inlineStr">
        <is>
          <t>A QUARTA SPATEN</t>
        </is>
      </c>
      <c r="D437" s="98" t="inlineStr">
        <is>
          <t>Produto</t>
        </is>
      </c>
      <c r="E437" s="164" t="inlineStr">
        <is>
          <t>Quintal do Espeto Interlagos</t>
        </is>
      </c>
      <c r="F437" s="165" t="inlineStr">
        <is>
          <t>53368d37-7518-4d5a-a901-1a5a0de5568d</t>
        </is>
      </c>
      <c r="G437" s="166">
        <f>IF(E437="","Inativo",IF(SUMPRODUCT(--(ISNUMBER(SEARCH({"Lapa","Santana","Mariana","Perdizes","André","Tatuapé","Madalena","Carinás","Pavão","Chac"},E437))))&gt;0,"Ativo","Inativo"))</f>
        <v/>
      </c>
    </row>
    <row r="438">
      <c r="A438" s="96" t="inlineStr">
        <is>
          <t>28608</t>
        </is>
      </c>
      <c r="B438" s="97" t="inlineStr">
        <is>
          <t>TROPICAL GIN</t>
        </is>
      </c>
      <c r="C438" s="97" t="inlineStr">
        <is>
          <t>FESTIVAL DO GIN TONICA</t>
        </is>
      </c>
      <c r="D438" s="98" t="inlineStr">
        <is>
          <t>Produto</t>
        </is>
      </c>
      <c r="E43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38" s="165" t="inlineStr">
        <is>
          <t>9a1263e3-8370-4acd-bfe1-14af714eb57c</t>
        </is>
      </c>
      <c r="G438" s="166">
        <f>IF(E438="","Inativo",IF(SUMPRODUCT(--(ISNUMBER(SEARCH({"Lapa","Santana","Mariana","Perdizes","André","Tatuapé","Madalena","Carinás","Pavão","Chac"},E438))))&gt;0,"Ativo","Inativo"))</f>
        <v/>
      </c>
    </row>
    <row r="439">
      <c r="A439" s="96" t="inlineStr">
        <is>
          <t>67025</t>
        </is>
      </c>
      <c r="B439" s="97" t="inlineStr">
        <is>
          <t>GIN TÔNICA CLÁSSICO</t>
        </is>
      </c>
      <c r="C439" s="97" t="inlineStr">
        <is>
          <t>FESTIVAL DO GIN TONICA</t>
        </is>
      </c>
      <c r="D439" s="98" t="inlineStr">
        <is>
          <t>Produto</t>
        </is>
      </c>
      <c r="E43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39" s="165" t="inlineStr">
        <is>
          <t>7756d142-a3a1-4a18-996f-b0bcf492c626</t>
        </is>
      </c>
      <c r="G439" s="166">
        <f>IF(E439="","Inativo",IF(SUMPRODUCT(--(ISNUMBER(SEARCH({"Lapa","Santana","Mariana","Perdizes","André","Tatuapé","Madalena","Carinás","Pavão","Chac"},E439))))&gt;0,"Ativo","Inativo"))</f>
        <v/>
      </c>
    </row>
    <row r="440">
      <c r="A440" s="96" t="inlineStr">
        <is>
          <t>9003183</t>
        </is>
      </c>
      <c r="B440" s="97" t="inlineStr">
        <is>
          <t>GIN TÔNICA PINK</t>
        </is>
      </c>
      <c r="C440" s="97" t="inlineStr">
        <is>
          <t>FESTIVAL DO GIN TONICA</t>
        </is>
      </c>
      <c r="D440" s="98" t="inlineStr">
        <is>
          <t>Produto</t>
        </is>
      </c>
      <c r="E44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0" s="165" t="inlineStr">
        <is>
          <t>2fd14384-4a3f-451d-befd-899d49106ccd</t>
        </is>
      </c>
      <c r="G440" s="166">
        <f>IF(E440="","Inativo",IF(SUMPRODUCT(--(ISNUMBER(SEARCH({"Lapa","Santana","Mariana","Perdizes","André","Tatuapé","Madalena","Carinás","Pavão","Chac"},E440))))&gt;0,"Ativo","Inativo"))</f>
        <v/>
      </c>
    </row>
    <row r="441">
      <c r="A441" s="96" t="inlineStr">
        <is>
          <t>9003514</t>
        </is>
      </c>
      <c r="B441" s="97" t="inlineStr">
        <is>
          <t>GIN TÔNICA FRUTAS VERMELHAS</t>
        </is>
      </c>
      <c r="C441" s="97" t="inlineStr">
        <is>
          <t>FESTIVAL DO GIN TONICA</t>
        </is>
      </c>
      <c r="D441" s="98" t="inlineStr">
        <is>
          <t>Produto</t>
        </is>
      </c>
      <c r="E44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1" s="165" t="inlineStr">
        <is>
          <t>038cca48-1ef3-429e-a483-3d7191844349</t>
        </is>
      </c>
      <c r="G441" s="166">
        <f>IF(E441="","Inativo",IF(SUMPRODUCT(--(ISNUMBER(SEARCH({"Lapa","Santana","Mariana","Perdizes","André","Tatuapé","Madalena","Carinás","Pavão","Chac"},E441))))&gt;0,"Ativo","Inativo"))</f>
        <v/>
      </c>
    </row>
    <row r="442">
      <c r="A442" s="96" t="inlineStr">
        <is>
          <t>9003515</t>
        </is>
      </c>
      <c r="B442" s="97" t="inlineStr">
        <is>
          <t>GIN TÔNICA DO QUINTAL</t>
        </is>
      </c>
      <c r="C442" s="97" t="inlineStr">
        <is>
          <t>FESTIVAL DO GIN TONICA</t>
        </is>
      </c>
      <c r="D442" s="98" t="inlineStr">
        <is>
          <t>Produto</t>
        </is>
      </c>
      <c r="E44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2" s="165" t="inlineStr">
        <is>
          <t>b26e52e7-34fe-4b76-93b4-1f293cf4ecfd</t>
        </is>
      </c>
      <c r="G442" s="166">
        <f>IF(E442="","Inativo",IF(SUMPRODUCT(--(ISNUMBER(SEARCH({"Lapa","Santana","Mariana","Perdizes","André","Tatuapé","Madalena","Carinás","Pavão","Chac"},E442))))&gt;0,"Ativo","Inativo"))</f>
        <v/>
      </c>
    </row>
    <row r="443">
      <c r="A443" s="96" t="inlineStr">
        <is>
          <t>9003516</t>
        </is>
      </c>
      <c r="B443" s="97" t="inlineStr">
        <is>
          <t>GIN TÔNICA SICILIANO</t>
        </is>
      </c>
      <c r="C443" s="97" t="inlineStr">
        <is>
          <t>FESTIVAL DO GIN TONICA</t>
        </is>
      </c>
      <c r="D443" s="98" t="inlineStr">
        <is>
          <t>Produto</t>
        </is>
      </c>
      <c r="E44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3" s="165" t="inlineStr">
        <is>
          <t>406fad80-d858-4fb4-aaef-ae4e039f9d50</t>
        </is>
      </c>
      <c r="G443" s="166">
        <f>IF(E443="","Inativo",IF(SUMPRODUCT(--(ISNUMBER(SEARCH({"Lapa","Santana","Mariana","Perdizes","André","Tatuapé","Madalena","Carinás","Pavão","Chac"},E443))))&gt;0,"Ativo","Inativo"))</f>
        <v/>
      </c>
    </row>
    <row r="444">
      <c r="A444" s="96" t="inlineStr">
        <is>
          <t>9003517</t>
        </is>
      </c>
      <c r="B444" s="97" t="inlineStr">
        <is>
          <t>MELANCITA GIN</t>
        </is>
      </c>
      <c r="C444" s="97" t="inlineStr">
        <is>
          <t>FESTIVAL DO GIN TONICA</t>
        </is>
      </c>
      <c r="D444" s="98" t="inlineStr">
        <is>
          <t>Produto</t>
        </is>
      </c>
      <c r="E44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4" s="165" t="inlineStr">
        <is>
          <t>bf743367-54ce-4fde-b59c-133b758df3ff</t>
        </is>
      </c>
      <c r="G444" s="166">
        <f>IF(E444="","Inativo",IF(SUMPRODUCT(--(ISNUMBER(SEARCH({"Lapa","Santana","Mariana","Perdizes","André","Tatuapé","Madalena","Carinás","Pavão","Chac"},E444))))&gt;0,"Ativo","Inativo"))</f>
        <v/>
      </c>
    </row>
    <row r="445">
      <c r="A445" s="96" t="inlineStr">
        <is>
          <t>7898905687155</t>
        </is>
      </c>
      <c r="B445" s="97" t="inlineStr">
        <is>
          <t>CALDO DE FEIJÃO</t>
        </is>
      </c>
      <c r="C445" s="97" t="inlineStr">
        <is>
          <t>CALDOS</t>
        </is>
      </c>
      <c r="D445" s="98" t="inlineStr">
        <is>
          <t>Produto</t>
        </is>
      </c>
      <c r="E44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5" s="165" t="inlineStr">
        <is>
          <t>cb1d338c-f4a2-494f-8187-ac1bd73e68e6</t>
        </is>
      </c>
      <c r="G445" s="166">
        <f>IF(E445="","Inativo",IF(SUMPRODUCT(--(ISNUMBER(SEARCH({"Lapa","Santana","Mariana","Perdizes","André","Tatuapé","Madalena","Carinás","Pavão","Chac"},E445))))&gt;0,"Ativo","Inativo"))</f>
        <v/>
      </c>
    </row>
    <row r="446">
      <c r="A446" s="96" t="inlineStr">
        <is>
          <t>7898905687156</t>
        </is>
      </c>
      <c r="B446" s="97" t="inlineStr">
        <is>
          <t>CALDO VERDE</t>
        </is>
      </c>
      <c r="C446" s="97" t="inlineStr">
        <is>
          <t>CALDOS</t>
        </is>
      </c>
      <c r="D446" s="98" t="inlineStr">
        <is>
          <t>Produto</t>
        </is>
      </c>
      <c r="E44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6" s="165" t="inlineStr">
        <is>
          <t>7b766a6c-d4b9-4107-ad8d-dd5608315131</t>
        </is>
      </c>
      <c r="G446" s="166">
        <f>IF(E446="","Inativo",IF(SUMPRODUCT(--(ISNUMBER(SEARCH({"Lapa","Santana","Mariana","Perdizes","André","Tatuapé","Madalena","Carinás","Pavão","Chac"},E446))))&gt;0,"Ativo","Inativo"))</f>
        <v/>
      </c>
    </row>
    <row r="447">
      <c r="A447" s="96" t="inlineStr">
        <is>
          <t>7898905687173</t>
        </is>
      </c>
      <c r="B447" s="97" t="inlineStr">
        <is>
          <t>BOLOS</t>
        </is>
      </c>
      <c r="C447" s="97" t="inlineStr">
        <is>
          <t>A CAFÉ DA MANHA</t>
        </is>
      </c>
      <c r="D447" s="98" t="inlineStr">
        <is>
          <t>Produto</t>
        </is>
      </c>
      <c r="E44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7" s="165" t="inlineStr">
        <is>
          <t>88d66b6f-0b45-4ef8-bf35-977dfbde7105</t>
        </is>
      </c>
      <c r="G447" s="166">
        <f>IF(E447="","Inativo",IF(SUMPRODUCT(--(ISNUMBER(SEARCH({"Lapa","Santana","Mariana","Perdizes","André","Tatuapé","Madalena","Carinás","Pavão","Chac"},E447))))&gt;0,"Ativo","Inativo"))</f>
        <v/>
      </c>
    </row>
    <row r="448">
      <c r="A448" s="96" t="inlineStr">
        <is>
          <t>7898905687174</t>
        </is>
      </c>
      <c r="B448" s="97" t="inlineStr">
        <is>
          <t>MISTO FRIO</t>
        </is>
      </c>
      <c r="C448" s="97" t="inlineStr">
        <is>
          <t>A CAFÉ DA MANHA</t>
        </is>
      </c>
      <c r="D448" s="98" t="inlineStr">
        <is>
          <t>Produto</t>
        </is>
      </c>
      <c r="E44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8" s="165" t="inlineStr">
        <is>
          <t>b7f094c2-cbc5-44c4-a798-59811773d0e5</t>
        </is>
      </c>
      <c r="G448" s="166">
        <f>IF(E448="","Inativo",IF(SUMPRODUCT(--(ISNUMBER(SEARCH({"Lapa","Santana","Mariana","Perdizes","André","Tatuapé","Madalena","Carinás","Pavão","Chac"},E448))))&gt;0,"Ativo","Inativo"))</f>
        <v/>
      </c>
    </row>
    <row r="449">
      <c r="A449" s="96" t="inlineStr">
        <is>
          <t>7898905687175</t>
        </is>
      </c>
      <c r="B449" s="97" t="inlineStr">
        <is>
          <t>BAURU FRIO</t>
        </is>
      </c>
      <c r="C449" s="97" t="inlineStr">
        <is>
          <t>A CAFÉ DA MANHA</t>
        </is>
      </c>
      <c r="D449" s="98" t="inlineStr">
        <is>
          <t>Produto</t>
        </is>
      </c>
      <c r="E44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49" s="165" t="inlineStr">
        <is>
          <t>8cef5def-3774-4768-becf-ff6036843472</t>
        </is>
      </c>
      <c r="G449" s="166">
        <f>IF(E449="","Inativo",IF(SUMPRODUCT(--(ISNUMBER(SEARCH({"Lapa","Santana","Mariana","Perdizes","André","Tatuapé","Madalena","Carinás","Pavão","Chac"},E449))))&gt;0,"Ativo","Inativo"))</f>
        <v/>
      </c>
    </row>
    <row r="450">
      <c r="A450" s="96" t="inlineStr">
        <is>
          <t>7898905687176</t>
        </is>
      </c>
      <c r="B450" s="97" t="inlineStr">
        <is>
          <t>BOLACHAS</t>
        </is>
      </c>
      <c r="C450" s="97" t="inlineStr">
        <is>
          <t>A CAFÉ DA MANHA</t>
        </is>
      </c>
      <c r="D450" s="98" t="inlineStr">
        <is>
          <t>Produto</t>
        </is>
      </c>
      <c r="E45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0" s="165" t="inlineStr">
        <is>
          <t>ed654e90-9665-4715-bfb5-8e73182a4487</t>
        </is>
      </c>
      <c r="G450" s="166">
        <f>IF(E450="","Inativo",IF(SUMPRODUCT(--(ISNUMBER(SEARCH({"Lapa","Santana","Mariana","Perdizes","André","Tatuapé","Madalena","Carinás","Pavão","Chac"},E450))))&gt;0,"Ativo","Inativo"))</f>
        <v/>
      </c>
    </row>
    <row r="451">
      <c r="A451" s="96" t="inlineStr">
        <is>
          <t>7898905687177</t>
        </is>
      </c>
      <c r="B451" s="97" t="inlineStr">
        <is>
          <t>TORRADA</t>
        </is>
      </c>
      <c r="C451" s="97" t="inlineStr">
        <is>
          <t>A CAFÉ DA MANHA</t>
        </is>
      </c>
      <c r="D451" s="98" t="inlineStr">
        <is>
          <t>Produto</t>
        </is>
      </c>
      <c r="E45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1" s="165" t="inlineStr">
        <is>
          <t>e5c0442e-11cb-452e-be26-5ff9f60b161c</t>
        </is>
      </c>
      <c r="G451" s="166">
        <f>IF(E451="","Inativo",IF(SUMPRODUCT(--(ISNUMBER(SEARCH({"Lapa","Santana","Mariana","Perdizes","André","Tatuapé","Madalena","Carinás","Pavão","Chac"},E451))))&gt;0,"Ativo","Inativo"))</f>
        <v/>
      </c>
    </row>
    <row r="452">
      <c r="A452" s="96" t="inlineStr">
        <is>
          <t>7898905687178</t>
        </is>
      </c>
      <c r="B452" s="97" t="inlineStr">
        <is>
          <t>ROSQUINHA DE COCO</t>
        </is>
      </c>
      <c r="C452" s="97" t="inlineStr">
        <is>
          <t>A CAFÉ DA MANHA</t>
        </is>
      </c>
      <c r="D452" s="98" t="inlineStr">
        <is>
          <t>Produto</t>
        </is>
      </c>
      <c r="E45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2" s="165" t="inlineStr">
        <is>
          <t>abdc252a-21d7-452e-935c-166b5084a07e</t>
        </is>
      </c>
      <c r="G452" s="166">
        <f>IF(E452="","Inativo",IF(SUMPRODUCT(--(ISNUMBER(SEARCH({"Lapa","Santana","Mariana","Perdizes","André","Tatuapé","Madalena","Carinás","Pavão","Chac"},E452))))&gt;0,"Ativo","Inativo"))</f>
        <v/>
      </c>
    </row>
    <row r="453">
      <c r="A453" s="96" t="inlineStr">
        <is>
          <t>7898905687179</t>
        </is>
      </c>
      <c r="B453" s="97" t="inlineStr">
        <is>
          <t>CAFE</t>
        </is>
      </c>
      <c r="C453" s="97" t="inlineStr">
        <is>
          <t>A CAFÉ DA MANHA</t>
        </is>
      </c>
      <c r="D453" s="98" t="inlineStr">
        <is>
          <t>Produto</t>
        </is>
      </c>
      <c r="E45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3" s="165" t="inlineStr">
        <is>
          <t>e9a549ff-9b1f-43c1-9eec-74db13588161</t>
        </is>
      </c>
      <c r="G453" s="166">
        <f>IF(E453="","Inativo",IF(SUMPRODUCT(--(ISNUMBER(SEARCH({"Lapa","Santana","Mariana","Perdizes","André","Tatuapé","Madalena","Carinás","Pavão","Chac"},E453))))&gt;0,"Ativo","Inativo"))</f>
        <v/>
      </c>
    </row>
    <row r="454">
      <c r="A454" s="96" t="inlineStr">
        <is>
          <t>7898905687180</t>
        </is>
      </c>
      <c r="B454" s="97" t="inlineStr">
        <is>
          <t>LEITE</t>
        </is>
      </c>
      <c r="C454" s="97" t="inlineStr">
        <is>
          <t>A CAFÉ DA MANHA</t>
        </is>
      </c>
      <c r="D454" s="98" t="inlineStr">
        <is>
          <t>Produto</t>
        </is>
      </c>
      <c r="E45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4" s="165" t="inlineStr">
        <is>
          <t>227b577f-3cf1-4df4-b24a-a46fe02448f9</t>
        </is>
      </c>
      <c r="G454" s="166">
        <f>IF(E454="","Inativo",IF(SUMPRODUCT(--(ISNUMBER(SEARCH({"Lapa","Santana","Mariana","Perdizes","André","Tatuapé","Madalena","Carinás","Pavão","Chac"},E454))))&gt;0,"Ativo","Inativo"))</f>
        <v/>
      </c>
    </row>
    <row r="455">
      <c r="A455" s="96" t="inlineStr">
        <is>
          <t>7898905687181</t>
        </is>
      </c>
      <c r="B455" s="97" t="inlineStr">
        <is>
          <t>MANGA CAFE DA MANHA</t>
        </is>
      </c>
      <c r="C455" s="97" t="inlineStr">
        <is>
          <t>A CAFÉ DA MANHA</t>
        </is>
      </c>
      <c r="D455" s="98" t="inlineStr">
        <is>
          <t>Produto</t>
        </is>
      </c>
      <c r="E45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5" s="165" t="inlineStr">
        <is>
          <t>571401b8-d719-4ff6-bc81-7343db25574f</t>
        </is>
      </c>
      <c r="G455" s="166">
        <f>IF(E455="","Inativo",IF(SUMPRODUCT(--(ISNUMBER(SEARCH({"Lapa","Santana","Mariana","Perdizes","André","Tatuapé","Madalena","Carinás","Pavão","Chac"},E455))))&gt;0,"Ativo","Inativo"))</f>
        <v/>
      </c>
    </row>
    <row r="456">
      <c r="A456" s="96" t="inlineStr">
        <is>
          <t>7898905687182</t>
        </is>
      </c>
      <c r="B456" s="97" t="inlineStr">
        <is>
          <t>MORANGO CAFE DA MANHA</t>
        </is>
      </c>
      <c r="C456" s="97" t="inlineStr">
        <is>
          <t>A CAFÉ DA MANHA</t>
        </is>
      </c>
      <c r="D456" s="98" t="inlineStr">
        <is>
          <t>Produto</t>
        </is>
      </c>
      <c r="E45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6" s="165" t="inlineStr">
        <is>
          <t>15cb1cd3-81d8-4844-9af9-09303f5168a4</t>
        </is>
      </c>
      <c r="G456" s="166">
        <f>IF(E456="","Inativo",IF(SUMPRODUCT(--(ISNUMBER(SEARCH({"Lapa","Santana","Mariana","Perdizes","André","Tatuapé","Madalena","Carinás","Pavão","Chac"},E456))))&gt;0,"Ativo","Inativo"))</f>
        <v/>
      </c>
    </row>
    <row r="457">
      <c r="A457" s="96" t="inlineStr">
        <is>
          <t>7898905687183</t>
        </is>
      </c>
      <c r="B457" s="97" t="inlineStr">
        <is>
          <t>ABACAXI CAFE DA MANHA</t>
        </is>
      </c>
      <c r="C457" s="97" t="inlineStr">
        <is>
          <t>A CAFÉ DA MANHA</t>
        </is>
      </c>
      <c r="D457" s="98" t="inlineStr">
        <is>
          <t>Produto</t>
        </is>
      </c>
      <c r="E45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57" s="165" t="inlineStr">
        <is>
          <t>bb334d3f-6120-461a-9bc6-b440e037605e</t>
        </is>
      </c>
      <c r="G457" s="166">
        <f>IF(E457="","Inativo",IF(SUMPRODUCT(--(ISNUMBER(SEARCH({"Lapa","Santana","Mariana","Perdizes","André","Tatuapé","Madalena","Carinás","Pavão","Chac"},E457))))&gt;0,"Ativo","Inativo"))</f>
        <v/>
      </c>
    </row>
    <row r="458">
      <c r="A458" s="96" t="inlineStr">
        <is>
          <t>78989056877272</t>
        </is>
      </c>
      <c r="B458" s="97" t="inlineStr">
        <is>
          <t>FiuFiu Cajá Lemon</t>
        </is>
      </c>
      <c r="C458" s="97" t="inlineStr">
        <is>
          <t>Drinks</t>
        </is>
      </c>
      <c r="D458" s="98" t="inlineStr">
        <is>
          <t>Produto</t>
        </is>
      </c>
      <c r="E45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58" s="165" t="inlineStr">
        <is>
          <t>69ffc329-f69b-430e-aa74-9c84dcadcf73</t>
        </is>
      </c>
      <c r="G458" s="166">
        <f>IF(E458="","Inativo",IF(SUMPRODUCT(--(ISNUMBER(SEARCH({"Lapa","Santana","Mariana","Perdizes","André","Tatuapé","Madalena","Carinás","Pavão","Chac"},E458))))&gt;0,"Ativo","Inativo"))</f>
        <v/>
      </c>
    </row>
    <row r="459">
      <c r="A459" s="96" t="inlineStr">
        <is>
          <t>9006058</t>
        </is>
      </c>
      <c r="B459" s="97" t="inlineStr">
        <is>
          <t>Garrafa Licor 43</t>
        </is>
      </c>
      <c r="C459" s="97" t="inlineStr">
        <is>
          <t>Garrafas</t>
        </is>
      </c>
      <c r="D459" s="98" t="inlineStr">
        <is>
          <t>Produto</t>
        </is>
      </c>
      <c r="E459" s="164" t="inlineStr">
        <is>
          <t>QUIOSQUE Tupi 8</t>
        </is>
      </c>
      <c r="F459" s="165" t="inlineStr">
        <is>
          <t>587bdb58-f7e7-49a9-8ab3-f8adf51124c0</t>
        </is>
      </c>
      <c r="G459" s="166">
        <f>IF(E459="","Inativo",IF(SUMPRODUCT(--(ISNUMBER(SEARCH({"Lapa","Santana","Mariana","Perdizes","André","Tatuapé","Madalena","Carinás","Pavão","Chac"},E459))))&gt;0,"Ativo","Inativo"))</f>
        <v/>
      </c>
    </row>
    <row r="460">
      <c r="A460" s="96" t="inlineStr">
        <is>
          <t>7898905687501</t>
        </is>
      </c>
      <c r="B460" s="97" t="inlineStr">
        <is>
          <t>MENU DIA DAS MAES</t>
        </is>
      </c>
      <c r="C460" s="97" t="inlineStr">
        <is>
          <t xml:space="preserve">MENU ESPECIAL </t>
        </is>
      </c>
      <c r="D460" s="98" t="inlineStr">
        <is>
          <t>Produto</t>
        </is>
      </c>
      <c r="E460" s="164" t="inlineStr">
        <is>
          <t>Quintal do Espeto Santo André</t>
        </is>
      </c>
      <c r="F460" s="165" t="inlineStr">
        <is>
          <t>534dc86f-b59b-408a-815e-9917cf611679</t>
        </is>
      </c>
      <c r="G460" s="166">
        <f>IF(E460="","Inativo",IF(SUMPRODUCT(--(ISNUMBER(SEARCH({"Lapa","Santana","Mariana","Perdizes","André","Tatuapé","Madalena","Carinás","Pavão","Chac"},E460))))&gt;0,"Ativo","Inativo"))</f>
        <v/>
      </c>
    </row>
    <row r="461">
      <c r="A461" s="96" t="inlineStr">
        <is>
          <t>78989056877168</t>
        </is>
      </c>
      <c r="B461" s="97" t="inlineStr">
        <is>
          <t>MILHO</t>
        </is>
      </c>
      <c r="C461" s="97" t="inlineStr">
        <is>
          <t>OUTROS</t>
        </is>
      </c>
      <c r="D461" s="98" t="inlineStr">
        <is>
          <t>Produto</t>
        </is>
      </c>
      <c r="E461" s="164" t="inlineStr">
        <is>
          <t>Quintal do Espeto Santo André, Quintal do Espeto Santana, Quintal do Espeto Tatuapé, Quintal do Espeto Carinás, Quintal do Espeto Interlagos, Quintal do Espeto Recargas/Bônus</t>
        </is>
      </c>
      <c r="F461" s="165" t="inlineStr">
        <is>
          <t>6eab967f-81d3-4d6c-afd3-0b46baa02c34</t>
        </is>
      </c>
      <c r="G461" s="166">
        <f>IF(E461="","Inativo",IF(SUMPRODUCT(--(ISNUMBER(SEARCH({"Lapa","Santana","Mariana","Perdizes","André","Tatuapé","Madalena","Carinás","Pavão","Chac"},E461))))&gt;0,"Ativo","Inativo"))</f>
        <v/>
      </c>
    </row>
    <row r="462">
      <c r="A462" s="96" t="inlineStr">
        <is>
          <t>78989056877178</t>
        </is>
      </c>
      <c r="B462" s="97" t="inlineStr">
        <is>
          <t>INFLAVEIS</t>
        </is>
      </c>
      <c r="C462" s="97" t="inlineStr">
        <is>
          <t>OUTROS</t>
        </is>
      </c>
      <c r="D462" s="98" t="inlineStr">
        <is>
          <t>Produto</t>
        </is>
      </c>
      <c r="E46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62" s="165" t="inlineStr">
        <is>
          <t>d5b8ad0d-5a18-4bc5-badf-8f036e3c76ca</t>
        </is>
      </c>
      <c r="G462" s="166">
        <f>IF(E462="","Inativo",IF(SUMPRODUCT(--(ISNUMBER(SEARCH({"Lapa","Santana","Mariana","Perdizes","André","Tatuapé","Madalena","Carinás","Pavão","Chac"},E462))))&gt;0,"Ativo","Inativo"))</f>
        <v/>
      </c>
    </row>
    <row r="463">
      <c r="A463" s="96" t="inlineStr">
        <is>
          <t>78989056877389</t>
        </is>
      </c>
      <c r="B463" s="97" t="inlineStr">
        <is>
          <t>KIT MASSINHA</t>
        </is>
      </c>
      <c r="C463" s="97" t="inlineStr">
        <is>
          <t>OUTROS</t>
        </is>
      </c>
      <c r="D463" s="98" t="inlineStr">
        <is>
          <t>Produto</t>
        </is>
      </c>
      <c r="E463" s="164" t="inlineStr">
        <is>
          <t>Quintal do Espeto Santana, Quintal do Espeto  V. Mariana, Quintal do Espeto Carinás</t>
        </is>
      </c>
      <c r="F463" s="165" t="inlineStr">
        <is>
          <t>98a9c84b-270d-4d7b-89f5-3260a50bff80</t>
        </is>
      </c>
      <c r="G463" s="166">
        <f>IF(E463="","Inativo",IF(SUMPRODUCT(--(ISNUMBER(SEARCH({"Lapa","Santana","Mariana","Perdizes","André","Tatuapé","Madalena","Carinás","Pavão","Chac"},E463))))&gt;0,"Ativo","Inativo"))</f>
        <v/>
      </c>
    </row>
    <row r="464">
      <c r="A464" s="96" t="inlineStr">
        <is>
          <t>78989056877390</t>
        </is>
      </c>
      <c r="B464" s="97" t="inlineStr">
        <is>
          <t>PASSAPORTE GOURMET</t>
        </is>
      </c>
      <c r="C464" s="97" t="inlineStr">
        <is>
          <t>OUTROS</t>
        </is>
      </c>
      <c r="D464" s="98" t="inlineStr">
        <is>
          <t>Produto</t>
        </is>
      </c>
      <c r="E464" s="164" t="inlineStr">
        <is>
          <t>Quintal do Espeto Carinás</t>
        </is>
      </c>
      <c r="F464" s="165" t="inlineStr">
        <is>
          <t>26456491-478e-480d-b768-572e06147b47</t>
        </is>
      </c>
      <c r="G464" s="166">
        <f>IF(E464="","Inativo",IF(SUMPRODUCT(--(ISNUMBER(SEARCH({"Lapa","Santana","Mariana","Perdizes","André","Tatuapé","Madalena","Carinás","Pavão","Chac"},E464))))&gt;0,"Ativo","Inativo"))</f>
        <v/>
      </c>
    </row>
    <row r="465">
      <c r="A465" s="96" t="inlineStr">
        <is>
          <t>78989056877391</t>
        </is>
      </c>
      <c r="B465" s="97" t="inlineStr">
        <is>
          <t>PASSAPORTE DIVERSÃO</t>
        </is>
      </c>
      <c r="C465" s="97" t="inlineStr">
        <is>
          <t>OUTROS</t>
        </is>
      </c>
      <c r="D465" s="98" t="inlineStr">
        <is>
          <t>Produto</t>
        </is>
      </c>
      <c r="E465" s="164" t="inlineStr">
        <is>
          <t>Quintal do Espeto Carinás</t>
        </is>
      </c>
      <c r="F465" s="165" t="inlineStr">
        <is>
          <t>8173657e-44d3-4602-8bdc-760cac1da075</t>
        </is>
      </c>
      <c r="G465" s="166">
        <f>IF(E465="","Inativo",IF(SUMPRODUCT(--(ISNUMBER(SEARCH({"Lapa","Santana","Mariana","Perdizes","André","Tatuapé","Madalena","Carinás","Pavão","Chac"},E465))))&gt;0,"Ativo","Inativo"))</f>
        <v/>
      </c>
    </row>
    <row r="466">
      <c r="A466" s="96" t="inlineStr">
        <is>
          <t>78989056877392</t>
        </is>
      </c>
      <c r="B466" s="97" t="inlineStr">
        <is>
          <t>COMBO QUINTAL FELIZ</t>
        </is>
      </c>
      <c r="C466" s="97" t="inlineStr">
        <is>
          <t>OUTROS</t>
        </is>
      </c>
      <c r="D466" s="98" t="inlineStr">
        <is>
          <t>Produto</t>
        </is>
      </c>
      <c r="E466" s="164" t="inlineStr">
        <is>
          <t>Quintal do Espeto Santana, Quintal do Espeto  V. Mariana, Quintal do Espeto Carinás</t>
        </is>
      </c>
      <c r="F466" s="165" t="inlineStr">
        <is>
          <t>b92345bc-3a0e-468e-aa5e-6340d64aca66</t>
        </is>
      </c>
      <c r="G466" s="166">
        <f>IF(E466="","Inativo",IF(SUMPRODUCT(--(ISNUMBER(SEARCH({"Lapa","Santana","Mariana","Perdizes","André","Tatuapé","Madalena","Carinás","Pavão","Chac"},E466))))&gt;0,"Ativo","Inativo"))</f>
        <v/>
      </c>
    </row>
    <row r="467">
      <c r="A467" s="96" t="inlineStr">
        <is>
          <t>789890568772101</t>
        </is>
      </c>
      <c r="B467" s="97" t="inlineStr">
        <is>
          <t>ALMOÇO EXECUTIVO</t>
        </is>
      </c>
      <c r="C467" s="97" t="inlineStr">
        <is>
          <t xml:space="preserve"> ALMOÇO EXECUTIVO</t>
        </is>
      </c>
      <c r="D467" s="98" t="inlineStr">
        <is>
          <t>Produto</t>
        </is>
      </c>
      <c r="E467" s="164" t="inlineStr">
        <is>
          <t>Quintal do Espeto Lapa , Quintal do Espeto Chac Sto Antonio, Quintal do Espeto  V. Mariana, Quintal do Espeto Perdizes, Quintal do Espeto  V. Madalena, Quintal do Espeto Carinás, Quintal do Espeto Pavão</t>
        </is>
      </c>
      <c r="F467" s="165" t="inlineStr">
        <is>
          <t>12bb2d64-bf67-4b9c-a9dd-afe2b055ffd3</t>
        </is>
      </c>
      <c r="G467" s="166">
        <f>IF(E467="","Inativo",IF(SUMPRODUCT(--(ISNUMBER(SEARCH({"Lapa","Santana","Mariana","Perdizes","André","Tatuapé","Madalena","Carinás","Pavão","Chac"},E467))))&gt;0,"Ativo","Inativo"))</f>
        <v/>
      </c>
    </row>
    <row r="468">
      <c r="A468" s="96" t="inlineStr">
        <is>
          <t>789890568772102</t>
        </is>
      </c>
      <c r="B468" s="97" t="inlineStr">
        <is>
          <t>ANÉIS DE CEBOLA (EXECUTIVO)</t>
        </is>
      </c>
      <c r="C468" s="97" t="inlineStr">
        <is>
          <t xml:space="preserve"> ALMOÇO EXECUTIVO</t>
        </is>
      </c>
      <c r="D468" s="98" t="inlineStr">
        <is>
          <t>Produto</t>
        </is>
      </c>
      <c r="E468" s="164" t="inlineStr">
        <is>
          <t>Quintal do Espeto Lapa , Quintal do Espeto Chac Sto Antonio, Quintal do Espeto  V. Mariana, Quintal do Espeto Perdizes, Quintal do Espeto  V. Madalena, Quintal do Espeto Carinás, Quintal do Espeto Pavão</t>
        </is>
      </c>
      <c r="F468" s="165" t="inlineStr">
        <is>
          <t>80ba7d99-f2fe-468f-aa4d-32a117301847</t>
        </is>
      </c>
      <c r="G468" s="166">
        <f>IF(E468="","Inativo",IF(SUMPRODUCT(--(ISNUMBER(SEARCH({"Lapa","Santana","Mariana","Perdizes","André","Tatuapé","Madalena","Carinás","Pavão","Chac"},E468))))&gt;0,"Ativo","Inativo"))</f>
        <v/>
      </c>
    </row>
    <row r="469">
      <c r="A469" s="96" t="inlineStr">
        <is>
          <t>789890568772103</t>
        </is>
      </c>
      <c r="B469" s="97" t="inlineStr">
        <is>
          <t>POLENTA (EXECUTIVO)</t>
        </is>
      </c>
      <c r="C469" s="97" t="inlineStr">
        <is>
          <t xml:space="preserve"> ALMOÇO EXECUTIVO</t>
        </is>
      </c>
      <c r="D469" s="98" t="inlineStr">
        <is>
          <t>Produto</t>
        </is>
      </c>
      <c r="E469" s="164" t="inlineStr">
        <is>
          <t>Quintal do Espeto Lapa , Quintal do Espeto Chac Sto Antonio, Quintal do Espeto  V. Mariana, Quintal do Espeto Perdizes, Quintal do Espeto  V. Madalena, Quintal do Espeto Carinás, Quintal do Espeto Pavão</t>
        </is>
      </c>
      <c r="F469" s="165" t="inlineStr">
        <is>
          <t>2c156dbc-6981-4b68-b8c7-f40d06c750e0</t>
        </is>
      </c>
      <c r="G469" s="166">
        <f>IF(E469="","Inativo",IF(SUMPRODUCT(--(ISNUMBER(SEARCH({"Lapa","Santana","Mariana","Perdizes","André","Tatuapé","Madalena","Carinás","Pavão","Chac"},E469))))&gt;0,"Ativo","Inativo"))</f>
        <v/>
      </c>
    </row>
    <row r="470">
      <c r="A470" s="96" t="inlineStr">
        <is>
          <t>789890568772104</t>
        </is>
      </c>
      <c r="B470" s="97" t="inlineStr">
        <is>
          <t>MANDIOCA (EXECUTIVO)</t>
        </is>
      </c>
      <c r="C470" s="97" t="inlineStr">
        <is>
          <t xml:space="preserve"> ALMOÇO EXECUTIVO</t>
        </is>
      </c>
      <c r="D470" s="98" t="inlineStr">
        <is>
          <t>Produto</t>
        </is>
      </c>
      <c r="E470" s="164" t="inlineStr">
        <is>
          <t>Quintal do Espeto Lapa , Quintal do Espeto Chac Sto Antonio, Quintal do Espeto  V. Mariana, Quintal do Espeto Perdizes, Quintal do Espeto  V. Madalena, Quintal do Espeto Carinás, Quintal do Espeto Pavão</t>
        </is>
      </c>
      <c r="F470" s="165" t="inlineStr">
        <is>
          <t>282c4d40-477d-4f0d-970c-662c500d2879</t>
        </is>
      </c>
      <c r="G470" s="166">
        <f>IF(E470="","Inativo",IF(SUMPRODUCT(--(ISNUMBER(SEARCH({"Lapa","Santana","Mariana","Perdizes","André","Tatuapé","Madalena","Carinás","Pavão","Chac"},E470))))&gt;0,"Ativo","Inativo"))</f>
        <v/>
      </c>
    </row>
    <row r="471">
      <c r="A471" s="96" t="inlineStr">
        <is>
          <t>789890568772105</t>
        </is>
      </c>
      <c r="B471" s="97" t="inlineStr">
        <is>
          <t>FRITAS (EXECUTIVO)</t>
        </is>
      </c>
      <c r="C471" s="97" t="inlineStr">
        <is>
          <t xml:space="preserve"> ALMOÇO EXECUTIVO</t>
        </is>
      </c>
      <c r="D471" s="98" t="inlineStr">
        <is>
          <t>Produto</t>
        </is>
      </c>
      <c r="E471" s="164" t="inlineStr">
        <is>
          <t>Quintal do Espeto Lapa , Quintal do Espeto Chac Sto Antonio, Quintal do Espeto  V. Mariana, Quintal do Espeto Perdizes, Quintal do Espeto  V. Madalena, Quintal do Espeto Carinás, Quintal do Espeto Pavão</t>
        </is>
      </c>
      <c r="F471" s="165" t="inlineStr">
        <is>
          <t>3921a2bb-fb9a-48cb-9bbc-12de062c47c6</t>
        </is>
      </c>
      <c r="G471" s="166">
        <f>IF(E471="","Inativo",IF(SUMPRODUCT(--(ISNUMBER(SEARCH({"Lapa","Santana","Mariana","Perdizes","André","Tatuapé","Madalena","Carinás","Pavão","Chac"},E471))))&gt;0,"Ativo","Inativo"))</f>
        <v/>
      </c>
    </row>
    <row r="472">
      <c r="A472" s="96" t="inlineStr">
        <is>
          <t>789890568772106</t>
        </is>
      </c>
      <c r="B472" s="97" t="inlineStr">
        <is>
          <t>VINAGRETE (EXECUTIVO)</t>
        </is>
      </c>
      <c r="C472" s="97" t="inlineStr">
        <is>
          <t xml:space="preserve"> ALMOÇO EXECUTIVO</t>
        </is>
      </c>
      <c r="D472" s="98" t="inlineStr">
        <is>
          <t>Produto</t>
        </is>
      </c>
      <c r="E472" s="164" t="inlineStr">
        <is>
          <t>Quintal do Espeto Lapa , Quintal do Espeto Chac Sto Antonio, Quintal do Espeto  V. Mariana, Quintal do Espeto Perdizes, Quintal do Espeto  V. Madalena, Quintal do Espeto Carinás, Quintal do Espeto Pavão</t>
        </is>
      </c>
      <c r="F472" s="165" t="inlineStr">
        <is>
          <t>7ad1921f-0757-40b9-8f8b-1519dd261a8e</t>
        </is>
      </c>
      <c r="G472" s="166">
        <f>IF(E472="","Inativo",IF(SUMPRODUCT(--(ISNUMBER(SEARCH({"Lapa","Santana","Mariana","Perdizes","André","Tatuapé","Madalena","Carinás","Pavão","Chac"},E472))))&gt;0,"Ativo","Inativo"))</f>
        <v/>
      </c>
    </row>
    <row r="473">
      <c r="A473" s="96" t="inlineStr">
        <is>
          <t>789890568772107</t>
        </is>
      </c>
      <c r="B473" s="97" t="inlineStr">
        <is>
          <t>FAROFA (EXECUTIVO)</t>
        </is>
      </c>
      <c r="C473" s="97" t="inlineStr">
        <is>
          <t xml:space="preserve"> ALMOÇO EXECUTIVO</t>
        </is>
      </c>
      <c r="D473" s="98" t="inlineStr">
        <is>
          <t>Produto</t>
        </is>
      </c>
      <c r="E473" s="164" t="inlineStr">
        <is>
          <t>Quintal do Espeto Lapa , Quintal do Espeto Chac Sto Antonio, Quintal do Espeto  V. Mariana, Quintal do Espeto Perdizes, Quintal do Espeto  V. Madalena, Quintal do Espeto Carinás, Quintal do Espeto Pavão</t>
        </is>
      </c>
      <c r="F473" s="165" t="inlineStr">
        <is>
          <t>bb5d36ef-7669-4781-8018-61de70a49344</t>
        </is>
      </c>
      <c r="G473" s="166">
        <f>IF(E473="","Inativo",IF(SUMPRODUCT(--(ISNUMBER(SEARCH({"Lapa","Santana","Mariana","Perdizes","André","Tatuapé","Madalena","Carinás","Pavão","Chac"},E473))))&gt;0,"Ativo","Inativo"))</f>
        <v/>
      </c>
    </row>
    <row r="474">
      <c r="A474" s="96" t="inlineStr">
        <is>
          <t>789890568772108</t>
        </is>
      </c>
      <c r="B474" s="97" t="inlineStr">
        <is>
          <t>ARROZ BIRO BIRO (EXECUTIVO)</t>
        </is>
      </c>
      <c r="C474" s="97" t="inlineStr">
        <is>
          <t xml:space="preserve"> ALMOÇO EXECUTIVO</t>
        </is>
      </c>
      <c r="D474" s="98" t="inlineStr">
        <is>
          <t>Produto</t>
        </is>
      </c>
      <c r="E474" s="164" t="inlineStr">
        <is>
          <t>Quintal do Espeto Lapa , Quintal do Espeto Chac Sto Antonio, Quintal do Espeto  V. Mariana, Quintal do Espeto Perdizes, Quintal do Espeto  V. Madalena, Quintal do Espeto Carinás, Quintal do Espeto Pavão</t>
        </is>
      </c>
      <c r="F474" s="165" t="inlineStr">
        <is>
          <t>b992ea85-1329-4856-915a-31905516b505</t>
        </is>
      </c>
      <c r="G474" s="166">
        <f>IF(E474="","Inativo",IF(SUMPRODUCT(--(ISNUMBER(SEARCH({"Lapa","Santana","Mariana","Perdizes","André","Tatuapé","Madalena","Carinás","Pavão","Chac"},E474))))&gt;0,"Ativo","Inativo"))</f>
        <v/>
      </c>
    </row>
    <row r="475">
      <c r="A475" s="96" t="inlineStr">
        <is>
          <t>789890568772109</t>
        </is>
      </c>
      <c r="B475" s="97" t="inlineStr">
        <is>
          <t>KIT FAROFA E VINAGRETE (EXECUTIVO)</t>
        </is>
      </c>
      <c r="C475" s="97" t="inlineStr">
        <is>
          <t xml:space="preserve"> ALMOÇO EXECUTIVO</t>
        </is>
      </c>
      <c r="D475" s="98" t="inlineStr">
        <is>
          <t>Produto</t>
        </is>
      </c>
      <c r="E475" s="164" t="inlineStr">
        <is>
          <t>Quintal do Espeto Lapa , Quintal do Espeto Chac Sto Antonio, Quintal do Espeto  V. Mariana, Quintal do Espeto Perdizes, Quintal do Espeto  V. Madalena, Quintal do Espeto Carinás, Quintal do Espeto Pavão</t>
        </is>
      </c>
      <c r="F475" s="165" t="inlineStr">
        <is>
          <t>ebf45c7c-b086-4414-ae89-08f083128dc5</t>
        </is>
      </c>
      <c r="G475" s="166">
        <f>IF(E475="","Inativo",IF(SUMPRODUCT(--(ISNUMBER(SEARCH({"Lapa","Santana","Mariana","Perdizes","André","Tatuapé","Madalena","Carinás","Pavão","Chac"},E475))))&gt;0,"Ativo","Inativo"))</f>
        <v/>
      </c>
    </row>
    <row r="476">
      <c r="A476" s="96" t="inlineStr">
        <is>
          <t>789890568772110</t>
        </is>
      </c>
      <c r="B476" s="97" t="inlineStr">
        <is>
          <t xml:space="preserve"> MORANGO C/ CHOCOLATE EXECUTIVO (BRINDE)</t>
        </is>
      </c>
      <c r="C476" s="97" t="inlineStr">
        <is>
          <t xml:space="preserve"> ALMOÇO EXECUTIVO</t>
        </is>
      </c>
      <c r="D476" s="98" t="inlineStr">
        <is>
          <t>Produto</t>
        </is>
      </c>
      <c r="E476" s="164" t="inlineStr">
        <is>
          <t>Quintal do Espeto  V. Mariana, Quintal do Espeto Carinás</t>
        </is>
      </c>
      <c r="F476" s="165" t="inlineStr">
        <is>
          <t>c9968bef-1258-4aca-aab4-2539e01c4254</t>
        </is>
      </c>
      <c r="G476" s="166">
        <f>IF(E476="","Inativo",IF(SUMPRODUCT(--(ISNUMBER(SEARCH({"Lapa","Santana","Mariana","Perdizes","André","Tatuapé","Madalena","Carinás","Pavão","Chac"},E476))))&gt;0,"Ativo","Inativo"))</f>
        <v/>
      </c>
    </row>
    <row r="477">
      <c r="A477" s="96" t="inlineStr">
        <is>
          <t>7898905687193</t>
        </is>
      </c>
      <c r="B477" s="97" t="inlineStr">
        <is>
          <t xml:space="preserve"> SMINORFF ANIVERSARIANTE</t>
        </is>
      </c>
      <c r="C477" s="97" t="inlineStr">
        <is>
          <t xml:space="preserve">BRINDE </t>
        </is>
      </c>
      <c r="D477" s="98" t="inlineStr">
        <is>
          <t>Produto</t>
        </is>
      </c>
      <c r="E47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77" s="165" t="inlineStr">
        <is>
          <t>6f1e1fbd-8d23-4d77-a35d-75a9f98a1e36</t>
        </is>
      </c>
      <c r="G477" s="166">
        <f>IF(E477="","Inativo",IF(SUMPRODUCT(--(ISNUMBER(SEARCH({"Lapa","Santana","Mariana","Perdizes","André","Tatuapé","Madalena","Carinás","Pavão","Chac"},E477))))&gt;0,"Ativo","Inativo"))</f>
        <v/>
      </c>
    </row>
    <row r="478">
      <c r="A478" s="96" t="inlineStr">
        <is>
          <t>7898905687500</t>
        </is>
      </c>
      <c r="B478" s="97" t="inlineStr">
        <is>
          <t>SPATEN VOUCHER</t>
        </is>
      </c>
      <c r="C478" s="97" t="inlineStr">
        <is>
          <t xml:space="preserve">BRINDE </t>
        </is>
      </c>
      <c r="D478" s="98" t="inlineStr">
        <is>
          <t>Produto</t>
        </is>
      </c>
      <c r="E47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78" s="165" t="inlineStr">
        <is>
          <t>92aa5953-ed4c-4490-8ef7-ba7c629fe780</t>
        </is>
      </c>
      <c r="G478" s="166">
        <f>IF(E478="","Inativo",IF(SUMPRODUCT(--(ISNUMBER(SEARCH({"Lapa","Santana","Mariana","Perdizes","André","Tatuapé","Madalena","Carinás","Pavão","Chac"},E478))))&gt;0,"Ativo","Inativo"))</f>
        <v/>
      </c>
    </row>
    <row r="479">
      <c r="A479" s="96" t="inlineStr">
        <is>
          <t>7898905687510</t>
        </is>
      </c>
      <c r="B479" s="97" t="inlineStr">
        <is>
          <t>TANQUERAY ANIVERSARIANTE</t>
        </is>
      </c>
      <c r="C479" s="97" t="inlineStr">
        <is>
          <t xml:space="preserve">BRINDE </t>
        </is>
      </c>
      <c r="D479" s="98" t="inlineStr">
        <is>
          <t>Produto</t>
        </is>
      </c>
      <c r="E47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79" s="165" t="inlineStr">
        <is>
          <t>f2414087-3bd3-43b1-9bec-8d2de6a6aaab</t>
        </is>
      </c>
      <c r="G479" s="166">
        <f>IF(E479="","Inativo",IF(SUMPRODUCT(--(ISNUMBER(SEARCH({"Lapa","Santana","Mariana","Perdizes","André","Tatuapé","Madalena","Carinás","Pavão","Chac"},E479))))&gt;0,"Ativo","Inativo"))</f>
        <v/>
      </c>
    </row>
    <row r="480">
      <c r="A480" s="96" t="inlineStr">
        <is>
          <t>7898905687709</t>
        </is>
      </c>
      <c r="B480" s="97" t="inlineStr">
        <is>
          <t>ABSOLUT ANIVERSARIANTE</t>
        </is>
      </c>
      <c r="C480" s="97" t="inlineStr">
        <is>
          <t xml:space="preserve">BRINDE </t>
        </is>
      </c>
      <c r="D480" s="98" t="inlineStr">
        <is>
          <t>Produto</t>
        </is>
      </c>
      <c r="E48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0" s="165" t="inlineStr">
        <is>
          <t>bf7b9032-5b83-4c56-bc11-b2cb7aa34c6e</t>
        </is>
      </c>
      <c r="G480" s="166">
        <f>IF(E480="","Inativo",IF(SUMPRODUCT(--(ISNUMBER(SEARCH({"Lapa","Santana","Mariana","Perdizes","André","Tatuapé","Madalena","Carinás","Pavão","Chac"},E480))))&gt;0,"Ativo","Inativo"))</f>
        <v/>
      </c>
    </row>
    <row r="481">
      <c r="A481" s="96" t="inlineStr">
        <is>
          <t>7898905687710</t>
        </is>
      </c>
      <c r="B481" s="97" t="inlineStr">
        <is>
          <t>SPATEN ANIVERSARIANTE</t>
        </is>
      </c>
      <c r="C481" s="97" t="inlineStr">
        <is>
          <t xml:space="preserve">BRINDE </t>
        </is>
      </c>
      <c r="D481" s="98" t="inlineStr">
        <is>
          <t>Produto</t>
        </is>
      </c>
      <c r="E48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1" s="165" t="inlineStr">
        <is>
          <t>e6dddba8-c631-48c2-a9ce-c2a0cd8cfd26</t>
        </is>
      </c>
      <c r="G481" s="166">
        <f>IF(E481="","Inativo",IF(SUMPRODUCT(--(ISNUMBER(SEARCH({"Lapa","Santana","Mariana","Perdizes","André","Tatuapé","Madalena","Carinás","Pavão","Chac"},E481))))&gt;0,"Ativo","Inativo"))</f>
        <v/>
      </c>
    </row>
    <row r="482">
      <c r="A482" s="96" t="inlineStr">
        <is>
          <t>7898905687711</t>
        </is>
      </c>
      <c r="B482" s="97" t="inlineStr">
        <is>
          <t>ORIGINAL ANIVERSARIANTE</t>
        </is>
      </c>
      <c r="C482" s="97" t="inlineStr">
        <is>
          <t xml:space="preserve">BRINDE </t>
        </is>
      </c>
      <c r="D482" s="98" t="inlineStr">
        <is>
          <t>Produto</t>
        </is>
      </c>
      <c r="E48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2" s="165" t="inlineStr">
        <is>
          <t>9781196d-9e57-47bc-96e4-41d512cdae15</t>
        </is>
      </c>
      <c r="G482" s="166">
        <f>IF(E482="","Inativo",IF(SUMPRODUCT(--(ISNUMBER(SEARCH({"Lapa","Santana","Mariana","Perdizes","André","Tatuapé","Madalena","Carinás","Pavão","Chac"},E482))))&gt;0,"Ativo","Inativo"))</f>
        <v/>
      </c>
    </row>
    <row r="483">
      <c r="A483" s="96" t="inlineStr">
        <is>
          <t>7898905687713</t>
        </is>
      </c>
      <c r="B483" s="97" t="inlineStr">
        <is>
          <t>BEEFEATER ANIVERSARIANTE</t>
        </is>
      </c>
      <c r="C483" s="97" t="inlineStr">
        <is>
          <t xml:space="preserve">BRINDE </t>
        </is>
      </c>
      <c r="D483" s="98" t="inlineStr">
        <is>
          <t>Produto</t>
        </is>
      </c>
      <c r="E48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t>
        </is>
      </c>
      <c r="F483" s="165" t="inlineStr">
        <is>
          <t>e2431297-3820-4c52-b9cd-54dae5a27c3f</t>
        </is>
      </c>
      <c r="G483" s="166">
        <f>IF(E483="","Inativo",IF(SUMPRODUCT(--(ISNUMBER(SEARCH({"Lapa","Santana","Mariana","Perdizes","André","Tatuapé","Madalena","Carinás","Pavão","Chac"},E483))))&gt;0,"Ativo","Inativo"))</f>
        <v/>
      </c>
    </row>
    <row r="484">
      <c r="A484" s="96" t="inlineStr">
        <is>
          <t>78989056877173</t>
        </is>
      </c>
      <c r="B484" s="97" t="inlineStr">
        <is>
          <t>FRUTA C/ CHOCOLATE ANIVERSARIANTE</t>
        </is>
      </c>
      <c r="C484" s="97" t="inlineStr">
        <is>
          <t xml:space="preserve">BRINDE </t>
        </is>
      </c>
      <c r="D484" s="98" t="inlineStr">
        <is>
          <t>Produto</t>
        </is>
      </c>
      <c r="E48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84" s="165" t="inlineStr">
        <is>
          <t>3b102410-1a72-4ee6-8b83-d384a4cd3b7f</t>
        </is>
      </c>
      <c r="G484" s="166">
        <f>IF(E484="","Inativo",IF(SUMPRODUCT(--(ISNUMBER(SEARCH({"Lapa","Santana","Mariana","Perdizes","André","Tatuapé","Madalena","Carinás","Pavão","Chac"},E484))))&gt;0,"Ativo","Inativo"))</f>
        <v/>
      </c>
    </row>
    <row r="485">
      <c r="A485" s="96" t="inlineStr">
        <is>
          <t>78989056877174</t>
        </is>
      </c>
      <c r="B485" s="97" t="inlineStr">
        <is>
          <t>BRINDE URSO</t>
        </is>
      </c>
      <c r="C485" s="97" t="inlineStr">
        <is>
          <t xml:space="preserve">BRINDE </t>
        </is>
      </c>
      <c r="D485" s="98" t="inlineStr">
        <is>
          <t>Produto</t>
        </is>
      </c>
      <c r="E48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85" s="165" t="inlineStr">
        <is>
          <t>d0a2b9f9-94b3-44df-a00c-762f97d4c59c</t>
        </is>
      </c>
      <c r="G485" s="166">
        <f>IF(E485="","Inativo",IF(SUMPRODUCT(--(ISNUMBER(SEARCH({"Lapa","Santana","Mariana","Perdizes","André","Tatuapé","Madalena","Carinás","Pavão","Chac"},E485))))&gt;0,"Ativo","Inativo"))</f>
        <v/>
      </c>
    </row>
    <row r="486">
      <c r="A486" s="96" t="inlineStr">
        <is>
          <t>78989056877197</t>
        </is>
      </c>
      <c r="B486" s="97" t="inlineStr">
        <is>
          <t>VOUCHER CAIPIRINHA DE SAKE</t>
        </is>
      </c>
      <c r="C486" s="97" t="inlineStr">
        <is>
          <t xml:space="preserve">BRINDE </t>
        </is>
      </c>
      <c r="D486" s="98" t="inlineStr">
        <is>
          <t>Produto</t>
        </is>
      </c>
      <c r="E48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6" s="165" t="inlineStr">
        <is>
          <t>079949f2-79b4-4869-a811-eb8022aa9dd1</t>
        </is>
      </c>
      <c r="G486" s="166">
        <f>IF(E486="","Inativo",IF(SUMPRODUCT(--(ISNUMBER(SEARCH({"Lapa","Santana","Mariana","Perdizes","André","Tatuapé","Madalena","Carinás","Pavão","Chac"},E486))))&gt;0,"Ativo","Inativo"))</f>
        <v/>
      </c>
    </row>
    <row r="487">
      <c r="A487" s="96" t="inlineStr">
        <is>
          <t>78989056877198</t>
        </is>
      </c>
      <c r="B487" s="97" t="inlineStr">
        <is>
          <t>VOUCHER CAIPIRINHA DE VODKA NACIONAL</t>
        </is>
      </c>
      <c r="C487" s="97" t="inlineStr">
        <is>
          <t xml:space="preserve">BRINDE </t>
        </is>
      </c>
      <c r="D487" s="98" t="inlineStr">
        <is>
          <t>Produto</t>
        </is>
      </c>
      <c r="E48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7" s="165" t="inlineStr">
        <is>
          <t>fb0725d0-4d8a-4c55-ab27-def2f93d1ffb</t>
        </is>
      </c>
      <c r="G487" s="166">
        <f>IF(E487="","Inativo",IF(SUMPRODUCT(--(ISNUMBER(SEARCH({"Lapa","Santana","Mariana","Perdizes","André","Tatuapé","Madalena","Carinás","Pavão","Chac"},E487))))&gt;0,"Ativo","Inativo"))</f>
        <v/>
      </c>
    </row>
    <row r="488">
      <c r="A488" s="96" t="inlineStr">
        <is>
          <t>78989056877199</t>
        </is>
      </c>
      <c r="B488" s="97" t="inlineStr">
        <is>
          <t>VOUCHER CAIPIRINHA DE CACHAÇA</t>
        </is>
      </c>
      <c r="C488" s="97" t="inlineStr">
        <is>
          <t xml:space="preserve">BRINDE </t>
        </is>
      </c>
      <c r="D488" s="98" t="inlineStr">
        <is>
          <t>Produto</t>
        </is>
      </c>
      <c r="E48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8" s="165" t="inlineStr">
        <is>
          <t>532c512f-6f35-48e4-adf4-be69d0eda6c6</t>
        </is>
      </c>
      <c r="G488" s="166">
        <f>IF(E488="","Inativo",IF(SUMPRODUCT(--(ISNUMBER(SEARCH({"Lapa","Santana","Mariana","Perdizes","André","Tatuapé","Madalena","Carinás","Pavão","Chac"},E488))))&gt;0,"Ativo","Inativo"))</f>
        <v/>
      </c>
    </row>
    <row r="489">
      <c r="A489" s="96" t="inlineStr">
        <is>
          <t>78989056877246</t>
        </is>
      </c>
      <c r="B489" s="97" t="inlineStr">
        <is>
          <t>LICOR DE COCO ANIVERSARIO</t>
        </is>
      </c>
      <c r="C489" s="97" t="inlineStr">
        <is>
          <t xml:space="preserve">BRINDE </t>
        </is>
      </c>
      <c r="D489" s="98" t="inlineStr">
        <is>
          <t>Produto</t>
        </is>
      </c>
      <c r="E489"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89" s="165" t="inlineStr">
        <is>
          <t>a69d7025-0c67-4f7f-acab-f1f9b3a08608</t>
        </is>
      </c>
      <c r="G489" s="166">
        <f>IF(E489="","Inativo",IF(SUMPRODUCT(--(ISNUMBER(SEARCH({"Lapa","Santana","Mariana","Perdizes","André","Tatuapé","Madalena","Carinás","Pavão","Chac"},E489))))&gt;0,"Ativo","Inativo"))</f>
        <v/>
      </c>
    </row>
    <row r="490">
      <c r="A490" s="96" t="inlineStr">
        <is>
          <t>78989956877334</t>
        </is>
      </c>
      <c r="B490" s="97" t="inlineStr">
        <is>
          <t>BOLO ANIVERSARIO CHOCOLATE (BRINDE)</t>
        </is>
      </c>
      <c r="C490" s="97" t="inlineStr">
        <is>
          <t xml:space="preserve">BRINDE </t>
        </is>
      </c>
      <c r="D490" s="98" t="inlineStr">
        <is>
          <t>Produto</t>
        </is>
      </c>
      <c r="E490" s="164" t="inlineStr">
        <is>
          <t>Quintal do Espeto Tatuapé, Quintal do Espeto Carinás</t>
        </is>
      </c>
      <c r="F490" s="165" t="inlineStr">
        <is>
          <t>be08cb5c-c113-47a2-879a-d14247639a7d</t>
        </is>
      </c>
      <c r="G490" s="166">
        <f>IF(E490="","Inativo",IF(SUMPRODUCT(--(ISNUMBER(SEARCH({"Lapa","Santana","Mariana","Perdizes","André","Tatuapé","Madalena","Carinás","Pavão","Chac"},E490))))&gt;0,"Ativo","Inativo"))</f>
        <v/>
      </c>
    </row>
    <row r="491">
      <c r="A491" s="96" t="inlineStr">
        <is>
          <t>78989956877335</t>
        </is>
      </c>
      <c r="B491" s="97" t="inlineStr">
        <is>
          <t>BOLO ANIVERSARIO (BRINDE)</t>
        </is>
      </c>
      <c r="C491" s="97" t="inlineStr">
        <is>
          <t xml:space="preserve">BRINDE </t>
        </is>
      </c>
      <c r="D491" s="98" t="inlineStr">
        <is>
          <t>Produto</t>
        </is>
      </c>
      <c r="E491" s="164" t="inlineStr">
        <is>
          <t>Quintal do Espeto Tatuapé, Quintal do Espeto Carinás</t>
        </is>
      </c>
      <c r="F491" s="165" t="inlineStr">
        <is>
          <t>e135c944-d316-40de-b399-079d7bc6a667</t>
        </is>
      </c>
      <c r="G491" s="166">
        <f>IF(E491="","Inativo",IF(SUMPRODUCT(--(ISNUMBER(SEARCH({"Lapa","Santana","Mariana","Perdizes","André","Tatuapé","Madalena","Carinás","Pavão","Chac"},E491))))&gt;0,"Ativo","Inativo"))</f>
        <v/>
      </c>
    </row>
    <row r="492">
      <c r="A492" s="96" t="inlineStr">
        <is>
          <t>9003397</t>
        </is>
      </c>
      <c r="B492" s="97" t="inlineStr">
        <is>
          <t>CACHAÇA DO QUINTAL  ANIVERSARIANTE</t>
        </is>
      </c>
      <c r="C492" s="97" t="inlineStr">
        <is>
          <t xml:space="preserve">BRINDE </t>
        </is>
      </c>
      <c r="D492" s="98" t="inlineStr">
        <is>
          <t>Produto</t>
        </is>
      </c>
      <c r="E49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492" s="165" t="inlineStr">
        <is>
          <t>053be969-93b9-4faa-b1b6-cd31118e1f1f</t>
        </is>
      </c>
      <c r="G492" s="166">
        <f>IF(E492="","Inativo",IF(SUMPRODUCT(--(ISNUMBER(SEARCH({"Lapa","Santana","Mariana","Perdizes","André","Tatuapé","Madalena","Carinás","Pavão","Chac"},E492))))&gt;0,"Ativo","Inativo"))</f>
        <v/>
      </c>
    </row>
    <row r="493">
      <c r="A493" s="96" t="inlineStr">
        <is>
          <t>9003508</t>
        </is>
      </c>
      <c r="B493" s="97" t="inlineStr">
        <is>
          <t>BLACK LABEL ANIVERSARIANTE</t>
        </is>
      </c>
      <c r="C493" s="97" t="inlineStr">
        <is>
          <t xml:space="preserve">BRINDE </t>
        </is>
      </c>
      <c r="D493" s="98" t="inlineStr">
        <is>
          <t>Produto</t>
        </is>
      </c>
      <c r="E49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493" s="165" t="inlineStr">
        <is>
          <t>8ed11cf4-c81f-417f-a016-224adeef9d7d</t>
        </is>
      </c>
      <c r="G493" s="166">
        <f>IF(E493="","Inativo",IF(SUMPRODUCT(--(ISNUMBER(SEARCH({"Lapa","Santana","Mariana","Perdizes","André","Tatuapé","Madalena","Carinás","Pavão","Chac"},E493))))&gt;0,"Ativo","Inativo"))</f>
        <v/>
      </c>
    </row>
    <row r="494">
      <c r="A494" s="96" t="inlineStr">
        <is>
          <t>78989056877341</t>
        </is>
      </c>
      <c r="B494" s="97" t="inlineStr">
        <is>
          <t>Espeto Bovino</t>
        </is>
      </c>
      <c r="C494" s="97" t="inlineStr">
        <is>
          <t>EVENTOS RUA</t>
        </is>
      </c>
      <c r="D494" s="98" t="inlineStr">
        <is>
          <t>Produto</t>
        </is>
      </c>
      <c r="E494" s="164" t="inlineStr">
        <is>
          <t>Quintal do Espeto Carinás</t>
        </is>
      </c>
      <c r="F494" s="165" t="inlineStr">
        <is>
          <t>cd55c9fd-5317-4e92-a44c-4f69e31f5816</t>
        </is>
      </c>
      <c r="G494" s="166">
        <f>IF(E494="","Inativo",IF(SUMPRODUCT(--(ISNUMBER(SEARCH({"Lapa","Santana","Mariana","Perdizes","André","Tatuapé","Madalena","Carinás","Pavão","Chac"},E494))))&gt;0,"Ativo","Inativo"))</f>
        <v/>
      </c>
    </row>
    <row r="495">
      <c r="A495" s="96" t="inlineStr">
        <is>
          <t>78989056877342</t>
        </is>
      </c>
      <c r="B495" s="97" t="inlineStr">
        <is>
          <t>Espeto Calabresa com Pimenta</t>
        </is>
      </c>
      <c r="C495" s="97" t="inlineStr">
        <is>
          <t>EVENTOS RUA</t>
        </is>
      </c>
      <c r="D495" s="98" t="inlineStr">
        <is>
          <t>Produto</t>
        </is>
      </c>
      <c r="E495" s="164" t="inlineStr">
        <is>
          <t>Quintal do Espeto Carinás</t>
        </is>
      </c>
      <c r="F495" s="165" t="inlineStr">
        <is>
          <t>51da29d4-424b-4406-a90d-e6a083bffa3a</t>
        </is>
      </c>
      <c r="G495" s="166">
        <f>IF(E495="","Inativo",IF(SUMPRODUCT(--(ISNUMBER(SEARCH({"Lapa","Santana","Mariana","Perdizes","André","Tatuapé","Madalena","Carinás","Pavão","Chac"},E495))))&gt;0,"Ativo","Inativo"))</f>
        <v/>
      </c>
    </row>
    <row r="496">
      <c r="A496" s="96" t="inlineStr">
        <is>
          <t>78989056877343</t>
        </is>
      </c>
      <c r="B496" s="97" t="inlineStr">
        <is>
          <t xml:space="preserve">Espeto de Calabresa </t>
        </is>
      </c>
      <c r="C496" s="97" t="inlineStr">
        <is>
          <t>EVENTOS RUA</t>
        </is>
      </c>
      <c r="D496" s="98" t="inlineStr">
        <is>
          <t>Produto</t>
        </is>
      </c>
      <c r="E496" s="164" t="inlineStr">
        <is>
          <t>Quintal do Espeto Carinás</t>
        </is>
      </c>
      <c r="F496" s="165" t="inlineStr">
        <is>
          <t>517825da-d89b-4749-8e48-debe74ed2c8a</t>
        </is>
      </c>
      <c r="G496" s="166">
        <f>IF(E496="","Inativo",IF(SUMPRODUCT(--(ISNUMBER(SEARCH({"Lapa","Santana","Mariana","Perdizes","André","Tatuapé","Madalena","Carinás","Pavão","Chac"},E496))))&gt;0,"Ativo","Inativo"))</f>
        <v/>
      </c>
    </row>
    <row r="497">
      <c r="A497" s="96" t="inlineStr">
        <is>
          <t>78989056877344</t>
        </is>
      </c>
      <c r="B497" s="97" t="inlineStr">
        <is>
          <t>Espeto de Coracao</t>
        </is>
      </c>
      <c r="C497" s="97" t="inlineStr">
        <is>
          <t>EVENTOS RUA</t>
        </is>
      </c>
      <c r="D497" s="98" t="inlineStr">
        <is>
          <t>Produto</t>
        </is>
      </c>
      <c r="E497" s="164" t="inlineStr">
        <is>
          <t>Quintal do Espeto Carinás</t>
        </is>
      </c>
      <c r="F497" s="165" t="inlineStr">
        <is>
          <t>d2f44a01-a05f-42f6-84d5-c1998bdd73aa</t>
        </is>
      </c>
      <c r="G497" s="166">
        <f>IF(E497="","Inativo",IF(SUMPRODUCT(--(ISNUMBER(SEARCH({"Lapa","Santana","Mariana","Perdizes","André","Tatuapé","Madalena","Carinás","Pavão","Chac"},E497))))&gt;0,"Ativo","Inativo"))</f>
        <v/>
      </c>
    </row>
    <row r="498">
      <c r="A498" s="96" t="inlineStr">
        <is>
          <t>78989056877345</t>
        </is>
      </c>
      <c r="B498" s="97" t="inlineStr">
        <is>
          <t>Espeto de Kafta</t>
        </is>
      </c>
      <c r="C498" s="97" t="inlineStr">
        <is>
          <t>EVENTOS RUA</t>
        </is>
      </c>
      <c r="D498" s="98" t="inlineStr">
        <is>
          <t>Produto</t>
        </is>
      </c>
      <c r="E498" s="164" t="inlineStr">
        <is>
          <t>Quintal do Espeto Carinás</t>
        </is>
      </c>
      <c r="F498" s="165" t="inlineStr">
        <is>
          <t>f35a6b72-ae0a-4e2d-8ae7-07e88c6753e7</t>
        </is>
      </c>
      <c r="G498" s="166">
        <f>IF(E498="","Inativo",IF(SUMPRODUCT(--(ISNUMBER(SEARCH({"Lapa","Santana","Mariana","Perdizes","André","Tatuapé","Madalena","Carinás","Pavão","Chac"},E498))))&gt;0,"Ativo","Inativo"))</f>
        <v/>
      </c>
    </row>
    <row r="499">
      <c r="A499" s="96" t="inlineStr">
        <is>
          <t>78989056877346</t>
        </is>
      </c>
      <c r="B499" s="97" t="inlineStr">
        <is>
          <t>Espeto de Pao de Alho</t>
        </is>
      </c>
      <c r="C499" s="97" t="inlineStr">
        <is>
          <t>EVENTOS RUA</t>
        </is>
      </c>
      <c r="D499" s="98" t="inlineStr">
        <is>
          <t>Produto</t>
        </is>
      </c>
      <c r="E499" s="164" t="inlineStr">
        <is>
          <t>Quintal do Espeto Carinás</t>
        </is>
      </c>
      <c r="F499" s="165" t="inlineStr">
        <is>
          <t>e7f14927-def2-48b1-8675-bce0dbaae9fd</t>
        </is>
      </c>
      <c r="G499" s="166">
        <f>IF(E499="","Inativo",IF(SUMPRODUCT(--(ISNUMBER(SEARCH({"Lapa","Santana","Mariana","Perdizes","André","Tatuapé","Madalena","Carinás","Pavão","Chac"},E499))))&gt;0,"Ativo","Inativo"))</f>
        <v/>
      </c>
    </row>
    <row r="500">
      <c r="A500" s="96" t="inlineStr">
        <is>
          <t>78989056877347</t>
        </is>
      </c>
      <c r="B500" s="97" t="inlineStr">
        <is>
          <t>Espeto de Queijo Coalho</t>
        </is>
      </c>
      <c r="C500" s="97" t="inlineStr">
        <is>
          <t>EVENTOS RUA</t>
        </is>
      </c>
      <c r="D500" s="98" t="inlineStr">
        <is>
          <t>Produto</t>
        </is>
      </c>
      <c r="E500" s="164" t="inlineStr">
        <is>
          <t>Quintal do Espeto Carinás</t>
        </is>
      </c>
      <c r="F500" s="165" t="inlineStr">
        <is>
          <t>a4ea9239-458b-4e1b-b6ca-d147040f5d01</t>
        </is>
      </c>
      <c r="G500" s="166">
        <f>IF(E500="","Inativo",IF(SUMPRODUCT(--(ISNUMBER(SEARCH({"Lapa","Santana","Mariana","Perdizes","André","Tatuapé","Madalena","Carinás","Pavão","Chac"},E500))))&gt;0,"Ativo","Inativo"))</f>
        <v/>
      </c>
    </row>
    <row r="501">
      <c r="A501" s="96" t="inlineStr">
        <is>
          <t>78989056877348</t>
        </is>
      </c>
      <c r="B501" s="97" t="inlineStr">
        <is>
          <t>Espeto de Panceta</t>
        </is>
      </c>
      <c r="C501" s="97" t="inlineStr">
        <is>
          <t>EVENTOS RUA</t>
        </is>
      </c>
      <c r="D501" s="98" t="inlineStr">
        <is>
          <t>Produto</t>
        </is>
      </c>
      <c r="E501" s="164" t="inlineStr">
        <is>
          <t>Quintal do Espeto Carinás</t>
        </is>
      </c>
      <c r="F501" s="165" t="inlineStr">
        <is>
          <t>a4a88b9c-e3e8-41d3-ab53-a4e542a22850</t>
        </is>
      </c>
      <c r="G501" s="166">
        <f>IF(E501="","Inativo",IF(SUMPRODUCT(--(ISNUMBER(SEARCH({"Lapa","Santana","Mariana","Perdizes","André","Tatuapé","Madalena","Carinás","Pavão","Chac"},E501))))&gt;0,"Ativo","Inativo"))</f>
        <v/>
      </c>
    </row>
    <row r="502">
      <c r="A502" s="96" t="inlineStr">
        <is>
          <t>78989056877349</t>
        </is>
      </c>
      <c r="B502" s="97" t="inlineStr">
        <is>
          <t>Espeto de Frango</t>
        </is>
      </c>
      <c r="C502" s="97" t="inlineStr">
        <is>
          <t>EVENTOS RUA</t>
        </is>
      </c>
      <c r="D502" s="98" t="inlineStr">
        <is>
          <t>Produto</t>
        </is>
      </c>
      <c r="E502" s="164" t="inlineStr">
        <is>
          <t>Quintal do Espeto Carinás</t>
        </is>
      </c>
      <c r="F502" s="165" t="inlineStr">
        <is>
          <t>6e64b55d-a683-4c56-a318-37a5e0bddb4c</t>
        </is>
      </c>
      <c r="G502" s="166">
        <f>IF(E502="","Inativo",IF(SUMPRODUCT(--(ISNUMBER(SEARCH({"Lapa","Santana","Mariana","Perdizes","André","Tatuapé","Madalena","Carinás","Pavão","Chac"},E502))))&gt;0,"Ativo","Inativo"))</f>
        <v/>
      </c>
    </row>
    <row r="503">
      <c r="A503" s="96" t="inlineStr">
        <is>
          <t>78989056877350</t>
        </is>
      </c>
      <c r="B503" s="97" t="inlineStr">
        <is>
          <t>Espeto de Salsichao</t>
        </is>
      </c>
      <c r="C503" s="97" t="inlineStr">
        <is>
          <t>EVENTOS RUA</t>
        </is>
      </c>
      <c r="D503" s="98" t="inlineStr">
        <is>
          <t>Produto</t>
        </is>
      </c>
      <c r="E503" s="164" t="inlineStr">
        <is>
          <t>Quintal do Espeto Carinás</t>
        </is>
      </c>
      <c r="F503" s="165" t="inlineStr">
        <is>
          <t>41743991-c044-4793-81d6-d19ba09e7f01</t>
        </is>
      </c>
      <c r="G503" s="166">
        <f>IF(E503="","Inativo",IF(SUMPRODUCT(--(ISNUMBER(SEARCH({"Lapa","Santana","Mariana","Perdizes","André","Tatuapé","Madalena","Carinás","Pavão","Chac"},E503))))&gt;0,"Ativo","Inativo"))</f>
        <v/>
      </c>
    </row>
    <row r="504">
      <c r="A504" s="96" t="inlineStr">
        <is>
          <t>78989056877351</t>
        </is>
      </c>
      <c r="B504" s="97" t="inlineStr">
        <is>
          <t>Cerveja Original Lata 350 ml</t>
        </is>
      </c>
      <c r="C504" s="97" t="inlineStr">
        <is>
          <t>EVENTOS RUA</t>
        </is>
      </c>
      <c r="D504" s="98" t="inlineStr">
        <is>
          <t>Produto</t>
        </is>
      </c>
      <c r="E504" s="164" t="inlineStr">
        <is>
          <t>Quintal do Espeto Carinás</t>
        </is>
      </c>
      <c r="F504" s="165" t="inlineStr">
        <is>
          <t>90f3284b-e83e-48c2-813a-18247d1ec673</t>
        </is>
      </c>
      <c r="G504" s="166">
        <f>IF(E504="","Inativo",IF(SUMPRODUCT(--(ISNUMBER(SEARCH({"Lapa","Santana","Mariana","Perdizes","André","Tatuapé","Madalena","Carinás","Pavão","Chac"},E504))))&gt;0,"Ativo","Inativo"))</f>
        <v/>
      </c>
    </row>
    <row r="505">
      <c r="A505" s="96" t="inlineStr">
        <is>
          <t>78989056877352</t>
        </is>
      </c>
      <c r="B505" s="97" t="inlineStr">
        <is>
          <t>Cerveja Spaten Lata 350 ml</t>
        </is>
      </c>
      <c r="C505" s="97" t="inlineStr">
        <is>
          <t>EVENTOS RUA</t>
        </is>
      </c>
      <c r="D505" s="98" t="inlineStr">
        <is>
          <t>Produto</t>
        </is>
      </c>
      <c r="E505" s="164" t="inlineStr">
        <is>
          <t>Quintal do Espeto Carinás</t>
        </is>
      </c>
      <c r="F505" s="165" t="inlineStr">
        <is>
          <t>bf584a72-a0e9-4bd4-9da4-0d8a108acf98</t>
        </is>
      </c>
      <c r="G505" s="166">
        <f>IF(E505="","Inativo",IF(SUMPRODUCT(--(ISNUMBER(SEARCH({"Lapa","Santana","Mariana","Perdizes","André","Tatuapé","Madalena","Carinás","Pavão","Chac"},E505))))&gt;0,"Ativo","Inativo"))</f>
        <v/>
      </c>
    </row>
    <row r="506">
      <c r="A506" s="96" t="inlineStr">
        <is>
          <t>78989056877353</t>
        </is>
      </c>
      <c r="B506" s="97" t="inlineStr">
        <is>
          <t>Balde de Spaten Lata</t>
        </is>
      </c>
      <c r="C506" s="97" t="inlineStr">
        <is>
          <t>EVENTOS RUA</t>
        </is>
      </c>
      <c r="D506" s="98" t="inlineStr">
        <is>
          <t>Produto</t>
        </is>
      </c>
      <c r="E506" s="164" t="inlineStr">
        <is>
          <t>Quintal do Espeto Carinás</t>
        </is>
      </c>
      <c r="F506" s="165" t="inlineStr">
        <is>
          <t>f38e9fb1-37d5-4952-a2fb-a90b3ce42b49</t>
        </is>
      </c>
      <c r="G506" s="166">
        <f>IF(E506="","Inativo",IF(SUMPRODUCT(--(ISNUMBER(SEARCH({"Lapa","Santana","Mariana","Perdizes","André","Tatuapé","Madalena","Carinás","Pavão","Chac"},E506))))&gt;0,"Ativo","Inativo"))</f>
        <v/>
      </c>
    </row>
    <row r="507">
      <c r="A507" s="96" t="inlineStr">
        <is>
          <t>78989056877354</t>
        </is>
      </c>
      <c r="B507" s="97" t="inlineStr">
        <is>
          <t>Balde de Original Lata</t>
        </is>
      </c>
      <c r="C507" s="97" t="inlineStr">
        <is>
          <t>EVENTOS RUA</t>
        </is>
      </c>
      <c r="D507" s="98" t="inlineStr">
        <is>
          <t>Produto</t>
        </is>
      </c>
      <c r="E507" s="164" t="inlineStr">
        <is>
          <t>Quintal do Espeto Carinás</t>
        </is>
      </c>
      <c r="F507" s="165" t="inlineStr">
        <is>
          <t>6113c794-a8aa-4746-a5d1-b74cdf50bbe0</t>
        </is>
      </c>
      <c r="G507" s="166">
        <f>IF(E507="","Inativo",IF(SUMPRODUCT(--(ISNUMBER(SEARCH({"Lapa","Santana","Mariana","Perdizes","André","Tatuapé","Madalena","Carinás","Pavão","Chac"},E507))))&gt;0,"Ativo","Inativo"))</f>
        <v/>
      </c>
    </row>
    <row r="508">
      <c r="A508" s="96" t="inlineStr">
        <is>
          <t>78989056877355</t>
        </is>
      </c>
      <c r="B508" s="97" t="inlineStr">
        <is>
          <t>Pepsi Lata</t>
        </is>
      </c>
      <c r="C508" s="97" t="inlineStr">
        <is>
          <t>EVENTOS RUA</t>
        </is>
      </c>
      <c r="D508" s="98" t="inlineStr">
        <is>
          <t>Produto</t>
        </is>
      </c>
      <c r="E508" s="164" t="inlineStr">
        <is>
          <t>Quintal do Espeto Carinás</t>
        </is>
      </c>
      <c r="F508" s="165" t="inlineStr">
        <is>
          <t>d0a2d86a-985a-42fc-bd44-2c1f7c3fd5fd</t>
        </is>
      </c>
      <c r="G508" s="166">
        <f>IF(E508="","Inativo",IF(SUMPRODUCT(--(ISNUMBER(SEARCH({"Lapa","Santana","Mariana","Perdizes","André","Tatuapé","Madalena","Carinás","Pavão","Chac"},E508))))&gt;0,"Ativo","Inativo"))</f>
        <v/>
      </c>
    </row>
    <row r="509">
      <c r="A509" s="96" t="inlineStr">
        <is>
          <t>78989056877356</t>
        </is>
      </c>
      <c r="B509" s="97" t="inlineStr">
        <is>
          <t>Pepsi Zero Lata</t>
        </is>
      </c>
      <c r="C509" s="97" t="inlineStr">
        <is>
          <t>EVENTOS RUA</t>
        </is>
      </c>
      <c r="D509" s="98" t="inlineStr">
        <is>
          <t>Produto</t>
        </is>
      </c>
      <c r="E509" s="164" t="inlineStr">
        <is>
          <t>Quintal do Espeto Carinás</t>
        </is>
      </c>
      <c r="F509" s="165" t="inlineStr">
        <is>
          <t>ed40d953-e060-4ea7-84ae-6bd17d6e9388</t>
        </is>
      </c>
      <c r="G509" s="166">
        <f>IF(E509="","Inativo",IF(SUMPRODUCT(--(ISNUMBER(SEARCH({"Lapa","Santana","Mariana","Perdizes","André","Tatuapé","Madalena","Carinás","Pavão","Chac"},E509))))&gt;0,"Ativo","Inativo"))</f>
        <v/>
      </c>
    </row>
    <row r="510">
      <c r="A510" s="96" t="inlineStr">
        <is>
          <t>78989056877357</t>
        </is>
      </c>
      <c r="B510" s="97" t="inlineStr">
        <is>
          <t>Guarana Lata</t>
        </is>
      </c>
      <c r="C510" s="97" t="inlineStr">
        <is>
          <t>EVENTOS RUA</t>
        </is>
      </c>
      <c r="D510" s="98" t="inlineStr">
        <is>
          <t>Produto</t>
        </is>
      </c>
      <c r="E510" s="164" t="inlineStr">
        <is>
          <t>Quintal do Espeto Carinás</t>
        </is>
      </c>
      <c r="F510" s="165" t="inlineStr">
        <is>
          <t>766b18de-703e-4082-8b42-a9086daee7b3</t>
        </is>
      </c>
      <c r="G510" s="166">
        <f>IF(E510="","Inativo",IF(SUMPRODUCT(--(ISNUMBER(SEARCH({"Lapa","Santana","Mariana","Perdizes","André","Tatuapé","Madalena","Carinás","Pavão","Chac"},E510))))&gt;0,"Ativo","Inativo"))</f>
        <v/>
      </c>
    </row>
    <row r="511">
      <c r="A511" s="96" t="inlineStr">
        <is>
          <t>78989056877358</t>
        </is>
      </c>
      <c r="B511" s="97" t="inlineStr">
        <is>
          <t>Guarana Zero Lata</t>
        </is>
      </c>
      <c r="C511" s="97" t="inlineStr">
        <is>
          <t>EVENTOS RUA</t>
        </is>
      </c>
      <c r="D511" s="98" t="inlineStr">
        <is>
          <t>Produto</t>
        </is>
      </c>
      <c r="E511" s="164" t="inlineStr">
        <is>
          <t>Quintal do Espeto Carinás</t>
        </is>
      </c>
      <c r="F511" s="165" t="inlineStr">
        <is>
          <t>b82f5270-28dd-4625-9efc-904b5ef50ded</t>
        </is>
      </c>
      <c r="G511" s="166">
        <f>IF(E511="","Inativo",IF(SUMPRODUCT(--(ISNUMBER(SEARCH({"Lapa","Santana","Mariana","Perdizes","André","Tatuapé","Madalena","Carinás","Pavão","Chac"},E511))))&gt;0,"Ativo","Inativo"))</f>
        <v/>
      </c>
    </row>
    <row r="512">
      <c r="A512" s="96" t="inlineStr">
        <is>
          <t>78989056877359</t>
        </is>
      </c>
      <c r="B512" s="97" t="inlineStr">
        <is>
          <t>Redbull Lata</t>
        </is>
      </c>
      <c r="C512" s="97" t="inlineStr">
        <is>
          <t>EVENTOS RUA</t>
        </is>
      </c>
      <c r="D512" s="98" t="inlineStr">
        <is>
          <t>Produto</t>
        </is>
      </c>
      <c r="E512" s="164" t="inlineStr">
        <is>
          <t>Quintal do Espeto Carinás</t>
        </is>
      </c>
      <c r="F512" s="165" t="inlineStr">
        <is>
          <t>4d7ec6fb-9672-4e23-b62a-907c8d81632c</t>
        </is>
      </c>
      <c r="G512" s="166">
        <f>IF(E512="","Inativo",IF(SUMPRODUCT(--(ISNUMBER(SEARCH({"Lapa","Santana","Mariana","Perdizes","André","Tatuapé","Madalena","Carinás","Pavão","Chac"},E512))))&gt;0,"Ativo","Inativo"))</f>
        <v/>
      </c>
    </row>
    <row r="513">
      <c r="A513" s="96" t="inlineStr">
        <is>
          <t>78989056877360</t>
        </is>
      </c>
      <c r="B513" s="97" t="inlineStr">
        <is>
          <t>Redbull Tropical Lata</t>
        </is>
      </c>
      <c r="C513" s="97" t="inlineStr">
        <is>
          <t>EVENTOS RUA</t>
        </is>
      </c>
      <c r="D513" s="98" t="inlineStr">
        <is>
          <t>Produto</t>
        </is>
      </c>
      <c r="E513" s="164" t="inlineStr">
        <is>
          <t>Quintal do Espeto Carinás</t>
        </is>
      </c>
      <c r="F513" s="165" t="inlineStr">
        <is>
          <t>4f52e2c7-f23b-4a9b-9582-d24dcf94699d</t>
        </is>
      </c>
      <c r="G513" s="166">
        <f>IF(E513="","Inativo",IF(SUMPRODUCT(--(ISNUMBER(SEARCH({"Lapa","Santana","Mariana","Perdizes","André","Tatuapé","Madalena","Carinás","Pavão","Chac"},E513))))&gt;0,"Ativo","Inativo"))</f>
        <v/>
      </c>
    </row>
    <row r="514">
      <c r="A514" s="96" t="inlineStr">
        <is>
          <t>78989056877361</t>
        </is>
      </c>
      <c r="B514" s="97" t="inlineStr">
        <is>
          <t>Redbull Melancia Lata</t>
        </is>
      </c>
      <c r="C514" s="97" t="inlineStr">
        <is>
          <t>EVENTOS RUA</t>
        </is>
      </c>
      <c r="D514" s="98" t="inlineStr">
        <is>
          <t>Produto</t>
        </is>
      </c>
      <c r="E514" s="164" t="inlineStr">
        <is>
          <t>Quintal do Espeto Carinás</t>
        </is>
      </c>
      <c r="F514" s="165" t="inlineStr">
        <is>
          <t>83d4b9c1-8b42-451d-b4f2-85b47813a9d4</t>
        </is>
      </c>
      <c r="G514" s="166">
        <f>IF(E514="","Inativo",IF(SUMPRODUCT(--(ISNUMBER(SEARCH({"Lapa","Santana","Mariana","Perdizes","André","Tatuapé","Madalena","Carinás","Pavão","Chac"},E514))))&gt;0,"Ativo","Inativo"))</f>
        <v/>
      </c>
    </row>
    <row r="515">
      <c r="A515" s="96" t="inlineStr">
        <is>
          <t>78989056877362</t>
        </is>
      </c>
      <c r="B515" s="97" t="inlineStr">
        <is>
          <t>Agua</t>
        </is>
      </c>
      <c r="C515" s="97" t="inlineStr">
        <is>
          <t>EVENTOS RUA</t>
        </is>
      </c>
      <c r="D515" s="98" t="inlineStr">
        <is>
          <t>Produto</t>
        </is>
      </c>
      <c r="E515" s="164" t="inlineStr">
        <is>
          <t>Quintal do Espeto Carinás</t>
        </is>
      </c>
      <c r="F515" s="165" t="inlineStr">
        <is>
          <t>3bec0929-5bdd-4e16-ba2a-ab005abbc441</t>
        </is>
      </c>
      <c r="G515" s="166">
        <f>IF(E515="","Inativo",IF(SUMPRODUCT(--(ISNUMBER(SEARCH({"Lapa","Santana","Mariana","Perdizes","André","Tatuapé","Madalena","Carinás","Pavão","Chac"},E515))))&gt;0,"Ativo","Inativo"))</f>
        <v/>
      </c>
    </row>
    <row r="516">
      <c r="A516" s="96" t="inlineStr">
        <is>
          <t>78989056877363</t>
        </is>
      </c>
      <c r="B516" s="97" t="inlineStr">
        <is>
          <t>Agua com Gas</t>
        </is>
      </c>
      <c r="C516" s="97" t="inlineStr">
        <is>
          <t>EVENTOS RUA</t>
        </is>
      </c>
      <c r="D516" s="98" t="inlineStr">
        <is>
          <t>Produto</t>
        </is>
      </c>
      <c r="E516" s="164" t="inlineStr">
        <is>
          <t>Quintal do Espeto Carinás</t>
        </is>
      </c>
      <c r="F516" s="165" t="inlineStr">
        <is>
          <t>feca4946-5d75-478d-85db-dde0e9b5d558</t>
        </is>
      </c>
      <c r="G516" s="166">
        <f>IF(E516="","Inativo",IF(SUMPRODUCT(--(ISNUMBER(SEARCH({"Lapa","Santana","Mariana","Perdizes","André","Tatuapé","Madalena","Carinás","Pavão","Chac"},E516))))&gt;0,"Ativo","Inativo"))</f>
        <v/>
      </c>
    </row>
    <row r="517">
      <c r="A517" s="96" t="inlineStr">
        <is>
          <t>78989056877364</t>
        </is>
      </c>
      <c r="B517" s="97" t="inlineStr">
        <is>
          <t>Sminorff Ice</t>
        </is>
      </c>
      <c r="C517" s="97" t="inlineStr">
        <is>
          <t>EVENTOS RUA</t>
        </is>
      </c>
      <c r="D517" s="98" t="inlineStr">
        <is>
          <t>Produto</t>
        </is>
      </c>
      <c r="E517" s="164" t="inlineStr">
        <is>
          <t>Quintal do Espeto Carinás</t>
        </is>
      </c>
      <c r="F517" s="165" t="inlineStr">
        <is>
          <t>3256985a-3528-44b2-a374-cc0bef32b38c</t>
        </is>
      </c>
      <c r="G517" s="166">
        <f>IF(E517="","Inativo",IF(SUMPRODUCT(--(ISNUMBER(SEARCH({"Lapa","Santana","Mariana","Perdizes","André","Tatuapé","Madalena","Carinás","Pavão","Chac"},E517))))&gt;0,"Ativo","Inativo"))</f>
        <v/>
      </c>
    </row>
    <row r="518">
      <c r="A518" s="96" t="inlineStr">
        <is>
          <t>78989056877365</t>
        </is>
      </c>
      <c r="B518" s="97" t="inlineStr">
        <is>
          <t>Copao Vodka + Energetico</t>
        </is>
      </c>
      <c r="C518" s="97" t="inlineStr">
        <is>
          <t>EVENTOS RUA</t>
        </is>
      </c>
      <c r="D518" s="98" t="inlineStr">
        <is>
          <t>Produto</t>
        </is>
      </c>
      <c r="E518" s="164" t="inlineStr">
        <is>
          <t>Quintal do Espeto Carinás</t>
        </is>
      </c>
      <c r="F518" s="165" t="inlineStr">
        <is>
          <t>1473bdca-6774-4336-b231-a90f5cf7c2ec</t>
        </is>
      </c>
      <c r="G518" s="166">
        <f>IF(E518="","Inativo",IF(SUMPRODUCT(--(ISNUMBER(SEARCH({"Lapa","Santana","Mariana","Perdizes","André","Tatuapé","Madalena","Carinás","Pavão","Chac"},E518))))&gt;0,"Ativo","Inativo"))</f>
        <v/>
      </c>
    </row>
    <row r="519">
      <c r="A519" s="96" t="inlineStr">
        <is>
          <t>78989056877366</t>
        </is>
      </c>
      <c r="B519" s="97" t="inlineStr">
        <is>
          <t>Copao Gin + Energetico</t>
        </is>
      </c>
      <c r="C519" s="97" t="inlineStr">
        <is>
          <t>EVENTOS RUA</t>
        </is>
      </c>
      <c r="D519" s="98" t="inlineStr">
        <is>
          <t>Produto</t>
        </is>
      </c>
      <c r="E519" s="164" t="inlineStr">
        <is>
          <t>Quintal do Espeto Carinás</t>
        </is>
      </c>
      <c r="F519" s="165" t="inlineStr">
        <is>
          <t>6dec3f59-b512-49d6-a2aa-912b98f090c2</t>
        </is>
      </c>
      <c r="G519" s="166">
        <f>IF(E519="","Inativo",IF(SUMPRODUCT(--(ISNUMBER(SEARCH({"Lapa","Santana","Mariana","Perdizes","André","Tatuapé","Madalena","Carinás","Pavão","Chac"},E519))))&gt;0,"Ativo","Inativo"))</f>
        <v/>
      </c>
    </row>
    <row r="520">
      <c r="A520" s="96" t="inlineStr">
        <is>
          <t>1010102</t>
        </is>
      </c>
      <c r="B520" s="97" t="inlineStr">
        <is>
          <t>ALL INCLUSIVE</t>
        </is>
      </c>
      <c r="C520" s="97" t="inlineStr">
        <is>
          <t>PROMOÇÃO</t>
        </is>
      </c>
      <c r="D520" s="98" t="inlineStr">
        <is>
          <t>Produto</t>
        </is>
      </c>
      <c r="E52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0" s="165" t="inlineStr">
        <is>
          <t>a07e3edf-e391-4dad-8715-5251c82fa4e4</t>
        </is>
      </c>
      <c r="G520" s="166">
        <f>IF(E520="","Inativo",IF(SUMPRODUCT(--(ISNUMBER(SEARCH({"Lapa","Santana","Mariana","Perdizes","André","Tatuapé","Madalena","Carinás","Pavão","Chac"},E520))))&gt;0,"Ativo","Inativo"))</f>
        <v/>
      </c>
    </row>
    <row r="521">
      <c r="A521" s="96" t="inlineStr">
        <is>
          <t>1010103</t>
        </is>
      </c>
      <c r="B521" s="97" t="inlineStr">
        <is>
          <t>ALL INCLUSIVE KIDS</t>
        </is>
      </c>
      <c r="C521" s="97" t="inlineStr">
        <is>
          <t>PROMOÇÃO</t>
        </is>
      </c>
      <c r="D521" s="98" t="inlineStr">
        <is>
          <t>Produto</t>
        </is>
      </c>
      <c r="E521"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1" s="165" t="inlineStr">
        <is>
          <t>e521bc09-73c7-4f87-bdb5-15bf6185bd4a</t>
        </is>
      </c>
      <c r="G521" s="166">
        <f>IF(E521="","Inativo",IF(SUMPRODUCT(--(ISNUMBER(SEARCH({"Lapa","Santana","Mariana","Perdizes","André","Tatuapé","Madalena","Carinás","Pavão","Chac"},E521))))&gt;0,"Ativo","Inativo"))</f>
        <v/>
      </c>
    </row>
    <row r="522">
      <c r="A522" s="96" t="inlineStr">
        <is>
          <t>26393</t>
        </is>
      </c>
      <c r="B522" s="97" t="inlineStr">
        <is>
          <t xml:space="preserve">PROMOÇÂO ORIGINAL 600 </t>
        </is>
      </c>
      <c r="C522" s="97" t="inlineStr">
        <is>
          <t>PROMOÇÃO</t>
        </is>
      </c>
      <c r="D522" s="98" t="inlineStr">
        <is>
          <t>Produto</t>
        </is>
      </c>
      <c r="E52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22" s="165" t="inlineStr">
        <is>
          <t>a42cd298-464e-495e-b12a-c68773bca762</t>
        </is>
      </c>
      <c r="G522" s="166">
        <f>IF(E522="","Inativo",IF(SUMPRODUCT(--(ISNUMBER(SEARCH({"Lapa","Santana","Mariana","Perdizes","André","Tatuapé","Madalena","Carinás","Pavão","Chac"},E522))))&gt;0,"Ativo","Inativo"))</f>
        <v/>
      </c>
    </row>
    <row r="523">
      <c r="A523" s="96" t="inlineStr">
        <is>
          <t>7898905687144</t>
        </is>
      </c>
      <c r="B523" s="97" t="inlineStr">
        <is>
          <t xml:space="preserve">PROMOÇÂO SPATEN 600 ML </t>
        </is>
      </c>
      <c r="C523" s="97" t="inlineStr">
        <is>
          <t>PROMOÇÃO</t>
        </is>
      </c>
      <c r="D523" s="98" t="inlineStr">
        <is>
          <t>Produto</t>
        </is>
      </c>
      <c r="E52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23" s="165" t="inlineStr">
        <is>
          <t>014d35d2-e3ec-4946-b676-26a16f5c6ab3</t>
        </is>
      </c>
      <c r="G523" s="166">
        <f>IF(E523="","Inativo",IF(SUMPRODUCT(--(ISNUMBER(SEARCH({"Lapa","Santana","Mariana","Perdizes","André","Tatuapé","Madalena","Carinás","Pavão","Chac"},E523))))&gt;0,"Ativo","Inativo"))</f>
        <v/>
      </c>
    </row>
    <row r="524">
      <c r="A524" s="96" t="inlineStr">
        <is>
          <t>7898905687502</t>
        </is>
      </c>
      <c r="B524" s="97" t="inlineStr">
        <is>
          <t>RODIZIO PREMIUM KIDS</t>
        </is>
      </c>
      <c r="C524" s="97" t="inlineStr">
        <is>
          <t>PROMOÇÃO</t>
        </is>
      </c>
      <c r="D524" s="98" t="inlineStr">
        <is>
          <t>Produto</t>
        </is>
      </c>
      <c r="E524" s="164" t="inlineStr">
        <is>
          <t>Quintal do Espeto Carinás, Quintal do Espeto Recargas/Bônus</t>
        </is>
      </c>
      <c r="F524" s="165" t="inlineStr">
        <is>
          <t>1d3bca5e-2b12-49cc-b147-b3a8cb16b942</t>
        </is>
      </c>
      <c r="G524" s="166">
        <f>IF(E524="","Inativo",IF(SUMPRODUCT(--(ISNUMBER(SEARCH({"Lapa","Santana","Mariana","Perdizes","André","Tatuapé","Madalena","Carinás","Pavão","Chac"},E524))))&gt;0,"Ativo","Inativo"))</f>
        <v/>
      </c>
    </row>
    <row r="525">
      <c r="A525" s="96" t="inlineStr">
        <is>
          <t>7898905687712</t>
        </is>
      </c>
      <c r="B525" s="97" t="inlineStr">
        <is>
          <t>Meia dia dos namorados</t>
        </is>
      </c>
      <c r="C525" s="97" t="inlineStr">
        <is>
          <t>PROMOÇÃO</t>
        </is>
      </c>
      <c r="D525" s="98" t="inlineStr">
        <is>
          <t>Produto</t>
        </is>
      </c>
      <c r="E525"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5" s="165" t="inlineStr">
        <is>
          <t>ce62294b-42cf-4892-91dc-93a016d0df13</t>
        </is>
      </c>
      <c r="G525" s="166">
        <f>IF(E525="","Inativo",IF(SUMPRODUCT(--(ISNUMBER(SEARCH({"Lapa","Santana","Mariana","Perdizes","André","Tatuapé","Madalena","Carinás","Pavão","Chac"},E525))))&gt;0,"Ativo","Inativo"))</f>
        <v/>
      </c>
    </row>
    <row r="526">
      <c r="A526" s="96" t="inlineStr">
        <is>
          <t>78989056877120</t>
        </is>
      </c>
      <c r="B526" s="97" t="inlineStr">
        <is>
          <t>FESTIVAL CERVEJA E CHURRASCO KIDS</t>
        </is>
      </c>
      <c r="C526" s="97" t="inlineStr">
        <is>
          <t>PROMOÇÃO</t>
        </is>
      </c>
      <c r="D526" s="98" t="inlineStr">
        <is>
          <t>Produto</t>
        </is>
      </c>
      <c r="E526"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6" s="165" t="inlineStr">
        <is>
          <t>a60b950b-291d-4797-acf6-ec837b955306</t>
        </is>
      </c>
      <c r="G526" s="166">
        <f>IF(E526="","Inativo",IF(SUMPRODUCT(--(ISNUMBER(SEARCH({"Lapa","Santana","Mariana","Perdizes","André","Tatuapé","Madalena","Carinás","Pavão","Chac"},E526))))&gt;0,"Ativo","Inativo"))</f>
        <v/>
      </c>
    </row>
    <row r="527">
      <c r="A527" s="96" t="inlineStr">
        <is>
          <t>78989056877171</t>
        </is>
      </c>
      <c r="B527" s="97" t="inlineStr">
        <is>
          <t>ANIVERSARIO KIDS INTEIRA</t>
        </is>
      </c>
      <c r="C527" s="97" t="inlineStr">
        <is>
          <t>PROMOÇÃO</t>
        </is>
      </c>
      <c r="D527" s="98" t="inlineStr">
        <is>
          <t>Produto</t>
        </is>
      </c>
      <c r="E527"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7" s="165" t="inlineStr">
        <is>
          <t>807de413-f45d-4124-b003-d4a4fef0bed9</t>
        </is>
      </c>
      <c r="G527" s="166">
        <f>IF(E527="","Inativo",IF(SUMPRODUCT(--(ISNUMBER(SEARCH({"Lapa","Santana","Mariana","Perdizes","André","Tatuapé","Madalena","Carinás","Pavão","Chac"},E527))))&gt;0,"Ativo","Inativo"))</f>
        <v/>
      </c>
    </row>
    <row r="528">
      <c r="A528" s="96" t="inlineStr">
        <is>
          <t>78989056877172</t>
        </is>
      </c>
      <c r="B528" s="97" t="inlineStr">
        <is>
          <t>ANIVERSARIO KIDS MEIA</t>
        </is>
      </c>
      <c r="C528" s="97" t="inlineStr">
        <is>
          <t>PROMOÇÃO</t>
        </is>
      </c>
      <c r="D528" s="98" t="inlineStr">
        <is>
          <t>Produto</t>
        </is>
      </c>
      <c r="E528"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28" s="165" t="inlineStr">
        <is>
          <t>4c87a9c7-9633-401b-9c90-e63d3b622ce1</t>
        </is>
      </c>
      <c r="G528" s="166">
        <f>IF(E528="","Inativo",IF(SUMPRODUCT(--(ISNUMBER(SEARCH({"Lapa","Santana","Mariana","Perdizes","André","Tatuapé","Madalena","Carinás","Pavão","Chac"},E528))))&gt;0,"Ativo","Inativo"))</f>
        <v/>
      </c>
    </row>
    <row r="529">
      <c r="A529" s="96" t="inlineStr">
        <is>
          <t>78989056877183</t>
        </is>
      </c>
      <c r="B529" s="97" t="inlineStr">
        <is>
          <t>ALL INCLUSIVE PROMOÇÂO</t>
        </is>
      </c>
      <c r="C529" s="97" t="inlineStr">
        <is>
          <t>PROMOÇÃO</t>
        </is>
      </c>
      <c r="D529" s="98" t="inlineStr">
        <is>
          <t>Produto</t>
        </is>
      </c>
      <c r="E529" s="164" t="inlineStr">
        <is>
          <t>Quintal do Espeto Lapa , Quintal do Espeto Chac Sto Antonio, Quintal do Espeto Santana, Quintal do Espeto  V. Mariana, Quintal do Espeto Perdizes, Quintal do Espeto Tatuapé, Quintal do Espeto  V. Madalena, Quintal do Espeto Carinás, Quintal do Espeto Pavão</t>
        </is>
      </c>
      <c r="F529" s="165" t="inlineStr">
        <is>
          <t>a135885f-1bb7-42d8-a571-a99e69240b53</t>
        </is>
      </c>
      <c r="G529" s="166">
        <f>IF(E529="","Inativo",IF(SUMPRODUCT(--(ISNUMBER(SEARCH({"Lapa","Santana","Mariana","Perdizes","André","Tatuapé","Madalena","Carinás","Pavão","Chac"},E529))))&gt;0,"Ativo","Inativo"))</f>
        <v/>
      </c>
    </row>
    <row r="530">
      <c r="A530" s="96" t="inlineStr">
        <is>
          <t>78989056877184</t>
        </is>
      </c>
      <c r="B530" s="97" t="inlineStr">
        <is>
          <t>FESTIVAL CERVEJA E CHURRASCO</t>
        </is>
      </c>
      <c r="C530" s="97" t="inlineStr">
        <is>
          <t>PROMOÇÃO</t>
        </is>
      </c>
      <c r="D530" s="98" t="inlineStr">
        <is>
          <t>Produto</t>
        </is>
      </c>
      <c r="E530"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30" s="165" t="inlineStr">
        <is>
          <t>ecb3cfba-ed95-44f7-be62-cc333f40c3b1</t>
        </is>
      </c>
      <c r="G530" s="166">
        <f>IF(E530="","Inativo",IF(SUMPRODUCT(--(ISNUMBER(SEARCH({"Lapa","Santana","Mariana","Perdizes","André","Tatuapé","Madalena","Carinás","Pavão","Chac"},E530))))&gt;0,"Ativo","Inativo"))</f>
        <v/>
      </c>
    </row>
    <row r="531">
      <c r="A531" s="96" t="inlineStr">
        <is>
          <t>78989056877185</t>
        </is>
      </c>
      <c r="B531" s="97" t="inlineStr">
        <is>
          <t>DIA DOS NAMORADOS</t>
        </is>
      </c>
      <c r="C531" s="97" t="inlineStr">
        <is>
          <t>PROMOÇÃO</t>
        </is>
      </c>
      <c r="D531" s="98" t="inlineStr">
        <is>
          <t>Produto</t>
        </is>
      </c>
      <c r="E531" s="164" t="inlineStr">
        <is>
          <t>Quintal do Espeto Santo André</t>
        </is>
      </c>
      <c r="F531" s="165" t="inlineStr">
        <is>
          <t>4705e681-f232-47af-8962-4574c909d561</t>
        </is>
      </c>
      <c r="G531" s="166">
        <f>IF(E531="","Inativo",IF(SUMPRODUCT(--(ISNUMBER(SEARCH({"Lapa","Santana","Mariana","Perdizes","André","Tatuapé","Madalena","Carinás","Pavão","Chac"},E531))))&gt;0,"Ativo","Inativo"))</f>
        <v/>
      </c>
    </row>
    <row r="532">
      <c r="A532" s="96" t="inlineStr">
        <is>
          <t>78989056877193</t>
        </is>
      </c>
      <c r="B532" s="97" t="inlineStr">
        <is>
          <t xml:space="preserve">PACOTE DE CASAMENTO </t>
        </is>
      </c>
      <c r="C532" s="97" t="inlineStr">
        <is>
          <t>PROMOÇÃO</t>
        </is>
      </c>
      <c r="D532" s="98" t="inlineStr">
        <is>
          <t>Produto</t>
        </is>
      </c>
      <c r="E532"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Recargas/Bônus</t>
        </is>
      </c>
      <c r="F532" s="165" t="inlineStr">
        <is>
          <t>7e8bc930-7084-4fdc-b341-a6c2372f58e7</t>
        </is>
      </c>
      <c r="G532" s="166">
        <f>IF(E532="","Inativo",IF(SUMPRODUCT(--(ISNUMBER(SEARCH({"Lapa","Santana","Mariana","Perdizes","André","Tatuapé","Madalena","Carinás","Pavão","Chac"},E532))))&gt;0,"Ativo","Inativo"))</f>
        <v/>
      </c>
    </row>
    <row r="533">
      <c r="A533" s="96" t="inlineStr">
        <is>
          <t>9003305</t>
        </is>
      </c>
      <c r="B533" s="97" t="inlineStr">
        <is>
          <t>RODIZIO DE CLÁSSICOS</t>
        </is>
      </c>
      <c r="C533" s="97" t="inlineStr">
        <is>
          <t>PROMOÇÃO</t>
        </is>
      </c>
      <c r="D533" s="98" t="inlineStr">
        <is>
          <t>Produto</t>
        </is>
      </c>
      <c r="E533"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33" s="165" t="inlineStr">
        <is>
          <t>71dfafb0-0a10-4813-995d-c35835e3c6b8</t>
        </is>
      </c>
      <c r="G533" s="166">
        <f>IF(E533="","Inativo",IF(SUMPRODUCT(--(ISNUMBER(SEARCH({"Lapa","Santana","Mariana","Perdizes","André","Tatuapé","Madalena","Carinás","Pavão","Chac"},E533))))&gt;0,"Ativo","Inativo"))</f>
        <v/>
      </c>
    </row>
    <row r="534">
      <c r="A534" s="96" t="inlineStr">
        <is>
          <t>9003562</t>
        </is>
      </c>
      <c r="B534" s="97" t="inlineStr">
        <is>
          <t>RODIZIO DE CLÁSSICOS KIDS</t>
        </is>
      </c>
      <c r="C534" s="97" t="inlineStr">
        <is>
          <t>PROMOÇÃO</t>
        </is>
      </c>
      <c r="D534" s="98" t="inlineStr">
        <is>
          <t>Produto</t>
        </is>
      </c>
      <c r="E534" s="164" t="inlineStr">
        <is>
          <t>Quintal do Espeto Lapa , Quintal do Espeto Santo André, Quintal do Espeto Chac Sto Antonio, Quintal do Espeto Santana, Quintal do Espeto  V. Mariana, Quintal do Espeto Perdizes, Quintal do Espeto Tatuapé, Quintal do Espeto  V. Madalena, Quintal do Espeto Carinás, Quintal do Espeto Pavão, Quintal do Espeto Interlagos, Quintal do Espeto Recargas/Bônus</t>
        </is>
      </c>
      <c r="F534" s="165" t="inlineStr">
        <is>
          <t>d823ccab-3f32-4629-b4e0-6903329b3b17</t>
        </is>
      </c>
      <c r="G534" s="166">
        <f>IF(E534="","Inativo",IF(SUMPRODUCT(--(ISNUMBER(SEARCH({"Lapa","Santana","Mariana","Perdizes","André","Tatuapé","Madalena","Carinás","Pavão","Chac"},E534))))&gt;0,"Ativo","Inativo"))</f>
        <v/>
      </c>
    </row>
  </sheetData>
  <autoFilter ref="A1:G701"/>
  <conditionalFormatting sqref="A1:A1048576">
    <cfRule type="duplicateValues" priority="1" dxfId="2"/>
    <cfRule type="duplicateValues" priority="2" dxfId="2"/>
  </conditionalFormatting>
  <conditionalFormatting sqref="G2:G701">
    <cfRule type="containsText" priority="3" operator="containsText" dxfId="0" text="Ativo">
      <formula>NOT(ISERROR(SEARCH("Ativo",G2)))</formula>
    </cfRule>
    <cfRule type="containsText" priority="4" operator="containsText" dxfId="3" text="Inativo">
      <formula>NOT(ISERROR(SEARCH("Inativo",G2)))</formula>
    </cfRule>
  </conditionalFormatting>
  <pageMargins left="0.75" right="0.75" top="1" bottom="1" header="0.5" footer="0.5"/>
</worksheet>
</file>

<file path=xl/worksheets/sheet7.xml><?xml version="1.0" encoding="utf-8"?>
<worksheet xmlns="http://schemas.openxmlformats.org/spreadsheetml/2006/main">
  <sheetPr>
    <tabColor rgb="FFFF9900"/>
    <outlinePr summaryBelow="1" summaryRight="1"/>
    <pageSetUpPr/>
  </sheetPr>
  <dimension ref="A1:G186"/>
  <sheetViews>
    <sheetView showGridLines="0" workbookViewId="0">
      <pane ySplit="1" topLeftCell="A2" activePane="bottomLeft" state="frozen"/>
      <selection pane="bottomLeft" activeCell="D16" sqref="D16"/>
    </sheetView>
  </sheetViews>
  <sheetFormatPr baseColWidth="8" defaultColWidth="30.85546875" defaultRowHeight="15"/>
  <sheetData>
    <row r="1" ht="21.95" customHeight="1">
      <c r="A1" s="72" t="inlineStr">
        <is>
          <t>LOJA</t>
        </is>
      </c>
      <c r="B1" s="72" t="inlineStr">
        <is>
          <t>Nome (Entrada)</t>
        </is>
      </c>
      <c r="C1" s="72" t="inlineStr">
        <is>
          <t>SKU</t>
        </is>
      </c>
      <c r="D1" s="72" t="inlineStr">
        <is>
          <t>Categoria</t>
        </is>
      </c>
      <c r="E1" s="64" t="inlineStr">
        <is>
          <t>Valor</t>
        </is>
      </c>
      <c r="F1" s="46" t="inlineStr">
        <is>
          <t>Local Normalizado</t>
        </is>
      </c>
      <c r="G1" t="inlineStr">
        <is>
          <t>Última Atualização: 07/05/2026</t>
        </is>
      </c>
    </row>
    <row r="2">
      <c r="A2" s="43" t="inlineStr">
        <is>
          <t>VILA MARIANA</t>
        </is>
      </c>
      <c r="B2" s="44" t="inlineStr">
        <is>
          <t>ENTRADA MUSICO</t>
        </is>
      </c>
      <c r="C2" s="43" t="inlineStr">
        <is>
          <t>7898905687352</t>
        </is>
      </c>
      <c r="D2" s="44" t="inlineStr">
        <is>
          <t>0 ENTRADAS VIPS</t>
        </is>
      </c>
      <c r="E2" s="73" t="n"/>
      <c r="F2" s="74" t="inlineStr">
        <is>
          <t>Quintal do Espeto V. Mariana</t>
        </is>
      </c>
    </row>
    <row r="3">
      <c r="A3" s="40" t="inlineStr">
        <is>
          <t>VILA MARIANA</t>
        </is>
      </c>
      <c r="B3" s="41" t="inlineStr">
        <is>
          <t>ENTRADA SÁBADO NOITE</t>
        </is>
      </c>
      <c r="C3" s="40" t="inlineStr">
        <is>
          <t>47541</t>
        </is>
      </c>
      <c r="D3" s="41" t="inlineStr">
        <is>
          <t>6 ENTRADAS SABADO</t>
        </is>
      </c>
      <c r="E3" s="78" t="n">
        <v>7</v>
      </c>
      <c r="F3" s="76" t="inlineStr">
        <is>
          <t>Quintal do Espeto V. Mariana</t>
        </is>
      </c>
    </row>
    <row r="4">
      <c r="A4" s="43" t="inlineStr">
        <is>
          <t>VILA MARIANA</t>
        </is>
      </c>
      <c r="B4" s="44" t="inlineStr">
        <is>
          <t>ENTRADA TERÇA FEIRA</t>
        </is>
      </c>
      <c r="C4" s="43" t="inlineStr">
        <is>
          <t>511003</t>
        </is>
      </c>
      <c r="D4" s="44" t="inlineStr">
        <is>
          <t>2 ENTRADAS TERÇA-FEIRA</t>
        </is>
      </c>
      <c r="E4" s="77" t="n">
        <v>7</v>
      </c>
      <c r="F4" s="74" t="inlineStr">
        <is>
          <t>Quintal do Espeto V. Mariana</t>
        </is>
      </c>
    </row>
    <row r="5">
      <c r="A5" s="40" t="inlineStr">
        <is>
          <t>VILA MARIANA</t>
        </is>
      </c>
      <c r="B5" s="41" t="inlineStr">
        <is>
          <t>ENTRADA QUINTA FEIRA</t>
        </is>
      </c>
      <c r="C5" s="40" t="inlineStr">
        <is>
          <t>511007</t>
        </is>
      </c>
      <c r="D5" s="41" t="inlineStr">
        <is>
          <t>4 ENTRADAS QUINTA-FEIRA</t>
        </is>
      </c>
      <c r="E5" s="78" t="n">
        <v>7</v>
      </c>
      <c r="F5" s="76" t="inlineStr">
        <is>
          <t>Quintal do Espeto V. Mariana</t>
        </is>
      </c>
    </row>
    <row r="6">
      <c r="A6" s="43" t="inlineStr">
        <is>
          <t>VILA MARIANA</t>
        </is>
      </c>
      <c r="B6" s="44" t="inlineStr">
        <is>
          <t>ENTRADA DOMINGO NOITE</t>
        </is>
      </c>
      <c r="C6" s="43" t="inlineStr">
        <is>
          <t>511031</t>
        </is>
      </c>
      <c r="D6" s="44" t="inlineStr">
        <is>
          <t>7 ENTRADAS DOMINGO</t>
        </is>
      </c>
      <c r="E6" s="77" t="n">
        <v>7</v>
      </c>
      <c r="F6" s="74" t="inlineStr">
        <is>
          <t>Quintal do Espeto V. Mariana</t>
        </is>
      </c>
    </row>
    <row r="7">
      <c r="A7" s="40" t="inlineStr">
        <is>
          <t>VILA MARIANA</t>
        </is>
      </c>
      <c r="B7" s="41" t="inlineStr">
        <is>
          <t>ENTRADA ANIVERSARIO</t>
        </is>
      </c>
      <c r="C7" s="40" t="inlineStr">
        <is>
          <t>511081</t>
        </is>
      </c>
      <c r="D7" s="41" t="inlineStr">
        <is>
          <t>0 ENTRADAS VIPS</t>
        </is>
      </c>
      <c r="E7" s="75" t="n"/>
      <c r="F7" s="76" t="inlineStr">
        <is>
          <t>Quintal do Espeto V. Mariana</t>
        </is>
      </c>
    </row>
    <row r="8">
      <c r="A8" s="43" t="inlineStr">
        <is>
          <t>VILA MARIANA</t>
        </is>
      </c>
      <c r="B8" s="44" t="inlineStr">
        <is>
          <t>ENTRADA SÁBADO DIA</t>
        </is>
      </c>
      <c r="C8" s="43" t="inlineStr">
        <is>
          <t>99388</t>
        </is>
      </c>
      <c r="D8" s="44" t="inlineStr">
        <is>
          <t>6 ENTRADAS SABADO</t>
        </is>
      </c>
      <c r="E8" s="77" t="n">
        <v>7</v>
      </c>
      <c r="F8" s="74" t="inlineStr">
        <is>
          <t>Quintal do Espeto V. Mariana</t>
        </is>
      </c>
    </row>
    <row r="9">
      <c r="A9" s="40" t="inlineStr">
        <is>
          <t>VILA MARIANA</t>
        </is>
      </c>
      <c r="B9" s="41" t="inlineStr">
        <is>
          <t>SEGUNDA</t>
        </is>
      </c>
      <c r="C9" s="40" t="inlineStr">
        <is>
          <t>61581</t>
        </is>
      </c>
      <c r="D9" s="41" t="inlineStr">
        <is>
          <t>1 ENTRADAS SEGUNDA-FEIRA</t>
        </is>
      </c>
      <c r="E9" s="78" t="n">
        <v>7</v>
      </c>
      <c r="F9" s="76" t="inlineStr">
        <is>
          <t>Quintal do Espeto V. Mariana</t>
        </is>
      </c>
    </row>
    <row r="10">
      <c r="A10" s="43" t="inlineStr">
        <is>
          <t>VILA MARIANA</t>
        </is>
      </c>
      <c r="B10" s="44" t="inlineStr">
        <is>
          <t>ENTRADA VIP</t>
        </is>
      </c>
      <c r="C10" s="43" t="inlineStr">
        <is>
          <t>9003594</t>
        </is>
      </c>
      <c r="D10" s="44" t="inlineStr">
        <is>
          <t>0 ENTRADAS VIPS</t>
        </is>
      </c>
      <c r="E10" s="73" t="n"/>
      <c r="F10" s="74" t="inlineStr">
        <is>
          <t>Quintal do Espeto V. Mariana</t>
        </is>
      </c>
    </row>
    <row r="11">
      <c r="A11" s="40" t="inlineStr">
        <is>
          <t>VILA MARIANA</t>
        </is>
      </c>
      <c r="B11" s="41" t="inlineStr">
        <is>
          <t>ENTRADA QUARTA FEIRA</t>
        </is>
      </c>
      <c r="C11" s="40" t="inlineStr">
        <is>
          <t>71616</t>
        </is>
      </c>
      <c r="D11" s="41" t="inlineStr">
        <is>
          <t>3 ENTRADAS QUARTA-FEIRA</t>
        </is>
      </c>
      <c r="E11" s="78" t="n">
        <v>7</v>
      </c>
      <c r="F11" s="76" t="inlineStr">
        <is>
          <t>Quintal do Espeto V. Mariana</t>
        </is>
      </c>
    </row>
    <row r="12">
      <c r="A12" s="43" t="inlineStr">
        <is>
          <t>VILA MARIANA</t>
        </is>
      </c>
      <c r="B12" s="44" t="inlineStr">
        <is>
          <t>ENTRADA DOMINGO DIA</t>
        </is>
      </c>
      <c r="C12" s="43" t="inlineStr">
        <is>
          <t>42193</t>
        </is>
      </c>
      <c r="D12" s="44" t="inlineStr">
        <is>
          <t>7 ENTRADAS DOMINGO</t>
        </is>
      </c>
      <c r="E12" s="77" t="n">
        <v>7</v>
      </c>
      <c r="F12" s="74" t="inlineStr">
        <is>
          <t>Quintal do Espeto V. Mariana</t>
        </is>
      </c>
    </row>
    <row r="13">
      <c r="A13" s="40" t="inlineStr">
        <is>
          <t>VILA MARIANA</t>
        </is>
      </c>
      <c r="B13" s="41" t="inlineStr">
        <is>
          <t>ENTRADA SEXTA FEIRA</t>
        </is>
      </c>
      <c r="C13" s="40" t="inlineStr">
        <is>
          <t>10989</t>
        </is>
      </c>
      <c r="D13" s="41" t="inlineStr">
        <is>
          <t>5 ENTRADAS SEXTA-FEIRA</t>
        </is>
      </c>
      <c r="E13" s="78" t="n">
        <v>7</v>
      </c>
      <c r="F13" s="76" t="inlineStr">
        <is>
          <t>Quintal do Espeto V. Mariana</t>
        </is>
      </c>
    </row>
    <row r="14">
      <c r="A14" s="43" t="inlineStr">
        <is>
          <t>PERDIZES</t>
        </is>
      </c>
      <c r="B14" s="44" t="inlineStr">
        <is>
          <t>ENTRADA MUSICO</t>
        </is>
      </c>
      <c r="C14" s="122" t="inlineStr">
        <is>
          <t>7898905687358</t>
        </is>
      </c>
      <c r="D14" s="44" t="inlineStr">
        <is>
          <t>0 ENTRADAS VIPS</t>
        </is>
      </c>
      <c r="E14" s="73" t="n"/>
      <c r="F14" s="74" t="inlineStr">
        <is>
          <t>Quintal do Espeto Perdizes</t>
        </is>
      </c>
    </row>
    <row r="15">
      <c r="A15" s="40" t="inlineStr">
        <is>
          <t>PERDIZES</t>
        </is>
      </c>
      <c r="B15" s="41" t="inlineStr">
        <is>
          <t>ENTRADA SÁBADO NOITE</t>
        </is>
      </c>
      <c r="C15" s="123" t="inlineStr">
        <is>
          <t>511015</t>
        </is>
      </c>
      <c r="D15" s="41" t="inlineStr">
        <is>
          <t>6 ENTRADAS SABADO</t>
        </is>
      </c>
      <c r="E15" s="78" t="n">
        <v>7</v>
      </c>
      <c r="F15" s="76" t="inlineStr">
        <is>
          <t>Quintal do Espeto Perdizes</t>
        </is>
      </c>
    </row>
    <row r="16">
      <c r="A16" s="43" t="inlineStr">
        <is>
          <t>PERDIZES</t>
        </is>
      </c>
      <c r="B16" s="44" t="inlineStr">
        <is>
          <t>ENTRADA TERÇA FEIRA</t>
        </is>
      </c>
      <c r="C16" s="122" t="inlineStr">
        <is>
          <t>77506</t>
        </is>
      </c>
      <c r="D16" s="44" t="inlineStr">
        <is>
          <t>2 ENTRADAS TERÇA-FEIRA</t>
        </is>
      </c>
      <c r="E16" s="77" t="n">
        <v>7</v>
      </c>
      <c r="F16" s="74" t="inlineStr">
        <is>
          <t>Quintal do Espeto Perdizes</t>
        </is>
      </c>
    </row>
    <row r="17">
      <c r="A17" s="40" t="inlineStr">
        <is>
          <t>PERDIZES</t>
        </is>
      </c>
      <c r="B17" s="41" t="inlineStr">
        <is>
          <t>ENTRADA QUINTA FEIRA</t>
        </is>
      </c>
      <c r="C17" s="123" t="inlineStr">
        <is>
          <t>74216</t>
        </is>
      </c>
      <c r="D17" s="41" t="inlineStr">
        <is>
          <t>4 ENTRADAS QUINTA-FEIRA</t>
        </is>
      </c>
      <c r="E17" s="78" t="n">
        <v>7</v>
      </c>
      <c r="F17" s="76" t="inlineStr">
        <is>
          <t>Quintal do Espeto Perdizes</t>
        </is>
      </c>
    </row>
    <row r="18">
      <c r="A18" s="43" t="inlineStr">
        <is>
          <t>PERDIZES</t>
        </is>
      </c>
      <c r="B18" s="44" t="inlineStr">
        <is>
          <t>ENTRADA DOMINGO NOITE</t>
        </is>
      </c>
      <c r="C18" s="122" t="inlineStr">
        <is>
          <t>94875</t>
        </is>
      </c>
      <c r="D18" s="44" t="inlineStr">
        <is>
          <t>7 ENTRADAS DOMINGO</t>
        </is>
      </c>
      <c r="E18" s="77" t="n">
        <v>7</v>
      </c>
      <c r="F18" s="74" t="inlineStr">
        <is>
          <t>Quintal do Espeto Perdizes</t>
        </is>
      </c>
    </row>
    <row r="19">
      <c r="A19" s="40" t="inlineStr">
        <is>
          <t>PERDIZES</t>
        </is>
      </c>
      <c r="B19" s="41" t="inlineStr">
        <is>
          <t>ENTRADA ANIVERSARIO</t>
        </is>
      </c>
      <c r="C19" s="123" t="inlineStr">
        <is>
          <t>63376</t>
        </is>
      </c>
      <c r="D19" s="41" t="inlineStr">
        <is>
          <t>0 ENTRADAS VIPS</t>
        </is>
      </c>
      <c r="E19" s="75" t="n"/>
      <c r="F19" s="76" t="inlineStr">
        <is>
          <t>Quintal do Espeto Perdizes</t>
        </is>
      </c>
    </row>
    <row r="20">
      <c r="A20" s="43" t="inlineStr">
        <is>
          <t>PERDIZES</t>
        </is>
      </c>
      <c r="B20" s="44" t="inlineStr">
        <is>
          <t>ENTRADA SÁBADO DIA</t>
        </is>
      </c>
      <c r="C20" s="122" t="inlineStr">
        <is>
          <t>37724</t>
        </is>
      </c>
      <c r="D20" s="44" t="inlineStr">
        <is>
          <t>6 ENTRADAS SABADO</t>
        </is>
      </c>
      <c r="E20" s="77" t="n">
        <v>7</v>
      </c>
      <c r="F20" s="74" t="inlineStr">
        <is>
          <t>Quintal do Espeto Perdizes</t>
        </is>
      </c>
    </row>
    <row r="21">
      <c r="A21" s="40" t="inlineStr">
        <is>
          <t>PERDIZES</t>
        </is>
      </c>
      <c r="B21" s="41" t="inlineStr">
        <is>
          <t>SEGUNDA</t>
        </is>
      </c>
      <c r="C21" s="123" t="inlineStr">
        <is>
          <t>66068</t>
        </is>
      </c>
      <c r="D21" s="41" t="inlineStr">
        <is>
          <t>1 ENTRADAS SEGUNDA-FEIRA</t>
        </is>
      </c>
      <c r="E21" s="78" t="n">
        <v>7</v>
      </c>
      <c r="F21" s="76" t="inlineStr">
        <is>
          <t>Quintal do Espeto Perdizes</t>
        </is>
      </c>
    </row>
    <row r="22">
      <c r="A22" s="43" t="inlineStr">
        <is>
          <t>PERDIZES</t>
        </is>
      </c>
      <c r="B22" s="124" t="inlineStr">
        <is>
          <t>ENTRADA VIP</t>
        </is>
      </c>
      <c r="C22" s="122" t="inlineStr">
        <is>
          <t>22148</t>
        </is>
      </c>
      <c r="D22" s="44" t="inlineStr">
        <is>
          <t>0 ENTRADAS VIPS</t>
        </is>
      </c>
      <c r="E22" s="73" t="n"/>
      <c r="F22" s="74" t="inlineStr">
        <is>
          <t>Quintal do Espeto Perdizes</t>
        </is>
      </c>
    </row>
    <row r="23">
      <c r="A23" s="40" t="inlineStr">
        <is>
          <t>PERDIZES</t>
        </is>
      </c>
      <c r="B23" s="41" t="inlineStr">
        <is>
          <t>ENTRADA QUARTA FEIRA</t>
        </is>
      </c>
      <c r="C23" s="123" t="inlineStr">
        <is>
          <t>34362</t>
        </is>
      </c>
      <c r="D23" s="41" t="inlineStr">
        <is>
          <t>3 ENTRADAS QUARTA-FEIRA</t>
        </is>
      </c>
      <c r="E23" s="78" t="n">
        <v>7</v>
      </c>
      <c r="F23" s="76" t="inlineStr">
        <is>
          <t>Quintal do Espeto Perdizes</t>
        </is>
      </c>
    </row>
    <row r="24">
      <c r="A24" s="43" t="inlineStr">
        <is>
          <t>PERDIZES</t>
        </is>
      </c>
      <c r="B24" s="44" t="inlineStr">
        <is>
          <t>ENTRADA DOMINGO DIA</t>
        </is>
      </c>
      <c r="C24" s="122" t="inlineStr">
        <is>
          <t>72728</t>
        </is>
      </c>
      <c r="D24" s="44" t="inlineStr">
        <is>
          <t>7 ENTRADAS DOMINGO</t>
        </is>
      </c>
      <c r="E24" s="77" t="n">
        <v>7</v>
      </c>
      <c r="F24" s="74" t="inlineStr">
        <is>
          <t>Quintal do Espeto Perdizes</t>
        </is>
      </c>
    </row>
    <row r="25">
      <c r="A25" s="40" t="inlineStr">
        <is>
          <t>PERDIZES</t>
        </is>
      </c>
      <c r="B25" s="41" t="inlineStr">
        <is>
          <t>ENTRADA SEXTA FEIRA</t>
        </is>
      </c>
      <c r="C25" s="123" t="inlineStr">
        <is>
          <t>511009</t>
        </is>
      </c>
      <c r="D25" s="41" t="inlineStr">
        <is>
          <t>5 ENTRADAS SEXTA-FEIRA</t>
        </is>
      </c>
      <c r="E25" s="78" t="n">
        <v>7</v>
      </c>
      <c r="F25" s="76" t="inlineStr">
        <is>
          <t>Quintal do Espeto Perdizes</t>
        </is>
      </c>
    </row>
    <row r="26">
      <c r="A26" s="43" t="inlineStr">
        <is>
          <t>CARINAS</t>
        </is>
      </c>
      <c r="B26" s="44" t="inlineStr">
        <is>
          <t>ENTRADA VIP COLABORADORES</t>
        </is>
      </c>
      <c r="C26" s="43" t="inlineStr">
        <is>
          <t>9003592</t>
        </is>
      </c>
      <c r="D26" s="44" t="inlineStr">
        <is>
          <t>0 ENTRADAS VIPS(RESTAURADA)</t>
        </is>
      </c>
      <c r="E26" s="73" t="n"/>
      <c r="F26" s="74" t="inlineStr">
        <is>
          <t>Quintal do Espeto Carinás</t>
        </is>
      </c>
    </row>
    <row r="27">
      <c r="A27" s="40" t="inlineStr">
        <is>
          <t>CARINAS</t>
        </is>
      </c>
      <c r="B27" s="41" t="inlineStr">
        <is>
          <t>ENTRADA MUSICO</t>
        </is>
      </c>
      <c r="C27" s="40" t="inlineStr">
        <is>
          <t>7898905687353</t>
        </is>
      </c>
      <c r="D27" s="41" t="inlineStr">
        <is>
          <t>0 ENTRADAS VIPS</t>
        </is>
      </c>
      <c r="E27" s="75" t="n"/>
      <c r="F27" s="76" t="inlineStr">
        <is>
          <t>Quintal do Espeto Carinás</t>
        </is>
      </c>
    </row>
    <row r="28">
      <c r="A28" s="43" t="inlineStr">
        <is>
          <t>CARINAS</t>
        </is>
      </c>
      <c r="B28" s="44" t="inlineStr">
        <is>
          <t>ENTRADA SHOW GERIATRICOS</t>
        </is>
      </c>
      <c r="C28" s="43" t="inlineStr">
        <is>
          <t>9003636</t>
        </is>
      </c>
      <c r="D28" s="44" t="inlineStr">
        <is>
          <t>8 ENTRADAS SHOW</t>
        </is>
      </c>
      <c r="E28" s="77" t="n">
        <v>41382.4</v>
      </c>
      <c r="F28" s="74" t="inlineStr">
        <is>
          <t>Quintal do Espeto Carinás</t>
        </is>
      </c>
    </row>
    <row r="29">
      <c r="A29" s="40" t="inlineStr">
        <is>
          <t>CARINAS</t>
        </is>
      </c>
      <c r="B29" s="41" t="inlineStr">
        <is>
          <t>BRINCADEIRA 10.</t>
        </is>
      </c>
      <c r="C29" s="40" t="inlineStr">
        <is>
          <t>78989056877145</t>
        </is>
      </c>
      <c r="D29" s="41" t="inlineStr">
        <is>
          <t>OUTROS</t>
        </is>
      </c>
      <c r="E29" s="78" t="n">
        <v>20</v>
      </c>
      <c r="F29" s="76" t="inlineStr">
        <is>
          <t>Quintal do Espeto Carinás</t>
        </is>
      </c>
    </row>
    <row r="30">
      <c r="A30" s="43" t="inlineStr">
        <is>
          <t>CARINAS</t>
        </is>
      </c>
      <c r="B30" s="44" t="inlineStr">
        <is>
          <t>CRIANÇAS EVENTO KIDS</t>
        </is>
      </c>
      <c r="C30" s="43" t="inlineStr">
        <is>
          <t>78989056877147</t>
        </is>
      </c>
      <c r="D30" s="44" t="inlineStr">
        <is>
          <t>OUTROS</t>
        </is>
      </c>
      <c r="E30" s="73" t="n"/>
      <c r="F30" s="74" t="inlineStr">
        <is>
          <t>Quintal do Espeto Carinás</t>
        </is>
      </c>
    </row>
    <row r="31">
      <c r="A31" s="40" t="inlineStr">
        <is>
          <t>CARINAS</t>
        </is>
      </c>
      <c r="B31" s="41" t="inlineStr">
        <is>
          <t>ENTRADA FLAMENGO TICKET 360</t>
        </is>
      </c>
      <c r="C31" s="40" t="inlineStr">
        <is>
          <t>9003131</t>
        </is>
      </c>
      <c r="D31" s="41" t="inlineStr">
        <is>
          <t>ENTRADAS TORCIDAS DE FUTEBOL</t>
        </is>
      </c>
      <c r="E31" s="78" t="n">
        <v>50</v>
      </c>
      <c r="F31" s="76" t="inlineStr">
        <is>
          <t>Quintal do Espeto Carinás</t>
        </is>
      </c>
    </row>
    <row r="32">
      <c r="A32" s="43" t="inlineStr">
        <is>
          <t>CARINAS</t>
        </is>
      </c>
      <c r="B32" s="44" t="inlineStr">
        <is>
          <t>ENTRADA DOMINGO</t>
        </is>
      </c>
      <c r="C32" s="43" t="inlineStr">
        <is>
          <t>511041</t>
        </is>
      </c>
      <c r="D32" s="44" t="inlineStr">
        <is>
          <t>ENTRADA DOMINGO</t>
        </is>
      </c>
      <c r="E32" s="77" t="n">
        <v>10</v>
      </c>
      <c r="F32" s="74" t="inlineStr">
        <is>
          <t>Quintal do Espeto Carinás</t>
        </is>
      </c>
    </row>
    <row r="33">
      <c r="A33" s="40" t="inlineStr">
        <is>
          <t>CARINAS</t>
        </is>
      </c>
      <c r="B33" s="41" t="inlineStr">
        <is>
          <t>ENTRADA QUINTA FEIRA</t>
        </is>
      </c>
      <c r="C33" s="40" t="inlineStr">
        <is>
          <t>95063</t>
        </is>
      </c>
      <c r="D33" s="41" t="inlineStr">
        <is>
          <t>4 ENTRADAS QUINTA-FEIRA</t>
        </is>
      </c>
      <c r="E33" s="78" t="n">
        <v>20</v>
      </c>
      <c r="F33" s="76" t="inlineStr">
        <is>
          <t>Quintal do Espeto Carinás</t>
        </is>
      </c>
    </row>
    <row r="34">
      <c r="A34" s="43" t="inlineStr">
        <is>
          <t>CARINAS</t>
        </is>
      </c>
      <c r="B34" s="44" t="inlineStr">
        <is>
          <t>ENTRADA DOMINGO NOITE - APOS AS 17;00</t>
        </is>
      </c>
      <c r="C34" s="43" t="inlineStr">
        <is>
          <t>9003129</t>
        </is>
      </c>
      <c r="D34" s="44" t="inlineStr">
        <is>
          <t>7 ENTRADAS DOMINGO</t>
        </is>
      </c>
      <c r="E34" s="77" t="n">
        <v>20</v>
      </c>
      <c r="F34" s="74" t="inlineStr">
        <is>
          <t>Quintal do Espeto Carinás</t>
        </is>
      </c>
    </row>
    <row r="35">
      <c r="A35" s="40" t="inlineStr">
        <is>
          <t>CARINAS</t>
        </is>
      </c>
      <c r="B35" s="41" t="inlineStr">
        <is>
          <t>ENTRADA DOMINGO</t>
        </is>
      </c>
      <c r="C35" s="40" t="inlineStr">
        <is>
          <t>9003580</t>
        </is>
      </c>
      <c r="D35" s="41" t="inlineStr">
        <is>
          <t>ENTRADA DOMINGO</t>
        </is>
      </c>
      <c r="E35" s="78" t="n">
        <v>30</v>
      </c>
      <c r="F35" s="76" t="inlineStr">
        <is>
          <t>Quintal do Espeto Carinás</t>
        </is>
      </c>
    </row>
    <row r="36">
      <c r="A36" s="43" t="inlineStr">
        <is>
          <t>CARINAS</t>
        </is>
      </c>
      <c r="B36" s="44" t="inlineStr">
        <is>
          <t>ENTRADA VIP GARRAFAS</t>
        </is>
      </c>
      <c r="C36" s="43" t="inlineStr">
        <is>
          <t>9003591</t>
        </is>
      </c>
      <c r="D36" s="44" t="inlineStr">
        <is>
          <t>0 ENTRADAS VIPS(RESTAURADA)</t>
        </is>
      </c>
      <c r="E36" s="73" t="n"/>
      <c r="F36" s="74" t="inlineStr">
        <is>
          <t>Quintal do Espeto Carinás</t>
        </is>
      </c>
    </row>
    <row r="37">
      <c r="A37" s="40" t="inlineStr">
        <is>
          <t>CARINAS</t>
        </is>
      </c>
      <c r="B37" s="41" t="inlineStr">
        <is>
          <t>ENTRADA TERCA FEIRA</t>
        </is>
      </c>
      <c r="C37" s="40" t="inlineStr">
        <is>
          <t>54039</t>
        </is>
      </c>
      <c r="D37" s="41" t="inlineStr">
        <is>
          <t>2 ENTRADAS TERÇA-FEIRA</t>
        </is>
      </c>
      <c r="E37" s="78" t="n">
        <v>15</v>
      </c>
      <c r="F37" s="76" t="inlineStr">
        <is>
          <t>Quintal do Espeto Carinás</t>
        </is>
      </c>
    </row>
    <row r="38">
      <c r="A38" s="43" t="inlineStr">
        <is>
          <t>CARINAS</t>
        </is>
      </c>
      <c r="B38" s="44" t="inlineStr">
        <is>
          <t>ENTRADA FLAMENGO</t>
        </is>
      </c>
      <c r="C38" s="43" t="inlineStr">
        <is>
          <t>15952</t>
        </is>
      </c>
      <c r="D38" s="44" t="inlineStr">
        <is>
          <t>ENTRADAS TORCIDAS DE FUTEBOL</t>
        </is>
      </c>
      <c r="E38" s="77" t="n">
        <v>10</v>
      </c>
      <c r="F38" s="74" t="inlineStr">
        <is>
          <t>Quintal do Espeto Carinás</t>
        </is>
      </c>
    </row>
    <row r="39">
      <c r="A39" s="40" t="inlineStr">
        <is>
          <t>CARINAS</t>
        </is>
      </c>
      <c r="B39" s="41" t="inlineStr">
        <is>
          <t>ENTRADA TORCIDA INTER</t>
        </is>
      </c>
      <c r="C39" s="40" t="inlineStr">
        <is>
          <t>9003130</t>
        </is>
      </c>
      <c r="D39" s="41" t="inlineStr">
        <is>
          <t>ENTRADAS TORCIDAS DE FUTEBOL</t>
        </is>
      </c>
      <c r="E39" s="75" t="n"/>
      <c r="F39" s="76" t="inlineStr">
        <is>
          <t>Quintal do Espeto Carinás</t>
        </is>
      </c>
    </row>
    <row r="40">
      <c r="A40" s="43" t="inlineStr">
        <is>
          <t>CARINAS</t>
        </is>
      </c>
      <c r="B40" s="44" t="inlineStr">
        <is>
          <t>PASSAPORTE DIVERSÃO (ENTRADA + KIT MASSINHA)</t>
        </is>
      </c>
      <c r="C40" s="43" t="inlineStr">
        <is>
          <t>78989056877393</t>
        </is>
      </c>
      <c r="D40" s="44" t="inlineStr">
        <is>
          <t>ESPAÇO KIDS</t>
        </is>
      </c>
      <c r="E40" s="77" t="n">
        <v>29.9</v>
      </c>
      <c r="F40" s="74" t="inlineStr">
        <is>
          <t>Quintal do Espeto Carinás</t>
        </is>
      </c>
    </row>
    <row r="41">
      <c r="A41" s="40" t="inlineStr">
        <is>
          <t>CARINAS</t>
        </is>
      </c>
      <c r="B41" s="41" t="inlineStr">
        <is>
          <t>ENTRADA SABADO</t>
        </is>
      </c>
      <c r="C41" s="40" t="inlineStr">
        <is>
          <t>69104</t>
        </is>
      </c>
      <c r="D41" s="41" t="inlineStr">
        <is>
          <t>6 ENTRADAS SABADO</t>
        </is>
      </c>
      <c r="E41" s="78" t="n">
        <v>25</v>
      </c>
      <c r="F41" s="76" t="inlineStr">
        <is>
          <t>Quintal do Espeto Carinás</t>
        </is>
      </c>
    </row>
    <row r="42">
      <c r="A42" s="43" t="inlineStr">
        <is>
          <t>CARINAS</t>
        </is>
      </c>
      <c r="B42" s="44" t="inlineStr">
        <is>
          <t>SABADO</t>
        </is>
      </c>
      <c r="C42" s="43" t="inlineStr">
        <is>
          <t>78989056877143</t>
        </is>
      </c>
      <c r="D42" s="44" t="inlineStr">
        <is>
          <t>OUTROS</t>
        </is>
      </c>
      <c r="E42" s="77" t="n">
        <v>15</v>
      </c>
      <c r="F42" s="74" t="inlineStr">
        <is>
          <t>Quintal do Espeto Carinás</t>
        </is>
      </c>
    </row>
    <row r="43">
      <c r="A43" s="40" t="inlineStr">
        <is>
          <t>CARINAS</t>
        </is>
      </c>
      <c r="B43" s="41" t="inlineStr">
        <is>
          <t>ENTRADA MULHER</t>
        </is>
      </c>
      <c r="C43" s="40" t="inlineStr">
        <is>
          <t>9003581</t>
        </is>
      </c>
      <c r="D43" s="41" t="inlineStr">
        <is>
          <t>5 ENTRADAS SEXTA-FEIRA</t>
        </is>
      </c>
      <c r="E43" s="78" t="n">
        <v>15</v>
      </c>
      <c r="F43" s="76" t="inlineStr">
        <is>
          <t>Quintal do Espeto Carinás</t>
        </is>
      </c>
    </row>
    <row r="44">
      <c r="A44" s="43" t="inlineStr">
        <is>
          <t>CARINAS</t>
        </is>
      </c>
      <c r="B44" s="44" t="inlineStr">
        <is>
          <t>ENTRADA SEXTA HOMEN</t>
        </is>
      </c>
      <c r="C44" s="43" t="inlineStr">
        <is>
          <t>511011</t>
        </is>
      </c>
      <c r="D44" s="44" t="inlineStr">
        <is>
          <t>5 ENTRADAS SEXTA-FEIRA</t>
        </is>
      </c>
      <c r="E44" s="77" t="n">
        <v>20</v>
      </c>
      <c r="F44" s="74" t="inlineStr">
        <is>
          <t>Quintal do Espeto Carinás</t>
        </is>
      </c>
    </row>
    <row r="45">
      <c r="A45" s="40" t="inlineStr">
        <is>
          <t>CARINAS</t>
        </is>
      </c>
      <c r="B45" s="41" t="inlineStr">
        <is>
          <t>FICHA MAQUINA PELUCIA</t>
        </is>
      </c>
      <c r="C45" s="40" t="inlineStr">
        <is>
          <t>7898905687604</t>
        </is>
      </c>
      <c r="D45" s="41" t="inlineStr">
        <is>
          <t>OUTROS</t>
        </is>
      </c>
      <c r="E45" s="78" t="n">
        <v>6</v>
      </c>
      <c r="F45" s="76" t="inlineStr">
        <is>
          <t>Quintal do Espeto Carinás</t>
        </is>
      </c>
    </row>
    <row r="46">
      <c r="A46" s="43" t="inlineStr">
        <is>
          <t>CARINAS</t>
        </is>
      </c>
      <c r="B46" s="44" t="inlineStr">
        <is>
          <t>ENTRADA QUARTA FEIRA</t>
        </is>
      </c>
      <c r="C46" s="43" t="inlineStr">
        <is>
          <t>511005</t>
        </is>
      </c>
      <c r="D46" s="44" t="inlineStr">
        <is>
          <t>ENTRADAS</t>
        </is>
      </c>
      <c r="E46" s="77" t="n">
        <v>10</v>
      </c>
      <c r="F46" s="74" t="inlineStr">
        <is>
          <t>Quintal do Espeto Carinás</t>
        </is>
      </c>
    </row>
    <row r="47">
      <c r="A47" s="40" t="inlineStr">
        <is>
          <t>CARINAS</t>
        </is>
      </c>
      <c r="B47" s="41" t="inlineStr">
        <is>
          <t>ENTRADA VIP</t>
        </is>
      </c>
      <c r="C47" s="40" t="inlineStr">
        <is>
          <t>9003136</t>
        </is>
      </c>
      <c r="D47" s="41" t="inlineStr">
        <is>
          <t>0 ENTRADAS VIPS</t>
        </is>
      </c>
      <c r="E47" s="75" t="n"/>
      <c r="F47" s="76" t="inlineStr">
        <is>
          <t>Quintal do Espeto Carinás</t>
        </is>
      </c>
    </row>
    <row r="48">
      <c r="A48" s="43" t="inlineStr">
        <is>
          <t>CARINAS</t>
        </is>
      </c>
      <c r="B48" s="44" t="inlineStr">
        <is>
          <t>ENTRADA DOMINGO NOITE</t>
        </is>
      </c>
      <c r="C48" s="43" t="inlineStr">
        <is>
          <t>9003128</t>
        </is>
      </c>
      <c r="D48" s="44" t="inlineStr">
        <is>
          <t>7 ENTRADAS DOMINGO</t>
        </is>
      </c>
      <c r="E48" s="73" t="n"/>
      <c r="F48" s="74" t="inlineStr">
        <is>
          <t>Quintal do Espeto Carinás</t>
        </is>
      </c>
    </row>
    <row r="49">
      <c r="A49" s="40" t="inlineStr">
        <is>
          <t>CARINAS</t>
        </is>
      </c>
      <c r="B49" s="41" t="inlineStr">
        <is>
          <t>ENTRADA VIP PROMOTER</t>
        </is>
      </c>
      <c r="C49" s="40" t="inlineStr">
        <is>
          <t>9003590</t>
        </is>
      </c>
      <c r="D49" s="41" t="inlineStr">
        <is>
          <t>0 ENTRADAS VIPS(RESTAURADA)</t>
        </is>
      </c>
      <c r="E49" s="75" t="n"/>
      <c r="F49" s="76" t="inlineStr">
        <is>
          <t>Quintal do Espeto Carinás</t>
        </is>
      </c>
    </row>
    <row r="50">
      <c r="A50" s="43" t="inlineStr">
        <is>
          <t>CARINAS</t>
        </is>
      </c>
      <c r="B50" s="44" t="inlineStr">
        <is>
          <t>BRINQUEDOS INFLAVEIS</t>
        </is>
      </c>
      <c r="C50" s="43" t="inlineStr">
        <is>
          <t>78989056877144</t>
        </is>
      </c>
      <c r="D50" s="44" t="inlineStr">
        <is>
          <t>OUTROS</t>
        </is>
      </c>
      <c r="E50" s="77" t="n">
        <v>10</v>
      </c>
      <c r="F50" s="74" t="inlineStr">
        <is>
          <t>Quintal do Espeto Carinás</t>
        </is>
      </c>
    </row>
    <row r="51">
      <c r="A51" s="40" t="inlineStr">
        <is>
          <t>CARINAS</t>
        </is>
      </c>
      <c r="B51" s="41" t="inlineStr">
        <is>
          <t>BRINCADEIRA 1.DOCES</t>
        </is>
      </c>
      <c r="C51" s="40" t="inlineStr">
        <is>
          <t>78989056877142</t>
        </is>
      </c>
      <c r="D51" s="41" t="inlineStr">
        <is>
          <t>OUTROS</t>
        </is>
      </c>
      <c r="E51" s="78" t="n">
        <v>3</v>
      </c>
      <c r="F51" s="76" t="inlineStr">
        <is>
          <t>Quintal do Espeto Carinás</t>
        </is>
      </c>
    </row>
    <row r="52">
      <c r="A52" s="43" t="inlineStr">
        <is>
          <t>CARINAS</t>
        </is>
      </c>
      <c r="B52" s="44" t="inlineStr">
        <is>
          <t>ENTRADA ANIVERSÁRIO</t>
        </is>
      </c>
      <c r="C52" s="43" t="inlineStr">
        <is>
          <t>46078</t>
        </is>
      </c>
      <c r="D52" s="44" t="inlineStr">
        <is>
          <t>0 ENTRADAS VIPS(RESTAURADA)</t>
        </is>
      </c>
      <c r="E52" s="73" t="n"/>
      <c r="F52" s="74" t="inlineStr">
        <is>
          <t>Quintal do Espeto Carinás</t>
        </is>
      </c>
    </row>
    <row r="53">
      <c r="A53" s="40" t="inlineStr">
        <is>
          <t>CARINAS</t>
        </is>
      </c>
      <c r="B53" s="41" t="inlineStr">
        <is>
          <t>ENTRADA SEGUNDA FEIRA</t>
        </is>
      </c>
      <c r="C53" s="40" t="inlineStr">
        <is>
          <t>40006</t>
        </is>
      </c>
      <c r="D53" s="41" t="inlineStr">
        <is>
          <t>1 ENTRADAS SEGUNDA-FEIRA</t>
        </is>
      </c>
      <c r="E53" s="78" t="n">
        <v>30</v>
      </c>
      <c r="F53" s="76" t="inlineStr">
        <is>
          <t>Quintal do Espeto Carinás</t>
        </is>
      </c>
    </row>
    <row r="54">
      <c r="A54" s="43" t="inlineStr">
        <is>
          <t>CARINAS</t>
        </is>
      </c>
      <c r="B54" s="44" t="inlineStr">
        <is>
          <t>PULG TICKETS</t>
        </is>
      </c>
      <c r="C54" s="43" t="inlineStr">
        <is>
          <t>511025</t>
        </is>
      </c>
      <c r="D54" s="44" t="inlineStr">
        <is>
          <t>0 ENTRADAS VIPS</t>
        </is>
      </c>
      <c r="E54" s="73" t="n"/>
      <c r="F54" s="74" t="inlineStr">
        <is>
          <t>Quintal do Espeto Carinás</t>
        </is>
      </c>
    </row>
    <row r="55">
      <c r="A55" s="40" t="inlineStr">
        <is>
          <t>CARINAS</t>
        </is>
      </c>
      <c r="B55" s="41" t="inlineStr">
        <is>
          <t>ENTRADA TICKET360</t>
        </is>
      </c>
      <c r="C55" s="40" t="inlineStr">
        <is>
          <t>9003572</t>
        </is>
      </c>
      <c r="D55" s="41" t="inlineStr">
        <is>
          <t>8 ENTRADAS SHOW</t>
        </is>
      </c>
      <c r="E55" s="78" t="n">
        <v>80</v>
      </c>
      <c r="F55" s="76" t="inlineStr">
        <is>
          <t>Quintal do Espeto Carinás</t>
        </is>
      </c>
    </row>
    <row r="56">
      <c r="A56" s="43" t="inlineStr">
        <is>
          <t>LAPA</t>
        </is>
      </c>
      <c r="B56" s="44" t="inlineStr">
        <is>
          <t>ENTRADA TICKET 360 VIP</t>
        </is>
      </c>
      <c r="C56" s="43" t="inlineStr">
        <is>
          <t>9003583</t>
        </is>
      </c>
      <c r="D56" s="44" t="inlineStr">
        <is>
          <t>0 ENTRADAS</t>
        </is>
      </c>
      <c r="E56" s="73" t="n"/>
      <c r="F56" s="74" t="inlineStr">
        <is>
          <t>Quintal do Espeto Lapa</t>
        </is>
      </c>
    </row>
    <row r="57">
      <c r="A57" s="40" t="inlineStr">
        <is>
          <t>LAPA</t>
        </is>
      </c>
      <c r="B57" s="41" t="inlineStr">
        <is>
          <t>ENTRADA MUSICO</t>
        </is>
      </c>
      <c r="C57" s="40" t="inlineStr">
        <is>
          <t>7898905687356</t>
        </is>
      </c>
      <c r="D57" s="41" t="inlineStr">
        <is>
          <t>0 ENTRADAS VIPS</t>
        </is>
      </c>
      <c r="E57" s="75" t="n"/>
      <c r="F57" s="76" t="inlineStr">
        <is>
          <t>Quintal do Espeto Lapa</t>
        </is>
      </c>
    </row>
    <row r="58">
      <c r="A58" s="43" t="inlineStr">
        <is>
          <t>LAPA</t>
        </is>
      </c>
      <c r="B58" s="44" t="inlineStr">
        <is>
          <t>ENTRADA TERCA FEIRA</t>
        </is>
      </c>
      <c r="C58" s="43" t="inlineStr">
        <is>
          <t>68817</t>
        </is>
      </c>
      <c r="D58" s="44" t="inlineStr">
        <is>
          <t>2 ENTRADAS TERÇA-FEIRA</t>
        </is>
      </c>
      <c r="E58" s="77" t="n">
        <v>10</v>
      </c>
      <c r="F58" s="74" t="inlineStr">
        <is>
          <t>Quintal do Espeto Lapa</t>
        </is>
      </c>
    </row>
    <row r="59">
      <c r="A59" s="40" t="inlineStr">
        <is>
          <t>LAPA</t>
        </is>
      </c>
      <c r="B59" s="41" t="inlineStr">
        <is>
          <t>ENTRADA SEXTA FEIRA</t>
        </is>
      </c>
      <c r="C59" s="40" t="inlineStr">
        <is>
          <t>4976</t>
        </is>
      </c>
      <c r="D59" s="41" t="inlineStr">
        <is>
          <t>5 ENTRADAS SEXTA-FEIRA</t>
        </is>
      </c>
      <c r="E59" s="78" t="n">
        <v>7</v>
      </c>
      <c r="F59" s="76" t="inlineStr">
        <is>
          <t>Quintal do Espeto Lapa</t>
        </is>
      </c>
    </row>
    <row r="60">
      <c r="A60" s="43" t="inlineStr">
        <is>
          <t>LAPA</t>
        </is>
      </c>
      <c r="B60" s="44" t="inlineStr">
        <is>
          <t>ENTRADA SEGUNDA FEIRA</t>
        </is>
      </c>
      <c r="C60" s="43" t="inlineStr">
        <is>
          <t>2601</t>
        </is>
      </c>
      <c r="D60" s="44" t="inlineStr">
        <is>
          <t>1 ENTRADAS SEGUNDA FEIRA</t>
        </is>
      </c>
      <c r="E60" s="77" t="n">
        <v>10</v>
      </c>
      <c r="F60" s="74" t="inlineStr">
        <is>
          <t>Quintal do Espeto Lapa</t>
        </is>
      </c>
    </row>
    <row r="61">
      <c r="A61" s="40" t="inlineStr">
        <is>
          <t>LAPA</t>
        </is>
      </c>
      <c r="B61" s="41" t="inlineStr">
        <is>
          <t>ENTRADA DOMINGO</t>
        </is>
      </c>
      <c r="C61" s="40" t="inlineStr">
        <is>
          <t>5644</t>
        </is>
      </c>
      <c r="D61" s="41" t="inlineStr">
        <is>
          <t>7 ENTRADAS DOMINGO</t>
        </is>
      </c>
      <c r="E61" s="78" t="n">
        <v>7</v>
      </c>
      <c r="F61" s="76" t="inlineStr">
        <is>
          <t>Quintal do Espeto Lapa</t>
        </is>
      </c>
    </row>
    <row r="62">
      <c r="A62" s="43" t="inlineStr">
        <is>
          <t>LAPA</t>
        </is>
      </c>
      <c r="B62" s="44" t="inlineStr">
        <is>
          <t>ENTRADA LAPA</t>
        </is>
      </c>
      <c r="C62" s="43" t="inlineStr">
        <is>
          <t>78989056877175</t>
        </is>
      </c>
      <c r="D62" s="44" t="inlineStr">
        <is>
          <t>0 ENTRADAS</t>
        </is>
      </c>
      <c r="E62" s="77" t="n">
        <v>7</v>
      </c>
      <c r="F62" s="74" t="inlineStr">
        <is>
          <t>Quintal do Espeto Lapa</t>
        </is>
      </c>
    </row>
    <row r="63">
      <c r="A63" s="40" t="inlineStr">
        <is>
          <t>LAPA</t>
        </is>
      </c>
      <c r="B63" s="41" t="inlineStr">
        <is>
          <t>ENTRADA SABADO NOITE</t>
        </is>
      </c>
      <c r="C63" s="40" t="inlineStr">
        <is>
          <t>28138</t>
        </is>
      </c>
      <c r="D63" s="41" t="inlineStr">
        <is>
          <t>6 ENTRADAS SABADO</t>
        </is>
      </c>
      <c r="E63" s="78" t="n">
        <v>7</v>
      </c>
      <c r="F63" s="76" t="inlineStr">
        <is>
          <t>Quintal do Espeto Lapa</t>
        </is>
      </c>
    </row>
    <row r="64">
      <c r="A64" s="43" t="inlineStr">
        <is>
          <t>LAPA</t>
        </is>
      </c>
      <c r="B64" s="44" t="inlineStr">
        <is>
          <t>ENTRADA SABADO DIA</t>
        </is>
      </c>
      <c r="C64" s="43" t="inlineStr">
        <is>
          <t>17879</t>
        </is>
      </c>
      <c r="D64" s="44" t="inlineStr">
        <is>
          <t>6 ENTRADAS SABADO</t>
        </is>
      </c>
      <c r="E64" s="77" t="n">
        <v>7</v>
      </c>
      <c r="F64" s="74" t="inlineStr">
        <is>
          <t>Quintal do Espeto Lapa</t>
        </is>
      </c>
    </row>
    <row r="65">
      <c r="A65" s="40" t="inlineStr">
        <is>
          <t>LAPA</t>
        </is>
      </c>
      <c r="B65" s="41" t="inlineStr">
        <is>
          <t>ENTRADA ANIVERSARIO</t>
        </is>
      </c>
      <c r="C65" s="40" t="inlineStr">
        <is>
          <t>27005</t>
        </is>
      </c>
      <c r="D65" s="41" t="inlineStr">
        <is>
          <t>0 ENTRADAS</t>
        </is>
      </c>
      <c r="E65" s="75" t="n"/>
      <c r="F65" s="76" t="inlineStr">
        <is>
          <t>Quintal do Espeto Lapa</t>
        </is>
      </c>
    </row>
    <row r="66">
      <c r="A66" s="43" t="inlineStr">
        <is>
          <t>LAPA</t>
        </is>
      </c>
      <c r="B66" s="44" t="inlineStr">
        <is>
          <t>ENTRADA VIP</t>
        </is>
      </c>
      <c r="C66" s="43" t="inlineStr">
        <is>
          <t>26740</t>
        </is>
      </c>
      <c r="D66" s="44" t="inlineStr">
        <is>
          <t>0 ENTRADAS</t>
        </is>
      </c>
      <c r="E66" s="73" t="n"/>
      <c r="F66" s="74" t="inlineStr">
        <is>
          <t>Quintal do Espeto Lapa</t>
        </is>
      </c>
    </row>
    <row r="67">
      <c r="A67" s="40" t="inlineStr">
        <is>
          <t>LAPA</t>
        </is>
      </c>
      <c r="B67" s="41" t="inlineStr">
        <is>
          <t>ENTRADA QUINTA FEIRA</t>
        </is>
      </c>
      <c r="C67" s="40" t="inlineStr">
        <is>
          <t>14669</t>
        </is>
      </c>
      <c r="D67" s="41" t="inlineStr">
        <is>
          <t>4 ENTRADAS QUINTA-FEIRA</t>
        </is>
      </c>
      <c r="E67" s="78" t="n">
        <v>7</v>
      </c>
      <c r="F67" s="76" t="inlineStr">
        <is>
          <t>Quintal do Espeto Lapa</t>
        </is>
      </c>
    </row>
    <row r="68">
      <c r="A68" s="43" t="inlineStr">
        <is>
          <t>LAPA</t>
        </is>
      </c>
      <c r="B68" s="44" t="inlineStr">
        <is>
          <t>ENTRADA VIP LAPA</t>
        </is>
      </c>
      <c r="C68" s="43" t="inlineStr">
        <is>
          <t>78989056877176</t>
        </is>
      </c>
      <c r="D68" s="44" t="inlineStr">
        <is>
          <t>0 ENTRADAS</t>
        </is>
      </c>
      <c r="E68" s="73" t="n"/>
      <c r="F68" s="74" t="inlineStr">
        <is>
          <t>Quintal do Espeto Lapa</t>
        </is>
      </c>
    </row>
    <row r="69">
      <c r="A69" s="40" t="inlineStr">
        <is>
          <t>LAPA</t>
        </is>
      </c>
      <c r="B69" s="41" t="inlineStr">
        <is>
          <t>ENTRADA QUARTA FEIRA</t>
        </is>
      </c>
      <c r="C69" s="40" t="inlineStr">
        <is>
          <t>21069091</t>
        </is>
      </c>
      <c r="D69" s="41" t="inlineStr">
        <is>
          <t>3 ENTRADAS QUARTA-FEIRA</t>
        </is>
      </c>
      <c r="E69" s="78" t="n">
        <v>7</v>
      </c>
      <c r="F69" s="76" t="inlineStr">
        <is>
          <t>Quintal do Espeto Lapa</t>
        </is>
      </c>
    </row>
    <row r="70">
      <c r="A70" s="43" t="inlineStr">
        <is>
          <t>TATUAPÉ</t>
        </is>
      </c>
      <c r="B70" s="44" t="inlineStr">
        <is>
          <t>ENTRADA VIP</t>
        </is>
      </c>
      <c r="C70" s="43" t="inlineStr">
        <is>
          <t>52524</t>
        </is>
      </c>
      <c r="D70" s="44" t="inlineStr">
        <is>
          <t>0 ENTRADAS VIPS</t>
        </is>
      </c>
      <c r="E70" s="73" t="n"/>
      <c r="F70" s="74" t="inlineStr">
        <is>
          <t>Quintal do Espeto Tatuapé</t>
        </is>
      </c>
    </row>
    <row r="71">
      <c r="A71" s="40" t="inlineStr">
        <is>
          <t>TATUAPÉ</t>
        </is>
      </c>
      <c r="B71" s="41" t="inlineStr">
        <is>
          <t>Entrada Ticket</t>
        </is>
      </c>
      <c r="C71" s="40" t="inlineStr">
        <is>
          <t>70996</t>
        </is>
      </c>
      <c r="D71" s="41" t="inlineStr">
        <is>
          <t>8 ENTRADAS SHOW</t>
        </is>
      </c>
      <c r="E71" s="75" t="n"/>
      <c r="F71" s="76" t="inlineStr">
        <is>
          <t>Quintal do Espeto Tatuapé</t>
        </is>
      </c>
    </row>
    <row r="72">
      <c r="A72" s="43" t="inlineStr">
        <is>
          <t>TATUAPÉ</t>
        </is>
      </c>
      <c r="B72" s="44" t="inlineStr">
        <is>
          <t>MENOR DE IDADE</t>
        </is>
      </c>
      <c r="C72" s="43" t="inlineStr">
        <is>
          <t>9003588</t>
        </is>
      </c>
      <c r="D72" s="44" t="inlineStr">
        <is>
          <t>ENTRADAS</t>
        </is>
      </c>
      <c r="E72" s="73" t="n"/>
      <c r="F72" s="74" t="inlineStr">
        <is>
          <t>Quintal do Espeto Tatuapé</t>
        </is>
      </c>
    </row>
    <row r="73">
      <c r="A73" s="40" t="inlineStr">
        <is>
          <t>TATUAPÉ</t>
        </is>
      </c>
      <c r="B73" s="41" t="inlineStr">
        <is>
          <t>ENTRADA DOMINGO 02</t>
        </is>
      </c>
      <c r="C73" s="40" t="inlineStr">
        <is>
          <t>9003630</t>
        </is>
      </c>
      <c r="D73" s="41" t="inlineStr">
        <is>
          <t>0 ENTRADAS VIPS</t>
        </is>
      </c>
      <c r="E73" s="78" t="n">
        <v>10</v>
      </c>
      <c r="F73" s="76" t="inlineStr">
        <is>
          <t>Quintal do Espeto Tatuapé</t>
        </is>
      </c>
    </row>
    <row r="74">
      <c r="A74" s="43" t="inlineStr">
        <is>
          <t>TATUAPÉ</t>
        </is>
      </c>
      <c r="B74" s="44" t="inlineStr">
        <is>
          <t>ENTRADA SEXTA FEIRA</t>
        </is>
      </c>
      <c r="C74" s="43" t="inlineStr">
        <is>
          <t>3775</t>
        </is>
      </c>
      <c r="D74" s="44" t="inlineStr">
        <is>
          <t>7 DOMINGO</t>
        </is>
      </c>
      <c r="E74" s="77" t="n">
        <v>20</v>
      </c>
      <c r="F74" s="74" t="inlineStr">
        <is>
          <t>Quintal do Espeto Tatuapé</t>
        </is>
      </c>
    </row>
    <row r="75">
      <c r="A75" s="40" t="inlineStr">
        <is>
          <t>TATUAPÉ</t>
        </is>
      </c>
      <c r="B75" s="41" t="inlineStr">
        <is>
          <t>QUINTA FEIRA</t>
        </is>
      </c>
      <c r="C75" s="40" t="inlineStr">
        <is>
          <t>78989056877136</t>
        </is>
      </c>
      <c r="D75" s="41" t="inlineStr">
        <is>
          <t>4 ENTRADAS QUINTA-FEIRA</t>
        </is>
      </c>
      <c r="E75" s="78" t="n">
        <v>15</v>
      </c>
      <c r="F75" s="76" t="inlineStr">
        <is>
          <t>Quintal do Espeto Tatuapé</t>
        </is>
      </c>
    </row>
    <row r="76">
      <c r="A76" s="43" t="inlineStr">
        <is>
          <t>TATUAPÉ</t>
        </is>
      </c>
      <c r="B76" s="44" t="inlineStr">
        <is>
          <t>ENTRADA TERÇA FEIRA</t>
        </is>
      </c>
      <c r="C76" s="43" t="inlineStr">
        <is>
          <t>9003587</t>
        </is>
      </c>
      <c r="D76" s="44" t="inlineStr">
        <is>
          <t>2 TERÇA FEIRA</t>
        </is>
      </c>
      <c r="E76" s="77" t="n">
        <v>15</v>
      </c>
      <c r="F76" s="74" t="inlineStr">
        <is>
          <t>Quintal do Espeto Tatuapé</t>
        </is>
      </c>
    </row>
    <row r="77">
      <c r="A77" s="40" t="inlineStr">
        <is>
          <t>TATUAPÉ</t>
        </is>
      </c>
      <c r="B77" s="41" t="inlineStr">
        <is>
          <t>ENTRADA QUARTA FEIRA</t>
        </is>
      </c>
      <c r="C77" s="40" t="inlineStr">
        <is>
          <t>78989056877139</t>
        </is>
      </c>
      <c r="D77" s="41" t="inlineStr">
        <is>
          <t>7 DOMINGO</t>
        </is>
      </c>
      <c r="E77" s="78" t="n">
        <v>15</v>
      </c>
      <c r="F77" s="76" t="inlineStr">
        <is>
          <t>Quintal do Espeto Tatuapé</t>
        </is>
      </c>
    </row>
    <row r="78">
      <c r="A78" s="43" t="inlineStr">
        <is>
          <t>TATUAPÉ</t>
        </is>
      </c>
      <c r="B78" s="44" t="inlineStr">
        <is>
          <t>ENTRADA MUSICO</t>
        </is>
      </c>
      <c r="C78" s="43" t="inlineStr">
        <is>
          <t>7898905687560</t>
        </is>
      </c>
      <c r="D78" s="44" t="inlineStr">
        <is>
          <t>0 ENTRADAS VIPS</t>
        </is>
      </c>
      <c r="E78" s="73" t="n"/>
      <c r="F78" s="74" t="inlineStr">
        <is>
          <t>Quintal do Espeto Tatuapé</t>
        </is>
      </c>
    </row>
    <row r="79">
      <c r="A79" s="40" t="inlineStr">
        <is>
          <t>TATUAPÉ</t>
        </is>
      </c>
      <c r="B79" s="41" t="inlineStr">
        <is>
          <t>SABADO</t>
        </is>
      </c>
      <c r="C79" s="40" t="inlineStr">
        <is>
          <t>9003201</t>
        </is>
      </c>
      <c r="D79" s="41" t="inlineStr">
        <is>
          <t>ENTRADAS</t>
        </is>
      </c>
      <c r="E79" s="78" t="n">
        <v>25</v>
      </c>
      <c r="F79" s="76" t="inlineStr">
        <is>
          <t>Quintal do Espeto Tatuapé</t>
        </is>
      </c>
    </row>
    <row r="80">
      <c r="A80" s="43" t="inlineStr">
        <is>
          <t>TATUAPÉ</t>
        </is>
      </c>
      <c r="B80" s="44" t="inlineStr">
        <is>
          <t>ENTRADA TERÇA FEIRA</t>
        </is>
      </c>
      <c r="C80" s="43" t="inlineStr">
        <is>
          <t>46064</t>
        </is>
      </c>
      <c r="D80" s="44" t="inlineStr">
        <is>
          <t>2 ENTRADAS TERÇA-FEIRA</t>
        </is>
      </c>
      <c r="E80" s="77" t="n">
        <v>15</v>
      </c>
      <c r="F80" s="74" t="inlineStr">
        <is>
          <t>Quintal do Espeto Tatuapé</t>
        </is>
      </c>
    </row>
    <row r="81">
      <c r="A81" s="40" t="inlineStr">
        <is>
          <t>TATUAPÉ</t>
        </is>
      </c>
      <c r="B81" s="41" t="inlineStr">
        <is>
          <t>ENTRADA ANIVERSARIO</t>
        </is>
      </c>
      <c r="C81" s="40" t="inlineStr">
        <is>
          <t>33670</t>
        </is>
      </c>
      <c r="D81" s="41" t="inlineStr">
        <is>
          <t>0 ENTRADAS VIPS</t>
        </is>
      </c>
      <c r="E81" s="75" t="n"/>
      <c r="F81" s="76" t="inlineStr">
        <is>
          <t>Quintal do Espeto Tatuapé</t>
        </is>
      </c>
    </row>
    <row r="82">
      <c r="A82" s="43" t="inlineStr">
        <is>
          <t>TATUAPÉ</t>
        </is>
      </c>
      <c r="B82" s="44" t="inlineStr">
        <is>
          <t>QUINTA FEIRA</t>
        </is>
      </c>
      <c r="C82" s="43" t="inlineStr">
        <is>
          <t>9003181</t>
        </is>
      </c>
      <c r="D82" s="44" t="inlineStr">
        <is>
          <t>4 QUINTA-FEIRA</t>
        </is>
      </c>
      <c r="E82" s="77" t="n">
        <v>15</v>
      </c>
      <c r="F82" s="74" t="inlineStr">
        <is>
          <t>Quintal do Espeto Tatuapé</t>
        </is>
      </c>
    </row>
    <row r="83">
      <c r="A83" s="40" t="inlineStr">
        <is>
          <t>TATUAPÉ</t>
        </is>
      </c>
      <c r="B83" s="41" t="inlineStr">
        <is>
          <t>ENTRADA SEXTA</t>
        </is>
      </c>
      <c r="C83" s="40" t="inlineStr">
        <is>
          <t>9003200</t>
        </is>
      </c>
      <c r="D83" s="41" t="inlineStr">
        <is>
          <t>5 ENTRADA SEXTA-FEIRA</t>
        </is>
      </c>
      <c r="E83" s="78" t="n">
        <v>20</v>
      </c>
      <c r="F83" s="76" t="inlineStr">
        <is>
          <t>Quintal do Espeto Tatuapé</t>
        </is>
      </c>
    </row>
    <row r="84">
      <c r="A84" s="43" t="inlineStr">
        <is>
          <t>TATUAPÉ</t>
        </is>
      </c>
      <c r="B84" s="44" t="inlineStr">
        <is>
          <t>ENTRADA SHOW 03</t>
        </is>
      </c>
      <c r="C84" s="43" t="inlineStr">
        <is>
          <t>9003577</t>
        </is>
      </c>
      <c r="D84" s="44" t="inlineStr">
        <is>
          <t>ENTRADA DOMINGO</t>
        </is>
      </c>
      <c r="E84" s="77" t="n">
        <v>40</v>
      </c>
      <c r="F84" s="74" t="inlineStr">
        <is>
          <t>Quintal do Espeto Tatuapé</t>
        </is>
      </c>
    </row>
    <row r="85">
      <c r="A85" s="40" t="inlineStr">
        <is>
          <t>TATUAPÉ</t>
        </is>
      </c>
      <c r="B85" s="41" t="inlineStr">
        <is>
          <t>FICHA MAQUIA PELUCIA</t>
        </is>
      </c>
      <c r="C85" s="40" t="inlineStr">
        <is>
          <t>7898905687601</t>
        </is>
      </c>
      <c r="D85" s="41" t="inlineStr">
        <is>
          <t>OUTROS</t>
        </is>
      </c>
      <c r="E85" s="78" t="n">
        <v>6</v>
      </c>
      <c r="F85" s="76" t="inlineStr">
        <is>
          <t>Quintal do Espeto Tatuapé</t>
        </is>
      </c>
    </row>
    <row r="86">
      <c r="A86" s="43" t="inlineStr">
        <is>
          <t>TATUAPÉ</t>
        </is>
      </c>
      <c r="B86" s="44" t="inlineStr">
        <is>
          <t>TERÇA ADULTO</t>
        </is>
      </c>
      <c r="C86" s="43" t="inlineStr">
        <is>
          <t>78989056877140</t>
        </is>
      </c>
      <c r="D86" s="44" t="inlineStr">
        <is>
          <t>OUTROS</t>
        </is>
      </c>
      <c r="E86" s="77" t="n">
        <v>20</v>
      </c>
      <c r="F86" s="74" t="inlineStr">
        <is>
          <t>Quintal do Espeto Tatuapé</t>
        </is>
      </c>
    </row>
    <row r="87">
      <c r="A87" s="40" t="inlineStr">
        <is>
          <t>TATUAPÉ</t>
        </is>
      </c>
      <c r="B87" s="41" t="inlineStr">
        <is>
          <t>TERÇA CRIANÇA</t>
        </is>
      </c>
      <c r="C87" s="40" t="inlineStr">
        <is>
          <t>60709</t>
        </is>
      </c>
      <c r="D87" s="41" t="inlineStr">
        <is>
          <t>ENTRADA DOMINGO</t>
        </is>
      </c>
      <c r="E87" s="78" t="n">
        <v>15</v>
      </c>
      <c r="F87" s="76" t="inlineStr">
        <is>
          <t>Quintal do Espeto Tatuapé</t>
        </is>
      </c>
    </row>
    <row r="88">
      <c r="A88" s="43" t="inlineStr">
        <is>
          <t>TATUAPÉ</t>
        </is>
      </c>
      <c r="B88" s="44" t="inlineStr">
        <is>
          <t>SABADO</t>
        </is>
      </c>
      <c r="C88" s="43" t="inlineStr">
        <is>
          <t>511017</t>
        </is>
      </c>
      <c r="D88" s="44" t="inlineStr">
        <is>
          <t>6 ENTRADA SABADO</t>
        </is>
      </c>
      <c r="E88" s="77" t="n">
        <v>25</v>
      </c>
      <c r="F88" s="74" t="inlineStr">
        <is>
          <t>Quintal do Espeto Tatuapé</t>
        </is>
      </c>
    </row>
    <row r="89">
      <c r="A89" s="40" t="inlineStr">
        <is>
          <t>TATUAPÉ</t>
        </is>
      </c>
      <c r="B89" s="41" t="inlineStr">
        <is>
          <t>ENTRADA segunda</t>
        </is>
      </c>
      <c r="C89" s="40" t="inlineStr">
        <is>
          <t>9003182</t>
        </is>
      </c>
      <c r="D89" s="41" t="inlineStr">
        <is>
          <t>1 ENTRADA SEGUNDA-FEIRA</t>
        </is>
      </c>
      <c r="E89" s="78" t="n">
        <v>15</v>
      </c>
      <c r="F89" s="76" t="inlineStr">
        <is>
          <t>Quintal do Espeto Tatuapé</t>
        </is>
      </c>
    </row>
    <row r="90">
      <c r="A90" s="43" t="inlineStr">
        <is>
          <t>TATUAPÉ</t>
        </is>
      </c>
      <c r="B90" s="44" t="inlineStr">
        <is>
          <t>ENTRADA QUARTA FEIRA</t>
        </is>
      </c>
      <c r="C90" s="43" t="inlineStr">
        <is>
          <t>82764</t>
        </is>
      </c>
      <c r="D90" s="44" t="inlineStr">
        <is>
          <t>3 ENTRADA QUARTA-FEIRA</t>
        </is>
      </c>
      <c r="E90" s="77" t="n">
        <v>15</v>
      </c>
      <c r="F90" s="74" t="inlineStr">
        <is>
          <t>Quintal do Espeto Tatuapé</t>
        </is>
      </c>
    </row>
    <row r="91">
      <c r="A91" s="40" t="inlineStr">
        <is>
          <t>TATUAPÉ</t>
        </is>
      </c>
      <c r="B91" s="41" t="inlineStr">
        <is>
          <t>ENTRADA SHOW</t>
        </is>
      </c>
      <c r="C91" s="40" t="inlineStr">
        <is>
          <t>78989056877138</t>
        </is>
      </c>
      <c r="D91" s="41" t="inlineStr">
        <is>
          <t>OUTROS</t>
        </is>
      </c>
      <c r="E91" s="78" t="n">
        <v>50</v>
      </c>
      <c r="F91" s="76" t="inlineStr">
        <is>
          <t>Quintal do Espeto Tatuapé</t>
        </is>
      </c>
    </row>
    <row r="92">
      <c r="A92" s="43" t="inlineStr">
        <is>
          <t>TATUAPÉ</t>
        </is>
      </c>
      <c r="B92" s="44" t="inlineStr">
        <is>
          <t>ENTRADA SHOW 02</t>
        </is>
      </c>
      <c r="C92" s="43" t="inlineStr">
        <is>
          <t>78989056877137</t>
        </is>
      </c>
      <c r="D92" s="44" t="inlineStr">
        <is>
          <t>OUTROS</t>
        </is>
      </c>
      <c r="E92" s="77" t="n">
        <v>30</v>
      </c>
      <c r="F92" s="74" t="inlineStr">
        <is>
          <t>Quintal do Espeto Tatuapé</t>
        </is>
      </c>
    </row>
    <row r="93">
      <c r="A93" s="40" t="inlineStr">
        <is>
          <t>TATUAPÉ</t>
        </is>
      </c>
      <c r="B93" s="41" t="inlineStr">
        <is>
          <t>ENTRADA 60+</t>
        </is>
      </c>
      <c r="C93" s="40" t="inlineStr">
        <is>
          <t>78989056877141</t>
        </is>
      </c>
      <c r="D93" s="41" t="inlineStr">
        <is>
          <t>0 ENTRADAS VIPS</t>
        </is>
      </c>
      <c r="E93" s="75" t="n"/>
      <c r="F93" s="76" t="inlineStr">
        <is>
          <t>Quintal do Espeto Tatuapé</t>
        </is>
      </c>
    </row>
    <row r="94">
      <c r="A94" s="43" t="inlineStr">
        <is>
          <t>TATUAPÉ</t>
        </is>
      </c>
      <c r="B94" s="44" t="inlineStr">
        <is>
          <t>ENTRADA SABADO</t>
        </is>
      </c>
      <c r="C94" s="43" t="inlineStr">
        <is>
          <t>80679</t>
        </is>
      </c>
      <c r="D94" s="44" t="inlineStr">
        <is>
          <t>6 ENTRADA SABADO</t>
        </is>
      </c>
      <c r="E94" s="77" t="n">
        <v>25</v>
      </c>
      <c r="F94" s="74" t="inlineStr">
        <is>
          <t>Quintal do Espeto Tatuapé</t>
        </is>
      </c>
    </row>
    <row r="95">
      <c r="A95" s="40" t="inlineStr">
        <is>
          <t>TATUAPÉ</t>
        </is>
      </c>
      <c r="B95" s="41" t="inlineStr">
        <is>
          <t>ENTRADA VIP COLABORADORES</t>
        </is>
      </c>
      <c r="C95" s="40" t="inlineStr">
        <is>
          <t>9003589</t>
        </is>
      </c>
      <c r="D95" s="41" t="inlineStr">
        <is>
          <t>0 ENTRADAS VIPS(RESTAURADA)</t>
        </is>
      </c>
      <c r="E95" s="75" t="n"/>
      <c r="F95" s="76" t="inlineStr">
        <is>
          <t>Quintal do Espeto Tatuapé</t>
        </is>
      </c>
    </row>
    <row r="96">
      <c r="A96" s="43" t="inlineStr">
        <is>
          <t>TATUAPÉ</t>
        </is>
      </c>
      <c r="B96" s="44" t="inlineStr">
        <is>
          <t>INFLAVEIS</t>
        </is>
      </c>
      <c r="C96" s="43" t="inlineStr">
        <is>
          <t>9003635</t>
        </is>
      </c>
      <c r="D96" s="44" t="inlineStr">
        <is>
          <t>INFLAVEIS</t>
        </is>
      </c>
      <c r="E96" s="77" t="n">
        <v>10</v>
      </c>
      <c r="F96" s="74" t="inlineStr">
        <is>
          <t>Quintal do Espeto Tatuapé</t>
        </is>
      </c>
    </row>
    <row r="97">
      <c r="A97" s="40" t="inlineStr">
        <is>
          <t>PAVÃO</t>
        </is>
      </c>
      <c r="B97" s="41" t="inlineStr">
        <is>
          <t>ENTRADA SEXTA FEIRA</t>
        </is>
      </c>
      <c r="C97" s="40" t="inlineStr">
        <is>
          <t>48483</t>
        </is>
      </c>
      <c r="D97" s="41" t="inlineStr">
        <is>
          <t>5 ENTRADAS SEXTA-FEIRA</t>
        </is>
      </c>
      <c r="E97" s="78" t="n">
        <v>7</v>
      </c>
      <c r="F97" s="76" t="inlineStr">
        <is>
          <t>Quintal do Espeto Pavão</t>
        </is>
      </c>
    </row>
    <row r="98">
      <c r="A98" s="43" t="inlineStr">
        <is>
          <t>PAVÃO</t>
        </is>
      </c>
      <c r="B98" s="44" t="inlineStr">
        <is>
          <t>ENTRADA ANIVERSARIO</t>
        </is>
      </c>
      <c r="C98" s="43" t="inlineStr">
        <is>
          <t>1206</t>
        </is>
      </c>
      <c r="D98" s="44" t="inlineStr">
        <is>
          <t>0 ENTRADAS</t>
        </is>
      </c>
      <c r="E98" s="73" t="n"/>
      <c r="F98" s="74" t="inlineStr">
        <is>
          <t>Quintal do Espeto Pavão</t>
        </is>
      </c>
    </row>
    <row r="99">
      <c r="A99" s="40" t="inlineStr">
        <is>
          <t>PAVÃO</t>
        </is>
      </c>
      <c r="B99" s="41" t="inlineStr">
        <is>
          <t>LIGA DO BEM</t>
        </is>
      </c>
      <c r="C99" s="40" t="inlineStr">
        <is>
          <t>511001</t>
        </is>
      </c>
      <c r="D99" s="41" t="inlineStr">
        <is>
          <t>Entradas</t>
        </is>
      </c>
      <c r="E99" s="78" t="n">
        <v>10</v>
      </c>
      <c r="F99" s="76" t="inlineStr">
        <is>
          <t>Quintal do Espeto Pavão</t>
        </is>
      </c>
    </row>
    <row r="100">
      <c r="A100" s="43" t="inlineStr">
        <is>
          <t>PAVÃO</t>
        </is>
      </c>
      <c r="B100" s="44" t="inlineStr">
        <is>
          <t>ENTRADA MUSICO</t>
        </is>
      </c>
      <c r="C100" s="43" t="inlineStr">
        <is>
          <t>7898905687357</t>
        </is>
      </c>
      <c r="D100" s="44" t="inlineStr">
        <is>
          <t>0 ENTRADAS VIPS</t>
        </is>
      </c>
      <c r="E100" s="73" t="n"/>
      <c r="F100" s="74" t="inlineStr">
        <is>
          <t>Quintal do Espeto Pavão</t>
        </is>
      </c>
    </row>
    <row r="101">
      <c r="A101" s="40" t="inlineStr">
        <is>
          <t>PAVÃO</t>
        </is>
      </c>
      <c r="B101" s="41" t="inlineStr">
        <is>
          <t>ENTRADA VIP</t>
        </is>
      </c>
      <c r="C101" s="40" t="inlineStr">
        <is>
          <t>87701</t>
        </is>
      </c>
      <c r="D101" s="41" t="inlineStr">
        <is>
          <t>0 ENTRADAS</t>
        </is>
      </c>
      <c r="E101" s="75" t="n"/>
      <c r="F101" s="76" t="inlineStr">
        <is>
          <t>Quintal do Espeto Pavão</t>
        </is>
      </c>
    </row>
    <row r="102">
      <c r="A102" s="43" t="inlineStr">
        <is>
          <t>PAVÃO</t>
        </is>
      </c>
      <c r="B102" s="44" t="inlineStr">
        <is>
          <t>ENTRADA TERÇA FEIRA</t>
        </is>
      </c>
      <c r="C102" s="43" t="inlineStr">
        <is>
          <t>85317</t>
        </is>
      </c>
      <c r="D102" s="44" t="inlineStr">
        <is>
          <t>2 ENTRADAS TERÇA-FEIRA</t>
        </is>
      </c>
      <c r="E102" s="77" t="n">
        <v>7</v>
      </c>
      <c r="F102" s="74" t="inlineStr">
        <is>
          <t>Quintal do Espeto Pavão</t>
        </is>
      </c>
    </row>
    <row r="103">
      <c r="A103" s="40" t="inlineStr">
        <is>
          <t>PAVÃO</t>
        </is>
      </c>
      <c r="B103" s="41" t="inlineStr">
        <is>
          <t>TICKET 360</t>
        </is>
      </c>
      <c r="C103" s="40" t="inlineStr">
        <is>
          <t>511026</t>
        </is>
      </c>
      <c r="D103" s="41" t="inlineStr">
        <is>
          <t>0 ENTRADAS</t>
        </is>
      </c>
      <c r="E103" s="78" t="n">
        <v>10</v>
      </c>
      <c r="F103" s="76" t="inlineStr">
        <is>
          <t>Quintal do Espeto Pavão</t>
        </is>
      </c>
    </row>
    <row r="104">
      <c r="A104" s="43" t="inlineStr">
        <is>
          <t>PAVÃO</t>
        </is>
      </c>
      <c r="B104" s="44" t="inlineStr">
        <is>
          <t>ENTRADA QUARTA FEIRA</t>
        </is>
      </c>
      <c r="C104" s="43" t="inlineStr">
        <is>
          <t>61514</t>
        </is>
      </c>
      <c r="D104" s="44" t="inlineStr">
        <is>
          <t>3 ENTRADAS QUARTA-FEIRA</t>
        </is>
      </c>
      <c r="E104" s="77" t="n">
        <v>7</v>
      </c>
      <c r="F104" s="74" t="inlineStr">
        <is>
          <t>Quintal do Espeto Pavão</t>
        </is>
      </c>
    </row>
    <row r="105">
      <c r="A105" s="40" t="inlineStr">
        <is>
          <t>PAVÃO</t>
        </is>
      </c>
      <c r="B105" s="41" t="inlineStr">
        <is>
          <t>ENTRADA QUINTA FEIRA</t>
        </is>
      </c>
      <c r="C105" s="40" t="inlineStr">
        <is>
          <t>83178</t>
        </is>
      </c>
      <c r="D105" s="41" t="inlineStr">
        <is>
          <t>4 ENTRADAS QUINTA-FEIRA</t>
        </is>
      </c>
      <c r="E105" s="78" t="n">
        <v>7</v>
      </c>
      <c r="F105" s="76" t="inlineStr">
        <is>
          <t>Quintal do Espeto Pavão</t>
        </is>
      </c>
    </row>
    <row r="106">
      <c r="A106" s="43" t="inlineStr">
        <is>
          <t>PAVÃO</t>
        </is>
      </c>
      <c r="B106" s="44" t="inlineStr">
        <is>
          <t>ENTRADA DOMINGO DIA</t>
        </is>
      </c>
      <c r="C106" s="43" t="inlineStr">
        <is>
          <t>80909</t>
        </is>
      </c>
      <c r="D106" s="44" t="inlineStr">
        <is>
          <t>7 ENTRADAS DOMINGO</t>
        </is>
      </c>
      <c r="E106" s="77" t="n">
        <v>7</v>
      </c>
      <c r="F106" s="74" t="inlineStr">
        <is>
          <t>Quintal do Espeto Pavão</t>
        </is>
      </c>
    </row>
    <row r="107">
      <c r="A107" s="40" t="inlineStr">
        <is>
          <t>PAVÃO</t>
        </is>
      </c>
      <c r="B107" s="41" t="inlineStr">
        <is>
          <t>ENTRADA SÁBADO DIA</t>
        </is>
      </c>
      <c r="C107" s="40" t="inlineStr">
        <is>
          <t>83788</t>
        </is>
      </c>
      <c r="D107" s="41" t="inlineStr">
        <is>
          <t>6 ENTRADAS SABADO</t>
        </is>
      </c>
      <c r="E107" s="78" t="n">
        <v>7</v>
      </c>
      <c r="F107" s="76" t="inlineStr">
        <is>
          <t>Quintal do Espeto Pavão</t>
        </is>
      </c>
    </row>
    <row r="108">
      <c r="A108" s="43" t="inlineStr">
        <is>
          <t>PAVÃO</t>
        </is>
      </c>
      <c r="B108" s="44" t="inlineStr">
        <is>
          <t>ENTRADA SÁBADO NOITE</t>
        </is>
      </c>
      <c r="C108" s="43" t="inlineStr">
        <is>
          <t>62857</t>
        </is>
      </c>
      <c r="D108" s="44" t="inlineStr">
        <is>
          <t>6 ENTRADAS SABADO</t>
        </is>
      </c>
      <c r="E108" s="77" t="n">
        <v>7</v>
      </c>
      <c r="F108" s="74" t="inlineStr">
        <is>
          <t>Quintal do Espeto Pavão</t>
        </is>
      </c>
    </row>
    <row r="109">
      <c r="A109" s="40" t="inlineStr">
        <is>
          <t>PAVÃO</t>
        </is>
      </c>
      <c r="B109" s="41" t="inlineStr">
        <is>
          <t>MAQUINA DE PELUCIA</t>
        </is>
      </c>
      <c r="C109" s="40" t="inlineStr">
        <is>
          <t>78989056877127</t>
        </is>
      </c>
      <c r="D109" s="41" t="inlineStr">
        <is>
          <t>OUTROS</t>
        </is>
      </c>
      <c r="E109" s="78" t="n">
        <v>1</v>
      </c>
      <c r="F109" s="76" t="inlineStr">
        <is>
          <t>Quintal do Espeto Pavão</t>
        </is>
      </c>
    </row>
    <row r="110">
      <c r="A110" s="43" t="inlineStr">
        <is>
          <t>PAVÃO</t>
        </is>
      </c>
      <c r="B110" s="44" t="inlineStr">
        <is>
          <t>ENTRADA DOMINGO NOITE</t>
        </is>
      </c>
      <c r="C110" s="43" t="inlineStr">
        <is>
          <t>58400</t>
        </is>
      </c>
      <c r="D110" s="44" t="inlineStr">
        <is>
          <t>7 ENTRADAS DOMINGO</t>
        </is>
      </c>
      <c r="E110" s="77" t="n">
        <v>7</v>
      </c>
      <c r="F110" s="74" t="inlineStr">
        <is>
          <t>Quintal do Espeto Pavão</t>
        </is>
      </c>
    </row>
    <row r="111">
      <c r="A111" s="40" t="inlineStr">
        <is>
          <t>PAVÃO</t>
        </is>
      </c>
      <c r="B111" s="41" t="inlineStr">
        <is>
          <t>TORCIDA FLAMENGO</t>
        </is>
      </c>
      <c r="C111" s="40" t="inlineStr">
        <is>
          <t>45279</t>
        </is>
      </c>
      <c r="D111" s="41" t="inlineStr">
        <is>
          <t>ENTRADAS TORCIDAS DE FUTEBOL</t>
        </is>
      </c>
      <c r="E111" s="78" t="n">
        <v>10</v>
      </c>
      <c r="F111" s="76" t="inlineStr">
        <is>
          <t>Quintal do Espeto Pavão</t>
        </is>
      </c>
    </row>
    <row r="112">
      <c r="A112" s="43" t="inlineStr">
        <is>
          <t>CHÁCARA</t>
        </is>
      </c>
      <c r="B112" s="44" t="inlineStr">
        <is>
          <t>ENTRADA TERCA FEIRA</t>
        </is>
      </c>
      <c r="C112" s="43" t="inlineStr">
        <is>
          <t>511029</t>
        </is>
      </c>
      <c r="D112" s="44" t="inlineStr">
        <is>
          <t>2 ENTRADAS TERÇA-FEIRA</t>
        </is>
      </c>
      <c r="E112" s="77" t="n">
        <v>7</v>
      </c>
      <c r="F112" s="74" t="inlineStr">
        <is>
          <t>Quintal do Espeto Chac Sto Antonio</t>
        </is>
      </c>
    </row>
    <row r="113">
      <c r="A113" s="40" t="inlineStr">
        <is>
          <t>CHÁCARA</t>
        </is>
      </c>
      <c r="B113" s="41" t="inlineStr">
        <is>
          <t>PASSEIO KIDS</t>
        </is>
      </c>
      <c r="C113" s="40" t="inlineStr">
        <is>
          <t>78989056877187</t>
        </is>
      </c>
      <c r="D113" s="41" t="inlineStr">
        <is>
          <t>0 ENTRADAS VIPS</t>
        </is>
      </c>
      <c r="E113" s="78" t="n">
        <v>15</v>
      </c>
      <c r="F113" s="76" t="inlineStr">
        <is>
          <t>Quintal do Espeto Chac Sto Antonio</t>
        </is>
      </c>
    </row>
    <row r="114">
      <c r="A114" s="43" t="inlineStr">
        <is>
          <t>CHÁCARA</t>
        </is>
      </c>
      <c r="B114" s="44" t="inlineStr">
        <is>
          <t>ENTRADA QUINTA FEIRA</t>
        </is>
      </c>
      <c r="C114" s="43" t="inlineStr">
        <is>
          <t>511053</t>
        </is>
      </c>
      <c r="D114" s="44" t="inlineStr">
        <is>
          <t>4 ENTRADAS QUINTA-FEIRA</t>
        </is>
      </c>
      <c r="E114" s="77" t="n">
        <v>7</v>
      </c>
      <c r="F114" s="74" t="inlineStr">
        <is>
          <t>Quintal do Espeto Chac Sto Antonio</t>
        </is>
      </c>
    </row>
    <row r="115">
      <c r="A115" s="40" t="inlineStr">
        <is>
          <t>CHÁCARA</t>
        </is>
      </c>
      <c r="B115" s="41" t="inlineStr">
        <is>
          <t>ENTRADA QUARTA FEIRA</t>
        </is>
      </c>
      <c r="C115" s="40" t="inlineStr">
        <is>
          <t>511030</t>
        </is>
      </c>
      <c r="D115" s="41" t="inlineStr">
        <is>
          <t>3 ENTRADAS QUARTA-FEIRA</t>
        </is>
      </c>
      <c r="E115" s="78" t="n">
        <v>7</v>
      </c>
      <c r="F115" s="76" t="inlineStr">
        <is>
          <t>Quintal do Espeto Chac Sto Antonio</t>
        </is>
      </c>
    </row>
    <row r="116">
      <c r="A116" s="43" t="inlineStr">
        <is>
          <t>CHÁCARA</t>
        </is>
      </c>
      <c r="B116" s="44" t="inlineStr">
        <is>
          <t>ENTRADA SABADO</t>
        </is>
      </c>
      <c r="C116" s="43" t="inlineStr">
        <is>
          <t>800063</t>
        </is>
      </c>
      <c r="D116" s="44" t="inlineStr">
        <is>
          <t>6 ENTRADAS SABADO</t>
        </is>
      </c>
      <c r="E116" s="77" t="n">
        <v>10</v>
      </c>
      <c r="F116" s="74" t="inlineStr">
        <is>
          <t>Quintal do Espeto Chac Sto Antonio</t>
        </is>
      </c>
    </row>
    <row r="117">
      <c r="A117" s="40" t="inlineStr">
        <is>
          <t>CHÁCARA</t>
        </is>
      </c>
      <c r="B117" s="41" t="inlineStr">
        <is>
          <t>ENTRADA SEXTA FEIRA</t>
        </is>
      </c>
      <c r="C117" s="40" t="inlineStr">
        <is>
          <t>511077</t>
        </is>
      </c>
      <c r="D117" s="41" t="inlineStr">
        <is>
          <t>5 ENTRADA SEXTA-FEIRA</t>
        </is>
      </c>
      <c r="E117" s="78" t="n">
        <v>7</v>
      </c>
      <c r="F117" s="76" t="inlineStr">
        <is>
          <t>Quintal do Espeto Chac Sto Antonio</t>
        </is>
      </c>
    </row>
    <row r="118">
      <c r="A118" s="43" t="inlineStr">
        <is>
          <t>CHÁCARA</t>
        </is>
      </c>
      <c r="B118" s="44" t="inlineStr">
        <is>
          <t>PLUG TICKETS</t>
        </is>
      </c>
      <c r="C118" s="43" t="inlineStr">
        <is>
          <t>909090</t>
        </is>
      </c>
      <c r="D118" s="44" t="inlineStr">
        <is>
          <t>0 ENTRADAS VIPS</t>
        </is>
      </c>
      <c r="E118" s="73" t="n"/>
      <c r="F118" s="74" t="inlineStr">
        <is>
          <t>Quintal do Espeto Chac Sto Antonio</t>
        </is>
      </c>
    </row>
    <row r="119">
      <c r="A119" s="40" t="inlineStr">
        <is>
          <t>CHÁCARA</t>
        </is>
      </c>
      <c r="B119" s="41" t="inlineStr">
        <is>
          <t>ENTRADA DOMINGO</t>
        </is>
      </c>
      <c r="C119" s="40" t="inlineStr">
        <is>
          <t>800065</t>
        </is>
      </c>
      <c r="D119" s="41" t="inlineStr">
        <is>
          <t>7 ENTRADAS DOMINGO</t>
        </is>
      </c>
      <c r="E119" s="78" t="n">
        <v>10</v>
      </c>
      <c r="F119" s="76" t="inlineStr">
        <is>
          <t>Quintal do Espeto Chac Sto Antonio</t>
        </is>
      </c>
    </row>
    <row r="120">
      <c r="A120" s="43" t="inlineStr">
        <is>
          <t>CHÁCARA</t>
        </is>
      </c>
      <c r="B120" s="44" t="inlineStr">
        <is>
          <t>ENTRADA VIP</t>
        </is>
      </c>
      <c r="C120" s="43" t="inlineStr">
        <is>
          <t>511047</t>
        </is>
      </c>
      <c r="D120" s="44" t="inlineStr">
        <is>
          <t>0 ENTRADAS VIPS</t>
        </is>
      </c>
      <c r="E120" s="73" t="n"/>
      <c r="F120" s="74" t="inlineStr">
        <is>
          <t>Quintal do Espeto Chac Sto Antonio</t>
        </is>
      </c>
    </row>
    <row r="121">
      <c r="A121" s="40" t="inlineStr">
        <is>
          <t>CHÁCARA</t>
        </is>
      </c>
      <c r="B121" s="41" t="inlineStr">
        <is>
          <t>ENTRADA SEGUNDA FEIRA</t>
        </is>
      </c>
      <c r="C121" s="40" t="inlineStr">
        <is>
          <t>511043</t>
        </is>
      </c>
      <c r="D121" s="41" t="inlineStr">
        <is>
          <t>1 ENTRADAS SEGUNDA-FEIRA</t>
        </is>
      </c>
      <c r="E121" s="78" t="n">
        <v>7</v>
      </c>
      <c r="F121" s="76" t="inlineStr">
        <is>
          <t>Quintal do Espeto Chac Sto Antonio</t>
        </is>
      </c>
    </row>
    <row r="122">
      <c r="A122" s="43" t="inlineStr">
        <is>
          <t>CHÁCARA</t>
        </is>
      </c>
      <c r="B122" s="44" t="inlineStr">
        <is>
          <t>ENTRADA MUSICO</t>
        </is>
      </c>
      <c r="C122" s="43" t="inlineStr">
        <is>
          <t>7898905687354</t>
        </is>
      </c>
      <c r="D122" s="44" t="inlineStr">
        <is>
          <t>0 ENTRADAS VIPS</t>
        </is>
      </c>
      <c r="E122" s="73" t="n"/>
      <c r="F122" s="74" t="inlineStr">
        <is>
          <t>Quintal do Espeto Chac Sto Antonio</t>
        </is>
      </c>
    </row>
    <row r="123">
      <c r="A123" s="40" t="inlineStr">
        <is>
          <t>CHÁCARA</t>
        </is>
      </c>
      <c r="B123" s="41" t="inlineStr">
        <is>
          <t>ENTRADA VIP COLABORADORES</t>
        </is>
      </c>
      <c r="C123" s="40" t="inlineStr">
        <is>
          <t>511049</t>
        </is>
      </c>
      <c r="D123" s="41" t="inlineStr">
        <is>
          <t>0 ENTRADAS VIPS</t>
        </is>
      </c>
      <c r="E123" s="75" t="n"/>
      <c r="F123" s="76" t="inlineStr">
        <is>
          <t>Quintal do Espeto Chac Sto Antonio</t>
        </is>
      </c>
    </row>
    <row r="124">
      <c r="A124" s="43" t="inlineStr">
        <is>
          <t>CHÁCARA</t>
        </is>
      </c>
      <c r="B124" s="44" t="inlineStr">
        <is>
          <t>ENTRADA KIDS</t>
        </is>
      </c>
      <c r="C124" s="43" t="inlineStr">
        <is>
          <t>511051</t>
        </is>
      </c>
      <c r="D124" s="44" t="inlineStr">
        <is>
          <t>0 ENTRADAS VIPS</t>
        </is>
      </c>
      <c r="E124" s="77" t="n">
        <v>10</v>
      </c>
      <c r="F124" s="74" t="inlineStr">
        <is>
          <t>Quintal do Espeto Chac Sto Antonio</t>
        </is>
      </c>
    </row>
    <row r="125">
      <c r="A125" s="40" t="inlineStr">
        <is>
          <t>CHÁCARA</t>
        </is>
      </c>
      <c r="B125" s="41" t="inlineStr">
        <is>
          <t>ENTRADA ANIVERSARIO</t>
        </is>
      </c>
      <c r="C125" s="40" t="inlineStr">
        <is>
          <t>511045</t>
        </is>
      </c>
      <c r="D125" s="41" t="inlineStr">
        <is>
          <t>0 ENTRADAS VIPS</t>
        </is>
      </c>
      <c r="E125" s="75" t="n"/>
      <c r="F125" s="76" t="inlineStr">
        <is>
          <t>Quintal do Espeto Chac Sto Antonio</t>
        </is>
      </c>
    </row>
    <row r="126">
      <c r="A126" s="43" t="inlineStr">
        <is>
          <t>VILA MADALENA</t>
        </is>
      </c>
      <c r="B126" s="44" t="inlineStr">
        <is>
          <t>ENTRADA VIP</t>
        </is>
      </c>
      <c r="C126" s="43" t="inlineStr">
        <is>
          <t>9003132</t>
        </is>
      </c>
      <c r="D126" s="44" t="inlineStr">
        <is>
          <t>0 ENTRADAS</t>
        </is>
      </c>
      <c r="E126" s="73" t="n"/>
      <c r="F126" s="74" t="inlineStr">
        <is>
          <t>Quintal do Espeto V. Madalena</t>
        </is>
      </c>
    </row>
    <row r="127">
      <c r="A127" s="40" t="inlineStr">
        <is>
          <t>VILA MADALENA</t>
        </is>
      </c>
      <c r="B127" s="41" t="inlineStr">
        <is>
          <t>ENTRADA DOMINGO</t>
        </is>
      </c>
      <c r="C127" s="40" t="inlineStr">
        <is>
          <t>1010109</t>
        </is>
      </c>
      <c r="D127" s="41" t="inlineStr">
        <is>
          <t>7 ENTRADAS DOMINGO</t>
        </is>
      </c>
      <c r="E127" s="78" t="n">
        <v>10</v>
      </c>
      <c r="F127" s="76" t="inlineStr">
        <is>
          <t>Quintal do Espeto V. Madalena</t>
        </is>
      </c>
    </row>
    <row r="128">
      <c r="A128" s="43" t="inlineStr">
        <is>
          <t>VILA MADALENA</t>
        </is>
      </c>
      <c r="B128" s="44" t="inlineStr">
        <is>
          <t>ENTRADA MUSICO</t>
        </is>
      </c>
      <c r="C128" s="43" t="inlineStr">
        <is>
          <t>7898905687351</t>
        </is>
      </c>
      <c r="D128" s="44" t="inlineStr">
        <is>
          <t>0 ENTRADAS VIPS</t>
        </is>
      </c>
      <c r="E128" s="73" t="n"/>
      <c r="F128" s="74" t="inlineStr">
        <is>
          <t>Quintal do Espeto V. Madalena</t>
        </is>
      </c>
    </row>
    <row r="129">
      <c r="A129" s="40" t="inlineStr">
        <is>
          <t>VILA MADALENA</t>
        </is>
      </c>
      <c r="B129" s="41" t="inlineStr">
        <is>
          <t>ENTRADA SEXTA FEIRA</t>
        </is>
      </c>
      <c r="C129" s="40" t="inlineStr">
        <is>
          <t>38795</t>
        </is>
      </c>
      <c r="D129" s="41" t="inlineStr">
        <is>
          <t>5 ENTRADAS SEXTA-FEIRA</t>
        </is>
      </c>
      <c r="E129" s="78" t="n">
        <v>10</v>
      </c>
      <c r="F129" s="76" t="inlineStr">
        <is>
          <t>Quintal do Espeto V. Madalena</t>
        </is>
      </c>
    </row>
    <row r="130">
      <c r="A130" s="43" t="inlineStr">
        <is>
          <t>VILA MADALENA</t>
        </is>
      </c>
      <c r="B130" s="44" t="inlineStr">
        <is>
          <t>ENTRADA TERCA FEIRA</t>
        </is>
      </c>
      <c r="C130" s="43" t="inlineStr">
        <is>
          <t>29662</t>
        </is>
      </c>
      <c r="D130" s="44" t="inlineStr">
        <is>
          <t>2 ENTRADAS TERÇA-FEIRA</t>
        </is>
      </c>
      <c r="E130" s="77" t="n">
        <v>10</v>
      </c>
      <c r="F130" s="74" t="inlineStr">
        <is>
          <t>Quintal do Espeto V. Madalena</t>
        </is>
      </c>
    </row>
    <row r="131">
      <c r="A131" s="40" t="inlineStr">
        <is>
          <t>VILA MADALENA</t>
        </is>
      </c>
      <c r="B131" s="41" t="inlineStr">
        <is>
          <t>ENTRADA FLAMENGO</t>
        </is>
      </c>
      <c r="C131" s="40" t="inlineStr">
        <is>
          <t>38069</t>
        </is>
      </c>
      <c r="D131" s="41" t="inlineStr">
        <is>
          <t>ENTRADAS TORCIDAS DE FUTEBOL</t>
        </is>
      </c>
      <c r="E131" s="78" t="n">
        <v>60</v>
      </c>
      <c r="F131" s="76" t="inlineStr">
        <is>
          <t>Quintal do Espeto V. Madalena</t>
        </is>
      </c>
    </row>
    <row r="132">
      <c r="A132" s="43" t="inlineStr">
        <is>
          <t>VILA MADALENA</t>
        </is>
      </c>
      <c r="B132" s="44" t="inlineStr">
        <is>
          <t>ENTRADA SABADO DIA</t>
        </is>
      </c>
      <c r="C132" s="43" t="inlineStr">
        <is>
          <t>82703</t>
        </is>
      </c>
      <c r="D132" s="44" t="inlineStr">
        <is>
          <t>6 ENTRADAS SABADO(RESTAURADA)</t>
        </is>
      </c>
      <c r="E132" s="77" t="n">
        <v>15</v>
      </c>
      <c r="F132" s="74" t="inlineStr">
        <is>
          <t>Quintal do Espeto V. Madalena</t>
        </is>
      </c>
    </row>
    <row r="133">
      <c r="A133" s="40" t="inlineStr">
        <is>
          <t>VILA MADALENA</t>
        </is>
      </c>
      <c r="B133" s="41" t="inlineStr">
        <is>
          <t>ENTRADA QUINTA FEIRA</t>
        </is>
      </c>
      <c r="C133" s="40" t="inlineStr">
        <is>
          <t>11147</t>
        </is>
      </c>
      <c r="D133" s="41" t="inlineStr">
        <is>
          <t>4 ENTRADAS QUINTA-FEIRA</t>
        </is>
      </c>
      <c r="E133" s="78" t="n">
        <v>10</v>
      </c>
      <c r="F133" s="76" t="inlineStr">
        <is>
          <t>Quintal do Espeto V. Madalena</t>
        </is>
      </c>
    </row>
    <row r="134">
      <c r="A134" s="43" t="inlineStr">
        <is>
          <t>VILA MADALENA</t>
        </is>
      </c>
      <c r="B134" s="44" t="inlineStr">
        <is>
          <t>ENTRADA SABADO NOITE</t>
        </is>
      </c>
      <c r="C134" s="43" t="inlineStr">
        <is>
          <t>8819</t>
        </is>
      </c>
      <c r="D134" s="44" t="inlineStr">
        <is>
          <t>6 ENTRADAS SABADO(RESTAURADA)</t>
        </is>
      </c>
      <c r="E134" s="77" t="n">
        <v>15</v>
      </c>
      <c r="F134" s="74" t="inlineStr">
        <is>
          <t>Quintal do Espeto V. Madalena</t>
        </is>
      </c>
    </row>
    <row r="135">
      <c r="A135" s="40" t="inlineStr">
        <is>
          <t>VILA MADALENA</t>
        </is>
      </c>
      <c r="B135" s="41" t="inlineStr">
        <is>
          <t>ENTRADA SEGUNDA FEIRA</t>
        </is>
      </c>
      <c r="C135" s="40" t="inlineStr">
        <is>
          <t>9003597</t>
        </is>
      </c>
      <c r="D135" s="41" t="inlineStr">
        <is>
          <t>1 ENTRADA SEGUNDA-FEIRA</t>
        </is>
      </c>
      <c r="E135" s="78" t="n">
        <v>20</v>
      </c>
      <c r="F135" s="76" t="inlineStr">
        <is>
          <t>Quintal do Espeto V. Madalena</t>
        </is>
      </c>
    </row>
    <row r="136">
      <c r="A136" s="43" t="inlineStr">
        <is>
          <t>VILA MADALENA</t>
        </is>
      </c>
      <c r="B136" s="44" t="inlineStr">
        <is>
          <t>ENTRADA DOMINGO</t>
        </is>
      </c>
      <c r="C136" s="43" t="inlineStr">
        <is>
          <t>97432</t>
        </is>
      </c>
      <c r="D136" s="44" t="inlineStr">
        <is>
          <t>7 ENTRADAS DOMINGO</t>
        </is>
      </c>
      <c r="E136" s="77" t="n">
        <v>10</v>
      </c>
      <c r="F136" s="74" t="inlineStr">
        <is>
          <t>Quintal do Espeto V. Madalena</t>
        </is>
      </c>
    </row>
    <row r="137">
      <c r="A137" s="40" t="inlineStr">
        <is>
          <t>VILA MADALENA</t>
        </is>
      </c>
      <c r="B137" s="41" t="inlineStr">
        <is>
          <t>ENTRADA ANIVERSARIO</t>
        </is>
      </c>
      <c r="C137" s="40" t="inlineStr">
        <is>
          <t>44658</t>
        </is>
      </c>
      <c r="D137" s="41" t="inlineStr">
        <is>
          <t>0 ENTRADAS(RESTAURADA)</t>
        </is>
      </c>
      <c r="E137" s="75" t="n"/>
      <c r="F137" s="76" t="inlineStr">
        <is>
          <t>Quintal do Espeto V. Madalena</t>
        </is>
      </c>
    </row>
    <row r="138">
      <c r="A138" s="43" t="inlineStr">
        <is>
          <t>VILA MADALENA</t>
        </is>
      </c>
      <c r="B138" s="44" t="inlineStr">
        <is>
          <t>ENTRADA ERRO CENTRAL</t>
        </is>
      </c>
      <c r="C138" s="43" t="inlineStr">
        <is>
          <t>511076</t>
        </is>
      </c>
      <c r="D138" s="44" t="inlineStr">
        <is>
          <t>1 ENTRADAS</t>
        </is>
      </c>
      <c r="E138" s="77" t="n">
        <v>7</v>
      </c>
      <c r="F138" s="74" t="inlineStr">
        <is>
          <t>Quintal do Espeto V. Madalena</t>
        </is>
      </c>
    </row>
    <row r="139">
      <c r="A139" s="40" t="inlineStr">
        <is>
          <t>VILA MADALENA</t>
        </is>
      </c>
      <c r="B139" s="41" t="inlineStr">
        <is>
          <t>ENTRADA QUARTA FEIRA</t>
        </is>
      </c>
      <c r="C139" s="40" t="inlineStr">
        <is>
          <t>45509</t>
        </is>
      </c>
      <c r="D139" s="41" t="inlineStr">
        <is>
          <t>3 ENTRADAS QUARTA-FEIRA</t>
        </is>
      </c>
      <c r="E139" s="78" t="n">
        <v>10</v>
      </c>
      <c r="F139" s="76" t="inlineStr">
        <is>
          <t>Quintal do Espeto V. Madalena</t>
        </is>
      </c>
    </row>
    <row r="140">
      <c r="A140" s="43" t="inlineStr">
        <is>
          <t>SANTANA</t>
        </is>
      </c>
      <c r="B140" s="44" t="inlineStr">
        <is>
          <t>DOMINGO</t>
        </is>
      </c>
      <c r="C140" s="43" t="inlineStr">
        <is>
          <t>78989056877156</t>
        </is>
      </c>
      <c r="D140" s="44" t="inlineStr">
        <is>
          <t>OUTROS</t>
        </is>
      </c>
      <c r="E140" s="77" t="n">
        <v>10</v>
      </c>
      <c r="F140" s="74" t="inlineStr">
        <is>
          <t>Quintal do Espeto Santana</t>
        </is>
      </c>
    </row>
    <row r="141">
      <c r="A141" s="40" t="inlineStr">
        <is>
          <t>SANTANA</t>
        </is>
      </c>
      <c r="B141" s="41" t="inlineStr">
        <is>
          <t>NETINHO DE PAULA</t>
        </is>
      </c>
      <c r="C141" s="40" t="inlineStr">
        <is>
          <t>7898905687136</t>
        </is>
      </c>
      <c r="D141" s="41" t="inlineStr">
        <is>
          <t>8 ENTRADAS SHOW</t>
        </is>
      </c>
      <c r="E141" s="78" t="n">
        <v>60</v>
      </c>
      <c r="F141" s="76" t="inlineStr">
        <is>
          <t>Quintal do Espeto Santana</t>
        </is>
      </c>
    </row>
    <row r="142">
      <c r="A142" s="43" t="inlineStr">
        <is>
          <t>SANTANA</t>
        </is>
      </c>
      <c r="B142" s="44" t="inlineStr">
        <is>
          <t>ENTRADA SEGUNDA</t>
        </is>
      </c>
      <c r="C142" s="43" t="inlineStr">
        <is>
          <t>9003385</t>
        </is>
      </c>
      <c r="D142" s="44" t="inlineStr">
        <is>
          <t>2 ENTRADAS TERÇA-FEIRA</t>
        </is>
      </c>
      <c r="E142" s="77" t="n">
        <v>50</v>
      </c>
      <c r="F142" s="74" t="inlineStr">
        <is>
          <t>Quintal do Espeto Santana</t>
        </is>
      </c>
    </row>
    <row r="143">
      <c r="A143" s="40" t="inlineStr">
        <is>
          <t>SANTANA</t>
        </is>
      </c>
      <c r="B143" s="41" t="inlineStr">
        <is>
          <t>SEGUNDA ABSOLUTA 25,00</t>
        </is>
      </c>
      <c r="C143" s="40" t="inlineStr">
        <is>
          <t>9003640</t>
        </is>
      </c>
      <c r="D143" s="41" t="inlineStr">
        <is>
          <t>0 ENTRADAS</t>
        </is>
      </c>
      <c r="E143" s="78" t="n">
        <v>40</v>
      </c>
      <c r="F143" s="76" t="inlineStr">
        <is>
          <t>Quintal do Espeto Santana</t>
        </is>
      </c>
    </row>
    <row r="144">
      <c r="A144" s="43" t="inlineStr">
        <is>
          <t>SANTANA</t>
        </is>
      </c>
      <c r="B144" s="44" t="inlineStr">
        <is>
          <t>ENTRADA MUSICO</t>
        </is>
      </c>
      <c r="C144" s="43" t="inlineStr">
        <is>
          <t>7898905687530</t>
        </is>
      </c>
      <c r="D144" s="44" t="inlineStr">
        <is>
          <t>0 ENTRADAS VIPS</t>
        </is>
      </c>
      <c r="E144" s="73" t="n"/>
      <c r="F144" s="74" t="inlineStr">
        <is>
          <t>Quintal do Espeto Santana</t>
        </is>
      </c>
    </row>
    <row r="145">
      <c r="A145" s="40" t="inlineStr">
        <is>
          <t>SANTANA</t>
        </is>
      </c>
      <c r="B145" s="41" t="inlineStr">
        <is>
          <t>ENTRADA TERÇA</t>
        </is>
      </c>
      <c r="C145" s="40" t="inlineStr">
        <is>
          <t>78989056877154</t>
        </is>
      </c>
      <c r="D145" s="41" t="inlineStr">
        <is>
          <t>OUTROS</t>
        </is>
      </c>
      <c r="E145" s="78" t="n">
        <v>20</v>
      </c>
      <c r="F145" s="76" t="inlineStr">
        <is>
          <t>Quintal do Espeto Santana</t>
        </is>
      </c>
    </row>
    <row r="146">
      <c r="A146" s="43" t="inlineStr">
        <is>
          <t>SANTANA</t>
        </is>
      </c>
      <c r="B146" s="44" t="inlineStr">
        <is>
          <t>ENTRADA VIP COLABORADORES</t>
        </is>
      </c>
      <c r="C146" s="43" t="inlineStr">
        <is>
          <t>9003596</t>
        </is>
      </c>
      <c r="D146" s="44" t="inlineStr">
        <is>
          <t>0 ENTRADAS</t>
        </is>
      </c>
      <c r="E146" s="73" t="n"/>
      <c r="F146" s="74" t="inlineStr">
        <is>
          <t>Quintal do Espeto Santana</t>
        </is>
      </c>
    </row>
    <row r="147">
      <c r="A147" s="40" t="inlineStr">
        <is>
          <t>SANTANA</t>
        </is>
      </c>
      <c r="B147" s="41" t="inlineStr">
        <is>
          <t>ENTRADA SEXTA FEIRA</t>
        </is>
      </c>
      <c r="C147" s="40" t="inlineStr">
        <is>
          <t>9003380</t>
        </is>
      </c>
      <c r="D147" s="41" t="inlineStr">
        <is>
          <t>5 SEXTA- FEIRA</t>
        </is>
      </c>
      <c r="E147" s="78" t="n">
        <v>20</v>
      </c>
      <c r="F147" s="76" t="inlineStr">
        <is>
          <t>Quintal do Espeto Santana</t>
        </is>
      </c>
    </row>
    <row r="148">
      <c r="A148" s="43" t="inlineStr">
        <is>
          <t>SANTANA</t>
        </is>
      </c>
      <c r="B148" s="44" t="inlineStr">
        <is>
          <t>ENTRADA QUINTA FEIRA</t>
        </is>
      </c>
      <c r="C148" s="43" t="inlineStr">
        <is>
          <t>9003390</t>
        </is>
      </c>
      <c r="D148" s="44" t="inlineStr">
        <is>
          <t>ENTRADAS</t>
        </is>
      </c>
      <c r="E148" s="77" t="n">
        <v>15</v>
      </c>
      <c r="F148" s="74" t="inlineStr">
        <is>
          <t>Quintal do Espeto Santana</t>
        </is>
      </c>
    </row>
    <row r="149">
      <c r="A149" s="40" t="inlineStr">
        <is>
          <t>SANTANA</t>
        </is>
      </c>
      <c r="B149" s="41" t="inlineStr">
        <is>
          <t>ENTRADA ANIVERSARIO</t>
        </is>
      </c>
      <c r="C149" s="40" t="inlineStr">
        <is>
          <t>9003393</t>
        </is>
      </c>
      <c r="D149" s="41" t="inlineStr">
        <is>
          <t>0 ENTRADAS</t>
        </is>
      </c>
      <c r="E149" s="75" t="n"/>
      <c r="F149" s="76" t="inlineStr">
        <is>
          <t>Quintal do Espeto Santana</t>
        </is>
      </c>
    </row>
    <row r="150">
      <c r="A150" s="43" t="inlineStr">
        <is>
          <t>SANTANA</t>
        </is>
      </c>
      <c r="B150" s="44" t="inlineStr">
        <is>
          <t>FICHA MAQUIA PELUCIA</t>
        </is>
      </c>
      <c r="C150" s="43" t="inlineStr">
        <is>
          <t>7898905687600</t>
        </is>
      </c>
      <c r="D150" s="44" t="inlineStr">
        <is>
          <t>OUTROS</t>
        </is>
      </c>
      <c r="E150" s="77" t="n">
        <v>6</v>
      </c>
      <c r="F150" s="74" t="inlineStr">
        <is>
          <t>Quintal do Espeto Santana</t>
        </is>
      </c>
    </row>
    <row r="151">
      <c r="A151" s="40" t="inlineStr">
        <is>
          <t>SANTANA</t>
        </is>
      </c>
      <c r="B151" s="41" t="inlineStr">
        <is>
          <t>SHOW</t>
        </is>
      </c>
      <c r="C151" s="40" t="inlineStr">
        <is>
          <t>78989056877159</t>
        </is>
      </c>
      <c r="D151" s="41" t="inlineStr">
        <is>
          <t>OUTROS</t>
        </is>
      </c>
      <c r="E151" s="78" t="n">
        <v>50</v>
      </c>
      <c r="F151" s="76" t="inlineStr">
        <is>
          <t>Quintal do Espeto Santana</t>
        </is>
      </c>
    </row>
    <row r="152">
      <c r="A152" s="43" t="inlineStr">
        <is>
          <t>SANTANA</t>
        </is>
      </c>
      <c r="B152" s="44" t="inlineStr">
        <is>
          <t>ENTRADA QUINTA</t>
        </is>
      </c>
      <c r="C152" s="43" t="inlineStr">
        <is>
          <t>78989056877157</t>
        </is>
      </c>
      <c r="D152" s="44" t="inlineStr">
        <is>
          <t>OUTROS</t>
        </is>
      </c>
      <c r="E152" s="77" t="n">
        <v>15</v>
      </c>
      <c r="F152" s="74" t="inlineStr">
        <is>
          <t>Quintal do Espeto Santana</t>
        </is>
      </c>
    </row>
    <row r="153">
      <c r="A153" s="40" t="inlineStr">
        <is>
          <t>SANTANA</t>
        </is>
      </c>
      <c r="B153" s="41" t="inlineStr">
        <is>
          <t>BRINQUEDO INFLAVEL</t>
        </is>
      </c>
      <c r="C153" s="40" t="inlineStr">
        <is>
          <t>78989056877155</t>
        </is>
      </c>
      <c r="D153" s="41" t="inlineStr">
        <is>
          <t>OUTROS</t>
        </is>
      </c>
      <c r="E153" s="78" t="n">
        <v>10</v>
      </c>
      <c r="F153" s="76" t="inlineStr">
        <is>
          <t>Quintal do Espeto Santana</t>
        </is>
      </c>
    </row>
    <row r="154">
      <c r="A154" s="43" t="inlineStr">
        <is>
          <t>SANTANA</t>
        </is>
      </c>
      <c r="B154" s="44" t="inlineStr">
        <is>
          <t>ENTRADA SHOW</t>
        </is>
      </c>
      <c r="C154" s="43" t="inlineStr">
        <is>
          <t>9003389</t>
        </is>
      </c>
      <c r="D154" s="44" t="inlineStr">
        <is>
          <t>4 QUINTA-FEIRA</t>
        </is>
      </c>
      <c r="E154" s="77" t="n">
        <v>30</v>
      </c>
      <c r="F154" s="74" t="inlineStr">
        <is>
          <t>Quintal do Espeto Santana</t>
        </is>
      </c>
    </row>
    <row r="155">
      <c r="A155" s="40" t="inlineStr">
        <is>
          <t>SANTANA</t>
        </is>
      </c>
      <c r="B155" s="41" t="inlineStr">
        <is>
          <t>PASSEIO KIDS</t>
        </is>
      </c>
      <c r="C155" s="40" t="inlineStr">
        <is>
          <t>78989056877158</t>
        </is>
      </c>
      <c r="D155" s="41" t="inlineStr">
        <is>
          <t>0 ENTRADAS VIPS</t>
        </is>
      </c>
      <c r="E155" s="78" t="n">
        <v>15</v>
      </c>
      <c r="F155" s="76" t="inlineStr">
        <is>
          <t>Quintal do Espeto Santana</t>
        </is>
      </c>
    </row>
    <row r="156">
      <c r="A156" s="43" t="inlineStr">
        <is>
          <t>SANTANA</t>
        </is>
      </c>
      <c r="B156" s="44" t="inlineStr">
        <is>
          <t>ENTRADA DOMINGO</t>
        </is>
      </c>
      <c r="C156" s="43" t="inlineStr">
        <is>
          <t>9003573</t>
        </is>
      </c>
      <c r="D156" s="44" t="inlineStr">
        <is>
          <t>7 DOMINGO</t>
        </is>
      </c>
      <c r="E156" s="77" t="n">
        <v>10</v>
      </c>
      <c r="F156" s="74" t="inlineStr">
        <is>
          <t>Quintal do Espeto Santana</t>
        </is>
      </c>
    </row>
    <row r="157">
      <c r="A157" s="40" t="inlineStr">
        <is>
          <t>SANTANA</t>
        </is>
      </c>
      <c r="B157" s="41" t="inlineStr">
        <is>
          <t>ENTRADA SHOW</t>
        </is>
      </c>
      <c r="C157" s="40" t="inlineStr">
        <is>
          <t>9003387</t>
        </is>
      </c>
      <c r="D157" s="41" t="inlineStr">
        <is>
          <t>1 ENTRADAS SHOW</t>
        </is>
      </c>
      <c r="E157" s="78" t="n">
        <v>40</v>
      </c>
      <c r="F157" s="76" t="inlineStr">
        <is>
          <t>Quintal do Espeto Santana</t>
        </is>
      </c>
    </row>
    <row r="158">
      <c r="A158" s="43" t="inlineStr">
        <is>
          <t>SANTANA</t>
        </is>
      </c>
      <c r="B158" s="44" t="inlineStr">
        <is>
          <t>ENTRADA 65+</t>
        </is>
      </c>
      <c r="C158" s="43" t="inlineStr">
        <is>
          <t>9003392</t>
        </is>
      </c>
      <c r="D158" s="44" t="inlineStr">
        <is>
          <t>0 ENTRADAS</t>
        </is>
      </c>
      <c r="E158" s="73" t="n"/>
      <c r="F158" s="74" t="inlineStr">
        <is>
          <t>Quintal do Espeto Santana</t>
        </is>
      </c>
    </row>
    <row r="159">
      <c r="A159" s="40" t="inlineStr">
        <is>
          <t>SANTANA</t>
        </is>
      </c>
      <c r="B159" s="41" t="inlineStr">
        <is>
          <t>ENTRADA SHOW</t>
        </is>
      </c>
      <c r="C159" s="40" t="inlineStr">
        <is>
          <t>15702843</t>
        </is>
      </c>
      <c r="D159" s="41" t="inlineStr">
        <is>
          <t>0 ENTRADAS</t>
        </is>
      </c>
      <c r="E159" s="78" t="n">
        <v>60</v>
      </c>
      <c r="F159" s="76" t="inlineStr">
        <is>
          <t>Quintal do Espeto Santana</t>
        </is>
      </c>
    </row>
    <row r="160">
      <c r="A160" s="43" t="inlineStr">
        <is>
          <t>SANTANA</t>
        </is>
      </c>
      <c r="B160" s="44" t="inlineStr">
        <is>
          <t>BRINCADEIRA 5 ...</t>
        </is>
      </c>
      <c r="C160" s="43" t="inlineStr">
        <is>
          <t>9003595</t>
        </is>
      </c>
      <c r="D160" s="44" t="inlineStr">
        <is>
          <t>0 ENTRADAS</t>
        </is>
      </c>
      <c r="E160" s="77" t="n">
        <v>15</v>
      </c>
      <c r="F160" s="74" t="inlineStr">
        <is>
          <t>Quintal do Espeto Santana</t>
        </is>
      </c>
    </row>
    <row r="161">
      <c r="A161" s="40" t="inlineStr">
        <is>
          <t>SANTANA</t>
        </is>
      </c>
      <c r="B161" s="41" t="inlineStr">
        <is>
          <t>ENTRADA QUARTA</t>
        </is>
      </c>
      <c r="C161" s="40" t="inlineStr">
        <is>
          <t>900339</t>
        </is>
      </c>
      <c r="D161" s="41" t="inlineStr">
        <is>
          <t>1 ENTRADAS</t>
        </is>
      </c>
      <c r="E161" s="78" t="n">
        <v>15</v>
      </c>
      <c r="F161" s="76" t="inlineStr">
        <is>
          <t>Quintal do Espeto Santana</t>
        </is>
      </c>
    </row>
    <row r="162">
      <c r="A162" s="43" t="inlineStr">
        <is>
          <t>SANTANA</t>
        </is>
      </c>
      <c r="B162" s="44" t="inlineStr">
        <is>
          <t>ENTRADA VIP</t>
        </is>
      </c>
      <c r="C162" s="43" t="inlineStr">
        <is>
          <t>9003388</t>
        </is>
      </c>
      <c r="D162" s="44" t="inlineStr">
        <is>
          <t>0 ENTRADAS</t>
        </is>
      </c>
      <c r="E162" s="73" t="n"/>
      <c r="F162" s="74" t="inlineStr">
        <is>
          <t>Quintal do Espeto Santana</t>
        </is>
      </c>
    </row>
    <row r="163">
      <c r="A163" s="40" t="inlineStr">
        <is>
          <t>SANTANA</t>
        </is>
      </c>
      <c r="B163" s="41" t="inlineStr">
        <is>
          <t>LISTA DESCONTO</t>
        </is>
      </c>
      <c r="C163" s="40" t="inlineStr">
        <is>
          <t>9003383</t>
        </is>
      </c>
      <c r="D163" s="41" t="inlineStr">
        <is>
          <t>6 SABADO</t>
        </is>
      </c>
      <c r="E163" s="78" t="n">
        <v>25</v>
      </c>
      <c r="F163" s="76" t="inlineStr">
        <is>
          <t>Quintal do Espeto Santana</t>
        </is>
      </c>
    </row>
    <row r="164">
      <c r="A164" s="43" t="inlineStr">
        <is>
          <t>SANTO ANDRÉ</t>
        </is>
      </c>
      <c r="B164" s="44" t="inlineStr">
        <is>
          <t>ENTRADA VIP COLABORADORES</t>
        </is>
      </c>
      <c r="C164" s="43" t="inlineStr">
        <is>
          <t>7898905687161</t>
        </is>
      </c>
      <c r="D164" s="44" t="inlineStr">
        <is>
          <t>0 ENTRADAS VIPS</t>
        </is>
      </c>
      <c r="E164" s="73" t="n"/>
      <c r="F164" s="74" t="inlineStr">
        <is>
          <t>Quintal do Espeto Santo André</t>
        </is>
      </c>
    </row>
    <row r="165">
      <c r="A165" s="40" t="inlineStr">
        <is>
          <t>SANTO ANDRÉ</t>
        </is>
      </c>
      <c r="B165" s="41" t="inlineStr">
        <is>
          <t>ENTRADA QUINTA- FEIRA</t>
        </is>
      </c>
      <c r="C165" s="40" t="inlineStr">
        <is>
          <t>78989056877165</t>
        </is>
      </c>
      <c r="D165" s="41" t="inlineStr">
        <is>
          <t>OUTROS</t>
        </is>
      </c>
      <c r="E165" s="78" t="n">
        <v>120</v>
      </c>
      <c r="F165" s="76" t="inlineStr">
        <is>
          <t>Quintal do Espeto Santo André</t>
        </is>
      </c>
    </row>
    <row r="166">
      <c r="A166" s="43" t="inlineStr">
        <is>
          <t>SANTO ANDRÉ</t>
        </is>
      </c>
      <c r="B166" s="44" t="inlineStr">
        <is>
          <t>ENTRADA SÁBADO</t>
        </is>
      </c>
      <c r="C166" s="43" t="inlineStr">
        <is>
          <t>7898905687170</t>
        </is>
      </c>
      <c r="D166" s="44" t="inlineStr">
        <is>
          <t>ENTRADAS</t>
        </is>
      </c>
      <c r="E166" s="77" t="n">
        <v>25</v>
      </c>
      <c r="F166" s="74" t="inlineStr">
        <is>
          <t>Quintal do Espeto Santo André</t>
        </is>
      </c>
    </row>
    <row r="167">
      <c r="A167" s="40" t="inlineStr">
        <is>
          <t>SANTO ANDRÉ</t>
        </is>
      </c>
      <c r="B167" s="41" t="inlineStr">
        <is>
          <t>ENTRADA QUARTA-FEIRA</t>
        </is>
      </c>
      <c r="C167" s="40" t="inlineStr">
        <is>
          <t>78989056877122</t>
        </is>
      </c>
      <c r="D167" s="41" t="inlineStr">
        <is>
          <t>0 ENTRADAS</t>
        </is>
      </c>
      <c r="E167" s="78" t="n">
        <v>10</v>
      </c>
      <c r="F167" s="76" t="inlineStr">
        <is>
          <t>Quintal do Espeto Santo André</t>
        </is>
      </c>
    </row>
    <row r="168">
      <c r="A168" s="43" t="inlineStr">
        <is>
          <t>SANTO ANDRÉ</t>
        </is>
      </c>
      <c r="B168" s="44" t="inlineStr">
        <is>
          <t>ENTRADA PLUG TICKET</t>
        </is>
      </c>
      <c r="C168" s="43" t="inlineStr">
        <is>
          <t>78989056877162</t>
        </is>
      </c>
      <c r="D168" s="44" t="inlineStr">
        <is>
          <t>OUTROS</t>
        </is>
      </c>
      <c r="E168" s="73" t="n"/>
      <c r="F168" s="74" t="inlineStr">
        <is>
          <t>Quintal do Espeto Santo André</t>
        </is>
      </c>
    </row>
    <row r="169">
      <c r="A169" s="40" t="inlineStr">
        <is>
          <t>SANTO ANDRÉ</t>
        </is>
      </c>
      <c r="B169" s="41" t="inlineStr">
        <is>
          <t>ENTRADA DOMINGO</t>
        </is>
      </c>
      <c r="C169" s="40" t="inlineStr">
        <is>
          <t>7898905687160</t>
        </is>
      </c>
      <c r="D169" s="41" t="inlineStr">
        <is>
          <t>7 DOMINGO</t>
        </is>
      </c>
      <c r="E169" s="78" t="n">
        <v>20</v>
      </c>
      <c r="F169" s="76" t="inlineStr">
        <is>
          <t>Quintal do Espeto Santo André</t>
        </is>
      </c>
    </row>
    <row r="170">
      <c r="A170" s="43" t="inlineStr">
        <is>
          <t>SANTO ANDRÉ</t>
        </is>
      </c>
      <c r="B170" s="44" t="inlineStr">
        <is>
          <t>ENTRADA PLUG TICKET CAMAROTE PORTA</t>
        </is>
      </c>
      <c r="C170" s="43" t="inlineStr">
        <is>
          <t>78989056877121</t>
        </is>
      </c>
      <c r="D170" s="44" t="inlineStr">
        <is>
          <t>ENTRADAS</t>
        </is>
      </c>
      <c r="E170" s="77" t="n">
        <v>140</v>
      </c>
      <c r="F170" s="74" t="inlineStr">
        <is>
          <t>Quintal do Espeto Santo André</t>
        </is>
      </c>
    </row>
    <row r="171">
      <c r="A171" s="40" t="inlineStr">
        <is>
          <t>SANTO ANDRÉ</t>
        </is>
      </c>
      <c r="B171" s="41" t="inlineStr">
        <is>
          <t>ENTRADA PLUG TICKETS</t>
        </is>
      </c>
      <c r="C171" s="40" t="inlineStr">
        <is>
          <t>78989056877161</t>
        </is>
      </c>
      <c r="D171" s="41" t="inlineStr">
        <is>
          <t>OUTROS</t>
        </is>
      </c>
      <c r="E171" s="78" t="n">
        <v>30</v>
      </c>
      <c r="F171" s="76" t="inlineStr">
        <is>
          <t>Quintal do Espeto Santo André</t>
        </is>
      </c>
    </row>
    <row r="172">
      <c r="A172" s="43" t="inlineStr">
        <is>
          <t>SANTO ANDRÉ</t>
        </is>
      </c>
      <c r="B172" s="44" t="inlineStr">
        <is>
          <t>ENTRADA PLUG TICKET</t>
        </is>
      </c>
      <c r="C172" s="43" t="inlineStr">
        <is>
          <t>78989056877124</t>
        </is>
      </c>
      <c r="D172" s="44" t="inlineStr">
        <is>
          <t>0 ENTRADAS</t>
        </is>
      </c>
      <c r="E172" s="77" t="n">
        <v>25</v>
      </c>
      <c r="F172" s="74" t="inlineStr">
        <is>
          <t>Quintal do Espeto Santo André</t>
        </is>
      </c>
    </row>
    <row r="173">
      <c r="A173" s="40" t="inlineStr">
        <is>
          <t>SANTO ANDRÉ</t>
        </is>
      </c>
      <c r="B173" s="41" t="inlineStr">
        <is>
          <t>ENTRADA VIP</t>
        </is>
      </c>
      <c r="C173" s="40" t="inlineStr">
        <is>
          <t>7898905687167</t>
        </is>
      </c>
      <c r="D173" s="41" t="inlineStr">
        <is>
          <t>ENTRADAS</t>
        </is>
      </c>
      <c r="E173" s="75" t="n"/>
      <c r="F173" s="76" t="inlineStr">
        <is>
          <t>Quintal do Espeto Santo André</t>
        </is>
      </c>
    </row>
    <row r="174">
      <c r="A174" s="43" t="inlineStr">
        <is>
          <t>SANTO ANDRÉ</t>
        </is>
      </c>
      <c r="B174" s="44" t="inlineStr">
        <is>
          <t>BRINCADEIRA 10</t>
        </is>
      </c>
      <c r="C174" s="43" t="inlineStr">
        <is>
          <t>78989056877160</t>
        </is>
      </c>
      <c r="D174" s="44" t="inlineStr">
        <is>
          <t>OUTROS</t>
        </is>
      </c>
      <c r="E174" s="77" t="n">
        <v>10</v>
      </c>
      <c r="F174" s="74" t="inlineStr">
        <is>
          <t>Quintal do Espeto Santo André</t>
        </is>
      </c>
    </row>
    <row r="175">
      <c r="A175" s="40" t="inlineStr">
        <is>
          <t>SANTO ANDRÉ</t>
        </is>
      </c>
      <c r="B175" s="41" t="inlineStr">
        <is>
          <t>ENTRADA PLUG TICKETS</t>
        </is>
      </c>
      <c r="C175" s="40" t="inlineStr">
        <is>
          <t>78989056877126</t>
        </is>
      </c>
      <c r="D175" s="41" t="inlineStr">
        <is>
          <t>1 ENTRADAS</t>
        </is>
      </c>
      <c r="E175" s="78" t="n">
        <v>80</v>
      </c>
      <c r="F175" s="76" t="inlineStr">
        <is>
          <t>Quintal do Espeto Santo André</t>
        </is>
      </c>
    </row>
    <row r="176">
      <c r="A176" s="43" t="inlineStr">
        <is>
          <t>SANTO ANDRÉ</t>
        </is>
      </c>
      <c r="B176" s="44" t="inlineStr">
        <is>
          <t>ENTRADA PLUG TCKETS</t>
        </is>
      </c>
      <c r="C176" s="43" t="inlineStr">
        <is>
          <t>78989056877163</t>
        </is>
      </c>
      <c r="D176" s="44" t="inlineStr">
        <is>
          <t>OUTROS</t>
        </is>
      </c>
      <c r="E176" s="77" t="n">
        <v>70</v>
      </c>
      <c r="F176" s="74" t="inlineStr">
        <is>
          <t>Quintal do Espeto Santo André</t>
        </is>
      </c>
    </row>
    <row r="177">
      <c r="A177" s="40" t="inlineStr">
        <is>
          <t>SANTO ANDRÉ</t>
        </is>
      </c>
      <c r="B177" s="41" t="inlineStr">
        <is>
          <t>ENTRADA PLUG TCKETS</t>
        </is>
      </c>
      <c r="C177" s="40" t="inlineStr">
        <is>
          <t>7898905687163</t>
        </is>
      </c>
      <c r="D177" s="41" t="inlineStr">
        <is>
          <t>0 ENTRADAS VIPS</t>
        </is>
      </c>
      <c r="E177" s="78" t="n">
        <v>60</v>
      </c>
      <c r="F177" s="76" t="inlineStr">
        <is>
          <t>Quintal do Espeto Santo André</t>
        </is>
      </c>
    </row>
    <row r="178">
      <c r="A178" s="43" t="inlineStr">
        <is>
          <t>SANTO ANDRÉ</t>
        </is>
      </c>
      <c r="B178" s="44" t="inlineStr">
        <is>
          <t>ENTRADA PLUG TICKETS</t>
        </is>
      </c>
      <c r="C178" s="43" t="inlineStr">
        <is>
          <t>7898905687602</t>
        </is>
      </c>
      <c r="D178" s="44" t="inlineStr">
        <is>
          <t>OUTROS</t>
        </is>
      </c>
      <c r="E178" s="77" t="n">
        <v>45</v>
      </c>
      <c r="F178" s="74" t="inlineStr">
        <is>
          <t>Quintal do Espeto Santo André</t>
        </is>
      </c>
    </row>
    <row r="179">
      <c r="A179" s="40" t="inlineStr">
        <is>
          <t>SANTO ANDRÉ</t>
        </is>
      </c>
      <c r="B179" s="41" t="inlineStr">
        <is>
          <t>ENTRADA PLUG TICKETS</t>
        </is>
      </c>
      <c r="C179" s="40" t="inlineStr">
        <is>
          <t>78989056877123</t>
        </is>
      </c>
      <c r="D179" s="41" t="inlineStr">
        <is>
          <t>0 ENTRADAS</t>
        </is>
      </c>
      <c r="E179" s="78" t="n">
        <v>35</v>
      </c>
      <c r="F179" s="76" t="inlineStr">
        <is>
          <t>Quintal do Espeto Santo André</t>
        </is>
      </c>
    </row>
    <row r="180">
      <c r="A180" s="43" t="inlineStr">
        <is>
          <t>SANTO ANDRÉ</t>
        </is>
      </c>
      <c r="B180" s="44" t="inlineStr">
        <is>
          <t>ENTRADA ANIVERSÁRIO</t>
        </is>
      </c>
      <c r="C180" s="43" t="inlineStr">
        <is>
          <t>7898905687158</t>
        </is>
      </c>
      <c r="D180" s="44" t="inlineStr">
        <is>
          <t>0 ENTRADAS VIPS</t>
        </is>
      </c>
      <c r="E180" s="73" t="n"/>
      <c r="F180" s="74" t="inlineStr">
        <is>
          <t>Quintal do Espeto Santo André</t>
        </is>
      </c>
    </row>
    <row r="181">
      <c r="A181" s="40" t="inlineStr">
        <is>
          <t>SANTO ANDRÉ</t>
        </is>
      </c>
      <c r="B181" s="41" t="inlineStr">
        <is>
          <t>ENTRADA MÚSICO</t>
        </is>
      </c>
      <c r="C181" s="40" t="inlineStr">
        <is>
          <t>7898905687359</t>
        </is>
      </c>
      <c r="D181" s="41" t="inlineStr">
        <is>
          <t>0 ENTRADAS VIPS</t>
        </is>
      </c>
      <c r="E181" s="75" t="n"/>
      <c r="F181" s="76" t="inlineStr">
        <is>
          <t>Quintal do Espeto Santo André</t>
        </is>
      </c>
    </row>
    <row r="182">
      <c r="A182" s="43" t="inlineStr">
        <is>
          <t>SANTO ANDRÉ</t>
        </is>
      </c>
      <c r="B182" s="44" t="inlineStr">
        <is>
          <t>ENTRADA PLUG</t>
        </is>
      </c>
      <c r="C182" s="43" t="inlineStr">
        <is>
          <t>78989056877164</t>
        </is>
      </c>
      <c r="D182" s="44" t="inlineStr">
        <is>
          <t>0 ENTRADAS VIPS</t>
        </is>
      </c>
      <c r="E182" s="77" t="n">
        <v>40</v>
      </c>
      <c r="F182" s="74" t="inlineStr">
        <is>
          <t>Quintal do Espeto Santo André</t>
        </is>
      </c>
    </row>
    <row r="183">
      <c r="A183" s="40" t="inlineStr">
        <is>
          <t>SANTO ANDRÉ</t>
        </is>
      </c>
      <c r="B183" s="41" t="inlineStr">
        <is>
          <t>ENTRADA PLUG TICKETS PISTA PORTA</t>
        </is>
      </c>
      <c r="C183" s="40" t="inlineStr">
        <is>
          <t>7898905687169</t>
        </is>
      </c>
      <c r="D183" s="41" t="inlineStr">
        <is>
          <t>1 ENTRADAS SHOW</t>
        </is>
      </c>
      <c r="E183" s="78" t="n">
        <v>100</v>
      </c>
      <c r="F183" s="76" t="inlineStr">
        <is>
          <t>Quintal do Espeto Santo André</t>
        </is>
      </c>
    </row>
    <row r="184">
      <c r="A184" s="43" t="inlineStr">
        <is>
          <t>SANTO ANDRÉ</t>
        </is>
      </c>
      <c r="B184" s="44" t="inlineStr">
        <is>
          <t>CAMAROTE PLUG TICKETS</t>
        </is>
      </c>
      <c r="C184" s="43" t="inlineStr">
        <is>
          <t>7898905687168</t>
        </is>
      </c>
      <c r="D184" s="44" t="inlineStr">
        <is>
          <t>CAMAROTE</t>
        </is>
      </c>
      <c r="E184" s="77" t="n">
        <v>90</v>
      </c>
      <c r="F184" s="74" t="inlineStr">
        <is>
          <t>Quintal do Espeto Santo André</t>
        </is>
      </c>
    </row>
    <row r="185">
      <c r="A185" s="40" t="inlineStr">
        <is>
          <t>SANTO ANDRÉ</t>
        </is>
      </c>
      <c r="B185" s="41" t="inlineStr">
        <is>
          <t>ENTRADA PLUG TICKETS</t>
        </is>
      </c>
      <c r="C185" s="40" t="inlineStr">
        <is>
          <t>7898905687162</t>
        </is>
      </c>
      <c r="D185" s="41" t="inlineStr">
        <is>
          <t>Entradas</t>
        </is>
      </c>
      <c r="E185" s="78" t="n">
        <v>50</v>
      </c>
      <c r="F185" s="76" t="inlineStr">
        <is>
          <t>Quintal do Espeto Santo André</t>
        </is>
      </c>
    </row>
    <row r="186">
      <c r="A186" s="43" t="inlineStr">
        <is>
          <t>SANTO ANDRÉ</t>
        </is>
      </c>
      <c r="B186" s="44" t="inlineStr">
        <is>
          <t>ENTRADA BBJ CAMAROTE</t>
        </is>
      </c>
      <c r="C186" s="43" t="inlineStr">
        <is>
          <t>78989056877125</t>
        </is>
      </c>
      <c r="D186" s="44" t="inlineStr">
        <is>
          <t>0 ENTRADAS</t>
        </is>
      </c>
      <c r="E186" s="77" t="n">
        <v>390</v>
      </c>
      <c r="F186" s="74" t="inlineStr">
        <is>
          <t>Quintal do Espeto Santo André</t>
        </is>
      </c>
    </row>
  </sheetData>
  <autoFilter ref="A1:F186"/>
  <conditionalFormatting sqref="C1:C1048576">
    <cfRule type="duplicateValues" priority="1" dxfId="2"/>
  </conditionalFormatting>
  <pageMargins left="0.75" right="0.75" top="1" bottom="1" header="0.5" footer="0.5"/>
</worksheet>
</file>

<file path=xl/worksheets/sheet8.xml><?xml version="1.0" encoding="utf-8"?>
<worksheet xmlns="http://schemas.openxmlformats.org/spreadsheetml/2006/main">
  <sheetPr>
    <tabColor rgb="FF2E75B6"/>
    <outlinePr summaryBelow="1" summaryRight="1"/>
    <pageSetUpPr/>
  </sheetPr>
  <dimension ref="A1:J3106"/>
  <sheetViews>
    <sheetView showGridLines="0" workbookViewId="0">
      <pane ySplit="1" topLeftCell="A2" activePane="bottomLeft" state="frozen"/>
      <selection pane="bottomLeft" activeCell="F59" sqref="F59"/>
    </sheetView>
  </sheetViews>
  <sheetFormatPr baseColWidth="8" defaultRowHeight="15"/>
  <cols>
    <col width="12" customWidth="1" min="1" max="1"/>
    <col width="42" customWidth="1" min="2" max="2"/>
    <col width="8" customWidth="1" min="3" max="5"/>
    <col width="12" customWidth="1" min="6" max="6"/>
    <col width="16" customWidth="1" min="7" max="7"/>
    <col width="12" customWidth="1" min="8" max="8"/>
    <col width="20" customWidth="1" min="9" max="9"/>
  </cols>
  <sheetData>
    <row r="1" ht="24" customHeight="1">
      <c r="A1" s="29" t="inlineStr">
        <is>
          <t>Código</t>
        </is>
      </c>
      <c r="B1" s="29" t="inlineStr">
        <is>
          <t>Descrição</t>
        </is>
      </c>
      <c r="C1" s="29" t="inlineStr">
        <is>
          <t>Tipo</t>
        </is>
      </c>
      <c r="D1" s="29" t="inlineStr">
        <is>
          <t>Unidade</t>
        </is>
      </c>
      <c r="E1" s="29" t="inlineStr">
        <is>
          <t>Grupo</t>
        </is>
      </c>
      <c r="F1" s="29" t="inlineStr">
        <is>
          <t>Compra/Venda</t>
        </is>
      </c>
      <c r="G1" s="29" t="inlineStr">
        <is>
          <t>Últ. Preço (R$)</t>
        </is>
      </c>
      <c r="H1" s="64" t="inlineStr">
        <is>
          <t>Bloqueado</t>
        </is>
      </c>
      <c r="I1" s="30" t="inlineStr">
        <is>
          <t>Cód. Venda (ZIG)</t>
        </is>
      </c>
      <c r="J1" t="inlineStr">
        <is>
          <t>Última Atualização: 13/05/2026</t>
        </is>
      </c>
    </row>
    <row r="2">
      <c r="A2" s="43" t="inlineStr">
        <is>
          <t>001408</t>
        </is>
      </c>
      <c r="B2" s="44" t="inlineStr">
        <is>
          <t>** COM COLARINHO **</t>
        </is>
      </c>
      <c r="C2" s="45" t="inlineStr">
        <is>
          <t>GN</t>
        </is>
      </c>
      <c r="D2" s="45" t="inlineStr">
        <is>
          <t>UN</t>
        </is>
      </c>
      <c r="E2" s="45" t="inlineStr">
        <is>
          <t>0105</t>
        </is>
      </c>
      <c r="F2" s="65" t="inlineStr">
        <is>
          <t>Venda</t>
        </is>
      </c>
      <c r="G2" s="66" t="n">
        <v>12.43</v>
      </c>
      <c r="H2" s="67" t="inlineStr">
        <is>
          <t>Não</t>
        </is>
      </c>
      <c r="I2" s="48" t="inlineStr">
        <is>
          <t>9003688</t>
        </is>
      </c>
    </row>
    <row r="3">
      <c r="A3" s="40" t="inlineStr">
        <is>
          <t>001257</t>
        </is>
      </c>
      <c r="B3" s="41" t="inlineStr">
        <is>
          <t>**ABACAXI**</t>
        </is>
      </c>
      <c r="C3" s="42" t="inlineStr">
        <is>
          <t>GN</t>
        </is>
      </c>
      <c r="D3" s="42" t="inlineStr">
        <is>
          <t>UN</t>
        </is>
      </c>
      <c r="E3" s="42" t="inlineStr">
        <is>
          <t>0100</t>
        </is>
      </c>
      <c r="F3" s="65" t="inlineStr">
        <is>
          <t>Venda</t>
        </is>
      </c>
      <c r="G3" s="68" t="n">
        <v>0</v>
      </c>
      <c r="H3" s="172" t="inlineStr">
        <is>
          <t>Não</t>
        </is>
      </c>
      <c r="I3" s="47" t="inlineStr">
        <is>
          <t>9003137</t>
        </is>
      </c>
    </row>
    <row r="4">
      <c r="A4" s="43" t="inlineStr">
        <is>
          <t>001266</t>
        </is>
      </c>
      <c r="B4" s="44" t="inlineStr">
        <is>
          <t>**ACUCAR**</t>
        </is>
      </c>
      <c r="C4" s="45" t="inlineStr">
        <is>
          <t>GN</t>
        </is>
      </c>
      <c r="D4" s="45" t="inlineStr">
        <is>
          <t>UN</t>
        </is>
      </c>
      <c r="E4" s="45" t="inlineStr">
        <is>
          <t>0105</t>
        </is>
      </c>
      <c r="F4" s="65" t="inlineStr">
        <is>
          <t>Venda</t>
        </is>
      </c>
      <c r="G4" s="69" t="n">
        <v>0</v>
      </c>
      <c r="H4" s="172" t="inlineStr">
        <is>
          <t>Não</t>
        </is>
      </c>
      <c r="I4" s="48" t="inlineStr">
        <is>
          <t>9003622</t>
        </is>
      </c>
    </row>
    <row r="5">
      <c r="A5" s="40" t="inlineStr">
        <is>
          <t>001267</t>
        </is>
      </c>
      <c r="B5" s="41" t="inlineStr">
        <is>
          <t>**ADOCANTE**</t>
        </is>
      </c>
      <c r="C5" s="42" t="inlineStr">
        <is>
          <t>GN</t>
        </is>
      </c>
      <c r="D5" s="42" t="inlineStr">
        <is>
          <t>UN</t>
        </is>
      </c>
      <c r="E5" s="42" t="inlineStr">
        <is>
          <t>0105</t>
        </is>
      </c>
      <c r="F5" s="65" t="inlineStr">
        <is>
          <t>Venda</t>
        </is>
      </c>
      <c r="G5" s="68" t="n">
        <v>0</v>
      </c>
      <c r="H5" s="172" t="inlineStr">
        <is>
          <t>Não</t>
        </is>
      </c>
      <c r="I5" s="47" t="inlineStr">
        <is>
          <t>9003627</t>
        </is>
      </c>
    </row>
    <row r="6">
      <c r="A6" s="43" t="inlineStr">
        <is>
          <t>001329</t>
        </is>
      </c>
      <c r="B6" s="44" t="inlineStr">
        <is>
          <t>**BEEFEATER DRINKS**</t>
        </is>
      </c>
      <c r="C6" s="45" t="inlineStr">
        <is>
          <t>GN</t>
        </is>
      </c>
      <c r="D6" s="45" t="inlineStr">
        <is>
          <t>UN</t>
        </is>
      </c>
      <c r="E6" s="45" t="inlineStr">
        <is>
          <t>0101</t>
        </is>
      </c>
      <c r="F6" s="65" t="inlineStr">
        <is>
          <t>Venda</t>
        </is>
      </c>
      <c r="G6" s="69" t="n">
        <v>0</v>
      </c>
      <c r="H6" s="172" t="inlineStr">
        <is>
          <t>Não</t>
        </is>
      </c>
      <c r="I6" s="48" t="inlineStr">
        <is>
          <t>7898905687145</t>
        </is>
      </c>
    </row>
    <row r="7">
      <c r="A7" s="40" t="inlineStr">
        <is>
          <t>001330</t>
        </is>
      </c>
      <c r="B7" s="41" t="inlineStr">
        <is>
          <t>**BEEFEATER PINK DRINKS**</t>
        </is>
      </c>
      <c r="C7" s="42" t="inlineStr">
        <is>
          <t>GN</t>
        </is>
      </c>
      <c r="D7" s="42" t="inlineStr">
        <is>
          <t>UN</t>
        </is>
      </c>
      <c r="E7" s="42" t="inlineStr">
        <is>
          <t>0101</t>
        </is>
      </c>
      <c r="F7" s="65" t="inlineStr">
        <is>
          <t>Venda</t>
        </is>
      </c>
      <c r="G7" s="68" t="n">
        <v>0</v>
      </c>
      <c r="H7" s="172" t="inlineStr">
        <is>
          <t>Não</t>
        </is>
      </c>
      <c r="I7" s="47" t="inlineStr">
        <is>
          <t>7898905687146</t>
        </is>
      </c>
    </row>
    <row r="8">
      <c r="A8" s="43" t="inlineStr">
        <is>
          <t>001260</t>
        </is>
      </c>
      <c r="B8" s="44" t="inlineStr">
        <is>
          <t>**COADA**</t>
        </is>
      </c>
      <c r="C8" s="45" t="inlineStr">
        <is>
          <t>GN</t>
        </is>
      </c>
      <c r="D8" s="45" t="inlineStr">
        <is>
          <t>UN</t>
        </is>
      </c>
      <c r="E8" s="45" t="inlineStr">
        <is>
          <t>0105</t>
        </is>
      </c>
      <c r="F8" s="65" t="inlineStr">
        <is>
          <t>Venda</t>
        </is>
      </c>
      <c r="G8" s="69" t="n">
        <v>0</v>
      </c>
      <c r="H8" s="172" t="inlineStr">
        <is>
          <t>Não</t>
        </is>
      </c>
      <c r="I8" s="48" t="inlineStr">
        <is>
          <t>9003197</t>
        </is>
      </c>
    </row>
    <row r="9">
      <c r="A9" s="40" t="inlineStr">
        <is>
          <t>001313</t>
        </is>
      </c>
      <c r="B9" s="41" t="inlineStr">
        <is>
          <t>**COM GELO**</t>
        </is>
      </c>
      <c r="C9" s="42" t="inlineStr">
        <is>
          <t>GN</t>
        </is>
      </c>
      <c r="D9" s="42" t="inlineStr">
        <is>
          <t>UN</t>
        </is>
      </c>
      <c r="E9" s="42" t="inlineStr">
        <is>
          <t>0105</t>
        </is>
      </c>
      <c r="F9" s="65" t="inlineStr">
        <is>
          <t>Venda</t>
        </is>
      </c>
      <c r="G9" s="68" t="n">
        <v>0</v>
      </c>
      <c r="H9" s="172" t="inlineStr">
        <is>
          <t>Não</t>
        </is>
      </c>
      <c r="I9" s="47" t="inlineStr">
        <is>
          <t>9003687</t>
        </is>
      </c>
    </row>
    <row r="10">
      <c r="A10" s="43" t="inlineStr">
        <is>
          <t>001294</t>
        </is>
      </c>
      <c r="B10" s="44" t="inlineStr">
        <is>
          <t>**FRUTAS VERDES**</t>
        </is>
      </c>
      <c r="C10" s="45" t="inlineStr">
        <is>
          <t>GN</t>
        </is>
      </c>
      <c r="D10" s="45" t="inlineStr">
        <is>
          <t>UN</t>
        </is>
      </c>
      <c r="E10" s="45" t="inlineStr">
        <is>
          <t>0100</t>
        </is>
      </c>
      <c r="F10" s="65" t="inlineStr">
        <is>
          <t>Venda</t>
        </is>
      </c>
      <c r="G10" s="69" t="n">
        <v>0</v>
      </c>
      <c r="H10" s="172" t="inlineStr">
        <is>
          <t>Não</t>
        </is>
      </c>
      <c r="I10" s="48" t="inlineStr">
        <is>
          <t>9003617</t>
        </is>
      </c>
    </row>
    <row r="11">
      <c r="A11" s="40" t="inlineStr">
        <is>
          <t>001263</t>
        </is>
      </c>
      <c r="B11" s="41" t="inlineStr">
        <is>
          <t>**FRUTAS VERMELHAS **</t>
        </is>
      </c>
      <c r="C11" s="42" t="inlineStr">
        <is>
          <t>GN</t>
        </is>
      </c>
      <c r="D11" s="42" t="inlineStr">
        <is>
          <t>UN</t>
        </is>
      </c>
      <c r="E11" s="42" t="inlineStr">
        <is>
          <t>0105</t>
        </is>
      </c>
      <c r="F11" s="65" t="inlineStr">
        <is>
          <t>Venda</t>
        </is>
      </c>
      <c r="G11" s="68" t="n">
        <v>0</v>
      </c>
      <c r="H11" s="172" t="inlineStr">
        <is>
          <t>Não</t>
        </is>
      </c>
      <c r="I11" s="47" t="inlineStr">
        <is>
          <t>9003616</t>
        </is>
      </c>
    </row>
    <row r="12">
      <c r="A12" s="43" t="inlineStr">
        <is>
          <t>001331</t>
        </is>
      </c>
      <c r="B12" s="44" t="inlineStr">
        <is>
          <t>**GIN KAWAI PINK DRINKS**</t>
        </is>
      </c>
      <c r="C12" s="45" t="inlineStr">
        <is>
          <t>GN</t>
        </is>
      </c>
      <c r="D12" s="45" t="inlineStr">
        <is>
          <t>UN</t>
        </is>
      </c>
      <c r="E12" s="45" t="inlineStr">
        <is>
          <t>0101</t>
        </is>
      </c>
      <c r="F12" s="65" t="inlineStr">
        <is>
          <t>Venda</t>
        </is>
      </c>
      <c r="G12" s="69" t="n">
        <v>0</v>
      </c>
      <c r="H12" s="172" t="inlineStr">
        <is>
          <t>Não</t>
        </is>
      </c>
      <c r="I12" s="48" t="inlineStr">
        <is>
          <t>7898905687147</t>
        </is>
      </c>
    </row>
    <row r="13">
      <c r="A13" s="40" t="inlineStr">
        <is>
          <t>001396</t>
        </is>
      </c>
      <c r="B13" s="41" t="inlineStr">
        <is>
          <t>**GIN SALT DRINKS**</t>
        </is>
      </c>
      <c r="C13" s="42" t="inlineStr">
        <is>
          <t>GN</t>
        </is>
      </c>
      <c r="D13" s="42" t="inlineStr">
        <is>
          <t>UN</t>
        </is>
      </c>
      <c r="E13" s="42" t="inlineStr">
        <is>
          <t>0101</t>
        </is>
      </c>
      <c r="F13" s="65" t="inlineStr">
        <is>
          <t>Venda</t>
        </is>
      </c>
      <c r="G13" s="68" t="n">
        <v>0</v>
      </c>
      <c r="H13" s="172" t="inlineStr">
        <is>
          <t>Não</t>
        </is>
      </c>
      <c r="I13" s="47" t="inlineStr">
        <is>
          <t>7898905687192</t>
        </is>
      </c>
    </row>
    <row r="14">
      <c r="A14" s="43" t="inlineStr">
        <is>
          <t>001305</t>
        </is>
      </c>
      <c r="B14" s="44" t="inlineStr">
        <is>
          <t>**GORDONS DRINKS**</t>
        </is>
      </c>
      <c r="C14" s="45" t="inlineStr">
        <is>
          <t>GN</t>
        </is>
      </c>
      <c r="D14" s="45" t="inlineStr">
        <is>
          <t>UN</t>
        </is>
      </c>
      <c r="E14" s="45" t="inlineStr">
        <is>
          <t>0101</t>
        </is>
      </c>
      <c r="F14" s="65" t="inlineStr">
        <is>
          <t>Venda</t>
        </is>
      </c>
      <c r="G14" s="69" t="n">
        <v>0</v>
      </c>
      <c r="H14" s="177" t="inlineStr">
        <is>
          <t>Sim</t>
        </is>
      </c>
      <c r="I14" s="178" t="n"/>
    </row>
    <row r="15">
      <c r="A15" s="40" t="inlineStr">
        <is>
          <t>001295</t>
        </is>
      </c>
      <c r="B15" s="41" t="inlineStr">
        <is>
          <t>**LIMA DA PERSIA**</t>
        </is>
      </c>
      <c r="C15" s="42" t="inlineStr">
        <is>
          <t>GN</t>
        </is>
      </c>
      <c r="D15" s="42" t="inlineStr">
        <is>
          <t>UN</t>
        </is>
      </c>
      <c r="E15" s="42" t="inlineStr">
        <is>
          <t>0100</t>
        </is>
      </c>
      <c r="F15" s="65" t="inlineStr">
        <is>
          <t>Venda</t>
        </is>
      </c>
      <c r="G15" s="68" t="n">
        <v>0</v>
      </c>
      <c r="H15" s="172" t="inlineStr">
        <is>
          <t>Não</t>
        </is>
      </c>
      <c r="I15" s="47" t="inlineStr">
        <is>
          <t>9003618</t>
        </is>
      </c>
    </row>
    <row r="16">
      <c r="A16" s="43" t="inlineStr">
        <is>
          <t>001265</t>
        </is>
      </c>
      <c r="B16" s="44" t="inlineStr">
        <is>
          <t>**LIMAO**</t>
        </is>
      </c>
      <c r="C16" s="45" t="inlineStr">
        <is>
          <t>GN</t>
        </is>
      </c>
      <c r="D16" s="45" t="inlineStr">
        <is>
          <t>UN</t>
        </is>
      </c>
      <c r="E16" s="45" t="inlineStr">
        <is>
          <t>0105</t>
        </is>
      </c>
      <c r="F16" s="65" t="inlineStr">
        <is>
          <t>Venda</t>
        </is>
      </c>
      <c r="G16" s="69" t="n">
        <v>0</v>
      </c>
      <c r="H16" s="172" t="inlineStr">
        <is>
          <t>Não</t>
        </is>
      </c>
      <c r="I16" s="48" t="inlineStr">
        <is>
          <t>9003621</t>
        </is>
      </c>
    </row>
    <row r="17">
      <c r="A17" s="40" t="inlineStr">
        <is>
          <t>001262</t>
        </is>
      </c>
      <c r="B17" s="41" t="inlineStr">
        <is>
          <t>**MARACUJA**</t>
        </is>
      </c>
      <c r="C17" s="42" t="inlineStr">
        <is>
          <t>GN</t>
        </is>
      </c>
      <c r="D17" s="42" t="inlineStr">
        <is>
          <t>UN</t>
        </is>
      </c>
      <c r="E17" s="42" t="inlineStr">
        <is>
          <t>0105</t>
        </is>
      </c>
      <c r="F17" s="65" t="inlineStr">
        <is>
          <t>Venda</t>
        </is>
      </c>
      <c r="G17" s="68" t="n">
        <v>0</v>
      </c>
      <c r="H17" s="172" t="inlineStr">
        <is>
          <t>Não</t>
        </is>
      </c>
      <c r="I17" s="47" t="inlineStr">
        <is>
          <t>9003615</t>
        </is>
      </c>
    </row>
    <row r="18">
      <c r="A18" s="43" t="inlineStr">
        <is>
          <t>001293</t>
        </is>
      </c>
      <c r="B18" s="44" t="inlineStr">
        <is>
          <t>**MISTA DE UVA**</t>
        </is>
      </c>
      <c r="C18" s="45" t="inlineStr">
        <is>
          <t>GN</t>
        </is>
      </c>
      <c r="D18" s="45" t="inlineStr">
        <is>
          <t>UN</t>
        </is>
      </c>
      <c r="E18" s="45" t="inlineStr">
        <is>
          <t>0100</t>
        </is>
      </c>
      <c r="F18" s="65" t="inlineStr">
        <is>
          <t>Venda</t>
        </is>
      </c>
      <c r="G18" s="69" t="n">
        <v>0</v>
      </c>
      <c r="H18" s="177" t="inlineStr">
        <is>
          <t>Sim</t>
        </is>
      </c>
      <c r="I18" s="178" t="n"/>
    </row>
    <row r="19">
      <c r="A19" s="40" t="inlineStr">
        <is>
          <t>001261</t>
        </is>
      </c>
      <c r="B19" s="41" t="inlineStr">
        <is>
          <t>**MORANGO**</t>
        </is>
      </c>
      <c r="C19" s="42" t="inlineStr">
        <is>
          <t>GN</t>
        </is>
      </c>
      <c r="D19" s="42" t="inlineStr">
        <is>
          <t>UN</t>
        </is>
      </c>
      <c r="E19" s="42" t="inlineStr">
        <is>
          <t>0105</t>
        </is>
      </c>
      <c r="F19" s="65" t="inlineStr">
        <is>
          <t>Venda</t>
        </is>
      </c>
      <c r="G19" s="68" t="n">
        <v>0</v>
      </c>
      <c r="H19" s="172" t="inlineStr">
        <is>
          <t>Não</t>
        </is>
      </c>
      <c r="I19" s="47" t="inlineStr">
        <is>
          <t>9003614</t>
        </is>
      </c>
    </row>
    <row r="20">
      <c r="A20" s="43" t="inlineStr">
        <is>
          <t>001258</t>
        </is>
      </c>
      <c r="B20" s="44" t="inlineStr">
        <is>
          <t>**NAO FAZER**</t>
        </is>
      </c>
      <c r="C20" s="45" t="inlineStr">
        <is>
          <t>GN</t>
        </is>
      </c>
      <c r="D20" s="45" t="inlineStr">
        <is>
          <t>UN</t>
        </is>
      </c>
      <c r="E20" s="45" t="inlineStr">
        <is>
          <t>0105</t>
        </is>
      </c>
      <c r="F20" s="65" t="inlineStr">
        <is>
          <t>Venda</t>
        </is>
      </c>
      <c r="G20" s="69" t="n">
        <v>0</v>
      </c>
      <c r="H20" s="172" t="inlineStr">
        <is>
          <t>Não</t>
        </is>
      </c>
      <c r="I20" s="48" t="inlineStr">
        <is>
          <t>9003138</t>
        </is>
      </c>
    </row>
    <row r="21">
      <c r="A21" s="40" t="inlineStr">
        <is>
          <t>001259</t>
        </is>
      </c>
      <c r="B21" s="41" t="inlineStr">
        <is>
          <t>**SEM ACUCAR**</t>
        </is>
      </c>
      <c r="C21" s="42" t="inlineStr">
        <is>
          <t>GN</t>
        </is>
      </c>
      <c r="D21" s="42" t="inlineStr">
        <is>
          <t>UN</t>
        </is>
      </c>
      <c r="E21" s="42" t="inlineStr">
        <is>
          <t>0105</t>
        </is>
      </c>
      <c r="F21" s="65" t="inlineStr">
        <is>
          <t>Venda</t>
        </is>
      </c>
      <c r="G21" s="68" t="n">
        <v>0</v>
      </c>
      <c r="H21" s="172" t="inlineStr">
        <is>
          <t>Não</t>
        </is>
      </c>
      <c r="I21" s="47" t="inlineStr">
        <is>
          <t>9003139</t>
        </is>
      </c>
    </row>
    <row r="22">
      <c r="A22" s="43" t="inlineStr">
        <is>
          <t>001289</t>
        </is>
      </c>
      <c r="B22" s="44" t="inlineStr">
        <is>
          <t>**SEM COLARINHO**</t>
        </is>
      </c>
      <c r="C22" s="45" t="inlineStr">
        <is>
          <t>GN</t>
        </is>
      </c>
      <c r="D22" s="45" t="inlineStr">
        <is>
          <t>UN</t>
        </is>
      </c>
      <c r="E22" s="45" t="inlineStr">
        <is>
          <t>0105</t>
        </is>
      </c>
      <c r="F22" s="65" t="inlineStr">
        <is>
          <t>Venda</t>
        </is>
      </c>
      <c r="G22" s="69" t="n">
        <v>0</v>
      </c>
      <c r="H22" s="172" t="inlineStr">
        <is>
          <t>Não</t>
        </is>
      </c>
      <c r="I22" s="48" t="inlineStr">
        <is>
          <t>9003186</t>
        </is>
      </c>
    </row>
    <row r="23">
      <c r="A23" s="40" t="inlineStr">
        <is>
          <t>001268</t>
        </is>
      </c>
      <c r="B23" s="41" t="inlineStr">
        <is>
          <t>**SEM GELO**</t>
        </is>
      </c>
      <c r="C23" s="42" t="inlineStr">
        <is>
          <t>GN</t>
        </is>
      </c>
      <c r="D23" s="42" t="inlineStr">
        <is>
          <t>UN</t>
        </is>
      </c>
      <c r="E23" s="42" t="inlineStr">
        <is>
          <t>0105</t>
        </is>
      </c>
      <c r="F23" s="65" t="inlineStr">
        <is>
          <t>Venda</t>
        </is>
      </c>
      <c r="G23" s="68" t="n">
        <v>0</v>
      </c>
      <c r="H23" s="172" t="inlineStr">
        <is>
          <t>Não</t>
        </is>
      </c>
      <c r="I23" s="47" t="inlineStr">
        <is>
          <t>9003628</t>
        </is>
      </c>
    </row>
    <row r="24">
      <c r="A24" s="43" t="inlineStr">
        <is>
          <t>001296</t>
        </is>
      </c>
      <c r="B24" s="44" t="inlineStr">
        <is>
          <t>**TANGERINA C/ CANELA**</t>
        </is>
      </c>
      <c r="C24" s="45" t="inlineStr">
        <is>
          <t>GN</t>
        </is>
      </c>
      <c r="D24" s="45" t="inlineStr">
        <is>
          <t>UN</t>
        </is>
      </c>
      <c r="E24" s="45" t="inlineStr">
        <is>
          <t>0100</t>
        </is>
      </c>
      <c r="F24" s="65" t="inlineStr">
        <is>
          <t>Venda</t>
        </is>
      </c>
      <c r="G24" s="69" t="n">
        <v>0</v>
      </c>
      <c r="H24" s="177" t="inlineStr">
        <is>
          <t>Sim</t>
        </is>
      </c>
      <c r="I24" s="178" t="n"/>
    </row>
    <row r="25">
      <c r="A25" s="40" t="inlineStr">
        <is>
          <t>001264</t>
        </is>
      </c>
      <c r="B25" s="41" t="inlineStr">
        <is>
          <t>**TANGERINA C/ LIMAO ROSA E P/</t>
        </is>
      </c>
      <c r="C25" s="42" t="inlineStr">
        <is>
          <t>GN</t>
        </is>
      </c>
      <c r="D25" s="42" t="inlineStr">
        <is>
          <t>UN</t>
        </is>
      </c>
      <c r="E25" s="42" t="inlineStr">
        <is>
          <t>0105</t>
        </is>
      </c>
      <c r="F25" s="65" t="inlineStr">
        <is>
          <t>Venda</t>
        </is>
      </c>
      <c r="G25" s="68" t="n">
        <v>0</v>
      </c>
      <c r="H25" s="172" t="inlineStr">
        <is>
          <t>Não</t>
        </is>
      </c>
      <c r="I25" s="47" t="inlineStr">
        <is>
          <t>9003620</t>
        </is>
      </c>
    </row>
    <row r="26">
      <c r="A26" s="43" t="inlineStr">
        <is>
          <t>001306</t>
        </is>
      </c>
      <c r="B26" s="44" t="inlineStr">
        <is>
          <t>**TANQUERAY DRINKS**</t>
        </is>
      </c>
      <c r="C26" s="45" t="inlineStr">
        <is>
          <t>GN</t>
        </is>
      </c>
      <c r="D26" s="45" t="inlineStr">
        <is>
          <t>UN</t>
        </is>
      </c>
      <c r="E26" s="45" t="inlineStr">
        <is>
          <t>0101</t>
        </is>
      </c>
      <c r="F26" s="65" t="inlineStr">
        <is>
          <t>Venda</t>
        </is>
      </c>
      <c r="G26" s="69" t="n">
        <v>0</v>
      </c>
      <c r="H26" s="172" t="inlineStr">
        <is>
          <t>Não</t>
        </is>
      </c>
      <c r="I26" s="48" t="inlineStr">
        <is>
          <t>9003659</t>
        </is>
      </c>
    </row>
    <row r="27">
      <c r="A27" s="40" t="inlineStr">
        <is>
          <t>010315</t>
        </is>
      </c>
      <c r="B27" s="41" t="inlineStr">
        <is>
          <t>**XAROPE LIMAO SICILIANO**</t>
        </is>
      </c>
      <c r="C27" s="42" t="inlineStr">
        <is>
          <t>GN</t>
        </is>
      </c>
      <c r="D27" s="42" t="inlineStr">
        <is>
          <t>UN</t>
        </is>
      </c>
      <c r="E27" s="42" t="inlineStr">
        <is>
          <t>0100</t>
        </is>
      </c>
      <c r="F27" s="65" t="inlineStr">
        <is>
          <t>Venda</t>
        </is>
      </c>
      <c r="G27" s="68" t="n">
        <v>0</v>
      </c>
      <c r="H27" s="172" t="inlineStr">
        <is>
          <t>Não</t>
        </is>
      </c>
      <c r="I27" s="47" t="inlineStr">
        <is>
          <t>7898905687801</t>
        </is>
      </c>
    </row>
    <row r="28">
      <c r="A28" s="43" t="inlineStr">
        <is>
          <t>010316</t>
        </is>
      </c>
      <c r="B28" s="44" t="inlineStr">
        <is>
          <t>**XAROPE MARACUJA**</t>
        </is>
      </c>
      <c r="C28" s="45" t="inlineStr">
        <is>
          <t>GN</t>
        </is>
      </c>
      <c r="D28" s="45" t="inlineStr">
        <is>
          <t>UN</t>
        </is>
      </c>
      <c r="E28" s="45" t="inlineStr">
        <is>
          <t>0100</t>
        </is>
      </c>
      <c r="F28" s="65" t="inlineStr">
        <is>
          <t>Venda</t>
        </is>
      </c>
      <c r="G28" s="69" t="n">
        <v>0</v>
      </c>
      <c r="H28" s="172" t="inlineStr">
        <is>
          <t>Não</t>
        </is>
      </c>
      <c r="I28" s="48" t="inlineStr">
        <is>
          <t>7898905687802</t>
        </is>
      </c>
    </row>
    <row r="29">
      <c r="A29" s="40" t="inlineStr">
        <is>
          <t>010317</t>
        </is>
      </c>
      <c r="B29" s="41" t="inlineStr">
        <is>
          <t>**XAROPE MAÇA VERDE**</t>
        </is>
      </c>
      <c r="C29" s="42" t="inlineStr">
        <is>
          <t>GN</t>
        </is>
      </c>
      <c r="D29" s="42" t="inlineStr">
        <is>
          <t>UN</t>
        </is>
      </c>
      <c r="E29" s="42" t="inlineStr">
        <is>
          <t>0100</t>
        </is>
      </c>
      <c r="F29" s="65" t="inlineStr">
        <is>
          <t>Venda</t>
        </is>
      </c>
      <c r="G29" s="68" t="n">
        <v>0</v>
      </c>
      <c r="H29" s="172" t="inlineStr">
        <is>
          <t>Não</t>
        </is>
      </c>
      <c r="I29" s="47" t="inlineStr">
        <is>
          <t>7898905687803</t>
        </is>
      </c>
    </row>
    <row r="30">
      <c r="A30" s="43" t="inlineStr">
        <is>
          <t>010314</t>
        </is>
      </c>
      <c r="B30" s="44" t="inlineStr">
        <is>
          <t>**XAROPE MORANGO**</t>
        </is>
      </c>
      <c r="C30" s="45" t="inlineStr">
        <is>
          <t>GN</t>
        </is>
      </c>
      <c r="D30" s="45" t="inlineStr">
        <is>
          <t>UN</t>
        </is>
      </c>
      <c r="E30" s="45" t="inlineStr">
        <is>
          <t>0100</t>
        </is>
      </c>
      <c r="F30" s="65" t="inlineStr">
        <is>
          <t>Venda</t>
        </is>
      </c>
      <c r="G30" s="69" t="n">
        <v>0</v>
      </c>
      <c r="H30" s="172" t="inlineStr">
        <is>
          <t>Não</t>
        </is>
      </c>
      <c r="I30" s="48" t="inlineStr">
        <is>
          <t>7898905687800</t>
        </is>
      </c>
    </row>
    <row r="31">
      <c r="A31" s="40" t="inlineStr">
        <is>
          <t>009476</t>
        </is>
      </c>
      <c r="B31" s="41" t="inlineStr">
        <is>
          <t>*CACHAÇA*</t>
        </is>
      </c>
      <c r="C31" s="42" t="inlineStr">
        <is>
          <t>GN</t>
        </is>
      </c>
      <c r="D31" s="42" t="inlineStr">
        <is>
          <t>UN</t>
        </is>
      </c>
      <c r="E31" s="42" t="inlineStr">
        <is>
          <t>0105</t>
        </is>
      </c>
      <c r="F31" s="65" t="inlineStr">
        <is>
          <t>Venda</t>
        </is>
      </c>
      <c r="G31" s="68" t="n">
        <v>0</v>
      </c>
      <c r="H31" s="172" t="inlineStr">
        <is>
          <t>Não</t>
        </is>
      </c>
      <c r="I31" s="47" t="inlineStr">
        <is>
          <t>78989056877249</t>
        </is>
      </c>
    </row>
    <row r="32">
      <c r="A32" s="43" t="inlineStr">
        <is>
          <t>009478</t>
        </is>
      </c>
      <c r="B32" s="44" t="inlineStr">
        <is>
          <t>*SAKE*</t>
        </is>
      </c>
      <c r="C32" s="45" t="inlineStr">
        <is>
          <t>GN</t>
        </is>
      </c>
      <c r="D32" s="45" t="inlineStr">
        <is>
          <t>UN</t>
        </is>
      </c>
      <c r="E32" s="45" t="inlineStr">
        <is>
          <t>0105</t>
        </is>
      </c>
      <c r="F32" s="65" t="inlineStr">
        <is>
          <t>Venda</t>
        </is>
      </c>
      <c r="G32" s="69" t="n">
        <v>0</v>
      </c>
      <c r="H32" s="172" t="inlineStr">
        <is>
          <t>Não</t>
        </is>
      </c>
      <c r="I32" s="48" t="inlineStr">
        <is>
          <t>78989056877247</t>
        </is>
      </c>
    </row>
    <row r="33">
      <c r="A33" s="40" t="inlineStr">
        <is>
          <t>009477</t>
        </is>
      </c>
      <c r="B33" s="41" t="inlineStr">
        <is>
          <t>*VODKA NACIONAL*</t>
        </is>
      </c>
      <c r="C33" s="42" t="inlineStr">
        <is>
          <t>GN</t>
        </is>
      </c>
      <c r="D33" s="42" t="inlineStr">
        <is>
          <t>UN</t>
        </is>
      </c>
      <c r="E33" s="42" t="inlineStr">
        <is>
          <t>0105</t>
        </is>
      </c>
      <c r="F33" s="65" t="inlineStr">
        <is>
          <t>Venda</t>
        </is>
      </c>
      <c r="G33" s="68" t="n">
        <v>0</v>
      </c>
      <c r="H33" s="172" t="inlineStr">
        <is>
          <t>Não</t>
        </is>
      </c>
      <c r="I33" s="47" t="inlineStr">
        <is>
          <t>78989056877248</t>
        </is>
      </c>
    </row>
    <row r="34">
      <c r="A34" s="43" t="inlineStr">
        <is>
          <t>009475</t>
        </is>
      </c>
      <c r="B34" s="44" t="inlineStr">
        <is>
          <t>2 ESPETOS CLÁSSICOS + SALADA</t>
        </is>
      </c>
      <c r="C34" s="45" t="inlineStr">
        <is>
          <t>GN</t>
        </is>
      </c>
      <c r="D34" s="45" t="inlineStr">
        <is>
          <t>UN</t>
        </is>
      </c>
      <c r="E34" s="45" t="inlineStr">
        <is>
          <t>0107</t>
        </is>
      </c>
      <c r="F34" s="65" t="inlineStr">
        <is>
          <t>Venda</t>
        </is>
      </c>
      <c r="G34" s="69" t="n">
        <v>0</v>
      </c>
      <c r="H34" s="172" t="inlineStr">
        <is>
          <t>Não</t>
        </is>
      </c>
      <c r="I34" s="48" t="inlineStr">
        <is>
          <t>78989056877339</t>
        </is>
      </c>
    </row>
    <row r="35">
      <c r="A35" s="40" t="inlineStr">
        <is>
          <t>009308</t>
        </is>
      </c>
      <c r="B35" s="41" t="inlineStr">
        <is>
          <t>3M FITA ANTIDERRAPANTE 50X5M PRETA</t>
        </is>
      </c>
      <c r="C35" s="42" t="inlineStr">
        <is>
          <t>MC</t>
        </is>
      </c>
      <c r="D35" s="42" t="inlineStr">
        <is>
          <t>PC</t>
        </is>
      </c>
      <c r="E35" s="42" t="inlineStr">
        <is>
          <t>0132</t>
        </is>
      </c>
      <c r="F35" s="70" t="inlineStr">
        <is>
          <t>Compras</t>
        </is>
      </c>
      <c r="G35" s="71" t="n">
        <v>57.12</v>
      </c>
      <c r="H35" s="172" t="inlineStr">
        <is>
          <t>Não</t>
        </is>
      </c>
      <c r="I35" s="49" t="n"/>
    </row>
    <row r="36">
      <c r="A36" s="43" t="inlineStr">
        <is>
          <t>000794</t>
        </is>
      </c>
      <c r="B36" s="44" t="inlineStr">
        <is>
          <t>ABACAXI C/ CHOCOLATE</t>
        </is>
      </c>
      <c r="C36" s="45" t="inlineStr">
        <is>
          <t>PA</t>
        </is>
      </c>
      <c r="D36" s="45" t="inlineStr">
        <is>
          <t>UN</t>
        </is>
      </c>
      <c r="E36" s="45" t="inlineStr">
        <is>
          <t>0100</t>
        </is>
      </c>
      <c r="F36" s="65" t="inlineStr">
        <is>
          <t>Venda</t>
        </is>
      </c>
      <c r="G36" s="69" t="n">
        <v>0</v>
      </c>
      <c r="H36" s="172" t="inlineStr">
        <is>
          <t>Não</t>
        </is>
      </c>
      <c r="I36" s="48" t="inlineStr">
        <is>
          <t>50001</t>
        </is>
      </c>
    </row>
    <row r="37">
      <c r="A37" s="40" t="inlineStr">
        <is>
          <t>001368</t>
        </is>
      </c>
      <c r="B37" s="41" t="inlineStr">
        <is>
          <t>ABACAXI CAFE DA MANHA</t>
        </is>
      </c>
      <c r="C37" s="42" t="inlineStr">
        <is>
          <t>PA</t>
        </is>
      </c>
      <c r="D37" s="42" t="inlineStr">
        <is>
          <t>UN</t>
        </is>
      </c>
      <c r="E37" s="42" t="inlineStr">
        <is>
          <t>0100</t>
        </is>
      </c>
      <c r="F37" s="65" t="inlineStr">
        <is>
          <t>Venda</t>
        </is>
      </c>
      <c r="G37" s="68" t="n">
        <v>0</v>
      </c>
      <c r="H37" s="172" t="inlineStr">
        <is>
          <t>Não</t>
        </is>
      </c>
      <c r="I37" s="47" t="inlineStr">
        <is>
          <t>7898905687183</t>
        </is>
      </c>
    </row>
    <row r="38">
      <c r="A38" s="43" t="inlineStr">
        <is>
          <t>000798</t>
        </is>
      </c>
      <c r="B38" s="44" t="inlineStr">
        <is>
          <t>ABACAXI NA BRASA C/  MEL E RAS</t>
        </is>
      </c>
      <c r="C38" s="45" t="inlineStr">
        <is>
          <t>PA</t>
        </is>
      </c>
      <c r="D38" s="45" t="inlineStr">
        <is>
          <t>UN</t>
        </is>
      </c>
      <c r="E38" s="45" t="inlineStr">
        <is>
          <t>0100</t>
        </is>
      </c>
      <c r="F38" s="65" t="inlineStr">
        <is>
          <t>Venda</t>
        </is>
      </c>
      <c r="G38" s="69" t="n">
        <v>0</v>
      </c>
      <c r="H38" s="177" t="inlineStr">
        <is>
          <t>Sim</t>
        </is>
      </c>
      <c r="I38" s="178" t="n"/>
    </row>
    <row r="39">
      <c r="A39" s="40" t="inlineStr">
        <is>
          <t>000487</t>
        </is>
      </c>
      <c r="B39" s="41" t="inlineStr">
        <is>
          <t>ABACAXI PEROLA FRUTA</t>
        </is>
      </c>
      <c r="C39" s="42" t="inlineStr">
        <is>
          <t>MP</t>
        </is>
      </c>
      <c r="D39" s="42" t="inlineStr">
        <is>
          <t>KG</t>
        </is>
      </c>
      <c r="E39" s="42" t="inlineStr">
        <is>
          <t>0036</t>
        </is>
      </c>
      <c r="F39" s="70" t="inlineStr">
        <is>
          <t>Compras</t>
        </is>
      </c>
      <c r="G39" s="71" t="n">
        <v>6.75</v>
      </c>
      <c r="H39" s="172" t="inlineStr">
        <is>
          <t>Não</t>
        </is>
      </c>
      <c r="I39" s="49" t="n"/>
    </row>
    <row r="40">
      <c r="A40" s="43" t="inlineStr">
        <is>
          <t>001750</t>
        </is>
      </c>
      <c r="B40" s="44" t="inlineStr">
        <is>
          <t>ABADA</t>
        </is>
      </c>
      <c r="C40" s="45" t="inlineStr">
        <is>
          <t>ME</t>
        </is>
      </c>
      <c r="D40" s="45" t="inlineStr">
        <is>
          <t>UN</t>
        </is>
      </c>
      <c r="E40" s="45" t="inlineStr">
        <is>
          <t>0068</t>
        </is>
      </c>
      <c r="F40" s="70" t="inlineStr">
        <is>
          <t>Compras</t>
        </is>
      </c>
      <c r="G40" s="69" t="n">
        <v>0</v>
      </c>
      <c r="H40" s="173" t="inlineStr">
        <is>
          <t>Sim</t>
        </is>
      </c>
      <c r="I40" s="50" t="n"/>
    </row>
    <row r="41">
      <c r="A41" s="40" t="inlineStr">
        <is>
          <t>009566</t>
        </is>
      </c>
      <c r="B41" s="41" t="inlineStr">
        <is>
          <t>ABASTECIMENTO DE GAS GLP</t>
        </is>
      </c>
      <c r="C41" s="42" t="inlineStr">
        <is>
          <t>MC</t>
        </is>
      </c>
      <c r="D41" s="42" t="inlineStr">
        <is>
          <t>KG</t>
        </is>
      </c>
      <c r="E41" s="42" t="inlineStr">
        <is>
          <t>0142</t>
        </is>
      </c>
      <c r="F41" s="70" t="inlineStr">
        <is>
          <t>Compras</t>
        </is>
      </c>
      <c r="G41" s="71" t="n">
        <v>22.2986</v>
      </c>
      <c r="H41" s="172" t="inlineStr">
        <is>
          <t>Não</t>
        </is>
      </c>
      <c r="I41" s="49" t="n"/>
    </row>
    <row r="42">
      <c r="A42" s="43" t="inlineStr">
        <is>
          <t>002124</t>
        </is>
      </c>
      <c r="B42" s="44" t="inlineStr">
        <is>
          <t>ABOBORA ASSADA</t>
        </is>
      </c>
      <c r="C42" s="45" t="inlineStr">
        <is>
          <t>PA</t>
        </is>
      </c>
      <c r="D42" s="45" t="inlineStr">
        <is>
          <t>UN</t>
        </is>
      </c>
      <c r="E42" s="45" t="inlineStr">
        <is>
          <t>0121</t>
        </is>
      </c>
      <c r="F42" s="65" t="inlineStr">
        <is>
          <t>Venda</t>
        </is>
      </c>
      <c r="G42" s="69" t="n">
        <v>0</v>
      </c>
      <c r="H42" s="172" t="inlineStr">
        <is>
          <t>Não</t>
        </is>
      </c>
      <c r="I42" s="48" t="inlineStr">
        <is>
          <t>78989056877316</t>
        </is>
      </c>
    </row>
    <row r="43">
      <c r="A43" s="40" t="inlineStr">
        <is>
          <t>000624</t>
        </is>
      </c>
      <c r="B43" s="41" t="inlineStr">
        <is>
          <t>ABOBORA JAPONESA</t>
        </is>
      </c>
      <c r="C43" s="42" t="inlineStr">
        <is>
          <t>MP</t>
        </is>
      </c>
      <c r="D43" s="42" t="inlineStr">
        <is>
          <t>KG</t>
        </is>
      </c>
      <c r="E43" s="42" t="inlineStr">
        <is>
          <t>0036</t>
        </is>
      </c>
      <c r="F43" s="70" t="inlineStr">
        <is>
          <t>Compras</t>
        </is>
      </c>
      <c r="G43" s="71" t="n">
        <v>5.19</v>
      </c>
      <c r="H43" s="172" t="inlineStr">
        <is>
          <t>Não</t>
        </is>
      </c>
      <c r="I43" s="49" t="n"/>
    </row>
    <row r="44">
      <c r="A44" s="43" t="inlineStr">
        <is>
          <t>001972</t>
        </is>
      </c>
      <c r="B44" s="44" t="inlineStr">
        <is>
          <t>ABOBORA SECA</t>
        </is>
      </c>
      <c r="C44" s="45" t="inlineStr">
        <is>
          <t>MP</t>
        </is>
      </c>
      <c r="D44" s="45" t="inlineStr">
        <is>
          <t>KG</t>
        </is>
      </c>
      <c r="E44" s="45" t="inlineStr">
        <is>
          <t>0036</t>
        </is>
      </c>
      <c r="F44" s="70" t="inlineStr">
        <is>
          <t>Compras</t>
        </is>
      </c>
      <c r="G44" s="66" t="n">
        <v>4.99</v>
      </c>
      <c r="H44" s="172" t="inlineStr">
        <is>
          <t>Não</t>
        </is>
      </c>
      <c r="I44" s="50" t="n"/>
    </row>
    <row r="45">
      <c r="A45" s="40" t="inlineStr">
        <is>
          <t>000459</t>
        </is>
      </c>
      <c r="B45" s="41" t="inlineStr">
        <is>
          <t>ABOBRINHA ITALIANA</t>
        </is>
      </c>
      <c r="C45" s="42" t="inlineStr">
        <is>
          <t>MP</t>
        </is>
      </c>
      <c r="D45" s="42" t="inlineStr">
        <is>
          <t>KG</t>
        </is>
      </c>
      <c r="E45" s="42" t="inlineStr">
        <is>
          <t>0036</t>
        </is>
      </c>
      <c r="F45" s="70" t="inlineStr">
        <is>
          <t>Compras</t>
        </is>
      </c>
      <c r="G45" s="71" t="n">
        <v>9.539999999999999</v>
      </c>
      <c r="H45" s="172" t="inlineStr">
        <is>
          <t>Não</t>
        </is>
      </c>
      <c r="I45" s="49" t="n"/>
    </row>
    <row r="46">
      <c r="A46" s="43" t="inlineStr">
        <is>
          <t>009666</t>
        </is>
      </c>
      <c r="B46" s="44" t="inlineStr">
        <is>
          <t>ABRACADEIRA NYLON 3,6X250MM</t>
        </is>
      </c>
      <c r="C46" s="45" t="inlineStr">
        <is>
          <t>MC</t>
        </is>
      </c>
      <c r="D46" s="45" t="inlineStr">
        <is>
          <t>PC</t>
        </is>
      </c>
      <c r="E46" s="45" t="inlineStr">
        <is>
          <t>0132</t>
        </is>
      </c>
      <c r="F46" s="70" t="inlineStr">
        <is>
          <t>Compras</t>
        </is>
      </c>
      <c r="G46" s="69" t="n">
        <v>0</v>
      </c>
      <c r="H46" s="172" t="inlineStr">
        <is>
          <t>Não</t>
        </is>
      </c>
      <c r="I46" s="50" t="n"/>
    </row>
    <row r="47">
      <c r="A47" s="40" t="inlineStr">
        <is>
          <t>009349</t>
        </is>
      </c>
      <c r="B47" s="41" t="inlineStr">
        <is>
          <t>ABRACADEIRA PLASTICO</t>
        </is>
      </c>
      <c r="C47" s="42" t="inlineStr">
        <is>
          <t>MC</t>
        </is>
      </c>
      <c r="D47" s="42" t="inlineStr">
        <is>
          <t>PC</t>
        </is>
      </c>
      <c r="E47" s="42" t="inlineStr">
        <is>
          <t>0132</t>
        </is>
      </c>
      <c r="F47" s="70" t="inlineStr">
        <is>
          <t>Compras</t>
        </is>
      </c>
      <c r="G47" s="71" t="n">
        <v>0.18</v>
      </c>
      <c r="H47" s="172" t="inlineStr">
        <is>
          <t>Não</t>
        </is>
      </c>
      <c r="I47" s="49" t="n"/>
    </row>
    <row r="48">
      <c r="A48" s="43" t="inlineStr">
        <is>
          <t>010365</t>
        </is>
      </c>
      <c r="B48" s="44" t="inlineStr">
        <is>
          <t>ABRACADEIRA RSF 3/4 19X25 INOX MANGUEIRA</t>
        </is>
      </c>
      <c r="C48" s="45" t="inlineStr">
        <is>
          <t>MC</t>
        </is>
      </c>
      <c r="D48" s="45" t="inlineStr">
        <is>
          <t>UN</t>
        </is>
      </c>
      <c r="E48" s="45" t="inlineStr">
        <is>
          <t>0132</t>
        </is>
      </c>
      <c r="F48" s="70" t="inlineStr">
        <is>
          <t>Compras</t>
        </is>
      </c>
      <c r="G48" s="69" t="n">
        <v>0</v>
      </c>
      <c r="H48" s="172" t="inlineStr">
        <is>
          <t>Não</t>
        </is>
      </c>
      <c r="I48" s="50" t="n"/>
    </row>
    <row r="49">
      <c r="A49" s="40" t="inlineStr">
        <is>
          <t>009442</t>
        </is>
      </c>
      <c r="B49" s="41" t="inlineStr">
        <is>
          <t>ABRACADEIRA TIPO C</t>
        </is>
      </c>
      <c r="C49" s="42" t="inlineStr">
        <is>
          <t>MC</t>
        </is>
      </c>
      <c r="D49" s="42" t="inlineStr">
        <is>
          <t>UN</t>
        </is>
      </c>
      <c r="E49" s="42" t="inlineStr">
        <is>
          <t>0132</t>
        </is>
      </c>
      <c r="F49" s="70" t="inlineStr">
        <is>
          <t>Compras</t>
        </is>
      </c>
      <c r="G49" s="71" t="n">
        <v>1.98</v>
      </c>
      <c r="H49" s="172" t="inlineStr">
        <is>
          <t>Não</t>
        </is>
      </c>
      <c r="I49" s="49" t="n"/>
    </row>
    <row r="50">
      <c r="A50" s="43" t="inlineStr">
        <is>
          <t>009443</t>
        </is>
      </c>
      <c r="B50" s="44" t="inlineStr">
        <is>
          <t>ABRACADEIRA TIPO C 3/4</t>
        </is>
      </c>
      <c r="C50" s="45" t="inlineStr">
        <is>
          <t>MC</t>
        </is>
      </c>
      <c r="D50" s="45" t="inlineStr">
        <is>
          <t>UN</t>
        </is>
      </c>
      <c r="E50" s="45" t="inlineStr">
        <is>
          <t>0132</t>
        </is>
      </c>
      <c r="F50" s="70" t="inlineStr">
        <is>
          <t>Compras</t>
        </is>
      </c>
      <c r="G50" s="66" t="n">
        <v>1.8</v>
      </c>
      <c r="H50" s="172" t="inlineStr">
        <is>
          <t>Não</t>
        </is>
      </c>
      <c r="I50" s="50" t="n"/>
    </row>
    <row r="51">
      <c r="A51" s="40" t="inlineStr">
        <is>
          <t>009429</t>
        </is>
      </c>
      <c r="B51" s="41" t="inlineStr">
        <is>
          <t>ABRACADEIRA TIPO D COM CUNHA 1/2</t>
        </is>
      </c>
      <c r="C51" s="42" t="inlineStr">
        <is>
          <t>MC</t>
        </is>
      </c>
      <c r="D51" s="42" t="inlineStr">
        <is>
          <t>UN</t>
        </is>
      </c>
      <c r="E51" s="42" t="inlineStr">
        <is>
          <t>0132</t>
        </is>
      </c>
      <c r="F51" s="70" t="inlineStr">
        <is>
          <t>Compras</t>
        </is>
      </c>
      <c r="G51" s="71" t="n">
        <v>3.2</v>
      </c>
      <c r="H51" s="172" t="inlineStr">
        <is>
          <t>Não</t>
        </is>
      </c>
      <c r="I51" s="49" t="n"/>
    </row>
    <row r="52">
      <c r="A52" s="43" t="inlineStr">
        <is>
          <t>010168</t>
        </is>
      </c>
      <c r="B52" s="44" t="inlineStr">
        <is>
          <t>ABRACADEIRA TIPO U</t>
        </is>
      </c>
      <c r="C52" s="45" t="inlineStr">
        <is>
          <t>MC</t>
        </is>
      </c>
      <c r="D52" s="45" t="inlineStr">
        <is>
          <t>UN</t>
        </is>
      </c>
      <c r="E52" s="45" t="inlineStr">
        <is>
          <t>0132</t>
        </is>
      </c>
      <c r="F52" s="70" t="inlineStr">
        <is>
          <t>Compras</t>
        </is>
      </c>
      <c r="G52" s="66" t="n">
        <v>1</v>
      </c>
      <c r="H52" s="172" t="inlineStr">
        <is>
          <t>Não</t>
        </is>
      </c>
      <c r="I52" s="50" t="n"/>
    </row>
    <row r="53">
      <c r="A53" s="40" t="inlineStr">
        <is>
          <t>000522</t>
        </is>
      </c>
      <c r="B53" s="41" t="inlineStr">
        <is>
          <t>ABRIDOR DE GARRAFA 11CM</t>
        </is>
      </c>
      <c r="C53" s="42" t="inlineStr">
        <is>
          <t>MC</t>
        </is>
      </c>
      <c r="D53" s="42" t="inlineStr">
        <is>
          <t>UN</t>
        </is>
      </c>
      <c r="E53" s="42" t="inlineStr">
        <is>
          <t>0079</t>
        </is>
      </c>
      <c r="F53" s="70" t="inlineStr">
        <is>
          <t>Compras</t>
        </is>
      </c>
      <c r="G53" s="71" t="n">
        <v>4.6</v>
      </c>
      <c r="H53" s="172" t="inlineStr">
        <is>
          <t>Não</t>
        </is>
      </c>
      <c r="I53" s="49" t="n"/>
    </row>
    <row r="54">
      <c r="A54" s="43" t="inlineStr">
        <is>
          <t>000559</t>
        </is>
      </c>
      <c r="B54" s="44" t="inlineStr">
        <is>
          <t>ABRIDOR DE LATA 9 CM</t>
        </is>
      </c>
      <c r="C54" s="45" t="inlineStr">
        <is>
          <t>MC</t>
        </is>
      </c>
      <c r="D54" s="45" t="inlineStr">
        <is>
          <t>UN</t>
        </is>
      </c>
      <c r="E54" s="45" t="inlineStr">
        <is>
          <t>0079</t>
        </is>
      </c>
      <c r="F54" s="70" t="inlineStr">
        <is>
          <t>Compras</t>
        </is>
      </c>
      <c r="G54" s="66" t="n">
        <v>5.6</v>
      </c>
      <c r="H54" s="172" t="inlineStr">
        <is>
          <t>Não</t>
        </is>
      </c>
      <c r="I54" s="50" t="n"/>
    </row>
    <row r="55">
      <c r="A55" s="40" t="inlineStr">
        <is>
          <t>000537</t>
        </is>
      </c>
      <c r="B55" s="41" t="inlineStr">
        <is>
          <t>ABRIDOR DE VINHO 12 CM</t>
        </is>
      </c>
      <c r="C55" s="42" t="inlineStr">
        <is>
          <t>MC</t>
        </is>
      </c>
      <c r="D55" s="42" t="inlineStr">
        <is>
          <t>UN</t>
        </is>
      </c>
      <c r="E55" s="42" t="inlineStr">
        <is>
          <t>0079</t>
        </is>
      </c>
      <c r="F55" s="70" t="inlineStr">
        <is>
          <t>Compras</t>
        </is>
      </c>
      <c r="G55" s="71" t="n">
        <v>22.7</v>
      </c>
      <c r="H55" s="172" t="inlineStr">
        <is>
          <t>Não</t>
        </is>
      </c>
      <c r="I55" s="49" t="n"/>
    </row>
    <row r="56">
      <c r="A56" s="43" t="inlineStr">
        <is>
          <t>009484</t>
        </is>
      </c>
      <c r="B56" s="44" t="inlineStr">
        <is>
          <t>ABSOLUT ANIVERSARIANTE</t>
        </is>
      </c>
      <c r="C56" s="45" t="inlineStr">
        <is>
          <t>GN</t>
        </is>
      </c>
      <c r="D56" s="45" t="inlineStr">
        <is>
          <t>UN</t>
        </is>
      </c>
      <c r="E56" s="45" t="inlineStr">
        <is>
          <t>0107</t>
        </is>
      </c>
      <c r="F56" s="65" t="inlineStr">
        <is>
          <t>Venda</t>
        </is>
      </c>
      <c r="G56" s="69" t="n">
        <v>0</v>
      </c>
      <c r="H56" s="172" t="inlineStr">
        <is>
          <t>Não</t>
        </is>
      </c>
      <c r="I56" s="48" t="inlineStr">
        <is>
          <t>7898905687709</t>
        </is>
      </c>
    </row>
    <row r="57">
      <c r="A57" s="40" t="inlineStr">
        <is>
          <t>001037</t>
        </is>
      </c>
      <c r="B57" s="41" t="inlineStr">
        <is>
          <t>ABSOLUT DOSE</t>
        </is>
      </c>
      <c r="C57" s="42" t="inlineStr">
        <is>
          <t>PA</t>
        </is>
      </c>
      <c r="D57" s="42" t="inlineStr">
        <is>
          <t>UN</t>
        </is>
      </c>
      <c r="E57" s="42" t="inlineStr">
        <is>
          <t>0119</t>
        </is>
      </c>
      <c r="F57" s="65" t="inlineStr">
        <is>
          <t>Venda</t>
        </is>
      </c>
      <c r="G57" s="68" t="n">
        <v>0</v>
      </c>
      <c r="H57" s="172" t="inlineStr">
        <is>
          <t>Não</t>
        </is>
      </c>
      <c r="I57" s="47" t="inlineStr">
        <is>
          <t>89552</t>
        </is>
      </c>
    </row>
    <row r="58">
      <c r="A58" s="43" t="inlineStr">
        <is>
          <t>000338</t>
        </is>
      </c>
      <c r="B58" s="44" t="inlineStr">
        <is>
          <t>ABSOLUT ELYX</t>
        </is>
      </c>
      <c r="C58" s="45" t="inlineStr">
        <is>
          <t>MR</t>
        </is>
      </c>
      <c r="D58" s="45" t="inlineStr">
        <is>
          <t>LT</t>
        </is>
      </c>
      <c r="E58" s="45" t="inlineStr">
        <is>
          <t>0119</t>
        </is>
      </c>
      <c r="F58" s="65" t="inlineStr">
        <is>
          <t>Venda</t>
        </is>
      </c>
      <c r="G58" s="69" t="n">
        <v>0</v>
      </c>
      <c r="H58" s="173" t="inlineStr">
        <is>
          <t>Sim</t>
        </is>
      </c>
      <c r="I58" s="50" t="n"/>
    </row>
    <row r="59">
      <c r="A59" s="40" t="inlineStr">
        <is>
          <t>000757</t>
        </is>
      </c>
      <c r="B59" s="41" t="inlineStr">
        <is>
          <t>ABSOLUT EXTRAKT</t>
        </is>
      </c>
      <c r="C59" s="42" t="inlineStr">
        <is>
          <t>MR</t>
        </is>
      </c>
      <c r="D59" s="42" t="inlineStr">
        <is>
          <t>LT</t>
        </is>
      </c>
      <c r="E59" s="42" t="inlineStr">
        <is>
          <t>0055</t>
        </is>
      </c>
      <c r="F59" s="40" t="n"/>
      <c r="G59" s="68" t="n">
        <v>0</v>
      </c>
      <c r="H59" s="173" t="inlineStr">
        <is>
          <t>Sim</t>
        </is>
      </c>
      <c r="I59" s="49" t="n"/>
    </row>
    <row r="60">
      <c r="A60" s="43" t="inlineStr">
        <is>
          <t>000698</t>
        </is>
      </c>
      <c r="B60" s="44" t="inlineStr">
        <is>
          <t>ABSOLUT FLAVOR CITRON</t>
        </is>
      </c>
      <c r="C60" s="45" t="inlineStr">
        <is>
          <t>MR</t>
        </is>
      </c>
      <c r="D60" s="45" t="inlineStr">
        <is>
          <t>LT</t>
        </is>
      </c>
      <c r="E60" s="45" t="inlineStr">
        <is>
          <t>0119</t>
        </is>
      </c>
      <c r="F60" s="65" t="inlineStr">
        <is>
          <t>Venda</t>
        </is>
      </c>
      <c r="G60" s="69" t="n">
        <v>0</v>
      </c>
      <c r="H60" s="173" t="inlineStr">
        <is>
          <t>Sim</t>
        </is>
      </c>
      <c r="I60" s="50" t="n"/>
    </row>
    <row r="61">
      <c r="A61" s="40" t="inlineStr">
        <is>
          <t>000700</t>
        </is>
      </c>
      <c r="B61" s="41" t="inlineStr">
        <is>
          <t>ABSOLUT FLAVOR VANILLA 750ML</t>
        </is>
      </c>
      <c r="C61" s="42" t="inlineStr">
        <is>
          <t>ME</t>
        </is>
      </c>
      <c r="D61" s="42" t="inlineStr">
        <is>
          <t>LT</t>
        </is>
      </c>
      <c r="E61" s="42" t="inlineStr">
        <is>
          <t>0055</t>
        </is>
      </c>
      <c r="F61" s="70" t="inlineStr">
        <is>
          <t>Compras</t>
        </is>
      </c>
      <c r="G61" s="68" t="n">
        <v>0</v>
      </c>
      <c r="H61" s="172" t="inlineStr">
        <is>
          <t>Não</t>
        </is>
      </c>
      <c r="I61" s="49" t="n"/>
    </row>
    <row r="62">
      <c r="A62" s="43" t="inlineStr">
        <is>
          <t>000049</t>
        </is>
      </c>
      <c r="B62" s="44" t="inlineStr">
        <is>
          <t>ABSOLUT GARRAFA</t>
        </is>
      </c>
      <c r="C62" s="45" t="inlineStr">
        <is>
          <t>MR</t>
        </is>
      </c>
      <c r="D62" s="45" t="inlineStr">
        <is>
          <t>UN</t>
        </is>
      </c>
      <c r="E62" s="45" t="inlineStr">
        <is>
          <t>0119</t>
        </is>
      </c>
      <c r="F62" s="65" t="inlineStr">
        <is>
          <t>Venda</t>
        </is>
      </c>
      <c r="G62" s="69" t="n">
        <v>0</v>
      </c>
      <c r="H62" s="172" t="inlineStr">
        <is>
          <t>Não</t>
        </is>
      </c>
      <c r="I62" s="48" t="inlineStr">
        <is>
          <t>102120</t>
        </is>
      </c>
    </row>
    <row r="63">
      <c r="A63" s="40" t="inlineStr">
        <is>
          <t>009940</t>
        </is>
      </c>
      <c r="B63" s="41" t="inlineStr">
        <is>
          <t>ACABAMENTO PARA CAIXA DE DESCARGA EMBUTIDA</t>
        </is>
      </c>
      <c r="C63" s="42" t="inlineStr">
        <is>
          <t>MC</t>
        </is>
      </c>
      <c r="D63" s="42" t="inlineStr">
        <is>
          <t>UN</t>
        </is>
      </c>
      <c r="E63" s="42" t="inlineStr">
        <is>
          <t>0132</t>
        </is>
      </c>
      <c r="F63" s="70" t="inlineStr">
        <is>
          <t>Compras</t>
        </is>
      </c>
      <c r="G63" s="71" t="n">
        <v>88.04000000000001</v>
      </c>
      <c r="H63" s="172" t="inlineStr">
        <is>
          <t>Não</t>
        </is>
      </c>
      <c r="I63" s="49" t="n"/>
    </row>
    <row r="64">
      <c r="A64" s="43" t="inlineStr">
        <is>
          <t>001131</t>
        </is>
      </c>
      <c r="B64" s="44" t="inlineStr">
        <is>
          <t>ACAFRAO</t>
        </is>
      </c>
      <c r="C64" s="45" t="inlineStr">
        <is>
          <t>MR</t>
        </is>
      </c>
      <c r="D64" s="45" t="inlineStr">
        <is>
          <t>KG</t>
        </is>
      </c>
      <c r="E64" s="45" t="inlineStr">
        <is>
          <t>0029</t>
        </is>
      </c>
      <c r="F64" s="43" t="n"/>
      <c r="G64" s="69" t="n">
        <v>0</v>
      </c>
      <c r="H64" s="173" t="inlineStr">
        <is>
          <t>Sim</t>
        </is>
      </c>
      <c r="I64" s="50" t="n"/>
    </row>
    <row r="65">
      <c r="A65" s="40" t="inlineStr">
        <is>
          <t>010359</t>
        </is>
      </c>
      <c r="B65" s="41" t="inlineStr">
        <is>
          <t>ACCESS POINT UNIFI U6 PRO</t>
        </is>
      </c>
      <c r="C65" s="42" t="inlineStr">
        <is>
          <t>MC</t>
        </is>
      </c>
      <c r="D65" s="42" t="inlineStr">
        <is>
          <t>UN</t>
        </is>
      </c>
      <c r="E65" s="42" t="inlineStr">
        <is>
          <t>0006</t>
        </is>
      </c>
      <c r="F65" s="70" t="inlineStr">
        <is>
          <t>Compras</t>
        </is>
      </c>
      <c r="G65" s="68" t="n">
        <v>0</v>
      </c>
      <c r="H65" s="172" t="inlineStr">
        <is>
          <t>Não</t>
        </is>
      </c>
      <c r="I65" s="49" t="n"/>
    </row>
    <row r="66">
      <c r="A66" s="43" t="inlineStr">
        <is>
          <t>000425</t>
        </is>
      </c>
      <c r="B66" s="44" t="inlineStr">
        <is>
          <t>ACEM PECA FUNCIONARIO</t>
        </is>
      </c>
      <c r="C66" s="45" t="inlineStr">
        <is>
          <t>MC</t>
        </is>
      </c>
      <c r="D66" s="45" t="inlineStr">
        <is>
          <t>KG</t>
        </is>
      </c>
      <c r="E66" s="45" t="inlineStr">
        <is>
          <t>0013</t>
        </is>
      </c>
      <c r="F66" s="70" t="inlineStr">
        <is>
          <t>Compras</t>
        </is>
      </c>
      <c r="G66" s="66" t="n">
        <v>29</v>
      </c>
      <c r="H66" s="172" t="inlineStr">
        <is>
          <t>Não</t>
        </is>
      </c>
      <c r="I66" s="50" t="n"/>
    </row>
    <row r="67">
      <c r="A67" s="40" t="inlineStr">
        <is>
          <t>009658</t>
        </is>
      </c>
      <c r="B67" s="41" t="inlineStr">
        <is>
          <t>ACIDO 5L</t>
        </is>
      </c>
      <c r="C67" s="42" t="inlineStr">
        <is>
          <t>MC</t>
        </is>
      </c>
      <c r="D67" s="42" t="inlineStr">
        <is>
          <t>UN</t>
        </is>
      </c>
      <c r="E67" s="42" t="inlineStr">
        <is>
          <t>0132</t>
        </is>
      </c>
      <c r="F67" s="70" t="inlineStr">
        <is>
          <t>Compras</t>
        </is>
      </c>
      <c r="G67" s="71" t="n">
        <v>13.9</v>
      </c>
      <c r="H67" s="172" t="inlineStr">
        <is>
          <t>Não</t>
        </is>
      </c>
      <c r="I67" s="49" t="n"/>
    </row>
    <row r="68">
      <c r="A68" s="43" t="inlineStr">
        <is>
          <t>000374</t>
        </is>
      </c>
      <c r="B68" s="44" t="inlineStr">
        <is>
          <t>ACUCAR REFINADO UNIAO</t>
        </is>
      </c>
      <c r="C68" s="45" t="inlineStr">
        <is>
          <t>MP</t>
        </is>
      </c>
      <c r="D68" s="45" t="inlineStr">
        <is>
          <t>KG</t>
        </is>
      </c>
      <c r="E68" s="45" t="inlineStr">
        <is>
          <t>0029</t>
        </is>
      </c>
      <c r="F68" s="70" t="inlineStr">
        <is>
          <t>Compras</t>
        </is>
      </c>
      <c r="G68" s="66" t="n">
        <v>3.45</v>
      </c>
      <c r="H68" s="172" t="inlineStr">
        <is>
          <t>Não</t>
        </is>
      </c>
      <c r="I68" s="50" t="n"/>
    </row>
    <row r="69">
      <c r="A69" s="40" t="inlineStr">
        <is>
          <t>000375</t>
        </is>
      </c>
      <c r="B69" s="41" t="inlineStr">
        <is>
          <t>ACUCAR SACHE UNIAO</t>
        </is>
      </c>
      <c r="C69" s="42" t="inlineStr">
        <is>
          <t>MC</t>
        </is>
      </c>
      <c r="D69" s="42" t="inlineStr">
        <is>
          <t>CX</t>
        </is>
      </c>
      <c r="E69" s="42" t="inlineStr">
        <is>
          <t>0029</t>
        </is>
      </c>
      <c r="F69" s="70" t="inlineStr">
        <is>
          <t>Compras</t>
        </is>
      </c>
      <c r="G69" s="71" t="n">
        <v>21.318</v>
      </c>
      <c r="H69" s="172" t="inlineStr">
        <is>
          <t>Não</t>
        </is>
      </c>
      <c r="I69" s="49" t="n"/>
    </row>
    <row r="70">
      <c r="A70" s="43" t="inlineStr">
        <is>
          <t>009497</t>
        </is>
      </c>
      <c r="B70" s="44" t="inlineStr">
        <is>
          <t>ADAPTADOR 2P + T BENJAMIN 10A</t>
        </is>
      </c>
      <c r="C70" s="45" t="inlineStr">
        <is>
          <t>MC</t>
        </is>
      </c>
      <c r="D70" s="45" t="inlineStr">
        <is>
          <t>UN</t>
        </is>
      </c>
      <c r="E70" s="45" t="inlineStr">
        <is>
          <t>0132</t>
        </is>
      </c>
      <c r="F70" s="70" t="inlineStr">
        <is>
          <t>Compras</t>
        </is>
      </c>
      <c r="G70" s="69" t="n">
        <v>0</v>
      </c>
      <c r="H70" s="172" t="inlineStr">
        <is>
          <t>Não</t>
        </is>
      </c>
      <c r="I70" s="50" t="n"/>
    </row>
    <row r="71">
      <c r="A71" s="40" t="inlineStr">
        <is>
          <t>009444</t>
        </is>
      </c>
      <c r="B71" s="41" t="inlineStr">
        <is>
          <t>ADAPTADOR C/ FLANGE E ANEL 3/4 X 25MM</t>
        </is>
      </c>
      <c r="C71" s="42" t="inlineStr">
        <is>
          <t>MC</t>
        </is>
      </c>
      <c r="D71" s="42" t="inlineStr">
        <is>
          <t>UN</t>
        </is>
      </c>
      <c r="E71" s="42" t="inlineStr">
        <is>
          <t>0132</t>
        </is>
      </c>
      <c r="F71" s="70" t="inlineStr">
        <is>
          <t>Compras</t>
        </is>
      </c>
      <c r="G71" s="71" t="n">
        <v>3</v>
      </c>
      <c r="H71" s="172" t="inlineStr">
        <is>
          <t>Não</t>
        </is>
      </c>
      <c r="I71" s="49" t="n"/>
    </row>
    <row r="72">
      <c r="A72" s="43" t="inlineStr">
        <is>
          <t>009781</t>
        </is>
      </c>
      <c r="B72" s="44" t="inlineStr">
        <is>
          <t>ADAPTADOR DE INTERNET HUB 4 PORTAS</t>
        </is>
      </c>
      <c r="C72" s="45" t="inlineStr">
        <is>
          <t>MC</t>
        </is>
      </c>
      <c r="D72" s="45" t="inlineStr">
        <is>
          <t>UN</t>
        </is>
      </c>
      <c r="E72" s="45" t="inlineStr">
        <is>
          <t>0006</t>
        </is>
      </c>
      <c r="F72" s="70" t="inlineStr">
        <is>
          <t>Compras</t>
        </is>
      </c>
      <c r="G72" s="69" t="n">
        <v>0</v>
      </c>
      <c r="H72" s="172" t="inlineStr">
        <is>
          <t>Não</t>
        </is>
      </c>
      <c r="I72" s="50" t="n"/>
    </row>
    <row r="73">
      <c r="A73" s="40" t="inlineStr">
        <is>
          <t>009493</t>
        </is>
      </c>
      <c r="B73" s="41" t="inlineStr">
        <is>
          <t>ADAPTADOR DE MANGUEIRA FEMEA</t>
        </is>
      </c>
      <c r="C73" s="42" t="inlineStr">
        <is>
          <t>MC</t>
        </is>
      </c>
      <c r="D73" s="42" t="inlineStr">
        <is>
          <t>UN</t>
        </is>
      </c>
      <c r="E73" s="42" t="inlineStr">
        <is>
          <t>0132</t>
        </is>
      </c>
      <c r="F73" s="70" t="inlineStr">
        <is>
          <t>Compras</t>
        </is>
      </c>
      <c r="G73" s="68" t="n">
        <v>0</v>
      </c>
      <c r="H73" s="172" t="inlineStr">
        <is>
          <t>Não</t>
        </is>
      </c>
      <c r="I73" s="49" t="n"/>
    </row>
    <row r="74">
      <c r="A74" s="43" t="inlineStr">
        <is>
          <t>009355</t>
        </is>
      </c>
      <c r="B74" s="44" t="inlineStr">
        <is>
          <t>ADAPTADOR PARA CONDULETE 03/4</t>
        </is>
      </c>
      <c r="C74" s="45" t="inlineStr">
        <is>
          <t>MC</t>
        </is>
      </c>
      <c r="D74" s="45" t="inlineStr">
        <is>
          <t>UN</t>
        </is>
      </c>
      <c r="E74" s="45" t="inlineStr">
        <is>
          <t>0132</t>
        </is>
      </c>
      <c r="F74" s="70" t="inlineStr">
        <is>
          <t>Compras</t>
        </is>
      </c>
      <c r="G74" s="66" t="n">
        <v>2</v>
      </c>
      <c r="H74" s="172" t="inlineStr">
        <is>
          <t>Não</t>
        </is>
      </c>
      <c r="I74" s="50" t="n"/>
    </row>
    <row r="75">
      <c r="A75" s="40" t="inlineStr">
        <is>
          <t>010127</t>
        </is>
      </c>
      <c r="B75" s="41" t="inlineStr">
        <is>
          <t>ADAPTADOR PARA MANDRIL</t>
        </is>
      </c>
      <c r="C75" s="42" t="inlineStr">
        <is>
          <t>MC</t>
        </is>
      </c>
      <c r="D75" s="42" t="inlineStr">
        <is>
          <t>UN</t>
        </is>
      </c>
      <c r="E75" s="42" t="inlineStr">
        <is>
          <t>0132</t>
        </is>
      </c>
      <c r="F75" s="70" t="inlineStr">
        <is>
          <t>Compras</t>
        </is>
      </c>
      <c r="G75" s="68" t="n">
        <v>0</v>
      </c>
      <c r="H75" s="172" t="inlineStr">
        <is>
          <t>Não</t>
        </is>
      </c>
      <c r="I75" s="49" t="n"/>
    </row>
    <row r="76">
      <c r="A76" s="43" t="inlineStr">
        <is>
          <t>009782</t>
        </is>
      </c>
      <c r="B76" s="44" t="inlineStr">
        <is>
          <t>ADAPTADOR USB INTERNET</t>
        </is>
      </c>
      <c r="C76" s="45" t="inlineStr">
        <is>
          <t>MC</t>
        </is>
      </c>
      <c r="D76" s="45" t="inlineStr">
        <is>
          <t>UN</t>
        </is>
      </c>
      <c r="E76" s="45" t="inlineStr">
        <is>
          <t>0006</t>
        </is>
      </c>
      <c r="F76" s="70" t="inlineStr">
        <is>
          <t>Compras</t>
        </is>
      </c>
      <c r="G76" s="69" t="n">
        <v>0</v>
      </c>
      <c r="H76" s="172" t="inlineStr">
        <is>
          <t>Não</t>
        </is>
      </c>
      <c r="I76" s="50" t="n"/>
    </row>
    <row r="77">
      <c r="A77" s="40" t="inlineStr">
        <is>
          <t>009470</t>
        </is>
      </c>
      <c r="B77" s="41" t="inlineStr">
        <is>
          <t>ADESIVO/COLA PARA PVC 175G</t>
        </is>
      </c>
      <c r="C77" s="42" t="inlineStr">
        <is>
          <t>MC</t>
        </is>
      </c>
      <c r="D77" s="42" t="inlineStr">
        <is>
          <t>UN</t>
        </is>
      </c>
      <c r="E77" s="42" t="inlineStr">
        <is>
          <t>0132</t>
        </is>
      </c>
      <c r="F77" s="70" t="inlineStr">
        <is>
          <t>Compras</t>
        </is>
      </c>
      <c r="G77" s="71" t="n">
        <v>18.569</v>
      </c>
      <c r="H77" s="172" t="inlineStr">
        <is>
          <t>Não</t>
        </is>
      </c>
      <c r="I77" s="49" t="n"/>
    </row>
    <row r="78">
      <c r="A78" s="43" t="inlineStr">
        <is>
          <t>009492</t>
        </is>
      </c>
      <c r="B78" s="44" t="inlineStr">
        <is>
          <t>ADESIVO/COLA PARA PVC 17G</t>
        </is>
      </c>
      <c r="C78" s="45" t="inlineStr">
        <is>
          <t>MC</t>
        </is>
      </c>
      <c r="D78" s="45" t="inlineStr">
        <is>
          <t>UN</t>
        </is>
      </c>
      <c r="E78" s="45" t="inlineStr">
        <is>
          <t>0132</t>
        </is>
      </c>
      <c r="F78" s="70" t="inlineStr">
        <is>
          <t>Compras</t>
        </is>
      </c>
      <c r="G78" s="66" t="n">
        <v>6.5</v>
      </c>
      <c r="H78" s="172" t="inlineStr">
        <is>
          <t>Não</t>
        </is>
      </c>
      <c r="I78" s="50" t="n"/>
    </row>
    <row r="79">
      <c r="A79" s="40" t="inlineStr">
        <is>
          <t>009647</t>
        </is>
      </c>
      <c r="B79" s="41" t="inlineStr">
        <is>
          <t>ADITIVO PLASTIFICANTE PARA ARGAMASSA</t>
        </is>
      </c>
      <c r="C79" s="42" t="inlineStr">
        <is>
          <t>MC</t>
        </is>
      </c>
      <c r="D79" s="42" t="inlineStr">
        <is>
          <t>UN</t>
        </is>
      </c>
      <c r="E79" s="42" t="inlineStr">
        <is>
          <t>0132</t>
        </is>
      </c>
      <c r="F79" s="70" t="inlineStr">
        <is>
          <t>Compras</t>
        </is>
      </c>
      <c r="G79" s="71" t="n">
        <v>95.90000000000001</v>
      </c>
      <c r="H79" s="172" t="inlineStr">
        <is>
          <t>Não</t>
        </is>
      </c>
      <c r="I79" s="49" t="n"/>
    </row>
    <row r="80">
      <c r="A80" s="43" t="inlineStr">
        <is>
          <t>001686</t>
        </is>
      </c>
      <c r="B80" s="44" t="inlineStr">
        <is>
          <t>ADMINISTRA  O DE CARTAO DE CR</t>
        </is>
      </c>
      <c r="C80" s="45" t="inlineStr">
        <is>
          <t>SV</t>
        </is>
      </c>
      <c r="D80" s="45" t="inlineStr">
        <is>
          <t>UN</t>
        </is>
      </c>
      <c r="E80" s="45" t="inlineStr">
        <is>
          <t>(VAZ</t>
        </is>
      </c>
      <c r="F80" s="70" t="inlineStr">
        <is>
          <t>Compras</t>
        </is>
      </c>
      <c r="G80" s="69" t="n">
        <v>0</v>
      </c>
      <c r="H80" s="172" t="inlineStr">
        <is>
          <t>Não</t>
        </is>
      </c>
      <c r="I80" s="50" t="n"/>
    </row>
    <row r="81">
      <c r="A81" s="40" t="inlineStr">
        <is>
          <t>010184</t>
        </is>
      </c>
      <c r="B81" s="41" t="inlineStr">
        <is>
          <t>ADOCANTE LIQUIDO ZERO CAL</t>
        </is>
      </c>
      <c r="C81" s="42" t="inlineStr">
        <is>
          <t>MC</t>
        </is>
      </c>
      <c r="D81" s="42" t="inlineStr">
        <is>
          <t>UN</t>
        </is>
      </c>
      <c r="E81" s="42" t="inlineStr">
        <is>
          <t>0013</t>
        </is>
      </c>
      <c r="F81" s="70" t="inlineStr">
        <is>
          <t>Compras</t>
        </is>
      </c>
      <c r="G81" s="71" t="n">
        <v>14.99</v>
      </c>
      <c r="H81" s="172" t="inlineStr">
        <is>
          <t>Não</t>
        </is>
      </c>
      <c r="I81" s="49" t="n"/>
    </row>
    <row r="82">
      <c r="A82" s="43" t="inlineStr">
        <is>
          <t>000376</t>
        </is>
      </c>
      <c r="B82" s="44" t="inlineStr">
        <is>
          <t>ADOCANTE SACHE GOLD</t>
        </is>
      </c>
      <c r="C82" s="45" t="inlineStr">
        <is>
          <t>MC</t>
        </is>
      </c>
      <c r="D82" s="45" t="inlineStr">
        <is>
          <t>CX</t>
        </is>
      </c>
      <c r="E82" s="45" t="inlineStr">
        <is>
          <t>0029</t>
        </is>
      </c>
      <c r="F82" s="70" t="inlineStr">
        <is>
          <t>Compras</t>
        </is>
      </c>
      <c r="G82" s="66" t="n">
        <v>52.41</v>
      </c>
      <c r="H82" s="172" t="inlineStr">
        <is>
          <t>Não</t>
        </is>
      </c>
      <c r="I82" s="50" t="n"/>
    </row>
    <row r="83">
      <c r="A83" s="40" t="inlineStr">
        <is>
          <t>001690</t>
        </is>
      </c>
      <c r="B83" s="41" t="inlineStr">
        <is>
          <t>ADVOCACIA SOCIEDADE DE PROFISS</t>
        </is>
      </c>
      <c r="C83" s="42" t="inlineStr">
        <is>
          <t>SV</t>
        </is>
      </c>
      <c r="D83" s="42" t="inlineStr">
        <is>
          <t>UN</t>
        </is>
      </c>
      <c r="E83" s="42" t="inlineStr">
        <is>
          <t>(VAZ</t>
        </is>
      </c>
      <c r="F83" s="70" t="inlineStr">
        <is>
          <t>Compras</t>
        </is>
      </c>
      <c r="G83" s="68" t="n">
        <v>0</v>
      </c>
      <c r="H83" s="172" t="inlineStr">
        <is>
          <t>Não</t>
        </is>
      </c>
      <c r="I83" s="49" t="n"/>
    </row>
    <row r="84">
      <c r="A84" s="43" t="inlineStr">
        <is>
          <t>001681</t>
        </is>
      </c>
      <c r="B84" s="44" t="inlineStr">
        <is>
          <t>AEROFOTOGRAMETRIA (INCLUSIVE I</t>
        </is>
      </c>
      <c r="C84" s="45" t="inlineStr">
        <is>
          <t>SV</t>
        </is>
      </c>
      <c r="D84" s="45" t="inlineStr">
        <is>
          <t>UN</t>
        </is>
      </c>
      <c r="E84" s="45" t="inlineStr">
        <is>
          <t>(VAZ</t>
        </is>
      </c>
      <c r="F84" s="70" t="inlineStr">
        <is>
          <t>Compras</t>
        </is>
      </c>
      <c r="G84" s="69" t="n">
        <v>0</v>
      </c>
      <c r="H84" s="172" t="inlineStr">
        <is>
          <t>Não</t>
        </is>
      </c>
      <c r="I84" s="50" t="n"/>
    </row>
    <row r="85">
      <c r="A85" s="40" t="inlineStr">
        <is>
          <t>001668</t>
        </is>
      </c>
      <c r="B85" s="41" t="inlineStr">
        <is>
          <t>AEROFOTOGRAMETRIA,CARTOGRAFIA</t>
        </is>
      </c>
      <c r="C85" s="42" t="inlineStr">
        <is>
          <t>SV</t>
        </is>
      </c>
      <c r="D85" s="42" t="inlineStr">
        <is>
          <t>UN</t>
        </is>
      </c>
      <c r="E85" s="42" t="inlineStr">
        <is>
          <t>(VAZ</t>
        </is>
      </c>
      <c r="F85" s="70" t="inlineStr">
        <is>
          <t>Compras</t>
        </is>
      </c>
      <c r="G85" s="68" t="n">
        <v>0</v>
      </c>
      <c r="H85" s="172" t="inlineStr">
        <is>
          <t>Não</t>
        </is>
      </c>
      <c r="I85" s="49" t="n"/>
    </row>
    <row r="86">
      <c r="A86" s="43" t="inlineStr">
        <is>
          <t>009630</t>
        </is>
      </c>
      <c r="B86" s="44" t="inlineStr">
        <is>
          <t>AGARRAS ESCALADA INFANTIL COLORDAS</t>
        </is>
      </c>
      <c r="C86" s="45" t="inlineStr">
        <is>
          <t>MC</t>
        </is>
      </c>
      <c r="D86" s="45" t="inlineStr">
        <is>
          <t>UN</t>
        </is>
      </c>
      <c r="E86" s="45" t="inlineStr">
        <is>
          <t>0134</t>
        </is>
      </c>
      <c r="F86" s="70" t="inlineStr">
        <is>
          <t>Compras</t>
        </is>
      </c>
      <c r="G86" s="69" t="n">
        <v>0</v>
      </c>
      <c r="H86" s="172" t="inlineStr">
        <is>
          <t>Não</t>
        </is>
      </c>
      <c r="I86" s="50" t="n"/>
    </row>
    <row r="87">
      <c r="A87" s="40" t="inlineStr">
        <is>
          <t>001968</t>
        </is>
      </c>
      <c r="B87" s="41" t="inlineStr">
        <is>
          <t>AGENCIAMENTO E INTERMEDIA  O D</t>
        </is>
      </c>
      <c r="C87" s="42" t="inlineStr">
        <is>
          <t>SV</t>
        </is>
      </c>
      <c r="D87" s="42" t="inlineStr">
        <is>
          <t>UN</t>
        </is>
      </c>
      <c r="E87" s="42" t="inlineStr">
        <is>
          <t>(VAZ</t>
        </is>
      </c>
      <c r="F87" s="70" t="inlineStr">
        <is>
          <t>Compras</t>
        </is>
      </c>
      <c r="G87" s="68" t="n">
        <v>0</v>
      </c>
      <c r="H87" s="172" t="inlineStr">
        <is>
          <t>Não</t>
        </is>
      </c>
      <c r="I87" s="49" t="n"/>
    </row>
    <row r="88">
      <c r="A88" s="43" t="inlineStr">
        <is>
          <t>001466</t>
        </is>
      </c>
      <c r="B88" s="44" t="inlineStr">
        <is>
          <t>AGENCIAMENTO, CORRETAGEM OU IN</t>
        </is>
      </c>
      <c r="C88" s="45" t="inlineStr">
        <is>
          <t>SV</t>
        </is>
      </c>
      <c r="D88" s="45" t="inlineStr">
        <is>
          <t>UN</t>
        </is>
      </c>
      <c r="E88" s="45" t="inlineStr">
        <is>
          <t>(VAZ</t>
        </is>
      </c>
      <c r="F88" s="70" t="inlineStr">
        <is>
          <t>Compras</t>
        </is>
      </c>
      <c r="G88" s="69" t="n">
        <v>0</v>
      </c>
      <c r="H88" s="172" t="inlineStr">
        <is>
          <t>Não</t>
        </is>
      </c>
      <c r="I88" s="50" t="n"/>
    </row>
    <row r="89">
      <c r="A89" s="40" t="inlineStr">
        <is>
          <t>000460</t>
        </is>
      </c>
      <c r="B89" s="41" t="inlineStr">
        <is>
          <t>AGRIAO HIDROPONICO</t>
        </is>
      </c>
      <c r="C89" s="42" t="inlineStr">
        <is>
          <t>MP</t>
        </is>
      </c>
      <c r="D89" s="42" t="inlineStr">
        <is>
          <t>KG</t>
        </is>
      </c>
      <c r="E89" s="42" t="inlineStr">
        <is>
          <t>0036</t>
        </is>
      </c>
      <c r="F89" s="70" t="inlineStr">
        <is>
          <t>Compras</t>
        </is>
      </c>
      <c r="G89" s="71" t="n">
        <v>18.13</v>
      </c>
      <c r="H89" s="172" t="inlineStr">
        <is>
          <t>Não</t>
        </is>
      </c>
      <c r="I89" s="49" t="n"/>
    </row>
    <row r="90">
      <c r="A90" s="43" t="inlineStr">
        <is>
          <t>000334</t>
        </is>
      </c>
      <c r="B90" s="44" t="inlineStr">
        <is>
          <t>AGUA C/ GAS</t>
        </is>
      </c>
      <c r="C90" s="45" t="inlineStr">
        <is>
          <t>ME</t>
        </is>
      </c>
      <c r="D90" s="45" t="inlineStr">
        <is>
          <t>UN</t>
        </is>
      </c>
      <c r="E90" s="45" t="inlineStr">
        <is>
          <t>0021</t>
        </is>
      </c>
      <c r="F90" s="70" t="inlineStr">
        <is>
          <t>Compras</t>
        </is>
      </c>
      <c r="G90" s="66" t="n">
        <v>1.575</v>
      </c>
      <c r="H90" s="172" t="inlineStr">
        <is>
          <t>Não</t>
        </is>
      </c>
      <c r="I90" s="50" t="n"/>
    </row>
    <row r="91">
      <c r="A91" s="40" t="inlineStr">
        <is>
          <t>000890</t>
        </is>
      </c>
      <c r="B91" s="41" t="inlineStr">
        <is>
          <t>AGUA C/ GAS</t>
        </is>
      </c>
      <c r="C91" s="42" t="inlineStr">
        <is>
          <t>MR</t>
        </is>
      </c>
      <c r="D91" s="42" t="inlineStr">
        <is>
          <t>UN</t>
        </is>
      </c>
      <c r="E91" s="42" t="inlineStr">
        <is>
          <t>0088</t>
        </is>
      </c>
      <c r="F91" s="65" t="inlineStr">
        <is>
          <t>Venda</t>
        </is>
      </c>
      <c r="G91" s="68" t="n">
        <v>0</v>
      </c>
      <c r="H91" s="172" t="inlineStr">
        <is>
          <t>Não</t>
        </is>
      </c>
      <c r="I91" s="47" t="inlineStr">
        <is>
          <t>71014</t>
        </is>
      </c>
    </row>
    <row r="92">
      <c r="A92" s="43" t="inlineStr">
        <is>
          <t>002182</t>
        </is>
      </c>
      <c r="B92" s="44" t="inlineStr">
        <is>
          <t>AGUA C/ GAS  RUA</t>
        </is>
      </c>
      <c r="C92" s="45" t="inlineStr">
        <is>
          <t>MR</t>
        </is>
      </c>
      <c r="D92" s="45" t="inlineStr">
        <is>
          <t>UN</t>
        </is>
      </c>
      <c r="E92" s="45" t="inlineStr">
        <is>
          <t>0088</t>
        </is>
      </c>
      <c r="F92" s="65" t="inlineStr">
        <is>
          <t>Venda</t>
        </is>
      </c>
      <c r="G92" s="69" t="n">
        <v>0</v>
      </c>
      <c r="H92" s="172" t="inlineStr">
        <is>
          <t>Não</t>
        </is>
      </c>
      <c r="I92" s="48" t="inlineStr">
        <is>
          <t>78989056877363</t>
        </is>
      </c>
    </row>
    <row r="93">
      <c r="A93" s="40" t="inlineStr">
        <is>
          <t>009577</t>
        </is>
      </c>
      <c r="B93" s="41" t="inlineStr">
        <is>
          <t>AGUA C/ GAS CARNAVAL</t>
        </is>
      </c>
      <c r="C93" s="42" t="inlineStr">
        <is>
          <t>MR</t>
        </is>
      </c>
      <c r="D93" s="42" t="inlineStr">
        <is>
          <t>UN</t>
        </is>
      </c>
      <c r="E93" s="42" t="inlineStr">
        <is>
          <t>0088</t>
        </is>
      </c>
      <c r="F93" s="65" t="inlineStr">
        <is>
          <t>Venda</t>
        </is>
      </c>
      <c r="G93" s="68" t="n">
        <v>0</v>
      </c>
      <c r="H93" s="177" t="inlineStr">
        <is>
          <t>Sim</t>
        </is>
      </c>
      <c r="I93" s="178" t="n"/>
    </row>
    <row r="94">
      <c r="A94" s="43" t="inlineStr">
        <is>
          <t>000892</t>
        </is>
      </c>
      <c r="B94" s="44" t="inlineStr">
        <is>
          <t>AGUA DE COCO</t>
        </is>
      </c>
      <c r="C94" s="45" t="inlineStr">
        <is>
          <t>MR</t>
        </is>
      </c>
      <c r="D94" s="45" t="inlineStr">
        <is>
          <t>UN</t>
        </is>
      </c>
      <c r="E94" s="45" t="inlineStr">
        <is>
          <t>0088</t>
        </is>
      </c>
      <c r="F94" s="65" t="inlineStr">
        <is>
          <t>Venda</t>
        </is>
      </c>
      <c r="G94" s="69" t="n">
        <v>0</v>
      </c>
      <c r="H94" s="172" t="inlineStr">
        <is>
          <t>Não</t>
        </is>
      </c>
      <c r="I94" s="48" t="inlineStr">
        <is>
          <t>71018</t>
        </is>
      </c>
    </row>
    <row r="95">
      <c r="A95" s="40" t="inlineStr">
        <is>
          <t>000380</t>
        </is>
      </c>
      <c r="B95" s="41" t="inlineStr">
        <is>
          <t>AGUA DE COCO 330ML</t>
        </is>
      </c>
      <c r="C95" s="42" t="inlineStr">
        <is>
          <t>ME</t>
        </is>
      </c>
      <c r="D95" s="42" t="inlineStr">
        <is>
          <t>UN</t>
        </is>
      </c>
      <c r="E95" s="42" t="inlineStr">
        <is>
          <t>0021</t>
        </is>
      </c>
      <c r="F95" s="70" t="inlineStr">
        <is>
          <t>Compras</t>
        </is>
      </c>
      <c r="G95" s="71" t="n">
        <v>5.08</v>
      </c>
      <c r="H95" s="172" t="inlineStr">
        <is>
          <t>Não</t>
        </is>
      </c>
      <c r="I95" s="49" t="n"/>
    </row>
    <row r="96">
      <c r="A96" s="43" t="inlineStr">
        <is>
          <t>001993</t>
        </is>
      </c>
      <c r="B96" s="44" t="inlineStr">
        <is>
          <t>AGUA LINDOYA 500ML</t>
        </is>
      </c>
      <c r="C96" s="45" t="inlineStr">
        <is>
          <t>MC</t>
        </is>
      </c>
      <c r="D96" s="45" t="inlineStr">
        <is>
          <t>KG</t>
        </is>
      </c>
      <c r="E96" s="45" t="inlineStr">
        <is>
          <t>0052</t>
        </is>
      </c>
      <c r="F96" s="70" t="inlineStr">
        <is>
          <t>Compras</t>
        </is>
      </c>
      <c r="G96" s="69" t="n">
        <v>0</v>
      </c>
      <c r="H96" s="173" t="inlineStr">
        <is>
          <t>Sim</t>
        </is>
      </c>
      <c r="I96" s="50" t="n"/>
    </row>
    <row r="97">
      <c r="A97" s="40" t="inlineStr">
        <is>
          <t>001375</t>
        </is>
      </c>
      <c r="B97" s="41" t="inlineStr">
        <is>
          <t>AGUA POTAVEL</t>
        </is>
      </c>
      <c r="C97" s="42" t="inlineStr">
        <is>
          <t>MC</t>
        </is>
      </c>
      <c r="D97" s="42" t="inlineStr">
        <is>
          <t>UN</t>
        </is>
      </c>
      <c r="E97" s="42" t="inlineStr">
        <is>
          <t>0136</t>
        </is>
      </c>
      <c r="F97" s="70" t="inlineStr">
        <is>
          <t>Compras</t>
        </is>
      </c>
      <c r="G97" s="71" t="n">
        <v>700</v>
      </c>
      <c r="H97" s="172" t="inlineStr">
        <is>
          <t>Não</t>
        </is>
      </c>
      <c r="I97" s="49" t="n"/>
    </row>
    <row r="98">
      <c r="A98" s="43" t="inlineStr">
        <is>
          <t>000333</t>
        </is>
      </c>
      <c r="B98" s="44" t="inlineStr">
        <is>
          <t>AGUA S/ GAS</t>
        </is>
      </c>
      <c r="C98" s="45" t="inlineStr">
        <is>
          <t>ME</t>
        </is>
      </c>
      <c r="D98" s="45" t="inlineStr">
        <is>
          <t>UN</t>
        </is>
      </c>
      <c r="E98" s="45" t="inlineStr">
        <is>
          <t>0021</t>
        </is>
      </c>
      <c r="F98" s="70" t="inlineStr">
        <is>
          <t>Compras</t>
        </is>
      </c>
      <c r="G98" s="66" t="n">
        <v>1.4417</v>
      </c>
      <c r="H98" s="172" t="inlineStr">
        <is>
          <t>Não</t>
        </is>
      </c>
      <c r="I98" s="50" t="n"/>
    </row>
    <row r="99">
      <c r="A99" s="40" t="inlineStr">
        <is>
          <t>000878</t>
        </is>
      </c>
      <c r="B99" s="41" t="inlineStr">
        <is>
          <t>AGUA S/ GAS</t>
        </is>
      </c>
      <c r="C99" s="42" t="inlineStr">
        <is>
          <t>MR</t>
        </is>
      </c>
      <c r="D99" s="42" t="inlineStr">
        <is>
          <t>UN</t>
        </is>
      </c>
      <c r="E99" s="42" t="inlineStr">
        <is>
          <t>0088</t>
        </is>
      </c>
      <c r="F99" s="65" t="inlineStr">
        <is>
          <t>Venda</t>
        </is>
      </c>
      <c r="G99" s="71" t="n">
        <v>1.595</v>
      </c>
      <c r="H99" s="172" t="inlineStr">
        <is>
          <t>Não</t>
        </is>
      </c>
      <c r="I99" s="47" t="inlineStr">
        <is>
          <t>71001</t>
        </is>
      </c>
    </row>
    <row r="100">
      <c r="A100" s="43" t="inlineStr">
        <is>
          <t>009578</t>
        </is>
      </c>
      <c r="B100" s="44" t="inlineStr">
        <is>
          <t>AGUA S/ GAS CARNAVAL</t>
        </is>
      </c>
      <c r="C100" s="45" t="inlineStr">
        <is>
          <t>MR</t>
        </is>
      </c>
      <c r="D100" s="45" t="inlineStr">
        <is>
          <t>UN</t>
        </is>
      </c>
      <c r="E100" s="45" t="inlineStr">
        <is>
          <t>0088</t>
        </is>
      </c>
      <c r="F100" s="65" t="inlineStr">
        <is>
          <t>Venda</t>
        </is>
      </c>
      <c r="G100" s="69" t="n">
        <v>0</v>
      </c>
      <c r="H100" s="177" t="inlineStr">
        <is>
          <t>Sim</t>
        </is>
      </c>
      <c r="I100" s="178" t="n"/>
    </row>
    <row r="101">
      <c r="A101" s="40" t="inlineStr">
        <is>
          <t>002183</t>
        </is>
      </c>
      <c r="B101" s="41" t="inlineStr">
        <is>
          <t>AGUA S/ GAS RUA</t>
        </is>
      </c>
      <c r="C101" s="42" t="inlineStr">
        <is>
          <t>MR</t>
        </is>
      </c>
      <c r="D101" s="42" t="inlineStr">
        <is>
          <t>UN</t>
        </is>
      </c>
      <c r="E101" s="42" t="inlineStr">
        <is>
          <t>0088</t>
        </is>
      </c>
      <c r="F101" s="65" t="inlineStr">
        <is>
          <t>Venda</t>
        </is>
      </c>
      <c r="G101" s="68" t="n">
        <v>0</v>
      </c>
      <c r="H101" s="172" t="inlineStr">
        <is>
          <t>Não</t>
        </is>
      </c>
      <c r="I101" s="47" t="inlineStr">
        <is>
          <t>78989056877362</t>
        </is>
      </c>
    </row>
    <row r="102">
      <c r="A102" s="43" t="inlineStr">
        <is>
          <t>000103</t>
        </is>
      </c>
      <c r="B102" s="44" t="inlineStr">
        <is>
          <t>AGUA SANITARIA COM 5 LITROS</t>
        </is>
      </c>
      <c r="C102" s="45" t="inlineStr">
        <is>
          <t>MC</t>
        </is>
      </c>
      <c r="D102" s="45" t="inlineStr">
        <is>
          <t>UN</t>
        </is>
      </c>
      <c r="E102" s="45" t="inlineStr">
        <is>
          <t>0075</t>
        </is>
      </c>
      <c r="F102" s="70" t="inlineStr">
        <is>
          <t>Compras</t>
        </is>
      </c>
      <c r="G102" s="66" t="n">
        <v>9.98</v>
      </c>
      <c r="H102" s="172" t="inlineStr">
        <is>
          <t>Não</t>
        </is>
      </c>
      <c r="I102" s="50" t="n"/>
    </row>
    <row r="103">
      <c r="A103" s="40" t="inlineStr">
        <is>
          <t>000879</t>
        </is>
      </c>
      <c r="B103" s="41" t="inlineStr">
        <is>
          <t>AGUA TONICA</t>
        </is>
      </c>
      <c r="C103" s="42" t="inlineStr">
        <is>
          <t>MR</t>
        </is>
      </c>
      <c r="D103" s="42" t="inlineStr">
        <is>
          <t>UN</t>
        </is>
      </c>
      <c r="E103" s="42" t="inlineStr">
        <is>
          <t>0111</t>
        </is>
      </c>
      <c r="F103" s="65" t="inlineStr">
        <is>
          <t>Venda</t>
        </is>
      </c>
      <c r="G103" s="68" t="n">
        <v>0</v>
      </c>
      <c r="H103" s="172" t="inlineStr">
        <is>
          <t>Não</t>
        </is>
      </c>
      <c r="I103" s="47" t="inlineStr">
        <is>
          <t>71002</t>
        </is>
      </c>
    </row>
    <row r="104">
      <c r="A104" s="43" t="inlineStr">
        <is>
          <t>000885</t>
        </is>
      </c>
      <c r="B104" s="44" t="inlineStr">
        <is>
          <t>AGUA TONICA DIET</t>
        </is>
      </c>
      <c r="C104" s="45" t="inlineStr">
        <is>
          <t>MR</t>
        </is>
      </c>
      <c r="D104" s="45" t="inlineStr">
        <is>
          <t>UN</t>
        </is>
      </c>
      <c r="E104" s="45" t="inlineStr">
        <is>
          <t>0111</t>
        </is>
      </c>
      <c r="F104" s="65" t="inlineStr">
        <is>
          <t>Venda</t>
        </is>
      </c>
      <c r="G104" s="69" t="n">
        <v>0</v>
      </c>
      <c r="H104" s="172" t="inlineStr">
        <is>
          <t>Não</t>
        </is>
      </c>
      <c r="I104" s="48" t="inlineStr">
        <is>
          <t>71008</t>
        </is>
      </c>
    </row>
    <row r="105">
      <c r="A105" s="40" t="inlineStr">
        <is>
          <t>001188</t>
        </is>
      </c>
      <c r="B105" s="41" t="inlineStr">
        <is>
          <t>AGUARDENTE DE CANA</t>
        </is>
      </c>
      <c r="C105" s="42" t="inlineStr">
        <is>
          <t>PI</t>
        </is>
      </c>
      <c r="D105" s="42" t="inlineStr">
        <is>
          <t>LT</t>
        </is>
      </c>
      <c r="E105" s="42" t="inlineStr">
        <is>
          <t>0090</t>
        </is>
      </c>
      <c r="F105" s="65" t="inlineStr">
        <is>
          <t>Venda</t>
        </is>
      </c>
      <c r="G105" s="71" t="n">
        <v>12.49</v>
      </c>
      <c r="H105" s="173" t="inlineStr">
        <is>
          <t>Sim</t>
        </is>
      </c>
      <c r="I105" s="49" t="n"/>
    </row>
    <row r="106">
      <c r="A106" s="43" t="inlineStr">
        <is>
          <t>001191</t>
        </is>
      </c>
      <c r="B106" s="44" t="inlineStr">
        <is>
          <t>AGUARDENTE DE CANA OURO</t>
        </is>
      </c>
      <c r="C106" s="45" t="inlineStr">
        <is>
          <t>PI</t>
        </is>
      </c>
      <c r="D106" s="45" t="inlineStr">
        <is>
          <t>LT</t>
        </is>
      </c>
      <c r="E106" s="45" t="inlineStr">
        <is>
          <t>0090</t>
        </is>
      </c>
      <c r="F106" s="65" t="inlineStr">
        <is>
          <t>Venda</t>
        </is>
      </c>
      <c r="G106" s="69" t="n">
        <v>0</v>
      </c>
      <c r="H106" s="173" t="inlineStr">
        <is>
          <t>Sim</t>
        </is>
      </c>
      <c r="I106" s="50" t="n"/>
    </row>
    <row r="107">
      <c r="A107" s="40" t="inlineStr">
        <is>
          <t>001190</t>
        </is>
      </c>
      <c r="B107" s="41" t="inlineStr">
        <is>
          <t>AGUARDENTE DE CANA PRATA</t>
        </is>
      </c>
      <c r="C107" s="42" t="inlineStr">
        <is>
          <t>PI</t>
        </is>
      </c>
      <c r="D107" s="42" t="inlineStr">
        <is>
          <t>LT</t>
        </is>
      </c>
      <c r="E107" s="42" t="inlineStr">
        <is>
          <t>0090</t>
        </is>
      </c>
      <c r="F107" s="65" t="inlineStr">
        <is>
          <t>Venda</t>
        </is>
      </c>
      <c r="G107" s="68" t="n">
        <v>0</v>
      </c>
      <c r="H107" s="173" t="inlineStr">
        <is>
          <t>Sim</t>
        </is>
      </c>
      <c r="I107" s="49" t="n"/>
    </row>
    <row r="108">
      <c r="A108" s="43" t="inlineStr">
        <is>
          <t>002255</t>
        </is>
      </c>
      <c r="B108" s="44" t="inlineStr">
        <is>
          <t>ALCATRA BOVINO BIFE - COMPRAS</t>
        </is>
      </c>
      <c r="C108" s="45" t="inlineStr">
        <is>
          <t>MC</t>
        </is>
      </c>
      <c r="D108" s="45" t="inlineStr">
        <is>
          <t>KG</t>
        </is>
      </c>
      <c r="E108" s="45" t="inlineStr">
        <is>
          <t>0013</t>
        </is>
      </c>
      <c r="F108" s="70" t="inlineStr">
        <is>
          <t>Compras</t>
        </is>
      </c>
      <c r="G108" s="66" t="n">
        <v>54.4</v>
      </c>
      <c r="H108" s="172" t="inlineStr">
        <is>
          <t>Não</t>
        </is>
      </c>
      <c r="I108" s="50" t="n"/>
    </row>
    <row r="109">
      <c r="A109" s="40" t="inlineStr">
        <is>
          <t>000104</t>
        </is>
      </c>
      <c r="B109" s="41" t="inlineStr">
        <is>
          <t>ALCOOL EM GEL BARRICA</t>
        </is>
      </c>
      <c r="C109" s="42" t="inlineStr">
        <is>
          <t>MC</t>
        </is>
      </c>
      <c r="D109" s="42" t="inlineStr">
        <is>
          <t>UN</t>
        </is>
      </c>
      <c r="E109" s="42" t="inlineStr">
        <is>
          <t>0075</t>
        </is>
      </c>
      <c r="F109" s="70" t="inlineStr">
        <is>
          <t>Compras</t>
        </is>
      </c>
      <c r="G109" s="71" t="n">
        <v>79.90000000000001</v>
      </c>
      <c r="H109" s="172" t="inlineStr">
        <is>
          <t>Não</t>
        </is>
      </c>
      <c r="I109" s="49" t="n"/>
    </row>
    <row r="110">
      <c r="A110" s="43" t="inlineStr">
        <is>
          <t>000974</t>
        </is>
      </c>
      <c r="B110" s="44" t="inlineStr">
        <is>
          <t>ALCOOL GEL 70  ANTISEPTICO</t>
        </is>
      </c>
      <c r="C110" s="45" t="inlineStr">
        <is>
          <t>MC</t>
        </is>
      </c>
      <c r="D110" s="45" t="inlineStr">
        <is>
          <t>UN</t>
        </is>
      </c>
      <c r="E110" s="45" t="inlineStr">
        <is>
          <t>0075</t>
        </is>
      </c>
      <c r="F110" s="70" t="inlineStr">
        <is>
          <t>Compras</t>
        </is>
      </c>
      <c r="G110" s="66" t="n">
        <v>6.26</v>
      </c>
      <c r="H110" s="172" t="inlineStr">
        <is>
          <t>Não</t>
        </is>
      </c>
      <c r="I110" s="50" t="n"/>
    </row>
    <row r="111">
      <c r="A111" s="40" t="inlineStr">
        <is>
          <t>000076</t>
        </is>
      </c>
      <c r="B111" s="41" t="inlineStr">
        <is>
          <t>ALCOOL GEL 70% 500G</t>
        </is>
      </c>
      <c r="C111" s="42" t="inlineStr">
        <is>
          <t>MC</t>
        </is>
      </c>
      <c r="D111" s="42" t="inlineStr">
        <is>
          <t>UN</t>
        </is>
      </c>
      <c r="E111" s="42" t="inlineStr">
        <is>
          <t>0074</t>
        </is>
      </c>
      <c r="F111" s="70" t="inlineStr">
        <is>
          <t>Compras</t>
        </is>
      </c>
      <c r="G111" s="71" t="n">
        <v>7.5</v>
      </c>
      <c r="H111" s="173" t="inlineStr">
        <is>
          <t>Sim</t>
        </is>
      </c>
      <c r="I111" s="49" t="n"/>
    </row>
    <row r="112">
      <c r="A112" s="43" t="inlineStr">
        <is>
          <t>000239</t>
        </is>
      </c>
      <c r="B112" s="44" t="inlineStr">
        <is>
          <t>ALCOOL LIQUIDO 70%</t>
        </is>
      </c>
      <c r="C112" s="45" t="inlineStr">
        <is>
          <t>MC</t>
        </is>
      </c>
      <c r="D112" s="45" t="inlineStr">
        <is>
          <t>UN</t>
        </is>
      </c>
      <c r="E112" s="45" t="inlineStr">
        <is>
          <t>0075</t>
        </is>
      </c>
      <c r="F112" s="70" t="inlineStr">
        <is>
          <t>Compras</t>
        </is>
      </c>
      <c r="G112" s="66" t="n">
        <v>7.6666</v>
      </c>
      <c r="H112" s="172" t="inlineStr">
        <is>
          <t>Não</t>
        </is>
      </c>
      <c r="I112" s="50" t="n"/>
    </row>
    <row r="113">
      <c r="A113" s="40" t="inlineStr">
        <is>
          <t>000668</t>
        </is>
      </c>
      <c r="B113" s="41" t="inlineStr">
        <is>
          <t>ALECRIM</t>
        </is>
      </c>
      <c r="C113" s="42" t="inlineStr">
        <is>
          <t>MP</t>
        </is>
      </c>
      <c r="D113" s="42" t="inlineStr">
        <is>
          <t>KG</t>
        </is>
      </c>
      <c r="E113" s="42" t="inlineStr">
        <is>
          <t>0036</t>
        </is>
      </c>
      <c r="F113" s="70" t="inlineStr">
        <is>
          <t>Compras</t>
        </is>
      </c>
      <c r="G113" s="71" t="n">
        <v>91.43000000000001</v>
      </c>
      <c r="H113" s="172" t="inlineStr">
        <is>
          <t>Não</t>
        </is>
      </c>
      <c r="I113" s="49" t="n"/>
    </row>
    <row r="114">
      <c r="A114" s="43" t="inlineStr">
        <is>
          <t>000461</t>
        </is>
      </c>
      <c r="B114" s="44" t="inlineStr">
        <is>
          <t>ALFACE AMERICANA</t>
        </is>
      </c>
      <c r="C114" s="45" t="inlineStr">
        <is>
          <t>MP</t>
        </is>
      </c>
      <c r="D114" s="45" t="inlineStr">
        <is>
          <t>KG</t>
        </is>
      </c>
      <c r="E114" s="45" t="inlineStr">
        <is>
          <t>0036</t>
        </is>
      </c>
      <c r="F114" s="70" t="inlineStr">
        <is>
          <t>Compras</t>
        </is>
      </c>
      <c r="G114" s="66" t="n">
        <v>12.8</v>
      </c>
      <c r="H114" s="172" t="inlineStr">
        <is>
          <t>Não</t>
        </is>
      </c>
      <c r="I114" s="50" t="n"/>
    </row>
    <row r="115">
      <c r="A115" s="40" t="inlineStr">
        <is>
          <t>000462</t>
        </is>
      </c>
      <c r="B115" s="41" t="inlineStr">
        <is>
          <t>ALFACE CRESPA</t>
        </is>
      </c>
      <c r="C115" s="42" t="inlineStr">
        <is>
          <t>MP</t>
        </is>
      </c>
      <c r="D115" s="42" t="inlineStr">
        <is>
          <t>KG</t>
        </is>
      </c>
      <c r="E115" s="42" t="inlineStr">
        <is>
          <t>0036</t>
        </is>
      </c>
      <c r="F115" s="70" t="inlineStr">
        <is>
          <t>Compras</t>
        </is>
      </c>
      <c r="G115" s="71" t="n">
        <v>13.59</v>
      </c>
      <c r="H115" s="172" t="inlineStr">
        <is>
          <t>Não</t>
        </is>
      </c>
      <c r="I115" s="49" t="n"/>
    </row>
    <row r="116">
      <c r="A116" s="43" t="inlineStr">
        <is>
          <t>010229</t>
        </is>
      </c>
      <c r="B116" s="44" t="inlineStr">
        <is>
          <t>ALGODAO HIDROFILO</t>
        </is>
      </c>
      <c r="C116" s="45" t="inlineStr">
        <is>
          <t>MC</t>
        </is>
      </c>
      <c r="D116" s="45" t="inlineStr">
        <is>
          <t>UN</t>
        </is>
      </c>
      <c r="E116" s="45" t="inlineStr">
        <is>
          <t>0145</t>
        </is>
      </c>
      <c r="F116" s="70" t="inlineStr">
        <is>
          <t>Compras</t>
        </is>
      </c>
      <c r="G116" s="69" t="n">
        <v>0</v>
      </c>
      <c r="H116" s="172" t="inlineStr">
        <is>
          <t>Não</t>
        </is>
      </c>
      <c r="I116" s="50" t="n"/>
    </row>
    <row r="117">
      <c r="A117" s="40" t="inlineStr">
        <is>
          <t>000463</t>
        </is>
      </c>
      <c r="B117" s="41" t="inlineStr">
        <is>
          <t>ALHO DESCASCADO</t>
        </is>
      </c>
      <c r="C117" s="42" t="inlineStr">
        <is>
          <t>MP</t>
        </is>
      </c>
      <c r="D117" s="42" t="inlineStr">
        <is>
          <t>KG</t>
        </is>
      </c>
      <c r="E117" s="42" t="inlineStr">
        <is>
          <t>0036</t>
        </is>
      </c>
      <c r="F117" s="70" t="inlineStr">
        <is>
          <t>Compras</t>
        </is>
      </c>
      <c r="G117" s="71" t="n">
        <v>18.99</v>
      </c>
      <c r="H117" s="172" t="inlineStr">
        <is>
          <t>Não</t>
        </is>
      </c>
      <c r="I117" s="49" t="n"/>
    </row>
    <row r="118">
      <c r="A118" s="43" t="inlineStr">
        <is>
          <t>002070</t>
        </is>
      </c>
      <c r="B118" s="44" t="inlineStr">
        <is>
          <t>ALHO PORO</t>
        </is>
      </c>
      <c r="C118" s="45" t="inlineStr">
        <is>
          <t>MP</t>
        </is>
      </c>
      <c r="D118" s="45" t="inlineStr">
        <is>
          <t>KG</t>
        </is>
      </c>
      <c r="E118" s="45" t="inlineStr">
        <is>
          <t>0036</t>
        </is>
      </c>
      <c r="F118" s="70" t="inlineStr">
        <is>
          <t>Compras</t>
        </is>
      </c>
      <c r="G118" s="66" t="n">
        <v>22.22</v>
      </c>
      <c r="H118" s="172" t="inlineStr">
        <is>
          <t>Não</t>
        </is>
      </c>
      <c r="I118" s="50" t="n"/>
    </row>
    <row r="119">
      <c r="A119" s="40" t="inlineStr">
        <is>
          <t>002122</t>
        </is>
      </c>
      <c r="B119" s="41" t="inlineStr">
        <is>
          <t>ALHO PORO COM TOMATE CEREJA</t>
        </is>
      </c>
      <c r="C119" s="42" t="inlineStr">
        <is>
          <t>PA</t>
        </is>
      </c>
      <c r="D119" s="42" t="inlineStr">
        <is>
          <t>UN</t>
        </is>
      </c>
      <c r="E119" s="42" t="inlineStr">
        <is>
          <t>0121</t>
        </is>
      </c>
      <c r="F119" s="65" t="inlineStr">
        <is>
          <t>Venda</t>
        </is>
      </c>
      <c r="G119" s="68" t="n">
        <v>0</v>
      </c>
      <c r="H119" s="172" t="inlineStr">
        <is>
          <t>Não</t>
        </is>
      </c>
      <c r="I119" s="47" t="inlineStr">
        <is>
          <t>78989056877315</t>
        </is>
      </c>
    </row>
    <row r="120">
      <c r="A120" s="43" t="inlineStr">
        <is>
          <t>010330</t>
        </is>
      </c>
      <c r="B120" s="44" t="inlineStr">
        <is>
          <t>ALICATE BOMBA DAGUA 1000V 12"</t>
        </is>
      </c>
      <c r="C120" s="45" t="inlineStr">
        <is>
          <t>MC</t>
        </is>
      </c>
      <c r="D120" s="45" t="inlineStr">
        <is>
          <t>UN</t>
        </is>
      </c>
      <c r="E120" s="45" t="inlineStr">
        <is>
          <t>0132</t>
        </is>
      </c>
      <c r="F120" s="70" t="inlineStr">
        <is>
          <t>Compras</t>
        </is>
      </c>
      <c r="G120" s="66" t="n">
        <v>129</v>
      </c>
      <c r="H120" s="172" t="inlineStr">
        <is>
          <t>Não</t>
        </is>
      </c>
      <c r="I120" s="50" t="n"/>
    </row>
    <row r="121">
      <c r="A121" s="40" t="inlineStr">
        <is>
          <t>009615</t>
        </is>
      </c>
      <c r="B121" s="41" t="inlineStr">
        <is>
          <t>ALICATE DE PRESSAO</t>
        </is>
      </c>
      <c r="C121" s="42" t="inlineStr">
        <is>
          <t>MC</t>
        </is>
      </c>
      <c r="D121" s="42" t="inlineStr">
        <is>
          <t>UN</t>
        </is>
      </c>
      <c r="E121" s="42" t="inlineStr">
        <is>
          <t>0132</t>
        </is>
      </c>
      <c r="F121" s="70" t="inlineStr">
        <is>
          <t>Compras</t>
        </is>
      </c>
      <c r="G121" s="71" t="n">
        <v>29</v>
      </c>
      <c r="H121" s="172" t="inlineStr">
        <is>
          <t>Não</t>
        </is>
      </c>
      <c r="I121" s="49" t="n"/>
    </row>
    <row r="122">
      <c r="A122" s="43" t="inlineStr">
        <is>
          <t>009502</t>
        </is>
      </c>
      <c r="B122" s="44" t="inlineStr">
        <is>
          <t>ALICATE DESCASCADOR CRIMPADOR AUTOM.</t>
        </is>
      </c>
      <c r="C122" s="45" t="inlineStr">
        <is>
          <t>MC</t>
        </is>
      </c>
      <c r="D122" s="45" t="inlineStr">
        <is>
          <t>UN</t>
        </is>
      </c>
      <c r="E122" s="45" t="inlineStr">
        <is>
          <t>0132</t>
        </is>
      </c>
      <c r="F122" s="70" t="inlineStr">
        <is>
          <t>Compras</t>
        </is>
      </c>
      <c r="G122" s="69" t="n">
        <v>0</v>
      </c>
      <c r="H122" s="172" t="inlineStr">
        <is>
          <t>Não</t>
        </is>
      </c>
      <c r="I122" s="50" t="n"/>
    </row>
    <row r="123">
      <c r="A123" s="40" t="inlineStr">
        <is>
          <t>009902</t>
        </is>
      </c>
      <c r="B123" s="41" t="inlineStr">
        <is>
          <t>ALICATE REBITADOR</t>
        </is>
      </c>
      <c r="C123" s="42" t="inlineStr">
        <is>
          <t>MC</t>
        </is>
      </c>
      <c r="D123" s="42" t="inlineStr">
        <is>
          <t>UN</t>
        </is>
      </c>
      <c r="E123" s="42" t="inlineStr">
        <is>
          <t>0132</t>
        </is>
      </c>
      <c r="F123" s="70" t="inlineStr">
        <is>
          <t>Compras</t>
        </is>
      </c>
      <c r="G123" s="71" t="n">
        <v>46.5</v>
      </c>
      <c r="H123" s="172" t="inlineStr">
        <is>
          <t>Não</t>
        </is>
      </c>
      <c r="I123" s="49" t="n"/>
    </row>
    <row r="124">
      <c r="A124" s="43" t="inlineStr">
        <is>
          <t>009980</t>
        </is>
      </c>
      <c r="B124" s="44" t="inlineStr">
        <is>
          <t>ALICATE UNIVERSAL 8 POLEGADAS</t>
        </is>
      </c>
      <c r="C124" s="45" t="inlineStr">
        <is>
          <t>MC</t>
        </is>
      </c>
      <c r="D124" s="45" t="inlineStr">
        <is>
          <t>UN</t>
        </is>
      </c>
      <c r="E124" s="45" t="inlineStr">
        <is>
          <t>0132</t>
        </is>
      </c>
      <c r="F124" s="70" t="inlineStr">
        <is>
          <t>Compras</t>
        </is>
      </c>
      <c r="G124" s="66" t="n">
        <v>41.551</v>
      </c>
      <c r="H124" s="172" t="inlineStr">
        <is>
          <t>Não</t>
        </is>
      </c>
      <c r="I124" s="50" t="n"/>
    </row>
    <row r="125">
      <c r="A125" s="40" t="inlineStr">
        <is>
          <t>001663</t>
        </is>
      </c>
      <c r="B125" s="41" t="inlineStr">
        <is>
          <t>ALIMENTOS</t>
        </is>
      </c>
      <c r="C125" s="42" t="inlineStr">
        <is>
          <t>MR</t>
        </is>
      </c>
      <c r="D125" s="42" t="inlineStr">
        <is>
          <t>UN</t>
        </is>
      </c>
      <c r="E125" s="42" t="inlineStr">
        <is>
          <t>0047</t>
        </is>
      </c>
      <c r="F125" s="65" t="inlineStr">
        <is>
          <t>Venda</t>
        </is>
      </c>
      <c r="G125" s="68" t="n">
        <v>0</v>
      </c>
      <c r="H125" s="177" t="inlineStr">
        <is>
          <t>Sim</t>
        </is>
      </c>
      <c r="I125" s="179" t="n"/>
    </row>
    <row r="126">
      <c r="A126" s="43" t="inlineStr">
        <is>
          <t>000071</t>
        </is>
      </c>
      <c r="B126" s="44" t="inlineStr">
        <is>
          <t>ALIMENTOS - 5102</t>
        </is>
      </c>
      <c r="C126" s="45" t="inlineStr">
        <is>
          <t>OI</t>
        </is>
      </c>
      <c r="D126" s="45" t="inlineStr">
        <is>
          <t>UN</t>
        </is>
      </c>
      <c r="E126" s="45" t="inlineStr">
        <is>
          <t>0107</t>
        </is>
      </c>
      <c r="F126" s="65" t="inlineStr">
        <is>
          <t>Venda</t>
        </is>
      </c>
      <c r="G126" s="69" t="n">
        <v>0</v>
      </c>
      <c r="H126" s="172" t="inlineStr">
        <is>
          <t>Não</t>
        </is>
      </c>
      <c r="I126" s="48" t="inlineStr">
        <is>
          <t>9999999</t>
        </is>
      </c>
    </row>
    <row r="127">
      <c r="A127" s="40" t="inlineStr">
        <is>
          <t>000031</t>
        </is>
      </c>
      <c r="B127" s="41" t="inlineStr">
        <is>
          <t>ALL INCLUSIVE</t>
        </is>
      </c>
      <c r="C127" s="42" t="inlineStr">
        <is>
          <t>OI</t>
        </is>
      </c>
      <c r="D127" s="42" t="inlineStr">
        <is>
          <t>UN</t>
        </is>
      </c>
      <c r="E127" s="42" t="inlineStr">
        <is>
          <t>0130</t>
        </is>
      </c>
      <c r="F127" s="65" t="inlineStr">
        <is>
          <t>Venda</t>
        </is>
      </c>
      <c r="G127" s="68" t="n">
        <v>0</v>
      </c>
      <c r="H127" s="172" t="inlineStr">
        <is>
          <t>Não</t>
        </is>
      </c>
      <c r="I127" s="47" t="inlineStr">
        <is>
          <t>1010102</t>
        </is>
      </c>
    </row>
    <row r="128">
      <c r="A128" s="43" t="inlineStr">
        <is>
          <t>010356</t>
        </is>
      </c>
      <c r="B128" s="44" t="inlineStr">
        <is>
          <t>ALL INCLUSIVE</t>
        </is>
      </c>
      <c r="C128" s="45" t="inlineStr">
        <is>
          <t>OI</t>
        </is>
      </c>
      <c r="D128" s="45" t="inlineStr">
        <is>
          <t>UN</t>
        </is>
      </c>
      <c r="E128" s="45" t="inlineStr">
        <is>
          <t>0130</t>
        </is>
      </c>
      <c r="F128" s="65" t="inlineStr">
        <is>
          <t>Venda</t>
        </is>
      </c>
      <c r="G128" s="69" t="n">
        <v>0</v>
      </c>
      <c r="H128" s="172" t="inlineStr">
        <is>
          <t>Não</t>
        </is>
      </c>
      <c r="I128" s="48" t="inlineStr">
        <is>
          <t>78989056877183</t>
        </is>
      </c>
    </row>
    <row r="129">
      <c r="A129" s="40" t="inlineStr">
        <is>
          <t>000032</t>
        </is>
      </c>
      <c r="B129" s="41" t="inlineStr">
        <is>
          <t>ALL INCLUSIVE KIDS</t>
        </is>
      </c>
      <c r="C129" s="42" t="inlineStr">
        <is>
          <t>OI</t>
        </is>
      </c>
      <c r="D129" s="42" t="inlineStr">
        <is>
          <t>UN</t>
        </is>
      </c>
      <c r="E129" s="42" t="inlineStr">
        <is>
          <t>0130</t>
        </is>
      </c>
      <c r="F129" s="65" t="inlineStr">
        <is>
          <t>Venda</t>
        </is>
      </c>
      <c r="G129" s="68" t="n">
        <v>0</v>
      </c>
      <c r="H129" s="172" t="inlineStr">
        <is>
          <t>Não</t>
        </is>
      </c>
      <c r="I129" s="47" t="inlineStr">
        <is>
          <t>1010103</t>
        </is>
      </c>
    </row>
    <row r="130">
      <c r="A130" s="43" t="inlineStr">
        <is>
          <t>009594</t>
        </is>
      </c>
      <c r="B130" s="44" t="inlineStr">
        <is>
          <t>ALMOCO EXECUTIVO</t>
        </is>
      </c>
      <c r="C130" s="45" t="inlineStr">
        <is>
          <t>PA</t>
        </is>
      </c>
      <c r="D130" s="45" t="inlineStr">
        <is>
          <t>UN</t>
        </is>
      </c>
      <c r="E130" s="45" t="inlineStr">
        <is>
          <t>0092</t>
        </is>
      </c>
      <c r="F130" s="65" t="inlineStr">
        <is>
          <t>Venda</t>
        </is>
      </c>
      <c r="G130" s="69" t="n">
        <v>0</v>
      </c>
      <c r="H130" s="172" t="inlineStr">
        <is>
          <t>Não</t>
        </is>
      </c>
      <c r="I130" s="48" t="inlineStr">
        <is>
          <t>789890568772101</t>
        </is>
      </c>
    </row>
    <row r="131">
      <c r="A131" s="40" t="inlineStr">
        <is>
          <t>000147</t>
        </is>
      </c>
      <c r="B131" s="41" t="inlineStr">
        <is>
          <t>ALMOFADA CARIMBO</t>
        </is>
      </c>
      <c r="C131" s="42" t="inlineStr">
        <is>
          <t>MC</t>
        </is>
      </c>
      <c r="D131" s="42" t="inlineStr">
        <is>
          <t>UN</t>
        </is>
      </c>
      <c r="E131" s="42" t="inlineStr">
        <is>
          <t>0001</t>
        </is>
      </c>
      <c r="F131" s="70" t="inlineStr">
        <is>
          <t>Compras</t>
        </is>
      </c>
      <c r="G131" s="71" t="n">
        <v>36.99</v>
      </c>
      <c r="H131" s="172" t="inlineStr">
        <is>
          <t>Não</t>
        </is>
      </c>
      <c r="I131" s="49" t="n"/>
    </row>
    <row r="132">
      <c r="A132" s="43" t="inlineStr">
        <is>
          <t>009571</t>
        </is>
      </c>
      <c r="B132" s="44" t="inlineStr">
        <is>
          <t>ALUGUEL PJ</t>
        </is>
      </c>
      <c r="C132" s="45" t="inlineStr">
        <is>
          <t>SV</t>
        </is>
      </c>
      <c r="D132" s="45" t="inlineStr">
        <is>
          <t>UN</t>
        </is>
      </c>
      <c r="E132" s="45" t="inlineStr">
        <is>
          <t>(VAZ</t>
        </is>
      </c>
      <c r="F132" s="70" t="inlineStr">
        <is>
          <t>Compras</t>
        </is>
      </c>
      <c r="G132" s="69" t="n">
        <v>0</v>
      </c>
      <c r="H132" s="172" t="inlineStr">
        <is>
          <t>Não</t>
        </is>
      </c>
      <c r="I132" s="50" t="n"/>
    </row>
    <row r="133">
      <c r="A133" s="40" t="inlineStr">
        <is>
          <t>010343</t>
        </is>
      </c>
      <c r="B133" s="41" t="inlineStr">
        <is>
          <t>AMIDO DE MILHO</t>
        </is>
      </c>
      <c r="C133" s="42" t="inlineStr">
        <is>
          <t>MP</t>
        </is>
      </c>
      <c r="D133" s="42" t="inlineStr">
        <is>
          <t>KG</t>
        </is>
      </c>
      <c r="E133" s="42" t="inlineStr">
        <is>
          <t>0029</t>
        </is>
      </c>
      <c r="F133" s="70" t="inlineStr">
        <is>
          <t>Compras</t>
        </is>
      </c>
      <c r="G133" s="68" t="n">
        <v>0</v>
      </c>
      <c r="H133" s="172" t="inlineStr">
        <is>
          <t>Não</t>
        </is>
      </c>
      <c r="I133" s="49" t="n"/>
    </row>
    <row r="134">
      <c r="A134" s="43" t="inlineStr">
        <is>
          <t>000701</t>
        </is>
      </c>
      <c r="B134" s="44" t="inlineStr">
        <is>
          <t>AMOLADOR DE FACA</t>
        </is>
      </c>
      <c r="C134" s="45" t="inlineStr">
        <is>
          <t>MC</t>
        </is>
      </c>
      <c r="D134" s="45" t="inlineStr">
        <is>
          <t>UN</t>
        </is>
      </c>
      <c r="E134" s="45" t="inlineStr">
        <is>
          <t>0080</t>
        </is>
      </c>
      <c r="F134" s="70" t="inlineStr">
        <is>
          <t>Compras</t>
        </is>
      </c>
      <c r="G134" s="66" t="n">
        <v>33</v>
      </c>
      <c r="H134" s="172" t="inlineStr">
        <is>
          <t>Não</t>
        </is>
      </c>
      <c r="I134" s="50" t="n"/>
    </row>
    <row r="135">
      <c r="A135" s="40" t="inlineStr">
        <is>
          <t>001689</t>
        </is>
      </c>
      <c r="B135" s="41" t="inlineStr">
        <is>
          <t>AN LISE E DESENVOLVIMENTO DE S</t>
        </is>
      </c>
      <c r="C135" s="42" t="inlineStr">
        <is>
          <t>SV</t>
        </is>
      </c>
      <c r="D135" s="42" t="inlineStr">
        <is>
          <t>UN</t>
        </is>
      </c>
      <c r="E135" s="42" t="inlineStr">
        <is>
          <t>(VAZ</t>
        </is>
      </c>
      <c r="F135" s="70" t="inlineStr">
        <is>
          <t>Compras</t>
        </is>
      </c>
      <c r="G135" s="68" t="n">
        <v>0</v>
      </c>
      <c r="H135" s="172" t="inlineStr">
        <is>
          <t>Não</t>
        </is>
      </c>
      <c r="I135" s="49" t="n"/>
    </row>
    <row r="136">
      <c r="A136" s="43" t="inlineStr">
        <is>
          <t>002074</t>
        </is>
      </c>
      <c r="B136" s="44" t="inlineStr">
        <is>
          <t>AN LISE E DESENVOLVIMENTO DE S</t>
        </is>
      </c>
      <c r="C136" s="45" t="inlineStr">
        <is>
          <t>SV</t>
        </is>
      </c>
      <c r="D136" s="45" t="inlineStr">
        <is>
          <t>UN</t>
        </is>
      </c>
      <c r="E136" s="45" t="inlineStr">
        <is>
          <t>(VAZ</t>
        </is>
      </c>
      <c r="F136" s="70" t="inlineStr">
        <is>
          <t>Compras</t>
        </is>
      </c>
      <c r="G136" s="69" t="n">
        <v>0</v>
      </c>
      <c r="H136" s="172" t="inlineStr">
        <is>
          <t>Não</t>
        </is>
      </c>
      <c r="I136" s="50" t="n"/>
    </row>
    <row r="137">
      <c r="A137" s="40" t="inlineStr">
        <is>
          <t>002018</t>
        </is>
      </c>
      <c r="B137" s="41" t="inlineStr">
        <is>
          <t>ANALISE, EXAME PESQUISA, COLET</t>
        </is>
      </c>
      <c r="C137" s="42" t="inlineStr">
        <is>
          <t>SV</t>
        </is>
      </c>
      <c r="D137" s="42" t="inlineStr">
        <is>
          <t>UN</t>
        </is>
      </c>
      <c r="E137" s="42" t="inlineStr">
        <is>
          <t>(VAZ</t>
        </is>
      </c>
      <c r="F137" s="70" t="inlineStr">
        <is>
          <t>Compras</t>
        </is>
      </c>
      <c r="G137" s="68" t="n">
        <v>0</v>
      </c>
      <c r="H137" s="172" t="inlineStr">
        <is>
          <t>Não</t>
        </is>
      </c>
      <c r="I137" s="49" t="n"/>
    </row>
    <row r="138">
      <c r="A138" s="43" t="inlineStr">
        <is>
          <t>002020</t>
        </is>
      </c>
      <c r="B138" s="44" t="inlineStr">
        <is>
          <t>ANALISE, EXAME PESQUISA, COLET</t>
        </is>
      </c>
      <c r="C138" s="45" t="inlineStr">
        <is>
          <t>SV</t>
        </is>
      </c>
      <c r="D138" s="45" t="inlineStr">
        <is>
          <t>UN</t>
        </is>
      </c>
      <c r="E138" s="45" t="inlineStr">
        <is>
          <t>(VAZ</t>
        </is>
      </c>
      <c r="F138" s="70" t="inlineStr">
        <is>
          <t>Compras</t>
        </is>
      </c>
      <c r="G138" s="69" t="n">
        <v>0</v>
      </c>
      <c r="H138" s="172" t="inlineStr">
        <is>
          <t>Não</t>
        </is>
      </c>
      <c r="I138" s="50" t="n"/>
    </row>
    <row r="139">
      <c r="A139" s="40" t="inlineStr">
        <is>
          <t>001522</t>
        </is>
      </c>
      <c r="B139" s="41" t="inlineStr">
        <is>
          <t>ANEIS DE CEBOLA 1,05KG</t>
        </is>
      </c>
      <c r="C139" s="42" t="inlineStr">
        <is>
          <t>MP</t>
        </is>
      </c>
      <c r="D139" s="42" t="inlineStr">
        <is>
          <t>KG</t>
        </is>
      </c>
      <c r="E139" s="42" t="inlineStr">
        <is>
          <t>0022</t>
        </is>
      </c>
      <c r="F139" s="70" t="inlineStr">
        <is>
          <t>Compras</t>
        </is>
      </c>
      <c r="G139" s="71" t="n">
        <v>18.3838</v>
      </c>
      <c r="H139" s="172" t="inlineStr">
        <is>
          <t>Não</t>
        </is>
      </c>
      <c r="I139" s="49" t="n"/>
    </row>
    <row r="140">
      <c r="A140" s="43" t="inlineStr">
        <is>
          <t>009570</t>
        </is>
      </c>
      <c r="B140" s="44" t="inlineStr">
        <is>
          <t>ANEIS DE CEBOLA DELIVERY</t>
        </is>
      </c>
      <c r="C140" s="45" t="inlineStr">
        <is>
          <t>PA</t>
        </is>
      </c>
      <c r="D140" s="45" t="inlineStr">
        <is>
          <t>UN</t>
        </is>
      </c>
      <c r="E140" s="45" t="inlineStr">
        <is>
          <t>0121</t>
        </is>
      </c>
      <c r="F140" s="65" t="inlineStr">
        <is>
          <t>Venda</t>
        </is>
      </c>
      <c r="G140" s="69" t="n">
        <v>0</v>
      </c>
      <c r="H140" s="173" t="inlineStr">
        <is>
          <t>Sim</t>
        </is>
      </c>
      <c r="I140" s="48" t="inlineStr">
        <is>
          <t>78989056877329</t>
        </is>
      </c>
    </row>
    <row r="141">
      <c r="A141" s="40" t="inlineStr">
        <is>
          <t>001511</t>
        </is>
      </c>
      <c r="B141" s="41" t="inlineStr">
        <is>
          <t>ANEIS DE CEBOLA PRE-FORMADA</t>
        </is>
      </c>
      <c r="C141" s="42" t="inlineStr">
        <is>
          <t>PA</t>
        </is>
      </c>
      <c r="D141" s="42" t="inlineStr">
        <is>
          <t>UN</t>
        </is>
      </c>
      <c r="E141" s="42" t="inlineStr">
        <is>
          <t>0121</t>
        </is>
      </c>
      <c r="F141" s="65" t="inlineStr">
        <is>
          <t>Venda</t>
        </is>
      </c>
      <c r="G141" s="68" t="n">
        <v>0</v>
      </c>
      <c r="H141" s="172" t="inlineStr">
        <is>
          <t>Não</t>
        </is>
      </c>
      <c r="I141" s="47" t="inlineStr">
        <is>
          <t>78989056877113</t>
        </is>
      </c>
    </row>
    <row r="142">
      <c r="A142" s="43" t="inlineStr">
        <is>
          <t>009614</t>
        </is>
      </c>
      <c r="B142" s="44" t="inlineStr">
        <is>
          <t>ANEL DE VEDACAO PARA REGISTRO</t>
        </is>
      </c>
      <c r="C142" s="45" t="inlineStr">
        <is>
          <t>MC</t>
        </is>
      </c>
      <c r="D142" s="45" t="inlineStr">
        <is>
          <t>UN</t>
        </is>
      </c>
      <c r="E142" s="45" t="inlineStr">
        <is>
          <t>0132</t>
        </is>
      </c>
      <c r="F142" s="70" t="inlineStr">
        <is>
          <t>Compras</t>
        </is>
      </c>
      <c r="G142" s="66" t="n">
        <v>2.5</v>
      </c>
      <c r="H142" s="172" t="inlineStr">
        <is>
          <t>Não</t>
        </is>
      </c>
      <c r="I142" s="50" t="n"/>
    </row>
    <row r="143">
      <c r="A143" s="40" t="inlineStr">
        <is>
          <t>010304</t>
        </is>
      </c>
      <c r="B143" s="41" t="inlineStr">
        <is>
          <t>ANEL DE VEDAÇÃO BORRACHA ESGOTO 100MM 4"</t>
        </is>
      </c>
      <c r="C143" s="42" t="inlineStr">
        <is>
          <t>MC</t>
        </is>
      </c>
      <c r="D143" s="42" t="inlineStr">
        <is>
          <t>UN</t>
        </is>
      </c>
      <c r="E143" s="42" t="inlineStr">
        <is>
          <t>0132</t>
        </is>
      </c>
      <c r="F143" s="70" t="inlineStr">
        <is>
          <t>Compras</t>
        </is>
      </c>
      <c r="G143" s="71" t="n">
        <v>4</v>
      </c>
      <c r="H143" s="172" t="inlineStr">
        <is>
          <t>Não</t>
        </is>
      </c>
      <c r="I143" s="49" t="n"/>
    </row>
    <row r="144">
      <c r="A144" s="43" t="inlineStr">
        <is>
          <t>010303</t>
        </is>
      </c>
      <c r="B144" s="44" t="inlineStr">
        <is>
          <t>ANEL DE VEDAÇÃO BORRACHA ESGOTO 75MM 3"</t>
        </is>
      </c>
      <c r="C144" s="45" t="inlineStr">
        <is>
          <t>MC</t>
        </is>
      </c>
      <c r="D144" s="45" t="inlineStr">
        <is>
          <t>UN</t>
        </is>
      </c>
      <c r="E144" s="45" t="inlineStr">
        <is>
          <t>0132</t>
        </is>
      </c>
      <c r="F144" s="70" t="inlineStr">
        <is>
          <t>Compras</t>
        </is>
      </c>
      <c r="G144" s="66" t="n">
        <v>3</v>
      </c>
      <c r="H144" s="172" t="inlineStr">
        <is>
          <t>Não</t>
        </is>
      </c>
      <c r="I144" s="50" t="n"/>
    </row>
    <row r="145">
      <c r="A145" s="40" t="inlineStr">
        <is>
          <t>001975</t>
        </is>
      </c>
      <c r="B145" s="41" t="inlineStr">
        <is>
          <t>ANGOSTURA 100ML</t>
        </is>
      </c>
      <c r="C145" s="42" t="inlineStr">
        <is>
          <t>MP</t>
        </is>
      </c>
      <c r="D145" s="42" t="inlineStr">
        <is>
          <t>UN</t>
        </is>
      </c>
      <c r="E145" s="42" t="inlineStr">
        <is>
          <t>0137</t>
        </is>
      </c>
      <c r="F145" s="70" t="inlineStr">
        <is>
          <t>Compras</t>
        </is>
      </c>
      <c r="G145" s="71" t="n">
        <v>115.29</v>
      </c>
      <c r="H145" s="172" t="inlineStr">
        <is>
          <t>Não</t>
        </is>
      </c>
      <c r="I145" s="49" t="n"/>
    </row>
    <row r="146">
      <c r="A146" s="43" t="inlineStr">
        <is>
          <t>009947</t>
        </is>
      </c>
      <c r="B146" s="44" t="inlineStr">
        <is>
          <t>ANGOSTURA BITTER 200ML</t>
        </is>
      </c>
      <c r="C146" s="45" t="inlineStr">
        <is>
          <t>MP</t>
        </is>
      </c>
      <c r="D146" s="45" t="inlineStr">
        <is>
          <t>LT</t>
        </is>
      </c>
      <c r="E146" s="45" t="inlineStr">
        <is>
          <t>0137</t>
        </is>
      </c>
      <c r="F146" s="70" t="inlineStr">
        <is>
          <t>Compras</t>
        </is>
      </c>
      <c r="G146" s="66" t="n">
        <v>949.5</v>
      </c>
      <c r="H146" s="172" t="inlineStr">
        <is>
          <t>Não</t>
        </is>
      </c>
      <c r="I146" s="50" t="n"/>
    </row>
    <row r="147">
      <c r="A147" s="40" t="inlineStr">
        <is>
          <t>001176</t>
        </is>
      </c>
      <c r="B147" s="41" t="inlineStr">
        <is>
          <t>ANIS ESTRELADO</t>
        </is>
      </c>
      <c r="C147" s="42" t="inlineStr">
        <is>
          <t>MP</t>
        </is>
      </c>
      <c r="D147" s="42" t="inlineStr">
        <is>
          <t>KG</t>
        </is>
      </c>
      <c r="E147" s="42" t="inlineStr">
        <is>
          <t>0029</t>
        </is>
      </c>
      <c r="F147" s="70" t="inlineStr">
        <is>
          <t>Compras</t>
        </is>
      </c>
      <c r="G147" s="71" t="n">
        <v>79.61</v>
      </c>
      <c r="H147" s="172" t="inlineStr">
        <is>
          <t>Não</t>
        </is>
      </c>
      <c r="I147" s="49" t="n"/>
    </row>
    <row r="148">
      <c r="A148" s="43" t="inlineStr">
        <is>
          <t>009960</t>
        </is>
      </c>
      <c r="B148" s="44" t="inlineStr">
        <is>
          <t>ANTENA NANO HD AP WIFI 5 COM 6 FLUXOS ESPACIAIS</t>
        </is>
      </c>
      <c r="C148" s="45" t="inlineStr">
        <is>
          <t>MC</t>
        </is>
      </c>
      <c r="D148" s="45" t="inlineStr">
        <is>
          <t>UN</t>
        </is>
      </c>
      <c r="E148" s="45" t="inlineStr">
        <is>
          <t>0006</t>
        </is>
      </c>
      <c r="F148" s="70" t="inlineStr">
        <is>
          <t>Compras</t>
        </is>
      </c>
      <c r="G148" s="69" t="n">
        <v>0</v>
      </c>
      <c r="H148" s="172" t="inlineStr">
        <is>
          <t>Não</t>
        </is>
      </c>
      <c r="I148" s="50" t="n"/>
    </row>
    <row r="149">
      <c r="A149" s="40" t="inlineStr">
        <is>
          <t>009632</t>
        </is>
      </c>
      <c r="B149" s="41" t="inlineStr">
        <is>
          <t>ANÉIS DE CEBOLA (EXECUTIVO)</t>
        </is>
      </c>
      <c r="C149" s="42" t="inlineStr">
        <is>
          <t>PA</t>
        </is>
      </c>
      <c r="D149" s="42" t="inlineStr">
        <is>
          <t>UN</t>
        </is>
      </c>
      <c r="E149" s="42" t="inlineStr">
        <is>
          <t>0121</t>
        </is>
      </c>
      <c r="F149" s="65" t="inlineStr">
        <is>
          <t>Venda</t>
        </is>
      </c>
      <c r="G149" s="68" t="n">
        <v>0</v>
      </c>
      <c r="H149" s="172" t="inlineStr">
        <is>
          <t>Não</t>
        </is>
      </c>
      <c r="I149" s="47" t="inlineStr">
        <is>
          <t>789890568772102</t>
        </is>
      </c>
    </row>
    <row r="150">
      <c r="A150" s="43" t="inlineStr">
        <is>
          <t>009562</t>
        </is>
      </c>
      <c r="B150" s="44" t="inlineStr">
        <is>
          <t>APAGADOR DE MADEIRA PARA QUADRO ESCOLAR</t>
        </is>
      </c>
      <c r="C150" s="45" t="inlineStr">
        <is>
          <t>MC</t>
        </is>
      </c>
      <c r="D150" s="45" t="inlineStr">
        <is>
          <t>UN</t>
        </is>
      </c>
      <c r="E150" s="45" t="inlineStr">
        <is>
          <t>0134</t>
        </is>
      </c>
      <c r="F150" s="70" t="inlineStr">
        <is>
          <t>Compras</t>
        </is>
      </c>
      <c r="G150" s="69" t="n">
        <v>0</v>
      </c>
      <c r="H150" s="172" t="inlineStr">
        <is>
          <t>Não</t>
        </is>
      </c>
      <c r="I150" s="50" t="n"/>
    </row>
    <row r="151">
      <c r="A151" s="40" t="inlineStr">
        <is>
          <t>000761</t>
        </is>
      </c>
      <c r="B151" s="41" t="inlineStr">
        <is>
          <t>APARADOR DE MADEIRA</t>
        </is>
      </c>
      <c r="C151" s="42" t="inlineStr">
        <is>
          <t>AI</t>
        </is>
      </c>
      <c r="D151" s="42" t="inlineStr">
        <is>
          <t>UN</t>
        </is>
      </c>
      <c r="E151" s="42" t="inlineStr">
        <is>
          <t>0020</t>
        </is>
      </c>
      <c r="F151" s="70" t="inlineStr">
        <is>
          <t>Compras</t>
        </is>
      </c>
      <c r="G151" s="68" t="n">
        <v>0</v>
      </c>
      <c r="H151" s="172" t="inlineStr">
        <is>
          <t>Não</t>
        </is>
      </c>
      <c r="I151" s="49" t="n"/>
    </row>
    <row r="152">
      <c r="A152" s="43" t="inlineStr">
        <is>
          <t>010215</t>
        </is>
      </c>
      <c r="B152" s="44" t="inlineStr">
        <is>
          <t>APARELHO ELETRICO ALARME</t>
        </is>
      </c>
      <c r="C152" s="45" t="inlineStr">
        <is>
          <t>MC</t>
        </is>
      </c>
      <c r="D152" s="45" t="inlineStr">
        <is>
          <t>UN</t>
        </is>
      </c>
      <c r="E152" s="45" t="inlineStr">
        <is>
          <t>0006</t>
        </is>
      </c>
      <c r="F152" s="70" t="inlineStr">
        <is>
          <t>Compras</t>
        </is>
      </c>
      <c r="G152" s="66" t="n">
        <v>950</v>
      </c>
      <c r="H152" s="172" t="inlineStr">
        <is>
          <t>Não</t>
        </is>
      </c>
      <c r="I152" s="50" t="n"/>
    </row>
    <row r="153">
      <c r="A153" s="40" t="inlineStr">
        <is>
          <t>009945</t>
        </is>
      </c>
      <c r="B153" s="41" t="inlineStr">
        <is>
          <t>APARELHO PARA AFERICAO DE PRESSAO</t>
        </is>
      </c>
      <c r="C153" s="42" t="inlineStr">
        <is>
          <t>MC</t>
        </is>
      </c>
      <c r="D153" s="42" t="inlineStr">
        <is>
          <t>UN</t>
        </is>
      </c>
      <c r="E153" s="42" t="inlineStr">
        <is>
          <t>0145</t>
        </is>
      </c>
      <c r="F153" s="70" t="inlineStr">
        <is>
          <t>Compras</t>
        </is>
      </c>
      <c r="G153" s="71" t="n">
        <v>17.76</v>
      </c>
      <c r="H153" s="172" t="inlineStr">
        <is>
          <t>Não</t>
        </is>
      </c>
      <c r="I153" s="49" t="n"/>
    </row>
    <row r="154">
      <c r="A154" s="43" t="inlineStr">
        <is>
          <t>000337</t>
        </is>
      </c>
      <c r="B154" s="44" t="inlineStr">
        <is>
          <t>APERITIVO APEROL 750ML</t>
        </is>
      </c>
      <c r="C154" s="45" t="inlineStr">
        <is>
          <t>ME</t>
        </is>
      </c>
      <c r="D154" s="45" t="inlineStr">
        <is>
          <t>LT</t>
        </is>
      </c>
      <c r="E154" s="45" t="inlineStr">
        <is>
          <t>0137</t>
        </is>
      </c>
      <c r="F154" s="70" t="inlineStr">
        <is>
          <t>Compras</t>
        </is>
      </c>
      <c r="G154" s="66" t="n">
        <v>55.8693</v>
      </c>
      <c r="H154" s="172" t="inlineStr">
        <is>
          <t>Não</t>
        </is>
      </c>
      <c r="I154" s="50" t="n"/>
    </row>
    <row r="155">
      <c r="A155" s="40" t="inlineStr">
        <is>
          <t>000345</t>
        </is>
      </c>
      <c r="B155" s="41" t="inlineStr">
        <is>
          <t>APERITIVO CAMPARI 998ML</t>
        </is>
      </c>
      <c r="C155" s="42" t="inlineStr">
        <is>
          <t>ME</t>
        </is>
      </c>
      <c r="D155" s="42" t="inlineStr">
        <is>
          <t>LT</t>
        </is>
      </c>
      <c r="E155" s="42" t="inlineStr">
        <is>
          <t>0137</t>
        </is>
      </c>
      <c r="F155" s="70" t="inlineStr">
        <is>
          <t>Compras</t>
        </is>
      </c>
      <c r="G155" s="71" t="n">
        <v>50</v>
      </c>
      <c r="H155" s="172" t="inlineStr">
        <is>
          <t>Não</t>
        </is>
      </c>
      <c r="I155" s="49" t="n"/>
    </row>
    <row r="156">
      <c r="A156" s="43" t="inlineStr">
        <is>
          <t>001029</t>
        </is>
      </c>
      <c r="B156" s="44" t="inlineStr">
        <is>
          <t>APEROL SPRITZ</t>
        </is>
      </c>
      <c r="C156" s="45" t="inlineStr">
        <is>
          <t>PA</t>
        </is>
      </c>
      <c r="D156" s="45" t="inlineStr">
        <is>
          <t>UN</t>
        </is>
      </c>
      <c r="E156" s="45" t="inlineStr">
        <is>
          <t>0103</t>
        </is>
      </c>
      <c r="F156" s="65" t="inlineStr">
        <is>
          <t>Venda</t>
        </is>
      </c>
      <c r="G156" s="69" t="n">
        <v>0</v>
      </c>
      <c r="H156" s="172" t="inlineStr">
        <is>
          <t>Não</t>
        </is>
      </c>
      <c r="I156" s="48" t="inlineStr">
        <is>
          <t>51565</t>
        </is>
      </c>
    </row>
    <row r="157">
      <c r="A157" s="40" t="inlineStr">
        <is>
          <t>002110</t>
        </is>
      </c>
      <c r="B157" s="41" t="inlineStr">
        <is>
          <t>APLICA AO DE REVESTIMENTOS</t>
        </is>
      </c>
      <c r="C157" s="42" t="inlineStr">
        <is>
          <t>SV</t>
        </is>
      </c>
      <c r="D157" s="42" t="inlineStr">
        <is>
          <t>UN</t>
        </is>
      </c>
      <c r="E157" s="42" t="inlineStr">
        <is>
          <t>(VAZ</t>
        </is>
      </c>
      <c r="F157" s="70" t="inlineStr">
        <is>
          <t>Compras</t>
        </is>
      </c>
      <c r="G157" s="68" t="n">
        <v>0</v>
      </c>
      <c r="H157" s="172" t="inlineStr">
        <is>
          <t>Não</t>
        </is>
      </c>
      <c r="I157" s="49" t="n"/>
    </row>
    <row r="158">
      <c r="A158" s="43" t="inlineStr">
        <is>
          <t>009504</t>
        </is>
      </c>
      <c r="B158" s="44" t="inlineStr">
        <is>
          <t>APLICADOR DE SILICONE</t>
        </is>
      </c>
      <c r="C158" s="45" t="inlineStr">
        <is>
          <t>MC</t>
        </is>
      </c>
      <c r="D158" s="45" t="inlineStr">
        <is>
          <t>UN</t>
        </is>
      </c>
      <c r="E158" s="45" t="inlineStr">
        <is>
          <t>0132</t>
        </is>
      </c>
      <c r="F158" s="70" t="inlineStr">
        <is>
          <t>Compras</t>
        </is>
      </c>
      <c r="G158" s="66" t="n">
        <v>48.9</v>
      </c>
      <c r="H158" s="172" t="inlineStr">
        <is>
          <t>Não</t>
        </is>
      </c>
      <c r="I158" s="50" t="n"/>
    </row>
    <row r="159">
      <c r="A159" s="40" t="inlineStr">
        <is>
          <t>002274</t>
        </is>
      </c>
      <c r="B159" s="41" t="inlineStr">
        <is>
          <t>APONTADOR</t>
        </is>
      </c>
      <c r="C159" s="42" t="inlineStr">
        <is>
          <t>MC</t>
        </is>
      </c>
      <c r="D159" s="42" t="inlineStr">
        <is>
          <t>UN</t>
        </is>
      </c>
      <c r="E159" s="42" t="inlineStr">
        <is>
          <t>0001</t>
        </is>
      </c>
      <c r="F159" s="70" t="inlineStr">
        <is>
          <t>Compras</t>
        </is>
      </c>
      <c r="G159" s="68" t="n">
        <v>0</v>
      </c>
      <c r="H159" s="172" t="inlineStr">
        <is>
          <t>Não</t>
        </is>
      </c>
      <c r="I159" s="49" t="n"/>
    </row>
    <row r="160">
      <c r="A160" s="43" t="inlineStr">
        <is>
          <t>000602</t>
        </is>
      </c>
      <c r="B160" s="44" t="inlineStr">
        <is>
          <t>AQUECEDORES</t>
        </is>
      </c>
      <c r="C160" s="45" t="inlineStr">
        <is>
          <t>AI</t>
        </is>
      </c>
      <c r="D160" s="45" t="inlineStr">
        <is>
          <t>UN</t>
        </is>
      </c>
      <c r="E160" s="45" t="inlineStr">
        <is>
          <t>0002</t>
        </is>
      </c>
      <c r="F160" s="70" t="inlineStr">
        <is>
          <t>Compras</t>
        </is>
      </c>
      <c r="G160" s="69" t="n">
        <v>0</v>
      </c>
      <c r="H160" s="172" t="inlineStr">
        <is>
          <t>Não</t>
        </is>
      </c>
      <c r="I160" s="50" t="n"/>
    </row>
    <row r="161">
      <c r="A161" s="40" t="inlineStr">
        <is>
          <t>000658</t>
        </is>
      </c>
      <c r="B161" s="41" t="inlineStr">
        <is>
          <t>AR CONDICIONADO</t>
        </is>
      </c>
      <c r="C161" s="42" t="inlineStr">
        <is>
          <t>AI</t>
        </is>
      </c>
      <c r="D161" s="42" t="inlineStr">
        <is>
          <t>UN</t>
        </is>
      </c>
      <c r="E161" s="42" t="inlineStr">
        <is>
          <t>0002</t>
        </is>
      </c>
      <c r="F161" s="70" t="inlineStr">
        <is>
          <t>Compras</t>
        </is>
      </c>
      <c r="G161" s="71" t="n">
        <v>7185.01</v>
      </c>
      <c r="H161" s="172" t="inlineStr">
        <is>
          <t>Não</t>
        </is>
      </c>
      <c r="I161" s="49" t="n"/>
    </row>
    <row r="162">
      <c r="A162" s="43" t="inlineStr">
        <is>
          <t>002115</t>
        </is>
      </c>
      <c r="B162" s="44" t="inlineStr">
        <is>
          <t>AR CONDICIONADO INVERTER SAMSUNG 48K Q/F AC048DXAD</t>
        </is>
      </c>
      <c r="C162" s="45" t="inlineStr">
        <is>
          <t>AI</t>
        </is>
      </c>
      <c r="D162" s="45" t="inlineStr">
        <is>
          <t>UN</t>
        </is>
      </c>
      <c r="E162" s="45" t="inlineStr">
        <is>
          <t>0002</t>
        </is>
      </c>
      <c r="F162" s="70" t="inlineStr">
        <is>
          <t>Compras</t>
        </is>
      </c>
      <c r="G162" s="66" t="n">
        <v>5765.31</v>
      </c>
      <c r="H162" s="172" t="inlineStr">
        <is>
          <t>Não</t>
        </is>
      </c>
      <c r="I162" s="50" t="n"/>
    </row>
    <row r="163">
      <c r="A163" s="40" t="inlineStr">
        <is>
          <t>009664</t>
        </is>
      </c>
      <c r="B163" s="41" t="inlineStr">
        <is>
          <t>ARAME RECOZIDO</t>
        </is>
      </c>
      <c r="C163" s="42" t="inlineStr">
        <is>
          <t>MC</t>
        </is>
      </c>
      <c r="D163" s="42" t="inlineStr">
        <is>
          <t>KG</t>
        </is>
      </c>
      <c r="E163" s="42" t="inlineStr">
        <is>
          <t>0132</t>
        </is>
      </c>
      <c r="F163" s="70" t="inlineStr">
        <is>
          <t>Compras</t>
        </is>
      </c>
      <c r="G163" s="71" t="n">
        <v>29.8</v>
      </c>
      <c r="H163" s="172" t="inlineStr">
        <is>
          <t>Não</t>
        </is>
      </c>
      <c r="I163" s="49" t="n"/>
    </row>
    <row r="164">
      <c r="A164" s="43" t="inlineStr">
        <is>
          <t>010181</t>
        </is>
      </c>
      <c r="B164" s="44" t="inlineStr">
        <is>
          <t>ARANDELA LED 6500K</t>
        </is>
      </c>
      <c r="C164" s="45" t="inlineStr">
        <is>
          <t>MC</t>
        </is>
      </c>
      <c r="D164" s="45" t="inlineStr">
        <is>
          <t>UN</t>
        </is>
      </c>
      <c r="E164" s="45" t="inlineStr">
        <is>
          <t>0132</t>
        </is>
      </c>
      <c r="F164" s="70" t="inlineStr">
        <is>
          <t>Compras</t>
        </is>
      </c>
      <c r="G164" s="66" t="n">
        <v>95</v>
      </c>
      <c r="H164" s="172" t="inlineStr">
        <is>
          <t>Não</t>
        </is>
      </c>
      <c r="I164" s="50" t="n"/>
    </row>
    <row r="165">
      <c r="A165" s="40" t="inlineStr">
        <is>
          <t>009908</t>
        </is>
      </c>
      <c r="B165" s="41" t="inlineStr">
        <is>
          <t>ARCO DE SERRA 10 POLEGADAS</t>
        </is>
      </c>
      <c r="C165" s="42" t="inlineStr">
        <is>
          <t>MC</t>
        </is>
      </c>
      <c r="D165" s="42" t="inlineStr">
        <is>
          <t>UN</t>
        </is>
      </c>
      <c r="E165" s="42" t="inlineStr">
        <is>
          <t>0132</t>
        </is>
      </c>
      <c r="F165" s="70" t="inlineStr">
        <is>
          <t>Compras</t>
        </is>
      </c>
      <c r="G165" s="71" t="n">
        <v>89.90000000000001</v>
      </c>
      <c r="H165" s="172" t="inlineStr">
        <is>
          <t>Não</t>
        </is>
      </c>
      <c r="I165" s="49" t="n"/>
    </row>
    <row r="166">
      <c r="A166" s="43" t="inlineStr">
        <is>
          <t>009668</t>
        </is>
      </c>
      <c r="B166" s="44" t="inlineStr">
        <is>
          <t>AREIA 50KG</t>
        </is>
      </c>
      <c r="C166" s="45" t="inlineStr">
        <is>
          <t>MC</t>
        </is>
      </c>
      <c r="D166" s="45" t="inlineStr">
        <is>
          <t>UN</t>
        </is>
      </c>
      <c r="E166" s="45" t="inlineStr">
        <is>
          <t>0132</t>
        </is>
      </c>
      <c r="F166" s="70" t="inlineStr">
        <is>
          <t>Compras</t>
        </is>
      </c>
      <c r="G166" s="66" t="n">
        <v>4.809</v>
      </c>
      <c r="H166" s="172" t="inlineStr">
        <is>
          <t>Não</t>
        </is>
      </c>
      <c r="I166" s="50" t="n"/>
    </row>
    <row r="167">
      <c r="A167" s="40" t="inlineStr">
        <is>
          <t>009970</t>
        </is>
      </c>
      <c r="B167" s="41" t="inlineStr">
        <is>
          <t>AREIA MEDIA 20 KG</t>
        </is>
      </c>
      <c r="C167" s="42" t="inlineStr">
        <is>
          <t>MC</t>
        </is>
      </c>
      <c r="D167" s="42" t="inlineStr">
        <is>
          <t>UN</t>
        </is>
      </c>
      <c r="E167" s="42" t="inlineStr">
        <is>
          <t>0132</t>
        </is>
      </c>
      <c r="F167" s="70" t="inlineStr">
        <is>
          <t>Compras</t>
        </is>
      </c>
      <c r="G167" s="71" t="n">
        <v>7.9</v>
      </c>
      <c r="H167" s="172" t="inlineStr">
        <is>
          <t>Não</t>
        </is>
      </c>
      <c r="I167" s="49" t="n"/>
    </row>
    <row r="168">
      <c r="A168" s="43" t="inlineStr">
        <is>
          <t>009310</t>
        </is>
      </c>
      <c r="B168" s="44" t="inlineStr">
        <is>
          <t>ARGAMASSA MULTIUSO BCA 20KG</t>
        </is>
      </c>
      <c r="C168" s="45" t="inlineStr">
        <is>
          <t>MC</t>
        </is>
      </c>
      <c r="D168" s="45" t="inlineStr">
        <is>
          <t>PC</t>
        </is>
      </c>
      <c r="E168" s="45" t="inlineStr">
        <is>
          <t>0132</t>
        </is>
      </c>
      <c r="F168" s="70" t="inlineStr">
        <is>
          <t>Compras</t>
        </is>
      </c>
      <c r="G168" s="66" t="n">
        <v>17.8</v>
      </c>
      <c r="H168" s="172" t="inlineStr">
        <is>
          <t>Não</t>
        </is>
      </c>
      <c r="I168" s="50" t="n"/>
    </row>
    <row r="169">
      <c r="A169" s="40" t="inlineStr">
        <is>
          <t>010382</t>
        </is>
      </c>
      <c r="B169" s="41" t="inlineStr">
        <is>
          <t>ARGAMASSA PISO/PORC EXTERNO CINZA 20KG PL</t>
        </is>
      </c>
      <c r="C169" s="42" t="inlineStr">
        <is>
          <t>MC</t>
        </is>
      </c>
      <c r="D169" s="42" t="inlineStr">
        <is>
          <t>PC</t>
        </is>
      </c>
      <c r="E169" s="42" t="inlineStr">
        <is>
          <t>0132</t>
        </is>
      </c>
      <c r="F169" s="70" t="inlineStr">
        <is>
          <t>Compras</t>
        </is>
      </c>
      <c r="G169" s="68" t="n">
        <v>0</v>
      </c>
      <c r="H169" s="172" t="inlineStr">
        <is>
          <t>Não</t>
        </is>
      </c>
      <c r="I169" s="49" t="n"/>
    </row>
    <row r="170">
      <c r="A170" s="43" t="inlineStr">
        <is>
          <t>000656</t>
        </is>
      </c>
      <c r="B170" s="44" t="inlineStr">
        <is>
          <t>ARMARIO MULTIUSO INOX</t>
        </is>
      </c>
      <c r="C170" s="45" t="inlineStr">
        <is>
          <t>AI</t>
        </is>
      </c>
      <c r="D170" s="45" t="inlineStr">
        <is>
          <t>UN</t>
        </is>
      </c>
      <c r="E170" s="45" t="inlineStr">
        <is>
          <t>0020</t>
        </is>
      </c>
      <c r="F170" s="70" t="inlineStr">
        <is>
          <t>Compras</t>
        </is>
      </c>
      <c r="G170" s="69" t="n">
        <v>0</v>
      </c>
      <c r="H170" s="172" t="inlineStr">
        <is>
          <t>Não</t>
        </is>
      </c>
      <c r="I170" s="50" t="n"/>
    </row>
    <row r="171">
      <c r="A171" s="40" t="inlineStr">
        <is>
          <t>009565</t>
        </is>
      </c>
      <c r="B171" s="41" t="inlineStr">
        <is>
          <t>AROMA CAPIM SANTO GALAO 5LT</t>
        </is>
      </c>
      <c r="C171" s="42" t="inlineStr">
        <is>
          <t>MC</t>
        </is>
      </c>
      <c r="D171" s="42" t="inlineStr">
        <is>
          <t>UN</t>
        </is>
      </c>
      <c r="E171" s="42" t="inlineStr">
        <is>
          <t>0134</t>
        </is>
      </c>
      <c r="F171" s="70" t="inlineStr">
        <is>
          <t>Compras</t>
        </is>
      </c>
      <c r="G171" s="68" t="n">
        <v>0</v>
      </c>
      <c r="H171" s="172" t="inlineStr">
        <is>
          <t>Não</t>
        </is>
      </c>
      <c r="I171" s="49" t="n"/>
    </row>
    <row r="172">
      <c r="A172" s="43" t="inlineStr">
        <is>
          <t>000902</t>
        </is>
      </c>
      <c r="B172" s="44" t="inlineStr">
        <is>
          <t>ARROZ BIRO BIRO</t>
        </is>
      </c>
      <c r="C172" s="45" t="inlineStr">
        <is>
          <t>PA</t>
        </is>
      </c>
      <c r="D172" s="45" t="inlineStr">
        <is>
          <t>UN</t>
        </is>
      </c>
      <c r="E172" s="45" t="inlineStr">
        <is>
          <t>0121</t>
        </is>
      </c>
      <c r="F172" s="65" t="inlineStr">
        <is>
          <t>Venda</t>
        </is>
      </c>
      <c r="G172" s="69" t="n">
        <v>0</v>
      </c>
      <c r="H172" s="172" t="inlineStr">
        <is>
          <t>Não</t>
        </is>
      </c>
      <c r="I172" s="48" t="inlineStr">
        <is>
          <t>800006</t>
        </is>
      </c>
    </row>
    <row r="173">
      <c r="A173" s="40" t="inlineStr">
        <is>
          <t>009638</t>
        </is>
      </c>
      <c r="B173" s="41" t="inlineStr">
        <is>
          <t>ARROZ BIRO BIRO (EXECUTIVO)</t>
        </is>
      </c>
      <c r="C173" s="42" t="inlineStr">
        <is>
          <t>PA</t>
        </is>
      </c>
      <c r="D173" s="42" t="inlineStr">
        <is>
          <t>UN</t>
        </is>
      </c>
      <c r="E173" s="42" t="inlineStr">
        <is>
          <t>0121</t>
        </is>
      </c>
      <c r="F173" s="65" t="inlineStr">
        <is>
          <t>Venda</t>
        </is>
      </c>
      <c r="G173" s="68" t="n">
        <v>0</v>
      </c>
      <c r="H173" s="172" t="inlineStr">
        <is>
          <t>Não</t>
        </is>
      </c>
      <c r="I173" s="47" t="inlineStr">
        <is>
          <t>789890568772108</t>
        </is>
      </c>
    </row>
    <row r="174">
      <c r="A174" s="43" t="inlineStr">
        <is>
          <t>001624</t>
        </is>
      </c>
      <c r="B174" s="44" t="inlineStr">
        <is>
          <t>ARROZ DOCE</t>
        </is>
      </c>
      <c r="C174" s="45" t="inlineStr">
        <is>
          <t>PA</t>
        </is>
      </c>
      <c r="D174" s="45" t="inlineStr">
        <is>
          <t>UN</t>
        </is>
      </c>
      <c r="E174" s="45" t="inlineStr">
        <is>
          <t>0106</t>
        </is>
      </c>
      <c r="F174" s="65" t="inlineStr">
        <is>
          <t>Venda</t>
        </is>
      </c>
      <c r="G174" s="69" t="n">
        <v>0</v>
      </c>
      <c r="H174" s="172" t="inlineStr">
        <is>
          <t>Não</t>
        </is>
      </c>
      <c r="I174" s="48" t="inlineStr">
        <is>
          <t>78989056877167</t>
        </is>
      </c>
    </row>
    <row r="175">
      <c r="A175" s="40" t="inlineStr">
        <is>
          <t>000377</t>
        </is>
      </c>
      <c r="B175" s="41" t="inlineStr">
        <is>
          <t>ARROZ TIPO 1</t>
        </is>
      </c>
      <c r="C175" s="42" t="inlineStr">
        <is>
          <t>MP</t>
        </is>
      </c>
      <c r="D175" s="42" t="inlineStr">
        <is>
          <t>KG</t>
        </is>
      </c>
      <c r="E175" s="42" t="inlineStr">
        <is>
          <t>0029</t>
        </is>
      </c>
      <c r="F175" s="70" t="inlineStr">
        <is>
          <t>Compras</t>
        </is>
      </c>
      <c r="G175" s="71" t="n">
        <v>3.99</v>
      </c>
      <c r="H175" s="172" t="inlineStr">
        <is>
          <t>Não</t>
        </is>
      </c>
      <c r="I175" s="49" t="n"/>
    </row>
    <row r="176">
      <c r="A176" s="43" t="inlineStr">
        <is>
          <t>010180</t>
        </is>
      </c>
      <c r="B176" s="44" t="inlineStr">
        <is>
          <t>ARRUELA ZINCADA 1/2</t>
        </is>
      </c>
      <c r="C176" s="45" t="inlineStr">
        <is>
          <t>MC</t>
        </is>
      </c>
      <c r="D176" s="45" t="inlineStr">
        <is>
          <t>UN</t>
        </is>
      </c>
      <c r="E176" s="45" t="inlineStr">
        <is>
          <t>0132</t>
        </is>
      </c>
      <c r="F176" s="70" t="inlineStr">
        <is>
          <t>Compras</t>
        </is>
      </c>
      <c r="G176" s="66" t="n">
        <v>8</v>
      </c>
      <c r="H176" s="172" t="inlineStr">
        <is>
          <t>Não</t>
        </is>
      </c>
      <c r="I176" s="50" t="n"/>
    </row>
    <row r="177">
      <c r="A177" s="40" t="inlineStr">
        <is>
          <t>010312</t>
        </is>
      </c>
      <c r="B177" s="41" t="inlineStr">
        <is>
          <t>ARRUELA ZINCADA 1/4</t>
        </is>
      </c>
      <c r="C177" s="42" t="inlineStr">
        <is>
          <t>MC</t>
        </is>
      </c>
      <c r="D177" s="42" t="inlineStr">
        <is>
          <t>UN</t>
        </is>
      </c>
      <c r="E177" s="42" t="inlineStr">
        <is>
          <t>0132</t>
        </is>
      </c>
      <c r="F177" s="70" t="inlineStr">
        <is>
          <t>Compras</t>
        </is>
      </c>
      <c r="G177" s="71" t="n">
        <v>0.4</v>
      </c>
      <c r="H177" s="172" t="inlineStr">
        <is>
          <t>Não</t>
        </is>
      </c>
      <c r="I177" s="49" t="n"/>
    </row>
    <row r="178">
      <c r="A178" s="43" t="inlineStr">
        <is>
          <t>010311</t>
        </is>
      </c>
      <c r="B178" s="44" t="inlineStr">
        <is>
          <t>ARRUELA ZINCADA 3/16</t>
        </is>
      </c>
      <c r="C178" s="45" t="inlineStr">
        <is>
          <t>MC</t>
        </is>
      </c>
      <c r="D178" s="45" t="inlineStr">
        <is>
          <t>UN</t>
        </is>
      </c>
      <c r="E178" s="45" t="inlineStr">
        <is>
          <t>0132</t>
        </is>
      </c>
      <c r="F178" s="70" t="inlineStr">
        <is>
          <t>Compras</t>
        </is>
      </c>
      <c r="G178" s="66" t="n">
        <v>0.35</v>
      </c>
      <c r="H178" s="172" t="inlineStr">
        <is>
          <t>Não</t>
        </is>
      </c>
      <c r="I178" s="50" t="n"/>
    </row>
    <row r="179">
      <c r="A179" s="40" t="inlineStr">
        <is>
          <t>010313</t>
        </is>
      </c>
      <c r="B179" s="41" t="inlineStr">
        <is>
          <t>ARRUELA ZINCADA 3/8</t>
        </is>
      </c>
      <c r="C179" s="42" t="inlineStr">
        <is>
          <t>MC</t>
        </is>
      </c>
      <c r="D179" s="42" t="inlineStr">
        <is>
          <t>UN</t>
        </is>
      </c>
      <c r="E179" s="42" t="inlineStr">
        <is>
          <t>0132</t>
        </is>
      </c>
      <c r="F179" s="70" t="inlineStr">
        <is>
          <t>Compras</t>
        </is>
      </c>
      <c r="G179" s="71" t="n">
        <v>0.7</v>
      </c>
      <c r="H179" s="172" t="inlineStr">
        <is>
          <t>Não</t>
        </is>
      </c>
      <c r="I179" s="49" t="n"/>
    </row>
    <row r="180">
      <c r="A180" s="43" t="inlineStr">
        <is>
          <t>010327</t>
        </is>
      </c>
      <c r="B180" s="44" t="inlineStr">
        <is>
          <t>ARRUELA ZINCADA 5/16</t>
        </is>
      </c>
      <c r="C180" s="45" t="inlineStr">
        <is>
          <t>MC</t>
        </is>
      </c>
      <c r="D180" s="45" t="inlineStr">
        <is>
          <t>UN</t>
        </is>
      </c>
      <c r="E180" s="45" t="inlineStr">
        <is>
          <t>0132</t>
        </is>
      </c>
      <c r="F180" s="70" t="inlineStr">
        <is>
          <t>Compras</t>
        </is>
      </c>
      <c r="G180" s="66" t="n">
        <v>0.2</v>
      </c>
      <c r="H180" s="172" t="inlineStr">
        <is>
          <t>Não</t>
        </is>
      </c>
      <c r="I180" s="50" t="n"/>
    </row>
    <row r="181">
      <c r="A181" s="40" t="inlineStr">
        <is>
          <t>001616</t>
        </is>
      </c>
      <c r="B181" s="41" t="inlineStr">
        <is>
          <t>ARTES GRAFICAS, TIPOGRAFICAS,</t>
        </is>
      </c>
      <c r="C181" s="42" t="inlineStr">
        <is>
          <t>SV</t>
        </is>
      </c>
      <c r="D181" s="42" t="inlineStr">
        <is>
          <t>UN</t>
        </is>
      </c>
      <c r="E181" s="42" t="inlineStr">
        <is>
          <t>(VAZ</t>
        </is>
      </c>
      <c r="F181" s="70" t="inlineStr">
        <is>
          <t>Compras</t>
        </is>
      </c>
      <c r="G181" s="68" t="n">
        <v>0</v>
      </c>
      <c r="H181" s="172" t="inlineStr">
        <is>
          <t>Não</t>
        </is>
      </c>
      <c r="I181" s="49" t="n"/>
    </row>
    <row r="182">
      <c r="A182" s="43" t="inlineStr">
        <is>
          <t>000723</t>
        </is>
      </c>
      <c r="B182" s="44" t="inlineStr">
        <is>
          <t>ASSADEIRA</t>
        </is>
      </c>
      <c r="C182" s="45" t="inlineStr">
        <is>
          <t>MC</t>
        </is>
      </c>
      <c r="D182" s="45" t="inlineStr">
        <is>
          <t>UN</t>
        </is>
      </c>
      <c r="E182" s="45" t="inlineStr">
        <is>
          <t>0019</t>
        </is>
      </c>
      <c r="F182" s="70" t="inlineStr">
        <is>
          <t>Compras</t>
        </is>
      </c>
      <c r="G182" s="69" t="n">
        <v>0</v>
      </c>
      <c r="H182" s="173" t="inlineStr">
        <is>
          <t>Sim</t>
        </is>
      </c>
      <c r="I182" s="50" t="n"/>
    </row>
    <row r="183">
      <c r="A183" s="40" t="inlineStr">
        <is>
          <t>000997</t>
        </is>
      </c>
      <c r="B183" s="41" t="inlineStr">
        <is>
          <t>ASSADEIRA ACO INOX C TAMPA VID</t>
        </is>
      </c>
      <c r="C183" s="42" t="inlineStr">
        <is>
          <t>MC</t>
        </is>
      </c>
      <c r="D183" s="42" t="inlineStr">
        <is>
          <t>UN</t>
        </is>
      </c>
      <c r="E183" s="42" t="inlineStr">
        <is>
          <t>0080</t>
        </is>
      </c>
      <c r="F183" s="70" t="inlineStr">
        <is>
          <t>Compras</t>
        </is>
      </c>
      <c r="G183" s="68" t="n">
        <v>0</v>
      </c>
      <c r="H183" s="172" t="inlineStr">
        <is>
          <t>Não</t>
        </is>
      </c>
      <c r="I183" s="49" t="n"/>
    </row>
    <row r="184">
      <c r="A184" s="43" t="inlineStr">
        <is>
          <t>009466</t>
        </is>
      </c>
      <c r="B184" s="44" t="inlineStr">
        <is>
          <t>ASSENTO SANITARIO</t>
        </is>
      </c>
      <c r="C184" s="45" t="inlineStr">
        <is>
          <t>MC</t>
        </is>
      </c>
      <c r="D184" s="45" t="inlineStr">
        <is>
          <t>UN</t>
        </is>
      </c>
      <c r="E184" s="45" t="inlineStr">
        <is>
          <t>0132</t>
        </is>
      </c>
      <c r="F184" s="70" t="inlineStr">
        <is>
          <t>Compras</t>
        </is>
      </c>
      <c r="G184" s="66" t="n">
        <v>40.309</v>
      </c>
      <c r="H184" s="172" t="inlineStr">
        <is>
          <t>Não</t>
        </is>
      </c>
      <c r="I184" s="50" t="n"/>
    </row>
    <row r="185">
      <c r="A185" s="40" t="inlineStr">
        <is>
          <t>010226</t>
        </is>
      </c>
      <c r="B185" s="41" t="inlineStr">
        <is>
          <t>ATADURA CREPE</t>
        </is>
      </c>
      <c r="C185" s="42" t="inlineStr">
        <is>
          <t>MC</t>
        </is>
      </c>
      <c r="D185" s="42" t="inlineStr">
        <is>
          <t>UN</t>
        </is>
      </c>
      <c r="E185" s="42" t="inlineStr">
        <is>
          <t>0145</t>
        </is>
      </c>
      <c r="F185" s="70" t="inlineStr">
        <is>
          <t>Compras</t>
        </is>
      </c>
      <c r="G185" s="68" t="n">
        <v>0</v>
      </c>
      <c r="H185" s="172" t="inlineStr">
        <is>
          <t>Não</t>
        </is>
      </c>
      <c r="I185" s="49" t="n"/>
    </row>
    <row r="186">
      <c r="A186" s="43" t="inlineStr">
        <is>
          <t>000669</t>
        </is>
      </c>
      <c r="B186" s="44" t="inlineStr">
        <is>
          <t>ATUM</t>
        </is>
      </c>
      <c r="C186" s="45" t="inlineStr">
        <is>
          <t>MR</t>
        </is>
      </c>
      <c r="D186" s="45" t="inlineStr">
        <is>
          <t>KG</t>
        </is>
      </c>
      <c r="E186" s="45" t="inlineStr">
        <is>
          <t>0094</t>
        </is>
      </c>
      <c r="F186" s="70" t="inlineStr">
        <is>
          <t>Compras</t>
        </is>
      </c>
      <c r="G186" s="66" t="n">
        <v>6.66</v>
      </c>
      <c r="H186" s="173" t="inlineStr">
        <is>
          <t>Sim</t>
        </is>
      </c>
      <c r="I186" s="50" t="n"/>
    </row>
    <row r="187">
      <c r="A187" s="40" t="inlineStr">
        <is>
          <t>009498</t>
        </is>
      </c>
      <c r="B187" s="41" t="inlineStr">
        <is>
          <t>AUTOTRANSFORMADOR 2000VA BIV SLIM PREMIUM</t>
        </is>
      </c>
      <c r="C187" s="42" t="inlineStr">
        <is>
          <t>MC</t>
        </is>
      </c>
      <c r="D187" s="42" t="inlineStr">
        <is>
          <t>UN</t>
        </is>
      </c>
      <c r="E187" s="42" t="inlineStr">
        <is>
          <t>0132</t>
        </is>
      </c>
      <c r="F187" s="70" t="inlineStr">
        <is>
          <t>Compras</t>
        </is>
      </c>
      <c r="G187" s="68" t="n">
        <v>0</v>
      </c>
      <c r="H187" s="172" t="inlineStr">
        <is>
          <t>Não</t>
        </is>
      </c>
      <c r="I187" s="49" t="n"/>
    </row>
    <row r="188">
      <c r="A188" s="43" t="inlineStr">
        <is>
          <t>001650</t>
        </is>
      </c>
      <c r="B188" s="44" t="inlineStr">
        <is>
          <t>AVARIA CARREGADORES</t>
        </is>
      </c>
      <c r="C188" s="45" t="inlineStr">
        <is>
          <t>SV</t>
        </is>
      </c>
      <c r="D188" s="45" t="inlineStr">
        <is>
          <t>UN</t>
        </is>
      </c>
      <c r="E188" s="45" t="inlineStr">
        <is>
          <t>(VAZ</t>
        </is>
      </c>
      <c r="F188" s="70" t="inlineStr">
        <is>
          <t>Compras</t>
        </is>
      </c>
      <c r="G188" s="66" t="n">
        <v>7.2081</v>
      </c>
      <c r="H188" s="172" t="inlineStr">
        <is>
          <t>Não</t>
        </is>
      </c>
      <c r="I188" s="50" t="n"/>
    </row>
    <row r="189">
      <c r="A189" s="40" t="inlineStr">
        <is>
          <t>001649</t>
        </is>
      </c>
      <c r="B189" s="41" t="inlineStr">
        <is>
          <t>AVARIA EQUIPAMENTO</t>
        </is>
      </c>
      <c r="C189" s="42" t="inlineStr">
        <is>
          <t>SV</t>
        </is>
      </c>
      <c r="D189" s="42" t="inlineStr">
        <is>
          <t>UN</t>
        </is>
      </c>
      <c r="E189" s="42" t="inlineStr">
        <is>
          <t>(VAZ</t>
        </is>
      </c>
      <c r="F189" s="70" t="inlineStr">
        <is>
          <t>Compras</t>
        </is>
      </c>
      <c r="G189" s="68" t="n">
        <v>0</v>
      </c>
      <c r="H189" s="172" t="inlineStr">
        <is>
          <t>Não</t>
        </is>
      </c>
      <c r="I189" s="49" t="n"/>
    </row>
    <row r="190">
      <c r="A190" s="43" t="inlineStr">
        <is>
          <t>000148</t>
        </is>
      </c>
      <c r="B190" s="44" t="inlineStr">
        <is>
          <t>AVENTAL DESCARTAVEL TNT</t>
        </is>
      </c>
      <c r="C190" s="45" t="inlineStr">
        <is>
          <t>MC</t>
        </is>
      </c>
      <c r="D190" s="45" t="inlineStr">
        <is>
          <t>UN</t>
        </is>
      </c>
      <c r="E190" s="45" t="inlineStr">
        <is>
          <t>0075</t>
        </is>
      </c>
      <c r="F190" s="70" t="inlineStr">
        <is>
          <t>Compras</t>
        </is>
      </c>
      <c r="G190" s="66" t="n">
        <v>17.3</v>
      </c>
      <c r="H190" s="172" t="inlineStr">
        <is>
          <t>Não</t>
        </is>
      </c>
      <c r="I190" s="50" t="n"/>
    </row>
    <row r="191">
      <c r="A191" s="40" t="inlineStr">
        <is>
          <t>000185</t>
        </is>
      </c>
      <c r="B191" s="41" t="inlineStr">
        <is>
          <t>AVENTAL FRENTE PRETO-COM LOGO</t>
        </is>
      </c>
      <c r="C191" s="42" t="inlineStr">
        <is>
          <t>MC</t>
        </is>
      </c>
      <c r="D191" s="42" t="inlineStr">
        <is>
          <t>UN</t>
        </is>
      </c>
      <c r="E191" s="42" t="inlineStr">
        <is>
          <t>0017</t>
        </is>
      </c>
      <c r="F191" s="70" t="inlineStr">
        <is>
          <t>Compras</t>
        </is>
      </c>
      <c r="G191" s="71" t="n">
        <v>8.5</v>
      </c>
      <c r="H191" s="172" t="inlineStr">
        <is>
          <t>Não</t>
        </is>
      </c>
      <c r="I191" s="49" t="n"/>
    </row>
    <row r="192">
      <c r="A192" s="43" t="inlineStr">
        <is>
          <t>000181</t>
        </is>
      </c>
      <c r="B192" s="44" t="inlineStr">
        <is>
          <t>AVENTAL MEIA COM LOGO QUINTAL</t>
        </is>
      </c>
      <c r="C192" s="45" t="inlineStr">
        <is>
          <t>MC</t>
        </is>
      </c>
      <c r="D192" s="45" t="inlineStr">
        <is>
          <t>UN</t>
        </is>
      </c>
      <c r="E192" s="45" t="inlineStr">
        <is>
          <t>0017</t>
        </is>
      </c>
      <c r="F192" s="70" t="inlineStr">
        <is>
          <t>Compras</t>
        </is>
      </c>
      <c r="G192" s="66" t="n">
        <v>15.9</v>
      </c>
      <c r="H192" s="172" t="inlineStr">
        <is>
          <t>Não</t>
        </is>
      </c>
      <c r="I192" s="50" t="n"/>
    </row>
    <row r="193">
      <c r="A193" s="40" t="inlineStr">
        <is>
          <t>001378</t>
        </is>
      </c>
      <c r="B193" s="41" t="inlineStr">
        <is>
          <t>AVENTAL TERMICO CA 29046</t>
        </is>
      </c>
      <c r="C193" s="42" t="inlineStr">
        <is>
          <t>MC</t>
        </is>
      </c>
      <c r="D193" s="42" t="inlineStr">
        <is>
          <t>UN</t>
        </is>
      </c>
      <c r="E193" s="42" t="inlineStr">
        <is>
          <t>0017</t>
        </is>
      </c>
      <c r="F193" s="70" t="inlineStr">
        <is>
          <t>Compras</t>
        </is>
      </c>
      <c r="G193" s="71" t="n">
        <v>143</v>
      </c>
      <c r="H193" s="172" t="inlineStr">
        <is>
          <t>Não</t>
        </is>
      </c>
      <c r="I193" s="49" t="n"/>
    </row>
    <row r="194">
      <c r="A194" s="43" t="inlineStr">
        <is>
          <t>000258</t>
        </is>
      </c>
      <c r="B194" s="44" t="inlineStr">
        <is>
          <t>AVENTAL TRANSPARENTE PVC</t>
        </is>
      </c>
      <c r="C194" s="45" t="inlineStr">
        <is>
          <t>MC</t>
        </is>
      </c>
      <c r="D194" s="45" t="inlineStr">
        <is>
          <t>UN</t>
        </is>
      </c>
      <c r="E194" s="45" t="inlineStr">
        <is>
          <t>0075</t>
        </is>
      </c>
      <c r="F194" s="70" t="inlineStr">
        <is>
          <t>Compras</t>
        </is>
      </c>
      <c r="G194" s="66" t="n">
        <v>17.3</v>
      </c>
      <c r="H194" s="172" t="inlineStr">
        <is>
          <t>Não</t>
        </is>
      </c>
      <c r="I194" s="50" t="n"/>
    </row>
    <row r="195">
      <c r="A195" s="40" t="inlineStr">
        <is>
          <t>000378</t>
        </is>
      </c>
      <c r="B195" s="41" t="inlineStr">
        <is>
          <t>AZEITE 250 ML</t>
        </is>
      </c>
      <c r="C195" s="42" t="inlineStr">
        <is>
          <t>MR</t>
        </is>
      </c>
      <c r="D195" s="42" t="inlineStr">
        <is>
          <t>UN</t>
        </is>
      </c>
      <c r="E195" s="42" t="inlineStr">
        <is>
          <t>0029</t>
        </is>
      </c>
      <c r="F195" s="70" t="inlineStr">
        <is>
          <t>Compras</t>
        </is>
      </c>
      <c r="G195" s="71" t="n">
        <v>35.6</v>
      </c>
      <c r="H195" s="173" t="inlineStr">
        <is>
          <t>Sim</t>
        </is>
      </c>
      <c r="I195" s="49" t="n"/>
    </row>
    <row r="196">
      <c r="A196" s="43" t="inlineStr">
        <is>
          <t>001043</t>
        </is>
      </c>
      <c r="B196" s="44" t="inlineStr">
        <is>
          <t>AZEITE 500 ML</t>
        </is>
      </c>
      <c r="C196" s="45" t="inlineStr">
        <is>
          <t>MP</t>
        </is>
      </c>
      <c r="D196" s="45" t="inlineStr">
        <is>
          <t>LT</t>
        </is>
      </c>
      <c r="E196" s="45" t="inlineStr">
        <is>
          <t>0029</t>
        </is>
      </c>
      <c r="F196" s="70" t="inlineStr">
        <is>
          <t>Compras</t>
        </is>
      </c>
      <c r="G196" s="66" t="n">
        <v>59.3</v>
      </c>
      <c r="H196" s="172" t="inlineStr">
        <is>
          <t>Não</t>
        </is>
      </c>
      <c r="I196" s="50" t="n"/>
    </row>
    <row r="197">
      <c r="A197" s="40" t="inlineStr">
        <is>
          <t>010225</t>
        </is>
      </c>
      <c r="B197" s="41" t="inlineStr">
        <is>
          <t>AZEITE DE DENDE</t>
        </is>
      </c>
      <c r="C197" s="42" t="inlineStr">
        <is>
          <t>MP</t>
        </is>
      </c>
      <c r="D197" s="42" t="inlineStr">
        <is>
          <t>LT</t>
        </is>
      </c>
      <c r="E197" s="42" t="inlineStr">
        <is>
          <t>0029</t>
        </is>
      </c>
      <c r="F197" s="70" t="inlineStr">
        <is>
          <t>Compras</t>
        </is>
      </c>
      <c r="G197" s="71" t="n">
        <v>64.8</v>
      </c>
      <c r="H197" s="172" t="inlineStr">
        <is>
          <t>Não</t>
        </is>
      </c>
      <c r="I197" s="49" t="n"/>
    </row>
    <row r="198">
      <c r="A198" s="43" t="inlineStr">
        <is>
          <t>000747</t>
        </is>
      </c>
      <c r="B198" s="44" t="inlineStr">
        <is>
          <t>AZEITE OLEO COMPOSTO 5 LITROS</t>
        </is>
      </c>
      <c r="C198" s="45" t="inlineStr">
        <is>
          <t>MP</t>
        </is>
      </c>
      <c r="D198" s="45" t="inlineStr">
        <is>
          <t>LT</t>
        </is>
      </c>
      <c r="E198" s="45" t="inlineStr">
        <is>
          <t>0029</t>
        </is>
      </c>
      <c r="F198" s="70" t="inlineStr">
        <is>
          <t>Compras</t>
        </is>
      </c>
      <c r="G198" s="66" t="n">
        <v>12.92</v>
      </c>
      <c r="H198" s="172" t="inlineStr">
        <is>
          <t>Não</t>
        </is>
      </c>
      <c r="I198" s="50" t="n"/>
    </row>
    <row r="199">
      <c r="A199" s="40" t="inlineStr">
        <is>
          <t>001003</t>
        </is>
      </c>
      <c r="B199" s="41" t="inlineStr">
        <is>
          <t>AZEITE SACHE</t>
        </is>
      </c>
      <c r="C199" s="42" t="inlineStr">
        <is>
          <t>MC</t>
        </is>
      </c>
      <c r="D199" s="42" t="inlineStr">
        <is>
          <t>CX</t>
        </is>
      </c>
      <c r="E199" s="42" t="inlineStr">
        <is>
          <t>0029</t>
        </is>
      </c>
      <c r="F199" s="70" t="inlineStr">
        <is>
          <t>Compras</t>
        </is>
      </c>
      <c r="G199" s="71" t="n">
        <v>96.90000000000001</v>
      </c>
      <c r="H199" s="172" t="inlineStr">
        <is>
          <t>Não</t>
        </is>
      </c>
      <c r="I199" s="49" t="n"/>
    </row>
    <row r="200">
      <c r="A200" s="43" t="inlineStr">
        <is>
          <t>001996</t>
        </is>
      </c>
      <c r="B200" s="44" t="inlineStr">
        <is>
          <t>AZEITONA</t>
        </is>
      </c>
      <c r="C200" s="45" t="inlineStr">
        <is>
          <t>MR</t>
        </is>
      </c>
      <c r="D200" s="45" t="inlineStr">
        <is>
          <t>UN</t>
        </is>
      </c>
      <c r="E200" s="45" t="inlineStr">
        <is>
          <t>0031</t>
        </is>
      </c>
      <c r="F200" s="70" t="inlineStr">
        <is>
          <t>Compras</t>
        </is>
      </c>
      <c r="G200" s="69" t="n">
        <v>0</v>
      </c>
      <c r="H200" s="173" t="inlineStr">
        <is>
          <t>Sim</t>
        </is>
      </c>
      <c r="I200" s="50" t="n"/>
    </row>
    <row r="201">
      <c r="A201" s="40" t="inlineStr">
        <is>
          <t>001995</t>
        </is>
      </c>
      <c r="B201" s="41" t="inlineStr">
        <is>
          <t>AZEITONA EM CONSERVA BALDE</t>
        </is>
      </c>
      <c r="C201" s="42" t="inlineStr">
        <is>
          <t>MP</t>
        </is>
      </c>
      <c r="D201" s="42" t="inlineStr">
        <is>
          <t>KG</t>
        </is>
      </c>
      <c r="E201" s="42" t="inlineStr">
        <is>
          <t>0029</t>
        </is>
      </c>
      <c r="F201" s="70" t="inlineStr">
        <is>
          <t>Compras</t>
        </is>
      </c>
      <c r="G201" s="71" t="n">
        <v>39.95</v>
      </c>
      <c r="H201" s="172" t="inlineStr">
        <is>
          <t>Não</t>
        </is>
      </c>
      <c r="I201" s="49" t="n"/>
    </row>
    <row r="202">
      <c r="A202" s="43" t="inlineStr">
        <is>
          <t>000426</t>
        </is>
      </c>
      <c r="B202" s="44" t="inlineStr">
        <is>
          <t>BACON EM CUBOS</t>
        </is>
      </c>
      <c r="C202" s="45" t="inlineStr">
        <is>
          <t>MP</t>
        </is>
      </c>
      <c r="D202" s="45" t="inlineStr">
        <is>
          <t>KG</t>
        </is>
      </c>
      <c r="E202" s="45" t="inlineStr">
        <is>
          <t>0025</t>
        </is>
      </c>
      <c r="F202" s="70" t="inlineStr">
        <is>
          <t>Compras</t>
        </is>
      </c>
      <c r="G202" s="66" t="n">
        <v>34.07</v>
      </c>
      <c r="H202" s="172" t="inlineStr">
        <is>
          <t>Não</t>
        </is>
      </c>
      <c r="I202" s="50" t="n"/>
    </row>
    <row r="203">
      <c r="A203" s="40" t="inlineStr">
        <is>
          <t>009487</t>
        </is>
      </c>
      <c r="B203" s="41" t="inlineStr">
        <is>
          <t>BAG MASSA DE SORVETE BAUNILHA 20L</t>
        </is>
      </c>
      <c r="C203" s="42" t="inlineStr">
        <is>
          <t>MP</t>
        </is>
      </c>
      <c r="D203" s="42" t="inlineStr">
        <is>
          <t>LT</t>
        </is>
      </c>
      <c r="E203" s="42" t="inlineStr">
        <is>
          <t>0022</t>
        </is>
      </c>
      <c r="F203" s="70" t="inlineStr">
        <is>
          <t>Compras</t>
        </is>
      </c>
      <c r="G203" s="71" t="n">
        <v>7.645</v>
      </c>
      <c r="H203" s="172" t="inlineStr">
        <is>
          <t>Não</t>
        </is>
      </c>
      <c r="I203" s="49" t="n"/>
    </row>
    <row r="204">
      <c r="A204" s="43" t="inlineStr">
        <is>
          <t>009486</t>
        </is>
      </c>
      <c r="B204" s="44" t="inlineStr">
        <is>
          <t>BAG MASSA DE SORVETE CHOCOLATE 20L</t>
        </is>
      </c>
      <c r="C204" s="45" t="inlineStr">
        <is>
          <t>MP</t>
        </is>
      </c>
      <c r="D204" s="45" t="inlineStr">
        <is>
          <t>LT</t>
        </is>
      </c>
      <c r="E204" s="45" t="inlineStr">
        <is>
          <t>0022</t>
        </is>
      </c>
      <c r="F204" s="70" t="inlineStr">
        <is>
          <t>Compras</t>
        </is>
      </c>
      <c r="G204" s="66" t="n">
        <v>8.494999999999999</v>
      </c>
      <c r="H204" s="172" t="inlineStr">
        <is>
          <t>Não</t>
        </is>
      </c>
      <c r="I204" s="50" t="n"/>
    </row>
    <row r="205">
      <c r="A205" s="40" t="inlineStr">
        <is>
          <t>009763</t>
        </is>
      </c>
      <c r="B205" s="41" t="inlineStr">
        <is>
          <t>BALA BUTTER TOFFES CHOC 53% CACAU SBR PISTACHE</t>
        </is>
      </c>
      <c r="C205" s="42" t="inlineStr">
        <is>
          <t>MC</t>
        </is>
      </c>
      <c r="D205" s="42" t="inlineStr">
        <is>
          <t>UN</t>
        </is>
      </c>
      <c r="E205" s="42" t="inlineStr">
        <is>
          <t>0013</t>
        </is>
      </c>
      <c r="F205" s="70" t="inlineStr">
        <is>
          <t>Compras</t>
        </is>
      </c>
      <c r="G205" s="68" t="n">
        <v>0</v>
      </c>
      <c r="H205" s="172" t="inlineStr">
        <is>
          <t>Não</t>
        </is>
      </c>
      <c r="I205" s="49" t="n"/>
    </row>
    <row r="206">
      <c r="A206" s="43" t="inlineStr">
        <is>
          <t>009707</t>
        </is>
      </c>
      <c r="B206" s="44" t="inlineStr">
        <is>
          <t>BALA DADINHO PCT 600GR</t>
        </is>
      </c>
      <c r="C206" s="45" t="inlineStr">
        <is>
          <t>MC</t>
        </is>
      </c>
      <c r="D206" s="45" t="inlineStr">
        <is>
          <t>UN</t>
        </is>
      </c>
      <c r="E206" s="45" t="inlineStr">
        <is>
          <t>0013</t>
        </is>
      </c>
      <c r="F206" s="70" t="inlineStr">
        <is>
          <t>Compras</t>
        </is>
      </c>
      <c r="G206" s="66" t="n">
        <v>33.3233</v>
      </c>
      <c r="H206" s="172" t="inlineStr">
        <is>
          <t>Não</t>
        </is>
      </c>
      <c r="I206" s="50" t="n"/>
    </row>
    <row r="207">
      <c r="A207" s="40" t="inlineStr">
        <is>
          <t>009704</t>
        </is>
      </c>
      <c r="B207" s="41" t="inlineStr">
        <is>
          <t>BALANCA 10KG</t>
        </is>
      </c>
      <c r="C207" s="42" t="inlineStr">
        <is>
          <t>MC</t>
        </is>
      </c>
      <c r="D207" s="42" t="inlineStr">
        <is>
          <t>UN</t>
        </is>
      </c>
      <c r="E207" s="42" t="inlineStr">
        <is>
          <t>0132</t>
        </is>
      </c>
      <c r="F207" s="70" t="inlineStr">
        <is>
          <t>Compras</t>
        </is>
      </c>
      <c r="G207" s="71" t="n">
        <v>45</v>
      </c>
      <c r="H207" s="172" t="inlineStr">
        <is>
          <t>Não</t>
        </is>
      </c>
      <c r="I207" s="49" t="n"/>
    </row>
    <row r="208">
      <c r="A208" s="43" t="inlineStr">
        <is>
          <t>000673</t>
        </is>
      </c>
      <c r="B208" s="44" t="inlineStr">
        <is>
          <t>BALANCA PISO 300KG</t>
        </is>
      </c>
      <c r="C208" s="45" t="inlineStr">
        <is>
          <t>AI</t>
        </is>
      </c>
      <c r="D208" s="45" t="inlineStr">
        <is>
          <t>UN</t>
        </is>
      </c>
      <c r="E208" s="45" t="inlineStr">
        <is>
          <t>0002</t>
        </is>
      </c>
      <c r="F208" s="70" t="inlineStr">
        <is>
          <t>Compras</t>
        </is>
      </c>
      <c r="G208" s="69" t="n">
        <v>0</v>
      </c>
      <c r="H208" s="172" t="inlineStr">
        <is>
          <t>Não</t>
        </is>
      </c>
      <c r="I208" s="50" t="n"/>
    </row>
    <row r="209">
      <c r="A209" s="40" t="inlineStr">
        <is>
          <t>009380</t>
        </is>
      </c>
      <c r="B209" s="41" t="inlineStr">
        <is>
          <t>BALANCO SENSORIAL NINHO</t>
        </is>
      </c>
      <c r="C209" s="42" t="inlineStr">
        <is>
          <t>MC</t>
        </is>
      </c>
      <c r="D209" s="42" t="inlineStr">
        <is>
          <t>UN</t>
        </is>
      </c>
      <c r="E209" s="42" t="inlineStr">
        <is>
          <t>0134</t>
        </is>
      </c>
      <c r="F209" s="70" t="inlineStr">
        <is>
          <t>Compras</t>
        </is>
      </c>
      <c r="G209" s="71" t="n">
        <v>172</v>
      </c>
      <c r="H209" s="172" t="inlineStr">
        <is>
          <t>Não</t>
        </is>
      </c>
      <c r="I209" s="49" t="n"/>
    </row>
    <row r="210">
      <c r="A210" s="43" t="inlineStr">
        <is>
          <t>001381</t>
        </is>
      </c>
      <c r="B210" s="44" t="inlineStr">
        <is>
          <t>BALCAO DE ATENDIMENTO 60CM</t>
        </is>
      </c>
      <c r="C210" s="45" t="inlineStr">
        <is>
          <t>MC</t>
        </is>
      </c>
      <c r="D210" s="45" t="inlineStr">
        <is>
          <t>UN</t>
        </is>
      </c>
      <c r="E210" s="45" t="inlineStr">
        <is>
          <t>0020</t>
        </is>
      </c>
      <c r="F210" s="70" t="inlineStr">
        <is>
          <t>Compras</t>
        </is>
      </c>
      <c r="G210" s="66" t="n">
        <v>497.28</v>
      </c>
      <c r="H210" s="172" t="inlineStr">
        <is>
          <t>Não</t>
        </is>
      </c>
      <c r="I210" s="50" t="n"/>
    </row>
    <row r="211">
      <c r="A211" s="40" t="inlineStr">
        <is>
          <t>002117</t>
        </is>
      </c>
      <c r="B211" s="41" t="inlineStr">
        <is>
          <t>BALDE BUDWEISER LONG</t>
        </is>
      </c>
      <c r="C211" s="42" t="inlineStr">
        <is>
          <t>PA</t>
        </is>
      </c>
      <c r="D211" s="42" t="inlineStr">
        <is>
          <t>UN</t>
        </is>
      </c>
      <c r="E211" s="42" t="inlineStr">
        <is>
          <t>0093</t>
        </is>
      </c>
      <c r="F211" s="65" t="inlineStr">
        <is>
          <t>Venda</t>
        </is>
      </c>
      <c r="G211" s="68" t="n">
        <v>0</v>
      </c>
      <c r="H211" s="172" t="inlineStr">
        <is>
          <t>Não</t>
        </is>
      </c>
      <c r="I211" s="47" t="inlineStr">
        <is>
          <t>78989056877318</t>
        </is>
      </c>
    </row>
    <row r="212">
      <c r="A212" s="43" t="inlineStr">
        <is>
          <t>002118</t>
        </is>
      </c>
      <c r="B212" s="44" t="inlineStr">
        <is>
          <t>BALDE BUDWEISER ZERO LONG</t>
        </is>
      </c>
      <c r="C212" s="45" t="inlineStr">
        <is>
          <t>PA</t>
        </is>
      </c>
      <c r="D212" s="45" t="inlineStr">
        <is>
          <t>UN</t>
        </is>
      </c>
      <c r="E212" s="45" t="inlineStr">
        <is>
          <t>0093</t>
        </is>
      </c>
      <c r="F212" s="65" t="inlineStr">
        <is>
          <t>Venda</t>
        </is>
      </c>
      <c r="G212" s="69" t="n">
        <v>0</v>
      </c>
      <c r="H212" s="172" t="inlineStr">
        <is>
          <t>Não</t>
        </is>
      </c>
      <c r="I212" s="48" t="inlineStr">
        <is>
          <t>78989056877319</t>
        </is>
      </c>
    </row>
    <row r="213">
      <c r="A213" s="40" t="inlineStr">
        <is>
          <t>002119</t>
        </is>
      </c>
      <c r="B213" s="41" t="inlineStr">
        <is>
          <t>BALDE CORONA ZERO LONG</t>
        </is>
      </c>
      <c r="C213" s="42" t="inlineStr">
        <is>
          <t>PA</t>
        </is>
      </c>
      <c r="D213" s="42" t="inlineStr">
        <is>
          <t>UN</t>
        </is>
      </c>
      <c r="E213" s="42" t="inlineStr">
        <is>
          <t>0093</t>
        </is>
      </c>
      <c r="F213" s="65" t="inlineStr">
        <is>
          <t>Venda</t>
        </is>
      </c>
      <c r="G213" s="68" t="n">
        <v>0</v>
      </c>
      <c r="H213" s="172" t="inlineStr">
        <is>
          <t>Não</t>
        </is>
      </c>
      <c r="I213" s="47" t="inlineStr">
        <is>
          <t>78989056877320</t>
        </is>
      </c>
    </row>
    <row r="214">
      <c r="A214" s="43" t="inlineStr">
        <is>
          <t>002087</t>
        </is>
      </c>
      <c r="B214" s="44" t="inlineStr">
        <is>
          <t>BALDE DE BECKS 600ML</t>
        </is>
      </c>
      <c r="C214" s="45" t="inlineStr">
        <is>
          <t>PA</t>
        </is>
      </c>
      <c r="D214" s="45" t="inlineStr">
        <is>
          <t>UN</t>
        </is>
      </c>
      <c r="E214" s="45" t="inlineStr">
        <is>
          <t>0093</t>
        </is>
      </c>
      <c r="F214" s="65" t="inlineStr">
        <is>
          <t>Venda</t>
        </is>
      </c>
      <c r="G214" s="69" t="n">
        <v>0</v>
      </c>
      <c r="H214" s="172" t="inlineStr">
        <is>
          <t>Não</t>
        </is>
      </c>
      <c r="I214" s="48" t="inlineStr">
        <is>
          <t>78989056877300</t>
        </is>
      </c>
    </row>
    <row r="215">
      <c r="A215" s="40" t="inlineStr">
        <is>
          <t>002090</t>
        </is>
      </c>
      <c r="B215" s="41" t="inlineStr">
        <is>
          <t>BALDE DE BECKS LONG</t>
        </is>
      </c>
      <c r="C215" s="42" t="inlineStr">
        <is>
          <t>PA</t>
        </is>
      </c>
      <c r="D215" s="42" t="inlineStr">
        <is>
          <t>UN</t>
        </is>
      </c>
      <c r="E215" s="42" t="inlineStr">
        <is>
          <t>0093</t>
        </is>
      </c>
      <c r="F215" s="65" t="inlineStr">
        <is>
          <t>Venda</t>
        </is>
      </c>
      <c r="G215" s="68" t="n">
        <v>0</v>
      </c>
      <c r="H215" s="172" t="inlineStr">
        <is>
          <t>Não</t>
        </is>
      </c>
      <c r="I215" s="47" t="inlineStr">
        <is>
          <t>78989056877306</t>
        </is>
      </c>
    </row>
    <row r="216">
      <c r="A216" s="43" t="inlineStr">
        <is>
          <t>000520</t>
        </is>
      </c>
      <c r="B216" s="44" t="inlineStr">
        <is>
          <t>BALDE DE CERVEJA 5 LITROS</t>
        </is>
      </c>
      <c r="C216" s="45" t="inlineStr">
        <is>
          <t>MC</t>
        </is>
      </c>
      <c r="D216" s="45" t="inlineStr">
        <is>
          <t>UN</t>
        </is>
      </c>
      <c r="E216" s="45" t="inlineStr">
        <is>
          <t>0079</t>
        </is>
      </c>
      <c r="F216" s="70" t="inlineStr">
        <is>
          <t>Compras</t>
        </is>
      </c>
      <c r="G216" s="66" t="n">
        <v>96.95999999999999</v>
      </c>
      <c r="H216" s="172" t="inlineStr">
        <is>
          <t>Não</t>
        </is>
      </c>
      <c r="I216" s="50" t="n"/>
    </row>
    <row r="217">
      <c r="A217" s="40" t="inlineStr">
        <is>
          <t>002088</t>
        </is>
      </c>
      <c r="B217" s="41" t="inlineStr">
        <is>
          <t>BALDE DE CORONA 600ML</t>
        </is>
      </c>
      <c r="C217" s="42" t="inlineStr">
        <is>
          <t>PA</t>
        </is>
      </c>
      <c r="D217" s="42" t="inlineStr">
        <is>
          <t>UN</t>
        </is>
      </c>
      <c r="E217" s="42" t="inlineStr">
        <is>
          <t>0093</t>
        </is>
      </c>
      <c r="F217" s="65" t="inlineStr">
        <is>
          <t>Venda</t>
        </is>
      </c>
      <c r="G217" s="68" t="n">
        <v>0</v>
      </c>
      <c r="H217" s="172" t="inlineStr">
        <is>
          <t>Não</t>
        </is>
      </c>
      <c r="I217" s="47" t="inlineStr">
        <is>
          <t>78989056877304</t>
        </is>
      </c>
    </row>
    <row r="218">
      <c r="A218" s="43" t="inlineStr">
        <is>
          <t>002092</t>
        </is>
      </c>
      <c r="B218" s="44" t="inlineStr">
        <is>
          <t>BALDE DE CORONA LONG</t>
        </is>
      </c>
      <c r="C218" s="45" t="inlineStr">
        <is>
          <t>PA</t>
        </is>
      </c>
      <c r="D218" s="45" t="inlineStr">
        <is>
          <t>UN</t>
        </is>
      </c>
      <c r="E218" s="45" t="inlineStr">
        <is>
          <t>0093</t>
        </is>
      </c>
      <c r="F218" s="65" t="inlineStr">
        <is>
          <t>Venda</t>
        </is>
      </c>
      <c r="G218" s="69" t="n">
        <v>0</v>
      </c>
      <c r="H218" s="172" t="inlineStr">
        <is>
          <t>Não</t>
        </is>
      </c>
      <c r="I218" s="48" t="inlineStr">
        <is>
          <t>78989056877308</t>
        </is>
      </c>
    </row>
    <row r="219">
      <c r="A219" s="40" t="inlineStr">
        <is>
          <t>002084</t>
        </is>
      </c>
      <c r="B219" s="41" t="inlineStr">
        <is>
          <t>BALDE DE ORIGINAL 600ML</t>
        </is>
      </c>
      <c r="C219" s="42" t="inlineStr">
        <is>
          <t>PA</t>
        </is>
      </c>
      <c r="D219" s="42" t="inlineStr">
        <is>
          <t>UN</t>
        </is>
      </c>
      <c r="E219" s="42" t="inlineStr">
        <is>
          <t>0093</t>
        </is>
      </c>
      <c r="F219" s="65" t="inlineStr">
        <is>
          <t>Venda</t>
        </is>
      </c>
      <c r="G219" s="68" t="n">
        <v>0</v>
      </c>
      <c r="H219" s="172" t="inlineStr">
        <is>
          <t>Não</t>
        </is>
      </c>
      <c r="I219" s="47" t="inlineStr">
        <is>
          <t>78989056877301</t>
        </is>
      </c>
    </row>
    <row r="220">
      <c r="A220" s="43" t="inlineStr">
        <is>
          <t>002201</t>
        </is>
      </c>
      <c r="B220" s="44" t="inlineStr">
        <is>
          <t>BALDE DE ORIGINAL LATA</t>
        </is>
      </c>
      <c r="C220" s="45" t="inlineStr">
        <is>
          <t>PA</t>
        </is>
      </c>
      <c r="D220" s="45" t="inlineStr">
        <is>
          <t>UN</t>
        </is>
      </c>
      <c r="E220" s="45" t="inlineStr">
        <is>
          <t>0093</t>
        </is>
      </c>
      <c r="F220" s="65" t="inlineStr">
        <is>
          <t>Venda</t>
        </is>
      </c>
      <c r="G220" s="69" t="n">
        <v>0</v>
      </c>
      <c r="H220" s="172" t="inlineStr">
        <is>
          <t>Não</t>
        </is>
      </c>
      <c r="I220" s="48" t="inlineStr">
        <is>
          <t>78989056877354</t>
        </is>
      </c>
    </row>
    <row r="221">
      <c r="A221" s="40" t="inlineStr">
        <is>
          <t>002085</t>
        </is>
      </c>
      <c r="B221" s="41" t="inlineStr">
        <is>
          <t>BALDE DE SPATEN 600ML</t>
        </is>
      </c>
      <c r="C221" s="42" t="inlineStr">
        <is>
          <t>PA</t>
        </is>
      </c>
      <c r="D221" s="42" t="inlineStr">
        <is>
          <t>UN</t>
        </is>
      </c>
      <c r="E221" s="42" t="inlineStr">
        <is>
          <t>0093</t>
        </is>
      </c>
      <c r="F221" s="65" t="inlineStr">
        <is>
          <t>Venda</t>
        </is>
      </c>
      <c r="G221" s="68" t="n">
        <v>0</v>
      </c>
      <c r="H221" s="172" t="inlineStr">
        <is>
          <t>Não</t>
        </is>
      </c>
      <c r="I221" s="47" t="inlineStr">
        <is>
          <t>78989056877302</t>
        </is>
      </c>
    </row>
    <row r="222">
      <c r="A222" s="43" t="inlineStr">
        <is>
          <t>002200</t>
        </is>
      </c>
      <c r="B222" s="44" t="inlineStr">
        <is>
          <t>BALDE DE SPATEN LATA</t>
        </is>
      </c>
      <c r="C222" s="45" t="inlineStr">
        <is>
          <t>PA</t>
        </is>
      </c>
      <c r="D222" s="45" t="inlineStr">
        <is>
          <t>UN</t>
        </is>
      </c>
      <c r="E222" s="45" t="inlineStr">
        <is>
          <t>0093</t>
        </is>
      </c>
      <c r="F222" s="65" t="inlineStr">
        <is>
          <t>Venda</t>
        </is>
      </c>
      <c r="G222" s="69" t="n">
        <v>0</v>
      </c>
      <c r="H222" s="172" t="inlineStr">
        <is>
          <t>Não</t>
        </is>
      </c>
      <c r="I222" s="48" t="inlineStr">
        <is>
          <t>78989056877353</t>
        </is>
      </c>
    </row>
    <row r="223">
      <c r="A223" s="40" t="inlineStr">
        <is>
          <t>002091</t>
        </is>
      </c>
      <c r="B223" s="41" t="inlineStr">
        <is>
          <t>BALDE DE SPATEN LONG</t>
        </is>
      </c>
      <c r="C223" s="42" t="inlineStr">
        <is>
          <t>PA</t>
        </is>
      </c>
      <c r="D223" s="42" t="inlineStr">
        <is>
          <t>UN</t>
        </is>
      </c>
      <c r="E223" s="42" t="inlineStr">
        <is>
          <t>0093</t>
        </is>
      </c>
      <c r="F223" s="65" t="inlineStr">
        <is>
          <t>Venda</t>
        </is>
      </c>
      <c r="G223" s="68" t="n">
        <v>0</v>
      </c>
      <c r="H223" s="172" t="inlineStr">
        <is>
          <t>Não</t>
        </is>
      </c>
      <c r="I223" s="47" t="inlineStr">
        <is>
          <t>78989056877307</t>
        </is>
      </c>
    </row>
    <row r="224">
      <c r="A224" s="43" t="inlineStr">
        <is>
          <t>002086</t>
        </is>
      </c>
      <c r="B224" s="44" t="inlineStr">
        <is>
          <t>BALDE DE STELLA 600ML</t>
        </is>
      </c>
      <c r="C224" s="45" t="inlineStr">
        <is>
          <t>PA</t>
        </is>
      </c>
      <c r="D224" s="45" t="inlineStr">
        <is>
          <t>UN</t>
        </is>
      </c>
      <c r="E224" s="45" t="inlineStr">
        <is>
          <t>0093</t>
        </is>
      </c>
      <c r="F224" s="65" t="inlineStr">
        <is>
          <t>Venda</t>
        </is>
      </c>
      <c r="G224" s="69" t="n">
        <v>0</v>
      </c>
      <c r="H224" s="172" t="inlineStr">
        <is>
          <t>Não</t>
        </is>
      </c>
      <c r="I224" s="48" t="inlineStr">
        <is>
          <t>78989056877303</t>
        </is>
      </c>
    </row>
    <row r="225">
      <c r="A225" s="40" t="inlineStr">
        <is>
          <t>002089</t>
        </is>
      </c>
      <c r="B225" s="41" t="inlineStr">
        <is>
          <t>BALDE DE STELLA LONG</t>
        </is>
      </c>
      <c r="C225" s="42" t="inlineStr">
        <is>
          <t>PA</t>
        </is>
      </c>
      <c r="D225" s="42" t="inlineStr">
        <is>
          <t>UN</t>
        </is>
      </c>
      <c r="E225" s="42" t="inlineStr">
        <is>
          <t>0093</t>
        </is>
      </c>
      <c r="F225" s="65" t="inlineStr">
        <is>
          <t>Venda</t>
        </is>
      </c>
      <c r="G225" s="68" t="n">
        <v>0</v>
      </c>
      <c r="H225" s="172" t="inlineStr">
        <is>
          <t>Não</t>
        </is>
      </c>
      <c r="I225" s="47" t="inlineStr">
        <is>
          <t>78989056877305</t>
        </is>
      </c>
    </row>
    <row r="226">
      <c r="A226" s="43" t="inlineStr">
        <is>
          <t>002241</t>
        </is>
      </c>
      <c r="B226" s="44" t="inlineStr">
        <is>
          <t>BALDE DE STELLA LONG SEM GLUTEN</t>
        </is>
      </c>
      <c r="C226" s="45" t="inlineStr">
        <is>
          <t>PA</t>
        </is>
      </c>
      <c r="D226" s="45" t="inlineStr">
        <is>
          <t>UN</t>
        </is>
      </c>
      <c r="E226" s="45" t="inlineStr">
        <is>
          <t>0093</t>
        </is>
      </c>
      <c r="F226" s="65" t="inlineStr">
        <is>
          <t>Venda</t>
        </is>
      </c>
      <c r="G226" s="69" t="n">
        <v>0</v>
      </c>
      <c r="H226" s="172" t="inlineStr">
        <is>
          <t>Não</t>
        </is>
      </c>
      <c r="I226" s="48" t="inlineStr">
        <is>
          <t>78989956877327</t>
        </is>
      </c>
    </row>
    <row r="227">
      <c r="A227" s="40" t="inlineStr">
        <is>
          <t>009568</t>
        </is>
      </c>
      <c r="B227" s="41" t="inlineStr">
        <is>
          <t>BALDE ORIGINAL PROMOCAO</t>
        </is>
      </c>
      <c r="C227" s="42" t="inlineStr">
        <is>
          <t>PA</t>
        </is>
      </c>
      <c r="D227" s="42" t="inlineStr">
        <is>
          <t>UN</t>
        </is>
      </c>
      <c r="E227" s="42" t="inlineStr">
        <is>
          <t>0093</t>
        </is>
      </c>
      <c r="F227" s="65" t="inlineStr">
        <is>
          <t>Venda</t>
        </is>
      </c>
      <c r="G227" s="68" t="n">
        <v>0</v>
      </c>
      <c r="H227" s="177" t="inlineStr">
        <is>
          <t>Sim</t>
        </is>
      </c>
      <c r="I227" s="178" t="n"/>
    </row>
    <row r="228">
      <c r="A228" s="43" t="inlineStr">
        <is>
          <t>000534</t>
        </is>
      </c>
      <c r="B228" s="44" t="inlineStr">
        <is>
          <t>BALDE PARA GELO INOX</t>
        </is>
      </c>
      <c r="C228" s="45" t="inlineStr">
        <is>
          <t>MC</t>
        </is>
      </c>
      <c r="D228" s="45" t="inlineStr">
        <is>
          <t>UN</t>
        </is>
      </c>
      <c r="E228" s="45" t="inlineStr">
        <is>
          <t>0079</t>
        </is>
      </c>
      <c r="F228" s="70" t="inlineStr">
        <is>
          <t>Compras</t>
        </is>
      </c>
      <c r="G228" s="66" t="n">
        <v>29.4</v>
      </c>
      <c r="H228" s="172" t="inlineStr">
        <is>
          <t>Não</t>
        </is>
      </c>
      <c r="I228" s="50" t="n"/>
    </row>
    <row r="229">
      <c r="A229" s="40" t="inlineStr">
        <is>
          <t>009856</t>
        </is>
      </c>
      <c r="B229" s="41" t="inlineStr">
        <is>
          <t>BALDE PLASTICO  8LT</t>
        </is>
      </c>
      <c r="C229" s="42" t="inlineStr">
        <is>
          <t>MC</t>
        </is>
      </c>
      <c r="D229" s="42" t="inlineStr">
        <is>
          <t>UN</t>
        </is>
      </c>
      <c r="E229" s="42" t="inlineStr">
        <is>
          <t>0075</t>
        </is>
      </c>
      <c r="F229" s="70" t="inlineStr">
        <is>
          <t>Compras</t>
        </is>
      </c>
      <c r="G229" s="71" t="n">
        <v>24.7</v>
      </c>
      <c r="H229" s="172" t="inlineStr">
        <is>
          <t>Não</t>
        </is>
      </c>
      <c r="I229" s="49" t="n"/>
    </row>
    <row r="230">
      <c r="A230" s="43" t="inlineStr">
        <is>
          <t>000257</t>
        </is>
      </c>
      <c r="B230" s="44" t="inlineStr">
        <is>
          <t>BALDE PLASTICO 5 LT</t>
        </is>
      </c>
      <c r="C230" s="45" t="inlineStr">
        <is>
          <t>MC</t>
        </is>
      </c>
      <c r="D230" s="45" t="inlineStr">
        <is>
          <t>UN</t>
        </is>
      </c>
      <c r="E230" s="45" t="inlineStr">
        <is>
          <t>0075</t>
        </is>
      </c>
      <c r="F230" s="70" t="inlineStr">
        <is>
          <t>Compras</t>
        </is>
      </c>
      <c r="G230" s="66" t="n">
        <v>114.19</v>
      </c>
      <c r="H230" s="172" t="inlineStr">
        <is>
          <t>Não</t>
        </is>
      </c>
      <c r="I230" s="50" t="n"/>
    </row>
    <row r="231">
      <c r="A231" s="40" t="inlineStr">
        <is>
          <t>002120</t>
        </is>
      </c>
      <c r="B231" s="41" t="inlineStr">
        <is>
          <t>BALDE SMIRNOFF ICE</t>
        </is>
      </c>
      <c r="C231" s="42" t="inlineStr">
        <is>
          <t>PA</t>
        </is>
      </c>
      <c r="D231" s="42" t="inlineStr">
        <is>
          <t>UN</t>
        </is>
      </c>
      <c r="E231" s="42" t="inlineStr">
        <is>
          <t>0093</t>
        </is>
      </c>
      <c r="F231" s="65" t="inlineStr">
        <is>
          <t>Venda</t>
        </is>
      </c>
      <c r="G231" s="68" t="n">
        <v>0</v>
      </c>
      <c r="H231" s="172" t="inlineStr">
        <is>
          <t>Não</t>
        </is>
      </c>
      <c r="I231" s="47" t="inlineStr">
        <is>
          <t>78989956877326</t>
        </is>
      </c>
    </row>
    <row r="232">
      <c r="A232" s="43" t="inlineStr">
        <is>
          <t>009567</t>
        </is>
      </c>
      <c r="B232" s="44" t="inlineStr">
        <is>
          <t>BALDE SPATEN PROMOCAO</t>
        </is>
      </c>
      <c r="C232" s="45" t="inlineStr">
        <is>
          <t>PA</t>
        </is>
      </c>
      <c r="D232" s="45" t="inlineStr">
        <is>
          <t>UN</t>
        </is>
      </c>
      <c r="E232" s="45" t="inlineStr">
        <is>
          <t>0093</t>
        </is>
      </c>
      <c r="F232" s="65" t="inlineStr">
        <is>
          <t>Venda</t>
        </is>
      </c>
      <c r="G232" s="69" t="n">
        <v>0</v>
      </c>
      <c r="H232" s="177" t="inlineStr">
        <is>
          <t>Sim</t>
        </is>
      </c>
      <c r="I232" s="178" t="n"/>
    </row>
    <row r="233">
      <c r="A233" s="40" t="inlineStr">
        <is>
          <t>000340</t>
        </is>
      </c>
      <c r="B233" s="41" t="inlineStr">
        <is>
          <t>BALLANTINES 12 ANOS</t>
        </is>
      </c>
      <c r="C233" s="42" t="inlineStr">
        <is>
          <t>MR</t>
        </is>
      </c>
      <c r="D233" s="42" t="inlineStr">
        <is>
          <t>LT</t>
        </is>
      </c>
      <c r="E233" s="42" t="inlineStr">
        <is>
          <t>0120</t>
        </is>
      </c>
      <c r="F233" s="65" t="inlineStr">
        <is>
          <t>Venda</t>
        </is>
      </c>
      <c r="G233" s="68" t="n">
        <v>0</v>
      </c>
      <c r="H233" s="173" t="inlineStr">
        <is>
          <t>Sim</t>
        </is>
      </c>
      <c r="I233" s="49" t="n"/>
    </row>
    <row r="234">
      <c r="A234" s="43" t="inlineStr">
        <is>
          <t>000341</t>
        </is>
      </c>
      <c r="B234" s="44" t="inlineStr">
        <is>
          <t>BALLANTINES FINEST  8 ANOS</t>
        </is>
      </c>
      <c r="C234" s="45" t="inlineStr">
        <is>
          <t>MR</t>
        </is>
      </c>
      <c r="D234" s="45" t="inlineStr">
        <is>
          <t>LT</t>
        </is>
      </c>
      <c r="E234" s="45" t="inlineStr">
        <is>
          <t>0120</t>
        </is>
      </c>
      <c r="F234" s="65" t="inlineStr">
        <is>
          <t>Venda</t>
        </is>
      </c>
      <c r="G234" s="69" t="n">
        <v>0</v>
      </c>
      <c r="H234" s="173" t="inlineStr">
        <is>
          <t>Sim</t>
        </is>
      </c>
      <c r="I234" s="50" t="n"/>
    </row>
    <row r="235">
      <c r="A235" s="40" t="inlineStr">
        <is>
          <t>000795</t>
        </is>
      </c>
      <c r="B235" s="41" t="inlineStr">
        <is>
          <t>BANANA C/ CHOCOLATE</t>
        </is>
      </c>
      <c r="C235" s="42" t="inlineStr">
        <is>
          <t>PA</t>
        </is>
      </c>
      <c r="D235" s="42" t="inlineStr">
        <is>
          <t>UN</t>
        </is>
      </c>
      <c r="E235" s="42" t="inlineStr">
        <is>
          <t>0100</t>
        </is>
      </c>
      <c r="F235" s="65" t="inlineStr">
        <is>
          <t>Venda</t>
        </is>
      </c>
      <c r="G235" s="68" t="n">
        <v>0</v>
      </c>
      <c r="H235" s="172" t="inlineStr">
        <is>
          <t>Não</t>
        </is>
      </c>
      <c r="I235" s="47" t="inlineStr">
        <is>
          <t>50002</t>
        </is>
      </c>
    </row>
    <row r="236">
      <c r="A236" s="43" t="inlineStr">
        <is>
          <t>000799</t>
        </is>
      </c>
      <c r="B236" s="44" t="inlineStr">
        <is>
          <t>BANANA NA BRASA</t>
        </is>
      </c>
      <c r="C236" s="45" t="inlineStr">
        <is>
          <t>PA</t>
        </is>
      </c>
      <c r="D236" s="45" t="inlineStr">
        <is>
          <t>UN</t>
        </is>
      </c>
      <c r="E236" s="45" t="inlineStr">
        <is>
          <t>0100</t>
        </is>
      </c>
      <c r="F236" s="65" t="inlineStr">
        <is>
          <t>Venda</t>
        </is>
      </c>
      <c r="G236" s="69" t="n">
        <v>0</v>
      </c>
      <c r="H236" s="177" t="inlineStr">
        <is>
          <t>Sim</t>
        </is>
      </c>
      <c r="I236" s="178" t="n"/>
    </row>
    <row r="237">
      <c r="A237" s="40" t="inlineStr">
        <is>
          <t>000488</t>
        </is>
      </c>
      <c r="B237" s="41" t="inlineStr">
        <is>
          <t>BANANA NANICA FRUTA</t>
        </is>
      </c>
      <c r="C237" s="42" t="inlineStr">
        <is>
          <t>MP</t>
        </is>
      </c>
      <c r="D237" s="42" t="inlineStr">
        <is>
          <t>KG</t>
        </is>
      </c>
      <c r="E237" s="42" t="inlineStr">
        <is>
          <t>0036</t>
        </is>
      </c>
      <c r="F237" s="70" t="inlineStr">
        <is>
          <t>Compras</t>
        </is>
      </c>
      <c r="G237" s="71" t="n">
        <v>5.99</v>
      </c>
      <c r="H237" s="172" t="inlineStr">
        <is>
          <t>Não</t>
        </is>
      </c>
      <c r="I237" s="49" t="n"/>
    </row>
    <row r="238">
      <c r="A238" s="40" t="inlineStr">
        <is>
          <t>000489</t>
        </is>
      </c>
      <c r="B238" s="41" t="inlineStr">
        <is>
          <t>BANANA PRATA FRUTA</t>
        </is>
      </c>
      <c r="C238" s="42" t="inlineStr">
        <is>
          <t>MP</t>
        </is>
      </c>
      <c r="D238" s="42" t="inlineStr">
        <is>
          <t>KG</t>
        </is>
      </c>
      <c r="E238" s="42" t="inlineStr">
        <is>
          <t>0036</t>
        </is>
      </c>
      <c r="F238" s="70" t="inlineStr">
        <is>
          <t>Compras</t>
        </is>
      </c>
      <c r="G238" s="71" t="n">
        <v>6.89</v>
      </c>
      <c r="H238" s="172" t="inlineStr">
        <is>
          <t>Não</t>
        </is>
      </c>
      <c r="I238" s="49" t="n"/>
    </row>
    <row r="239">
      <c r="A239" s="43" t="inlineStr">
        <is>
          <t>010166</t>
        </is>
      </c>
      <c r="B239" s="44" t="inlineStr">
        <is>
          <t>BANCADA DE ENCOSTO COM 2 CUBAS (MARMORE)</t>
        </is>
      </c>
      <c r="C239" s="45" t="inlineStr">
        <is>
          <t>MC</t>
        </is>
      </c>
      <c r="D239" s="45" t="inlineStr">
        <is>
          <t>UN</t>
        </is>
      </c>
      <c r="E239" s="45" t="inlineStr">
        <is>
          <t>0132</t>
        </is>
      </c>
      <c r="F239" s="70" t="inlineStr">
        <is>
          <t>Compras</t>
        </is>
      </c>
      <c r="G239" s="66" t="n">
        <v>3500</v>
      </c>
      <c r="H239" s="172" t="inlineStr">
        <is>
          <t>Não</t>
        </is>
      </c>
      <c r="I239" s="50" t="n"/>
    </row>
    <row r="240">
      <c r="A240" s="40" t="inlineStr">
        <is>
          <t>009629</t>
        </is>
      </c>
      <c r="B240" s="41" t="inlineStr">
        <is>
          <t>BANCO JARDIM MADEIRA PLASTICA IN BRASIL 150CM</t>
        </is>
      </c>
      <c r="C240" s="42" t="inlineStr">
        <is>
          <t>MC</t>
        </is>
      </c>
      <c r="D240" s="42" t="inlineStr">
        <is>
          <t>UN</t>
        </is>
      </c>
      <c r="E240" s="42" t="inlineStr">
        <is>
          <t>0134</t>
        </is>
      </c>
      <c r="F240" s="70" t="inlineStr">
        <is>
          <t>Compras</t>
        </is>
      </c>
      <c r="G240" s="68" t="n">
        <v>0</v>
      </c>
      <c r="H240" s="172" t="inlineStr">
        <is>
          <t>Não</t>
        </is>
      </c>
      <c r="I240" s="49" t="n"/>
    </row>
    <row r="241">
      <c r="A241" s="43" t="inlineStr">
        <is>
          <t>001373</t>
        </is>
      </c>
      <c r="B241" s="44" t="inlineStr">
        <is>
          <t>BANDANA PERSONALIZADA ESPACO KIDS</t>
        </is>
      </c>
      <c r="C241" s="45" t="inlineStr">
        <is>
          <t>MC</t>
        </is>
      </c>
      <c r="D241" s="45" t="inlineStr">
        <is>
          <t>UN</t>
        </is>
      </c>
      <c r="E241" s="45" t="inlineStr">
        <is>
          <t>0134</t>
        </is>
      </c>
      <c r="F241" s="70" t="inlineStr">
        <is>
          <t>Compras</t>
        </is>
      </c>
      <c r="G241" s="69" t="n">
        <v>2</v>
      </c>
      <c r="H241" s="172" t="inlineStr">
        <is>
          <t>Não</t>
        </is>
      </c>
      <c r="I241" s="50" t="n"/>
    </row>
    <row r="242">
      <c r="A242" s="40" t="inlineStr">
        <is>
          <t>000515</t>
        </is>
      </c>
      <c r="B242" s="41" t="inlineStr">
        <is>
          <t>BANDEJA DE ALUMINIO 49 CM</t>
        </is>
      </c>
      <c r="C242" s="42" t="inlineStr">
        <is>
          <t>MC</t>
        </is>
      </c>
      <c r="D242" s="42" t="inlineStr">
        <is>
          <t>UN</t>
        </is>
      </c>
      <c r="E242" s="42" t="inlineStr">
        <is>
          <t>0079</t>
        </is>
      </c>
      <c r="F242" s="70" t="inlineStr">
        <is>
          <t>Compras</t>
        </is>
      </c>
      <c r="G242" s="68" t="n">
        <v>0</v>
      </c>
      <c r="H242" s="172" t="inlineStr">
        <is>
          <t>Não</t>
        </is>
      </c>
      <c r="I242" s="49" t="n"/>
    </row>
    <row r="243">
      <c r="A243" s="43" t="inlineStr">
        <is>
          <t>000516</t>
        </is>
      </c>
      <c r="B243" s="44" t="inlineStr">
        <is>
          <t>BANDEJA EMBORRACHADA</t>
        </is>
      </c>
      <c r="C243" s="45" t="inlineStr">
        <is>
          <t>MC</t>
        </is>
      </c>
      <c r="D243" s="45" t="inlineStr">
        <is>
          <t>UN</t>
        </is>
      </c>
      <c r="E243" s="45" t="inlineStr">
        <is>
          <t>0079</t>
        </is>
      </c>
      <c r="F243" s="70" t="inlineStr">
        <is>
          <t>Compras</t>
        </is>
      </c>
      <c r="G243" s="66" t="n">
        <v>55</v>
      </c>
      <c r="H243" s="172" t="inlineStr">
        <is>
          <t>Não</t>
        </is>
      </c>
      <c r="I243" s="50" t="n"/>
    </row>
    <row r="244">
      <c r="A244" s="40" t="inlineStr">
        <is>
          <t>000237</t>
        </is>
      </c>
      <c r="B244" s="41" t="inlineStr">
        <is>
          <t>BANDEJA LAMINADA</t>
        </is>
      </c>
      <c r="C244" s="42" t="inlineStr">
        <is>
          <t>MC</t>
        </is>
      </c>
      <c r="D244" s="42" t="inlineStr">
        <is>
          <t>UN</t>
        </is>
      </c>
      <c r="E244" s="42" t="inlineStr">
        <is>
          <t>0075</t>
        </is>
      </c>
      <c r="F244" s="70" t="inlineStr">
        <is>
          <t>Compras</t>
        </is>
      </c>
      <c r="G244" s="68" t="n">
        <v>0</v>
      </c>
      <c r="H244" s="172" t="inlineStr">
        <is>
          <t>Não</t>
        </is>
      </c>
      <c r="I244" s="49" t="n"/>
    </row>
    <row r="245">
      <c r="A245" s="43" t="inlineStr">
        <is>
          <t>010132</t>
        </is>
      </c>
      <c r="B245" s="44" t="inlineStr">
        <is>
          <t>BANDEJA PARA TINTA</t>
        </is>
      </c>
      <c r="C245" s="45" t="inlineStr">
        <is>
          <t>MC</t>
        </is>
      </c>
      <c r="D245" s="45" t="inlineStr">
        <is>
          <t>UN</t>
        </is>
      </c>
      <c r="E245" s="45" t="inlineStr">
        <is>
          <t>0132</t>
        </is>
      </c>
      <c r="F245" s="70" t="inlineStr">
        <is>
          <t>Compras</t>
        </is>
      </c>
      <c r="G245" s="66" t="n">
        <v>10.3</v>
      </c>
      <c r="H245" s="172" t="inlineStr">
        <is>
          <t>Não</t>
        </is>
      </c>
      <c r="I245" s="50" t="n"/>
    </row>
    <row r="246">
      <c r="A246" s="40" t="inlineStr">
        <is>
          <t>000694</t>
        </is>
      </c>
      <c r="B246" s="41" t="inlineStr">
        <is>
          <t>BANDEJA SHIMEJI</t>
        </is>
      </c>
      <c r="C246" s="42" t="inlineStr">
        <is>
          <t>MP</t>
        </is>
      </c>
      <c r="D246" s="42" t="inlineStr">
        <is>
          <t>KG</t>
        </is>
      </c>
      <c r="E246" s="42" t="inlineStr">
        <is>
          <t>0036</t>
        </is>
      </c>
      <c r="F246" s="70" t="inlineStr">
        <is>
          <t>Compras</t>
        </is>
      </c>
      <c r="G246" s="71" t="n">
        <v>32.5</v>
      </c>
      <c r="H246" s="172" t="inlineStr">
        <is>
          <t>Não</t>
        </is>
      </c>
      <c r="I246" s="49" t="n"/>
    </row>
    <row r="247">
      <c r="A247" s="43" t="inlineStr">
        <is>
          <t>000144</t>
        </is>
      </c>
      <c r="B247" s="44" t="inlineStr">
        <is>
          <t>BANNER LONA GRANDE 4X3M</t>
        </is>
      </c>
      <c r="C247" s="45" t="inlineStr">
        <is>
          <t>MC</t>
        </is>
      </c>
      <c r="D247" s="45" t="inlineStr">
        <is>
          <t>UN</t>
        </is>
      </c>
      <c r="E247" s="45" t="inlineStr">
        <is>
          <t>0073</t>
        </is>
      </c>
      <c r="F247" s="70" t="inlineStr">
        <is>
          <t>Compras</t>
        </is>
      </c>
      <c r="G247" s="69" t="n">
        <v>0</v>
      </c>
      <c r="H247" s="172" t="inlineStr">
        <is>
          <t>Não</t>
        </is>
      </c>
      <c r="I247" s="50" t="n"/>
    </row>
    <row r="248">
      <c r="A248" s="40" t="inlineStr">
        <is>
          <t>000702</t>
        </is>
      </c>
      <c r="B248" s="41" t="inlineStr">
        <is>
          <t>BANQUETA ALTA COM ENCOSTO</t>
        </is>
      </c>
      <c r="C248" s="42" t="inlineStr">
        <is>
          <t>AI</t>
        </is>
      </c>
      <c r="D248" s="42" t="inlineStr">
        <is>
          <t>UN</t>
        </is>
      </c>
      <c r="E248" s="42" t="inlineStr">
        <is>
          <t>0020</t>
        </is>
      </c>
      <c r="F248" s="70" t="inlineStr">
        <is>
          <t>Compras</t>
        </is>
      </c>
      <c r="G248" s="68" t="n">
        <v>0</v>
      </c>
      <c r="H248" s="172" t="inlineStr">
        <is>
          <t>Não</t>
        </is>
      </c>
      <c r="I248" s="49" t="n"/>
    </row>
    <row r="249">
      <c r="A249" s="43" t="inlineStr">
        <is>
          <t>000992</t>
        </is>
      </c>
      <c r="B249" s="44" t="inlineStr">
        <is>
          <t>BAR EXTERNO</t>
        </is>
      </c>
      <c r="C249" s="45" t="inlineStr">
        <is>
          <t>AI</t>
        </is>
      </c>
      <c r="D249" s="45" t="inlineStr">
        <is>
          <t>UN</t>
        </is>
      </c>
      <c r="E249" s="45" t="inlineStr">
        <is>
          <t>0011</t>
        </is>
      </c>
      <c r="F249" s="70" t="inlineStr">
        <is>
          <t>Compras</t>
        </is>
      </c>
      <c r="G249" s="69" t="n">
        <v>0</v>
      </c>
      <c r="H249" s="173" t="inlineStr">
        <is>
          <t>Sim</t>
        </is>
      </c>
      <c r="I249" s="50" t="n"/>
    </row>
    <row r="250">
      <c r="A250" s="40" t="inlineStr">
        <is>
          <t>000945</t>
        </is>
      </c>
      <c r="B250" s="41" t="inlineStr">
        <is>
          <t>BARBERA LA QUERCIA</t>
        </is>
      </c>
      <c r="C250" s="42" t="inlineStr">
        <is>
          <t>MR</t>
        </is>
      </c>
      <c r="D250" s="42" t="inlineStr">
        <is>
          <t>UN</t>
        </is>
      </c>
      <c r="E250" s="42" t="inlineStr">
        <is>
          <t>0118</t>
        </is>
      </c>
      <c r="F250" s="65" t="inlineStr">
        <is>
          <t>Venda</t>
        </is>
      </c>
      <c r="G250" s="68" t="n">
        <v>0</v>
      </c>
      <c r="H250" s="172" t="inlineStr">
        <is>
          <t>Não</t>
        </is>
      </c>
      <c r="I250" s="47" t="inlineStr">
        <is>
          <t>9003151</t>
        </is>
      </c>
    </row>
    <row r="251">
      <c r="A251" s="43" t="inlineStr">
        <is>
          <t>009928</t>
        </is>
      </c>
      <c r="B251" s="44" t="inlineStr">
        <is>
          <t>BARRA ANTIPANICO DUPLA</t>
        </is>
      </c>
      <c r="C251" s="45" t="inlineStr">
        <is>
          <t>MC</t>
        </is>
      </c>
      <c r="D251" s="45" t="inlineStr">
        <is>
          <t>UN</t>
        </is>
      </c>
      <c r="E251" s="45" t="inlineStr">
        <is>
          <t>0132</t>
        </is>
      </c>
      <c r="F251" s="70" t="inlineStr">
        <is>
          <t>Compras</t>
        </is>
      </c>
      <c r="G251" s="66" t="n">
        <v>687.78</v>
      </c>
      <c r="H251" s="172" t="inlineStr">
        <is>
          <t>Não</t>
        </is>
      </c>
      <c r="I251" s="50" t="n"/>
    </row>
    <row r="252">
      <c r="A252" s="40" t="inlineStr">
        <is>
          <t>009779</t>
        </is>
      </c>
      <c r="B252" s="41" t="inlineStr">
        <is>
          <t>BARRA DE CEREAIS JOY</t>
        </is>
      </c>
      <c r="C252" s="42" t="inlineStr">
        <is>
          <t>MC</t>
        </is>
      </c>
      <c r="D252" s="42" t="inlineStr">
        <is>
          <t>UN</t>
        </is>
      </c>
      <c r="E252" s="42" t="inlineStr">
        <is>
          <t>0013</t>
        </is>
      </c>
      <c r="F252" s="70" t="inlineStr">
        <is>
          <t>Compras</t>
        </is>
      </c>
      <c r="G252" s="71" t="n">
        <v>3.9992</v>
      </c>
      <c r="H252" s="172" t="inlineStr">
        <is>
          <t>Não</t>
        </is>
      </c>
      <c r="I252" s="49" t="n"/>
    </row>
    <row r="253">
      <c r="A253" s="43" t="inlineStr">
        <is>
          <t>009708</t>
        </is>
      </c>
      <c r="B253" s="44" t="inlineStr">
        <is>
          <t>BARRA DE CEREAIS NUTRY CASTANHA</t>
        </is>
      </c>
      <c r="C253" s="45" t="inlineStr">
        <is>
          <t>MC</t>
        </is>
      </c>
      <c r="D253" s="45" t="inlineStr">
        <is>
          <t>UN</t>
        </is>
      </c>
      <c r="E253" s="45" t="inlineStr">
        <is>
          <t>0013</t>
        </is>
      </c>
      <c r="F253" s="70" t="inlineStr">
        <is>
          <t>Compras</t>
        </is>
      </c>
      <c r="G253" s="69" t="n">
        <v>0</v>
      </c>
      <c r="H253" s="172" t="inlineStr">
        <is>
          <t>Não</t>
        </is>
      </c>
      <c r="I253" s="50" t="n"/>
    </row>
    <row r="254">
      <c r="A254" s="40" t="inlineStr">
        <is>
          <t>009711</t>
        </is>
      </c>
      <c r="B254" s="41" t="inlineStr">
        <is>
          <t>BARRA DE CEREAIS NUTRY COCO</t>
        </is>
      </c>
      <c r="C254" s="42" t="inlineStr">
        <is>
          <t>MC</t>
        </is>
      </c>
      <c r="D254" s="42" t="inlineStr">
        <is>
          <t>UN</t>
        </is>
      </c>
      <c r="E254" s="42" t="inlineStr">
        <is>
          <t>0013</t>
        </is>
      </c>
      <c r="F254" s="70" t="inlineStr">
        <is>
          <t>Compras</t>
        </is>
      </c>
      <c r="G254" s="68" t="n">
        <v>0</v>
      </c>
      <c r="H254" s="172" t="inlineStr">
        <is>
          <t>Não</t>
        </is>
      </c>
      <c r="I254" s="49" t="n"/>
    </row>
    <row r="255">
      <c r="A255" s="43" t="inlineStr">
        <is>
          <t>009709</t>
        </is>
      </c>
      <c r="B255" s="44" t="inlineStr">
        <is>
          <t>BARRA DE CEREAIS NUTRY MEL</t>
        </is>
      </c>
      <c r="C255" s="45" t="inlineStr">
        <is>
          <t>MC</t>
        </is>
      </c>
      <c r="D255" s="45" t="inlineStr">
        <is>
          <t>UN</t>
        </is>
      </c>
      <c r="E255" s="45" t="inlineStr">
        <is>
          <t>0013</t>
        </is>
      </c>
      <c r="F255" s="70" t="inlineStr">
        <is>
          <t>Compras</t>
        </is>
      </c>
      <c r="G255" s="69" t="n">
        <v>0</v>
      </c>
      <c r="H255" s="172" t="inlineStr">
        <is>
          <t>Não</t>
        </is>
      </c>
      <c r="I255" s="50" t="n"/>
    </row>
    <row r="256">
      <c r="A256" s="40" t="inlineStr">
        <is>
          <t>009710</t>
        </is>
      </c>
      <c r="B256" s="41" t="inlineStr">
        <is>
          <t>BARRA DE CEREAIS NUTRY MORANGO COM CHOCOLATE</t>
        </is>
      </c>
      <c r="C256" s="42" t="inlineStr">
        <is>
          <t>MC</t>
        </is>
      </c>
      <c r="D256" s="42" t="inlineStr">
        <is>
          <t>UN</t>
        </is>
      </c>
      <c r="E256" s="42" t="inlineStr">
        <is>
          <t>0013</t>
        </is>
      </c>
      <c r="F256" s="70" t="inlineStr">
        <is>
          <t>Compras</t>
        </is>
      </c>
      <c r="G256" s="68" t="n">
        <v>0</v>
      </c>
      <c r="H256" s="172" t="inlineStr">
        <is>
          <t>Não</t>
        </is>
      </c>
      <c r="I256" s="49" t="n"/>
    </row>
    <row r="257">
      <c r="A257" s="43" t="inlineStr">
        <is>
          <t>001004</t>
        </is>
      </c>
      <c r="B257" s="44" t="inlineStr">
        <is>
          <t>BARRA MAGNETICA PARA COZINHA</t>
        </is>
      </c>
      <c r="C257" s="45" t="inlineStr">
        <is>
          <t>MC</t>
        </is>
      </c>
      <c r="D257" s="45" t="inlineStr">
        <is>
          <t>UN</t>
        </is>
      </c>
      <c r="E257" s="45" t="inlineStr">
        <is>
          <t>0080</t>
        </is>
      </c>
      <c r="F257" s="70" t="inlineStr">
        <is>
          <t>Compras</t>
        </is>
      </c>
      <c r="G257" s="69" t="n">
        <v>0</v>
      </c>
      <c r="H257" s="172" t="inlineStr">
        <is>
          <t>Não</t>
        </is>
      </c>
      <c r="I257" s="50" t="n"/>
    </row>
    <row r="258">
      <c r="A258" s="40" t="inlineStr">
        <is>
          <t>010302</t>
        </is>
      </c>
      <c r="B258" s="41" t="inlineStr">
        <is>
          <t>BARRA ROSCADA 1/4" 1M</t>
        </is>
      </c>
      <c r="C258" s="42" t="inlineStr">
        <is>
          <t>MC</t>
        </is>
      </c>
      <c r="D258" s="42" t="inlineStr">
        <is>
          <t>UN</t>
        </is>
      </c>
      <c r="E258" s="42" t="inlineStr">
        <is>
          <t>0132</t>
        </is>
      </c>
      <c r="F258" s="70" t="inlineStr">
        <is>
          <t>Compras</t>
        </is>
      </c>
      <c r="G258" s="71" t="n">
        <v>15.9</v>
      </c>
      <c r="H258" s="172" t="inlineStr">
        <is>
          <t>Não</t>
        </is>
      </c>
      <c r="I258" s="49" t="n"/>
    </row>
    <row r="259">
      <c r="A259" s="43" t="inlineStr">
        <is>
          <t>010098</t>
        </is>
      </c>
      <c r="B259" s="44" t="inlineStr">
        <is>
          <t>BARRAMENTO BIFASICO 80A  12P</t>
        </is>
      </c>
      <c r="C259" s="45" t="inlineStr">
        <is>
          <t>MC</t>
        </is>
      </c>
      <c r="D259" s="45" t="inlineStr">
        <is>
          <t>UN</t>
        </is>
      </c>
      <c r="E259" s="45" t="inlineStr">
        <is>
          <t>0132</t>
        </is>
      </c>
      <c r="F259" s="70" t="inlineStr">
        <is>
          <t>Compras</t>
        </is>
      </c>
      <c r="G259" s="66" t="n">
        <v>56</v>
      </c>
      <c r="H259" s="172" t="inlineStr">
        <is>
          <t>Não</t>
        </is>
      </c>
      <c r="I259" s="50" t="n"/>
    </row>
    <row r="260">
      <c r="A260" s="40" t="inlineStr">
        <is>
          <t>000198</t>
        </is>
      </c>
      <c r="B260" s="41" t="inlineStr">
        <is>
          <t>BARRIL CHOPP 30 LITROS VAZIO</t>
        </is>
      </c>
      <c r="C260" s="42" t="inlineStr">
        <is>
          <t>MC</t>
        </is>
      </c>
      <c r="D260" s="42" t="inlineStr">
        <is>
          <t>UN</t>
        </is>
      </c>
      <c r="E260" s="42" t="inlineStr">
        <is>
          <t>0079</t>
        </is>
      </c>
      <c r="F260" s="70" t="inlineStr">
        <is>
          <t>Compras</t>
        </is>
      </c>
      <c r="G260" s="68" t="n">
        <v>0</v>
      </c>
      <c r="H260" s="172" t="inlineStr">
        <is>
          <t>Não</t>
        </is>
      </c>
      <c r="I260" s="49" t="n"/>
    </row>
    <row r="261">
      <c r="A261" s="43" t="inlineStr">
        <is>
          <t>000197</t>
        </is>
      </c>
      <c r="B261" s="44" t="inlineStr">
        <is>
          <t>BARRIL CHOPP 50 LITROS VAZIO</t>
        </is>
      </c>
      <c r="C261" s="45" t="inlineStr">
        <is>
          <t>MC</t>
        </is>
      </c>
      <c r="D261" s="45" t="inlineStr">
        <is>
          <t>UN</t>
        </is>
      </c>
      <c r="E261" s="45" t="inlineStr">
        <is>
          <t>0079</t>
        </is>
      </c>
      <c r="F261" s="70" t="inlineStr">
        <is>
          <t>Compras</t>
        </is>
      </c>
      <c r="G261" s="69" t="n">
        <v>0</v>
      </c>
      <c r="H261" s="172" t="inlineStr">
        <is>
          <t>Não</t>
        </is>
      </c>
      <c r="I261" s="50" t="n"/>
    </row>
    <row r="262">
      <c r="A262" s="40" t="inlineStr">
        <is>
          <t>000331</t>
        </is>
      </c>
      <c r="B262" s="41" t="inlineStr">
        <is>
          <t>BARRIL CHOPP BRAHMA CLARO 50LT</t>
        </is>
      </c>
      <c r="C262" s="42" t="inlineStr">
        <is>
          <t>MP</t>
        </is>
      </c>
      <c r="D262" s="42" t="inlineStr">
        <is>
          <t>LT</t>
        </is>
      </c>
      <c r="E262" s="42" t="inlineStr">
        <is>
          <t>0026</t>
        </is>
      </c>
      <c r="F262" s="70" t="inlineStr">
        <is>
          <t>Compras</t>
        </is>
      </c>
      <c r="G262" s="71" t="n">
        <v>7.1396</v>
      </c>
      <c r="H262" s="172" t="inlineStr">
        <is>
          <t>Não</t>
        </is>
      </c>
      <c r="I262" s="49" t="n"/>
    </row>
    <row r="263">
      <c r="A263" s="43" t="inlineStr">
        <is>
          <t>009712</t>
        </is>
      </c>
      <c r="B263" s="44" t="inlineStr">
        <is>
          <t>BARRINHA BAUDUCCO CHOCOLATE</t>
        </is>
      </c>
      <c r="C263" s="45" t="inlineStr">
        <is>
          <t>MC</t>
        </is>
      </c>
      <c r="D263" s="45" t="inlineStr">
        <is>
          <t>UN</t>
        </is>
      </c>
      <c r="E263" s="45" t="inlineStr">
        <is>
          <t>0013</t>
        </is>
      </c>
      <c r="F263" s="70" t="inlineStr">
        <is>
          <t>Compras</t>
        </is>
      </c>
      <c r="G263" s="69" t="n">
        <v>0</v>
      </c>
      <c r="H263" s="172" t="inlineStr">
        <is>
          <t>Não</t>
        </is>
      </c>
      <c r="I263" s="50" t="n"/>
    </row>
    <row r="264">
      <c r="A264" s="40" t="inlineStr">
        <is>
          <t>009944</t>
        </is>
      </c>
      <c r="B264" s="41" t="inlineStr">
        <is>
          <t>BASE CARREGADOR PARA RADIO COMUNICADO</t>
        </is>
      </c>
      <c r="C264" s="42" t="inlineStr">
        <is>
          <t>MC</t>
        </is>
      </c>
      <c r="D264" s="42" t="inlineStr">
        <is>
          <t>UN</t>
        </is>
      </c>
      <c r="E264" s="42" t="inlineStr">
        <is>
          <t>0132</t>
        </is>
      </c>
      <c r="F264" s="70" t="inlineStr">
        <is>
          <t>Compras</t>
        </is>
      </c>
      <c r="G264" s="71" t="n">
        <v>160</v>
      </c>
      <c r="H264" s="172" t="inlineStr">
        <is>
          <t>Não</t>
        </is>
      </c>
      <c r="I264" s="49" t="n"/>
    </row>
    <row r="265">
      <c r="A265" s="43" t="inlineStr">
        <is>
          <t>001958</t>
        </is>
      </c>
      <c r="B265" s="44" t="inlineStr">
        <is>
          <t>BASIL SMASH - DRINK VENDA</t>
        </is>
      </c>
      <c r="C265" s="45" t="inlineStr">
        <is>
          <t>PA</t>
        </is>
      </c>
      <c r="D265" s="45" t="inlineStr">
        <is>
          <t>UN</t>
        </is>
      </c>
      <c r="E265" s="45" t="inlineStr">
        <is>
          <t>0119</t>
        </is>
      </c>
      <c r="F265" s="65" t="inlineStr">
        <is>
          <t>Venda</t>
        </is>
      </c>
      <c r="G265" s="69" t="n">
        <v>0</v>
      </c>
      <c r="H265" s="172" t="inlineStr">
        <is>
          <t>Não</t>
        </is>
      </c>
      <c r="I265" s="48" t="inlineStr">
        <is>
          <t>78989056877236</t>
        </is>
      </c>
    </row>
    <row r="266">
      <c r="A266" s="40" t="inlineStr">
        <is>
          <t>010373</t>
        </is>
      </c>
      <c r="B266" s="41" t="inlineStr">
        <is>
          <t>BASTÃO DE COLA QUENTE GROSSA</t>
        </is>
      </c>
      <c r="C266" s="42" t="inlineStr">
        <is>
          <t>MC</t>
        </is>
      </c>
      <c r="D266" s="42" t="inlineStr">
        <is>
          <t>UN</t>
        </is>
      </c>
      <c r="E266" s="42" t="inlineStr">
        <is>
          <t>0001</t>
        </is>
      </c>
      <c r="F266" s="70" t="inlineStr">
        <is>
          <t>Compras</t>
        </is>
      </c>
      <c r="G266" s="68" t="n">
        <v>0</v>
      </c>
      <c r="H266" s="172" t="inlineStr">
        <is>
          <t>Não</t>
        </is>
      </c>
      <c r="I266" s="49" t="n"/>
    </row>
    <row r="267">
      <c r="A267" s="43" t="inlineStr">
        <is>
          <t>000464</t>
        </is>
      </c>
      <c r="B267" s="44" t="inlineStr">
        <is>
          <t>BATATA BOLINHA</t>
        </is>
      </c>
      <c r="C267" s="45" t="inlineStr">
        <is>
          <t>MP</t>
        </is>
      </c>
      <c r="D267" s="45" t="inlineStr">
        <is>
          <t>KG</t>
        </is>
      </c>
      <c r="E267" s="45" t="inlineStr">
        <is>
          <t>0036</t>
        </is>
      </c>
      <c r="F267" s="70" t="inlineStr">
        <is>
          <t>Compras</t>
        </is>
      </c>
      <c r="G267" s="66" t="n">
        <v>6.76</v>
      </c>
      <c r="H267" s="172" t="inlineStr">
        <is>
          <t>Não</t>
        </is>
      </c>
      <c r="I267" s="50" t="n"/>
    </row>
    <row r="268">
      <c r="A268" s="40" t="inlineStr">
        <is>
          <t>002282</t>
        </is>
      </c>
      <c r="B268" s="41" t="inlineStr">
        <is>
          <t>BATATA CRISPERS</t>
        </is>
      </c>
      <c r="C268" s="42" t="inlineStr">
        <is>
          <t>MR</t>
        </is>
      </c>
      <c r="D268" s="42" t="inlineStr">
        <is>
          <t>KG</t>
        </is>
      </c>
      <c r="E268" s="42" t="inlineStr">
        <is>
          <t>0022</t>
        </is>
      </c>
      <c r="F268" s="70" t="inlineStr">
        <is>
          <t>Compras</t>
        </is>
      </c>
      <c r="G268" s="68" t="n">
        <v>0</v>
      </c>
      <c r="H268" s="173" t="inlineStr">
        <is>
          <t>Sim</t>
        </is>
      </c>
      <c r="I268" s="49" t="n"/>
    </row>
    <row r="269">
      <c r="A269" s="43" t="inlineStr">
        <is>
          <t>002217</t>
        </is>
      </c>
      <c r="B269" s="44" t="inlineStr">
        <is>
          <t>BATATA CRISPERS - MCCAIN</t>
        </is>
      </c>
      <c r="C269" s="45" t="inlineStr">
        <is>
          <t>MP</t>
        </is>
      </c>
      <c r="D269" s="45" t="inlineStr">
        <is>
          <t>KG</t>
        </is>
      </c>
      <c r="E269" s="45" t="inlineStr">
        <is>
          <t>0022</t>
        </is>
      </c>
      <c r="F269" s="70" t="inlineStr">
        <is>
          <t>Compras</t>
        </is>
      </c>
      <c r="G269" s="66" t="n">
        <v>21.2432</v>
      </c>
      <c r="H269" s="172" t="inlineStr">
        <is>
          <t>Não</t>
        </is>
      </c>
      <c r="I269" s="50" t="n"/>
    </row>
    <row r="270">
      <c r="A270" s="40" t="inlineStr">
        <is>
          <t>000680</t>
        </is>
      </c>
      <c r="B270" s="41" t="inlineStr">
        <is>
          <t>BATATA DOCE</t>
        </is>
      </c>
      <c r="C270" s="42" t="inlineStr">
        <is>
          <t>MP</t>
        </is>
      </c>
      <c r="D270" s="42" t="inlineStr">
        <is>
          <t>KG</t>
        </is>
      </c>
      <c r="E270" s="42" t="inlineStr">
        <is>
          <t>0036</t>
        </is>
      </c>
      <c r="F270" s="70" t="inlineStr">
        <is>
          <t>Compras</t>
        </is>
      </c>
      <c r="G270" s="71" t="n">
        <v>3.99</v>
      </c>
      <c r="H270" s="172" t="inlineStr">
        <is>
          <t>Não</t>
        </is>
      </c>
      <c r="I270" s="49" t="n"/>
    </row>
    <row r="271">
      <c r="A271" s="43" t="inlineStr">
        <is>
          <t>002238</t>
        </is>
      </c>
      <c r="B271" s="44" t="inlineStr">
        <is>
          <t>BATATA FRITA</t>
        </is>
      </c>
      <c r="C271" s="45" t="inlineStr">
        <is>
          <t>MR</t>
        </is>
      </c>
      <c r="D271" s="45" t="inlineStr">
        <is>
          <t>UN</t>
        </is>
      </c>
      <c r="E271" s="45" t="inlineStr">
        <is>
          <t>0022</t>
        </is>
      </c>
      <c r="F271" s="65" t="inlineStr">
        <is>
          <t>Venda</t>
        </is>
      </c>
      <c r="G271" s="69" t="n">
        <v>0</v>
      </c>
      <c r="H271" s="172" t="inlineStr">
        <is>
          <t>Não</t>
        </is>
      </c>
      <c r="I271" s="48" t="inlineStr">
        <is>
          <t>78989056877332</t>
        </is>
      </c>
    </row>
    <row r="272">
      <c r="A272" s="40" t="inlineStr">
        <is>
          <t>009582</t>
        </is>
      </c>
      <c r="B272" s="41" t="inlineStr">
        <is>
          <t>BATATA FRITA *BRINDE CARNAVAL*</t>
        </is>
      </c>
      <c r="C272" s="42" t="inlineStr">
        <is>
          <t>PA</t>
        </is>
      </c>
      <c r="D272" s="42" t="inlineStr">
        <is>
          <t>UN</t>
        </is>
      </c>
      <c r="E272" s="42" t="inlineStr">
        <is>
          <t>0022</t>
        </is>
      </c>
      <c r="F272" s="65" t="inlineStr">
        <is>
          <t>Venda</t>
        </is>
      </c>
      <c r="G272" s="68" t="n">
        <v>0</v>
      </c>
      <c r="H272" s="177" t="inlineStr">
        <is>
          <t>Sim</t>
        </is>
      </c>
      <c r="I272" s="178" t="n"/>
    </row>
    <row r="273">
      <c r="A273" s="43" t="inlineStr">
        <is>
          <t>000465</t>
        </is>
      </c>
      <c r="B273" s="44" t="inlineStr">
        <is>
          <t>BATATA HOLANDESA</t>
        </is>
      </c>
      <c r="C273" s="45" t="inlineStr">
        <is>
          <t>MP</t>
        </is>
      </c>
      <c r="D273" s="45" t="inlineStr">
        <is>
          <t>KG</t>
        </is>
      </c>
      <c r="E273" s="45" t="inlineStr">
        <is>
          <t>0036</t>
        </is>
      </c>
      <c r="F273" s="70" t="inlineStr">
        <is>
          <t>Compras</t>
        </is>
      </c>
      <c r="G273" s="66" t="n">
        <v>10.98</v>
      </c>
      <c r="H273" s="172" t="inlineStr">
        <is>
          <t>Não</t>
        </is>
      </c>
      <c r="I273" s="50" t="n"/>
    </row>
    <row r="274">
      <c r="A274" s="40" t="inlineStr">
        <is>
          <t>000454</t>
        </is>
      </c>
      <c r="B274" s="41" t="inlineStr">
        <is>
          <t>BATATA MCAIM 9 MM 2,5KG</t>
        </is>
      </c>
      <c r="C274" s="42" t="inlineStr">
        <is>
          <t>MP</t>
        </is>
      </c>
      <c r="D274" s="42" t="inlineStr">
        <is>
          <t>KG</t>
        </is>
      </c>
      <c r="E274" s="42" t="inlineStr">
        <is>
          <t>0022</t>
        </is>
      </c>
      <c r="F274" s="70" t="inlineStr">
        <is>
          <t>Compras</t>
        </is>
      </c>
      <c r="G274" s="71" t="n">
        <v>15.4233</v>
      </c>
      <c r="H274" s="172" t="inlineStr">
        <is>
          <t>Não</t>
        </is>
      </c>
      <c r="I274" s="49" t="n"/>
    </row>
    <row r="275">
      <c r="A275" s="43" t="inlineStr">
        <is>
          <t>000664</t>
        </is>
      </c>
      <c r="B275" s="44" t="inlineStr">
        <is>
          <t>BATATA PALHA</t>
        </is>
      </c>
      <c r="C275" s="45" t="inlineStr">
        <is>
          <t>MP</t>
        </is>
      </c>
      <c r="D275" s="45" t="inlineStr">
        <is>
          <t>KG</t>
        </is>
      </c>
      <c r="E275" s="45" t="inlineStr">
        <is>
          <t>0029</t>
        </is>
      </c>
      <c r="F275" s="70" t="inlineStr">
        <is>
          <t>Compras</t>
        </is>
      </c>
      <c r="G275" s="66" t="n">
        <v>23.08</v>
      </c>
      <c r="H275" s="172" t="inlineStr">
        <is>
          <t>Não</t>
        </is>
      </c>
      <c r="I275" s="50" t="n"/>
    </row>
    <row r="276">
      <c r="A276" s="40" t="inlineStr">
        <is>
          <t>002281</t>
        </is>
      </c>
      <c r="B276" s="41" t="inlineStr">
        <is>
          <t>BATATA PALITA SURE</t>
        </is>
      </c>
      <c r="C276" s="42" t="inlineStr">
        <is>
          <t>MR</t>
        </is>
      </c>
      <c r="D276" s="42" t="inlineStr">
        <is>
          <t>KG</t>
        </is>
      </c>
      <c r="E276" s="42" t="inlineStr">
        <is>
          <t>0022</t>
        </is>
      </c>
      <c r="F276" s="70" t="inlineStr">
        <is>
          <t>Compras</t>
        </is>
      </c>
      <c r="G276" s="71" t="n">
        <v>18.9</v>
      </c>
      <c r="H276" s="173" t="inlineStr">
        <is>
          <t>Sim</t>
        </is>
      </c>
      <c r="I276" s="49" t="n"/>
    </row>
    <row r="277">
      <c r="A277" s="43" t="inlineStr">
        <is>
          <t>010379</t>
        </is>
      </c>
      <c r="B277" s="44" t="inlineStr">
        <is>
          <t>BATATA RUSTICA VENDA</t>
        </is>
      </c>
      <c r="C277" s="45" t="inlineStr">
        <is>
          <t>PA</t>
        </is>
      </c>
      <c r="D277" s="45" t="inlineStr">
        <is>
          <t>UN</t>
        </is>
      </c>
      <c r="E277" s="45" t="inlineStr">
        <is>
          <t>0022</t>
        </is>
      </c>
      <c r="F277" s="65" t="inlineStr">
        <is>
          <t>Venda</t>
        </is>
      </c>
      <c r="G277" s="69" t="n">
        <v>0</v>
      </c>
      <c r="H277" s="172" t="inlineStr">
        <is>
          <t>Não</t>
        </is>
      </c>
      <c r="I277" s="48" t="inlineStr">
        <is>
          <t>7898905687805</t>
        </is>
      </c>
    </row>
    <row r="278">
      <c r="A278" s="40" t="inlineStr">
        <is>
          <t>009293</t>
        </is>
      </c>
      <c r="B278" s="41" t="inlineStr">
        <is>
          <t>BATATA SMILE COMPRA</t>
        </is>
      </c>
      <c r="C278" s="42" t="inlineStr">
        <is>
          <t>MP</t>
        </is>
      </c>
      <c r="D278" s="42" t="inlineStr">
        <is>
          <t>KG</t>
        </is>
      </c>
      <c r="E278" s="42" t="inlineStr">
        <is>
          <t>0022</t>
        </is>
      </c>
      <c r="F278" s="70" t="inlineStr">
        <is>
          <t>Compras</t>
        </is>
      </c>
      <c r="G278" s="71" t="n">
        <v>20.6289</v>
      </c>
      <c r="H278" s="172" t="inlineStr">
        <is>
          <t>Não</t>
        </is>
      </c>
      <c r="I278" s="49" t="n"/>
    </row>
    <row r="279">
      <c r="A279" s="43" t="inlineStr">
        <is>
          <t>001520</t>
        </is>
      </c>
      <c r="B279" s="44" t="inlineStr">
        <is>
          <t>BATATA SMILES DELIVERY</t>
        </is>
      </c>
      <c r="C279" s="45" t="inlineStr">
        <is>
          <t>PA</t>
        </is>
      </c>
      <c r="D279" s="45" t="inlineStr">
        <is>
          <t>UN</t>
        </is>
      </c>
      <c r="E279" s="45" t="inlineStr">
        <is>
          <t>0022</t>
        </is>
      </c>
      <c r="F279" s="65" t="inlineStr">
        <is>
          <t>Venda</t>
        </is>
      </c>
      <c r="G279" s="66" t="n">
        <v>197.3</v>
      </c>
      <c r="H279" s="172" t="inlineStr">
        <is>
          <t>Não</t>
        </is>
      </c>
      <c r="I279" s="48" t="inlineStr">
        <is>
          <t>78989056877328</t>
        </is>
      </c>
    </row>
    <row r="280">
      <c r="A280" s="40" t="inlineStr">
        <is>
          <t>001506</t>
        </is>
      </c>
      <c r="B280" s="41" t="inlineStr">
        <is>
          <t>BATATA SMILES VENDA</t>
        </is>
      </c>
      <c r="C280" s="42" t="inlineStr">
        <is>
          <t>PA</t>
        </is>
      </c>
      <c r="D280" s="42" t="inlineStr">
        <is>
          <t>UN</t>
        </is>
      </c>
      <c r="E280" s="42" t="inlineStr">
        <is>
          <t>0022</t>
        </is>
      </c>
      <c r="F280" s="65" t="inlineStr">
        <is>
          <t>Venda</t>
        </is>
      </c>
      <c r="G280" s="71" t="n">
        <v>20.6288</v>
      </c>
      <c r="H280" s="172" t="inlineStr">
        <is>
          <t>Não</t>
        </is>
      </c>
      <c r="I280" s="47" t="inlineStr">
        <is>
          <t>78989056877110</t>
        </is>
      </c>
    </row>
    <row r="281">
      <c r="A281" s="43" t="inlineStr">
        <is>
          <t>002219</t>
        </is>
      </c>
      <c r="B281" s="44" t="inlineStr">
        <is>
          <t>BATATA WEDGERS RUSTICA - MCCAIN</t>
        </is>
      </c>
      <c r="C281" s="45" t="inlineStr">
        <is>
          <t>MP</t>
        </is>
      </c>
      <c r="D281" s="45" t="inlineStr">
        <is>
          <t>KG</t>
        </is>
      </c>
      <c r="E281" s="45" t="inlineStr">
        <is>
          <t>0022</t>
        </is>
      </c>
      <c r="F281" s="70" t="inlineStr">
        <is>
          <t>Compras</t>
        </is>
      </c>
      <c r="G281" s="66" t="n">
        <v>16.3928</v>
      </c>
      <c r="H281" s="172" t="inlineStr">
        <is>
          <t>Não</t>
        </is>
      </c>
      <c r="I281" s="50" t="n"/>
    </row>
    <row r="282">
      <c r="A282" s="40" t="inlineStr">
        <is>
          <t>001117</t>
        </is>
      </c>
      <c r="B282" s="41" t="inlineStr">
        <is>
          <t>BATEDOR (FUE)</t>
        </is>
      </c>
      <c r="C282" s="42" t="inlineStr">
        <is>
          <t>MC</t>
        </is>
      </c>
      <c r="D282" s="42" t="inlineStr">
        <is>
          <t>UN</t>
        </is>
      </c>
      <c r="E282" s="42" t="inlineStr">
        <is>
          <t>0080</t>
        </is>
      </c>
      <c r="F282" s="70" t="inlineStr">
        <is>
          <t>Compras</t>
        </is>
      </c>
      <c r="G282" s="71" t="n">
        <v>48</v>
      </c>
      <c r="H282" s="172" t="inlineStr">
        <is>
          <t>Não</t>
        </is>
      </c>
      <c r="I282" s="49" t="n"/>
    </row>
    <row r="283">
      <c r="A283" s="43" t="inlineStr">
        <is>
          <t>001307</t>
        </is>
      </c>
      <c r="B283" s="44" t="inlineStr">
        <is>
          <t>BATERIA</t>
        </is>
      </c>
      <c r="C283" s="45" t="inlineStr">
        <is>
          <t>AI</t>
        </is>
      </c>
      <c r="D283" s="45" t="inlineStr">
        <is>
          <t>UN</t>
        </is>
      </c>
      <c r="E283" s="45" t="inlineStr">
        <is>
          <t>0068</t>
        </is>
      </c>
      <c r="F283" s="70" t="inlineStr">
        <is>
          <t>Compras</t>
        </is>
      </c>
      <c r="G283" s="66" t="n">
        <v>210</v>
      </c>
      <c r="H283" s="173" t="inlineStr">
        <is>
          <t>Sim</t>
        </is>
      </c>
      <c r="I283" s="50" t="n"/>
    </row>
    <row r="284">
      <c r="A284" s="40" t="inlineStr">
        <is>
          <t>009949</t>
        </is>
      </c>
      <c r="B284" s="41" t="inlineStr">
        <is>
          <t>BATERIA ALARME</t>
        </is>
      </c>
      <c r="C284" s="42" t="inlineStr">
        <is>
          <t>MC</t>
        </is>
      </c>
      <c r="D284" s="42" t="inlineStr">
        <is>
          <t>UN</t>
        </is>
      </c>
      <c r="E284" s="42" t="inlineStr">
        <is>
          <t>0006</t>
        </is>
      </c>
      <c r="F284" s="70" t="inlineStr">
        <is>
          <t>Compras</t>
        </is>
      </c>
      <c r="G284" s="71" t="n">
        <v>190</v>
      </c>
      <c r="H284" s="172" t="inlineStr">
        <is>
          <t>Não</t>
        </is>
      </c>
      <c r="I284" s="49" t="n"/>
    </row>
    <row r="285">
      <c r="A285" s="43" t="inlineStr">
        <is>
          <t>009783</t>
        </is>
      </c>
      <c r="B285" s="44" t="inlineStr">
        <is>
          <t>BATERIA INTERNA DELL</t>
        </is>
      </c>
      <c r="C285" s="45" t="inlineStr">
        <is>
          <t>MC</t>
        </is>
      </c>
      <c r="D285" s="45" t="inlineStr">
        <is>
          <t>UN</t>
        </is>
      </c>
      <c r="E285" s="45" t="inlineStr">
        <is>
          <t>0006</t>
        </is>
      </c>
      <c r="F285" s="70" t="inlineStr">
        <is>
          <t>Compras</t>
        </is>
      </c>
      <c r="G285" s="69" t="n">
        <v>0</v>
      </c>
      <c r="H285" s="172" t="inlineStr">
        <is>
          <t>Não</t>
        </is>
      </c>
      <c r="I285" s="50" t="n"/>
    </row>
    <row r="286">
      <c r="A286" s="40" t="inlineStr">
        <is>
          <t>000817</t>
        </is>
      </c>
      <c r="B286" s="41" t="inlineStr">
        <is>
          <t>BATERIA RADIO</t>
        </is>
      </c>
      <c r="C286" s="42" t="inlineStr">
        <is>
          <t>MC</t>
        </is>
      </c>
      <c r="D286" s="42" t="inlineStr">
        <is>
          <t>UN</t>
        </is>
      </c>
      <c r="E286" s="42" t="inlineStr">
        <is>
          <t>0145</t>
        </is>
      </c>
      <c r="F286" s="70" t="inlineStr">
        <is>
          <t>Compras</t>
        </is>
      </c>
      <c r="G286" s="68" t="n">
        <v>0</v>
      </c>
      <c r="H286" s="172" t="inlineStr">
        <is>
          <t>Não</t>
        </is>
      </c>
      <c r="I286" s="49" t="n"/>
    </row>
    <row r="287">
      <c r="A287" s="43" t="inlineStr">
        <is>
          <t>000739</t>
        </is>
      </c>
      <c r="B287" s="44" t="inlineStr">
        <is>
          <t>BATERIA SELADA</t>
        </is>
      </c>
      <c r="C287" s="45" t="inlineStr">
        <is>
          <t>AI</t>
        </is>
      </c>
      <c r="D287" s="45" t="inlineStr">
        <is>
          <t>UN</t>
        </is>
      </c>
      <c r="E287" s="45" t="inlineStr">
        <is>
          <t>0068</t>
        </is>
      </c>
      <c r="F287" s="70" t="inlineStr">
        <is>
          <t>Compras</t>
        </is>
      </c>
      <c r="G287" s="69" t="n">
        <v>0</v>
      </c>
      <c r="H287" s="173" t="inlineStr">
        <is>
          <t>Sim</t>
        </is>
      </c>
      <c r="I287" s="50" t="n"/>
    </row>
    <row r="288">
      <c r="A288" s="40" t="inlineStr">
        <is>
          <t>001361</t>
        </is>
      </c>
      <c r="B288" s="41" t="inlineStr">
        <is>
          <t>BAURU FRIO</t>
        </is>
      </c>
      <c r="C288" s="42" t="inlineStr">
        <is>
          <t>MR</t>
        </is>
      </c>
      <c r="D288" s="42" t="inlineStr">
        <is>
          <t>UN</t>
        </is>
      </c>
      <c r="E288" s="42" t="inlineStr">
        <is>
          <t>0107</t>
        </is>
      </c>
      <c r="F288" s="65" t="inlineStr">
        <is>
          <t>Venda</t>
        </is>
      </c>
      <c r="G288" s="71" t="n">
        <v>65</v>
      </c>
      <c r="H288" s="173" t="inlineStr">
        <is>
          <t>Sim</t>
        </is>
      </c>
      <c r="I288" s="49" t="n"/>
    </row>
    <row r="289">
      <c r="A289" s="43" t="inlineStr">
        <is>
          <t>002130</t>
        </is>
      </c>
      <c r="B289" s="44" t="inlineStr">
        <is>
          <t>BEBIDAS - 5405 - 1</t>
        </is>
      </c>
      <c r="C289" s="45" t="inlineStr">
        <is>
          <t>MR</t>
        </is>
      </c>
      <c r="D289" s="45" t="inlineStr">
        <is>
          <t>UN</t>
        </is>
      </c>
      <c r="E289" s="45" t="inlineStr">
        <is>
          <t>0107</t>
        </is>
      </c>
      <c r="F289" s="65" t="inlineStr">
        <is>
          <t>Venda</t>
        </is>
      </c>
      <c r="G289" s="69" t="n">
        <v>0</v>
      </c>
      <c r="H289" s="172" t="inlineStr">
        <is>
          <t>Não</t>
        </is>
      </c>
      <c r="I289" s="48" t="inlineStr">
        <is>
          <t>9999999</t>
        </is>
      </c>
    </row>
    <row r="290">
      <c r="A290" s="40" t="inlineStr">
        <is>
          <t>001502</t>
        </is>
      </c>
      <c r="B290" s="41" t="inlineStr">
        <is>
          <t>BEBIDAS - 5405 - 2</t>
        </is>
      </c>
      <c r="C290" s="42" t="inlineStr">
        <is>
          <t>MR</t>
        </is>
      </c>
      <c r="D290" s="42" t="inlineStr">
        <is>
          <t>UN</t>
        </is>
      </c>
      <c r="E290" s="42" t="inlineStr">
        <is>
          <t>0107</t>
        </is>
      </c>
      <c r="F290" s="65" t="inlineStr">
        <is>
          <t>Venda</t>
        </is>
      </c>
      <c r="G290" s="68" t="n">
        <v>0</v>
      </c>
      <c r="H290" s="172" t="inlineStr">
        <is>
          <t>Não</t>
        </is>
      </c>
      <c r="I290" s="47" t="inlineStr">
        <is>
          <t>9999999</t>
        </is>
      </c>
    </row>
    <row r="291">
      <c r="A291" s="43" t="inlineStr">
        <is>
          <t>001134</t>
        </is>
      </c>
      <c r="B291" s="44" t="inlineStr">
        <is>
          <t>BECK 350 ML</t>
        </is>
      </c>
      <c r="C291" s="45" t="inlineStr">
        <is>
          <t>MR</t>
        </is>
      </c>
      <c r="D291" s="45" t="inlineStr">
        <is>
          <t>UN</t>
        </is>
      </c>
      <c r="E291" s="45" t="inlineStr">
        <is>
          <t>0026</t>
        </is>
      </c>
      <c r="F291" s="43" t="n"/>
      <c r="G291" s="69" t="n">
        <v>0</v>
      </c>
      <c r="H291" s="173" t="inlineStr">
        <is>
          <t>Sim</t>
        </is>
      </c>
      <c r="I291" s="50" t="n"/>
    </row>
    <row r="292">
      <c r="A292" s="40" t="inlineStr">
        <is>
          <t>002243</t>
        </is>
      </c>
      <c r="B292" s="41" t="inlineStr">
        <is>
          <t>BECKS LONG CARNAVAL</t>
        </is>
      </c>
      <c r="C292" s="42" t="inlineStr">
        <is>
          <t>MR</t>
        </is>
      </c>
      <c r="D292" s="42" t="inlineStr">
        <is>
          <t>UN</t>
        </is>
      </c>
      <c r="E292" s="42" t="inlineStr">
        <is>
          <t>0093</t>
        </is>
      </c>
      <c r="F292" s="65" t="inlineStr">
        <is>
          <t>Venda</t>
        </is>
      </c>
      <c r="G292" s="68" t="n">
        <v>0</v>
      </c>
      <c r="H292" s="177" t="inlineStr">
        <is>
          <t>Sim</t>
        </is>
      </c>
      <c r="I292" s="178" t="n"/>
    </row>
    <row r="293">
      <c r="A293" s="43" t="inlineStr">
        <is>
          <t>001333</t>
        </is>
      </c>
      <c r="B293" s="44" t="inlineStr">
        <is>
          <t>BECKS LONG NECK</t>
        </is>
      </c>
      <c r="C293" s="45" t="inlineStr">
        <is>
          <t>MR</t>
        </is>
      </c>
      <c r="D293" s="45" t="inlineStr">
        <is>
          <t>UN</t>
        </is>
      </c>
      <c r="E293" s="45" t="inlineStr">
        <is>
          <t>0093</t>
        </is>
      </c>
      <c r="F293" s="65" t="inlineStr">
        <is>
          <t>Venda</t>
        </is>
      </c>
      <c r="G293" s="66" t="n">
        <v>4.0119</v>
      </c>
      <c r="H293" s="172" t="inlineStr">
        <is>
          <t>Não</t>
        </is>
      </c>
      <c r="I293" s="48" t="inlineStr">
        <is>
          <t>7898905687149</t>
        </is>
      </c>
    </row>
    <row r="294">
      <c r="A294" s="40" t="inlineStr">
        <is>
          <t>009569</t>
        </is>
      </c>
      <c r="B294" s="41" t="inlineStr">
        <is>
          <t>BEEFEATER ANIVERSARIANTE</t>
        </is>
      </c>
      <c r="C294" s="42" t="inlineStr">
        <is>
          <t>MR</t>
        </is>
      </c>
      <c r="D294" s="42" t="inlineStr">
        <is>
          <t>UN</t>
        </is>
      </c>
      <c r="E294" s="42" t="inlineStr">
        <is>
          <t>0101</t>
        </is>
      </c>
      <c r="F294" s="65" t="inlineStr">
        <is>
          <t>Venda</t>
        </is>
      </c>
      <c r="G294" s="68" t="n">
        <v>0</v>
      </c>
      <c r="H294" s="172" t="inlineStr">
        <is>
          <t>Não</t>
        </is>
      </c>
      <c r="I294" s="47" t="inlineStr">
        <is>
          <t>7898905687713</t>
        </is>
      </c>
    </row>
    <row r="295">
      <c r="A295" s="43" t="inlineStr">
        <is>
          <t>000044</t>
        </is>
      </c>
      <c r="B295" s="44" t="inlineStr">
        <is>
          <t>BEEFEATER DOSE</t>
        </is>
      </c>
      <c r="C295" s="45" t="inlineStr">
        <is>
          <t>PA</t>
        </is>
      </c>
      <c r="D295" s="45" t="inlineStr">
        <is>
          <t>UN</t>
        </is>
      </c>
      <c r="E295" s="45" t="inlineStr">
        <is>
          <t>0101</t>
        </is>
      </c>
      <c r="F295" s="65" t="inlineStr">
        <is>
          <t>Venda</t>
        </is>
      </c>
      <c r="G295" s="69" t="n">
        <v>0</v>
      </c>
      <c r="H295" s="172" t="inlineStr">
        <is>
          <t>Não</t>
        </is>
      </c>
      <c r="I295" s="48" t="inlineStr">
        <is>
          <t>102012</t>
        </is>
      </c>
    </row>
    <row r="296">
      <c r="A296" s="40" t="inlineStr">
        <is>
          <t>000938</t>
        </is>
      </c>
      <c r="B296" s="41" t="inlineStr">
        <is>
          <t>BEEFEATER PINK DOSE</t>
        </is>
      </c>
      <c r="C296" s="42" t="inlineStr">
        <is>
          <t>PA</t>
        </is>
      </c>
      <c r="D296" s="42" t="inlineStr">
        <is>
          <t>UN</t>
        </is>
      </c>
      <c r="E296" s="42" t="inlineStr">
        <is>
          <t>0101</t>
        </is>
      </c>
      <c r="F296" s="65" t="inlineStr">
        <is>
          <t>Venda</t>
        </is>
      </c>
      <c r="G296" s="68" t="n">
        <v>0</v>
      </c>
      <c r="H296" s="177" t="inlineStr">
        <is>
          <t>Sim</t>
        </is>
      </c>
      <c r="I296" s="178" t="n"/>
    </row>
    <row r="297">
      <c r="A297" s="43" t="inlineStr">
        <is>
          <t>009717</t>
        </is>
      </c>
      <c r="B297" s="44" t="inlineStr">
        <is>
          <t>BELVITA CACAU E CEREAIS</t>
        </is>
      </c>
      <c r="C297" s="45" t="inlineStr">
        <is>
          <t>MC</t>
        </is>
      </c>
      <c r="D297" s="45" t="inlineStr">
        <is>
          <t>UN</t>
        </is>
      </c>
      <c r="E297" s="45" t="inlineStr">
        <is>
          <t>0013</t>
        </is>
      </c>
      <c r="F297" s="70" t="inlineStr">
        <is>
          <t>Compras</t>
        </is>
      </c>
      <c r="G297" s="69" t="n">
        <v>0</v>
      </c>
      <c r="H297" s="172" t="inlineStr">
        <is>
          <t>Não</t>
        </is>
      </c>
      <c r="I297" s="50" t="n"/>
    </row>
    <row r="298">
      <c r="A298" s="40" t="inlineStr">
        <is>
          <t>009719</t>
        </is>
      </c>
      <c r="B298" s="41" t="inlineStr">
        <is>
          <t>BELVITA LEITE COM AVEIA</t>
        </is>
      </c>
      <c r="C298" s="42" t="inlineStr">
        <is>
          <t>MC</t>
        </is>
      </c>
      <c r="D298" s="42" t="inlineStr">
        <is>
          <t>UN</t>
        </is>
      </c>
      <c r="E298" s="42" t="inlineStr">
        <is>
          <t>0013</t>
        </is>
      </c>
      <c r="F298" s="70" t="inlineStr">
        <is>
          <t>Compras</t>
        </is>
      </c>
      <c r="G298" s="71" t="n">
        <v>13.98</v>
      </c>
      <c r="H298" s="172" t="inlineStr">
        <is>
          <t>Não</t>
        </is>
      </c>
      <c r="I298" s="49" t="n"/>
    </row>
    <row r="299">
      <c r="A299" s="43" t="inlineStr">
        <is>
          <t>009720</t>
        </is>
      </c>
      <c r="B299" s="44" t="inlineStr">
        <is>
          <t>BELVITA MACA E CANELA</t>
        </is>
      </c>
      <c r="C299" s="45" t="inlineStr">
        <is>
          <t>MC</t>
        </is>
      </c>
      <c r="D299" s="45" t="inlineStr">
        <is>
          <t>UN</t>
        </is>
      </c>
      <c r="E299" s="45" t="inlineStr">
        <is>
          <t>0013</t>
        </is>
      </c>
      <c r="F299" s="70" t="inlineStr">
        <is>
          <t>Compras</t>
        </is>
      </c>
      <c r="G299" s="69" t="n">
        <v>0</v>
      </c>
      <c r="H299" s="172" t="inlineStr">
        <is>
          <t>Não</t>
        </is>
      </c>
      <c r="I299" s="50" t="n"/>
    </row>
    <row r="300">
      <c r="A300" s="40" t="inlineStr">
        <is>
          <t>009718</t>
        </is>
      </c>
      <c r="B300" s="41" t="inlineStr">
        <is>
          <t>BELVITA MEL E CACAU</t>
        </is>
      </c>
      <c r="C300" s="42" t="inlineStr">
        <is>
          <t>MC</t>
        </is>
      </c>
      <c r="D300" s="42" t="inlineStr">
        <is>
          <t>UN</t>
        </is>
      </c>
      <c r="E300" s="42" t="inlineStr">
        <is>
          <t>0013</t>
        </is>
      </c>
      <c r="F300" s="70" t="inlineStr">
        <is>
          <t>Compras</t>
        </is>
      </c>
      <c r="G300" s="71" t="n">
        <v>13.98</v>
      </c>
      <c r="H300" s="172" t="inlineStr">
        <is>
          <t>Não</t>
        </is>
      </c>
      <c r="I300" s="49" t="n"/>
    </row>
    <row r="301">
      <c r="A301" s="43" t="inlineStr">
        <is>
          <t>000466</t>
        </is>
      </c>
      <c r="B301" s="44" t="inlineStr">
        <is>
          <t>BERINJELA</t>
        </is>
      </c>
      <c r="C301" s="45" t="inlineStr">
        <is>
          <t>MP</t>
        </is>
      </c>
      <c r="D301" s="45" t="inlineStr">
        <is>
          <t>KG</t>
        </is>
      </c>
      <c r="E301" s="45" t="inlineStr">
        <is>
          <t>0036</t>
        </is>
      </c>
      <c r="F301" s="70" t="inlineStr">
        <is>
          <t>Compras</t>
        </is>
      </c>
      <c r="G301" s="66" t="n">
        <v>11.33</v>
      </c>
      <c r="H301" s="172" t="inlineStr">
        <is>
          <t>Não</t>
        </is>
      </c>
      <c r="I301" s="50" t="n"/>
    </row>
    <row r="302">
      <c r="A302" s="40" t="inlineStr">
        <is>
          <t>002125</t>
        </is>
      </c>
      <c r="B302" s="41" t="inlineStr">
        <is>
          <t>BERINJELA NO SHOYO</t>
        </is>
      </c>
      <c r="C302" s="42" t="inlineStr">
        <is>
          <t>PA</t>
        </is>
      </c>
      <c r="D302" s="42" t="inlineStr">
        <is>
          <t>UN</t>
        </is>
      </c>
      <c r="E302" s="42" t="inlineStr">
        <is>
          <t>0121</t>
        </is>
      </c>
      <c r="F302" s="65" t="inlineStr">
        <is>
          <t>Venda</t>
        </is>
      </c>
      <c r="G302" s="68" t="n">
        <v>0</v>
      </c>
      <c r="H302" s="172" t="inlineStr">
        <is>
          <t>Não</t>
        </is>
      </c>
      <c r="I302" s="47" t="inlineStr">
        <is>
          <t>78989056877317</t>
        </is>
      </c>
    </row>
    <row r="303">
      <c r="A303" s="43" t="inlineStr">
        <is>
          <t>000629</t>
        </is>
      </c>
      <c r="B303" s="44" t="inlineStr">
        <is>
          <t>BETERRABA</t>
        </is>
      </c>
      <c r="C303" s="45" t="inlineStr">
        <is>
          <t>MP</t>
        </is>
      </c>
      <c r="D303" s="45" t="inlineStr">
        <is>
          <t>KG</t>
        </is>
      </c>
      <c r="E303" s="45" t="inlineStr">
        <is>
          <t>0036</t>
        </is>
      </c>
      <c r="F303" s="70" t="inlineStr">
        <is>
          <t>Compras</t>
        </is>
      </c>
      <c r="G303" s="66" t="n">
        <v>7.49</v>
      </c>
      <c r="H303" s="172" t="inlineStr">
        <is>
          <t>Não</t>
        </is>
      </c>
      <c r="I303" s="50" t="n"/>
    </row>
    <row r="304">
      <c r="A304" s="40" t="inlineStr">
        <is>
          <t>000712</t>
        </is>
      </c>
      <c r="B304" s="41" t="inlineStr">
        <is>
          <t>BEXIGA (BALAO)</t>
        </is>
      </c>
      <c r="C304" s="42" t="inlineStr">
        <is>
          <t>MC</t>
        </is>
      </c>
      <c r="D304" s="42" t="inlineStr">
        <is>
          <t>UN</t>
        </is>
      </c>
      <c r="E304" s="42" t="inlineStr">
        <is>
          <t>0075</t>
        </is>
      </c>
      <c r="F304" s="70" t="inlineStr">
        <is>
          <t>Compras</t>
        </is>
      </c>
      <c r="G304" s="71" t="n">
        <v>5.05</v>
      </c>
      <c r="H304" s="172" t="inlineStr">
        <is>
          <t>Não</t>
        </is>
      </c>
      <c r="I304" s="49" t="n"/>
    </row>
    <row r="305">
      <c r="A305" s="43" t="inlineStr">
        <is>
          <t>009558</t>
        </is>
      </c>
      <c r="B305" s="44" t="inlineStr">
        <is>
          <t>BEXIGA COLORIDA REDONDA N 9</t>
        </is>
      </c>
      <c r="C305" s="45" t="inlineStr">
        <is>
          <t>MC</t>
        </is>
      </c>
      <c r="D305" s="45" t="inlineStr">
        <is>
          <t>UN</t>
        </is>
      </c>
      <c r="E305" s="45" t="inlineStr">
        <is>
          <t>0134</t>
        </is>
      </c>
      <c r="F305" s="70" t="inlineStr">
        <is>
          <t>Compras</t>
        </is>
      </c>
      <c r="G305" s="69" t="n">
        <v>0</v>
      </c>
      <c r="H305" s="172" t="inlineStr">
        <is>
          <t>Não</t>
        </is>
      </c>
      <c r="I305" s="50" t="n"/>
    </row>
    <row r="306">
      <c r="A306" s="40" t="inlineStr">
        <is>
          <t>009557</t>
        </is>
      </c>
      <c r="B306" s="41" t="inlineStr">
        <is>
          <t>BEXIGA DE MODELAR CORES DIVERSAS</t>
        </is>
      </c>
      <c r="C306" s="42" t="inlineStr">
        <is>
          <t>MC</t>
        </is>
      </c>
      <c r="D306" s="42" t="inlineStr">
        <is>
          <t>UN</t>
        </is>
      </c>
      <c r="E306" s="42" t="inlineStr">
        <is>
          <t>0135</t>
        </is>
      </c>
      <c r="F306" s="70" t="inlineStr">
        <is>
          <t>Compras</t>
        </is>
      </c>
      <c r="G306" s="68" t="n">
        <v>0</v>
      </c>
      <c r="H306" s="172" t="inlineStr">
        <is>
          <t>Não</t>
        </is>
      </c>
      <c r="I306" s="49" t="n"/>
    </row>
    <row r="307">
      <c r="A307" s="43" t="inlineStr">
        <is>
          <t>009859</t>
        </is>
      </c>
      <c r="B307" s="44" t="inlineStr">
        <is>
          <t>BICICLETA INFANTIL ARO 12</t>
        </is>
      </c>
      <c r="C307" s="45" t="inlineStr">
        <is>
          <t>MC</t>
        </is>
      </c>
      <c r="D307" s="45" t="inlineStr">
        <is>
          <t>UN</t>
        </is>
      </c>
      <c r="E307" s="45" t="inlineStr">
        <is>
          <t>0135</t>
        </is>
      </c>
      <c r="F307" s="70" t="inlineStr">
        <is>
          <t>Compras</t>
        </is>
      </c>
      <c r="G307" s="66" t="n">
        <v>349.99</v>
      </c>
      <c r="H307" s="172" t="inlineStr">
        <is>
          <t>Não</t>
        </is>
      </c>
      <c r="I307" s="50" t="n"/>
    </row>
    <row r="308">
      <c r="A308" s="40" t="inlineStr">
        <is>
          <t>009842</t>
        </is>
      </c>
      <c r="B308" s="41" t="inlineStr">
        <is>
          <t>BILHETERIA PAGODE</t>
        </is>
      </c>
      <c r="C308" s="42" t="inlineStr">
        <is>
          <t>OI</t>
        </is>
      </c>
      <c r="D308" s="42" t="inlineStr">
        <is>
          <t>UN</t>
        </is>
      </c>
      <c r="E308" s="42" t="inlineStr">
        <is>
          <t>0128</t>
        </is>
      </c>
      <c r="F308" s="65" t="inlineStr">
        <is>
          <t>Venda</t>
        </is>
      </c>
      <c r="G308" s="68" t="n">
        <v>0</v>
      </c>
      <c r="H308" s="172" t="inlineStr">
        <is>
          <t>Não</t>
        </is>
      </c>
      <c r="I308" s="47" t="inlineStr">
        <is>
          <t>78989056877165</t>
        </is>
      </c>
    </row>
    <row r="309">
      <c r="A309" s="43" t="inlineStr">
        <is>
          <t>002129</t>
        </is>
      </c>
      <c r="B309" s="44" t="inlineStr">
        <is>
          <t>BIOC DETERGENTE CLORADO BIO 5L - F</t>
        </is>
      </c>
      <c r="C309" s="45" t="inlineStr">
        <is>
          <t>MC</t>
        </is>
      </c>
      <c r="D309" s="45" t="inlineStr">
        <is>
          <t>UN</t>
        </is>
      </c>
      <c r="E309" s="45" t="inlineStr">
        <is>
          <t>0074</t>
        </is>
      </c>
      <c r="F309" s="70" t="inlineStr">
        <is>
          <t>Compras</t>
        </is>
      </c>
      <c r="G309" s="69" t="n">
        <v>0</v>
      </c>
      <c r="H309" s="173" t="inlineStr">
        <is>
          <t>Sim</t>
        </is>
      </c>
      <c r="I309" s="50" t="n"/>
    </row>
    <row r="310">
      <c r="A310" s="40" t="inlineStr">
        <is>
          <t>000546</t>
        </is>
      </c>
      <c r="B310" s="41" t="inlineStr">
        <is>
          <t>BIQUEIRAS DE GARRAFA 7 CM</t>
        </is>
      </c>
      <c r="C310" s="42" t="inlineStr">
        <is>
          <t>MC</t>
        </is>
      </c>
      <c r="D310" s="42" t="inlineStr">
        <is>
          <t>UN</t>
        </is>
      </c>
      <c r="E310" s="42" t="inlineStr">
        <is>
          <t>0079</t>
        </is>
      </c>
      <c r="F310" s="70" t="inlineStr">
        <is>
          <t>Compras</t>
        </is>
      </c>
      <c r="G310" s="71" t="n">
        <v>14.2</v>
      </c>
      <c r="H310" s="172" t="inlineStr">
        <is>
          <t>Não</t>
        </is>
      </c>
      <c r="I310" s="49" t="n"/>
    </row>
    <row r="311">
      <c r="A311" s="43" t="inlineStr">
        <is>
          <t>009715</t>
        </is>
      </c>
      <c r="B311" s="44" t="inlineStr">
        <is>
          <t>BIS AO LEITE</t>
        </is>
      </c>
      <c r="C311" s="45" t="inlineStr">
        <is>
          <t>MC</t>
        </is>
      </c>
      <c r="D311" s="45" t="inlineStr">
        <is>
          <t>UN</t>
        </is>
      </c>
      <c r="E311" s="45" t="inlineStr">
        <is>
          <t>0013</t>
        </is>
      </c>
      <c r="F311" s="70" t="inlineStr">
        <is>
          <t>Compras</t>
        </is>
      </c>
      <c r="G311" s="66" t="n">
        <v>5.99</v>
      </c>
      <c r="H311" s="172" t="inlineStr">
        <is>
          <t>Não</t>
        </is>
      </c>
      <c r="I311" s="50" t="n"/>
    </row>
    <row r="312">
      <c r="A312" s="40" t="inlineStr">
        <is>
          <t>009716</t>
        </is>
      </c>
      <c r="B312" s="41" t="inlineStr">
        <is>
          <t>BIS BLACK</t>
        </is>
      </c>
      <c r="C312" s="42" t="inlineStr">
        <is>
          <t>MC</t>
        </is>
      </c>
      <c r="D312" s="42" t="inlineStr">
        <is>
          <t>UN</t>
        </is>
      </c>
      <c r="E312" s="42" t="inlineStr">
        <is>
          <t>0013</t>
        </is>
      </c>
      <c r="F312" s="70" t="inlineStr">
        <is>
          <t>Compras</t>
        </is>
      </c>
      <c r="G312" s="71" t="n">
        <v>7.725</v>
      </c>
      <c r="H312" s="172" t="inlineStr">
        <is>
          <t>Não</t>
        </is>
      </c>
      <c r="I312" s="49" t="n"/>
    </row>
    <row r="313">
      <c r="A313" s="43" t="inlineStr">
        <is>
          <t>009714</t>
        </is>
      </c>
      <c r="B313" s="44" t="inlineStr">
        <is>
          <t>BIS BRANCO</t>
        </is>
      </c>
      <c r="C313" s="45" t="inlineStr">
        <is>
          <t>MC</t>
        </is>
      </c>
      <c r="D313" s="45" t="inlineStr">
        <is>
          <t>UN</t>
        </is>
      </c>
      <c r="E313" s="45" t="inlineStr">
        <is>
          <t>0013</t>
        </is>
      </c>
      <c r="F313" s="70" t="inlineStr">
        <is>
          <t>Compras</t>
        </is>
      </c>
      <c r="G313" s="66" t="n">
        <v>7.725</v>
      </c>
      <c r="H313" s="172" t="inlineStr">
        <is>
          <t>Não</t>
        </is>
      </c>
      <c r="I313" s="50" t="n"/>
    </row>
    <row r="314">
      <c r="A314" s="40" t="inlineStr">
        <is>
          <t>009713</t>
        </is>
      </c>
      <c r="B314" s="41" t="inlineStr">
        <is>
          <t>BIS LIMAO</t>
        </is>
      </c>
      <c r="C314" s="42" t="inlineStr">
        <is>
          <t>MC</t>
        </is>
      </c>
      <c r="D314" s="42" t="inlineStr">
        <is>
          <t>UN</t>
        </is>
      </c>
      <c r="E314" s="42" t="inlineStr">
        <is>
          <t>0013</t>
        </is>
      </c>
      <c r="F314" s="70" t="inlineStr">
        <is>
          <t>Compras</t>
        </is>
      </c>
      <c r="G314" s="71" t="n">
        <v>7.79</v>
      </c>
      <c r="H314" s="172" t="inlineStr">
        <is>
          <t>Não</t>
        </is>
      </c>
      <c r="I314" s="49" t="n"/>
    </row>
    <row r="315">
      <c r="A315" s="43" t="inlineStr">
        <is>
          <t>009726</t>
        </is>
      </c>
      <c r="B315" s="44" t="inlineStr">
        <is>
          <t>BISCOITO CLUB SOCIAL MIX DE QUEIJO</t>
        </is>
      </c>
      <c r="C315" s="45" t="inlineStr">
        <is>
          <t>MC</t>
        </is>
      </c>
      <c r="D315" s="45" t="inlineStr">
        <is>
          <t>UN</t>
        </is>
      </c>
      <c r="E315" s="45" t="inlineStr">
        <is>
          <t>0013</t>
        </is>
      </c>
      <c r="F315" s="70" t="inlineStr">
        <is>
          <t>Compras</t>
        </is>
      </c>
      <c r="G315" s="66" t="n">
        <v>4.99</v>
      </c>
      <c r="H315" s="172" t="inlineStr">
        <is>
          <t>Não</t>
        </is>
      </c>
      <c r="I315" s="50" t="n"/>
    </row>
    <row r="316">
      <c r="A316" s="40" t="inlineStr">
        <is>
          <t>009728</t>
        </is>
      </c>
      <c r="B316" s="41" t="inlineStr">
        <is>
          <t>BISCOITO CLUB SOCIAL ORIGINAL</t>
        </is>
      </c>
      <c r="C316" s="42" t="inlineStr">
        <is>
          <t>MC</t>
        </is>
      </c>
      <c r="D316" s="42" t="inlineStr">
        <is>
          <t>UN</t>
        </is>
      </c>
      <c r="E316" s="42" t="inlineStr">
        <is>
          <t>0013</t>
        </is>
      </c>
      <c r="F316" s="70" t="inlineStr">
        <is>
          <t>Compras</t>
        </is>
      </c>
      <c r="G316" s="71" t="n">
        <v>4.99</v>
      </c>
      <c r="H316" s="172" t="inlineStr">
        <is>
          <t>Não</t>
        </is>
      </c>
      <c r="I316" s="49" t="n"/>
    </row>
    <row r="317">
      <c r="A317" s="43" t="inlineStr">
        <is>
          <t>009729</t>
        </is>
      </c>
      <c r="B317" s="44" t="inlineStr">
        <is>
          <t>BISCOITO CLUB SOCIAL PAO DE ALHO</t>
        </is>
      </c>
      <c r="C317" s="45" t="inlineStr">
        <is>
          <t>MC</t>
        </is>
      </c>
      <c r="D317" s="45" t="inlineStr">
        <is>
          <t>UN</t>
        </is>
      </c>
      <c r="E317" s="45" t="inlineStr">
        <is>
          <t>0013</t>
        </is>
      </c>
      <c r="F317" s="70" t="inlineStr">
        <is>
          <t>Compras</t>
        </is>
      </c>
      <c r="G317" s="66" t="n">
        <v>5.48</v>
      </c>
      <c r="H317" s="172" t="inlineStr">
        <is>
          <t>Não</t>
        </is>
      </c>
      <c r="I317" s="50" t="n"/>
    </row>
    <row r="318">
      <c r="A318" s="40" t="inlineStr">
        <is>
          <t>009724</t>
        </is>
      </c>
      <c r="B318" s="41" t="inlineStr">
        <is>
          <t>BISCOITO CLUB SOCIAL PIZZA</t>
        </is>
      </c>
      <c r="C318" s="42" t="inlineStr">
        <is>
          <t>MC</t>
        </is>
      </c>
      <c r="D318" s="42" t="inlineStr">
        <is>
          <t>UN</t>
        </is>
      </c>
      <c r="E318" s="42" t="inlineStr">
        <is>
          <t>0013</t>
        </is>
      </c>
      <c r="F318" s="70" t="inlineStr">
        <is>
          <t>Compras</t>
        </is>
      </c>
      <c r="G318" s="71" t="n">
        <v>4.99</v>
      </c>
      <c r="H318" s="172" t="inlineStr">
        <is>
          <t>Não</t>
        </is>
      </c>
      <c r="I318" s="49" t="n"/>
    </row>
    <row r="319">
      <c r="A319" s="43" t="inlineStr">
        <is>
          <t>009725</t>
        </is>
      </c>
      <c r="B319" s="44" t="inlineStr">
        <is>
          <t>BISCOITO CLUB SOCIAL PRESUNTO</t>
        </is>
      </c>
      <c r="C319" s="45" t="inlineStr">
        <is>
          <t>MC</t>
        </is>
      </c>
      <c r="D319" s="45" t="inlineStr">
        <is>
          <t>UN</t>
        </is>
      </c>
      <c r="E319" s="45" t="inlineStr">
        <is>
          <t>0013</t>
        </is>
      </c>
      <c r="F319" s="70" t="inlineStr">
        <is>
          <t>Compras</t>
        </is>
      </c>
      <c r="G319" s="66" t="n">
        <v>4.99</v>
      </c>
      <c r="H319" s="172" t="inlineStr">
        <is>
          <t>Não</t>
        </is>
      </c>
      <c r="I319" s="50" t="n"/>
    </row>
    <row r="320">
      <c r="A320" s="40" t="inlineStr">
        <is>
          <t>009727</t>
        </is>
      </c>
      <c r="B320" s="41" t="inlineStr">
        <is>
          <t>BISCOITO CLUB SOCIAL PROVOLONE COM BACON</t>
        </is>
      </c>
      <c r="C320" s="42" t="inlineStr">
        <is>
          <t>MC</t>
        </is>
      </c>
      <c r="D320" s="42" t="inlineStr">
        <is>
          <t>UN</t>
        </is>
      </c>
      <c r="E320" s="42" t="inlineStr">
        <is>
          <t>0013</t>
        </is>
      </c>
      <c r="F320" s="70" t="inlineStr">
        <is>
          <t>Compras</t>
        </is>
      </c>
      <c r="G320" s="68" t="n">
        <v>0</v>
      </c>
      <c r="H320" s="172" t="inlineStr">
        <is>
          <t>Não</t>
        </is>
      </c>
      <c r="I320" s="49" t="n"/>
    </row>
    <row r="321">
      <c r="A321" s="43" t="inlineStr">
        <is>
          <t>000685</t>
        </is>
      </c>
      <c r="B321" s="44" t="inlineStr">
        <is>
          <t>BISNAGA 240 ML</t>
        </is>
      </c>
      <c r="C321" s="45" t="inlineStr">
        <is>
          <t>MC</t>
        </is>
      </c>
      <c r="D321" s="45" t="inlineStr">
        <is>
          <t>UN</t>
        </is>
      </c>
      <c r="E321" s="45" t="inlineStr">
        <is>
          <t>0080</t>
        </is>
      </c>
      <c r="F321" s="70" t="inlineStr">
        <is>
          <t>Compras</t>
        </is>
      </c>
      <c r="G321" s="66" t="n">
        <v>8.9</v>
      </c>
      <c r="H321" s="172" t="inlineStr">
        <is>
          <t>Não</t>
        </is>
      </c>
      <c r="I321" s="50" t="n"/>
    </row>
    <row r="322">
      <c r="A322" s="40" t="inlineStr">
        <is>
          <t>000691</t>
        </is>
      </c>
      <c r="B322" s="41" t="inlineStr">
        <is>
          <t>BISNAGA 720 ML</t>
        </is>
      </c>
      <c r="C322" s="42" t="inlineStr">
        <is>
          <t>MC</t>
        </is>
      </c>
      <c r="D322" s="42" t="inlineStr">
        <is>
          <t>UN</t>
        </is>
      </c>
      <c r="E322" s="42" t="inlineStr">
        <is>
          <t>0080</t>
        </is>
      </c>
      <c r="F322" s="70" t="inlineStr">
        <is>
          <t>Compras</t>
        </is>
      </c>
      <c r="G322" s="71" t="n">
        <v>22</v>
      </c>
      <c r="H322" s="172" t="inlineStr">
        <is>
          <t>Não</t>
        </is>
      </c>
      <c r="I322" s="49" t="n"/>
    </row>
    <row r="323">
      <c r="A323" s="43" t="inlineStr">
        <is>
          <t>000427</t>
        </is>
      </c>
      <c r="B323" s="44" t="inlineStr">
        <is>
          <t>BISTECA SUINA FUNCIONARIO</t>
        </is>
      </c>
      <c r="C323" s="45" t="inlineStr">
        <is>
          <t>MC</t>
        </is>
      </c>
      <c r="D323" s="45" t="inlineStr">
        <is>
          <t>KG</t>
        </is>
      </c>
      <c r="E323" s="45" t="inlineStr">
        <is>
          <t>0013</t>
        </is>
      </c>
      <c r="F323" s="70" t="inlineStr">
        <is>
          <t>Compras</t>
        </is>
      </c>
      <c r="G323" s="66" t="n">
        <v>17.36</v>
      </c>
      <c r="H323" s="172" t="inlineStr">
        <is>
          <t>Não</t>
        </is>
      </c>
      <c r="I323" s="50" t="n"/>
    </row>
    <row r="324">
      <c r="A324" s="40" t="inlineStr">
        <is>
          <t>010157</t>
        </is>
      </c>
      <c r="B324" s="41" t="inlineStr">
        <is>
          <t>BITS PONTA PHILIPS PARA DRYWALL</t>
        </is>
      </c>
      <c r="C324" s="42" t="inlineStr">
        <is>
          <t>MC</t>
        </is>
      </c>
      <c r="D324" s="42" t="inlineStr">
        <is>
          <t>UN</t>
        </is>
      </c>
      <c r="E324" s="42" t="inlineStr">
        <is>
          <t>0132</t>
        </is>
      </c>
      <c r="F324" s="70" t="inlineStr">
        <is>
          <t>Compras</t>
        </is>
      </c>
      <c r="G324" s="71" t="n">
        <v>15.236</v>
      </c>
      <c r="H324" s="172" t="inlineStr">
        <is>
          <t>Não</t>
        </is>
      </c>
      <c r="I324" s="49" t="n"/>
    </row>
    <row r="325">
      <c r="A325" s="43" t="inlineStr">
        <is>
          <t>001910</t>
        </is>
      </c>
      <c r="B325" s="44" t="inlineStr">
        <is>
          <t>BLACK LABEL ANIVERSARIANTE</t>
        </is>
      </c>
      <c r="C325" s="45" t="inlineStr">
        <is>
          <t>MR</t>
        </is>
      </c>
      <c r="D325" s="45" t="inlineStr">
        <is>
          <t>UN</t>
        </is>
      </c>
      <c r="E325" s="45" t="inlineStr">
        <is>
          <t>0120</t>
        </is>
      </c>
      <c r="F325" s="65" t="inlineStr">
        <is>
          <t>Venda</t>
        </is>
      </c>
      <c r="G325" s="69" t="n">
        <v>0</v>
      </c>
      <c r="H325" s="172" t="inlineStr">
        <is>
          <t>Não</t>
        </is>
      </c>
      <c r="I325" s="48" t="inlineStr">
        <is>
          <t>9003508</t>
        </is>
      </c>
    </row>
    <row r="326">
      <c r="A326" s="40" t="inlineStr">
        <is>
          <t>002208</t>
        </is>
      </c>
      <c r="B326" s="41" t="inlineStr">
        <is>
          <t>BLACK LABEL COMBO</t>
        </is>
      </c>
      <c r="C326" s="42" t="inlineStr">
        <is>
          <t>PA</t>
        </is>
      </c>
      <c r="D326" s="42" t="inlineStr">
        <is>
          <t>UN</t>
        </is>
      </c>
      <c r="E326" s="42" t="inlineStr">
        <is>
          <t>0101</t>
        </is>
      </c>
      <c r="F326" s="65" t="inlineStr">
        <is>
          <t>Venda</t>
        </is>
      </c>
      <c r="G326" s="68" t="n">
        <v>0</v>
      </c>
      <c r="H326" s="172" t="inlineStr">
        <is>
          <t>Não</t>
        </is>
      </c>
      <c r="I326" s="47" t="inlineStr">
        <is>
          <t>9003424</t>
        </is>
      </c>
    </row>
    <row r="327">
      <c r="A327" s="43" t="inlineStr">
        <is>
          <t>001146</t>
        </is>
      </c>
      <c r="B327" s="44" t="inlineStr">
        <is>
          <t>BLACK LABEL DOSE</t>
        </is>
      </c>
      <c r="C327" s="45" t="inlineStr">
        <is>
          <t>PA</t>
        </is>
      </c>
      <c r="D327" s="45" t="inlineStr">
        <is>
          <t>UN</t>
        </is>
      </c>
      <c r="E327" s="45" t="inlineStr">
        <is>
          <t>0120</t>
        </is>
      </c>
      <c r="F327" s="65" t="inlineStr">
        <is>
          <t>Venda</t>
        </is>
      </c>
      <c r="G327" s="69" t="n">
        <v>0</v>
      </c>
      <c r="H327" s="172" t="inlineStr">
        <is>
          <t>Não</t>
        </is>
      </c>
      <c r="I327" s="48" t="inlineStr">
        <is>
          <t>9003425</t>
        </is>
      </c>
    </row>
    <row r="328">
      <c r="A328" s="40" t="inlineStr">
        <is>
          <t>001153</t>
        </is>
      </c>
      <c r="B328" s="41" t="inlineStr">
        <is>
          <t>BLACK LABEL GARRAFA</t>
        </is>
      </c>
      <c r="C328" s="42" t="inlineStr">
        <is>
          <t>MR</t>
        </is>
      </c>
      <c r="D328" s="42" t="inlineStr">
        <is>
          <t>UN</t>
        </is>
      </c>
      <c r="E328" s="42" t="inlineStr">
        <is>
          <t>0120</t>
        </is>
      </c>
      <c r="F328" s="65" t="inlineStr">
        <is>
          <t>Venda</t>
        </is>
      </c>
      <c r="G328" s="68" t="n">
        <v>0</v>
      </c>
      <c r="H328" s="173" t="inlineStr">
        <is>
          <t>Sim</t>
        </is>
      </c>
      <c r="I328" s="49" t="n"/>
    </row>
    <row r="329">
      <c r="A329" s="43" t="inlineStr">
        <is>
          <t>001338</t>
        </is>
      </c>
      <c r="B329" s="44" t="inlineStr">
        <is>
          <t>BLACK LABEL GARRAFA</t>
        </is>
      </c>
      <c r="C329" s="45" t="inlineStr">
        <is>
          <t>MR</t>
        </is>
      </c>
      <c r="D329" s="45" t="inlineStr">
        <is>
          <t>UN</t>
        </is>
      </c>
      <c r="E329" s="45" t="inlineStr">
        <is>
          <t>0120</t>
        </is>
      </c>
      <c r="F329" s="65" t="inlineStr">
        <is>
          <t>Venda</t>
        </is>
      </c>
      <c r="G329" s="69" t="n">
        <v>0</v>
      </c>
      <c r="H329" s="172" t="inlineStr">
        <is>
          <t>Não</t>
        </is>
      </c>
      <c r="I329" s="48" t="inlineStr">
        <is>
          <t>7898905687154</t>
        </is>
      </c>
    </row>
    <row r="330">
      <c r="A330" s="40" t="inlineStr">
        <is>
          <t>009307</t>
        </is>
      </c>
      <c r="B330" s="41" t="inlineStr">
        <is>
          <t>BLOCO CERAMICO VEDACAO 11,5X14X24 CM</t>
        </is>
      </c>
      <c r="C330" s="42" t="inlineStr">
        <is>
          <t>MC</t>
        </is>
      </c>
      <c r="D330" s="42" t="inlineStr">
        <is>
          <t>UN</t>
        </is>
      </c>
      <c r="E330" s="42" t="inlineStr">
        <is>
          <t>0132</t>
        </is>
      </c>
      <c r="F330" s="70" t="inlineStr">
        <is>
          <t>Compras</t>
        </is>
      </c>
      <c r="G330" s="71" t="n">
        <v>6</v>
      </c>
      <c r="H330" s="172" t="inlineStr">
        <is>
          <t>Não</t>
        </is>
      </c>
      <c r="I330" s="49" t="n"/>
    </row>
    <row r="331">
      <c r="A331" s="43" t="inlineStr">
        <is>
          <t>009971</t>
        </is>
      </c>
      <c r="B331" s="44" t="inlineStr">
        <is>
          <t>BLOCO CONCRETO 14X19X39</t>
        </is>
      </c>
      <c r="C331" s="45" t="inlineStr">
        <is>
          <t>MC</t>
        </is>
      </c>
      <c r="D331" s="45" t="inlineStr">
        <is>
          <t>UN</t>
        </is>
      </c>
      <c r="E331" s="45" t="inlineStr">
        <is>
          <t>0132</t>
        </is>
      </c>
      <c r="F331" s="70" t="inlineStr">
        <is>
          <t>Compras</t>
        </is>
      </c>
      <c r="G331" s="66" t="n">
        <v>6.5</v>
      </c>
      <c r="H331" s="172" t="inlineStr">
        <is>
          <t>Não</t>
        </is>
      </c>
      <c r="I331" s="50" t="n"/>
    </row>
    <row r="332">
      <c r="A332" s="40" t="inlineStr">
        <is>
          <t>009654</t>
        </is>
      </c>
      <c r="B332" s="41" t="inlineStr">
        <is>
          <t>BLOCO ESPUMA PARA ACABAMENTO DE REJUNTE</t>
        </is>
      </c>
      <c r="C332" s="42" t="inlineStr">
        <is>
          <t>MC</t>
        </is>
      </c>
      <c r="D332" s="42" t="inlineStr">
        <is>
          <t>UN</t>
        </is>
      </c>
      <c r="E332" s="42" t="inlineStr">
        <is>
          <t>0132</t>
        </is>
      </c>
      <c r="F332" s="70" t="inlineStr">
        <is>
          <t>Compras</t>
        </is>
      </c>
      <c r="G332" s="71" t="n">
        <v>5.85</v>
      </c>
      <c r="H332" s="172" t="inlineStr">
        <is>
          <t>Não</t>
        </is>
      </c>
      <c r="I332" s="49" t="n"/>
    </row>
    <row r="333">
      <c r="A333" s="43" t="inlineStr">
        <is>
          <t>000808</t>
        </is>
      </c>
      <c r="B333" s="44" t="inlineStr">
        <is>
          <t>BOBINA CIELO</t>
        </is>
      </c>
      <c r="C333" s="45" t="inlineStr">
        <is>
          <t>MC</t>
        </is>
      </c>
      <c r="D333" s="45" t="inlineStr">
        <is>
          <t>UN</t>
        </is>
      </c>
      <c r="E333" s="45" t="inlineStr">
        <is>
          <t>0001</t>
        </is>
      </c>
      <c r="F333" s="70" t="inlineStr">
        <is>
          <t>Compras</t>
        </is>
      </c>
      <c r="G333" s="66" t="n">
        <v>4.55</v>
      </c>
      <c r="H333" s="172" t="inlineStr">
        <is>
          <t>Não</t>
        </is>
      </c>
      <c r="I333" s="50" t="n"/>
    </row>
    <row r="334">
      <c r="A334" s="40" t="inlineStr">
        <is>
          <t>000787</t>
        </is>
      </c>
      <c r="B334" s="41" t="inlineStr">
        <is>
          <t>BOBINA TERMICA CAIXA</t>
        </is>
      </c>
      <c r="C334" s="42" t="inlineStr">
        <is>
          <t>MC</t>
        </is>
      </c>
      <c r="D334" s="42" t="inlineStr">
        <is>
          <t>UN</t>
        </is>
      </c>
      <c r="E334" s="42" t="inlineStr">
        <is>
          <t>0001</t>
        </is>
      </c>
      <c r="F334" s="70" t="inlineStr">
        <is>
          <t>Compras</t>
        </is>
      </c>
      <c r="G334" s="71" t="n">
        <v>4.8</v>
      </c>
      <c r="H334" s="172" t="inlineStr">
        <is>
          <t>Não</t>
        </is>
      </c>
      <c r="I334" s="49" t="n"/>
    </row>
    <row r="335">
      <c r="A335" s="43" t="inlineStr">
        <is>
          <t>000809</t>
        </is>
      </c>
      <c r="B335" s="44" t="inlineStr">
        <is>
          <t>BOBINA TERMICA REL. PONTO</t>
        </is>
      </c>
      <c r="C335" s="45" t="inlineStr">
        <is>
          <t>MC</t>
        </is>
      </c>
      <c r="D335" s="45" t="inlineStr">
        <is>
          <t>UN</t>
        </is>
      </c>
      <c r="E335" s="45" t="inlineStr">
        <is>
          <t>0001</t>
        </is>
      </c>
      <c r="F335" s="70" t="inlineStr">
        <is>
          <t>Compras</t>
        </is>
      </c>
      <c r="G335" s="66" t="n">
        <v>19.2738</v>
      </c>
      <c r="H335" s="172" t="inlineStr">
        <is>
          <t>Não</t>
        </is>
      </c>
      <c r="I335" s="50" t="n"/>
    </row>
    <row r="336">
      <c r="A336" s="43" t="inlineStr">
        <is>
          <t>010390</t>
        </is>
      </c>
      <c r="B336" s="44" t="inlineStr">
        <is>
          <t>BOLA DE BASQUETE INFANTIL STADIUM FUN T1</t>
        </is>
      </c>
      <c r="C336" s="45" t="inlineStr">
        <is>
          <t>MC</t>
        </is>
      </c>
      <c r="D336" s="45" t="inlineStr">
        <is>
          <t>UN</t>
        </is>
      </c>
      <c r="E336" s="45" t="inlineStr">
        <is>
          <t>0134</t>
        </is>
      </c>
      <c r="F336" s="70" t="inlineStr">
        <is>
          <t>Compras</t>
        </is>
      </c>
      <c r="G336" s="69" t="n">
        <v>0</v>
      </c>
      <c r="H336" s="172" t="inlineStr">
        <is>
          <t>Não</t>
        </is>
      </c>
      <c r="I336" s="50" t="n"/>
    </row>
    <row r="337">
      <c r="A337" s="40" t="inlineStr">
        <is>
          <t>010389</t>
        </is>
      </c>
      <c r="B337" s="41" t="inlineStr">
        <is>
          <t>BOLA DE BASQUETE SPALDING TF150</t>
        </is>
      </c>
      <c r="C337" s="42" t="inlineStr">
        <is>
          <t>MC</t>
        </is>
      </c>
      <c r="D337" s="42" t="inlineStr">
        <is>
          <t>UN</t>
        </is>
      </c>
      <c r="E337" s="42" t="inlineStr">
        <is>
          <t>0134</t>
        </is>
      </c>
      <c r="F337" s="70" t="inlineStr">
        <is>
          <t>Compras</t>
        </is>
      </c>
      <c r="G337" s="68" t="n">
        <v>0</v>
      </c>
      <c r="H337" s="172" t="inlineStr">
        <is>
          <t>Não</t>
        </is>
      </c>
      <c r="I337" s="49" t="n"/>
    </row>
    <row r="338">
      <c r="A338" s="43" t="inlineStr">
        <is>
          <t>010392</t>
        </is>
      </c>
      <c r="B338" s="44" t="inlineStr">
        <is>
          <t>BOLA DE FUTEBOL DE CAMPO PENALTY FURIA</t>
        </is>
      </c>
      <c r="C338" s="45" t="inlineStr">
        <is>
          <t>MC</t>
        </is>
      </c>
      <c r="D338" s="45" t="inlineStr">
        <is>
          <t>UN</t>
        </is>
      </c>
      <c r="E338" s="45" t="inlineStr">
        <is>
          <t>0134</t>
        </is>
      </c>
      <c r="F338" s="70" t="inlineStr">
        <is>
          <t>Compras</t>
        </is>
      </c>
      <c r="G338" s="69" t="n">
        <v>0</v>
      </c>
      <c r="H338" s="172" t="inlineStr">
        <is>
          <t>Não</t>
        </is>
      </c>
      <c r="I338" s="50" t="n"/>
    </row>
    <row r="339">
      <c r="A339" s="40" t="inlineStr">
        <is>
          <t>010391</t>
        </is>
      </c>
      <c r="B339" s="41" t="inlineStr">
        <is>
          <t>BOLA DE VOLEI COURO SINTETICO TAMANHO 5</t>
        </is>
      </c>
      <c r="C339" s="42" t="inlineStr">
        <is>
          <t>MC</t>
        </is>
      </c>
      <c r="D339" s="42" t="inlineStr">
        <is>
          <t>UN</t>
        </is>
      </c>
      <c r="E339" s="42" t="inlineStr">
        <is>
          <t>0134</t>
        </is>
      </c>
      <c r="F339" s="70" t="inlineStr">
        <is>
          <t>Compras</t>
        </is>
      </c>
      <c r="G339" s="68" t="n">
        <v>0</v>
      </c>
      <c r="H339" s="172" t="inlineStr">
        <is>
          <t>Não</t>
        </is>
      </c>
      <c r="I339" s="49" t="n"/>
    </row>
    <row r="340">
      <c r="A340" s="43" t="inlineStr">
        <is>
          <t>000615</t>
        </is>
      </c>
      <c r="B340" s="44" t="inlineStr">
        <is>
          <t>BOLACHA</t>
        </is>
      </c>
      <c r="C340" s="45" t="inlineStr">
        <is>
          <t>MC</t>
        </is>
      </c>
      <c r="D340" s="45" t="inlineStr">
        <is>
          <t>UN</t>
        </is>
      </c>
      <c r="E340" s="45" t="inlineStr">
        <is>
          <t>0016</t>
        </is>
      </c>
      <c r="F340" s="70" t="inlineStr">
        <is>
          <t>Compras</t>
        </is>
      </c>
      <c r="G340" s="66" t="n">
        <v>1.58</v>
      </c>
      <c r="H340" s="173" t="inlineStr">
        <is>
          <t>Sim</t>
        </is>
      </c>
      <c r="I340" s="50" t="n"/>
    </row>
    <row r="341">
      <c r="A341" s="40" t="inlineStr">
        <is>
          <t>009778</t>
        </is>
      </c>
      <c r="B341" s="41" t="inlineStr">
        <is>
          <t>BOLACHA AMANTEIGADAS</t>
        </is>
      </c>
      <c r="C341" s="42" t="inlineStr">
        <is>
          <t>MC</t>
        </is>
      </c>
      <c r="D341" s="42" t="inlineStr">
        <is>
          <t>UN</t>
        </is>
      </c>
      <c r="E341" s="42" t="inlineStr">
        <is>
          <t>0013</t>
        </is>
      </c>
      <c r="F341" s="70" t="inlineStr">
        <is>
          <t>Compras</t>
        </is>
      </c>
      <c r="G341" s="68" t="n">
        <v>0</v>
      </c>
      <c r="H341" s="172" t="inlineStr">
        <is>
          <t>Não</t>
        </is>
      </c>
      <c r="I341" s="49" t="n"/>
    </row>
    <row r="342">
      <c r="A342" s="43" t="inlineStr">
        <is>
          <t>000229</t>
        </is>
      </c>
      <c r="B342" s="44" t="inlineStr">
        <is>
          <t>BOLACHA CHOPP</t>
        </is>
      </c>
      <c r="C342" s="45" t="inlineStr">
        <is>
          <t>MC</t>
        </is>
      </c>
      <c r="D342" s="45" t="inlineStr">
        <is>
          <t>UN</t>
        </is>
      </c>
      <c r="E342" s="45" t="inlineStr">
        <is>
          <t>0075</t>
        </is>
      </c>
      <c r="F342" s="70" t="inlineStr">
        <is>
          <t>Compras</t>
        </is>
      </c>
      <c r="G342" s="69" t="n">
        <v>0</v>
      </c>
      <c r="H342" s="172" t="inlineStr">
        <is>
          <t>Não</t>
        </is>
      </c>
      <c r="I342" s="50" t="n"/>
    </row>
    <row r="343">
      <c r="A343" s="40" t="inlineStr">
        <is>
          <t>009731</t>
        </is>
      </c>
      <c r="B343" s="41" t="inlineStr">
        <is>
          <t>BOLACHA PASSATEMPO MINI WAFER CHOCOLATE</t>
        </is>
      </c>
      <c r="C343" s="42" t="inlineStr">
        <is>
          <t>MC</t>
        </is>
      </c>
      <c r="D343" s="42" t="inlineStr">
        <is>
          <t>UN</t>
        </is>
      </c>
      <c r="E343" s="42" t="inlineStr">
        <is>
          <t>0013</t>
        </is>
      </c>
      <c r="F343" s="70" t="inlineStr">
        <is>
          <t>Compras</t>
        </is>
      </c>
      <c r="G343" s="71" t="n">
        <v>0.98</v>
      </c>
      <c r="H343" s="172" t="inlineStr">
        <is>
          <t>Não</t>
        </is>
      </c>
      <c r="I343" s="49" t="n"/>
    </row>
    <row r="344">
      <c r="A344" s="43" t="inlineStr">
        <is>
          <t>009730</t>
        </is>
      </c>
      <c r="B344" s="44" t="inlineStr">
        <is>
          <t>BOLACHA PASSATEMPO MINI WAFER MORANGO</t>
        </is>
      </c>
      <c r="C344" s="45" t="inlineStr">
        <is>
          <t>MC</t>
        </is>
      </c>
      <c r="D344" s="45" t="inlineStr">
        <is>
          <t>UN</t>
        </is>
      </c>
      <c r="E344" s="45" t="inlineStr">
        <is>
          <t>0013</t>
        </is>
      </c>
      <c r="F344" s="70" t="inlineStr">
        <is>
          <t>Compras</t>
        </is>
      </c>
      <c r="G344" s="66" t="n">
        <v>1.1746</v>
      </c>
      <c r="H344" s="172" t="inlineStr">
        <is>
          <t>Não</t>
        </is>
      </c>
      <c r="I344" s="50" t="n"/>
    </row>
    <row r="345">
      <c r="A345" s="40" t="inlineStr">
        <is>
          <t>009732</t>
        </is>
      </c>
      <c r="B345" s="41" t="inlineStr">
        <is>
          <t>BOLACHA RECHEADA OREO</t>
        </is>
      </c>
      <c r="C345" s="42" t="inlineStr">
        <is>
          <t>MC</t>
        </is>
      </c>
      <c r="D345" s="42" t="inlineStr">
        <is>
          <t>UN</t>
        </is>
      </c>
      <c r="E345" s="42" t="inlineStr">
        <is>
          <t>0013</t>
        </is>
      </c>
      <c r="F345" s="70" t="inlineStr">
        <is>
          <t>Compras</t>
        </is>
      </c>
      <c r="G345" s="71" t="n">
        <v>6.39</v>
      </c>
      <c r="H345" s="172" t="inlineStr">
        <is>
          <t>Não</t>
        </is>
      </c>
      <c r="I345" s="49" t="n"/>
    </row>
    <row r="346">
      <c r="A346" s="43" t="inlineStr">
        <is>
          <t>009733</t>
        </is>
      </c>
      <c r="B346" s="44" t="inlineStr">
        <is>
          <t>BOLACHA RECHEADA OREO MORANGO</t>
        </is>
      </c>
      <c r="C346" s="45" t="inlineStr">
        <is>
          <t>MC</t>
        </is>
      </c>
      <c r="D346" s="45" t="inlineStr">
        <is>
          <t>UN</t>
        </is>
      </c>
      <c r="E346" s="45" t="inlineStr">
        <is>
          <t>0013</t>
        </is>
      </c>
      <c r="F346" s="70" t="inlineStr">
        <is>
          <t>Compras</t>
        </is>
      </c>
      <c r="G346" s="69" t="n">
        <v>0</v>
      </c>
      <c r="H346" s="172" t="inlineStr">
        <is>
          <t>Não</t>
        </is>
      </c>
      <c r="I346" s="50" t="n"/>
    </row>
    <row r="347">
      <c r="A347" s="40" t="inlineStr">
        <is>
          <t>009773</t>
        </is>
      </c>
      <c r="B347" s="41" t="inlineStr">
        <is>
          <t>BOLACHA SORTIDAS INDIVIDUAIS BAUDUCCO</t>
        </is>
      </c>
      <c r="C347" s="42" t="inlineStr">
        <is>
          <t>MC</t>
        </is>
      </c>
      <c r="D347" s="42" t="inlineStr">
        <is>
          <t>UN</t>
        </is>
      </c>
      <c r="E347" s="42" t="inlineStr">
        <is>
          <t>0013</t>
        </is>
      </c>
      <c r="F347" s="70" t="inlineStr">
        <is>
          <t>Compras</t>
        </is>
      </c>
      <c r="G347" s="68" t="n">
        <v>0</v>
      </c>
      <c r="H347" s="172" t="inlineStr">
        <is>
          <t>Não</t>
        </is>
      </c>
      <c r="I347" s="49" t="n"/>
    </row>
    <row r="348">
      <c r="A348" s="43" t="inlineStr">
        <is>
          <t>001362</t>
        </is>
      </c>
      <c r="B348" s="44" t="inlineStr">
        <is>
          <t>BOLACHAS</t>
        </is>
      </c>
      <c r="C348" s="45" t="inlineStr">
        <is>
          <t>PA</t>
        </is>
      </c>
      <c r="D348" s="45" t="inlineStr">
        <is>
          <t>UN</t>
        </is>
      </c>
      <c r="E348" s="45" t="inlineStr">
        <is>
          <t>0107</t>
        </is>
      </c>
      <c r="F348" s="65" t="inlineStr">
        <is>
          <t>Venda</t>
        </is>
      </c>
      <c r="G348" s="69" t="n">
        <v>0</v>
      </c>
      <c r="H348" s="172" t="inlineStr">
        <is>
          <t>Não</t>
        </is>
      </c>
      <c r="I348" s="48" t="inlineStr">
        <is>
          <t>7898905687176</t>
        </is>
      </c>
    </row>
    <row r="349">
      <c r="A349" s="40" t="inlineStr">
        <is>
          <t>001144</t>
        </is>
      </c>
      <c r="B349" s="41" t="inlineStr">
        <is>
          <t>BOLEADOR DE SORVETE</t>
        </is>
      </c>
      <c r="C349" s="42" t="inlineStr">
        <is>
          <t>MC</t>
        </is>
      </c>
      <c r="D349" s="42" t="inlineStr">
        <is>
          <t>UN</t>
        </is>
      </c>
      <c r="E349" s="42" t="inlineStr">
        <is>
          <t>0079</t>
        </is>
      </c>
      <c r="F349" s="70" t="inlineStr">
        <is>
          <t>Compras</t>
        </is>
      </c>
      <c r="G349" s="68" t="n">
        <v>0</v>
      </c>
      <c r="H349" s="172" t="inlineStr">
        <is>
          <t>Não</t>
        </is>
      </c>
      <c r="I349" s="49" t="n"/>
    </row>
    <row r="350">
      <c r="A350" s="43" t="inlineStr">
        <is>
          <t>009564</t>
        </is>
      </c>
      <c r="B350" s="44" t="inlineStr">
        <is>
          <t>BOLINHAS COLORIDAS P PISCINA DE BOLINHAS</t>
        </is>
      </c>
      <c r="C350" s="45" t="inlineStr">
        <is>
          <t>MC</t>
        </is>
      </c>
      <c r="D350" s="45" t="inlineStr">
        <is>
          <t>UN</t>
        </is>
      </c>
      <c r="E350" s="45" t="inlineStr">
        <is>
          <t>0134</t>
        </is>
      </c>
      <c r="F350" s="70" t="inlineStr">
        <is>
          <t>Compras</t>
        </is>
      </c>
      <c r="G350" s="69" t="n">
        <v>0</v>
      </c>
      <c r="H350" s="172" t="inlineStr">
        <is>
          <t>Não</t>
        </is>
      </c>
      <c r="I350" s="50" t="n"/>
    </row>
    <row r="351">
      <c r="A351" s="40" t="inlineStr">
        <is>
          <t>001382</t>
        </is>
      </c>
      <c r="B351" s="41" t="inlineStr">
        <is>
          <t>BOLINHAS P KIDS</t>
        </is>
      </c>
      <c r="C351" s="42" t="inlineStr">
        <is>
          <t>MC</t>
        </is>
      </c>
      <c r="D351" s="42" t="inlineStr">
        <is>
          <t>UN</t>
        </is>
      </c>
      <c r="E351" s="42" t="inlineStr">
        <is>
          <t>0076</t>
        </is>
      </c>
      <c r="F351" s="70" t="inlineStr">
        <is>
          <t>Compras</t>
        </is>
      </c>
      <c r="G351" s="71" t="n">
        <v>189</v>
      </c>
      <c r="H351" s="172" t="inlineStr">
        <is>
          <t>Não</t>
        </is>
      </c>
      <c r="I351" s="49" t="n"/>
    </row>
    <row r="352">
      <c r="A352" s="43" t="inlineStr">
        <is>
          <t>009741</t>
        </is>
      </c>
      <c r="B352" s="44" t="inlineStr">
        <is>
          <t>BOLINHO ANA MARIA CENOURA COM CHOCOLATE</t>
        </is>
      </c>
      <c r="C352" s="45" t="inlineStr">
        <is>
          <t>MC</t>
        </is>
      </c>
      <c r="D352" s="45" t="inlineStr">
        <is>
          <t>UN</t>
        </is>
      </c>
      <c r="E352" s="45" t="inlineStr">
        <is>
          <t>0013</t>
        </is>
      </c>
      <c r="F352" s="70" t="inlineStr">
        <is>
          <t>Compras</t>
        </is>
      </c>
      <c r="G352" s="69" t="n">
        <v>0</v>
      </c>
      <c r="H352" s="172" t="inlineStr">
        <is>
          <t>Não</t>
        </is>
      </c>
      <c r="I352" s="50" t="n"/>
    </row>
    <row r="353">
      <c r="A353" s="40" t="inlineStr">
        <is>
          <t>009739</t>
        </is>
      </c>
      <c r="B353" s="41" t="inlineStr">
        <is>
          <t>BOLINHO ANA MARIA CHOCOLATE</t>
        </is>
      </c>
      <c r="C353" s="42" t="inlineStr">
        <is>
          <t>MC</t>
        </is>
      </c>
      <c r="D353" s="42" t="inlineStr">
        <is>
          <t>UN</t>
        </is>
      </c>
      <c r="E353" s="42" t="inlineStr">
        <is>
          <t>0013</t>
        </is>
      </c>
      <c r="F353" s="70" t="inlineStr">
        <is>
          <t>Compras</t>
        </is>
      </c>
      <c r="G353" s="71" t="n">
        <v>2.98</v>
      </c>
      <c r="H353" s="172" t="inlineStr">
        <is>
          <t>Não</t>
        </is>
      </c>
      <c r="I353" s="49" t="n"/>
    </row>
    <row r="354">
      <c r="A354" s="43" t="inlineStr">
        <is>
          <t>009738</t>
        </is>
      </c>
      <c r="B354" s="44" t="inlineStr">
        <is>
          <t>BOLINHO ANA MARIA MORANGO</t>
        </is>
      </c>
      <c r="C354" s="45" t="inlineStr">
        <is>
          <t>MC</t>
        </is>
      </c>
      <c r="D354" s="45" t="inlineStr">
        <is>
          <t>UN</t>
        </is>
      </c>
      <c r="E354" s="45" t="inlineStr">
        <is>
          <t>0013</t>
        </is>
      </c>
      <c r="F354" s="70" t="inlineStr">
        <is>
          <t>Compras</t>
        </is>
      </c>
      <c r="G354" s="69" t="n">
        <v>0</v>
      </c>
      <c r="H354" s="172" t="inlineStr">
        <is>
          <t>Não</t>
        </is>
      </c>
      <c r="I354" s="50" t="n"/>
    </row>
    <row r="355">
      <c r="A355" s="40" t="inlineStr">
        <is>
          <t>009740</t>
        </is>
      </c>
      <c r="B355" s="41" t="inlineStr">
        <is>
          <t>BOLINHO ANA MARIA NAPOLITANO</t>
        </is>
      </c>
      <c r="C355" s="42" t="inlineStr">
        <is>
          <t>MC</t>
        </is>
      </c>
      <c r="D355" s="42" t="inlineStr">
        <is>
          <t>UN</t>
        </is>
      </c>
      <c r="E355" s="42" t="inlineStr">
        <is>
          <t>0013</t>
        </is>
      </c>
      <c r="F355" s="70" t="inlineStr">
        <is>
          <t>Compras</t>
        </is>
      </c>
      <c r="G355" s="71" t="n">
        <v>3.39</v>
      </c>
      <c r="H355" s="172" t="inlineStr">
        <is>
          <t>Não</t>
        </is>
      </c>
      <c r="I355" s="49" t="n"/>
    </row>
    <row r="356">
      <c r="A356" s="43" t="inlineStr">
        <is>
          <t>000766</t>
        </is>
      </c>
      <c r="B356" s="44" t="inlineStr">
        <is>
          <t>BOLINHO BACALHAU</t>
        </is>
      </c>
      <c r="C356" s="45" t="inlineStr">
        <is>
          <t>PA</t>
        </is>
      </c>
      <c r="D356" s="45" t="inlineStr">
        <is>
          <t>UN</t>
        </is>
      </c>
      <c r="E356" s="45" t="inlineStr">
        <is>
          <t>0110</t>
        </is>
      </c>
      <c r="F356" s="65" t="inlineStr">
        <is>
          <t>Venda</t>
        </is>
      </c>
      <c r="G356" s="69" t="n">
        <v>0</v>
      </c>
      <c r="H356" s="172" t="inlineStr">
        <is>
          <t>Não</t>
        </is>
      </c>
      <c r="I356" s="48" t="inlineStr">
        <is>
          <t>40011</t>
        </is>
      </c>
    </row>
    <row r="357">
      <c r="A357" s="40" t="inlineStr">
        <is>
          <t>009735</t>
        </is>
      </c>
      <c r="B357" s="41" t="inlineStr">
        <is>
          <t>BOLINHO BAUDUCCO BAUNILHA COM RECHEIO DE CHOCOLATE</t>
        </is>
      </c>
      <c r="C357" s="42" t="inlineStr">
        <is>
          <t>MC</t>
        </is>
      </c>
      <c r="D357" s="42" t="inlineStr">
        <is>
          <t>UN</t>
        </is>
      </c>
      <c r="E357" s="42" t="inlineStr">
        <is>
          <t>0013</t>
        </is>
      </c>
      <c r="F357" s="70" t="inlineStr">
        <is>
          <t>Compras</t>
        </is>
      </c>
      <c r="G357" s="71" t="n">
        <v>2.1931</v>
      </c>
      <c r="H357" s="172" t="inlineStr">
        <is>
          <t>Não</t>
        </is>
      </c>
      <c r="I357" s="49" t="n"/>
    </row>
    <row r="358">
      <c r="A358" s="43" t="inlineStr">
        <is>
          <t>009736</t>
        </is>
      </c>
      <c r="B358" s="44" t="inlineStr">
        <is>
          <t>BOLINHO BAUDUCCO BAUNILHA COM RECHEIO DE MORANGO</t>
        </is>
      </c>
      <c r="C358" s="45" t="inlineStr">
        <is>
          <t>MC</t>
        </is>
      </c>
      <c r="D358" s="45" t="inlineStr">
        <is>
          <t>UN</t>
        </is>
      </c>
      <c r="E358" s="45" t="inlineStr">
        <is>
          <t>0013</t>
        </is>
      </c>
      <c r="F358" s="70" t="inlineStr">
        <is>
          <t>Compras</t>
        </is>
      </c>
      <c r="G358" s="69" t="n">
        <v>0</v>
      </c>
      <c r="H358" s="172" t="inlineStr">
        <is>
          <t>Não</t>
        </is>
      </c>
      <c r="I358" s="50" t="n"/>
    </row>
    <row r="359">
      <c r="A359" s="40" t="inlineStr">
        <is>
          <t>009737</t>
        </is>
      </c>
      <c r="B359" s="41" t="inlineStr">
        <is>
          <t>BOLINHO BAUDUCCO CHOCOLATE COM RECHEIO DE BAUNILHA</t>
        </is>
      </c>
      <c r="C359" s="42" t="inlineStr">
        <is>
          <t>MC</t>
        </is>
      </c>
      <c r="D359" s="42" t="inlineStr">
        <is>
          <t>UN</t>
        </is>
      </c>
      <c r="E359" s="42" t="inlineStr">
        <is>
          <t>0013</t>
        </is>
      </c>
      <c r="F359" s="70" t="inlineStr">
        <is>
          <t>Compras</t>
        </is>
      </c>
      <c r="G359" s="71" t="n">
        <v>2.1931</v>
      </c>
      <c r="H359" s="172" t="inlineStr">
        <is>
          <t>Não</t>
        </is>
      </c>
      <c r="I359" s="49" t="n"/>
    </row>
    <row r="360">
      <c r="A360" s="43" t="inlineStr">
        <is>
          <t>009734</t>
        </is>
      </c>
      <c r="B360" s="44" t="inlineStr">
        <is>
          <t>BOLINHO BAUDUCCO LARANJA</t>
        </is>
      </c>
      <c r="C360" s="45" t="inlineStr">
        <is>
          <t>MC</t>
        </is>
      </c>
      <c r="D360" s="45" t="inlineStr">
        <is>
          <t>UN</t>
        </is>
      </c>
      <c r="E360" s="45" t="inlineStr">
        <is>
          <t>0013</t>
        </is>
      </c>
      <c r="F360" s="70" t="inlineStr">
        <is>
          <t>Compras</t>
        </is>
      </c>
      <c r="G360" s="66" t="n">
        <v>2.1931</v>
      </c>
      <c r="H360" s="172" t="inlineStr">
        <is>
          <t>Não</t>
        </is>
      </c>
      <c r="I360" s="50" t="n"/>
    </row>
    <row r="361">
      <c r="A361" s="40" t="inlineStr">
        <is>
          <t>001637</t>
        </is>
      </c>
      <c r="B361" s="41" t="inlineStr">
        <is>
          <t>BOLINHO D QUEIJO GOUDA</t>
        </is>
      </c>
      <c r="C361" s="42" t="inlineStr">
        <is>
          <t>MP</t>
        </is>
      </c>
      <c r="D361" s="42" t="inlineStr">
        <is>
          <t>KG</t>
        </is>
      </c>
      <c r="E361" s="42" t="inlineStr">
        <is>
          <t>0022</t>
        </is>
      </c>
      <c r="F361" s="70" t="inlineStr">
        <is>
          <t>Compras</t>
        </is>
      </c>
      <c r="G361" s="71" t="n">
        <v>58.1033</v>
      </c>
      <c r="H361" s="172" t="inlineStr">
        <is>
          <t>Não</t>
        </is>
      </c>
      <c r="I361" s="49" t="n"/>
    </row>
    <row r="362">
      <c r="A362" s="43" t="inlineStr">
        <is>
          <t>000305</t>
        </is>
      </c>
      <c r="B362" s="44" t="inlineStr">
        <is>
          <t>BOLINHO DE BACALHAU</t>
        </is>
      </c>
      <c r="C362" s="45" t="inlineStr">
        <is>
          <t>MP</t>
        </is>
      </c>
      <c r="D362" s="45" t="inlineStr">
        <is>
          <t>UN</t>
        </is>
      </c>
      <c r="E362" s="45" t="inlineStr">
        <is>
          <t>0022</t>
        </is>
      </c>
      <c r="F362" s="70" t="inlineStr">
        <is>
          <t>Compras</t>
        </is>
      </c>
      <c r="G362" s="66" t="n">
        <v>1.1</v>
      </c>
      <c r="H362" s="172" t="inlineStr">
        <is>
          <t>Não</t>
        </is>
      </c>
      <c r="I362" s="50" t="n"/>
    </row>
    <row r="363">
      <c r="A363" s="40" t="inlineStr">
        <is>
          <t>001504</t>
        </is>
      </c>
      <c r="B363" s="41" t="inlineStr">
        <is>
          <t>BOLINHO DE PEPPERONI - VENDA</t>
        </is>
      </c>
      <c r="C363" s="42" t="inlineStr">
        <is>
          <t>PA</t>
        </is>
      </c>
      <c r="D363" s="42" t="inlineStr">
        <is>
          <t>UN</t>
        </is>
      </c>
      <c r="E363" s="42" t="inlineStr">
        <is>
          <t>0110</t>
        </is>
      </c>
      <c r="F363" s="65" t="inlineStr">
        <is>
          <t>Venda</t>
        </is>
      </c>
      <c r="G363" s="71" t="n">
        <v>99</v>
      </c>
      <c r="H363" s="172" t="inlineStr">
        <is>
          <t>Não</t>
        </is>
      </c>
      <c r="I363" s="47" t="inlineStr">
        <is>
          <t>78989056877111</t>
        </is>
      </c>
    </row>
    <row r="364">
      <c r="A364" s="43" t="inlineStr">
        <is>
          <t>002226</t>
        </is>
      </c>
      <c r="B364" s="44" t="inlineStr">
        <is>
          <t>BOLINHO DE PEPPERONI 1,05KG</t>
        </is>
      </c>
      <c r="C364" s="45" t="inlineStr">
        <is>
          <t>MP</t>
        </is>
      </c>
      <c r="D364" s="45" t="inlineStr">
        <is>
          <t>KG</t>
        </is>
      </c>
      <c r="E364" s="45" t="inlineStr">
        <is>
          <t>0022</t>
        </is>
      </c>
      <c r="F364" s="70" t="inlineStr">
        <is>
          <t>Compras</t>
        </is>
      </c>
      <c r="G364" s="69" t="n">
        <v>0</v>
      </c>
      <c r="H364" s="172" t="inlineStr">
        <is>
          <t>Não</t>
        </is>
      </c>
      <c r="I364" s="50" t="n"/>
    </row>
    <row r="365">
      <c r="A365" s="40" t="inlineStr">
        <is>
          <t>000304</t>
        </is>
      </c>
      <c r="B365" s="41" t="inlineStr">
        <is>
          <t>BOLINHO DE QUEIJO</t>
        </is>
      </c>
      <c r="C365" s="42" t="inlineStr">
        <is>
          <t>MP</t>
        </is>
      </c>
      <c r="D365" s="42" t="inlineStr">
        <is>
          <t>UN</t>
        </is>
      </c>
      <c r="E365" s="42" t="inlineStr">
        <is>
          <t>0022</t>
        </is>
      </c>
      <c r="F365" s="70" t="inlineStr">
        <is>
          <t>Compras</t>
        </is>
      </c>
      <c r="G365" s="71" t="n">
        <v>0.85</v>
      </c>
      <c r="H365" s="172" t="inlineStr">
        <is>
          <t>Não</t>
        </is>
      </c>
      <c r="I365" s="49" t="n"/>
    </row>
    <row r="366">
      <c r="A366" s="43" t="inlineStr">
        <is>
          <t>000768</t>
        </is>
      </c>
      <c r="B366" s="44" t="inlineStr">
        <is>
          <t>BOLINHO MANDIOCA</t>
        </is>
      </c>
      <c r="C366" s="45" t="inlineStr">
        <is>
          <t>PA</t>
        </is>
      </c>
      <c r="D366" s="45" t="inlineStr">
        <is>
          <t>UN</t>
        </is>
      </c>
      <c r="E366" s="45" t="inlineStr">
        <is>
          <t>0110</t>
        </is>
      </c>
      <c r="F366" s="65" t="inlineStr">
        <is>
          <t>Venda</t>
        </is>
      </c>
      <c r="G366" s="69" t="n">
        <v>0</v>
      </c>
      <c r="H366" s="177" t="inlineStr">
        <is>
          <t>Sim</t>
        </is>
      </c>
      <c r="I366" s="178" t="n"/>
    </row>
    <row r="367">
      <c r="A367" s="40" t="inlineStr">
        <is>
          <t>002283</t>
        </is>
      </c>
      <c r="B367" s="41" t="inlineStr">
        <is>
          <t>BOLINHO MANDIOCA</t>
        </is>
      </c>
      <c r="C367" s="42" t="inlineStr">
        <is>
          <t>MR</t>
        </is>
      </c>
      <c r="D367" s="42" t="inlineStr">
        <is>
          <t>KG</t>
        </is>
      </c>
      <c r="E367" s="42" t="inlineStr">
        <is>
          <t>0022</t>
        </is>
      </c>
      <c r="F367" s="70" t="inlineStr">
        <is>
          <t>Compras</t>
        </is>
      </c>
      <c r="G367" s="71" t="n">
        <v>59.9047</v>
      </c>
      <c r="H367" s="173" t="inlineStr">
        <is>
          <t>Sim</t>
        </is>
      </c>
      <c r="I367" s="49" t="n"/>
    </row>
    <row r="368">
      <c r="A368" s="43" t="inlineStr">
        <is>
          <t>000306</t>
        </is>
      </c>
      <c r="B368" s="44" t="inlineStr">
        <is>
          <t>BOLINHO MANDIOCA C/ CARNE SECA MC CAIN</t>
        </is>
      </c>
      <c r="C368" s="45" t="inlineStr">
        <is>
          <t>MP</t>
        </is>
      </c>
      <c r="D368" s="45" t="inlineStr">
        <is>
          <t>KG</t>
        </is>
      </c>
      <c r="E368" s="45" t="inlineStr">
        <is>
          <t>0022</t>
        </is>
      </c>
      <c r="F368" s="70" t="inlineStr">
        <is>
          <t>Compras</t>
        </is>
      </c>
      <c r="G368" s="66" t="n">
        <v>58.11</v>
      </c>
      <c r="H368" s="172" t="inlineStr">
        <is>
          <t>Não</t>
        </is>
      </c>
      <c r="I368" s="50" t="n"/>
    </row>
    <row r="369">
      <c r="A369" s="40" t="inlineStr">
        <is>
          <t>002218</t>
        </is>
      </c>
      <c r="B369" s="41" t="inlineStr">
        <is>
          <t>BOLINHO MANDIOCA CARNE SECA - MMCAIN</t>
        </is>
      </c>
      <c r="C369" s="42" t="inlineStr">
        <is>
          <t>MR</t>
        </is>
      </c>
      <c r="D369" s="42" t="inlineStr">
        <is>
          <t>KG</t>
        </is>
      </c>
      <c r="E369" s="42" t="inlineStr">
        <is>
          <t>0022</t>
        </is>
      </c>
      <c r="F369" s="70" t="inlineStr">
        <is>
          <t>Compras</t>
        </is>
      </c>
      <c r="G369" s="71" t="n">
        <v>58.1079</v>
      </c>
      <c r="H369" s="173" t="inlineStr">
        <is>
          <t>Sim</t>
        </is>
      </c>
      <c r="I369" s="49" t="n"/>
    </row>
    <row r="370">
      <c r="A370" s="43" t="inlineStr">
        <is>
          <t>000769</t>
        </is>
      </c>
      <c r="B370" s="44" t="inlineStr">
        <is>
          <t>BOLINHO QUEIJO</t>
        </is>
      </c>
      <c r="C370" s="45" t="inlineStr">
        <is>
          <t>PA</t>
        </is>
      </c>
      <c r="D370" s="45" t="inlineStr">
        <is>
          <t>UN</t>
        </is>
      </c>
      <c r="E370" s="45" t="inlineStr">
        <is>
          <t>0110</t>
        </is>
      </c>
      <c r="F370" s="65" t="inlineStr">
        <is>
          <t>Venda</t>
        </is>
      </c>
      <c r="G370" s="66" t="n">
        <v>0.85</v>
      </c>
      <c r="H370" s="172" t="inlineStr">
        <is>
          <t>Não</t>
        </is>
      </c>
      <c r="I370" s="48" t="inlineStr">
        <is>
          <t>40014</t>
        </is>
      </c>
    </row>
    <row r="371">
      <c r="A371" s="40" t="inlineStr">
        <is>
          <t>001383</t>
        </is>
      </c>
      <c r="B371" s="41" t="inlineStr">
        <is>
          <t>BOLO</t>
        </is>
      </c>
      <c r="C371" s="42" t="inlineStr">
        <is>
          <t>GN</t>
        </is>
      </c>
      <c r="D371" s="42" t="inlineStr">
        <is>
          <t>UN</t>
        </is>
      </c>
      <c r="E371" s="42" t="inlineStr">
        <is>
          <t>0016</t>
        </is>
      </c>
      <c r="F371" s="65" t="inlineStr">
        <is>
          <t>Venda</t>
        </is>
      </c>
      <c r="G371" s="71" t="n">
        <v>25</v>
      </c>
      <c r="H371" s="173" t="inlineStr">
        <is>
          <t>Sim</t>
        </is>
      </c>
      <c r="I371" s="49" t="n"/>
    </row>
    <row r="372">
      <c r="A372" s="43" t="inlineStr">
        <is>
          <t>010041</t>
        </is>
      </c>
      <c r="B372" s="44" t="inlineStr">
        <is>
          <t>BOLO PARA FESTA</t>
        </is>
      </c>
      <c r="C372" s="45" t="inlineStr">
        <is>
          <t>MC</t>
        </is>
      </c>
      <c r="D372" s="45" t="inlineStr">
        <is>
          <t>UN</t>
        </is>
      </c>
      <c r="E372" s="45" t="inlineStr">
        <is>
          <t>0013</t>
        </is>
      </c>
      <c r="F372" s="70" t="inlineStr">
        <is>
          <t>Compras</t>
        </is>
      </c>
      <c r="G372" s="66" t="n">
        <v>95</v>
      </c>
      <c r="H372" s="172" t="inlineStr">
        <is>
          <t>Não</t>
        </is>
      </c>
      <c r="I372" s="50" t="n"/>
    </row>
    <row r="373">
      <c r="A373" s="40" t="inlineStr">
        <is>
          <t>010224</t>
        </is>
      </c>
      <c r="B373" s="41" t="inlineStr">
        <is>
          <t>BOLO SODIE CHOCOLATE  VENDA</t>
        </is>
      </c>
      <c r="C373" s="42" t="inlineStr">
        <is>
          <t>MR</t>
        </is>
      </c>
      <c r="D373" s="42" t="inlineStr">
        <is>
          <t>UN</t>
        </is>
      </c>
      <c r="E373" s="42" t="inlineStr">
        <is>
          <t>0031</t>
        </is>
      </c>
      <c r="F373" s="65" t="inlineStr">
        <is>
          <t>Venda</t>
        </is>
      </c>
      <c r="G373" s="68" t="n">
        <v>0</v>
      </c>
      <c r="H373" s="172" t="inlineStr">
        <is>
          <t>Não</t>
        </is>
      </c>
      <c r="I373" s="47" t="inlineStr">
        <is>
          <t>78989956877332</t>
        </is>
      </c>
    </row>
    <row r="374">
      <c r="A374" s="43" t="inlineStr">
        <is>
          <t>001359</t>
        </is>
      </c>
      <c r="B374" s="44" t="inlineStr">
        <is>
          <t>BOLOS</t>
        </is>
      </c>
      <c r="C374" s="45" t="inlineStr">
        <is>
          <t>MR</t>
        </is>
      </c>
      <c r="D374" s="45" t="inlineStr">
        <is>
          <t>UN</t>
        </is>
      </c>
      <c r="E374" s="45" t="inlineStr">
        <is>
          <t>0107</t>
        </is>
      </c>
      <c r="F374" s="65" t="inlineStr">
        <is>
          <t>Venda</t>
        </is>
      </c>
      <c r="G374" s="69" t="n">
        <v>0</v>
      </c>
      <c r="H374" s="173" t="inlineStr">
        <is>
          <t>Sim</t>
        </is>
      </c>
      <c r="I374" s="50" t="n"/>
    </row>
    <row r="375">
      <c r="A375" s="40" t="inlineStr">
        <is>
          <t>002007</t>
        </is>
      </c>
      <c r="B375" s="41" t="inlineStr">
        <is>
          <t>BOLOS</t>
        </is>
      </c>
      <c r="C375" s="42" t="inlineStr">
        <is>
          <t>MR</t>
        </is>
      </c>
      <c r="D375" s="42" t="inlineStr">
        <is>
          <t>UN</t>
        </is>
      </c>
      <c r="E375" s="42" t="inlineStr">
        <is>
          <t>0031</t>
        </is>
      </c>
      <c r="F375" s="65" t="inlineStr">
        <is>
          <t>Venda</t>
        </is>
      </c>
      <c r="G375" s="68" t="n">
        <v>0</v>
      </c>
      <c r="H375" s="172" t="inlineStr">
        <is>
          <t>Não</t>
        </is>
      </c>
      <c r="I375" s="47" t="inlineStr">
        <is>
          <t>7898905687173</t>
        </is>
      </c>
    </row>
    <row r="376">
      <c r="A376" s="43" t="inlineStr">
        <is>
          <t>002012</t>
        </is>
      </c>
      <c r="B376" s="44" t="inlineStr">
        <is>
          <t>BOLOS</t>
        </is>
      </c>
      <c r="C376" s="45" t="inlineStr">
        <is>
          <t>MR</t>
        </is>
      </c>
      <c r="D376" s="45" t="inlineStr">
        <is>
          <t>UN</t>
        </is>
      </c>
      <c r="E376" s="45" t="inlineStr">
        <is>
          <t>0107</t>
        </is>
      </c>
      <c r="F376" s="65" t="inlineStr">
        <is>
          <t>Venda</t>
        </is>
      </c>
      <c r="G376" s="69" t="n">
        <v>0</v>
      </c>
      <c r="H376" s="173" t="inlineStr">
        <is>
          <t>Sim</t>
        </is>
      </c>
      <c r="I376" s="48" t="inlineStr">
        <is>
          <t>7898905687173</t>
        </is>
      </c>
    </row>
    <row r="377">
      <c r="A377" s="43" t="inlineStr">
        <is>
          <t>001503</t>
        </is>
      </c>
      <c r="B377" s="44" t="inlineStr">
        <is>
          <t>BOLSA TERMICA</t>
        </is>
      </c>
      <c r="C377" s="45" t="inlineStr">
        <is>
          <t>MR</t>
        </is>
      </c>
      <c r="D377" s="45" t="inlineStr">
        <is>
          <t>UN</t>
        </is>
      </c>
      <c r="E377" s="45" t="inlineStr">
        <is>
          <t>0107</t>
        </is>
      </c>
      <c r="F377" s="65" t="inlineStr">
        <is>
          <t>Venda</t>
        </is>
      </c>
      <c r="G377" s="69" t="n">
        <v>0</v>
      </c>
      <c r="H377" s="172" t="inlineStr">
        <is>
          <t>Não</t>
        </is>
      </c>
      <c r="I377" s="48" t="inlineStr">
        <is>
          <t>9003295</t>
        </is>
      </c>
    </row>
    <row r="378">
      <c r="A378" s="40" t="inlineStr">
        <is>
          <t>001006</t>
        </is>
      </c>
      <c r="B378" s="41" t="inlineStr">
        <is>
          <t>BOLSA TERMICA 16 LITROS</t>
        </is>
      </c>
      <c r="C378" s="42" t="inlineStr">
        <is>
          <t>MC</t>
        </is>
      </c>
      <c r="D378" s="42" t="inlineStr">
        <is>
          <t>UN</t>
        </is>
      </c>
      <c r="E378" s="42" t="inlineStr">
        <is>
          <t>0145</t>
        </is>
      </c>
      <c r="F378" s="70" t="inlineStr">
        <is>
          <t>Compras</t>
        </is>
      </c>
      <c r="G378" s="68" t="n">
        <v>0</v>
      </c>
      <c r="H378" s="172" t="inlineStr">
        <is>
          <t>Não</t>
        </is>
      </c>
      <c r="I378" s="49" t="n"/>
    </row>
    <row r="379">
      <c r="A379" s="43" t="inlineStr">
        <is>
          <t>001005</t>
        </is>
      </c>
      <c r="B379" s="44" t="inlineStr">
        <is>
          <t>BOLSA TERMICA 20 LITROS</t>
        </is>
      </c>
      <c r="C379" s="45" t="inlineStr">
        <is>
          <t>MC</t>
        </is>
      </c>
      <c r="D379" s="45" t="inlineStr">
        <is>
          <t>UN</t>
        </is>
      </c>
      <c r="E379" s="45" t="inlineStr">
        <is>
          <t>0145</t>
        </is>
      </c>
      <c r="F379" s="70" t="inlineStr">
        <is>
          <t>Compras</t>
        </is>
      </c>
      <c r="G379" s="69" t="n">
        <v>0</v>
      </c>
      <c r="H379" s="172" t="inlineStr">
        <is>
          <t>Não</t>
        </is>
      </c>
      <c r="I379" s="50" t="n"/>
    </row>
    <row r="380">
      <c r="A380" s="40" t="inlineStr">
        <is>
          <t>001042</t>
        </is>
      </c>
      <c r="B380" s="41" t="inlineStr">
        <is>
          <t>BOLSA TERMICA GRANDE</t>
        </is>
      </c>
      <c r="C380" s="42" t="inlineStr">
        <is>
          <t>MC</t>
        </is>
      </c>
      <c r="D380" s="42" t="inlineStr">
        <is>
          <t>UN</t>
        </is>
      </c>
      <c r="E380" s="42" t="inlineStr">
        <is>
          <t>0145</t>
        </is>
      </c>
      <c r="F380" s="70" t="inlineStr">
        <is>
          <t>Compras</t>
        </is>
      </c>
      <c r="G380" s="68" t="n">
        <v>0</v>
      </c>
      <c r="H380" s="172" t="inlineStr">
        <is>
          <t>Não</t>
        </is>
      </c>
      <c r="I380" s="49" t="n"/>
    </row>
    <row r="381">
      <c r="A381" s="43" t="inlineStr">
        <is>
          <t>010281</t>
        </is>
      </c>
      <c r="B381" s="44" t="inlineStr">
        <is>
          <t>BOMBA DE PRESSURIZAÇÃO 1/6 CV 220V</t>
        </is>
      </c>
      <c r="C381" s="45" t="inlineStr">
        <is>
          <t>MC</t>
        </is>
      </c>
      <c r="D381" s="45" t="inlineStr">
        <is>
          <t>UN</t>
        </is>
      </c>
      <c r="E381" s="45" t="inlineStr">
        <is>
          <t>0132</t>
        </is>
      </c>
      <c r="F381" s="70" t="inlineStr">
        <is>
          <t>Compras</t>
        </is>
      </c>
      <c r="G381" s="66" t="n">
        <v>540</v>
      </c>
      <c r="H381" s="172" t="inlineStr">
        <is>
          <t>Não</t>
        </is>
      </c>
      <c r="I381" s="50" t="n"/>
    </row>
    <row r="382">
      <c r="A382" s="40" t="inlineStr">
        <is>
          <t>009560</t>
        </is>
      </c>
      <c r="B382" s="41" t="inlineStr">
        <is>
          <t>BOMBA MANUAL PARA ENCHER BEXIGA</t>
        </is>
      </c>
      <c r="C382" s="42" t="inlineStr">
        <is>
          <t>MC</t>
        </is>
      </c>
      <c r="D382" s="42" t="inlineStr">
        <is>
          <t>UN</t>
        </is>
      </c>
      <c r="E382" s="42" t="inlineStr">
        <is>
          <t>0134</t>
        </is>
      </c>
      <c r="F382" s="70" t="inlineStr">
        <is>
          <t>Compras</t>
        </is>
      </c>
      <c r="G382" s="71" t="n">
        <v>8.9</v>
      </c>
      <c r="H382" s="172" t="inlineStr">
        <is>
          <t>Não</t>
        </is>
      </c>
      <c r="I382" s="49" t="n"/>
    </row>
    <row r="383">
      <c r="A383" s="43" t="inlineStr">
        <is>
          <t>000741</t>
        </is>
      </c>
      <c r="B383" s="44" t="inlineStr">
        <is>
          <t>BOMBA SUBMERSA ACO INOX</t>
        </is>
      </c>
      <c r="C383" s="45" t="inlineStr">
        <is>
          <t>AI</t>
        </is>
      </c>
      <c r="D383" s="45" t="inlineStr">
        <is>
          <t>UN</t>
        </is>
      </c>
      <c r="E383" s="45" t="inlineStr">
        <is>
          <t>0002</t>
        </is>
      </c>
      <c r="F383" s="70" t="inlineStr">
        <is>
          <t>Compras</t>
        </is>
      </c>
      <c r="G383" s="66" t="n">
        <v>79.98999999999999</v>
      </c>
      <c r="H383" s="172" t="inlineStr">
        <is>
          <t>Não</t>
        </is>
      </c>
      <c r="I383" s="50" t="n"/>
    </row>
    <row r="384">
      <c r="A384" s="40" t="inlineStr">
        <is>
          <t>009772</t>
        </is>
      </c>
      <c r="B384" s="41" t="inlineStr">
        <is>
          <t>BOMBOM OURO BRANCO</t>
        </is>
      </c>
      <c r="C384" s="42" t="inlineStr">
        <is>
          <t>MC</t>
        </is>
      </c>
      <c r="D384" s="42" t="inlineStr">
        <is>
          <t>UN</t>
        </is>
      </c>
      <c r="E384" s="42" t="inlineStr">
        <is>
          <t>0013</t>
        </is>
      </c>
      <c r="F384" s="70" t="inlineStr">
        <is>
          <t>Compras</t>
        </is>
      </c>
      <c r="G384" s="68" t="n">
        <v>0</v>
      </c>
      <c r="H384" s="172" t="inlineStr">
        <is>
          <t>Não</t>
        </is>
      </c>
      <c r="I384" s="49" t="n"/>
    </row>
    <row r="385">
      <c r="A385" s="43" t="inlineStr">
        <is>
          <t>009771</t>
        </is>
      </c>
      <c r="B385" s="44" t="inlineStr">
        <is>
          <t>BOMBOM SONHO DE VALSA</t>
        </is>
      </c>
      <c r="C385" s="45" t="inlineStr">
        <is>
          <t>MC</t>
        </is>
      </c>
      <c r="D385" s="45" t="inlineStr">
        <is>
          <t>UN</t>
        </is>
      </c>
      <c r="E385" s="45" t="inlineStr">
        <is>
          <t>0013</t>
        </is>
      </c>
      <c r="F385" s="70" t="inlineStr">
        <is>
          <t>Compras</t>
        </is>
      </c>
      <c r="G385" s="66" t="n">
        <v>1.4887</v>
      </c>
      <c r="H385" s="172" t="inlineStr">
        <is>
          <t>Não</t>
        </is>
      </c>
      <c r="I385" s="50" t="n"/>
    </row>
    <row r="386">
      <c r="A386" s="40" t="inlineStr">
        <is>
          <t>002273</t>
        </is>
      </c>
      <c r="B386" s="41" t="inlineStr">
        <is>
          <t>BORRACHA ESCOLAR</t>
        </is>
      </c>
      <c r="C386" s="42" t="inlineStr">
        <is>
          <t>MC</t>
        </is>
      </c>
      <c r="D386" s="42" t="inlineStr">
        <is>
          <t>UN</t>
        </is>
      </c>
      <c r="E386" s="42" t="inlineStr">
        <is>
          <t>0001</t>
        </is>
      </c>
      <c r="F386" s="70" t="inlineStr">
        <is>
          <t>Compras</t>
        </is>
      </c>
      <c r="G386" s="68" t="n">
        <v>0</v>
      </c>
      <c r="H386" s="172" t="inlineStr">
        <is>
          <t>Não</t>
        </is>
      </c>
      <c r="I386" s="49" t="n"/>
    </row>
    <row r="387">
      <c r="A387" s="43" t="inlineStr">
        <is>
          <t>009969</t>
        </is>
      </c>
      <c r="B387" s="44" t="inlineStr">
        <is>
          <t>BORRACHA LIQUIDA SPRAY PRETA</t>
        </is>
      </c>
      <c r="C387" s="45" t="inlineStr">
        <is>
          <t>MC</t>
        </is>
      </c>
      <c r="D387" s="45" t="inlineStr">
        <is>
          <t>UN</t>
        </is>
      </c>
      <c r="E387" s="45" t="inlineStr">
        <is>
          <t>0132</t>
        </is>
      </c>
      <c r="F387" s="70" t="inlineStr">
        <is>
          <t>Compras</t>
        </is>
      </c>
      <c r="G387" s="66" t="n">
        <v>35</v>
      </c>
      <c r="H387" s="172" t="inlineStr">
        <is>
          <t>Não</t>
        </is>
      </c>
      <c r="I387" s="50" t="n"/>
    </row>
    <row r="388">
      <c r="A388" s="40" t="inlineStr">
        <is>
          <t>009911</t>
        </is>
      </c>
      <c r="B388" s="41" t="inlineStr">
        <is>
          <t>BORRACHA NITRIL VEDANTE 1/2</t>
        </is>
      </c>
      <c r="C388" s="42" t="inlineStr">
        <is>
          <t>MC</t>
        </is>
      </c>
      <c r="D388" s="42" t="inlineStr">
        <is>
          <t>UN</t>
        </is>
      </c>
      <c r="E388" s="42" t="inlineStr">
        <is>
          <t>0132</t>
        </is>
      </c>
      <c r="F388" s="70" t="inlineStr">
        <is>
          <t>Compras</t>
        </is>
      </c>
      <c r="G388" s="71" t="n">
        <v>2</v>
      </c>
      <c r="H388" s="172" t="inlineStr">
        <is>
          <t>Não</t>
        </is>
      </c>
      <c r="I388" s="49" t="n"/>
    </row>
    <row r="389">
      <c r="A389" s="43" t="inlineStr">
        <is>
          <t>000234</t>
        </is>
      </c>
      <c r="B389" s="44" t="inlineStr">
        <is>
          <t>BORRIFADOR</t>
        </is>
      </c>
      <c r="C389" s="45" t="inlineStr">
        <is>
          <t>MC</t>
        </is>
      </c>
      <c r="D389" s="45" t="inlineStr">
        <is>
          <t>UN</t>
        </is>
      </c>
      <c r="E389" s="45" t="inlineStr">
        <is>
          <t>0075</t>
        </is>
      </c>
      <c r="F389" s="70" t="inlineStr">
        <is>
          <t>Compras</t>
        </is>
      </c>
      <c r="G389" s="66" t="n">
        <v>7.8</v>
      </c>
      <c r="H389" s="172" t="inlineStr">
        <is>
          <t>Não</t>
        </is>
      </c>
      <c r="I389" s="50" t="n"/>
    </row>
    <row r="390">
      <c r="A390" s="40" t="inlineStr">
        <is>
          <t>000732</t>
        </is>
      </c>
      <c r="B390" s="41" t="inlineStr">
        <is>
          <t>BOTAO FRITADEIRA</t>
        </is>
      </c>
      <c r="C390" s="42" t="inlineStr">
        <is>
          <t>MC</t>
        </is>
      </c>
      <c r="D390" s="42" t="inlineStr">
        <is>
          <t>UN</t>
        </is>
      </c>
      <c r="E390" s="42" t="inlineStr">
        <is>
          <t>0132</t>
        </is>
      </c>
      <c r="F390" s="70" t="inlineStr">
        <is>
          <t>Compras</t>
        </is>
      </c>
      <c r="G390" s="71" t="n">
        <v>49</v>
      </c>
      <c r="H390" s="172" t="inlineStr">
        <is>
          <t>Não</t>
        </is>
      </c>
      <c r="I390" s="49" t="n"/>
    </row>
    <row r="391">
      <c r="A391" s="43" t="inlineStr">
        <is>
          <t>009982</t>
        </is>
      </c>
      <c r="B391" s="44" t="inlineStr">
        <is>
          <t>BOTAO PARA VALVULA COMBINADA - FRITADEIRA</t>
        </is>
      </c>
      <c r="C391" s="45" t="inlineStr">
        <is>
          <t>MC</t>
        </is>
      </c>
      <c r="D391" s="45" t="inlineStr">
        <is>
          <t>UN</t>
        </is>
      </c>
      <c r="E391" s="45" t="inlineStr">
        <is>
          <t>0132</t>
        </is>
      </c>
      <c r="F391" s="70" t="inlineStr">
        <is>
          <t>Compras</t>
        </is>
      </c>
      <c r="G391" s="69" t="n">
        <v>0</v>
      </c>
      <c r="H391" s="172" t="inlineStr">
        <is>
          <t>Não</t>
        </is>
      </c>
      <c r="I391" s="50" t="n"/>
    </row>
    <row r="392">
      <c r="A392" s="40" t="inlineStr">
        <is>
          <t>000190</t>
        </is>
      </c>
      <c r="B392" s="41" t="inlineStr">
        <is>
          <t>BOTAS DE BORRACHA CANO ALTO</t>
        </is>
      </c>
      <c r="C392" s="42" t="inlineStr">
        <is>
          <t>MC</t>
        </is>
      </c>
      <c r="D392" s="42" t="inlineStr">
        <is>
          <t>UN</t>
        </is>
      </c>
      <c r="E392" s="42" t="inlineStr">
        <is>
          <t>0017</t>
        </is>
      </c>
      <c r="F392" s="70" t="inlineStr">
        <is>
          <t>Compras</t>
        </is>
      </c>
      <c r="G392" s="68" t="n">
        <v>0</v>
      </c>
      <c r="H392" s="172" t="inlineStr">
        <is>
          <t>Não</t>
        </is>
      </c>
      <c r="I392" s="49" t="n"/>
    </row>
    <row r="393">
      <c r="A393" s="43" t="inlineStr">
        <is>
          <t>000191</t>
        </is>
      </c>
      <c r="B393" s="44" t="inlineStr">
        <is>
          <t>BOTAS DE BORRACHA CANO BAIXO</t>
        </is>
      </c>
      <c r="C393" s="45" t="inlineStr">
        <is>
          <t>MC</t>
        </is>
      </c>
      <c r="D393" s="45" t="inlineStr">
        <is>
          <t>UN</t>
        </is>
      </c>
      <c r="E393" s="45" t="inlineStr">
        <is>
          <t>0015</t>
        </is>
      </c>
      <c r="F393" s="70" t="inlineStr">
        <is>
          <t>Compras</t>
        </is>
      </c>
      <c r="G393" s="69" t="n">
        <v>0</v>
      </c>
      <c r="H393" s="173" t="inlineStr">
        <is>
          <t>Sim</t>
        </is>
      </c>
      <c r="I393" s="50" t="n"/>
    </row>
    <row r="394">
      <c r="A394" s="40" t="inlineStr">
        <is>
          <t>000256</t>
        </is>
      </c>
      <c r="B394" s="41" t="inlineStr">
        <is>
          <t>BOTINA PRETA BICO DE ACO CA 43339</t>
        </is>
      </c>
      <c r="C394" s="42" t="inlineStr">
        <is>
          <t>MC</t>
        </is>
      </c>
      <c r="D394" s="42" t="inlineStr">
        <is>
          <t>UN</t>
        </is>
      </c>
      <c r="E394" s="42" t="inlineStr">
        <is>
          <t>0017</t>
        </is>
      </c>
      <c r="F394" s="70" t="inlineStr">
        <is>
          <t>Compras</t>
        </is>
      </c>
      <c r="G394" s="71" t="n">
        <v>83</v>
      </c>
      <c r="H394" s="172" t="inlineStr">
        <is>
          <t>Não</t>
        </is>
      </c>
      <c r="I394" s="49" t="n"/>
    </row>
    <row r="395">
      <c r="A395" s="43" t="inlineStr">
        <is>
          <t>009687</t>
        </is>
      </c>
      <c r="B395" s="44" t="inlineStr">
        <is>
          <t>BOTOEIRA DE COMANDO ELETRICO</t>
        </is>
      </c>
      <c r="C395" s="45" t="inlineStr">
        <is>
          <t>MC</t>
        </is>
      </c>
      <c r="D395" s="45" t="inlineStr">
        <is>
          <t>UN</t>
        </is>
      </c>
      <c r="E395" s="45" t="inlineStr">
        <is>
          <t>0132</t>
        </is>
      </c>
      <c r="F395" s="70" t="inlineStr">
        <is>
          <t>Compras</t>
        </is>
      </c>
      <c r="G395" s="66" t="n">
        <v>95</v>
      </c>
      <c r="H395" s="172" t="inlineStr">
        <is>
          <t>Não</t>
        </is>
      </c>
      <c r="I395" s="50" t="n"/>
    </row>
    <row r="396">
      <c r="A396" s="40" t="inlineStr">
        <is>
          <t>001954</t>
        </is>
      </c>
      <c r="B396" s="41" t="inlineStr">
        <is>
          <t>BOULEVARDIER</t>
        </is>
      </c>
      <c r="C396" s="42" t="inlineStr">
        <is>
          <t>PA</t>
        </is>
      </c>
      <c r="D396" s="42" t="inlineStr">
        <is>
          <t>UN</t>
        </is>
      </c>
      <c r="E396" s="42" t="inlineStr">
        <is>
          <t>0119</t>
        </is>
      </c>
      <c r="F396" s="65" t="inlineStr">
        <is>
          <t>Venda</t>
        </is>
      </c>
      <c r="G396" s="68" t="n">
        <v>0</v>
      </c>
      <c r="H396" s="172" t="inlineStr">
        <is>
          <t>Não</t>
        </is>
      </c>
      <c r="I396" s="47" t="inlineStr">
        <is>
          <t>78989056877231</t>
        </is>
      </c>
    </row>
    <row r="397">
      <c r="A397" s="43" t="inlineStr">
        <is>
          <t>000020</t>
        </is>
      </c>
      <c r="B397" s="44" t="inlineStr">
        <is>
          <t>BOVINO</t>
        </is>
      </c>
      <c r="C397" s="45" t="inlineStr">
        <is>
          <t>PA</t>
        </is>
      </c>
      <c r="D397" s="45" t="inlineStr">
        <is>
          <t>UN</t>
        </is>
      </c>
      <c r="E397" s="45" t="inlineStr">
        <is>
          <t>0092</t>
        </is>
      </c>
      <c r="F397" s="65" t="inlineStr">
        <is>
          <t>Venda</t>
        </is>
      </c>
      <c r="G397" s="66" t="n">
        <v>237.57</v>
      </c>
      <c r="H397" s="172" t="inlineStr">
        <is>
          <t>Não</t>
        </is>
      </c>
      <c r="I397" s="48" t="inlineStr">
        <is>
          <t>10031</t>
        </is>
      </c>
    </row>
    <row r="398">
      <c r="A398" s="40" t="inlineStr">
        <is>
          <t>000001</t>
        </is>
      </c>
      <c r="B398" s="41" t="inlineStr">
        <is>
          <t>BOVINO IN NATURA</t>
        </is>
      </c>
      <c r="C398" s="42" t="inlineStr">
        <is>
          <t>MR</t>
        </is>
      </c>
      <c r="D398" s="42" t="inlineStr">
        <is>
          <t>UN</t>
        </is>
      </c>
      <c r="E398" s="42" t="inlineStr">
        <is>
          <t>0092</t>
        </is>
      </c>
      <c r="F398" s="65" t="inlineStr">
        <is>
          <t>Venda</t>
        </is>
      </c>
      <c r="G398" s="68" t="n">
        <v>0</v>
      </c>
      <c r="H398" s="172" t="inlineStr">
        <is>
          <t>Não</t>
        </is>
      </c>
      <c r="I398" s="47" t="inlineStr">
        <is>
          <t>10000</t>
        </is>
      </c>
    </row>
    <row r="399">
      <c r="A399" s="40" t="inlineStr">
        <is>
          <t>002189</t>
        </is>
      </c>
      <c r="B399" s="41" t="inlineStr">
        <is>
          <t>BOVINO RUA</t>
        </is>
      </c>
      <c r="C399" s="42" t="inlineStr">
        <is>
          <t>PA</t>
        </is>
      </c>
      <c r="D399" s="42" t="inlineStr">
        <is>
          <t>UN</t>
        </is>
      </c>
      <c r="E399" s="42" t="inlineStr">
        <is>
          <t>0092</t>
        </is>
      </c>
      <c r="F399" s="65" t="inlineStr">
        <is>
          <t>Venda</t>
        </is>
      </c>
      <c r="G399" s="68" t="n">
        <v>0</v>
      </c>
      <c r="H399" s="172" t="inlineStr">
        <is>
          <t>Não</t>
        </is>
      </c>
      <c r="I399" s="47" t="inlineStr">
        <is>
          <t>78989056877341</t>
        </is>
      </c>
    </row>
    <row r="400">
      <c r="A400" s="43" t="inlineStr">
        <is>
          <t>001164</t>
        </is>
      </c>
      <c r="B400" s="44" t="inlineStr">
        <is>
          <t>BRAHMA CHOPP ZERO LATA 350 ML</t>
        </is>
      </c>
      <c r="C400" s="45" t="inlineStr">
        <is>
          <t>MR</t>
        </is>
      </c>
      <c r="D400" s="45" t="inlineStr">
        <is>
          <t>UN</t>
        </is>
      </c>
      <c r="E400" s="45" t="inlineStr">
        <is>
          <t>0026</t>
        </is>
      </c>
      <c r="F400" s="43" t="n"/>
      <c r="G400" s="69" t="n">
        <v>0</v>
      </c>
      <c r="H400" s="173" t="inlineStr">
        <is>
          <t>Sim</t>
        </is>
      </c>
      <c r="I400" s="50" t="n"/>
    </row>
    <row r="401">
      <c r="A401" s="40" t="inlineStr">
        <is>
          <t>001133</t>
        </is>
      </c>
      <c r="B401" s="41" t="inlineStr">
        <is>
          <t>BRAHMA DUPLO MALTE 350 ML</t>
        </is>
      </c>
      <c r="C401" s="42" t="inlineStr">
        <is>
          <t>ME</t>
        </is>
      </c>
      <c r="D401" s="42" t="inlineStr">
        <is>
          <t>UN</t>
        </is>
      </c>
      <c r="E401" s="42" t="inlineStr">
        <is>
          <t>0026</t>
        </is>
      </c>
      <c r="F401" s="70" t="inlineStr">
        <is>
          <t>Compras</t>
        </is>
      </c>
      <c r="G401" s="68" t="n">
        <v>0</v>
      </c>
      <c r="H401" s="172" t="inlineStr">
        <is>
          <t>Não</t>
        </is>
      </c>
      <c r="I401" s="49" t="n"/>
    </row>
    <row r="402">
      <c r="A402" s="43" t="inlineStr">
        <is>
          <t>001057</t>
        </is>
      </c>
      <c r="B402" s="44" t="inlineStr">
        <is>
          <t>BRAHMA DUPLO MALTE 600 ML</t>
        </is>
      </c>
      <c r="C402" s="45" t="inlineStr">
        <is>
          <t>MR</t>
        </is>
      </c>
      <c r="D402" s="45" t="inlineStr">
        <is>
          <t>UN</t>
        </is>
      </c>
      <c r="E402" s="45" t="inlineStr">
        <is>
          <t>0093</t>
        </is>
      </c>
      <c r="F402" s="65" t="inlineStr">
        <is>
          <t>Venda</t>
        </is>
      </c>
      <c r="G402" s="69" t="n">
        <v>0</v>
      </c>
      <c r="H402" s="172" t="inlineStr">
        <is>
          <t>Não</t>
        </is>
      </c>
      <c r="I402" s="48" t="inlineStr">
        <is>
          <t>9003350</t>
        </is>
      </c>
    </row>
    <row r="403">
      <c r="A403" s="40" t="inlineStr">
        <is>
          <t>000911</t>
        </is>
      </c>
      <c r="B403" s="41" t="inlineStr">
        <is>
          <t>BRAHMA ZERO LONG</t>
        </is>
      </c>
      <c r="C403" s="42" t="inlineStr">
        <is>
          <t>MR</t>
        </is>
      </c>
      <c r="D403" s="42" t="inlineStr">
        <is>
          <t>UN</t>
        </is>
      </c>
      <c r="E403" s="42" t="inlineStr">
        <is>
          <t>0093</t>
        </is>
      </c>
      <c r="F403" s="65" t="inlineStr">
        <is>
          <t>Venda</t>
        </is>
      </c>
      <c r="G403" s="68" t="n">
        <v>0</v>
      </c>
      <c r="H403" s="173" t="inlineStr">
        <is>
          <t>Sim</t>
        </is>
      </c>
      <c r="I403" s="47" t="inlineStr">
        <is>
          <t>80008</t>
        </is>
      </c>
    </row>
    <row r="404">
      <c r="A404" s="43" t="inlineStr">
        <is>
          <t>000327</t>
        </is>
      </c>
      <c r="B404" s="44" t="inlineStr">
        <is>
          <t>BRAHMA ZERO LONG NECK</t>
        </is>
      </c>
      <c r="C404" s="45" t="inlineStr">
        <is>
          <t>ME</t>
        </is>
      </c>
      <c r="D404" s="45" t="inlineStr">
        <is>
          <t>UN</t>
        </is>
      </c>
      <c r="E404" s="45" t="inlineStr">
        <is>
          <t>0026</t>
        </is>
      </c>
      <c r="F404" s="70" t="inlineStr">
        <is>
          <t>Compras</t>
        </is>
      </c>
      <c r="G404" s="69" t="n">
        <v>0</v>
      </c>
      <c r="H404" s="172" t="inlineStr">
        <is>
          <t>Não</t>
        </is>
      </c>
      <c r="I404" s="50" t="n"/>
    </row>
    <row r="405">
      <c r="A405" s="40" t="inlineStr">
        <is>
          <t>000802</t>
        </is>
      </c>
      <c r="B405" s="41" t="inlineStr">
        <is>
          <t>BRANDED COOLER - RED BULL</t>
        </is>
      </c>
      <c r="C405" s="42" t="inlineStr">
        <is>
          <t>GN</t>
        </is>
      </c>
      <c r="D405" s="42" t="inlineStr">
        <is>
          <t>UN</t>
        </is>
      </c>
      <c r="E405" s="42" t="inlineStr">
        <is>
          <t>0065</t>
        </is>
      </c>
      <c r="F405" s="40" t="n"/>
      <c r="G405" s="68" t="n">
        <v>0</v>
      </c>
      <c r="H405" s="173" t="inlineStr">
        <is>
          <t>Sim</t>
        </is>
      </c>
      <c r="I405" s="49" t="n"/>
    </row>
    <row r="406">
      <c r="A406" s="43" t="inlineStr">
        <is>
          <t>000800</t>
        </is>
      </c>
      <c r="B406" s="44" t="inlineStr">
        <is>
          <t>BRIGADEIRO</t>
        </is>
      </c>
      <c r="C406" s="45" t="inlineStr">
        <is>
          <t>PA</t>
        </is>
      </c>
      <c r="D406" s="45" t="inlineStr">
        <is>
          <t>UN</t>
        </is>
      </c>
      <c r="E406" s="45" t="inlineStr">
        <is>
          <t>0096</t>
        </is>
      </c>
      <c r="F406" s="65" t="inlineStr">
        <is>
          <t>Venda</t>
        </is>
      </c>
      <c r="G406" s="69" t="n">
        <v>0</v>
      </c>
      <c r="H406" s="172" t="inlineStr">
        <is>
          <t>Não</t>
        </is>
      </c>
      <c r="I406" s="48" t="inlineStr">
        <is>
          <t>50008</t>
        </is>
      </c>
    </row>
    <row r="407">
      <c r="A407" s="40" t="inlineStr">
        <is>
          <t>001999</t>
        </is>
      </c>
      <c r="B407" s="41" t="inlineStr">
        <is>
          <t>BRINCADEIRA 1</t>
        </is>
      </c>
      <c r="C407" s="42" t="inlineStr">
        <is>
          <t>OI</t>
        </is>
      </c>
      <c r="D407" s="42" t="inlineStr">
        <is>
          <t>UN</t>
        </is>
      </c>
      <c r="E407" s="42" t="inlineStr">
        <is>
          <t>0107</t>
        </is>
      </c>
      <c r="F407" s="65" t="inlineStr">
        <is>
          <t>Venda</t>
        </is>
      </c>
      <c r="G407" s="68" t="n">
        <v>0</v>
      </c>
      <c r="H407" s="172" t="inlineStr">
        <is>
          <t>Não</t>
        </is>
      </c>
      <c r="I407" s="47" t="inlineStr">
        <is>
          <t>78989056877142</t>
        </is>
      </c>
    </row>
    <row r="408">
      <c r="A408" s="43" t="inlineStr">
        <is>
          <t>001792</t>
        </is>
      </c>
      <c r="B408" s="44" t="inlineStr">
        <is>
          <t>BRINCADEIRA 10</t>
        </is>
      </c>
      <c r="C408" s="45" t="inlineStr">
        <is>
          <t>MR</t>
        </is>
      </c>
      <c r="D408" s="45" t="inlineStr">
        <is>
          <t>UN</t>
        </is>
      </c>
      <c r="E408" s="45" t="inlineStr">
        <is>
          <t>0107</t>
        </is>
      </c>
      <c r="F408" s="65" t="inlineStr">
        <is>
          <t>Venda</t>
        </is>
      </c>
      <c r="G408" s="69" t="n">
        <v>0</v>
      </c>
      <c r="H408" s="173" t="inlineStr">
        <is>
          <t>Sim</t>
        </is>
      </c>
      <c r="I408" s="48" t="inlineStr">
        <is>
          <t>78989056877160</t>
        </is>
      </c>
    </row>
    <row r="409">
      <c r="A409" s="40" t="inlineStr">
        <is>
          <t>002121</t>
        </is>
      </c>
      <c r="B409" s="41" t="inlineStr">
        <is>
          <t>BRINCADEIRA 10</t>
        </is>
      </c>
      <c r="C409" s="42" t="inlineStr">
        <is>
          <t>MR</t>
        </is>
      </c>
      <c r="D409" s="42" t="inlineStr">
        <is>
          <t>UN</t>
        </is>
      </c>
      <c r="E409" s="42" t="inlineStr">
        <is>
          <t>0107</t>
        </is>
      </c>
      <c r="F409" s="65" t="inlineStr">
        <is>
          <t>Venda</t>
        </is>
      </c>
      <c r="G409" s="68" t="n">
        <v>0</v>
      </c>
      <c r="H409" s="173" t="inlineStr">
        <is>
          <t>Sim</t>
        </is>
      </c>
      <c r="I409" s="47" t="inlineStr">
        <is>
          <t>78989056877157</t>
        </is>
      </c>
    </row>
    <row r="410">
      <c r="A410" s="43" t="inlineStr">
        <is>
          <t>010084</t>
        </is>
      </c>
      <c r="B410" s="44" t="inlineStr">
        <is>
          <t>BRINCADEIRA 10</t>
        </is>
      </c>
      <c r="C410" s="45" t="inlineStr">
        <is>
          <t>MR</t>
        </is>
      </c>
      <c r="D410" s="45" t="inlineStr">
        <is>
          <t>UN</t>
        </is>
      </c>
      <c r="E410" s="45" t="inlineStr">
        <is>
          <t>0128</t>
        </is>
      </c>
      <c r="F410" s="65" t="inlineStr">
        <is>
          <t>Venda</t>
        </is>
      </c>
      <c r="G410" s="69" t="n">
        <v>0</v>
      </c>
      <c r="H410" s="172" t="inlineStr">
        <is>
          <t>Não</t>
        </is>
      </c>
      <c r="I410" s="48" t="inlineStr">
        <is>
          <t>78989056877160</t>
        </is>
      </c>
    </row>
    <row r="411">
      <c r="A411" s="40" t="inlineStr">
        <is>
          <t>001626</t>
        </is>
      </c>
      <c r="B411" s="41" t="inlineStr">
        <is>
          <t>BRINCADEIRA 3</t>
        </is>
      </c>
      <c r="C411" s="42" t="inlineStr">
        <is>
          <t>MR</t>
        </is>
      </c>
      <c r="D411" s="42" t="inlineStr">
        <is>
          <t>UN</t>
        </is>
      </c>
      <c r="E411" s="42" t="inlineStr">
        <is>
          <t>0107</t>
        </is>
      </c>
      <c r="F411" s="65" t="inlineStr">
        <is>
          <t>Venda</t>
        </is>
      </c>
      <c r="G411" s="68" t="n">
        <v>0</v>
      </c>
      <c r="H411" s="173" t="inlineStr">
        <is>
          <t>Sim</t>
        </is>
      </c>
      <c r="I411" s="47" t="inlineStr">
        <is>
          <t>78989056877143</t>
        </is>
      </c>
    </row>
    <row r="412">
      <c r="A412" s="43" t="inlineStr">
        <is>
          <t>001569</t>
        </is>
      </c>
      <c r="B412" s="44" t="inlineStr">
        <is>
          <t>BRINCADEIRA 5</t>
        </is>
      </c>
      <c r="C412" s="45" t="inlineStr">
        <is>
          <t>MR</t>
        </is>
      </c>
      <c r="D412" s="45" t="inlineStr">
        <is>
          <t>UN</t>
        </is>
      </c>
      <c r="E412" s="45" t="inlineStr">
        <is>
          <t>0107</t>
        </is>
      </c>
      <c r="F412" s="65" t="inlineStr">
        <is>
          <t>Venda</t>
        </is>
      </c>
      <c r="G412" s="69" t="n">
        <v>0</v>
      </c>
      <c r="H412" s="173" t="inlineStr">
        <is>
          <t>Sim</t>
        </is>
      </c>
      <c r="I412" s="48" t="inlineStr">
        <is>
          <t>78989056877162</t>
        </is>
      </c>
    </row>
    <row r="413">
      <c r="A413" s="40" t="inlineStr">
        <is>
          <t>002000</t>
        </is>
      </c>
      <c r="B413" s="41" t="inlineStr">
        <is>
          <t>BRINCADEIRA 5</t>
        </is>
      </c>
      <c r="C413" s="42" t="inlineStr">
        <is>
          <t>MR</t>
        </is>
      </c>
      <c r="D413" s="42" t="inlineStr">
        <is>
          <t>UN</t>
        </is>
      </c>
      <c r="E413" s="42" t="inlineStr">
        <is>
          <t>0107</t>
        </is>
      </c>
      <c r="F413" s="65" t="inlineStr">
        <is>
          <t>Venda</t>
        </is>
      </c>
      <c r="G413" s="68" t="n">
        <v>0</v>
      </c>
      <c r="H413" s="173" t="inlineStr">
        <is>
          <t>Sim</t>
        </is>
      </c>
      <c r="I413" s="47" t="inlineStr">
        <is>
          <t>78989056877144</t>
        </is>
      </c>
    </row>
    <row r="414">
      <c r="A414" s="43" t="inlineStr">
        <is>
          <t>009992</t>
        </is>
      </c>
      <c r="B414" s="44" t="inlineStr">
        <is>
          <t>BRINCADEIRA INFLAVEIS</t>
        </is>
      </c>
      <c r="C414" s="45" t="inlineStr">
        <is>
          <t>OI</t>
        </is>
      </c>
      <c r="D414" s="45" t="inlineStr">
        <is>
          <t>UN</t>
        </is>
      </c>
      <c r="E414" s="45" t="inlineStr">
        <is>
          <t>0107</t>
        </is>
      </c>
      <c r="F414" s="65" t="inlineStr">
        <is>
          <t>Venda</t>
        </is>
      </c>
      <c r="G414" s="69" t="n">
        <v>0</v>
      </c>
      <c r="H414" s="172" t="inlineStr">
        <is>
          <t>Não</t>
        </is>
      </c>
      <c r="I414" s="48" t="inlineStr">
        <is>
          <t>78989056877144</t>
        </is>
      </c>
    </row>
    <row r="415">
      <c r="A415" s="40" t="inlineStr">
        <is>
          <t>001565</t>
        </is>
      </c>
      <c r="B415" s="41" t="inlineStr">
        <is>
          <t>BRINCADEIRAS 3</t>
        </is>
      </c>
      <c r="C415" s="42" t="inlineStr">
        <is>
          <t>MR</t>
        </is>
      </c>
      <c r="D415" s="42" t="inlineStr">
        <is>
          <t>UN</t>
        </is>
      </c>
      <c r="E415" s="42" t="inlineStr">
        <is>
          <t>0107</t>
        </is>
      </c>
      <c r="F415" s="65" t="inlineStr">
        <is>
          <t>Venda</t>
        </is>
      </c>
      <c r="G415" s="68" t="n">
        <v>0</v>
      </c>
      <c r="H415" s="173" t="inlineStr">
        <is>
          <t>Sim</t>
        </is>
      </c>
      <c r="I415" s="47" t="inlineStr">
        <is>
          <t>78989056877155</t>
        </is>
      </c>
    </row>
    <row r="416">
      <c r="A416" s="43" t="inlineStr">
        <is>
          <t>002010</t>
        </is>
      </c>
      <c r="B416" s="44" t="inlineStr">
        <is>
          <t>BRINCADEIRAS JUNINA</t>
        </is>
      </c>
      <c r="C416" s="45" t="inlineStr">
        <is>
          <t>MR</t>
        </is>
      </c>
      <c r="D416" s="45" t="inlineStr">
        <is>
          <t>UN</t>
        </is>
      </c>
      <c r="E416" s="45" t="inlineStr">
        <is>
          <t>0107</t>
        </is>
      </c>
      <c r="F416" s="65" t="inlineStr">
        <is>
          <t>Venda</t>
        </is>
      </c>
      <c r="G416" s="69" t="n">
        <v>0</v>
      </c>
      <c r="H416" s="173" t="inlineStr">
        <is>
          <t>Sim</t>
        </is>
      </c>
      <c r="I416" s="48" t="inlineStr">
        <is>
          <t>78989056877137</t>
        </is>
      </c>
    </row>
    <row r="417">
      <c r="A417" s="40" t="inlineStr">
        <is>
          <t>009481</t>
        </is>
      </c>
      <c r="B417" s="41" t="inlineStr">
        <is>
          <t>BRINDE URSO</t>
        </is>
      </c>
      <c r="C417" s="42" t="inlineStr">
        <is>
          <t>GN</t>
        </is>
      </c>
      <c r="D417" s="42" t="inlineStr">
        <is>
          <t>UN</t>
        </is>
      </c>
      <c r="E417" s="42" t="inlineStr">
        <is>
          <t>0107</t>
        </is>
      </c>
      <c r="F417" s="65" t="inlineStr">
        <is>
          <t>Venda</t>
        </is>
      </c>
      <c r="G417" s="68" t="n">
        <v>0</v>
      </c>
      <c r="H417" s="172" t="inlineStr">
        <is>
          <t>Não</t>
        </is>
      </c>
      <c r="I417" s="47" t="inlineStr">
        <is>
          <t>78989056877174</t>
        </is>
      </c>
    </row>
    <row r="418">
      <c r="A418" s="43" t="inlineStr">
        <is>
          <t>009452</t>
        </is>
      </c>
      <c r="B418" s="44" t="inlineStr">
        <is>
          <t>BRINQUEDOS FUNCIONARIO</t>
        </is>
      </c>
      <c r="C418" s="45" t="inlineStr">
        <is>
          <t>MC</t>
        </is>
      </c>
      <c r="D418" s="45" t="inlineStr">
        <is>
          <t>UN</t>
        </is>
      </c>
      <c r="E418" s="45" t="inlineStr">
        <is>
          <t>0135</t>
        </is>
      </c>
      <c r="F418" s="70" t="inlineStr">
        <is>
          <t>Compras</t>
        </is>
      </c>
      <c r="G418" s="69" t="n">
        <v>0</v>
      </c>
      <c r="H418" s="172" t="inlineStr">
        <is>
          <t>Não</t>
        </is>
      </c>
      <c r="I418" s="50" t="n"/>
    </row>
    <row r="419">
      <c r="A419" s="40" t="inlineStr">
        <is>
          <t>000207</t>
        </is>
      </c>
      <c r="B419" s="41" t="inlineStr">
        <is>
          <t>BRISA CARMENERE INS</t>
        </is>
      </c>
      <c r="C419" s="42" t="inlineStr">
        <is>
          <t>MR</t>
        </is>
      </c>
      <c r="D419" s="42" t="inlineStr">
        <is>
          <t>UN</t>
        </is>
      </c>
      <c r="E419" s="42" t="inlineStr">
        <is>
          <t>0054</t>
        </is>
      </c>
      <c r="F419" s="65" t="inlineStr">
        <is>
          <t>Venda</t>
        </is>
      </c>
      <c r="G419" s="68" t="n">
        <v>0</v>
      </c>
      <c r="H419" s="173" t="inlineStr">
        <is>
          <t>Sim</t>
        </is>
      </c>
      <c r="I419" s="49" t="n"/>
    </row>
    <row r="420">
      <c r="A420" s="43" t="inlineStr">
        <is>
          <t>009623</t>
        </is>
      </c>
      <c r="B420" s="44" t="inlineStr">
        <is>
          <t>BROCA 3 PONTAS PARA MADEIRA</t>
        </is>
      </c>
      <c r="C420" s="45" t="inlineStr">
        <is>
          <t>MC</t>
        </is>
      </c>
      <c r="D420" s="45" t="inlineStr">
        <is>
          <t>UN</t>
        </is>
      </c>
      <c r="E420" s="45" t="inlineStr">
        <is>
          <t>0132</t>
        </is>
      </c>
      <c r="F420" s="70" t="inlineStr">
        <is>
          <t>Compras</t>
        </is>
      </c>
      <c r="G420" s="66" t="n">
        <v>7.5</v>
      </c>
      <c r="H420" s="172" t="inlineStr">
        <is>
          <t>Não</t>
        </is>
      </c>
      <c r="I420" s="50" t="n"/>
    </row>
    <row r="421">
      <c r="A421" s="40" t="inlineStr">
        <is>
          <t>010319</t>
        </is>
      </c>
      <c r="B421" s="41" t="inlineStr">
        <is>
          <t>BROCA ACO RAPIDO 1/4 6,5MM</t>
        </is>
      </c>
      <c r="C421" s="42" t="inlineStr">
        <is>
          <t>MC</t>
        </is>
      </c>
      <c r="D421" s="42" t="inlineStr">
        <is>
          <t>UN</t>
        </is>
      </c>
      <c r="E421" s="42" t="inlineStr">
        <is>
          <t>0132</t>
        </is>
      </c>
      <c r="F421" s="70" t="inlineStr">
        <is>
          <t>Compras</t>
        </is>
      </c>
      <c r="G421" s="71" t="n">
        <v>14</v>
      </c>
      <c r="H421" s="172" t="inlineStr">
        <is>
          <t>Não</t>
        </is>
      </c>
      <c r="I421" s="49" t="n"/>
    </row>
    <row r="422">
      <c r="A422" s="43" t="inlineStr">
        <is>
          <t>010178</t>
        </is>
      </c>
      <c r="B422" s="44" t="inlineStr">
        <is>
          <t>BROCA ACO RAPIDO 11/64 4,4MM</t>
        </is>
      </c>
      <c r="C422" s="45" t="inlineStr">
        <is>
          <t>MC</t>
        </is>
      </c>
      <c r="D422" s="45" t="inlineStr">
        <is>
          <t>UN</t>
        </is>
      </c>
      <c r="E422" s="45" t="inlineStr">
        <is>
          <t>0132</t>
        </is>
      </c>
      <c r="F422" s="70" t="inlineStr">
        <is>
          <t>Compras</t>
        </is>
      </c>
      <c r="G422" s="66" t="n">
        <v>10</v>
      </c>
      <c r="H422" s="172" t="inlineStr">
        <is>
          <t>Não</t>
        </is>
      </c>
      <c r="I422" s="50" t="n"/>
    </row>
    <row r="423">
      <c r="A423" s="40" t="inlineStr">
        <is>
          <t>010120</t>
        </is>
      </c>
      <c r="B423" s="41" t="inlineStr">
        <is>
          <t>BROCA ACO RAPIDO 3/8 9,5MM</t>
        </is>
      </c>
      <c r="C423" s="42" t="inlineStr">
        <is>
          <t>MC</t>
        </is>
      </c>
      <c r="D423" s="42" t="inlineStr">
        <is>
          <t>UN</t>
        </is>
      </c>
      <c r="E423" s="42" t="inlineStr">
        <is>
          <t>0132</t>
        </is>
      </c>
      <c r="F423" s="70" t="inlineStr">
        <is>
          <t>Compras</t>
        </is>
      </c>
      <c r="G423" s="68" t="n">
        <v>0</v>
      </c>
      <c r="H423" s="172" t="inlineStr">
        <is>
          <t>Não</t>
        </is>
      </c>
      <c r="I423" s="49" t="n"/>
    </row>
    <row r="424">
      <c r="A424" s="43" t="inlineStr">
        <is>
          <t>010104</t>
        </is>
      </c>
      <c r="B424" s="44" t="inlineStr">
        <is>
          <t>BROCA ACO RAPIDO 5/16 8MM</t>
        </is>
      </c>
      <c r="C424" s="45" t="inlineStr">
        <is>
          <t>MC</t>
        </is>
      </c>
      <c r="D424" s="45" t="inlineStr">
        <is>
          <t>UN</t>
        </is>
      </c>
      <c r="E424" s="45" t="inlineStr">
        <is>
          <t>0132</t>
        </is>
      </c>
      <c r="F424" s="70" t="inlineStr">
        <is>
          <t>Compras</t>
        </is>
      </c>
      <c r="G424" s="66" t="n">
        <v>19</v>
      </c>
      <c r="H424" s="172" t="inlineStr">
        <is>
          <t>Não</t>
        </is>
      </c>
      <c r="I424" s="50" t="n"/>
    </row>
    <row r="425">
      <c r="A425" s="40" t="inlineStr">
        <is>
          <t>009511</t>
        </is>
      </c>
      <c r="B425" s="41" t="inlineStr">
        <is>
          <t>BROCA ACO RAPIDO 5/32 4MM</t>
        </is>
      </c>
      <c r="C425" s="42" t="inlineStr">
        <is>
          <t>MC</t>
        </is>
      </c>
      <c r="D425" s="42" t="inlineStr">
        <is>
          <t>UN</t>
        </is>
      </c>
      <c r="E425" s="42" t="inlineStr">
        <is>
          <t>0132</t>
        </is>
      </c>
      <c r="F425" s="70" t="inlineStr">
        <is>
          <t>Compras</t>
        </is>
      </c>
      <c r="G425" s="71" t="n">
        <v>11</v>
      </c>
      <c r="H425" s="172" t="inlineStr">
        <is>
          <t>Não</t>
        </is>
      </c>
      <c r="I425" s="49" t="n"/>
    </row>
    <row r="426">
      <c r="A426" s="43" t="inlineStr">
        <is>
          <t>009399</t>
        </is>
      </c>
      <c r="B426" s="44" t="inlineStr">
        <is>
          <t>BROCA ACO RAPIDO 7/32  5,5MM</t>
        </is>
      </c>
      <c r="C426" s="45" t="inlineStr">
        <is>
          <t>MC</t>
        </is>
      </c>
      <c r="D426" s="45" t="inlineStr">
        <is>
          <t>UN</t>
        </is>
      </c>
      <c r="E426" s="45" t="inlineStr">
        <is>
          <t>0132</t>
        </is>
      </c>
      <c r="F426" s="70" t="inlineStr">
        <is>
          <t>Compras</t>
        </is>
      </c>
      <c r="G426" s="66" t="n">
        <v>7.9</v>
      </c>
      <c r="H426" s="172" t="inlineStr">
        <is>
          <t>Não</t>
        </is>
      </c>
      <c r="I426" s="50" t="n"/>
    </row>
    <row r="427">
      <c r="A427" s="40" t="inlineStr">
        <is>
          <t>009618</t>
        </is>
      </c>
      <c r="B427" s="41" t="inlineStr">
        <is>
          <t>BROCA CHATA PARA MADEIRA</t>
        </is>
      </c>
      <c r="C427" s="42" t="inlineStr">
        <is>
          <t>MC</t>
        </is>
      </c>
      <c r="D427" s="42" t="inlineStr">
        <is>
          <t>UN</t>
        </is>
      </c>
      <c r="E427" s="42" t="inlineStr">
        <is>
          <t>0132</t>
        </is>
      </c>
      <c r="F427" s="70" t="inlineStr">
        <is>
          <t>Compras</t>
        </is>
      </c>
      <c r="G427" s="71" t="n">
        <v>45</v>
      </c>
      <c r="H427" s="172" t="inlineStr">
        <is>
          <t>Não</t>
        </is>
      </c>
      <c r="I427" s="49" t="n"/>
    </row>
    <row r="428">
      <c r="A428" s="43" t="inlineStr">
        <is>
          <t>010103</t>
        </is>
      </c>
      <c r="B428" s="44" t="inlineStr">
        <is>
          <t>BROCA PARA ACO RAPIDO 15/64 5,95MM</t>
        </is>
      </c>
      <c r="C428" s="45" t="inlineStr">
        <is>
          <t>MC</t>
        </is>
      </c>
      <c r="D428" s="45" t="inlineStr">
        <is>
          <t>UN</t>
        </is>
      </c>
      <c r="E428" s="45" t="inlineStr">
        <is>
          <t>0132</t>
        </is>
      </c>
      <c r="F428" s="70" t="inlineStr">
        <is>
          <t>Compras</t>
        </is>
      </c>
      <c r="G428" s="66" t="n">
        <v>68.54000000000001</v>
      </c>
      <c r="H428" s="172" t="inlineStr">
        <is>
          <t>Não</t>
        </is>
      </c>
      <c r="I428" s="50" t="n"/>
    </row>
    <row r="429">
      <c r="A429" s="40" t="inlineStr">
        <is>
          <t>009891</t>
        </is>
      </c>
      <c r="B429" s="41" t="inlineStr">
        <is>
          <t>BROCA PARA ACO RAPIDO 17/64 7MM</t>
        </is>
      </c>
      <c r="C429" s="42" t="inlineStr">
        <is>
          <t>MC</t>
        </is>
      </c>
      <c r="D429" s="42" t="inlineStr">
        <is>
          <t>UN</t>
        </is>
      </c>
      <c r="E429" s="42" t="inlineStr">
        <is>
          <t>0132</t>
        </is>
      </c>
      <c r="F429" s="70" t="inlineStr">
        <is>
          <t>Compras</t>
        </is>
      </c>
      <c r="G429" s="68" t="n">
        <v>0</v>
      </c>
      <c r="H429" s="172" t="inlineStr">
        <is>
          <t>Não</t>
        </is>
      </c>
      <c r="I429" s="49" t="n"/>
    </row>
    <row r="430">
      <c r="A430" s="43" t="inlineStr">
        <is>
          <t>010102</t>
        </is>
      </c>
      <c r="B430" s="44" t="inlineStr">
        <is>
          <t>BROCA PARA ACO RAPIDO 9/64 3,5MM</t>
        </is>
      </c>
      <c r="C430" s="45" t="inlineStr">
        <is>
          <t>MC</t>
        </is>
      </c>
      <c r="D430" s="45" t="inlineStr">
        <is>
          <t>UN</t>
        </is>
      </c>
      <c r="E430" s="45" t="inlineStr">
        <is>
          <t>0132</t>
        </is>
      </c>
      <c r="F430" s="70" t="inlineStr">
        <is>
          <t>Compras</t>
        </is>
      </c>
      <c r="G430" s="66" t="n">
        <v>11</v>
      </c>
      <c r="H430" s="172" t="inlineStr">
        <is>
          <t>Não</t>
        </is>
      </c>
      <c r="I430" s="50" t="n"/>
    </row>
    <row r="431">
      <c r="A431" s="40" t="inlineStr">
        <is>
          <t>010257</t>
        </is>
      </c>
      <c r="B431" s="41" t="inlineStr">
        <is>
          <t>BROCA PARA CONCRETO 10MM</t>
        </is>
      </c>
      <c r="C431" s="42" t="inlineStr">
        <is>
          <t>MC</t>
        </is>
      </c>
      <c r="D431" s="42" t="inlineStr">
        <is>
          <t>UN</t>
        </is>
      </c>
      <c r="E431" s="42" t="inlineStr">
        <is>
          <t>0132</t>
        </is>
      </c>
      <c r="F431" s="70" t="inlineStr">
        <is>
          <t>Compras</t>
        </is>
      </c>
      <c r="G431" s="71" t="n">
        <v>23.5</v>
      </c>
      <c r="H431" s="172" t="inlineStr">
        <is>
          <t>Não</t>
        </is>
      </c>
      <c r="I431" s="49" t="n"/>
    </row>
    <row r="432">
      <c r="A432" s="43" t="inlineStr">
        <is>
          <t>009505</t>
        </is>
      </c>
      <c r="B432" s="44" t="inlineStr">
        <is>
          <t>BROCA PARA CONCRETO 6MM</t>
        </is>
      </c>
      <c r="C432" s="45" t="inlineStr">
        <is>
          <t>MC</t>
        </is>
      </c>
      <c r="D432" s="45" t="inlineStr">
        <is>
          <t>UN</t>
        </is>
      </c>
      <c r="E432" s="45" t="inlineStr">
        <is>
          <t>0132</t>
        </is>
      </c>
      <c r="F432" s="70" t="inlineStr">
        <is>
          <t>Compras</t>
        </is>
      </c>
      <c r="G432" s="66" t="n">
        <v>8</v>
      </c>
      <c r="H432" s="172" t="inlineStr">
        <is>
          <t>Não</t>
        </is>
      </c>
      <c r="I432" s="50" t="n"/>
    </row>
    <row r="433">
      <c r="A433" s="40" t="inlineStr">
        <is>
          <t>009400</t>
        </is>
      </c>
      <c r="B433" s="41" t="inlineStr">
        <is>
          <t>BROCA PARA CONCRETO 8MM</t>
        </is>
      </c>
      <c r="C433" s="42" t="inlineStr">
        <is>
          <t>MC</t>
        </is>
      </c>
      <c r="D433" s="42" t="inlineStr">
        <is>
          <t>UN</t>
        </is>
      </c>
      <c r="E433" s="42" t="inlineStr">
        <is>
          <t>0132</t>
        </is>
      </c>
      <c r="F433" s="70" t="inlineStr">
        <is>
          <t>Compras</t>
        </is>
      </c>
      <c r="G433" s="71" t="n">
        <v>11.7</v>
      </c>
      <c r="H433" s="172" t="inlineStr">
        <is>
          <t>Não</t>
        </is>
      </c>
      <c r="I433" s="49" t="n"/>
    </row>
    <row r="434">
      <c r="A434" s="43" t="inlineStr">
        <is>
          <t>010366</t>
        </is>
      </c>
      <c r="B434" s="44" t="inlineStr">
        <is>
          <t>BROCA PARA CONCRETO 9/16" 14,0X260MM</t>
        </is>
      </c>
      <c r="C434" s="45" t="inlineStr">
        <is>
          <t>MC</t>
        </is>
      </c>
      <c r="D434" s="45" t="inlineStr">
        <is>
          <t>UN</t>
        </is>
      </c>
      <c r="E434" s="45" t="inlineStr">
        <is>
          <t>0132</t>
        </is>
      </c>
      <c r="F434" s="70" t="inlineStr">
        <is>
          <t>Compras</t>
        </is>
      </c>
      <c r="G434" s="69" t="n">
        <v>0</v>
      </c>
      <c r="H434" s="172" t="inlineStr">
        <is>
          <t>Não</t>
        </is>
      </c>
      <c r="I434" s="50" t="n"/>
    </row>
    <row r="435">
      <c r="A435" s="40" t="inlineStr">
        <is>
          <t>000467</t>
        </is>
      </c>
      <c r="B435" s="41" t="inlineStr">
        <is>
          <t>BROCOLIS</t>
        </is>
      </c>
      <c r="C435" s="42" t="inlineStr">
        <is>
          <t>MP</t>
        </is>
      </c>
      <c r="D435" s="42" t="inlineStr">
        <is>
          <t>KG</t>
        </is>
      </c>
      <c r="E435" s="42" t="inlineStr">
        <is>
          <t>0036</t>
        </is>
      </c>
      <c r="F435" s="70" t="inlineStr">
        <is>
          <t>Compras</t>
        </is>
      </c>
      <c r="G435" s="71" t="n">
        <v>25.14</v>
      </c>
      <c r="H435" s="172" t="inlineStr">
        <is>
          <t>Não</t>
        </is>
      </c>
      <c r="I435" s="49" t="n"/>
    </row>
    <row r="436">
      <c r="A436" s="43" t="inlineStr">
        <is>
          <t>001397</t>
        </is>
      </c>
      <c r="B436" s="44" t="inlineStr">
        <is>
          <t>BROCOLIS CONGELADO</t>
        </is>
      </c>
      <c r="C436" s="45" t="inlineStr">
        <is>
          <t>MR</t>
        </is>
      </c>
      <c r="D436" s="45" t="inlineStr">
        <is>
          <t>KG</t>
        </is>
      </c>
      <c r="E436" s="45" t="inlineStr">
        <is>
          <t>0040</t>
        </is>
      </c>
      <c r="F436" s="43" t="n"/>
      <c r="G436" s="69" t="n">
        <v>0</v>
      </c>
      <c r="H436" s="173" t="inlineStr">
        <is>
          <t>Sim</t>
        </is>
      </c>
      <c r="I436" s="50" t="n"/>
    </row>
    <row r="437">
      <c r="A437" s="40" t="inlineStr">
        <is>
          <t>010323</t>
        </is>
      </c>
      <c r="B437" s="41" t="inlineStr">
        <is>
          <t>BROXA RETANGULAR 800/2 18,2X8CM</t>
        </is>
      </c>
      <c r="C437" s="42" t="inlineStr">
        <is>
          <t>MC</t>
        </is>
      </c>
      <c r="D437" s="42" t="inlineStr">
        <is>
          <t>UN</t>
        </is>
      </c>
      <c r="E437" s="42" t="inlineStr">
        <is>
          <t>0132</t>
        </is>
      </c>
      <c r="F437" s="70" t="inlineStr">
        <is>
          <t>Compras</t>
        </is>
      </c>
      <c r="G437" s="71" t="n">
        <v>17.9</v>
      </c>
      <c r="H437" s="172" t="inlineStr">
        <is>
          <t>Não</t>
        </is>
      </c>
      <c r="I437" s="49" t="n"/>
    </row>
    <row r="438">
      <c r="A438" s="43" t="inlineStr">
        <is>
          <t>010374</t>
        </is>
      </c>
      <c r="B438" s="44" t="inlineStr">
        <is>
          <t>BROXA RETANGULAR PVC 935 15X5</t>
        </is>
      </c>
      <c r="C438" s="45" t="inlineStr">
        <is>
          <t>MC</t>
        </is>
      </c>
      <c r="D438" s="45" t="inlineStr">
        <is>
          <t>UN</t>
        </is>
      </c>
      <c r="E438" s="45" t="inlineStr">
        <is>
          <t>0132</t>
        </is>
      </c>
      <c r="F438" s="70" t="inlineStr">
        <is>
          <t>Compras</t>
        </is>
      </c>
      <c r="G438" s="69" t="n">
        <v>0</v>
      </c>
      <c r="H438" s="172" t="inlineStr">
        <is>
          <t>Não</t>
        </is>
      </c>
      <c r="I438" s="50" t="n"/>
    </row>
    <row r="439">
      <c r="A439" s="40" t="inlineStr">
        <is>
          <t>009338</t>
        </is>
      </c>
      <c r="B439" s="41" t="inlineStr">
        <is>
          <t>BUCHA 06MM COM ANEL</t>
        </is>
      </c>
      <c r="C439" s="42" t="inlineStr">
        <is>
          <t>MC</t>
        </is>
      </c>
      <c r="D439" s="42" t="inlineStr">
        <is>
          <t>UN</t>
        </is>
      </c>
      <c r="E439" s="42" t="inlineStr">
        <is>
          <t>0132</t>
        </is>
      </c>
      <c r="F439" s="70" t="inlineStr">
        <is>
          <t>Compras</t>
        </is>
      </c>
      <c r="G439" s="71" t="n">
        <v>0.35</v>
      </c>
      <c r="H439" s="172" t="inlineStr">
        <is>
          <t>Não</t>
        </is>
      </c>
      <c r="I439" s="49" t="n"/>
    </row>
    <row r="440">
      <c r="A440" s="43" t="inlineStr">
        <is>
          <t>009337</t>
        </is>
      </c>
      <c r="B440" s="44" t="inlineStr">
        <is>
          <t>BUCHA 08MM COM ANEL</t>
        </is>
      </c>
      <c r="C440" s="45" t="inlineStr">
        <is>
          <t>MC</t>
        </is>
      </c>
      <c r="D440" s="45" t="inlineStr">
        <is>
          <t>UN</t>
        </is>
      </c>
      <c r="E440" s="45" t="inlineStr">
        <is>
          <t>0132</t>
        </is>
      </c>
      <c r="F440" s="70" t="inlineStr">
        <is>
          <t>Compras</t>
        </is>
      </c>
      <c r="G440" s="66" t="n">
        <v>0.1</v>
      </c>
      <c r="H440" s="172" t="inlineStr">
        <is>
          <t>Não</t>
        </is>
      </c>
      <c r="I440" s="50" t="n"/>
    </row>
    <row r="441">
      <c r="A441" s="40" t="inlineStr">
        <is>
          <t>010161</t>
        </is>
      </c>
      <c r="B441" s="41" t="inlineStr">
        <is>
          <t>BUCHA DE REDUCAO 50X32</t>
        </is>
      </c>
      <c r="C441" s="42" t="inlineStr">
        <is>
          <t>MC</t>
        </is>
      </c>
      <c r="D441" s="42" t="inlineStr">
        <is>
          <t>UN</t>
        </is>
      </c>
      <c r="E441" s="42" t="inlineStr">
        <is>
          <t>0132</t>
        </is>
      </c>
      <c r="F441" s="70" t="inlineStr">
        <is>
          <t>Compras</t>
        </is>
      </c>
      <c r="G441" s="71" t="n">
        <v>9</v>
      </c>
      <c r="H441" s="172" t="inlineStr">
        <is>
          <t>Não</t>
        </is>
      </c>
      <c r="I441" s="49" t="n"/>
    </row>
    <row r="442">
      <c r="A442" s="43" t="inlineStr">
        <is>
          <t>009424</t>
        </is>
      </c>
      <c r="B442" s="44" t="inlineStr">
        <is>
          <t>BUCHA NYLON 10MM</t>
        </is>
      </c>
      <c r="C442" s="45" t="inlineStr">
        <is>
          <t>MC</t>
        </is>
      </c>
      <c r="D442" s="45" t="inlineStr">
        <is>
          <t>UN</t>
        </is>
      </c>
      <c r="E442" s="45" t="inlineStr">
        <is>
          <t>0132</t>
        </is>
      </c>
      <c r="F442" s="70" t="inlineStr">
        <is>
          <t>Compras</t>
        </is>
      </c>
      <c r="G442" s="66" t="n">
        <v>0.5</v>
      </c>
      <c r="H442" s="172" t="inlineStr">
        <is>
          <t>Não</t>
        </is>
      </c>
      <c r="I442" s="50" t="n"/>
    </row>
    <row r="443">
      <c r="A443" s="40" t="inlineStr">
        <is>
          <t>009445</t>
        </is>
      </c>
      <c r="B443" s="41" t="inlineStr">
        <is>
          <t>BUCHA NYLON 6MM</t>
        </is>
      </c>
      <c r="C443" s="42" t="inlineStr">
        <is>
          <t>MC</t>
        </is>
      </c>
      <c r="D443" s="42" t="inlineStr">
        <is>
          <t>UN</t>
        </is>
      </c>
      <c r="E443" s="42" t="inlineStr">
        <is>
          <t>0132</t>
        </is>
      </c>
      <c r="F443" s="70" t="inlineStr">
        <is>
          <t>Compras</t>
        </is>
      </c>
      <c r="G443" s="71" t="n">
        <v>0.14</v>
      </c>
      <c r="H443" s="172" t="inlineStr">
        <is>
          <t>Não</t>
        </is>
      </c>
      <c r="I443" s="49" t="n"/>
    </row>
    <row r="444">
      <c r="A444" s="43" t="inlineStr">
        <is>
          <t>010170</t>
        </is>
      </c>
      <c r="B444" s="44" t="inlineStr">
        <is>
          <t>BUCHA NYLON 7MM</t>
        </is>
      </c>
      <c r="C444" s="45" t="inlineStr">
        <is>
          <t>MC</t>
        </is>
      </c>
      <c r="D444" s="45" t="inlineStr">
        <is>
          <t>UN</t>
        </is>
      </c>
      <c r="E444" s="45" t="inlineStr">
        <is>
          <t>0132</t>
        </is>
      </c>
      <c r="F444" s="70" t="inlineStr">
        <is>
          <t>Compras</t>
        </is>
      </c>
      <c r="G444" s="66" t="n">
        <v>0.2</v>
      </c>
      <c r="H444" s="172" t="inlineStr">
        <is>
          <t>Não</t>
        </is>
      </c>
      <c r="I444" s="50" t="n"/>
    </row>
    <row r="445">
      <c r="A445" s="40" t="inlineStr">
        <is>
          <t>009340</t>
        </is>
      </c>
      <c r="B445" s="41" t="inlineStr">
        <is>
          <t>BUCHA OCA N10</t>
        </is>
      </c>
      <c r="C445" s="42" t="inlineStr">
        <is>
          <t>MC</t>
        </is>
      </c>
      <c r="D445" s="42" t="inlineStr">
        <is>
          <t>PC</t>
        </is>
      </c>
      <c r="E445" s="42" t="inlineStr">
        <is>
          <t>0132</t>
        </is>
      </c>
      <c r="F445" s="70" t="inlineStr">
        <is>
          <t>Compras</t>
        </is>
      </c>
      <c r="G445" s="71" t="n">
        <v>0.7</v>
      </c>
      <c r="H445" s="172" t="inlineStr">
        <is>
          <t>Não</t>
        </is>
      </c>
      <c r="I445" s="49" t="n"/>
    </row>
    <row r="446">
      <c r="A446" s="43" t="inlineStr">
        <is>
          <t>009610</t>
        </is>
      </c>
      <c r="B446" s="44" t="inlineStr">
        <is>
          <t>BUCHA PARA GESSO COM PARAFUSO 8MM</t>
        </is>
      </c>
      <c r="C446" s="45" t="inlineStr">
        <is>
          <t>MC</t>
        </is>
      </c>
      <c r="D446" s="45" t="inlineStr">
        <is>
          <t>PC</t>
        </is>
      </c>
      <c r="E446" s="45" t="inlineStr">
        <is>
          <t>0132</t>
        </is>
      </c>
      <c r="F446" s="70" t="inlineStr">
        <is>
          <t>Compras</t>
        </is>
      </c>
      <c r="G446" s="66" t="n">
        <v>0.4</v>
      </c>
      <c r="H446" s="172" t="inlineStr">
        <is>
          <t>Não</t>
        </is>
      </c>
      <c r="I446" s="50" t="n"/>
    </row>
    <row r="447">
      <c r="A447" s="40" t="inlineStr">
        <is>
          <t>010171</t>
        </is>
      </c>
      <c r="B447" s="41" t="inlineStr">
        <is>
          <t>BUCHA REDUCAO  25X20</t>
        </is>
      </c>
      <c r="C447" s="42" t="inlineStr">
        <is>
          <t>MC</t>
        </is>
      </c>
      <c r="D447" s="42" t="inlineStr">
        <is>
          <t>UN</t>
        </is>
      </c>
      <c r="E447" s="42" t="inlineStr">
        <is>
          <t>0132</t>
        </is>
      </c>
      <c r="F447" s="70" t="inlineStr">
        <is>
          <t>Compras</t>
        </is>
      </c>
      <c r="G447" s="71" t="n">
        <v>4.5</v>
      </c>
      <c r="H447" s="172" t="inlineStr">
        <is>
          <t>Não</t>
        </is>
      </c>
      <c r="I447" s="49" t="n"/>
    </row>
    <row r="448">
      <c r="A448" s="43" t="inlineStr">
        <is>
          <t>010172</t>
        </is>
      </c>
      <c r="B448" s="44" t="inlineStr">
        <is>
          <t>BUCHA REDUCAO  40X25</t>
        </is>
      </c>
      <c r="C448" s="45" t="inlineStr">
        <is>
          <t>MC</t>
        </is>
      </c>
      <c r="D448" s="45" t="inlineStr">
        <is>
          <t>UN</t>
        </is>
      </c>
      <c r="E448" s="45" t="inlineStr">
        <is>
          <t>0132</t>
        </is>
      </c>
      <c r="F448" s="70" t="inlineStr">
        <is>
          <t>Compras</t>
        </is>
      </c>
      <c r="G448" s="66" t="n">
        <v>2.2</v>
      </c>
      <c r="H448" s="172" t="inlineStr">
        <is>
          <t>Não</t>
        </is>
      </c>
      <c r="I448" s="50" t="n"/>
    </row>
    <row r="449">
      <c r="A449" s="40" t="inlineStr">
        <is>
          <t>000904</t>
        </is>
      </c>
      <c r="B449" s="41" t="inlineStr">
        <is>
          <t>BUDWEISER LONG</t>
        </is>
      </c>
      <c r="C449" s="42" t="inlineStr">
        <is>
          <t>MR</t>
        </is>
      </c>
      <c r="D449" s="42" t="inlineStr">
        <is>
          <t>UN</t>
        </is>
      </c>
      <c r="E449" s="42" t="inlineStr">
        <is>
          <t>0093</t>
        </is>
      </c>
      <c r="F449" s="65" t="inlineStr">
        <is>
          <t>Venda</t>
        </is>
      </c>
      <c r="G449" s="68" t="n">
        <v>0</v>
      </c>
      <c r="H449" s="172" t="inlineStr">
        <is>
          <t>Não</t>
        </is>
      </c>
      <c r="I449" s="47" t="inlineStr">
        <is>
          <t>80006</t>
        </is>
      </c>
    </row>
    <row r="450">
      <c r="A450" s="43" t="inlineStr">
        <is>
          <t>000326</t>
        </is>
      </c>
      <c r="B450" s="44" t="inlineStr">
        <is>
          <t>BUDWEISER LONG NECK</t>
        </is>
      </c>
      <c r="C450" s="45" t="inlineStr">
        <is>
          <t>ME</t>
        </is>
      </c>
      <c r="D450" s="45" t="inlineStr">
        <is>
          <t>UN</t>
        </is>
      </c>
      <c r="E450" s="45" t="inlineStr">
        <is>
          <t>0026</t>
        </is>
      </c>
      <c r="F450" s="70" t="inlineStr">
        <is>
          <t>Compras</t>
        </is>
      </c>
      <c r="G450" s="66" t="n">
        <v>3.5889</v>
      </c>
      <c r="H450" s="172" t="inlineStr">
        <is>
          <t>Não</t>
        </is>
      </c>
      <c r="I450" s="50" t="n"/>
    </row>
    <row r="451">
      <c r="A451" s="40" t="inlineStr">
        <is>
          <t>001347</t>
        </is>
      </c>
      <c r="B451" s="41" t="inlineStr">
        <is>
          <t>BUDWEISER LONG NECK ZERO</t>
        </is>
      </c>
      <c r="C451" s="42" t="inlineStr">
        <is>
          <t>MR</t>
        </is>
      </c>
      <c r="D451" s="42" t="inlineStr">
        <is>
          <t>UN</t>
        </is>
      </c>
      <c r="E451" s="42" t="inlineStr">
        <is>
          <t>0093</t>
        </is>
      </c>
      <c r="F451" s="65" t="inlineStr">
        <is>
          <t>Venda</t>
        </is>
      </c>
      <c r="G451" s="68" t="n">
        <v>0</v>
      </c>
      <c r="H451" s="172" t="inlineStr">
        <is>
          <t>Não</t>
        </is>
      </c>
      <c r="I451" s="47" t="inlineStr">
        <is>
          <t>7898905687171</t>
        </is>
      </c>
    </row>
    <row r="452">
      <c r="A452" s="43" t="inlineStr">
        <is>
          <t>001346</t>
        </is>
      </c>
      <c r="B452" s="44" t="inlineStr">
        <is>
          <t>BUDWEISER ZERO LONG NECK</t>
        </is>
      </c>
      <c r="C452" s="45" t="inlineStr">
        <is>
          <t>ME</t>
        </is>
      </c>
      <c r="D452" s="45" t="inlineStr">
        <is>
          <t>UN</t>
        </is>
      </c>
      <c r="E452" s="45" t="inlineStr">
        <is>
          <t>0026</t>
        </is>
      </c>
      <c r="F452" s="70" t="inlineStr">
        <is>
          <t>Compras</t>
        </is>
      </c>
      <c r="G452" s="66" t="n">
        <v>4.593</v>
      </c>
      <c r="H452" s="172" t="inlineStr">
        <is>
          <t>Não</t>
        </is>
      </c>
      <c r="I452" s="50" t="n"/>
    </row>
    <row r="453">
      <c r="A453" s="40" t="inlineStr">
        <is>
          <t>000896</t>
        </is>
      </c>
      <c r="B453" s="41" t="inlineStr">
        <is>
          <t>BUDWEISER600</t>
        </is>
      </c>
      <c r="C453" s="42" t="inlineStr">
        <is>
          <t>MR</t>
        </is>
      </c>
      <c r="D453" s="42" t="inlineStr">
        <is>
          <t>UN</t>
        </is>
      </c>
      <c r="E453" s="42" t="inlineStr">
        <is>
          <t>0093</t>
        </is>
      </c>
      <c r="F453" s="65" t="inlineStr">
        <is>
          <t>Venda</t>
        </is>
      </c>
      <c r="G453" s="71" t="n">
        <v>4.6308</v>
      </c>
      <c r="H453" s="177" t="inlineStr">
        <is>
          <t>Sim</t>
        </is>
      </c>
      <c r="I453" s="178" t="n"/>
    </row>
    <row r="454">
      <c r="A454" s="43" t="inlineStr">
        <is>
          <t>002052</t>
        </is>
      </c>
      <c r="B454" s="44" t="inlineStr">
        <is>
          <t>BUDWEISER600</t>
        </is>
      </c>
      <c r="C454" s="45" t="inlineStr">
        <is>
          <t>MR</t>
        </is>
      </c>
      <c r="D454" s="45" t="inlineStr">
        <is>
          <t>UN</t>
        </is>
      </c>
      <c r="E454" s="45" t="inlineStr">
        <is>
          <t>0093</t>
        </is>
      </c>
      <c r="F454" s="65" t="inlineStr">
        <is>
          <t>Venda</t>
        </is>
      </c>
      <c r="G454" s="69" t="n">
        <v>0</v>
      </c>
      <c r="H454" s="177" t="inlineStr">
        <is>
          <t>Sim</t>
        </is>
      </c>
      <c r="I454" s="178" t="n"/>
    </row>
    <row r="455">
      <c r="A455" s="40" t="inlineStr">
        <is>
          <t>010176</t>
        </is>
      </c>
      <c r="B455" s="41" t="inlineStr">
        <is>
          <t>CABECOTE REBITADOR PARA FURADEIRA</t>
        </is>
      </c>
      <c r="C455" s="42" t="inlineStr">
        <is>
          <t>MC</t>
        </is>
      </c>
      <c r="D455" s="42" t="inlineStr">
        <is>
          <t>UN</t>
        </is>
      </c>
      <c r="E455" s="42" t="inlineStr">
        <is>
          <t>0132</t>
        </is>
      </c>
      <c r="F455" s="70" t="inlineStr">
        <is>
          <t>Compras</t>
        </is>
      </c>
      <c r="G455" s="71" t="n">
        <v>100</v>
      </c>
      <c r="H455" s="172" t="inlineStr">
        <is>
          <t>Não</t>
        </is>
      </c>
      <c r="I455" s="49" t="n"/>
    </row>
    <row r="456">
      <c r="A456" s="43" t="inlineStr">
        <is>
          <t>009328</t>
        </is>
      </c>
      <c r="B456" s="44" t="inlineStr">
        <is>
          <t>CABO CAPILAR 050 ROLO 3M COM SOLDA</t>
        </is>
      </c>
      <c r="C456" s="45" t="inlineStr">
        <is>
          <t>MC</t>
        </is>
      </c>
      <c r="D456" s="45" t="inlineStr">
        <is>
          <t>UN</t>
        </is>
      </c>
      <c r="E456" s="45" t="inlineStr">
        <is>
          <t>0132</t>
        </is>
      </c>
      <c r="F456" s="70" t="inlineStr">
        <is>
          <t>Compras</t>
        </is>
      </c>
      <c r="G456" s="66" t="n">
        <v>65</v>
      </c>
      <c r="H456" s="172" t="inlineStr">
        <is>
          <t>Não</t>
        </is>
      </c>
      <c r="I456" s="50" t="n"/>
    </row>
    <row r="457">
      <c r="A457" s="40" t="inlineStr">
        <is>
          <t>009784</t>
        </is>
      </c>
      <c r="B457" s="41" t="inlineStr">
        <is>
          <t>CABO CONVERSOR HDMI</t>
        </is>
      </c>
      <c r="C457" s="42" t="inlineStr">
        <is>
          <t>MC</t>
        </is>
      </c>
      <c r="D457" s="42" t="inlineStr">
        <is>
          <t>UN</t>
        </is>
      </c>
      <c r="E457" s="42" t="inlineStr">
        <is>
          <t>0006</t>
        </is>
      </c>
      <c r="F457" s="70" t="inlineStr">
        <is>
          <t>Compras</t>
        </is>
      </c>
      <c r="G457" s="68" t="n">
        <v>0</v>
      </c>
      <c r="H457" s="172" t="inlineStr">
        <is>
          <t>Não</t>
        </is>
      </c>
      <c r="I457" s="49" t="n"/>
    </row>
    <row r="458">
      <c r="A458" s="43" t="inlineStr">
        <is>
          <t>000815</t>
        </is>
      </c>
      <c r="B458" s="44" t="inlineStr">
        <is>
          <t>CABO DE MICROFONE</t>
        </is>
      </c>
      <c r="C458" s="45" t="inlineStr">
        <is>
          <t>MC</t>
        </is>
      </c>
      <c r="D458" s="45" t="inlineStr">
        <is>
          <t>UN</t>
        </is>
      </c>
      <c r="E458" s="45" t="inlineStr">
        <is>
          <t>0004</t>
        </is>
      </c>
      <c r="F458" s="70" t="inlineStr">
        <is>
          <t>Compras</t>
        </is>
      </c>
      <c r="G458" s="66" t="n">
        <v>10</v>
      </c>
      <c r="H458" s="172" t="inlineStr">
        <is>
          <t>Não</t>
        </is>
      </c>
      <c r="I458" s="50" t="n"/>
    </row>
    <row r="459">
      <c r="A459" s="40" t="inlineStr">
        <is>
          <t>002223</t>
        </is>
      </c>
      <c r="B459" s="41" t="inlineStr">
        <is>
          <t>CABO DE REDE CAT6</t>
        </is>
      </c>
      <c r="C459" s="42" t="inlineStr">
        <is>
          <t>MC</t>
        </is>
      </c>
      <c r="D459" s="42" t="inlineStr">
        <is>
          <t>MT</t>
        </is>
      </c>
      <c r="E459" s="42" t="inlineStr">
        <is>
          <t>0006</t>
        </is>
      </c>
      <c r="F459" s="70" t="inlineStr">
        <is>
          <t>Compras</t>
        </is>
      </c>
      <c r="G459" s="71" t="n">
        <v>40.9</v>
      </c>
      <c r="H459" s="172" t="inlineStr">
        <is>
          <t>Não</t>
        </is>
      </c>
      <c r="I459" s="49" t="n"/>
    </row>
    <row r="460">
      <c r="A460" s="43" t="inlineStr">
        <is>
          <t>010280</t>
        </is>
      </c>
      <c r="B460" s="44" t="inlineStr">
        <is>
          <t>CABO FLEXIVEL 10MM PRETO</t>
        </is>
      </c>
      <c r="C460" s="45" t="inlineStr">
        <is>
          <t>MC</t>
        </is>
      </c>
      <c r="D460" s="45" t="inlineStr">
        <is>
          <t>MT</t>
        </is>
      </c>
      <c r="E460" s="45" t="inlineStr">
        <is>
          <t>0132</t>
        </is>
      </c>
      <c r="F460" s="70" t="inlineStr">
        <is>
          <t>Compras</t>
        </is>
      </c>
      <c r="G460" s="66" t="n">
        <v>10.63</v>
      </c>
      <c r="H460" s="172" t="inlineStr">
        <is>
          <t>Não</t>
        </is>
      </c>
      <c r="I460" s="50" t="n"/>
    </row>
    <row r="461">
      <c r="A461" s="40" t="inlineStr">
        <is>
          <t>009620</t>
        </is>
      </c>
      <c r="B461" s="41" t="inlineStr">
        <is>
          <t>CABO FLEXIVEL 16MM PRETO</t>
        </is>
      </c>
      <c r="C461" s="42" t="inlineStr">
        <is>
          <t>MC</t>
        </is>
      </c>
      <c r="D461" s="42" t="inlineStr">
        <is>
          <t>MT</t>
        </is>
      </c>
      <c r="E461" s="42" t="inlineStr">
        <is>
          <t>0132</t>
        </is>
      </c>
      <c r="F461" s="70" t="inlineStr">
        <is>
          <t>Compras</t>
        </is>
      </c>
      <c r="G461" s="71" t="n">
        <v>23.5</v>
      </c>
      <c r="H461" s="172" t="inlineStr">
        <is>
          <t>Não</t>
        </is>
      </c>
      <c r="I461" s="49" t="n"/>
    </row>
    <row r="462">
      <c r="A462" s="43" t="inlineStr">
        <is>
          <t>009318</t>
        </is>
      </c>
      <c r="B462" s="44" t="inlineStr">
        <is>
          <t>CABO FLEXIVEL 2,50MM PRETO</t>
        </is>
      </c>
      <c r="C462" s="45" t="inlineStr">
        <is>
          <t>MC</t>
        </is>
      </c>
      <c r="D462" s="45" t="inlineStr">
        <is>
          <t>MT</t>
        </is>
      </c>
      <c r="E462" s="45" t="inlineStr">
        <is>
          <t>0132</t>
        </is>
      </c>
      <c r="F462" s="70" t="inlineStr">
        <is>
          <t>Compras</t>
        </is>
      </c>
      <c r="G462" s="66" t="n">
        <v>2.65</v>
      </c>
      <c r="H462" s="172" t="inlineStr">
        <is>
          <t>Não</t>
        </is>
      </c>
      <c r="I462" s="50" t="n"/>
    </row>
    <row r="463">
      <c r="A463" s="40" t="inlineStr">
        <is>
          <t>009622</t>
        </is>
      </c>
      <c r="B463" s="41" t="inlineStr">
        <is>
          <t>CABO FLEXIVEL 4MM VERDE</t>
        </is>
      </c>
      <c r="C463" s="42" t="inlineStr">
        <is>
          <t>MC</t>
        </is>
      </c>
      <c r="D463" s="42" t="inlineStr">
        <is>
          <t>MT</t>
        </is>
      </c>
      <c r="E463" s="42" t="inlineStr">
        <is>
          <t>0132</t>
        </is>
      </c>
      <c r="F463" s="70" t="inlineStr">
        <is>
          <t>Compras</t>
        </is>
      </c>
      <c r="G463" s="71" t="n">
        <v>6.5</v>
      </c>
      <c r="H463" s="172" t="inlineStr">
        <is>
          <t>Não</t>
        </is>
      </c>
      <c r="I463" s="49" t="n"/>
    </row>
    <row r="464">
      <c r="A464" s="43" t="inlineStr">
        <is>
          <t>010125</t>
        </is>
      </c>
      <c r="B464" s="44" t="inlineStr">
        <is>
          <t>CABO FLEXIVEL 6MM PRETO</t>
        </is>
      </c>
      <c r="C464" s="45" t="inlineStr">
        <is>
          <t>MC</t>
        </is>
      </c>
      <c r="D464" s="45" t="inlineStr">
        <is>
          <t>MT</t>
        </is>
      </c>
      <c r="E464" s="45" t="inlineStr">
        <is>
          <t>0132</t>
        </is>
      </c>
      <c r="F464" s="70" t="inlineStr">
        <is>
          <t>Compras</t>
        </is>
      </c>
      <c r="G464" s="69" t="n">
        <v>0</v>
      </c>
      <c r="H464" s="172" t="inlineStr">
        <is>
          <t>Não</t>
        </is>
      </c>
      <c r="I464" s="50" t="n"/>
    </row>
    <row r="465">
      <c r="A465" s="40" t="inlineStr">
        <is>
          <t>009319</t>
        </is>
      </c>
      <c r="B465" s="41" t="inlineStr">
        <is>
          <t>CABO FLEXIVEL 750V 2,50MM AZUL 70G</t>
        </is>
      </c>
      <c r="C465" s="42" t="inlineStr">
        <is>
          <t>MC</t>
        </is>
      </c>
      <c r="D465" s="42" t="inlineStr">
        <is>
          <t>MT</t>
        </is>
      </c>
      <c r="E465" s="42" t="inlineStr">
        <is>
          <t>0132</t>
        </is>
      </c>
      <c r="F465" s="70" t="inlineStr">
        <is>
          <t>Compras</t>
        </is>
      </c>
      <c r="G465" s="71" t="n">
        <v>2.9</v>
      </c>
      <c r="H465" s="172" t="inlineStr">
        <is>
          <t>Não</t>
        </is>
      </c>
      <c r="I465" s="49" t="n"/>
    </row>
    <row r="466">
      <c r="A466" s="43" t="inlineStr">
        <is>
          <t>009584</t>
        </is>
      </c>
      <c r="B466" s="44" t="inlineStr">
        <is>
          <t>CABO FLEXIVEL 750V 2,50MM BRANCO 70G</t>
        </is>
      </c>
      <c r="C466" s="45" t="inlineStr">
        <is>
          <t>MC</t>
        </is>
      </c>
      <c r="D466" s="45" t="inlineStr">
        <is>
          <t>MT</t>
        </is>
      </c>
      <c r="E466" s="45" t="inlineStr">
        <is>
          <t>0132</t>
        </is>
      </c>
      <c r="F466" s="70" t="inlineStr">
        <is>
          <t>Compras</t>
        </is>
      </c>
      <c r="G466" s="69" t="n">
        <v>0</v>
      </c>
      <c r="H466" s="172" t="inlineStr">
        <is>
          <t>Não</t>
        </is>
      </c>
      <c r="I466" s="50" t="n"/>
    </row>
    <row r="467">
      <c r="A467" s="40" t="inlineStr">
        <is>
          <t>009317</t>
        </is>
      </c>
      <c r="B467" s="41" t="inlineStr">
        <is>
          <t>CABO FLEXIVEL 750V 2,50MM VERDE 70G</t>
        </is>
      </c>
      <c r="C467" s="42" t="inlineStr">
        <is>
          <t>MC</t>
        </is>
      </c>
      <c r="D467" s="42" t="inlineStr">
        <is>
          <t>MT</t>
        </is>
      </c>
      <c r="E467" s="42" t="inlineStr">
        <is>
          <t>0132</t>
        </is>
      </c>
      <c r="F467" s="70" t="inlineStr">
        <is>
          <t>Compras</t>
        </is>
      </c>
      <c r="G467" s="71" t="n">
        <v>2.9</v>
      </c>
      <c r="H467" s="172" t="inlineStr">
        <is>
          <t>Não</t>
        </is>
      </c>
      <c r="I467" s="49" t="n"/>
    </row>
    <row r="468">
      <c r="A468" s="43" t="inlineStr">
        <is>
          <t>009656</t>
        </is>
      </c>
      <c r="B468" s="44" t="inlineStr">
        <is>
          <t>CABO FLEXIVEL 750V 2,50MM VERMELHO 70G</t>
        </is>
      </c>
      <c r="C468" s="45" t="inlineStr">
        <is>
          <t>MC</t>
        </is>
      </c>
      <c r="D468" s="45" t="inlineStr">
        <is>
          <t>MT</t>
        </is>
      </c>
      <c r="E468" s="45" t="inlineStr">
        <is>
          <t>0132</t>
        </is>
      </c>
      <c r="F468" s="70" t="inlineStr">
        <is>
          <t>Compras</t>
        </is>
      </c>
      <c r="G468" s="66" t="n">
        <v>2.42</v>
      </c>
      <c r="H468" s="172" t="inlineStr">
        <is>
          <t>Não</t>
        </is>
      </c>
      <c r="I468" s="50" t="n"/>
    </row>
    <row r="469">
      <c r="A469" s="40" t="inlineStr">
        <is>
          <t>009306</t>
        </is>
      </c>
      <c r="B469" s="41" t="inlineStr">
        <is>
          <t>CABO FLEXIVEL PP 2X2,5MM PRETO E AZUL 300V/500V</t>
        </is>
      </c>
      <c r="C469" s="42" t="inlineStr">
        <is>
          <t>MC</t>
        </is>
      </c>
      <c r="D469" s="42" t="inlineStr">
        <is>
          <t>MT</t>
        </is>
      </c>
      <c r="E469" s="42" t="inlineStr">
        <is>
          <t>0132</t>
        </is>
      </c>
      <c r="F469" s="70" t="inlineStr">
        <is>
          <t>Compras</t>
        </is>
      </c>
      <c r="G469" s="71" t="n">
        <v>790.1</v>
      </c>
      <c r="H469" s="172" t="inlineStr">
        <is>
          <t>Não</t>
        </is>
      </c>
      <c r="I469" s="49" t="n"/>
    </row>
    <row r="470">
      <c r="A470" s="43" t="inlineStr">
        <is>
          <t>010119</t>
        </is>
      </c>
      <c r="B470" s="44" t="inlineStr">
        <is>
          <t>CABO FLEXIVEM 10MM VERDE</t>
        </is>
      </c>
      <c r="C470" s="45" t="inlineStr">
        <is>
          <t>MC</t>
        </is>
      </c>
      <c r="D470" s="45" t="inlineStr">
        <is>
          <t>MT</t>
        </is>
      </c>
      <c r="E470" s="45" t="inlineStr">
        <is>
          <t>0132</t>
        </is>
      </c>
      <c r="F470" s="70" t="inlineStr">
        <is>
          <t>Compras</t>
        </is>
      </c>
      <c r="G470" s="69" t="n">
        <v>0</v>
      </c>
      <c r="H470" s="172" t="inlineStr">
        <is>
          <t>Não</t>
        </is>
      </c>
      <c r="I470" s="50" t="n"/>
    </row>
    <row r="471">
      <c r="A471" s="40" t="inlineStr">
        <is>
          <t>009411</t>
        </is>
      </c>
      <c r="B471" s="41" t="inlineStr">
        <is>
          <t>CABO PARA ROLO 23CM</t>
        </is>
      </c>
      <c r="C471" s="42" t="inlineStr">
        <is>
          <t>MC</t>
        </is>
      </c>
      <c r="D471" s="42" t="inlineStr">
        <is>
          <t>UN</t>
        </is>
      </c>
      <c r="E471" s="42" t="inlineStr">
        <is>
          <t>0132</t>
        </is>
      </c>
      <c r="F471" s="70" t="inlineStr">
        <is>
          <t>Compras</t>
        </is>
      </c>
      <c r="G471" s="71" t="n">
        <v>11</v>
      </c>
      <c r="H471" s="172" t="inlineStr">
        <is>
          <t>Não</t>
        </is>
      </c>
      <c r="I471" s="49" t="n"/>
    </row>
    <row r="472">
      <c r="A472" s="43" t="inlineStr">
        <is>
          <t>010241</t>
        </is>
      </c>
      <c r="B472" s="44" t="inlineStr">
        <is>
          <t>CABO PARALELO 2X0,75</t>
        </is>
      </c>
      <c r="C472" s="45" t="inlineStr">
        <is>
          <t>MC</t>
        </is>
      </c>
      <c r="D472" s="45" t="inlineStr">
        <is>
          <t>UN</t>
        </is>
      </c>
      <c r="E472" s="45" t="inlineStr">
        <is>
          <t>0132</t>
        </is>
      </c>
      <c r="F472" s="70" t="inlineStr">
        <is>
          <t>Compras</t>
        </is>
      </c>
      <c r="G472" s="66" t="n">
        <v>2.6</v>
      </c>
      <c r="H472" s="172" t="inlineStr">
        <is>
          <t>Não</t>
        </is>
      </c>
      <c r="I472" s="50" t="n"/>
    </row>
    <row r="473">
      <c r="A473" s="40" t="inlineStr">
        <is>
          <t>000259</t>
        </is>
      </c>
      <c r="B473" s="41" t="inlineStr">
        <is>
          <t>CABO PLASTICO PARA RODO OU VASSOURA</t>
        </is>
      </c>
      <c r="C473" s="42" t="inlineStr">
        <is>
          <t>MC</t>
        </is>
      </c>
      <c r="D473" s="42" t="inlineStr">
        <is>
          <t>UN</t>
        </is>
      </c>
      <c r="E473" s="42" t="inlineStr">
        <is>
          <t>0075</t>
        </is>
      </c>
      <c r="F473" s="70" t="inlineStr">
        <is>
          <t>Compras</t>
        </is>
      </c>
      <c r="G473" s="71" t="n">
        <v>1.74</v>
      </c>
      <c r="H473" s="172" t="inlineStr">
        <is>
          <t>Não</t>
        </is>
      </c>
      <c r="I473" s="49" t="n"/>
    </row>
    <row r="474">
      <c r="A474" s="43" t="inlineStr">
        <is>
          <t>009336</t>
        </is>
      </c>
      <c r="B474" s="44" t="inlineStr">
        <is>
          <t>CABO PP 2 X 01,5MM</t>
        </is>
      </c>
      <c r="C474" s="45" t="inlineStr">
        <is>
          <t>MC</t>
        </is>
      </c>
      <c r="D474" s="45" t="inlineStr">
        <is>
          <t>MT</t>
        </is>
      </c>
      <c r="E474" s="45" t="inlineStr">
        <is>
          <t>0132</t>
        </is>
      </c>
      <c r="F474" s="70" t="inlineStr">
        <is>
          <t>Compras</t>
        </is>
      </c>
      <c r="G474" s="66" t="n">
        <v>4.9</v>
      </c>
      <c r="H474" s="172" t="inlineStr">
        <is>
          <t>Não</t>
        </is>
      </c>
      <c r="I474" s="50" t="n"/>
    </row>
    <row r="475">
      <c r="A475" s="40" t="inlineStr">
        <is>
          <t>009347</t>
        </is>
      </c>
      <c r="B475" s="41" t="inlineStr">
        <is>
          <t>CABO PP 2X2 50MM</t>
        </is>
      </c>
      <c r="C475" s="42" t="inlineStr">
        <is>
          <t>MC</t>
        </is>
      </c>
      <c r="D475" s="42" t="inlineStr">
        <is>
          <t>MT</t>
        </is>
      </c>
      <c r="E475" s="42" t="inlineStr">
        <is>
          <t>0132</t>
        </is>
      </c>
      <c r="F475" s="70" t="inlineStr">
        <is>
          <t>Compras</t>
        </is>
      </c>
      <c r="G475" s="71" t="n">
        <v>7.49</v>
      </c>
      <c r="H475" s="172" t="inlineStr">
        <is>
          <t>Não</t>
        </is>
      </c>
      <c r="I475" s="49" t="n"/>
    </row>
    <row r="476">
      <c r="A476" s="43" t="inlineStr">
        <is>
          <t>010380</t>
        </is>
      </c>
      <c r="B476" s="44" t="inlineStr">
        <is>
          <t>CABO PP 2X4,0MM</t>
        </is>
      </c>
      <c r="C476" s="45" t="inlineStr">
        <is>
          <t>MC</t>
        </is>
      </c>
      <c r="D476" s="45" t="inlineStr">
        <is>
          <t>MT</t>
        </is>
      </c>
      <c r="E476" s="45" t="inlineStr">
        <is>
          <t>0132</t>
        </is>
      </c>
      <c r="F476" s="70" t="inlineStr">
        <is>
          <t>Compras</t>
        </is>
      </c>
      <c r="G476" s="69" t="n">
        <v>0</v>
      </c>
      <c r="H476" s="172" t="inlineStr">
        <is>
          <t>Não</t>
        </is>
      </c>
      <c r="I476" s="50" t="n"/>
    </row>
    <row r="477">
      <c r="A477" s="40" t="inlineStr">
        <is>
          <t>009657</t>
        </is>
      </c>
      <c r="B477" s="41" t="inlineStr">
        <is>
          <t>CABO PP 3X1 50MM</t>
        </is>
      </c>
      <c r="C477" s="42" t="inlineStr">
        <is>
          <t>MC</t>
        </is>
      </c>
      <c r="D477" s="42" t="inlineStr">
        <is>
          <t>MT</t>
        </is>
      </c>
      <c r="E477" s="42" t="inlineStr">
        <is>
          <t>0132</t>
        </is>
      </c>
      <c r="F477" s="70" t="inlineStr">
        <is>
          <t>Compras</t>
        </is>
      </c>
      <c r="G477" s="71" t="n">
        <v>12.5</v>
      </c>
      <c r="H477" s="172" t="inlineStr">
        <is>
          <t>Não</t>
        </is>
      </c>
      <c r="I477" s="49" t="n"/>
    </row>
    <row r="478">
      <c r="A478" s="43" t="inlineStr">
        <is>
          <t>009592</t>
        </is>
      </c>
      <c r="B478" s="44" t="inlineStr">
        <is>
          <t>CABO PP 3X2 50MM</t>
        </is>
      </c>
      <c r="C478" s="45" t="inlineStr">
        <is>
          <t>MC</t>
        </is>
      </c>
      <c r="D478" s="45" t="inlineStr">
        <is>
          <t>MT</t>
        </is>
      </c>
      <c r="E478" s="45" t="inlineStr">
        <is>
          <t>0132</t>
        </is>
      </c>
      <c r="F478" s="70" t="inlineStr">
        <is>
          <t>Compras</t>
        </is>
      </c>
      <c r="G478" s="66" t="n">
        <v>12.9</v>
      </c>
      <c r="H478" s="172" t="inlineStr">
        <is>
          <t>Não</t>
        </is>
      </c>
      <c r="I478" s="50" t="n"/>
    </row>
    <row r="479">
      <c r="A479" s="40" t="inlineStr">
        <is>
          <t>009850</t>
        </is>
      </c>
      <c r="B479" s="41" t="inlineStr">
        <is>
          <t>CACAROLA INDUSTRIAL N 40 23,5 LT</t>
        </is>
      </c>
      <c r="C479" s="42" t="inlineStr">
        <is>
          <t>MC</t>
        </is>
      </c>
      <c r="D479" s="42" t="inlineStr">
        <is>
          <t>UN</t>
        </is>
      </c>
      <c r="E479" s="42" t="inlineStr">
        <is>
          <t>0080</t>
        </is>
      </c>
      <c r="F479" s="70" t="inlineStr">
        <is>
          <t>Compras</t>
        </is>
      </c>
      <c r="G479" s="71" t="n">
        <v>633</v>
      </c>
      <c r="H479" s="172" t="inlineStr">
        <is>
          <t>Não</t>
        </is>
      </c>
      <c r="I479" s="49" t="n"/>
    </row>
    <row r="480">
      <c r="A480" s="43" t="inlineStr">
        <is>
          <t>001108</t>
        </is>
      </c>
      <c r="B480" s="44" t="inlineStr">
        <is>
          <t>CACHACA DO QUINTAL ANIVERSARIO</t>
        </is>
      </c>
      <c r="C480" s="45" t="inlineStr">
        <is>
          <t>OI</t>
        </is>
      </c>
      <c r="D480" s="45" t="inlineStr">
        <is>
          <t>UN</t>
        </is>
      </c>
      <c r="E480" s="45" t="inlineStr">
        <is>
          <t>0090</t>
        </is>
      </c>
      <c r="F480" s="65" t="inlineStr">
        <is>
          <t>Venda</t>
        </is>
      </c>
      <c r="G480" s="69" t="n">
        <v>0</v>
      </c>
      <c r="H480" s="172" t="inlineStr">
        <is>
          <t>Não</t>
        </is>
      </c>
      <c r="I480" s="48" t="inlineStr">
        <is>
          <t>9003397</t>
        </is>
      </c>
    </row>
    <row r="481">
      <c r="A481" s="40" t="inlineStr">
        <is>
          <t>001988</t>
        </is>
      </c>
      <c r="B481" s="41" t="inlineStr">
        <is>
          <t>CACHACA FIU FIU CAJAZINHA 750ML</t>
        </is>
      </c>
      <c r="C481" s="42" t="inlineStr">
        <is>
          <t>ME</t>
        </is>
      </c>
      <c r="D481" s="42" t="inlineStr">
        <is>
          <t>LT</t>
        </is>
      </c>
      <c r="E481" s="42" t="inlineStr">
        <is>
          <t>0023</t>
        </is>
      </c>
      <c r="F481" s="70" t="inlineStr">
        <is>
          <t>Compras</t>
        </is>
      </c>
      <c r="G481" s="71" t="n">
        <v>408</v>
      </c>
      <c r="H481" s="172" t="inlineStr">
        <is>
          <t>Não</t>
        </is>
      </c>
      <c r="I481" s="49" t="n"/>
    </row>
    <row r="482">
      <c r="A482" s="43" t="inlineStr">
        <is>
          <t>000342</t>
        </is>
      </c>
      <c r="B482" s="44" t="inlineStr">
        <is>
          <t>CACHACA JANEIRO</t>
        </is>
      </c>
      <c r="C482" s="45" t="inlineStr">
        <is>
          <t>MR</t>
        </is>
      </c>
      <c r="D482" s="45" t="inlineStr">
        <is>
          <t>LT</t>
        </is>
      </c>
      <c r="E482" s="45" t="inlineStr">
        <is>
          <t>0054</t>
        </is>
      </c>
      <c r="F482" s="65" t="inlineStr">
        <is>
          <t>Venda</t>
        </is>
      </c>
      <c r="G482" s="69" t="n">
        <v>0</v>
      </c>
      <c r="H482" s="173" t="inlineStr">
        <is>
          <t>Sim</t>
        </is>
      </c>
      <c r="I482" s="50" t="n"/>
    </row>
    <row r="483">
      <c r="A483" s="40" t="inlineStr">
        <is>
          <t>000760</t>
        </is>
      </c>
      <c r="B483" s="41" t="inlineStr">
        <is>
          <t>CACHACA QUINTAL MEL E LIMAO 750ML</t>
        </is>
      </c>
      <c r="C483" s="42" t="inlineStr">
        <is>
          <t>ME</t>
        </is>
      </c>
      <c r="D483" s="42" t="inlineStr">
        <is>
          <t>LT</t>
        </is>
      </c>
      <c r="E483" s="42" t="inlineStr">
        <is>
          <t>0023</t>
        </is>
      </c>
      <c r="F483" s="70" t="inlineStr">
        <is>
          <t>Compras</t>
        </is>
      </c>
      <c r="G483" s="71" t="n">
        <v>34</v>
      </c>
      <c r="H483" s="172" t="inlineStr">
        <is>
          <t>Não</t>
        </is>
      </c>
      <c r="I483" s="49" t="n"/>
    </row>
    <row r="484">
      <c r="A484" s="43" t="inlineStr">
        <is>
          <t>000956</t>
        </is>
      </c>
      <c r="B484" s="44" t="inlineStr">
        <is>
          <t>CACHACA QUINTAL MEL E LIMAO DOSE</t>
        </is>
      </c>
      <c r="C484" s="45" t="inlineStr">
        <is>
          <t>PA</t>
        </is>
      </c>
      <c r="D484" s="45" t="inlineStr">
        <is>
          <t>UN</t>
        </is>
      </c>
      <c r="E484" s="45" t="inlineStr">
        <is>
          <t>0090</t>
        </is>
      </c>
      <c r="F484" s="65" t="inlineStr">
        <is>
          <t>Venda</t>
        </is>
      </c>
      <c r="G484" s="69" t="n">
        <v>0</v>
      </c>
      <c r="H484" s="172" t="inlineStr">
        <is>
          <t>Não</t>
        </is>
      </c>
      <c r="I484" s="48" t="inlineStr">
        <is>
          <t>9003165</t>
        </is>
      </c>
    </row>
    <row r="485">
      <c r="A485" s="40" t="inlineStr">
        <is>
          <t>000957</t>
        </is>
      </c>
      <c r="B485" s="41" t="inlineStr">
        <is>
          <t>CACHACA QUINTAL MEL E LIMAO GARRAFA</t>
        </is>
      </c>
      <c r="C485" s="42" t="inlineStr">
        <is>
          <t>MR</t>
        </is>
      </c>
      <c r="D485" s="42" t="inlineStr">
        <is>
          <t>UN</t>
        </is>
      </c>
      <c r="E485" s="42" t="inlineStr">
        <is>
          <t>0090</t>
        </is>
      </c>
      <c r="F485" s="65" t="inlineStr">
        <is>
          <t>Venda</t>
        </is>
      </c>
      <c r="G485" s="68" t="n">
        <v>0</v>
      </c>
      <c r="H485" s="172" t="inlineStr">
        <is>
          <t>Não</t>
        </is>
      </c>
      <c r="I485" s="47" t="inlineStr">
        <is>
          <t>9003166</t>
        </is>
      </c>
    </row>
    <row r="486">
      <c r="A486" s="43" t="inlineStr">
        <is>
          <t>000759</t>
        </is>
      </c>
      <c r="B486" s="44" t="inlineStr">
        <is>
          <t>CACHACA QUINTAL OURO 965ML</t>
        </is>
      </c>
      <c r="C486" s="45" t="inlineStr">
        <is>
          <t>ME</t>
        </is>
      </c>
      <c r="D486" s="45" t="inlineStr">
        <is>
          <t>LT</t>
        </is>
      </c>
      <c r="E486" s="45" t="inlineStr">
        <is>
          <t>0023</t>
        </is>
      </c>
      <c r="F486" s="70" t="inlineStr">
        <is>
          <t>Compras</t>
        </is>
      </c>
      <c r="G486" s="66" t="n">
        <v>19.4819</v>
      </c>
      <c r="H486" s="172" t="inlineStr">
        <is>
          <t>Não</t>
        </is>
      </c>
      <c r="I486" s="50" t="n"/>
    </row>
    <row r="487">
      <c r="A487" s="40" t="inlineStr">
        <is>
          <t>000954</t>
        </is>
      </c>
      <c r="B487" s="41" t="inlineStr">
        <is>
          <t>CACHACA QUINTAL OURO DOSE</t>
        </is>
      </c>
      <c r="C487" s="42" t="inlineStr">
        <is>
          <t>PA</t>
        </is>
      </c>
      <c r="D487" s="42" t="inlineStr">
        <is>
          <t>UN</t>
        </is>
      </c>
      <c r="E487" s="42" t="inlineStr">
        <is>
          <t>0090</t>
        </is>
      </c>
      <c r="F487" s="65" t="inlineStr">
        <is>
          <t>Venda</t>
        </is>
      </c>
      <c r="G487" s="68" t="n">
        <v>0</v>
      </c>
      <c r="H487" s="172" t="inlineStr">
        <is>
          <t>Não</t>
        </is>
      </c>
      <c r="I487" s="47" t="inlineStr">
        <is>
          <t>9003163</t>
        </is>
      </c>
    </row>
    <row r="488">
      <c r="A488" s="43" t="inlineStr">
        <is>
          <t>000955</t>
        </is>
      </c>
      <c r="B488" s="44" t="inlineStr">
        <is>
          <t>CACHACA QUINTAL OURO GARRAFA</t>
        </is>
      </c>
      <c r="C488" s="45" t="inlineStr">
        <is>
          <t>MR</t>
        </is>
      </c>
      <c r="D488" s="45" t="inlineStr">
        <is>
          <t>UN</t>
        </is>
      </c>
      <c r="E488" s="45" t="inlineStr">
        <is>
          <t>0090</t>
        </is>
      </c>
      <c r="F488" s="65" t="inlineStr">
        <is>
          <t>Venda</t>
        </is>
      </c>
      <c r="G488" s="69" t="n">
        <v>0</v>
      </c>
      <c r="H488" s="172" t="inlineStr">
        <is>
          <t>Não</t>
        </is>
      </c>
      <c r="I488" s="48" t="inlineStr">
        <is>
          <t>9003164</t>
        </is>
      </c>
    </row>
    <row r="489">
      <c r="A489" s="40" t="inlineStr">
        <is>
          <t>000758</t>
        </is>
      </c>
      <c r="B489" s="41" t="inlineStr">
        <is>
          <t>CACHACA QUINTAL PRATA 900ML</t>
        </is>
      </c>
      <c r="C489" s="42" t="inlineStr">
        <is>
          <t>ME</t>
        </is>
      </c>
      <c r="D489" s="42" t="inlineStr">
        <is>
          <t>LT</t>
        </is>
      </c>
      <c r="E489" s="42" t="inlineStr">
        <is>
          <t>0023</t>
        </is>
      </c>
      <c r="F489" s="70" t="inlineStr">
        <is>
          <t>Compras</t>
        </is>
      </c>
      <c r="G489" s="71" t="n">
        <v>18.7778</v>
      </c>
      <c r="H489" s="172" t="inlineStr">
        <is>
          <t>Não</t>
        </is>
      </c>
      <c r="I489" s="49" t="n"/>
    </row>
    <row r="490">
      <c r="A490" s="43" t="inlineStr">
        <is>
          <t>000952</t>
        </is>
      </c>
      <c r="B490" s="44" t="inlineStr">
        <is>
          <t>CACHACA QUINTAL PRATA DOSE</t>
        </is>
      </c>
      <c r="C490" s="45" t="inlineStr">
        <is>
          <t>PA</t>
        </is>
      </c>
      <c r="D490" s="45" t="inlineStr">
        <is>
          <t>UN</t>
        </is>
      </c>
      <c r="E490" s="45" t="inlineStr">
        <is>
          <t>0090</t>
        </is>
      </c>
      <c r="F490" s="65" t="inlineStr">
        <is>
          <t>Venda</t>
        </is>
      </c>
      <c r="G490" s="69" t="n">
        <v>0</v>
      </c>
      <c r="H490" s="172" t="inlineStr">
        <is>
          <t>Não</t>
        </is>
      </c>
      <c r="I490" s="48" t="inlineStr">
        <is>
          <t>9003161</t>
        </is>
      </c>
    </row>
    <row r="491">
      <c r="A491" s="40" t="inlineStr">
        <is>
          <t>000953</t>
        </is>
      </c>
      <c r="B491" s="41" t="inlineStr">
        <is>
          <t>CACHACA QUINTAL PRATA GARRAFA</t>
        </is>
      </c>
      <c r="C491" s="42" t="inlineStr">
        <is>
          <t>MR</t>
        </is>
      </c>
      <c r="D491" s="42" t="inlineStr">
        <is>
          <t>UN</t>
        </is>
      </c>
      <c r="E491" s="42" t="inlineStr">
        <is>
          <t>0090</t>
        </is>
      </c>
      <c r="F491" s="65" t="inlineStr">
        <is>
          <t>Venda</t>
        </is>
      </c>
      <c r="G491" s="68" t="n">
        <v>0</v>
      </c>
      <c r="H491" s="172" t="inlineStr">
        <is>
          <t>Não</t>
        </is>
      </c>
      <c r="I491" s="47" t="inlineStr">
        <is>
          <t>9003162</t>
        </is>
      </c>
    </row>
    <row r="492">
      <c r="A492" s="43" t="inlineStr">
        <is>
          <t>000756</t>
        </is>
      </c>
      <c r="B492" s="44" t="inlineStr">
        <is>
          <t>CACHACA SABOR DE MINAS 670ML</t>
        </is>
      </c>
      <c r="C492" s="45" t="inlineStr">
        <is>
          <t>ME</t>
        </is>
      </c>
      <c r="D492" s="45" t="inlineStr">
        <is>
          <t>LT</t>
        </is>
      </c>
      <c r="E492" s="45" t="inlineStr">
        <is>
          <t>0023</t>
        </is>
      </c>
      <c r="F492" s="70" t="inlineStr">
        <is>
          <t>Compras</t>
        </is>
      </c>
      <c r="G492" s="69" t="n">
        <v>0</v>
      </c>
      <c r="H492" s="172" t="inlineStr">
        <is>
          <t>Não</t>
        </is>
      </c>
      <c r="I492" s="50" t="n"/>
    </row>
    <row r="493">
      <c r="A493" s="40" t="inlineStr">
        <is>
          <t>000343</t>
        </is>
      </c>
      <c r="B493" s="41" t="inlineStr">
        <is>
          <t>CACHACA SAO FRANCISCO 970ML</t>
        </is>
      </c>
      <c r="C493" s="42" t="inlineStr">
        <is>
          <t>ME</t>
        </is>
      </c>
      <c r="D493" s="42" t="inlineStr">
        <is>
          <t>LT</t>
        </is>
      </c>
      <c r="E493" s="42" t="inlineStr">
        <is>
          <t>0023</t>
        </is>
      </c>
      <c r="F493" s="70" t="inlineStr">
        <is>
          <t>Compras</t>
        </is>
      </c>
      <c r="G493" s="71" t="n">
        <v>28.3454</v>
      </c>
      <c r="H493" s="172" t="inlineStr">
        <is>
          <t>Não</t>
        </is>
      </c>
      <c r="I493" s="49" t="n"/>
    </row>
    <row r="494">
      <c r="A494" s="43" t="inlineStr">
        <is>
          <t>010249</t>
        </is>
      </c>
      <c r="B494" s="44" t="inlineStr">
        <is>
          <t>CADEADO 20MM</t>
        </is>
      </c>
      <c r="C494" s="45" t="inlineStr">
        <is>
          <t>MC</t>
        </is>
      </c>
      <c r="D494" s="45" t="inlineStr">
        <is>
          <t>UN</t>
        </is>
      </c>
      <c r="E494" s="45" t="inlineStr">
        <is>
          <t>0132</t>
        </is>
      </c>
      <c r="F494" s="70" t="inlineStr">
        <is>
          <t>Compras</t>
        </is>
      </c>
      <c r="G494" s="66" t="n">
        <v>17.9</v>
      </c>
      <c r="H494" s="172" t="inlineStr">
        <is>
          <t>Não</t>
        </is>
      </c>
      <c r="I494" s="50" t="n"/>
    </row>
    <row r="495">
      <c r="A495" s="40" t="inlineStr">
        <is>
          <t>009405</t>
        </is>
      </c>
      <c r="B495" s="41" t="inlineStr">
        <is>
          <t>CADEADO 25MM</t>
        </is>
      </c>
      <c r="C495" s="42" t="inlineStr">
        <is>
          <t>MC</t>
        </is>
      </c>
      <c r="D495" s="42" t="inlineStr">
        <is>
          <t>UN</t>
        </is>
      </c>
      <c r="E495" s="42" t="inlineStr">
        <is>
          <t>0132</t>
        </is>
      </c>
      <c r="F495" s="70" t="inlineStr">
        <is>
          <t>Compras</t>
        </is>
      </c>
      <c r="G495" s="71" t="n">
        <v>28.9</v>
      </c>
      <c r="H495" s="172" t="inlineStr">
        <is>
          <t>Não</t>
        </is>
      </c>
      <c r="I495" s="49" t="n"/>
    </row>
    <row r="496">
      <c r="A496" s="43" t="inlineStr">
        <is>
          <t>009892</t>
        </is>
      </c>
      <c r="B496" s="44" t="inlineStr">
        <is>
          <t>CADEADO 30MM</t>
        </is>
      </c>
      <c r="C496" s="45" t="inlineStr">
        <is>
          <t>MC</t>
        </is>
      </c>
      <c r="D496" s="45" t="inlineStr">
        <is>
          <t>UN</t>
        </is>
      </c>
      <c r="E496" s="45" t="inlineStr">
        <is>
          <t>0132</t>
        </is>
      </c>
      <c r="F496" s="70" t="inlineStr">
        <is>
          <t>Compras</t>
        </is>
      </c>
      <c r="G496" s="66" t="n">
        <v>46.97</v>
      </c>
      <c r="H496" s="172" t="inlineStr">
        <is>
          <t>Não</t>
        </is>
      </c>
      <c r="I496" s="50" t="n"/>
    </row>
    <row r="497">
      <c r="A497" s="40" t="inlineStr">
        <is>
          <t>010267</t>
        </is>
      </c>
      <c r="B497" s="41" t="inlineStr">
        <is>
          <t>CADEADO 35MM</t>
        </is>
      </c>
      <c r="C497" s="42" t="inlineStr">
        <is>
          <t>MC</t>
        </is>
      </c>
      <c r="D497" s="42" t="inlineStr">
        <is>
          <t>UN</t>
        </is>
      </c>
      <c r="E497" s="42" t="inlineStr">
        <is>
          <t>0132</t>
        </is>
      </c>
      <c r="F497" s="70" t="inlineStr">
        <is>
          <t>Compras</t>
        </is>
      </c>
      <c r="G497" s="71" t="n">
        <v>39</v>
      </c>
      <c r="H497" s="172" t="inlineStr">
        <is>
          <t>Não</t>
        </is>
      </c>
      <c r="I497" s="49" t="n"/>
    </row>
    <row r="498">
      <c r="A498" s="43" t="inlineStr">
        <is>
          <t>010268</t>
        </is>
      </c>
      <c r="B498" s="44" t="inlineStr">
        <is>
          <t>CADEADO 40MM</t>
        </is>
      </c>
      <c r="C498" s="45" t="inlineStr">
        <is>
          <t>MC</t>
        </is>
      </c>
      <c r="D498" s="45" t="inlineStr">
        <is>
          <t>UN</t>
        </is>
      </c>
      <c r="E498" s="45" t="inlineStr">
        <is>
          <t>0132</t>
        </is>
      </c>
      <c r="F498" s="70" t="inlineStr">
        <is>
          <t>Compras</t>
        </is>
      </c>
      <c r="G498" s="69" t="n">
        <v>0</v>
      </c>
      <c r="H498" s="172" t="inlineStr">
        <is>
          <t>Não</t>
        </is>
      </c>
      <c r="I498" s="50" t="n"/>
    </row>
    <row r="499">
      <c r="A499" s="40" t="inlineStr">
        <is>
          <t>010269</t>
        </is>
      </c>
      <c r="B499" s="41" t="inlineStr">
        <is>
          <t>CADEADO 45MM</t>
        </is>
      </c>
      <c r="C499" s="42" t="inlineStr">
        <is>
          <t>MC</t>
        </is>
      </c>
      <c r="D499" s="42" t="inlineStr">
        <is>
          <t>UN</t>
        </is>
      </c>
      <c r="E499" s="42" t="inlineStr">
        <is>
          <t>0132</t>
        </is>
      </c>
      <c r="F499" s="70" t="inlineStr">
        <is>
          <t>Compras</t>
        </is>
      </c>
      <c r="G499" s="68" t="n">
        <v>0</v>
      </c>
      <c r="H499" s="172" t="inlineStr">
        <is>
          <t>Não</t>
        </is>
      </c>
      <c r="I499" s="49" t="n"/>
    </row>
    <row r="500">
      <c r="A500" s="43" t="inlineStr">
        <is>
          <t>000505</t>
        </is>
      </c>
      <c r="B500" s="44" t="inlineStr">
        <is>
          <t>CADEIRA</t>
        </is>
      </c>
      <c r="C500" s="45" t="inlineStr">
        <is>
          <t>AI</t>
        </is>
      </c>
      <c r="D500" s="45" t="inlineStr">
        <is>
          <t>UN</t>
        </is>
      </c>
      <c r="E500" s="45" t="inlineStr">
        <is>
          <t>0020</t>
        </is>
      </c>
      <c r="F500" s="70" t="inlineStr">
        <is>
          <t>Compras</t>
        </is>
      </c>
      <c r="G500" s="66" t="n">
        <v>138</v>
      </c>
      <c r="H500" s="172" t="inlineStr">
        <is>
          <t>Não</t>
        </is>
      </c>
      <c r="I500" s="50" t="n"/>
    </row>
    <row r="501">
      <c r="A501" s="40" t="inlineStr">
        <is>
          <t>000509</t>
        </is>
      </c>
      <c r="B501" s="41" t="inlineStr">
        <is>
          <t>CADEIRA BISTRO</t>
        </is>
      </c>
      <c r="C501" s="42" t="inlineStr">
        <is>
          <t>AI</t>
        </is>
      </c>
      <c r="D501" s="42" t="inlineStr">
        <is>
          <t>UN</t>
        </is>
      </c>
      <c r="E501" s="42" t="inlineStr">
        <is>
          <t>0020</t>
        </is>
      </c>
      <c r="F501" s="70" t="inlineStr">
        <is>
          <t>Compras</t>
        </is>
      </c>
      <c r="G501" s="71" t="n">
        <v>174</v>
      </c>
      <c r="H501" s="172" t="inlineStr">
        <is>
          <t>Não</t>
        </is>
      </c>
      <c r="I501" s="49" t="n"/>
    </row>
    <row r="502">
      <c r="A502" s="43" t="inlineStr">
        <is>
          <t>009382</t>
        </is>
      </c>
      <c r="B502" s="44" t="inlineStr">
        <is>
          <t>CADEIRA DALAS INFANTIL</t>
        </is>
      </c>
      <c r="C502" s="45" t="inlineStr">
        <is>
          <t>MC</t>
        </is>
      </c>
      <c r="D502" s="45" t="inlineStr">
        <is>
          <t>UN</t>
        </is>
      </c>
      <c r="E502" s="45" t="inlineStr">
        <is>
          <t>0134</t>
        </is>
      </c>
      <c r="F502" s="70" t="inlineStr">
        <is>
          <t>Compras</t>
        </is>
      </c>
      <c r="G502" s="69" t="n">
        <v>0</v>
      </c>
      <c r="H502" s="172" t="inlineStr">
        <is>
          <t>Não</t>
        </is>
      </c>
      <c r="I502" s="50" t="n"/>
    </row>
    <row r="503">
      <c r="A503" s="40" t="inlineStr">
        <is>
          <t>009473</t>
        </is>
      </c>
      <c r="B503" s="41" t="inlineStr">
        <is>
          <t>CADEIRA EXECUTIVA GIRATORIA C BRACO COURVIN VERM</t>
        </is>
      </c>
      <c r="C503" s="42" t="inlineStr">
        <is>
          <t>AI</t>
        </is>
      </c>
      <c r="D503" s="42" t="inlineStr">
        <is>
          <t>UN</t>
        </is>
      </c>
      <c r="E503" s="42" t="inlineStr">
        <is>
          <t>0020</t>
        </is>
      </c>
      <c r="F503" s="70" t="inlineStr">
        <is>
          <t>Compras</t>
        </is>
      </c>
      <c r="G503" s="71" t="n">
        <v>601</v>
      </c>
      <c r="H503" s="172" t="inlineStr">
        <is>
          <t>Não</t>
        </is>
      </c>
      <c r="I503" s="49" t="n"/>
    </row>
    <row r="504">
      <c r="A504" s="43" t="inlineStr">
        <is>
          <t>000506</t>
        </is>
      </c>
      <c r="B504" s="44" t="inlineStr">
        <is>
          <t>CADEIRAO</t>
        </is>
      </c>
      <c r="C504" s="45" t="inlineStr">
        <is>
          <t>AI</t>
        </is>
      </c>
      <c r="D504" s="45" t="inlineStr">
        <is>
          <t>UN</t>
        </is>
      </c>
      <c r="E504" s="45" t="inlineStr">
        <is>
          <t>0020</t>
        </is>
      </c>
      <c r="F504" s="70" t="inlineStr">
        <is>
          <t>Compras</t>
        </is>
      </c>
      <c r="G504" s="66" t="n">
        <v>198</v>
      </c>
      <c r="H504" s="172" t="inlineStr">
        <is>
          <t>Não</t>
        </is>
      </c>
      <c r="I504" s="50" t="n"/>
    </row>
    <row r="505">
      <c r="A505" s="40" t="inlineStr">
        <is>
          <t>002271</t>
        </is>
      </c>
      <c r="B505" s="41" t="inlineStr">
        <is>
          <t>CADERNO MEDIO CAPA DURA</t>
        </is>
      </c>
      <c r="C505" s="42" t="inlineStr">
        <is>
          <t>MC</t>
        </is>
      </c>
      <c r="D505" s="42" t="inlineStr">
        <is>
          <t>UN</t>
        </is>
      </c>
      <c r="E505" s="42" t="inlineStr">
        <is>
          <t>0001</t>
        </is>
      </c>
      <c r="F505" s="70" t="inlineStr">
        <is>
          <t>Compras</t>
        </is>
      </c>
      <c r="G505" s="71" t="n">
        <v>31.16</v>
      </c>
      <c r="H505" s="172" t="inlineStr">
        <is>
          <t>Não</t>
        </is>
      </c>
      <c r="I505" s="49" t="n"/>
    </row>
    <row r="506">
      <c r="A506" s="43" t="inlineStr">
        <is>
          <t>000173</t>
        </is>
      </c>
      <c r="B506" s="44" t="inlineStr">
        <is>
          <t>CADERNO UNIVERSITARIO CAPA DUR</t>
        </is>
      </c>
      <c r="C506" s="45" t="inlineStr">
        <is>
          <t>MC</t>
        </is>
      </c>
      <c r="D506" s="45" t="inlineStr">
        <is>
          <t>UN</t>
        </is>
      </c>
      <c r="E506" s="45" t="inlineStr">
        <is>
          <t>0001</t>
        </is>
      </c>
      <c r="F506" s="70" t="inlineStr">
        <is>
          <t>Compras</t>
        </is>
      </c>
      <c r="G506" s="66" t="n">
        <v>12.44</v>
      </c>
      <c r="H506" s="172" t="inlineStr">
        <is>
          <t>Não</t>
        </is>
      </c>
      <c r="I506" s="50" t="n"/>
    </row>
    <row r="507">
      <c r="A507" s="40" t="inlineStr">
        <is>
          <t>001365</t>
        </is>
      </c>
      <c r="B507" s="41" t="inlineStr">
        <is>
          <t>CAFE</t>
        </is>
      </c>
      <c r="C507" s="42" t="inlineStr">
        <is>
          <t>PA</t>
        </is>
      </c>
      <c r="D507" s="42" t="inlineStr">
        <is>
          <t>UN</t>
        </is>
      </c>
      <c r="E507" s="42" t="inlineStr">
        <is>
          <t>0091</t>
        </is>
      </c>
      <c r="F507" s="65" t="inlineStr">
        <is>
          <t>Venda</t>
        </is>
      </c>
      <c r="G507" s="71" t="n">
        <v>63.98</v>
      </c>
      <c r="H507" s="172" t="inlineStr">
        <is>
          <t>Não</t>
        </is>
      </c>
      <c r="I507" s="47" t="inlineStr">
        <is>
          <t>7898905687179</t>
        </is>
      </c>
    </row>
    <row r="508">
      <c r="A508" s="43" t="inlineStr">
        <is>
          <t>000381</t>
        </is>
      </c>
      <c r="B508" s="44" t="inlineStr">
        <is>
          <t>CAFE EM PO FUNCIONARIO</t>
        </is>
      </c>
      <c r="C508" s="45" t="inlineStr">
        <is>
          <t>MC</t>
        </is>
      </c>
      <c r="D508" s="45" t="inlineStr">
        <is>
          <t>KG</t>
        </is>
      </c>
      <c r="E508" s="45" t="inlineStr">
        <is>
          <t>0013</t>
        </is>
      </c>
      <c r="F508" s="70" t="inlineStr">
        <is>
          <t>Compras</t>
        </is>
      </c>
      <c r="G508" s="66" t="n">
        <v>42.58</v>
      </c>
      <c r="H508" s="172" t="inlineStr">
        <is>
          <t>Não</t>
        </is>
      </c>
      <c r="I508" s="50" t="n"/>
    </row>
    <row r="509">
      <c r="A509" s="40" t="inlineStr">
        <is>
          <t>001695</t>
        </is>
      </c>
      <c r="B509" s="41" t="inlineStr">
        <is>
          <t>CAFETEIRA NESPRESSO PROFESSIONAL ZENIUS</t>
        </is>
      </c>
      <c r="C509" s="42" t="inlineStr">
        <is>
          <t>AI</t>
        </is>
      </c>
      <c r="D509" s="42" t="inlineStr">
        <is>
          <t>UN</t>
        </is>
      </c>
      <c r="E509" s="42" t="inlineStr">
        <is>
          <t>0002</t>
        </is>
      </c>
      <c r="F509" s="70" t="inlineStr">
        <is>
          <t>Compras</t>
        </is>
      </c>
      <c r="G509" s="68" t="n">
        <v>0</v>
      </c>
      <c r="H509" s="172" t="inlineStr">
        <is>
          <t>Não</t>
        </is>
      </c>
      <c r="I509" s="49" t="n"/>
    </row>
    <row r="510">
      <c r="A510" s="43" t="inlineStr">
        <is>
          <t>001961</t>
        </is>
      </c>
      <c r="B510" s="44" t="inlineStr">
        <is>
          <t>CAIPIRINHA ABACAXI E HORTELA</t>
        </is>
      </c>
      <c r="C510" s="45" t="inlineStr">
        <is>
          <t>PA</t>
        </is>
      </c>
      <c r="D510" s="45" t="inlineStr">
        <is>
          <t>UN</t>
        </is>
      </c>
      <c r="E510" s="45" t="inlineStr">
        <is>
          <t>0119</t>
        </is>
      </c>
      <c r="F510" s="65" t="inlineStr">
        <is>
          <t>Venda</t>
        </is>
      </c>
      <c r="G510" s="69" t="n">
        <v>0</v>
      </c>
      <c r="H510" s="172" t="inlineStr">
        <is>
          <t>Não</t>
        </is>
      </c>
      <c r="I510" s="48" t="inlineStr">
        <is>
          <t>78989056877239</t>
        </is>
      </c>
    </row>
    <row r="511">
      <c r="A511" s="40" t="inlineStr">
        <is>
          <t>000966</t>
        </is>
      </c>
      <c r="B511" s="41" t="inlineStr">
        <is>
          <t>CAIPIRINHA ABSOLUT</t>
        </is>
      </c>
      <c r="C511" s="42" t="inlineStr">
        <is>
          <t>PA</t>
        </is>
      </c>
      <c r="D511" s="42" t="inlineStr">
        <is>
          <t>UN</t>
        </is>
      </c>
      <c r="E511" s="42" t="inlineStr">
        <is>
          <t>0119</t>
        </is>
      </c>
      <c r="F511" s="65" t="inlineStr">
        <is>
          <t>Venda</t>
        </is>
      </c>
      <c r="G511" s="68" t="n">
        <v>0</v>
      </c>
      <c r="H511" s="172" t="inlineStr">
        <is>
          <t>Não</t>
        </is>
      </c>
      <c r="I511" s="47" t="inlineStr">
        <is>
          <t>90043</t>
        </is>
      </c>
    </row>
    <row r="512">
      <c r="A512" s="43" t="inlineStr">
        <is>
          <t>001023</t>
        </is>
      </c>
      <c r="B512" s="44" t="inlineStr">
        <is>
          <t>CAIPIRINHA CACHACA NACIONAL</t>
        </is>
      </c>
      <c r="C512" s="45" t="inlineStr">
        <is>
          <t>PA</t>
        </is>
      </c>
      <c r="D512" s="45" t="inlineStr">
        <is>
          <t>UN</t>
        </is>
      </c>
      <c r="E512" s="45" t="inlineStr">
        <is>
          <t>0090</t>
        </is>
      </c>
      <c r="F512" s="65" t="inlineStr">
        <is>
          <t>Venda</t>
        </is>
      </c>
      <c r="G512" s="69" t="n">
        <v>0</v>
      </c>
      <c r="H512" s="172" t="inlineStr">
        <is>
          <t>Não</t>
        </is>
      </c>
      <c r="I512" s="48" t="inlineStr">
        <is>
          <t>29690</t>
        </is>
      </c>
    </row>
    <row r="513">
      <c r="A513" s="40" t="inlineStr">
        <is>
          <t>000960</t>
        </is>
      </c>
      <c r="B513" s="41" t="inlineStr">
        <is>
          <t>CAIPIRINHA DO QUINTAL MEL E LI</t>
        </is>
      </c>
      <c r="C513" s="42" t="inlineStr">
        <is>
          <t>PA</t>
        </is>
      </c>
      <c r="D513" s="42" t="inlineStr">
        <is>
          <t>UN</t>
        </is>
      </c>
      <c r="E513" s="42" t="inlineStr">
        <is>
          <t>0090</t>
        </is>
      </c>
      <c r="F513" s="65" t="inlineStr">
        <is>
          <t>Venda</t>
        </is>
      </c>
      <c r="G513" s="68" t="n">
        <v>0</v>
      </c>
      <c r="H513" s="172" t="inlineStr">
        <is>
          <t>Não</t>
        </is>
      </c>
      <c r="I513" s="47" t="inlineStr">
        <is>
          <t>9003169</t>
        </is>
      </c>
    </row>
    <row r="514">
      <c r="A514" s="43" t="inlineStr">
        <is>
          <t>000959</t>
        </is>
      </c>
      <c r="B514" s="44" t="inlineStr">
        <is>
          <t>CAIPIRINHA DO QUINTAL OURO</t>
        </is>
      </c>
      <c r="C514" s="45" t="inlineStr">
        <is>
          <t>PA</t>
        </is>
      </c>
      <c r="D514" s="45" t="inlineStr">
        <is>
          <t>UN</t>
        </is>
      </c>
      <c r="E514" s="45" t="inlineStr">
        <is>
          <t>0090</t>
        </is>
      </c>
      <c r="F514" s="65" t="inlineStr">
        <is>
          <t>Venda</t>
        </is>
      </c>
      <c r="G514" s="69" t="n">
        <v>0</v>
      </c>
      <c r="H514" s="172" t="inlineStr">
        <is>
          <t>Não</t>
        </is>
      </c>
      <c r="I514" s="48" t="inlineStr">
        <is>
          <t>9003168</t>
        </is>
      </c>
    </row>
    <row r="515">
      <c r="A515" s="40" t="inlineStr">
        <is>
          <t>000958</t>
        </is>
      </c>
      <c r="B515" s="41" t="inlineStr">
        <is>
          <t>CAIPIRINHA DO QUINTAL PRATA</t>
        </is>
      </c>
      <c r="C515" s="42" t="inlineStr">
        <is>
          <t>PA</t>
        </is>
      </c>
      <c r="D515" s="42" t="inlineStr">
        <is>
          <t>UN</t>
        </is>
      </c>
      <c r="E515" s="42" t="inlineStr">
        <is>
          <t>0090</t>
        </is>
      </c>
      <c r="F515" s="65" t="inlineStr">
        <is>
          <t>Venda</t>
        </is>
      </c>
      <c r="G515" s="68" t="n">
        <v>0</v>
      </c>
      <c r="H515" s="172" t="inlineStr">
        <is>
          <t>Não</t>
        </is>
      </c>
      <c r="I515" s="47" t="inlineStr">
        <is>
          <t>9003167</t>
        </is>
      </c>
    </row>
    <row r="516">
      <c r="A516" s="43" t="inlineStr">
        <is>
          <t>001963</t>
        </is>
      </c>
      <c r="B516" s="44" t="inlineStr">
        <is>
          <t>CAIPIRINHA KIWI - APTK</t>
        </is>
      </c>
      <c r="C516" s="45" t="inlineStr">
        <is>
          <t>PA</t>
        </is>
      </c>
      <c r="D516" s="45" t="inlineStr">
        <is>
          <t>UN</t>
        </is>
      </c>
      <c r="E516" s="45" t="inlineStr">
        <is>
          <t>0119</t>
        </is>
      </c>
      <c r="F516" s="65" t="inlineStr">
        <is>
          <t>Venda</t>
        </is>
      </c>
      <c r="G516" s="69" t="n">
        <v>0</v>
      </c>
      <c r="H516" s="172" t="inlineStr">
        <is>
          <t>Não</t>
        </is>
      </c>
      <c r="I516" s="48" t="inlineStr">
        <is>
          <t>78989056877241</t>
        </is>
      </c>
    </row>
    <row r="517">
      <c r="A517" s="40" t="inlineStr">
        <is>
          <t>001960</t>
        </is>
      </c>
      <c r="B517" s="41" t="inlineStr">
        <is>
          <t>CAIPIRINHA MARACUJA E GENGIBRE</t>
        </is>
      </c>
      <c r="C517" s="42" t="inlineStr">
        <is>
          <t>PA</t>
        </is>
      </c>
      <c r="D517" s="42" t="inlineStr">
        <is>
          <t>UN</t>
        </is>
      </c>
      <c r="E517" s="42" t="inlineStr">
        <is>
          <t>0119</t>
        </is>
      </c>
      <c r="F517" s="65" t="inlineStr">
        <is>
          <t>Venda</t>
        </is>
      </c>
      <c r="G517" s="68" t="n">
        <v>0</v>
      </c>
      <c r="H517" s="172" t="inlineStr">
        <is>
          <t>Não</t>
        </is>
      </c>
      <c r="I517" s="47" t="inlineStr">
        <is>
          <t>78989056877238</t>
        </is>
      </c>
    </row>
    <row r="518">
      <c r="A518" s="43" t="inlineStr">
        <is>
          <t>002207</t>
        </is>
      </c>
      <c r="B518" s="44" t="inlineStr">
        <is>
          <t>CAIPIRINHA MORANGO - LICHIA</t>
        </is>
      </c>
      <c r="C518" s="45" t="inlineStr">
        <is>
          <t>PA</t>
        </is>
      </c>
      <c r="D518" s="45" t="inlineStr">
        <is>
          <t>UN</t>
        </is>
      </c>
      <c r="E518" s="45" t="inlineStr">
        <is>
          <t>0119</t>
        </is>
      </c>
      <c r="F518" s="65" t="inlineStr">
        <is>
          <t>Venda</t>
        </is>
      </c>
      <c r="G518" s="69" t="n">
        <v>0</v>
      </c>
      <c r="H518" s="172" t="inlineStr">
        <is>
          <t>Não</t>
        </is>
      </c>
      <c r="I518" s="48" t="inlineStr">
        <is>
          <t>78989056877240</t>
        </is>
      </c>
    </row>
    <row r="519">
      <c r="A519" s="40" t="inlineStr">
        <is>
          <t>000937</t>
        </is>
      </c>
      <c r="B519" s="41" t="inlineStr">
        <is>
          <t>CAIPIRINHA SABOR DE MINAS</t>
        </is>
      </c>
      <c r="C519" s="42" t="inlineStr">
        <is>
          <t>PA</t>
        </is>
      </c>
      <c r="D519" s="42" t="inlineStr">
        <is>
          <t>UN</t>
        </is>
      </c>
      <c r="E519" s="42" t="inlineStr">
        <is>
          <t>0090</t>
        </is>
      </c>
      <c r="F519" s="65" t="inlineStr">
        <is>
          <t>Venda</t>
        </is>
      </c>
      <c r="G519" s="68" t="n">
        <v>0</v>
      </c>
      <c r="H519" s="172" t="inlineStr">
        <is>
          <t>Não</t>
        </is>
      </c>
      <c r="I519" s="47" t="inlineStr">
        <is>
          <t>9003142</t>
        </is>
      </c>
    </row>
    <row r="520">
      <c r="A520" s="43" t="inlineStr">
        <is>
          <t>000922</t>
        </is>
      </c>
      <c r="B520" s="44" t="inlineStr">
        <is>
          <t>CAIPIRINHA SAKE</t>
        </is>
      </c>
      <c r="C520" s="45" t="inlineStr">
        <is>
          <t>PA</t>
        </is>
      </c>
      <c r="D520" s="45" t="inlineStr">
        <is>
          <t>UN</t>
        </is>
      </c>
      <c r="E520" s="45" t="inlineStr">
        <is>
          <t>0095</t>
        </is>
      </c>
      <c r="F520" s="65" t="inlineStr">
        <is>
          <t>Venda</t>
        </is>
      </c>
      <c r="G520" s="69" t="n">
        <v>0</v>
      </c>
      <c r="H520" s="172" t="inlineStr">
        <is>
          <t>Não</t>
        </is>
      </c>
      <c r="I520" s="48" t="inlineStr">
        <is>
          <t>90018</t>
        </is>
      </c>
    </row>
    <row r="521">
      <c r="A521" s="40" t="inlineStr">
        <is>
          <t>001032</t>
        </is>
      </c>
      <c r="B521" s="41" t="inlineStr">
        <is>
          <t>CAIPIRINHA SAO FRANCISCO</t>
        </is>
      </c>
      <c r="C521" s="42" t="inlineStr">
        <is>
          <t>PA</t>
        </is>
      </c>
      <c r="D521" s="42" t="inlineStr">
        <is>
          <t>UN</t>
        </is>
      </c>
      <c r="E521" s="42" t="inlineStr">
        <is>
          <t>0097</t>
        </is>
      </c>
      <c r="F521" s="65" t="inlineStr">
        <is>
          <t>Venda</t>
        </is>
      </c>
      <c r="G521" s="68" t="n">
        <v>0</v>
      </c>
      <c r="H521" s="172" t="inlineStr">
        <is>
          <t>Não</t>
        </is>
      </c>
      <c r="I521" s="47" t="inlineStr">
        <is>
          <t>69657</t>
        </is>
      </c>
    </row>
    <row r="522">
      <c r="A522" s="43" t="inlineStr">
        <is>
          <t>001027</t>
        </is>
      </c>
      <c r="B522" s="44" t="inlineStr">
        <is>
          <t>CAIPIRINHA VODKA NACIONAL</t>
        </is>
      </c>
      <c r="C522" s="45" t="inlineStr">
        <is>
          <t>PA</t>
        </is>
      </c>
      <c r="D522" s="45" t="inlineStr">
        <is>
          <t>UN</t>
        </is>
      </c>
      <c r="E522" s="45" t="inlineStr">
        <is>
          <t>0097</t>
        </is>
      </c>
      <c r="F522" s="65" t="inlineStr">
        <is>
          <t>Venda</t>
        </is>
      </c>
      <c r="G522" s="69" t="n">
        <v>0</v>
      </c>
      <c r="H522" s="172" t="inlineStr">
        <is>
          <t>Não</t>
        </is>
      </c>
      <c r="I522" s="48" t="inlineStr">
        <is>
          <t>39636</t>
        </is>
      </c>
    </row>
    <row r="523">
      <c r="A523" s="40" t="inlineStr">
        <is>
          <t>000620</t>
        </is>
      </c>
      <c r="B523" s="41" t="inlineStr">
        <is>
          <t>CAIXA BRANCA 500 ML</t>
        </is>
      </c>
      <c r="C523" s="42" t="inlineStr">
        <is>
          <t>MC</t>
        </is>
      </c>
      <c r="D523" s="42" t="inlineStr">
        <is>
          <t>UN</t>
        </is>
      </c>
      <c r="E523" s="42" t="inlineStr">
        <is>
          <t>0079</t>
        </is>
      </c>
      <c r="F523" s="70" t="inlineStr">
        <is>
          <t>Compras</t>
        </is>
      </c>
      <c r="G523" s="71" t="n">
        <v>48.2</v>
      </c>
      <c r="H523" s="172" t="inlineStr">
        <is>
          <t>Não</t>
        </is>
      </c>
      <c r="I523" s="49" t="n"/>
    </row>
    <row r="524">
      <c r="A524" s="43" t="inlineStr">
        <is>
          <t>000551</t>
        </is>
      </c>
      <c r="B524" s="44" t="inlineStr">
        <is>
          <t>CAIXA BRANCA C/ TAMPA G 15 L</t>
        </is>
      </c>
      <c r="C524" s="45" t="inlineStr">
        <is>
          <t>MC</t>
        </is>
      </c>
      <c r="D524" s="45" t="inlineStr">
        <is>
          <t>UN</t>
        </is>
      </c>
      <c r="E524" s="45" t="inlineStr">
        <is>
          <t>0079</t>
        </is>
      </c>
      <c r="F524" s="70" t="inlineStr">
        <is>
          <t>Compras</t>
        </is>
      </c>
      <c r="G524" s="66" t="n">
        <v>115</v>
      </c>
      <c r="H524" s="172" t="inlineStr">
        <is>
          <t>Não</t>
        </is>
      </c>
      <c r="I524" s="50" t="n"/>
    </row>
    <row r="525">
      <c r="A525" s="40" t="inlineStr">
        <is>
          <t>000550</t>
        </is>
      </c>
      <c r="B525" s="41" t="inlineStr">
        <is>
          <t>CAIXA BRANCA C/ TAMPA M 11 L</t>
        </is>
      </c>
      <c r="C525" s="42" t="inlineStr">
        <is>
          <t>MC</t>
        </is>
      </c>
      <c r="D525" s="42" t="inlineStr">
        <is>
          <t>UN</t>
        </is>
      </c>
      <c r="E525" s="42" t="inlineStr">
        <is>
          <t>0080</t>
        </is>
      </c>
      <c r="F525" s="70" t="inlineStr">
        <is>
          <t>Compras</t>
        </is>
      </c>
      <c r="G525" s="71" t="n">
        <v>48.2</v>
      </c>
      <c r="H525" s="172" t="inlineStr">
        <is>
          <t>Não</t>
        </is>
      </c>
      <c r="I525" s="49" t="n"/>
    </row>
    <row r="526">
      <c r="A526" s="43" t="inlineStr">
        <is>
          <t>001181</t>
        </is>
      </c>
      <c r="B526" s="44" t="inlineStr">
        <is>
          <t>CAIXA CERVEJA QUINTAL</t>
        </is>
      </c>
      <c r="C526" s="45" t="inlineStr">
        <is>
          <t>MR</t>
        </is>
      </c>
      <c r="D526" s="45" t="inlineStr">
        <is>
          <t>CX</t>
        </is>
      </c>
      <c r="E526" s="45" t="inlineStr">
        <is>
          <t>0090</t>
        </is>
      </c>
      <c r="F526" s="70" t="inlineStr">
        <is>
          <t>Compras</t>
        </is>
      </c>
      <c r="G526" s="69" t="n">
        <v>0</v>
      </c>
      <c r="H526" s="173" t="inlineStr">
        <is>
          <t>Sim</t>
        </is>
      </c>
      <c r="I526" s="50" t="n"/>
    </row>
    <row r="527">
      <c r="A527" s="40" t="inlineStr">
        <is>
          <t>002065</t>
        </is>
      </c>
      <c r="B527" s="41" t="inlineStr">
        <is>
          <t>CAIXA DE ARQUIVO</t>
        </is>
      </c>
      <c r="C527" s="42" t="inlineStr">
        <is>
          <t>MC</t>
        </is>
      </c>
      <c r="D527" s="42" t="inlineStr">
        <is>
          <t>UN</t>
        </is>
      </c>
      <c r="E527" s="42" t="inlineStr">
        <is>
          <t>0001</t>
        </is>
      </c>
      <c r="F527" s="70" t="inlineStr">
        <is>
          <t>Compras</t>
        </is>
      </c>
      <c r="G527" s="71" t="n">
        <v>2.98</v>
      </c>
      <c r="H527" s="172" t="inlineStr">
        <is>
          <t>Não</t>
        </is>
      </c>
      <c r="I527" s="49" t="n"/>
    </row>
    <row r="528">
      <c r="A528" s="43" t="inlineStr">
        <is>
          <t>000200</t>
        </is>
      </c>
      <c r="B528" s="44" t="inlineStr">
        <is>
          <t>CAIXA DE CERVEJA DE 600 ML</t>
        </is>
      </c>
      <c r="C528" s="45" t="inlineStr">
        <is>
          <t>MC</t>
        </is>
      </c>
      <c r="D528" s="45" t="inlineStr">
        <is>
          <t>UN</t>
        </is>
      </c>
      <c r="E528" s="45" t="inlineStr">
        <is>
          <t>0079</t>
        </is>
      </c>
      <c r="F528" s="70" t="inlineStr">
        <is>
          <t>Compras</t>
        </is>
      </c>
      <c r="G528" s="69" t="n">
        <v>0</v>
      </c>
      <c r="H528" s="172" t="inlineStr">
        <is>
          <t>Não</t>
        </is>
      </c>
      <c r="I528" s="50" t="n"/>
    </row>
    <row r="529">
      <c r="A529" s="40" t="inlineStr">
        <is>
          <t>010254</t>
        </is>
      </c>
      <c r="B529" s="41" t="inlineStr">
        <is>
          <t>CAIXA DE EMBUTIR 4X4</t>
        </is>
      </c>
      <c r="C529" s="42" t="inlineStr">
        <is>
          <t>MC</t>
        </is>
      </c>
      <c r="D529" s="42" t="inlineStr">
        <is>
          <t>UN</t>
        </is>
      </c>
      <c r="E529" s="42" t="inlineStr">
        <is>
          <t>0132</t>
        </is>
      </c>
      <c r="F529" s="70" t="inlineStr">
        <is>
          <t>Compras</t>
        </is>
      </c>
      <c r="G529" s="71" t="n">
        <v>8</v>
      </c>
      <c r="H529" s="172" t="inlineStr">
        <is>
          <t>Não</t>
        </is>
      </c>
      <c r="I529" s="49" t="n"/>
    </row>
    <row r="530">
      <c r="A530" s="43" t="inlineStr">
        <is>
          <t>009700</t>
        </is>
      </c>
      <c r="B530" s="44" t="inlineStr">
        <is>
          <t>CAIXA DE PROTECAO PARA CAMERA</t>
        </is>
      </c>
      <c r="C530" s="45" t="inlineStr">
        <is>
          <t>MC</t>
        </is>
      </c>
      <c r="D530" s="45" t="inlineStr">
        <is>
          <t>UN</t>
        </is>
      </c>
      <c r="E530" s="45" t="inlineStr">
        <is>
          <t>0132</t>
        </is>
      </c>
      <c r="F530" s="70" t="inlineStr">
        <is>
          <t>Compras</t>
        </is>
      </c>
      <c r="G530" s="66" t="n">
        <v>18.5</v>
      </c>
      <c r="H530" s="172" t="inlineStr">
        <is>
          <t>Não</t>
        </is>
      </c>
      <c r="I530" s="50" t="n"/>
    </row>
    <row r="531">
      <c r="A531" s="40" t="inlineStr">
        <is>
          <t>009874</t>
        </is>
      </c>
      <c r="B531" s="41" t="inlineStr">
        <is>
          <t>CAIXA DE SOBREPOR 9575 2 POSTOS</t>
        </is>
      </c>
      <c r="C531" s="42" t="inlineStr">
        <is>
          <t>MC</t>
        </is>
      </c>
      <c r="D531" s="42" t="inlineStr">
        <is>
          <t>UN</t>
        </is>
      </c>
      <c r="E531" s="42" t="inlineStr">
        <is>
          <t>0132</t>
        </is>
      </c>
      <c r="F531" s="70" t="inlineStr">
        <is>
          <t>Compras</t>
        </is>
      </c>
      <c r="G531" s="68" t="n">
        <v>0</v>
      </c>
      <c r="H531" s="172" t="inlineStr">
        <is>
          <t>Não</t>
        </is>
      </c>
      <c r="I531" s="49" t="n"/>
    </row>
    <row r="532">
      <c r="A532" s="43" t="inlineStr">
        <is>
          <t>000591</t>
        </is>
      </c>
      <c r="B532" s="44" t="inlineStr">
        <is>
          <t>CAIXA DE SOM</t>
        </is>
      </c>
      <c r="C532" s="45" t="inlineStr">
        <is>
          <t>AI</t>
        </is>
      </c>
      <c r="D532" s="45" t="inlineStr">
        <is>
          <t>UN</t>
        </is>
      </c>
      <c r="E532" s="45" t="inlineStr">
        <is>
          <t>0020</t>
        </is>
      </c>
      <c r="F532" s="70" t="inlineStr">
        <is>
          <t>Compras</t>
        </is>
      </c>
      <c r="G532" s="66" t="n">
        <v>1579</v>
      </c>
      <c r="H532" s="172" t="inlineStr">
        <is>
          <t>Não</t>
        </is>
      </c>
      <c r="I532" s="50" t="n"/>
    </row>
    <row r="533">
      <c r="A533" s="40" t="inlineStr">
        <is>
          <t>000976</t>
        </is>
      </c>
      <c r="B533" s="41" t="inlineStr">
        <is>
          <t>CAIXA DELIVERY</t>
        </is>
      </c>
      <c r="C533" s="42" t="inlineStr">
        <is>
          <t>MC</t>
        </is>
      </c>
      <c r="D533" s="42" t="inlineStr">
        <is>
          <t>UN</t>
        </is>
      </c>
      <c r="E533" s="42" t="inlineStr">
        <is>
          <t>0014</t>
        </is>
      </c>
      <c r="F533" s="70" t="inlineStr">
        <is>
          <t>Compras</t>
        </is>
      </c>
      <c r="G533" s="71" t="n">
        <v>1.75</v>
      </c>
      <c r="H533" s="172" t="inlineStr">
        <is>
          <t>Não</t>
        </is>
      </c>
      <c r="I533" s="49" t="n"/>
    </row>
    <row r="534">
      <c r="A534" s="43" t="inlineStr">
        <is>
          <t>010211</t>
        </is>
      </c>
      <c r="B534" s="44" t="inlineStr">
        <is>
          <t>CAIXA DELIVERY SL01C 21X14,05X5</t>
        </is>
      </c>
      <c r="C534" s="45" t="inlineStr">
        <is>
          <t>MC</t>
        </is>
      </c>
      <c r="D534" s="45" t="inlineStr">
        <is>
          <t>UN</t>
        </is>
      </c>
      <c r="E534" s="45" t="inlineStr">
        <is>
          <t>0014</t>
        </is>
      </c>
      <c r="F534" s="70" t="inlineStr">
        <is>
          <t>Compras</t>
        </is>
      </c>
      <c r="G534" s="69" t="n">
        <v>0</v>
      </c>
      <c r="H534" s="172" t="inlineStr">
        <is>
          <t>Não</t>
        </is>
      </c>
      <c r="I534" s="50" t="n"/>
    </row>
    <row r="535">
      <c r="A535" s="40" t="inlineStr">
        <is>
          <t>010212</t>
        </is>
      </c>
      <c r="B535" s="41" t="inlineStr">
        <is>
          <t>CAIXA DELIVERY SL21 13X14X4</t>
        </is>
      </c>
      <c r="C535" s="42" t="inlineStr">
        <is>
          <t>MC</t>
        </is>
      </c>
      <c r="D535" s="42" t="inlineStr">
        <is>
          <t>UN</t>
        </is>
      </c>
      <c r="E535" s="42" t="inlineStr">
        <is>
          <t>0014</t>
        </is>
      </c>
      <c r="F535" s="70" t="inlineStr">
        <is>
          <t>Compras</t>
        </is>
      </c>
      <c r="G535" s="68" t="n">
        <v>0.4</v>
      </c>
      <c r="H535" s="172" t="inlineStr">
        <is>
          <t>Não</t>
        </is>
      </c>
      <c r="I535" s="49" t="n"/>
    </row>
    <row r="536">
      <c r="A536" s="43" t="inlineStr">
        <is>
          <t>010210</t>
        </is>
      </c>
      <c r="B536" s="44" t="inlineStr">
        <is>
          <t>CAIXA DELIVERY SL22 - 18X13X4</t>
        </is>
      </c>
      <c r="C536" s="45" t="inlineStr">
        <is>
          <t>MC</t>
        </is>
      </c>
      <c r="D536" s="45" t="inlineStr">
        <is>
          <t>UN</t>
        </is>
      </c>
      <c r="E536" s="45" t="inlineStr">
        <is>
          <t>0014</t>
        </is>
      </c>
      <c r="F536" s="70" t="inlineStr">
        <is>
          <t>Compras</t>
        </is>
      </c>
      <c r="G536" s="69" t="n">
        <v>0.5</v>
      </c>
      <c r="H536" s="172" t="inlineStr">
        <is>
          <t>Não</t>
        </is>
      </c>
      <c r="I536" s="50" t="n"/>
    </row>
    <row r="537">
      <c r="A537" s="40" t="inlineStr">
        <is>
          <t>010213</t>
        </is>
      </c>
      <c r="B537" s="41" t="inlineStr">
        <is>
          <t>CAIXA DELIVERY SL23 13,05X11X3</t>
        </is>
      </c>
      <c r="C537" s="42" t="inlineStr">
        <is>
          <t>MC</t>
        </is>
      </c>
      <c r="D537" s="42" t="inlineStr">
        <is>
          <t>UN</t>
        </is>
      </c>
      <c r="E537" s="42" t="inlineStr">
        <is>
          <t>0014</t>
        </is>
      </c>
      <c r="F537" s="70" t="inlineStr">
        <is>
          <t>Compras</t>
        </is>
      </c>
      <c r="G537" s="68" t="n">
        <v>0.3</v>
      </c>
      <c r="H537" s="172" t="inlineStr">
        <is>
          <t>Não</t>
        </is>
      </c>
      <c r="I537" s="49" t="n"/>
    </row>
    <row r="538">
      <c r="A538" s="43" t="inlineStr">
        <is>
          <t>010193</t>
        </is>
      </c>
      <c r="B538" s="44" t="inlineStr">
        <is>
          <t>CAIXA ORGANIZADORA C TRAVA 60LT</t>
        </is>
      </c>
      <c r="C538" s="45" t="inlineStr">
        <is>
          <t>MC</t>
        </is>
      </c>
      <c r="D538" s="45" t="inlineStr">
        <is>
          <t>UN</t>
        </is>
      </c>
      <c r="E538" s="45" t="inlineStr">
        <is>
          <t>0145</t>
        </is>
      </c>
      <c r="F538" s="70" t="inlineStr">
        <is>
          <t>Compras</t>
        </is>
      </c>
      <c r="G538" s="69" t="n">
        <v>0</v>
      </c>
      <c r="H538" s="172" t="inlineStr">
        <is>
          <t>Não</t>
        </is>
      </c>
      <c r="I538" s="50" t="n"/>
    </row>
    <row r="539">
      <c r="A539" s="40" t="inlineStr">
        <is>
          <t>010194</t>
        </is>
      </c>
      <c r="B539" s="41" t="inlineStr">
        <is>
          <t>CAIXA ORGANIZADORA C TRAVA 7,5LT</t>
        </is>
      </c>
      <c r="C539" s="42" t="inlineStr">
        <is>
          <t>MC</t>
        </is>
      </c>
      <c r="D539" s="42" t="inlineStr">
        <is>
          <t>UN</t>
        </is>
      </c>
      <c r="E539" s="42" t="inlineStr">
        <is>
          <t>0145</t>
        </is>
      </c>
      <c r="F539" s="70" t="inlineStr">
        <is>
          <t>Compras</t>
        </is>
      </c>
      <c r="G539" s="68" t="n">
        <v>0</v>
      </c>
      <c r="H539" s="172" t="inlineStr">
        <is>
          <t>Não</t>
        </is>
      </c>
      <c r="I539" s="49" t="n"/>
    </row>
    <row r="540">
      <c r="A540" s="43" t="inlineStr">
        <is>
          <t>010190</t>
        </is>
      </c>
      <c r="B540" s="44" t="inlineStr">
        <is>
          <t>CAIXA ORGANIZADORA COM TRAVA 15L</t>
        </is>
      </c>
      <c r="C540" s="45" t="inlineStr">
        <is>
          <t>MC</t>
        </is>
      </c>
      <c r="D540" s="45" t="inlineStr">
        <is>
          <t>UN</t>
        </is>
      </c>
      <c r="E540" s="45" t="inlineStr">
        <is>
          <t>0134</t>
        </is>
      </c>
      <c r="F540" s="70" t="inlineStr">
        <is>
          <t>Compras</t>
        </is>
      </c>
      <c r="G540" s="69" t="n">
        <v>0</v>
      </c>
      <c r="H540" s="172" t="inlineStr">
        <is>
          <t>Não</t>
        </is>
      </c>
      <c r="I540" s="50" t="n"/>
    </row>
    <row r="541">
      <c r="A541" s="40" t="inlineStr">
        <is>
          <t>000167</t>
        </is>
      </c>
      <c r="B541" s="41" t="inlineStr">
        <is>
          <t>CAIXA ORGANIZADORA MEDIA ALTA</t>
        </is>
      </c>
      <c r="C541" s="42" t="inlineStr">
        <is>
          <t>MC</t>
        </is>
      </c>
      <c r="D541" s="42" t="inlineStr">
        <is>
          <t>UN</t>
        </is>
      </c>
      <c r="E541" s="42" t="inlineStr">
        <is>
          <t>0001</t>
        </is>
      </c>
      <c r="F541" s="70" t="inlineStr">
        <is>
          <t>Compras</t>
        </is>
      </c>
      <c r="G541" s="71" t="n">
        <v>26.3317</v>
      </c>
      <c r="H541" s="172" t="inlineStr">
        <is>
          <t>Não</t>
        </is>
      </c>
      <c r="I541" s="49" t="n"/>
    </row>
    <row r="542">
      <c r="A542" s="43" t="inlineStr">
        <is>
          <t>010192</t>
        </is>
      </c>
      <c r="B542" s="44" t="inlineStr">
        <is>
          <t>CAIXA ORGANIZADORA MODULAR 3,3 LT</t>
        </is>
      </c>
      <c r="C542" s="45" t="inlineStr">
        <is>
          <t>MC</t>
        </is>
      </c>
      <c r="D542" s="45" t="inlineStr">
        <is>
          <t>UN</t>
        </is>
      </c>
      <c r="E542" s="45" t="inlineStr">
        <is>
          <t>0145</t>
        </is>
      </c>
      <c r="F542" s="70" t="inlineStr">
        <is>
          <t>Compras</t>
        </is>
      </c>
      <c r="G542" s="69" t="n">
        <v>0</v>
      </c>
      <c r="H542" s="172" t="inlineStr">
        <is>
          <t>Não</t>
        </is>
      </c>
      <c r="I542" s="50" t="n"/>
    </row>
    <row r="543">
      <c r="A543" s="40" t="inlineStr">
        <is>
          <t>010191</t>
        </is>
      </c>
      <c r="B543" s="41" t="inlineStr">
        <is>
          <t>CAIXA ORGANIZADORA PARA MEDICAMENTOS C ALCA</t>
        </is>
      </c>
      <c r="C543" s="42" t="inlineStr">
        <is>
          <t>MC</t>
        </is>
      </c>
      <c r="D543" s="42" t="inlineStr">
        <is>
          <t>UN</t>
        </is>
      </c>
      <c r="E543" s="42" t="inlineStr">
        <is>
          <t>0145</t>
        </is>
      </c>
      <c r="F543" s="70" t="inlineStr">
        <is>
          <t>Compras</t>
        </is>
      </c>
      <c r="G543" s="68" t="n">
        <v>0</v>
      </c>
      <c r="H543" s="172" t="inlineStr">
        <is>
          <t>Não</t>
        </is>
      </c>
      <c r="I543" s="49" t="n"/>
    </row>
    <row r="544">
      <c r="A544" s="43" t="inlineStr">
        <is>
          <t>000660</t>
        </is>
      </c>
      <c r="B544" s="44" t="inlineStr">
        <is>
          <t>CAIXA P ARMAZENAR ALIMENTOS</t>
        </is>
      </c>
      <c r="C544" s="45" t="inlineStr">
        <is>
          <t>MC</t>
        </is>
      </c>
      <c r="D544" s="45" t="inlineStr">
        <is>
          <t>UN</t>
        </is>
      </c>
      <c r="E544" s="45" t="inlineStr">
        <is>
          <t>0080</t>
        </is>
      </c>
      <c r="F544" s="70" t="inlineStr">
        <is>
          <t>Compras</t>
        </is>
      </c>
      <c r="G544" s="66" t="n">
        <v>44</v>
      </c>
      <c r="H544" s="172" t="inlineStr">
        <is>
          <t>Não</t>
        </is>
      </c>
      <c r="I544" s="50" t="n"/>
    </row>
    <row r="545">
      <c r="A545" s="40" t="inlineStr">
        <is>
          <t>000708</t>
        </is>
      </c>
      <c r="B545" s="41" t="inlineStr">
        <is>
          <t>CAIXA PARA CAMARA FRIA VAZADA</t>
        </is>
      </c>
      <c r="C545" s="42" t="inlineStr">
        <is>
          <t>MC</t>
        </is>
      </c>
      <c r="D545" s="42" t="inlineStr">
        <is>
          <t>UN</t>
        </is>
      </c>
      <c r="E545" s="42" t="inlineStr">
        <is>
          <t>0079</t>
        </is>
      </c>
      <c r="F545" s="70" t="inlineStr">
        <is>
          <t>Compras</t>
        </is>
      </c>
      <c r="G545" s="71" t="n">
        <v>93</v>
      </c>
      <c r="H545" s="172" t="inlineStr">
        <is>
          <t>Não</t>
        </is>
      </c>
      <c r="I545" s="49" t="n"/>
    </row>
    <row r="546">
      <c r="A546" s="43" t="inlineStr">
        <is>
          <t>009674</t>
        </is>
      </c>
      <c r="B546" s="44" t="inlineStr">
        <is>
          <t>CAIXA PARA MASSA 20LT</t>
        </is>
      </c>
      <c r="C546" s="45" t="inlineStr">
        <is>
          <t>MC</t>
        </is>
      </c>
      <c r="D546" s="45" t="inlineStr">
        <is>
          <t>UN</t>
        </is>
      </c>
      <c r="E546" s="45" t="inlineStr">
        <is>
          <t>0132</t>
        </is>
      </c>
      <c r="F546" s="70" t="inlineStr">
        <is>
          <t>Compras</t>
        </is>
      </c>
      <c r="G546" s="69" t="n">
        <v>0</v>
      </c>
      <c r="H546" s="172" t="inlineStr">
        <is>
          <t>Não</t>
        </is>
      </c>
      <c r="I546" s="50" t="n"/>
    </row>
    <row r="547">
      <c r="A547" s="40" t="inlineStr">
        <is>
          <t>009320</t>
        </is>
      </c>
      <c r="B547" s="41" t="inlineStr">
        <is>
          <t>CAIXA PVC EMBUTIR 4X2 AMARELA DRYWALL</t>
        </is>
      </c>
      <c r="C547" s="42" t="inlineStr">
        <is>
          <t>MC</t>
        </is>
      </c>
      <c r="D547" s="42" t="inlineStr">
        <is>
          <t>UN</t>
        </is>
      </c>
      <c r="E547" s="42" t="inlineStr">
        <is>
          <t>0132</t>
        </is>
      </c>
      <c r="F547" s="70" t="inlineStr">
        <is>
          <t>Compras</t>
        </is>
      </c>
      <c r="G547" s="71" t="n">
        <v>4.88</v>
      </c>
      <c r="H547" s="172" t="inlineStr">
        <is>
          <t>Não</t>
        </is>
      </c>
      <c r="I547" s="49" t="n"/>
    </row>
    <row r="548">
      <c r="A548" s="43" t="inlineStr">
        <is>
          <t>009705</t>
        </is>
      </c>
      <c r="B548" s="44" t="inlineStr">
        <is>
          <t>CAIXA REGISTRADORA GAVETA DE DINHEIRO</t>
        </is>
      </c>
      <c r="C548" s="45" t="inlineStr">
        <is>
          <t>MC</t>
        </is>
      </c>
      <c r="D548" s="45" t="inlineStr">
        <is>
          <t>UN</t>
        </is>
      </c>
      <c r="E548" s="45" t="inlineStr">
        <is>
          <t>0132</t>
        </is>
      </c>
      <c r="F548" s="70" t="inlineStr">
        <is>
          <t>Compras</t>
        </is>
      </c>
      <c r="G548" s="69" t="n">
        <v>0</v>
      </c>
      <c r="H548" s="172" t="inlineStr">
        <is>
          <t>Não</t>
        </is>
      </c>
      <c r="I548" s="50" t="n"/>
    </row>
    <row r="549">
      <c r="A549" s="40" t="inlineStr">
        <is>
          <t>000679</t>
        </is>
      </c>
      <c r="B549" s="41" t="inlineStr">
        <is>
          <t>CAIXA TERMICA COOLER</t>
        </is>
      </c>
      <c r="C549" s="42" t="inlineStr">
        <is>
          <t>MC</t>
        </is>
      </c>
      <c r="D549" s="42" t="inlineStr">
        <is>
          <t>UN</t>
        </is>
      </c>
      <c r="E549" s="42" t="inlineStr">
        <is>
          <t>0145</t>
        </is>
      </c>
      <c r="F549" s="70" t="inlineStr">
        <is>
          <t>Compras</t>
        </is>
      </c>
      <c r="G549" s="68" t="n">
        <v>0</v>
      </c>
      <c r="H549" s="172" t="inlineStr">
        <is>
          <t>Não</t>
        </is>
      </c>
      <c r="I549" s="49" t="n"/>
    </row>
    <row r="550">
      <c r="A550" s="43" t="inlineStr">
        <is>
          <t>009354</t>
        </is>
      </c>
      <c r="B550" s="44" t="inlineStr">
        <is>
          <t>CAIXINHA DE EMBUTIR 4X2 AMARELA</t>
        </is>
      </c>
      <c r="C550" s="45" t="inlineStr">
        <is>
          <t>MC</t>
        </is>
      </c>
      <c r="D550" s="45" t="inlineStr">
        <is>
          <t>UN</t>
        </is>
      </c>
      <c r="E550" s="45" t="inlineStr">
        <is>
          <t>0132</t>
        </is>
      </c>
      <c r="F550" s="70" t="inlineStr">
        <is>
          <t>Compras</t>
        </is>
      </c>
      <c r="G550" s="69" t="n">
        <v>0</v>
      </c>
      <c r="H550" s="172" t="inlineStr">
        <is>
          <t>Não</t>
        </is>
      </c>
      <c r="I550" s="50" t="n"/>
    </row>
    <row r="551">
      <c r="A551" s="40" t="inlineStr">
        <is>
          <t>001952</t>
        </is>
      </c>
      <c r="B551" s="41" t="inlineStr">
        <is>
          <t>CAJU AMIGO</t>
        </is>
      </c>
      <c r="C551" s="42" t="inlineStr">
        <is>
          <t>PA</t>
        </is>
      </c>
      <c r="D551" s="42" t="inlineStr">
        <is>
          <t>UN</t>
        </is>
      </c>
      <c r="E551" s="42" t="inlineStr">
        <is>
          <t>0119</t>
        </is>
      </c>
      <c r="F551" s="65" t="inlineStr">
        <is>
          <t>Venda</t>
        </is>
      </c>
      <c r="G551" s="68" t="n">
        <v>0</v>
      </c>
      <c r="H551" s="172" t="inlineStr">
        <is>
          <t>Não</t>
        </is>
      </c>
      <c r="I551" s="47" t="inlineStr">
        <is>
          <t>78989056877230</t>
        </is>
      </c>
    </row>
    <row r="552">
      <c r="A552" s="43" t="inlineStr">
        <is>
          <t>001923</t>
        </is>
      </c>
      <c r="B552" s="44" t="inlineStr">
        <is>
          <t>CAJU AMIGO 750 ML APTK</t>
        </is>
      </c>
      <c r="C552" s="45" t="inlineStr">
        <is>
          <t>ME</t>
        </is>
      </c>
      <c r="D552" s="45" t="inlineStr">
        <is>
          <t>LT</t>
        </is>
      </c>
      <c r="E552" s="45" t="inlineStr">
        <is>
          <t>0138</t>
        </is>
      </c>
      <c r="F552" s="70" t="inlineStr">
        <is>
          <t>Compras</t>
        </is>
      </c>
      <c r="G552" s="66" t="n">
        <v>77.33329999999999</v>
      </c>
      <c r="H552" s="172" t="inlineStr">
        <is>
          <t>Não</t>
        </is>
      </c>
      <c r="I552" s="50" t="n"/>
    </row>
    <row r="553">
      <c r="A553" s="40" t="inlineStr">
        <is>
          <t>000021</t>
        </is>
      </c>
      <c r="B553" s="41" t="inlineStr">
        <is>
          <t>CALABRESA C/ PIMENTA</t>
        </is>
      </c>
      <c r="C553" s="42" t="inlineStr">
        <is>
          <t>PA</t>
        </is>
      </c>
      <c r="D553" s="42" t="inlineStr">
        <is>
          <t>UN</t>
        </is>
      </c>
      <c r="E553" s="42" t="inlineStr">
        <is>
          <t>0098</t>
        </is>
      </c>
      <c r="F553" s="65" t="inlineStr">
        <is>
          <t>Venda</t>
        </is>
      </c>
      <c r="G553" s="68" t="n">
        <v>0</v>
      </c>
      <c r="H553" s="172" t="inlineStr">
        <is>
          <t>Não</t>
        </is>
      </c>
      <c r="I553" s="47" t="inlineStr">
        <is>
          <t>10032</t>
        </is>
      </c>
    </row>
    <row r="554">
      <c r="A554" s="43" t="inlineStr">
        <is>
          <t>002191</t>
        </is>
      </c>
      <c r="B554" s="44" t="inlineStr">
        <is>
          <t>CALABRESA C/ PIMENTA  RUA</t>
        </is>
      </c>
      <c r="C554" s="45" t="inlineStr">
        <is>
          <t>PA</t>
        </is>
      </c>
      <c r="D554" s="45" t="inlineStr">
        <is>
          <t>UN</t>
        </is>
      </c>
      <c r="E554" s="45" t="inlineStr">
        <is>
          <t>0098</t>
        </is>
      </c>
      <c r="F554" s="65" t="inlineStr">
        <is>
          <t>Venda</t>
        </is>
      </c>
      <c r="G554" s="69" t="n">
        <v>0</v>
      </c>
      <c r="H554" s="172" t="inlineStr">
        <is>
          <t>Não</t>
        </is>
      </c>
      <c r="I554" s="48" t="inlineStr">
        <is>
          <t>78989056877343</t>
        </is>
      </c>
    </row>
    <row r="555">
      <c r="A555" s="40" t="inlineStr">
        <is>
          <t>000002</t>
        </is>
      </c>
      <c r="B555" s="41" t="inlineStr">
        <is>
          <t>CALABRESA C/ PIMENTA IN NATURA</t>
        </is>
      </c>
      <c r="C555" s="42" t="inlineStr">
        <is>
          <t>MR</t>
        </is>
      </c>
      <c r="D555" s="42" t="inlineStr">
        <is>
          <t>UN</t>
        </is>
      </c>
      <c r="E555" s="42" t="inlineStr">
        <is>
          <t>0098</t>
        </is>
      </c>
      <c r="F555" s="65" t="inlineStr">
        <is>
          <t>Venda</t>
        </is>
      </c>
      <c r="G555" s="68" t="n">
        <v>0</v>
      </c>
      <c r="H555" s="172" t="inlineStr">
        <is>
          <t>Não</t>
        </is>
      </c>
      <c r="I555" s="47" t="inlineStr">
        <is>
          <t>10002</t>
        </is>
      </c>
    </row>
    <row r="556">
      <c r="A556" s="43" t="inlineStr">
        <is>
          <t>000022</t>
        </is>
      </c>
      <c r="B556" s="44" t="inlineStr">
        <is>
          <t>CALABRESA S/ PIMENTA</t>
        </is>
      </c>
      <c r="C556" s="45" t="inlineStr">
        <is>
          <t>PA</t>
        </is>
      </c>
      <c r="D556" s="45" t="inlineStr">
        <is>
          <t>UN</t>
        </is>
      </c>
      <c r="E556" s="45" t="inlineStr">
        <is>
          <t>0098</t>
        </is>
      </c>
      <c r="F556" s="65" t="inlineStr">
        <is>
          <t>Venda</t>
        </is>
      </c>
      <c r="G556" s="69" t="n">
        <v>0</v>
      </c>
      <c r="H556" s="172" t="inlineStr">
        <is>
          <t>Não</t>
        </is>
      </c>
      <c r="I556" s="48" t="inlineStr">
        <is>
          <t>10033</t>
        </is>
      </c>
    </row>
    <row r="557">
      <c r="A557" s="40" t="inlineStr">
        <is>
          <t>002190</t>
        </is>
      </c>
      <c r="B557" s="41" t="inlineStr">
        <is>
          <t>CALABRESA S/ PIMENTA  RUA</t>
        </is>
      </c>
      <c r="C557" s="42" t="inlineStr">
        <is>
          <t>PA</t>
        </is>
      </c>
      <c r="D557" s="42" t="inlineStr">
        <is>
          <t>UN</t>
        </is>
      </c>
      <c r="E557" s="42" t="inlineStr">
        <is>
          <t>0098</t>
        </is>
      </c>
      <c r="F557" s="65" t="inlineStr">
        <is>
          <t>Venda</t>
        </is>
      </c>
      <c r="G557" s="68" t="n">
        <v>0</v>
      </c>
      <c r="H557" s="172" t="inlineStr">
        <is>
          <t>Não</t>
        </is>
      </c>
      <c r="I557" s="47" t="inlineStr">
        <is>
          <t>78989056877342</t>
        </is>
      </c>
    </row>
    <row r="558">
      <c r="A558" s="43" t="inlineStr">
        <is>
          <t>000003</t>
        </is>
      </c>
      <c r="B558" s="44" t="inlineStr">
        <is>
          <t>CALABRESA S/ PIMENTA IN NATURA</t>
        </is>
      </c>
      <c r="C558" s="45" t="inlineStr">
        <is>
          <t>MR</t>
        </is>
      </c>
      <c r="D558" s="45" t="inlineStr">
        <is>
          <t>UN</t>
        </is>
      </c>
      <c r="E558" s="45" t="inlineStr">
        <is>
          <t>0098</t>
        </is>
      </c>
      <c r="F558" s="65" t="inlineStr">
        <is>
          <t>Venda</t>
        </is>
      </c>
      <c r="G558" s="69" t="n">
        <v>0</v>
      </c>
      <c r="H558" s="172" t="inlineStr">
        <is>
          <t>Não</t>
        </is>
      </c>
      <c r="I558" s="48" t="inlineStr">
        <is>
          <t>10003</t>
        </is>
      </c>
    </row>
    <row r="559">
      <c r="A559" s="40" t="inlineStr">
        <is>
          <t>000183</t>
        </is>
      </c>
      <c r="B559" s="41" t="inlineStr">
        <is>
          <t>CALCAS BRANCA COPA E  COZINHA</t>
        </is>
      </c>
      <c r="C559" s="42" t="inlineStr">
        <is>
          <t>MC</t>
        </is>
      </c>
      <c r="D559" s="42" t="inlineStr">
        <is>
          <t>UN</t>
        </is>
      </c>
      <c r="E559" s="42" t="inlineStr">
        <is>
          <t>0017</t>
        </is>
      </c>
      <c r="F559" s="70" t="inlineStr">
        <is>
          <t>Compras</t>
        </is>
      </c>
      <c r="G559" s="68" t="n">
        <v>0</v>
      </c>
      <c r="H559" s="172" t="inlineStr">
        <is>
          <t>Não</t>
        </is>
      </c>
      <c r="I559" s="49" t="n"/>
    </row>
    <row r="560">
      <c r="A560" s="43" t="inlineStr">
        <is>
          <t>000184</t>
        </is>
      </c>
      <c r="B560" s="44" t="inlineStr">
        <is>
          <t>CALCAS XADREZ CHURRASQUEIRA</t>
        </is>
      </c>
      <c r="C560" s="45" t="inlineStr">
        <is>
          <t>MC</t>
        </is>
      </c>
      <c r="D560" s="45" t="inlineStr">
        <is>
          <t>UN</t>
        </is>
      </c>
      <c r="E560" s="45" t="inlineStr">
        <is>
          <t>0017</t>
        </is>
      </c>
      <c r="F560" s="70" t="inlineStr">
        <is>
          <t>Compras</t>
        </is>
      </c>
      <c r="G560" s="66" t="n">
        <v>48.9</v>
      </c>
      <c r="H560" s="172" t="inlineStr">
        <is>
          <t>Não</t>
        </is>
      </c>
      <c r="I560" s="50" t="n"/>
    </row>
    <row r="561">
      <c r="A561" s="40" t="inlineStr">
        <is>
          <t>000152</t>
        </is>
      </c>
      <c r="B561" s="41" t="inlineStr">
        <is>
          <t>CALCULADORA DE MESA</t>
        </is>
      </c>
      <c r="C561" s="42" t="inlineStr">
        <is>
          <t>MC</t>
        </is>
      </c>
      <c r="D561" s="42" t="inlineStr">
        <is>
          <t>UN</t>
        </is>
      </c>
      <c r="E561" s="42" t="inlineStr">
        <is>
          <t>0001</t>
        </is>
      </c>
      <c r="F561" s="70" t="inlineStr">
        <is>
          <t>Compras</t>
        </is>
      </c>
      <c r="G561" s="71" t="n">
        <v>28.89</v>
      </c>
      <c r="H561" s="172" t="inlineStr">
        <is>
          <t>Não</t>
        </is>
      </c>
      <c r="I561" s="49" t="n"/>
    </row>
    <row r="562">
      <c r="A562" s="43" t="inlineStr">
        <is>
          <t>000382</t>
        </is>
      </c>
      <c r="B562" s="44" t="inlineStr">
        <is>
          <t>CALDO DE CARNE 1KG</t>
        </is>
      </c>
      <c r="C562" s="45" t="inlineStr">
        <is>
          <t>MP</t>
        </is>
      </c>
      <c r="D562" s="45" t="inlineStr">
        <is>
          <t>KG</t>
        </is>
      </c>
      <c r="E562" s="45" t="inlineStr">
        <is>
          <t>0029</t>
        </is>
      </c>
      <c r="F562" s="70" t="inlineStr">
        <is>
          <t>Compras</t>
        </is>
      </c>
      <c r="G562" s="66" t="n">
        <v>11.0099</v>
      </c>
      <c r="H562" s="172" t="inlineStr">
        <is>
          <t>Não</t>
        </is>
      </c>
      <c r="I562" s="50" t="n"/>
    </row>
    <row r="563">
      <c r="A563" s="40" t="inlineStr">
        <is>
          <t>001340</t>
        </is>
      </c>
      <c r="B563" s="41" t="inlineStr">
        <is>
          <t>CALDO DE FEIJAO</t>
        </is>
      </c>
      <c r="C563" s="42" t="inlineStr">
        <is>
          <t>PA</t>
        </is>
      </c>
      <c r="D563" s="42" t="inlineStr">
        <is>
          <t>UN</t>
        </is>
      </c>
      <c r="E563" s="42" t="inlineStr">
        <is>
          <t>0106</t>
        </is>
      </c>
      <c r="F563" s="65" t="inlineStr">
        <is>
          <t>Venda</t>
        </is>
      </c>
      <c r="G563" s="68" t="n">
        <v>0</v>
      </c>
      <c r="H563" s="172" t="inlineStr">
        <is>
          <t>Não</t>
        </is>
      </c>
      <c r="I563" s="47" t="inlineStr">
        <is>
          <t>7898905687155</t>
        </is>
      </c>
    </row>
    <row r="564">
      <c r="A564" s="43" t="inlineStr">
        <is>
          <t>000383</t>
        </is>
      </c>
      <c r="B564" s="44" t="inlineStr">
        <is>
          <t>CALDO DE GALINHA 1KG</t>
        </is>
      </c>
      <c r="C564" s="45" t="inlineStr">
        <is>
          <t>MP</t>
        </is>
      </c>
      <c r="D564" s="45" t="inlineStr">
        <is>
          <t>KG</t>
        </is>
      </c>
      <c r="E564" s="45" t="inlineStr">
        <is>
          <t>0029</t>
        </is>
      </c>
      <c r="F564" s="70" t="inlineStr">
        <is>
          <t>Compras</t>
        </is>
      </c>
      <c r="G564" s="66" t="n">
        <v>11.1188</v>
      </c>
      <c r="H564" s="172" t="inlineStr">
        <is>
          <t>Não</t>
        </is>
      </c>
      <c r="I564" s="50" t="n"/>
    </row>
    <row r="565">
      <c r="A565" s="40" t="inlineStr">
        <is>
          <t>001341</t>
        </is>
      </c>
      <c r="B565" s="41" t="inlineStr">
        <is>
          <t>CALDO VERDE</t>
        </is>
      </c>
      <c r="C565" s="42" t="inlineStr">
        <is>
          <t>PA</t>
        </is>
      </c>
      <c r="D565" s="42" t="inlineStr">
        <is>
          <t>UN</t>
        </is>
      </c>
      <c r="E565" s="42" t="inlineStr">
        <is>
          <t>0106</t>
        </is>
      </c>
      <c r="F565" s="65" t="inlineStr">
        <is>
          <t>Venda</t>
        </is>
      </c>
      <c r="G565" s="68" t="n">
        <v>0</v>
      </c>
      <c r="H565" s="172" t="inlineStr">
        <is>
          <t>Não</t>
        </is>
      </c>
      <c r="I565" s="47" t="inlineStr">
        <is>
          <t>7898905687156</t>
        </is>
      </c>
    </row>
    <row r="566">
      <c r="A566" s="43" t="inlineStr">
        <is>
          <t>001806</t>
        </is>
      </c>
      <c r="B566" s="44" t="inlineStr">
        <is>
          <t>CAMARA CONGELADA</t>
        </is>
      </c>
      <c r="C566" s="45" t="inlineStr">
        <is>
          <t>AI</t>
        </is>
      </c>
      <c r="D566" s="45" t="inlineStr">
        <is>
          <t>UN</t>
        </is>
      </c>
      <c r="E566" s="45" t="inlineStr">
        <is>
          <t>0002</t>
        </is>
      </c>
      <c r="F566" s="70" t="inlineStr">
        <is>
          <t>Compras</t>
        </is>
      </c>
      <c r="G566" s="66" t="n">
        <v>9000</v>
      </c>
      <c r="H566" s="172" t="inlineStr">
        <is>
          <t>Não</t>
        </is>
      </c>
      <c r="I566" s="50" t="n"/>
    </row>
    <row r="567">
      <c r="A567" s="40" t="inlineStr">
        <is>
          <t>001805</t>
        </is>
      </c>
      <c r="B567" s="41" t="inlineStr">
        <is>
          <t>CAMARA RESFRIADA</t>
        </is>
      </c>
      <c r="C567" s="42" t="inlineStr">
        <is>
          <t>AI</t>
        </is>
      </c>
      <c r="D567" s="42" t="inlineStr">
        <is>
          <t>UN</t>
        </is>
      </c>
      <c r="E567" s="42" t="inlineStr">
        <is>
          <t>0002</t>
        </is>
      </c>
      <c r="F567" s="70" t="inlineStr">
        <is>
          <t>Compras</t>
        </is>
      </c>
      <c r="G567" s="71" t="n">
        <v>8100</v>
      </c>
      <c r="H567" s="172" t="inlineStr">
        <is>
          <t>Não</t>
        </is>
      </c>
      <c r="I567" s="49" t="n"/>
    </row>
    <row r="568">
      <c r="A568" s="43" t="inlineStr">
        <is>
          <t>000364</t>
        </is>
      </c>
      <c r="B568" s="44" t="inlineStr">
        <is>
          <t>CAMARAO BRASA</t>
        </is>
      </c>
      <c r="C568" s="45" t="inlineStr">
        <is>
          <t>PA</t>
        </is>
      </c>
      <c r="D568" s="45" t="inlineStr">
        <is>
          <t>UN</t>
        </is>
      </c>
      <c r="E568" s="45" t="inlineStr">
        <is>
          <t>0109</t>
        </is>
      </c>
      <c r="F568" s="65" t="inlineStr">
        <is>
          <t>Venda</t>
        </is>
      </c>
      <c r="G568" s="69" t="n">
        <v>0</v>
      </c>
      <c r="H568" s="172" t="inlineStr">
        <is>
          <t>Não</t>
        </is>
      </c>
      <c r="I568" s="48" t="inlineStr">
        <is>
          <t>40001</t>
        </is>
      </c>
    </row>
    <row r="569">
      <c r="A569" s="40" t="inlineStr">
        <is>
          <t>000017</t>
        </is>
      </c>
      <c r="B569" s="41" t="inlineStr">
        <is>
          <t>CAMARAO IN NATURA</t>
        </is>
      </c>
      <c r="C569" s="42" t="inlineStr">
        <is>
          <t>MR</t>
        </is>
      </c>
      <c r="D569" s="42" t="inlineStr">
        <is>
          <t>UN</t>
        </is>
      </c>
      <c r="E569" s="42" t="inlineStr">
        <is>
          <t>0109</t>
        </is>
      </c>
      <c r="F569" s="65" t="inlineStr">
        <is>
          <t>Venda</t>
        </is>
      </c>
      <c r="G569" s="68" t="n">
        <v>0</v>
      </c>
      <c r="H569" s="172" t="inlineStr">
        <is>
          <t>Não</t>
        </is>
      </c>
      <c r="I569" s="47" t="inlineStr">
        <is>
          <t>10021</t>
        </is>
      </c>
    </row>
    <row r="570">
      <c r="A570" s="43" t="inlineStr">
        <is>
          <t>010086</t>
        </is>
      </c>
      <c r="B570" s="44" t="inlineStr">
        <is>
          <t>CAMAROTE PLUG TICKETS</t>
        </is>
      </c>
      <c r="C570" s="45" t="inlineStr">
        <is>
          <t>MR</t>
        </is>
      </c>
      <c r="D570" s="45" t="inlineStr">
        <is>
          <t>UN</t>
        </is>
      </c>
      <c r="E570" s="45" t="inlineStr">
        <is>
          <t>0128</t>
        </is>
      </c>
      <c r="F570" s="65" t="inlineStr">
        <is>
          <t>Venda</t>
        </is>
      </c>
      <c r="G570" s="69" t="n">
        <v>0</v>
      </c>
      <c r="H570" s="172" t="inlineStr">
        <is>
          <t>Não</t>
        </is>
      </c>
      <c r="I570" s="48" t="inlineStr">
        <is>
          <t>7898905687168</t>
        </is>
      </c>
    </row>
    <row r="571">
      <c r="A571" s="40" t="inlineStr">
        <is>
          <t>000742</t>
        </is>
      </c>
      <c r="B571" s="41" t="inlineStr">
        <is>
          <t>CAMERA  DE SEGURANCA</t>
        </is>
      </c>
      <c r="C571" s="42" t="inlineStr">
        <is>
          <t>AI</t>
        </is>
      </c>
      <c r="D571" s="42" t="inlineStr">
        <is>
          <t>UN</t>
        </is>
      </c>
      <c r="E571" s="42" t="inlineStr">
        <is>
          <t>0010</t>
        </is>
      </c>
      <c r="F571" s="70" t="inlineStr">
        <is>
          <t>Compras</t>
        </is>
      </c>
      <c r="G571" s="71" t="n">
        <v>229.9</v>
      </c>
      <c r="H571" s="172" t="inlineStr">
        <is>
          <t>Não</t>
        </is>
      </c>
      <c r="I571" s="49" t="n"/>
    </row>
    <row r="572">
      <c r="A572" s="43" t="inlineStr">
        <is>
          <t>009701</t>
        </is>
      </c>
      <c r="B572" s="44" t="inlineStr">
        <is>
          <t>CAMERA DE SEGURANCA VIP 1230 B G5</t>
        </is>
      </c>
      <c r="C572" s="45" t="inlineStr">
        <is>
          <t>MC</t>
        </is>
      </c>
      <c r="D572" s="45" t="inlineStr">
        <is>
          <t>UN</t>
        </is>
      </c>
      <c r="E572" s="45" t="inlineStr">
        <is>
          <t>0132</t>
        </is>
      </c>
      <c r="F572" s="70" t="inlineStr">
        <is>
          <t>Compras</t>
        </is>
      </c>
      <c r="G572" s="66" t="n">
        <v>310</v>
      </c>
      <c r="H572" s="172" t="inlineStr">
        <is>
          <t>Não</t>
        </is>
      </c>
      <c r="I572" s="50" t="n"/>
    </row>
    <row r="573">
      <c r="A573" s="40" t="inlineStr">
        <is>
          <t>009702</t>
        </is>
      </c>
      <c r="B573" s="41" t="inlineStr">
        <is>
          <t>CAMERA DE SEGURANCA VIP 1230 D G5</t>
        </is>
      </c>
      <c r="C573" s="42" t="inlineStr">
        <is>
          <t>MC</t>
        </is>
      </c>
      <c r="D573" s="42" t="inlineStr">
        <is>
          <t>UN</t>
        </is>
      </c>
      <c r="E573" s="42" t="inlineStr">
        <is>
          <t>0132</t>
        </is>
      </c>
      <c r="F573" s="70" t="inlineStr">
        <is>
          <t>Compras</t>
        </is>
      </c>
      <c r="G573" s="71" t="n">
        <v>305</v>
      </c>
      <c r="H573" s="172" t="inlineStr">
        <is>
          <t>Não</t>
        </is>
      </c>
      <c r="I573" s="49" t="n"/>
    </row>
    <row r="574">
      <c r="A574" s="43" t="inlineStr">
        <is>
          <t>009703</t>
        </is>
      </c>
      <c r="B574" s="44" t="inlineStr">
        <is>
          <t>CAMERA DE SEGURANCA VIP 3230 B SL G3</t>
        </is>
      </c>
      <c r="C574" s="45" t="inlineStr">
        <is>
          <t>MC</t>
        </is>
      </c>
      <c r="D574" s="45" t="inlineStr">
        <is>
          <t>UN</t>
        </is>
      </c>
      <c r="E574" s="45" t="inlineStr">
        <is>
          <t>0132</t>
        </is>
      </c>
      <c r="F574" s="70" t="inlineStr">
        <is>
          <t>Compras</t>
        </is>
      </c>
      <c r="G574" s="66" t="n">
        <v>715</v>
      </c>
      <c r="H574" s="172" t="inlineStr">
        <is>
          <t>Não</t>
        </is>
      </c>
      <c r="I574" s="50" t="n"/>
    </row>
    <row r="575">
      <c r="A575" s="40" t="inlineStr">
        <is>
          <t>000186</t>
        </is>
      </c>
      <c r="B575" s="41" t="inlineStr">
        <is>
          <t>CAMISA CAIXA-COM LOGO FRENTE Q</t>
        </is>
      </c>
      <c r="C575" s="42" t="inlineStr">
        <is>
          <t>MC</t>
        </is>
      </c>
      <c r="D575" s="42" t="inlineStr">
        <is>
          <t>UN</t>
        </is>
      </c>
      <c r="E575" s="42" t="inlineStr">
        <is>
          <t>0017</t>
        </is>
      </c>
      <c r="F575" s="70" t="inlineStr">
        <is>
          <t>Compras</t>
        </is>
      </c>
      <c r="G575" s="71" t="n">
        <v>41.9</v>
      </c>
      <c r="H575" s="172" t="inlineStr">
        <is>
          <t>Não</t>
        </is>
      </c>
      <c r="I575" s="49" t="n"/>
    </row>
    <row r="576">
      <c r="A576" s="43" t="inlineStr">
        <is>
          <t>001083</t>
        </is>
      </c>
      <c r="B576" s="44" t="inlineStr">
        <is>
          <t>CAMISA MANGA LONGA</t>
        </is>
      </c>
      <c r="C576" s="45" t="inlineStr">
        <is>
          <t>MC</t>
        </is>
      </c>
      <c r="D576" s="45" t="inlineStr">
        <is>
          <t>UN</t>
        </is>
      </c>
      <c r="E576" s="45" t="inlineStr">
        <is>
          <t>0017</t>
        </is>
      </c>
      <c r="F576" s="70" t="inlineStr">
        <is>
          <t>Compras</t>
        </is>
      </c>
      <c r="G576" s="69" t="n">
        <v>0</v>
      </c>
      <c r="H576" s="172" t="inlineStr">
        <is>
          <t>Não</t>
        </is>
      </c>
      <c r="I576" s="50" t="n"/>
    </row>
    <row r="577">
      <c r="A577" s="40" t="inlineStr">
        <is>
          <t>000187</t>
        </is>
      </c>
      <c r="B577" s="41" t="inlineStr">
        <is>
          <t>CAMISA RECEPCAO-COM LOGO FRENT</t>
        </is>
      </c>
      <c r="C577" s="42" t="inlineStr">
        <is>
          <t>MC</t>
        </is>
      </c>
      <c r="D577" s="42" t="inlineStr">
        <is>
          <t>UN</t>
        </is>
      </c>
      <c r="E577" s="42" t="inlineStr">
        <is>
          <t>0017</t>
        </is>
      </c>
      <c r="F577" s="70" t="inlineStr">
        <is>
          <t>Compras</t>
        </is>
      </c>
      <c r="G577" s="68" t="n">
        <v>0</v>
      </c>
      <c r="H577" s="172" t="inlineStr">
        <is>
          <t>Não</t>
        </is>
      </c>
      <c r="I577" s="49" t="n"/>
    </row>
    <row r="578">
      <c r="A578" s="43" t="inlineStr">
        <is>
          <t>001165</t>
        </is>
      </c>
      <c r="B578" s="44" t="inlineStr">
        <is>
          <t>CAMISETA BASICA EM PV</t>
        </is>
      </c>
      <c r="C578" s="45" t="inlineStr">
        <is>
          <t>MC</t>
        </is>
      </c>
      <c r="D578" s="45" t="inlineStr">
        <is>
          <t>UN</t>
        </is>
      </c>
      <c r="E578" s="45" t="inlineStr">
        <is>
          <t>0017</t>
        </is>
      </c>
      <c r="F578" s="70" t="inlineStr">
        <is>
          <t>Compras</t>
        </is>
      </c>
      <c r="G578" s="66" t="n">
        <v>29.9</v>
      </c>
      <c r="H578" s="172" t="inlineStr">
        <is>
          <t>Não</t>
        </is>
      </c>
      <c r="I578" s="50" t="n"/>
    </row>
    <row r="579">
      <c r="A579" s="40" t="inlineStr">
        <is>
          <t>010209</t>
        </is>
      </c>
      <c r="B579" s="41" t="inlineStr">
        <is>
          <t>CAMISETA POLIAMIDA MASCULINA</t>
        </is>
      </c>
      <c r="C579" s="42" t="inlineStr">
        <is>
          <t>MC</t>
        </is>
      </c>
      <c r="D579" s="42" t="inlineStr">
        <is>
          <t>UN</t>
        </is>
      </c>
      <c r="E579" s="42" t="inlineStr">
        <is>
          <t>0017</t>
        </is>
      </c>
      <c r="F579" s="70" t="inlineStr">
        <is>
          <t>Compras</t>
        </is>
      </c>
      <c r="G579" s="68" t="n">
        <v>22.99</v>
      </c>
      <c r="H579" s="172" t="inlineStr">
        <is>
          <t>Não</t>
        </is>
      </c>
      <c r="I579" s="49" t="n"/>
    </row>
    <row r="580">
      <c r="A580" s="43" t="inlineStr">
        <is>
          <t>001031</t>
        </is>
      </c>
      <c r="B580" s="44" t="inlineStr">
        <is>
          <t>CAMPARI DOSE</t>
        </is>
      </c>
      <c r="C580" s="45" t="inlineStr">
        <is>
          <t>PA</t>
        </is>
      </c>
      <c r="D580" s="45" t="inlineStr">
        <is>
          <t>UN</t>
        </is>
      </c>
      <c r="E580" s="45" t="inlineStr">
        <is>
          <t>0103</t>
        </is>
      </c>
      <c r="F580" s="65" t="inlineStr">
        <is>
          <t>Venda</t>
        </is>
      </c>
      <c r="G580" s="69" t="n">
        <v>0</v>
      </c>
      <c r="H580" s="172" t="inlineStr">
        <is>
          <t>Não</t>
        </is>
      </c>
      <c r="I580" s="48" t="inlineStr">
        <is>
          <t>61180</t>
        </is>
      </c>
    </row>
    <row r="581">
      <c r="A581" s="40" t="inlineStr">
        <is>
          <t>000942</t>
        </is>
      </c>
      <c r="B581" s="41" t="inlineStr">
        <is>
          <t>CAMPARI GARRAFA</t>
        </is>
      </c>
      <c r="C581" s="42" t="inlineStr">
        <is>
          <t>MR</t>
        </is>
      </c>
      <c r="D581" s="42" t="inlineStr">
        <is>
          <t>UN</t>
        </is>
      </c>
      <c r="E581" s="42" t="inlineStr">
        <is>
          <t>0030</t>
        </is>
      </c>
      <c r="F581" s="65" t="inlineStr">
        <is>
          <t>Venda</t>
        </is>
      </c>
      <c r="G581" s="68" t="n">
        <v>0</v>
      </c>
      <c r="H581" s="172" t="inlineStr">
        <is>
          <t>Não</t>
        </is>
      </c>
      <c r="I581" s="47" t="inlineStr">
        <is>
          <t>9003147</t>
        </is>
      </c>
    </row>
    <row r="582">
      <c r="A582" s="43" t="inlineStr">
        <is>
          <t>009875</t>
        </is>
      </c>
      <c r="B582" s="44" t="inlineStr">
        <is>
          <t>CANALETA 20X10X2M PVC</t>
        </is>
      </c>
      <c r="C582" s="45" t="inlineStr">
        <is>
          <t>MC</t>
        </is>
      </c>
      <c r="D582" s="45" t="inlineStr">
        <is>
          <t>UN</t>
        </is>
      </c>
      <c r="E582" s="45" t="inlineStr">
        <is>
          <t>0132</t>
        </is>
      </c>
      <c r="F582" s="70" t="inlineStr">
        <is>
          <t>Compras</t>
        </is>
      </c>
      <c r="G582" s="66" t="n">
        <v>10</v>
      </c>
      <c r="H582" s="172" t="inlineStr">
        <is>
          <t>Não</t>
        </is>
      </c>
      <c r="I582" s="50" t="n"/>
    </row>
    <row r="583">
      <c r="A583" s="40" t="inlineStr">
        <is>
          <t>010274</t>
        </is>
      </c>
      <c r="B583" s="41" t="inlineStr">
        <is>
          <t>CANALETA DE CONCRETO 14X19X39</t>
        </is>
      </c>
      <c r="C583" s="42" t="inlineStr">
        <is>
          <t>MC</t>
        </is>
      </c>
      <c r="D583" s="42" t="inlineStr">
        <is>
          <t>UN</t>
        </is>
      </c>
      <c r="E583" s="42" t="inlineStr">
        <is>
          <t>0132</t>
        </is>
      </c>
      <c r="F583" s="70" t="inlineStr">
        <is>
          <t>Compras</t>
        </is>
      </c>
      <c r="G583" s="71" t="n">
        <v>9</v>
      </c>
      <c r="H583" s="172" t="inlineStr">
        <is>
          <t>Não</t>
        </is>
      </c>
      <c r="I583" s="49" t="n"/>
    </row>
    <row r="584">
      <c r="A584" s="43" t="inlineStr">
        <is>
          <t>009646</t>
        </is>
      </c>
      <c r="B584" s="44" t="inlineStr">
        <is>
          <t>CANALETA PARA DRYWALL F530</t>
        </is>
      </c>
      <c r="C584" s="45" t="inlineStr">
        <is>
          <t>MC</t>
        </is>
      </c>
      <c r="D584" s="45" t="inlineStr">
        <is>
          <t>UN</t>
        </is>
      </c>
      <c r="E584" s="45" t="inlineStr">
        <is>
          <t>0132</t>
        </is>
      </c>
      <c r="F584" s="70" t="inlineStr">
        <is>
          <t>Compras</t>
        </is>
      </c>
      <c r="G584" s="66" t="n">
        <v>15.9</v>
      </c>
      <c r="H584" s="172" t="inlineStr">
        <is>
          <t>Não</t>
        </is>
      </c>
      <c r="I584" s="50" t="n"/>
    </row>
    <row r="585">
      <c r="A585" s="40" t="inlineStr">
        <is>
          <t>009583</t>
        </is>
      </c>
      <c r="B585" s="41" t="inlineStr">
        <is>
          <t>CANALETA PARA PISO 2 MT</t>
        </is>
      </c>
      <c r="C585" s="42" t="inlineStr">
        <is>
          <t>MC</t>
        </is>
      </c>
      <c r="D585" s="42" t="inlineStr">
        <is>
          <t>UN</t>
        </is>
      </c>
      <c r="E585" s="42" t="inlineStr">
        <is>
          <t>0132</t>
        </is>
      </c>
      <c r="F585" s="70" t="inlineStr">
        <is>
          <t>Compras</t>
        </is>
      </c>
      <c r="G585" s="71" t="n">
        <v>59.9</v>
      </c>
      <c r="H585" s="172" t="inlineStr">
        <is>
          <t>Não</t>
        </is>
      </c>
      <c r="I585" s="49" t="n"/>
    </row>
    <row r="586">
      <c r="A586" s="43" t="inlineStr">
        <is>
          <t>001945</t>
        </is>
      </c>
      <c r="B586" s="44" t="inlineStr">
        <is>
          <t>CANARINHO</t>
        </is>
      </c>
      <c r="C586" s="45" t="inlineStr">
        <is>
          <t>PA</t>
        </is>
      </c>
      <c r="D586" s="45" t="inlineStr">
        <is>
          <t>UN</t>
        </is>
      </c>
      <c r="E586" s="45" t="inlineStr">
        <is>
          <t>0119</t>
        </is>
      </c>
      <c r="F586" s="65" t="inlineStr">
        <is>
          <t>Venda</t>
        </is>
      </c>
      <c r="G586" s="69" t="n">
        <v>0</v>
      </c>
      <c r="H586" s="172" t="inlineStr">
        <is>
          <t>Não</t>
        </is>
      </c>
      <c r="I586" s="48" t="inlineStr">
        <is>
          <t>78989056877223</t>
        </is>
      </c>
    </row>
    <row r="587">
      <c r="A587" s="40" t="inlineStr">
        <is>
          <t>000730</t>
        </is>
      </c>
      <c r="B587" s="41" t="inlineStr">
        <is>
          <t>CANECA  MOSCOW MULE</t>
        </is>
      </c>
      <c r="C587" s="42" t="inlineStr">
        <is>
          <t>MC</t>
        </is>
      </c>
      <c r="D587" s="42" t="inlineStr">
        <is>
          <t>UN</t>
        </is>
      </c>
      <c r="E587" s="42" t="inlineStr">
        <is>
          <t>0079</t>
        </is>
      </c>
      <c r="F587" s="70" t="inlineStr">
        <is>
          <t>Compras</t>
        </is>
      </c>
      <c r="G587" s="71" t="n">
        <v>9.9</v>
      </c>
      <c r="H587" s="172" t="inlineStr">
        <is>
          <t>Não</t>
        </is>
      </c>
      <c r="I587" s="49" t="n"/>
    </row>
    <row r="588">
      <c r="A588" s="43" t="inlineStr">
        <is>
          <t>000523</t>
        </is>
      </c>
      <c r="B588" s="44" t="inlineStr">
        <is>
          <t>CANECA CHOPP 350 ML</t>
        </is>
      </c>
      <c r="C588" s="45" t="inlineStr">
        <is>
          <t>MC</t>
        </is>
      </c>
      <c r="D588" s="45" t="inlineStr">
        <is>
          <t>UN</t>
        </is>
      </c>
      <c r="E588" s="45" t="inlineStr">
        <is>
          <t>0079</t>
        </is>
      </c>
      <c r="F588" s="70" t="inlineStr">
        <is>
          <t>Compras</t>
        </is>
      </c>
      <c r="G588" s="66" t="n">
        <v>15.9</v>
      </c>
      <c r="H588" s="172" t="inlineStr">
        <is>
          <t>Não</t>
        </is>
      </c>
      <c r="I588" s="50" t="n"/>
    </row>
    <row r="589">
      <c r="A589" s="40" t="inlineStr">
        <is>
          <t>010094</t>
        </is>
      </c>
      <c r="B589" s="41" t="inlineStr">
        <is>
          <t>CANECA SHOPP 500 ML</t>
        </is>
      </c>
      <c r="C589" s="42" t="inlineStr">
        <is>
          <t>MR</t>
        </is>
      </c>
      <c r="D589" s="42" t="inlineStr">
        <is>
          <t>UN</t>
        </is>
      </c>
      <c r="E589" s="42" t="inlineStr">
        <is>
          <t>0093</t>
        </is>
      </c>
      <c r="F589" s="65" t="inlineStr">
        <is>
          <t>Venda</t>
        </is>
      </c>
      <c r="G589" s="68" t="n">
        <v>0</v>
      </c>
      <c r="H589" s="172" t="inlineStr">
        <is>
          <t>Não</t>
        </is>
      </c>
      <c r="I589" s="47" t="inlineStr">
        <is>
          <t>78989056877314</t>
        </is>
      </c>
    </row>
    <row r="590">
      <c r="A590" s="43" t="inlineStr">
        <is>
          <t>000632</t>
        </is>
      </c>
      <c r="B590" s="44" t="inlineStr">
        <is>
          <t>CANECA VINHO QUENTE</t>
        </is>
      </c>
      <c r="C590" s="45" t="inlineStr">
        <is>
          <t>MC</t>
        </is>
      </c>
      <c r="D590" s="45" t="inlineStr">
        <is>
          <t>UN</t>
        </is>
      </c>
      <c r="E590" s="45" t="inlineStr">
        <is>
          <t>0079</t>
        </is>
      </c>
      <c r="F590" s="70" t="inlineStr">
        <is>
          <t>Compras</t>
        </is>
      </c>
      <c r="G590" s="66" t="n">
        <v>4.7</v>
      </c>
      <c r="H590" s="172" t="inlineStr">
        <is>
          <t>Não</t>
        </is>
      </c>
      <c r="I590" s="50" t="n"/>
    </row>
    <row r="591">
      <c r="A591" s="40" t="inlineStr">
        <is>
          <t>000453</t>
        </is>
      </c>
      <c r="B591" s="41" t="inlineStr">
        <is>
          <t>CANELA EM PAU (4CM)</t>
        </is>
      </c>
      <c r="C591" s="42" t="inlineStr">
        <is>
          <t>MP</t>
        </is>
      </c>
      <c r="D591" s="42" t="inlineStr">
        <is>
          <t>KG</t>
        </is>
      </c>
      <c r="E591" s="42" t="inlineStr">
        <is>
          <t>0029</t>
        </is>
      </c>
      <c r="F591" s="70" t="inlineStr">
        <is>
          <t>Compras</t>
        </is>
      </c>
      <c r="G591" s="71" t="n">
        <v>53.65</v>
      </c>
      <c r="H591" s="172" t="inlineStr">
        <is>
          <t>Não</t>
        </is>
      </c>
      <c r="I591" s="49" t="n"/>
    </row>
    <row r="592">
      <c r="A592" s="43" t="inlineStr">
        <is>
          <t>000452</t>
        </is>
      </c>
      <c r="B592" s="44" t="inlineStr">
        <is>
          <t>CANELA EM PO</t>
        </is>
      </c>
      <c r="C592" s="45" t="inlineStr">
        <is>
          <t>MP</t>
        </is>
      </c>
      <c r="D592" s="45" t="inlineStr">
        <is>
          <t>KG</t>
        </is>
      </c>
      <c r="E592" s="45" t="inlineStr">
        <is>
          <t>0029</t>
        </is>
      </c>
      <c r="F592" s="70" t="inlineStr">
        <is>
          <t>Compras</t>
        </is>
      </c>
      <c r="G592" s="66" t="n">
        <v>31.9</v>
      </c>
      <c r="H592" s="172" t="inlineStr">
        <is>
          <t>Não</t>
        </is>
      </c>
      <c r="I592" s="50" t="n"/>
    </row>
    <row r="593">
      <c r="A593" s="40" t="inlineStr">
        <is>
          <t>000153</t>
        </is>
      </c>
      <c r="B593" s="41" t="inlineStr">
        <is>
          <t>CANETA ESFEROGRAFICA</t>
        </is>
      </c>
      <c r="C593" s="42" t="inlineStr">
        <is>
          <t>MC</t>
        </is>
      </c>
      <c r="D593" s="42" t="inlineStr">
        <is>
          <t>UN</t>
        </is>
      </c>
      <c r="E593" s="42" t="inlineStr">
        <is>
          <t>0001</t>
        </is>
      </c>
      <c r="F593" s="70" t="inlineStr">
        <is>
          <t>Compras</t>
        </is>
      </c>
      <c r="G593" s="71" t="n">
        <v>1.15</v>
      </c>
      <c r="H593" s="172" t="inlineStr">
        <is>
          <t>Não</t>
        </is>
      </c>
      <c r="I593" s="49" t="n"/>
    </row>
    <row r="594">
      <c r="A594" s="43" t="inlineStr">
        <is>
          <t>009546</t>
        </is>
      </c>
      <c r="B594" s="44" t="inlineStr">
        <is>
          <t>CANETINHA 24 CORES</t>
        </is>
      </c>
      <c r="C594" s="45" t="inlineStr">
        <is>
          <t>MC</t>
        </is>
      </c>
      <c r="D594" s="45" t="inlineStr">
        <is>
          <t>UN</t>
        </is>
      </c>
      <c r="E594" s="45" t="inlineStr">
        <is>
          <t>0134</t>
        </is>
      </c>
      <c r="F594" s="70" t="inlineStr">
        <is>
          <t>Compras</t>
        </is>
      </c>
      <c r="G594" s="69" t="n">
        <v>0</v>
      </c>
      <c r="H594" s="172" t="inlineStr">
        <is>
          <t>Não</t>
        </is>
      </c>
      <c r="I594" s="50" t="n"/>
    </row>
    <row r="595">
      <c r="A595" s="40" t="inlineStr">
        <is>
          <t>010238</t>
        </is>
      </c>
      <c r="B595" s="41" t="inlineStr">
        <is>
          <t>CANETINHAS HIDROGRAFICAS 60 CORES</t>
        </is>
      </c>
      <c r="C595" s="42" t="inlineStr">
        <is>
          <t>MC</t>
        </is>
      </c>
      <c r="D595" s="42" t="inlineStr">
        <is>
          <t>UN</t>
        </is>
      </c>
      <c r="E595" s="42" t="inlineStr">
        <is>
          <t>0134</t>
        </is>
      </c>
      <c r="F595" s="70" t="inlineStr">
        <is>
          <t>Compras</t>
        </is>
      </c>
      <c r="G595" s="68" t="n">
        <v>0</v>
      </c>
      <c r="H595" s="172" t="inlineStr">
        <is>
          <t>Não</t>
        </is>
      </c>
      <c r="I595" s="49" t="n"/>
    </row>
    <row r="596">
      <c r="A596" s="43" t="inlineStr">
        <is>
          <t>002011</t>
        </is>
      </c>
      <c r="B596" s="44" t="inlineStr">
        <is>
          <t>CANIVETE</t>
        </is>
      </c>
      <c r="C596" s="45" t="inlineStr">
        <is>
          <t>OI</t>
        </is>
      </c>
      <c r="D596" s="45" t="inlineStr">
        <is>
          <t>UN</t>
        </is>
      </c>
      <c r="E596" s="45" t="inlineStr">
        <is>
          <t>0107</t>
        </is>
      </c>
      <c r="F596" s="65" t="inlineStr">
        <is>
          <t>Venda</t>
        </is>
      </c>
      <c r="G596" s="69" t="n">
        <v>0</v>
      </c>
      <c r="H596" s="173" t="inlineStr">
        <is>
          <t>Sim</t>
        </is>
      </c>
      <c r="I596" s="50" t="n"/>
    </row>
    <row r="597">
      <c r="A597" s="40" t="inlineStr">
        <is>
          <t>001058</t>
        </is>
      </c>
      <c r="B597" s="41" t="inlineStr">
        <is>
          <t>CANIVETE CIMO 14/3INOX CB C/CL</t>
        </is>
      </c>
      <c r="C597" s="42" t="inlineStr">
        <is>
          <t>OI</t>
        </is>
      </c>
      <c r="D597" s="42" t="inlineStr">
        <is>
          <t>UN</t>
        </is>
      </c>
      <c r="E597" s="42" t="inlineStr">
        <is>
          <t>0107</t>
        </is>
      </c>
      <c r="F597" s="65" t="inlineStr">
        <is>
          <t>Venda</t>
        </is>
      </c>
      <c r="G597" s="68" t="n">
        <v>0</v>
      </c>
      <c r="H597" s="172" t="inlineStr">
        <is>
          <t>Não</t>
        </is>
      </c>
      <c r="I597" s="47" t="inlineStr">
        <is>
          <t>9003358</t>
        </is>
      </c>
    </row>
    <row r="598">
      <c r="A598" s="43" t="inlineStr">
        <is>
          <t>001216</t>
        </is>
      </c>
      <c r="B598" s="44" t="inlineStr">
        <is>
          <t>CANIVETE CIMO 143 INOX C/ CLIP</t>
        </is>
      </c>
      <c r="C598" s="45" t="inlineStr">
        <is>
          <t>OI</t>
        </is>
      </c>
      <c r="D598" s="45" t="inlineStr">
        <is>
          <t>UN</t>
        </is>
      </c>
      <c r="E598" s="45" t="inlineStr">
        <is>
          <t>0078</t>
        </is>
      </c>
      <c r="F598" s="65" t="inlineStr">
        <is>
          <t>Venda</t>
        </is>
      </c>
      <c r="G598" s="69" t="n">
        <v>0</v>
      </c>
      <c r="H598" s="172" t="inlineStr">
        <is>
          <t>Não</t>
        </is>
      </c>
      <c r="I598" s="48" t="inlineStr">
        <is>
          <t>9003563</t>
        </is>
      </c>
    </row>
    <row r="599">
      <c r="A599" s="40" t="inlineStr">
        <is>
          <t>002017</t>
        </is>
      </c>
      <c r="B599" s="41" t="inlineStr">
        <is>
          <t>CANJICA</t>
        </is>
      </c>
      <c r="C599" s="42" t="inlineStr">
        <is>
          <t>PA</t>
        </is>
      </c>
      <c r="D599" s="42" t="inlineStr">
        <is>
          <t>UN</t>
        </is>
      </c>
      <c r="E599" s="42" t="inlineStr">
        <is>
          <t>0031</t>
        </is>
      </c>
      <c r="F599" s="65" t="inlineStr">
        <is>
          <t>Venda</t>
        </is>
      </c>
      <c r="G599" s="68" t="n">
        <v>0</v>
      </c>
      <c r="H599" s="172" t="inlineStr">
        <is>
          <t>Não</t>
        </is>
      </c>
      <c r="I599" s="47" t="inlineStr">
        <is>
          <t>78989056877250</t>
        </is>
      </c>
    </row>
    <row r="600">
      <c r="A600" s="43" t="inlineStr">
        <is>
          <t>000636</t>
        </is>
      </c>
      <c r="B600" s="44" t="inlineStr">
        <is>
          <t>CANJICA AMARELA 500G</t>
        </is>
      </c>
      <c r="C600" s="45" t="inlineStr">
        <is>
          <t>MP</t>
        </is>
      </c>
      <c r="D600" s="45" t="inlineStr">
        <is>
          <t>UN</t>
        </is>
      </c>
      <c r="E600" s="45" t="inlineStr">
        <is>
          <t>0029</t>
        </is>
      </c>
      <c r="F600" s="70" t="inlineStr">
        <is>
          <t>Compras</t>
        </is>
      </c>
      <c r="G600" s="66" t="n">
        <v>10.4</v>
      </c>
      <c r="H600" s="172" t="inlineStr">
        <is>
          <t>Não</t>
        </is>
      </c>
      <c r="I600" s="50" t="n"/>
    </row>
    <row r="601">
      <c r="A601" s="40" t="inlineStr">
        <is>
          <t>009976</t>
        </is>
      </c>
      <c r="B601" s="41" t="inlineStr">
        <is>
          <t>CANO PCV 50MM 2 POLEGADAS</t>
        </is>
      </c>
      <c r="C601" s="42" t="inlineStr">
        <is>
          <t>MC</t>
        </is>
      </c>
      <c r="D601" s="42" t="inlineStr">
        <is>
          <t>UN</t>
        </is>
      </c>
      <c r="E601" s="42" t="inlineStr">
        <is>
          <t>0132</t>
        </is>
      </c>
      <c r="F601" s="70" t="inlineStr">
        <is>
          <t>Compras</t>
        </is>
      </c>
      <c r="G601" s="71" t="n">
        <v>18</v>
      </c>
      <c r="H601" s="172" t="inlineStr">
        <is>
          <t>Não</t>
        </is>
      </c>
      <c r="I601" s="49" t="n"/>
    </row>
    <row r="602">
      <c r="A602" s="43" t="inlineStr">
        <is>
          <t>010255</t>
        </is>
      </c>
      <c r="B602" s="44" t="inlineStr">
        <is>
          <t>CANO PVC 150MM 6''</t>
        </is>
      </c>
      <c r="C602" s="45" t="inlineStr">
        <is>
          <t>MC</t>
        </is>
      </c>
      <c r="D602" s="45" t="inlineStr">
        <is>
          <t>MT</t>
        </is>
      </c>
      <c r="E602" s="45" t="inlineStr">
        <is>
          <t>0132</t>
        </is>
      </c>
      <c r="F602" s="70" t="inlineStr">
        <is>
          <t>Compras</t>
        </is>
      </c>
      <c r="G602" s="66" t="n">
        <v>59</v>
      </c>
      <c r="H602" s="172" t="inlineStr">
        <is>
          <t>Não</t>
        </is>
      </c>
      <c r="I602" s="50" t="n"/>
    </row>
    <row r="603">
      <c r="A603" s="40" t="inlineStr">
        <is>
          <t>009693</t>
        </is>
      </c>
      <c r="B603" s="41" t="inlineStr">
        <is>
          <t>CANO PVC 25MM 3/4</t>
        </is>
      </c>
      <c r="C603" s="42" t="inlineStr">
        <is>
          <t>MC</t>
        </is>
      </c>
      <c r="D603" s="42" t="inlineStr">
        <is>
          <t>MT</t>
        </is>
      </c>
      <c r="E603" s="42" t="inlineStr">
        <is>
          <t>0132</t>
        </is>
      </c>
      <c r="F603" s="70" t="inlineStr">
        <is>
          <t>Compras</t>
        </is>
      </c>
      <c r="G603" s="71" t="n">
        <v>9.5</v>
      </c>
      <c r="H603" s="172" t="inlineStr">
        <is>
          <t>Não</t>
        </is>
      </c>
      <c r="I603" s="49" t="n"/>
    </row>
    <row r="604">
      <c r="A604" s="43" t="inlineStr">
        <is>
          <t>009923</t>
        </is>
      </c>
      <c r="B604" s="44" t="inlineStr">
        <is>
          <t>CANO PVC 40MM 1.1/2</t>
        </is>
      </c>
      <c r="C604" s="45" t="inlineStr">
        <is>
          <t>MC</t>
        </is>
      </c>
      <c r="D604" s="45" t="inlineStr">
        <is>
          <t>MT</t>
        </is>
      </c>
      <c r="E604" s="45" t="inlineStr">
        <is>
          <t>0132</t>
        </is>
      </c>
      <c r="F604" s="70" t="inlineStr">
        <is>
          <t>Compras</t>
        </is>
      </c>
      <c r="G604" s="66" t="n">
        <v>12.8</v>
      </c>
      <c r="H604" s="172" t="inlineStr">
        <is>
          <t>Não</t>
        </is>
      </c>
      <c r="I604" s="50" t="n"/>
    </row>
    <row r="605">
      <c r="A605" s="40" t="inlineStr">
        <is>
          <t>009648</t>
        </is>
      </c>
      <c r="B605" s="41" t="inlineStr">
        <is>
          <t>CANO PVC 75MM</t>
        </is>
      </c>
      <c r="C605" s="42" t="inlineStr">
        <is>
          <t>MC</t>
        </is>
      </c>
      <c r="D605" s="42" t="inlineStr">
        <is>
          <t>MT</t>
        </is>
      </c>
      <c r="E605" s="42" t="inlineStr">
        <is>
          <t>0132</t>
        </is>
      </c>
      <c r="F605" s="70" t="inlineStr">
        <is>
          <t>Compras</t>
        </is>
      </c>
      <c r="G605" s="68" t="n">
        <v>0</v>
      </c>
      <c r="H605" s="172" t="inlineStr">
        <is>
          <t>Não</t>
        </is>
      </c>
      <c r="I605" s="49" t="n"/>
    </row>
    <row r="606">
      <c r="A606" s="43" t="inlineStr">
        <is>
          <t>009356</t>
        </is>
      </c>
      <c r="B606" s="44" t="inlineStr">
        <is>
          <t>CANOPLA REDONDA COM NIPLE E REBAIXO</t>
        </is>
      </c>
      <c r="C606" s="45" t="inlineStr">
        <is>
          <t>MC</t>
        </is>
      </c>
      <c r="D606" s="45" t="inlineStr">
        <is>
          <t>UN</t>
        </is>
      </c>
      <c r="E606" s="45" t="inlineStr">
        <is>
          <t>0132</t>
        </is>
      </c>
      <c r="F606" s="70" t="inlineStr">
        <is>
          <t>Compras</t>
        </is>
      </c>
      <c r="G606" s="69" t="n">
        <v>0</v>
      </c>
      <c r="H606" s="172" t="inlineStr">
        <is>
          <t>Não</t>
        </is>
      </c>
      <c r="I606" s="50" t="n"/>
    </row>
    <row r="607">
      <c r="A607" s="40" t="inlineStr">
        <is>
          <t>010284</t>
        </is>
      </c>
      <c r="B607" s="41" t="inlineStr">
        <is>
          <t>CANTONEIRA 2.1/2" AÇO BICROMATIZADO COM 4 FUROS</t>
        </is>
      </c>
      <c r="C607" s="42" t="inlineStr">
        <is>
          <t>MC</t>
        </is>
      </c>
      <c r="D607" s="42" t="inlineStr">
        <is>
          <t>UN</t>
        </is>
      </c>
      <c r="E607" s="42" t="inlineStr">
        <is>
          <t>0132</t>
        </is>
      </c>
      <c r="F607" s="70" t="inlineStr">
        <is>
          <t>Compras</t>
        </is>
      </c>
      <c r="G607" s="68" t="n">
        <v>0</v>
      </c>
      <c r="H607" s="172" t="inlineStr">
        <is>
          <t>Não</t>
        </is>
      </c>
      <c r="I607" s="49" t="n"/>
    </row>
    <row r="608">
      <c r="A608" s="43" t="inlineStr">
        <is>
          <t>009588</t>
        </is>
      </c>
      <c r="B608" s="44" t="inlineStr">
        <is>
          <t>CANTONEIRA ALUMINIO 3MT</t>
        </is>
      </c>
      <c r="C608" s="45" t="inlineStr">
        <is>
          <t>MC</t>
        </is>
      </c>
      <c r="D608" s="45" t="inlineStr">
        <is>
          <t>UN</t>
        </is>
      </c>
      <c r="E608" s="45" t="inlineStr">
        <is>
          <t>0132</t>
        </is>
      </c>
      <c r="F608" s="70" t="inlineStr">
        <is>
          <t>Compras</t>
        </is>
      </c>
      <c r="G608" s="66" t="n">
        <v>38.9</v>
      </c>
      <c r="H608" s="172" t="inlineStr">
        <is>
          <t>Não</t>
        </is>
      </c>
      <c r="I608" s="50" t="n"/>
    </row>
    <row r="609">
      <c r="A609" s="40" t="inlineStr">
        <is>
          <t>009644</t>
        </is>
      </c>
      <c r="B609" s="41" t="inlineStr">
        <is>
          <t>CANTONEIRA PARA FORRO DE DRYWALL TABICA 3M</t>
        </is>
      </c>
      <c r="C609" s="42" t="inlineStr">
        <is>
          <t>MC</t>
        </is>
      </c>
      <c r="D609" s="42" t="inlineStr">
        <is>
          <t>UN</t>
        </is>
      </c>
      <c r="E609" s="42" t="inlineStr">
        <is>
          <t>0132</t>
        </is>
      </c>
      <c r="F609" s="70" t="inlineStr">
        <is>
          <t>Compras</t>
        </is>
      </c>
      <c r="G609" s="71" t="n">
        <v>18.483</v>
      </c>
      <c r="H609" s="172" t="inlineStr">
        <is>
          <t>Não</t>
        </is>
      </c>
      <c r="I609" s="49" t="n"/>
    </row>
    <row r="610">
      <c r="A610" s="43" t="inlineStr">
        <is>
          <t>000106</t>
        </is>
      </c>
      <c r="B610" s="44" t="inlineStr">
        <is>
          <t>CANUDO  FLEXIVEL EMBALADOS PCT COM 100 UND</t>
        </is>
      </c>
      <c r="C610" s="45" t="inlineStr">
        <is>
          <t>MC</t>
        </is>
      </c>
      <c r="D610" s="45" t="inlineStr">
        <is>
          <t>PC</t>
        </is>
      </c>
      <c r="E610" s="45" t="inlineStr">
        <is>
          <t>0075</t>
        </is>
      </c>
      <c r="F610" s="70" t="inlineStr">
        <is>
          <t>Compras</t>
        </is>
      </c>
      <c r="G610" s="66" t="n">
        <v>4.974</v>
      </c>
      <c r="H610" s="172" t="inlineStr">
        <is>
          <t>Não</t>
        </is>
      </c>
      <c r="I610" s="50" t="n"/>
    </row>
    <row r="611">
      <c r="A611" s="40" t="inlineStr">
        <is>
          <t>000216</t>
        </is>
      </c>
      <c r="B611" s="41" t="inlineStr">
        <is>
          <t>CANUDO MEXEDOR PARA DRINKS PCT 100UND</t>
        </is>
      </c>
      <c r="C611" s="42" t="inlineStr">
        <is>
          <t>MC</t>
        </is>
      </c>
      <c r="D611" s="42" t="inlineStr">
        <is>
          <t>PC</t>
        </is>
      </c>
      <c r="E611" s="42" t="inlineStr">
        <is>
          <t>0075</t>
        </is>
      </c>
      <c r="F611" s="70" t="inlineStr">
        <is>
          <t>Compras</t>
        </is>
      </c>
      <c r="G611" s="71" t="n">
        <v>11.998</v>
      </c>
      <c r="H611" s="172" t="inlineStr">
        <is>
          <t>Não</t>
        </is>
      </c>
      <c r="I611" s="49" t="n"/>
    </row>
    <row r="612">
      <c r="A612" s="43" t="inlineStr">
        <is>
          <t>009513</t>
        </is>
      </c>
      <c r="B612" s="44" t="inlineStr">
        <is>
          <t>CAPA CELULAR</t>
        </is>
      </c>
      <c r="C612" s="45" t="inlineStr">
        <is>
          <t>MC</t>
        </is>
      </c>
      <c r="D612" s="45" t="inlineStr">
        <is>
          <t>UN</t>
        </is>
      </c>
      <c r="E612" s="45" t="inlineStr">
        <is>
          <t>0001</t>
        </is>
      </c>
      <c r="F612" s="70" t="inlineStr">
        <is>
          <t>Compras</t>
        </is>
      </c>
      <c r="G612" s="69" t="n">
        <v>0</v>
      </c>
      <c r="H612" s="172" t="inlineStr">
        <is>
          <t>Não</t>
        </is>
      </c>
      <c r="I612" s="50" t="n"/>
    </row>
    <row r="613">
      <c r="A613" s="40" t="inlineStr">
        <is>
          <t>002066</t>
        </is>
      </c>
      <c r="B613" s="41" t="inlineStr">
        <is>
          <t>CAPA NOTEBOOK</t>
        </is>
      </c>
      <c r="C613" s="42" t="inlineStr">
        <is>
          <t>MC</t>
        </is>
      </c>
      <c r="D613" s="42" t="inlineStr">
        <is>
          <t>UN</t>
        </is>
      </c>
      <c r="E613" s="42" t="inlineStr">
        <is>
          <t>0001</t>
        </is>
      </c>
      <c r="F613" s="70" t="inlineStr">
        <is>
          <t>Compras</t>
        </is>
      </c>
      <c r="G613" s="71" t="n">
        <v>26.25</v>
      </c>
      <c r="H613" s="172" t="inlineStr">
        <is>
          <t>Não</t>
        </is>
      </c>
      <c r="I613" s="49" t="n"/>
    </row>
    <row r="614">
      <c r="A614" s="43" t="inlineStr">
        <is>
          <t>009491</t>
        </is>
      </c>
      <c r="B614" s="44" t="inlineStr">
        <is>
          <t>CAPA SOLDAVEL 1 32MM</t>
        </is>
      </c>
      <c r="C614" s="45" t="inlineStr">
        <is>
          <t>MC</t>
        </is>
      </c>
      <c r="D614" s="45" t="inlineStr">
        <is>
          <t>UN</t>
        </is>
      </c>
      <c r="E614" s="45" t="inlineStr">
        <is>
          <t>0132</t>
        </is>
      </c>
      <c r="F614" s="70" t="inlineStr">
        <is>
          <t>Compras</t>
        </is>
      </c>
      <c r="G614" s="69" t="n">
        <v>0</v>
      </c>
      <c r="H614" s="172" t="inlineStr">
        <is>
          <t>Não</t>
        </is>
      </c>
      <c r="I614" s="50" t="n"/>
    </row>
    <row r="615">
      <c r="A615" s="40" t="inlineStr">
        <is>
          <t>009447</t>
        </is>
      </c>
      <c r="B615" s="41" t="inlineStr">
        <is>
          <t>CAPA SOLDAVEL 3/4 25MM</t>
        </is>
      </c>
      <c r="C615" s="42" t="inlineStr">
        <is>
          <t>MC</t>
        </is>
      </c>
      <c r="D615" s="42" t="inlineStr">
        <is>
          <t>UN</t>
        </is>
      </c>
      <c r="E615" s="42" t="inlineStr">
        <is>
          <t>0132</t>
        </is>
      </c>
      <c r="F615" s="70" t="inlineStr">
        <is>
          <t>Compras</t>
        </is>
      </c>
      <c r="G615" s="71" t="n">
        <v>3.5</v>
      </c>
      <c r="H615" s="172" t="inlineStr">
        <is>
          <t>Não</t>
        </is>
      </c>
      <c r="I615" s="49" t="n"/>
    </row>
    <row r="616">
      <c r="A616" s="43" t="inlineStr">
        <is>
          <t>010384</t>
        </is>
      </c>
      <c r="B616" s="44" t="inlineStr">
        <is>
          <t>CAPACITOR PARA VENTILADOR 2 FIOS 4UF 220V</t>
        </is>
      </c>
      <c r="C616" s="45" t="inlineStr">
        <is>
          <t>MC</t>
        </is>
      </c>
      <c r="D616" s="45" t="inlineStr">
        <is>
          <t>UN</t>
        </is>
      </c>
      <c r="E616" s="45" t="inlineStr">
        <is>
          <t>0132</t>
        </is>
      </c>
      <c r="F616" s="70" t="inlineStr">
        <is>
          <t>Compras</t>
        </is>
      </c>
      <c r="G616" s="69" t="n">
        <v>0</v>
      </c>
      <c r="H616" s="172" t="inlineStr">
        <is>
          <t>Não</t>
        </is>
      </c>
      <c r="I616" s="50" t="n"/>
    </row>
    <row r="617">
      <c r="A617" s="40" t="inlineStr">
        <is>
          <t>009390</t>
        </is>
      </c>
      <c r="B617" s="41" t="inlineStr">
        <is>
          <t>CAPILAR C/ VALVULA PARA SOLDA</t>
        </is>
      </c>
      <c r="C617" s="42" t="inlineStr">
        <is>
          <t>MC</t>
        </is>
      </c>
      <c r="D617" s="42" t="inlineStr">
        <is>
          <t>UN</t>
        </is>
      </c>
      <c r="E617" s="42" t="inlineStr">
        <is>
          <t>0132</t>
        </is>
      </c>
      <c r="F617" s="70" t="inlineStr">
        <is>
          <t>Compras</t>
        </is>
      </c>
      <c r="G617" s="71" t="n">
        <v>65</v>
      </c>
      <c r="H617" s="172" t="inlineStr">
        <is>
          <t>Não</t>
        </is>
      </c>
      <c r="I617" s="49" t="n"/>
    </row>
    <row r="618">
      <c r="A618" s="43" t="inlineStr">
        <is>
          <t>001177</t>
        </is>
      </c>
      <c r="B618" s="44" t="inlineStr">
        <is>
          <t>CAPIM SANTO</t>
        </is>
      </c>
      <c r="C618" s="45" t="inlineStr">
        <is>
          <t>MP</t>
        </is>
      </c>
      <c r="D618" s="45" t="inlineStr">
        <is>
          <t>KG</t>
        </is>
      </c>
      <c r="E618" s="45" t="inlineStr">
        <is>
          <t>0036</t>
        </is>
      </c>
      <c r="F618" s="70" t="inlineStr">
        <is>
          <t>Compras</t>
        </is>
      </c>
      <c r="G618" s="66" t="n">
        <v>64</v>
      </c>
      <c r="H618" s="172" t="inlineStr">
        <is>
          <t>Não</t>
        </is>
      </c>
      <c r="I618" s="50" t="n"/>
    </row>
    <row r="619">
      <c r="A619" s="40" t="inlineStr">
        <is>
          <t>001071</t>
        </is>
      </c>
      <c r="B619" s="41" t="inlineStr">
        <is>
          <t>CAPONATA</t>
        </is>
      </c>
      <c r="C619" s="42" t="inlineStr">
        <is>
          <t>PA</t>
        </is>
      </c>
      <c r="D619" s="42" t="inlineStr">
        <is>
          <t>UN</t>
        </is>
      </c>
      <c r="E619" s="42" t="inlineStr">
        <is>
          <t>0112</t>
        </is>
      </c>
      <c r="F619" s="65" t="inlineStr">
        <is>
          <t>Venda</t>
        </is>
      </c>
      <c r="G619" s="68" t="n">
        <v>0</v>
      </c>
      <c r="H619" s="177" t="inlineStr">
        <is>
          <t>Sim</t>
        </is>
      </c>
      <c r="I619" s="178" t="n"/>
    </row>
    <row r="620">
      <c r="A620" s="43" t="inlineStr">
        <is>
          <t>010252</t>
        </is>
      </c>
      <c r="B620" s="44" t="inlineStr">
        <is>
          <t>CAPS ESGOTO TAMPAO DE PVC 1/2'' 40MM</t>
        </is>
      </c>
      <c r="C620" s="45" t="inlineStr">
        <is>
          <t>MC</t>
        </is>
      </c>
      <c r="D620" s="45" t="inlineStr">
        <is>
          <t>UN</t>
        </is>
      </c>
      <c r="E620" s="45" t="inlineStr">
        <is>
          <t>0132</t>
        </is>
      </c>
      <c r="F620" s="70" t="inlineStr">
        <is>
          <t>Compras</t>
        </is>
      </c>
      <c r="G620" s="66" t="n">
        <v>3.9</v>
      </c>
      <c r="H620" s="172" t="inlineStr">
        <is>
          <t>Não</t>
        </is>
      </c>
      <c r="I620" s="50" t="n"/>
    </row>
    <row r="621">
      <c r="A621" s="40" t="inlineStr">
        <is>
          <t>010251</t>
        </is>
      </c>
      <c r="B621" s="41" t="inlineStr">
        <is>
          <t>CAPS ESGOTO TAMPAO DE PVC 2'' 50MM</t>
        </is>
      </c>
      <c r="C621" s="42" t="inlineStr">
        <is>
          <t>MC</t>
        </is>
      </c>
      <c r="D621" s="42" t="inlineStr">
        <is>
          <t>UN</t>
        </is>
      </c>
      <c r="E621" s="42" t="inlineStr">
        <is>
          <t>0132</t>
        </is>
      </c>
      <c r="F621" s="70" t="inlineStr">
        <is>
          <t>Compras</t>
        </is>
      </c>
      <c r="G621" s="71" t="n">
        <v>6</v>
      </c>
      <c r="H621" s="172" t="inlineStr">
        <is>
          <t>Não</t>
        </is>
      </c>
      <c r="I621" s="49" t="n"/>
    </row>
    <row r="622">
      <c r="A622" s="43" t="inlineStr">
        <is>
          <t>1215608</t>
        </is>
      </c>
      <c r="B622" s="44" t="inlineStr">
        <is>
          <t>CAPSULA CAF  COM LEITE</t>
        </is>
      </c>
      <c r="C622" s="45" t="inlineStr">
        <is>
          <t>ME</t>
        </is>
      </c>
      <c r="D622" s="45" t="inlineStr">
        <is>
          <t>UN</t>
        </is>
      </c>
      <c r="E622" s="45" t="inlineStr">
        <is>
          <t>0024</t>
        </is>
      </c>
      <c r="F622" s="70" t="inlineStr">
        <is>
          <t>Compras</t>
        </is>
      </c>
      <c r="G622" s="69" t="n">
        <v>0</v>
      </c>
      <c r="H622" s="172" t="inlineStr">
        <is>
          <t>Não</t>
        </is>
      </c>
      <c r="I622" s="50" t="n"/>
    </row>
    <row r="623">
      <c r="A623" s="40" t="inlineStr">
        <is>
          <t>12151009</t>
        </is>
      </c>
      <c r="B623" s="41" t="inlineStr">
        <is>
          <t>CAPSULA CAFE</t>
        </is>
      </c>
      <c r="C623" s="42" t="inlineStr">
        <is>
          <t>ME</t>
        </is>
      </c>
      <c r="D623" s="42" t="inlineStr">
        <is>
          <t>UN</t>
        </is>
      </c>
      <c r="E623" s="42" t="inlineStr">
        <is>
          <t>0024</t>
        </is>
      </c>
      <c r="F623" s="70" t="inlineStr">
        <is>
          <t>Compras</t>
        </is>
      </c>
      <c r="G623" s="71" t="n">
        <v>18</v>
      </c>
      <c r="H623" s="173" t="inlineStr">
        <is>
          <t>Sim</t>
        </is>
      </c>
      <c r="I623" s="49" t="n"/>
    </row>
    <row r="624">
      <c r="A624" s="43" t="inlineStr">
        <is>
          <t>001524</t>
        </is>
      </c>
      <c r="B624" s="44" t="inlineStr">
        <is>
          <t>CAPSULA CAFE AMENO</t>
        </is>
      </c>
      <c r="C624" s="45" t="inlineStr">
        <is>
          <t>ME</t>
        </is>
      </c>
      <c r="D624" s="45" t="inlineStr">
        <is>
          <t>UN</t>
        </is>
      </c>
      <c r="E624" s="45" t="inlineStr">
        <is>
          <t>0024</t>
        </is>
      </c>
      <c r="F624" s="70" t="inlineStr">
        <is>
          <t>Compras</t>
        </is>
      </c>
      <c r="G624" s="66" t="n">
        <v>1.8</v>
      </c>
      <c r="H624" s="173" t="inlineStr">
        <is>
          <t>Sim</t>
        </is>
      </c>
      <c r="I624" s="50" t="n"/>
    </row>
    <row r="625">
      <c r="A625" s="40" t="inlineStr">
        <is>
          <t>001525</t>
        </is>
      </c>
      <c r="B625" s="41" t="inlineStr">
        <is>
          <t>CAPSULA CAFE DESCAFEINADO</t>
        </is>
      </c>
      <c r="C625" s="42" t="inlineStr">
        <is>
          <t>ME</t>
        </is>
      </c>
      <c r="D625" s="42" t="inlineStr">
        <is>
          <t>UN</t>
        </is>
      </c>
      <c r="E625" s="42" t="inlineStr">
        <is>
          <t>0024</t>
        </is>
      </c>
      <c r="F625" s="70" t="inlineStr">
        <is>
          <t>Compras</t>
        </is>
      </c>
      <c r="G625" s="71" t="n">
        <v>18</v>
      </c>
      <c r="H625" s="173" t="inlineStr">
        <is>
          <t>Sim</t>
        </is>
      </c>
      <c r="I625" s="49" t="n"/>
    </row>
    <row r="626">
      <c r="A626" s="43" t="inlineStr">
        <is>
          <t>002220</t>
        </is>
      </c>
      <c r="B626" s="44" t="inlineStr">
        <is>
          <t>CAPSULA CAFE EXPRESSO AMENO</t>
        </is>
      </c>
      <c r="C626" s="45" t="inlineStr">
        <is>
          <t>ME</t>
        </is>
      </c>
      <c r="D626" s="45" t="inlineStr">
        <is>
          <t>UN</t>
        </is>
      </c>
      <c r="E626" s="45" t="inlineStr">
        <is>
          <t>0024</t>
        </is>
      </c>
      <c r="F626" s="70" t="inlineStr">
        <is>
          <t>Compras</t>
        </is>
      </c>
      <c r="G626" s="66" t="n">
        <v>1.8</v>
      </c>
      <c r="H626" s="172" t="inlineStr">
        <is>
          <t>Não</t>
        </is>
      </c>
      <c r="I626" s="50" t="n"/>
    </row>
    <row r="627">
      <c r="A627" s="40" t="inlineStr">
        <is>
          <t>002222</t>
        </is>
      </c>
      <c r="B627" s="41" t="inlineStr">
        <is>
          <t>CAPSULA CAFE EXPRESSO DESCAFEINADO</t>
        </is>
      </c>
      <c r="C627" s="42" t="inlineStr">
        <is>
          <t>ME</t>
        </is>
      </c>
      <c r="D627" s="42" t="inlineStr">
        <is>
          <t>UN</t>
        </is>
      </c>
      <c r="E627" s="42" t="inlineStr">
        <is>
          <t>0024</t>
        </is>
      </c>
      <c r="F627" s="70" t="inlineStr">
        <is>
          <t>Compras</t>
        </is>
      </c>
      <c r="G627" s="71" t="n">
        <v>1.8</v>
      </c>
      <c r="H627" s="172" t="inlineStr">
        <is>
          <t>Não</t>
        </is>
      </c>
      <c r="I627" s="49" t="n"/>
    </row>
    <row r="628">
      <c r="A628" s="43" t="inlineStr">
        <is>
          <t>002221</t>
        </is>
      </c>
      <c r="B628" s="44" t="inlineStr">
        <is>
          <t>CAPSULA CAFE EXPRESSO VIBRANTE</t>
        </is>
      </c>
      <c r="C628" s="45" t="inlineStr">
        <is>
          <t>ME</t>
        </is>
      </c>
      <c r="D628" s="45" t="inlineStr">
        <is>
          <t>UN</t>
        </is>
      </c>
      <c r="E628" s="45" t="inlineStr">
        <is>
          <t>0024</t>
        </is>
      </c>
      <c r="F628" s="70" t="inlineStr">
        <is>
          <t>Compras</t>
        </is>
      </c>
      <c r="G628" s="66" t="n">
        <v>1.8</v>
      </c>
      <c r="H628" s="172" t="inlineStr">
        <is>
          <t>Não</t>
        </is>
      </c>
      <c r="I628" s="50" t="n"/>
    </row>
    <row r="629">
      <c r="A629" s="40" t="inlineStr">
        <is>
          <t>12151001</t>
        </is>
      </c>
      <c r="B629" s="41" t="inlineStr">
        <is>
          <t>CAPSULA CAFE SUPREMO</t>
        </is>
      </c>
      <c r="C629" s="42" t="inlineStr">
        <is>
          <t>ME</t>
        </is>
      </c>
      <c r="D629" s="42" t="inlineStr">
        <is>
          <t>UN</t>
        </is>
      </c>
      <c r="E629" s="42" t="inlineStr">
        <is>
          <t>0024</t>
        </is>
      </c>
      <c r="F629" s="70" t="inlineStr">
        <is>
          <t>Compras</t>
        </is>
      </c>
      <c r="G629" s="71" t="n">
        <v>18</v>
      </c>
      <c r="H629" s="172" t="inlineStr">
        <is>
          <t>Não</t>
        </is>
      </c>
      <c r="I629" s="49" t="n"/>
    </row>
    <row r="630">
      <c r="A630" s="43" t="inlineStr">
        <is>
          <t>001523</t>
        </is>
      </c>
      <c r="B630" s="44" t="inlineStr">
        <is>
          <t>CAPSULA CAFE VIBRANTE</t>
        </is>
      </c>
      <c r="C630" s="45" t="inlineStr">
        <is>
          <t>ME</t>
        </is>
      </c>
      <c r="D630" s="45" t="inlineStr">
        <is>
          <t>UN</t>
        </is>
      </c>
      <c r="E630" s="45" t="inlineStr">
        <is>
          <t>0024</t>
        </is>
      </c>
      <c r="F630" s="70" t="inlineStr">
        <is>
          <t>Compras</t>
        </is>
      </c>
      <c r="G630" s="69" t="n">
        <v>0</v>
      </c>
      <c r="H630" s="173" t="inlineStr">
        <is>
          <t>Sim</t>
        </is>
      </c>
      <c r="I630" s="50" t="n"/>
    </row>
    <row r="631">
      <c r="A631" s="40" t="inlineStr">
        <is>
          <t>12154009</t>
        </is>
      </c>
      <c r="B631" s="41" t="inlineStr">
        <is>
          <t>CAPSULA DE CAPPUCCINO DOCE DE LEITE HAVANNA</t>
        </is>
      </c>
      <c r="C631" s="42" t="inlineStr">
        <is>
          <t>MC</t>
        </is>
      </c>
      <c r="D631" s="42" t="inlineStr">
        <is>
          <t>UN</t>
        </is>
      </c>
      <c r="E631" s="42" t="inlineStr">
        <is>
          <t>0013</t>
        </is>
      </c>
      <c r="F631" s="70" t="inlineStr">
        <is>
          <t>Compras</t>
        </is>
      </c>
      <c r="G631" s="71" t="n">
        <v>18</v>
      </c>
      <c r="H631" s="172" t="inlineStr">
        <is>
          <t>Não</t>
        </is>
      </c>
      <c r="I631" s="49" t="n"/>
    </row>
    <row r="632">
      <c r="A632" s="43" t="inlineStr">
        <is>
          <t>000764</t>
        </is>
      </c>
      <c r="B632" s="44" t="inlineStr">
        <is>
          <t>CAPSULA DE GAS SIFAO</t>
        </is>
      </c>
      <c r="C632" s="45" t="inlineStr">
        <is>
          <t>MC</t>
        </is>
      </c>
      <c r="D632" s="45" t="inlineStr">
        <is>
          <t>UN</t>
        </is>
      </c>
      <c r="E632" s="45" t="inlineStr">
        <is>
          <t>0079</t>
        </is>
      </c>
      <c r="F632" s="70" t="inlineStr">
        <is>
          <t>Compras</t>
        </is>
      </c>
      <c r="G632" s="66" t="n">
        <v>1.8</v>
      </c>
      <c r="H632" s="173" t="inlineStr">
        <is>
          <t>Sim</t>
        </is>
      </c>
      <c r="I632" s="50" t="n"/>
    </row>
    <row r="633">
      <c r="A633" s="40" t="inlineStr">
        <is>
          <t>12155000</t>
        </is>
      </c>
      <c r="B633" s="41" t="inlineStr">
        <is>
          <t>CAPSULA TRES CHOCOLATTO</t>
        </is>
      </c>
      <c r="C633" s="42" t="inlineStr">
        <is>
          <t>ME</t>
        </is>
      </c>
      <c r="D633" s="42" t="inlineStr">
        <is>
          <t>UN</t>
        </is>
      </c>
      <c r="E633" s="42" t="inlineStr">
        <is>
          <t>0024</t>
        </is>
      </c>
      <c r="F633" s="70" t="inlineStr">
        <is>
          <t>Compras</t>
        </is>
      </c>
      <c r="G633" s="71" t="n">
        <v>17</v>
      </c>
      <c r="H633" s="172" t="inlineStr">
        <is>
          <t>Não</t>
        </is>
      </c>
      <c r="I633" s="49" t="n"/>
    </row>
    <row r="634">
      <c r="A634" s="43" t="inlineStr">
        <is>
          <t>001348</t>
        </is>
      </c>
      <c r="B634" s="44" t="inlineStr">
        <is>
          <t>CARAJILLO</t>
        </is>
      </c>
      <c r="C634" s="45" t="inlineStr">
        <is>
          <t>PA</t>
        </is>
      </c>
      <c r="D634" s="45" t="inlineStr">
        <is>
          <t>UN</t>
        </is>
      </c>
      <c r="E634" s="45" t="inlineStr">
        <is>
          <t>0097</t>
        </is>
      </c>
      <c r="F634" s="65" t="inlineStr">
        <is>
          <t>Venda</t>
        </is>
      </c>
      <c r="G634" s="69" t="n">
        <v>0</v>
      </c>
      <c r="H634" s="177" t="inlineStr">
        <is>
          <t>Sim</t>
        </is>
      </c>
      <c r="I634" s="178" t="n"/>
    </row>
    <row r="635">
      <c r="A635" s="40" t="inlineStr">
        <is>
          <t>001501</t>
        </is>
      </c>
      <c r="B635" s="41" t="inlineStr">
        <is>
          <t>CARAMELITO</t>
        </is>
      </c>
      <c r="C635" s="42" t="inlineStr">
        <is>
          <t>PA</t>
        </is>
      </c>
      <c r="D635" s="42" t="inlineStr">
        <is>
          <t>UN</t>
        </is>
      </c>
      <c r="E635" s="42" t="inlineStr">
        <is>
          <t>0054</t>
        </is>
      </c>
      <c r="F635" s="65" t="inlineStr">
        <is>
          <t>Venda</t>
        </is>
      </c>
      <c r="G635" s="68" t="n">
        <v>0</v>
      </c>
      <c r="H635" s="172" t="inlineStr">
        <is>
          <t>Não</t>
        </is>
      </c>
      <c r="I635" s="47" t="inlineStr">
        <is>
          <t>78989056877119</t>
        </is>
      </c>
    </row>
    <row r="636">
      <c r="A636" s="43" t="inlineStr">
        <is>
          <t>009785</t>
        </is>
      </c>
      <c r="B636" s="44" t="inlineStr">
        <is>
          <t>CARCARCA NOTEBOOK</t>
        </is>
      </c>
      <c r="C636" s="45" t="inlineStr">
        <is>
          <t>MC</t>
        </is>
      </c>
      <c r="D636" s="45" t="inlineStr">
        <is>
          <t>UN</t>
        </is>
      </c>
      <c r="E636" s="45" t="inlineStr">
        <is>
          <t>0006</t>
        </is>
      </c>
      <c r="F636" s="70" t="inlineStr">
        <is>
          <t>Compras</t>
        </is>
      </c>
      <c r="G636" s="69" t="n">
        <v>0</v>
      </c>
      <c r="H636" s="172" t="inlineStr">
        <is>
          <t>Não</t>
        </is>
      </c>
      <c r="I636" s="50" t="n"/>
    </row>
    <row r="637">
      <c r="A637" s="40" t="inlineStr">
        <is>
          <t>000179</t>
        </is>
      </c>
      <c r="B637" s="41" t="inlineStr">
        <is>
          <t>CARIMBO PERSONALIZADO</t>
        </is>
      </c>
      <c r="C637" s="42" t="inlineStr">
        <is>
          <t>MC</t>
        </is>
      </c>
      <c r="D637" s="42" t="inlineStr">
        <is>
          <t>UN</t>
        </is>
      </c>
      <c r="E637" s="42" t="inlineStr">
        <is>
          <t>0001</t>
        </is>
      </c>
      <c r="F637" s="70" t="inlineStr">
        <is>
          <t>Compras</t>
        </is>
      </c>
      <c r="G637" s="68" t="n">
        <v>0</v>
      </c>
      <c r="H637" s="172" t="inlineStr">
        <is>
          <t>Não</t>
        </is>
      </c>
      <c r="I637" s="49" t="n"/>
    </row>
    <row r="638">
      <c r="A638" s="43" t="inlineStr">
        <is>
          <t>000428</t>
        </is>
      </c>
      <c r="B638" s="44" t="inlineStr">
        <is>
          <t>CARNE MOIDA PRIMEIRA FUNCIONARIO</t>
        </is>
      </c>
      <c r="C638" s="45" t="inlineStr">
        <is>
          <t>MC</t>
        </is>
      </c>
      <c r="D638" s="45" t="inlineStr">
        <is>
          <t>KG</t>
        </is>
      </c>
      <c r="E638" s="45" t="inlineStr">
        <is>
          <t>0013</t>
        </is>
      </c>
      <c r="F638" s="70" t="inlineStr">
        <is>
          <t>Compras</t>
        </is>
      </c>
      <c r="G638" s="66" t="n">
        <v>21.24</v>
      </c>
      <c r="H638" s="172" t="inlineStr">
        <is>
          <t>Não</t>
        </is>
      </c>
      <c r="I638" s="50" t="n"/>
    </row>
    <row r="639">
      <c r="A639" s="40" t="inlineStr">
        <is>
          <t>000772</t>
        </is>
      </c>
      <c r="B639" s="41" t="inlineStr">
        <is>
          <t>CARRE DE CORDEIRO</t>
        </is>
      </c>
      <c r="C639" s="42" t="inlineStr">
        <is>
          <t>PA</t>
        </is>
      </c>
      <c r="D639" s="42" t="inlineStr">
        <is>
          <t>UN</t>
        </is>
      </c>
      <c r="E639" s="42" t="inlineStr">
        <is>
          <t>0092</t>
        </is>
      </c>
      <c r="F639" s="65" t="inlineStr">
        <is>
          <t>Venda</t>
        </is>
      </c>
      <c r="G639" s="68" t="n">
        <v>0</v>
      </c>
      <c r="H639" s="172" t="inlineStr">
        <is>
          <t>Não</t>
        </is>
      </c>
      <c r="I639" s="47" t="inlineStr">
        <is>
          <t>40020</t>
        </is>
      </c>
    </row>
    <row r="640">
      <c r="A640" s="43" t="inlineStr">
        <is>
          <t>009786</t>
        </is>
      </c>
      <c r="B640" s="44" t="inlineStr">
        <is>
          <t>CARREGADOR DELL</t>
        </is>
      </c>
      <c r="C640" s="45" t="inlineStr">
        <is>
          <t>MC</t>
        </is>
      </c>
      <c r="D640" s="45" t="inlineStr">
        <is>
          <t>UN</t>
        </is>
      </c>
      <c r="E640" s="45" t="inlineStr">
        <is>
          <t>0006</t>
        </is>
      </c>
      <c r="F640" s="70" t="inlineStr">
        <is>
          <t>Compras</t>
        </is>
      </c>
      <c r="G640" s="66" t="n">
        <v>159</v>
      </c>
      <c r="H640" s="172" t="inlineStr">
        <is>
          <t>Não</t>
        </is>
      </c>
      <c r="I640" s="50" t="n"/>
    </row>
    <row r="641">
      <c r="A641" s="40" t="inlineStr">
        <is>
          <t>009964</t>
        </is>
      </c>
      <c r="B641" s="41" t="inlineStr">
        <is>
          <t>CARREGADOR PARA IPAD ORIGINAL</t>
        </is>
      </c>
      <c r="C641" s="42" t="inlineStr">
        <is>
          <t>MC</t>
        </is>
      </c>
      <c r="D641" s="42" t="inlineStr">
        <is>
          <t>UN</t>
        </is>
      </c>
      <c r="E641" s="42" t="inlineStr">
        <is>
          <t>0133</t>
        </is>
      </c>
      <c r="F641" s="70" t="inlineStr">
        <is>
          <t>Compras</t>
        </is>
      </c>
      <c r="G641" s="68" t="n">
        <v>0</v>
      </c>
      <c r="H641" s="172" t="inlineStr">
        <is>
          <t>Não</t>
        </is>
      </c>
      <c r="I641" s="49" t="n"/>
    </row>
    <row r="642">
      <c r="A642" s="43" t="inlineStr">
        <is>
          <t>009787</t>
        </is>
      </c>
      <c r="B642" s="44" t="inlineStr">
        <is>
          <t>CARREGADOR TIPO C</t>
        </is>
      </c>
      <c r="C642" s="45" t="inlineStr">
        <is>
          <t>MC</t>
        </is>
      </c>
      <c r="D642" s="45" t="inlineStr">
        <is>
          <t>UN</t>
        </is>
      </c>
      <c r="E642" s="45" t="inlineStr">
        <is>
          <t>0006</t>
        </is>
      </c>
      <c r="F642" s="70" t="inlineStr">
        <is>
          <t>Compras</t>
        </is>
      </c>
      <c r="G642" s="66" t="n">
        <v>13.385</v>
      </c>
      <c r="H642" s="172" t="inlineStr">
        <is>
          <t>Não</t>
        </is>
      </c>
      <c r="I642" s="50" t="n"/>
    </row>
    <row r="643">
      <c r="A643" s="40" t="inlineStr">
        <is>
          <t>009788</t>
        </is>
      </c>
      <c r="B643" s="41" t="inlineStr">
        <is>
          <t>CARREGADOR V8</t>
        </is>
      </c>
      <c r="C643" s="42" t="inlineStr">
        <is>
          <t>MC</t>
        </is>
      </c>
      <c r="D643" s="42" t="inlineStr">
        <is>
          <t>UN</t>
        </is>
      </c>
      <c r="E643" s="42" t="inlineStr">
        <is>
          <t>0006</t>
        </is>
      </c>
      <c r="F643" s="70" t="inlineStr">
        <is>
          <t>Compras</t>
        </is>
      </c>
      <c r="G643" s="71" t="n">
        <v>114.98</v>
      </c>
      <c r="H643" s="172" t="inlineStr">
        <is>
          <t>Não</t>
        </is>
      </c>
      <c r="I643" s="49" t="n"/>
    </row>
    <row r="644">
      <c r="A644" s="43" t="inlineStr">
        <is>
          <t>000806</t>
        </is>
      </c>
      <c r="B644" s="44" t="inlineStr">
        <is>
          <t>CARRINHO DE CARGA 200KG</t>
        </is>
      </c>
      <c r="C644" s="45" t="inlineStr">
        <is>
          <t>MC</t>
        </is>
      </c>
      <c r="D644" s="45" t="inlineStr">
        <is>
          <t>UN</t>
        </is>
      </c>
      <c r="E644" s="45" t="inlineStr">
        <is>
          <t>0067</t>
        </is>
      </c>
      <c r="F644" s="70" t="inlineStr">
        <is>
          <t>Compras</t>
        </is>
      </c>
      <c r="G644" s="66" t="n">
        <v>450</v>
      </c>
      <c r="H644" s="172" t="inlineStr">
        <is>
          <t>Não</t>
        </is>
      </c>
      <c r="I644" s="50" t="n"/>
    </row>
    <row r="645">
      <c r="A645" s="40" t="inlineStr">
        <is>
          <t>000262</t>
        </is>
      </c>
      <c r="B645" s="41" t="inlineStr">
        <is>
          <t>CARRINHO DE LIMPEZA</t>
        </is>
      </c>
      <c r="C645" s="42" t="inlineStr">
        <is>
          <t>MC</t>
        </is>
      </c>
      <c r="D645" s="42" t="inlineStr">
        <is>
          <t>UN</t>
        </is>
      </c>
      <c r="E645" s="42" t="inlineStr">
        <is>
          <t>0075</t>
        </is>
      </c>
      <c r="F645" s="70" t="inlineStr">
        <is>
          <t>Compras</t>
        </is>
      </c>
      <c r="G645" s="68" t="n">
        <v>0</v>
      </c>
      <c r="H645" s="172" t="inlineStr">
        <is>
          <t>Não</t>
        </is>
      </c>
      <c r="I645" s="49" t="n"/>
    </row>
    <row r="646">
      <c r="A646" s="43" t="inlineStr">
        <is>
          <t>000727</t>
        </is>
      </c>
      <c r="B646" s="44" t="inlineStr">
        <is>
          <t>CARRO COLETOR</t>
        </is>
      </c>
      <c r="C646" s="45" t="inlineStr">
        <is>
          <t>MC</t>
        </is>
      </c>
      <c r="D646" s="45" t="inlineStr">
        <is>
          <t>UN</t>
        </is>
      </c>
      <c r="E646" s="45" t="inlineStr">
        <is>
          <t>0079</t>
        </is>
      </c>
      <c r="F646" s="70" t="inlineStr">
        <is>
          <t>Compras</t>
        </is>
      </c>
      <c r="G646" s="69" t="n">
        <v>0</v>
      </c>
      <c r="H646" s="173" t="inlineStr">
        <is>
          <t>Sim</t>
        </is>
      </c>
      <c r="I646" s="50" t="n"/>
    </row>
    <row r="647">
      <c r="A647" s="40" t="inlineStr">
        <is>
          <t>001651</t>
        </is>
      </c>
      <c r="B647" s="41" t="inlineStr">
        <is>
          <t>CARTAO MAU USO</t>
        </is>
      </c>
      <c r="C647" s="42" t="inlineStr">
        <is>
          <t>SV</t>
        </is>
      </c>
      <c r="D647" s="42" t="inlineStr">
        <is>
          <t>UN</t>
        </is>
      </c>
      <c r="E647" s="42" t="inlineStr">
        <is>
          <t>(VAZ</t>
        </is>
      </c>
      <c r="F647" s="70" t="inlineStr">
        <is>
          <t>Compras</t>
        </is>
      </c>
      <c r="G647" s="68" t="n">
        <v>0</v>
      </c>
      <c r="H647" s="172" t="inlineStr">
        <is>
          <t>Não</t>
        </is>
      </c>
      <c r="I647" s="49" t="n"/>
    </row>
    <row r="648">
      <c r="A648" s="43" t="inlineStr">
        <is>
          <t>001242</t>
        </is>
      </c>
      <c r="B648" s="44" t="inlineStr">
        <is>
          <t>CARTAO ZIG PAY  COMPRA</t>
        </is>
      </c>
      <c r="C648" s="45" t="inlineStr">
        <is>
          <t>MC</t>
        </is>
      </c>
      <c r="D648" s="45" t="inlineStr">
        <is>
          <t>UN</t>
        </is>
      </c>
      <c r="E648" s="45" t="inlineStr">
        <is>
          <t>0068</t>
        </is>
      </c>
      <c r="F648" s="70" t="inlineStr">
        <is>
          <t>Compras</t>
        </is>
      </c>
      <c r="G648" s="69" t="n">
        <v>0</v>
      </c>
      <c r="H648" s="172" t="inlineStr">
        <is>
          <t>Não</t>
        </is>
      </c>
      <c r="I648" s="50" t="n"/>
    </row>
    <row r="649">
      <c r="A649" s="40" t="inlineStr">
        <is>
          <t>001393</t>
        </is>
      </c>
      <c r="B649" s="41" t="inlineStr">
        <is>
          <t>CARTAO ZIG PAY - VENDA</t>
        </is>
      </c>
      <c r="C649" s="42" t="inlineStr">
        <is>
          <t>MC</t>
        </is>
      </c>
      <c r="D649" s="42" t="inlineStr">
        <is>
          <t>UN</t>
        </is>
      </c>
      <c r="E649" s="42" t="inlineStr">
        <is>
          <t>0068</t>
        </is>
      </c>
      <c r="F649" s="65" t="inlineStr">
        <is>
          <t>Venda</t>
        </is>
      </c>
      <c r="G649" s="68" t="n">
        <v>0</v>
      </c>
      <c r="H649" s="172" t="inlineStr">
        <is>
          <t>Não</t>
        </is>
      </c>
      <c r="I649" s="47" t="inlineStr">
        <is>
          <t>7898905687191</t>
        </is>
      </c>
    </row>
    <row r="650">
      <c r="A650" s="43" t="inlineStr">
        <is>
          <t>000141</t>
        </is>
      </c>
      <c r="B650" s="44" t="inlineStr">
        <is>
          <t>CARTAZ CAIXA 115X75CM</t>
        </is>
      </c>
      <c r="C650" s="45" t="inlineStr">
        <is>
          <t>MC</t>
        </is>
      </c>
      <c r="D650" s="45" t="inlineStr">
        <is>
          <t>UN</t>
        </is>
      </c>
      <c r="E650" s="45" t="inlineStr">
        <is>
          <t>0073</t>
        </is>
      </c>
      <c r="F650" s="70" t="inlineStr">
        <is>
          <t>Compras</t>
        </is>
      </c>
      <c r="G650" s="69" t="n">
        <v>0</v>
      </c>
      <c r="H650" s="172" t="inlineStr">
        <is>
          <t>Não</t>
        </is>
      </c>
      <c r="I650" s="50" t="n"/>
    </row>
    <row r="651">
      <c r="A651" s="40" t="inlineStr">
        <is>
          <t>000142</t>
        </is>
      </c>
      <c r="B651" s="41" t="inlineStr">
        <is>
          <t>CARTAZ DE ENTRADA 60X90CM</t>
        </is>
      </c>
      <c r="C651" s="42" t="inlineStr">
        <is>
          <t>MC</t>
        </is>
      </c>
      <c r="D651" s="42" t="inlineStr">
        <is>
          <t>UN</t>
        </is>
      </c>
      <c r="E651" s="42" t="inlineStr">
        <is>
          <t>0073</t>
        </is>
      </c>
      <c r="F651" s="70" t="inlineStr">
        <is>
          <t>Compras</t>
        </is>
      </c>
      <c r="G651" s="68" t="n">
        <v>0</v>
      </c>
      <c r="H651" s="172" t="inlineStr">
        <is>
          <t>Não</t>
        </is>
      </c>
      <c r="I651" s="49" t="n"/>
    </row>
    <row r="652">
      <c r="A652" s="43" t="inlineStr">
        <is>
          <t>009506</t>
        </is>
      </c>
      <c r="B652" s="44" t="inlineStr">
        <is>
          <t>CARTELA DE PREGO</t>
        </is>
      </c>
      <c r="C652" s="45" t="inlineStr">
        <is>
          <t>MC</t>
        </is>
      </c>
      <c r="D652" s="45" t="inlineStr">
        <is>
          <t>UN</t>
        </is>
      </c>
      <c r="E652" s="45" t="inlineStr">
        <is>
          <t>0132</t>
        </is>
      </c>
      <c r="F652" s="70" t="inlineStr">
        <is>
          <t>Compras</t>
        </is>
      </c>
      <c r="G652" s="66" t="n">
        <v>6.9</v>
      </c>
      <c r="H652" s="172" t="inlineStr">
        <is>
          <t>Não</t>
        </is>
      </c>
      <c r="I652" s="50" t="n"/>
    </row>
    <row r="653">
      <c r="A653" s="40" t="inlineStr">
        <is>
          <t>009559</t>
        </is>
      </c>
      <c r="B653" s="41" t="inlineStr">
        <is>
          <t>CARTELA DE TATUAGEM TEMPORARIA INFANTIL</t>
        </is>
      </c>
      <c r="C653" s="42" t="inlineStr">
        <is>
          <t>MC</t>
        </is>
      </c>
      <c r="D653" s="42" t="inlineStr">
        <is>
          <t>UN</t>
        </is>
      </c>
      <c r="E653" s="42" t="inlineStr">
        <is>
          <t>0134</t>
        </is>
      </c>
      <c r="F653" s="70" t="inlineStr">
        <is>
          <t>Compras</t>
        </is>
      </c>
      <c r="G653" s="68" t="n">
        <v>0</v>
      </c>
      <c r="H653" s="172" t="inlineStr">
        <is>
          <t>Não</t>
        </is>
      </c>
      <c r="I653" s="49" t="n"/>
    </row>
    <row r="654">
      <c r="A654" s="43" t="inlineStr">
        <is>
          <t>009611</t>
        </is>
      </c>
      <c r="B654" s="44" t="inlineStr">
        <is>
          <t>CARTUCHO REFIL GAS BUTANO</t>
        </is>
      </c>
      <c r="C654" s="45" t="inlineStr">
        <is>
          <t>MC</t>
        </is>
      </c>
      <c r="D654" s="45" t="inlineStr">
        <is>
          <t>UN</t>
        </is>
      </c>
      <c r="E654" s="45" t="inlineStr">
        <is>
          <t>0132</t>
        </is>
      </c>
      <c r="F654" s="70" t="inlineStr">
        <is>
          <t>Compras</t>
        </is>
      </c>
      <c r="G654" s="66" t="n">
        <v>28.9</v>
      </c>
      <c r="H654" s="172" t="inlineStr">
        <is>
          <t>Não</t>
        </is>
      </c>
      <c r="I654" s="50" t="n"/>
    </row>
    <row r="655">
      <c r="A655" s="40" t="inlineStr">
        <is>
          <t>000307</t>
        </is>
      </c>
      <c r="B655" s="41" t="inlineStr">
        <is>
          <t>CARVAO</t>
        </is>
      </c>
      <c r="C655" s="42" t="inlineStr">
        <is>
          <t>MC</t>
        </is>
      </c>
      <c r="D655" s="42" t="inlineStr">
        <is>
          <t>PC</t>
        </is>
      </c>
      <c r="E655" s="42" t="inlineStr">
        <is>
          <t>0143</t>
        </is>
      </c>
      <c r="F655" s="70" t="inlineStr">
        <is>
          <t>Compras</t>
        </is>
      </c>
      <c r="G655" s="71" t="n">
        <v>44.5</v>
      </c>
      <c r="H655" s="172" t="inlineStr">
        <is>
          <t>Não</t>
        </is>
      </c>
      <c r="I655" s="49" t="n"/>
    </row>
    <row r="656">
      <c r="A656" s="43" t="inlineStr">
        <is>
          <t>000018</t>
        </is>
      </c>
      <c r="B656" s="44" t="inlineStr">
        <is>
          <t>CARVAO 10KG</t>
        </is>
      </c>
      <c r="C656" s="45" t="inlineStr">
        <is>
          <t>MR</t>
        </is>
      </c>
      <c r="D656" s="45" t="inlineStr">
        <is>
          <t>UN</t>
        </is>
      </c>
      <c r="E656" s="45" t="inlineStr">
        <is>
          <t>0107</t>
        </is>
      </c>
      <c r="F656" s="65" t="inlineStr">
        <is>
          <t>Venda</t>
        </is>
      </c>
      <c r="G656" s="66" t="n">
        <v>1</v>
      </c>
      <c r="H656" s="172" t="inlineStr">
        <is>
          <t>Não</t>
        </is>
      </c>
      <c r="I656" s="48" t="inlineStr">
        <is>
          <t>10023</t>
        </is>
      </c>
    </row>
    <row r="657">
      <c r="A657" s="40" t="inlineStr">
        <is>
          <t>001048</t>
        </is>
      </c>
      <c r="B657" s="41" t="inlineStr">
        <is>
          <t>CARVAO 2,5 KG</t>
        </is>
      </c>
      <c r="C657" s="42" t="inlineStr">
        <is>
          <t>MC</t>
        </is>
      </c>
      <c r="D657" s="42" t="inlineStr">
        <is>
          <t>PC</t>
        </is>
      </c>
      <c r="E657" s="42" t="inlineStr">
        <is>
          <t>0143</t>
        </is>
      </c>
      <c r="F657" s="70" t="inlineStr">
        <is>
          <t>Compras</t>
        </is>
      </c>
      <c r="G657" s="68" t="n">
        <v>0</v>
      </c>
      <c r="H657" s="172" t="inlineStr">
        <is>
          <t>Não</t>
        </is>
      </c>
      <c r="I657" s="49" t="n"/>
    </row>
    <row r="658">
      <c r="A658" s="43" t="inlineStr">
        <is>
          <t>001073</t>
        </is>
      </c>
      <c r="B658" s="44" t="inlineStr">
        <is>
          <t>CARVAO 2,5 KG</t>
        </is>
      </c>
      <c r="C658" s="45" t="inlineStr">
        <is>
          <t>MC</t>
        </is>
      </c>
      <c r="D658" s="45" t="inlineStr">
        <is>
          <t>PC</t>
        </is>
      </c>
      <c r="E658" s="45" t="inlineStr">
        <is>
          <t>0107</t>
        </is>
      </c>
      <c r="F658" s="70" t="inlineStr">
        <is>
          <t>Compras</t>
        </is>
      </c>
      <c r="G658" s="69" t="n">
        <v>0</v>
      </c>
      <c r="H658" s="173" t="inlineStr">
        <is>
          <t>Sim</t>
        </is>
      </c>
      <c r="I658" s="50" t="n"/>
    </row>
    <row r="659">
      <c r="A659" s="40" t="inlineStr">
        <is>
          <t>000973</t>
        </is>
      </c>
      <c r="B659" s="41" t="inlineStr">
        <is>
          <t>CARVAO 4 KG</t>
        </is>
      </c>
      <c r="C659" s="42" t="inlineStr">
        <is>
          <t>MR</t>
        </is>
      </c>
      <c r="D659" s="42" t="inlineStr">
        <is>
          <t>PC</t>
        </is>
      </c>
      <c r="E659" s="42" t="inlineStr">
        <is>
          <t>0083</t>
        </is>
      </c>
      <c r="F659" s="70" t="inlineStr">
        <is>
          <t>Compras</t>
        </is>
      </c>
      <c r="G659" s="71" t="n">
        <v>19.7</v>
      </c>
      <c r="H659" s="173" t="inlineStr">
        <is>
          <t>Sim</t>
        </is>
      </c>
      <c r="I659" s="49" t="n"/>
    </row>
    <row r="660">
      <c r="A660" s="43" t="inlineStr">
        <is>
          <t>000979</t>
        </is>
      </c>
      <c r="B660" s="44" t="inlineStr">
        <is>
          <t>CARVAO 4K</t>
        </is>
      </c>
      <c r="C660" s="45" t="inlineStr">
        <is>
          <t>MR</t>
        </is>
      </c>
      <c r="D660" s="45" t="inlineStr">
        <is>
          <t>UN</t>
        </is>
      </c>
      <c r="E660" s="45" t="inlineStr">
        <is>
          <t>0107</t>
        </is>
      </c>
      <c r="F660" s="70" t="inlineStr">
        <is>
          <t>Compras</t>
        </is>
      </c>
      <c r="G660" s="69" t="n">
        <v>0</v>
      </c>
      <c r="H660" s="173" t="inlineStr">
        <is>
          <t>Sim</t>
        </is>
      </c>
      <c r="I660" s="50" t="n"/>
    </row>
    <row r="661">
      <c r="A661" s="40" t="inlineStr">
        <is>
          <t>002058</t>
        </is>
      </c>
      <c r="B661" s="41" t="inlineStr">
        <is>
          <t>CARVAO 4K</t>
        </is>
      </c>
      <c r="C661" s="42" t="inlineStr">
        <is>
          <t>MR</t>
        </is>
      </c>
      <c r="D661" s="42" t="inlineStr">
        <is>
          <t>UN</t>
        </is>
      </c>
      <c r="E661" s="42" t="inlineStr">
        <is>
          <t>0107</t>
        </is>
      </c>
      <c r="F661" s="65" t="inlineStr">
        <is>
          <t>Venda</t>
        </is>
      </c>
      <c r="G661" s="68" t="n">
        <v>0</v>
      </c>
      <c r="H661" s="172" t="inlineStr">
        <is>
          <t>Não</t>
        </is>
      </c>
      <c r="I661" s="47" t="inlineStr">
        <is>
          <t>9003262</t>
        </is>
      </c>
    </row>
    <row r="662">
      <c r="A662" s="43" t="inlineStr">
        <is>
          <t>009488</t>
        </is>
      </c>
      <c r="B662" s="44" t="inlineStr">
        <is>
          <t>CASQUINHA PARA SORVETE CX 300UN</t>
        </is>
      </c>
      <c r="C662" s="45" t="inlineStr">
        <is>
          <t>MP</t>
        </is>
      </c>
      <c r="D662" s="45" t="inlineStr">
        <is>
          <t>UN</t>
        </is>
      </c>
      <c r="E662" s="45" t="inlineStr">
        <is>
          <t>0029</t>
        </is>
      </c>
      <c r="F662" s="70" t="inlineStr">
        <is>
          <t>Compras</t>
        </is>
      </c>
      <c r="G662" s="66" t="n">
        <v>0.2633</v>
      </c>
      <c r="H662" s="172" t="inlineStr">
        <is>
          <t>Não</t>
        </is>
      </c>
      <c r="I662" s="50" t="n"/>
    </row>
    <row r="663">
      <c r="A663" s="40" t="inlineStr">
        <is>
          <t>010091</t>
        </is>
      </c>
      <c r="B663" s="41" t="inlineStr">
        <is>
          <t>CASQUINHA SORVETE BAUNILHA</t>
        </is>
      </c>
      <c r="C663" s="42" t="inlineStr">
        <is>
          <t>PA</t>
        </is>
      </c>
      <c r="D663" s="42" t="inlineStr">
        <is>
          <t>UN</t>
        </is>
      </c>
      <c r="E663" s="42" t="inlineStr">
        <is>
          <t>0106</t>
        </is>
      </c>
      <c r="F663" s="65" t="inlineStr">
        <is>
          <t>Venda</t>
        </is>
      </c>
      <c r="G663" s="68" t="n">
        <v>0</v>
      </c>
      <c r="H663" s="172" t="inlineStr">
        <is>
          <t>Não</t>
        </is>
      </c>
      <c r="I663" s="47" t="inlineStr">
        <is>
          <t>789890568772136</t>
        </is>
      </c>
    </row>
    <row r="664">
      <c r="A664" s="43" t="inlineStr">
        <is>
          <t>010095</t>
        </is>
      </c>
      <c r="B664" s="44" t="inlineStr">
        <is>
          <t>CASQUINHA SORVETE CHOCOLATE</t>
        </is>
      </c>
      <c r="C664" s="45" t="inlineStr">
        <is>
          <t>PA</t>
        </is>
      </c>
      <c r="D664" s="45" t="inlineStr">
        <is>
          <t>UN</t>
        </is>
      </c>
      <c r="E664" s="45" t="inlineStr">
        <is>
          <t>0106</t>
        </is>
      </c>
      <c r="F664" s="65" t="inlineStr">
        <is>
          <t>Venda</t>
        </is>
      </c>
      <c r="G664" s="69" t="n">
        <v>0</v>
      </c>
      <c r="H664" s="172" t="inlineStr">
        <is>
          <t>Não</t>
        </is>
      </c>
      <c r="I664" s="48" t="inlineStr">
        <is>
          <t>789890568772137</t>
        </is>
      </c>
    </row>
    <row r="665">
      <c r="A665" s="40" t="inlineStr">
        <is>
          <t>010096</t>
        </is>
      </c>
      <c r="B665" s="41" t="inlineStr">
        <is>
          <t>CASQUINHA SORVETE MISTA</t>
        </is>
      </c>
      <c r="C665" s="42" t="inlineStr">
        <is>
          <t>PA</t>
        </is>
      </c>
      <c r="D665" s="42" t="inlineStr">
        <is>
          <t>UN</t>
        </is>
      </c>
      <c r="E665" s="42" t="inlineStr">
        <is>
          <t>0106</t>
        </is>
      </c>
      <c r="F665" s="65" t="inlineStr">
        <is>
          <t>Venda</t>
        </is>
      </c>
      <c r="G665" s="68" t="n">
        <v>0</v>
      </c>
      <c r="H665" s="172" t="inlineStr">
        <is>
          <t>Não</t>
        </is>
      </c>
      <c r="I665" s="47" t="inlineStr">
        <is>
          <t>789890568772138</t>
        </is>
      </c>
    </row>
    <row r="666">
      <c r="A666" s="43" t="inlineStr">
        <is>
          <t>009893</t>
        </is>
      </c>
      <c r="B666" s="44" t="inlineStr">
        <is>
          <t>CATALISADOR PARA MASSA PLASTICA</t>
        </is>
      </c>
      <c r="C666" s="45" t="inlineStr">
        <is>
          <t>MC</t>
        </is>
      </c>
      <c r="D666" s="45" t="inlineStr">
        <is>
          <t>UN</t>
        </is>
      </c>
      <c r="E666" s="45" t="inlineStr">
        <is>
          <t>0132</t>
        </is>
      </c>
      <c r="F666" s="70" t="inlineStr">
        <is>
          <t>Compras</t>
        </is>
      </c>
      <c r="G666" s="69" t="n">
        <v>0</v>
      </c>
      <c r="H666" s="172" t="inlineStr">
        <is>
          <t>Não</t>
        </is>
      </c>
      <c r="I666" s="50" t="n"/>
    </row>
    <row r="667">
      <c r="A667" s="40" t="inlineStr">
        <is>
          <t>000384</t>
        </is>
      </c>
      <c r="B667" s="41" t="inlineStr">
        <is>
          <t>CATCHUP SACHE</t>
        </is>
      </c>
      <c r="C667" s="42" t="inlineStr">
        <is>
          <t>MC</t>
        </is>
      </c>
      <c r="D667" s="42" t="inlineStr">
        <is>
          <t>CX</t>
        </is>
      </c>
      <c r="E667" s="42" t="inlineStr">
        <is>
          <t>0029</t>
        </is>
      </c>
      <c r="F667" s="70" t="inlineStr">
        <is>
          <t>Compras</t>
        </is>
      </c>
      <c r="G667" s="71" t="n">
        <v>21.19</v>
      </c>
      <c r="H667" s="172" t="inlineStr">
        <is>
          <t>Não</t>
        </is>
      </c>
      <c r="I667" s="49" t="n"/>
    </row>
    <row r="668">
      <c r="A668" s="43" t="inlineStr">
        <is>
          <t>001500</t>
        </is>
      </c>
      <c r="B668" s="44" t="inlineStr">
        <is>
          <t>CAUCAO</t>
        </is>
      </c>
      <c r="C668" s="45" t="inlineStr">
        <is>
          <t>MR</t>
        </is>
      </c>
      <c r="D668" s="45" t="inlineStr">
        <is>
          <t>UN</t>
        </is>
      </c>
      <c r="E668" s="45" t="inlineStr">
        <is>
          <t>0107</t>
        </is>
      </c>
      <c r="F668" s="65" t="inlineStr">
        <is>
          <t>Venda</t>
        </is>
      </c>
      <c r="G668" s="69" t="n">
        <v>0</v>
      </c>
      <c r="H668" s="177" t="inlineStr">
        <is>
          <t>Sim</t>
        </is>
      </c>
      <c r="I668" s="178" t="n"/>
    </row>
    <row r="669">
      <c r="A669" s="40" t="inlineStr">
        <is>
          <t>000468</t>
        </is>
      </c>
      <c r="B669" s="41" t="inlineStr">
        <is>
          <t>CEBOLA MEDIA</t>
        </is>
      </c>
      <c r="C669" s="42" t="inlineStr">
        <is>
          <t>MP</t>
        </is>
      </c>
      <c r="D669" s="42" t="inlineStr">
        <is>
          <t>KG</t>
        </is>
      </c>
      <c r="E669" s="42" t="inlineStr">
        <is>
          <t>0036</t>
        </is>
      </c>
      <c r="F669" s="70" t="inlineStr">
        <is>
          <t>Compras</t>
        </is>
      </c>
      <c r="G669" s="71" t="n">
        <v>6.55</v>
      </c>
      <c r="H669" s="172" t="inlineStr">
        <is>
          <t>Não</t>
        </is>
      </c>
      <c r="I669" s="49" t="n"/>
    </row>
    <row r="670">
      <c r="A670" s="43" t="inlineStr">
        <is>
          <t>010338</t>
        </is>
      </c>
      <c r="B670" s="44" t="inlineStr">
        <is>
          <t>CEBOLA PEROLA</t>
        </is>
      </c>
      <c r="C670" s="45" t="inlineStr">
        <is>
          <t>MP</t>
        </is>
      </c>
      <c r="D670" s="45" t="inlineStr">
        <is>
          <t>KG</t>
        </is>
      </c>
      <c r="E670" s="45" t="inlineStr">
        <is>
          <t>0036</t>
        </is>
      </c>
      <c r="F670" s="70" t="inlineStr">
        <is>
          <t>Compras</t>
        </is>
      </c>
      <c r="G670" s="69" t="n">
        <v>0</v>
      </c>
      <c r="H670" s="172" t="inlineStr">
        <is>
          <t>Não</t>
        </is>
      </c>
      <c r="I670" s="50" t="n"/>
    </row>
    <row r="671">
      <c r="A671" s="40" t="inlineStr">
        <is>
          <t>000753</t>
        </is>
      </c>
      <c r="B671" s="41" t="inlineStr">
        <is>
          <t>CEBOLA ROXA</t>
        </is>
      </c>
      <c r="C671" s="42" t="inlineStr">
        <is>
          <t>MP</t>
        </is>
      </c>
      <c r="D671" s="42" t="inlineStr">
        <is>
          <t>KG</t>
        </is>
      </c>
      <c r="E671" s="42" t="inlineStr">
        <is>
          <t>0036</t>
        </is>
      </c>
      <c r="F671" s="70" t="inlineStr">
        <is>
          <t>Compras</t>
        </is>
      </c>
      <c r="G671" s="71" t="n">
        <v>8.43</v>
      </c>
      <c r="H671" s="172" t="inlineStr">
        <is>
          <t>Não</t>
        </is>
      </c>
      <c r="I671" s="49" t="n"/>
    </row>
    <row r="672">
      <c r="A672" s="43" t="inlineStr">
        <is>
          <t>000469</t>
        </is>
      </c>
      <c r="B672" s="44" t="inlineStr">
        <is>
          <t>CEBOLINHA</t>
        </is>
      </c>
      <c r="C672" s="45" t="inlineStr">
        <is>
          <t>MP</t>
        </is>
      </c>
      <c r="D672" s="45" t="inlineStr">
        <is>
          <t>KG</t>
        </is>
      </c>
      <c r="E672" s="45" t="inlineStr">
        <is>
          <t>0036</t>
        </is>
      </c>
      <c r="F672" s="70" t="inlineStr">
        <is>
          <t>Compras</t>
        </is>
      </c>
      <c r="G672" s="66" t="n">
        <v>16</v>
      </c>
      <c r="H672" s="172" t="inlineStr">
        <is>
          <t>Não</t>
        </is>
      </c>
      <c r="I672" s="50" t="n"/>
    </row>
    <row r="673">
      <c r="A673" s="40" t="inlineStr">
        <is>
          <t>000647</t>
        </is>
      </c>
      <c r="B673" s="41" t="inlineStr">
        <is>
          <t>CELULAR</t>
        </is>
      </c>
      <c r="C673" s="42" t="inlineStr">
        <is>
          <t>AI</t>
        </is>
      </c>
      <c r="D673" s="42" t="inlineStr">
        <is>
          <t>UN</t>
        </is>
      </c>
      <c r="E673" s="42" t="inlineStr">
        <is>
          <t>0006</t>
        </is>
      </c>
      <c r="F673" s="70" t="inlineStr">
        <is>
          <t>Compras</t>
        </is>
      </c>
      <c r="G673" s="71" t="n">
        <v>1694.94</v>
      </c>
      <c r="H673" s="172" t="inlineStr">
        <is>
          <t>Não</t>
        </is>
      </c>
      <c r="I673" s="49" t="n"/>
    </row>
    <row r="674">
      <c r="A674" s="43" t="inlineStr">
        <is>
          <t>001243</t>
        </is>
      </c>
      <c r="B674" s="44" t="inlineStr">
        <is>
          <t>CELULAR PDV  (COMODATO)</t>
        </is>
      </c>
      <c r="C674" s="45" t="inlineStr">
        <is>
          <t>MC</t>
        </is>
      </c>
      <c r="D674" s="45" t="inlineStr">
        <is>
          <t>UN</t>
        </is>
      </c>
      <c r="E674" s="45" t="inlineStr">
        <is>
          <t>0140</t>
        </is>
      </c>
      <c r="F674" s="70" t="inlineStr">
        <is>
          <t>Compras</t>
        </is>
      </c>
      <c r="G674" s="69" t="n">
        <v>0</v>
      </c>
      <c r="H674" s="172" t="inlineStr">
        <is>
          <t>Não</t>
        </is>
      </c>
      <c r="I674" s="50" t="n"/>
    </row>
    <row r="675">
      <c r="A675" s="40" t="inlineStr">
        <is>
          <t>000470</t>
        </is>
      </c>
      <c r="B675" s="41" t="inlineStr">
        <is>
          <t>CENOURA</t>
        </is>
      </c>
      <c r="C675" s="42" t="inlineStr">
        <is>
          <t>MP</t>
        </is>
      </c>
      <c r="D675" s="42" t="inlineStr">
        <is>
          <t>KG</t>
        </is>
      </c>
      <c r="E675" s="42" t="inlineStr">
        <is>
          <t>0036</t>
        </is>
      </c>
      <c r="F675" s="70" t="inlineStr">
        <is>
          <t>Compras</t>
        </is>
      </c>
      <c r="G675" s="71" t="n">
        <v>11.6</v>
      </c>
      <c r="H675" s="172" t="inlineStr">
        <is>
          <t>Não</t>
        </is>
      </c>
      <c r="I675" s="49" t="n"/>
    </row>
    <row r="676">
      <c r="A676" s="43" t="inlineStr">
        <is>
          <t>010186</t>
        </is>
      </c>
      <c r="B676" s="44" t="inlineStr">
        <is>
          <t>CERA ACRILICA ANTIDERRAPANTE PARA PISO DE MADEIRA</t>
        </is>
      </c>
      <c r="C676" s="45" t="inlineStr">
        <is>
          <t>MC</t>
        </is>
      </c>
      <c r="D676" s="45" t="inlineStr">
        <is>
          <t>UN</t>
        </is>
      </c>
      <c r="E676" s="45" t="inlineStr">
        <is>
          <t>0075</t>
        </is>
      </c>
      <c r="F676" s="70" t="inlineStr">
        <is>
          <t>Compras</t>
        </is>
      </c>
      <c r="G676" s="69" t="n">
        <v>0</v>
      </c>
      <c r="H676" s="172" t="inlineStr">
        <is>
          <t>Não</t>
        </is>
      </c>
      <c r="I676" s="50" t="n"/>
    </row>
    <row r="677">
      <c r="A677" s="40" t="inlineStr">
        <is>
          <t>000078</t>
        </is>
      </c>
      <c r="B677" s="41" t="inlineStr">
        <is>
          <t>CERA LIQUIDA PARA PISO</t>
        </is>
      </c>
      <c r="C677" s="42" t="inlineStr">
        <is>
          <t>MC</t>
        </is>
      </c>
      <c r="D677" s="42" t="inlineStr">
        <is>
          <t>UN</t>
        </is>
      </c>
      <c r="E677" s="42" t="inlineStr">
        <is>
          <t>0075</t>
        </is>
      </c>
      <c r="F677" s="70" t="inlineStr">
        <is>
          <t>Compras</t>
        </is>
      </c>
      <c r="G677" s="71" t="n">
        <v>31.24</v>
      </c>
      <c r="H677" s="172" t="inlineStr">
        <is>
          <t>Não</t>
        </is>
      </c>
      <c r="I677" s="49" t="n"/>
    </row>
    <row r="678">
      <c r="A678" s="43" t="inlineStr">
        <is>
          <t>001016</t>
        </is>
      </c>
      <c r="B678" s="44" t="inlineStr">
        <is>
          <t>CERVEJA BECKS 600 ML</t>
        </is>
      </c>
      <c r="C678" s="45" t="inlineStr">
        <is>
          <t>ME</t>
        </is>
      </c>
      <c r="D678" s="45" t="inlineStr">
        <is>
          <t>UN</t>
        </is>
      </c>
      <c r="E678" s="45" t="inlineStr">
        <is>
          <t>0026</t>
        </is>
      </c>
      <c r="F678" s="70" t="inlineStr">
        <is>
          <t>Compras</t>
        </is>
      </c>
      <c r="G678" s="66" t="n">
        <v>4.1267</v>
      </c>
      <c r="H678" s="172" t="inlineStr">
        <is>
          <t>Não</t>
        </is>
      </c>
      <c r="I678" s="50" t="n"/>
    </row>
    <row r="679">
      <c r="A679" s="40" t="inlineStr">
        <is>
          <t>001017</t>
        </is>
      </c>
      <c r="B679" s="41" t="inlineStr">
        <is>
          <t>CERVEJA BECKS 600 ML</t>
        </is>
      </c>
      <c r="C679" s="42" t="inlineStr">
        <is>
          <t>MR</t>
        </is>
      </c>
      <c r="D679" s="42" t="inlineStr">
        <is>
          <t>UN</t>
        </is>
      </c>
      <c r="E679" s="42" t="inlineStr">
        <is>
          <t>0093</t>
        </is>
      </c>
      <c r="F679" s="65" t="inlineStr">
        <is>
          <t>Venda</t>
        </is>
      </c>
      <c r="G679" s="68" t="n">
        <v>0</v>
      </c>
      <c r="H679" s="172" t="inlineStr">
        <is>
          <t>Não</t>
        </is>
      </c>
      <c r="I679" s="47" t="inlineStr">
        <is>
          <t>9003310</t>
        </is>
      </c>
    </row>
    <row r="680">
      <c r="A680" s="43" t="inlineStr">
        <is>
          <t>001499</t>
        </is>
      </c>
      <c r="B680" s="44" t="inlineStr">
        <is>
          <t>CERVEJA BECKS 600ML</t>
        </is>
      </c>
      <c r="C680" s="45" t="inlineStr">
        <is>
          <t>MR</t>
        </is>
      </c>
      <c r="D680" s="45" t="inlineStr">
        <is>
          <t>UN</t>
        </is>
      </c>
      <c r="E680" s="45" t="inlineStr">
        <is>
          <t>0093</t>
        </is>
      </c>
      <c r="F680" s="65" t="inlineStr">
        <is>
          <t>Venda</t>
        </is>
      </c>
      <c r="G680" s="69" t="n">
        <v>0</v>
      </c>
      <c r="H680" s="173" t="inlineStr">
        <is>
          <t>Sim</t>
        </is>
      </c>
      <c r="I680" s="48" t="inlineStr">
        <is>
          <t>9003310</t>
        </is>
      </c>
    </row>
    <row r="681">
      <c r="A681" s="40" t="inlineStr">
        <is>
          <t>001049</t>
        </is>
      </c>
      <c r="B681" s="41" t="inlineStr">
        <is>
          <t>CERVEJA BECKS LONG NECK</t>
        </is>
      </c>
      <c r="C681" s="42" t="inlineStr">
        <is>
          <t>ME</t>
        </is>
      </c>
      <c r="D681" s="42" t="inlineStr">
        <is>
          <t>UN</t>
        </is>
      </c>
      <c r="E681" s="42" t="inlineStr">
        <is>
          <t>0026</t>
        </is>
      </c>
      <c r="F681" s="70" t="inlineStr">
        <is>
          <t>Compras</t>
        </is>
      </c>
      <c r="G681" s="71" t="n">
        <v>4.01</v>
      </c>
      <c r="H681" s="172" t="inlineStr">
        <is>
          <t>Não</t>
        </is>
      </c>
      <c r="I681" s="49" t="n"/>
    </row>
    <row r="682">
      <c r="A682" s="43" t="inlineStr">
        <is>
          <t>001052</t>
        </is>
      </c>
      <c r="B682" s="44" t="inlineStr">
        <is>
          <t>CERVEJA BRAHMA DUPLO MALTE 600 ML</t>
        </is>
      </c>
      <c r="C682" s="45" t="inlineStr">
        <is>
          <t>ME</t>
        </is>
      </c>
      <c r="D682" s="45" t="inlineStr">
        <is>
          <t>UN</t>
        </is>
      </c>
      <c r="E682" s="45" t="inlineStr">
        <is>
          <t>0026</t>
        </is>
      </c>
      <c r="F682" s="70" t="inlineStr">
        <is>
          <t>Compras</t>
        </is>
      </c>
      <c r="G682" s="69" t="n">
        <v>0</v>
      </c>
      <c r="H682" s="172" t="inlineStr">
        <is>
          <t>Não</t>
        </is>
      </c>
      <c r="I682" s="50" t="n"/>
    </row>
    <row r="683">
      <c r="A683" s="40" t="inlineStr">
        <is>
          <t>002057</t>
        </is>
      </c>
      <c r="B683" s="41" t="inlineStr">
        <is>
          <t>CERVEJA BUDWEISER</t>
        </is>
      </c>
      <c r="C683" s="42" t="inlineStr">
        <is>
          <t>MR</t>
        </is>
      </c>
      <c r="D683" s="42" t="inlineStr">
        <is>
          <t>UN</t>
        </is>
      </c>
      <c r="E683" s="42" t="inlineStr">
        <is>
          <t>0093</t>
        </is>
      </c>
      <c r="F683" s="65" t="inlineStr">
        <is>
          <t>Venda</t>
        </is>
      </c>
      <c r="G683" s="71" t="n">
        <v>4.6308</v>
      </c>
      <c r="H683" s="177" t="inlineStr">
        <is>
          <t>Sim</t>
        </is>
      </c>
      <c r="I683" s="178" t="n"/>
    </row>
    <row r="684">
      <c r="A684" s="43" t="inlineStr">
        <is>
          <t>000689</t>
        </is>
      </c>
      <c r="B684" s="44" t="inlineStr">
        <is>
          <t>CERVEJA BUDWEISER 600  ML</t>
        </is>
      </c>
      <c r="C684" s="45" t="inlineStr">
        <is>
          <t>ME</t>
        </is>
      </c>
      <c r="D684" s="45" t="inlineStr">
        <is>
          <t>UN</t>
        </is>
      </c>
      <c r="E684" s="45" t="inlineStr">
        <is>
          <t>0026</t>
        </is>
      </c>
      <c r="F684" s="70" t="inlineStr">
        <is>
          <t>Compras</t>
        </is>
      </c>
      <c r="G684" s="66" t="n">
        <v>5.4558</v>
      </c>
      <c r="H684" s="172" t="inlineStr">
        <is>
          <t>Não</t>
        </is>
      </c>
      <c r="I684" s="50" t="n"/>
    </row>
    <row r="685">
      <c r="A685" s="40" t="inlineStr">
        <is>
          <t>000373</t>
        </is>
      </c>
      <c r="B685" s="41" t="inlineStr">
        <is>
          <t>CERVEJA COLORADO APPIA-600 ML</t>
        </is>
      </c>
      <c r="C685" s="42" t="inlineStr">
        <is>
          <t>ME</t>
        </is>
      </c>
      <c r="D685" s="42" t="inlineStr">
        <is>
          <t>UN</t>
        </is>
      </c>
      <c r="E685" s="42" t="inlineStr">
        <is>
          <t>0026</t>
        </is>
      </c>
      <c r="F685" s="70" t="inlineStr">
        <is>
          <t>Compras</t>
        </is>
      </c>
      <c r="G685" s="68" t="n">
        <v>0</v>
      </c>
      <c r="H685" s="172" t="inlineStr">
        <is>
          <t>Não</t>
        </is>
      </c>
      <c r="I685" s="49" t="n"/>
    </row>
    <row r="686">
      <c r="A686" s="43" t="inlineStr">
        <is>
          <t>000745</t>
        </is>
      </c>
      <c r="B686" s="44" t="inlineStr">
        <is>
          <t>CERVEJA COLORADO RIBEIRAO -600 ML</t>
        </is>
      </c>
      <c r="C686" s="45" t="inlineStr">
        <is>
          <t>ME</t>
        </is>
      </c>
      <c r="D686" s="45" t="inlineStr">
        <is>
          <t>UN</t>
        </is>
      </c>
      <c r="E686" s="45" t="inlineStr">
        <is>
          <t>0026</t>
        </is>
      </c>
      <c r="F686" s="70" t="inlineStr">
        <is>
          <t>Compras</t>
        </is>
      </c>
      <c r="G686" s="69" t="n">
        <v>0</v>
      </c>
      <c r="H686" s="172" t="inlineStr">
        <is>
          <t>Não</t>
        </is>
      </c>
      <c r="I686" s="50" t="n"/>
    </row>
    <row r="687">
      <c r="A687" s="40" t="inlineStr">
        <is>
          <t>001166</t>
        </is>
      </c>
      <c r="B687" s="41" t="inlineStr">
        <is>
          <t>CERVEJA COLORADO RIBEIRAO 350 ML</t>
        </is>
      </c>
      <c r="C687" s="42" t="inlineStr">
        <is>
          <t>ME</t>
        </is>
      </c>
      <c r="D687" s="42" t="inlineStr">
        <is>
          <t>UN</t>
        </is>
      </c>
      <c r="E687" s="42" t="inlineStr">
        <is>
          <t>0026</t>
        </is>
      </c>
      <c r="F687" s="70" t="inlineStr">
        <is>
          <t>Compras</t>
        </is>
      </c>
      <c r="G687" s="68" t="n">
        <v>0</v>
      </c>
      <c r="H687" s="172" t="inlineStr">
        <is>
          <t>Não</t>
        </is>
      </c>
      <c r="I687" s="49" t="n"/>
    </row>
    <row r="688">
      <c r="A688" s="43" t="inlineStr">
        <is>
          <t>001784</t>
        </is>
      </c>
      <c r="B688" s="44" t="inlineStr">
        <is>
          <t>CERVEJA CORONA 600ML - COMPRAS</t>
        </is>
      </c>
      <c r="C688" s="45" t="inlineStr">
        <is>
          <t>ME</t>
        </is>
      </c>
      <c r="D688" s="45" t="inlineStr">
        <is>
          <t>UN</t>
        </is>
      </c>
      <c r="E688" s="45" t="inlineStr">
        <is>
          <t>0026</t>
        </is>
      </c>
      <c r="F688" s="70" t="inlineStr">
        <is>
          <t>Compras</t>
        </is>
      </c>
      <c r="G688" s="66" t="n">
        <v>4.4388</v>
      </c>
      <c r="H688" s="172" t="inlineStr">
        <is>
          <t>Não</t>
        </is>
      </c>
      <c r="I688" s="50" t="n"/>
    </row>
    <row r="689">
      <c r="A689" s="40" t="inlineStr">
        <is>
          <t>002256</t>
        </is>
      </c>
      <c r="B689" s="41" t="inlineStr">
        <is>
          <t>CERVEJA FLYING FISH LONG NECK</t>
        </is>
      </c>
      <c r="C689" s="42" t="inlineStr">
        <is>
          <t>ME</t>
        </is>
      </c>
      <c r="D689" s="42" t="inlineStr">
        <is>
          <t>UN</t>
        </is>
      </c>
      <c r="E689" s="42" t="inlineStr">
        <is>
          <t>0026</t>
        </is>
      </c>
      <c r="F689" s="70" t="inlineStr">
        <is>
          <t>Compras</t>
        </is>
      </c>
      <c r="G689" s="68" t="n">
        <v>0</v>
      </c>
      <c r="H689" s="172" t="inlineStr">
        <is>
          <t>Não</t>
        </is>
      </c>
      <c r="I689" s="49" t="n"/>
    </row>
    <row r="690">
      <c r="A690" s="43" t="inlineStr">
        <is>
          <t>000204</t>
        </is>
      </c>
      <c r="B690" s="44" t="inlineStr">
        <is>
          <t>CERVEJA GOOSE ISLAND IPA INS</t>
        </is>
      </c>
      <c r="C690" s="45" t="inlineStr">
        <is>
          <t>ME</t>
        </is>
      </c>
      <c r="D690" s="45" t="inlineStr">
        <is>
          <t>UN</t>
        </is>
      </c>
      <c r="E690" s="45" t="inlineStr">
        <is>
          <t>0026</t>
        </is>
      </c>
      <c r="F690" s="70" t="inlineStr">
        <is>
          <t>Compras</t>
        </is>
      </c>
      <c r="G690" s="69" t="n">
        <v>0</v>
      </c>
      <c r="H690" s="172" t="inlineStr">
        <is>
          <t>Não</t>
        </is>
      </c>
      <c r="I690" s="50" t="n"/>
    </row>
    <row r="691">
      <c r="A691" s="40" t="inlineStr">
        <is>
          <t>001414</t>
        </is>
      </c>
      <c r="B691" s="41" t="inlineStr">
        <is>
          <t>CERVEJA IPA QUINTAL</t>
        </is>
      </c>
      <c r="C691" s="42" t="inlineStr">
        <is>
          <t>MR</t>
        </is>
      </c>
      <c r="D691" s="42" t="inlineStr">
        <is>
          <t>UN</t>
        </is>
      </c>
      <c r="E691" s="42" t="inlineStr">
        <is>
          <t>0093</t>
        </is>
      </c>
      <c r="F691" s="65" t="inlineStr">
        <is>
          <t>Venda</t>
        </is>
      </c>
      <c r="G691" s="71" t="n">
        <v>35</v>
      </c>
      <c r="H691" s="172" t="inlineStr">
        <is>
          <t>Não</t>
        </is>
      </c>
      <c r="I691" s="47" t="inlineStr">
        <is>
          <t>7898905687611</t>
        </is>
      </c>
    </row>
    <row r="692">
      <c r="A692" s="43" t="inlineStr">
        <is>
          <t>000310</t>
        </is>
      </c>
      <c r="B692" s="44" t="inlineStr">
        <is>
          <t>CERVEJA ORIGINAL 600ML</t>
        </is>
      </c>
      <c r="C692" s="45" t="inlineStr">
        <is>
          <t>ME</t>
        </is>
      </c>
      <c r="D692" s="45" t="inlineStr">
        <is>
          <t>UN</t>
        </is>
      </c>
      <c r="E692" s="45" t="inlineStr">
        <is>
          <t>0026</t>
        </is>
      </c>
      <c r="F692" s="70" t="inlineStr">
        <is>
          <t>Compras</t>
        </is>
      </c>
      <c r="G692" s="66" t="n">
        <v>3.3572</v>
      </c>
      <c r="H692" s="172" t="inlineStr">
        <is>
          <t>Não</t>
        </is>
      </c>
      <c r="I692" s="50" t="n"/>
    </row>
    <row r="693">
      <c r="A693" s="40" t="inlineStr">
        <is>
          <t>001316</t>
        </is>
      </c>
      <c r="B693" s="41" t="inlineStr">
        <is>
          <t>CERVEJA PATAGONIA IPA 600 ML</t>
        </is>
      </c>
      <c r="C693" s="42" t="inlineStr">
        <is>
          <t>ME</t>
        </is>
      </c>
      <c r="D693" s="42" t="inlineStr">
        <is>
          <t>UN</t>
        </is>
      </c>
      <c r="E693" s="42" t="inlineStr">
        <is>
          <t>0026</t>
        </is>
      </c>
      <c r="F693" s="70" t="inlineStr">
        <is>
          <t>Compras</t>
        </is>
      </c>
      <c r="G693" s="68" t="n">
        <v>0</v>
      </c>
      <c r="H693" s="172" t="inlineStr">
        <is>
          <t>Não</t>
        </is>
      </c>
      <c r="I693" s="49" t="n"/>
    </row>
    <row r="694">
      <c r="A694" s="43" t="inlineStr">
        <is>
          <t>001412</t>
        </is>
      </c>
      <c r="B694" s="44" t="inlineStr">
        <is>
          <t>CERVEJA QUINTAL IPA</t>
        </is>
      </c>
      <c r="C694" s="45" t="inlineStr">
        <is>
          <t>ME</t>
        </is>
      </c>
      <c r="D694" s="45" t="inlineStr">
        <is>
          <t>UN</t>
        </is>
      </c>
      <c r="E694" s="45" t="inlineStr">
        <is>
          <t>0026</t>
        </is>
      </c>
      <c r="F694" s="70" t="inlineStr">
        <is>
          <t>Compras</t>
        </is>
      </c>
      <c r="G694" s="66" t="n">
        <v>10.3</v>
      </c>
      <c r="H694" s="172" t="inlineStr">
        <is>
          <t>Não</t>
        </is>
      </c>
      <c r="I694" s="50" t="n"/>
    </row>
    <row r="695">
      <c r="A695" s="40" t="inlineStr">
        <is>
          <t>001413</t>
        </is>
      </c>
      <c r="B695" s="41" t="inlineStr">
        <is>
          <t>CERVEJA QUINTAL PILSEN</t>
        </is>
      </c>
      <c r="C695" s="42" t="inlineStr">
        <is>
          <t>MR</t>
        </is>
      </c>
      <c r="D695" s="42" t="inlineStr">
        <is>
          <t>UN</t>
        </is>
      </c>
      <c r="E695" s="42" t="inlineStr">
        <is>
          <t>0093</t>
        </is>
      </c>
      <c r="F695" s="65" t="inlineStr">
        <is>
          <t>Venda</t>
        </is>
      </c>
      <c r="G695" s="71" t="n">
        <v>8.800000000000001</v>
      </c>
      <c r="H695" s="172" t="inlineStr">
        <is>
          <t>Não</t>
        </is>
      </c>
      <c r="I695" s="47" t="inlineStr">
        <is>
          <t>7898905687610</t>
        </is>
      </c>
    </row>
    <row r="696">
      <c r="A696" s="43" t="inlineStr">
        <is>
          <t>001411</t>
        </is>
      </c>
      <c r="B696" s="44" t="inlineStr">
        <is>
          <t>CERVEJA QUNTAL PILSEN</t>
        </is>
      </c>
      <c r="C696" s="45" t="inlineStr">
        <is>
          <t>ME</t>
        </is>
      </c>
      <c r="D696" s="45" t="inlineStr">
        <is>
          <t>UN</t>
        </is>
      </c>
      <c r="E696" s="45" t="inlineStr">
        <is>
          <t>0026</t>
        </is>
      </c>
      <c r="F696" s="70" t="inlineStr">
        <is>
          <t>Compras</t>
        </is>
      </c>
      <c r="G696" s="66" t="n">
        <v>9.5</v>
      </c>
      <c r="H696" s="172" t="inlineStr">
        <is>
          <t>Não</t>
        </is>
      </c>
      <c r="I696" s="50" t="n"/>
    </row>
    <row r="697">
      <c r="A697" s="40" t="inlineStr">
        <is>
          <t>000311</t>
        </is>
      </c>
      <c r="B697" s="41" t="inlineStr">
        <is>
          <t>CERVEJA SERRA MALTE 600ML</t>
        </is>
      </c>
      <c r="C697" s="42" t="inlineStr">
        <is>
          <t>ME</t>
        </is>
      </c>
      <c r="D697" s="42" t="inlineStr">
        <is>
          <t>UN</t>
        </is>
      </c>
      <c r="E697" s="42" t="inlineStr">
        <is>
          <t>0026</t>
        </is>
      </c>
      <c r="F697" s="70" t="inlineStr">
        <is>
          <t>Compras</t>
        </is>
      </c>
      <c r="G697" s="68" t="n">
        <v>0</v>
      </c>
      <c r="H697" s="172" t="inlineStr">
        <is>
          <t>Não</t>
        </is>
      </c>
      <c r="I697" s="49" t="n"/>
    </row>
    <row r="698">
      <c r="A698" s="43" t="inlineStr">
        <is>
          <t>001227</t>
        </is>
      </c>
      <c r="B698" s="44" t="inlineStr">
        <is>
          <t>CERVEJA SPATEN 600 ML</t>
        </is>
      </c>
      <c r="C698" s="45" t="inlineStr">
        <is>
          <t>ME</t>
        </is>
      </c>
      <c r="D698" s="45" t="inlineStr">
        <is>
          <t>UN</t>
        </is>
      </c>
      <c r="E698" s="45" t="inlineStr">
        <is>
          <t>0026</t>
        </is>
      </c>
      <c r="F698" s="70" t="inlineStr">
        <is>
          <t>Compras</t>
        </is>
      </c>
      <c r="G698" s="66" t="n">
        <v>4.7516</v>
      </c>
      <c r="H698" s="172" t="inlineStr">
        <is>
          <t>Não</t>
        </is>
      </c>
      <c r="I698" s="50" t="n"/>
    </row>
    <row r="699">
      <c r="A699" s="40" t="inlineStr">
        <is>
          <t>001228</t>
        </is>
      </c>
      <c r="B699" s="41" t="inlineStr">
        <is>
          <t>CERVEJA SPATEN 600 ML</t>
        </is>
      </c>
      <c r="C699" s="42" t="inlineStr">
        <is>
          <t>MR</t>
        </is>
      </c>
      <c r="D699" s="42" t="inlineStr">
        <is>
          <t>UN</t>
        </is>
      </c>
      <c r="E699" s="42" t="inlineStr">
        <is>
          <t>0093</t>
        </is>
      </c>
      <c r="F699" s="65" t="inlineStr">
        <is>
          <t>Venda</t>
        </is>
      </c>
      <c r="G699" s="68" t="n">
        <v>0</v>
      </c>
      <c r="H699" s="172" t="inlineStr">
        <is>
          <t>Não</t>
        </is>
      </c>
      <c r="I699" s="47" t="inlineStr">
        <is>
          <t>9003579</t>
        </is>
      </c>
    </row>
    <row r="700">
      <c r="A700" s="43" t="inlineStr">
        <is>
          <t>001326</t>
        </is>
      </c>
      <c r="B700" s="44" t="inlineStr">
        <is>
          <t>CERVEJA SPATEN LONG NECK</t>
        </is>
      </c>
      <c r="C700" s="45" t="inlineStr">
        <is>
          <t>ME</t>
        </is>
      </c>
      <c r="D700" s="45" t="inlineStr">
        <is>
          <t>UN</t>
        </is>
      </c>
      <c r="E700" s="45" t="inlineStr">
        <is>
          <t>0026</t>
        </is>
      </c>
      <c r="F700" s="70" t="inlineStr">
        <is>
          <t>Compras</t>
        </is>
      </c>
      <c r="G700" s="66" t="n">
        <v>4.076</v>
      </c>
      <c r="H700" s="172" t="inlineStr">
        <is>
          <t>Não</t>
        </is>
      </c>
      <c r="I700" s="50" t="n"/>
    </row>
    <row r="701">
      <c r="A701" s="40" t="inlineStr">
        <is>
          <t>000674</t>
        </is>
      </c>
      <c r="B701" s="41" t="inlineStr">
        <is>
          <t>CERVEJA STELLA ARTOIS  600 ML</t>
        </is>
      </c>
      <c r="C701" s="42" t="inlineStr">
        <is>
          <t>ME</t>
        </is>
      </c>
      <c r="D701" s="42" t="inlineStr">
        <is>
          <t>UN</t>
        </is>
      </c>
      <c r="E701" s="42" t="inlineStr">
        <is>
          <t>0026</t>
        </is>
      </c>
      <c r="F701" s="70" t="inlineStr">
        <is>
          <t>Compras</t>
        </is>
      </c>
      <c r="G701" s="71" t="n">
        <v>3.9451</v>
      </c>
      <c r="H701" s="172" t="inlineStr">
        <is>
          <t>Não</t>
        </is>
      </c>
      <c r="I701" s="49" t="n"/>
    </row>
    <row r="702">
      <c r="A702" s="43" t="inlineStr">
        <is>
          <t>001682</t>
        </is>
      </c>
      <c r="B702" s="44" t="inlineStr">
        <is>
          <t>CESSAO DE ANDAIMES, PALCOS, CO</t>
        </is>
      </c>
      <c r="C702" s="45" t="inlineStr">
        <is>
          <t>SV</t>
        </is>
      </c>
      <c r="D702" s="45" t="inlineStr">
        <is>
          <t>UN</t>
        </is>
      </c>
      <c r="E702" s="45" t="inlineStr">
        <is>
          <t>(VAZ</t>
        </is>
      </c>
      <c r="F702" s="70" t="inlineStr">
        <is>
          <t>Compras</t>
        </is>
      </c>
      <c r="G702" s="69" t="n">
        <v>0</v>
      </c>
      <c r="H702" s="172" t="inlineStr">
        <is>
          <t>Não</t>
        </is>
      </c>
      <c r="I702" s="50" t="n"/>
    </row>
    <row r="703">
      <c r="A703" s="40" t="inlineStr">
        <is>
          <t>001638</t>
        </is>
      </c>
      <c r="B703" s="41" t="inlineStr">
        <is>
          <t>CESSAO DE DIR. USO MARCAS PROP</t>
        </is>
      </c>
      <c r="C703" s="42" t="inlineStr">
        <is>
          <t>SV</t>
        </is>
      </c>
      <c r="D703" s="42" t="inlineStr">
        <is>
          <t>UN</t>
        </is>
      </c>
      <c r="E703" s="42" t="inlineStr">
        <is>
          <t>(VAZ</t>
        </is>
      </c>
      <c r="F703" s="70" t="inlineStr">
        <is>
          <t>Compras</t>
        </is>
      </c>
      <c r="G703" s="68" t="n">
        <v>0</v>
      </c>
      <c r="H703" s="172" t="inlineStr">
        <is>
          <t>Não</t>
        </is>
      </c>
      <c r="I703" s="49" t="n"/>
    </row>
    <row r="704">
      <c r="A704" s="43" t="inlineStr">
        <is>
          <t>001460</t>
        </is>
      </c>
      <c r="B704" s="44" t="inlineStr">
        <is>
          <t>BANANA PRATA</t>
        </is>
      </c>
      <c r="C704" s="45" t="inlineStr">
        <is>
          <t>MR</t>
        </is>
      </c>
      <c r="D704" s="45" t="inlineStr">
        <is>
          <t>KG</t>
        </is>
      </c>
      <c r="E704" s="45" t="inlineStr">
        <is>
          <t>0036</t>
        </is>
      </c>
      <c r="F704" s="70" t="inlineStr">
        <is>
          <t>Compras</t>
        </is>
      </c>
      <c r="G704" s="66" t="n">
        <v>3.95</v>
      </c>
      <c r="H704" s="173" t="inlineStr">
        <is>
          <t>Sim</t>
        </is>
      </c>
      <c r="I704" s="50" t="n"/>
    </row>
    <row r="705">
      <c r="A705" s="40" t="inlineStr">
        <is>
          <t>009364</t>
        </is>
      </c>
      <c r="B705" s="41" t="inlineStr">
        <is>
          <t>CESTA DE BASQUETE</t>
        </is>
      </c>
      <c r="C705" s="42" t="inlineStr">
        <is>
          <t>MC</t>
        </is>
      </c>
      <c r="D705" s="42" t="inlineStr">
        <is>
          <t>UN</t>
        </is>
      </c>
      <c r="E705" s="42" t="inlineStr">
        <is>
          <t>0132</t>
        </is>
      </c>
      <c r="F705" s="70" t="inlineStr">
        <is>
          <t>Compras</t>
        </is>
      </c>
      <c r="G705" s="71" t="n">
        <v>199.99</v>
      </c>
      <c r="H705" s="172" t="inlineStr">
        <is>
          <t>Não</t>
        </is>
      </c>
      <c r="I705" s="49" t="n"/>
    </row>
    <row r="706">
      <c r="A706" s="43" t="inlineStr">
        <is>
          <t>000666</t>
        </is>
      </c>
      <c r="B706" s="44" t="inlineStr">
        <is>
          <t>CESTA DE NATAL</t>
        </is>
      </c>
      <c r="C706" s="45" t="inlineStr">
        <is>
          <t>MC</t>
        </is>
      </c>
      <c r="D706" s="45" t="inlineStr">
        <is>
          <t>UN</t>
        </is>
      </c>
      <c r="E706" s="45" t="inlineStr">
        <is>
          <t>0135</t>
        </is>
      </c>
      <c r="F706" s="70" t="inlineStr">
        <is>
          <t>Compras</t>
        </is>
      </c>
      <c r="G706" s="66" t="n">
        <v>0.62</v>
      </c>
      <c r="H706" s="172" t="inlineStr">
        <is>
          <t>Não</t>
        </is>
      </c>
      <c r="I706" s="50" t="n"/>
    </row>
    <row r="707">
      <c r="A707" s="40" t="inlineStr">
        <is>
          <t>001175</t>
        </is>
      </c>
      <c r="B707" s="41" t="inlineStr">
        <is>
          <t>CHA FRUTAS VERMELHAS SACHE CX COM 10 SACHES</t>
        </is>
      </c>
      <c r="C707" s="42" t="inlineStr">
        <is>
          <t>MP</t>
        </is>
      </c>
      <c r="D707" s="42" t="inlineStr">
        <is>
          <t>UN</t>
        </is>
      </c>
      <c r="E707" s="42" t="inlineStr">
        <is>
          <t>0024</t>
        </is>
      </c>
      <c r="F707" s="70" t="inlineStr">
        <is>
          <t>Compras</t>
        </is>
      </c>
      <c r="G707" s="71" t="n">
        <v>9.425000000000001</v>
      </c>
      <c r="H707" s="172" t="inlineStr">
        <is>
          <t>Não</t>
        </is>
      </c>
      <c r="I707" s="49" t="n"/>
    </row>
    <row r="708">
      <c r="A708" s="43" t="inlineStr">
        <is>
          <t>001927</t>
        </is>
      </c>
      <c r="B708" s="44" t="inlineStr">
        <is>
          <t>CHA MATE DE PESSEGO 1,5 LT</t>
        </is>
      </c>
      <c r="C708" s="45" t="inlineStr">
        <is>
          <t>MP</t>
        </is>
      </c>
      <c r="D708" s="45" t="inlineStr">
        <is>
          <t>LT</t>
        </is>
      </c>
      <c r="E708" s="45" t="inlineStr">
        <is>
          <t>0024</t>
        </is>
      </c>
      <c r="F708" s="70" t="inlineStr">
        <is>
          <t>Compras</t>
        </is>
      </c>
      <c r="G708" s="66" t="n">
        <v>5.2733</v>
      </c>
      <c r="H708" s="172" t="inlineStr">
        <is>
          <t>Não</t>
        </is>
      </c>
      <c r="I708" s="50" t="n"/>
    </row>
    <row r="709">
      <c r="A709" s="40" t="inlineStr">
        <is>
          <t>001928</t>
        </is>
      </c>
      <c r="B709" s="41" t="inlineStr">
        <is>
          <t>CHA MATE ORIGINAL 1,5LT</t>
        </is>
      </c>
      <c r="C709" s="42" t="inlineStr">
        <is>
          <t>MP</t>
        </is>
      </c>
      <c r="D709" s="42" t="inlineStr">
        <is>
          <t>LT</t>
        </is>
      </c>
      <c r="E709" s="42" t="inlineStr">
        <is>
          <t>0024</t>
        </is>
      </c>
      <c r="F709" s="70" t="inlineStr">
        <is>
          <t>Compras</t>
        </is>
      </c>
      <c r="G709" s="71" t="n">
        <v>5.9333</v>
      </c>
      <c r="H709" s="172" t="inlineStr">
        <is>
          <t>Não</t>
        </is>
      </c>
      <c r="I709" s="49" t="n"/>
    </row>
    <row r="710">
      <c r="A710" s="43" t="inlineStr">
        <is>
          <t>009742</t>
        </is>
      </c>
      <c r="B710" s="44" t="inlineStr">
        <is>
          <t>CHA MATTE CAMOMILA EM SACHES</t>
        </is>
      </c>
      <c r="C710" s="45" t="inlineStr">
        <is>
          <t>MC</t>
        </is>
      </c>
      <c r="D710" s="45" t="inlineStr">
        <is>
          <t>UN</t>
        </is>
      </c>
      <c r="E710" s="45" t="inlineStr">
        <is>
          <t>0013</t>
        </is>
      </c>
      <c r="F710" s="70" t="inlineStr">
        <is>
          <t>Compras</t>
        </is>
      </c>
      <c r="G710" s="66" t="n">
        <v>3.49</v>
      </c>
      <c r="H710" s="172" t="inlineStr">
        <is>
          <t>Não</t>
        </is>
      </c>
      <c r="I710" s="50" t="n"/>
    </row>
    <row r="711">
      <c r="A711" s="40" t="inlineStr">
        <is>
          <t>009744</t>
        </is>
      </c>
      <c r="B711" s="41" t="inlineStr">
        <is>
          <t>CHA MATTE CIDREIRA EM SACHES</t>
        </is>
      </c>
      <c r="C711" s="42" t="inlineStr">
        <is>
          <t>MC</t>
        </is>
      </c>
      <c r="D711" s="42" t="inlineStr">
        <is>
          <t>UN</t>
        </is>
      </c>
      <c r="E711" s="42" t="inlineStr">
        <is>
          <t>0013</t>
        </is>
      </c>
      <c r="F711" s="70" t="inlineStr">
        <is>
          <t>Compras</t>
        </is>
      </c>
      <c r="G711" s="68" t="n">
        <v>0</v>
      </c>
      <c r="H711" s="172" t="inlineStr">
        <is>
          <t>Não</t>
        </is>
      </c>
      <c r="I711" s="49" t="n"/>
    </row>
    <row r="712">
      <c r="A712" s="43" t="inlineStr">
        <is>
          <t>009746</t>
        </is>
      </c>
      <c r="B712" s="44" t="inlineStr">
        <is>
          <t>CHA MATTE COM LIMAO EM SACHES</t>
        </is>
      </c>
      <c r="C712" s="45" t="inlineStr">
        <is>
          <t>MC</t>
        </is>
      </c>
      <c r="D712" s="45" t="inlineStr">
        <is>
          <t>UN</t>
        </is>
      </c>
      <c r="E712" s="45" t="inlineStr">
        <is>
          <t>0013</t>
        </is>
      </c>
      <c r="F712" s="70" t="inlineStr">
        <is>
          <t>Compras</t>
        </is>
      </c>
      <c r="G712" s="66" t="n">
        <v>6.49</v>
      </c>
      <c r="H712" s="172" t="inlineStr">
        <is>
          <t>Não</t>
        </is>
      </c>
      <c r="I712" s="50" t="n"/>
    </row>
    <row r="713">
      <c r="A713" s="40" t="inlineStr">
        <is>
          <t>009743</t>
        </is>
      </c>
      <c r="B713" s="41" t="inlineStr">
        <is>
          <t>CHA MATTE HORTELA EM SACHES</t>
        </is>
      </c>
      <c r="C713" s="42" t="inlineStr">
        <is>
          <t>MC</t>
        </is>
      </c>
      <c r="D713" s="42" t="inlineStr">
        <is>
          <t>UN</t>
        </is>
      </c>
      <c r="E713" s="42" t="inlineStr">
        <is>
          <t>0013</t>
        </is>
      </c>
      <c r="F713" s="70" t="inlineStr">
        <is>
          <t>Compras</t>
        </is>
      </c>
      <c r="G713" s="71" t="n">
        <v>3.79</v>
      </c>
      <c r="H713" s="172" t="inlineStr">
        <is>
          <t>Não</t>
        </is>
      </c>
      <c r="I713" s="49" t="n"/>
    </row>
    <row r="714">
      <c r="A714" s="43" t="inlineStr">
        <is>
          <t>009745</t>
        </is>
      </c>
      <c r="B714" s="44" t="inlineStr">
        <is>
          <t>CHA MATTE ORIGINAL EM SACHES</t>
        </is>
      </c>
      <c r="C714" s="45" t="inlineStr">
        <is>
          <t>MC</t>
        </is>
      </c>
      <c r="D714" s="45" t="inlineStr">
        <is>
          <t>UN</t>
        </is>
      </c>
      <c r="E714" s="45" t="inlineStr">
        <is>
          <t>0013</t>
        </is>
      </c>
      <c r="F714" s="70" t="inlineStr">
        <is>
          <t>Compras</t>
        </is>
      </c>
      <c r="G714" s="66" t="n">
        <v>5.98</v>
      </c>
      <c r="H714" s="172" t="inlineStr">
        <is>
          <t>Não</t>
        </is>
      </c>
      <c r="I714" s="50" t="n"/>
    </row>
    <row r="715">
      <c r="A715" s="40" t="inlineStr">
        <is>
          <t>010218</t>
        </is>
      </c>
      <c r="B715" s="41" t="inlineStr">
        <is>
          <t>CHA TWININGS PRETO C FRUTAS VERMELHAS</t>
        </is>
      </c>
      <c r="C715" s="42" t="inlineStr">
        <is>
          <t>MP</t>
        </is>
      </c>
      <c r="D715" s="42" t="inlineStr">
        <is>
          <t>UN</t>
        </is>
      </c>
      <c r="E715" s="42" t="inlineStr">
        <is>
          <t>0024</t>
        </is>
      </c>
      <c r="F715" s="70" t="inlineStr">
        <is>
          <t>Compras</t>
        </is>
      </c>
      <c r="G715" s="71" t="n">
        <v>2.016</v>
      </c>
      <c r="H715" s="172" t="inlineStr">
        <is>
          <t>Não</t>
        </is>
      </c>
      <c r="I715" s="49" t="n"/>
    </row>
    <row r="716">
      <c r="A716" s="43" t="inlineStr">
        <is>
          <t>002278</t>
        </is>
      </c>
      <c r="B716" s="44" t="inlineStr">
        <is>
          <t>CHALEIRA ELETRICA</t>
        </is>
      </c>
      <c r="C716" s="45" t="inlineStr">
        <is>
          <t>MC</t>
        </is>
      </c>
      <c r="D716" s="45" t="inlineStr">
        <is>
          <t>UN</t>
        </is>
      </c>
      <c r="E716" s="45" t="inlineStr">
        <is>
          <t>0080</t>
        </is>
      </c>
      <c r="F716" s="70" t="inlineStr">
        <is>
          <t>Compras</t>
        </is>
      </c>
      <c r="G716" s="66" t="n">
        <v>42.58</v>
      </c>
      <c r="H716" s="172" t="inlineStr">
        <is>
          <t>Não</t>
        </is>
      </c>
      <c r="I716" s="50" t="n"/>
    </row>
    <row r="717">
      <c r="A717" s="40" t="inlineStr">
        <is>
          <t>001997</t>
        </is>
      </c>
      <c r="B717" s="41" t="inlineStr">
        <is>
          <t>COGUMELO CHAMPIGNON FATIADO BD 2KG</t>
        </is>
      </c>
      <c r="C717" s="42" t="inlineStr">
        <is>
          <t>MR</t>
        </is>
      </c>
      <c r="D717" s="42" t="inlineStr">
        <is>
          <t>UN</t>
        </is>
      </c>
      <c r="E717" s="42" t="inlineStr">
        <is>
          <t>0029</t>
        </is>
      </c>
      <c r="F717" s="70" t="inlineStr">
        <is>
          <t>Compras</t>
        </is>
      </c>
      <c r="G717" s="71" t="n">
        <v>46.7293</v>
      </c>
      <c r="H717" s="172" t="inlineStr">
        <is>
          <t>Não</t>
        </is>
      </c>
      <c r="I717" s="49" t="n"/>
    </row>
    <row r="718">
      <c r="A718" s="43" t="inlineStr">
        <is>
          <t>001156</t>
        </is>
      </c>
      <c r="B718" s="44" t="inlineStr">
        <is>
          <t>CHANDON BABY ROSE</t>
        </is>
      </c>
      <c r="C718" s="45" t="inlineStr">
        <is>
          <t>MR</t>
        </is>
      </c>
      <c r="D718" s="45" t="inlineStr">
        <is>
          <t>UN</t>
        </is>
      </c>
      <c r="E718" s="45" t="inlineStr">
        <is>
          <t>0116</t>
        </is>
      </c>
      <c r="F718" s="43" t="n"/>
      <c r="G718" s="69" t="n">
        <v>0</v>
      </c>
      <c r="H718" s="173" t="inlineStr">
        <is>
          <t>Sim</t>
        </is>
      </c>
      <c r="I718" s="50" t="n"/>
    </row>
    <row r="719">
      <c r="A719" s="40" t="inlineStr">
        <is>
          <t>001152</t>
        </is>
      </c>
      <c r="B719" s="41" t="inlineStr">
        <is>
          <t>CHANDON BRUT 750ML</t>
        </is>
      </c>
      <c r="C719" s="42" t="inlineStr">
        <is>
          <t>MR</t>
        </is>
      </c>
      <c r="D719" s="42" t="inlineStr">
        <is>
          <t>UN</t>
        </is>
      </c>
      <c r="E719" s="42" t="inlineStr">
        <is>
          <t>0116</t>
        </is>
      </c>
      <c r="F719" s="40" t="n"/>
      <c r="G719" s="68" t="n">
        <v>0</v>
      </c>
      <c r="H719" s="173" t="inlineStr">
        <is>
          <t>Sim</t>
        </is>
      </c>
      <c r="I719" s="47" t="inlineStr">
        <is>
          <t>9003492</t>
        </is>
      </c>
    </row>
    <row r="720">
      <c r="A720" s="43" t="inlineStr">
        <is>
          <t>001140</t>
        </is>
      </c>
      <c r="B720" s="44" t="inlineStr">
        <is>
          <t>CHANDON ROSE 187 ML</t>
        </is>
      </c>
      <c r="C720" s="45" t="inlineStr">
        <is>
          <t>MR</t>
        </is>
      </c>
      <c r="D720" s="45" t="inlineStr">
        <is>
          <t>LT</t>
        </is>
      </c>
      <c r="E720" s="45" t="inlineStr">
        <is>
          <t>0034</t>
        </is>
      </c>
      <c r="F720" s="43" t="n"/>
      <c r="G720" s="69" t="n">
        <v>0</v>
      </c>
      <c r="H720" s="173" t="inlineStr">
        <is>
          <t>Sim</t>
        </is>
      </c>
      <c r="I720" s="50" t="n"/>
    </row>
    <row r="721">
      <c r="A721" s="40" t="inlineStr">
        <is>
          <t>001147</t>
        </is>
      </c>
      <c r="B721" s="41" t="inlineStr">
        <is>
          <t>CHANDON ROSE 750 ML VENDA</t>
        </is>
      </c>
      <c r="C721" s="42" t="inlineStr">
        <is>
          <t>MR</t>
        </is>
      </c>
      <c r="D721" s="42" t="inlineStr">
        <is>
          <t>UN</t>
        </is>
      </c>
      <c r="E721" s="42" t="inlineStr">
        <is>
          <t>0116</t>
        </is>
      </c>
      <c r="F721" s="65" t="inlineStr">
        <is>
          <t>Venda</t>
        </is>
      </c>
      <c r="G721" s="68" t="n">
        <v>0</v>
      </c>
      <c r="H721" s="172" t="inlineStr">
        <is>
          <t>Não</t>
        </is>
      </c>
      <c r="I721" s="47" t="inlineStr">
        <is>
          <t>9003485</t>
        </is>
      </c>
    </row>
    <row r="722">
      <c r="A722" s="43" t="inlineStr">
        <is>
          <t>000630</t>
        </is>
      </c>
      <c r="B722" s="44" t="inlineStr">
        <is>
          <t>CHAPA  PICANHA</t>
        </is>
      </c>
      <c r="C722" s="45" t="inlineStr">
        <is>
          <t>MC</t>
        </is>
      </c>
      <c r="D722" s="45" t="inlineStr">
        <is>
          <t>UN</t>
        </is>
      </c>
      <c r="E722" s="45" t="inlineStr">
        <is>
          <t>0079</t>
        </is>
      </c>
      <c r="F722" s="70" t="inlineStr">
        <is>
          <t>Compras</t>
        </is>
      </c>
      <c r="G722" s="66" t="n">
        <v>25</v>
      </c>
      <c r="H722" s="172" t="inlineStr">
        <is>
          <t>Não</t>
        </is>
      </c>
      <c r="I722" s="50" t="n"/>
    </row>
    <row r="723">
      <c r="A723" s="40" t="inlineStr">
        <is>
          <t>009305</t>
        </is>
      </c>
      <c r="B723" s="41" t="inlineStr">
        <is>
          <t>CHAPA GESSO RESISTENTE UMIDADE GYPSUM 1,20 X 1,80</t>
        </is>
      </c>
      <c r="C723" s="42" t="inlineStr">
        <is>
          <t>MC</t>
        </is>
      </c>
      <c r="D723" s="42" t="inlineStr">
        <is>
          <t>UN</t>
        </is>
      </c>
      <c r="E723" s="42" t="inlineStr">
        <is>
          <t>0132</t>
        </is>
      </c>
      <c r="F723" s="70" t="inlineStr">
        <is>
          <t>Compras</t>
        </is>
      </c>
      <c r="G723" s="71" t="n">
        <v>48.9</v>
      </c>
      <c r="H723" s="172" t="inlineStr">
        <is>
          <t>Não</t>
        </is>
      </c>
      <c r="I723" s="49" t="n"/>
    </row>
    <row r="724">
      <c r="A724" s="43" t="inlineStr">
        <is>
          <t>009975</t>
        </is>
      </c>
      <c r="B724" s="44" t="inlineStr">
        <is>
          <t>CHAVE COMBINADA 11</t>
        </is>
      </c>
      <c r="C724" s="45" t="inlineStr">
        <is>
          <t>MC</t>
        </is>
      </c>
      <c r="D724" s="45" t="inlineStr">
        <is>
          <t>UN</t>
        </is>
      </c>
      <c r="E724" s="45" t="inlineStr">
        <is>
          <t>0132</t>
        </is>
      </c>
      <c r="F724" s="70" t="inlineStr">
        <is>
          <t>Compras</t>
        </is>
      </c>
      <c r="G724" s="69" t="n">
        <v>0</v>
      </c>
      <c r="H724" s="172" t="inlineStr">
        <is>
          <t>Não</t>
        </is>
      </c>
      <c r="I724" s="50" t="n"/>
    </row>
    <row r="725">
      <c r="A725" s="40" t="inlineStr">
        <is>
          <t>010375</t>
        </is>
      </c>
      <c r="B725" s="41" t="inlineStr">
        <is>
          <t>CHAVE DE FENDA 1/4 6"</t>
        </is>
      </c>
      <c r="C725" s="42" t="inlineStr">
        <is>
          <t>MC</t>
        </is>
      </c>
      <c r="D725" s="42" t="inlineStr">
        <is>
          <t>UN</t>
        </is>
      </c>
      <c r="E725" s="42" t="inlineStr">
        <is>
          <t>0132</t>
        </is>
      </c>
      <c r="F725" s="70" t="inlineStr">
        <is>
          <t>Compras</t>
        </is>
      </c>
      <c r="G725" s="68" t="n">
        <v>0</v>
      </c>
      <c r="H725" s="172" t="inlineStr">
        <is>
          <t>Não</t>
        </is>
      </c>
      <c r="I725" s="49" t="n"/>
    </row>
    <row r="726">
      <c r="A726" s="43" t="inlineStr">
        <is>
          <t>010331</t>
        </is>
      </c>
      <c r="B726" s="44" t="inlineStr">
        <is>
          <t>CHAVE DE FENDA 5/16 6"</t>
        </is>
      </c>
      <c r="C726" s="45" t="inlineStr">
        <is>
          <t>MC</t>
        </is>
      </c>
      <c r="D726" s="45" t="inlineStr">
        <is>
          <t>UN</t>
        </is>
      </c>
      <c r="E726" s="45" t="inlineStr">
        <is>
          <t>0132</t>
        </is>
      </c>
      <c r="F726" s="70" t="inlineStr">
        <is>
          <t>Compras</t>
        </is>
      </c>
      <c r="G726" s="66" t="n">
        <v>15</v>
      </c>
      <c r="H726" s="172" t="inlineStr">
        <is>
          <t>Não</t>
        </is>
      </c>
      <c r="I726" s="50" t="n"/>
    </row>
    <row r="727">
      <c r="A727" s="40" t="inlineStr">
        <is>
          <t>010164</t>
        </is>
      </c>
      <c r="B727" s="41" t="inlineStr">
        <is>
          <t>CHAVE HIDRAULICA MULTIFUNCIONAL</t>
        </is>
      </c>
      <c r="C727" s="42" t="inlineStr">
        <is>
          <t>MC</t>
        </is>
      </c>
      <c r="D727" s="42" t="inlineStr">
        <is>
          <t>UN</t>
        </is>
      </c>
      <c r="E727" s="42" t="inlineStr">
        <is>
          <t>0132</t>
        </is>
      </c>
      <c r="F727" s="70" t="inlineStr">
        <is>
          <t>Compras</t>
        </is>
      </c>
      <c r="G727" s="71" t="n">
        <v>37.4</v>
      </c>
      <c r="H727" s="172" t="inlineStr">
        <is>
          <t>Não</t>
        </is>
      </c>
      <c r="I727" s="49" t="n"/>
    </row>
    <row r="728">
      <c r="A728" s="43" t="inlineStr">
        <is>
          <t>009377</t>
        </is>
      </c>
      <c r="B728" s="44" t="inlineStr">
        <is>
          <t>CHAVE MAGNETICA BIPOLAR COM CAPA</t>
        </is>
      </c>
      <c r="C728" s="45" t="inlineStr">
        <is>
          <t>MC</t>
        </is>
      </c>
      <c r="D728" s="45" t="inlineStr">
        <is>
          <t>UN</t>
        </is>
      </c>
      <c r="E728" s="45" t="inlineStr">
        <is>
          <t>0132</t>
        </is>
      </c>
      <c r="F728" s="70" t="inlineStr">
        <is>
          <t>Compras</t>
        </is>
      </c>
      <c r="G728" s="66" t="n">
        <v>39</v>
      </c>
      <c r="H728" s="172" t="inlineStr">
        <is>
          <t>Não</t>
        </is>
      </c>
      <c r="I728" s="50" t="n"/>
    </row>
    <row r="729">
      <c r="A729" s="40" t="inlineStr">
        <is>
          <t>010175</t>
        </is>
      </c>
      <c r="B729" s="41" t="inlineStr">
        <is>
          <t>CHAVE PARA MANDRIL</t>
        </is>
      </c>
      <c r="C729" s="42" t="inlineStr">
        <is>
          <t>MC</t>
        </is>
      </c>
      <c r="D729" s="42" t="inlineStr">
        <is>
          <t>UN</t>
        </is>
      </c>
      <c r="E729" s="42" t="inlineStr">
        <is>
          <t>0132</t>
        </is>
      </c>
      <c r="F729" s="70" t="inlineStr">
        <is>
          <t>Compras</t>
        </is>
      </c>
      <c r="G729" s="71" t="n">
        <v>10</v>
      </c>
      <c r="H729" s="172" t="inlineStr">
        <is>
          <t>Não</t>
        </is>
      </c>
      <c r="I729" s="49" t="n"/>
    </row>
    <row r="730">
      <c r="A730" s="43" t="inlineStr">
        <is>
          <t>010310</t>
        </is>
      </c>
      <c r="B730" s="44" t="inlineStr">
        <is>
          <t>CHAVE PHILLIPS 6X150MM (1/4X6")</t>
        </is>
      </c>
      <c r="C730" s="45" t="inlineStr">
        <is>
          <t>MC</t>
        </is>
      </c>
      <c r="D730" s="45" t="inlineStr">
        <is>
          <t>UN</t>
        </is>
      </c>
      <c r="E730" s="45" t="inlineStr">
        <is>
          <t>0132</t>
        </is>
      </c>
      <c r="F730" s="70" t="inlineStr">
        <is>
          <t>Compras</t>
        </is>
      </c>
      <c r="G730" s="66" t="n">
        <v>17.5</v>
      </c>
      <c r="H730" s="172" t="inlineStr">
        <is>
          <t>Não</t>
        </is>
      </c>
      <c r="I730" s="50" t="n"/>
    </row>
    <row r="731">
      <c r="A731" s="40" t="inlineStr">
        <is>
          <t>002105</t>
        </is>
      </c>
      <c r="B731" s="41" t="inlineStr">
        <is>
          <t>CHEF CLOR DETERG. DESINF CLORA</t>
        </is>
      </c>
      <c r="C731" s="42" t="inlineStr">
        <is>
          <t>MC</t>
        </is>
      </c>
      <c r="D731" s="42" t="inlineStr">
        <is>
          <t>UN</t>
        </is>
      </c>
      <c r="E731" s="42" t="inlineStr">
        <is>
          <t>0075</t>
        </is>
      </c>
      <c r="F731" s="70" t="inlineStr">
        <is>
          <t>Compras</t>
        </is>
      </c>
      <c r="G731" s="68" t="n">
        <v>0</v>
      </c>
      <c r="H731" s="172" t="inlineStr">
        <is>
          <t>Não</t>
        </is>
      </c>
      <c r="I731" s="49" t="n"/>
    </row>
    <row r="732">
      <c r="A732" s="43" t="inlineStr">
        <is>
          <t>000450</t>
        </is>
      </c>
      <c r="B732" s="44" t="inlineStr">
        <is>
          <t>CHIMICHURRI</t>
        </is>
      </c>
      <c r="C732" s="45" t="inlineStr">
        <is>
          <t>MP</t>
        </is>
      </c>
      <c r="D732" s="45" t="inlineStr">
        <is>
          <t>KG</t>
        </is>
      </c>
      <c r="E732" s="45" t="inlineStr">
        <is>
          <t>0029</t>
        </is>
      </c>
      <c r="F732" s="70" t="inlineStr">
        <is>
          <t>Compras</t>
        </is>
      </c>
      <c r="G732" s="66" t="n">
        <v>35.09</v>
      </c>
      <c r="H732" s="172" t="inlineStr">
        <is>
          <t>Não</t>
        </is>
      </c>
      <c r="I732" s="50" t="n"/>
    </row>
    <row r="733">
      <c r="A733" s="40" t="inlineStr">
        <is>
          <t>001024</t>
        </is>
      </c>
      <c r="B733" s="41" t="inlineStr">
        <is>
          <t>CHIVAS 12 DOSE</t>
        </is>
      </c>
      <c r="C733" s="42" t="inlineStr">
        <is>
          <t>PA</t>
        </is>
      </c>
      <c r="D733" s="42" t="inlineStr">
        <is>
          <t>UN</t>
        </is>
      </c>
      <c r="E733" s="42" t="inlineStr">
        <is>
          <t>0120</t>
        </is>
      </c>
      <c r="F733" s="65" t="inlineStr">
        <is>
          <t>Venda</t>
        </is>
      </c>
      <c r="G733" s="68" t="n">
        <v>0</v>
      </c>
      <c r="H733" s="172" t="inlineStr">
        <is>
          <t>Não</t>
        </is>
      </c>
      <c r="I733" s="47" t="inlineStr">
        <is>
          <t>30045</t>
        </is>
      </c>
    </row>
    <row r="734">
      <c r="A734" s="43" t="inlineStr">
        <is>
          <t>000050</t>
        </is>
      </c>
      <c r="B734" s="44" t="inlineStr">
        <is>
          <t>CHIVAS 12 GARRAFA</t>
        </is>
      </c>
      <c r="C734" s="45" t="inlineStr">
        <is>
          <t>MR</t>
        </is>
      </c>
      <c r="D734" s="45" t="inlineStr">
        <is>
          <t>UN</t>
        </is>
      </c>
      <c r="E734" s="45" t="inlineStr">
        <is>
          <t>0120</t>
        </is>
      </c>
      <c r="F734" s="65" t="inlineStr">
        <is>
          <t>Venda</t>
        </is>
      </c>
      <c r="G734" s="66" t="n">
        <v>116.905</v>
      </c>
      <c r="H734" s="172" t="inlineStr">
        <is>
          <t>Não</t>
        </is>
      </c>
      <c r="I734" s="48" t="inlineStr">
        <is>
          <t>102121</t>
        </is>
      </c>
    </row>
    <row r="735">
      <c r="A735" s="40" t="inlineStr">
        <is>
          <t>000344</t>
        </is>
      </c>
      <c r="B735" s="41" t="inlineStr">
        <is>
          <t>CHIVAS REGAL 12 ANOS 1LT</t>
        </is>
      </c>
      <c r="C735" s="42" t="inlineStr">
        <is>
          <t>ME</t>
        </is>
      </c>
      <c r="D735" s="42" t="inlineStr">
        <is>
          <t>LT</t>
        </is>
      </c>
      <c r="E735" s="42" t="inlineStr">
        <is>
          <t>0056</t>
        </is>
      </c>
      <c r="F735" s="70" t="inlineStr">
        <is>
          <t>Compras</t>
        </is>
      </c>
      <c r="G735" s="71" t="n">
        <v>123.9</v>
      </c>
      <c r="H735" s="172" t="inlineStr">
        <is>
          <t>Não</t>
        </is>
      </c>
      <c r="I735" s="49" t="n"/>
    </row>
    <row r="736">
      <c r="A736" s="43" t="inlineStr">
        <is>
          <t>000385</t>
        </is>
      </c>
      <c r="B736" s="44" t="inlineStr">
        <is>
          <t>CHOCOLATE EM PO NESTLE</t>
        </is>
      </c>
      <c r="C736" s="45" t="inlineStr">
        <is>
          <t>MP</t>
        </is>
      </c>
      <c r="D736" s="45" t="inlineStr">
        <is>
          <t>KG</t>
        </is>
      </c>
      <c r="E736" s="45" t="inlineStr">
        <is>
          <t>0029</t>
        </is>
      </c>
      <c r="F736" s="70" t="inlineStr">
        <is>
          <t>Compras</t>
        </is>
      </c>
      <c r="G736" s="66" t="n">
        <v>68.5149</v>
      </c>
      <c r="H736" s="172" t="inlineStr">
        <is>
          <t>Não</t>
        </is>
      </c>
      <c r="I736" s="50" t="n"/>
    </row>
    <row r="737">
      <c r="A737" s="40" t="inlineStr">
        <is>
          <t>000437</t>
        </is>
      </c>
      <c r="B737" s="41" t="inlineStr">
        <is>
          <t>CHOCOLATE GAROTO BARRA 2,1KG</t>
        </is>
      </c>
      <c r="C737" s="42" t="inlineStr">
        <is>
          <t>MP</t>
        </is>
      </c>
      <c r="D737" s="42" t="inlineStr">
        <is>
          <t>KG</t>
        </is>
      </c>
      <c r="E737" s="42" t="inlineStr">
        <is>
          <t>0029</t>
        </is>
      </c>
      <c r="F737" s="70" t="inlineStr">
        <is>
          <t>Compras</t>
        </is>
      </c>
      <c r="G737" s="71" t="n">
        <v>72.8571</v>
      </c>
      <c r="H737" s="172" t="inlineStr">
        <is>
          <t>Não</t>
        </is>
      </c>
      <c r="I737" s="49" t="n"/>
    </row>
    <row r="738">
      <c r="A738" s="43" t="inlineStr">
        <is>
          <t>000386</t>
        </is>
      </c>
      <c r="B738" s="44" t="inlineStr">
        <is>
          <t>CHOCOLATE GRANULADO</t>
        </is>
      </c>
      <c r="C738" s="45" t="inlineStr">
        <is>
          <t>MP</t>
        </is>
      </c>
      <c r="D738" s="45" t="inlineStr">
        <is>
          <t>KG</t>
        </is>
      </c>
      <c r="E738" s="45" t="inlineStr">
        <is>
          <t>0029</t>
        </is>
      </c>
      <c r="F738" s="70" t="inlineStr">
        <is>
          <t>Compras</t>
        </is>
      </c>
      <c r="G738" s="66" t="n">
        <v>26.9307</v>
      </c>
      <c r="H738" s="172" t="inlineStr">
        <is>
          <t>Não</t>
        </is>
      </c>
      <c r="I738" s="50" t="n"/>
    </row>
    <row r="739">
      <c r="A739" s="40" t="inlineStr">
        <is>
          <t>001374</t>
        </is>
      </c>
      <c r="B739" s="41" t="inlineStr">
        <is>
          <t>CHOOP SPATEN</t>
        </is>
      </c>
      <c r="C739" s="42" t="inlineStr">
        <is>
          <t>MR</t>
        </is>
      </c>
      <c r="D739" s="42" t="inlineStr">
        <is>
          <t>LT</t>
        </is>
      </c>
      <c r="E739" s="42" t="inlineStr">
        <is>
          <t>0026</t>
        </is>
      </c>
      <c r="F739" s="40" t="n"/>
      <c r="G739" s="68" t="n">
        <v>0</v>
      </c>
      <c r="H739" s="173" t="inlineStr">
        <is>
          <t>Sim</t>
        </is>
      </c>
      <c r="I739" s="49" t="n"/>
    </row>
    <row r="740">
      <c r="A740" s="43" t="inlineStr">
        <is>
          <t>002128</t>
        </is>
      </c>
      <c r="B740" s="44" t="inlineStr">
        <is>
          <t>CHOPEIRA AMBEV (COMODATO)</t>
        </is>
      </c>
      <c r="C740" s="45" t="inlineStr">
        <is>
          <t>MC</t>
        </is>
      </c>
      <c r="D740" s="45" t="inlineStr">
        <is>
          <t>UN</t>
        </is>
      </c>
      <c r="E740" s="45" t="inlineStr">
        <is>
          <t>0140</t>
        </is>
      </c>
      <c r="F740" s="70" t="inlineStr">
        <is>
          <t>Compras</t>
        </is>
      </c>
      <c r="G740" s="66" t="n">
        <v>0.01</v>
      </c>
      <c r="H740" s="172" t="inlineStr">
        <is>
          <t>Não</t>
        </is>
      </c>
      <c r="I740" s="50" t="n"/>
    </row>
    <row r="741">
      <c r="A741" s="40" t="inlineStr">
        <is>
          <t>001566</t>
        </is>
      </c>
      <c r="B741" s="41" t="inlineStr">
        <is>
          <t>CHOPP &amp; CHURRASCO</t>
        </is>
      </c>
      <c r="C741" s="42" t="inlineStr">
        <is>
          <t>MR</t>
        </is>
      </c>
      <c r="D741" s="42" t="inlineStr">
        <is>
          <t>UN</t>
        </is>
      </c>
      <c r="E741" s="42" t="inlineStr">
        <is>
          <t>0129</t>
        </is>
      </c>
      <c r="F741" s="65" t="inlineStr">
        <is>
          <t>Venda</t>
        </is>
      </c>
      <c r="G741" s="68" t="n">
        <v>0</v>
      </c>
      <c r="H741" s="172" t="inlineStr">
        <is>
          <t>Não</t>
        </is>
      </c>
      <c r="I741" s="47" t="inlineStr">
        <is>
          <t>78989056877184</t>
        </is>
      </c>
    </row>
    <row r="742">
      <c r="A742" s="43" t="inlineStr">
        <is>
          <t>000332</t>
        </is>
      </c>
      <c r="B742" s="44" t="inlineStr">
        <is>
          <t>CHOPP BRAHMA BLACK</t>
        </is>
      </c>
      <c r="C742" s="45" t="inlineStr">
        <is>
          <t>MR</t>
        </is>
      </c>
      <c r="D742" s="45" t="inlineStr">
        <is>
          <t>LT</t>
        </is>
      </c>
      <c r="E742" s="45" t="inlineStr">
        <is>
          <t>0093</t>
        </is>
      </c>
      <c r="F742" s="65" t="inlineStr">
        <is>
          <t>Venda</t>
        </is>
      </c>
      <c r="G742" s="69" t="n">
        <v>0</v>
      </c>
      <c r="H742" s="173" t="inlineStr">
        <is>
          <t>Sim</t>
        </is>
      </c>
      <c r="I742" s="50" t="n"/>
    </row>
    <row r="743">
      <c r="A743" s="40" t="inlineStr">
        <is>
          <t>000920</t>
        </is>
      </c>
      <c r="B743" s="41" t="inlineStr">
        <is>
          <t>CHOPP BRAHMA BLACK</t>
        </is>
      </c>
      <c r="C743" s="42" t="inlineStr">
        <is>
          <t>MR</t>
        </is>
      </c>
      <c r="D743" s="42" t="inlineStr">
        <is>
          <t>UN</t>
        </is>
      </c>
      <c r="E743" s="42" t="inlineStr">
        <is>
          <t>0093</t>
        </is>
      </c>
      <c r="F743" s="40" t="n"/>
      <c r="G743" s="68" t="n">
        <v>0</v>
      </c>
      <c r="H743" s="173" t="inlineStr">
        <is>
          <t>Sim</t>
        </is>
      </c>
      <c r="I743" s="49" t="n"/>
    </row>
    <row r="744">
      <c r="A744" s="43" t="inlineStr">
        <is>
          <t>001980</t>
        </is>
      </c>
      <c r="B744" s="44" t="inlineStr">
        <is>
          <t>CHOPP BRAHMA CANECA  GOL</t>
        </is>
      </c>
      <c r="C744" s="45" t="inlineStr">
        <is>
          <t>MR</t>
        </is>
      </c>
      <c r="D744" s="45" t="inlineStr">
        <is>
          <t>UN</t>
        </is>
      </c>
      <c r="E744" s="45" t="inlineStr">
        <is>
          <t>0093</t>
        </is>
      </c>
      <c r="F744" s="65" t="inlineStr">
        <is>
          <t>Venda</t>
        </is>
      </c>
      <c r="G744" s="69" t="n">
        <v>0</v>
      </c>
      <c r="H744" s="172" t="inlineStr">
        <is>
          <t>Não</t>
        </is>
      </c>
      <c r="I744" s="48" t="inlineStr">
        <is>
          <t>78989056877256</t>
        </is>
      </c>
    </row>
    <row r="745">
      <c r="A745" s="40" t="inlineStr">
        <is>
          <t>000919</t>
        </is>
      </c>
      <c r="B745" s="41" t="inlineStr">
        <is>
          <t>CHOPP BRAHMA CANECA 500ML</t>
        </is>
      </c>
      <c r="C745" s="42" t="inlineStr">
        <is>
          <t>MR</t>
        </is>
      </c>
      <c r="D745" s="42" t="inlineStr">
        <is>
          <t>UN</t>
        </is>
      </c>
      <c r="E745" s="42" t="inlineStr">
        <is>
          <t>0093</t>
        </is>
      </c>
      <c r="F745" s="65" t="inlineStr">
        <is>
          <t>Venda</t>
        </is>
      </c>
      <c r="G745" s="68" t="n">
        <v>0</v>
      </c>
      <c r="H745" s="172" t="inlineStr">
        <is>
          <t>Não</t>
        </is>
      </c>
      <c r="I745" s="47" t="inlineStr">
        <is>
          <t>80101</t>
        </is>
      </c>
    </row>
    <row r="746">
      <c r="A746" s="43" t="inlineStr">
        <is>
          <t>002076</t>
        </is>
      </c>
      <c r="B746" s="44" t="inlineStr">
        <is>
          <t>CHOPP BRAHMA CANECA 500ML</t>
        </is>
      </c>
      <c r="C746" s="45" t="inlineStr">
        <is>
          <t>MR</t>
        </is>
      </c>
      <c r="D746" s="45" t="inlineStr">
        <is>
          <t>UN</t>
        </is>
      </c>
      <c r="E746" s="45" t="inlineStr">
        <is>
          <t>0093</t>
        </is>
      </c>
      <c r="F746" s="65" t="inlineStr">
        <is>
          <t>Venda</t>
        </is>
      </c>
      <c r="G746" s="69" t="n">
        <v>0</v>
      </c>
      <c r="H746" s="173" t="inlineStr">
        <is>
          <t>Sim</t>
        </is>
      </c>
      <c r="I746" s="50" t="n"/>
    </row>
    <row r="747">
      <c r="A747" s="40" t="inlineStr">
        <is>
          <t>001059</t>
        </is>
      </c>
      <c r="B747" s="41" t="inlineStr">
        <is>
          <t>CHOPP COLORADO</t>
        </is>
      </c>
      <c r="C747" s="42" t="inlineStr">
        <is>
          <t>PA</t>
        </is>
      </c>
      <c r="D747" s="42" t="inlineStr">
        <is>
          <t>UN</t>
        </is>
      </c>
      <c r="E747" s="42" t="inlineStr">
        <is>
          <t>0093</t>
        </is>
      </c>
      <c r="F747" s="65" t="inlineStr">
        <is>
          <t>Venda</t>
        </is>
      </c>
      <c r="G747" s="68" t="n">
        <v>0</v>
      </c>
      <c r="H747" s="177" t="inlineStr">
        <is>
          <t>Sim</t>
        </is>
      </c>
      <c r="I747" s="178" t="n"/>
    </row>
    <row r="748">
      <c r="A748" s="43" t="inlineStr">
        <is>
          <t>001053</t>
        </is>
      </c>
      <c r="B748" s="44" t="inlineStr">
        <is>
          <t>CHOPP COLORADO LAGER</t>
        </is>
      </c>
      <c r="C748" s="45" t="inlineStr">
        <is>
          <t>MR</t>
        </is>
      </c>
      <c r="D748" s="45" t="inlineStr">
        <is>
          <t>LT</t>
        </is>
      </c>
      <c r="E748" s="45" t="inlineStr">
        <is>
          <t>0026</t>
        </is>
      </c>
      <c r="F748" s="43" t="n"/>
      <c r="G748" s="69" t="n">
        <v>0</v>
      </c>
      <c r="H748" s="173" t="inlineStr">
        <is>
          <t>Sim</t>
        </is>
      </c>
      <c r="I748" s="50" t="n"/>
    </row>
    <row r="749">
      <c r="A749" s="40" t="inlineStr">
        <is>
          <t>009836</t>
        </is>
      </c>
      <c r="B749" s="41" t="inlineStr">
        <is>
          <t>CHOPP OKTOBERFEST 500 ML</t>
        </is>
      </c>
      <c r="C749" s="42" t="inlineStr">
        <is>
          <t>MR</t>
        </is>
      </c>
      <c r="D749" s="42" t="inlineStr">
        <is>
          <t>UN</t>
        </is>
      </c>
      <c r="E749" s="42" t="inlineStr">
        <is>
          <t>0093</t>
        </is>
      </c>
      <c r="F749" s="65" t="inlineStr">
        <is>
          <t>Venda</t>
        </is>
      </c>
      <c r="G749" s="68" t="n">
        <v>0</v>
      </c>
      <c r="H749" s="173" t="inlineStr">
        <is>
          <t>Sim</t>
        </is>
      </c>
      <c r="I749" s="47" t="inlineStr">
        <is>
          <t>78989056877292</t>
        </is>
      </c>
    </row>
    <row r="750">
      <c r="A750" s="43" t="inlineStr">
        <is>
          <t>001376</t>
        </is>
      </c>
      <c r="B750" s="44" t="inlineStr">
        <is>
          <t>CHOPP SPATEN</t>
        </is>
      </c>
      <c r="C750" s="45" t="inlineStr">
        <is>
          <t>MR</t>
        </is>
      </c>
      <c r="D750" s="45" t="inlineStr">
        <is>
          <t>UN</t>
        </is>
      </c>
      <c r="E750" s="45" t="inlineStr">
        <is>
          <t>0093</t>
        </is>
      </c>
      <c r="F750" s="43" t="n"/>
      <c r="G750" s="69" t="n">
        <v>0</v>
      </c>
      <c r="H750" s="173" t="inlineStr">
        <is>
          <t>Sim</t>
        </is>
      </c>
      <c r="I750" s="50" t="n"/>
    </row>
    <row r="751">
      <c r="A751" s="40" t="inlineStr">
        <is>
          <t>010205</t>
        </is>
      </c>
      <c r="B751" s="41" t="inlineStr">
        <is>
          <t>CHUMBADOR ANCORA 1/4X2</t>
        </is>
      </c>
      <c r="C751" s="42" t="inlineStr">
        <is>
          <t>MC</t>
        </is>
      </c>
      <c r="D751" s="42" t="inlineStr">
        <is>
          <t>UN</t>
        </is>
      </c>
      <c r="E751" s="42" t="inlineStr">
        <is>
          <t>0132</t>
        </is>
      </c>
      <c r="F751" s="70" t="inlineStr">
        <is>
          <t>Compras</t>
        </is>
      </c>
      <c r="G751" s="68" t="n">
        <v>4.3</v>
      </c>
      <c r="H751" s="172" t="inlineStr">
        <is>
          <t>Não</t>
        </is>
      </c>
      <c r="I751" s="49" t="n"/>
    </row>
    <row r="752">
      <c r="A752" s="43" t="inlineStr">
        <is>
          <t>010204</t>
        </is>
      </c>
      <c r="B752" s="44" t="inlineStr">
        <is>
          <t>CHUMBADOR ANCORA 3/8X3.1/2</t>
        </is>
      </c>
      <c r="C752" s="45" t="inlineStr">
        <is>
          <t>MC</t>
        </is>
      </c>
      <c r="D752" s="45" t="inlineStr">
        <is>
          <t>UN</t>
        </is>
      </c>
      <c r="E752" s="45" t="inlineStr">
        <is>
          <t>0132</t>
        </is>
      </c>
      <c r="F752" s="70" t="inlineStr">
        <is>
          <t>Compras</t>
        </is>
      </c>
      <c r="G752" s="69" t="n">
        <v>0</v>
      </c>
      <c r="H752" s="172" t="inlineStr">
        <is>
          <t>Não</t>
        </is>
      </c>
      <c r="I752" s="50" t="n"/>
    </row>
    <row r="753">
      <c r="A753" s="40" t="inlineStr">
        <is>
          <t>009661</t>
        </is>
      </c>
      <c r="B753" s="41" t="inlineStr">
        <is>
          <t>CHUMBADOR DE EXPANSAO PARABOLT 1/4 X 2</t>
        </is>
      </c>
      <c r="C753" s="42" t="inlineStr">
        <is>
          <t>MC</t>
        </is>
      </c>
      <c r="D753" s="42" t="inlineStr">
        <is>
          <t>PC</t>
        </is>
      </c>
      <c r="E753" s="42" t="inlineStr">
        <is>
          <t>0132</t>
        </is>
      </c>
      <c r="F753" s="70" t="inlineStr">
        <is>
          <t>Compras</t>
        </is>
      </c>
      <c r="G753" s="68" t="n">
        <v>9.800000000000001</v>
      </c>
      <c r="H753" s="172" t="inlineStr">
        <is>
          <t>Não</t>
        </is>
      </c>
      <c r="I753" s="49" t="n"/>
    </row>
    <row r="754">
      <c r="A754" s="43" t="inlineStr">
        <is>
          <t>010383</t>
        </is>
      </c>
      <c r="B754" s="44" t="inlineStr">
        <is>
          <t>CHUMBADOR PARABOLT 12MM</t>
        </is>
      </c>
      <c r="C754" s="45" t="inlineStr">
        <is>
          <t>MC</t>
        </is>
      </c>
      <c r="D754" s="45" t="inlineStr">
        <is>
          <t>UN</t>
        </is>
      </c>
      <c r="E754" s="45" t="inlineStr">
        <is>
          <t>0132</t>
        </is>
      </c>
      <c r="F754" s="70" t="inlineStr">
        <is>
          <t>Compras</t>
        </is>
      </c>
      <c r="G754" s="69" t="n">
        <v>0</v>
      </c>
      <c r="H754" s="172" t="inlineStr">
        <is>
          <t>Não</t>
        </is>
      </c>
      <c r="I754" s="50" t="n"/>
    </row>
    <row r="755">
      <c r="A755" s="40" t="inlineStr">
        <is>
          <t>001510</t>
        </is>
      </c>
      <c r="B755" s="41" t="inlineStr">
        <is>
          <t>CHURRASCO &amp; CHOPP</t>
        </is>
      </c>
      <c r="C755" s="42" t="inlineStr">
        <is>
          <t>MR</t>
        </is>
      </c>
      <c r="D755" s="42" t="inlineStr">
        <is>
          <t>UN</t>
        </is>
      </c>
      <c r="E755" s="42" t="inlineStr">
        <is>
          <t>0129</t>
        </is>
      </c>
      <c r="F755" s="65" t="inlineStr">
        <is>
          <t>Venda</t>
        </is>
      </c>
      <c r="G755" s="68" t="n">
        <v>0</v>
      </c>
      <c r="H755" s="173" t="inlineStr">
        <is>
          <t>Sim</t>
        </is>
      </c>
      <c r="I755" s="47" t="inlineStr">
        <is>
          <t>7898905687712</t>
        </is>
      </c>
    </row>
    <row r="756">
      <c r="A756" s="43" t="inlineStr">
        <is>
          <t>001513</t>
        </is>
      </c>
      <c r="B756" s="44" t="inlineStr">
        <is>
          <t>CHURRASCO &amp; CHOPP</t>
        </is>
      </c>
      <c r="C756" s="45" t="inlineStr">
        <is>
          <t>MR</t>
        </is>
      </c>
      <c r="D756" s="45" t="inlineStr">
        <is>
          <t>UN</t>
        </is>
      </c>
      <c r="E756" s="45" t="inlineStr">
        <is>
          <t>0129</t>
        </is>
      </c>
      <c r="F756" s="65" t="inlineStr">
        <is>
          <t>Venda</t>
        </is>
      </c>
      <c r="G756" s="69" t="n">
        <v>0</v>
      </c>
      <c r="H756" s="172" t="inlineStr">
        <is>
          <t>Não</t>
        </is>
      </c>
      <c r="I756" s="48" t="inlineStr">
        <is>
          <t>7898905687712</t>
        </is>
      </c>
    </row>
    <row r="757">
      <c r="A757" s="40" t="inlineStr">
        <is>
          <t>001622</t>
        </is>
      </c>
      <c r="B757" s="41" t="inlineStr">
        <is>
          <t>CHURRASCO &amp; CHOPP KIDS</t>
        </is>
      </c>
      <c r="C757" s="42" t="inlineStr">
        <is>
          <t>MR</t>
        </is>
      </c>
      <c r="D757" s="42" t="inlineStr">
        <is>
          <t>UN</t>
        </is>
      </c>
      <c r="E757" s="42" t="inlineStr">
        <is>
          <t>0129</t>
        </is>
      </c>
      <c r="F757" s="65" t="inlineStr">
        <is>
          <t>Venda</t>
        </is>
      </c>
      <c r="G757" s="68" t="n">
        <v>0</v>
      </c>
      <c r="H757" s="172" t="inlineStr">
        <is>
          <t>Não</t>
        </is>
      </c>
      <c r="I757" s="47" t="inlineStr">
        <is>
          <t>78989056877120</t>
        </is>
      </c>
    </row>
    <row r="758">
      <c r="A758" s="43" t="inlineStr">
        <is>
          <t>001010</t>
        </is>
      </c>
      <c r="B758" s="44" t="inlineStr">
        <is>
          <t>CHURRASCO COM CERVEJA</t>
        </is>
      </c>
      <c r="C758" s="45" t="inlineStr">
        <is>
          <t>MR</t>
        </is>
      </c>
      <c r="D758" s="45" t="inlineStr">
        <is>
          <t>UN</t>
        </is>
      </c>
      <c r="E758" s="45" t="inlineStr">
        <is>
          <t>0129</t>
        </is>
      </c>
      <c r="F758" s="65" t="inlineStr">
        <is>
          <t>Venda</t>
        </is>
      </c>
      <c r="G758" s="69" t="n">
        <v>0</v>
      </c>
      <c r="H758" s="173" t="inlineStr">
        <is>
          <t>Sim</t>
        </is>
      </c>
      <c r="I758" s="48" t="inlineStr">
        <is>
          <t>9003273</t>
        </is>
      </c>
    </row>
    <row r="759">
      <c r="A759" s="40" t="inlineStr">
        <is>
          <t>000631</t>
        </is>
      </c>
      <c r="B759" s="41" t="inlineStr">
        <is>
          <t>CHURRASQUEIRA</t>
        </is>
      </c>
      <c r="C759" s="42" t="inlineStr">
        <is>
          <t>MC</t>
        </is>
      </c>
      <c r="D759" s="42" t="inlineStr">
        <is>
          <t>UN</t>
        </is>
      </c>
      <c r="E759" s="42" t="inlineStr">
        <is>
          <t>0145</t>
        </is>
      </c>
      <c r="F759" s="70" t="inlineStr">
        <is>
          <t>Compras</t>
        </is>
      </c>
      <c r="G759" s="68" t="n">
        <v>0</v>
      </c>
      <c r="H759" s="172" t="inlineStr">
        <is>
          <t>Não</t>
        </is>
      </c>
      <c r="I759" s="49" t="n"/>
    </row>
    <row r="760">
      <c r="A760" s="43" t="inlineStr">
        <is>
          <t>001018</t>
        </is>
      </c>
      <c r="B760" s="44" t="inlineStr">
        <is>
          <t>CHURRASQUEIRA GRANDE</t>
        </is>
      </c>
      <c r="C760" s="45" t="inlineStr">
        <is>
          <t>MC</t>
        </is>
      </c>
      <c r="D760" s="45" t="inlineStr">
        <is>
          <t>UN</t>
        </is>
      </c>
      <c r="E760" s="45" t="inlineStr">
        <is>
          <t>0145</t>
        </is>
      </c>
      <c r="F760" s="70" t="inlineStr">
        <is>
          <t>Compras</t>
        </is>
      </c>
      <c r="G760" s="69" t="n">
        <v>0</v>
      </c>
      <c r="H760" s="172" t="inlineStr">
        <is>
          <t>Não</t>
        </is>
      </c>
      <c r="I760" s="50" t="n"/>
    </row>
    <row r="761">
      <c r="A761" s="40" t="inlineStr">
        <is>
          <t>000989</t>
        </is>
      </c>
      <c r="B761" s="41" t="inlineStr">
        <is>
          <t>CHURRASQUEIRA INOX GRANDE</t>
        </is>
      </c>
      <c r="C761" s="42" t="inlineStr">
        <is>
          <t>MC</t>
        </is>
      </c>
      <c r="D761" s="42" t="inlineStr">
        <is>
          <t>UN</t>
        </is>
      </c>
      <c r="E761" s="42" t="inlineStr">
        <is>
          <t>0145</t>
        </is>
      </c>
      <c r="F761" s="70" t="inlineStr">
        <is>
          <t>Compras</t>
        </is>
      </c>
      <c r="G761" s="68" t="n">
        <v>0</v>
      </c>
      <c r="H761" s="172" t="inlineStr">
        <is>
          <t>Não</t>
        </is>
      </c>
      <c r="I761" s="49" t="n"/>
    </row>
    <row r="762">
      <c r="A762" s="43" t="inlineStr">
        <is>
          <t>000988</t>
        </is>
      </c>
      <c r="B762" s="44" t="inlineStr">
        <is>
          <t>CHURRASQUEIRA INOX MEDIA</t>
        </is>
      </c>
      <c r="C762" s="45" t="inlineStr">
        <is>
          <t>MC</t>
        </is>
      </c>
      <c r="D762" s="45" t="inlineStr">
        <is>
          <t>UN</t>
        </is>
      </c>
      <c r="E762" s="45" t="inlineStr">
        <is>
          <t>0145</t>
        </is>
      </c>
      <c r="F762" s="70" t="inlineStr">
        <is>
          <t>Compras</t>
        </is>
      </c>
      <c r="G762" s="69" t="n">
        <v>0</v>
      </c>
      <c r="H762" s="172" t="inlineStr">
        <is>
          <t>Não</t>
        </is>
      </c>
      <c r="I762" s="50" t="n"/>
    </row>
    <row r="763">
      <c r="A763" s="40" t="inlineStr">
        <is>
          <t>001074</t>
        </is>
      </c>
      <c r="B763" s="41" t="inlineStr">
        <is>
          <t>CHURRASQUEIRA MEDIA</t>
        </is>
      </c>
      <c r="C763" s="42" t="inlineStr">
        <is>
          <t>OI</t>
        </is>
      </c>
      <c r="D763" s="42" t="inlineStr">
        <is>
          <t>UN</t>
        </is>
      </c>
      <c r="E763" s="42" t="inlineStr">
        <is>
          <t>0107</t>
        </is>
      </c>
      <c r="F763" s="65" t="inlineStr">
        <is>
          <t>Venda</t>
        </is>
      </c>
      <c r="G763" s="68" t="n">
        <v>0</v>
      </c>
      <c r="H763" s="173" t="inlineStr">
        <is>
          <t>Sim</t>
        </is>
      </c>
      <c r="I763" s="47" t="inlineStr">
        <is>
          <t>9003289</t>
        </is>
      </c>
    </row>
    <row r="764">
      <c r="A764" s="43" t="inlineStr">
        <is>
          <t>001019</t>
        </is>
      </c>
      <c r="B764" s="44" t="inlineStr">
        <is>
          <t>CHURRASQUEIRA PARA FOGAO</t>
        </is>
      </c>
      <c r="C764" s="45" t="inlineStr">
        <is>
          <t>MC</t>
        </is>
      </c>
      <c r="D764" s="45" t="inlineStr">
        <is>
          <t>UN</t>
        </is>
      </c>
      <c r="E764" s="45" t="inlineStr">
        <is>
          <t>0145</t>
        </is>
      </c>
      <c r="F764" s="70" t="inlineStr">
        <is>
          <t>Compras</t>
        </is>
      </c>
      <c r="G764" s="69" t="n">
        <v>0</v>
      </c>
      <c r="H764" s="172" t="inlineStr">
        <is>
          <t>Não</t>
        </is>
      </c>
      <c r="I764" s="50" t="n"/>
    </row>
    <row r="765">
      <c r="A765" s="40" t="inlineStr">
        <is>
          <t>001218</t>
        </is>
      </c>
      <c r="B765" s="41" t="inlineStr">
        <is>
          <t>CHURRASQUEIRA PARA FOGAO</t>
        </is>
      </c>
      <c r="C765" s="42" t="inlineStr">
        <is>
          <t>MC</t>
        </is>
      </c>
      <c r="D765" s="42" t="inlineStr">
        <is>
          <t>UN</t>
        </is>
      </c>
      <c r="E765" s="42" t="inlineStr">
        <is>
          <t>0078</t>
        </is>
      </c>
      <c r="F765" s="70" t="inlineStr">
        <is>
          <t>Compras</t>
        </is>
      </c>
      <c r="G765" s="68" t="n">
        <v>0</v>
      </c>
      <c r="H765" s="173" t="inlineStr">
        <is>
          <t>Sim</t>
        </is>
      </c>
      <c r="I765" s="49" t="n"/>
    </row>
    <row r="766">
      <c r="A766" s="43" t="inlineStr">
        <is>
          <t>001011</t>
        </is>
      </c>
      <c r="B766" s="44" t="inlineStr">
        <is>
          <t>CHURRASQUEIRA PEQUENA</t>
        </is>
      </c>
      <c r="C766" s="45" t="inlineStr">
        <is>
          <t>MC</t>
        </is>
      </c>
      <c r="D766" s="45" t="inlineStr">
        <is>
          <t>UN</t>
        </is>
      </c>
      <c r="E766" s="45" t="inlineStr">
        <is>
          <t>0145</t>
        </is>
      </c>
      <c r="F766" s="70" t="inlineStr">
        <is>
          <t>Compras</t>
        </is>
      </c>
      <c r="G766" s="69" t="n">
        <v>0</v>
      </c>
      <c r="H766" s="172" t="inlineStr">
        <is>
          <t>Não</t>
        </is>
      </c>
      <c r="I766" s="50" t="n"/>
    </row>
    <row r="767">
      <c r="A767" s="40" t="inlineStr">
        <is>
          <t>010087</t>
        </is>
      </c>
      <c r="B767" s="41" t="inlineStr">
        <is>
          <t>CHURRASQUEIRA PEQUENA</t>
        </is>
      </c>
      <c r="C767" s="42" t="inlineStr">
        <is>
          <t>MR</t>
        </is>
      </c>
      <c r="D767" s="42" t="inlineStr">
        <is>
          <t>UN</t>
        </is>
      </c>
      <c r="E767" s="42" t="inlineStr">
        <is>
          <t>0145</t>
        </is>
      </c>
      <c r="F767" s="65" t="inlineStr">
        <is>
          <t>Venda</t>
        </is>
      </c>
      <c r="G767" s="68" t="n">
        <v>0</v>
      </c>
      <c r="H767" s="172" t="inlineStr">
        <is>
          <t>Não</t>
        </is>
      </c>
      <c r="I767" s="47" t="inlineStr">
        <is>
          <t>9003284</t>
        </is>
      </c>
    </row>
    <row r="768">
      <c r="A768" s="43" t="inlineStr">
        <is>
          <t>000335</t>
        </is>
      </c>
      <c r="B768" s="44" t="inlineStr">
        <is>
          <t>CILINDRO GAS CHOPEIRA</t>
        </is>
      </c>
      <c r="C768" s="45" t="inlineStr">
        <is>
          <t>MC</t>
        </is>
      </c>
      <c r="D768" s="45" t="inlineStr">
        <is>
          <t>UN</t>
        </is>
      </c>
      <c r="E768" s="45" t="inlineStr">
        <is>
          <t>0079</t>
        </is>
      </c>
      <c r="F768" s="70" t="inlineStr">
        <is>
          <t>Compras</t>
        </is>
      </c>
      <c r="G768" s="66" t="n">
        <v>86.84569999999999</v>
      </c>
      <c r="H768" s="172" t="inlineStr">
        <is>
          <t>Não</t>
        </is>
      </c>
      <c r="I768" s="50" t="n"/>
    </row>
    <row r="769">
      <c r="A769" s="40" t="inlineStr">
        <is>
          <t>000196</t>
        </is>
      </c>
      <c r="B769" s="41" t="inlineStr">
        <is>
          <t>CILINDRO GAS P45</t>
        </is>
      </c>
      <c r="C769" s="42" t="inlineStr">
        <is>
          <t>MC</t>
        </is>
      </c>
      <c r="D769" s="42" t="inlineStr">
        <is>
          <t>UN</t>
        </is>
      </c>
      <c r="E769" s="42" t="inlineStr">
        <is>
          <t>0079</t>
        </is>
      </c>
      <c r="F769" s="70" t="inlineStr">
        <is>
          <t>Compras</t>
        </is>
      </c>
      <c r="G769" s="68" t="n">
        <v>0</v>
      </c>
      <c r="H769" s="172" t="inlineStr">
        <is>
          <t>Não</t>
        </is>
      </c>
      <c r="I769" s="49" t="n"/>
    </row>
    <row r="770">
      <c r="A770" s="43" t="inlineStr">
        <is>
          <t>010378</t>
        </is>
      </c>
      <c r="B770" s="44" t="inlineStr">
        <is>
          <t>CIMENTO 20KG</t>
        </is>
      </c>
      <c r="C770" s="45" t="inlineStr">
        <is>
          <t>MC</t>
        </is>
      </c>
      <c r="D770" s="45" t="inlineStr">
        <is>
          <t>KG</t>
        </is>
      </c>
      <c r="E770" s="45" t="inlineStr">
        <is>
          <t>0132</t>
        </is>
      </c>
      <c r="F770" s="70" t="inlineStr">
        <is>
          <t>Compras</t>
        </is>
      </c>
      <c r="G770" s="69" t="n">
        <v>0</v>
      </c>
      <c r="H770" s="172" t="inlineStr">
        <is>
          <t>Não</t>
        </is>
      </c>
      <c r="I770" s="50" t="n"/>
    </row>
    <row r="771">
      <c r="A771" s="40" t="inlineStr">
        <is>
          <t>009667</t>
        </is>
      </c>
      <c r="B771" s="41" t="inlineStr">
        <is>
          <t>CIMENTO 50KG</t>
        </is>
      </c>
      <c r="C771" s="42" t="inlineStr">
        <is>
          <t>MC</t>
        </is>
      </c>
      <c r="D771" s="42" t="inlineStr">
        <is>
          <t>KG</t>
        </is>
      </c>
      <c r="E771" s="42" t="inlineStr">
        <is>
          <t>0132</t>
        </is>
      </c>
      <c r="F771" s="70" t="inlineStr">
        <is>
          <t>Compras</t>
        </is>
      </c>
      <c r="G771" s="71" t="n">
        <v>49.9</v>
      </c>
      <c r="H771" s="172" t="inlineStr">
        <is>
          <t>Não</t>
        </is>
      </c>
      <c r="I771" s="49" t="n"/>
    </row>
    <row r="772">
      <c r="A772" s="43" t="inlineStr">
        <is>
          <t>000228</t>
        </is>
      </c>
      <c r="B772" s="44" t="inlineStr">
        <is>
          <t>CINTA ERGONOMICA</t>
        </is>
      </c>
      <c r="C772" s="45" t="inlineStr">
        <is>
          <t>MC</t>
        </is>
      </c>
      <c r="D772" s="45" t="inlineStr">
        <is>
          <t>UN</t>
        </is>
      </c>
      <c r="E772" s="45" t="inlineStr">
        <is>
          <t>0017</t>
        </is>
      </c>
      <c r="F772" s="70" t="inlineStr">
        <is>
          <t>Compras</t>
        </is>
      </c>
      <c r="G772" s="66" t="n">
        <v>56.9</v>
      </c>
      <c r="H772" s="172" t="inlineStr">
        <is>
          <t>Não</t>
        </is>
      </c>
      <c r="I772" s="50" t="n"/>
    </row>
    <row r="773">
      <c r="A773" s="40" t="inlineStr">
        <is>
          <t>001142</t>
        </is>
      </c>
      <c r="B773" s="41" t="inlineStr">
        <is>
          <t>CIROC</t>
        </is>
      </c>
      <c r="C773" s="42" t="inlineStr">
        <is>
          <t>MR</t>
        </is>
      </c>
      <c r="D773" s="42" t="inlineStr">
        <is>
          <t>LT</t>
        </is>
      </c>
      <c r="E773" s="42" t="inlineStr">
        <is>
          <t>0055</t>
        </is>
      </c>
      <c r="F773" s="40" t="n"/>
      <c r="G773" s="68" t="n">
        <v>0</v>
      </c>
      <c r="H773" s="173" t="inlineStr">
        <is>
          <t>Sim</t>
        </is>
      </c>
      <c r="I773" s="49" t="n"/>
    </row>
    <row r="774">
      <c r="A774" s="43" t="inlineStr">
        <is>
          <t>000887</t>
        </is>
      </c>
      <c r="B774" s="44" t="inlineStr">
        <is>
          <t>CITRUS ANTARTICA</t>
        </is>
      </c>
      <c r="C774" s="45" t="inlineStr">
        <is>
          <t>MR</t>
        </is>
      </c>
      <c r="D774" s="45" t="inlineStr">
        <is>
          <t>UN</t>
        </is>
      </c>
      <c r="E774" s="45" t="inlineStr">
        <is>
          <t>0111</t>
        </is>
      </c>
      <c r="F774" s="43" t="n"/>
      <c r="G774" s="69" t="n">
        <v>0</v>
      </c>
      <c r="H774" s="173" t="inlineStr">
        <is>
          <t>Sim</t>
        </is>
      </c>
      <c r="I774" s="50" t="n"/>
    </row>
    <row r="775">
      <c r="A775" s="40" t="inlineStr">
        <is>
          <t>000933</t>
        </is>
      </c>
      <c r="B775" s="41" t="inlineStr">
        <is>
          <t>CLASSICOS</t>
        </is>
      </c>
      <c r="C775" s="42" t="inlineStr">
        <is>
          <t>MR</t>
        </is>
      </c>
      <c r="D775" s="42" t="inlineStr">
        <is>
          <t>UN</t>
        </is>
      </c>
      <c r="E775" s="42" t="inlineStr">
        <is>
          <t>0092</t>
        </is>
      </c>
      <c r="F775" s="65" t="inlineStr">
        <is>
          <t>Venda</t>
        </is>
      </c>
      <c r="G775" s="68" t="n">
        <v>0</v>
      </c>
      <c r="H775" s="173" t="inlineStr">
        <is>
          <t>Sim</t>
        </is>
      </c>
      <c r="I775" s="49" t="n"/>
    </row>
    <row r="776">
      <c r="A776" s="43" t="inlineStr">
        <is>
          <t>000053</t>
        </is>
      </c>
      <c r="B776" s="44" t="inlineStr">
        <is>
          <t>CLERICOT</t>
        </is>
      </c>
      <c r="C776" s="45" t="inlineStr">
        <is>
          <t>PA</t>
        </is>
      </c>
      <c r="D776" s="45" t="inlineStr">
        <is>
          <t>UN</t>
        </is>
      </c>
      <c r="E776" s="45" t="inlineStr">
        <is>
          <t>0095</t>
        </is>
      </c>
      <c r="F776" s="65" t="inlineStr">
        <is>
          <t>Venda</t>
        </is>
      </c>
      <c r="G776" s="69" t="n">
        <v>0</v>
      </c>
      <c r="H776" s="172" t="inlineStr">
        <is>
          <t>Não</t>
        </is>
      </c>
      <c r="I776" s="48" t="inlineStr">
        <is>
          <t>104001</t>
        </is>
      </c>
    </row>
    <row r="777">
      <c r="A777" s="40" t="inlineStr">
        <is>
          <t>001667</t>
        </is>
      </c>
      <c r="B777" s="41" t="inlineStr">
        <is>
          <t>CLIMATIZADOR EVAPORATIVO</t>
        </is>
      </c>
      <c r="C777" s="42" t="inlineStr">
        <is>
          <t>AI</t>
        </is>
      </c>
      <c r="D777" s="42" t="inlineStr">
        <is>
          <t>UN</t>
        </is>
      </c>
      <c r="E777" s="42" t="inlineStr">
        <is>
          <t>0002</t>
        </is>
      </c>
      <c r="F777" s="70" t="inlineStr">
        <is>
          <t>Compras</t>
        </is>
      </c>
      <c r="G777" s="68" t="n">
        <v>0</v>
      </c>
      <c r="H777" s="172" t="inlineStr">
        <is>
          <t>Não</t>
        </is>
      </c>
      <c r="I777" s="49" t="n"/>
    </row>
    <row r="778">
      <c r="A778" s="43" t="inlineStr">
        <is>
          <t>000818</t>
        </is>
      </c>
      <c r="B778" s="44" t="inlineStr">
        <is>
          <t>CLIP DE CINTO PARA RADIO</t>
        </is>
      </c>
      <c r="C778" s="45" t="inlineStr">
        <is>
          <t>MC</t>
        </is>
      </c>
      <c r="D778" s="45" t="inlineStr">
        <is>
          <t>UN</t>
        </is>
      </c>
      <c r="E778" s="45" t="inlineStr">
        <is>
          <t>0145</t>
        </is>
      </c>
      <c r="F778" s="70" t="inlineStr">
        <is>
          <t>Compras</t>
        </is>
      </c>
      <c r="G778" s="69" t="n">
        <v>0</v>
      </c>
      <c r="H778" s="172" t="inlineStr">
        <is>
          <t>Não</t>
        </is>
      </c>
      <c r="I778" s="50" t="n"/>
    </row>
    <row r="779">
      <c r="A779" s="40" t="inlineStr">
        <is>
          <t>000157</t>
        </is>
      </c>
      <c r="B779" s="41" t="inlineStr">
        <is>
          <t>CLIPS</t>
        </is>
      </c>
      <c r="C779" s="42" t="inlineStr">
        <is>
          <t>MC</t>
        </is>
      </c>
      <c r="D779" s="42" t="inlineStr">
        <is>
          <t>UN</t>
        </is>
      </c>
      <c r="E779" s="42" t="inlineStr">
        <is>
          <t>0001</t>
        </is>
      </c>
      <c r="F779" s="70" t="inlineStr">
        <is>
          <t>Compras</t>
        </is>
      </c>
      <c r="G779" s="71" t="n">
        <v>14.14</v>
      </c>
      <c r="H779" s="172" t="inlineStr">
        <is>
          <t>Não</t>
        </is>
      </c>
      <c r="I779" s="49" t="n"/>
    </row>
    <row r="780">
      <c r="A780" s="43" t="inlineStr">
        <is>
          <t>000079</t>
        </is>
      </c>
      <c r="B780" s="44" t="inlineStr">
        <is>
          <t>CLORO 1% 5 LITROS</t>
        </is>
      </c>
      <c r="C780" s="45" t="inlineStr">
        <is>
          <t>MC</t>
        </is>
      </c>
      <c r="D780" s="45" t="inlineStr">
        <is>
          <t>UN</t>
        </is>
      </c>
      <c r="E780" s="45" t="inlineStr">
        <is>
          <t>0075</t>
        </is>
      </c>
      <c r="F780" s="70" t="inlineStr">
        <is>
          <t>Compras</t>
        </is>
      </c>
      <c r="G780" s="66" t="n">
        <v>13.4</v>
      </c>
      <c r="H780" s="172" t="inlineStr">
        <is>
          <t>Não</t>
        </is>
      </c>
      <c r="I780" s="50" t="n"/>
    </row>
    <row r="781">
      <c r="A781" s="40" t="inlineStr">
        <is>
          <t>000573</t>
        </is>
      </c>
      <c r="B781" s="41" t="inlineStr">
        <is>
          <t>COADOR</t>
        </is>
      </c>
      <c r="C781" s="42" t="inlineStr">
        <is>
          <t>MC</t>
        </is>
      </c>
      <c r="D781" s="42" t="inlineStr">
        <is>
          <t>UN</t>
        </is>
      </c>
      <c r="E781" s="42" t="inlineStr">
        <is>
          <t>0079</t>
        </is>
      </c>
      <c r="F781" s="70" t="inlineStr">
        <is>
          <t>Compras</t>
        </is>
      </c>
      <c r="G781" s="71" t="n">
        <v>54</v>
      </c>
      <c r="H781" s="172" t="inlineStr">
        <is>
          <t>Não</t>
        </is>
      </c>
      <c r="I781" s="49" t="n"/>
    </row>
    <row r="782">
      <c r="A782" s="43" t="inlineStr">
        <is>
          <t>009600</t>
        </is>
      </c>
      <c r="B782" s="44" t="inlineStr">
        <is>
          <t>COALA LIMPADOR MULTIUSO 120ML</t>
        </is>
      </c>
      <c r="C782" s="45" t="inlineStr">
        <is>
          <t>MC</t>
        </is>
      </c>
      <c r="D782" s="45" t="inlineStr">
        <is>
          <t>UN</t>
        </is>
      </c>
      <c r="E782" s="45" t="inlineStr">
        <is>
          <t>0075</t>
        </is>
      </c>
      <c r="F782" s="70" t="inlineStr">
        <is>
          <t>Compras</t>
        </is>
      </c>
      <c r="G782" s="66" t="n">
        <v>38</v>
      </c>
      <c r="H782" s="172" t="inlineStr">
        <is>
          <t>Não</t>
        </is>
      </c>
      <c r="I782" s="50" t="n"/>
    </row>
    <row r="783">
      <c r="A783" s="40" t="inlineStr">
        <is>
          <t>001467</t>
        </is>
      </c>
      <c r="B783" s="41" t="inlineStr">
        <is>
          <t>COBERTURA</t>
        </is>
      </c>
      <c r="C783" s="42" t="inlineStr">
        <is>
          <t>AI</t>
        </is>
      </c>
      <c r="D783" s="42" t="inlineStr">
        <is>
          <t>UN</t>
        </is>
      </c>
      <c r="E783" s="42" t="inlineStr">
        <is>
          <t>0008</t>
        </is>
      </c>
      <c r="F783" s="70" t="inlineStr">
        <is>
          <t>Compras</t>
        </is>
      </c>
      <c r="G783" s="68" t="n">
        <v>0</v>
      </c>
      <c r="H783" s="173" t="inlineStr">
        <is>
          <t>Sim</t>
        </is>
      </c>
      <c r="I783" s="49" t="n"/>
    </row>
    <row r="784">
      <c r="A784" s="43" t="inlineStr">
        <is>
          <t>000803</t>
        </is>
      </c>
      <c r="B784" s="44" t="inlineStr">
        <is>
          <t>COBERTURAS EM LONA</t>
        </is>
      </c>
      <c r="C784" s="45" t="inlineStr">
        <is>
          <t>MC</t>
        </is>
      </c>
      <c r="D784" s="45" t="inlineStr">
        <is>
          <t>UN</t>
        </is>
      </c>
      <c r="E784" s="45" t="inlineStr">
        <is>
          <t>0084</t>
        </is>
      </c>
      <c r="F784" s="43" t="n"/>
      <c r="G784" s="69" t="n">
        <v>0</v>
      </c>
      <c r="H784" s="173" t="inlineStr">
        <is>
          <t>Sim</t>
        </is>
      </c>
      <c r="I784" s="50" t="n"/>
    </row>
    <row r="785">
      <c r="A785" s="40" t="inlineStr">
        <is>
          <t>002006</t>
        </is>
      </c>
      <c r="B785" s="41" t="inlineStr">
        <is>
          <t>COCADA MOLE</t>
        </is>
      </c>
      <c r="C785" s="42" t="inlineStr">
        <is>
          <t>PA</t>
        </is>
      </c>
      <c r="D785" s="42" t="inlineStr">
        <is>
          <t>UN</t>
        </is>
      </c>
      <c r="E785" s="42" t="inlineStr">
        <is>
          <t>0031</t>
        </is>
      </c>
      <c r="F785" s="65" t="inlineStr">
        <is>
          <t>Venda</t>
        </is>
      </c>
      <c r="G785" s="68" t="n">
        <v>0</v>
      </c>
      <c r="H785" s="177" t="inlineStr">
        <is>
          <t>Sim</t>
        </is>
      </c>
      <c r="I785" s="178" t="n"/>
    </row>
    <row r="786">
      <c r="A786" s="43" t="inlineStr">
        <is>
          <t>009853</t>
        </is>
      </c>
      <c r="B786" s="44" t="inlineStr">
        <is>
          <t>COCHA EM ALUMINIO 43 CM</t>
        </is>
      </c>
      <c r="C786" s="45" t="inlineStr">
        <is>
          <t>MC</t>
        </is>
      </c>
      <c r="D786" s="45" t="inlineStr">
        <is>
          <t>UN</t>
        </is>
      </c>
      <c r="E786" s="45" t="inlineStr">
        <is>
          <t>0080</t>
        </is>
      </c>
      <c r="F786" s="70" t="inlineStr">
        <is>
          <t>Compras</t>
        </is>
      </c>
      <c r="G786" s="69" t="n">
        <v>0</v>
      </c>
      <c r="H786" s="172" t="inlineStr">
        <is>
          <t>Não</t>
        </is>
      </c>
      <c r="I786" s="50" t="n"/>
    </row>
    <row r="787">
      <c r="A787" s="40" t="inlineStr">
        <is>
          <t>001973</t>
        </is>
      </c>
      <c r="B787" s="41" t="inlineStr">
        <is>
          <t>COCO RALADO 100G</t>
        </is>
      </c>
      <c r="C787" s="42" t="inlineStr">
        <is>
          <t>MP</t>
        </is>
      </c>
      <c r="D787" s="42" t="inlineStr">
        <is>
          <t>KG</t>
        </is>
      </c>
      <c r="E787" s="42" t="inlineStr">
        <is>
          <t>0029</t>
        </is>
      </c>
      <c r="F787" s="70" t="inlineStr">
        <is>
          <t>Compras</t>
        </is>
      </c>
      <c r="G787" s="71" t="n">
        <v>78.40000000000001</v>
      </c>
      <c r="H787" s="172" t="inlineStr">
        <is>
          <t>Não</t>
        </is>
      </c>
      <c r="I787" s="49" t="n"/>
    </row>
    <row r="788">
      <c r="A788" s="43" t="inlineStr">
        <is>
          <t>000471</t>
        </is>
      </c>
      <c r="B788" s="44" t="inlineStr">
        <is>
          <t>COENTRO</t>
        </is>
      </c>
      <c r="C788" s="45" t="inlineStr">
        <is>
          <t>MP</t>
        </is>
      </c>
      <c r="D788" s="45" t="inlineStr">
        <is>
          <t>KG</t>
        </is>
      </c>
      <c r="E788" s="45" t="inlineStr">
        <is>
          <t>0036</t>
        </is>
      </c>
      <c r="F788" s="70" t="inlineStr">
        <is>
          <t>Compras</t>
        </is>
      </c>
      <c r="G788" s="66" t="n">
        <v>82.29000000000001</v>
      </c>
      <c r="H788" s="172" t="inlineStr">
        <is>
          <t>Não</t>
        </is>
      </c>
      <c r="I788" s="50" t="n"/>
    </row>
    <row r="789">
      <c r="A789" s="40" t="inlineStr">
        <is>
          <t>000683</t>
        </is>
      </c>
      <c r="B789" s="41" t="inlineStr">
        <is>
          <t>COIFA</t>
        </is>
      </c>
      <c r="C789" s="42" t="inlineStr">
        <is>
          <t>AI</t>
        </is>
      </c>
      <c r="D789" s="42" t="inlineStr">
        <is>
          <t>UN</t>
        </is>
      </c>
      <c r="E789" s="42" t="inlineStr">
        <is>
          <t>0002</t>
        </is>
      </c>
      <c r="F789" s="70" t="inlineStr">
        <is>
          <t>Compras</t>
        </is>
      </c>
      <c r="G789" s="68" t="n">
        <v>0</v>
      </c>
      <c r="H789" s="172" t="inlineStr">
        <is>
          <t>Não</t>
        </is>
      </c>
      <c r="I789" s="49" t="n"/>
    </row>
    <row r="790">
      <c r="A790" s="43" t="inlineStr">
        <is>
          <t>009789</t>
        </is>
      </c>
      <c r="B790" s="44" t="inlineStr">
        <is>
          <t>COLA BASTAO</t>
        </is>
      </c>
      <c r="C790" s="45" t="inlineStr">
        <is>
          <t>MC</t>
        </is>
      </c>
      <c r="D790" s="45" t="inlineStr">
        <is>
          <t>UN</t>
        </is>
      </c>
      <c r="E790" s="45" t="inlineStr">
        <is>
          <t>0001</t>
        </is>
      </c>
      <c r="F790" s="70" t="inlineStr">
        <is>
          <t>Compras</t>
        </is>
      </c>
      <c r="G790" s="69" t="n">
        <v>0</v>
      </c>
      <c r="H790" s="172" t="inlineStr">
        <is>
          <t>Não</t>
        </is>
      </c>
      <c r="I790" s="50" t="n"/>
    </row>
    <row r="791">
      <c r="A791" s="40" t="inlineStr">
        <is>
          <t>010368</t>
        </is>
      </c>
      <c r="B791" s="41" t="inlineStr">
        <is>
          <t>COLA PARA FERRO E CONCRETO 1KG</t>
        </is>
      </c>
      <c r="C791" s="42" t="inlineStr">
        <is>
          <t>MC</t>
        </is>
      </c>
      <c r="D791" s="42" t="inlineStr">
        <is>
          <t>UN</t>
        </is>
      </c>
      <c r="E791" s="42" t="inlineStr">
        <is>
          <t>0132</t>
        </is>
      </c>
      <c r="F791" s="70" t="inlineStr">
        <is>
          <t>Compras</t>
        </is>
      </c>
      <c r="G791" s="68" t="n">
        <v>0</v>
      </c>
      <c r="H791" s="172" t="inlineStr">
        <is>
          <t>Não</t>
        </is>
      </c>
      <c r="I791" s="49" t="n"/>
    </row>
    <row r="792">
      <c r="A792" s="43" t="inlineStr">
        <is>
          <t>009587</t>
        </is>
      </c>
      <c r="B792" s="44" t="inlineStr">
        <is>
          <t>COLA PU (SILICONE) 360G</t>
        </is>
      </c>
      <c r="C792" s="45" t="inlineStr">
        <is>
          <t>MC</t>
        </is>
      </c>
      <c r="D792" s="45" t="inlineStr">
        <is>
          <t>UN</t>
        </is>
      </c>
      <c r="E792" s="45" t="inlineStr">
        <is>
          <t>0132</t>
        </is>
      </c>
      <c r="F792" s="70" t="inlineStr">
        <is>
          <t>Compras</t>
        </is>
      </c>
      <c r="G792" s="66" t="n">
        <v>26.91</v>
      </c>
      <c r="H792" s="172" t="inlineStr">
        <is>
          <t>Não</t>
        </is>
      </c>
      <c r="I792" s="50" t="n"/>
    </row>
    <row r="793">
      <c r="A793" s="40" t="inlineStr">
        <is>
          <t>009553</t>
        </is>
      </c>
      <c r="B793" s="41" t="inlineStr">
        <is>
          <t>COLA TENAZ BRANCA 1 LT</t>
        </is>
      </c>
      <c r="C793" s="42" t="inlineStr">
        <is>
          <t>MC</t>
        </is>
      </c>
      <c r="D793" s="42" t="inlineStr">
        <is>
          <t>UN</t>
        </is>
      </c>
      <c r="E793" s="42" t="inlineStr">
        <is>
          <t>0134</t>
        </is>
      </c>
      <c r="F793" s="70" t="inlineStr">
        <is>
          <t>Compras</t>
        </is>
      </c>
      <c r="G793" s="68" t="n">
        <v>0</v>
      </c>
      <c r="H793" s="172" t="inlineStr">
        <is>
          <t>Não</t>
        </is>
      </c>
      <c r="I793" s="49" t="n"/>
    </row>
    <row r="794">
      <c r="A794" s="43" t="inlineStr">
        <is>
          <t>001075</t>
        </is>
      </c>
      <c r="B794" s="44" t="inlineStr">
        <is>
          <t>COLESLAW</t>
        </is>
      </c>
      <c r="C794" s="45" t="inlineStr">
        <is>
          <t>PA</t>
        </is>
      </c>
      <c r="D794" s="45" t="inlineStr">
        <is>
          <t>UN</t>
        </is>
      </c>
      <c r="E794" s="45" t="inlineStr">
        <is>
          <t>0112</t>
        </is>
      </c>
      <c r="F794" s="65" t="inlineStr">
        <is>
          <t>Venda</t>
        </is>
      </c>
      <c r="G794" s="69" t="n">
        <v>0</v>
      </c>
      <c r="H794" s="177" t="inlineStr">
        <is>
          <t>Sim</t>
        </is>
      </c>
      <c r="I794" s="178" t="n"/>
    </row>
    <row r="795">
      <c r="A795" s="40" t="inlineStr">
        <is>
          <t>000135</t>
        </is>
      </c>
      <c r="B795" s="41" t="inlineStr">
        <is>
          <t>COLGATE MINT</t>
        </is>
      </c>
      <c r="C795" s="42" t="inlineStr">
        <is>
          <t>MC</t>
        </is>
      </c>
      <c r="D795" s="42" t="inlineStr">
        <is>
          <t>UN</t>
        </is>
      </c>
      <c r="E795" s="42" t="inlineStr">
        <is>
          <t>0075</t>
        </is>
      </c>
      <c r="F795" s="70" t="inlineStr">
        <is>
          <t>Compras</t>
        </is>
      </c>
      <c r="G795" s="71" t="n">
        <v>59.8</v>
      </c>
      <c r="H795" s="172" t="inlineStr">
        <is>
          <t>Não</t>
        </is>
      </c>
      <c r="I795" s="49" t="n"/>
    </row>
    <row r="796">
      <c r="A796" s="43" t="inlineStr">
        <is>
          <t>000558</t>
        </is>
      </c>
      <c r="B796" s="44" t="inlineStr">
        <is>
          <t>COLHER 19 CM</t>
        </is>
      </c>
      <c r="C796" s="45" t="inlineStr">
        <is>
          <t>MC</t>
        </is>
      </c>
      <c r="D796" s="45" t="inlineStr">
        <is>
          <t>UN</t>
        </is>
      </c>
      <c r="E796" s="45" t="inlineStr">
        <is>
          <t>0079</t>
        </is>
      </c>
      <c r="F796" s="70" t="inlineStr">
        <is>
          <t>Compras</t>
        </is>
      </c>
      <c r="G796" s="66" t="n">
        <v>4.9167</v>
      </c>
      <c r="H796" s="172" t="inlineStr">
        <is>
          <t>Não</t>
        </is>
      </c>
      <c r="I796" s="50" t="n"/>
    </row>
    <row r="797">
      <c r="A797" s="40" t="inlineStr">
        <is>
          <t>000533</t>
        </is>
      </c>
      <c r="B797" s="41" t="inlineStr">
        <is>
          <t>COLHER BAILARINA 35 CM</t>
        </is>
      </c>
      <c r="C797" s="42" t="inlineStr">
        <is>
          <t>MC</t>
        </is>
      </c>
      <c r="D797" s="42" t="inlineStr">
        <is>
          <t>UN</t>
        </is>
      </c>
      <c r="E797" s="42" t="inlineStr">
        <is>
          <t>0079</t>
        </is>
      </c>
      <c r="F797" s="70" t="inlineStr">
        <is>
          <t>Compras</t>
        </is>
      </c>
      <c r="G797" s="71" t="n">
        <v>9.800000000000001</v>
      </c>
      <c r="H797" s="172" t="inlineStr">
        <is>
          <t>Não</t>
        </is>
      </c>
      <c r="I797" s="49" t="n"/>
    </row>
    <row r="798">
      <c r="A798" s="43" t="inlineStr">
        <is>
          <t>009852</t>
        </is>
      </c>
      <c r="B798" s="44" t="inlineStr">
        <is>
          <t>COLHER DE ARROZ INOX 20 CM MONALISA</t>
        </is>
      </c>
      <c r="C798" s="45" t="inlineStr">
        <is>
          <t>MC</t>
        </is>
      </c>
      <c r="D798" s="45" t="inlineStr">
        <is>
          <t>UN</t>
        </is>
      </c>
      <c r="E798" s="45" t="inlineStr">
        <is>
          <t>0080</t>
        </is>
      </c>
      <c r="F798" s="70" t="inlineStr">
        <is>
          <t>Compras</t>
        </is>
      </c>
      <c r="G798" s="66" t="n">
        <v>24.8</v>
      </c>
      <c r="H798" s="172" t="inlineStr">
        <is>
          <t>Não</t>
        </is>
      </c>
      <c r="I798" s="50" t="n"/>
    </row>
    <row r="799">
      <c r="A799" s="40" t="inlineStr">
        <is>
          <t>009489</t>
        </is>
      </c>
      <c r="B799" s="41" t="inlineStr">
        <is>
          <t>COLHER DE NYLON 30CM</t>
        </is>
      </c>
      <c r="C799" s="42" t="inlineStr">
        <is>
          <t>MC</t>
        </is>
      </c>
      <c r="D799" s="42" t="inlineStr">
        <is>
          <t>UN</t>
        </is>
      </c>
      <c r="E799" s="42" t="inlineStr">
        <is>
          <t>0080</t>
        </is>
      </c>
      <c r="F799" s="70" t="inlineStr">
        <is>
          <t>Compras</t>
        </is>
      </c>
      <c r="G799" s="71" t="n">
        <v>22.6</v>
      </c>
      <c r="H799" s="172" t="inlineStr">
        <is>
          <t>Não</t>
        </is>
      </c>
      <c r="I799" s="49" t="n"/>
    </row>
    <row r="800">
      <c r="A800" s="43" t="inlineStr">
        <is>
          <t>000542</t>
        </is>
      </c>
      <c r="B800" s="44" t="inlineStr">
        <is>
          <t>COLHER DE SOBREMESA 12 CM</t>
        </is>
      </c>
      <c r="C800" s="45" t="inlineStr">
        <is>
          <t>MC</t>
        </is>
      </c>
      <c r="D800" s="45" t="inlineStr">
        <is>
          <t>UN</t>
        </is>
      </c>
      <c r="E800" s="45" t="inlineStr">
        <is>
          <t>0079</t>
        </is>
      </c>
      <c r="F800" s="70" t="inlineStr">
        <is>
          <t>Compras</t>
        </is>
      </c>
      <c r="G800" s="66" t="n">
        <v>3.75</v>
      </c>
      <c r="H800" s="172" t="inlineStr">
        <is>
          <t>Não</t>
        </is>
      </c>
      <c r="I800" s="50" t="n"/>
    </row>
    <row r="801">
      <c r="A801" s="40" t="inlineStr">
        <is>
          <t>000107</t>
        </is>
      </c>
      <c r="B801" s="41" t="inlineStr">
        <is>
          <t>COLHER DE SOBREMESA CRISTAL PCT 50 UND</t>
        </is>
      </c>
      <c r="C801" s="42" t="inlineStr">
        <is>
          <t>MC</t>
        </is>
      </c>
      <c r="D801" s="42" t="inlineStr">
        <is>
          <t>PC</t>
        </is>
      </c>
      <c r="E801" s="42" t="inlineStr">
        <is>
          <t>0075</t>
        </is>
      </c>
      <c r="F801" s="70" t="inlineStr">
        <is>
          <t>Compras</t>
        </is>
      </c>
      <c r="G801" s="71" t="n">
        <v>52.48</v>
      </c>
      <c r="H801" s="172" t="inlineStr">
        <is>
          <t>Não</t>
        </is>
      </c>
      <c r="I801" s="49" t="n"/>
    </row>
    <row r="802">
      <c r="A802" s="43" t="inlineStr">
        <is>
          <t>009974</t>
        </is>
      </c>
      <c r="B802" s="44" t="inlineStr">
        <is>
          <t>COLHER PEDREIRO RETA</t>
        </is>
      </c>
      <c r="C802" s="45" t="inlineStr">
        <is>
          <t>MC</t>
        </is>
      </c>
      <c r="D802" s="45" t="inlineStr">
        <is>
          <t>UN</t>
        </is>
      </c>
      <c r="E802" s="45" t="inlineStr">
        <is>
          <t>0132</t>
        </is>
      </c>
      <c r="F802" s="70" t="inlineStr">
        <is>
          <t>Compras</t>
        </is>
      </c>
      <c r="G802" s="66" t="n">
        <v>25.9</v>
      </c>
      <c r="H802" s="172" t="inlineStr">
        <is>
          <t>Não</t>
        </is>
      </c>
      <c r="I802" s="50" t="n"/>
    </row>
    <row r="803">
      <c r="A803" s="40" t="inlineStr">
        <is>
          <t>001526</t>
        </is>
      </c>
      <c r="B803" s="41" t="inlineStr">
        <is>
          <t>COLHER SOBREMESA POLIETILENO</t>
        </is>
      </c>
      <c r="C803" s="42" t="inlineStr">
        <is>
          <t>MC</t>
        </is>
      </c>
      <c r="D803" s="42" t="inlineStr">
        <is>
          <t>UN</t>
        </is>
      </c>
      <c r="E803" s="42" t="inlineStr">
        <is>
          <t>0079</t>
        </is>
      </c>
      <c r="F803" s="70" t="inlineStr">
        <is>
          <t>Compras</t>
        </is>
      </c>
      <c r="G803" s="71" t="n">
        <v>55</v>
      </c>
      <c r="H803" s="173" t="inlineStr">
        <is>
          <t>Sim</t>
        </is>
      </c>
      <c r="I803" s="49" t="n"/>
    </row>
    <row r="804">
      <c r="A804" s="43" t="inlineStr">
        <is>
          <t>001684</t>
        </is>
      </c>
      <c r="B804" s="44" t="inlineStr">
        <is>
          <t>COLOCA  O DE MOLDURAS E CONG N</t>
        </is>
      </c>
      <c r="C804" s="45" t="inlineStr">
        <is>
          <t>SV</t>
        </is>
      </c>
      <c r="D804" s="45" t="inlineStr">
        <is>
          <t>UN</t>
        </is>
      </c>
      <c r="E804" s="45" t="inlineStr">
        <is>
          <t>(VAZ</t>
        </is>
      </c>
      <c r="F804" s="70" t="inlineStr">
        <is>
          <t>Compras</t>
        </is>
      </c>
      <c r="G804" s="69" t="n">
        <v>0</v>
      </c>
      <c r="H804" s="172" t="inlineStr">
        <is>
          <t>Não</t>
        </is>
      </c>
      <c r="I804" s="50" t="n"/>
    </row>
    <row r="805">
      <c r="A805" s="40" t="inlineStr">
        <is>
          <t>000913</t>
        </is>
      </c>
      <c r="B805" s="41" t="inlineStr">
        <is>
          <t>COLORADO APPIA</t>
        </is>
      </c>
      <c r="C805" s="42" t="inlineStr">
        <is>
          <t>MR</t>
        </is>
      </c>
      <c r="D805" s="42" t="inlineStr">
        <is>
          <t>UN</t>
        </is>
      </c>
      <c r="E805" s="42" t="inlineStr">
        <is>
          <t>0093</t>
        </is>
      </c>
      <c r="F805" s="65" t="inlineStr">
        <is>
          <t>Venda</t>
        </is>
      </c>
      <c r="G805" s="68" t="n">
        <v>0</v>
      </c>
      <c r="H805" s="172" t="inlineStr">
        <is>
          <t>Não</t>
        </is>
      </c>
      <c r="I805" s="47" t="inlineStr">
        <is>
          <t>80017</t>
        </is>
      </c>
    </row>
    <row r="806">
      <c r="A806" s="43" t="inlineStr">
        <is>
          <t>000921</t>
        </is>
      </c>
      <c r="B806" s="44" t="inlineStr">
        <is>
          <t>COLORADO RIBEIRAO 600 ML</t>
        </is>
      </c>
      <c r="C806" s="45" t="inlineStr">
        <is>
          <t>MR</t>
        </is>
      </c>
      <c r="D806" s="45" t="inlineStr">
        <is>
          <t>UN</t>
        </is>
      </c>
      <c r="E806" s="45" t="inlineStr">
        <is>
          <t>0093</t>
        </is>
      </c>
      <c r="F806" s="65" t="inlineStr">
        <is>
          <t>Venda</t>
        </is>
      </c>
      <c r="G806" s="69" t="n">
        <v>0</v>
      </c>
      <c r="H806" s="172" t="inlineStr">
        <is>
          <t>Não</t>
        </is>
      </c>
      <c r="I806" s="48" t="inlineStr">
        <is>
          <t>80104</t>
        </is>
      </c>
    </row>
    <row r="807">
      <c r="A807" s="40" t="inlineStr">
        <is>
          <t>000986</t>
        </is>
      </c>
      <c r="B807" s="41" t="inlineStr">
        <is>
          <t>COMBO 12 ESPETOS MONTAVEL</t>
        </is>
      </c>
      <c r="C807" s="42" t="inlineStr">
        <is>
          <t>KT</t>
        </is>
      </c>
      <c r="D807" s="42" t="inlineStr">
        <is>
          <t>UN</t>
        </is>
      </c>
      <c r="E807" s="42" t="inlineStr">
        <is>
          <t>0092</t>
        </is>
      </c>
      <c r="F807" s="65" t="inlineStr">
        <is>
          <t>Venda</t>
        </is>
      </c>
      <c r="G807" s="68" t="n">
        <v>0</v>
      </c>
      <c r="H807" s="173" t="inlineStr">
        <is>
          <t>Sim</t>
        </is>
      </c>
      <c r="I807" s="49" t="n"/>
    </row>
    <row r="808">
      <c r="A808" s="43" t="inlineStr">
        <is>
          <t>000987</t>
        </is>
      </c>
      <c r="B808" s="44" t="inlineStr">
        <is>
          <t>COMBO 6 ESPETOS MONTAVEL</t>
        </is>
      </c>
      <c r="C808" s="45" t="inlineStr">
        <is>
          <t>KT</t>
        </is>
      </c>
      <c r="D808" s="45" t="inlineStr">
        <is>
          <t>UN</t>
        </is>
      </c>
      <c r="E808" s="45" t="inlineStr">
        <is>
          <t>0092</t>
        </is>
      </c>
      <c r="F808" s="65" t="inlineStr">
        <is>
          <t>Venda</t>
        </is>
      </c>
      <c r="G808" s="69" t="n">
        <v>0</v>
      </c>
      <c r="H808" s="173" t="inlineStr">
        <is>
          <t>Sim</t>
        </is>
      </c>
      <c r="I808" s="50" t="n"/>
    </row>
    <row r="809">
      <c r="A809" s="40" t="inlineStr">
        <is>
          <t>001150</t>
        </is>
      </c>
      <c r="B809" s="41" t="inlineStr">
        <is>
          <t>COMBO ABSOLUT</t>
        </is>
      </c>
      <c r="C809" s="42" t="inlineStr">
        <is>
          <t>KT</t>
        </is>
      </c>
      <c r="D809" s="42" t="inlineStr">
        <is>
          <t>UN</t>
        </is>
      </c>
      <c r="E809" s="42" t="inlineStr">
        <is>
          <t>0119</t>
        </is>
      </c>
      <c r="F809" s="65" t="inlineStr">
        <is>
          <t>Venda</t>
        </is>
      </c>
      <c r="G809" s="68" t="n">
        <v>0</v>
      </c>
      <c r="H809" s="172" t="inlineStr">
        <is>
          <t>Não</t>
        </is>
      </c>
      <c r="I809" s="47" t="inlineStr">
        <is>
          <t>9003488</t>
        </is>
      </c>
    </row>
    <row r="810">
      <c r="A810" s="43" t="inlineStr">
        <is>
          <t>001205</t>
        </is>
      </c>
      <c r="B810" s="44" t="inlineStr">
        <is>
          <t>COMBO BEEFEATER</t>
        </is>
      </c>
      <c r="C810" s="45" t="inlineStr">
        <is>
          <t>KT</t>
        </is>
      </c>
      <c r="D810" s="45" t="inlineStr">
        <is>
          <t>UN</t>
        </is>
      </c>
      <c r="E810" s="45" t="inlineStr">
        <is>
          <t>0101</t>
        </is>
      </c>
      <c r="F810" s="65" t="inlineStr">
        <is>
          <t>Venda</t>
        </is>
      </c>
      <c r="G810" s="69" t="n">
        <v>0</v>
      </c>
      <c r="H810" s="172" t="inlineStr">
        <is>
          <t>Não</t>
        </is>
      </c>
      <c r="I810" s="48" t="inlineStr">
        <is>
          <t>9003553</t>
        </is>
      </c>
    </row>
    <row r="811">
      <c r="A811" s="40" t="inlineStr">
        <is>
          <t>001206</t>
        </is>
      </c>
      <c r="B811" s="41" t="inlineStr">
        <is>
          <t>COMBO BEEFEATER PINK</t>
        </is>
      </c>
      <c r="C811" s="42" t="inlineStr">
        <is>
          <t>KT</t>
        </is>
      </c>
      <c r="D811" s="42" t="inlineStr">
        <is>
          <t>UN</t>
        </is>
      </c>
      <c r="E811" s="42" t="inlineStr">
        <is>
          <t>0101</t>
        </is>
      </c>
      <c r="F811" s="65" t="inlineStr">
        <is>
          <t>Venda</t>
        </is>
      </c>
      <c r="G811" s="68" t="n">
        <v>0</v>
      </c>
      <c r="H811" s="177" t="inlineStr">
        <is>
          <t>Sim</t>
        </is>
      </c>
      <c r="I811" s="178" t="n"/>
    </row>
    <row r="812">
      <c r="A812" s="43" t="inlineStr">
        <is>
          <t>002024</t>
        </is>
      </c>
      <c r="B812" s="44" t="inlineStr">
        <is>
          <t>COMBO BIG FAMILY P/4 PESSOAS</t>
        </is>
      </c>
      <c r="C812" s="45" t="inlineStr">
        <is>
          <t>KT</t>
        </is>
      </c>
      <c r="D812" s="45" t="inlineStr">
        <is>
          <t>UN</t>
        </is>
      </c>
      <c r="E812" s="45" t="inlineStr">
        <is>
          <t>0092</t>
        </is>
      </c>
      <c r="F812" s="65" t="inlineStr">
        <is>
          <t>Venda</t>
        </is>
      </c>
      <c r="G812" s="69" t="n">
        <v>0</v>
      </c>
      <c r="H812" s="172" t="inlineStr">
        <is>
          <t>Não</t>
        </is>
      </c>
      <c r="I812" s="48" t="inlineStr">
        <is>
          <t>78989056877282</t>
        </is>
      </c>
    </row>
    <row r="813">
      <c r="A813" s="40" t="inlineStr">
        <is>
          <t>002072</t>
        </is>
      </c>
      <c r="B813" s="41" t="inlineStr">
        <is>
          <t>COMBO BLACK LABEL</t>
        </is>
      </c>
      <c r="C813" s="42" t="inlineStr">
        <is>
          <t>KT</t>
        </is>
      </c>
      <c r="D813" s="42" t="inlineStr">
        <is>
          <t>UN</t>
        </is>
      </c>
      <c r="E813" s="42" t="inlineStr">
        <is>
          <t>0101</t>
        </is>
      </c>
      <c r="F813" s="65" t="inlineStr">
        <is>
          <t>Venda</t>
        </is>
      </c>
      <c r="G813" s="68" t="n">
        <v>0</v>
      </c>
      <c r="H813" s="173" t="inlineStr">
        <is>
          <t>Sim</t>
        </is>
      </c>
      <c r="I813" s="49" t="n"/>
    </row>
    <row r="814">
      <c r="A814" s="43" t="inlineStr">
        <is>
          <t>002022</t>
        </is>
      </c>
      <c r="B814" s="44" t="inlineStr">
        <is>
          <t>COMBO CASAL P/2 PESSOAS</t>
        </is>
      </c>
      <c r="C814" s="45" t="inlineStr">
        <is>
          <t>KT</t>
        </is>
      </c>
      <c r="D814" s="45" t="inlineStr">
        <is>
          <t>UN</t>
        </is>
      </c>
      <c r="E814" s="45" t="inlineStr">
        <is>
          <t>0092</t>
        </is>
      </c>
      <c r="F814" s="65" t="inlineStr">
        <is>
          <t>Venda</t>
        </is>
      </c>
      <c r="G814" s="69" t="n">
        <v>0</v>
      </c>
      <c r="H814" s="172" t="inlineStr">
        <is>
          <t>Não</t>
        </is>
      </c>
      <c r="I814" s="48" t="inlineStr">
        <is>
          <t>78989056877280</t>
        </is>
      </c>
    </row>
    <row r="815">
      <c r="A815" s="40" t="inlineStr">
        <is>
          <t>000999</t>
        </is>
      </c>
      <c r="B815" s="41" t="inlineStr">
        <is>
          <t>COMBO EXECUTIVO</t>
        </is>
      </c>
      <c r="C815" s="42" t="inlineStr">
        <is>
          <t>MR</t>
        </is>
      </c>
      <c r="D815" s="42" t="inlineStr">
        <is>
          <t>UN</t>
        </is>
      </c>
      <c r="E815" s="42" t="inlineStr">
        <is>
          <t>0092</t>
        </is>
      </c>
      <c r="F815" s="65" t="inlineStr">
        <is>
          <t>Venda</t>
        </is>
      </c>
      <c r="G815" s="68" t="n">
        <v>0</v>
      </c>
      <c r="H815" s="173" t="inlineStr">
        <is>
          <t>Sim</t>
        </is>
      </c>
      <c r="I815" s="49" t="n"/>
    </row>
    <row r="816">
      <c r="A816" s="43" t="inlineStr">
        <is>
          <t>002082</t>
        </is>
      </c>
      <c r="B816" s="44" t="inlineStr">
        <is>
          <t>COMBO EXECUTIVO DO QUINTAL (FRANGO)</t>
        </is>
      </c>
      <c r="C816" s="45" t="inlineStr">
        <is>
          <t>KT</t>
        </is>
      </c>
      <c r="D816" s="45" t="inlineStr">
        <is>
          <t>UN</t>
        </is>
      </c>
      <c r="E816" s="45" t="inlineStr">
        <is>
          <t>0092</t>
        </is>
      </c>
      <c r="F816" s="65" t="inlineStr">
        <is>
          <t>Venda</t>
        </is>
      </c>
      <c r="G816" s="69" t="n">
        <v>0</v>
      </c>
      <c r="H816" s="172" t="inlineStr">
        <is>
          <t>Não</t>
        </is>
      </c>
      <c r="I816" s="48" t="inlineStr">
        <is>
          <t>78989056877299</t>
        </is>
      </c>
    </row>
    <row r="817">
      <c r="A817" s="40" t="inlineStr">
        <is>
          <t>002083</t>
        </is>
      </c>
      <c r="B817" s="41" t="inlineStr">
        <is>
          <t>COMBO EXECUTIVO DO QUINTAL 2 (BOVINO)</t>
        </is>
      </c>
      <c r="C817" s="42" t="inlineStr">
        <is>
          <t>KT</t>
        </is>
      </c>
      <c r="D817" s="42" t="inlineStr">
        <is>
          <t>UN</t>
        </is>
      </c>
      <c r="E817" s="42" t="inlineStr">
        <is>
          <t>0092</t>
        </is>
      </c>
      <c r="F817" s="65" t="inlineStr">
        <is>
          <t>Venda</t>
        </is>
      </c>
      <c r="G817" s="68" t="n">
        <v>0</v>
      </c>
      <c r="H817" s="172" t="inlineStr">
        <is>
          <t>Não</t>
        </is>
      </c>
      <c r="I817" s="47" t="inlineStr">
        <is>
          <t>78989056877298</t>
        </is>
      </c>
    </row>
    <row r="818">
      <c r="A818" s="43" t="inlineStr">
        <is>
          <t>002096</t>
        </is>
      </c>
      <c r="B818" s="44" t="inlineStr">
        <is>
          <t>COMBO EXECUTIVO DO QUINTAL 3 (CALABRESA C/PIMENTA)</t>
        </is>
      </c>
      <c r="C818" s="45" t="inlineStr">
        <is>
          <t>KT</t>
        </is>
      </c>
      <c r="D818" s="45" t="inlineStr">
        <is>
          <t>UN</t>
        </is>
      </c>
      <c r="E818" s="45" t="inlineStr">
        <is>
          <t>0092</t>
        </is>
      </c>
      <c r="F818" s="65" t="inlineStr">
        <is>
          <t>Venda</t>
        </is>
      </c>
      <c r="G818" s="69" t="n">
        <v>0</v>
      </c>
      <c r="H818" s="172" t="inlineStr">
        <is>
          <t>Não</t>
        </is>
      </c>
      <c r="I818" s="48" t="inlineStr">
        <is>
          <t>78989056877311</t>
        </is>
      </c>
    </row>
    <row r="819">
      <c r="A819" s="40" t="inlineStr">
        <is>
          <t>002097</t>
        </is>
      </c>
      <c r="B819" s="41" t="inlineStr">
        <is>
          <t>COMBO EXECUTIVO DO QUINTAL 4 (CALABRESA S/PIMENTA)</t>
        </is>
      </c>
      <c r="C819" s="42" t="inlineStr">
        <is>
          <t>KT</t>
        </is>
      </c>
      <c r="D819" s="42" t="inlineStr">
        <is>
          <t>UN</t>
        </is>
      </c>
      <c r="E819" s="42" t="inlineStr">
        <is>
          <t>0092</t>
        </is>
      </c>
      <c r="F819" s="65" t="inlineStr">
        <is>
          <t>Venda</t>
        </is>
      </c>
      <c r="G819" s="68" t="n">
        <v>0</v>
      </c>
      <c r="H819" s="172" t="inlineStr">
        <is>
          <t>Não</t>
        </is>
      </c>
      <c r="I819" s="47" t="inlineStr">
        <is>
          <t>78989056877312</t>
        </is>
      </c>
    </row>
    <row r="820">
      <c r="A820" s="43" t="inlineStr">
        <is>
          <t>001009</t>
        </is>
      </c>
      <c r="B820" s="44" t="inlineStr">
        <is>
          <t>COMBO FAMILIA</t>
        </is>
      </c>
      <c r="C820" s="45" t="inlineStr">
        <is>
          <t>KT</t>
        </is>
      </c>
      <c r="D820" s="45" t="inlineStr">
        <is>
          <t>UN</t>
        </is>
      </c>
      <c r="E820" s="45" t="inlineStr">
        <is>
          <t>0092</t>
        </is>
      </c>
      <c r="F820" s="65" t="inlineStr">
        <is>
          <t>Venda</t>
        </is>
      </c>
      <c r="G820" s="69" t="n">
        <v>0</v>
      </c>
      <c r="H820" s="172" t="inlineStr">
        <is>
          <t>Não</t>
        </is>
      </c>
      <c r="I820" s="48" t="inlineStr">
        <is>
          <t>9003270</t>
        </is>
      </c>
    </row>
    <row r="821">
      <c r="A821" s="40" t="inlineStr">
        <is>
          <t>002023</t>
        </is>
      </c>
      <c r="B821" s="41" t="inlineStr">
        <is>
          <t>COMBO FAMILIA P/3 PESSOAS</t>
        </is>
      </c>
      <c r="C821" s="42" t="inlineStr">
        <is>
          <t>KT</t>
        </is>
      </c>
      <c r="D821" s="42" t="inlineStr">
        <is>
          <t>UN</t>
        </is>
      </c>
      <c r="E821" s="42" t="inlineStr">
        <is>
          <t>0092</t>
        </is>
      </c>
      <c r="F821" s="65" t="inlineStr">
        <is>
          <t>Venda</t>
        </is>
      </c>
      <c r="G821" s="68" t="n">
        <v>0</v>
      </c>
      <c r="H821" s="172" t="inlineStr">
        <is>
          <t>Não</t>
        </is>
      </c>
      <c r="I821" s="47" t="inlineStr">
        <is>
          <t>78989056877281</t>
        </is>
      </c>
    </row>
    <row r="822">
      <c r="A822" s="43" t="inlineStr">
        <is>
          <t>002025</t>
        </is>
      </c>
      <c r="B822" s="44" t="inlineStr">
        <is>
          <t>COMBO INDIVIDUAL P/ 1 PESSOA</t>
        </is>
      </c>
      <c r="C822" s="45" t="inlineStr">
        <is>
          <t>KT</t>
        </is>
      </c>
      <c r="D822" s="45" t="inlineStr">
        <is>
          <t>UN</t>
        </is>
      </c>
      <c r="E822" s="45" t="inlineStr">
        <is>
          <t>0092</t>
        </is>
      </c>
      <c r="F822" s="65" t="inlineStr">
        <is>
          <t>Venda</t>
        </is>
      </c>
      <c r="G822" s="69" t="n">
        <v>0</v>
      </c>
      <c r="H822" s="172" t="inlineStr">
        <is>
          <t>Não</t>
        </is>
      </c>
      <c r="I822" s="48" t="inlineStr">
        <is>
          <t>78989056877279</t>
        </is>
      </c>
    </row>
    <row r="823">
      <c r="A823" s="40" t="inlineStr">
        <is>
          <t>001007</t>
        </is>
      </c>
      <c r="B823" s="41" t="inlineStr">
        <is>
          <t>COMBO JUNIOR</t>
        </is>
      </c>
      <c r="C823" s="42" t="inlineStr">
        <is>
          <t>KT</t>
        </is>
      </c>
      <c r="D823" s="42" t="inlineStr">
        <is>
          <t>UN</t>
        </is>
      </c>
      <c r="E823" s="42" t="inlineStr">
        <is>
          <t>0092</t>
        </is>
      </c>
      <c r="F823" s="65" t="inlineStr">
        <is>
          <t>Venda</t>
        </is>
      </c>
      <c r="G823" s="68" t="n">
        <v>0</v>
      </c>
      <c r="H823" s="172" t="inlineStr">
        <is>
          <t>Não</t>
        </is>
      </c>
      <c r="I823" s="47" t="inlineStr">
        <is>
          <t>9003272</t>
        </is>
      </c>
    </row>
    <row r="824">
      <c r="A824" s="43" t="inlineStr">
        <is>
          <t>002053</t>
        </is>
      </c>
      <c r="B824" s="44" t="inlineStr">
        <is>
          <t>COMBO MONTE SEU CHURRASCO</t>
        </is>
      </c>
      <c r="C824" s="45" t="inlineStr">
        <is>
          <t>OI</t>
        </is>
      </c>
      <c r="D824" s="45" t="inlineStr">
        <is>
          <t>UN</t>
        </is>
      </c>
      <c r="E824" s="45" t="inlineStr">
        <is>
          <t>0092</t>
        </is>
      </c>
      <c r="F824" s="65" t="inlineStr">
        <is>
          <t>Venda</t>
        </is>
      </c>
      <c r="G824" s="69" t="n">
        <v>0</v>
      </c>
      <c r="H824" s="172" t="inlineStr">
        <is>
          <t>Não</t>
        </is>
      </c>
      <c r="I824" s="48" t="inlineStr">
        <is>
          <t>78989056877290</t>
        </is>
      </c>
    </row>
    <row r="825">
      <c r="A825" s="40" t="inlineStr">
        <is>
          <t>009844</t>
        </is>
      </c>
      <c r="B825" s="41" t="inlineStr">
        <is>
          <t>COMBO QUINTAL FELIZ</t>
        </is>
      </c>
      <c r="C825" s="42" t="inlineStr">
        <is>
          <t>KT</t>
        </is>
      </c>
      <c r="D825" s="42" t="inlineStr">
        <is>
          <t>UN</t>
        </is>
      </c>
      <c r="E825" s="42" t="inlineStr">
        <is>
          <t>0092</t>
        </is>
      </c>
      <c r="F825" s="65" t="inlineStr">
        <is>
          <t>Venda</t>
        </is>
      </c>
      <c r="G825" s="68" t="n">
        <v>0</v>
      </c>
      <c r="H825" s="172" t="inlineStr">
        <is>
          <t>Não</t>
        </is>
      </c>
      <c r="I825" s="47" t="inlineStr">
        <is>
          <t>78989056877392</t>
        </is>
      </c>
    </row>
    <row r="826">
      <c r="A826" s="43" t="inlineStr">
        <is>
          <t>001564</t>
        </is>
      </c>
      <c r="B826" s="44" t="inlineStr">
        <is>
          <t>COMBO SMIRNOFF + REFRIGERANTE</t>
        </is>
      </c>
      <c r="C826" s="45" t="inlineStr">
        <is>
          <t>MR</t>
        </is>
      </c>
      <c r="D826" s="45" t="inlineStr">
        <is>
          <t>UN</t>
        </is>
      </c>
      <c r="E826" s="45" t="inlineStr">
        <is>
          <t>0107</t>
        </is>
      </c>
      <c r="F826" s="65" t="inlineStr">
        <is>
          <t>Venda</t>
        </is>
      </c>
      <c r="G826" s="69" t="n">
        <v>0</v>
      </c>
      <c r="H826" s="173" t="inlineStr">
        <is>
          <t>Sim</t>
        </is>
      </c>
      <c r="I826" s="50" t="n"/>
    </row>
    <row r="827">
      <c r="A827" s="40" t="inlineStr">
        <is>
          <t>001204</t>
        </is>
      </c>
      <c r="B827" s="41" t="inlineStr">
        <is>
          <t>COMBO TANQUERAY</t>
        </is>
      </c>
      <c r="C827" s="42" t="inlineStr">
        <is>
          <t>KT</t>
        </is>
      </c>
      <c r="D827" s="42" t="inlineStr">
        <is>
          <t>UN</t>
        </is>
      </c>
      <c r="E827" s="42" t="inlineStr">
        <is>
          <t>0101</t>
        </is>
      </c>
      <c r="F827" s="65" t="inlineStr">
        <is>
          <t>Venda</t>
        </is>
      </c>
      <c r="G827" s="68" t="n">
        <v>0</v>
      </c>
      <c r="H827" s="172" t="inlineStr">
        <is>
          <t>Não</t>
        </is>
      </c>
      <c r="I827" s="47" t="inlineStr">
        <is>
          <t>9003552</t>
        </is>
      </c>
    </row>
    <row r="828">
      <c r="A828" s="43" t="inlineStr">
        <is>
          <t>001694</t>
        </is>
      </c>
      <c r="B828" s="44" t="inlineStr">
        <is>
          <t>COMP ELGIN TCM0030E 1/2 HP 220</t>
        </is>
      </c>
      <c r="C828" s="45" t="inlineStr">
        <is>
          <t>ME</t>
        </is>
      </c>
      <c r="D828" s="45" t="inlineStr">
        <is>
          <t>UN</t>
        </is>
      </c>
      <c r="E828" s="45" t="inlineStr">
        <is>
          <t>0065</t>
        </is>
      </c>
      <c r="F828" s="65" t="inlineStr">
        <is>
          <t>Venda</t>
        </is>
      </c>
      <c r="G828" s="69" t="n">
        <v>0</v>
      </c>
      <c r="H828" s="173" t="inlineStr">
        <is>
          <t>Sim</t>
        </is>
      </c>
      <c r="I828" s="50" t="n"/>
    </row>
    <row r="829">
      <c r="A829" s="40" t="inlineStr">
        <is>
          <t>009375</t>
        </is>
      </c>
      <c r="B829" s="41" t="inlineStr">
        <is>
          <t>COMPOUND ADESIVO A+B 1KG</t>
        </is>
      </c>
      <c r="C829" s="42" t="inlineStr">
        <is>
          <t>MC</t>
        </is>
      </c>
      <c r="D829" s="42" t="inlineStr">
        <is>
          <t>UN</t>
        </is>
      </c>
      <c r="E829" s="42" t="inlineStr">
        <is>
          <t>0132</t>
        </is>
      </c>
      <c r="F829" s="70" t="inlineStr">
        <is>
          <t>Compras</t>
        </is>
      </c>
      <c r="G829" s="71" t="n">
        <v>89.90000000000001</v>
      </c>
      <c r="H829" s="172" t="inlineStr">
        <is>
          <t>Não</t>
        </is>
      </c>
      <c r="I829" s="49" t="n"/>
    </row>
    <row r="830">
      <c r="A830" s="43" t="inlineStr">
        <is>
          <t>001469</t>
        </is>
      </c>
      <c r="B830" s="44" t="inlineStr">
        <is>
          <t>COMPRA COMANDAS - CS</t>
        </is>
      </c>
      <c r="C830" s="45" t="inlineStr">
        <is>
          <t>SV</t>
        </is>
      </c>
      <c r="D830" s="45" t="inlineStr">
        <is>
          <t>UN</t>
        </is>
      </c>
      <c r="E830" s="45" t="inlineStr">
        <is>
          <t>(VAZ</t>
        </is>
      </c>
      <c r="F830" s="70" t="inlineStr">
        <is>
          <t>Compras</t>
        </is>
      </c>
      <c r="G830" s="69" t="n">
        <v>0</v>
      </c>
      <c r="H830" s="172" t="inlineStr">
        <is>
          <t>Não</t>
        </is>
      </c>
      <c r="I830" s="50" t="n"/>
    </row>
    <row r="831">
      <c r="A831" s="40" t="inlineStr">
        <is>
          <t>001652</t>
        </is>
      </c>
      <c r="B831" s="41" t="inlineStr">
        <is>
          <t>COMPRA DE CARTAO</t>
        </is>
      </c>
      <c r="C831" s="42" t="inlineStr">
        <is>
          <t>SV</t>
        </is>
      </c>
      <c r="D831" s="42" t="inlineStr">
        <is>
          <t>UN</t>
        </is>
      </c>
      <c r="E831" s="42" t="inlineStr">
        <is>
          <t>(VAZ</t>
        </is>
      </c>
      <c r="F831" s="70" t="inlineStr">
        <is>
          <t>Compras</t>
        </is>
      </c>
      <c r="G831" s="68" t="n">
        <v>0</v>
      </c>
      <c r="H831" s="172" t="inlineStr">
        <is>
          <t>Não</t>
        </is>
      </c>
      <c r="I831" s="49" t="n"/>
    </row>
    <row r="832">
      <c r="A832" s="43" t="inlineStr">
        <is>
          <t>010228</t>
        </is>
      </c>
      <c r="B832" s="44" t="inlineStr">
        <is>
          <t>COMPRESSA DE GAZE ESTERIL</t>
        </is>
      </c>
      <c r="C832" s="45" t="inlineStr">
        <is>
          <t>MC</t>
        </is>
      </c>
      <c r="D832" s="45" t="inlineStr">
        <is>
          <t>UN</t>
        </is>
      </c>
      <c r="E832" s="45" t="inlineStr">
        <is>
          <t>0145</t>
        </is>
      </c>
      <c r="F832" s="70" t="inlineStr">
        <is>
          <t>Compras</t>
        </is>
      </c>
      <c r="G832" s="69" t="n">
        <v>0</v>
      </c>
      <c r="H832" s="172" t="inlineStr">
        <is>
          <t>Não</t>
        </is>
      </c>
      <c r="I832" s="50" t="n"/>
    </row>
    <row r="833">
      <c r="A833" s="40" t="inlineStr">
        <is>
          <t>000811</t>
        </is>
      </c>
      <c r="B833" s="41" t="inlineStr">
        <is>
          <t>COMPRESSOR</t>
        </is>
      </c>
      <c r="C833" s="42" t="inlineStr">
        <is>
          <t>MC</t>
        </is>
      </c>
      <c r="D833" s="42" t="inlineStr">
        <is>
          <t>UN</t>
        </is>
      </c>
      <c r="E833" s="42" t="inlineStr">
        <is>
          <t>0065</t>
        </is>
      </c>
      <c r="F833" s="70" t="inlineStr">
        <is>
          <t>Compras</t>
        </is>
      </c>
      <c r="G833" s="71" t="n">
        <v>1060</v>
      </c>
      <c r="H833" s="173" t="inlineStr">
        <is>
          <t>Sim</t>
        </is>
      </c>
      <c r="I833" s="49" t="n"/>
    </row>
    <row r="834">
      <c r="A834" s="40" t="inlineStr">
        <is>
          <t>009388</t>
        </is>
      </c>
      <c r="B834" s="41" t="inlineStr">
        <is>
          <t>COMPRESSOR P/ GELADEIRA 1/2 HP 220V</t>
        </is>
      </c>
      <c r="C834" s="42" t="inlineStr">
        <is>
          <t>MC</t>
        </is>
      </c>
      <c r="D834" s="42" t="inlineStr">
        <is>
          <t>UN</t>
        </is>
      </c>
      <c r="E834" s="42" t="inlineStr">
        <is>
          <t>0132</t>
        </is>
      </c>
      <c r="F834" s="70" t="inlineStr">
        <is>
          <t>Compras</t>
        </is>
      </c>
      <c r="G834" s="71" t="n">
        <v>388</v>
      </c>
      <c r="H834" s="172" t="inlineStr">
        <is>
          <t>Não</t>
        </is>
      </c>
      <c r="I834" s="49" t="n"/>
    </row>
    <row r="835">
      <c r="A835" s="43" t="inlineStr">
        <is>
          <t>009327</t>
        </is>
      </c>
      <c r="B835" s="44" t="inlineStr">
        <is>
          <t>COMPRESSOR P/ GELADEIRA 1/4 HP 220V MONO</t>
        </is>
      </c>
      <c r="C835" s="45" t="inlineStr">
        <is>
          <t>MC</t>
        </is>
      </c>
      <c r="D835" s="45" t="inlineStr">
        <is>
          <t>UN</t>
        </is>
      </c>
      <c r="E835" s="45" t="inlineStr">
        <is>
          <t>0132</t>
        </is>
      </c>
      <c r="F835" s="70" t="inlineStr">
        <is>
          <t>Compras</t>
        </is>
      </c>
      <c r="G835" s="66" t="n">
        <v>515</v>
      </c>
      <c r="H835" s="172" t="inlineStr">
        <is>
          <t>Não</t>
        </is>
      </c>
      <c r="I835" s="50" t="n"/>
    </row>
    <row r="836">
      <c r="A836" s="40" t="inlineStr">
        <is>
          <t>000611</t>
        </is>
      </c>
      <c r="B836" s="41" t="inlineStr">
        <is>
          <t>COMPUTADOR</t>
        </is>
      </c>
      <c r="C836" s="42" t="inlineStr">
        <is>
          <t>AI</t>
        </is>
      </c>
      <c r="D836" s="42" t="inlineStr">
        <is>
          <t>UN</t>
        </is>
      </c>
      <c r="E836" s="42" t="inlineStr">
        <is>
          <t>0006</t>
        </is>
      </c>
      <c r="F836" s="70" t="inlineStr">
        <is>
          <t>Compras</t>
        </is>
      </c>
      <c r="G836" s="68" t="n">
        <v>0</v>
      </c>
      <c r="H836" s="172" t="inlineStr">
        <is>
          <t>Não</t>
        </is>
      </c>
      <c r="I836" s="49" t="n"/>
    </row>
    <row r="837">
      <c r="A837" s="43" t="inlineStr">
        <is>
          <t>000560</t>
        </is>
      </c>
      <c r="B837" s="44" t="inlineStr">
        <is>
          <t>CONCHA GRANDE</t>
        </is>
      </c>
      <c r="C837" s="45" t="inlineStr">
        <is>
          <t>MC</t>
        </is>
      </c>
      <c r="D837" s="45" t="inlineStr">
        <is>
          <t>UN</t>
        </is>
      </c>
      <c r="E837" s="45" t="inlineStr">
        <is>
          <t>0080</t>
        </is>
      </c>
      <c r="F837" s="70" t="inlineStr">
        <is>
          <t>Compras</t>
        </is>
      </c>
      <c r="G837" s="66" t="n">
        <v>47</v>
      </c>
      <c r="H837" s="172" t="inlineStr">
        <is>
          <t>Não</t>
        </is>
      </c>
      <c r="I837" s="50" t="n"/>
    </row>
    <row r="838">
      <c r="A838" s="40" t="inlineStr">
        <is>
          <t>000561</t>
        </is>
      </c>
      <c r="B838" s="41" t="inlineStr">
        <is>
          <t>CONCHA MEDIA</t>
        </is>
      </c>
      <c r="C838" s="42" t="inlineStr">
        <is>
          <t>MC</t>
        </is>
      </c>
      <c r="D838" s="42" t="inlineStr">
        <is>
          <t>UN</t>
        </is>
      </c>
      <c r="E838" s="42" t="inlineStr">
        <is>
          <t>0080</t>
        </is>
      </c>
      <c r="F838" s="70" t="inlineStr">
        <is>
          <t>Compras</t>
        </is>
      </c>
      <c r="G838" s="71" t="n">
        <v>43.2</v>
      </c>
      <c r="H838" s="172" t="inlineStr">
        <is>
          <t>Não</t>
        </is>
      </c>
      <c r="I838" s="49" t="n"/>
    </row>
    <row r="839">
      <c r="A839" s="43" t="inlineStr">
        <is>
          <t>000562</t>
        </is>
      </c>
      <c r="B839" s="44" t="inlineStr">
        <is>
          <t>CONCHA PEQUENA</t>
        </is>
      </c>
      <c r="C839" s="45" t="inlineStr">
        <is>
          <t>MC</t>
        </is>
      </c>
      <c r="D839" s="45" t="inlineStr">
        <is>
          <t>UN</t>
        </is>
      </c>
      <c r="E839" s="45" t="inlineStr">
        <is>
          <t>0080</t>
        </is>
      </c>
      <c r="F839" s="70" t="inlineStr">
        <is>
          <t>Compras</t>
        </is>
      </c>
      <c r="G839" s="66" t="n">
        <v>26.4</v>
      </c>
      <c r="H839" s="172" t="inlineStr">
        <is>
          <t>Não</t>
        </is>
      </c>
      <c r="I839" s="50" t="n"/>
    </row>
    <row r="840">
      <c r="A840" s="40" t="inlineStr">
        <is>
          <t>009346</t>
        </is>
      </c>
      <c r="B840" s="41" t="inlineStr">
        <is>
          <t>CONDUITE AMARELO 1/2</t>
        </is>
      </c>
      <c r="C840" s="42" t="inlineStr">
        <is>
          <t>MC</t>
        </is>
      </c>
      <c r="D840" s="42" t="inlineStr">
        <is>
          <t>UN</t>
        </is>
      </c>
      <c r="E840" s="42" t="inlineStr">
        <is>
          <t>0132</t>
        </is>
      </c>
      <c r="F840" s="70" t="inlineStr">
        <is>
          <t>Compras</t>
        </is>
      </c>
      <c r="G840" s="71" t="n">
        <v>2.2</v>
      </c>
      <c r="H840" s="172" t="inlineStr">
        <is>
          <t>Não</t>
        </is>
      </c>
      <c r="I840" s="49" t="n"/>
    </row>
    <row r="841">
      <c r="A841" s="43" t="inlineStr">
        <is>
          <t>009683</t>
        </is>
      </c>
      <c r="B841" s="44" t="inlineStr">
        <is>
          <t>CONDUITE AMARELO 3/4</t>
        </is>
      </c>
      <c r="C841" s="45" t="inlineStr">
        <is>
          <t>MC</t>
        </is>
      </c>
      <c r="D841" s="45" t="inlineStr">
        <is>
          <t>MT</t>
        </is>
      </c>
      <c r="E841" s="45" t="inlineStr">
        <is>
          <t>0132</t>
        </is>
      </c>
      <c r="F841" s="65" t="inlineStr">
        <is>
          <t>Compras</t>
        </is>
      </c>
      <c r="G841" s="66" t="n">
        <v>4.5</v>
      </c>
      <c r="H841" s="172" t="inlineStr">
        <is>
          <t>Não</t>
        </is>
      </c>
      <c r="I841" s="50" t="n"/>
    </row>
    <row r="842">
      <c r="A842" s="40" t="inlineStr">
        <is>
          <t>010150</t>
        </is>
      </c>
      <c r="B842" s="41" t="inlineStr">
        <is>
          <t>CONDULETE ALUMINIO 3/4 S/ PINTURA S/ TAMPA</t>
        </is>
      </c>
      <c r="C842" s="42" t="inlineStr">
        <is>
          <t>MC</t>
        </is>
      </c>
      <c r="D842" s="42" t="inlineStr">
        <is>
          <t>UN</t>
        </is>
      </c>
      <c r="E842" s="42" t="inlineStr">
        <is>
          <t>0132</t>
        </is>
      </c>
      <c r="F842" s="70" t="inlineStr">
        <is>
          <t>Compras</t>
        </is>
      </c>
      <c r="G842" s="71" t="n">
        <v>14.83</v>
      </c>
      <c r="H842" s="172" t="inlineStr">
        <is>
          <t>Não</t>
        </is>
      </c>
      <c r="I842" s="49" t="n"/>
    </row>
    <row r="843">
      <c r="A843" s="43" t="inlineStr">
        <is>
          <t>009432</t>
        </is>
      </c>
      <c r="B843" s="44" t="inlineStr">
        <is>
          <t>CONDULETE S/ROSCA TIPO C 1/2 S/TAMPA S/PINTURA</t>
        </is>
      </c>
      <c r="C843" s="45" t="inlineStr">
        <is>
          <t>MC</t>
        </is>
      </c>
      <c r="D843" s="45" t="inlineStr">
        <is>
          <t>UN</t>
        </is>
      </c>
      <c r="E843" s="45" t="inlineStr">
        <is>
          <t>0132</t>
        </is>
      </c>
      <c r="F843" s="70" t="inlineStr">
        <is>
          <t>Compras</t>
        </is>
      </c>
      <c r="G843" s="66" t="n">
        <v>14.82</v>
      </c>
      <c r="H843" s="172" t="inlineStr">
        <is>
          <t>Não</t>
        </is>
      </c>
      <c r="I843" s="50" t="n"/>
    </row>
    <row r="844">
      <c r="A844" s="40" t="inlineStr">
        <is>
          <t>009435</t>
        </is>
      </c>
      <c r="B844" s="41" t="inlineStr">
        <is>
          <t>CONDULETE S/ROSCA TIPO E 1/2 S/TAMPA S/PINTURA</t>
        </is>
      </c>
      <c r="C844" s="42" t="inlineStr">
        <is>
          <t>MC</t>
        </is>
      </c>
      <c r="D844" s="42" t="inlineStr">
        <is>
          <t>UN</t>
        </is>
      </c>
      <c r="E844" s="42" t="inlineStr">
        <is>
          <t>0132</t>
        </is>
      </c>
      <c r="F844" s="70" t="inlineStr">
        <is>
          <t>Compras</t>
        </is>
      </c>
      <c r="G844" s="71" t="n">
        <v>13.37</v>
      </c>
      <c r="H844" s="172" t="inlineStr">
        <is>
          <t>Não</t>
        </is>
      </c>
      <c r="I844" s="49" t="n"/>
    </row>
    <row r="845">
      <c r="A845" s="43" t="inlineStr">
        <is>
          <t>009433</t>
        </is>
      </c>
      <c r="B845" s="44" t="inlineStr">
        <is>
          <t>CONDULETE S/ROSCA TIPO T 1/2 S/TAMPA S/PINTURA</t>
        </is>
      </c>
      <c r="C845" s="45" t="inlineStr">
        <is>
          <t>MC</t>
        </is>
      </c>
      <c r="D845" s="45" t="inlineStr">
        <is>
          <t>UN</t>
        </is>
      </c>
      <c r="E845" s="45" t="inlineStr">
        <is>
          <t>0132</t>
        </is>
      </c>
      <c r="F845" s="70" t="inlineStr">
        <is>
          <t>Compras</t>
        </is>
      </c>
      <c r="G845" s="66" t="n">
        <v>16.04</v>
      </c>
      <c r="H845" s="172" t="inlineStr">
        <is>
          <t>Não</t>
        </is>
      </c>
      <c r="I845" s="50" t="n"/>
    </row>
    <row r="846">
      <c r="A846" s="40" t="inlineStr">
        <is>
          <t>009621</t>
        </is>
      </c>
      <c r="B846" s="41" t="inlineStr">
        <is>
          <t>CONECTOR GENERICO PARA BARRAMENTO</t>
        </is>
      </c>
      <c r="C846" s="42" t="inlineStr">
        <is>
          <t>MC</t>
        </is>
      </c>
      <c r="D846" s="42" t="inlineStr">
        <is>
          <t>UN</t>
        </is>
      </c>
      <c r="E846" s="42" t="inlineStr">
        <is>
          <t>0132</t>
        </is>
      </c>
      <c r="F846" s="70" t="inlineStr">
        <is>
          <t>Compras</t>
        </is>
      </c>
      <c r="G846" s="71" t="n">
        <v>11</v>
      </c>
      <c r="H846" s="172" t="inlineStr">
        <is>
          <t>Não</t>
        </is>
      </c>
      <c r="I846" s="49" t="n"/>
    </row>
    <row r="847">
      <c r="A847" s="43" t="inlineStr">
        <is>
          <t>010139</t>
        </is>
      </c>
      <c r="B847" s="44" t="inlineStr">
        <is>
          <t>CONECTOR PARA FITA DE LED</t>
        </is>
      </c>
      <c r="C847" s="45" t="inlineStr">
        <is>
          <t>MC</t>
        </is>
      </c>
      <c r="D847" s="45" t="inlineStr">
        <is>
          <t>UN</t>
        </is>
      </c>
      <c r="E847" s="45" t="inlineStr">
        <is>
          <t>0132</t>
        </is>
      </c>
      <c r="F847" s="70" t="inlineStr">
        <is>
          <t>Compras</t>
        </is>
      </c>
      <c r="G847" s="69" t="n">
        <v>0</v>
      </c>
      <c r="H847" s="172" t="inlineStr">
        <is>
          <t>Não</t>
        </is>
      </c>
      <c r="I847" s="50" t="n"/>
    </row>
    <row r="848">
      <c r="A848" s="40" t="inlineStr">
        <is>
          <t>010279</t>
        </is>
      </c>
      <c r="B848" s="41" t="inlineStr">
        <is>
          <t>CONECTOR SPLIT BOLT 10MM</t>
        </is>
      </c>
      <c r="C848" s="42" t="inlineStr">
        <is>
          <t>MC</t>
        </is>
      </c>
      <c r="D848" s="42" t="inlineStr">
        <is>
          <t>UN</t>
        </is>
      </c>
      <c r="E848" s="42" t="inlineStr">
        <is>
          <t>0132</t>
        </is>
      </c>
      <c r="F848" s="70" t="inlineStr">
        <is>
          <t>Compras</t>
        </is>
      </c>
      <c r="G848" s="71" t="n">
        <v>8.5</v>
      </c>
      <c r="H848" s="172" t="inlineStr">
        <is>
          <t>Não</t>
        </is>
      </c>
      <c r="I848" s="49" t="n"/>
    </row>
    <row r="849">
      <c r="A849" s="43" t="inlineStr">
        <is>
          <t>009402</t>
        </is>
      </c>
      <c r="B849" s="44" t="inlineStr">
        <is>
          <t>CONECTOR SPLIT BOLT P/ CABO 120MM</t>
        </is>
      </c>
      <c r="C849" s="45" t="inlineStr">
        <is>
          <t>MC</t>
        </is>
      </c>
      <c r="D849" s="45" t="inlineStr">
        <is>
          <t>UN</t>
        </is>
      </c>
      <c r="E849" s="45" t="inlineStr">
        <is>
          <t>0132</t>
        </is>
      </c>
      <c r="F849" s="70" t="inlineStr">
        <is>
          <t>Compras</t>
        </is>
      </c>
      <c r="G849" s="66" t="n">
        <v>45.4</v>
      </c>
      <c r="H849" s="172" t="inlineStr">
        <is>
          <t>Não</t>
        </is>
      </c>
      <c r="I849" s="50" t="n"/>
    </row>
    <row r="850">
      <c r="A850" s="40" t="inlineStr">
        <is>
          <t>009903</t>
        </is>
      </c>
      <c r="B850" s="41" t="inlineStr">
        <is>
          <t>CONEXAO HIDRAULICA CROMADA Y 3/4</t>
        </is>
      </c>
      <c r="C850" s="42" t="inlineStr">
        <is>
          <t>MC</t>
        </is>
      </c>
      <c r="D850" s="42" t="inlineStr">
        <is>
          <t>UN</t>
        </is>
      </c>
      <c r="E850" s="42" t="inlineStr">
        <is>
          <t>0132</t>
        </is>
      </c>
      <c r="F850" s="70" t="inlineStr">
        <is>
          <t>Compras</t>
        </is>
      </c>
      <c r="G850" s="71" t="n">
        <v>29.9</v>
      </c>
      <c r="H850" s="172" t="inlineStr">
        <is>
          <t>Não</t>
        </is>
      </c>
      <c r="I850" s="49" t="n"/>
    </row>
    <row r="851">
      <c r="A851" s="43" t="inlineStr">
        <is>
          <t>000348</t>
        </is>
      </c>
      <c r="B851" s="44" t="inlineStr">
        <is>
          <t>CONHAQUE DOMECQ 1LT</t>
        </is>
      </c>
      <c r="C851" s="45" t="inlineStr">
        <is>
          <t>ME</t>
        </is>
      </c>
      <c r="D851" s="45" t="inlineStr">
        <is>
          <t>LT</t>
        </is>
      </c>
      <c r="E851" s="45" t="inlineStr">
        <is>
          <t>0028</t>
        </is>
      </c>
      <c r="F851" s="70" t="inlineStr">
        <is>
          <t>Compras</t>
        </is>
      </c>
      <c r="G851" s="66" t="n">
        <v>35.99</v>
      </c>
      <c r="H851" s="172" t="inlineStr">
        <is>
          <t>Não</t>
        </is>
      </c>
      <c r="I851" s="50" t="n"/>
    </row>
    <row r="852">
      <c r="A852" s="40" t="inlineStr">
        <is>
          <t>001060</t>
        </is>
      </c>
      <c r="B852" s="41" t="inlineStr">
        <is>
          <t>CONJUNTO FACA CIMO 2440/6 E CH</t>
        </is>
      </c>
      <c r="C852" s="42" t="inlineStr">
        <is>
          <t>OI</t>
        </is>
      </c>
      <c r="D852" s="42" t="inlineStr">
        <is>
          <t>UN</t>
        </is>
      </c>
      <c r="E852" s="42" t="inlineStr">
        <is>
          <t>0107</t>
        </is>
      </c>
      <c r="F852" s="65" t="inlineStr">
        <is>
          <t>Venda</t>
        </is>
      </c>
      <c r="G852" s="68" t="n">
        <v>0</v>
      </c>
      <c r="H852" s="172" t="inlineStr">
        <is>
          <t>Não</t>
        </is>
      </c>
      <c r="I852" s="47" t="inlineStr">
        <is>
          <t>9003344</t>
        </is>
      </c>
    </row>
    <row r="853">
      <c r="A853" s="43" t="inlineStr">
        <is>
          <t>001518</t>
        </is>
      </c>
      <c r="B853" s="44" t="inlineStr">
        <is>
          <t>CONJUNTO MESA CADEIRA</t>
        </is>
      </c>
      <c r="C853" s="45" t="inlineStr">
        <is>
          <t>AI</t>
        </is>
      </c>
      <c r="D853" s="45" t="inlineStr">
        <is>
          <t>UN</t>
        </is>
      </c>
      <c r="E853" s="45" t="inlineStr">
        <is>
          <t>0020</t>
        </is>
      </c>
      <c r="F853" s="70" t="inlineStr">
        <is>
          <t>Compras</t>
        </is>
      </c>
      <c r="G853" s="69" t="n">
        <v>0</v>
      </c>
      <c r="H853" s="172" t="inlineStr">
        <is>
          <t>Não</t>
        </is>
      </c>
      <c r="I853" s="50" t="n"/>
    </row>
    <row r="854">
      <c r="A854" s="40" t="inlineStr">
        <is>
          <t>001636</t>
        </is>
      </c>
      <c r="B854" s="41" t="inlineStr">
        <is>
          <t>CONJUNTO VALVULA COPO VIDRO</t>
        </is>
      </c>
      <c r="C854" s="42" t="inlineStr">
        <is>
          <t>MC</t>
        </is>
      </c>
      <c r="D854" s="42" t="inlineStr">
        <is>
          <t>UN</t>
        </is>
      </c>
      <c r="E854" s="42" t="inlineStr">
        <is>
          <t>0079</t>
        </is>
      </c>
      <c r="F854" s="70" t="inlineStr">
        <is>
          <t>Compras</t>
        </is>
      </c>
      <c r="G854" s="71" t="n">
        <v>6.2</v>
      </c>
      <c r="H854" s="172" t="inlineStr">
        <is>
          <t>Não</t>
        </is>
      </c>
      <c r="I854" s="49" t="n"/>
    </row>
    <row r="855">
      <c r="A855" s="43" t="inlineStr">
        <is>
          <t>001617</t>
        </is>
      </c>
      <c r="B855" s="44" t="inlineStr">
        <is>
          <t>CONSULTORIA E ACESSORIA ECONOM</t>
        </is>
      </c>
      <c r="C855" s="45" t="inlineStr">
        <is>
          <t>SV</t>
        </is>
      </c>
      <c r="D855" s="45" t="inlineStr">
        <is>
          <t>UN</t>
        </is>
      </c>
      <c r="E855" s="45" t="inlineStr">
        <is>
          <t>(VAZ</t>
        </is>
      </c>
      <c r="F855" s="70" t="inlineStr">
        <is>
          <t>Compras</t>
        </is>
      </c>
      <c r="G855" s="69" t="n">
        <v>0</v>
      </c>
      <c r="H855" s="172" t="inlineStr">
        <is>
          <t>Não</t>
        </is>
      </c>
      <c r="I855" s="50" t="n"/>
    </row>
    <row r="856">
      <c r="A856" s="40" t="inlineStr">
        <is>
          <t>001454</t>
        </is>
      </c>
      <c r="B856" s="41" t="inlineStr">
        <is>
          <t>CONTA  AGUA</t>
        </is>
      </c>
      <c r="C856" s="42" t="inlineStr">
        <is>
          <t>SV</t>
        </is>
      </c>
      <c r="D856" s="42" t="inlineStr">
        <is>
          <t>UN</t>
        </is>
      </c>
      <c r="E856" s="42" t="inlineStr">
        <is>
          <t>(VAZ</t>
        </is>
      </c>
      <c r="F856" s="70" t="inlineStr">
        <is>
          <t>Compras</t>
        </is>
      </c>
      <c r="G856" s="68" t="n">
        <v>0</v>
      </c>
      <c r="H856" s="172" t="inlineStr">
        <is>
          <t>Não</t>
        </is>
      </c>
      <c r="I856" s="49" t="n"/>
    </row>
    <row r="857">
      <c r="A857" s="43" t="inlineStr">
        <is>
          <t>001455</t>
        </is>
      </c>
      <c r="B857" s="44" t="inlineStr">
        <is>
          <t>CONTA ENERGIA</t>
        </is>
      </c>
      <c r="C857" s="45" t="inlineStr">
        <is>
          <t>SV</t>
        </is>
      </c>
      <c r="D857" s="45" t="inlineStr">
        <is>
          <t>UN</t>
        </is>
      </c>
      <c r="E857" s="45" t="inlineStr">
        <is>
          <t>(VAZ</t>
        </is>
      </c>
      <c r="F857" s="70" t="inlineStr">
        <is>
          <t>Compras</t>
        </is>
      </c>
      <c r="G857" s="69" t="n">
        <v>0</v>
      </c>
      <c r="H857" s="172" t="inlineStr">
        <is>
          <t>Não</t>
        </is>
      </c>
      <c r="I857" s="50" t="n"/>
    </row>
    <row r="858">
      <c r="A858" s="40" t="inlineStr">
        <is>
          <t>001456</t>
        </is>
      </c>
      <c r="B858" s="41" t="inlineStr">
        <is>
          <t>CONTA INTERNET</t>
        </is>
      </c>
      <c r="C858" s="42" t="inlineStr">
        <is>
          <t>SV</t>
        </is>
      </c>
      <c r="D858" s="42" t="inlineStr">
        <is>
          <t>UN</t>
        </is>
      </c>
      <c r="E858" s="42" t="inlineStr">
        <is>
          <t>(VAZ</t>
        </is>
      </c>
      <c r="F858" s="70" t="inlineStr">
        <is>
          <t>Compras</t>
        </is>
      </c>
      <c r="G858" s="68" t="n">
        <v>0</v>
      </c>
      <c r="H858" s="172" t="inlineStr">
        <is>
          <t>Não</t>
        </is>
      </c>
      <c r="I858" s="49" t="n"/>
    </row>
    <row r="859">
      <c r="A859" s="43" t="inlineStr">
        <is>
          <t>009329</t>
        </is>
      </c>
      <c r="B859" s="44" t="inlineStr">
        <is>
          <t>CONTATOR DE POTENCIA TRIPOLAR 18A 220V</t>
        </is>
      </c>
      <c r="C859" s="45" t="inlineStr">
        <is>
          <t>MC</t>
        </is>
      </c>
      <c r="D859" s="45" t="inlineStr">
        <is>
          <t>UN</t>
        </is>
      </c>
      <c r="E859" s="45" t="inlineStr">
        <is>
          <t>0132</t>
        </is>
      </c>
      <c r="F859" s="70" t="inlineStr">
        <is>
          <t>Compras</t>
        </is>
      </c>
      <c r="G859" s="66" t="n">
        <v>205</v>
      </c>
      <c r="H859" s="172" t="inlineStr">
        <is>
          <t>Não</t>
        </is>
      </c>
      <c r="I859" s="50" t="n"/>
    </row>
    <row r="860">
      <c r="A860" s="40" t="inlineStr">
        <is>
          <t>001301</t>
        </is>
      </c>
      <c r="B860" s="41" t="inlineStr">
        <is>
          <t>CONTROLADOR TEMPERATURA 110/220V C/ SENSOR</t>
        </is>
      </c>
      <c r="C860" s="42" t="inlineStr">
        <is>
          <t>MC</t>
        </is>
      </c>
      <c r="D860" s="42" t="inlineStr">
        <is>
          <t>UN</t>
        </is>
      </c>
      <c r="E860" s="42" t="inlineStr">
        <is>
          <t>0132</t>
        </is>
      </c>
      <c r="F860" s="70" t="inlineStr">
        <is>
          <t>Compras</t>
        </is>
      </c>
      <c r="G860" s="71" t="n">
        <v>210</v>
      </c>
      <c r="H860" s="172" t="inlineStr">
        <is>
          <t>Não</t>
        </is>
      </c>
      <c r="I860" s="49" t="n"/>
    </row>
    <row r="861">
      <c r="A861" s="43" t="inlineStr">
        <is>
          <t>010242</t>
        </is>
      </c>
      <c r="B861" s="44" t="inlineStr">
        <is>
          <t>CONTROLE REMOTO AR CONDICIONADO</t>
        </is>
      </c>
      <c r="C861" s="45" t="inlineStr">
        <is>
          <t>MC</t>
        </is>
      </c>
      <c r="D861" s="45" t="inlineStr">
        <is>
          <t>UN</t>
        </is>
      </c>
      <c r="E861" s="45" t="inlineStr">
        <is>
          <t>0132</t>
        </is>
      </c>
      <c r="F861" s="70" t="inlineStr">
        <is>
          <t>Compras</t>
        </is>
      </c>
      <c r="G861" s="66" t="n">
        <v>37.89</v>
      </c>
      <c r="H861" s="172" t="inlineStr">
        <is>
          <t>Não</t>
        </is>
      </c>
      <c r="I861" s="50" t="n"/>
    </row>
    <row r="862">
      <c r="A862" s="40" t="inlineStr">
        <is>
          <t>002112</t>
        </is>
      </c>
      <c r="B862" s="41" t="inlineStr">
        <is>
          <t>CONTROLE REMOTO SEM FIO - WIND FREE (SAMSUNG) (03)</t>
        </is>
      </c>
      <c r="C862" s="42" t="inlineStr">
        <is>
          <t>AI</t>
        </is>
      </c>
      <c r="D862" s="42" t="inlineStr">
        <is>
          <t>UN</t>
        </is>
      </c>
      <c r="E862" s="42" t="inlineStr">
        <is>
          <t>0002</t>
        </is>
      </c>
      <c r="F862" s="70" t="inlineStr">
        <is>
          <t>Compras</t>
        </is>
      </c>
      <c r="G862" s="71" t="n">
        <v>230.61</v>
      </c>
      <c r="H862" s="172" t="inlineStr">
        <is>
          <t>Não</t>
        </is>
      </c>
      <c r="I862" s="49" t="n"/>
    </row>
    <row r="863">
      <c r="A863" s="43" t="inlineStr">
        <is>
          <t>002227</t>
        </is>
      </c>
      <c r="B863" s="44" t="inlineStr">
        <is>
          <t>COPA LOMBO</t>
        </is>
      </c>
      <c r="C863" s="45" t="inlineStr">
        <is>
          <t>MC</t>
        </is>
      </c>
      <c r="D863" s="45" t="inlineStr">
        <is>
          <t>KG</t>
        </is>
      </c>
      <c r="E863" s="45" t="inlineStr">
        <is>
          <t>0013</t>
        </is>
      </c>
      <c r="F863" s="70" t="inlineStr">
        <is>
          <t>Compras</t>
        </is>
      </c>
      <c r="G863" s="66" t="n">
        <v>18.9001</v>
      </c>
      <c r="H863" s="173" t="inlineStr">
        <is>
          <t>Sim</t>
        </is>
      </c>
      <c r="I863" s="50" t="n"/>
    </row>
    <row r="864">
      <c r="A864" s="40" t="inlineStr">
        <is>
          <t>002203</t>
        </is>
      </c>
      <c r="B864" s="41" t="inlineStr">
        <is>
          <t>COPAO GIN + ENERGETICO</t>
        </is>
      </c>
      <c r="C864" s="42" t="inlineStr">
        <is>
          <t>MR</t>
        </is>
      </c>
      <c r="D864" s="42" t="inlineStr">
        <is>
          <t>UN</t>
        </is>
      </c>
      <c r="E864" s="42" t="inlineStr">
        <is>
          <t>0097</t>
        </is>
      </c>
      <c r="F864" s="65" t="inlineStr">
        <is>
          <t>Venda</t>
        </is>
      </c>
      <c r="G864" s="68" t="n">
        <v>0</v>
      </c>
      <c r="H864" s="173" t="inlineStr">
        <is>
          <t>Sim</t>
        </is>
      </c>
      <c r="I864" s="47" t="inlineStr">
        <is>
          <t>78989056877366</t>
        </is>
      </c>
    </row>
    <row r="865">
      <c r="A865" s="43" t="inlineStr">
        <is>
          <t>002202</t>
        </is>
      </c>
      <c r="B865" s="44" t="inlineStr">
        <is>
          <t>COPAO VODKA + ENERGETICO</t>
        </is>
      </c>
      <c r="C865" s="45" t="inlineStr">
        <is>
          <t>MR</t>
        </is>
      </c>
      <c r="D865" s="45" t="inlineStr">
        <is>
          <t>UN</t>
        </is>
      </c>
      <c r="E865" s="45" t="inlineStr">
        <is>
          <t>0097</t>
        </is>
      </c>
      <c r="F865" s="65" t="inlineStr">
        <is>
          <t>Venda</t>
        </is>
      </c>
      <c r="G865" s="69" t="n">
        <v>0</v>
      </c>
      <c r="H865" s="173" t="inlineStr">
        <is>
          <t>Sim</t>
        </is>
      </c>
      <c r="I865" s="48" t="inlineStr">
        <is>
          <t>78989056877365</t>
        </is>
      </c>
    </row>
    <row r="866">
      <c r="A866" s="40" t="inlineStr">
        <is>
          <t>002236</t>
        </is>
      </c>
      <c r="B866" s="41" t="inlineStr">
        <is>
          <t>COPO 100ML - TR S CORA OES</t>
        </is>
      </c>
      <c r="C866" s="42" t="inlineStr">
        <is>
          <t>MC</t>
        </is>
      </c>
      <c r="D866" s="42" t="inlineStr">
        <is>
          <t>UN</t>
        </is>
      </c>
      <c r="E866" s="42" t="inlineStr">
        <is>
          <t>0075</t>
        </is>
      </c>
      <c r="F866" s="70" t="inlineStr">
        <is>
          <t>Compras</t>
        </is>
      </c>
      <c r="G866" s="71" t="n">
        <v>0.3</v>
      </c>
      <c r="H866" s="172" t="inlineStr">
        <is>
          <t>Não</t>
        </is>
      </c>
      <c r="I866" s="49" t="n"/>
    </row>
    <row r="867">
      <c r="A867" s="43" t="inlineStr">
        <is>
          <t>002235</t>
        </is>
      </c>
      <c r="B867" s="44" t="inlineStr">
        <is>
          <t>COPO 180ML TR S CORA OES</t>
        </is>
      </c>
      <c r="C867" s="45" t="inlineStr">
        <is>
          <t>MC</t>
        </is>
      </c>
      <c r="D867" s="45" t="inlineStr">
        <is>
          <t>UN</t>
        </is>
      </c>
      <c r="E867" s="45" t="inlineStr">
        <is>
          <t>0075</t>
        </is>
      </c>
      <c r="F867" s="70" t="inlineStr">
        <is>
          <t>Compras</t>
        </is>
      </c>
      <c r="G867" s="66" t="n">
        <v>0.3206</v>
      </c>
      <c r="H867" s="172" t="inlineStr">
        <is>
          <t>Não</t>
        </is>
      </c>
      <c r="I867" s="50" t="n"/>
    </row>
    <row r="868">
      <c r="A868" s="40" t="inlineStr">
        <is>
          <t>000513</t>
        </is>
      </c>
      <c r="B868" s="41" t="inlineStr">
        <is>
          <t>COPO AMERICANO 190 ML</t>
        </is>
      </c>
      <c r="C868" s="42" t="inlineStr">
        <is>
          <t>MC</t>
        </is>
      </c>
      <c r="D868" s="42" t="inlineStr">
        <is>
          <t>UN</t>
        </is>
      </c>
      <c r="E868" s="42" t="inlineStr">
        <is>
          <t>0079</t>
        </is>
      </c>
      <c r="F868" s="70" t="inlineStr">
        <is>
          <t>Compras</t>
        </is>
      </c>
      <c r="G868" s="71" t="n">
        <v>4.7</v>
      </c>
      <c r="H868" s="172" t="inlineStr">
        <is>
          <t>Não</t>
        </is>
      </c>
      <c r="I868" s="49" t="n"/>
    </row>
    <row r="869">
      <c r="A869" s="43" t="inlineStr">
        <is>
          <t>000511</t>
        </is>
      </c>
      <c r="B869" s="44" t="inlineStr">
        <is>
          <t>COPO BRISTOL 410 ML</t>
        </is>
      </c>
      <c r="C869" s="45" t="inlineStr">
        <is>
          <t>MC</t>
        </is>
      </c>
      <c r="D869" s="45" t="inlineStr">
        <is>
          <t>UN</t>
        </is>
      </c>
      <c r="E869" s="45" t="inlineStr">
        <is>
          <t>0079</t>
        </is>
      </c>
      <c r="F869" s="70" t="inlineStr">
        <is>
          <t>Compras</t>
        </is>
      </c>
      <c r="G869" s="66" t="n">
        <v>6.5833</v>
      </c>
      <c r="H869" s="172" t="inlineStr">
        <is>
          <t>Não</t>
        </is>
      </c>
      <c r="I869" s="50" t="n"/>
    </row>
    <row r="870">
      <c r="A870" s="40" t="inlineStr">
        <is>
          <t>000525</t>
        </is>
      </c>
      <c r="B870" s="41" t="inlineStr">
        <is>
          <t>COPO CAIPIRINHA 350 ML</t>
        </is>
      </c>
      <c r="C870" s="42" t="inlineStr">
        <is>
          <t>MC</t>
        </is>
      </c>
      <c r="D870" s="42" t="inlineStr">
        <is>
          <t>UN</t>
        </is>
      </c>
      <c r="E870" s="42" t="inlineStr">
        <is>
          <t>0079</t>
        </is>
      </c>
      <c r="F870" s="70" t="inlineStr">
        <is>
          <t>Compras</t>
        </is>
      </c>
      <c r="G870" s="71" t="n">
        <v>6.5</v>
      </c>
      <c r="H870" s="172" t="inlineStr">
        <is>
          <t>Não</t>
        </is>
      </c>
      <c r="I870" s="49" t="n"/>
    </row>
    <row r="871">
      <c r="A871" s="43" t="inlineStr">
        <is>
          <t>000524</t>
        </is>
      </c>
      <c r="B871" s="44" t="inlineStr">
        <is>
          <t>COPO CHOPP BLACK</t>
        </is>
      </c>
      <c r="C871" s="45" t="inlineStr">
        <is>
          <t>MC</t>
        </is>
      </c>
      <c r="D871" s="45" t="inlineStr">
        <is>
          <t>UN</t>
        </is>
      </c>
      <c r="E871" s="45" t="inlineStr">
        <is>
          <t>0079</t>
        </is>
      </c>
      <c r="F871" s="70" t="inlineStr">
        <is>
          <t>Compras</t>
        </is>
      </c>
      <c r="G871" s="69" t="n">
        <v>0</v>
      </c>
      <c r="H871" s="173" t="inlineStr">
        <is>
          <t>Sim</t>
        </is>
      </c>
      <c r="I871" s="50" t="n"/>
    </row>
    <row r="872">
      <c r="A872" s="40" t="inlineStr">
        <is>
          <t>010276</t>
        </is>
      </c>
      <c r="B872" s="41" t="inlineStr">
        <is>
          <t>COPO COMPLETO DE LIQUIDIFICADOR BLENDER 2L</t>
        </is>
      </c>
      <c r="C872" s="42" t="inlineStr">
        <is>
          <t>MC</t>
        </is>
      </c>
      <c r="D872" s="42" t="inlineStr">
        <is>
          <t>UN</t>
        </is>
      </c>
      <c r="E872" s="42" t="inlineStr">
        <is>
          <t>0132</t>
        </is>
      </c>
      <c r="F872" s="70" t="inlineStr">
        <is>
          <t>Compras</t>
        </is>
      </c>
      <c r="G872" s="71" t="n">
        <v>860.83</v>
      </c>
      <c r="H872" s="172" t="inlineStr">
        <is>
          <t>Não</t>
        </is>
      </c>
      <c r="I872" s="49" t="n"/>
    </row>
    <row r="873">
      <c r="A873" s="43" t="inlineStr">
        <is>
          <t>000529</t>
        </is>
      </c>
      <c r="B873" s="44" t="inlineStr">
        <is>
          <t>COPO COQUETEL 350 ML</t>
        </is>
      </c>
      <c r="C873" s="45" t="inlineStr">
        <is>
          <t>MC</t>
        </is>
      </c>
      <c r="D873" s="45" t="inlineStr">
        <is>
          <t>UN</t>
        </is>
      </c>
      <c r="E873" s="45" t="inlineStr">
        <is>
          <t>0079</t>
        </is>
      </c>
      <c r="F873" s="70" t="inlineStr">
        <is>
          <t>Compras</t>
        </is>
      </c>
      <c r="G873" s="66" t="n">
        <v>13.6666</v>
      </c>
      <c r="H873" s="172" t="inlineStr">
        <is>
          <t>Não</t>
        </is>
      </c>
      <c r="I873" s="50" t="n"/>
    </row>
    <row r="874">
      <c r="A874" s="40" t="inlineStr">
        <is>
          <t>000149</t>
        </is>
      </c>
      <c r="B874" s="41" t="inlineStr">
        <is>
          <t>COPO DESCARTAVEL 300 ML</t>
        </is>
      </c>
      <c r="C874" s="42" t="inlineStr">
        <is>
          <t>MC</t>
        </is>
      </c>
      <c r="D874" s="42" t="inlineStr">
        <is>
          <t>PC</t>
        </is>
      </c>
      <c r="E874" s="42" t="inlineStr">
        <is>
          <t>0075</t>
        </is>
      </c>
      <c r="F874" s="70" t="inlineStr">
        <is>
          <t>Compras</t>
        </is>
      </c>
      <c r="G874" s="71" t="n">
        <v>7.48</v>
      </c>
      <c r="H874" s="172" t="inlineStr">
        <is>
          <t>Não</t>
        </is>
      </c>
      <c r="I874" s="49" t="n"/>
    </row>
    <row r="875">
      <c r="A875" s="43" t="inlineStr">
        <is>
          <t>000118</t>
        </is>
      </c>
      <c r="B875" s="44" t="inlineStr">
        <is>
          <t>COPO DESCARTAVEL 50 ML</t>
        </is>
      </c>
      <c r="C875" s="45" t="inlineStr">
        <is>
          <t>MC</t>
        </is>
      </c>
      <c r="D875" s="45" t="inlineStr">
        <is>
          <t>PC</t>
        </is>
      </c>
      <c r="E875" s="45" t="inlineStr">
        <is>
          <t>0075</t>
        </is>
      </c>
      <c r="F875" s="70" t="inlineStr">
        <is>
          <t>Compras</t>
        </is>
      </c>
      <c r="G875" s="66" t="n">
        <v>2.282</v>
      </c>
      <c r="H875" s="172" t="inlineStr">
        <is>
          <t>Não</t>
        </is>
      </c>
      <c r="I875" s="50" t="n"/>
    </row>
    <row r="876">
      <c r="A876" s="40" t="inlineStr">
        <is>
          <t>001132</t>
        </is>
      </c>
      <c r="B876" s="41" t="inlineStr">
        <is>
          <t>COPO DESCARTAVEL 550ML</t>
        </is>
      </c>
      <c r="C876" s="42" t="inlineStr">
        <is>
          <t>MC</t>
        </is>
      </c>
      <c r="D876" s="42" t="inlineStr">
        <is>
          <t>UN</t>
        </is>
      </c>
      <c r="E876" s="42" t="inlineStr">
        <is>
          <t>0075</t>
        </is>
      </c>
      <c r="F876" s="70" t="inlineStr">
        <is>
          <t>Compras</t>
        </is>
      </c>
      <c r="G876" s="71" t="n">
        <v>0.0465</v>
      </c>
      <c r="H876" s="172" t="inlineStr">
        <is>
          <t>Não</t>
        </is>
      </c>
      <c r="I876" s="49" t="n"/>
    </row>
    <row r="877">
      <c r="A877" s="43" t="inlineStr">
        <is>
          <t>001222</t>
        </is>
      </c>
      <c r="B877" s="44" t="inlineStr">
        <is>
          <t>COPO DOSE ACRILICO</t>
        </is>
      </c>
      <c r="C877" s="45" t="inlineStr">
        <is>
          <t>MC</t>
        </is>
      </c>
      <c r="D877" s="45" t="inlineStr">
        <is>
          <t>UN</t>
        </is>
      </c>
      <c r="E877" s="45" t="inlineStr">
        <is>
          <t>0079</t>
        </is>
      </c>
      <c r="F877" s="70" t="inlineStr">
        <is>
          <t>Compras</t>
        </is>
      </c>
      <c r="G877" s="66" t="n">
        <v>0.2087</v>
      </c>
      <c r="H877" s="172" t="inlineStr">
        <is>
          <t>Não</t>
        </is>
      </c>
      <c r="I877" s="50" t="n"/>
    </row>
    <row r="878">
      <c r="A878" s="40" t="inlineStr">
        <is>
          <t>002175</t>
        </is>
      </c>
      <c r="B878" s="41" t="inlineStr">
        <is>
          <t>COPO DOSE SHOT VIDRO</t>
        </is>
      </c>
      <c r="C878" s="42" t="inlineStr">
        <is>
          <t>MC</t>
        </is>
      </c>
      <c r="D878" s="42" t="inlineStr">
        <is>
          <t>UN</t>
        </is>
      </c>
      <c r="E878" s="42" t="inlineStr">
        <is>
          <t>0079</t>
        </is>
      </c>
      <c r="F878" s="70" t="inlineStr">
        <is>
          <t>Compras</t>
        </is>
      </c>
      <c r="G878" s="71" t="n">
        <v>133</v>
      </c>
      <c r="H878" s="172" t="inlineStr">
        <is>
          <t>Não</t>
        </is>
      </c>
      <c r="I878" s="49" t="n"/>
    </row>
    <row r="879">
      <c r="A879" s="43" t="inlineStr">
        <is>
          <t>009858</t>
        </is>
      </c>
      <c r="B879" s="44" t="inlineStr">
        <is>
          <t>COPO ISOPOR 120ML</t>
        </is>
      </c>
      <c r="C879" s="45" t="inlineStr">
        <is>
          <t>MC</t>
        </is>
      </c>
      <c r="D879" s="45" t="inlineStr">
        <is>
          <t>UN</t>
        </is>
      </c>
      <c r="E879" s="45" t="inlineStr">
        <is>
          <t>0075</t>
        </is>
      </c>
      <c r="F879" s="70" t="inlineStr">
        <is>
          <t>Compras</t>
        </is>
      </c>
      <c r="G879" s="66" t="n">
        <v>153.2</v>
      </c>
      <c r="H879" s="172" t="inlineStr">
        <is>
          <t>Não</t>
        </is>
      </c>
      <c r="I879" s="50" t="n"/>
    </row>
    <row r="880">
      <c r="A880" s="40" t="inlineStr">
        <is>
          <t>009857</t>
        </is>
      </c>
      <c r="B880" s="41" t="inlineStr">
        <is>
          <t>COPO ISOPOR 180ML</t>
        </is>
      </c>
      <c r="C880" s="42" t="inlineStr">
        <is>
          <t>MC</t>
        </is>
      </c>
      <c r="D880" s="42" t="inlineStr">
        <is>
          <t>UN</t>
        </is>
      </c>
      <c r="E880" s="42" t="inlineStr">
        <is>
          <t>0075</t>
        </is>
      </c>
      <c r="F880" s="70" t="inlineStr">
        <is>
          <t>Compras</t>
        </is>
      </c>
      <c r="G880" s="68" t="n">
        <v>0</v>
      </c>
      <c r="H880" s="172" t="inlineStr">
        <is>
          <t>Não</t>
        </is>
      </c>
      <c r="I880" s="49" t="n"/>
    </row>
    <row r="881">
      <c r="A881" s="43" t="inlineStr">
        <is>
          <t>000646</t>
        </is>
      </c>
      <c r="B881" s="44" t="inlineStr">
        <is>
          <t>COPO LIQUIDIFICADOR</t>
        </is>
      </c>
      <c r="C881" s="45" t="inlineStr">
        <is>
          <t>MC</t>
        </is>
      </c>
      <c r="D881" s="45" t="inlineStr">
        <is>
          <t>UN</t>
        </is>
      </c>
      <c r="E881" s="45" t="inlineStr">
        <is>
          <t>0079</t>
        </is>
      </c>
      <c r="F881" s="70" t="inlineStr">
        <is>
          <t>Compras</t>
        </is>
      </c>
      <c r="G881" s="69" t="n">
        <v>0</v>
      </c>
      <c r="H881" s="173" t="inlineStr">
        <is>
          <t>Sim</t>
        </is>
      </c>
      <c r="I881" s="50" t="n"/>
    </row>
    <row r="882">
      <c r="A882" s="40" t="inlineStr">
        <is>
          <t>000528</t>
        </is>
      </c>
      <c r="B882" s="41" t="inlineStr">
        <is>
          <t>COPO MARTINI 230 ML</t>
        </is>
      </c>
      <c r="C882" s="42" t="inlineStr">
        <is>
          <t>MC</t>
        </is>
      </c>
      <c r="D882" s="42" t="inlineStr">
        <is>
          <t>UN</t>
        </is>
      </c>
      <c r="E882" s="42" t="inlineStr">
        <is>
          <t>0079</t>
        </is>
      </c>
      <c r="F882" s="70" t="inlineStr">
        <is>
          <t>Compras</t>
        </is>
      </c>
      <c r="G882" s="68" t="n">
        <v>0</v>
      </c>
      <c r="H882" s="172" t="inlineStr">
        <is>
          <t>Não</t>
        </is>
      </c>
      <c r="I882" s="49" t="n"/>
    </row>
    <row r="883">
      <c r="A883" s="43" t="inlineStr">
        <is>
          <t>000675</t>
        </is>
      </c>
      <c r="B883" s="44" t="inlineStr">
        <is>
          <t>COPO MEDIDOR</t>
        </is>
      </c>
      <c r="C883" s="45" t="inlineStr">
        <is>
          <t>MC</t>
        </is>
      </c>
      <c r="D883" s="45" t="inlineStr">
        <is>
          <t>UN</t>
        </is>
      </c>
      <c r="E883" s="45" t="inlineStr">
        <is>
          <t>0079</t>
        </is>
      </c>
      <c r="F883" s="70" t="inlineStr">
        <is>
          <t>Compras</t>
        </is>
      </c>
      <c r="G883" s="69" t="n">
        <v>0</v>
      </c>
      <c r="H883" s="172" t="inlineStr">
        <is>
          <t>Não</t>
        </is>
      </c>
      <c r="I883" s="50" t="n"/>
    </row>
    <row r="884">
      <c r="A884" s="40" t="inlineStr">
        <is>
          <t>000527</t>
        </is>
      </c>
      <c r="B884" s="41" t="inlineStr">
        <is>
          <t>COPO TEQUILA 60 ML</t>
        </is>
      </c>
      <c r="C884" s="42" t="inlineStr">
        <is>
          <t>MC</t>
        </is>
      </c>
      <c r="D884" s="42" t="inlineStr">
        <is>
          <t>UN</t>
        </is>
      </c>
      <c r="E884" s="42" t="inlineStr">
        <is>
          <t>0079</t>
        </is>
      </c>
      <c r="F884" s="70" t="inlineStr">
        <is>
          <t>Compras</t>
        </is>
      </c>
      <c r="G884" s="71" t="n">
        <v>75.59999999999999</v>
      </c>
      <c r="H884" s="172" t="inlineStr">
        <is>
          <t>Não</t>
        </is>
      </c>
      <c r="I884" s="49" t="n"/>
    </row>
    <row r="885">
      <c r="A885" s="43" t="inlineStr">
        <is>
          <t>000512</t>
        </is>
      </c>
      <c r="B885" s="44" t="inlineStr">
        <is>
          <t>COPO TULIPA 350 ML</t>
        </is>
      </c>
      <c r="C885" s="45" t="inlineStr">
        <is>
          <t>MC</t>
        </is>
      </c>
      <c r="D885" s="45" t="inlineStr">
        <is>
          <t>UN</t>
        </is>
      </c>
      <c r="E885" s="45" t="inlineStr">
        <is>
          <t>0079</t>
        </is>
      </c>
      <c r="F885" s="70" t="inlineStr">
        <is>
          <t>Compras</t>
        </is>
      </c>
      <c r="G885" s="66" t="n">
        <v>6.9333</v>
      </c>
      <c r="H885" s="172" t="inlineStr">
        <is>
          <t>Não</t>
        </is>
      </c>
      <c r="I885" s="50" t="n"/>
    </row>
    <row r="886">
      <c r="A886" s="40" t="inlineStr">
        <is>
          <t>001076</t>
        </is>
      </c>
      <c r="B886" s="41" t="inlineStr">
        <is>
          <t>COPO VINHO QUENTE</t>
        </is>
      </c>
      <c r="C886" s="42" t="inlineStr">
        <is>
          <t>PA</t>
        </is>
      </c>
      <c r="D886" s="42" t="inlineStr">
        <is>
          <t>UN</t>
        </is>
      </c>
      <c r="E886" s="42" t="inlineStr">
        <is>
          <t>0115</t>
        </is>
      </c>
      <c r="F886" s="65" t="inlineStr">
        <is>
          <t>Venda</t>
        </is>
      </c>
      <c r="G886" s="68" t="n">
        <v>0</v>
      </c>
      <c r="H886" s="172" t="inlineStr">
        <is>
          <t>Não</t>
        </is>
      </c>
      <c r="I886" s="47" t="inlineStr">
        <is>
          <t>15460</t>
        </is>
      </c>
    </row>
    <row r="887">
      <c r="A887" s="43" t="inlineStr">
        <is>
          <t>000526</t>
        </is>
      </c>
      <c r="B887" s="44" t="inlineStr">
        <is>
          <t>COPO WHISKY 300 ML</t>
        </is>
      </c>
      <c r="C887" s="45" t="inlineStr">
        <is>
          <t>MC</t>
        </is>
      </c>
      <c r="D887" s="45" t="inlineStr">
        <is>
          <t>UN</t>
        </is>
      </c>
      <c r="E887" s="45" t="inlineStr">
        <is>
          <t>0079</t>
        </is>
      </c>
      <c r="F887" s="70" t="inlineStr">
        <is>
          <t>Compras</t>
        </is>
      </c>
      <c r="G887" s="66" t="n">
        <v>9.75</v>
      </c>
      <c r="H887" s="172" t="inlineStr">
        <is>
          <t>Não</t>
        </is>
      </c>
      <c r="I887" s="50" t="n"/>
    </row>
    <row r="888">
      <c r="A888" s="40" t="inlineStr">
        <is>
          <t>001924</t>
        </is>
      </c>
      <c r="B888" s="41" t="inlineStr">
        <is>
          <t>COQUETEL BOULEVARDIER 750 ML  APTK</t>
        </is>
      </c>
      <c r="C888" s="42" t="inlineStr">
        <is>
          <t>ME</t>
        </is>
      </c>
      <c r="D888" s="42" t="inlineStr">
        <is>
          <t>LT</t>
        </is>
      </c>
      <c r="E888" s="42" t="inlineStr">
        <is>
          <t>0138</t>
        </is>
      </c>
      <c r="F888" s="70" t="inlineStr">
        <is>
          <t>Compras</t>
        </is>
      </c>
      <c r="G888" s="71" t="n">
        <v>80</v>
      </c>
      <c r="H888" s="172" t="inlineStr">
        <is>
          <t>Não</t>
        </is>
      </c>
      <c r="I888" s="49" t="n"/>
    </row>
    <row r="889">
      <c r="A889" s="43" t="inlineStr">
        <is>
          <t>000057</t>
        </is>
      </c>
      <c r="B889" s="44" t="inlineStr">
        <is>
          <t>COQUETEL FRUTAS</t>
        </is>
      </c>
      <c r="C889" s="45" t="inlineStr">
        <is>
          <t>PA</t>
        </is>
      </c>
      <c r="D889" s="45" t="inlineStr">
        <is>
          <t>UN</t>
        </is>
      </c>
      <c r="E889" s="45" t="inlineStr">
        <is>
          <t>0097</t>
        </is>
      </c>
      <c r="F889" s="65" t="inlineStr">
        <is>
          <t>Venda</t>
        </is>
      </c>
      <c r="G889" s="69" t="n">
        <v>0</v>
      </c>
      <c r="H889" s="172" t="inlineStr">
        <is>
          <t>Não</t>
        </is>
      </c>
      <c r="I889" s="48" t="inlineStr">
        <is>
          <t>200005</t>
        </is>
      </c>
    </row>
    <row r="890">
      <c r="A890" s="40" t="inlineStr">
        <is>
          <t>001325</t>
        </is>
      </c>
      <c r="B890" s="41" t="inlineStr">
        <is>
          <t>COQUETEL JACK APPLE &amp; TONIC</t>
        </is>
      </c>
      <c r="C890" s="42" t="inlineStr">
        <is>
          <t>PA</t>
        </is>
      </c>
      <c r="D890" s="42" t="inlineStr">
        <is>
          <t>UN</t>
        </is>
      </c>
      <c r="E890" s="42" t="inlineStr">
        <is>
          <t>0120</t>
        </is>
      </c>
      <c r="F890" s="65" t="inlineStr">
        <is>
          <t>Venda</t>
        </is>
      </c>
      <c r="G890" s="68" t="n">
        <v>0</v>
      </c>
      <c r="H890" s="172" t="inlineStr">
        <is>
          <t>Não</t>
        </is>
      </c>
      <c r="I890" s="47" t="inlineStr">
        <is>
          <t>7898905687138</t>
        </is>
      </c>
    </row>
    <row r="891">
      <c r="A891" s="43" t="inlineStr">
        <is>
          <t>001324</t>
        </is>
      </c>
      <c r="B891" s="44" t="inlineStr">
        <is>
          <t>COQUETEL JACK FIRE&amp;GINGER</t>
        </is>
      </c>
      <c r="C891" s="45" t="inlineStr">
        <is>
          <t>KT</t>
        </is>
      </c>
      <c r="D891" s="45" t="inlineStr">
        <is>
          <t>UN</t>
        </is>
      </c>
      <c r="E891" s="45" t="inlineStr">
        <is>
          <t>0120</t>
        </is>
      </c>
      <c r="F891" s="65" t="inlineStr">
        <is>
          <t>Venda</t>
        </is>
      </c>
      <c r="G891" s="69" t="n">
        <v>0</v>
      </c>
      <c r="H891" s="177" t="inlineStr">
        <is>
          <t>Sim</t>
        </is>
      </c>
      <c r="I891" s="178" t="n"/>
    </row>
    <row r="892">
      <c r="A892" s="40" t="inlineStr">
        <is>
          <t>000538</t>
        </is>
      </c>
      <c r="B892" s="41" t="inlineStr">
        <is>
          <t>COQUETELEIRA 500 ML</t>
        </is>
      </c>
      <c r="C892" s="42" t="inlineStr">
        <is>
          <t>MC</t>
        </is>
      </c>
      <c r="D892" s="42" t="inlineStr">
        <is>
          <t>UN</t>
        </is>
      </c>
      <c r="E892" s="42" t="inlineStr">
        <is>
          <t>0079</t>
        </is>
      </c>
      <c r="F892" s="70" t="inlineStr">
        <is>
          <t>Compras</t>
        </is>
      </c>
      <c r="G892" s="71" t="n">
        <v>68</v>
      </c>
      <c r="H892" s="172" t="inlineStr">
        <is>
          <t>Não</t>
        </is>
      </c>
      <c r="I892" s="49" t="n"/>
    </row>
    <row r="893">
      <c r="A893" s="43" t="inlineStr">
        <is>
          <t>000023</t>
        </is>
      </c>
      <c r="B893" s="44" t="inlineStr">
        <is>
          <t>CORACAO</t>
        </is>
      </c>
      <c r="C893" s="45" t="inlineStr">
        <is>
          <t>PA</t>
        </is>
      </c>
      <c r="D893" s="45" t="inlineStr">
        <is>
          <t>UN</t>
        </is>
      </c>
      <c r="E893" s="45" t="inlineStr">
        <is>
          <t>0099</t>
        </is>
      </c>
      <c r="F893" s="65" t="inlineStr">
        <is>
          <t>Venda</t>
        </is>
      </c>
      <c r="G893" s="66" t="n">
        <v>255.34</v>
      </c>
      <c r="H893" s="172" t="inlineStr">
        <is>
          <t>Não</t>
        </is>
      </c>
      <c r="I893" s="48" t="inlineStr">
        <is>
          <t>10034</t>
        </is>
      </c>
    </row>
    <row r="894">
      <c r="A894" s="40" t="inlineStr">
        <is>
          <t>002193</t>
        </is>
      </c>
      <c r="B894" s="41" t="inlineStr">
        <is>
          <t>CORACAO  RUA</t>
        </is>
      </c>
      <c r="C894" s="42" t="inlineStr">
        <is>
          <t>PA</t>
        </is>
      </c>
      <c r="D894" s="42" t="inlineStr">
        <is>
          <t>UN</t>
        </is>
      </c>
      <c r="E894" s="42" t="inlineStr">
        <is>
          <t>0099</t>
        </is>
      </c>
      <c r="F894" s="65" t="inlineStr">
        <is>
          <t>Venda</t>
        </is>
      </c>
      <c r="G894" s="68" t="n">
        <v>0</v>
      </c>
      <c r="H894" s="172" t="inlineStr">
        <is>
          <t>Não</t>
        </is>
      </c>
      <c r="I894" s="47" t="inlineStr">
        <is>
          <t>78989056877344</t>
        </is>
      </c>
    </row>
    <row r="895">
      <c r="A895" s="43" t="inlineStr">
        <is>
          <t>000004</t>
        </is>
      </c>
      <c r="B895" s="44" t="inlineStr">
        <is>
          <t>CORACAO IN NATURA</t>
        </is>
      </c>
      <c r="C895" s="45" t="inlineStr">
        <is>
          <t>MR</t>
        </is>
      </c>
      <c r="D895" s="45" t="inlineStr">
        <is>
          <t>UN</t>
        </is>
      </c>
      <c r="E895" s="45" t="inlineStr">
        <is>
          <t>0092</t>
        </is>
      </c>
      <c r="F895" s="65" t="inlineStr">
        <is>
          <t>Venda</t>
        </is>
      </c>
      <c r="G895" s="69" t="n">
        <v>0</v>
      </c>
      <c r="H895" s="172" t="inlineStr">
        <is>
          <t>Não</t>
        </is>
      </c>
      <c r="I895" s="48" t="inlineStr">
        <is>
          <t>10004</t>
        </is>
      </c>
    </row>
    <row r="896">
      <c r="A896" s="40" t="inlineStr">
        <is>
          <t>010334</t>
        </is>
      </c>
      <c r="B896" s="41" t="inlineStr">
        <is>
          <t>CORANTE LIQUIDO XADREZ OCRE 50ML</t>
        </is>
      </c>
      <c r="C896" s="42" t="inlineStr">
        <is>
          <t>MC</t>
        </is>
      </c>
      <c r="D896" s="42" t="inlineStr">
        <is>
          <t>UN</t>
        </is>
      </c>
      <c r="E896" s="42" t="inlineStr">
        <is>
          <t>0132</t>
        </is>
      </c>
      <c r="F896" s="70" t="inlineStr">
        <is>
          <t>Compras</t>
        </is>
      </c>
      <c r="G896" s="71" t="n">
        <v>8</v>
      </c>
      <c r="H896" s="172" t="inlineStr">
        <is>
          <t>Não</t>
        </is>
      </c>
      <c r="I896" s="49" t="n"/>
    </row>
    <row r="897">
      <c r="A897" s="43" t="inlineStr">
        <is>
          <t>010335</t>
        </is>
      </c>
      <c r="B897" s="44" t="inlineStr">
        <is>
          <t>CORANTE LIQUIDO XADREZ PRETO 50ML</t>
        </is>
      </c>
      <c r="C897" s="45" t="inlineStr">
        <is>
          <t>MC</t>
        </is>
      </c>
      <c r="D897" s="45" t="inlineStr">
        <is>
          <t>UN</t>
        </is>
      </c>
      <c r="E897" s="45" t="inlineStr">
        <is>
          <t>0132</t>
        </is>
      </c>
      <c r="F897" s="70" t="inlineStr">
        <is>
          <t>Compras</t>
        </is>
      </c>
      <c r="G897" s="66" t="n">
        <v>8</v>
      </c>
      <c r="H897" s="172" t="inlineStr">
        <is>
          <t>Não</t>
        </is>
      </c>
      <c r="I897" s="50" t="n"/>
    </row>
    <row r="898">
      <c r="A898" s="40" t="inlineStr">
        <is>
          <t>009619</t>
        </is>
      </c>
      <c r="B898" s="41" t="inlineStr">
        <is>
          <t>CORDA DE SISAL 12MM</t>
        </is>
      </c>
      <c r="C898" s="42" t="inlineStr">
        <is>
          <t>MC</t>
        </is>
      </c>
      <c r="D898" s="42" t="inlineStr">
        <is>
          <t>MT</t>
        </is>
      </c>
      <c r="E898" s="42" t="inlineStr">
        <is>
          <t>0132</t>
        </is>
      </c>
      <c r="F898" s="70" t="inlineStr">
        <is>
          <t>Compras</t>
        </is>
      </c>
      <c r="G898" s="71" t="n">
        <v>79.90000000000001</v>
      </c>
      <c r="H898" s="172" t="inlineStr">
        <is>
          <t>Não</t>
        </is>
      </c>
      <c r="I898" s="49" t="n"/>
    </row>
    <row r="899">
      <c r="A899" s="43" t="inlineStr">
        <is>
          <t>009556</t>
        </is>
      </c>
      <c r="B899" s="44" t="inlineStr">
        <is>
          <t>CORDA INFANTIL</t>
        </is>
      </c>
      <c r="C899" s="45" t="inlineStr">
        <is>
          <t>MC</t>
        </is>
      </c>
      <c r="D899" s="45" t="inlineStr">
        <is>
          <t>UN</t>
        </is>
      </c>
      <c r="E899" s="45" t="inlineStr">
        <is>
          <t>0134</t>
        </is>
      </c>
      <c r="F899" s="70" t="inlineStr">
        <is>
          <t>Compras</t>
        </is>
      </c>
      <c r="G899" s="69" t="n">
        <v>0</v>
      </c>
      <c r="H899" s="172" t="inlineStr">
        <is>
          <t>Não</t>
        </is>
      </c>
      <c r="I899" s="50" t="n"/>
    </row>
    <row r="900">
      <c r="A900" s="40" t="inlineStr">
        <is>
          <t>000016</t>
        </is>
      </c>
      <c r="B900" s="41" t="inlineStr">
        <is>
          <t>CORDEIRO IN NATURA</t>
        </is>
      </c>
      <c r="C900" s="42" t="inlineStr">
        <is>
          <t>MR</t>
        </is>
      </c>
      <c r="D900" s="42" t="inlineStr">
        <is>
          <t>UN</t>
        </is>
      </c>
      <c r="E900" s="42" t="inlineStr">
        <is>
          <t>0092</t>
        </is>
      </c>
      <c r="F900" s="65" t="inlineStr">
        <is>
          <t>Venda</t>
        </is>
      </c>
      <c r="G900" s="68" t="n">
        <v>0</v>
      </c>
      <c r="H900" s="172" t="inlineStr">
        <is>
          <t>Não</t>
        </is>
      </c>
      <c r="I900" s="47" t="inlineStr">
        <is>
          <t>10019</t>
        </is>
      </c>
    </row>
    <row r="901">
      <c r="A901" s="43" t="inlineStr">
        <is>
          <t>001560</t>
        </is>
      </c>
      <c r="B901" s="44" t="inlineStr">
        <is>
          <t>CORONA 600ML - VENDA</t>
        </is>
      </c>
      <c r="C901" s="45" t="inlineStr">
        <is>
          <t>MR</t>
        </is>
      </c>
      <c r="D901" s="45" t="inlineStr">
        <is>
          <t>UN</t>
        </is>
      </c>
      <c r="E901" s="45" t="inlineStr">
        <is>
          <t>0026</t>
        </is>
      </c>
      <c r="F901" s="65" t="inlineStr">
        <is>
          <t>Venda</t>
        </is>
      </c>
      <c r="G901" s="66" t="n">
        <v>6.1787</v>
      </c>
      <c r="H901" s="172" t="inlineStr">
        <is>
          <t>Não</t>
        </is>
      </c>
      <c r="I901" s="48" t="inlineStr">
        <is>
          <t>78989056877179</t>
        </is>
      </c>
    </row>
    <row r="902">
      <c r="A902" s="40" t="inlineStr">
        <is>
          <t>001660</t>
        </is>
      </c>
      <c r="B902" s="41" t="inlineStr">
        <is>
          <t>CORONA CERO</t>
        </is>
      </c>
      <c r="C902" s="42" t="inlineStr">
        <is>
          <t>MR</t>
        </is>
      </c>
      <c r="D902" s="42" t="inlineStr">
        <is>
          <t>UN</t>
        </is>
      </c>
      <c r="E902" s="42" t="inlineStr">
        <is>
          <t>0093</t>
        </is>
      </c>
      <c r="F902" s="65" t="inlineStr">
        <is>
          <t>Venda</t>
        </is>
      </c>
      <c r="G902" s="71" t="n">
        <v>4.59</v>
      </c>
      <c r="H902" s="172" t="inlineStr">
        <is>
          <t>Não</t>
        </is>
      </c>
      <c r="I902" s="47" t="inlineStr">
        <is>
          <t>78989056877180</t>
        </is>
      </c>
    </row>
    <row r="903">
      <c r="A903" s="43" t="inlineStr">
        <is>
          <t>000917</t>
        </is>
      </c>
      <c r="B903" s="44" t="inlineStr">
        <is>
          <t>CORONA EXTRA</t>
        </is>
      </c>
      <c r="C903" s="45" t="inlineStr">
        <is>
          <t>MR</t>
        </is>
      </c>
      <c r="D903" s="45" t="inlineStr">
        <is>
          <t>UN</t>
        </is>
      </c>
      <c r="E903" s="45" t="inlineStr">
        <is>
          <t>0093</t>
        </is>
      </c>
      <c r="F903" s="65" t="inlineStr">
        <is>
          <t>Venda</t>
        </is>
      </c>
      <c r="G903" s="66" t="n">
        <v>155.76</v>
      </c>
      <c r="H903" s="172" t="inlineStr">
        <is>
          <t>Não</t>
        </is>
      </c>
      <c r="I903" s="48" t="inlineStr">
        <is>
          <t>80045</t>
        </is>
      </c>
    </row>
    <row r="904">
      <c r="A904" s="40" t="inlineStr">
        <is>
          <t>000203</t>
        </is>
      </c>
      <c r="B904" s="41" t="inlineStr">
        <is>
          <t>CORONA EXTRA LONG NECK</t>
        </is>
      </c>
      <c r="C904" s="42" t="inlineStr">
        <is>
          <t>ME</t>
        </is>
      </c>
      <c r="D904" s="42" t="inlineStr">
        <is>
          <t>UN</t>
        </is>
      </c>
      <c r="E904" s="42" t="inlineStr">
        <is>
          <t>0026</t>
        </is>
      </c>
      <c r="F904" s="70" t="inlineStr">
        <is>
          <t>Compras</t>
        </is>
      </c>
      <c r="G904" s="71" t="n">
        <v>4.6066</v>
      </c>
      <c r="H904" s="172" t="inlineStr">
        <is>
          <t>Não</t>
        </is>
      </c>
      <c r="I904" s="49" t="n"/>
    </row>
    <row r="905">
      <c r="A905" s="43" t="inlineStr">
        <is>
          <t>001654</t>
        </is>
      </c>
      <c r="B905" s="44" t="inlineStr">
        <is>
          <t>CORONA EXTRA ZERO LONG NECK</t>
        </is>
      </c>
      <c r="C905" s="45" t="inlineStr">
        <is>
          <t>ME</t>
        </is>
      </c>
      <c r="D905" s="45" t="inlineStr">
        <is>
          <t>UN</t>
        </is>
      </c>
      <c r="E905" s="45" t="inlineStr">
        <is>
          <t>0026</t>
        </is>
      </c>
      <c r="F905" s="70" t="inlineStr">
        <is>
          <t>Compras</t>
        </is>
      </c>
      <c r="G905" s="66" t="n">
        <v>4.9634</v>
      </c>
      <c r="H905" s="172" t="inlineStr">
        <is>
          <t>Não</t>
        </is>
      </c>
      <c r="I905" s="50" t="n"/>
    </row>
    <row r="906">
      <c r="A906" s="40" t="inlineStr">
        <is>
          <t>009575</t>
        </is>
      </c>
      <c r="B906" s="41" t="inlineStr">
        <is>
          <t>CORONA LONG CARNAVAL</t>
        </is>
      </c>
      <c r="C906" s="42" t="inlineStr">
        <is>
          <t>MR</t>
        </is>
      </c>
      <c r="D906" s="42" t="inlineStr">
        <is>
          <t>UN</t>
        </is>
      </c>
      <c r="E906" s="42" t="inlineStr">
        <is>
          <t>0093</t>
        </is>
      </c>
      <c r="F906" s="65" t="inlineStr">
        <is>
          <t>Venda</t>
        </is>
      </c>
      <c r="G906" s="68" t="n">
        <v>0</v>
      </c>
      <c r="H906" s="177" t="inlineStr">
        <is>
          <t>Sim</t>
        </is>
      </c>
      <c r="I906" s="178" t="n"/>
    </row>
    <row r="907">
      <c r="A907" s="43" t="inlineStr">
        <is>
          <t>009421</t>
        </is>
      </c>
      <c r="B907" s="44" t="inlineStr">
        <is>
          <t>CORPO CAIXA SIFONADA 100X100X50MM</t>
        </is>
      </c>
      <c r="C907" s="45" t="inlineStr">
        <is>
          <t>MC</t>
        </is>
      </c>
      <c r="D907" s="45" t="inlineStr">
        <is>
          <t>UN</t>
        </is>
      </c>
      <c r="E907" s="45" t="inlineStr">
        <is>
          <t>0132</t>
        </is>
      </c>
      <c r="F907" s="70" t="inlineStr">
        <is>
          <t>Compras</t>
        </is>
      </c>
      <c r="G907" s="66" t="n">
        <v>24</v>
      </c>
      <c r="H907" s="172" t="inlineStr">
        <is>
          <t>Não</t>
        </is>
      </c>
      <c r="I907" s="50" t="n"/>
    </row>
    <row r="908">
      <c r="A908" s="40" t="inlineStr">
        <is>
          <t>009420</t>
        </is>
      </c>
      <c r="B908" s="41" t="inlineStr">
        <is>
          <t>CORPO CAIXA SIFONADA 150X150X50MM</t>
        </is>
      </c>
      <c r="C908" s="42" t="inlineStr">
        <is>
          <t>MC</t>
        </is>
      </c>
      <c r="D908" s="42" t="inlineStr">
        <is>
          <t>UN</t>
        </is>
      </c>
      <c r="E908" s="42" t="inlineStr">
        <is>
          <t>0132</t>
        </is>
      </c>
      <c r="F908" s="70" t="inlineStr">
        <is>
          <t>Compras</t>
        </is>
      </c>
      <c r="G908" s="71" t="n">
        <v>64</v>
      </c>
      <c r="H908" s="172" t="inlineStr">
        <is>
          <t>Não</t>
        </is>
      </c>
      <c r="I908" s="49" t="n"/>
    </row>
    <row r="909">
      <c r="A909" s="43" t="inlineStr">
        <is>
          <t>010240</t>
        </is>
      </c>
      <c r="B909" s="44" t="inlineStr">
        <is>
          <t>CORREIA INDUSTRIAL A84</t>
        </is>
      </c>
      <c r="C909" s="45" t="inlineStr">
        <is>
          <t>MC</t>
        </is>
      </c>
      <c r="D909" s="45" t="inlineStr">
        <is>
          <t>UN</t>
        </is>
      </c>
      <c r="E909" s="45" t="inlineStr">
        <is>
          <t>0132</t>
        </is>
      </c>
      <c r="F909" s="70" t="inlineStr">
        <is>
          <t>Compras</t>
        </is>
      </c>
      <c r="G909" s="66" t="n">
        <v>94</v>
      </c>
      <c r="H909" s="172" t="inlineStr">
        <is>
          <t>Não</t>
        </is>
      </c>
      <c r="I909" s="50" t="n"/>
    </row>
    <row r="910">
      <c r="A910" s="40" t="inlineStr">
        <is>
          <t>010110</t>
        </is>
      </c>
      <c r="B910" s="41" t="inlineStr">
        <is>
          <t>CORRENTE DE ACO SOLDADA</t>
        </is>
      </c>
      <c r="C910" s="42" t="inlineStr">
        <is>
          <t>MC</t>
        </is>
      </c>
      <c r="D910" s="42" t="inlineStr">
        <is>
          <t>UN</t>
        </is>
      </c>
      <c r="E910" s="42" t="inlineStr">
        <is>
          <t>0132</t>
        </is>
      </c>
      <c r="F910" s="70" t="inlineStr">
        <is>
          <t>Compras</t>
        </is>
      </c>
      <c r="G910" s="71" t="n">
        <v>19.8</v>
      </c>
      <c r="H910" s="172" t="inlineStr">
        <is>
          <t>Não</t>
        </is>
      </c>
      <c r="I910" s="49" t="n"/>
    </row>
    <row r="911">
      <c r="A911" s="43" t="inlineStr">
        <is>
          <t>000232</t>
        </is>
      </c>
      <c r="B911" s="44" t="inlineStr">
        <is>
          <t>CORRETIVO</t>
        </is>
      </c>
      <c r="C911" s="45" t="inlineStr">
        <is>
          <t>MC</t>
        </is>
      </c>
      <c r="D911" s="45" t="inlineStr">
        <is>
          <t>UN</t>
        </is>
      </c>
      <c r="E911" s="45" t="inlineStr">
        <is>
          <t>0001</t>
        </is>
      </c>
      <c r="F911" s="70" t="inlineStr">
        <is>
          <t>Compras</t>
        </is>
      </c>
      <c r="G911" s="69" t="n">
        <v>0</v>
      </c>
      <c r="H911" s="172" t="inlineStr">
        <is>
          <t>Não</t>
        </is>
      </c>
      <c r="I911" s="50" t="n"/>
    </row>
    <row r="912">
      <c r="A912" s="40" t="inlineStr">
        <is>
          <t>000633</t>
        </is>
      </c>
      <c r="B912" s="41" t="inlineStr">
        <is>
          <t>CORTADOR DE LEGUMES</t>
        </is>
      </c>
      <c r="C912" s="42" t="inlineStr">
        <is>
          <t>AI</t>
        </is>
      </c>
      <c r="D912" s="42" t="inlineStr">
        <is>
          <t>UN</t>
        </is>
      </c>
      <c r="E912" s="42" t="inlineStr">
        <is>
          <t>0079</t>
        </is>
      </c>
      <c r="F912" s="70" t="inlineStr">
        <is>
          <t>Compras</t>
        </is>
      </c>
      <c r="G912" s="71" t="n">
        <v>440</v>
      </c>
      <c r="H912" s="173" t="inlineStr">
        <is>
          <t>Sim</t>
        </is>
      </c>
      <c r="I912" s="49" t="n"/>
    </row>
    <row r="913">
      <c r="A913" s="43" t="inlineStr">
        <is>
          <t>000736</t>
        </is>
      </c>
      <c r="B913" s="44" t="inlineStr">
        <is>
          <t>CORTINA DE AR</t>
        </is>
      </c>
      <c r="C913" s="45" t="inlineStr">
        <is>
          <t>AI</t>
        </is>
      </c>
      <c r="D913" s="45" t="inlineStr">
        <is>
          <t>UN</t>
        </is>
      </c>
      <c r="E913" s="45" t="inlineStr">
        <is>
          <t>0002</t>
        </is>
      </c>
      <c r="F913" s="70" t="inlineStr">
        <is>
          <t>Compras</t>
        </is>
      </c>
      <c r="G913" s="69" t="n">
        <v>0</v>
      </c>
      <c r="H913" s="172" t="inlineStr">
        <is>
          <t>Não</t>
        </is>
      </c>
      <c r="I913" s="50" t="n"/>
    </row>
    <row r="914">
      <c r="A914" s="40" t="inlineStr">
        <is>
          <t>001072</t>
        </is>
      </c>
      <c r="B914" s="41" t="inlineStr">
        <is>
          <t>COSTELA BOVINA</t>
        </is>
      </c>
      <c r="C914" s="42" t="inlineStr">
        <is>
          <t>PA</t>
        </is>
      </c>
      <c r="D914" s="42" t="inlineStr">
        <is>
          <t>UN</t>
        </is>
      </c>
      <c r="E914" s="42" t="inlineStr">
        <is>
          <t>0092</t>
        </is>
      </c>
      <c r="F914" s="65" t="inlineStr">
        <is>
          <t>Venda</t>
        </is>
      </c>
      <c r="G914" s="71" t="n">
        <v>22.5228</v>
      </c>
      <c r="H914" s="172" t="inlineStr">
        <is>
          <t>Não</t>
        </is>
      </c>
      <c r="I914" s="47" t="inlineStr">
        <is>
          <t>9003337</t>
        </is>
      </c>
    </row>
    <row r="915">
      <c r="A915" s="43" t="inlineStr">
        <is>
          <t>000429</t>
        </is>
      </c>
      <c r="B915" s="44" t="inlineStr">
        <is>
          <t>COSTELA BOVINA FUNCIONARIO</t>
        </is>
      </c>
      <c r="C915" s="45" t="inlineStr">
        <is>
          <t>MC</t>
        </is>
      </c>
      <c r="D915" s="45" t="inlineStr">
        <is>
          <t>KG</t>
        </is>
      </c>
      <c r="E915" s="45" t="inlineStr">
        <is>
          <t>0013</t>
        </is>
      </c>
      <c r="F915" s="70" t="inlineStr">
        <is>
          <t>Compras</t>
        </is>
      </c>
      <c r="G915" s="66" t="n">
        <v>21.2399</v>
      </c>
      <c r="H915" s="172" t="inlineStr">
        <is>
          <t>Não</t>
        </is>
      </c>
      <c r="I915" s="50" t="n"/>
    </row>
    <row r="916">
      <c r="A916" s="40" t="inlineStr">
        <is>
          <t>000005</t>
        </is>
      </c>
      <c r="B916" s="41" t="inlineStr">
        <is>
          <t>COSTELA BOVINA IN NATURA</t>
        </is>
      </c>
      <c r="C916" s="42" t="inlineStr">
        <is>
          <t>MR</t>
        </is>
      </c>
      <c r="D916" s="42" t="inlineStr">
        <is>
          <t>UN</t>
        </is>
      </c>
      <c r="E916" s="42" t="inlineStr">
        <is>
          <t>0092</t>
        </is>
      </c>
      <c r="F916" s="65" t="inlineStr">
        <is>
          <t>Venda</t>
        </is>
      </c>
      <c r="G916" s="68" t="n">
        <v>0</v>
      </c>
      <c r="H916" s="172" t="inlineStr">
        <is>
          <t>Não</t>
        </is>
      </c>
      <c r="I916" s="47" t="inlineStr">
        <is>
          <t>10005</t>
        </is>
      </c>
    </row>
    <row r="917">
      <c r="A917" s="43" t="inlineStr">
        <is>
          <t>000430</t>
        </is>
      </c>
      <c r="B917" s="44" t="inlineStr">
        <is>
          <t>COSTELA SALGADA FUNCIONARIO</t>
        </is>
      </c>
      <c r="C917" s="45" t="inlineStr">
        <is>
          <t>MC</t>
        </is>
      </c>
      <c r="D917" s="45" t="inlineStr">
        <is>
          <t>KG</t>
        </is>
      </c>
      <c r="E917" s="45" t="inlineStr">
        <is>
          <t>0013</t>
        </is>
      </c>
      <c r="F917" s="70" t="inlineStr">
        <is>
          <t>Compras</t>
        </is>
      </c>
      <c r="G917" s="66" t="n">
        <v>17.4</v>
      </c>
      <c r="H917" s="172" t="inlineStr">
        <is>
          <t>Não</t>
        </is>
      </c>
      <c r="I917" s="50" t="n"/>
    </row>
    <row r="918">
      <c r="A918" s="40" t="inlineStr">
        <is>
          <t>009692</t>
        </is>
      </c>
      <c r="B918" s="41" t="inlineStr">
        <is>
          <t>COTOVELO COM ROSCA INTERNA 3/4 X 1/2</t>
        </is>
      </c>
      <c r="C918" s="42" t="inlineStr">
        <is>
          <t>MC</t>
        </is>
      </c>
      <c r="D918" s="42" t="inlineStr">
        <is>
          <t>UN</t>
        </is>
      </c>
      <c r="E918" s="42" t="inlineStr">
        <is>
          <t>0132</t>
        </is>
      </c>
      <c r="F918" s="70" t="inlineStr">
        <is>
          <t>Compras</t>
        </is>
      </c>
      <c r="G918" s="71" t="n">
        <v>5</v>
      </c>
      <c r="H918" s="172" t="inlineStr">
        <is>
          <t>Não</t>
        </is>
      </c>
      <c r="I918" s="49" t="n"/>
    </row>
    <row r="919">
      <c r="A919" s="43" t="inlineStr">
        <is>
          <t>009913</t>
        </is>
      </c>
      <c r="B919" s="44" t="inlineStr">
        <is>
          <t>COTOVELO ESGOTO 50MM X 45º</t>
        </is>
      </c>
      <c r="C919" s="45" t="inlineStr">
        <is>
          <t>MC</t>
        </is>
      </c>
      <c r="D919" s="45" t="inlineStr">
        <is>
          <t>UN</t>
        </is>
      </c>
      <c r="E919" s="45" t="inlineStr">
        <is>
          <t>0132</t>
        </is>
      </c>
      <c r="F919" s="70" t="inlineStr">
        <is>
          <t>Compras</t>
        </is>
      </c>
      <c r="G919" s="69" t="n">
        <v>0</v>
      </c>
      <c r="H919" s="172" t="inlineStr">
        <is>
          <t>Não</t>
        </is>
      </c>
      <c r="I919" s="50" t="n"/>
    </row>
    <row r="920">
      <c r="A920" s="40" t="inlineStr">
        <is>
          <t>009924</t>
        </is>
      </c>
      <c r="B920" s="41" t="inlineStr">
        <is>
          <t>COTOVELO PVC 1.1/2 45°</t>
        </is>
      </c>
      <c r="C920" s="42" t="inlineStr">
        <is>
          <t>MC</t>
        </is>
      </c>
      <c r="D920" s="42" t="inlineStr">
        <is>
          <t>UN</t>
        </is>
      </c>
      <c r="E920" s="42" t="inlineStr">
        <is>
          <t>0132</t>
        </is>
      </c>
      <c r="F920" s="70" t="inlineStr">
        <is>
          <t>Compras</t>
        </is>
      </c>
      <c r="G920" s="71" t="n">
        <v>3.7</v>
      </c>
      <c r="H920" s="172" t="inlineStr">
        <is>
          <t>Não</t>
        </is>
      </c>
      <c r="I920" s="49" t="n"/>
    </row>
    <row r="921">
      <c r="A921" s="43" t="inlineStr">
        <is>
          <t>009925</t>
        </is>
      </c>
      <c r="B921" s="44" t="inlineStr">
        <is>
          <t>COTOVELO PVC 1.1/2 90°</t>
        </is>
      </c>
      <c r="C921" s="45" t="inlineStr">
        <is>
          <t>MC</t>
        </is>
      </c>
      <c r="D921" s="45" t="inlineStr">
        <is>
          <t>UN</t>
        </is>
      </c>
      <c r="E921" s="45" t="inlineStr">
        <is>
          <t>0132</t>
        </is>
      </c>
      <c r="F921" s="70" t="inlineStr">
        <is>
          <t>Compras</t>
        </is>
      </c>
      <c r="G921" s="66" t="n">
        <v>4.62</v>
      </c>
      <c r="H921" s="172" t="inlineStr">
        <is>
          <t>Não</t>
        </is>
      </c>
      <c r="I921" s="50" t="n"/>
    </row>
    <row r="922">
      <c r="A922" s="40" t="inlineStr">
        <is>
          <t>010360</t>
        </is>
      </c>
      <c r="B922" s="41" t="inlineStr">
        <is>
          <t>COTOVELO PVC 3/4 X 45º</t>
        </is>
      </c>
      <c r="C922" s="42" t="inlineStr">
        <is>
          <t>MC</t>
        </is>
      </c>
      <c r="D922" s="42" t="inlineStr">
        <is>
          <t>UN</t>
        </is>
      </c>
      <c r="E922" s="42" t="inlineStr">
        <is>
          <t>0132</t>
        </is>
      </c>
      <c r="F922" s="70" t="inlineStr">
        <is>
          <t>Compras</t>
        </is>
      </c>
      <c r="G922" s="68" t="n">
        <v>2.622</v>
      </c>
      <c r="H922" s="172" t="inlineStr">
        <is>
          <t>Não</t>
        </is>
      </c>
      <c r="I922" s="49" t="n"/>
    </row>
    <row r="923">
      <c r="A923" s="43" t="inlineStr">
        <is>
          <t>009691</t>
        </is>
      </c>
      <c r="B923" s="44" t="inlineStr">
        <is>
          <t>COTOVELO PVC 3/4 X 90º 25MM</t>
        </is>
      </c>
      <c r="C923" s="45" t="inlineStr">
        <is>
          <t>MC</t>
        </is>
      </c>
      <c r="D923" s="45" t="inlineStr">
        <is>
          <t>UN</t>
        </is>
      </c>
      <c r="E923" s="45" t="inlineStr">
        <is>
          <t>0132</t>
        </is>
      </c>
      <c r="F923" s="70" t="inlineStr">
        <is>
          <t>Compras</t>
        </is>
      </c>
      <c r="G923" s="66" t="n">
        <v>1.24</v>
      </c>
      <c r="H923" s="172" t="inlineStr">
        <is>
          <t>Não</t>
        </is>
      </c>
      <c r="I923" s="50" t="n"/>
    </row>
    <row r="924">
      <c r="A924" s="40" t="inlineStr">
        <is>
          <t>009926</t>
        </is>
      </c>
      <c r="B924" s="41" t="inlineStr">
        <is>
          <t>COTOVELO PVC L 2 45°</t>
        </is>
      </c>
      <c r="C924" s="42" t="inlineStr">
        <is>
          <t>MC</t>
        </is>
      </c>
      <c r="D924" s="42" t="inlineStr">
        <is>
          <t>UN</t>
        </is>
      </c>
      <c r="E924" s="42" t="inlineStr">
        <is>
          <t>0132</t>
        </is>
      </c>
      <c r="F924" s="70" t="inlineStr">
        <is>
          <t>Compras</t>
        </is>
      </c>
      <c r="G924" s="71" t="n">
        <v>6.14</v>
      </c>
      <c r="H924" s="172" t="inlineStr">
        <is>
          <t>Não</t>
        </is>
      </c>
      <c r="I924" s="49" t="n"/>
    </row>
    <row r="925">
      <c r="A925" s="43" t="inlineStr">
        <is>
          <t>000472</t>
        </is>
      </c>
      <c r="B925" s="44" t="inlineStr">
        <is>
          <t>COUVE</t>
        </is>
      </c>
      <c r="C925" s="45" t="inlineStr">
        <is>
          <t>MP</t>
        </is>
      </c>
      <c r="D925" s="45" t="inlineStr">
        <is>
          <t>KG</t>
        </is>
      </c>
      <c r="E925" s="45" t="inlineStr">
        <is>
          <t>0036</t>
        </is>
      </c>
      <c r="F925" s="70" t="inlineStr">
        <is>
          <t>Compras</t>
        </is>
      </c>
      <c r="G925" s="66" t="n">
        <v>10.67</v>
      </c>
      <c r="H925" s="172" t="inlineStr">
        <is>
          <t>Não</t>
        </is>
      </c>
      <c r="I925" s="50" t="n"/>
    </row>
    <row r="926">
      <c r="A926" s="40" t="inlineStr">
        <is>
          <t>000431</t>
        </is>
      </c>
      <c r="B926" s="41" t="inlineStr">
        <is>
          <t>COXA E SOBRECOXA FUNCIONARIO</t>
        </is>
      </c>
      <c r="C926" s="42" t="inlineStr">
        <is>
          <t>MC</t>
        </is>
      </c>
      <c r="D926" s="42" t="inlineStr">
        <is>
          <t>KG</t>
        </is>
      </c>
      <c r="E926" s="42" t="inlineStr">
        <is>
          <t>0013</t>
        </is>
      </c>
      <c r="F926" s="70" t="inlineStr">
        <is>
          <t>Compras</t>
        </is>
      </c>
      <c r="G926" s="71" t="n">
        <v>9.6</v>
      </c>
      <c r="H926" s="172" t="inlineStr">
        <is>
          <t>Não</t>
        </is>
      </c>
      <c r="I926" s="49" t="n"/>
    </row>
    <row r="927">
      <c r="A927" s="43" t="inlineStr">
        <is>
          <t>000432</t>
        </is>
      </c>
      <c r="B927" s="44" t="inlineStr">
        <is>
          <t>COXAO MOLE EM BIFE FUNCIONARIO</t>
        </is>
      </c>
      <c r="C927" s="45" t="inlineStr">
        <is>
          <t>MC</t>
        </is>
      </c>
      <c r="D927" s="45" t="inlineStr">
        <is>
          <t>KG</t>
        </is>
      </c>
      <c r="E927" s="45" t="inlineStr">
        <is>
          <t>0013</t>
        </is>
      </c>
      <c r="F927" s="70" t="inlineStr">
        <is>
          <t>Compras</t>
        </is>
      </c>
      <c r="G927" s="66" t="n">
        <v>35.79</v>
      </c>
      <c r="H927" s="172" t="inlineStr">
        <is>
          <t>Não</t>
        </is>
      </c>
      <c r="I927" s="50" t="n"/>
    </row>
    <row r="928">
      <c r="A928" s="40" t="inlineStr">
        <is>
          <t>000309</t>
        </is>
      </c>
      <c r="B928" s="41" t="inlineStr">
        <is>
          <t>COXINHA DE FRANGO</t>
        </is>
      </c>
      <c r="C928" s="42" t="inlineStr">
        <is>
          <t>MP</t>
        </is>
      </c>
      <c r="D928" s="42" t="inlineStr">
        <is>
          <t>KG</t>
        </is>
      </c>
      <c r="E928" s="42" t="inlineStr">
        <is>
          <t>0022</t>
        </is>
      </c>
      <c r="F928" s="70" t="inlineStr">
        <is>
          <t>Compras</t>
        </is>
      </c>
      <c r="G928" s="71" t="n">
        <v>38.7079</v>
      </c>
      <c r="H928" s="172" t="inlineStr">
        <is>
          <t>Não</t>
        </is>
      </c>
      <c r="I928" s="49" t="n"/>
    </row>
    <row r="929">
      <c r="A929" s="43" t="inlineStr">
        <is>
          <t>000774</t>
        </is>
      </c>
      <c r="B929" s="44" t="inlineStr">
        <is>
          <t>COXINHA FRANGO</t>
        </is>
      </c>
      <c r="C929" s="45" t="inlineStr">
        <is>
          <t>PA</t>
        </is>
      </c>
      <c r="D929" s="45" t="inlineStr">
        <is>
          <t>UN</t>
        </is>
      </c>
      <c r="E929" s="45" t="inlineStr">
        <is>
          <t>0110</t>
        </is>
      </c>
      <c r="F929" s="65" t="inlineStr">
        <is>
          <t>Venda</t>
        </is>
      </c>
      <c r="G929" s="69" t="n">
        <v>0</v>
      </c>
      <c r="H929" s="177" t="inlineStr">
        <is>
          <t>Sim</t>
        </is>
      </c>
      <c r="I929" s="178" t="n"/>
    </row>
    <row r="930">
      <c r="A930" s="40" t="inlineStr">
        <is>
          <t>001496</t>
        </is>
      </c>
      <c r="B930" s="41" t="inlineStr">
        <is>
          <t>COXINHA FRANGO C/ REQUEIJAO</t>
        </is>
      </c>
      <c r="C930" s="42" t="inlineStr">
        <is>
          <t>PA</t>
        </is>
      </c>
      <c r="D930" s="42" t="inlineStr">
        <is>
          <t>UN</t>
        </is>
      </c>
      <c r="E930" s="42" t="inlineStr">
        <is>
          <t>0110</t>
        </is>
      </c>
      <c r="F930" s="65" t="inlineStr">
        <is>
          <t>Venda</t>
        </is>
      </c>
      <c r="G930" s="68" t="n">
        <v>0</v>
      </c>
      <c r="H930" s="172" t="inlineStr">
        <is>
          <t>Não</t>
        </is>
      </c>
      <c r="I930" s="47" t="inlineStr">
        <is>
          <t>78989056877114</t>
        </is>
      </c>
    </row>
    <row r="931">
      <c r="A931" s="43" t="inlineStr">
        <is>
          <t>000231</t>
        </is>
      </c>
      <c r="B931" s="44" t="inlineStr">
        <is>
          <t>CRACHAS</t>
        </is>
      </c>
      <c r="C931" s="45" t="inlineStr">
        <is>
          <t>MC</t>
        </is>
      </c>
      <c r="D931" s="45" t="inlineStr">
        <is>
          <t>UN</t>
        </is>
      </c>
      <c r="E931" s="45" t="inlineStr">
        <is>
          <t>0017</t>
        </is>
      </c>
      <c r="F931" s="70" t="inlineStr">
        <is>
          <t>Compras</t>
        </is>
      </c>
      <c r="G931" s="69" t="n">
        <v>0</v>
      </c>
      <c r="H931" s="172" t="inlineStr">
        <is>
          <t>Não</t>
        </is>
      </c>
      <c r="I931" s="50" t="n"/>
    </row>
    <row r="932">
      <c r="A932" s="40" t="inlineStr">
        <is>
          <t>000635</t>
        </is>
      </c>
      <c r="B932" s="41" t="inlineStr">
        <is>
          <t>CRAVO</t>
        </is>
      </c>
      <c r="C932" s="42" t="inlineStr">
        <is>
          <t>MP</t>
        </is>
      </c>
      <c r="D932" s="42" t="inlineStr">
        <is>
          <t>KG</t>
        </is>
      </c>
      <c r="E932" s="42" t="inlineStr">
        <is>
          <t>0105</t>
        </is>
      </c>
      <c r="F932" s="70" t="inlineStr">
        <is>
          <t>Compras</t>
        </is>
      </c>
      <c r="G932" s="71" t="n">
        <v>44</v>
      </c>
      <c r="H932" s="173" t="inlineStr">
        <is>
          <t>Sim</t>
        </is>
      </c>
      <c r="I932" s="49" t="n"/>
    </row>
    <row r="933">
      <c r="A933" s="43" t="inlineStr">
        <is>
          <t>001994</t>
        </is>
      </c>
      <c r="B933" s="44" t="inlineStr">
        <is>
          <t>CREME DE LEITE FRESCO</t>
        </is>
      </c>
      <c r="C933" s="45" t="inlineStr">
        <is>
          <t>MP</t>
        </is>
      </c>
      <c r="D933" s="45" t="inlineStr">
        <is>
          <t>LT</t>
        </is>
      </c>
      <c r="E933" s="45" t="inlineStr">
        <is>
          <t>0041</t>
        </is>
      </c>
      <c r="F933" s="70" t="inlineStr">
        <is>
          <t>Compras</t>
        </is>
      </c>
      <c r="G933" s="66" t="n">
        <v>16.59</v>
      </c>
      <c r="H933" s="172" t="inlineStr">
        <is>
          <t>Não</t>
        </is>
      </c>
      <c r="I933" s="50" t="n"/>
    </row>
    <row r="934">
      <c r="A934" s="40" t="inlineStr">
        <is>
          <t>000387</t>
        </is>
      </c>
      <c r="B934" s="41" t="inlineStr">
        <is>
          <t>CREME DE LEITE NESTLE 200G</t>
        </is>
      </c>
      <c r="C934" s="42" t="inlineStr">
        <is>
          <t>MP</t>
        </is>
      </c>
      <c r="D934" s="42" t="inlineStr">
        <is>
          <t>KG</t>
        </is>
      </c>
      <c r="E934" s="42" t="inlineStr">
        <is>
          <t>0041</t>
        </is>
      </c>
      <c r="F934" s="70" t="inlineStr">
        <is>
          <t>Compras</t>
        </is>
      </c>
      <c r="G934" s="71" t="n">
        <v>29.8296</v>
      </c>
      <c r="H934" s="172" t="inlineStr">
        <is>
          <t>Não</t>
        </is>
      </c>
      <c r="I934" s="49" t="n"/>
    </row>
    <row r="935">
      <c r="A935" s="43" t="inlineStr">
        <is>
          <t>001641</t>
        </is>
      </c>
      <c r="B935" s="44" t="inlineStr">
        <is>
          <t>CREME DE TANGERINA</t>
        </is>
      </c>
      <c r="C935" s="45" t="inlineStr">
        <is>
          <t>MR</t>
        </is>
      </c>
      <c r="D935" s="45" t="inlineStr">
        <is>
          <t>LT</t>
        </is>
      </c>
      <c r="E935" s="45" t="inlineStr">
        <is>
          <t>0126</t>
        </is>
      </c>
      <c r="F935" s="70" t="inlineStr">
        <is>
          <t>Compras</t>
        </is>
      </c>
      <c r="G935" s="66" t="n">
        <v>42.5</v>
      </c>
      <c r="H935" s="173" t="inlineStr">
        <is>
          <t>Sim</t>
        </is>
      </c>
      <c r="I935" s="50" t="n"/>
    </row>
    <row r="936">
      <c r="A936" s="40" t="inlineStr">
        <is>
          <t>001495</t>
        </is>
      </c>
      <c r="B936" s="41" t="inlineStr">
        <is>
          <t>CRISPY DE QUEIJO GOUDA</t>
        </is>
      </c>
      <c r="C936" s="42" t="inlineStr">
        <is>
          <t>PA</t>
        </is>
      </c>
      <c r="D936" s="42" t="inlineStr">
        <is>
          <t>UN</t>
        </is>
      </c>
      <c r="E936" s="42" t="inlineStr">
        <is>
          <t>0121</t>
        </is>
      </c>
      <c r="F936" s="65" t="inlineStr">
        <is>
          <t>Venda</t>
        </is>
      </c>
      <c r="G936" s="68" t="n">
        <v>0</v>
      </c>
      <c r="H936" s="172" t="inlineStr">
        <is>
          <t>Não</t>
        </is>
      </c>
      <c r="I936" s="47" t="inlineStr">
        <is>
          <t>78989056877112</t>
        </is>
      </c>
    </row>
    <row r="937">
      <c r="A937" s="43" t="inlineStr">
        <is>
          <t>001244</t>
        </is>
      </c>
      <c r="B937" s="44" t="inlineStr">
        <is>
          <t>CRUZETA</t>
        </is>
      </c>
      <c r="C937" s="45" t="inlineStr">
        <is>
          <t>AI</t>
        </is>
      </c>
      <c r="D937" s="45" t="inlineStr">
        <is>
          <t>PC</t>
        </is>
      </c>
      <c r="E937" s="45" t="inlineStr">
        <is>
          <t>0058</t>
        </is>
      </c>
      <c r="F937" s="70" t="inlineStr">
        <is>
          <t>Compras</t>
        </is>
      </c>
      <c r="G937" s="69" t="n">
        <v>0</v>
      </c>
      <c r="H937" s="173" t="inlineStr">
        <is>
          <t>Sim</t>
        </is>
      </c>
      <c r="I937" s="50" t="n"/>
    </row>
    <row r="938">
      <c r="A938" s="40" t="inlineStr">
        <is>
          <t>000652</t>
        </is>
      </c>
      <c r="B938" s="41" t="inlineStr">
        <is>
          <t>CUBA INOX  IMPO.1/2</t>
        </is>
      </c>
      <c r="C938" s="42" t="inlineStr">
        <is>
          <t>AI</t>
        </is>
      </c>
      <c r="D938" s="42" t="inlineStr">
        <is>
          <t>UN</t>
        </is>
      </c>
      <c r="E938" s="42" t="inlineStr">
        <is>
          <t>0020</t>
        </is>
      </c>
      <c r="F938" s="70" t="inlineStr">
        <is>
          <t>Compras</t>
        </is>
      </c>
      <c r="G938" s="68" t="n">
        <v>0</v>
      </c>
      <c r="H938" s="172" t="inlineStr">
        <is>
          <t>Não</t>
        </is>
      </c>
      <c r="I938" s="49" t="n"/>
    </row>
    <row r="939">
      <c r="A939" s="43" t="inlineStr">
        <is>
          <t>000653</t>
        </is>
      </c>
      <c r="B939" s="44" t="inlineStr">
        <is>
          <t>CUBA INOX IMPO.1/1</t>
        </is>
      </c>
      <c r="C939" s="45" t="inlineStr">
        <is>
          <t>AI</t>
        </is>
      </c>
      <c r="D939" s="45" t="inlineStr">
        <is>
          <t>UN</t>
        </is>
      </c>
      <c r="E939" s="45" t="inlineStr">
        <is>
          <t>0020</t>
        </is>
      </c>
      <c r="F939" s="70" t="inlineStr">
        <is>
          <t>Compras</t>
        </is>
      </c>
      <c r="G939" s="69" t="n">
        <v>0</v>
      </c>
      <c r="H939" s="172" t="inlineStr">
        <is>
          <t>Não</t>
        </is>
      </c>
      <c r="I939" s="50" t="n"/>
    </row>
    <row r="940">
      <c r="A940" s="40" t="inlineStr">
        <is>
          <t>010167</t>
        </is>
      </c>
      <c r="B940" s="41" t="inlineStr">
        <is>
          <t>CUBAS 60X50X30 (MARMOME)</t>
        </is>
      </c>
      <c r="C940" s="42" t="inlineStr">
        <is>
          <t>MC</t>
        </is>
      </c>
      <c r="D940" s="42" t="inlineStr">
        <is>
          <t>UN</t>
        </is>
      </c>
      <c r="E940" s="42" t="inlineStr">
        <is>
          <t>0132</t>
        </is>
      </c>
      <c r="F940" s="70" t="inlineStr">
        <is>
          <t>Compras</t>
        </is>
      </c>
      <c r="G940" s="71" t="n">
        <v>500</v>
      </c>
      <c r="H940" s="172" t="inlineStr">
        <is>
          <t>Não</t>
        </is>
      </c>
      <c r="I940" s="49" t="n"/>
    </row>
    <row r="941">
      <c r="A941" s="43" t="inlineStr">
        <is>
          <t>010350</t>
        </is>
      </c>
      <c r="B941" s="44" t="inlineStr">
        <is>
          <t>CUNHA PARA ESPACADOR GRANDE 37X30X8CM</t>
        </is>
      </c>
      <c r="C941" s="45" t="inlineStr">
        <is>
          <t>MC</t>
        </is>
      </c>
      <c r="D941" s="45" t="inlineStr">
        <is>
          <t>UN</t>
        </is>
      </c>
      <c r="E941" s="45" t="inlineStr">
        <is>
          <t>0132</t>
        </is>
      </c>
      <c r="F941" s="70" t="inlineStr">
        <is>
          <t>Compras</t>
        </is>
      </c>
      <c r="G941" s="69" t="n">
        <v>0</v>
      </c>
      <c r="H941" s="172" t="inlineStr">
        <is>
          <t>Não</t>
        </is>
      </c>
      <c r="I941" s="50" t="n"/>
    </row>
    <row r="942">
      <c r="A942" s="40" t="inlineStr">
        <is>
          <t>000347</t>
        </is>
      </c>
      <c r="B942" s="41" t="inlineStr">
        <is>
          <t>CURACAU BLUE</t>
        </is>
      </c>
      <c r="C942" s="42" t="inlineStr">
        <is>
          <t>MR</t>
        </is>
      </c>
      <c r="D942" s="42" t="inlineStr">
        <is>
          <t>LT</t>
        </is>
      </c>
      <c r="E942" s="42" t="inlineStr">
        <is>
          <t>0054</t>
        </is>
      </c>
      <c r="F942" s="65" t="inlineStr">
        <is>
          <t>Venda</t>
        </is>
      </c>
      <c r="G942" s="68" t="n">
        <v>0</v>
      </c>
      <c r="H942" s="173" t="inlineStr">
        <is>
          <t>Sim</t>
        </is>
      </c>
      <c r="I942" s="49" t="n"/>
    </row>
    <row r="943">
      <c r="A943" s="43" t="inlineStr">
        <is>
          <t>010230</t>
        </is>
      </c>
      <c r="B943" s="44" t="inlineStr">
        <is>
          <t>CURATIVO BAND AID</t>
        </is>
      </c>
      <c r="C943" s="45" t="inlineStr">
        <is>
          <t>MC</t>
        </is>
      </c>
      <c r="D943" s="45" t="inlineStr">
        <is>
          <t>UN</t>
        </is>
      </c>
      <c r="E943" s="45" t="inlineStr">
        <is>
          <t>0145</t>
        </is>
      </c>
      <c r="F943" s="70" t="inlineStr">
        <is>
          <t>Compras</t>
        </is>
      </c>
      <c r="G943" s="69" t="n">
        <v>0</v>
      </c>
      <c r="H943" s="172" t="inlineStr">
        <is>
          <t>Não</t>
        </is>
      </c>
      <c r="I943" s="50" t="n"/>
    </row>
    <row r="944">
      <c r="A944" s="40" t="inlineStr">
        <is>
          <t>010300</t>
        </is>
      </c>
      <c r="B944" s="41" t="inlineStr">
        <is>
          <t>CURAU</t>
        </is>
      </c>
      <c r="C944" s="42" t="inlineStr">
        <is>
          <t>PA</t>
        </is>
      </c>
      <c r="D944" s="42" t="inlineStr">
        <is>
          <t>UN</t>
        </is>
      </c>
      <c r="E944" s="42" t="inlineStr">
        <is>
          <t>0121</t>
        </is>
      </c>
      <c r="F944" s="65" t="inlineStr">
        <is>
          <t>Venda</t>
        </is>
      </c>
      <c r="G944" s="68" t="n">
        <v>0</v>
      </c>
      <c r="H944" s="172" t="inlineStr">
        <is>
          <t>Não</t>
        </is>
      </c>
      <c r="I944" s="47" t="inlineStr">
        <is>
          <t>800056</t>
        </is>
      </c>
    </row>
    <row r="945">
      <c r="A945" s="43" t="inlineStr">
        <is>
          <t>009434</t>
        </is>
      </c>
      <c r="B945" s="44" t="inlineStr">
        <is>
          <t>CURVA GALVANIZADA 90X 1/2</t>
        </is>
      </c>
      <c r="C945" s="45" t="inlineStr">
        <is>
          <t>MC</t>
        </is>
      </c>
      <c r="D945" s="45" t="inlineStr">
        <is>
          <t>UN</t>
        </is>
      </c>
      <c r="E945" s="45" t="inlineStr">
        <is>
          <t>0132</t>
        </is>
      </c>
      <c r="F945" s="70" t="inlineStr">
        <is>
          <t>Compras</t>
        </is>
      </c>
      <c r="G945" s="66" t="n">
        <v>2.84</v>
      </c>
      <c r="H945" s="172" t="inlineStr">
        <is>
          <t>Não</t>
        </is>
      </c>
      <c r="I945" s="50" t="n"/>
    </row>
    <row r="946">
      <c r="A946" s="40" t="inlineStr">
        <is>
          <t>001235</t>
        </is>
      </c>
      <c r="B946" s="41" t="inlineStr">
        <is>
          <t>CUTELO INOX</t>
        </is>
      </c>
      <c r="C946" s="42" t="inlineStr">
        <is>
          <t>MC</t>
        </is>
      </c>
      <c r="D946" s="42" t="inlineStr">
        <is>
          <t>UN</t>
        </is>
      </c>
      <c r="E946" s="42" t="inlineStr">
        <is>
          <t>0080</t>
        </is>
      </c>
      <c r="F946" s="70" t="inlineStr">
        <is>
          <t>Compras</t>
        </is>
      </c>
      <c r="G946" s="68" t="n">
        <v>0</v>
      </c>
      <c r="H946" s="172" t="inlineStr">
        <is>
          <t>Não</t>
        </is>
      </c>
      <c r="I946" s="49" t="n"/>
    </row>
    <row r="947">
      <c r="A947" s="43" t="inlineStr">
        <is>
          <t>001250</t>
        </is>
      </c>
      <c r="B947" s="44" t="inlineStr">
        <is>
          <t>DADINHO DE TAPIOCA 0,750GR</t>
        </is>
      </c>
      <c r="C947" s="45" t="inlineStr">
        <is>
          <t>MP</t>
        </is>
      </c>
      <c r="D947" s="45" t="inlineStr">
        <is>
          <t>KG</t>
        </is>
      </c>
      <c r="E947" s="45" t="inlineStr">
        <is>
          <t>0022</t>
        </is>
      </c>
      <c r="F947" s="70" t="inlineStr">
        <is>
          <t>Compras</t>
        </is>
      </c>
      <c r="G947" s="66" t="n">
        <v>28.4267</v>
      </c>
      <c r="H947" s="172" t="inlineStr">
        <is>
          <t>Não</t>
        </is>
      </c>
      <c r="I947" s="50" t="n"/>
    </row>
    <row r="948">
      <c r="A948" s="40" t="inlineStr">
        <is>
          <t>000793</t>
        </is>
      </c>
      <c r="B948" s="41" t="inlineStr">
        <is>
          <t>DECORACAO</t>
        </is>
      </c>
      <c r="C948" s="42" t="inlineStr">
        <is>
          <t>MC</t>
        </is>
      </c>
      <c r="D948" s="42" t="inlineStr">
        <is>
          <t>UN</t>
        </is>
      </c>
      <c r="E948" s="42" t="inlineStr">
        <is>
          <t>0016</t>
        </is>
      </c>
      <c r="F948" s="70" t="inlineStr">
        <is>
          <t>Compras</t>
        </is>
      </c>
      <c r="G948" s="71" t="n">
        <v>10.9</v>
      </c>
      <c r="H948" s="173" t="inlineStr">
        <is>
          <t>Sim</t>
        </is>
      </c>
      <c r="I948" s="49" t="n"/>
    </row>
    <row r="949">
      <c r="A949" s="43" t="inlineStr">
        <is>
          <t>010089</t>
        </is>
      </c>
      <c r="B949" s="44" t="inlineStr">
        <is>
          <t>DECORACAO TOPO DE BOLO TOPPER</t>
        </is>
      </c>
      <c r="C949" s="45" t="inlineStr">
        <is>
          <t>MC</t>
        </is>
      </c>
      <c r="D949" s="45" t="inlineStr">
        <is>
          <t>UN</t>
        </is>
      </c>
      <c r="E949" s="45" t="inlineStr">
        <is>
          <t>0145</t>
        </is>
      </c>
      <c r="F949" s="70" t="inlineStr">
        <is>
          <t>Compras</t>
        </is>
      </c>
      <c r="G949" s="66" t="n">
        <v>26</v>
      </c>
      <c r="H949" s="172" t="inlineStr">
        <is>
          <t>Não</t>
        </is>
      </c>
      <c r="I949" s="50" t="n"/>
    </row>
    <row r="950">
      <c r="A950" s="40" t="inlineStr">
        <is>
          <t>000254</t>
        </is>
      </c>
      <c r="B950" s="41" t="inlineStr">
        <is>
          <t>DEDEIRA</t>
        </is>
      </c>
      <c r="C950" s="42" t="inlineStr">
        <is>
          <t>MC</t>
        </is>
      </c>
      <c r="D950" s="42" t="inlineStr">
        <is>
          <t>UN</t>
        </is>
      </c>
      <c r="E950" s="42" t="inlineStr">
        <is>
          <t>0075</t>
        </is>
      </c>
      <c r="F950" s="70" t="inlineStr">
        <is>
          <t>Compras</t>
        </is>
      </c>
      <c r="G950" s="68" t="n">
        <v>0</v>
      </c>
      <c r="H950" s="172" t="inlineStr">
        <is>
          <t>Não</t>
        </is>
      </c>
      <c r="I950" s="49" t="n"/>
    </row>
    <row r="951">
      <c r="A951" s="43" t="inlineStr">
        <is>
          <t>000670</t>
        </is>
      </c>
      <c r="B951" s="44" t="inlineStr">
        <is>
          <t>DERRETEDEIRA DE CHOCOLATE 220</t>
        </is>
      </c>
      <c r="C951" s="45" t="inlineStr">
        <is>
          <t>AI</t>
        </is>
      </c>
      <c r="D951" s="45" t="inlineStr">
        <is>
          <t>UN</t>
        </is>
      </c>
      <c r="E951" s="45" t="inlineStr">
        <is>
          <t>0002</t>
        </is>
      </c>
      <c r="F951" s="70" t="inlineStr">
        <is>
          <t>Compras</t>
        </is>
      </c>
      <c r="G951" s="66" t="n">
        <v>759</v>
      </c>
      <c r="H951" s="172" t="inlineStr">
        <is>
          <t>Não</t>
        </is>
      </c>
      <c r="I951" s="50" t="n"/>
    </row>
    <row r="952">
      <c r="A952" s="40" t="inlineStr">
        <is>
          <t>009790</t>
        </is>
      </c>
      <c r="B952" s="41" t="inlineStr">
        <is>
          <t>DESCANSO DE PE</t>
        </is>
      </c>
      <c r="C952" s="42" t="inlineStr">
        <is>
          <t>MC</t>
        </is>
      </c>
      <c r="D952" s="42" t="inlineStr">
        <is>
          <t>UN</t>
        </is>
      </c>
      <c r="E952" s="42" t="inlineStr">
        <is>
          <t>0001</t>
        </is>
      </c>
      <c r="F952" s="70" t="inlineStr">
        <is>
          <t>Compras</t>
        </is>
      </c>
      <c r="G952" s="68" t="n">
        <v>0</v>
      </c>
      <c r="H952" s="172" t="inlineStr">
        <is>
          <t>Não</t>
        </is>
      </c>
      <c r="I952" s="49" t="n"/>
    </row>
    <row r="953">
      <c r="A953" s="43" t="inlineStr">
        <is>
          <t>009697</t>
        </is>
      </c>
      <c r="B953" s="44" t="inlineStr">
        <is>
          <t>DESEMPENADEIRA AÇO LISA (12X25)</t>
        </is>
      </c>
      <c r="C953" s="45" t="inlineStr">
        <is>
          <t>MC</t>
        </is>
      </c>
      <c r="D953" s="45" t="inlineStr">
        <is>
          <t>UN</t>
        </is>
      </c>
      <c r="E953" s="45" t="inlineStr">
        <is>
          <t>0132</t>
        </is>
      </c>
      <c r="F953" s="70" t="inlineStr">
        <is>
          <t>Compras</t>
        </is>
      </c>
      <c r="G953" s="66" t="n">
        <v>45</v>
      </c>
      <c r="H953" s="172" t="inlineStr">
        <is>
          <t>Não</t>
        </is>
      </c>
      <c r="I953" s="50" t="n"/>
    </row>
    <row r="954">
      <c r="A954" s="40" t="inlineStr">
        <is>
          <t>000080</t>
        </is>
      </c>
      <c r="B954" s="41" t="inlineStr">
        <is>
          <t>DESENGORDURANTE</t>
        </is>
      </c>
      <c r="C954" s="42" t="inlineStr">
        <is>
          <t>MC</t>
        </is>
      </c>
      <c r="D954" s="42" t="inlineStr">
        <is>
          <t>UN</t>
        </is>
      </c>
      <c r="E954" s="42" t="inlineStr">
        <is>
          <t>0075</t>
        </is>
      </c>
      <c r="F954" s="70" t="inlineStr">
        <is>
          <t>Compras</t>
        </is>
      </c>
      <c r="G954" s="71" t="n">
        <v>38.84</v>
      </c>
      <c r="H954" s="172" t="inlineStr">
        <is>
          <t>Não</t>
        </is>
      </c>
      <c r="I954" s="49" t="n"/>
    </row>
    <row r="955">
      <c r="A955" s="43" t="inlineStr">
        <is>
          <t>002102</t>
        </is>
      </c>
      <c r="B955" s="44" t="inlineStr">
        <is>
          <t>DESENGORDURANTE BIOCHE. BIOPROTEIN 5L</t>
        </is>
      </c>
      <c r="C955" s="45" t="inlineStr">
        <is>
          <t>MC</t>
        </is>
      </c>
      <c r="D955" s="45" t="inlineStr">
        <is>
          <t>UN</t>
        </is>
      </c>
      <c r="E955" s="45" t="inlineStr">
        <is>
          <t>0075</t>
        </is>
      </c>
      <c r="F955" s="70" t="inlineStr">
        <is>
          <t>Compras</t>
        </is>
      </c>
      <c r="G955" s="66" t="n">
        <v>76.04000000000001</v>
      </c>
      <c r="H955" s="172" t="inlineStr">
        <is>
          <t>Não</t>
        </is>
      </c>
      <c r="I955" s="50" t="n"/>
    </row>
    <row r="956">
      <c r="A956" s="40" t="inlineStr">
        <is>
          <t>009935</t>
        </is>
      </c>
      <c r="B956" s="41" t="inlineStr">
        <is>
          <t>DESENGRIPANTE SPRAY</t>
        </is>
      </c>
      <c r="C956" s="42" t="inlineStr">
        <is>
          <t>MC</t>
        </is>
      </c>
      <c r="D956" s="42" t="inlineStr">
        <is>
          <t>UN</t>
        </is>
      </c>
      <c r="E956" s="42" t="inlineStr">
        <is>
          <t>0132</t>
        </is>
      </c>
      <c r="F956" s="70" t="inlineStr">
        <is>
          <t>Compras</t>
        </is>
      </c>
      <c r="G956" s="71" t="n">
        <v>23</v>
      </c>
      <c r="H956" s="172" t="inlineStr">
        <is>
          <t>Não</t>
        </is>
      </c>
      <c r="I956" s="49" t="n"/>
    </row>
    <row r="957">
      <c r="A957" s="43" t="inlineStr">
        <is>
          <t>009548</t>
        </is>
      </c>
      <c r="B957" s="44" t="inlineStr">
        <is>
          <t>DESENHOS PERSONALIZADOS PARA PINTURA INFANTIL</t>
        </is>
      </c>
      <c r="C957" s="45" t="inlineStr">
        <is>
          <t>MC</t>
        </is>
      </c>
      <c r="D957" s="45" t="inlineStr">
        <is>
          <t>UN</t>
        </is>
      </c>
      <c r="E957" s="45" t="inlineStr">
        <is>
          <t>0134</t>
        </is>
      </c>
      <c r="F957" s="70" t="inlineStr">
        <is>
          <t>Compras</t>
        </is>
      </c>
      <c r="G957" s="69" t="n">
        <v>0</v>
      </c>
      <c r="H957" s="172" t="inlineStr">
        <is>
          <t>Não</t>
        </is>
      </c>
      <c r="I957" s="50" t="n"/>
    </row>
    <row r="958">
      <c r="A958" s="40" t="inlineStr">
        <is>
          <t>009909</t>
        </is>
      </c>
      <c r="B958" s="41" t="inlineStr">
        <is>
          <t>DESENTUPIDOR TUFAO 15MT</t>
        </is>
      </c>
      <c r="C958" s="42" t="inlineStr">
        <is>
          <t>MC</t>
        </is>
      </c>
      <c r="D958" s="42" t="inlineStr">
        <is>
          <t>UN</t>
        </is>
      </c>
      <c r="E958" s="42" t="inlineStr">
        <is>
          <t>0132</t>
        </is>
      </c>
      <c r="F958" s="70" t="inlineStr">
        <is>
          <t>Compras</t>
        </is>
      </c>
      <c r="G958" s="71" t="n">
        <v>186.9</v>
      </c>
      <c r="H958" s="172" t="inlineStr">
        <is>
          <t>Não</t>
        </is>
      </c>
      <c r="I958" s="49" t="n"/>
    </row>
    <row r="959">
      <c r="A959" s="43" t="inlineStr">
        <is>
          <t>000626</t>
        </is>
      </c>
      <c r="B959" s="44" t="inlineStr">
        <is>
          <t>DESENTUPIDOR WC</t>
        </is>
      </c>
      <c r="C959" s="45" t="inlineStr">
        <is>
          <t>MC</t>
        </is>
      </c>
      <c r="D959" s="45" t="inlineStr">
        <is>
          <t>UN</t>
        </is>
      </c>
      <c r="E959" s="45" t="inlineStr">
        <is>
          <t>0075</t>
        </is>
      </c>
      <c r="F959" s="70" t="inlineStr">
        <is>
          <t>Compras</t>
        </is>
      </c>
      <c r="G959" s="66" t="n">
        <v>4.01</v>
      </c>
      <c r="H959" s="172" t="inlineStr">
        <is>
          <t>Não</t>
        </is>
      </c>
      <c r="I959" s="50" t="n"/>
    </row>
    <row r="960">
      <c r="A960" s="40" t="inlineStr">
        <is>
          <t>010185</t>
        </is>
      </c>
      <c r="B960" s="41" t="inlineStr">
        <is>
          <t>DESINCRUSTANTE ACIDO 5L</t>
        </is>
      </c>
      <c r="C960" s="42" t="inlineStr">
        <is>
          <t>MC</t>
        </is>
      </c>
      <c r="D960" s="42" t="inlineStr">
        <is>
          <t>UN</t>
        </is>
      </c>
      <c r="E960" s="42" t="inlineStr">
        <is>
          <t>0075</t>
        </is>
      </c>
      <c r="F960" s="70" t="inlineStr">
        <is>
          <t>Compras</t>
        </is>
      </c>
      <c r="G960" s="68" t="n">
        <v>0</v>
      </c>
      <c r="H960" s="172" t="inlineStr">
        <is>
          <t>Não</t>
        </is>
      </c>
      <c r="I960" s="49" t="n"/>
    </row>
    <row r="961">
      <c r="A961" s="43" t="inlineStr">
        <is>
          <t>002100</t>
        </is>
      </c>
      <c r="B961" s="44" t="inlineStr">
        <is>
          <t>DESINCRUSTANTE BIOCHE. FORCHEM 5L</t>
        </is>
      </c>
      <c r="C961" s="45" t="inlineStr">
        <is>
          <t>MC</t>
        </is>
      </c>
      <c r="D961" s="45" t="inlineStr">
        <is>
          <t>UN</t>
        </is>
      </c>
      <c r="E961" s="45" t="inlineStr">
        <is>
          <t>0075</t>
        </is>
      </c>
      <c r="F961" s="70" t="inlineStr">
        <is>
          <t>Compras</t>
        </is>
      </c>
      <c r="G961" s="66" t="n">
        <v>60.64</v>
      </c>
      <c r="H961" s="172" t="inlineStr">
        <is>
          <t>Não</t>
        </is>
      </c>
      <c r="I961" s="50" t="n"/>
    </row>
    <row r="962">
      <c r="A962" s="40" t="inlineStr">
        <is>
          <t>000081</t>
        </is>
      </c>
      <c r="B962" s="41" t="inlineStr">
        <is>
          <t>DESINFETANTE</t>
        </is>
      </c>
      <c r="C962" s="42" t="inlineStr">
        <is>
          <t>MC</t>
        </is>
      </c>
      <c r="D962" s="42" t="inlineStr">
        <is>
          <t>UN</t>
        </is>
      </c>
      <c r="E962" s="42" t="inlineStr">
        <is>
          <t>0075</t>
        </is>
      </c>
      <c r="F962" s="70" t="inlineStr">
        <is>
          <t>Compras</t>
        </is>
      </c>
      <c r="G962" s="71" t="n">
        <v>9.630000000000001</v>
      </c>
      <c r="H962" s="172" t="inlineStr">
        <is>
          <t>Não</t>
        </is>
      </c>
      <c r="I962" s="49" t="n"/>
    </row>
    <row r="963">
      <c r="A963" s="43" t="inlineStr">
        <is>
          <t>002099</t>
        </is>
      </c>
      <c r="B963" s="44" t="inlineStr">
        <is>
          <t>DESINFETANTE BIOCHE. CLEAN 40 5LT</t>
        </is>
      </c>
      <c r="C963" s="45" t="inlineStr">
        <is>
          <t>MC</t>
        </is>
      </c>
      <c r="D963" s="45" t="inlineStr">
        <is>
          <t>UN</t>
        </is>
      </c>
      <c r="E963" s="45" t="inlineStr">
        <is>
          <t>0075</t>
        </is>
      </c>
      <c r="F963" s="70" t="inlineStr">
        <is>
          <t>Compras</t>
        </is>
      </c>
      <c r="G963" s="66" t="n">
        <v>58.63</v>
      </c>
      <c r="H963" s="172" t="inlineStr">
        <is>
          <t>Não</t>
        </is>
      </c>
      <c r="I963" s="50" t="n"/>
    </row>
    <row r="964">
      <c r="A964" s="40" t="inlineStr">
        <is>
          <t>000082</t>
        </is>
      </c>
      <c r="B964" s="41" t="inlineStr">
        <is>
          <t>DESINFETANTE P/ PRODUTOS HORTI</t>
        </is>
      </c>
      <c r="C964" s="42" t="inlineStr">
        <is>
          <t>MC</t>
        </is>
      </c>
      <c r="D964" s="42" t="inlineStr">
        <is>
          <t>UN</t>
        </is>
      </c>
      <c r="E964" s="42" t="inlineStr">
        <is>
          <t>0075</t>
        </is>
      </c>
      <c r="F964" s="70" t="inlineStr">
        <is>
          <t>Compras</t>
        </is>
      </c>
      <c r="G964" s="71" t="n">
        <v>25.97</v>
      </c>
      <c r="H964" s="172" t="inlineStr">
        <is>
          <t>Não</t>
        </is>
      </c>
      <c r="I964" s="49" t="n"/>
    </row>
    <row r="965">
      <c r="A965" s="43" t="inlineStr">
        <is>
          <t>000077</t>
        </is>
      </c>
      <c r="B965" s="44" t="inlineStr">
        <is>
          <t>DESODORIZADOR LAVANDA 360ML</t>
        </is>
      </c>
      <c r="C965" s="45" t="inlineStr">
        <is>
          <t>MC</t>
        </is>
      </c>
      <c r="D965" s="45" t="inlineStr">
        <is>
          <t>UN</t>
        </is>
      </c>
      <c r="E965" s="45" t="inlineStr">
        <is>
          <t>0075</t>
        </is>
      </c>
      <c r="F965" s="70" t="inlineStr">
        <is>
          <t>Compras</t>
        </is>
      </c>
      <c r="G965" s="66" t="n">
        <v>16.11</v>
      </c>
      <c r="H965" s="172" t="inlineStr">
        <is>
          <t>Não</t>
        </is>
      </c>
      <c r="I965" s="50" t="n"/>
    </row>
    <row r="966">
      <c r="A966" s="40" t="inlineStr">
        <is>
          <t>000804</t>
        </is>
      </c>
      <c r="B966" s="41" t="inlineStr">
        <is>
          <t>DETECTOR PORTATIL DE METAIS</t>
        </is>
      </c>
      <c r="C966" s="42" t="inlineStr">
        <is>
          <t>MC</t>
        </is>
      </c>
      <c r="D966" s="42" t="inlineStr">
        <is>
          <t>UN</t>
        </is>
      </c>
      <c r="E966" s="42" t="inlineStr">
        <is>
          <t>0080</t>
        </is>
      </c>
      <c r="F966" s="70" t="inlineStr">
        <is>
          <t>Compras</t>
        </is>
      </c>
      <c r="G966" s="68" t="n">
        <v>0</v>
      </c>
      <c r="H966" s="173" t="inlineStr">
        <is>
          <t>Sim</t>
        </is>
      </c>
      <c r="I966" s="49" t="n"/>
    </row>
    <row r="967">
      <c r="A967" s="43" t="inlineStr">
        <is>
          <t>000083</t>
        </is>
      </c>
      <c r="B967" s="44" t="inlineStr">
        <is>
          <t>DETERGENTE  500ML</t>
        </is>
      </c>
      <c r="C967" s="45" t="inlineStr">
        <is>
          <t>MC</t>
        </is>
      </c>
      <c r="D967" s="45" t="inlineStr">
        <is>
          <t>UN</t>
        </is>
      </c>
      <c r="E967" s="45" t="inlineStr">
        <is>
          <t>0075</t>
        </is>
      </c>
      <c r="F967" s="70" t="inlineStr">
        <is>
          <t>Compras</t>
        </is>
      </c>
      <c r="G967" s="66" t="n">
        <v>2.89</v>
      </c>
      <c r="H967" s="172" t="inlineStr">
        <is>
          <t>Não</t>
        </is>
      </c>
      <c r="I967" s="50" t="n"/>
    </row>
    <row r="968">
      <c r="A968" s="40" t="inlineStr">
        <is>
          <t>002098</t>
        </is>
      </c>
      <c r="B968" s="41" t="inlineStr">
        <is>
          <t>DETERGENTE BIOCHE. CLORADO BIOCLOREGEL 5LT</t>
        </is>
      </c>
      <c r="C968" s="42" t="inlineStr">
        <is>
          <t>MC</t>
        </is>
      </c>
      <c r="D968" s="42" t="inlineStr">
        <is>
          <t>UN</t>
        </is>
      </c>
      <c r="E968" s="42" t="inlineStr">
        <is>
          <t>0075</t>
        </is>
      </c>
      <c r="F968" s="70" t="inlineStr">
        <is>
          <t>Compras</t>
        </is>
      </c>
      <c r="G968" s="71" t="n">
        <v>52.04</v>
      </c>
      <c r="H968" s="172" t="inlineStr">
        <is>
          <t>Não</t>
        </is>
      </c>
      <c r="I968" s="49" t="n"/>
    </row>
    <row r="969">
      <c r="A969" s="43" t="inlineStr">
        <is>
          <t>001194</t>
        </is>
      </c>
      <c r="B969" s="44" t="inlineStr">
        <is>
          <t>DETERGENTE CLORADO GEL SANOL</t>
        </is>
      </c>
      <c r="C969" s="45" t="inlineStr">
        <is>
          <t>MC</t>
        </is>
      </c>
      <c r="D969" s="45" t="inlineStr">
        <is>
          <t>UN</t>
        </is>
      </c>
      <c r="E969" s="45" t="inlineStr">
        <is>
          <t>0075</t>
        </is>
      </c>
      <c r="F969" s="70" t="inlineStr">
        <is>
          <t>Compras</t>
        </is>
      </c>
      <c r="G969" s="66" t="n">
        <v>60.8</v>
      </c>
      <c r="H969" s="172" t="inlineStr">
        <is>
          <t>Não</t>
        </is>
      </c>
      <c r="I969" s="50" t="n"/>
    </row>
    <row r="970">
      <c r="A970" s="40" t="inlineStr">
        <is>
          <t>010113</t>
        </is>
      </c>
      <c r="B970" s="41" t="inlineStr">
        <is>
          <t>DETERGENTE CONCENTRADO LIMPEZA POS OBRA 5LT</t>
        </is>
      </c>
      <c r="C970" s="42" t="inlineStr">
        <is>
          <t>MC</t>
        </is>
      </c>
      <c r="D970" s="42" t="inlineStr">
        <is>
          <t>UN</t>
        </is>
      </c>
      <c r="E970" s="42" t="inlineStr">
        <is>
          <t>0075</t>
        </is>
      </c>
      <c r="F970" s="70" t="inlineStr">
        <is>
          <t>Compras</t>
        </is>
      </c>
      <c r="G970" s="71" t="n">
        <v>104</v>
      </c>
      <c r="H970" s="172" t="inlineStr">
        <is>
          <t>Não</t>
        </is>
      </c>
      <c r="I970" s="49" t="n"/>
    </row>
    <row r="971">
      <c r="A971" s="43" t="inlineStr">
        <is>
          <t>009297</t>
        </is>
      </c>
      <c r="B971" s="44" t="inlineStr">
        <is>
          <t>DETERGENTE DESENGORDURANTE BIOCH. FAT 115 5LT</t>
        </is>
      </c>
      <c r="C971" s="45" t="inlineStr">
        <is>
          <t>MC</t>
        </is>
      </c>
      <c r="D971" s="45" t="inlineStr">
        <is>
          <t>UN</t>
        </is>
      </c>
      <c r="E971" s="45" t="inlineStr">
        <is>
          <t>0075</t>
        </is>
      </c>
      <c r="F971" s="70" t="inlineStr">
        <is>
          <t>Compras</t>
        </is>
      </c>
      <c r="G971" s="66" t="n">
        <v>88.08</v>
      </c>
      <c r="H971" s="172" t="inlineStr">
        <is>
          <t>Não</t>
        </is>
      </c>
      <c r="I971" s="50" t="n"/>
    </row>
    <row r="972">
      <c r="A972" s="40" t="inlineStr">
        <is>
          <t>002248</t>
        </is>
      </c>
      <c r="B972" s="41" t="inlineStr">
        <is>
          <t>DETERGENTE GAL O 5LT</t>
        </is>
      </c>
      <c r="C972" s="42" t="inlineStr">
        <is>
          <t>MC</t>
        </is>
      </c>
      <c r="D972" s="42" t="inlineStr">
        <is>
          <t>UN</t>
        </is>
      </c>
      <c r="E972" s="42" t="inlineStr">
        <is>
          <t>0075</t>
        </is>
      </c>
      <c r="F972" s="70" t="inlineStr">
        <is>
          <t>Compras</t>
        </is>
      </c>
      <c r="G972" s="71" t="n">
        <v>30.03</v>
      </c>
      <c r="H972" s="172" t="inlineStr">
        <is>
          <t>Não</t>
        </is>
      </c>
      <c r="I972" s="49" t="n"/>
    </row>
    <row r="973">
      <c r="A973" s="43" t="inlineStr">
        <is>
          <t>002108</t>
        </is>
      </c>
      <c r="B973" s="44" t="inlineStr">
        <is>
          <t>DETERGENTE GEL 5LT - DILUIDOR</t>
        </is>
      </c>
      <c r="C973" s="45" t="inlineStr">
        <is>
          <t>MC</t>
        </is>
      </c>
      <c r="D973" s="45" t="inlineStr">
        <is>
          <t>UN</t>
        </is>
      </c>
      <c r="E973" s="45" t="inlineStr">
        <is>
          <t>0075</t>
        </is>
      </c>
      <c r="F973" s="70" t="inlineStr">
        <is>
          <t>Compras</t>
        </is>
      </c>
      <c r="G973" s="66" t="n">
        <v>48.49</v>
      </c>
      <c r="H973" s="172" t="inlineStr">
        <is>
          <t>Não</t>
        </is>
      </c>
      <c r="I973" s="50" t="n"/>
    </row>
    <row r="974">
      <c r="A974" s="40" t="inlineStr">
        <is>
          <t>000221</t>
        </is>
      </c>
      <c r="B974" s="41" t="inlineStr">
        <is>
          <t>DETERGENTE MAQUINABB 20 LTS</t>
        </is>
      </c>
      <c r="C974" s="42" t="inlineStr">
        <is>
          <t>MC</t>
        </is>
      </c>
      <c r="D974" s="42" t="inlineStr">
        <is>
          <t>UN</t>
        </is>
      </c>
      <c r="E974" s="42" t="inlineStr">
        <is>
          <t>0075</t>
        </is>
      </c>
      <c r="F974" s="70" t="inlineStr">
        <is>
          <t>Compras</t>
        </is>
      </c>
      <c r="G974" s="71" t="n">
        <v>380.41</v>
      </c>
      <c r="H974" s="172" t="inlineStr">
        <is>
          <t>Não</t>
        </is>
      </c>
      <c r="I974" s="49" t="n"/>
    </row>
    <row r="975">
      <c r="A975" s="43" t="inlineStr">
        <is>
          <t>000746</t>
        </is>
      </c>
      <c r="B975" s="44" t="inlineStr">
        <is>
          <t>DETERGENTE MCX 107</t>
        </is>
      </c>
      <c r="C975" s="45" t="inlineStr">
        <is>
          <t>AI</t>
        </is>
      </c>
      <c r="D975" s="45" t="inlineStr">
        <is>
          <t>UN</t>
        </is>
      </c>
      <c r="E975" s="45" t="inlineStr">
        <is>
          <t>0075</t>
        </is>
      </c>
      <c r="F975" s="70" t="inlineStr">
        <is>
          <t>Compras</t>
        </is>
      </c>
      <c r="G975" s="66" t="n">
        <v>56.5</v>
      </c>
      <c r="H975" s="172" t="inlineStr">
        <is>
          <t>Não</t>
        </is>
      </c>
      <c r="I975" s="50" t="n"/>
    </row>
    <row r="976">
      <c r="A976" s="40" t="inlineStr">
        <is>
          <t>000084</t>
        </is>
      </c>
      <c r="B976" s="41" t="inlineStr">
        <is>
          <t>DIABO VERDE</t>
        </is>
      </c>
      <c r="C976" s="42" t="inlineStr">
        <is>
          <t>MC</t>
        </is>
      </c>
      <c r="D976" s="42" t="inlineStr">
        <is>
          <t>UN</t>
        </is>
      </c>
      <c r="E976" s="42" t="inlineStr">
        <is>
          <t>0075</t>
        </is>
      </c>
      <c r="F976" s="70" t="inlineStr">
        <is>
          <t>Compras</t>
        </is>
      </c>
      <c r="G976" s="71" t="n">
        <v>18.4</v>
      </c>
      <c r="H976" s="172" t="inlineStr">
        <is>
          <t>Não</t>
        </is>
      </c>
      <c r="I976" s="49" t="n"/>
    </row>
    <row r="977">
      <c r="A977" s="43" t="inlineStr">
        <is>
          <t>001680</t>
        </is>
      </c>
      <c r="B977" s="44" t="inlineStr">
        <is>
          <t>DIESEL S10</t>
        </is>
      </c>
      <c r="C977" s="45" t="inlineStr">
        <is>
          <t>OI</t>
        </is>
      </c>
      <c r="D977" s="45" t="inlineStr">
        <is>
          <t>LT</t>
        </is>
      </c>
      <c r="E977" s="45" t="inlineStr">
        <is>
          <t>0139</t>
        </is>
      </c>
      <c r="F977" s="70" t="inlineStr">
        <is>
          <t>Compras</t>
        </is>
      </c>
      <c r="G977" s="66" t="n">
        <v>6.19</v>
      </c>
      <c r="H977" s="172" t="inlineStr">
        <is>
          <t>Não</t>
        </is>
      </c>
      <c r="I977" s="50" t="n"/>
    </row>
    <row r="978">
      <c r="A978" s="40" t="inlineStr">
        <is>
          <t>010337</t>
        </is>
      </c>
      <c r="B978" s="41" t="inlineStr">
        <is>
          <t>DISCO DE CORTE DIAMANTADO 4.3/8" 110MM</t>
        </is>
      </c>
      <c r="C978" s="42" t="inlineStr">
        <is>
          <t>MC</t>
        </is>
      </c>
      <c r="D978" s="42" t="inlineStr">
        <is>
          <t>UN</t>
        </is>
      </c>
      <c r="E978" s="42" t="inlineStr">
        <is>
          <t>0132</t>
        </is>
      </c>
      <c r="F978" s="70" t="inlineStr">
        <is>
          <t>Compras</t>
        </is>
      </c>
      <c r="G978" s="68" t="n">
        <v>0</v>
      </c>
      <c r="H978" s="172" t="inlineStr">
        <is>
          <t>Não</t>
        </is>
      </c>
      <c r="I978" s="49" t="n"/>
    </row>
    <row r="979">
      <c r="A979" s="43" t="inlineStr">
        <is>
          <t>010169</t>
        </is>
      </c>
      <c r="B979" s="44" t="inlineStr">
        <is>
          <t>DISCO DIAMANTADO PORCELANATO</t>
        </is>
      </c>
      <c r="C979" s="45" t="inlineStr">
        <is>
          <t>MC</t>
        </is>
      </c>
      <c r="D979" s="45" t="inlineStr">
        <is>
          <t>UN</t>
        </is>
      </c>
      <c r="E979" s="45" t="inlineStr">
        <is>
          <t>0132</t>
        </is>
      </c>
      <c r="F979" s="70" t="inlineStr">
        <is>
          <t>Compras</t>
        </is>
      </c>
      <c r="G979" s="66" t="n">
        <v>68.90000000000001</v>
      </c>
      <c r="H979" s="172" t="inlineStr">
        <is>
          <t>Não</t>
        </is>
      </c>
      <c r="I979" s="50" t="n"/>
    </row>
    <row r="980">
      <c r="A980" s="40" t="inlineStr">
        <is>
          <t>009386</t>
        </is>
      </c>
      <c r="B980" s="41" t="inlineStr">
        <is>
          <t>DISCO DIAMANTADO SEGMENTADO</t>
        </is>
      </c>
      <c r="C980" s="42" t="inlineStr">
        <is>
          <t>MC</t>
        </is>
      </c>
      <c r="D980" s="42" t="inlineStr">
        <is>
          <t>UN</t>
        </is>
      </c>
      <c r="E980" s="42" t="inlineStr">
        <is>
          <t>0132</t>
        </is>
      </c>
      <c r="F980" s="70" t="inlineStr">
        <is>
          <t>Compras</t>
        </is>
      </c>
      <c r="G980" s="71" t="n">
        <v>90</v>
      </c>
      <c r="H980" s="172" t="inlineStr">
        <is>
          <t>Não</t>
        </is>
      </c>
      <c r="I980" s="49" t="n"/>
    </row>
    <row r="981">
      <c r="A981" s="43" t="inlineStr">
        <is>
          <t>009662</t>
        </is>
      </c>
      <c r="B981" s="44" t="inlineStr">
        <is>
          <t>DISCO FLAP PARA LIXADEIRA 4.1/2</t>
        </is>
      </c>
      <c r="C981" s="45" t="inlineStr">
        <is>
          <t>MC</t>
        </is>
      </c>
      <c r="D981" s="45" t="inlineStr">
        <is>
          <t>UN</t>
        </is>
      </c>
      <c r="E981" s="45" t="inlineStr">
        <is>
          <t>0132</t>
        </is>
      </c>
      <c r="F981" s="70" t="inlineStr">
        <is>
          <t>Compras</t>
        </is>
      </c>
      <c r="G981" s="66" t="n">
        <v>16</v>
      </c>
      <c r="H981" s="172" t="inlineStr">
        <is>
          <t>Não</t>
        </is>
      </c>
      <c r="I981" s="50" t="n"/>
    </row>
    <row r="982">
      <c r="A982" s="40" t="inlineStr">
        <is>
          <t>009385</t>
        </is>
      </c>
      <c r="B982" s="41" t="inlineStr">
        <is>
          <t>DISCO INOX 4.1/2X1.0X7/8</t>
        </is>
      </c>
      <c r="C982" s="42" t="inlineStr">
        <is>
          <t>MC</t>
        </is>
      </c>
      <c r="D982" s="42" t="inlineStr">
        <is>
          <t>UN</t>
        </is>
      </c>
      <c r="E982" s="42" t="inlineStr">
        <is>
          <t>0132</t>
        </is>
      </c>
      <c r="F982" s="70" t="inlineStr">
        <is>
          <t>Compras</t>
        </is>
      </c>
      <c r="G982" s="71" t="n">
        <v>7.5</v>
      </c>
      <c r="H982" s="172" t="inlineStr">
        <is>
          <t>Não</t>
        </is>
      </c>
      <c r="I982" s="49" t="n"/>
    </row>
    <row r="983">
      <c r="A983" s="43" t="inlineStr">
        <is>
          <t>009870</t>
        </is>
      </c>
      <c r="B983" s="44" t="inlineStr">
        <is>
          <t>DISCO LIXA G150 180MM 8 FUROS</t>
        </is>
      </c>
      <c r="C983" s="45" t="inlineStr">
        <is>
          <t>MC</t>
        </is>
      </c>
      <c r="D983" s="45" t="inlineStr">
        <is>
          <t>UN</t>
        </is>
      </c>
      <c r="E983" s="45" t="inlineStr">
        <is>
          <t>0132</t>
        </is>
      </c>
      <c r="F983" s="70" t="inlineStr">
        <is>
          <t>Compras</t>
        </is>
      </c>
      <c r="G983" s="66" t="n">
        <v>30</v>
      </c>
      <c r="H983" s="172" t="inlineStr">
        <is>
          <t>Não</t>
        </is>
      </c>
      <c r="I983" s="50" t="n"/>
    </row>
    <row r="984">
      <c r="A984" s="40" t="inlineStr">
        <is>
          <t>000722</t>
        </is>
      </c>
      <c r="B984" s="41" t="inlineStr">
        <is>
          <t>DISCO RIGIDO HD</t>
        </is>
      </c>
      <c r="C984" s="42" t="inlineStr">
        <is>
          <t>AI</t>
        </is>
      </c>
      <c r="D984" s="42" t="inlineStr">
        <is>
          <t>UN</t>
        </is>
      </c>
      <c r="E984" s="42" t="inlineStr">
        <is>
          <t>0006</t>
        </is>
      </c>
      <c r="F984" s="70" t="inlineStr">
        <is>
          <t>Compras</t>
        </is>
      </c>
      <c r="G984" s="68" t="n">
        <v>0</v>
      </c>
      <c r="H984" s="172" t="inlineStr">
        <is>
          <t>Não</t>
        </is>
      </c>
      <c r="I984" s="49" t="n"/>
    </row>
    <row r="985">
      <c r="A985" s="43" t="inlineStr">
        <is>
          <t>009961</t>
        </is>
      </c>
      <c r="B985" s="44" t="inlineStr">
        <is>
          <t>DISCO RIGIDO HD WD PURPLE 4TB PARA DVR</t>
        </is>
      </c>
      <c r="C985" s="45" t="inlineStr">
        <is>
          <t>MC</t>
        </is>
      </c>
      <c r="D985" s="45" t="inlineStr">
        <is>
          <t>UN</t>
        </is>
      </c>
      <c r="E985" s="45" t="inlineStr">
        <is>
          <t>0006</t>
        </is>
      </c>
      <c r="F985" s="70" t="inlineStr">
        <is>
          <t>Compras</t>
        </is>
      </c>
      <c r="G985" s="69" t="n">
        <v>0</v>
      </c>
      <c r="H985" s="172" t="inlineStr">
        <is>
          <t>Não</t>
        </is>
      </c>
      <c r="I985" s="50" t="n"/>
    </row>
    <row r="986">
      <c r="A986" s="40" t="inlineStr">
        <is>
          <t>009627</t>
        </is>
      </c>
      <c r="B986" s="41" t="inlineStr">
        <is>
          <t>DISCO RIGIDO INTERNO (HD) WESTERN DIGITAL 4TB</t>
        </is>
      </c>
      <c r="C986" s="42" t="inlineStr">
        <is>
          <t>MC</t>
        </is>
      </c>
      <c r="D986" s="42" t="inlineStr">
        <is>
          <t>UN</t>
        </is>
      </c>
      <c r="E986" s="42" t="inlineStr">
        <is>
          <t>0133</t>
        </is>
      </c>
      <c r="F986" s="70" t="inlineStr">
        <is>
          <t>Compras</t>
        </is>
      </c>
      <c r="G986" s="71" t="n">
        <v>1075</v>
      </c>
      <c r="H986" s="172" t="inlineStr">
        <is>
          <t>Não</t>
        </is>
      </c>
      <c r="I986" s="49" t="n"/>
    </row>
    <row r="987">
      <c r="A987" s="43" t="inlineStr">
        <is>
          <t>010369</t>
        </is>
      </c>
      <c r="B987" s="44" t="inlineStr">
        <is>
          <t>DISCO SERRA CIRCULAR P/ MADEIRA 7" 1/4 24D</t>
        </is>
      </c>
      <c r="C987" s="45" t="inlineStr">
        <is>
          <t>MC</t>
        </is>
      </c>
      <c r="D987" s="45" t="inlineStr">
        <is>
          <t>UN</t>
        </is>
      </c>
      <c r="E987" s="45" t="inlineStr">
        <is>
          <t>0132</t>
        </is>
      </c>
      <c r="F987" s="70" t="inlineStr">
        <is>
          <t>Compras</t>
        </is>
      </c>
      <c r="G987" s="69" t="n">
        <v>0</v>
      </c>
      <c r="H987" s="172" t="inlineStr">
        <is>
          <t>Não</t>
        </is>
      </c>
      <c r="I987" s="50" t="n"/>
    </row>
    <row r="988">
      <c r="A988" s="40" t="inlineStr">
        <is>
          <t>010106</t>
        </is>
      </c>
      <c r="B988" s="41" t="inlineStr">
        <is>
          <t>DISCO SERRA CIRCULAR P/ MADEIRA 72D 110MM</t>
        </is>
      </c>
      <c r="C988" s="42" t="inlineStr">
        <is>
          <t>MC</t>
        </is>
      </c>
      <c r="D988" s="42" t="inlineStr">
        <is>
          <t>UN</t>
        </is>
      </c>
      <c r="E988" s="42" t="inlineStr">
        <is>
          <t>0132</t>
        </is>
      </c>
      <c r="F988" s="70" t="inlineStr">
        <is>
          <t>Compras</t>
        </is>
      </c>
      <c r="G988" s="71" t="n">
        <v>49.9</v>
      </c>
      <c r="H988" s="172" t="inlineStr">
        <is>
          <t>Não</t>
        </is>
      </c>
      <c r="I988" s="49" t="n"/>
    </row>
    <row r="989">
      <c r="A989" s="43" t="inlineStr">
        <is>
          <t>010152</t>
        </is>
      </c>
      <c r="B989" s="44" t="inlineStr">
        <is>
          <t>DISJUNTOR BIPOLAR 25A 1P</t>
        </is>
      </c>
      <c r="C989" s="45" t="inlineStr">
        <is>
          <t>MC</t>
        </is>
      </c>
      <c r="D989" s="45" t="inlineStr">
        <is>
          <t>UN</t>
        </is>
      </c>
      <c r="E989" s="45" t="inlineStr">
        <is>
          <t>0132</t>
        </is>
      </c>
      <c r="F989" s="70" t="inlineStr">
        <is>
          <t>Compras</t>
        </is>
      </c>
      <c r="G989" s="69" t="n">
        <v>0</v>
      </c>
      <c r="H989" s="172" t="inlineStr">
        <is>
          <t>Não</t>
        </is>
      </c>
      <c r="I989" s="50" t="n"/>
    </row>
    <row r="990">
      <c r="A990" s="40" t="inlineStr">
        <is>
          <t>010153</t>
        </is>
      </c>
      <c r="B990" s="41" t="inlineStr">
        <is>
          <t>DISJUNTOR BIPOLAR 25A 2P</t>
        </is>
      </c>
      <c r="C990" s="42" t="inlineStr">
        <is>
          <t>MC</t>
        </is>
      </c>
      <c r="D990" s="42" t="inlineStr">
        <is>
          <t>UN</t>
        </is>
      </c>
      <c r="E990" s="42" t="inlineStr">
        <is>
          <t>0132</t>
        </is>
      </c>
      <c r="F990" s="70" t="inlineStr">
        <is>
          <t>Compras</t>
        </is>
      </c>
      <c r="G990" s="68" t="n">
        <v>0</v>
      </c>
      <c r="H990" s="172" t="inlineStr">
        <is>
          <t>Não</t>
        </is>
      </c>
      <c r="I990" s="49" t="n"/>
    </row>
    <row r="991">
      <c r="A991" s="43" t="inlineStr">
        <is>
          <t>009876</t>
        </is>
      </c>
      <c r="B991" s="44" t="inlineStr">
        <is>
          <t>DISJUNTOR BIPOLAR 2P 20 A</t>
        </is>
      </c>
      <c r="C991" s="45" t="inlineStr">
        <is>
          <t>MC</t>
        </is>
      </c>
      <c r="D991" s="45" t="inlineStr">
        <is>
          <t>UN</t>
        </is>
      </c>
      <c r="E991" s="45" t="inlineStr">
        <is>
          <t>0132</t>
        </is>
      </c>
      <c r="F991" s="70" t="inlineStr">
        <is>
          <t>Compras</t>
        </is>
      </c>
      <c r="G991" s="66" t="n">
        <v>39.9</v>
      </c>
      <c r="H991" s="172" t="inlineStr">
        <is>
          <t>Não</t>
        </is>
      </c>
      <c r="I991" s="50" t="n"/>
    </row>
    <row r="992">
      <c r="A992" s="40" t="inlineStr">
        <is>
          <t>009685</t>
        </is>
      </c>
      <c r="B992" s="41" t="inlineStr">
        <is>
          <t>DISJUNTOR BIPOLAR 32A</t>
        </is>
      </c>
      <c r="C992" s="42" t="inlineStr">
        <is>
          <t>MC</t>
        </is>
      </c>
      <c r="D992" s="42" t="inlineStr">
        <is>
          <t>UN</t>
        </is>
      </c>
      <c r="E992" s="42" t="inlineStr">
        <is>
          <t>0132</t>
        </is>
      </c>
      <c r="F992" s="70" t="inlineStr">
        <is>
          <t>Compras</t>
        </is>
      </c>
      <c r="G992" s="68" t="n">
        <v>0</v>
      </c>
      <c r="H992" s="172" t="inlineStr">
        <is>
          <t>Não</t>
        </is>
      </c>
      <c r="I992" s="49" t="n"/>
    </row>
    <row r="993">
      <c r="A993" s="43" t="inlineStr">
        <is>
          <t>009686</t>
        </is>
      </c>
      <c r="B993" s="44" t="inlineStr">
        <is>
          <t>DISJUNTOR BIPOLAR 35A</t>
        </is>
      </c>
      <c r="C993" s="45" t="inlineStr">
        <is>
          <t>MC</t>
        </is>
      </c>
      <c r="D993" s="45" t="inlineStr">
        <is>
          <t>UN</t>
        </is>
      </c>
      <c r="E993" s="45" t="inlineStr">
        <is>
          <t>0132</t>
        </is>
      </c>
      <c r="F993" s="70" t="inlineStr">
        <is>
          <t>Compras</t>
        </is>
      </c>
      <c r="G993" s="69" t="n">
        <v>0</v>
      </c>
      <c r="H993" s="172" t="inlineStr">
        <is>
          <t>Não</t>
        </is>
      </c>
      <c r="I993" s="50" t="n"/>
    </row>
    <row r="994">
      <c r="A994" s="40" t="inlineStr">
        <is>
          <t>010292</t>
        </is>
      </c>
      <c r="B994" s="41" t="inlineStr">
        <is>
          <t>DISJUNTOR BIPOLAR 40A</t>
        </is>
      </c>
      <c r="C994" s="42" t="inlineStr">
        <is>
          <t>MC</t>
        </is>
      </c>
      <c r="D994" s="42" t="inlineStr">
        <is>
          <t>UN</t>
        </is>
      </c>
      <c r="E994" s="42" t="inlineStr">
        <is>
          <t>0132</t>
        </is>
      </c>
      <c r="F994" s="70" t="inlineStr">
        <is>
          <t>Compras</t>
        </is>
      </c>
      <c r="G994" s="71" t="n">
        <v>203.9</v>
      </c>
      <c r="H994" s="172" t="inlineStr">
        <is>
          <t>Não</t>
        </is>
      </c>
      <c r="I994" s="49" t="n"/>
    </row>
    <row r="995">
      <c r="A995" s="43" t="inlineStr">
        <is>
          <t>009345</t>
        </is>
      </c>
      <c r="B995" s="44" t="inlineStr">
        <is>
          <t>DISJUNTOR BIPOLAR 70AMP</t>
        </is>
      </c>
      <c r="C995" s="45" t="inlineStr">
        <is>
          <t>MC</t>
        </is>
      </c>
      <c r="D995" s="45" t="inlineStr">
        <is>
          <t>UN</t>
        </is>
      </c>
      <c r="E995" s="45" t="inlineStr">
        <is>
          <t>0132</t>
        </is>
      </c>
      <c r="F995" s="70" t="inlineStr">
        <is>
          <t>Compras</t>
        </is>
      </c>
      <c r="G995" s="69" t="n">
        <v>0</v>
      </c>
      <c r="H995" s="172" t="inlineStr">
        <is>
          <t>Não</t>
        </is>
      </c>
      <c r="I995" s="50" t="n"/>
    </row>
    <row r="996">
      <c r="A996" s="40" t="inlineStr">
        <is>
          <t>010387</t>
        </is>
      </c>
      <c r="B996" s="41" t="inlineStr">
        <is>
          <t>DISJUNTOR INTELIGENTE WIFI TUYA</t>
        </is>
      </c>
      <c r="C996" s="42" t="inlineStr">
        <is>
          <t>MC</t>
        </is>
      </c>
      <c r="D996" s="42" t="inlineStr">
        <is>
          <t>UN</t>
        </is>
      </c>
      <c r="E996" s="42" t="inlineStr">
        <is>
          <t>0132</t>
        </is>
      </c>
      <c r="F996" s="70" t="inlineStr">
        <is>
          <t>Compras</t>
        </is>
      </c>
      <c r="G996" s="68" t="n">
        <v>0</v>
      </c>
      <c r="H996" s="172" t="inlineStr">
        <is>
          <t>Não</t>
        </is>
      </c>
      <c r="I996" s="49" t="n"/>
    </row>
    <row r="997">
      <c r="A997" s="43" t="inlineStr">
        <is>
          <t>009672</t>
        </is>
      </c>
      <c r="B997" s="44" t="inlineStr">
        <is>
          <t>DISJUNTOR TRIPOLAR 32A</t>
        </is>
      </c>
      <c r="C997" s="45" t="inlineStr">
        <is>
          <t>MC</t>
        </is>
      </c>
      <c r="D997" s="45" t="inlineStr">
        <is>
          <t>UN</t>
        </is>
      </c>
      <c r="E997" s="45" t="inlineStr">
        <is>
          <t>0132</t>
        </is>
      </c>
      <c r="F997" s="70" t="inlineStr">
        <is>
          <t>Compras</t>
        </is>
      </c>
      <c r="G997" s="69" t="n">
        <v>0</v>
      </c>
      <c r="H997" s="172" t="inlineStr">
        <is>
          <t>Não</t>
        </is>
      </c>
      <c r="I997" s="50" t="n"/>
    </row>
    <row r="998">
      <c r="A998" s="40" t="inlineStr">
        <is>
          <t>000810</t>
        </is>
      </c>
      <c r="B998" s="41" t="inlineStr">
        <is>
          <t>DISPENSER ALAVANCA P.TOALHA RO</t>
        </is>
      </c>
      <c r="C998" s="42" t="inlineStr">
        <is>
          <t>MC</t>
        </is>
      </c>
      <c r="D998" s="42" t="inlineStr">
        <is>
          <t>UN</t>
        </is>
      </c>
      <c r="E998" s="42" t="inlineStr">
        <is>
          <t>0140</t>
        </is>
      </c>
      <c r="F998" s="70" t="inlineStr">
        <is>
          <t>Compras</t>
        </is>
      </c>
      <c r="G998" s="68" t="n">
        <v>0</v>
      </c>
      <c r="H998" s="172" t="inlineStr">
        <is>
          <t>Não</t>
        </is>
      </c>
      <c r="I998" s="49" t="n"/>
    </row>
    <row r="999">
      <c r="A999" s="43" t="inlineStr">
        <is>
          <t>000783</t>
        </is>
      </c>
      <c r="B999" s="44" t="inlineStr">
        <is>
          <t>DISPENSER DIO DENTAL</t>
        </is>
      </c>
      <c r="C999" s="45" t="inlineStr">
        <is>
          <t>MC</t>
        </is>
      </c>
      <c r="D999" s="45" t="inlineStr">
        <is>
          <t>UN</t>
        </is>
      </c>
      <c r="E999" s="45" t="inlineStr">
        <is>
          <t>0140</t>
        </is>
      </c>
      <c r="F999" s="70" t="inlineStr">
        <is>
          <t>Compras</t>
        </is>
      </c>
      <c r="G999" s="69" t="n">
        <v>0</v>
      </c>
      <c r="H999" s="172" t="inlineStr">
        <is>
          <t>Não</t>
        </is>
      </c>
      <c r="I999" s="50" t="n"/>
    </row>
    <row r="1000">
      <c r="A1000" s="40" t="inlineStr">
        <is>
          <t>001351</t>
        </is>
      </c>
      <c r="B1000" s="41" t="inlineStr">
        <is>
          <t>DISPENSER ENXAGUANTE BUCAL</t>
        </is>
      </c>
      <c r="C1000" s="42" t="inlineStr">
        <is>
          <t>MC</t>
        </is>
      </c>
      <c r="D1000" s="42" t="inlineStr">
        <is>
          <t>UN</t>
        </is>
      </c>
      <c r="E1000" s="42" t="inlineStr">
        <is>
          <t>0079</t>
        </is>
      </c>
      <c r="F1000" s="70" t="inlineStr">
        <is>
          <t>Compras</t>
        </is>
      </c>
      <c r="G1000" s="68" t="n">
        <v>0</v>
      </c>
      <c r="H1000" s="172" t="inlineStr">
        <is>
          <t>Não</t>
        </is>
      </c>
      <c r="I1000" s="49" t="n"/>
    </row>
    <row r="1001">
      <c r="A1001" s="43" t="inlineStr">
        <is>
          <t>000784</t>
        </is>
      </c>
      <c r="B1001" s="44" t="inlineStr">
        <is>
          <t>DISPENSER MECANICO AUTO CORTE</t>
        </is>
      </c>
      <c r="C1001" s="45" t="inlineStr">
        <is>
          <t>MC</t>
        </is>
      </c>
      <c r="D1001" s="45" t="inlineStr">
        <is>
          <t>PC</t>
        </is>
      </c>
      <c r="E1001" s="45" t="inlineStr">
        <is>
          <t>0140</t>
        </is>
      </c>
      <c r="F1001" s="70" t="inlineStr">
        <is>
          <t>Compras</t>
        </is>
      </c>
      <c r="G1001" s="66" t="n">
        <v>467.84</v>
      </c>
      <c r="H1001" s="172" t="inlineStr">
        <is>
          <t>Não</t>
        </is>
      </c>
      <c r="I1001" s="50" t="n"/>
    </row>
    <row r="1002">
      <c r="A1002" s="40" t="inlineStr">
        <is>
          <t>000792</t>
        </is>
      </c>
      <c r="B1002" s="41" t="inlineStr">
        <is>
          <t>DISPENSER ODORIZADOR</t>
        </is>
      </c>
      <c r="C1002" s="42" t="inlineStr">
        <is>
          <t>MC</t>
        </is>
      </c>
      <c r="D1002" s="42" t="inlineStr">
        <is>
          <t>UN</t>
        </is>
      </c>
      <c r="E1002" s="42" t="inlineStr">
        <is>
          <t>0140</t>
        </is>
      </c>
      <c r="F1002" s="70" t="inlineStr">
        <is>
          <t>Compras</t>
        </is>
      </c>
      <c r="G1002" s="68" t="n">
        <v>0</v>
      </c>
      <c r="H1002" s="172" t="inlineStr">
        <is>
          <t>Não</t>
        </is>
      </c>
      <c r="I1002" s="49" t="n"/>
    </row>
    <row r="1003">
      <c r="A1003" s="43" t="inlineStr">
        <is>
          <t>000790</t>
        </is>
      </c>
      <c r="B1003" s="44" t="inlineStr">
        <is>
          <t>DISPENSER P.HIGIENICO INTERF.</t>
        </is>
      </c>
      <c r="C1003" s="45" t="inlineStr">
        <is>
          <t>MC</t>
        </is>
      </c>
      <c r="D1003" s="45" t="inlineStr">
        <is>
          <t>PC</t>
        </is>
      </c>
      <c r="E1003" s="45" t="inlineStr">
        <is>
          <t>0140</t>
        </is>
      </c>
      <c r="F1003" s="70" t="inlineStr">
        <is>
          <t>Compras</t>
        </is>
      </c>
      <c r="G1003" s="69" t="n">
        <v>0</v>
      </c>
      <c r="H1003" s="172" t="inlineStr">
        <is>
          <t>Não</t>
        </is>
      </c>
      <c r="I1003" s="50" t="n"/>
    </row>
    <row r="1004">
      <c r="A1004" s="40" t="inlineStr">
        <is>
          <t>000785</t>
        </is>
      </c>
      <c r="B1004" s="41" t="inlineStr">
        <is>
          <t>DISPENSER P/SAQUINHO ABSORVENT</t>
        </is>
      </c>
      <c r="C1004" s="42" t="inlineStr">
        <is>
          <t>MC</t>
        </is>
      </c>
      <c r="D1004" s="42" t="inlineStr">
        <is>
          <t>PC</t>
        </is>
      </c>
      <c r="E1004" s="42" t="inlineStr">
        <is>
          <t>0140</t>
        </is>
      </c>
      <c r="F1004" s="70" t="inlineStr">
        <is>
          <t>Compras</t>
        </is>
      </c>
      <c r="G1004" s="68" t="n">
        <v>0</v>
      </c>
      <c r="H1004" s="172" t="inlineStr">
        <is>
          <t>Não</t>
        </is>
      </c>
      <c r="I1004" s="49" t="n"/>
    </row>
    <row r="1005">
      <c r="A1005" s="43" t="inlineStr">
        <is>
          <t>001350</t>
        </is>
      </c>
      <c r="B1005" s="44" t="inlineStr">
        <is>
          <t>DISPENSER PORTA COPOS</t>
        </is>
      </c>
      <c r="C1005" s="45" t="inlineStr">
        <is>
          <t>MC</t>
        </is>
      </c>
      <c r="D1005" s="45" t="inlineStr">
        <is>
          <t>UN</t>
        </is>
      </c>
      <c r="E1005" s="45" t="inlineStr">
        <is>
          <t>0079</t>
        </is>
      </c>
      <c r="F1005" s="70" t="inlineStr">
        <is>
          <t>Compras</t>
        </is>
      </c>
      <c r="G1005" s="69" t="n">
        <v>0</v>
      </c>
      <c r="H1005" s="172" t="inlineStr">
        <is>
          <t>Não</t>
        </is>
      </c>
      <c r="I1005" s="50" t="n"/>
    </row>
    <row r="1006">
      <c r="A1006" s="40" t="inlineStr">
        <is>
          <t>000791</t>
        </is>
      </c>
      <c r="B1006" s="41" t="inlineStr">
        <is>
          <t>DISPENSER PROTETOR ASSENTO</t>
        </is>
      </c>
      <c r="C1006" s="42" t="inlineStr">
        <is>
          <t>MC</t>
        </is>
      </c>
      <c r="D1006" s="42" t="inlineStr">
        <is>
          <t>PC</t>
        </is>
      </c>
      <c r="E1006" s="42" t="inlineStr">
        <is>
          <t>0140</t>
        </is>
      </c>
      <c r="F1006" s="70" t="inlineStr">
        <is>
          <t>Compras</t>
        </is>
      </c>
      <c r="G1006" s="68" t="n">
        <v>0</v>
      </c>
      <c r="H1006" s="172" t="inlineStr">
        <is>
          <t>Não</t>
        </is>
      </c>
      <c r="I1006" s="49" t="n"/>
    </row>
    <row r="1007">
      <c r="A1007" s="43" t="inlineStr">
        <is>
          <t>000786</t>
        </is>
      </c>
      <c r="B1007" s="44" t="inlineStr">
        <is>
          <t>DISPENSER SABONETE LIQUIDO</t>
        </is>
      </c>
      <c r="C1007" s="45" t="inlineStr">
        <is>
          <t>MC</t>
        </is>
      </c>
      <c r="D1007" s="45" t="inlineStr">
        <is>
          <t>PC</t>
        </is>
      </c>
      <c r="E1007" s="45" t="inlineStr">
        <is>
          <t>0140</t>
        </is>
      </c>
      <c r="F1007" s="70" t="inlineStr">
        <is>
          <t>Compras</t>
        </is>
      </c>
      <c r="G1007" s="66" t="n">
        <v>99.2758</v>
      </c>
      <c r="H1007" s="172" t="inlineStr">
        <is>
          <t>Não</t>
        </is>
      </c>
      <c r="I1007" s="50" t="n"/>
    </row>
    <row r="1008">
      <c r="A1008" s="40" t="inlineStr">
        <is>
          <t>000139</t>
        </is>
      </c>
      <c r="B1008" s="41" t="inlineStr">
        <is>
          <t>DISPLAY DE MESA 12X31CM</t>
        </is>
      </c>
      <c r="C1008" s="42" t="inlineStr">
        <is>
          <t>MC</t>
        </is>
      </c>
      <c r="D1008" s="42" t="inlineStr">
        <is>
          <t>UN</t>
        </is>
      </c>
      <c r="E1008" s="42" t="inlineStr">
        <is>
          <t>0073</t>
        </is>
      </c>
      <c r="F1008" s="70" t="inlineStr">
        <is>
          <t>Compras</t>
        </is>
      </c>
      <c r="G1008" s="71" t="n">
        <v>15</v>
      </c>
      <c r="H1008" s="172" t="inlineStr">
        <is>
          <t>Não</t>
        </is>
      </c>
      <c r="I1008" s="49" t="n"/>
    </row>
    <row r="1009">
      <c r="A1009" s="43" t="inlineStr">
        <is>
          <t>000812</t>
        </is>
      </c>
      <c r="B1009" s="44" t="inlineStr">
        <is>
          <t>DISPLAY EM ACRILICO A2 E A4</t>
        </is>
      </c>
      <c r="C1009" s="45" t="inlineStr">
        <is>
          <t>MC</t>
        </is>
      </c>
      <c r="D1009" s="45" t="inlineStr">
        <is>
          <t>UN</t>
        </is>
      </c>
      <c r="E1009" s="45" t="inlineStr">
        <is>
          <t>0073</t>
        </is>
      </c>
      <c r="F1009" s="70" t="inlineStr">
        <is>
          <t>Compras</t>
        </is>
      </c>
      <c r="G1009" s="66" t="n">
        <v>53.9</v>
      </c>
      <c r="H1009" s="172" t="inlineStr">
        <is>
          <t>Não</t>
        </is>
      </c>
      <c r="I1009" s="50" t="n"/>
    </row>
    <row r="1010">
      <c r="A1010" s="40" t="inlineStr">
        <is>
          <t>000138</t>
        </is>
      </c>
      <c r="B1010" s="41" t="inlineStr">
        <is>
          <t>DISPLAY RESERVA 20,5X35,5CM</t>
        </is>
      </c>
      <c r="C1010" s="42" t="inlineStr">
        <is>
          <t>MC</t>
        </is>
      </c>
      <c r="D1010" s="42" t="inlineStr">
        <is>
          <t>UN</t>
        </is>
      </c>
      <c r="E1010" s="42" t="inlineStr">
        <is>
          <t>0073</t>
        </is>
      </c>
      <c r="F1010" s="70" t="inlineStr">
        <is>
          <t>Compras</t>
        </is>
      </c>
      <c r="G1010" s="71" t="n">
        <v>0.8</v>
      </c>
      <c r="H1010" s="172" t="inlineStr">
        <is>
          <t>Não</t>
        </is>
      </c>
      <c r="I1010" s="49" t="n"/>
    </row>
    <row r="1011">
      <c r="A1011" s="43" t="inlineStr">
        <is>
          <t>000813</t>
        </is>
      </c>
      <c r="B1011" s="44" t="inlineStr">
        <is>
          <t>DISTRIBUIDOR DE VIDEO</t>
        </is>
      </c>
      <c r="C1011" s="45" t="inlineStr">
        <is>
          <t>MC</t>
        </is>
      </c>
      <c r="D1011" s="45" t="inlineStr">
        <is>
          <t>UN</t>
        </is>
      </c>
      <c r="E1011" s="45" t="inlineStr">
        <is>
          <t>0006</t>
        </is>
      </c>
      <c r="F1011" s="70" t="inlineStr">
        <is>
          <t>Compras</t>
        </is>
      </c>
      <c r="G1011" s="69" t="n">
        <v>0</v>
      </c>
      <c r="H1011" s="172" t="inlineStr">
        <is>
          <t>Não</t>
        </is>
      </c>
      <c r="I1011" s="50" t="n"/>
    </row>
    <row r="1012">
      <c r="A1012" s="40" t="inlineStr">
        <is>
          <t>001224</t>
        </is>
      </c>
      <c r="B1012" s="41" t="inlineStr">
        <is>
          <t>DIVISORIAS SANITARIAS EM LAMINADO</t>
        </is>
      </c>
      <c r="C1012" s="42" t="inlineStr">
        <is>
          <t>MC</t>
        </is>
      </c>
      <c r="D1012" s="42" t="inlineStr">
        <is>
          <t>UN</t>
        </is>
      </c>
      <c r="E1012" s="42" t="inlineStr">
        <is>
          <t>0132</t>
        </is>
      </c>
      <c r="F1012" s="70" t="inlineStr">
        <is>
          <t>Compras</t>
        </is>
      </c>
      <c r="G1012" s="71" t="n">
        <v>700</v>
      </c>
      <c r="H1012" s="172" t="inlineStr">
        <is>
          <t>Não</t>
        </is>
      </c>
      <c r="I1012" s="49" t="n"/>
    </row>
    <row r="1013">
      <c r="A1013" s="43" t="inlineStr">
        <is>
          <t>009864</t>
        </is>
      </c>
      <c r="B1013" s="44" t="inlineStr">
        <is>
          <t>DOBRADICA BARRA DE TORCAO</t>
        </is>
      </c>
      <c r="C1013" s="45" t="inlineStr">
        <is>
          <t>MC</t>
        </is>
      </c>
      <c r="D1013" s="45" t="inlineStr">
        <is>
          <t>UN</t>
        </is>
      </c>
      <c r="E1013" s="45" t="inlineStr">
        <is>
          <t>0132</t>
        </is>
      </c>
      <c r="F1013" s="70" t="inlineStr">
        <is>
          <t>Compras</t>
        </is>
      </c>
      <c r="G1013" s="66" t="n">
        <v>67</v>
      </c>
      <c r="H1013" s="172" t="inlineStr">
        <is>
          <t>Não</t>
        </is>
      </c>
      <c r="I1013" s="50" t="n"/>
    </row>
    <row r="1014">
      <c r="A1014" s="40" t="inlineStr">
        <is>
          <t>009863</t>
        </is>
      </c>
      <c r="B1014" s="41" t="inlineStr">
        <is>
          <t>DOBRADICA CROMADA COROA ALTA</t>
        </is>
      </c>
      <c r="C1014" s="42" t="inlineStr">
        <is>
          <t>MC</t>
        </is>
      </c>
      <c r="D1014" s="42" t="inlineStr">
        <is>
          <t>UN</t>
        </is>
      </c>
      <c r="E1014" s="42" t="inlineStr">
        <is>
          <t>0132</t>
        </is>
      </c>
      <c r="F1014" s="70" t="inlineStr">
        <is>
          <t>Compras</t>
        </is>
      </c>
      <c r="G1014" s="71" t="n">
        <v>315</v>
      </c>
      <c r="H1014" s="172" t="inlineStr">
        <is>
          <t>Não</t>
        </is>
      </c>
      <c r="I1014" s="49" t="n"/>
    </row>
    <row r="1015">
      <c r="A1015" s="43" t="inlineStr">
        <is>
          <t>009791</t>
        </is>
      </c>
      <c r="B1015" s="44" t="inlineStr">
        <is>
          <t>DOBRADICAS NOTEBOOK</t>
        </is>
      </c>
      <c r="C1015" s="45" t="inlineStr">
        <is>
          <t>MC</t>
        </is>
      </c>
      <c r="D1015" s="45" t="inlineStr">
        <is>
          <t>UN</t>
        </is>
      </c>
      <c r="E1015" s="45" t="inlineStr">
        <is>
          <t>0006</t>
        </is>
      </c>
      <c r="F1015" s="70" t="inlineStr">
        <is>
          <t>Compras</t>
        </is>
      </c>
      <c r="G1015" s="69" t="n">
        <v>0</v>
      </c>
      <c r="H1015" s="172" t="inlineStr">
        <is>
          <t>Não</t>
        </is>
      </c>
      <c r="I1015" s="50" t="n"/>
    </row>
    <row r="1016">
      <c r="A1016" s="40" t="inlineStr">
        <is>
          <t>002003</t>
        </is>
      </c>
      <c r="B1016" s="41" t="inlineStr">
        <is>
          <t>DOCE DE LEITE EM POTE</t>
        </is>
      </c>
      <c r="C1016" s="42" t="inlineStr">
        <is>
          <t>MR</t>
        </is>
      </c>
      <c r="D1016" s="42" t="inlineStr">
        <is>
          <t>UN</t>
        </is>
      </c>
      <c r="E1016" s="42" t="inlineStr">
        <is>
          <t>0029</t>
        </is>
      </c>
      <c r="F1016" s="65" t="inlineStr">
        <is>
          <t>Venda</t>
        </is>
      </c>
      <c r="G1016" s="71" t="n">
        <v>79.8</v>
      </c>
      <c r="H1016" s="172" t="inlineStr">
        <is>
          <t>Não</t>
        </is>
      </c>
      <c r="I1016" s="47" t="inlineStr">
        <is>
          <t>78989056877252</t>
        </is>
      </c>
    </row>
    <row r="1017">
      <c r="A1017" s="43" t="inlineStr">
        <is>
          <t>002009</t>
        </is>
      </c>
      <c r="B1017" s="44" t="inlineStr">
        <is>
          <t>DOCES</t>
        </is>
      </c>
      <c r="C1017" s="45" t="inlineStr">
        <is>
          <t>MR</t>
        </is>
      </c>
      <c r="D1017" s="45" t="inlineStr">
        <is>
          <t>UN</t>
        </is>
      </c>
      <c r="E1017" s="45" t="inlineStr">
        <is>
          <t>0031</t>
        </is>
      </c>
      <c r="F1017" s="70" t="inlineStr">
        <is>
          <t>Compras</t>
        </is>
      </c>
      <c r="G1017" s="69" t="n">
        <v>0</v>
      </c>
      <c r="H1017" s="173" t="inlineStr">
        <is>
          <t>Sim</t>
        </is>
      </c>
      <c r="I1017" s="48" t="inlineStr">
        <is>
          <t>78989056877138</t>
        </is>
      </c>
    </row>
    <row r="1018">
      <c r="A1018" s="40" t="inlineStr">
        <is>
          <t>002280</t>
        </is>
      </c>
      <c r="B1018" s="41" t="inlineStr">
        <is>
          <t>DOCES FESTA FUNCIONARIOS</t>
        </is>
      </c>
      <c r="C1018" s="42" t="inlineStr">
        <is>
          <t>MC</t>
        </is>
      </c>
      <c r="D1018" s="42" t="inlineStr">
        <is>
          <t>UN</t>
        </is>
      </c>
      <c r="E1018" s="42" t="inlineStr">
        <is>
          <t>0013</t>
        </is>
      </c>
      <c r="F1018" s="70" t="inlineStr">
        <is>
          <t>Compras</t>
        </is>
      </c>
      <c r="G1018" s="71" t="n">
        <v>3.49</v>
      </c>
      <c r="H1018" s="172" t="inlineStr">
        <is>
          <t>Não</t>
        </is>
      </c>
      <c r="I1018" s="49" t="n"/>
    </row>
    <row r="1019">
      <c r="A1019" s="43" t="inlineStr">
        <is>
          <t>000182</t>
        </is>
      </c>
      <c r="B1019" s="44" t="inlineStr">
        <is>
          <t>DOMAS COZINHA-BRANCA</t>
        </is>
      </c>
      <c r="C1019" s="45" t="inlineStr">
        <is>
          <t>MC</t>
        </is>
      </c>
      <c r="D1019" s="45" t="inlineStr">
        <is>
          <t>UN</t>
        </is>
      </c>
      <c r="E1019" s="45" t="inlineStr">
        <is>
          <t>0017</t>
        </is>
      </c>
      <c r="F1019" s="70" t="inlineStr">
        <is>
          <t>Compras</t>
        </is>
      </c>
      <c r="G1019" s="66" t="n">
        <v>46.9</v>
      </c>
      <c r="H1019" s="172" t="inlineStr">
        <is>
          <t>Não</t>
        </is>
      </c>
      <c r="I1019" s="50" t="n"/>
    </row>
    <row r="1020">
      <c r="A1020" s="40" t="inlineStr">
        <is>
          <t>009840</t>
        </is>
      </c>
      <c r="B1020" s="41" t="inlineStr">
        <is>
          <t>DOMINGO</t>
        </is>
      </c>
      <c r="C1020" s="42" t="inlineStr">
        <is>
          <t>OI</t>
        </is>
      </c>
      <c r="D1020" s="42" t="inlineStr">
        <is>
          <t>UN</t>
        </is>
      </c>
      <c r="E1020" s="42" t="inlineStr">
        <is>
          <t>0128</t>
        </is>
      </c>
      <c r="F1020" s="65" t="inlineStr">
        <is>
          <t>Venda</t>
        </is>
      </c>
      <c r="G1020" s="68" t="n">
        <v>0</v>
      </c>
      <c r="H1020" s="172" t="inlineStr">
        <is>
          <t>Não</t>
        </is>
      </c>
      <c r="I1020" s="47" t="inlineStr">
        <is>
          <t>78989056877156</t>
        </is>
      </c>
    </row>
    <row r="1021">
      <c r="A1021" s="43" t="inlineStr">
        <is>
          <t>010093</t>
        </is>
      </c>
      <c r="B1021" s="44" t="inlineStr">
        <is>
          <t>DOMINGO</t>
        </is>
      </c>
      <c r="C1021" s="45" t="inlineStr">
        <is>
          <t>OI</t>
        </is>
      </c>
      <c r="D1021" s="45" t="inlineStr">
        <is>
          <t>UN</t>
        </is>
      </c>
      <c r="E1021" s="45" t="inlineStr">
        <is>
          <t>0128</t>
        </is>
      </c>
      <c r="F1021" s="65" t="inlineStr">
        <is>
          <t>Venda</t>
        </is>
      </c>
      <c r="G1021" s="69" t="n">
        <v>0</v>
      </c>
      <c r="H1021" s="177" t="inlineStr">
        <is>
          <t>Sim</t>
        </is>
      </c>
      <c r="I1021" s="178" t="n"/>
    </row>
    <row r="1022">
      <c r="A1022" s="40" t="inlineStr">
        <is>
          <t>001971</t>
        </is>
      </c>
      <c r="B1022" s="41" t="inlineStr">
        <is>
          <t>DOMINGO CRIANCA</t>
        </is>
      </c>
      <c r="C1022" s="42" t="inlineStr">
        <is>
          <t>MR</t>
        </is>
      </c>
      <c r="D1022" s="42" t="inlineStr">
        <is>
          <t>UN</t>
        </is>
      </c>
      <c r="E1022" s="42" t="inlineStr">
        <is>
          <t>0107</t>
        </is>
      </c>
      <c r="F1022" s="65" t="inlineStr">
        <is>
          <t>Venda</t>
        </is>
      </c>
      <c r="G1022" s="68" t="n">
        <v>0</v>
      </c>
      <c r="H1022" s="173" t="inlineStr">
        <is>
          <t>Sim</t>
        </is>
      </c>
      <c r="I1022" s="47" t="inlineStr">
        <is>
          <t>78989056877140</t>
        </is>
      </c>
    </row>
    <row r="1023">
      <c r="A1023" s="43" t="inlineStr">
        <is>
          <t>002001</t>
        </is>
      </c>
      <c r="B1023" s="44" t="inlineStr">
        <is>
          <t>DOMINGO CRIANCA</t>
        </is>
      </c>
      <c r="C1023" s="45" t="inlineStr">
        <is>
          <t>MR</t>
        </is>
      </c>
      <c r="D1023" s="45" t="inlineStr">
        <is>
          <t>UN</t>
        </is>
      </c>
      <c r="E1023" s="45" t="inlineStr">
        <is>
          <t>0107</t>
        </is>
      </c>
      <c r="F1023" s="65" t="inlineStr">
        <is>
          <t>Venda</t>
        </is>
      </c>
      <c r="G1023" s="69" t="n">
        <v>0</v>
      </c>
      <c r="H1023" s="173" t="inlineStr">
        <is>
          <t>Sim</t>
        </is>
      </c>
      <c r="I1023" s="48" t="inlineStr">
        <is>
          <t>78989056877140</t>
        </is>
      </c>
    </row>
    <row r="1024">
      <c r="A1024" s="40" t="inlineStr">
        <is>
          <t>009837</t>
        </is>
      </c>
      <c r="B1024" s="41" t="inlineStr">
        <is>
          <t>DOMINGO CRIANCA</t>
        </is>
      </c>
      <c r="C1024" s="42" t="inlineStr">
        <is>
          <t>OI</t>
        </is>
      </c>
      <c r="D1024" s="42" t="inlineStr">
        <is>
          <t>UN</t>
        </is>
      </c>
      <c r="E1024" s="42" t="inlineStr">
        <is>
          <t>0128</t>
        </is>
      </c>
      <c r="F1024" s="65" t="inlineStr">
        <is>
          <t>Venda</t>
        </is>
      </c>
      <c r="G1024" s="68" t="n">
        <v>0</v>
      </c>
      <c r="H1024" s="172" t="inlineStr">
        <is>
          <t>Não</t>
        </is>
      </c>
      <c r="I1024" s="47" t="inlineStr">
        <is>
          <t>78989056877140</t>
        </is>
      </c>
    </row>
    <row r="1025">
      <c r="A1025" s="43" t="inlineStr">
        <is>
          <t>000536</t>
        </is>
      </c>
      <c r="B1025" s="44" t="inlineStr">
        <is>
          <t>DOSADOR 5,5X3</t>
        </is>
      </c>
      <c r="C1025" s="45" t="inlineStr">
        <is>
          <t>MC</t>
        </is>
      </c>
      <c r="D1025" s="45" t="inlineStr">
        <is>
          <t>UN</t>
        </is>
      </c>
      <c r="E1025" s="45" t="inlineStr">
        <is>
          <t>0079</t>
        </is>
      </c>
      <c r="F1025" s="70" t="inlineStr">
        <is>
          <t>Compras</t>
        </is>
      </c>
      <c r="G1025" s="66" t="n">
        <v>25.6</v>
      </c>
      <c r="H1025" s="172" t="inlineStr">
        <is>
          <t>Não</t>
        </is>
      </c>
      <c r="I1025" s="50" t="n"/>
    </row>
    <row r="1026">
      <c r="A1026" s="40" t="inlineStr">
        <is>
          <t>001353</t>
        </is>
      </c>
      <c r="B1026" s="41" t="inlineStr">
        <is>
          <t>DOSADOR DUPLO</t>
        </is>
      </c>
      <c r="C1026" s="42" t="inlineStr">
        <is>
          <t>MC</t>
        </is>
      </c>
      <c r="D1026" s="42" t="inlineStr">
        <is>
          <t>UN</t>
        </is>
      </c>
      <c r="E1026" s="42" t="inlineStr">
        <is>
          <t>0079</t>
        </is>
      </c>
      <c r="F1026" s="70" t="inlineStr">
        <is>
          <t>Compras</t>
        </is>
      </c>
      <c r="G1026" s="71" t="n">
        <v>26.8</v>
      </c>
      <c r="H1026" s="172" t="inlineStr">
        <is>
          <t>Não</t>
        </is>
      </c>
      <c r="I1026" s="49" t="n"/>
    </row>
    <row r="1027">
      <c r="A1027" s="43" t="inlineStr">
        <is>
          <t>002060</t>
        </is>
      </c>
      <c r="B1027" s="44" t="inlineStr">
        <is>
          <t>DOSADOR MAQUINA</t>
        </is>
      </c>
      <c r="C1027" s="45" t="inlineStr">
        <is>
          <t>MC</t>
        </is>
      </c>
      <c r="D1027" s="45" t="inlineStr">
        <is>
          <t>UN</t>
        </is>
      </c>
      <c r="E1027" s="45" t="inlineStr">
        <is>
          <t>0074</t>
        </is>
      </c>
      <c r="F1027" s="70" t="inlineStr">
        <is>
          <t>Compras</t>
        </is>
      </c>
      <c r="G1027" s="66" t="n">
        <v>3213</v>
      </c>
      <c r="H1027" s="173" t="inlineStr">
        <is>
          <t>Sim</t>
        </is>
      </c>
      <c r="I1027" s="50" t="n"/>
    </row>
    <row r="1028">
      <c r="A1028" s="40" t="inlineStr">
        <is>
          <t>010163</t>
        </is>
      </c>
      <c r="B1028" s="41" t="inlineStr">
        <is>
          <t>DOUBLE LATA ORIGINAL</t>
        </is>
      </c>
      <c r="C1028" s="42" t="inlineStr">
        <is>
          <t>MR</t>
        </is>
      </c>
      <c r="D1028" s="42" t="inlineStr">
        <is>
          <t>UN</t>
        </is>
      </c>
      <c r="E1028" s="42" t="inlineStr">
        <is>
          <t>0093</t>
        </is>
      </c>
      <c r="F1028" s="65" t="inlineStr">
        <is>
          <t>Venda</t>
        </is>
      </c>
      <c r="G1028" s="68" t="n">
        <v>0</v>
      </c>
      <c r="H1028" s="177" t="inlineStr">
        <is>
          <t>Sim</t>
        </is>
      </c>
      <c r="I1028" s="178" t="n"/>
    </row>
    <row r="1029">
      <c r="A1029" s="43" t="inlineStr">
        <is>
          <t>001642</t>
        </is>
      </c>
      <c r="B1029" s="44" t="inlineStr">
        <is>
          <t>DRINK CARAMELITO</t>
        </is>
      </c>
      <c r="C1029" s="45" t="inlineStr">
        <is>
          <t>MR</t>
        </is>
      </c>
      <c r="D1029" s="45" t="inlineStr">
        <is>
          <t>LT</t>
        </is>
      </c>
      <c r="E1029" s="45" t="inlineStr">
        <is>
          <t>0126</t>
        </is>
      </c>
      <c r="F1029" s="70" t="inlineStr">
        <is>
          <t>Compras</t>
        </is>
      </c>
      <c r="G1029" s="66" t="n">
        <v>21.25</v>
      </c>
      <c r="H1029" s="173" t="inlineStr">
        <is>
          <t>Sim</t>
        </is>
      </c>
      <c r="I1029" s="50" t="n"/>
    </row>
    <row r="1030">
      <c r="A1030" s="40" t="inlineStr">
        <is>
          <t>001639</t>
        </is>
      </c>
      <c r="B1030" s="41" t="inlineStr">
        <is>
          <t>DRINK GINGER ALE</t>
        </is>
      </c>
      <c r="C1030" s="42" t="inlineStr">
        <is>
          <t>MR</t>
        </is>
      </c>
      <c r="D1030" s="42" t="inlineStr">
        <is>
          <t>L</t>
        </is>
      </c>
      <c r="E1030" s="42" t="inlineStr">
        <is>
          <t>0126</t>
        </is>
      </c>
      <c r="F1030" s="70" t="inlineStr">
        <is>
          <t>Compras</t>
        </is>
      </c>
      <c r="G1030" s="71" t="n">
        <v>21.25</v>
      </c>
      <c r="H1030" s="173" t="inlineStr">
        <is>
          <t>Sim</t>
        </is>
      </c>
      <c r="I1030" s="49" t="n"/>
    </row>
    <row r="1031">
      <c r="A1031" s="43" t="inlineStr">
        <is>
          <t>001640</t>
        </is>
      </c>
      <c r="B1031" s="44" t="inlineStr">
        <is>
          <t>DRINK SUNSET</t>
        </is>
      </c>
      <c r="C1031" s="45" t="inlineStr">
        <is>
          <t>MR</t>
        </is>
      </c>
      <c r="D1031" s="45" t="inlineStr">
        <is>
          <t>LT</t>
        </is>
      </c>
      <c r="E1031" s="45" t="inlineStr">
        <is>
          <t>0126</t>
        </is>
      </c>
      <c r="F1031" s="70" t="inlineStr">
        <is>
          <t>Compras</t>
        </is>
      </c>
      <c r="G1031" s="66" t="n">
        <v>21.25</v>
      </c>
      <c r="H1031" s="173" t="inlineStr">
        <is>
          <t>Sim</t>
        </is>
      </c>
      <c r="I1031" s="50" t="n"/>
    </row>
    <row r="1032">
      <c r="A1032" s="40" t="inlineStr">
        <is>
          <t>009882</t>
        </is>
      </c>
      <c r="B1032" s="41" t="inlineStr">
        <is>
          <t>DRIVER PARA REATOR 18/25W 3A</t>
        </is>
      </c>
      <c r="C1032" s="42" t="inlineStr">
        <is>
          <t>MC</t>
        </is>
      </c>
      <c r="D1032" s="42" t="inlineStr">
        <is>
          <t>UN</t>
        </is>
      </c>
      <c r="E1032" s="42" t="inlineStr">
        <is>
          <t>0132</t>
        </is>
      </c>
      <c r="F1032" s="70" t="inlineStr">
        <is>
          <t>Compras</t>
        </is>
      </c>
      <c r="G1032" s="71" t="n">
        <v>9.9</v>
      </c>
      <c r="H1032" s="172" t="inlineStr">
        <is>
          <t>Não</t>
        </is>
      </c>
      <c r="I1032" s="49" t="n"/>
    </row>
    <row r="1033">
      <c r="A1033" s="43" t="inlineStr">
        <is>
          <t>009900</t>
        </is>
      </c>
      <c r="B1033" s="44" t="inlineStr">
        <is>
          <t>DUREPOXI</t>
        </is>
      </c>
      <c r="C1033" s="45" t="inlineStr">
        <is>
          <t>MC</t>
        </is>
      </c>
      <c r="D1033" s="45" t="inlineStr">
        <is>
          <t>UN</t>
        </is>
      </c>
      <c r="E1033" s="45" t="inlineStr">
        <is>
          <t>0132</t>
        </is>
      </c>
      <c r="F1033" s="70" t="inlineStr">
        <is>
          <t>Compras</t>
        </is>
      </c>
      <c r="G1033" s="66" t="n">
        <v>13</v>
      </c>
      <c r="H1033" s="172" t="inlineStr">
        <is>
          <t>Não</t>
        </is>
      </c>
      <c r="I1033" s="50" t="n"/>
    </row>
    <row r="1034">
      <c r="A1034" s="40" t="inlineStr">
        <is>
          <t>009373</t>
        </is>
      </c>
      <c r="B1034" s="41" t="inlineStr">
        <is>
          <t>DUTO COM CHAPEU 50CM</t>
        </is>
      </c>
      <c r="C1034" s="42" t="inlineStr">
        <is>
          <t>MC</t>
        </is>
      </c>
      <c r="D1034" s="42" t="inlineStr">
        <is>
          <t>UN</t>
        </is>
      </c>
      <c r="E1034" s="42" t="inlineStr">
        <is>
          <t>0132</t>
        </is>
      </c>
      <c r="F1034" s="70" t="inlineStr">
        <is>
          <t>Compras</t>
        </is>
      </c>
      <c r="G1034" s="71" t="n">
        <v>450</v>
      </c>
      <c r="H1034" s="172" t="inlineStr">
        <is>
          <t>Não</t>
        </is>
      </c>
      <c r="I1034" s="49" t="n"/>
    </row>
    <row r="1035">
      <c r="A1035" s="43" t="inlineStr">
        <is>
          <t>002016</t>
        </is>
      </c>
      <c r="B1035" s="44" t="inlineStr">
        <is>
          <t>ELABORA  O DE PROGRAMAS DE COM</t>
        </is>
      </c>
      <c r="C1035" s="45" t="inlineStr">
        <is>
          <t>SV</t>
        </is>
      </c>
      <c r="D1035" s="45" t="inlineStr">
        <is>
          <t>UN</t>
        </is>
      </c>
      <c r="E1035" s="45" t="inlineStr">
        <is>
          <t>(VAZ</t>
        </is>
      </c>
      <c r="F1035" s="70" t="inlineStr">
        <is>
          <t>Compras</t>
        </is>
      </c>
      <c r="G1035" s="69" t="n">
        <v>0</v>
      </c>
      <c r="H1035" s="172" t="inlineStr">
        <is>
          <t>Não</t>
        </is>
      </c>
      <c r="I1035" s="50" t="n"/>
    </row>
    <row r="1036">
      <c r="A1036" s="40" t="inlineStr">
        <is>
          <t>009660</t>
        </is>
      </c>
      <c r="B1036" s="41" t="inlineStr">
        <is>
          <t>ELETRODO DE SOLDA</t>
        </is>
      </c>
      <c r="C1036" s="42" t="inlineStr">
        <is>
          <t>MC</t>
        </is>
      </c>
      <c r="D1036" s="42" t="inlineStr">
        <is>
          <t>KG</t>
        </is>
      </c>
      <c r="E1036" s="42" t="inlineStr">
        <is>
          <t>0132</t>
        </is>
      </c>
      <c r="F1036" s="70" t="inlineStr">
        <is>
          <t>Compras</t>
        </is>
      </c>
      <c r="G1036" s="71" t="n">
        <v>39</v>
      </c>
      <c r="H1036" s="172" t="inlineStr">
        <is>
          <t>Não</t>
        </is>
      </c>
      <c r="I1036" s="49" t="n"/>
    </row>
    <row r="1037">
      <c r="A1037" s="43" t="inlineStr">
        <is>
          <t>010146</t>
        </is>
      </c>
      <c r="B1037" s="44" t="inlineStr">
        <is>
          <t>ELETRODUTO FLEXIVEL REVESTIDO 3/4</t>
        </is>
      </c>
      <c r="C1037" s="45" t="inlineStr">
        <is>
          <t>MC</t>
        </is>
      </c>
      <c r="D1037" s="45" t="inlineStr">
        <is>
          <t>UN</t>
        </is>
      </c>
      <c r="E1037" s="45" t="inlineStr">
        <is>
          <t>0132</t>
        </is>
      </c>
      <c r="F1037" s="70" t="inlineStr">
        <is>
          <t>Compras</t>
        </is>
      </c>
      <c r="G1037" s="69" t="n">
        <v>0</v>
      </c>
      <c r="H1037" s="172" t="inlineStr">
        <is>
          <t>Não</t>
        </is>
      </c>
      <c r="I1037" s="50" t="n"/>
    </row>
    <row r="1038">
      <c r="A1038" s="40" t="inlineStr">
        <is>
          <t>001269</t>
        </is>
      </c>
      <c r="B1038" s="41" t="inlineStr">
        <is>
          <t>EMBALAGEM A VACUO 20X40</t>
        </is>
      </c>
      <c r="C1038" s="42" t="inlineStr">
        <is>
          <t>MC</t>
        </is>
      </c>
      <c r="D1038" s="42" t="inlineStr">
        <is>
          <t>UN</t>
        </is>
      </c>
      <c r="E1038" s="42" t="inlineStr">
        <is>
          <t>0070</t>
        </is>
      </c>
      <c r="F1038" s="40" t="n"/>
      <c r="G1038" s="68" t="n">
        <v>0</v>
      </c>
      <c r="H1038" s="173" t="inlineStr">
        <is>
          <t>Sim</t>
        </is>
      </c>
      <c r="I1038" s="49" t="n"/>
    </row>
    <row r="1039">
      <c r="A1039" s="43" t="inlineStr">
        <is>
          <t>001270</t>
        </is>
      </c>
      <c r="B1039" s="44" t="inlineStr">
        <is>
          <t>EMBALAGEM A VACUO 28X40</t>
        </is>
      </c>
      <c r="C1039" s="45" t="inlineStr">
        <is>
          <t>MC</t>
        </is>
      </c>
      <c r="D1039" s="45" t="inlineStr">
        <is>
          <t>UN</t>
        </is>
      </c>
      <c r="E1039" s="45" t="inlineStr">
        <is>
          <t>0070</t>
        </is>
      </c>
      <c r="F1039" s="43" t="n"/>
      <c r="G1039" s="69" t="n">
        <v>0</v>
      </c>
      <c r="H1039" s="173" t="inlineStr">
        <is>
          <t>Sim</t>
        </is>
      </c>
      <c r="I1039" s="50" t="n"/>
    </row>
    <row r="1040">
      <c r="A1040" s="40" t="inlineStr">
        <is>
          <t>001151</t>
        </is>
      </c>
      <c r="B1040" s="41" t="inlineStr">
        <is>
          <t>EMBALAGEM FIBRALATA</t>
        </is>
      </c>
      <c r="C1040" s="42" t="inlineStr">
        <is>
          <t>MC</t>
        </is>
      </c>
      <c r="D1040" s="42" t="inlineStr">
        <is>
          <t>UN</t>
        </is>
      </c>
      <c r="E1040" s="42" t="inlineStr">
        <is>
          <t>0014</t>
        </is>
      </c>
      <c r="F1040" s="70" t="inlineStr">
        <is>
          <t>Compras</t>
        </is>
      </c>
      <c r="G1040" s="71" t="n">
        <v>4.53</v>
      </c>
      <c r="H1040" s="172" t="inlineStr">
        <is>
          <t>Não</t>
        </is>
      </c>
      <c r="I1040" s="49" t="n"/>
    </row>
    <row r="1041">
      <c r="A1041" s="43" t="inlineStr">
        <is>
          <t>000111</t>
        </is>
      </c>
      <c r="B1041" s="44" t="inlineStr">
        <is>
          <t>EMBALAGEM PARA TALHER C/ LOGOT</t>
        </is>
      </c>
      <c r="C1041" s="45" t="inlineStr">
        <is>
          <t>MC</t>
        </is>
      </c>
      <c r="D1041" s="45" t="inlineStr">
        <is>
          <t>PC</t>
        </is>
      </c>
      <c r="E1041" s="45" t="inlineStr">
        <is>
          <t>0075</t>
        </is>
      </c>
      <c r="F1041" s="70" t="inlineStr">
        <is>
          <t>Compras</t>
        </is>
      </c>
      <c r="G1041" s="66" t="n">
        <v>32</v>
      </c>
      <c r="H1041" s="172" t="inlineStr">
        <is>
          <t>Não</t>
        </is>
      </c>
      <c r="I1041" s="50" t="n"/>
    </row>
    <row r="1042">
      <c r="A1042" s="40" t="inlineStr">
        <is>
          <t>009495</t>
        </is>
      </c>
      <c r="B1042" s="41" t="inlineStr">
        <is>
          <t>EMENDA PARA MANGUEIRA 1/2</t>
        </is>
      </c>
      <c r="C1042" s="42" t="inlineStr">
        <is>
          <t>MC</t>
        </is>
      </c>
      <c r="D1042" s="42" t="inlineStr">
        <is>
          <t>UN</t>
        </is>
      </c>
      <c r="E1042" s="42" t="inlineStr">
        <is>
          <t>0132</t>
        </is>
      </c>
      <c r="F1042" s="70" t="inlineStr">
        <is>
          <t>Compras</t>
        </is>
      </c>
      <c r="G1042" s="68" t="n">
        <v>0</v>
      </c>
      <c r="H1042" s="172" t="inlineStr">
        <is>
          <t>Não</t>
        </is>
      </c>
      <c r="I1042" s="49" t="n"/>
    </row>
    <row r="1043">
      <c r="A1043" s="43" t="inlineStr">
        <is>
          <t>009905</t>
        </is>
      </c>
      <c r="B1043" s="44" t="inlineStr">
        <is>
          <t>ENGATE FLEXIVEL 40CM</t>
        </is>
      </c>
      <c r="C1043" s="45" t="inlineStr">
        <is>
          <t>MC</t>
        </is>
      </c>
      <c r="D1043" s="45" t="inlineStr">
        <is>
          <t>UN</t>
        </is>
      </c>
      <c r="E1043" s="45" t="inlineStr">
        <is>
          <t>0132</t>
        </is>
      </c>
      <c r="F1043" s="70" t="inlineStr">
        <is>
          <t>Compras</t>
        </is>
      </c>
      <c r="G1043" s="66" t="n">
        <v>8</v>
      </c>
      <c r="H1043" s="172" t="inlineStr">
        <is>
          <t>Não</t>
        </is>
      </c>
      <c r="I1043" s="50" t="n"/>
    </row>
    <row r="1044">
      <c r="A1044" s="40" t="inlineStr">
        <is>
          <t>010256</t>
        </is>
      </c>
      <c r="B1044" s="41" t="inlineStr">
        <is>
          <t>ENGATE FLEXIVEL 60CM</t>
        </is>
      </c>
      <c r="C1044" s="42" t="inlineStr">
        <is>
          <t>MC</t>
        </is>
      </c>
      <c r="D1044" s="42" t="inlineStr">
        <is>
          <t>UN</t>
        </is>
      </c>
      <c r="E1044" s="42" t="inlineStr">
        <is>
          <t>0132</t>
        </is>
      </c>
      <c r="F1044" s="70" t="inlineStr">
        <is>
          <t>Compras</t>
        </is>
      </c>
      <c r="G1044" s="71" t="n">
        <v>47.9</v>
      </c>
      <c r="H1044" s="172" t="inlineStr">
        <is>
          <t>Não</t>
        </is>
      </c>
      <c r="I1044" s="49" t="n"/>
    </row>
    <row r="1045">
      <c r="A1045" s="43" t="inlineStr">
        <is>
          <t>009494</t>
        </is>
      </c>
      <c r="B1045" s="44" t="inlineStr">
        <is>
          <t>ENGATE RAPIDO PVC</t>
        </is>
      </c>
      <c r="C1045" s="45" t="inlineStr">
        <is>
          <t>MC</t>
        </is>
      </c>
      <c r="D1045" s="45" t="inlineStr">
        <is>
          <t>UN</t>
        </is>
      </c>
      <c r="E1045" s="45" t="inlineStr">
        <is>
          <t>0132</t>
        </is>
      </c>
      <c r="F1045" s="70" t="inlineStr">
        <is>
          <t>Compras</t>
        </is>
      </c>
      <c r="G1045" s="66" t="n">
        <v>6</v>
      </c>
      <c r="H1045" s="172" t="inlineStr">
        <is>
          <t>Não</t>
        </is>
      </c>
      <c r="I1045" s="50" t="n"/>
    </row>
    <row r="1046">
      <c r="A1046" s="40" t="inlineStr">
        <is>
          <t>001644</t>
        </is>
      </c>
      <c r="B1046" s="41" t="inlineStr">
        <is>
          <t>ENGENHARIA, AGRONOMIA, ARQUITE</t>
        </is>
      </c>
      <c r="C1046" s="42" t="inlineStr">
        <is>
          <t>SV</t>
        </is>
      </c>
      <c r="D1046" s="42" t="inlineStr">
        <is>
          <t>UN</t>
        </is>
      </c>
      <c r="E1046" s="42" t="inlineStr">
        <is>
          <t>(VAZ</t>
        </is>
      </c>
      <c r="F1046" s="70" t="inlineStr">
        <is>
          <t>Compras</t>
        </is>
      </c>
      <c r="G1046" s="68" t="n">
        <v>0</v>
      </c>
      <c r="H1046" s="172" t="inlineStr">
        <is>
          <t>Não</t>
        </is>
      </c>
      <c r="I1046" s="49" t="n"/>
    </row>
    <row r="1047">
      <c r="A1047" s="43" t="inlineStr">
        <is>
          <t>001969</t>
        </is>
      </c>
      <c r="B1047" s="44" t="inlineStr">
        <is>
          <t>ENTRADA</t>
        </is>
      </c>
      <c r="C1047" s="45" t="inlineStr">
        <is>
          <t>MR</t>
        </is>
      </c>
      <c r="D1047" s="45" t="inlineStr">
        <is>
          <t>UN</t>
        </is>
      </c>
      <c r="E1047" s="45" t="inlineStr">
        <is>
          <t>0128</t>
        </is>
      </c>
      <c r="F1047" s="65" t="inlineStr">
        <is>
          <t>Venda</t>
        </is>
      </c>
      <c r="G1047" s="69" t="n">
        <v>0</v>
      </c>
      <c r="H1047" s="173" t="inlineStr">
        <is>
          <t>Sim</t>
        </is>
      </c>
      <c r="I1047" s="48" t="inlineStr">
        <is>
          <t>78989056877126</t>
        </is>
      </c>
    </row>
    <row r="1048">
      <c r="A1048" s="40" t="inlineStr">
        <is>
          <t>001970</t>
        </is>
      </c>
      <c r="B1048" s="41" t="inlineStr">
        <is>
          <t>ENTRADA</t>
        </is>
      </c>
      <c r="C1048" s="42" t="inlineStr">
        <is>
          <t>MR</t>
        </is>
      </c>
      <c r="D1048" s="42" t="inlineStr">
        <is>
          <t>UN</t>
        </is>
      </c>
      <c r="E1048" s="42" t="inlineStr">
        <is>
          <t>0128</t>
        </is>
      </c>
      <c r="F1048" s="65" t="inlineStr">
        <is>
          <t>Venda</t>
        </is>
      </c>
      <c r="G1048" s="68" t="n">
        <v>0</v>
      </c>
      <c r="H1048" s="173" t="inlineStr">
        <is>
          <t>Sim</t>
        </is>
      </c>
      <c r="I1048" s="47" t="inlineStr">
        <is>
          <t>78989056877163</t>
        </is>
      </c>
    </row>
    <row r="1049">
      <c r="A1049" s="43" t="inlineStr">
        <is>
          <t>002126</t>
        </is>
      </c>
      <c r="B1049" s="44" t="inlineStr">
        <is>
          <t>ENTRADA</t>
        </is>
      </c>
      <c r="C1049" s="45" t="inlineStr">
        <is>
          <t>OI</t>
        </is>
      </c>
      <c r="D1049" s="45" t="inlineStr">
        <is>
          <t>UN</t>
        </is>
      </c>
      <c r="E1049" s="45" t="inlineStr">
        <is>
          <t>0128</t>
        </is>
      </c>
      <c r="F1049" s="65" t="inlineStr">
        <is>
          <t>Venda</t>
        </is>
      </c>
      <c r="G1049" s="69" t="n">
        <v>0</v>
      </c>
      <c r="H1049" s="172" t="inlineStr">
        <is>
          <t>Não</t>
        </is>
      </c>
      <c r="I1049" s="48" t="inlineStr">
        <is>
          <t>9003587</t>
        </is>
      </c>
    </row>
    <row r="1050">
      <c r="A1050" s="40" t="inlineStr">
        <is>
          <t>009518</t>
        </is>
      </c>
      <c r="B1050" s="41" t="inlineStr">
        <is>
          <t>ENTRADA</t>
        </is>
      </c>
      <c r="C1050" s="42" t="inlineStr">
        <is>
          <t>OI</t>
        </is>
      </c>
      <c r="D1050" s="42" t="inlineStr">
        <is>
          <t>UN</t>
        </is>
      </c>
      <c r="E1050" s="42" t="inlineStr">
        <is>
          <t>0128</t>
        </is>
      </c>
      <c r="F1050" s="65" t="inlineStr">
        <is>
          <t>Venda</t>
        </is>
      </c>
      <c r="G1050" s="68" t="n">
        <v>0</v>
      </c>
      <c r="H1050" s="172" t="inlineStr">
        <is>
          <t>Não</t>
        </is>
      </c>
      <c r="I1050" s="47" t="inlineStr">
        <is>
          <t>78989056877175</t>
        </is>
      </c>
    </row>
    <row r="1051">
      <c r="A1051" s="43" t="inlineStr">
        <is>
          <t>000034</t>
        </is>
      </c>
      <c r="B1051" s="44" t="inlineStr">
        <is>
          <t>ENTRADA ANIVERSARIO</t>
        </is>
      </c>
      <c r="C1051" s="45" t="inlineStr">
        <is>
          <t>OI</t>
        </is>
      </c>
      <c r="D1051" s="45" t="inlineStr">
        <is>
          <t>UN</t>
        </is>
      </c>
      <c r="E1051" s="45" t="inlineStr">
        <is>
          <t>0128</t>
        </is>
      </c>
      <c r="F1051" s="65" t="inlineStr">
        <is>
          <t>Venda</t>
        </is>
      </c>
      <c r="G1051" s="69" t="n">
        <v>0</v>
      </c>
      <c r="H1051" s="172" t="inlineStr">
        <is>
          <t>Não</t>
        </is>
      </c>
      <c r="I1051" s="48" t="inlineStr">
        <is>
          <t>7898905687158</t>
        </is>
      </c>
    </row>
    <row r="1052">
      <c r="A1052" s="40" t="inlineStr">
        <is>
          <t>000838</t>
        </is>
      </c>
      <c r="B1052" s="41" t="inlineStr">
        <is>
          <t>ENTRADA ANIVERSARIO</t>
        </is>
      </c>
      <c r="C1052" s="42" t="inlineStr">
        <is>
          <t>OI</t>
        </is>
      </c>
      <c r="D1052" s="42" t="inlineStr">
        <is>
          <t>UN</t>
        </is>
      </c>
      <c r="E1052" s="42" t="inlineStr">
        <is>
          <t>0128</t>
        </is>
      </c>
      <c r="F1052" s="65" t="inlineStr">
        <is>
          <t>Venda</t>
        </is>
      </c>
      <c r="G1052" s="68" t="n">
        <v>0</v>
      </c>
      <c r="H1052" s="177" t="inlineStr">
        <is>
          <t>Sim</t>
        </is>
      </c>
      <c r="I1052" s="178" t="n"/>
    </row>
    <row r="1053">
      <c r="A1053" s="43" t="inlineStr">
        <is>
          <t>000857</t>
        </is>
      </c>
      <c r="B1053" s="44" t="inlineStr">
        <is>
          <t>ENTRADA ANIVERSARIO</t>
        </is>
      </c>
      <c r="C1053" s="45" t="inlineStr">
        <is>
          <t>OI</t>
        </is>
      </c>
      <c r="D1053" s="45" t="inlineStr">
        <is>
          <t>UN</t>
        </is>
      </c>
      <c r="E1053" s="45" t="inlineStr">
        <is>
          <t>0128</t>
        </is>
      </c>
      <c r="F1053" s="65" t="inlineStr">
        <is>
          <t>Venda</t>
        </is>
      </c>
      <c r="G1053" s="69" t="n">
        <v>0</v>
      </c>
      <c r="H1053" s="172" t="inlineStr">
        <is>
          <t>Não</t>
        </is>
      </c>
      <c r="I1053" s="48" t="inlineStr">
        <is>
          <t>511045</t>
        </is>
      </c>
    </row>
    <row r="1054">
      <c r="A1054" s="40" t="inlineStr">
        <is>
          <t>000867</t>
        </is>
      </c>
      <c r="B1054" s="41" t="inlineStr">
        <is>
          <t>ENTRADA ANIVERSARIO</t>
        </is>
      </c>
      <c r="C1054" s="42" t="inlineStr">
        <is>
          <t>OI</t>
        </is>
      </c>
      <c r="D1054" s="42" t="inlineStr">
        <is>
          <t>UN</t>
        </is>
      </c>
      <c r="E1054" s="42" t="inlineStr">
        <is>
          <t>0128</t>
        </is>
      </c>
      <c r="F1054" s="65" t="inlineStr">
        <is>
          <t>Venda</t>
        </is>
      </c>
      <c r="G1054" s="68" t="n">
        <v>0</v>
      </c>
      <c r="H1054" s="172" t="inlineStr">
        <is>
          <t>Não</t>
        </is>
      </c>
      <c r="I1054" s="47" t="inlineStr">
        <is>
          <t>511081</t>
        </is>
      </c>
    </row>
    <row r="1055">
      <c r="A1055" s="43" t="inlineStr">
        <is>
          <t>001148</t>
        </is>
      </c>
      <c r="B1055" s="44" t="inlineStr">
        <is>
          <t>ENTRADA ANIVERSARIO</t>
        </is>
      </c>
      <c r="C1055" s="45" t="inlineStr">
        <is>
          <t>OI</t>
        </is>
      </c>
      <c r="D1055" s="45" t="inlineStr">
        <is>
          <t>UN</t>
        </is>
      </c>
      <c r="E1055" s="45" t="inlineStr">
        <is>
          <t>0128</t>
        </is>
      </c>
      <c r="F1055" s="65" t="inlineStr">
        <is>
          <t>Venda</t>
        </is>
      </c>
      <c r="G1055" s="69" t="n">
        <v>0</v>
      </c>
      <c r="H1055" s="172" t="inlineStr">
        <is>
          <t>Não</t>
        </is>
      </c>
      <c r="I1055" s="48" t="inlineStr">
        <is>
          <t>9003393</t>
        </is>
      </c>
    </row>
    <row r="1056">
      <c r="A1056" s="40" t="inlineStr">
        <is>
          <t>001271</t>
        </is>
      </c>
      <c r="B1056" s="41" t="inlineStr">
        <is>
          <t>ENTRADA ANIVERSARIO</t>
        </is>
      </c>
      <c r="C1056" s="42" t="inlineStr">
        <is>
          <t>OI</t>
        </is>
      </c>
      <c r="D1056" s="42" t="inlineStr">
        <is>
          <t>UN</t>
        </is>
      </c>
      <c r="E1056" s="42" t="inlineStr">
        <is>
          <t>0128</t>
        </is>
      </c>
      <c r="F1056" s="65" t="inlineStr">
        <is>
          <t>Venda</t>
        </is>
      </c>
      <c r="G1056" s="68" t="n">
        <v>0</v>
      </c>
      <c r="H1056" s="172" t="inlineStr">
        <is>
          <t>Não</t>
        </is>
      </c>
      <c r="I1056" s="47" t="inlineStr">
        <is>
          <t>1206</t>
        </is>
      </c>
    </row>
    <row r="1057">
      <c r="A1057" s="43" t="inlineStr">
        <is>
          <t>001274</t>
        </is>
      </c>
      <c r="B1057" s="44" t="inlineStr">
        <is>
          <t>ENTRADA ANIVERSARIO</t>
        </is>
      </c>
      <c r="C1057" s="45" t="inlineStr">
        <is>
          <t>OI</t>
        </is>
      </c>
      <c r="D1057" s="45" t="inlineStr">
        <is>
          <t>UN</t>
        </is>
      </c>
      <c r="E1057" s="45" t="inlineStr">
        <is>
          <t>0128</t>
        </is>
      </c>
      <c r="F1057" s="65" t="inlineStr">
        <is>
          <t>Venda</t>
        </is>
      </c>
      <c r="G1057" s="69" t="n">
        <v>0</v>
      </c>
      <c r="H1057" s="172" t="inlineStr">
        <is>
          <t>Não</t>
        </is>
      </c>
      <c r="I1057" s="48" t="inlineStr">
        <is>
          <t>27005</t>
        </is>
      </c>
    </row>
    <row r="1058">
      <c r="A1058" s="40" t="inlineStr">
        <is>
          <t>001275</t>
        </is>
      </c>
      <c r="B1058" s="41" t="inlineStr">
        <is>
          <t>ENTRADA ANIVERSARIO</t>
        </is>
      </c>
      <c r="C1058" s="42" t="inlineStr">
        <is>
          <t>OI</t>
        </is>
      </c>
      <c r="D1058" s="42" t="inlineStr">
        <is>
          <t>UN</t>
        </is>
      </c>
      <c r="E1058" s="42" t="inlineStr">
        <is>
          <t>0128</t>
        </is>
      </c>
      <c r="F1058" s="65" t="inlineStr">
        <is>
          <t>Venda</t>
        </is>
      </c>
      <c r="G1058" s="68" t="n">
        <v>0</v>
      </c>
      <c r="H1058" s="172" t="inlineStr">
        <is>
          <t>Não</t>
        </is>
      </c>
      <c r="I1058" s="47" t="inlineStr">
        <is>
          <t>33670</t>
        </is>
      </c>
    </row>
    <row r="1059">
      <c r="A1059" s="43" t="inlineStr">
        <is>
          <t>001276</t>
        </is>
      </c>
      <c r="B1059" s="44" t="inlineStr">
        <is>
          <t>ENTRADA ANIVERSARIO</t>
        </is>
      </c>
      <c r="C1059" s="45" t="inlineStr">
        <is>
          <t>OI</t>
        </is>
      </c>
      <c r="D1059" s="45" t="inlineStr">
        <is>
          <t>UN</t>
        </is>
      </c>
      <c r="E1059" s="45" t="inlineStr">
        <is>
          <t>0128</t>
        </is>
      </c>
      <c r="F1059" s="65" t="inlineStr">
        <is>
          <t>Venda</t>
        </is>
      </c>
      <c r="G1059" s="69" t="n">
        <v>0</v>
      </c>
      <c r="H1059" s="172" t="inlineStr">
        <is>
          <t>Não</t>
        </is>
      </c>
      <c r="I1059" s="48" t="inlineStr">
        <is>
          <t>44658</t>
        </is>
      </c>
    </row>
    <row r="1060">
      <c r="A1060" s="40" t="inlineStr">
        <is>
          <t>001277</t>
        </is>
      </c>
      <c r="B1060" s="41" t="inlineStr">
        <is>
          <t>ENTRADA ANIVERSARIO</t>
        </is>
      </c>
      <c r="C1060" s="42" t="inlineStr">
        <is>
          <t>OI</t>
        </is>
      </c>
      <c r="D1060" s="42" t="inlineStr">
        <is>
          <t>UN</t>
        </is>
      </c>
      <c r="E1060" s="42" t="inlineStr">
        <is>
          <t>0128</t>
        </is>
      </c>
      <c r="F1060" s="65" t="inlineStr">
        <is>
          <t>Venda</t>
        </is>
      </c>
      <c r="G1060" s="68" t="n">
        <v>0</v>
      </c>
      <c r="H1060" s="172" t="inlineStr">
        <is>
          <t>Não</t>
        </is>
      </c>
      <c r="I1060" s="47" t="inlineStr">
        <is>
          <t>46078</t>
        </is>
      </c>
    </row>
    <row r="1061">
      <c r="A1061" s="43" t="inlineStr">
        <is>
          <t>001279</t>
        </is>
      </c>
      <c r="B1061" s="44" t="inlineStr">
        <is>
          <t>ENTRADA ANIVERSARIO</t>
        </is>
      </c>
      <c r="C1061" s="45" t="inlineStr">
        <is>
          <t>OI</t>
        </is>
      </c>
      <c r="D1061" s="45" t="inlineStr">
        <is>
          <t>UN</t>
        </is>
      </c>
      <c r="E1061" s="45" t="inlineStr">
        <is>
          <t>0128</t>
        </is>
      </c>
      <c r="F1061" s="65" t="inlineStr">
        <is>
          <t>Venda</t>
        </is>
      </c>
      <c r="G1061" s="69" t="n">
        <v>0</v>
      </c>
      <c r="H1061" s="172" t="inlineStr">
        <is>
          <t>Não</t>
        </is>
      </c>
      <c r="I1061" s="48" t="inlineStr">
        <is>
          <t>63376</t>
        </is>
      </c>
    </row>
    <row r="1062">
      <c r="A1062" s="40" t="inlineStr">
        <is>
          <t>010288</t>
        </is>
      </c>
      <c r="B1062" s="41" t="inlineStr">
        <is>
          <t>ENTRADA ANIVERSARIO</t>
        </is>
      </c>
      <c r="C1062" s="42" t="inlineStr">
        <is>
          <t>OI</t>
        </is>
      </c>
      <c r="D1062" s="42" t="inlineStr">
        <is>
          <t>UN</t>
        </is>
      </c>
      <c r="E1062" s="42" t="inlineStr">
        <is>
          <t>0128</t>
        </is>
      </c>
      <c r="F1062" s="65" t="inlineStr">
        <is>
          <t>Venda</t>
        </is>
      </c>
      <c r="G1062" s="68" t="n">
        <v>0</v>
      </c>
      <c r="H1062" s="172" t="inlineStr">
        <is>
          <t>Não</t>
        </is>
      </c>
      <c r="I1062" s="47" t="inlineStr">
        <is>
          <t>78989056877172</t>
        </is>
      </c>
    </row>
    <row r="1063">
      <c r="A1063" s="43" t="inlineStr">
        <is>
          <t>001796</t>
        </is>
      </c>
      <c r="B1063" s="44" t="inlineStr">
        <is>
          <t>ENTRADA BBJ CAMAROTE</t>
        </is>
      </c>
      <c r="C1063" s="45" t="inlineStr">
        <is>
          <t>MR</t>
        </is>
      </c>
      <c r="D1063" s="45" t="inlineStr">
        <is>
          <t>UN</t>
        </is>
      </c>
      <c r="E1063" s="45" t="inlineStr">
        <is>
          <t>0128</t>
        </is>
      </c>
      <c r="F1063" s="65" t="inlineStr">
        <is>
          <t>Venda</t>
        </is>
      </c>
      <c r="G1063" s="69" t="n">
        <v>0</v>
      </c>
      <c r="H1063" s="173" t="inlineStr">
        <is>
          <t>Sim</t>
        </is>
      </c>
      <c r="I1063" s="48" t="inlineStr">
        <is>
          <t>78989056877125</t>
        </is>
      </c>
    </row>
    <row r="1064">
      <c r="A1064" s="40" t="inlineStr">
        <is>
          <t>010083</t>
        </is>
      </c>
      <c r="B1064" s="41" t="inlineStr">
        <is>
          <t>ENTRADA BBJ CAMAROTE</t>
        </is>
      </c>
      <c r="C1064" s="42" t="inlineStr">
        <is>
          <t>MR</t>
        </is>
      </c>
      <c r="D1064" s="42" t="inlineStr">
        <is>
          <t>UN</t>
        </is>
      </c>
      <c r="E1064" s="42" t="inlineStr">
        <is>
          <t>0128</t>
        </is>
      </c>
      <c r="F1064" s="65" t="inlineStr">
        <is>
          <t>Venda</t>
        </is>
      </c>
      <c r="G1064" s="68" t="n">
        <v>0</v>
      </c>
      <c r="H1064" s="172" t="inlineStr">
        <is>
          <t>Não</t>
        </is>
      </c>
      <c r="I1064" s="47" t="inlineStr">
        <is>
          <t>78989056877125</t>
        </is>
      </c>
    </row>
    <row r="1065">
      <c r="A1065" s="43" t="inlineStr">
        <is>
          <t>001929</t>
        </is>
      </c>
      <c r="B1065" s="44" t="inlineStr">
        <is>
          <t>ENTRADA CAMAROTE PORTE</t>
        </is>
      </c>
      <c r="C1065" s="45" t="inlineStr">
        <is>
          <t>OI</t>
        </is>
      </c>
      <c r="D1065" s="45" t="inlineStr">
        <is>
          <t>UN</t>
        </is>
      </c>
      <c r="E1065" s="45" t="inlineStr">
        <is>
          <t>0128</t>
        </is>
      </c>
      <c r="F1065" s="65" t="inlineStr">
        <is>
          <t>Venda</t>
        </is>
      </c>
      <c r="G1065" s="69" t="n">
        <v>0</v>
      </c>
      <c r="H1065" s="172" t="inlineStr">
        <is>
          <t>Não</t>
        </is>
      </c>
      <c r="I1065" s="48" t="inlineStr">
        <is>
          <t>78989056877163</t>
        </is>
      </c>
    </row>
    <row r="1066">
      <c r="A1066" s="40" t="inlineStr">
        <is>
          <t>001789</t>
        </is>
      </c>
      <c r="B1066" s="41" t="inlineStr">
        <is>
          <t>ENTRADA CRIANCA</t>
        </is>
      </c>
      <c r="C1066" s="42" t="inlineStr">
        <is>
          <t>MR</t>
        </is>
      </c>
      <c r="D1066" s="42" t="inlineStr">
        <is>
          <t>UN</t>
        </is>
      </c>
      <c r="E1066" s="42" t="inlineStr">
        <is>
          <t>0128</t>
        </is>
      </c>
      <c r="F1066" s="65" t="inlineStr">
        <is>
          <t>Venda</t>
        </is>
      </c>
      <c r="G1066" s="68" t="n">
        <v>0</v>
      </c>
      <c r="H1066" s="173" t="inlineStr">
        <is>
          <t>Sim</t>
        </is>
      </c>
      <c r="I1066" s="47" t="inlineStr">
        <is>
          <t>78989056877161</t>
        </is>
      </c>
    </row>
    <row r="1067">
      <c r="A1067" s="43" t="inlineStr">
        <is>
          <t>001795</t>
        </is>
      </c>
      <c r="B1067" s="44" t="inlineStr">
        <is>
          <t>ENTRADA CRIANCA</t>
        </is>
      </c>
      <c r="C1067" s="45" t="inlineStr">
        <is>
          <t>MR</t>
        </is>
      </c>
      <c r="D1067" s="45" t="inlineStr">
        <is>
          <t>UN</t>
        </is>
      </c>
      <c r="E1067" s="45" t="inlineStr">
        <is>
          <t>0128</t>
        </is>
      </c>
      <c r="F1067" s="65" t="inlineStr">
        <is>
          <t>Venda</t>
        </is>
      </c>
      <c r="G1067" s="69" t="n">
        <v>0</v>
      </c>
      <c r="H1067" s="173" t="inlineStr">
        <is>
          <t>Sim</t>
        </is>
      </c>
      <c r="I1067" s="48" t="inlineStr">
        <is>
          <t>78989056877161</t>
        </is>
      </c>
    </row>
    <row r="1068">
      <c r="A1068" s="40" t="inlineStr">
        <is>
          <t>001787</t>
        </is>
      </c>
      <c r="B1068" s="41" t="inlineStr">
        <is>
          <t>ENTRADA DE SABADO</t>
        </is>
      </c>
      <c r="C1068" s="42" t="inlineStr">
        <is>
          <t>MR</t>
        </is>
      </c>
      <c r="D1068" s="42" t="inlineStr">
        <is>
          <t>UN</t>
        </is>
      </c>
      <c r="E1068" s="42" t="inlineStr">
        <is>
          <t>0128</t>
        </is>
      </c>
      <c r="F1068" s="65" t="inlineStr">
        <is>
          <t>Venda</t>
        </is>
      </c>
      <c r="G1068" s="68" t="n">
        <v>0</v>
      </c>
      <c r="H1068" s="173" t="inlineStr">
        <is>
          <t>Sim</t>
        </is>
      </c>
      <c r="I1068" s="47" t="inlineStr">
        <is>
          <t>78989056877165</t>
        </is>
      </c>
    </row>
    <row r="1069">
      <c r="A1069" s="43" t="inlineStr">
        <is>
          <t>000837</t>
        </is>
      </c>
      <c r="B1069" s="44" t="inlineStr">
        <is>
          <t>ENTRADA DOMINGO</t>
        </is>
      </c>
      <c r="C1069" s="45" t="inlineStr">
        <is>
          <t>MR</t>
        </is>
      </c>
      <c r="D1069" s="45" t="inlineStr">
        <is>
          <t>UN</t>
        </is>
      </c>
      <c r="E1069" s="45" t="inlineStr">
        <is>
          <t>0128</t>
        </is>
      </c>
      <c r="F1069" s="65" t="inlineStr">
        <is>
          <t>Venda</t>
        </is>
      </c>
      <c r="G1069" s="69" t="n">
        <v>0</v>
      </c>
      <c r="H1069" s="173" t="inlineStr">
        <is>
          <t>Sim</t>
        </is>
      </c>
      <c r="I1069" s="48" t="inlineStr">
        <is>
          <t>7898905687170</t>
        </is>
      </c>
    </row>
    <row r="1070">
      <c r="A1070" s="40" t="inlineStr">
        <is>
          <t>000909</t>
        </is>
      </c>
      <c r="B1070" s="41" t="inlineStr">
        <is>
          <t>ENTRADA DOMINGO</t>
        </is>
      </c>
      <c r="C1070" s="42" t="inlineStr">
        <is>
          <t>MR</t>
        </is>
      </c>
      <c r="D1070" s="42" t="inlineStr">
        <is>
          <t>UN</t>
        </is>
      </c>
      <c r="E1070" s="42" t="inlineStr">
        <is>
          <t>0128</t>
        </is>
      </c>
      <c r="F1070" s="65" t="inlineStr">
        <is>
          <t>Venda</t>
        </is>
      </c>
      <c r="G1070" s="68" t="n">
        <v>0</v>
      </c>
      <c r="H1070" s="173" t="inlineStr">
        <is>
          <t>Sim</t>
        </is>
      </c>
      <c r="I1070" s="47" t="inlineStr">
        <is>
          <t>800065</t>
        </is>
      </c>
    </row>
    <row r="1071">
      <c r="A1071" s="43" t="inlineStr">
        <is>
          <t>001109</t>
        </is>
      </c>
      <c r="B1071" s="44" t="inlineStr">
        <is>
          <t>ENTRADA DOMINGO</t>
        </is>
      </c>
      <c r="C1071" s="45" t="inlineStr">
        <is>
          <t>MR</t>
        </is>
      </c>
      <c r="D1071" s="45" t="inlineStr">
        <is>
          <t>UN</t>
        </is>
      </c>
      <c r="E1071" s="45" t="inlineStr">
        <is>
          <t>0128</t>
        </is>
      </c>
      <c r="F1071" s="65" t="inlineStr">
        <is>
          <t>Venda</t>
        </is>
      </c>
      <c r="G1071" s="69" t="n">
        <v>0</v>
      </c>
      <c r="H1071" s="177" t="inlineStr">
        <is>
          <t>Sim</t>
        </is>
      </c>
      <c r="I1071" s="178" t="n"/>
    </row>
    <row r="1072">
      <c r="A1072" s="40" t="inlineStr">
        <is>
          <t>001221</t>
        </is>
      </c>
      <c r="B1072" s="41" t="inlineStr">
        <is>
          <t>ENTRADA DOMINGO</t>
        </is>
      </c>
      <c r="C1072" s="42" t="inlineStr">
        <is>
          <t>MR</t>
        </is>
      </c>
      <c r="D1072" s="42" t="inlineStr">
        <is>
          <t>UN</t>
        </is>
      </c>
      <c r="E1072" s="42" t="inlineStr">
        <is>
          <t>0128</t>
        </is>
      </c>
      <c r="F1072" s="65" t="inlineStr">
        <is>
          <t>Venda</t>
        </is>
      </c>
      <c r="G1072" s="71" t="n">
        <v>296</v>
      </c>
      <c r="H1072" s="173" t="inlineStr">
        <is>
          <t>Sim</t>
        </is>
      </c>
      <c r="I1072" s="47" t="inlineStr">
        <is>
          <t>40006</t>
        </is>
      </c>
    </row>
    <row r="1073">
      <c r="A1073" s="43" t="inlineStr">
        <is>
          <t>001226</t>
        </is>
      </c>
      <c r="B1073" s="44" t="inlineStr">
        <is>
          <t>ENTRADA DOMINGO</t>
        </is>
      </c>
      <c r="C1073" s="45" t="inlineStr">
        <is>
          <t>MR</t>
        </is>
      </c>
      <c r="D1073" s="45" t="inlineStr">
        <is>
          <t>UN</t>
        </is>
      </c>
      <c r="E1073" s="45" t="inlineStr">
        <is>
          <t>0128</t>
        </is>
      </c>
      <c r="F1073" s="65" t="inlineStr">
        <is>
          <t>Venda</t>
        </is>
      </c>
      <c r="G1073" s="69" t="n">
        <v>0</v>
      </c>
      <c r="H1073" s="173" t="inlineStr">
        <is>
          <t>Sim</t>
        </is>
      </c>
      <c r="I1073" s="48" t="inlineStr">
        <is>
          <t>9003573</t>
        </is>
      </c>
    </row>
    <row r="1074">
      <c r="A1074" s="40" t="inlineStr">
        <is>
          <t>001494</t>
        </is>
      </c>
      <c r="B1074" s="41" t="inlineStr">
        <is>
          <t>ENTRADA DOMINGO</t>
        </is>
      </c>
      <c r="C1074" s="42" t="inlineStr">
        <is>
          <t>MR</t>
        </is>
      </c>
      <c r="D1074" s="42" t="inlineStr">
        <is>
          <t>UN</t>
        </is>
      </c>
      <c r="E1074" s="42" t="inlineStr">
        <is>
          <t>0128</t>
        </is>
      </c>
      <c r="F1074" s="65" t="inlineStr">
        <is>
          <t>Venda</t>
        </is>
      </c>
      <c r="G1074" s="68" t="n">
        <v>0</v>
      </c>
      <c r="H1074" s="173" t="inlineStr">
        <is>
          <t>Sim</t>
        </is>
      </c>
      <c r="I1074" s="47" t="inlineStr">
        <is>
          <t>5644</t>
        </is>
      </c>
    </row>
    <row r="1075">
      <c r="A1075" s="43" t="inlineStr">
        <is>
          <t>002050</t>
        </is>
      </c>
      <c r="B1075" s="44" t="inlineStr">
        <is>
          <t>ENTRADA DOMINGO</t>
        </is>
      </c>
      <c r="C1075" s="45" t="inlineStr">
        <is>
          <t>MR</t>
        </is>
      </c>
      <c r="D1075" s="45" t="inlineStr">
        <is>
          <t>UN</t>
        </is>
      </c>
      <c r="E1075" s="45" t="inlineStr">
        <is>
          <t>0128</t>
        </is>
      </c>
      <c r="F1075" s="65" t="inlineStr">
        <is>
          <t>Venda</t>
        </is>
      </c>
      <c r="G1075" s="69" t="n">
        <v>0</v>
      </c>
      <c r="H1075" s="173" t="inlineStr">
        <is>
          <t>Sim</t>
        </is>
      </c>
      <c r="I1075" s="48" t="inlineStr">
        <is>
          <t>78989056877136</t>
        </is>
      </c>
    </row>
    <row r="1076">
      <c r="A1076" s="40" t="inlineStr">
        <is>
          <t>009951</t>
        </is>
      </c>
      <c r="B1076" s="41" t="inlineStr">
        <is>
          <t>ENTRADA DOMINGO</t>
        </is>
      </c>
      <c r="C1076" s="42" t="inlineStr">
        <is>
          <t>OI</t>
        </is>
      </c>
      <c r="D1076" s="42" t="inlineStr">
        <is>
          <t>UN</t>
        </is>
      </c>
      <c r="E1076" s="42" t="inlineStr">
        <is>
          <t>0128</t>
        </is>
      </c>
      <c r="F1076" s="65" t="inlineStr">
        <is>
          <t>Venda</t>
        </is>
      </c>
      <c r="G1076" s="68" t="n">
        <v>0</v>
      </c>
      <c r="H1076" s="172" t="inlineStr">
        <is>
          <t>Não</t>
        </is>
      </c>
      <c r="I1076" s="47" t="inlineStr">
        <is>
          <t>511041</t>
        </is>
      </c>
    </row>
    <row r="1077">
      <c r="A1077" s="43" t="inlineStr">
        <is>
          <t>009996</t>
        </is>
      </c>
      <c r="B1077" s="44" t="inlineStr">
        <is>
          <t>ENTRADA DOMINGO</t>
        </is>
      </c>
      <c r="C1077" s="45" t="inlineStr">
        <is>
          <t>OI</t>
        </is>
      </c>
      <c r="D1077" s="45" t="inlineStr">
        <is>
          <t>UN</t>
        </is>
      </c>
      <c r="E1077" s="45" t="inlineStr">
        <is>
          <t>0128</t>
        </is>
      </c>
      <c r="F1077" s="65" t="inlineStr">
        <is>
          <t>Venda</t>
        </is>
      </c>
      <c r="G1077" s="69" t="n">
        <v>0</v>
      </c>
      <c r="H1077" s="172" t="inlineStr">
        <is>
          <t>Não</t>
        </is>
      </c>
      <c r="I1077" s="48" t="inlineStr">
        <is>
          <t>5644</t>
        </is>
      </c>
    </row>
    <row r="1078">
      <c r="A1078" s="40" t="inlineStr">
        <is>
          <t>010034</t>
        </is>
      </c>
      <c r="B1078" s="41" t="inlineStr">
        <is>
          <t>ENTRADA DOMINGO</t>
        </is>
      </c>
      <c r="C1078" s="42" t="inlineStr">
        <is>
          <t>OI</t>
        </is>
      </c>
      <c r="D1078" s="42" t="inlineStr">
        <is>
          <t>UN</t>
        </is>
      </c>
      <c r="E1078" s="42" t="inlineStr">
        <is>
          <t>0128</t>
        </is>
      </c>
      <c r="F1078" s="65" t="inlineStr">
        <is>
          <t>Venda</t>
        </is>
      </c>
      <c r="G1078" s="68" t="n">
        <v>0</v>
      </c>
      <c r="H1078" s="172" t="inlineStr">
        <is>
          <t>Não</t>
        </is>
      </c>
      <c r="I1078" s="47" t="inlineStr">
        <is>
          <t>800065</t>
        </is>
      </c>
    </row>
    <row r="1079">
      <c r="A1079" s="43" t="inlineStr">
        <is>
          <t>010050</t>
        </is>
      </c>
      <c r="B1079" s="44" t="inlineStr">
        <is>
          <t>ENTRADA DOMINGO</t>
        </is>
      </c>
      <c r="C1079" s="45" t="inlineStr">
        <is>
          <t>MR</t>
        </is>
      </c>
      <c r="D1079" s="45" t="inlineStr">
        <is>
          <t>UN</t>
        </is>
      </c>
      <c r="E1079" s="45" t="inlineStr">
        <is>
          <t>0128</t>
        </is>
      </c>
      <c r="F1079" s="65" t="inlineStr">
        <is>
          <t>Venda</t>
        </is>
      </c>
      <c r="G1079" s="69" t="n">
        <v>0</v>
      </c>
      <c r="H1079" s="172" t="inlineStr">
        <is>
          <t>Não</t>
        </is>
      </c>
      <c r="I1079" s="48" t="inlineStr">
        <is>
          <t>1010109</t>
        </is>
      </c>
    </row>
    <row r="1080">
      <c r="A1080" s="40" t="inlineStr">
        <is>
          <t>010065</t>
        </is>
      </c>
      <c r="B1080" s="41" t="inlineStr">
        <is>
          <t>ENTRADA DOMINGO</t>
        </is>
      </c>
      <c r="C1080" s="42" t="inlineStr">
        <is>
          <t>MR</t>
        </is>
      </c>
      <c r="D1080" s="42" t="inlineStr">
        <is>
          <t>UN</t>
        </is>
      </c>
      <c r="E1080" s="42" t="inlineStr">
        <is>
          <t>0128</t>
        </is>
      </c>
      <c r="F1080" s="65" t="inlineStr">
        <is>
          <t>Venda</t>
        </is>
      </c>
      <c r="G1080" s="68" t="n">
        <v>0</v>
      </c>
      <c r="H1080" s="172" t="inlineStr">
        <is>
          <t>Não</t>
        </is>
      </c>
      <c r="I1080" s="47" t="inlineStr">
        <is>
          <t>9003573</t>
        </is>
      </c>
    </row>
    <row r="1081">
      <c r="A1081" s="43" t="inlineStr">
        <is>
          <t>010079</t>
        </is>
      </c>
      <c r="B1081" s="44" t="inlineStr">
        <is>
          <t>ENTRADA DOMINGO</t>
        </is>
      </c>
      <c r="C1081" s="45" t="inlineStr">
        <is>
          <t>MR</t>
        </is>
      </c>
      <c r="D1081" s="45" t="inlineStr">
        <is>
          <t>UN</t>
        </is>
      </c>
      <c r="E1081" s="45" t="inlineStr">
        <is>
          <t>0128</t>
        </is>
      </c>
      <c r="F1081" s="65" t="inlineStr">
        <is>
          <t>Venda</t>
        </is>
      </c>
      <c r="G1081" s="69" t="n">
        <v>0</v>
      </c>
      <c r="H1081" s="172" t="inlineStr">
        <is>
          <t>Não</t>
        </is>
      </c>
      <c r="I1081" s="48" t="inlineStr">
        <is>
          <t>7898905687167</t>
        </is>
      </c>
    </row>
    <row r="1082">
      <c r="A1082" s="43" t="inlineStr">
        <is>
          <t>010000</t>
        </is>
      </c>
      <c r="B1082" s="44" t="inlineStr">
        <is>
          <t>ENTRADA DOMINGO 2</t>
        </is>
      </c>
      <c r="C1082" s="45" t="inlineStr">
        <is>
          <t>OI</t>
        </is>
      </c>
      <c r="D1082" s="45" t="inlineStr">
        <is>
          <t>UN</t>
        </is>
      </c>
      <c r="E1082" s="45" t="inlineStr">
        <is>
          <t>0128</t>
        </is>
      </c>
      <c r="F1082" s="65" t="inlineStr">
        <is>
          <t>Venda</t>
        </is>
      </c>
      <c r="G1082" s="69" t="n">
        <v>0</v>
      </c>
      <c r="H1082" s="172" t="inlineStr">
        <is>
          <t>Não</t>
        </is>
      </c>
      <c r="I1082" s="48" t="inlineStr">
        <is>
          <t>9003630</t>
        </is>
      </c>
    </row>
    <row r="1083">
      <c r="A1083" s="40" t="inlineStr">
        <is>
          <t>000834</t>
        </is>
      </c>
      <c r="B1083" s="41" t="inlineStr">
        <is>
          <t>ENTRADA DOMINGO DIA</t>
        </is>
      </c>
      <c r="C1083" s="42" t="inlineStr">
        <is>
          <t>MR</t>
        </is>
      </c>
      <c r="D1083" s="42" t="inlineStr">
        <is>
          <t>UN</t>
        </is>
      </c>
      <c r="E1083" s="42" t="inlineStr">
        <is>
          <t>0128</t>
        </is>
      </c>
      <c r="F1083" s="65" t="inlineStr">
        <is>
          <t>Venda</t>
        </is>
      </c>
      <c r="G1083" s="68" t="n">
        <v>0</v>
      </c>
      <c r="H1083" s="173" t="inlineStr">
        <is>
          <t>Sim</t>
        </is>
      </c>
      <c r="I1083" s="47" t="inlineStr">
        <is>
          <t>511017</t>
        </is>
      </c>
    </row>
    <row r="1084">
      <c r="A1084" s="43" t="inlineStr">
        <is>
          <t>001033</t>
        </is>
      </c>
      <c r="B1084" s="44" t="inlineStr">
        <is>
          <t>ENTRADA DOMINGO DIA</t>
        </is>
      </c>
      <c r="C1084" s="45" t="inlineStr">
        <is>
          <t>MR</t>
        </is>
      </c>
      <c r="D1084" s="45" t="inlineStr">
        <is>
          <t>UN</t>
        </is>
      </c>
      <c r="E1084" s="45" t="inlineStr">
        <is>
          <t>0128</t>
        </is>
      </c>
      <c r="F1084" s="65" t="inlineStr">
        <is>
          <t>Venda</t>
        </is>
      </c>
      <c r="G1084" s="69" t="n">
        <v>0</v>
      </c>
      <c r="H1084" s="173" t="inlineStr">
        <is>
          <t>Sim</t>
        </is>
      </c>
      <c r="I1084" s="48" t="inlineStr">
        <is>
          <t>72728</t>
        </is>
      </c>
    </row>
    <row r="1085">
      <c r="A1085" s="40" t="inlineStr">
        <is>
          <t>001035</t>
        </is>
      </c>
      <c r="B1085" s="41" t="inlineStr">
        <is>
          <t>ENTRADA DOMINGO DIA</t>
        </is>
      </c>
      <c r="C1085" s="42" t="inlineStr">
        <is>
          <t>MR</t>
        </is>
      </c>
      <c r="D1085" s="42" t="inlineStr">
        <is>
          <t>UN</t>
        </is>
      </c>
      <c r="E1085" s="42" t="inlineStr">
        <is>
          <t>0128</t>
        </is>
      </c>
      <c r="F1085" s="65" t="inlineStr">
        <is>
          <t>Venda</t>
        </is>
      </c>
      <c r="G1085" s="68" t="n">
        <v>0</v>
      </c>
      <c r="H1085" s="173" t="inlineStr">
        <is>
          <t>Sim</t>
        </is>
      </c>
      <c r="I1085" s="47" t="inlineStr">
        <is>
          <t>80909</t>
        </is>
      </c>
    </row>
    <row r="1086">
      <c r="A1086" s="43" t="inlineStr">
        <is>
          <t>001045</t>
        </is>
      </c>
      <c r="B1086" s="44" t="inlineStr">
        <is>
          <t>ENTRADA DOMINGO DIA</t>
        </is>
      </c>
      <c r="C1086" s="45" t="inlineStr">
        <is>
          <t>OI</t>
        </is>
      </c>
      <c r="D1086" s="45" t="inlineStr">
        <is>
          <t>UN</t>
        </is>
      </c>
      <c r="E1086" s="45" t="inlineStr">
        <is>
          <t>0128</t>
        </is>
      </c>
      <c r="F1086" s="65" t="inlineStr">
        <is>
          <t>Venda</t>
        </is>
      </c>
      <c r="G1086" s="69" t="n">
        <v>0</v>
      </c>
      <c r="H1086" s="177" t="inlineStr">
        <is>
          <t>Sim</t>
        </is>
      </c>
      <c r="I1086" s="178" t="n"/>
    </row>
    <row r="1087">
      <c r="A1087" s="40" t="inlineStr">
        <is>
          <t>001055</t>
        </is>
      </c>
      <c r="B1087" s="41" t="inlineStr">
        <is>
          <t>ENTRADA DOMINGO DIA</t>
        </is>
      </c>
      <c r="C1087" s="42" t="inlineStr">
        <is>
          <t>MR</t>
        </is>
      </c>
      <c r="D1087" s="42" t="inlineStr">
        <is>
          <t>UN</t>
        </is>
      </c>
      <c r="E1087" s="42" t="inlineStr">
        <is>
          <t>0128</t>
        </is>
      </c>
      <c r="F1087" s="65" t="inlineStr">
        <is>
          <t>Venda</t>
        </is>
      </c>
      <c r="G1087" s="68" t="n">
        <v>0</v>
      </c>
      <c r="H1087" s="173" t="inlineStr">
        <is>
          <t>Sim</t>
        </is>
      </c>
      <c r="I1087" s="47" t="inlineStr">
        <is>
          <t>42193</t>
        </is>
      </c>
    </row>
    <row r="1088">
      <c r="A1088" s="43" t="inlineStr">
        <is>
          <t>010018</t>
        </is>
      </c>
      <c r="B1088" s="44" t="inlineStr">
        <is>
          <t>ENTRADA DOMINGO DIA</t>
        </is>
      </c>
      <c r="C1088" s="45" t="inlineStr">
        <is>
          <t>OI</t>
        </is>
      </c>
      <c r="D1088" s="45" t="inlineStr">
        <is>
          <t>UN</t>
        </is>
      </c>
      <c r="E1088" s="45" t="inlineStr">
        <is>
          <t>0128</t>
        </is>
      </c>
      <c r="F1088" s="65" t="inlineStr">
        <is>
          <t>Venda</t>
        </is>
      </c>
      <c r="G1088" s="69" t="n">
        <v>0</v>
      </c>
      <c r="H1088" s="172" t="inlineStr">
        <is>
          <t>Não</t>
        </is>
      </c>
      <c r="I1088" s="48" t="inlineStr">
        <is>
          <t>80909</t>
        </is>
      </c>
    </row>
    <row r="1089">
      <c r="A1089" s="40" t="inlineStr">
        <is>
          <t>010056</t>
        </is>
      </c>
      <c r="B1089" s="41" t="inlineStr">
        <is>
          <t>ENTRADA DOMINGO DIA</t>
        </is>
      </c>
      <c r="C1089" s="42" t="inlineStr">
        <is>
          <t>MR</t>
        </is>
      </c>
      <c r="D1089" s="42" t="inlineStr">
        <is>
          <t>UN</t>
        </is>
      </c>
      <c r="E1089" s="42" t="inlineStr">
        <is>
          <t>0128</t>
        </is>
      </c>
      <c r="F1089" s="65" t="inlineStr">
        <is>
          <t>Venda</t>
        </is>
      </c>
      <c r="G1089" s="68" t="n">
        <v>0</v>
      </c>
      <c r="H1089" s="172" t="inlineStr">
        <is>
          <t>Não</t>
        </is>
      </c>
      <c r="I1089" s="47" t="inlineStr">
        <is>
          <t>42193</t>
        </is>
      </c>
    </row>
    <row r="1090">
      <c r="A1090" s="43" t="inlineStr">
        <is>
          <t>010060</t>
        </is>
      </c>
      <c r="B1090" s="44" t="inlineStr">
        <is>
          <t>ENTRADA DOMINGO DIA</t>
        </is>
      </c>
      <c r="C1090" s="45" t="inlineStr">
        <is>
          <t>MR</t>
        </is>
      </c>
      <c r="D1090" s="45" t="inlineStr">
        <is>
          <t>UN</t>
        </is>
      </c>
      <c r="E1090" s="45" t="inlineStr">
        <is>
          <t>0128</t>
        </is>
      </c>
      <c r="F1090" s="65" t="inlineStr">
        <is>
          <t>Venda</t>
        </is>
      </c>
      <c r="G1090" s="69" t="n">
        <v>0</v>
      </c>
      <c r="H1090" s="172" t="inlineStr">
        <is>
          <t>Não</t>
        </is>
      </c>
      <c r="I1090" s="48" t="inlineStr">
        <is>
          <t>72728</t>
        </is>
      </c>
    </row>
    <row r="1091">
      <c r="A1091" s="40" t="inlineStr">
        <is>
          <t>000036</t>
        </is>
      </c>
      <c r="B1091" s="41" t="inlineStr">
        <is>
          <t>ENTRADA DOMINGO HOMEM</t>
        </is>
      </c>
      <c r="C1091" s="42" t="inlineStr">
        <is>
          <t>MR</t>
        </is>
      </c>
      <c r="D1091" s="42" t="inlineStr">
        <is>
          <t>UN</t>
        </is>
      </c>
      <c r="E1091" s="42" t="inlineStr">
        <is>
          <t>0128</t>
        </is>
      </c>
      <c r="F1091" s="65" t="inlineStr">
        <is>
          <t>Venda</t>
        </is>
      </c>
      <c r="G1091" s="68" t="n">
        <v>0</v>
      </c>
      <c r="H1091" s="173" t="inlineStr">
        <is>
          <t>Sim</t>
        </is>
      </c>
      <c r="I1091" s="47" t="inlineStr">
        <is>
          <t>1010109</t>
        </is>
      </c>
    </row>
    <row r="1092">
      <c r="A1092" s="43" t="inlineStr">
        <is>
          <t>001232</t>
        </is>
      </c>
      <c r="B1092" s="44" t="inlineStr">
        <is>
          <t>ENTRADA DOMINGO HOMEM</t>
        </is>
      </c>
      <c r="C1092" s="45" t="inlineStr">
        <is>
          <t>OI</t>
        </is>
      </c>
      <c r="D1092" s="45" t="inlineStr">
        <is>
          <t>UN</t>
        </is>
      </c>
      <c r="E1092" s="45" t="inlineStr">
        <is>
          <t>0128</t>
        </is>
      </c>
      <c r="F1092" s="65" t="inlineStr">
        <is>
          <t>Venda</t>
        </is>
      </c>
      <c r="G1092" s="69" t="n">
        <v>0</v>
      </c>
      <c r="H1092" s="172" t="inlineStr">
        <is>
          <t>Não</t>
        </is>
      </c>
      <c r="I1092" s="48" t="inlineStr">
        <is>
          <t>9003577</t>
        </is>
      </c>
    </row>
    <row r="1093">
      <c r="A1093" s="40" t="inlineStr">
        <is>
          <t>001315</t>
        </is>
      </c>
      <c r="B1093" s="41" t="inlineStr">
        <is>
          <t>ENTRADA DOMINGO HOMEM</t>
        </is>
      </c>
      <c r="C1093" s="42" t="inlineStr">
        <is>
          <t>OI</t>
        </is>
      </c>
      <c r="D1093" s="42" t="inlineStr">
        <is>
          <t>UN</t>
        </is>
      </c>
      <c r="E1093" s="42" t="inlineStr">
        <is>
          <t>0128</t>
        </is>
      </c>
      <c r="F1093" s="65" t="inlineStr">
        <is>
          <t>Venda</t>
        </is>
      </c>
      <c r="G1093" s="68" t="n">
        <v>0</v>
      </c>
      <c r="H1093" s="173" t="inlineStr">
        <is>
          <t>Sim</t>
        </is>
      </c>
      <c r="I1093" s="49" t="n"/>
    </row>
    <row r="1094">
      <c r="A1094" s="43" t="inlineStr">
        <is>
          <t>001105</t>
        </is>
      </c>
      <c r="B1094" s="44" t="inlineStr">
        <is>
          <t>ENTRADA DOMINGO MULHER</t>
        </is>
      </c>
      <c r="C1094" s="45" t="inlineStr">
        <is>
          <t>OI</t>
        </is>
      </c>
      <c r="D1094" s="45" t="inlineStr">
        <is>
          <t>UN</t>
        </is>
      </c>
      <c r="E1094" s="45" t="inlineStr">
        <is>
          <t>0128</t>
        </is>
      </c>
      <c r="F1094" s="65" t="inlineStr">
        <is>
          <t>Venda</t>
        </is>
      </c>
      <c r="G1094" s="69" t="n">
        <v>0</v>
      </c>
      <c r="H1094" s="172" t="inlineStr">
        <is>
          <t>Não</t>
        </is>
      </c>
      <c r="I1094" s="48" t="inlineStr">
        <is>
          <t>97432</t>
        </is>
      </c>
    </row>
    <row r="1095">
      <c r="A1095" s="40" t="inlineStr">
        <is>
          <t>000848</t>
        </is>
      </c>
      <c r="B1095" s="41" t="inlineStr">
        <is>
          <t>ENTRADA DOMINGO NOITE</t>
        </is>
      </c>
      <c r="C1095" s="42" t="inlineStr">
        <is>
          <t>OI</t>
        </is>
      </c>
      <c r="D1095" s="42" t="inlineStr">
        <is>
          <t>UN</t>
        </is>
      </c>
      <c r="E1095" s="42" t="inlineStr">
        <is>
          <t>0128</t>
        </is>
      </c>
      <c r="F1095" s="65" t="inlineStr">
        <is>
          <t>Venda</t>
        </is>
      </c>
      <c r="G1095" s="68" t="n">
        <v>0</v>
      </c>
      <c r="H1095" s="172" t="inlineStr">
        <is>
          <t>Não</t>
        </is>
      </c>
      <c r="I1095" s="47" t="inlineStr">
        <is>
          <t>511031</t>
        </is>
      </c>
    </row>
    <row r="1096">
      <c r="A1096" s="43" t="inlineStr">
        <is>
          <t>001061</t>
        </is>
      </c>
      <c r="B1096" s="44" t="inlineStr">
        <is>
          <t>ENTRADA DOMINGO NOITE</t>
        </is>
      </c>
      <c r="C1096" s="45" t="inlineStr">
        <is>
          <t>OI</t>
        </is>
      </c>
      <c r="D1096" s="45" t="inlineStr">
        <is>
          <t>UN</t>
        </is>
      </c>
      <c r="E1096" s="45" t="inlineStr">
        <is>
          <t>0128</t>
        </is>
      </c>
      <c r="F1096" s="65" t="inlineStr">
        <is>
          <t>Venda</t>
        </is>
      </c>
      <c r="G1096" s="69" t="n">
        <v>0</v>
      </c>
      <c r="H1096" s="172" t="inlineStr">
        <is>
          <t>Não</t>
        </is>
      </c>
      <c r="I1096" s="48" t="inlineStr">
        <is>
          <t>58400</t>
        </is>
      </c>
    </row>
    <row r="1097">
      <c r="A1097" s="40" t="inlineStr">
        <is>
          <t>001104</t>
        </is>
      </c>
      <c r="B1097" s="41" t="inlineStr">
        <is>
          <t>ENTRADA DOMINGO NOITE</t>
        </is>
      </c>
      <c r="C1097" s="42" t="inlineStr">
        <is>
          <t>OI</t>
        </is>
      </c>
      <c r="D1097" s="42" t="inlineStr">
        <is>
          <t>UN</t>
        </is>
      </c>
      <c r="E1097" s="42" t="inlineStr">
        <is>
          <t>0128</t>
        </is>
      </c>
      <c r="F1097" s="65" t="inlineStr">
        <is>
          <t>Venda</t>
        </is>
      </c>
      <c r="G1097" s="68" t="n">
        <v>0</v>
      </c>
      <c r="H1097" s="172" t="inlineStr">
        <is>
          <t>Não</t>
        </is>
      </c>
      <c r="I1097" s="47" t="inlineStr">
        <is>
          <t>94875</t>
        </is>
      </c>
    </row>
    <row r="1098">
      <c r="A1098" s="43" t="inlineStr">
        <is>
          <t>000928</t>
        </is>
      </c>
      <c r="B1098" s="44" t="inlineStr">
        <is>
          <t>ENTRADA DOMINGO NOITE - H</t>
        </is>
      </c>
      <c r="C1098" s="45" t="inlineStr">
        <is>
          <t>OI</t>
        </is>
      </c>
      <c r="D1098" s="45" t="inlineStr">
        <is>
          <t>UN</t>
        </is>
      </c>
      <c r="E1098" s="45" t="inlineStr">
        <is>
          <t>0128</t>
        </is>
      </c>
      <c r="F1098" s="65" t="inlineStr">
        <is>
          <t>Venda</t>
        </is>
      </c>
      <c r="G1098" s="69" t="n">
        <v>0</v>
      </c>
      <c r="H1098" s="172" t="inlineStr">
        <is>
          <t>Não</t>
        </is>
      </c>
      <c r="I1098" s="48" t="inlineStr">
        <is>
          <t>9003128</t>
        </is>
      </c>
    </row>
    <row r="1099">
      <c r="A1099" s="40" t="inlineStr">
        <is>
          <t>000929</t>
        </is>
      </c>
      <c r="B1099" s="41" t="inlineStr">
        <is>
          <t>ENTRADA DOMINGO NOITE - M</t>
        </is>
      </c>
      <c r="C1099" s="42" t="inlineStr">
        <is>
          <t>OI</t>
        </is>
      </c>
      <c r="D1099" s="42" t="inlineStr">
        <is>
          <t>UN</t>
        </is>
      </c>
      <c r="E1099" s="42" t="inlineStr">
        <is>
          <t>0128</t>
        </is>
      </c>
      <c r="F1099" s="65" t="inlineStr">
        <is>
          <t>Venda</t>
        </is>
      </c>
      <c r="G1099" s="68" t="n">
        <v>0</v>
      </c>
      <c r="H1099" s="172" t="inlineStr">
        <is>
          <t>Não</t>
        </is>
      </c>
      <c r="I1099" s="47" t="inlineStr">
        <is>
          <t>9003129</t>
        </is>
      </c>
    </row>
    <row r="1100">
      <c r="A1100" s="43" t="inlineStr">
        <is>
          <t>010044</t>
        </is>
      </c>
      <c r="B1100" s="44" t="inlineStr">
        <is>
          <t>ENTRADA ERRO CENTRAL</t>
        </is>
      </c>
      <c r="C1100" s="45" t="inlineStr">
        <is>
          <t>MR</t>
        </is>
      </c>
      <c r="D1100" s="45" t="inlineStr">
        <is>
          <t>UN</t>
        </is>
      </c>
      <c r="E1100" s="45" t="inlineStr">
        <is>
          <t>0128</t>
        </is>
      </c>
      <c r="F1100" s="65" t="inlineStr">
        <is>
          <t>Venda</t>
        </is>
      </c>
      <c r="G1100" s="69" t="n">
        <v>0</v>
      </c>
      <c r="H1100" s="172" t="inlineStr">
        <is>
          <t>Não</t>
        </is>
      </c>
      <c r="I1100" s="48" t="inlineStr">
        <is>
          <t>511076</t>
        </is>
      </c>
    </row>
    <row r="1101">
      <c r="A1101" s="40" t="inlineStr">
        <is>
          <t>000963</t>
        </is>
      </c>
      <c r="B1101" s="41" t="inlineStr">
        <is>
          <t>ENTRADA FLAMENGO</t>
        </is>
      </c>
      <c r="C1101" s="42" t="inlineStr">
        <is>
          <t>MR</t>
        </is>
      </c>
      <c r="D1101" s="42" t="inlineStr">
        <is>
          <t>UN</t>
        </is>
      </c>
      <c r="E1101" s="42" t="inlineStr">
        <is>
          <t>0128</t>
        </is>
      </c>
      <c r="F1101" s="65" t="inlineStr">
        <is>
          <t>Venda</t>
        </is>
      </c>
      <c r="G1101" s="68" t="n">
        <v>0</v>
      </c>
      <c r="H1101" s="173" t="inlineStr">
        <is>
          <t>Sim</t>
        </is>
      </c>
      <c r="I1101" s="49" t="n"/>
    </row>
    <row r="1102">
      <c r="A1102" s="43" t="inlineStr">
        <is>
          <t>000965</t>
        </is>
      </c>
      <c r="B1102" s="44" t="inlineStr">
        <is>
          <t>ENTRADA FLAMENGO</t>
        </is>
      </c>
      <c r="C1102" s="45" t="inlineStr">
        <is>
          <t>MR</t>
        </is>
      </c>
      <c r="D1102" s="45" t="inlineStr">
        <is>
          <t>UN</t>
        </is>
      </c>
      <c r="E1102" s="45" t="inlineStr">
        <is>
          <t>0128</t>
        </is>
      </c>
      <c r="F1102" s="65" t="inlineStr">
        <is>
          <t>Venda</t>
        </is>
      </c>
      <c r="G1102" s="69" t="n">
        <v>0</v>
      </c>
      <c r="H1102" s="173" t="inlineStr">
        <is>
          <t>Sim</t>
        </is>
      </c>
      <c r="I1102" s="50" t="n"/>
    </row>
    <row r="1103">
      <c r="A1103" s="40" t="inlineStr">
        <is>
          <t>001246</t>
        </is>
      </c>
      <c r="B1103" s="41" t="inlineStr">
        <is>
          <t>ENTRADA FLAMENGO</t>
        </is>
      </c>
      <c r="C1103" s="42" t="inlineStr">
        <is>
          <t>OI</t>
        </is>
      </c>
      <c r="D1103" s="42" t="inlineStr">
        <is>
          <t>UN</t>
        </is>
      </c>
      <c r="E1103" s="42" t="inlineStr">
        <is>
          <t>0128</t>
        </is>
      </c>
      <c r="F1103" s="65" t="inlineStr">
        <is>
          <t>Venda</t>
        </is>
      </c>
      <c r="G1103" s="68" t="n">
        <v>0</v>
      </c>
      <c r="H1103" s="172" t="inlineStr">
        <is>
          <t>Não</t>
        </is>
      </c>
      <c r="I1103" s="47" t="inlineStr">
        <is>
          <t>15952</t>
        </is>
      </c>
    </row>
    <row r="1104">
      <c r="A1104" s="43" t="inlineStr">
        <is>
          <t>010159</t>
        </is>
      </c>
      <c r="B1104" s="44" t="inlineStr">
        <is>
          <t>ENTRADA FUTEBOL</t>
        </is>
      </c>
      <c r="C1104" s="45" t="inlineStr">
        <is>
          <t>OI</t>
        </is>
      </c>
      <c r="D1104" s="45" t="inlineStr">
        <is>
          <t>UN</t>
        </is>
      </c>
      <c r="E1104" s="45" t="inlineStr">
        <is>
          <t>0128</t>
        </is>
      </c>
      <c r="F1104" s="65" t="inlineStr">
        <is>
          <t>Venda</t>
        </is>
      </c>
      <c r="G1104" s="69" t="n">
        <v>0</v>
      </c>
      <c r="H1104" s="172" t="inlineStr">
        <is>
          <t>Não</t>
        </is>
      </c>
      <c r="I1104" s="48" t="inlineStr">
        <is>
          <t>9003201</t>
        </is>
      </c>
    </row>
    <row r="1105">
      <c r="A1105" s="40" t="inlineStr">
        <is>
          <t>002259</t>
        </is>
      </c>
      <c r="B1105" s="41" t="inlineStr">
        <is>
          <t>ENTRADA HOMEM</t>
        </is>
      </c>
      <c r="C1105" s="42" t="inlineStr">
        <is>
          <t>OI</t>
        </is>
      </c>
      <c r="D1105" s="42" t="inlineStr">
        <is>
          <t>UN</t>
        </is>
      </c>
      <c r="E1105" s="42" t="inlineStr">
        <is>
          <t>0128</t>
        </is>
      </c>
      <c r="F1105" s="65" t="inlineStr">
        <is>
          <t>Venda</t>
        </is>
      </c>
      <c r="G1105" s="68" t="n">
        <v>0</v>
      </c>
      <c r="H1105" s="172" t="inlineStr">
        <is>
          <t>Não</t>
        </is>
      </c>
      <c r="I1105" s="47" t="inlineStr">
        <is>
          <t>78989056877161</t>
        </is>
      </c>
    </row>
    <row r="1106">
      <c r="A1106" s="43" t="inlineStr">
        <is>
          <t>001561</t>
        </is>
      </c>
      <c r="B1106" s="44" t="inlineStr">
        <is>
          <t>ENTRADA KIDS</t>
        </is>
      </c>
      <c r="C1106" s="45" t="inlineStr">
        <is>
          <t>OI</t>
        </is>
      </c>
      <c r="D1106" s="45" t="inlineStr">
        <is>
          <t>UN</t>
        </is>
      </c>
      <c r="E1106" s="45" t="inlineStr">
        <is>
          <t>0128</t>
        </is>
      </c>
      <c r="F1106" s="65" t="inlineStr">
        <is>
          <t>Venda</t>
        </is>
      </c>
      <c r="G1106" s="69" t="n">
        <v>0</v>
      </c>
      <c r="H1106" s="172" t="inlineStr">
        <is>
          <t>Não</t>
        </is>
      </c>
      <c r="I1106" s="48" t="inlineStr">
        <is>
          <t>511051</t>
        </is>
      </c>
    </row>
    <row r="1107">
      <c r="A1107" s="40" t="inlineStr">
        <is>
          <t>001562</t>
        </is>
      </c>
      <c r="B1107" s="41" t="inlineStr">
        <is>
          <t>ENTRADA KIDS</t>
        </is>
      </c>
      <c r="C1107" s="42" t="inlineStr">
        <is>
          <t>OI</t>
        </is>
      </c>
      <c r="D1107" s="42" t="inlineStr">
        <is>
          <t>UN</t>
        </is>
      </c>
      <c r="E1107" s="42" t="inlineStr">
        <is>
          <t>0128</t>
        </is>
      </c>
      <c r="F1107" s="65" t="inlineStr">
        <is>
          <t>Venda</t>
        </is>
      </c>
      <c r="G1107" s="68" t="n">
        <v>0</v>
      </c>
      <c r="H1107" s="172" t="inlineStr">
        <is>
          <t>Não</t>
        </is>
      </c>
      <c r="I1107" s="47" t="inlineStr">
        <is>
          <t>511051</t>
        </is>
      </c>
    </row>
    <row r="1108">
      <c r="A1108" s="43" t="inlineStr">
        <is>
          <t>002214</t>
        </is>
      </c>
      <c r="B1108" s="44" t="inlineStr">
        <is>
          <t>ENTRADA MULHER</t>
        </is>
      </c>
      <c r="C1108" s="45" t="inlineStr">
        <is>
          <t>OI</t>
        </is>
      </c>
      <c r="D1108" s="45" t="inlineStr">
        <is>
          <t>UN</t>
        </is>
      </c>
      <c r="E1108" s="45" t="inlineStr">
        <is>
          <t>0128</t>
        </is>
      </c>
      <c r="F1108" s="65" t="inlineStr">
        <is>
          <t>Venda</t>
        </is>
      </c>
      <c r="G1108" s="69" t="n">
        <v>0</v>
      </c>
      <c r="H1108" s="172" t="inlineStr">
        <is>
          <t>Não</t>
        </is>
      </c>
      <c r="I1108" s="48" t="inlineStr">
        <is>
          <t>78989056877165</t>
        </is>
      </c>
    </row>
    <row r="1109">
      <c r="A1109" s="40" t="inlineStr">
        <is>
          <t>002245</t>
        </is>
      </c>
      <c r="B1109" s="41" t="inlineStr">
        <is>
          <t>ENTRADA MULHER</t>
        </is>
      </c>
      <c r="C1109" s="42" t="inlineStr">
        <is>
          <t>OI</t>
        </is>
      </c>
      <c r="D1109" s="42" t="inlineStr">
        <is>
          <t>UN</t>
        </is>
      </c>
      <c r="E1109" s="42" t="inlineStr">
        <is>
          <t>0128</t>
        </is>
      </c>
      <c r="F1109" s="65" t="inlineStr">
        <is>
          <t>Venda</t>
        </is>
      </c>
      <c r="G1109" s="68" t="n">
        <v>0</v>
      </c>
      <c r="H1109" s="173" t="inlineStr">
        <is>
          <t>Sim</t>
        </is>
      </c>
      <c r="I1109" s="47" t="inlineStr">
        <is>
          <t>78989056877165</t>
        </is>
      </c>
    </row>
    <row r="1110">
      <c r="A1110" s="43" t="inlineStr">
        <is>
          <t>009990</t>
        </is>
      </c>
      <c r="B1110" s="44" t="inlineStr">
        <is>
          <t>ENTRADA MULHER</t>
        </is>
      </c>
      <c r="C1110" s="45" t="inlineStr">
        <is>
          <t>OI</t>
        </is>
      </c>
      <c r="D1110" s="45" t="inlineStr">
        <is>
          <t>UN</t>
        </is>
      </c>
      <c r="E1110" s="45" t="inlineStr">
        <is>
          <t>0128</t>
        </is>
      </c>
      <c r="F1110" s="65" t="inlineStr">
        <is>
          <t>Venda</t>
        </is>
      </c>
      <c r="G1110" s="69" t="n">
        <v>0</v>
      </c>
      <c r="H1110" s="172" t="inlineStr">
        <is>
          <t>Não</t>
        </is>
      </c>
      <c r="I1110" s="48" t="inlineStr">
        <is>
          <t>9003581</t>
        </is>
      </c>
    </row>
    <row r="1111">
      <c r="A1111" s="40" t="inlineStr">
        <is>
          <t>010077</t>
        </is>
      </c>
      <c r="B1111" s="41" t="inlineStr">
        <is>
          <t>ENTRADA MULHER</t>
        </is>
      </c>
      <c r="C1111" s="42" t="inlineStr">
        <is>
          <t>MR</t>
        </is>
      </c>
      <c r="D1111" s="42" t="inlineStr">
        <is>
          <t>UN</t>
        </is>
      </c>
      <c r="E1111" s="42" t="inlineStr">
        <is>
          <t>0128</t>
        </is>
      </c>
      <c r="F1111" s="65" t="inlineStr">
        <is>
          <t>Venda</t>
        </is>
      </c>
      <c r="G1111" s="68" t="n">
        <v>0</v>
      </c>
      <c r="H1111" s="172" t="inlineStr">
        <is>
          <t>Não</t>
        </is>
      </c>
      <c r="I1111" s="47" t="inlineStr">
        <is>
          <t>78989056877162</t>
        </is>
      </c>
    </row>
    <row r="1112">
      <c r="A1112" s="43" t="inlineStr">
        <is>
          <t>000839</t>
        </is>
      </c>
      <c r="B1112" s="44" t="inlineStr">
        <is>
          <t>ENTRADA MUSICO</t>
        </is>
      </c>
      <c r="C1112" s="45" t="inlineStr">
        <is>
          <t>OI</t>
        </is>
      </c>
      <c r="D1112" s="45" t="inlineStr">
        <is>
          <t>UN</t>
        </is>
      </c>
      <c r="E1112" s="45" t="inlineStr">
        <is>
          <t>0128</t>
        </is>
      </c>
      <c r="F1112" s="65" t="inlineStr">
        <is>
          <t>Venda</t>
        </is>
      </c>
      <c r="G1112" s="69" t="n">
        <v>0</v>
      </c>
      <c r="H1112" s="172" t="inlineStr">
        <is>
          <t>Não</t>
        </is>
      </c>
      <c r="I1112" s="48" t="inlineStr">
        <is>
          <t>7898905687353</t>
        </is>
      </c>
    </row>
    <row r="1113">
      <c r="A1113" s="40" t="inlineStr">
        <is>
          <t>000840</t>
        </is>
      </c>
      <c r="B1113" s="41" t="inlineStr">
        <is>
          <t>ENTRADA MUSICO</t>
        </is>
      </c>
      <c r="C1113" s="42" t="inlineStr">
        <is>
          <t>OI</t>
        </is>
      </c>
      <c r="D1113" s="42" t="inlineStr">
        <is>
          <t>UN</t>
        </is>
      </c>
      <c r="E1113" s="42" t="inlineStr">
        <is>
          <t>0128</t>
        </is>
      </c>
      <c r="F1113" s="65" t="inlineStr">
        <is>
          <t>Venda</t>
        </is>
      </c>
      <c r="G1113" s="68" t="n">
        <v>0</v>
      </c>
      <c r="H1113" s="172" t="inlineStr">
        <is>
          <t>Não</t>
        </is>
      </c>
      <c r="I1113" s="47" t="inlineStr">
        <is>
          <t>7898905687354</t>
        </is>
      </c>
    </row>
    <row r="1114">
      <c r="A1114" s="43" t="inlineStr">
        <is>
          <t>000841</t>
        </is>
      </c>
      <c r="B1114" s="44" t="inlineStr">
        <is>
          <t>ENTRADA MUSICO</t>
        </is>
      </c>
      <c r="C1114" s="45" t="inlineStr">
        <is>
          <t>OI</t>
        </is>
      </c>
      <c r="D1114" s="45" t="inlineStr">
        <is>
          <t>UN</t>
        </is>
      </c>
      <c r="E1114" s="45" t="inlineStr">
        <is>
          <t>0128</t>
        </is>
      </c>
      <c r="F1114" s="65" t="inlineStr">
        <is>
          <t>Venda</t>
        </is>
      </c>
      <c r="G1114" s="69" t="n">
        <v>0</v>
      </c>
      <c r="H1114" s="177" t="inlineStr">
        <is>
          <t>Sim</t>
        </is>
      </c>
      <c r="I1114" s="178" t="n"/>
    </row>
    <row r="1115">
      <c r="A1115" s="40" t="inlineStr">
        <is>
          <t>000845</t>
        </is>
      </c>
      <c r="B1115" s="41" t="inlineStr">
        <is>
          <t>ENTRADA MUSICO</t>
        </is>
      </c>
      <c r="C1115" s="42" t="inlineStr">
        <is>
          <t>OI</t>
        </is>
      </c>
      <c r="D1115" s="42" t="inlineStr">
        <is>
          <t>UN</t>
        </is>
      </c>
      <c r="E1115" s="42" t="inlineStr">
        <is>
          <t>0128</t>
        </is>
      </c>
      <c r="F1115" s="65" t="inlineStr">
        <is>
          <t>Venda</t>
        </is>
      </c>
      <c r="G1115" s="68" t="n">
        <v>0</v>
      </c>
      <c r="H1115" s="172" t="inlineStr">
        <is>
          <t>Não</t>
        </is>
      </c>
      <c r="I1115" s="47" t="inlineStr">
        <is>
          <t>7898905687356</t>
        </is>
      </c>
    </row>
    <row r="1116">
      <c r="A1116" s="43" t="inlineStr">
        <is>
          <t>000849</t>
        </is>
      </c>
      <c r="B1116" s="44" t="inlineStr">
        <is>
          <t>ENTRADA MUSICO</t>
        </is>
      </c>
      <c r="C1116" s="45" t="inlineStr">
        <is>
          <t>OI</t>
        </is>
      </c>
      <c r="D1116" s="45" t="inlineStr">
        <is>
          <t>UN</t>
        </is>
      </c>
      <c r="E1116" s="45" t="inlineStr">
        <is>
          <t>0128</t>
        </is>
      </c>
      <c r="F1116" s="65" t="inlineStr">
        <is>
          <t>Venda</t>
        </is>
      </c>
      <c r="G1116" s="69" t="n">
        <v>0</v>
      </c>
      <c r="H1116" s="172" t="inlineStr">
        <is>
          <t>Não</t>
        </is>
      </c>
      <c r="I1116" s="48" t="inlineStr">
        <is>
          <t>7898905687358</t>
        </is>
      </c>
    </row>
    <row r="1117">
      <c r="A1117" s="40" t="inlineStr">
        <is>
          <t>000853</t>
        </is>
      </c>
      <c r="B1117" s="41" t="inlineStr">
        <is>
          <t>ENTRADA MUSICO</t>
        </is>
      </c>
      <c r="C1117" s="42" t="inlineStr">
        <is>
          <t>OI</t>
        </is>
      </c>
      <c r="D1117" s="42" t="inlineStr">
        <is>
          <t>UN</t>
        </is>
      </c>
      <c r="E1117" s="42" t="inlineStr">
        <is>
          <t>0128</t>
        </is>
      </c>
      <c r="F1117" s="65" t="inlineStr">
        <is>
          <t>Venda</t>
        </is>
      </c>
      <c r="G1117" s="68" t="n">
        <v>0</v>
      </c>
      <c r="H1117" s="172" t="inlineStr">
        <is>
          <t>Não</t>
        </is>
      </c>
      <c r="I1117" s="47" t="inlineStr">
        <is>
          <t>7898905687357</t>
        </is>
      </c>
    </row>
    <row r="1118">
      <c r="A1118" s="43" t="inlineStr">
        <is>
          <t>000864</t>
        </is>
      </c>
      <c r="B1118" s="44" t="inlineStr">
        <is>
          <t>ENTRADA MUSICO</t>
        </is>
      </c>
      <c r="C1118" s="45" t="inlineStr">
        <is>
          <t>OI</t>
        </is>
      </c>
      <c r="D1118" s="45" t="inlineStr">
        <is>
          <t>UN</t>
        </is>
      </c>
      <c r="E1118" s="45" t="inlineStr">
        <is>
          <t>0128</t>
        </is>
      </c>
      <c r="F1118" s="65" t="inlineStr">
        <is>
          <t>Venda</t>
        </is>
      </c>
      <c r="G1118" s="69" t="n">
        <v>0</v>
      </c>
      <c r="H1118" s="172" t="inlineStr">
        <is>
          <t>Não</t>
        </is>
      </c>
      <c r="I1118" s="48" t="inlineStr">
        <is>
          <t>7898905687359</t>
        </is>
      </c>
    </row>
    <row r="1119">
      <c r="A1119" s="40" t="inlineStr">
        <is>
          <t>000865</t>
        </is>
      </c>
      <c r="B1119" s="41" t="inlineStr">
        <is>
          <t>ENTRADA MUSICO</t>
        </is>
      </c>
      <c r="C1119" s="42" t="inlineStr">
        <is>
          <t>OI</t>
        </is>
      </c>
      <c r="D1119" s="42" t="inlineStr">
        <is>
          <t>UN</t>
        </is>
      </c>
      <c r="E1119" s="42" t="inlineStr">
        <is>
          <t>0128</t>
        </is>
      </c>
      <c r="F1119" s="65" t="inlineStr">
        <is>
          <t>Venda</t>
        </is>
      </c>
      <c r="G1119" s="68" t="n">
        <v>0</v>
      </c>
      <c r="H1119" s="172" t="inlineStr">
        <is>
          <t>Não</t>
        </is>
      </c>
      <c r="I1119" s="47" t="inlineStr">
        <is>
          <t>7898905687560</t>
        </is>
      </c>
    </row>
    <row r="1120">
      <c r="A1120" s="43" t="inlineStr">
        <is>
          <t>010289</t>
        </is>
      </c>
      <c r="B1120" s="44" t="inlineStr">
        <is>
          <t>ENTRADA MUSICO</t>
        </is>
      </c>
      <c r="C1120" s="45" t="inlineStr">
        <is>
          <t>OI</t>
        </is>
      </c>
      <c r="D1120" s="45" t="inlineStr">
        <is>
          <t>UN</t>
        </is>
      </c>
      <c r="E1120" s="45" t="inlineStr">
        <is>
          <t>0128</t>
        </is>
      </c>
      <c r="F1120" s="65" t="inlineStr">
        <is>
          <t>Venda</t>
        </is>
      </c>
      <c r="G1120" s="69" t="n">
        <v>0</v>
      </c>
      <c r="H1120" s="172" t="inlineStr">
        <is>
          <t>Não</t>
        </is>
      </c>
      <c r="I1120" s="48" t="inlineStr">
        <is>
          <t>7898905687530</t>
        </is>
      </c>
    </row>
    <row r="1121">
      <c r="A1121" s="40" t="inlineStr">
        <is>
          <t>010290</t>
        </is>
      </c>
      <c r="B1121" s="41" t="inlineStr">
        <is>
          <t>ENTRADA MUSICO</t>
        </is>
      </c>
      <c r="C1121" s="42" t="inlineStr">
        <is>
          <t>OI</t>
        </is>
      </c>
      <c r="D1121" s="42" t="inlineStr">
        <is>
          <t>UN</t>
        </is>
      </c>
      <c r="E1121" s="42" t="inlineStr">
        <is>
          <t>0128</t>
        </is>
      </c>
      <c r="F1121" s="65" t="inlineStr">
        <is>
          <t>Venda</t>
        </is>
      </c>
      <c r="G1121" s="68" t="n">
        <v>0</v>
      </c>
      <c r="H1121" s="172" t="inlineStr">
        <is>
          <t>Não</t>
        </is>
      </c>
      <c r="I1121" s="47" t="inlineStr">
        <is>
          <t>7898905687351</t>
        </is>
      </c>
    </row>
    <row r="1122">
      <c r="A1122" s="43" t="inlineStr">
        <is>
          <t>010291</t>
        </is>
      </c>
      <c r="B1122" s="44" t="inlineStr">
        <is>
          <t>ENTRADA MUSICO</t>
        </is>
      </c>
      <c r="C1122" s="45" t="inlineStr">
        <is>
          <t>OI</t>
        </is>
      </c>
      <c r="D1122" s="45" t="inlineStr">
        <is>
          <t>UN</t>
        </is>
      </c>
      <c r="E1122" s="45" t="inlineStr">
        <is>
          <t>0128</t>
        </is>
      </c>
      <c r="F1122" s="65" t="inlineStr">
        <is>
          <t>Venda</t>
        </is>
      </c>
      <c r="G1122" s="69" t="n">
        <v>0</v>
      </c>
      <c r="H1122" s="172" t="inlineStr">
        <is>
          <t>Não</t>
        </is>
      </c>
      <c r="I1122" s="48" t="inlineStr">
        <is>
          <t>7898905687352</t>
        </is>
      </c>
    </row>
    <row r="1123">
      <c r="A1123" s="40" t="inlineStr">
        <is>
          <t>002261</t>
        </is>
      </c>
      <c r="B1123" s="41" t="inlineStr">
        <is>
          <t>ENTRADA OMINGO</t>
        </is>
      </c>
      <c r="C1123" s="42" t="inlineStr">
        <is>
          <t>OI</t>
        </is>
      </c>
      <c r="D1123" s="42" t="inlineStr">
        <is>
          <t>UN</t>
        </is>
      </c>
      <c r="E1123" s="42" t="inlineStr">
        <is>
          <t>0128</t>
        </is>
      </c>
      <c r="F1123" s="65" t="inlineStr">
        <is>
          <t>Venda</t>
        </is>
      </c>
      <c r="G1123" s="68" t="n">
        <v>0</v>
      </c>
      <c r="H1123" s="172" t="inlineStr">
        <is>
          <t>Não</t>
        </is>
      </c>
      <c r="I1123" s="47" t="inlineStr">
        <is>
          <t>78989056877163</t>
        </is>
      </c>
    </row>
    <row r="1124">
      <c r="A1124" s="43" t="inlineStr">
        <is>
          <t>001930</t>
        </is>
      </c>
      <c r="B1124" s="44" t="inlineStr">
        <is>
          <t>ENTRADA PISTA PORTA</t>
        </is>
      </c>
      <c r="C1124" s="45" t="inlineStr">
        <is>
          <t>MR</t>
        </is>
      </c>
      <c r="D1124" s="45" t="inlineStr">
        <is>
          <t>UN</t>
        </is>
      </c>
      <c r="E1124" s="45" t="inlineStr">
        <is>
          <t>0128</t>
        </is>
      </c>
      <c r="F1124" s="65" t="inlineStr">
        <is>
          <t>Venda</t>
        </is>
      </c>
      <c r="G1124" s="69" t="n">
        <v>0</v>
      </c>
      <c r="H1124" s="173" t="inlineStr">
        <is>
          <t>Sim</t>
        </is>
      </c>
      <c r="I1124" s="48" t="inlineStr">
        <is>
          <t>78989056877126</t>
        </is>
      </c>
    </row>
    <row r="1125">
      <c r="A1125" s="40" t="inlineStr">
        <is>
          <t>001788</t>
        </is>
      </c>
      <c r="B1125" s="41" t="inlineStr">
        <is>
          <t>ENTRADA PLUG TICKET</t>
        </is>
      </c>
      <c r="C1125" s="42" t="inlineStr">
        <is>
          <t>MR</t>
        </is>
      </c>
      <c r="D1125" s="42" t="inlineStr">
        <is>
          <t>UN</t>
        </is>
      </c>
      <c r="E1125" s="42" t="inlineStr">
        <is>
          <t>0128</t>
        </is>
      </c>
      <c r="F1125" s="65" t="inlineStr">
        <is>
          <t>Venda</t>
        </is>
      </c>
      <c r="G1125" s="68" t="n">
        <v>0</v>
      </c>
      <c r="H1125" s="173" t="inlineStr">
        <is>
          <t>Sim</t>
        </is>
      </c>
      <c r="I1125" s="47" t="inlineStr">
        <is>
          <t>78989056877165</t>
        </is>
      </c>
    </row>
    <row r="1126">
      <c r="A1126" s="43" t="inlineStr">
        <is>
          <t>001793</t>
        </is>
      </c>
      <c r="B1126" s="44" t="inlineStr">
        <is>
          <t>ENTRADA PLUG TICKET</t>
        </is>
      </c>
      <c r="C1126" s="45" t="inlineStr">
        <is>
          <t>MR</t>
        </is>
      </c>
      <c r="D1126" s="45" t="inlineStr">
        <is>
          <t>UN</t>
        </is>
      </c>
      <c r="E1126" s="45" t="inlineStr">
        <is>
          <t>0128</t>
        </is>
      </c>
      <c r="F1126" s="65" t="inlineStr">
        <is>
          <t>Venda</t>
        </is>
      </c>
      <c r="G1126" s="69" t="n">
        <v>0</v>
      </c>
      <c r="H1126" s="173" t="inlineStr">
        <is>
          <t>Sim</t>
        </is>
      </c>
      <c r="I1126" s="48" t="inlineStr">
        <is>
          <t>78989056877165</t>
        </is>
      </c>
    </row>
    <row r="1127">
      <c r="A1127" s="40" t="inlineStr">
        <is>
          <t>001794</t>
        </is>
      </c>
      <c r="B1127" s="41" t="inlineStr">
        <is>
          <t>ENTRADA PLUG TICKET</t>
        </is>
      </c>
      <c r="C1127" s="42" t="inlineStr">
        <is>
          <t>MR</t>
        </is>
      </c>
      <c r="D1127" s="42" t="inlineStr">
        <is>
          <t>UN</t>
        </is>
      </c>
      <c r="E1127" s="42" t="inlineStr">
        <is>
          <t>0128</t>
        </is>
      </c>
      <c r="F1127" s="65" t="inlineStr">
        <is>
          <t>Venda</t>
        </is>
      </c>
      <c r="G1127" s="68" t="n">
        <v>0</v>
      </c>
      <c r="H1127" s="173" t="inlineStr">
        <is>
          <t>Sim</t>
        </is>
      </c>
      <c r="I1127" s="47" t="inlineStr">
        <is>
          <t>78989056877124</t>
        </is>
      </c>
    </row>
    <row r="1128">
      <c r="A1128" s="43" t="inlineStr">
        <is>
          <t>001931</t>
        </is>
      </c>
      <c r="B1128" s="44" t="inlineStr">
        <is>
          <t>ENTRADA PLUG TICKET</t>
        </is>
      </c>
      <c r="C1128" s="45" t="inlineStr">
        <is>
          <t>MR</t>
        </is>
      </c>
      <c r="D1128" s="45" t="inlineStr">
        <is>
          <t>UN</t>
        </is>
      </c>
      <c r="E1128" s="45" t="inlineStr">
        <is>
          <t>0128</t>
        </is>
      </c>
      <c r="F1128" s="65" t="inlineStr">
        <is>
          <t>Venda</t>
        </is>
      </c>
      <c r="G1128" s="69" t="n">
        <v>0</v>
      </c>
      <c r="H1128" s="173" t="inlineStr">
        <is>
          <t>Sim</t>
        </is>
      </c>
      <c r="I1128" s="48" t="inlineStr">
        <is>
          <t>78989056877126</t>
        </is>
      </c>
    </row>
    <row r="1129">
      <c r="A1129" s="40" t="inlineStr">
        <is>
          <t>002054</t>
        </is>
      </c>
      <c r="B1129" s="41" t="inlineStr">
        <is>
          <t>ENTRADA PLUG TICKETS</t>
        </is>
      </c>
      <c r="C1129" s="42" t="inlineStr">
        <is>
          <t>OI</t>
        </is>
      </c>
      <c r="D1129" s="42" t="inlineStr">
        <is>
          <t>UN</t>
        </is>
      </c>
      <c r="E1129" s="42" t="inlineStr">
        <is>
          <t>0128</t>
        </is>
      </c>
      <c r="F1129" s="65" t="inlineStr">
        <is>
          <t>Venda</t>
        </is>
      </c>
      <c r="G1129" s="68" t="n">
        <v>0</v>
      </c>
      <c r="H1129" s="172" t="inlineStr">
        <is>
          <t>Não</t>
        </is>
      </c>
      <c r="I1129" s="47" t="inlineStr">
        <is>
          <t>78989056877164</t>
        </is>
      </c>
    </row>
    <row r="1130">
      <c r="A1130" s="43" t="inlineStr">
        <is>
          <t>010080</t>
        </is>
      </c>
      <c r="B1130" s="44" t="inlineStr">
        <is>
          <t>ENTRADA PLUG TICKETS</t>
        </is>
      </c>
      <c r="C1130" s="45" t="inlineStr">
        <is>
          <t>MR</t>
        </is>
      </c>
      <c r="D1130" s="45" t="inlineStr">
        <is>
          <t>UN</t>
        </is>
      </c>
      <c r="E1130" s="45" t="inlineStr">
        <is>
          <t>0128</t>
        </is>
      </c>
      <c r="F1130" s="65" t="inlineStr">
        <is>
          <t>Venda</t>
        </is>
      </c>
      <c r="G1130" s="69" t="n">
        <v>0</v>
      </c>
      <c r="H1130" s="172" t="inlineStr">
        <is>
          <t>Não</t>
        </is>
      </c>
      <c r="I1130" s="48" t="inlineStr">
        <is>
          <t>7898905687169</t>
        </is>
      </c>
    </row>
    <row r="1131">
      <c r="A1131" s="40" t="inlineStr">
        <is>
          <t>010081</t>
        </is>
      </c>
      <c r="B1131" s="41" t="inlineStr">
        <is>
          <t>ENTRADA PLUG TICKETS</t>
        </is>
      </c>
      <c r="C1131" s="42" t="inlineStr">
        <is>
          <t>MR</t>
        </is>
      </c>
      <c r="D1131" s="42" t="inlineStr">
        <is>
          <t>UN</t>
        </is>
      </c>
      <c r="E1131" s="42" t="inlineStr">
        <is>
          <t>0128</t>
        </is>
      </c>
      <c r="F1131" s="65" t="inlineStr">
        <is>
          <t>Venda</t>
        </is>
      </c>
      <c r="G1131" s="68" t="n">
        <v>0</v>
      </c>
      <c r="H1131" s="172" t="inlineStr">
        <is>
          <t>Não</t>
        </is>
      </c>
      <c r="I1131" s="47" t="inlineStr">
        <is>
          <t>7898905687162</t>
        </is>
      </c>
    </row>
    <row r="1132">
      <c r="A1132" s="43" t="inlineStr">
        <is>
          <t>010085</t>
        </is>
      </c>
      <c r="B1132" s="44" t="inlineStr">
        <is>
          <t>ENTRADA PLUG TICKETS</t>
        </is>
      </c>
      <c r="C1132" s="45" t="inlineStr">
        <is>
          <t>MR</t>
        </is>
      </c>
      <c r="D1132" s="45" t="inlineStr">
        <is>
          <t>UN</t>
        </is>
      </c>
      <c r="E1132" s="45" t="inlineStr">
        <is>
          <t>0128</t>
        </is>
      </c>
      <c r="F1132" s="65" t="inlineStr">
        <is>
          <t>Venda</t>
        </is>
      </c>
      <c r="G1132" s="69" t="n">
        <v>0</v>
      </c>
      <c r="H1132" s="172" t="inlineStr">
        <is>
          <t>Não</t>
        </is>
      </c>
      <c r="I1132" s="48" t="inlineStr">
        <is>
          <t>78989056877126</t>
        </is>
      </c>
    </row>
    <row r="1133">
      <c r="A1133" s="40" t="inlineStr">
        <is>
          <t>002051</t>
        </is>
      </c>
      <c r="B1133" s="41" t="inlineStr">
        <is>
          <t>ENTRADA QUARTA</t>
        </is>
      </c>
      <c r="C1133" s="42" t="inlineStr">
        <is>
          <t>MR</t>
        </is>
      </c>
      <c r="D1133" s="42" t="inlineStr">
        <is>
          <t>UN</t>
        </is>
      </c>
      <c r="E1133" s="42" t="inlineStr">
        <is>
          <t>0128</t>
        </is>
      </c>
      <c r="F1133" s="65" t="inlineStr">
        <is>
          <t>Venda</t>
        </is>
      </c>
      <c r="G1133" s="68" t="n">
        <v>0</v>
      </c>
      <c r="H1133" s="173" t="inlineStr">
        <is>
          <t>Sim</t>
        </is>
      </c>
      <c r="I1133" s="47" t="inlineStr">
        <is>
          <t>78989056877139</t>
        </is>
      </c>
    </row>
    <row r="1134">
      <c r="A1134" s="43" t="inlineStr">
        <is>
          <t>010066</t>
        </is>
      </c>
      <c r="B1134" s="44" t="inlineStr">
        <is>
          <t>ENTRADA QUARTA</t>
        </is>
      </c>
      <c r="C1134" s="45" t="inlineStr">
        <is>
          <t>MR</t>
        </is>
      </c>
      <c r="D1134" s="45" t="inlineStr">
        <is>
          <t>UN</t>
        </is>
      </c>
      <c r="E1134" s="45" t="inlineStr">
        <is>
          <t>0128</t>
        </is>
      </c>
      <c r="F1134" s="65" t="inlineStr">
        <is>
          <t>Venda</t>
        </is>
      </c>
      <c r="G1134" s="69" t="n">
        <v>0</v>
      </c>
      <c r="H1134" s="172" t="inlineStr">
        <is>
          <t>Não</t>
        </is>
      </c>
      <c r="I1134" s="48" t="inlineStr">
        <is>
          <t>900339</t>
        </is>
      </c>
    </row>
    <row r="1135">
      <c r="A1135" s="40" t="inlineStr">
        <is>
          <t>010078</t>
        </is>
      </c>
      <c r="B1135" s="41" t="inlineStr">
        <is>
          <t>ENTRADA QUARTA</t>
        </is>
      </c>
      <c r="C1135" s="42" t="inlineStr">
        <is>
          <t>MR</t>
        </is>
      </c>
      <c r="D1135" s="42" t="inlineStr">
        <is>
          <t>UN</t>
        </is>
      </c>
      <c r="E1135" s="42" t="inlineStr">
        <is>
          <t>0128</t>
        </is>
      </c>
      <c r="F1135" s="65" t="inlineStr">
        <is>
          <t>Venda</t>
        </is>
      </c>
      <c r="G1135" s="68" t="n">
        <v>0</v>
      </c>
      <c r="H1135" s="172" t="inlineStr">
        <is>
          <t>Não</t>
        </is>
      </c>
      <c r="I1135" s="47" t="inlineStr">
        <is>
          <t>7898905687163</t>
        </is>
      </c>
    </row>
    <row r="1136">
      <c r="A1136" s="43" t="inlineStr">
        <is>
          <t>000823</t>
        </is>
      </c>
      <c r="B1136" s="44" t="inlineStr">
        <is>
          <t>ENTRADA QUARTA FEIRA</t>
        </is>
      </c>
      <c r="C1136" s="45" t="inlineStr">
        <is>
          <t>MR</t>
        </is>
      </c>
      <c r="D1136" s="45" t="inlineStr">
        <is>
          <t>UN</t>
        </is>
      </c>
      <c r="E1136" s="45" t="inlineStr">
        <is>
          <t>0128</t>
        </is>
      </c>
      <c r="F1136" s="65" t="inlineStr">
        <is>
          <t>Venda</t>
        </is>
      </c>
      <c r="G1136" s="69" t="n">
        <v>0</v>
      </c>
      <c r="H1136" s="173" t="inlineStr">
        <is>
          <t>Sim</t>
        </is>
      </c>
      <c r="I1136" s="48" t="inlineStr">
        <is>
          <t>511005</t>
        </is>
      </c>
    </row>
    <row r="1137">
      <c r="A1137" s="40" t="inlineStr">
        <is>
          <t>000831</t>
        </is>
      </c>
      <c r="B1137" s="41" t="inlineStr">
        <is>
          <t>ENTRADA QUARTA FEIRA</t>
        </is>
      </c>
      <c r="C1137" s="42" t="inlineStr">
        <is>
          <t>MR</t>
        </is>
      </c>
      <c r="D1137" s="42" t="inlineStr">
        <is>
          <t>UN</t>
        </is>
      </c>
      <c r="E1137" s="42" t="inlineStr">
        <is>
          <t>0128</t>
        </is>
      </c>
      <c r="F1137" s="65" t="inlineStr">
        <is>
          <t>Venda</t>
        </is>
      </c>
      <c r="G1137" s="68" t="n">
        <v>0</v>
      </c>
      <c r="H1137" s="173" t="inlineStr">
        <is>
          <t>Sim</t>
        </is>
      </c>
      <c r="I1137" s="49" t="n"/>
    </row>
    <row r="1138">
      <c r="A1138" s="43" t="inlineStr">
        <is>
          <t>000847</t>
        </is>
      </c>
      <c r="B1138" s="44" t="inlineStr">
        <is>
          <t>ENTRADA QUARTA FEIRA</t>
        </is>
      </c>
      <c r="C1138" s="45" t="inlineStr">
        <is>
          <t>MR</t>
        </is>
      </c>
      <c r="D1138" s="45" t="inlineStr">
        <is>
          <t>UN</t>
        </is>
      </c>
      <c r="E1138" s="45" t="inlineStr">
        <is>
          <t>0128</t>
        </is>
      </c>
      <c r="F1138" s="65" t="inlineStr">
        <is>
          <t>Venda</t>
        </is>
      </c>
      <c r="G1138" s="69" t="n">
        <v>0</v>
      </c>
      <c r="H1138" s="173" t="inlineStr">
        <is>
          <t>Sim</t>
        </is>
      </c>
      <c r="I1138" s="48" t="inlineStr">
        <is>
          <t>511030</t>
        </is>
      </c>
    </row>
    <row r="1139">
      <c r="A1139" s="40" t="inlineStr">
        <is>
          <t>000908</t>
        </is>
      </c>
      <c r="B1139" s="41" t="inlineStr">
        <is>
          <t>ENTRADA QUARTA FEIRA</t>
        </is>
      </c>
      <c r="C1139" s="42" t="inlineStr">
        <is>
          <t>MR</t>
        </is>
      </c>
      <c r="D1139" s="42" t="inlineStr">
        <is>
          <t>UN</t>
        </is>
      </c>
      <c r="E1139" s="42" t="inlineStr">
        <is>
          <t>0128</t>
        </is>
      </c>
      <c r="F1139" s="65" t="inlineStr">
        <is>
          <t>Venda</t>
        </is>
      </c>
      <c r="G1139" s="68" t="n">
        <v>0</v>
      </c>
      <c r="H1139" s="173" t="inlineStr">
        <is>
          <t>Sim</t>
        </is>
      </c>
      <c r="I1139" s="47" t="inlineStr">
        <is>
          <t>21069091</t>
        </is>
      </c>
    </row>
    <row r="1140">
      <c r="A1140" s="43" t="inlineStr">
        <is>
          <t>000961</t>
        </is>
      </c>
      <c r="B1140" s="44" t="inlineStr">
        <is>
          <t>ENTRADA QUARTA FEIRA</t>
        </is>
      </c>
      <c r="C1140" s="45" t="inlineStr">
        <is>
          <t>MR</t>
        </is>
      </c>
      <c r="D1140" s="45" t="inlineStr">
        <is>
          <t>UN</t>
        </is>
      </c>
      <c r="E1140" s="45" t="inlineStr">
        <is>
          <t>0128</t>
        </is>
      </c>
      <c r="F1140" s="65" t="inlineStr">
        <is>
          <t>Venda</t>
        </is>
      </c>
      <c r="G1140" s="69" t="n">
        <v>0</v>
      </c>
      <c r="H1140" s="173" t="inlineStr">
        <is>
          <t>Sim</t>
        </is>
      </c>
      <c r="I1140" s="48" t="inlineStr">
        <is>
          <t>9003181</t>
        </is>
      </c>
    </row>
    <row r="1141">
      <c r="A1141" s="40" t="inlineStr">
        <is>
          <t>001028</t>
        </is>
      </c>
      <c r="B1141" s="41" t="inlineStr">
        <is>
          <t>ENTRADA QUARTA FEIRA</t>
        </is>
      </c>
      <c r="C1141" s="42" t="inlineStr">
        <is>
          <t>MR</t>
        </is>
      </c>
      <c r="D1141" s="42" t="inlineStr">
        <is>
          <t>UN</t>
        </is>
      </c>
      <c r="E1141" s="42" t="inlineStr">
        <is>
          <t>0128</t>
        </is>
      </c>
      <c r="F1141" s="65" t="inlineStr">
        <is>
          <t>Venda</t>
        </is>
      </c>
      <c r="G1141" s="68" t="n">
        <v>0</v>
      </c>
      <c r="H1141" s="173" t="inlineStr">
        <is>
          <t>Sim</t>
        </is>
      </c>
      <c r="I1141" s="47" t="inlineStr">
        <is>
          <t>45509</t>
        </is>
      </c>
    </row>
    <row r="1142">
      <c r="A1142" s="43" t="inlineStr">
        <is>
          <t>001062</t>
        </is>
      </c>
      <c r="B1142" s="44" t="inlineStr">
        <is>
          <t>ENTRADA QUARTA FEIRA</t>
        </is>
      </c>
      <c r="C1142" s="45" t="inlineStr">
        <is>
          <t>MR</t>
        </is>
      </c>
      <c r="D1142" s="45" t="inlineStr">
        <is>
          <t>UN</t>
        </is>
      </c>
      <c r="E1142" s="45" t="inlineStr">
        <is>
          <t>0128</t>
        </is>
      </c>
      <c r="F1142" s="65" t="inlineStr">
        <is>
          <t>Venda</t>
        </is>
      </c>
      <c r="G1142" s="69" t="n">
        <v>0</v>
      </c>
      <c r="H1142" s="173" t="inlineStr">
        <is>
          <t>Sim</t>
        </is>
      </c>
      <c r="I1142" s="48" t="inlineStr">
        <is>
          <t>71616</t>
        </is>
      </c>
    </row>
    <row r="1143">
      <c r="A1143" s="40" t="inlineStr">
        <is>
          <t>001113</t>
        </is>
      </c>
      <c r="B1143" s="41" t="inlineStr">
        <is>
          <t>ENTRADA QUARTA FEIRA</t>
        </is>
      </c>
      <c r="C1143" s="42" t="inlineStr">
        <is>
          <t>MR</t>
        </is>
      </c>
      <c r="D1143" s="42" t="inlineStr">
        <is>
          <t>UN</t>
        </is>
      </c>
      <c r="E1143" s="42" t="inlineStr">
        <is>
          <t>0128</t>
        </is>
      </c>
      <c r="F1143" s="65" t="inlineStr">
        <is>
          <t>Venda</t>
        </is>
      </c>
      <c r="G1143" s="68" t="n">
        <v>0</v>
      </c>
      <c r="H1143" s="173" t="inlineStr">
        <is>
          <t>Sim</t>
        </is>
      </c>
      <c r="I1143" s="47" t="inlineStr">
        <is>
          <t>61514</t>
        </is>
      </c>
    </row>
    <row r="1144">
      <c r="A1144" s="43" t="inlineStr">
        <is>
          <t>001115</t>
        </is>
      </c>
      <c r="B1144" s="44" t="inlineStr">
        <is>
          <t>ENTRADA QUARTA FEIRA</t>
        </is>
      </c>
      <c r="C1144" s="45" t="inlineStr">
        <is>
          <t>MR</t>
        </is>
      </c>
      <c r="D1144" s="45" t="inlineStr">
        <is>
          <t>UN</t>
        </is>
      </c>
      <c r="E1144" s="45" t="inlineStr">
        <is>
          <t>0128</t>
        </is>
      </c>
      <c r="F1144" s="65" t="inlineStr">
        <is>
          <t>Venda</t>
        </is>
      </c>
      <c r="G1144" s="69" t="n">
        <v>0</v>
      </c>
      <c r="H1144" s="173" t="inlineStr">
        <is>
          <t>Sim</t>
        </is>
      </c>
      <c r="I1144" s="48" t="inlineStr">
        <is>
          <t>34362</t>
        </is>
      </c>
    </row>
    <row r="1145">
      <c r="A1145" s="40" t="inlineStr">
        <is>
          <t>001119</t>
        </is>
      </c>
      <c r="B1145" s="41" t="inlineStr">
        <is>
          <t>ENTRADA QUARTA FEIRA</t>
        </is>
      </c>
      <c r="C1145" s="42" t="inlineStr">
        <is>
          <t>MR</t>
        </is>
      </c>
      <c r="D1145" s="42" t="inlineStr">
        <is>
          <t>UN</t>
        </is>
      </c>
      <c r="E1145" s="42" t="inlineStr">
        <is>
          <t>0128</t>
        </is>
      </c>
      <c r="F1145" s="65" t="inlineStr">
        <is>
          <t>Venda</t>
        </is>
      </c>
      <c r="G1145" s="68" t="n">
        <v>0</v>
      </c>
      <c r="H1145" s="173" t="inlineStr">
        <is>
          <t>Sim</t>
        </is>
      </c>
      <c r="I1145" s="47" t="inlineStr">
        <is>
          <t>9003390</t>
        </is>
      </c>
    </row>
    <row r="1146">
      <c r="A1146" s="43" t="inlineStr">
        <is>
          <t>001214</t>
        </is>
      </c>
      <c r="B1146" s="44" t="inlineStr">
        <is>
          <t>ENTRADA QUARTA FEIRA</t>
        </is>
      </c>
      <c r="C1146" s="45" t="inlineStr">
        <is>
          <t>MR</t>
        </is>
      </c>
      <c r="D1146" s="45" t="inlineStr">
        <is>
          <t>UN</t>
        </is>
      </c>
      <c r="E1146" s="45" t="inlineStr">
        <is>
          <t>0128</t>
        </is>
      </c>
      <c r="F1146" s="65" t="inlineStr">
        <is>
          <t>Venda</t>
        </is>
      </c>
      <c r="G1146" s="69" t="n">
        <v>0</v>
      </c>
      <c r="H1146" s="177" t="inlineStr">
        <is>
          <t>Sim</t>
        </is>
      </c>
      <c r="I1146" s="178" t="n"/>
    </row>
    <row r="1147">
      <c r="A1147" s="40" t="inlineStr">
        <is>
          <t>001753</t>
        </is>
      </c>
      <c r="B1147" s="41" t="inlineStr">
        <is>
          <t>ENTRADA QUARTA FEIRA</t>
        </is>
      </c>
      <c r="C1147" s="42" t="inlineStr">
        <is>
          <t>MR</t>
        </is>
      </c>
      <c r="D1147" s="42" t="inlineStr">
        <is>
          <t>UN</t>
        </is>
      </c>
      <c r="E1147" s="42" t="inlineStr">
        <is>
          <t>0128</t>
        </is>
      </c>
      <c r="F1147" s="65" t="inlineStr">
        <is>
          <t>Venda</t>
        </is>
      </c>
      <c r="G1147" s="68" t="n">
        <v>0</v>
      </c>
      <c r="H1147" s="173" t="inlineStr">
        <is>
          <t>Sim</t>
        </is>
      </c>
      <c r="I1147" s="47" t="inlineStr">
        <is>
          <t>78989056877124</t>
        </is>
      </c>
    </row>
    <row r="1148">
      <c r="A1148" s="43" t="inlineStr">
        <is>
          <t>001769</t>
        </is>
      </c>
      <c r="B1148" s="44" t="inlineStr">
        <is>
          <t>ENTRADA QUARTA FEIRA</t>
        </is>
      </c>
      <c r="C1148" s="45" t="inlineStr">
        <is>
          <t>MR</t>
        </is>
      </c>
      <c r="D1148" s="45" t="inlineStr">
        <is>
          <t>UN</t>
        </is>
      </c>
      <c r="E1148" s="45" t="inlineStr">
        <is>
          <t>0128</t>
        </is>
      </c>
      <c r="F1148" s="65" t="inlineStr">
        <is>
          <t>Venda</t>
        </is>
      </c>
      <c r="G1148" s="69" t="n">
        <v>0</v>
      </c>
      <c r="H1148" s="173" t="inlineStr">
        <is>
          <t>Sim</t>
        </is>
      </c>
      <c r="I1148" s="48" t="inlineStr">
        <is>
          <t>78989056877124</t>
        </is>
      </c>
    </row>
    <row r="1149">
      <c r="A1149" s="40" t="inlineStr">
        <is>
          <t>001770</t>
        </is>
      </c>
      <c r="B1149" s="41" t="inlineStr">
        <is>
          <t>ENTRADA QUARTA FEIRA</t>
        </is>
      </c>
      <c r="C1149" s="42" t="inlineStr">
        <is>
          <t>OI</t>
        </is>
      </c>
      <c r="D1149" s="42" t="inlineStr">
        <is>
          <t>UN</t>
        </is>
      </c>
      <c r="E1149" s="42" t="inlineStr">
        <is>
          <t>0128</t>
        </is>
      </c>
      <c r="F1149" s="65" t="inlineStr">
        <is>
          <t>Venda</t>
        </is>
      </c>
      <c r="G1149" s="68" t="n">
        <v>0</v>
      </c>
      <c r="H1149" s="172" t="inlineStr">
        <is>
          <t>Não</t>
        </is>
      </c>
      <c r="I1149" s="47" t="inlineStr">
        <is>
          <t>78989056877124</t>
        </is>
      </c>
    </row>
    <row r="1150">
      <c r="A1150" s="43" t="inlineStr">
        <is>
          <t>009988</t>
        </is>
      </c>
      <c r="B1150" s="44" t="inlineStr">
        <is>
          <t>ENTRADA QUARTA FEIRA</t>
        </is>
      </c>
      <c r="C1150" s="45" t="inlineStr">
        <is>
          <t>OI</t>
        </is>
      </c>
      <c r="D1150" s="45" t="inlineStr">
        <is>
          <t>UN</t>
        </is>
      </c>
      <c r="E1150" s="45" t="inlineStr">
        <is>
          <t>0128</t>
        </is>
      </c>
      <c r="F1150" s="65" t="inlineStr">
        <is>
          <t>Venda</t>
        </is>
      </c>
      <c r="G1150" s="69" t="n">
        <v>0</v>
      </c>
      <c r="H1150" s="172" t="inlineStr">
        <is>
          <t>Não</t>
        </is>
      </c>
      <c r="I1150" s="48" t="inlineStr">
        <is>
          <t>511005</t>
        </is>
      </c>
    </row>
    <row r="1151">
      <c r="A1151" s="40" t="inlineStr">
        <is>
          <t>009995</t>
        </is>
      </c>
      <c r="B1151" s="41" t="inlineStr">
        <is>
          <t>ENTRADA QUARTA FEIRA</t>
        </is>
      </c>
      <c r="C1151" s="42" t="inlineStr">
        <is>
          <t>OI</t>
        </is>
      </c>
      <c r="D1151" s="42" t="inlineStr">
        <is>
          <t>UN</t>
        </is>
      </c>
      <c r="E1151" s="42" t="inlineStr">
        <is>
          <t>0128</t>
        </is>
      </c>
      <c r="F1151" s="65" t="inlineStr">
        <is>
          <t>Venda</t>
        </is>
      </c>
      <c r="G1151" s="68" t="n">
        <v>0</v>
      </c>
      <c r="H1151" s="172" t="inlineStr">
        <is>
          <t>Não</t>
        </is>
      </c>
      <c r="I1151" s="47" t="inlineStr">
        <is>
          <t>21069091</t>
        </is>
      </c>
    </row>
    <row r="1152">
      <c r="A1152" s="43" t="inlineStr">
        <is>
          <t>010001</t>
        </is>
      </c>
      <c r="B1152" s="44" t="inlineStr">
        <is>
          <t>ENTRADA QUARTA FEIRA</t>
        </is>
      </c>
      <c r="C1152" s="45" t="inlineStr">
        <is>
          <t>OI</t>
        </is>
      </c>
      <c r="D1152" s="45" t="inlineStr">
        <is>
          <t>UN</t>
        </is>
      </c>
      <c r="E1152" s="45" t="inlineStr">
        <is>
          <t>0128</t>
        </is>
      </c>
      <c r="F1152" s="65" t="inlineStr">
        <is>
          <t>Venda</t>
        </is>
      </c>
      <c r="G1152" s="69" t="n">
        <v>0</v>
      </c>
      <c r="H1152" s="172" t="inlineStr">
        <is>
          <t>Não</t>
        </is>
      </c>
      <c r="I1152" s="48" t="inlineStr">
        <is>
          <t>78989056877139</t>
        </is>
      </c>
    </row>
    <row r="1153">
      <c r="A1153" s="40" t="inlineStr">
        <is>
          <t>010035</t>
        </is>
      </c>
      <c r="B1153" s="41" t="inlineStr">
        <is>
          <t>ENTRADA QUARTA FEIRA</t>
        </is>
      </c>
      <c r="C1153" s="42" t="inlineStr">
        <is>
          <t>OI</t>
        </is>
      </c>
      <c r="D1153" s="42" t="inlineStr">
        <is>
          <t>UN</t>
        </is>
      </c>
      <c r="E1153" s="42" t="inlineStr">
        <is>
          <t>0128</t>
        </is>
      </c>
      <c r="F1153" s="65" t="inlineStr">
        <is>
          <t>Venda</t>
        </is>
      </c>
      <c r="G1153" s="68" t="n">
        <v>0</v>
      </c>
      <c r="H1153" s="172" t="inlineStr">
        <is>
          <t>Não</t>
        </is>
      </c>
      <c r="I1153" s="47" t="inlineStr">
        <is>
          <t>511030</t>
        </is>
      </c>
    </row>
    <row r="1154">
      <c r="A1154" s="43" t="inlineStr">
        <is>
          <t>010045</t>
        </is>
      </c>
      <c r="B1154" s="44" t="inlineStr">
        <is>
          <t>ENTRADA QUARTA FEIRA</t>
        </is>
      </c>
      <c r="C1154" s="45" t="inlineStr">
        <is>
          <t>MR</t>
        </is>
      </c>
      <c r="D1154" s="45" t="inlineStr">
        <is>
          <t>UN</t>
        </is>
      </c>
      <c r="E1154" s="45" t="inlineStr">
        <is>
          <t>0128</t>
        </is>
      </c>
      <c r="F1154" s="65" t="inlineStr">
        <is>
          <t>Venda</t>
        </is>
      </c>
      <c r="G1154" s="69" t="n">
        <v>0</v>
      </c>
      <c r="H1154" s="172" t="inlineStr">
        <is>
          <t>Não</t>
        </is>
      </c>
      <c r="I1154" s="48" t="inlineStr">
        <is>
          <t>45509</t>
        </is>
      </c>
    </row>
    <row r="1155">
      <c r="A1155" s="40" t="inlineStr">
        <is>
          <t>010053</t>
        </is>
      </c>
      <c r="B1155" s="41" t="inlineStr">
        <is>
          <t>ENTRADA QUARTA FEIRA</t>
        </is>
      </c>
      <c r="C1155" s="42" t="inlineStr">
        <is>
          <t>MR</t>
        </is>
      </c>
      <c r="D1155" s="42" t="inlineStr">
        <is>
          <t>UN</t>
        </is>
      </c>
      <c r="E1155" s="42" t="inlineStr">
        <is>
          <t>0128</t>
        </is>
      </c>
      <c r="F1155" s="65" t="inlineStr">
        <is>
          <t>Venda</t>
        </is>
      </c>
      <c r="G1155" s="68" t="n">
        <v>0</v>
      </c>
      <c r="H1155" s="172" t="inlineStr">
        <is>
          <t>Não</t>
        </is>
      </c>
      <c r="I1155" s="47" t="inlineStr">
        <is>
          <t>511007</t>
        </is>
      </c>
    </row>
    <row r="1156">
      <c r="A1156" s="43" t="inlineStr">
        <is>
          <t>010054</t>
        </is>
      </c>
      <c r="B1156" s="44" t="inlineStr">
        <is>
          <t>ENTRADA QUARTA FEIRA</t>
        </is>
      </c>
      <c r="C1156" s="45" t="inlineStr">
        <is>
          <t>MR</t>
        </is>
      </c>
      <c r="D1156" s="45" t="inlineStr">
        <is>
          <t>UN</t>
        </is>
      </c>
      <c r="E1156" s="45" t="inlineStr">
        <is>
          <t>0128</t>
        </is>
      </c>
      <c r="F1156" s="65" t="inlineStr">
        <is>
          <t>Venda</t>
        </is>
      </c>
      <c r="G1156" s="69" t="n">
        <v>0</v>
      </c>
      <c r="H1156" s="172" t="inlineStr">
        <is>
          <t>Não</t>
        </is>
      </c>
      <c r="I1156" s="48" t="inlineStr">
        <is>
          <t>71616</t>
        </is>
      </c>
    </row>
    <row r="1157">
      <c r="A1157" s="40" t="inlineStr">
        <is>
          <t>010057</t>
        </is>
      </c>
      <c r="B1157" s="41" t="inlineStr">
        <is>
          <t>ENTRADA QUARTA FEIRA</t>
        </is>
      </c>
      <c r="C1157" s="42" t="inlineStr">
        <is>
          <t>MR</t>
        </is>
      </c>
      <c r="D1157" s="42" t="inlineStr">
        <is>
          <t>UN</t>
        </is>
      </c>
      <c r="E1157" s="42" t="inlineStr">
        <is>
          <t>0128</t>
        </is>
      </c>
      <c r="F1157" s="65" t="inlineStr">
        <is>
          <t>Venda</t>
        </is>
      </c>
      <c r="G1157" s="68" t="n">
        <v>0</v>
      </c>
      <c r="H1157" s="172" t="inlineStr">
        <is>
          <t>Não</t>
        </is>
      </c>
      <c r="I1157" s="47" t="inlineStr">
        <is>
          <t>34362</t>
        </is>
      </c>
    </row>
    <row r="1158">
      <c r="A1158" s="43" t="inlineStr">
        <is>
          <t>010160</t>
        </is>
      </c>
      <c r="B1158" s="44" t="inlineStr">
        <is>
          <t>ENTRADA QUARTA FEIRA</t>
        </is>
      </c>
      <c r="C1158" s="45" t="inlineStr">
        <is>
          <t>OI</t>
        </is>
      </c>
      <c r="D1158" s="45" t="inlineStr">
        <is>
          <t>UN</t>
        </is>
      </c>
      <c r="E1158" s="45" t="inlineStr">
        <is>
          <t>0128</t>
        </is>
      </c>
      <c r="F1158" s="65" t="inlineStr">
        <is>
          <t>Venda</t>
        </is>
      </c>
      <c r="G1158" s="69" t="n">
        <v>0</v>
      </c>
      <c r="H1158" s="172" t="inlineStr">
        <is>
          <t>Não</t>
        </is>
      </c>
      <c r="I1158" s="48" t="inlineStr">
        <is>
          <t>82764</t>
        </is>
      </c>
    </row>
    <row r="1159">
      <c r="A1159" s="40" t="inlineStr">
        <is>
          <t>001092</t>
        </is>
      </c>
      <c r="B1159" s="41" t="inlineStr">
        <is>
          <t>ENTRADA QUARTA FEIRA H</t>
        </is>
      </c>
      <c r="C1159" s="42" t="inlineStr">
        <is>
          <t>MR</t>
        </is>
      </c>
      <c r="D1159" s="42" t="inlineStr">
        <is>
          <t>UN</t>
        </is>
      </c>
      <c r="E1159" s="42" t="inlineStr">
        <is>
          <t>0128</t>
        </is>
      </c>
      <c r="F1159" s="65" t="inlineStr">
        <is>
          <t>Venda</t>
        </is>
      </c>
      <c r="G1159" s="68" t="n">
        <v>0</v>
      </c>
      <c r="H1159" s="173" t="inlineStr">
        <is>
          <t>Sim</t>
        </is>
      </c>
      <c r="I1159" s="49" t="n"/>
    </row>
    <row r="1160">
      <c r="A1160" s="43" t="inlineStr">
        <is>
          <t>001093</t>
        </is>
      </c>
      <c r="B1160" s="44" t="inlineStr">
        <is>
          <t>ENTRADA QUARTA FEIRA M</t>
        </is>
      </c>
      <c r="C1160" s="45" t="inlineStr">
        <is>
          <t>MR</t>
        </is>
      </c>
      <c r="D1160" s="45" t="inlineStr">
        <is>
          <t>UN</t>
        </is>
      </c>
      <c r="E1160" s="45" t="inlineStr">
        <is>
          <t>0128</t>
        </is>
      </c>
      <c r="F1160" s="65" t="inlineStr">
        <is>
          <t>Venda</t>
        </is>
      </c>
      <c r="G1160" s="69" t="n">
        <v>0</v>
      </c>
      <c r="H1160" s="173" t="inlineStr">
        <is>
          <t>Sim</t>
        </is>
      </c>
      <c r="I1160" s="48" t="inlineStr">
        <is>
          <t>46064</t>
        </is>
      </c>
    </row>
    <row r="1161">
      <c r="A1161" s="40" t="inlineStr">
        <is>
          <t>001568</t>
        </is>
      </c>
      <c r="B1161" s="41" t="inlineStr">
        <is>
          <t>ENTRADA QUINTA</t>
        </is>
      </c>
      <c r="C1161" s="42" t="inlineStr">
        <is>
          <t>OI</t>
        </is>
      </c>
      <c r="D1161" s="42" t="inlineStr">
        <is>
          <t>UN</t>
        </is>
      </c>
      <c r="E1161" s="42" t="inlineStr">
        <is>
          <t>0128</t>
        </is>
      </c>
      <c r="F1161" s="65" t="inlineStr">
        <is>
          <t>Venda</t>
        </is>
      </c>
      <c r="G1161" s="68" t="n">
        <v>0</v>
      </c>
      <c r="H1161" s="172" t="inlineStr">
        <is>
          <t>Não</t>
        </is>
      </c>
      <c r="I1161" s="47" t="inlineStr">
        <is>
          <t>78989056877122</t>
        </is>
      </c>
    </row>
    <row r="1162">
      <c r="A1162" s="43" t="inlineStr">
        <is>
          <t>000825</t>
        </is>
      </c>
      <c r="B1162" s="44" t="inlineStr">
        <is>
          <t>ENTRADA QUINTA FEIRA</t>
        </is>
      </c>
      <c r="C1162" s="45" t="inlineStr">
        <is>
          <t>MR</t>
        </is>
      </c>
      <c r="D1162" s="45" t="inlineStr">
        <is>
          <t>UN</t>
        </is>
      </c>
      <c r="E1162" s="45" t="inlineStr">
        <is>
          <t>0128</t>
        </is>
      </c>
      <c r="F1162" s="65" t="inlineStr">
        <is>
          <t>Venda</t>
        </is>
      </c>
      <c r="G1162" s="69" t="n">
        <v>0</v>
      </c>
      <c r="H1162" s="173" t="inlineStr">
        <is>
          <t>Sim</t>
        </is>
      </c>
      <c r="I1162" s="48" t="inlineStr">
        <is>
          <t>511007</t>
        </is>
      </c>
    </row>
    <row r="1163">
      <c r="A1163" s="40" t="inlineStr">
        <is>
          <t>000833</t>
        </is>
      </c>
      <c r="B1163" s="41" t="inlineStr">
        <is>
          <t>ENTRADA QUINTA FEIRA</t>
        </is>
      </c>
      <c r="C1163" s="42" t="inlineStr">
        <is>
          <t>MR</t>
        </is>
      </c>
      <c r="D1163" s="42" t="inlineStr">
        <is>
          <t>UN</t>
        </is>
      </c>
      <c r="E1163" s="42" t="inlineStr">
        <is>
          <t>0128</t>
        </is>
      </c>
      <c r="F1163" s="65" t="inlineStr">
        <is>
          <t>Venda</t>
        </is>
      </c>
      <c r="G1163" s="68" t="n">
        <v>0</v>
      </c>
      <c r="H1163" s="173" t="inlineStr">
        <is>
          <t>Sim</t>
        </is>
      </c>
      <c r="I1163" s="47" t="inlineStr">
        <is>
          <t>7898905687167</t>
        </is>
      </c>
    </row>
    <row r="1164">
      <c r="A1164" s="43" t="inlineStr">
        <is>
          <t>000861</t>
        </is>
      </c>
      <c r="B1164" s="44" t="inlineStr">
        <is>
          <t>ENTRADA QUINTA FEIRA</t>
        </is>
      </c>
      <c r="C1164" s="45" t="inlineStr">
        <is>
          <t>MR</t>
        </is>
      </c>
      <c r="D1164" s="45" t="inlineStr">
        <is>
          <t>UN</t>
        </is>
      </c>
      <c r="E1164" s="45" t="inlineStr">
        <is>
          <t>0128</t>
        </is>
      </c>
      <c r="F1164" s="65" t="inlineStr">
        <is>
          <t>Venda</t>
        </is>
      </c>
      <c r="G1164" s="69" t="n">
        <v>0</v>
      </c>
      <c r="H1164" s="173" t="inlineStr">
        <is>
          <t>Sim</t>
        </is>
      </c>
      <c r="I1164" s="48" t="inlineStr">
        <is>
          <t>511053</t>
        </is>
      </c>
    </row>
    <row r="1165">
      <c r="A1165" s="40" t="inlineStr">
        <is>
          <t>001034</t>
        </is>
      </c>
      <c r="B1165" s="41" t="inlineStr">
        <is>
          <t>ENTRADA QUINTA FEIRA</t>
        </is>
      </c>
      <c r="C1165" s="42" t="inlineStr">
        <is>
          <t>MR</t>
        </is>
      </c>
      <c r="D1165" s="42" t="inlineStr">
        <is>
          <t>UN</t>
        </is>
      </c>
      <c r="E1165" s="42" t="inlineStr">
        <is>
          <t>0128</t>
        </is>
      </c>
      <c r="F1165" s="65" t="inlineStr">
        <is>
          <t>Venda</t>
        </is>
      </c>
      <c r="G1165" s="68" t="n">
        <v>0</v>
      </c>
      <c r="H1165" s="173" t="inlineStr">
        <is>
          <t>Sim</t>
        </is>
      </c>
      <c r="I1165" s="47" t="inlineStr">
        <is>
          <t>74216</t>
        </is>
      </c>
    </row>
    <row r="1166">
      <c r="A1166" s="43" t="inlineStr">
        <is>
          <t>001095</t>
        </is>
      </c>
      <c r="B1166" s="44" t="inlineStr">
        <is>
          <t>ENTRADA QUINTA FEIRA</t>
        </is>
      </c>
      <c r="C1166" s="45" t="inlineStr">
        <is>
          <t>MR</t>
        </is>
      </c>
      <c r="D1166" s="45" t="inlineStr">
        <is>
          <t>UN</t>
        </is>
      </c>
      <c r="E1166" s="45" t="inlineStr">
        <is>
          <t>0128</t>
        </is>
      </c>
      <c r="F1166" s="65" t="inlineStr">
        <is>
          <t>Venda</t>
        </is>
      </c>
      <c r="G1166" s="69" t="n">
        <v>0</v>
      </c>
      <c r="H1166" s="173" t="inlineStr">
        <is>
          <t>Sim</t>
        </is>
      </c>
      <c r="I1166" s="48" t="inlineStr">
        <is>
          <t>95063</t>
        </is>
      </c>
    </row>
    <row r="1167">
      <c r="A1167" s="40" t="inlineStr">
        <is>
          <t>001106</t>
        </is>
      </c>
      <c r="B1167" s="41" t="inlineStr">
        <is>
          <t>ENTRADA QUINTA FEIRA</t>
        </is>
      </c>
      <c r="C1167" s="42" t="inlineStr">
        <is>
          <t>OI</t>
        </is>
      </c>
      <c r="D1167" s="42" t="inlineStr">
        <is>
          <t>UN</t>
        </is>
      </c>
      <c r="E1167" s="42" t="inlineStr">
        <is>
          <t>0128</t>
        </is>
      </c>
      <c r="F1167" s="65" t="inlineStr">
        <is>
          <t>Venda</t>
        </is>
      </c>
      <c r="G1167" s="68" t="n">
        <v>0</v>
      </c>
      <c r="H1167" s="172" t="inlineStr">
        <is>
          <t>Não</t>
        </is>
      </c>
      <c r="I1167" s="47" t="inlineStr">
        <is>
          <t>83178</t>
        </is>
      </c>
    </row>
    <row r="1168">
      <c r="A1168" s="43" t="inlineStr">
        <is>
          <t>001110</t>
        </is>
      </c>
      <c r="B1168" s="44" t="inlineStr">
        <is>
          <t>ENTRADA QUINTA FEIRA</t>
        </is>
      </c>
      <c r="C1168" s="45" t="inlineStr">
        <is>
          <t>MR</t>
        </is>
      </c>
      <c r="D1168" s="45" t="inlineStr">
        <is>
          <t>UN</t>
        </is>
      </c>
      <c r="E1168" s="45" t="inlineStr">
        <is>
          <t>0128</t>
        </is>
      </c>
      <c r="F1168" s="65" t="inlineStr">
        <is>
          <t>Venda</t>
        </is>
      </c>
      <c r="G1168" s="69" t="n">
        <v>0</v>
      </c>
      <c r="H1168" s="173" t="inlineStr">
        <is>
          <t>Sim</t>
        </is>
      </c>
      <c r="I1168" s="48" t="inlineStr">
        <is>
          <t>14669</t>
        </is>
      </c>
    </row>
    <row r="1169">
      <c r="A1169" s="40" t="inlineStr">
        <is>
          <t>001114</t>
        </is>
      </c>
      <c r="B1169" s="41" t="inlineStr">
        <is>
          <t>ENTRADA QUINTA FEIRA</t>
        </is>
      </c>
      <c r="C1169" s="42" t="inlineStr">
        <is>
          <t>MR</t>
        </is>
      </c>
      <c r="D1169" s="42" t="inlineStr">
        <is>
          <t>UN</t>
        </is>
      </c>
      <c r="E1169" s="42" t="inlineStr">
        <is>
          <t>0128</t>
        </is>
      </c>
      <c r="F1169" s="65" t="inlineStr">
        <is>
          <t>Venda</t>
        </is>
      </c>
      <c r="G1169" s="68" t="n">
        <v>0</v>
      </c>
      <c r="H1169" s="173" t="inlineStr">
        <is>
          <t>Sim</t>
        </is>
      </c>
      <c r="I1169" s="47" t="inlineStr">
        <is>
          <t>11147</t>
        </is>
      </c>
    </row>
    <row r="1170">
      <c r="A1170" s="43" t="inlineStr">
        <is>
          <t>001127</t>
        </is>
      </c>
      <c r="B1170" s="44" t="inlineStr">
        <is>
          <t>ENTRADA QUINTA FEIRA</t>
        </is>
      </c>
      <c r="C1170" s="45" t="inlineStr">
        <is>
          <t>MR</t>
        </is>
      </c>
      <c r="D1170" s="45" t="inlineStr">
        <is>
          <t>UN</t>
        </is>
      </c>
      <c r="E1170" s="45" t="inlineStr">
        <is>
          <t>0128</t>
        </is>
      </c>
      <c r="F1170" s="65" t="inlineStr">
        <is>
          <t>Venda</t>
        </is>
      </c>
      <c r="G1170" s="69" t="n">
        <v>0</v>
      </c>
      <c r="H1170" s="173" t="inlineStr">
        <is>
          <t>Sim</t>
        </is>
      </c>
      <c r="I1170" s="48" t="inlineStr">
        <is>
          <t>9003392</t>
        </is>
      </c>
    </row>
    <row r="1171">
      <c r="A1171" s="40" t="inlineStr">
        <is>
          <t>001213</t>
        </is>
      </c>
      <c r="B1171" s="41" t="inlineStr">
        <is>
          <t>ENTRADA QUINTA FEIRA</t>
        </is>
      </c>
      <c r="C1171" s="42" t="inlineStr">
        <is>
          <t>MR</t>
        </is>
      </c>
      <c r="D1171" s="42" t="inlineStr">
        <is>
          <t>UN</t>
        </is>
      </c>
      <c r="E1171" s="42" t="inlineStr">
        <is>
          <t>0128</t>
        </is>
      </c>
      <c r="F1171" s="65" t="inlineStr">
        <is>
          <t>Venda</t>
        </is>
      </c>
      <c r="G1171" s="68" t="n">
        <v>0</v>
      </c>
      <c r="H1171" s="177" t="inlineStr">
        <is>
          <t>Sim</t>
        </is>
      </c>
      <c r="I1171" s="178" t="n"/>
    </row>
    <row r="1172">
      <c r="A1172" s="43" t="inlineStr">
        <is>
          <t>009986</t>
        </is>
      </c>
      <c r="B1172" s="44" t="inlineStr">
        <is>
          <t>ENTRADA QUINTA FEIRA</t>
        </is>
      </c>
      <c r="C1172" s="45" t="inlineStr">
        <is>
          <t>OI</t>
        </is>
      </c>
      <c r="D1172" s="45" t="inlineStr">
        <is>
          <t>UN</t>
        </is>
      </c>
      <c r="E1172" s="45" t="inlineStr">
        <is>
          <t>0128</t>
        </is>
      </c>
      <c r="F1172" s="65" t="inlineStr">
        <is>
          <t>Venda</t>
        </is>
      </c>
      <c r="G1172" s="69" t="n">
        <v>0</v>
      </c>
      <c r="H1172" s="172" t="inlineStr">
        <is>
          <t>Não</t>
        </is>
      </c>
      <c r="I1172" s="48" t="inlineStr">
        <is>
          <t>54039</t>
        </is>
      </c>
    </row>
    <row r="1173">
      <c r="A1173" s="40" t="inlineStr">
        <is>
          <t>009991</t>
        </is>
      </c>
      <c r="B1173" s="41" t="inlineStr">
        <is>
          <t>ENTRADA QUINTA FEIRA</t>
        </is>
      </c>
      <c r="C1173" s="42" t="inlineStr">
        <is>
          <t>OI</t>
        </is>
      </c>
      <c r="D1173" s="42" t="inlineStr">
        <is>
          <t>UN</t>
        </is>
      </c>
      <c r="E1173" s="42" t="inlineStr">
        <is>
          <t>0128</t>
        </is>
      </c>
      <c r="F1173" s="65" t="inlineStr">
        <is>
          <t>Venda</t>
        </is>
      </c>
      <c r="G1173" s="68" t="n">
        <v>0</v>
      </c>
      <c r="H1173" s="172" t="inlineStr">
        <is>
          <t>Não</t>
        </is>
      </c>
      <c r="I1173" s="47" t="inlineStr">
        <is>
          <t>95063</t>
        </is>
      </c>
    </row>
    <row r="1174">
      <c r="A1174" s="43" t="inlineStr">
        <is>
          <t>009998</t>
        </is>
      </c>
      <c r="B1174" s="44" t="inlineStr">
        <is>
          <t>ENTRADA QUINTA FEIRA</t>
        </is>
      </c>
      <c r="C1174" s="45" t="inlineStr">
        <is>
          <t>OI</t>
        </is>
      </c>
      <c r="D1174" s="45" t="inlineStr">
        <is>
          <t>UN</t>
        </is>
      </c>
      <c r="E1174" s="45" t="inlineStr">
        <is>
          <t>0128</t>
        </is>
      </c>
      <c r="F1174" s="65" t="inlineStr">
        <is>
          <t>Venda</t>
        </is>
      </c>
      <c r="G1174" s="69" t="n">
        <v>0</v>
      </c>
      <c r="H1174" s="172" t="inlineStr">
        <is>
          <t>Não</t>
        </is>
      </c>
      <c r="I1174" s="48" t="inlineStr">
        <is>
          <t>14669</t>
        </is>
      </c>
    </row>
    <row r="1175">
      <c r="A1175" s="40" t="inlineStr">
        <is>
          <t>010036</t>
        </is>
      </c>
      <c r="B1175" s="41" t="inlineStr">
        <is>
          <t>ENTRADA QUINTA FEIRA</t>
        </is>
      </c>
      <c r="C1175" s="42" t="inlineStr">
        <is>
          <t>OI</t>
        </is>
      </c>
      <c r="D1175" s="42" t="inlineStr">
        <is>
          <t>UN</t>
        </is>
      </c>
      <c r="E1175" s="42" t="inlineStr">
        <is>
          <t>0128</t>
        </is>
      </c>
      <c r="F1175" s="65" t="inlineStr">
        <is>
          <t>Venda</t>
        </is>
      </c>
      <c r="G1175" s="68" t="n">
        <v>0</v>
      </c>
      <c r="H1175" s="172" t="inlineStr">
        <is>
          <t>Não</t>
        </is>
      </c>
      <c r="I1175" s="47" t="inlineStr">
        <is>
          <t>511053</t>
        </is>
      </c>
    </row>
    <row r="1176">
      <c r="A1176" s="43" t="inlineStr">
        <is>
          <t>010046</t>
        </is>
      </c>
      <c r="B1176" s="44" t="inlineStr">
        <is>
          <t>ENTRADA QUINTA FEIRA</t>
        </is>
      </c>
      <c r="C1176" s="45" t="inlineStr">
        <is>
          <t>MR</t>
        </is>
      </c>
      <c r="D1176" s="45" t="inlineStr">
        <is>
          <t>UN</t>
        </is>
      </c>
      <c r="E1176" s="45" t="inlineStr">
        <is>
          <t>0128</t>
        </is>
      </c>
      <c r="F1176" s="65" t="inlineStr">
        <is>
          <t>Venda</t>
        </is>
      </c>
      <c r="G1176" s="69" t="n">
        <v>0</v>
      </c>
      <c r="H1176" s="172" t="inlineStr">
        <is>
          <t>Não</t>
        </is>
      </c>
      <c r="I1176" s="48" t="inlineStr">
        <is>
          <t>11147</t>
        </is>
      </c>
    </row>
    <row r="1177">
      <c r="A1177" s="40" t="inlineStr">
        <is>
          <t>010061</t>
        </is>
      </c>
      <c r="B1177" s="41" t="inlineStr">
        <is>
          <t>ENTRADA QUINTA FEIRA</t>
        </is>
      </c>
      <c r="C1177" s="42" t="inlineStr">
        <is>
          <t>MR</t>
        </is>
      </c>
      <c r="D1177" s="42" t="inlineStr">
        <is>
          <t>UN</t>
        </is>
      </c>
      <c r="E1177" s="42" t="inlineStr">
        <is>
          <t>0128</t>
        </is>
      </c>
      <c r="F1177" s="65" t="inlineStr">
        <is>
          <t>Venda</t>
        </is>
      </c>
      <c r="G1177" s="68" t="n">
        <v>0</v>
      </c>
      <c r="H1177" s="172" t="inlineStr">
        <is>
          <t>Não</t>
        </is>
      </c>
      <c r="I1177" s="47" t="inlineStr">
        <is>
          <t>74216</t>
        </is>
      </c>
    </row>
    <row r="1178">
      <c r="A1178" s="43" t="inlineStr">
        <is>
          <t>010067</t>
        </is>
      </c>
      <c r="B1178" s="44" t="inlineStr">
        <is>
          <t>ENTRADA QUINTA FEIRA</t>
        </is>
      </c>
      <c r="C1178" s="45" t="inlineStr">
        <is>
          <t>MR</t>
        </is>
      </c>
      <c r="D1178" s="45" t="inlineStr">
        <is>
          <t>UN</t>
        </is>
      </c>
      <c r="E1178" s="45" t="inlineStr">
        <is>
          <t>0128</t>
        </is>
      </c>
      <c r="F1178" s="65" t="inlineStr">
        <is>
          <t>Venda</t>
        </is>
      </c>
      <c r="G1178" s="69" t="n">
        <v>0</v>
      </c>
      <c r="H1178" s="172" t="inlineStr">
        <is>
          <t>Não</t>
        </is>
      </c>
      <c r="I1178" s="48" t="inlineStr">
        <is>
          <t>9003390</t>
        </is>
      </c>
    </row>
    <row r="1179">
      <c r="A1179" s="40" t="inlineStr">
        <is>
          <t>010073</t>
        </is>
      </c>
      <c r="B1179" s="41" t="inlineStr">
        <is>
          <t>ENTRADA QUINTA FEIRA</t>
        </is>
      </c>
      <c r="C1179" s="42" t="inlineStr">
        <is>
          <t>MR</t>
        </is>
      </c>
      <c r="D1179" s="42" t="inlineStr">
        <is>
          <t>UN</t>
        </is>
      </c>
      <c r="E1179" s="42" t="inlineStr">
        <is>
          <t>0128</t>
        </is>
      </c>
      <c r="F1179" s="65" t="inlineStr">
        <is>
          <t>Venda</t>
        </is>
      </c>
      <c r="G1179" s="68" t="n">
        <v>0</v>
      </c>
      <c r="H1179" s="172" t="inlineStr">
        <is>
          <t>Não</t>
        </is>
      </c>
      <c r="I1179" s="47" t="inlineStr">
        <is>
          <t>78989056877157</t>
        </is>
      </c>
    </row>
    <row r="1180">
      <c r="A1180" s="43" t="inlineStr">
        <is>
          <t>010082</t>
        </is>
      </c>
      <c r="B1180" s="44" t="inlineStr">
        <is>
          <t>ENTRADA QUINTA FEIRA</t>
        </is>
      </c>
      <c r="C1180" s="45" t="inlineStr">
        <is>
          <t>MR</t>
        </is>
      </c>
      <c r="D1180" s="45" t="inlineStr">
        <is>
          <t>UN</t>
        </is>
      </c>
      <c r="E1180" s="45" t="inlineStr">
        <is>
          <t>0128</t>
        </is>
      </c>
      <c r="F1180" s="65" t="inlineStr">
        <is>
          <t>Venda</t>
        </is>
      </c>
      <c r="G1180" s="69" t="n">
        <v>0</v>
      </c>
      <c r="H1180" s="172" t="inlineStr">
        <is>
          <t>Não</t>
        </is>
      </c>
      <c r="I1180" s="48" t="inlineStr">
        <is>
          <t>7898905687170</t>
        </is>
      </c>
    </row>
    <row r="1181">
      <c r="A1181" s="40" t="inlineStr">
        <is>
          <t>010346</t>
        </is>
      </c>
      <c r="B1181" s="41" t="inlineStr">
        <is>
          <t>ENTRADA QUINTA FEIRA</t>
        </is>
      </c>
      <c r="C1181" s="42" t="inlineStr">
        <is>
          <t>OI</t>
        </is>
      </c>
      <c r="D1181" s="42" t="inlineStr">
        <is>
          <t>UN</t>
        </is>
      </c>
      <c r="E1181" s="42" t="inlineStr">
        <is>
          <t>0128</t>
        </is>
      </c>
      <c r="F1181" s="65" t="inlineStr">
        <is>
          <t>Venda</t>
        </is>
      </c>
      <c r="G1181" s="68" t="n">
        <v>0</v>
      </c>
      <c r="H1181" s="172" t="inlineStr">
        <is>
          <t>Não</t>
        </is>
      </c>
      <c r="I1181" s="47" t="inlineStr">
        <is>
          <t>9003181</t>
        </is>
      </c>
    </row>
    <row r="1182">
      <c r="A1182" s="43" t="inlineStr">
        <is>
          <t>002242</t>
        </is>
      </c>
      <c r="B1182" s="44" t="inlineStr">
        <is>
          <t>ENTRADA QUINTA-FEIRA</t>
        </is>
      </c>
      <c r="C1182" s="45" t="inlineStr">
        <is>
          <t>MR</t>
        </is>
      </c>
      <c r="D1182" s="45" t="inlineStr">
        <is>
          <t>UN</t>
        </is>
      </c>
      <c r="E1182" s="45" t="inlineStr">
        <is>
          <t>0128</t>
        </is>
      </c>
      <c r="F1182" s="65" t="inlineStr">
        <is>
          <t>Venda</t>
        </is>
      </c>
      <c r="G1182" s="69" t="n">
        <v>0</v>
      </c>
      <c r="H1182" s="173" t="inlineStr">
        <is>
          <t>Sim</t>
        </is>
      </c>
      <c r="I1182" s="48" t="inlineStr">
        <is>
          <t>78989056877165</t>
        </is>
      </c>
    </row>
    <row r="1183">
      <c r="A1183" s="40" t="inlineStr">
        <is>
          <t>000836</t>
        </is>
      </c>
      <c r="B1183" s="41" t="inlineStr">
        <is>
          <t>ENTRADA SABADO</t>
        </is>
      </c>
      <c r="C1183" s="42" t="inlineStr">
        <is>
          <t>MR</t>
        </is>
      </c>
      <c r="D1183" s="42" t="inlineStr">
        <is>
          <t>UN</t>
        </is>
      </c>
      <c r="E1183" s="42" t="inlineStr">
        <is>
          <t>0128</t>
        </is>
      </c>
      <c r="F1183" s="65" t="inlineStr">
        <is>
          <t>Venda</t>
        </is>
      </c>
      <c r="G1183" s="68" t="n">
        <v>0</v>
      </c>
      <c r="H1183" s="173" t="inlineStr">
        <is>
          <t>Sim</t>
        </is>
      </c>
      <c r="I1183" s="47" t="inlineStr">
        <is>
          <t>7898905687169</t>
        </is>
      </c>
    </row>
    <row r="1184">
      <c r="A1184" s="43" t="inlineStr">
        <is>
          <t>000907</t>
        </is>
      </c>
      <c r="B1184" s="44" t="inlineStr">
        <is>
          <t>ENTRADA SABADO</t>
        </is>
      </c>
      <c r="C1184" s="45" t="inlineStr">
        <is>
          <t>MR</t>
        </is>
      </c>
      <c r="D1184" s="45" t="inlineStr">
        <is>
          <t>UN</t>
        </is>
      </c>
      <c r="E1184" s="45" t="inlineStr">
        <is>
          <t>0128</t>
        </is>
      </c>
      <c r="F1184" s="65" t="inlineStr">
        <is>
          <t>Venda</t>
        </is>
      </c>
      <c r="G1184" s="69" t="n">
        <v>0</v>
      </c>
      <c r="H1184" s="173" t="inlineStr">
        <is>
          <t>Sim</t>
        </is>
      </c>
      <c r="I1184" s="48" t="inlineStr">
        <is>
          <t>800063</t>
        </is>
      </c>
    </row>
    <row r="1185">
      <c r="A1185" s="40" t="inlineStr">
        <is>
          <t>001102</t>
        </is>
      </c>
      <c r="B1185" s="41" t="inlineStr">
        <is>
          <t>ENTRADA SABADO</t>
        </is>
      </c>
      <c r="C1185" s="42" t="inlineStr">
        <is>
          <t>MR</t>
        </is>
      </c>
      <c r="D1185" s="42" t="inlineStr">
        <is>
          <t>UN</t>
        </is>
      </c>
      <c r="E1185" s="42" t="inlineStr">
        <is>
          <t>0128</t>
        </is>
      </c>
      <c r="F1185" s="65" t="inlineStr">
        <is>
          <t>Venda</t>
        </is>
      </c>
      <c r="G1185" s="68" t="n">
        <v>0</v>
      </c>
      <c r="H1185" s="173" t="inlineStr">
        <is>
          <t>Sim</t>
        </is>
      </c>
      <c r="I1185" s="47" t="inlineStr">
        <is>
          <t>69104</t>
        </is>
      </c>
    </row>
    <row r="1186">
      <c r="A1186" s="43" t="inlineStr">
        <is>
          <t>001120</t>
        </is>
      </c>
      <c r="B1186" s="44" t="inlineStr">
        <is>
          <t>ENTRADA SABADO</t>
        </is>
      </c>
      <c r="C1186" s="45" t="inlineStr">
        <is>
          <t>MR</t>
        </is>
      </c>
      <c r="D1186" s="45" t="inlineStr">
        <is>
          <t>UN</t>
        </is>
      </c>
      <c r="E1186" s="45" t="inlineStr">
        <is>
          <t>0128</t>
        </is>
      </c>
      <c r="F1186" s="65" t="inlineStr">
        <is>
          <t>Venda</t>
        </is>
      </c>
      <c r="G1186" s="69" t="n">
        <v>0</v>
      </c>
      <c r="H1186" s="173" t="inlineStr">
        <is>
          <t>Sim</t>
        </is>
      </c>
      <c r="I1186" s="48" t="inlineStr">
        <is>
          <t>9003383</t>
        </is>
      </c>
    </row>
    <row r="1187">
      <c r="A1187" s="40" t="inlineStr">
        <is>
          <t>001123</t>
        </is>
      </c>
      <c r="B1187" s="41" t="inlineStr">
        <is>
          <t>ENTRADA SABADO</t>
        </is>
      </c>
      <c r="C1187" s="42" t="inlineStr">
        <is>
          <t>MR</t>
        </is>
      </c>
      <c r="D1187" s="42" t="inlineStr">
        <is>
          <t>UN</t>
        </is>
      </c>
      <c r="E1187" s="42" t="inlineStr">
        <is>
          <t>0128</t>
        </is>
      </c>
      <c r="F1187" s="65" t="inlineStr">
        <is>
          <t>Venda</t>
        </is>
      </c>
      <c r="G1187" s="68" t="n">
        <v>0</v>
      </c>
      <c r="H1187" s="177" t="inlineStr">
        <is>
          <t>Sim</t>
        </is>
      </c>
      <c r="I1187" s="178" t="n"/>
    </row>
    <row r="1188">
      <c r="A1188" s="43" t="inlineStr">
        <is>
          <t>001491</t>
        </is>
      </c>
      <c r="B1188" s="44" t="inlineStr">
        <is>
          <t>ENTRADA SABADO</t>
        </is>
      </c>
      <c r="C1188" s="45" t="inlineStr">
        <is>
          <t>OI</t>
        </is>
      </c>
      <c r="D1188" s="45" t="inlineStr">
        <is>
          <t>UN</t>
        </is>
      </c>
      <c r="E1188" s="45" t="inlineStr">
        <is>
          <t>0128</t>
        </is>
      </c>
      <c r="F1188" s="65" t="inlineStr">
        <is>
          <t>Venda</t>
        </is>
      </c>
      <c r="G1188" s="69" t="n">
        <v>0</v>
      </c>
      <c r="H1188" s="172" t="inlineStr">
        <is>
          <t>Não</t>
        </is>
      </c>
      <c r="I1188" s="48" t="inlineStr">
        <is>
          <t>78989056877121</t>
        </is>
      </c>
    </row>
    <row r="1189">
      <c r="A1189" s="40" t="inlineStr">
        <is>
          <t>009861</t>
        </is>
      </c>
      <c r="B1189" s="41" t="inlineStr">
        <is>
          <t>ENTRADA SABADO</t>
        </is>
      </c>
      <c r="C1189" s="42" t="inlineStr">
        <is>
          <t>OI</t>
        </is>
      </c>
      <c r="D1189" s="42" t="inlineStr">
        <is>
          <t>UN</t>
        </is>
      </c>
      <c r="E1189" s="42" t="inlineStr">
        <is>
          <t>0128</t>
        </is>
      </c>
      <c r="F1189" s="65" t="inlineStr">
        <is>
          <t>Venda</t>
        </is>
      </c>
      <c r="G1189" s="68" t="n">
        <v>0</v>
      </c>
      <c r="H1189" s="172" t="inlineStr">
        <is>
          <t>Não</t>
        </is>
      </c>
      <c r="I1189" s="47" t="inlineStr">
        <is>
          <t>80679</t>
        </is>
      </c>
    </row>
    <row r="1190">
      <c r="A1190" s="43" t="inlineStr">
        <is>
          <t>009987</t>
        </is>
      </c>
      <c r="B1190" s="44" t="inlineStr">
        <is>
          <t>ENTRADA SABADO</t>
        </is>
      </c>
      <c r="C1190" s="45" t="inlineStr">
        <is>
          <t>OI</t>
        </is>
      </c>
      <c r="D1190" s="45" t="inlineStr">
        <is>
          <t>UN</t>
        </is>
      </c>
      <c r="E1190" s="45" t="inlineStr">
        <is>
          <t>0128</t>
        </is>
      </c>
      <c r="F1190" s="65" t="inlineStr">
        <is>
          <t>Venda</t>
        </is>
      </c>
      <c r="G1190" s="69" t="n">
        <v>0</v>
      </c>
      <c r="H1190" s="172" t="inlineStr">
        <is>
          <t>Não</t>
        </is>
      </c>
      <c r="I1190" s="48" t="inlineStr">
        <is>
          <t>69104</t>
        </is>
      </c>
    </row>
    <row r="1191">
      <c r="A1191" s="40" t="inlineStr">
        <is>
          <t>010033</t>
        </is>
      </c>
      <c r="B1191" s="41" t="inlineStr">
        <is>
          <t>ENTRADA SABADO</t>
        </is>
      </c>
      <c r="C1191" s="42" t="inlineStr">
        <is>
          <t>OI</t>
        </is>
      </c>
      <c r="D1191" s="42" t="inlineStr">
        <is>
          <t>UN</t>
        </is>
      </c>
      <c r="E1191" s="42" t="inlineStr">
        <is>
          <t>0128</t>
        </is>
      </c>
      <c r="F1191" s="65" t="inlineStr">
        <is>
          <t>Venda</t>
        </is>
      </c>
      <c r="G1191" s="68" t="n">
        <v>0</v>
      </c>
      <c r="H1191" s="172" t="inlineStr">
        <is>
          <t>Não</t>
        </is>
      </c>
      <c r="I1191" s="47" t="inlineStr">
        <is>
          <t>800063</t>
        </is>
      </c>
    </row>
    <row r="1192">
      <c r="A1192" s="43" t="inlineStr">
        <is>
          <t>010068</t>
        </is>
      </c>
      <c r="B1192" s="44" t="inlineStr">
        <is>
          <t>ENTRADA SABADO</t>
        </is>
      </c>
      <c r="C1192" s="45" t="inlineStr">
        <is>
          <t>MR</t>
        </is>
      </c>
      <c r="D1192" s="45" t="inlineStr">
        <is>
          <t>UN</t>
        </is>
      </c>
      <c r="E1192" s="45" t="inlineStr">
        <is>
          <t>0128</t>
        </is>
      </c>
      <c r="F1192" s="65" t="inlineStr">
        <is>
          <t>Venda</t>
        </is>
      </c>
      <c r="G1192" s="69" t="n">
        <v>0</v>
      </c>
      <c r="H1192" s="172" t="inlineStr">
        <is>
          <t>Não</t>
        </is>
      </c>
      <c r="I1192" s="48" t="inlineStr">
        <is>
          <t>9003383</t>
        </is>
      </c>
    </row>
    <row r="1193">
      <c r="A1193" s="40" t="inlineStr">
        <is>
          <t>001022</t>
        </is>
      </c>
      <c r="B1193" s="41" t="inlineStr">
        <is>
          <t>ENTRADA SABADO DIA</t>
        </is>
      </c>
      <c r="C1193" s="42" t="inlineStr">
        <is>
          <t>MR</t>
        </is>
      </c>
      <c r="D1193" s="42" t="inlineStr">
        <is>
          <t>UN</t>
        </is>
      </c>
      <c r="E1193" s="42" t="inlineStr">
        <is>
          <t>0128</t>
        </is>
      </c>
      <c r="F1193" s="65" t="inlineStr">
        <is>
          <t>Venda</t>
        </is>
      </c>
      <c r="G1193" s="68" t="n">
        <v>0</v>
      </c>
      <c r="H1193" s="173" t="inlineStr">
        <is>
          <t>Sim</t>
        </is>
      </c>
      <c r="I1193" s="47" t="inlineStr">
        <is>
          <t>17879</t>
        </is>
      </c>
    </row>
    <row r="1194">
      <c r="A1194" s="43" t="inlineStr">
        <is>
          <t>001026</t>
        </is>
      </c>
      <c r="B1194" s="44" t="inlineStr">
        <is>
          <t>ENTRADA SABADO DIA</t>
        </is>
      </c>
      <c r="C1194" s="45" t="inlineStr">
        <is>
          <t>MR</t>
        </is>
      </c>
      <c r="D1194" s="45" t="inlineStr">
        <is>
          <t>UN</t>
        </is>
      </c>
      <c r="E1194" s="45" t="inlineStr">
        <is>
          <t>0128</t>
        </is>
      </c>
      <c r="F1194" s="65" t="inlineStr">
        <is>
          <t>Venda</t>
        </is>
      </c>
      <c r="G1194" s="69" t="n">
        <v>0</v>
      </c>
      <c r="H1194" s="173" t="inlineStr">
        <is>
          <t>Sim</t>
        </is>
      </c>
      <c r="I1194" s="48" t="inlineStr">
        <is>
          <t>37724</t>
        </is>
      </c>
    </row>
    <row r="1195">
      <c r="A1195" s="40" t="inlineStr">
        <is>
          <t>001036</t>
        </is>
      </c>
      <c r="B1195" s="41" t="inlineStr">
        <is>
          <t>ENTRADA SABADO DIA</t>
        </is>
      </c>
      <c r="C1195" s="42" t="inlineStr">
        <is>
          <t>MR</t>
        </is>
      </c>
      <c r="D1195" s="42" t="inlineStr">
        <is>
          <t>UN</t>
        </is>
      </c>
      <c r="E1195" s="42" t="inlineStr">
        <is>
          <t>0128</t>
        </is>
      </c>
      <c r="F1195" s="65" t="inlineStr">
        <is>
          <t>Venda</t>
        </is>
      </c>
      <c r="G1195" s="68" t="n">
        <v>0</v>
      </c>
      <c r="H1195" s="173" t="inlineStr">
        <is>
          <t>Sim</t>
        </is>
      </c>
      <c r="I1195" s="47" t="inlineStr">
        <is>
          <t>83788</t>
        </is>
      </c>
    </row>
    <row r="1196">
      <c r="A1196" s="43" t="inlineStr">
        <is>
          <t>001063</t>
        </is>
      </c>
      <c r="B1196" s="44" t="inlineStr">
        <is>
          <t>ENTRADA SABADO DIA</t>
        </is>
      </c>
      <c r="C1196" s="45" t="inlineStr">
        <is>
          <t>MR</t>
        </is>
      </c>
      <c r="D1196" s="45" t="inlineStr">
        <is>
          <t>UN</t>
        </is>
      </c>
      <c r="E1196" s="45" t="inlineStr">
        <is>
          <t>0128</t>
        </is>
      </c>
      <c r="F1196" s="65" t="inlineStr">
        <is>
          <t>Venda</t>
        </is>
      </c>
      <c r="G1196" s="69" t="n">
        <v>0</v>
      </c>
      <c r="H1196" s="173" t="inlineStr">
        <is>
          <t>Sim</t>
        </is>
      </c>
      <c r="I1196" s="48" t="inlineStr">
        <is>
          <t>99388</t>
        </is>
      </c>
    </row>
    <row r="1197">
      <c r="A1197" s="40" t="inlineStr">
        <is>
          <t>001086</t>
        </is>
      </c>
      <c r="B1197" s="41" t="inlineStr">
        <is>
          <t>ENTRADA SABADO DIA</t>
        </is>
      </c>
      <c r="C1197" s="42" t="inlineStr">
        <is>
          <t>MR</t>
        </is>
      </c>
      <c r="D1197" s="42" t="inlineStr">
        <is>
          <t>UN</t>
        </is>
      </c>
      <c r="E1197" s="42" t="inlineStr">
        <is>
          <t>0128</t>
        </is>
      </c>
      <c r="F1197" s="65" t="inlineStr">
        <is>
          <t>Venda</t>
        </is>
      </c>
      <c r="G1197" s="68" t="n">
        <v>0</v>
      </c>
      <c r="H1197" s="173" t="inlineStr">
        <is>
          <t>Sim</t>
        </is>
      </c>
      <c r="I1197" s="47" t="inlineStr">
        <is>
          <t>82703</t>
        </is>
      </c>
    </row>
    <row r="1198">
      <c r="A1198" s="43" t="inlineStr">
        <is>
          <t>001100</t>
        </is>
      </c>
      <c r="B1198" s="44" t="inlineStr">
        <is>
          <t>ENTRADA SABADO DIA</t>
        </is>
      </c>
      <c r="C1198" s="45" t="inlineStr">
        <is>
          <t>OI</t>
        </is>
      </c>
      <c r="D1198" s="45" t="inlineStr">
        <is>
          <t>UN</t>
        </is>
      </c>
      <c r="E1198" s="45" t="inlineStr">
        <is>
          <t>0128</t>
        </is>
      </c>
      <c r="F1198" s="65" t="inlineStr">
        <is>
          <t>Venda</t>
        </is>
      </c>
      <c r="G1198" s="69" t="n">
        <v>0</v>
      </c>
      <c r="H1198" s="172" t="inlineStr">
        <is>
          <t>Não</t>
        </is>
      </c>
      <c r="I1198" s="48" t="inlineStr">
        <is>
          <t>60709</t>
        </is>
      </c>
    </row>
    <row r="1199">
      <c r="A1199" s="40" t="inlineStr">
        <is>
          <t>009994</t>
        </is>
      </c>
      <c r="B1199" s="41" t="inlineStr">
        <is>
          <t>ENTRADA SABADO DIA</t>
        </is>
      </c>
      <c r="C1199" s="42" t="inlineStr">
        <is>
          <t>OI</t>
        </is>
      </c>
      <c r="D1199" s="42" t="inlineStr">
        <is>
          <t>UN</t>
        </is>
      </c>
      <c r="E1199" s="42" t="inlineStr">
        <is>
          <t>0128</t>
        </is>
      </c>
      <c r="F1199" s="65" t="inlineStr">
        <is>
          <t>Venda</t>
        </is>
      </c>
      <c r="G1199" s="68" t="n">
        <v>0</v>
      </c>
      <c r="H1199" s="172" t="inlineStr">
        <is>
          <t>Não</t>
        </is>
      </c>
      <c r="I1199" s="47" t="inlineStr">
        <is>
          <t>17879</t>
        </is>
      </c>
    </row>
    <row r="1200">
      <c r="A1200" s="43" t="inlineStr">
        <is>
          <t>010043</t>
        </is>
      </c>
      <c r="B1200" s="44" t="inlineStr">
        <is>
          <t>ENTRADA SABADO DIA</t>
        </is>
      </c>
      <c r="C1200" s="45" t="inlineStr">
        <is>
          <t>MR</t>
        </is>
      </c>
      <c r="D1200" s="45" t="inlineStr">
        <is>
          <t>UN</t>
        </is>
      </c>
      <c r="E1200" s="45" t="inlineStr">
        <is>
          <t>0128</t>
        </is>
      </c>
      <c r="F1200" s="65" t="inlineStr">
        <is>
          <t>Venda</t>
        </is>
      </c>
      <c r="G1200" s="69" t="n">
        <v>0</v>
      </c>
      <c r="H1200" s="172" t="inlineStr">
        <is>
          <t>Não</t>
        </is>
      </c>
      <c r="I1200" s="48" t="inlineStr">
        <is>
          <t>82703</t>
        </is>
      </c>
    </row>
    <row r="1201">
      <c r="A1201" s="40" t="inlineStr">
        <is>
          <t>010047</t>
        </is>
      </c>
      <c r="B1201" s="41" t="inlineStr">
        <is>
          <t>ENTRADA SABADO DIA</t>
        </is>
      </c>
      <c r="C1201" s="42" t="inlineStr">
        <is>
          <t>MR</t>
        </is>
      </c>
      <c r="D1201" s="42" t="inlineStr">
        <is>
          <t>UN</t>
        </is>
      </c>
      <c r="E1201" s="42" t="inlineStr">
        <is>
          <t>0128</t>
        </is>
      </c>
      <c r="F1201" s="65" t="inlineStr">
        <is>
          <t>Venda</t>
        </is>
      </c>
      <c r="G1201" s="68" t="n">
        <v>0</v>
      </c>
      <c r="H1201" s="172" t="inlineStr">
        <is>
          <t>Não</t>
        </is>
      </c>
      <c r="I1201" s="47" t="inlineStr">
        <is>
          <t>82703</t>
        </is>
      </c>
    </row>
    <row r="1202">
      <c r="A1202" s="43" t="inlineStr">
        <is>
          <t>010055</t>
        </is>
      </c>
      <c r="B1202" s="44" t="inlineStr">
        <is>
          <t>ENTRADA SABADO DIA</t>
        </is>
      </c>
      <c r="C1202" s="45" t="inlineStr">
        <is>
          <t>MR</t>
        </is>
      </c>
      <c r="D1202" s="45" t="inlineStr">
        <is>
          <t>UN</t>
        </is>
      </c>
      <c r="E1202" s="45" t="inlineStr">
        <is>
          <t>0128</t>
        </is>
      </c>
      <c r="F1202" s="65" t="inlineStr">
        <is>
          <t>Venda</t>
        </is>
      </c>
      <c r="G1202" s="69" t="n">
        <v>0</v>
      </c>
      <c r="H1202" s="172" t="inlineStr">
        <is>
          <t>Não</t>
        </is>
      </c>
      <c r="I1202" s="48" t="inlineStr">
        <is>
          <t>99388</t>
        </is>
      </c>
    </row>
    <row r="1203">
      <c r="A1203" s="40" t="inlineStr">
        <is>
          <t>010058</t>
        </is>
      </c>
      <c r="B1203" s="41" t="inlineStr">
        <is>
          <t>ENTRADA SABADO DIA</t>
        </is>
      </c>
      <c r="C1203" s="42" t="inlineStr">
        <is>
          <t>MR</t>
        </is>
      </c>
      <c r="D1203" s="42" t="inlineStr">
        <is>
          <t>UN</t>
        </is>
      </c>
      <c r="E1203" s="42" t="inlineStr">
        <is>
          <t>0128</t>
        </is>
      </c>
      <c r="F1203" s="65" t="inlineStr">
        <is>
          <t>Venda</t>
        </is>
      </c>
      <c r="G1203" s="68" t="n">
        <v>0</v>
      </c>
      <c r="H1203" s="172" t="inlineStr">
        <is>
          <t>Não</t>
        </is>
      </c>
      <c r="I1203" s="47" t="inlineStr">
        <is>
          <t>37724</t>
        </is>
      </c>
    </row>
    <row r="1204">
      <c r="A1204" s="43" t="inlineStr">
        <is>
          <t>000828</t>
        </is>
      </c>
      <c r="B1204" s="44" t="inlineStr">
        <is>
          <t>ENTRADA SABADO NOITE</t>
        </is>
      </c>
      <c r="C1204" s="45" t="inlineStr">
        <is>
          <t>MR</t>
        </is>
      </c>
      <c r="D1204" s="45" t="inlineStr">
        <is>
          <t>UN</t>
        </is>
      </c>
      <c r="E1204" s="45" t="inlineStr">
        <is>
          <t>0128</t>
        </is>
      </c>
      <c r="F1204" s="65" t="inlineStr">
        <is>
          <t>Venda</t>
        </is>
      </c>
      <c r="G1204" s="69" t="n">
        <v>0</v>
      </c>
      <c r="H1204" s="173" t="inlineStr">
        <is>
          <t>Sim</t>
        </is>
      </c>
      <c r="I1204" s="48" t="inlineStr">
        <is>
          <t>511011</t>
        </is>
      </c>
    </row>
    <row r="1205">
      <c r="A1205" s="40" t="inlineStr">
        <is>
          <t>000832</t>
        </is>
      </c>
      <c r="B1205" s="41" t="inlineStr">
        <is>
          <t>ENTRADA SABADO NOITE</t>
        </is>
      </c>
      <c r="C1205" s="42" t="inlineStr">
        <is>
          <t>MR</t>
        </is>
      </c>
      <c r="D1205" s="42" t="inlineStr">
        <is>
          <t>UN</t>
        </is>
      </c>
      <c r="E1205" s="42" t="inlineStr">
        <is>
          <t>0128</t>
        </is>
      </c>
      <c r="F1205" s="65" t="inlineStr">
        <is>
          <t>Venda</t>
        </is>
      </c>
      <c r="G1205" s="68" t="n">
        <v>0</v>
      </c>
      <c r="H1205" s="173" t="inlineStr">
        <is>
          <t>Sim</t>
        </is>
      </c>
      <c r="I1205" s="47" t="inlineStr">
        <is>
          <t>511015</t>
        </is>
      </c>
    </row>
    <row r="1206">
      <c r="A1206" s="43" t="inlineStr">
        <is>
          <t>001064</t>
        </is>
      </c>
      <c r="B1206" s="44" t="inlineStr">
        <is>
          <t>ENTRADA SABADO NOITE</t>
        </is>
      </c>
      <c r="C1206" s="45" t="inlineStr">
        <is>
          <t>MR</t>
        </is>
      </c>
      <c r="D1206" s="45" t="inlineStr">
        <is>
          <t>UN</t>
        </is>
      </c>
      <c r="E1206" s="45" t="inlineStr">
        <is>
          <t>0128</t>
        </is>
      </c>
      <c r="F1206" s="65" t="inlineStr">
        <is>
          <t>Venda</t>
        </is>
      </c>
      <c r="G1206" s="69" t="n">
        <v>0</v>
      </c>
      <c r="H1206" s="173" t="inlineStr">
        <is>
          <t>Sim</t>
        </is>
      </c>
      <c r="I1206" s="48" t="inlineStr">
        <is>
          <t>62857</t>
        </is>
      </c>
    </row>
    <row r="1207">
      <c r="A1207" s="40" t="inlineStr">
        <is>
          <t>001065</t>
        </is>
      </c>
      <c r="B1207" s="41" t="inlineStr">
        <is>
          <t>ENTRADA SABADO NOITE</t>
        </is>
      </c>
      <c r="C1207" s="42" t="inlineStr">
        <is>
          <t>MR</t>
        </is>
      </c>
      <c r="D1207" s="42" t="inlineStr">
        <is>
          <t>UN</t>
        </is>
      </c>
      <c r="E1207" s="42" t="inlineStr">
        <is>
          <t>0128</t>
        </is>
      </c>
      <c r="F1207" s="65" t="inlineStr">
        <is>
          <t>Venda</t>
        </is>
      </c>
      <c r="G1207" s="68" t="n">
        <v>0</v>
      </c>
      <c r="H1207" s="173" t="inlineStr">
        <is>
          <t>Sim</t>
        </is>
      </c>
      <c r="I1207" s="47" t="inlineStr">
        <is>
          <t>47541</t>
        </is>
      </c>
    </row>
    <row r="1208">
      <c r="A1208" s="43" t="inlineStr">
        <is>
          <t>001101</t>
        </is>
      </c>
      <c r="B1208" s="44" t="inlineStr">
        <is>
          <t>ENTRADA SABADO NOITE</t>
        </is>
      </c>
      <c r="C1208" s="45" t="inlineStr">
        <is>
          <t>MR</t>
        </is>
      </c>
      <c r="D1208" s="45" t="inlineStr">
        <is>
          <t>UN</t>
        </is>
      </c>
      <c r="E1208" s="45" t="inlineStr">
        <is>
          <t>0128</t>
        </is>
      </c>
      <c r="F1208" s="65" t="inlineStr">
        <is>
          <t>Venda</t>
        </is>
      </c>
      <c r="G1208" s="69" t="n">
        <v>0</v>
      </c>
      <c r="H1208" s="173" t="inlineStr">
        <is>
          <t>Sim</t>
        </is>
      </c>
      <c r="I1208" s="50" t="n"/>
    </row>
    <row r="1209">
      <c r="A1209" s="40" t="inlineStr">
        <is>
          <t>001103</t>
        </is>
      </c>
      <c r="B1209" s="41" t="inlineStr">
        <is>
          <t>ENTRADA SABADO NOITE</t>
        </is>
      </c>
      <c r="C1209" s="42" t="inlineStr">
        <is>
          <t>MR</t>
        </is>
      </c>
      <c r="D1209" s="42" t="inlineStr">
        <is>
          <t>UN</t>
        </is>
      </c>
      <c r="E1209" s="42" t="inlineStr">
        <is>
          <t>0128</t>
        </is>
      </c>
      <c r="F1209" s="65" t="inlineStr">
        <is>
          <t>Venda</t>
        </is>
      </c>
      <c r="G1209" s="68" t="n">
        <v>0</v>
      </c>
      <c r="H1209" s="173" t="inlineStr">
        <is>
          <t>Sim</t>
        </is>
      </c>
      <c r="I1209" s="47" t="inlineStr">
        <is>
          <t>80679</t>
        </is>
      </c>
    </row>
    <row r="1210">
      <c r="A1210" s="43" t="inlineStr">
        <is>
          <t>001159</t>
        </is>
      </c>
      <c r="B1210" s="44" t="inlineStr">
        <is>
          <t>ENTRADA SABADO NOITE</t>
        </is>
      </c>
      <c r="C1210" s="45" t="inlineStr">
        <is>
          <t>MR</t>
        </is>
      </c>
      <c r="D1210" s="45" t="inlineStr">
        <is>
          <t>UN</t>
        </is>
      </c>
      <c r="E1210" s="45" t="inlineStr">
        <is>
          <t>0128</t>
        </is>
      </c>
      <c r="F1210" s="65" t="inlineStr">
        <is>
          <t>Venda</t>
        </is>
      </c>
      <c r="G1210" s="69" t="n">
        <v>0</v>
      </c>
      <c r="H1210" s="177" t="inlineStr">
        <is>
          <t>Sim</t>
        </is>
      </c>
      <c r="I1210" s="178" t="n"/>
    </row>
    <row r="1211">
      <c r="A1211" s="40" t="inlineStr">
        <is>
          <t>001492</t>
        </is>
      </c>
      <c r="B1211" s="41" t="inlineStr">
        <is>
          <t>ENTRADA SABADO NOITE</t>
        </is>
      </c>
      <c r="C1211" s="42" t="inlineStr">
        <is>
          <t>MR</t>
        </is>
      </c>
      <c r="D1211" s="42" t="inlineStr">
        <is>
          <t>UN</t>
        </is>
      </c>
      <c r="E1211" s="42" t="inlineStr">
        <is>
          <t>0128</t>
        </is>
      </c>
      <c r="F1211" s="65" t="inlineStr">
        <is>
          <t>Venda</t>
        </is>
      </c>
      <c r="G1211" s="68" t="n">
        <v>0</v>
      </c>
      <c r="H1211" s="173" t="inlineStr">
        <is>
          <t>Sim</t>
        </is>
      </c>
      <c r="I1211" s="47" t="inlineStr">
        <is>
          <t>8819</t>
        </is>
      </c>
    </row>
    <row r="1212">
      <c r="A1212" s="43" t="inlineStr">
        <is>
          <t>001693</t>
        </is>
      </c>
      <c r="B1212" s="44" t="inlineStr">
        <is>
          <t>ENTRADA SABADO NOITE</t>
        </is>
      </c>
      <c r="C1212" s="45" t="inlineStr">
        <is>
          <t>MR</t>
        </is>
      </c>
      <c r="D1212" s="45" t="inlineStr">
        <is>
          <t>UN</t>
        </is>
      </c>
      <c r="E1212" s="45" t="inlineStr">
        <is>
          <t>0128</t>
        </is>
      </c>
      <c r="F1212" s="65" t="inlineStr">
        <is>
          <t>Venda</t>
        </is>
      </c>
      <c r="G1212" s="69" t="n">
        <v>0</v>
      </c>
      <c r="H1212" s="173" t="inlineStr">
        <is>
          <t>Sim</t>
        </is>
      </c>
      <c r="I1212" s="48" t="inlineStr">
        <is>
          <t>28138</t>
        </is>
      </c>
    </row>
    <row r="1213">
      <c r="A1213" s="40" t="inlineStr">
        <is>
          <t>001698</t>
        </is>
      </c>
      <c r="B1213" s="41" t="inlineStr">
        <is>
          <t>ENTRADA SABADO NOITE</t>
        </is>
      </c>
      <c r="C1213" s="42" t="inlineStr">
        <is>
          <t>MR</t>
        </is>
      </c>
      <c r="D1213" s="42" t="inlineStr">
        <is>
          <t>UN</t>
        </is>
      </c>
      <c r="E1213" s="42" t="inlineStr">
        <is>
          <t>0128</t>
        </is>
      </c>
      <c r="F1213" s="65" t="inlineStr">
        <is>
          <t>Venda</t>
        </is>
      </c>
      <c r="G1213" s="68" t="n">
        <v>0</v>
      </c>
      <c r="H1213" s="172" t="inlineStr">
        <is>
          <t>Não</t>
        </is>
      </c>
      <c r="I1213" s="47" t="inlineStr">
        <is>
          <t>28138</t>
        </is>
      </c>
    </row>
    <row r="1214">
      <c r="A1214" s="43" t="inlineStr">
        <is>
          <t>010042</t>
        </is>
      </c>
      <c r="B1214" s="44" t="inlineStr">
        <is>
          <t>ENTRADA SABADO NOITE</t>
        </is>
      </c>
      <c r="C1214" s="45" t="inlineStr">
        <is>
          <t>MR</t>
        </is>
      </c>
      <c r="D1214" s="45" t="inlineStr">
        <is>
          <t>UN</t>
        </is>
      </c>
      <c r="E1214" s="45" t="inlineStr">
        <is>
          <t>0128</t>
        </is>
      </c>
      <c r="F1214" s="65" t="inlineStr">
        <is>
          <t>Venda</t>
        </is>
      </c>
      <c r="G1214" s="69" t="n">
        <v>0</v>
      </c>
      <c r="H1214" s="172" t="inlineStr">
        <is>
          <t>Não</t>
        </is>
      </c>
      <c r="I1214" s="48" t="inlineStr">
        <is>
          <t>8819</t>
        </is>
      </c>
    </row>
    <row r="1215">
      <c r="A1215" s="40" t="inlineStr">
        <is>
          <t>010064</t>
        </is>
      </c>
      <c r="B1215" s="41" t="inlineStr">
        <is>
          <t>ENTRADA SABADO NOITE</t>
        </is>
      </c>
      <c r="C1215" s="42" t="inlineStr">
        <is>
          <t>MR</t>
        </is>
      </c>
      <c r="D1215" s="42" t="inlineStr">
        <is>
          <t>UN</t>
        </is>
      </c>
      <c r="E1215" s="42" t="inlineStr">
        <is>
          <t>0128</t>
        </is>
      </c>
      <c r="F1215" s="65" t="inlineStr">
        <is>
          <t>Venda</t>
        </is>
      </c>
      <c r="G1215" s="68" t="n">
        <v>0</v>
      </c>
      <c r="H1215" s="172" t="inlineStr">
        <is>
          <t>Não</t>
        </is>
      </c>
      <c r="I1215" s="47" t="inlineStr">
        <is>
          <t>511015</t>
        </is>
      </c>
    </row>
    <row r="1216">
      <c r="A1216" s="43" t="inlineStr">
        <is>
          <t>000862</t>
        </is>
      </c>
      <c r="B1216" s="44" t="inlineStr">
        <is>
          <t>ENTRADA SANTOS</t>
        </is>
      </c>
      <c r="C1216" s="45" t="inlineStr">
        <is>
          <t>MR</t>
        </is>
      </c>
      <c r="D1216" s="45" t="inlineStr">
        <is>
          <t>UN</t>
        </is>
      </c>
      <c r="E1216" s="45" t="inlineStr">
        <is>
          <t>0128</t>
        </is>
      </c>
      <c r="F1216" s="65" t="inlineStr">
        <is>
          <t>Venda</t>
        </is>
      </c>
      <c r="G1216" s="69" t="n">
        <v>0</v>
      </c>
      <c r="H1216" s="173" t="inlineStr">
        <is>
          <t>Sim</t>
        </is>
      </c>
      <c r="I1216" s="50" t="n"/>
    </row>
    <row r="1217">
      <c r="A1217" s="40" t="inlineStr">
        <is>
          <t>010069</t>
        </is>
      </c>
      <c r="B1217" s="41" t="inlineStr">
        <is>
          <t>ENTRADA SEGUNDA</t>
        </is>
      </c>
      <c r="C1217" s="42" t="inlineStr">
        <is>
          <t>MR</t>
        </is>
      </c>
      <c r="D1217" s="42" t="inlineStr">
        <is>
          <t>UN</t>
        </is>
      </c>
      <c r="E1217" s="42" t="inlineStr">
        <is>
          <t>0128</t>
        </is>
      </c>
      <c r="F1217" s="65" t="inlineStr">
        <is>
          <t>Venda</t>
        </is>
      </c>
      <c r="G1217" s="68" t="n">
        <v>0</v>
      </c>
      <c r="H1217" s="172" t="inlineStr">
        <is>
          <t>Não</t>
        </is>
      </c>
      <c r="I1217" s="47" t="inlineStr">
        <is>
          <t>9003385</t>
        </is>
      </c>
    </row>
    <row r="1218">
      <c r="A1218" s="43" t="inlineStr">
        <is>
          <t>001563</t>
        </is>
      </c>
      <c r="B1218" s="44" t="inlineStr">
        <is>
          <t>ENTRADA SEGUNDA -FEIRA</t>
        </is>
      </c>
      <c r="C1218" s="45" t="inlineStr">
        <is>
          <t>MR</t>
        </is>
      </c>
      <c r="D1218" s="45" t="inlineStr">
        <is>
          <t>UN</t>
        </is>
      </c>
      <c r="E1218" s="45" t="inlineStr">
        <is>
          <t>0128</t>
        </is>
      </c>
      <c r="F1218" s="65" t="inlineStr">
        <is>
          <t>Venda</t>
        </is>
      </c>
      <c r="G1218" s="69" t="n">
        <v>0</v>
      </c>
      <c r="H1218" s="173" t="inlineStr">
        <is>
          <t>Sim</t>
        </is>
      </c>
      <c r="I1218" s="48" t="inlineStr">
        <is>
          <t>511043</t>
        </is>
      </c>
    </row>
    <row r="1219">
      <c r="A1219" s="40" t="inlineStr">
        <is>
          <t>000820</t>
        </is>
      </c>
      <c r="B1219" s="41" t="inlineStr">
        <is>
          <t>ENTRADA SEGUNDA FEIRA</t>
        </is>
      </c>
      <c r="C1219" s="42" t="inlineStr">
        <is>
          <t>MR</t>
        </is>
      </c>
      <c r="D1219" s="42" t="inlineStr">
        <is>
          <t>UN</t>
        </is>
      </c>
      <c r="E1219" s="42" t="inlineStr">
        <is>
          <t>0128</t>
        </is>
      </c>
      <c r="F1219" s="65" t="inlineStr">
        <is>
          <t>Venda</t>
        </is>
      </c>
      <c r="G1219" s="68" t="n">
        <v>0</v>
      </c>
      <c r="H1219" s="173" t="inlineStr">
        <is>
          <t>Sim</t>
        </is>
      </c>
      <c r="I1219" s="49" t="n"/>
    </row>
    <row r="1220">
      <c r="A1220" s="43" t="inlineStr">
        <is>
          <t>000829</t>
        </is>
      </c>
      <c r="B1220" s="44" t="inlineStr">
        <is>
          <t>ENTRADA SEGUNDA FEIRA</t>
        </is>
      </c>
      <c r="C1220" s="45" t="inlineStr">
        <is>
          <t>MR</t>
        </is>
      </c>
      <c r="D1220" s="45" t="inlineStr">
        <is>
          <t>UN</t>
        </is>
      </c>
      <c r="E1220" s="45" t="inlineStr">
        <is>
          <t>0128</t>
        </is>
      </c>
      <c r="F1220" s="65" t="inlineStr">
        <is>
          <t>Venda</t>
        </is>
      </c>
      <c r="G1220" s="69" t="n">
        <v>0</v>
      </c>
      <c r="H1220" s="177" t="inlineStr">
        <is>
          <t>Sim</t>
        </is>
      </c>
      <c r="I1220" s="178" t="n"/>
    </row>
    <row r="1221">
      <c r="A1221" s="40" t="inlineStr">
        <is>
          <t>000854</t>
        </is>
      </c>
      <c r="B1221" s="41" t="inlineStr">
        <is>
          <t>ENTRADA SEGUNDA FEIRA</t>
        </is>
      </c>
      <c r="C1221" s="42" t="inlineStr">
        <is>
          <t>MR</t>
        </is>
      </c>
      <c r="D1221" s="42" t="inlineStr">
        <is>
          <t>UN</t>
        </is>
      </c>
      <c r="E1221" s="42" t="inlineStr">
        <is>
          <t>0128</t>
        </is>
      </c>
      <c r="F1221" s="65" t="inlineStr">
        <is>
          <t>Venda</t>
        </is>
      </c>
      <c r="G1221" s="68" t="n">
        <v>0</v>
      </c>
      <c r="H1221" s="173" t="inlineStr">
        <is>
          <t>Sim</t>
        </is>
      </c>
      <c r="I1221" s="47" t="inlineStr">
        <is>
          <t>511041</t>
        </is>
      </c>
    </row>
    <row r="1222">
      <c r="A1222" s="43" t="inlineStr">
        <is>
          <t>000855</t>
        </is>
      </c>
      <c r="B1222" s="44" t="inlineStr">
        <is>
          <t>ENTRADA SEGUNDA FEIRA</t>
        </is>
      </c>
      <c r="C1222" s="45" t="inlineStr">
        <is>
          <t>MR</t>
        </is>
      </c>
      <c r="D1222" s="45" t="inlineStr">
        <is>
          <t>UN</t>
        </is>
      </c>
      <c r="E1222" s="45" t="inlineStr">
        <is>
          <t>0128</t>
        </is>
      </c>
      <c r="F1222" s="65" t="inlineStr">
        <is>
          <t>Venda</t>
        </is>
      </c>
      <c r="G1222" s="69" t="n">
        <v>0</v>
      </c>
      <c r="H1222" s="173" t="inlineStr">
        <is>
          <t>Sim</t>
        </is>
      </c>
      <c r="I1222" s="48" t="inlineStr">
        <is>
          <t>511001</t>
        </is>
      </c>
    </row>
    <row r="1223">
      <c r="A1223" s="40" t="inlineStr">
        <is>
          <t>001066</t>
        </is>
      </c>
      <c r="B1223" s="41" t="inlineStr">
        <is>
          <t>ENTRADA SEGUNDA FEIRA</t>
        </is>
      </c>
      <c r="C1223" s="42" t="inlineStr">
        <is>
          <t>MR</t>
        </is>
      </c>
      <c r="D1223" s="42" t="inlineStr">
        <is>
          <t>UN</t>
        </is>
      </c>
      <c r="E1223" s="42" t="inlineStr">
        <is>
          <t>0128</t>
        </is>
      </c>
      <c r="F1223" s="65" t="inlineStr">
        <is>
          <t>Venda</t>
        </is>
      </c>
      <c r="G1223" s="68" t="n">
        <v>0</v>
      </c>
      <c r="H1223" s="173" t="inlineStr">
        <is>
          <t>Sim</t>
        </is>
      </c>
      <c r="I1223" s="47" t="inlineStr">
        <is>
          <t>61581</t>
        </is>
      </c>
    </row>
    <row r="1224">
      <c r="A1224" s="43" t="inlineStr">
        <is>
          <t>001089</t>
        </is>
      </c>
      <c r="B1224" s="44" t="inlineStr">
        <is>
          <t>ENTRADA SEGUNDA FEIRA</t>
        </is>
      </c>
      <c r="C1224" s="45" t="inlineStr">
        <is>
          <t>MR</t>
        </is>
      </c>
      <c r="D1224" s="45" t="inlineStr">
        <is>
          <t>UN</t>
        </is>
      </c>
      <c r="E1224" s="45" t="inlineStr">
        <is>
          <t>0128</t>
        </is>
      </c>
      <c r="F1224" s="65" t="inlineStr">
        <is>
          <t>Venda</t>
        </is>
      </c>
      <c r="G1224" s="69" t="n">
        <v>0</v>
      </c>
      <c r="H1224" s="173" t="inlineStr">
        <is>
          <t>Sim</t>
        </is>
      </c>
      <c r="I1224" s="50" t="n"/>
    </row>
    <row r="1225">
      <c r="A1225" s="40" t="inlineStr">
        <is>
          <t>001090</t>
        </is>
      </c>
      <c r="B1225" s="41" t="inlineStr">
        <is>
          <t>ENTRADA SEGUNDA FEIRA</t>
        </is>
      </c>
      <c r="C1225" s="42" t="inlineStr">
        <is>
          <t>MR</t>
        </is>
      </c>
      <c r="D1225" s="42" t="inlineStr">
        <is>
          <t>UN</t>
        </is>
      </c>
      <c r="E1225" s="42" t="inlineStr">
        <is>
          <t>0128</t>
        </is>
      </c>
      <c r="F1225" s="65" t="inlineStr">
        <is>
          <t>Venda</t>
        </is>
      </c>
      <c r="G1225" s="68" t="n">
        <v>0</v>
      </c>
      <c r="H1225" s="173" t="inlineStr">
        <is>
          <t>Sim</t>
        </is>
      </c>
      <c r="I1225" s="47" t="inlineStr">
        <is>
          <t>61581</t>
        </is>
      </c>
    </row>
    <row r="1226">
      <c r="A1226" s="43" t="inlineStr">
        <is>
          <t>001125</t>
        </is>
      </c>
      <c r="B1226" s="44" t="inlineStr">
        <is>
          <t>ENTRADA SEGUNDA FEIRA</t>
        </is>
      </c>
      <c r="C1226" s="45" t="inlineStr">
        <is>
          <t>MR</t>
        </is>
      </c>
      <c r="D1226" s="45" t="inlineStr">
        <is>
          <t>UN</t>
        </is>
      </c>
      <c r="E1226" s="45" t="inlineStr">
        <is>
          <t>0128</t>
        </is>
      </c>
      <c r="F1226" s="65" t="inlineStr">
        <is>
          <t>Venda</t>
        </is>
      </c>
      <c r="G1226" s="69" t="n">
        <v>0</v>
      </c>
      <c r="H1226" s="173" t="inlineStr">
        <is>
          <t>Sim</t>
        </is>
      </c>
      <c r="I1226" s="48" t="inlineStr">
        <is>
          <t>9003389</t>
        </is>
      </c>
    </row>
    <row r="1227">
      <c r="A1227" s="40" t="inlineStr">
        <is>
          <t>001230</t>
        </is>
      </c>
      <c r="B1227" s="41" t="inlineStr">
        <is>
          <t>ENTRADA SEGUNDA FEIRA</t>
        </is>
      </c>
      <c r="C1227" s="42" t="inlineStr">
        <is>
          <t>MR</t>
        </is>
      </c>
      <c r="D1227" s="42" t="inlineStr">
        <is>
          <t>UN</t>
        </is>
      </c>
      <c r="E1227" s="42" t="inlineStr">
        <is>
          <t>0128</t>
        </is>
      </c>
      <c r="F1227" s="65" t="inlineStr">
        <is>
          <t>Venda</t>
        </is>
      </c>
      <c r="G1227" s="68" t="n">
        <v>0</v>
      </c>
      <c r="H1227" s="173" t="inlineStr">
        <is>
          <t>Sim</t>
        </is>
      </c>
      <c r="I1227" s="47" t="inlineStr">
        <is>
          <t>9003182</t>
        </is>
      </c>
    </row>
    <row r="1228">
      <c r="A1228" s="43" t="inlineStr">
        <is>
          <t>001240</t>
        </is>
      </c>
      <c r="B1228" s="44" t="inlineStr">
        <is>
          <t>ENTRADA SEGUNDA FEIRA</t>
        </is>
      </c>
      <c r="C1228" s="45" t="inlineStr">
        <is>
          <t>MR</t>
        </is>
      </c>
      <c r="D1228" s="45" t="inlineStr">
        <is>
          <t>UN</t>
        </is>
      </c>
      <c r="E1228" s="45" t="inlineStr">
        <is>
          <t>0128</t>
        </is>
      </c>
      <c r="F1228" s="65" t="inlineStr">
        <is>
          <t>Venda</t>
        </is>
      </c>
      <c r="G1228" s="69" t="n">
        <v>0</v>
      </c>
      <c r="H1228" s="177" t="inlineStr">
        <is>
          <t>Sim</t>
        </is>
      </c>
      <c r="I1228" s="178" t="n"/>
    </row>
    <row r="1229">
      <c r="A1229" s="40" t="inlineStr">
        <is>
          <t>001245</t>
        </is>
      </c>
      <c r="B1229" s="41" t="inlineStr">
        <is>
          <t>ENTRADA SEGUNDA FEIRA</t>
        </is>
      </c>
      <c r="C1229" s="42" t="inlineStr">
        <is>
          <t>MR</t>
        </is>
      </c>
      <c r="D1229" s="42" t="inlineStr">
        <is>
          <t>UN</t>
        </is>
      </c>
      <c r="E1229" s="42" t="inlineStr">
        <is>
          <t>0128</t>
        </is>
      </c>
      <c r="F1229" s="65" t="inlineStr">
        <is>
          <t>Venda</t>
        </is>
      </c>
      <c r="G1229" s="68" t="n">
        <v>0</v>
      </c>
      <c r="H1229" s="173" t="inlineStr">
        <is>
          <t>Sim</t>
        </is>
      </c>
      <c r="I1229" s="47" t="inlineStr">
        <is>
          <t>66068</t>
        </is>
      </c>
    </row>
    <row r="1230">
      <c r="A1230" s="43" t="inlineStr">
        <is>
          <t>001696</t>
        </is>
      </c>
      <c r="B1230" s="44" t="inlineStr">
        <is>
          <t>ENTRADA SEGUNDA-FEIRA</t>
        </is>
      </c>
      <c r="C1230" s="45" t="inlineStr">
        <is>
          <t>OI</t>
        </is>
      </c>
      <c r="D1230" s="45" t="inlineStr">
        <is>
          <t>UN</t>
        </is>
      </c>
      <c r="E1230" s="45" t="inlineStr">
        <is>
          <t>0128</t>
        </is>
      </c>
      <c r="F1230" s="65" t="inlineStr">
        <is>
          <t>Venda</t>
        </is>
      </c>
      <c r="G1230" s="69" t="n">
        <v>0</v>
      </c>
      <c r="H1230" s="172" t="inlineStr">
        <is>
          <t>Não</t>
        </is>
      </c>
      <c r="I1230" s="48" t="inlineStr">
        <is>
          <t>2601</t>
        </is>
      </c>
    </row>
    <row r="1231">
      <c r="A1231" s="40" t="inlineStr">
        <is>
          <t>010345</t>
        </is>
      </c>
      <c r="B1231" s="41" t="inlineStr">
        <is>
          <t>ENTRADA SEGUNDA-FEIRA</t>
        </is>
      </c>
      <c r="C1231" s="42" t="inlineStr">
        <is>
          <t>OI</t>
        </is>
      </c>
      <c r="D1231" s="42" t="inlineStr">
        <is>
          <t>UN</t>
        </is>
      </c>
      <c r="E1231" s="42" t="inlineStr">
        <is>
          <t>0128</t>
        </is>
      </c>
      <c r="F1231" s="65" t="inlineStr">
        <is>
          <t>Venda</t>
        </is>
      </c>
      <c r="G1231" s="68" t="n">
        <v>0</v>
      </c>
      <c r="H1231" s="172" t="inlineStr">
        <is>
          <t>Não</t>
        </is>
      </c>
      <c r="I1231" s="47" t="inlineStr">
        <is>
          <t>9003182</t>
        </is>
      </c>
    </row>
    <row r="1232">
      <c r="A1232" s="43" t="inlineStr">
        <is>
          <t>002127</t>
        </is>
      </c>
      <c r="B1232" s="44" t="inlineStr">
        <is>
          <t>ENTRADA SEXTA</t>
        </is>
      </c>
      <c r="C1232" s="45" t="inlineStr">
        <is>
          <t>MR</t>
        </is>
      </c>
      <c r="D1232" s="45" t="inlineStr">
        <is>
          <t>UN</t>
        </is>
      </c>
      <c r="E1232" s="45" t="inlineStr">
        <is>
          <t>0128</t>
        </is>
      </c>
      <c r="F1232" s="65" t="inlineStr">
        <is>
          <t>Venda</t>
        </is>
      </c>
      <c r="G1232" s="69" t="n">
        <v>0</v>
      </c>
      <c r="H1232" s="173" t="inlineStr">
        <is>
          <t>Sim</t>
        </is>
      </c>
      <c r="I1232" s="48" t="inlineStr">
        <is>
          <t>9003200</t>
        </is>
      </c>
    </row>
    <row r="1233">
      <c r="A1233" s="40" t="inlineStr">
        <is>
          <t>000827</t>
        </is>
      </c>
      <c r="B1233" s="41" t="inlineStr">
        <is>
          <t>ENTRADA SEXTA FEIRA</t>
        </is>
      </c>
      <c r="C1233" s="42" t="inlineStr">
        <is>
          <t>MR</t>
        </is>
      </c>
      <c r="D1233" s="42" t="inlineStr">
        <is>
          <t>UN</t>
        </is>
      </c>
      <c r="E1233" s="42" t="inlineStr">
        <is>
          <t>0128</t>
        </is>
      </c>
      <c r="F1233" s="65" t="inlineStr">
        <is>
          <t>Venda</t>
        </is>
      </c>
      <c r="G1233" s="68" t="n">
        <v>0</v>
      </c>
      <c r="H1233" s="173" t="inlineStr">
        <is>
          <t>Sim</t>
        </is>
      </c>
      <c r="I1233" s="47" t="inlineStr">
        <is>
          <t>511009</t>
        </is>
      </c>
    </row>
    <row r="1234">
      <c r="A1234" s="43" t="inlineStr">
        <is>
          <t>000835</t>
        </is>
      </c>
      <c r="B1234" s="44" t="inlineStr">
        <is>
          <t>ENTRADA SEXTA FEIRA</t>
        </is>
      </c>
      <c r="C1234" s="45" t="inlineStr">
        <is>
          <t>MR</t>
        </is>
      </c>
      <c r="D1234" s="45" t="inlineStr">
        <is>
          <t>UN</t>
        </is>
      </c>
      <c r="E1234" s="45" t="inlineStr">
        <is>
          <t>0128</t>
        </is>
      </c>
      <c r="F1234" s="65" t="inlineStr">
        <is>
          <t>Venda</t>
        </is>
      </c>
      <c r="G1234" s="69" t="n">
        <v>0</v>
      </c>
      <c r="H1234" s="173" t="inlineStr">
        <is>
          <t>Sim</t>
        </is>
      </c>
      <c r="I1234" s="48" t="inlineStr">
        <is>
          <t>7898905687168</t>
        </is>
      </c>
    </row>
    <row r="1235">
      <c r="A1235" s="40" t="inlineStr">
        <is>
          <t>000863</t>
        </is>
      </c>
      <c r="B1235" s="41" t="inlineStr">
        <is>
          <t>ENTRADA SEXTA FEIRA</t>
        </is>
      </c>
      <c r="C1235" s="42" t="inlineStr">
        <is>
          <t>MR</t>
        </is>
      </c>
      <c r="D1235" s="42" t="inlineStr">
        <is>
          <t>UN</t>
        </is>
      </c>
      <c r="E1235" s="42" t="inlineStr">
        <is>
          <t>0128</t>
        </is>
      </c>
      <c r="F1235" s="65" t="inlineStr">
        <is>
          <t>Venda</t>
        </is>
      </c>
      <c r="G1235" s="68" t="n">
        <v>0</v>
      </c>
      <c r="H1235" s="173" t="inlineStr">
        <is>
          <t>Sim</t>
        </is>
      </c>
      <c r="I1235" s="47" t="inlineStr">
        <is>
          <t>511077</t>
        </is>
      </c>
    </row>
    <row r="1236">
      <c r="A1236" s="43" t="inlineStr">
        <is>
          <t>001067</t>
        </is>
      </c>
      <c r="B1236" s="44" t="inlineStr">
        <is>
          <t>ENTRADA SEXTA FEIRA</t>
        </is>
      </c>
      <c r="C1236" s="45" t="inlineStr">
        <is>
          <t>MR</t>
        </is>
      </c>
      <c r="D1236" s="45" t="inlineStr">
        <is>
          <t>UN</t>
        </is>
      </c>
      <c r="E1236" s="45" t="inlineStr">
        <is>
          <t>0128</t>
        </is>
      </c>
      <c r="F1236" s="65" t="inlineStr">
        <is>
          <t>Venda</t>
        </is>
      </c>
      <c r="G1236" s="69" t="n">
        <v>0</v>
      </c>
      <c r="H1236" s="173" t="inlineStr">
        <is>
          <t>Sim</t>
        </is>
      </c>
      <c r="I1236" s="48" t="inlineStr">
        <is>
          <t>10989</t>
        </is>
      </c>
    </row>
    <row r="1237">
      <c r="A1237" s="40" t="inlineStr">
        <is>
          <t>001096</t>
        </is>
      </c>
      <c r="B1237" s="41" t="inlineStr">
        <is>
          <t>ENTRADA SEXTA FEIRA</t>
        </is>
      </c>
      <c r="C1237" s="42" t="inlineStr">
        <is>
          <t>MR</t>
        </is>
      </c>
      <c r="D1237" s="42" t="inlineStr">
        <is>
          <t>UN</t>
        </is>
      </c>
      <c r="E1237" s="42" t="inlineStr">
        <is>
          <t>0128</t>
        </is>
      </c>
      <c r="F1237" s="65" t="inlineStr">
        <is>
          <t>Venda</t>
        </is>
      </c>
      <c r="G1237" s="68" t="n">
        <v>0</v>
      </c>
      <c r="H1237" s="177" t="inlineStr">
        <is>
          <t>Sim</t>
        </is>
      </c>
      <c r="I1237" s="178" t="n"/>
    </row>
    <row r="1238">
      <c r="A1238" s="43" t="inlineStr">
        <is>
          <t>001097</t>
        </is>
      </c>
      <c r="B1238" s="44" t="inlineStr">
        <is>
          <t>ENTRADA SEXTA FEIRA</t>
        </is>
      </c>
      <c r="C1238" s="45" t="inlineStr">
        <is>
          <t>MR</t>
        </is>
      </c>
      <c r="D1238" s="45" t="inlineStr">
        <is>
          <t>UN</t>
        </is>
      </c>
      <c r="E1238" s="45" t="inlineStr">
        <is>
          <t>0128</t>
        </is>
      </c>
      <c r="F1238" s="65" t="inlineStr">
        <is>
          <t>Venda</t>
        </is>
      </c>
      <c r="G1238" s="69" t="n">
        <v>0</v>
      </c>
      <c r="H1238" s="177" t="inlineStr">
        <is>
          <t>Sim</t>
        </is>
      </c>
      <c r="I1238" s="178" t="n"/>
    </row>
    <row r="1239">
      <c r="A1239" s="40" t="inlineStr">
        <is>
          <t>001098</t>
        </is>
      </c>
      <c r="B1239" s="41" t="inlineStr">
        <is>
          <t>ENTRADA SEXTA FEIRA</t>
        </is>
      </c>
      <c r="C1239" s="42" t="inlineStr">
        <is>
          <t>MR</t>
        </is>
      </c>
      <c r="D1239" s="42" t="inlineStr">
        <is>
          <t>UN</t>
        </is>
      </c>
      <c r="E1239" s="42" t="inlineStr">
        <is>
          <t>0128</t>
        </is>
      </c>
      <c r="F1239" s="65" t="inlineStr">
        <is>
          <t>Venda</t>
        </is>
      </c>
      <c r="G1239" s="68" t="n">
        <v>0</v>
      </c>
      <c r="H1239" s="173" t="inlineStr">
        <is>
          <t>Sim</t>
        </is>
      </c>
      <c r="I1239" s="47" t="inlineStr">
        <is>
          <t>38795</t>
        </is>
      </c>
    </row>
    <row r="1240">
      <c r="A1240" s="43" t="inlineStr">
        <is>
          <t>001099</t>
        </is>
      </c>
      <c r="B1240" s="44" t="inlineStr">
        <is>
          <t>ENTRADA SEXTA FEIRA</t>
        </is>
      </c>
      <c r="C1240" s="45" t="inlineStr">
        <is>
          <t>MR</t>
        </is>
      </c>
      <c r="D1240" s="45" t="inlineStr">
        <is>
          <t>UN</t>
        </is>
      </c>
      <c r="E1240" s="45" t="inlineStr">
        <is>
          <t>0128</t>
        </is>
      </c>
      <c r="F1240" s="65" t="inlineStr">
        <is>
          <t>Venda</t>
        </is>
      </c>
      <c r="G1240" s="69" t="n">
        <v>0</v>
      </c>
      <c r="H1240" s="173" t="inlineStr">
        <is>
          <t>Sim</t>
        </is>
      </c>
      <c r="I1240" s="48" t="inlineStr">
        <is>
          <t>48483</t>
        </is>
      </c>
    </row>
    <row r="1241">
      <c r="A1241" s="40" t="inlineStr">
        <is>
          <t>001118</t>
        </is>
      </c>
      <c r="B1241" s="41" t="inlineStr">
        <is>
          <t>ENTRADA SEXTA FEIRA</t>
        </is>
      </c>
      <c r="C1241" s="42" t="inlineStr">
        <is>
          <t>MR</t>
        </is>
      </c>
      <c r="D1241" s="42" t="inlineStr">
        <is>
          <t>UN</t>
        </is>
      </c>
      <c r="E1241" s="42" t="inlineStr">
        <is>
          <t>0128</t>
        </is>
      </c>
      <c r="F1241" s="65" t="inlineStr">
        <is>
          <t>Venda</t>
        </is>
      </c>
      <c r="G1241" s="68" t="n">
        <v>0</v>
      </c>
      <c r="H1241" s="173" t="inlineStr">
        <is>
          <t>Sim</t>
        </is>
      </c>
      <c r="I1241" s="47" t="inlineStr">
        <is>
          <t>9003380</t>
        </is>
      </c>
    </row>
    <row r="1242">
      <c r="A1242" s="43" t="inlineStr">
        <is>
          <t>001169</t>
        </is>
      </c>
      <c r="B1242" s="44" t="inlineStr">
        <is>
          <t>ENTRADA SEXTA FEIRA</t>
        </is>
      </c>
      <c r="C1242" s="45" t="inlineStr">
        <is>
          <t>MR</t>
        </is>
      </c>
      <c r="D1242" s="45" t="inlineStr">
        <is>
          <t>UN</t>
        </is>
      </c>
      <c r="E1242" s="45" t="inlineStr">
        <is>
          <t>0128</t>
        </is>
      </c>
      <c r="F1242" s="65" t="inlineStr">
        <is>
          <t>Venda</t>
        </is>
      </c>
      <c r="G1242" s="69" t="n">
        <v>0</v>
      </c>
      <c r="H1242" s="177" t="inlineStr">
        <is>
          <t>Sim</t>
        </is>
      </c>
      <c r="I1242" s="178" t="n"/>
    </row>
    <row r="1243">
      <c r="A1243" s="40" t="inlineStr">
        <is>
          <t>001489</t>
        </is>
      </c>
      <c r="B1243" s="41" t="inlineStr">
        <is>
          <t>ENTRADA SEXTA FEIRA</t>
        </is>
      </c>
      <c r="C1243" s="42" t="inlineStr">
        <is>
          <t>MR</t>
        </is>
      </c>
      <c r="D1243" s="42" t="inlineStr">
        <is>
          <t>UN</t>
        </is>
      </c>
      <c r="E1243" s="42" t="inlineStr">
        <is>
          <t>0128</t>
        </is>
      </c>
      <c r="F1243" s="65" t="inlineStr">
        <is>
          <t>Venda</t>
        </is>
      </c>
      <c r="G1243" s="68" t="n">
        <v>0</v>
      </c>
      <c r="H1243" s="172" t="inlineStr">
        <is>
          <t>Não</t>
        </is>
      </c>
      <c r="I1243" s="47" t="inlineStr">
        <is>
          <t>9003200</t>
        </is>
      </c>
    </row>
    <row r="1244">
      <c r="A1244" s="43" t="inlineStr">
        <is>
          <t>001490</t>
        </is>
      </c>
      <c r="B1244" s="44" t="inlineStr">
        <is>
          <t>ENTRADA SEXTA FEIRA</t>
        </is>
      </c>
      <c r="C1244" s="45" t="inlineStr">
        <is>
          <t>OI</t>
        </is>
      </c>
      <c r="D1244" s="45" t="inlineStr">
        <is>
          <t>UN</t>
        </is>
      </c>
      <c r="E1244" s="45" t="inlineStr">
        <is>
          <t>0128</t>
        </is>
      </c>
      <c r="F1244" s="65" t="inlineStr">
        <is>
          <t>Venda</t>
        </is>
      </c>
      <c r="G1244" s="69" t="n">
        <v>0</v>
      </c>
      <c r="H1244" s="172" t="inlineStr">
        <is>
          <t>Não</t>
        </is>
      </c>
      <c r="I1244" s="48" t="inlineStr">
        <is>
          <t>3775</t>
        </is>
      </c>
    </row>
    <row r="1245">
      <c r="A1245" s="40" t="inlineStr">
        <is>
          <t>009997</t>
        </is>
      </c>
      <c r="B1245" s="41" t="inlineStr">
        <is>
          <t>ENTRADA SEXTA FEIRA</t>
        </is>
      </c>
      <c r="C1245" s="42" t="inlineStr">
        <is>
          <t>OI</t>
        </is>
      </c>
      <c r="D1245" s="42" t="inlineStr">
        <is>
          <t>UN</t>
        </is>
      </c>
      <c r="E1245" s="42" t="inlineStr">
        <is>
          <t>0128</t>
        </is>
      </c>
      <c r="F1245" s="65" t="inlineStr">
        <is>
          <t>Venda</t>
        </is>
      </c>
      <c r="G1245" s="68" t="n">
        <v>0</v>
      </c>
      <c r="H1245" s="172" t="inlineStr">
        <is>
          <t>Não</t>
        </is>
      </c>
      <c r="I1245" s="47" t="inlineStr">
        <is>
          <t>4976</t>
        </is>
      </c>
    </row>
    <row r="1246">
      <c r="A1246" s="43" t="inlineStr">
        <is>
          <t>010037</t>
        </is>
      </c>
      <c r="B1246" s="44" t="inlineStr">
        <is>
          <t>ENTRADA SEXTA FEIRA</t>
        </is>
      </c>
      <c r="C1246" s="45" t="inlineStr">
        <is>
          <t>OI</t>
        </is>
      </c>
      <c r="D1246" s="45" t="inlineStr">
        <is>
          <t>UN</t>
        </is>
      </c>
      <c r="E1246" s="45" t="inlineStr">
        <is>
          <t>0128</t>
        </is>
      </c>
      <c r="F1246" s="65" t="inlineStr">
        <is>
          <t>Venda</t>
        </is>
      </c>
      <c r="G1246" s="69" t="n">
        <v>0</v>
      </c>
      <c r="H1246" s="172" t="inlineStr">
        <is>
          <t>Não</t>
        </is>
      </c>
      <c r="I1246" s="48" t="inlineStr">
        <is>
          <t>511077</t>
        </is>
      </c>
    </row>
    <row r="1247">
      <c r="A1247" s="40" t="inlineStr">
        <is>
          <t>010038</t>
        </is>
      </c>
      <c r="B1247" s="41" t="inlineStr">
        <is>
          <t>ENTRADA SEXTA FEIRA</t>
        </is>
      </c>
      <c r="C1247" s="42" t="inlineStr">
        <is>
          <t>OI</t>
        </is>
      </c>
      <c r="D1247" s="42" t="inlineStr">
        <is>
          <t>UN</t>
        </is>
      </c>
      <c r="E1247" s="42" t="inlineStr">
        <is>
          <t>0128</t>
        </is>
      </c>
      <c r="F1247" s="65" t="inlineStr">
        <is>
          <t>Venda</t>
        </is>
      </c>
      <c r="G1247" s="68" t="n">
        <v>0</v>
      </c>
      <c r="H1247" s="172" t="inlineStr">
        <is>
          <t>Não</t>
        </is>
      </c>
      <c r="I1247" s="47" t="inlineStr">
        <is>
          <t>511029</t>
        </is>
      </c>
    </row>
    <row r="1248">
      <c r="A1248" s="43" t="inlineStr">
        <is>
          <t>010048</t>
        </is>
      </c>
      <c r="B1248" s="44" t="inlineStr">
        <is>
          <t>ENTRADA SEXTA FEIRA</t>
        </is>
      </c>
      <c r="C1248" s="45" t="inlineStr">
        <is>
          <t>MR</t>
        </is>
      </c>
      <c r="D1248" s="45" t="inlineStr">
        <is>
          <t>UN</t>
        </is>
      </c>
      <c r="E1248" s="45" t="inlineStr">
        <is>
          <t>0128</t>
        </is>
      </c>
      <c r="F1248" s="65" t="inlineStr">
        <is>
          <t>Venda</t>
        </is>
      </c>
      <c r="G1248" s="69" t="n">
        <v>0</v>
      </c>
      <c r="H1248" s="172" t="inlineStr">
        <is>
          <t>Não</t>
        </is>
      </c>
      <c r="I1248" s="48" t="inlineStr">
        <is>
          <t>38795</t>
        </is>
      </c>
    </row>
    <row r="1249">
      <c r="A1249" s="40" t="inlineStr">
        <is>
          <t>010051</t>
        </is>
      </c>
      <c r="B1249" s="41" t="inlineStr">
        <is>
          <t>ENTRADA SEXTA FEIRA</t>
        </is>
      </c>
      <c r="C1249" s="42" t="inlineStr">
        <is>
          <t>MR</t>
        </is>
      </c>
      <c r="D1249" s="42" t="inlineStr">
        <is>
          <t>UN</t>
        </is>
      </c>
      <c r="E1249" s="42" t="inlineStr">
        <is>
          <t>0128</t>
        </is>
      </c>
      <c r="F1249" s="65" t="inlineStr">
        <is>
          <t>Venda</t>
        </is>
      </c>
      <c r="G1249" s="68" t="n">
        <v>0</v>
      </c>
      <c r="H1249" s="172" t="inlineStr">
        <is>
          <t>Não</t>
        </is>
      </c>
      <c r="I1249" s="47" t="inlineStr">
        <is>
          <t>10989</t>
        </is>
      </c>
    </row>
    <row r="1250">
      <c r="A1250" s="43" t="inlineStr">
        <is>
          <t>010059</t>
        </is>
      </c>
      <c r="B1250" s="44" t="inlineStr">
        <is>
          <t>ENTRADA SEXTA FEIRA</t>
        </is>
      </c>
      <c r="C1250" s="45" t="inlineStr">
        <is>
          <t>MR</t>
        </is>
      </c>
      <c r="D1250" s="45" t="inlineStr">
        <is>
          <t>UN</t>
        </is>
      </c>
      <c r="E1250" s="45" t="inlineStr">
        <is>
          <t>0128</t>
        </is>
      </c>
      <c r="F1250" s="65" t="inlineStr">
        <is>
          <t>Venda</t>
        </is>
      </c>
      <c r="G1250" s="69" t="n">
        <v>0</v>
      </c>
      <c r="H1250" s="177" t="inlineStr">
        <is>
          <t>Sim</t>
        </is>
      </c>
      <c r="I1250" s="178" t="n"/>
    </row>
    <row r="1251">
      <c r="A1251" s="40" t="inlineStr">
        <is>
          <t>010063</t>
        </is>
      </c>
      <c r="B1251" s="41" t="inlineStr">
        <is>
          <t>ENTRADA SEXTA FEIRA</t>
        </is>
      </c>
      <c r="C1251" s="42" t="inlineStr">
        <is>
          <t>MR</t>
        </is>
      </c>
      <c r="D1251" s="42" t="inlineStr">
        <is>
          <t>UN</t>
        </is>
      </c>
      <c r="E1251" s="42" t="inlineStr">
        <is>
          <t>0128</t>
        </is>
      </c>
      <c r="F1251" s="65" t="inlineStr">
        <is>
          <t>Venda</t>
        </is>
      </c>
      <c r="G1251" s="68" t="n">
        <v>0</v>
      </c>
      <c r="H1251" s="172" t="inlineStr">
        <is>
          <t>Não</t>
        </is>
      </c>
      <c r="I1251" s="47" t="inlineStr">
        <is>
          <t>511009</t>
        </is>
      </c>
    </row>
    <row r="1252">
      <c r="A1252" s="43" t="inlineStr">
        <is>
          <t>010070</t>
        </is>
      </c>
      <c r="B1252" s="44" t="inlineStr">
        <is>
          <t>ENTRADA SEXTA FEIRA</t>
        </is>
      </c>
      <c r="C1252" s="45" t="inlineStr">
        <is>
          <t>MR</t>
        </is>
      </c>
      <c r="D1252" s="45" t="inlineStr">
        <is>
          <t>UN</t>
        </is>
      </c>
      <c r="E1252" s="45" t="inlineStr">
        <is>
          <t>0128</t>
        </is>
      </c>
      <c r="F1252" s="65" t="inlineStr">
        <is>
          <t>Venda</t>
        </is>
      </c>
      <c r="G1252" s="69" t="n">
        <v>0</v>
      </c>
      <c r="H1252" s="172" t="inlineStr">
        <is>
          <t>Não</t>
        </is>
      </c>
      <c r="I1252" s="48" t="inlineStr">
        <is>
          <t>9003380</t>
        </is>
      </c>
    </row>
    <row r="1253">
      <c r="A1253" s="40" t="inlineStr">
        <is>
          <t>010347</t>
        </is>
      </c>
      <c r="B1253" s="41" t="inlineStr">
        <is>
          <t>ENTRADA SEXTA FEIRA</t>
        </is>
      </c>
      <c r="C1253" s="42" t="inlineStr">
        <is>
          <t>MR</t>
        </is>
      </c>
      <c r="D1253" s="42" t="inlineStr">
        <is>
          <t>UN</t>
        </is>
      </c>
      <c r="E1253" s="42" t="inlineStr">
        <is>
          <t>0128</t>
        </is>
      </c>
      <c r="F1253" s="65" t="inlineStr">
        <is>
          <t>Venda</t>
        </is>
      </c>
      <c r="G1253" s="68" t="n">
        <v>0</v>
      </c>
      <c r="H1253" s="172" t="inlineStr">
        <is>
          <t>Não</t>
        </is>
      </c>
      <c r="I1253" s="47" t="inlineStr">
        <is>
          <t>48483</t>
        </is>
      </c>
    </row>
    <row r="1254">
      <c r="A1254" s="43" t="inlineStr">
        <is>
          <t>001234</t>
        </is>
      </c>
      <c r="B1254" s="44" t="inlineStr">
        <is>
          <t>ENTRADA SEXTA HOMEM</t>
        </is>
      </c>
      <c r="C1254" s="45" t="inlineStr">
        <is>
          <t>MR</t>
        </is>
      </c>
      <c r="D1254" s="45" t="inlineStr">
        <is>
          <t>UN</t>
        </is>
      </c>
      <c r="E1254" s="45" t="inlineStr">
        <is>
          <t>0128</t>
        </is>
      </c>
      <c r="F1254" s="65" t="inlineStr">
        <is>
          <t>Venda</t>
        </is>
      </c>
      <c r="G1254" s="69" t="n">
        <v>0</v>
      </c>
      <c r="H1254" s="173" t="inlineStr">
        <is>
          <t>Sim</t>
        </is>
      </c>
      <c r="I1254" s="48" t="inlineStr">
        <is>
          <t>9003580</t>
        </is>
      </c>
    </row>
    <row r="1255">
      <c r="A1255" s="40" t="inlineStr">
        <is>
          <t>009989</t>
        </is>
      </c>
      <c r="B1255" s="41" t="inlineStr">
        <is>
          <t>ENTRADA SEXTA HOMEM</t>
        </is>
      </c>
      <c r="C1255" s="42" t="inlineStr">
        <is>
          <t>OI</t>
        </is>
      </c>
      <c r="D1255" s="42" t="inlineStr">
        <is>
          <t>UN</t>
        </is>
      </c>
      <c r="E1255" s="42" t="inlineStr">
        <is>
          <t>0128</t>
        </is>
      </c>
      <c r="F1255" s="65" t="inlineStr">
        <is>
          <t>Venda</t>
        </is>
      </c>
      <c r="G1255" s="68" t="n">
        <v>0</v>
      </c>
      <c r="H1255" s="172" t="inlineStr">
        <is>
          <t>Não</t>
        </is>
      </c>
      <c r="I1255" s="47" t="inlineStr">
        <is>
          <t>511011</t>
        </is>
      </c>
    </row>
    <row r="1256">
      <c r="A1256" s="43" t="inlineStr">
        <is>
          <t>001233</t>
        </is>
      </c>
      <c r="B1256" s="44" t="inlineStr">
        <is>
          <t>ENTRADA SEXTA MULHER</t>
        </is>
      </c>
      <c r="C1256" s="45" t="inlineStr">
        <is>
          <t>MR</t>
        </is>
      </c>
      <c r="D1256" s="45" t="inlineStr">
        <is>
          <t>UN</t>
        </is>
      </c>
      <c r="E1256" s="45" t="inlineStr">
        <is>
          <t>0128</t>
        </is>
      </c>
      <c r="F1256" s="65" t="inlineStr">
        <is>
          <t>Venda</t>
        </is>
      </c>
      <c r="G1256" s="69" t="n">
        <v>0</v>
      </c>
      <c r="H1256" s="173" t="inlineStr">
        <is>
          <t>Sim</t>
        </is>
      </c>
      <c r="I1256" s="48" t="inlineStr">
        <is>
          <t>9003581</t>
        </is>
      </c>
    </row>
    <row r="1257">
      <c r="A1257" s="40" t="inlineStr">
        <is>
          <t>001488</t>
        </is>
      </c>
      <c r="B1257" s="41" t="inlineStr">
        <is>
          <t>ENTRADA SHOW</t>
        </is>
      </c>
      <c r="C1257" s="42" t="inlineStr">
        <is>
          <t>MR</t>
        </is>
      </c>
      <c r="D1257" s="42" t="inlineStr">
        <is>
          <t>UN</t>
        </is>
      </c>
      <c r="E1257" s="42" t="inlineStr">
        <is>
          <t>0128</t>
        </is>
      </c>
      <c r="F1257" s="65" t="inlineStr">
        <is>
          <t>Venda</t>
        </is>
      </c>
      <c r="G1257" s="68" t="n">
        <v>0</v>
      </c>
      <c r="H1257" s="173" t="inlineStr">
        <is>
          <t>Sim</t>
        </is>
      </c>
      <c r="I1257" s="47" t="inlineStr">
        <is>
          <t>900339</t>
        </is>
      </c>
    </row>
    <row r="1258">
      <c r="A1258" s="43" t="inlineStr">
        <is>
          <t>001791</t>
        </is>
      </c>
      <c r="B1258" s="44" t="inlineStr">
        <is>
          <t>ENTRADA SHOW</t>
        </is>
      </c>
      <c r="C1258" s="45" t="inlineStr">
        <is>
          <t>OI</t>
        </is>
      </c>
      <c r="D1258" s="45" t="inlineStr">
        <is>
          <t>UN</t>
        </is>
      </c>
      <c r="E1258" s="45" t="inlineStr">
        <is>
          <t>0128</t>
        </is>
      </c>
      <c r="F1258" s="65" t="inlineStr">
        <is>
          <t>Venda</t>
        </is>
      </c>
      <c r="G1258" s="69" t="n">
        <v>0</v>
      </c>
      <c r="H1258" s="172" t="inlineStr">
        <is>
          <t>Não</t>
        </is>
      </c>
      <c r="I1258" s="48" t="inlineStr">
        <is>
          <t>78989056877123</t>
        </is>
      </c>
    </row>
    <row r="1259">
      <c r="A1259" s="40" t="inlineStr">
        <is>
          <t>0020010</t>
        </is>
      </c>
      <c r="B1259" s="41" t="inlineStr">
        <is>
          <t>ENTRADA SHOW</t>
        </is>
      </c>
      <c r="C1259" s="42" t="inlineStr">
        <is>
          <t>OI</t>
        </is>
      </c>
      <c r="D1259" s="42" t="inlineStr">
        <is>
          <t>UN</t>
        </is>
      </c>
      <c r="E1259" s="42" t="inlineStr">
        <is>
          <t>0128</t>
        </is>
      </c>
      <c r="F1259" s="65" t="inlineStr">
        <is>
          <t>Venda</t>
        </is>
      </c>
      <c r="G1259" s="68" t="n">
        <v>0</v>
      </c>
      <c r="H1259" s="172" t="inlineStr">
        <is>
          <t>Não</t>
        </is>
      </c>
      <c r="I1259" s="47" t="inlineStr">
        <is>
          <t>15702843</t>
        </is>
      </c>
    </row>
    <row r="1260">
      <c r="A1260" s="43" t="inlineStr">
        <is>
          <t>010002</t>
        </is>
      </c>
      <c r="B1260" s="44" t="inlineStr">
        <is>
          <t>ENTRADA SHOW</t>
        </is>
      </c>
      <c r="C1260" s="45" t="inlineStr">
        <is>
          <t>OI</t>
        </is>
      </c>
      <c r="D1260" s="45" t="inlineStr">
        <is>
          <t>UN</t>
        </is>
      </c>
      <c r="E1260" s="45" t="inlineStr">
        <is>
          <t>0128</t>
        </is>
      </c>
      <c r="F1260" s="65" t="inlineStr">
        <is>
          <t>Venda</t>
        </is>
      </c>
      <c r="G1260" s="69" t="n">
        <v>0</v>
      </c>
      <c r="H1260" s="172" t="inlineStr">
        <is>
          <t>Não</t>
        </is>
      </c>
      <c r="I1260" s="48" t="inlineStr">
        <is>
          <t>78989056877138</t>
        </is>
      </c>
    </row>
    <row r="1261">
      <c r="A1261" s="40" t="inlineStr">
        <is>
          <t>010074</t>
        </is>
      </c>
      <c r="B1261" s="41" t="inlineStr">
        <is>
          <t>ENTRADA SHOW</t>
        </is>
      </c>
      <c r="C1261" s="42" t="inlineStr">
        <is>
          <t>MR</t>
        </is>
      </c>
      <c r="D1261" s="42" t="inlineStr">
        <is>
          <t>UN</t>
        </is>
      </c>
      <c r="E1261" s="42" t="inlineStr">
        <is>
          <t>0128</t>
        </is>
      </c>
      <c r="F1261" s="65" t="inlineStr">
        <is>
          <t>Venda</t>
        </is>
      </c>
      <c r="G1261" s="68" t="n">
        <v>0</v>
      </c>
      <c r="H1261" s="172" t="inlineStr">
        <is>
          <t>Não</t>
        </is>
      </c>
      <c r="I1261" s="47" t="inlineStr">
        <is>
          <t>9003387</t>
        </is>
      </c>
    </row>
    <row r="1262">
      <c r="A1262" s="43" t="inlineStr">
        <is>
          <t>010075</t>
        </is>
      </c>
      <c r="B1262" s="44" t="inlineStr">
        <is>
          <t>ENTRADA SHOW</t>
        </is>
      </c>
      <c r="C1262" s="45" t="inlineStr">
        <is>
          <t>MR</t>
        </is>
      </c>
      <c r="D1262" s="45" t="inlineStr">
        <is>
          <t>UN</t>
        </is>
      </c>
      <c r="E1262" s="45" t="inlineStr">
        <is>
          <t>0128</t>
        </is>
      </c>
      <c r="F1262" s="65" t="inlineStr">
        <is>
          <t>Venda</t>
        </is>
      </c>
      <c r="G1262" s="69" t="n">
        <v>0</v>
      </c>
      <c r="H1262" s="172" t="inlineStr">
        <is>
          <t>Não</t>
        </is>
      </c>
      <c r="I1262" s="48" t="inlineStr">
        <is>
          <t>9003389</t>
        </is>
      </c>
    </row>
    <row r="1263">
      <c r="A1263" s="40" t="inlineStr">
        <is>
          <t>010003</t>
        </is>
      </c>
      <c r="B1263" s="41" t="inlineStr">
        <is>
          <t>ENTRADA SHOW 02</t>
        </is>
      </c>
      <c r="C1263" s="42" t="inlineStr">
        <is>
          <t>OI</t>
        </is>
      </c>
      <c r="D1263" s="42" t="inlineStr">
        <is>
          <t>UN</t>
        </is>
      </c>
      <c r="E1263" s="42" t="inlineStr">
        <is>
          <t>0128</t>
        </is>
      </c>
      <c r="F1263" s="65" t="inlineStr">
        <is>
          <t>Venda</t>
        </is>
      </c>
      <c r="G1263" s="68" t="n">
        <v>0</v>
      </c>
      <c r="H1263" s="172" t="inlineStr">
        <is>
          <t>Não</t>
        </is>
      </c>
      <c r="I1263" s="47" t="inlineStr">
        <is>
          <t>78989056877137</t>
        </is>
      </c>
    </row>
    <row r="1264">
      <c r="A1264" s="43" t="inlineStr">
        <is>
          <t>000824</t>
        </is>
      </c>
      <c r="B1264" s="44" t="inlineStr">
        <is>
          <t>ENTRADA SHOW HOMEM</t>
        </is>
      </c>
      <c r="C1264" s="45" t="inlineStr">
        <is>
          <t>MR</t>
        </is>
      </c>
      <c r="D1264" s="45" t="inlineStr">
        <is>
          <t>UN</t>
        </is>
      </c>
      <c r="E1264" s="45" t="inlineStr">
        <is>
          <t>0128</t>
        </is>
      </c>
      <c r="F1264" s="65" t="inlineStr">
        <is>
          <t>Venda</t>
        </is>
      </c>
      <c r="G1264" s="69" t="n">
        <v>0</v>
      </c>
      <c r="H1264" s="173" t="inlineStr">
        <is>
          <t>Sim</t>
        </is>
      </c>
      <c r="I1264" s="48" t="inlineStr">
        <is>
          <t>7898905687136</t>
        </is>
      </c>
    </row>
    <row r="1265">
      <c r="A1265" s="40" t="inlineStr">
        <is>
          <t>001237</t>
        </is>
      </c>
      <c r="B1265" s="41" t="inlineStr">
        <is>
          <t>ENTRADA SHOW HOMEM</t>
        </is>
      </c>
      <c r="C1265" s="42" t="inlineStr">
        <is>
          <t>MR</t>
        </is>
      </c>
      <c r="D1265" s="42" t="inlineStr">
        <is>
          <t>UN</t>
        </is>
      </c>
      <c r="E1265" s="42" t="inlineStr">
        <is>
          <t>0128</t>
        </is>
      </c>
      <c r="F1265" s="65" t="inlineStr">
        <is>
          <t>Venda</t>
        </is>
      </c>
      <c r="G1265" s="68" t="n">
        <v>0</v>
      </c>
      <c r="H1265" s="173" t="inlineStr">
        <is>
          <t>Sim</t>
        </is>
      </c>
      <c r="I1265" s="47" t="inlineStr">
        <is>
          <t>70996</t>
        </is>
      </c>
    </row>
    <row r="1266">
      <c r="A1266" s="43" t="inlineStr">
        <is>
          <t>001238</t>
        </is>
      </c>
      <c r="B1266" s="44" t="inlineStr">
        <is>
          <t>ENTRADA SHOW HOMEM</t>
        </is>
      </c>
      <c r="C1266" s="45" t="inlineStr">
        <is>
          <t>MR</t>
        </is>
      </c>
      <c r="D1266" s="45" t="inlineStr">
        <is>
          <t>UN</t>
        </is>
      </c>
      <c r="E1266" s="45" t="inlineStr">
        <is>
          <t>0128</t>
        </is>
      </c>
      <c r="F1266" s="65" t="inlineStr">
        <is>
          <t>Venda</t>
        </is>
      </c>
      <c r="G1266" s="69" t="n">
        <v>0</v>
      </c>
      <c r="H1266" s="177" t="inlineStr">
        <is>
          <t>Sim</t>
        </is>
      </c>
      <c r="I1266" s="178" t="n"/>
    </row>
    <row r="1267">
      <c r="A1267" s="40" t="inlineStr">
        <is>
          <t>001298</t>
        </is>
      </c>
      <c r="B1267" s="41" t="inlineStr">
        <is>
          <t>ENTRADA SHOW HOMEM</t>
        </is>
      </c>
      <c r="C1267" s="42" t="inlineStr">
        <is>
          <t>MR</t>
        </is>
      </c>
      <c r="D1267" s="42" t="inlineStr">
        <is>
          <t>UN</t>
        </is>
      </c>
      <c r="E1267" s="42" t="inlineStr">
        <is>
          <t>0128</t>
        </is>
      </c>
      <c r="F1267" s="65" t="inlineStr">
        <is>
          <t>Venda</t>
        </is>
      </c>
      <c r="G1267" s="68" t="n">
        <v>0</v>
      </c>
      <c r="H1267" s="173" t="inlineStr">
        <is>
          <t>Sim</t>
        </is>
      </c>
      <c r="I1267" s="47" t="inlineStr">
        <is>
          <t>9003636</t>
        </is>
      </c>
    </row>
    <row r="1268">
      <c r="A1268" s="43" t="inlineStr">
        <is>
          <t>000852</t>
        </is>
      </c>
      <c r="B1268" s="44" t="inlineStr">
        <is>
          <t>ENTRADA SHOW MEZANINO</t>
        </is>
      </c>
      <c r="C1268" s="45" t="inlineStr">
        <is>
          <t>MR</t>
        </is>
      </c>
      <c r="D1268" s="45" t="inlineStr">
        <is>
          <t>UN</t>
        </is>
      </c>
      <c r="E1268" s="45" t="inlineStr">
        <is>
          <t>0128</t>
        </is>
      </c>
      <c r="F1268" s="65" t="inlineStr">
        <is>
          <t>Venda</t>
        </is>
      </c>
      <c r="G1268" s="69" t="n">
        <v>0</v>
      </c>
      <c r="H1268" s="173" t="inlineStr">
        <is>
          <t>Sim</t>
        </is>
      </c>
      <c r="I1268" s="50" t="n"/>
    </row>
    <row r="1269">
      <c r="A1269" s="40" t="inlineStr">
        <is>
          <t>001094</t>
        </is>
      </c>
      <c r="B1269" s="41" t="inlineStr">
        <is>
          <t>ENTRADA SHOW MULHER</t>
        </is>
      </c>
      <c r="C1269" s="42" t="inlineStr">
        <is>
          <t>MR</t>
        </is>
      </c>
      <c r="D1269" s="42" t="inlineStr">
        <is>
          <t>UN</t>
        </is>
      </c>
      <c r="E1269" s="42" t="inlineStr">
        <is>
          <t>0128</t>
        </is>
      </c>
      <c r="F1269" s="65" t="inlineStr">
        <is>
          <t>Venda</t>
        </is>
      </c>
      <c r="G1269" s="68" t="n">
        <v>0</v>
      </c>
      <c r="H1269" s="173" t="inlineStr">
        <is>
          <t>Sim</t>
        </is>
      </c>
      <c r="I1269" s="47" t="inlineStr">
        <is>
          <t>82764</t>
        </is>
      </c>
    </row>
    <row r="1270">
      <c r="A1270" s="43" t="inlineStr">
        <is>
          <t>001121</t>
        </is>
      </c>
      <c r="B1270" s="44" t="inlineStr">
        <is>
          <t>ENTRADA SHOW MULHER</t>
        </is>
      </c>
      <c r="C1270" s="45" t="inlineStr">
        <is>
          <t>MR</t>
        </is>
      </c>
      <c r="D1270" s="45" t="inlineStr">
        <is>
          <t>UN</t>
        </is>
      </c>
      <c r="E1270" s="45" t="inlineStr">
        <is>
          <t>0128</t>
        </is>
      </c>
      <c r="F1270" s="65" t="inlineStr">
        <is>
          <t>Venda</t>
        </is>
      </c>
      <c r="G1270" s="69" t="n">
        <v>0</v>
      </c>
      <c r="H1270" s="173" t="inlineStr">
        <is>
          <t>Sim</t>
        </is>
      </c>
      <c r="I1270" s="48" t="inlineStr">
        <is>
          <t>9003387</t>
        </is>
      </c>
    </row>
    <row r="1271">
      <c r="A1271" s="40" t="inlineStr">
        <is>
          <t>001231</t>
        </is>
      </c>
      <c r="B1271" s="41" t="inlineStr">
        <is>
          <t>ENTRADA SHOW MULHER</t>
        </is>
      </c>
      <c r="C1271" s="42" t="inlineStr">
        <is>
          <t>MR</t>
        </is>
      </c>
      <c r="D1271" s="42" t="inlineStr">
        <is>
          <t>UN</t>
        </is>
      </c>
      <c r="E1271" s="42" t="inlineStr">
        <is>
          <t>0128</t>
        </is>
      </c>
      <c r="F1271" s="65" t="inlineStr">
        <is>
          <t>Venda</t>
        </is>
      </c>
      <c r="G1271" s="68" t="n">
        <v>0</v>
      </c>
      <c r="H1271" s="177" t="inlineStr">
        <is>
          <t>Sim</t>
        </is>
      </c>
      <c r="I1271" s="178" t="n"/>
    </row>
    <row r="1272">
      <c r="A1272" s="43" t="inlineStr">
        <is>
          <t>001239</t>
        </is>
      </c>
      <c r="B1272" s="44" t="inlineStr">
        <is>
          <t>ENTRADA SHOW MULHER</t>
        </is>
      </c>
      <c r="C1272" s="45" t="inlineStr">
        <is>
          <t>OI</t>
        </is>
      </c>
      <c r="D1272" s="45" t="inlineStr">
        <is>
          <t>UN</t>
        </is>
      </c>
      <c r="E1272" s="45" t="inlineStr">
        <is>
          <t>0128</t>
        </is>
      </c>
      <c r="F1272" s="65" t="inlineStr">
        <is>
          <t>Venda</t>
        </is>
      </c>
      <c r="G1272" s="69" t="n">
        <v>0</v>
      </c>
      <c r="H1272" s="172" t="inlineStr">
        <is>
          <t>Não</t>
        </is>
      </c>
      <c r="I1272" s="48" t="inlineStr">
        <is>
          <t>9003572</t>
        </is>
      </c>
    </row>
    <row r="1273">
      <c r="A1273" s="40" t="inlineStr">
        <is>
          <t>000851</t>
        </is>
      </c>
      <c r="B1273" s="41" t="inlineStr">
        <is>
          <t>ENTRADA SHOW PISTA</t>
        </is>
      </c>
      <c r="C1273" s="42" t="inlineStr">
        <is>
          <t>MR</t>
        </is>
      </c>
      <c r="D1273" s="42" t="inlineStr">
        <is>
          <t>UN</t>
        </is>
      </c>
      <c r="E1273" s="42" t="inlineStr">
        <is>
          <t>0128</t>
        </is>
      </c>
      <c r="F1273" s="65" t="inlineStr">
        <is>
          <t>Venda</t>
        </is>
      </c>
      <c r="G1273" s="68" t="n">
        <v>0</v>
      </c>
      <c r="H1273" s="173" t="inlineStr">
        <is>
          <t>Sim</t>
        </is>
      </c>
      <c r="I1273" s="49" t="n"/>
    </row>
    <row r="1274">
      <c r="A1274" s="43" t="inlineStr">
        <is>
          <t>009846</t>
        </is>
      </c>
      <c r="B1274" s="44" t="inlineStr">
        <is>
          <t>ENTRADA TERCA</t>
        </is>
      </c>
      <c r="C1274" s="45" t="inlineStr">
        <is>
          <t>OI</t>
        </is>
      </c>
      <c r="D1274" s="45" t="inlineStr">
        <is>
          <t>UN</t>
        </is>
      </c>
      <c r="E1274" s="45" t="inlineStr">
        <is>
          <t>0128</t>
        </is>
      </c>
      <c r="F1274" s="65" t="inlineStr">
        <is>
          <t>Venda</t>
        </is>
      </c>
      <c r="G1274" s="69" t="n">
        <v>0</v>
      </c>
      <c r="H1274" s="172" t="inlineStr">
        <is>
          <t>Não</t>
        </is>
      </c>
      <c r="I1274" s="48" t="inlineStr">
        <is>
          <t>78989056877154</t>
        </is>
      </c>
    </row>
    <row r="1275">
      <c r="A1275" s="40" t="inlineStr">
        <is>
          <t>000822</t>
        </is>
      </c>
      <c r="B1275" s="41" t="inlineStr">
        <is>
          <t>ENTRADA TERCA FEIRA</t>
        </is>
      </c>
      <c r="C1275" s="42" t="inlineStr">
        <is>
          <t>MR</t>
        </is>
      </c>
      <c r="D1275" s="42" t="inlineStr">
        <is>
          <t>UN</t>
        </is>
      </c>
      <c r="E1275" s="42" t="inlineStr">
        <is>
          <t>0128</t>
        </is>
      </c>
      <c r="F1275" s="65" t="inlineStr">
        <is>
          <t>Venda</t>
        </is>
      </c>
      <c r="G1275" s="68" t="n">
        <v>0</v>
      </c>
      <c r="H1275" s="173" t="inlineStr">
        <is>
          <t>Sim</t>
        </is>
      </c>
      <c r="I1275" s="47" t="inlineStr">
        <is>
          <t>511003</t>
        </is>
      </c>
    </row>
    <row r="1276">
      <c r="A1276" s="43" t="inlineStr">
        <is>
          <t>000830</t>
        </is>
      </c>
      <c r="B1276" s="44" t="inlineStr">
        <is>
          <t>ENTRADA TERCA FEIRA</t>
        </is>
      </c>
      <c r="C1276" s="45" t="inlineStr">
        <is>
          <t>MR</t>
        </is>
      </c>
      <c r="D1276" s="45" t="inlineStr">
        <is>
          <t>UN</t>
        </is>
      </c>
      <c r="E1276" s="45" t="inlineStr">
        <is>
          <t>0128</t>
        </is>
      </c>
      <c r="F1276" s="65" t="inlineStr">
        <is>
          <t>Venda</t>
        </is>
      </c>
      <c r="G1276" s="69" t="n">
        <v>0</v>
      </c>
      <c r="H1276" s="177" t="inlineStr">
        <is>
          <t>Sim</t>
        </is>
      </c>
      <c r="I1276" s="178" t="n"/>
    </row>
    <row r="1277">
      <c r="A1277" s="40" t="inlineStr">
        <is>
          <t>000846</t>
        </is>
      </c>
      <c r="B1277" s="41" t="inlineStr">
        <is>
          <t>ENTRADA TERCA FEIRA</t>
        </is>
      </c>
      <c r="C1277" s="42" t="inlineStr">
        <is>
          <t>MR</t>
        </is>
      </c>
      <c r="D1277" s="42" t="inlineStr">
        <is>
          <t>UN</t>
        </is>
      </c>
      <c r="E1277" s="42" t="inlineStr">
        <is>
          <t>0128</t>
        </is>
      </c>
      <c r="F1277" s="65" t="inlineStr">
        <is>
          <t>Venda</t>
        </is>
      </c>
      <c r="G1277" s="68" t="n">
        <v>0</v>
      </c>
      <c r="H1277" s="173" t="inlineStr">
        <is>
          <t>Sim</t>
        </is>
      </c>
      <c r="I1277" s="47" t="inlineStr">
        <is>
          <t>511029</t>
        </is>
      </c>
    </row>
    <row r="1278">
      <c r="A1278" s="43" t="inlineStr">
        <is>
          <t>001068</t>
        </is>
      </c>
      <c r="B1278" s="44" t="inlineStr">
        <is>
          <t>ENTRADA TERCA FEIRA</t>
        </is>
      </c>
      <c r="C1278" s="45" t="inlineStr">
        <is>
          <t>MR</t>
        </is>
      </c>
      <c r="D1278" s="45" t="inlineStr">
        <is>
          <t>UN</t>
        </is>
      </c>
      <c r="E1278" s="45" t="inlineStr">
        <is>
          <t>0128</t>
        </is>
      </c>
      <c r="F1278" s="65" t="inlineStr">
        <is>
          <t>Venda</t>
        </is>
      </c>
      <c r="G1278" s="69" t="n">
        <v>0</v>
      </c>
      <c r="H1278" s="173" t="inlineStr">
        <is>
          <t>Sim</t>
        </is>
      </c>
      <c r="I1278" s="48" t="inlineStr">
        <is>
          <t>77506</t>
        </is>
      </c>
    </row>
    <row r="1279">
      <c r="A1279" s="40" t="inlineStr">
        <is>
          <t>001084</t>
        </is>
      </c>
      <c r="B1279" s="41" t="inlineStr">
        <is>
          <t>ENTRADA TERCA FEIRA</t>
        </is>
      </c>
      <c r="C1279" s="42" t="inlineStr">
        <is>
          <t>MR</t>
        </is>
      </c>
      <c r="D1279" s="42" t="inlineStr">
        <is>
          <t>UN</t>
        </is>
      </c>
      <c r="E1279" s="42" t="inlineStr">
        <is>
          <t>0128</t>
        </is>
      </c>
      <c r="F1279" s="65" t="inlineStr">
        <is>
          <t>Venda</t>
        </is>
      </c>
      <c r="G1279" s="68" t="n">
        <v>0</v>
      </c>
      <c r="H1279" s="173" t="inlineStr">
        <is>
          <t>Sim</t>
        </is>
      </c>
      <c r="I1279" s="47" t="inlineStr">
        <is>
          <t>29662</t>
        </is>
      </c>
    </row>
    <row r="1280">
      <c r="A1280" s="43" t="inlineStr">
        <is>
          <t>001091</t>
        </is>
      </c>
      <c r="B1280" s="44" t="inlineStr">
        <is>
          <t>ENTRADA TERCA FEIRA</t>
        </is>
      </c>
      <c r="C1280" s="45" t="inlineStr">
        <is>
          <t>MR</t>
        </is>
      </c>
      <c r="D1280" s="45" t="inlineStr">
        <is>
          <t>UN</t>
        </is>
      </c>
      <c r="E1280" s="45" t="inlineStr">
        <is>
          <t>0128</t>
        </is>
      </c>
      <c r="F1280" s="65" t="inlineStr">
        <is>
          <t>Venda</t>
        </is>
      </c>
      <c r="G1280" s="69" t="n">
        <v>0</v>
      </c>
      <c r="H1280" s="173" t="inlineStr">
        <is>
          <t>Sim</t>
        </is>
      </c>
      <c r="I1280" s="48" t="inlineStr">
        <is>
          <t>54039</t>
        </is>
      </c>
    </row>
    <row r="1281">
      <c r="A1281" s="40" t="inlineStr">
        <is>
          <t>001111</t>
        </is>
      </c>
      <c r="B1281" s="41" t="inlineStr">
        <is>
          <t>ENTRADA TERCA FEIRA</t>
        </is>
      </c>
      <c r="C1281" s="42" t="inlineStr">
        <is>
          <t>MR</t>
        </is>
      </c>
      <c r="D1281" s="42" t="inlineStr">
        <is>
          <t>UN</t>
        </is>
      </c>
      <c r="E1281" s="42" t="inlineStr">
        <is>
          <t>0128</t>
        </is>
      </c>
      <c r="F1281" s="65" t="inlineStr">
        <is>
          <t>Venda</t>
        </is>
      </c>
      <c r="G1281" s="68" t="n">
        <v>0</v>
      </c>
      <c r="H1281" s="173" t="inlineStr">
        <is>
          <t>Sim</t>
        </is>
      </c>
      <c r="I1281" s="47" t="inlineStr">
        <is>
          <t>68817</t>
        </is>
      </c>
    </row>
    <row r="1282">
      <c r="A1282" s="43" t="inlineStr">
        <is>
          <t>001112</t>
        </is>
      </c>
      <c r="B1282" s="44" t="inlineStr">
        <is>
          <t>ENTRADA TERCA FEIRA</t>
        </is>
      </c>
      <c r="C1282" s="45" t="inlineStr">
        <is>
          <t>MR</t>
        </is>
      </c>
      <c r="D1282" s="45" t="inlineStr">
        <is>
          <t>UN</t>
        </is>
      </c>
      <c r="E1282" s="45" t="inlineStr">
        <is>
          <t>0128</t>
        </is>
      </c>
      <c r="F1282" s="65" t="inlineStr">
        <is>
          <t>Venda</t>
        </is>
      </c>
      <c r="G1282" s="69" t="n">
        <v>0</v>
      </c>
      <c r="H1282" s="173" t="inlineStr">
        <is>
          <t>Sim</t>
        </is>
      </c>
      <c r="I1282" s="48" t="inlineStr">
        <is>
          <t>85317</t>
        </is>
      </c>
    </row>
    <row r="1283">
      <c r="A1283" s="40" t="inlineStr">
        <is>
          <t>001220</t>
        </is>
      </c>
      <c r="B1283" s="41" t="inlineStr">
        <is>
          <t>ENTRADA TERCA FEIRA</t>
        </is>
      </c>
      <c r="C1283" s="42" t="inlineStr">
        <is>
          <t>MR</t>
        </is>
      </c>
      <c r="D1283" s="42" t="inlineStr">
        <is>
          <t>UN</t>
        </is>
      </c>
      <c r="E1283" s="42" t="inlineStr">
        <is>
          <t>0128</t>
        </is>
      </c>
      <c r="F1283" s="65" t="inlineStr">
        <is>
          <t>Venda</t>
        </is>
      </c>
      <c r="G1283" s="68" t="n">
        <v>0</v>
      </c>
      <c r="H1283" s="177" t="inlineStr">
        <is>
          <t>Sim</t>
        </is>
      </c>
      <c r="I1283" s="178" t="n"/>
    </row>
    <row r="1284">
      <c r="A1284" s="43" t="inlineStr">
        <is>
          <t>001297</t>
        </is>
      </c>
      <c r="B1284" s="44" t="inlineStr">
        <is>
          <t>ENTRADA TERCA FEIRA</t>
        </is>
      </c>
      <c r="C1284" s="45" t="inlineStr">
        <is>
          <t>MR</t>
        </is>
      </c>
      <c r="D1284" s="45" t="inlineStr">
        <is>
          <t>UN</t>
        </is>
      </c>
      <c r="E1284" s="45" t="inlineStr">
        <is>
          <t>0128</t>
        </is>
      </c>
      <c r="F1284" s="65" t="inlineStr">
        <is>
          <t>Venda</t>
        </is>
      </c>
      <c r="G1284" s="69" t="n">
        <v>0</v>
      </c>
      <c r="H1284" s="172" t="inlineStr">
        <is>
          <t>Não</t>
        </is>
      </c>
      <c r="I1284" s="48" t="inlineStr">
        <is>
          <t>46064</t>
        </is>
      </c>
    </row>
    <row r="1285">
      <c r="A1285" s="40" t="inlineStr">
        <is>
          <t>009993</t>
        </is>
      </c>
      <c r="B1285" s="41" t="inlineStr">
        <is>
          <t>ENTRADA TERCA FEIRA</t>
        </is>
      </c>
      <c r="C1285" s="42" t="inlineStr">
        <is>
          <t>OI</t>
        </is>
      </c>
      <c r="D1285" s="42" t="inlineStr">
        <is>
          <t>UN</t>
        </is>
      </c>
      <c r="E1285" s="42" t="inlineStr">
        <is>
          <t>0128</t>
        </is>
      </c>
      <c r="F1285" s="65" t="inlineStr">
        <is>
          <t>Venda</t>
        </is>
      </c>
      <c r="G1285" s="68" t="n">
        <v>0</v>
      </c>
      <c r="H1285" s="172" t="inlineStr">
        <is>
          <t>Não</t>
        </is>
      </c>
      <c r="I1285" s="47" t="inlineStr">
        <is>
          <t>68817</t>
        </is>
      </c>
    </row>
    <row r="1286">
      <c r="A1286" s="43" t="inlineStr">
        <is>
          <t>010049</t>
        </is>
      </c>
      <c r="B1286" s="44" t="inlineStr">
        <is>
          <t>ENTRADA TERCA FEIRA</t>
        </is>
      </c>
      <c r="C1286" s="45" t="inlineStr">
        <is>
          <t>MR</t>
        </is>
      </c>
      <c r="D1286" s="45" t="inlineStr">
        <is>
          <t>UN</t>
        </is>
      </c>
      <c r="E1286" s="45" t="inlineStr">
        <is>
          <t>0128</t>
        </is>
      </c>
      <c r="F1286" s="65" t="inlineStr">
        <is>
          <t>Venda</t>
        </is>
      </c>
      <c r="G1286" s="69" t="n">
        <v>0</v>
      </c>
      <c r="H1286" s="172" t="inlineStr">
        <is>
          <t>Não</t>
        </is>
      </c>
      <c r="I1286" s="48" t="inlineStr">
        <is>
          <t>29662</t>
        </is>
      </c>
    </row>
    <row r="1287">
      <c r="A1287" s="40" t="inlineStr">
        <is>
          <t>010052</t>
        </is>
      </c>
      <c r="B1287" s="41" t="inlineStr">
        <is>
          <t>ENTRADA TERCA FEIRA</t>
        </is>
      </c>
      <c r="C1287" s="42" t="inlineStr">
        <is>
          <t>MR</t>
        </is>
      </c>
      <c r="D1287" s="42" t="inlineStr">
        <is>
          <t>UN</t>
        </is>
      </c>
      <c r="E1287" s="42" t="inlineStr">
        <is>
          <t>0128</t>
        </is>
      </c>
      <c r="F1287" s="65" t="inlineStr">
        <is>
          <t>Venda</t>
        </is>
      </c>
      <c r="G1287" s="68" t="n">
        <v>0</v>
      </c>
      <c r="H1287" s="172" t="inlineStr">
        <is>
          <t>Não</t>
        </is>
      </c>
      <c r="I1287" s="47" t="inlineStr">
        <is>
          <t>511003</t>
        </is>
      </c>
    </row>
    <row r="1288">
      <c r="A1288" s="43" t="inlineStr">
        <is>
          <t>010062</t>
        </is>
      </c>
      <c r="B1288" s="44" t="inlineStr">
        <is>
          <t>ENTRADA TERCA FEIRA</t>
        </is>
      </c>
      <c r="C1288" s="45" t="inlineStr">
        <is>
          <t>MR</t>
        </is>
      </c>
      <c r="D1288" s="45" t="inlineStr">
        <is>
          <t>UN</t>
        </is>
      </c>
      <c r="E1288" s="45" t="inlineStr">
        <is>
          <t>0128</t>
        </is>
      </c>
      <c r="F1288" s="65" t="inlineStr">
        <is>
          <t>Venda</t>
        </is>
      </c>
      <c r="G1288" s="69" t="n">
        <v>0</v>
      </c>
      <c r="H1288" s="172" t="inlineStr">
        <is>
          <t>Não</t>
        </is>
      </c>
      <c r="I1288" s="48" t="inlineStr">
        <is>
          <t>77506</t>
        </is>
      </c>
    </row>
    <row r="1289">
      <c r="A1289" s="40" t="inlineStr">
        <is>
          <t>001122</t>
        </is>
      </c>
      <c r="B1289" s="41" t="inlineStr">
        <is>
          <t>ENTRADA TERCA FEIRA HOMEM</t>
        </is>
      </c>
      <c r="C1289" s="42" t="inlineStr">
        <is>
          <t>MR</t>
        </is>
      </c>
      <c r="D1289" s="42" t="inlineStr">
        <is>
          <t>UN</t>
        </is>
      </c>
      <c r="E1289" s="42" t="inlineStr">
        <is>
          <t>0128</t>
        </is>
      </c>
      <c r="F1289" s="65" t="inlineStr">
        <is>
          <t>Venda</t>
        </is>
      </c>
      <c r="G1289" s="68" t="n">
        <v>0</v>
      </c>
      <c r="H1289" s="173" t="inlineStr">
        <is>
          <t>Sim</t>
        </is>
      </c>
      <c r="I1289" s="47" t="inlineStr">
        <is>
          <t>9003385</t>
        </is>
      </c>
    </row>
    <row r="1290">
      <c r="A1290" s="43" t="inlineStr">
        <is>
          <t>001126</t>
        </is>
      </c>
      <c r="B1290" s="44" t="inlineStr">
        <is>
          <t>ENTRADA TERCA FEIRA MULHER</t>
        </is>
      </c>
      <c r="C1290" s="45" t="inlineStr">
        <is>
          <t>MR</t>
        </is>
      </c>
      <c r="D1290" s="45" t="inlineStr">
        <is>
          <t>UN</t>
        </is>
      </c>
      <c r="E1290" s="45" t="inlineStr">
        <is>
          <t>0128</t>
        </is>
      </c>
      <c r="F1290" s="65" t="inlineStr">
        <is>
          <t>Venda</t>
        </is>
      </c>
      <c r="G1290" s="69" t="n">
        <v>0</v>
      </c>
      <c r="H1290" s="177" t="inlineStr">
        <is>
          <t>Sim</t>
        </is>
      </c>
      <c r="I1290" s="178" t="n"/>
    </row>
    <row r="1291">
      <c r="A1291" s="40" t="inlineStr">
        <is>
          <t>000056</t>
        </is>
      </c>
      <c r="B1291" s="41" t="inlineStr">
        <is>
          <t>ENTRADA TICKET 360</t>
        </is>
      </c>
      <c r="C1291" s="42" t="inlineStr">
        <is>
          <t>OI</t>
        </is>
      </c>
      <c r="D1291" s="42" t="inlineStr">
        <is>
          <t>UN</t>
        </is>
      </c>
      <c r="E1291" s="42" t="inlineStr">
        <is>
          <t>0128</t>
        </is>
      </c>
      <c r="F1291" s="65" t="inlineStr">
        <is>
          <t>Venda</t>
        </is>
      </c>
      <c r="G1291" s="68" t="n">
        <v>0</v>
      </c>
      <c r="H1291" s="172" t="inlineStr">
        <is>
          <t>Não</t>
        </is>
      </c>
      <c r="I1291" s="47" t="inlineStr">
        <is>
          <t>7898905687160</t>
        </is>
      </c>
    </row>
    <row r="1292">
      <c r="A1292" s="43" t="inlineStr">
        <is>
          <t>000842</t>
        </is>
      </c>
      <c r="B1292" s="44" t="inlineStr">
        <is>
          <t>ENTRADA TICKET 360</t>
        </is>
      </c>
      <c r="C1292" s="45" t="inlineStr">
        <is>
          <t>MR</t>
        </is>
      </c>
      <c r="D1292" s="45" t="inlineStr">
        <is>
          <t>UN</t>
        </is>
      </c>
      <c r="E1292" s="45" t="inlineStr">
        <is>
          <t>0128</t>
        </is>
      </c>
      <c r="F1292" s="65" t="inlineStr">
        <is>
          <t>Venda</t>
        </is>
      </c>
      <c r="G1292" s="69" t="n">
        <v>0</v>
      </c>
      <c r="H1292" s="173" t="inlineStr">
        <is>
          <t>Sim</t>
        </is>
      </c>
      <c r="I1292" s="50" t="n"/>
    </row>
    <row r="1293">
      <c r="A1293" s="40" t="inlineStr">
        <is>
          <t>000856</t>
        </is>
      </c>
      <c r="B1293" s="41" t="inlineStr">
        <is>
          <t>ENTRADA TICKET 360</t>
        </is>
      </c>
      <c r="C1293" s="42" t="inlineStr">
        <is>
          <t>MR</t>
        </is>
      </c>
      <c r="D1293" s="42" t="inlineStr">
        <is>
          <t>UN</t>
        </is>
      </c>
      <c r="E1293" s="42" t="inlineStr">
        <is>
          <t>0128</t>
        </is>
      </c>
      <c r="F1293" s="65" t="inlineStr">
        <is>
          <t>Venda</t>
        </is>
      </c>
      <c r="G1293" s="68" t="n">
        <v>0</v>
      </c>
      <c r="H1293" s="173" t="inlineStr">
        <is>
          <t>Sim</t>
        </is>
      </c>
      <c r="I1293" s="47" t="inlineStr">
        <is>
          <t>9003630</t>
        </is>
      </c>
    </row>
    <row r="1294">
      <c r="A1294" s="43" t="inlineStr">
        <is>
          <t>000924</t>
        </is>
      </c>
      <c r="B1294" s="44" t="inlineStr">
        <is>
          <t>ENTRADA TICKET 360</t>
        </is>
      </c>
      <c r="C1294" s="45" t="inlineStr">
        <is>
          <t>MR</t>
        </is>
      </c>
      <c r="D1294" s="45" t="inlineStr">
        <is>
          <t>UN</t>
        </is>
      </c>
      <c r="E1294" s="45" t="inlineStr">
        <is>
          <t>0128</t>
        </is>
      </c>
      <c r="F1294" s="65" t="inlineStr">
        <is>
          <t>Venda</t>
        </is>
      </c>
      <c r="G1294" s="69" t="n">
        <v>0</v>
      </c>
      <c r="H1294" s="173" t="inlineStr">
        <is>
          <t>Sim</t>
        </is>
      </c>
      <c r="I1294" s="50" t="n"/>
    </row>
    <row r="1295">
      <c r="A1295" s="40" t="inlineStr">
        <is>
          <t>001299</t>
        </is>
      </c>
      <c r="B1295" s="41" t="inlineStr">
        <is>
          <t>ENTRADA TICKET 360</t>
        </is>
      </c>
      <c r="C1295" s="42" t="inlineStr">
        <is>
          <t>MR</t>
        </is>
      </c>
      <c r="D1295" s="42" t="inlineStr">
        <is>
          <t>UN</t>
        </is>
      </c>
      <c r="E1295" s="42" t="inlineStr">
        <is>
          <t>0128</t>
        </is>
      </c>
      <c r="F1295" s="65" t="inlineStr">
        <is>
          <t>Venda</t>
        </is>
      </c>
      <c r="G1295" s="68" t="n">
        <v>0</v>
      </c>
      <c r="H1295" s="173" t="inlineStr">
        <is>
          <t>Sim</t>
        </is>
      </c>
      <c r="I1295" s="47" t="inlineStr">
        <is>
          <t>9003640</t>
        </is>
      </c>
    </row>
    <row r="1296">
      <c r="A1296" s="43" t="inlineStr">
        <is>
          <t>000843</t>
        </is>
      </c>
      <c r="B1296" s="44" t="inlineStr">
        <is>
          <t>ENTRADA TICKET 360 VIP</t>
        </is>
      </c>
      <c r="C1296" s="45" t="inlineStr">
        <is>
          <t>MR</t>
        </is>
      </c>
      <c r="D1296" s="45" t="inlineStr">
        <is>
          <t>UN</t>
        </is>
      </c>
      <c r="E1296" s="45" t="inlineStr">
        <is>
          <t>0128</t>
        </is>
      </c>
      <c r="F1296" s="65" t="inlineStr">
        <is>
          <t>Venda</t>
        </is>
      </c>
      <c r="G1296" s="69" t="n">
        <v>0</v>
      </c>
      <c r="H1296" s="173" t="inlineStr">
        <is>
          <t>Sim</t>
        </is>
      </c>
      <c r="I1296" s="50" t="n"/>
    </row>
    <row r="1297">
      <c r="A1297" s="40" t="inlineStr">
        <is>
          <t>000932</t>
        </is>
      </c>
      <c r="B1297" s="41" t="inlineStr">
        <is>
          <t>ENTRADA TICKET 360 VIP</t>
        </is>
      </c>
      <c r="C1297" s="42" t="inlineStr">
        <is>
          <t>MR</t>
        </is>
      </c>
      <c r="D1297" s="42" t="inlineStr">
        <is>
          <t>UN</t>
        </is>
      </c>
      <c r="E1297" s="42" t="inlineStr">
        <is>
          <t>0128</t>
        </is>
      </c>
      <c r="F1297" s="65" t="inlineStr">
        <is>
          <t>Venda</t>
        </is>
      </c>
      <c r="G1297" s="68" t="n">
        <v>0</v>
      </c>
      <c r="H1297" s="173" t="inlineStr">
        <is>
          <t>Sim</t>
        </is>
      </c>
      <c r="I1297" s="47" t="inlineStr">
        <is>
          <t>9003132</t>
        </is>
      </c>
    </row>
    <row r="1298">
      <c r="A1298" s="43" t="inlineStr">
        <is>
          <t>000967</t>
        </is>
      </c>
      <c r="B1298" s="44" t="inlineStr">
        <is>
          <t>ENTRADA TICKET 360 VIP</t>
        </is>
      </c>
      <c r="C1298" s="45" t="inlineStr">
        <is>
          <t>MR</t>
        </is>
      </c>
      <c r="D1298" s="45" t="inlineStr">
        <is>
          <t>UN</t>
        </is>
      </c>
      <c r="E1298" s="45" t="inlineStr">
        <is>
          <t>0128</t>
        </is>
      </c>
      <c r="F1298" s="65" t="inlineStr">
        <is>
          <t>Venda</t>
        </is>
      </c>
      <c r="G1298" s="69" t="n">
        <v>0</v>
      </c>
      <c r="H1298" s="173" t="inlineStr">
        <is>
          <t>Sim</t>
        </is>
      </c>
      <c r="I1298" s="50" t="n"/>
    </row>
    <row r="1299">
      <c r="A1299" s="40" t="inlineStr">
        <is>
          <t>001236</t>
        </is>
      </c>
      <c r="B1299" s="41" t="inlineStr">
        <is>
          <t>ENTRADA TICKET 360 VIP</t>
        </is>
      </c>
      <c r="C1299" s="42" t="inlineStr">
        <is>
          <t>MR</t>
        </is>
      </c>
      <c r="D1299" s="42" t="inlineStr">
        <is>
          <t>UN</t>
        </is>
      </c>
      <c r="E1299" s="42" t="inlineStr">
        <is>
          <t>0128</t>
        </is>
      </c>
      <c r="F1299" s="65" t="inlineStr">
        <is>
          <t>Venda</t>
        </is>
      </c>
      <c r="G1299" s="68" t="n">
        <v>0</v>
      </c>
      <c r="H1299" s="173" t="inlineStr">
        <is>
          <t>Sim</t>
        </is>
      </c>
      <c r="I1299" s="49" t="n"/>
    </row>
    <row r="1300">
      <c r="A1300" s="43" t="inlineStr">
        <is>
          <t>001286</t>
        </is>
      </c>
      <c r="B1300" s="44" t="inlineStr">
        <is>
          <t>ENTRADA TICKET 360 VIP</t>
        </is>
      </c>
      <c r="C1300" s="45" t="inlineStr">
        <is>
          <t>MR</t>
        </is>
      </c>
      <c r="D1300" s="45" t="inlineStr">
        <is>
          <t>UN</t>
        </is>
      </c>
      <c r="E1300" s="45" t="inlineStr">
        <is>
          <t>0128</t>
        </is>
      </c>
      <c r="F1300" s="65" t="inlineStr">
        <is>
          <t>Venda</t>
        </is>
      </c>
      <c r="G1300" s="69" t="n">
        <v>0</v>
      </c>
      <c r="H1300" s="173" t="inlineStr">
        <is>
          <t>Sim</t>
        </is>
      </c>
      <c r="I1300" s="48" t="inlineStr">
        <is>
          <t>9003594</t>
        </is>
      </c>
    </row>
    <row r="1301">
      <c r="A1301" s="40" t="inlineStr">
        <is>
          <t>001309</t>
        </is>
      </c>
      <c r="B1301" s="41" t="inlineStr">
        <is>
          <t>ENTRADA TICKET 360 VIP</t>
        </is>
      </c>
      <c r="C1301" s="42" t="inlineStr">
        <is>
          <t>MR</t>
        </is>
      </c>
      <c r="D1301" s="42" t="inlineStr">
        <is>
          <t>UN</t>
        </is>
      </c>
      <c r="E1301" s="42" t="inlineStr">
        <is>
          <t>0128</t>
        </is>
      </c>
      <c r="F1301" s="65" t="inlineStr">
        <is>
          <t>Venda</t>
        </is>
      </c>
      <c r="G1301" s="68" t="n">
        <v>0</v>
      </c>
      <c r="H1301" s="177" t="inlineStr">
        <is>
          <t>Sim</t>
        </is>
      </c>
      <c r="I1301" s="178" t="n"/>
    </row>
    <row r="1302">
      <c r="A1302" s="43" t="inlineStr">
        <is>
          <t>000931</t>
        </is>
      </c>
      <c r="B1302" s="44" t="inlineStr">
        <is>
          <t>ENTRADA TORCIDA FLAMENGO</t>
        </is>
      </c>
      <c r="C1302" s="45" t="inlineStr">
        <is>
          <t>MR</t>
        </is>
      </c>
      <c r="D1302" s="45" t="inlineStr">
        <is>
          <t>UN</t>
        </is>
      </c>
      <c r="E1302" s="45" t="inlineStr">
        <is>
          <t>0128</t>
        </is>
      </c>
      <c r="F1302" s="65" t="inlineStr">
        <is>
          <t>Venda</t>
        </is>
      </c>
      <c r="G1302" s="69" t="n">
        <v>0</v>
      </c>
      <c r="H1302" s="173" t="inlineStr">
        <is>
          <t>Sim</t>
        </is>
      </c>
      <c r="I1302" s="48" t="inlineStr">
        <is>
          <t>9003131</t>
        </is>
      </c>
    </row>
    <row r="1303">
      <c r="A1303" s="40" t="inlineStr">
        <is>
          <t>000930</t>
        </is>
      </c>
      <c r="B1303" s="41" t="inlineStr">
        <is>
          <t>ENTRADA TORCIDA INTER</t>
        </is>
      </c>
      <c r="C1303" s="42" t="inlineStr">
        <is>
          <t>OI</t>
        </is>
      </c>
      <c r="D1303" s="42" t="inlineStr">
        <is>
          <t>UN</t>
        </is>
      </c>
      <c r="E1303" s="42" t="inlineStr">
        <is>
          <t>0128</t>
        </is>
      </c>
      <c r="F1303" s="65" t="inlineStr">
        <is>
          <t>Venda</t>
        </is>
      </c>
      <c r="G1303" s="68" t="n">
        <v>0</v>
      </c>
      <c r="H1303" s="172" t="inlineStr">
        <is>
          <t>Não</t>
        </is>
      </c>
      <c r="I1303" s="47" t="inlineStr">
        <is>
          <t>9003130</t>
        </is>
      </c>
    </row>
    <row r="1304">
      <c r="A1304" s="43" t="inlineStr">
        <is>
          <t>000927</t>
        </is>
      </c>
      <c r="B1304" s="44" t="inlineStr">
        <is>
          <t>ENTRADA TORCIDA PALMEIRAS</t>
        </is>
      </c>
      <c r="C1304" s="45" t="inlineStr">
        <is>
          <t>MR</t>
        </is>
      </c>
      <c r="D1304" s="45" t="inlineStr">
        <is>
          <t>UN</t>
        </is>
      </c>
      <c r="E1304" s="45" t="inlineStr">
        <is>
          <t>0128</t>
        </is>
      </c>
      <c r="F1304" s="65" t="inlineStr">
        <is>
          <t>Venda</t>
        </is>
      </c>
      <c r="G1304" s="69" t="n">
        <v>0</v>
      </c>
      <c r="H1304" s="173" t="inlineStr">
        <is>
          <t>Sim</t>
        </is>
      </c>
      <c r="I1304" s="50" t="n"/>
    </row>
    <row r="1305">
      <c r="A1305" s="40" t="inlineStr">
        <is>
          <t>000964</t>
        </is>
      </c>
      <c r="B1305" s="41" t="inlineStr">
        <is>
          <t>ENTRADA TRANS</t>
        </is>
      </c>
      <c r="C1305" s="42" t="inlineStr">
        <is>
          <t>MR</t>
        </is>
      </c>
      <c r="D1305" s="42" t="inlineStr">
        <is>
          <t>UN</t>
        </is>
      </c>
      <c r="E1305" s="42" t="inlineStr">
        <is>
          <t>0128</t>
        </is>
      </c>
      <c r="F1305" s="65" t="inlineStr">
        <is>
          <t>Venda</t>
        </is>
      </c>
      <c r="G1305" s="68" t="n">
        <v>0</v>
      </c>
      <c r="H1305" s="173" t="inlineStr">
        <is>
          <t>Sim</t>
        </is>
      </c>
      <c r="I1305" s="49" t="n"/>
    </row>
    <row r="1306">
      <c r="A1306" s="43" t="inlineStr">
        <is>
          <t>000037</t>
        </is>
      </c>
      <c r="B1306" s="44" t="inlineStr">
        <is>
          <t>ENTRADA VIP</t>
        </is>
      </c>
      <c r="C1306" s="45" t="inlineStr">
        <is>
          <t>MR</t>
        </is>
      </c>
      <c r="D1306" s="45" t="inlineStr">
        <is>
          <t>UN</t>
        </is>
      </c>
      <c r="E1306" s="45" t="inlineStr">
        <is>
          <t>0128</t>
        </is>
      </c>
      <c r="F1306" s="65" t="inlineStr">
        <is>
          <t>Venda</t>
        </is>
      </c>
      <c r="G1306" s="69" t="n">
        <v>0</v>
      </c>
      <c r="H1306" s="177" t="inlineStr">
        <is>
          <t>Sim</t>
        </is>
      </c>
      <c r="I1306" s="178" t="n"/>
    </row>
    <row r="1307">
      <c r="A1307" s="40" t="inlineStr">
        <is>
          <t>000844</t>
        </is>
      </c>
      <c r="B1307" s="41" t="inlineStr">
        <is>
          <t>ENTRADA VIP</t>
        </is>
      </c>
      <c r="C1307" s="42" t="inlineStr">
        <is>
          <t>MR</t>
        </is>
      </c>
      <c r="D1307" s="42" t="inlineStr">
        <is>
          <t>UN</t>
        </is>
      </c>
      <c r="E1307" s="42" t="inlineStr">
        <is>
          <t>0128</t>
        </is>
      </c>
      <c r="F1307" s="65" t="inlineStr">
        <is>
          <t>Venda</t>
        </is>
      </c>
      <c r="G1307" s="68" t="n">
        <v>0</v>
      </c>
      <c r="H1307" s="173" t="inlineStr">
        <is>
          <t>Sim</t>
        </is>
      </c>
      <c r="I1307" s="49" t="n"/>
    </row>
    <row r="1308">
      <c r="A1308" s="43" t="inlineStr">
        <is>
          <t>000858</t>
        </is>
      </c>
      <c r="B1308" s="44" t="inlineStr">
        <is>
          <t>ENTRADA VIP</t>
        </is>
      </c>
      <c r="C1308" s="45" t="inlineStr">
        <is>
          <t>MR</t>
        </is>
      </c>
      <c r="D1308" s="45" t="inlineStr">
        <is>
          <t>UN</t>
        </is>
      </c>
      <c r="E1308" s="45" t="inlineStr">
        <is>
          <t>0128</t>
        </is>
      </c>
      <c r="F1308" s="65" t="inlineStr">
        <is>
          <t>Venda</t>
        </is>
      </c>
      <c r="G1308" s="69" t="n">
        <v>0</v>
      </c>
      <c r="H1308" s="173" t="inlineStr">
        <is>
          <t>Sim</t>
        </is>
      </c>
      <c r="I1308" s="48" t="inlineStr">
        <is>
          <t>511047</t>
        </is>
      </c>
    </row>
    <row r="1309">
      <c r="A1309" s="40" t="inlineStr">
        <is>
          <t>000934</t>
        </is>
      </c>
      <c r="B1309" s="41" t="inlineStr">
        <is>
          <t>ENTRADA VIP</t>
        </is>
      </c>
      <c r="C1309" s="42" t="inlineStr">
        <is>
          <t>MR</t>
        </is>
      </c>
      <c r="D1309" s="42" t="inlineStr">
        <is>
          <t>UN</t>
        </is>
      </c>
      <c r="E1309" s="42" t="inlineStr">
        <is>
          <t>0128</t>
        </is>
      </c>
      <c r="F1309" s="65" t="inlineStr">
        <is>
          <t>Venda</t>
        </is>
      </c>
      <c r="G1309" s="68" t="n">
        <v>0</v>
      </c>
      <c r="H1309" s="173" t="inlineStr">
        <is>
          <t>Sim</t>
        </is>
      </c>
      <c r="I1309" s="47" t="inlineStr">
        <is>
          <t>9003136</t>
        </is>
      </c>
    </row>
    <row r="1310">
      <c r="A1310" s="43" t="inlineStr">
        <is>
          <t>001124</t>
        </is>
      </c>
      <c r="B1310" s="44" t="inlineStr">
        <is>
          <t>ENTRADA VIP</t>
        </is>
      </c>
      <c r="C1310" s="45" t="inlineStr">
        <is>
          <t>MR</t>
        </is>
      </c>
      <c r="D1310" s="45" t="inlineStr">
        <is>
          <t>UN</t>
        </is>
      </c>
      <c r="E1310" s="45" t="inlineStr">
        <is>
          <t>0128</t>
        </is>
      </c>
      <c r="F1310" s="65" t="inlineStr">
        <is>
          <t>Venda</t>
        </is>
      </c>
      <c r="G1310" s="69" t="n">
        <v>0</v>
      </c>
      <c r="H1310" s="173" t="inlineStr">
        <is>
          <t>Sim</t>
        </is>
      </c>
      <c r="I1310" s="48" t="inlineStr">
        <is>
          <t>9003388</t>
        </is>
      </c>
    </row>
    <row r="1311">
      <c r="A1311" s="40" t="inlineStr">
        <is>
          <t>001272</t>
        </is>
      </c>
      <c r="B1311" s="41" t="inlineStr">
        <is>
          <t>ENTRADA VIP</t>
        </is>
      </c>
      <c r="C1311" s="42" t="inlineStr">
        <is>
          <t>MR</t>
        </is>
      </c>
      <c r="D1311" s="42" t="inlineStr">
        <is>
          <t>UN</t>
        </is>
      </c>
      <c r="E1311" s="42" t="inlineStr">
        <is>
          <t>0128</t>
        </is>
      </c>
      <c r="F1311" s="65" t="inlineStr">
        <is>
          <t>Venda</t>
        </is>
      </c>
      <c r="G1311" s="68" t="n">
        <v>0</v>
      </c>
      <c r="H1311" s="173" t="inlineStr">
        <is>
          <t>Sim</t>
        </is>
      </c>
      <c r="I1311" s="47" t="inlineStr">
        <is>
          <t>22148</t>
        </is>
      </c>
    </row>
    <row r="1312">
      <c r="A1312" s="43" t="inlineStr">
        <is>
          <t>001273</t>
        </is>
      </c>
      <c r="B1312" s="44" t="inlineStr">
        <is>
          <t>ENTRADA VIP</t>
        </is>
      </c>
      <c r="C1312" s="45" t="inlineStr">
        <is>
          <t>MR</t>
        </is>
      </c>
      <c r="D1312" s="45" t="inlineStr">
        <is>
          <t>UN</t>
        </is>
      </c>
      <c r="E1312" s="45" t="inlineStr">
        <is>
          <t>0128</t>
        </is>
      </c>
      <c r="F1312" s="65" t="inlineStr">
        <is>
          <t>Venda</t>
        </is>
      </c>
      <c r="G1312" s="69" t="n">
        <v>0</v>
      </c>
      <c r="H1312" s="173" t="inlineStr">
        <is>
          <t>Sim</t>
        </is>
      </c>
      <c r="I1312" s="48" t="inlineStr">
        <is>
          <t>26740</t>
        </is>
      </c>
    </row>
    <row r="1313">
      <c r="A1313" s="40" t="inlineStr">
        <is>
          <t>001278</t>
        </is>
      </c>
      <c r="B1313" s="41" t="inlineStr">
        <is>
          <t>ENTRADA VIP</t>
        </is>
      </c>
      <c r="C1313" s="42" t="inlineStr">
        <is>
          <t>OI</t>
        </is>
      </c>
      <c r="D1313" s="42" t="inlineStr">
        <is>
          <t>UN</t>
        </is>
      </c>
      <c r="E1313" s="42" t="inlineStr">
        <is>
          <t>0128</t>
        </is>
      </c>
      <c r="F1313" s="65" t="inlineStr">
        <is>
          <t>Venda</t>
        </is>
      </c>
      <c r="G1313" s="68" t="n">
        <v>0</v>
      </c>
      <c r="H1313" s="172" t="inlineStr">
        <is>
          <t>Não</t>
        </is>
      </c>
      <c r="I1313" s="47" t="inlineStr">
        <is>
          <t>52524</t>
        </is>
      </c>
    </row>
    <row r="1314">
      <c r="A1314" s="43" t="inlineStr">
        <is>
          <t>001280</t>
        </is>
      </c>
      <c r="B1314" s="44" t="inlineStr">
        <is>
          <t>ENTRADA VIP</t>
        </is>
      </c>
      <c r="C1314" s="45" t="inlineStr">
        <is>
          <t>MR</t>
        </is>
      </c>
      <c r="D1314" s="45" t="inlineStr">
        <is>
          <t>UN</t>
        </is>
      </c>
      <c r="E1314" s="45" t="inlineStr">
        <is>
          <t>0128</t>
        </is>
      </c>
      <c r="F1314" s="65" t="inlineStr">
        <is>
          <t>Venda</t>
        </is>
      </c>
      <c r="G1314" s="69" t="n">
        <v>0</v>
      </c>
      <c r="H1314" s="173" t="inlineStr">
        <is>
          <t>Sim</t>
        </is>
      </c>
      <c r="I1314" s="48" t="inlineStr">
        <is>
          <t>87701</t>
        </is>
      </c>
    </row>
    <row r="1315">
      <c r="A1315" s="40" t="inlineStr">
        <is>
          <t>001281</t>
        </is>
      </c>
      <c r="B1315" s="41" t="inlineStr">
        <is>
          <t>ENTRADA VIP</t>
        </is>
      </c>
      <c r="C1315" s="42" t="inlineStr">
        <is>
          <t>MR</t>
        </is>
      </c>
      <c r="D1315" s="42" t="inlineStr">
        <is>
          <t>UN</t>
        </is>
      </c>
      <c r="E1315" s="42" t="inlineStr">
        <is>
          <t>0128</t>
        </is>
      </c>
      <c r="F1315" s="65" t="inlineStr">
        <is>
          <t>Venda</t>
        </is>
      </c>
      <c r="G1315" s="68" t="n">
        <v>0</v>
      </c>
      <c r="H1315" s="177" t="inlineStr">
        <is>
          <t>Sim</t>
        </is>
      </c>
      <c r="I1315" s="178" t="n"/>
    </row>
    <row r="1316">
      <c r="A1316" s="43" t="inlineStr">
        <is>
          <t>000776</t>
        </is>
      </c>
      <c r="B1316" s="44" t="inlineStr">
        <is>
          <t>ENTRADA VIP COLABORADORES</t>
        </is>
      </c>
      <c r="C1316" s="45" t="inlineStr">
        <is>
          <t>MR</t>
        </is>
      </c>
      <c r="D1316" s="45" t="inlineStr">
        <is>
          <t>UN</t>
        </is>
      </c>
      <c r="E1316" s="45" t="inlineStr">
        <is>
          <t>0128</t>
        </is>
      </c>
      <c r="F1316" s="65" t="inlineStr">
        <is>
          <t>Venda</t>
        </is>
      </c>
      <c r="G1316" s="69" t="n">
        <v>0</v>
      </c>
      <c r="H1316" s="173" t="inlineStr">
        <is>
          <t>Sim</t>
        </is>
      </c>
      <c r="I1316" s="48" t="inlineStr">
        <is>
          <t>7898905687161</t>
        </is>
      </c>
    </row>
    <row r="1317">
      <c r="A1317" s="40" t="inlineStr">
        <is>
          <t>000859</t>
        </is>
      </c>
      <c r="B1317" s="41" t="inlineStr">
        <is>
          <t>ENTRADA VIP COLABORADORES</t>
        </is>
      </c>
      <c r="C1317" s="42" t="inlineStr">
        <is>
          <t>MR</t>
        </is>
      </c>
      <c r="D1317" s="42" t="inlineStr">
        <is>
          <t>UN</t>
        </is>
      </c>
      <c r="E1317" s="42" t="inlineStr">
        <is>
          <t>0128</t>
        </is>
      </c>
      <c r="F1317" s="65" t="inlineStr">
        <is>
          <t>Venda</t>
        </is>
      </c>
      <c r="G1317" s="68" t="n">
        <v>0</v>
      </c>
      <c r="H1317" s="173" t="inlineStr">
        <is>
          <t>Sim</t>
        </is>
      </c>
      <c r="I1317" s="47" t="inlineStr">
        <is>
          <t>511049</t>
        </is>
      </c>
    </row>
    <row r="1318">
      <c r="A1318" s="43" t="inlineStr">
        <is>
          <t>001282</t>
        </is>
      </c>
      <c r="B1318" s="44" t="inlineStr">
        <is>
          <t>ENTRADA VIP COLABORADORES</t>
        </is>
      </c>
      <c r="C1318" s="45" t="inlineStr">
        <is>
          <t>MR</t>
        </is>
      </c>
      <c r="D1318" s="45" t="inlineStr">
        <is>
          <t>UN</t>
        </is>
      </c>
      <c r="E1318" s="45" t="inlineStr">
        <is>
          <t>0128</t>
        </is>
      </c>
      <c r="F1318" s="65" t="inlineStr">
        <is>
          <t>Venda</t>
        </is>
      </c>
      <c r="G1318" s="69" t="n">
        <v>0</v>
      </c>
      <c r="H1318" s="173" t="inlineStr">
        <is>
          <t>Sim</t>
        </is>
      </c>
      <c r="I1318" s="48" t="inlineStr">
        <is>
          <t>9003589</t>
        </is>
      </c>
    </row>
    <row r="1319">
      <c r="A1319" s="40" t="inlineStr">
        <is>
          <t>001285</t>
        </is>
      </c>
      <c r="B1319" s="41" t="inlineStr">
        <is>
          <t>ENTRADA VIP COLABORADORES</t>
        </is>
      </c>
      <c r="C1319" s="42" t="inlineStr">
        <is>
          <t>MR</t>
        </is>
      </c>
      <c r="D1319" s="42" t="inlineStr">
        <is>
          <t>UN</t>
        </is>
      </c>
      <c r="E1319" s="42" t="inlineStr">
        <is>
          <t>0128</t>
        </is>
      </c>
      <c r="F1319" s="65" t="inlineStr">
        <is>
          <t>Venda</t>
        </is>
      </c>
      <c r="G1319" s="68" t="n">
        <v>0</v>
      </c>
      <c r="H1319" s="173" t="inlineStr">
        <is>
          <t>Sim</t>
        </is>
      </c>
      <c r="I1319" s="47" t="inlineStr">
        <is>
          <t>9003592</t>
        </is>
      </c>
    </row>
    <row r="1320">
      <c r="A1320" s="43" t="inlineStr">
        <is>
          <t>001288</t>
        </is>
      </c>
      <c r="B1320" s="44" t="inlineStr">
        <is>
          <t>ENTRADA VIP COLABORADORES</t>
        </is>
      </c>
      <c r="C1320" s="45" t="inlineStr">
        <is>
          <t>MR</t>
        </is>
      </c>
      <c r="D1320" s="45" t="inlineStr">
        <is>
          <t>UN</t>
        </is>
      </c>
      <c r="E1320" s="45" t="inlineStr">
        <is>
          <t>0128</t>
        </is>
      </c>
      <c r="F1320" s="65" t="inlineStr">
        <is>
          <t>Venda</t>
        </is>
      </c>
      <c r="G1320" s="69" t="n">
        <v>0</v>
      </c>
      <c r="H1320" s="173" t="inlineStr">
        <is>
          <t>Sim</t>
        </is>
      </c>
      <c r="I1320" s="48" t="inlineStr">
        <is>
          <t>9003596</t>
        </is>
      </c>
    </row>
    <row r="1321">
      <c r="A1321" s="40" t="inlineStr">
        <is>
          <t>000821</t>
        </is>
      </c>
      <c r="B1321" s="41" t="inlineStr">
        <is>
          <t>ENTRADA VIP GARRAFAS</t>
        </is>
      </c>
      <c r="C1321" s="42" t="inlineStr">
        <is>
          <t>MR</t>
        </is>
      </c>
      <c r="D1321" s="42" t="inlineStr">
        <is>
          <t>UN</t>
        </is>
      </c>
      <c r="E1321" s="42" t="inlineStr">
        <is>
          <t>0128</t>
        </is>
      </c>
      <c r="F1321" s="65" t="inlineStr">
        <is>
          <t>Venda</t>
        </is>
      </c>
      <c r="G1321" s="68" t="n">
        <v>0</v>
      </c>
      <c r="H1321" s="173" t="inlineStr">
        <is>
          <t>Sim</t>
        </is>
      </c>
      <c r="I1321" s="47" t="inlineStr">
        <is>
          <t>7898905687162</t>
        </is>
      </c>
    </row>
    <row r="1322">
      <c r="A1322" s="43" t="inlineStr">
        <is>
          <t>000860</t>
        </is>
      </c>
      <c r="B1322" s="44" t="inlineStr">
        <is>
          <t>ENTRADA VIP GARRAFAS</t>
        </is>
      </c>
      <c r="C1322" s="45" t="inlineStr">
        <is>
          <t>MR</t>
        </is>
      </c>
      <c r="D1322" s="45" t="inlineStr">
        <is>
          <t>UN</t>
        </is>
      </c>
      <c r="E1322" s="45" t="inlineStr">
        <is>
          <t>0128</t>
        </is>
      </c>
      <c r="F1322" s="65" t="inlineStr">
        <is>
          <t>Venda</t>
        </is>
      </c>
      <c r="G1322" s="69" t="n">
        <v>0</v>
      </c>
      <c r="H1322" s="173" t="inlineStr">
        <is>
          <t>Sim</t>
        </is>
      </c>
      <c r="I1322" s="50" t="n"/>
    </row>
    <row r="1323">
      <c r="A1323" s="40" t="inlineStr">
        <is>
          <t>000923</t>
        </is>
      </c>
      <c r="B1323" s="41" t="inlineStr">
        <is>
          <t>ENTRADA VIP GARRAFAS</t>
        </is>
      </c>
      <c r="C1323" s="42" t="inlineStr">
        <is>
          <t>MR</t>
        </is>
      </c>
      <c r="D1323" s="42" t="inlineStr">
        <is>
          <t>UN</t>
        </is>
      </c>
      <c r="E1323" s="42" t="inlineStr">
        <is>
          <t>0128</t>
        </is>
      </c>
      <c r="F1323" s="65" t="inlineStr">
        <is>
          <t>Venda</t>
        </is>
      </c>
      <c r="G1323" s="68" t="n">
        <v>0</v>
      </c>
      <c r="H1323" s="173" t="inlineStr">
        <is>
          <t>Sim</t>
        </is>
      </c>
      <c r="I1323" s="47" t="inlineStr">
        <is>
          <t>9003588</t>
        </is>
      </c>
    </row>
    <row r="1324">
      <c r="A1324" s="43" t="inlineStr">
        <is>
          <t>001284</t>
        </is>
      </c>
      <c r="B1324" s="44" t="inlineStr">
        <is>
          <t>ENTRADA VIP GARRAFAS</t>
        </is>
      </c>
      <c r="C1324" s="45" t="inlineStr">
        <is>
          <t>MR</t>
        </is>
      </c>
      <c r="D1324" s="45" t="inlineStr">
        <is>
          <t>UN</t>
        </is>
      </c>
      <c r="E1324" s="45" t="inlineStr">
        <is>
          <t>0128</t>
        </is>
      </c>
      <c r="F1324" s="65" t="inlineStr">
        <is>
          <t>Venda</t>
        </is>
      </c>
      <c r="G1324" s="69" t="n">
        <v>0</v>
      </c>
      <c r="H1324" s="173" t="inlineStr">
        <is>
          <t>Sim</t>
        </is>
      </c>
      <c r="I1324" s="50" t="n"/>
    </row>
    <row r="1325">
      <c r="A1325" s="40" t="inlineStr">
        <is>
          <t>001287</t>
        </is>
      </c>
      <c r="B1325" s="41" t="inlineStr">
        <is>
          <t>ENTRADA VIP GARRAFAS</t>
        </is>
      </c>
      <c r="C1325" s="42" t="inlineStr">
        <is>
          <t>MR</t>
        </is>
      </c>
      <c r="D1325" s="42" t="inlineStr">
        <is>
          <t>UN</t>
        </is>
      </c>
      <c r="E1325" s="42" t="inlineStr">
        <is>
          <t>0128</t>
        </is>
      </c>
      <c r="F1325" s="65" t="inlineStr">
        <is>
          <t>Venda</t>
        </is>
      </c>
      <c r="G1325" s="68" t="n">
        <v>0</v>
      </c>
      <c r="H1325" s="173" t="inlineStr">
        <is>
          <t>Sim</t>
        </is>
      </c>
      <c r="I1325" s="47" t="inlineStr">
        <is>
          <t>9003595</t>
        </is>
      </c>
    </row>
    <row r="1326">
      <c r="A1326" s="43" t="inlineStr">
        <is>
          <t>000038</t>
        </is>
      </c>
      <c r="B1326" s="44" t="inlineStr">
        <is>
          <t>ENTRADA VIP PROMOTER</t>
        </is>
      </c>
      <c r="C1326" s="45" t="inlineStr">
        <is>
          <t>MR</t>
        </is>
      </c>
      <c r="D1326" s="45" t="inlineStr">
        <is>
          <t>UN</t>
        </is>
      </c>
      <c r="E1326" s="45" t="inlineStr">
        <is>
          <t>0128</t>
        </is>
      </c>
      <c r="F1326" s="65" t="inlineStr">
        <is>
          <t>Venda</t>
        </is>
      </c>
      <c r="G1326" s="69" t="n">
        <v>0</v>
      </c>
      <c r="H1326" s="173" t="inlineStr">
        <is>
          <t>Sim</t>
        </is>
      </c>
      <c r="I1326" s="50" t="n"/>
    </row>
    <row r="1327">
      <c r="A1327" s="40" t="inlineStr">
        <is>
          <t>000826</t>
        </is>
      </c>
      <c r="B1327" s="41" t="inlineStr">
        <is>
          <t>ENTRADA VIP PROMOTER</t>
        </is>
      </c>
      <c r="C1327" s="42" t="inlineStr">
        <is>
          <t>MR</t>
        </is>
      </c>
      <c r="D1327" s="42" t="inlineStr">
        <is>
          <t>UN</t>
        </is>
      </c>
      <c r="E1327" s="42" t="inlineStr">
        <is>
          <t>0128</t>
        </is>
      </c>
      <c r="F1327" s="65" t="inlineStr">
        <is>
          <t>Venda</t>
        </is>
      </c>
      <c r="G1327" s="68" t="n">
        <v>0</v>
      </c>
      <c r="H1327" s="173" t="inlineStr">
        <is>
          <t>Sim</t>
        </is>
      </c>
      <c r="I1327" s="47" t="inlineStr">
        <is>
          <t>7898905687163</t>
        </is>
      </c>
    </row>
    <row r="1328">
      <c r="A1328" s="43" t="inlineStr">
        <is>
          <t>001283</t>
        </is>
      </c>
      <c r="B1328" s="44" t="inlineStr">
        <is>
          <t>ENTRADA VIP PROMOTER</t>
        </is>
      </c>
      <c r="C1328" s="45" t="inlineStr">
        <is>
          <t>MR</t>
        </is>
      </c>
      <c r="D1328" s="45" t="inlineStr">
        <is>
          <t>UN</t>
        </is>
      </c>
      <c r="E1328" s="45" t="inlineStr">
        <is>
          <t>0128</t>
        </is>
      </c>
      <c r="F1328" s="65" t="inlineStr">
        <is>
          <t>Venda</t>
        </is>
      </c>
      <c r="G1328" s="69" t="n">
        <v>0</v>
      </c>
      <c r="H1328" s="173" t="inlineStr">
        <is>
          <t>Sim</t>
        </is>
      </c>
      <c r="I1328" s="48" t="inlineStr">
        <is>
          <t>9003590</t>
        </is>
      </c>
    </row>
    <row r="1329">
      <c r="A1329" s="40" t="inlineStr">
        <is>
          <t>009792</t>
        </is>
      </c>
      <c r="B1329" s="41" t="inlineStr">
        <is>
          <t>ENVELOPE A4 229/324</t>
        </is>
      </c>
      <c r="C1329" s="42" t="inlineStr">
        <is>
          <t>MC</t>
        </is>
      </c>
      <c r="D1329" s="42" t="inlineStr">
        <is>
          <t>UN</t>
        </is>
      </c>
      <c r="E1329" s="42" t="inlineStr">
        <is>
          <t>0001</t>
        </is>
      </c>
      <c r="F1329" s="70" t="inlineStr">
        <is>
          <t>Compras</t>
        </is>
      </c>
      <c r="G1329" s="68" t="n">
        <v>0</v>
      </c>
      <c r="H1329" s="172" t="inlineStr">
        <is>
          <t>Não</t>
        </is>
      </c>
      <c r="I1329" s="49" t="n"/>
    </row>
    <row r="1330">
      <c r="A1330" s="43" t="inlineStr">
        <is>
          <t>000145</t>
        </is>
      </c>
      <c r="B1330" s="44" t="inlineStr">
        <is>
          <t>ENVELOPE COMERCIAL 114X162MM</t>
        </is>
      </c>
      <c r="C1330" s="45" t="inlineStr">
        <is>
          <t>MC</t>
        </is>
      </c>
      <c r="D1330" s="45" t="inlineStr">
        <is>
          <t>UN</t>
        </is>
      </c>
      <c r="E1330" s="45" t="inlineStr">
        <is>
          <t>0001</t>
        </is>
      </c>
      <c r="F1330" s="70" t="inlineStr">
        <is>
          <t>Compras</t>
        </is>
      </c>
      <c r="G1330" s="66" t="n">
        <v>103.7</v>
      </c>
      <c r="H1330" s="172" t="inlineStr">
        <is>
          <t>Não</t>
        </is>
      </c>
      <c r="I1330" s="50" t="n"/>
    </row>
    <row r="1331">
      <c r="A1331" s="40" t="inlineStr">
        <is>
          <t>009438</t>
        </is>
      </c>
      <c r="B1331" s="41" t="inlineStr">
        <is>
          <t>ENVELOPE KRAFT 240X340</t>
        </is>
      </c>
      <c r="C1331" s="42" t="inlineStr">
        <is>
          <t>MC</t>
        </is>
      </c>
      <c r="D1331" s="42" t="inlineStr">
        <is>
          <t>UN</t>
        </is>
      </c>
      <c r="E1331" s="42" t="inlineStr">
        <is>
          <t>0001</t>
        </is>
      </c>
      <c r="F1331" s="70" t="inlineStr">
        <is>
          <t>Compras</t>
        </is>
      </c>
      <c r="G1331" s="68" t="n">
        <v>0</v>
      </c>
      <c r="H1331" s="172" t="inlineStr">
        <is>
          <t>Não</t>
        </is>
      </c>
      <c r="I1331" s="49" t="n"/>
    </row>
    <row r="1332">
      <c r="A1332" s="43" t="inlineStr">
        <is>
          <t>002275</t>
        </is>
      </c>
      <c r="B1332" s="44" t="inlineStr">
        <is>
          <t>ENVELOPE KRAFT PEQUENO</t>
        </is>
      </c>
      <c r="C1332" s="45" t="inlineStr">
        <is>
          <t>MC</t>
        </is>
      </c>
      <c r="D1332" s="45" t="inlineStr">
        <is>
          <t>UN</t>
        </is>
      </c>
      <c r="E1332" s="45" t="inlineStr">
        <is>
          <t>0001</t>
        </is>
      </c>
      <c r="F1332" s="70" t="inlineStr">
        <is>
          <t>Compras</t>
        </is>
      </c>
      <c r="G1332" s="69" t="n">
        <v>0</v>
      </c>
      <c r="H1332" s="172" t="inlineStr">
        <is>
          <t>Não</t>
        </is>
      </c>
      <c r="I1332" s="50" t="n"/>
    </row>
    <row r="1333">
      <c r="A1333" s="40" t="inlineStr">
        <is>
          <t>000285</t>
        </is>
      </c>
      <c r="B1333" s="41" t="inlineStr">
        <is>
          <t>ENVELOPE OFICIO GRANDE</t>
        </is>
      </c>
      <c r="C1333" s="42" t="inlineStr">
        <is>
          <t>MC</t>
        </is>
      </c>
      <c r="D1333" s="42" t="inlineStr">
        <is>
          <t>UN</t>
        </is>
      </c>
      <c r="E1333" s="42" t="inlineStr">
        <is>
          <t>0001</t>
        </is>
      </c>
      <c r="F1333" s="70" t="inlineStr">
        <is>
          <t>Compras</t>
        </is>
      </c>
      <c r="G1333" s="71" t="n">
        <v>119</v>
      </c>
      <c r="H1333" s="172" t="inlineStr">
        <is>
          <t>Não</t>
        </is>
      </c>
      <c r="I1333" s="49" t="n"/>
    </row>
    <row r="1334">
      <c r="A1334" s="43" t="inlineStr">
        <is>
          <t>009793</t>
        </is>
      </c>
      <c r="B1334" s="44" t="inlineStr">
        <is>
          <t>ENVELOPE P 176/250</t>
        </is>
      </c>
      <c r="C1334" s="45" t="inlineStr">
        <is>
          <t>MC</t>
        </is>
      </c>
      <c r="D1334" s="45" t="inlineStr">
        <is>
          <t>UN</t>
        </is>
      </c>
      <c r="E1334" s="45" t="inlineStr">
        <is>
          <t>0001</t>
        </is>
      </c>
      <c r="F1334" s="70" t="inlineStr">
        <is>
          <t>Compras</t>
        </is>
      </c>
      <c r="G1334" s="69" t="n">
        <v>0</v>
      </c>
      <c r="H1334" s="172" t="inlineStr">
        <is>
          <t>Não</t>
        </is>
      </c>
      <c r="I1334" s="50" t="n"/>
    </row>
    <row r="1335">
      <c r="A1335" s="40" t="inlineStr">
        <is>
          <t>009794</t>
        </is>
      </c>
      <c r="B1335" s="41" t="inlineStr">
        <is>
          <t>ENVELOPE SACO 41 310/410</t>
        </is>
      </c>
      <c r="C1335" s="42" t="inlineStr">
        <is>
          <t>MC</t>
        </is>
      </c>
      <c r="D1335" s="42" t="inlineStr">
        <is>
          <t>UN</t>
        </is>
      </c>
      <c r="E1335" s="42" t="inlineStr">
        <is>
          <t>0001</t>
        </is>
      </c>
      <c r="F1335" s="70" t="inlineStr">
        <is>
          <t>Compras</t>
        </is>
      </c>
      <c r="G1335" s="68" t="n">
        <v>0</v>
      </c>
      <c r="H1335" s="172" t="inlineStr">
        <is>
          <t>Não</t>
        </is>
      </c>
      <c r="I1335" s="49" t="n"/>
    </row>
    <row r="1336">
      <c r="A1336" s="43" t="inlineStr">
        <is>
          <t>009795</t>
        </is>
      </c>
      <c r="B1336" s="44" t="inlineStr">
        <is>
          <t>ENVELOPE SACO A4 COM 4 FUROS PP CRISTAL LISO</t>
        </is>
      </c>
      <c r="C1336" s="45" t="inlineStr">
        <is>
          <t>MC</t>
        </is>
      </c>
      <c r="D1336" s="45" t="inlineStr">
        <is>
          <t>UN</t>
        </is>
      </c>
      <c r="E1336" s="45" t="inlineStr">
        <is>
          <t>0001</t>
        </is>
      </c>
      <c r="F1336" s="70" t="inlineStr">
        <is>
          <t>Compras</t>
        </is>
      </c>
      <c r="G1336" s="69" t="n">
        <v>0</v>
      </c>
      <c r="H1336" s="172" t="inlineStr">
        <is>
          <t>Não</t>
        </is>
      </c>
      <c r="I1336" s="50" t="n"/>
    </row>
    <row r="1337">
      <c r="A1337" s="40" t="inlineStr">
        <is>
          <t>010324</t>
        </is>
      </c>
      <c r="B1337" s="41" t="inlineStr">
        <is>
          <t>ENXADAO ESTREITO 2.5 COM CABO</t>
        </is>
      </c>
      <c r="C1337" s="42" t="inlineStr">
        <is>
          <t>MC</t>
        </is>
      </c>
      <c r="D1337" s="42" t="inlineStr">
        <is>
          <t>UN</t>
        </is>
      </c>
      <c r="E1337" s="42" t="inlineStr">
        <is>
          <t>0132</t>
        </is>
      </c>
      <c r="F1337" s="70" t="inlineStr">
        <is>
          <t>Compras</t>
        </is>
      </c>
      <c r="G1337" s="71" t="n">
        <v>89.90000000000001</v>
      </c>
      <c r="H1337" s="172" t="inlineStr">
        <is>
          <t>Não</t>
        </is>
      </c>
      <c r="I1337" s="49" t="n"/>
    </row>
    <row r="1338">
      <c r="A1338" s="43" t="inlineStr">
        <is>
          <t>002251</t>
        </is>
      </c>
      <c r="B1338" s="44" t="inlineStr">
        <is>
          <t>ERVILHA CONGELADA</t>
        </is>
      </c>
      <c r="C1338" s="45" t="inlineStr">
        <is>
          <t>MP</t>
        </is>
      </c>
      <c r="D1338" s="45" t="inlineStr">
        <is>
          <t>KG</t>
        </is>
      </c>
      <c r="E1338" s="45" t="inlineStr">
        <is>
          <t>0022</t>
        </is>
      </c>
      <c r="F1338" s="70" t="inlineStr">
        <is>
          <t>Compras</t>
        </is>
      </c>
      <c r="G1338" s="66" t="n">
        <v>16.438</v>
      </c>
      <c r="H1338" s="172" t="inlineStr">
        <is>
          <t>Não</t>
        </is>
      </c>
      <c r="I1338" s="50" t="n"/>
    </row>
    <row r="1339">
      <c r="A1339" s="40" t="inlineStr">
        <is>
          <t>000729</t>
        </is>
      </c>
      <c r="B1339" s="41" t="inlineStr">
        <is>
          <t>ESCADA</t>
        </is>
      </c>
      <c r="C1339" s="42" t="inlineStr">
        <is>
          <t>MC</t>
        </is>
      </c>
      <c r="D1339" s="42" t="inlineStr">
        <is>
          <t>UN</t>
        </is>
      </c>
      <c r="E1339" s="42" t="inlineStr">
        <is>
          <t>0132</t>
        </is>
      </c>
      <c r="F1339" s="70" t="inlineStr">
        <is>
          <t>Compras</t>
        </is>
      </c>
      <c r="G1339" s="71" t="n">
        <v>342</v>
      </c>
      <c r="H1339" s="172" t="inlineStr">
        <is>
          <t>Não</t>
        </is>
      </c>
      <c r="I1339" s="49" t="n"/>
    </row>
    <row r="1340">
      <c r="A1340" s="43" t="inlineStr">
        <is>
          <t>010363</t>
        </is>
      </c>
      <c r="B1340" s="44" t="inlineStr">
        <is>
          <t>ESCAPULA PARA BUCHA 06</t>
        </is>
      </c>
      <c r="C1340" s="45" t="inlineStr">
        <is>
          <t>MC</t>
        </is>
      </c>
      <c r="D1340" s="45" t="inlineStr">
        <is>
          <t>UN</t>
        </is>
      </c>
      <c r="E1340" s="45" t="inlineStr">
        <is>
          <t>0132</t>
        </is>
      </c>
      <c r="F1340" s="70" t="inlineStr">
        <is>
          <t>Compras</t>
        </is>
      </c>
      <c r="G1340" s="69" t="n">
        <v>0.63</v>
      </c>
      <c r="H1340" s="172" t="inlineStr">
        <is>
          <t>Não</t>
        </is>
      </c>
      <c r="I1340" s="50" t="n"/>
    </row>
    <row r="1341">
      <c r="A1341" s="40" t="inlineStr">
        <is>
          <t>010362</t>
        </is>
      </c>
      <c r="B1341" s="41" t="inlineStr">
        <is>
          <t>ESCAPULA PARA BUCHA 08</t>
        </is>
      </c>
      <c r="C1341" s="42" t="inlineStr">
        <is>
          <t>MC</t>
        </is>
      </c>
      <c r="D1341" s="42" t="inlineStr">
        <is>
          <t>UN</t>
        </is>
      </c>
      <c r="E1341" s="42" t="inlineStr">
        <is>
          <t>0132</t>
        </is>
      </c>
      <c r="F1341" s="70" t="inlineStr">
        <is>
          <t>Compras</t>
        </is>
      </c>
      <c r="G1341" s="68" t="n">
        <v>0.8100000000000001</v>
      </c>
      <c r="H1341" s="172" t="inlineStr">
        <is>
          <t>Não</t>
        </is>
      </c>
      <c r="I1341" s="49" t="n"/>
    </row>
    <row r="1342">
      <c r="A1342" s="43" t="inlineStr">
        <is>
          <t>000586</t>
        </is>
      </c>
      <c r="B1342" s="44" t="inlineStr">
        <is>
          <t>ESCORREDOR DE COPOS 60X60</t>
        </is>
      </c>
      <c r="C1342" s="45" t="inlineStr">
        <is>
          <t>MC</t>
        </is>
      </c>
      <c r="D1342" s="45" t="inlineStr">
        <is>
          <t>UN</t>
        </is>
      </c>
      <c r="E1342" s="45" t="inlineStr">
        <is>
          <t>0080</t>
        </is>
      </c>
      <c r="F1342" s="70" t="inlineStr">
        <is>
          <t>Compras</t>
        </is>
      </c>
      <c r="G1342" s="69" t="n">
        <v>0</v>
      </c>
      <c r="H1342" s="172" t="inlineStr">
        <is>
          <t>Não</t>
        </is>
      </c>
      <c r="I1342" s="50" t="n"/>
    </row>
    <row r="1343">
      <c r="A1343" s="40" t="inlineStr">
        <is>
          <t>000579</t>
        </is>
      </c>
      <c r="B1343" s="41" t="inlineStr">
        <is>
          <t>ESCORREDOR DE MACARRAO GRANDE</t>
        </is>
      </c>
      <c r="C1343" s="42" t="inlineStr">
        <is>
          <t>MC</t>
        </is>
      </c>
      <c r="D1343" s="42" t="inlineStr">
        <is>
          <t>UN</t>
        </is>
      </c>
      <c r="E1343" s="42" t="inlineStr">
        <is>
          <t>0080</t>
        </is>
      </c>
      <c r="F1343" s="70" t="inlineStr">
        <is>
          <t>Compras</t>
        </is>
      </c>
      <c r="G1343" s="71" t="n">
        <v>197</v>
      </c>
      <c r="H1343" s="172" t="inlineStr">
        <is>
          <t>Não</t>
        </is>
      </c>
      <c r="I1343" s="49" t="n"/>
    </row>
    <row r="1344">
      <c r="A1344" s="43" t="inlineStr">
        <is>
          <t>000587</t>
        </is>
      </c>
      <c r="B1344" s="44" t="inlineStr">
        <is>
          <t>ESCORREDOR DE PRATOS 1 M</t>
        </is>
      </c>
      <c r="C1344" s="45" t="inlineStr">
        <is>
          <t>MC</t>
        </is>
      </c>
      <c r="D1344" s="45" t="inlineStr">
        <is>
          <t>UN</t>
        </is>
      </c>
      <c r="E1344" s="45" t="inlineStr">
        <is>
          <t>0080</t>
        </is>
      </c>
      <c r="F1344" s="70" t="inlineStr">
        <is>
          <t>Compras</t>
        </is>
      </c>
      <c r="G1344" s="69" t="n">
        <v>0</v>
      </c>
      <c r="H1344" s="172" t="inlineStr">
        <is>
          <t>Não</t>
        </is>
      </c>
      <c r="I1344" s="50" t="n"/>
    </row>
    <row r="1345">
      <c r="A1345" s="40" t="inlineStr">
        <is>
          <t>000588</t>
        </is>
      </c>
      <c r="B1345" s="41" t="inlineStr">
        <is>
          <t>ESCORREDOR DE TALHERES 14 CM</t>
        </is>
      </c>
      <c r="C1345" s="42" t="inlineStr">
        <is>
          <t>MC</t>
        </is>
      </c>
      <c r="D1345" s="42" t="inlineStr">
        <is>
          <t>UN</t>
        </is>
      </c>
      <c r="E1345" s="42" t="inlineStr">
        <is>
          <t>0080</t>
        </is>
      </c>
      <c r="F1345" s="70" t="inlineStr">
        <is>
          <t>Compras</t>
        </is>
      </c>
      <c r="G1345" s="68" t="n">
        <v>0</v>
      </c>
      <c r="H1345" s="172" t="inlineStr">
        <is>
          <t>Não</t>
        </is>
      </c>
      <c r="I1345" s="49" t="n"/>
    </row>
    <row r="1346">
      <c r="A1346" s="43" t="inlineStr">
        <is>
          <t>000625</t>
        </is>
      </c>
      <c r="B1346" s="44" t="inlineStr">
        <is>
          <t>ESCOVA SANITARIA</t>
        </is>
      </c>
      <c r="C1346" s="45" t="inlineStr">
        <is>
          <t>MC</t>
        </is>
      </c>
      <c r="D1346" s="45" t="inlineStr">
        <is>
          <t>UN</t>
        </is>
      </c>
      <c r="E1346" s="45" t="inlineStr">
        <is>
          <t>0075</t>
        </is>
      </c>
      <c r="F1346" s="70" t="inlineStr">
        <is>
          <t>Compras</t>
        </is>
      </c>
      <c r="G1346" s="66" t="n">
        <v>15.01</v>
      </c>
      <c r="H1346" s="172" t="inlineStr">
        <is>
          <t>Não</t>
        </is>
      </c>
      <c r="I1346" s="50" t="n"/>
    </row>
    <row r="1347">
      <c r="A1347" s="40" t="inlineStr">
        <is>
          <t>000564</t>
        </is>
      </c>
      <c r="B1347" s="41" t="inlineStr">
        <is>
          <t>ESCUMADEIRA</t>
        </is>
      </c>
      <c r="C1347" s="42" t="inlineStr">
        <is>
          <t>MC</t>
        </is>
      </c>
      <c r="D1347" s="42" t="inlineStr">
        <is>
          <t>UN</t>
        </is>
      </c>
      <c r="E1347" s="42" t="inlineStr">
        <is>
          <t>0080</t>
        </is>
      </c>
      <c r="F1347" s="70" t="inlineStr">
        <is>
          <t>Compras</t>
        </is>
      </c>
      <c r="G1347" s="71" t="n">
        <v>32.3</v>
      </c>
      <c r="H1347" s="172" t="inlineStr">
        <is>
          <t>Não</t>
        </is>
      </c>
      <c r="I1347" s="49" t="n"/>
    </row>
    <row r="1348">
      <c r="A1348" s="43" t="inlineStr">
        <is>
          <t>000261</t>
        </is>
      </c>
      <c r="B1348" s="44" t="inlineStr">
        <is>
          <t>ESPANADOR</t>
        </is>
      </c>
      <c r="C1348" s="45" t="inlineStr">
        <is>
          <t>MC</t>
        </is>
      </c>
      <c r="D1348" s="45" t="inlineStr">
        <is>
          <t>UN</t>
        </is>
      </c>
      <c r="E1348" s="45" t="inlineStr">
        <is>
          <t>0075</t>
        </is>
      </c>
      <c r="F1348" s="70" t="inlineStr">
        <is>
          <t>Compras</t>
        </is>
      </c>
      <c r="G1348" s="69" t="n">
        <v>0</v>
      </c>
      <c r="H1348" s="172" t="inlineStr">
        <is>
          <t>Não</t>
        </is>
      </c>
      <c r="I1348" s="50" t="n"/>
    </row>
    <row r="1349">
      <c r="A1349" s="40" t="inlineStr">
        <is>
          <t>000061</t>
        </is>
      </c>
      <c r="B1349" s="41" t="inlineStr">
        <is>
          <t>ESPANHOLA</t>
        </is>
      </c>
      <c r="C1349" s="42" t="inlineStr">
        <is>
          <t>PA</t>
        </is>
      </c>
      <c r="D1349" s="42" t="inlineStr">
        <is>
          <t>UN</t>
        </is>
      </c>
      <c r="E1349" s="42" t="inlineStr">
        <is>
          <t>0097</t>
        </is>
      </c>
      <c r="F1349" s="65" t="inlineStr">
        <is>
          <t>Venda</t>
        </is>
      </c>
      <c r="G1349" s="68" t="n">
        <v>0</v>
      </c>
      <c r="H1349" s="172" t="inlineStr">
        <is>
          <t>Não</t>
        </is>
      </c>
      <c r="I1349" s="47" t="inlineStr">
        <is>
          <t>200021</t>
        </is>
      </c>
    </row>
    <row r="1350">
      <c r="A1350" s="43" t="inlineStr">
        <is>
          <t>001352</t>
        </is>
      </c>
      <c r="B1350" s="44" t="inlineStr">
        <is>
          <t>ESPATULA CHURRASQUEIRA</t>
        </is>
      </c>
      <c r="C1350" s="45" t="inlineStr">
        <is>
          <t>MC</t>
        </is>
      </c>
      <c r="D1350" s="45" t="inlineStr">
        <is>
          <t>UN</t>
        </is>
      </c>
      <c r="E1350" s="45" t="inlineStr">
        <is>
          <t>0079</t>
        </is>
      </c>
      <c r="F1350" s="70" t="inlineStr">
        <is>
          <t>Compras</t>
        </is>
      </c>
      <c r="G1350" s="66" t="n">
        <v>33.6</v>
      </c>
      <c r="H1350" s="172" t="inlineStr">
        <is>
          <t>Não</t>
        </is>
      </c>
      <c r="I1350" s="50" t="n"/>
    </row>
    <row r="1351">
      <c r="A1351" s="40" t="inlineStr">
        <is>
          <t>009938</t>
        </is>
      </c>
      <c r="B1351" s="41" t="inlineStr">
        <is>
          <t>ESPATULA DE ACO MULTIUSO</t>
        </is>
      </c>
      <c r="C1351" s="42" t="inlineStr">
        <is>
          <t>MC</t>
        </is>
      </c>
      <c r="D1351" s="42" t="inlineStr">
        <is>
          <t>UN</t>
        </is>
      </c>
      <c r="E1351" s="42" t="inlineStr">
        <is>
          <t>0132</t>
        </is>
      </c>
      <c r="F1351" s="70" t="inlineStr">
        <is>
          <t>Compras</t>
        </is>
      </c>
      <c r="G1351" s="71" t="n">
        <v>27</v>
      </c>
      <c r="H1351" s="172" t="inlineStr">
        <is>
          <t>Não</t>
        </is>
      </c>
      <c r="I1351" s="49" t="n"/>
    </row>
    <row r="1352">
      <c r="A1352" s="43" t="inlineStr">
        <is>
          <t>009655</t>
        </is>
      </c>
      <c r="B1352" s="44" t="inlineStr">
        <is>
          <t>ESPATULA DE EVA - APLICADOR DE REJUNTE</t>
        </is>
      </c>
      <c r="C1352" s="45" t="inlineStr">
        <is>
          <t>MC</t>
        </is>
      </c>
      <c r="D1352" s="45" t="inlineStr">
        <is>
          <t>UN</t>
        </is>
      </c>
      <c r="E1352" s="45" t="inlineStr">
        <is>
          <t>0132</t>
        </is>
      </c>
      <c r="F1352" s="70" t="inlineStr">
        <is>
          <t>Compras</t>
        </is>
      </c>
      <c r="G1352" s="69" t="n">
        <v>0</v>
      </c>
      <c r="H1352" s="172" t="inlineStr">
        <is>
          <t>Não</t>
        </is>
      </c>
      <c r="I1352" s="50" t="n"/>
    </row>
    <row r="1353">
      <c r="A1353" s="40" t="inlineStr">
        <is>
          <t>000556</t>
        </is>
      </c>
      <c r="B1353" s="41" t="inlineStr">
        <is>
          <t>ESPATULA PARA BOLO</t>
        </is>
      </c>
      <c r="C1353" s="42" t="inlineStr">
        <is>
          <t>MC</t>
        </is>
      </c>
      <c r="D1353" s="42" t="inlineStr">
        <is>
          <t>UN</t>
        </is>
      </c>
      <c r="E1353" s="42" t="inlineStr">
        <is>
          <t>0080</t>
        </is>
      </c>
      <c r="F1353" s="70" t="inlineStr">
        <is>
          <t>Compras</t>
        </is>
      </c>
      <c r="G1353" s="71" t="n">
        <v>14.3</v>
      </c>
      <c r="H1353" s="172" t="inlineStr">
        <is>
          <t>Não</t>
        </is>
      </c>
      <c r="I1353" s="49" t="n"/>
    </row>
    <row r="1354">
      <c r="A1354" s="43" t="inlineStr">
        <is>
          <t>009652</t>
        </is>
      </c>
      <c r="B1354" s="44" t="inlineStr">
        <is>
          <t>ESPAÇADOR PARA PISO</t>
        </is>
      </c>
      <c r="C1354" s="45" t="inlineStr">
        <is>
          <t>MC</t>
        </is>
      </c>
      <c r="D1354" s="45" t="inlineStr">
        <is>
          <t>PC</t>
        </is>
      </c>
      <c r="E1354" s="45" t="inlineStr">
        <is>
          <t>0132</t>
        </is>
      </c>
      <c r="F1354" s="70" t="inlineStr">
        <is>
          <t>Compras</t>
        </is>
      </c>
      <c r="G1354" s="66" t="n">
        <v>3.5</v>
      </c>
      <c r="H1354" s="172" t="inlineStr">
        <is>
          <t>Não</t>
        </is>
      </c>
      <c r="I1354" s="50" t="n"/>
    </row>
    <row r="1355">
      <c r="A1355" s="40" t="inlineStr">
        <is>
          <t>010372</t>
        </is>
      </c>
      <c r="B1355" s="41" t="inlineStr">
        <is>
          <t>ESPELHO DE TOMADA 4X4 2 MODULOS</t>
        </is>
      </c>
      <c r="C1355" s="42" t="inlineStr">
        <is>
          <t>MC</t>
        </is>
      </c>
      <c r="D1355" s="42" t="inlineStr">
        <is>
          <t>UN</t>
        </is>
      </c>
      <c r="E1355" s="42" t="inlineStr">
        <is>
          <t>0132</t>
        </is>
      </c>
      <c r="F1355" s="70" t="inlineStr">
        <is>
          <t>Compras</t>
        </is>
      </c>
      <c r="G1355" s="68" t="n">
        <v>0</v>
      </c>
      <c r="H1355" s="172" t="inlineStr">
        <is>
          <t>Não</t>
        </is>
      </c>
      <c r="I1355" s="49" t="n"/>
    </row>
    <row r="1356">
      <c r="A1356" s="43" t="inlineStr">
        <is>
          <t>009360</t>
        </is>
      </c>
      <c r="B1356" s="44" t="inlineStr">
        <is>
          <t>ESPELHO DE TOMADA FECHADO 4X2 CEGA C/ SUPORTE</t>
        </is>
      </c>
      <c r="C1356" s="45" t="inlineStr">
        <is>
          <t>MC</t>
        </is>
      </c>
      <c r="D1356" s="45" t="inlineStr">
        <is>
          <t>UN</t>
        </is>
      </c>
      <c r="E1356" s="45" t="inlineStr">
        <is>
          <t>0132</t>
        </is>
      </c>
      <c r="F1356" s="70" t="inlineStr">
        <is>
          <t>Compras</t>
        </is>
      </c>
      <c r="G1356" s="66" t="n">
        <v>0.28</v>
      </c>
      <c r="H1356" s="172" t="inlineStr">
        <is>
          <t>Não</t>
        </is>
      </c>
      <c r="I1356" s="50" t="n"/>
    </row>
    <row r="1357">
      <c r="A1357" s="40" t="inlineStr">
        <is>
          <t>009585</t>
        </is>
      </c>
      <c r="B1357" s="41" t="inlineStr">
        <is>
          <t>ESPELHO DE TOMADA FURO 4X2 C/ SUPORTE</t>
        </is>
      </c>
      <c r="C1357" s="42" t="inlineStr">
        <is>
          <t>MC</t>
        </is>
      </c>
      <c r="D1357" s="42" t="inlineStr">
        <is>
          <t>UN</t>
        </is>
      </c>
      <c r="E1357" s="42" t="inlineStr">
        <is>
          <t>0132</t>
        </is>
      </c>
      <c r="F1357" s="70" t="inlineStr">
        <is>
          <t>Compras</t>
        </is>
      </c>
      <c r="G1357" s="71" t="n">
        <v>3</v>
      </c>
      <c r="H1357" s="172" t="inlineStr">
        <is>
          <t>Não</t>
        </is>
      </c>
      <c r="I1357" s="49" t="n"/>
    </row>
    <row r="1358">
      <c r="A1358" s="43" t="inlineStr">
        <is>
          <t>001508</t>
        </is>
      </c>
      <c r="B1358" s="44" t="inlineStr">
        <is>
          <t>ESPETO ABOBRINHA</t>
        </is>
      </c>
      <c r="C1358" s="45" t="inlineStr">
        <is>
          <t>PA</t>
        </is>
      </c>
      <c r="D1358" s="45" t="inlineStr">
        <is>
          <t>UN</t>
        </is>
      </c>
      <c r="E1358" s="45" t="inlineStr">
        <is>
          <t>0121</t>
        </is>
      </c>
      <c r="F1358" s="65" t="inlineStr">
        <is>
          <t>Venda</t>
        </is>
      </c>
      <c r="G1358" s="66" t="n">
        <v>2.99</v>
      </c>
      <c r="H1358" s="172" t="inlineStr">
        <is>
          <t>Não</t>
        </is>
      </c>
      <c r="I1358" s="48" t="inlineStr">
        <is>
          <t>20001</t>
        </is>
      </c>
    </row>
    <row r="1359">
      <c r="A1359" s="40" t="inlineStr">
        <is>
          <t>001505</t>
        </is>
      </c>
      <c r="B1359" s="41" t="inlineStr">
        <is>
          <t>ESPETO BERINJELA</t>
        </is>
      </c>
      <c r="C1359" s="42" t="inlineStr">
        <is>
          <t>PA</t>
        </is>
      </c>
      <c r="D1359" s="42" t="inlineStr">
        <is>
          <t>UN</t>
        </is>
      </c>
      <c r="E1359" s="42" t="inlineStr">
        <is>
          <t>0121</t>
        </is>
      </c>
      <c r="F1359" s="65" t="inlineStr">
        <is>
          <t>Venda</t>
        </is>
      </c>
      <c r="G1359" s="68" t="n">
        <v>0</v>
      </c>
      <c r="H1359" s="172" t="inlineStr">
        <is>
          <t>Não</t>
        </is>
      </c>
      <c r="I1359" s="47" t="inlineStr">
        <is>
          <t>20003</t>
        </is>
      </c>
    </row>
    <row r="1360">
      <c r="A1360" s="43" t="inlineStr">
        <is>
          <t>000286</t>
        </is>
      </c>
      <c r="B1360" s="44" t="inlineStr">
        <is>
          <t>ESPETO BOVINO</t>
        </is>
      </c>
      <c r="C1360" s="45" t="inlineStr">
        <is>
          <t>ME</t>
        </is>
      </c>
      <c r="D1360" s="45" t="inlineStr">
        <is>
          <t>UN</t>
        </is>
      </c>
      <c r="E1360" s="45" t="inlineStr">
        <is>
          <t>0032</t>
        </is>
      </c>
      <c r="F1360" s="70" t="inlineStr">
        <is>
          <t>Compras</t>
        </is>
      </c>
      <c r="G1360" s="66" t="n">
        <v>4.4227</v>
      </c>
      <c r="H1360" s="172" t="inlineStr">
        <is>
          <t>Não</t>
        </is>
      </c>
      <c r="I1360" s="50" t="n"/>
    </row>
    <row r="1361">
      <c r="A1361" s="40" t="inlineStr">
        <is>
          <t>009595</t>
        </is>
      </c>
      <c r="B1361" s="41" t="inlineStr">
        <is>
          <t>ESPETO BOVINO TURBO</t>
        </is>
      </c>
      <c r="C1361" s="42" t="inlineStr">
        <is>
          <t>MR</t>
        </is>
      </c>
      <c r="D1361" s="42" t="inlineStr">
        <is>
          <t>UN</t>
        </is>
      </c>
      <c r="E1361" s="42" t="inlineStr">
        <is>
          <t>0099</t>
        </is>
      </c>
      <c r="F1361" s="65" t="inlineStr">
        <is>
          <t>Venda</t>
        </is>
      </c>
      <c r="G1361" s="68" t="n">
        <v>0</v>
      </c>
      <c r="H1361" s="172" t="inlineStr">
        <is>
          <t>Não</t>
        </is>
      </c>
      <c r="I1361" s="47" t="inlineStr">
        <is>
          <t>789890568773450</t>
        </is>
      </c>
    </row>
    <row r="1362">
      <c r="A1362" s="43" t="inlineStr">
        <is>
          <t>000287</t>
        </is>
      </c>
      <c r="B1362" s="44" t="inlineStr">
        <is>
          <t>ESPETO CALABRESA C/ PIMENTA</t>
        </is>
      </c>
      <c r="C1362" s="45" t="inlineStr">
        <is>
          <t>ME</t>
        </is>
      </c>
      <c r="D1362" s="45" t="inlineStr">
        <is>
          <t>UN</t>
        </is>
      </c>
      <c r="E1362" s="45" t="inlineStr">
        <is>
          <t>0032</t>
        </is>
      </c>
      <c r="F1362" s="70" t="inlineStr">
        <is>
          <t>Compras</t>
        </is>
      </c>
      <c r="G1362" s="66" t="n">
        <v>1.75</v>
      </c>
      <c r="H1362" s="172" t="inlineStr">
        <is>
          <t>Não</t>
        </is>
      </c>
      <c r="I1362" s="50" t="n"/>
    </row>
    <row r="1363">
      <c r="A1363" s="40" t="inlineStr">
        <is>
          <t>009597</t>
        </is>
      </c>
      <c r="B1363" s="41" t="inlineStr">
        <is>
          <t>ESPETO CALABRESA COM PIMENTA - TURBO</t>
        </is>
      </c>
      <c r="C1363" s="42" t="inlineStr">
        <is>
          <t>MR</t>
        </is>
      </c>
      <c r="D1363" s="42" t="inlineStr">
        <is>
          <t>UN</t>
        </is>
      </c>
      <c r="E1363" s="42" t="inlineStr">
        <is>
          <t>0099</t>
        </is>
      </c>
      <c r="F1363" s="65" t="inlineStr">
        <is>
          <t>Venda</t>
        </is>
      </c>
      <c r="G1363" s="68" t="n">
        <v>0</v>
      </c>
      <c r="H1363" s="172" t="inlineStr">
        <is>
          <t>Não</t>
        </is>
      </c>
      <c r="I1363" s="47" t="inlineStr">
        <is>
          <t>789890568773452</t>
        </is>
      </c>
    </row>
    <row r="1364">
      <c r="A1364" s="43" t="inlineStr">
        <is>
          <t>000288</t>
        </is>
      </c>
      <c r="B1364" s="44" t="inlineStr">
        <is>
          <t>ESPETO CALABRESA S/ PIMENTA</t>
        </is>
      </c>
      <c r="C1364" s="45" t="inlineStr">
        <is>
          <t>ME</t>
        </is>
      </c>
      <c r="D1364" s="45" t="inlineStr">
        <is>
          <t>UN</t>
        </is>
      </c>
      <c r="E1364" s="45" t="inlineStr">
        <is>
          <t>0032</t>
        </is>
      </c>
      <c r="F1364" s="70" t="inlineStr">
        <is>
          <t>Compras</t>
        </is>
      </c>
      <c r="G1364" s="66" t="n">
        <v>1.75</v>
      </c>
      <c r="H1364" s="172" t="inlineStr">
        <is>
          <t>Não</t>
        </is>
      </c>
      <c r="I1364" s="50" t="n"/>
    </row>
    <row r="1365">
      <c r="A1365" s="40" t="inlineStr">
        <is>
          <t>009596</t>
        </is>
      </c>
      <c r="B1365" s="41" t="inlineStr">
        <is>
          <t>ESPETO CALABRESA SEM PIMENTA - TURBO</t>
        </is>
      </c>
      <c r="C1365" s="42" t="inlineStr">
        <is>
          <t>MR</t>
        </is>
      </c>
      <c r="D1365" s="42" t="inlineStr">
        <is>
          <t>UN</t>
        </is>
      </c>
      <c r="E1365" s="42" t="inlineStr">
        <is>
          <t>0099</t>
        </is>
      </c>
      <c r="F1365" s="65" t="inlineStr">
        <is>
          <t>Venda</t>
        </is>
      </c>
      <c r="G1365" s="68" t="n">
        <v>0</v>
      </c>
      <c r="H1365" s="172" t="inlineStr">
        <is>
          <t>Não</t>
        </is>
      </c>
      <c r="I1365" s="47" t="inlineStr">
        <is>
          <t>789890568773451</t>
        </is>
      </c>
    </row>
    <row r="1366">
      <c r="A1366" s="43" t="inlineStr">
        <is>
          <t>000302</t>
        </is>
      </c>
      <c r="B1366" s="44" t="inlineStr">
        <is>
          <t>ESPETO CAMARAO COMUM</t>
        </is>
      </c>
      <c r="C1366" s="45" t="inlineStr">
        <is>
          <t>ME</t>
        </is>
      </c>
      <c r="D1366" s="45" t="inlineStr">
        <is>
          <t>UN</t>
        </is>
      </c>
      <c r="E1366" s="45" t="inlineStr">
        <is>
          <t>0032</t>
        </is>
      </c>
      <c r="F1366" s="70" t="inlineStr">
        <is>
          <t>Compras</t>
        </is>
      </c>
      <c r="G1366" s="66" t="n">
        <v>5.75</v>
      </c>
      <c r="H1366" s="172" t="inlineStr">
        <is>
          <t>Não</t>
        </is>
      </c>
      <c r="I1366" s="50" t="n"/>
    </row>
    <row r="1367">
      <c r="A1367" s="40" t="inlineStr">
        <is>
          <t>000299</t>
        </is>
      </c>
      <c r="B1367" s="41" t="inlineStr">
        <is>
          <t>ESPETO CARRE DE CORDEIRO</t>
        </is>
      </c>
      <c r="C1367" s="42" t="inlineStr">
        <is>
          <t>ME</t>
        </is>
      </c>
      <c r="D1367" s="42" t="inlineStr">
        <is>
          <t>UN</t>
        </is>
      </c>
      <c r="E1367" s="42" t="inlineStr">
        <is>
          <t>0032</t>
        </is>
      </c>
      <c r="F1367" s="70" t="inlineStr">
        <is>
          <t>Compras</t>
        </is>
      </c>
      <c r="G1367" s="71" t="n">
        <v>7.4481</v>
      </c>
      <c r="H1367" s="172" t="inlineStr">
        <is>
          <t>Não</t>
        </is>
      </c>
      <c r="I1367" s="49" t="n"/>
    </row>
    <row r="1368">
      <c r="A1368" s="43" t="inlineStr">
        <is>
          <t>000289</t>
        </is>
      </c>
      <c r="B1368" s="44" t="inlineStr">
        <is>
          <t>ESPETO CORACAO</t>
        </is>
      </c>
      <c r="C1368" s="45" t="inlineStr">
        <is>
          <t>ME</t>
        </is>
      </c>
      <c r="D1368" s="45" t="inlineStr">
        <is>
          <t>UN</t>
        </is>
      </c>
      <c r="E1368" s="45" t="inlineStr">
        <is>
          <t>0032</t>
        </is>
      </c>
      <c r="F1368" s="70" t="inlineStr">
        <is>
          <t>Compras</t>
        </is>
      </c>
      <c r="G1368" s="66" t="n">
        <v>4.3333</v>
      </c>
      <c r="H1368" s="172" t="inlineStr">
        <is>
          <t>Não</t>
        </is>
      </c>
      <c r="I1368" s="50" t="n"/>
    </row>
    <row r="1369">
      <c r="A1369" s="40" t="inlineStr">
        <is>
          <t>000290</t>
        </is>
      </c>
      <c r="B1369" s="41" t="inlineStr">
        <is>
          <t>ESPETO COSTELINHA BOVINA</t>
        </is>
      </c>
      <c r="C1369" s="42" t="inlineStr">
        <is>
          <t>ME</t>
        </is>
      </c>
      <c r="D1369" s="42" t="inlineStr">
        <is>
          <t>UN</t>
        </is>
      </c>
      <c r="E1369" s="42" t="inlineStr">
        <is>
          <t>0032</t>
        </is>
      </c>
      <c r="F1369" s="70" t="inlineStr">
        <is>
          <t>Compras</t>
        </is>
      </c>
      <c r="G1369" s="71" t="n">
        <v>3.8661</v>
      </c>
      <c r="H1369" s="172" t="inlineStr">
        <is>
          <t>Não</t>
        </is>
      </c>
      <c r="I1369" s="49" t="n"/>
    </row>
    <row r="1370">
      <c r="A1370" s="43" t="inlineStr">
        <is>
          <t>001254</t>
        </is>
      </c>
      <c r="B1370" s="44" t="inlineStr">
        <is>
          <t>ESPETO DADINHO DE TAPIOCA C/ G</t>
        </is>
      </c>
      <c r="C1370" s="45" t="inlineStr">
        <is>
          <t>PA</t>
        </is>
      </c>
      <c r="D1370" s="45" t="inlineStr">
        <is>
          <t>UN</t>
        </is>
      </c>
      <c r="E1370" s="45" t="inlineStr">
        <is>
          <t>0110</t>
        </is>
      </c>
      <c r="F1370" s="65" t="inlineStr">
        <is>
          <t>Venda</t>
        </is>
      </c>
      <c r="G1370" s="69" t="n">
        <v>0</v>
      </c>
      <c r="H1370" s="172" t="inlineStr">
        <is>
          <t>Não</t>
        </is>
      </c>
      <c r="I1370" s="48" t="inlineStr">
        <is>
          <t>9003634</t>
        </is>
      </c>
    </row>
    <row r="1371">
      <c r="A1371" s="40" t="inlineStr">
        <is>
          <t>001507</t>
        </is>
      </c>
      <c r="B1371" s="41" t="inlineStr">
        <is>
          <t>ESPETO DE BATATA BOLINHA</t>
        </is>
      </c>
      <c r="C1371" s="42" t="inlineStr">
        <is>
          <t>PA</t>
        </is>
      </c>
      <c r="D1371" s="42" t="inlineStr">
        <is>
          <t>UN</t>
        </is>
      </c>
      <c r="E1371" s="42" t="inlineStr">
        <is>
          <t>0121</t>
        </is>
      </c>
      <c r="F1371" s="65" t="inlineStr">
        <is>
          <t>Venda</t>
        </is>
      </c>
      <c r="G1371" s="71" t="n">
        <v>4</v>
      </c>
      <c r="H1371" s="172" t="inlineStr">
        <is>
          <t>Não</t>
        </is>
      </c>
      <c r="I1371" s="47" t="inlineStr">
        <is>
          <t>20004</t>
        </is>
      </c>
    </row>
    <row r="1372">
      <c r="A1372" s="43" t="inlineStr">
        <is>
          <t>009598</t>
        </is>
      </c>
      <c r="B1372" s="44" t="inlineStr">
        <is>
          <t>ESPETO DE CORAÇÃO FRANGO - TURBO</t>
        </is>
      </c>
      <c r="C1372" s="45" t="inlineStr">
        <is>
          <t>MR</t>
        </is>
      </c>
      <c r="D1372" s="45" t="inlineStr">
        <is>
          <t>UN</t>
        </is>
      </c>
      <c r="E1372" s="45" t="inlineStr">
        <is>
          <t>0099</t>
        </is>
      </c>
      <c r="F1372" s="65" t="inlineStr">
        <is>
          <t>Venda</t>
        </is>
      </c>
      <c r="G1372" s="69" t="n">
        <v>0</v>
      </c>
      <c r="H1372" s="172" t="inlineStr">
        <is>
          <t>Não</t>
        </is>
      </c>
      <c r="I1372" s="48" t="inlineStr">
        <is>
          <t>789890568773453</t>
        </is>
      </c>
    </row>
    <row r="1373">
      <c r="A1373" s="40" t="inlineStr">
        <is>
          <t>009599</t>
        </is>
      </c>
      <c r="B1373" s="41" t="inlineStr">
        <is>
          <t>ESPETO DE FRANGO - TURBO</t>
        </is>
      </c>
      <c r="C1373" s="42" t="inlineStr">
        <is>
          <t>MR</t>
        </is>
      </c>
      <c r="D1373" s="42" t="inlineStr">
        <is>
          <t>UN</t>
        </is>
      </c>
      <c r="E1373" s="42" t="inlineStr">
        <is>
          <t>0099</t>
        </is>
      </c>
      <c r="F1373" s="65" t="inlineStr">
        <is>
          <t>Venda</t>
        </is>
      </c>
      <c r="G1373" s="68" t="n">
        <v>0</v>
      </c>
      <c r="H1373" s="172" t="inlineStr">
        <is>
          <t>Não</t>
        </is>
      </c>
      <c r="I1373" s="47" t="inlineStr">
        <is>
          <t>789890568773454</t>
        </is>
      </c>
    </row>
    <row r="1374">
      <c r="A1374" s="43" t="inlineStr">
        <is>
          <t>009954</t>
        </is>
      </c>
      <c r="B1374" s="44" t="inlineStr">
        <is>
          <t>ESPETO DE PROVOLONE DEFUMADO</t>
        </is>
      </c>
      <c r="C1374" s="45" t="inlineStr">
        <is>
          <t>ME</t>
        </is>
      </c>
      <c r="D1374" s="45" t="inlineStr">
        <is>
          <t>KG</t>
        </is>
      </c>
      <c r="E1374" s="45" t="inlineStr">
        <is>
          <t>0032</t>
        </is>
      </c>
      <c r="F1374" s="70" t="inlineStr">
        <is>
          <t>Compras</t>
        </is>
      </c>
      <c r="G1374" s="66" t="n">
        <v>48.5</v>
      </c>
      <c r="H1374" s="172" t="inlineStr">
        <is>
          <t>Não</t>
        </is>
      </c>
      <c r="I1374" s="50" t="n"/>
    </row>
    <row r="1375">
      <c r="A1375" s="40" t="inlineStr">
        <is>
          <t>001253</t>
        </is>
      </c>
      <c r="B1375" s="41" t="inlineStr">
        <is>
          <t>ESPETO DE SALMAO</t>
        </is>
      </c>
      <c r="C1375" s="42" t="inlineStr">
        <is>
          <t>MR</t>
        </is>
      </c>
      <c r="D1375" s="42" t="inlineStr">
        <is>
          <t>UN</t>
        </is>
      </c>
      <c r="E1375" s="42" t="inlineStr">
        <is>
          <t>0109</t>
        </is>
      </c>
      <c r="F1375" s="40" t="n"/>
      <c r="G1375" s="68" t="n">
        <v>0</v>
      </c>
      <c r="H1375" s="173" t="inlineStr">
        <is>
          <t>Sim</t>
        </is>
      </c>
      <c r="I1375" s="49" t="n"/>
    </row>
    <row r="1376">
      <c r="A1376" s="43" t="inlineStr">
        <is>
          <t>000296</t>
        </is>
      </c>
      <c r="B1376" s="44" t="inlineStr">
        <is>
          <t>ESPETO FILE MIGNON</t>
        </is>
      </c>
      <c r="C1376" s="45" t="inlineStr">
        <is>
          <t>ME</t>
        </is>
      </c>
      <c r="D1376" s="45" t="inlineStr">
        <is>
          <t>UN</t>
        </is>
      </c>
      <c r="E1376" s="45" t="inlineStr">
        <is>
          <t>0032</t>
        </is>
      </c>
      <c r="F1376" s="70" t="inlineStr">
        <is>
          <t>Compras</t>
        </is>
      </c>
      <c r="G1376" s="66" t="n">
        <v>8.875299999999999</v>
      </c>
      <c r="H1376" s="172" t="inlineStr">
        <is>
          <t>Não</t>
        </is>
      </c>
      <c r="I1376" s="50" t="n"/>
    </row>
    <row r="1377">
      <c r="A1377" s="40" t="inlineStr">
        <is>
          <t>000291</t>
        </is>
      </c>
      <c r="B1377" s="41" t="inlineStr">
        <is>
          <t>ESPETO FRANGO</t>
        </is>
      </c>
      <c r="C1377" s="42" t="inlineStr">
        <is>
          <t>ME</t>
        </is>
      </c>
      <c r="D1377" s="42" t="inlineStr">
        <is>
          <t>UN</t>
        </is>
      </c>
      <c r="E1377" s="42" t="inlineStr">
        <is>
          <t>0032</t>
        </is>
      </c>
      <c r="F1377" s="70" t="inlineStr">
        <is>
          <t>Compras</t>
        </is>
      </c>
      <c r="G1377" s="71" t="n">
        <v>2.7495</v>
      </c>
      <c r="H1377" s="172" t="inlineStr">
        <is>
          <t>Não</t>
        </is>
      </c>
      <c r="I1377" s="49" t="n"/>
    </row>
    <row r="1378">
      <c r="A1378" s="43" t="inlineStr">
        <is>
          <t>001948</t>
        </is>
      </c>
      <c r="B1378" s="44" t="inlineStr">
        <is>
          <t>ESPETO ICE TEA - DRINK</t>
        </is>
      </c>
      <c r="C1378" s="45" t="inlineStr">
        <is>
          <t>MR</t>
        </is>
      </c>
      <c r="D1378" s="45" t="inlineStr">
        <is>
          <t>UN</t>
        </is>
      </c>
      <c r="E1378" s="45" t="inlineStr">
        <is>
          <t>0119</t>
        </is>
      </c>
      <c r="F1378" s="65" t="inlineStr">
        <is>
          <t>Venda</t>
        </is>
      </c>
      <c r="G1378" s="66" t="n">
        <v>197.4</v>
      </c>
      <c r="H1378" s="172" t="inlineStr">
        <is>
          <t>Não</t>
        </is>
      </c>
      <c r="I1378" s="48" t="inlineStr">
        <is>
          <t>78989056877226</t>
        </is>
      </c>
    </row>
    <row r="1379">
      <c r="A1379" s="40" t="inlineStr">
        <is>
          <t>000293</t>
        </is>
      </c>
      <c r="B1379" s="41" t="inlineStr">
        <is>
          <t>ESPETO KAFTA</t>
        </is>
      </c>
      <c r="C1379" s="42" t="inlineStr">
        <is>
          <t>ME</t>
        </is>
      </c>
      <c r="D1379" s="42" t="inlineStr">
        <is>
          <t>UN</t>
        </is>
      </c>
      <c r="E1379" s="42" t="inlineStr">
        <is>
          <t>0032</t>
        </is>
      </c>
      <c r="F1379" s="70" t="inlineStr">
        <is>
          <t>Compras</t>
        </is>
      </c>
      <c r="G1379" s="71" t="n">
        <v>3.3025</v>
      </c>
      <c r="H1379" s="172" t="inlineStr">
        <is>
          <t>Não</t>
        </is>
      </c>
      <c r="I1379" s="49" t="n"/>
    </row>
    <row r="1380">
      <c r="A1380" s="43" t="inlineStr">
        <is>
          <t>000750</t>
        </is>
      </c>
      <c r="B1380" s="44" t="inlineStr">
        <is>
          <t>ESPETO LINGUICA CUIABANA</t>
        </is>
      </c>
      <c r="C1380" s="45" t="inlineStr">
        <is>
          <t>ME</t>
        </is>
      </c>
      <c r="D1380" s="45" t="inlineStr">
        <is>
          <t>UN</t>
        </is>
      </c>
      <c r="E1380" s="45" t="inlineStr">
        <is>
          <t>0032</t>
        </is>
      </c>
      <c r="F1380" s="70" t="inlineStr">
        <is>
          <t>Compras</t>
        </is>
      </c>
      <c r="G1380" s="66" t="n">
        <v>4.2331</v>
      </c>
      <c r="H1380" s="172" t="inlineStr">
        <is>
          <t>Não</t>
        </is>
      </c>
      <c r="I1380" s="50" t="n"/>
    </row>
    <row r="1381">
      <c r="A1381" s="40" t="inlineStr">
        <is>
          <t>000294</t>
        </is>
      </c>
      <c r="B1381" s="41" t="inlineStr">
        <is>
          <t>ESPETO MEDALHAO DE ALCATRA</t>
        </is>
      </c>
      <c r="C1381" s="42" t="inlineStr">
        <is>
          <t>ME</t>
        </is>
      </c>
      <c r="D1381" s="42" t="inlineStr">
        <is>
          <t>UN</t>
        </is>
      </c>
      <c r="E1381" s="42" t="inlineStr">
        <is>
          <t>0032</t>
        </is>
      </c>
      <c r="F1381" s="70" t="inlineStr">
        <is>
          <t>Compras</t>
        </is>
      </c>
      <c r="G1381" s="71" t="n">
        <v>6.8657</v>
      </c>
      <c r="H1381" s="172" t="inlineStr">
        <is>
          <t>Não</t>
        </is>
      </c>
      <c r="I1381" s="49" t="n"/>
    </row>
    <row r="1382">
      <c r="A1382" s="43" t="inlineStr">
        <is>
          <t>010009</t>
        </is>
      </c>
      <c r="B1382" s="44" t="inlineStr">
        <is>
          <t>ESPETO MEDALHAO DE ALCATRA</t>
        </is>
      </c>
      <c r="C1382" s="45" t="inlineStr">
        <is>
          <t>PA</t>
        </is>
      </c>
      <c r="D1382" s="45" t="inlineStr">
        <is>
          <t>UN</t>
        </is>
      </c>
      <c r="E1382" s="45" t="inlineStr">
        <is>
          <t>0092</t>
        </is>
      </c>
      <c r="F1382" s="65" t="inlineStr">
        <is>
          <t>Venda</t>
        </is>
      </c>
      <c r="G1382" s="69" t="n">
        <v>0</v>
      </c>
      <c r="H1382" s="172" t="inlineStr">
        <is>
          <t>Não</t>
        </is>
      </c>
      <c r="I1382" s="48" t="inlineStr">
        <is>
          <t>789890568772113</t>
        </is>
      </c>
    </row>
    <row r="1383">
      <c r="A1383" s="40" t="inlineStr">
        <is>
          <t>000295</t>
        </is>
      </c>
      <c r="B1383" s="41" t="inlineStr">
        <is>
          <t>ESPETO MEDALHAO DE FRANGO</t>
        </is>
      </c>
      <c r="C1383" s="42" t="inlineStr">
        <is>
          <t>ME</t>
        </is>
      </c>
      <c r="D1383" s="42" t="inlineStr">
        <is>
          <t>UN</t>
        </is>
      </c>
      <c r="E1383" s="42" t="inlineStr">
        <is>
          <t>0032</t>
        </is>
      </c>
      <c r="F1383" s="70" t="inlineStr">
        <is>
          <t>Compras</t>
        </is>
      </c>
      <c r="G1383" s="71" t="n">
        <v>5.5367</v>
      </c>
      <c r="H1383" s="172" t="inlineStr">
        <is>
          <t>Não</t>
        </is>
      </c>
      <c r="I1383" s="49" t="n"/>
    </row>
    <row r="1384">
      <c r="A1384" s="43" t="inlineStr">
        <is>
          <t>010010</t>
        </is>
      </c>
      <c r="B1384" s="44" t="inlineStr">
        <is>
          <t>ESPETO MEDALHAO DE FRANGO</t>
        </is>
      </c>
      <c r="C1384" s="45" t="inlineStr">
        <is>
          <t>PA</t>
        </is>
      </c>
      <c r="D1384" s="45" t="inlineStr">
        <is>
          <t>UN</t>
        </is>
      </c>
      <c r="E1384" s="45" t="inlineStr">
        <is>
          <t>0092</t>
        </is>
      </c>
      <c r="F1384" s="65" t="inlineStr">
        <is>
          <t>Venda</t>
        </is>
      </c>
      <c r="G1384" s="69" t="n">
        <v>0</v>
      </c>
      <c r="H1384" s="172" t="inlineStr">
        <is>
          <t>Não</t>
        </is>
      </c>
      <c r="I1384" s="48" t="inlineStr">
        <is>
          <t>789890568772114</t>
        </is>
      </c>
    </row>
    <row r="1385">
      <c r="A1385" s="40" t="inlineStr">
        <is>
          <t>009953</t>
        </is>
      </c>
      <c r="B1385" s="41" t="inlineStr">
        <is>
          <t>ESPETO MEDALHAO DE MANDIOCA</t>
        </is>
      </c>
      <c r="C1385" s="42" t="inlineStr">
        <is>
          <t>ME</t>
        </is>
      </c>
      <c r="D1385" s="42" t="inlineStr">
        <is>
          <t>UN</t>
        </is>
      </c>
      <c r="E1385" s="42" t="inlineStr">
        <is>
          <t>0032</t>
        </is>
      </c>
      <c r="F1385" s="70" t="inlineStr">
        <is>
          <t>Compras</t>
        </is>
      </c>
      <c r="G1385" s="71" t="n">
        <v>3.664</v>
      </c>
      <c r="H1385" s="172" t="inlineStr">
        <is>
          <t>Não</t>
        </is>
      </c>
      <c r="I1385" s="49" t="n"/>
    </row>
    <row r="1386">
      <c r="A1386" s="43" t="inlineStr">
        <is>
          <t>010007</t>
        </is>
      </c>
      <c r="B1386" s="44" t="inlineStr">
        <is>
          <t>ESPETO MEDALHAO DE MANDIOCA</t>
        </is>
      </c>
      <c r="C1386" s="45" t="inlineStr">
        <is>
          <t>PA</t>
        </is>
      </c>
      <c r="D1386" s="45" t="inlineStr">
        <is>
          <t>UN</t>
        </is>
      </c>
      <c r="E1386" s="45" t="inlineStr">
        <is>
          <t>0092</t>
        </is>
      </c>
      <c r="F1386" s="65" t="inlineStr">
        <is>
          <t>Venda</t>
        </is>
      </c>
      <c r="G1386" s="69" t="n">
        <v>0</v>
      </c>
      <c r="H1386" s="172" t="inlineStr">
        <is>
          <t>Não</t>
        </is>
      </c>
      <c r="I1386" s="48" t="inlineStr">
        <is>
          <t>789890568772111</t>
        </is>
      </c>
    </row>
    <row r="1387">
      <c r="A1387" s="40" t="inlineStr">
        <is>
          <t>001248</t>
        </is>
      </c>
      <c r="B1387" s="41" t="inlineStr">
        <is>
          <t>ESPETO MEDALHAO DE PROVOLONE</t>
        </is>
      </c>
      <c r="C1387" s="42" t="inlineStr">
        <is>
          <t>MR</t>
        </is>
      </c>
      <c r="D1387" s="42" t="inlineStr">
        <is>
          <t>UN</t>
        </is>
      </c>
      <c r="E1387" s="42" t="inlineStr">
        <is>
          <t>0102</t>
        </is>
      </c>
      <c r="F1387" s="40" t="n"/>
      <c r="G1387" s="68" t="n">
        <v>0</v>
      </c>
      <c r="H1387" s="173" t="inlineStr">
        <is>
          <t>Sim</t>
        </is>
      </c>
      <c r="I1387" s="49" t="n"/>
    </row>
    <row r="1388">
      <c r="A1388" s="43" t="inlineStr">
        <is>
          <t>001252</t>
        </is>
      </c>
      <c r="B1388" s="44" t="inlineStr">
        <is>
          <t>ESPETO MEDALHAO DE PROVOLONE</t>
        </is>
      </c>
      <c r="C1388" s="45" t="inlineStr">
        <is>
          <t>MR</t>
        </is>
      </c>
      <c r="D1388" s="45" t="inlineStr">
        <is>
          <t>UN</t>
        </is>
      </c>
      <c r="E1388" s="45" t="inlineStr">
        <is>
          <t>0041</t>
        </is>
      </c>
      <c r="F1388" s="43" t="n"/>
      <c r="G1388" s="69" t="n">
        <v>0</v>
      </c>
      <c r="H1388" s="173" t="inlineStr">
        <is>
          <t>Sim</t>
        </is>
      </c>
      <c r="I1388" s="50" t="n"/>
    </row>
    <row r="1389">
      <c r="A1389" s="40" t="inlineStr">
        <is>
          <t>000707</t>
        </is>
      </c>
      <c r="B1389" s="41" t="inlineStr">
        <is>
          <t>ESPETO MUSSARELA DEFUMADA</t>
        </is>
      </c>
      <c r="C1389" s="42" t="inlineStr">
        <is>
          <t>MR</t>
        </is>
      </c>
      <c r="D1389" s="42" t="inlineStr">
        <is>
          <t>UN</t>
        </is>
      </c>
      <c r="E1389" s="42" t="inlineStr">
        <is>
          <t>0041</t>
        </is>
      </c>
      <c r="F1389" s="70" t="inlineStr">
        <is>
          <t>Compras</t>
        </is>
      </c>
      <c r="G1389" s="68" t="n">
        <v>0</v>
      </c>
      <c r="H1389" s="173" t="inlineStr">
        <is>
          <t>Sim</t>
        </is>
      </c>
      <c r="I1389" s="49" t="n"/>
    </row>
    <row r="1390">
      <c r="A1390" s="43" t="inlineStr">
        <is>
          <t>000751</t>
        </is>
      </c>
      <c r="B1390" s="44" t="inlineStr">
        <is>
          <t>ESPETO PANCETA</t>
        </is>
      </c>
      <c r="C1390" s="45" t="inlineStr">
        <is>
          <t>ME</t>
        </is>
      </c>
      <c r="D1390" s="45" t="inlineStr">
        <is>
          <t>UN</t>
        </is>
      </c>
      <c r="E1390" s="45" t="inlineStr">
        <is>
          <t>0032</t>
        </is>
      </c>
      <c r="F1390" s="70" t="inlineStr">
        <is>
          <t>Compras</t>
        </is>
      </c>
      <c r="G1390" s="66" t="n">
        <v>3.6739</v>
      </c>
      <c r="H1390" s="172" t="inlineStr">
        <is>
          <t>Não</t>
        </is>
      </c>
      <c r="I1390" s="50" t="n"/>
    </row>
    <row r="1391">
      <c r="A1391" s="40" t="inlineStr">
        <is>
          <t>000300</t>
        </is>
      </c>
      <c r="B1391" s="41" t="inlineStr">
        <is>
          <t>ESPETO PAO DE ALHO C/ MUSSAREL</t>
        </is>
      </c>
      <c r="C1391" s="42" t="inlineStr">
        <is>
          <t>ME</t>
        </is>
      </c>
      <c r="D1391" s="42" t="inlineStr">
        <is>
          <t>UN</t>
        </is>
      </c>
      <c r="E1391" s="42" t="inlineStr">
        <is>
          <t>0032</t>
        </is>
      </c>
      <c r="F1391" s="70" t="inlineStr">
        <is>
          <t>Compras</t>
        </is>
      </c>
      <c r="G1391" s="71" t="n">
        <v>1.694</v>
      </c>
      <c r="H1391" s="172" t="inlineStr">
        <is>
          <t>Não</t>
        </is>
      </c>
      <c r="I1391" s="49" t="n"/>
    </row>
    <row r="1392">
      <c r="A1392" s="43" t="inlineStr">
        <is>
          <t>000297</t>
        </is>
      </c>
      <c r="B1392" s="44" t="inlineStr">
        <is>
          <t>ESPETO PICANHA C/ GORDURA</t>
        </is>
      </c>
      <c r="C1392" s="45" t="inlineStr">
        <is>
          <t>ME</t>
        </is>
      </c>
      <c r="D1392" s="45" t="inlineStr">
        <is>
          <t>UN</t>
        </is>
      </c>
      <c r="E1392" s="45" t="inlineStr">
        <is>
          <t>0032</t>
        </is>
      </c>
      <c r="F1392" s="70" t="inlineStr">
        <is>
          <t>Compras</t>
        </is>
      </c>
      <c r="G1392" s="66" t="n">
        <v>8.875299999999999</v>
      </c>
      <c r="H1392" s="172" t="inlineStr">
        <is>
          <t>Não</t>
        </is>
      </c>
      <c r="I1392" s="50" t="n"/>
    </row>
    <row r="1393">
      <c r="A1393" s="40" t="inlineStr">
        <is>
          <t>010008</t>
        </is>
      </c>
      <c r="B1393" s="41" t="inlineStr">
        <is>
          <t>ESPETO PROVOLONE DEFUMADO</t>
        </is>
      </c>
      <c r="C1393" s="42" t="inlineStr">
        <is>
          <t>PA</t>
        </is>
      </c>
      <c r="D1393" s="42" t="inlineStr">
        <is>
          <t>UN</t>
        </is>
      </c>
      <c r="E1393" s="42" t="inlineStr">
        <is>
          <t>0092</t>
        </is>
      </c>
      <c r="F1393" s="65" t="inlineStr">
        <is>
          <t>Venda</t>
        </is>
      </c>
      <c r="G1393" s="68" t="n">
        <v>0</v>
      </c>
      <c r="H1393" s="172" t="inlineStr">
        <is>
          <t>Não</t>
        </is>
      </c>
      <c r="I1393" s="47" t="inlineStr">
        <is>
          <t>789890568772112</t>
        </is>
      </c>
    </row>
    <row r="1394">
      <c r="A1394" s="43" t="inlineStr">
        <is>
          <t>000439</t>
        </is>
      </c>
      <c r="B1394" s="44" t="inlineStr">
        <is>
          <t>ESPETO QUEIJO COALHO</t>
        </is>
      </c>
      <c r="C1394" s="45" t="inlineStr">
        <is>
          <t>ME</t>
        </is>
      </c>
      <c r="D1394" s="45" t="inlineStr">
        <is>
          <t>KG</t>
        </is>
      </c>
      <c r="E1394" s="45" t="inlineStr">
        <is>
          <t>0032</t>
        </is>
      </c>
      <c r="F1394" s="70" t="inlineStr">
        <is>
          <t>Compras</t>
        </is>
      </c>
      <c r="G1394" s="66" t="n">
        <v>44.5</v>
      </c>
      <c r="H1394" s="172" t="inlineStr">
        <is>
          <t>Não</t>
        </is>
      </c>
      <c r="I1394" s="50" t="n"/>
    </row>
    <row r="1395">
      <c r="A1395" s="40" t="inlineStr">
        <is>
          <t>001249</t>
        </is>
      </c>
      <c r="B1395" s="41" t="inlineStr">
        <is>
          <t>ESPETO SALMAO</t>
        </is>
      </c>
      <c r="C1395" s="42" t="inlineStr">
        <is>
          <t>MR</t>
        </is>
      </c>
      <c r="D1395" s="42" t="inlineStr">
        <is>
          <t>UN</t>
        </is>
      </c>
      <c r="E1395" s="42" t="inlineStr">
        <is>
          <t>0050</t>
        </is>
      </c>
      <c r="F1395" s="40" t="n"/>
      <c r="G1395" s="68" t="n">
        <v>0</v>
      </c>
      <c r="H1395" s="173" t="inlineStr">
        <is>
          <t>Sim</t>
        </is>
      </c>
      <c r="I1395" s="49" t="n"/>
    </row>
    <row r="1396">
      <c r="A1396" s="43" t="inlineStr">
        <is>
          <t>000298</t>
        </is>
      </c>
      <c r="B1396" s="44" t="inlineStr">
        <is>
          <t>ESPETO SALSICHAO</t>
        </is>
      </c>
      <c r="C1396" s="45" t="inlineStr">
        <is>
          <t>ME</t>
        </is>
      </c>
      <c r="D1396" s="45" t="inlineStr">
        <is>
          <t>UN</t>
        </is>
      </c>
      <c r="E1396" s="45" t="inlineStr">
        <is>
          <t>0032</t>
        </is>
      </c>
      <c r="F1396" s="70" t="inlineStr">
        <is>
          <t>Compras</t>
        </is>
      </c>
      <c r="G1396" s="66" t="n">
        <v>2.705</v>
      </c>
      <c r="H1396" s="172" t="inlineStr">
        <is>
          <t>Não</t>
        </is>
      </c>
      <c r="I1396" s="50" t="n"/>
    </row>
    <row r="1397">
      <c r="A1397" s="40" t="inlineStr">
        <is>
          <t>000301</t>
        </is>
      </c>
      <c r="B1397" s="41" t="inlineStr">
        <is>
          <t>ESPETO SALSICHAO C/  PROVOLONE</t>
        </is>
      </c>
      <c r="C1397" s="42" t="inlineStr">
        <is>
          <t>ME</t>
        </is>
      </c>
      <c r="D1397" s="42" t="inlineStr">
        <is>
          <t>UN</t>
        </is>
      </c>
      <c r="E1397" s="42" t="inlineStr">
        <is>
          <t>0032</t>
        </is>
      </c>
      <c r="F1397" s="70" t="inlineStr">
        <is>
          <t>Compras</t>
        </is>
      </c>
      <c r="G1397" s="71" t="n">
        <v>3.84</v>
      </c>
      <c r="H1397" s="172" t="inlineStr">
        <is>
          <t>Não</t>
        </is>
      </c>
      <c r="I1397" s="49" t="n"/>
    </row>
    <row r="1398">
      <c r="A1398" s="43" t="inlineStr">
        <is>
          <t>000292</t>
        </is>
      </c>
      <c r="B1398" s="44" t="inlineStr">
        <is>
          <t>ESPETO TULIPA</t>
        </is>
      </c>
      <c r="C1398" s="45" t="inlineStr">
        <is>
          <t>ME</t>
        </is>
      </c>
      <c r="D1398" s="45" t="inlineStr">
        <is>
          <t>UN</t>
        </is>
      </c>
      <c r="E1398" s="45" t="inlineStr">
        <is>
          <t>0032</t>
        </is>
      </c>
      <c r="F1398" s="70" t="inlineStr">
        <is>
          <t>Compras</t>
        </is>
      </c>
      <c r="G1398" s="66" t="n">
        <v>4.0214</v>
      </c>
      <c r="H1398" s="172" t="inlineStr">
        <is>
          <t>Não</t>
        </is>
      </c>
      <c r="I1398" s="50" t="n"/>
    </row>
    <row r="1399">
      <c r="A1399" s="40" t="inlineStr">
        <is>
          <t>000350</t>
        </is>
      </c>
      <c r="B1399" s="41" t="inlineStr">
        <is>
          <t>ESPIRITO DE MINAS</t>
        </is>
      </c>
      <c r="C1399" s="42" t="inlineStr">
        <is>
          <t>MR</t>
        </is>
      </c>
      <c r="D1399" s="42" t="inlineStr">
        <is>
          <t>LT</t>
        </is>
      </c>
      <c r="E1399" s="42" t="inlineStr">
        <is>
          <t>0090</t>
        </is>
      </c>
      <c r="F1399" s="65" t="inlineStr">
        <is>
          <t>Venda</t>
        </is>
      </c>
      <c r="G1399" s="68" t="n">
        <v>0</v>
      </c>
      <c r="H1399" s="173" t="inlineStr">
        <is>
          <t>Sim</t>
        </is>
      </c>
      <c r="I1399" s="49" t="n"/>
    </row>
    <row r="1400">
      <c r="A1400" s="43" t="inlineStr">
        <is>
          <t>000085</t>
        </is>
      </c>
      <c r="B1400" s="44" t="inlineStr">
        <is>
          <t>ESPONJA DUPLA FACE AMARELO E VERDE</t>
        </is>
      </c>
      <c r="C1400" s="45" t="inlineStr">
        <is>
          <t>MC</t>
        </is>
      </c>
      <c r="D1400" s="45" t="inlineStr">
        <is>
          <t>UN</t>
        </is>
      </c>
      <c r="E1400" s="45" t="inlineStr">
        <is>
          <t>0075</t>
        </is>
      </c>
      <c r="F1400" s="70" t="inlineStr">
        <is>
          <t>Compras</t>
        </is>
      </c>
      <c r="G1400" s="66" t="n">
        <v>0.79</v>
      </c>
      <c r="H1400" s="172" t="inlineStr">
        <is>
          <t>Não</t>
        </is>
      </c>
      <c r="I1400" s="50" t="n"/>
    </row>
    <row r="1401">
      <c r="A1401" s="40" t="inlineStr">
        <is>
          <t>000086</t>
        </is>
      </c>
      <c r="B1401" s="41" t="inlineStr">
        <is>
          <t>ESPONJA FIBRACO LIMPEZA PESADA</t>
        </is>
      </c>
      <c r="C1401" s="42" t="inlineStr">
        <is>
          <t>MC</t>
        </is>
      </c>
      <c r="D1401" s="42" t="inlineStr">
        <is>
          <t>UN</t>
        </is>
      </c>
      <c r="E1401" s="42" t="inlineStr">
        <is>
          <t>0075</t>
        </is>
      </c>
      <c r="F1401" s="70" t="inlineStr">
        <is>
          <t>Compras</t>
        </is>
      </c>
      <c r="G1401" s="71" t="n">
        <v>9.4</v>
      </c>
      <c r="H1401" s="172" t="inlineStr">
        <is>
          <t>Não</t>
        </is>
      </c>
      <c r="I1401" s="49" t="n"/>
    </row>
    <row r="1402">
      <c r="A1402" s="43" t="inlineStr">
        <is>
          <t>000544</t>
        </is>
      </c>
      <c r="B1402" s="44" t="inlineStr">
        <is>
          <t>ESPREMEDOR DE LIMAO 16 CM</t>
        </is>
      </c>
      <c r="C1402" s="45" t="inlineStr">
        <is>
          <t>MC</t>
        </is>
      </c>
      <c r="D1402" s="45" t="inlineStr">
        <is>
          <t>UN</t>
        </is>
      </c>
      <c r="E1402" s="45" t="inlineStr">
        <is>
          <t>0079</t>
        </is>
      </c>
      <c r="F1402" s="70" t="inlineStr">
        <is>
          <t>Compras</t>
        </is>
      </c>
      <c r="G1402" s="66" t="n">
        <v>14.8</v>
      </c>
      <c r="H1402" s="172" t="inlineStr">
        <is>
          <t>Não</t>
        </is>
      </c>
      <c r="I1402" s="50" t="n"/>
    </row>
    <row r="1403">
      <c r="A1403" s="40" t="inlineStr">
        <is>
          <t>000446</t>
        </is>
      </c>
      <c r="B1403" s="41" t="inlineStr">
        <is>
          <t>ESPRESSO DECAFEINA TO IN</t>
        </is>
      </c>
      <c r="C1403" s="42" t="inlineStr">
        <is>
          <t>MR</t>
        </is>
      </c>
      <c r="D1403" s="42" t="inlineStr">
        <is>
          <t>UN</t>
        </is>
      </c>
      <c r="E1403" s="42" t="inlineStr">
        <is>
          <t>0024</t>
        </is>
      </c>
      <c r="F1403" s="70" t="inlineStr">
        <is>
          <t>Compras</t>
        </is>
      </c>
      <c r="G1403" s="68" t="n">
        <v>0</v>
      </c>
      <c r="H1403" s="173" t="inlineStr">
        <is>
          <t>Sim</t>
        </is>
      </c>
      <c r="I1403" s="49" t="n"/>
    </row>
    <row r="1404">
      <c r="A1404" s="43" t="inlineStr">
        <is>
          <t>000328</t>
        </is>
      </c>
      <c r="B1404" s="44" t="inlineStr">
        <is>
          <t>ESPRESSO DESCAFE</t>
        </is>
      </c>
      <c r="C1404" s="45" t="inlineStr">
        <is>
          <t>MR</t>
        </is>
      </c>
      <c r="D1404" s="45" t="inlineStr">
        <is>
          <t>UN</t>
        </is>
      </c>
      <c r="E1404" s="45" t="inlineStr">
        <is>
          <t>0091</t>
        </is>
      </c>
      <c r="F1404" s="65" t="inlineStr">
        <is>
          <t>Venda</t>
        </is>
      </c>
      <c r="G1404" s="69" t="n">
        <v>0</v>
      </c>
      <c r="H1404" s="177" t="inlineStr">
        <is>
          <t>Sim</t>
        </is>
      </c>
      <c r="I1404" s="178" t="n"/>
    </row>
    <row r="1405">
      <c r="A1405" s="40" t="inlineStr">
        <is>
          <t>000312</t>
        </is>
      </c>
      <c r="B1405" s="41" t="inlineStr">
        <is>
          <t>ESPRESSO LEGGERO</t>
        </is>
      </c>
      <c r="C1405" s="42" t="inlineStr">
        <is>
          <t>MR</t>
        </is>
      </c>
      <c r="D1405" s="42" t="inlineStr">
        <is>
          <t>UN</t>
        </is>
      </c>
      <c r="E1405" s="42" t="inlineStr">
        <is>
          <t>0091</t>
        </is>
      </c>
      <c r="F1405" s="65" t="inlineStr">
        <is>
          <t>Venda</t>
        </is>
      </c>
      <c r="G1405" s="68" t="n">
        <v>0</v>
      </c>
      <c r="H1405" s="177" t="inlineStr">
        <is>
          <t>Sim</t>
        </is>
      </c>
      <c r="I1405" s="178" t="n"/>
    </row>
    <row r="1406">
      <c r="A1406" s="43" t="inlineStr">
        <is>
          <t>000448</t>
        </is>
      </c>
      <c r="B1406" s="44" t="inlineStr">
        <is>
          <t>ESPRESSO LEGGERO IN</t>
        </is>
      </c>
      <c r="C1406" s="45" t="inlineStr">
        <is>
          <t>MR</t>
        </is>
      </c>
      <c r="D1406" s="45" t="inlineStr">
        <is>
          <t>UN</t>
        </is>
      </c>
      <c r="E1406" s="45" t="inlineStr">
        <is>
          <t>0024</t>
        </is>
      </c>
      <c r="F1406" s="70" t="inlineStr">
        <is>
          <t>Compras</t>
        </is>
      </c>
      <c r="G1406" s="69" t="n">
        <v>0</v>
      </c>
      <c r="H1406" s="173" t="inlineStr">
        <is>
          <t>Sim</t>
        </is>
      </c>
      <c r="I1406" s="50" t="n"/>
    </row>
    <row r="1407">
      <c r="A1407" s="40" t="inlineStr">
        <is>
          <t>000762</t>
        </is>
      </c>
      <c r="B1407" s="41" t="inlineStr">
        <is>
          <t>ESPUMA DE GENGIBRE EM SPRAY 260G</t>
        </is>
      </c>
      <c r="C1407" s="42" t="inlineStr">
        <is>
          <t>MP</t>
        </is>
      </c>
      <c r="D1407" s="42" t="inlineStr">
        <is>
          <t>KG</t>
        </is>
      </c>
      <c r="E1407" s="42" t="inlineStr">
        <is>
          <t>0029</t>
        </is>
      </c>
      <c r="F1407" s="70" t="inlineStr">
        <is>
          <t>Compras</t>
        </is>
      </c>
      <c r="G1407" s="71" t="n">
        <v>103.5769</v>
      </c>
      <c r="H1407" s="172" t="inlineStr">
        <is>
          <t>Não</t>
        </is>
      </c>
      <c r="I1407" s="49" t="n"/>
    </row>
    <row r="1408">
      <c r="A1408" s="43" t="inlineStr">
        <is>
          <t>010162</t>
        </is>
      </c>
      <c r="B1408" s="44" t="inlineStr">
        <is>
          <t>ESPUMA EXPANSIVA</t>
        </is>
      </c>
      <c r="C1408" s="45" t="inlineStr">
        <is>
          <t>MC</t>
        </is>
      </c>
      <c r="D1408" s="45" t="inlineStr">
        <is>
          <t>UN</t>
        </is>
      </c>
      <c r="E1408" s="45" t="inlineStr">
        <is>
          <t>0132</t>
        </is>
      </c>
      <c r="F1408" s="70" t="inlineStr">
        <is>
          <t>Compras</t>
        </is>
      </c>
      <c r="G1408" s="66" t="n">
        <v>24.9</v>
      </c>
      <c r="H1408" s="172" t="inlineStr">
        <is>
          <t>Não</t>
        </is>
      </c>
      <c r="I1408" s="50" t="n"/>
    </row>
    <row r="1409">
      <c r="A1409" s="40" t="inlineStr">
        <is>
          <t>009537</t>
        </is>
      </c>
      <c r="B1409" s="41" t="inlineStr">
        <is>
          <t>ESPUMANTE BRASILEIRO VIVA LA VIDA BRUT 750ML</t>
        </is>
      </c>
      <c r="C1409" s="42" t="inlineStr">
        <is>
          <t>ME</t>
        </is>
      </c>
      <c r="D1409" s="42" t="inlineStr">
        <is>
          <t>UN</t>
        </is>
      </c>
      <c r="E1409" s="42" t="inlineStr">
        <is>
          <t>0054</t>
        </is>
      </c>
      <c r="F1409" s="70" t="inlineStr">
        <is>
          <t>Compras</t>
        </is>
      </c>
      <c r="G1409" s="68" t="n">
        <v>0</v>
      </c>
      <c r="H1409" s="172" t="inlineStr">
        <is>
          <t>Não</t>
        </is>
      </c>
      <c r="I1409" s="49" t="n"/>
    </row>
    <row r="1410">
      <c r="A1410" s="43" t="inlineStr">
        <is>
          <t>010032</t>
        </is>
      </c>
      <c r="B1410" s="44" t="inlineStr">
        <is>
          <t>ESPUMANTE BRASILEIRO VIVA LA VIDA BRUT 750ML</t>
        </is>
      </c>
      <c r="C1410" s="45" t="inlineStr">
        <is>
          <t>MR</t>
        </is>
      </c>
      <c r="D1410" s="45" t="inlineStr">
        <is>
          <t>UN</t>
        </is>
      </c>
      <c r="E1410" s="45" t="inlineStr">
        <is>
          <t>0116</t>
        </is>
      </c>
      <c r="F1410" s="65" t="inlineStr">
        <is>
          <t>Venda</t>
        </is>
      </c>
      <c r="G1410" s="69" t="n">
        <v>0</v>
      </c>
      <c r="H1410" s="172" t="inlineStr">
        <is>
          <t>Não</t>
        </is>
      </c>
      <c r="I1410" s="48" t="inlineStr">
        <is>
          <t>789890568772135</t>
        </is>
      </c>
    </row>
    <row r="1411">
      <c r="A1411" s="40" t="inlineStr">
        <is>
          <t>001138</t>
        </is>
      </c>
      <c r="B1411" s="41" t="inlineStr">
        <is>
          <t>ESPUMANTE CHANDON BRUT 750 ML</t>
        </is>
      </c>
      <c r="C1411" s="42" t="inlineStr">
        <is>
          <t>ME</t>
        </is>
      </c>
      <c r="D1411" s="42" t="inlineStr">
        <is>
          <t>UN</t>
        </is>
      </c>
      <c r="E1411" s="42" t="inlineStr">
        <is>
          <t>0054</t>
        </is>
      </c>
      <c r="F1411" s="70" t="inlineStr">
        <is>
          <t>Compras</t>
        </is>
      </c>
      <c r="G1411" s="71" t="n">
        <v>72.63</v>
      </c>
      <c r="H1411" s="172" t="inlineStr">
        <is>
          <t>Não</t>
        </is>
      </c>
      <c r="I1411" s="49" t="n"/>
    </row>
    <row r="1412">
      <c r="A1412" s="43" t="inlineStr">
        <is>
          <t>001139</t>
        </is>
      </c>
      <c r="B1412" s="44" t="inlineStr">
        <is>
          <t>ESPUMANTE CHANDON ROSE 750 ML</t>
        </is>
      </c>
      <c r="C1412" s="45" t="inlineStr">
        <is>
          <t>ME</t>
        </is>
      </c>
      <c r="D1412" s="45" t="inlineStr">
        <is>
          <t>UN</t>
        </is>
      </c>
      <c r="E1412" s="45" t="inlineStr">
        <is>
          <t>0054</t>
        </is>
      </c>
      <c r="F1412" s="70" t="inlineStr">
        <is>
          <t>Compras</t>
        </is>
      </c>
      <c r="G1412" s="66" t="n">
        <v>82.01000000000001</v>
      </c>
      <c r="H1412" s="172" t="inlineStr">
        <is>
          <t>Não</t>
        </is>
      </c>
      <c r="I1412" s="50" t="n"/>
    </row>
    <row r="1413">
      <c r="A1413" s="40" t="inlineStr">
        <is>
          <t>001570</t>
        </is>
      </c>
      <c r="B1413" s="41" t="inlineStr">
        <is>
          <t>ESPUMANTE CHANDON ROSE 750ML</t>
        </is>
      </c>
      <c r="C1413" s="42" t="inlineStr">
        <is>
          <t>ME</t>
        </is>
      </c>
      <c r="D1413" s="42" t="inlineStr">
        <is>
          <t>UN</t>
        </is>
      </c>
      <c r="E1413" s="42" t="inlineStr">
        <is>
          <t>0034</t>
        </is>
      </c>
      <c r="F1413" s="70" t="inlineStr">
        <is>
          <t>Compras</t>
        </is>
      </c>
      <c r="G1413" s="68" t="n">
        <v>0</v>
      </c>
      <c r="H1413" s="173" t="inlineStr">
        <is>
          <t>Sim</t>
        </is>
      </c>
      <c r="I1413" s="49" t="n"/>
    </row>
    <row r="1414">
      <c r="A1414" s="43" t="inlineStr">
        <is>
          <t>002061</t>
        </is>
      </c>
      <c r="B1414" s="44" t="inlineStr">
        <is>
          <t>ESPUMANTE ESPANHOL FARFALLA 750ML</t>
        </is>
      </c>
      <c r="C1414" s="45" t="inlineStr">
        <is>
          <t>ME</t>
        </is>
      </c>
      <c r="D1414" s="45" t="inlineStr">
        <is>
          <t>LT</t>
        </is>
      </c>
      <c r="E1414" s="45" t="inlineStr">
        <is>
          <t>0054</t>
        </is>
      </c>
      <c r="F1414" s="70" t="inlineStr">
        <is>
          <t>Compras</t>
        </is>
      </c>
      <c r="G1414" s="66" t="n">
        <v>33.1333</v>
      </c>
      <c r="H1414" s="172" t="inlineStr">
        <is>
          <t>Não</t>
        </is>
      </c>
      <c r="I1414" s="50" t="n"/>
    </row>
    <row r="1415">
      <c r="A1415" s="40" t="inlineStr">
        <is>
          <t>0001222</t>
        </is>
      </c>
      <c r="B1415" s="41" t="inlineStr">
        <is>
          <t>ESPUMANTE SALTON BRUT 750ML</t>
        </is>
      </c>
      <c r="C1415" s="42" t="inlineStr">
        <is>
          <t>ME</t>
        </is>
      </c>
      <c r="D1415" s="42" t="inlineStr">
        <is>
          <t>LT</t>
        </is>
      </c>
      <c r="E1415" s="42" t="inlineStr">
        <is>
          <t>0054</t>
        </is>
      </c>
      <c r="F1415" s="70" t="inlineStr">
        <is>
          <t>Compras</t>
        </is>
      </c>
      <c r="G1415" s="71" t="n">
        <v>37.9333</v>
      </c>
      <c r="H1415" s="172" t="inlineStr">
        <is>
          <t>Não</t>
        </is>
      </c>
      <c r="I1415" s="49" t="n"/>
    </row>
    <row r="1416">
      <c r="A1416" s="43" t="inlineStr">
        <is>
          <t>009921</t>
        </is>
      </c>
      <c r="B1416" s="44" t="inlineStr">
        <is>
          <t>ESTILETE</t>
        </is>
      </c>
      <c r="C1416" s="45" t="inlineStr">
        <is>
          <t>MC</t>
        </is>
      </c>
      <c r="D1416" s="45" t="inlineStr">
        <is>
          <t>UN</t>
        </is>
      </c>
      <c r="E1416" s="45" t="inlineStr">
        <is>
          <t>0132</t>
        </is>
      </c>
      <c r="F1416" s="70" t="inlineStr">
        <is>
          <t>Compras</t>
        </is>
      </c>
      <c r="G1416" s="66" t="n">
        <v>19.5</v>
      </c>
      <c r="H1416" s="172" t="inlineStr">
        <is>
          <t>Não</t>
        </is>
      </c>
      <c r="I1416" s="50" t="n"/>
    </row>
    <row r="1417">
      <c r="A1417" s="40" t="inlineStr">
        <is>
          <t>010265</t>
        </is>
      </c>
      <c r="B1417" s="41" t="inlineStr">
        <is>
          <t>ESTOPA PLUMA PARA LIMPEZA E MOVIMENTO</t>
        </is>
      </c>
      <c r="C1417" s="42" t="inlineStr">
        <is>
          <t>MC</t>
        </is>
      </c>
      <c r="D1417" s="42" t="inlineStr">
        <is>
          <t>UN</t>
        </is>
      </c>
      <c r="E1417" s="42" t="inlineStr">
        <is>
          <t>0132</t>
        </is>
      </c>
      <c r="F1417" s="70" t="inlineStr">
        <is>
          <t>Compras</t>
        </is>
      </c>
      <c r="G1417" s="71" t="n">
        <v>10</v>
      </c>
      <c r="H1417" s="172" t="inlineStr">
        <is>
          <t>Não</t>
        </is>
      </c>
      <c r="I1417" s="49" t="n"/>
    </row>
    <row r="1418">
      <c r="A1418" s="43" t="inlineStr">
        <is>
          <t>002231</t>
        </is>
      </c>
      <c r="B1418" s="44" t="inlineStr">
        <is>
          <t>ESTRADO PLASTICO 50X50 BRANCO</t>
        </is>
      </c>
      <c r="C1418" s="45" t="inlineStr">
        <is>
          <t>MC</t>
        </is>
      </c>
      <c r="D1418" s="45" t="inlineStr">
        <is>
          <t>UN</t>
        </is>
      </c>
      <c r="E1418" s="45" t="inlineStr">
        <is>
          <t>0079</t>
        </is>
      </c>
      <c r="F1418" s="70" t="inlineStr">
        <is>
          <t>Compras</t>
        </is>
      </c>
      <c r="G1418" s="69" t="n">
        <v>0</v>
      </c>
      <c r="H1418" s="172" t="inlineStr">
        <is>
          <t>Não</t>
        </is>
      </c>
      <c r="I1418" s="50" t="n"/>
    </row>
    <row r="1419">
      <c r="A1419" s="40" t="inlineStr">
        <is>
          <t>000678</t>
        </is>
      </c>
      <c r="B1419" s="41" t="inlineStr">
        <is>
          <t>ESTRADOS (PALLETS)</t>
        </is>
      </c>
      <c r="C1419" s="42" t="inlineStr">
        <is>
          <t>MC</t>
        </is>
      </c>
      <c r="D1419" s="42" t="inlineStr">
        <is>
          <t>UN</t>
        </is>
      </c>
      <c r="E1419" s="42" t="inlineStr">
        <is>
          <t>0079</t>
        </is>
      </c>
      <c r="F1419" s="70" t="inlineStr">
        <is>
          <t>Compras</t>
        </is>
      </c>
      <c r="G1419" s="71" t="n">
        <v>44.6</v>
      </c>
      <c r="H1419" s="172" t="inlineStr">
        <is>
          <t>Não</t>
        </is>
      </c>
      <c r="I1419" s="49" t="n"/>
    </row>
    <row r="1420">
      <c r="A1420" s="43" t="inlineStr">
        <is>
          <t>000267</t>
        </is>
      </c>
      <c r="B1420" s="44" t="inlineStr">
        <is>
          <t>ETIQUETA IDENTIFICACAO</t>
        </is>
      </c>
      <c r="C1420" s="45" t="inlineStr">
        <is>
          <t>MC</t>
        </is>
      </c>
      <c r="D1420" s="45" t="inlineStr">
        <is>
          <t>UN</t>
        </is>
      </c>
      <c r="E1420" s="45" t="inlineStr">
        <is>
          <t>0001</t>
        </is>
      </c>
      <c r="F1420" s="70" t="inlineStr">
        <is>
          <t>Compras</t>
        </is>
      </c>
      <c r="G1420" s="66" t="n">
        <v>30</v>
      </c>
      <c r="H1420" s="172" t="inlineStr">
        <is>
          <t>Não</t>
        </is>
      </c>
      <c r="I1420" s="50" t="n"/>
    </row>
    <row r="1421">
      <c r="A1421" s="40" t="inlineStr">
        <is>
          <t>009490</t>
        </is>
      </c>
      <c r="B1421" s="41" t="inlineStr">
        <is>
          <t>ETIQUETA IDENTIFICACAO BOPP 75X35</t>
        </is>
      </c>
      <c r="C1421" s="42" t="inlineStr">
        <is>
          <t>MC</t>
        </is>
      </c>
      <c r="D1421" s="42" t="inlineStr">
        <is>
          <t>UN</t>
        </is>
      </c>
      <c r="E1421" s="42" t="inlineStr">
        <is>
          <t>0073</t>
        </is>
      </c>
      <c r="F1421" s="70" t="inlineStr">
        <is>
          <t>Compras</t>
        </is>
      </c>
      <c r="G1421" s="68" t="n">
        <v>0</v>
      </c>
      <c r="H1421" s="172" t="inlineStr">
        <is>
          <t>Não</t>
        </is>
      </c>
      <c r="I1421" s="49" t="n"/>
    </row>
    <row r="1422">
      <c r="A1422" s="43" t="inlineStr">
        <is>
          <t>000224</t>
        </is>
      </c>
      <c r="B1422" s="44" t="inlineStr">
        <is>
          <t>ETIQUETA MANIPULACAO</t>
        </is>
      </c>
      <c r="C1422" s="45" t="inlineStr">
        <is>
          <t>MC</t>
        </is>
      </c>
      <c r="D1422" s="45" t="inlineStr">
        <is>
          <t>UN</t>
        </is>
      </c>
      <c r="E1422" s="45" t="inlineStr">
        <is>
          <t>0073</t>
        </is>
      </c>
      <c r="F1422" s="70" t="inlineStr">
        <is>
          <t>Compras</t>
        </is>
      </c>
      <c r="G1422" s="66" t="n">
        <v>23</v>
      </c>
      <c r="H1422" s="172" t="inlineStr">
        <is>
          <t>Não</t>
        </is>
      </c>
      <c r="I1422" s="50" t="n"/>
    </row>
    <row r="1423">
      <c r="A1423" s="40" t="inlineStr">
        <is>
          <t>009818</t>
        </is>
      </c>
      <c r="B1423" s="41" t="inlineStr">
        <is>
          <t>ETIQUETA VISOR PARA PASTA</t>
        </is>
      </c>
      <c r="C1423" s="42" t="inlineStr">
        <is>
          <t>MC</t>
        </is>
      </c>
      <c r="D1423" s="42" t="inlineStr">
        <is>
          <t>UN</t>
        </is>
      </c>
      <c r="E1423" s="42" t="inlineStr">
        <is>
          <t>0001</t>
        </is>
      </c>
      <c r="F1423" s="70" t="inlineStr">
        <is>
          <t>Compras</t>
        </is>
      </c>
      <c r="G1423" s="68" t="n">
        <v>0</v>
      </c>
      <c r="H1423" s="172" t="inlineStr">
        <is>
          <t>Não</t>
        </is>
      </c>
      <c r="I1423" s="49" t="n"/>
    </row>
    <row r="1424">
      <c r="A1424" s="43" t="inlineStr">
        <is>
          <t>001047</t>
        </is>
      </c>
      <c r="B1424" s="44" t="inlineStr">
        <is>
          <t>ETIQUETAS MENOR DE IDADE</t>
        </is>
      </c>
      <c r="C1424" s="45" t="inlineStr">
        <is>
          <t>MC</t>
        </is>
      </c>
      <c r="D1424" s="45" t="inlineStr">
        <is>
          <t>UN</t>
        </is>
      </c>
      <c r="E1424" s="45" t="inlineStr">
        <is>
          <t>0073</t>
        </is>
      </c>
      <c r="F1424" s="70" t="inlineStr">
        <is>
          <t>Compras</t>
        </is>
      </c>
      <c r="G1424" s="66" t="n">
        <v>16</v>
      </c>
      <c r="H1424" s="172" t="inlineStr">
        <is>
          <t>Não</t>
        </is>
      </c>
      <c r="I1424" s="50" t="n"/>
    </row>
    <row r="1425">
      <c r="A1425" s="40" t="inlineStr">
        <is>
          <t>002114</t>
        </is>
      </c>
      <c r="B1425" s="41" t="inlineStr">
        <is>
          <t>EVAP SAMSUNG WINDFREE CASSETE 4 VIAS 47K QF BRANCO</t>
        </is>
      </c>
      <c r="C1425" s="42" t="inlineStr">
        <is>
          <t>AI</t>
        </is>
      </c>
      <c r="D1425" s="42" t="inlineStr">
        <is>
          <t>UN</t>
        </is>
      </c>
      <c r="E1425" s="42" t="inlineStr">
        <is>
          <t>0002</t>
        </is>
      </c>
      <c r="F1425" s="70" t="inlineStr">
        <is>
          <t>Compras</t>
        </is>
      </c>
      <c r="G1425" s="71" t="n">
        <v>4612.25</v>
      </c>
      <c r="H1425" s="172" t="inlineStr">
        <is>
          <t>Não</t>
        </is>
      </c>
      <c r="I1425" s="49" t="n"/>
    </row>
    <row r="1426">
      <c r="A1426" s="43" t="inlineStr">
        <is>
          <t>002173</t>
        </is>
      </c>
      <c r="B1426" s="44" t="inlineStr">
        <is>
          <t>EVAPORADORA AR CONDICIONADO</t>
        </is>
      </c>
      <c r="C1426" s="45" t="inlineStr">
        <is>
          <t>AI</t>
        </is>
      </c>
      <c r="D1426" s="45" t="inlineStr">
        <is>
          <t>UN</t>
        </is>
      </c>
      <c r="E1426" s="45" t="inlineStr">
        <is>
          <t>0002</t>
        </is>
      </c>
      <c r="F1426" s="70" t="inlineStr">
        <is>
          <t>Compras</t>
        </is>
      </c>
      <c r="G1426" s="66" t="n">
        <v>4790</v>
      </c>
      <c r="H1426" s="172" t="inlineStr">
        <is>
          <t>Não</t>
        </is>
      </c>
      <c r="I1426" s="50" t="n"/>
    </row>
    <row r="1427">
      <c r="A1427" s="40" t="inlineStr">
        <is>
          <t>000709</t>
        </is>
      </c>
      <c r="B1427" s="41" t="inlineStr">
        <is>
          <t>EXAUSTOR</t>
        </is>
      </c>
      <c r="C1427" s="42" t="inlineStr">
        <is>
          <t>AI</t>
        </is>
      </c>
      <c r="D1427" s="42" t="inlineStr">
        <is>
          <t>UN</t>
        </is>
      </c>
      <c r="E1427" s="42" t="inlineStr">
        <is>
          <t>0002</t>
        </is>
      </c>
      <c r="F1427" s="70" t="inlineStr">
        <is>
          <t>Compras</t>
        </is>
      </c>
      <c r="G1427" s="68" t="n">
        <v>0</v>
      </c>
      <c r="H1427" s="172" t="inlineStr">
        <is>
          <t>Não</t>
        </is>
      </c>
      <c r="I1427" s="49" t="n"/>
    </row>
    <row r="1428">
      <c r="A1428" s="43" t="inlineStr">
        <is>
          <t>001669</t>
        </is>
      </c>
      <c r="B1428" s="44" t="inlineStr">
        <is>
          <t>EXECU  O, POR ADMINISTRA  O, E</t>
        </is>
      </c>
      <c r="C1428" s="45" t="inlineStr">
        <is>
          <t>SV</t>
        </is>
      </c>
      <c r="D1428" s="45" t="inlineStr">
        <is>
          <t>UN</t>
        </is>
      </c>
      <c r="E1428" s="45" t="inlineStr">
        <is>
          <t>(VAZ</t>
        </is>
      </c>
      <c r="F1428" s="70" t="inlineStr">
        <is>
          <t>Compras</t>
        </is>
      </c>
      <c r="G1428" s="69" t="n">
        <v>0</v>
      </c>
      <c r="H1428" s="172" t="inlineStr">
        <is>
          <t>Não</t>
        </is>
      </c>
      <c r="I1428" s="50" t="n"/>
    </row>
    <row r="1429">
      <c r="A1429" s="40" t="inlineStr">
        <is>
          <t>001487</t>
        </is>
      </c>
      <c r="B1429" s="41" t="inlineStr">
        <is>
          <t>EXPRESSO</t>
        </is>
      </c>
      <c r="C1429" s="42" t="inlineStr">
        <is>
          <t>PA</t>
        </is>
      </c>
      <c r="D1429" s="42" t="inlineStr">
        <is>
          <t>UN</t>
        </is>
      </c>
      <c r="E1429" s="42" t="inlineStr">
        <is>
          <t>0091</t>
        </is>
      </c>
      <c r="F1429" s="65" t="inlineStr">
        <is>
          <t>Venda</t>
        </is>
      </c>
      <c r="G1429" s="68" t="n">
        <v>0</v>
      </c>
      <c r="H1429" s="177" t="inlineStr">
        <is>
          <t>Sim</t>
        </is>
      </c>
      <c r="I1429" s="178" t="n"/>
    </row>
    <row r="1430">
      <c r="A1430" s="43" t="inlineStr">
        <is>
          <t>001485</t>
        </is>
      </c>
      <c r="B1430" s="44" t="inlineStr">
        <is>
          <t>EXPRESSO DESCAFEINADO</t>
        </is>
      </c>
      <c r="C1430" s="45" t="inlineStr">
        <is>
          <t>PA</t>
        </is>
      </c>
      <c r="D1430" s="45" t="inlineStr">
        <is>
          <t>UN</t>
        </is>
      </c>
      <c r="E1430" s="45" t="inlineStr">
        <is>
          <t>0091</t>
        </is>
      </c>
      <c r="F1430" s="65" t="inlineStr">
        <is>
          <t>Venda</t>
        </is>
      </c>
      <c r="G1430" s="69" t="n">
        <v>0</v>
      </c>
      <c r="H1430" s="177" t="inlineStr">
        <is>
          <t>Sim</t>
        </is>
      </c>
      <c r="I1430" s="178" t="n"/>
    </row>
    <row r="1431">
      <c r="A1431" s="40" t="inlineStr">
        <is>
          <t>001486</t>
        </is>
      </c>
      <c r="B1431" s="41" t="inlineStr">
        <is>
          <t>EXPRESSO DESCAFEINADO</t>
        </is>
      </c>
      <c r="C1431" s="42" t="inlineStr">
        <is>
          <t>PA</t>
        </is>
      </c>
      <c r="D1431" s="42" t="inlineStr">
        <is>
          <t>UN</t>
        </is>
      </c>
      <c r="E1431" s="42" t="inlineStr">
        <is>
          <t>0091</t>
        </is>
      </c>
      <c r="F1431" s="65" t="inlineStr">
        <is>
          <t>Venda</t>
        </is>
      </c>
      <c r="G1431" s="68" t="n">
        <v>0</v>
      </c>
      <c r="H1431" s="177" t="inlineStr">
        <is>
          <t>Sim</t>
        </is>
      </c>
      <c r="I1431" s="178" t="n"/>
    </row>
    <row r="1432">
      <c r="A1432" s="43" t="inlineStr">
        <is>
          <t>000178</t>
        </is>
      </c>
      <c r="B1432" s="44" t="inlineStr">
        <is>
          <t>EXTENSAO ELETRICA</t>
        </is>
      </c>
      <c r="C1432" s="45" t="inlineStr">
        <is>
          <t>MC</t>
        </is>
      </c>
      <c r="D1432" s="45" t="inlineStr">
        <is>
          <t>UN</t>
        </is>
      </c>
      <c r="E1432" s="45" t="inlineStr">
        <is>
          <t>0132</t>
        </is>
      </c>
      <c r="F1432" s="70" t="inlineStr">
        <is>
          <t>Compras</t>
        </is>
      </c>
      <c r="G1432" s="66" t="n">
        <v>75</v>
      </c>
      <c r="H1432" s="172" t="inlineStr">
        <is>
          <t>Não</t>
        </is>
      </c>
      <c r="I1432" s="50" t="n"/>
    </row>
    <row r="1433">
      <c r="A1433" s="40" t="inlineStr">
        <is>
          <t>001982</t>
        </is>
      </c>
      <c r="B1433" s="41" t="inlineStr">
        <is>
          <t>EXTENSOR AJUSTADOR PARA LUVA DE MALHA</t>
        </is>
      </c>
      <c r="C1433" s="42" t="inlineStr">
        <is>
          <t>MC</t>
        </is>
      </c>
      <c r="D1433" s="42" t="inlineStr">
        <is>
          <t>UN</t>
        </is>
      </c>
      <c r="E1433" s="42" t="inlineStr">
        <is>
          <t>0017</t>
        </is>
      </c>
      <c r="F1433" s="70" t="inlineStr">
        <is>
          <t>Compras</t>
        </is>
      </c>
      <c r="G1433" s="71" t="n">
        <v>3.75</v>
      </c>
      <c r="H1433" s="172" t="inlineStr">
        <is>
          <t>Não</t>
        </is>
      </c>
      <c r="I1433" s="49" t="n"/>
    </row>
    <row r="1434">
      <c r="A1434" s="43" t="inlineStr">
        <is>
          <t>002172</t>
        </is>
      </c>
      <c r="B1434" s="44" t="inlineStr">
        <is>
          <t>EXTENSOR HDMI</t>
        </is>
      </c>
      <c r="C1434" s="45" t="inlineStr">
        <is>
          <t>MC</t>
        </is>
      </c>
      <c r="D1434" s="45" t="inlineStr">
        <is>
          <t>UN</t>
        </is>
      </c>
      <c r="E1434" s="45" t="inlineStr">
        <is>
          <t>0006</t>
        </is>
      </c>
      <c r="F1434" s="70" t="inlineStr">
        <is>
          <t>Compras</t>
        </is>
      </c>
      <c r="G1434" s="66" t="n">
        <v>430</v>
      </c>
      <c r="H1434" s="172" t="inlineStr">
        <is>
          <t>Não</t>
        </is>
      </c>
      <c r="I1434" s="50" t="n"/>
    </row>
    <row r="1435">
      <c r="A1435" s="40" t="inlineStr">
        <is>
          <t>001415</t>
        </is>
      </c>
      <c r="B1435" s="41" t="inlineStr">
        <is>
          <t>EXTINTOR</t>
        </is>
      </c>
      <c r="C1435" s="42" t="inlineStr">
        <is>
          <t>MC</t>
        </is>
      </c>
      <c r="D1435" s="42" t="inlineStr">
        <is>
          <t>UN</t>
        </is>
      </c>
      <c r="E1435" s="42" t="inlineStr">
        <is>
          <t>0132</t>
        </is>
      </c>
      <c r="F1435" s="70" t="inlineStr">
        <is>
          <t>Compras</t>
        </is>
      </c>
      <c r="G1435" s="71" t="n">
        <v>55</v>
      </c>
      <c r="H1435" s="172" t="inlineStr">
        <is>
          <t>Não</t>
        </is>
      </c>
      <c r="I1435" s="49" t="n"/>
    </row>
    <row r="1436">
      <c r="A1436" s="43" t="inlineStr">
        <is>
          <t>001621</t>
        </is>
      </c>
      <c r="B1436" s="44" t="inlineStr">
        <is>
          <t>EXTINTOR 10KG</t>
        </is>
      </c>
      <c r="C1436" s="45" t="inlineStr">
        <is>
          <t>MC</t>
        </is>
      </c>
      <c r="D1436" s="45" t="inlineStr">
        <is>
          <t>UN</t>
        </is>
      </c>
      <c r="E1436" s="45" t="inlineStr">
        <is>
          <t>0132</t>
        </is>
      </c>
      <c r="F1436" s="70" t="inlineStr">
        <is>
          <t>Compras</t>
        </is>
      </c>
      <c r="G1436" s="66" t="n">
        <v>55</v>
      </c>
      <c r="H1436" s="172" t="inlineStr">
        <is>
          <t>Não</t>
        </is>
      </c>
      <c r="I1436" s="50" t="n"/>
    </row>
    <row r="1437">
      <c r="A1437" s="40" t="inlineStr">
        <is>
          <t>000236</t>
        </is>
      </c>
      <c r="B1437" s="41" t="inlineStr">
        <is>
          <t>EXTRATOR DE GRAMPO</t>
        </is>
      </c>
      <c r="C1437" s="42" t="inlineStr">
        <is>
          <t>MC</t>
        </is>
      </c>
      <c r="D1437" s="42" t="inlineStr">
        <is>
          <t>UN</t>
        </is>
      </c>
      <c r="E1437" s="42" t="inlineStr">
        <is>
          <t>0075</t>
        </is>
      </c>
      <c r="F1437" s="70" t="inlineStr">
        <is>
          <t>Compras</t>
        </is>
      </c>
      <c r="G1437" s="71" t="n">
        <v>1.36</v>
      </c>
      <c r="H1437" s="172" t="inlineStr">
        <is>
          <t>Não</t>
        </is>
      </c>
      <c r="I1437" s="49" t="n"/>
    </row>
    <row r="1438">
      <c r="A1438" s="43" t="inlineStr">
        <is>
          <t>000716</t>
        </is>
      </c>
      <c r="B1438" s="44" t="inlineStr">
        <is>
          <t>EXTRATOR DE SUCO INDUSTRIAL INOX</t>
        </is>
      </c>
      <c r="C1438" s="45" t="inlineStr">
        <is>
          <t>AI</t>
        </is>
      </c>
      <c r="D1438" s="45" t="inlineStr">
        <is>
          <t>UN</t>
        </is>
      </c>
      <c r="E1438" s="45" t="inlineStr">
        <is>
          <t>0002</t>
        </is>
      </c>
      <c r="F1438" s="70" t="inlineStr">
        <is>
          <t>Compras</t>
        </is>
      </c>
      <c r="G1438" s="66" t="n">
        <v>739</v>
      </c>
      <c r="H1438" s="172" t="inlineStr">
        <is>
          <t>Não</t>
        </is>
      </c>
      <c r="I1438" s="50" t="n"/>
    </row>
    <row r="1439">
      <c r="A1439" s="40" t="inlineStr">
        <is>
          <t>000543</t>
        </is>
      </c>
      <c r="B1439" s="41" t="inlineStr">
        <is>
          <t>FACA 22 CM</t>
        </is>
      </c>
      <c r="C1439" s="42" t="inlineStr">
        <is>
          <t>MC</t>
        </is>
      </c>
      <c r="D1439" s="42" t="inlineStr">
        <is>
          <t>UN</t>
        </is>
      </c>
      <c r="E1439" s="42" t="inlineStr">
        <is>
          <t>0079</t>
        </is>
      </c>
      <c r="F1439" s="70" t="inlineStr">
        <is>
          <t>Compras</t>
        </is>
      </c>
      <c r="G1439" s="71" t="n">
        <v>2.5986</v>
      </c>
      <c r="H1439" s="172" t="inlineStr">
        <is>
          <t>Não</t>
        </is>
      </c>
      <c r="I1439" s="49" t="n"/>
    </row>
    <row r="1440">
      <c r="A1440" s="43" t="inlineStr">
        <is>
          <t>000563</t>
        </is>
      </c>
      <c r="B1440" s="44" t="inlineStr">
        <is>
          <t>FACA 26 CM</t>
        </is>
      </c>
      <c r="C1440" s="45" t="inlineStr">
        <is>
          <t>MC</t>
        </is>
      </c>
      <c r="D1440" s="45" t="inlineStr">
        <is>
          <t>UN</t>
        </is>
      </c>
      <c r="E1440" s="45" t="inlineStr">
        <is>
          <t>0079</t>
        </is>
      </c>
      <c r="F1440" s="70" t="inlineStr">
        <is>
          <t>Compras</t>
        </is>
      </c>
      <c r="G1440" s="66" t="n">
        <v>139</v>
      </c>
      <c r="H1440" s="172" t="inlineStr">
        <is>
          <t>Não</t>
        </is>
      </c>
      <c r="I1440" s="50" t="n"/>
    </row>
    <row r="1441">
      <c r="A1441" s="40" t="inlineStr">
        <is>
          <t>000553</t>
        </is>
      </c>
      <c r="B1441" s="41" t="inlineStr">
        <is>
          <t>FACA 26 CM COZINHA</t>
        </is>
      </c>
      <c r="C1441" s="42" t="inlineStr">
        <is>
          <t>MC</t>
        </is>
      </c>
      <c r="D1441" s="42" t="inlineStr">
        <is>
          <t>UN</t>
        </is>
      </c>
      <c r="E1441" s="42" t="inlineStr">
        <is>
          <t>0080</t>
        </is>
      </c>
      <c r="F1441" s="70" t="inlineStr">
        <is>
          <t>Compras</t>
        </is>
      </c>
      <c r="G1441" s="71" t="n">
        <v>98</v>
      </c>
      <c r="H1441" s="172" t="inlineStr">
        <is>
          <t>Não</t>
        </is>
      </c>
      <c r="I1441" s="49" t="n"/>
    </row>
    <row r="1442">
      <c r="A1442" s="43" t="inlineStr">
        <is>
          <t>000517</t>
        </is>
      </c>
      <c r="B1442" s="44" t="inlineStr">
        <is>
          <t>FACA CHURRASCO</t>
        </is>
      </c>
      <c r="C1442" s="45" t="inlineStr">
        <is>
          <t>MC</t>
        </is>
      </c>
      <c r="D1442" s="45" t="inlineStr">
        <is>
          <t>UN</t>
        </is>
      </c>
      <c r="E1442" s="45" t="inlineStr">
        <is>
          <t>0079</t>
        </is>
      </c>
      <c r="F1442" s="70" t="inlineStr">
        <is>
          <t>Compras</t>
        </is>
      </c>
      <c r="G1442" s="66" t="n">
        <v>2</v>
      </c>
      <c r="H1442" s="172" t="inlineStr">
        <is>
          <t>Não</t>
        </is>
      </c>
      <c r="I1442" s="50" t="n"/>
    </row>
    <row r="1443">
      <c r="A1443" s="40" t="inlineStr">
        <is>
          <t>001219</t>
        </is>
      </c>
      <c r="B1443" s="41" t="inlineStr">
        <is>
          <t>FACA CIMO 660/6 INOX ANTI BAC</t>
        </is>
      </c>
      <c r="C1443" s="42" t="inlineStr">
        <is>
          <t>MC</t>
        </is>
      </c>
      <c r="D1443" s="42" t="inlineStr">
        <is>
          <t>UN</t>
        </is>
      </c>
      <c r="E1443" s="42" t="inlineStr">
        <is>
          <t>0079</t>
        </is>
      </c>
      <c r="F1443" s="70" t="inlineStr">
        <is>
          <t>Compras</t>
        </is>
      </c>
      <c r="G1443" s="68" t="n">
        <v>0</v>
      </c>
      <c r="H1443" s="172" t="inlineStr">
        <is>
          <t>Não</t>
        </is>
      </c>
      <c r="I1443" s="49" t="n"/>
    </row>
    <row r="1444">
      <c r="A1444" s="43" t="inlineStr">
        <is>
          <t>001107</t>
        </is>
      </c>
      <c r="B1444" s="44" t="inlineStr">
        <is>
          <t>FACA CIMO 660/8 INOX ANTI-BAC</t>
        </is>
      </c>
      <c r="C1444" s="45" t="inlineStr">
        <is>
          <t>MC</t>
        </is>
      </c>
      <c r="D1444" s="45" t="inlineStr">
        <is>
          <t>UN</t>
        </is>
      </c>
      <c r="E1444" s="45" t="inlineStr">
        <is>
          <t>0080</t>
        </is>
      </c>
      <c r="F1444" s="70" t="inlineStr">
        <is>
          <t>Compras</t>
        </is>
      </c>
      <c r="G1444" s="69" t="n">
        <v>0</v>
      </c>
      <c r="H1444" s="172" t="inlineStr">
        <is>
          <t>Não</t>
        </is>
      </c>
      <c r="I1444" s="50" t="n"/>
    </row>
    <row r="1445">
      <c r="A1445" s="40" t="inlineStr">
        <is>
          <t>001077</t>
        </is>
      </c>
      <c r="B1445" s="41" t="inlineStr">
        <is>
          <t>FACA CIMO 660/PQ 8 INOX MADEIR</t>
        </is>
      </c>
      <c r="C1445" s="42" t="inlineStr">
        <is>
          <t>OI</t>
        </is>
      </c>
      <c r="D1445" s="42" t="inlineStr">
        <is>
          <t>UN</t>
        </is>
      </c>
      <c r="E1445" s="42" t="inlineStr">
        <is>
          <t>0107</t>
        </is>
      </c>
      <c r="F1445" s="65" t="inlineStr">
        <is>
          <t>Venda</t>
        </is>
      </c>
      <c r="G1445" s="68" t="n">
        <v>0</v>
      </c>
      <c r="H1445" s="172" t="inlineStr">
        <is>
          <t>Não</t>
        </is>
      </c>
      <c r="I1445" s="47" t="inlineStr">
        <is>
          <t>9003349</t>
        </is>
      </c>
    </row>
    <row r="1446">
      <c r="A1446" s="43" t="inlineStr">
        <is>
          <t>009854</t>
        </is>
      </c>
      <c r="B1446" s="44" t="inlineStr">
        <is>
          <t>FACA PARA CARNE TRAMONTINA 10''</t>
        </is>
      </c>
      <c r="C1446" s="45" t="inlineStr">
        <is>
          <t>MC</t>
        </is>
      </c>
      <c r="D1446" s="45" t="inlineStr">
        <is>
          <t>UN</t>
        </is>
      </c>
      <c r="E1446" s="45" t="inlineStr">
        <is>
          <t>0080</t>
        </is>
      </c>
      <c r="F1446" s="70" t="inlineStr">
        <is>
          <t>Compras</t>
        </is>
      </c>
      <c r="G1446" s="66" t="n">
        <v>98</v>
      </c>
      <c r="H1446" s="172" t="inlineStr">
        <is>
          <t>Não</t>
        </is>
      </c>
      <c r="I1446" s="50" t="n"/>
    </row>
    <row r="1447">
      <c r="A1447" s="43" t="inlineStr">
        <is>
          <t>000388</t>
        </is>
      </c>
      <c r="B1447" s="44" t="inlineStr">
        <is>
          <t>FARINHA DE MANDIOCA FINA</t>
        </is>
      </c>
      <c r="C1447" s="45" t="inlineStr">
        <is>
          <t>MP</t>
        </is>
      </c>
      <c r="D1447" s="45" t="inlineStr">
        <is>
          <t>KG</t>
        </is>
      </c>
      <c r="E1447" s="45" t="inlineStr">
        <is>
          <t>0029</t>
        </is>
      </c>
      <c r="F1447" s="70" t="inlineStr">
        <is>
          <t>Compras</t>
        </is>
      </c>
      <c r="G1447" s="66" t="n">
        <v>6.9275</v>
      </c>
      <c r="H1447" s="172" t="inlineStr">
        <is>
          <t>Não</t>
        </is>
      </c>
      <c r="I1447" s="50" t="n"/>
    </row>
    <row r="1448">
      <c r="A1448" s="40" t="inlineStr">
        <is>
          <t>000389</t>
        </is>
      </c>
      <c r="B1448" s="41" t="inlineStr">
        <is>
          <t>FARINHA DE ROSCA</t>
        </is>
      </c>
      <c r="C1448" s="42" t="inlineStr">
        <is>
          <t>MP</t>
        </is>
      </c>
      <c r="D1448" s="42" t="inlineStr">
        <is>
          <t>KG</t>
        </is>
      </c>
      <c r="E1448" s="42" t="inlineStr">
        <is>
          <t>0029</t>
        </is>
      </c>
      <c r="F1448" s="70" t="inlineStr">
        <is>
          <t>Compras</t>
        </is>
      </c>
      <c r="G1448" s="71" t="n">
        <v>15.02</v>
      </c>
      <c r="H1448" s="172" t="inlineStr">
        <is>
          <t>Não</t>
        </is>
      </c>
      <c r="I1448" s="49" t="n"/>
    </row>
    <row r="1449">
      <c r="A1449" s="43" t="inlineStr">
        <is>
          <t>000390</t>
        </is>
      </c>
      <c r="B1449" s="44" t="inlineStr">
        <is>
          <t>FARINHA DE TRIGO SOL</t>
        </is>
      </c>
      <c r="C1449" s="45" t="inlineStr">
        <is>
          <t>MP</t>
        </is>
      </c>
      <c r="D1449" s="45" t="inlineStr">
        <is>
          <t>KG</t>
        </is>
      </c>
      <c r="E1449" s="45" t="inlineStr">
        <is>
          <t>0029</t>
        </is>
      </c>
      <c r="F1449" s="70" t="inlineStr">
        <is>
          <t>Compras</t>
        </is>
      </c>
      <c r="G1449" s="66" t="n">
        <v>4.9284</v>
      </c>
      <c r="H1449" s="172" t="inlineStr">
        <is>
          <t>Não</t>
        </is>
      </c>
      <c r="I1449" s="50" t="n"/>
    </row>
    <row r="1450">
      <c r="A1450" s="40" t="inlineStr">
        <is>
          <t>002067</t>
        </is>
      </c>
      <c r="B1450" s="41" t="inlineStr">
        <is>
          <t>FARINHA PANKO EMPANAR</t>
        </is>
      </c>
      <c r="C1450" s="42" t="inlineStr">
        <is>
          <t>MP</t>
        </is>
      </c>
      <c r="D1450" s="42" t="inlineStr">
        <is>
          <t>KG</t>
        </is>
      </c>
      <c r="E1450" s="42" t="inlineStr">
        <is>
          <t>0029</t>
        </is>
      </c>
      <c r="F1450" s="70" t="inlineStr">
        <is>
          <t>Compras</t>
        </is>
      </c>
      <c r="G1450" s="71" t="n">
        <v>17.54</v>
      </c>
      <c r="H1450" s="172" t="inlineStr">
        <is>
          <t>Não</t>
        </is>
      </c>
      <c r="I1450" s="49" t="n"/>
    </row>
    <row r="1451">
      <c r="A1451" s="43" t="inlineStr">
        <is>
          <t>001484</t>
        </is>
      </c>
      <c r="B1451" s="44" t="inlineStr">
        <is>
          <t>FAROFA</t>
        </is>
      </c>
      <c r="C1451" s="45" t="inlineStr">
        <is>
          <t>PA</t>
        </is>
      </c>
      <c r="D1451" s="45" t="inlineStr">
        <is>
          <t>UN</t>
        </is>
      </c>
      <c r="E1451" s="45" t="inlineStr">
        <is>
          <t>0121</t>
        </is>
      </c>
      <c r="F1451" s="65" t="inlineStr">
        <is>
          <t>Venda</t>
        </is>
      </c>
      <c r="G1451" s="66" t="n">
        <v>70.69</v>
      </c>
      <c r="H1451" s="172" t="inlineStr">
        <is>
          <t>Não</t>
        </is>
      </c>
      <c r="I1451" s="48" t="inlineStr">
        <is>
          <t>78989056877291</t>
        </is>
      </c>
    </row>
    <row r="1452">
      <c r="A1452" s="40" t="inlineStr">
        <is>
          <t>009637</t>
        </is>
      </c>
      <c r="B1452" s="41" t="inlineStr">
        <is>
          <t>FAROFA (EXECUTIVO)</t>
        </is>
      </c>
      <c r="C1452" s="42" t="inlineStr">
        <is>
          <t>PA</t>
        </is>
      </c>
      <c r="D1452" s="42" t="inlineStr">
        <is>
          <t>UN</t>
        </is>
      </c>
      <c r="E1452" s="42" t="inlineStr">
        <is>
          <t>0121</t>
        </is>
      </c>
      <c r="F1452" s="65" t="inlineStr">
        <is>
          <t>Venda</t>
        </is>
      </c>
      <c r="G1452" s="68" t="n">
        <v>0</v>
      </c>
      <c r="H1452" s="172" t="inlineStr">
        <is>
          <t>Não</t>
        </is>
      </c>
      <c r="I1452" s="47" t="inlineStr">
        <is>
          <t>789890568772107</t>
        </is>
      </c>
    </row>
    <row r="1453">
      <c r="A1453" s="43" t="inlineStr">
        <is>
          <t>002069</t>
        </is>
      </c>
      <c r="B1453" s="44" t="inlineStr">
        <is>
          <t>FAROFA MARMITA</t>
        </is>
      </c>
      <c r="C1453" s="45" t="inlineStr">
        <is>
          <t>PA</t>
        </is>
      </c>
      <c r="D1453" s="45" t="inlineStr">
        <is>
          <t>UN</t>
        </is>
      </c>
      <c r="E1453" s="45" t="inlineStr">
        <is>
          <t>0121</t>
        </is>
      </c>
      <c r="F1453" s="65" t="inlineStr">
        <is>
          <t>Venda</t>
        </is>
      </c>
      <c r="G1453" s="66" t="n">
        <v>15.99</v>
      </c>
      <c r="H1453" s="172" t="inlineStr">
        <is>
          <t>Não</t>
        </is>
      </c>
      <c r="I1453" s="48" t="inlineStr">
        <is>
          <t>800004</t>
        </is>
      </c>
    </row>
    <row r="1454">
      <c r="A1454" s="40" t="inlineStr">
        <is>
          <t>000391</t>
        </is>
      </c>
      <c r="B1454" s="41" t="inlineStr">
        <is>
          <t>FAROFA TEMPERADA</t>
        </is>
      </c>
      <c r="C1454" s="42" t="inlineStr">
        <is>
          <t>MP</t>
        </is>
      </c>
      <c r="D1454" s="42" t="inlineStr">
        <is>
          <t>KG</t>
        </is>
      </c>
      <c r="E1454" s="42" t="inlineStr">
        <is>
          <t>0029</t>
        </is>
      </c>
      <c r="F1454" s="70" t="inlineStr">
        <is>
          <t>Compras</t>
        </is>
      </c>
      <c r="G1454" s="71" t="n">
        <v>14.138</v>
      </c>
      <c r="H1454" s="172" t="inlineStr">
        <is>
          <t>Não</t>
        </is>
      </c>
      <c r="I1454" s="49" t="n"/>
    </row>
    <row r="1455">
      <c r="A1455" s="43" t="inlineStr">
        <is>
          <t>009671</t>
        </is>
      </c>
      <c r="B1455" s="44" t="inlineStr">
        <is>
          <t>FECHADURA EXTERNA</t>
        </is>
      </c>
      <c r="C1455" s="45" t="inlineStr">
        <is>
          <t>MC</t>
        </is>
      </c>
      <c r="D1455" s="45" t="inlineStr">
        <is>
          <t>UN</t>
        </is>
      </c>
      <c r="E1455" s="45" t="inlineStr">
        <is>
          <t>0132</t>
        </is>
      </c>
      <c r="F1455" s="70" t="inlineStr">
        <is>
          <t>Compras</t>
        </is>
      </c>
      <c r="G1455" s="66" t="n">
        <v>69.90000000000001</v>
      </c>
      <c r="H1455" s="172" t="inlineStr">
        <is>
          <t>Não</t>
        </is>
      </c>
      <c r="I1455" s="50" t="n"/>
    </row>
    <row r="1456">
      <c r="A1456" s="40" t="inlineStr">
        <is>
          <t>010386</t>
        </is>
      </c>
      <c r="B1456" s="41" t="inlineStr">
        <is>
          <t>FECHO CHATO PORTA CADEADO N 3 95X50</t>
        </is>
      </c>
      <c r="C1456" s="42" t="inlineStr">
        <is>
          <t>MC</t>
        </is>
      </c>
      <c r="D1456" s="42" t="inlineStr">
        <is>
          <t>UN</t>
        </is>
      </c>
      <c r="E1456" s="42" t="inlineStr">
        <is>
          <t>0132</t>
        </is>
      </c>
      <c r="F1456" s="70" t="inlineStr">
        <is>
          <t>Compras</t>
        </is>
      </c>
      <c r="G1456" s="68" t="n">
        <v>17.1</v>
      </c>
      <c r="H1456" s="172" t="inlineStr">
        <is>
          <t>Não</t>
        </is>
      </c>
      <c r="I1456" s="49" t="n"/>
    </row>
    <row r="1457">
      <c r="A1457" s="43" t="inlineStr">
        <is>
          <t>010207</t>
        </is>
      </c>
      <c r="B1457" s="44" t="inlineStr">
        <is>
          <t>FECHO METALICO DECORATIVO 4MMX10CM</t>
        </is>
      </c>
      <c r="C1457" s="45" t="inlineStr">
        <is>
          <t>MC</t>
        </is>
      </c>
      <c r="D1457" s="45" t="inlineStr">
        <is>
          <t>UN</t>
        </is>
      </c>
      <c r="E1457" s="45" t="inlineStr">
        <is>
          <t>0134</t>
        </is>
      </c>
      <c r="F1457" s="70" t="inlineStr">
        <is>
          <t>Compras</t>
        </is>
      </c>
      <c r="G1457" s="69" t="n">
        <v>3.5</v>
      </c>
      <c r="H1457" s="172" t="inlineStr">
        <is>
          <t>Não</t>
        </is>
      </c>
      <c r="I1457" s="50" t="n"/>
    </row>
    <row r="1458">
      <c r="A1458" s="40" t="inlineStr">
        <is>
          <t>002209</t>
        </is>
      </c>
      <c r="B1458" s="41" t="inlineStr">
        <is>
          <t>FEIJAO</t>
        </is>
      </c>
      <c r="C1458" s="42" t="inlineStr">
        <is>
          <t>PA</t>
        </is>
      </c>
      <c r="D1458" s="42" t="inlineStr">
        <is>
          <t>UN</t>
        </is>
      </c>
      <c r="E1458" s="42" t="inlineStr">
        <is>
          <t>0106</t>
        </is>
      </c>
      <c r="F1458" s="65" t="inlineStr">
        <is>
          <t>Venda</t>
        </is>
      </c>
      <c r="G1458" s="68" t="n">
        <v>0</v>
      </c>
      <c r="H1458" s="172" t="inlineStr">
        <is>
          <t>Não</t>
        </is>
      </c>
      <c r="I1458" s="47" t="inlineStr">
        <is>
          <t>78989056877337</t>
        </is>
      </c>
    </row>
    <row r="1459">
      <c r="A1459" s="43" t="inlineStr">
        <is>
          <t>000392</t>
        </is>
      </c>
      <c r="B1459" s="44" t="inlineStr">
        <is>
          <t>FEIJAO CARIOCA</t>
        </is>
      </c>
      <c r="C1459" s="45" t="inlineStr">
        <is>
          <t>MP</t>
        </is>
      </c>
      <c r="D1459" s="45" t="inlineStr">
        <is>
          <t>KG</t>
        </is>
      </c>
      <c r="E1459" s="45" t="inlineStr">
        <is>
          <t>0029</t>
        </is>
      </c>
      <c r="F1459" s="70" t="inlineStr">
        <is>
          <t>Compras</t>
        </is>
      </c>
      <c r="G1459" s="66" t="n">
        <v>7.79</v>
      </c>
      <c r="H1459" s="172" t="inlineStr">
        <is>
          <t>Não</t>
        </is>
      </c>
      <c r="I1459" s="50" t="n"/>
    </row>
    <row r="1460">
      <c r="A1460" s="40" t="inlineStr">
        <is>
          <t>000616</t>
        </is>
      </c>
      <c r="B1460" s="41" t="inlineStr">
        <is>
          <t>FEIJAO PRETO</t>
        </is>
      </c>
      <c r="C1460" s="42" t="inlineStr">
        <is>
          <t>MC</t>
        </is>
      </c>
      <c r="D1460" s="42" t="inlineStr">
        <is>
          <t>KG</t>
        </is>
      </c>
      <c r="E1460" s="42" t="inlineStr">
        <is>
          <t>0013</t>
        </is>
      </c>
      <c r="F1460" s="70" t="inlineStr">
        <is>
          <t>Compras</t>
        </is>
      </c>
      <c r="G1460" s="71" t="n">
        <v>5.65</v>
      </c>
      <c r="H1460" s="172" t="inlineStr">
        <is>
          <t>Não</t>
        </is>
      </c>
      <c r="I1460" s="49" t="n"/>
    </row>
    <row r="1461">
      <c r="A1461" s="43" t="inlineStr">
        <is>
          <t>001981</t>
        </is>
      </c>
      <c r="B1461" s="44" t="inlineStr">
        <is>
          <t>FELTRO AGULHADO PRETO</t>
        </is>
      </c>
      <c r="C1461" s="45" t="inlineStr">
        <is>
          <t>MC</t>
        </is>
      </c>
      <c r="D1461" s="45" t="inlineStr">
        <is>
          <t>UN</t>
        </is>
      </c>
      <c r="E1461" s="45" t="inlineStr">
        <is>
          <t>0132</t>
        </is>
      </c>
      <c r="F1461" s="70" t="inlineStr">
        <is>
          <t>Compras</t>
        </is>
      </c>
      <c r="G1461" s="66" t="n">
        <v>10</v>
      </c>
      <c r="H1461" s="172" t="inlineStr">
        <is>
          <t>Não</t>
        </is>
      </c>
      <c r="I1461" s="50" t="n"/>
    </row>
    <row r="1462">
      <c r="A1462" s="40" t="inlineStr">
        <is>
          <t>000819</t>
        </is>
      </c>
      <c r="B1462" s="41" t="inlineStr">
        <is>
          <t>FERRAMENTAS</t>
        </is>
      </c>
      <c r="C1462" s="42" t="inlineStr">
        <is>
          <t>MC</t>
        </is>
      </c>
      <c r="D1462" s="42" t="inlineStr">
        <is>
          <t>UN</t>
        </is>
      </c>
      <c r="E1462" s="42" t="inlineStr">
        <is>
          <t>0058</t>
        </is>
      </c>
      <c r="F1462" s="70" t="inlineStr">
        <is>
          <t>Compras</t>
        </is>
      </c>
      <c r="G1462" s="71" t="n">
        <v>36.9</v>
      </c>
      <c r="H1462" s="173" t="inlineStr">
        <is>
          <t>Sim</t>
        </is>
      </c>
      <c r="I1462" s="49" t="n"/>
    </row>
    <row r="1463">
      <c r="A1463" s="43" t="inlineStr">
        <is>
          <t>000866</t>
        </is>
      </c>
      <c r="B1463" s="44" t="inlineStr">
        <is>
          <t>FICHA MAQUINA PELUCIA</t>
        </is>
      </c>
      <c r="C1463" s="45" t="inlineStr">
        <is>
          <t>OI</t>
        </is>
      </c>
      <c r="D1463" s="45" t="inlineStr">
        <is>
          <t>UN</t>
        </is>
      </c>
      <c r="E1463" s="45" t="inlineStr">
        <is>
          <t>0107</t>
        </is>
      </c>
      <c r="F1463" s="65" t="inlineStr">
        <is>
          <t>Venda</t>
        </is>
      </c>
      <c r="G1463" s="69" t="n">
        <v>0</v>
      </c>
      <c r="H1463" s="172" t="inlineStr">
        <is>
          <t>Não</t>
        </is>
      </c>
      <c r="I1463" s="48" t="inlineStr">
        <is>
          <t>7898905687600</t>
        </is>
      </c>
    </row>
    <row r="1464">
      <c r="A1464" s="40" t="inlineStr">
        <is>
          <t>000905</t>
        </is>
      </c>
      <c r="B1464" s="41" t="inlineStr">
        <is>
          <t>FICHA MAQUINA PELUCIA</t>
        </is>
      </c>
      <c r="C1464" s="42" t="inlineStr">
        <is>
          <t>MR</t>
        </is>
      </c>
      <c r="D1464" s="42" t="inlineStr">
        <is>
          <t>UN</t>
        </is>
      </c>
      <c r="E1464" s="42" t="inlineStr">
        <is>
          <t>0107</t>
        </is>
      </c>
      <c r="F1464" s="65" t="inlineStr">
        <is>
          <t>Venda</t>
        </is>
      </c>
      <c r="G1464" s="68" t="n">
        <v>0</v>
      </c>
      <c r="H1464" s="173" t="inlineStr">
        <is>
          <t>Sim</t>
        </is>
      </c>
      <c r="I1464" s="47" t="inlineStr">
        <is>
          <t>7898905687601</t>
        </is>
      </c>
    </row>
    <row r="1465">
      <c r="A1465" s="43" t="inlineStr">
        <is>
          <t>000906</t>
        </is>
      </c>
      <c r="B1465" s="44" t="inlineStr">
        <is>
          <t>FICHA MAQUINA PELUCIA</t>
        </is>
      </c>
      <c r="C1465" s="45" t="inlineStr">
        <is>
          <t>MR</t>
        </is>
      </c>
      <c r="D1465" s="45" t="inlineStr">
        <is>
          <t>UN</t>
        </is>
      </c>
      <c r="E1465" s="45" t="inlineStr">
        <is>
          <t>0107</t>
        </is>
      </c>
      <c r="F1465" s="65" t="inlineStr">
        <is>
          <t>Venda</t>
        </is>
      </c>
      <c r="G1465" s="69" t="n">
        <v>0</v>
      </c>
      <c r="H1465" s="173" t="inlineStr">
        <is>
          <t>Sim</t>
        </is>
      </c>
      <c r="I1465" s="48" t="inlineStr">
        <is>
          <t>7898905687602</t>
        </is>
      </c>
    </row>
    <row r="1466">
      <c r="A1466" s="40" t="inlineStr">
        <is>
          <t>000925</t>
        </is>
      </c>
      <c r="B1466" s="41" t="inlineStr">
        <is>
          <t>FICHA MAQUINA PELUCIA</t>
        </is>
      </c>
      <c r="C1466" s="42" t="inlineStr">
        <is>
          <t>MR</t>
        </is>
      </c>
      <c r="D1466" s="42" t="inlineStr">
        <is>
          <t>UN</t>
        </is>
      </c>
      <c r="E1466" s="42" t="inlineStr">
        <is>
          <t>0107</t>
        </is>
      </c>
      <c r="F1466" s="65" t="inlineStr">
        <is>
          <t>Venda</t>
        </is>
      </c>
      <c r="G1466" s="68" t="n">
        <v>0</v>
      </c>
      <c r="H1466" s="173" t="inlineStr">
        <is>
          <t>Sim</t>
        </is>
      </c>
      <c r="I1466" s="49" t="n"/>
    </row>
    <row r="1467">
      <c r="A1467" s="43" t="inlineStr">
        <is>
          <t>000926</t>
        </is>
      </c>
      <c r="B1467" s="44" t="inlineStr">
        <is>
          <t>FICHA MAQUINA PELUCIA</t>
        </is>
      </c>
      <c r="C1467" s="45" t="inlineStr">
        <is>
          <t>MR</t>
        </is>
      </c>
      <c r="D1467" s="45" t="inlineStr">
        <is>
          <t>UN</t>
        </is>
      </c>
      <c r="E1467" s="45" t="inlineStr">
        <is>
          <t>0107</t>
        </is>
      </c>
      <c r="F1467" s="65" t="inlineStr">
        <is>
          <t>Venda</t>
        </is>
      </c>
      <c r="G1467" s="69" t="n">
        <v>0</v>
      </c>
      <c r="H1467" s="173" t="inlineStr">
        <is>
          <t>Sim</t>
        </is>
      </c>
      <c r="I1467" s="48" t="inlineStr">
        <is>
          <t>7898905687604</t>
        </is>
      </c>
    </row>
    <row r="1468">
      <c r="A1468" s="40" t="inlineStr">
        <is>
          <t>001410</t>
        </is>
      </c>
      <c r="B1468" s="41" t="inlineStr">
        <is>
          <t>FICHA MAQUINA PELUCIA</t>
        </is>
      </c>
      <c r="C1468" s="42" t="inlineStr">
        <is>
          <t>OI</t>
        </is>
      </c>
      <c r="D1468" s="42" t="inlineStr">
        <is>
          <t>UN</t>
        </is>
      </c>
      <c r="E1468" s="42" t="inlineStr">
        <is>
          <t>0141</t>
        </is>
      </c>
      <c r="F1468" s="70" t="inlineStr">
        <is>
          <t>Compras</t>
        </is>
      </c>
      <c r="G1468" s="68" t="n">
        <v>0</v>
      </c>
      <c r="H1468" s="172" t="inlineStr">
        <is>
          <t>Não</t>
        </is>
      </c>
      <c r="I1468" s="49" t="n"/>
    </row>
    <row r="1469">
      <c r="A1469" s="43" t="inlineStr">
        <is>
          <t>000651</t>
        </is>
      </c>
      <c r="B1469" s="44" t="inlineStr">
        <is>
          <t>FILE DE PEIXE/CACAO</t>
        </is>
      </c>
      <c r="C1469" s="45" t="inlineStr">
        <is>
          <t>MC</t>
        </is>
      </c>
      <c r="D1469" s="45" t="inlineStr">
        <is>
          <t>KG</t>
        </is>
      </c>
      <c r="E1469" s="45" t="inlineStr">
        <is>
          <t>0013</t>
        </is>
      </c>
      <c r="F1469" s="70" t="inlineStr">
        <is>
          <t>Compras</t>
        </is>
      </c>
      <c r="G1469" s="66" t="n">
        <v>29</v>
      </c>
      <c r="H1469" s="172" t="inlineStr">
        <is>
          <t>Não</t>
        </is>
      </c>
      <c r="I1469" s="50" t="n"/>
    </row>
    <row r="1470">
      <c r="A1470" s="40" t="inlineStr">
        <is>
          <t>000773</t>
        </is>
      </c>
      <c r="B1470" s="41" t="inlineStr">
        <is>
          <t>FILE MIGNON BOVINO</t>
        </is>
      </c>
      <c r="C1470" s="42" t="inlineStr">
        <is>
          <t>PA</t>
        </is>
      </c>
      <c r="D1470" s="42" t="inlineStr">
        <is>
          <t>UN</t>
        </is>
      </c>
      <c r="E1470" s="42" t="inlineStr">
        <is>
          <t>0092</t>
        </is>
      </c>
      <c r="F1470" s="65" t="inlineStr">
        <is>
          <t>Venda</t>
        </is>
      </c>
      <c r="G1470" s="71" t="n">
        <v>16.7275</v>
      </c>
      <c r="H1470" s="172" t="inlineStr">
        <is>
          <t>Não</t>
        </is>
      </c>
      <c r="I1470" s="47" t="inlineStr">
        <is>
          <t>40022</t>
        </is>
      </c>
    </row>
    <row r="1471">
      <c r="A1471" s="43" t="inlineStr">
        <is>
          <t>002257</t>
        </is>
      </c>
      <c r="B1471" s="44" t="inlineStr">
        <is>
          <t>FILE MIGNON BOVINO PECA - COMPRAS</t>
        </is>
      </c>
      <c r="C1471" s="45" t="inlineStr">
        <is>
          <t>MP</t>
        </is>
      </c>
      <c r="D1471" s="45" t="inlineStr">
        <is>
          <t>KG</t>
        </is>
      </c>
      <c r="E1471" s="45" t="inlineStr">
        <is>
          <t>0025</t>
        </is>
      </c>
      <c r="F1471" s="70" t="inlineStr">
        <is>
          <t>Compras</t>
        </is>
      </c>
      <c r="G1471" s="66" t="n">
        <v>77.3</v>
      </c>
      <c r="H1471" s="172" t="inlineStr">
        <is>
          <t>Não</t>
        </is>
      </c>
      <c r="I1471" s="50" t="n"/>
    </row>
    <row r="1472">
      <c r="A1472" s="40" t="inlineStr">
        <is>
          <t>000012</t>
        </is>
      </c>
      <c r="B1472" s="41" t="inlineStr">
        <is>
          <t>FILET MIGNON IN NATURA</t>
        </is>
      </c>
      <c r="C1472" s="42" t="inlineStr">
        <is>
          <t>MR</t>
        </is>
      </c>
      <c r="D1472" s="42" t="inlineStr">
        <is>
          <t>UN</t>
        </is>
      </c>
      <c r="E1472" s="42" t="inlineStr">
        <is>
          <t>0092</t>
        </is>
      </c>
      <c r="F1472" s="65" t="inlineStr">
        <is>
          <t>Venda</t>
        </is>
      </c>
      <c r="G1472" s="68" t="n">
        <v>0</v>
      </c>
      <c r="H1472" s="172" t="inlineStr">
        <is>
          <t>Não</t>
        </is>
      </c>
      <c r="I1472" s="47" t="inlineStr">
        <is>
          <t>10014</t>
        </is>
      </c>
    </row>
    <row r="1473">
      <c r="A1473" s="43" t="inlineStr">
        <is>
          <t>009916</t>
        </is>
      </c>
      <c r="B1473" s="44" t="inlineStr">
        <is>
          <t>FILTRO DE ENTRADA PARA CAIXA D'AGUA</t>
        </is>
      </c>
      <c r="C1473" s="45" t="inlineStr">
        <is>
          <t>MC</t>
        </is>
      </c>
      <c r="D1473" s="45" t="inlineStr">
        <is>
          <t>UN</t>
        </is>
      </c>
      <c r="E1473" s="45" t="inlineStr">
        <is>
          <t>0132</t>
        </is>
      </c>
      <c r="F1473" s="70" t="inlineStr">
        <is>
          <t>Compras</t>
        </is>
      </c>
      <c r="G1473" s="66" t="n">
        <v>15</v>
      </c>
      <c r="H1473" s="172" t="inlineStr">
        <is>
          <t>Não</t>
        </is>
      </c>
      <c r="I1473" s="50" t="n"/>
    </row>
    <row r="1474">
      <c r="A1474" s="40" t="inlineStr">
        <is>
          <t>009496</t>
        </is>
      </c>
      <c r="B1474" s="41" t="inlineStr">
        <is>
          <t>FILTRO DE LINHA PLASTICO 4 TOMADAS</t>
        </is>
      </c>
      <c r="C1474" s="42" t="inlineStr">
        <is>
          <t>MC</t>
        </is>
      </c>
      <c r="D1474" s="42" t="inlineStr">
        <is>
          <t>UN</t>
        </is>
      </c>
      <c r="E1474" s="42" t="inlineStr">
        <is>
          <t>0132</t>
        </is>
      </c>
      <c r="F1474" s="70" t="inlineStr">
        <is>
          <t>Compras</t>
        </is>
      </c>
      <c r="G1474" s="68" t="n">
        <v>0</v>
      </c>
      <c r="H1474" s="172" t="inlineStr">
        <is>
          <t>Não</t>
        </is>
      </c>
      <c r="I1474" s="49" t="n"/>
    </row>
    <row r="1475">
      <c r="A1475" s="43" t="inlineStr">
        <is>
          <t>009958</t>
        </is>
      </c>
      <c r="B1475" s="44" t="inlineStr">
        <is>
          <t>FILTRO GRANDE PARA AR CONDICIONADO</t>
        </is>
      </c>
      <c r="C1475" s="45" t="inlineStr">
        <is>
          <t>MC</t>
        </is>
      </c>
      <c r="D1475" s="45" t="inlineStr">
        <is>
          <t>UN</t>
        </is>
      </c>
      <c r="E1475" s="45" t="inlineStr">
        <is>
          <t>0132</t>
        </is>
      </c>
      <c r="F1475" s="70" t="inlineStr">
        <is>
          <t>Compras</t>
        </is>
      </c>
      <c r="G1475" s="66" t="n">
        <v>26.6367</v>
      </c>
      <c r="H1475" s="172" t="inlineStr">
        <is>
          <t>Não</t>
        </is>
      </c>
      <c r="I1475" s="50" t="n"/>
    </row>
    <row r="1476">
      <c r="A1476" s="40" t="inlineStr">
        <is>
          <t>000763</t>
        </is>
      </c>
      <c r="B1476" s="41" t="inlineStr">
        <is>
          <t>FILTRO P/ COIFA</t>
        </is>
      </c>
      <c r="C1476" s="42" t="inlineStr">
        <is>
          <t>AI</t>
        </is>
      </c>
      <c r="D1476" s="42" t="inlineStr">
        <is>
          <t>UN</t>
        </is>
      </c>
      <c r="E1476" s="42" t="inlineStr">
        <is>
          <t>0002</t>
        </is>
      </c>
      <c r="F1476" s="70" t="inlineStr">
        <is>
          <t>Compras</t>
        </is>
      </c>
      <c r="G1476" s="68" t="n">
        <v>0</v>
      </c>
      <c r="H1476" s="172" t="inlineStr">
        <is>
          <t>Não</t>
        </is>
      </c>
      <c r="I1476" s="49" t="n"/>
    </row>
    <row r="1477">
      <c r="A1477" s="43" t="inlineStr">
        <is>
          <t>009959</t>
        </is>
      </c>
      <c r="B1477" s="44" t="inlineStr">
        <is>
          <t>FILTRO PEQUENO PARA AR CONDICIONADO</t>
        </is>
      </c>
      <c r="C1477" s="45" t="inlineStr">
        <is>
          <t>MC</t>
        </is>
      </c>
      <c r="D1477" s="45" t="inlineStr">
        <is>
          <t>UN</t>
        </is>
      </c>
      <c r="E1477" s="45" t="inlineStr">
        <is>
          <t>0132</t>
        </is>
      </c>
      <c r="F1477" s="70" t="inlineStr">
        <is>
          <t>Compras</t>
        </is>
      </c>
      <c r="G1477" s="66" t="n">
        <v>25.1133</v>
      </c>
      <c r="H1477" s="172" t="inlineStr">
        <is>
          <t>Não</t>
        </is>
      </c>
      <c r="I1477" s="50" t="n"/>
    </row>
    <row r="1478">
      <c r="A1478" s="40" t="inlineStr">
        <is>
          <t>001691</t>
        </is>
      </c>
      <c r="B1478" s="41" t="inlineStr">
        <is>
          <t>FILTRO PURIFICADOR DE AGUA</t>
        </is>
      </c>
      <c r="C1478" s="42" t="inlineStr">
        <is>
          <t>MC</t>
        </is>
      </c>
      <c r="D1478" s="42" t="inlineStr">
        <is>
          <t>UN</t>
        </is>
      </c>
      <c r="E1478" s="42" t="inlineStr">
        <is>
          <t>0144</t>
        </is>
      </c>
      <c r="F1478" s="70" t="inlineStr">
        <is>
          <t>Compras</t>
        </is>
      </c>
      <c r="G1478" s="71" t="n">
        <v>1614</v>
      </c>
      <c r="H1478" s="172" t="inlineStr">
        <is>
          <t>Não</t>
        </is>
      </c>
      <c r="I1478" s="49" t="n"/>
    </row>
    <row r="1479">
      <c r="A1479" s="43" t="inlineStr">
        <is>
          <t>009593</t>
        </is>
      </c>
      <c r="B1479" s="44" t="inlineStr">
        <is>
          <t>FILTRO SECADOR 1/4</t>
        </is>
      </c>
      <c r="C1479" s="45" t="inlineStr">
        <is>
          <t>MC</t>
        </is>
      </c>
      <c r="D1479" s="45" t="inlineStr">
        <is>
          <t>UN</t>
        </is>
      </c>
      <c r="E1479" s="45" t="inlineStr">
        <is>
          <t>0132</t>
        </is>
      </c>
      <c r="F1479" s="70" t="inlineStr">
        <is>
          <t>Compras</t>
        </is>
      </c>
      <c r="G1479" s="66" t="n">
        <v>105</v>
      </c>
      <c r="H1479" s="172" t="inlineStr">
        <is>
          <t>Não</t>
        </is>
      </c>
      <c r="I1479" s="50" t="n"/>
    </row>
    <row r="1480">
      <c r="A1480" s="40" t="inlineStr">
        <is>
          <t>009389</t>
        </is>
      </c>
      <c r="B1480" s="41" t="inlineStr">
        <is>
          <t>FILTRO SECADOR 3/8</t>
        </is>
      </c>
      <c r="C1480" s="42" t="inlineStr">
        <is>
          <t>MC</t>
        </is>
      </c>
      <c r="D1480" s="42" t="inlineStr">
        <is>
          <t>UN</t>
        </is>
      </c>
      <c r="E1480" s="42" t="inlineStr">
        <is>
          <t>0132</t>
        </is>
      </c>
      <c r="F1480" s="70" t="inlineStr">
        <is>
          <t>Compras</t>
        </is>
      </c>
      <c r="G1480" s="71" t="n">
        <v>10.8</v>
      </c>
      <c r="H1480" s="172" t="inlineStr">
        <is>
          <t>Não</t>
        </is>
      </c>
      <c r="I1480" s="49" t="n"/>
    </row>
    <row r="1481">
      <c r="A1481" s="43" t="inlineStr">
        <is>
          <t>009330</t>
        </is>
      </c>
      <c r="B1481" s="44" t="inlineStr">
        <is>
          <t>FILTRO SECADOR MOLECULAR PONT 100MM 1POL CAPILAR</t>
        </is>
      </c>
      <c r="C1481" s="45" t="inlineStr">
        <is>
          <t>MC</t>
        </is>
      </c>
      <c r="D1481" s="45" t="inlineStr">
        <is>
          <t>UN</t>
        </is>
      </c>
      <c r="E1481" s="45" t="inlineStr">
        <is>
          <t>0132</t>
        </is>
      </c>
      <c r="F1481" s="70" t="inlineStr">
        <is>
          <t>Compras</t>
        </is>
      </c>
      <c r="G1481" s="66" t="n">
        <v>45</v>
      </c>
      <c r="H1481" s="172" t="inlineStr">
        <is>
          <t>Não</t>
        </is>
      </c>
      <c r="I1481" s="50" t="n"/>
    </row>
    <row r="1482">
      <c r="A1482" s="40" t="inlineStr">
        <is>
          <t>009796</t>
        </is>
      </c>
      <c r="B1482" s="41" t="inlineStr">
        <is>
          <t>FITA ADESIVA 3M 48MM X 100</t>
        </is>
      </c>
      <c r="C1482" s="42" t="inlineStr">
        <is>
          <t>MC</t>
        </is>
      </c>
      <c r="D1482" s="42" t="inlineStr">
        <is>
          <t>UN</t>
        </is>
      </c>
      <c r="E1482" s="42" t="inlineStr">
        <is>
          <t>0132</t>
        </is>
      </c>
      <c r="F1482" s="70" t="inlineStr">
        <is>
          <t>Compras</t>
        </is>
      </c>
      <c r="G1482" s="71" t="n">
        <v>8.9</v>
      </c>
      <c r="H1482" s="172" t="inlineStr">
        <is>
          <t>Não</t>
        </is>
      </c>
      <c r="I1482" s="49" t="n"/>
    </row>
    <row r="1483">
      <c r="A1483" s="43" t="inlineStr">
        <is>
          <t>009343</t>
        </is>
      </c>
      <c r="B1483" s="44" t="inlineStr">
        <is>
          <t>FITA ADESIVA ALUMINIZADA 20X10MT</t>
        </is>
      </c>
      <c r="C1483" s="45" t="inlineStr">
        <is>
          <t>MC</t>
        </is>
      </c>
      <c r="D1483" s="45" t="inlineStr">
        <is>
          <t>UN</t>
        </is>
      </c>
      <c r="E1483" s="45" t="inlineStr">
        <is>
          <t>0132</t>
        </is>
      </c>
      <c r="F1483" s="70" t="inlineStr">
        <is>
          <t>Compras</t>
        </is>
      </c>
      <c r="G1483" s="66" t="n">
        <v>99.90000000000001</v>
      </c>
      <c r="H1483" s="172" t="inlineStr">
        <is>
          <t>Não</t>
        </is>
      </c>
      <c r="I1483" s="50" t="n"/>
    </row>
    <row r="1484">
      <c r="A1484" s="40" t="inlineStr">
        <is>
          <t>000162</t>
        </is>
      </c>
      <c r="B1484" s="41" t="inlineStr">
        <is>
          <t>FITA ADESIVA DUPLA FACE</t>
        </is>
      </c>
      <c r="C1484" s="42" t="inlineStr">
        <is>
          <t>MC</t>
        </is>
      </c>
      <c r="D1484" s="42" t="inlineStr">
        <is>
          <t>UN</t>
        </is>
      </c>
      <c r="E1484" s="42" t="inlineStr">
        <is>
          <t>0001</t>
        </is>
      </c>
      <c r="F1484" s="70" t="inlineStr">
        <is>
          <t>Compras</t>
        </is>
      </c>
      <c r="G1484" s="71" t="n">
        <v>23.1</v>
      </c>
      <c r="H1484" s="172" t="inlineStr">
        <is>
          <t>Não</t>
        </is>
      </c>
      <c r="I1484" s="49" t="n"/>
    </row>
    <row r="1485">
      <c r="A1485" s="43" t="inlineStr">
        <is>
          <t>000171</t>
        </is>
      </c>
      <c r="B1485" s="44" t="inlineStr">
        <is>
          <t>FITA ADESIVA TRANSP DUREX</t>
        </is>
      </c>
      <c r="C1485" s="45" t="inlineStr">
        <is>
          <t>MC</t>
        </is>
      </c>
      <c r="D1485" s="45" t="inlineStr">
        <is>
          <t>UN</t>
        </is>
      </c>
      <c r="E1485" s="45" t="inlineStr">
        <is>
          <t>0001</t>
        </is>
      </c>
      <c r="F1485" s="70" t="inlineStr">
        <is>
          <t>Compras</t>
        </is>
      </c>
      <c r="G1485" s="66" t="n">
        <v>3.33</v>
      </c>
      <c r="H1485" s="172" t="inlineStr">
        <is>
          <t>Não</t>
        </is>
      </c>
      <c r="I1485" s="50" t="n"/>
    </row>
    <row r="1486">
      <c r="A1486" s="40" t="inlineStr">
        <is>
          <t>009676</t>
        </is>
      </c>
      <c r="B1486" s="41" t="inlineStr">
        <is>
          <t>FITA ADESIVA ZEBRADA</t>
        </is>
      </c>
      <c r="C1486" s="42" t="inlineStr">
        <is>
          <t>MC</t>
        </is>
      </c>
      <c r="D1486" s="42" t="inlineStr">
        <is>
          <t>UN</t>
        </is>
      </c>
      <c r="E1486" s="42" t="inlineStr">
        <is>
          <t>0132</t>
        </is>
      </c>
      <c r="F1486" s="70" t="inlineStr">
        <is>
          <t>Compras</t>
        </is>
      </c>
      <c r="G1486" s="71" t="n">
        <v>24.454</v>
      </c>
      <c r="H1486" s="172" t="inlineStr">
        <is>
          <t>Não</t>
        </is>
      </c>
      <c r="I1486" s="49" t="n"/>
    </row>
    <row r="1487">
      <c r="A1487" s="43" t="inlineStr">
        <is>
          <t>009681</t>
        </is>
      </c>
      <c r="B1487" s="44" t="inlineStr">
        <is>
          <t>FITA CREPE</t>
        </is>
      </c>
      <c r="C1487" s="45" t="inlineStr">
        <is>
          <t>MC</t>
        </is>
      </c>
      <c r="D1487" s="45" t="inlineStr">
        <is>
          <t>UN</t>
        </is>
      </c>
      <c r="E1487" s="45" t="inlineStr">
        <is>
          <t>0132</t>
        </is>
      </c>
      <c r="F1487" s="70" t="inlineStr">
        <is>
          <t>Compras</t>
        </is>
      </c>
      <c r="G1487" s="66" t="n">
        <v>16.5</v>
      </c>
      <c r="H1487" s="172" t="inlineStr">
        <is>
          <t>Não</t>
        </is>
      </c>
      <c r="I1487" s="50" t="n"/>
    </row>
    <row r="1488">
      <c r="A1488" s="40" t="inlineStr">
        <is>
          <t>009931</t>
        </is>
      </c>
      <c r="B1488" s="41" t="inlineStr">
        <is>
          <t>FITA DE LED DIRETA 10V 22W</t>
        </is>
      </c>
      <c r="C1488" s="42" t="inlineStr">
        <is>
          <t>MC</t>
        </is>
      </c>
      <c r="D1488" s="42" t="inlineStr">
        <is>
          <t>UN</t>
        </is>
      </c>
      <c r="E1488" s="42" t="inlineStr">
        <is>
          <t>0132</t>
        </is>
      </c>
      <c r="F1488" s="70" t="inlineStr">
        <is>
          <t>Compras</t>
        </is>
      </c>
      <c r="G1488" s="71" t="n">
        <v>9.140000000000001</v>
      </c>
      <c r="H1488" s="172" t="inlineStr">
        <is>
          <t>Não</t>
        </is>
      </c>
      <c r="I1488" s="49" t="n"/>
    </row>
    <row r="1489">
      <c r="A1489" s="43" t="inlineStr">
        <is>
          <t>009321</t>
        </is>
      </c>
      <c r="B1489" s="44" t="inlineStr">
        <is>
          <t>FITA ISOLANTE 18MM X 20M X 0,13MM 3M</t>
        </is>
      </c>
      <c r="C1489" s="45" t="inlineStr">
        <is>
          <t>MC</t>
        </is>
      </c>
      <c r="D1489" s="45" t="inlineStr">
        <is>
          <t>UN</t>
        </is>
      </c>
      <c r="E1489" s="45" t="inlineStr">
        <is>
          <t>0132</t>
        </is>
      </c>
      <c r="F1489" s="70" t="inlineStr">
        <is>
          <t>Compras</t>
        </is>
      </c>
      <c r="G1489" s="66" t="n">
        <v>19</v>
      </c>
      <c r="H1489" s="172" t="inlineStr">
        <is>
          <t>Não</t>
        </is>
      </c>
      <c r="I1489" s="50" t="n"/>
    </row>
    <row r="1490">
      <c r="A1490" s="40" t="inlineStr">
        <is>
          <t>009393</t>
        </is>
      </c>
      <c r="B1490" s="41" t="inlineStr">
        <is>
          <t>FITA ISOLANTE 19MM 20MT</t>
        </is>
      </c>
      <c r="C1490" s="42" t="inlineStr">
        <is>
          <t>MC</t>
        </is>
      </c>
      <c r="D1490" s="42" t="inlineStr">
        <is>
          <t>UN</t>
        </is>
      </c>
      <c r="E1490" s="42" t="inlineStr">
        <is>
          <t>0132</t>
        </is>
      </c>
      <c r="F1490" s="70" t="inlineStr">
        <is>
          <t>Compras</t>
        </is>
      </c>
      <c r="G1490" s="71" t="n">
        <v>29.07</v>
      </c>
      <c r="H1490" s="172" t="inlineStr">
        <is>
          <t>Não</t>
        </is>
      </c>
      <c r="I1490" s="49" t="n"/>
    </row>
    <row r="1491">
      <c r="A1491" s="43" t="inlineStr">
        <is>
          <t>009403</t>
        </is>
      </c>
      <c r="B1491" s="44" t="inlineStr">
        <is>
          <t>FITA ISOLANTE 3M AUTO FUSAO 10MT</t>
        </is>
      </c>
      <c r="C1491" s="45" t="inlineStr">
        <is>
          <t>MC</t>
        </is>
      </c>
      <c r="D1491" s="45" t="inlineStr">
        <is>
          <t>UN</t>
        </is>
      </c>
      <c r="E1491" s="45" t="inlineStr">
        <is>
          <t>0132</t>
        </is>
      </c>
      <c r="F1491" s="70" t="inlineStr">
        <is>
          <t>Compras</t>
        </is>
      </c>
      <c r="G1491" s="66" t="n">
        <v>23</v>
      </c>
      <c r="H1491" s="172" t="inlineStr">
        <is>
          <t>Não</t>
        </is>
      </c>
      <c r="I1491" s="50" t="n"/>
    </row>
    <row r="1492">
      <c r="A1492" s="40" t="inlineStr">
        <is>
          <t>010138</t>
        </is>
      </c>
      <c r="B1492" s="41" t="inlineStr">
        <is>
          <t>FITA LED 10W 3000W</t>
        </is>
      </c>
      <c r="C1492" s="42" t="inlineStr">
        <is>
          <t>MC</t>
        </is>
      </c>
      <c r="D1492" s="42" t="inlineStr">
        <is>
          <t>UN</t>
        </is>
      </c>
      <c r="E1492" s="42" t="inlineStr">
        <is>
          <t>0132</t>
        </is>
      </c>
      <c r="F1492" s="70" t="inlineStr">
        <is>
          <t>Compras</t>
        </is>
      </c>
      <c r="G1492" s="68" t="n">
        <v>0</v>
      </c>
      <c r="H1492" s="172" t="inlineStr">
        <is>
          <t>Não</t>
        </is>
      </c>
      <c r="I1492" s="49" t="n"/>
    </row>
    <row r="1493">
      <c r="A1493" s="43" t="inlineStr">
        <is>
          <t>009899</t>
        </is>
      </c>
      <c r="B1493" s="44" t="inlineStr">
        <is>
          <t>FITA LED RGB</t>
        </is>
      </c>
      <c r="C1493" s="45" t="inlineStr">
        <is>
          <t>MC</t>
        </is>
      </c>
      <c r="D1493" s="45" t="inlineStr">
        <is>
          <t>UN</t>
        </is>
      </c>
      <c r="E1493" s="45" t="inlineStr">
        <is>
          <t>0132</t>
        </is>
      </c>
      <c r="F1493" s="70" t="inlineStr">
        <is>
          <t>Compras</t>
        </is>
      </c>
      <c r="G1493" s="66" t="n">
        <v>22.22</v>
      </c>
      <c r="H1493" s="172" t="inlineStr">
        <is>
          <t>Não</t>
        </is>
      </c>
      <c r="I1493" s="50" t="n"/>
    </row>
    <row r="1494">
      <c r="A1494" s="40" t="inlineStr">
        <is>
          <t>010227</t>
        </is>
      </c>
      <c r="B1494" s="41" t="inlineStr">
        <is>
          <t>FITA MICROPORE</t>
        </is>
      </c>
      <c r="C1494" s="42" t="inlineStr">
        <is>
          <t>MC</t>
        </is>
      </c>
      <c r="D1494" s="42" t="inlineStr">
        <is>
          <t>UN</t>
        </is>
      </c>
      <c r="E1494" s="42" t="inlineStr">
        <is>
          <t>0145</t>
        </is>
      </c>
      <c r="F1494" s="70" t="inlineStr">
        <is>
          <t>Compras</t>
        </is>
      </c>
      <c r="G1494" s="68" t="n">
        <v>0</v>
      </c>
      <c r="H1494" s="172" t="inlineStr">
        <is>
          <t>Não</t>
        </is>
      </c>
      <c r="I1494" s="49" t="n"/>
    </row>
    <row r="1495">
      <c r="A1495" s="43" t="inlineStr">
        <is>
          <t>009302</t>
        </is>
      </c>
      <c r="B1495" s="44" t="inlineStr">
        <is>
          <t>FITA TELADA DRYWALL</t>
        </is>
      </c>
      <c r="C1495" s="45" t="inlineStr">
        <is>
          <t>MC</t>
        </is>
      </c>
      <c r="D1495" s="45" t="inlineStr">
        <is>
          <t>UN</t>
        </is>
      </c>
      <c r="E1495" s="45" t="inlineStr">
        <is>
          <t>0132</t>
        </is>
      </c>
      <c r="F1495" s="70" t="inlineStr">
        <is>
          <t>Compras</t>
        </is>
      </c>
      <c r="G1495" s="66" t="n">
        <v>24</v>
      </c>
      <c r="H1495" s="172" t="inlineStr">
        <is>
          <t>Não</t>
        </is>
      </c>
      <c r="I1495" s="50" t="n"/>
    </row>
    <row r="1496">
      <c r="A1496" s="40" t="inlineStr">
        <is>
          <t>009383</t>
        </is>
      </c>
      <c r="B1496" s="41" t="inlineStr">
        <is>
          <t>FITA VEDA ROSCA</t>
        </is>
      </c>
      <c r="C1496" s="42" t="inlineStr">
        <is>
          <t>MC</t>
        </is>
      </c>
      <c r="D1496" s="42" t="inlineStr">
        <is>
          <t>UN</t>
        </is>
      </c>
      <c r="E1496" s="42" t="inlineStr">
        <is>
          <t>0132</t>
        </is>
      </c>
      <c r="F1496" s="70" t="inlineStr">
        <is>
          <t>Compras</t>
        </is>
      </c>
      <c r="G1496" s="71" t="n">
        <v>6</v>
      </c>
      <c r="H1496" s="172" t="inlineStr">
        <is>
          <t>Não</t>
        </is>
      </c>
      <c r="I1496" s="49" t="n"/>
    </row>
    <row r="1497">
      <c r="A1497" s="43" t="inlineStr">
        <is>
          <t>009898</t>
        </is>
      </c>
      <c r="B1497" s="44" t="inlineStr">
        <is>
          <t>FITA VEDA ROSCA</t>
        </is>
      </c>
      <c r="C1497" s="45" t="inlineStr">
        <is>
          <t>MC</t>
        </is>
      </c>
      <c r="D1497" s="45" t="inlineStr">
        <is>
          <t>UN</t>
        </is>
      </c>
      <c r="E1497" s="45" t="inlineStr">
        <is>
          <t>0132</t>
        </is>
      </c>
      <c r="F1497" s="70" t="inlineStr">
        <is>
          <t>Compras</t>
        </is>
      </c>
      <c r="G1497" s="69" t="n">
        <v>0</v>
      </c>
      <c r="H1497" s="172" t="inlineStr">
        <is>
          <t>Não</t>
        </is>
      </c>
      <c r="I1497" s="50" t="n"/>
    </row>
    <row r="1498">
      <c r="A1498" s="40" t="inlineStr">
        <is>
          <t>001950</t>
        </is>
      </c>
      <c r="B1498" s="41" t="inlineStr">
        <is>
          <t>FITZ FLORINDA</t>
        </is>
      </c>
      <c r="C1498" s="42" t="inlineStr">
        <is>
          <t>PA</t>
        </is>
      </c>
      <c r="D1498" s="42" t="inlineStr">
        <is>
          <t>UN</t>
        </is>
      </c>
      <c r="E1498" s="42" t="inlineStr">
        <is>
          <t>0119</t>
        </is>
      </c>
      <c r="F1498" s="65" t="inlineStr">
        <is>
          <t>Venda</t>
        </is>
      </c>
      <c r="G1498" s="68" t="n">
        <v>0</v>
      </c>
      <c r="H1498" s="172" t="inlineStr">
        <is>
          <t>Não</t>
        </is>
      </c>
      <c r="I1498" s="47" t="inlineStr">
        <is>
          <t>78989056877228</t>
        </is>
      </c>
    </row>
    <row r="1499">
      <c r="A1499" s="43" t="inlineStr">
        <is>
          <t>001951</t>
        </is>
      </c>
      <c r="B1499" s="44" t="inlineStr">
        <is>
          <t>FITZ GERALD</t>
        </is>
      </c>
      <c r="C1499" s="45" t="inlineStr">
        <is>
          <t>PA</t>
        </is>
      </c>
      <c r="D1499" s="45" t="inlineStr">
        <is>
          <t>UN</t>
        </is>
      </c>
      <c r="E1499" s="45" t="inlineStr">
        <is>
          <t>0119</t>
        </is>
      </c>
      <c r="F1499" s="65" t="inlineStr">
        <is>
          <t>Venda</t>
        </is>
      </c>
      <c r="G1499" s="69" t="n">
        <v>0</v>
      </c>
      <c r="H1499" s="172" t="inlineStr">
        <is>
          <t>Não</t>
        </is>
      </c>
      <c r="I1499" s="48" t="inlineStr">
        <is>
          <t>78989056877229</t>
        </is>
      </c>
    </row>
    <row r="1500">
      <c r="A1500" s="43" t="inlineStr">
        <is>
          <t>001922</t>
        </is>
      </c>
      <c r="B1500" s="44" t="inlineStr">
        <is>
          <t>FITZGERALD 750 ML APTK</t>
        </is>
      </c>
      <c r="C1500" s="45" t="inlineStr">
        <is>
          <t>ME</t>
        </is>
      </c>
      <c r="D1500" s="45" t="inlineStr">
        <is>
          <t>LT</t>
        </is>
      </c>
      <c r="E1500" s="45" t="inlineStr">
        <is>
          <t>0138</t>
        </is>
      </c>
      <c r="F1500" s="70" t="inlineStr">
        <is>
          <t>Compras</t>
        </is>
      </c>
      <c r="G1500" s="66" t="n">
        <v>100</v>
      </c>
      <c r="H1500" s="172" t="inlineStr">
        <is>
          <t>Não</t>
        </is>
      </c>
      <c r="I1500" s="50" t="n"/>
    </row>
    <row r="1501">
      <c r="A1501" s="40" t="inlineStr">
        <is>
          <t>002015</t>
        </is>
      </c>
      <c r="B1501" s="41" t="inlineStr">
        <is>
          <t>FIUFIU CAJA LEMON 275ML</t>
        </is>
      </c>
      <c r="C1501" s="42" t="inlineStr">
        <is>
          <t>PA</t>
        </is>
      </c>
      <c r="D1501" s="42" t="inlineStr">
        <is>
          <t>UN</t>
        </is>
      </c>
      <c r="E1501" s="42" t="inlineStr">
        <is>
          <t>0119</t>
        </is>
      </c>
      <c r="F1501" s="65" t="inlineStr">
        <is>
          <t>Venda</t>
        </is>
      </c>
      <c r="G1501" s="68" t="n">
        <v>0</v>
      </c>
      <c r="H1501" s="172" t="inlineStr">
        <is>
          <t>Não</t>
        </is>
      </c>
      <c r="I1501" s="47" t="inlineStr">
        <is>
          <t>78989056877272</t>
        </is>
      </c>
    </row>
    <row r="1502">
      <c r="A1502" s="43" t="inlineStr">
        <is>
          <t>000850</t>
        </is>
      </c>
      <c r="B1502" s="44" t="inlineStr">
        <is>
          <t>FLAMENGO</t>
        </is>
      </c>
      <c r="C1502" s="45" t="inlineStr">
        <is>
          <t>OI</t>
        </is>
      </c>
      <c r="D1502" s="45" t="inlineStr">
        <is>
          <t>UN</t>
        </is>
      </c>
      <c r="E1502" s="45" t="inlineStr">
        <is>
          <t>0128</t>
        </is>
      </c>
      <c r="F1502" s="65" t="inlineStr">
        <is>
          <t>Venda</t>
        </is>
      </c>
      <c r="G1502" s="69" t="n">
        <v>0</v>
      </c>
      <c r="H1502" s="172" t="inlineStr">
        <is>
          <t>Não</t>
        </is>
      </c>
      <c r="I1502" s="48" t="inlineStr">
        <is>
          <t>61581</t>
        </is>
      </c>
    </row>
    <row r="1503">
      <c r="A1503" s="40" t="inlineStr">
        <is>
          <t>001174</t>
        </is>
      </c>
      <c r="B1503" s="41" t="inlineStr">
        <is>
          <t>FLOR DE HIBISCO</t>
        </is>
      </c>
      <c r="C1503" s="42" t="inlineStr">
        <is>
          <t>MP</t>
        </is>
      </c>
      <c r="D1503" s="42" t="inlineStr">
        <is>
          <t>KG</t>
        </is>
      </c>
      <c r="E1503" s="42" t="inlineStr">
        <is>
          <t>0029</t>
        </is>
      </c>
      <c r="F1503" s="70" t="inlineStr">
        <is>
          <t>Compras</t>
        </is>
      </c>
      <c r="G1503" s="71" t="n">
        <v>56.55</v>
      </c>
      <c r="H1503" s="172" t="inlineStr">
        <is>
          <t>Não</t>
        </is>
      </c>
      <c r="I1503" s="49" t="n"/>
    </row>
    <row r="1504">
      <c r="A1504" s="43" t="inlineStr">
        <is>
          <t>000140</t>
        </is>
      </c>
      <c r="B1504" s="44" t="inlineStr">
        <is>
          <t>FLYER 10X15CM</t>
        </is>
      </c>
      <c r="C1504" s="45" t="inlineStr">
        <is>
          <t>MC</t>
        </is>
      </c>
      <c r="D1504" s="45" t="inlineStr">
        <is>
          <t>UN</t>
        </is>
      </c>
      <c r="E1504" s="45" t="inlineStr">
        <is>
          <t>0073</t>
        </is>
      </c>
      <c r="F1504" s="70" t="inlineStr">
        <is>
          <t>Compras</t>
        </is>
      </c>
      <c r="G1504" s="66" t="n">
        <v>0.11</v>
      </c>
      <c r="H1504" s="172" t="inlineStr">
        <is>
          <t>Não</t>
        </is>
      </c>
      <c r="I1504" s="50" t="n"/>
    </row>
    <row r="1505">
      <c r="A1505" s="40" t="inlineStr">
        <is>
          <t>002106</t>
        </is>
      </c>
      <c r="B1505" s="41" t="inlineStr">
        <is>
          <t>FOAMING - DETERGENTE 5LT</t>
        </is>
      </c>
      <c r="C1505" s="42" t="inlineStr">
        <is>
          <t>MC</t>
        </is>
      </c>
      <c r="D1505" s="42" t="inlineStr">
        <is>
          <t>UN</t>
        </is>
      </c>
      <c r="E1505" s="42" t="inlineStr">
        <is>
          <t>0075</t>
        </is>
      </c>
      <c r="F1505" s="70" t="inlineStr">
        <is>
          <t>Compras</t>
        </is>
      </c>
      <c r="G1505" s="68" t="n">
        <v>0</v>
      </c>
      <c r="H1505" s="172" t="inlineStr">
        <is>
          <t>Não</t>
        </is>
      </c>
      <c r="I1505" s="49" t="n"/>
    </row>
    <row r="1506">
      <c r="A1506" s="43" t="inlineStr">
        <is>
          <t>000609</t>
        </is>
      </c>
      <c r="B1506" s="44" t="inlineStr">
        <is>
          <t>FOGAO</t>
        </is>
      </c>
      <c r="C1506" s="45" t="inlineStr">
        <is>
          <t>AI</t>
        </is>
      </c>
      <c r="D1506" s="45" t="inlineStr">
        <is>
          <t>UN</t>
        </is>
      </c>
      <c r="E1506" s="45" t="inlineStr">
        <is>
          <t>0002</t>
        </is>
      </c>
      <c r="F1506" s="70" t="inlineStr">
        <is>
          <t>Compras</t>
        </is>
      </c>
      <c r="G1506" s="69" t="n">
        <v>0</v>
      </c>
      <c r="H1506" s="172" t="inlineStr">
        <is>
          <t>Não</t>
        </is>
      </c>
      <c r="I1506" s="50" t="n"/>
    </row>
    <row r="1507">
      <c r="A1507" s="40" t="inlineStr">
        <is>
          <t>002111</t>
        </is>
      </c>
      <c r="B1507" s="41" t="inlineStr">
        <is>
          <t>FOLDERS</t>
        </is>
      </c>
      <c r="C1507" s="42" t="inlineStr">
        <is>
          <t>MC</t>
        </is>
      </c>
      <c r="D1507" s="42" t="inlineStr">
        <is>
          <t>UN</t>
        </is>
      </c>
      <c r="E1507" s="42" t="inlineStr">
        <is>
          <t>0073</t>
        </is>
      </c>
      <c r="F1507" s="70" t="inlineStr">
        <is>
          <t>Compras</t>
        </is>
      </c>
      <c r="G1507" s="71" t="n">
        <v>0.192</v>
      </c>
      <c r="H1507" s="172" t="inlineStr">
        <is>
          <t>Não</t>
        </is>
      </c>
      <c r="I1507" s="49" t="n"/>
    </row>
    <row r="1508">
      <c r="A1508" s="43" t="inlineStr">
        <is>
          <t>000475</t>
        </is>
      </c>
      <c r="B1508" s="44" t="inlineStr">
        <is>
          <t>FOLHA DE LOURO</t>
        </is>
      </c>
      <c r="C1508" s="45" t="inlineStr">
        <is>
          <t>MP</t>
        </is>
      </c>
      <c r="D1508" s="45" t="inlineStr">
        <is>
          <t>KG</t>
        </is>
      </c>
      <c r="E1508" s="45" t="inlineStr">
        <is>
          <t>0036</t>
        </is>
      </c>
      <c r="F1508" s="70" t="inlineStr">
        <is>
          <t>Compras</t>
        </is>
      </c>
      <c r="G1508" s="66" t="n">
        <v>72</v>
      </c>
      <c r="H1508" s="172" t="inlineStr">
        <is>
          <t>Não</t>
        </is>
      </c>
      <c r="I1508" s="50" t="n"/>
    </row>
    <row r="1509">
      <c r="A1509" s="40" t="inlineStr">
        <is>
          <t>000789</t>
        </is>
      </c>
      <c r="B1509" s="41" t="inlineStr">
        <is>
          <t>FONE DE OUVIDO COM FIO</t>
        </is>
      </c>
      <c r="C1509" s="42" t="inlineStr">
        <is>
          <t>MC</t>
        </is>
      </c>
      <c r="D1509" s="42" t="inlineStr">
        <is>
          <t>UN</t>
        </is>
      </c>
      <c r="E1509" s="42" t="inlineStr">
        <is>
          <t>0006</t>
        </is>
      </c>
      <c r="F1509" s="70" t="inlineStr">
        <is>
          <t>Compras</t>
        </is>
      </c>
      <c r="G1509" s="71" t="n">
        <v>255.43</v>
      </c>
      <c r="H1509" s="172" t="inlineStr">
        <is>
          <t>Não</t>
        </is>
      </c>
      <c r="I1509" s="49" t="n"/>
    </row>
    <row r="1510">
      <c r="A1510" s="43" t="inlineStr">
        <is>
          <t>002277</t>
        </is>
      </c>
      <c r="B1510" s="44" t="inlineStr">
        <is>
          <t>FONE DE OUVIDO PARA RADIO COMUNICADOR</t>
        </is>
      </c>
      <c r="C1510" s="45" t="inlineStr">
        <is>
          <t>MC</t>
        </is>
      </c>
      <c r="D1510" s="45" t="inlineStr">
        <is>
          <t>UN</t>
        </is>
      </c>
      <c r="E1510" s="45" t="inlineStr">
        <is>
          <t>0006</t>
        </is>
      </c>
      <c r="F1510" s="70" t="inlineStr">
        <is>
          <t>Compras</t>
        </is>
      </c>
      <c r="G1510" s="66" t="n">
        <v>130</v>
      </c>
      <c r="H1510" s="172" t="inlineStr">
        <is>
          <t>Não</t>
        </is>
      </c>
      <c r="I1510" s="50" t="n"/>
    </row>
    <row r="1511">
      <c r="A1511" s="40" t="inlineStr">
        <is>
          <t>009881</t>
        </is>
      </c>
      <c r="B1511" s="41" t="inlineStr">
        <is>
          <t>FONTE 12V 06A 72W</t>
        </is>
      </c>
      <c r="C1511" s="42" t="inlineStr">
        <is>
          <t>MC</t>
        </is>
      </c>
      <c r="D1511" s="42" t="inlineStr">
        <is>
          <t>UN</t>
        </is>
      </c>
      <c r="E1511" s="42" t="inlineStr">
        <is>
          <t>0132</t>
        </is>
      </c>
      <c r="F1511" s="70" t="inlineStr">
        <is>
          <t>Compras</t>
        </is>
      </c>
      <c r="G1511" s="71" t="n">
        <v>390</v>
      </c>
      <c r="H1511" s="172" t="inlineStr">
        <is>
          <t>Não</t>
        </is>
      </c>
      <c r="I1511" s="49" t="n"/>
    </row>
    <row r="1512">
      <c r="A1512" s="43" t="inlineStr">
        <is>
          <t>010101</t>
        </is>
      </c>
      <c r="B1512" s="44" t="inlineStr">
        <is>
          <t>FONTE ELETRONICA 36W 12V 3A</t>
        </is>
      </c>
      <c r="C1512" s="45" t="inlineStr">
        <is>
          <t>MC</t>
        </is>
      </c>
      <c r="D1512" s="45" t="inlineStr">
        <is>
          <t>UN</t>
        </is>
      </c>
      <c r="E1512" s="45" t="inlineStr">
        <is>
          <t>0132</t>
        </is>
      </c>
      <c r="F1512" s="70" t="inlineStr">
        <is>
          <t>Compras</t>
        </is>
      </c>
      <c r="G1512" s="66" t="n">
        <v>39.46</v>
      </c>
      <c r="H1512" s="172" t="inlineStr">
        <is>
          <t>Não</t>
        </is>
      </c>
      <c r="I1512" s="50" t="n"/>
    </row>
    <row r="1513">
      <c r="A1513" s="40" t="inlineStr">
        <is>
          <t>010177</t>
        </is>
      </c>
      <c r="B1513" s="41" t="inlineStr">
        <is>
          <t>FORMA DE PAPELAO PARA PILAR</t>
        </is>
      </c>
      <c r="C1513" s="42" t="inlineStr">
        <is>
          <t>MC</t>
        </is>
      </c>
      <c r="D1513" s="42" t="inlineStr">
        <is>
          <t>UN</t>
        </is>
      </c>
      <c r="E1513" s="42" t="inlineStr">
        <is>
          <t>0132</t>
        </is>
      </c>
      <c r="F1513" s="70" t="inlineStr">
        <is>
          <t>Compras</t>
        </is>
      </c>
      <c r="G1513" s="71" t="n">
        <v>49.9</v>
      </c>
      <c r="H1513" s="172" t="inlineStr">
        <is>
          <t>Não</t>
        </is>
      </c>
      <c r="I1513" s="49" t="n"/>
    </row>
    <row r="1514">
      <c r="A1514" s="43" t="inlineStr">
        <is>
          <t>001634</t>
        </is>
      </c>
      <c r="B1514" s="44" t="inlineStr">
        <is>
          <t>FORNECIMENTO DE M O-DE-OBRA, M</t>
        </is>
      </c>
      <c r="C1514" s="45" t="inlineStr">
        <is>
          <t>SV</t>
        </is>
      </c>
      <c r="D1514" s="45" t="inlineStr">
        <is>
          <t>UN</t>
        </is>
      </c>
      <c r="E1514" s="45" t="inlineStr">
        <is>
          <t>(VAZ</t>
        </is>
      </c>
      <c r="F1514" s="70" t="inlineStr">
        <is>
          <t>Compras</t>
        </is>
      </c>
      <c r="G1514" s="69" t="n">
        <v>0</v>
      </c>
      <c r="H1514" s="172" t="inlineStr">
        <is>
          <t>Não</t>
        </is>
      </c>
      <c r="I1514" s="50" t="n"/>
    </row>
    <row r="1515">
      <c r="A1515" s="40" t="inlineStr">
        <is>
          <t>001633</t>
        </is>
      </c>
      <c r="B1515" s="41" t="inlineStr">
        <is>
          <t>FORNECIMENTO DE M SICA PARA AM</t>
        </is>
      </c>
      <c r="C1515" s="42" t="inlineStr">
        <is>
          <t>SV</t>
        </is>
      </c>
      <c r="D1515" s="42" t="inlineStr">
        <is>
          <t>UN</t>
        </is>
      </c>
      <c r="E1515" s="42" t="inlineStr">
        <is>
          <t>(VAZ</t>
        </is>
      </c>
      <c r="F1515" s="70" t="inlineStr">
        <is>
          <t>Compras</t>
        </is>
      </c>
      <c r="G1515" s="68" t="n">
        <v>0</v>
      </c>
      <c r="H1515" s="172" t="inlineStr">
        <is>
          <t>Não</t>
        </is>
      </c>
      <c r="I1515" s="49" t="n"/>
    </row>
    <row r="1516">
      <c r="A1516" s="43" t="inlineStr">
        <is>
          <t>001751</t>
        </is>
      </c>
      <c r="B1516" s="44" t="inlineStr">
        <is>
          <t>FORNO COMBINADO 10GNS ELETRICO</t>
        </is>
      </c>
      <c r="C1516" s="45" t="inlineStr">
        <is>
          <t>AI</t>
        </is>
      </c>
      <c r="D1516" s="45" t="inlineStr">
        <is>
          <t>UN</t>
        </is>
      </c>
      <c r="E1516" s="45" t="inlineStr">
        <is>
          <t>0002</t>
        </is>
      </c>
      <c r="F1516" s="70" t="inlineStr">
        <is>
          <t>Compras</t>
        </is>
      </c>
      <c r="G1516" s="69" t="n">
        <v>0</v>
      </c>
      <c r="H1516" s="172" t="inlineStr">
        <is>
          <t>Não</t>
        </is>
      </c>
      <c r="I1516" s="50" t="n"/>
    </row>
    <row r="1517">
      <c r="A1517" s="40" t="inlineStr">
        <is>
          <t>002014</t>
        </is>
      </c>
      <c r="B1517" s="41" t="inlineStr">
        <is>
          <t>FORRO</t>
        </is>
      </c>
      <c r="C1517" s="42" t="inlineStr">
        <is>
          <t>MC</t>
        </is>
      </c>
      <c r="D1517" s="42" t="inlineStr">
        <is>
          <t>UN</t>
        </is>
      </c>
      <c r="E1517" s="42" t="inlineStr">
        <is>
          <t>0132</t>
        </is>
      </c>
      <c r="F1517" s="70" t="inlineStr">
        <is>
          <t>Compras</t>
        </is>
      </c>
      <c r="G1517" s="71" t="n">
        <v>43.1717</v>
      </c>
      <c r="H1517" s="172" t="inlineStr">
        <is>
          <t>Não</t>
        </is>
      </c>
      <c r="I1517" s="49" t="n"/>
    </row>
    <row r="1518">
      <c r="A1518" s="43" t="inlineStr">
        <is>
          <t>009885</t>
        </is>
      </c>
      <c r="B1518" s="44" t="inlineStr">
        <is>
          <t>FORRRO DE PVC</t>
        </is>
      </c>
      <c r="C1518" s="45" t="inlineStr">
        <is>
          <t>MC</t>
        </is>
      </c>
      <c r="D1518" s="45" t="inlineStr">
        <is>
          <t>UN</t>
        </is>
      </c>
      <c r="E1518" s="45" t="inlineStr">
        <is>
          <t>0132</t>
        </is>
      </c>
      <c r="F1518" s="70" t="inlineStr">
        <is>
          <t>Compras</t>
        </is>
      </c>
      <c r="G1518" s="69" t="n">
        <v>0</v>
      </c>
      <c r="H1518" s="172" t="inlineStr">
        <is>
          <t>Não</t>
        </is>
      </c>
      <c r="I1518" s="50" t="n"/>
    </row>
    <row r="1519">
      <c r="A1519" s="40" t="inlineStr">
        <is>
          <t>000087</t>
        </is>
      </c>
      <c r="B1519" s="41" t="inlineStr">
        <is>
          <t>FOSFORO</t>
        </is>
      </c>
      <c r="C1519" s="42" t="inlineStr">
        <is>
          <t>MC</t>
        </is>
      </c>
      <c r="D1519" s="42" t="inlineStr">
        <is>
          <t>UN</t>
        </is>
      </c>
      <c r="E1519" s="42" t="inlineStr">
        <is>
          <t>0075</t>
        </is>
      </c>
      <c r="F1519" s="70" t="inlineStr">
        <is>
          <t>Compras</t>
        </is>
      </c>
      <c r="G1519" s="71" t="n">
        <v>2.676</v>
      </c>
      <c r="H1519" s="172" t="inlineStr">
        <is>
          <t>Não</t>
        </is>
      </c>
      <c r="I1519" s="49" t="n"/>
    </row>
    <row r="1520">
      <c r="A1520" s="43" t="inlineStr">
        <is>
          <t>002224</t>
        </is>
      </c>
      <c r="B1520" s="44" t="inlineStr">
        <is>
          <t>FRAMBOESA CONGELADA FRANUI 150G</t>
        </is>
      </c>
      <c r="C1520" s="45" t="inlineStr">
        <is>
          <t>ME</t>
        </is>
      </c>
      <c r="D1520" s="45" t="inlineStr">
        <is>
          <t>UN</t>
        </is>
      </c>
      <c r="E1520" s="45" t="inlineStr">
        <is>
          <t>0022</t>
        </is>
      </c>
      <c r="F1520" s="70" t="inlineStr">
        <is>
          <t>Compras</t>
        </is>
      </c>
      <c r="G1520" s="66" t="n">
        <v>15.8694</v>
      </c>
      <c r="H1520" s="172" t="inlineStr">
        <is>
          <t>Não</t>
        </is>
      </c>
      <c r="I1520" s="50" t="n"/>
    </row>
    <row r="1521">
      <c r="A1521" s="40" t="inlineStr">
        <is>
          <t>000024</t>
        </is>
      </c>
      <c r="B1521" s="41" t="inlineStr">
        <is>
          <t>FRANGO</t>
        </is>
      </c>
      <c r="C1521" s="42" t="inlineStr">
        <is>
          <t>PA</t>
        </is>
      </c>
      <c r="D1521" s="42" t="inlineStr">
        <is>
          <t>UN</t>
        </is>
      </c>
      <c r="E1521" s="42" t="inlineStr">
        <is>
          <t>0099</t>
        </is>
      </c>
      <c r="F1521" s="65" t="inlineStr">
        <is>
          <t>Venda</t>
        </is>
      </c>
      <c r="G1521" s="71" t="n">
        <v>17.829</v>
      </c>
      <c r="H1521" s="172" t="inlineStr">
        <is>
          <t>Não</t>
        </is>
      </c>
      <c r="I1521" s="47" t="inlineStr">
        <is>
          <t>10036</t>
        </is>
      </c>
    </row>
    <row r="1522">
      <c r="A1522" s="43" t="inlineStr">
        <is>
          <t>001130</t>
        </is>
      </c>
      <c r="B1522" s="44" t="inlineStr">
        <is>
          <t>FRANGO A PASSARINHO</t>
        </is>
      </c>
      <c r="C1522" s="45" t="inlineStr">
        <is>
          <t>MR</t>
        </is>
      </c>
      <c r="D1522" s="45" t="inlineStr">
        <is>
          <t>KG</t>
        </is>
      </c>
      <c r="E1522" s="45" t="inlineStr">
        <is>
          <t>0099</t>
        </is>
      </c>
      <c r="F1522" s="70" t="inlineStr">
        <is>
          <t>Compras</t>
        </is>
      </c>
      <c r="G1522" s="69" t="n">
        <v>0</v>
      </c>
      <c r="H1522" s="173" t="inlineStr">
        <is>
          <t>Sim</t>
        </is>
      </c>
      <c r="I1522" s="50" t="n"/>
    </row>
    <row r="1523">
      <c r="A1523" s="40" t="inlineStr">
        <is>
          <t>000006</t>
        </is>
      </c>
      <c r="B1523" s="41" t="inlineStr">
        <is>
          <t>FRANGO IN NATURA</t>
        </is>
      </c>
      <c r="C1523" s="42" t="inlineStr">
        <is>
          <t>MR</t>
        </is>
      </c>
      <c r="D1523" s="42" t="inlineStr">
        <is>
          <t>UN</t>
        </is>
      </c>
      <c r="E1523" s="42" t="inlineStr">
        <is>
          <t>0099</t>
        </is>
      </c>
      <c r="F1523" s="65" t="inlineStr">
        <is>
          <t>Venda</t>
        </is>
      </c>
      <c r="G1523" s="68" t="n">
        <v>0</v>
      </c>
      <c r="H1523" s="172" t="inlineStr">
        <is>
          <t>Não</t>
        </is>
      </c>
      <c r="I1523" s="47" t="inlineStr">
        <is>
          <t>10007</t>
        </is>
      </c>
    </row>
    <row r="1524">
      <c r="A1524" s="43" t="inlineStr">
        <is>
          <t>002192</t>
        </is>
      </c>
      <c r="B1524" s="44" t="inlineStr">
        <is>
          <t>FRANGO RUA</t>
        </is>
      </c>
      <c r="C1524" s="45" t="inlineStr">
        <is>
          <t>PA</t>
        </is>
      </c>
      <c r="D1524" s="45" t="inlineStr">
        <is>
          <t>UN</t>
        </is>
      </c>
      <c r="E1524" s="45" t="inlineStr">
        <is>
          <t>0099</t>
        </is>
      </c>
      <c r="F1524" s="65" t="inlineStr">
        <is>
          <t>Venda</t>
        </is>
      </c>
      <c r="G1524" s="69" t="n">
        <v>0</v>
      </c>
      <c r="H1524" s="172" t="inlineStr">
        <is>
          <t>Não</t>
        </is>
      </c>
      <c r="I1524" s="48" t="inlineStr">
        <is>
          <t>78989056877349</t>
        </is>
      </c>
    </row>
    <row r="1525">
      <c r="A1525" s="40" t="inlineStr">
        <is>
          <t>002171</t>
        </is>
      </c>
      <c r="B1525" s="41" t="inlineStr">
        <is>
          <t>FRANUI AO LEITE</t>
        </is>
      </c>
      <c r="C1525" s="42" t="inlineStr">
        <is>
          <t>MR</t>
        </is>
      </c>
      <c r="D1525" s="42" t="inlineStr">
        <is>
          <t>UN</t>
        </is>
      </c>
      <c r="E1525" s="42" t="inlineStr">
        <is>
          <t>0121</t>
        </is>
      </c>
      <c r="F1525" s="65" t="inlineStr">
        <is>
          <t>Venda</t>
        </is>
      </c>
      <c r="G1525" s="71" t="n">
        <v>15.8694</v>
      </c>
      <c r="H1525" s="173" t="inlineStr">
        <is>
          <t>Sim</t>
        </is>
      </c>
      <c r="I1525" s="49" t="n"/>
    </row>
    <row r="1526">
      <c r="A1526" s="43" t="inlineStr">
        <is>
          <t>002109</t>
        </is>
      </c>
      <c r="B1526" s="44" t="inlineStr">
        <is>
          <t>FRASCO GRADUADO 1LT</t>
        </is>
      </c>
      <c r="C1526" s="45" t="inlineStr">
        <is>
          <t>MC</t>
        </is>
      </c>
      <c r="D1526" s="45" t="inlineStr">
        <is>
          <t>UN</t>
        </is>
      </c>
      <c r="E1526" s="45" t="inlineStr">
        <is>
          <t>0075</t>
        </is>
      </c>
      <c r="F1526" s="70" t="inlineStr">
        <is>
          <t>Compras</t>
        </is>
      </c>
      <c r="G1526" s="66" t="n">
        <v>8.2751</v>
      </c>
      <c r="H1526" s="172" t="inlineStr">
        <is>
          <t>Não</t>
        </is>
      </c>
      <c r="I1526" s="50" t="n"/>
    </row>
    <row r="1527">
      <c r="A1527" s="40" t="inlineStr">
        <is>
          <t>001653</t>
        </is>
      </c>
      <c r="B1527" s="41" t="inlineStr">
        <is>
          <t>FRETE</t>
        </is>
      </c>
      <c r="C1527" s="42" t="inlineStr">
        <is>
          <t>SV</t>
        </is>
      </c>
      <c r="D1527" s="42" t="inlineStr">
        <is>
          <t>UN</t>
        </is>
      </c>
      <c r="E1527" s="42" t="inlineStr">
        <is>
          <t>(VAZ</t>
        </is>
      </c>
      <c r="F1527" s="70" t="inlineStr">
        <is>
          <t>Compras</t>
        </is>
      </c>
      <c r="G1527" s="68" t="n">
        <v>0</v>
      </c>
      <c r="H1527" s="172" t="inlineStr">
        <is>
          <t>Não</t>
        </is>
      </c>
      <c r="I1527" s="49" t="n"/>
    </row>
    <row r="1528">
      <c r="A1528" s="43" t="inlineStr">
        <is>
          <t>001643</t>
        </is>
      </c>
      <c r="B1528" s="44" t="inlineStr">
        <is>
          <t>FREZZER</t>
        </is>
      </c>
      <c r="C1528" s="45" t="inlineStr">
        <is>
          <t>AI</t>
        </is>
      </c>
      <c r="D1528" s="45" t="inlineStr">
        <is>
          <t>UN</t>
        </is>
      </c>
      <c r="E1528" s="45" t="inlineStr">
        <is>
          <t>0002</t>
        </is>
      </c>
      <c r="F1528" s="70" t="inlineStr">
        <is>
          <t>Compras</t>
        </is>
      </c>
      <c r="G1528" s="69" t="n">
        <v>0</v>
      </c>
      <c r="H1528" s="172" t="inlineStr">
        <is>
          <t>Não</t>
        </is>
      </c>
      <c r="I1528" s="50" t="n"/>
    </row>
    <row r="1529">
      <c r="A1529" s="40" t="inlineStr">
        <is>
          <t>000659</t>
        </is>
      </c>
      <c r="B1529" s="41" t="inlineStr">
        <is>
          <t>FRIGIDEIRA</t>
        </is>
      </c>
      <c r="C1529" s="42" t="inlineStr">
        <is>
          <t>MC</t>
        </is>
      </c>
      <c r="D1529" s="42" t="inlineStr">
        <is>
          <t>UN</t>
        </is>
      </c>
      <c r="E1529" s="42" t="inlineStr">
        <is>
          <t>0080</t>
        </is>
      </c>
      <c r="F1529" s="70" t="inlineStr">
        <is>
          <t>Compras</t>
        </is>
      </c>
      <c r="G1529" s="71" t="n">
        <v>139.8</v>
      </c>
      <c r="H1529" s="172" t="inlineStr">
        <is>
          <t>Não</t>
        </is>
      </c>
      <c r="I1529" s="49" t="n"/>
    </row>
    <row r="1530">
      <c r="A1530" s="43" t="inlineStr">
        <is>
          <t>010385</t>
        </is>
      </c>
      <c r="B1530" s="44" t="inlineStr">
        <is>
          <t>FRISO VEDANTE PARA PORTA 90CM</t>
        </is>
      </c>
      <c r="C1530" s="45" t="inlineStr">
        <is>
          <t>MC</t>
        </is>
      </c>
      <c r="D1530" s="45" t="inlineStr">
        <is>
          <t>UN</t>
        </is>
      </c>
      <c r="E1530" s="45" t="inlineStr">
        <is>
          <t>0132</t>
        </is>
      </c>
      <c r="F1530" s="70" t="inlineStr">
        <is>
          <t>Compras</t>
        </is>
      </c>
      <c r="G1530" s="69" t="n">
        <v>0</v>
      </c>
      <c r="H1530" s="172" t="inlineStr">
        <is>
          <t>Não</t>
        </is>
      </c>
      <c r="I1530" s="50" t="n"/>
    </row>
    <row r="1531">
      <c r="A1531" s="40" t="inlineStr">
        <is>
          <t>000610</t>
        </is>
      </c>
      <c r="B1531" s="41" t="inlineStr">
        <is>
          <t>FRITADEIRA 220 V</t>
        </is>
      </c>
      <c r="C1531" s="42" t="inlineStr">
        <is>
          <t>AI</t>
        </is>
      </c>
      <c r="D1531" s="42" t="inlineStr">
        <is>
          <t>UN</t>
        </is>
      </c>
      <c r="E1531" s="42" t="inlineStr">
        <is>
          <t>0002</t>
        </is>
      </c>
      <c r="F1531" s="70" t="inlineStr">
        <is>
          <t>Compras</t>
        </is>
      </c>
      <c r="G1531" s="68" t="n">
        <v>0</v>
      </c>
      <c r="H1531" s="172" t="inlineStr">
        <is>
          <t>Não</t>
        </is>
      </c>
      <c r="I1531" s="49" t="n"/>
    </row>
    <row r="1532">
      <c r="A1532" s="43" t="inlineStr">
        <is>
          <t>000898</t>
        </is>
      </c>
      <c r="B1532" s="44" t="inlineStr">
        <is>
          <t>FRITAS</t>
        </is>
      </c>
      <c r="C1532" s="45" t="inlineStr">
        <is>
          <t>MP</t>
        </is>
      </c>
      <c r="D1532" s="45" t="inlineStr">
        <is>
          <t>UN</t>
        </is>
      </c>
      <c r="E1532" s="45" t="inlineStr">
        <is>
          <t>0022</t>
        </is>
      </c>
      <c r="F1532" s="70" t="inlineStr">
        <is>
          <t>Compras</t>
        </is>
      </c>
      <c r="G1532" s="69" t="n">
        <v>0</v>
      </c>
      <c r="H1532" s="173" t="inlineStr">
        <is>
          <t>Sim</t>
        </is>
      </c>
      <c r="I1532" s="50" t="n"/>
    </row>
    <row r="1533">
      <c r="A1533" s="40" t="inlineStr">
        <is>
          <t>001482</t>
        </is>
      </c>
      <c r="B1533" s="41" t="inlineStr">
        <is>
          <t>FRITAS</t>
        </is>
      </c>
      <c r="C1533" s="42" t="inlineStr">
        <is>
          <t>PA</t>
        </is>
      </c>
      <c r="D1533" s="42" t="inlineStr">
        <is>
          <t>UN</t>
        </is>
      </c>
      <c r="E1533" s="42" t="inlineStr">
        <is>
          <t>0121</t>
        </is>
      </c>
      <c r="F1533" s="65" t="inlineStr">
        <is>
          <t>Venda</t>
        </is>
      </c>
      <c r="G1533" s="68" t="n">
        <v>0</v>
      </c>
      <c r="H1533" s="172" t="inlineStr">
        <is>
          <t>Não</t>
        </is>
      </c>
      <c r="I1533" s="47" t="inlineStr">
        <is>
          <t>800001</t>
        </is>
      </c>
    </row>
    <row r="1534">
      <c r="A1534" s="43" t="inlineStr">
        <is>
          <t>009635</t>
        </is>
      </c>
      <c r="B1534" s="44" t="inlineStr">
        <is>
          <t>FRITAS (EXECUTIVO)</t>
        </is>
      </c>
      <c r="C1534" s="45" t="inlineStr">
        <is>
          <t>PA</t>
        </is>
      </c>
      <c r="D1534" s="45" t="inlineStr">
        <is>
          <t>UN</t>
        </is>
      </c>
      <c r="E1534" s="45" t="inlineStr">
        <is>
          <t>0121</t>
        </is>
      </c>
      <c r="F1534" s="65" t="inlineStr">
        <is>
          <t>Venda</t>
        </is>
      </c>
      <c r="G1534" s="69" t="n">
        <v>0</v>
      </c>
      <c r="H1534" s="172" t="inlineStr">
        <is>
          <t>Não</t>
        </is>
      </c>
      <c r="I1534" s="48" t="inlineStr">
        <is>
          <t>789890568772105</t>
        </is>
      </c>
    </row>
    <row r="1535">
      <c r="A1535" s="40" t="inlineStr">
        <is>
          <t>009482</t>
        </is>
      </c>
      <c r="B1535" s="41" t="inlineStr">
        <is>
          <t>FRUTA C/ CHOCOLATE ANIVERSARIANTE</t>
        </is>
      </c>
      <c r="C1535" s="42" t="inlineStr">
        <is>
          <t>GN</t>
        </is>
      </c>
      <c r="D1535" s="42" t="inlineStr">
        <is>
          <t>UN</t>
        </is>
      </c>
      <c r="E1535" s="42" t="inlineStr">
        <is>
          <t>0107</t>
        </is>
      </c>
      <c r="F1535" s="65" t="inlineStr">
        <is>
          <t>Venda</t>
        </is>
      </c>
      <c r="G1535" s="68" t="n">
        <v>0</v>
      </c>
      <c r="H1535" s="172" t="inlineStr">
        <is>
          <t>Não</t>
        </is>
      </c>
      <c r="I1535" s="47" t="inlineStr">
        <is>
          <t>78989056877173</t>
        </is>
      </c>
    </row>
    <row r="1536">
      <c r="A1536" s="43" t="inlineStr">
        <is>
          <t>001203</t>
        </is>
      </c>
      <c r="B1536" s="44" t="inlineStr">
        <is>
          <t>FRUTAS PORCAO</t>
        </is>
      </c>
      <c r="C1536" s="45" t="inlineStr">
        <is>
          <t>PA</t>
        </is>
      </c>
      <c r="D1536" s="45" t="inlineStr">
        <is>
          <t>UN</t>
        </is>
      </c>
      <c r="E1536" s="45" t="inlineStr">
        <is>
          <t>0110</t>
        </is>
      </c>
      <c r="F1536" s="65" t="inlineStr">
        <is>
          <t>Venda</t>
        </is>
      </c>
      <c r="G1536" s="69" t="n">
        <v>0</v>
      </c>
      <c r="H1536" s="172" t="inlineStr">
        <is>
          <t>Não</t>
        </is>
      </c>
      <c r="I1536" s="48" t="inlineStr">
        <is>
          <t>9003551</t>
        </is>
      </c>
    </row>
    <row r="1537">
      <c r="A1537" s="40" t="inlineStr">
        <is>
          <t>010282</t>
        </is>
      </c>
      <c r="B1537" s="41" t="inlineStr">
        <is>
          <t>FUSIVEL COM SUPORTE 20A 5X20MM</t>
        </is>
      </c>
      <c r="C1537" s="42" t="inlineStr">
        <is>
          <t>MC</t>
        </is>
      </c>
      <c r="D1537" s="42" t="inlineStr">
        <is>
          <t>UN</t>
        </is>
      </c>
      <c r="E1537" s="42" t="inlineStr">
        <is>
          <t>0132</t>
        </is>
      </c>
      <c r="F1537" s="70" t="inlineStr">
        <is>
          <t>Compras</t>
        </is>
      </c>
      <c r="G1537" s="71" t="n">
        <v>9.800000000000001</v>
      </c>
      <c r="H1537" s="172" t="inlineStr">
        <is>
          <t>Não</t>
        </is>
      </c>
      <c r="I1537" s="49" t="n"/>
    </row>
    <row r="1538">
      <c r="A1538" s="43" t="inlineStr">
        <is>
          <t>010243</t>
        </is>
      </c>
      <c r="B1538" s="44" t="inlineStr">
        <is>
          <t>FUSIVEL DE VIDRO 10A</t>
        </is>
      </c>
      <c r="C1538" s="45" t="inlineStr">
        <is>
          <t>MC</t>
        </is>
      </c>
      <c r="D1538" s="45" t="inlineStr">
        <is>
          <t>UN</t>
        </is>
      </c>
      <c r="E1538" s="45" t="inlineStr">
        <is>
          <t>0132</t>
        </is>
      </c>
      <c r="F1538" s="70" t="inlineStr">
        <is>
          <t>Compras</t>
        </is>
      </c>
      <c r="G1538" s="66" t="n">
        <v>2</v>
      </c>
      <c r="H1538" s="172" t="inlineStr">
        <is>
          <t>Não</t>
        </is>
      </c>
      <c r="I1538" s="50" t="n"/>
    </row>
    <row r="1539">
      <c r="A1539" s="40" t="inlineStr">
        <is>
          <t>001627</t>
        </is>
      </c>
      <c r="B1539" s="41" t="inlineStr">
        <is>
          <t>FUTEBOL</t>
        </is>
      </c>
      <c r="C1539" s="42" t="inlineStr">
        <is>
          <t>ME</t>
        </is>
      </c>
      <c r="D1539" s="42" t="inlineStr">
        <is>
          <t>UN</t>
        </is>
      </c>
      <c r="E1539" s="42" t="inlineStr">
        <is>
          <t>0016</t>
        </is>
      </c>
      <c r="F1539" s="70" t="inlineStr">
        <is>
          <t>Compras</t>
        </is>
      </c>
      <c r="G1539" s="71" t="n">
        <v>1</v>
      </c>
      <c r="H1539" s="173" t="inlineStr">
        <is>
          <t>Sim</t>
        </is>
      </c>
      <c r="I1539" s="49" t="n"/>
    </row>
    <row r="1540">
      <c r="A1540" s="43" t="inlineStr">
        <is>
          <t>009930</t>
        </is>
      </c>
      <c r="B1540" s="44" t="inlineStr">
        <is>
          <t>GANCHO ADESIVO DE PAREDE</t>
        </is>
      </c>
      <c r="C1540" s="45" t="inlineStr">
        <is>
          <t>MC</t>
        </is>
      </c>
      <c r="D1540" s="45" t="inlineStr">
        <is>
          <t>UN</t>
        </is>
      </c>
      <c r="E1540" s="45" t="inlineStr">
        <is>
          <t>0132</t>
        </is>
      </c>
      <c r="F1540" s="70" t="inlineStr">
        <is>
          <t>Compras</t>
        </is>
      </c>
      <c r="G1540" s="66" t="n">
        <v>8.5</v>
      </c>
      <c r="H1540" s="172" t="inlineStr">
        <is>
          <t>Não</t>
        </is>
      </c>
      <c r="I1540" s="50" t="n"/>
    </row>
    <row r="1541">
      <c r="A1541" s="40" t="inlineStr">
        <is>
          <t>000731</t>
        </is>
      </c>
      <c r="B1541" s="41" t="inlineStr">
        <is>
          <t>GARFO 3 PONTAS 805/70 - 70 CM</t>
        </is>
      </c>
      <c r="C1541" s="42" t="inlineStr">
        <is>
          <t>MC</t>
        </is>
      </c>
      <c r="D1541" s="42" t="inlineStr">
        <is>
          <t>UN</t>
        </is>
      </c>
      <c r="E1541" s="42" t="inlineStr">
        <is>
          <t>0080</t>
        </is>
      </c>
      <c r="F1541" s="70" t="inlineStr">
        <is>
          <t>Compras</t>
        </is>
      </c>
      <c r="G1541" s="71" t="n">
        <v>56</v>
      </c>
      <c r="H1541" s="172" t="inlineStr">
        <is>
          <t>Não</t>
        </is>
      </c>
      <c r="I1541" s="49" t="n"/>
    </row>
    <row r="1542">
      <c r="A1542" s="43" t="inlineStr">
        <is>
          <t>000514</t>
        </is>
      </c>
      <c r="B1542" s="44" t="inlineStr">
        <is>
          <t>GARFO CHURRASCO</t>
        </is>
      </c>
      <c r="C1542" s="45" t="inlineStr">
        <is>
          <t>MC</t>
        </is>
      </c>
      <c r="D1542" s="45" t="inlineStr">
        <is>
          <t>UN</t>
        </is>
      </c>
      <c r="E1542" s="45" t="inlineStr">
        <is>
          <t>0079</t>
        </is>
      </c>
      <c r="F1542" s="70" t="inlineStr">
        <is>
          <t>Compras</t>
        </is>
      </c>
      <c r="G1542" s="66" t="n">
        <v>2</v>
      </c>
      <c r="H1542" s="172" t="inlineStr">
        <is>
          <t>Não</t>
        </is>
      </c>
      <c r="I1542" s="50" t="n"/>
    </row>
    <row r="1543">
      <c r="A1543" s="40" t="inlineStr">
        <is>
          <t>001197</t>
        </is>
      </c>
      <c r="B1543" s="41" t="inlineStr">
        <is>
          <t>GARFO CIMO 2052/8 INOX MADEIRA</t>
        </is>
      </c>
      <c r="C1543" s="42" t="inlineStr">
        <is>
          <t>MC</t>
        </is>
      </c>
      <c r="D1543" s="42" t="inlineStr">
        <is>
          <t>UN</t>
        </is>
      </c>
      <c r="E1543" s="42" t="inlineStr">
        <is>
          <t>0079</t>
        </is>
      </c>
      <c r="F1543" s="70" t="inlineStr">
        <is>
          <t>Compras</t>
        </is>
      </c>
      <c r="G1543" s="68" t="n">
        <v>0</v>
      </c>
      <c r="H1543" s="172" t="inlineStr">
        <is>
          <t>Não</t>
        </is>
      </c>
      <c r="I1543" s="49" t="n"/>
    </row>
    <row r="1544">
      <c r="A1544" s="43" t="inlineStr">
        <is>
          <t>001229</t>
        </is>
      </c>
      <c r="B1544" s="44" t="inlineStr">
        <is>
          <t>GARRA PARA CHURRASCO LOBO GUARA</t>
        </is>
      </c>
      <c r="C1544" s="45" t="inlineStr">
        <is>
          <t>MC</t>
        </is>
      </c>
      <c r="D1544" s="45" t="inlineStr">
        <is>
          <t>UN</t>
        </is>
      </c>
      <c r="E1544" s="45" t="inlineStr">
        <is>
          <t>0080</t>
        </is>
      </c>
      <c r="F1544" s="70" t="inlineStr">
        <is>
          <t>Compras</t>
        </is>
      </c>
      <c r="G1544" s="69" t="n">
        <v>0</v>
      </c>
      <c r="H1544" s="172" t="inlineStr">
        <is>
          <t>Não</t>
        </is>
      </c>
      <c r="I1544" s="50" t="n"/>
    </row>
    <row r="1545">
      <c r="A1545" s="40" t="inlineStr">
        <is>
          <t>000657</t>
        </is>
      </c>
      <c r="B1545" s="41" t="inlineStr">
        <is>
          <t>GARRAFA TERMICA</t>
        </is>
      </c>
      <c r="C1545" s="42" t="inlineStr">
        <is>
          <t>MC</t>
        </is>
      </c>
      <c r="D1545" s="42" t="inlineStr">
        <is>
          <t>UN</t>
        </is>
      </c>
      <c r="E1545" s="42" t="inlineStr">
        <is>
          <t>0019</t>
        </is>
      </c>
      <c r="F1545" s="70" t="inlineStr">
        <is>
          <t>Compras</t>
        </is>
      </c>
      <c r="G1545" s="71" t="n">
        <v>98</v>
      </c>
      <c r="H1545" s="172" t="inlineStr">
        <is>
          <t>Não</t>
        </is>
      </c>
      <c r="I1545" s="49" t="n"/>
    </row>
    <row r="1546">
      <c r="A1546" s="43" t="inlineStr">
        <is>
          <t>000352</t>
        </is>
      </c>
      <c r="B1546" s="44" t="inlineStr">
        <is>
          <t>GARRAFAO DE VINHO BRANCO 4LT</t>
        </is>
      </c>
      <c r="C1546" s="45" t="inlineStr">
        <is>
          <t>MP</t>
        </is>
      </c>
      <c r="D1546" s="45" t="inlineStr">
        <is>
          <t>LT</t>
        </is>
      </c>
      <c r="E1546" s="45" t="inlineStr">
        <is>
          <t>0054</t>
        </is>
      </c>
      <c r="F1546" s="70" t="inlineStr">
        <is>
          <t>Compras</t>
        </is>
      </c>
      <c r="G1546" s="66" t="n">
        <v>11.1556</v>
      </c>
      <c r="H1546" s="172" t="inlineStr">
        <is>
          <t>Não</t>
        </is>
      </c>
      <c r="I1546" s="50" t="n"/>
    </row>
    <row r="1547">
      <c r="A1547" s="40" t="inlineStr">
        <is>
          <t>000351</t>
        </is>
      </c>
      <c r="B1547" s="41" t="inlineStr">
        <is>
          <t>GARRAFAO DE VINHO TINTO SUAVE 4LT</t>
        </is>
      </c>
      <c r="C1547" s="42" t="inlineStr">
        <is>
          <t>MP</t>
        </is>
      </c>
      <c r="D1547" s="42" t="inlineStr">
        <is>
          <t>LT</t>
        </is>
      </c>
      <c r="E1547" s="42" t="inlineStr">
        <is>
          <t>0054</t>
        </is>
      </c>
      <c r="F1547" s="70" t="inlineStr">
        <is>
          <t>Compras</t>
        </is>
      </c>
      <c r="G1547" s="71" t="n">
        <v>14.7525</v>
      </c>
      <c r="H1547" s="172" t="inlineStr">
        <is>
          <t>Não</t>
        </is>
      </c>
      <c r="I1547" s="49" t="n"/>
    </row>
    <row r="1548">
      <c r="A1548" s="43" t="inlineStr">
        <is>
          <t>001458</t>
        </is>
      </c>
      <c r="B1548" s="44" t="inlineStr">
        <is>
          <t>GAS</t>
        </is>
      </c>
      <c r="C1548" s="45" t="inlineStr">
        <is>
          <t>SV</t>
        </is>
      </c>
      <c r="D1548" s="45" t="inlineStr">
        <is>
          <t>UN</t>
        </is>
      </c>
      <c r="E1548" s="45" t="inlineStr">
        <is>
          <t>(VAZ</t>
        </is>
      </c>
      <c r="F1548" s="70" t="inlineStr">
        <is>
          <t>Compras</t>
        </is>
      </c>
      <c r="G1548" s="66" t="n">
        <v>22.4186</v>
      </c>
      <c r="H1548" s="172" t="inlineStr">
        <is>
          <t>Não</t>
        </is>
      </c>
      <c r="I1548" s="50" t="n"/>
    </row>
    <row r="1549">
      <c r="A1549" s="40" t="inlineStr">
        <is>
          <t>000681</t>
        </is>
      </c>
      <c r="B1549" s="41" t="inlineStr">
        <is>
          <t>GAS ENCANADO</t>
        </is>
      </c>
      <c r="C1549" s="42" t="inlineStr">
        <is>
          <t>MC</t>
        </is>
      </c>
      <c r="D1549" s="42" t="inlineStr">
        <is>
          <t>UN</t>
        </is>
      </c>
      <c r="E1549" s="42" t="inlineStr">
        <is>
          <t>0142</t>
        </is>
      </c>
      <c r="F1549" s="70" t="inlineStr">
        <is>
          <t>Compras</t>
        </is>
      </c>
      <c r="G1549" s="71" t="n">
        <v>22.2986</v>
      </c>
      <c r="H1549" s="172" t="inlineStr">
        <is>
          <t>Não</t>
        </is>
      </c>
      <c r="I1549" s="49" t="n"/>
    </row>
    <row r="1550">
      <c r="A1550" s="43" t="inlineStr">
        <is>
          <t>000710</t>
        </is>
      </c>
      <c r="B1550" s="44" t="inlineStr">
        <is>
          <t>GAS HELIO</t>
        </is>
      </c>
      <c r="C1550" s="45" t="inlineStr">
        <is>
          <t>MC</t>
        </is>
      </c>
      <c r="D1550" s="45" t="inlineStr">
        <is>
          <t>UN</t>
        </is>
      </c>
      <c r="E1550" s="45" t="inlineStr">
        <is>
          <t>0132</t>
        </is>
      </c>
      <c r="F1550" s="70" t="inlineStr">
        <is>
          <t>Compras</t>
        </is>
      </c>
      <c r="G1550" s="66" t="n">
        <v>417.5273</v>
      </c>
      <c r="H1550" s="172" t="inlineStr">
        <is>
          <t>Não</t>
        </is>
      </c>
      <c r="I1550" s="50" t="n"/>
    </row>
    <row r="1551">
      <c r="A1551" s="40" t="inlineStr">
        <is>
          <t>009376</t>
        </is>
      </c>
      <c r="B1551" s="41" t="inlineStr">
        <is>
          <t>GAS HIDROFLUPRPCARBONETO R404A</t>
        </is>
      </c>
      <c r="C1551" s="42" t="inlineStr">
        <is>
          <t>MC</t>
        </is>
      </c>
      <c r="D1551" s="42" t="inlineStr">
        <is>
          <t>UN</t>
        </is>
      </c>
      <c r="E1551" s="42" t="inlineStr">
        <is>
          <t>0132</t>
        </is>
      </c>
      <c r="F1551" s="70" t="inlineStr">
        <is>
          <t>Compras</t>
        </is>
      </c>
      <c r="G1551" s="71" t="n">
        <v>150</v>
      </c>
      <c r="H1551" s="172" t="inlineStr">
        <is>
          <t>Não</t>
        </is>
      </c>
      <c r="I1551" s="49" t="n"/>
    </row>
    <row r="1552">
      <c r="A1552" s="43" t="inlineStr">
        <is>
          <t>009391</t>
        </is>
      </c>
      <c r="B1552" s="44" t="inlineStr">
        <is>
          <t>GAS NITROGENIO</t>
        </is>
      </c>
      <c r="C1552" s="45" t="inlineStr">
        <is>
          <t>MC</t>
        </is>
      </c>
      <c r="D1552" s="45" t="inlineStr">
        <is>
          <t>UN</t>
        </is>
      </c>
      <c r="E1552" s="45" t="inlineStr">
        <is>
          <t>0132</t>
        </is>
      </c>
      <c r="F1552" s="70" t="inlineStr">
        <is>
          <t>Compras</t>
        </is>
      </c>
      <c r="G1552" s="66" t="n">
        <v>250</v>
      </c>
      <c r="H1552" s="172" t="inlineStr">
        <is>
          <t>Não</t>
        </is>
      </c>
      <c r="I1552" s="50" t="n"/>
    </row>
    <row r="1553">
      <c r="A1553" s="40" t="inlineStr">
        <is>
          <t>000336</t>
        </is>
      </c>
      <c r="B1553" s="41" t="inlineStr">
        <is>
          <t>GAS P45 KG</t>
        </is>
      </c>
      <c r="C1553" s="42" t="inlineStr">
        <is>
          <t>MC</t>
        </is>
      </c>
      <c r="D1553" s="42" t="inlineStr">
        <is>
          <t>UN</t>
        </is>
      </c>
      <c r="E1553" s="42" t="inlineStr">
        <is>
          <t>0068</t>
        </is>
      </c>
      <c r="F1553" s="70" t="inlineStr">
        <is>
          <t>Compras</t>
        </is>
      </c>
      <c r="G1553" s="68" t="n">
        <v>0</v>
      </c>
      <c r="H1553" s="173" t="inlineStr">
        <is>
          <t>Sim</t>
        </is>
      </c>
      <c r="I1553" s="49" t="n"/>
    </row>
    <row r="1554">
      <c r="A1554" s="43" t="inlineStr">
        <is>
          <t>010134</t>
        </is>
      </c>
      <c r="B1554" s="44" t="inlineStr">
        <is>
          <t>GAS REFRIGERANTE 141B</t>
        </is>
      </c>
      <c r="C1554" s="45" t="inlineStr">
        <is>
          <t>MC</t>
        </is>
      </c>
      <c r="D1554" s="45" t="inlineStr">
        <is>
          <t>UN</t>
        </is>
      </c>
      <c r="E1554" s="45" t="inlineStr">
        <is>
          <t>0132</t>
        </is>
      </c>
      <c r="F1554" s="70" t="inlineStr">
        <is>
          <t>Compras</t>
        </is>
      </c>
      <c r="G1554" s="66" t="n">
        <v>140</v>
      </c>
      <c r="H1554" s="172" t="inlineStr">
        <is>
          <t>Não</t>
        </is>
      </c>
      <c r="I1554" s="50" t="n"/>
    </row>
    <row r="1555">
      <c r="A1555" s="40" t="inlineStr">
        <is>
          <t>009604</t>
        </is>
      </c>
      <c r="B1555" s="41" t="inlineStr">
        <is>
          <t>GAS REFRIGERANTE CILINDRO R134A 13,6KG</t>
        </is>
      </c>
      <c r="C1555" s="42" t="inlineStr">
        <is>
          <t>MC</t>
        </is>
      </c>
      <c r="D1555" s="42" t="inlineStr">
        <is>
          <t>UN</t>
        </is>
      </c>
      <c r="E1555" s="42" t="inlineStr">
        <is>
          <t>0132</t>
        </is>
      </c>
      <c r="F1555" s="70" t="inlineStr">
        <is>
          <t>Compras</t>
        </is>
      </c>
      <c r="G1555" s="71" t="n">
        <v>120</v>
      </c>
      <c r="H1555" s="172" t="inlineStr">
        <is>
          <t>Não</t>
        </is>
      </c>
      <c r="I1555" s="49" t="n"/>
    </row>
    <row r="1556">
      <c r="A1556" s="43" t="inlineStr">
        <is>
          <t>009323</t>
        </is>
      </c>
      <c r="B1556" s="44" t="inlineStr">
        <is>
          <t>GAS REFRIGERANTE CILINDRO R410A 11,34KG</t>
        </is>
      </c>
      <c r="C1556" s="45" t="inlineStr">
        <is>
          <t>MC</t>
        </is>
      </c>
      <c r="D1556" s="45" t="inlineStr">
        <is>
          <t>UN</t>
        </is>
      </c>
      <c r="E1556" s="45" t="inlineStr">
        <is>
          <t>0132</t>
        </is>
      </c>
      <c r="F1556" s="70" t="inlineStr">
        <is>
          <t>Compras</t>
        </is>
      </c>
      <c r="G1556" s="66" t="n">
        <v>999.0909</v>
      </c>
      <c r="H1556" s="172" t="inlineStr">
        <is>
          <t>Não</t>
        </is>
      </c>
      <c r="I1556" s="50" t="n"/>
    </row>
    <row r="1557">
      <c r="A1557" s="40" t="inlineStr">
        <is>
          <t>010332</t>
        </is>
      </c>
      <c r="B1557" s="41" t="inlineStr">
        <is>
          <t>GAS REFRIGERANTE R22 1KG</t>
        </is>
      </c>
      <c r="C1557" s="42" t="inlineStr">
        <is>
          <t>MC</t>
        </is>
      </c>
      <c r="D1557" s="42" t="inlineStr">
        <is>
          <t>UN</t>
        </is>
      </c>
      <c r="E1557" s="42" t="inlineStr">
        <is>
          <t>0132</t>
        </is>
      </c>
      <c r="F1557" s="70" t="inlineStr">
        <is>
          <t>Compras</t>
        </is>
      </c>
      <c r="G1557" s="68" t="n">
        <v>180</v>
      </c>
      <c r="H1557" s="172" t="inlineStr">
        <is>
          <t>Não</t>
        </is>
      </c>
      <c r="I1557" s="49" t="n"/>
    </row>
    <row r="1558">
      <c r="A1558" s="43" t="inlineStr">
        <is>
          <t>000655</t>
        </is>
      </c>
      <c r="B1558" s="44" t="inlineStr">
        <is>
          <t>GAVETA DE DINHEIRO</t>
        </is>
      </c>
      <c r="C1558" s="45" t="inlineStr">
        <is>
          <t>AI</t>
        </is>
      </c>
      <c r="D1558" s="45" t="inlineStr">
        <is>
          <t>UN</t>
        </is>
      </c>
      <c r="E1558" s="45" t="inlineStr">
        <is>
          <t>0020</t>
        </is>
      </c>
      <c r="F1558" s="70" t="inlineStr">
        <is>
          <t>Compras</t>
        </is>
      </c>
      <c r="G1558" s="69" t="n">
        <v>0</v>
      </c>
      <c r="H1558" s="173" t="inlineStr">
        <is>
          <t>Sim</t>
        </is>
      </c>
      <c r="I1558" s="50" t="n"/>
    </row>
    <row r="1559">
      <c r="A1559" s="40" t="inlineStr">
        <is>
          <t>010223</t>
        </is>
      </c>
      <c r="B1559" s="41" t="inlineStr">
        <is>
          <t>GAVETEIRO DE MADEIRA 4 GAVETAS</t>
        </is>
      </c>
      <c r="C1559" s="42" t="inlineStr">
        <is>
          <t>MC</t>
        </is>
      </c>
      <c r="D1559" s="42" t="inlineStr">
        <is>
          <t>UN</t>
        </is>
      </c>
      <c r="E1559" s="42" t="inlineStr">
        <is>
          <t>0001</t>
        </is>
      </c>
      <c r="F1559" s="70" t="inlineStr">
        <is>
          <t>Compras</t>
        </is>
      </c>
      <c r="G1559" s="68" t="n">
        <v>0</v>
      </c>
      <c r="H1559" s="172" t="inlineStr">
        <is>
          <t>Não</t>
        </is>
      </c>
      <c r="I1559" s="49" t="n"/>
    </row>
    <row r="1560">
      <c r="A1560" s="43" t="inlineStr">
        <is>
          <t>010199</t>
        </is>
      </c>
      <c r="B1560" s="44" t="inlineStr">
        <is>
          <t>GAVETEIRO PLASTICO 2 GAVETAS</t>
        </is>
      </c>
      <c r="C1560" s="45" t="inlineStr">
        <is>
          <t>MC</t>
        </is>
      </c>
      <c r="D1560" s="45" t="inlineStr">
        <is>
          <t>UN</t>
        </is>
      </c>
      <c r="E1560" s="45" t="inlineStr">
        <is>
          <t>0001</t>
        </is>
      </c>
      <c r="F1560" s="70" t="inlineStr">
        <is>
          <t>Compras</t>
        </is>
      </c>
      <c r="G1560" s="69" t="n">
        <v>0</v>
      </c>
      <c r="H1560" s="172" t="inlineStr">
        <is>
          <t>Não</t>
        </is>
      </c>
      <c r="I1560" s="50" t="n"/>
    </row>
    <row r="1561">
      <c r="A1561" s="40" t="inlineStr">
        <is>
          <t>010198</t>
        </is>
      </c>
      <c r="B1561" s="41" t="inlineStr">
        <is>
          <t>GAVETEIRO PLASTICO 4 GAVETAS</t>
        </is>
      </c>
      <c r="C1561" s="42" t="inlineStr">
        <is>
          <t>MC</t>
        </is>
      </c>
      <c r="D1561" s="42" t="inlineStr">
        <is>
          <t>UN</t>
        </is>
      </c>
      <c r="E1561" s="42" t="inlineStr">
        <is>
          <t>0001</t>
        </is>
      </c>
      <c r="F1561" s="70" t="inlineStr">
        <is>
          <t>Compras</t>
        </is>
      </c>
      <c r="G1561" s="68" t="n">
        <v>0</v>
      </c>
      <c r="H1561" s="172" t="inlineStr">
        <is>
          <t>Não</t>
        </is>
      </c>
      <c r="I1561" s="49" t="n"/>
    </row>
    <row r="1562">
      <c r="A1562" s="43" t="inlineStr">
        <is>
          <t>009605</t>
        </is>
      </c>
      <c r="B1562" s="44" t="inlineStr">
        <is>
          <t>GAXETA DE VEDAÇÃO PRETA</t>
        </is>
      </c>
      <c r="C1562" s="45" t="inlineStr">
        <is>
          <t>MC</t>
        </is>
      </c>
      <c r="D1562" s="45" t="inlineStr">
        <is>
          <t>UN</t>
        </is>
      </c>
      <c r="E1562" s="45" t="inlineStr">
        <is>
          <t>0132</t>
        </is>
      </c>
      <c r="F1562" s="70" t="inlineStr">
        <is>
          <t>Compras</t>
        </is>
      </c>
      <c r="G1562" s="66" t="n">
        <v>75</v>
      </c>
      <c r="H1562" s="172" t="inlineStr">
        <is>
          <t>Não</t>
        </is>
      </c>
      <c r="I1562" s="50" t="n"/>
    </row>
    <row r="1563">
      <c r="A1563" s="40" t="inlineStr">
        <is>
          <t>009326</t>
        </is>
      </c>
      <c r="B1563" s="41" t="inlineStr">
        <is>
          <t>GAXETA MAGNETICA SOLDADA PVC 549,8X390,9MM</t>
        </is>
      </c>
      <c r="C1563" s="42" t="inlineStr">
        <is>
          <t>MC</t>
        </is>
      </c>
      <c r="D1563" s="42" t="inlineStr">
        <is>
          <t>UN</t>
        </is>
      </c>
      <c r="E1563" s="42" t="inlineStr">
        <is>
          <t>0132</t>
        </is>
      </c>
      <c r="F1563" s="70" t="inlineStr">
        <is>
          <t>Compras</t>
        </is>
      </c>
      <c r="G1563" s="71" t="n">
        <v>105</v>
      </c>
      <c r="H1563" s="172" t="inlineStr">
        <is>
          <t>Não</t>
        </is>
      </c>
      <c r="I1563" s="49" t="n"/>
    </row>
    <row r="1564">
      <c r="A1564" s="43" t="inlineStr">
        <is>
          <t>009379</t>
        </is>
      </c>
      <c r="B1564" s="44" t="inlineStr">
        <is>
          <t>GAXETA TIPO U</t>
        </is>
      </c>
      <c r="C1564" s="45" t="inlineStr">
        <is>
          <t>MC</t>
        </is>
      </c>
      <c r="D1564" s="45" t="inlineStr">
        <is>
          <t>UN</t>
        </is>
      </c>
      <c r="E1564" s="45" t="inlineStr">
        <is>
          <t>0132</t>
        </is>
      </c>
      <c r="F1564" s="70" t="inlineStr">
        <is>
          <t>Compras</t>
        </is>
      </c>
      <c r="G1564" s="66" t="n">
        <v>140</v>
      </c>
      <c r="H1564" s="172" t="inlineStr">
        <is>
          <t>Não</t>
        </is>
      </c>
      <c r="I1564" s="50" t="n"/>
    </row>
    <row r="1565">
      <c r="A1565" s="40" t="inlineStr">
        <is>
          <t>000220</t>
        </is>
      </c>
      <c r="B1565" s="41" t="inlineStr">
        <is>
          <t>GEL HIGIENIZADOR P/MAOS</t>
        </is>
      </c>
      <c r="C1565" s="42" t="inlineStr">
        <is>
          <t>MC</t>
        </is>
      </c>
      <c r="D1565" s="42" t="inlineStr">
        <is>
          <t>UN</t>
        </is>
      </c>
      <c r="E1565" s="42" t="inlineStr">
        <is>
          <t>0075</t>
        </is>
      </c>
      <c r="F1565" s="70" t="inlineStr">
        <is>
          <t>Compras</t>
        </is>
      </c>
      <c r="G1565" s="71" t="n">
        <v>7.5</v>
      </c>
      <c r="H1565" s="172" t="inlineStr">
        <is>
          <t>Não</t>
        </is>
      </c>
      <c r="I1565" s="49" t="n"/>
    </row>
    <row r="1566">
      <c r="A1566" s="43" t="inlineStr">
        <is>
          <t>000599</t>
        </is>
      </c>
      <c r="B1566" s="44" t="inlineStr">
        <is>
          <t>GELADEIRA 220 V</t>
        </is>
      </c>
      <c r="C1566" s="45" t="inlineStr">
        <is>
          <t>AI</t>
        </is>
      </c>
      <c r="D1566" s="45" t="inlineStr">
        <is>
          <t>UN</t>
        </is>
      </c>
      <c r="E1566" s="45" t="inlineStr">
        <is>
          <t>0002</t>
        </is>
      </c>
      <c r="F1566" s="70" t="inlineStr">
        <is>
          <t>Compras</t>
        </is>
      </c>
      <c r="G1566" s="69" t="n">
        <v>0</v>
      </c>
      <c r="H1566" s="172" t="inlineStr">
        <is>
          <t>Não</t>
        </is>
      </c>
      <c r="I1566" s="50" t="n"/>
    </row>
    <row r="1567">
      <c r="A1567" s="40" t="inlineStr">
        <is>
          <t>009985</t>
        </is>
      </c>
      <c r="B1567" s="41" t="inlineStr">
        <is>
          <t>GELADEIRA AMBEV (COMODATO)</t>
        </is>
      </c>
      <c r="C1567" s="42" t="inlineStr">
        <is>
          <t>MC</t>
        </is>
      </c>
      <c r="D1567" s="42" t="inlineStr">
        <is>
          <t>UN</t>
        </is>
      </c>
      <c r="E1567" s="42" t="inlineStr">
        <is>
          <t>0140</t>
        </is>
      </c>
      <c r="F1567" s="70" t="inlineStr">
        <is>
          <t>Compras</t>
        </is>
      </c>
      <c r="G1567" s="68" t="n">
        <v>0</v>
      </c>
      <c r="H1567" s="172" t="inlineStr">
        <is>
          <t>Não</t>
        </is>
      </c>
      <c r="I1567" s="49" t="n"/>
    </row>
    <row r="1568">
      <c r="A1568" s="43" t="inlineStr">
        <is>
          <t>001987</t>
        </is>
      </c>
      <c r="B1568" s="44" t="inlineStr">
        <is>
          <t>GELATINA INCOLOR</t>
        </is>
      </c>
      <c r="C1568" s="45" t="inlineStr">
        <is>
          <t>MP</t>
        </is>
      </c>
      <c r="D1568" s="45" t="inlineStr">
        <is>
          <t>KG</t>
        </is>
      </c>
      <c r="E1568" s="45" t="inlineStr">
        <is>
          <t>0029</t>
        </is>
      </c>
      <c r="F1568" s="70" t="inlineStr">
        <is>
          <t>Compras</t>
        </is>
      </c>
      <c r="G1568" s="66" t="n">
        <v>59.97</v>
      </c>
      <c r="H1568" s="172" t="inlineStr">
        <is>
          <t>Não</t>
        </is>
      </c>
      <c r="I1568" s="50" t="n"/>
    </row>
    <row r="1569">
      <c r="A1569" s="40" t="inlineStr">
        <is>
          <t>000393</t>
        </is>
      </c>
      <c r="B1569" s="41" t="inlineStr">
        <is>
          <t>GELEIA DE DAMASCO 1,2KG</t>
        </is>
      </c>
      <c r="C1569" s="42" t="inlineStr">
        <is>
          <t>MP</t>
        </is>
      </c>
      <c r="D1569" s="42" t="inlineStr">
        <is>
          <t>KG</t>
        </is>
      </c>
      <c r="E1569" s="42" t="inlineStr">
        <is>
          <t>0029</t>
        </is>
      </c>
      <c r="F1569" s="70" t="inlineStr">
        <is>
          <t>Compras</t>
        </is>
      </c>
      <c r="G1569" s="71" t="n">
        <v>51.293</v>
      </c>
      <c r="H1569" s="172" t="inlineStr">
        <is>
          <t>Não</t>
        </is>
      </c>
      <c r="I1569" s="49" t="n"/>
    </row>
    <row r="1570">
      <c r="A1570" s="43" t="inlineStr">
        <is>
          <t>001251</t>
        </is>
      </c>
      <c r="B1570" s="44" t="inlineStr">
        <is>
          <t>GELEIA DE PIMENTA 1,2KG</t>
        </is>
      </c>
      <c r="C1570" s="45" t="inlineStr">
        <is>
          <t>MP</t>
        </is>
      </c>
      <c r="D1570" s="45" t="inlineStr">
        <is>
          <t>KG</t>
        </is>
      </c>
      <c r="E1570" s="45" t="inlineStr">
        <is>
          <t>0029</t>
        </is>
      </c>
      <c r="F1570" s="70" t="inlineStr">
        <is>
          <t>Compras</t>
        </is>
      </c>
      <c r="G1570" s="66" t="n">
        <v>25.825</v>
      </c>
      <c r="H1570" s="172" t="inlineStr">
        <is>
          <t>Não</t>
        </is>
      </c>
      <c r="I1570" s="50" t="n"/>
    </row>
    <row r="1571">
      <c r="A1571" s="40" t="inlineStr">
        <is>
          <t>000019</t>
        </is>
      </c>
      <c r="B1571" s="41" t="inlineStr">
        <is>
          <t>GELO 5KG VENDA</t>
        </is>
      </c>
      <c r="C1571" s="42" t="inlineStr">
        <is>
          <t>MR</t>
        </is>
      </c>
      <c r="D1571" s="42" t="inlineStr">
        <is>
          <t>UN</t>
        </is>
      </c>
      <c r="E1571" s="42" t="inlineStr">
        <is>
          <t>0107</t>
        </is>
      </c>
      <c r="F1571" s="65" t="inlineStr">
        <is>
          <t>Venda</t>
        </is>
      </c>
      <c r="G1571" s="71" t="n">
        <v>6</v>
      </c>
      <c r="H1571" s="177" t="inlineStr">
        <is>
          <t>Sim</t>
        </is>
      </c>
      <c r="I1571" s="178" t="n"/>
    </row>
    <row r="1572">
      <c r="A1572" s="43" t="inlineStr">
        <is>
          <t>001974</t>
        </is>
      </c>
      <c r="B1572" s="44" t="inlineStr">
        <is>
          <t>GELO APTK PCT COM 26 UND</t>
        </is>
      </c>
      <c r="C1572" s="45" t="inlineStr">
        <is>
          <t>MP</t>
        </is>
      </c>
      <c r="D1572" s="45" t="inlineStr">
        <is>
          <t>UN</t>
        </is>
      </c>
      <c r="E1572" s="45" t="inlineStr">
        <is>
          <t>0143</t>
        </is>
      </c>
      <c r="F1572" s="70" t="inlineStr">
        <is>
          <t>Compras</t>
        </is>
      </c>
      <c r="G1572" s="66" t="n">
        <v>2.17</v>
      </c>
      <c r="H1572" s="172" t="inlineStr">
        <is>
          <t>Não</t>
        </is>
      </c>
      <c r="I1572" s="50" t="n"/>
    </row>
    <row r="1573">
      <c r="A1573" s="40" t="inlineStr">
        <is>
          <t>001481</t>
        </is>
      </c>
      <c r="B1573" s="41" t="inlineStr">
        <is>
          <t>GELO COCO</t>
        </is>
      </c>
      <c r="C1573" s="42" t="inlineStr">
        <is>
          <t>MR</t>
        </is>
      </c>
      <c r="D1573" s="42" t="inlineStr">
        <is>
          <t>UN</t>
        </is>
      </c>
      <c r="E1573" s="42" t="inlineStr">
        <is>
          <t>0121</t>
        </is>
      </c>
      <c r="F1573" s="65" t="inlineStr">
        <is>
          <t>Venda</t>
        </is>
      </c>
      <c r="G1573" s="68" t="n">
        <v>0</v>
      </c>
      <c r="H1573" s="172" t="inlineStr">
        <is>
          <t>Não</t>
        </is>
      </c>
      <c r="I1573" s="47" t="inlineStr">
        <is>
          <t>9003501</t>
        </is>
      </c>
    </row>
    <row r="1574">
      <c r="A1574" s="43" t="inlineStr">
        <is>
          <t>001178</t>
        </is>
      </c>
      <c r="B1574" s="44" t="inlineStr">
        <is>
          <t>GELO DE COCO CX COM 30UND</t>
        </is>
      </c>
      <c r="C1574" s="45" t="inlineStr">
        <is>
          <t>MP</t>
        </is>
      </c>
      <c r="D1574" s="45" t="inlineStr">
        <is>
          <t>UN</t>
        </is>
      </c>
      <c r="E1574" s="45" t="inlineStr">
        <is>
          <t>0143</t>
        </is>
      </c>
      <c r="F1574" s="70" t="inlineStr">
        <is>
          <t>Compras</t>
        </is>
      </c>
      <c r="G1574" s="66" t="n">
        <v>0.9967</v>
      </c>
      <c r="H1574" s="172" t="inlineStr">
        <is>
          <t>Não</t>
        </is>
      </c>
      <c r="I1574" s="50" t="n"/>
    </row>
    <row r="1575">
      <c r="A1575" s="40" t="inlineStr">
        <is>
          <t>000473</t>
        </is>
      </c>
      <c r="B1575" s="41" t="inlineStr">
        <is>
          <t>GENGIBRE</t>
        </is>
      </c>
      <c r="C1575" s="42" t="inlineStr">
        <is>
          <t>MP</t>
        </is>
      </c>
      <c r="D1575" s="42" t="inlineStr">
        <is>
          <t>KG</t>
        </is>
      </c>
      <c r="E1575" s="42" t="inlineStr">
        <is>
          <t>0036</t>
        </is>
      </c>
      <c r="F1575" s="70" t="inlineStr">
        <is>
          <t>Compras</t>
        </is>
      </c>
      <c r="G1575" s="71" t="n">
        <v>18.11</v>
      </c>
      <c r="H1575" s="172" t="inlineStr">
        <is>
          <t>Não</t>
        </is>
      </c>
      <c r="I1575" s="49" t="n"/>
    </row>
    <row r="1576">
      <c r="A1576" s="43" t="inlineStr">
        <is>
          <t>000737</t>
        </is>
      </c>
      <c r="B1576" s="44" t="inlineStr">
        <is>
          <t>GERADOR DE OZONIO</t>
        </is>
      </c>
      <c r="C1576" s="45" t="inlineStr">
        <is>
          <t>AI</t>
        </is>
      </c>
      <c r="D1576" s="45" t="inlineStr">
        <is>
          <t>UN</t>
        </is>
      </c>
      <c r="E1576" s="45" t="inlineStr">
        <is>
          <t>0002</t>
        </is>
      </c>
      <c r="F1576" s="70" t="inlineStr">
        <is>
          <t>Compras</t>
        </is>
      </c>
      <c r="G1576" s="69" t="n">
        <v>0</v>
      </c>
      <c r="H1576" s="172" t="inlineStr">
        <is>
          <t>Não</t>
        </is>
      </c>
      <c r="I1576" s="50" t="n"/>
    </row>
    <row r="1577">
      <c r="A1577" s="40" t="inlineStr">
        <is>
          <t>001799</t>
        </is>
      </c>
      <c r="B1577" s="41" t="inlineStr">
        <is>
          <t>GERADOR FOTOVOLTAICO</t>
        </is>
      </c>
      <c r="C1577" s="42" t="inlineStr">
        <is>
          <t>AI</t>
        </is>
      </c>
      <c r="D1577" s="42" t="inlineStr">
        <is>
          <t>UN</t>
        </is>
      </c>
      <c r="E1577" s="42" t="inlineStr">
        <is>
          <t>0002</t>
        </is>
      </c>
      <c r="F1577" s="70" t="inlineStr">
        <is>
          <t>Compras</t>
        </is>
      </c>
      <c r="G1577" s="71" t="n">
        <v>250000</v>
      </c>
      <c r="H1577" s="172" t="inlineStr">
        <is>
          <t>Não</t>
        </is>
      </c>
      <c r="I1577" s="49" t="n"/>
    </row>
    <row r="1578">
      <c r="A1578" s="43" t="inlineStr">
        <is>
          <t>009335</t>
        </is>
      </c>
      <c r="B1578" s="44" t="inlineStr">
        <is>
          <t>GESSO BRANCO RAPIDO 1KG</t>
        </is>
      </c>
      <c r="C1578" s="45" t="inlineStr">
        <is>
          <t>MC</t>
        </is>
      </c>
      <c r="D1578" s="45" t="inlineStr">
        <is>
          <t>UN</t>
        </is>
      </c>
      <c r="E1578" s="45" t="inlineStr">
        <is>
          <t>0132</t>
        </is>
      </c>
      <c r="F1578" s="70" t="inlineStr">
        <is>
          <t>Compras</t>
        </is>
      </c>
      <c r="G1578" s="66" t="n">
        <v>5</v>
      </c>
      <c r="H1578" s="172" t="inlineStr">
        <is>
          <t>Não</t>
        </is>
      </c>
      <c r="I1578" s="50" t="n"/>
    </row>
    <row r="1579">
      <c r="A1579" s="40" t="inlineStr">
        <is>
          <t>009590</t>
        </is>
      </c>
      <c r="B1579" s="41" t="inlineStr">
        <is>
          <t>GESSO LENTO 1KG</t>
        </is>
      </c>
      <c r="C1579" s="42" t="inlineStr">
        <is>
          <t>MC</t>
        </is>
      </c>
      <c r="D1579" s="42" t="inlineStr">
        <is>
          <t>UN</t>
        </is>
      </c>
      <c r="E1579" s="42" t="inlineStr">
        <is>
          <t>0132</t>
        </is>
      </c>
      <c r="F1579" s="70" t="inlineStr">
        <is>
          <t>Compras</t>
        </is>
      </c>
      <c r="G1579" s="71" t="n">
        <v>4.3</v>
      </c>
      <c r="H1579" s="172" t="inlineStr">
        <is>
          <t>Não</t>
        </is>
      </c>
      <c r="I1579" s="49" t="n"/>
    </row>
    <row r="1580">
      <c r="A1580" s="43" t="inlineStr">
        <is>
          <t>010354</t>
        </is>
      </c>
      <c r="B1580" s="44" t="inlineStr">
        <is>
          <t>GESSO LENTO 40KG</t>
        </is>
      </c>
      <c r="C1580" s="45" t="inlineStr">
        <is>
          <t>MC</t>
        </is>
      </c>
      <c r="D1580" s="45" t="inlineStr">
        <is>
          <t>UN</t>
        </is>
      </c>
      <c r="E1580" s="45" t="inlineStr">
        <is>
          <t>0132</t>
        </is>
      </c>
      <c r="F1580" s="70" t="inlineStr">
        <is>
          <t>Compras</t>
        </is>
      </c>
      <c r="G1580" s="69" t="n">
        <v>0</v>
      </c>
      <c r="H1580" s="172" t="inlineStr">
        <is>
          <t>Não</t>
        </is>
      </c>
      <c r="I1580" s="50" t="n"/>
    </row>
    <row r="1581">
      <c r="A1581" s="40" t="inlineStr">
        <is>
          <t>009843</t>
        </is>
      </c>
      <c r="B1581" s="41" t="inlineStr">
        <is>
          <t>GARRAFA GIN APTK</t>
        </is>
      </c>
      <c r="C1581" s="42" t="inlineStr">
        <is>
          <t>PA</t>
        </is>
      </c>
      <c r="D1581" s="42" t="inlineStr">
        <is>
          <t>UN</t>
        </is>
      </c>
      <c r="E1581" s="42" t="inlineStr">
        <is>
          <t>0101</t>
        </is>
      </c>
      <c r="F1581" s="65" t="inlineStr">
        <is>
          <t>Venda</t>
        </is>
      </c>
      <c r="G1581" s="68" t="n">
        <v>0</v>
      </c>
      <c r="H1581" s="172" t="inlineStr">
        <is>
          <t>Não</t>
        </is>
      </c>
      <c r="I1581" s="47" t="inlineStr">
        <is>
          <t>789890568772141</t>
        </is>
      </c>
    </row>
    <row r="1582">
      <c r="A1582" s="43" t="inlineStr">
        <is>
          <t>009820</t>
        </is>
      </c>
      <c r="B1582" s="44" t="inlineStr">
        <is>
          <t>GIN BACCO PREMIUM BAG 5LT</t>
        </is>
      </c>
      <c r="C1582" s="45" t="inlineStr">
        <is>
          <t>ME</t>
        </is>
      </c>
      <c r="D1582" s="45" t="inlineStr">
        <is>
          <t>LT</t>
        </is>
      </c>
      <c r="E1582" s="45" t="inlineStr">
        <is>
          <t>0038</t>
        </is>
      </c>
      <c r="F1582" s="70" t="inlineStr">
        <is>
          <t>Compras</t>
        </is>
      </c>
      <c r="G1582" s="66" t="n">
        <v>25</v>
      </c>
      <c r="H1582" s="172" t="inlineStr">
        <is>
          <t>Não</t>
        </is>
      </c>
      <c r="I1582" s="50" t="n"/>
    </row>
    <row r="1583">
      <c r="A1583" s="40" t="inlineStr">
        <is>
          <t>009821</t>
        </is>
      </c>
      <c r="B1583" s="41" t="inlineStr">
        <is>
          <t>GIN BACCO QUINTAL GARRAFA 700ML</t>
        </is>
      </c>
      <c r="C1583" s="42" t="inlineStr">
        <is>
          <t>ME</t>
        </is>
      </c>
      <c r="D1583" s="42" t="inlineStr">
        <is>
          <t>LT</t>
        </is>
      </c>
      <c r="E1583" s="42" t="inlineStr">
        <is>
          <t>0038</t>
        </is>
      </c>
      <c r="F1583" s="70" t="inlineStr">
        <is>
          <t>Compras</t>
        </is>
      </c>
      <c r="G1583" s="71" t="n">
        <v>45.7143</v>
      </c>
      <c r="H1583" s="172" t="inlineStr">
        <is>
          <t>Não</t>
        </is>
      </c>
      <c r="I1583" s="49" t="n"/>
    </row>
    <row r="1584">
      <c r="A1584" s="43" t="inlineStr">
        <is>
          <t>010011</t>
        </is>
      </c>
      <c r="B1584" s="44" t="inlineStr">
        <is>
          <t>GIN BACCO QUINTAL GARRAFA 700ML</t>
        </is>
      </c>
      <c r="C1584" s="45" t="inlineStr">
        <is>
          <t>MR</t>
        </is>
      </c>
      <c r="D1584" s="45" t="inlineStr">
        <is>
          <t>UN</t>
        </is>
      </c>
      <c r="E1584" s="45" t="inlineStr">
        <is>
          <t>0101</t>
        </is>
      </c>
      <c r="F1584" s="65" t="inlineStr">
        <is>
          <t>Venda</t>
        </is>
      </c>
      <c r="G1584" s="69" t="n">
        <v>0</v>
      </c>
      <c r="H1584" s="172" t="inlineStr">
        <is>
          <t>Não</t>
        </is>
      </c>
      <c r="I1584" s="48" t="inlineStr">
        <is>
          <t>789890568772115</t>
        </is>
      </c>
    </row>
    <row r="1585">
      <c r="A1585" s="40" t="inlineStr">
        <is>
          <t>000353</t>
        </is>
      </c>
      <c r="B1585" s="41" t="inlineStr">
        <is>
          <t>GIN BEEFEATER 750 ML</t>
        </is>
      </c>
      <c r="C1585" s="42" t="inlineStr">
        <is>
          <t>ME</t>
        </is>
      </c>
      <c r="D1585" s="42" t="inlineStr">
        <is>
          <t>LT</t>
        </is>
      </c>
      <c r="E1585" s="42" t="inlineStr">
        <is>
          <t>0038</t>
        </is>
      </c>
      <c r="F1585" s="70" t="inlineStr">
        <is>
          <t>Compras</t>
        </is>
      </c>
      <c r="G1585" s="71" t="n">
        <v>90.52</v>
      </c>
      <c r="H1585" s="172" t="inlineStr">
        <is>
          <t>Não</t>
        </is>
      </c>
      <c r="I1585" s="49" t="n"/>
    </row>
    <row r="1586">
      <c r="A1586" s="43" t="inlineStr">
        <is>
          <t>000052</t>
        </is>
      </c>
      <c r="B1586" s="44" t="inlineStr">
        <is>
          <t>GIN BEEFEATER 750ML VENDA</t>
        </is>
      </c>
      <c r="C1586" s="45" t="inlineStr">
        <is>
          <t>MR</t>
        </is>
      </c>
      <c r="D1586" s="45" t="inlineStr">
        <is>
          <t>UN</t>
        </is>
      </c>
      <c r="E1586" s="45" t="inlineStr">
        <is>
          <t>0038</t>
        </is>
      </c>
      <c r="F1586" s="65" t="inlineStr">
        <is>
          <t>Venda</t>
        </is>
      </c>
      <c r="G1586" s="66" t="n">
        <v>77.67</v>
      </c>
      <c r="H1586" s="172" t="inlineStr">
        <is>
          <t>Não</t>
        </is>
      </c>
      <c r="I1586" s="48" t="inlineStr">
        <is>
          <t>102126</t>
        </is>
      </c>
    </row>
    <row r="1587">
      <c r="A1587" s="40" t="inlineStr">
        <is>
          <t>000939</t>
        </is>
      </c>
      <c r="B1587" s="41" t="inlineStr">
        <is>
          <t>GIN BEEFEATER PINK GARRAFA 750ML</t>
        </is>
      </c>
      <c r="C1587" s="42" t="inlineStr">
        <is>
          <t>ME</t>
        </is>
      </c>
      <c r="D1587" s="42" t="inlineStr">
        <is>
          <t>LT</t>
        </is>
      </c>
      <c r="E1587" s="42" t="inlineStr">
        <is>
          <t>0038</t>
        </is>
      </c>
      <c r="F1587" s="70" t="inlineStr">
        <is>
          <t>Compras</t>
        </is>
      </c>
      <c r="G1587" s="68" t="n">
        <v>0</v>
      </c>
      <c r="H1587" s="172" t="inlineStr">
        <is>
          <t>Não</t>
        </is>
      </c>
      <c r="I1587" s="49" t="n"/>
    </row>
    <row r="1588">
      <c r="A1588" s="43" t="inlineStr">
        <is>
          <t>000754</t>
        </is>
      </c>
      <c r="B1588" s="44" t="inlineStr">
        <is>
          <t>GIN BEFFEATER PINK</t>
        </is>
      </c>
      <c r="C1588" s="45" t="inlineStr">
        <is>
          <t>MR</t>
        </is>
      </c>
      <c r="D1588" s="45" t="inlineStr">
        <is>
          <t>LT</t>
        </is>
      </c>
      <c r="E1588" s="45" t="inlineStr">
        <is>
          <t>0038</t>
        </is>
      </c>
      <c r="F1588" s="43" t="n"/>
      <c r="G1588" s="69" t="n">
        <v>0</v>
      </c>
      <c r="H1588" s="173" t="inlineStr">
        <is>
          <t>Sim</t>
        </is>
      </c>
      <c r="I1588" s="50" t="n"/>
    </row>
    <row r="1589">
      <c r="A1589" s="40" t="inlineStr">
        <is>
          <t>002267</t>
        </is>
      </c>
      <c r="B1589" s="41" t="inlineStr">
        <is>
          <t>GIN BOMBAY GARRAFA</t>
        </is>
      </c>
      <c r="C1589" s="42" t="inlineStr">
        <is>
          <t>MR</t>
        </is>
      </c>
      <c r="D1589" s="42" t="inlineStr">
        <is>
          <t>UN</t>
        </is>
      </c>
      <c r="E1589" s="42" t="inlineStr">
        <is>
          <t>0101</t>
        </is>
      </c>
      <c r="F1589" s="65" t="inlineStr">
        <is>
          <t>Venda</t>
        </is>
      </c>
      <c r="G1589" s="68" t="n">
        <v>0</v>
      </c>
      <c r="H1589" s="177" t="inlineStr">
        <is>
          <t>Sim</t>
        </is>
      </c>
      <c r="I1589" s="178" t="n"/>
    </row>
    <row r="1590">
      <c r="A1590" s="43" t="inlineStr">
        <is>
          <t>009515</t>
        </is>
      </c>
      <c r="B1590" s="44" t="inlineStr">
        <is>
          <t>GIN BOMBAY ORIGINAL 750ML</t>
        </is>
      </c>
      <c r="C1590" s="45" t="inlineStr">
        <is>
          <t>ME</t>
        </is>
      </c>
      <c r="D1590" s="45" t="inlineStr">
        <is>
          <t>LT</t>
        </is>
      </c>
      <c r="E1590" s="45" t="inlineStr">
        <is>
          <t>0038</t>
        </is>
      </c>
      <c r="F1590" s="70" t="inlineStr">
        <is>
          <t>Compras</t>
        </is>
      </c>
      <c r="G1590" s="69" t="n">
        <v>0</v>
      </c>
      <c r="H1590" s="172" t="inlineStr">
        <is>
          <t>Não</t>
        </is>
      </c>
      <c r="I1590" s="50" t="n"/>
    </row>
    <row r="1591">
      <c r="A1591" s="40" t="inlineStr">
        <is>
          <t>001967</t>
        </is>
      </c>
      <c r="B1591" s="41" t="inlineStr">
        <is>
          <t>GIN C/ REDBULL - APTK</t>
        </is>
      </c>
      <c r="C1591" s="42" t="inlineStr">
        <is>
          <t>PA</t>
        </is>
      </c>
      <c r="D1591" s="42" t="inlineStr">
        <is>
          <t>UN</t>
        </is>
      </c>
      <c r="E1591" s="42" t="inlineStr">
        <is>
          <t>0119</t>
        </is>
      </c>
      <c r="F1591" s="65" t="inlineStr">
        <is>
          <t>Venda</t>
        </is>
      </c>
      <c r="G1591" s="68" t="n">
        <v>0</v>
      </c>
      <c r="H1591" s="172" t="inlineStr">
        <is>
          <t>Não</t>
        </is>
      </c>
      <c r="I1591" s="47" t="inlineStr">
        <is>
          <t>78989056877245</t>
        </is>
      </c>
    </row>
    <row r="1592">
      <c r="A1592" s="43" t="inlineStr">
        <is>
          <t>001162</t>
        </is>
      </c>
      <c r="B1592" s="44" t="inlineStr">
        <is>
          <t>GIN GORDON PINK</t>
        </is>
      </c>
      <c r="C1592" s="45" t="inlineStr">
        <is>
          <t>MR</t>
        </is>
      </c>
      <c r="D1592" s="45" t="inlineStr">
        <is>
          <t>LT</t>
        </is>
      </c>
      <c r="E1592" s="45" t="inlineStr">
        <is>
          <t>0038</t>
        </is>
      </c>
      <c r="F1592" s="43" t="n"/>
      <c r="G1592" s="69" t="n">
        <v>0</v>
      </c>
      <c r="H1592" s="173" t="inlineStr">
        <is>
          <t>Sim</t>
        </is>
      </c>
      <c r="I1592" s="50" t="n"/>
    </row>
    <row r="1593">
      <c r="A1593" s="40" t="inlineStr">
        <is>
          <t>001160</t>
        </is>
      </c>
      <c r="B1593" s="41" t="inlineStr">
        <is>
          <t>GIN GORDONS</t>
        </is>
      </c>
      <c r="C1593" s="42" t="inlineStr">
        <is>
          <t>MR</t>
        </is>
      </c>
      <c r="D1593" s="42" t="inlineStr">
        <is>
          <t>LT</t>
        </is>
      </c>
      <c r="E1593" s="42" t="inlineStr">
        <is>
          <t>0038</t>
        </is>
      </c>
      <c r="F1593" s="40" t="n"/>
      <c r="G1593" s="68" t="n">
        <v>0</v>
      </c>
      <c r="H1593" s="173" t="inlineStr">
        <is>
          <t>Sim</t>
        </is>
      </c>
      <c r="I1593" s="49" t="n"/>
    </row>
    <row r="1594">
      <c r="A1594" s="43" t="inlineStr">
        <is>
          <t>001701</t>
        </is>
      </c>
      <c r="B1594" s="44" t="inlineStr">
        <is>
          <t>GIN KAWAI 965ML</t>
        </is>
      </c>
      <c r="C1594" s="45" t="inlineStr">
        <is>
          <t>ME</t>
        </is>
      </c>
      <c r="D1594" s="45" t="inlineStr">
        <is>
          <t>LT</t>
        </is>
      </c>
      <c r="E1594" s="45" t="inlineStr">
        <is>
          <t>0038</t>
        </is>
      </c>
      <c r="F1594" s="70" t="inlineStr">
        <is>
          <t>Compras</t>
        </is>
      </c>
      <c r="G1594" s="69" t="n">
        <v>0</v>
      </c>
      <c r="H1594" s="172" t="inlineStr">
        <is>
          <t>Não</t>
        </is>
      </c>
      <c r="I1594" s="50" t="n"/>
    </row>
    <row r="1595">
      <c r="A1595" s="40" t="inlineStr">
        <is>
          <t>001349</t>
        </is>
      </c>
      <c r="B1595" s="41" t="inlineStr">
        <is>
          <t>GIN KAWAI STRAWEBERRY BAG 5LT</t>
        </is>
      </c>
      <c r="C1595" s="42" t="inlineStr">
        <is>
          <t>MP</t>
        </is>
      </c>
      <c r="D1595" s="42" t="inlineStr">
        <is>
          <t>LT</t>
        </is>
      </c>
      <c r="E1595" s="42" t="inlineStr">
        <is>
          <t>0038</t>
        </is>
      </c>
      <c r="F1595" s="70" t="inlineStr">
        <is>
          <t>Compras</t>
        </is>
      </c>
      <c r="G1595" s="71" t="n">
        <v>28.8</v>
      </c>
      <c r="H1595" s="172" t="inlineStr">
        <is>
          <t>Não</t>
        </is>
      </c>
      <c r="I1595" s="49" t="n"/>
    </row>
    <row r="1596">
      <c r="A1596" s="43" t="inlineStr">
        <is>
          <t>001786</t>
        </is>
      </c>
      <c r="B1596" s="44" t="inlineStr">
        <is>
          <t>GIN NEUTRAL APTK 750ML</t>
        </is>
      </c>
      <c r="C1596" s="45" t="inlineStr">
        <is>
          <t>ME</t>
        </is>
      </c>
      <c r="D1596" s="45" t="inlineStr">
        <is>
          <t>LT</t>
        </is>
      </c>
      <c r="E1596" s="45" t="inlineStr">
        <is>
          <t>0038</t>
        </is>
      </c>
      <c r="F1596" s="70" t="inlineStr">
        <is>
          <t>Compras</t>
        </is>
      </c>
      <c r="G1596" s="66" t="n">
        <v>53.2</v>
      </c>
      <c r="H1596" s="173" t="inlineStr">
        <is>
          <t>Sim</t>
        </is>
      </c>
      <c r="I1596" s="50" t="n"/>
    </row>
    <row r="1597">
      <c r="A1597" s="40" t="inlineStr">
        <is>
          <t>001394</t>
        </is>
      </c>
      <c r="B1597" s="41" t="inlineStr">
        <is>
          <t>GIN SALT BAG 5LT</t>
        </is>
      </c>
      <c r="C1597" s="42" t="inlineStr">
        <is>
          <t>MP</t>
        </is>
      </c>
      <c r="D1597" s="42" t="inlineStr">
        <is>
          <t>LT</t>
        </is>
      </c>
      <c r="E1597" s="42" t="inlineStr">
        <is>
          <t>0038</t>
        </is>
      </c>
      <c r="F1597" s="70" t="inlineStr">
        <is>
          <t>Compras</t>
        </is>
      </c>
      <c r="G1597" s="71" t="n">
        <v>18.33</v>
      </c>
      <c r="H1597" s="172" t="inlineStr">
        <is>
          <t>Não</t>
        </is>
      </c>
      <c r="I1597" s="49" t="n"/>
    </row>
    <row r="1598">
      <c r="A1598" s="43" t="inlineStr">
        <is>
          <t>001632</t>
        </is>
      </c>
      <c r="B1598" s="44" t="inlineStr">
        <is>
          <t>GIN STICA, DAN A, ESPORTES, NA</t>
        </is>
      </c>
      <c r="C1598" s="45" t="inlineStr">
        <is>
          <t>SV</t>
        </is>
      </c>
      <c r="D1598" s="45" t="inlineStr">
        <is>
          <t>UN</t>
        </is>
      </c>
      <c r="E1598" s="45" t="inlineStr">
        <is>
          <t>(VAZ</t>
        </is>
      </c>
      <c r="F1598" s="70" t="inlineStr">
        <is>
          <t>Compras</t>
        </is>
      </c>
      <c r="G1598" s="69" t="n">
        <v>0</v>
      </c>
      <c r="H1598" s="172" t="inlineStr">
        <is>
          <t>Não</t>
        </is>
      </c>
      <c r="I1598" s="50" t="n"/>
    </row>
    <row r="1599">
      <c r="A1599" s="40" t="inlineStr">
        <is>
          <t>001964</t>
        </is>
      </c>
      <c r="B1599" s="41" t="inlineStr">
        <is>
          <t>GIN T NICA MARACUJA - APTK</t>
        </is>
      </c>
      <c r="C1599" s="42" t="inlineStr">
        <is>
          <t>PA</t>
        </is>
      </c>
      <c r="D1599" s="42" t="inlineStr">
        <is>
          <t>UN</t>
        </is>
      </c>
      <c r="E1599" s="42" t="inlineStr">
        <is>
          <t>0119</t>
        </is>
      </c>
      <c r="F1599" s="65" t="inlineStr">
        <is>
          <t>Venda</t>
        </is>
      </c>
      <c r="G1599" s="68" t="n">
        <v>0</v>
      </c>
      <c r="H1599" s="177" t="inlineStr">
        <is>
          <t>Sim</t>
        </is>
      </c>
      <c r="I1599" s="178" t="n"/>
    </row>
    <row r="1600">
      <c r="A1600" s="43" t="inlineStr">
        <is>
          <t>001966</t>
        </is>
      </c>
      <c r="B1600" s="44" t="inlineStr">
        <is>
          <t>GIN T NICA MV - APTK</t>
        </is>
      </c>
      <c r="C1600" s="45" t="inlineStr">
        <is>
          <t>PA</t>
        </is>
      </c>
      <c r="D1600" s="45" t="inlineStr">
        <is>
          <t>UN</t>
        </is>
      </c>
      <c r="E1600" s="45" t="inlineStr">
        <is>
          <t>0119</t>
        </is>
      </c>
      <c r="F1600" s="65" t="inlineStr">
        <is>
          <t>Venda</t>
        </is>
      </c>
      <c r="G1600" s="69" t="n">
        <v>0</v>
      </c>
      <c r="H1600" s="177" t="inlineStr">
        <is>
          <t>Sim</t>
        </is>
      </c>
      <c r="I1600" s="178" t="n"/>
    </row>
    <row r="1601">
      <c r="A1601" s="40" t="inlineStr">
        <is>
          <t>001161</t>
        </is>
      </c>
      <c r="B1601" s="41" t="inlineStr">
        <is>
          <t>GIN TANQUERAY 750ML</t>
        </is>
      </c>
      <c r="C1601" s="42" t="inlineStr">
        <is>
          <t>ME</t>
        </is>
      </c>
      <c r="D1601" s="42" t="inlineStr">
        <is>
          <t>LT</t>
        </is>
      </c>
      <c r="E1601" s="42" t="inlineStr">
        <is>
          <t>0038</t>
        </is>
      </c>
      <c r="F1601" s="70" t="inlineStr">
        <is>
          <t>Compras</t>
        </is>
      </c>
      <c r="G1601" s="71" t="n">
        <v>130.52</v>
      </c>
      <c r="H1601" s="172" t="inlineStr">
        <is>
          <t>Não</t>
        </is>
      </c>
      <c r="I1601" s="49" t="n"/>
    </row>
    <row r="1602">
      <c r="A1602" s="43" t="inlineStr">
        <is>
          <t>001154</t>
        </is>
      </c>
      <c r="B1602" s="44" t="inlineStr">
        <is>
          <t>GIN TANQUERAY DOSE</t>
        </is>
      </c>
      <c r="C1602" s="45" t="inlineStr">
        <is>
          <t>PA</t>
        </is>
      </c>
      <c r="D1602" s="45" t="inlineStr">
        <is>
          <t>UN</t>
        </is>
      </c>
      <c r="E1602" s="45" t="inlineStr">
        <is>
          <t>0101</t>
        </is>
      </c>
      <c r="F1602" s="65" t="inlineStr">
        <is>
          <t>Venda</t>
        </is>
      </c>
      <c r="G1602" s="69" t="n">
        <v>0</v>
      </c>
      <c r="H1602" s="172" t="inlineStr">
        <is>
          <t>Não</t>
        </is>
      </c>
      <c r="I1602" s="48" t="inlineStr">
        <is>
          <t>9003482</t>
        </is>
      </c>
    </row>
    <row r="1603">
      <c r="A1603" s="40" t="inlineStr">
        <is>
          <t>001128</t>
        </is>
      </c>
      <c r="B1603" s="41" t="inlineStr">
        <is>
          <t>GIN TANQUERAY GARRAFA</t>
        </is>
      </c>
      <c r="C1603" s="42" t="inlineStr">
        <is>
          <t>MR</t>
        </is>
      </c>
      <c r="D1603" s="42" t="inlineStr">
        <is>
          <t>UN</t>
        </is>
      </c>
      <c r="E1603" s="42" t="inlineStr">
        <is>
          <t>0101</t>
        </is>
      </c>
      <c r="F1603" s="65" t="inlineStr">
        <is>
          <t>Venda</t>
        </is>
      </c>
      <c r="G1603" s="71" t="n">
        <v>122.5333</v>
      </c>
      <c r="H1603" s="172" t="inlineStr">
        <is>
          <t>Não</t>
        </is>
      </c>
      <c r="I1603" s="47" t="inlineStr">
        <is>
          <t>9003453</t>
        </is>
      </c>
    </row>
    <row r="1604">
      <c r="A1604" s="43" t="inlineStr">
        <is>
          <t>000062</t>
        </is>
      </c>
      <c r="B1604" s="44" t="inlineStr">
        <is>
          <t>GIN TONICA CLASSICO</t>
        </is>
      </c>
      <c r="C1604" s="45" t="inlineStr">
        <is>
          <t>PA</t>
        </is>
      </c>
      <c r="D1604" s="45" t="inlineStr">
        <is>
          <t>UN</t>
        </is>
      </c>
      <c r="E1604" s="45" t="inlineStr">
        <is>
          <t>0097</t>
        </is>
      </c>
      <c r="F1604" s="65" t="inlineStr">
        <is>
          <t>Venda</t>
        </is>
      </c>
      <c r="G1604" s="69" t="n">
        <v>0</v>
      </c>
      <c r="H1604" s="172" t="inlineStr">
        <is>
          <t>Não</t>
        </is>
      </c>
      <c r="I1604" s="48" t="inlineStr">
        <is>
          <t>200022</t>
        </is>
      </c>
    </row>
    <row r="1605">
      <c r="A1605" s="40" t="inlineStr">
        <is>
          <t>001078</t>
        </is>
      </c>
      <c r="B1605" s="41" t="inlineStr">
        <is>
          <t>GIN TONICA CLASSICO</t>
        </is>
      </c>
      <c r="C1605" s="42" t="inlineStr">
        <is>
          <t>PA</t>
        </is>
      </c>
      <c r="D1605" s="42" t="inlineStr">
        <is>
          <t>UN</t>
        </is>
      </c>
      <c r="E1605" s="42" t="inlineStr">
        <is>
          <t>0101</t>
        </is>
      </c>
      <c r="F1605" s="65" t="inlineStr">
        <is>
          <t>Venda</t>
        </is>
      </c>
      <c r="G1605" s="68" t="n">
        <v>0</v>
      </c>
      <c r="H1605" s="172" t="inlineStr">
        <is>
          <t>Não</t>
        </is>
      </c>
      <c r="I1605" s="47" t="inlineStr">
        <is>
          <t>67025</t>
        </is>
      </c>
    </row>
    <row r="1606">
      <c r="A1606" s="43" t="inlineStr">
        <is>
          <t>001183</t>
        </is>
      </c>
      <c r="B1606" s="44" t="inlineStr">
        <is>
          <t>GIN TONICA DO QUINTAL</t>
        </is>
      </c>
      <c r="C1606" s="45" t="inlineStr">
        <is>
          <t>PA</t>
        </is>
      </c>
      <c r="D1606" s="45" t="inlineStr">
        <is>
          <t>UN</t>
        </is>
      </c>
      <c r="E1606" s="45" t="inlineStr">
        <is>
          <t>0101</t>
        </is>
      </c>
      <c r="F1606" s="65" t="inlineStr">
        <is>
          <t>Venda</t>
        </is>
      </c>
      <c r="G1606" s="69" t="n">
        <v>0</v>
      </c>
      <c r="H1606" s="172" t="inlineStr">
        <is>
          <t>Não</t>
        </is>
      </c>
      <c r="I1606" s="48" t="inlineStr">
        <is>
          <t>9003512</t>
        </is>
      </c>
    </row>
    <row r="1607">
      <c r="A1607" s="40" t="inlineStr">
        <is>
          <t>001184</t>
        </is>
      </c>
      <c r="B1607" s="41" t="inlineStr">
        <is>
          <t>GIN TONICA DO QUINTAL</t>
        </is>
      </c>
      <c r="C1607" s="42" t="inlineStr">
        <is>
          <t>PA</t>
        </is>
      </c>
      <c r="D1607" s="42" t="inlineStr">
        <is>
          <t>UN</t>
        </is>
      </c>
      <c r="E1607" s="42" t="inlineStr">
        <is>
          <t>0101</t>
        </is>
      </c>
      <c r="F1607" s="65" t="inlineStr">
        <is>
          <t>Venda</t>
        </is>
      </c>
      <c r="G1607" s="68" t="n">
        <v>0</v>
      </c>
      <c r="H1607" s="172" t="inlineStr">
        <is>
          <t>Não</t>
        </is>
      </c>
      <c r="I1607" s="47" t="inlineStr">
        <is>
          <t>9003515</t>
        </is>
      </c>
    </row>
    <row r="1608">
      <c r="A1608" s="43" t="inlineStr">
        <is>
          <t>001179</t>
        </is>
      </c>
      <c r="B1608" s="44" t="inlineStr">
        <is>
          <t>GIN TONICA FRUTAS VERMELHAS DRINK</t>
        </is>
      </c>
      <c r="C1608" s="45" t="inlineStr">
        <is>
          <t>PA</t>
        </is>
      </c>
      <c r="D1608" s="45" t="inlineStr">
        <is>
          <t>UN</t>
        </is>
      </c>
      <c r="E1608" s="45" t="inlineStr">
        <is>
          <t>0101</t>
        </is>
      </c>
      <c r="F1608" s="65" t="inlineStr">
        <is>
          <t>Venda</t>
        </is>
      </c>
      <c r="G1608" s="69" t="n">
        <v>0</v>
      </c>
      <c r="H1608" s="172" t="inlineStr">
        <is>
          <t>Não</t>
        </is>
      </c>
      <c r="I1608" s="48" t="inlineStr">
        <is>
          <t>9003511</t>
        </is>
      </c>
    </row>
    <row r="1609">
      <c r="A1609" s="40" t="inlineStr">
        <is>
          <t>001180</t>
        </is>
      </c>
      <c r="B1609" s="41" t="inlineStr">
        <is>
          <t>GIN TONICA FRUTAS VERMELHAS DRINK</t>
        </is>
      </c>
      <c r="C1609" s="42" t="inlineStr">
        <is>
          <t>PA</t>
        </is>
      </c>
      <c r="D1609" s="42" t="inlineStr">
        <is>
          <t>UN</t>
        </is>
      </c>
      <c r="E1609" s="42" t="inlineStr">
        <is>
          <t>0101</t>
        </is>
      </c>
      <c r="F1609" s="65" t="inlineStr">
        <is>
          <t>Venda</t>
        </is>
      </c>
      <c r="G1609" s="68" t="n">
        <v>0</v>
      </c>
      <c r="H1609" s="172" t="inlineStr">
        <is>
          <t>Não</t>
        </is>
      </c>
      <c r="I1609" s="47" t="inlineStr">
        <is>
          <t>9003514</t>
        </is>
      </c>
    </row>
    <row r="1610">
      <c r="A1610" s="43" t="inlineStr">
        <is>
          <t>000949</t>
        </is>
      </c>
      <c r="B1610" s="44" t="inlineStr">
        <is>
          <t>GIN TONICA PINK</t>
        </is>
      </c>
      <c r="C1610" s="45" t="inlineStr">
        <is>
          <t>PA</t>
        </is>
      </c>
      <c r="D1610" s="45" t="inlineStr">
        <is>
          <t>UN</t>
        </is>
      </c>
      <c r="E1610" s="45" t="inlineStr">
        <is>
          <t>0101</t>
        </is>
      </c>
      <c r="F1610" s="65" t="inlineStr">
        <is>
          <t>Venda</t>
        </is>
      </c>
      <c r="G1610" s="69" t="n">
        <v>0</v>
      </c>
      <c r="H1610" s="172" t="inlineStr">
        <is>
          <t>Não</t>
        </is>
      </c>
      <c r="I1610" s="48" t="inlineStr">
        <is>
          <t>9003155</t>
        </is>
      </c>
    </row>
    <row r="1611">
      <c r="A1611" s="40" t="inlineStr">
        <is>
          <t>000962</t>
        </is>
      </c>
      <c r="B1611" s="41" t="inlineStr">
        <is>
          <t>GIN TONICA PINK</t>
        </is>
      </c>
      <c r="C1611" s="42" t="inlineStr">
        <is>
          <t>PA</t>
        </is>
      </c>
      <c r="D1611" s="42" t="inlineStr">
        <is>
          <t>UN</t>
        </is>
      </c>
      <c r="E1611" s="42" t="inlineStr">
        <is>
          <t>0101</t>
        </is>
      </c>
      <c r="F1611" s="65" t="inlineStr">
        <is>
          <t>Venda</t>
        </is>
      </c>
      <c r="G1611" s="68" t="n">
        <v>0</v>
      </c>
      <c r="H1611" s="172" t="inlineStr">
        <is>
          <t>Não</t>
        </is>
      </c>
      <c r="I1611" s="47" t="inlineStr">
        <is>
          <t>9003183</t>
        </is>
      </c>
    </row>
    <row r="1612">
      <c r="A1612" s="43" t="inlineStr">
        <is>
          <t>001185</t>
        </is>
      </c>
      <c r="B1612" s="44" t="inlineStr">
        <is>
          <t>GIN TONICA SICILIANO</t>
        </is>
      </c>
      <c r="C1612" s="45" t="inlineStr">
        <is>
          <t>PA</t>
        </is>
      </c>
      <c r="D1612" s="45" t="inlineStr">
        <is>
          <t>UN</t>
        </is>
      </c>
      <c r="E1612" s="45" t="inlineStr">
        <is>
          <t>0101</t>
        </is>
      </c>
      <c r="F1612" s="65" t="inlineStr">
        <is>
          <t>Venda</t>
        </is>
      </c>
      <c r="G1612" s="69" t="n">
        <v>0</v>
      </c>
      <c r="H1612" s="172" t="inlineStr">
        <is>
          <t>Não</t>
        </is>
      </c>
      <c r="I1612" s="48" t="inlineStr">
        <is>
          <t>9003513</t>
        </is>
      </c>
    </row>
    <row r="1613">
      <c r="A1613" s="40" t="inlineStr">
        <is>
          <t>001186</t>
        </is>
      </c>
      <c r="B1613" s="41" t="inlineStr">
        <is>
          <t>GIN TONICA SICILIANO</t>
        </is>
      </c>
      <c r="C1613" s="42" t="inlineStr">
        <is>
          <t>PA</t>
        </is>
      </c>
      <c r="D1613" s="42" t="inlineStr">
        <is>
          <t>UN</t>
        </is>
      </c>
      <c r="E1613" s="42" t="inlineStr">
        <is>
          <t>0101</t>
        </is>
      </c>
      <c r="F1613" s="65" t="inlineStr">
        <is>
          <t>Venda</t>
        </is>
      </c>
      <c r="G1613" s="68" t="n">
        <v>0</v>
      </c>
      <c r="H1613" s="172" t="inlineStr">
        <is>
          <t>Não</t>
        </is>
      </c>
      <c r="I1613" s="47" t="inlineStr">
        <is>
          <t>9003516</t>
        </is>
      </c>
    </row>
    <row r="1614">
      <c r="A1614" s="43" t="inlineStr">
        <is>
          <t>000948</t>
        </is>
      </c>
      <c r="B1614" s="44" t="inlineStr">
        <is>
          <t>GIN TONICA STRAWBERRY</t>
        </is>
      </c>
      <c r="C1614" s="45" t="inlineStr">
        <is>
          <t>PA</t>
        </is>
      </c>
      <c r="D1614" s="45" t="inlineStr">
        <is>
          <t>UN</t>
        </is>
      </c>
      <c r="E1614" s="45" t="inlineStr">
        <is>
          <t>0101</t>
        </is>
      </c>
      <c r="F1614" s="65" t="inlineStr">
        <is>
          <t>Venda</t>
        </is>
      </c>
      <c r="G1614" s="69" t="n">
        <v>0</v>
      </c>
      <c r="H1614" s="177" t="inlineStr">
        <is>
          <t>Sim</t>
        </is>
      </c>
      <c r="I1614" s="178" t="n"/>
    </row>
    <row r="1615">
      <c r="A1615" s="40" t="inlineStr">
        <is>
          <t>001085</t>
        </is>
      </c>
      <c r="B1615" s="41" t="inlineStr">
        <is>
          <t>GIN TONICA STRAWBERRY</t>
        </is>
      </c>
      <c r="C1615" s="42" t="inlineStr">
        <is>
          <t>PA</t>
        </is>
      </c>
      <c r="D1615" s="42" t="inlineStr">
        <is>
          <t>UN</t>
        </is>
      </c>
      <c r="E1615" s="42" t="inlineStr">
        <is>
          <t>0101</t>
        </is>
      </c>
      <c r="F1615" s="65" t="inlineStr">
        <is>
          <t>Venda</t>
        </is>
      </c>
      <c r="G1615" s="68" t="n">
        <v>0</v>
      </c>
      <c r="H1615" s="177" t="inlineStr">
        <is>
          <t>Sim</t>
        </is>
      </c>
      <c r="I1615" s="178" t="n"/>
    </row>
    <row r="1616">
      <c r="A1616" s="43" t="inlineStr">
        <is>
          <t>009545</t>
        </is>
      </c>
      <c r="B1616" s="44" t="inlineStr">
        <is>
          <t>GIZ DE CERA 24 CORES</t>
        </is>
      </c>
      <c r="C1616" s="45" t="inlineStr">
        <is>
          <t>MC</t>
        </is>
      </c>
      <c r="D1616" s="45" t="inlineStr">
        <is>
          <t>UN</t>
        </is>
      </c>
      <c r="E1616" s="45" t="inlineStr">
        <is>
          <t>0134</t>
        </is>
      </c>
      <c r="F1616" s="70" t="inlineStr">
        <is>
          <t>Compras</t>
        </is>
      </c>
      <c r="G1616" s="69" t="n">
        <v>0</v>
      </c>
      <c r="H1616" s="172" t="inlineStr">
        <is>
          <t>Não</t>
        </is>
      </c>
      <c r="I1616" s="50" t="n"/>
    </row>
    <row r="1617">
      <c r="A1617" s="40" t="inlineStr">
        <is>
          <t>009563</t>
        </is>
      </c>
      <c r="B1617" s="41" t="inlineStr">
        <is>
          <t>GIZ DE LOUSA COLORIDO PARA QUADRO ESCOLAR</t>
        </is>
      </c>
      <c r="C1617" s="42" t="inlineStr">
        <is>
          <t>MC</t>
        </is>
      </c>
      <c r="D1617" s="42" t="inlineStr">
        <is>
          <t>UN</t>
        </is>
      </c>
      <c r="E1617" s="42" t="inlineStr">
        <is>
          <t>0134</t>
        </is>
      </c>
      <c r="F1617" s="70" t="inlineStr">
        <is>
          <t>Compras</t>
        </is>
      </c>
      <c r="G1617" s="68" t="n">
        <v>0</v>
      </c>
      <c r="H1617" s="172" t="inlineStr">
        <is>
          <t>Não</t>
        </is>
      </c>
      <c r="I1617" s="49" t="n"/>
    </row>
    <row r="1618">
      <c r="A1618" s="43" t="inlineStr">
        <is>
          <t>000725</t>
        </is>
      </c>
      <c r="B1618" s="44" t="inlineStr">
        <is>
          <t>GLICOL</t>
        </is>
      </c>
      <c r="C1618" s="45" t="inlineStr">
        <is>
          <t>MC</t>
        </is>
      </c>
      <c r="D1618" s="45" t="inlineStr">
        <is>
          <t>UN</t>
        </is>
      </c>
      <c r="E1618" s="45" t="inlineStr">
        <is>
          <t>0105</t>
        </is>
      </c>
      <c r="F1618" s="43" t="n"/>
      <c r="G1618" s="69" t="n">
        <v>0</v>
      </c>
      <c r="H1618" s="173" t="inlineStr">
        <is>
          <t>Sim</t>
        </is>
      </c>
      <c r="I1618" s="50" t="n"/>
    </row>
    <row r="1619">
      <c r="A1619" s="40" t="inlineStr">
        <is>
          <t>009747</t>
        </is>
      </c>
      <c r="B1619" s="41" t="inlineStr">
        <is>
          <t>GOIABINHA BAUDUCCO</t>
        </is>
      </c>
      <c r="C1619" s="42" t="inlineStr">
        <is>
          <t>MC</t>
        </is>
      </c>
      <c r="D1619" s="42" t="inlineStr">
        <is>
          <t>UN</t>
        </is>
      </c>
      <c r="E1619" s="42" t="inlineStr">
        <is>
          <t>0013</t>
        </is>
      </c>
      <c r="F1619" s="70" t="inlineStr">
        <is>
          <t>Compras</t>
        </is>
      </c>
      <c r="G1619" s="71" t="n">
        <v>1.4095</v>
      </c>
      <c r="H1619" s="172" t="inlineStr">
        <is>
          <t>Não</t>
        </is>
      </c>
      <c r="I1619" s="49" t="n"/>
    </row>
    <row r="1620">
      <c r="A1620" s="43" t="inlineStr">
        <is>
          <t>001335</t>
        </is>
      </c>
      <c r="B1620" s="44" t="inlineStr">
        <is>
          <t>GOLD LABEL DOSE</t>
        </is>
      </c>
      <c r="C1620" s="45" t="inlineStr">
        <is>
          <t>PA</t>
        </is>
      </c>
      <c r="D1620" s="45" t="inlineStr">
        <is>
          <t>UN</t>
        </is>
      </c>
      <c r="E1620" s="45" t="inlineStr">
        <is>
          <t>0120</t>
        </is>
      </c>
      <c r="F1620" s="65" t="inlineStr">
        <is>
          <t>Venda</t>
        </is>
      </c>
      <c r="G1620" s="69" t="n">
        <v>0</v>
      </c>
      <c r="H1620" s="172" t="inlineStr">
        <is>
          <t>Não</t>
        </is>
      </c>
      <c r="I1620" s="48" t="inlineStr">
        <is>
          <t>7898905687151</t>
        </is>
      </c>
    </row>
    <row r="1621">
      <c r="A1621" s="40" t="inlineStr">
        <is>
          <t>001334</t>
        </is>
      </c>
      <c r="B1621" s="41" t="inlineStr">
        <is>
          <t>GOLD LABEL GARRAFA</t>
        </is>
      </c>
      <c r="C1621" s="42" t="inlineStr">
        <is>
          <t>MR</t>
        </is>
      </c>
      <c r="D1621" s="42" t="inlineStr">
        <is>
          <t>UN</t>
        </is>
      </c>
      <c r="E1621" s="42" t="inlineStr">
        <is>
          <t>0120</t>
        </is>
      </c>
      <c r="F1621" s="65" t="inlineStr">
        <is>
          <t>Venda</t>
        </is>
      </c>
      <c r="G1621" s="71" t="n">
        <v>239.9</v>
      </c>
      <c r="H1621" s="172" t="inlineStr">
        <is>
          <t>Não</t>
        </is>
      </c>
      <c r="I1621" s="47" t="inlineStr">
        <is>
          <t>7898905687150</t>
        </is>
      </c>
    </row>
    <row r="1622">
      <c r="A1622" s="43" t="inlineStr">
        <is>
          <t>001959</t>
        </is>
      </c>
      <c r="B1622" s="44" t="inlineStr">
        <is>
          <t>GOLD RUSH</t>
        </is>
      </c>
      <c r="C1622" s="45" t="inlineStr">
        <is>
          <t>PA</t>
        </is>
      </c>
      <c r="D1622" s="45" t="inlineStr">
        <is>
          <t>UN</t>
        </is>
      </c>
      <c r="E1622" s="45" t="inlineStr">
        <is>
          <t>0119</t>
        </is>
      </c>
      <c r="F1622" s="65" t="inlineStr">
        <is>
          <t>Venda</t>
        </is>
      </c>
      <c r="G1622" s="69" t="n">
        <v>0</v>
      </c>
      <c r="H1622" s="172" t="inlineStr">
        <is>
          <t>Não</t>
        </is>
      </c>
      <c r="I1622" s="48" t="inlineStr">
        <is>
          <t>78989056877237</t>
        </is>
      </c>
    </row>
    <row r="1623">
      <c r="A1623" s="40" t="inlineStr">
        <is>
          <t>000918</t>
        </is>
      </c>
      <c r="B1623" s="41" t="inlineStr">
        <is>
          <t>GOOSE ISLAND IPA</t>
        </is>
      </c>
      <c r="C1623" s="42" t="inlineStr">
        <is>
          <t>MR</t>
        </is>
      </c>
      <c r="D1623" s="42" t="inlineStr">
        <is>
          <t>UN</t>
        </is>
      </c>
      <c r="E1623" s="42" t="inlineStr">
        <is>
          <t>0093</t>
        </is>
      </c>
      <c r="F1623" s="40" t="inlineStr">
        <is>
          <t>(vazio)</t>
        </is>
      </c>
      <c r="G1623" s="68" t="n">
        <v>0</v>
      </c>
      <c r="H1623" s="173" t="inlineStr">
        <is>
          <t>Sim</t>
        </is>
      </c>
      <c r="I1623" s="47" t="inlineStr">
        <is>
          <t>80046</t>
        </is>
      </c>
    </row>
    <row r="1624">
      <c r="A1624" s="43" t="inlineStr">
        <is>
          <t>000394</t>
        </is>
      </c>
      <c r="B1624" s="44" t="inlineStr">
        <is>
          <t>GORDURA VEGETAL 14,5KG</t>
        </is>
      </c>
      <c r="C1624" s="45" t="inlineStr">
        <is>
          <t>MP</t>
        </is>
      </c>
      <c r="D1624" s="45" t="inlineStr">
        <is>
          <t>KG</t>
        </is>
      </c>
      <c r="E1624" s="45" t="inlineStr">
        <is>
          <t>0029</t>
        </is>
      </c>
      <c r="F1624" s="70" t="inlineStr">
        <is>
          <t>Compras</t>
        </is>
      </c>
      <c r="G1624" s="66" t="n">
        <v>11.8497</v>
      </c>
      <c r="H1624" s="172" t="inlineStr">
        <is>
          <t>Não</t>
        </is>
      </c>
      <c r="I1624" s="50" t="n"/>
    </row>
    <row r="1625">
      <c r="A1625" s="43" t="inlineStr">
        <is>
          <t>100001</t>
        </is>
      </c>
      <c r="B1625" s="44" t="inlineStr">
        <is>
          <t>GORJETA</t>
        </is>
      </c>
      <c r="C1625" s="45" t="inlineStr">
        <is>
          <t>MR</t>
        </is>
      </c>
      <c r="D1625" s="45" t="inlineStr">
        <is>
          <t>UN</t>
        </is>
      </c>
      <c r="E1625" s="45" t="inlineStr">
        <is>
          <t>0127</t>
        </is>
      </c>
      <c r="F1625" s="65" t="inlineStr">
        <is>
          <t>Venda</t>
        </is>
      </c>
      <c r="G1625" s="69" t="n">
        <v>0</v>
      </c>
      <c r="H1625" s="177" t="inlineStr">
        <is>
          <t>Sim</t>
        </is>
      </c>
      <c r="I1625" s="178" t="n"/>
    </row>
    <row r="1626">
      <c r="A1626" s="43" t="inlineStr">
        <is>
          <t>9999999999997</t>
        </is>
      </c>
      <c r="B1626" s="44" t="inlineStr">
        <is>
          <t>GORJETA</t>
        </is>
      </c>
      <c r="C1626" s="45" t="inlineStr">
        <is>
          <t>MR</t>
        </is>
      </c>
      <c r="D1626" s="45" t="inlineStr">
        <is>
          <t>UN</t>
        </is>
      </c>
      <c r="E1626" s="45" t="inlineStr">
        <is>
          <t>0127</t>
        </is>
      </c>
      <c r="F1626" s="65" t="inlineStr">
        <is>
          <t>Venda</t>
        </is>
      </c>
      <c r="G1626" s="69" t="n">
        <v>0</v>
      </c>
      <c r="H1626" s="177" t="inlineStr">
        <is>
          <t>Sim</t>
        </is>
      </c>
      <c r="I1626" s="178" t="n"/>
    </row>
    <row r="1627">
      <c r="A1627" s="40" t="inlineStr">
        <is>
          <t>001339</t>
        </is>
      </c>
      <c r="B1627" s="41" t="inlineStr">
        <is>
          <t>GRADE DE ISOLAMENTO</t>
        </is>
      </c>
      <c r="C1627" s="42" t="inlineStr">
        <is>
          <t>AI</t>
        </is>
      </c>
      <c r="D1627" s="42" t="inlineStr">
        <is>
          <t>UN</t>
        </is>
      </c>
      <c r="E1627" s="42" t="inlineStr">
        <is>
          <t>0020</t>
        </is>
      </c>
      <c r="F1627" s="70" t="inlineStr">
        <is>
          <t>Compras</t>
        </is>
      </c>
      <c r="G1627" s="68" t="n">
        <v>0</v>
      </c>
      <c r="H1627" s="172" t="inlineStr">
        <is>
          <t>Não</t>
        </is>
      </c>
      <c r="I1627" s="49" t="n"/>
    </row>
    <row r="1628">
      <c r="A1628" s="43" t="inlineStr">
        <is>
          <t>010333</t>
        </is>
      </c>
      <c r="B1628" s="44" t="inlineStr">
        <is>
          <t>GRADE PRATELEIRA PARA REFRIGERADOR 55X53CM</t>
        </is>
      </c>
      <c r="C1628" s="45" t="inlineStr">
        <is>
          <t>MC</t>
        </is>
      </c>
      <c r="D1628" s="45" t="inlineStr">
        <is>
          <t>UN</t>
        </is>
      </c>
      <c r="E1628" s="45" t="inlineStr">
        <is>
          <t>0132</t>
        </is>
      </c>
      <c r="F1628" s="70" t="inlineStr">
        <is>
          <t>Compras</t>
        </is>
      </c>
      <c r="G1628" s="69" t="n">
        <v>142</v>
      </c>
      <c r="H1628" s="172" t="inlineStr">
        <is>
          <t>Não</t>
        </is>
      </c>
      <c r="I1628" s="50" t="n"/>
    </row>
    <row r="1629">
      <c r="A1629" s="40" t="inlineStr">
        <is>
          <t>009869</t>
        </is>
      </c>
      <c r="B1629" s="41" t="inlineStr">
        <is>
          <t>GRAFIATO #12 BARRICA 23KG</t>
        </is>
      </c>
      <c r="C1629" s="42" t="inlineStr">
        <is>
          <t>MC</t>
        </is>
      </c>
      <c r="D1629" s="42" t="inlineStr">
        <is>
          <t>UN</t>
        </is>
      </c>
      <c r="E1629" s="42" t="inlineStr">
        <is>
          <t>0132</t>
        </is>
      </c>
      <c r="F1629" s="70" t="inlineStr">
        <is>
          <t>Compras</t>
        </is>
      </c>
      <c r="G1629" s="71" t="n">
        <v>73</v>
      </c>
      <c r="H1629" s="172" t="inlineStr">
        <is>
          <t>Não</t>
        </is>
      </c>
      <c r="I1629" s="49" t="n"/>
    </row>
    <row r="1630">
      <c r="A1630" s="43" t="inlineStr">
        <is>
          <t>000146</t>
        </is>
      </c>
      <c r="B1630" s="44" t="inlineStr">
        <is>
          <t>GRAMPEADOR DE MESA 26/6</t>
        </is>
      </c>
      <c r="C1630" s="45" t="inlineStr">
        <is>
          <t>MC</t>
        </is>
      </c>
      <c r="D1630" s="45" t="inlineStr">
        <is>
          <t>UN</t>
        </is>
      </c>
      <c r="E1630" s="45" t="inlineStr">
        <is>
          <t>0001</t>
        </is>
      </c>
      <c r="F1630" s="70" t="inlineStr">
        <is>
          <t>Compras</t>
        </is>
      </c>
      <c r="G1630" s="66" t="n">
        <v>9.9</v>
      </c>
      <c r="H1630" s="172" t="inlineStr">
        <is>
          <t>Não</t>
        </is>
      </c>
      <c r="I1630" s="50" t="n"/>
    </row>
    <row r="1631">
      <c r="A1631" s="40" t="inlineStr">
        <is>
          <t>009591</t>
        </is>
      </c>
      <c r="B1631" s="41" t="inlineStr">
        <is>
          <t>GRAMPO PARA FIXA CABO</t>
        </is>
      </c>
      <c r="C1631" s="42" t="inlineStr">
        <is>
          <t>MC</t>
        </is>
      </c>
      <c r="D1631" s="42" t="inlineStr">
        <is>
          <t>PC</t>
        </is>
      </c>
      <c r="E1631" s="42" t="inlineStr">
        <is>
          <t>0132</t>
        </is>
      </c>
      <c r="F1631" s="70" t="inlineStr">
        <is>
          <t>Compras</t>
        </is>
      </c>
      <c r="G1631" s="71" t="n">
        <v>6.6</v>
      </c>
      <c r="H1631" s="172" t="inlineStr">
        <is>
          <t>Não</t>
        </is>
      </c>
      <c r="I1631" s="49" t="n"/>
    </row>
    <row r="1632">
      <c r="A1632" s="43" t="inlineStr">
        <is>
          <t>000159</t>
        </is>
      </c>
      <c r="B1632" s="44" t="inlineStr">
        <is>
          <t>GRAMPO PARA GRAMPEADOR 26/6</t>
        </is>
      </c>
      <c r="C1632" s="45" t="inlineStr">
        <is>
          <t>MC</t>
        </is>
      </c>
      <c r="D1632" s="45" t="inlineStr">
        <is>
          <t>UN</t>
        </is>
      </c>
      <c r="E1632" s="45" t="inlineStr">
        <is>
          <t>0001</t>
        </is>
      </c>
      <c r="F1632" s="70" t="inlineStr">
        <is>
          <t>Compras</t>
        </is>
      </c>
      <c r="G1632" s="66" t="n">
        <v>4.98</v>
      </c>
      <c r="H1632" s="172" t="inlineStr">
        <is>
          <t>Não</t>
        </is>
      </c>
      <c r="I1632" s="50" t="n"/>
    </row>
    <row r="1633">
      <c r="A1633" s="40" t="inlineStr">
        <is>
          <t>009698</t>
        </is>
      </c>
      <c r="B1633" s="41" t="inlineStr">
        <is>
          <t>GRAVADOR DE CANAIS NVD 1516-P</t>
        </is>
      </c>
      <c r="C1633" s="42" t="inlineStr">
        <is>
          <t>MC</t>
        </is>
      </c>
      <c r="D1633" s="42" t="inlineStr">
        <is>
          <t>UN</t>
        </is>
      </c>
      <c r="E1633" s="42" t="inlineStr">
        <is>
          <t>0132</t>
        </is>
      </c>
      <c r="F1633" s="70" t="inlineStr">
        <is>
          <t>Compras</t>
        </is>
      </c>
      <c r="G1633" s="71" t="n">
        <v>2400</v>
      </c>
      <c r="H1633" s="172" t="inlineStr">
        <is>
          <t>Não</t>
        </is>
      </c>
      <c r="I1633" s="49" t="n"/>
    </row>
    <row r="1634">
      <c r="A1634" s="43" t="inlineStr">
        <is>
          <t>010165</t>
        </is>
      </c>
      <c r="B1634" s="44" t="inlineStr">
        <is>
          <t>GRAXA GRAFITADA</t>
        </is>
      </c>
      <c r="C1634" s="45" t="inlineStr">
        <is>
          <t>MC</t>
        </is>
      </c>
      <c r="D1634" s="45" t="inlineStr">
        <is>
          <t>UN</t>
        </is>
      </c>
      <c r="E1634" s="45" t="inlineStr">
        <is>
          <t>0132</t>
        </is>
      </c>
      <c r="F1634" s="70" t="inlineStr">
        <is>
          <t>Compras</t>
        </is>
      </c>
      <c r="G1634" s="66" t="n">
        <v>25.5</v>
      </c>
      <c r="H1634" s="172" t="inlineStr">
        <is>
          <t>Não</t>
        </is>
      </c>
      <c r="I1634" s="50" t="n"/>
    </row>
    <row r="1635">
      <c r="A1635" s="40" t="inlineStr">
        <is>
          <t>009678</t>
        </is>
      </c>
      <c r="B1635" s="41" t="inlineStr">
        <is>
          <t>GRELHA CAIXA SIFONADA 15CM</t>
        </is>
      </c>
      <c r="C1635" s="42" t="inlineStr">
        <is>
          <t>MC</t>
        </is>
      </c>
      <c r="D1635" s="42" t="inlineStr">
        <is>
          <t>UN</t>
        </is>
      </c>
      <c r="E1635" s="42" t="inlineStr">
        <is>
          <t>0132</t>
        </is>
      </c>
      <c r="F1635" s="70" t="inlineStr">
        <is>
          <t>Compras</t>
        </is>
      </c>
      <c r="G1635" s="68" t="n">
        <v>0</v>
      </c>
      <c r="H1635" s="172" t="inlineStr">
        <is>
          <t>Não</t>
        </is>
      </c>
      <c r="I1635" s="49" t="n"/>
    </row>
    <row r="1636">
      <c r="A1636" s="43" t="inlineStr">
        <is>
          <t>001046</t>
        </is>
      </c>
      <c r="B1636" s="44" t="inlineStr">
        <is>
          <t>GRELHA GRANDE</t>
        </is>
      </c>
      <c r="C1636" s="45" t="inlineStr">
        <is>
          <t>MC</t>
        </is>
      </c>
      <c r="D1636" s="45" t="inlineStr">
        <is>
          <t>UN</t>
        </is>
      </c>
      <c r="E1636" s="45" t="inlineStr">
        <is>
          <t>0080</t>
        </is>
      </c>
      <c r="F1636" s="70" t="inlineStr">
        <is>
          <t>Compras</t>
        </is>
      </c>
      <c r="G1636" s="69" t="n">
        <v>0</v>
      </c>
      <c r="H1636" s="172" t="inlineStr">
        <is>
          <t>Não</t>
        </is>
      </c>
      <c r="I1636" s="50" t="n"/>
    </row>
    <row r="1637">
      <c r="A1637" s="40" t="inlineStr">
        <is>
          <t>000990</t>
        </is>
      </c>
      <c r="B1637" s="41" t="inlineStr">
        <is>
          <t>GRELHA INOX M</t>
        </is>
      </c>
      <c r="C1637" s="42" t="inlineStr">
        <is>
          <t>MC</t>
        </is>
      </c>
      <c r="D1637" s="42" t="inlineStr">
        <is>
          <t>UN</t>
        </is>
      </c>
      <c r="E1637" s="42" t="inlineStr">
        <is>
          <t>0080</t>
        </is>
      </c>
      <c r="F1637" s="70" t="inlineStr">
        <is>
          <t>Compras</t>
        </is>
      </c>
      <c r="G1637" s="68" t="n">
        <v>0</v>
      </c>
      <c r="H1637" s="172" t="inlineStr">
        <is>
          <t>Não</t>
        </is>
      </c>
      <c r="I1637" s="49" t="n"/>
    </row>
    <row r="1638">
      <c r="A1638" s="43" t="inlineStr">
        <is>
          <t>001041</t>
        </is>
      </c>
      <c r="B1638" s="44" t="inlineStr">
        <is>
          <t>GRELHA MEDIA</t>
        </is>
      </c>
      <c r="C1638" s="45" t="inlineStr">
        <is>
          <t>MC</t>
        </is>
      </c>
      <c r="D1638" s="45" t="inlineStr">
        <is>
          <t>UN</t>
        </is>
      </c>
      <c r="E1638" s="45" t="inlineStr">
        <is>
          <t>0080</t>
        </is>
      </c>
      <c r="F1638" s="70" t="inlineStr">
        <is>
          <t>Compras</t>
        </is>
      </c>
      <c r="G1638" s="69" t="n">
        <v>0</v>
      </c>
      <c r="H1638" s="172" t="inlineStr">
        <is>
          <t>Não</t>
        </is>
      </c>
      <c r="I1638" s="50" t="n"/>
    </row>
    <row r="1639">
      <c r="A1639" s="40" t="inlineStr">
        <is>
          <t>001040</t>
        </is>
      </c>
      <c r="B1639" s="41" t="inlineStr">
        <is>
          <t>GRELHA PEQUENA</t>
        </is>
      </c>
      <c r="C1639" s="42" t="inlineStr">
        <is>
          <t>MC</t>
        </is>
      </c>
      <c r="D1639" s="42" t="inlineStr">
        <is>
          <t>UN</t>
        </is>
      </c>
      <c r="E1639" s="42" t="inlineStr">
        <is>
          <t>0080</t>
        </is>
      </c>
      <c r="F1639" s="70" t="inlineStr">
        <is>
          <t>Compras</t>
        </is>
      </c>
      <c r="G1639" s="68" t="n">
        <v>0</v>
      </c>
      <c r="H1639" s="172" t="inlineStr">
        <is>
          <t>Não</t>
        </is>
      </c>
      <c r="I1639" s="49" t="n"/>
    </row>
    <row r="1640">
      <c r="A1640" s="43" t="inlineStr">
        <is>
          <t>009956</t>
        </is>
      </c>
      <c r="B1640" s="44" t="inlineStr">
        <is>
          <t>GRELHA PISO TETO PARA AR CONDICIONADO (GRANDE)</t>
        </is>
      </c>
      <c r="C1640" s="45" t="inlineStr">
        <is>
          <t>MC</t>
        </is>
      </c>
      <c r="D1640" s="45" t="inlineStr">
        <is>
          <t>UN</t>
        </is>
      </c>
      <c r="E1640" s="45" t="inlineStr">
        <is>
          <t>0132</t>
        </is>
      </c>
      <c r="F1640" s="70" t="inlineStr">
        <is>
          <t>Compras</t>
        </is>
      </c>
      <c r="G1640" s="66" t="n">
        <v>45.6667</v>
      </c>
      <c r="H1640" s="172" t="inlineStr">
        <is>
          <t>Não</t>
        </is>
      </c>
      <c r="I1640" s="50" t="n"/>
    </row>
    <row r="1641">
      <c r="A1641" s="40" t="inlineStr">
        <is>
          <t>009957</t>
        </is>
      </c>
      <c r="B1641" s="41" t="inlineStr">
        <is>
          <t>GRELHA PISO TETO PARA AR CONDICIONADO (PEQUENA)</t>
        </is>
      </c>
      <c r="C1641" s="42" t="inlineStr">
        <is>
          <t>MC</t>
        </is>
      </c>
      <c r="D1641" s="42" t="inlineStr">
        <is>
          <t>UN</t>
        </is>
      </c>
      <c r="E1641" s="42" t="inlineStr">
        <is>
          <t>0132</t>
        </is>
      </c>
      <c r="F1641" s="70" t="inlineStr">
        <is>
          <t>Compras</t>
        </is>
      </c>
      <c r="G1641" s="71" t="n">
        <v>53.28</v>
      </c>
      <c r="H1641" s="172" t="inlineStr">
        <is>
          <t>Não</t>
        </is>
      </c>
      <c r="I1641" s="49" t="n"/>
    </row>
    <row r="1642">
      <c r="A1642" s="43" t="inlineStr">
        <is>
          <t>000354</t>
        </is>
      </c>
      <c r="B1642" s="44" t="inlineStr">
        <is>
          <t>GROSELHA GARRAFA 900ML</t>
        </is>
      </c>
      <c r="C1642" s="45" t="inlineStr">
        <is>
          <t>MP</t>
        </is>
      </c>
      <c r="D1642" s="45" t="inlineStr">
        <is>
          <t>LT</t>
        </is>
      </c>
      <c r="E1642" s="45" t="inlineStr">
        <is>
          <t>0021</t>
        </is>
      </c>
      <c r="F1642" s="70" t="inlineStr">
        <is>
          <t>Compras</t>
        </is>
      </c>
      <c r="G1642" s="66" t="n">
        <v>11.8222</v>
      </c>
      <c r="H1642" s="172" t="inlineStr">
        <is>
          <t>Não</t>
        </is>
      </c>
      <c r="I1642" s="50" t="n"/>
    </row>
    <row r="1643">
      <c r="A1643" s="40" t="inlineStr">
        <is>
          <t>000882</t>
        </is>
      </c>
      <c r="B1643" s="41" t="inlineStr">
        <is>
          <t>GUARANA</t>
        </is>
      </c>
      <c r="C1643" s="42" t="inlineStr">
        <is>
          <t>MR</t>
        </is>
      </c>
      <c r="D1643" s="42" t="inlineStr">
        <is>
          <t>UN</t>
        </is>
      </c>
      <c r="E1643" s="42" t="inlineStr">
        <is>
          <t>0111</t>
        </is>
      </c>
      <c r="F1643" s="65" t="inlineStr">
        <is>
          <t>Venda</t>
        </is>
      </c>
      <c r="G1643" s="71" t="n">
        <v>3.4</v>
      </c>
      <c r="H1643" s="172" t="inlineStr">
        <is>
          <t>Não</t>
        </is>
      </c>
      <c r="I1643" s="47" t="inlineStr">
        <is>
          <t>71005</t>
        </is>
      </c>
    </row>
    <row r="1644">
      <c r="A1644" s="43" t="inlineStr">
        <is>
          <t>000888</t>
        </is>
      </c>
      <c r="B1644" s="44" t="inlineStr">
        <is>
          <t>GUARANA ANTARTICA  ZERO</t>
        </is>
      </c>
      <c r="C1644" s="45" t="inlineStr">
        <is>
          <t>MR</t>
        </is>
      </c>
      <c r="D1644" s="45" t="inlineStr">
        <is>
          <t>UN</t>
        </is>
      </c>
      <c r="E1644" s="45" t="inlineStr">
        <is>
          <t>0111</t>
        </is>
      </c>
      <c r="F1644" s="65" t="inlineStr">
        <is>
          <t>Venda</t>
        </is>
      </c>
      <c r="G1644" s="66" t="n">
        <v>3.19</v>
      </c>
      <c r="H1644" s="172" t="inlineStr">
        <is>
          <t>Não</t>
        </is>
      </c>
      <c r="I1644" s="48" t="inlineStr">
        <is>
          <t>71011</t>
        </is>
      </c>
    </row>
    <row r="1645">
      <c r="A1645" s="40" t="inlineStr">
        <is>
          <t>000313</t>
        </is>
      </c>
      <c r="B1645" s="41" t="inlineStr">
        <is>
          <t>GUARANA LATA 350ML</t>
        </is>
      </c>
      <c r="C1645" s="42" t="inlineStr">
        <is>
          <t>ME</t>
        </is>
      </c>
      <c r="D1645" s="42" t="inlineStr">
        <is>
          <t>UN</t>
        </is>
      </c>
      <c r="E1645" s="42" t="inlineStr">
        <is>
          <t>0021</t>
        </is>
      </c>
      <c r="F1645" s="70" t="inlineStr">
        <is>
          <t>Compras</t>
        </is>
      </c>
      <c r="G1645" s="71" t="n">
        <v>2.1008</v>
      </c>
      <c r="H1645" s="172" t="inlineStr">
        <is>
          <t>Não</t>
        </is>
      </c>
      <c r="I1645" s="49" t="n"/>
    </row>
    <row r="1646">
      <c r="A1646" s="43" t="inlineStr">
        <is>
          <t>002187</t>
        </is>
      </c>
      <c r="B1646" s="44" t="inlineStr">
        <is>
          <t>GUARANA LATA RUA</t>
        </is>
      </c>
      <c r="C1646" s="45" t="inlineStr">
        <is>
          <t>MR</t>
        </is>
      </c>
      <c r="D1646" s="45" t="inlineStr">
        <is>
          <t>UN</t>
        </is>
      </c>
      <c r="E1646" s="45" t="inlineStr">
        <is>
          <t>0111</t>
        </is>
      </c>
      <c r="F1646" s="65" t="inlineStr">
        <is>
          <t>Venda</t>
        </is>
      </c>
      <c r="G1646" s="69" t="n">
        <v>0</v>
      </c>
      <c r="H1646" s="172" t="inlineStr">
        <is>
          <t>Não</t>
        </is>
      </c>
      <c r="I1646" s="48" t="inlineStr">
        <is>
          <t>78989056877357</t>
        </is>
      </c>
    </row>
    <row r="1647">
      <c r="A1647" s="40" t="inlineStr">
        <is>
          <t>009579</t>
        </is>
      </c>
      <c r="B1647" s="41" t="inlineStr">
        <is>
          <t>GUARANA ZERO CARNAVAL</t>
        </is>
      </c>
      <c r="C1647" s="42" t="inlineStr">
        <is>
          <t>MR</t>
        </is>
      </c>
      <c r="D1647" s="42" t="inlineStr">
        <is>
          <t>UN</t>
        </is>
      </c>
      <c r="E1647" s="42" t="inlineStr">
        <is>
          <t>0111</t>
        </is>
      </c>
      <c r="F1647" s="65" t="inlineStr">
        <is>
          <t>Venda</t>
        </is>
      </c>
      <c r="G1647" s="68" t="n">
        <v>0</v>
      </c>
      <c r="H1647" s="177" t="inlineStr">
        <is>
          <t>Sim</t>
        </is>
      </c>
      <c r="I1647" s="178" t="n"/>
    </row>
    <row r="1648">
      <c r="A1648" s="43" t="inlineStr">
        <is>
          <t>000314</t>
        </is>
      </c>
      <c r="B1648" s="44" t="inlineStr">
        <is>
          <t>GUARANA ZERO LATA 350ML</t>
        </is>
      </c>
      <c r="C1648" s="45" t="inlineStr">
        <is>
          <t>ME</t>
        </is>
      </c>
      <c r="D1648" s="45" t="inlineStr">
        <is>
          <t>UN</t>
        </is>
      </c>
      <c r="E1648" s="45" t="inlineStr">
        <is>
          <t>0021</t>
        </is>
      </c>
      <c r="F1648" s="70" t="inlineStr">
        <is>
          <t>Compras</t>
        </is>
      </c>
      <c r="G1648" s="66" t="n">
        <v>2.1008</v>
      </c>
      <c r="H1648" s="172" t="inlineStr">
        <is>
          <t>Não</t>
        </is>
      </c>
      <c r="I1648" s="50" t="n"/>
    </row>
    <row r="1649">
      <c r="A1649" s="40" t="inlineStr">
        <is>
          <t>002188</t>
        </is>
      </c>
      <c r="B1649" s="41" t="inlineStr">
        <is>
          <t>GUARANA ZERO RUA</t>
        </is>
      </c>
      <c r="C1649" s="42" t="inlineStr">
        <is>
          <t>MR</t>
        </is>
      </c>
      <c r="D1649" s="42" t="inlineStr">
        <is>
          <t>UN</t>
        </is>
      </c>
      <c r="E1649" s="42" t="inlineStr">
        <is>
          <t>0111</t>
        </is>
      </c>
      <c r="F1649" s="65" t="inlineStr">
        <is>
          <t>Venda</t>
        </is>
      </c>
      <c r="G1649" s="68" t="n">
        <v>0</v>
      </c>
      <c r="H1649" s="172" t="inlineStr">
        <is>
          <t>Não</t>
        </is>
      </c>
      <c r="I1649" s="47" t="inlineStr">
        <is>
          <t>78989056877358</t>
        </is>
      </c>
    </row>
    <row r="1650">
      <c r="A1650" s="43" t="inlineStr">
        <is>
          <t>000519</t>
        </is>
      </c>
      <c r="B1650" s="44" t="inlineStr">
        <is>
          <t>GUARDANAPEIRA</t>
        </is>
      </c>
      <c r="C1650" s="45" t="inlineStr">
        <is>
          <t>MC</t>
        </is>
      </c>
      <c r="D1650" s="45" t="inlineStr">
        <is>
          <t>UN</t>
        </is>
      </c>
      <c r="E1650" s="45" t="inlineStr">
        <is>
          <t>0079</t>
        </is>
      </c>
      <c r="F1650" s="70" t="inlineStr">
        <is>
          <t>Compras</t>
        </is>
      </c>
      <c r="G1650" s="66" t="n">
        <v>27</v>
      </c>
      <c r="H1650" s="172" t="inlineStr">
        <is>
          <t>Não</t>
        </is>
      </c>
      <c r="I1650" s="50" t="n"/>
    </row>
    <row r="1651">
      <c r="A1651" s="40" t="inlineStr">
        <is>
          <t>000150</t>
        </is>
      </c>
      <c r="B1651" s="41" t="inlineStr">
        <is>
          <t>GUARDANAPO C/ LOGOTIPO</t>
        </is>
      </c>
      <c r="C1651" s="42" t="inlineStr">
        <is>
          <t>MC</t>
        </is>
      </c>
      <c r="D1651" s="42" t="inlineStr">
        <is>
          <t>CX</t>
        </is>
      </c>
      <c r="E1651" s="42" t="inlineStr">
        <is>
          <t>0075</t>
        </is>
      </c>
      <c r="F1651" s="70" t="inlineStr">
        <is>
          <t>Compras</t>
        </is>
      </c>
      <c r="G1651" s="71" t="n">
        <v>120</v>
      </c>
      <c r="H1651" s="172" t="inlineStr">
        <is>
          <t>Não</t>
        </is>
      </c>
      <c r="I1651" s="49" t="n"/>
    </row>
    <row r="1652">
      <c r="A1652" s="43" t="inlineStr">
        <is>
          <t>000970</t>
        </is>
      </c>
      <c r="B1652" s="44" t="inlineStr">
        <is>
          <t>GUARDANAPO DELIVERY</t>
        </is>
      </c>
      <c r="C1652" s="45" t="inlineStr">
        <is>
          <t>MC</t>
        </is>
      </c>
      <c r="D1652" s="45" t="inlineStr">
        <is>
          <t>UN</t>
        </is>
      </c>
      <c r="E1652" s="45" t="inlineStr">
        <is>
          <t>0076</t>
        </is>
      </c>
      <c r="F1652" s="70" t="inlineStr">
        <is>
          <t>Compras</t>
        </is>
      </c>
      <c r="G1652" s="69" t="n">
        <v>0</v>
      </c>
      <c r="H1652" s="173" t="inlineStr">
        <is>
          <t>Sim</t>
        </is>
      </c>
      <c r="I1652" s="50" t="n"/>
    </row>
    <row r="1653">
      <c r="A1653" s="40" t="inlineStr">
        <is>
          <t>009294</t>
        </is>
      </c>
      <c r="B1653" s="41" t="inlineStr">
        <is>
          <t>GUARDANAPO SACHE 30X15 CX COM 1000UN</t>
        </is>
      </c>
      <c r="C1653" s="42" t="inlineStr">
        <is>
          <t>MC</t>
        </is>
      </c>
      <c r="D1653" s="42" t="inlineStr">
        <is>
          <t>CX</t>
        </is>
      </c>
      <c r="E1653" s="42" t="inlineStr">
        <is>
          <t>0070</t>
        </is>
      </c>
      <c r="F1653" s="70" t="inlineStr">
        <is>
          <t>Compras</t>
        </is>
      </c>
      <c r="G1653" s="71" t="n">
        <v>88</v>
      </c>
      <c r="H1653" s="172" t="inlineStr">
        <is>
          <t>Não</t>
        </is>
      </c>
      <c r="I1653" s="49" t="n"/>
    </row>
    <row r="1654">
      <c r="A1654" s="43" t="inlineStr">
        <is>
          <t>002268</t>
        </is>
      </c>
      <c r="B1654" s="44" t="inlineStr">
        <is>
          <t>GUARDANAPO SEM LOGO</t>
        </is>
      </c>
      <c r="C1654" s="45" t="inlineStr">
        <is>
          <t>MC</t>
        </is>
      </c>
      <c r="D1654" s="45" t="inlineStr">
        <is>
          <t>CX</t>
        </is>
      </c>
      <c r="E1654" s="45" t="inlineStr">
        <is>
          <t>0075</t>
        </is>
      </c>
      <c r="F1654" s="70" t="inlineStr">
        <is>
          <t>Compras</t>
        </is>
      </c>
      <c r="G1654" s="66" t="n">
        <v>350.89</v>
      </c>
      <c r="H1654" s="172" t="inlineStr">
        <is>
          <t>Não</t>
        </is>
      </c>
      <c r="I1654" s="50" t="n"/>
    </row>
    <row r="1655">
      <c r="A1655" s="40" t="inlineStr">
        <is>
          <t>010179</t>
        </is>
      </c>
      <c r="B1655" s="41" t="inlineStr">
        <is>
          <t>GUARNICAO DE VEDAÇÃO PARA TORNEIRA</t>
        </is>
      </c>
      <c r="C1655" s="42" t="inlineStr">
        <is>
          <t>MC</t>
        </is>
      </c>
      <c r="D1655" s="42" t="inlineStr">
        <is>
          <t>UN</t>
        </is>
      </c>
      <c r="E1655" s="42" t="inlineStr">
        <is>
          <t>0132</t>
        </is>
      </c>
      <c r="F1655" s="70" t="inlineStr">
        <is>
          <t>Compras</t>
        </is>
      </c>
      <c r="G1655" s="71" t="n">
        <v>6</v>
      </c>
      <c r="H1655" s="172" t="inlineStr">
        <is>
          <t>Não</t>
        </is>
      </c>
      <c r="I1655" s="49" t="n"/>
    </row>
    <row r="1656">
      <c r="A1656" s="43" t="inlineStr">
        <is>
          <t>010352</t>
        </is>
      </c>
      <c r="B1656" s="44" t="inlineStr">
        <is>
          <t>GUIA PARA DRYWALL 0,70X0,48X3,00M</t>
        </is>
      </c>
      <c r="C1656" s="45" t="inlineStr">
        <is>
          <t>MC</t>
        </is>
      </c>
      <c r="D1656" s="45" t="inlineStr">
        <is>
          <t>UN</t>
        </is>
      </c>
      <c r="E1656" s="45" t="inlineStr">
        <is>
          <t>0132</t>
        </is>
      </c>
      <c r="F1656" s="70" t="inlineStr">
        <is>
          <t>Compras</t>
        </is>
      </c>
      <c r="G1656" s="69" t="n">
        <v>0</v>
      </c>
      <c r="H1656" s="172" t="inlineStr">
        <is>
          <t>Não</t>
        </is>
      </c>
      <c r="I1656" s="50" t="n"/>
    </row>
    <row r="1657">
      <c r="A1657" s="40" t="inlineStr">
        <is>
          <t>000323</t>
        </is>
      </c>
      <c r="B1657" s="41" t="inlineStr">
        <is>
          <t>H2O 500ML</t>
        </is>
      </c>
      <c r="C1657" s="42" t="inlineStr">
        <is>
          <t>ME</t>
        </is>
      </c>
      <c r="D1657" s="42" t="inlineStr">
        <is>
          <t>UN</t>
        </is>
      </c>
      <c r="E1657" s="42" t="inlineStr">
        <is>
          <t>0021</t>
        </is>
      </c>
      <c r="F1657" s="70" t="inlineStr">
        <is>
          <t>Compras</t>
        </is>
      </c>
      <c r="G1657" s="71" t="n">
        <v>3.8118</v>
      </c>
      <c r="H1657" s="172" t="inlineStr">
        <is>
          <t>Não</t>
        </is>
      </c>
      <c r="I1657" s="49" t="n"/>
    </row>
    <row r="1658">
      <c r="A1658" s="43" t="inlineStr">
        <is>
          <t>000884</t>
        </is>
      </c>
      <c r="B1658" s="44" t="inlineStr">
        <is>
          <t>H2OH!</t>
        </is>
      </c>
      <c r="C1658" s="45" t="inlineStr">
        <is>
          <t>MR</t>
        </is>
      </c>
      <c r="D1658" s="45" t="inlineStr">
        <is>
          <t>UN</t>
        </is>
      </c>
      <c r="E1658" s="45" t="inlineStr">
        <is>
          <t>0111</t>
        </is>
      </c>
      <c r="F1658" s="65" t="inlineStr">
        <is>
          <t>Venda</t>
        </is>
      </c>
      <c r="G1658" s="69" t="n">
        <v>0</v>
      </c>
      <c r="H1658" s="172" t="inlineStr">
        <is>
          <t>Não</t>
        </is>
      </c>
      <c r="I1658" s="48" t="inlineStr">
        <is>
          <t>71007</t>
        </is>
      </c>
    </row>
    <row r="1659">
      <c r="A1659" s="40" t="inlineStr">
        <is>
          <t>000755</t>
        </is>
      </c>
      <c r="B1659" s="41" t="inlineStr">
        <is>
          <t>HAVANA CLUB</t>
        </is>
      </c>
      <c r="C1659" s="42" t="inlineStr">
        <is>
          <t>MR</t>
        </is>
      </c>
      <c r="D1659" s="42" t="inlineStr">
        <is>
          <t>LT</t>
        </is>
      </c>
      <c r="E1659" s="42" t="inlineStr">
        <is>
          <t>0030</t>
        </is>
      </c>
      <c r="F1659" s="40" t="n"/>
      <c r="G1659" s="68" t="n">
        <v>0</v>
      </c>
      <c r="H1659" s="173" t="inlineStr">
        <is>
          <t>Sim</t>
        </is>
      </c>
      <c r="I1659" s="49" t="n"/>
    </row>
    <row r="1660">
      <c r="A1660" s="43" t="inlineStr">
        <is>
          <t>009797</t>
        </is>
      </c>
      <c r="B1660" s="44" t="inlineStr">
        <is>
          <t>HD SSD 256 GB</t>
        </is>
      </c>
      <c r="C1660" s="45" t="inlineStr">
        <is>
          <t>MC</t>
        </is>
      </c>
      <c r="D1660" s="45" t="inlineStr">
        <is>
          <t>UN</t>
        </is>
      </c>
      <c r="E1660" s="45" t="inlineStr">
        <is>
          <t>0006</t>
        </is>
      </c>
      <c r="F1660" s="70" t="inlineStr">
        <is>
          <t>Compras</t>
        </is>
      </c>
      <c r="G1660" s="69" t="n">
        <v>0</v>
      </c>
      <c r="H1660" s="172" t="inlineStr">
        <is>
          <t>Não</t>
        </is>
      </c>
      <c r="I1660" s="50" t="n"/>
    </row>
    <row r="1661">
      <c r="A1661" s="40" t="inlineStr">
        <is>
          <t>009798</t>
        </is>
      </c>
      <c r="B1661" s="41" t="inlineStr">
        <is>
          <t>HD SSD M2 1024  GB</t>
        </is>
      </c>
      <c r="C1661" s="42" t="inlineStr">
        <is>
          <t>MC</t>
        </is>
      </c>
      <c r="D1661" s="42" t="inlineStr">
        <is>
          <t>UN</t>
        </is>
      </c>
      <c r="E1661" s="42" t="inlineStr">
        <is>
          <t>0006</t>
        </is>
      </c>
      <c r="F1661" s="70" t="inlineStr">
        <is>
          <t>Compras</t>
        </is>
      </c>
      <c r="G1661" s="68" t="n">
        <v>0</v>
      </c>
      <c r="H1661" s="172" t="inlineStr">
        <is>
          <t>Não</t>
        </is>
      </c>
      <c r="I1661" s="49" t="n"/>
    </row>
    <row r="1662">
      <c r="A1662" s="43" t="inlineStr">
        <is>
          <t>009799</t>
        </is>
      </c>
      <c r="B1662" s="44" t="inlineStr">
        <is>
          <t>HD SSD M2 512  GB</t>
        </is>
      </c>
      <c r="C1662" s="45" t="inlineStr">
        <is>
          <t>MC</t>
        </is>
      </c>
      <c r="D1662" s="45" t="inlineStr">
        <is>
          <t>UN</t>
        </is>
      </c>
      <c r="E1662" s="45" t="inlineStr">
        <is>
          <t>0006</t>
        </is>
      </c>
      <c r="F1662" s="70" t="inlineStr">
        <is>
          <t>Compras</t>
        </is>
      </c>
      <c r="G1662" s="69" t="n">
        <v>0</v>
      </c>
      <c r="H1662" s="172" t="inlineStr">
        <is>
          <t>Não</t>
        </is>
      </c>
      <c r="I1662" s="50" t="n"/>
    </row>
    <row r="1663">
      <c r="A1663" s="40" t="inlineStr">
        <is>
          <t>000915</t>
        </is>
      </c>
      <c r="B1663" s="41" t="inlineStr">
        <is>
          <t>HOEGAARDEN</t>
        </is>
      </c>
      <c r="C1663" s="42" t="inlineStr">
        <is>
          <t>MR</t>
        </is>
      </c>
      <c r="D1663" s="42" t="inlineStr">
        <is>
          <t>UN</t>
        </is>
      </c>
      <c r="E1663" s="42" t="inlineStr">
        <is>
          <t>0093</t>
        </is>
      </c>
      <c r="F1663" s="40" t="inlineStr">
        <is>
          <t>(vazio)</t>
        </is>
      </c>
      <c r="G1663" s="68" t="n">
        <v>0</v>
      </c>
      <c r="H1663" s="173" t="inlineStr">
        <is>
          <t>Sim</t>
        </is>
      </c>
      <c r="I1663" s="47" t="inlineStr">
        <is>
          <t>80028</t>
        </is>
      </c>
    </row>
    <row r="1664">
      <c r="A1664" s="43" t="inlineStr">
        <is>
          <t>000330</t>
        </is>
      </c>
      <c r="B1664" s="44" t="inlineStr">
        <is>
          <t>HOEGAARDEN 330 ML</t>
        </is>
      </c>
      <c r="C1664" s="45" t="inlineStr">
        <is>
          <t>ME</t>
        </is>
      </c>
      <c r="D1664" s="45" t="inlineStr">
        <is>
          <t>UN</t>
        </is>
      </c>
      <c r="E1664" s="45" t="inlineStr">
        <is>
          <t>0026</t>
        </is>
      </c>
      <c r="F1664" s="70" t="inlineStr">
        <is>
          <t>Compras</t>
        </is>
      </c>
      <c r="G1664" s="69" t="n">
        <v>0</v>
      </c>
      <c r="H1664" s="172" t="inlineStr">
        <is>
          <t>Não</t>
        </is>
      </c>
      <c r="I1664" s="50" t="n"/>
    </row>
    <row r="1665">
      <c r="A1665" s="40" t="inlineStr">
        <is>
          <t>000474</t>
        </is>
      </c>
      <c r="B1665" s="41" t="inlineStr">
        <is>
          <t>HORTELA GRANDE</t>
        </is>
      </c>
      <c r="C1665" s="42" t="inlineStr">
        <is>
          <t>MP</t>
        </is>
      </c>
      <c r="D1665" s="42" t="inlineStr">
        <is>
          <t>KG</t>
        </is>
      </c>
      <c r="E1665" s="42" t="inlineStr">
        <is>
          <t>0036</t>
        </is>
      </c>
      <c r="F1665" s="70" t="inlineStr">
        <is>
          <t>Compras</t>
        </is>
      </c>
      <c r="G1665" s="71" t="n">
        <v>38.67</v>
      </c>
      <c r="H1665" s="172" t="inlineStr">
        <is>
          <t>Não</t>
        </is>
      </c>
      <c r="I1665" s="49" t="n"/>
    </row>
    <row r="1666">
      <c r="A1666" s="43" t="inlineStr">
        <is>
          <t>002005</t>
        </is>
      </c>
      <c r="B1666" s="44" t="inlineStr">
        <is>
          <t>HOT DOG</t>
        </is>
      </c>
      <c r="C1666" s="45" t="inlineStr">
        <is>
          <t>PA</t>
        </is>
      </c>
      <c r="D1666" s="45" t="inlineStr">
        <is>
          <t>UN</t>
        </is>
      </c>
      <c r="E1666" s="45" t="inlineStr">
        <is>
          <t>0031</t>
        </is>
      </c>
      <c r="F1666" s="65" t="inlineStr">
        <is>
          <t>Venda</t>
        </is>
      </c>
      <c r="G1666" s="69" t="n">
        <v>0</v>
      </c>
      <c r="H1666" s="177" t="inlineStr">
        <is>
          <t>Sim</t>
        </is>
      </c>
      <c r="I1666" s="178" t="n"/>
    </row>
    <row r="1667">
      <c r="A1667" s="40" t="inlineStr">
        <is>
          <t>001957</t>
        </is>
      </c>
      <c r="B1667" s="41" t="inlineStr">
        <is>
          <t>HUGO SPRIZ</t>
        </is>
      </c>
      <c r="C1667" s="42" t="inlineStr">
        <is>
          <t>PA</t>
        </is>
      </c>
      <c r="D1667" s="42" t="inlineStr">
        <is>
          <t>UN</t>
        </is>
      </c>
      <c r="E1667" s="42" t="inlineStr">
        <is>
          <t>0119</t>
        </is>
      </c>
      <c r="F1667" s="65" t="inlineStr">
        <is>
          <t>Venda</t>
        </is>
      </c>
      <c r="G1667" s="68" t="n">
        <v>0</v>
      </c>
      <c r="H1667" s="172" t="inlineStr">
        <is>
          <t>Não</t>
        </is>
      </c>
      <c r="I1667" s="47" t="inlineStr">
        <is>
          <t>78989056877235</t>
        </is>
      </c>
    </row>
    <row r="1668">
      <c r="A1668" s="43" t="inlineStr">
        <is>
          <t>010128</t>
        </is>
      </c>
      <c r="B1668" s="44" t="inlineStr">
        <is>
          <t>IMPERMEABILIZANTE 18L</t>
        </is>
      </c>
      <c r="C1668" s="45" t="inlineStr">
        <is>
          <t>MC</t>
        </is>
      </c>
      <c r="D1668" s="45" t="inlineStr">
        <is>
          <t>UN</t>
        </is>
      </c>
      <c r="E1668" s="45" t="inlineStr">
        <is>
          <t>0132</t>
        </is>
      </c>
      <c r="F1668" s="70" t="inlineStr">
        <is>
          <t>Compras</t>
        </is>
      </c>
      <c r="G1668" s="66" t="n">
        <v>319</v>
      </c>
      <c r="H1668" s="172" t="inlineStr">
        <is>
          <t>Não</t>
        </is>
      </c>
      <c r="I1668" s="50" t="n"/>
    </row>
    <row r="1669">
      <c r="A1669" s="40" t="inlineStr">
        <is>
          <t>000596</t>
        </is>
      </c>
      <c r="B1669" s="41" t="inlineStr">
        <is>
          <t>IMPRESSORA FISCAL BEMATECH</t>
        </is>
      </c>
      <c r="C1669" s="42" t="inlineStr">
        <is>
          <t>AI</t>
        </is>
      </c>
      <c r="D1669" s="42" t="inlineStr">
        <is>
          <t>UN</t>
        </is>
      </c>
      <c r="E1669" s="42" t="inlineStr">
        <is>
          <t>0006</t>
        </is>
      </c>
      <c r="F1669" s="70" t="inlineStr">
        <is>
          <t>Compras</t>
        </is>
      </c>
      <c r="G1669" s="68" t="n">
        <v>0</v>
      </c>
      <c r="H1669" s="172" t="inlineStr">
        <is>
          <t>Não</t>
        </is>
      </c>
      <c r="I1669" s="49" t="n"/>
    </row>
    <row r="1670">
      <c r="A1670" s="43" t="inlineStr">
        <is>
          <t>000597</t>
        </is>
      </c>
      <c r="B1670" s="44" t="inlineStr">
        <is>
          <t>IMPRESSORA TERMICA EPSON TM-T8</t>
        </is>
      </c>
      <c r="C1670" s="45" t="inlineStr">
        <is>
          <t>AI</t>
        </is>
      </c>
      <c r="D1670" s="45" t="inlineStr">
        <is>
          <t>UN</t>
        </is>
      </c>
      <c r="E1670" s="45" t="inlineStr">
        <is>
          <t>0006</t>
        </is>
      </c>
      <c r="F1670" s="70" t="inlineStr">
        <is>
          <t>Compras</t>
        </is>
      </c>
      <c r="G1670" s="66" t="n">
        <v>944.1</v>
      </c>
      <c r="H1670" s="172" t="inlineStr">
        <is>
          <t>Não</t>
        </is>
      </c>
      <c r="I1670" s="50" t="n"/>
    </row>
    <row r="1671">
      <c r="A1671" s="40" t="inlineStr">
        <is>
          <t>001625</t>
        </is>
      </c>
      <c r="B1671" s="41" t="inlineStr">
        <is>
          <t>INFLAVEIS</t>
        </is>
      </c>
      <c r="C1671" s="42" t="inlineStr">
        <is>
          <t>MR</t>
        </is>
      </c>
      <c r="D1671" s="42" t="inlineStr">
        <is>
          <t>UN</t>
        </is>
      </c>
      <c r="E1671" s="42" t="inlineStr">
        <is>
          <t>0107</t>
        </is>
      </c>
      <c r="F1671" s="65" t="inlineStr">
        <is>
          <t>Venda</t>
        </is>
      </c>
      <c r="G1671" s="68" t="n">
        <v>0</v>
      </c>
      <c r="H1671" s="173" t="inlineStr">
        <is>
          <t>Sim</t>
        </is>
      </c>
      <c r="I1671" s="47" t="inlineStr">
        <is>
          <t>78989056877178</t>
        </is>
      </c>
    </row>
    <row r="1672">
      <c r="A1672" s="43" t="inlineStr">
        <is>
          <t>010076</t>
        </is>
      </c>
      <c r="B1672" s="44" t="inlineStr">
        <is>
          <t>INFLAVEIS</t>
        </is>
      </c>
      <c r="C1672" s="45" t="inlineStr">
        <is>
          <t>MR</t>
        </is>
      </c>
      <c r="D1672" s="45" t="inlineStr">
        <is>
          <t>UN</t>
        </is>
      </c>
      <c r="E1672" s="45" t="inlineStr">
        <is>
          <t>0128</t>
        </is>
      </c>
      <c r="F1672" s="65" t="inlineStr">
        <is>
          <t>Venda</t>
        </is>
      </c>
      <c r="G1672" s="69" t="n">
        <v>0</v>
      </c>
      <c r="H1672" s="172" t="inlineStr">
        <is>
          <t>Não</t>
        </is>
      </c>
      <c r="I1672" s="48" t="inlineStr">
        <is>
          <t>78989056877178</t>
        </is>
      </c>
    </row>
    <row r="1673">
      <c r="A1673" s="40" t="inlineStr">
        <is>
          <t>010158</t>
        </is>
      </c>
      <c r="B1673" s="41" t="inlineStr">
        <is>
          <t>INFLAVEIS</t>
        </is>
      </c>
      <c r="C1673" s="42" t="inlineStr">
        <is>
          <t>MR</t>
        </is>
      </c>
      <c r="D1673" s="42" t="inlineStr">
        <is>
          <t>UN</t>
        </is>
      </c>
      <c r="E1673" s="42" t="inlineStr">
        <is>
          <t>0107</t>
        </is>
      </c>
      <c r="F1673" s="65" t="inlineStr">
        <is>
          <t>Venda</t>
        </is>
      </c>
      <c r="G1673" s="68" t="n">
        <v>0</v>
      </c>
      <c r="H1673" s="172" t="inlineStr">
        <is>
          <t>Não</t>
        </is>
      </c>
      <c r="I1673" s="47" t="inlineStr">
        <is>
          <t>9003635</t>
        </is>
      </c>
    </row>
    <row r="1674">
      <c r="A1674" s="43" t="inlineStr">
        <is>
          <t>000093</t>
        </is>
      </c>
      <c r="B1674" s="44" t="inlineStr">
        <is>
          <t>INSETICIDA AEROSOL</t>
        </is>
      </c>
      <c r="C1674" s="45" t="inlineStr">
        <is>
          <t>MC</t>
        </is>
      </c>
      <c r="D1674" s="45" t="inlineStr">
        <is>
          <t>UN</t>
        </is>
      </c>
      <c r="E1674" s="45" t="inlineStr">
        <is>
          <t>0075</t>
        </is>
      </c>
      <c r="F1674" s="70" t="inlineStr">
        <is>
          <t>Compras</t>
        </is>
      </c>
      <c r="G1674" s="66" t="n">
        <v>17.31</v>
      </c>
      <c r="H1674" s="172" t="inlineStr">
        <is>
          <t>Não</t>
        </is>
      </c>
      <c r="I1674" s="50" t="n"/>
    </row>
    <row r="1675">
      <c r="A1675" s="40" t="inlineStr">
        <is>
          <t>001628</t>
        </is>
      </c>
      <c r="B1675" s="41" t="inlineStr">
        <is>
          <t>INSTALA  O E MONTAGEM DE APARE</t>
        </is>
      </c>
      <c r="C1675" s="42" t="inlineStr">
        <is>
          <t>SV</t>
        </is>
      </c>
      <c r="D1675" s="42" t="inlineStr">
        <is>
          <t>UN</t>
        </is>
      </c>
      <c r="E1675" s="42" t="inlineStr">
        <is>
          <t>(VAZ</t>
        </is>
      </c>
      <c r="F1675" s="70" t="inlineStr">
        <is>
          <t>Compras</t>
        </is>
      </c>
      <c r="G1675" s="68" t="n">
        <v>0</v>
      </c>
      <c r="H1675" s="172" t="inlineStr">
        <is>
          <t>Não</t>
        </is>
      </c>
      <c r="I1675" s="49" t="n"/>
    </row>
    <row r="1676">
      <c r="A1676" s="43" t="inlineStr">
        <is>
          <t>009426</t>
        </is>
      </c>
      <c r="B1676" s="44" t="inlineStr">
        <is>
          <t>INTERRUPTOR 1 PARALELO</t>
        </is>
      </c>
      <c r="C1676" s="45" t="inlineStr">
        <is>
          <t>MC</t>
        </is>
      </c>
      <c r="D1676" s="45" t="inlineStr">
        <is>
          <t>UN</t>
        </is>
      </c>
      <c r="E1676" s="45" t="inlineStr">
        <is>
          <t>0132</t>
        </is>
      </c>
      <c r="F1676" s="70" t="inlineStr">
        <is>
          <t>Compras</t>
        </is>
      </c>
      <c r="G1676" s="66" t="n">
        <v>7.27</v>
      </c>
      <c r="H1676" s="172" t="inlineStr">
        <is>
          <t>Não</t>
        </is>
      </c>
      <c r="I1676" s="50" t="n"/>
    </row>
    <row r="1677">
      <c r="A1677" s="40" t="inlineStr">
        <is>
          <t>009312</t>
        </is>
      </c>
      <c r="B1677" s="41" t="inlineStr">
        <is>
          <t>INTERRUPTOR DIFERENCIAL 4P 40A 30MA</t>
        </is>
      </c>
      <c r="C1677" s="42" t="inlineStr">
        <is>
          <t>MC</t>
        </is>
      </c>
      <c r="D1677" s="42" t="inlineStr">
        <is>
          <t>UN</t>
        </is>
      </c>
      <c r="E1677" s="42" t="inlineStr">
        <is>
          <t>0132</t>
        </is>
      </c>
      <c r="F1677" s="70" t="inlineStr">
        <is>
          <t>Compras</t>
        </is>
      </c>
      <c r="G1677" s="71" t="n">
        <v>339.9</v>
      </c>
      <c r="H1677" s="172" t="inlineStr">
        <is>
          <t>Não</t>
        </is>
      </c>
      <c r="I1677" s="49" t="n"/>
    </row>
    <row r="1678">
      <c r="A1678" s="43" t="inlineStr">
        <is>
          <t>010123</t>
        </is>
      </c>
      <c r="B1678" s="44" t="inlineStr">
        <is>
          <t>INTERRUPTOR DIFERENCIAL 4P 63A 30MA</t>
        </is>
      </c>
      <c r="C1678" s="45" t="inlineStr">
        <is>
          <t>MC</t>
        </is>
      </c>
      <c r="D1678" s="45" t="inlineStr">
        <is>
          <t>UN</t>
        </is>
      </c>
      <c r="E1678" s="45" t="inlineStr">
        <is>
          <t>0132</t>
        </is>
      </c>
      <c r="F1678" s="70" t="inlineStr">
        <is>
          <t>Compras</t>
        </is>
      </c>
      <c r="G1678" s="69" t="n">
        <v>0</v>
      </c>
      <c r="H1678" s="172" t="inlineStr">
        <is>
          <t>Não</t>
        </is>
      </c>
      <c r="I1678" s="50" t="n"/>
    </row>
    <row r="1679">
      <c r="A1679" s="40" t="inlineStr">
        <is>
          <t>009315</t>
        </is>
      </c>
      <c r="B1679" s="41" t="inlineStr">
        <is>
          <t>INTERRUPTOR SIMPLES 1 MODULO 10A 250V</t>
        </is>
      </c>
      <c r="C1679" s="42" t="inlineStr">
        <is>
          <t>MC</t>
        </is>
      </c>
      <c r="D1679" s="42" t="inlineStr">
        <is>
          <t>UN</t>
        </is>
      </c>
      <c r="E1679" s="42" t="inlineStr">
        <is>
          <t>0132</t>
        </is>
      </c>
      <c r="F1679" s="70" t="inlineStr">
        <is>
          <t>Compras</t>
        </is>
      </c>
      <c r="G1679" s="71" t="n">
        <v>5.52</v>
      </c>
      <c r="H1679" s="172" t="inlineStr">
        <is>
          <t>Não</t>
        </is>
      </c>
      <c r="I1679" s="49" t="n"/>
    </row>
    <row r="1680">
      <c r="A1680" s="43" t="inlineStr">
        <is>
          <t>009917</t>
        </is>
      </c>
      <c r="B1680" s="44" t="inlineStr">
        <is>
          <t>INTERRUPTOR STOP MICRO HD 585</t>
        </is>
      </c>
      <c r="C1680" s="45" t="inlineStr">
        <is>
          <t>MC</t>
        </is>
      </c>
      <c r="D1680" s="45" t="inlineStr">
        <is>
          <t>UN</t>
        </is>
      </c>
      <c r="E1680" s="45" t="inlineStr">
        <is>
          <t>0132</t>
        </is>
      </c>
      <c r="F1680" s="70" t="inlineStr">
        <is>
          <t>Compras</t>
        </is>
      </c>
      <c r="G1680" s="69" t="n">
        <v>0</v>
      </c>
      <c r="H1680" s="172" t="inlineStr">
        <is>
          <t>Não</t>
        </is>
      </c>
      <c r="I1680" s="50" t="n"/>
    </row>
    <row r="1681">
      <c r="A1681" s="40" t="inlineStr">
        <is>
          <t>002176</t>
        </is>
      </c>
      <c r="B1681" s="41" t="inlineStr">
        <is>
          <t>INVERSOR DE ENERGIA INTERNO</t>
        </is>
      </c>
      <c r="C1681" s="42" t="inlineStr">
        <is>
          <t>AI</t>
        </is>
      </c>
      <c r="D1681" s="42" t="inlineStr">
        <is>
          <t>UN</t>
        </is>
      </c>
      <c r="E1681" s="42" t="inlineStr">
        <is>
          <t>0002</t>
        </is>
      </c>
      <c r="F1681" s="70" t="inlineStr">
        <is>
          <t>Compras</t>
        </is>
      </c>
      <c r="G1681" s="71" t="n">
        <v>2879.9</v>
      </c>
      <c r="H1681" s="172" t="inlineStr">
        <is>
          <t>Não</t>
        </is>
      </c>
      <c r="I1681" s="49" t="n"/>
    </row>
    <row r="1682">
      <c r="A1682" s="43" t="inlineStr">
        <is>
          <t>000592</t>
        </is>
      </c>
      <c r="B1682" s="44" t="inlineStr">
        <is>
          <t>IPOD</t>
        </is>
      </c>
      <c r="C1682" s="45" t="inlineStr">
        <is>
          <t>AI</t>
        </is>
      </c>
      <c r="D1682" s="45" t="inlineStr">
        <is>
          <t>UN</t>
        </is>
      </c>
      <c r="E1682" s="45" t="inlineStr">
        <is>
          <t>0006</t>
        </is>
      </c>
      <c r="F1682" s="70" t="inlineStr">
        <is>
          <t>Compras</t>
        </is>
      </c>
      <c r="G1682" s="69" t="n">
        <v>0</v>
      </c>
      <c r="H1682" s="172" t="inlineStr">
        <is>
          <t>Não</t>
        </is>
      </c>
      <c r="I1682" s="50" t="n"/>
    </row>
    <row r="1683">
      <c r="A1683" s="40" t="inlineStr">
        <is>
          <t>001517</t>
        </is>
      </c>
      <c r="B1683" s="41" t="inlineStr">
        <is>
          <t>IPTU</t>
        </is>
      </c>
      <c r="C1683" s="42" t="inlineStr">
        <is>
          <t>SV</t>
        </is>
      </c>
      <c r="D1683" s="42" t="inlineStr">
        <is>
          <t>UN</t>
        </is>
      </c>
      <c r="E1683" s="42" t="n"/>
      <c r="F1683" s="70" t="inlineStr">
        <is>
          <t>Compras</t>
        </is>
      </c>
      <c r="G1683" s="68" t="n">
        <v>0</v>
      </c>
      <c r="H1683" s="173" t="inlineStr">
        <is>
          <t>Sim</t>
        </is>
      </c>
      <c r="I1683" s="49" t="n"/>
    </row>
    <row r="1684">
      <c r="A1684" s="43" t="inlineStr">
        <is>
          <t>000113</t>
        </is>
      </c>
      <c r="B1684" s="44" t="inlineStr">
        <is>
          <t>ISOPOR CHURRASCO (REF. HM/07)</t>
        </is>
      </c>
      <c r="C1684" s="45" t="inlineStr">
        <is>
          <t>MC</t>
        </is>
      </c>
      <c r="D1684" s="45" t="inlineStr">
        <is>
          <t>UN</t>
        </is>
      </c>
      <c r="E1684" s="45" t="inlineStr">
        <is>
          <t>0075</t>
        </is>
      </c>
      <c r="F1684" s="70" t="inlineStr">
        <is>
          <t>Compras</t>
        </is>
      </c>
      <c r="G1684" s="66" t="n">
        <v>129.3</v>
      </c>
      <c r="H1684" s="172" t="inlineStr">
        <is>
          <t>Não</t>
        </is>
      </c>
      <c r="I1684" s="50" t="n"/>
    </row>
    <row r="1685">
      <c r="A1685" s="40" t="inlineStr">
        <is>
          <t>000114</t>
        </is>
      </c>
      <c r="B1685" s="41" t="inlineStr">
        <is>
          <t>ISOPOR P BOLO E SALADA (REF. M/102)</t>
        </is>
      </c>
      <c r="C1685" s="42" t="inlineStr">
        <is>
          <t>MC</t>
        </is>
      </c>
      <c r="D1685" s="42" t="inlineStr">
        <is>
          <t>UN</t>
        </is>
      </c>
      <c r="E1685" s="42" t="inlineStr">
        <is>
          <t>0014</t>
        </is>
      </c>
      <c r="F1685" s="70" t="inlineStr">
        <is>
          <t>Compras</t>
        </is>
      </c>
      <c r="G1685" s="71" t="n">
        <v>183.79</v>
      </c>
      <c r="H1685" s="172" t="inlineStr">
        <is>
          <t>Não</t>
        </is>
      </c>
      <c r="I1685" s="49" t="n"/>
    </row>
    <row r="1686">
      <c r="A1686" s="43" t="inlineStr">
        <is>
          <t>000998</t>
        </is>
      </c>
      <c r="B1686" s="44" t="inlineStr">
        <is>
          <t>ITEM ACESSIBILIDADE</t>
        </is>
      </c>
      <c r="C1686" s="45" t="inlineStr">
        <is>
          <t>MC</t>
        </is>
      </c>
      <c r="D1686" s="45" t="inlineStr">
        <is>
          <t>UN</t>
        </is>
      </c>
      <c r="E1686" s="45" t="inlineStr">
        <is>
          <t>0008</t>
        </is>
      </c>
      <c r="F1686" s="70" t="inlineStr">
        <is>
          <t>Compras</t>
        </is>
      </c>
      <c r="G1686" s="69" t="n">
        <v>0</v>
      </c>
      <c r="H1686" s="173" t="inlineStr">
        <is>
          <t>Sim</t>
        </is>
      </c>
      <c r="I1686" s="50" t="n"/>
    </row>
    <row r="1687">
      <c r="A1687" s="40" t="inlineStr">
        <is>
          <t>001319</t>
        </is>
      </c>
      <c r="B1687" s="41" t="inlineStr">
        <is>
          <t>JACK APPLE DOSE</t>
        </is>
      </c>
      <c r="C1687" s="42" t="inlineStr">
        <is>
          <t>PA</t>
        </is>
      </c>
      <c r="D1687" s="42" t="inlineStr">
        <is>
          <t>UN</t>
        </is>
      </c>
      <c r="E1687" s="42" t="inlineStr">
        <is>
          <t>0120</t>
        </is>
      </c>
      <c r="F1687" s="65" t="inlineStr">
        <is>
          <t>Venda</t>
        </is>
      </c>
      <c r="G1687" s="68" t="n">
        <v>0</v>
      </c>
      <c r="H1687" s="172" t="inlineStr">
        <is>
          <t>Não</t>
        </is>
      </c>
      <c r="I1687" s="47" t="inlineStr">
        <is>
          <t>7898905687139</t>
        </is>
      </c>
    </row>
    <row r="1688">
      <c r="A1688" s="43" t="inlineStr">
        <is>
          <t>001320</t>
        </is>
      </c>
      <c r="B1688" s="44" t="inlineStr">
        <is>
          <t>JACK APPLE GARRAFA</t>
        </is>
      </c>
      <c r="C1688" s="45" t="inlineStr">
        <is>
          <t>MR</t>
        </is>
      </c>
      <c r="D1688" s="45" t="inlineStr">
        <is>
          <t>UN</t>
        </is>
      </c>
      <c r="E1688" s="45" t="inlineStr">
        <is>
          <t>0120</t>
        </is>
      </c>
      <c r="F1688" s="65" t="inlineStr">
        <is>
          <t>Venda</t>
        </is>
      </c>
      <c r="G1688" s="69" t="n">
        <v>0</v>
      </c>
      <c r="H1688" s="172" t="inlineStr">
        <is>
          <t>Não</t>
        </is>
      </c>
      <c r="I1688" s="48" t="inlineStr">
        <is>
          <t>7898905687140</t>
        </is>
      </c>
    </row>
    <row r="1689">
      <c r="A1689" s="40" t="inlineStr">
        <is>
          <t>001195</t>
        </is>
      </c>
      <c r="B1689" s="41" t="inlineStr">
        <is>
          <t>JACK DANIELS DOSE</t>
        </is>
      </c>
      <c r="C1689" s="42" t="inlineStr">
        <is>
          <t>PA</t>
        </is>
      </c>
      <c r="D1689" s="42" t="inlineStr">
        <is>
          <t>UN</t>
        </is>
      </c>
      <c r="E1689" s="42" t="inlineStr">
        <is>
          <t>0120</t>
        </is>
      </c>
      <c r="F1689" s="65" t="inlineStr">
        <is>
          <t>Venda</t>
        </is>
      </c>
      <c r="G1689" s="68" t="n">
        <v>0</v>
      </c>
      <c r="H1689" s="172" t="inlineStr">
        <is>
          <t>Não</t>
        </is>
      </c>
      <c r="I1689" s="47" t="inlineStr">
        <is>
          <t>9003541</t>
        </is>
      </c>
    </row>
    <row r="1690">
      <c r="A1690" s="43" t="inlineStr">
        <is>
          <t>001211</t>
        </is>
      </c>
      <c r="B1690" s="44" t="inlineStr">
        <is>
          <t>JACK DANIELS FIRE DOSE</t>
        </is>
      </c>
      <c r="C1690" s="45" t="inlineStr">
        <is>
          <t>PA</t>
        </is>
      </c>
      <c r="D1690" s="45" t="inlineStr">
        <is>
          <t>UN</t>
        </is>
      </c>
      <c r="E1690" s="45" t="inlineStr">
        <is>
          <t>0120</t>
        </is>
      </c>
      <c r="F1690" s="65" t="inlineStr">
        <is>
          <t>Venda</t>
        </is>
      </c>
      <c r="G1690" s="69" t="n">
        <v>0</v>
      </c>
      <c r="H1690" s="172" t="inlineStr">
        <is>
          <t>Não</t>
        </is>
      </c>
      <c r="I1690" s="48" t="inlineStr">
        <is>
          <t>9003559</t>
        </is>
      </c>
    </row>
    <row r="1691">
      <c r="A1691" s="40" t="inlineStr">
        <is>
          <t>001212</t>
        </is>
      </c>
      <c r="B1691" s="41" t="inlineStr">
        <is>
          <t>JACK DANIELS FIRE GARRAFA</t>
        </is>
      </c>
      <c r="C1691" s="42" t="inlineStr">
        <is>
          <t>MR</t>
        </is>
      </c>
      <c r="D1691" s="42" t="inlineStr">
        <is>
          <t>UN</t>
        </is>
      </c>
      <c r="E1691" s="42" t="inlineStr">
        <is>
          <t>0120</t>
        </is>
      </c>
      <c r="F1691" s="65" t="inlineStr">
        <is>
          <t>Venda</t>
        </is>
      </c>
      <c r="G1691" s="68" t="n">
        <v>0</v>
      </c>
      <c r="H1691" s="172" t="inlineStr">
        <is>
          <t>Não</t>
        </is>
      </c>
      <c r="I1691" s="47" t="inlineStr">
        <is>
          <t>9003558</t>
        </is>
      </c>
    </row>
    <row r="1692">
      <c r="A1692" s="43" t="inlineStr">
        <is>
          <t>001196</t>
        </is>
      </c>
      <c r="B1692" s="44" t="inlineStr">
        <is>
          <t>JACK DANIELS GARRAFA</t>
        </is>
      </c>
      <c r="C1692" s="45" t="inlineStr">
        <is>
          <t>MR</t>
        </is>
      </c>
      <c r="D1692" s="45" t="inlineStr">
        <is>
          <t>UN</t>
        </is>
      </c>
      <c r="E1692" s="45" t="inlineStr">
        <is>
          <t>0120</t>
        </is>
      </c>
      <c r="F1692" s="65" t="inlineStr">
        <is>
          <t>Venda</t>
        </is>
      </c>
      <c r="G1692" s="66" t="n">
        <v>129.9</v>
      </c>
      <c r="H1692" s="172" t="inlineStr">
        <is>
          <t>Não</t>
        </is>
      </c>
      <c r="I1692" s="48" t="inlineStr">
        <is>
          <t>9003543</t>
        </is>
      </c>
    </row>
    <row r="1693">
      <c r="A1693" s="40" t="inlineStr">
        <is>
          <t>001209</t>
        </is>
      </c>
      <c r="B1693" s="41" t="inlineStr">
        <is>
          <t>JACK DANIELS HONEY DOSE</t>
        </is>
      </c>
      <c r="C1693" s="42" t="inlineStr">
        <is>
          <t>PA</t>
        </is>
      </c>
      <c r="D1693" s="42" t="inlineStr">
        <is>
          <t>UN</t>
        </is>
      </c>
      <c r="E1693" s="42" t="inlineStr">
        <is>
          <t>0120</t>
        </is>
      </c>
      <c r="F1693" s="65" t="inlineStr">
        <is>
          <t>Venda</t>
        </is>
      </c>
      <c r="G1693" s="68" t="n">
        <v>0</v>
      </c>
      <c r="H1693" s="172" t="inlineStr">
        <is>
          <t>Não</t>
        </is>
      </c>
      <c r="I1693" s="47" t="inlineStr">
        <is>
          <t>9003556</t>
        </is>
      </c>
    </row>
    <row r="1694">
      <c r="A1694" s="43" t="inlineStr">
        <is>
          <t>001210</t>
        </is>
      </c>
      <c r="B1694" s="44" t="inlineStr">
        <is>
          <t>JACK DANIELS HONEY GARRAFA</t>
        </is>
      </c>
      <c r="C1694" s="45" t="inlineStr">
        <is>
          <t>MR</t>
        </is>
      </c>
      <c r="D1694" s="45" t="inlineStr">
        <is>
          <t>UN</t>
        </is>
      </c>
      <c r="E1694" s="45" t="inlineStr">
        <is>
          <t>0120</t>
        </is>
      </c>
      <c r="F1694" s="65" t="inlineStr">
        <is>
          <t>Venda</t>
        </is>
      </c>
      <c r="G1694" s="69" t="n">
        <v>0</v>
      </c>
      <c r="H1694" s="172" t="inlineStr">
        <is>
          <t>Não</t>
        </is>
      </c>
      <c r="I1694" s="48" t="inlineStr">
        <is>
          <t>9003555</t>
        </is>
      </c>
    </row>
    <row r="1695">
      <c r="A1695" s="40" t="inlineStr">
        <is>
          <t>001322</t>
        </is>
      </c>
      <c r="B1695" s="41" t="inlineStr">
        <is>
          <t>JACK DANIELS SINGLE BARREL GARRAFA</t>
        </is>
      </c>
      <c r="C1695" s="42" t="inlineStr">
        <is>
          <t>MR</t>
        </is>
      </c>
      <c r="D1695" s="42" t="inlineStr">
        <is>
          <t>UN</t>
        </is>
      </c>
      <c r="E1695" s="42" t="inlineStr">
        <is>
          <t>0120</t>
        </is>
      </c>
      <c r="F1695" s="65" t="inlineStr">
        <is>
          <t>Venda</t>
        </is>
      </c>
      <c r="G1695" s="68" t="n">
        <v>0</v>
      </c>
      <c r="H1695" s="173" t="inlineStr">
        <is>
          <t>Sim</t>
        </is>
      </c>
      <c r="I1695" s="49" t="n"/>
    </row>
    <row r="1696">
      <c r="A1696" s="43" t="inlineStr">
        <is>
          <t>001201</t>
        </is>
      </c>
      <c r="B1696" s="44" t="inlineStr">
        <is>
          <t>JACK E COKE</t>
        </is>
      </c>
      <c r="C1696" s="45" t="inlineStr">
        <is>
          <t>PA</t>
        </is>
      </c>
      <c r="D1696" s="45" t="inlineStr">
        <is>
          <t>UN</t>
        </is>
      </c>
      <c r="E1696" s="45" t="inlineStr">
        <is>
          <t>0056</t>
        </is>
      </c>
      <c r="F1696" s="65" t="inlineStr">
        <is>
          <t>Venda</t>
        </is>
      </c>
      <c r="G1696" s="69" t="n">
        <v>0</v>
      </c>
      <c r="H1696" s="172" t="inlineStr">
        <is>
          <t>Não</t>
        </is>
      </c>
      <c r="I1696" s="48" t="inlineStr">
        <is>
          <t>9003545</t>
        </is>
      </c>
    </row>
    <row r="1697">
      <c r="A1697" s="40" t="inlineStr">
        <is>
          <t>001323</t>
        </is>
      </c>
      <c r="B1697" s="41" t="inlineStr">
        <is>
          <t>JACK GENTLEMAN DOSE</t>
        </is>
      </c>
      <c r="C1697" s="42" t="inlineStr">
        <is>
          <t>PA</t>
        </is>
      </c>
      <c r="D1697" s="42" t="inlineStr">
        <is>
          <t>UN</t>
        </is>
      </c>
      <c r="E1697" s="42" t="inlineStr">
        <is>
          <t>0120</t>
        </is>
      </c>
      <c r="F1697" s="65" t="inlineStr">
        <is>
          <t>Venda</t>
        </is>
      </c>
      <c r="G1697" s="68" t="n">
        <v>0</v>
      </c>
      <c r="H1697" s="172" t="inlineStr">
        <is>
          <t>Não</t>
        </is>
      </c>
      <c r="I1697" s="47" t="inlineStr">
        <is>
          <t>7898905687143</t>
        </is>
      </c>
    </row>
    <row r="1698">
      <c r="A1698" s="43" t="inlineStr">
        <is>
          <t>001321</t>
        </is>
      </c>
      <c r="B1698" s="44" t="inlineStr">
        <is>
          <t>JACK GENTLEMAN GARRAFA</t>
        </is>
      </c>
      <c r="C1698" s="45" t="inlineStr">
        <is>
          <t>MR</t>
        </is>
      </c>
      <c r="D1698" s="45" t="inlineStr">
        <is>
          <t>UN</t>
        </is>
      </c>
      <c r="E1698" s="45" t="inlineStr">
        <is>
          <t>0120</t>
        </is>
      </c>
      <c r="F1698" s="65" t="inlineStr">
        <is>
          <t>Venda</t>
        </is>
      </c>
      <c r="G1698" s="66" t="n">
        <v>179.9</v>
      </c>
      <c r="H1698" s="172" t="inlineStr">
        <is>
          <t>Não</t>
        </is>
      </c>
      <c r="I1698" s="48" t="inlineStr">
        <is>
          <t>7898905687141</t>
        </is>
      </c>
    </row>
    <row r="1699">
      <c r="A1699" s="40" t="inlineStr">
        <is>
          <t>001200</t>
        </is>
      </c>
      <c r="B1699" s="41" t="inlineStr">
        <is>
          <t>JACK HONEY E LEMONADE GARRAFA</t>
        </is>
      </c>
      <c r="C1699" s="42" t="inlineStr">
        <is>
          <t>MR</t>
        </is>
      </c>
      <c r="D1699" s="42" t="inlineStr">
        <is>
          <t>UN</t>
        </is>
      </c>
      <c r="E1699" s="42" t="inlineStr">
        <is>
          <t>0056</t>
        </is>
      </c>
      <c r="F1699" s="65" t="inlineStr">
        <is>
          <t>Venda</t>
        </is>
      </c>
      <c r="G1699" s="68" t="n">
        <v>0</v>
      </c>
      <c r="H1699" s="177" t="inlineStr">
        <is>
          <t>Sim</t>
        </is>
      </c>
      <c r="I1699" s="178" t="n"/>
    </row>
    <row r="1700">
      <c r="A1700" s="43" t="inlineStr">
        <is>
          <t>000355</t>
        </is>
      </c>
      <c r="B1700" s="44" t="inlineStr">
        <is>
          <t>JAMESON STD 8 ANOS</t>
        </is>
      </c>
      <c r="C1700" s="45" t="inlineStr">
        <is>
          <t>MR</t>
        </is>
      </c>
      <c r="D1700" s="45" t="inlineStr">
        <is>
          <t>LT</t>
        </is>
      </c>
      <c r="E1700" s="45" t="inlineStr">
        <is>
          <t>0054</t>
        </is>
      </c>
      <c r="F1700" s="65" t="inlineStr">
        <is>
          <t>Venda</t>
        </is>
      </c>
      <c r="G1700" s="69" t="n">
        <v>0</v>
      </c>
      <c r="H1700" s="173" t="inlineStr">
        <is>
          <t>Sim</t>
        </is>
      </c>
      <c r="I1700" s="50" t="n"/>
    </row>
    <row r="1701">
      <c r="A1701" s="40" t="inlineStr">
        <is>
          <t>000227</t>
        </is>
      </c>
      <c r="B1701" s="41" t="inlineStr">
        <is>
          <t>JAPONA FRIGORIFICA</t>
        </is>
      </c>
      <c r="C1701" s="42" t="inlineStr">
        <is>
          <t>MC</t>
        </is>
      </c>
      <c r="D1701" s="42" t="inlineStr">
        <is>
          <t>UN</t>
        </is>
      </c>
      <c r="E1701" s="42" t="inlineStr">
        <is>
          <t>0017</t>
        </is>
      </c>
      <c r="F1701" s="70" t="inlineStr">
        <is>
          <t>Compras</t>
        </is>
      </c>
      <c r="G1701" s="71" t="n">
        <v>120</v>
      </c>
      <c r="H1701" s="172" t="inlineStr">
        <is>
          <t>Não</t>
        </is>
      </c>
      <c r="I1701" s="49" t="n"/>
    </row>
    <row r="1702">
      <c r="A1702" s="43" t="inlineStr">
        <is>
          <t>009860</t>
        </is>
      </c>
      <c r="B1702" s="44" t="inlineStr">
        <is>
          <t>JARDINAGEM, INCLUSIVE CORTE E PODA DE ARVORE</t>
        </is>
      </c>
      <c r="C1702" s="45" t="inlineStr">
        <is>
          <t>SV</t>
        </is>
      </c>
      <c r="D1702" s="45" t="inlineStr">
        <is>
          <t>UN</t>
        </is>
      </c>
      <c r="E1702" s="45" t="inlineStr">
        <is>
          <t>(VAZ</t>
        </is>
      </c>
      <c r="F1702" s="70" t="inlineStr">
        <is>
          <t>Compras</t>
        </is>
      </c>
      <c r="G1702" s="69" t="n">
        <v>0</v>
      </c>
      <c r="H1702" s="172" t="inlineStr">
        <is>
          <t>Não</t>
        </is>
      </c>
      <c r="I1702" s="50" t="n"/>
    </row>
    <row r="1703">
      <c r="A1703" s="40" t="inlineStr">
        <is>
          <t>010295</t>
        </is>
      </c>
      <c r="B1703" s="41" t="inlineStr">
        <is>
          <t>JARRA DE VIDRO COM TAMPA 2,2LT</t>
        </is>
      </c>
      <c r="C1703" s="42" t="inlineStr">
        <is>
          <t>MC</t>
        </is>
      </c>
      <c r="D1703" s="42" t="inlineStr">
        <is>
          <t>UN</t>
        </is>
      </c>
      <c r="E1703" s="42" t="inlineStr">
        <is>
          <t>0080</t>
        </is>
      </c>
      <c r="F1703" s="70" t="inlineStr">
        <is>
          <t>Compras</t>
        </is>
      </c>
      <c r="G1703" s="68" t="n">
        <v>0</v>
      </c>
      <c r="H1703" s="172" t="inlineStr">
        <is>
          <t>Não</t>
        </is>
      </c>
      <c r="I1703" s="49" t="n"/>
    </row>
    <row r="1704">
      <c r="A1704" s="43" t="inlineStr">
        <is>
          <t>000676</t>
        </is>
      </c>
      <c r="B1704" s="44" t="inlineStr">
        <is>
          <t>JARRA PLASTICA</t>
        </is>
      </c>
      <c r="C1704" s="45" t="inlineStr">
        <is>
          <t>MC</t>
        </is>
      </c>
      <c r="D1704" s="45" t="inlineStr">
        <is>
          <t>UN</t>
        </is>
      </c>
      <c r="E1704" s="45" t="inlineStr">
        <is>
          <t>0079</t>
        </is>
      </c>
      <c r="F1704" s="70" t="inlineStr">
        <is>
          <t>Compras</t>
        </is>
      </c>
      <c r="G1704" s="66" t="n">
        <v>36.9</v>
      </c>
      <c r="H1704" s="172" t="inlineStr">
        <is>
          <t>Não</t>
        </is>
      </c>
      <c r="I1704" s="50" t="n"/>
    </row>
    <row r="1705">
      <c r="A1705" s="40" t="inlineStr">
        <is>
          <t>009848</t>
        </is>
      </c>
      <c r="B1705" s="41" t="inlineStr">
        <is>
          <t>JARRA PLASTICA 4LT</t>
        </is>
      </c>
      <c r="C1705" s="42" t="inlineStr">
        <is>
          <t>MC</t>
        </is>
      </c>
      <c r="D1705" s="42" t="inlineStr">
        <is>
          <t>UN</t>
        </is>
      </c>
      <c r="E1705" s="42" t="inlineStr">
        <is>
          <t>0080</t>
        </is>
      </c>
      <c r="F1705" s="70" t="inlineStr">
        <is>
          <t>Compras</t>
        </is>
      </c>
      <c r="G1705" s="71" t="n">
        <v>36.9</v>
      </c>
      <c r="H1705" s="172" t="inlineStr">
        <is>
          <t>Não</t>
        </is>
      </c>
      <c r="I1705" s="49" t="n"/>
    </row>
    <row r="1706">
      <c r="A1706" s="43" t="inlineStr">
        <is>
          <t>002056</t>
        </is>
      </c>
      <c r="B1706" s="44" t="inlineStr">
        <is>
          <t>JARRA SUCO ABACAXI</t>
        </is>
      </c>
      <c r="C1706" s="45" t="inlineStr">
        <is>
          <t>PA</t>
        </is>
      </c>
      <c r="D1706" s="45" t="inlineStr">
        <is>
          <t>UN</t>
        </is>
      </c>
      <c r="E1706" s="45" t="inlineStr">
        <is>
          <t>0113</t>
        </is>
      </c>
      <c r="F1706" s="65" t="inlineStr">
        <is>
          <t>Venda</t>
        </is>
      </c>
      <c r="G1706" s="69" t="n">
        <v>0</v>
      </c>
      <c r="H1706" s="172" t="inlineStr">
        <is>
          <t>Não</t>
        </is>
      </c>
      <c r="I1706" s="48" t="inlineStr">
        <is>
          <t>78989056877274</t>
        </is>
      </c>
    </row>
    <row r="1707">
      <c r="A1707" s="40" t="inlineStr">
        <is>
          <t>002032</t>
        </is>
      </c>
      <c r="B1707" s="41" t="inlineStr">
        <is>
          <t>JARRA SUCO ABACAXI C/ HORTELA</t>
        </is>
      </c>
      <c r="C1707" s="42" t="inlineStr">
        <is>
          <t>PA</t>
        </is>
      </c>
      <c r="D1707" s="42" t="inlineStr">
        <is>
          <t>UN</t>
        </is>
      </c>
      <c r="E1707" s="42" t="inlineStr">
        <is>
          <t>0113</t>
        </is>
      </c>
      <c r="F1707" s="65" t="inlineStr">
        <is>
          <t>Venda</t>
        </is>
      </c>
      <c r="G1707" s="68" t="n">
        <v>0</v>
      </c>
      <c r="H1707" s="172" t="inlineStr">
        <is>
          <t>Não</t>
        </is>
      </c>
      <c r="I1707" s="47" t="inlineStr">
        <is>
          <t>78989056877278</t>
        </is>
      </c>
    </row>
    <row r="1708">
      <c r="A1708" s="43" t="inlineStr">
        <is>
          <t>002026</t>
        </is>
      </c>
      <c r="B1708" s="44" t="inlineStr">
        <is>
          <t>JARRA SUCO LARANJA</t>
        </is>
      </c>
      <c r="C1708" s="45" t="inlineStr">
        <is>
          <t>PA</t>
        </is>
      </c>
      <c r="D1708" s="45" t="inlineStr">
        <is>
          <t>UN</t>
        </is>
      </c>
      <c r="E1708" s="45" t="inlineStr">
        <is>
          <t>0113</t>
        </is>
      </c>
      <c r="F1708" s="65" t="inlineStr">
        <is>
          <t>Venda</t>
        </is>
      </c>
      <c r="G1708" s="69" t="n">
        <v>0</v>
      </c>
      <c r="H1708" s="172" t="inlineStr">
        <is>
          <t>Não</t>
        </is>
      </c>
      <c r="I1708" s="48" t="inlineStr">
        <is>
          <t>78989056877273</t>
        </is>
      </c>
    </row>
    <row r="1709">
      <c r="A1709" s="40" t="inlineStr">
        <is>
          <t>002028</t>
        </is>
      </c>
      <c r="B1709" s="41" t="inlineStr">
        <is>
          <t>JARRA SUCO LIMAO</t>
        </is>
      </c>
      <c r="C1709" s="42" t="inlineStr">
        <is>
          <t>PA</t>
        </is>
      </c>
      <c r="D1709" s="42" t="inlineStr">
        <is>
          <t>UN</t>
        </is>
      </c>
      <c r="E1709" s="42" t="inlineStr">
        <is>
          <t>0113</t>
        </is>
      </c>
      <c r="F1709" s="65" t="inlineStr">
        <is>
          <t>Venda</t>
        </is>
      </c>
      <c r="G1709" s="68" t="n">
        <v>0</v>
      </c>
      <c r="H1709" s="172" t="inlineStr">
        <is>
          <t>Não</t>
        </is>
      </c>
      <c r="I1709" s="47" t="inlineStr">
        <is>
          <t>78989056877275</t>
        </is>
      </c>
    </row>
    <row r="1710">
      <c r="A1710" s="43" t="inlineStr">
        <is>
          <t>002029</t>
        </is>
      </c>
      <c r="B1710" s="44" t="inlineStr">
        <is>
          <t>JARRA SUCO MARACUJA</t>
        </is>
      </c>
      <c r="C1710" s="45" t="inlineStr">
        <is>
          <t>PA</t>
        </is>
      </c>
      <c r="D1710" s="45" t="inlineStr">
        <is>
          <t>UN</t>
        </is>
      </c>
      <c r="E1710" s="45" t="inlineStr">
        <is>
          <t>0113</t>
        </is>
      </c>
      <c r="F1710" s="65" t="inlineStr">
        <is>
          <t>Venda</t>
        </is>
      </c>
      <c r="G1710" s="69" t="n">
        <v>0</v>
      </c>
      <c r="H1710" s="172" t="inlineStr">
        <is>
          <t>Não</t>
        </is>
      </c>
      <c r="I1710" s="48" t="inlineStr">
        <is>
          <t>78989056877276</t>
        </is>
      </c>
    </row>
    <row r="1711">
      <c r="A1711" s="40" t="inlineStr">
        <is>
          <t>002031</t>
        </is>
      </c>
      <c r="B1711" s="41" t="inlineStr">
        <is>
          <t>JARRA SUCO MORANGO</t>
        </is>
      </c>
      <c r="C1711" s="42" t="inlineStr">
        <is>
          <t>PA</t>
        </is>
      </c>
      <c r="D1711" s="42" t="inlineStr">
        <is>
          <t>UN</t>
        </is>
      </c>
      <c r="E1711" s="42" t="inlineStr">
        <is>
          <t>0113</t>
        </is>
      </c>
      <c r="F1711" s="65" t="inlineStr">
        <is>
          <t>Venda</t>
        </is>
      </c>
      <c r="G1711" s="68" t="n">
        <v>0</v>
      </c>
      <c r="H1711" s="172" t="inlineStr">
        <is>
          <t>Não</t>
        </is>
      </c>
      <c r="I1711" s="47" t="inlineStr">
        <is>
          <t>78989056877277</t>
        </is>
      </c>
    </row>
    <row r="1712">
      <c r="A1712" s="43" t="inlineStr">
        <is>
          <t>000549</t>
        </is>
      </c>
      <c r="B1712" s="44" t="inlineStr">
        <is>
          <t>JARRAS PARA SANGRIA 1,5 L</t>
        </is>
      </c>
      <c r="C1712" s="45" t="inlineStr">
        <is>
          <t>MC</t>
        </is>
      </c>
      <c r="D1712" s="45" t="inlineStr">
        <is>
          <t>UN</t>
        </is>
      </c>
      <c r="E1712" s="45" t="inlineStr">
        <is>
          <t>0080</t>
        </is>
      </c>
      <c r="F1712" s="70" t="inlineStr">
        <is>
          <t>Compras</t>
        </is>
      </c>
      <c r="G1712" s="66" t="n">
        <v>20.6666</v>
      </c>
      <c r="H1712" s="172" t="inlineStr">
        <is>
          <t>Não</t>
        </is>
      </c>
      <c r="I1712" s="50" t="n"/>
    </row>
    <row r="1713">
      <c r="A1713" s="40" t="inlineStr">
        <is>
          <t>009448</t>
        </is>
      </c>
      <c r="B1713" s="41" t="inlineStr">
        <is>
          <t>JOELHO 3/4X90 25MM</t>
        </is>
      </c>
      <c r="C1713" s="42" t="inlineStr">
        <is>
          <t>MC</t>
        </is>
      </c>
      <c r="D1713" s="42" t="inlineStr">
        <is>
          <t>UN</t>
        </is>
      </c>
      <c r="E1713" s="42" t="inlineStr">
        <is>
          <t>0132</t>
        </is>
      </c>
      <c r="F1713" s="70" t="inlineStr">
        <is>
          <t>Compras</t>
        </is>
      </c>
      <c r="G1713" s="71" t="n">
        <v>9.199999999999999</v>
      </c>
      <c r="H1713" s="172" t="inlineStr">
        <is>
          <t>Não</t>
        </is>
      </c>
      <c r="I1713" s="49" t="n"/>
    </row>
    <row r="1714">
      <c r="A1714" s="43" t="inlineStr">
        <is>
          <t>010122</t>
        </is>
      </c>
      <c r="B1714" s="44" t="inlineStr">
        <is>
          <t>JOELHO ESGOTO 45° 75MM</t>
        </is>
      </c>
      <c r="C1714" s="45" t="inlineStr">
        <is>
          <t>MC</t>
        </is>
      </c>
      <c r="D1714" s="45" t="inlineStr">
        <is>
          <t>UN</t>
        </is>
      </c>
      <c r="E1714" s="45" t="inlineStr">
        <is>
          <t>0132</t>
        </is>
      </c>
      <c r="F1714" s="70" t="inlineStr">
        <is>
          <t>Compras</t>
        </is>
      </c>
      <c r="G1714" s="69" t="n">
        <v>0</v>
      </c>
      <c r="H1714" s="172" t="inlineStr">
        <is>
          <t>Não</t>
        </is>
      </c>
      <c r="I1714" s="50" t="n"/>
    </row>
    <row r="1715">
      <c r="A1715" s="40" t="inlineStr">
        <is>
          <t>009422</t>
        </is>
      </c>
      <c r="B1715" s="41" t="inlineStr">
        <is>
          <t>JOELHO ESGOTO 45º 100MM</t>
        </is>
      </c>
      <c r="C1715" s="42" t="inlineStr">
        <is>
          <t>MC</t>
        </is>
      </c>
      <c r="D1715" s="42" t="inlineStr">
        <is>
          <t>UN</t>
        </is>
      </c>
      <c r="E1715" s="42" t="inlineStr">
        <is>
          <t>0132</t>
        </is>
      </c>
      <c r="F1715" s="70" t="inlineStr">
        <is>
          <t>Compras</t>
        </is>
      </c>
      <c r="G1715" s="71" t="n">
        <v>19</v>
      </c>
      <c r="H1715" s="172" t="inlineStr">
        <is>
          <t>Não</t>
        </is>
      </c>
      <c r="I1715" s="49" t="n"/>
    </row>
    <row r="1716">
      <c r="A1716" s="43" t="inlineStr">
        <is>
          <t>010329</t>
        </is>
      </c>
      <c r="B1716" s="44" t="inlineStr">
        <is>
          <t>JOELHO ESGOTO 90° 2" 50MM</t>
        </is>
      </c>
      <c r="C1716" s="45" t="inlineStr">
        <is>
          <t>MC</t>
        </is>
      </c>
      <c r="D1716" s="45" t="inlineStr">
        <is>
          <t>UN</t>
        </is>
      </c>
      <c r="E1716" s="45" t="inlineStr">
        <is>
          <t>0132</t>
        </is>
      </c>
      <c r="F1716" s="70" t="inlineStr">
        <is>
          <t>Compras</t>
        </is>
      </c>
      <c r="G1716" s="69" t="n">
        <v>0</v>
      </c>
      <c r="H1716" s="172" t="inlineStr">
        <is>
          <t>Não</t>
        </is>
      </c>
      <c r="I1716" s="50" t="n"/>
    </row>
    <row r="1717">
      <c r="A1717" s="40" t="inlineStr">
        <is>
          <t>010301</t>
        </is>
      </c>
      <c r="B1717" s="41" t="inlineStr">
        <is>
          <t>JOELHO ESGOTO 90° 3" 75MM</t>
        </is>
      </c>
      <c r="C1717" s="42" t="inlineStr">
        <is>
          <t>MC</t>
        </is>
      </c>
      <c r="D1717" s="42" t="inlineStr">
        <is>
          <t>UN</t>
        </is>
      </c>
      <c r="E1717" s="42" t="inlineStr">
        <is>
          <t>0132</t>
        </is>
      </c>
      <c r="F1717" s="70" t="inlineStr">
        <is>
          <t>Compras</t>
        </is>
      </c>
      <c r="G1717" s="71" t="n">
        <v>11</v>
      </c>
      <c r="H1717" s="172" t="inlineStr">
        <is>
          <t>Não</t>
        </is>
      </c>
      <c r="I1717" s="49" t="n"/>
    </row>
    <row r="1718">
      <c r="A1718" s="43" t="inlineStr">
        <is>
          <t>010299</t>
        </is>
      </c>
      <c r="B1718" s="44" t="inlineStr">
        <is>
          <t>JOELHO ESGOTO 90° 4" 100MM</t>
        </is>
      </c>
      <c r="C1718" s="45" t="inlineStr">
        <is>
          <t>MC</t>
        </is>
      </c>
      <c r="D1718" s="45" t="inlineStr">
        <is>
          <t>UN</t>
        </is>
      </c>
      <c r="E1718" s="45" t="inlineStr">
        <is>
          <t>0132</t>
        </is>
      </c>
      <c r="F1718" s="70" t="inlineStr">
        <is>
          <t>Compras</t>
        </is>
      </c>
      <c r="G1718" s="66" t="n">
        <v>14</v>
      </c>
      <c r="H1718" s="172" t="inlineStr">
        <is>
          <t>Não</t>
        </is>
      </c>
      <c r="I1718" s="50" t="n"/>
    </row>
    <row r="1719">
      <c r="A1719" s="40" t="inlineStr">
        <is>
          <t>010118</t>
        </is>
      </c>
      <c r="B1719" s="41" t="inlineStr">
        <is>
          <t>JOELHO ESGOTO 90° 75MM</t>
        </is>
      </c>
      <c r="C1719" s="42" t="inlineStr">
        <is>
          <t>MC</t>
        </is>
      </c>
      <c r="D1719" s="42" t="inlineStr">
        <is>
          <t>UN</t>
        </is>
      </c>
      <c r="E1719" s="42" t="inlineStr">
        <is>
          <t>0132</t>
        </is>
      </c>
      <c r="F1719" s="70" t="inlineStr">
        <is>
          <t>Compras</t>
        </is>
      </c>
      <c r="G1719" s="68" t="n">
        <v>4.8</v>
      </c>
      <c r="H1719" s="172" t="inlineStr">
        <is>
          <t>Não</t>
        </is>
      </c>
      <c r="I1719" s="49" t="n"/>
    </row>
    <row r="1720">
      <c r="A1720" s="43" t="inlineStr">
        <is>
          <t>000137</t>
        </is>
      </c>
      <c r="B1720" s="44" t="inlineStr">
        <is>
          <t>JOGO AMERICANO DESCARTAVEL QUINTAL</t>
        </is>
      </c>
      <c r="C1720" s="45" t="inlineStr">
        <is>
          <t>MC</t>
        </is>
      </c>
      <c r="D1720" s="45" t="inlineStr">
        <is>
          <t>PC</t>
        </is>
      </c>
      <c r="E1720" s="45" t="inlineStr">
        <is>
          <t>0075</t>
        </is>
      </c>
      <c r="F1720" s="70" t="inlineStr">
        <is>
          <t>Compras</t>
        </is>
      </c>
      <c r="G1720" s="66" t="n">
        <v>105</v>
      </c>
      <c r="H1720" s="172" t="inlineStr">
        <is>
          <t>Não</t>
        </is>
      </c>
      <c r="I1720" s="50" t="n"/>
    </row>
    <row r="1721">
      <c r="A1721" s="40" t="inlineStr">
        <is>
          <t>009973</t>
        </is>
      </c>
      <c r="B1721" s="41" t="inlineStr">
        <is>
          <t>JOGO CHAVE COMBINADA</t>
        </is>
      </c>
      <c r="C1721" s="42" t="inlineStr">
        <is>
          <t>MC</t>
        </is>
      </c>
      <c r="D1721" s="42" t="inlineStr">
        <is>
          <t>UN</t>
        </is>
      </c>
      <c r="E1721" s="42" t="inlineStr">
        <is>
          <t>0132</t>
        </is>
      </c>
      <c r="F1721" s="70" t="inlineStr">
        <is>
          <t>Compras</t>
        </is>
      </c>
      <c r="G1721" s="71" t="n">
        <v>30</v>
      </c>
      <c r="H1721" s="172" t="inlineStr">
        <is>
          <t>Não</t>
        </is>
      </c>
      <c r="I1721" s="49" t="n"/>
    </row>
    <row r="1722">
      <c r="A1722" s="43" t="inlineStr">
        <is>
          <t>001087</t>
        </is>
      </c>
      <c r="B1722" s="44" t="inlineStr">
        <is>
          <t>JOGO CHURRASCO INOX 3 PC POLYW</t>
        </is>
      </c>
      <c r="C1722" s="45" t="inlineStr">
        <is>
          <t>MC</t>
        </is>
      </c>
      <c r="D1722" s="45" t="inlineStr">
        <is>
          <t>UN</t>
        </is>
      </c>
      <c r="E1722" s="45" t="inlineStr">
        <is>
          <t>0079</t>
        </is>
      </c>
      <c r="F1722" s="70" t="inlineStr">
        <is>
          <t>Compras</t>
        </is>
      </c>
      <c r="G1722" s="69" t="n">
        <v>0</v>
      </c>
      <c r="H1722" s="172" t="inlineStr">
        <is>
          <t>Não</t>
        </is>
      </c>
      <c r="I1722" s="50" t="n"/>
    </row>
    <row r="1723">
      <c r="A1723" s="40" t="inlineStr">
        <is>
          <t>010394</t>
        </is>
      </c>
      <c r="B1723" s="41" t="inlineStr">
        <is>
          <t>JOGO DA MEMORIA TURMA DA MONICA XALINGO</t>
        </is>
      </c>
      <c r="C1723" s="42" t="inlineStr">
        <is>
          <t>MC</t>
        </is>
      </c>
      <c r="D1723" s="42" t="inlineStr">
        <is>
          <t>UN</t>
        </is>
      </c>
      <c r="E1723" s="42" t="inlineStr">
        <is>
          <t>0134</t>
        </is>
      </c>
      <c r="F1723" s="70" t="inlineStr">
        <is>
          <t>Compras</t>
        </is>
      </c>
      <c r="G1723" s="68" t="n">
        <v>0</v>
      </c>
      <c r="H1723" s="172" t="inlineStr">
        <is>
          <t>Não</t>
        </is>
      </c>
      <c r="I1723" s="49" t="n"/>
    </row>
    <row r="1724">
      <c r="A1724" s="43" t="inlineStr">
        <is>
          <t>009510</t>
        </is>
      </c>
      <c r="B1724" s="44" t="inlineStr">
        <is>
          <t>JOGO DE CHAVES ALLEN C/ 10 PCS</t>
        </is>
      </c>
      <c r="C1724" s="45" t="inlineStr">
        <is>
          <t>MC</t>
        </is>
      </c>
      <c r="D1724" s="45" t="inlineStr">
        <is>
          <t>UN</t>
        </is>
      </c>
      <c r="E1724" s="45" t="inlineStr">
        <is>
          <t>0132</t>
        </is>
      </c>
      <c r="F1724" s="70" t="inlineStr">
        <is>
          <t>Compras</t>
        </is>
      </c>
      <c r="G1724" s="66" t="n">
        <v>59.9</v>
      </c>
      <c r="H1724" s="172" t="inlineStr">
        <is>
          <t>Não</t>
        </is>
      </c>
      <c r="I1724" s="50" t="n"/>
    </row>
    <row r="1725">
      <c r="A1725" s="40" t="inlineStr">
        <is>
          <t>010235</t>
        </is>
      </c>
      <c r="B1725" s="41" t="inlineStr">
        <is>
          <t>JOGO INFALTIL CAI NAO CAI TETRIS</t>
        </is>
      </c>
      <c r="C1725" s="42" t="inlineStr">
        <is>
          <t>MC</t>
        </is>
      </c>
      <c r="D1725" s="42" t="inlineStr">
        <is>
          <t>UN</t>
        </is>
      </c>
      <c r="E1725" s="42" t="inlineStr">
        <is>
          <t>0134</t>
        </is>
      </c>
      <c r="F1725" s="70" t="inlineStr">
        <is>
          <t>Compras</t>
        </is>
      </c>
      <c r="G1725" s="68" t="n">
        <v>0</v>
      </c>
      <c r="H1725" s="172" t="inlineStr">
        <is>
          <t>Não</t>
        </is>
      </c>
      <c r="I1725" s="49" t="n"/>
    </row>
    <row r="1726">
      <c r="A1726" s="43" t="inlineStr">
        <is>
          <t>010237</t>
        </is>
      </c>
      <c r="B1726" s="44" t="inlineStr">
        <is>
          <t>JOGO INFANTIL CILADA</t>
        </is>
      </c>
      <c r="C1726" s="45" t="inlineStr">
        <is>
          <t>MC</t>
        </is>
      </c>
      <c r="D1726" s="45" t="inlineStr">
        <is>
          <t>UN</t>
        </is>
      </c>
      <c r="E1726" s="45" t="inlineStr">
        <is>
          <t>0134</t>
        </is>
      </c>
      <c r="F1726" s="70" t="inlineStr">
        <is>
          <t>Compras</t>
        </is>
      </c>
      <c r="G1726" s="69" t="n">
        <v>0</v>
      </c>
      <c r="H1726" s="172" t="inlineStr">
        <is>
          <t>Não</t>
        </is>
      </c>
      <c r="I1726" s="50" t="n"/>
    </row>
    <row r="1727">
      <c r="A1727" s="40" t="inlineStr">
        <is>
          <t>010236</t>
        </is>
      </c>
      <c r="B1727" s="41" t="inlineStr">
        <is>
          <t>JOGO INFANTIL TAPA CERTO</t>
        </is>
      </c>
      <c r="C1727" s="42" t="inlineStr">
        <is>
          <t>MC</t>
        </is>
      </c>
      <c r="D1727" s="42" t="inlineStr">
        <is>
          <t>UN</t>
        </is>
      </c>
      <c r="E1727" s="42" t="inlineStr">
        <is>
          <t>0134</t>
        </is>
      </c>
      <c r="F1727" s="70" t="inlineStr">
        <is>
          <t>Compras</t>
        </is>
      </c>
      <c r="G1727" s="68" t="n">
        <v>0</v>
      </c>
      <c r="H1727" s="172" t="inlineStr">
        <is>
          <t>Não</t>
        </is>
      </c>
      <c r="I1727" s="49" t="n"/>
    </row>
    <row r="1728">
      <c r="A1728" s="43" t="inlineStr">
        <is>
          <t>000025</t>
        </is>
      </c>
      <c r="B1728" s="44" t="inlineStr">
        <is>
          <t>KAFTA</t>
        </is>
      </c>
      <c r="C1728" s="45" t="inlineStr">
        <is>
          <t>PA</t>
        </is>
      </c>
      <c r="D1728" s="45" t="inlineStr">
        <is>
          <t>UN</t>
        </is>
      </c>
      <c r="E1728" s="45" t="inlineStr">
        <is>
          <t>0092</t>
        </is>
      </c>
      <c r="F1728" s="65" t="inlineStr">
        <is>
          <t>Venda</t>
        </is>
      </c>
      <c r="G1728" s="66" t="n">
        <v>180.4</v>
      </c>
      <c r="H1728" s="172" t="inlineStr">
        <is>
          <t>Não</t>
        </is>
      </c>
      <c r="I1728" s="48" t="inlineStr">
        <is>
          <t>10037</t>
        </is>
      </c>
    </row>
    <row r="1729">
      <c r="A1729" s="40" t="inlineStr">
        <is>
          <t>002194</t>
        </is>
      </c>
      <c r="B1729" s="41" t="inlineStr">
        <is>
          <t>KAFTA  RUA</t>
        </is>
      </c>
      <c r="C1729" s="42" t="inlineStr">
        <is>
          <t>PA</t>
        </is>
      </c>
      <c r="D1729" s="42" t="inlineStr">
        <is>
          <t>UN</t>
        </is>
      </c>
      <c r="E1729" s="42" t="inlineStr">
        <is>
          <t>0092</t>
        </is>
      </c>
      <c r="F1729" s="65" t="inlineStr">
        <is>
          <t>Venda</t>
        </is>
      </c>
      <c r="G1729" s="68" t="n">
        <v>0</v>
      </c>
      <c r="H1729" s="172" t="inlineStr">
        <is>
          <t>Não</t>
        </is>
      </c>
      <c r="I1729" s="47" t="inlineStr">
        <is>
          <t>78989056877345</t>
        </is>
      </c>
    </row>
    <row r="1730">
      <c r="A1730" s="43" t="inlineStr">
        <is>
          <t>000007</t>
        </is>
      </c>
      <c r="B1730" s="44" t="inlineStr">
        <is>
          <t>KAFTA IN NATURA</t>
        </is>
      </c>
      <c r="C1730" s="45" t="inlineStr">
        <is>
          <t>MR</t>
        </is>
      </c>
      <c r="D1730" s="45" t="inlineStr">
        <is>
          <t>UN</t>
        </is>
      </c>
      <c r="E1730" s="45" t="inlineStr">
        <is>
          <t>0092</t>
        </is>
      </c>
      <c r="F1730" s="65" t="inlineStr">
        <is>
          <t>Venda</t>
        </is>
      </c>
      <c r="G1730" s="69" t="n">
        <v>0</v>
      </c>
      <c r="H1730" s="172" t="inlineStr">
        <is>
          <t>Não</t>
        </is>
      </c>
      <c r="I1730" s="48" t="inlineStr">
        <is>
          <t>10008</t>
        </is>
      </c>
    </row>
    <row r="1731">
      <c r="A1731" s="40" t="inlineStr">
        <is>
          <t>000767</t>
        </is>
      </c>
      <c r="B1731" s="41" t="inlineStr">
        <is>
          <t>KIBE</t>
        </is>
      </c>
      <c r="C1731" s="42" t="inlineStr">
        <is>
          <t>PA</t>
        </is>
      </c>
      <c r="D1731" s="42" t="inlineStr">
        <is>
          <t>UN</t>
        </is>
      </c>
      <c r="E1731" s="42" t="inlineStr">
        <is>
          <t>0110</t>
        </is>
      </c>
      <c r="F1731" s="65" t="inlineStr">
        <is>
          <t>Venda</t>
        </is>
      </c>
      <c r="G1731" s="68" t="n">
        <v>0</v>
      </c>
      <c r="H1731" s="172" t="inlineStr">
        <is>
          <t>Não</t>
        </is>
      </c>
      <c r="I1731" s="47" t="inlineStr">
        <is>
          <t>40012</t>
        </is>
      </c>
    </row>
    <row r="1732">
      <c r="A1732" s="43" t="inlineStr">
        <is>
          <t>000308</t>
        </is>
      </c>
      <c r="B1732" s="44" t="inlineStr">
        <is>
          <t>KIBE PCT COM 50UND</t>
        </is>
      </c>
      <c r="C1732" s="45" t="inlineStr">
        <is>
          <t>MP</t>
        </is>
      </c>
      <c r="D1732" s="45" t="inlineStr">
        <is>
          <t>UN</t>
        </is>
      </c>
      <c r="E1732" s="45" t="inlineStr">
        <is>
          <t>0022</t>
        </is>
      </c>
      <c r="F1732" s="70" t="inlineStr">
        <is>
          <t>Compras</t>
        </is>
      </c>
      <c r="G1732" s="66" t="n">
        <v>0.99</v>
      </c>
      <c r="H1732" s="172" t="inlineStr">
        <is>
          <t>Não</t>
        </is>
      </c>
      <c r="I1732" s="50" t="n"/>
    </row>
    <row r="1733">
      <c r="A1733" s="40" t="inlineStr">
        <is>
          <t>009474</t>
        </is>
      </c>
      <c r="B1733" s="41" t="inlineStr">
        <is>
          <t>KIT 1 FAROFA/ARROZ BRANCO/VINAGRETE</t>
        </is>
      </c>
      <c r="C1733" s="42" t="inlineStr">
        <is>
          <t>PA</t>
        </is>
      </c>
      <c r="D1733" s="42" t="inlineStr">
        <is>
          <t>UN</t>
        </is>
      </c>
      <c r="E1733" s="42" t="inlineStr">
        <is>
          <t>0121</t>
        </is>
      </c>
      <c r="F1733" s="65" t="inlineStr">
        <is>
          <t>Venda</t>
        </is>
      </c>
      <c r="G1733" s="68" t="n">
        <v>0</v>
      </c>
      <c r="H1733" s="172" t="inlineStr">
        <is>
          <t>Não</t>
        </is>
      </c>
      <c r="I1733" s="47" t="inlineStr">
        <is>
          <t>9003307</t>
        </is>
      </c>
    </row>
    <row r="1734">
      <c r="A1734" s="43" t="inlineStr">
        <is>
          <t>010151</t>
        </is>
      </c>
      <c r="B1734" s="44" t="inlineStr">
        <is>
          <t>KIT BACIA CAIXA ACOPLADA ACESSO ABERTO</t>
        </is>
      </c>
      <c r="C1734" s="45" t="inlineStr">
        <is>
          <t>MC</t>
        </is>
      </c>
      <c r="D1734" s="45" t="inlineStr">
        <is>
          <t>UN</t>
        </is>
      </c>
      <c r="E1734" s="45" t="inlineStr">
        <is>
          <t>0132</t>
        </is>
      </c>
      <c r="F1734" s="70" t="inlineStr">
        <is>
          <t>Compras</t>
        </is>
      </c>
      <c r="G1734" s="66" t="n">
        <v>1159.9</v>
      </c>
      <c r="H1734" s="172" t="inlineStr">
        <is>
          <t>Não</t>
        </is>
      </c>
      <c r="I1734" s="50" t="n"/>
    </row>
    <row r="1735">
      <c r="A1735" s="40" t="inlineStr">
        <is>
          <t>009963</t>
        </is>
      </c>
      <c r="B1735" s="41" t="inlineStr">
        <is>
          <t>KIT CAPA E PELICULA PARA IPAD 9 GERACAO</t>
        </is>
      </c>
      <c r="C1735" s="42" t="inlineStr">
        <is>
          <t>MC</t>
        </is>
      </c>
      <c r="D1735" s="42" t="inlineStr">
        <is>
          <t>UN</t>
        </is>
      </c>
      <c r="E1735" s="42" t="inlineStr">
        <is>
          <t>0133</t>
        </is>
      </c>
      <c r="F1735" s="70" t="inlineStr">
        <is>
          <t>Compras</t>
        </is>
      </c>
      <c r="G1735" s="68" t="n">
        <v>0</v>
      </c>
      <c r="H1735" s="172" t="inlineStr">
        <is>
          <t>Não</t>
        </is>
      </c>
      <c r="I1735" s="49" t="n"/>
    </row>
    <row r="1736">
      <c r="A1736" s="43" t="inlineStr">
        <is>
          <t>001480</t>
        </is>
      </c>
      <c r="B1736" s="44" t="inlineStr">
        <is>
          <t>KIT CERVEJA DO QUINTAL</t>
        </is>
      </c>
      <c r="C1736" s="45" t="inlineStr">
        <is>
          <t>KT</t>
        </is>
      </c>
      <c r="D1736" s="45" t="inlineStr">
        <is>
          <t>UN</t>
        </is>
      </c>
      <c r="E1736" s="45" t="inlineStr">
        <is>
          <t>0093</t>
        </is>
      </c>
      <c r="F1736" s="65" t="inlineStr">
        <is>
          <t>Venda</t>
        </is>
      </c>
      <c r="G1736" s="69" t="n">
        <v>0</v>
      </c>
      <c r="H1736" s="172" t="inlineStr">
        <is>
          <t>Não</t>
        </is>
      </c>
      <c r="I1736" s="48" t="inlineStr">
        <is>
          <t>7898905687706</t>
        </is>
      </c>
    </row>
    <row r="1737">
      <c r="A1737" s="40" t="inlineStr">
        <is>
          <t>000738</t>
        </is>
      </c>
      <c r="B1737" s="41" t="inlineStr">
        <is>
          <t>KIT EXTRA COFRE</t>
        </is>
      </c>
      <c r="C1737" s="42" t="inlineStr">
        <is>
          <t>AI</t>
        </is>
      </c>
      <c r="D1737" s="42" t="inlineStr">
        <is>
          <t>UN</t>
        </is>
      </c>
      <c r="E1737" s="42" t="inlineStr">
        <is>
          <t>0061</t>
        </is>
      </c>
      <c r="F1737" s="70" t="inlineStr">
        <is>
          <t>Compras</t>
        </is>
      </c>
      <c r="G1737" s="68" t="n">
        <v>0</v>
      </c>
      <c r="H1737" s="173" t="inlineStr">
        <is>
          <t>Sim</t>
        </is>
      </c>
      <c r="I1737" s="49" t="n"/>
    </row>
    <row r="1738">
      <c r="A1738" s="43" t="inlineStr">
        <is>
          <t>009639</t>
        </is>
      </c>
      <c r="B1738" s="44" t="inlineStr">
        <is>
          <t>KIT FAROFA E VINAGRETE (EXECUTIVO)</t>
        </is>
      </c>
      <c r="C1738" s="45" t="inlineStr">
        <is>
          <t>PA</t>
        </is>
      </c>
      <c r="D1738" s="45" t="inlineStr">
        <is>
          <t>UN</t>
        </is>
      </c>
      <c r="E1738" s="45" t="inlineStr">
        <is>
          <t>0121</t>
        </is>
      </c>
      <c r="F1738" s="65" t="inlineStr">
        <is>
          <t>Venda</t>
        </is>
      </c>
      <c r="G1738" s="69" t="n">
        <v>0</v>
      </c>
      <c r="H1738" s="172" t="inlineStr">
        <is>
          <t>Não</t>
        </is>
      </c>
      <c r="I1738" s="48" t="inlineStr">
        <is>
          <t>789890568772109</t>
        </is>
      </c>
    </row>
    <row r="1739">
      <c r="A1739" s="40" t="inlineStr">
        <is>
          <t>001909</t>
        </is>
      </c>
      <c r="B1739" s="41" t="inlineStr">
        <is>
          <t>KIT FECHADURA ELETRONICA</t>
        </is>
      </c>
      <c r="C1739" s="42" t="inlineStr">
        <is>
          <t>MC</t>
        </is>
      </c>
      <c r="D1739" s="42" t="inlineStr">
        <is>
          <t>UN</t>
        </is>
      </c>
      <c r="E1739" s="42" t="inlineStr">
        <is>
          <t>0132</t>
        </is>
      </c>
      <c r="F1739" s="70" t="inlineStr">
        <is>
          <t>Compras</t>
        </is>
      </c>
      <c r="G1739" s="71" t="n">
        <v>1110</v>
      </c>
      <c r="H1739" s="172" t="inlineStr">
        <is>
          <t>Não</t>
        </is>
      </c>
      <c r="I1739" s="49" t="n"/>
    </row>
    <row r="1740">
      <c r="A1740" s="43" t="inlineStr">
        <is>
          <t>000971</t>
        </is>
      </c>
      <c r="B1740" s="44" t="inlineStr">
        <is>
          <t>KIT GARFO E FACA DELIVERY</t>
        </is>
      </c>
      <c r="C1740" s="45" t="inlineStr">
        <is>
          <t>MC</t>
        </is>
      </c>
      <c r="D1740" s="45" t="inlineStr">
        <is>
          <t>PC</t>
        </is>
      </c>
      <c r="E1740" s="45" t="inlineStr">
        <is>
          <t>0077</t>
        </is>
      </c>
      <c r="F1740" s="70" t="inlineStr">
        <is>
          <t>Compras</t>
        </is>
      </c>
      <c r="G1740" s="66" t="n">
        <v>19.58</v>
      </c>
      <c r="H1740" s="173" t="inlineStr">
        <is>
          <t>Sim</t>
        </is>
      </c>
      <c r="I1740" s="50" t="n"/>
    </row>
    <row r="1741">
      <c r="A1741" s="40" t="inlineStr">
        <is>
          <t>001407</t>
        </is>
      </c>
      <c r="B1741" s="41" t="inlineStr">
        <is>
          <t>KIT GIN</t>
        </is>
      </c>
      <c r="C1741" s="42" t="inlineStr">
        <is>
          <t>PA</t>
        </is>
      </c>
      <c r="D1741" s="42" t="inlineStr">
        <is>
          <t>UN</t>
        </is>
      </c>
      <c r="E1741" s="42" t="inlineStr">
        <is>
          <t>0101</t>
        </is>
      </c>
      <c r="F1741" s="65" t="inlineStr">
        <is>
          <t>Venda</t>
        </is>
      </c>
      <c r="G1741" s="68" t="n">
        <v>0</v>
      </c>
      <c r="H1741" s="172" t="inlineStr">
        <is>
          <t>Não</t>
        </is>
      </c>
      <c r="I1741" s="47" t="inlineStr">
        <is>
          <t>7898905687511</t>
        </is>
      </c>
    </row>
    <row r="1742">
      <c r="A1742" s="43" t="inlineStr">
        <is>
          <t>002178</t>
        </is>
      </c>
      <c r="B1742" s="44" t="inlineStr">
        <is>
          <t>KIT INSTALACAO E DESINSTALACAO CLIMATIZADORES</t>
        </is>
      </c>
      <c r="C1742" s="45" t="inlineStr">
        <is>
          <t>MC</t>
        </is>
      </c>
      <c r="D1742" s="45" t="inlineStr">
        <is>
          <t>UN</t>
        </is>
      </c>
      <c r="E1742" s="45" t="inlineStr">
        <is>
          <t>0132</t>
        </is>
      </c>
      <c r="F1742" s="70" t="inlineStr">
        <is>
          <t>Compras</t>
        </is>
      </c>
      <c r="G1742" s="66" t="n">
        <v>1989.9</v>
      </c>
      <c r="H1742" s="172" t="inlineStr">
        <is>
          <t>Não</t>
        </is>
      </c>
      <c r="I1742" s="50" t="n"/>
    </row>
    <row r="1743">
      <c r="A1743" s="40" t="inlineStr">
        <is>
          <t>002177</t>
        </is>
      </c>
      <c r="B1743" s="41" t="inlineStr">
        <is>
          <t>KIT MANUTENCAO CLIMATIZADORES</t>
        </is>
      </c>
      <c r="C1743" s="42" t="inlineStr">
        <is>
          <t>MC</t>
        </is>
      </c>
      <c r="D1743" s="42" t="inlineStr">
        <is>
          <t>UN</t>
        </is>
      </c>
      <c r="E1743" s="42" t="inlineStr">
        <is>
          <t>0132</t>
        </is>
      </c>
      <c r="F1743" s="70" t="inlineStr">
        <is>
          <t>Compras</t>
        </is>
      </c>
      <c r="G1743" s="71" t="n">
        <v>490.9</v>
      </c>
      <c r="H1743" s="172" t="inlineStr">
        <is>
          <t>Não</t>
        </is>
      </c>
      <c r="I1743" s="49" t="n"/>
    </row>
    <row r="1744">
      <c r="A1744" s="43" t="inlineStr">
        <is>
          <t>010239</t>
        </is>
      </c>
      <c r="B1744" s="44" t="inlineStr">
        <is>
          <t>KIT MOTOR DE PORTAO INDUSTRIAL DESLIZANTE</t>
        </is>
      </c>
      <c r="C1744" s="45" t="inlineStr">
        <is>
          <t>AI</t>
        </is>
      </c>
      <c r="D1744" s="45" t="inlineStr">
        <is>
          <t>UN</t>
        </is>
      </c>
      <c r="E1744" s="45" t="inlineStr">
        <is>
          <t>0002</t>
        </is>
      </c>
      <c r="F1744" s="70" t="inlineStr">
        <is>
          <t>Compras</t>
        </is>
      </c>
      <c r="G1744" s="66" t="n">
        <v>2450</v>
      </c>
      <c r="H1744" s="172" t="inlineStr">
        <is>
          <t>Não</t>
        </is>
      </c>
      <c r="I1744" s="50" t="n"/>
    </row>
    <row r="1745">
      <c r="A1745" s="40" t="inlineStr">
        <is>
          <t>009979</t>
        </is>
      </c>
      <c r="B1745" s="41" t="inlineStr">
        <is>
          <t>KIT PINO + PORCA</t>
        </is>
      </c>
      <c r="C1745" s="42" t="inlineStr">
        <is>
          <t>MC</t>
        </is>
      </c>
      <c r="D1745" s="42" t="inlineStr">
        <is>
          <t>UN</t>
        </is>
      </c>
      <c r="E1745" s="42" t="inlineStr">
        <is>
          <t>0132</t>
        </is>
      </c>
      <c r="F1745" s="70" t="inlineStr">
        <is>
          <t>Compras</t>
        </is>
      </c>
      <c r="G1745" s="71" t="n">
        <v>90</v>
      </c>
      <c r="H1745" s="172" t="inlineStr">
        <is>
          <t>Não</t>
        </is>
      </c>
      <c r="I1745" s="49" t="n"/>
    </row>
    <row r="1746">
      <c r="A1746" s="43" t="inlineStr">
        <is>
          <t>009456</t>
        </is>
      </c>
      <c r="B1746" s="44" t="inlineStr">
        <is>
          <t>KIT REPARO CAIXA ACOPLADA COMPL. ENTR/SAI. LATERAL</t>
        </is>
      </c>
      <c r="C1746" s="45" t="inlineStr">
        <is>
          <t>MC</t>
        </is>
      </c>
      <c r="D1746" s="45" t="inlineStr">
        <is>
          <t>UN</t>
        </is>
      </c>
      <c r="E1746" s="45" t="inlineStr">
        <is>
          <t>0132</t>
        </is>
      </c>
      <c r="F1746" s="70" t="inlineStr">
        <is>
          <t>Compras</t>
        </is>
      </c>
      <c r="G1746" s="66" t="n">
        <v>155</v>
      </c>
      <c r="H1746" s="172" t="inlineStr">
        <is>
          <t>Não</t>
        </is>
      </c>
      <c r="I1746" s="50" t="n"/>
    </row>
    <row r="1747">
      <c r="A1747" s="40" t="inlineStr">
        <is>
          <t>009918</t>
        </is>
      </c>
      <c r="B1747" s="41" t="inlineStr">
        <is>
          <t>KIT REPARO VEDACAO BOMBA D'AGUA</t>
        </is>
      </c>
      <c r="C1747" s="42" t="inlineStr">
        <is>
          <t>MC</t>
        </is>
      </c>
      <c r="D1747" s="42" t="inlineStr">
        <is>
          <t>UN</t>
        </is>
      </c>
      <c r="E1747" s="42" t="inlineStr">
        <is>
          <t>0132</t>
        </is>
      </c>
      <c r="F1747" s="70" t="inlineStr">
        <is>
          <t>Compras</t>
        </is>
      </c>
      <c r="G1747" s="71" t="n">
        <v>230</v>
      </c>
      <c r="H1747" s="172" t="inlineStr">
        <is>
          <t>Não</t>
        </is>
      </c>
      <c r="I1747" s="49" t="n"/>
    </row>
    <row r="1748">
      <c r="A1748" s="43" t="inlineStr">
        <is>
          <t>009437</t>
        </is>
      </c>
      <c r="B1748" s="44" t="inlineStr">
        <is>
          <t>KIT TECLADO E MOUSE SEM FIO</t>
        </is>
      </c>
      <c r="C1748" s="45" t="inlineStr">
        <is>
          <t>MC</t>
        </is>
      </c>
      <c r="D1748" s="45" t="inlineStr">
        <is>
          <t>UN</t>
        </is>
      </c>
      <c r="E1748" s="45" t="inlineStr">
        <is>
          <t>0006</t>
        </is>
      </c>
      <c r="F1748" s="70" t="inlineStr">
        <is>
          <t>Compras</t>
        </is>
      </c>
      <c r="G1748" s="69" t="n">
        <v>0</v>
      </c>
      <c r="H1748" s="172" t="inlineStr">
        <is>
          <t>Não</t>
        </is>
      </c>
      <c r="I1748" s="50" t="n"/>
    </row>
    <row r="1749">
      <c r="A1749" s="40" t="inlineStr">
        <is>
          <t>009541</t>
        </is>
      </c>
      <c r="B1749" s="41" t="inlineStr">
        <is>
          <t>KIT TITIS COLORIR GRANDE</t>
        </is>
      </c>
      <c r="C1749" s="42" t="inlineStr">
        <is>
          <t>MC</t>
        </is>
      </c>
      <c r="D1749" s="42" t="inlineStr">
        <is>
          <t>UN</t>
        </is>
      </c>
      <c r="E1749" s="42" t="inlineStr">
        <is>
          <t>0134</t>
        </is>
      </c>
      <c r="F1749" s="70" t="inlineStr">
        <is>
          <t>Compras</t>
        </is>
      </c>
      <c r="G1749" s="68" t="n">
        <v>0</v>
      </c>
      <c r="H1749" s="172" t="inlineStr">
        <is>
          <t>Não</t>
        </is>
      </c>
      <c r="I1749" s="49" t="n"/>
    </row>
    <row r="1750">
      <c r="A1750" s="43" t="inlineStr">
        <is>
          <t>009540</t>
        </is>
      </c>
      <c r="B1750" s="44" t="inlineStr">
        <is>
          <t>KIT TITIS COLORIR PEQUENO</t>
        </is>
      </c>
      <c r="C1750" s="45" t="inlineStr">
        <is>
          <t>MC</t>
        </is>
      </c>
      <c r="D1750" s="45" t="inlineStr">
        <is>
          <t>UN</t>
        </is>
      </c>
      <c r="E1750" s="45" t="inlineStr">
        <is>
          <t>0134</t>
        </is>
      </c>
      <c r="F1750" s="70" t="inlineStr">
        <is>
          <t>Compras</t>
        </is>
      </c>
      <c r="G1750" s="69" t="n">
        <v>0</v>
      </c>
      <c r="H1750" s="172" t="inlineStr">
        <is>
          <t>Não</t>
        </is>
      </c>
      <c r="I1750" s="50" t="n"/>
    </row>
    <row r="1751">
      <c r="A1751" s="40" t="inlineStr">
        <is>
          <t>009539</t>
        </is>
      </c>
      <c r="B1751" s="41" t="inlineStr">
        <is>
          <t>KIT TITIS MASSINHA GRANDE</t>
        </is>
      </c>
      <c r="C1751" s="42" t="inlineStr">
        <is>
          <t>MC</t>
        </is>
      </c>
      <c r="D1751" s="42" t="inlineStr">
        <is>
          <t>UN</t>
        </is>
      </c>
      <c r="E1751" s="42" t="inlineStr">
        <is>
          <t>0134</t>
        </is>
      </c>
      <c r="F1751" s="70" t="inlineStr">
        <is>
          <t>Compras</t>
        </is>
      </c>
      <c r="G1751" s="68" t="n">
        <v>0</v>
      </c>
      <c r="H1751" s="172" t="inlineStr">
        <is>
          <t>Não</t>
        </is>
      </c>
      <c r="I1751" s="49" t="n"/>
    </row>
    <row r="1752">
      <c r="A1752" s="43" t="inlineStr">
        <is>
          <t>009538</t>
        </is>
      </c>
      <c r="B1752" s="44" t="inlineStr">
        <is>
          <t>KIT TITIS MASSINHA PEQUENO</t>
        </is>
      </c>
      <c r="C1752" s="45" t="inlineStr">
        <is>
          <t>MC</t>
        </is>
      </c>
      <c r="D1752" s="45" t="inlineStr">
        <is>
          <t>UN</t>
        </is>
      </c>
      <c r="E1752" s="45" t="inlineStr">
        <is>
          <t>0134</t>
        </is>
      </c>
      <c r="F1752" s="70" t="inlineStr">
        <is>
          <t>Compras</t>
        </is>
      </c>
      <c r="G1752" s="66" t="n">
        <v>15</v>
      </c>
      <c r="H1752" s="172" t="inlineStr">
        <is>
          <t>Não</t>
        </is>
      </c>
      <c r="I1752" s="50" t="n"/>
    </row>
    <row r="1753">
      <c r="A1753" s="40" t="inlineStr">
        <is>
          <t>009542</t>
        </is>
      </c>
      <c r="B1753" s="41" t="inlineStr">
        <is>
          <t>KIT TITIS PINTURA EM TELA</t>
        </is>
      </c>
      <c r="C1753" s="42" t="inlineStr">
        <is>
          <t>MC</t>
        </is>
      </c>
      <c r="D1753" s="42" t="inlineStr">
        <is>
          <t>UN</t>
        </is>
      </c>
      <c r="E1753" s="42" t="inlineStr">
        <is>
          <t>0134</t>
        </is>
      </c>
      <c r="F1753" s="70" t="inlineStr">
        <is>
          <t>Compras</t>
        </is>
      </c>
      <c r="G1753" s="68" t="n">
        <v>0</v>
      </c>
      <c r="H1753" s="172" t="inlineStr">
        <is>
          <t>Não</t>
        </is>
      </c>
      <c r="I1753" s="49" t="n"/>
    </row>
    <row r="1754">
      <c r="A1754" s="43" t="inlineStr">
        <is>
          <t>009543</t>
        </is>
      </c>
      <c r="B1754" s="44" t="inlineStr">
        <is>
          <t>KIT TITIS SURPRESINHA</t>
        </is>
      </c>
      <c r="C1754" s="45" t="inlineStr">
        <is>
          <t>MC</t>
        </is>
      </c>
      <c r="D1754" s="45" t="inlineStr">
        <is>
          <t>UN</t>
        </is>
      </c>
      <c r="E1754" s="45" t="inlineStr">
        <is>
          <t>0134</t>
        </is>
      </c>
      <c r="F1754" s="70" t="inlineStr">
        <is>
          <t>Compras</t>
        </is>
      </c>
      <c r="G1754" s="69" t="n">
        <v>0</v>
      </c>
      <c r="H1754" s="172" t="inlineStr">
        <is>
          <t>Não</t>
        </is>
      </c>
      <c r="I1754" s="50" t="n"/>
    </row>
    <row r="1755">
      <c r="A1755" s="40" t="inlineStr">
        <is>
          <t>001978</t>
        </is>
      </c>
      <c r="B1755" s="41" t="inlineStr">
        <is>
          <t>KIWI FRUTA</t>
        </is>
      </c>
      <c r="C1755" s="42" t="inlineStr">
        <is>
          <t>MP</t>
        </is>
      </c>
      <c r="D1755" s="42" t="inlineStr">
        <is>
          <t>KG</t>
        </is>
      </c>
      <c r="E1755" s="42" t="inlineStr">
        <is>
          <t>0036</t>
        </is>
      </c>
      <c r="F1755" s="70" t="inlineStr">
        <is>
          <t>Compras</t>
        </is>
      </c>
      <c r="G1755" s="71" t="n">
        <v>26.11</v>
      </c>
      <c r="H1755" s="172" t="inlineStr">
        <is>
          <t>Não</t>
        </is>
      </c>
      <c r="I1755" s="49" t="n"/>
    </row>
    <row r="1756">
      <c r="A1756" s="43" t="inlineStr">
        <is>
          <t>002103</t>
        </is>
      </c>
      <c r="B1756" s="44" t="inlineStr">
        <is>
          <t>KPER10 - LIMP.BASE DE PEROX</t>
        </is>
      </c>
      <c r="C1756" s="45" t="inlineStr">
        <is>
          <t>MC</t>
        </is>
      </c>
      <c r="D1756" s="45" t="inlineStr">
        <is>
          <t>UN</t>
        </is>
      </c>
      <c r="E1756" s="45" t="inlineStr">
        <is>
          <t>0075</t>
        </is>
      </c>
      <c r="F1756" s="70" t="inlineStr">
        <is>
          <t>Compras</t>
        </is>
      </c>
      <c r="G1756" s="69" t="n">
        <v>0</v>
      </c>
      <c r="H1756" s="172" t="inlineStr">
        <is>
          <t>Não</t>
        </is>
      </c>
      <c r="I1756" s="50" t="n"/>
    </row>
    <row r="1757">
      <c r="A1757" s="40" t="inlineStr">
        <is>
          <t>000978</t>
        </is>
      </c>
      <c r="B1757" s="41" t="inlineStr">
        <is>
          <t>LACRE ADESIVO DELIVERY</t>
        </is>
      </c>
      <c r="C1757" s="42" t="inlineStr">
        <is>
          <t>MC</t>
        </is>
      </c>
      <c r="D1757" s="42" t="inlineStr">
        <is>
          <t>UN</t>
        </is>
      </c>
      <c r="E1757" s="42" t="inlineStr">
        <is>
          <t>0073</t>
        </is>
      </c>
      <c r="F1757" s="70" t="inlineStr">
        <is>
          <t>Compras</t>
        </is>
      </c>
      <c r="G1757" s="71" t="n">
        <v>23</v>
      </c>
      <c r="H1757" s="172" t="inlineStr">
        <is>
          <t>Não</t>
        </is>
      </c>
      <c r="I1757" s="49" t="n"/>
    </row>
    <row r="1758">
      <c r="A1758" s="43" t="inlineStr">
        <is>
          <t>000284</t>
        </is>
      </c>
      <c r="B1758" s="44" t="inlineStr">
        <is>
          <t>LAMBRUSCO</t>
        </is>
      </c>
      <c r="C1758" s="45" t="inlineStr">
        <is>
          <t>MR</t>
        </is>
      </c>
      <c r="D1758" s="45" t="inlineStr">
        <is>
          <t>UN</t>
        </is>
      </c>
      <c r="E1758" s="45" t="inlineStr">
        <is>
          <t>0054</t>
        </is>
      </c>
      <c r="F1758" s="65" t="inlineStr">
        <is>
          <t>Venda</t>
        </is>
      </c>
      <c r="G1758" s="66" t="n">
        <v>33.7</v>
      </c>
      <c r="H1758" s="177" t="inlineStr">
        <is>
          <t>Sim</t>
        </is>
      </c>
      <c r="I1758" s="178" t="n"/>
    </row>
    <row r="1759">
      <c r="A1759" s="40" t="inlineStr">
        <is>
          <t>001942</t>
        </is>
      </c>
      <c r="B1759" s="41" t="inlineStr">
        <is>
          <t>LAMINA - CONVITE - 750</t>
        </is>
      </c>
      <c r="C1759" s="42" t="inlineStr">
        <is>
          <t>ME</t>
        </is>
      </c>
      <c r="D1759" s="42" t="inlineStr">
        <is>
          <t>UN</t>
        </is>
      </c>
      <c r="E1759" s="42" t="inlineStr">
        <is>
          <t>0073</t>
        </is>
      </c>
      <c r="F1759" s="70" t="inlineStr">
        <is>
          <t>Compras</t>
        </is>
      </c>
      <c r="G1759" s="71" t="n">
        <v>0.133</v>
      </c>
      <c r="H1759" s="172" t="inlineStr">
        <is>
          <t>Não</t>
        </is>
      </c>
      <c r="I1759" s="49" t="n"/>
    </row>
    <row r="1760">
      <c r="A1760" s="40" t="inlineStr">
        <is>
          <t>001941</t>
        </is>
      </c>
      <c r="B1760" s="41" t="inlineStr">
        <is>
          <t>LAMINA - DYSPLAY 141178</t>
        </is>
      </c>
      <c r="C1760" s="42" t="inlineStr">
        <is>
          <t>ME</t>
        </is>
      </c>
      <c r="D1760" s="42" t="inlineStr">
        <is>
          <t>UN</t>
        </is>
      </c>
      <c r="E1760" s="42" t="inlineStr">
        <is>
          <t>0073</t>
        </is>
      </c>
      <c r="F1760" s="70" t="inlineStr">
        <is>
          <t>Compras</t>
        </is>
      </c>
      <c r="G1760" s="68" t="n">
        <v>5.8</v>
      </c>
      <c r="H1760" s="172" t="inlineStr">
        <is>
          <t>Não</t>
        </is>
      </c>
      <c r="I1760" s="49" t="n"/>
    </row>
    <row r="1761">
      <c r="A1761" s="43" t="inlineStr">
        <is>
          <t>0001982</t>
        </is>
      </c>
      <c r="B1761" s="44" t="inlineStr">
        <is>
          <t>LAMINA - LIVRO DE RECEITAS</t>
        </is>
      </c>
      <c r="C1761" s="45" t="inlineStr">
        <is>
          <t>ME</t>
        </is>
      </c>
      <c r="D1761" s="45" t="inlineStr">
        <is>
          <t>UN</t>
        </is>
      </c>
      <c r="E1761" s="45" t="inlineStr">
        <is>
          <t>0007</t>
        </is>
      </c>
      <c r="F1761" s="70" t="inlineStr">
        <is>
          <t>Compras</t>
        </is>
      </c>
      <c r="G1761" s="66" t="n">
        <v>65</v>
      </c>
      <c r="H1761" s="173" t="inlineStr">
        <is>
          <t>Sim</t>
        </is>
      </c>
      <c r="I1761" s="50" t="n"/>
    </row>
    <row r="1762">
      <c r="A1762" s="40" t="inlineStr">
        <is>
          <t>002033</t>
        </is>
      </c>
      <c r="B1762" s="41" t="inlineStr">
        <is>
          <t>LAMINA -PLACAA3</t>
        </is>
      </c>
      <c r="C1762" s="42" t="inlineStr">
        <is>
          <t>ME</t>
        </is>
      </c>
      <c r="D1762" s="42" t="inlineStr">
        <is>
          <t>UN</t>
        </is>
      </c>
      <c r="E1762" s="42" t="inlineStr">
        <is>
          <t>0068</t>
        </is>
      </c>
      <c r="F1762" s="70" t="inlineStr">
        <is>
          <t>Compras</t>
        </is>
      </c>
      <c r="G1762" s="71" t="n">
        <v>965</v>
      </c>
      <c r="H1762" s="173" t="inlineStr">
        <is>
          <t>Sim</t>
        </is>
      </c>
      <c r="I1762" s="49" t="n"/>
    </row>
    <row r="1763">
      <c r="A1763" s="43" t="inlineStr">
        <is>
          <t>009981</t>
        </is>
      </c>
      <c r="B1763" s="44" t="inlineStr">
        <is>
          <t>LAMINA ESTILETE 18MM X 0,50</t>
        </is>
      </c>
      <c r="C1763" s="45" t="inlineStr">
        <is>
          <t>MC</t>
        </is>
      </c>
      <c r="D1763" s="45" t="inlineStr">
        <is>
          <t>UN</t>
        </is>
      </c>
      <c r="E1763" s="45" t="inlineStr">
        <is>
          <t>0132</t>
        </is>
      </c>
      <c r="F1763" s="70" t="inlineStr">
        <is>
          <t>Compras</t>
        </is>
      </c>
      <c r="G1763" s="69" t="n">
        <v>0</v>
      </c>
      <c r="H1763" s="172" t="inlineStr">
        <is>
          <t>Não</t>
        </is>
      </c>
      <c r="I1763" s="50" t="n"/>
    </row>
    <row r="1764">
      <c r="A1764" s="40" t="inlineStr">
        <is>
          <t>000643</t>
        </is>
      </c>
      <c r="B1764" s="41" t="inlineStr">
        <is>
          <t>LAMINA PARA CORTADOR DE LEGUME</t>
        </is>
      </c>
      <c r="C1764" s="42" t="inlineStr">
        <is>
          <t>MC</t>
        </is>
      </c>
      <c r="D1764" s="42" t="inlineStr">
        <is>
          <t>UN</t>
        </is>
      </c>
      <c r="E1764" s="42" t="inlineStr">
        <is>
          <t>0080</t>
        </is>
      </c>
      <c r="F1764" s="70" t="inlineStr">
        <is>
          <t>Compras</t>
        </is>
      </c>
      <c r="G1764" s="71" t="n">
        <v>106</v>
      </c>
      <c r="H1764" s="172" t="inlineStr">
        <is>
          <t>Não</t>
        </is>
      </c>
      <c r="I1764" s="49" t="n"/>
    </row>
    <row r="1765">
      <c r="A1765" s="43" t="inlineStr">
        <is>
          <t>000748</t>
        </is>
      </c>
      <c r="B1765" s="44" t="inlineStr">
        <is>
          <t>LAMINA PARA LIQUIDIFICADOR</t>
        </is>
      </c>
      <c r="C1765" s="45" t="inlineStr">
        <is>
          <t>MC</t>
        </is>
      </c>
      <c r="D1765" s="45" t="inlineStr">
        <is>
          <t>UN</t>
        </is>
      </c>
      <c r="E1765" s="45" t="inlineStr">
        <is>
          <t>0080</t>
        </is>
      </c>
      <c r="F1765" s="70" t="inlineStr">
        <is>
          <t>Compras</t>
        </is>
      </c>
      <c r="G1765" s="69" t="n">
        <v>0</v>
      </c>
      <c r="H1765" s="172" t="inlineStr">
        <is>
          <t>Não</t>
        </is>
      </c>
      <c r="I1765" s="50" t="n"/>
    </row>
    <row r="1766">
      <c r="A1766" s="40" t="inlineStr">
        <is>
          <t>009449</t>
        </is>
      </c>
      <c r="B1766" s="41" t="inlineStr">
        <is>
          <t>LAMINA SERRA</t>
        </is>
      </c>
      <c r="C1766" s="42" t="inlineStr">
        <is>
          <t>MC</t>
        </is>
      </c>
      <c r="D1766" s="42" t="inlineStr">
        <is>
          <t>UN</t>
        </is>
      </c>
      <c r="E1766" s="42" t="inlineStr">
        <is>
          <t>0132</t>
        </is>
      </c>
      <c r="F1766" s="70" t="inlineStr">
        <is>
          <t>Compras</t>
        </is>
      </c>
      <c r="G1766" s="71" t="n">
        <v>16</v>
      </c>
      <c r="H1766" s="172" t="inlineStr">
        <is>
          <t>Não</t>
        </is>
      </c>
      <c r="I1766" s="49" t="n"/>
    </row>
    <row r="1767">
      <c r="A1767" s="43" t="inlineStr">
        <is>
          <t>010099</t>
        </is>
      </c>
      <c r="B1767" s="44" t="inlineStr">
        <is>
          <t>LAMPADA BULBO 09W</t>
        </is>
      </c>
      <c r="C1767" s="45" t="inlineStr">
        <is>
          <t>MC</t>
        </is>
      </c>
      <c r="D1767" s="45" t="inlineStr">
        <is>
          <t>UN</t>
        </is>
      </c>
      <c r="E1767" s="45" t="inlineStr">
        <is>
          <t>0132</t>
        </is>
      </c>
      <c r="F1767" s="70" t="inlineStr">
        <is>
          <t>Compras</t>
        </is>
      </c>
      <c r="G1767" s="66" t="n">
        <v>5.9</v>
      </c>
      <c r="H1767" s="172" t="inlineStr">
        <is>
          <t>Não</t>
        </is>
      </c>
      <c r="I1767" s="50" t="n"/>
    </row>
    <row r="1768">
      <c r="A1768" s="40" t="inlineStr">
        <is>
          <t>009679</t>
        </is>
      </c>
      <c r="B1768" s="41" t="inlineStr">
        <is>
          <t>LAMPADA DE EMERGENCIA</t>
        </is>
      </c>
      <c r="C1768" s="42" t="inlineStr">
        <is>
          <t>MC</t>
        </is>
      </c>
      <c r="D1768" s="42" t="inlineStr">
        <is>
          <t>UN</t>
        </is>
      </c>
      <c r="E1768" s="42" t="inlineStr">
        <is>
          <t>0132</t>
        </is>
      </c>
      <c r="F1768" s="70" t="inlineStr">
        <is>
          <t>Compras</t>
        </is>
      </c>
      <c r="G1768" s="68" t="n">
        <v>0</v>
      </c>
      <c r="H1768" s="172" t="inlineStr">
        <is>
          <t>Não</t>
        </is>
      </c>
      <c r="I1768" s="49" t="n"/>
    </row>
    <row r="1769">
      <c r="A1769" s="43" t="inlineStr">
        <is>
          <t>010144</t>
        </is>
      </c>
      <c r="B1769" s="44" t="inlineStr">
        <is>
          <t>LAMPADA DE LED A60</t>
        </is>
      </c>
      <c r="C1769" s="45" t="inlineStr">
        <is>
          <t>MC</t>
        </is>
      </c>
      <c r="D1769" s="45" t="inlineStr">
        <is>
          <t>UN</t>
        </is>
      </c>
      <c r="E1769" s="45" t="inlineStr">
        <is>
          <t>0132</t>
        </is>
      </c>
      <c r="F1769" s="70" t="inlineStr">
        <is>
          <t>Compras</t>
        </is>
      </c>
      <c r="G1769" s="66" t="n">
        <v>29.9</v>
      </c>
      <c r="H1769" s="172" t="inlineStr">
        <is>
          <t>Não</t>
        </is>
      </c>
      <c r="I1769" s="50" t="n"/>
    </row>
    <row r="1770">
      <c r="A1770" s="40" t="inlineStr">
        <is>
          <t>010142</t>
        </is>
      </c>
      <c r="B1770" s="41" t="inlineStr">
        <is>
          <t>LAMPADA LED 30W 2700K</t>
        </is>
      </c>
      <c r="C1770" s="42" t="inlineStr">
        <is>
          <t>MC</t>
        </is>
      </c>
      <c r="D1770" s="42" t="inlineStr">
        <is>
          <t>UN</t>
        </is>
      </c>
      <c r="E1770" s="42" t="inlineStr">
        <is>
          <t>0132</t>
        </is>
      </c>
      <c r="F1770" s="70" t="inlineStr">
        <is>
          <t>Compras</t>
        </is>
      </c>
      <c r="G1770" s="71" t="n">
        <v>41.6</v>
      </c>
      <c r="H1770" s="172" t="inlineStr">
        <is>
          <t>Não</t>
        </is>
      </c>
      <c r="I1770" s="49" t="n"/>
    </row>
    <row r="1771">
      <c r="A1771" s="43" t="inlineStr">
        <is>
          <t>010143</t>
        </is>
      </c>
      <c r="B1771" s="44" t="inlineStr">
        <is>
          <t>LAMPADA LED 30W 3000K</t>
        </is>
      </c>
      <c r="C1771" s="45" t="inlineStr">
        <is>
          <t>MC</t>
        </is>
      </c>
      <c r="D1771" s="45" t="inlineStr">
        <is>
          <t>UN</t>
        </is>
      </c>
      <c r="E1771" s="45" t="inlineStr">
        <is>
          <t>0132</t>
        </is>
      </c>
      <c r="F1771" s="70" t="inlineStr">
        <is>
          <t>Compras</t>
        </is>
      </c>
      <c r="G1771" s="66" t="n">
        <v>10.31</v>
      </c>
      <c r="H1771" s="172" t="inlineStr">
        <is>
          <t>Não</t>
        </is>
      </c>
      <c r="I1771" s="50" t="n"/>
    </row>
    <row r="1772">
      <c r="A1772" s="40" t="inlineStr">
        <is>
          <t>009394</t>
        </is>
      </c>
      <c r="B1772" s="41" t="inlineStr">
        <is>
          <t>LAMPADA LED 30W 6500K</t>
        </is>
      </c>
      <c r="C1772" s="42" t="inlineStr">
        <is>
          <t>MC</t>
        </is>
      </c>
      <c r="D1772" s="42" t="inlineStr">
        <is>
          <t>UN</t>
        </is>
      </c>
      <c r="E1772" s="42" t="inlineStr">
        <is>
          <t>0132</t>
        </is>
      </c>
      <c r="F1772" s="70" t="inlineStr">
        <is>
          <t>Compras</t>
        </is>
      </c>
      <c r="G1772" s="71" t="n">
        <v>35</v>
      </c>
      <c r="H1772" s="172" t="inlineStr">
        <is>
          <t>Não</t>
        </is>
      </c>
      <c r="I1772" s="49" t="n"/>
    </row>
    <row r="1773">
      <c r="A1773" s="43" t="inlineStr">
        <is>
          <t>009499</t>
        </is>
      </c>
      <c r="B1773" s="44" t="inlineStr">
        <is>
          <t>LAMPADA LED 9W 6500K</t>
        </is>
      </c>
      <c r="C1773" s="45" t="inlineStr">
        <is>
          <t>MC</t>
        </is>
      </c>
      <c r="D1773" s="45" t="inlineStr">
        <is>
          <t>UN</t>
        </is>
      </c>
      <c r="E1773" s="45" t="inlineStr">
        <is>
          <t>0132</t>
        </is>
      </c>
      <c r="F1773" s="70" t="inlineStr">
        <is>
          <t>Compras</t>
        </is>
      </c>
      <c r="G1773" s="66" t="n">
        <v>5.9</v>
      </c>
      <c r="H1773" s="172" t="inlineStr">
        <is>
          <t>Não</t>
        </is>
      </c>
      <c r="I1773" s="50" t="n"/>
    </row>
    <row r="1774">
      <c r="A1774" s="40" t="inlineStr">
        <is>
          <t>009396</t>
        </is>
      </c>
      <c r="B1774" s="41" t="inlineStr">
        <is>
          <t>LAMPADA LED BULBO 12W</t>
        </is>
      </c>
      <c r="C1774" s="42" t="inlineStr">
        <is>
          <t>MC</t>
        </is>
      </c>
      <c r="D1774" s="42" t="inlineStr">
        <is>
          <t>UN</t>
        </is>
      </c>
      <c r="E1774" s="42" t="inlineStr">
        <is>
          <t>0132</t>
        </is>
      </c>
      <c r="F1774" s="70" t="inlineStr">
        <is>
          <t>Compras</t>
        </is>
      </c>
      <c r="G1774" s="71" t="n">
        <v>10</v>
      </c>
      <c r="H1774" s="172" t="inlineStr">
        <is>
          <t>Não</t>
        </is>
      </c>
      <c r="I1774" s="49" t="n"/>
    </row>
    <row r="1775">
      <c r="A1775" s="43" t="inlineStr">
        <is>
          <t>010326</t>
        </is>
      </c>
      <c r="B1775" s="44" t="inlineStr">
        <is>
          <t>LAMPADA LED BULBO 20W 6500K</t>
        </is>
      </c>
      <c r="C1775" s="45" t="inlineStr">
        <is>
          <t>MC</t>
        </is>
      </c>
      <c r="D1775" s="45" t="inlineStr">
        <is>
          <t>UN</t>
        </is>
      </c>
      <c r="E1775" s="45" t="inlineStr">
        <is>
          <t>0132</t>
        </is>
      </c>
      <c r="F1775" s="70" t="inlineStr">
        <is>
          <t>Compras</t>
        </is>
      </c>
      <c r="G1775" s="66" t="n">
        <v>24.9</v>
      </c>
      <c r="H1775" s="172" t="inlineStr">
        <is>
          <t>Não</t>
        </is>
      </c>
      <c r="I1775" s="50" t="n"/>
    </row>
    <row r="1776">
      <c r="A1776" s="40" t="inlineStr">
        <is>
          <t>009500</t>
        </is>
      </c>
      <c r="B1776" s="41" t="inlineStr">
        <is>
          <t>LAMPADA LED BULBO 50W</t>
        </is>
      </c>
      <c r="C1776" s="42" t="inlineStr">
        <is>
          <t>MC</t>
        </is>
      </c>
      <c r="D1776" s="42" t="inlineStr">
        <is>
          <t>UN</t>
        </is>
      </c>
      <c r="E1776" s="42" t="inlineStr">
        <is>
          <t>0132</t>
        </is>
      </c>
      <c r="F1776" s="70" t="inlineStr">
        <is>
          <t>Compras</t>
        </is>
      </c>
      <c r="G1776" s="71" t="n">
        <v>35.9</v>
      </c>
      <c r="H1776" s="172" t="inlineStr">
        <is>
          <t>Não</t>
        </is>
      </c>
      <c r="I1776" s="49" t="n"/>
    </row>
    <row r="1777">
      <c r="A1777" s="43" t="inlineStr">
        <is>
          <t>009606</t>
        </is>
      </c>
      <c r="B1777" s="44" t="inlineStr">
        <is>
          <t>LAMPADA LED DICROICA 4W</t>
        </is>
      </c>
      <c r="C1777" s="45" t="inlineStr">
        <is>
          <t>MC</t>
        </is>
      </c>
      <c r="D1777" s="45" t="inlineStr">
        <is>
          <t>UN</t>
        </is>
      </c>
      <c r="E1777" s="45" t="inlineStr">
        <is>
          <t>0132</t>
        </is>
      </c>
      <c r="F1777" s="70" t="inlineStr">
        <is>
          <t>Compras</t>
        </is>
      </c>
      <c r="G1777" s="66" t="n">
        <v>26.81</v>
      </c>
      <c r="H1777" s="172" t="inlineStr">
        <is>
          <t>Não</t>
        </is>
      </c>
      <c r="I1777" s="50" t="n"/>
    </row>
    <row r="1778">
      <c r="A1778" s="40" t="inlineStr">
        <is>
          <t>009344</t>
        </is>
      </c>
      <c r="B1778" s="41" t="inlineStr">
        <is>
          <t>LAMPADA LED DICROICA 6W 3000K</t>
        </is>
      </c>
      <c r="C1778" s="42" t="inlineStr">
        <is>
          <t>MC</t>
        </is>
      </c>
      <c r="D1778" s="42" t="inlineStr">
        <is>
          <t>UN</t>
        </is>
      </c>
      <c r="E1778" s="42" t="inlineStr">
        <is>
          <t>0132</t>
        </is>
      </c>
      <c r="F1778" s="70" t="inlineStr">
        <is>
          <t>Compras</t>
        </is>
      </c>
      <c r="G1778" s="71" t="n">
        <v>15.9</v>
      </c>
      <c r="H1778" s="172" t="inlineStr">
        <is>
          <t>Não</t>
        </is>
      </c>
      <c r="I1778" s="49" t="n"/>
    </row>
    <row r="1779">
      <c r="A1779" s="43" t="inlineStr">
        <is>
          <t>009358</t>
        </is>
      </c>
      <c r="B1779" s="44" t="inlineStr">
        <is>
          <t>LAMPADA LED HALOSPORT 12W</t>
        </is>
      </c>
      <c r="C1779" s="45" t="inlineStr">
        <is>
          <t>MC</t>
        </is>
      </c>
      <c r="D1779" s="45" t="inlineStr">
        <is>
          <t>UN</t>
        </is>
      </c>
      <c r="E1779" s="45" t="inlineStr">
        <is>
          <t>0132</t>
        </is>
      </c>
      <c r="F1779" s="70" t="inlineStr">
        <is>
          <t>Compras</t>
        </is>
      </c>
      <c r="G1779" s="69" t="n">
        <v>0</v>
      </c>
      <c r="H1779" s="172" t="inlineStr">
        <is>
          <t>Não</t>
        </is>
      </c>
      <c r="I1779" s="50" t="n"/>
    </row>
    <row r="1780">
      <c r="A1780" s="40" t="inlineStr">
        <is>
          <t>010145</t>
        </is>
      </c>
      <c r="B1780" s="41" t="inlineStr">
        <is>
          <t>LAMPADA LED PAR20 6W</t>
        </is>
      </c>
      <c r="C1780" s="42" t="inlineStr">
        <is>
          <t>MC</t>
        </is>
      </c>
      <c r="D1780" s="42" t="inlineStr">
        <is>
          <t>UN</t>
        </is>
      </c>
      <c r="E1780" s="42" t="inlineStr">
        <is>
          <t>0132</t>
        </is>
      </c>
      <c r="F1780" s="70" t="inlineStr">
        <is>
          <t>Compras</t>
        </is>
      </c>
      <c r="G1780" s="71" t="n">
        <v>18.62</v>
      </c>
      <c r="H1780" s="172" t="inlineStr">
        <is>
          <t>Não</t>
        </is>
      </c>
      <c r="I1780" s="49" t="n"/>
    </row>
    <row r="1781">
      <c r="A1781" s="43" t="inlineStr">
        <is>
          <t>009612</t>
        </is>
      </c>
      <c r="B1781" s="44" t="inlineStr">
        <is>
          <t>LAMPADA LED PAR20 7W</t>
        </is>
      </c>
      <c r="C1781" s="45" t="inlineStr">
        <is>
          <t>MC</t>
        </is>
      </c>
      <c r="D1781" s="45" t="inlineStr">
        <is>
          <t>UN</t>
        </is>
      </c>
      <c r="E1781" s="45" t="inlineStr">
        <is>
          <t>0132</t>
        </is>
      </c>
      <c r="F1781" s="70" t="inlineStr">
        <is>
          <t>Compras</t>
        </is>
      </c>
      <c r="G1781" s="66" t="n">
        <v>26.5</v>
      </c>
      <c r="H1781" s="172" t="inlineStr">
        <is>
          <t>Não</t>
        </is>
      </c>
      <c r="I1781" s="50" t="n"/>
    </row>
    <row r="1782">
      <c r="A1782" s="40" t="inlineStr">
        <is>
          <t>010262</t>
        </is>
      </c>
      <c r="B1782" s="41" t="inlineStr">
        <is>
          <t>LAMPADA LED VELA 6W 2700K</t>
        </is>
      </c>
      <c r="C1782" s="42" t="inlineStr">
        <is>
          <t>MC</t>
        </is>
      </c>
      <c r="D1782" s="42" t="inlineStr">
        <is>
          <t>UN</t>
        </is>
      </c>
      <c r="E1782" s="42" t="inlineStr">
        <is>
          <t>0132</t>
        </is>
      </c>
      <c r="F1782" s="70" t="inlineStr">
        <is>
          <t>Compras</t>
        </is>
      </c>
      <c r="G1782" s="71" t="n">
        <v>24.4</v>
      </c>
      <c r="H1782" s="172" t="inlineStr">
        <is>
          <t>Não</t>
        </is>
      </c>
      <c r="I1782" s="49" t="n"/>
    </row>
    <row r="1783">
      <c r="A1783" s="43" t="inlineStr">
        <is>
          <t>000724</t>
        </is>
      </c>
      <c r="B1783" s="44" t="inlineStr">
        <is>
          <t>LAMPADA PARA PROJETOR</t>
        </is>
      </c>
      <c r="C1783" s="45" t="inlineStr">
        <is>
          <t>AI</t>
        </is>
      </c>
      <c r="D1783" s="45" t="inlineStr">
        <is>
          <t>UN</t>
        </is>
      </c>
      <c r="E1783" s="45" t="inlineStr">
        <is>
          <t>0002</t>
        </is>
      </c>
      <c r="F1783" s="70" t="inlineStr">
        <is>
          <t>Compras</t>
        </is>
      </c>
      <c r="G1783" s="69" t="n">
        <v>0</v>
      </c>
      <c r="H1783" s="172" t="inlineStr">
        <is>
          <t>Não</t>
        </is>
      </c>
      <c r="I1783" s="50" t="n"/>
    </row>
    <row r="1784">
      <c r="A1784" s="40" t="inlineStr">
        <is>
          <t>002008</t>
        </is>
      </c>
      <c r="B1784" s="41" t="inlineStr">
        <is>
          <t>LANCHE CARNE LOUCA</t>
        </is>
      </c>
      <c r="C1784" s="42" t="inlineStr">
        <is>
          <t>PA</t>
        </is>
      </c>
      <c r="D1784" s="42" t="inlineStr">
        <is>
          <t>UN</t>
        </is>
      </c>
      <c r="E1784" s="42" t="inlineStr">
        <is>
          <t>0031</t>
        </is>
      </c>
      <c r="F1784" s="65" t="inlineStr">
        <is>
          <t>Venda</t>
        </is>
      </c>
      <c r="G1784" s="68" t="n">
        <v>0</v>
      </c>
      <c r="H1784" s="177" t="inlineStr">
        <is>
          <t>Sim</t>
        </is>
      </c>
      <c r="I1784" s="178" t="n"/>
    </row>
    <row r="1785">
      <c r="A1785" s="43" t="inlineStr">
        <is>
          <t>009689</t>
        </is>
      </c>
      <c r="B1785" s="44" t="inlineStr">
        <is>
          <t>LAPADA TUBULAR 18W</t>
        </is>
      </c>
      <c r="C1785" s="45" t="inlineStr">
        <is>
          <t>MC</t>
        </is>
      </c>
      <c r="D1785" s="45" t="inlineStr">
        <is>
          <t>UN</t>
        </is>
      </c>
      <c r="E1785" s="45" t="inlineStr">
        <is>
          <t>0132</t>
        </is>
      </c>
      <c r="F1785" s="70" t="inlineStr">
        <is>
          <t>Compras</t>
        </is>
      </c>
      <c r="G1785" s="66" t="n">
        <v>24.9</v>
      </c>
      <c r="H1785" s="172" t="inlineStr">
        <is>
          <t>Não</t>
        </is>
      </c>
      <c r="I1785" s="50" t="n"/>
    </row>
    <row r="1786">
      <c r="A1786" s="40" t="inlineStr">
        <is>
          <t>009617</t>
        </is>
      </c>
      <c r="B1786" s="41" t="inlineStr">
        <is>
          <t>LAPIS DE CARPINTEIRO</t>
        </is>
      </c>
      <c r="C1786" s="42" t="inlineStr">
        <is>
          <t>MC</t>
        </is>
      </c>
      <c r="D1786" s="42" t="inlineStr">
        <is>
          <t>UN</t>
        </is>
      </c>
      <c r="E1786" s="42" t="inlineStr">
        <is>
          <t>0132</t>
        </is>
      </c>
      <c r="F1786" s="70" t="inlineStr">
        <is>
          <t>Compras</t>
        </is>
      </c>
      <c r="G1786" s="71" t="n">
        <v>4</v>
      </c>
      <c r="H1786" s="172" t="inlineStr">
        <is>
          <t>Não</t>
        </is>
      </c>
      <c r="I1786" s="49" t="n"/>
    </row>
    <row r="1787">
      <c r="A1787" s="43" t="inlineStr">
        <is>
          <t>009544</t>
        </is>
      </c>
      <c r="B1787" s="44" t="inlineStr">
        <is>
          <t>LAPIS DE COR 24 CORES</t>
        </is>
      </c>
      <c r="C1787" s="45" t="inlineStr">
        <is>
          <t>MC</t>
        </is>
      </c>
      <c r="D1787" s="45" t="inlineStr">
        <is>
          <t>UN</t>
        </is>
      </c>
      <c r="E1787" s="45" t="inlineStr">
        <is>
          <t>0134</t>
        </is>
      </c>
      <c r="F1787" s="70" t="inlineStr">
        <is>
          <t>Compras</t>
        </is>
      </c>
      <c r="G1787" s="69" t="n">
        <v>0</v>
      </c>
      <c r="H1787" s="172" t="inlineStr">
        <is>
          <t>Não</t>
        </is>
      </c>
      <c r="I1787" s="50" t="n"/>
    </row>
    <row r="1788">
      <c r="A1788" s="40" t="inlineStr">
        <is>
          <t>000176</t>
        </is>
      </c>
      <c r="B1788" s="41" t="inlineStr">
        <is>
          <t>LAPIS PRETO</t>
        </is>
      </c>
      <c r="C1788" s="42" t="inlineStr">
        <is>
          <t>MC</t>
        </is>
      </c>
      <c r="D1788" s="42" t="inlineStr">
        <is>
          <t>UN</t>
        </is>
      </c>
      <c r="E1788" s="42" t="inlineStr">
        <is>
          <t>0001</t>
        </is>
      </c>
      <c r="F1788" s="70" t="inlineStr">
        <is>
          <t>Compras</t>
        </is>
      </c>
      <c r="G1788" s="71" t="n">
        <v>0.46</v>
      </c>
      <c r="H1788" s="172" t="inlineStr">
        <is>
          <t>Não</t>
        </is>
      </c>
      <c r="I1788" s="49" t="n"/>
    </row>
    <row r="1789">
      <c r="A1789" s="43" t="inlineStr">
        <is>
          <t>000490</t>
        </is>
      </c>
      <c r="B1789" s="44" t="inlineStr">
        <is>
          <t>LARANJA PERA FRUTA</t>
        </is>
      </c>
      <c r="C1789" s="45" t="inlineStr">
        <is>
          <t>MP</t>
        </is>
      </c>
      <c r="D1789" s="45" t="inlineStr">
        <is>
          <t>KG</t>
        </is>
      </c>
      <c r="E1789" s="45" t="inlineStr">
        <is>
          <t>0036</t>
        </is>
      </c>
      <c r="F1789" s="70" t="inlineStr">
        <is>
          <t>Compras</t>
        </is>
      </c>
      <c r="G1789" s="66" t="n">
        <v>2.18</v>
      </c>
      <c r="H1789" s="172" t="inlineStr">
        <is>
          <t>Não</t>
        </is>
      </c>
      <c r="I1789" s="50" t="n"/>
    </row>
    <row r="1790">
      <c r="A1790" s="40" t="inlineStr">
        <is>
          <t>000721</t>
        </is>
      </c>
      <c r="B1790" s="41" t="inlineStr">
        <is>
          <t>LAVADORA WAP</t>
        </is>
      </c>
      <c r="C1790" s="42" t="inlineStr">
        <is>
          <t>AI</t>
        </is>
      </c>
      <c r="D1790" s="42" t="inlineStr">
        <is>
          <t>UN</t>
        </is>
      </c>
      <c r="E1790" s="42" t="inlineStr">
        <is>
          <t>0002</t>
        </is>
      </c>
      <c r="F1790" s="70" t="inlineStr">
        <is>
          <t>Compras</t>
        </is>
      </c>
      <c r="G1790" s="68" t="n">
        <v>0</v>
      </c>
      <c r="H1790" s="172" t="inlineStr">
        <is>
          <t>Não</t>
        </is>
      </c>
      <c r="I1790" s="49" t="n"/>
    </row>
    <row r="1791">
      <c r="A1791" s="43" t="inlineStr">
        <is>
          <t>001366</t>
        </is>
      </c>
      <c r="B1791" s="44" t="inlineStr">
        <is>
          <t>LEITE</t>
        </is>
      </c>
      <c r="C1791" s="45" t="inlineStr">
        <is>
          <t>PA</t>
        </is>
      </c>
      <c r="D1791" s="45" t="inlineStr">
        <is>
          <t>UN</t>
        </is>
      </c>
      <c r="E1791" s="45" t="inlineStr">
        <is>
          <t>0091</t>
        </is>
      </c>
      <c r="F1791" s="65" t="inlineStr">
        <is>
          <t>Venda</t>
        </is>
      </c>
      <c r="G1791" s="66" t="n">
        <v>5.11</v>
      </c>
      <c r="H1791" s="172" t="inlineStr">
        <is>
          <t>Não</t>
        </is>
      </c>
      <c r="I1791" s="48" t="inlineStr">
        <is>
          <t>7898905687180</t>
        </is>
      </c>
    </row>
    <row r="1792">
      <c r="A1792" s="40" t="inlineStr">
        <is>
          <t>000396</t>
        </is>
      </c>
      <c r="B1792" s="41" t="inlineStr">
        <is>
          <t>LEITE CONDENSADO MOCA 2,6KG</t>
        </is>
      </c>
      <c r="C1792" s="42" t="inlineStr">
        <is>
          <t>MP</t>
        </is>
      </c>
      <c r="D1792" s="42" t="inlineStr">
        <is>
          <t>KG</t>
        </is>
      </c>
      <c r="E1792" s="42" t="inlineStr">
        <is>
          <t>0029</t>
        </is>
      </c>
      <c r="F1792" s="70" t="inlineStr">
        <is>
          <t>Compras</t>
        </is>
      </c>
      <c r="G1792" s="71" t="n">
        <v>27.5385</v>
      </c>
      <c r="H1792" s="172" t="inlineStr">
        <is>
          <t>Não</t>
        </is>
      </c>
      <c r="I1792" s="49" t="n"/>
    </row>
    <row r="1793">
      <c r="A1793" s="43" t="inlineStr">
        <is>
          <t>000397</t>
        </is>
      </c>
      <c r="B1793" s="44" t="inlineStr">
        <is>
          <t>LEITE DE COCO 200ML</t>
        </is>
      </c>
      <c r="C1793" s="45" t="inlineStr">
        <is>
          <t>MP</t>
        </is>
      </c>
      <c r="D1793" s="45" t="inlineStr">
        <is>
          <t>LT</t>
        </is>
      </c>
      <c r="E1793" s="45" t="inlineStr">
        <is>
          <t>0029</t>
        </is>
      </c>
      <c r="F1793" s="70" t="inlineStr">
        <is>
          <t>Compras</t>
        </is>
      </c>
      <c r="G1793" s="66" t="n">
        <v>18.98</v>
      </c>
      <c r="H1793" s="172" t="inlineStr">
        <is>
          <t>Não</t>
        </is>
      </c>
      <c r="I1793" s="50" t="n"/>
    </row>
    <row r="1794">
      <c r="A1794" s="40" t="inlineStr">
        <is>
          <t>000395</t>
        </is>
      </c>
      <c r="B1794" s="41" t="inlineStr">
        <is>
          <t>LEITE INTEGRAL 1LT</t>
        </is>
      </c>
      <c r="C1794" s="42" t="inlineStr">
        <is>
          <t>MP</t>
        </is>
      </c>
      <c r="D1794" s="42" t="inlineStr">
        <is>
          <t>LT</t>
        </is>
      </c>
      <c r="E1794" s="42" t="inlineStr">
        <is>
          <t>0041</t>
        </is>
      </c>
      <c r="F1794" s="70" t="inlineStr">
        <is>
          <t>Compras</t>
        </is>
      </c>
      <c r="G1794" s="71" t="n">
        <v>5.49</v>
      </c>
      <c r="H1794" s="172" t="inlineStr">
        <is>
          <t>Não</t>
        </is>
      </c>
      <c r="I1794" s="49" t="n"/>
    </row>
    <row r="1795">
      <c r="A1795" s="43" t="inlineStr">
        <is>
          <t>000654</t>
        </is>
      </c>
      <c r="B1795" s="44" t="inlineStr">
        <is>
          <t>LEITEIRA</t>
        </is>
      </c>
      <c r="C1795" s="45" t="inlineStr">
        <is>
          <t>MC</t>
        </is>
      </c>
      <c r="D1795" s="45" t="inlineStr">
        <is>
          <t>UN</t>
        </is>
      </c>
      <c r="E1795" s="45" t="inlineStr">
        <is>
          <t>0019</t>
        </is>
      </c>
      <c r="F1795" s="70" t="inlineStr">
        <is>
          <t>Compras</t>
        </is>
      </c>
      <c r="G1795" s="66" t="n">
        <v>126.7</v>
      </c>
      <c r="H1795" s="172" t="inlineStr">
        <is>
          <t>Não</t>
        </is>
      </c>
      <c r="I1795" s="50" t="n"/>
    </row>
    <row r="1796">
      <c r="A1796" s="40" t="inlineStr">
        <is>
          <t>009978</t>
        </is>
      </c>
      <c r="B1796" s="41" t="inlineStr">
        <is>
          <t>LIAGACAO FLEXIVEL ¾ 100CM</t>
        </is>
      </c>
      <c r="C1796" s="42" t="inlineStr">
        <is>
          <t>MC</t>
        </is>
      </c>
      <c r="D1796" s="42" t="inlineStr">
        <is>
          <t>UN</t>
        </is>
      </c>
      <c r="E1796" s="42" t="inlineStr">
        <is>
          <t>0132</t>
        </is>
      </c>
      <c r="F1796" s="70" t="inlineStr">
        <is>
          <t>Compras</t>
        </is>
      </c>
      <c r="G1796" s="71" t="n">
        <v>255</v>
      </c>
      <c r="H1796" s="172" t="inlineStr">
        <is>
          <t>Não</t>
        </is>
      </c>
      <c r="I1796" s="49" t="n"/>
    </row>
    <row r="1797">
      <c r="A1797" s="43" t="inlineStr">
        <is>
          <t>001976</t>
        </is>
      </c>
      <c r="B1797" s="44" t="inlineStr">
        <is>
          <t>LICHIA EM CALDA 250GR</t>
        </is>
      </c>
      <c r="C1797" s="45" t="inlineStr">
        <is>
          <t>MP</t>
        </is>
      </c>
      <c r="D1797" s="45" t="inlineStr">
        <is>
          <t>KG</t>
        </is>
      </c>
      <c r="E1797" s="45" t="inlineStr">
        <is>
          <t>0029</t>
        </is>
      </c>
      <c r="F1797" s="70" t="inlineStr">
        <is>
          <t>Compras</t>
        </is>
      </c>
      <c r="G1797" s="66" t="n">
        <v>88</v>
      </c>
      <c r="H1797" s="172" t="inlineStr">
        <is>
          <t>Não</t>
        </is>
      </c>
      <c r="I1797" s="50" t="n"/>
    </row>
    <row r="1798">
      <c r="A1798" s="40" t="inlineStr">
        <is>
          <t>000206</t>
        </is>
      </c>
      <c r="B1798" s="41" t="inlineStr">
        <is>
          <t>LICOR 43 700ML</t>
        </is>
      </c>
      <c r="C1798" s="42" t="inlineStr">
        <is>
          <t>ME</t>
        </is>
      </c>
      <c r="D1798" s="42" t="inlineStr">
        <is>
          <t>LT</t>
        </is>
      </c>
      <c r="E1798" s="42" t="inlineStr">
        <is>
          <t>0043</t>
        </is>
      </c>
      <c r="F1798" s="70" t="inlineStr">
        <is>
          <t>Compras</t>
        </is>
      </c>
      <c r="G1798" s="71" t="n">
        <v>199.8571</v>
      </c>
      <c r="H1798" s="172" t="inlineStr">
        <is>
          <t>Não</t>
        </is>
      </c>
      <c r="I1798" s="49" t="n"/>
    </row>
    <row r="1799">
      <c r="A1799" s="43" t="inlineStr">
        <is>
          <t>000042</t>
        </is>
      </c>
      <c r="B1799" s="44" t="inlineStr">
        <is>
          <t>LICOR 43 DOSE</t>
        </is>
      </c>
      <c r="C1799" s="45" t="inlineStr">
        <is>
          <t>PA</t>
        </is>
      </c>
      <c r="D1799" s="45" t="inlineStr">
        <is>
          <t>UN</t>
        </is>
      </c>
      <c r="E1799" s="45" t="inlineStr">
        <is>
          <t>0119</t>
        </is>
      </c>
      <c r="F1799" s="65" t="inlineStr">
        <is>
          <t>Venda</t>
        </is>
      </c>
      <c r="G1799" s="69" t="n">
        <v>0</v>
      </c>
      <c r="H1799" s="172" t="inlineStr">
        <is>
          <t>Não</t>
        </is>
      </c>
      <c r="I1799" s="48" t="inlineStr">
        <is>
          <t>102006</t>
        </is>
      </c>
    </row>
    <row r="1800">
      <c r="A1800" s="40" t="inlineStr">
        <is>
          <t>001225</t>
        </is>
      </c>
      <c r="B1800" s="41" t="inlineStr">
        <is>
          <t>LICOR 43 GARRAFA</t>
        </is>
      </c>
      <c r="C1800" s="42" t="inlineStr">
        <is>
          <t>MR</t>
        </is>
      </c>
      <c r="D1800" s="42" t="inlineStr">
        <is>
          <t>UN</t>
        </is>
      </c>
      <c r="E1800" s="42" t="inlineStr">
        <is>
          <t>0119</t>
        </is>
      </c>
      <c r="F1800" s="65" t="inlineStr">
        <is>
          <t>Venda</t>
        </is>
      </c>
      <c r="G1800" s="71" t="n">
        <v>185.5714</v>
      </c>
      <c r="H1800" s="172" t="inlineStr">
        <is>
          <t>Não</t>
        </is>
      </c>
      <c r="I1800" s="47" t="inlineStr">
        <is>
          <t>9003571</t>
        </is>
      </c>
    </row>
    <row r="1801">
      <c r="A1801" s="43" t="inlineStr">
        <is>
          <t>002254</t>
        </is>
      </c>
      <c r="B1801" s="44" t="inlineStr">
        <is>
          <t>LICOR BALLENA MORANGO 750ML</t>
        </is>
      </c>
      <c r="C1801" s="45" t="inlineStr">
        <is>
          <t>ME</t>
        </is>
      </c>
      <c r="D1801" s="45" t="inlineStr">
        <is>
          <t>LT</t>
        </is>
      </c>
      <c r="E1801" s="45" t="inlineStr">
        <is>
          <t>0043</t>
        </is>
      </c>
      <c r="F1801" s="70" t="inlineStr">
        <is>
          <t>Compras</t>
        </is>
      </c>
      <c r="G1801" s="66" t="n">
        <v>146.5333</v>
      </c>
      <c r="H1801" s="172" t="inlineStr">
        <is>
          <t>Não</t>
        </is>
      </c>
      <c r="I1801" s="50" t="n"/>
    </row>
    <row r="1802">
      <c r="A1802" s="40" t="inlineStr">
        <is>
          <t>002049</t>
        </is>
      </c>
      <c r="B1802" s="41" t="inlineStr">
        <is>
          <t>LICOR BAUNNY 750ML</t>
        </is>
      </c>
      <c r="C1802" s="42" t="inlineStr">
        <is>
          <t>ME</t>
        </is>
      </c>
      <c r="D1802" s="42" t="inlineStr">
        <is>
          <t>LT</t>
        </is>
      </c>
      <c r="E1802" s="42" t="inlineStr">
        <is>
          <t>0055</t>
        </is>
      </c>
      <c r="F1802" s="70" t="inlineStr">
        <is>
          <t>Compras</t>
        </is>
      </c>
      <c r="G1802" s="71" t="n">
        <v>60</v>
      </c>
      <c r="H1802" s="172" t="inlineStr">
        <is>
          <t>Não</t>
        </is>
      </c>
      <c r="I1802" s="49" t="n"/>
    </row>
    <row r="1803">
      <c r="A1803" s="43" t="inlineStr">
        <is>
          <t>001683</t>
        </is>
      </c>
      <c r="B1803" s="44" t="inlineStr">
        <is>
          <t>LICOR BAUNNY GARRAFA</t>
        </is>
      </c>
      <c r="C1803" s="45" t="inlineStr">
        <is>
          <t>MR</t>
        </is>
      </c>
      <c r="D1803" s="45" t="inlineStr">
        <is>
          <t>UN</t>
        </is>
      </c>
      <c r="E1803" s="45" t="inlineStr">
        <is>
          <t>0119</t>
        </is>
      </c>
      <c r="F1803" s="65" t="inlineStr">
        <is>
          <t>Venda</t>
        </is>
      </c>
      <c r="G1803" s="66" t="n">
        <v>60</v>
      </c>
      <c r="H1803" s="172" t="inlineStr">
        <is>
          <t>Não</t>
        </is>
      </c>
      <c r="I1803" s="48" t="inlineStr">
        <is>
          <t>78989056877196</t>
        </is>
      </c>
    </row>
    <row r="1804">
      <c r="A1804" s="40" t="inlineStr">
        <is>
          <t>001697</t>
        </is>
      </c>
      <c r="B1804" s="41" t="inlineStr">
        <is>
          <t>LICOR BAUNY DOSE</t>
        </is>
      </c>
      <c r="C1804" s="42" t="inlineStr">
        <is>
          <t>PA</t>
        </is>
      </c>
      <c r="D1804" s="42" t="inlineStr">
        <is>
          <t>UN</t>
        </is>
      </c>
      <c r="E1804" s="42" t="inlineStr">
        <is>
          <t>0119</t>
        </is>
      </c>
      <c r="F1804" s="65" t="inlineStr">
        <is>
          <t>Venda</t>
        </is>
      </c>
      <c r="G1804" s="68" t="n">
        <v>0</v>
      </c>
      <c r="H1804" s="173" t="inlineStr">
        <is>
          <t>Sim</t>
        </is>
      </c>
      <c r="I1804" s="49" t="n"/>
    </row>
    <row r="1805">
      <c r="A1805" s="43" t="inlineStr">
        <is>
          <t>001798</t>
        </is>
      </c>
      <c r="B1805" s="44" t="inlineStr">
        <is>
          <t>LICOR BAUNY DOSE</t>
        </is>
      </c>
      <c r="C1805" s="45" t="inlineStr">
        <is>
          <t>PA</t>
        </is>
      </c>
      <c r="D1805" s="45" t="inlineStr">
        <is>
          <t>UN</t>
        </is>
      </c>
      <c r="E1805" s="45" t="inlineStr">
        <is>
          <t>0119</t>
        </is>
      </c>
      <c r="F1805" s="65" t="inlineStr">
        <is>
          <t>Venda</t>
        </is>
      </c>
      <c r="G1805" s="69" t="n">
        <v>0</v>
      </c>
      <c r="H1805" s="172" t="inlineStr">
        <is>
          <t>Não</t>
        </is>
      </c>
      <c r="I1805" s="48" t="inlineStr">
        <is>
          <t>78989056877195</t>
        </is>
      </c>
    </row>
    <row r="1806">
      <c r="A1806" s="40" t="inlineStr">
        <is>
          <t>000356</t>
        </is>
      </c>
      <c r="B1806" s="41" t="inlineStr">
        <is>
          <t>LICOR CHOCOLATE</t>
        </is>
      </c>
      <c r="C1806" s="42" t="inlineStr">
        <is>
          <t>MR</t>
        </is>
      </c>
      <c r="D1806" s="42" t="inlineStr">
        <is>
          <t>LT</t>
        </is>
      </c>
      <c r="E1806" s="42" t="inlineStr">
        <is>
          <t>0054</t>
        </is>
      </c>
      <c r="F1806" s="65" t="inlineStr">
        <is>
          <t>Venda</t>
        </is>
      </c>
      <c r="G1806" s="68" t="n">
        <v>0</v>
      </c>
      <c r="H1806" s="173" t="inlineStr">
        <is>
          <t>Sim</t>
        </is>
      </c>
      <c r="I1806" s="49" t="n"/>
    </row>
    <row r="1807">
      <c r="A1807" s="43" t="inlineStr">
        <is>
          <t>000346</t>
        </is>
      </c>
      <c r="B1807" s="44" t="inlineStr">
        <is>
          <t>LICOR COINTREAU 700ML</t>
        </is>
      </c>
      <c r="C1807" s="45" t="inlineStr">
        <is>
          <t>ME</t>
        </is>
      </c>
      <c r="D1807" s="45" t="inlineStr">
        <is>
          <t>LT</t>
        </is>
      </c>
      <c r="E1807" s="45" t="inlineStr">
        <is>
          <t>0043</t>
        </is>
      </c>
      <c r="F1807" s="70" t="inlineStr">
        <is>
          <t>Compras</t>
        </is>
      </c>
      <c r="G1807" s="66" t="n">
        <v>80.70999999999999</v>
      </c>
      <c r="H1807" s="172" t="inlineStr">
        <is>
          <t>Não</t>
        </is>
      </c>
      <c r="I1807" s="50" t="n"/>
    </row>
    <row r="1808">
      <c r="A1808" s="40" t="inlineStr">
        <is>
          <t>001920</t>
        </is>
      </c>
      <c r="B1808" s="41" t="inlineStr">
        <is>
          <t>LICOR DE AMENDOAS 750 ML APTK</t>
        </is>
      </c>
      <c r="C1808" s="42" t="inlineStr">
        <is>
          <t>ME</t>
        </is>
      </c>
      <c r="D1808" s="42" t="inlineStr">
        <is>
          <t>LT</t>
        </is>
      </c>
      <c r="E1808" s="42" t="inlineStr">
        <is>
          <t>0138</t>
        </is>
      </c>
      <c r="F1808" s="70" t="inlineStr">
        <is>
          <t>Compras</t>
        </is>
      </c>
      <c r="G1808" s="71" t="n">
        <v>66.66670000000001</v>
      </c>
      <c r="H1808" s="172" t="inlineStr">
        <is>
          <t>Não</t>
        </is>
      </c>
      <c r="I1808" s="49" t="n"/>
    </row>
    <row r="1809">
      <c r="A1809" s="43" t="inlineStr">
        <is>
          <t>000357</t>
        </is>
      </c>
      <c r="B1809" s="44" t="inlineStr">
        <is>
          <t>LICOR DE CACAU</t>
        </is>
      </c>
      <c r="C1809" s="45" t="inlineStr">
        <is>
          <t>MR</t>
        </is>
      </c>
      <c r="D1809" s="45" t="inlineStr">
        <is>
          <t>LT</t>
        </is>
      </c>
      <c r="E1809" s="45" t="inlineStr">
        <is>
          <t>0103</t>
        </is>
      </c>
      <c r="F1809" s="65" t="inlineStr">
        <is>
          <t>Venda</t>
        </is>
      </c>
      <c r="G1809" s="69" t="n">
        <v>0</v>
      </c>
      <c r="H1809" s="173" t="inlineStr">
        <is>
          <t>Sim</t>
        </is>
      </c>
      <c r="I1809" s="50" t="n"/>
    </row>
    <row r="1810">
      <c r="A1810" s="40" t="inlineStr">
        <is>
          <t>001938</t>
        </is>
      </c>
      <c r="B1810" s="41" t="inlineStr">
        <is>
          <t>LICOR DE COCO - ANIVERSARIANTE</t>
        </is>
      </c>
      <c r="C1810" s="42" t="inlineStr">
        <is>
          <t>MR</t>
        </is>
      </c>
      <c r="D1810" s="42" t="inlineStr">
        <is>
          <t>UN</t>
        </is>
      </c>
      <c r="E1810" s="42" t="inlineStr">
        <is>
          <t>0119</t>
        </is>
      </c>
      <c r="F1810" s="65" t="inlineStr">
        <is>
          <t>Venda</t>
        </is>
      </c>
      <c r="G1810" s="68" t="n">
        <v>0</v>
      </c>
      <c r="H1810" s="172" t="inlineStr">
        <is>
          <t>Não</t>
        </is>
      </c>
      <c r="I1810" s="47" t="inlineStr">
        <is>
          <t>78989056877246</t>
        </is>
      </c>
    </row>
    <row r="1811">
      <c r="A1811" s="43" t="inlineStr">
        <is>
          <t>001917</t>
        </is>
      </c>
      <c r="B1811" s="44" t="inlineStr">
        <is>
          <t>LICOR DE COCO 750 ML APTK</t>
        </is>
      </c>
      <c r="C1811" s="45" t="inlineStr">
        <is>
          <t>ME</t>
        </is>
      </c>
      <c r="D1811" s="45" t="inlineStr">
        <is>
          <t>LT</t>
        </is>
      </c>
      <c r="E1811" s="45" t="inlineStr">
        <is>
          <t>0138</t>
        </is>
      </c>
      <c r="F1811" s="70" t="inlineStr">
        <is>
          <t>Compras</t>
        </is>
      </c>
      <c r="G1811" s="66" t="n">
        <v>100</v>
      </c>
      <c r="H1811" s="172" t="inlineStr">
        <is>
          <t>Não</t>
        </is>
      </c>
      <c r="I1811" s="50" t="n"/>
    </row>
    <row r="1812">
      <c r="A1812" s="40" t="inlineStr">
        <is>
          <t>009823</t>
        </is>
      </c>
      <c r="B1812" s="41" t="inlineStr">
        <is>
          <t>LICOR LIMONCELLO BAG 5LT</t>
        </is>
      </c>
      <c r="C1812" s="42" t="inlineStr">
        <is>
          <t>ME</t>
        </is>
      </c>
      <c r="D1812" s="42" t="inlineStr">
        <is>
          <t>LT</t>
        </is>
      </c>
      <c r="E1812" s="42" t="inlineStr">
        <is>
          <t>0043</t>
        </is>
      </c>
      <c r="F1812" s="70" t="inlineStr">
        <is>
          <t>Compras</t>
        </is>
      </c>
      <c r="G1812" s="71" t="n">
        <v>107.1381</v>
      </c>
      <c r="H1812" s="172" t="inlineStr">
        <is>
          <t>Não</t>
        </is>
      </c>
      <c r="I1812" s="49" t="n"/>
    </row>
    <row r="1813">
      <c r="A1813" s="43" t="inlineStr">
        <is>
          <t>009485</t>
        </is>
      </c>
      <c r="B1813" s="44" t="inlineStr">
        <is>
          <t>LICOR MELLY MEL E LIMAO 750ML</t>
        </is>
      </c>
      <c r="C1813" s="45" t="inlineStr">
        <is>
          <t>ME</t>
        </is>
      </c>
      <c r="D1813" s="45" t="inlineStr">
        <is>
          <t>LT</t>
        </is>
      </c>
      <c r="E1813" s="45" t="inlineStr">
        <is>
          <t>0043</t>
        </is>
      </c>
      <c r="F1813" s="70" t="inlineStr">
        <is>
          <t>Compras</t>
        </is>
      </c>
      <c r="G1813" s="66" t="n">
        <v>34</v>
      </c>
      <c r="H1813" s="172" t="inlineStr">
        <is>
          <t>Não</t>
        </is>
      </c>
      <c r="I1813" s="50" t="n"/>
    </row>
    <row r="1814">
      <c r="A1814" s="40" t="inlineStr">
        <is>
          <t>010294</t>
        </is>
      </c>
      <c r="B1814" s="41" t="inlineStr">
        <is>
          <t>LICOR MELLY MEL E LIMAO DOSE</t>
        </is>
      </c>
      <c r="C1814" s="42" t="inlineStr">
        <is>
          <t>PA</t>
        </is>
      </c>
      <c r="D1814" s="42" t="inlineStr">
        <is>
          <t>UN</t>
        </is>
      </c>
      <c r="E1814" s="42" t="inlineStr">
        <is>
          <t>0043</t>
        </is>
      </c>
      <c r="F1814" s="65" t="inlineStr">
        <is>
          <t>Venda</t>
        </is>
      </c>
      <c r="G1814" s="68" t="n">
        <v>0</v>
      </c>
      <c r="H1814" s="172" t="inlineStr">
        <is>
          <t>Não</t>
        </is>
      </c>
      <c r="I1814" s="47" t="inlineStr">
        <is>
          <t>78989056877398</t>
        </is>
      </c>
    </row>
    <row r="1815">
      <c r="A1815" s="43" t="inlineStr">
        <is>
          <t>000358</t>
        </is>
      </c>
      <c r="B1815" s="44" t="inlineStr">
        <is>
          <t>LICOR MENTA</t>
        </is>
      </c>
      <c r="C1815" s="45" t="inlineStr">
        <is>
          <t>MR</t>
        </is>
      </c>
      <c r="D1815" s="45" t="inlineStr">
        <is>
          <t>LT</t>
        </is>
      </c>
      <c r="E1815" s="45" t="inlineStr">
        <is>
          <t>0103</t>
        </is>
      </c>
      <c r="F1815" s="65" t="inlineStr">
        <is>
          <t>Venda</t>
        </is>
      </c>
      <c r="G1815" s="69" t="n">
        <v>0</v>
      </c>
      <c r="H1815" s="173" t="inlineStr">
        <is>
          <t>Sim</t>
        </is>
      </c>
      <c r="I1815" s="50" t="n"/>
    </row>
    <row r="1816">
      <c r="A1816" s="40" t="inlineStr">
        <is>
          <t>000359</t>
        </is>
      </c>
      <c r="B1816" s="41" t="inlineStr">
        <is>
          <t>LICOR PESSEGO PEACH STOCK 720ML</t>
        </is>
      </c>
      <c r="C1816" s="42" t="inlineStr">
        <is>
          <t>ME</t>
        </is>
      </c>
      <c r="D1816" s="42" t="inlineStr">
        <is>
          <t>LT</t>
        </is>
      </c>
      <c r="E1816" s="42" t="inlineStr">
        <is>
          <t>0043</t>
        </is>
      </c>
      <c r="F1816" s="70" t="inlineStr">
        <is>
          <t>Compras</t>
        </is>
      </c>
      <c r="G1816" s="71" t="n">
        <v>55.5556</v>
      </c>
      <c r="H1816" s="172" t="inlineStr">
        <is>
          <t>Não</t>
        </is>
      </c>
      <c r="I1816" s="49" t="n"/>
    </row>
    <row r="1817">
      <c r="A1817" s="43" t="inlineStr">
        <is>
          <t>001512</t>
        </is>
      </c>
      <c r="B1817" s="44" t="inlineStr">
        <is>
          <t>LIGA DO BEM</t>
        </is>
      </c>
      <c r="C1817" s="45" t="inlineStr">
        <is>
          <t>MR</t>
        </is>
      </c>
      <c r="D1817" s="45" t="inlineStr">
        <is>
          <t>UN</t>
        </is>
      </c>
      <c r="E1817" s="45" t="inlineStr">
        <is>
          <t>0107</t>
        </is>
      </c>
      <c r="F1817" s="65" t="inlineStr">
        <is>
          <t>Venda</t>
        </is>
      </c>
      <c r="G1817" s="69" t="n">
        <v>0</v>
      </c>
      <c r="H1817" s="173" t="inlineStr">
        <is>
          <t>Sim</t>
        </is>
      </c>
      <c r="I1817" s="48" t="inlineStr">
        <is>
          <t>511026</t>
        </is>
      </c>
    </row>
    <row r="1818">
      <c r="A1818" s="40" t="inlineStr">
        <is>
          <t>010349</t>
        </is>
      </c>
      <c r="B1818" s="41" t="inlineStr">
        <is>
          <t>LIGA DO BEM</t>
        </is>
      </c>
      <c r="C1818" s="42" t="inlineStr">
        <is>
          <t>MR</t>
        </is>
      </c>
      <c r="D1818" s="42" t="inlineStr">
        <is>
          <t>UN</t>
        </is>
      </c>
      <c r="E1818" s="42" t="inlineStr">
        <is>
          <t>0128</t>
        </is>
      </c>
      <c r="F1818" s="65" t="inlineStr">
        <is>
          <t>Venda</t>
        </is>
      </c>
      <c r="G1818" s="68" t="n">
        <v>0</v>
      </c>
      <c r="H1818" s="172" t="inlineStr">
        <is>
          <t>Não</t>
        </is>
      </c>
      <c r="I1818" s="47" t="inlineStr">
        <is>
          <t>511001</t>
        </is>
      </c>
    </row>
    <row r="1819">
      <c r="A1819" s="43" t="inlineStr">
        <is>
          <t>010182</t>
        </is>
      </c>
      <c r="B1819" s="44" t="inlineStr">
        <is>
          <t>LIGACAO FLEXIVEL 60CM</t>
        </is>
      </c>
      <c r="C1819" s="45" t="inlineStr">
        <is>
          <t>MC</t>
        </is>
      </c>
      <c r="D1819" s="45" t="inlineStr">
        <is>
          <t>UN</t>
        </is>
      </c>
      <c r="E1819" s="45" t="inlineStr">
        <is>
          <t>0132</t>
        </is>
      </c>
      <c r="F1819" s="70" t="inlineStr">
        <is>
          <t>Compras</t>
        </is>
      </c>
      <c r="G1819" s="66" t="n">
        <v>320</v>
      </c>
      <c r="H1819" s="172" t="inlineStr">
        <is>
          <t>Não</t>
        </is>
      </c>
      <c r="I1819" s="50" t="n"/>
    </row>
    <row r="1820">
      <c r="A1820" s="40" t="inlineStr">
        <is>
          <t>000491</t>
        </is>
      </c>
      <c r="B1820" s="41" t="inlineStr">
        <is>
          <t>LIMA DA PERSIA FRUTA</t>
        </is>
      </c>
      <c r="C1820" s="42" t="inlineStr">
        <is>
          <t>MP</t>
        </is>
      </c>
      <c r="D1820" s="42" t="inlineStr">
        <is>
          <t>KG</t>
        </is>
      </c>
      <c r="E1820" s="42" t="inlineStr">
        <is>
          <t>0036</t>
        </is>
      </c>
      <c r="F1820" s="70" t="inlineStr">
        <is>
          <t>Compras</t>
        </is>
      </c>
      <c r="G1820" s="71" t="n">
        <v>12.25</v>
      </c>
      <c r="H1820" s="172" t="inlineStr">
        <is>
          <t>Não</t>
        </is>
      </c>
      <c r="I1820" s="49" t="n"/>
    </row>
    <row r="1821">
      <c r="A1821" s="43" t="inlineStr">
        <is>
          <t>000493</t>
        </is>
      </c>
      <c r="B1821" s="44" t="inlineStr">
        <is>
          <t>LIMAO CRAVO FRUTA</t>
        </is>
      </c>
      <c r="C1821" s="45" t="inlineStr">
        <is>
          <t>MR</t>
        </is>
      </c>
      <c r="D1821" s="45" t="inlineStr">
        <is>
          <t>KG</t>
        </is>
      </c>
      <c r="E1821" s="45" t="inlineStr">
        <is>
          <t>0036</t>
        </is>
      </c>
      <c r="F1821" s="70" t="inlineStr">
        <is>
          <t>Compras</t>
        </is>
      </c>
      <c r="G1821" s="66" t="n">
        <v>13.59</v>
      </c>
      <c r="H1821" s="173" t="inlineStr">
        <is>
          <t>Sim</t>
        </is>
      </c>
      <c r="I1821" s="50" t="n"/>
    </row>
    <row r="1822">
      <c r="A1822" s="40" t="inlineStr">
        <is>
          <t>000494</t>
        </is>
      </c>
      <c r="B1822" s="41" t="inlineStr">
        <is>
          <t>LIMAO ROSA FRUTA</t>
        </is>
      </c>
      <c r="C1822" s="42" t="inlineStr">
        <is>
          <t>MP</t>
        </is>
      </c>
      <c r="D1822" s="42" t="inlineStr">
        <is>
          <t>KG</t>
        </is>
      </c>
      <c r="E1822" s="42" t="inlineStr">
        <is>
          <t>0036</t>
        </is>
      </c>
      <c r="F1822" s="70" t="inlineStr">
        <is>
          <t>Compras</t>
        </is>
      </c>
      <c r="G1822" s="71" t="n">
        <v>14.9</v>
      </c>
      <c r="H1822" s="172" t="inlineStr">
        <is>
          <t>Não</t>
        </is>
      </c>
      <c r="I1822" s="49" t="n"/>
    </row>
    <row r="1823">
      <c r="A1823" s="43" t="inlineStr">
        <is>
          <t>000619</t>
        </is>
      </c>
      <c r="B1823" s="44" t="inlineStr">
        <is>
          <t>LIMAO SICILIANO</t>
        </is>
      </c>
      <c r="C1823" s="45" t="inlineStr">
        <is>
          <t>MP</t>
        </is>
      </c>
      <c r="D1823" s="45" t="inlineStr">
        <is>
          <t>KG</t>
        </is>
      </c>
      <c r="E1823" s="45" t="inlineStr">
        <is>
          <t>0036</t>
        </is>
      </c>
      <c r="F1823" s="70" t="inlineStr">
        <is>
          <t>Compras</t>
        </is>
      </c>
      <c r="G1823" s="66" t="n">
        <v>12.95</v>
      </c>
      <c r="H1823" s="172" t="inlineStr">
        <is>
          <t>Não</t>
        </is>
      </c>
      <c r="I1823" s="50" t="n"/>
    </row>
    <row r="1824">
      <c r="A1824" s="40" t="inlineStr">
        <is>
          <t>000492</t>
        </is>
      </c>
      <c r="B1824" s="41" t="inlineStr">
        <is>
          <t>LIMAO TAITI FRUTA</t>
        </is>
      </c>
      <c r="C1824" s="42" t="inlineStr">
        <is>
          <t>MP</t>
        </is>
      </c>
      <c r="D1824" s="42" t="inlineStr">
        <is>
          <t>KG</t>
        </is>
      </c>
      <c r="E1824" s="42" t="inlineStr">
        <is>
          <t>0036</t>
        </is>
      </c>
      <c r="F1824" s="70" t="inlineStr">
        <is>
          <t>Compras</t>
        </is>
      </c>
      <c r="G1824" s="71" t="n">
        <v>2.99</v>
      </c>
      <c r="H1824" s="172" t="inlineStr">
        <is>
          <t>Não</t>
        </is>
      </c>
      <c r="I1824" s="49" t="n"/>
    </row>
    <row r="1825">
      <c r="A1825" s="43" t="inlineStr">
        <is>
          <t>001918</t>
        </is>
      </c>
      <c r="B1825" s="44" t="inlineStr">
        <is>
          <t>LIMONCELLO 750 ML  APTK</t>
        </is>
      </c>
      <c r="C1825" s="45" t="inlineStr">
        <is>
          <t>ME</t>
        </is>
      </c>
      <c r="D1825" s="45" t="inlineStr">
        <is>
          <t>LT</t>
        </is>
      </c>
      <c r="E1825" s="45" t="inlineStr">
        <is>
          <t>0138</t>
        </is>
      </c>
      <c r="F1825" s="70" t="inlineStr">
        <is>
          <t>Compras</t>
        </is>
      </c>
      <c r="G1825" s="66" t="n">
        <v>100</v>
      </c>
      <c r="H1825" s="173" t="inlineStr">
        <is>
          <t>Sim</t>
        </is>
      </c>
      <c r="I1825" s="50" t="n"/>
    </row>
    <row r="1826">
      <c r="A1826" s="40" t="inlineStr">
        <is>
          <t>001956</t>
        </is>
      </c>
      <c r="B1826" s="41" t="inlineStr">
        <is>
          <t>LIMONCELLO SPRITZ</t>
        </is>
      </c>
      <c r="C1826" s="42" t="inlineStr">
        <is>
          <t>PA</t>
        </is>
      </c>
      <c r="D1826" s="42" t="inlineStr">
        <is>
          <t>UN</t>
        </is>
      </c>
      <c r="E1826" s="42" t="inlineStr">
        <is>
          <t>0119</t>
        </is>
      </c>
      <c r="F1826" s="65" t="inlineStr">
        <is>
          <t>Venda</t>
        </is>
      </c>
      <c r="G1826" s="68" t="n">
        <v>0</v>
      </c>
      <c r="H1826" s="172" t="inlineStr">
        <is>
          <t>Não</t>
        </is>
      </c>
      <c r="I1826" s="47" t="inlineStr">
        <is>
          <t>78989056877234</t>
        </is>
      </c>
    </row>
    <row r="1827">
      <c r="A1827" s="43" t="inlineStr">
        <is>
          <t>000088</t>
        </is>
      </c>
      <c r="B1827" s="44" t="inlineStr">
        <is>
          <t>LIMPA ALUMINIO 5L</t>
        </is>
      </c>
      <c r="C1827" s="45" t="inlineStr">
        <is>
          <t>MC</t>
        </is>
      </c>
      <c r="D1827" s="45" t="inlineStr">
        <is>
          <t>UN</t>
        </is>
      </c>
      <c r="E1827" s="45" t="inlineStr">
        <is>
          <t>0075</t>
        </is>
      </c>
      <c r="F1827" s="70" t="inlineStr">
        <is>
          <t>Compras</t>
        </is>
      </c>
      <c r="G1827" s="66" t="n">
        <v>26.18</v>
      </c>
      <c r="H1827" s="172" t="inlineStr">
        <is>
          <t>Não</t>
        </is>
      </c>
      <c r="I1827" s="50" t="n"/>
    </row>
    <row r="1828">
      <c r="A1828" s="40" t="inlineStr">
        <is>
          <t>000225</t>
        </is>
      </c>
      <c r="B1828" s="41" t="inlineStr">
        <is>
          <t>LIMPA FORNO</t>
        </is>
      </c>
      <c r="C1828" s="42" t="inlineStr">
        <is>
          <t>MC</t>
        </is>
      </c>
      <c r="D1828" s="42" t="inlineStr">
        <is>
          <t>UN</t>
        </is>
      </c>
      <c r="E1828" s="42" t="inlineStr">
        <is>
          <t>0075</t>
        </is>
      </c>
      <c r="F1828" s="70" t="inlineStr">
        <is>
          <t>Compras</t>
        </is>
      </c>
      <c r="G1828" s="68" t="n">
        <v>0</v>
      </c>
      <c r="H1828" s="172" t="inlineStr">
        <is>
          <t>Não</t>
        </is>
      </c>
      <c r="I1828" s="49" t="n"/>
    </row>
    <row r="1829">
      <c r="A1829" s="43" t="inlineStr">
        <is>
          <t>010364</t>
        </is>
      </c>
      <c r="B1829" s="44" t="inlineStr">
        <is>
          <t>LIMPA FOSSA CONCENTRADO 1LT</t>
        </is>
      </c>
      <c r="C1829" s="45" t="inlineStr">
        <is>
          <t>MC</t>
        </is>
      </c>
      <c r="D1829" s="45" t="inlineStr">
        <is>
          <t>UN</t>
        </is>
      </c>
      <c r="E1829" s="45" t="inlineStr">
        <is>
          <t>0132</t>
        </is>
      </c>
      <c r="F1829" s="70" t="inlineStr">
        <is>
          <t>Compras</t>
        </is>
      </c>
      <c r="G1829" s="69" t="n">
        <v>0</v>
      </c>
      <c r="H1829" s="172" t="inlineStr">
        <is>
          <t>Não</t>
        </is>
      </c>
      <c r="I1829" s="50" t="n"/>
    </row>
    <row r="1830">
      <c r="A1830" s="40" t="inlineStr">
        <is>
          <t>000260</t>
        </is>
      </c>
      <c r="B1830" s="41" t="inlineStr">
        <is>
          <t>LIMPA PEDRAS</t>
        </is>
      </c>
      <c r="C1830" s="42" t="inlineStr">
        <is>
          <t>MC</t>
        </is>
      </c>
      <c r="D1830" s="42" t="inlineStr">
        <is>
          <t>UN</t>
        </is>
      </c>
      <c r="E1830" s="42" t="inlineStr">
        <is>
          <t>0075</t>
        </is>
      </c>
      <c r="F1830" s="70" t="inlineStr">
        <is>
          <t>Compras</t>
        </is>
      </c>
      <c r="G1830" s="71" t="n">
        <v>26.9</v>
      </c>
      <c r="H1830" s="172" t="inlineStr">
        <is>
          <t>Não</t>
        </is>
      </c>
      <c r="I1830" s="49" t="n"/>
    </row>
    <row r="1831">
      <c r="A1831" s="43" t="inlineStr">
        <is>
          <t>000089</t>
        </is>
      </c>
      <c r="B1831" s="44" t="inlineStr">
        <is>
          <t>LIMPA VIDROS</t>
        </is>
      </c>
      <c r="C1831" s="45" t="inlineStr">
        <is>
          <t>MC</t>
        </is>
      </c>
      <c r="D1831" s="45" t="inlineStr">
        <is>
          <t>UN</t>
        </is>
      </c>
      <c r="E1831" s="45" t="inlineStr">
        <is>
          <t>0075</t>
        </is>
      </c>
      <c r="F1831" s="70" t="inlineStr">
        <is>
          <t>Compras</t>
        </is>
      </c>
      <c r="G1831" s="66" t="n">
        <v>9.539999999999999</v>
      </c>
      <c r="H1831" s="172" t="inlineStr">
        <is>
          <t>Não</t>
        </is>
      </c>
      <c r="I1831" s="50" t="n"/>
    </row>
    <row r="1832">
      <c r="A1832" s="40" t="inlineStr">
        <is>
          <t>002101</t>
        </is>
      </c>
      <c r="B1832" s="41" t="inlineStr">
        <is>
          <t>LIMPADOR MULTIUSO BIOCHE. BIOPEROX 5LT</t>
        </is>
      </c>
      <c r="C1832" s="42" t="inlineStr">
        <is>
          <t>MC</t>
        </is>
      </c>
      <c r="D1832" s="42" t="inlineStr">
        <is>
          <t>UN</t>
        </is>
      </c>
      <c r="E1832" s="42" t="inlineStr">
        <is>
          <t>0075</t>
        </is>
      </c>
      <c r="F1832" s="70" t="inlineStr">
        <is>
          <t>Compras</t>
        </is>
      </c>
      <c r="G1832" s="71" t="n">
        <v>60.54</v>
      </c>
      <c r="H1832" s="172" t="inlineStr">
        <is>
          <t>Não</t>
        </is>
      </c>
      <c r="I1832" s="49" t="n"/>
    </row>
    <row r="1833">
      <c r="A1833" s="43" t="inlineStr">
        <is>
          <t>000092</t>
        </is>
      </c>
      <c r="B1833" s="44" t="inlineStr">
        <is>
          <t>LIMPADOR MULTIUSO VEJA</t>
        </is>
      </c>
      <c r="C1833" s="45" t="inlineStr">
        <is>
          <t>MC</t>
        </is>
      </c>
      <c r="D1833" s="45" t="inlineStr">
        <is>
          <t>UN</t>
        </is>
      </c>
      <c r="E1833" s="45" t="inlineStr">
        <is>
          <t>0075</t>
        </is>
      </c>
      <c r="F1833" s="70" t="inlineStr">
        <is>
          <t>Compras</t>
        </is>
      </c>
      <c r="G1833" s="66" t="n">
        <v>3.36</v>
      </c>
      <c r="H1833" s="172" t="inlineStr">
        <is>
          <t>Não</t>
        </is>
      </c>
      <c r="I1833" s="50" t="n"/>
    </row>
    <row r="1834">
      <c r="A1834" s="40" t="inlineStr">
        <is>
          <t>001807</t>
        </is>
      </c>
      <c r="B1834" s="41" t="inlineStr">
        <is>
          <t>LIMPEZA, MANUTEN  O E CONSERVA</t>
        </is>
      </c>
      <c r="C1834" s="42" t="inlineStr">
        <is>
          <t>SV</t>
        </is>
      </c>
      <c r="D1834" s="42" t="inlineStr">
        <is>
          <t>UN</t>
        </is>
      </c>
      <c r="E1834" s="42" t="inlineStr">
        <is>
          <t>(VAZ</t>
        </is>
      </c>
      <c r="F1834" s="70" t="inlineStr">
        <is>
          <t>Compras</t>
        </is>
      </c>
      <c r="G1834" s="68" t="n">
        <v>0</v>
      </c>
      <c r="H1834" s="172" t="inlineStr">
        <is>
          <t>Não</t>
        </is>
      </c>
      <c r="I1834" s="49" t="n"/>
    </row>
    <row r="1835">
      <c r="A1835" s="43" t="inlineStr">
        <is>
          <t>001129</t>
        </is>
      </c>
      <c r="B1835" s="44" t="inlineStr">
        <is>
          <t>LINGUICA CALABRESA</t>
        </is>
      </c>
      <c r="C1835" s="45" t="inlineStr">
        <is>
          <t>MP</t>
        </is>
      </c>
      <c r="D1835" s="45" t="inlineStr">
        <is>
          <t>KG</t>
        </is>
      </c>
      <c r="E1835" s="45" t="inlineStr">
        <is>
          <t>0025</t>
        </is>
      </c>
      <c r="F1835" s="70" t="inlineStr">
        <is>
          <t>Compras</t>
        </is>
      </c>
      <c r="G1835" s="66" t="n">
        <v>17.5</v>
      </c>
      <c r="H1835" s="172" t="inlineStr">
        <is>
          <t>Não</t>
        </is>
      </c>
      <c r="I1835" s="50" t="n"/>
    </row>
    <row r="1836">
      <c r="A1836" s="40" t="inlineStr">
        <is>
          <t>010216</t>
        </is>
      </c>
      <c r="B1836" s="41" t="inlineStr">
        <is>
          <t>LINGUICA CALABRESA FUNCIONARIO</t>
        </is>
      </c>
      <c r="C1836" s="42" t="inlineStr">
        <is>
          <t>MC</t>
        </is>
      </c>
      <c r="D1836" s="42" t="inlineStr">
        <is>
          <t>KG</t>
        </is>
      </c>
      <c r="E1836" s="42" t="inlineStr">
        <is>
          <t>0013</t>
        </is>
      </c>
      <c r="F1836" s="70" t="inlineStr">
        <is>
          <t>Compras</t>
        </is>
      </c>
      <c r="G1836" s="68" t="n">
        <v>0</v>
      </c>
      <c r="H1836" s="172" t="inlineStr">
        <is>
          <t>Não</t>
        </is>
      </c>
      <c r="I1836" s="49" t="n"/>
    </row>
    <row r="1837">
      <c r="A1837" s="43" t="inlineStr">
        <is>
          <t>000028</t>
        </is>
      </c>
      <c r="B1837" s="44" t="inlineStr">
        <is>
          <t>LINGUICA CUIABANA</t>
        </is>
      </c>
      <c r="C1837" s="45" t="inlineStr">
        <is>
          <t>PA</t>
        </is>
      </c>
      <c r="D1837" s="45" t="inlineStr">
        <is>
          <t>UN</t>
        </is>
      </c>
      <c r="E1837" s="45" t="inlineStr">
        <is>
          <t>0098</t>
        </is>
      </c>
      <c r="F1837" s="65" t="inlineStr">
        <is>
          <t>Venda</t>
        </is>
      </c>
      <c r="G1837" s="66" t="n">
        <v>19.1835</v>
      </c>
      <c r="H1837" s="172" t="inlineStr">
        <is>
          <t>Não</t>
        </is>
      </c>
      <c r="I1837" s="48" t="inlineStr">
        <is>
          <t>10042</t>
        </is>
      </c>
    </row>
    <row r="1838">
      <c r="A1838" s="40" t="inlineStr">
        <is>
          <t>000433</t>
        </is>
      </c>
      <c r="B1838" s="41" t="inlineStr">
        <is>
          <t>LINGUICA DEFUMADA FUNCIONARIO</t>
        </is>
      </c>
      <c r="C1838" s="42" t="inlineStr">
        <is>
          <t>MC</t>
        </is>
      </c>
      <c r="D1838" s="42" t="inlineStr">
        <is>
          <t>KG</t>
        </is>
      </c>
      <c r="E1838" s="42" t="inlineStr">
        <is>
          <t>0013</t>
        </is>
      </c>
      <c r="F1838" s="70" t="inlineStr">
        <is>
          <t>Compras</t>
        </is>
      </c>
      <c r="G1838" s="71" t="n">
        <v>17.1</v>
      </c>
      <c r="H1838" s="172" t="inlineStr">
        <is>
          <t>Não</t>
        </is>
      </c>
      <c r="I1838" s="49" t="n"/>
    </row>
    <row r="1839">
      <c r="A1839" s="43" t="inlineStr">
        <is>
          <t>000434</t>
        </is>
      </c>
      <c r="B1839" s="44" t="inlineStr">
        <is>
          <t>LINGUICA TOSCANA FUNCIONARIO</t>
        </is>
      </c>
      <c r="C1839" s="45" t="inlineStr">
        <is>
          <t>MC</t>
        </is>
      </c>
      <c r="D1839" s="45" t="inlineStr">
        <is>
          <t>KG</t>
        </is>
      </c>
      <c r="E1839" s="45" t="inlineStr">
        <is>
          <t>0013</t>
        </is>
      </c>
      <c r="F1839" s="70" t="inlineStr">
        <is>
          <t>Compras</t>
        </is>
      </c>
      <c r="G1839" s="66" t="n">
        <v>17.9</v>
      </c>
      <c r="H1839" s="172" t="inlineStr">
        <is>
          <t>Não</t>
        </is>
      </c>
      <c r="I1839" s="50" t="n"/>
    </row>
    <row r="1840">
      <c r="A1840" s="40" t="inlineStr">
        <is>
          <t>009507</t>
        </is>
      </c>
      <c r="B1840" s="41" t="inlineStr">
        <is>
          <t>LINHA DE PESCA</t>
        </is>
      </c>
      <c r="C1840" s="42" t="inlineStr">
        <is>
          <t>MC</t>
        </is>
      </c>
      <c r="D1840" s="42" t="inlineStr">
        <is>
          <t>UN</t>
        </is>
      </c>
      <c r="E1840" s="42" t="inlineStr">
        <is>
          <t>0132</t>
        </is>
      </c>
      <c r="F1840" s="70" t="inlineStr">
        <is>
          <t>Compras</t>
        </is>
      </c>
      <c r="G1840" s="68" t="n">
        <v>0</v>
      </c>
      <c r="H1840" s="172" t="inlineStr">
        <is>
          <t>Não</t>
        </is>
      </c>
      <c r="I1840" s="49" t="n"/>
    </row>
    <row r="1841">
      <c r="A1841" s="43" t="inlineStr">
        <is>
          <t>009866</t>
        </is>
      </c>
      <c r="B1841" s="44" t="inlineStr">
        <is>
          <t>LINHA NYLON LISA 0,8MM 100M</t>
        </is>
      </c>
      <c r="C1841" s="45" t="inlineStr">
        <is>
          <t>MC</t>
        </is>
      </c>
      <c r="D1841" s="45" t="inlineStr">
        <is>
          <t>UN</t>
        </is>
      </c>
      <c r="E1841" s="45" t="inlineStr">
        <is>
          <t>0132</t>
        </is>
      </c>
      <c r="F1841" s="70" t="inlineStr">
        <is>
          <t>Compras</t>
        </is>
      </c>
      <c r="G1841" s="66" t="n">
        <v>11.5</v>
      </c>
      <c r="H1841" s="172" t="inlineStr">
        <is>
          <t>Não</t>
        </is>
      </c>
      <c r="I1841" s="50" t="n"/>
    </row>
    <row r="1842">
      <c r="A1842" s="40" t="inlineStr">
        <is>
          <t>000717</t>
        </is>
      </c>
      <c r="B1842" s="41" t="inlineStr">
        <is>
          <t>LIQUIDIFICADOR INDUSTRIAL ALTA ROTACAO 220V</t>
        </is>
      </c>
      <c r="C1842" s="42" t="inlineStr">
        <is>
          <t>AI</t>
        </is>
      </c>
      <c r="D1842" s="42" t="inlineStr">
        <is>
          <t>UN</t>
        </is>
      </c>
      <c r="E1842" s="42" t="inlineStr">
        <is>
          <t>0002</t>
        </is>
      </c>
      <c r="F1842" s="70" t="inlineStr">
        <is>
          <t>Compras</t>
        </is>
      </c>
      <c r="G1842" s="71" t="n">
        <v>1799</v>
      </c>
      <c r="H1842" s="172" t="inlineStr">
        <is>
          <t>Não</t>
        </is>
      </c>
      <c r="I1842" s="49" t="n"/>
    </row>
    <row r="1843">
      <c r="A1843" s="43" t="inlineStr">
        <is>
          <t>009450</t>
        </is>
      </c>
      <c r="B1843" s="44" t="inlineStr">
        <is>
          <t>LIXA FERRO 100</t>
        </is>
      </c>
      <c r="C1843" s="45" t="inlineStr">
        <is>
          <t>MC</t>
        </is>
      </c>
      <c r="D1843" s="45" t="inlineStr">
        <is>
          <t>UN</t>
        </is>
      </c>
      <c r="E1843" s="45" t="inlineStr">
        <is>
          <t>0132</t>
        </is>
      </c>
      <c r="F1843" s="70" t="inlineStr">
        <is>
          <t>Compras</t>
        </is>
      </c>
      <c r="G1843" s="66" t="n">
        <v>3.982</v>
      </c>
      <c r="H1843" s="172" t="inlineStr">
        <is>
          <t>Não</t>
        </is>
      </c>
      <c r="I1843" s="50" t="n"/>
    </row>
    <row r="1844">
      <c r="A1844" s="40" t="inlineStr">
        <is>
          <t>010130</t>
        </is>
      </c>
      <c r="B1844" s="41" t="inlineStr">
        <is>
          <t>LIXA FERRO 120</t>
        </is>
      </c>
      <c r="C1844" s="42" t="inlineStr">
        <is>
          <t>MC</t>
        </is>
      </c>
      <c r="D1844" s="42" t="inlineStr">
        <is>
          <t>UN</t>
        </is>
      </c>
      <c r="E1844" s="42" t="inlineStr">
        <is>
          <t>0132</t>
        </is>
      </c>
      <c r="F1844" s="70" t="inlineStr">
        <is>
          <t>Compras</t>
        </is>
      </c>
      <c r="G1844" s="71" t="n">
        <v>3.3</v>
      </c>
      <c r="H1844" s="172" t="inlineStr">
        <is>
          <t>Não</t>
        </is>
      </c>
      <c r="I1844" s="49" t="n"/>
    </row>
    <row r="1845">
      <c r="A1845" s="43" t="inlineStr">
        <is>
          <t>009673</t>
        </is>
      </c>
      <c r="B1845" s="44" t="inlineStr">
        <is>
          <t>LIXA FERRO 60</t>
        </is>
      </c>
      <c r="C1845" s="45" t="inlineStr">
        <is>
          <t>MC</t>
        </is>
      </c>
      <c r="D1845" s="45" t="inlineStr">
        <is>
          <t>UN</t>
        </is>
      </c>
      <c r="E1845" s="45" t="inlineStr">
        <is>
          <t>0132</t>
        </is>
      </c>
      <c r="F1845" s="70" t="inlineStr">
        <is>
          <t>Compras</t>
        </is>
      </c>
      <c r="G1845" s="69" t="n">
        <v>0</v>
      </c>
      <c r="H1845" s="172" t="inlineStr">
        <is>
          <t>Não</t>
        </is>
      </c>
      <c r="I1845" s="50" t="n"/>
    </row>
    <row r="1846">
      <c r="A1846" s="40" t="inlineStr">
        <is>
          <t>009887</t>
        </is>
      </c>
      <c r="B1846" s="41" t="inlineStr">
        <is>
          <t>LIXA FERRO 80</t>
        </is>
      </c>
      <c r="C1846" s="42" t="inlineStr">
        <is>
          <t>MC</t>
        </is>
      </c>
      <c r="D1846" s="42" t="inlineStr">
        <is>
          <t>UN</t>
        </is>
      </c>
      <c r="E1846" s="42" t="inlineStr">
        <is>
          <t>0132</t>
        </is>
      </c>
      <c r="F1846" s="70" t="inlineStr">
        <is>
          <t>Compras</t>
        </is>
      </c>
      <c r="G1846" s="71" t="n">
        <v>3.7</v>
      </c>
      <c r="H1846" s="172" t="inlineStr">
        <is>
          <t>Não</t>
        </is>
      </c>
      <c r="I1846" s="49" t="n"/>
    </row>
    <row r="1847">
      <c r="A1847" s="43" t="inlineStr">
        <is>
          <t>009451</t>
        </is>
      </c>
      <c r="B1847" s="44" t="inlineStr">
        <is>
          <t>LIXA MASSA 100</t>
        </is>
      </c>
      <c r="C1847" s="45" t="inlineStr">
        <is>
          <t>MC</t>
        </is>
      </c>
      <c r="D1847" s="45" t="inlineStr">
        <is>
          <t>UN</t>
        </is>
      </c>
      <c r="E1847" s="45" t="inlineStr">
        <is>
          <t>0132</t>
        </is>
      </c>
      <c r="F1847" s="70" t="inlineStr">
        <is>
          <t>Compras</t>
        </is>
      </c>
      <c r="G1847" s="66" t="n">
        <v>1.2</v>
      </c>
      <c r="H1847" s="172" t="inlineStr">
        <is>
          <t>Não</t>
        </is>
      </c>
      <c r="I1847" s="50" t="n"/>
    </row>
    <row r="1848">
      <c r="A1848" s="40" t="inlineStr">
        <is>
          <t>010260</t>
        </is>
      </c>
      <c r="B1848" s="41" t="inlineStr">
        <is>
          <t>LIXA MASSA 120</t>
        </is>
      </c>
      <c r="C1848" s="42" t="inlineStr">
        <is>
          <t>MC</t>
        </is>
      </c>
      <c r="D1848" s="42" t="inlineStr">
        <is>
          <t>UN</t>
        </is>
      </c>
      <c r="E1848" s="42" t="inlineStr">
        <is>
          <t>0132</t>
        </is>
      </c>
      <c r="F1848" s="70" t="inlineStr">
        <is>
          <t>Compras</t>
        </is>
      </c>
      <c r="G1848" s="71" t="n">
        <v>1.2</v>
      </c>
      <c r="H1848" s="172" t="inlineStr">
        <is>
          <t>Não</t>
        </is>
      </c>
      <c r="I1848" s="49" t="n"/>
    </row>
    <row r="1849">
      <c r="A1849" s="43" t="inlineStr">
        <is>
          <t>009334</t>
        </is>
      </c>
      <c r="B1849" s="44" t="inlineStr">
        <is>
          <t>LIXA MASSA 150</t>
        </is>
      </c>
      <c r="C1849" s="45" t="inlineStr">
        <is>
          <t>MC</t>
        </is>
      </c>
      <c r="D1849" s="45" t="inlineStr">
        <is>
          <t>UN</t>
        </is>
      </c>
      <c r="E1849" s="45" t="inlineStr">
        <is>
          <t>0132</t>
        </is>
      </c>
      <c r="F1849" s="70" t="inlineStr">
        <is>
          <t>Compras</t>
        </is>
      </c>
      <c r="G1849" s="66" t="n">
        <v>1.6</v>
      </c>
      <c r="H1849" s="172" t="inlineStr">
        <is>
          <t>Não</t>
        </is>
      </c>
      <c r="I1849" s="50" t="n"/>
    </row>
    <row r="1850">
      <c r="A1850" s="40" t="inlineStr">
        <is>
          <t>009333</t>
        </is>
      </c>
      <c r="B1850" s="41" t="inlineStr">
        <is>
          <t>LIXA MASSA 180</t>
        </is>
      </c>
      <c r="C1850" s="42" t="inlineStr">
        <is>
          <t>MC</t>
        </is>
      </c>
      <c r="D1850" s="42" t="inlineStr">
        <is>
          <t>UN</t>
        </is>
      </c>
      <c r="E1850" s="42" t="inlineStr">
        <is>
          <t>0132</t>
        </is>
      </c>
      <c r="F1850" s="70" t="inlineStr">
        <is>
          <t>Compras</t>
        </is>
      </c>
      <c r="G1850" s="68" t="n">
        <v>0</v>
      </c>
      <c r="H1850" s="172" t="inlineStr">
        <is>
          <t>Não</t>
        </is>
      </c>
      <c r="I1850" s="49" t="n"/>
    </row>
    <row r="1851">
      <c r="A1851" s="43" t="inlineStr">
        <is>
          <t>010244</t>
        </is>
      </c>
      <c r="B1851" s="44" t="inlineStr">
        <is>
          <t>LIXA MASSA 220</t>
        </is>
      </c>
      <c r="C1851" s="45" t="inlineStr">
        <is>
          <t>MC</t>
        </is>
      </c>
      <c r="D1851" s="45" t="inlineStr">
        <is>
          <t>UN</t>
        </is>
      </c>
      <c r="E1851" s="45" t="inlineStr">
        <is>
          <t>0132</t>
        </is>
      </c>
      <c r="F1851" s="70" t="inlineStr">
        <is>
          <t>Compras</t>
        </is>
      </c>
      <c r="G1851" s="66" t="n">
        <v>1.6</v>
      </c>
      <c r="H1851" s="172" t="inlineStr">
        <is>
          <t>Não</t>
        </is>
      </c>
      <c r="I1851" s="50" t="n"/>
    </row>
    <row r="1852">
      <c r="A1852" s="40" t="inlineStr">
        <is>
          <t>010296</t>
        </is>
      </c>
      <c r="B1852" s="41" t="inlineStr">
        <is>
          <t>LIXA MASSA E MADEIRA GRAO 50</t>
        </is>
      </c>
      <c r="C1852" s="42" t="inlineStr">
        <is>
          <t>MC</t>
        </is>
      </c>
      <c r="D1852" s="42" t="inlineStr">
        <is>
          <t>UN</t>
        </is>
      </c>
      <c r="E1852" s="42" t="inlineStr">
        <is>
          <t>0132</t>
        </is>
      </c>
      <c r="F1852" s="70" t="inlineStr">
        <is>
          <t>Compras</t>
        </is>
      </c>
      <c r="G1852" s="71" t="n">
        <v>1.6</v>
      </c>
      <c r="H1852" s="172" t="inlineStr">
        <is>
          <t>Não</t>
        </is>
      </c>
      <c r="I1852" s="49" t="n"/>
    </row>
    <row r="1853">
      <c r="A1853" s="43" t="inlineStr">
        <is>
          <t>000557</t>
        </is>
      </c>
      <c r="B1853" s="44" t="inlineStr">
        <is>
          <t>LIXEIRA 100 L</t>
        </is>
      </c>
      <c r="C1853" s="45" t="inlineStr">
        <is>
          <t>MC</t>
        </is>
      </c>
      <c r="D1853" s="45" t="inlineStr">
        <is>
          <t>UN</t>
        </is>
      </c>
      <c r="E1853" s="45" t="inlineStr">
        <is>
          <t>0075</t>
        </is>
      </c>
      <c r="F1853" s="70" t="inlineStr">
        <is>
          <t>Compras</t>
        </is>
      </c>
      <c r="G1853" s="66" t="n">
        <v>340</v>
      </c>
      <c r="H1853" s="172" t="inlineStr">
        <is>
          <t>Não</t>
        </is>
      </c>
      <c r="I1853" s="50" t="n"/>
    </row>
    <row r="1854">
      <c r="A1854" s="40" t="inlineStr">
        <is>
          <t>000752</t>
        </is>
      </c>
      <c r="B1854" s="41" t="inlineStr">
        <is>
          <t>LIXEIRA 120 L</t>
        </is>
      </c>
      <c r="C1854" s="42" t="inlineStr">
        <is>
          <t>MC</t>
        </is>
      </c>
      <c r="D1854" s="42" t="inlineStr">
        <is>
          <t>UN</t>
        </is>
      </c>
      <c r="E1854" s="42" t="inlineStr">
        <is>
          <t>0075</t>
        </is>
      </c>
      <c r="F1854" s="70" t="inlineStr">
        <is>
          <t>Compras</t>
        </is>
      </c>
      <c r="G1854" s="68" t="n">
        <v>0</v>
      </c>
      <c r="H1854" s="172" t="inlineStr">
        <is>
          <t>Não</t>
        </is>
      </c>
      <c r="I1854" s="49" t="n"/>
    </row>
    <row r="1855">
      <c r="A1855" s="43" t="inlineStr">
        <is>
          <t>010200</t>
        </is>
      </c>
      <c r="B1855" s="44" t="inlineStr">
        <is>
          <t>LIXEIRA 13LT ARAMADA</t>
        </is>
      </c>
      <c r="C1855" s="45" t="inlineStr">
        <is>
          <t>MC</t>
        </is>
      </c>
      <c r="D1855" s="45" t="inlineStr">
        <is>
          <t>UN</t>
        </is>
      </c>
      <c r="E1855" s="45" t="inlineStr">
        <is>
          <t>0075</t>
        </is>
      </c>
      <c r="F1855" s="70" t="inlineStr">
        <is>
          <t>Compras</t>
        </is>
      </c>
      <c r="G1855" s="69" t="n">
        <v>0</v>
      </c>
      <c r="H1855" s="172" t="inlineStr">
        <is>
          <t>Não</t>
        </is>
      </c>
      <c r="I1855" s="50" t="n"/>
    </row>
    <row r="1856">
      <c r="A1856" s="40" t="inlineStr">
        <is>
          <t>009847</t>
        </is>
      </c>
      <c r="B1856" s="41" t="inlineStr">
        <is>
          <t>LIXEIRA 25LT</t>
        </is>
      </c>
      <c r="C1856" s="42" t="inlineStr">
        <is>
          <t>MC</t>
        </is>
      </c>
      <c r="D1856" s="42" t="inlineStr">
        <is>
          <t>UN</t>
        </is>
      </c>
      <c r="E1856" s="42" t="inlineStr">
        <is>
          <t>0080</t>
        </is>
      </c>
      <c r="F1856" s="70" t="inlineStr">
        <is>
          <t>Compras</t>
        </is>
      </c>
      <c r="G1856" s="71" t="n">
        <v>169</v>
      </c>
      <c r="H1856" s="172" t="inlineStr">
        <is>
          <t>Não</t>
        </is>
      </c>
      <c r="I1856" s="49" t="n"/>
    </row>
    <row r="1857">
      <c r="A1857" s="43" t="inlineStr">
        <is>
          <t>000566</t>
        </is>
      </c>
      <c r="B1857" s="44" t="inlineStr">
        <is>
          <t>LIXEIRA 30 L</t>
        </is>
      </c>
      <c r="C1857" s="45" t="inlineStr">
        <is>
          <t>MC</t>
        </is>
      </c>
      <c r="D1857" s="45" t="inlineStr">
        <is>
          <t>UN</t>
        </is>
      </c>
      <c r="E1857" s="45" t="inlineStr">
        <is>
          <t>0075</t>
        </is>
      </c>
      <c r="F1857" s="70" t="inlineStr">
        <is>
          <t>Compras</t>
        </is>
      </c>
      <c r="G1857" s="66" t="n">
        <v>139</v>
      </c>
      <c r="H1857" s="172" t="inlineStr">
        <is>
          <t>Não</t>
        </is>
      </c>
      <c r="I1857" s="50" t="n"/>
    </row>
    <row r="1858">
      <c r="A1858" s="40" t="inlineStr">
        <is>
          <t>000589</t>
        </is>
      </c>
      <c r="B1858" s="41" t="inlineStr">
        <is>
          <t>LIXEIRA 50 L</t>
        </is>
      </c>
      <c r="C1858" s="42" t="inlineStr">
        <is>
          <t>MC</t>
        </is>
      </c>
      <c r="D1858" s="42" t="inlineStr">
        <is>
          <t>UN</t>
        </is>
      </c>
      <c r="E1858" s="42" t="inlineStr">
        <is>
          <t>0075</t>
        </is>
      </c>
      <c r="F1858" s="70" t="inlineStr">
        <is>
          <t>Compras</t>
        </is>
      </c>
      <c r="G1858" s="71" t="n">
        <v>178</v>
      </c>
      <c r="H1858" s="172" t="inlineStr">
        <is>
          <t>Não</t>
        </is>
      </c>
      <c r="I1858" s="49" t="n"/>
    </row>
    <row r="1859">
      <c r="A1859" s="43" t="inlineStr">
        <is>
          <t>000728</t>
        </is>
      </c>
      <c r="B1859" s="44" t="inlineStr">
        <is>
          <t>LIXEIRA INOX MODELO BITUQUEIRA</t>
        </is>
      </c>
      <c r="C1859" s="45" t="inlineStr">
        <is>
          <t>MC</t>
        </is>
      </c>
      <c r="D1859" s="45" t="inlineStr">
        <is>
          <t>UN</t>
        </is>
      </c>
      <c r="E1859" s="45" t="inlineStr">
        <is>
          <t>0079</t>
        </is>
      </c>
      <c r="F1859" s="70" t="inlineStr">
        <is>
          <t>Compras</t>
        </is>
      </c>
      <c r="G1859" s="69" t="n">
        <v>0</v>
      </c>
      <c r="H1859" s="172" t="inlineStr">
        <is>
          <t>Não</t>
        </is>
      </c>
      <c r="I1859" s="50" t="n"/>
    </row>
    <row r="1860">
      <c r="A1860" s="40" t="inlineStr">
        <is>
          <t>010202</t>
        </is>
      </c>
      <c r="B1860" s="41" t="inlineStr">
        <is>
          <t>LIXEIRA PLASTICA C PEDAL 20LT</t>
        </is>
      </c>
      <c r="C1860" s="42" t="inlineStr">
        <is>
          <t>MC</t>
        </is>
      </c>
      <c r="D1860" s="42" t="inlineStr">
        <is>
          <t>UN</t>
        </is>
      </c>
      <c r="E1860" s="42" t="inlineStr">
        <is>
          <t>0075</t>
        </is>
      </c>
      <c r="F1860" s="70" t="inlineStr">
        <is>
          <t>Compras</t>
        </is>
      </c>
      <c r="G1860" s="68" t="n">
        <v>0</v>
      </c>
      <c r="H1860" s="172" t="inlineStr">
        <is>
          <t>Não</t>
        </is>
      </c>
      <c r="I1860" s="49" t="n"/>
    </row>
    <row r="1861">
      <c r="A1861" s="43" t="inlineStr">
        <is>
          <t>010201</t>
        </is>
      </c>
      <c r="B1861" s="44" t="inlineStr">
        <is>
          <t>LIXEIRA PLASTICA C TAMPA 2,5 LT</t>
        </is>
      </c>
      <c r="C1861" s="45" t="inlineStr">
        <is>
          <t>MC</t>
        </is>
      </c>
      <c r="D1861" s="45" t="inlineStr">
        <is>
          <t>UN</t>
        </is>
      </c>
      <c r="E1861" s="45" t="inlineStr">
        <is>
          <t>0075</t>
        </is>
      </c>
      <c r="F1861" s="70" t="inlineStr">
        <is>
          <t>Compras</t>
        </is>
      </c>
      <c r="G1861" s="69" t="n">
        <v>0</v>
      </c>
      <c r="H1861" s="172" t="inlineStr">
        <is>
          <t>Não</t>
        </is>
      </c>
      <c r="I1861" s="50" t="n"/>
    </row>
    <row r="1862">
      <c r="A1862" s="40" t="inlineStr">
        <is>
          <t>001614</t>
        </is>
      </c>
      <c r="B1862" s="41" t="inlineStr">
        <is>
          <t>LOCACAO IMPRESSORA</t>
        </is>
      </c>
      <c r="C1862" s="42" t="inlineStr">
        <is>
          <t>SV</t>
        </is>
      </c>
      <c r="D1862" s="42" t="inlineStr">
        <is>
          <t>UN</t>
        </is>
      </c>
      <c r="E1862" s="42" t="n"/>
      <c r="F1862" s="40" t="n"/>
      <c r="G1862" s="68" t="n">
        <v>0</v>
      </c>
      <c r="H1862" s="173" t="inlineStr">
        <is>
          <t>Sim</t>
        </is>
      </c>
      <c r="I1862" s="49" t="n"/>
    </row>
    <row r="1863">
      <c r="A1863" s="43" t="inlineStr">
        <is>
          <t>009342</t>
        </is>
      </c>
      <c r="B1863" s="44" t="inlineStr">
        <is>
          <t>LONA PLASTICA PRETA 100X4MT</t>
        </is>
      </c>
      <c r="C1863" s="45" t="inlineStr">
        <is>
          <t>MC</t>
        </is>
      </c>
      <c r="D1863" s="45" t="inlineStr">
        <is>
          <t>UN</t>
        </is>
      </c>
      <c r="E1863" s="45" t="inlineStr">
        <is>
          <t>0132</t>
        </is>
      </c>
      <c r="F1863" s="70" t="inlineStr">
        <is>
          <t>Compras</t>
        </is>
      </c>
      <c r="G1863" s="66" t="n">
        <v>6</v>
      </c>
      <c r="H1863" s="172" t="inlineStr">
        <is>
          <t>Não</t>
        </is>
      </c>
      <c r="I1863" s="50" t="n"/>
    </row>
    <row r="1864">
      <c r="A1864" s="40" t="inlineStr">
        <is>
          <t>001479</t>
        </is>
      </c>
      <c r="B1864" s="41" t="inlineStr">
        <is>
          <t>LONDON MULE</t>
        </is>
      </c>
      <c r="C1864" s="42" t="inlineStr">
        <is>
          <t>PA</t>
        </is>
      </c>
      <c r="D1864" s="42" t="inlineStr">
        <is>
          <t>UN</t>
        </is>
      </c>
      <c r="E1864" s="42" t="inlineStr">
        <is>
          <t>0119</t>
        </is>
      </c>
      <c r="F1864" s="65" t="inlineStr">
        <is>
          <t>Venda</t>
        </is>
      </c>
      <c r="G1864" s="68" t="n">
        <v>0</v>
      </c>
      <c r="H1864" s="172" t="inlineStr">
        <is>
          <t>Não</t>
        </is>
      </c>
      <c r="I1864" s="47" t="inlineStr">
        <is>
          <t>7898905687716</t>
        </is>
      </c>
    </row>
    <row r="1865">
      <c r="A1865" s="43" t="inlineStr">
        <is>
          <t>000367</t>
        </is>
      </c>
      <c r="B1865" s="44" t="inlineStr">
        <is>
          <t>LONG SMIRNOFF ICE</t>
        </is>
      </c>
      <c r="C1865" s="45" t="inlineStr">
        <is>
          <t>ME</t>
        </is>
      </c>
      <c r="D1865" s="45" t="inlineStr">
        <is>
          <t>UN</t>
        </is>
      </c>
      <c r="E1865" s="45" t="inlineStr">
        <is>
          <t>0055</t>
        </is>
      </c>
      <c r="F1865" s="70" t="inlineStr">
        <is>
          <t>Compras</t>
        </is>
      </c>
      <c r="G1865" s="66" t="n">
        <v>5.8908</v>
      </c>
      <c r="H1865" s="172" t="inlineStr">
        <is>
          <t>Não</t>
        </is>
      </c>
      <c r="I1865" s="50" t="n"/>
    </row>
    <row r="1866">
      <c r="A1866" s="40" t="inlineStr">
        <is>
          <t>009641</t>
        </is>
      </c>
      <c r="B1866" s="41" t="inlineStr">
        <is>
          <t>LUMINARIA DE EMBUTIR NO SOLO PAR 20</t>
        </is>
      </c>
      <c r="C1866" s="42" t="inlineStr">
        <is>
          <t>MC</t>
        </is>
      </c>
      <c r="D1866" s="42" t="inlineStr">
        <is>
          <t>UN</t>
        </is>
      </c>
      <c r="E1866" s="42" t="inlineStr">
        <is>
          <t>0132</t>
        </is>
      </c>
      <c r="F1866" s="70" t="inlineStr">
        <is>
          <t>Compras</t>
        </is>
      </c>
      <c r="G1866" s="71" t="n">
        <v>112.1</v>
      </c>
      <c r="H1866" s="172" t="inlineStr">
        <is>
          <t>Não</t>
        </is>
      </c>
      <c r="I1866" s="49" t="n"/>
    </row>
    <row r="1867">
      <c r="A1867" s="43" t="inlineStr">
        <is>
          <t>009626</t>
        </is>
      </c>
      <c r="B1867" s="44" t="inlineStr">
        <is>
          <t>LUMINARIA ESPETO PARA JARDIM PAR 30</t>
        </is>
      </c>
      <c r="C1867" s="45" t="inlineStr">
        <is>
          <t>MC</t>
        </is>
      </c>
      <c r="D1867" s="45" t="inlineStr">
        <is>
          <t>UN</t>
        </is>
      </c>
      <c r="E1867" s="45" t="inlineStr">
        <is>
          <t>0132</t>
        </is>
      </c>
      <c r="F1867" s="70" t="inlineStr">
        <is>
          <t>Compras</t>
        </is>
      </c>
      <c r="G1867" s="66" t="n">
        <v>36.35</v>
      </c>
      <c r="H1867" s="172" t="inlineStr">
        <is>
          <t>Não</t>
        </is>
      </c>
      <c r="I1867" s="50" t="n"/>
    </row>
    <row r="1868">
      <c r="A1868" s="40" t="inlineStr">
        <is>
          <t>002059</t>
        </is>
      </c>
      <c r="B1868" s="41" t="inlineStr">
        <is>
          <t>LUMINARIA LED SOBREPOR 18W</t>
        </is>
      </c>
      <c r="C1868" s="42" t="inlineStr">
        <is>
          <t>MC</t>
        </is>
      </c>
      <c r="D1868" s="42" t="inlineStr">
        <is>
          <t>UN</t>
        </is>
      </c>
      <c r="E1868" s="42" t="inlineStr">
        <is>
          <t>0132</t>
        </is>
      </c>
      <c r="F1868" s="70" t="inlineStr">
        <is>
          <t>Compras</t>
        </is>
      </c>
      <c r="G1868" s="71" t="n">
        <v>60</v>
      </c>
      <c r="H1868" s="172" t="inlineStr">
        <is>
          <t>Não</t>
        </is>
      </c>
      <c r="I1868" s="49" t="n"/>
    </row>
    <row r="1869">
      <c r="A1869" s="43" t="inlineStr">
        <is>
          <t>009609</t>
        </is>
      </c>
      <c r="B1869" s="44" t="inlineStr">
        <is>
          <t>LUMINARIA LED SOBREPOR 36W</t>
        </is>
      </c>
      <c r="C1869" s="45" t="inlineStr">
        <is>
          <t>MC</t>
        </is>
      </c>
      <c r="D1869" s="45" t="inlineStr">
        <is>
          <t>UN</t>
        </is>
      </c>
      <c r="E1869" s="45" t="inlineStr">
        <is>
          <t>0132</t>
        </is>
      </c>
      <c r="F1869" s="70" t="inlineStr">
        <is>
          <t>Compras</t>
        </is>
      </c>
      <c r="G1869" s="66" t="n">
        <v>49.9</v>
      </c>
      <c r="H1869" s="172" t="inlineStr">
        <is>
          <t>Não</t>
        </is>
      </c>
      <c r="I1869" s="50" t="n"/>
    </row>
    <row r="1870">
      <c r="A1870" s="40" t="inlineStr">
        <is>
          <t>009675</t>
        </is>
      </c>
      <c r="B1870" s="41" t="inlineStr">
        <is>
          <t>LUMINARIA TARTARUGA</t>
        </is>
      </c>
      <c r="C1870" s="42" t="inlineStr">
        <is>
          <t>MC</t>
        </is>
      </c>
      <c r="D1870" s="42" t="inlineStr">
        <is>
          <t>UN</t>
        </is>
      </c>
      <c r="E1870" s="42" t="inlineStr">
        <is>
          <t>0132</t>
        </is>
      </c>
      <c r="F1870" s="70" t="inlineStr">
        <is>
          <t>Compras</t>
        </is>
      </c>
      <c r="G1870" s="68" t="n">
        <v>0</v>
      </c>
      <c r="H1870" s="172" t="inlineStr">
        <is>
          <t>Não</t>
        </is>
      </c>
      <c r="I1870" s="49" t="n"/>
    </row>
    <row r="1871">
      <c r="A1871" s="43" t="inlineStr">
        <is>
          <t>000303</t>
        </is>
      </c>
      <c r="B1871" s="44" t="inlineStr">
        <is>
          <t>LUNGO LEGGERO</t>
        </is>
      </c>
      <c r="C1871" s="45" t="inlineStr">
        <is>
          <t>MR</t>
        </is>
      </c>
      <c r="D1871" s="45" t="inlineStr">
        <is>
          <t>UN</t>
        </is>
      </c>
      <c r="E1871" s="45" t="inlineStr">
        <is>
          <t>0091</t>
        </is>
      </c>
      <c r="F1871" s="65" t="inlineStr">
        <is>
          <t>Venda</t>
        </is>
      </c>
      <c r="G1871" s="69" t="n">
        <v>0</v>
      </c>
      <c r="H1871" s="177" t="inlineStr">
        <is>
          <t>Sim</t>
        </is>
      </c>
      <c r="I1871" s="178" t="n"/>
    </row>
    <row r="1872">
      <c r="A1872" s="40" t="inlineStr">
        <is>
          <t>000449</t>
        </is>
      </c>
      <c r="B1872" s="41" t="inlineStr">
        <is>
          <t>LUNGO LEGGERO IN</t>
        </is>
      </c>
      <c r="C1872" s="42" t="inlineStr">
        <is>
          <t>MR</t>
        </is>
      </c>
      <c r="D1872" s="42" t="inlineStr">
        <is>
          <t>UN</t>
        </is>
      </c>
      <c r="E1872" s="42" t="inlineStr">
        <is>
          <t>0091</t>
        </is>
      </c>
      <c r="F1872" s="65" t="inlineStr">
        <is>
          <t>Venda</t>
        </is>
      </c>
      <c r="G1872" s="68" t="n">
        <v>0</v>
      </c>
      <c r="H1872" s="173" t="inlineStr">
        <is>
          <t>Sim</t>
        </is>
      </c>
      <c r="I1872" s="49" t="n"/>
    </row>
    <row r="1873">
      <c r="A1873" s="43" t="inlineStr">
        <is>
          <t>000090</t>
        </is>
      </c>
      <c r="B1873" s="44" t="inlineStr">
        <is>
          <t>LUSTRA MOVEIS 200ML</t>
        </is>
      </c>
      <c r="C1873" s="45" t="inlineStr">
        <is>
          <t>MC</t>
        </is>
      </c>
      <c r="D1873" s="45" t="inlineStr">
        <is>
          <t>UN</t>
        </is>
      </c>
      <c r="E1873" s="45" t="inlineStr">
        <is>
          <t>0075</t>
        </is>
      </c>
      <c r="F1873" s="70" t="inlineStr">
        <is>
          <t>Compras</t>
        </is>
      </c>
      <c r="G1873" s="66" t="n">
        <v>4.19</v>
      </c>
      <c r="H1873" s="172" t="inlineStr">
        <is>
          <t>Não</t>
        </is>
      </c>
      <c r="I1873" s="50" t="n"/>
    </row>
    <row r="1874">
      <c r="A1874" s="40" t="inlineStr">
        <is>
          <t>000115</t>
        </is>
      </c>
      <c r="B1874" s="41" t="inlineStr">
        <is>
          <t>LUVA CIRURGICA CX COM 100</t>
        </is>
      </c>
      <c r="C1874" s="42" t="inlineStr">
        <is>
          <t>MC</t>
        </is>
      </c>
      <c r="D1874" s="42" t="inlineStr">
        <is>
          <t>CX</t>
        </is>
      </c>
      <c r="E1874" s="42" t="inlineStr">
        <is>
          <t>0075</t>
        </is>
      </c>
      <c r="F1874" s="70" t="inlineStr">
        <is>
          <t>Compras</t>
        </is>
      </c>
      <c r="G1874" s="71" t="n">
        <v>18.45</v>
      </c>
      <c r="H1874" s="172" t="inlineStr">
        <is>
          <t>Não</t>
        </is>
      </c>
      <c r="I1874" s="49" t="n"/>
    </row>
    <row r="1875">
      <c r="A1875" s="43" t="inlineStr">
        <is>
          <t>000195</t>
        </is>
      </c>
      <c r="B1875" s="44" t="inlineStr">
        <is>
          <t>LUVA DE ACO PARA CORTE</t>
        </is>
      </c>
      <c r="C1875" s="45" t="inlineStr">
        <is>
          <t>MC</t>
        </is>
      </c>
      <c r="D1875" s="45" t="inlineStr">
        <is>
          <t>UN</t>
        </is>
      </c>
      <c r="E1875" s="45" t="inlineStr">
        <is>
          <t>0017</t>
        </is>
      </c>
      <c r="F1875" s="70" t="inlineStr">
        <is>
          <t>Compras</t>
        </is>
      </c>
      <c r="G1875" s="66" t="n">
        <v>4.06</v>
      </c>
      <c r="H1875" s="172" t="inlineStr">
        <is>
          <t>Não</t>
        </is>
      </c>
      <c r="I1875" s="50" t="n"/>
    </row>
    <row r="1876">
      <c r="A1876" s="40" t="inlineStr">
        <is>
          <t>009962</t>
        </is>
      </c>
      <c r="B1876" s="41" t="inlineStr">
        <is>
          <t>LUVA DE BORRACHA TAMANHO GRANDE</t>
        </is>
      </c>
      <c r="C1876" s="42" t="inlineStr">
        <is>
          <t>MC</t>
        </is>
      </c>
      <c r="D1876" s="42" t="inlineStr">
        <is>
          <t>UN</t>
        </is>
      </c>
      <c r="E1876" s="42" t="inlineStr">
        <is>
          <t>0075</t>
        </is>
      </c>
      <c r="F1876" s="70" t="inlineStr">
        <is>
          <t>Compras</t>
        </is>
      </c>
      <c r="G1876" s="71" t="n">
        <v>15</v>
      </c>
      <c r="H1876" s="172" t="inlineStr">
        <is>
          <t>Não</t>
        </is>
      </c>
      <c r="I1876" s="49" t="n"/>
    </row>
    <row r="1877">
      <c r="A1877" s="43" t="inlineStr">
        <is>
          <t>000105</t>
        </is>
      </c>
      <c r="B1877" s="44" t="inlineStr">
        <is>
          <t>LUVA DE BORRACHA TAMANHO MEDIO</t>
        </is>
      </c>
      <c r="C1877" s="45" t="inlineStr">
        <is>
          <t>MC</t>
        </is>
      </c>
      <c r="D1877" s="45" t="inlineStr">
        <is>
          <t>UN</t>
        </is>
      </c>
      <c r="E1877" s="45" t="inlineStr">
        <is>
          <t>0075</t>
        </is>
      </c>
      <c r="F1877" s="70" t="inlineStr">
        <is>
          <t>Compras</t>
        </is>
      </c>
      <c r="G1877" s="66" t="n">
        <v>3.9</v>
      </c>
      <c r="H1877" s="172" t="inlineStr">
        <is>
          <t>Não</t>
        </is>
      </c>
      <c r="I1877" s="50" t="n"/>
    </row>
    <row r="1878">
      <c r="A1878" s="40" t="inlineStr">
        <is>
          <t>009516</t>
        </is>
      </c>
      <c r="B1878" s="41" t="inlineStr">
        <is>
          <t>LUVA DE PROTECAO PU N10</t>
        </is>
      </c>
      <c r="C1878" s="42" t="inlineStr">
        <is>
          <t>MC</t>
        </is>
      </c>
      <c r="D1878" s="42" t="inlineStr">
        <is>
          <t>P</t>
        </is>
      </c>
      <c r="E1878" s="42" t="inlineStr">
        <is>
          <t>0132</t>
        </is>
      </c>
      <c r="F1878" s="70" t="inlineStr">
        <is>
          <t>Compras</t>
        </is>
      </c>
      <c r="G1878" s="71" t="n">
        <v>8</v>
      </c>
      <c r="H1878" s="172" t="inlineStr">
        <is>
          <t>Não</t>
        </is>
      </c>
      <c r="I1878" s="49" t="n"/>
    </row>
    <row r="1879">
      <c r="A1879" s="43" t="inlineStr">
        <is>
          <t>009423</t>
        </is>
      </c>
      <c r="B1879" s="44" t="inlineStr">
        <is>
          <t>LUVA ESGOTO 100MM</t>
        </is>
      </c>
      <c r="C1879" s="45" t="inlineStr">
        <is>
          <t>MC</t>
        </is>
      </c>
      <c r="D1879" s="45" t="inlineStr">
        <is>
          <t>UN</t>
        </is>
      </c>
      <c r="E1879" s="45" t="inlineStr">
        <is>
          <t>0132</t>
        </is>
      </c>
      <c r="F1879" s="70" t="inlineStr">
        <is>
          <t>Compras</t>
        </is>
      </c>
      <c r="G1879" s="66" t="n">
        <v>3.6</v>
      </c>
      <c r="H1879" s="172" t="inlineStr">
        <is>
          <t>Não</t>
        </is>
      </c>
      <c r="I1879" s="50" t="n"/>
    </row>
    <row r="1880">
      <c r="A1880" s="40" t="inlineStr">
        <is>
          <t>010248</t>
        </is>
      </c>
      <c r="B1880" s="41" t="inlineStr">
        <is>
          <t>LUVA ESGOTO 50MM</t>
        </is>
      </c>
      <c r="C1880" s="42" t="inlineStr">
        <is>
          <t>MC</t>
        </is>
      </c>
      <c r="D1880" s="42" t="inlineStr">
        <is>
          <t>UN</t>
        </is>
      </c>
      <c r="E1880" s="42" t="inlineStr">
        <is>
          <t>0132</t>
        </is>
      </c>
      <c r="F1880" s="70" t="inlineStr">
        <is>
          <t>Compras</t>
        </is>
      </c>
      <c r="G1880" s="71" t="n">
        <v>4.68</v>
      </c>
      <c r="H1880" s="172" t="inlineStr">
        <is>
          <t>Não</t>
        </is>
      </c>
      <c r="I1880" s="49" t="n"/>
    </row>
    <row r="1881">
      <c r="A1881" s="43" t="inlineStr">
        <is>
          <t>000277</t>
        </is>
      </c>
      <c r="B1881" s="44" t="inlineStr">
        <is>
          <t>LUVA NITRILICA</t>
        </is>
      </c>
      <c r="C1881" s="45" t="inlineStr">
        <is>
          <t>MC</t>
        </is>
      </c>
      <c r="D1881" s="45" t="inlineStr">
        <is>
          <t>CX</t>
        </is>
      </c>
      <c r="E1881" s="45" t="inlineStr">
        <is>
          <t>0075</t>
        </is>
      </c>
      <c r="F1881" s="70" t="inlineStr">
        <is>
          <t>Compras</t>
        </is>
      </c>
      <c r="G1881" s="66" t="n">
        <v>26.39</v>
      </c>
      <c r="H1881" s="172" t="inlineStr">
        <is>
          <t>Não</t>
        </is>
      </c>
      <c r="I1881" s="50" t="n"/>
    </row>
    <row r="1882">
      <c r="A1882" s="40" t="inlineStr">
        <is>
          <t>000116</t>
        </is>
      </c>
      <c r="B1882" s="41" t="inlineStr">
        <is>
          <t>LUVA PLASTICA DESCARTAVEL PCT C 100</t>
        </is>
      </c>
      <c r="C1882" s="42" t="inlineStr">
        <is>
          <t>MC</t>
        </is>
      </c>
      <c r="D1882" s="42" t="inlineStr">
        <is>
          <t>PC</t>
        </is>
      </c>
      <c r="E1882" s="42" t="inlineStr">
        <is>
          <t>0075</t>
        </is>
      </c>
      <c r="F1882" s="70" t="inlineStr">
        <is>
          <t>Compras</t>
        </is>
      </c>
      <c r="G1882" s="71" t="n">
        <v>1.9</v>
      </c>
      <c r="H1882" s="172" t="inlineStr">
        <is>
          <t>Não</t>
        </is>
      </c>
      <c r="I1882" s="49" t="n"/>
    </row>
    <row r="1883">
      <c r="A1883" s="43" t="inlineStr">
        <is>
          <t>009886</t>
        </is>
      </c>
      <c r="B1883" s="44" t="inlineStr">
        <is>
          <t>LUVA PVC ROSCAVEL 3/4</t>
        </is>
      </c>
      <c r="C1883" s="45" t="inlineStr">
        <is>
          <t>MC</t>
        </is>
      </c>
      <c r="D1883" s="45" t="inlineStr">
        <is>
          <t>UN</t>
        </is>
      </c>
      <c r="E1883" s="45" t="inlineStr">
        <is>
          <t>0132</t>
        </is>
      </c>
      <c r="F1883" s="70" t="inlineStr">
        <is>
          <t>Compras</t>
        </is>
      </c>
      <c r="G1883" s="66" t="n">
        <v>1.5</v>
      </c>
      <c r="H1883" s="172" t="inlineStr">
        <is>
          <t>Não</t>
        </is>
      </c>
      <c r="I1883" s="50" t="n"/>
    </row>
    <row r="1884">
      <c r="A1884" s="40" t="inlineStr">
        <is>
          <t>009872</t>
        </is>
      </c>
      <c r="B1884" s="41" t="inlineStr">
        <is>
          <t>LUVA ROSCAVEL PVC 1/2</t>
        </is>
      </c>
      <c r="C1884" s="42" t="inlineStr">
        <is>
          <t>MC</t>
        </is>
      </c>
      <c r="D1884" s="42" t="inlineStr">
        <is>
          <t>UN</t>
        </is>
      </c>
      <c r="E1884" s="42" t="inlineStr">
        <is>
          <t>0132</t>
        </is>
      </c>
      <c r="F1884" s="70" t="inlineStr">
        <is>
          <t>Compras</t>
        </is>
      </c>
      <c r="G1884" s="71" t="n">
        <v>3.3</v>
      </c>
      <c r="H1884" s="172" t="inlineStr">
        <is>
          <t>Não</t>
        </is>
      </c>
      <c r="I1884" s="49" t="n"/>
    </row>
    <row r="1885">
      <c r="A1885" s="43" t="inlineStr">
        <is>
          <t>009453</t>
        </is>
      </c>
      <c r="B1885" s="44" t="inlineStr">
        <is>
          <t>LUVA SOLDAVEL  3/4</t>
        </is>
      </c>
      <c r="C1885" s="45" t="inlineStr">
        <is>
          <t>MC</t>
        </is>
      </c>
      <c r="D1885" s="45" t="inlineStr">
        <is>
          <t>UN</t>
        </is>
      </c>
      <c r="E1885" s="45" t="inlineStr">
        <is>
          <t>0132</t>
        </is>
      </c>
      <c r="F1885" s="70" t="inlineStr">
        <is>
          <t>Compras</t>
        </is>
      </c>
      <c r="G1885" s="66" t="n">
        <v>1.6</v>
      </c>
      <c r="H1885" s="172" t="inlineStr">
        <is>
          <t>Não</t>
        </is>
      </c>
      <c r="I1885" s="50" t="n"/>
    </row>
    <row r="1886">
      <c r="A1886" s="40" t="inlineStr">
        <is>
          <t>000276</t>
        </is>
      </c>
      <c r="B1886" s="41" t="inlineStr">
        <is>
          <t>LUVA TERMICA PARA COZINHA MAO DE GATO</t>
        </is>
      </c>
      <c r="C1886" s="42" t="inlineStr">
        <is>
          <t>MC</t>
        </is>
      </c>
      <c r="D1886" s="42" t="inlineStr">
        <is>
          <t>UN</t>
        </is>
      </c>
      <c r="E1886" s="42" t="inlineStr">
        <is>
          <t>0017</t>
        </is>
      </c>
      <c r="F1886" s="70" t="inlineStr">
        <is>
          <t>Compras</t>
        </is>
      </c>
      <c r="G1886" s="71" t="n">
        <v>45.5</v>
      </c>
      <c r="H1886" s="172" t="inlineStr">
        <is>
          <t>Não</t>
        </is>
      </c>
      <c r="I1886" s="49" t="n"/>
    </row>
    <row r="1887">
      <c r="A1887" s="43" t="inlineStr">
        <is>
          <t>010107</t>
        </is>
      </c>
      <c r="B1887" s="44" t="inlineStr">
        <is>
          <t>LUVA TRICOTADA SIMPLES</t>
        </is>
      </c>
      <c r="C1887" s="45" t="inlineStr">
        <is>
          <t>MC</t>
        </is>
      </c>
      <c r="D1887" s="45" t="inlineStr">
        <is>
          <t>UN</t>
        </is>
      </c>
      <c r="E1887" s="45" t="inlineStr">
        <is>
          <t>0132</t>
        </is>
      </c>
      <c r="F1887" s="70" t="inlineStr">
        <is>
          <t>Compras</t>
        </is>
      </c>
      <c r="G1887" s="66" t="n">
        <v>5.4</v>
      </c>
      <c r="H1887" s="172" t="inlineStr">
        <is>
          <t>Não</t>
        </is>
      </c>
      <c r="I1887" s="50" t="n"/>
    </row>
    <row r="1888">
      <c r="A1888" s="40" t="inlineStr">
        <is>
          <t>001371</t>
        </is>
      </c>
      <c r="B1888" s="41" t="inlineStr">
        <is>
          <t>LYCRA</t>
        </is>
      </c>
      <c r="C1888" s="42" t="inlineStr">
        <is>
          <t>MC</t>
        </is>
      </c>
      <c r="D1888" s="42" t="inlineStr">
        <is>
          <t>UN</t>
        </is>
      </c>
      <c r="E1888" s="42" t="inlineStr">
        <is>
          <t>0059</t>
        </is>
      </c>
      <c r="F1888" s="70" t="inlineStr">
        <is>
          <t>Compras</t>
        </is>
      </c>
      <c r="G1888" s="68" t="n">
        <v>0</v>
      </c>
      <c r="H1888" s="173" t="inlineStr">
        <is>
          <t>Sim</t>
        </is>
      </c>
      <c r="I1888" s="49" t="n"/>
    </row>
    <row r="1889">
      <c r="A1889" s="43" t="inlineStr">
        <is>
          <t>000640</t>
        </is>
      </c>
      <c r="B1889" s="44" t="inlineStr">
        <is>
          <t>MACA DO AMOR</t>
        </is>
      </c>
      <c r="C1889" s="45" t="inlineStr">
        <is>
          <t>PA</t>
        </is>
      </c>
      <c r="D1889" s="45" t="inlineStr">
        <is>
          <t>UN</t>
        </is>
      </c>
      <c r="E1889" s="45" t="inlineStr">
        <is>
          <t>0096</t>
        </is>
      </c>
      <c r="F1889" s="65" t="inlineStr">
        <is>
          <t>Venda</t>
        </is>
      </c>
      <c r="G1889" s="69" t="n">
        <v>0</v>
      </c>
      <c r="H1889" s="173" t="inlineStr">
        <is>
          <t>Sim</t>
        </is>
      </c>
      <c r="I1889" s="50" t="n"/>
    </row>
    <row r="1890">
      <c r="A1890" s="40" t="inlineStr">
        <is>
          <t>000497</t>
        </is>
      </c>
      <c r="B1890" s="41" t="inlineStr">
        <is>
          <t>MACA FRUTA</t>
        </is>
      </c>
      <c r="C1890" s="42" t="inlineStr">
        <is>
          <t>MP</t>
        </is>
      </c>
      <c r="D1890" s="42" t="inlineStr">
        <is>
          <t>KG</t>
        </is>
      </c>
      <c r="E1890" s="42" t="inlineStr">
        <is>
          <t>0036</t>
        </is>
      </c>
      <c r="F1890" s="70" t="inlineStr">
        <is>
          <t>Compras</t>
        </is>
      </c>
      <c r="G1890" s="71" t="n">
        <v>8.06</v>
      </c>
      <c r="H1890" s="172" t="inlineStr">
        <is>
          <t>Não</t>
        </is>
      </c>
      <c r="I1890" s="49" t="n"/>
    </row>
    <row r="1891">
      <c r="A1891" s="43" t="inlineStr">
        <is>
          <t>010174</t>
        </is>
      </c>
      <c r="B1891" s="44" t="inlineStr">
        <is>
          <t>MACANETA PARA PORTA</t>
        </is>
      </c>
      <c r="C1891" s="45" t="inlineStr">
        <is>
          <t>MC</t>
        </is>
      </c>
      <c r="D1891" s="45" t="inlineStr">
        <is>
          <t>UN</t>
        </is>
      </c>
      <c r="E1891" s="45" t="inlineStr">
        <is>
          <t>0132</t>
        </is>
      </c>
      <c r="F1891" s="70" t="inlineStr">
        <is>
          <t>Compras</t>
        </is>
      </c>
      <c r="G1891" s="66" t="n">
        <v>24</v>
      </c>
      <c r="H1891" s="172" t="inlineStr">
        <is>
          <t>Não</t>
        </is>
      </c>
      <c r="I1891" s="50" t="n"/>
    </row>
    <row r="1892">
      <c r="A1892" s="40" t="inlineStr">
        <is>
          <t>009901</t>
        </is>
      </c>
      <c r="B1892" s="41" t="inlineStr">
        <is>
          <t>MACARICO AUTOMATICO</t>
        </is>
      </c>
      <c r="C1892" s="42" t="inlineStr">
        <is>
          <t>MC</t>
        </is>
      </c>
      <c r="D1892" s="42" t="inlineStr">
        <is>
          <t>UN</t>
        </is>
      </c>
      <c r="E1892" s="42" t="inlineStr">
        <is>
          <t>0132</t>
        </is>
      </c>
      <c r="F1892" s="70" t="inlineStr">
        <is>
          <t>Compras</t>
        </is>
      </c>
      <c r="G1892" s="71" t="n">
        <v>59.9</v>
      </c>
      <c r="H1892" s="172" t="inlineStr">
        <is>
          <t>Não</t>
        </is>
      </c>
      <c r="I1892" s="49" t="n"/>
    </row>
    <row r="1893">
      <c r="A1893" s="43" t="inlineStr">
        <is>
          <t>010341</t>
        </is>
      </c>
      <c r="B1893" s="44" t="inlineStr">
        <is>
          <t>MACARRAO PENNE</t>
        </is>
      </c>
      <c r="C1893" s="45" t="inlineStr">
        <is>
          <t>MP</t>
        </is>
      </c>
      <c r="D1893" s="45" t="inlineStr">
        <is>
          <t>KG</t>
        </is>
      </c>
      <c r="E1893" s="45" t="inlineStr">
        <is>
          <t>0029</t>
        </is>
      </c>
      <c r="F1893" s="70" t="inlineStr">
        <is>
          <t>Compras</t>
        </is>
      </c>
      <c r="G1893" s="69" t="n">
        <v>21.68</v>
      </c>
      <c r="H1893" s="172" t="inlineStr">
        <is>
          <t>Não</t>
        </is>
      </c>
      <c r="I1893" s="50" t="n"/>
    </row>
    <row r="1894">
      <c r="A1894" s="40" t="inlineStr">
        <is>
          <t>000398</t>
        </is>
      </c>
      <c r="B1894" s="41" t="inlineStr">
        <is>
          <t>MACARRAO SPAGUETTI FUNCIONARIO</t>
        </is>
      </c>
      <c r="C1894" s="42" t="inlineStr">
        <is>
          <t>MC</t>
        </is>
      </c>
      <c r="D1894" s="42" t="inlineStr">
        <is>
          <t>KG</t>
        </is>
      </c>
      <c r="E1894" s="42" t="inlineStr">
        <is>
          <t>0013</t>
        </is>
      </c>
      <c r="F1894" s="70" t="inlineStr">
        <is>
          <t>Compras</t>
        </is>
      </c>
      <c r="G1894" s="71" t="n">
        <v>7.6</v>
      </c>
      <c r="H1894" s="172" t="inlineStr">
        <is>
          <t>Não</t>
        </is>
      </c>
      <c r="I1894" s="49" t="n"/>
    </row>
    <row r="1895">
      <c r="A1895" s="43" t="inlineStr">
        <is>
          <t>002104</t>
        </is>
      </c>
      <c r="B1895" s="44" t="inlineStr">
        <is>
          <t>MAD - MIRAX FLORAL DESINF 5LT</t>
        </is>
      </c>
      <c r="C1895" s="45" t="inlineStr">
        <is>
          <t>MC</t>
        </is>
      </c>
      <c r="D1895" s="45" t="inlineStr">
        <is>
          <t>UN</t>
        </is>
      </c>
      <c r="E1895" s="45" t="inlineStr">
        <is>
          <t>0075</t>
        </is>
      </c>
      <c r="F1895" s="70" t="inlineStr">
        <is>
          <t>Compras</t>
        </is>
      </c>
      <c r="G1895" s="69" t="n">
        <v>0</v>
      </c>
      <c r="H1895" s="172" t="inlineStr">
        <is>
          <t>Não</t>
        </is>
      </c>
      <c r="I1895" s="50" t="n"/>
    </row>
    <row r="1896">
      <c r="A1896" s="40" t="inlineStr">
        <is>
          <t>009677</t>
        </is>
      </c>
      <c r="B1896" s="41" t="inlineStr">
        <is>
          <t>MADEIRA PONTALETE PINUS 5X5 C/ 3M</t>
        </is>
      </c>
      <c r="C1896" s="42" t="inlineStr">
        <is>
          <t>MC</t>
        </is>
      </c>
      <c r="D1896" s="42" t="inlineStr">
        <is>
          <t>UN</t>
        </is>
      </c>
      <c r="E1896" s="42" t="inlineStr">
        <is>
          <t>0132</t>
        </is>
      </c>
      <c r="F1896" s="70" t="inlineStr">
        <is>
          <t>Compras</t>
        </is>
      </c>
      <c r="G1896" s="68" t="n">
        <v>0</v>
      </c>
      <c r="H1896" s="172" t="inlineStr">
        <is>
          <t>Não</t>
        </is>
      </c>
      <c r="I1896" s="49" t="n"/>
    </row>
    <row r="1897">
      <c r="A1897" s="43" t="inlineStr">
        <is>
          <t>009684</t>
        </is>
      </c>
      <c r="B1897" s="44" t="inlineStr">
        <is>
          <t>MADEIRITE PLASTIFICADO 1,10 X 2,20</t>
        </is>
      </c>
      <c r="C1897" s="45" t="inlineStr">
        <is>
          <t>MC</t>
        </is>
      </c>
      <c r="D1897" s="45" t="inlineStr">
        <is>
          <t>UN</t>
        </is>
      </c>
      <c r="E1897" s="45" t="inlineStr">
        <is>
          <t>0132</t>
        </is>
      </c>
      <c r="F1897" s="70" t="inlineStr">
        <is>
          <t>Compras</t>
        </is>
      </c>
      <c r="G1897" s="66" t="n">
        <v>120.4</v>
      </c>
      <c r="H1897" s="172" t="inlineStr">
        <is>
          <t>Não</t>
        </is>
      </c>
      <c r="I1897" s="50" t="n"/>
    </row>
    <row r="1898">
      <c r="A1898" s="40" t="inlineStr">
        <is>
          <t>009884</t>
        </is>
      </c>
      <c r="B1898" s="41" t="inlineStr">
        <is>
          <t>MAGUEIRA DRENO 3/4</t>
        </is>
      </c>
      <c r="C1898" s="42" t="inlineStr">
        <is>
          <t>MC</t>
        </is>
      </c>
      <c r="D1898" s="42" t="inlineStr">
        <is>
          <t>UN</t>
        </is>
      </c>
      <c r="E1898" s="42" t="inlineStr">
        <is>
          <t>0132</t>
        </is>
      </c>
      <c r="F1898" s="70" t="inlineStr">
        <is>
          <t>Compras</t>
        </is>
      </c>
      <c r="G1898" s="71" t="n">
        <v>45</v>
      </c>
      <c r="H1898" s="172" t="inlineStr">
        <is>
          <t>Não</t>
        </is>
      </c>
      <c r="I1898" s="49" t="n"/>
    </row>
    <row r="1899">
      <c r="A1899" s="43" t="inlineStr">
        <is>
          <t>001582</t>
        </is>
      </c>
      <c r="B1899" s="44" t="inlineStr">
        <is>
          <t>MAIONESE BALDE 3KG</t>
        </is>
      </c>
      <c r="C1899" s="45" t="inlineStr">
        <is>
          <t>MP</t>
        </is>
      </c>
      <c r="D1899" s="45" t="inlineStr">
        <is>
          <t>BD</t>
        </is>
      </c>
      <c r="E1899" s="45" t="inlineStr">
        <is>
          <t>0029</t>
        </is>
      </c>
      <c r="F1899" s="70" t="inlineStr">
        <is>
          <t>Compras</t>
        </is>
      </c>
      <c r="G1899" s="66" t="n">
        <v>50.3</v>
      </c>
      <c r="H1899" s="172" t="inlineStr">
        <is>
          <t>Não</t>
        </is>
      </c>
      <c r="I1899" s="50" t="n"/>
    </row>
    <row r="1900">
      <c r="A1900" s="40" t="inlineStr">
        <is>
          <t>000324</t>
        </is>
      </c>
      <c r="B1900" s="41" t="inlineStr">
        <is>
          <t>MALZBIER LONG NECK</t>
        </is>
      </c>
      <c r="C1900" s="42" t="inlineStr">
        <is>
          <t>ME</t>
        </is>
      </c>
      <c r="D1900" s="42" t="inlineStr">
        <is>
          <t>UN</t>
        </is>
      </c>
      <c r="E1900" s="42" t="inlineStr">
        <is>
          <t>0026</t>
        </is>
      </c>
      <c r="F1900" s="70" t="inlineStr">
        <is>
          <t>Compras</t>
        </is>
      </c>
      <c r="G1900" s="71" t="n">
        <v>4.426</v>
      </c>
      <c r="H1900" s="172" t="inlineStr">
        <is>
          <t>Não</t>
        </is>
      </c>
      <c r="I1900" s="49" t="n"/>
    </row>
    <row r="1901">
      <c r="A1901" s="43" t="inlineStr">
        <is>
          <t>000903</t>
        </is>
      </c>
      <c r="B1901" s="44" t="inlineStr">
        <is>
          <t>MALZEBIER LONG</t>
        </is>
      </c>
      <c r="C1901" s="45" t="inlineStr">
        <is>
          <t>MR</t>
        </is>
      </c>
      <c r="D1901" s="45" t="inlineStr">
        <is>
          <t>UN</t>
        </is>
      </c>
      <c r="E1901" s="45" t="inlineStr">
        <is>
          <t>0093</t>
        </is>
      </c>
      <c r="F1901" s="65" t="inlineStr">
        <is>
          <t>Venda</t>
        </is>
      </c>
      <c r="G1901" s="69" t="n">
        <v>0</v>
      </c>
      <c r="H1901" s="172" t="inlineStr">
        <is>
          <t>Não</t>
        </is>
      </c>
      <c r="I1901" s="48" t="inlineStr">
        <is>
          <t>80003</t>
        </is>
      </c>
    </row>
    <row r="1902">
      <c r="A1902" s="40" t="inlineStr">
        <is>
          <t>000671</t>
        </is>
      </c>
      <c r="B1902" s="41" t="inlineStr">
        <is>
          <t>MAMAO</t>
        </is>
      </c>
      <c r="C1902" s="42" t="inlineStr">
        <is>
          <t>MR</t>
        </is>
      </c>
      <c r="D1902" s="42" t="inlineStr">
        <is>
          <t>KG</t>
        </is>
      </c>
      <c r="E1902" s="42" t="inlineStr">
        <is>
          <t>0036</t>
        </is>
      </c>
      <c r="F1902" s="70" t="inlineStr">
        <is>
          <t>Compras</t>
        </is>
      </c>
      <c r="G1902" s="71" t="n">
        <v>9.25</v>
      </c>
      <c r="H1902" s="173" t="inlineStr">
        <is>
          <t>Sim</t>
        </is>
      </c>
      <c r="I1902" s="49" t="n"/>
    </row>
    <row r="1903">
      <c r="A1903" s="43" t="inlineStr">
        <is>
          <t>000693</t>
        </is>
      </c>
      <c r="B1903" s="44" t="inlineStr">
        <is>
          <t>MANCAL (LIQUIDIFICADOR)</t>
        </is>
      </c>
      <c r="C1903" s="45" t="inlineStr">
        <is>
          <t>MC</t>
        </is>
      </c>
      <c r="D1903" s="45" t="inlineStr">
        <is>
          <t>UN</t>
        </is>
      </c>
      <c r="E1903" s="45" t="inlineStr">
        <is>
          <t>0080</t>
        </is>
      </c>
      <c r="F1903" s="70" t="inlineStr">
        <is>
          <t>Compras</t>
        </is>
      </c>
      <c r="G1903" s="69" t="n">
        <v>0</v>
      </c>
      <c r="H1903" s="172" t="inlineStr">
        <is>
          <t>Não</t>
        </is>
      </c>
      <c r="I1903" s="50" t="n"/>
    </row>
    <row r="1904">
      <c r="A1904" s="40" t="inlineStr">
        <is>
          <t>000476</t>
        </is>
      </c>
      <c r="B1904" s="41" t="inlineStr">
        <is>
          <t>MANDIOCA</t>
        </is>
      </c>
      <c r="C1904" s="42" t="inlineStr">
        <is>
          <t>MP</t>
        </is>
      </c>
      <c r="D1904" s="42" t="inlineStr">
        <is>
          <t>KG</t>
        </is>
      </c>
      <c r="E1904" s="42" t="inlineStr">
        <is>
          <t>0036</t>
        </is>
      </c>
      <c r="F1904" s="70" t="inlineStr">
        <is>
          <t>Compras</t>
        </is>
      </c>
      <c r="G1904" s="71" t="n">
        <v>3.99</v>
      </c>
      <c r="H1904" s="172" t="inlineStr">
        <is>
          <t>Não</t>
        </is>
      </c>
      <c r="I1904" s="49" t="n"/>
    </row>
    <row r="1905">
      <c r="A1905" s="43" t="inlineStr">
        <is>
          <t>009634</t>
        </is>
      </c>
      <c r="B1905" s="44" t="inlineStr">
        <is>
          <t>MANDIOCA (EXECUTIVO)</t>
        </is>
      </c>
      <c r="C1905" s="45" t="inlineStr">
        <is>
          <t>PA</t>
        </is>
      </c>
      <c r="D1905" s="45" t="inlineStr">
        <is>
          <t>UN</t>
        </is>
      </c>
      <c r="E1905" s="45" t="inlineStr">
        <is>
          <t>0121</t>
        </is>
      </c>
      <c r="F1905" s="65" t="inlineStr">
        <is>
          <t>Venda</t>
        </is>
      </c>
      <c r="G1905" s="69" t="n">
        <v>0</v>
      </c>
      <c r="H1905" s="172" t="inlineStr">
        <is>
          <t>Não</t>
        </is>
      </c>
      <c r="I1905" s="48" t="inlineStr">
        <is>
          <t>789890568772104</t>
        </is>
      </c>
    </row>
    <row r="1906">
      <c r="A1906" s="40" t="inlineStr">
        <is>
          <t>001581</t>
        </is>
      </c>
      <c r="B1906" s="41" t="inlineStr">
        <is>
          <t>MANDIOCA COZIDA CONG 1,01 KG</t>
        </is>
      </c>
      <c r="C1906" s="42" t="inlineStr">
        <is>
          <t>MP</t>
        </is>
      </c>
      <c r="D1906" s="42" t="inlineStr">
        <is>
          <t>KG</t>
        </is>
      </c>
      <c r="E1906" s="42" t="inlineStr">
        <is>
          <t>0022</t>
        </is>
      </c>
      <c r="F1906" s="70" t="inlineStr">
        <is>
          <t>Compras</t>
        </is>
      </c>
      <c r="G1906" s="71" t="n">
        <v>9.405900000000001</v>
      </c>
      <c r="H1906" s="172" t="inlineStr">
        <is>
          <t>Não</t>
        </is>
      </c>
      <c r="I1906" s="49" t="n"/>
    </row>
    <row r="1907">
      <c r="A1907" s="43" t="inlineStr">
        <is>
          <t>002237</t>
        </is>
      </c>
      <c r="B1907" s="44" t="inlineStr">
        <is>
          <t>MANDIOCA FRITA DELIVERY</t>
        </is>
      </c>
      <c r="C1907" s="45" t="inlineStr">
        <is>
          <t>PA</t>
        </is>
      </c>
      <c r="D1907" s="45" t="inlineStr">
        <is>
          <t>UN</t>
        </is>
      </c>
      <c r="E1907" s="45" t="inlineStr">
        <is>
          <t>0121</t>
        </is>
      </c>
      <c r="F1907" s="65" t="inlineStr">
        <is>
          <t>Venda</t>
        </is>
      </c>
      <c r="G1907" s="69" t="n">
        <v>0</v>
      </c>
      <c r="H1907" s="172" t="inlineStr">
        <is>
          <t>Não</t>
        </is>
      </c>
      <c r="I1907" s="48" t="inlineStr">
        <is>
          <t>78989056877330</t>
        </is>
      </c>
    </row>
    <row r="1908">
      <c r="A1908" s="40" t="inlineStr">
        <is>
          <t>001478</t>
        </is>
      </c>
      <c r="B1908" s="41" t="inlineStr">
        <is>
          <t>MANDIOCA FRITA PORCAO</t>
        </is>
      </c>
      <c r="C1908" s="42" t="inlineStr">
        <is>
          <t>PA</t>
        </is>
      </c>
      <c r="D1908" s="42" t="inlineStr">
        <is>
          <t>UN</t>
        </is>
      </c>
      <c r="E1908" s="42" t="inlineStr">
        <is>
          <t>0121</t>
        </is>
      </c>
      <c r="F1908" s="65" t="inlineStr">
        <is>
          <t>Venda</t>
        </is>
      </c>
      <c r="G1908" s="68" t="n">
        <v>0</v>
      </c>
      <c r="H1908" s="172" t="inlineStr">
        <is>
          <t>Não</t>
        </is>
      </c>
      <c r="I1908" s="47" t="inlineStr">
        <is>
          <t>78989056877115</t>
        </is>
      </c>
    </row>
    <row r="1909">
      <c r="A1909" s="43" t="inlineStr">
        <is>
          <t>010124</t>
        </is>
      </c>
      <c r="B1909" s="44" t="inlineStr">
        <is>
          <t>MANDRIL COM CHAVE</t>
        </is>
      </c>
      <c r="C1909" s="45" t="inlineStr">
        <is>
          <t>MC</t>
        </is>
      </c>
      <c r="D1909" s="45" t="inlineStr">
        <is>
          <t>UN</t>
        </is>
      </c>
      <c r="E1909" s="45" t="inlineStr">
        <is>
          <t>0132</t>
        </is>
      </c>
      <c r="F1909" s="70" t="inlineStr">
        <is>
          <t>Compras</t>
        </is>
      </c>
      <c r="G1909" s="69" t="n">
        <v>0</v>
      </c>
      <c r="H1909" s="172" t="inlineStr">
        <is>
          <t>Não</t>
        </is>
      </c>
      <c r="I1909" s="50" t="n"/>
    </row>
    <row r="1910">
      <c r="A1910" s="40" t="inlineStr">
        <is>
          <t>001369</t>
        </is>
      </c>
      <c r="B1910" s="41" t="inlineStr">
        <is>
          <t>MANGA CAFE DA MANHA</t>
        </is>
      </c>
      <c r="C1910" s="42" t="inlineStr">
        <is>
          <t>MR</t>
        </is>
      </c>
      <c r="D1910" s="42" t="inlineStr">
        <is>
          <t>UN</t>
        </is>
      </c>
      <c r="E1910" s="42" t="inlineStr">
        <is>
          <t>0100</t>
        </is>
      </c>
      <c r="F1910" s="65" t="inlineStr">
        <is>
          <t>Venda</t>
        </is>
      </c>
      <c r="G1910" s="68" t="n">
        <v>0</v>
      </c>
      <c r="H1910" s="173" t="inlineStr">
        <is>
          <t>Sim</t>
        </is>
      </c>
      <c r="I1910" s="49" t="n"/>
    </row>
    <row r="1911">
      <c r="A1911" s="43" t="inlineStr">
        <is>
          <t>000498</t>
        </is>
      </c>
      <c r="B1911" s="44" t="inlineStr">
        <is>
          <t>MANGA FRUTA</t>
        </is>
      </c>
      <c r="C1911" s="45" t="inlineStr">
        <is>
          <t>MP</t>
        </is>
      </c>
      <c r="D1911" s="45" t="inlineStr">
        <is>
          <t>KG</t>
        </is>
      </c>
      <c r="E1911" s="45" t="inlineStr">
        <is>
          <t>0036</t>
        </is>
      </c>
      <c r="F1911" s="70" t="inlineStr">
        <is>
          <t>Compras</t>
        </is>
      </c>
      <c r="G1911" s="66" t="n">
        <v>19.8</v>
      </c>
      <c r="H1911" s="172" t="inlineStr">
        <is>
          <t>Não</t>
        </is>
      </c>
      <c r="I1911" s="50" t="n"/>
    </row>
    <row r="1912">
      <c r="A1912" s="40" t="inlineStr">
        <is>
          <t>001944</t>
        </is>
      </c>
      <c r="B1912" s="41" t="inlineStr">
        <is>
          <t>MANGO NEGRONI</t>
        </is>
      </c>
      <c r="C1912" s="42" t="inlineStr">
        <is>
          <t>PA</t>
        </is>
      </c>
      <c r="D1912" s="42" t="inlineStr">
        <is>
          <t>UN</t>
        </is>
      </c>
      <c r="E1912" s="42" t="inlineStr">
        <is>
          <t>0119</t>
        </is>
      </c>
      <c r="F1912" s="65" t="inlineStr">
        <is>
          <t>Venda</t>
        </is>
      </c>
      <c r="G1912" s="68" t="n">
        <v>0</v>
      </c>
      <c r="H1912" s="172" t="inlineStr">
        <is>
          <t>Não</t>
        </is>
      </c>
      <c r="I1912" s="47" t="inlineStr">
        <is>
          <t>78989056877222</t>
        </is>
      </c>
    </row>
    <row r="1913">
      <c r="A1913" s="43" t="inlineStr">
        <is>
          <t>000193</t>
        </is>
      </c>
      <c r="B1913" s="44" t="inlineStr">
        <is>
          <t>MANGOTE DE BORRACHA</t>
        </is>
      </c>
      <c r="C1913" s="45" t="inlineStr">
        <is>
          <t>MC</t>
        </is>
      </c>
      <c r="D1913" s="45" t="inlineStr">
        <is>
          <t>UN</t>
        </is>
      </c>
      <c r="E1913" s="45" t="inlineStr">
        <is>
          <t>0132</t>
        </is>
      </c>
      <c r="F1913" s="70" t="inlineStr">
        <is>
          <t>Compras</t>
        </is>
      </c>
      <c r="G1913" s="66" t="n">
        <v>131</v>
      </c>
      <c r="H1913" s="172" t="inlineStr">
        <is>
          <t>Não</t>
        </is>
      </c>
      <c r="I1913" s="50" t="n"/>
    </row>
    <row r="1914">
      <c r="A1914" s="40" t="inlineStr">
        <is>
          <t>000235</t>
        </is>
      </c>
      <c r="B1914" s="41" t="inlineStr">
        <is>
          <t>MANGUEIRA</t>
        </is>
      </c>
      <c r="C1914" s="42" t="inlineStr">
        <is>
          <t>MC</t>
        </is>
      </c>
      <c r="D1914" s="42" t="inlineStr">
        <is>
          <t>UN</t>
        </is>
      </c>
      <c r="E1914" s="42" t="inlineStr">
        <is>
          <t>0075</t>
        </is>
      </c>
      <c r="F1914" s="70" t="inlineStr">
        <is>
          <t>Compras</t>
        </is>
      </c>
      <c r="G1914" s="71" t="n">
        <v>35</v>
      </c>
      <c r="H1914" s="172" t="inlineStr">
        <is>
          <t>Não</t>
        </is>
      </c>
      <c r="I1914" s="49" t="n"/>
    </row>
    <row r="1915">
      <c r="A1915" s="43" t="inlineStr">
        <is>
          <t>010173</t>
        </is>
      </c>
      <c r="B1915" s="44" t="inlineStr">
        <is>
          <t>MANGUEIRA FLEXIVEL 1/2 1,20MM</t>
        </is>
      </c>
      <c r="C1915" s="45" t="inlineStr">
        <is>
          <t>MC</t>
        </is>
      </c>
      <c r="D1915" s="45" t="inlineStr">
        <is>
          <t>UN</t>
        </is>
      </c>
      <c r="E1915" s="45" t="inlineStr">
        <is>
          <t>0132</t>
        </is>
      </c>
      <c r="F1915" s="70" t="inlineStr">
        <is>
          <t>Compras</t>
        </is>
      </c>
      <c r="G1915" s="66" t="n">
        <v>135</v>
      </c>
      <c r="H1915" s="172" t="inlineStr">
        <is>
          <t>Não</t>
        </is>
      </c>
      <c r="I1915" s="50" t="n"/>
    </row>
    <row r="1916">
      <c r="A1916" s="40" t="inlineStr">
        <is>
          <t>001116</t>
        </is>
      </c>
      <c r="B1916" s="41" t="inlineStr">
        <is>
          <t>MANGUEIRA LED</t>
        </is>
      </c>
      <c r="C1916" s="42" t="inlineStr">
        <is>
          <t>MC</t>
        </is>
      </c>
      <c r="D1916" s="42" t="inlineStr">
        <is>
          <t>UN</t>
        </is>
      </c>
      <c r="E1916" s="42" t="inlineStr">
        <is>
          <t>0132</t>
        </is>
      </c>
      <c r="F1916" s="70" t="inlineStr">
        <is>
          <t>Compras</t>
        </is>
      </c>
      <c r="G1916" s="71" t="n">
        <v>499.88</v>
      </c>
      <c r="H1916" s="172" t="inlineStr">
        <is>
          <t>Não</t>
        </is>
      </c>
      <c r="I1916" s="49" t="n"/>
    </row>
    <row r="1917">
      <c r="A1917" s="43" t="inlineStr">
        <is>
          <t>010090</t>
        </is>
      </c>
      <c r="B1917" s="44" t="inlineStr">
        <is>
          <t>MANGUEIRA TIPO 2</t>
        </is>
      </c>
      <c r="C1917" s="45" t="inlineStr">
        <is>
          <t>MC</t>
        </is>
      </c>
      <c r="D1917" s="45" t="inlineStr">
        <is>
          <t>UN</t>
        </is>
      </c>
      <c r="E1917" s="45" t="inlineStr">
        <is>
          <t>0075</t>
        </is>
      </c>
      <c r="F1917" s="70" t="inlineStr">
        <is>
          <t>Compras</t>
        </is>
      </c>
      <c r="G1917" s="66" t="n">
        <v>750</v>
      </c>
      <c r="H1917" s="172" t="inlineStr">
        <is>
          <t>Não</t>
        </is>
      </c>
      <c r="I1917" s="50" t="n"/>
    </row>
    <row r="1918">
      <c r="A1918" s="40" t="inlineStr">
        <is>
          <t>000740</t>
        </is>
      </c>
      <c r="B1918" s="41" t="inlineStr">
        <is>
          <t>MANGUEIRA WAP</t>
        </is>
      </c>
      <c r="C1918" s="42" t="inlineStr">
        <is>
          <t>MC</t>
        </is>
      </c>
      <c r="D1918" s="42" t="inlineStr">
        <is>
          <t>UN</t>
        </is>
      </c>
      <c r="E1918" s="42" t="inlineStr">
        <is>
          <t>0132</t>
        </is>
      </c>
      <c r="F1918" s="70" t="inlineStr">
        <is>
          <t>Compras</t>
        </is>
      </c>
      <c r="G1918" s="71" t="n">
        <v>950</v>
      </c>
      <c r="H1918" s="172" t="inlineStr">
        <is>
          <t>Não</t>
        </is>
      </c>
      <c r="I1918" s="49" t="n"/>
    </row>
    <row r="1919">
      <c r="A1919" s="43" t="inlineStr">
        <is>
          <t>000477</t>
        </is>
      </c>
      <c r="B1919" s="44" t="inlineStr">
        <is>
          <t>MANJERICAO</t>
        </is>
      </c>
      <c r="C1919" s="45" t="inlineStr">
        <is>
          <t>MP</t>
        </is>
      </c>
      <c r="D1919" s="45" t="inlineStr">
        <is>
          <t>KG</t>
        </is>
      </c>
      <c r="E1919" s="45" t="inlineStr">
        <is>
          <t>0036</t>
        </is>
      </c>
      <c r="F1919" s="70" t="inlineStr">
        <is>
          <t>Compras</t>
        </is>
      </c>
      <c r="G1919" s="66" t="n">
        <v>52.5</v>
      </c>
      <c r="H1919" s="172" t="inlineStr">
        <is>
          <t>Não</t>
        </is>
      </c>
      <c r="I1919" s="50" t="n"/>
    </row>
    <row r="1920">
      <c r="A1920" s="40" t="inlineStr">
        <is>
          <t>001304</t>
        </is>
      </c>
      <c r="B1920" s="41" t="inlineStr">
        <is>
          <t>MANJERICAO DESIDRATADO</t>
        </is>
      </c>
      <c r="C1920" s="42" t="inlineStr">
        <is>
          <t>MP</t>
        </is>
      </c>
      <c r="D1920" s="42" t="inlineStr">
        <is>
          <t>KG</t>
        </is>
      </c>
      <c r="E1920" s="42" t="inlineStr">
        <is>
          <t>0036</t>
        </is>
      </c>
      <c r="F1920" s="70" t="inlineStr">
        <is>
          <t>Compras</t>
        </is>
      </c>
      <c r="G1920" s="71" t="n">
        <v>56</v>
      </c>
      <c r="H1920" s="172" t="inlineStr">
        <is>
          <t>Não</t>
        </is>
      </c>
      <c r="I1920" s="49" t="n"/>
    </row>
    <row r="1921">
      <c r="A1921" s="43" t="inlineStr">
        <is>
          <t>010183</t>
        </is>
      </c>
      <c r="B1921" s="44" t="inlineStr">
        <is>
          <t>MANTA ADESIVA</t>
        </is>
      </c>
      <c r="C1921" s="45" t="inlineStr">
        <is>
          <t>MC</t>
        </is>
      </c>
      <c r="D1921" s="45" t="inlineStr">
        <is>
          <t>UN</t>
        </is>
      </c>
      <c r="E1921" s="45" t="inlineStr">
        <is>
          <t>0132</t>
        </is>
      </c>
      <c r="F1921" s="70" t="inlineStr">
        <is>
          <t>Compras</t>
        </is>
      </c>
      <c r="G1921" s="66" t="n">
        <v>59</v>
      </c>
      <c r="H1921" s="172" t="inlineStr">
        <is>
          <t>Não</t>
        </is>
      </c>
      <c r="I1921" s="50" t="n"/>
    </row>
    <row r="1922">
      <c r="A1922" s="40" t="inlineStr">
        <is>
          <t>009934</t>
        </is>
      </c>
      <c r="B1922" s="41" t="inlineStr">
        <is>
          <t>MANTA ASFALTICA</t>
        </is>
      </c>
      <c r="C1922" s="42" t="inlineStr">
        <is>
          <t>MC</t>
        </is>
      </c>
      <c r="D1922" s="42" t="inlineStr">
        <is>
          <t>UN</t>
        </is>
      </c>
      <c r="E1922" s="42" t="inlineStr">
        <is>
          <t>0132</t>
        </is>
      </c>
      <c r="F1922" s="70" t="inlineStr">
        <is>
          <t>Compras</t>
        </is>
      </c>
      <c r="G1922" s="71" t="n">
        <v>69.90000000000001</v>
      </c>
      <c r="H1922" s="172" t="inlineStr">
        <is>
          <t>Não</t>
        </is>
      </c>
      <c r="I1922" s="49" t="n"/>
    </row>
    <row r="1923">
      <c r="A1923" s="43" t="inlineStr">
        <is>
          <t>010140</t>
        </is>
      </c>
      <c r="B1923" s="44" t="inlineStr">
        <is>
          <t>MANTA LIQUIDA IMPERMEABILIZANTE</t>
        </is>
      </c>
      <c r="C1923" s="45" t="inlineStr">
        <is>
          <t>MC</t>
        </is>
      </c>
      <c r="D1923" s="45" t="inlineStr">
        <is>
          <t>UN</t>
        </is>
      </c>
      <c r="E1923" s="45" t="inlineStr">
        <is>
          <t>0132</t>
        </is>
      </c>
      <c r="F1923" s="70" t="inlineStr">
        <is>
          <t>Compras</t>
        </is>
      </c>
      <c r="G1923" s="66" t="n">
        <v>43.9</v>
      </c>
      <c r="H1923" s="172" t="inlineStr">
        <is>
          <t>Não</t>
        </is>
      </c>
      <c r="I1923" s="50" t="n"/>
    </row>
    <row r="1924">
      <c r="A1924" s="40" t="inlineStr">
        <is>
          <t>002068</t>
        </is>
      </c>
      <c r="B1924" s="41" t="inlineStr">
        <is>
          <t>MANTEIGA S/SAL 5KG</t>
        </is>
      </c>
      <c r="C1924" s="42" t="inlineStr">
        <is>
          <t>MP</t>
        </is>
      </c>
      <c r="D1924" s="42" t="inlineStr">
        <is>
          <t>KG</t>
        </is>
      </c>
      <c r="E1924" s="42" t="inlineStr">
        <is>
          <t>0041</t>
        </is>
      </c>
      <c r="F1924" s="70" t="inlineStr">
        <is>
          <t>Compras</t>
        </is>
      </c>
      <c r="G1924" s="71" t="n">
        <v>33</v>
      </c>
      <c r="H1924" s="172" t="inlineStr">
        <is>
          <t>Não</t>
        </is>
      </c>
      <c r="I1924" s="49" t="n"/>
    </row>
    <row r="1925">
      <c r="A1925" s="43" t="inlineStr">
        <is>
          <t>001468</t>
        </is>
      </c>
      <c r="B1925" s="44" t="inlineStr">
        <is>
          <t>MANUTEN  O EQUIP. CS ZIG</t>
        </is>
      </c>
      <c r="C1925" s="45" t="inlineStr">
        <is>
          <t>SV</t>
        </is>
      </c>
      <c r="D1925" s="45" t="inlineStr">
        <is>
          <t>AR</t>
        </is>
      </c>
      <c r="E1925" s="45" t="inlineStr">
        <is>
          <t>(VAZ</t>
        </is>
      </c>
      <c r="F1925" s="70" t="inlineStr">
        <is>
          <t>Compras</t>
        </is>
      </c>
      <c r="G1925" s="69" t="n">
        <v>0</v>
      </c>
      <c r="H1925" s="172" t="inlineStr">
        <is>
          <t>Não</t>
        </is>
      </c>
      <c r="I1925" s="50" t="n"/>
    </row>
    <row r="1926">
      <c r="A1926" s="40" t="inlineStr">
        <is>
          <t>001247</t>
        </is>
      </c>
      <c r="B1926" s="41" t="inlineStr">
        <is>
          <t>MAO DE OBRA CACHACA MEL E LIMA</t>
        </is>
      </c>
      <c r="C1926" s="42" t="inlineStr">
        <is>
          <t>GN</t>
        </is>
      </c>
      <c r="D1926" s="42" t="inlineStr">
        <is>
          <t>UN</t>
        </is>
      </c>
      <c r="E1926" s="42" t="inlineStr">
        <is>
          <t>0047</t>
        </is>
      </c>
      <c r="F1926" s="70" t="inlineStr">
        <is>
          <t>Compras</t>
        </is>
      </c>
      <c r="G1926" s="68" t="n">
        <v>0</v>
      </c>
      <c r="H1926" s="173" t="inlineStr">
        <is>
          <t>Sim</t>
        </is>
      </c>
      <c r="I1926" s="49" t="n"/>
    </row>
    <row r="1927">
      <c r="A1927" s="43" t="inlineStr">
        <is>
          <t>009937</t>
        </is>
      </c>
      <c r="B1927" s="44" t="inlineStr">
        <is>
          <t>MAO FRANCESA</t>
        </is>
      </c>
      <c r="C1927" s="45" t="inlineStr">
        <is>
          <t>MC</t>
        </is>
      </c>
      <c r="D1927" s="45" t="inlineStr">
        <is>
          <t>UN</t>
        </is>
      </c>
      <c r="E1927" s="45" t="inlineStr">
        <is>
          <t>0132</t>
        </is>
      </c>
      <c r="F1927" s="70" t="inlineStr">
        <is>
          <t>Compras</t>
        </is>
      </c>
      <c r="G1927" s="66" t="n">
        <v>9</v>
      </c>
      <c r="H1927" s="172" t="inlineStr">
        <is>
          <t>Não</t>
        </is>
      </c>
      <c r="I1927" s="50" t="n"/>
    </row>
    <row r="1928">
      <c r="A1928" s="40" t="inlineStr">
        <is>
          <t>001936</t>
        </is>
      </c>
      <c r="B1928" s="41" t="inlineStr">
        <is>
          <t>MAQ AUT EXTR FRUTA 170 MESA CE</t>
        </is>
      </c>
      <c r="C1928" s="42" t="inlineStr">
        <is>
          <t>AI</t>
        </is>
      </c>
      <c r="D1928" s="42" t="inlineStr">
        <is>
          <t>UN</t>
        </is>
      </c>
      <c r="E1928" s="42" t="inlineStr">
        <is>
          <t>0002</t>
        </is>
      </c>
      <c r="F1928" s="70" t="inlineStr">
        <is>
          <t>Compras</t>
        </is>
      </c>
      <c r="G1928" s="68" t="n">
        <v>0</v>
      </c>
      <c r="H1928" s="172" t="inlineStr">
        <is>
          <t>Não</t>
        </is>
      </c>
      <c r="I1928" s="49" t="n"/>
    </row>
    <row r="1929">
      <c r="A1929" s="43" t="inlineStr">
        <is>
          <t>001937</t>
        </is>
      </c>
      <c r="B1929" s="44" t="inlineStr">
        <is>
          <t>MAQ AUT EXTR FRUTA 210 MESA CE</t>
        </is>
      </c>
      <c r="C1929" s="45" t="inlineStr">
        <is>
          <t>AI</t>
        </is>
      </c>
      <c r="D1929" s="45" t="inlineStr">
        <is>
          <t>UN</t>
        </is>
      </c>
      <c r="E1929" s="45" t="inlineStr">
        <is>
          <t>0002</t>
        </is>
      </c>
      <c r="F1929" s="70" t="inlineStr">
        <is>
          <t>Compras</t>
        </is>
      </c>
      <c r="G1929" s="69" t="n">
        <v>0</v>
      </c>
      <c r="H1929" s="172" t="inlineStr">
        <is>
          <t>Não</t>
        </is>
      </c>
      <c r="I1929" s="50" t="n"/>
    </row>
    <row r="1930">
      <c r="A1930" s="40" t="inlineStr">
        <is>
          <t>001935</t>
        </is>
      </c>
      <c r="B1930" s="41" t="inlineStr">
        <is>
          <t>MAQ EXT FRUTAS 210 MESA COM CE</t>
        </is>
      </c>
      <c r="C1930" s="42" t="inlineStr">
        <is>
          <t>AI</t>
        </is>
      </c>
      <c r="D1930" s="42" t="inlineStr">
        <is>
          <t>UN</t>
        </is>
      </c>
      <c r="E1930" s="42" t="inlineStr">
        <is>
          <t>0002</t>
        </is>
      </c>
      <c r="F1930" s="70" t="inlineStr">
        <is>
          <t>Compras</t>
        </is>
      </c>
      <c r="G1930" s="68" t="n">
        <v>0</v>
      </c>
      <c r="H1930" s="172" t="inlineStr">
        <is>
          <t>Não</t>
        </is>
      </c>
      <c r="I1930" s="49" t="n"/>
    </row>
    <row r="1931">
      <c r="A1931" s="43" t="inlineStr">
        <is>
          <t>000603</t>
        </is>
      </c>
      <c r="B1931" s="44" t="inlineStr">
        <is>
          <t>MAQUINA DE CAFE NESPRESSO</t>
        </is>
      </c>
      <c r="C1931" s="45" t="inlineStr">
        <is>
          <t>AI</t>
        </is>
      </c>
      <c r="D1931" s="45" t="inlineStr">
        <is>
          <t>UN</t>
        </is>
      </c>
      <c r="E1931" s="45" t="inlineStr">
        <is>
          <t>0002</t>
        </is>
      </c>
      <c r="F1931" s="70" t="inlineStr">
        <is>
          <t>Compras</t>
        </is>
      </c>
      <c r="G1931" s="69" t="n">
        <v>0</v>
      </c>
      <c r="H1931" s="172" t="inlineStr">
        <is>
          <t>Não</t>
        </is>
      </c>
      <c r="I1931" s="50" t="n"/>
    </row>
    <row r="1932">
      <c r="A1932" s="40" t="inlineStr">
        <is>
          <t>000613</t>
        </is>
      </c>
      <c r="B1932" s="41" t="inlineStr">
        <is>
          <t>MAQUINA DE LAVAR LOUCA</t>
        </is>
      </c>
      <c r="C1932" s="42" t="inlineStr">
        <is>
          <t>AI</t>
        </is>
      </c>
      <c r="D1932" s="42" t="inlineStr">
        <is>
          <t>UN</t>
        </is>
      </c>
      <c r="E1932" s="42" t="inlineStr">
        <is>
          <t>0002</t>
        </is>
      </c>
      <c r="F1932" s="70" t="inlineStr">
        <is>
          <t>Compras</t>
        </is>
      </c>
      <c r="G1932" s="68" t="n">
        <v>0</v>
      </c>
      <c r="H1932" s="172" t="inlineStr">
        <is>
          <t>Não</t>
        </is>
      </c>
      <c r="I1932" s="49" t="n"/>
    </row>
    <row r="1933">
      <c r="A1933" s="43" t="inlineStr">
        <is>
          <t>010097</t>
        </is>
      </c>
      <c r="B1933" s="44" t="inlineStr">
        <is>
          <t>MAQUINA DE SORVETE INDUSTRIAL (COMODATO)</t>
        </is>
      </c>
      <c r="C1933" s="45" t="inlineStr">
        <is>
          <t>MC</t>
        </is>
      </c>
      <c r="D1933" s="45" t="inlineStr">
        <is>
          <t>UN</t>
        </is>
      </c>
      <c r="E1933" s="45" t="inlineStr">
        <is>
          <t>0140</t>
        </is>
      </c>
      <c r="F1933" s="70" t="inlineStr">
        <is>
          <t>Compras</t>
        </is>
      </c>
      <c r="G1933" s="69" t="n">
        <v>0</v>
      </c>
      <c r="H1933" s="172" t="inlineStr">
        <is>
          <t>Não</t>
        </is>
      </c>
      <c r="I1933" s="50" t="n"/>
    </row>
    <row r="1934">
      <c r="A1934" s="40" t="inlineStr">
        <is>
          <t>001357</t>
        </is>
      </c>
      <c r="B1934" s="41" t="inlineStr">
        <is>
          <t>MAQUINA DE SUCO  LARANJAS</t>
        </is>
      </c>
      <c r="C1934" s="42" t="inlineStr">
        <is>
          <t>AI</t>
        </is>
      </c>
      <c r="D1934" s="42" t="inlineStr">
        <is>
          <t>UN</t>
        </is>
      </c>
      <c r="E1934" s="42" t="inlineStr">
        <is>
          <t>0002</t>
        </is>
      </c>
      <c r="F1934" s="70" t="inlineStr">
        <is>
          <t>Compras</t>
        </is>
      </c>
      <c r="G1934" s="68" t="n">
        <v>0</v>
      </c>
      <c r="H1934" s="172" t="inlineStr">
        <is>
          <t>Não</t>
        </is>
      </c>
      <c r="I1934" s="49" t="n"/>
    </row>
    <row r="1935">
      <c r="A1935" s="43" t="inlineStr">
        <is>
          <t>000499</t>
        </is>
      </c>
      <c r="B1935" s="44" t="inlineStr">
        <is>
          <t>MARACUJA AZEDO FRUTA</t>
        </is>
      </c>
      <c r="C1935" s="45" t="inlineStr">
        <is>
          <t>MP</t>
        </is>
      </c>
      <c r="D1935" s="45" t="inlineStr">
        <is>
          <t>KG</t>
        </is>
      </c>
      <c r="E1935" s="45" t="inlineStr">
        <is>
          <t>0036</t>
        </is>
      </c>
      <c r="F1935" s="70" t="inlineStr">
        <is>
          <t>Compras</t>
        </is>
      </c>
      <c r="G1935" s="66" t="n">
        <v>10.47</v>
      </c>
      <c r="H1935" s="172" t="inlineStr">
        <is>
          <t>Não</t>
        </is>
      </c>
      <c r="I1935" s="50" t="n"/>
    </row>
    <row r="1936">
      <c r="A1936" s="40" t="inlineStr">
        <is>
          <t>001202</t>
        </is>
      </c>
      <c r="B1936" s="41" t="inlineStr">
        <is>
          <t>MARACUJACK</t>
        </is>
      </c>
      <c r="C1936" s="42" t="inlineStr">
        <is>
          <t>PA</t>
        </is>
      </c>
      <c r="D1936" s="42" t="inlineStr">
        <is>
          <t>UN</t>
        </is>
      </c>
      <c r="E1936" s="42" t="inlineStr">
        <is>
          <t>0056</t>
        </is>
      </c>
      <c r="F1936" s="65" t="inlineStr">
        <is>
          <t>Venda</t>
        </is>
      </c>
      <c r="G1936" s="68" t="n">
        <v>0</v>
      </c>
      <c r="H1936" s="177" t="inlineStr">
        <is>
          <t>Sim</t>
        </is>
      </c>
      <c r="I1936" s="178" t="n"/>
    </row>
    <row r="1937">
      <c r="A1937" s="43" t="inlineStr">
        <is>
          <t>009748</t>
        </is>
      </c>
      <c r="B1937" s="44" t="inlineStr">
        <is>
          <t>MARGARINA QUALY COM SAL</t>
        </is>
      </c>
      <c r="C1937" s="45" t="inlineStr">
        <is>
          <t>MC</t>
        </is>
      </c>
      <c r="D1937" s="45" t="inlineStr">
        <is>
          <t>UN</t>
        </is>
      </c>
      <c r="E1937" s="45" t="inlineStr">
        <is>
          <t>0013</t>
        </is>
      </c>
      <c r="F1937" s="70" t="inlineStr">
        <is>
          <t>Compras</t>
        </is>
      </c>
      <c r="G1937" s="66" t="n">
        <v>15.35</v>
      </c>
      <c r="H1937" s="172" t="inlineStr">
        <is>
          <t>Não</t>
        </is>
      </c>
      <c r="I1937" s="50" t="n"/>
    </row>
    <row r="1938">
      <c r="A1938" s="40" t="inlineStr">
        <is>
          <t>000399</t>
        </is>
      </c>
      <c r="B1938" s="41" t="inlineStr">
        <is>
          <t>MARGARINA S/ SAL AMELIA</t>
        </is>
      </c>
      <c r="C1938" s="42" t="inlineStr">
        <is>
          <t>MP</t>
        </is>
      </c>
      <c r="D1938" s="42" t="inlineStr">
        <is>
          <t>KG</t>
        </is>
      </c>
      <c r="E1938" s="42" t="inlineStr">
        <is>
          <t>0041</t>
        </is>
      </c>
      <c r="F1938" s="70" t="inlineStr">
        <is>
          <t>Compras</t>
        </is>
      </c>
      <c r="G1938" s="71" t="n">
        <v>16.4356</v>
      </c>
      <c r="H1938" s="172" t="inlineStr">
        <is>
          <t>Não</t>
        </is>
      </c>
      <c r="I1938" s="49" t="n"/>
    </row>
    <row r="1939">
      <c r="A1939" s="43" t="inlineStr">
        <is>
          <t>001039</t>
        </is>
      </c>
      <c r="B1939" s="44" t="inlineStr">
        <is>
          <t>MARGARITA</t>
        </is>
      </c>
      <c r="C1939" s="45" t="inlineStr">
        <is>
          <t>PA</t>
        </is>
      </c>
      <c r="D1939" s="45" t="inlineStr">
        <is>
          <t>UN</t>
        </is>
      </c>
      <c r="E1939" s="45" t="inlineStr">
        <is>
          <t>0097</t>
        </is>
      </c>
      <c r="F1939" s="65" t="inlineStr">
        <is>
          <t>Venda</t>
        </is>
      </c>
      <c r="G1939" s="69" t="n">
        <v>0</v>
      </c>
      <c r="H1939" s="177" t="inlineStr">
        <is>
          <t>Sim</t>
        </is>
      </c>
      <c r="I1939" s="178" t="n"/>
    </row>
    <row r="1940">
      <c r="A1940" s="40" t="inlineStr">
        <is>
          <t>001947</t>
        </is>
      </c>
      <c r="B1940" s="41" t="inlineStr">
        <is>
          <t>MARGARITA DO QUINTAL</t>
        </is>
      </c>
      <c r="C1940" s="42" t="inlineStr">
        <is>
          <t>PA</t>
        </is>
      </c>
      <c r="D1940" s="42" t="inlineStr">
        <is>
          <t>UN</t>
        </is>
      </c>
      <c r="E1940" s="42" t="inlineStr">
        <is>
          <t>0119</t>
        </is>
      </c>
      <c r="F1940" s="65" t="inlineStr">
        <is>
          <t>Venda</t>
        </is>
      </c>
      <c r="G1940" s="68" t="n">
        <v>0</v>
      </c>
      <c r="H1940" s="172" t="inlineStr">
        <is>
          <t>Não</t>
        </is>
      </c>
      <c r="I1940" s="47" t="inlineStr">
        <is>
          <t>78989056877225</t>
        </is>
      </c>
    </row>
    <row r="1941">
      <c r="A1941" s="43" t="inlineStr">
        <is>
          <t>010214</t>
        </is>
      </c>
      <c r="B1941" s="44" t="inlineStr">
        <is>
          <t>MARMITA DELIVERY C COMPARTIMENTOS SL20  29,05X20X5</t>
        </is>
      </c>
      <c r="C1941" s="45" t="inlineStr">
        <is>
          <t>MC</t>
        </is>
      </c>
      <c r="D1941" s="45" t="inlineStr">
        <is>
          <t>UN</t>
        </is>
      </c>
      <c r="E1941" s="45" t="inlineStr">
        <is>
          <t>0014</t>
        </is>
      </c>
      <c r="F1941" s="70" t="inlineStr">
        <is>
          <t>Compras</t>
        </is>
      </c>
      <c r="G1941" s="66" t="n">
        <v>1.3</v>
      </c>
      <c r="H1941" s="172" t="inlineStr">
        <is>
          <t>Não</t>
        </is>
      </c>
      <c r="I1941" s="50" t="n"/>
    </row>
    <row r="1942">
      <c r="A1942" s="40" t="inlineStr">
        <is>
          <t>002077</t>
        </is>
      </c>
      <c r="B1942" s="41" t="inlineStr">
        <is>
          <t>MARMITAS DO QUINTAL (FRANGO)</t>
        </is>
      </c>
      <c r="C1942" s="42" t="inlineStr">
        <is>
          <t>PA</t>
        </is>
      </c>
      <c r="D1942" s="42" t="inlineStr">
        <is>
          <t>UN</t>
        </is>
      </c>
      <c r="E1942" s="42" t="inlineStr">
        <is>
          <t>0092</t>
        </is>
      </c>
      <c r="F1942" s="65" t="inlineStr">
        <is>
          <t>Venda</t>
        </is>
      </c>
      <c r="G1942" s="68" t="n">
        <v>0</v>
      </c>
      <c r="H1942" s="172" t="inlineStr">
        <is>
          <t>Não</t>
        </is>
      </c>
      <c r="I1942" s="47" t="inlineStr">
        <is>
          <t>78989056877294</t>
        </is>
      </c>
    </row>
    <row r="1943">
      <c r="A1943" s="43" t="inlineStr">
        <is>
          <t>002078</t>
        </is>
      </c>
      <c r="B1943" s="44" t="inlineStr">
        <is>
          <t>MARMITAS DO QUINTAL 2 (BOVINO)</t>
        </is>
      </c>
      <c r="C1943" s="45" t="inlineStr">
        <is>
          <t>PA</t>
        </is>
      </c>
      <c r="D1943" s="45" t="inlineStr">
        <is>
          <t>UN</t>
        </is>
      </c>
      <c r="E1943" s="45" t="inlineStr">
        <is>
          <t>0092</t>
        </is>
      </c>
      <c r="F1943" s="65" t="inlineStr">
        <is>
          <t>Venda</t>
        </is>
      </c>
      <c r="G1943" s="69" t="n">
        <v>0</v>
      </c>
      <c r="H1943" s="172" t="inlineStr">
        <is>
          <t>Não</t>
        </is>
      </c>
      <c r="I1943" s="48" t="inlineStr">
        <is>
          <t>78989056877293</t>
        </is>
      </c>
    </row>
    <row r="1944">
      <c r="A1944" s="40" t="inlineStr">
        <is>
          <t>002094</t>
        </is>
      </c>
      <c r="B1944" s="41" t="inlineStr">
        <is>
          <t>MARMITAS DO QUINTAL 3 (CALABRESA C/ PIMENTA)</t>
        </is>
      </c>
      <c r="C1944" s="42" t="inlineStr">
        <is>
          <t>PA</t>
        </is>
      </c>
      <c r="D1944" s="42" t="inlineStr">
        <is>
          <t>UN</t>
        </is>
      </c>
      <c r="E1944" s="42" t="inlineStr">
        <is>
          <t>0092</t>
        </is>
      </c>
      <c r="F1944" s="65" t="inlineStr">
        <is>
          <t>Venda</t>
        </is>
      </c>
      <c r="G1944" s="68" t="n">
        <v>0</v>
      </c>
      <c r="H1944" s="172" t="inlineStr">
        <is>
          <t>Não</t>
        </is>
      </c>
      <c r="I1944" s="47" t="inlineStr">
        <is>
          <t>78989056877309</t>
        </is>
      </c>
    </row>
    <row r="1945">
      <c r="A1945" s="43" t="inlineStr">
        <is>
          <t>002095</t>
        </is>
      </c>
      <c r="B1945" s="44" t="inlineStr">
        <is>
          <t>MARMITAS DO QUINTAL 4 (CALABRESA S/ PIMENTA)</t>
        </is>
      </c>
      <c r="C1945" s="45" t="inlineStr">
        <is>
          <t>PA</t>
        </is>
      </c>
      <c r="D1945" s="45" t="inlineStr">
        <is>
          <t>UN</t>
        </is>
      </c>
      <c r="E1945" s="45" t="inlineStr">
        <is>
          <t>0092</t>
        </is>
      </c>
      <c r="F1945" s="65" t="inlineStr">
        <is>
          <t>Venda</t>
        </is>
      </c>
      <c r="G1945" s="69" t="n">
        <v>0</v>
      </c>
      <c r="H1945" s="172" t="inlineStr">
        <is>
          <t>Não</t>
        </is>
      </c>
      <c r="I1945" s="48" t="inlineStr">
        <is>
          <t>78989056877310</t>
        </is>
      </c>
    </row>
    <row r="1946">
      <c r="A1946" s="40" t="inlineStr">
        <is>
          <t>010258</t>
        </is>
      </c>
      <c r="B1946" s="41" t="inlineStr">
        <is>
          <t>MARRETA COM CABO 7KG</t>
        </is>
      </c>
      <c r="C1946" s="42" t="inlineStr">
        <is>
          <t>MC</t>
        </is>
      </c>
      <c r="D1946" s="42" t="inlineStr">
        <is>
          <t>UN</t>
        </is>
      </c>
      <c r="E1946" s="42" t="inlineStr">
        <is>
          <t>0132</t>
        </is>
      </c>
      <c r="F1946" s="70" t="inlineStr">
        <is>
          <t>Compras</t>
        </is>
      </c>
      <c r="G1946" s="71" t="n">
        <v>48</v>
      </c>
      <c r="H1946" s="172" t="inlineStr">
        <is>
          <t>Não</t>
        </is>
      </c>
      <c r="I1946" s="49" t="n"/>
    </row>
    <row r="1947">
      <c r="A1947" s="43" t="inlineStr">
        <is>
          <t>000194</t>
        </is>
      </c>
      <c r="B1947" s="44" t="inlineStr">
        <is>
          <t>MASCARA DE PROTECAO</t>
        </is>
      </c>
      <c r="C1947" s="45" t="inlineStr">
        <is>
          <t>MC</t>
        </is>
      </c>
      <c r="D1947" s="45" t="inlineStr">
        <is>
          <t>UN</t>
        </is>
      </c>
      <c r="E1947" s="45" t="inlineStr">
        <is>
          <t>0017</t>
        </is>
      </c>
      <c r="F1947" s="70" t="inlineStr">
        <is>
          <t>Compras</t>
        </is>
      </c>
      <c r="G1947" s="66" t="n">
        <v>4.9</v>
      </c>
      <c r="H1947" s="172" t="inlineStr">
        <is>
          <t>Não</t>
        </is>
      </c>
      <c r="I1947" s="50" t="n"/>
    </row>
    <row r="1948">
      <c r="A1948" s="40" t="inlineStr">
        <is>
          <t>009694</t>
        </is>
      </c>
      <c r="B1948" s="41" t="inlineStr">
        <is>
          <t>MASSA ACRILICA 25KG</t>
        </is>
      </c>
      <c r="C1948" s="42" t="inlineStr">
        <is>
          <t>MC</t>
        </is>
      </c>
      <c r="D1948" s="42" t="inlineStr">
        <is>
          <t>UN</t>
        </is>
      </c>
      <c r="E1948" s="42" t="inlineStr">
        <is>
          <t>0132</t>
        </is>
      </c>
      <c r="F1948" s="70" t="inlineStr">
        <is>
          <t>Compras</t>
        </is>
      </c>
      <c r="G1948" s="71" t="n">
        <v>419</v>
      </c>
      <c r="H1948" s="172" t="inlineStr">
        <is>
          <t>Não</t>
        </is>
      </c>
      <c r="I1948" s="49" t="n"/>
    </row>
    <row r="1949">
      <c r="A1949" s="43" t="inlineStr">
        <is>
          <t>009469</t>
        </is>
      </c>
      <c r="B1949" s="44" t="inlineStr">
        <is>
          <t>MASSA CORRIDA 25KG</t>
        </is>
      </c>
      <c r="C1949" s="45" t="inlineStr">
        <is>
          <t>MC</t>
        </is>
      </c>
      <c r="D1949" s="45" t="inlineStr">
        <is>
          <t>UN</t>
        </is>
      </c>
      <c r="E1949" s="45" t="inlineStr">
        <is>
          <t>0132</t>
        </is>
      </c>
      <c r="F1949" s="70" t="inlineStr">
        <is>
          <t>Compras</t>
        </is>
      </c>
      <c r="G1949" s="66" t="n">
        <v>245.9</v>
      </c>
      <c r="H1949" s="172" t="inlineStr">
        <is>
          <t>Não</t>
        </is>
      </c>
      <c r="I1949" s="50" t="n"/>
    </row>
    <row r="1950">
      <c r="A1950" s="40" t="inlineStr">
        <is>
          <t>009907</t>
        </is>
      </c>
      <c r="B1950" s="41" t="inlineStr">
        <is>
          <t>MASSA CORRIDA 3,6LT</t>
        </is>
      </c>
      <c r="C1950" s="42" t="inlineStr">
        <is>
          <t>MC</t>
        </is>
      </c>
      <c r="D1950" s="42" t="inlineStr">
        <is>
          <t>UN</t>
        </is>
      </c>
      <c r="E1950" s="42" t="inlineStr">
        <is>
          <t>0132</t>
        </is>
      </c>
      <c r="F1950" s="70" t="inlineStr">
        <is>
          <t>Compras</t>
        </is>
      </c>
      <c r="G1950" s="71" t="n">
        <v>49.9</v>
      </c>
      <c r="H1950" s="172" t="inlineStr">
        <is>
          <t>Não</t>
        </is>
      </c>
      <c r="I1950" s="49" t="n"/>
    </row>
    <row r="1951">
      <c r="A1951" s="43" t="inlineStr">
        <is>
          <t>009415</t>
        </is>
      </c>
      <c r="B1951" s="44" t="inlineStr">
        <is>
          <t>MASSA CORRIDA 5,7KG</t>
        </is>
      </c>
      <c r="C1951" s="45" t="inlineStr">
        <is>
          <t>MC</t>
        </is>
      </c>
      <c r="D1951" s="45" t="inlineStr">
        <is>
          <t>UN</t>
        </is>
      </c>
      <c r="E1951" s="45" t="inlineStr">
        <is>
          <t>0132</t>
        </is>
      </c>
      <c r="F1951" s="70" t="inlineStr">
        <is>
          <t>Compras</t>
        </is>
      </c>
      <c r="G1951" s="66" t="n">
        <v>48</v>
      </c>
      <c r="H1951" s="172" t="inlineStr">
        <is>
          <t>Não</t>
        </is>
      </c>
      <c r="I1951" s="50" t="n"/>
    </row>
    <row r="1952">
      <c r="A1952" s="40" t="inlineStr">
        <is>
          <t>009300</t>
        </is>
      </c>
      <c r="B1952" s="41" t="inlineStr">
        <is>
          <t>MASSA GESSO (PROFORM) 25KG</t>
        </is>
      </c>
      <c r="C1952" s="42" t="inlineStr">
        <is>
          <t>MC</t>
        </is>
      </c>
      <c r="D1952" s="42" t="inlineStr">
        <is>
          <t>UN</t>
        </is>
      </c>
      <c r="E1952" s="42" t="inlineStr">
        <is>
          <t>0132</t>
        </is>
      </c>
      <c r="F1952" s="70" t="inlineStr">
        <is>
          <t>Compras</t>
        </is>
      </c>
      <c r="G1952" s="71" t="n">
        <v>73.84999999999999</v>
      </c>
      <c r="H1952" s="172" t="inlineStr">
        <is>
          <t>Não</t>
        </is>
      </c>
      <c r="I1952" s="49" t="n"/>
    </row>
    <row r="1953">
      <c r="A1953" s="43" t="inlineStr">
        <is>
          <t>009468</t>
        </is>
      </c>
      <c r="B1953" s="44" t="inlineStr">
        <is>
          <t>MASSA GESSO RAPIDO 5KG</t>
        </is>
      </c>
      <c r="C1953" s="45" t="inlineStr">
        <is>
          <t>MC</t>
        </is>
      </c>
      <c r="D1953" s="45" t="inlineStr">
        <is>
          <t>UN</t>
        </is>
      </c>
      <c r="E1953" s="45" t="inlineStr">
        <is>
          <t>0132</t>
        </is>
      </c>
      <c r="F1953" s="70" t="inlineStr">
        <is>
          <t>Compras</t>
        </is>
      </c>
      <c r="G1953" s="66" t="n">
        <v>25</v>
      </c>
      <c r="H1953" s="172" t="inlineStr">
        <is>
          <t>Não</t>
        </is>
      </c>
      <c r="I1953" s="50" t="n"/>
    </row>
    <row r="1954">
      <c r="A1954" s="40" t="inlineStr">
        <is>
          <t>010203</t>
        </is>
      </c>
      <c r="B1954" s="41" t="inlineStr">
        <is>
          <t>MASSA PARA MADEIRA MARFIM F12</t>
        </is>
      </c>
      <c r="C1954" s="42" t="inlineStr">
        <is>
          <t>MC</t>
        </is>
      </c>
      <c r="D1954" s="42" t="inlineStr">
        <is>
          <t>UN</t>
        </is>
      </c>
      <c r="E1954" s="42" t="inlineStr">
        <is>
          <t>0132</t>
        </is>
      </c>
      <c r="F1954" s="70" t="inlineStr">
        <is>
          <t>Compras</t>
        </is>
      </c>
      <c r="G1954" s="68" t="n">
        <v>19.5</v>
      </c>
      <c r="H1954" s="172" t="inlineStr">
        <is>
          <t>Não</t>
        </is>
      </c>
      <c r="I1954" s="49" t="n"/>
    </row>
    <row r="1955">
      <c r="A1955" s="43" t="inlineStr">
        <is>
          <t>009890</t>
        </is>
      </c>
      <c r="B1955" s="44" t="inlineStr">
        <is>
          <t>MASSA PLASTICA</t>
        </is>
      </c>
      <c r="C1955" s="45" t="inlineStr">
        <is>
          <t>MC</t>
        </is>
      </c>
      <c r="D1955" s="45" t="inlineStr">
        <is>
          <t>UN</t>
        </is>
      </c>
      <c r="E1955" s="45" t="inlineStr">
        <is>
          <t>0132</t>
        </is>
      </c>
      <c r="F1955" s="70" t="inlineStr">
        <is>
          <t>Compras</t>
        </is>
      </c>
      <c r="G1955" s="66" t="n">
        <v>18</v>
      </c>
      <c r="H1955" s="172" t="inlineStr">
        <is>
          <t>Não</t>
        </is>
      </c>
      <c r="I1955" s="50" t="n"/>
    </row>
    <row r="1956">
      <c r="A1956" s="40" t="inlineStr">
        <is>
          <t>000226</t>
        </is>
      </c>
      <c r="B1956" s="41" t="inlineStr">
        <is>
          <t>MASSA PRONTA P/USO DRYLEVIS 15</t>
        </is>
      </c>
      <c r="C1956" s="42" t="inlineStr">
        <is>
          <t>MC</t>
        </is>
      </c>
      <c r="D1956" s="42" t="inlineStr">
        <is>
          <t>PC</t>
        </is>
      </c>
      <c r="E1956" s="42" t="inlineStr">
        <is>
          <t>0132</t>
        </is>
      </c>
      <c r="F1956" s="70" t="inlineStr">
        <is>
          <t>Compras</t>
        </is>
      </c>
      <c r="G1956" s="71" t="n">
        <v>2.19</v>
      </c>
      <c r="H1956" s="172" t="inlineStr">
        <is>
          <t>Não</t>
        </is>
      </c>
      <c r="I1956" s="49" t="n"/>
    </row>
    <row r="1957">
      <c r="A1957" s="43" t="inlineStr">
        <is>
          <t>010273</t>
        </is>
      </c>
      <c r="B1957" s="44" t="inlineStr">
        <is>
          <t>MASSA REFRATARIA 10KG</t>
        </is>
      </c>
      <c r="C1957" s="45" t="inlineStr">
        <is>
          <t>MC</t>
        </is>
      </c>
      <c r="D1957" s="45" t="inlineStr">
        <is>
          <t>UN</t>
        </is>
      </c>
      <c r="E1957" s="45" t="inlineStr">
        <is>
          <t>0132</t>
        </is>
      </c>
      <c r="F1957" s="70" t="inlineStr">
        <is>
          <t>Compras</t>
        </is>
      </c>
      <c r="G1957" s="66" t="n">
        <v>54.9</v>
      </c>
      <c r="H1957" s="172" t="inlineStr">
        <is>
          <t>Não</t>
        </is>
      </c>
      <c r="I1957" s="50" t="n"/>
    </row>
    <row r="1958">
      <c r="A1958" s="40" t="inlineStr">
        <is>
          <t>001401</t>
        </is>
      </c>
      <c r="B1958" s="41" t="inlineStr">
        <is>
          <t>MATERIAL AUDIO E VIDEO</t>
        </is>
      </c>
      <c r="C1958" s="42" t="inlineStr">
        <is>
          <t>MC</t>
        </is>
      </c>
      <c r="D1958" s="42" t="inlineStr">
        <is>
          <t>UN</t>
        </is>
      </c>
      <c r="E1958" s="42" t="inlineStr">
        <is>
          <t>0086</t>
        </is>
      </c>
      <c r="F1958" s="70" t="inlineStr">
        <is>
          <t>Compras</t>
        </is>
      </c>
      <c r="G1958" s="71" t="n">
        <v>30</v>
      </c>
      <c r="H1958" s="173" t="inlineStr">
        <is>
          <t>Sim</t>
        </is>
      </c>
      <c r="I1958" s="49" t="n"/>
    </row>
    <row r="1959">
      <c r="A1959" s="43" t="inlineStr">
        <is>
          <t>0001621</t>
        </is>
      </c>
      <c r="B1959" s="44" t="inlineStr">
        <is>
          <t>MATERIAL CONSTRUÃ‡ÃƒO / HIDRAULI</t>
        </is>
      </c>
      <c r="C1959" s="45" t="inlineStr">
        <is>
          <t>MC</t>
        </is>
      </c>
      <c r="D1959" s="45" t="inlineStr">
        <is>
          <t>UN</t>
        </is>
      </c>
      <c r="E1959" s="45" t="inlineStr">
        <is>
          <t>0062</t>
        </is>
      </c>
      <c r="F1959" s="70" t="inlineStr">
        <is>
          <t>Compras</t>
        </is>
      </c>
      <c r="G1959" s="66" t="n">
        <v>10.1</v>
      </c>
      <c r="H1959" s="173" t="inlineStr">
        <is>
          <t>Sim</t>
        </is>
      </c>
      <c r="I1959" s="50" t="n"/>
    </row>
    <row r="1960">
      <c r="A1960" s="40" t="inlineStr">
        <is>
          <t>002234</t>
        </is>
      </c>
      <c r="B1960" s="41" t="inlineStr">
        <is>
          <t>MATERIAL DE EPI</t>
        </is>
      </c>
      <c r="C1960" s="42" t="inlineStr">
        <is>
          <t>GN</t>
        </is>
      </c>
      <c r="D1960" s="42" t="inlineStr">
        <is>
          <t>UN</t>
        </is>
      </c>
      <c r="E1960" s="42" t="inlineStr">
        <is>
          <t>0015</t>
        </is>
      </c>
      <c r="F1960" s="70" t="inlineStr">
        <is>
          <t>Compras</t>
        </is>
      </c>
      <c r="G1960" s="71" t="n">
        <v>115</v>
      </c>
      <c r="H1960" s="173" t="inlineStr">
        <is>
          <t>Sim</t>
        </is>
      </c>
      <c r="I1960" s="49" t="n"/>
    </row>
    <row r="1961">
      <c r="A1961" s="43" t="inlineStr">
        <is>
          <t>000778</t>
        </is>
      </c>
      <c r="B1961" s="44" t="inlineStr">
        <is>
          <t>MATERIAL DE ESCRITORIO</t>
        </is>
      </c>
      <c r="C1961" s="45" t="inlineStr">
        <is>
          <t>MC</t>
        </is>
      </c>
      <c r="D1961" s="45" t="inlineStr">
        <is>
          <t>UN</t>
        </is>
      </c>
      <c r="E1961" s="45" t="inlineStr">
        <is>
          <t>0001</t>
        </is>
      </c>
      <c r="F1961" s="70" t="inlineStr">
        <is>
          <t>Compras</t>
        </is>
      </c>
      <c r="G1961" s="66" t="n">
        <v>6.54</v>
      </c>
      <c r="H1961" s="173" t="inlineStr">
        <is>
          <t>Sim</t>
        </is>
      </c>
      <c r="I1961" s="50" t="n"/>
    </row>
    <row r="1962">
      <c r="A1962" s="40" t="inlineStr">
        <is>
          <t>002116</t>
        </is>
      </c>
      <c r="B1962" s="41" t="inlineStr">
        <is>
          <t>MATERIAL DE JARDINAGEM</t>
        </is>
      </c>
      <c r="C1962" s="42" t="inlineStr">
        <is>
          <t>MC</t>
        </is>
      </c>
      <c r="D1962" s="42" t="inlineStr">
        <is>
          <t>UN</t>
        </is>
      </c>
      <c r="E1962" s="42" t="inlineStr">
        <is>
          <t>0132</t>
        </is>
      </c>
      <c r="F1962" s="70" t="inlineStr">
        <is>
          <t>Compras</t>
        </is>
      </c>
      <c r="G1962" s="71" t="n">
        <v>30</v>
      </c>
      <c r="H1962" s="172" t="inlineStr">
        <is>
          <t>Não</t>
        </is>
      </c>
      <c r="I1962" s="49" t="n"/>
    </row>
    <row r="1963">
      <c r="A1963" s="43" t="inlineStr">
        <is>
          <t>000604</t>
        </is>
      </c>
      <c r="B1963" s="44" t="inlineStr">
        <is>
          <t>MATERIAL DE REFRIGERACAO</t>
        </is>
      </c>
      <c r="C1963" s="45" t="inlineStr">
        <is>
          <t>AI</t>
        </is>
      </c>
      <c r="D1963" s="45" t="inlineStr">
        <is>
          <t>UN</t>
        </is>
      </c>
      <c r="E1963" s="45" t="inlineStr">
        <is>
          <t>0002</t>
        </is>
      </c>
      <c r="F1963" s="70" t="inlineStr">
        <is>
          <t>Compras</t>
        </is>
      </c>
      <c r="G1963" s="66" t="n">
        <v>39.8</v>
      </c>
      <c r="H1963" s="172" t="inlineStr">
        <is>
          <t>Não</t>
        </is>
      </c>
      <c r="I1963" s="50" t="n"/>
    </row>
    <row r="1964">
      <c r="A1964" s="40" t="inlineStr">
        <is>
          <t>001308</t>
        </is>
      </c>
      <c r="B1964" s="41" t="inlineStr">
        <is>
          <t>MATERIAL DE REFRIGERACAO</t>
        </is>
      </c>
      <c r="C1964" s="42" t="inlineStr">
        <is>
          <t>GN</t>
        </is>
      </c>
      <c r="D1964" s="42" t="inlineStr">
        <is>
          <t>PC</t>
        </is>
      </c>
      <c r="E1964" s="42" t="inlineStr">
        <is>
          <t>0065</t>
        </is>
      </c>
      <c r="F1964" s="70" t="inlineStr">
        <is>
          <t>Compras</t>
        </is>
      </c>
      <c r="G1964" s="71" t="n">
        <v>200</v>
      </c>
      <c r="H1964" s="173" t="inlineStr">
        <is>
          <t>Sim</t>
        </is>
      </c>
      <c r="I1964" s="49" t="n"/>
    </row>
    <row r="1965">
      <c r="A1965" s="43" t="inlineStr">
        <is>
          <t>000781</t>
        </is>
      </c>
      <c r="B1965" s="44" t="inlineStr">
        <is>
          <t>MATERIAL ELETRICO</t>
        </is>
      </c>
      <c r="C1965" s="45" t="inlineStr">
        <is>
          <t>MC</t>
        </is>
      </c>
      <c r="D1965" s="45" t="inlineStr">
        <is>
          <t>UN</t>
        </is>
      </c>
      <c r="E1965" s="45" t="inlineStr">
        <is>
          <t>0132</t>
        </is>
      </c>
      <c r="F1965" s="70" t="inlineStr">
        <is>
          <t>Compras</t>
        </is>
      </c>
      <c r="G1965" s="66" t="n">
        <v>2740.5</v>
      </c>
      <c r="H1965" s="172" t="inlineStr">
        <is>
          <t>Não</t>
        </is>
      </c>
      <c r="I1965" s="50" t="n"/>
    </row>
    <row r="1966">
      <c r="A1966" s="40" t="inlineStr">
        <is>
          <t>000805</t>
        </is>
      </c>
      <c r="B1966" s="41" t="inlineStr">
        <is>
          <t>MATERIAL INFORMATICA</t>
        </is>
      </c>
      <c r="C1966" s="42" t="inlineStr">
        <is>
          <t>AI</t>
        </is>
      </c>
      <c r="D1966" s="42" t="inlineStr">
        <is>
          <t>UN</t>
        </is>
      </c>
      <c r="E1966" s="42" t="inlineStr">
        <is>
          <t>0063</t>
        </is>
      </c>
      <c r="F1966" s="70" t="inlineStr">
        <is>
          <t>Compras</t>
        </is>
      </c>
      <c r="G1966" s="71" t="n">
        <v>3005.92</v>
      </c>
      <c r="H1966" s="173" t="inlineStr">
        <is>
          <t>Sim</t>
        </is>
      </c>
      <c r="I1966" s="49" t="n"/>
    </row>
    <row r="1967">
      <c r="A1967" s="43" t="inlineStr">
        <is>
          <t>001384</t>
        </is>
      </c>
      <c r="B1967" s="44" t="inlineStr">
        <is>
          <t>MATERIAL KIDS</t>
        </is>
      </c>
      <c r="C1967" s="45" t="inlineStr">
        <is>
          <t>MC</t>
        </is>
      </c>
      <c r="D1967" s="45" t="inlineStr">
        <is>
          <t>UN</t>
        </is>
      </c>
      <c r="E1967" s="45" t="inlineStr">
        <is>
          <t>0070</t>
        </is>
      </c>
      <c r="F1967" s="70" t="inlineStr">
        <is>
          <t>Compras</t>
        </is>
      </c>
      <c r="G1967" s="69" t="n">
        <v>0</v>
      </c>
      <c r="H1967" s="173" t="inlineStr">
        <is>
          <t>Sim</t>
        </is>
      </c>
      <c r="I1967" s="50" t="n"/>
    </row>
    <row r="1968">
      <c r="A1968" s="40" t="inlineStr">
        <is>
          <t>000779</t>
        </is>
      </c>
      <c r="B1968" s="41" t="inlineStr">
        <is>
          <t>MATERIAL SERRALHARIA</t>
        </is>
      </c>
      <c r="C1968" s="42" t="inlineStr">
        <is>
          <t>MC</t>
        </is>
      </c>
      <c r="D1968" s="42" t="inlineStr">
        <is>
          <t>UN</t>
        </is>
      </c>
      <c r="E1968" s="42" t="inlineStr">
        <is>
          <t>0132</t>
        </is>
      </c>
      <c r="F1968" s="70" t="inlineStr">
        <is>
          <t>Compras</t>
        </is>
      </c>
      <c r="G1968" s="71" t="n">
        <v>28</v>
      </c>
      <c r="H1968" s="172" t="inlineStr">
        <is>
          <t>Não</t>
        </is>
      </c>
      <c r="I1968" s="49" t="n"/>
    </row>
    <row r="1969">
      <c r="A1969" s="43" t="inlineStr">
        <is>
          <t>000780</t>
        </is>
      </c>
      <c r="B1969" s="44" t="inlineStr">
        <is>
          <t>MATERIAL VIDRACARIA</t>
        </is>
      </c>
      <c r="C1969" s="45" t="inlineStr">
        <is>
          <t>MC</t>
        </is>
      </c>
      <c r="D1969" s="45" t="inlineStr">
        <is>
          <t>UN</t>
        </is>
      </c>
      <c r="E1969" s="45" t="inlineStr">
        <is>
          <t>0132</t>
        </is>
      </c>
      <c r="F1969" s="70" t="inlineStr">
        <is>
          <t>Compras</t>
        </is>
      </c>
      <c r="G1969" s="69" t="n">
        <v>0</v>
      </c>
      <c r="H1969" s="172" t="inlineStr">
        <is>
          <t>Não</t>
        </is>
      </c>
      <c r="I1969" s="50" t="n"/>
    </row>
    <row r="1970">
      <c r="A1970" s="40" t="inlineStr">
        <is>
          <t>009933</t>
        </is>
      </c>
      <c r="B1970" s="41" t="inlineStr">
        <is>
          <t>MATRIX HDMI 4X4</t>
        </is>
      </c>
      <c r="C1970" s="42" t="inlineStr">
        <is>
          <t>MC</t>
        </is>
      </c>
      <c r="D1970" s="42" t="inlineStr">
        <is>
          <t>UN</t>
        </is>
      </c>
      <c r="E1970" s="42" t="inlineStr">
        <is>
          <t>0006</t>
        </is>
      </c>
      <c r="F1970" s="70" t="inlineStr">
        <is>
          <t>Compras</t>
        </is>
      </c>
      <c r="G1970" s="71" t="n">
        <v>539</v>
      </c>
      <c r="H1970" s="172" t="inlineStr">
        <is>
          <t>Não</t>
        </is>
      </c>
      <c r="I1970" s="49" t="n"/>
    </row>
    <row r="1971">
      <c r="A1971" s="43" t="inlineStr">
        <is>
          <t>001477</t>
        </is>
      </c>
      <c r="B1971" s="44" t="inlineStr">
        <is>
          <t>MAX CHIPS</t>
        </is>
      </c>
      <c r="C1971" s="45" t="inlineStr">
        <is>
          <t>PA</t>
        </is>
      </c>
      <c r="D1971" s="45" t="inlineStr">
        <is>
          <t>UN</t>
        </is>
      </c>
      <c r="E1971" s="45" t="inlineStr">
        <is>
          <t>0121</t>
        </is>
      </c>
      <c r="F1971" s="65" t="inlineStr">
        <is>
          <t>Venda</t>
        </is>
      </c>
      <c r="G1971" s="69" t="n">
        <v>0</v>
      </c>
      <c r="H1971" s="173" t="inlineStr">
        <is>
          <t>Sim</t>
        </is>
      </c>
      <c r="I1971" s="50" t="n"/>
    </row>
    <row r="1972">
      <c r="A1972" s="40" t="inlineStr">
        <is>
          <t>010006</t>
        </is>
      </c>
      <c r="B1972" s="41" t="inlineStr">
        <is>
          <t>MAX CHIPS</t>
        </is>
      </c>
      <c r="C1972" s="42" t="inlineStr">
        <is>
          <t>PA</t>
        </is>
      </c>
      <c r="D1972" s="42" t="inlineStr">
        <is>
          <t>UN</t>
        </is>
      </c>
      <c r="E1972" s="42" t="inlineStr">
        <is>
          <t>0121</t>
        </is>
      </c>
      <c r="F1972" s="65" t="inlineStr">
        <is>
          <t>Venda</t>
        </is>
      </c>
      <c r="G1972" s="68" t="n">
        <v>0</v>
      </c>
      <c r="H1972" s="177" t="inlineStr">
        <is>
          <t>Sim</t>
        </is>
      </c>
      <c r="I1972" s="178" t="n"/>
    </row>
    <row r="1973">
      <c r="A1973" s="43" t="inlineStr">
        <is>
          <t>000502</t>
        </is>
      </c>
      <c r="B1973" s="44" t="inlineStr">
        <is>
          <t>MEDALHAO ALCATRA</t>
        </is>
      </c>
      <c r="C1973" s="45" t="inlineStr">
        <is>
          <t>PA</t>
        </is>
      </c>
      <c r="D1973" s="45" t="inlineStr">
        <is>
          <t>UN</t>
        </is>
      </c>
      <c r="E1973" s="45" t="inlineStr">
        <is>
          <t>0092</t>
        </is>
      </c>
      <c r="F1973" s="65" t="inlineStr">
        <is>
          <t>Venda</t>
        </is>
      </c>
      <c r="G1973" s="69" t="n">
        <v>0</v>
      </c>
      <c r="H1973" s="177" t="inlineStr">
        <is>
          <t>Sim</t>
        </is>
      </c>
      <c r="I1973" s="178" t="n"/>
    </row>
    <row r="1974">
      <c r="A1974" s="40" t="inlineStr">
        <is>
          <t>000013</t>
        </is>
      </c>
      <c r="B1974" s="41" t="inlineStr">
        <is>
          <t>MEDALHAO ALCATRA IN NATURA</t>
        </is>
      </c>
      <c r="C1974" s="42" t="inlineStr">
        <is>
          <t>MR</t>
        </is>
      </c>
      <c r="D1974" s="42" t="inlineStr">
        <is>
          <t>UN</t>
        </is>
      </c>
      <c r="E1974" s="42" t="inlineStr">
        <is>
          <t>0092</t>
        </is>
      </c>
      <c r="F1974" s="65" t="inlineStr">
        <is>
          <t>Venda</t>
        </is>
      </c>
      <c r="G1974" s="68" t="n">
        <v>0</v>
      </c>
      <c r="H1974" s="172" t="inlineStr">
        <is>
          <t>Não</t>
        </is>
      </c>
      <c r="I1974" s="47" t="inlineStr">
        <is>
          <t>10015</t>
        </is>
      </c>
    </row>
    <row r="1975">
      <c r="A1975" s="43" t="inlineStr">
        <is>
          <t>000504</t>
        </is>
      </c>
      <c r="B1975" s="44" t="inlineStr">
        <is>
          <t>MEDALHAO FRANGO</t>
        </is>
      </c>
      <c r="C1975" s="45" t="inlineStr">
        <is>
          <t>PA</t>
        </is>
      </c>
      <c r="D1975" s="45" t="inlineStr">
        <is>
          <t>UN</t>
        </is>
      </c>
      <c r="E1975" s="45" t="inlineStr">
        <is>
          <t>0099</t>
        </is>
      </c>
      <c r="F1975" s="65" t="inlineStr">
        <is>
          <t>Venda</t>
        </is>
      </c>
      <c r="G1975" s="69" t="n">
        <v>0</v>
      </c>
      <c r="H1975" s="177" t="inlineStr">
        <is>
          <t>Sim</t>
        </is>
      </c>
      <c r="I1975" s="178" t="n"/>
    </row>
    <row r="1976">
      <c r="A1976" s="40" t="inlineStr">
        <is>
          <t>000015</t>
        </is>
      </c>
      <c r="B1976" s="41" t="inlineStr">
        <is>
          <t>MEDALHAO FRANGO IN NATURA</t>
        </is>
      </c>
      <c r="C1976" s="42" t="inlineStr">
        <is>
          <t>MR</t>
        </is>
      </c>
      <c r="D1976" s="42" t="inlineStr">
        <is>
          <t>UN</t>
        </is>
      </c>
      <c r="E1976" s="42" t="inlineStr">
        <is>
          <t>0099</t>
        </is>
      </c>
      <c r="F1976" s="65" t="inlineStr">
        <is>
          <t>Venda</t>
        </is>
      </c>
      <c r="G1976" s="68" t="n">
        <v>0</v>
      </c>
      <c r="H1976" s="177" t="inlineStr">
        <is>
          <t>Sim</t>
        </is>
      </c>
      <c r="I1976" s="178" t="n"/>
    </row>
    <row r="1977">
      <c r="A1977" s="43" t="inlineStr">
        <is>
          <t>000400</t>
        </is>
      </c>
      <c r="B1977" s="44" t="inlineStr">
        <is>
          <t>MEL RIOMEL</t>
        </is>
      </c>
      <c r="C1977" s="45" t="inlineStr">
        <is>
          <t>MP</t>
        </is>
      </c>
      <c r="D1977" s="45" t="inlineStr">
        <is>
          <t>KG</t>
        </is>
      </c>
      <c r="E1977" s="45" t="inlineStr">
        <is>
          <t>0029</t>
        </is>
      </c>
      <c r="F1977" s="70" t="inlineStr">
        <is>
          <t>Compras</t>
        </is>
      </c>
      <c r="G1977" s="66" t="n">
        <v>51.4797</v>
      </c>
      <c r="H1977" s="172" t="inlineStr">
        <is>
          <t>Não</t>
        </is>
      </c>
      <c r="I1977" s="50" t="n"/>
    </row>
    <row r="1978">
      <c r="A1978" s="40" t="inlineStr">
        <is>
          <t>000665</t>
        </is>
      </c>
      <c r="B1978" s="41" t="inlineStr">
        <is>
          <t>MELACO DE CANA 330G</t>
        </is>
      </c>
      <c r="C1978" s="42" t="inlineStr">
        <is>
          <t>MP</t>
        </is>
      </c>
      <c r="D1978" s="42" t="inlineStr">
        <is>
          <t>KG</t>
        </is>
      </c>
      <c r="E1978" s="42" t="inlineStr">
        <is>
          <t>0029</t>
        </is>
      </c>
      <c r="F1978" s="70" t="inlineStr">
        <is>
          <t>Compras</t>
        </is>
      </c>
      <c r="G1978" s="71" t="n">
        <v>49.7636</v>
      </c>
      <c r="H1978" s="172" t="inlineStr">
        <is>
          <t>Não</t>
        </is>
      </c>
      <c r="I1978" s="49" t="n"/>
    </row>
    <row r="1979">
      <c r="A1979" s="43" t="inlineStr">
        <is>
          <t>000623</t>
        </is>
      </c>
      <c r="B1979" s="44" t="inlineStr">
        <is>
          <t>MELANCIA</t>
        </is>
      </c>
      <c r="C1979" s="45" t="inlineStr">
        <is>
          <t>MP</t>
        </is>
      </c>
      <c r="D1979" s="45" t="inlineStr">
        <is>
          <t>KG</t>
        </is>
      </c>
      <c r="E1979" s="45" t="inlineStr">
        <is>
          <t>0036</t>
        </is>
      </c>
      <c r="F1979" s="70" t="inlineStr">
        <is>
          <t>Compras</t>
        </is>
      </c>
      <c r="G1979" s="66" t="n">
        <v>3.63</v>
      </c>
      <c r="H1979" s="172" t="inlineStr">
        <is>
          <t>Não</t>
        </is>
      </c>
      <c r="I1979" s="50" t="n"/>
    </row>
    <row r="1980">
      <c r="A1980" s="40" t="inlineStr">
        <is>
          <t>001170</t>
        </is>
      </c>
      <c r="B1980" s="41" t="inlineStr">
        <is>
          <t>MELANCITA GIN DRINK</t>
        </is>
      </c>
      <c r="C1980" s="42" t="inlineStr">
        <is>
          <t>PA</t>
        </is>
      </c>
      <c r="D1980" s="42" t="inlineStr">
        <is>
          <t>UN</t>
        </is>
      </c>
      <c r="E1980" s="42" t="inlineStr">
        <is>
          <t>0101</t>
        </is>
      </c>
      <c r="F1980" s="65" t="inlineStr">
        <is>
          <t>Venda</t>
        </is>
      </c>
      <c r="G1980" s="68" t="n">
        <v>0</v>
      </c>
      <c r="H1980" s="172" t="inlineStr">
        <is>
          <t>Não</t>
        </is>
      </c>
      <c r="I1980" s="47" t="inlineStr">
        <is>
          <t>9003510</t>
        </is>
      </c>
    </row>
    <row r="1981">
      <c r="A1981" s="43" t="inlineStr">
        <is>
          <t>001187</t>
        </is>
      </c>
      <c r="B1981" s="44" t="inlineStr">
        <is>
          <t>MELANCITA GIN DRINK</t>
        </is>
      </c>
      <c r="C1981" s="45" t="inlineStr">
        <is>
          <t>PA</t>
        </is>
      </c>
      <c r="D1981" s="45" t="inlineStr">
        <is>
          <t>UN</t>
        </is>
      </c>
      <c r="E1981" s="45" t="inlineStr">
        <is>
          <t>0101</t>
        </is>
      </c>
      <c r="F1981" s="65" t="inlineStr">
        <is>
          <t>Venda</t>
        </is>
      </c>
      <c r="G1981" s="69" t="n">
        <v>0</v>
      </c>
      <c r="H1981" s="172" t="inlineStr">
        <is>
          <t>Não</t>
        </is>
      </c>
      <c r="I1981" s="48" t="inlineStr">
        <is>
          <t>9003517</t>
        </is>
      </c>
    </row>
    <row r="1982">
      <c r="A1982" s="40" t="inlineStr">
        <is>
          <t>001801</t>
        </is>
      </c>
      <c r="B1982" s="41" t="inlineStr">
        <is>
          <t>MELAO AMARELO</t>
        </is>
      </c>
      <c r="C1982" s="42" t="inlineStr">
        <is>
          <t>MP</t>
        </is>
      </c>
      <c r="D1982" s="42" t="inlineStr">
        <is>
          <t>KG</t>
        </is>
      </c>
      <c r="E1982" s="42" t="inlineStr">
        <is>
          <t>0036</t>
        </is>
      </c>
      <c r="F1982" s="70" t="inlineStr">
        <is>
          <t>Compras</t>
        </is>
      </c>
      <c r="G1982" s="71" t="n">
        <v>9.800000000000001</v>
      </c>
      <c r="H1982" s="172" t="inlineStr">
        <is>
          <t>Não</t>
        </is>
      </c>
      <c r="I1982" s="49" t="n"/>
    </row>
    <row r="1983">
      <c r="A1983" s="43" t="inlineStr">
        <is>
          <t>002043</t>
        </is>
      </c>
      <c r="B1983" s="44" t="inlineStr">
        <is>
          <t>MELAO GIN</t>
        </is>
      </c>
      <c r="C1983" s="45" t="inlineStr">
        <is>
          <t>PA</t>
        </is>
      </c>
      <c r="D1983" s="45" t="inlineStr">
        <is>
          <t>UN</t>
        </is>
      </c>
      <c r="E1983" s="45" t="inlineStr">
        <is>
          <t>0101</t>
        </is>
      </c>
      <c r="F1983" s="65" t="inlineStr">
        <is>
          <t>Venda</t>
        </is>
      </c>
      <c r="G1983" s="69" t="n">
        <v>0</v>
      </c>
      <c r="H1983" s="172" t="inlineStr">
        <is>
          <t>Não</t>
        </is>
      </c>
      <c r="I1983" s="48" t="inlineStr">
        <is>
          <t>78989056877287</t>
        </is>
      </c>
    </row>
    <row r="1984">
      <c r="A1984" s="40" t="inlineStr">
        <is>
          <t>002035</t>
        </is>
      </c>
      <c r="B1984" s="41" t="inlineStr">
        <is>
          <t>MELAO VODKA</t>
        </is>
      </c>
      <c r="C1984" s="42" t="inlineStr">
        <is>
          <t>PA</t>
        </is>
      </c>
      <c r="D1984" s="42" t="inlineStr">
        <is>
          <t>UN</t>
        </is>
      </c>
      <c r="E1984" s="42" t="inlineStr">
        <is>
          <t>0097</t>
        </is>
      </c>
      <c r="F1984" s="65" t="inlineStr">
        <is>
          <t>Venda</t>
        </is>
      </c>
      <c r="G1984" s="68" t="n">
        <v>0</v>
      </c>
      <c r="H1984" s="172" t="inlineStr">
        <is>
          <t>Não</t>
        </is>
      </c>
      <c r="I1984" s="47" t="inlineStr">
        <is>
          <t>78989056877285</t>
        </is>
      </c>
    </row>
    <row r="1985">
      <c r="A1985" s="43" t="inlineStr">
        <is>
          <t>002041</t>
        </is>
      </c>
      <c r="B1985" s="44" t="inlineStr">
        <is>
          <t>MELAO VODKA</t>
        </is>
      </c>
      <c r="C1985" s="45" t="inlineStr">
        <is>
          <t>PA</t>
        </is>
      </c>
      <c r="D1985" s="45" t="inlineStr">
        <is>
          <t>UN</t>
        </is>
      </c>
      <c r="E1985" s="45" t="inlineStr">
        <is>
          <t>0101</t>
        </is>
      </c>
      <c r="F1985" s="65" t="inlineStr">
        <is>
          <t>Venda</t>
        </is>
      </c>
      <c r="G1985" s="69" t="n">
        <v>0</v>
      </c>
      <c r="H1985" s="173" t="inlineStr">
        <is>
          <t>Sim</t>
        </is>
      </c>
      <c r="I1985" s="48" t="inlineStr">
        <is>
          <t>78989056877285</t>
        </is>
      </c>
    </row>
    <row r="1986">
      <c r="A1986" s="40" t="inlineStr">
        <is>
          <t>009370</t>
        </is>
      </c>
      <c r="B1986" s="41" t="inlineStr">
        <is>
          <t>MEMORIA RAM DDR4 16BG</t>
        </is>
      </c>
      <c r="C1986" s="42" t="inlineStr">
        <is>
          <t>MC</t>
        </is>
      </c>
      <c r="D1986" s="42" t="inlineStr">
        <is>
          <t>UN</t>
        </is>
      </c>
      <c r="E1986" s="42" t="inlineStr">
        <is>
          <t>0133</t>
        </is>
      </c>
      <c r="F1986" s="70" t="inlineStr">
        <is>
          <t>Compras</t>
        </is>
      </c>
      <c r="G1986" s="71" t="n">
        <v>876.67</v>
      </c>
      <c r="H1986" s="172" t="inlineStr">
        <is>
          <t>Não</t>
        </is>
      </c>
      <c r="I1986" s="49" t="n"/>
    </row>
    <row r="1987">
      <c r="A1987" s="43" t="inlineStr">
        <is>
          <t>009803</t>
        </is>
      </c>
      <c r="B1987" s="44" t="inlineStr">
        <is>
          <t>MEMORIA RAM DDR4 8GB</t>
        </is>
      </c>
      <c r="C1987" s="45" t="inlineStr">
        <is>
          <t>MC</t>
        </is>
      </c>
      <c r="D1987" s="45" t="inlineStr">
        <is>
          <t>UN</t>
        </is>
      </c>
      <c r="E1987" s="45" t="inlineStr">
        <is>
          <t>0006</t>
        </is>
      </c>
      <c r="F1987" s="70" t="inlineStr">
        <is>
          <t>Compras</t>
        </is>
      </c>
      <c r="G1987" s="66" t="n">
        <v>299.99</v>
      </c>
      <c r="H1987" s="172" t="inlineStr">
        <is>
          <t>Não</t>
        </is>
      </c>
      <c r="I1987" s="50" t="n"/>
    </row>
    <row r="1988">
      <c r="A1988" s="40" t="inlineStr">
        <is>
          <t>001645</t>
        </is>
      </c>
      <c r="B1988" s="41" t="inlineStr">
        <is>
          <t>MENSALIDADE</t>
        </is>
      </c>
      <c r="C1988" s="42" t="inlineStr">
        <is>
          <t>SV</t>
        </is>
      </c>
      <c r="D1988" s="42" t="inlineStr">
        <is>
          <t>UN</t>
        </is>
      </c>
      <c r="E1988" s="42" t="inlineStr">
        <is>
          <t>(VAZ</t>
        </is>
      </c>
      <c r="F1988" s="70" t="inlineStr">
        <is>
          <t>Compras</t>
        </is>
      </c>
      <c r="G1988" s="68" t="n">
        <v>0</v>
      </c>
      <c r="H1988" s="172" t="inlineStr">
        <is>
          <t>Não</t>
        </is>
      </c>
      <c r="I1988" s="49" t="n"/>
    </row>
    <row r="1989">
      <c r="A1989" s="43" t="inlineStr">
        <is>
          <t>010358</t>
        </is>
      </c>
      <c r="B1989" s="44" t="inlineStr">
        <is>
          <t>MENU ESPECIAL DIA DAS MAES</t>
        </is>
      </c>
      <c r="C1989" s="45" t="inlineStr">
        <is>
          <t>OI</t>
        </is>
      </c>
      <c r="D1989" s="45" t="inlineStr">
        <is>
          <t>UN</t>
        </is>
      </c>
      <c r="E1989" s="45" t="inlineStr">
        <is>
          <t>0130</t>
        </is>
      </c>
      <c r="F1989" s="65" t="inlineStr">
        <is>
          <t>Venda</t>
        </is>
      </c>
      <c r="G1989" s="69" t="n">
        <v>0</v>
      </c>
      <c r="H1989" s="172" t="inlineStr">
        <is>
          <t>Não</t>
        </is>
      </c>
      <c r="I1989" s="48" t="inlineStr">
        <is>
          <t>7898905687501</t>
        </is>
      </c>
    </row>
    <row r="1990">
      <c r="A1990" s="40" t="inlineStr">
        <is>
          <t>000507</t>
        </is>
      </c>
      <c r="B1990" s="41" t="inlineStr">
        <is>
          <t>MESA</t>
        </is>
      </c>
      <c r="C1990" s="42" t="inlineStr">
        <is>
          <t>AI</t>
        </is>
      </c>
      <c r="D1990" s="42" t="inlineStr">
        <is>
          <t>UN</t>
        </is>
      </c>
      <c r="E1990" s="42" t="inlineStr">
        <is>
          <t>0020</t>
        </is>
      </c>
      <c r="F1990" s="70" t="inlineStr">
        <is>
          <t>Compras</t>
        </is>
      </c>
      <c r="G1990" s="71" t="n">
        <v>300</v>
      </c>
      <c r="H1990" s="172" t="inlineStr">
        <is>
          <t>Não</t>
        </is>
      </c>
      <c r="I1990" s="49" t="n"/>
    </row>
    <row r="1991">
      <c r="A1991" s="43" t="inlineStr">
        <is>
          <t>000508</t>
        </is>
      </c>
      <c r="B1991" s="44" t="inlineStr">
        <is>
          <t>MESA BISTRO</t>
        </is>
      </c>
      <c r="C1991" s="45" t="inlineStr">
        <is>
          <t>AI</t>
        </is>
      </c>
      <c r="D1991" s="45" t="inlineStr">
        <is>
          <t>UN</t>
        </is>
      </c>
      <c r="E1991" s="45" t="inlineStr">
        <is>
          <t>0020</t>
        </is>
      </c>
      <c r="F1991" s="70" t="inlineStr">
        <is>
          <t>Compras</t>
        </is>
      </c>
      <c r="G1991" s="66" t="n">
        <v>276</v>
      </c>
      <c r="H1991" s="172" t="inlineStr">
        <is>
          <t>Não</t>
        </is>
      </c>
      <c r="I1991" s="50" t="n"/>
    </row>
    <row r="1992">
      <c r="A1992" s="40" t="inlineStr">
        <is>
          <t>001088</t>
        </is>
      </c>
      <c r="B1992" s="41" t="inlineStr">
        <is>
          <t>MESA EM ACO INOX</t>
        </is>
      </c>
      <c r="C1992" s="42" t="inlineStr">
        <is>
          <t>AI</t>
        </is>
      </c>
      <c r="D1992" s="42" t="inlineStr">
        <is>
          <t>UN</t>
        </is>
      </c>
      <c r="E1992" s="42" t="inlineStr">
        <is>
          <t>0020</t>
        </is>
      </c>
      <c r="F1992" s="70" t="inlineStr">
        <is>
          <t>Compras</t>
        </is>
      </c>
      <c r="G1992" s="68" t="n">
        <v>0</v>
      </c>
      <c r="H1992" s="172" t="inlineStr">
        <is>
          <t>Não</t>
        </is>
      </c>
      <c r="I1992" s="49" t="n"/>
    </row>
    <row r="1993">
      <c r="A1993" s="43" t="inlineStr">
        <is>
          <t>009381</t>
        </is>
      </c>
      <c r="B1993" s="44" t="inlineStr">
        <is>
          <t>MESA INFANTIL DE MADEIRA RETANGULAR 20X60CM</t>
        </is>
      </c>
      <c r="C1993" s="45" t="inlineStr">
        <is>
          <t>MC</t>
        </is>
      </c>
      <c r="D1993" s="45" t="inlineStr">
        <is>
          <t>UN</t>
        </is>
      </c>
      <c r="E1993" s="45" t="inlineStr">
        <is>
          <t>0134</t>
        </is>
      </c>
      <c r="F1993" s="70" t="inlineStr">
        <is>
          <t>Compras</t>
        </is>
      </c>
      <c r="G1993" s="69" t="n">
        <v>0</v>
      </c>
      <c r="H1993" s="172" t="inlineStr">
        <is>
          <t>Não</t>
        </is>
      </c>
      <c r="I1993" s="50" t="n"/>
    </row>
    <row r="1994">
      <c r="A1994" s="40" t="inlineStr">
        <is>
          <t>000108</t>
        </is>
      </c>
      <c r="B1994" s="41" t="inlineStr">
        <is>
          <t>MEXEDOR DE CAFE PCT 50 UND</t>
        </is>
      </c>
      <c r="C1994" s="42" t="inlineStr">
        <is>
          <t>MC</t>
        </is>
      </c>
      <c r="D1994" s="42" t="inlineStr">
        <is>
          <t>PC</t>
        </is>
      </c>
      <c r="E1994" s="42" t="inlineStr">
        <is>
          <t>0075</t>
        </is>
      </c>
      <c r="F1994" s="70" t="inlineStr">
        <is>
          <t>Compras</t>
        </is>
      </c>
      <c r="G1994" s="68" t="n">
        <v>0</v>
      </c>
      <c r="H1994" s="172" t="inlineStr">
        <is>
          <t>Não</t>
        </is>
      </c>
      <c r="I1994" s="49" t="n"/>
    </row>
    <row r="1995">
      <c r="A1995" s="43" t="inlineStr">
        <is>
          <t>009392</t>
        </is>
      </c>
      <c r="B1995" s="44" t="inlineStr">
        <is>
          <t>MICRO MOTOR VENTILADOR 1/25 BIVOLT</t>
        </is>
      </c>
      <c r="C1995" s="45" t="inlineStr">
        <is>
          <t>MC</t>
        </is>
      </c>
      <c r="D1995" s="45" t="inlineStr">
        <is>
          <t>UN</t>
        </is>
      </c>
      <c r="E1995" s="45" t="inlineStr">
        <is>
          <t>0132</t>
        </is>
      </c>
      <c r="F1995" s="70" t="inlineStr">
        <is>
          <t>Compras</t>
        </is>
      </c>
      <c r="G1995" s="66" t="n">
        <v>105</v>
      </c>
      <c r="H1995" s="172" t="inlineStr">
        <is>
          <t>Não</t>
        </is>
      </c>
      <c r="I1995" s="50" t="n"/>
    </row>
    <row r="1996">
      <c r="A1996" s="40" t="inlineStr">
        <is>
          <t>009325</t>
        </is>
      </c>
      <c r="B1996" s="41" t="inlineStr">
        <is>
          <t>MICRO MOTOR VENTILADOR 1/40 BIVOLT</t>
        </is>
      </c>
      <c r="C1996" s="42" t="inlineStr">
        <is>
          <t>MC</t>
        </is>
      </c>
      <c r="D1996" s="42" t="inlineStr">
        <is>
          <t>UN</t>
        </is>
      </c>
      <c r="E1996" s="42" t="inlineStr">
        <is>
          <t>0132</t>
        </is>
      </c>
      <c r="F1996" s="70" t="inlineStr">
        <is>
          <t>Compras</t>
        </is>
      </c>
      <c r="G1996" s="71" t="n">
        <v>90</v>
      </c>
      <c r="H1996" s="172" t="inlineStr">
        <is>
          <t>Não</t>
        </is>
      </c>
      <c r="I1996" s="49" t="n"/>
    </row>
    <row r="1997">
      <c r="A1997" s="43" t="inlineStr">
        <is>
          <t>000814</t>
        </is>
      </c>
      <c r="B1997" s="44" t="inlineStr">
        <is>
          <t>MICROFONE</t>
        </is>
      </c>
      <c r="C1997" s="45" t="inlineStr">
        <is>
          <t>AI</t>
        </is>
      </c>
      <c r="D1997" s="45" t="inlineStr">
        <is>
          <t>UN</t>
        </is>
      </c>
      <c r="E1997" s="45" t="inlineStr">
        <is>
          <t>0004</t>
        </is>
      </c>
      <c r="F1997" s="70" t="inlineStr">
        <is>
          <t>Compras</t>
        </is>
      </c>
      <c r="G1997" s="66" t="n">
        <v>836.36</v>
      </c>
      <c r="H1997" s="172" t="inlineStr">
        <is>
          <t>Não</t>
        </is>
      </c>
      <c r="I1997" s="50" t="n"/>
    </row>
    <row r="1998">
      <c r="A1998" s="40" t="inlineStr">
        <is>
          <t>009929</t>
        </is>
      </c>
      <c r="B1998" s="41" t="inlineStr">
        <is>
          <t>MICROFONE CONFERENCIA WIRELESS</t>
        </is>
      </c>
      <c r="C1998" s="42" t="inlineStr">
        <is>
          <t>MC</t>
        </is>
      </c>
      <c r="D1998" s="42" t="inlineStr">
        <is>
          <t>UN</t>
        </is>
      </c>
      <c r="E1998" s="42" t="inlineStr">
        <is>
          <t>0006</t>
        </is>
      </c>
      <c r="F1998" s="70" t="inlineStr">
        <is>
          <t>Compras</t>
        </is>
      </c>
      <c r="G1998" s="71" t="n">
        <v>1106.72</v>
      </c>
      <c r="H1998" s="172" t="inlineStr">
        <is>
          <t>Não</t>
        </is>
      </c>
      <c r="I1998" s="49" t="n"/>
    </row>
    <row r="1999">
      <c r="A1999" s="43" t="inlineStr">
        <is>
          <t>000608</t>
        </is>
      </c>
      <c r="B1999" s="44" t="inlineStr">
        <is>
          <t>MICROONDAS</t>
        </is>
      </c>
      <c r="C1999" s="45" t="inlineStr">
        <is>
          <t>AI</t>
        </is>
      </c>
      <c r="D1999" s="45" t="inlineStr">
        <is>
          <t>UN</t>
        </is>
      </c>
      <c r="E1999" s="45" t="inlineStr">
        <is>
          <t>0020</t>
        </is>
      </c>
      <c r="F1999" s="70" t="inlineStr">
        <is>
          <t>Compras</t>
        </is>
      </c>
      <c r="G1999" s="66" t="n">
        <v>709</v>
      </c>
      <c r="H1999" s="172" t="inlineStr">
        <is>
          <t>Não</t>
        </is>
      </c>
      <c r="I1999" s="50" t="n"/>
    </row>
    <row r="2000">
      <c r="A2000" s="40" t="inlineStr">
        <is>
          <t>001342</t>
        </is>
      </c>
      <c r="B2000" s="41" t="inlineStr">
        <is>
          <t>MIKES HAD LEMONADE</t>
        </is>
      </c>
      <c r="C2000" s="42" t="inlineStr">
        <is>
          <t>MR</t>
        </is>
      </c>
      <c r="D2000" s="42" t="inlineStr">
        <is>
          <t>UN</t>
        </is>
      </c>
      <c r="E2000" s="42" t="inlineStr">
        <is>
          <t>0055</t>
        </is>
      </c>
      <c r="F2000" s="40" t="n"/>
      <c r="G2000" s="68" t="n">
        <v>0</v>
      </c>
      <c r="H2000" s="173" t="inlineStr">
        <is>
          <t>Sim</t>
        </is>
      </c>
      <c r="I2000" s="49" t="n"/>
    </row>
    <row r="2001">
      <c r="A2001" s="43" t="inlineStr">
        <is>
          <t>001344</t>
        </is>
      </c>
      <c r="B2001" s="44" t="inlineStr">
        <is>
          <t>MIKES HAD LEMONADE</t>
        </is>
      </c>
      <c r="C2001" s="45" t="inlineStr">
        <is>
          <t>MR</t>
        </is>
      </c>
      <c r="D2001" s="45" t="inlineStr">
        <is>
          <t>UN</t>
        </is>
      </c>
      <c r="E2001" s="45" t="inlineStr">
        <is>
          <t>0119</t>
        </is>
      </c>
      <c r="F2001" s="70" t="inlineStr">
        <is>
          <t>Compras</t>
        </is>
      </c>
      <c r="G2001" s="69" t="n">
        <v>0</v>
      </c>
      <c r="H2001" s="173" t="inlineStr">
        <is>
          <t>Sim</t>
        </is>
      </c>
      <c r="I2001" s="50" t="n"/>
    </row>
    <row r="2002">
      <c r="A2002" s="40" t="inlineStr">
        <is>
          <t>002004</t>
        </is>
      </c>
      <c r="B2002" s="41" t="inlineStr">
        <is>
          <t>MILHO</t>
        </is>
      </c>
      <c r="C2002" s="42" t="inlineStr">
        <is>
          <t>PA</t>
        </is>
      </c>
      <c r="D2002" s="42" t="inlineStr">
        <is>
          <t>UN</t>
        </is>
      </c>
      <c r="E2002" s="42" t="inlineStr">
        <is>
          <t>0031</t>
        </is>
      </c>
      <c r="F2002" s="65" t="inlineStr">
        <is>
          <t>Venda</t>
        </is>
      </c>
      <c r="G2002" s="71" t="n">
        <v>3.12</v>
      </c>
      <c r="H2002" s="172" t="inlineStr">
        <is>
          <t>Não</t>
        </is>
      </c>
      <c r="I2002" s="47" t="inlineStr">
        <is>
          <t>78989056877168</t>
        </is>
      </c>
    </row>
    <row r="2003">
      <c r="A2003" s="43" t="inlineStr">
        <is>
          <t>000634</t>
        </is>
      </c>
      <c r="B2003" s="44" t="inlineStr">
        <is>
          <t>MILHO VERDE C/ CASCA</t>
        </is>
      </c>
      <c r="C2003" s="45" t="inlineStr">
        <is>
          <t>MP</t>
        </is>
      </c>
      <c r="D2003" s="45" t="inlineStr">
        <is>
          <t>KG</t>
        </is>
      </c>
      <c r="E2003" s="45" t="inlineStr">
        <is>
          <t>0036</t>
        </is>
      </c>
      <c r="F2003" s="70" t="inlineStr">
        <is>
          <t>Compras</t>
        </is>
      </c>
      <c r="G2003" s="66" t="n">
        <v>74.90000000000001</v>
      </c>
      <c r="H2003" s="172" t="inlineStr">
        <is>
          <t>Não</t>
        </is>
      </c>
      <c r="I2003" s="50" t="n"/>
    </row>
    <row r="2004">
      <c r="A2004" s="40" t="inlineStr">
        <is>
          <t>010393</t>
        </is>
      </c>
      <c r="B2004" s="41" t="inlineStr">
        <is>
          <t>MINI BOLA DE FUTEBOL N2 INFANTIL 15CM</t>
        </is>
      </c>
      <c r="C2004" s="42" t="inlineStr">
        <is>
          <t>MC</t>
        </is>
      </c>
      <c r="D2004" s="42" t="inlineStr">
        <is>
          <t>UN</t>
        </is>
      </c>
      <c r="E2004" s="42" t="inlineStr">
        <is>
          <t>0134</t>
        </is>
      </c>
      <c r="F2004" s="70" t="inlineStr">
        <is>
          <t>Compras</t>
        </is>
      </c>
      <c r="G2004" s="68" t="n">
        <v>0</v>
      </c>
      <c r="H2004" s="172" t="inlineStr">
        <is>
          <t>Não</t>
        </is>
      </c>
      <c r="I2004" s="49" t="n"/>
    </row>
    <row r="2005">
      <c r="A2005" s="43" t="inlineStr">
        <is>
          <t>001044</t>
        </is>
      </c>
      <c r="B2005" s="44" t="inlineStr">
        <is>
          <t>MINI CHURROS</t>
        </is>
      </c>
      <c r="C2005" s="45" t="inlineStr">
        <is>
          <t>MP</t>
        </is>
      </c>
      <c r="D2005" s="45" t="inlineStr">
        <is>
          <t>UN</t>
        </is>
      </c>
      <c r="E2005" s="45" t="inlineStr">
        <is>
          <t>0022</t>
        </is>
      </c>
      <c r="F2005" s="70" t="inlineStr">
        <is>
          <t>Compras</t>
        </is>
      </c>
      <c r="G2005" s="66" t="n">
        <v>0.95</v>
      </c>
      <c r="H2005" s="172" t="inlineStr">
        <is>
          <t>Não</t>
        </is>
      </c>
      <c r="I2005" s="50" t="n"/>
    </row>
    <row r="2006">
      <c r="A2006" s="40" t="inlineStr">
        <is>
          <t>001056</t>
        </is>
      </c>
      <c r="B2006" s="41" t="inlineStr">
        <is>
          <t>MINI CHURROS C/ DOCE DE LEITE</t>
        </is>
      </c>
      <c r="C2006" s="42" t="inlineStr">
        <is>
          <t>PA</t>
        </is>
      </c>
      <c r="D2006" s="42" t="inlineStr">
        <is>
          <t>UN</t>
        </is>
      </c>
      <c r="E2006" s="42" t="inlineStr">
        <is>
          <t>0096</t>
        </is>
      </c>
      <c r="F2006" s="65" t="inlineStr">
        <is>
          <t>Venda</t>
        </is>
      </c>
      <c r="G2006" s="68" t="n">
        <v>0</v>
      </c>
      <c r="H2006" s="172" t="inlineStr">
        <is>
          <t>Não</t>
        </is>
      </c>
      <c r="I2006" s="47" t="inlineStr">
        <is>
          <t>9003333</t>
        </is>
      </c>
    </row>
    <row r="2007">
      <c r="A2007" s="43" t="inlineStr">
        <is>
          <t>010040</t>
        </is>
      </c>
      <c r="B2007" s="44" t="inlineStr">
        <is>
          <t>MINI DOCINHOS FESTA</t>
        </is>
      </c>
      <c r="C2007" s="45" t="inlineStr">
        <is>
          <t>MC</t>
        </is>
      </c>
      <c r="D2007" s="45" t="inlineStr">
        <is>
          <t>UN</t>
        </is>
      </c>
      <c r="E2007" s="45" t="inlineStr">
        <is>
          <t>0013</t>
        </is>
      </c>
      <c r="F2007" s="70" t="inlineStr">
        <is>
          <t>Compras</t>
        </is>
      </c>
      <c r="G2007" s="66" t="n">
        <v>120</v>
      </c>
      <c r="H2007" s="172" t="inlineStr">
        <is>
          <t>Não</t>
        </is>
      </c>
      <c r="I2007" s="50" t="n"/>
    </row>
    <row r="2008">
      <c r="A2008" s="40" t="inlineStr">
        <is>
          <t>001050</t>
        </is>
      </c>
      <c r="B2008" s="41" t="inlineStr">
        <is>
          <t>MINI PASTEL DE CARNE</t>
        </is>
      </c>
      <c r="C2008" s="42" t="inlineStr">
        <is>
          <t>MP</t>
        </is>
      </c>
      <c r="D2008" s="42" t="inlineStr">
        <is>
          <t>UN</t>
        </is>
      </c>
      <c r="E2008" s="42" t="inlineStr">
        <is>
          <t>0022</t>
        </is>
      </c>
      <c r="F2008" s="70" t="inlineStr">
        <is>
          <t>Compras</t>
        </is>
      </c>
      <c r="G2008" s="71" t="n">
        <v>0.85</v>
      </c>
      <c r="H2008" s="172" t="inlineStr">
        <is>
          <t>Não</t>
        </is>
      </c>
      <c r="I2008" s="49" t="n"/>
    </row>
    <row r="2009">
      <c r="A2009" s="43" t="inlineStr">
        <is>
          <t>001051</t>
        </is>
      </c>
      <c r="B2009" s="44" t="inlineStr">
        <is>
          <t>MINI PASTEL DE QUEIJO</t>
        </is>
      </c>
      <c r="C2009" s="45" t="inlineStr">
        <is>
          <t>MP</t>
        </is>
      </c>
      <c r="D2009" s="45" t="inlineStr">
        <is>
          <t>UN</t>
        </is>
      </c>
      <c r="E2009" s="45" t="inlineStr">
        <is>
          <t>0022</t>
        </is>
      </c>
      <c r="F2009" s="70" t="inlineStr">
        <is>
          <t>Compras</t>
        </is>
      </c>
      <c r="G2009" s="66" t="n">
        <v>0.85</v>
      </c>
      <c r="H2009" s="172" t="inlineStr">
        <is>
          <t>Não</t>
        </is>
      </c>
      <c r="I2009" s="50" t="n"/>
    </row>
    <row r="2010">
      <c r="A2010" s="40" t="inlineStr">
        <is>
          <t>002239</t>
        </is>
      </c>
      <c r="B2010" s="41" t="inlineStr">
        <is>
          <t>MINI SALADA FRESCA</t>
        </is>
      </c>
      <c r="C2010" s="42" t="inlineStr">
        <is>
          <t>PA</t>
        </is>
      </c>
      <c r="D2010" s="42" t="inlineStr">
        <is>
          <t>UN</t>
        </is>
      </c>
      <c r="E2010" s="42" t="inlineStr">
        <is>
          <t>0112</t>
        </is>
      </c>
      <c r="F2010" s="65" t="inlineStr">
        <is>
          <t>Venda</t>
        </is>
      </c>
      <c r="G2010" s="68" t="n">
        <v>0</v>
      </c>
      <c r="H2010" s="172" t="inlineStr">
        <is>
          <t>Não</t>
        </is>
      </c>
      <c r="I2010" s="47" t="inlineStr">
        <is>
          <t>78989056877335</t>
        </is>
      </c>
    </row>
    <row r="2011">
      <c r="A2011" s="43" t="inlineStr">
        <is>
          <t>002262</t>
        </is>
      </c>
      <c r="B2011" s="44" t="inlineStr">
        <is>
          <t>MINI SALADA QUINTAL</t>
        </is>
      </c>
      <c r="C2011" s="45" t="inlineStr">
        <is>
          <t>PA</t>
        </is>
      </c>
      <c r="D2011" s="45" t="inlineStr">
        <is>
          <t>UN</t>
        </is>
      </c>
      <c r="E2011" s="45" t="inlineStr">
        <is>
          <t>0112</t>
        </is>
      </c>
      <c r="F2011" s="65" t="inlineStr">
        <is>
          <t>Venda</t>
        </is>
      </c>
      <c r="G2011" s="69" t="n">
        <v>0</v>
      </c>
      <c r="H2011" s="172" t="inlineStr">
        <is>
          <t>Não</t>
        </is>
      </c>
      <c r="I2011" s="48" t="inlineStr">
        <is>
          <t>78989056877336</t>
        </is>
      </c>
    </row>
    <row r="2012">
      <c r="A2012" s="40" t="inlineStr">
        <is>
          <t>010039</t>
        </is>
      </c>
      <c r="B2012" s="41" t="inlineStr">
        <is>
          <t>MINI SALGADOS FESTA</t>
        </is>
      </c>
      <c r="C2012" s="42" t="inlineStr">
        <is>
          <t>MC</t>
        </is>
      </c>
      <c r="D2012" s="42" t="inlineStr">
        <is>
          <t>UN</t>
        </is>
      </c>
      <c r="E2012" s="42" t="inlineStr">
        <is>
          <t>0013</t>
        </is>
      </c>
      <c r="F2012" s="70" t="inlineStr">
        <is>
          <t>Compras</t>
        </is>
      </c>
      <c r="G2012" s="71" t="n">
        <v>373</v>
      </c>
      <c r="H2012" s="172" t="inlineStr">
        <is>
          <t>Não</t>
        </is>
      </c>
      <c r="I2012" s="49" t="n"/>
    </row>
    <row r="2013">
      <c r="A2013" s="43" t="inlineStr">
        <is>
          <t>009804</t>
        </is>
      </c>
      <c r="B2013" s="44" t="inlineStr">
        <is>
          <t>MINI SWITCH DIVIDOR DE REDE</t>
        </is>
      </c>
      <c r="C2013" s="45" t="inlineStr">
        <is>
          <t>MC</t>
        </is>
      </c>
      <c r="D2013" s="45" t="inlineStr">
        <is>
          <t>UN</t>
        </is>
      </c>
      <c r="E2013" s="45" t="inlineStr">
        <is>
          <t>0006</t>
        </is>
      </c>
      <c r="F2013" s="70" t="inlineStr">
        <is>
          <t>Compras</t>
        </is>
      </c>
      <c r="G2013" s="69" t="n">
        <v>0</v>
      </c>
      <c r="H2013" s="172" t="inlineStr">
        <is>
          <t>Não</t>
        </is>
      </c>
      <c r="I2013" s="50" t="n"/>
    </row>
    <row r="2014">
      <c r="A2014" s="40" t="inlineStr">
        <is>
          <t>001943</t>
        </is>
      </c>
      <c r="B2014" s="41" t="inlineStr">
        <is>
          <t>MINT NEGRONI</t>
        </is>
      </c>
      <c r="C2014" s="42" t="inlineStr">
        <is>
          <t>PA</t>
        </is>
      </c>
      <c r="D2014" s="42" t="inlineStr">
        <is>
          <t>UN</t>
        </is>
      </c>
      <c r="E2014" s="42" t="inlineStr">
        <is>
          <t>0119</t>
        </is>
      </c>
      <c r="F2014" s="65" t="inlineStr">
        <is>
          <t>Venda</t>
        </is>
      </c>
      <c r="G2014" s="68" t="n">
        <v>0</v>
      </c>
      <c r="H2014" s="172" t="inlineStr">
        <is>
          <t>Não</t>
        </is>
      </c>
      <c r="I2014" s="47" t="inlineStr">
        <is>
          <t>78989056877221</t>
        </is>
      </c>
    </row>
    <row r="2015">
      <c r="A2015" s="43" t="inlineStr">
        <is>
          <t>001360</t>
        </is>
      </c>
      <c r="B2015" s="44" t="inlineStr">
        <is>
          <t>MISTO FRIO</t>
        </is>
      </c>
      <c r="C2015" s="45" t="inlineStr">
        <is>
          <t>MR</t>
        </is>
      </c>
      <c r="D2015" s="45" t="inlineStr">
        <is>
          <t>UN</t>
        </is>
      </c>
      <c r="E2015" s="45" t="inlineStr">
        <is>
          <t>0107</t>
        </is>
      </c>
      <c r="F2015" s="65" t="inlineStr">
        <is>
          <t>Venda</t>
        </is>
      </c>
      <c r="G2015" s="69" t="n">
        <v>0</v>
      </c>
      <c r="H2015" s="173" t="inlineStr">
        <is>
          <t>Sim</t>
        </is>
      </c>
      <c r="I2015" s="50" t="n"/>
    </row>
    <row r="2016">
      <c r="A2016" s="40" t="inlineStr">
        <is>
          <t>009695</t>
        </is>
      </c>
      <c r="B2016" s="41" t="inlineStr">
        <is>
          <t>MISTURADOR PARA TINTA</t>
        </is>
      </c>
      <c r="C2016" s="42" t="inlineStr">
        <is>
          <t>MC</t>
        </is>
      </c>
      <c r="D2016" s="42" t="inlineStr">
        <is>
          <t>UN</t>
        </is>
      </c>
      <c r="E2016" s="42" t="inlineStr">
        <is>
          <t>0132</t>
        </is>
      </c>
      <c r="F2016" s="70" t="inlineStr">
        <is>
          <t>Compras</t>
        </is>
      </c>
      <c r="G2016" s="71" t="n">
        <v>29.9</v>
      </c>
      <c r="H2016" s="172" t="inlineStr">
        <is>
          <t>Não</t>
        </is>
      </c>
      <c r="I2016" s="49" t="n"/>
    </row>
    <row r="2017">
      <c r="A2017" s="43" t="inlineStr">
        <is>
          <t>002228</t>
        </is>
      </c>
      <c r="B2017" s="44" t="inlineStr">
        <is>
          <t>MOCOTO</t>
        </is>
      </c>
      <c r="C2017" s="45" t="inlineStr">
        <is>
          <t>MC</t>
        </is>
      </c>
      <c r="D2017" s="45" t="inlineStr">
        <is>
          <t>KG</t>
        </is>
      </c>
      <c r="E2017" s="45" t="inlineStr">
        <is>
          <t>0013</t>
        </is>
      </c>
      <c r="F2017" s="70" t="inlineStr">
        <is>
          <t>Compras</t>
        </is>
      </c>
      <c r="G2017" s="66" t="n">
        <v>11.5609</v>
      </c>
      <c r="H2017" s="173" t="inlineStr">
        <is>
          <t>Sim</t>
        </is>
      </c>
      <c r="I2017" s="50" t="n"/>
    </row>
    <row r="2018">
      <c r="A2018" s="40" t="inlineStr">
        <is>
          <t>001666</t>
        </is>
      </c>
      <c r="B2018" s="41" t="inlineStr">
        <is>
          <t>MODULO EVAPORATIVO</t>
        </is>
      </c>
      <c r="C2018" s="42" t="inlineStr">
        <is>
          <t>AI</t>
        </is>
      </c>
      <c r="D2018" s="42" t="inlineStr">
        <is>
          <t>UN</t>
        </is>
      </c>
      <c r="E2018" s="42" t="inlineStr">
        <is>
          <t>0002</t>
        </is>
      </c>
      <c r="F2018" s="70" t="inlineStr">
        <is>
          <t>Compras</t>
        </is>
      </c>
      <c r="G2018" s="68" t="n">
        <v>0</v>
      </c>
      <c r="H2018" s="172" t="inlineStr">
        <is>
          <t>Não</t>
        </is>
      </c>
      <c r="I2018" s="49" t="n"/>
    </row>
    <row r="2019">
      <c r="A2019" s="43" t="inlineStr">
        <is>
          <t>009914</t>
        </is>
      </c>
      <c r="B2019" s="44" t="inlineStr">
        <is>
          <t>MODULO INTERRUPTOR INTERMEDIARIO</t>
        </is>
      </c>
      <c r="C2019" s="45" t="inlineStr">
        <is>
          <t>MC</t>
        </is>
      </c>
      <c r="D2019" s="45" t="inlineStr">
        <is>
          <t>UN</t>
        </is>
      </c>
      <c r="E2019" s="45" t="inlineStr">
        <is>
          <t>0132</t>
        </is>
      </c>
      <c r="F2019" s="70" t="inlineStr">
        <is>
          <t>Compras</t>
        </is>
      </c>
      <c r="G2019" s="66" t="n">
        <v>8</v>
      </c>
      <c r="H2019" s="172" t="inlineStr">
        <is>
          <t>Não</t>
        </is>
      </c>
      <c r="I2019" s="50" t="n"/>
    </row>
    <row r="2020">
      <c r="A2020" s="40" t="inlineStr">
        <is>
          <t>009316</t>
        </is>
      </c>
      <c r="B2020" s="41" t="inlineStr">
        <is>
          <t>MODULO TAMPO CEGO ORGANIZADOR DE FIOS</t>
        </is>
      </c>
      <c r="C2020" s="42" t="inlineStr">
        <is>
          <t>MC</t>
        </is>
      </c>
      <c r="D2020" s="42" t="inlineStr">
        <is>
          <t>UN</t>
        </is>
      </c>
      <c r="E2020" s="42" t="inlineStr">
        <is>
          <t>0132</t>
        </is>
      </c>
      <c r="F2020" s="70" t="inlineStr">
        <is>
          <t>Compras</t>
        </is>
      </c>
      <c r="G2020" s="71" t="n">
        <v>0.64</v>
      </c>
      <c r="H2020" s="172" t="inlineStr">
        <is>
          <t>Não</t>
        </is>
      </c>
      <c r="I2020" s="49" t="n"/>
    </row>
    <row r="2021">
      <c r="A2021" s="43" t="inlineStr">
        <is>
          <t>001025</t>
        </is>
      </c>
      <c r="B2021" s="44" t="inlineStr">
        <is>
          <t>MOJITO</t>
        </is>
      </c>
      <c r="C2021" s="45" t="inlineStr">
        <is>
          <t>PA</t>
        </is>
      </c>
      <c r="D2021" s="45" t="inlineStr">
        <is>
          <t>UN</t>
        </is>
      </c>
      <c r="E2021" s="45" t="inlineStr">
        <is>
          <t>0097</t>
        </is>
      </c>
      <c r="F2021" s="65" t="inlineStr">
        <is>
          <t>Venda</t>
        </is>
      </c>
      <c r="G2021" s="69" t="n">
        <v>0</v>
      </c>
      <c r="H2021" s="177" t="inlineStr">
        <is>
          <t>Sim</t>
        </is>
      </c>
      <c r="I2021" s="178" t="n"/>
    </row>
    <row r="2022">
      <c r="A2022" s="40" t="inlineStr">
        <is>
          <t>002265</t>
        </is>
      </c>
      <c r="B2022" s="41" t="inlineStr">
        <is>
          <t>MOJITO</t>
        </is>
      </c>
      <c r="C2022" s="42" t="inlineStr">
        <is>
          <t>PA</t>
        </is>
      </c>
      <c r="D2022" s="42" t="inlineStr">
        <is>
          <t>UN</t>
        </is>
      </c>
      <c r="E2022" s="42" t="inlineStr">
        <is>
          <t>0101</t>
        </is>
      </c>
      <c r="F2022" s="65" t="inlineStr">
        <is>
          <t>Venda</t>
        </is>
      </c>
      <c r="G2022" s="68" t="n">
        <v>0</v>
      </c>
      <c r="H2022" s="177" t="inlineStr">
        <is>
          <t>Sim</t>
        </is>
      </c>
      <c r="I2022" s="178" t="n"/>
    </row>
    <row r="2023">
      <c r="A2023" s="43" t="inlineStr">
        <is>
          <t>009805</t>
        </is>
      </c>
      <c r="B2023" s="44" t="inlineStr">
        <is>
          <t>MOLHA DEDO</t>
        </is>
      </c>
      <c r="C2023" s="45" t="inlineStr">
        <is>
          <t>MC</t>
        </is>
      </c>
      <c r="D2023" s="45" t="inlineStr">
        <is>
          <t>UN</t>
        </is>
      </c>
      <c r="E2023" s="45" t="inlineStr">
        <is>
          <t>0001</t>
        </is>
      </c>
      <c r="F2023" s="70" t="inlineStr">
        <is>
          <t>Compras</t>
        </is>
      </c>
      <c r="G2023" s="69" t="n">
        <v>0</v>
      </c>
      <c r="H2023" s="172" t="inlineStr">
        <is>
          <t>Não</t>
        </is>
      </c>
      <c r="I2023" s="50" t="n"/>
    </row>
    <row r="2024">
      <c r="A2024" s="40" t="inlineStr">
        <is>
          <t>010342</t>
        </is>
      </c>
      <c r="B2024" s="41" t="inlineStr">
        <is>
          <t>MOLHO CAESAR</t>
        </is>
      </c>
      <c r="C2024" s="42" t="inlineStr">
        <is>
          <t>MP</t>
        </is>
      </c>
      <c r="D2024" s="42" t="inlineStr">
        <is>
          <t>UN</t>
        </is>
      </c>
      <c r="E2024" s="42" t="inlineStr">
        <is>
          <t>0029</t>
        </is>
      </c>
      <c r="F2024" s="70" t="inlineStr">
        <is>
          <t>Compras</t>
        </is>
      </c>
      <c r="G2024" s="68" t="n">
        <v>9.916600000000001</v>
      </c>
      <c r="H2024" s="172" t="inlineStr">
        <is>
          <t>Não</t>
        </is>
      </c>
      <c r="I2024" s="49" t="n"/>
    </row>
    <row r="2025">
      <c r="A2025" s="43" t="inlineStr">
        <is>
          <t>009751</t>
        </is>
      </c>
      <c r="B2025" s="44" t="inlineStr">
        <is>
          <t>MOLHO DE ALHO</t>
        </is>
      </c>
      <c r="C2025" s="45" t="inlineStr">
        <is>
          <t>MC</t>
        </is>
      </c>
      <c r="D2025" s="45" t="inlineStr">
        <is>
          <t>UN</t>
        </is>
      </c>
      <c r="E2025" s="45" t="inlineStr">
        <is>
          <t>0013</t>
        </is>
      </c>
      <c r="F2025" s="70" t="inlineStr">
        <is>
          <t>Compras</t>
        </is>
      </c>
      <c r="G2025" s="66" t="n">
        <v>4.44</v>
      </c>
      <c r="H2025" s="172" t="inlineStr">
        <is>
          <t>Não</t>
        </is>
      </c>
      <c r="I2025" s="50" t="n"/>
    </row>
    <row r="2026">
      <c r="A2026" s="40" t="inlineStr">
        <is>
          <t>000402</t>
        </is>
      </c>
      <c r="B2026" s="41" t="inlineStr">
        <is>
          <t>MOLHO DE ALHO 150ML</t>
        </is>
      </c>
      <c r="C2026" s="42" t="inlineStr">
        <is>
          <t>MP</t>
        </is>
      </c>
      <c r="D2026" s="42" t="inlineStr">
        <is>
          <t>UN</t>
        </is>
      </c>
      <c r="E2026" s="42" t="inlineStr">
        <is>
          <t>0029</t>
        </is>
      </c>
      <c r="F2026" s="70" t="inlineStr">
        <is>
          <t>Compras</t>
        </is>
      </c>
      <c r="G2026" s="71" t="n">
        <v>5.048</v>
      </c>
      <c r="H2026" s="172" t="inlineStr">
        <is>
          <t>Não</t>
        </is>
      </c>
      <c r="I2026" s="49" t="n"/>
    </row>
    <row r="2027">
      <c r="A2027" s="43" t="inlineStr">
        <is>
          <t>009749</t>
        </is>
      </c>
      <c r="B2027" s="44" t="inlineStr">
        <is>
          <t>MOLHO DE LIMAO</t>
        </is>
      </c>
      <c r="C2027" s="45" t="inlineStr">
        <is>
          <t>MC</t>
        </is>
      </c>
      <c r="D2027" s="45" t="inlineStr">
        <is>
          <t>UN</t>
        </is>
      </c>
      <c r="E2027" s="45" t="inlineStr">
        <is>
          <t>0013</t>
        </is>
      </c>
      <c r="F2027" s="70" t="inlineStr">
        <is>
          <t>Compras</t>
        </is>
      </c>
      <c r="G2027" s="66" t="n">
        <v>6.49</v>
      </c>
      <c r="H2027" s="172" t="inlineStr">
        <is>
          <t>Não</t>
        </is>
      </c>
      <c r="I2027" s="50" t="n"/>
    </row>
    <row r="2028">
      <c r="A2028" s="40" t="inlineStr">
        <is>
          <t>000403</t>
        </is>
      </c>
      <c r="B2028" s="41" t="inlineStr">
        <is>
          <t>MOLHO DE PIMENTA</t>
        </is>
      </c>
      <c r="C2028" s="42" t="inlineStr">
        <is>
          <t>MP</t>
        </is>
      </c>
      <c r="D2028" s="42" t="inlineStr">
        <is>
          <t>UN</t>
        </is>
      </c>
      <c r="E2028" s="42" t="inlineStr">
        <is>
          <t>0029</t>
        </is>
      </c>
      <c r="F2028" s="70" t="inlineStr">
        <is>
          <t>Compras</t>
        </is>
      </c>
      <c r="G2028" s="71" t="n">
        <v>21.9</v>
      </c>
      <c r="H2028" s="172" t="inlineStr">
        <is>
          <t>Não</t>
        </is>
      </c>
      <c r="I2028" s="49" t="n"/>
    </row>
    <row r="2029">
      <c r="A2029" s="43" t="inlineStr">
        <is>
          <t>009750</t>
        </is>
      </c>
      <c r="B2029" s="44" t="inlineStr">
        <is>
          <t>MOLHO DE PIMENTA</t>
        </is>
      </c>
      <c r="C2029" s="45" t="inlineStr">
        <is>
          <t>MC</t>
        </is>
      </c>
      <c r="D2029" s="45" t="inlineStr">
        <is>
          <t>UN</t>
        </is>
      </c>
      <c r="E2029" s="45" t="inlineStr">
        <is>
          <t>0013</t>
        </is>
      </c>
      <c r="F2029" s="70" t="inlineStr">
        <is>
          <t>Compras</t>
        </is>
      </c>
      <c r="G2029" s="66" t="n">
        <v>3.69</v>
      </c>
      <c r="H2029" s="172" t="inlineStr">
        <is>
          <t>Não</t>
        </is>
      </c>
      <c r="I2029" s="50" t="n"/>
    </row>
    <row r="2030">
      <c r="A2030" s="40" t="inlineStr">
        <is>
          <t>000406</t>
        </is>
      </c>
      <c r="B2030" s="41" t="inlineStr">
        <is>
          <t>MOLHO DE TOMATE</t>
        </is>
      </c>
      <c r="C2030" s="42" t="inlineStr">
        <is>
          <t>MP</t>
        </is>
      </c>
      <c r="D2030" s="42" t="inlineStr">
        <is>
          <t>UN</t>
        </is>
      </c>
      <c r="E2030" s="42" t="inlineStr">
        <is>
          <t>0029</t>
        </is>
      </c>
      <c r="F2030" s="70" t="inlineStr">
        <is>
          <t>Compras</t>
        </is>
      </c>
      <c r="G2030" s="71" t="n">
        <v>24.65</v>
      </c>
      <c r="H2030" s="172" t="inlineStr">
        <is>
          <t>Não</t>
        </is>
      </c>
      <c r="I2030" s="49" t="n"/>
    </row>
    <row r="2031">
      <c r="A2031" s="43" t="inlineStr">
        <is>
          <t>009752</t>
        </is>
      </c>
      <c r="B2031" s="44" t="inlineStr">
        <is>
          <t>MOLHO DE VINAGRETE</t>
        </is>
      </c>
      <c r="C2031" s="45" t="inlineStr">
        <is>
          <t>MC</t>
        </is>
      </c>
      <c r="D2031" s="45" t="inlineStr">
        <is>
          <t>UN</t>
        </is>
      </c>
      <c r="E2031" s="45" t="inlineStr">
        <is>
          <t>0013</t>
        </is>
      </c>
      <c r="F2031" s="70" t="inlineStr">
        <is>
          <t>Compras</t>
        </is>
      </c>
      <c r="G2031" s="69" t="n">
        <v>0</v>
      </c>
      <c r="H2031" s="172" t="inlineStr">
        <is>
          <t>Não</t>
        </is>
      </c>
      <c r="I2031" s="50" t="n"/>
    </row>
    <row r="2032">
      <c r="A2032" s="40" t="inlineStr">
        <is>
          <t>009753</t>
        </is>
      </c>
      <c r="B2032" s="41" t="inlineStr">
        <is>
          <t>MOLHO ITALIANO</t>
        </is>
      </c>
      <c r="C2032" s="42" t="inlineStr">
        <is>
          <t>MC</t>
        </is>
      </c>
      <c r="D2032" s="42" t="inlineStr">
        <is>
          <t>UN</t>
        </is>
      </c>
      <c r="E2032" s="42" t="inlineStr">
        <is>
          <t>0013</t>
        </is>
      </c>
      <c r="F2032" s="70" t="inlineStr">
        <is>
          <t>Compras</t>
        </is>
      </c>
      <c r="G2032" s="71" t="n">
        <v>6.49</v>
      </c>
      <c r="H2032" s="172" t="inlineStr">
        <is>
          <t>Não</t>
        </is>
      </c>
      <c r="I2032" s="49" t="n"/>
    </row>
    <row r="2033">
      <c r="A2033" s="43" t="inlineStr">
        <is>
          <t>001002</t>
        </is>
      </c>
      <c r="B2033" s="44" t="inlineStr">
        <is>
          <t>MOLHO PIMENTA SACHE</t>
        </is>
      </c>
      <c r="C2033" s="45" t="inlineStr">
        <is>
          <t>MC</t>
        </is>
      </c>
      <c r="D2033" s="45" t="inlineStr">
        <is>
          <t>CX</t>
        </is>
      </c>
      <c r="E2033" s="45" t="inlineStr">
        <is>
          <t>0029</t>
        </is>
      </c>
      <c r="F2033" s="70" t="inlineStr">
        <is>
          <t>Compras</t>
        </is>
      </c>
      <c r="G2033" s="66" t="n">
        <v>41.8098</v>
      </c>
      <c r="H2033" s="172" t="inlineStr">
        <is>
          <t>Não</t>
        </is>
      </c>
      <c r="I2033" s="50" t="n"/>
    </row>
    <row r="2034">
      <c r="A2034" s="40" t="inlineStr">
        <is>
          <t>010340</t>
        </is>
      </c>
      <c r="B2034" s="41" t="inlineStr">
        <is>
          <t>MOLHO ROTI EM PO</t>
        </is>
      </c>
      <c r="C2034" s="42" t="inlineStr">
        <is>
          <t>MP</t>
        </is>
      </c>
      <c r="D2034" s="42" t="inlineStr">
        <is>
          <t>KG</t>
        </is>
      </c>
      <c r="E2034" s="42" t="inlineStr">
        <is>
          <t>0029</t>
        </is>
      </c>
      <c r="F2034" s="70" t="inlineStr">
        <is>
          <t>Compras</t>
        </is>
      </c>
      <c r="G2034" s="68" t="n">
        <v>0</v>
      </c>
      <c r="H2034" s="172" t="inlineStr">
        <is>
          <t>Não</t>
        </is>
      </c>
      <c r="I2034" s="49" t="n"/>
    </row>
    <row r="2035">
      <c r="A2035" s="43" t="inlineStr">
        <is>
          <t>000405</t>
        </is>
      </c>
      <c r="B2035" s="44" t="inlineStr">
        <is>
          <t>MOLHO SALADA  ITALIANO 236ML</t>
        </is>
      </c>
      <c r="C2035" s="45" t="inlineStr">
        <is>
          <t>MP</t>
        </is>
      </c>
      <c r="D2035" s="45" t="inlineStr">
        <is>
          <t>UN</t>
        </is>
      </c>
      <c r="E2035" s="45" t="inlineStr">
        <is>
          <t>0029</t>
        </is>
      </c>
      <c r="F2035" s="70" t="inlineStr">
        <is>
          <t>Compras</t>
        </is>
      </c>
      <c r="G2035" s="66" t="n">
        <v>6.49</v>
      </c>
      <c r="H2035" s="172" t="inlineStr">
        <is>
          <t>Não</t>
        </is>
      </c>
      <c r="I2035" s="50" t="n"/>
    </row>
    <row r="2036">
      <c r="A2036" s="40" t="inlineStr">
        <is>
          <t>000401</t>
        </is>
      </c>
      <c r="B2036" s="41" t="inlineStr">
        <is>
          <t>MOLHO SALADA BALSAMICO 236ML</t>
        </is>
      </c>
      <c r="C2036" s="42" t="inlineStr">
        <is>
          <t>MP</t>
        </is>
      </c>
      <c r="D2036" s="42" t="inlineStr">
        <is>
          <t>UN</t>
        </is>
      </c>
      <c r="E2036" s="42" t="inlineStr">
        <is>
          <t>0029</t>
        </is>
      </c>
      <c r="F2036" s="70" t="inlineStr">
        <is>
          <t>Compras</t>
        </is>
      </c>
      <c r="G2036" s="71" t="n">
        <v>6.49</v>
      </c>
      <c r="H2036" s="172" t="inlineStr">
        <is>
          <t>Não</t>
        </is>
      </c>
      <c r="I2036" s="49" t="n"/>
    </row>
    <row r="2037">
      <c r="A2037" s="43" t="inlineStr">
        <is>
          <t>000407</t>
        </is>
      </c>
      <c r="B2037" s="44" t="inlineStr">
        <is>
          <t>MOLHO SALADA ERVAS FINAS 236ML</t>
        </is>
      </c>
      <c r="C2037" s="45" t="inlineStr">
        <is>
          <t>MP</t>
        </is>
      </c>
      <c r="D2037" s="45" t="inlineStr">
        <is>
          <t>UN</t>
        </is>
      </c>
      <c r="E2037" s="45" t="inlineStr">
        <is>
          <t>0029</t>
        </is>
      </c>
      <c r="F2037" s="70" t="inlineStr">
        <is>
          <t>Compras</t>
        </is>
      </c>
      <c r="G2037" s="66" t="n">
        <v>6.49</v>
      </c>
      <c r="H2037" s="172" t="inlineStr">
        <is>
          <t>Não</t>
        </is>
      </c>
      <c r="I2037" s="50" t="n"/>
    </row>
    <row r="2038">
      <c r="A2038" s="40" t="inlineStr">
        <is>
          <t>000404</t>
        </is>
      </c>
      <c r="B2038" s="41" t="inlineStr">
        <is>
          <t>MOLHO SHOYO</t>
        </is>
      </c>
      <c r="C2038" s="42" t="inlineStr">
        <is>
          <t>MP</t>
        </is>
      </c>
      <c r="D2038" s="42" t="inlineStr">
        <is>
          <t>UN</t>
        </is>
      </c>
      <c r="E2038" s="42" t="inlineStr">
        <is>
          <t>0029</t>
        </is>
      </c>
      <c r="F2038" s="70" t="inlineStr">
        <is>
          <t>Compras</t>
        </is>
      </c>
      <c r="G2038" s="71" t="n">
        <v>76.90000000000001</v>
      </c>
      <c r="H2038" s="173" t="inlineStr">
        <is>
          <t>Sim</t>
        </is>
      </c>
      <c r="I2038" s="49" t="n"/>
    </row>
    <row r="2039">
      <c r="A2039" s="43" t="inlineStr">
        <is>
          <t>000628</t>
        </is>
      </c>
      <c r="B2039" s="44" t="inlineStr">
        <is>
          <t>MOLHO SHOYO 5 LTS</t>
        </is>
      </c>
      <c r="C2039" s="45" t="inlineStr">
        <is>
          <t>MP</t>
        </is>
      </c>
      <c r="D2039" s="45" t="inlineStr">
        <is>
          <t>LT</t>
        </is>
      </c>
      <c r="E2039" s="45" t="inlineStr">
        <is>
          <t>0029</t>
        </is>
      </c>
      <c r="F2039" s="70" t="inlineStr">
        <is>
          <t>Compras</t>
        </is>
      </c>
      <c r="G2039" s="66" t="n">
        <v>15.32</v>
      </c>
      <c r="H2039" s="172" t="inlineStr">
        <is>
          <t>Não</t>
        </is>
      </c>
      <c r="I2039" s="50" t="n"/>
    </row>
    <row r="2040">
      <c r="A2040" s="40" t="inlineStr">
        <is>
          <t>001001</t>
        </is>
      </c>
      <c r="B2040" s="41" t="inlineStr">
        <is>
          <t>MOLHO SHOYO SACHE</t>
        </is>
      </c>
      <c r="C2040" s="42" t="inlineStr">
        <is>
          <t>MC</t>
        </is>
      </c>
      <c r="D2040" s="42" t="inlineStr">
        <is>
          <t>CX</t>
        </is>
      </c>
      <c r="E2040" s="42" t="inlineStr">
        <is>
          <t>0029</t>
        </is>
      </c>
      <c r="F2040" s="70" t="inlineStr">
        <is>
          <t>Compras</t>
        </is>
      </c>
      <c r="G2040" s="68" t="n">
        <v>0</v>
      </c>
      <c r="H2040" s="172" t="inlineStr">
        <is>
          <t>Não</t>
        </is>
      </c>
      <c r="I2040" s="49" t="n"/>
    </row>
    <row r="2041">
      <c r="A2041" s="43" t="inlineStr">
        <is>
          <t>009806</t>
        </is>
      </c>
      <c r="B2041" s="44" t="inlineStr">
        <is>
          <t>MONITOR 19 P</t>
        </is>
      </c>
      <c r="C2041" s="45" t="inlineStr">
        <is>
          <t>MC</t>
        </is>
      </c>
      <c r="D2041" s="45" t="inlineStr">
        <is>
          <t>UN</t>
        </is>
      </c>
      <c r="E2041" s="45" t="inlineStr">
        <is>
          <t>0006</t>
        </is>
      </c>
      <c r="F2041" s="70" t="inlineStr">
        <is>
          <t>Compras</t>
        </is>
      </c>
      <c r="G2041" s="69" t="n">
        <v>0</v>
      </c>
      <c r="H2041" s="172" t="inlineStr">
        <is>
          <t>Não</t>
        </is>
      </c>
      <c r="I2041" s="50" t="n"/>
    </row>
    <row r="2042">
      <c r="A2042" s="40" t="inlineStr">
        <is>
          <t>009807</t>
        </is>
      </c>
      <c r="B2042" s="41" t="inlineStr">
        <is>
          <t>MONITOR 21,5 P</t>
        </is>
      </c>
      <c r="C2042" s="42" t="inlineStr">
        <is>
          <t>MC</t>
        </is>
      </c>
      <c r="D2042" s="42" t="inlineStr">
        <is>
          <t>UN</t>
        </is>
      </c>
      <c r="E2042" s="42" t="inlineStr">
        <is>
          <t>0006</t>
        </is>
      </c>
      <c r="F2042" s="70" t="inlineStr">
        <is>
          <t>Compras</t>
        </is>
      </c>
      <c r="G2042" s="71" t="n">
        <v>543.33</v>
      </c>
      <c r="H2042" s="172" t="inlineStr">
        <is>
          <t>Não</t>
        </is>
      </c>
      <c r="I2042" s="49" t="n"/>
    </row>
    <row r="2043">
      <c r="A2043" s="43" t="inlineStr">
        <is>
          <t>009808</t>
        </is>
      </c>
      <c r="B2043" s="44" t="inlineStr">
        <is>
          <t>MONITOR 24 P</t>
        </is>
      </c>
      <c r="C2043" s="45" t="inlineStr">
        <is>
          <t>MC</t>
        </is>
      </c>
      <c r="D2043" s="45" t="inlineStr">
        <is>
          <t>UN</t>
        </is>
      </c>
      <c r="E2043" s="45" t="inlineStr">
        <is>
          <t>0006</t>
        </is>
      </c>
      <c r="F2043" s="70" t="inlineStr">
        <is>
          <t>Compras</t>
        </is>
      </c>
      <c r="G2043" s="69" t="n">
        <v>0</v>
      </c>
      <c r="H2043" s="172" t="inlineStr">
        <is>
          <t>Não</t>
        </is>
      </c>
      <c r="I2043" s="50" t="n"/>
    </row>
    <row r="2044">
      <c r="A2044" s="40" t="inlineStr">
        <is>
          <t>000649</t>
        </is>
      </c>
      <c r="B2044" s="41" t="inlineStr">
        <is>
          <t>MONITOR LED</t>
        </is>
      </c>
      <c r="C2044" s="42" t="inlineStr">
        <is>
          <t>AI</t>
        </is>
      </c>
      <c r="D2044" s="42" t="inlineStr">
        <is>
          <t>UN</t>
        </is>
      </c>
      <c r="E2044" s="42" t="inlineStr">
        <is>
          <t>0006</t>
        </is>
      </c>
      <c r="F2044" s="70" t="inlineStr">
        <is>
          <t>Compras</t>
        </is>
      </c>
      <c r="G2044" s="68" t="n">
        <v>0</v>
      </c>
      <c r="H2044" s="172" t="inlineStr">
        <is>
          <t>Não</t>
        </is>
      </c>
      <c r="I2044" s="49" t="n"/>
    </row>
    <row r="2045">
      <c r="A2045" s="43" t="inlineStr">
        <is>
          <t>010353</t>
        </is>
      </c>
      <c r="B2045" s="44" t="inlineStr">
        <is>
          <t>MONTANTE PARA DRYWALL 0,70X0,48X3,00M</t>
        </is>
      </c>
      <c r="C2045" s="45" t="inlineStr">
        <is>
          <t>MC</t>
        </is>
      </c>
      <c r="D2045" s="45" t="inlineStr">
        <is>
          <t>UN</t>
        </is>
      </c>
      <c r="E2045" s="45" t="inlineStr">
        <is>
          <t>0132</t>
        </is>
      </c>
      <c r="F2045" s="70" t="inlineStr">
        <is>
          <t>Compras</t>
        </is>
      </c>
      <c r="G2045" s="69" t="n">
        <v>0</v>
      </c>
      <c r="H2045" s="172" t="inlineStr">
        <is>
          <t>Não</t>
        </is>
      </c>
      <c r="I2045" s="50" t="n"/>
    </row>
    <row r="2046">
      <c r="A2046" s="40" t="inlineStr">
        <is>
          <t>002079</t>
        </is>
      </c>
      <c r="B2046" s="41" t="inlineStr">
        <is>
          <t>MONTE SEU PRATO</t>
        </is>
      </c>
      <c r="C2046" s="42" t="inlineStr">
        <is>
          <t>PA</t>
        </is>
      </c>
      <c r="D2046" s="42" t="inlineStr">
        <is>
          <t>UN</t>
        </is>
      </c>
      <c r="E2046" s="42" t="inlineStr">
        <is>
          <t>0092</t>
        </is>
      </c>
      <c r="F2046" s="65" t="inlineStr">
        <is>
          <t>Venda</t>
        </is>
      </c>
      <c r="G2046" s="68" t="n">
        <v>0</v>
      </c>
      <c r="H2046" s="172" t="inlineStr">
        <is>
          <t>Não</t>
        </is>
      </c>
      <c r="I2046" s="47" t="inlineStr">
        <is>
          <t>78989056877295</t>
        </is>
      </c>
    </row>
    <row r="2047">
      <c r="A2047" s="43" t="inlineStr">
        <is>
          <t>002080</t>
        </is>
      </c>
      <c r="B2047" s="44" t="inlineStr">
        <is>
          <t>MONTE SEU PRATO 2</t>
        </is>
      </c>
      <c r="C2047" s="45" t="inlineStr">
        <is>
          <t>PA</t>
        </is>
      </c>
      <c r="D2047" s="45" t="inlineStr">
        <is>
          <t>UN</t>
        </is>
      </c>
      <c r="E2047" s="45" t="inlineStr">
        <is>
          <t>0092</t>
        </is>
      </c>
      <c r="F2047" s="65" t="inlineStr">
        <is>
          <t>Venda</t>
        </is>
      </c>
      <c r="G2047" s="69" t="n">
        <v>0</v>
      </c>
      <c r="H2047" s="172" t="inlineStr">
        <is>
          <t>Não</t>
        </is>
      </c>
      <c r="I2047" s="48" t="inlineStr">
        <is>
          <t>78989056877296</t>
        </is>
      </c>
    </row>
    <row r="2048">
      <c r="A2048" s="40" t="inlineStr">
        <is>
          <t>002081</t>
        </is>
      </c>
      <c r="B2048" s="41" t="inlineStr">
        <is>
          <t>MONTE SEU PRATO 3</t>
        </is>
      </c>
      <c r="C2048" s="42" t="inlineStr">
        <is>
          <t>PA</t>
        </is>
      </c>
      <c r="D2048" s="42" t="inlineStr">
        <is>
          <t>UN</t>
        </is>
      </c>
      <c r="E2048" s="42" t="inlineStr">
        <is>
          <t>0092</t>
        </is>
      </c>
      <c r="F2048" s="65" t="inlineStr">
        <is>
          <t>Venda</t>
        </is>
      </c>
      <c r="G2048" s="68" t="n">
        <v>0</v>
      </c>
      <c r="H2048" s="172" t="inlineStr">
        <is>
          <t>Não</t>
        </is>
      </c>
      <c r="I2048" s="47" t="inlineStr">
        <is>
          <t>78989056877297</t>
        </is>
      </c>
    </row>
    <row r="2049">
      <c r="A2049" s="43" t="inlineStr">
        <is>
          <t>000696</t>
        </is>
      </c>
      <c r="B2049" s="44" t="inlineStr">
        <is>
          <t>MONTILLA OURO</t>
        </is>
      </c>
      <c r="C2049" s="45" t="inlineStr">
        <is>
          <t>MR</t>
        </is>
      </c>
      <c r="D2049" s="45" t="inlineStr">
        <is>
          <t>LT</t>
        </is>
      </c>
      <c r="E2049" s="45" t="inlineStr">
        <is>
          <t>0030</t>
        </is>
      </c>
      <c r="F2049" s="70" t="inlineStr">
        <is>
          <t>Compras</t>
        </is>
      </c>
      <c r="G2049" s="66" t="n">
        <v>26.24</v>
      </c>
      <c r="H2049" s="173" t="inlineStr">
        <is>
          <t>Sim</t>
        </is>
      </c>
      <c r="I2049" s="50" t="n"/>
    </row>
    <row r="2050">
      <c r="A2050" s="40" t="inlineStr">
        <is>
          <t>000040</t>
        </is>
      </c>
      <c r="B2050" s="41" t="inlineStr">
        <is>
          <t>MONTILLA OURO DOSE</t>
        </is>
      </c>
      <c r="C2050" s="42" t="inlineStr">
        <is>
          <t>PA</t>
        </is>
      </c>
      <c r="D2050" s="42" t="inlineStr">
        <is>
          <t>UN</t>
        </is>
      </c>
      <c r="E2050" s="42" t="inlineStr">
        <is>
          <t>0095</t>
        </is>
      </c>
      <c r="F2050" s="65" t="inlineStr">
        <is>
          <t>Venda</t>
        </is>
      </c>
      <c r="G2050" s="68" t="n">
        <v>0</v>
      </c>
      <c r="H2050" s="172" t="inlineStr">
        <is>
          <t>Não</t>
        </is>
      </c>
      <c r="I2050" s="47" t="inlineStr">
        <is>
          <t>101014</t>
        </is>
      </c>
    </row>
    <row r="2051">
      <c r="A2051" s="43" t="inlineStr">
        <is>
          <t>000940</t>
        </is>
      </c>
      <c r="B2051" s="44" t="inlineStr">
        <is>
          <t>MONTILLA OURO GARRAFA 1LT</t>
        </is>
      </c>
      <c r="C2051" s="45" t="inlineStr">
        <is>
          <t>ME</t>
        </is>
      </c>
      <c r="D2051" s="45" t="inlineStr">
        <is>
          <t>LT</t>
        </is>
      </c>
      <c r="E2051" s="45" t="inlineStr">
        <is>
          <t>0030</t>
        </is>
      </c>
      <c r="F2051" s="70" t="inlineStr">
        <is>
          <t>Compras</t>
        </is>
      </c>
      <c r="G2051" s="66" t="n">
        <v>25.9</v>
      </c>
      <c r="H2051" s="172" t="inlineStr">
        <is>
          <t>Não</t>
        </is>
      </c>
      <c r="I2051" s="50" t="n"/>
    </row>
    <row r="2052">
      <c r="A2052" s="40" t="inlineStr">
        <is>
          <t>001030</t>
        </is>
      </c>
      <c r="B2052" s="41" t="inlineStr">
        <is>
          <t>MONTILLA PRATA DOSE</t>
        </is>
      </c>
      <c r="C2052" s="42" t="inlineStr">
        <is>
          <t>PA</t>
        </is>
      </c>
      <c r="D2052" s="42" t="inlineStr">
        <is>
          <t>UN</t>
        </is>
      </c>
      <c r="E2052" s="42" t="inlineStr">
        <is>
          <t>0103</t>
        </is>
      </c>
      <c r="F2052" s="65" t="inlineStr">
        <is>
          <t>Venda</t>
        </is>
      </c>
      <c r="G2052" s="68" t="n">
        <v>0</v>
      </c>
      <c r="H2052" s="172" t="inlineStr">
        <is>
          <t>Não</t>
        </is>
      </c>
      <c r="I2052" s="47" t="inlineStr">
        <is>
          <t>56451</t>
        </is>
      </c>
    </row>
    <row r="2053">
      <c r="A2053" s="43" t="inlineStr">
        <is>
          <t>000941</t>
        </is>
      </c>
      <c r="B2053" s="44" t="inlineStr">
        <is>
          <t>MONTILLA PRATA GARRAFA 1LT</t>
        </is>
      </c>
      <c r="C2053" s="45" t="inlineStr">
        <is>
          <t>ME</t>
        </is>
      </c>
      <c r="D2053" s="45" t="inlineStr">
        <is>
          <t>LT</t>
        </is>
      </c>
      <c r="E2053" s="45" t="inlineStr">
        <is>
          <t>0030</t>
        </is>
      </c>
      <c r="F2053" s="70" t="inlineStr">
        <is>
          <t>Compras</t>
        </is>
      </c>
      <c r="G2053" s="66" t="n">
        <v>25.9</v>
      </c>
      <c r="H2053" s="172" t="inlineStr">
        <is>
          <t>Não</t>
        </is>
      </c>
      <c r="I2053" s="50" t="n"/>
    </row>
    <row r="2054">
      <c r="A2054" s="40" t="inlineStr">
        <is>
          <t>000697</t>
        </is>
      </c>
      <c r="B2054" s="41" t="inlineStr">
        <is>
          <t>MONTILLA PRATA-CRISTAL</t>
        </is>
      </c>
      <c r="C2054" s="42" t="inlineStr">
        <is>
          <t>MR</t>
        </is>
      </c>
      <c r="D2054" s="42" t="inlineStr">
        <is>
          <t>LT</t>
        </is>
      </c>
      <c r="E2054" s="42" t="inlineStr">
        <is>
          <t>0030</t>
        </is>
      </c>
      <c r="F2054" s="70" t="inlineStr">
        <is>
          <t>Compras</t>
        </is>
      </c>
      <c r="G2054" s="71" t="n">
        <v>25.35</v>
      </c>
      <c r="H2054" s="173" t="inlineStr">
        <is>
          <t>Sim</t>
        </is>
      </c>
      <c r="I2054" s="49" t="n"/>
    </row>
    <row r="2055">
      <c r="A2055" s="43" t="inlineStr">
        <is>
          <t>002013</t>
        </is>
      </c>
      <c r="B2055" s="44" t="inlineStr">
        <is>
          <t>MOP CABELEIRA GIRATORIO COM BALDE</t>
        </is>
      </c>
      <c r="C2055" s="45" t="inlineStr">
        <is>
          <t>MC</t>
        </is>
      </c>
      <c r="D2055" s="45" t="inlineStr">
        <is>
          <t>UN</t>
        </is>
      </c>
      <c r="E2055" s="45" t="inlineStr">
        <is>
          <t>0075</t>
        </is>
      </c>
      <c r="F2055" s="70" t="inlineStr">
        <is>
          <t>Compras</t>
        </is>
      </c>
      <c r="G2055" s="66" t="n">
        <v>106.19</v>
      </c>
      <c r="H2055" s="172" t="inlineStr">
        <is>
          <t>Não</t>
        </is>
      </c>
      <c r="I2055" s="50" t="n"/>
    </row>
    <row r="2056">
      <c r="A2056" s="40" t="inlineStr">
        <is>
          <t>002046</t>
        </is>
      </c>
      <c r="B2056" s="41" t="inlineStr">
        <is>
          <t>MORANGO C/ CHOCOLATE</t>
        </is>
      </c>
      <c r="C2056" s="42" t="inlineStr">
        <is>
          <t>PA</t>
        </is>
      </c>
      <c r="D2056" s="42" t="inlineStr">
        <is>
          <t>UN</t>
        </is>
      </c>
      <c r="E2056" s="42" t="inlineStr">
        <is>
          <t>0096</t>
        </is>
      </c>
      <c r="F2056" s="65" t="inlineStr">
        <is>
          <t>Venda</t>
        </is>
      </c>
      <c r="G2056" s="68" t="n">
        <v>0</v>
      </c>
      <c r="H2056" s="172" t="inlineStr">
        <is>
          <t>Não</t>
        </is>
      </c>
      <c r="I2056" s="47" t="inlineStr">
        <is>
          <t>3000163</t>
        </is>
      </c>
    </row>
    <row r="2057">
      <c r="A2057" s="43" t="inlineStr">
        <is>
          <t>000796</t>
        </is>
      </c>
      <c r="B2057" s="44" t="inlineStr">
        <is>
          <t>MORANGO C/ CHOCOLATE DELIVERY</t>
        </is>
      </c>
      <c r="C2057" s="45" t="inlineStr">
        <is>
          <t>PA</t>
        </is>
      </c>
      <c r="D2057" s="45" t="inlineStr">
        <is>
          <t>UN</t>
        </is>
      </c>
      <c r="E2057" s="45" t="inlineStr">
        <is>
          <t>0096</t>
        </is>
      </c>
      <c r="F2057" s="65" t="inlineStr">
        <is>
          <t>Venda</t>
        </is>
      </c>
      <c r="G2057" s="66" t="n">
        <v>0.9</v>
      </c>
      <c r="H2057" s="177" t="inlineStr">
        <is>
          <t>Sim</t>
        </is>
      </c>
      <c r="I2057" s="178" t="n"/>
    </row>
    <row r="2058">
      <c r="A2058" s="40" t="inlineStr">
        <is>
          <t>001367</t>
        </is>
      </c>
      <c r="B2058" s="41" t="inlineStr">
        <is>
          <t>MORANGO CAFE DA MANHA</t>
        </is>
      </c>
      <c r="C2058" s="42" t="inlineStr">
        <is>
          <t>PA</t>
        </is>
      </c>
      <c r="D2058" s="42" t="inlineStr">
        <is>
          <t>UN</t>
        </is>
      </c>
      <c r="E2058" s="42" t="inlineStr">
        <is>
          <t>0105</t>
        </is>
      </c>
      <c r="F2058" s="65" t="inlineStr">
        <is>
          <t>Venda</t>
        </is>
      </c>
      <c r="G2058" s="68" t="n">
        <v>0</v>
      </c>
      <c r="H2058" s="172" t="inlineStr">
        <is>
          <t>Não</t>
        </is>
      </c>
      <c r="I2058" s="47" t="inlineStr">
        <is>
          <t>7898905687182</t>
        </is>
      </c>
    </row>
    <row r="2059">
      <c r="A2059" s="43" t="inlineStr">
        <is>
          <t>002045</t>
        </is>
      </c>
      <c r="B2059" s="44" t="inlineStr">
        <is>
          <t>MORANGO DO AMOR</t>
        </is>
      </c>
      <c r="C2059" s="45" t="inlineStr">
        <is>
          <t>MR</t>
        </is>
      </c>
      <c r="D2059" s="45" t="inlineStr">
        <is>
          <t>UN</t>
        </is>
      </c>
      <c r="E2059" s="45" t="inlineStr">
        <is>
          <t>0096</t>
        </is>
      </c>
      <c r="F2059" s="65" t="inlineStr">
        <is>
          <t>Venda</t>
        </is>
      </c>
      <c r="G2059" s="66" t="n">
        <v>3.8</v>
      </c>
      <c r="H2059" s="177" t="inlineStr">
        <is>
          <t>Sim</t>
        </is>
      </c>
      <c r="I2059" s="178" t="n"/>
    </row>
    <row r="2060">
      <c r="A2060" s="40" t="inlineStr">
        <is>
          <t>002048</t>
        </is>
      </c>
      <c r="B2060" s="41" t="inlineStr">
        <is>
          <t>MORANGO DO AMOR</t>
        </is>
      </c>
      <c r="C2060" s="42" t="inlineStr">
        <is>
          <t>MR</t>
        </is>
      </c>
      <c r="D2060" s="42" t="inlineStr">
        <is>
          <t>UN</t>
        </is>
      </c>
      <c r="E2060" s="42" t="inlineStr">
        <is>
          <t>0096</t>
        </is>
      </c>
      <c r="F2060" s="65" t="inlineStr">
        <is>
          <t>Venda</t>
        </is>
      </c>
      <c r="G2060" s="68" t="n">
        <v>0</v>
      </c>
      <c r="H2060" s="177" t="inlineStr">
        <is>
          <t>Sim</t>
        </is>
      </c>
      <c r="I2060" s="178" t="n"/>
    </row>
    <row r="2061">
      <c r="A2061" s="43" t="inlineStr">
        <is>
          <t>000590</t>
        </is>
      </c>
      <c r="B2061" s="44" t="inlineStr">
        <is>
          <t>MORANGO FRUTA</t>
        </is>
      </c>
      <c r="C2061" s="45" t="inlineStr">
        <is>
          <t>MP</t>
        </is>
      </c>
      <c r="D2061" s="45" t="inlineStr">
        <is>
          <t>KG</t>
        </is>
      </c>
      <c r="E2061" s="45" t="inlineStr">
        <is>
          <t>0036</t>
        </is>
      </c>
      <c r="F2061" s="70" t="inlineStr">
        <is>
          <t>Compras</t>
        </is>
      </c>
      <c r="G2061" s="66" t="n">
        <v>25.5</v>
      </c>
      <c r="H2061" s="172" t="inlineStr">
        <is>
          <t>Não</t>
        </is>
      </c>
      <c r="I2061" s="50" t="n"/>
    </row>
    <row r="2062">
      <c r="A2062" s="40" t="inlineStr">
        <is>
          <t>000951</t>
        </is>
      </c>
      <c r="B2062" s="41" t="inlineStr">
        <is>
          <t>MOSCOW MULE</t>
        </is>
      </c>
      <c r="C2062" s="42" t="inlineStr">
        <is>
          <t>PA</t>
        </is>
      </c>
      <c r="D2062" s="42" t="inlineStr">
        <is>
          <t>UN</t>
        </is>
      </c>
      <c r="E2062" s="42" t="inlineStr">
        <is>
          <t>0119</t>
        </is>
      </c>
      <c r="F2062" s="65" t="inlineStr">
        <is>
          <t>Venda</t>
        </is>
      </c>
      <c r="G2062" s="68" t="n">
        <v>0</v>
      </c>
      <c r="H2062" s="177" t="inlineStr">
        <is>
          <t>Sim</t>
        </is>
      </c>
      <c r="I2062" s="178" t="n"/>
    </row>
    <row r="2063">
      <c r="A2063" s="43" t="inlineStr">
        <is>
          <t>001476</t>
        </is>
      </c>
      <c r="B2063" s="44" t="inlineStr">
        <is>
          <t>MOSCOW MULE GENGIBRE</t>
        </is>
      </c>
      <c r="C2063" s="45" t="inlineStr">
        <is>
          <t>PA</t>
        </is>
      </c>
      <c r="D2063" s="45" t="inlineStr">
        <is>
          <t>UN</t>
        </is>
      </c>
      <c r="E2063" s="45" t="inlineStr">
        <is>
          <t>0105</t>
        </is>
      </c>
      <c r="F2063" s="65" t="inlineStr">
        <is>
          <t>Venda</t>
        </is>
      </c>
      <c r="G2063" s="69" t="n">
        <v>0</v>
      </c>
      <c r="H2063" s="172" t="inlineStr">
        <is>
          <t>Não</t>
        </is>
      </c>
      <c r="I2063" s="48" t="inlineStr">
        <is>
          <t>7898905687717</t>
        </is>
      </c>
    </row>
    <row r="2064">
      <c r="A2064" s="40" t="inlineStr">
        <is>
          <t>000408</t>
        </is>
      </c>
      <c r="B2064" s="41" t="inlineStr">
        <is>
          <t>MOSTARDA AMARELA  255G</t>
        </is>
      </c>
      <c r="C2064" s="42" t="inlineStr">
        <is>
          <t>MP</t>
        </is>
      </c>
      <c r="D2064" s="42" t="inlineStr">
        <is>
          <t>KG</t>
        </is>
      </c>
      <c r="E2064" s="42" t="inlineStr">
        <is>
          <t>0029</t>
        </is>
      </c>
      <c r="F2064" s="70" t="inlineStr">
        <is>
          <t>Compras</t>
        </is>
      </c>
      <c r="G2064" s="71" t="n">
        <v>46.45</v>
      </c>
      <c r="H2064" s="172" t="inlineStr">
        <is>
          <t>Não</t>
        </is>
      </c>
      <c r="I2064" s="49" t="n"/>
    </row>
    <row r="2065">
      <c r="A2065" s="43" t="inlineStr">
        <is>
          <t>000409</t>
        </is>
      </c>
      <c r="B2065" s="44" t="inlineStr">
        <is>
          <t>MOSTARDA ESCURA 255G</t>
        </is>
      </c>
      <c r="C2065" s="45" t="inlineStr">
        <is>
          <t>MP</t>
        </is>
      </c>
      <c r="D2065" s="45" t="inlineStr">
        <is>
          <t>KG</t>
        </is>
      </c>
      <c r="E2065" s="45" t="inlineStr">
        <is>
          <t>0029</t>
        </is>
      </c>
      <c r="F2065" s="70" t="inlineStr">
        <is>
          <t>Compras</t>
        </is>
      </c>
      <c r="G2065" s="66" t="n">
        <v>59.55</v>
      </c>
      <c r="H2065" s="172" t="inlineStr">
        <is>
          <t>Não</t>
        </is>
      </c>
      <c r="I2065" s="50" t="n"/>
    </row>
    <row r="2066">
      <c r="A2066" s="40" t="inlineStr">
        <is>
          <t>000975</t>
        </is>
      </c>
      <c r="B2066" s="41" t="inlineStr">
        <is>
          <t>MOSTARDA SACHE</t>
        </is>
      </c>
      <c r="C2066" s="42" t="inlineStr">
        <is>
          <t>MC</t>
        </is>
      </c>
      <c r="D2066" s="42" t="inlineStr">
        <is>
          <t>CX</t>
        </is>
      </c>
      <c r="E2066" s="42" t="inlineStr">
        <is>
          <t>0014</t>
        </is>
      </c>
      <c r="F2066" s="70" t="inlineStr">
        <is>
          <t>Compras</t>
        </is>
      </c>
      <c r="G2066" s="71" t="n">
        <v>23.94</v>
      </c>
      <c r="H2066" s="172" t="inlineStr">
        <is>
          <t>Não</t>
        </is>
      </c>
      <c r="I2066" s="49" t="n"/>
    </row>
    <row r="2067">
      <c r="A2067" s="43" t="inlineStr">
        <is>
          <t>000980</t>
        </is>
      </c>
      <c r="B2067" s="44" t="inlineStr">
        <is>
          <t>MOSTARDA SACHE</t>
        </is>
      </c>
      <c r="C2067" s="45" t="inlineStr">
        <is>
          <t>MC</t>
        </is>
      </c>
      <c r="D2067" s="45" t="inlineStr">
        <is>
          <t>CX</t>
        </is>
      </c>
      <c r="E2067" s="45" t="inlineStr">
        <is>
          <t>0029</t>
        </is>
      </c>
      <c r="F2067" s="70" t="inlineStr">
        <is>
          <t>Compras</t>
        </is>
      </c>
      <c r="G2067" s="66" t="n">
        <v>21.9</v>
      </c>
      <c r="H2067" s="172" t="inlineStr">
        <is>
          <t>Não</t>
        </is>
      </c>
      <c r="I2067" s="50" t="n"/>
    </row>
    <row r="2068">
      <c r="A2068" s="40" t="inlineStr">
        <is>
          <t>000733</t>
        </is>
      </c>
      <c r="B2068" s="41" t="inlineStr">
        <is>
          <t>MOTOR COIFA</t>
        </is>
      </c>
      <c r="C2068" s="42" t="inlineStr">
        <is>
          <t>AI</t>
        </is>
      </c>
      <c r="D2068" s="42" t="inlineStr">
        <is>
          <t>UN</t>
        </is>
      </c>
      <c r="E2068" s="42" t="inlineStr">
        <is>
          <t>0002</t>
        </is>
      </c>
      <c r="F2068" s="70" t="inlineStr">
        <is>
          <t>Compras</t>
        </is>
      </c>
      <c r="G2068" s="68" t="n">
        <v>0</v>
      </c>
      <c r="H2068" s="172" t="inlineStr">
        <is>
          <t>Não</t>
        </is>
      </c>
      <c r="I2068" s="49" t="n"/>
    </row>
    <row r="2069">
      <c r="A2069" s="43" t="inlineStr">
        <is>
          <t>009322</t>
        </is>
      </c>
      <c r="B2069" s="44" t="inlineStr">
        <is>
          <t>MOTOR EOS VENTILADOR BIVOLT 120X120X38 C/ ROLAMENT</t>
        </is>
      </c>
      <c r="C2069" s="45" t="inlineStr">
        <is>
          <t>MC</t>
        </is>
      </c>
      <c r="D2069" s="45" t="inlineStr">
        <is>
          <t>UN</t>
        </is>
      </c>
      <c r="E2069" s="45" t="inlineStr">
        <is>
          <t>0132</t>
        </is>
      </c>
      <c r="F2069" s="70" t="inlineStr">
        <is>
          <t>Compras</t>
        </is>
      </c>
      <c r="G2069" s="66" t="n">
        <v>595</v>
      </c>
      <c r="H2069" s="172" t="inlineStr">
        <is>
          <t>Não</t>
        </is>
      </c>
      <c r="I2069" s="50" t="n"/>
    </row>
    <row r="2070">
      <c r="A2070" s="40" t="inlineStr">
        <is>
          <t>010154</t>
        </is>
      </c>
      <c r="B2070" s="41" t="inlineStr">
        <is>
          <t>MOTOR EVAPORADORA AR CONDICIONADO</t>
        </is>
      </c>
      <c r="C2070" s="42" t="inlineStr">
        <is>
          <t>MC</t>
        </is>
      </c>
      <c r="D2070" s="42" t="inlineStr">
        <is>
          <t>UN</t>
        </is>
      </c>
      <c r="E2070" s="42" t="inlineStr">
        <is>
          <t>0132</t>
        </is>
      </c>
      <c r="F2070" s="70" t="inlineStr">
        <is>
          <t>Compras</t>
        </is>
      </c>
      <c r="G2070" s="68" t="n">
        <v>0</v>
      </c>
      <c r="H2070" s="172" t="inlineStr">
        <is>
          <t>Não</t>
        </is>
      </c>
      <c r="I2070" s="49" t="n"/>
    </row>
    <row r="2071">
      <c r="A2071" s="43" t="inlineStr">
        <is>
          <t>009378</t>
        </is>
      </c>
      <c r="B2071" s="44" t="inlineStr">
        <is>
          <t>MOTOR SOPRADOR 1/10 CV 220</t>
        </is>
      </c>
      <c r="C2071" s="45" t="inlineStr">
        <is>
          <t>MC</t>
        </is>
      </c>
      <c r="D2071" s="45" t="inlineStr">
        <is>
          <t>UN</t>
        </is>
      </c>
      <c r="E2071" s="45" t="inlineStr">
        <is>
          <t>0132</t>
        </is>
      </c>
      <c r="F2071" s="70" t="inlineStr">
        <is>
          <t>Compras</t>
        </is>
      </c>
      <c r="G2071" s="69" t="n">
        <v>0</v>
      </c>
      <c r="H2071" s="172" t="inlineStr">
        <is>
          <t>Não</t>
        </is>
      </c>
      <c r="I2071" s="50" t="n"/>
    </row>
    <row r="2072">
      <c r="A2072" s="40" t="inlineStr">
        <is>
          <t>002270</t>
        </is>
      </c>
      <c r="B2072" s="41" t="inlineStr">
        <is>
          <t>MOUSE COM FIO</t>
        </is>
      </c>
      <c r="C2072" s="42" t="inlineStr">
        <is>
          <t>MC</t>
        </is>
      </c>
      <c r="D2072" s="42" t="inlineStr">
        <is>
          <t>UN</t>
        </is>
      </c>
      <c r="E2072" s="42" t="inlineStr">
        <is>
          <t>0006</t>
        </is>
      </c>
      <c r="F2072" s="70" t="inlineStr">
        <is>
          <t>Compras</t>
        </is>
      </c>
      <c r="G2072" s="68" t="n">
        <v>0</v>
      </c>
      <c r="H2072" s="172" t="inlineStr">
        <is>
          <t>Não</t>
        </is>
      </c>
      <c r="I2072" s="49" t="n"/>
    </row>
    <row r="2073">
      <c r="A2073" s="43" t="inlineStr">
        <is>
          <t>009809</t>
        </is>
      </c>
      <c r="B2073" s="44" t="inlineStr">
        <is>
          <t>MOUSE PAD</t>
        </is>
      </c>
      <c r="C2073" s="45" t="inlineStr">
        <is>
          <t>MC</t>
        </is>
      </c>
      <c r="D2073" s="45" t="inlineStr">
        <is>
          <t>UN</t>
        </is>
      </c>
      <c r="E2073" s="45" t="inlineStr">
        <is>
          <t>0001</t>
        </is>
      </c>
      <c r="F2073" s="70" t="inlineStr">
        <is>
          <t>Compras</t>
        </is>
      </c>
      <c r="G2073" s="66" t="n">
        <v>31</v>
      </c>
      <c r="H2073" s="172" t="inlineStr">
        <is>
          <t>Não</t>
        </is>
      </c>
      <c r="I2073" s="50" t="n"/>
    </row>
    <row r="2074">
      <c r="A2074" s="40" t="inlineStr">
        <is>
          <t>009439</t>
        </is>
      </c>
      <c r="B2074" s="41" t="inlineStr">
        <is>
          <t>MOUSE SEM FIO</t>
        </is>
      </c>
      <c r="C2074" s="42" t="inlineStr">
        <is>
          <t>MC</t>
        </is>
      </c>
      <c r="D2074" s="42" t="inlineStr">
        <is>
          <t>UN</t>
        </is>
      </c>
      <c r="E2074" s="42" t="inlineStr">
        <is>
          <t>0006</t>
        </is>
      </c>
      <c r="F2074" s="70" t="inlineStr">
        <is>
          <t>Compras</t>
        </is>
      </c>
      <c r="G2074" s="68" t="n">
        <v>0</v>
      </c>
      <c r="H2074" s="172" t="inlineStr">
        <is>
          <t>Não</t>
        </is>
      </c>
      <c r="I2074" s="49" t="n"/>
    </row>
    <row r="2075">
      <c r="A2075" s="43" t="inlineStr">
        <is>
          <t>5PS00157</t>
        </is>
      </c>
      <c r="B2075" s="44" t="inlineStr">
        <is>
          <t>MULTIFUNCIONAL LASER SAMSUNG M</t>
        </is>
      </c>
      <c r="C2075" s="45" t="inlineStr">
        <is>
          <t>AI</t>
        </is>
      </c>
      <c r="D2075" s="45" t="inlineStr">
        <is>
          <t>UN</t>
        </is>
      </c>
      <c r="E2075" s="45" t="inlineStr">
        <is>
          <t>0001</t>
        </is>
      </c>
      <c r="F2075" s="65" t="inlineStr">
        <is>
          <t>Compras</t>
        </is>
      </c>
      <c r="G2075" s="69" t="n">
        <v>0</v>
      </c>
      <c r="H2075" s="172" t="inlineStr">
        <is>
          <t>Não</t>
        </is>
      </c>
      <c r="I2075" s="50" t="n"/>
    </row>
    <row r="2076">
      <c r="A2076" s="40" t="inlineStr">
        <is>
          <t>009777</t>
        </is>
      </c>
      <c r="B2076" s="41" t="inlineStr">
        <is>
          <t>MULTIUSO VEJA</t>
        </is>
      </c>
      <c r="C2076" s="42" t="inlineStr">
        <is>
          <t>MC</t>
        </is>
      </c>
      <c r="D2076" s="42" t="inlineStr">
        <is>
          <t>UN</t>
        </is>
      </c>
      <c r="E2076" s="42" t="inlineStr">
        <is>
          <t>0075</t>
        </is>
      </c>
      <c r="F2076" s="70" t="inlineStr">
        <is>
          <t>Compras</t>
        </is>
      </c>
      <c r="G2076" s="71" t="n">
        <v>3.36</v>
      </c>
      <c r="H2076" s="172" t="inlineStr">
        <is>
          <t>Não</t>
        </is>
      </c>
      <c r="I2076" s="49" t="n"/>
    </row>
    <row r="2077">
      <c r="A2077" s="43" t="inlineStr">
        <is>
          <t>000279</t>
        </is>
      </c>
      <c r="B2077" s="44" t="inlineStr">
        <is>
          <t>MUSSARELA BUFALA C/  RUCULA E TOMATE GRAPE</t>
        </is>
      </c>
      <c r="C2077" s="45" t="inlineStr">
        <is>
          <t>PA</t>
        </is>
      </c>
      <c r="D2077" s="45" t="inlineStr">
        <is>
          <t>UN</t>
        </is>
      </c>
      <c r="E2077" s="45" t="inlineStr">
        <is>
          <t>0102</t>
        </is>
      </c>
      <c r="F2077" s="65" t="inlineStr">
        <is>
          <t>Venda</t>
        </is>
      </c>
      <c r="G2077" s="69" t="n">
        <v>0</v>
      </c>
      <c r="H2077" s="172" t="inlineStr">
        <is>
          <t>Não</t>
        </is>
      </c>
      <c r="I2077" s="48" t="inlineStr">
        <is>
          <t>30005</t>
        </is>
      </c>
    </row>
    <row r="2078">
      <c r="A2078" s="40" t="inlineStr">
        <is>
          <t>000278</t>
        </is>
      </c>
      <c r="B2078" s="41" t="inlineStr">
        <is>
          <t>MUSSARELA BUFALA C/ TOMATE SEC</t>
        </is>
      </c>
      <c r="C2078" s="42" t="inlineStr">
        <is>
          <t>PA</t>
        </is>
      </c>
      <c r="D2078" s="42" t="inlineStr">
        <is>
          <t>UN</t>
        </is>
      </c>
      <c r="E2078" s="42" t="inlineStr">
        <is>
          <t>0102</t>
        </is>
      </c>
      <c r="F2078" s="65" t="inlineStr">
        <is>
          <t>Venda</t>
        </is>
      </c>
      <c r="G2078" s="68" t="n">
        <v>0</v>
      </c>
      <c r="H2078" s="177" t="inlineStr">
        <is>
          <t>Sim</t>
        </is>
      </c>
      <c r="I2078" s="178" t="n"/>
    </row>
    <row r="2079">
      <c r="A2079" s="43" t="inlineStr">
        <is>
          <t>000442</t>
        </is>
      </c>
      <c r="B2079" s="44" t="inlineStr">
        <is>
          <t>MUSSARELA DE BUFALA</t>
        </is>
      </c>
      <c r="C2079" s="45" t="inlineStr">
        <is>
          <t>MP</t>
        </is>
      </c>
      <c r="D2079" s="45" t="inlineStr">
        <is>
          <t>KG</t>
        </is>
      </c>
      <c r="E2079" s="45" t="inlineStr">
        <is>
          <t>0041</t>
        </is>
      </c>
      <c r="F2079" s="70" t="inlineStr">
        <is>
          <t>Compras</t>
        </is>
      </c>
      <c r="G2079" s="66" t="n">
        <v>54.5455</v>
      </c>
      <c r="H2079" s="172" t="inlineStr">
        <is>
          <t>Não</t>
        </is>
      </c>
      <c r="I2079" s="50" t="n"/>
    </row>
    <row r="2080">
      <c r="A2080" s="40" t="inlineStr">
        <is>
          <t>001377</t>
        </is>
      </c>
      <c r="B2080" s="41" t="inlineStr">
        <is>
          <t>MUSSARELA DE BUFALA GRELHADA</t>
        </is>
      </c>
      <c r="C2080" s="42" t="inlineStr">
        <is>
          <t>MR</t>
        </is>
      </c>
      <c r="D2080" s="42" t="inlineStr">
        <is>
          <t>UN</t>
        </is>
      </c>
      <c r="E2080" s="42" t="inlineStr">
        <is>
          <t>0041</t>
        </is>
      </c>
      <c r="F2080" s="40" t="inlineStr">
        <is>
          <t>(vazio)</t>
        </is>
      </c>
      <c r="G2080" s="68" t="n">
        <v>0</v>
      </c>
      <c r="H2080" s="173" t="inlineStr">
        <is>
          <t>Sim</t>
        </is>
      </c>
      <c r="I2080" s="47" t="inlineStr">
        <is>
          <t>7898905687185</t>
        </is>
      </c>
    </row>
    <row r="2081">
      <c r="A2081" s="43" t="inlineStr">
        <is>
          <t>000771</t>
        </is>
      </c>
      <c r="B2081" s="44" t="inlineStr">
        <is>
          <t>MUSSARELA DEFUMADA</t>
        </is>
      </c>
      <c r="C2081" s="45" t="inlineStr">
        <is>
          <t>PA</t>
        </is>
      </c>
      <c r="D2081" s="45" t="inlineStr">
        <is>
          <t>UN</t>
        </is>
      </c>
      <c r="E2081" s="45" t="inlineStr">
        <is>
          <t>0102</t>
        </is>
      </c>
      <c r="F2081" s="65" t="inlineStr">
        <is>
          <t>Venda</t>
        </is>
      </c>
      <c r="G2081" s="69" t="n">
        <v>0</v>
      </c>
      <c r="H2081" s="177" t="inlineStr">
        <is>
          <t>Sim</t>
        </is>
      </c>
      <c r="I2081" s="178" t="n"/>
    </row>
    <row r="2082">
      <c r="A2082" s="40" t="inlineStr">
        <is>
          <t>000410</t>
        </is>
      </c>
      <c r="B2082" s="41" t="inlineStr">
        <is>
          <t>MUSSARELLA</t>
        </is>
      </c>
      <c r="C2082" s="42" t="inlineStr">
        <is>
          <t>MP</t>
        </is>
      </c>
      <c r="D2082" s="42" t="inlineStr">
        <is>
          <t>KG</t>
        </is>
      </c>
      <c r="E2082" s="42" t="inlineStr">
        <is>
          <t>0041</t>
        </is>
      </c>
      <c r="F2082" s="70" t="inlineStr">
        <is>
          <t>Compras</t>
        </is>
      </c>
      <c r="G2082" s="71" t="n">
        <v>29.89</v>
      </c>
      <c r="H2082" s="172" t="inlineStr">
        <is>
          <t>Não</t>
        </is>
      </c>
      <c r="I2082" s="49" t="n"/>
    </row>
    <row r="2083">
      <c r="A2083" s="43" t="inlineStr">
        <is>
          <t>010371</t>
        </is>
      </c>
      <c r="B2083" s="44" t="inlineStr">
        <is>
          <t>MÓDULO VISOR CEGO 80012 MECTRONIC</t>
        </is>
      </c>
      <c r="C2083" s="45" t="inlineStr">
        <is>
          <t>MC</t>
        </is>
      </c>
      <c r="D2083" s="45" t="inlineStr">
        <is>
          <t>UN</t>
        </is>
      </c>
      <c r="E2083" s="45" t="inlineStr">
        <is>
          <t>0132</t>
        </is>
      </c>
      <c r="F2083" s="70" t="inlineStr">
        <is>
          <t>Compras</t>
        </is>
      </c>
      <c r="G2083" s="69" t="n">
        <v>0</v>
      </c>
      <c r="H2083" s="172" t="inlineStr">
        <is>
          <t>Não</t>
        </is>
      </c>
      <c r="I2083" s="50" t="n"/>
    </row>
    <row r="2084">
      <c r="A2084" s="40" t="inlineStr">
        <is>
          <t>000063</t>
        </is>
      </c>
      <c r="B2084" s="41" t="inlineStr">
        <is>
          <t>NEGRONI</t>
        </is>
      </c>
      <c r="C2084" s="42" t="inlineStr">
        <is>
          <t>PA</t>
        </is>
      </c>
      <c r="D2084" s="42" t="inlineStr">
        <is>
          <t>UN</t>
        </is>
      </c>
      <c r="E2084" s="42" t="inlineStr">
        <is>
          <t>0097</t>
        </is>
      </c>
      <c r="F2084" s="65" t="inlineStr">
        <is>
          <t>Venda</t>
        </is>
      </c>
      <c r="G2084" s="68" t="n">
        <v>0</v>
      </c>
      <c r="H2084" s="172" t="inlineStr">
        <is>
          <t>Não</t>
        </is>
      </c>
      <c r="I2084" s="47" t="inlineStr">
        <is>
          <t>200027</t>
        </is>
      </c>
    </row>
    <row r="2085">
      <c r="A2085" s="43" t="inlineStr">
        <is>
          <t>001921</t>
        </is>
      </c>
      <c r="B2085" s="44" t="inlineStr">
        <is>
          <t>NEGRONI 750 ML APTK</t>
        </is>
      </c>
      <c r="C2085" s="45" t="inlineStr">
        <is>
          <t>ME</t>
        </is>
      </c>
      <c r="D2085" s="45" t="inlineStr">
        <is>
          <t>LT</t>
        </is>
      </c>
      <c r="E2085" s="45" t="inlineStr">
        <is>
          <t>0138</t>
        </is>
      </c>
      <c r="F2085" s="70" t="inlineStr">
        <is>
          <t>Compras</t>
        </is>
      </c>
      <c r="G2085" s="66" t="n">
        <v>113.3333</v>
      </c>
      <c r="H2085" s="172" t="inlineStr">
        <is>
          <t>Não</t>
        </is>
      </c>
      <c r="I2085" s="50" t="n"/>
    </row>
    <row r="2086">
      <c r="A2086" s="40" t="inlineStr">
        <is>
          <t>009723</t>
        </is>
      </c>
      <c r="B2086" s="41" t="inlineStr">
        <is>
          <t>NESTLE COOKIE BAUNILHA COM GOTAS DE CHOCOLATE</t>
        </is>
      </c>
      <c r="C2086" s="42" t="inlineStr">
        <is>
          <t>MC</t>
        </is>
      </c>
      <c r="D2086" s="42" t="inlineStr">
        <is>
          <t>UN</t>
        </is>
      </c>
      <c r="E2086" s="42" t="inlineStr">
        <is>
          <t>0013</t>
        </is>
      </c>
      <c r="F2086" s="70" t="inlineStr">
        <is>
          <t>Compras</t>
        </is>
      </c>
      <c r="G2086" s="71" t="n">
        <v>2.89</v>
      </c>
      <c r="H2086" s="172" t="inlineStr">
        <is>
          <t>Não</t>
        </is>
      </c>
      <c r="I2086" s="49" t="n"/>
    </row>
    <row r="2087">
      <c r="A2087" s="43" t="inlineStr">
        <is>
          <t>009722</t>
        </is>
      </c>
      <c r="B2087" s="44" t="inlineStr">
        <is>
          <t>NESTLE COOKIE GALAK</t>
        </is>
      </c>
      <c r="C2087" s="45" t="inlineStr">
        <is>
          <t>MC</t>
        </is>
      </c>
      <c r="D2087" s="45" t="inlineStr">
        <is>
          <t>UN</t>
        </is>
      </c>
      <c r="E2087" s="45" t="inlineStr">
        <is>
          <t>0013</t>
        </is>
      </c>
      <c r="F2087" s="70" t="inlineStr">
        <is>
          <t>Compras</t>
        </is>
      </c>
      <c r="G2087" s="66" t="n">
        <v>2.89</v>
      </c>
      <c r="H2087" s="172" t="inlineStr">
        <is>
          <t>Não</t>
        </is>
      </c>
      <c r="I2087" s="50" t="n"/>
    </row>
    <row r="2088">
      <c r="A2088" s="40" t="inlineStr">
        <is>
          <t>009721</t>
        </is>
      </c>
      <c r="B2088" s="41" t="inlineStr">
        <is>
          <t>NESTLE COOKIE GOTAS DE CHOCOLATE</t>
        </is>
      </c>
      <c r="C2088" s="42" t="inlineStr">
        <is>
          <t>MC</t>
        </is>
      </c>
      <c r="D2088" s="42" t="inlineStr">
        <is>
          <t>UN</t>
        </is>
      </c>
      <c r="E2088" s="42" t="inlineStr">
        <is>
          <t>0013</t>
        </is>
      </c>
      <c r="F2088" s="70" t="inlineStr">
        <is>
          <t>Compras</t>
        </is>
      </c>
      <c r="G2088" s="71" t="n">
        <v>2.69</v>
      </c>
      <c r="H2088" s="172" t="inlineStr">
        <is>
          <t>Não</t>
        </is>
      </c>
      <c r="I2088" s="49" t="n"/>
    </row>
    <row r="2089">
      <c r="A2089" s="43" t="inlineStr">
        <is>
          <t>010071</t>
        </is>
      </c>
      <c r="B2089" s="44" t="inlineStr">
        <is>
          <t>NETINHO DE PAULA</t>
        </is>
      </c>
      <c r="C2089" s="45" t="inlineStr">
        <is>
          <t>MR</t>
        </is>
      </c>
      <c r="D2089" s="45" t="inlineStr">
        <is>
          <t>UN</t>
        </is>
      </c>
      <c r="E2089" s="45" t="inlineStr">
        <is>
          <t>0128</t>
        </is>
      </c>
      <c r="F2089" s="65" t="inlineStr">
        <is>
          <t>Venda</t>
        </is>
      </c>
      <c r="G2089" s="69" t="n">
        <v>0</v>
      </c>
      <c r="H2089" s="172" t="inlineStr">
        <is>
          <t>Não</t>
        </is>
      </c>
      <c r="I2089" s="48" t="inlineStr">
        <is>
          <t>7898905687136</t>
        </is>
      </c>
    </row>
    <row r="2090">
      <c r="A2090" s="40" t="inlineStr">
        <is>
          <t>010148</t>
        </is>
      </c>
      <c r="B2090" s="41" t="inlineStr">
        <is>
          <t>NIPLE REDUCAO 3/4 X 1/2 GALVANIZADO</t>
        </is>
      </c>
      <c r="C2090" s="42" t="inlineStr">
        <is>
          <t>MC</t>
        </is>
      </c>
      <c r="D2090" s="42" t="inlineStr">
        <is>
          <t>UN</t>
        </is>
      </c>
      <c r="E2090" s="42" t="inlineStr">
        <is>
          <t>0132</t>
        </is>
      </c>
      <c r="F2090" s="70" t="inlineStr">
        <is>
          <t>Compras</t>
        </is>
      </c>
      <c r="G2090" s="71" t="n">
        <v>11.8</v>
      </c>
      <c r="H2090" s="172" t="inlineStr">
        <is>
          <t>Não</t>
        </is>
      </c>
      <c r="I2090" s="49" t="n"/>
    </row>
    <row r="2091">
      <c r="A2091" s="43" t="inlineStr">
        <is>
          <t>009888</t>
        </is>
      </c>
      <c r="B2091" s="44" t="inlineStr">
        <is>
          <t>NIPLE ROSCA 1/2</t>
        </is>
      </c>
      <c r="C2091" s="45" t="inlineStr">
        <is>
          <t>MC</t>
        </is>
      </c>
      <c r="D2091" s="45" t="inlineStr">
        <is>
          <t>UN</t>
        </is>
      </c>
      <c r="E2091" s="45" t="inlineStr">
        <is>
          <t>0132</t>
        </is>
      </c>
      <c r="F2091" s="70" t="inlineStr">
        <is>
          <t>Compras</t>
        </is>
      </c>
      <c r="G2091" s="66" t="n">
        <v>2.25</v>
      </c>
      <c r="H2091" s="172" t="inlineStr">
        <is>
          <t>Não</t>
        </is>
      </c>
      <c r="I2091" s="50" t="n"/>
    </row>
    <row r="2092">
      <c r="A2092" s="40" t="inlineStr">
        <is>
          <t>000598</t>
        </is>
      </c>
      <c r="B2092" s="41" t="inlineStr">
        <is>
          <t>NO BREAK</t>
        </is>
      </c>
      <c r="C2092" s="42" t="inlineStr">
        <is>
          <t>AI</t>
        </is>
      </c>
      <c r="D2092" s="42" t="inlineStr">
        <is>
          <t>UN</t>
        </is>
      </c>
      <c r="E2092" s="42" t="inlineStr">
        <is>
          <t>0006</t>
        </is>
      </c>
      <c r="F2092" s="70" t="inlineStr">
        <is>
          <t>Compras</t>
        </is>
      </c>
      <c r="G2092" s="71" t="n">
        <v>993.9</v>
      </c>
      <c r="H2092" s="172" t="inlineStr">
        <is>
          <t>Não</t>
        </is>
      </c>
      <c r="I2092" s="49" t="n"/>
    </row>
    <row r="2093">
      <c r="A2093" s="43" t="inlineStr">
        <is>
          <t>000914</t>
        </is>
      </c>
      <c r="B2093" s="44" t="inlineStr">
        <is>
          <t>NORTENA</t>
        </is>
      </c>
      <c r="C2093" s="45" t="inlineStr">
        <is>
          <t>MR</t>
        </is>
      </c>
      <c r="D2093" s="45" t="inlineStr">
        <is>
          <t>UN</t>
        </is>
      </c>
      <c r="E2093" s="45" t="inlineStr">
        <is>
          <t>0093</t>
        </is>
      </c>
      <c r="F2093" s="65" t="inlineStr">
        <is>
          <t>Venda</t>
        </is>
      </c>
      <c r="G2093" s="69" t="n">
        <v>0</v>
      </c>
      <c r="H2093" s="173" t="inlineStr">
        <is>
          <t>Sim</t>
        </is>
      </c>
      <c r="I2093" s="48" t="inlineStr">
        <is>
          <t>80022</t>
        </is>
      </c>
    </row>
    <row r="2094">
      <c r="A2094" s="40" t="inlineStr">
        <is>
          <t>000329</t>
        </is>
      </c>
      <c r="B2094" s="41" t="inlineStr">
        <is>
          <t>NORTENA 960ML</t>
        </is>
      </c>
      <c r="C2094" s="42" t="inlineStr">
        <is>
          <t>MR</t>
        </is>
      </c>
      <c r="D2094" s="42" t="inlineStr">
        <is>
          <t>UN</t>
        </is>
      </c>
      <c r="E2094" s="42" t="inlineStr">
        <is>
          <t>0026</t>
        </is>
      </c>
      <c r="F2094" s="70" t="inlineStr">
        <is>
          <t>Compras</t>
        </is>
      </c>
      <c r="G2094" s="68" t="n">
        <v>0</v>
      </c>
      <c r="H2094" s="173" t="inlineStr">
        <is>
          <t>Sim</t>
        </is>
      </c>
      <c r="I2094" s="49" t="n"/>
    </row>
    <row r="2095">
      <c r="A2095" s="43" t="inlineStr">
        <is>
          <t>001391</t>
        </is>
      </c>
      <c r="B2095" s="44" t="inlineStr">
        <is>
          <t>NORTON PORTEO CHARDONNAY</t>
        </is>
      </c>
      <c r="C2095" s="45" t="inlineStr">
        <is>
          <t>MR</t>
        </is>
      </c>
      <c r="D2095" s="45" t="inlineStr">
        <is>
          <t>UN</t>
        </is>
      </c>
      <c r="E2095" s="45" t="inlineStr">
        <is>
          <t>0118</t>
        </is>
      </c>
      <c r="F2095" s="65" t="inlineStr">
        <is>
          <t>Venda</t>
        </is>
      </c>
      <c r="G2095" s="69" t="n">
        <v>0</v>
      </c>
      <c r="H2095" s="172" t="inlineStr">
        <is>
          <t>Não</t>
        </is>
      </c>
      <c r="I2095" s="48" t="inlineStr">
        <is>
          <t>7898905687189</t>
        </is>
      </c>
    </row>
    <row r="2096">
      <c r="A2096" s="40" t="inlineStr">
        <is>
          <t>001392</t>
        </is>
      </c>
      <c r="B2096" s="41" t="inlineStr">
        <is>
          <t>NORTON PORTEO MALBEC</t>
        </is>
      </c>
      <c r="C2096" s="42" t="inlineStr">
        <is>
          <t>MR</t>
        </is>
      </c>
      <c r="D2096" s="42" t="inlineStr">
        <is>
          <t>UN</t>
        </is>
      </c>
      <c r="E2096" s="42" t="inlineStr">
        <is>
          <t>0118</t>
        </is>
      </c>
      <c r="F2096" s="65" t="inlineStr">
        <is>
          <t>Venda</t>
        </is>
      </c>
      <c r="G2096" s="68" t="n">
        <v>0</v>
      </c>
      <c r="H2096" s="172" t="inlineStr">
        <is>
          <t>Não</t>
        </is>
      </c>
      <c r="I2096" s="47" t="inlineStr">
        <is>
          <t>7898905687190</t>
        </is>
      </c>
    </row>
    <row r="2097">
      <c r="A2097" s="43" t="inlineStr">
        <is>
          <t>009810</t>
        </is>
      </c>
      <c r="B2097" s="44" t="inlineStr">
        <is>
          <t>NOTEBOOK DELL CORE I5 16GB</t>
        </is>
      </c>
      <c r="C2097" s="45" t="inlineStr">
        <is>
          <t>AI</t>
        </is>
      </c>
      <c r="D2097" s="45" t="inlineStr">
        <is>
          <t>UN</t>
        </is>
      </c>
      <c r="E2097" s="45" t="inlineStr">
        <is>
          <t>0006</t>
        </is>
      </c>
      <c r="F2097" s="70" t="inlineStr">
        <is>
          <t>Compras</t>
        </is>
      </c>
      <c r="G2097" s="69" t="n">
        <v>0</v>
      </c>
      <c r="H2097" s="172" t="inlineStr">
        <is>
          <t>Não</t>
        </is>
      </c>
      <c r="I2097" s="50" t="n"/>
    </row>
    <row r="2098">
      <c r="A2098" s="40" t="inlineStr">
        <is>
          <t>009862</t>
        </is>
      </c>
      <c r="B2098" s="41" t="inlineStr">
        <is>
          <t>NOTEBOOK DELL CORE I7 32GB</t>
        </is>
      </c>
      <c r="C2098" s="42" t="inlineStr">
        <is>
          <t>AI</t>
        </is>
      </c>
      <c r="D2098" s="42" t="inlineStr">
        <is>
          <t>UN</t>
        </is>
      </c>
      <c r="E2098" s="42" t="inlineStr">
        <is>
          <t>0006</t>
        </is>
      </c>
      <c r="F2098" s="70" t="inlineStr">
        <is>
          <t>Compras</t>
        </is>
      </c>
      <c r="G2098" s="71" t="n">
        <v>8705.206700000001</v>
      </c>
      <c r="H2098" s="172" t="inlineStr">
        <is>
          <t>Não</t>
        </is>
      </c>
      <c r="I2098" s="49" t="n"/>
    </row>
    <row r="2099">
      <c r="A2099" s="43" t="inlineStr">
        <is>
          <t>000411</t>
        </is>
      </c>
      <c r="B2099" s="44" t="inlineStr">
        <is>
          <t>NOZES</t>
        </is>
      </c>
      <c r="C2099" s="45" t="inlineStr">
        <is>
          <t>MP</t>
        </is>
      </c>
      <c r="D2099" s="45" t="inlineStr">
        <is>
          <t>KG</t>
        </is>
      </c>
      <c r="E2099" s="45" t="inlineStr">
        <is>
          <t>0029</t>
        </is>
      </c>
      <c r="F2099" s="70" t="inlineStr">
        <is>
          <t>Compras</t>
        </is>
      </c>
      <c r="G2099" s="66" t="n">
        <v>64.19410000000001</v>
      </c>
      <c r="H2099" s="172" t="inlineStr">
        <is>
          <t>Não</t>
        </is>
      </c>
      <c r="I2099" s="50" t="n"/>
    </row>
    <row r="2100">
      <c r="A2100" s="40" t="inlineStr">
        <is>
          <t>000192</t>
        </is>
      </c>
      <c r="B2100" s="41" t="inlineStr">
        <is>
          <t>OCULOS DE PROTECAO</t>
        </is>
      </c>
      <c r="C2100" s="42" t="inlineStr">
        <is>
          <t>MC</t>
        </is>
      </c>
      <c r="D2100" s="42" t="inlineStr">
        <is>
          <t>UN</t>
        </is>
      </c>
      <c r="E2100" s="42" t="inlineStr">
        <is>
          <t>0017</t>
        </is>
      </c>
      <c r="F2100" s="70" t="inlineStr">
        <is>
          <t>Compras</t>
        </is>
      </c>
      <c r="G2100" s="71" t="n">
        <v>9</v>
      </c>
      <c r="H2100" s="172" t="inlineStr">
        <is>
          <t>Não</t>
        </is>
      </c>
      <c r="I2100" s="49" t="n"/>
    </row>
    <row r="2101">
      <c r="A2101" s="43" t="inlineStr">
        <is>
          <t>001925</t>
        </is>
      </c>
      <c r="B2101" s="44" t="inlineStr">
        <is>
          <t>OLD FASHIONED 750 ML APTK</t>
        </is>
      </c>
      <c r="C2101" s="45" t="inlineStr">
        <is>
          <t>ME</t>
        </is>
      </c>
      <c r="D2101" s="45" t="inlineStr">
        <is>
          <t>LT</t>
        </is>
      </c>
      <c r="E2101" s="45" t="inlineStr">
        <is>
          <t>0138</t>
        </is>
      </c>
      <c r="F2101" s="70" t="inlineStr">
        <is>
          <t>Compras</t>
        </is>
      </c>
      <c r="G2101" s="66" t="n">
        <v>113.3333</v>
      </c>
      <c r="H2101" s="172" t="inlineStr">
        <is>
          <t>Não</t>
        </is>
      </c>
      <c r="I2101" s="50" t="n"/>
    </row>
    <row r="2102">
      <c r="A2102" s="40" t="inlineStr">
        <is>
          <t>001953</t>
        </is>
      </c>
      <c r="B2102" s="41" t="inlineStr">
        <is>
          <t>OLDFESHIONED</t>
        </is>
      </c>
      <c r="C2102" s="42" t="inlineStr">
        <is>
          <t>PA</t>
        </is>
      </c>
      <c r="D2102" s="42" t="inlineStr">
        <is>
          <t>UN</t>
        </is>
      </c>
      <c r="E2102" s="42" t="inlineStr">
        <is>
          <t>0119</t>
        </is>
      </c>
      <c r="F2102" s="65" t="inlineStr">
        <is>
          <t>Venda</t>
        </is>
      </c>
      <c r="G2102" s="68" t="n">
        <v>0</v>
      </c>
      <c r="H2102" s="172" t="inlineStr">
        <is>
          <t>Não</t>
        </is>
      </c>
      <c r="I2102" s="47" t="inlineStr">
        <is>
          <t>78989056877232</t>
        </is>
      </c>
    </row>
    <row r="2103">
      <c r="A2103" s="43" t="inlineStr">
        <is>
          <t>010147</t>
        </is>
      </c>
      <c r="B2103" s="44" t="inlineStr">
        <is>
          <t>OLEO 20W50</t>
        </is>
      </c>
      <c r="C2103" s="45" t="inlineStr">
        <is>
          <t>MC</t>
        </is>
      </c>
      <c r="D2103" s="45" t="inlineStr">
        <is>
          <t>UN</t>
        </is>
      </c>
      <c r="E2103" s="45" t="inlineStr">
        <is>
          <t>0132</t>
        </is>
      </c>
      <c r="F2103" s="70" t="inlineStr">
        <is>
          <t>Compras</t>
        </is>
      </c>
      <c r="G2103" s="66" t="n">
        <v>70</v>
      </c>
      <c r="H2103" s="172" t="inlineStr">
        <is>
          <t>Não</t>
        </is>
      </c>
      <c r="I2103" s="50" t="n"/>
    </row>
    <row r="2104">
      <c r="A2104" s="40" t="inlineStr">
        <is>
          <t>000412</t>
        </is>
      </c>
      <c r="B2104" s="41" t="inlineStr">
        <is>
          <t>OLEO DE SOJA LIZA 900ML</t>
        </is>
      </c>
      <c r="C2104" s="42" t="inlineStr">
        <is>
          <t>MP</t>
        </is>
      </c>
      <c r="D2104" s="42" t="inlineStr">
        <is>
          <t>LT</t>
        </is>
      </c>
      <c r="E2104" s="42" t="inlineStr">
        <is>
          <t>0029</t>
        </is>
      </c>
      <c r="F2104" s="70" t="inlineStr">
        <is>
          <t>Compras</t>
        </is>
      </c>
      <c r="G2104" s="71" t="n">
        <v>8.877800000000001</v>
      </c>
      <c r="H2104" s="172" t="inlineStr">
        <is>
          <t>Não</t>
        </is>
      </c>
      <c r="I2104" s="49" t="n"/>
    </row>
    <row r="2105">
      <c r="A2105" s="43" t="inlineStr">
        <is>
          <t>001358</t>
        </is>
      </c>
      <c r="B2105" s="44" t="inlineStr">
        <is>
          <t>OLEO DIESEL (GERADOR)</t>
        </is>
      </c>
      <c r="C2105" s="45" t="inlineStr">
        <is>
          <t>OI</t>
        </is>
      </c>
      <c r="D2105" s="45" t="inlineStr">
        <is>
          <t>LT</t>
        </is>
      </c>
      <c r="E2105" s="45" t="inlineStr">
        <is>
          <t>0139</t>
        </is>
      </c>
      <c r="F2105" s="70" t="inlineStr">
        <is>
          <t>Compras</t>
        </is>
      </c>
      <c r="G2105" s="69" t="n">
        <v>0</v>
      </c>
      <c r="H2105" s="172" t="inlineStr">
        <is>
          <t>Não</t>
        </is>
      </c>
      <c r="I2105" s="50" t="n"/>
    </row>
    <row r="2106">
      <c r="A2106" s="40" t="inlineStr">
        <is>
          <t>009946</t>
        </is>
      </c>
      <c r="B2106" s="41" t="inlineStr">
        <is>
          <t>OLEO LUBRIFICANTE POLYESTER</t>
        </is>
      </c>
      <c r="C2106" s="42" t="inlineStr">
        <is>
          <t>MC</t>
        </is>
      </c>
      <c r="D2106" s="42" t="inlineStr">
        <is>
          <t>UN</t>
        </is>
      </c>
      <c r="E2106" s="42" t="inlineStr">
        <is>
          <t>0132</t>
        </is>
      </c>
      <c r="F2106" s="70" t="inlineStr">
        <is>
          <t>Compras</t>
        </is>
      </c>
      <c r="G2106" s="71" t="n">
        <v>195</v>
      </c>
      <c r="H2106" s="172" t="inlineStr">
        <is>
          <t>Não</t>
        </is>
      </c>
      <c r="I2106" s="49" t="n"/>
    </row>
    <row r="2107">
      <c r="A2107" s="43" t="inlineStr">
        <is>
          <t>002075</t>
        </is>
      </c>
      <c r="B2107" s="44" t="inlineStr">
        <is>
          <t>OP 24664 - PLACA KIDS</t>
        </is>
      </c>
      <c r="C2107" s="45" t="inlineStr">
        <is>
          <t>SV</t>
        </is>
      </c>
      <c r="D2107" s="45" t="inlineStr">
        <is>
          <t>UN</t>
        </is>
      </c>
      <c r="E2107" s="45" t="inlineStr">
        <is>
          <t>0068</t>
        </is>
      </c>
      <c r="F2107" s="70" t="inlineStr">
        <is>
          <t>Compras</t>
        </is>
      </c>
      <c r="G2107" s="69" t="n">
        <v>0</v>
      </c>
      <c r="H2107" s="172" t="inlineStr">
        <is>
          <t>Não</t>
        </is>
      </c>
      <c r="I2107" s="50" t="n"/>
    </row>
    <row r="2108">
      <c r="A2108" s="40" t="inlineStr">
        <is>
          <t>000663</t>
        </is>
      </c>
      <c r="B2108" s="41" t="inlineStr">
        <is>
          <t>OREGANO</t>
        </is>
      </c>
      <c r="C2108" s="42" t="inlineStr">
        <is>
          <t>MP</t>
        </is>
      </c>
      <c r="D2108" s="42" t="inlineStr">
        <is>
          <t>KG</t>
        </is>
      </c>
      <c r="E2108" s="42" t="inlineStr">
        <is>
          <t>0029</t>
        </is>
      </c>
      <c r="F2108" s="70" t="inlineStr">
        <is>
          <t>Compras</t>
        </is>
      </c>
      <c r="G2108" s="71" t="n">
        <v>46.4</v>
      </c>
      <c r="H2108" s="172" t="inlineStr">
        <is>
          <t>Não</t>
        </is>
      </c>
      <c r="I2108" s="49" t="n"/>
    </row>
    <row r="2109">
      <c r="A2109" s="43" t="inlineStr">
        <is>
          <t>002272</t>
        </is>
      </c>
      <c r="B2109" s="44" t="inlineStr">
        <is>
          <t>ORGANIZADOR ESCRITORIO VERTICAL ACRILICO</t>
        </is>
      </c>
      <c r="C2109" s="45" t="inlineStr">
        <is>
          <t>MC</t>
        </is>
      </c>
      <c r="D2109" s="45" t="inlineStr">
        <is>
          <t>UN</t>
        </is>
      </c>
      <c r="E2109" s="45" t="inlineStr">
        <is>
          <t>0001</t>
        </is>
      </c>
      <c r="F2109" s="70" t="inlineStr">
        <is>
          <t>Compras</t>
        </is>
      </c>
      <c r="G2109" s="69" t="n">
        <v>0</v>
      </c>
      <c r="H2109" s="172" t="inlineStr">
        <is>
          <t>Não</t>
        </is>
      </c>
      <c r="I2109" s="50" t="n"/>
    </row>
    <row r="2110">
      <c r="A2110" s="40" t="inlineStr">
        <is>
          <t>002276</t>
        </is>
      </c>
      <c r="B2110" s="41" t="inlineStr">
        <is>
          <t>ORGANIZADOR HORIZONTAL ACRILICO</t>
        </is>
      </c>
      <c r="C2110" s="42" t="inlineStr">
        <is>
          <t>MC</t>
        </is>
      </c>
      <c r="D2110" s="42" t="inlineStr">
        <is>
          <t>UN</t>
        </is>
      </c>
      <c r="E2110" s="42" t="inlineStr">
        <is>
          <t>0001</t>
        </is>
      </c>
      <c r="F2110" s="70" t="inlineStr">
        <is>
          <t>Compras</t>
        </is>
      </c>
      <c r="G2110" s="68" t="n">
        <v>0</v>
      </c>
      <c r="H2110" s="172" t="inlineStr">
        <is>
          <t>Não</t>
        </is>
      </c>
      <c r="I2110" s="49" t="n"/>
    </row>
    <row r="2111">
      <c r="A2111" s="43" t="inlineStr">
        <is>
          <t>010197</t>
        </is>
      </c>
      <c r="B2111" s="44" t="inlineStr">
        <is>
          <t>ORGANIZADOR MULTIUSO 23,2X15,6X5,4CM</t>
        </is>
      </c>
      <c r="C2111" s="45" t="inlineStr">
        <is>
          <t>MC</t>
        </is>
      </c>
      <c r="D2111" s="45" t="inlineStr">
        <is>
          <t>UN</t>
        </is>
      </c>
      <c r="E2111" s="45" t="inlineStr">
        <is>
          <t>0145</t>
        </is>
      </c>
      <c r="F2111" s="70" t="inlineStr">
        <is>
          <t>Compras</t>
        </is>
      </c>
      <c r="G2111" s="69" t="n">
        <v>0</v>
      </c>
      <c r="H2111" s="172" t="inlineStr">
        <is>
          <t>Não</t>
        </is>
      </c>
      <c r="I2111" s="50" t="n"/>
    </row>
    <row r="2112">
      <c r="A2112" s="40" t="inlineStr">
        <is>
          <t>010233</t>
        </is>
      </c>
      <c r="B2112" s="41" t="inlineStr">
        <is>
          <t>ORGANIZADOR MULTIUSO 7,5LT</t>
        </is>
      </c>
      <c r="C2112" s="42" t="inlineStr">
        <is>
          <t>MC</t>
        </is>
      </c>
      <c r="D2112" s="42" t="inlineStr">
        <is>
          <t>UN</t>
        </is>
      </c>
      <c r="E2112" s="42" t="inlineStr">
        <is>
          <t>0145</t>
        </is>
      </c>
      <c r="F2112" s="70" t="inlineStr">
        <is>
          <t>Compras</t>
        </is>
      </c>
      <c r="G2112" s="68" t="n">
        <v>0</v>
      </c>
      <c r="H2112" s="172" t="inlineStr">
        <is>
          <t>Não</t>
        </is>
      </c>
      <c r="I2112" s="49" t="n"/>
    </row>
    <row r="2113">
      <c r="A2113" s="43" t="inlineStr">
        <is>
          <t>001911</t>
        </is>
      </c>
      <c r="B2113" s="44" t="inlineStr">
        <is>
          <t>ORIGINAL 600 ANIVERSARIANTE</t>
        </is>
      </c>
      <c r="C2113" s="45" t="inlineStr">
        <is>
          <t>MR</t>
        </is>
      </c>
      <c r="D2113" s="45" t="inlineStr">
        <is>
          <t>UN</t>
        </is>
      </c>
      <c r="E2113" s="45" t="inlineStr">
        <is>
          <t>0093</t>
        </is>
      </c>
      <c r="F2113" s="65" t="inlineStr">
        <is>
          <t>Venda</t>
        </is>
      </c>
      <c r="G2113" s="69" t="n">
        <v>0</v>
      </c>
      <c r="H2113" s="172" t="inlineStr">
        <is>
          <t>Não</t>
        </is>
      </c>
      <c r="I2113" s="48" t="inlineStr">
        <is>
          <t>7898905687711</t>
        </is>
      </c>
    </row>
    <row r="2114">
      <c r="A2114" s="40" t="inlineStr">
        <is>
          <t>009573</t>
        </is>
      </c>
      <c r="B2114" s="41" t="inlineStr">
        <is>
          <t>ORIGINAL 600 CARNAVAL</t>
        </is>
      </c>
      <c r="C2114" s="42" t="inlineStr">
        <is>
          <t>MR</t>
        </is>
      </c>
      <c r="D2114" s="42" t="inlineStr">
        <is>
          <t>UN</t>
        </is>
      </c>
      <c r="E2114" s="42" t="inlineStr">
        <is>
          <t>0093</t>
        </is>
      </c>
      <c r="F2114" s="65" t="inlineStr">
        <is>
          <t>Venda</t>
        </is>
      </c>
      <c r="G2114" s="68" t="n">
        <v>0</v>
      </c>
      <c r="H2114" s="177" t="inlineStr">
        <is>
          <t>Sim</t>
        </is>
      </c>
      <c r="I2114" s="178" t="n"/>
    </row>
    <row r="2115">
      <c r="A2115" s="43" t="inlineStr">
        <is>
          <t>000894</t>
        </is>
      </c>
      <c r="B2115" s="44" t="inlineStr">
        <is>
          <t>ORIGINAL 600 ML</t>
        </is>
      </c>
      <c r="C2115" s="45" t="inlineStr">
        <is>
          <t>MR</t>
        </is>
      </c>
      <c r="D2115" s="45" t="inlineStr">
        <is>
          <t>UN</t>
        </is>
      </c>
      <c r="E2115" s="45" t="inlineStr">
        <is>
          <t>0093</t>
        </is>
      </c>
      <c r="F2115" s="65" t="inlineStr">
        <is>
          <t>Venda</t>
        </is>
      </c>
      <c r="G2115" s="66" t="n">
        <v>52.751</v>
      </c>
      <c r="H2115" s="172" t="inlineStr">
        <is>
          <t>Não</t>
        </is>
      </c>
      <c r="I2115" s="48" t="inlineStr">
        <is>
          <t>79002</t>
        </is>
      </c>
    </row>
    <row r="2116">
      <c r="A2116" s="40" t="inlineStr">
        <is>
          <t>000985</t>
        </is>
      </c>
      <c r="B2116" s="41" t="inlineStr">
        <is>
          <t>ORIGINAL 600 QUARTA</t>
        </is>
      </c>
      <c r="C2116" s="42" t="inlineStr">
        <is>
          <t>MR</t>
        </is>
      </c>
      <c r="D2116" s="42" t="inlineStr">
        <is>
          <t>UN</t>
        </is>
      </c>
      <c r="E2116" s="42" t="inlineStr">
        <is>
          <t>0093</t>
        </is>
      </c>
      <c r="F2116" s="65" t="inlineStr">
        <is>
          <t>Venda</t>
        </is>
      </c>
      <c r="G2116" s="68" t="n">
        <v>0</v>
      </c>
      <c r="H2116" s="172" t="inlineStr">
        <is>
          <t>Não</t>
        </is>
      </c>
      <c r="I2116" s="47" t="inlineStr">
        <is>
          <t>26393</t>
        </is>
      </c>
    </row>
    <row r="2117">
      <c r="A2117" s="43" t="inlineStr">
        <is>
          <t>001135</t>
        </is>
      </c>
      <c r="B2117" s="44" t="inlineStr">
        <is>
          <t>ORIGINAL LATA 350 ML</t>
        </is>
      </c>
      <c r="C2117" s="45" t="inlineStr">
        <is>
          <t>ME</t>
        </is>
      </c>
      <c r="D2117" s="45" t="inlineStr">
        <is>
          <t>UN</t>
        </is>
      </c>
      <c r="E2117" s="45" t="inlineStr">
        <is>
          <t>0026</t>
        </is>
      </c>
      <c r="F2117" s="70" t="inlineStr">
        <is>
          <t>Compras</t>
        </is>
      </c>
      <c r="G2117" s="66" t="n">
        <v>3.79</v>
      </c>
      <c r="H2117" s="172" t="inlineStr">
        <is>
          <t>Não</t>
        </is>
      </c>
      <c r="I2117" s="50" t="n"/>
    </row>
    <row r="2118">
      <c r="A2118" s="40" t="inlineStr">
        <is>
          <t>002204</t>
        </is>
      </c>
      <c r="B2118" s="41" t="inlineStr">
        <is>
          <t>ORIGINAL LATA 350 ML</t>
        </is>
      </c>
      <c r="C2118" s="42" t="inlineStr">
        <is>
          <t>MR</t>
        </is>
      </c>
      <c r="D2118" s="42" t="inlineStr">
        <is>
          <t>UN</t>
        </is>
      </c>
      <c r="E2118" s="42" t="inlineStr">
        <is>
          <t>0026</t>
        </is>
      </c>
      <c r="F2118" s="65" t="inlineStr">
        <is>
          <t>Venda</t>
        </is>
      </c>
      <c r="G2118" s="68" t="n">
        <v>0</v>
      </c>
      <c r="H2118" s="172" t="inlineStr">
        <is>
          <t>Não</t>
        </is>
      </c>
      <c r="I2118" s="47" t="inlineStr">
        <is>
          <t>78989056877351</t>
        </is>
      </c>
    </row>
    <row r="2119">
      <c r="A2119" s="43" t="inlineStr">
        <is>
          <t>010388</t>
        </is>
      </c>
      <c r="B2119" s="44" t="inlineStr">
        <is>
          <t>OVINHOS DE CHOCOLATE</t>
        </is>
      </c>
      <c r="C2119" s="45" t="inlineStr">
        <is>
          <t>MP</t>
        </is>
      </c>
      <c r="D2119" s="45" t="inlineStr">
        <is>
          <t>KG</t>
        </is>
      </c>
      <c r="E2119" s="45" t="inlineStr">
        <is>
          <t>0029</t>
        </is>
      </c>
      <c r="F2119" s="70" t="inlineStr">
        <is>
          <t>Compras</t>
        </is>
      </c>
      <c r="G2119" s="69" t="n">
        <v>0</v>
      </c>
      <c r="H2119" s="172" t="inlineStr">
        <is>
          <t>Não</t>
        </is>
      </c>
      <c r="I2119" s="50" t="n"/>
    </row>
    <row r="2120">
      <c r="A2120" s="43" t="inlineStr">
        <is>
          <t>000478</t>
        </is>
      </c>
      <c r="B2120" s="44" t="inlineStr">
        <is>
          <t>OVOS BRANCOS</t>
        </is>
      </c>
      <c r="C2120" s="45" t="inlineStr">
        <is>
          <t>MP</t>
        </is>
      </c>
      <c r="D2120" s="45" t="inlineStr">
        <is>
          <t>UN</t>
        </is>
      </c>
      <c r="E2120" s="45" t="inlineStr">
        <is>
          <t>0036</t>
        </is>
      </c>
      <c r="F2120" s="70" t="inlineStr">
        <is>
          <t>Compras</t>
        </is>
      </c>
      <c r="G2120" s="66" t="n">
        <v>0.8</v>
      </c>
      <c r="H2120" s="172" t="inlineStr">
        <is>
          <t>Não</t>
        </is>
      </c>
      <c r="I2120" s="50" t="n"/>
    </row>
    <row r="2121">
      <c r="A2121" s="40" t="inlineStr">
        <is>
          <t>000692</t>
        </is>
      </c>
      <c r="B2121" s="41" t="inlineStr">
        <is>
          <t>PA DE GELO INOX</t>
        </is>
      </c>
      <c r="C2121" s="42" t="inlineStr">
        <is>
          <t>MC</t>
        </is>
      </c>
      <c r="D2121" s="42" t="inlineStr">
        <is>
          <t>UN</t>
        </is>
      </c>
      <c r="E2121" s="42" t="inlineStr">
        <is>
          <t>0079</t>
        </is>
      </c>
      <c r="F2121" s="70" t="inlineStr">
        <is>
          <t>Compras</t>
        </is>
      </c>
      <c r="G2121" s="71" t="n">
        <v>69</v>
      </c>
      <c r="H2121" s="172" t="inlineStr">
        <is>
          <t>Não</t>
        </is>
      </c>
      <c r="I2121" s="49" t="n"/>
    </row>
    <row r="2122">
      <c r="A2122" s="43" t="inlineStr">
        <is>
          <t>000094</t>
        </is>
      </c>
      <c r="B2122" s="44" t="inlineStr">
        <is>
          <t>PA DE LIXO CABO LONGO</t>
        </is>
      </c>
      <c r="C2122" s="45" t="inlineStr">
        <is>
          <t>MC</t>
        </is>
      </c>
      <c r="D2122" s="45" t="inlineStr">
        <is>
          <t>UN</t>
        </is>
      </c>
      <c r="E2122" s="45" t="inlineStr">
        <is>
          <t>0075</t>
        </is>
      </c>
      <c r="F2122" s="70" t="inlineStr">
        <is>
          <t>Compras</t>
        </is>
      </c>
      <c r="G2122" s="66" t="n">
        <v>21.9</v>
      </c>
      <c r="H2122" s="172" t="inlineStr">
        <is>
          <t>Não</t>
        </is>
      </c>
      <c r="I2122" s="50" t="n"/>
    </row>
    <row r="2123">
      <c r="A2123" s="40" t="inlineStr">
        <is>
          <t>009754</t>
        </is>
      </c>
      <c r="B2123" s="41" t="inlineStr">
        <is>
          <t>PACOCA</t>
        </is>
      </c>
      <c r="C2123" s="42" t="inlineStr">
        <is>
          <t>MC</t>
        </is>
      </c>
      <c r="D2123" s="42" t="inlineStr">
        <is>
          <t>UN</t>
        </is>
      </c>
      <c r="E2123" s="42" t="inlineStr">
        <is>
          <t>0013</t>
        </is>
      </c>
      <c r="F2123" s="70" t="inlineStr">
        <is>
          <t>Compras</t>
        </is>
      </c>
      <c r="G2123" s="68" t="n">
        <v>0</v>
      </c>
      <c r="H2123" s="172" t="inlineStr">
        <is>
          <t>Não</t>
        </is>
      </c>
      <c r="I2123" s="49" t="n"/>
    </row>
    <row r="2124">
      <c r="A2124" s="43" t="inlineStr">
        <is>
          <t>009755</t>
        </is>
      </c>
      <c r="B2124" s="44" t="inlineStr">
        <is>
          <t>PACOCA DIET</t>
        </is>
      </c>
      <c r="C2124" s="45" t="inlineStr">
        <is>
          <t>MC</t>
        </is>
      </c>
      <c r="D2124" s="45" t="inlineStr">
        <is>
          <t>UN</t>
        </is>
      </c>
      <c r="E2124" s="45" t="inlineStr">
        <is>
          <t>0013</t>
        </is>
      </c>
      <c r="F2124" s="70" t="inlineStr">
        <is>
          <t>Compras</t>
        </is>
      </c>
      <c r="G2124" s="66" t="n">
        <v>44.49</v>
      </c>
      <c r="H2124" s="172" t="inlineStr">
        <is>
          <t>Não</t>
        </is>
      </c>
      <c r="I2124" s="50" t="n"/>
    </row>
    <row r="2125">
      <c r="A2125" s="40" t="inlineStr">
        <is>
          <t>PACOT11</t>
        </is>
      </c>
      <c r="B2125" s="41" t="inlineStr">
        <is>
          <t>PACOTE CARVAO VEGETAL 9,5 KG</t>
        </is>
      </c>
      <c r="C2125" s="42" t="inlineStr">
        <is>
          <t>MR</t>
        </is>
      </c>
      <c r="D2125" s="42" t="inlineStr">
        <is>
          <t>PC</t>
        </is>
      </c>
      <c r="E2125" s="42" t="inlineStr">
        <is>
          <t>0083</t>
        </is>
      </c>
      <c r="F2125" s="70" t="inlineStr">
        <is>
          <t>Compras</t>
        </is>
      </c>
      <c r="G2125" s="71" t="n">
        <v>44.5</v>
      </c>
      <c r="H2125" s="173" t="inlineStr">
        <is>
          <t>Sim</t>
        </is>
      </c>
      <c r="I2125" s="49" t="n"/>
    </row>
    <row r="2126">
      <c r="A2126" s="43" t="inlineStr">
        <is>
          <t>009756</t>
        </is>
      </c>
      <c r="B2126" s="44" t="inlineStr">
        <is>
          <t>PACOTE DE BALA 7 BELO</t>
        </is>
      </c>
      <c r="C2126" s="45" t="inlineStr">
        <is>
          <t>MC</t>
        </is>
      </c>
      <c r="D2126" s="45" t="inlineStr">
        <is>
          <t>UN</t>
        </is>
      </c>
      <c r="E2126" s="45" t="inlineStr">
        <is>
          <t>0013</t>
        </is>
      </c>
      <c r="F2126" s="70" t="inlineStr">
        <is>
          <t>Compras</t>
        </is>
      </c>
      <c r="G2126" s="66" t="n">
        <v>44.69</v>
      </c>
      <c r="H2126" s="172" t="inlineStr">
        <is>
          <t>Não</t>
        </is>
      </c>
      <c r="I2126" s="50" t="n"/>
    </row>
    <row r="2127">
      <c r="A2127" s="40" t="inlineStr">
        <is>
          <t>009757</t>
        </is>
      </c>
      <c r="B2127" s="41" t="inlineStr">
        <is>
          <t>PACOTE DE BALA BOLETE</t>
        </is>
      </c>
      <c r="C2127" s="42" t="inlineStr">
        <is>
          <t>MC</t>
        </is>
      </c>
      <c r="D2127" s="42" t="inlineStr">
        <is>
          <t>UN</t>
        </is>
      </c>
      <c r="E2127" s="42" t="inlineStr">
        <is>
          <t>0013</t>
        </is>
      </c>
      <c r="F2127" s="70" t="inlineStr">
        <is>
          <t>Compras</t>
        </is>
      </c>
      <c r="G2127" s="71" t="n">
        <v>9.390000000000001</v>
      </c>
      <c r="H2127" s="172" t="inlineStr">
        <is>
          <t>Não</t>
        </is>
      </c>
      <c r="I2127" s="49" t="n"/>
    </row>
    <row r="2128">
      <c r="A2128" s="43" t="inlineStr">
        <is>
          <t>009999</t>
        </is>
      </c>
      <c r="B2128" s="44" t="inlineStr">
        <is>
          <t>PACOTE DE CASAMENTO</t>
        </is>
      </c>
      <c r="C2128" s="45" t="inlineStr">
        <is>
          <t>OI</t>
        </is>
      </c>
      <c r="D2128" s="45" t="inlineStr">
        <is>
          <t>UN</t>
        </is>
      </c>
      <c r="E2128" s="45" t="inlineStr">
        <is>
          <t>0128</t>
        </is>
      </c>
      <c r="F2128" s="65" t="inlineStr">
        <is>
          <t>Venda</t>
        </is>
      </c>
      <c r="G2128" s="69" t="n">
        <v>0</v>
      </c>
      <c r="H2128" s="172" t="inlineStr">
        <is>
          <t>Não</t>
        </is>
      </c>
      <c r="I2128" s="48" t="inlineStr">
        <is>
          <t>78989056877193</t>
        </is>
      </c>
    </row>
    <row r="2129">
      <c r="A2129" s="40" t="inlineStr">
        <is>
          <t>009555</t>
        </is>
      </c>
      <c r="B2129" s="41" t="inlineStr">
        <is>
          <t>PACOTE DE GLITER COLORIDO</t>
        </is>
      </c>
      <c r="C2129" s="42" t="inlineStr">
        <is>
          <t>MC</t>
        </is>
      </c>
      <c r="D2129" s="42" t="inlineStr">
        <is>
          <t>UN</t>
        </is>
      </c>
      <c r="E2129" s="42" t="inlineStr">
        <is>
          <t>0135</t>
        </is>
      </c>
      <c r="F2129" s="70" t="inlineStr">
        <is>
          <t>Compras</t>
        </is>
      </c>
      <c r="G2129" s="68" t="n">
        <v>0</v>
      </c>
      <c r="H2129" s="172" t="inlineStr">
        <is>
          <t>Não</t>
        </is>
      </c>
      <c r="I2129" s="49" t="n"/>
    </row>
    <row r="2130">
      <c r="A2130" s="43" t="inlineStr">
        <is>
          <t>009554</t>
        </is>
      </c>
      <c r="B2130" s="44" t="inlineStr">
        <is>
          <t>PACOTE LANTEJOULAS COLORIDAS</t>
        </is>
      </c>
      <c r="C2130" s="45" t="inlineStr">
        <is>
          <t>MC</t>
        </is>
      </c>
      <c r="D2130" s="45" t="inlineStr">
        <is>
          <t>UN</t>
        </is>
      </c>
      <c r="E2130" s="45" t="inlineStr">
        <is>
          <t>0134</t>
        </is>
      </c>
      <c r="F2130" s="70" t="inlineStr">
        <is>
          <t>Compras</t>
        </is>
      </c>
      <c r="G2130" s="69" t="n">
        <v>0</v>
      </c>
      <c r="H2130" s="172" t="inlineStr">
        <is>
          <t>Não</t>
        </is>
      </c>
      <c r="I2130" s="50" t="n"/>
    </row>
    <row r="2131">
      <c r="A2131" s="40" t="inlineStr">
        <is>
          <t>000233</t>
        </is>
      </c>
      <c r="B2131" s="41" t="inlineStr">
        <is>
          <t>PACOTE OFFICE</t>
        </is>
      </c>
      <c r="C2131" s="42" t="inlineStr">
        <is>
          <t>MC</t>
        </is>
      </c>
      <c r="D2131" s="42" t="inlineStr">
        <is>
          <t>UN</t>
        </is>
      </c>
      <c r="E2131" s="42" t="inlineStr">
        <is>
          <t>0146</t>
        </is>
      </c>
      <c r="F2131" s="70" t="inlineStr">
        <is>
          <t>Compras</t>
        </is>
      </c>
      <c r="G2131" s="68" t="n">
        <v>0</v>
      </c>
      <c r="H2131" s="172" t="inlineStr">
        <is>
          <t>Não</t>
        </is>
      </c>
      <c r="I2131" s="49" t="n"/>
    </row>
    <row r="2132">
      <c r="A2132" s="43" t="inlineStr">
        <is>
          <t>001527</t>
        </is>
      </c>
      <c r="B2132" s="44" t="inlineStr">
        <is>
          <t>PACOTE PAPEL MANTEIGA RETANGULAR</t>
        </is>
      </c>
      <c r="C2132" s="45" t="inlineStr">
        <is>
          <t>MC</t>
        </is>
      </c>
      <c r="D2132" s="45" t="inlineStr">
        <is>
          <t>PC</t>
        </is>
      </c>
      <c r="E2132" s="45" t="inlineStr">
        <is>
          <t>0075</t>
        </is>
      </c>
      <c r="F2132" s="70" t="inlineStr">
        <is>
          <t>Compras</t>
        </is>
      </c>
      <c r="G2132" s="69" t="n">
        <v>0</v>
      </c>
      <c r="H2132" s="172" t="inlineStr">
        <is>
          <t>Não</t>
        </is>
      </c>
      <c r="I2132" s="50" t="n"/>
    </row>
    <row r="2133">
      <c r="A2133" s="40" t="inlineStr">
        <is>
          <t>002113</t>
        </is>
      </c>
      <c r="B2133" s="41" t="inlineStr">
        <is>
          <t>PAINEL CASSETE 4 VIAS SAMSUNG (03) R00-A</t>
        </is>
      </c>
      <c r="C2133" s="42" t="inlineStr">
        <is>
          <t>AI</t>
        </is>
      </c>
      <c r="D2133" s="42" t="inlineStr">
        <is>
          <t>UN</t>
        </is>
      </c>
      <c r="E2133" s="42" t="inlineStr">
        <is>
          <t>0002</t>
        </is>
      </c>
      <c r="F2133" s="70" t="inlineStr">
        <is>
          <t>Compras</t>
        </is>
      </c>
      <c r="G2133" s="71" t="n">
        <v>922.45</v>
      </c>
      <c r="H2133" s="172" t="inlineStr">
        <is>
          <t>Não</t>
        </is>
      </c>
      <c r="I2133" s="49" t="n"/>
    </row>
    <row r="2134">
      <c r="A2134" s="43" t="inlineStr">
        <is>
          <t>009311</t>
        </is>
      </c>
      <c r="B2134" s="44" t="inlineStr">
        <is>
          <t>PAINEL LED 18W EMBUTIR  6500K</t>
        </is>
      </c>
      <c r="C2134" s="45" t="inlineStr">
        <is>
          <t>MC</t>
        </is>
      </c>
      <c r="D2134" s="45" t="inlineStr">
        <is>
          <t>UN</t>
        </is>
      </c>
      <c r="E2134" s="45" t="inlineStr">
        <is>
          <t>0132</t>
        </is>
      </c>
      <c r="F2134" s="70" t="inlineStr">
        <is>
          <t>Compras</t>
        </is>
      </c>
      <c r="G2134" s="66" t="n">
        <v>49.9</v>
      </c>
      <c r="H2134" s="172" t="inlineStr">
        <is>
          <t>Não</t>
        </is>
      </c>
      <c r="I2134" s="50" t="n"/>
    </row>
    <row r="2135">
      <c r="A2135" s="40" t="inlineStr">
        <is>
          <t>001300</t>
        </is>
      </c>
      <c r="B2135" s="41" t="inlineStr">
        <is>
          <t>PAINEL LED 24W EMBUTIR QUADRADO 6500K</t>
        </is>
      </c>
      <c r="C2135" s="42" t="inlineStr">
        <is>
          <t>MC</t>
        </is>
      </c>
      <c r="D2135" s="42" t="inlineStr">
        <is>
          <t>UN</t>
        </is>
      </c>
      <c r="E2135" s="42" t="inlineStr">
        <is>
          <t>0132</t>
        </is>
      </c>
      <c r="F2135" s="70" t="inlineStr">
        <is>
          <t>Compras</t>
        </is>
      </c>
      <c r="G2135" s="71" t="n">
        <v>50</v>
      </c>
      <c r="H2135" s="172" t="inlineStr">
        <is>
          <t>Não</t>
        </is>
      </c>
      <c r="I2135" s="49" t="n"/>
    </row>
    <row r="2136">
      <c r="A2136" s="43" t="inlineStr">
        <is>
          <t>009348</t>
        </is>
      </c>
      <c r="B2136" s="44" t="inlineStr">
        <is>
          <t>PAINEL LED EMBUTIR 25W 30CM QUADRADO</t>
        </is>
      </c>
      <c r="C2136" s="45" t="inlineStr">
        <is>
          <t>MC</t>
        </is>
      </c>
      <c r="D2136" s="45" t="inlineStr">
        <is>
          <t>UN</t>
        </is>
      </c>
      <c r="E2136" s="45" t="inlineStr">
        <is>
          <t>0132</t>
        </is>
      </c>
      <c r="F2136" s="70" t="inlineStr">
        <is>
          <t>Compras</t>
        </is>
      </c>
      <c r="G2136" s="69" t="n">
        <v>0</v>
      </c>
      <c r="H2136" s="172" t="inlineStr">
        <is>
          <t>Não</t>
        </is>
      </c>
      <c r="I2136" s="50" t="n"/>
    </row>
    <row r="2137">
      <c r="A2137" s="40" t="inlineStr">
        <is>
          <t>001402</t>
        </is>
      </c>
      <c r="B2137" s="41" t="inlineStr">
        <is>
          <t>PAINEL LINHA ENEL</t>
        </is>
      </c>
      <c r="C2137" s="42" t="inlineStr">
        <is>
          <t>MC</t>
        </is>
      </c>
      <c r="D2137" s="42" t="inlineStr">
        <is>
          <t>UN</t>
        </is>
      </c>
      <c r="E2137" s="42" t="inlineStr">
        <is>
          <t>0060</t>
        </is>
      </c>
      <c r="F2137" s="70" t="inlineStr">
        <is>
          <t>Compras</t>
        </is>
      </c>
      <c r="G2137" s="68" t="n">
        <v>0</v>
      </c>
      <c r="H2137" s="173" t="inlineStr">
        <is>
          <t>Sim</t>
        </is>
      </c>
      <c r="I2137" s="49" t="n"/>
    </row>
    <row r="2138">
      <c r="A2138" s="43" t="inlineStr">
        <is>
          <t>000440</t>
        </is>
      </c>
      <c r="B2138" s="44" t="inlineStr">
        <is>
          <t>PALITO DE BAMBU 25CM FINO</t>
        </is>
      </c>
      <c r="C2138" s="45" t="inlineStr">
        <is>
          <t>MC</t>
        </is>
      </c>
      <c r="D2138" s="45" t="inlineStr">
        <is>
          <t>PC</t>
        </is>
      </c>
      <c r="E2138" s="45" t="inlineStr">
        <is>
          <t>0075</t>
        </is>
      </c>
      <c r="F2138" s="70" t="inlineStr">
        <is>
          <t>Compras</t>
        </is>
      </c>
      <c r="G2138" s="66" t="n">
        <v>2.82</v>
      </c>
      <c r="H2138" s="172" t="inlineStr">
        <is>
          <t>Não</t>
        </is>
      </c>
      <c r="I2138" s="50" t="n"/>
    </row>
    <row r="2139">
      <c r="A2139" s="40" t="inlineStr">
        <is>
          <t>000441</t>
        </is>
      </c>
      <c r="B2139" s="41" t="inlineStr">
        <is>
          <t>PALITO DE BAMBU 25CM GROSSO</t>
        </is>
      </c>
      <c r="C2139" s="42" t="inlineStr">
        <is>
          <t>MC</t>
        </is>
      </c>
      <c r="D2139" s="42" t="inlineStr">
        <is>
          <t>UN</t>
        </is>
      </c>
      <c r="E2139" s="42" t="inlineStr">
        <is>
          <t>0075</t>
        </is>
      </c>
      <c r="F2139" s="70" t="inlineStr">
        <is>
          <t>Compras</t>
        </is>
      </c>
      <c r="G2139" s="71" t="n">
        <v>0.0506</v>
      </c>
      <c r="H2139" s="172" t="inlineStr">
        <is>
          <t>Não</t>
        </is>
      </c>
      <c r="I2139" s="49" t="n"/>
    </row>
    <row r="2140">
      <c r="A2140" s="43" t="inlineStr">
        <is>
          <t>000117</t>
        </is>
      </c>
      <c r="B2140" s="44" t="inlineStr">
        <is>
          <t>PALITO DENTAL  C/1000 EMBALADO SACHE</t>
        </is>
      </c>
      <c r="C2140" s="45" t="inlineStr">
        <is>
          <t>MC</t>
        </is>
      </c>
      <c r="D2140" s="45" t="inlineStr">
        <is>
          <t>CX</t>
        </is>
      </c>
      <c r="E2140" s="45" t="inlineStr">
        <is>
          <t>0075</t>
        </is>
      </c>
      <c r="F2140" s="70" t="inlineStr">
        <is>
          <t>Compras</t>
        </is>
      </c>
      <c r="G2140" s="66" t="n">
        <v>6.51</v>
      </c>
      <c r="H2140" s="172" t="inlineStr">
        <is>
          <t>Não</t>
        </is>
      </c>
      <c r="I2140" s="50" t="n"/>
    </row>
    <row r="2141">
      <c r="A2141" s="40" t="inlineStr">
        <is>
          <t>001580</t>
        </is>
      </c>
      <c r="B2141" s="41" t="inlineStr">
        <is>
          <t>PALITO MUSSARELA 1KG</t>
        </is>
      </c>
      <c r="C2141" s="42" t="inlineStr">
        <is>
          <t>MP</t>
        </is>
      </c>
      <c r="D2141" s="42" t="inlineStr">
        <is>
          <t>KG</t>
        </is>
      </c>
      <c r="E2141" s="42" t="inlineStr">
        <is>
          <t>0022</t>
        </is>
      </c>
      <c r="F2141" s="70" t="inlineStr">
        <is>
          <t>Compras</t>
        </is>
      </c>
      <c r="G2141" s="71" t="n">
        <v>61.9833</v>
      </c>
      <c r="H2141" s="172" t="inlineStr">
        <is>
          <t>Não</t>
        </is>
      </c>
      <c r="I2141" s="49" t="n"/>
    </row>
    <row r="2142">
      <c r="A2142" s="43" t="inlineStr">
        <is>
          <t>009517</t>
        </is>
      </c>
      <c r="B2142" s="44" t="inlineStr">
        <is>
          <t>PALMITO</t>
        </is>
      </c>
      <c r="C2142" s="45" t="inlineStr">
        <is>
          <t>MP</t>
        </is>
      </c>
      <c r="D2142" s="45" t="inlineStr">
        <is>
          <t>KG</t>
        </is>
      </c>
      <c r="E2142" s="45" t="inlineStr">
        <is>
          <t>0036</t>
        </is>
      </c>
      <c r="F2142" s="70" t="inlineStr">
        <is>
          <t>Compras</t>
        </is>
      </c>
      <c r="G2142" s="69" t="n">
        <v>0</v>
      </c>
      <c r="H2142" s="172" t="inlineStr">
        <is>
          <t>Não</t>
        </is>
      </c>
      <c r="I2142" s="50" t="n"/>
    </row>
    <row r="2143">
      <c r="A2143" s="40" t="inlineStr">
        <is>
          <t>000029</t>
        </is>
      </c>
      <c r="B2143" s="41" t="inlineStr">
        <is>
          <t>PANCETA</t>
        </is>
      </c>
      <c r="C2143" s="42" t="inlineStr">
        <is>
          <t>PA</t>
        </is>
      </c>
      <c r="D2143" s="42" t="inlineStr">
        <is>
          <t>UN</t>
        </is>
      </c>
      <c r="E2143" s="42" t="inlineStr">
        <is>
          <t>0092</t>
        </is>
      </c>
      <c r="F2143" s="65" t="inlineStr">
        <is>
          <t>Venda</t>
        </is>
      </c>
      <c r="G2143" s="68" t="n">
        <v>0</v>
      </c>
      <c r="H2143" s="172" t="inlineStr">
        <is>
          <t>Não</t>
        </is>
      </c>
      <c r="I2143" s="47" t="inlineStr">
        <is>
          <t>10043</t>
        </is>
      </c>
    </row>
    <row r="2144">
      <c r="A2144" s="43" t="inlineStr">
        <is>
          <t>002196</t>
        </is>
      </c>
      <c r="B2144" s="44" t="inlineStr">
        <is>
          <t>PANCETA  RUA</t>
        </is>
      </c>
      <c r="C2144" s="45" t="inlineStr">
        <is>
          <t>PA</t>
        </is>
      </c>
      <c r="D2144" s="45" t="inlineStr">
        <is>
          <t>UN</t>
        </is>
      </c>
      <c r="E2144" s="45" t="inlineStr">
        <is>
          <t>0092</t>
        </is>
      </c>
      <c r="F2144" s="65" t="inlineStr">
        <is>
          <t>Venda</t>
        </is>
      </c>
      <c r="G2144" s="69" t="n">
        <v>0</v>
      </c>
      <c r="H2144" s="172" t="inlineStr">
        <is>
          <t>Não</t>
        </is>
      </c>
      <c r="I2144" s="48" t="inlineStr">
        <is>
          <t>78989056877348</t>
        </is>
      </c>
    </row>
    <row r="2145">
      <c r="A2145" s="40" t="inlineStr">
        <is>
          <t>001012</t>
        </is>
      </c>
      <c r="B2145" s="41" t="inlineStr">
        <is>
          <t>PANCETA IN NATURA</t>
        </is>
      </c>
      <c r="C2145" s="42" t="inlineStr">
        <is>
          <t>MR</t>
        </is>
      </c>
      <c r="D2145" s="42" t="inlineStr">
        <is>
          <t>UN</t>
        </is>
      </c>
      <c r="E2145" s="42" t="inlineStr">
        <is>
          <t>0092</t>
        </is>
      </c>
      <c r="F2145" s="65" t="inlineStr">
        <is>
          <t>Venda</t>
        </is>
      </c>
      <c r="G2145" s="68" t="n">
        <v>0</v>
      </c>
      <c r="H2145" s="172" t="inlineStr">
        <is>
          <t>Não</t>
        </is>
      </c>
      <c r="I2145" s="47" t="inlineStr">
        <is>
          <t>9003281</t>
        </is>
      </c>
    </row>
    <row r="2146">
      <c r="A2146" s="43" t="inlineStr">
        <is>
          <t>000578</t>
        </is>
      </c>
      <c r="B2146" s="44" t="inlineStr">
        <is>
          <t>PANELA DE PRESSAO</t>
        </is>
      </c>
      <c r="C2146" s="45" t="inlineStr">
        <is>
          <t>MC</t>
        </is>
      </c>
      <c r="D2146" s="45" t="inlineStr">
        <is>
          <t>UN</t>
        </is>
      </c>
      <c r="E2146" s="45" t="inlineStr">
        <is>
          <t>0080</t>
        </is>
      </c>
      <c r="F2146" s="70" t="inlineStr">
        <is>
          <t>Compras</t>
        </is>
      </c>
      <c r="G2146" s="66" t="n">
        <v>649</v>
      </c>
      <c r="H2146" s="172" t="inlineStr">
        <is>
          <t>Não</t>
        </is>
      </c>
      <c r="I2146" s="50" t="n"/>
    </row>
    <row r="2147">
      <c r="A2147" s="40" t="inlineStr">
        <is>
          <t>000576</t>
        </is>
      </c>
      <c r="B2147" s="41" t="inlineStr">
        <is>
          <t>PANELA GRANDE</t>
        </is>
      </c>
      <c r="C2147" s="42" t="inlineStr">
        <is>
          <t>MC</t>
        </is>
      </c>
      <c r="D2147" s="42" t="inlineStr">
        <is>
          <t>UN</t>
        </is>
      </c>
      <c r="E2147" s="42" t="inlineStr">
        <is>
          <t>0080</t>
        </is>
      </c>
      <c r="F2147" s="70" t="inlineStr">
        <is>
          <t>Compras</t>
        </is>
      </c>
      <c r="G2147" s="71" t="n">
        <v>290.7</v>
      </c>
      <c r="H2147" s="172" t="inlineStr">
        <is>
          <t>Não</t>
        </is>
      </c>
      <c r="I2147" s="49" t="n"/>
    </row>
    <row r="2148">
      <c r="A2148" s="43" t="inlineStr">
        <is>
          <t>000577</t>
        </is>
      </c>
      <c r="B2148" s="44" t="inlineStr">
        <is>
          <t>PANELA MEDIA</t>
        </is>
      </c>
      <c r="C2148" s="45" t="inlineStr">
        <is>
          <t>MC</t>
        </is>
      </c>
      <c r="D2148" s="45" t="inlineStr">
        <is>
          <t>UN</t>
        </is>
      </c>
      <c r="E2148" s="45" t="inlineStr">
        <is>
          <t>0080</t>
        </is>
      </c>
      <c r="F2148" s="70" t="inlineStr">
        <is>
          <t>Compras</t>
        </is>
      </c>
      <c r="G2148" s="66" t="n">
        <v>112</v>
      </c>
      <c r="H2148" s="172" t="inlineStr">
        <is>
          <t>Não</t>
        </is>
      </c>
      <c r="I2148" s="50" t="n"/>
    </row>
    <row r="2149">
      <c r="A2149" s="40" t="inlineStr">
        <is>
          <t>001355</t>
        </is>
      </c>
      <c r="B2149" s="41" t="inlineStr">
        <is>
          <t>PANELA PARA COZIMENTO A VAPOR</t>
        </is>
      </c>
      <c r="C2149" s="42" t="inlineStr">
        <is>
          <t>MC</t>
        </is>
      </c>
      <c r="D2149" s="42" t="inlineStr">
        <is>
          <t>UN</t>
        </is>
      </c>
      <c r="E2149" s="42" t="inlineStr">
        <is>
          <t>0079</t>
        </is>
      </c>
      <c r="F2149" s="70" t="inlineStr">
        <is>
          <t>Compras</t>
        </is>
      </c>
      <c r="G2149" s="68" t="n">
        <v>0</v>
      </c>
      <c r="H2149" s="172" t="inlineStr">
        <is>
          <t>Não</t>
        </is>
      </c>
      <c r="I2149" s="49" t="n"/>
    </row>
    <row r="2150">
      <c r="A2150" s="43" t="inlineStr">
        <is>
          <t>000026</t>
        </is>
      </c>
      <c r="B2150" s="44" t="inlineStr">
        <is>
          <t>PAO C/ MUSSARELA</t>
        </is>
      </c>
      <c r="C2150" s="45" t="inlineStr">
        <is>
          <t>PA</t>
        </is>
      </c>
      <c r="D2150" s="45" t="inlineStr">
        <is>
          <t>UN</t>
        </is>
      </c>
      <c r="E2150" s="45" t="inlineStr">
        <is>
          <t>0108</t>
        </is>
      </c>
      <c r="F2150" s="65" t="inlineStr">
        <is>
          <t>Venda</t>
        </is>
      </c>
      <c r="G2150" s="69" t="n">
        <v>0</v>
      </c>
      <c r="H2150" s="172" t="inlineStr">
        <is>
          <t>Não</t>
        </is>
      </c>
      <c r="I2150" s="48" t="inlineStr">
        <is>
          <t>10038</t>
        </is>
      </c>
    </row>
    <row r="2151">
      <c r="A2151" s="40" t="inlineStr">
        <is>
          <t>002195</t>
        </is>
      </c>
      <c r="B2151" s="41" t="inlineStr">
        <is>
          <t>PAO C/ MUSSARELA  RUA</t>
        </is>
      </c>
      <c r="C2151" s="42" t="inlineStr">
        <is>
          <t>PA</t>
        </is>
      </c>
      <c r="D2151" s="42" t="inlineStr">
        <is>
          <t>UN</t>
        </is>
      </c>
      <c r="E2151" s="42" t="inlineStr">
        <is>
          <t>0108</t>
        </is>
      </c>
      <c r="F2151" s="65" t="inlineStr">
        <is>
          <t>Venda</t>
        </is>
      </c>
      <c r="G2151" s="68" t="n">
        <v>0</v>
      </c>
      <c r="H2151" s="172" t="inlineStr">
        <is>
          <t>Não</t>
        </is>
      </c>
      <c r="I2151" s="47" t="inlineStr">
        <is>
          <t>78989056877346</t>
        </is>
      </c>
    </row>
    <row r="2152">
      <c r="A2152" s="43" t="inlineStr">
        <is>
          <t>000014</t>
        </is>
      </c>
      <c r="B2152" s="44" t="inlineStr">
        <is>
          <t>PAO C/ MUSSARELA IN NATURA</t>
        </is>
      </c>
      <c r="C2152" s="45" t="inlineStr">
        <is>
          <t>MR</t>
        </is>
      </c>
      <c r="D2152" s="45" t="inlineStr">
        <is>
          <t>UN</t>
        </is>
      </c>
      <c r="E2152" s="45" t="inlineStr">
        <is>
          <t>0108</t>
        </is>
      </c>
      <c r="F2152" s="65" t="inlineStr">
        <is>
          <t>Venda</t>
        </is>
      </c>
      <c r="G2152" s="69" t="n">
        <v>0</v>
      </c>
      <c r="H2152" s="172" t="inlineStr">
        <is>
          <t>Não</t>
        </is>
      </c>
      <c r="I2152" s="48" t="inlineStr">
        <is>
          <t>10017</t>
        </is>
      </c>
    </row>
    <row r="2153">
      <c r="A2153" s="40" t="inlineStr">
        <is>
          <t>001998</t>
        </is>
      </c>
      <c r="B2153" s="41" t="inlineStr">
        <is>
          <t>PAO DE FORMA 400G</t>
        </is>
      </c>
      <c r="C2153" s="42" t="inlineStr">
        <is>
          <t>MP</t>
        </is>
      </c>
      <c r="D2153" s="42" t="inlineStr">
        <is>
          <t>KG</t>
        </is>
      </c>
      <c r="E2153" s="42" t="inlineStr">
        <is>
          <t>0029</t>
        </is>
      </c>
      <c r="F2153" s="70" t="inlineStr">
        <is>
          <t>Compras</t>
        </is>
      </c>
      <c r="G2153" s="71" t="n">
        <v>62.3261</v>
      </c>
      <c r="H2153" s="172" t="inlineStr">
        <is>
          <t>Não</t>
        </is>
      </c>
      <c r="I2153" s="49" t="n"/>
    </row>
    <row r="2154">
      <c r="A2154" s="43" t="inlineStr">
        <is>
          <t>009769</t>
        </is>
      </c>
      <c r="B2154" s="44" t="inlineStr">
        <is>
          <t>PAO DE MEL BAUDUCCO</t>
        </is>
      </c>
      <c r="C2154" s="45" t="inlineStr">
        <is>
          <t>MC</t>
        </is>
      </c>
      <c r="D2154" s="45" t="inlineStr">
        <is>
          <t>UN</t>
        </is>
      </c>
      <c r="E2154" s="45" t="inlineStr">
        <is>
          <t>0013</t>
        </is>
      </c>
      <c r="F2154" s="70" t="inlineStr">
        <is>
          <t>Compras</t>
        </is>
      </c>
      <c r="G2154" s="66" t="n">
        <v>8.99</v>
      </c>
      <c r="H2154" s="172" t="inlineStr">
        <is>
          <t>Não</t>
        </is>
      </c>
      <c r="I2154" s="50" t="n"/>
    </row>
    <row r="2155">
      <c r="A2155" s="40" t="inlineStr">
        <is>
          <t>000637</t>
        </is>
      </c>
      <c r="B2155" s="41" t="inlineStr">
        <is>
          <t>PAO FRANCES(MINI/NORMAL)</t>
        </is>
      </c>
      <c r="C2155" s="42" t="inlineStr">
        <is>
          <t>MR</t>
        </is>
      </c>
      <c r="D2155" s="42" t="inlineStr">
        <is>
          <t>UN</t>
        </is>
      </c>
      <c r="E2155" s="42" t="inlineStr">
        <is>
          <t>0108</t>
        </is>
      </c>
      <c r="F2155" s="70" t="inlineStr">
        <is>
          <t>Compras</t>
        </is>
      </c>
      <c r="G2155" s="68" t="n">
        <v>0</v>
      </c>
      <c r="H2155" s="173" t="inlineStr">
        <is>
          <t>Sim</t>
        </is>
      </c>
      <c r="I2155" s="49" t="n"/>
    </row>
    <row r="2156">
      <c r="A2156" s="43" t="inlineStr">
        <is>
          <t>000151</t>
        </is>
      </c>
      <c r="B2156" s="44" t="inlineStr">
        <is>
          <t>PAPEL ALUMINIO</t>
        </is>
      </c>
      <c r="C2156" s="45" t="inlineStr">
        <is>
          <t>MC</t>
        </is>
      </c>
      <c r="D2156" s="45" t="inlineStr">
        <is>
          <t>UN</t>
        </is>
      </c>
      <c r="E2156" s="45" t="inlineStr">
        <is>
          <t>0075</t>
        </is>
      </c>
      <c r="F2156" s="70" t="inlineStr">
        <is>
          <t>Compras</t>
        </is>
      </c>
      <c r="G2156" s="66" t="n">
        <v>56.92</v>
      </c>
      <c r="H2156" s="172" t="inlineStr">
        <is>
          <t>Não</t>
        </is>
      </c>
      <c r="I2156" s="50" t="n"/>
    </row>
    <row r="2157">
      <c r="A2157" s="40" t="inlineStr">
        <is>
          <t>010234</t>
        </is>
      </c>
      <c r="B2157" s="41" t="inlineStr">
        <is>
          <t>PAPEL COLORIDO A4 COLOR SET 110G</t>
        </is>
      </c>
      <c r="C2157" s="42" t="inlineStr">
        <is>
          <t>MC</t>
        </is>
      </c>
      <c r="D2157" s="42" t="inlineStr">
        <is>
          <t>UN</t>
        </is>
      </c>
      <c r="E2157" s="42" t="inlineStr">
        <is>
          <t>0134</t>
        </is>
      </c>
      <c r="F2157" s="70" t="inlineStr">
        <is>
          <t>Compras</t>
        </is>
      </c>
      <c r="G2157" s="68" t="n">
        <v>0</v>
      </c>
      <c r="H2157" s="172" t="inlineStr">
        <is>
          <t>Não</t>
        </is>
      </c>
      <c r="I2157" s="49" t="n"/>
    </row>
    <row r="2158">
      <c r="A2158" s="43" t="inlineStr">
        <is>
          <t>000130</t>
        </is>
      </c>
      <c r="B2158" s="44" t="inlineStr">
        <is>
          <t>PAPEL HIG. CLIENTE INTERFOLHAD</t>
        </is>
      </c>
      <c r="C2158" s="45" t="inlineStr">
        <is>
          <t>MC</t>
        </is>
      </c>
      <c r="D2158" s="45" t="inlineStr">
        <is>
          <t>CX</t>
        </is>
      </c>
      <c r="E2158" s="45" t="inlineStr">
        <is>
          <t>0075</t>
        </is>
      </c>
      <c r="F2158" s="70" t="inlineStr">
        <is>
          <t>Compras</t>
        </is>
      </c>
      <c r="G2158" s="66" t="n">
        <v>151.98</v>
      </c>
      <c r="H2158" s="172" t="inlineStr">
        <is>
          <t>Não</t>
        </is>
      </c>
      <c r="I2158" s="50" t="n"/>
    </row>
    <row r="2159">
      <c r="A2159" s="40" t="inlineStr">
        <is>
          <t>000174</t>
        </is>
      </c>
      <c r="B2159" s="41" t="inlineStr">
        <is>
          <t>PAPEL SULFITE 75G</t>
        </is>
      </c>
      <c r="C2159" s="42" t="inlineStr">
        <is>
          <t>MC</t>
        </is>
      </c>
      <c r="D2159" s="42" t="inlineStr">
        <is>
          <t>PC</t>
        </is>
      </c>
      <c r="E2159" s="42" t="inlineStr">
        <is>
          <t>0001</t>
        </is>
      </c>
      <c r="F2159" s="70" t="inlineStr">
        <is>
          <t>Compras</t>
        </is>
      </c>
      <c r="G2159" s="71" t="n">
        <v>27.99</v>
      </c>
      <c r="H2159" s="172" t="inlineStr">
        <is>
          <t>Não</t>
        </is>
      </c>
      <c r="I2159" s="49" t="n"/>
    </row>
    <row r="2160">
      <c r="A2160" s="43" t="inlineStr">
        <is>
          <t>000129</t>
        </is>
      </c>
      <c r="B2160" s="44" t="inlineStr">
        <is>
          <t>PAPEL TOALHA ROLO  - CLIENTE CX COM 6</t>
        </is>
      </c>
      <c r="C2160" s="45" t="inlineStr">
        <is>
          <t>MC</t>
        </is>
      </c>
      <c r="D2160" s="45" t="inlineStr">
        <is>
          <t>CX</t>
        </is>
      </c>
      <c r="E2160" s="45" t="inlineStr">
        <is>
          <t>0075</t>
        </is>
      </c>
      <c r="F2160" s="70" t="inlineStr">
        <is>
          <t>Compras</t>
        </is>
      </c>
      <c r="G2160" s="66" t="n">
        <v>97.44</v>
      </c>
      <c r="H2160" s="172" t="inlineStr">
        <is>
          <t>Não</t>
        </is>
      </c>
      <c r="I2160" s="50" t="n"/>
    </row>
    <row r="2161">
      <c r="A2161" s="40" t="inlineStr">
        <is>
          <t>000983</t>
        </is>
      </c>
      <c r="B2161" s="41" t="inlineStr">
        <is>
          <t>PAPRICA DEFUMADA</t>
        </is>
      </c>
      <c r="C2161" s="42" t="inlineStr">
        <is>
          <t>MP</t>
        </is>
      </c>
      <c r="D2161" s="42" t="inlineStr">
        <is>
          <t>KG</t>
        </is>
      </c>
      <c r="E2161" s="42" t="inlineStr">
        <is>
          <t>0029</t>
        </is>
      </c>
      <c r="F2161" s="70" t="inlineStr">
        <is>
          <t>Compras</t>
        </is>
      </c>
      <c r="G2161" s="71" t="n">
        <v>26.1</v>
      </c>
      <c r="H2161" s="172" t="inlineStr">
        <is>
          <t>Não</t>
        </is>
      </c>
      <c r="I2161" s="49" t="n"/>
    </row>
    <row r="2162">
      <c r="A2162" s="43" t="inlineStr">
        <is>
          <t>001008</t>
        </is>
      </c>
      <c r="B2162" s="44" t="inlineStr">
        <is>
          <t>PARA COMPARTILHAR</t>
        </is>
      </c>
      <c r="C2162" s="45" t="inlineStr">
        <is>
          <t>OI</t>
        </is>
      </c>
      <c r="D2162" s="45" t="inlineStr">
        <is>
          <t>UN</t>
        </is>
      </c>
      <c r="E2162" s="45" t="inlineStr">
        <is>
          <t>0092</t>
        </is>
      </c>
      <c r="F2162" s="65" t="inlineStr">
        <is>
          <t>Venda</t>
        </is>
      </c>
      <c r="G2162" s="69" t="n">
        <v>0</v>
      </c>
      <c r="H2162" s="172" t="inlineStr">
        <is>
          <t>Não</t>
        </is>
      </c>
      <c r="I2162" s="48" t="inlineStr">
        <is>
          <t>9003275</t>
        </is>
      </c>
    </row>
    <row r="2163">
      <c r="A2163" s="40" t="inlineStr">
        <is>
          <t>000991</t>
        </is>
      </c>
      <c r="B2163" s="41" t="inlineStr">
        <is>
          <t>PARA COMPARTILHAR  2</t>
        </is>
      </c>
      <c r="C2163" s="42" t="inlineStr">
        <is>
          <t>KT</t>
        </is>
      </c>
      <c r="D2163" s="42" t="inlineStr">
        <is>
          <t>UN</t>
        </is>
      </c>
      <c r="E2163" s="42" t="inlineStr">
        <is>
          <t>0092</t>
        </is>
      </c>
      <c r="F2163" s="65" t="inlineStr">
        <is>
          <t>Venda</t>
        </is>
      </c>
      <c r="G2163" s="68" t="n">
        <v>0</v>
      </c>
      <c r="H2163" s="172" t="inlineStr">
        <is>
          <t>Não</t>
        </is>
      </c>
      <c r="I2163" s="47" t="inlineStr">
        <is>
          <t>9003276</t>
        </is>
      </c>
    </row>
    <row r="2164">
      <c r="A2164" s="43" t="inlineStr">
        <is>
          <t>009430</t>
        </is>
      </c>
      <c r="B2164" s="44" t="inlineStr">
        <is>
          <t>PARAFUSO ATARRACHANTE 3,9X32MM C/ BUCHA 6MM</t>
        </is>
      </c>
      <c r="C2164" s="45" t="inlineStr">
        <is>
          <t>MC</t>
        </is>
      </c>
      <c r="D2164" s="45" t="inlineStr">
        <is>
          <t>PC</t>
        </is>
      </c>
      <c r="E2164" s="45" t="inlineStr">
        <is>
          <t>0132</t>
        </is>
      </c>
      <c r="F2164" s="70" t="inlineStr">
        <is>
          <t>Compras</t>
        </is>
      </c>
      <c r="G2164" s="66" t="n">
        <v>7.42</v>
      </c>
      <c r="H2164" s="172" t="inlineStr">
        <is>
          <t>Não</t>
        </is>
      </c>
      <c r="I2164" s="50" t="n"/>
    </row>
    <row r="2165">
      <c r="A2165" s="40" t="inlineStr">
        <is>
          <t>009431</t>
        </is>
      </c>
      <c r="B2165" s="41" t="inlineStr">
        <is>
          <t>PARAFUSO ATARRACHANTE 4,8X45MM C/ BUCHA 8MM</t>
        </is>
      </c>
      <c r="C2165" s="42" t="inlineStr">
        <is>
          <t>MC</t>
        </is>
      </c>
      <c r="D2165" s="42" t="inlineStr">
        <is>
          <t>PC</t>
        </is>
      </c>
      <c r="E2165" s="42" t="inlineStr">
        <is>
          <t>0132</t>
        </is>
      </c>
      <c r="F2165" s="70" t="inlineStr">
        <is>
          <t>Compras</t>
        </is>
      </c>
      <c r="G2165" s="71" t="n">
        <v>7.42</v>
      </c>
      <c r="H2165" s="172" t="inlineStr">
        <is>
          <t>Não</t>
        </is>
      </c>
      <c r="I2165" s="49" t="n"/>
    </row>
    <row r="2166">
      <c r="A2166" s="43" t="inlineStr">
        <is>
          <t>009586</t>
        </is>
      </c>
      <c r="B2166" s="44" t="inlineStr">
        <is>
          <t>PARAFUSO AUTO BROCANTE</t>
        </is>
      </c>
      <c r="C2166" s="45" t="inlineStr">
        <is>
          <t>MC</t>
        </is>
      </c>
      <c r="D2166" s="45" t="inlineStr">
        <is>
          <t>UN</t>
        </is>
      </c>
      <c r="E2166" s="45" t="inlineStr">
        <is>
          <t>0132</t>
        </is>
      </c>
      <c r="F2166" s="70" t="inlineStr">
        <is>
          <t>Compras</t>
        </is>
      </c>
      <c r="G2166" s="66" t="n">
        <v>0.7</v>
      </c>
      <c r="H2166" s="172" t="inlineStr">
        <is>
          <t>Não</t>
        </is>
      </c>
      <c r="I2166" s="50" t="n"/>
    </row>
    <row r="2167">
      <c r="A2167" s="40" t="inlineStr">
        <is>
          <t>009936</t>
        </is>
      </c>
      <c r="B2167" s="41" t="inlineStr">
        <is>
          <t>PARAFUSO CHIPBOARD</t>
        </is>
      </c>
      <c r="C2167" s="42" t="inlineStr">
        <is>
          <t>MC</t>
        </is>
      </c>
      <c r="D2167" s="42" t="inlineStr">
        <is>
          <t>UN</t>
        </is>
      </c>
      <c r="E2167" s="42" t="inlineStr">
        <is>
          <t>0132</t>
        </is>
      </c>
      <c r="F2167" s="70" t="inlineStr">
        <is>
          <t>Compras</t>
        </is>
      </c>
      <c r="G2167" s="71" t="n">
        <v>0.4</v>
      </c>
      <c r="H2167" s="172" t="inlineStr">
        <is>
          <t>Não</t>
        </is>
      </c>
      <c r="I2167" s="49" t="n"/>
    </row>
    <row r="2168">
      <c r="A2168" s="43" t="inlineStr">
        <is>
          <t>009508</t>
        </is>
      </c>
      <c r="B2168" s="44" t="inlineStr">
        <is>
          <t>PARAFUSO COM BUCHA</t>
        </is>
      </c>
      <c r="C2168" s="45" t="inlineStr">
        <is>
          <t>MC</t>
        </is>
      </c>
      <c r="D2168" s="45" t="inlineStr">
        <is>
          <t>UN</t>
        </is>
      </c>
      <c r="E2168" s="45" t="inlineStr">
        <is>
          <t>0132</t>
        </is>
      </c>
      <c r="F2168" s="70" t="inlineStr">
        <is>
          <t>Compras</t>
        </is>
      </c>
      <c r="G2168" s="66" t="n">
        <v>250</v>
      </c>
      <c r="H2168" s="172" t="inlineStr">
        <is>
          <t>Não</t>
        </is>
      </c>
      <c r="I2168" s="50" t="n"/>
    </row>
    <row r="2169">
      <c r="A2169" s="40" t="inlineStr">
        <is>
          <t>009625</t>
        </is>
      </c>
      <c r="B2169" s="41" t="inlineStr">
        <is>
          <t>PARAFUSO MADEIRA 5,5 X 100</t>
        </is>
      </c>
      <c r="C2169" s="42" t="inlineStr">
        <is>
          <t>MC</t>
        </is>
      </c>
      <c r="D2169" s="42" t="inlineStr">
        <is>
          <t>UN</t>
        </is>
      </c>
      <c r="E2169" s="42" t="inlineStr">
        <is>
          <t>0132</t>
        </is>
      </c>
      <c r="F2169" s="70" t="inlineStr">
        <is>
          <t>Compras</t>
        </is>
      </c>
      <c r="G2169" s="71" t="n">
        <v>1</v>
      </c>
      <c r="H2169" s="172" t="inlineStr">
        <is>
          <t>Não</t>
        </is>
      </c>
      <c r="I2169" s="49" t="n"/>
    </row>
    <row r="2170">
      <c r="A2170" s="43" t="inlineStr">
        <is>
          <t>009304</t>
        </is>
      </c>
      <c r="B2170" s="44" t="inlineStr">
        <is>
          <t>PARAFUSO PARA DRYWALL PONTA AGULHA WURTH 3,5X25</t>
        </is>
      </c>
      <c r="C2170" s="45" t="inlineStr">
        <is>
          <t>MC</t>
        </is>
      </c>
      <c r="D2170" s="45" t="inlineStr">
        <is>
          <t>PC</t>
        </is>
      </c>
      <c r="E2170" s="45" t="inlineStr">
        <is>
          <t>0132</t>
        </is>
      </c>
      <c r="F2170" s="70" t="inlineStr">
        <is>
          <t>Compras</t>
        </is>
      </c>
      <c r="G2170" s="66" t="n">
        <v>0.3</v>
      </c>
      <c r="H2170" s="172" t="inlineStr">
        <is>
          <t>Não</t>
        </is>
      </c>
      <c r="I2170" s="50" t="n"/>
    </row>
    <row r="2171">
      <c r="A2171" s="40" t="inlineStr">
        <is>
          <t>009303</t>
        </is>
      </c>
      <c r="B2171" s="41" t="inlineStr">
        <is>
          <t>PARAFUSO PARA DRYWALL PONTA BROCA CAB FLANG 4,2X13</t>
        </is>
      </c>
      <c r="C2171" s="42" t="inlineStr">
        <is>
          <t>MC</t>
        </is>
      </c>
      <c r="D2171" s="42" t="inlineStr">
        <is>
          <t>PC</t>
        </is>
      </c>
      <c r="E2171" s="42" t="inlineStr">
        <is>
          <t>0132</t>
        </is>
      </c>
      <c r="F2171" s="70" t="inlineStr">
        <is>
          <t>Compras</t>
        </is>
      </c>
      <c r="G2171" s="71" t="n">
        <v>0.4</v>
      </c>
      <c r="H2171" s="172" t="inlineStr">
        <is>
          <t>Não</t>
        </is>
      </c>
      <c r="I2171" s="49" t="n"/>
    </row>
    <row r="2172">
      <c r="A2172" s="43" t="inlineStr">
        <is>
          <t>009972</t>
        </is>
      </c>
      <c r="B2172" s="44" t="inlineStr">
        <is>
          <t>PARAFUSO PARA FIXACAO LAVATORIO</t>
        </is>
      </c>
      <c r="C2172" s="45" t="inlineStr">
        <is>
          <t>MC</t>
        </is>
      </c>
      <c r="D2172" s="45" t="inlineStr">
        <is>
          <t>UN</t>
        </is>
      </c>
      <c r="E2172" s="45" t="inlineStr">
        <is>
          <t>0132</t>
        </is>
      </c>
      <c r="F2172" s="70" t="inlineStr">
        <is>
          <t>Compras</t>
        </is>
      </c>
      <c r="G2172" s="66" t="n">
        <v>1.4887</v>
      </c>
      <c r="H2172" s="172" t="inlineStr">
        <is>
          <t>Não</t>
        </is>
      </c>
      <c r="I2172" s="50" t="n"/>
    </row>
    <row r="2173">
      <c r="A2173" s="40" t="inlineStr">
        <is>
          <t>009425</t>
        </is>
      </c>
      <c r="B2173" s="41" t="inlineStr">
        <is>
          <t>PARAFUSO PHILIPS 4,5X50</t>
        </is>
      </c>
      <c r="C2173" s="42" t="inlineStr">
        <is>
          <t>MC</t>
        </is>
      </c>
      <c r="D2173" s="42" t="inlineStr">
        <is>
          <t>UN</t>
        </is>
      </c>
      <c r="E2173" s="42" t="inlineStr">
        <is>
          <t>0132</t>
        </is>
      </c>
      <c r="F2173" s="70" t="inlineStr">
        <is>
          <t>Compras</t>
        </is>
      </c>
      <c r="G2173" s="71" t="n">
        <v>160</v>
      </c>
      <c r="H2173" s="172" t="inlineStr">
        <is>
          <t>Não</t>
        </is>
      </c>
      <c r="I2173" s="49" t="n"/>
    </row>
    <row r="2174">
      <c r="A2174" s="43" t="inlineStr">
        <is>
          <t>009624</t>
        </is>
      </c>
      <c r="B2174" s="44" t="inlineStr">
        <is>
          <t>PARAFUSO PHILIPS 5,0 X 70</t>
        </is>
      </c>
      <c r="C2174" s="45" t="inlineStr">
        <is>
          <t>MC</t>
        </is>
      </c>
      <c r="D2174" s="45" t="inlineStr">
        <is>
          <t>UN</t>
        </is>
      </c>
      <c r="E2174" s="45" t="inlineStr">
        <is>
          <t>0132</t>
        </is>
      </c>
      <c r="F2174" s="70" t="inlineStr">
        <is>
          <t>Compras</t>
        </is>
      </c>
      <c r="G2174" s="66" t="n">
        <v>0.8</v>
      </c>
      <c r="H2174" s="172" t="inlineStr">
        <is>
          <t>Não</t>
        </is>
      </c>
      <c r="I2174" s="50" t="n"/>
    </row>
    <row r="2175">
      <c r="A2175" s="40" t="inlineStr">
        <is>
          <t>009362</t>
        </is>
      </c>
      <c r="B2175" s="41" t="inlineStr">
        <is>
          <t>PARAFUSO PHILIPS 5,0X50MM BUCHA 08</t>
        </is>
      </c>
      <c r="C2175" s="42" t="inlineStr">
        <is>
          <t>MC</t>
        </is>
      </c>
      <c r="D2175" s="42" t="inlineStr">
        <is>
          <t>UN</t>
        </is>
      </c>
      <c r="E2175" s="42" t="inlineStr">
        <is>
          <t>0132</t>
        </is>
      </c>
      <c r="F2175" s="70" t="inlineStr">
        <is>
          <t>Compras</t>
        </is>
      </c>
      <c r="G2175" s="71" t="n">
        <v>0.7</v>
      </c>
      <c r="H2175" s="172" t="inlineStr">
        <is>
          <t>Não</t>
        </is>
      </c>
      <c r="I2175" s="49" t="n"/>
    </row>
    <row r="2176">
      <c r="A2176" s="43" t="inlineStr">
        <is>
          <t>010108</t>
        </is>
      </c>
      <c r="B2176" s="44" t="inlineStr">
        <is>
          <t>PARAFUSO PHILIPS 6,0X70</t>
        </is>
      </c>
      <c r="C2176" s="45" t="inlineStr">
        <is>
          <t>MC</t>
        </is>
      </c>
      <c r="D2176" s="45" t="inlineStr">
        <is>
          <t>UN</t>
        </is>
      </c>
      <c r="E2176" s="45" t="inlineStr">
        <is>
          <t>0132</t>
        </is>
      </c>
      <c r="F2176" s="70" t="inlineStr">
        <is>
          <t>Compras</t>
        </is>
      </c>
      <c r="G2176" s="66" t="n">
        <v>104</v>
      </c>
      <c r="H2176" s="172" t="inlineStr">
        <is>
          <t>Não</t>
        </is>
      </c>
      <c r="I2176" s="50" t="n"/>
    </row>
    <row r="2177">
      <c r="A2177" s="40" t="inlineStr">
        <is>
          <t>009454</t>
        </is>
      </c>
      <c r="B2177" s="41" t="inlineStr">
        <is>
          <t>PARAFUSO SANITARIO LATONADO B12 C/2PC</t>
        </is>
      </c>
      <c r="C2177" s="42" t="inlineStr">
        <is>
          <t>MC</t>
        </is>
      </c>
      <c r="D2177" s="42" t="inlineStr">
        <is>
          <t>UN</t>
        </is>
      </c>
      <c r="E2177" s="42" t="inlineStr">
        <is>
          <t>0132</t>
        </is>
      </c>
      <c r="F2177" s="70" t="inlineStr">
        <is>
          <t>Compras</t>
        </is>
      </c>
      <c r="G2177" s="71" t="n">
        <v>14.9</v>
      </c>
      <c r="H2177" s="172" t="inlineStr">
        <is>
          <t>Não</t>
        </is>
      </c>
      <c r="I2177" s="49" t="n"/>
    </row>
    <row r="2178">
      <c r="A2178" s="43" t="inlineStr">
        <is>
          <t>009472</t>
        </is>
      </c>
      <c r="B2178" s="44" t="inlineStr">
        <is>
          <t>PARAFUSO SEM BUCHA</t>
        </is>
      </c>
      <c r="C2178" s="45" t="inlineStr">
        <is>
          <t>MC</t>
        </is>
      </c>
      <c r="D2178" s="45" t="inlineStr">
        <is>
          <t>UN</t>
        </is>
      </c>
      <c r="E2178" s="45" t="inlineStr">
        <is>
          <t>0132</t>
        </is>
      </c>
      <c r="F2178" s="70" t="inlineStr">
        <is>
          <t>Compras</t>
        </is>
      </c>
      <c r="G2178" s="66" t="n">
        <v>0.4</v>
      </c>
      <c r="H2178" s="172" t="inlineStr">
        <is>
          <t>Não</t>
        </is>
      </c>
      <c r="I2178" s="50" t="n"/>
    </row>
    <row r="2179">
      <c r="A2179" s="40" t="inlineStr">
        <is>
          <t>010109</t>
        </is>
      </c>
      <c r="B2179" s="41" t="inlineStr">
        <is>
          <t>PARAFUSO SEXTAVADO ZINCADO 1/4X50</t>
        </is>
      </c>
      <c r="C2179" s="42" t="inlineStr">
        <is>
          <t>MC</t>
        </is>
      </c>
      <c r="D2179" s="42" t="inlineStr">
        <is>
          <t>UN</t>
        </is>
      </c>
      <c r="E2179" s="42" t="inlineStr">
        <is>
          <t>0132</t>
        </is>
      </c>
      <c r="F2179" s="70" t="inlineStr">
        <is>
          <t>Compras</t>
        </is>
      </c>
      <c r="G2179" s="71" t="n">
        <v>210</v>
      </c>
      <c r="H2179" s="172" t="inlineStr">
        <is>
          <t>Não</t>
        </is>
      </c>
      <c r="I2179" s="49" t="n"/>
    </row>
    <row r="2180">
      <c r="A2180" s="43" t="inlineStr">
        <is>
          <t>009455</t>
        </is>
      </c>
      <c r="B2180" s="44" t="inlineStr">
        <is>
          <t>PARAFUSO TANQUE TORALF B12 LATONADO 2P</t>
        </is>
      </c>
      <c r="C2180" s="45" t="inlineStr">
        <is>
          <t>MC</t>
        </is>
      </c>
      <c r="D2180" s="45" t="inlineStr">
        <is>
          <t>UN</t>
        </is>
      </c>
      <c r="E2180" s="45" t="inlineStr">
        <is>
          <t>0132</t>
        </is>
      </c>
      <c r="F2180" s="70" t="inlineStr">
        <is>
          <t>Compras</t>
        </is>
      </c>
      <c r="G2180" s="66" t="n">
        <v>12.9</v>
      </c>
      <c r="H2180" s="172" t="inlineStr">
        <is>
          <t>Não</t>
        </is>
      </c>
      <c r="I2180" s="50" t="n"/>
    </row>
    <row r="2181">
      <c r="A2181" s="40" t="inlineStr">
        <is>
          <t>009865</t>
        </is>
      </c>
      <c r="B2181" s="41" t="inlineStr">
        <is>
          <t>PARAFUSO THUMBSCREW PARA MAQUINA DE GELO</t>
        </is>
      </c>
      <c r="C2181" s="42" t="inlineStr">
        <is>
          <t>MC</t>
        </is>
      </c>
      <c r="D2181" s="42" t="inlineStr">
        <is>
          <t>UN</t>
        </is>
      </c>
      <c r="E2181" s="42" t="inlineStr">
        <is>
          <t>0132</t>
        </is>
      </c>
      <c r="F2181" s="70" t="inlineStr">
        <is>
          <t>Compras</t>
        </is>
      </c>
      <c r="G2181" s="71" t="n">
        <v>25</v>
      </c>
      <c r="H2181" s="172" t="inlineStr">
        <is>
          <t>Não</t>
        </is>
      </c>
      <c r="I2181" s="49" t="n"/>
    </row>
    <row r="2182">
      <c r="A2182" s="43" t="inlineStr">
        <is>
          <t>009877</t>
        </is>
      </c>
      <c r="B2182" s="44" t="inlineStr">
        <is>
          <t>PASSADOR DE FIO COM ALMA DE ACO</t>
        </is>
      </c>
      <c r="C2182" s="45" t="inlineStr">
        <is>
          <t>MC</t>
        </is>
      </c>
      <c r="D2182" s="45" t="inlineStr">
        <is>
          <t>UN</t>
        </is>
      </c>
      <c r="E2182" s="45" t="inlineStr">
        <is>
          <t>0132</t>
        </is>
      </c>
      <c r="F2182" s="70" t="inlineStr">
        <is>
          <t>Compras</t>
        </is>
      </c>
      <c r="G2182" s="69" t="n">
        <v>0</v>
      </c>
      <c r="H2182" s="172" t="inlineStr">
        <is>
          <t>Não</t>
        </is>
      </c>
      <c r="I2182" s="50" t="n"/>
    </row>
    <row r="2183">
      <c r="A2183" s="40" t="inlineStr">
        <is>
          <t>009834</t>
        </is>
      </c>
      <c r="B2183" s="41" t="inlineStr">
        <is>
          <t>PASSAPORTE DIVERSAO</t>
        </is>
      </c>
      <c r="C2183" s="42" t="inlineStr">
        <is>
          <t>OI</t>
        </is>
      </c>
      <c r="D2183" s="42" t="inlineStr">
        <is>
          <t>UN</t>
        </is>
      </c>
      <c r="E2183" s="42" t="inlineStr">
        <is>
          <t>0128</t>
        </is>
      </c>
      <c r="F2183" s="65" t="inlineStr">
        <is>
          <t>Venda</t>
        </is>
      </c>
      <c r="G2183" s="68" t="n">
        <v>0</v>
      </c>
      <c r="H2183" s="172" t="inlineStr">
        <is>
          <t>Não</t>
        </is>
      </c>
      <c r="I2183" s="47" t="inlineStr">
        <is>
          <t>78989056877391</t>
        </is>
      </c>
    </row>
    <row r="2184">
      <c r="A2184" s="43" t="inlineStr">
        <is>
          <t>009950</t>
        </is>
      </c>
      <c r="B2184" s="44" t="inlineStr">
        <is>
          <t>PASSAPORTE DIVERSAO ENT KIT</t>
        </is>
      </c>
      <c r="C2184" s="45" t="inlineStr">
        <is>
          <t>OI</t>
        </is>
      </c>
      <c r="D2184" s="45" t="inlineStr">
        <is>
          <t>UN</t>
        </is>
      </c>
      <c r="E2184" s="45" t="inlineStr">
        <is>
          <t>0128</t>
        </is>
      </c>
      <c r="F2184" s="65" t="inlineStr">
        <is>
          <t>Venda</t>
        </is>
      </c>
      <c r="G2184" s="69" t="n">
        <v>0</v>
      </c>
      <c r="H2184" s="172" t="inlineStr">
        <is>
          <t>Não</t>
        </is>
      </c>
      <c r="I2184" s="48" t="inlineStr">
        <is>
          <t>78989056877393</t>
        </is>
      </c>
    </row>
    <row r="2185">
      <c r="A2185" s="40" t="inlineStr">
        <is>
          <t>009835</t>
        </is>
      </c>
      <c r="B2185" s="41" t="inlineStr">
        <is>
          <t>PASSAPORTE DIVERSAO KIT</t>
        </is>
      </c>
      <c r="C2185" s="42" t="inlineStr">
        <is>
          <t>OI</t>
        </is>
      </c>
      <c r="D2185" s="42" t="inlineStr">
        <is>
          <t>UN</t>
        </is>
      </c>
      <c r="E2185" s="42" t="inlineStr">
        <is>
          <t>0128</t>
        </is>
      </c>
      <c r="F2185" s="65" t="inlineStr">
        <is>
          <t>Venda</t>
        </is>
      </c>
      <c r="G2185" s="68" t="n">
        <v>0</v>
      </c>
      <c r="H2185" s="172" t="inlineStr">
        <is>
          <t>Não</t>
        </is>
      </c>
      <c r="I2185" s="47" t="inlineStr">
        <is>
          <t>78989056877391</t>
        </is>
      </c>
    </row>
    <row r="2186">
      <c r="A2186" s="43" t="inlineStr">
        <is>
          <t>009845</t>
        </is>
      </c>
      <c r="B2186" s="44" t="inlineStr">
        <is>
          <t>PASSAPORTE GOURMET</t>
        </is>
      </c>
      <c r="C2186" s="45" t="inlineStr">
        <is>
          <t>OI</t>
        </is>
      </c>
      <c r="D2186" s="45" t="inlineStr">
        <is>
          <t>UN</t>
        </is>
      </c>
      <c r="E2186" s="45" t="inlineStr">
        <is>
          <t>0128</t>
        </is>
      </c>
      <c r="F2186" s="65" t="inlineStr">
        <is>
          <t>Venda</t>
        </is>
      </c>
      <c r="G2186" s="69" t="n">
        <v>0</v>
      </c>
      <c r="H2186" s="172" t="inlineStr">
        <is>
          <t>Não</t>
        </is>
      </c>
      <c r="I2186" s="48" t="inlineStr">
        <is>
          <t>78989056877390</t>
        </is>
      </c>
    </row>
    <row r="2187">
      <c r="A2187" s="40" t="inlineStr">
        <is>
          <t>009841</t>
        </is>
      </c>
      <c r="B2187" s="41" t="inlineStr">
        <is>
          <t>PASSEIO KIDS</t>
        </is>
      </c>
      <c r="C2187" s="42" t="inlineStr">
        <is>
          <t>OI</t>
        </is>
      </c>
      <c r="D2187" s="42" t="inlineStr">
        <is>
          <t>UN</t>
        </is>
      </c>
      <c r="E2187" s="42" t="inlineStr">
        <is>
          <t>0128</t>
        </is>
      </c>
      <c r="F2187" s="65" t="inlineStr">
        <is>
          <t>Venda</t>
        </is>
      </c>
      <c r="G2187" s="68" t="n">
        <v>0</v>
      </c>
      <c r="H2187" s="172" t="inlineStr">
        <is>
          <t>Não</t>
        </is>
      </c>
      <c r="I2187" s="47" t="inlineStr">
        <is>
          <t>78989056877158</t>
        </is>
      </c>
    </row>
    <row r="2188">
      <c r="A2188" s="43" t="inlineStr">
        <is>
          <t>010231</t>
        </is>
      </c>
      <c r="B2188" s="44" t="inlineStr">
        <is>
          <t>PASTA ABA ELASTICA 1/2 OFICIO</t>
        </is>
      </c>
      <c r="C2188" s="45" t="inlineStr">
        <is>
          <t>MC</t>
        </is>
      </c>
      <c r="D2188" s="45" t="inlineStr">
        <is>
          <t>UN</t>
        </is>
      </c>
      <c r="E2188" s="45" t="inlineStr">
        <is>
          <t>0001</t>
        </is>
      </c>
      <c r="F2188" s="70" t="inlineStr">
        <is>
          <t>Compras</t>
        </is>
      </c>
      <c r="G2188" s="69" t="n">
        <v>0</v>
      </c>
      <c r="H2188" s="172" t="inlineStr">
        <is>
          <t>Não</t>
        </is>
      </c>
      <c r="I2188" s="50" t="n"/>
    </row>
    <row r="2189">
      <c r="A2189" s="40" t="inlineStr">
        <is>
          <t>000168</t>
        </is>
      </c>
      <c r="B2189" s="41" t="inlineStr">
        <is>
          <t>PASTA CATALOGO C/ 10 ENV OFICI</t>
        </is>
      </c>
      <c r="C2189" s="42" t="inlineStr">
        <is>
          <t>MC</t>
        </is>
      </c>
      <c r="D2189" s="42" t="inlineStr">
        <is>
          <t>UN</t>
        </is>
      </c>
      <c r="E2189" s="42" t="inlineStr">
        <is>
          <t>0001</t>
        </is>
      </c>
      <c r="F2189" s="70" t="inlineStr">
        <is>
          <t>Compras</t>
        </is>
      </c>
      <c r="G2189" s="68" t="n">
        <v>0</v>
      </c>
      <c r="H2189" s="172" t="inlineStr">
        <is>
          <t>Não</t>
        </is>
      </c>
      <c r="I2189" s="49" t="n"/>
    </row>
    <row r="2190">
      <c r="A2190" s="43" t="inlineStr">
        <is>
          <t>000166</t>
        </is>
      </c>
      <c r="B2190" s="44" t="inlineStr">
        <is>
          <t>PASTA CATALOGO C/ 50 ENV OFICI</t>
        </is>
      </c>
      <c r="C2190" s="45" t="inlineStr">
        <is>
          <t>MC</t>
        </is>
      </c>
      <c r="D2190" s="45" t="inlineStr">
        <is>
          <t>UN</t>
        </is>
      </c>
      <c r="E2190" s="45" t="inlineStr">
        <is>
          <t>0001</t>
        </is>
      </c>
      <c r="F2190" s="70" t="inlineStr">
        <is>
          <t>Compras</t>
        </is>
      </c>
      <c r="G2190" s="69" t="n">
        <v>0</v>
      </c>
      <c r="H2190" s="172" t="inlineStr">
        <is>
          <t>Não</t>
        </is>
      </c>
      <c r="I2190" s="50" t="n"/>
    </row>
    <row r="2191">
      <c r="A2191" s="40" t="inlineStr">
        <is>
          <t>010253</t>
        </is>
      </c>
      <c r="B2191" s="41" t="inlineStr">
        <is>
          <t>PASTA DESENGRAXANTE PARA LIMPEZA DAS MAOS</t>
        </is>
      </c>
      <c r="C2191" s="42" t="inlineStr">
        <is>
          <t>MC</t>
        </is>
      </c>
      <c r="D2191" s="42" t="inlineStr">
        <is>
          <t>UN</t>
        </is>
      </c>
      <c r="E2191" s="42" t="inlineStr">
        <is>
          <t>0132</t>
        </is>
      </c>
      <c r="F2191" s="70" t="inlineStr">
        <is>
          <t>Compras</t>
        </is>
      </c>
      <c r="G2191" s="71" t="n">
        <v>8</v>
      </c>
      <c r="H2191" s="172" t="inlineStr">
        <is>
          <t>Não</t>
        </is>
      </c>
      <c r="I2191" s="49" t="n"/>
    </row>
    <row r="2192">
      <c r="A2192" s="43" t="inlineStr">
        <is>
          <t>000177</t>
        </is>
      </c>
      <c r="B2192" s="44" t="inlineStr">
        <is>
          <t>PASTA EM L</t>
        </is>
      </c>
      <c r="C2192" s="45" t="inlineStr">
        <is>
          <t>MC</t>
        </is>
      </c>
      <c r="D2192" s="45" t="inlineStr">
        <is>
          <t>UN</t>
        </is>
      </c>
      <c r="E2192" s="45" t="inlineStr">
        <is>
          <t>0001</t>
        </is>
      </c>
      <c r="F2192" s="70" t="inlineStr">
        <is>
          <t>Compras</t>
        </is>
      </c>
      <c r="G2192" s="66" t="n">
        <v>0.192</v>
      </c>
      <c r="H2192" s="172" t="inlineStr">
        <is>
          <t>Não</t>
        </is>
      </c>
      <c r="I2192" s="50" t="n"/>
    </row>
    <row r="2193">
      <c r="A2193" s="40" t="inlineStr">
        <is>
          <t>010195</t>
        </is>
      </c>
      <c r="B2193" s="41" t="inlineStr">
        <is>
          <t>PASTA EM PP RÍGIDA 4.3</t>
        </is>
      </c>
      <c r="C2193" s="42" t="inlineStr">
        <is>
          <t>MC</t>
        </is>
      </c>
      <c r="D2193" s="42" t="inlineStr">
        <is>
          <t>UN</t>
        </is>
      </c>
      <c r="E2193" s="42" t="inlineStr">
        <is>
          <t>0001</t>
        </is>
      </c>
      <c r="F2193" s="70" t="inlineStr">
        <is>
          <t>Compras</t>
        </is>
      </c>
      <c r="G2193" s="68" t="n">
        <v>0</v>
      </c>
      <c r="H2193" s="172" t="inlineStr">
        <is>
          <t>Não</t>
        </is>
      </c>
      <c r="I2193" s="49" t="n"/>
    </row>
    <row r="2194">
      <c r="A2194" s="43" t="inlineStr">
        <is>
          <t>000169</t>
        </is>
      </c>
      <c r="B2194" s="44" t="inlineStr">
        <is>
          <t>PASTA ENVELOPE C/ FECHAMENTO V</t>
        </is>
      </c>
      <c r="C2194" s="45" t="inlineStr">
        <is>
          <t>MC</t>
        </is>
      </c>
      <c r="D2194" s="45" t="inlineStr">
        <is>
          <t>UN</t>
        </is>
      </c>
      <c r="E2194" s="45" t="inlineStr">
        <is>
          <t>0001</t>
        </is>
      </c>
      <c r="F2194" s="70" t="inlineStr">
        <is>
          <t>Compras</t>
        </is>
      </c>
      <c r="G2194" s="69" t="n">
        <v>0</v>
      </c>
      <c r="H2194" s="172" t="inlineStr">
        <is>
          <t>Não</t>
        </is>
      </c>
      <c r="I2194" s="50" t="n"/>
    </row>
    <row r="2195">
      <c r="A2195" s="40" t="inlineStr">
        <is>
          <t>009296</t>
        </is>
      </c>
      <c r="B2195" s="41" t="inlineStr">
        <is>
          <t>PASTA SANFONADA  A4 12 DIVISORIAS</t>
        </is>
      </c>
      <c r="C2195" s="42" t="inlineStr">
        <is>
          <t>MC</t>
        </is>
      </c>
      <c r="D2195" s="42" t="inlineStr">
        <is>
          <t>UN</t>
        </is>
      </c>
      <c r="E2195" s="42" t="inlineStr">
        <is>
          <t>0001</t>
        </is>
      </c>
      <c r="F2195" s="70" t="inlineStr">
        <is>
          <t>Compras</t>
        </is>
      </c>
      <c r="G2195" s="71" t="n">
        <v>25.9</v>
      </c>
      <c r="H2195" s="172" t="inlineStr">
        <is>
          <t>Não</t>
        </is>
      </c>
      <c r="I2195" s="49" t="n"/>
    </row>
    <row r="2196">
      <c r="A2196" s="43" t="inlineStr">
        <is>
          <t>009295</t>
        </is>
      </c>
      <c r="B2196" s="44" t="inlineStr">
        <is>
          <t>PASTA SANFONADA A4 6 DIVISORA</t>
        </is>
      </c>
      <c r="C2196" s="45" t="inlineStr">
        <is>
          <t>MC</t>
        </is>
      </c>
      <c r="D2196" s="45" t="inlineStr">
        <is>
          <t>UN</t>
        </is>
      </c>
      <c r="E2196" s="45" t="inlineStr">
        <is>
          <t>0001</t>
        </is>
      </c>
      <c r="F2196" s="70" t="inlineStr">
        <is>
          <t>Compras</t>
        </is>
      </c>
      <c r="G2196" s="66" t="n">
        <v>19.9</v>
      </c>
      <c r="H2196" s="172" t="inlineStr">
        <is>
          <t>Não</t>
        </is>
      </c>
      <c r="I2196" s="50" t="n"/>
    </row>
    <row r="2197">
      <c r="A2197" s="40" t="inlineStr">
        <is>
          <t>009811</t>
        </is>
      </c>
      <c r="B2197" s="41" t="inlineStr">
        <is>
          <t>PASTA SUSPENSA</t>
        </is>
      </c>
      <c r="C2197" s="42" t="inlineStr">
        <is>
          <t>MC</t>
        </is>
      </c>
      <c r="D2197" s="42" t="inlineStr">
        <is>
          <t>UN</t>
        </is>
      </c>
      <c r="E2197" s="42" t="inlineStr">
        <is>
          <t>0001</t>
        </is>
      </c>
      <c r="F2197" s="70" t="inlineStr">
        <is>
          <t>Compras</t>
        </is>
      </c>
      <c r="G2197" s="68" t="n">
        <v>0</v>
      </c>
      <c r="H2197" s="172" t="inlineStr">
        <is>
          <t>Não</t>
        </is>
      </c>
      <c r="I2197" s="49" t="n"/>
    </row>
    <row r="2198">
      <c r="A2198" s="43" t="inlineStr">
        <is>
          <t>001985</t>
        </is>
      </c>
      <c r="B2198" s="44" t="inlineStr">
        <is>
          <t>PASTEL DE CARNE - FEIRA</t>
        </is>
      </c>
      <c r="C2198" s="45" t="inlineStr">
        <is>
          <t>MR</t>
        </is>
      </c>
      <c r="D2198" s="45" t="inlineStr">
        <is>
          <t>UN</t>
        </is>
      </c>
      <c r="E2198" s="45" t="inlineStr">
        <is>
          <t>0050</t>
        </is>
      </c>
      <c r="F2198" s="70" t="inlineStr">
        <is>
          <t>Compras</t>
        </is>
      </c>
      <c r="G2198" s="66" t="n">
        <v>5</v>
      </c>
      <c r="H2198" s="173" t="inlineStr">
        <is>
          <t>Sim</t>
        </is>
      </c>
      <c r="I2198" s="50" t="n"/>
    </row>
    <row r="2199">
      <c r="A2199" s="40" t="inlineStr">
        <is>
          <t>001984</t>
        </is>
      </c>
      <c r="B2199" s="41" t="inlineStr">
        <is>
          <t>PASTEL DE QUEIJO - FEIRA</t>
        </is>
      </c>
      <c r="C2199" s="42" t="inlineStr">
        <is>
          <t>MR</t>
        </is>
      </c>
      <c r="D2199" s="42" t="inlineStr">
        <is>
          <t>UN</t>
        </is>
      </c>
      <c r="E2199" s="42" t="inlineStr">
        <is>
          <t>0050</t>
        </is>
      </c>
      <c r="F2199" s="70" t="inlineStr">
        <is>
          <t>Compras</t>
        </is>
      </c>
      <c r="G2199" s="71" t="n">
        <v>5</v>
      </c>
      <c r="H2199" s="173" t="inlineStr">
        <is>
          <t>Sim</t>
        </is>
      </c>
      <c r="I2199" s="49" t="n"/>
    </row>
    <row r="2200">
      <c r="A2200" s="43" t="inlineStr">
        <is>
          <t>000205</t>
        </is>
      </c>
      <c r="B2200" s="44" t="inlineStr">
        <is>
          <t>PATAGONIA IPA 600 ML</t>
        </is>
      </c>
      <c r="C2200" s="45" t="inlineStr">
        <is>
          <t>MR</t>
        </is>
      </c>
      <c r="D2200" s="45" t="inlineStr">
        <is>
          <t>UN</t>
        </is>
      </c>
      <c r="E2200" s="45" t="inlineStr">
        <is>
          <t>0026</t>
        </is>
      </c>
      <c r="F2200" s="65" t="inlineStr">
        <is>
          <t>Venda</t>
        </is>
      </c>
      <c r="G2200" s="69" t="n">
        <v>0</v>
      </c>
      <c r="H2200" s="172" t="inlineStr">
        <is>
          <t>Não</t>
        </is>
      </c>
      <c r="I2200" s="48" t="inlineStr">
        <is>
          <t>3000174</t>
        </is>
      </c>
    </row>
    <row r="2201">
      <c r="A2201" s="40" t="inlineStr">
        <is>
          <t>002285</t>
        </is>
      </c>
      <c r="B2201" s="41" t="inlineStr">
        <is>
          <t>PATINHO BOVINO</t>
        </is>
      </c>
      <c r="C2201" s="42" t="inlineStr">
        <is>
          <t>MC</t>
        </is>
      </c>
      <c r="D2201" s="42" t="inlineStr">
        <is>
          <t>KG</t>
        </is>
      </c>
      <c r="E2201" s="42" t="inlineStr">
        <is>
          <t>0013</t>
        </is>
      </c>
      <c r="F2201" s="70" t="inlineStr">
        <is>
          <t>Compras</t>
        </is>
      </c>
      <c r="G2201" s="71" t="n">
        <v>34.82</v>
      </c>
      <c r="H2201" s="172" t="inlineStr">
        <is>
          <t>Não</t>
        </is>
      </c>
      <c r="I2201" s="49" t="n"/>
    </row>
    <row r="2202">
      <c r="A2202" s="43" t="inlineStr">
        <is>
          <t>001906</t>
        </is>
      </c>
      <c r="B2202" s="44" t="inlineStr">
        <is>
          <t>PATRIA NUEVA BRANCO</t>
        </is>
      </c>
      <c r="C2202" s="45" t="inlineStr">
        <is>
          <t>MR</t>
        </is>
      </c>
      <c r="D2202" s="45" t="inlineStr">
        <is>
          <t>UN</t>
        </is>
      </c>
      <c r="E2202" s="45" t="inlineStr">
        <is>
          <t>0053</t>
        </is>
      </c>
      <c r="F2202" s="65" t="inlineStr">
        <is>
          <t>Venda</t>
        </is>
      </c>
      <c r="G2202" s="69" t="n">
        <v>0</v>
      </c>
      <c r="H2202" s="172" t="inlineStr">
        <is>
          <t>Não</t>
        </is>
      </c>
      <c r="I2202" s="48" t="inlineStr">
        <is>
          <t>78989056877219</t>
        </is>
      </c>
    </row>
    <row r="2203">
      <c r="A2203" s="40" t="inlineStr">
        <is>
          <t>001907</t>
        </is>
      </c>
      <c r="B2203" s="41" t="inlineStr">
        <is>
          <t>PATRIA NUEVA TINTO</t>
        </is>
      </c>
      <c r="C2203" s="42" t="inlineStr">
        <is>
          <t>MR</t>
        </is>
      </c>
      <c r="D2203" s="42" t="inlineStr">
        <is>
          <t>UN</t>
        </is>
      </c>
      <c r="E2203" s="42" t="inlineStr">
        <is>
          <t>0053</t>
        </is>
      </c>
      <c r="F2203" s="65" t="inlineStr">
        <is>
          <t>Venda</t>
        </is>
      </c>
      <c r="G2203" s="68" t="n">
        <v>0</v>
      </c>
      <c r="H2203" s="172" t="inlineStr">
        <is>
          <t>Não</t>
        </is>
      </c>
      <c r="I2203" s="47" t="inlineStr">
        <is>
          <t>78989056877220</t>
        </is>
      </c>
    </row>
    <row r="2204">
      <c r="A2204" s="43" t="inlineStr">
        <is>
          <t>009766</t>
        </is>
      </c>
      <c r="B2204" s="44" t="inlineStr">
        <is>
          <t>PCT DE BALA BANANA</t>
        </is>
      </c>
      <c r="C2204" s="45" t="inlineStr">
        <is>
          <t>MC</t>
        </is>
      </c>
      <c r="D2204" s="45" t="inlineStr">
        <is>
          <t>UN</t>
        </is>
      </c>
      <c r="E2204" s="45" t="inlineStr">
        <is>
          <t>0013</t>
        </is>
      </c>
      <c r="F2204" s="70" t="inlineStr">
        <is>
          <t>Compras</t>
        </is>
      </c>
      <c r="G2204" s="66" t="n">
        <v>17.89</v>
      </c>
      <c r="H2204" s="172" t="inlineStr">
        <is>
          <t>Não</t>
        </is>
      </c>
      <c r="I2204" s="50" t="n"/>
    </row>
    <row r="2205">
      <c r="A2205" s="40" t="inlineStr">
        <is>
          <t>009764</t>
        </is>
      </c>
      <c r="B2205" s="41" t="inlineStr">
        <is>
          <t>PCT DE BALA BUTTER TOFFES BARISTA</t>
        </is>
      </c>
      <c r="C2205" s="42" t="inlineStr">
        <is>
          <t>MC</t>
        </is>
      </c>
      <c r="D2205" s="42" t="inlineStr">
        <is>
          <t>UN</t>
        </is>
      </c>
      <c r="E2205" s="42" t="inlineStr">
        <is>
          <t>0013</t>
        </is>
      </c>
      <c r="F2205" s="70" t="inlineStr">
        <is>
          <t>Compras</t>
        </is>
      </c>
      <c r="G2205" s="68" t="n">
        <v>0</v>
      </c>
      <c r="H2205" s="172" t="inlineStr">
        <is>
          <t>Não</t>
        </is>
      </c>
      <c r="I2205" s="49" t="n"/>
    </row>
    <row r="2206">
      <c r="A2206" s="43" t="inlineStr">
        <is>
          <t>009761</t>
        </is>
      </c>
      <c r="B2206" s="44" t="inlineStr">
        <is>
          <t>PCT DE BALA BUTTER TOFFES CHOC 53% CACAU</t>
        </is>
      </c>
      <c r="C2206" s="45" t="inlineStr">
        <is>
          <t>MC</t>
        </is>
      </c>
      <c r="D2206" s="45" t="inlineStr">
        <is>
          <t>UN</t>
        </is>
      </c>
      <c r="E2206" s="45" t="inlineStr">
        <is>
          <t>0013</t>
        </is>
      </c>
      <c r="F2206" s="70" t="inlineStr">
        <is>
          <t>Compras</t>
        </is>
      </c>
      <c r="G2206" s="66" t="n">
        <v>19.9</v>
      </c>
      <c r="H2206" s="172" t="inlineStr">
        <is>
          <t>Não</t>
        </is>
      </c>
      <c r="I2206" s="50" t="n"/>
    </row>
    <row r="2207">
      <c r="A2207" s="40" t="inlineStr">
        <is>
          <t>009758</t>
        </is>
      </c>
      <c r="B2207" s="41" t="inlineStr">
        <is>
          <t>PCT DE BALA BUTTER TOFFES CHOC 53% CACAU SBR MENTA</t>
        </is>
      </c>
      <c r="C2207" s="42" t="inlineStr">
        <is>
          <t>MC</t>
        </is>
      </c>
      <c r="D2207" s="42" t="inlineStr">
        <is>
          <t>UN</t>
        </is>
      </c>
      <c r="E2207" s="42" t="inlineStr">
        <is>
          <t>0013</t>
        </is>
      </c>
      <c r="F2207" s="70" t="inlineStr">
        <is>
          <t>Compras</t>
        </is>
      </c>
      <c r="G2207" s="71" t="n">
        <v>19.9</v>
      </c>
      <c r="H2207" s="172" t="inlineStr">
        <is>
          <t>Não</t>
        </is>
      </c>
      <c r="I2207" s="49" t="n"/>
    </row>
    <row r="2208">
      <c r="A2208" s="43" t="inlineStr">
        <is>
          <t>009762</t>
        </is>
      </c>
      <c r="B2208" s="44" t="inlineStr">
        <is>
          <t>PCT DE BALA BUTTER TOFFES CHOC 53% CACAU SBR TRUFA</t>
        </is>
      </c>
      <c r="C2208" s="45" t="inlineStr">
        <is>
          <t>MC</t>
        </is>
      </c>
      <c r="D2208" s="45" t="inlineStr">
        <is>
          <t>UN</t>
        </is>
      </c>
      <c r="E2208" s="45" t="inlineStr">
        <is>
          <t>0013</t>
        </is>
      </c>
      <c r="F2208" s="70" t="inlineStr">
        <is>
          <t>Compras</t>
        </is>
      </c>
      <c r="G2208" s="66" t="n">
        <v>19.9</v>
      </c>
      <c r="H2208" s="172" t="inlineStr">
        <is>
          <t>Não</t>
        </is>
      </c>
      <c r="I2208" s="50" t="n"/>
    </row>
    <row r="2209">
      <c r="A2209" s="40" t="inlineStr">
        <is>
          <t>009765</t>
        </is>
      </c>
      <c r="B2209" s="41" t="inlineStr">
        <is>
          <t>PCT DE BALA BUTTER TOFFES CHOCOLATE</t>
        </is>
      </c>
      <c r="C2209" s="42" t="inlineStr">
        <is>
          <t>MC</t>
        </is>
      </c>
      <c r="D2209" s="42" t="inlineStr">
        <is>
          <t>UN</t>
        </is>
      </c>
      <c r="E2209" s="42" t="inlineStr">
        <is>
          <t>0013</t>
        </is>
      </c>
      <c r="F2209" s="70" t="inlineStr">
        <is>
          <t>Compras</t>
        </is>
      </c>
      <c r="G2209" s="71" t="n">
        <v>17.9</v>
      </c>
      <c r="H2209" s="172" t="inlineStr">
        <is>
          <t>Não</t>
        </is>
      </c>
      <c r="I2209" s="49" t="n"/>
    </row>
    <row r="2210">
      <c r="A2210" s="43" t="inlineStr">
        <is>
          <t>009760</t>
        </is>
      </c>
      <c r="B2210" s="44" t="inlineStr">
        <is>
          <t>PCT DE BALA BUTTER TOFFES LEITE</t>
        </is>
      </c>
      <c r="C2210" s="45" t="inlineStr">
        <is>
          <t>MC</t>
        </is>
      </c>
      <c r="D2210" s="45" t="inlineStr">
        <is>
          <t>UN</t>
        </is>
      </c>
      <c r="E2210" s="45" t="inlineStr">
        <is>
          <t>0013</t>
        </is>
      </c>
      <c r="F2210" s="70" t="inlineStr">
        <is>
          <t>Compras</t>
        </is>
      </c>
      <c r="G2210" s="66" t="n">
        <v>17.9</v>
      </c>
      <c r="H2210" s="172" t="inlineStr">
        <is>
          <t>Não</t>
        </is>
      </c>
      <c r="I2210" s="50" t="n"/>
    </row>
    <row r="2211">
      <c r="A2211" s="40" t="inlineStr">
        <is>
          <t>009759</t>
        </is>
      </c>
      <c r="B2211" s="41" t="inlineStr">
        <is>
          <t>PCT DE BALA BUTTER TOFFES MARACUJA</t>
        </is>
      </c>
      <c r="C2211" s="42" t="inlineStr">
        <is>
          <t>MC</t>
        </is>
      </c>
      <c r="D2211" s="42" t="inlineStr">
        <is>
          <t>UN</t>
        </is>
      </c>
      <c r="E2211" s="42" t="inlineStr">
        <is>
          <t>0013</t>
        </is>
      </c>
      <c r="F2211" s="70" t="inlineStr">
        <is>
          <t>Compras</t>
        </is>
      </c>
      <c r="G2211" s="71" t="n">
        <v>17.9</v>
      </c>
      <c r="H2211" s="172" t="inlineStr">
        <is>
          <t>Não</t>
        </is>
      </c>
      <c r="I2211" s="49" t="n"/>
    </row>
    <row r="2212">
      <c r="A2212" s="43" t="inlineStr">
        <is>
          <t>009767</t>
        </is>
      </c>
      <c r="B2212" s="44" t="inlineStr">
        <is>
          <t>PCT DE BALA MACA VERDE</t>
        </is>
      </c>
      <c r="C2212" s="45" t="inlineStr">
        <is>
          <t>MC</t>
        </is>
      </c>
      <c r="D2212" s="45" t="inlineStr">
        <is>
          <t>UN</t>
        </is>
      </c>
      <c r="E2212" s="45" t="inlineStr">
        <is>
          <t>0013</t>
        </is>
      </c>
      <c r="F2212" s="70" t="inlineStr">
        <is>
          <t>Compras</t>
        </is>
      </c>
      <c r="G2212" s="66" t="n">
        <v>10.19</v>
      </c>
      <c r="H2212" s="172" t="inlineStr">
        <is>
          <t>Não</t>
        </is>
      </c>
      <c r="I2212" s="50" t="n"/>
    </row>
    <row r="2213">
      <c r="A2213" s="40" t="inlineStr">
        <is>
          <t>009768</t>
        </is>
      </c>
      <c r="B2213" s="41" t="inlineStr">
        <is>
          <t>PCT DE BALA YOGURTE</t>
        </is>
      </c>
      <c r="C2213" s="42" t="inlineStr">
        <is>
          <t>MC</t>
        </is>
      </c>
      <c r="D2213" s="42" t="inlineStr">
        <is>
          <t>UN</t>
        </is>
      </c>
      <c r="E2213" s="42" t="inlineStr">
        <is>
          <t>0013</t>
        </is>
      </c>
      <c r="F2213" s="70" t="inlineStr">
        <is>
          <t>Compras</t>
        </is>
      </c>
      <c r="G2213" s="71" t="n">
        <v>9.59</v>
      </c>
      <c r="H2213" s="172" t="inlineStr">
        <is>
          <t>Não</t>
        </is>
      </c>
      <c r="I2213" s="49" t="n"/>
    </row>
    <row r="2214">
      <c r="A2214" s="43" t="inlineStr">
        <is>
          <t>000158</t>
        </is>
      </c>
      <c r="B2214" s="44" t="inlineStr">
        <is>
          <t>PCT DE ELASTICO</t>
        </is>
      </c>
      <c r="C2214" s="45" t="inlineStr">
        <is>
          <t>MC</t>
        </is>
      </c>
      <c r="D2214" s="45" t="inlineStr">
        <is>
          <t>UN</t>
        </is>
      </c>
      <c r="E2214" s="45" t="inlineStr">
        <is>
          <t>0001</t>
        </is>
      </c>
      <c r="F2214" s="70" t="inlineStr">
        <is>
          <t>Compras</t>
        </is>
      </c>
      <c r="G2214" s="66" t="n">
        <v>5.25</v>
      </c>
      <c r="H2214" s="172" t="inlineStr">
        <is>
          <t>Não</t>
        </is>
      </c>
      <c r="I2214" s="50" t="n"/>
    </row>
    <row r="2215">
      <c r="A2215" s="40" t="inlineStr">
        <is>
          <t>009770</t>
        </is>
      </c>
      <c r="B2215" s="41" t="inlineStr">
        <is>
          <t>PCT DE PIRULITO 7 BELO FRAMBOESA</t>
        </is>
      </c>
      <c r="C2215" s="42" t="inlineStr">
        <is>
          <t>MC</t>
        </is>
      </c>
      <c r="D2215" s="42" t="inlineStr">
        <is>
          <t>UN</t>
        </is>
      </c>
      <c r="E2215" s="42" t="inlineStr">
        <is>
          <t>0013</t>
        </is>
      </c>
      <c r="F2215" s="70" t="inlineStr">
        <is>
          <t>Compras</t>
        </is>
      </c>
      <c r="G2215" s="71" t="n">
        <v>11.79</v>
      </c>
      <c r="H2215" s="172" t="inlineStr">
        <is>
          <t>Não</t>
        </is>
      </c>
      <c r="I2215" s="49" t="n"/>
    </row>
    <row r="2216">
      <c r="A2216" s="43" t="inlineStr">
        <is>
          <t>001647</t>
        </is>
      </c>
      <c r="B2216" s="44" t="inlineStr">
        <is>
          <t>PDV</t>
        </is>
      </c>
      <c r="C2216" s="45" t="inlineStr">
        <is>
          <t>SV</t>
        </is>
      </c>
      <c r="D2216" s="45" t="inlineStr">
        <is>
          <t>UN</t>
        </is>
      </c>
      <c r="E2216" s="45" t="inlineStr">
        <is>
          <t>(VAZ</t>
        </is>
      </c>
      <c r="F2216" s="70" t="inlineStr">
        <is>
          <t>Compras</t>
        </is>
      </c>
      <c r="G2216" s="69" t="n">
        <v>0</v>
      </c>
      <c r="H2216" s="172" t="inlineStr">
        <is>
          <t>Não</t>
        </is>
      </c>
      <c r="I2216" s="50" t="n"/>
    </row>
    <row r="2217">
      <c r="A2217" s="40" t="inlineStr">
        <is>
          <t>001657</t>
        </is>
      </c>
      <c r="B2217" s="41" t="inlineStr">
        <is>
          <t>PECAS LAVADORA WAP</t>
        </is>
      </c>
      <c r="C2217" s="42" t="inlineStr">
        <is>
          <t>ME</t>
        </is>
      </c>
      <c r="D2217" s="42" t="inlineStr">
        <is>
          <t>UN</t>
        </is>
      </c>
      <c r="E2217" s="42" t="inlineStr">
        <is>
          <t>0132</t>
        </is>
      </c>
      <c r="F2217" s="70" t="inlineStr">
        <is>
          <t>Compras</t>
        </is>
      </c>
      <c r="G2217" s="71" t="n">
        <v>120</v>
      </c>
      <c r="H2217" s="172" t="inlineStr">
        <is>
          <t>Não</t>
        </is>
      </c>
      <c r="I2217" s="49" t="n"/>
    </row>
    <row r="2218">
      <c r="A2218" s="43" t="inlineStr">
        <is>
          <t>009851</t>
        </is>
      </c>
      <c r="B2218" s="44" t="inlineStr">
        <is>
          <t>PEDRA DE AFIAR</t>
        </is>
      </c>
      <c r="C2218" s="45" t="inlineStr">
        <is>
          <t>MC</t>
        </is>
      </c>
      <c r="D2218" s="45" t="inlineStr">
        <is>
          <t>UN</t>
        </is>
      </c>
      <c r="E2218" s="45" t="inlineStr">
        <is>
          <t>0080</t>
        </is>
      </c>
      <c r="F2218" s="70" t="inlineStr">
        <is>
          <t>Compras</t>
        </is>
      </c>
      <c r="G2218" s="66" t="n">
        <v>45.7</v>
      </c>
      <c r="H2218" s="172" t="inlineStr">
        <is>
          <t>Não</t>
        </is>
      </c>
      <c r="I2218" s="50" t="n"/>
    </row>
    <row r="2219">
      <c r="A2219" s="40" t="inlineStr">
        <is>
          <t>009669</t>
        </is>
      </c>
      <c r="B2219" s="41" t="inlineStr">
        <is>
          <t>PEDRA PEDRISCO ENSACADO 20KG</t>
        </is>
      </c>
      <c r="C2219" s="42" t="inlineStr">
        <is>
          <t>MC</t>
        </is>
      </c>
      <c r="D2219" s="42" t="inlineStr">
        <is>
          <t>UN</t>
        </is>
      </c>
      <c r="E2219" s="42" t="inlineStr">
        <is>
          <t>0132</t>
        </is>
      </c>
      <c r="F2219" s="70" t="inlineStr">
        <is>
          <t>Compras</t>
        </is>
      </c>
      <c r="G2219" s="71" t="n">
        <v>8.9</v>
      </c>
      <c r="H2219" s="172" t="inlineStr">
        <is>
          <t>Não</t>
        </is>
      </c>
      <c r="I2219" s="49" t="n"/>
    </row>
    <row r="2220">
      <c r="A2220" s="43" t="inlineStr">
        <is>
          <t>001217</t>
        </is>
      </c>
      <c r="B2220" s="44" t="inlineStr">
        <is>
          <t>PEGADOR CIMO 2055/8 INOX CB MA</t>
        </is>
      </c>
      <c r="C2220" s="45" t="inlineStr">
        <is>
          <t>OI</t>
        </is>
      </c>
      <c r="D2220" s="45" t="inlineStr">
        <is>
          <t>UN</t>
        </is>
      </c>
      <c r="E2220" s="45" t="inlineStr">
        <is>
          <t>0078</t>
        </is>
      </c>
      <c r="F2220" s="65" t="inlineStr">
        <is>
          <t>Venda</t>
        </is>
      </c>
      <c r="G2220" s="66" t="n">
        <v>19.8</v>
      </c>
      <c r="H2220" s="173" t="inlineStr">
        <is>
          <t>Sim</t>
        </is>
      </c>
      <c r="I2220" s="50" t="n"/>
    </row>
    <row r="2221">
      <c r="A2221" s="40" t="inlineStr">
        <is>
          <t>000535</t>
        </is>
      </c>
      <c r="B2221" s="41" t="inlineStr">
        <is>
          <t>PEGADOR DE GELO 25 CM</t>
        </is>
      </c>
      <c r="C2221" s="42" t="inlineStr">
        <is>
          <t>MC</t>
        </is>
      </c>
      <c r="D2221" s="42" t="inlineStr">
        <is>
          <t>UN</t>
        </is>
      </c>
      <c r="E2221" s="42" t="inlineStr">
        <is>
          <t>0079</t>
        </is>
      </c>
      <c r="F2221" s="70" t="inlineStr">
        <is>
          <t>Compras</t>
        </is>
      </c>
      <c r="G2221" s="71" t="n">
        <v>14.4</v>
      </c>
      <c r="H2221" s="172" t="inlineStr">
        <is>
          <t>Não</t>
        </is>
      </c>
      <c r="I2221" s="49" t="n"/>
    </row>
    <row r="2222">
      <c r="A2222" s="43" t="inlineStr">
        <is>
          <t>009849</t>
        </is>
      </c>
      <c r="B2222" s="44" t="inlineStr">
        <is>
          <t>PEGADOR INOX 23CM</t>
        </is>
      </c>
      <c r="C2222" s="45" t="inlineStr">
        <is>
          <t>MC</t>
        </is>
      </c>
      <c r="D2222" s="45" t="inlineStr">
        <is>
          <t>UN</t>
        </is>
      </c>
      <c r="E2222" s="45" t="inlineStr">
        <is>
          <t>0080</t>
        </is>
      </c>
      <c r="F2222" s="70" t="inlineStr">
        <is>
          <t>Compras</t>
        </is>
      </c>
      <c r="G2222" s="66" t="n">
        <v>17.6</v>
      </c>
      <c r="H2222" s="172" t="inlineStr">
        <is>
          <t>Não</t>
        </is>
      </c>
      <c r="I2222" s="50" t="n"/>
    </row>
    <row r="2223">
      <c r="A2223" s="40" t="inlineStr">
        <is>
          <t>000695</t>
        </is>
      </c>
      <c r="B2223" s="41" t="inlineStr">
        <is>
          <t>PEGADOR MULTIUSO</t>
        </is>
      </c>
      <c r="C2223" s="42" t="inlineStr">
        <is>
          <t>MC</t>
        </is>
      </c>
      <c r="D2223" s="42" t="inlineStr">
        <is>
          <t>UN</t>
        </is>
      </c>
      <c r="E2223" s="42" t="inlineStr">
        <is>
          <t>0080</t>
        </is>
      </c>
      <c r="F2223" s="70" t="inlineStr">
        <is>
          <t>Compras</t>
        </is>
      </c>
      <c r="G2223" s="71" t="n">
        <v>14.2</v>
      </c>
      <c r="H2223" s="172" t="inlineStr">
        <is>
          <t>Não</t>
        </is>
      </c>
      <c r="I2223" s="49" t="n"/>
    </row>
    <row r="2224">
      <c r="A2224" s="43" t="inlineStr">
        <is>
          <t>000435</t>
        </is>
      </c>
      <c r="B2224" s="44" t="inlineStr">
        <is>
          <t>PEITO DE FRANGO FUNCIONARIO</t>
        </is>
      </c>
      <c r="C2224" s="45" t="inlineStr">
        <is>
          <t>MC</t>
        </is>
      </c>
      <c r="D2224" s="45" t="inlineStr">
        <is>
          <t>KG</t>
        </is>
      </c>
      <c r="E2224" s="45" t="inlineStr">
        <is>
          <t>0013</t>
        </is>
      </c>
      <c r="F2224" s="70" t="inlineStr">
        <is>
          <t>Compras</t>
        </is>
      </c>
      <c r="G2224" s="66" t="n">
        <v>16.39</v>
      </c>
      <c r="H2224" s="172" t="inlineStr">
        <is>
          <t>Não</t>
        </is>
      </c>
      <c r="I2224" s="50" t="n"/>
    </row>
    <row r="2225">
      <c r="A2225" s="40" t="inlineStr">
        <is>
          <t>010344</t>
        </is>
      </c>
      <c r="B2225" s="41" t="inlineStr">
        <is>
          <t>PEITO DE FRANGO SEM PELE E SEM OSSO</t>
        </is>
      </c>
      <c r="C2225" s="42" t="inlineStr">
        <is>
          <t>MP</t>
        </is>
      </c>
      <c r="D2225" s="42" t="inlineStr">
        <is>
          <t>KG</t>
        </is>
      </c>
      <c r="E2225" s="42" t="inlineStr">
        <is>
          <t>0025</t>
        </is>
      </c>
      <c r="F2225" s="70" t="inlineStr">
        <is>
          <t>Compras</t>
        </is>
      </c>
      <c r="G2225" s="68" t="n">
        <v>0</v>
      </c>
      <c r="H2225" s="172" t="inlineStr">
        <is>
          <t>Não</t>
        </is>
      </c>
      <c r="I2225" s="49" t="n"/>
    </row>
    <row r="2226">
      <c r="A2226" s="43" t="inlineStr">
        <is>
          <t>009514</t>
        </is>
      </c>
      <c r="B2226" s="44" t="inlineStr">
        <is>
          <t>PELICULA DE CELULAR</t>
        </is>
      </c>
      <c r="C2226" s="45" t="inlineStr">
        <is>
          <t>MC</t>
        </is>
      </c>
      <c r="D2226" s="45" t="inlineStr">
        <is>
          <t>UN</t>
        </is>
      </c>
      <c r="E2226" s="45" t="inlineStr">
        <is>
          <t>0001</t>
        </is>
      </c>
      <c r="F2226" s="70" t="inlineStr">
        <is>
          <t>Compras</t>
        </is>
      </c>
      <c r="G2226" s="69" t="n">
        <v>0</v>
      </c>
      <c r="H2226" s="172" t="inlineStr">
        <is>
          <t>Não</t>
        </is>
      </c>
      <c r="I2226" s="50" t="n"/>
    </row>
    <row r="2227">
      <c r="A2227" s="40" t="inlineStr">
        <is>
          <t>001688</t>
        </is>
      </c>
      <c r="B2227" s="41" t="inlineStr">
        <is>
          <t>PELUCIA</t>
        </is>
      </c>
      <c r="C2227" s="42" t="inlineStr">
        <is>
          <t>MC</t>
        </is>
      </c>
      <c r="D2227" s="42" t="inlineStr">
        <is>
          <t>UN</t>
        </is>
      </c>
      <c r="E2227" s="42" t="inlineStr">
        <is>
          <t>0145</t>
        </is>
      </c>
      <c r="F2227" s="70" t="inlineStr">
        <is>
          <t>Compras</t>
        </is>
      </c>
      <c r="G2227" s="71" t="n">
        <v>14.0822</v>
      </c>
      <c r="H2227" s="172" t="inlineStr">
        <is>
          <t>Não</t>
        </is>
      </c>
      <c r="I2227" s="49" t="n"/>
    </row>
    <row r="2228">
      <c r="A2228" s="43" t="inlineStr">
        <is>
          <t>000175</t>
        </is>
      </c>
      <c r="B2228" s="44" t="inlineStr">
        <is>
          <t>PEN DRIVE 8GB</t>
        </is>
      </c>
      <c r="C2228" s="45" t="inlineStr">
        <is>
          <t>MC</t>
        </is>
      </c>
      <c r="D2228" s="45" t="inlineStr">
        <is>
          <t>UN</t>
        </is>
      </c>
      <c r="E2228" s="45" t="inlineStr">
        <is>
          <t>0001</t>
        </is>
      </c>
      <c r="F2228" s="70" t="inlineStr">
        <is>
          <t>Compras</t>
        </is>
      </c>
      <c r="G2228" s="69" t="n">
        <v>0</v>
      </c>
      <c r="H2228" s="172" t="inlineStr">
        <is>
          <t>Não</t>
        </is>
      </c>
      <c r="I2228" s="50" t="n"/>
    </row>
    <row r="2229">
      <c r="A2229" s="40" t="inlineStr">
        <is>
          <t>001370</t>
        </is>
      </c>
      <c r="B2229" s="41" t="inlineStr">
        <is>
          <t>PENEIRA FRITURA</t>
        </is>
      </c>
      <c r="C2229" s="42" t="inlineStr">
        <is>
          <t>MC</t>
        </is>
      </c>
      <c r="D2229" s="42" t="inlineStr">
        <is>
          <t>UN</t>
        </is>
      </c>
      <c r="E2229" s="42" t="inlineStr">
        <is>
          <t>0079</t>
        </is>
      </c>
      <c r="F2229" s="70" t="inlineStr">
        <is>
          <t>Compras</t>
        </is>
      </c>
      <c r="G2229" s="71" t="n">
        <v>159.7</v>
      </c>
      <c r="H2229" s="172" t="inlineStr">
        <is>
          <t>Não</t>
        </is>
      </c>
      <c r="I2229" s="49" t="n"/>
    </row>
    <row r="2230">
      <c r="A2230" s="43" t="inlineStr">
        <is>
          <t>000585</t>
        </is>
      </c>
      <c r="B2230" s="44" t="inlineStr">
        <is>
          <t>PENEIRA PEQUENA</t>
        </is>
      </c>
      <c r="C2230" s="45" t="inlineStr">
        <is>
          <t>MC</t>
        </is>
      </c>
      <c r="D2230" s="45" t="inlineStr">
        <is>
          <t>UN</t>
        </is>
      </c>
      <c r="E2230" s="45" t="inlineStr">
        <is>
          <t>0080</t>
        </is>
      </c>
      <c r="F2230" s="70" t="inlineStr">
        <is>
          <t>Compras</t>
        </is>
      </c>
      <c r="G2230" s="66" t="n">
        <v>14.9</v>
      </c>
      <c r="H2230" s="172" t="inlineStr">
        <is>
          <t>Não</t>
        </is>
      </c>
      <c r="I2230" s="50" t="n"/>
    </row>
    <row r="2231">
      <c r="A2231" s="40" t="inlineStr">
        <is>
          <t>000548</t>
        </is>
      </c>
      <c r="B2231" s="41" t="inlineStr">
        <is>
          <t>PENEIRAS G 19 CM</t>
        </is>
      </c>
      <c r="C2231" s="42" t="inlineStr">
        <is>
          <t>MC</t>
        </is>
      </c>
      <c r="D2231" s="42" t="inlineStr">
        <is>
          <t>UN</t>
        </is>
      </c>
      <c r="E2231" s="42" t="inlineStr">
        <is>
          <t>0080</t>
        </is>
      </c>
      <c r="F2231" s="70" t="inlineStr">
        <is>
          <t>Compras</t>
        </is>
      </c>
      <c r="G2231" s="71" t="n">
        <v>27.6</v>
      </c>
      <c r="H2231" s="172" t="inlineStr">
        <is>
          <t>Não</t>
        </is>
      </c>
      <c r="I2231" s="49" t="n"/>
    </row>
    <row r="2232">
      <c r="A2232" s="43" t="inlineStr">
        <is>
          <t>000547</t>
        </is>
      </c>
      <c r="B2232" s="44" t="inlineStr">
        <is>
          <t>PENEIRAS M 16 CM</t>
        </is>
      </c>
      <c r="C2232" s="45" t="inlineStr">
        <is>
          <t>MC</t>
        </is>
      </c>
      <c r="D2232" s="45" t="inlineStr">
        <is>
          <t>UN</t>
        </is>
      </c>
      <c r="E2232" s="45" t="inlineStr">
        <is>
          <t>0080</t>
        </is>
      </c>
      <c r="F2232" s="70" t="inlineStr">
        <is>
          <t>Compras</t>
        </is>
      </c>
      <c r="G2232" s="66" t="n">
        <v>25.2</v>
      </c>
      <c r="H2232" s="172" t="inlineStr">
        <is>
          <t>Não</t>
        </is>
      </c>
      <c r="I2232" s="50" t="n"/>
    </row>
    <row r="2233">
      <c r="A2233" s="40" t="inlineStr">
        <is>
          <t>001955</t>
        </is>
      </c>
      <c r="B2233" s="41" t="inlineStr">
        <is>
          <t>PENICILIN</t>
        </is>
      </c>
      <c r="C2233" s="42" t="inlineStr">
        <is>
          <t>PA</t>
        </is>
      </c>
      <c r="D2233" s="42" t="inlineStr">
        <is>
          <t>UN</t>
        </is>
      </c>
      <c r="E2233" s="42" t="inlineStr">
        <is>
          <t>0119</t>
        </is>
      </c>
      <c r="F2233" s="65" t="inlineStr">
        <is>
          <t>Venda</t>
        </is>
      </c>
      <c r="G2233" s="68" t="n">
        <v>0</v>
      </c>
      <c r="H2233" s="172" t="inlineStr">
        <is>
          <t>Não</t>
        </is>
      </c>
      <c r="I2233" s="47" t="inlineStr">
        <is>
          <t>78989056877233</t>
        </is>
      </c>
    </row>
    <row r="2234">
      <c r="A2234" s="43" t="inlineStr">
        <is>
          <t>000479</t>
        </is>
      </c>
      <c r="B2234" s="44" t="inlineStr">
        <is>
          <t>PEPINO</t>
        </is>
      </c>
      <c r="C2234" s="45" t="inlineStr">
        <is>
          <t>MP</t>
        </is>
      </c>
      <c r="D2234" s="45" t="inlineStr">
        <is>
          <t>KG</t>
        </is>
      </c>
      <c r="E2234" s="45" t="inlineStr">
        <is>
          <t>0036</t>
        </is>
      </c>
      <c r="F2234" s="70" t="inlineStr">
        <is>
          <t>Compras</t>
        </is>
      </c>
      <c r="G2234" s="66" t="n">
        <v>9.67</v>
      </c>
      <c r="H2234" s="172" t="inlineStr">
        <is>
          <t>Não</t>
        </is>
      </c>
      <c r="I2234" s="50" t="n"/>
    </row>
    <row r="2235">
      <c r="A2235" s="40" t="inlineStr">
        <is>
          <t>000880</t>
        </is>
      </c>
      <c r="B2235" s="41" t="inlineStr">
        <is>
          <t>PEPSI</t>
        </is>
      </c>
      <c r="C2235" s="42" t="inlineStr">
        <is>
          <t>MR</t>
        </is>
      </c>
      <c r="D2235" s="42" t="inlineStr">
        <is>
          <t>UN</t>
        </is>
      </c>
      <c r="E2235" s="42" t="inlineStr">
        <is>
          <t>0111</t>
        </is>
      </c>
      <c r="F2235" s="65" t="inlineStr">
        <is>
          <t>Venda</t>
        </is>
      </c>
      <c r="G2235" s="68" t="n">
        <v>0</v>
      </c>
      <c r="H2235" s="172" t="inlineStr">
        <is>
          <t>Não</t>
        </is>
      </c>
      <c r="I2235" s="47" t="inlineStr">
        <is>
          <t>71003</t>
        </is>
      </c>
    </row>
    <row r="2236">
      <c r="A2236" s="43" t="inlineStr">
        <is>
          <t>010286</t>
        </is>
      </c>
      <c r="B2236" s="44" t="inlineStr">
        <is>
          <t>PEPSI BLACK PET 200ML</t>
        </is>
      </c>
      <c r="C2236" s="45" t="inlineStr">
        <is>
          <t>ME</t>
        </is>
      </c>
      <c r="D2236" s="45" t="inlineStr">
        <is>
          <t>UN</t>
        </is>
      </c>
      <c r="E2236" s="45" t="inlineStr">
        <is>
          <t>0021</t>
        </is>
      </c>
      <c r="F2236" s="70" t="inlineStr">
        <is>
          <t>Compras</t>
        </is>
      </c>
      <c r="G2236" s="69" t="n">
        <v>0</v>
      </c>
      <c r="H2236" s="172" t="inlineStr">
        <is>
          <t>Não</t>
        </is>
      </c>
      <c r="I2236" s="50" t="n"/>
    </row>
    <row r="2237">
      <c r="A2237" s="40" t="inlineStr">
        <is>
          <t>000319</t>
        </is>
      </c>
      <c r="B2237" s="41" t="inlineStr">
        <is>
          <t>PEPSI LATA 350ML</t>
        </is>
      </c>
      <c r="C2237" s="42" t="inlineStr">
        <is>
          <t>ME</t>
        </is>
      </c>
      <c r="D2237" s="42" t="inlineStr">
        <is>
          <t>UN</t>
        </is>
      </c>
      <c r="E2237" s="42" t="inlineStr">
        <is>
          <t>0021</t>
        </is>
      </c>
      <c r="F2237" s="70" t="inlineStr">
        <is>
          <t>Compras</t>
        </is>
      </c>
      <c r="G2237" s="71" t="n">
        <v>2.0762</v>
      </c>
      <c r="H2237" s="172" t="inlineStr">
        <is>
          <t>Não</t>
        </is>
      </c>
      <c r="I2237" s="49" t="n"/>
    </row>
    <row r="2238">
      <c r="A2238" s="43" t="inlineStr">
        <is>
          <t>002185</t>
        </is>
      </c>
      <c r="B2238" s="44" t="inlineStr">
        <is>
          <t>PEPSI LATA RUA</t>
        </is>
      </c>
      <c r="C2238" s="45" t="inlineStr">
        <is>
          <t>MR</t>
        </is>
      </c>
      <c r="D2238" s="45" t="inlineStr">
        <is>
          <t>UN</t>
        </is>
      </c>
      <c r="E2238" s="45" t="inlineStr">
        <is>
          <t>0111</t>
        </is>
      </c>
      <c r="F2238" s="65" t="inlineStr">
        <is>
          <t>Venda</t>
        </is>
      </c>
      <c r="G2238" s="69" t="n">
        <v>0</v>
      </c>
      <c r="H2238" s="172" t="inlineStr">
        <is>
          <t>Não</t>
        </is>
      </c>
      <c r="I2238" s="48" t="inlineStr">
        <is>
          <t>78989056877355</t>
        </is>
      </c>
    </row>
    <row r="2239">
      <c r="A2239" s="40" t="inlineStr">
        <is>
          <t>000886</t>
        </is>
      </c>
      <c r="B2239" s="41" t="inlineStr">
        <is>
          <t>PEPSI LIGHT</t>
        </is>
      </c>
      <c r="C2239" s="42" t="inlineStr">
        <is>
          <t>MR</t>
        </is>
      </c>
      <c r="D2239" s="42" t="inlineStr">
        <is>
          <t>UN</t>
        </is>
      </c>
      <c r="E2239" s="42" t="inlineStr">
        <is>
          <t>0111</t>
        </is>
      </c>
      <c r="F2239" s="65" t="inlineStr">
        <is>
          <t>Venda</t>
        </is>
      </c>
      <c r="G2239" s="68" t="n">
        <v>0</v>
      </c>
      <c r="H2239" s="172" t="inlineStr">
        <is>
          <t>Não</t>
        </is>
      </c>
      <c r="I2239" s="47" t="inlineStr">
        <is>
          <t>71009</t>
        </is>
      </c>
    </row>
    <row r="2240">
      <c r="A2240" s="43" t="inlineStr">
        <is>
          <t>000321</t>
        </is>
      </c>
      <c r="B2240" s="44" t="inlineStr">
        <is>
          <t>PEPSI ZERO LATA 350ML</t>
        </is>
      </c>
      <c r="C2240" s="45" t="inlineStr">
        <is>
          <t>ME</t>
        </is>
      </c>
      <c r="D2240" s="45" t="inlineStr">
        <is>
          <t>UN</t>
        </is>
      </c>
      <c r="E2240" s="45" t="inlineStr">
        <is>
          <t>0021</t>
        </is>
      </c>
      <c r="F2240" s="70" t="inlineStr">
        <is>
          <t>Compras</t>
        </is>
      </c>
      <c r="G2240" s="66" t="n">
        <v>2.0762</v>
      </c>
      <c r="H2240" s="172" t="inlineStr">
        <is>
          <t>Não</t>
        </is>
      </c>
      <c r="I2240" s="50" t="n"/>
    </row>
    <row r="2241">
      <c r="A2241" s="40" t="inlineStr">
        <is>
          <t>002186</t>
        </is>
      </c>
      <c r="B2241" s="41" t="inlineStr">
        <is>
          <t>PEPSI ZERO RUA</t>
        </is>
      </c>
      <c r="C2241" s="42" t="inlineStr">
        <is>
          <t>MR</t>
        </is>
      </c>
      <c r="D2241" s="42" t="inlineStr">
        <is>
          <t>UN</t>
        </is>
      </c>
      <c r="E2241" s="42" t="inlineStr">
        <is>
          <t>0111</t>
        </is>
      </c>
      <c r="F2241" s="65" t="inlineStr">
        <is>
          <t>Venda</t>
        </is>
      </c>
      <c r="G2241" s="68" t="n">
        <v>0</v>
      </c>
      <c r="H2241" s="172" t="inlineStr">
        <is>
          <t>Não</t>
        </is>
      </c>
      <c r="I2241" s="47" t="inlineStr">
        <is>
          <t>78989056877356</t>
        </is>
      </c>
    </row>
    <row r="2242">
      <c r="A2242" s="43" t="inlineStr">
        <is>
          <t>001687</t>
        </is>
      </c>
      <c r="B2242" s="44" t="inlineStr">
        <is>
          <t>PER CIAS, LAUDOS, EXAMES T CNI</t>
        </is>
      </c>
      <c r="C2242" s="45" t="inlineStr">
        <is>
          <t>SV</t>
        </is>
      </c>
      <c r="D2242" s="45" t="inlineStr">
        <is>
          <t>UN</t>
        </is>
      </c>
      <c r="E2242" s="45" t="inlineStr">
        <is>
          <t>(VAZ</t>
        </is>
      </c>
      <c r="F2242" s="70" t="inlineStr">
        <is>
          <t>Compras</t>
        </is>
      </c>
      <c r="G2242" s="69" t="n">
        <v>0</v>
      </c>
      <c r="H2242" s="172" t="inlineStr">
        <is>
          <t>Não</t>
        </is>
      </c>
      <c r="I2242" s="50" t="n"/>
    </row>
    <row r="2243">
      <c r="A2243" s="40" t="inlineStr">
        <is>
          <t>001772</t>
        </is>
      </c>
      <c r="B2243" s="41" t="inlineStr">
        <is>
          <t>PER CIAS, LAUDOS, EXAMES T CNI</t>
        </is>
      </c>
      <c r="C2243" s="42" t="inlineStr">
        <is>
          <t>SV</t>
        </is>
      </c>
      <c r="D2243" s="42" t="inlineStr">
        <is>
          <t>UN</t>
        </is>
      </c>
      <c r="E2243" s="42" t="inlineStr">
        <is>
          <t>(VAZ</t>
        </is>
      </c>
      <c r="F2243" s="70" t="inlineStr">
        <is>
          <t>Compras</t>
        </is>
      </c>
      <c r="G2243" s="68" t="n">
        <v>0</v>
      </c>
      <c r="H2243" s="172" t="inlineStr">
        <is>
          <t>Não</t>
        </is>
      </c>
      <c r="I2243" s="49" t="n"/>
    </row>
    <row r="2244">
      <c r="A2244" s="43" t="inlineStr">
        <is>
          <t>010275</t>
        </is>
      </c>
      <c r="B2244" s="44" t="inlineStr">
        <is>
          <t>PERFIL DE ALUMINIO PARA ESTUFA</t>
        </is>
      </c>
      <c r="C2244" s="45" t="inlineStr">
        <is>
          <t>MC</t>
        </is>
      </c>
      <c r="D2244" s="45" t="inlineStr">
        <is>
          <t>UN</t>
        </is>
      </c>
      <c r="E2244" s="45" t="inlineStr">
        <is>
          <t>0132</t>
        </is>
      </c>
      <c r="F2244" s="70" t="inlineStr">
        <is>
          <t>Compras</t>
        </is>
      </c>
      <c r="G2244" s="66" t="n">
        <v>198</v>
      </c>
      <c r="H2244" s="172" t="inlineStr">
        <is>
          <t>Não</t>
        </is>
      </c>
      <c r="I2244" s="50" t="n"/>
    </row>
    <row r="2245">
      <c r="A2245" s="40" t="inlineStr">
        <is>
          <t>009301</t>
        </is>
      </c>
      <c r="B2245" s="41" t="inlineStr">
        <is>
          <t>PERFIL GUIA PARA DRYWALL 48MM COM 3M</t>
        </is>
      </c>
      <c r="C2245" s="42" t="inlineStr">
        <is>
          <t>MC</t>
        </is>
      </c>
      <c r="D2245" s="42" t="inlineStr">
        <is>
          <t>UN</t>
        </is>
      </c>
      <c r="E2245" s="42" t="inlineStr">
        <is>
          <t>0132</t>
        </is>
      </c>
      <c r="F2245" s="70" t="inlineStr">
        <is>
          <t>Compras</t>
        </is>
      </c>
      <c r="G2245" s="71" t="n">
        <v>17.931</v>
      </c>
      <c r="H2245" s="172" t="inlineStr">
        <is>
          <t>Não</t>
        </is>
      </c>
      <c r="I2245" s="49" t="n"/>
    </row>
    <row r="2246">
      <c r="A2246" s="43" t="inlineStr">
        <is>
          <t>002107</t>
        </is>
      </c>
      <c r="B2246" s="44" t="inlineStr">
        <is>
          <t>PEROXY LIMPAD BAC - 5LT</t>
        </is>
      </c>
      <c r="C2246" s="45" t="inlineStr">
        <is>
          <t>MC</t>
        </is>
      </c>
      <c r="D2246" s="45" t="inlineStr">
        <is>
          <t>UN</t>
        </is>
      </c>
      <c r="E2246" s="45" t="inlineStr">
        <is>
          <t>0075</t>
        </is>
      </c>
      <c r="F2246" s="70" t="inlineStr">
        <is>
          <t>Compras</t>
        </is>
      </c>
      <c r="G2246" s="66" t="n">
        <v>91.48999999999999</v>
      </c>
      <c r="H2246" s="172" t="inlineStr">
        <is>
          <t>Não</t>
        </is>
      </c>
      <c r="I2246" s="50" t="n"/>
    </row>
    <row r="2247">
      <c r="A2247" s="40" t="inlineStr">
        <is>
          <t>002047</t>
        </is>
      </c>
      <c r="B2247" s="41" t="inlineStr">
        <is>
          <t>PEÃ‡A DE INOX</t>
        </is>
      </c>
      <c r="C2247" s="42" t="inlineStr">
        <is>
          <t>MC</t>
        </is>
      </c>
      <c r="D2247" s="42" t="inlineStr">
        <is>
          <t>UN</t>
        </is>
      </c>
      <c r="E2247" s="42" t="inlineStr">
        <is>
          <t>0079</t>
        </is>
      </c>
      <c r="F2247" s="70" t="inlineStr">
        <is>
          <t>Compras</t>
        </is>
      </c>
      <c r="G2247" s="71" t="n">
        <v>100</v>
      </c>
      <c r="H2247" s="173" t="inlineStr">
        <is>
          <t>Sim</t>
        </is>
      </c>
      <c r="I2247" s="49" t="n"/>
    </row>
    <row r="2248">
      <c r="A2248" s="43" t="inlineStr">
        <is>
          <t>002216</t>
        </is>
      </c>
      <c r="B2248" s="44" t="inlineStr">
        <is>
          <t>PF QUINTAL</t>
        </is>
      </c>
      <c r="C2248" s="45" t="inlineStr">
        <is>
          <t>PA</t>
        </is>
      </c>
      <c r="D2248" s="45" t="inlineStr">
        <is>
          <t>UN</t>
        </is>
      </c>
      <c r="E2248" s="45" t="inlineStr">
        <is>
          <t>0092</t>
        </is>
      </c>
      <c r="F2248" s="65" t="inlineStr">
        <is>
          <t>Venda</t>
        </is>
      </c>
      <c r="G2248" s="69" t="n">
        <v>0</v>
      </c>
      <c r="H2248" s="172" t="inlineStr">
        <is>
          <t>Não</t>
        </is>
      </c>
      <c r="I2248" s="48" t="inlineStr">
        <is>
          <t>78989056877340</t>
        </is>
      </c>
    </row>
    <row r="2249">
      <c r="A2249" s="40" t="inlineStr">
        <is>
          <t>001223</t>
        </is>
      </c>
      <c r="B2249" s="41" t="inlineStr">
        <is>
          <t>PIA EM INOX COM CUBA</t>
        </is>
      </c>
      <c r="C2249" s="42" t="inlineStr">
        <is>
          <t>AI</t>
        </is>
      </c>
      <c r="D2249" s="42" t="inlineStr">
        <is>
          <t>UN</t>
        </is>
      </c>
      <c r="E2249" s="42" t="inlineStr">
        <is>
          <t>0020</t>
        </is>
      </c>
      <c r="F2249" s="70" t="inlineStr">
        <is>
          <t>Compras</t>
        </is>
      </c>
      <c r="G2249" s="68" t="n">
        <v>0</v>
      </c>
      <c r="H2249" s="172" t="inlineStr">
        <is>
          <t>Não</t>
        </is>
      </c>
      <c r="I2249" s="49" t="n"/>
    </row>
    <row r="2250">
      <c r="A2250" s="43" t="inlineStr">
        <is>
          <t>000570</t>
        </is>
      </c>
      <c r="B2250" s="44" t="inlineStr">
        <is>
          <t>PICADOR DE LEGUMES CABRITA 70CM</t>
        </is>
      </c>
      <c r="C2250" s="45" t="inlineStr">
        <is>
          <t>MC</t>
        </is>
      </c>
      <c r="D2250" s="45" t="inlineStr">
        <is>
          <t>UN</t>
        </is>
      </c>
      <c r="E2250" s="45" t="inlineStr">
        <is>
          <t>0080</t>
        </is>
      </c>
      <c r="F2250" s="70" t="inlineStr">
        <is>
          <t>Compras</t>
        </is>
      </c>
      <c r="G2250" s="66" t="n">
        <v>497</v>
      </c>
      <c r="H2250" s="172" t="inlineStr">
        <is>
          <t>Não</t>
        </is>
      </c>
      <c r="I2250" s="50" t="n"/>
    </row>
    <row r="2251">
      <c r="A2251" s="40" t="inlineStr">
        <is>
          <t>000770</t>
        </is>
      </c>
      <c r="B2251" s="41" t="inlineStr">
        <is>
          <t>PICANHA</t>
        </is>
      </c>
      <c r="C2251" s="42" t="inlineStr">
        <is>
          <t>PA</t>
        </is>
      </c>
      <c r="D2251" s="42" t="inlineStr">
        <is>
          <t>UN</t>
        </is>
      </c>
      <c r="E2251" s="42" t="inlineStr">
        <is>
          <t>0092</t>
        </is>
      </c>
      <c r="F2251" s="65" t="inlineStr">
        <is>
          <t>Venda</t>
        </is>
      </c>
      <c r="G2251" s="68" t="n">
        <v>0</v>
      </c>
      <c r="H2251" s="172" t="inlineStr">
        <is>
          <t>Não</t>
        </is>
      </c>
      <c r="I2251" s="47" t="inlineStr">
        <is>
          <t>40016</t>
        </is>
      </c>
    </row>
    <row r="2252">
      <c r="A2252" s="43" t="inlineStr">
        <is>
          <t>000011</t>
        </is>
      </c>
      <c r="B2252" s="44" t="inlineStr">
        <is>
          <t>PICANHA IN NATURA</t>
        </is>
      </c>
      <c r="C2252" s="45" t="inlineStr">
        <is>
          <t>MR</t>
        </is>
      </c>
      <c r="D2252" s="45" t="inlineStr">
        <is>
          <t>UN</t>
        </is>
      </c>
      <c r="E2252" s="45" t="inlineStr">
        <is>
          <t>0092</t>
        </is>
      </c>
      <c r="F2252" s="65" t="inlineStr">
        <is>
          <t>Venda</t>
        </is>
      </c>
      <c r="G2252" s="69" t="n">
        <v>0</v>
      </c>
      <c r="H2252" s="172" t="inlineStr">
        <is>
          <t>Não</t>
        </is>
      </c>
      <c r="I2252" s="48" t="inlineStr">
        <is>
          <t>10013</t>
        </is>
      </c>
    </row>
    <row r="2253">
      <c r="A2253" s="40" t="inlineStr">
        <is>
          <t>002063</t>
        </is>
      </c>
      <c r="B2253" s="41" t="inlineStr">
        <is>
          <t>PILHA DURACELL AA</t>
        </is>
      </c>
      <c r="C2253" s="42" t="inlineStr">
        <is>
          <t>MC</t>
        </is>
      </c>
      <c r="D2253" s="42" t="inlineStr">
        <is>
          <t>PC</t>
        </is>
      </c>
      <c r="E2253" s="42" t="inlineStr">
        <is>
          <t>0001</t>
        </is>
      </c>
      <c r="F2253" s="70" t="inlineStr">
        <is>
          <t>Compras</t>
        </is>
      </c>
      <c r="G2253" s="71" t="n">
        <v>14.7</v>
      </c>
      <c r="H2253" s="172" t="inlineStr">
        <is>
          <t>Não</t>
        </is>
      </c>
      <c r="I2253" s="49" t="n"/>
    </row>
    <row r="2254">
      <c r="A2254" s="43" t="inlineStr">
        <is>
          <t>002064</t>
        </is>
      </c>
      <c r="B2254" s="44" t="inlineStr">
        <is>
          <t>PILHA DURACELL AAA</t>
        </is>
      </c>
      <c r="C2254" s="45" t="inlineStr">
        <is>
          <t>MC</t>
        </is>
      </c>
      <c r="D2254" s="45" t="inlineStr">
        <is>
          <t>PC</t>
        </is>
      </c>
      <c r="E2254" s="45" t="inlineStr">
        <is>
          <t>0001</t>
        </is>
      </c>
      <c r="F2254" s="70" t="inlineStr">
        <is>
          <t>Compras</t>
        </is>
      </c>
      <c r="G2254" s="66" t="n">
        <v>14.7</v>
      </c>
      <c r="H2254" s="172" t="inlineStr">
        <is>
          <t>Não</t>
        </is>
      </c>
      <c r="I2254" s="50" t="n"/>
    </row>
    <row r="2255">
      <c r="A2255" s="40" t="inlineStr">
        <is>
          <t>001343</t>
        </is>
      </c>
      <c r="B2255" s="41" t="inlineStr">
        <is>
          <t>PIMENTA CALABRESA EM FLOCOS</t>
        </is>
      </c>
      <c r="C2255" s="42" t="inlineStr">
        <is>
          <t>MP</t>
        </is>
      </c>
      <c r="D2255" s="42" t="inlineStr">
        <is>
          <t>KG</t>
        </is>
      </c>
      <c r="E2255" s="42" t="inlineStr">
        <is>
          <t>0029</t>
        </is>
      </c>
      <c r="F2255" s="70" t="inlineStr">
        <is>
          <t>Compras</t>
        </is>
      </c>
      <c r="G2255" s="71" t="n">
        <v>28.86</v>
      </c>
      <c r="H2255" s="172" t="inlineStr">
        <is>
          <t>Não</t>
        </is>
      </c>
      <c r="I2255" s="49" t="n"/>
    </row>
    <row r="2256">
      <c r="A2256" s="43" t="inlineStr">
        <is>
          <t>000414</t>
        </is>
      </c>
      <c r="B2256" s="44" t="inlineStr">
        <is>
          <t>PIMENTA DO REINO MOIDA</t>
        </is>
      </c>
      <c r="C2256" s="45" t="inlineStr">
        <is>
          <t>MP</t>
        </is>
      </c>
      <c r="D2256" s="45" t="inlineStr">
        <is>
          <t>KG</t>
        </is>
      </c>
      <c r="E2256" s="45" t="inlineStr">
        <is>
          <t>0029</t>
        </is>
      </c>
      <c r="F2256" s="70" t="inlineStr">
        <is>
          <t>Compras</t>
        </is>
      </c>
      <c r="G2256" s="66" t="n">
        <v>79.61</v>
      </c>
      <c r="H2256" s="172" t="inlineStr">
        <is>
          <t>Não</t>
        </is>
      </c>
      <c r="I2256" s="50" t="n"/>
    </row>
    <row r="2257">
      <c r="A2257" s="40" t="inlineStr">
        <is>
          <t>000451</t>
        </is>
      </c>
      <c r="B2257" s="41" t="inlineStr">
        <is>
          <t>PIMENTA ROSA</t>
        </is>
      </c>
      <c r="C2257" s="42" t="inlineStr">
        <is>
          <t>MP</t>
        </is>
      </c>
      <c r="D2257" s="42" t="inlineStr">
        <is>
          <t>KG</t>
        </is>
      </c>
      <c r="E2257" s="42" t="inlineStr">
        <is>
          <t>0029</t>
        </is>
      </c>
      <c r="F2257" s="70" t="inlineStr">
        <is>
          <t>Compras</t>
        </is>
      </c>
      <c r="G2257" s="71" t="n">
        <v>116</v>
      </c>
      <c r="H2257" s="172" t="inlineStr">
        <is>
          <t>Não</t>
        </is>
      </c>
      <c r="I2257" s="49" t="n"/>
    </row>
    <row r="2258">
      <c r="A2258" s="43" t="inlineStr">
        <is>
          <t>000617</t>
        </is>
      </c>
      <c r="B2258" s="44" t="inlineStr">
        <is>
          <t>PIMENTAO AMARELO</t>
        </is>
      </c>
      <c r="C2258" s="45" t="inlineStr">
        <is>
          <t>MP</t>
        </is>
      </c>
      <c r="D2258" s="45" t="inlineStr">
        <is>
          <t>KG</t>
        </is>
      </c>
      <c r="E2258" s="45" t="inlineStr">
        <is>
          <t>0036</t>
        </is>
      </c>
      <c r="F2258" s="70" t="inlineStr">
        <is>
          <t>Compras</t>
        </is>
      </c>
      <c r="G2258" s="66" t="n">
        <v>16.57</v>
      </c>
      <c r="H2258" s="172" t="inlineStr">
        <is>
          <t>Não</t>
        </is>
      </c>
      <c r="I2258" s="50" t="n"/>
    </row>
    <row r="2259">
      <c r="A2259" s="40" t="inlineStr">
        <is>
          <t>000618</t>
        </is>
      </c>
      <c r="B2259" s="41" t="inlineStr">
        <is>
          <t>PIMENTAO VERDE</t>
        </is>
      </c>
      <c r="C2259" s="42" t="inlineStr">
        <is>
          <t>MP</t>
        </is>
      </c>
      <c r="D2259" s="42" t="inlineStr">
        <is>
          <t>KG</t>
        </is>
      </c>
      <c r="E2259" s="42" t="inlineStr">
        <is>
          <t>0036</t>
        </is>
      </c>
      <c r="F2259" s="70" t="inlineStr">
        <is>
          <t>Compras</t>
        </is>
      </c>
      <c r="G2259" s="71" t="n">
        <v>14.5</v>
      </c>
      <c r="H2259" s="172" t="inlineStr">
        <is>
          <t>Não</t>
        </is>
      </c>
      <c r="I2259" s="49" t="n"/>
    </row>
    <row r="2260">
      <c r="A2260" s="43" t="inlineStr">
        <is>
          <t>000480</t>
        </is>
      </c>
      <c r="B2260" s="44" t="inlineStr">
        <is>
          <t>PIMENTAO VERMELHO</t>
        </is>
      </c>
      <c r="C2260" s="45" t="inlineStr">
        <is>
          <t>MP</t>
        </is>
      </c>
      <c r="D2260" s="45" t="inlineStr">
        <is>
          <t>KG</t>
        </is>
      </c>
      <c r="E2260" s="45" t="inlineStr">
        <is>
          <t>0036</t>
        </is>
      </c>
      <c r="F2260" s="70" t="inlineStr">
        <is>
          <t>Compras</t>
        </is>
      </c>
      <c r="G2260" s="66" t="n">
        <v>16.57</v>
      </c>
      <c r="H2260" s="172" t="inlineStr">
        <is>
          <t>Não</t>
        </is>
      </c>
      <c r="I2260" s="50" t="n"/>
    </row>
    <row r="2261">
      <c r="A2261" s="40" t="inlineStr">
        <is>
          <t>000059</t>
        </is>
      </c>
      <c r="B2261" s="41" t="inlineStr">
        <is>
          <t>PINA COLADA</t>
        </is>
      </c>
      <c r="C2261" s="42" t="inlineStr">
        <is>
          <t>PA</t>
        </is>
      </c>
      <c r="D2261" s="42" t="inlineStr">
        <is>
          <t>UN</t>
        </is>
      </c>
      <c r="E2261" s="42" t="inlineStr">
        <is>
          <t>0097</t>
        </is>
      </c>
      <c r="F2261" s="65" t="inlineStr">
        <is>
          <t>Venda</t>
        </is>
      </c>
      <c r="G2261" s="68" t="n">
        <v>0</v>
      </c>
      <c r="H2261" s="172" t="inlineStr">
        <is>
          <t>Não</t>
        </is>
      </c>
      <c r="I2261" s="47" t="inlineStr">
        <is>
          <t>200015</t>
        </is>
      </c>
    </row>
    <row r="2262">
      <c r="A2262" s="43" t="inlineStr">
        <is>
          <t>009855</t>
        </is>
      </c>
      <c r="B2262" s="44" t="inlineStr">
        <is>
          <t>PINCEL DE SILICONE CULINARIO</t>
        </is>
      </c>
      <c r="C2262" s="45" t="inlineStr">
        <is>
          <t>MC</t>
        </is>
      </c>
      <c r="D2262" s="45" t="inlineStr">
        <is>
          <t>UN</t>
        </is>
      </c>
      <c r="E2262" s="45" t="inlineStr">
        <is>
          <t>0080</t>
        </is>
      </c>
      <c r="F2262" s="70" t="inlineStr">
        <is>
          <t>Compras</t>
        </is>
      </c>
      <c r="G2262" s="69" t="n">
        <v>0</v>
      </c>
      <c r="H2262" s="172" t="inlineStr">
        <is>
          <t>Não</t>
        </is>
      </c>
      <c r="I2262" s="50" t="n"/>
    </row>
    <row r="2263">
      <c r="A2263" s="40" t="inlineStr">
        <is>
          <t>000172</t>
        </is>
      </c>
      <c r="B2263" s="41" t="inlineStr">
        <is>
          <t>PINCEL MARCA TEXTO AMARELO</t>
        </is>
      </c>
      <c r="C2263" s="42" t="inlineStr">
        <is>
          <t>MC</t>
        </is>
      </c>
      <c r="D2263" s="42" t="inlineStr">
        <is>
          <t>UN</t>
        </is>
      </c>
      <c r="E2263" s="42" t="inlineStr">
        <is>
          <t>0001</t>
        </is>
      </c>
      <c r="F2263" s="70" t="inlineStr">
        <is>
          <t>Compras</t>
        </is>
      </c>
      <c r="G2263" s="71" t="n">
        <v>1.88</v>
      </c>
      <c r="H2263" s="172" t="inlineStr">
        <is>
          <t>Não</t>
        </is>
      </c>
      <c r="I2263" s="49" t="n"/>
    </row>
    <row r="2264">
      <c r="A2264" s="43" t="inlineStr">
        <is>
          <t>009800</t>
        </is>
      </c>
      <c r="B2264" s="44" t="inlineStr">
        <is>
          <t>PINCEL MARCA TEXTO LARANJA</t>
        </is>
      </c>
      <c r="C2264" s="45" t="inlineStr">
        <is>
          <t>MC</t>
        </is>
      </c>
      <c r="D2264" s="45" t="inlineStr">
        <is>
          <t>UN</t>
        </is>
      </c>
      <c r="E2264" s="45" t="inlineStr">
        <is>
          <t>0001</t>
        </is>
      </c>
      <c r="F2264" s="70" t="inlineStr">
        <is>
          <t>Compras</t>
        </is>
      </c>
      <c r="G2264" s="66" t="n">
        <v>1.88</v>
      </c>
      <c r="H2264" s="172" t="inlineStr">
        <is>
          <t>Não</t>
        </is>
      </c>
      <c r="I2264" s="50" t="n"/>
    </row>
    <row r="2265">
      <c r="A2265" s="40" t="inlineStr">
        <is>
          <t>009801</t>
        </is>
      </c>
      <c r="B2265" s="41" t="inlineStr">
        <is>
          <t>PINCEL MARCA TEXTO ROSA</t>
        </is>
      </c>
      <c r="C2265" s="42" t="inlineStr">
        <is>
          <t>MC</t>
        </is>
      </c>
      <c r="D2265" s="42" t="inlineStr">
        <is>
          <t>UN</t>
        </is>
      </c>
      <c r="E2265" s="42" t="inlineStr">
        <is>
          <t>0001</t>
        </is>
      </c>
      <c r="F2265" s="70" t="inlineStr">
        <is>
          <t>Compras</t>
        </is>
      </c>
      <c r="G2265" s="71" t="n">
        <v>1.88</v>
      </c>
      <c r="H2265" s="172" t="inlineStr">
        <is>
          <t>Não</t>
        </is>
      </c>
      <c r="I2265" s="49" t="n"/>
    </row>
    <row r="2266">
      <c r="A2266" s="43" t="inlineStr">
        <is>
          <t>009802</t>
        </is>
      </c>
      <c r="B2266" s="44" t="inlineStr">
        <is>
          <t>PINCEL MARCA TEXTO VERDE</t>
        </is>
      </c>
      <c r="C2266" s="45" t="inlineStr">
        <is>
          <t>MC</t>
        </is>
      </c>
      <c r="D2266" s="45" t="inlineStr">
        <is>
          <t>UN</t>
        </is>
      </c>
      <c r="E2266" s="45" t="inlineStr">
        <is>
          <t>0001</t>
        </is>
      </c>
      <c r="F2266" s="70" t="inlineStr">
        <is>
          <t>Compras</t>
        </is>
      </c>
      <c r="G2266" s="66" t="n">
        <v>1.88</v>
      </c>
      <c r="H2266" s="172" t="inlineStr">
        <is>
          <t>Não</t>
        </is>
      </c>
      <c r="I2266" s="50" t="n"/>
    </row>
    <row r="2267">
      <c r="A2267" s="40" t="inlineStr">
        <is>
          <t>000160</t>
        </is>
      </c>
      <c r="B2267" s="41" t="inlineStr">
        <is>
          <t>PINCEL MARCADOR PERMANENTE</t>
        </is>
      </c>
      <c r="C2267" s="42" t="inlineStr">
        <is>
          <t>MC</t>
        </is>
      </c>
      <c r="D2267" s="42" t="inlineStr">
        <is>
          <t>UN</t>
        </is>
      </c>
      <c r="E2267" s="42" t="inlineStr">
        <is>
          <t>0001</t>
        </is>
      </c>
      <c r="F2267" s="70" t="inlineStr">
        <is>
          <t>Compras</t>
        </is>
      </c>
      <c r="G2267" s="71" t="n">
        <v>3.99</v>
      </c>
      <c r="H2267" s="172" t="inlineStr">
        <is>
          <t>Não</t>
        </is>
      </c>
      <c r="I2267" s="49" t="n"/>
    </row>
    <row r="2268">
      <c r="A2268" s="43" t="inlineStr">
        <is>
          <t>000554</t>
        </is>
      </c>
      <c r="B2268" s="44" t="inlineStr">
        <is>
          <t>PINCEL PARA MOLHO</t>
        </is>
      </c>
      <c r="C2268" s="45" t="inlineStr">
        <is>
          <t>MC</t>
        </is>
      </c>
      <c r="D2268" s="45" t="inlineStr">
        <is>
          <t>UN</t>
        </is>
      </c>
      <c r="E2268" s="45" t="inlineStr">
        <is>
          <t>0080</t>
        </is>
      </c>
      <c r="F2268" s="70" t="inlineStr">
        <is>
          <t>Compras</t>
        </is>
      </c>
      <c r="G2268" s="66" t="n">
        <v>18.6</v>
      </c>
      <c r="H2268" s="172" t="inlineStr">
        <is>
          <t>Não</t>
        </is>
      </c>
      <c r="I2268" s="50" t="n"/>
    </row>
    <row r="2269">
      <c r="A2269" s="40" t="inlineStr">
        <is>
          <t>010266</t>
        </is>
      </c>
      <c r="B2269" s="41" t="inlineStr">
        <is>
          <t>PINCEL PARA PINTURA TRINCHA 1 POLEGADA</t>
        </is>
      </c>
      <c r="C2269" s="42" t="inlineStr">
        <is>
          <t>MC</t>
        </is>
      </c>
      <c r="D2269" s="42" t="inlineStr">
        <is>
          <t>UN</t>
        </is>
      </c>
      <c r="E2269" s="42" t="inlineStr">
        <is>
          <t>0132</t>
        </is>
      </c>
      <c r="F2269" s="70" t="inlineStr">
        <is>
          <t>Compras</t>
        </is>
      </c>
      <c r="G2269" s="68" t="n">
        <v>0</v>
      </c>
      <c r="H2269" s="172" t="inlineStr">
        <is>
          <t>Não</t>
        </is>
      </c>
      <c r="I2269" s="49" t="n"/>
    </row>
    <row r="2270">
      <c r="A2270" s="43" t="inlineStr">
        <is>
          <t>009416</t>
        </is>
      </c>
      <c r="B2270" s="44" t="inlineStr">
        <is>
          <t>PINCEL PARA PINTURA TRINCHA 315 X 2 POLEGADA</t>
        </is>
      </c>
      <c r="C2270" s="45" t="inlineStr">
        <is>
          <t>MC</t>
        </is>
      </c>
      <c r="D2270" s="45" t="inlineStr">
        <is>
          <t>UN</t>
        </is>
      </c>
      <c r="E2270" s="45" t="inlineStr">
        <is>
          <t>0132</t>
        </is>
      </c>
      <c r="F2270" s="70" t="inlineStr">
        <is>
          <t>Compras</t>
        </is>
      </c>
      <c r="G2270" s="66" t="n">
        <v>9.9</v>
      </c>
      <c r="H2270" s="172" t="inlineStr">
        <is>
          <t>Não</t>
        </is>
      </c>
      <c r="I2270" s="50" t="n"/>
    </row>
    <row r="2271">
      <c r="A2271" s="40" t="inlineStr">
        <is>
          <t>009331</t>
        </is>
      </c>
      <c r="B2271" s="41" t="inlineStr">
        <is>
          <t>PINCEL PARA PINTURA TRINCHA 319 X 1 POLEGADA</t>
        </is>
      </c>
      <c r="C2271" s="42" t="inlineStr">
        <is>
          <t>MC</t>
        </is>
      </c>
      <c r="D2271" s="42" t="inlineStr">
        <is>
          <t>UN</t>
        </is>
      </c>
      <c r="E2271" s="42" t="inlineStr">
        <is>
          <t>0132</t>
        </is>
      </c>
      <c r="F2271" s="70" t="inlineStr">
        <is>
          <t>Compras</t>
        </is>
      </c>
      <c r="G2271" s="68" t="n">
        <v>0</v>
      </c>
      <c r="H2271" s="172" t="inlineStr">
        <is>
          <t>Não</t>
        </is>
      </c>
      <c r="I2271" s="49" t="n"/>
    </row>
    <row r="2272">
      <c r="A2272" s="43" t="inlineStr">
        <is>
          <t>009339</t>
        </is>
      </c>
      <c r="B2272" s="44" t="inlineStr">
        <is>
          <t>PINCEL PARA PINTURA TRINCHA 319 X 2 POLEGADA</t>
        </is>
      </c>
      <c r="C2272" s="45" t="inlineStr">
        <is>
          <t>MC</t>
        </is>
      </c>
      <c r="D2272" s="45" t="inlineStr">
        <is>
          <t>UN</t>
        </is>
      </c>
      <c r="E2272" s="45" t="inlineStr">
        <is>
          <t>0132</t>
        </is>
      </c>
      <c r="F2272" s="70" t="inlineStr">
        <is>
          <t>Compras</t>
        </is>
      </c>
      <c r="G2272" s="69" t="n">
        <v>0</v>
      </c>
      <c r="H2272" s="172" t="inlineStr">
        <is>
          <t>Não</t>
        </is>
      </c>
      <c r="I2272" s="50" t="n"/>
    </row>
    <row r="2273">
      <c r="A2273" s="40" t="inlineStr">
        <is>
          <t>010261</t>
        </is>
      </c>
      <c r="B2273" s="41" t="inlineStr">
        <is>
          <t>PINCEL PARA PINTURA TRINCHA 345 X 2 POLEGADA</t>
        </is>
      </c>
      <c r="C2273" s="42" t="inlineStr">
        <is>
          <t>MC</t>
        </is>
      </c>
      <c r="D2273" s="42" t="inlineStr">
        <is>
          <t>UN</t>
        </is>
      </c>
      <c r="E2273" s="42" t="inlineStr">
        <is>
          <t>0132</t>
        </is>
      </c>
      <c r="F2273" s="70" t="inlineStr">
        <is>
          <t>Compras</t>
        </is>
      </c>
      <c r="G2273" s="71" t="n">
        <v>26</v>
      </c>
      <c r="H2273" s="172" t="inlineStr">
        <is>
          <t>Não</t>
        </is>
      </c>
      <c r="I2273" s="49" t="n"/>
    </row>
    <row r="2274">
      <c r="A2274" s="43" t="inlineStr">
        <is>
          <t>009406</t>
        </is>
      </c>
      <c r="B2274" s="44" t="inlineStr">
        <is>
          <t>PINCEL PARA PINTURA TRINCHA 395 X 2 POLEGADA</t>
        </is>
      </c>
      <c r="C2274" s="45" t="inlineStr">
        <is>
          <t>MC</t>
        </is>
      </c>
      <c r="D2274" s="45" t="inlineStr">
        <is>
          <t>UN</t>
        </is>
      </c>
      <c r="E2274" s="45" t="inlineStr">
        <is>
          <t>0132</t>
        </is>
      </c>
      <c r="F2274" s="70" t="inlineStr">
        <is>
          <t>Compras</t>
        </is>
      </c>
      <c r="G2274" s="66" t="n">
        <v>8.699999999999999</v>
      </c>
      <c r="H2274" s="172" t="inlineStr">
        <is>
          <t>Não</t>
        </is>
      </c>
      <c r="I2274" s="50" t="n"/>
    </row>
    <row r="2275">
      <c r="A2275" s="40" t="inlineStr">
        <is>
          <t>009410</t>
        </is>
      </c>
      <c r="B2275" s="41" t="inlineStr">
        <is>
          <t>PINCEL PARA PINTURA TRINCHA 395 X 3/4 POLEGADA</t>
        </is>
      </c>
      <c r="C2275" s="42" t="inlineStr">
        <is>
          <t>MC</t>
        </is>
      </c>
      <c r="D2275" s="42" t="inlineStr">
        <is>
          <t>UN</t>
        </is>
      </c>
      <c r="E2275" s="42" t="inlineStr">
        <is>
          <t>0132</t>
        </is>
      </c>
      <c r="F2275" s="70" t="inlineStr">
        <is>
          <t>Compras</t>
        </is>
      </c>
      <c r="G2275" s="71" t="n">
        <v>21</v>
      </c>
      <c r="H2275" s="172" t="inlineStr">
        <is>
          <t>Não</t>
        </is>
      </c>
      <c r="I2275" s="49" t="n"/>
    </row>
    <row r="2276">
      <c r="A2276" s="43" t="inlineStr">
        <is>
          <t>010259</t>
        </is>
      </c>
      <c r="B2276" s="44" t="inlineStr">
        <is>
          <t>PINCEL PARA PINTURA TRINCHA 419 X 2 POLEGADA</t>
        </is>
      </c>
      <c r="C2276" s="45" t="inlineStr">
        <is>
          <t>MC</t>
        </is>
      </c>
      <c r="D2276" s="45" t="inlineStr">
        <is>
          <t>UN</t>
        </is>
      </c>
      <c r="E2276" s="45" t="inlineStr">
        <is>
          <t>0132</t>
        </is>
      </c>
      <c r="F2276" s="70" t="inlineStr">
        <is>
          <t>Compras</t>
        </is>
      </c>
      <c r="G2276" s="69" t="n">
        <v>0</v>
      </c>
      <c r="H2276" s="172" t="inlineStr">
        <is>
          <t>Não</t>
        </is>
      </c>
      <c r="I2276" s="50" t="n"/>
    </row>
    <row r="2277">
      <c r="A2277" s="40" t="inlineStr">
        <is>
          <t>010133</t>
        </is>
      </c>
      <c r="B2277" s="41" t="inlineStr">
        <is>
          <t>PINCEL PARA PINTURA TRINCHA 445 1/2 POLEGADAS</t>
        </is>
      </c>
      <c r="C2277" s="42" t="inlineStr">
        <is>
          <t>MC</t>
        </is>
      </c>
      <c r="D2277" s="42" t="inlineStr">
        <is>
          <t>UN</t>
        </is>
      </c>
      <c r="E2277" s="42" t="inlineStr">
        <is>
          <t>0132</t>
        </is>
      </c>
      <c r="F2277" s="70" t="inlineStr">
        <is>
          <t>Compras</t>
        </is>
      </c>
      <c r="G2277" s="71" t="n">
        <v>12</v>
      </c>
      <c r="H2277" s="172" t="inlineStr">
        <is>
          <t>Não</t>
        </is>
      </c>
      <c r="I2277" s="49" t="n"/>
    </row>
    <row r="2278">
      <c r="A2278" s="43" t="inlineStr">
        <is>
          <t>009467</t>
        </is>
      </c>
      <c r="B2278" s="44" t="inlineStr">
        <is>
          <t>PINCEL PARA PINTURA TRINCHA 500 X 2 POLEGADA</t>
        </is>
      </c>
      <c r="C2278" s="45" t="inlineStr">
        <is>
          <t>MC</t>
        </is>
      </c>
      <c r="D2278" s="45" t="inlineStr">
        <is>
          <t>UN</t>
        </is>
      </c>
      <c r="E2278" s="45" t="inlineStr">
        <is>
          <t>0132</t>
        </is>
      </c>
      <c r="F2278" s="70" t="inlineStr">
        <is>
          <t>Compras</t>
        </is>
      </c>
      <c r="G2278" s="66" t="n">
        <v>12.5</v>
      </c>
      <c r="H2278" s="172" t="inlineStr">
        <is>
          <t>Não</t>
        </is>
      </c>
      <c r="I2278" s="50" t="n"/>
    </row>
    <row r="2279">
      <c r="A2279" s="40" t="inlineStr">
        <is>
          <t>010263</t>
        </is>
      </c>
      <c r="B2279" s="41" t="inlineStr">
        <is>
          <t>PINCEL PARA PINTURA TRINCHA 695 X 1 POLEGADA</t>
        </is>
      </c>
      <c r="C2279" s="42" t="inlineStr">
        <is>
          <t>MC</t>
        </is>
      </c>
      <c r="D2279" s="42" t="inlineStr">
        <is>
          <t>UN</t>
        </is>
      </c>
      <c r="E2279" s="42" t="inlineStr">
        <is>
          <t>0132</t>
        </is>
      </c>
      <c r="F2279" s="70" t="inlineStr">
        <is>
          <t>Compras</t>
        </is>
      </c>
      <c r="G2279" s="71" t="n">
        <v>5.7</v>
      </c>
      <c r="H2279" s="172" t="inlineStr">
        <is>
          <t>Não</t>
        </is>
      </c>
      <c r="I2279" s="49" t="n"/>
    </row>
    <row r="2280">
      <c r="A2280" s="43" t="inlineStr">
        <is>
          <t>000269</t>
        </is>
      </c>
      <c r="B2280" s="44" t="inlineStr">
        <is>
          <t>PINCEL PILOT QUADRO BRANCO</t>
        </is>
      </c>
      <c r="C2280" s="45" t="inlineStr">
        <is>
          <t>MC</t>
        </is>
      </c>
      <c r="D2280" s="45" t="inlineStr">
        <is>
          <t>UN</t>
        </is>
      </c>
      <c r="E2280" s="45" t="inlineStr">
        <is>
          <t>0001</t>
        </is>
      </c>
      <c r="F2280" s="70" t="inlineStr">
        <is>
          <t>Compras</t>
        </is>
      </c>
      <c r="G2280" s="69" t="n">
        <v>0</v>
      </c>
      <c r="H2280" s="172" t="inlineStr">
        <is>
          <t>Não</t>
        </is>
      </c>
      <c r="I2280" s="50" t="n"/>
    </row>
    <row r="2281">
      <c r="A2281" s="40" t="inlineStr">
        <is>
          <t>009550</t>
        </is>
      </c>
      <c r="B2281" s="41" t="inlineStr">
        <is>
          <t>PINCEL REDONDO N 0</t>
        </is>
      </c>
      <c r="C2281" s="42" t="inlineStr">
        <is>
          <t>MC</t>
        </is>
      </c>
      <c r="D2281" s="42" t="inlineStr">
        <is>
          <t>UN</t>
        </is>
      </c>
      <c r="E2281" s="42" t="inlineStr">
        <is>
          <t>0134</t>
        </is>
      </c>
      <c r="F2281" s="70" t="inlineStr">
        <is>
          <t>Compras</t>
        </is>
      </c>
      <c r="G2281" s="68" t="n">
        <v>0</v>
      </c>
      <c r="H2281" s="172" t="inlineStr">
        <is>
          <t>Não</t>
        </is>
      </c>
      <c r="I2281" s="49" t="n"/>
    </row>
    <row r="2282">
      <c r="A2282" s="43" t="inlineStr">
        <is>
          <t>009552</t>
        </is>
      </c>
      <c r="B2282" s="44" t="inlineStr">
        <is>
          <t>PINCEL REDONDO N 12</t>
        </is>
      </c>
      <c r="C2282" s="45" t="inlineStr">
        <is>
          <t>MC</t>
        </is>
      </c>
      <c r="D2282" s="45" t="inlineStr">
        <is>
          <t>UN</t>
        </is>
      </c>
      <c r="E2282" s="45" t="inlineStr">
        <is>
          <t>0134</t>
        </is>
      </c>
      <c r="F2282" s="70" t="inlineStr">
        <is>
          <t>Compras</t>
        </is>
      </c>
      <c r="G2282" s="69" t="n">
        <v>0</v>
      </c>
      <c r="H2282" s="172" t="inlineStr">
        <is>
          <t>Não</t>
        </is>
      </c>
      <c r="I2282" s="50" t="n"/>
    </row>
    <row r="2283">
      <c r="A2283" s="40" t="inlineStr">
        <is>
          <t>009551</t>
        </is>
      </c>
      <c r="B2283" s="41" t="inlineStr">
        <is>
          <t>PINCEL REDONDO N 16</t>
        </is>
      </c>
      <c r="C2283" s="42" t="inlineStr">
        <is>
          <t>MC</t>
        </is>
      </c>
      <c r="D2283" s="42" t="inlineStr">
        <is>
          <t>UN</t>
        </is>
      </c>
      <c r="E2283" s="42" t="inlineStr">
        <is>
          <t>0134</t>
        </is>
      </c>
      <c r="F2283" s="70" t="inlineStr">
        <is>
          <t>Compras</t>
        </is>
      </c>
      <c r="G2283" s="68" t="n">
        <v>0</v>
      </c>
      <c r="H2283" s="172" t="inlineStr">
        <is>
          <t>Não</t>
        </is>
      </c>
      <c r="I2283" s="49" t="n"/>
    </row>
    <row r="2284">
      <c r="A2284" s="43" t="inlineStr">
        <is>
          <t>009549</t>
        </is>
      </c>
      <c r="B2284" s="44" t="inlineStr">
        <is>
          <t>PINCEL REDONDO N 20</t>
        </is>
      </c>
      <c r="C2284" s="45" t="inlineStr">
        <is>
          <t>MC</t>
        </is>
      </c>
      <c r="D2284" s="45" t="inlineStr">
        <is>
          <t>UN</t>
        </is>
      </c>
      <c r="E2284" s="45" t="inlineStr">
        <is>
          <t>0134</t>
        </is>
      </c>
      <c r="F2284" s="70" t="inlineStr">
        <is>
          <t>Compras</t>
        </is>
      </c>
      <c r="G2284" s="69" t="n">
        <v>0</v>
      </c>
      <c r="H2284" s="172" t="inlineStr">
        <is>
          <t>Não</t>
        </is>
      </c>
      <c r="I2284" s="50" t="n"/>
    </row>
    <row r="2285">
      <c r="A2285" s="40" t="inlineStr">
        <is>
          <t>000361</t>
        </is>
      </c>
      <c r="B2285" s="41" t="inlineStr">
        <is>
          <t>PINGA 51 965ML</t>
        </is>
      </c>
      <c r="C2285" s="42" t="inlineStr">
        <is>
          <t>ME</t>
        </is>
      </c>
      <c r="D2285" s="42" t="inlineStr">
        <is>
          <t>LT</t>
        </is>
      </c>
      <c r="E2285" s="42" t="inlineStr">
        <is>
          <t>0023</t>
        </is>
      </c>
      <c r="F2285" s="70" t="inlineStr">
        <is>
          <t>Compras</t>
        </is>
      </c>
      <c r="G2285" s="71" t="n">
        <v>12.2176</v>
      </c>
      <c r="H2285" s="172" t="inlineStr">
        <is>
          <t>Não</t>
        </is>
      </c>
      <c r="I2285" s="49" t="n"/>
    </row>
    <row r="2286">
      <c r="A2286" s="43" t="inlineStr">
        <is>
          <t>002002</t>
        </is>
      </c>
      <c r="B2286" s="44" t="inlineStr">
        <is>
          <t>PIPOCA</t>
        </is>
      </c>
      <c r="C2286" s="45" t="inlineStr">
        <is>
          <t>MR</t>
        </is>
      </c>
      <c r="D2286" s="45" t="inlineStr">
        <is>
          <t>UN</t>
        </is>
      </c>
      <c r="E2286" s="45" t="inlineStr">
        <is>
          <t>0031</t>
        </is>
      </c>
      <c r="F2286" s="70" t="inlineStr">
        <is>
          <t>Compras</t>
        </is>
      </c>
      <c r="G2286" s="69" t="n">
        <v>0</v>
      </c>
      <c r="H2286" s="173" t="inlineStr">
        <is>
          <t>Sim</t>
        </is>
      </c>
      <c r="I2286" s="50" t="n"/>
    </row>
    <row r="2287">
      <c r="A2287" s="40" t="inlineStr">
        <is>
          <t>001946</t>
        </is>
      </c>
      <c r="B2287" s="41" t="inlineStr">
        <is>
          <t>PIRANGA</t>
        </is>
      </c>
      <c r="C2287" s="42" t="inlineStr">
        <is>
          <t>PA</t>
        </is>
      </c>
      <c r="D2287" s="42" t="inlineStr">
        <is>
          <t>UN</t>
        </is>
      </c>
      <c r="E2287" s="42" t="inlineStr">
        <is>
          <t>0119</t>
        </is>
      </c>
      <c r="F2287" s="65" t="inlineStr">
        <is>
          <t>Venda</t>
        </is>
      </c>
      <c r="G2287" s="71" t="n">
        <v>13.99</v>
      </c>
      <c r="H2287" s="172" t="inlineStr">
        <is>
          <t>Não</t>
        </is>
      </c>
      <c r="I2287" s="47" t="inlineStr">
        <is>
          <t>78989056877224</t>
        </is>
      </c>
    </row>
    <row r="2288">
      <c r="A2288" s="43" t="inlineStr">
        <is>
          <t>000540</t>
        </is>
      </c>
      <c r="B2288" s="44" t="inlineStr">
        <is>
          <t>PIRES DE CAFE 9 CM</t>
        </is>
      </c>
      <c r="C2288" s="45" t="inlineStr">
        <is>
          <t>MC</t>
        </is>
      </c>
      <c r="D2288" s="45" t="inlineStr">
        <is>
          <t>UN</t>
        </is>
      </c>
      <c r="E2288" s="45" t="inlineStr">
        <is>
          <t>0079</t>
        </is>
      </c>
      <c r="F2288" s="70" t="inlineStr">
        <is>
          <t>Compras</t>
        </is>
      </c>
      <c r="G2288" s="69" t="n">
        <v>0</v>
      </c>
      <c r="H2288" s="172" t="inlineStr">
        <is>
          <t>Não</t>
        </is>
      </c>
      <c r="I2288" s="50" t="n"/>
    </row>
    <row r="2289">
      <c r="A2289" s="40" t="inlineStr">
        <is>
          <t>010111</t>
        </is>
      </c>
      <c r="B2289" s="41" t="inlineStr">
        <is>
          <t>PISO GAIL 300X300X12MM</t>
        </is>
      </c>
      <c r="C2289" s="42" t="inlineStr">
        <is>
          <t>MC</t>
        </is>
      </c>
      <c r="D2289" s="42" t="inlineStr">
        <is>
          <t>MT</t>
        </is>
      </c>
      <c r="E2289" s="42" t="inlineStr">
        <is>
          <t>0132</t>
        </is>
      </c>
      <c r="F2289" s="70" t="inlineStr">
        <is>
          <t>Compras</t>
        </is>
      </c>
      <c r="G2289" s="71" t="n">
        <v>20.7</v>
      </c>
      <c r="H2289" s="172" t="inlineStr">
        <is>
          <t>Não</t>
        </is>
      </c>
      <c r="I2289" s="49" t="n"/>
    </row>
    <row r="2290">
      <c r="A2290" s="43" t="inlineStr">
        <is>
          <t>009368</t>
        </is>
      </c>
      <c r="B2290" s="44" t="inlineStr">
        <is>
          <t>PISO LAMINADO</t>
        </is>
      </c>
      <c r="C2290" s="45" t="inlineStr">
        <is>
          <t>MC</t>
        </is>
      </c>
      <c r="D2290" s="45" t="inlineStr">
        <is>
          <t>MT</t>
        </is>
      </c>
      <c r="E2290" s="45" t="inlineStr">
        <is>
          <t>0132</t>
        </is>
      </c>
      <c r="F2290" s="70" t="inlineStr">
        <is>
          <t>Compras</t>
        </is>
      </c>
      <c r="G2290" s="66" t="n">
        <v>4350</v>
      </c>
      <c r="H2290" s="172" t="inlineStr">
        <is>
          <t>Não</t>
        </is>
      </c>
      <c r="I2290" s="50" t="n"/>
    </row>
    <row r="2291">
      <c r="A2291" s="40" t="inlineStr">
        <is>
          <t>010348</t>
        </is>
      </c>
      <c r="B2291" s="41" t="inlineStr">
        <is>
          <t>PISO PORCELANATO BANDEIRANTES AMENDOA AC 60X60CM</t>
        </is>
      </c>
      <c r="C2291" s="42" t="inlineStr">
        <is>
          <t>MC</t>
        </is>
      </c>
      <c r="D2291" s="42" t="inlineStr">
        <is>
          <t>MT</t>
        </is>
      </c>
      <c r="E2291" s="42" t="inlineStr">
        <is>
          <t>0132</t>
        </is>
      </c>
      <c r="F2291" s="70" t="inlineStr">
        <is>
          <t>Compras</t>
        </is>
      </c>
      <c r="G2291" s="68" t="n">
        <v>0</v>
      </c>
      <c r="H2291" s="172" t="inlineStr">
        <is>
          <t>Não</t>
        </is>
      </c>
      <c r="I2291" s="49" t="n"/>
    </row>
    <row r="2292">
      <c r="A2292" s="43" t="inlineStr">
        <is>
          <t>009706</t>
        </is>
      </c>
      <c r="B2292" s="44" t="inlineStr">
        <is>
          <t>PISO VINILICO</t>
        </is>
      </c>
      <c r="C2292" s="45" t="inlineStr">
        <is>
          <t>MC</t>
        </is>
      </c>
      <c r="D2292" s="45" t="inlineStr">
        <is>
          <t>MT</t>
        </is>
      </c>
      <c r="E2292" s="45" t="inlineStr">
        <is>
          <t>0132</t>
        </is>
      </c>
      <c r="F2292" s="70" t="inlineStr">
        <is>
          <t>Compras</t>
        </is>
      </c>
      <c r="G2292" s="66" t="n">
        <v>190.5</v>
      </c>
      <c r="H2292" s="172" t="inlineStr">
        <is>
          <t>Não</t>
        </is>
      </c>
      <c r="I2292" s="50" t="n"/>
    </row>
    <row r="2293">
      <c r="A2293" s="40" t="inlineStr">
        <is>
          <t>000690</t>
        </is>
      </c>
      <c r="B2293" s="41" t="inlineStr">
        <is>
          <t>PISTOLA WAP</t>
        </is>
      </c>
      <c r="C2293" s="42" t="inlineStr">
        <is>
          <t>MC</t>
        </is>
      </c>
      <c r="D2293" s="42" t="inlineStr">
        <is>
          <t>UN</t>
        </is>
      </c>
      <c r="E2293" s="42" t="inlineStr">
        <is>
          <t>0132</t>
        </is>
      </c>
      <c r="F2293" s="70" t="inlineStr">
        <is>
          <t>Compras</t>
        </is>
      </c>
      <c r="G2293" s="71" t="n">
        <v>14.28</v>
      </c>
      <c r="H2293" s="172" t="inlineStr">
        <is>
          <t>Não</t>
        </is>
      </c>
      <c r="I2293" s="49" t="n"/>
    </row>
    <row r="2294">
      <c r="A2294" s="43" t="inlineStr">
        <is>
          <t>009966</t>
        </is>
      </c>
      <c r="B2294" s="44" t="inlineStr">
        <is>
          <t>PLACA CAIXA CENTRAL PARA MOTOR DE PORTAO</t>
        </is>
      </c>
      <c r="C2294" s="45" t="inlineStr">
        <is>
          <t>MC</t>
        </is>
      </c>
      <c r="D2294" s="45" t="inlineStr">
        <is>
          <t>UN</t>
        </is>
      </c>
      <c r="E2294" s="45" t="inlineStr">
        <is>
          <t>0132</t>
        </is>
      </c>
      <c r="F2294" s="70" t="inlineStr">
        <is>
          <t>Compras</t>
        </is>
      </c>
      <c r="G2294" s="66" t="n">
        <v>484</v>
      </c>
      <c r="H2294" s="172" t="inlineStr">
        <is>
          <t>Não</t>
        </is>
      </c>
      <c r="I2294" s="50" t="n"/>
    </row>
    <row r="2295">
      <c r="A2295" s="40" t="inlineStr">
        <is>
          <t>010355</t>
        </is>
      </c>
      <c r="B2295" s="41" t="inlineStr">
        <is>
          <t>PLACA DE DRYWALL 1,20M X 1,80M X 12,5MM</t>
        </is>
      </c>
      <c r="C2295" s="42" t="inlineStr">
        <is>
          <t>MC</t>
        </is>
      </c>
      <c r="D2295" s="42" t="inlineStr">
        <is>
          <t>UN</t>
        </is>
      </c>
      <c r="E2295" s="42" t="inlineStr">
        <is>
          <t>0132</t>
        </is>
      </c>
      <c r="F2295" s="70" t="inlineStr">
        <is>
          <t>Compras</t>
        </is>
      </c>
      <c r="G2295" s="68" t="n">
        <v>0</v>
      </c>
      <c r="H2295" s="172" t="inlineStr">
        <is>
          <t>Não</t>
        </is>
      </c>
      <c r="I2295" s="49" t="n"/>
    </row>
    <row r="2296">
      <c r="A2296" s="43" t="inlineStr">
        <is>
          <t>010189</t>
        </is>
      </c>
      <c r="B2296" s="44" t="inlineStr">
        <is>
          <t>PLACA INDICACAO AMBIENTE TRILHO 20X7</t>
        </is>
      </c>
      <c r="C2296" s="45" t="inlineStr">
        <is>
          <t>MC</t>
        </is>
      </c>
      <c r="D2296" s="45" t="inlineStr">
        <is>
          <t>UN</t>
        </is>
      </c>
      <c r="E2296" s="45" t="inlineStr">
        <is>
          <t>0132</t>
        </is>
      </c>
      <c r="F2296" s="70" t="inlineStr">
        <is>
          <t>Compras</t>
        </is>
      </c>
      <c r="G2296" s="69" t="n">
        <v>0</v>
      </c>
      <c r="H2296" s="172" t="inlineStr">
        <is>
          <t>Não</t>
        </is>
      </c>
      <c r="I2296" s="50" t="n"/>
    </row>
    <row r="2297">
      <c r="A2297" s="40" t="inlineStr">
        <is>
          <t>009939</t>
        </is>
      </c>
      <c r="B2297" s="41" t="inlineStr">
        <is>
          <t>PLACA ISOPOR EPS</t>
        </is>
      </c>
      <c r="C2297" s="42" t="inlineStr">
        <is>
          <t>MC</t>
        </is>
      </c>
      <c r="D2297" s="42" t="inlineStr">
        <is>
          <t>UN</t>
        </is>
      </c>
      <c r="E2297" s="42" t="inlineStr">
        <is>
          <t>0132</t>
        </is>
      </c>
      <c r="F2297" s="70" t="inlineStr">
        <is>
          <t>Compras</t>
        </is>
      </c>
      <c r="G2297" s="71" t="n">
        <v>65</v>
      </c>
      <c r="H2297" s="172" t="inlineStr">
        <is>
          <t>Não</t>
        </is>
      </c>
      <c r="I2297" s="49" t="n"/>
    </row>
    <row r="2298">
      <c r="A2298" s="43" t="inlineStr">
        <is>
          <t>001372</t>
        </is>
      </c>
      <c r="B2298" s="44" t="inlineStr">
        <is>
          <t>PLACA SINALIZACAO</t>
        </is>
      </c>
      <c r="C2298" s="45" t="inlineStr">
        <is>
          <t>MC</t>
        </is>
      </c>
      <c r="D2298" s="45" t="inlineStr">
        <is>
          <t>UN</t>
        </is>
      </c>
      <c r="E2298" s="45" t="inlineStr">
        <is>
          <t>0073</t>
        </is>
      </c>
      <c r="F2298" s="70" t="inlineStr">
        <is>
          <t>Compras</t>
        </is>
      </c>
      <c r="G2298" s="66" t="n">
        <v>110</v>
      </c>
      <c r="H2298" s="172" t="inlineStr">
        <is>
          <t>Não</t>
        </is>
      </c>
      <c r="I2298" s="50" t="n"/>
    </row>
    <row r="2299">
      <c r="A2299" s="40" t="inlineStr">
        <is>
          <t>010246</t>
        </is>
      </c>
      <c r="B2299" s="41" t="inlineStr">
        <is>
          <t>PLACA UNIVERSAL PARA AR CONDICIONAL SPLIT</t>
        </is>
      </c>
      <c r="C2299" s="42" t="inlineStr">
        <is>
          <t>MC</t>
        </is>
      </c>
      <c r="D2299" s="42" t="inlineStr">
        <is>
          <t>UN</t>
        </is>
      </c>
      <c r="E2299" s="42" t="inlineStr">
        <is>
          <t>0132</t>
        </is>
      </c>
      <c r="F2299" s="70" t="inlineStr">
        <is>
          <t>Compras</t>
        </is>
      </c>
      <c r="G2299" s="71" t="n">
        <v>199.85</v>
      </c>
      <c r="H2299" s="172" t="inlineStr">
        <is>
          <t>Não</t>
        </is>
      </c>
      <c r="I2299" s="49" t="n"/>
    </row>
    <row r="2300">
      <c r="A2300" s="43" t="inlineStr">
        <is>
          <t>002174</t>
        </is>
      </c>
      <c r="B2300" s="44" t="inlineStr">
        <is>
          <t>PLAFON BRANCO LED</t>
        </is>
      </c>
      <c r="C2300" s="45" t="inlineStr">
        <is>
          <t>MC</t>
        </is>
      </c>
      <c r="D2300" s="45" t="inlineStr">
        <is>
          <t>UN</t>
        </is>
      </c>
      <c r="E2300" s="45" t="inlineStr">
        <is>
          <t>0132</t>
        </is>
      </c>
      <c r="F2300" s="70" t="inlineStr">
        <is>
          <t>Compras</t>
        </is>
      </c>
      <c r="G2300" s="66" t="n">
        <v>181.73</v>
      </c>
      <c r="H2300" s="172" t="inlineStr">
        <is>
          <t>Não</t>
        </is>
      </c>
      <c r="I2300" s="50" t="n"/>
    </row>
    <row r="2301">
      <c r="A2301" s="40" t="inlineStr">
        <is>
          <t>001618</t>
        </is>
      </c>
      <c r="B2301" s="41" t="inlineStr">
        <is>
          <t>PLANEJAMENTO, COORDENA  O, PRO</t>
        </is>
      </c>
      <c r="C2301" s="42" t="inlineStr">
        <is>
          <t>SV</t>
        </is>
      </c>
      <c r="D2301" s="42" t="inlineStr">
        <is>
          <t>UN</t>
        </is>
      </c>
      <c r="E2301" s="42" t="inlineStr">
        <is>
          <t>(VAZ</t>
        </is>
      </c>
      <c r="F2301" s="70" t="inlineStr">
        <is>
          <t>Compras</t>
        </is>
      </c>
      <c r="G2301" s="68" t="n">
        <v>0</v>
      </c>
      <c r="H2301" s="172" t="inlineStr">
        <is>
          <t>Não</t>
        </is>
      </c>
      <c r="I2301" s="49" t="n"/>
    </row>
    <row r="2302">
      <c r="A2302" s="43" t="inlineStr">
        <is>
          <t>000801</t>
        </is>
      </c>
      <c r="B2302" s="44" t="inlineStr">
        <is>
          <t>PLANTAS/JARDINAGEM</t>
        </is>
      </c>
      <c r="C2302" s="45" t="inlineStr">
        <is>
          <t>MC</t>
        </is>
      </c>
      <c r="D2302" s="45" t="inlineStr">
        <is>
          <t>UN</t>
        </is>
      </c>
      <c r="E2302" s="45" t="inlineStr">
        <is>
          <t>0132</t>
        </is>
      </c>
      <c r="F2302" s="70" t="inlineStr">
        <is>
          <t>Compras</t>
        </is>
      </c>
      <c r="G2302" s="69" t="n">
        <v>0</v>
      </c>
      <c r="H2302" s="172" t="inlineStr">
        <is>
          <t>Não</t>
        </is>
      </c>
      <c r="I2302" s="50" t="n"/>
    </row>
    <row r="2303">
      <c r="A2303" s="40" t="inlineStr">
        <is>
          <t>010272</t>
        </is>
      </c>
      <c r="B2303" s="41" t="inlineStr">
        <is>
          <t>PLAQUETA REFRATARIA 23X11X2,5</t>
        </is>
      </c>
      <c r="C2303" s="42" t="inlineStr">
        <is>
          <t>MC</t>
        </is>
      </c>
      <c r="D2303" s="42" t="inlineStr">
        <is>
          <t>UN</t>
        </is>
      </c>
      <c r="E2303" s="42" t="inlineStr">
        <is>
          <t>0132</t>
        </is>
      </c>
      <c r="F2303" s="70" t="inlineStr">
        <is>
          <t>Compras</t>
        </is>
      </c>
      <c r="G2303" s="71" t="n">
        <v>8.9</v>
      </c>
      <c r="H2303" s="172" t="inlineStr">
        <is>
          <t>Não</t>
        </is>
      </c>
      <c r="I2303" s="49" t="n"/>
    </row>
    <row r="2304">
      <c r="A2304" s="43" t="inlineStr">
        <is>
          <t>000119</t>
        </is>
      </c>
      <c r="B2304" s="44" t="inlineStr">
        <is>
          <t>PLASTICO FILME PVC ROLOPAC</t>
        </is>
      </c>
      <c r="C2304" s="45" t="inlineStr">
        <is>
          <t>MC</t>
        </is>
      </c>
      <c r="D2304" s="45" t="inlineStr">
        <is>
          <t>UN</t>
        </is>
      </c>
      <c r="E2304" s="45" t="inlineStr">
        <is>
          <t>0075</t>
        </is>
      </c>
      <c r="F2304" s="70" t="inlineStr">
        <is>
          <t>Compras</t>
        </is>
      </c>
      <c r="G2304" s="66" t="n">
        <v>77</v>
      </c>
      <c r="H2304" s="172" t="inlineStr">
        <is>
          <t>Não</t>
        </is>
      </c>
      <c r="I2304" s="50" t="n"/>
    </row>
    <row r="2305">
      <c r="A2305" s="40" t="inlineStr">
        <is>
          <t>001385</t>
        </is>
      </c>
      <c r="B2305" s="41" t="inlineStr">
        <is>
          <t>PLATAFORMA PARA ACESSIBILIDADE</t>
        </is>
      </c>
      <c r="C2305" s="42" t="inlineStr">
        <is>
          <t>AI</t>
        </is>
      </c>
      <c r="D2305" s="42" t="inlineStr">
        <is>
          <t>UN</t>
        </is>
      </c>
      <c r="E2305" s="42" t="inlineStr">
        <is>
          <t>0002</t>
        </is>
      </c>
      <c r="F2305" s="70" t="inlineStr">
        <is>
          <t>Compras</t>
        </is>
      </c>
      <c r="G2305" s="71" t="n">
        <v>8333.33</v>
      </c>
      <c r="H2305" s="172" t="inlineStr">
        <is>
          <t>Não</t>
        </is>
      </c>
      <c r="I2305" s="49" t="n"/>
    </row>
    <row r="2306">
      <c r="A2306" s="43" t="inlineStr">
        <is>
          <t>001630</t>
        </is>
      </c>
      <c r="B2306" s="44" t="inlineStr">
        <is>
          <t>PLATAFORMA TIPO TESOURA ELETRICA</t>
        </is>
      </c>
      <c r="C2306" s="45" t="inlineStr">
        <is>
          <t>AI</t>
        </is>
      </c>
      <c r="D2306" s="45" t="inlineStr">
        <is>
          <t>UN</t>
        </is>
      </c>
      <c r="E2306" s="45" t="inlineStr">
        <is>
          <t>0002</t>
        </is>
      </c>
      <c r="F2306" s="70" t="inlineStr">
        <is>
          <t>Compras</t>
        </is>
      </c>
      <c r="G2306" s="69" t="n">
        <v>0</v>
      </c>
      <c r="H2306" s="172" t="inlineStr">
        <is>
          <t>Não</t>
        </is>
      </c>
      <c r="I2306" s="50" t="n"/>
    </row>
    <row r="2307">
      <c r="A2307" s="40" t="inlineStr">
        <is>
          <t>009361</t>
        </is>
      </c>
      <c r="B2307" s="41" t="inlineStr">
        <is>
          <t>PLUG FEMEA 2 POLOS 10A</t>
        </is>
      </c>
      <c r="C2307" s="42" t="inlineStr">
        <is>
          <t>MC</t>
        </is>
      </c>
      <c r="D2307" s="42" t="inlineStr">
        <is>
          <t>UN</t>
        </is>
      </c>
      <c r="E2307" s="42" t="inlineStr">
        <is>
          <t>0132</t>
        </is>
      </c>
      <c r="F2307" s="70" t="inlineStr">
        <is>
          <t>Compras</t>
        </is>
      </c>
      <c r="G2307" s="71" t="n">
        <v>11</v>
      </c>
      <c r="H2307" s="172" t="inlineStr">
        <is>
          <t>Não</t>
        </is>
      </c>
      <c r="I2307" s="49" t="n"/>
    </row>
    <row r="2308">
      <c r="A2308" s="43" t="inlineStr">
        <is>
          <t>009501</t>
        </is>
      </c>
      <c r="B2308" s="44" t="inlineStr">
        <is>
          <t>PLUG FEMEA 3 POLOS 10A</t>
        </is>
      </c>
      <c r="C2308" s="45" t="inlineStr">
        <is>
          <t>MC</t>
        </is>
      </c>
      <c r="D2308" s="45" t="inlineStr">
        <is>
          <t>UN</t>
        </is>
      </c>
      <c r="E2308" s="45" t="inlineStr">
        <is>
          <t>0132</t>
        </is>
      </c>
      <c r="F2308" s="70" t="inlineStr">
        <is>
          <t>Compras</t>
        </is>
      </c>
      <c r="G2308" s="69" t="n">
        <v>0</v>
      </c>
      <c r="H2308" s="172" t="inlineStr">
        <is>
          <t>Não</t>
        </is>
      </c>
      <c r="I2308" s="50" t="n"/>
    </row>
    <row r="2309">
      <c r="A2309" s="40" t="inlineStr">
        <is>
          <t>010277</t>
        </is>
      </c>
      <c r="B2309" s="41" t="inlineStr">
        <is>
          <t>PLUG INDUSTRIAL 3 POLOS + TERRA 63A 220/240V</t>
        </is>
      </c>
      <c r="C2309" s="42" t="inlineStr">
        <is>
          <t>MC</t>
        </is>
      </c>
      <c r="D2309" s="42" t="inlineStr">
        <is>
          <t>UN</t>
        </is>
      </c>
      <c r="E2309" s="42" t="inlineStr">
        <is>
          <t>0132</t>
        </is>
      </c>
      <c r="F2309" s="70" t="inlineStr">
        <is>
          <t>Compras</t>
        </is>
      </c>
      <c r="G2309" s="71" t="n">
        <v>213.19</v>
      </c>
      <c r="H2309" s="172" t="inlineStr">
        <is>
          <t>Não</t>
        </is>
      </c>
      <c r="I2309" s="49" t="n"/>
    </row>
    <row r="2310">
      <c r="A2310" s="43" t="inlineStr">
        <is>
          <t>010377</t>
        </is>
      </c>
      <c r="B2310" s="44" t="inlineStr">
        <is>
          <t>PLUG MACHO 2 PINOS 10A</t>
        </is>
      </c>
      <c r="C2310" s="45" t="inlineStr">
        <is>
          <t>MC</t>
        </is>
      </c>
      <c r="D2310" s="45" t="inlineStr">
        <is>
          <t>UN</t>
        </is>
      </c>
      <c r="E2310" s="45" t="inlineStr">
        <is>
          <t>0132</t>
        </is>
      </c>
      <c r="F2310" s="70" t="inlineStr">
        <is>
          <t>Compras</t>
        </is>
      </c>
      <c r="G2310" s="69" t="n">
        <v>0</v>
      </c>
      <c r="H2310" s="172" t="inlineStr">
        <is>
          <t>Não</t>
        </is>
      </c>
      <c r="I2310" s="50" t="n"/>
    </row>
    <row r="2311">
      <c r="A2311" s="40" t="inlineStr">
        <is>
          <t>009613</t>
        </is>
      </c>
      <c r="B2311" s="41" t="inlineStr">
        <is>
          <t>PLUG MACHO 2 POLOS 20A</t>
        </is>
      </c>
      <c r="C2311" s="42" t="inlineStr">
        <is>
          <t>MC</t>
        </is>
      </c>
      <c r="D2311" s="42" t="inlineStr">
        <is>
          <t>UN</t>
        </is>
      </c>
      <c r="E2311" s="42" t="inlineStr">
        <is>
          <t>0132</t>
        </is>
      </c>
      <c r="F2311" s="70" t="inlineStr">
        <is>
          <t>Compras</t>
        </is>
      </c>
      <c r="G2311" s="71" t="n">
        <v>12</v>
      </c>
      <c r="H2311" s="172" t="inlineStr">
        <is>
          <t>Não</t>
        </is>
      </c>
      <c r="I2311" s="49" t="n"/>
    </row>
    <row r="2312">
      <c r="A2312" s="43" t="inlineStr">
        <is>
          <t>010376</t>
        </is>
      </c>
      <c r="B2312" s="44" t="inlineStr">
        <is>
          <t>PLUG MACHO 3 PINOS 10A</t>
        </is>
      </c>
      <c r="C2312" s="45" t="inlineStr">
        <is>
          <t>MC</t>
        </is>
      </c>
      <c r="D2312" s="45" t="inlineStr">
        <is>
          <t>UN</t>
        </is>
      </c>
      <c r="E2312" s="45" t="inlineStr">
        <is>
          <t>0132</t>
        </is>
      </c>
      <c r="F2312" s="70" t="inlineStr">
        <is>
          <t>Compras</t>
        </is>
      </c>
      <c r="G2312" s="69" t="n">
        <v>0</v>
      </c>
      <c r="H2312" s="172" t="inlineStr">
        <is>
          <t>Não</t>
        </is>
      </c>
      <c r="I2312" s="50" t="n"/>
    </row>
    <row r="2313">
      <c r="A2313" s="40" t="inlineStr">
        <is>
          <t>009889</t>
        </is>
      </c>
      <c r="B2313" s="41" t="inlineStr">
        <is>
          <t>PLUG PVC ROSCA 1/2</t>
        </is>
      </c>
      <c r="C2313" s="42" t="inlineStr">
        <is>
          <t>MC</t>
        </is>
      </c>
      <c r="D2313" s="42" t="inlineStr">
        <is>
          <t>UN</t>
        </is>
      </c>
      <c r="E2313" s="42" t="inlineStr">
        <is>
          <t>0132</t>
        </is>
      </c>
      <c r="F2313" s="70" t="inlineStr">
        <is>
          <t>Compras</t>
        </is>
      </c>
      <c r="G2313" s="71" t="n">
        <v>3.3</v>
      </c>
      <c r="H2313" s="172" t="inlineStr">
        <is>
          <t>Não</t>
        </is>
      </c>
      <c r="I2313" s="49" t="n"/>
    </row>
    <row r="2314">
      <c r="A2314" s="43" t="inlineStr">
        <is>
          <t>009897</t>
        </is>
      </c>
      <c r="B2314" s="44" t="inlineStr">
        <is>
          <t>PLUG PVC ROSCA 3/4</t>
        </is>
      </c>
      <c r="C2314" s="45" t="inlineStr">
        <is>
          <t>MC</t>
        </is>
      </c>
      <c r="D2314" s="45" t="inlineStr">
        <is>
          <t>UN</t>
        </is>
      </c>
      <c r="E2314" s="45" t="inlineStr">
        <is>
          <t>0132</t>
        </is>
      </c>
      <c r="F2314" s="70" t="inlineStr">
        <is>
          <t>Compras</t>
        </is>
      </c>
      <c r="G2314" s="66" t="n">
        <v>2.5</v>
      </c>
      <c r="H2314" s="172" t="inlineStr">
        <is>
          <t>Não</t>
        </is>
      </c>
      <c r="I2314" s="50" t="n"/>
    </row>
    <row r="2315">
      <c r="A2315" s="40" t="inlineStr">
        <is>
          <t>001932</t>
        </is>
      </c>
      <c r="B2315" s="41" t="inlineStr">
        <is>
          <t>PLUGS TICKETS</t>
        </is>
      </c>
      <c r="C2315" s="42" t="inlineStr">
        <is>
          <t>MR</t>
        </is>
      </c>
      <c r="D2315" s="42" t="inlineStr">
        <is>
          <t>UN</t>
        </is>
      </c>
      <c r="E2315" s="42" t="inlineStr">
        <is>
          <t>0128</t>
        </is>
      </c>
      <c r="F2315" s="65" t="inlineStr">
        <is>
          <t>Venda</t>
        </is>
      </c>
      <c r="G2315" s="68" t="n">
        <v>0</v>
      </c>
      <c r="H2315" s="172" t="inlineStr">
        <is>
          <t>Não</t>
        </is>
      </c>
      <c r="I2315" s="47" t="inlineStr">
        <is>
          <t>78989056877163</t>
        </is>
      </c>
    </row>
    <row r="2316">
      <c r="A2316" s="43" t="inlineStr">
        <is>
          <t>010196</t>
        </is>
      </c>
      <c r="B2316" s="44" t="inlineStr">
        <is>
          <t>POLASEAL A4</t>
        </is>
      </c>
      <c r="C2316" s="45" t="inlineStr">
        <is>
          <t>MC</t>
        </is>
      </c>
      <c r="D2316" s="45" t="inlineStr">
        <is>
          <t>UN</t>
        </is>
      </c>
      <c r="E2316" s="45" t="inlineStr">
        <is>
          <t>0001</t>
        </is>
      </c>
      <c r="F2316" s="70" t="inlineStr">
        <is>
          <t>Compras</t>
        </is>
      </c>
      <c r="G2316" s="69" t="n">
        <v>0</v>
      </c>
      <c r="H2316" s="172" t="inlineStr">
        <is>
          <t>Não</t>
        </is>
      </c>
      <c r="I2316" s="50" t="n"/>
    </row>
    <row r="2317">
      <c r="A2317" s="40" t="inlineStr">
        <is>
          <t>009633</t>
        </is>
      </c>
      <c r="B2317" s="41" t="inlineStr">
        <is>
          <t>POLENTA (EXECUTIVO)</t>
        </is>
      </c>
      <c r="C2317" s="42" t="inlineStr">
        <is>
          <t>PA</t>
        </is>
      </c>
      <c r="D2317" s="42" t="inlineStr">
        <is>
          <t>UN</t>
        </is>
      </c>
      <c r="E2317" s="42" t="inlineStr">
        <is>
          <t>0121</t>
        </is>
      </c>
      <c r="F2317" s="65" t="inlineStr">
        <is>
          <t>Venda</t>
        </is>
      </c>
      <c r="G2317" s="68" t="n">
        <v>0</v>
      </c>
      <c r="H2317" s="172" t="inlineStr">
        <is>
          <t>Não</t>
        </is>
      </c>
      <c r="I2317" s="47" t="inlineStr">
        <is>
          <t>789890568772103</t>
        </is>
      </c>
    </row>
    <row r="2318">
      <c r="A2318" s="43" t="inlineStr">
        <is>
          <t>001475</t>
        </is>
      </c>
      <c r="B2318" s="44" t="inlineStr">
        <is>
          <t>POLENTA FRITA</t>
        </is>
      </c>
      <c r="C2318" s="45" t="inlineStr">
        <is>
          <t>PA</t>
        </is>
      </c>
      <c r="D2318" s="45" t="inlineStr">
        <is>
          <t>UN</t>
        </is>
      </c>
      <c r="E2318" s="45" t="inlineStr">
        <is>
          <t>0121</t>
        </is>
      </c>
      <c r="F2318" s="65" t="inlineStr">
        <is>
          <t>Venda</t>
        </is>
      </c>
      <c r="G2318" s="69" t="n">
        <v>0</v>
      </c>
      <c r="H2318" s="172" t="inlineStr">
        <is>
          <t>Não</t>
        </is>
      </c>
      <c r="I2318" s="48" t="inlineStr">
        <is>
          <t>78989056877117</t>
        </is>
      </c>
    </row>
    <row r="2319">
      <c r="A2319" s="40" t="inlineStr">
        <is>
          <t>001514</t>
        </is>
      </c>
      <c r="B2319" s="41" t="inlineStr">
        <is>
          <t>POLENTA FRITA</t>
        </is>
      </c>
      <c r="C2319" s="42" t="inlineStr">
        <is>
          <t>PA</t>
        </is>
      </c>
      <c r="D2319" s="42" t="inlineStr">
        <is>
          <t>UN</t>
        </is>
      </c>
      <c r="E2319" s="42" t="inlineStr">
        <is>
          <t>0110</t>
        </is>
      </c>
      <c r="F2319" s="65" t="inlineStr">
        <is>
          <t>Venda</t>
        </is>
      </c>
      <c r="G2319" s="71" t="n">
        <v>8.9109</v>
      </c>
      <c r="H2319" s="173" t="inlineStr">
        <is>
          <t>Sim</t>
        </is>
      </c>
      <c r="I2319" s="49" t="n"/>
    </row>
    <row r="2320">
      <c r="A2320" s="43" t="inlineStr">
        <is>
          <t>002212</t>
        </is>
      </c>
      <c r="B2320" s="44" t="inlineStr">
        <is>
          <t>POLENTA FRITA</t>
        </is>
      </c>
      <c r="C2320" s="45" t="inlineStr">
        <is>
          <t>MR</t>
        </is>
      </c>
      <c r="D2320" s="45" t="inlineStr">
        <is>
          <t>KG</t>
        </is>
      </c>
      <c r="E2320" s="45" t="inlineStr">
        <is>
          <t>0110</t>
        </is>
      </c>
      <c r="F2320" s="65" t="inlineStr">
        <is>
          <t>Venda</t>
        </is>
      </c>
      <c r="G2320" s="69" t="n">
        <v>0</v>
      </c>
      <c r="H2320" s="173" t="inlineStr">
        <is>
          <t>Sim</t>
        </is>
      </c>
      <c r="I2320" s="50" t="n"/>
    </row>
    <row r="2321">
      <c r="A2321" s="40" t="inlineStr">
        <is>
          <t>002210</t>
        </is>
      </c>
      <c r="B2321" s="41" t="inlineStr">
        <is>
          <t>FITZ GERALD</t>
        </is>
      </c>
      <c r="C2321" s="42" t="inlineStr">
        <is>
          <t>PA</t>
        </is>
      </c>
      <c r="D2321" s="42" t="inlineStr">
        <is>
          <t>UN</t>
        </is>
      </c>
      <c r="E2321" s="42" t="inlineStr">
        <is>
          <t>0119</t>
        </is>
      </c>
      <c r="F2321" s="65" t="inlineStr">
        <is>
          <t>Venda</t>
        </is>
      </c>
      <c r="G2321" s="68" t="n">
        <v>0</v>
      </c>
      <c r="H2321" s="173" t="inlineStr">
        <is>
          <t>Sim</t>
        </is>
      </c>
      <c r="I2321" s="47" t="inlineStr">
        <is>
          <t>78989056877229</t>
        </is>
      </c>
    </row>
    <row r="2322">
      <c r="A2322" s="40" t="inlineStr">
        <is>
          <t>001459</t>
        </is>
      </c>
      <c r="B2322" s="41" t="inlineStr">
        <is>
          <t>POLENTA PALITO 1,01KG</t>
        </is>
      </c>
      <c r="C2322" s="42" t="inlineStr">
        <is>
          <t>MP</t>
        </is>
      </c>
      <c r="D2322" s="42" t="inlineStr">
        <is>
          <t>KG</t>
        </is>
      </c>
      <c r="E2322" s="42" t="inlineStr">
        <is>
          <t>0022</t>
        </is>
      </c>
      <c r="F2322" s="70" t="inlineStr">
        <is>
          <t>Compras</t>
        </is>
      </c>
      <c r="G2322" s="71" t="n">
        <v>8.9109</v>
      </c>
      <c r="H2322" s="172" t="inlineStr">
        <is>
          <t>Não</t>
        </is>
      </c>
      <c r="I2322" s="49" t="n"/>
    </row>
    <row r="2323">
      <c r="A2323" s="43" t="inlineStr">
        <is>
          <t>000189</t>
        </is>
      </c>
      <c r="B2323" s="44" t="inlineStr">
        <is>
          <t>POLOS BRANCAS GERENCIA COM LOG</t>
        </is>
      </c>
      <c r="C2323" s="45" t="inlineStr">
        <is>
          <t>MC</t>
        </is>
      </c>
      <c r="D2323" s="45" t="inlineStr">
        <is>
          <t>UN</t>
        </is>
      </c>
      <c r="E2323" s="45" t="inlineStr">
        <is>
          <t>0017</t>
        </is>
      </c>
      <c r="F2323" s="70" t="inlineStr">
        <is>
          <t>Compras</t>
        </is>
      </c>
      <c r="G2323" s="66" t="n">
        <v>38.9</v>
      </c>
      <c r="H2323" s="172" t="inlineStr">
        <is>
          <t>Não</t>
        </is>
      </c>
      <c r="I2323" s="50" t="n"/>
    </row>
    <row r="2324">
      <c r="A2324" s="40" t="inlineStr">
        <is>
          <t>000188</t>
        </is>
      </c>
      <c r="B2324" s="41" t="inlineStr">
        <is>
          <t>POLOS PRETAS MAITRE COM LOGO F</t>
        </is>
      </c>
      <c r="C2324" s="42" t="inlineStr">
        <is>
          <t>MC</t>
        </is>
      </c>
      <c r="D2324" s="42" t="inlineStr">
        <is>
          <t>UN</t>
        </is>
      </c>
      <c r="E2324" s="42" t="inlineStr">
        <is>
          <t>0017</t>
        </is>
      </c>
      <c r="F2324" s="70" t="inlineStr">
        <is>
          <t>Compras</t>
        </is>
      </c>
      <c r="G2324" s="71" t="n">
        <v>38.9</v>
      </c>
      <c r="H2324" s="172" t="inlineStr">
        <is>
          <t>Não</t>
        </is>
      </c>
      <c r="I2324" s="49" t="n"/>
    </row>
    <row r="2325">
      <c r="A2325" s="43" t="inlineStr">
        <is>
          <t>000180</t>
        </is>
      </c>
      <c r="B2325" s="44" t="inlineStr">
        <is>
          <t>POLOS VERDE BANDEIRA COM LOGO</t>
        </is>
      </c>
      <c r="C2325" s="45" t="inlineStr">
        <is>
          <t>MC</t>
        </is>
      </c>
      <c r="D2325" s="45" t="inlineStr">
        <is>
          <t>UN</t>
        </is>
      </c>
      <c r="E2325" s="45" t="inlineStr">
        <is>
          <t>0017</t>
        </is>
      </c>
      <c r="F2325" s="70" t="inlineStr">
        <is>
          <t>Compras</t>
        </is>
      </c>
      <c r="G2325" s="66" t="n">
        <v>34.9</v>
      </c>
      <c r="H2325" s="172" t="inlineStr">
        <is>
          <t>Não</t>
        </is>
      </c>
      <c r="I2325" s="50" t="n"/>
    </row>
    <row r="2326">
      <c r="A2326" s="40" t="inlineStr">
        <is>
          <t>000455</t>
        </is>
      </c>
      <c r="B2326" s="41" t="inlineStr">
        <is>
          <t>POLPA ABACAXI</t>
        </is>
      </c>
      <c r="C2326" s="42" t="inlineStr">
        <is>
          <t>MP</t>
        </is>
      </c>
      <c r="D2326" s="42" t="inlineStr">
        <is>
          <t>KG</t>
        </is>
      </c>
      <c r="E2326" s="42" t="inlineStr">
        <is>
          <t>0022</t>
        </is>
      </c>
      <c r="F2326" s="70" t="inlineStr">
        <is>
          <t>Compras</t>
        </is>
      </c>
      <c r="G2326" s="71" t="n">
        <v>19.2</v>
      </c>
      <c r="H2326" s="172" t="inlineStr">
        <is>
          <t>Não</t>
        </is>
      </c>
      <c r="I2326" s="49" t="n"/>
    </row>
    <row r="2327">
      <c r="A2327" s="43" t="inlineStr">
        <is>
          <t>000456</t>
        </is>
      </c>
      <c r="B2327" s="44" t="inlineStr">
        <is>
          <t>POLPA ABACAXI C/ HORTELA</t>
        </is>
      </c>
      <c r="C2327" s="45" t="inlineStr">
        <is>
          <t>MP</t>
        </is>
      </c>
      <c r="D2327" s="45" t="inlineStr">
        <is>
          <t>KG</t>
        </is>
      </c>
      <c r="E2327" s="45" t="inlineStr">
        <is>
          <t>0022</t>
        </is>
      </c>
      <c r="F2327" s="70" t="inlineStr">
        <is>
          <t>Compras</t>
        </is>
      </c>
      <c r="G2327" s="66" t="n">
        <v>22.035</v>
      </c>
      <c r="H2327" s="172" t="inlineStr">
        <is>
          <t>Não</t>
        </is>
      </c>
      <c r="I2327" s="50" t="n"/>
    </row>
    <row r="2328">
      <c r="A2328" s="40" t="inlineStr">
        <is>
          <t>000210</t>
        </is>
      </c>
      <c r="B2328" s="41" t="inlineStr">
        <is>
          <t>POLPA AMORA</t>
        </is>
      </c>
      <c r="C2328" s="42" t="inlineStr">
        <is>
          <t>MP</t>
        </is>
      </c>
      <c r="D2328" s="42" t="inlineStr">
        <is>
          <t>KG</t>
        </is>
      </c>
      <c r="E2328" s="42" t="inlineStr">
        <is>
          <t>0022</t>
        </is>
      </c>
      <c r="F2328" s="70" t="inlineStr">
        <is>
          <t>Compras</t>
        </is>
      </c>
      <c r="G2328" s="71" t="n">
        <v>28</v>
      </c>
      <c r="H2328" s="172" t="inlineStr">
        <is>
          <t>Não</t>
        </is>
      </c>
      <c r="I2328" s="49" t="n"/>
    </row>
    <row r="2329">
      <c r="A2329" s="43" t="inlineStr">
        <is>
          <t>000209</t>
        </is>
      </c>
      <c r="B2329" s="44" t="inlineStr">
        <is>
          <t>POLPA FRAMBOESA</t>
        </is>
      </c>
      <c r="C2329" s="45" t="inlineStr">
        <is>
          <t>MP</t>
        </is>
      </c>
      <c r="D2329" s="45" t="inlineStr">
        <is>
          <t>KG</t>
        </is>
      </c>
      <c r="E2329" s="45" t="inlineStr">
        <is>
          <t>0022</t>
        </is>
      </c>
      <c r="F2329" s="70" t="inlineStr">
        <is>
          <t>Compras</t>
        </is>
      </c>
      <c r="G2329" s="66" t="n">
        <v>55</v>
      </c>
      <c r="H2329" s="172" t="inlineStr">
        <is>
          <t>Não</t>
        </is>
      </c>
      <c r="I2329" s="50" t="n"/>
    </row>
    <row r="2330">
      <c r="A2330" s="40" t="inlineStr">
        <is>
          <t>000457</t>
        </is>
      </c>
      <c r="B2330" s="41" t="inlineStr">
        <is>
          <t>POLPA MARACUJA</t>
        </is>
      </c>
      <c r="C2330" s="42" t="inlineStr">
        <is>
          <t>MP</t>
        </is>
      </c>
      <c r="D2330" s="42" t="inlineStr">
        <is>
          <t>KG</t>
        </is>
      </c>
      <c r="E2330" s="42" t="inlineStr">
        <is>
          <t>0022</t>
        </is>
      </c>
      <c r="F2330" s="70" t="inlineStr">
        <is>
          <t>Compras</t>
        </is>
      </c>
      <c r="G2330" s="71" t="n">
        <v>26</v>
      </c>
      <c r="H2330" s="172" t="inlineStr">
        <is>
          <t>Não</t>
        </is>
      </c>
      <c r="I2330" s="49" t="n"/>
    </row>
    <row r="2331">
      <c r="A2331" s="43" t="inlineStr">
        <is>
          <t>000458</t>
        </is>
      </c>
      <c r="B2331" s="44" t="inlineStr">
        <is>
          <t>POLPA MORANGO</t>
        </is>
      </c>
      <c r="C2331" s="45" t="inlineStr">
        <is>
          <t>MP</t>
        </is>
      </c>
      <c r="D2331" s="45" t="inlineStr">
        <is>
          <t>KG</t>
        </is>
      </c>
      <c r="E2331" s="45" t="inlineStr">
        <is>
          <t>0022</t>
        </is>
      </c>
      <c r="F2331" s="70" t="inlineStr">
        <is>
          <t>Compras</t>
        </is>
      </c>
      <c r="G2331" s="66" t="n">
        <v>19.2</v>
      </c>
      <c r="H2331" s="172" t="inlineStr">
        <is>
          <t>Não</t>
        </is>
      </c>
      <c r="I2331" s="50" t="n"/>
    </row>
    <row r="2332">
      <c r="A2332" s="40" t="inlineStr">
        <is>
          <t>009509</t>
        </is>
      </c>
      <c r="B2332" s="41" t="inlineStr">
        <is>
          <t>PONTA PARA PARAFUSADEIRA PH2 25MM</t>
        </is>
      </c>
      <c r="C2332" s="42" t="inlineStr">
        <is>
          <t>MC</t>
        </is>
      </c>
      <c r="D2332" s="42" t="inlineStr">
        <is>
          <t>UN</t>
        </is>
      </c>
      <c r="E2332" s="42" t="inlineStr">
        <is>
          <t>0132</t>
        </is>
      </c>
      <c r="F2332" s="70" t="inlineStr">
        <is>
          <t>Compras</t>
        </is>
      </c>
      <c r="G2332" s="71" t="n">
        <v>11</v>
      </c>
      <c r="H2332" s="172" t="inlineStr">
        <is>
          <t>Não</t>
        </is>
      </c>
      <c r="I2332" s="49" t="n"/>
    </row>
    <row r="2333">
      <c r="A2333" s="40" t="inlineStr">
        <is>
          <t>001474</t>
        </is>
      </c>
      <c r="B2333" s="41" t="inlineStr">
        <is>
          <t>POPS CALABRESA E BACON</t>
        </is>
      </c>
      <c r="C2333" s="42" t="inlineStr">
        <is>
          <t>PA</t>
        </is>
      </c>
      <c r="D2333" s="42" t="inlineStr">
        <is>
          <t>UN</t>
        </is>
      </c>
      <c r="E2333" s="42" t="inlineStr">
        <is>
          <t>0110</t>
        </is>
      </c>
      <c r="F2333" s="65" t="inlineStr">
        <is>
          <t>Venda</t>
        </is>
      </c>
      <c r="G2333" s="68" t="n">
        <v>0</v>
      </c>
      <c r="H2333" s="172" t="inlineStr">
        <is>
          <t>Não</t>
        </is>
      </c>
      <c r="I2333" s="47" t="inlineStr">
        <is>
          <t>78989056877118</t>
        </is>
      </c>
    </row>
    <row r="2334">
      <c r="A2334" s="43" t="inlineStr">
        <is>
          <t>001661</t>
        </is>
      </c>
      <c r="B2334" s="44" t="inlineStr">
        <is>
          <t>POPS CALABRESA E BACON</t>
        </is>
      </c>
      <c r="C2334" s="45" t="inlineStr">
        <is>
          <t>PA</t>
        </is>
      </c>
      <c r="D2334" s="45" t="inlineStr">
        <is>
          <t>UN</t>
        </is>
      </c>
      <c r="E2334" s="45" t="inlineStr">
        <is>
          <t>0110</t>
        </is>
      </c>
      <c r="F2334" s="65" t="inlineStr">
        <is>
          <t>Venda</t>
        </is>
      </c>
      <c r="G2334" s="69" t="n">
        <v>0</v>
      </c>
      <c r="H2334" s="173" t="inlineStr">
        <is>
          <t>Sim</t>
        </is>
      </c>
      <c r="I2334" s="48" t="inlineStr">
        <is>
          <t>78989056877118</t>
        </is>
      </c>
    </row>
    <row r="2335">
      <c r="A2335" s="40" t="inlineStr">
        <is>
          <t>010322</t>
        </is>
      </c>
      <c r="B2335" s="41" t="inlineStr">
        <is>
          <t>PORCA SEXTAVADA ACO 1/4"</t>
        </is>
      </c>
      <c r="C2335" s="42" t="inlineStr">
        <is>
          <t>MC</t>
        </is>
      </c>
      <c r="D2335" s="42" t="inlineStr">
        <is>
          <t>UN</t>
        </is>
      </c>
      <c r="E2335" s="42" t="inlineStr">
        <is>
          <t>0132</t>
        </is>
      </c>
      <c r="F2335" s="70" t="inlineStr">
        <is>
          <t>Compras</t>
        </is>
      </c>
      <c r="G2335" s="71" t="n">
        <v>0.4</v>
      </c>
      <c r="H2335" s="172" t="inlineStr">
        <is>
          <t>Não</t>
        </is>
      </c>
      <c r="I2335" s="49" t="n"/>
    </row>
    <row r="2336">
      <c r="A2336" s="43" t="inlineStr">
        <is>
          <t>010305</t>
        </is>
      </c>
      <c r="B2336" s="44" t="inlineStr">
        <is>
          <t>PORCA TORNEADA ZINCADA 1/4</t>
        </is>
      </c>
      <c r="C2336" s="45" t="inlineStr">
        <is>
          <t>MC</t>
        </is>
      </c>
      <c r="D2336" s="45" t="inlineStr">
        <is>
          <t>UN</t>
        </is>
      </c>
      <c r="E2336" s="45" t="inlineStr">
        <is>
          <t>0132</t>
        </is>
      </c>
      <c r="F2336" s="70" t="inlineStr">
        <is>
          <t>Compras</t>
        </is>
      </c>
      <c r="G2336" s="66" t="n">
        <v>0.15</v>
      </c>
      <c r="H2336" s="172" t="inlineStr">
        <is>
          <t>Não</t>
        </is>
      </c>
      <c r="I2336" s="50" t="n"/>
    </row>
    <row r="2337">
      <c r="A2337" s="40" t="inlineStr">
        <is>
          <t>002240</t>
        </is>
      </c>
      <c r="B2337" s="41" t="inlineStr">
        <is>
          <t>PORCAO ANEIS DE CEBOLA DELIVERY</t>
        </is>
      </c>
      <c r="C2337" s="42" t="inlineStr">
        <is>
          <t>PA</t>
        </is>
      </c>
      <c r="D2337" s="42" t="inlineStr">
        <is>
          <t>UN</t>
        </is>
      </c>
      <c r="E2337" s="42" t="inlineStr">
        <is>
          <t>0121</t>
        </is>
      </c>
      <c r="F2337" s="65" t="inlineStr">
        <is>
          <t>Venda</t>
        </is>
      </c>
      <c r="G2337" s="68" t="n">
        <v>0</v>
      </c>
      <c r="H2337" s="172" t="inlineStr">
        <is>
          <t>Não</t>
        </is>
      </c>
      <c r="I2337" s="47" t="inlineStr">
        <is>
          <t>78989056877329</t>
        </is>
      </c>
    </row>
    <row r="2338">
      <c r="A2338" s="43" t="inlineStr">
        <is>
          <t>000900</t>
        </is>
      </c>
      <c r="B2338" s="44" t="inlineStr">
        <is>
          <t>PORCAO ARROZ</t>
        </is>
      </c>
      <c r="C2338" s="45" t="inlineStr">
        <is>
          <t>PA</t>
        </is>
      </c>
      <c r="D2338" s="45" t="inlineStr">
        <is>
          <t>UN</t>
        </is>
      </c>
      <c r="E2338" s="45" t="inlineStr">
        <is>
          <t>0106</t>
        </is>
      </c>
      <c r="F2338" s="65" t="inlineStr">
        <is>
          <t>Venda</t>
        </is>
      </c>
      <c r="G2338" s="66" t="n">
        <v>23.35</v>
      </c>
      <c r="H2338" s="172" t="inlineStr">
        <is>
          <t>Não</t>
        </is>
      </c>
      <c r="I2338" s="48" t="inlineStr">
        <is>
          <t>800003</t>
        </is>
      </c>
    </row>
    <row r="2339">
      <c r="A2339" s="40" t="inlineStr">
        <is>
          <t>001069</t>
        </is>
      </c>
      <c r="B2339" s="41" t="inlineStr">
        <is>
          <t>PORCAO DE PASTEIS</t>
        </is>
      </c>
      <c r="C2339" s="42" t="inlineStr">
        <is>
          <t>PA</t>
        </is>
      </c>
      <c r="D2339" s="42" t="inlineStr">
        <is>
          <t>UN</t>
        </is>
      </c>
      <c r="E2339" s="42" t="inlineStr">
        <is>
          <t>0110</t>
        </is>
      </c>
      <c r="F2339" s="65" t="inlineStr">
        <is>
          <t>Venda</t>
        </is>
      </c>
      <c r="G2339" s="68" t="n">
        <v>0</v>
      </c>
      <c r="H2339" s="172" t="inlineStr">
        <is>
          <t>Não</t>
        </is>
      </c>
      <c r="I2339" s="47" t="inlineStr">
        <is>
          <t>9003339</t>
        </is>
      </c>
    </row>
    <row r="2340">
      <c r="A2340" s="43" t="inlineStr">
        <is>
          <t>009906</t>
        </is>
      </c>
      <c r="B2340" s="44" t="inlineStr">
        <is>
          <t>PORTA CADEADO 2.1/2 63MM</t>
        </is>
      </c>
      <c r="C2340" s="45" t="inlineStr">
        <is>
          <t>MC</t>
        </is>
      </c>
      <c r="D2340" s="45" t="inlineStr">
        <is>
          <t>UN</t>
        </is>
      </c>
      <c r="E2340" s="45" t="inlineStr">
        <is>
          <t>0132</t>
        </is>
      </c>
      <c r="F2340" s="70" t="inlineStr">
        <is>
          <t>Compras</t>
        </is>
      </c>
      <c r="G2340" s="66" t="n">
        <v>10.9</v>
      </c>
      <c r="H2340" s="172" t="inlineStr">
        <is>
          <t>Não</t>
        </is>
      </c>
      <c r="I2340" s="50" t="n"/>
    </row>
    <row r="2341">
      <c r="A2341" s="40" t="inlineStr">
        <is>
          <t>009404</t>
        </is>
      </c>
      <c r="B2341" s="41" t="inlineStr">
        <is>
          <t>PORTA CADEADO 51MM 2UN</t>
        </is>
      </c>
      <c r="C2341" s="42" t="inlineStr">
        <is>
          <t>MC</t>
        </is>
      </c>
      <c r="D2341" s="42" t="inlineStr">
        <is>
          <t>UN</t>
        </is>
      </c>
      <c r="E2341" s="42" t="inlineStr">
        <is>
          <t>0132</t>
        </is>
      </c>
      <c r="F2341" s="70" t="inlineStr">
        <is>
          <t>Compras</t>
        </is>
      </c>
      <c r="G2341" s="71" t="n">
        <v>24</v>
      </c>
      <c r="H2341" s="172" t="inlineStr">
        <is>
          <t>Não</t>
        </is>
      </c>
      <c r="I2341" s="49" t="n"/>
    </row>
    <row r="2342">
      <c r="A2342" s="43" t="inlineStr">
        <is>
          <t>000684</t>
        </is>
      </c>
      <c r="B2342" s="44" t="inlineStr">
        <is>
          <t>PORTA CANUDO</t>
        </is>
      </c>
      <c r="C2342" s="45" t="inlineStr">
        <is>
          <t>MC</t>
        </is>
      </c>
      <c r="D2342" s="45" t="inlineStr">
        <is>
          <t>UN</t>
        </is>
      </c>
      <c r="E2342" s="45" t="inlineStr">
        <is>
          <t>0079</t>
        </is>
      </c>
      <c r="F2342" s="70" t="inlineStr">
        <is>
          <t>Compras</t>
        </is>
      </c>
      <c r="G2342" s="66" t="n">
        <v>375</v>
      </c>
      <c r="H2342" s="172" t="inlineStr">
        <is>
          <t>Não</t>
        </is>
      </c>
      <c r="I2342" s="50" t="n"/>
    </row>
    <row r="2343">
      <c r="A2343" s="40" t="inlineStr">
        <is>
          <t>001356</t>
        </is>
      </c>
      <c r="B2343" s="41" t="inlineStr">
        <is>
          <t>PORTA CAPSULAS</t>
        </is>
      </c>
      <c r="C2343" s="42" t="inlineStr">
        <is>
          <t>MC</t>
        </is>
      </c>
      <c r="D2343" s="42" t="inlineStr">
        <is>
          <t>UN</t>
        </is>
      </c>
      <c r="E2343" s="42" t="inlineStr">
        <is>
          <t>0079</t>
        </is>
      </c>
      <c r="F2343" s="70" t="inlineStr">
        <is>
          <t>Compras</t>
        </is>
      </c>
      <c r="G2343" s="68" t="n">
        <v>0</v>
      </c>
      <c r="H2343" s="172" t="inlineStr">
        <is>
          <t>Não</t>
        </is>
      </c>
      <c r="I2343" s="49" t="n"/>
    </row>
    <row r="2344">
      <c r="A2344" s="43" t="inlineStr">
        <is>
          <t>009601</t>
        </is>
      </c>
      <c r="B2344" s="44" t="inlineStr">
        <is>
          <t>PORTA COMANDA PRENDEX 60CM</t>
        </is>
      </c>
      <c r="C2344" s="45" t="inlineStr">
        <is>
          <t>MC</t>
        </is>
      </c>
      <c r="D2344" s="45" t="inlineStr">
        <is>
          <t>UN</t>
        </is>
      </c>
      <c r="E2344" s="45" t="inlineStr">
        <is>
          <t>0079</t>
        </is>
      </c>
      <c r="F2344" s="70" t="inlineStr">
        <is>
          <t>Compras</t>
        </is>
      </c>
      <c r="G2344" s="66" t="n">
        <v>78</v>
      </c>
      <c r="H2344" s="172" t="inlineStr">
        <is>
          <t>Não</t>
        </is>
      </c>
      <c r="I2344" s="50" t="n"/>
    </row>
    <row r="2345">
      <c r="A2345" s="40" t="inlineStr">
        <is>
          <t>010351</t>
        </is>
      </c>
      <c r="B2345" s="41" t="inlineStr">
        <is>
          <t>PORTA DRYWALL ESQUERDA M70 35MMX72CMX2,11M</t>
        </is>
      </c>
      <c r="C2345" s="42" t="inlineStr">
        <is>
          <t>MC</t>
        </is>
      </c>
      <c r="D2345" s="42" t="inlineStr">
        <is>
          <t>UN</t>
        </is>
      </c>
      <c r="E2345" s="42" t="inlineStr">
        <is>
          <t>0132</t>
        </is>
      </c>
      <c r="F2345" s="70" t="inlineStr">
        <is>
          <t>Compras</t>
        </is>
      </c>
      <c r="G2345" s="68" t="n">
        <v>0</v>
      </c>
      <c r="H2345" s="172" t="inlineStr">
        <is>
          <t>Não</t>
        </is>
      </c>
      <c r="I2345" s="49" t="n"/>
    </row>
    <row r="2346">
      <c r="A2346" s="43" t="inlineStr">
        <is>
          <t>000518</t>
        </is>
      </c>
      <c r="B2346" s="44" t="inlineStr">
        <is>
          <t>PORTA ESPETO</t>
        </is>
      </c>
      <c r="C2346" s="45" t="inlineStr">
        <is>
          <t>MC</t>
        </is>
      </c>
      <c r="D2346" s="45" t="inlineStr">
        <is>
          <t>UN</t>
        </is>
      </c>
      <c r="E2346" s="45" t="inlineStr">
        <is>
          <t>0079</t>
        </is>
      </c>
      <c r="F2346" s="70" t="inlineStr">
        <is>
          <t>Compras</t>
        </is>
      </c>
      <c r="G2346" s="69" t="n">
        <v>0</v>
      </c>
      <c r="H2346" s="172" t="inlineStr">
        <is>
          <t>Não</t>
        </is>
      </c>
      <c r="I2346" s="50" t="n"/>
    </row>
    <row r="2347">
      <c r="A2347" s="40" t="inlineStr">
        <is>
          <t>009365</t>
        </is>
      </c>
      <c r="B2347" s="41" t="inlineStr">
        <is>
          <t>PORTA LAPIS E CANETAS DE ACRILICO</t>
        </is>
      </c>
      <c r="C2347" s="42" t="inlineStr">
        <is>
          <t>MC</t>
        </is>
      </c>
      <c r="D2347" s="42" t="inlineStr">
        <is>
          <t>UN</t>
        </is>
      </c>
      <c r="E2347" s="42" t="inlineStr">
        <is>
          <t>0001</t>
        </is>
      </c>
      <c r="F2347" s="70" t="inlineStr">
        <is>
          <t>Compras</t>
        </is>
      </c>
      <c r="G2347" s="71" t="n">
        <v>10.45</v>
      </c>
      <c r="H2347" s="172" t="inlineStr">
        <is>
          <t>Não</t>
        </is>
      </c>
      <c r="I2347" s="49" t="n"/>
    </row>
    <row r="2348">
      <c r="A2348" s="43" t="inlineStr">
        <is>
          <t>009419</t>
        </is>
      </c>
      <c r="B2348" s="44" t="inlineStr">
        <is>
          <t>PORTA RALO REDONDO 15CM</t>
        </is>
      </c>
      <c r="C2348" s="45" t="inlineStr">
        <is>
          <t>MC</t>
        </is>
      </c>
      <c r="D2348" s="45" t="inlineStr">
        <is>
          <t>UN</t>
        </is>
      </c>
      <c r="E2348" s="45" t="inlineStr">
        <is>
          <t>0132</t>
        </is>
      </c>
      <c r="F2348" s="70" t="inlineStr">
        <is>
          <t>Compras</t>
        </is>
      </c>
      <c r="G2348" s="66" t="n">
        <v>19</v>
      </c>
      <c r="H2348" s="172" t="inlineStr">
        <is>
          <t>Não</t>
        </is>
      </c>
      <c r="I2348" s="50" t="n"/>
    </row>
    <row r="2349">
      <c r="A2349" s="40" t="inlineStr">
        <is>
          <t>000521</t>
        </is>
      </c>
      <c r="B2349" s="41" t="inlineStr">
        <is>
          <t>PORTA SACHE 11X6X4,5</t>
        </is>
      </c>
      <c r="C2349" s="42" t="inlineStr">
        <is>
          <t>MC</t>
        </is>
      </c>
      <c r="D2349" s="42" t="inlineStr">
        <is>
          <t>UN</t>
        </is>
      </c>
      <c r="E2349" s="42" t="inlineStr">
        <is>
          <t>0079</t>
        </is>
      </c>
      <c r="F2349" s="70" t="inlineStr">
        <is>
          <t>Compras</t>
        </is>
      </c>
      <c r="G2349" s="68" t="n">
        <v>0</v>
      </c>
      <c r="H2349" s="172" t="inlineStr">
        <is>
          <t>Não</t>
        </is>
      </c>
      <c r="I2349" s="49" t="n"/>
    </row>
    <row r="2350">
      <c r="A2350" s="43" t="inlineStr">
        <is>
          <t>002269</t>
        </is>
      </c>
      <c r="B2350" s="44" t="inlineStr">
        <is>
          <t>PORTA VENEZIANA DE ALUMINIO</t>
        </is>
      </c>
      <c r="C2350" s="45" t="inlineStr">
        <is>
          <t>MC</t>
        </is>
      </c>
      <c r="D2350" s="45" t="inlineStr">
        <is>
          <t>UN</t>
        </is>
      </c>
      <c r="E2350" s="45" t="inlineStr">
        <is>
          <t>0132</t>
        </is>
      </c>
      <c r="F2350" s="70" t="inlineStr">
        <is>
          <t>Compras</t>
        </is>
      </c>
      <c r="G2350" s="66" t="n">
        <v>2660</v>
      </c>
      <c r="H2350" s="172" t="inlineStr">
        <is>
          <t>Não</t>
        </is>
      </c>
      <c r="I2350" s="50" t="n"/>
    </row>
    <row r="2351">
      <c r="A2351" s="40" t="inlineStr">
        <is>
          <t>009631</t>
        </is>
      </c>
      <c r="B2351" s="41" t="inlineStr">
        <is>
          <t>PORTA-CRACHA BR05 COM PRESILHA</t>
        </is>
      </c>
      <c r="C2351" s="42" t="inlineStr">
        <is>
          <t>MC</t>
        </is>
      </c>
      <c r="D2351" s="42" t="inlineStr">
        <is>
          <t>UN</t>
        </is>
      </c>
      <c r="E2351" s="42" t="inlineStr">
        <is>
          <t>0001</t>
        </is>
      </c>
      <c r="F2351" s="70" t="inlineStr">
        <is>
          <t>Compras</t>
        </is>
      </c>
      <c r="G2351" s="68" t="n">
        <v>0</v>
      </c>
      <c r="H2351" s="172" t="inlineStr">
        <is>
          <t>Não</t>
        </is>
      </c>
      <c r="I2351" s="49" t="n"/>
    </row>
    <row r="2352">
      <c r="A2352" s="43" t="inlineStr">
        <is>
          <t>002062</t>
        </is>
      </c>
      <c r="B2352" s="44" t="inlineStr">
        <is>
          <t>POST IT</t>
        </is>
      </c>
      <c r="C2352" s="45" t="inlineStr">
        <is>
          <t>MC</t>
        </is>
      </c>
      <c r="D2352" s="45" t="inlineStr">
        <is>
          <t>UN</t>
        </is>
      </c>
      <c r="E2352" s="45" t="inlineStr">
        <is>
          <t>0001</t>
        </is>
      </c>
      <c r="F2352" s="70" t="inlineStr">
        <is>
          <t>Compras</t>
        </is>
      </c>
      <c r="G2352" s="66" t="n">
        <v>5.82</v>
      </c>
      <c r="H2352" s="172" t="inlineStr">
        <is>
          <t>Não</t>
        </is>
      </c>
      <c r="I2352" s="50" t="n"/>
    </row>
    <row r="2353">
      <c r="A2353" s="40" t="inlineStr">
        <is>
          <t>009812</t>
        </is>
      </c>
      <c r="B2353" s="41" t="inlineStr">
        <is>
          <t>POST IT MEDIO</t>
        </is>
      </c>
      <c r="C2353" s="42" t="inlineStr">
        <is>
          <t>MC</t>
        </is>
      </c>
      <c r="D2353" s="42" t="inlineStr">
        <is>
          <t>UN</t>
        </is>
      </c>
      <c r="E2353" s="42" t="inlineStr">
        <is>
          <t>0001</t>
        </is>
      </c>
      <c r="F2353" s="70" t="inlineStr">
        <is>
          <t>Compras</t>
        </is>
      </c>
      <c r="G2353" s="68" t="n">
        <v>0</v>
      </c>
      <c r="H2353" s="172" t="inlineStr">
        <is>
          <t>Não</t>
        </is>
      </c>
      <c r="I2353" s="49" t="n"/>
    </row>
    <row r="2354">
      <c r="A2354" s="43" t="inlineStr">
        <is>
          <t>009440</t>
        </is>
      </c>
      <c r="B2354" s="44" t="inlineStr">
        <is>
          <t>POST IT PEQUENO</t>
        </is>
      </c>
      <c r="C2354" s="45" t="inlineStr">
        <is>
          <t>MC</t>
        </is>
      </c>
      <c r="D2354" s="45" t="inlineStr">
        <is>
          <t>UN</t>
        </is>
      </c>
      <c r="E2354" s="45" t="inlineStr">
        <is>
          <t>0001</t>
        </is>
      </c>
      <c r="F2354" s="70" t="inlineStr">
        <is>
          <t>Compras</t>
        </is>
      </c>
      <c r="G2354" s="69" t="n">
        <v>0</v>
      </c>
      <c r="H2354" s="172" t="inlineStr">
        <is>
          <t>Não</t>
        </is>
      </c>
      <c r="I2354" s="50" t="n"/>
    </row>
    <row r="2355">
      <c r="A2355" s="40" t="inlineStr">
        <is>
          <t>000575</t>
        </is>
      </c>
      <c r="B2355" s="41" t="inlineStr">
        <is>
          <t>POTE BOMBONIERE 1L</t>
        </is>
      </c>
      <c r="C2355" s="42" t="inlineStr">
        <is>
          <t>MC</t>
        </is>
      </c>
      <c r="D2355" s="42" t="inlineStr">
        <is>
          <t>UN</t>
        </is>
      </c>
      <c r="E2355" s="42" t="inlineStr">
        <is>
          <t>0080</t>
        </is>
      </c>
      <c r="F2355" s="70" t="inlineStr">
        <is>
          <t>Compras</t>
        </is>
      </c>
      <c r="G2355" s="71" t="n">
        <v>12.6</v>
      </c>
      <c r="H2355" s="172" t="inlineStr">
        <is>
          <t>Não</t>
        </is>
      </c>
      <c r="I2355" s="49" t="n"/>
    </row>
    <row r="2356">
      <c r="A2356" s="43" t="inlineStr">
        <is>
          <t>001979</t>
        </is>
      </c>
      <c r="B2356" s="44" t="inlineStr">
        <is>
          <t>POTE CAJU EM CALDA 250G</t>
        </is>
      </c>
      <c r="C2356" s="45" t="inlineStr">
        <is>
          <t>MP</t>
        </is>
      </c>
      <c r="D2356" s="45" t="inlineStr">
        <is>
          <t>KG</t>
        </is>
      </c>
      <c r="E2356" s="45" t="inlineStr">
        <is>
          <t>0029</t>
        </is>
      </c>
      <c r="F2356" s="70" t="inlineStr">
        <is>
          <t>Compras</t>
        </is>
      </c>
      <c r="G2356" s="66" t="n">
        <v>24</v>
      </c>
      <c r="H2356" s="172" t="inlineStr">
        <is>
          <t>Não</t>
        </is>
      </c>
      <c r="I2356" s="50" t="n"/>
    </row>
    <row r="2357">
      <c r="A2357" s="40" t="inlineStr">
        <is>
          <t>000572</t>
        </is>
      </c>
      <c r="B2357" s="41" t="inlineStr">
        <is>
          <t>POTE DE ARROZ E FRITAS</t>
        </is>
      </c>
      <c r="C2357" s="42" t="inlineStr">
        <is>
          <t>MC</t>
        </is>
      </c>
      <c r="D2357" s="42" t="inlineStr">
        <is>
          <t>UN</t>
        </is>
      </c>
      <c r="E2357" s="42" t="inlineStr">
        <is>
          <t>0080</t>
        </is>
      </c>
      <c r="F2357" s="70" t="inlineStr">
        <is>
          <t>Compras</t>
        </is>
      </c>
      <c r="G2357" s="71" t="n">
        <v>8.49</v>
      </c>
      <c r="H2357" s="172" t="inlineStr">
        <is>
          <t>Não</t>
        </is>
      </c>
      <c r="I2357" s="49" t="n"/>
    </row>
    <row r="2358">
      <c r="A2358" s="43" t="inlineStr">
        <is>
          <t>000638</t>
        </is>
      </c>
      <c r="B2358" s="44" t="inlineStr">
        <is>
          <t>POTE ISOPOR 120 ML</t>
        </is>
      </c>
      <c r="C2358" s="45" t="inlineStr">
        <is>
          <t>MC</t>
        </is>
      </c>
      <c r="D2358" s="45" t="inlineStr">
        <is>
          <t>UN</t>
        </is>
      </c>
      <c r="E2358" s="45" t="inlineStr">
        <is>
          <t>0014</t>
        </is>
      </c>
      <c r="F2358" s="70" t="inlineStr">
        <is>
          <t>Compras</t>
        </is>
      </c>
      <c r="G2358" s="66" t="n">
        <v>135</v>
      </c>
      <c r="H2358" s="172" t="inlineStr">
        <is>
          <t>Não</t>
        </is>
      </c>
      <c r="I2358" s="50" t="n"/>
    </row>
    <row r="2359">
      <c r="A2359" s="40" t="inlineStr">
        <is>
          <t>000639</t>
        </is>
      </c>
      <c r="B2359" s="41" t="inlineStr">
        <is>
          <t>POTE ISOPOR 180 ML</t>
        </is>
      </c>
      <c r="C2359" s="42" t="inlineStr">
        <is>
          <t>MC</t>
        </is>
      </c>
      <c r="D2359" s="42" t="inlineStr">
        <is>
          <t>UN</t>
        </is>
      </c>
      <c r="E2359" s="42" t="inlineStr">
        <is>
          <t>0014</t>
        </is>
      </c>
      <c r="F2359" s="70" t="inlineStr">
        <is>
          <t>Compras</t>
        </is>
      </c>
      <c r="G2359" s="71" t="n">
        <v>37.04</v>
      </c>
      <c r="H2359" s="172" t="inlineStr">
        <is>
          <t>Não</t>
        </is>
      </c>
      <c r="I2359" s="49" t="n"/>
    </row>
    <row r="2360">
      <c r="A2360" s="43" t="inlineStr">
        <is>
          <t>000569</t>
        </is>
      </c>
      <c r="B2360" s="44" t="inlineStr">
        <is>
          <t>POTE P/ MOLHOS DE SALADA</t>
        </is>
      </c>
      <c r="C2360" s="45" t="inlineStr">
        <is>
          <t>MC</t>
        </is>
      </c>
      <c r="D2360" s="45" t="inlineStr">
        <is>
          <t>UN</t>
        </is>
      </c>
      <c r="E2360" s="45" t="inlineStr">
        <is>
          <t>0080</t>
        </is>
      </c>
      <c r="F2360" s="70" t="inlineStr">
        <is>
          <t>Compras</t>
        </is>
      </c>
      <c r="G2360" s="66" t="n">
        <v>3.55</v>
      </c>
      <c r="H2360" s="172" t="inlineStr">
        <is>
          <t>Não</t>
        </is>
      </c>
      <c r="I2360" s="50" t="n"/>
    </row>
    <row r="2361">
      <c r="A2361" s="40" t="inlineStr">
        <is>
          <t>000972</t>
        </is>
      </c>
      <c r="B2361" s="41" t="inlineStr">
        <is>
          <t>POTE PP REDONDO  330 ML DELIVE</t>
        </is>
      </c>
      <c r="C2361" s="42" t="inlineStr">
        <is>
          <t>MC</t>
        </is>
      </c>
      <c r="D2361" s="42" t="inlineStr">
        <is>
          <t>UN</t>
        </is>
      </c>
      <c r="E2361" s="42" t="inlineStr">
        <is>
          <t>0014</t>
        </is>
      </c>
      <c r="F2361" s="70" t="inlineStr">
        <is>
          <t>Compras</t>
        </is>
      </c>
      <c r="G2361" s="71" t="n">
        <v>0.8696</v>
      </c>
      <c r="H2361" s="172" t="inlineStr">
        <is>
          <t>Não</t>
        </is>
      </c>
      <c r="I2361" s="49" t="n"/>
    </row>
    <row r="2362">
      <c r="A2362" s="43" t="inlineStr">
        <is>
          <t>001020</t>
        </is>
      </c>
      <c r="B2362" s="44" t="inlineStr">
        <is>
          <t>POTE PP RETANGULAR  250 ML DEL</t>
        </is>
      </c>
      <c r="C2362" s="45" t="inlineStr">
        <is>
          <t>MC</t>
        </is>
      </c>
      <c r="D2362" s="45" t="inlineStr">
        <is>
          <t>UN</t>
        </is>
      </c>
      <c r="E2362" s="45" t="inlineStr">
        <is>
          <t>0014</t>
        </is>
      </c>
      <c r="F2362" s="70" t="inlineStr">
        <is>
          <t>Compras</t>
        </is>
      </c>
      <c r="G2362" s="66" t="n">
        <v>1.004</v>
      </c>
      <c r="H2362" s="172" t="inlineStr">
        <is>
          <t>Não</t>
        </is>
      </c>
      <c r="I2362" s="50" t="n"/>
    </row>
    <row r="2363">
      <c r="A2363" s="40" t="inlineStr">
        <is>
          <t>000571</t>
        </is>
      </c>
      <c r="B2363" s="41" t="inlineStr">
        <is>
          <t>POTE VINAGRETE/FAROFA</t>
        </is>
      </c>
      <c r="C2363" s="42" t="inlineStr">
        <is>
          <t>MC</t>
        </is>
      </c>
      <c r="D2363" s="42" t="inlineStr">
        <is>
          <t>UN</t>
        </is>
      </c>
      <c r="E2363" s="42" t="inlineStr">
        <is>
          <t>0080</t>
        </is>
      </c>
      <c r="F2363" s="70" t="inlineStr">
        <is>
          <t>Compras</t>
        </is>
      </c>
      <c r="G2363" s="71" t="n">
        <v>4.96</v>
      </c>
      <c r="H2363" s="172" t="inlineStr">
        <is>
          <t>Não</t>
        </is>
      </c>
      <c r="I2363" s="49" t="n"/>
    </row>
    <row r="2364">
      <c r="A2364" s="43" t="inlineStr">
        <is>
          <t>000068</t>
        </is>
      </c>
      <c r="B2364" s="44" t="inlineStr">
        <is>
          <t>PP ABACAXI PEROLA FRUTA ESPETO</t>
        </is>
      </c>
      <c r="C2364" s="45" t="inlineStr">
        <is>
          <t>MR</t>
        </is>
      </c>
      <c r="D2364" s="45" t="inlineStr">
        <is>
          <t>UN</t>
        </is>
      </c>
      <c r="E2364" s="45" t="inlineStr">
        <is>
          <t>0083</t>
        </is>
      </c>
      <c r="F2364" s="65" t="inlineStr">
        <is>
          <t>Venda</t>
        </is>
      </c>
      <c r="G2364" s="69" t="n">
        <v>0</v>
      </c>
      <c r="H2364" s="173" t="inlineStr">
        <is>
          <t>Sim</t>
        </is>
      </c>
      <c r="I2364" s="50" t="n"/>
    </row>
    <row r="2365">
      <c r="A2365" s="40" t="inlineStr">
        <is>
          <t>000069</t>
        </is>
      </c>
      <c r="B2365" s="41" t="inlineStr">
        <is>
          <t>PP ABACAXI PEROLA FRUTA ESPETO</t>
        </is>
      </c>
      <c r="C2365" s="42" t="inlineStr">
        <is>
          <t>MR</t>
        </is>
      </c>
      <c r="D2365" s="42" t="inlineStr">
        <is>
          <t>UN</t>
        </is>
      </c>
      <c r="E2365" s="42" t="inlineStr">
        <is>
          <t>0083</t>
        </is>
      </c>
      <c r="F2365" s="65" t="inlineStr">
        <is>
          <t>Venda</t>
        </is>
      </c>
      <c r="G2365" s="68" t="n">
        <v>0</v>
      </c>
      <c r="H2365" s="173" t="inlineStr">
        <is>
          <t>Sim</t>
        </is>
      </c>
      <c r="I2365" s="49" t="n"/>
    </row>
    <row r="2366">
      <c r="A2366" s="43" t="inlineStr">
        <is>
          <t>000067</t>
        </is>
      </c>
      <c r="B2366" s="44" t="inlineStr">
        <is>
          <t>PP ABACAXI PEROLA FRUTA LIMPO</t>
        </is>
      </c>
      <c r="C2366" s="45" t="inlineStr">
        <is>
          <t>MR</t>
        </is>
      </c>
      <c r="D2366" s="45" t="inlineStr">
        <is>
          <t>KG</t>
        </is>
      </c>
      <c r="E2366" s="45" t="inlineStr">
        <is>
          <t>0083</t>
        </is>
      </c>
      <c r="F2366" s="65" t="inlineStr">
        <is>
          <t>Venda</t>
        </is>
      </c>
      <c r="G2366" s="69" t="n">
        <v>0</v>
      </c>
      <c r="H2366" s="173" t="inlineStr">
        <is>
          <t>Sim</t>
        </is>
      </c>
      <c r="I2366" s="50" t="n"/>
    </row>
    <row r="2367">
      <c r="A2367" s="40" t="inlineStr">
        <is>
          <t>000102</t>
        </is>
      </c>
      <c r="B2367" s="41" t="inlineStr">
        <is>
          <t>PP BANANA PRATA  FRUTA ESPETO</t>
        </is>
      </c>
      <c r="C2367" s="42" t="inlineStr">
        <is>
          <t>MR</t>
        </is>
      </c>
      <c r="D2367" s="42" t="inlineStr">
        <is>
          <t>UN</t>
        </is>
      </c>
      <c r="E2367" s="42" t="inlineStr">
        <is>
          <t>0083</t>
        </is>
      </c>
      <c r="F2367" s="65" t="inlineStr">
        <is>
          <t>Venda</t>
        </is>
      </c>
      <c r="G2367" s="68" t="n">
        <v>0</v>
      </c>
      <c r="H2367" s="173" t="inlineStr">
        <is>
          <t>Sim</t>
        </is>
      </c>
      <c r="I2367" s="49" t="n"/>
    </row>
    <row r="2368">
      <c r="A2368" s="43" t="inlineStr">
        <is>
          <t>000091</t>
        </is>
      </c>
      <c r="B2368" s="44" t="inlineStr">
        <is>
          <t>PP BANANA PRATA FRUTA ESPETO C</t>
        </is>
      </c>
      <c r="C2368" s="45" t="inlineStr">
        <is>
          <t>MR</t>
        </is>
      </c>
      <c r="D2368" s="45" t="inlineStr">
        <is>
          <t>UN</t>
        </is>
      </c>
      <c r="E2368" s="45" t="inlineStr">
        <is>
          <t>0107</t>
        </is>
      </c>
      <c r="F2368" s="70" t="inlineStr">
        <is>
          <t>Compras</t>
        </is>
      </c>
      <c r="G2368" s="69" t="n">
        <v>0</v>
      </c>
      <c r="H2368" s="173" t="inlineStr">
        <is>
          <t>Sim</t>
        </is>
      </c>
      <c r="I2368" s="50" t="n"/>
    </row>
    <row r="2369">
      <c r="A2369" s="40" t="inlineStr">
        <is>
          <t>000072</t>
        </is>
      </c>
      <c r="B2369" s="41" t="inlineStr">
        <is>
          <t>PP DADINHO DE TAPIOCA</t>
        </is>
      </c>
      <c r="C2369" s="42" t="inlineStr">
        <is>
          <t>MR</t>
        </is>
      </c>
      <c r="D2369" s="42" t="inlineStr">
        <is>
          <t>UN</t>
        </is>
      </c>
      <c r="E2369" s="42" t="inlineStr">
        <is>
          <t>0082</t>
        </is>
      </c>
      <c r="F2369" s="65" t="inlineStr">
        <is>
          <t>Venda</t>
        </is>
      </c>
      <c r="G2369" s="68" t="n">
        <v>0</v>
      </c>
      <c r="H2369" s="173" t="inlineStr">
        <is>
          <t>Sim</t>
        </is>
      </c>
      <c r="I2369" s="49" t="n"/>
    </row>
    <row r="2370">
      <c r="A2370" s="43" t="inlineStr">
        <is>
          <t>000073</t>
        </is>
      </c>
      <c r="B2370" s="44" t="inlineStr">
        <is>
          <t>PP ESPETO MUSSARELA DEFUMADA</t>
        </is>
      </c>
      <c r="C2370" s="45" t="inlineStr">
        <is>
          <t>MR</t>
        </is>
      </c>
      <c r="D2370" s="45" t="inlineStr">
        <is>
          <t>UN</t>
        </is>
      </c>
      <c r="E2370" s="45" t="inlineStr">
        <is>
          <t>0082</t>
        </is>
      </c>
      <c r="F2370" s="65" t="inlineStr">
        <is>
          <t>Venda</t>
        </is>
      </c>
      <c r="G2370" s="69" t="n">
        <v>0</v>
      </c>
      <c r="H2370" s="173" t="inlineStr">
        <is>
          <t>Sim</t>
        </is>
      </c>
      <c r="I2370" s="50" t="n"/>
    </row>
    <row r="2371">
      <c r="A2371" s="40" t="inlineStr">
        <is>
          <t>000218</t>
        </is>
      </c>
      <c r="B2371" s="41" t="inlineStr">
        <is>
          <t>PP ESPETO QUEIJO COALHO AO MEL</t>
        </is>
      </c>
      <c r="C2371" s="42" t="inlineStr">
        <is>
          <t>MR</t>
        </is>
      </c>
      <c r="D2371" s="42" t="inlineStr">
        <is>
          <t>UN</t>
        </is>
      </c>
      <c r="E2371" s="42" t="inlineStr">
        <is>
          <t>0082</t>
        </is>
      </c>
      <c r="F2371" s="65" t="inlineStr">
        <is>
          <t>Venda</t>
        </is>
      </c>
      <c r="G2371" s="68" t="n">
        <v>0</v>
      </c>
      <c r="H2371" s="173" t="inlineStr">
        <is>
          <t>Sim</t>
        </is>
      </c>
      <c r="I2371" s="49" t="n"/>
    </row>
    <row r="2372">
      <c r="A2372" s="43" t="inlineStr">
        <is>
          <t>000202</t>
        </is>
      </c>
      <c r="B2372" s="44" t="inlineStr">
        <is>
          <t>PP MORANGO FRUTA ESPETO C/ CHO</t>
        </is>
      </c>
      <c r="C2372" s="45" t="inlineStr">
        <is>
          <t>MR</t>
        </is>
      </c>
      <c r="D2372" s="45" t="inlineStr">
        <is>
          <t>UN</t>
        </is>
      </c>
      <c r="E2372" s="45" t="inlineStr">
        <is>
          <t>0083</t>
        </is>
      </c>
      <c r="F2372" s="65" t="inlineStr">
        <is>
          <t>Venda</t>
        </is>
      </c>
      <c r="G2372" s="69" t="n">
        <v>0</v>
      </c>
      <c r="H2372" s="173" t="inlineStr">
        <is>
          <t>Sim</t>
        </is>
      </c>
      <c r="I2372" s="50" t="n"/>
    </row>
    <row r="2373">
      <c r="A2373" s="40" t="inlineStr">
        <is>
          <t>000201</t>
        </is>
      </c>
      <c r="B2373" s="41" t="inlineStr">
        <is>
          <t>PP MORANGO FRUTA LIMPO</t>
        </is>
      </c>
      <c r="C2373" s="42" t="inlineStr">
        <is>
          <t>MR</t>
        </is>
      </c>
      <c r="D2373" s="42" t="inlineStr">
        <is>
          <t>KG</t>
        </is>
      </c>
      <c r="E2373" s="42" t="inlineStr">
        <is>
          <t>0083</t>
        </is>
      </c>
      <c r="F2373" s="65" t="inlineStr">
        <is>
          <t>Venda</t>
        </is>
      </c>
      <c r="G2373" s="68" t="n">
        <v>0</v>
      </c>
      <c r="H2373" s="173" t="inlineStr">
        <is>
          <t>Sim</t>
        </is>
      </c>
      <c r="I2373" s="49" t="n"/>
    </row>
    <row r="2374">
      <c r="A2374" s="43" t="inlineStr">
        <is>
          <t>000075</t>
        </is>
      </c>
      <c r="B2374" s="44" t="inlineStr">
        <is>
          <t>PP UVA ITALIA  FRUTA LIMPO</t>
        </is>
      </c>
      <c r="C2374" s="45" t="inlineStr">
        <is>
          <t>MR</t>
        </is>
      </c>
      <c r="D2374" s="45" t="inlineStr">
        <is>
          <t>KG</t>
        </is>
      </c>
      <c r="E2374" s="45" t="inlineStr">
        <is>
          <t>0083</t>
        </is>
      </c>
      <c r="F2374" s="65" t="inlineStr">
        <is>
          <t>Venda</t>
        </is>
      </c>
      <c r="G2374" s="69" t="n">
        <v>0</v>
      </c>
      <c r="H2374" s="173" t="inlineStr">
        <is>
          <t>Sim</t>
        </is>
      </c>
      <c r="I2374" s="50" t="n"/>
    </row>
    <row r="2375">
      <c r="A2375" s="40" t="inlineStr">
        <is>
          <t>000070</t>
        </is>
      </c>
      <c r="B2375" s="41" t="inlineStr">
        <is>
          <t>PP UVA ITALIA FRUTA ESPETO C/</t>
        </is>
      </c>
      <c r="C2375" s="42" t="inlineStr">
        <is>
          <t>MR</t>
        </is>
      </c>
      <c r="D2375" s="42" t="inlineStr">
        <is>
          <t>UN</t>
        </is>
      </c>
      <c r="E2375" s="42" t="inlineStr">
        <is>
          <t>0083</t>
        </is>
      </c>
      <c r="F2375" s="65" t="inlineStr">
        <is>
          <t>Venda</t>
        </is>
      </c>
      <c r="G2375" s="68" t="n">
        <v>0</v>
      </c>
      <c r="H2375" s="173" t="inlineStr">
        <is>
          <t>Sim</t>
        </is>
      </c>
      <c r="I2375" s="49" t="n"/>
    </row>
    <row r="2376">
      <c r="A2376" s="43" t="inlineStr">
        <is>
          <t>000074</t>
        </is>
      </c>
      <c r="B2376" s="44" t="inlineStr">
        <is>
          <t>PP UVA ITALIA FRUTAESPETO S/</t>
        </is>
      </c>
      <c r="C2376" s="45" t="inlineStr">
        <is>
          <t>MR</t>
        </is>
      </c>
      <c r="D2376" s="45" t="inlineStr">
        <is>
          <t>UN</t>
        </is>
      </c>
      <c r="E2376" s="45" t="inlineStr">
        <is>
          <t>0083</t>
        </is>
      </c>
      <c r="F2376" s="65" t="inlineStr">
        <is>
          <t>Venda</t>
        </is>
      </c>
      <c r="G2376" s="69" t="n">
        <v>0</v>
      </c>
      <c r="H2376" s="173" t="inlineStr">
        <is>
          <t>Sim</t>
        </is>
      </c>
      <c r="I2376" s="50" t="n"/>
    </row>
    <row r="2377">
      <c r="A2377" s="40" t="inlineStr">
        <is>
          <t>000165</t>
        </is>
      </c>
      <c r="B2377" s="41" t="inlineStr">
        <is>
          <t>PRANCHETA</t>
        </is>
      </c>
      <c r="C2377" s="42" t="inlineStr">
        <is>
          <t>MC</t>
        </is>
      </c>
      <c r="D2377" s="42" t="inlineStr">
        <is>
          <t>UN</t>
        </is>
      </c>
      <c r="E2377" s="42" t="inlineStr">
        <is>
          <t>0001</t>
        </is>
      </c>
      <c r="F2377" s="70" t="inlineStr">
        <is>
          <t>Compras</t>
        </is>
      </c>
      <c r="G2377" s="71" t="n">
        <v>21</v>
      </c>
      <c r="H2377" s="172" t="inlineStr">
        <is>
          <t>Não</t>
        </is>
      </c>
      <c r="I2377" s="49" t="n"/>
    </row>
    <row r="2378">
      <c r="A2378" s="43" t="inlineStr">
        <is>
          <t>001986</t>
        </is>
      </c>
      <c r="B2378" s="44" t="inlineStr">
        <is>
          <t>PRATELEIRA AEREA INOX</t>
        </is>
      </c>
      <c r="C2378" s="45" t="inlineStr">
        <is>
          <t>MC</t>
        </is>
      </c>
      <c r="D2378" s="45" t="inlineStr">
        <is>
          <t>UN</t>
        </is>
      </c>
      <c r="E2378" s="45" t="inlineStr">
        <is>
          <t>0080</t>
        </is>
      </c>
      <c r="F2378" s="70" t="inlineStr">
        <is>
          <t>Compras</t>
        </is>
      </c>
      <c r="G2378" s="66" t="n">
        <v>2400</v>
      </c>
      <c r="H2378" s="172" t="inlineStr">
        <is>
          <t>Não</t>
        </is>
      </c>
      <c r="I2378" s="50" t="n"/>
    </row>
    <row r="2379">
      <c r="A2379" s="40" t="inlineStr">
        <is>
          <t>002284</t>
        </is>
      </c>
      <c r="B2379" s="41" t="inlineStr">
        <is>
          <t>PRATO DESCARTAVEL</t>
        </is>
      </c>
      <c r="C2379" s="42" t="inlineStr">
        <is>
          <t>MC</t>
        </is>
      </c>
      <c r="D2379" s="42" t="inlineStr">
        <is>
          <t>CX</t>
        </is>
      </c>
      <c r="E2379" s="42" t="inlineStr">
        <is>
          <t>0075</t>
        </is>
      </c>
      <c r="F2379" s="70" t="inlineStr">
        <is>
          <t>Compras</t>
        </is>
      </c>
      <c r="G2379" s="71" t="n">
        <v>127.4</v>
      </c>
      <c r="H2379" s="172" t="inlineStr">
        <is>
          <t>Não</t>
        </is>
      </c>
      <c r="I2379" s="49" t="n"/>
    </row>
    <row r="2380">
      <c r="A2380" s="43" t="inlineStr">
        <is>
          <t>000510</t>
        </is>
      </c>
      <c r="B2380" s="44" t="inlineStr">
        <is>
          <t>PRATO PRISMA 21 CM</t>
        </is>
      </c>
      <c r="C2380" s="45" t="inlineStr">
        <is>
          <t>MC</t>
        </is>
      </c>
      <c r="D2380" s="45" t="inlineStr">
        <is>
          <t>UN</t>
        </is>
      </c>
      <c r="E2380" s="45" t="inlineStr">
        <is>
          <t>0079</t>
        </is>
      </c>
      <c r="F2380" s="70" t="inlineStr">
        <is>
          <t>Compras</t>
        </is>
      </c>
      <c r="G2380" s="66" t="n">
        <v>14.7213</v>
      </c>
      <c r="H2380" s="172" t="inlineStr">
        <is>
          <t>Não</t>
        </is>
      </c>
      <c r="I2380" s="50" t="n"/>
    </row>
    <row r="2381">
      <c r="A2381" s="40" t="inlineStr">
        <is>
          <t>000715</t>
        </is>
      </c>
      <c r="B2381" s="41" t="inlineStr">
        <is>
          <t>PRATO PRISMA 28 CM</t>
        </is>
      </c>
      <c r="C2381" s="42" t="inlineStr">
        <is>
          <t>MC</t>
        </is>
      </c>
      <c r="D2381" s="42" t="inlineStr">
        <is>
          <t>UN</t>
        </is>
      </c>
      <c r="E2381" s="42" t="inlineStr">
        <is>
          <t>0079</t>
        </is>
      </c>
      <c r="F2381" s="70" t="inlineStr">
        <is>
          <t>Compras</t>
        </is>
      </c>
      <c r="G2381" s="68" t="n">
        <v>0</v>
      </c>
      <c r="H2381" s="172" t="inlineStr">
        <is>
          <t>Não</t>
        </is>
      </c>
      <c r="I2381" s="49" t="n"/>
    </row>
    <row r="2382">
      <c r="A2382" s="43" t="inlineStr">
        <is>
          <t>000574</t>
        </is>
      </c>
      <c r="B2382" s="44" t="inlineStr">
        <is>
          <t>PRATOS PARA FUNCIONARIO</t>
        </is>
      </c>
      <c r="C2382" s="45" t="inlineStr">
        <is>
          <t>MC</t>
        </is>
      </c>
      <c r="D2382" s="45" t="inlineStr">
        <is>
          <t>UN</t>
        </is>
      </c>
      <c r="E2382" s="45" t="inlineStr">
        <is>
          <t>0079</t>
        </is>
      </c>
      <c r="F2382" s="70" t="inlineStr">
        <is>
          <t>Compras</t>
        </is>
      </c>
      <c r="G2382" s="66" t="n">
        <v>198</v>
      </c>
      <c r="H2382" s="172" t="inlineStr">
        <is>
          <t>Não</t>
        </is>
      </c>
      <c r="I2382" s="50" t="n"/>
    </row>
    <row r="2383">
      <c r="A2383" s="40" t="inlineStr">
        <is>
          <t>009867</t>
        </is>
      </c>
      <c r="B2383" s="41" t="inlineStr">
        <is>
          <t>PREGO EM ACO SEM CABECA</t>
        </is>
      </c>
      <c r="C2383" s="42" t="inlineStr">
        <is>
          <t>MC</t>
        </is>
      </c>
      <c r="D2383" s="42" t="inlineStr">
        <is>
          <t>UN</t>
        </is>
      </c>
      <c r="E2383" s="42" t="inlineStr">
        <is>
          <t>0132</t>
        </is>
      </c>
      <c r="F2383" s="70" t="inlineStr">
        <is>
          <t>Compras</t>
        </is>
      </c>
      <c r="G2383" s="71" t="n">
        <v>66.90000000000001</v>
      </c>
      <c r="H2383" s="172" t="inlineStr">
        <is>
          <t>Não</t>
        </is>
      </c>
      <c r="I2383" s="49" t="n"/>
    </row>
    <row r="2384">
      <c r="A2384" s="43" t="inlineStr">
        <is>
          <t>002249</t>
        </is>
      </c>
      <c r="B2384" s="44" t="inlineStr">
        <is>
          <t>PRESSURIZADOR DE AGUA</t>
        </is>
      </c>
      <c r="C2384" s="45" t="inlineStr">
        <is>
          <t>MC</t>
        </is>
      </c>
      <c r="D2384" s="45" t="inlineStr">
        <is>
          <t>UN</t>
        </is>
      </c>
      <c r="E2384" s="45" t="inlineStr">
        <is>
          <t>0132</t>
        </is>
      </c>
      <c r="F2384" s="70" t="inlineStr">
        <is>
          <t>Compras</t>
        </is>
      </c>
      <c r="G2384" s="66" t="n">
        <v>1249</v>
      </c>
      <c r="H2384" s="172" t="inlineStr">
        <is>
          <t>Não</t>
        </is>
      </c>
      <c r="I2384" s="50" t="n"/>
    </row>
    <row r="2385">
      <c r="A2385" s="40" t="inlineStr">
        <is>
          <t>001302</t>
        </is>
      </c>
      <c r="B2385" s="41" t="inlineStr">
        <is>
          <t>PRESUNTO COZIDO</t>
        </is>
      </c>
      <c r="C2385" s="42" t="inlineStr">
        <is>
          <t>MP</t>
        </is>
      </c>
      <c r="D2385" s="42" t="inlineStr">
        <is>
          <t>KG</t>
        </is>
      </c>
      <c r="E2385" s="42" t="inlineStr">
        <is>
          <t>0041</t>
        </is>
      </c>
      <c r="F2385" s="70" t="inlineStr">
        <is>
          <t>Compras</t>
        </is>
      </c>
      <c r="G2385" s="71" t="n">
        <v>21.31</v>
      </c>
      <c r="H2385" s="172" t="inlineStr">
        <is>
          <t>Não</t>
        </is>
      </c>
      <c r="I2385" s="49" t="n"/>
    </row>
    <row r="2386">
      <c r="A2386" s="43" t="inlineStr">
        <is>
          <t>010381</t>
        </is>
      </c>
      <c r="B2386" s="44" t="inlineStr">
        <is>
          <t>PRIMER ASFALTICO PARA MANTA 1L</t>
        </is>
      </c>
      <c r="C2386" s="45" t="inlineStr">
        <is>
          <t>MC</t>
        </is>
      </c>
      <c r="D2386" s="45" t="inlineStr">
        <is>
          <t>UN</t>
        </is>
      </c>
      <c r="E2386" s="45" t="inlineStr">
        <is>
          <t>0132</t>
        </is>
      </c>
      <c r="F2386" s="70" t="inlineStr">
        <is>
          <t>Compras</t>
        </is>
      </c>
      <c r="G2386" s="69" t="n">
        <v>0</v>
      </c>
      <c r="H2386" s="172" t="inlineStr">
        <is>
          <t>Não</t>
        </is>
      </c>
      <c r="I2386" s="50" t="n"/>
    </row>
    <row r="2387">
      <c r="A2387" s="40" t="inlineStr">
        <is>
          <t>000594</t>
        </is>
      </c>
      <c r="B2387" s="41" t="inlineStr">
        <is>
          <t>PROJETOR</t>
        </is>
      </c>
      <c r="C2387" s="42" t="inlineStr">
        <is>
          <t>AI</t>
        </is>
      </c>
      <c r="D2387" s="42" t="inlineStr">
        <is>
          <t>UN</t>
        </is>
      </c>
      <c r="E2387" s="42" t="inlineStr">
        <is>
          <t>0006</t>
        </is>
      </c>
      <c r="F2387" s="70" t="inlineStr">
        <is>
          <t>Compras</t>
        </is>
      </c>
      <c r="G2387" s="68" t="n">
        <v>0</v>
      </c>
      <c r="H2387" s="172" t="inlineStr">
        <is>
          <t>Não</t>
        </is>
      </c>
      <c r="I2387" s="49" t="n"/>
    </row>
    <row r="2388">
      <c r="A2388" s="43" t="inlineStr">
        <is>
          <t>010131</t>
        </is>
      </c>
      <c r="B2388" s="44" t="inlineStr">
        <is>
          <t>PROLONGADOR LATAO 1/2</t>
        </is>
      </c>
      <c r="C2388" s="45" t="inlineStr">
        <is>
          <t>MC</t>
        </is>
      </c>
      <c r="D2388" s="45" t="inlineStr">
        <is>
          <t>UN</t>
        </is>
      </c>
      <c r="E2388" s="45" t="inlineStr">
        <is>
          <t>0132</t>
        </is>
      </c>
      <c r="F2388" s="70" t="inlineStr">
        <is>
          <t>Compras</t>
        </is>
      </c>
      <c r="G2388" s="69" t="n">
        <v>0</v>
      </c>
      <c r="H2388" s="172" t="inlineStr">
        <is>
          <t>Não</t>
        </is>
      </c>
      <c r="I2388" s="50" t="n"/>
    </row>
    <row r="2389">
      <c r="A2389" s="40" t="inlineStr">
        <is>
          <t>000687</t>
        </is>
      </c>
      <c r="B2389" s="41" t="inlineStr">
        <is>
          <t>PROLONGADOR PARA ESTRADOR (PAL</t>
        </is>
      </c>
      <c r="C2389" s="42" t="inlineStr">
        <is>
          <t>MC</t>
        </is>
      </c>
      <c r="D2389" s="42" t="inlineStr">
        <is>
          <t>UN</t>
        </is>
      </c>
      <c r="E2389" s="42" t="inlineStr">
        <is>
          <t>0079</t>
        </is>
      </c>
      <c r="F2389" s="70" t="inlineStr">
        <is>
          <t>Compras</t>
        </is>
      </c>
      <c r="G2389" s="68" t="n">
        <v>0</v>
      </c>
      <c r="H2389" s="173" t="inlineStr">
        <is>
          <t>Sim</t>
        </is>
      </c>
      <c r="I2389" s="49" t="n"/>
    </row>
    <row r="2390">
      <c r="A2390" s="43" t="inlineStr">
        <is>
          <t>002093</t>
        </is>
      </c>
      <c r="B2390" s="44" t="inlineStr">
        <is>
          <t>PROMOCAO CLASSICOS</t>
        </is>
      </c>
      <c r="C2390" s="45" t="inlineStr">
        <is>
          <t>OI</t>
        </is>
      </c>
      <c r="D2390" s="45" t="inlineStr">
        <is>
          <t>UN</t>
        </is>
      </c>
      <c r="E2390" s="45" t="inlineStr">
        <is>
          <t>0092</t>
        </is>
      </c>
      <c r="F2390" s="65" t="inlineStr">
        <is>
          <t>Venda</t>
        </is>
      </c>
      <c r="G2390" s="69" t="n">
        <v>0</v>
      </c>
      <c r="H2390" s="172" t="inlineStr">
        <is>
          <t>Não</t>
        </is>
      </c>
      <c r="I2390" s="48" t="inlineStr">
        <is>
          <t>78989056877313</t>
        </is>
      </c>
    </row>
    <row r="2391">
      <c r="A2391" s="40" t="inlineStr">
        <is>
          <t>001648</t>
        </is>
      </c>
      <c r="B2391" s="41" t="inlineStr">
        <is>
          <t>PROMOTER MKT</t>
        </is>
      </c>
      <c r="C2391" s="42" t="inlineStr">
        <is>
          <t>SV</t>
        </is>
      </c>
      <c r="D2391" s="42" t="inlineStr">
        <is>
          <t>UN</t>
        </is>
      </c>
      <c r="E2391" s="42" t="inlineStr">
        <is>
          <t>(VAZ</t>
        </is>
      </c>
      <c r="F2391" s="70" t="inlineStr">
        <is>
          <t>Compras</t>
        </is>
      </c>
      <c r="G2391" s="68" t="n">
        <v>0</v>
      </c>
      <c r="H2391" s="172" t="inlineStr">
        <is>
          <t>Não</t>
        </is>
      </c>
      <c r="I2391" s="49" t="n"/>
    </row>
    <row r="2392">
      <c r="A2392" s="43" t="inlineStr">
        <is>
          <t>010357</t>
        </is>
      </c>
      <c r="B2392" s="44" t="inlineStr">
        <is>
          <t>PROMOCAO RED BULL POMELO</t>
        </is>
      </c>
      <c r="C2392" s="45" t="inlineStr">
        <is>
          <t>MR</t>
        </is>
      </c>
      <c r="D2392" s="45" t="inlineStr">
        <is>
          <t>UN</t>
        </is>
      </c>
      <c r="E2392" s="45" t="inlineStr">
        <is>
          <t>0105</t>
        </is>
      </c>
      <c r="F2392" s="65" t="inlineStr">
        <is>
          <t>Venda</t>
        </is>
      </c>
      <c r="G2392" s="69" t="n">
        <v>0</v>
      </c>
      <c r="H2392" s="172" t="inlineStr">
        <is>
          <t>Não</t>
        </is>
      </c>
      <c r="I2392" s="48" t="inlineStr">
        <is>
          <t>789890568772140</t>
        </is>
      </c>
    </row>
    <row r="2393">
      <c r="A2393" s="40" t="inlineStr">
        <is>
          <t>000133</t>
        </is>
      </c>
      <c r="B2393" s="41" t="inlineStr">
        <is>
          <t>PROTETOR ASSENTO VASO SANITARI</t>
        </is>
      </c>
      <c r="C2393" s="42" t="inlineStr">
        <is>
          <t>MC</t>
        </is>
      </c>
      <c r="D2393" s="42" t="inlineStr">
        <is>
          <t>UN</t>
        </is>
      </c>
      <c r="E2393" s="42" t="inlineStr">
        <is>
          <t>0075</t>
        </is>
      </c>
      <c r="F2393" s="70" t="inlineStr">
        <is>
          <t>Compras</t>
        </is>
      </c>
      <c r="G2393" s="71" t="n">
        <v>33.16</v>
      </c>
      <c r="H2393" s="172" t="inlineStr">
        <is>
          <t>Não</t>
        </is>
      </c>
      <c r="I2393" s="49" t="n"/>
    </row>
    <row r="2394">
      <c r="A2394" s="43" t="inlineStr">
        <is>
          <t>001398</t>
        </is>
      </c>
      <c r="B2394" s="44" t="inlineStr">
        <is>
          <t>PROTETOR AURICULAR</t>
        </is>
      </c>
      <c r="C2394" s="45" t="inlineStr">
        <is>
          <t>MC</t>
        </is>
      </c>
      <c r="D2394" s="45" t="inlineStr">
        <is>
          <t>UN</t>
        </is>
      </c>
      <c r="E2394" s="45" t="inlineStr">
        <is>
          <t>0017</t>
        </is>
      </c>
      <c r="F2394" s="70" t="inlineStr">
        <is>
          <t>Compras</t>
        </is>
      </c>
      <c r="G2394" s="66" t="n">
        <v>6</v>
      </c>
      <c r="H2394" s="172" t="inlineStr">
        <is>
          <t>Não</t>
        </is>
      </c>
      <c r="I2394" s="50" t="n"/>
    </row>
    <row r="2395">
      <c r="A2395" s="40" t="inlineStr">
        <is>
          <t>010283</t>
        </is>
      </c>
      <c r="B2395" s="41" t="inlineStr">
        <is>
          <t>PROTETOR DE MANGUEIRA ESPIRAL 3/4" X 1" 20X25MM</t>
        </is>
      </c>
      <c r="C2395" s="42" t="inlineStr">
        <is>
          <t>MC</t>
        </is>
      </c>
      <c r="D2395" s="42" t="inlineStr">
        <is>
          <t>UN</t>
        </is>
      </c>
      <c r="E2395" s="42" t="inlineStr">
        <is>
          <t>0132</t>
        </is>
      </c>
      <c r="F2395" s="70" t="inlineStr">
        <is>
          <t>Compras</t>
        </is>
      </c>
      <c r="G2395" s="71" t="n">
        <v>7</v>
      </c>
      <c r="H2395" s="172" t="inlineStr">
        <is>
          <t>Não</t>
        </is>
      </c>
      <c r="I2395" s="49" t="n"/>
    </row>
    <row r="2396">
      <c r="A2396" s="43" t="inlineStr">
        <is>
          <t>000438</t>
        </is>
      </c>
      <c r="B2396" s="44" t="inlineStr">
        <is>
          <t>PROVOLONE</t>
        </is>
      </c>
      <c r="C2396" s="45" t="inlineStr">
        <is>
          <t>MR</t>
        </is>
      </c>
      <c r="D2396" s="45" t="inlineStr">
        <is>
          <t>KG</t>
        </is>
      </c>
      <c r="E2396" s="45" t="inlineStr">
        <is>
          <t>0041</t>
        </is>
      </c>
      <c r="F2396" s="70" t="inlineStr">
        <is>
          <t>Compras</t>
        </is>
      </c>
      <c r="G2396" s="69" t="n">
        <v>0</v>
      </c>
      <c r="H2396" s="173" t="inlineStr">
        <is>
          <t>Sim</t>
        </is>
      </c>
      <c r="I2396" s="50" t="n"/>
    </row>
    <row r="2397">
      <c r="A2397" s="40" t="inlineStr">
        <is>
          <t>000775</t>
        </is>
      </c>
      <c r="B2397" s="41" t="inlineStr">
        <is>
          <t>PROVOLONE MILANESA</t>
        </is>
      </c>
      <c r="C2397" s="42" t="inlineStr">
        <is>
          <t>MR</t>
        </is>
      </c>
      <c r="D2397" s="42" t="inlineStr">
        <is>
          <t>UN</t>
        </is>
      </c>
      <c r="E2397" s="42" t="inlineStr">
        <is>
          <t>0041</t>
        </is>
      </c>
      <c r="F2397" s="40" t="inlineStr">
        <is>
          <t>(vazio)</t>
        </is>
      </c>
      <c r="G2397" s="68" t="n">
        <v>0</v>
      </c>
      <c r="H2397" s="173" t="inlineStr">
        <is>
          <t>Sim</t>
        </is>
      </c>
      <c r="I2397" s="47" t="inlineStr">
        <is>
          <t>40025</t>
        </is>
      </c>
    </row>
    <row r="2398">
      <c r="A2398" s="43" t="inlineStr">
        <is>
          <t>010222</t>
        </is>
      </c>
      <c r="B2398" s="44" t="inlineStr">
        <is>
          <t>PULSEIRA PARA AREA KIDS AMARELO</t>
        </is>
      </c>
      <c r="C2398" s="45" t="inlineStr">
        <is>
          <t>MC</t>
        </is>
      </c>
      <c r="D2398" s="45" t="inlineStr">
        <is>
          <t>UN</t>
        </is>
      </c>
      <c r="E2398" s="45" t="inlineStr">
        <is>
          <t>0134</t>
        </is>
      </c>
      <c r="F2398" s="70" t="inlineStr">
        <is>
          <t>Compras</t>
        </is>
      </c>
      <c r="G2398" s="69" t="n">
        <v>0</v>
      </c>
      <c r="H2398" s="172" t="inlineStr">
        <is>
          <t>Não</t>
        </is>
      </c>
      <c r="I2398" s="50" t="n"/>
    </row>
    <row r="2399">
      <c r="A2399" s="40" t="inlineStr">
        <is>
          <t>010220</t>
        </is>
      </c>
      <c r="B2399" s="41" t="inlineStr">
        <is>
          <t>PULSEIRA PARA AREA KIDS AZUL - INFLAVEIS</t>
        </is>
      </c>
      <c r="C2399" s="42" t="inlineStr">
        <is>
          <t>MC</t>
        </is>
      </c>
      <c r="D2399" s="42" t="inlineStr">
        <is>
          <t>UN</t>
        </is>
      </c>
      <c r="E2399" s="42" t="inlineStr">
        <is>
          <t>0134</t>
        </is>
      </c>
      <c r="F2399" s="70" t="inlineStr">
        <is>
          <t>Compras</t>
        </is>
      </c>
      <c r="G2399" s="68" t="n">
        <v>0</v>
      </c>
      <c r="H2399" s="172" t="inlineStr">
        <is>
          <t>Não</t>
        </is>
      </c>
      <c r="I2399" s="49" t="n"/>
    </row>
    <row r="2400">
      <c r="A2400" s="43" t="inlineStr">
        <is>
          <t>010221</t>
        </is>
      </c>
      <c r="B2400" s="44" t="inlineStr">
        <is>
          <t>PULSEIRA PARA AREA KIDS ROSA</t>
        </is>
      </c>
      <c r="C2400" s="45" t="inlineStr">
        <is>
          <t>MC</t>
        </is>
      </c>
      <c r="D2400" s="45" t="inlineStr">
        <is>
          <t>UN</t>
        </is>
      </c>
      <c r="E2400" s="45" t="inlineStr">
        <is>
          <t>0134</t>
        </is>
      </c>
      <c r="F2400" s="70" t="inlineStr">
        <is>
          <t>Compras</t>
        </is>
      </c>
      <c r="G2400" s="69" t="n">
        <v>0</v>
      </c>
      <c r="H2400" s="172" t="inlineStr">
        <is>
          <t>Não</t>
        </is>
      </c>
      <c r="I2400" s="50" t="n"/>
    </row>
    <row r="2401">
      <c r="A2401" s="40" t="inlineStr">
        <is>
          <t>010219</t>
        </is>
      </c>
      <c r="B2401" s="41" t="inlineStr">
        <is>
          <t>PULSEIRA PARA AREA KIDS VERDE</t>
        </is>
      </c>
      <c r="C2401" s="42" t="inlineStr">
        <is>
          <t>MC</t>
        </is>
      </c>
      <c r="D2401" s="42" t="inlineStr">
        <is>
          <t>UN</t>
        </is>
      </c>
      <c r="E2401" s="42" t="inlineStr">
        <is>
          <t>0134</t>
        </is>
      </c>
      <c r="F2401" s="70" t="inlineStr">
        <is>
          <t>Compras</t>
        </is>
      </c>
      <c r="G2401" s="68" t="n">
        <v>0</v>
      </c>
      <c r="H2401" s="172" t="inlineStr">
        <is>
          <t>Não</t>
        </is>
      </c>
      <c r="I2401" s="49" t="n"/>
    </row>
    <row r="2402">
      <c r="A2402" s="43" t="inlineStr">
        <is>
          <t>000223</t>
        </is>
      </c>
      <c r="B2402" s="44" t="inlineStr">
        <is>
          <t>PULSEIRAS ALL INCLUSIVE</t>
        </is>
      </c>
      <c r="C2402" s="45" t="inlineStr">
        <is>
          <t>MC</t>
        </is>
      </c>
      <c r="D2402" s="45" t="inlineStr">
        <is>
          <t>UN</t>
        </is>
      </c>
      <c r="E2402" s="45" t="inlineStr">
        <is>
          <t>0075</t>
        </is>
      </c>
      <c r="F2402" s="70" t="inlineStr">
        <is>
          <t>Compras</t>
        </is>
      </c>
      <c r="G2402" s="66" t="n">
        <v>0.4</v>
      </c>
      <c r="H2402" s="172" t="inlineStr">
        <is>
          <t>Não</t>
        </is>
      </c>
      <c r="I2402" s="50" t="n"/>
    </row>
    <row r="2403">
      <c r="A2403" s="40" t="inlineStr">
        <is>
          <t>000263</t>
        </is>
      </c>
      <c r="B2403" s="41" t="inlineStr">
        <is>
          <t>PULSEIRAS KIDS</t>
        </is>
      </c>
      <c r="C2403" s="42" t="inlineStr">
        <is>
          <t>MC</t>
        </is>
      </c>
      <c r="D2403" s="42" t="inlineStr">
        <is>
          <t>UN</t>
        </is>
      </c>
      <c r="E2403" s="42" t="inlineStr">
        <is>
          <t>0073</t>
        </is>
      </c>
      <c r="F2403" s="70" t="inlineStr">
        <is>
          <t>Compras</t>
        </is>
      </c>
      <c r="G2403" s="71" t="n">
        <v>0.2</v>
      </c>
      <c r="H2403" s="172" t="inlineStr">
        <is>
          <t>Não</t>
        </is>
      </c>
      <c r="I2403" s="49" t="n"/>
    </row>
    <row r="2404">
      <c r="A2404" s="43" t="inlineStr">
        <is>
          <t>000280</t>
        </is>
      </c>
      <c r="B2404" s="44" t="inlineStr">
        <is>
          <t>PUPUNHA C TOMATE SECO E RUCULA</t>
        </is>
      </c>
      <c r="C2404" s="45" t="inlineStr">
        <is>
          <t>PA</t>
        </is>
      </c>
      <c r="D2404" s="45" t="inlineStr">
        <is>
          <t>UN</t>
        </is>
      </c>
      <c r="E2404" s="45" t="inlineStr">
        <is>
          <t>0098</t>
        </is>
      </c>
      <c r="F2404" s="65" t="inlineStr">
        <is>
          <t>Venda</t>
        </is>
      </c>
      <c r="G2404" s="69" t="n">
        <v>0</v>
      </c>
      <c r="H2404" s="172" t="inlineStr">
        <is>
          <t>Não</t>
        </is>
      </c>
      <c r="I2404" s="48" t="inlineStr">
        <is>
          <t>30006</t>
        </is>
      </c>
    </row>
    <row r="2405">
      <c r="A2405" s="40" t="inlineStr">
        <is>
          <t>001070</t>
        </is>
      </c>
      <c r="B2405" s="41" t="inlineStr">
        <is>
          <t>PUPUNHA NA BRASA</t>
        </is>
      </c>
      <c r="C2405" s="42" t="inlineStr">
        <is>
          <t>PA</t>
        </is>
      </c>
      <c r="D2405" s="42" t="inlineStr">
        <is>
          <t>UN</t>
        </is>
      </c>
      <c r="E2405" s="42" t="inlineStr">
        <is>
          <t>0089</t>
        </is>
      </c>
      <c r="F2405" s="65" t="inlineStr">
        <is>
          <t>Venda</t>
        </is>
      </c>
      <c r="G2405" s="71" t="n">
        <v>66.90000000000001</v>
      </c>
      <c r="H2405" s="172" t="inlineStr">
        <is>
          <t>Não</t>
        </is>
      </c>
      <c r="I2405" s="47" t="inlineStr">
        <is>
          <t>9003335</t>
        </is>
      </c>
    </row>
    <row r="2406">
      <c r="A2406" s="43" t="inlineStr">
        <is>
          <t>002213</t>
        </is>
      </c>
      <c r="B2406" s="44" t="inlineStr">
        <is>
          <t>PURE DE BATATA</t>
        </is>
      </c>
      <c r="C2406" s="45" t="inlineStr">
        <is>
          <t>PA</t>
        </is>
      </c>
      <c r="D2406" s="45" t="inlineStr">
        <is>
          <t>UN</t>
        </is>
      </c>
      <c r="E2406" s="45" t="inlineStr">
        <is>
          <t>0121</t>
        </is>
      </c>
      <c r="F2406" s="65" t="inlineStr">
        <is>
          <t>Venda</t>
        </is>
      </c>
      <c r="G2406" s="69" t="n">
        <v>0</v>
      </c>
      <c r="H2406" s="172" t="inlineStr">
        <is>
          <t>Não</t>
        </is>
      </c>
      <c r="I2406" s="48" t="inlineStr">
        <is>
          <t>78989056877334</t>
        </is>
      </c>
    </row>
    <row r="2407">
      <c r="A2407" s="40" t="inlineStr">
        <is>
          <t>002211</t>
        </is>
      </c>
      <c r="B2407" s="41" t="inlineStr">
        <is>
          <t>POLENTA FRITA DELIVERY</t>
        </is>
      </c>
      <c r="C2407" s="42" t="inlineStr">
        <is>
          <t>PA</t>
        </is>
      </c>
      <c r="D2407" s="42" t="inlineStr">
        <is>
          <t>UN</t>
        </is>
      </c>
      <c r="E2407" s="42" t="inlineStr">
        <is>
          <t>0121</t>
        </is>
      </c>
      <c r="F2407" s="65" t="inlineStr">
        <is>
          <t>Venda</t>
        </is>
      </c>
      <c r="G2407" s="68" t="n">
        <v>0</v>
      </c>
      <c r="H2407" s="172" t="inlineStr">
        <is>
          <t>Não</t>
        </is>
      </c>
      <c r="I2407" s="47" t="inlineStr">
        <is>
          <t>78989056877331</t>
        </is>
      </c>
    </row>
    <row r="2408">
      <c r="A2408" s="43" t="inlineStr">
        <is>
          <t>002246</t>
        </is>
      </c>
      <c r="B2408" s="44" t="inlineStr">
        <is>
          <t>PURE E ABOBORA</t>
        </is>
      </c>
      <c r="C2408" s="45" t="inlineStr">
        <is>
          <t>PA</t>
        </is>
      </c>
      <c r="D2408" s="45" t="inlineStr">
        <is>
          <t>UN</t>
        </is>
      </c>
      <c r="E2408" s="45" t="inlineStr">
        <is>
          <t>0121</t>
        </is>
      </c>
      <c r="F2408" s="65" t="inlineStr">
        <is>
          <t>Venda</t>
        </is>
      </c>
      <c r="G2408" s="69" t="n">
        <v>0</v>
      </c>
      <c r="H2408" s="172" t="inlineStr">
        <is>
          <t>Não</t>
        </is>
      </c>
      <c r="I2408" s="48" t="inlineStr">
        <is>
          <t>78989056877333</t>
        </is>
      </c>
    </row>
    <row r="2409">
      <c r="A2409" s="40" t="inlineStr">
        <is>
          <t>002034</t>
        </is>
      </c>
      <c r="B2409" s="41" t="inlineStr">
        <is>
          <t>PURPLE GIN</t>
        </is>
      </c>
      <c r="C2409" s="42" t="inlineStr">
        <is>
          <t>PA</t>
        </is>
      </c>
      <c r="D2409" s="42" t="inlineStr">
        <is>
          <t>UN</t>
        </is>
      </c>
      <c r="E2409" s="42" t="inlineStr">
        <is>
          <t>0097</t>
        </is>
      </c>
      <c r="F2409" s="65" t="inlineStr">
        <is>
          <t>Venda</t>
        </is>
      </c>
      <c r="G2409" s="68" t="n">
        <v>0</v>
      </c>
      <c r="H2409" s="172" t="inlineStr">
        <is>
          <t>Não</t>
        </is>
      </c>
      <c r="I2409" s="47" t="inlineStr">
        <is>
          <t>78989056877284</t>
        </is>
      </c>
    </row>
    <row r="2410">
      <c r="A2410" s="43" t="inlineStr">
        <is>
          <t>002042</t>
        </is>
      </c>
      <c r="B2410" s="44" t="inlineStr">
        <is>
          <t>PURPLE GIN</t>
        </is>
      </c>
      <c r="C2410" s="45" t="inlineStr">
        <is>
          <t>PA</t>
        </is>
      </c>
      <c r="D2410" s="45" t="inlineStr">
        <is>
          <t>UN</t>
        </is>
      </c>
      <c r="E2410" s="45" t="inlineStr">
        <is>
          <t>0101</t>
        </is>
      </c>
      <c r="F2410" s="65" t="inlineStr">
        <is>
          <t>Venda</t>
        </is>
      </c>
      <c r="G2410" s="69" t="n">
        <v>0</v>
      </c>
      <c r="H2410" s="173" t="inlineStr">
        <is>
          <t>Sim</t>
        </is>
      </c>
      <c r="I2410" s="48" t="inlineStr">
        <is>
          <t>78989056877284</t>
        </is>
      </c>
    </row>
    <row r="2411">
      <c r="A2411" s="40" t="inlineStr">
        <is>
          <t>002044</t>
        </is>
      </c>
      <c r="B2411" s="41" t="inlineStr">
        <is>
          <t>PURPLE VODKA</t>
        </is>
      </c>
      <c r="C2411" s="42" t="inlineStr">
        <is>
          <t>PA</t>
        </is>
      </c>
      <c r="D2411" s="42" t="inlineStr">
        <is>
          <t>UN</t>
        </is>
      </c>
      <c r="E2411" s="42" t="inlineStr">
        <is>
          <t>0101</t>
        </is>
      </c>
      <c r="F2411" s="65" t="inlineStr">
        <is>
          <t>Venda</t>
        </is>
      </c>
      <c r="G2411" s="68" t="n">
        <v>0</v>
      </c>
      <c r="H2411" s="172" t="inlineStr">
        <is>
          <t>Não</t>
        </is>
      </c>
      <c r="I2411" s="47" t="inlineStr">
        <is>
          <t>78989056877286</t>
        </is>
      </c>
    </row>
    <row r="2412">
      <c r="A2412" s="43" t="inlineStr">
        <is>
          <t>009366</t>
        </is>
      </c>
      <c r="B2412" s="44" t="inlineStr">
        <is>
          <t>PUXADOR 30CM INOX</t>
        </is>
      </c>
      <c r="C2412" s="45" t="inlineStr">
        <is>
          <t>MC</t>
        </is>
      </c>
      <c r="D2412" s="45" t="inlineStr">
        <is>
          <t>UN</t>
        </is>
      </c>
      <c r="E2412" s="45" t="inlineStr">
        <is>
          <t>0132</t>
        </is>
      </c>
      <c r="F2412" s="70" t="inlineStr">
        <is>
          <t>Compras</t>
        </is>
      </c>
      <c r="G2412" s="69" t="n">
        <v>0</v>
      </c>
      <c r="H2412" s="172" t="inlineStr">
        <is>
          <t>Não</t>
        </is>
      </c>
      <c r="I2412" s="50" t="n"/>
    </row>
    <row r="2413">
      <c r="A2413" s="40" t="inlineStr">
        <is>
          <t>000238</t>
        </is>
      </c>
      <c r="B2413" s="41" t="inlineStr">
        <is>
          <t>QUADRO PARA AVISO</t>
        </is>
      </c>
      <c r="C2413" s="42" t="inlineStr">
        <is>
          <t>MC</t>
        </is>
      </c>
      <c r="D2413" s="42" t="inlineStr">
        <is>
          <t>UN</t>
        </is>
      </c>
      <c r="E2413" s="42" t="inlineStr">
        <is>
          <t>0001</t>
        </is>
      </c>
      <c r="F2413" s="70" t="inlineStr">
        <is>
          <t>Compras</t>
        </is>
      </c>
      <c r="G2413" s="68" t="n">
        <v>0</v>
      </c>
      <c r="H2413" s="172" t="inlineStr">
        <is>
          <t>Não</t>
        </is>
      </c>
      <c r="I2413" s="49" t="n"/>
    </row>
    <row r="2414">
      <c r="A2414" s="43" t="inlineStr">
        <is>
          <t>000143</t>
        </is>
      </c>
      <c r="B2414" s="44" t="inlineStr">
        <is>
          <t>QUADRO SHOW 45X59CM</t>
        </is>
      </c>
      <c r="C2414" s="45" t="inlineStr">
        <is>
          <t>MC</t>
        </is>
      </c>
      <c r="D2414" s="45" t="inlineStr">
        <is>
          <t>UN</t>
        </is>
      </c>
      <c r="E2414" s="45" t="inlineStr">
        <is>
          <t>0073</t>
        </is>
      </c>
      <c r="F2414" s="70" t="inlineStr">
        <is>
          <t>Compras</t>
        </is>
      </c>
      <c r="G2414" s="69" t="n">
        <v>0</v>
      </c>
      <c r="H2414" s="172" t="inlineStr">
        <is>
          <t>Não</t>
        </is>
      </c>
      <c r="I2414" s="50" t="n"/>
    </row>
    <row r="2415">
      <c r="A2415" s="40" t="inlineStr">
        <is>
          <t>000282</t>
        </is>
      </c>
      <c r="B2415" s="41" t="inlineStr">
        <is>
          <t>QUEIJO COALHO C/ MELACO</t>
        </is>
      </c>
      <c r="C2415" s="42" t="inlineStr">
        <is>
          <t>PA</t>
        </is>
      </c>
      <c r="D2415" s="42" t="inlineStr">
        <is>
          <t>UN</t>
        </is>
      </c>
      <c r="E2415" s="42" t="inlineStr">
        <is>
          <t>0041</t>
        </is>
      </c>
      <c r="F2415" s="65" t="inlineStr">
        <is>
          <t>Venda</t>
        </is>
      </c>
      <c r="G2415" s="68" t="n">
        <v>0</v>
      </c>
      <c r="H2415" s="172" t="inlineStr">
        <is>
          <t>Não</t>
        </is>
      </c>
      <c r="I2415" s="47" t="inlineStr">
        <is>
          <t>30007</t>
        </is>
      </c>
    </row>
    <row r="2416">
      <c r="A2416" s="43" t="inlineStr">
        <is>
          <t>002198</t>
        </is>
      </c>
      <c r="B2416" s="44" t="inlineStr">
        <is>
          <t>QUEIJO COALHO C/ MELACO RUA</t>
        </is>
      </c>
      <c r="C2416" s="45" t="inlineStr">
        <is>
          <t>PA</t>
        </is>
      </c>
      <c r="D2416" s="45" t="inlineStr">
        <is>
          <t>UN</t>
        </is>
      </c>
      <c r="E2416" s="45" t="inlineStr">
        <is>
          <t>0041</t>
        </is>
      </c>
      <c r="F2416" s="65" t="inlineStr">
        <is>
          <t>Venda</t>
        </is>
      </c>
      <c r="G2416" s="69" t="n">
        <v>0</v>
      </c>
      <c r="H2416" s="172" t="inlineStr">
        <is>
          <t>Não</t>
        </is>
      </c>
      <c r="I2416" s="48" t="inlineStr">
        <is>
          <t>78989056877347</t>
        </is>
      </c>
    </row>
    <row r="2417">
      <c r="A2417" s="40" t="inlineStr">
        <is>
          <t>000008</t>
        </is>
      </c>
      <c r="B2417" s="41" t="inlineStr">
        <is>
          <t>QUEIJO COALHO IN NATURA</t>
        </is>
      </c>
      <c r="C2417" s="42" t="inlineStr">
        <is>
          <t>MR</t>
        </is>
      </c>
      <c r="D2417" s="42" t="inlineStr">
        <is>
          <t>UN</t>
        </is>
      </c>
      <c r="E2417" s="42" t="inlineStr">
        <is>
          <t>0102</t>
        </is>
      </c>
      <c r="F2417" s="65" t="inlineStr">
        <is>
          <t>Venda</t>
        </is>
      </c>
      <c r="G2417" s="68" t="n">
        <v>0</v>
      </c>
      <c r="H2417" s="172" t="inlineStr">
        <is>
          <t>Não</t>
        </is>
      </c>
      <c r="I2417" s="47" t="inlineStr">
        <is>
          <t>10010</t>
        </is>
      </c>
    </row>
    <row r="2418">
      <c r="A2418" s="43" t="inlineStr">
        <is>
          <t>010339</t>
        </is>
      </c>
      <c r="B2418" s="44" t="inlineStr">
        <is>
          <t>QUEIJO PARMESAO FRESCO RALADO</t>
        </is>
      </c>
      <c r="C2418" s="45" t="inlineStr">
        <is>
          <t>MP</t>
        </is>
      </c>
      <c r="D2418" s="45" t="inlineStr">
        <is>
          <t>KG</t>
        </is>
      </c>
      <c r="E2418" s="45" t="inlineStr">
        <is>
          <t>0029</t>
        </is>
      </c>
      <c r="F2418" s="70" t="inlineStr">
        <is>
          <t>Compras</t>
        </is>
      </c>
      <c r="G2418" s="69" t="n">
        <v>43.02</v>
      </c>
      <c r="H2418" s="172" t="inlineStr">
        <is>
          <t>Não</t>
        </is>
      </c>
      <c r="I2418" s="50" t="n"/>
    </row>
    <row r="2419">
      <c r="A2419" s="40" t="inlineStr">
        <is>
          <t>001934</t>
        </is>
      </c>
      <c r="B2419" s="41" t="inlineStr">
        <is>
          <t>QUENTAO</t>
        </is>
      </c>
      <c r="C2419" s="42" t="inlineStr">
        <is>
          <t>PA</t>
        </is>
      </c>
      <c r="D2419" s="42" t="inlineStr">
        <is>
          <t>UN</t>
        </is>
      </c>
      <c r="E2419" s="42" t="inlineStr">
        <is>
          <t>0101</t>
        </is>
      </c>
      <c r="F2419" s="65" t="inlineStr">
        <is>
          <t>Venda</t>
        </is>
      </c>
      <c r="G2419" s="68" t="n">
        <v>0</v>
      </c>
      <c r="H2419" s="172" t="inlineStr">
        <is>
          <t>Não</t>
        </is>
      </c>
      <c r="I2419" s="47" t="inlineStr">
        <is>
          <t>78989056877166</t>
        </is>
      </c>
    </row>
    <row r="2420">
      <c r="A2420" s="43" t="inlineStr">
        <is>
          <t>000912</t>
        </is>
      </c>
      <c r="B2420" s="44" t="inlineStr">
        <is>
          <t>QUILMES</t>
        </is>
      </c>
      <c r="C2420" s="45" t="inlineStr">
        <is>
          <t>MR</t>
        </is>
      </c>
      <c r="D2420" s="45" t="inlineStr">
        <is>
          <t>UN</t>
        </is>
      </c>
      <c r="E2420" s="45" t="inlineStr">
        <is>
          <t>0093</t>
        </is>
      </c>
      <c r="F2420" s="65" t="inlineStr">
        <is>
          <t>Venda</t>
        </is>
      </c>
      <c r="G2420" s="69" t="n">
        <v>0</v>
      </c>
      <c r="H2420" s="173" t="inlineStr">
        <is>
          <t>Sim</t>
        </is>
      </c>
      <c r="I2420" s="50" t="n"/>
    </row>
    <row r="2421">
      <c r="A2421" s="40" t="inlineStr">
        <is>
          <t>010004</t>
        </is>
      </c>
      <c r="B2421" s="41" t="inlineStr">
        <is>
          <t>QUINTA FEIRA</t>
        </is>
      </c>
      <c r="C2421" s="42" t="inlineStr">
        <is>
          <t>OI</t>
        </is>
      </c>
      <c r="D2421" s="42" t="inlineStr">
        <is>
          <t>UN</t>
        </is>
      </c>
      <c r="E2421" s="42" t="inlineStr">
        <is>
          <t>0128</t>
        </is>
      </c>
      <c r="F2421" s="65" t="inlineStr">
        <is>
          <t>Venda</t>
        </is>
      </c>
      <c r="G2421" s="68" t="n">
        <v>0</v>
      </c>
      <c r="H2421" s="172" t="inlineStr">
        <is>
          <t>Não</t>
        </is>
      </c>
      <c r="I2421" s="47" t="inlineStr">
        <is>
          <t>78989056877136</t>
        </is>
      </c>
    </row>
    <row r="2422">
      <c r="A2422" s="43" t="inlineStr">
        <is>
          <t>000807</t>
        </is>
      </c>
      <c r="B2422" s="44" t="inlineStr">
        <is>
          <t>RACAO</t>
        </is>
      </c>
      <c r="C2422" s="45" t="inlineStr">
        <is>
          <t>MC</t>
        </is>
      </c>
      <c r="D2422" s="45" t="inlineStr">
        <is>
          <t>UN</t>
        </is>
      </c>
      <c r="E2422" s="45" t="inlineStr">
        <is>
          <t>0145</t>
        </is>
      </c>
      <c r="F2422" s="70" t="inlineStr">
        <is>
          <t>Compras</t>
        </is>
      </c>
      <c r="G2422" s="66" t="n">
        <v>332.99</v>
      </c>
      <c r="H2422" s="172" t="inlineStr">
        <is>
          <t>Não</t>
        </is>
      </c>
      <c r="I2422" s="50" t="n"/>
    </row>
    <row r="2423">
      <c r="A2423" s="40" t="inlineStr">
        <is>
          <t>001752</t>
        </is>
      </c>
      <c r="B2423" s="41" t="inlineStr">
        <is>
          <t>RACK PARA FORNO COMBINADO</t>
        </is>
      </c>
      <c r="C2423" s="42" t="inlineStr">
        <is>
          <t>AI</t>
        </is>
      </c>
      <c r="D2423" s="42" t="inlineStr">
        <is>
          <t>UN</t>
        </is>
      </c>
      <c r="E2423" s="42" t="inlineStr">
        <is>
          <t>0002</t>
        </is>
      </c>
      <c r="F2423" s="70" t="inlineStr">
        <is>
          <t>Compras</t>
        </is>
      </c>
      <c r="G2423" s="68" t="n">
        <v>0</v>
      </c>
      <c r="H2423" s="172" t="inlineStr">
        <is>
          <t>Não</t>
        </is>
      </c>
      <c r="I2423" s="49" t="n"/>
    </row>
    <row r="2424">
      <c r="A2424" s="43" t="inlineStr">
        <is>
          <t>000788</t>
        </is>
      </c>
      <c r="B2424" s="44" t="inlineStr">
        <is>
          <t>RADIO COMUNICADOR</t>
        </is>
      </c>
      <c r="C2424" s="45" t="inlineStr">
        <is>
          <t>MC</t>
        </is>
      </c>
      <c r="D2424" s="45" t="inlineStr">
        <is>
          <t>UN</t>
        </is>
      </c>
      <c r="E2424" s="45" t="inlineStr">
        <is>
          <t>0145</t>
        </is>
      </c>
      <c r="F2424" s="70" t="inlineStr">
        <is>
          <t>Compras</t>
        </is>
      </c>
      <c r="G2424" s="69" t="n">
        <v>0</v>
      </c>
      <c r="H2424" s="172" t="inlineStr">
        <is>
          <t>Não</t>
        </is>
      </c>
      <c r="I2424" s="50" t="n"/>
    </row>
    <row r="2425">
      <c r="A2425" s="40" t="inlineStr">
        <is>
          <t>000627</t>
        </is>
      </c>
      <c r="B2425" s="41" t="inlineStr">
        <is>
          <t>RALADOR 4 FACES</t>
        </is>
      </c>
      <c r="C2425" s="42" t="inlineStr">
        <is>
          <t>MC</t>
        </is>
      </c>
      <c r="D2425" s="42" t="inlineStr">
        <is>
          <t>UN</t>
        </is>
      </c>
      <c r="E2425" s="42" t="inlineStr">
        <is>
          <t>0080</t>
        </is>
      </c>
      <c r="F2425" s="70" t="inlineStr">
        <is>
          <t>Compras</t>
        </is>
      </c>
      <c r="G2425" s="71" t="n">
        <v>45.9</v>
      </c>
      <c r="H2425" s="172" t="inlineStr">
        <is>
          <t>Não</t>
        </is>
      </c>
      <c r="I2425" s="49" t="n"/>
    </row>
    <row r="2426">
      <c r="A2426" s="43" t="inlineStr">
        <is>
          <t>001354</t>
        </is>
      </c>
      <c r="B2426" s="44" t="inlineStr">
        <is>
          <t>RALADOR RASPAS LIMAO/LARANJA</t>
        </is>
      </c>
      <c r="C2426" s="45" t="inlineStr">
        <is>
          <t>MC</t>
        </is>
      </c>
      <c r="D2426" s="45" t="inlineStr">
        <is>
          <t>UN</t>
        </is>
      </c>
      <c r="E2426" s="45" t="inlineStr">
        <is>
          <t>0079</t>
        </is>
      </c>
      <c r="F2426" s="70" t="inlineStr">
        <is>
          <t>Compras</t>
        </is>
      </c>
      <c r="G2426" s="69" t="n">
        <v>0</v>
      </c>
      <c r="H2426" s="172" t="inlineStr">
        <is>
          <t>Não</t>
        </is>
      </c>
      <c r="I2426" s="50" t="n"/>
    </row>
    <row r="2427">
      <c r="A2427" s="40" t="inlineStr">
        <is>
          <t>010121</t>
        </is>
      </c>
      <c r="B2427" s="41" t="inlineStr">
        <is>
          <t>RALO GRELHA ALUMINIO 20X100</t>
        </is>
      </c>
      <c r="C2427" s="42" t="inlineStr">
        <is>
          <t>MC</t>
        </is>
      </c>
      <c r="D2427" s="42" t="inlineStr">
        <is>
          <t>UN</t>
        </is>
      </c>
      <c r="E2427" s="42" t="inlineStr">
        <is>
          <t>0132</t>
        </is>
      </c>
      <c r="F2427" s="70" t="inlineStr">
        <is>
          <t>Compras</t>
        </is>
      </c>
      <c r="G2427" s="68" t="n">
        <v>0</v>
      </c>
      <c r="H2427" s="172" t="inlineStr">
        <is>
          <t>Não</t>
        </is>
      </c>
      <c r="I2427" s="49" t="n"/>
    </row>
    <row r="2428">
      <c r="A2428" s="43" t="inlineStr">
        <is>
          <t>009896</t>
        </is>
      </c>
      <c r="B2428" s="44" t="inlineStr">
        <is>
          <t>RALO GRELHA INOX 10CM</t>
        </is>
      </c>
      <c r="C2428" s="45" t="inlineStr">
        <is>
          <t>MC</t>
        </is>
      </c>
      <c r="D2428" s="45" t="inlineStr">
        <is>
          <t>UN</t>
        </is>
      </c>
      <c r="E2428" s="45" t="inlineStr">
        <is>
          <t>0132</t>
        </is>
      </c>
      <c r="F2428" s="70" t="inlineStr">
        <is>
          <t>Compras</t>
        </is>
      </c>
      <c r="G2428" s="69" t="n">
        <v>0</v>
      </c>
      <c r="H2428" s="172" t="inlineStr">
        <is>
          <t>Não</t>
        </is>
      </c>
      <c r="I2428" s="50" t="n"/>
    </row>
    <row r="2429">
      <c r="A2429" s="40" t="inlineStr">
        <is>
          <t>009359</t>
        </is>
      </c>
      <c r="B2429" s="41" t="inlineStr">
        <is>
          <t>RALO GRELHA INOX 15CM COM FECHAMENTO</t>
        </is>
      </c>
      <c r="C2429" s="42" t="inlineStr">
        <is>
          <t>MC</t>
        </is>
      </c>
      <c r="D2429" s="42" t="inlineStr">
        <is>
          <t>UN</t>
        </is>
      </c>
      <c r="E2429" s="42" t="inlineStr">
        <is>
          <t>0132</t>
        </is>
      </c>
      <c r="F2429" s="70" t="inlineStr">
        <is>
          <t>Compras</t>
        </is>
      </c>
      <c r="G2429" s="71" t="n">
        <v>18</v>
      </c>
      <c r="H2429" s="172" t="inlineStr">
        <is>
          <t>Não</t>
        </is>
      </c>
      <c r="I2429" s="49" t="n"/>
    </row>
    <row r="2430">
      <c r="A2430" s="43" t="inlineStr">
        <is>
          <t>002123</t>
        </is>
      </c>
      <c r="B2430" s="44" t="inlineStr">
        <is>
          <t>RATATOUILLE</t>
        </is>
      </c>
      <c r="C2430" s="45" t="inlineStr">
        <is>
          <t>PA</t>
        </is>
      </c>
      <c r="D2430" s="45" t="inlineStr">
        <is>
          <t>UN</t>
        </is>
      </c>
      <c r="E2430" s="45" t="inlineStr">
        <is>
          <t>0121</t>
        </is>
      </c>
      <c r="F2430" s="65" t="inlineStr">
        <is>
          <t>Venda</t>
        </is>
      </c>
      <c r="G2430" s="69" t="n">
        <v>0</v>
      </c>
      <c r="H2430" s="172" t="inlineStr">
        <is>
          <t>Não</t>
        </is>
      </c>
      <c r="I2430" s="48" t="inlineStr">
        <is>
          <t>78989056877326</t>
        </is>
      </c>
    </row>
    <row r="2431">
      <c r="A2431" s="40" t="inlineStr">
        <is>
          <t>009682</t>
        </is>
      </c>
      <c r="B2431" s="41" t="inlineStr">
        <is>
          <t>REBITE</t>
        </is>
      </c>
      <c r="C2431" s="42" t="inlineStr">
        <is>
          <t>MC</t>
        </is>
      </c>
      <c r="D2431" s="42" t="inlineStr">
        <is>
          <t>PC</t>
        </is>
      </c>
      <c r="E2431" s="42" t="inlineStr">
        <is>
          <t>0132</t>
        </is>
      </c>
      <c r="F2431" s="70" t="inlineStr">
        <is>
          <t>Compras</t>
        </is>
      </c>
      <c r="G2431" s="71" t="n">
        <v>5</v>
      </c>
      <c r="H2431" s="172" t="inlineStr">
        <is>
          <t>Não</t>
        </is>
      </c>
      <c r="I2431" s="49" t="n"/>
    </row>
    <row r="2432">
      <c r="A2432" s="43" t="inlineStr">
        <is>
          <t>000156</t>
        </is>
      </c>
      <c r="B2432" s="44" t="inlineStr">
        <is>
          <t>RECIBO COMERCIAL C/ 50 FLS</t>
        </is>
      </c>
      <c r="C2432" s="45" t="inlineStr">
        <is>
          <t>MC</t>
        </is>
      </c>
      <c r="D2432" s="45" t="inlineStr">
        <is>
          <t>UN</t>
        </is>
      </c>
      <c r="E2432" s="45" t="inlineStr">
        <is>
          <t>0001</t>
        </is>
      </c>
      <c r="F2432" s="70" t="inlineStr">
        <is>
          <t>Compras</t>
        </is>
      </c>
      <c r="G2432" s="69" t="n">
        <v>0</v>
      </c>
      <c r="H2432" s="172" t="inlineStr">
        <is>
          <t>Não</t>
        </is>
      </c>
      <c r="I2432" s="50" t="n"/>
    </row>
    <row r="2433">
      <c r="A2433" s="40" t="inlineStr">
        <is>
          <t>001631</t>
        </is>
      </c>
      <c r="B2433" s="41" t="inlineStr">
        <is>
          <t>RECRUTAMENTO, AGENCIAMENTO, SE</t>
        </is>
      </c>
      <c r="C2433" s="42" t="inlineStr">
        <is>
          <t>SV</t>
        </is>
      </c>
      <c r="D2433" s="42" t="inlineStr">
        <is>
          <t>UN</t>
        </is>
      </c>
      <c r="E2433" s="42" t="inlineStr">
        <is>
          <t>(VAZ</t>
        </is>
      </c>
      <c r="F2433" s="70" t="inlineStr">
        <is>
          <t>Compras</t>
        </is>
      </c>
      <c r="G2433" s="68" t="n">
        <v>0</v>
      </c>
      <c r="H2433" s="172" t="inlineStr">
        <is>
          <t>Não</t>
        </is>
      </c>
      <c r="I2433" s="49" t="n"/>
    </row>
    <row r="2434">
      <c r="A2434" s="43" t="inlineStr">
        <is>
          <t>002206</t>
        </is>
      </c>
      <c r="B2434" s="44" t="inlineStr">
        <is>
          <t>RED BUL SUMMER</t>
        </is>
      </c>
      <c r="C2434" s="45" t="inlineStr">
        <is>
          <t>ME</t>
        </is>
      </c>
      <c r="D2434" s="45" t="inlineStr">
        <is>
          <t>UN</t>
        </is>
      </c>
      <c r="E2434" s="45" t="inlineStr">
        <is>
          <t>0021</t>
        </is>
      </c>
      <c r="F2434" s="70" t="inlineStr">
        <is>
          <t>Compras</t>
        </is>
      </c>
      <c r="G2434" s="66" t="n">
        <v>7.9</v>
      </c>
      <c r="H2434" s="172" t="inlineStr">
        <is>
          <t>Não</t>
        </is>
      </c>
      <c r="I2434" s="50" t="n"/>
    </row>
    <row r="2435">
      <c r="A2435" s="40" t="inlineStr">
        <is>
          <t>000368</t>
        </is>
      </c>
      <c r="B2435" s="41" t="inlineStr">
        <is>
          <t>RED BULL</t>
        </is>
      </c>
      <c r="C2435" s="42" t="inlineStr">
        <is>
          <t>ME</t>
        </is>
      </c>
      <c r="D2435" s="42" t="inlineStr">
        <is>
          <t>UN</t>
        </is>
      </c>
      <c r="E2435" s="42" t="inlineStr">
        <is>
          <t>0021</t>
        </is>
      </c>
      <c r="F2435" s="70" t="inlineStr">
        <is>
          <t>Compras</t>
        </is>
      </c>
      <c r="G2435" s="71" t="n">
        <v>8.0829</v>
      </c>
      <c r="H2435" s="172" t="inlineStr">
        <is>
          <t>Não</t>
        </is>
      </c>
      <c r="I2435" s="49" t="n"/>
    </row>
    <row r="2436">
      <c r="A2436" s="43" t="inlineStr">
        <is>
          <t>000891</t>
        </is>
      </c>
      <c r="B2436" s="44" t="inlineStr">
        <is>
          <t>RED BULL</t>
        </is>
      </c>
      <c r="C2436" s="45" t="inlineStr">
        <is>
          <t>MR</t>
        </is>
      </c>
      <c r="D2436" s="45" t="inlineStr">
        <is>
          <t>UN</t>
        </is>
      </c>
      <c r="E2436" s="45" t="inlineStr">
        <is>
          <t>0105</t>
        </is>
      </c>
      <c r="F2436" s="65" t="inlineStr">
        <is>
          <t>Venda</t>
        </is>
      </c>
      <c r="G2436" s="66" t="n">
        <v>174.96</v>
      </c>
      <c r="H2436" s="172" t="inlineStr">
        <is>
          <t>Não</t>
        </is>
      </c>
      <c r="I2436" s="48" t="inlineStr">
        <is>
          <t>71015</t>
        </is>
      </c>
    </row>
    <row r="2437">
      <c r="A2437" s="40" t="inlineStr">
        <is>
          <t>001167</t>
        </is>
      </c>
      <c r="B2437" s="41" t="inlineStr">
        <is>
          <t>RED BULL MELANCIA</t>
        </is>
      </c>
      <c r="C2437" s="42" t="inlineStr">
        <is>
          <t>ME</t>
        </is>
      </c>
      <c r="D2437" s="42" t="inlineStr">
        <is>
          <t>UN</t>
        </is>
      </c>
      <c r="E2437" s="42" t="inlineStr">
        <is>
          <t>0021</t>
        </is>
      </c>
      <c r="F2437" s="70" t="inlineStr">
        <is>
          <t>Compras</t>
        </is>
      </c>
      <c r="G2437" s="71" t="n">
        <v>8.09</v>
      </c>
      <c r="H2437" s="172" t="inlineStr">
        <is>
          <t>Não</t>
        </is>
      </c>
      <c r="I2437" s="49" t="n"/>
    </row>
    <row r="2438">
      <c r="A2438" s="43" t="inlineStr">
        <is>
          <t>001168</t>
        </is>
      </c>
      <c r="B2438" s="44" t="inlineStr">
        <is>
          <t>RED BULL MELANCIA</t>
        </is>
      </c>
      <c r="C2438" s="45" t="inlineStr">
        <is>
          <t>MR</t>
        </is>
      </c>
      <c r="D2438" s="45" t="inlineStr">
        <is>
          <t>UN</t>
        </is>
      </c>
      <c r="E2438" s="45" t="inlineStr">
        <is>
          <t>0105</t>
        </is>
      </c>
      <c r="F2438" s="65" t="inlineStr">
        <is>
          <t>Venda</t>
        </is>
      </c>
      <c r="G2438" s="66" t="n">
        <v>6.29</v>
      </c>
      <c r="H2438" s="172" t="inlineStr">
        <is>
          <t>Não</t>
        </is>
      </c>
      <c r="I2438" s="48" t="inlineStr">
        <is>
          <t>9003506</t>
        </is>
      </c>
    </row>
    <row r="2439">
      <c r="A2439" s="40" t="inlineStr">
        <is>
          <t>002040</t>
        </is>
      </c>
      <c r="B2439" s="41" t="inlineStr">
        <is>
          <t>RED BULL MELAO E MARACUJA</t>
        </is>
      </c>
      <c r="C2439" s="42" t="inlineStr">
        <is>
          <t>ME</t>
        </is>
      </c>
      <c r="D2439" s="42" t="inlineStr">
        <is>
          <t>UN</t>
        </is>
      </c>
      <c r="E2439" s="42" t="inlineStr">
        <is>
          <t>0021</t>
        </is>
      </c>
      <c r="F2439" s="70" t="inlineStr">
        <is>
          <t>Compras</t>
        </is>
      </c>
      <c r="G2439" s="71" t="n">
        <v>4.8</v>
      </c>
      <c r="H2439" s="172" t="inlineStr">
        <is>
          <t>Não</t>
        </is>
      </c>
      <c r="I2439" s="49" t="n"/>
    </row>
    <row r="2440">
      <c r="A2440" s="43" t="inlineStr">
        <is>
          <t>002039</t>
        </is>
      </c>
      <c r="B2440" s="44" t="inlineStr">
        <is>
          <t>RED BULL MELAO EDITION</t>
        </is>
      </c>
      <c r="C2440" s="45" t="inlineStr">
        <is>
          <t>MR</t>
        </is>
      </c>
      <c r="D2440" s="45" t="inlineStr">
        <is>
          <t>UN</t>
        </is>
      </c>
      <c r="E2440" s="45" t="inlineStr">
        <is>
          <t>0105</t>
        </is>
      </c>
      <c r="F2440" s="65" t="inlineStr">
        <is>
          <t>Venda</t>
        </is>
      </c>
      <c r="G2440" s="69" t="n">
        <v>0</v>
      </c>
      <c r="H2440" s="172" t="inlineStr">
        <is>
          <t>Não</t>
        </is>
      </c>
      <c r="I2440" s="48" t="inlineStr">
        <is>
          <t>78989056877289</t>
        </is>
      </c>
    </row>
    <row r="2441">
      <c r="A2441" s="40" t="inlineStr">
        <is>
          <t>002037</t>
        </is>
      </c>
      <c r="B2441" s="41" t="inlineStr">
        <is>
          <t>RED BULL POMELO SUGARFREE</t>
        </is>
      </c>
      <c r="C2441" s="42" t="inlineStr">
        <is>
          <t>MR</t>
        </is>
      </c>
      <c r="D2441" s="42" t="inlineStr">
        <is>
          <t>UN</t>
        </is>
      </c>
      <c r="E2441" s="42" t="inlineStr">
        <is>
          <t>0105</t>
        </is>
      </c>
      <c r="F2441" s="65" t="inlineStr">
        <is>
          <t>Venda</t>
        </is>
      </c>
      <c r="G2441" s="68" t="n">
        <v>0</v>
      </c>
      <c r="H2441" s="172" t="inlineStr">
        <is>
          <t>Não</t>
        </is>
      </c>
      <c r="I2441" s="47" t="inlineStr">
        <is>
          <t>78989056877288</t>
        </is>
      </c>
    </row>
    <row r="2442">
      <c r="A2442" s="43" t="inlineStr">
        <is>
          <t>002038</t>
        </is>
      </c>
      <c r="B2442" s="44" t="inlineStr">
        <is>
          <t>RED BULL POMELO SUGARFREE</t>
        </is>
      </c>
      <c r="C2442" s="45" t="inlineStr">
        <is>
          <t>ME</t>
        </is>
      </c>
      <c r="D2442" s="45" t="inlineStr">
        <is>
          <t>UN</t>
        </is>
      </c>
      <c r="E2442" s="45" t="inlineStr">
        <is>
          <t>0021</t>
        </is>
      </c>
      <c r="F2442" s="70" t="inlineStr">
        <is>
          <t>Compras</t>
        </is>
      </c>
      <c r="G2442" s="66" t="n">
        <v>4.8</v>
      </c>
      <c r="H2442" s="172" t="inlineStr">
        <is>
          <t>Não</t>
        </is>
      </c>
      <c r="I2442" s="50" t="n"/>
    </row>
    <row r="2443">
      <c r="A2443" s="40" t="inlineStr">
        <is>
          <t>001623</t>
        </is>
      </c>
      <c r="B2443" s="41" t="inlineStr">
        <is>
          <t>RED BULL SUGAR FREE</t>
        </is>
      </c>
      <c r="C2443" s="42" t="inlineStr">
        <is>
          <t>MR</t>
        </is>
      </c>
      <c r="D2443" s="42" t="inlineStr">
        <is>
          <t>UN</t>
        </is>
      </c>
      <c r="E2443" s="42" t="inlineStr">
        <is>
          <t>0107</t>
        </is>
      </c>
      <c r="F2443" s="65" t="inlineStr">
        <is>
          <t>Venda</t>
        </is>
      </c>
      <c r="G2443" s="68" t="n">
        <v>0</v>
      </c>
      <c r="H2443" s="172" t="inlineStr">
        <is>
          <t>Não</t>
        </is>
      </c>
      <c r="I2443" s="47" t="inlineStr">
        <is>
          <t>71016</t>
        </is>
      </c>
    </row>
    <row r="2444">
      <c r="A2444" s="43" t="inlineStr">
        <is>
          <t>000369</t>
        </is>
      </c>
      <c r="B2444" s="44" t="inlineStr">
        <is>
          <t>RED BULL SUGARFREE</t>
        </is>
      </c>
      <c r="C2444" s="45" t="inlineStr">
        <is>
          <t>ME</t>
        </is>
      </c>
      <c r="D2444" s="45" t="inlineStr">
        <is>
          <t>UN</t>
        </is>
      </c>
      <c r="E2444" s="45" t="inlineStr">
        <is>
          <t>0021</t>
        </is>
      </c>
      <c r="F2444" s="70" t="inlineStr">
        <is>
          <t>Compras</t>
        </is>
      </c>
      <c r="G2444" s="66" t="n">
        <v>8.0817</v>
      </c>
      <c r="H2444" s="172" t="inlineStr">
        <is>
          <t>Não</t>
        </is>
      </c>
      <c r="I2444" s="50" t="n"/>
    </row>
    <row r="2445">
      <c r="A2445" s="40" t="inlineStr">
        <is>
          <t>000749</t>
        </is>
      </c>
      <c r="B2445" s="41" t="inlineStr">
        <is>
          <t>RED BULL TROPICAL</t>
        </is>
      </c>
      <c r="C2445" s="42" t="inlineStr">
        <is>
          <t>ME</t>
        </is>
      </c>
      <c r="D2445" s="42" t="inlineStr">
        <is>
          <t>UN</t>
        </is>
      </c>
      <c r="E2445" s="42" t="inlineStr">
        <is>
          <t>0021</t>
        </is>
      </c>
      <c r="F2445" s="70" t="inlineStr">
        <is>
          <t>Compras</t>
        </is>
      </c>
      <c r="G2445" s="71" t="n">
        <v>8.0817</v>
      </c>
      <c r="H2445" s="172" t="inlineStr">
        <is>
          <t>Não</t>
        </is>
      </c>
      <c r="I2445" s="49" t="n"/>
    </row>
    <row r="2446">
      <c r="A2446" s="43" t="inlineStr">
        <is>
          <t>000893</t>
        </is>
      </c>
      <c r="B2446" s="44" t="inlineStr">
        <is>
          <t>RED BULL TROPICAL</t>
        </is>
      </c>
      <c r="C2446" s="45" t="inlineStr">
        <is>
          <t>MR</t>
        </is>
      </c>
      <c r="D2446" s="45" t="inlineStr">
        <is>
          <t>UN</t>
        </is>
      </c>
      <c r="E2446" s="45" t="inlineStr">
        <is>
          <t>0105</t>
        </is>
      </c>
      <c r="F2446" s="65" t="inlineStr">
        <is>
          <t>Venda</t>
        </is>
      </c>
      <c r="G2446" s="66" t="n">
        <v>8.041700000000001</v>
      </c>
      <c r="H2446" s="172" t="inlineStr">
        <is>
          <t>Não</t>
        </is>
      </c>
      <c r="I2446" s="48" t="inlineStr">
        <is>
          <t>71022</t>
        </is>
      </c>
    </row>
    <row r="2447">
      <c r="A2447" s="40" t="inlineStr">
        <is>
          <t>001145</t>
        </is>
      </c>
      <c r="B2447" s="41" t="inlineStr">
        <is>
          <t>RED LABEL DOSE</t>
        </is>
      </c>
      <c r="C2447" s="42" t="inlineStr">
        <is>
          <t>PA</t>
        </is>
      </c>
      <c r="D2447" s="42" t="inlineStr">
        <is>
          <t>UN</t>
        </is>
      </c>
      <c r="E2447" s="42" t="inlineStr">
        <is>
          <t>0120</t>
        </is>
      </c>
      <c r="F2447" s="65" t="inlineStr">
        <is>
          <t>Venda</t>
        </is>
      </c>
      <c r="G2447" s="68" t="n">
        <v>0</v>
      </c>
      <c r="H2447" s="172" t="inlineStr">
        <is>
          <t>Não</t>
        </is>
      </c>
      <c r="I2447" s="47" t="inlineStr">
        <is>
          <t>9003423</t>
        </is>
      </c>
    </row>
    <row r="2448">
      <c r="A2448" s="43" t="inlineStr">
        <is>
          <t>001149</t>
        </is>
      </c>
      <c r="B2448" s="44" t="inlineStr">
        <is>
          <t>RED LABEL GARRAFA</t>
        </is>
      </c>
      <c r="C2448" s="45" t="inlineStr">
        <is>
          <t>MR</t>
        </is>
      </c>
      <c r="D2448" s="45" t="inlineStr">
        <is>
          <t>UN</t>
        </is>
      </c>
      <c r="E2448" s="45" t="inlineStr">
        <is>
          <t>0120</t>
        </is>
      </c>
      <c r="F2448" s="65" t="inlineStr">
        <is>
          <t>Venda</t>
        </is>
      </c>
      <c r="G2448" s="69" t="n">
        <v>0</v>
      </c>
      <c r="H2448" s="172" t="inlineStr">
        <is>
          <t>Não</t>
        </is>
      </c>
      <c r="I2448" s="48" t="inlineStr">
        <is>
          <t>9003422</t>
        </is>
      </c>
    </row>
    <row r="2449">
      <c r="A2449" s="40" t="inlineStr">
        <is>
          <t>002179</t>
        </is>
      </c>
      <c r="B2449" s="41" t="inlineStr">
        <is>
          <t>REDBULL LATA</t>
        </is>
      </c>
      <c r="C2449" s="42" t="inlineStr">
        <is>
          <t>MR</t>
        </is>
      </c>
      <c r="D2449" s="42" t="inlineStr">
        <is>
          <t>UN</t>
        </is>
      </c>
      <c r="E2449" s="42" t="inlineStr">
        <is>
          <t>0105</t>
        </is>
      </c>
      <c r="F2449" s="65" t="inlineStr">
        <is>
          <t>Venda</t>
        </is>
      </c>
      <c r="G2449" s="68" t="n">
        <v>0</v>
      </c>
      <c r="H2449" s="172" t="inlineStr">
        <is>
          <t>Não</t>
        </is>
      </c>
      <c r="I2449" s="47" t="inlineStr">
        <is>
          <t>78989056877359</t>
        </is>
      </c>
    </row>
    <row r="2450">
      <c r="A2450" s="43" t="inlineStr">
        <is>
          <t>002181</t>
        </is>
      </c>
      <c r="B2450" s="44" t="inlineStr">
        <is>
          <t>REDBULL MELANCIA LATA</t>
        </is>
      </c>
      <c r="C2450" s="45" t="inlineStr">
        <is>
          <t>MR</t>
        </is>
      </c>
      <c r="D2450" s="45" t="inlineStr">
        <is>
          <t>UN</t>
        </is>
      </c>
      <c r="E2450" s="45" t="inlineStr">
        <is>
          <t>0105</t>
        </is>
      </c>
      <c r="F2450" s="65" t="inlineStr">
        <is>
          <t>Venda</t>
        </is>
      </c>
      <c r="G2450" s="69" t="n">
        <v>0</v>
      </c>
      <c r="H2450" s="172" t="inlineStr">
        <is>
          <t>Não</t>
        </is>
      </c>
      <c r="I2450" s="48" t="inlineStr">
        <is>
          <t>78989056877361</t>
        </is>
      </c>
    </row>
    <row r="2451">
      <c r="A2451" s="40" t="inlineStr">
        <is>
          <t>002180</t>
        </is>
      </c>
      <c r="B2451" s="41" t="inlineStr">
        <is>
          <t>REDBULL TROPICAL LATA</t>
        </is>
      </c>
      <c r="C2451" s="42" t="inlineStr">
        <is>
          <t>MR</t>
        </is>
      </c>
      <c r="D2451" s="42" t="inlineStr">
        <is>
          <t>UN</t>
        </is>
      </c>
      <c r="E2451" s="42" t="inlineStr">
        <is>
          <t>0105</t>
        </is>
      </c>
      <c r="F2451" s="65" t="inlineStr">
        <is>
          <t>Venda</t>
        </is>
      </c>
      <c r="G2451" s="68" t="n">
        <v>0</v>
      </c>
      <c r="H2451" s="172" t="inlineStr">
        <is>
          <t>Não</t>
        </is>
      </c>
      <c r="I2451" s="47" t="inlineStr">
        <is>
          <t>78989056877360</t>
        </is>
      </c>
    </row>
    <row r="2452">
      <c r="A2452" s="43" t="inlineStr">
        <is>
          <t>010309</t>
        </is>
      </c>
      <c r="B2452" s="44" t="inlineStr">
        <is>
          <t>REDUCAO PVC ESGOTO EXCENTRICA 150X110MM</t>
        </is>
      </c>
      <c r="C2452" s="45" t="inlineStr">
        <is>
          <t>MC</t>
        </is>
      </c>
      <c r="D2452" s="45" t="inlineStr">
        <is>
          <t>UN</t>
        </is>
      </c>
      <c r="E2452" s="45" t="inlineStr">
        <is>
          <t>0132</t>
        </is>
      </c>
      <c r="F2452" s="70" t="inlineStr">
        <is>
          <t>Compras</t>
        </is>
      </c>
      <c r="G2452" s="66" t="n">
        <v>59.9</v>
      </c>
      <c r="H2452" s="172" t="inlineStr">
        <is>
          <t>Não</t>
        </is>
      </c>
      <c r="I2452" s="50" t="n"/>
    </row>
    <row r="2453">
      <c r="A2453" s="40" t="inlineStr">
        <is>
          <t>000134</t>
        </is>
      </c>
      <c r="B2453" s="41" t="inlineStr">
        <is>
          <t>REFIL DESCARTE ABSORVENTE</t>
        </is>
      </c>
      <c r="C2453" s="42" t="inlineStr">
        <is>
          <t>MC</t>
        </is>
      </c>
      <c r="D2453" s="42" t="inlineStr">
        <is>
          <t>UN</t>
        </is>
      </c>
      <c r="E2453" s="42" t="inlineStr">
        <is>
          <t>0075</t>
        </is>
      </c>
      <c r="F2453" s="70" t="inlineStr">
        <is>
          <t>Compras</t>
        </is>
      </c>
      <c r="G2453" s="71" t="n">
        <v>11.17</v>
      </c>
      <c r="H2453" s="172" t="inlineStr">
        <is>
          <t>Não</t>
        </is>
      </c>
      <c r="I2453" s="49" t="n"/>
    </row>
    <row r="2454">
      <c r="A2454" s="43" t="inlineStr">
        <is>
          <t>009324</t>
        </is>
      </c>
      <c r="B2454" s="44" t="inlineStr">
        <is>
          <t>REFIL ELEMENTO FILTRANTE DE POLIPROPILENO LISO</t>
        </is>
      </c>
      <c r="C2454" s="45" t="inlineStr">
        <is>
          <t>MC</t>
        </is>
      </c>
      <c r="D2454" s="45" t="inlineStr">
        <is>
          <t>UN</t>
        </is>
      </c>
      <c r="E2454" s="45" t="inlineStr">
        <is>
          <t>0132</t>
        </is>
      </c>
      <c r="F2454" s="70" t="inlineStr">
        <is>
          <t>Compras</t>
        </is>
      </c>
      <c r="G2454" s="66" t="n">
        <v>38</v>
      </c>
      <c r="H2454" s="172" t="inlineStr">
        <is>
          <t>Não</t>
        </is>
      </c>
      <c r="I2454" s="50" t="n"/>
    </row>
    <row r="2455">
      <c r="A2455" s="40" t="inlineStr">
        <is>
          <t>000816</t>
        </is>
      </c>
      <c r="B2455" s="41" t="inlineStr">
        <is>
          <t>REFIL ELEMENTO FILTRANTE PURIFICADOR</t>
        </is>
      </c>
      <c r="C2455" s="42" t="inlineStr">
        <is>
          <t>MC</t>
        </is>
      </c>
      <c r="D2455" s="42" t="inlineStr">
        <is>
          <t>UN</t>
        </is>
      </c>
      <c r="E2455" s="42" t="inlineStr">
        <is>
          <t>0132</t>
        </is>
      </c>
      <c r="F2455" s="70" t="inlineStr">
        <is>
          <t>Compras</t>
        </is>
      </c>
      <c r="G2455" s="71" t="n">
        <v>59</v>
      </c>
      <c r="H2455" s="172" t="inlineStr">
        <is>
          <t>Não</t>
        </is>
      </c>
      <c r="I2455" s="49" t="n"/>
    </row>
    <row r="2456">
      <c r="A2456" s="43" t="inlineStr">
        <is>
          <t>010135</t>
        </is>
      </c>
      <c r="B2456" s="44" t="inlineStr">
        <is>
          <t>REFLETOR LED 150W</t>
        </is>
      </c>
      <c r="C2456" s="45" t="inlineStr">
        <is>
          <t>MC</t>
        </is>
      </c>
      <c r="D2456" s="45" t="inlineStr">
        <is>
          <t>UN</t>
        </is>
      </c>
      <c r="E2456" s="45" t="inlineStr">
        <is>
          <t>0132</t>
        </is>
      </c>
      <c r="F2456" s="70" t="inlineStr">
        <is>
          <t>Compras</t>
        </is>
      </c>
      <c r="G2456" s="66" t="n">
        <v>129.42</v>
      </c>
      <c r="H2456" s="172" t="inlineStr">
        <is>
          <t>Não</t>
        </is>
      </c>
      <c r="I2456" s="50" t="n"/>
    </row>
    <row r="2457">
      <c r="A2457" s="40" t="inlineStr">
        <is>
          <t>010136</t>
        </is>
      </c>
      <c r="B2457" s="41" t="inlineStr">
        <is>
          <t>REFLETOR LED 30W</t>
        </is>
      </c>
      <c r="C2457" s="42" t="inlineStr">
        <is>
          <t>MC</t>
        </is>
      </c>
      <c r="D2457" s="42" t="inlineStr">
        <is>
          <t>UN</t>
        </is>
      </c>
      <c r="E2457" s="42" t="inlineStr">
        <is>
          <t>0132</t>
        </is>
      </c>
      <c r="F2457" s="70" t="inlineStr">
        <is>
          <t>Compras</t>
        </is>
      </c>
      <c r="G2457" s="71" t="n">
        <v>22.314</v>
      </c>
      <c r="H2457" s="172" t="inlineStr">
        <is>
          <t>Não</t>
        </is>
      </c>
      <c r="I2457" s="49" t="n"/>
    </row>
    <row r="2458">
      <c r="A2458" s="43" t="inlineStr">
        <is>
          <t>009398</t>
        </is>
      </c>
      <c r="B2458" s="44" t="inlineStr">
        <is>
          <t>REFLETOR LED BIVOLT 10W</t>
        </is>
      </c>
      <c r="C2458" s="45" t="inlineStr">
        <is>
          <t>MC</t>
        </is>
      </c>
      <c r="D2458" s="45" t="inlineStr">
        <is>
          <t>UN</t>
        </is>
      </c>
      <c r="E2458" s="45" t="inlineStr">
        <is>
          <t>0132</t>
        </is>
      </c>
      <c r="F2458" s="70" t="inlineStr">
        <is>
          <t>Compras</t>
        </is>
      </c>
      <c r="G2458" s="66" t="n">
        <v>29.9</v>
      </c>
      <c r="H2458" s="172" t="inlineStr">
        <is>
          <t>Não</t>
        </is>
      </c>
      <c r="I2458" s="50" t="n"/>
    </row>
    <row r="2459">
      <c r="A2459" s="40" t="inlineStr">
        <is>
          <t>009607</t>
        </is>
      </c>
      <c r="B2459" s="41" t="inlineStr">
        <is>
          <t>REFLETOR LED BIVOLT 50W</t>
        </is>
      </c>
      <c r="C2459" s="42" t="inlineStr">
        <is>
          <t>MC</t>
        </is>
      </c>
      <c r="D2459" s="42" t="inlineStr">
        <is>
          <t>UN</t>
        </is>
      </c>
      <c r="E2459" s="42" t="inlineStr">
        <is>
          <t>0132</t>
        </is>
      </c>
      <c r="F2459" s="70" t="inlineStr">
        <is>
          <t>Compras</t>
        </is>
      </c>
      <c r="G2459" s="71" t="n">
        <v>89.90000000000001</v>
      </c>
      <c r="H2459" s="172" t="inlineStr">
        <is>
          <t>Não</t>
        </is>
      </c>
      <c r="I2459" s="49" t="n"/>
    </row>
    <row r="2460">
      <c r="A2460" s="43" t="inlineStr">
        <is>
          <t>009395</t>
        </is>
      </c>
      <c r="B2460" s="44" t="inlineStr">
        <is>
          <t>REFLETOR LED SLIM 100W BIVOLT</t>
        </is>
      </c>
      <c r="C2460" s="45" t="inlineStr">
        <is>
          <t>MC</t>
        </is>
      </c>
      <c r="D2460" s="45" t="inlineStr">
        <is>
          <t>UN</t>
        </is>
      </c>
      <c r="E2460" s="45" t="inlineStr">
        <is>
          <t>0132</t>
        </is>
      </c>
      <c r="F2460" s="70" t="inlineStr">
        <is>
          <t>Compras</t>
        </is>
      </c>
      <c r="G2460" s="66" t="n">
        <v>74.90000000000001</v>
      </c>
      <c r="H2460" s="172" t="inlineStr">
        <is>
          <t>Não</t>
        </is>
      </c>
      <c r="I2460" s="50" t="n"/>
    </row>
    <row r="2461">
      <c r="A2461" s="40" t="inlineStr">
        <is>
          <t>000418</t>
        </is>
      </c>
      <c r="B2461" s="41" t="inlineStr">
        <is>
          <t>REFRESCO ABACAXI 1KG FUNCIONARIO</t>
        </is>
      </c>
      <c r="C2461" s="42" t="inlineStr">
        <is>
          <t>MC</t>
        </is>
      </c>
      <c r="D2461" s="42" t="inlineStr">
        <is>
          <t>KG</t>
        </is>
      </c>
      <c r="E2461" s="42" t="inlineStr">
        <is>
          <t>0013</t>
        </is>
      </c>
      <c r="F2461" s="70" t="inlineStr">
        <is>
          <t>Compras</t>
        </is>
      </c>
      <c r="G2461" s="71" t="n">
        <v>9.077999999999999</v>
      </c>
      <c r="H2461" s="172" t="inlineStr">
        <is>
          <t>Não</t>
        </is>
      </c>
      <c r="I2461" s="49" t="n"/>
    </row>
    <row r="2462">
      <c r="A2462" s="43" t="inlineStr">
        <is>
          <t>000211</t>
        </is>
      </c>
      <c r="B2462" s="44" t="inlineStr">
        <is>
          <t>REFRESCO CAJU 1KG FUNCIONARIO</t>
        </is>
      </c>
      <c r="C2462" s="45" t="inlineStr">
        <is>
          <t>MC</t>
        </is>
      </c>
      <c r="D2462" s="45" t="inlineStr">
        <is>
          <t>KG</t>
        </is>
      </c>
      <c r="E2462" s="45" t="inlineStr">
        <is>
          <t>0013</t>
        </is>
      </c>
      <c r="F2462" s="70" t="inlineStr">
        <is>
          <t>Compras</t>
        </is>
      </c>
      <c r="G2462" s="66" t="n">
        <v>9.077999999999999</v>
      </c>
      <c r="H2462" s="172" t="inlineStr">
        <is>
          <t>Não</t>
        </is>
      </c>
      <c r="I2462" s="50" t="n"/>
    </row>
    <row r="2463">
      <c r="A2463" s="40" t="inlineStr">
        <is>
          <t>000212</t>
        </is>
      </c>
      <c r="B2463" s="41" t="inlineStr">
        <is>
          <t>REFRESCO GOIABA 1KG FUNCIONARIO</t>
        </is>
      </c>
      <c r="C2463" s="42" t="inlineStr">
        <is>
          <t>MC</t>
        </is>
      </c>
      <c r="D2463" s="42" t="inlineStr">
        <is>
          <t>KG</t>
        </is>
      </c>
      <c r="E2463" s="42" t="inlineStr">
        <is>
          <t>0013</t>
        </is>
      </c>
      <c r="F2463" s="70" t="inlineStr">
        <is>
          <t>Compras</t>
        </is>
      </c>
      <c r="G2463" s="71" t="n">
        <v>9.077999999999999</v>
      </c>
      <c r="H2463" s="172" t="inlineStr">
        <is>
          <t>Não</t>
        </is>
      </c>
      <c r="I2463" s="49" t="n"/>
    </row>
    <row r="2464">
      <c r="A2464" s="43" t="inlineStr">
        <is>
          <t>000422</t>
        </is>
      </c>
      <c r="B2464" s="44" t="inlineStr">
        <is>
          <t>REFRESCO LARANJA 1KG FUNCIONARIO</t>
        </is>
      </c>
      <c r="C2464" s="45" t="inlineStr">
        <is>
          <t>MC</t>
        </is>
      </c>
      <c r="D2464" s="45" t="inlineStr">
        <is>
          <t>KG</t>
        </is>
      </c>
      <c r="E2464" s="45" t="inlineStr">
        <is>
          <t>0013</t>
        </is>
      </c>
      <c r="F2464" s="70" t="inlineStr">
        <is>
          <t>Compras</t>
        </is>
      </c>
      <c r="G2464" s="66" t="n">
        <v>9.077999999999999</v>
      </c>
      <c r="H2464" s="172" t="inlineStr">
        <is>
          <t>Não</t>
        </is>
      </c>
      <c r="I2464" s="50" t="n"/>
    </row>
    <row r="2465">
      <c r="A2465" s="40" t="inlineStr">
        <is>
          <t>000213</t>
        </is>
      </c>
      <c r="B2465" s="41" t="inlineStr">
        <is>
          <t>REFRESCO LARANJA C/ ACEROLA 1KG FUNCIONARIO</t>
        </is>
      </c>
      <c r="C2465" s="42" t="inlineStr">
        <is>
          <t>MC</t>
        </is>
      </c>
      <c r="D2465" s="42" t="inlineStr">
        <is>
          <t>KG</t>
        </is>
      </c>
      <c r="E2465" s="42" t="inlineStr">
        <is>
          <t>0013</t>
        </is>
      </c>
      <c r="F2465" s="70" t="inlineStr">
        <is>
          <t>Compras</t>
        </is>
      </c>
      <c r="G2465" s="71" t="n">
        <v>9.077999999999999</v>
      </c>
      <c r="H2465" s="172" t="inlineStr">
        <is>
          <t>Não</t>
        </is>
      </c>
      <c r="I2465" s="49" t="n"/>
    </row>
    <row r="2466">
      <c r="A2466" s="43" t="inlineStr">
        <is>
          <t>000421</t>
        </is>
      </c>
      <c r="B2466" s="44" t="inlineStr">
        <is>
          <t>REFRESCO LIMAO 1KG FUNCIONARIO</t>
        </is>
      </c>
      <c r="C2466" s="45" t="inlineStr">
        <is>
          <t>MC</t>
        </is>
      </c>
      <c r="D2466" s="45" t="inlineStr">
        <is>
          <t>KG</t>
        </is>
      </c>
      <c r="E2466" s="45" t="inlineStr">
        <is>
          <t>0013</t>
        </is>
      </c>
      <c r="F2466" s="70" t="inlineStr">
        <is>
          <t>Compras</t>
        </is>
      </c>
      <c r="G2466" s="66" t="n">
        <v>9.077999999999999</v>
      </c>
      <c r="H2466" s="172" t="inlineStr">
        <is>
          <t>Não</t>
        </is>
      </c>
      <c r="I2466" s="50" t="n"/>
    </row>
    <row r="2467">
      <c r="A2467" s="40" t="inlineStr">
        <is>
          <t>000420</t>
        </is>
      </c>
      <c r="B2467" s="41" t="inlineStr">
        <is>
          <t>REFRESCO MANGA 1KG FUNCIONARIO</t>
        </is>
      </c>
      <c r="C2467" s="42" t="inlineStr">
        <is>
          <t>MC</t>
        </is>
      </c>
      <c r="D2467" s="42" t="inlineStr">
        <is>
          <t>KG</t>
        </is>
      </c>
      <c r="E2467" s="42" t="inlineStr">
        <is>
          <t>0013</t>
        </is>
      </c>
      <c r="F2467" s="70" t="inlineStr">
        <is>
          <t>Compras</t>
        </is>
      </c>
      <c r="G2467" s="71" t="n">
        <v>9.077999999999999</v>
      </c>
      <c r="H2467" s="172" t="inlineStr">
        <is>
          <t>Não</t>
        </is>
      </c>
      <c r="I2467" s="49" t="n"/>
    </row>
    <row r="2468">
      <c r="A2468" s="43" t="inlineStr">
        <is>
          <t>000419</t>
        </is>
      </c>
      <c r="B2468" s="44" t="inlineStr">
        <is>
          <t>REFRESCO MARACUJA 1KG FUNCIONARIO</t>
        </is>
      </c>
      <c r="C2468" s="45" t="inlineStr">
        <is>
          <t>MC</t>
        </is>
      </c>
      <c r="D2468" s="45" t="inlineStr">
        <is>
          <t>KG</t>
        </is>
      </c>
      <c r="E2468" s="45" t="inlineStr">
        <is>
          <t>0013</t>
        </is>
      </c>
      <c r="F2468" s="70" t="inlineStr">
        <is>
          <t>Compras</t>
        </is>
      </c>
      <c r="G2468" s="66" t="n">
        <v>9.077999999999999</v>
      </c>
      <c r="H2468" s="172" t="inlineStr">
        <is>
          <t>Não</t>
        </is>
      </c>
      <c r="I2468" s="50" t="n"/>
    </row>
    <row r="2469">
      <c r="A2469" s="40" t="inlineStr">
        <is>
          <t>000215</t>
        </is>
      </c>
      <c r="B2469" s="41" t="inlineStr">
        <is>
          <t>REFRESCO PESSEGO 1KG FUNCIONARIO</t>
        </is>
      </c>
      <c r="C2469" s="42" t="inlineStr">
        <is>
          <t>MC</t>
        </is>
      </c>
      <c r="D2469" s="42" t="inlineStr">
        <is>
          <t>KG</t>
        </is>
      </c>
      <c r="E2469" s="42" t="inlineStr">
        <is>
          <t>0013</t>
        </is>
      </c>
      <c r="F2469" s="70" t="inlineStr">
        <is>
          <t>Compras</t>
        </is>
      </c>
      <c r="G2469" s="71" t="n">
        <v>8.98</v>
      </c>
      <c r="H2469" s="172" t="inlineStr">
        <is>
          <t>Não</t>
        </is>
      </c>
      <c r="I2469" s="49" t="n"/>
    </row>
    <row r="2470">
      <c r="A2470" s="43" t="inlineStr">
        <is>
          <t>000214</t>
        </is>
      </c>
      <c r="B2470" s="44" t="inlineStr">
        <is>
          <t>REFRESCO TANGERINA 1KG FUNCIONARIO</t>
        </is>
      </c>
      <c r="C2470" s="45" t="inlineStr">
        <is>
          <t>MC</t>
        </is>
      </c>
      <c r="D2470" s="45" t="inlineStr">
        <is>
          <t>KG</t>
        </is>
      </c>
      <c r="E2470" s="45" t="inlineStr">
        <is>
          <t>0013</t>
        </is>
      </c>
      <c r="F2470" s="70" t="inlineStr">
        <is>
          <t>Compras</t>
        </is>
      </c>
      <c r="G2470" s="66" t="n">
        <v>9.077999999999999</v>
      </c>
      <c r="H2470" s="172" t="inlineStr">
        <is>
          <t>Não</t>
        </is>
      </c>
      <c r="I2470" s="50" t="n"/>
    </row>
    <row r="2471">
      <c r="A2471" s="40" t="inlineStr">
        <is>
          <t>000423</t>
        </is>
      </c>
      <c r="B2471" s="41" t="inlineStr">
        <is>
          <t>REFRESCO UVA 1KG FUNCIONARIO</t>
        </is>
      </c>
      <c r="C2471" s="42" t="inlineStr">
        <is>
          <t>MC</t>
        </is>
      </c>
      <c r="D2471" s="42" t="inlineStr">
        <is>
          <t>KG</t>
        </is>
      </c>
      <c r="E2471" s="42" t="inlineStr">
        <is>
          <t>0013</t>
        </is>
      </c>
      <c r="F2471" s="70" t="inlineStr">
        <is>
          <t>Compras</t>
        </is>
      </c>
      <c r="G2471" s="71" t="n">
        <v>9.077999999999999</v>
      </c>
      <c r="H2471" s="172" t="inlineStr">
        <is>
          <t>Não</t>
        </is>
      </c>
      <c r="I2471" s="49" t="n"/>
    </row>
    <row r="2472">
      <c r="A2472" s="43" t="inlineStr">
        <is>
          <t>000777</t>
        </is>
      </c>
      <c r="B2472" s="44" t="inlineStr">
        <is>
          <t>REFRIGERANTE DIVERSOS 2 LITROS</t>
        </is>
      </c>
      <c r="C2472" s="45" t="inlineStr">
        <is>
          <t>MC</t>
        </is>
      </c>
      <c r="D2472" s="45" t="inlineStr">
        <is>
          <t>UN</t>
        </is>
      </c>
      <c r="E2472" s="45" t="inlineStr">
        <is>
          <t>0051</t>
        </is>
      </c>
      <c r="F2472" s="70" t="inlineStr">
        <is>
          <t>Compras</t>
        </is>
      </c>
      <c r="G2472" s="69" t="n">
        <v>0</v>
      </c>
      <c r="H2472" s="173" t="inlineStr">
        <is>
          <t>Sim</t>
        </is>
      </c>
      <c r="I2472" s="50" t="n"/>
    </row>
    <row r="2473">
      <c r="A2473" s="40" t="inlineStr">
        <is>
          <t>009904</t>
        </is>
      </c>
      <c r="B2473" s="41" t="inlineStr">
        <is>
          <t>REGISTRO ESFERA 1/2 X 3/4</t>
        </is>
      </c>
      <c r="C2473" s="42" t="inlineStr">
        <is>
          <t>MC</t>
        </is>
      </c>
      <c r="D2473" s="42" t="inlineStr">
        <is>
          <t>UN</t>
        </is>
      </c>
      <c r="E2473" s="42" t="inlineStr">
        <is>
          <t>0132</t>
        </is>
      </c>
      <c r="F2473" s="70" t="inlineStr">
        <is>
          <t>Compras</t>
        </is>
      </c>
      <c r="G2473" s="71" t="n">
        <v>19.9</v>
      </c>
      <c r="H2473" s="172" t="inlineStr">
        <is>
          <t>Não</t>
        </is>
      </c>
      <c r="I2473" s="49" t="n"/>
    </row>
    <row r="2474">
      <c r="A2474" s="43" t="inlineStr">
        <is>
          <t>000170</t>
        </is>
      </c>
      <c r="B2474" s="44" t="inlineStr">
        <is>
          <t>REGUA</t>
        </is>
      </c>
      <c r="C2474" s="45" t="inlineStr">
        <is>
          <t>MC</t>
        </is>
      </c>
      <c r="D2474" s="45" t="inlineStr">
        <is>
          <t>UN</t>
        </is>
      </c>
      <c r="E2474" s="45" t="inlineStr">
        <is>
          <t>0001</t>
        </is>
      </c>
      <c r="F2474" s="70" t="inlineStr">
        <is>
          <t>Compras</t>
        </is>
      </c>
      <c r="G2474" s="66" t="n">
        <v>2.36</v>
      </c>
      <c r="H2474" s="172" t="inlineStr">
        <is>
          <t>Não</t>
        </is>
      </c>
      <c r="I2474" s="50" t="n"/>
    </row>
    <row r="2475">
      <c r="A2475" s="40" t="inlineStr">
        <is>
          <t>000718</t>
        </is>
      </c>
      <c r="B2475" s="41" t="inlineStr">
        <is>
          <t>REGULADOR DE GAS N2</t>
        </is>
      </c>
      <c r="C2475" s="42" t="inlineStr">
        <is>
          <t>AI</t>
        </is>
      </c>
      <c r="D2475" s="42" t="inlineStr">
        <is>
          <t>UN</t>
        </is>
      </c>
      <c r="E2475" s="42" t="inlineStr">
        <is>
          <t>0132</t>
        </is>
      </c>
      <c r="F2475" s="70" t="inlineStr">
        <is>
          <t>Compras</t>
        </is>
      </c>
      <c r="G2475" s="71" t="n">
        <v>480</v>
      </c>
      <c r="H2475" s="172" t="inlineStr">
        <is>
          <t>Não</t>
        </is>
      </c>
      <c r="I2475" s="49" t="n"/>
    </row>
    <row r="2476">
      <c r="A2476" s="43" t="inlineStr">
        <is>
          <t>009984</t>
        </is>
      </c>
      <c r="B2476" s="44" t="inlineStr">
        <is>
          <t>REGULADOR DRYWALL MULTIPERFIL F530</t>
        </is>
      </c>
      <c r="C2476" s="45" t="inlineStr">
        <is>
          <t>MC</t>
        </is>
      </c>
      <c r="D2476" s="45" t="inlineStr">
        <is>
          <t>UN</t>
        </is>
      </c>
      <c r="E2476" s="45" t="inlineStr">
        <is>
          <t>0132</t>
        </is>
      </c>
      <c r="F2476" s="70" t="inlineStr">
        <is>
          <t>Compras</t>
        </is>
      </c>
      <c r="G2476" s="69" t="n">
        <v>0</v>
      </c>
      <c r="H2476" s="172" t="inlineStr">
        <is>
          <t>Não</t>
        </is>
      </c>
      <c r="I2476" s="50" t="n"/>
    </row>
    <row r="2477">
      <c r="A2477" s="40" t="inlineStr">
        <is>
          <t>009645</t>
        </is>
      </c>
      <c r="B2477" s="41" t="inlineStr">
        <is>
          <t>REGULADOR E NIVELADOR PARA GESSO F530</t>
        </is>
      </c>
      <c r="C2477" s="42" t="inlineStr">
        <is>
          <t>MC</t>
        </is>
      </c>
      <c r="D2477" s="42" t="inlineStr">
        <is>
          <t>UN</t>
        </is>
      </c>
      <c r="E2477" s="42" t="inlineStr">
        <is>
          <t>0132</t>
        </is>
      </c>
      <c r="F2477" s="70" t="inlineStr">
        <is>
          <t>Compras</t>
        </is>
      </c>
      <c r="G2477" s="71" t="n">
        <v>2.74</v>
      </c>
      <c r="H2477" s="172" t="inlineStr">
        <is>
          <t>Não</t>
        </is>
      </c>
      <c r="I2477" s="49" t="n"/>
    </row>
    <row r="2478">
      <c r="A2478" s="43" t="inlineStr">
        <is>
          <t>009650</t>
        </is>
      </c>
      <c r="B2478" s="44" t="inlineStr">
        <is>
          <t>REJUNTE 1KG</t>
        </is>
      </c>
      <c r="C2478" s="45" t="inlineStr">
        <is>
          <t>MC</t>
        </is>
      </c>
      <c r="D2478" s="45" t="inlineStr">
        <is>
          <t>UN</t>
        </is>
      </c>
      <c r="E2478" s="45" t="inlineStr">
        <is>
          <t>0132</t>
        </is>
      </c>
      <c r="F2478" s="70" t="inlineStr">
        <is>
          <t>Compras</t>
        </is>
      </c>
      <c r="G2478" s="66" t="n">
        <v>8.800000000000001</v>
      </c>
      <c r="H2478" s="172" t="inlineStr">
        <is>
          <t>Não</t>
        </is>
      </c>
      <c r="I2478" s="50" t="n"/>
    </row>
    <row r="2479">
      <c r="A2479" s="40" t="inlineStr">
        <is>
          <t>009649</t>
        </is>
      </c>
      <c r="B2479" s="41" t="inlineStr">
        <is>
          <t>REJUNTE 5KG</t>
        </is>
      </c>
      <c r="C2479" s="42" t="inlineStr">
        <is>
          <t>MC</t>
        </is>
      </c>
      <c r="D2479" s="42" t="inlineStr">
        <is>
          <t>UN</t>
        </is>
      </c>
      <c r="E2479" s="42" t="inlineStr">
        <is>
          <t>0132</t>
        </is>
      </c>
      <c r="F2479" s="70" t="inlineStr">
        <is>
          <t>Compras</t>
        </is>
      </c>
      <c r="G2479" s="68" t="n">
        <v>0</v>
      </c>
      <c r="H2479" s="172" t="inlineStr">
        <is>
          <t>Não</t>
        </is>
      </c>
      <c r="I2479" s="49" t="n"/>
    </row>
    <row r="2480">
      <c r="A2480" s="43" t="inlineStr">
        <is>
          <t>010112</t>
        </is>
      </c>
      <c r="B2480" s="44" t="inlineStr">
        <is>
          <t>REJUNTE ALUMINOSO ANTI ATAQUE 10KG</t>
        </is>
      </c>
      <c r="C2480" s="45" t="inlineStr">
        <is>
          <t>MC</t>
        </is>
      </c>
      <c r="D2480" s="45" t="inlineStr">
        <is>
          <t>UN</t>
        </is>
      </c>
      <c r="E2480" s="45" t="inlineStr">
        <is>
          <t>0132</t>
        </is>
      </c>
      <c r="F2480" s="70" t="inlineStr">
        <is>
          <t>Compras</t>
        </is>
      </c>
      <c r="G2480" s="66" t="n">
        <v>217.8</v>
      </c>
      <c r="H2480" s="172" t="inlineStr">
        <is>
          <t>Não</t>
        </is>
      </c>
      <c r="I2480" s="50" t="n"/>
    </row>
    <row r="2481">
      <c r="A2481" s="40" t="inlineStr">
        <is>
          <t>009651</t>
        </is>
      </c>
      <c r="B2481" s="41" t="inlineStr">
        <is>
          <t>REJUNTE PORCELANATO 1KG</t>
        </is>
      </c>
      <c r="C2481" s="42" t="inlineStr">
        <is>
          <t>MC</t>
        </is>
      </c>
      <c r="D2481" s="42" t="inlineStr">
        <is>
          <t>UN</t>
        </is>
      </c>
      <c r="E2481" s="42" t="inlineStr">
        <is>
          <t>0132</t>
        </is>
      </c>
      <c r="F2481" s="70" t="inlineStr">
        <is>
          <t>Compras</t>
        </is>
      </c>
      <c r="G2481" s="68" t="n">
        <v>0</v>
      </c>
      <c r="H2481" s="172" t="inlineStr">
        <is>
          <t>Não</t>
        </is>
      </c>
      <c r="I2481" s="49" t="n"/>
    </row>
    <row r="2482">
      <c r="A2482" s="43" t="inlineStr">
        <is>
          <t>009363</t>
        </is>
      </c>
      <c r="B2482" s="44" t="inlineStr">
        <is>
          <t>RELOGIO DE PONTO ELETRONICO CONTROL ID</t>
        </is>
      </c>
      <c r="C2482" s="45" t="inlineStr">
        <is>
          <t>MC</t>
        </is>
      </c>
      <c r="D2482" s="45" t="inlineStr">
        <is>
          <t>UN</t>
        </is>
      </c>
      <c r="E2482" s="45" t="inlineStr">
        <is>
          <t>0001</t>
        </is>
      </c>
      <c r="F2482" s="70" t="inlineStr">
        <is>
          <t>Compras</t>
        </is>
      </c>
      <c r="G2482" s="69" t="n">
        <v>0</v>
      </c>
      <c r="H2482" s="172" t="inlineStr">
        <is>
          <t>Não</t>
        </is>
      </c>
      <c r="I2482" s="50" t="n"/>
    </row>
    <row r="2483">
      <c r="A2483" s="40" t="inlineStr">
        <is>
          <t>001619</t>
        </is>
      </c>
      <c r="B2483" s="41" t="inlineStr">
        <is>
          <t>REP RTER, ASSESSOR DE IMPRENSA</t>
        </is>
      </c>
      <c r="C2483" s="42" t="inlineStr">
        <is>
          <t>SV</t>
        </is>
      </c>
      <c r="D2483" s="42" t="inlineStr">
        <is>
          <t>UN</t>
        </is>
      </c>
      <c r="E2483" s="42" t="inlineStr">
        <is>
          <t>(VAZ</t>
        </is>
      </c>
      <c r="F2483" s="70" t="inlineStr">
        <is>
          <t>Compras</t>
        </is>
      </c>
      <c r="G2483" s="68" t="n">
        <v>0</v>
      </c>
      <c r="H2483" s="172" t="inlineStr">
        <is>
          <t>Não</t>
        </is>
      </c>
      <c r="I2483" s="49" t="n"/>
    </row>
    <row r="2484">
      <c r="A2484" s="43" t="inlineStr">
        <is>
          <t>001785</t>
        </is>
      </c>
      <c r="B2484" s="44" t="inlineStr">
        <is>
          <t>REPARA  O, CONSERVA  O E REFOR</t>
        </is>
      </c>
      <c r="C2484" s="45" t="inlineStr">
        <is>
          <t>SV</t>
        </is>
      </c>
      <c r="D2484" s="45" t="inlineStr">
        <is>
          <t>UN</t>
        </is>
      </c>
      <c r="E2484" s="45" t="inlineStr">
        <is>
          <t>(VAZ</t>
        </is>
      </c>
      <c r="F2484" s="70" t="inlineStr">
        <is>
          <t>Compras</t>
        </is>
      </c>
      <c r="G2484" s="69" t="n">
        <v>0</v>
      </c>
      <c r="H2484" s="172" t="inlineStr">
        <is>
          <t>Não</t>
        </is>
      </c>
      <c r="I2484" s="50" t="n"/>
    </row>
    <row r="2485">
      <c r="A2485" s="40" t="inlineStr">
        <is>
          <t>009616</t>
        </is>
      </c>
      <c r="B2485" s="41" t="inlineStr">
        <is>
          <t>REPARO DE TORNEIRA 1/4 DE VOLTA</t>
        </is>
      </c>
      <c r="C2485" s="42" t="inlineStr">
        <is>
          <t>MC</t>
        </is>
      </c>
      <c r="D2485" s="42" t="inlineStr">
        <is>
          <t>UN</t>
        </is>
      </c>
      <c r="E2485" s="42" t="inlineStr">
        <is>
          <t>0132</t>
        </is>
      </c>
      <c r="F2485" s="70" t="inlineStr">
        <is>
          <t>Compras</t>
        </is>
      </c>
      <c r="G2485" s="71" t="n">
        <v>36.9</v>
      </c>
      <c r="H2485" s="172" t="inlineStr">
        <is>
          <t>Não</t>
        </is>
      </c>
      <c r="I2485" s="49" t="n"/>
    </row>
    <row r="2486">
      <c r="A2486" s="43" t="inlineStr">
        <is>
          <t>010141</t>
        </is>
      </c>
      <c r="B2486" s="44" t="inlineStr">
        <is>
          <t>REPARO DO BY PASS LAVADORA</t>
        </is>
      </c>
      <c r="C2486" s="45" t="inlineStr">
        <is>
          <t>MC</t>
        </is>
      </c>
      <c r="D2486" s="45" t="inlineStr">
        <is>
          <t>UN</t>
        </is>
      </c>
      <c r="E2486" s="45" t="inlineStr">
        <is>
          <t>0132</t>
        </is>
      </c>
      <c r="F2486" s="70" t="inlineStr">
        <is>
          <t>Compras</t>
        </is>
      </c>
      <c r="G2486" s="69" t="n">
        <v>0</v>
      </c>
      <c r="H2486" s="172" t="inlineStr">
        <is>
          <t>Não</t>
        </is>
      </c>
      <c r="I2486" s="50" t="n"/>
    </row>
    <row r="2487">
      <c r="A2487" s="40" t="inlineStr">
        <is>
          <t>000481</t>
        </is>
      </c>
      <c r="B2487" s="41" t="inlineStr">
        <is>
          <t>REPOLHO BRANCO</t>
        </is>
      </c>
      <c r="C2487" s="42" t="inlineStr">
        <is>
          <t>MP</t>
        </is>
      </c>
      <c r="D2487" s="42" t="inlineStr">
        <is>
          <t>KG</t>
        </is>
      </c>
      <c r="E2487" s="42" t="inlineStr">
        <is>
          <t>0036</t>
        </is>
      </c>
      <c r="F2487" s="70" t="inlineStr">
        <is>
          <t>Compras</t>
        </is>
      </c>
      <c r="G2487" s="71" t="n">
        <v>11</v>
      </c>
      <c r="H2487" s="172" t="inlineStr">
        <is>
          <t>Não</t>
        </is>
      </c>
      <c r="I2487" s="49" t="n"/>
    </row>
    <row r="2488">
      <c r="A2488" s="43" t="inlineStr">
        <is>
          <t>000482</t>
        </is>
      </c>
      <c r="B2488" s="44" t="inlineStr">
        <is>
          <t>REPOLHO ROXO</t>
        </is>
      </c>
      <c r="C2488" s="45" t="inlineStr">
        <is>
          <t>MP</t>
        </is>
      </c>
      <c r="D2488" s="45" t="inlineStr">
        <is>
          <t>KG</t>
        </is>
      </c>
      <c r="E2488" s="45" t="inlineStr">
        <is>
          <t>0036</t>
        </is>
      </c>
      <c r="F2488" s="70" t="inlineStr">
        <is>
          <t>Compras</t>
        </is>
      </c>
      <c r="G2488" s="66" t="n">
        <v>18.67</v>
      </c>
      <c r="H2488" s="172" t="inlineStr">
        <is>
          <t>Não</t>
        </is>
      </c>
      <c r="I2488" s="50" t="n"/>
    </row>
    <row r="2489">
      <c r="A2489" s="40" t="inlineStr">
        <is>
          <t>001685</t>
        </is>
      </c>
      <c r="B2489" s="41" t="inlineStr">
        <is>
          <t>REPRESENTA  O DE QUALQUER NATU</t>
        </is>
      </c>
      <c r="C2489" s="42" t="inlineStr">
        <is>
          <t>SV</t>
        </is>
      </c>
      <c r="D2489" s="42" t="inlineStr">
        <is>
          <t>UN</t>
        </is>
      </c>
      <c r="E2489" s="42" t="inlineStr">
        <is>
          <t>(VAZ</t>
        </is>
      </c>
      <c r="F2489" s="70" t="inlineStr">
        <is>
          <t>Compras</t>
        </is>
      </c>
      <c r="G2489" s="68" t="n">
        <v>0</v>
      </c>
      <c r="H2489" s="172" t="inlineStr">
        <is>
          <t>Não</t>
        </is>
      </c>
      <c r="I2489" s="49" t="n"/>
    </row>
    <row r="2490">
      <c r="A2490" s="43" t="inlineStr">
        <is>
          <t>010137</t>
        </is>
      </c>
      <c r="B2490" s="44" t="inlineStr">
        <is>
          <t>RESISTENCIA FLEXIVEL SILICONADA</t>
        </is>
      </c>
      <c r="C2490" s="45" t="inlineStr">
        <is>
          <t>MC</t>
        </is>
      </c>
      <c r="D2490" s="45" t="inlineStr">
        <is>
          <t>UN</t>
        </is>
      </c>
      <c r="E2490" s="45" t="inlineStr">
        <is>
          <t>0132</t>
        </is>
      </c>
      <c r="F2490" s="70" t="inlineStr">
        <is>
          <t>Compras</t>
        </is>
      </c>
      <c r="G2490" s="66" t="n">
        <v>75</v>
      </c>
      <c r="H2490" s="172" t="inlineStr">
        <is>
          <t>Não</t>
        </is>
      </c>
      <c r="I2490" s="50" t="n"/>
    </row>
    <row r="2491">
      <c r="A2491" s="40" t="inlineStr">
        <is>
          <t>010285</t>
        </is>
      </c>
      <c r="B2491" s="41" t="inlineStr">
        <is>
          <t>RESISTENCIA TIPO W 1000W 220V EM W PONTAS 90°</t>
        </is>
      </c>
      <c r="C2491" s="42" t="inlineStr">
        <is>
          <t>MC</t>
        </is>
      </c>
      <c r="D2491" s="42" t="inlineStr">
        <is>
          <t>UN</t>
        </is>
      </c>
      <c r="E2491" s="42" t="inlineStr">
        <is>
          <t>0132</t>
        </is>
      </c>
      <c r="F2491" s="70" t="inlineStr">
        <is>
          <t>Compras</t>
        </is>
      </c>
      <c r="G2491" s="71" t="n">
        <v>429</v>
      </c>
      <c r="H2491" s="172" t="inlineStr">
        <is>
          <t>Não</t>
        </is>
      </c>
      <c r="I2491" s="49" t="n"/>
    </row>
    <row r="2492">
      <c r="A2492" s="43" t="inlineStr">
        <is>
          <t>001620</t>
        </is>
      </c>
      <c r="B2492" s="44" t="inlineStr">
        <is>
          <t>RESPOSTA AUD VEL (CENTRAIS DE</t>
        </is>
      </c>
      <c r="C2492" s="45" t="inlineStr">
        <is>
          <t>SV</t>
        </is>
      </c>
      <c r="D2492" s="45" t="inlineStr">
        <is>
          <t>UN</t>
        </is>
      </c>
      <c r="E2492" s="45" t="inlineStr">
        <is>
          <t>(VAZ</t>
        </is>
      </c>
      <c r="F2492" s="70" t="inlineStr">
        <is>
          <t>Compras</t>
        </is>
      </c>
      <c r="G2492" s="69" t="n">
        <v>0</v>
      </c>
      <c r="H2492" s="172" t="inlineStr">
        <is>
          <t>Não</t>
        </is>
      </c>
      <c r="I2492" s="50" t="n"/>
    </row>
    <row r="2493">
      <c r="A2493" s="40" t="inlineStr">
        <is>
          <t>009371</t>
        </is>
      </c>
      <c r="B2493" s="41" t="inlineStr">
        <is>
          <t>REVESTIMENTO FORMA ACETINADO 30X40</t>
        </is>
      </c>
      <c r="C2493" s="42" t="inlineStr">
        <is>
          <t>MC</t>
        </is>
      </c>
      <c r="D2493" s="42" t="inlineStr">
        <is>
          <t>MT</t>
        </is>
      </c>
      <c r="E2493" s="42" t="inlineStr">
        <is>
          <t>0132</t>
        </is>
      </c>
      <c r="F2493" s="70" t="inlineStr">
        <is>
          <t>Compras</t>
        </is>
      </c>
      <c r="G2493" s="71" t="n">
        <v>49.9</v>
      </c>
      <c r="H2493" s="172" t="inlineStr">
        <is>
          <t>Não</t>
        </is>
      </c>
      <c r="I2493" s="49" t="n"/>
    </row>
    <row r="2494">
      <c r="A2494" s="43" t="inlineStr">
        <is>
          <t>010115</t>
        </is>
      </c>
      <c r="B2494" s="44" t="inlineStr">
        <is>
          <t>REVESTIMENTO GAIL 240X116X9MM</t>
        </is>
      </c>
      <c r="C2494" s="45" t="inlineStr">
        <is>
          <t>MC</t>
        </is>
      </c>
      <c r="D2494" s="45" t="inlineStr">
        <is>
          <t>UN</t>
        </is>
      </c>
      <c r="E2494" s="45" t="inlineStr">
        <is>
          <t>0132</t>
        </is>
      </c>
      <c r="F2494" s="70" t="inlineStr">
        <is>
          <t>Compras</t>
        </is>
      </c>
      <c r="G2494" s="66" t="n">
        <v>4.1</v>
      </c>
      <c r="H2494" s="172" t="inlineStr">
        <is>
          <t>Não</t>
        </is>
      </c>
      <c r="I2494" s="50" t="n"/>
    </row>
    <row r="2495">
      <c r="A2495" s="40" t="inlineStr">
        <is>
          <t>001521</t>
        </is>
      </c>
      <c r="B2495" s="41" t="inlineStr">
        <is>
          <t>RISOLE GOUDAN</t>
        </is>
      </c>
      <c r="C2495" s="42" t="inlineStr">
        <is>
          <t>PA</t>
        </is>
      </c>
      <c r="D2495" s="42" t="inlineStr">
        <is>
          <t>UN</t>
        </is>
      </c>
      <c r="E2495" s="42" t="inlineStr">
        <is>
          <t>0121</t>
        </is>
      </c>
      <c r="F2495" s="65" t="inlineStr">
        <is>
          <t>Venda</t>
        </is>
      </c>
      <c r="G2495" s="71" t="n">
        <v>348.62</v>
      </c>
      <c r="H2495" s="173" t="inlineStr">
        <is>
          <t>Sim</t>
        </is>
      </c>
      <c r="I2495" s="49" t="n"/>
    </row>
    <row r="2496">
      <c r="A2496" s="43" t="inlineStr">
        <is>
          <t>000320</t>
        </is>
      </c>
      <c r="B2496" s="44" t="inlineStr">
        <is>
          <t>RISTRETTO</t>
        </is>
      </c>
      <c r="C2496" s="45" t="inlineStr">
        <is>
          <t>MR</t>
        </is>
      </c>
      <c r="D2496" s="45" t="inlineStr">
        <is>
          <t>UN</t>
        </is>
      </c>
      <c r="E2496" s="45" t="inlineStr">
        <is>
          <t>0091</t>
        </is>
      </c>
      <c r="F2496" s="65" t="inlineStr">
        <is>
          <t>Venda</t>
        </is>
      </c>
      <c r="G2496" s="69" t="n">
        <v>0</v>
      </c>
      <c r="H2496" s="177" t="inlineStr">
        <is>
          <t>Sim</t>
        </is>
      </c>
      <c r="I2496" s="178" t="n"/>
    </row>
    <row r="2497">
      <c r="A2497" s="40" t="inlineStr">
        <is>
          <t>000447</t>
        </is>
      </c>
      <c r="B2497" s="41" t="inlineStr">
        <is>
          <t>RISTRETTO PRO IN</t>
        </is>
      </c>
      <c r="C2497" s="42" t="inlineStr">
        <is>
          <t>MR</t>
        </is>
      </c>
      <c r="D2497" s="42" t="inlineStr">
        <is>
          <t>UN</t>
        </is>
      </c>
      <c r="E2497" s="42" t="inlineStr">
        <is>
          <t>0024</t>
        </is>
      </c>
      <c r="F2497" s="70" t="inlineStr">
        <is>
          <t>Compras</t>
        </is>
      </c>
      <c r="G2497" s="68" t="n">
        <v>0</v>
      </c>
      <c r="H2497" s="173" t="inlineStr">
        <is>
          <t>Sim</t>
        </is>
      </c>
      <c r="I2497" s="49" t="n"/>
    </row>
    <row r="2498">
      <c r="A2498" s="43" t="inlineStr">
        <is>
          <t>010114</t>
        </is>
      </c>
      <c r="B2498" s="44" t="inlineStr">
        <is>
          <t>RODAPE GAIL 300X100X9MM</t>
        </is>
      </c>
      <c r="C2498" s="45" t="inlineStr">
        <is>
          <t>MC</t>
        </is>
      </c>
      <c r="D2498" s="45" t="inlineStr">
        <is>
          <t>UN</t>
        </is>
      </c>
      <c r="E2498" s="45" t="inlineStr">
        <is>
          <t>0132</t>
        </is>
      </c>
      <c r="F2498" s="70" t="inlineStr">
        <is>
          <t>Compras</t>
        </is>
      </c>
      <c r="G2498" s="66" t="n">
        <v>16.4</v>
      </c>
      <c r="H2498" s="172" t="inlineStr">
        <is>
          <t>Não</t>
        </is>
      </c>
      <c r="I2498" s="50" t="n"/>
    </row>
    <row r="2499">
      <c r="A2499" s="40" t="inlineStr">
        <is>
          <t>010088</t>
        </is>
      </c>
      <c r="B2499" s="41" t="inlineStr">
        <is>
          <t>RODAPE POLIESTRENO</t>
        </is>
      </c>
      <c r="C2499" s="42" t="inlineStr">
        <is>
          <t>MC</t>
        </is>
      </c>
      <c r="D2499" s="42" t="inlineStr">
        <is>
          <t>MT</t>
        </is>
      </c>
      <c r="E2499" s="42" t="inlineStr">
        <is>
          <t>0132</t>
        </is>
      </c>
      <c r="F2499" s="70" t="inlineStr">
        <is>
          <t>Compras</t>
        </is>
      </c>
      <c r="G2499" s="71" t="n">
        <v>8.5</v>
      </c>
      <c r="H2499" s="172" t="inlineStr">
        <is>
          <t>Não</t>
        </is>
      </c>
      <c r="I2499" s="49" t="n"/>
    </row>
    <row r="2500">
      <c r="A2500" s="43" t="inlineStr">
        <is>
          <t>009680</t>
        </is>
      </c>
      <c r="B2500" s="44" t="inlineStr">
        <is>
          <t>RODINHA DE SILICONE 75MM</t>
        </is>
      </c>
      <c r="C2500" s="45" t="inlineStr">
        <is>
          <t>MC</t>
        </is>
      </c>
      <c r="D2500" s="45" t="inlineStr">
        <is>
          <t>UN</t>
        </is>
      </c>
      <c r="E2500" s="45" t="inlineStr">
        <is>
          <t>0132</t>
        </is>
      </c>
      <c r="F2500" s="70" t="inlineStr">
        <is>
          <t>Compras</t>
        </is>
      </c>
      <c r="G2500" s="69" t="n">
        <v>0</v>
      </c>
      <c r="H2500" s="172" t="inlineStr">
        <is>
          <t>Não</t>
        </is>
      </c>
      <c r="I2500" s="50" t="n"/>
    </row>
    <row r="2501">
      <c r="A2501" s="40" t="inlineStr">
        <is>
          <t>001567</t>
        </is>
      </c>
      <c r="B2501" s="41" t="inlineStr">
        <is>
          <t>RODIZIO CLASSICO PROMOCAO</t>
        </is>
      </c>
      <c r="C2501" s="42" t="inlineStr">
        <is>
          <t>KT</t>
        </is>
      </c>
      <c r="D2501" s="42" t="inlineStr">
        <is>
          <t>UN</t>
        </is>
      </c>
      <c r="E2501" s="42" t="inlineStr">
        <is>
          <t>0129</t>
        </is>
      </c>
      <c r="F2501" s="65" t="inlineStr">
        <is>
          <t>Venda</t>
        </is>
      </c>
      <c r="G2501" s="68" t="n">
        <v>0</v>
      </c>
      <c r="H2501" s="173" t="inlineStr">
        <is>
          <t>Sim</t>
        </is>
      </c>
      <c r="I2501" s="49" t="n"/>
    </row>
    <row r="2502">
      <c r="A2502" s="43" t="inlineStr">
        <is>
          <t>001797</t>
        </is>
      </c>
      <c r="B2502" s="44" t="inlineStr">
        <is>
          <t>RODIZIO CLASSICO STO ANDRE</t>
        </is>
      </c>
      <c r="C2502" s="45" t="inlineStr">
        <is>
          <t>KT</t>
        </is>
      </c>
      <c r="D2502" s="45" t="inlineStr">
        <is>
          <t>UN</t>
        </is>
      </c>
      <c r="E2502" s="45" t="inlineStr">
        <is>
          <t>0092</t>
        </is>
      </c>
      <c r="F2502" s="65" t="inlineStr">
        <is>
          <t>Venda</t>
        </is>
      </c>
      <c r="G2502" s="69" t="n">
        <v>0</v>
      </c>
      <c r="H2502" s="172" t="inlineStr">
        <is>
          <t>Não</t>
        </is>
      </c>
      <c r="I2502" s="48" t="inlineStr">
        <is>
          <t>78989056877185</t>
        </is>
      </c>
    </row>
    <row r="2503">
      <c r="A2503" s="40" t="inlineStr">
        <is>
          <t>001000</t>
        </is>
      </c>
      <c r="B2503" s="41" t="inlineStr">
        <is>
          <t>RODIZIO DE ESPETOS CLASSICOS</t>
        </is>
      </c>
      <c r="C2503" s="42" t="inlineStr">
        <is>
          <t>KT</t>
        </is>
      </c>
      <c r="D2503" s="42" t="inlineStr">
        <is>
          <t>UN</t>
        </is>
      </c>
      <c r="E2503" s="42" t="inlineStr">
        <is>
          <t>0092</t>
        </is>
      </c>
      <c r="F2503" s="65" t="inlineStr">
        <is>
          <t>Venda</t>
        </is>
      </c>
      <c r="G2503" s="68" t="n">
        <v>0</v>
      </c>
      <c r="H2503" s="172" t="inlineStr">
        <is>
          <t>Não</t>
        </is>
      </c>
      <c r="I2503" s="47" t="inlineStr">
        <is>
          <t>9003305</t>
        </is>
      </c>
    </row>
    <row r="2504">
      <c r="A2504" s="43" t="inlineStr">
        <is>
          <t>001215</t>
        </is>
      </c>
      <c r="B2504" s="44" t="inlineStr">
        <is>
          <t>RODIZIO KIDS</t>
        </is>
      </c>
      <c r="C2504" s="45" t="inlineStr">
        <is>
          <t>OI</t>
        </is>
      </c>
      <c r="D2504" s="45" t="inlineStr">
        <is>
          <t>UN</t>
        </is>
      </c>
      <c r="E2504" s="45" t="inlineStr">
        <is>
          <t>0092</t>
        </is>
      </c>
      <c r="F2504" s="65" t="inlineStr">
        <is>
          <t>Venda</t>
        </is>
      </c>
      <c r="G2504" s="69" t="n">
        <v>0</v>
      </c>
      <c r="H2504" s="172" t="inlineStr">
        <is>
          <t>Não</t>
        </is>
      </c>
      <c r="I2504" s="48" t="inlineStr">
        <is>
          <t>9003562</t>
        </is>
      </c>
    </row>
    <row r="2505">
      <c r="A2505" s="40" t="inlineStr">
        <is>
          <t>001404</t>
        </is>
      </c>
      <c r="B2505" s="41" t="inlineStr">
        <is>
          <t>RODIZIO PREMIUM</t>
        </is>
      </c>
      <c r="C2505" s="42" t="inlineStr">
        <is>
          <t>KT</t>
        </is>
      </c>
      <c r="D2505" s="42" t="inlineStr">
        <is>
          <t>UN</t>
        </is>
      </c>
      <c r="E2505" s="42" t="inlineStr">
        <is>
          <t>0092</t>
        </is>
      </c>
      <c r="F2505" s="65" t="inlineStr">
        <is>
          <t>Venda</t>
        </is>
      </c>
      <c r="G2505" s="68" t="n">
        <v>0</v>
      </c>
      <c r="H2505" s="172" t="inlineStr">
        <is>
          <t>Não</t>
        </is>
      </c>
      <c r="I2505" s="47" t="inlineStr">
        <is>
          <t>7898905687501</t>
        </is>
      </c>
    </row>
    <row r="2506">
      <c r="A2506" s="43" t="inlineStr">
        <is>
          <t>001405</t>
        </is>
      </c>
      <c r="B2506" s="44" t="inlineStr">
        <is>
          <t>RODIZIO PREMIUM KIDS</t>
        </is>
      </c>
      <c r="C2506" s="45" t="inlineStr">
        <is>
          <t>OI</t>
        </is>
      </c>
      <c r="D2506" s="45" t="inlineStr">
        <is>
          <t>UN</t>
        </is>
      </c>
      <c r="E2506" s="45" t="inlineStr">
        <is>
          <t>0092</t>
        </is>
      </c>
      <c r="F2506" s="65" t="inlineStr">
        <is>
          <t>Venda</t>
        </is>
      </c>
      <c r="G2506" s="69" t="n">
        <v>0</v>
      </c>
      <c r="H2506" s="172" t="inlineStr">
        <is>
          <t>Não</t>
        </is>
      </c>
      <c r="I2506" s="48" t="inlineStr">
        <is>
          <t>7898905687502</t>
        </is>
      </c>
    </row>
    <row r="2507">
      <c r="A2507" s="40" t="inlineStr">
        <is>
          <t>000098</t>
        </is>
      </c>
      <c r="B2507" s="41" t="inlineStr">
        <is>
          <t>RODO DE PLASTICO DUPLO 40 CM</t>
        </is>
      </c>
      <c r="C2507" s="42" t="inlineStr">
        <is>
          <t>MC</t>
        </is>
      </c>
      <c r="D2507" s="42" t="inlineStr">
        <is>
          <t>UN</t>
        </is>
      </c>
      <c r="E2507" s="42" t="inlineStr">
        <is>
          <t>0075</t>
        </is>
      </c>
      <c r="F2507" s="70" t="inlineStr">
        <is>
          <t>Compras</t>
        </is>
      </c>
      <c r="G2507" s="71" t="n">
        <v>3.49</v>
      </c>
      <c r="H2507" s="172" t="inlineStr">
        <is>
          <t>Não</t>
        </is>
      </c>
      <c r="I2507" s="49" t="n"/>
    </row>
    <row r="2508">
      <c r="A2508" s="43" t="inlineStr">
        <is>
          <t>000099</t>
        </is>
      </c>
      <c r="B2508" s="44" t="inlineStr">
        <is>
          <t>RODO DE PLASTICO DUPLO 60 CM</t>
        </is>
      </c>
      <c r="C2508" s="45" t="inlineStr">
        <is>
          <t>MC</t>
        </is>
      </c>
      <c r="D2508" s="45" t="inlineStr">
        <is>
          <t>UN</t>
        </is>
      </c>
      <c r="E2508" s="45" t="inlineStr">
        <is>
          <t>0075</t>
        </is>
      </c>
      <c r="F2508" s="70" t="inlineStr">
        <is>
          <t>Compras</t>
        </is>
      </c>
      <c r="G2508" s="66" t="n">
        <v>5.98</v>
      </c>
      <c r="H2508" s="172" t="inlineStr">
        <is>
          <t>Não</t>
        </is>
      </c>
      <c r="I2508" s="50" t="n"/>
    </row>
    <row r="2509">
      <c r="A2509" s="40" t="inlineStr">
        <is>
          <t>001207</t>
        </is>
      </c>
      <c r="B2509" s="41" t="inlineStr">
        <is>
          <t>RODO PARA LIMPAR VIDROS</t>
        </is>
      </c>
      <c r="C2509" s="42" t="inlineStr">
        <is>
          <t>MC</t>
        </is>
      </c>
      <c r="D2509" s="42" t="inlineStr">
        <is>
          <t>UN</t>
        </is>
      </c>
      <c r="E2509" s="42" t="inlineStr">
        <is>
          <t>0075</t>
        </is>
      </c>
      <c r="F2509" s="70" t="inlineStr">
        <is>
          <t>Compras</t>
        </is>
      </c>
      <c r="G2509" s="71" t="n">
        <v>26.4</v>
      </c>
      <c r="H2509" s="172" t="inlineStr">
        <is>
          <t>Não</t>
        </is>
      </c>
      <c r="I2509" s="49" t="n"/>
    </row>
    <row r="2510">
      <c r="A2510" s="43" t="inlineStr">
        <is>
          <t>010247</t>
        </is>
      </c>
      <c r="B2510" s="44" t="inlineStr">
        <is>
          <t>ROLAMENTO AXIAL WAP</t>
        </is>
      </c>
      <c r="C2510" s="45" t="inlineStr">
        <is>
          <t>MC</t>
        </is>
      </c>
      <c r="D2510" s="45" t="inlineStr">
        <is>
          <t>UN</t>
        </is>
      </c>
      <c r="E2510" s="45" t="inlineStr">
        <is>
          <t>0132</t>
        </is>
      </c>
      <c r="F2510" s="70" t="inlineStr">
        <is>
          <t>Compras</t>
        </is>
      </c>
      <c r="G2510" s="66" t="n">
        <v>90</v>
      </c>
      <c r="H2510" s="172" t="inlineStr">
        <is>
          <t>Não</t>
        </is>
      </c>
      <c r="I2510" s="50" t="n"/>
    </row>
    <row r="2511">
      <c r="A2511" s="40" t="inlineStr">
        <is>
          <t>000047</t>
        </is>
      </c>
      <c r="B2511" s="41" t="inlineStr">
        <is>
          <t>ROLHA IMPORTADO</t>
        </is>
      </c>
      <c r="C2511" s="42" t="inlineStr">
        <is>
          <t>OI</t>
        </is>
      </c>
      <c r="D2511" s="42" t="inlineStr">
        <is>
          <t>UN</t>
        </is>
      </c>
      <c r="E2511" s="42" t="inlineStr">
        <is>
          <t>0117</t>
        </is>
      </c>
      <c r="F2511" s="65" t="inlineStr">
        <is>
          <t>Venda</t>
        </is>
      </c>
      <c r="G2511" s="68" t="n">
        <v>0</v>
      </c>
      <c r="H2511" s="172" t="inlineStr">
        <is>
          <t>Não</t>
        </is>
      </c>
      <c r="I2511" s="47" t="inlineStr">
        <is>
          <t>102115</t>
        </is>
      </c>
    </row>
    <row r="2512">
      <c r="A2512" s="43" t="inlineStr">
        <is>
          <t>000048</t>
        </is>
      </c>
      <c r="B2512" s="44" t="inlineStr">
        <is>
          <t>ROLHA NACIONAL</t>
        </is>
      </c>
      <c r="C2512" s="45" t="inlineStr">
        <is>
          <t>OI</t>
        </is>
      </c>
      <c r="D2512" s="45" t="inlineStr">
        <is>
          <t>UN</t>
        </is>
      </c>
      <c r="E2512" s="45" t="inlineStr">
        <is>
          <t>0117</t>
        </is>
      </c>
      <c r="F2512" s="65" t="inlineStr">
        <is>
          <t>Venda</t>
        </is>
      </c>
      <c r="G2512" s="66" t="n">
        <v>19.6</v>
      </c>
      <c r="H2512" s="172" t="inlineStr">
        <is>
          <t>Não</t>
        </is>
      </c>
      <c r="I2512" s="48" t="inlineStr">
        <is>
          <t>102116</t>
        </is>
      </c>
    </row>
    <row r="2513">
      <c r="A2513" s="40" t="inlineStr">
        <is>
          <t>009332</t>
        </is>
      </c>
      <c r="B2513" s="41" t="inlineStr">
        <is>
          <t>ROLO ANTI RESPINGO 23CM</t>
        </is>
      </c>
      <c r="C2513" s="42" t="inlineStr">
        <is>
          <t>MC</t>
        </is>
      </c>
      <c r="D2513" s="42" t="inlineStr">
        <is>
          <t>UN</t>
        </is>
      </c>
      <c r="E2513" s="42" t="inlineStr">
        <is>
          <t>0132</t>
        </is>
      </c>
      <c r="F2513" s="70" t="inlineStr">
        <is>
          <t>Compras</t>
        </is>
      </c>
      <c r="G2513" s="71" t="n">
        <v>17</v>
      </c>
      <c r="H2513" s="172" t="inlineStr">
        <is>
          <t>Não</t>
        </is>
      </c>
      <c r="I2513" s="49" t="n"/>
    </row>
    <row r="2514">
      <c r="A2514" s="43" t="inlineStr">
        <is>
          <t>009922</t>
        </is>
      </c>
      <c r="B2514" s="44" t="inlineStr">
        <is>
          <t>ROLO DE ESPUMA COM SUPORTE</t>
        </is>
      </c>
      <c r="C2514" s="45" t="inlineStr">
        <is>
          <t>MC</t>
        </is>
      </c>
      <c r="D2514" s="45" t="inlineStr">
        <is>
          <t>UN</t>
        </is>
      </c>
      <c r="E2514" s="45" t="inlineStr">
        <is>
          <t>0132</t>
        </is>
      </c>
      <c r="F2514" s="70" t="inlineStr">
        <is>
          <t>Compras</t>
        </is>
      </c>
      <c r="G2514" s="66" t="n">
        <v>6</v>
      </c>
      <c r="H2514" s="172" t="inlineStr">
        <is>
          <t>Não</t>
        </is>
      </c>
      <c r="I2514" s="50" t="n"/>
    </row>
    <row r="2515">
      <c r="A2515" s="40" t="inlineStr">
        <is>
          <t>000711</t>
        </is>
      </c>
      <c r="B2515" s="41" t="inlineStr">
        <is>
          <t>ROLO DE FITILHO 5MMX50MT</t>
        </is>
      </c>
      <c r="C2515" s="42" t="inlineStr">
        <is>
          <t>MC</t>
        </is>
      </c>
      <c r="D2515" s="42" t="inlineStr">
        <is>
          <t>UN</t>
        </is>
      </c>
      <c r="E2515" s="42" t="inlineStr">
        <is>
          <t>0145</t>
        </is>
      </c>
      <c r="F2515" s="70" t="inlineStr">
        <is>
          <t>Compras</t>
        </is>
      </c>
      <c r="G2515" s="71" t="n">
        <v>20</v>
      </c>
      <c r="H2515" s="172" t="inlineStr">
        <is>
          <t>Não</t>
        </is>
      </c>
      <c r="I2515" s="49" t="n"/>
    </row>
    <row r="2516">
      <c r="A2516" s="43" t="inlineStr">
        <is>
          <t>009407</t>
        </is>
      </c>
      <c r="B2516" s="44" t="inlineStr">
        <is>
          <t>ROLO DE LÃ 23CM</t>
        </is>
      </c>
      <c r="C2516" s="45" t="inlineStr">
        <is>
          <t>MC</t>
        </is>
      </c>
      <c r="D2516" s="45" t="inlineStr">
        <is>
          <t>UN</t>
        </is>
      </c>
      <c r="E2516" s="45" t="inlineStr">
        <is>
          <t>0132</t>
        </is>
      </c>
      <c r="F2516" s="70" t="inlineStr">
        <is>
          <t>Compras</t>
        </is>
      </c>
      <c r="G2516" s="66" t="n">
        <v>48.2</v>
      </c>
      <c r="H2516" s="172" t="inlineStr">
        <is>
          <t>Não</t>
        </is>
      </c>
      <c r="I2516" s="50" t="n"/>
    </row>
    <row r="2517">
      <c r="A2517" s="40" t="inlineStr">
        <is>
          <t>010308</t>
        </is>
      </c>
      <c r="B2517" s="41" t="inlineStr">
        <is>
          <t>ROLO DE PINTURA ANTI GOTA 28CM</t>
        </is>
      </c>
      <c r="C2517" s="42" t="inlineStr">
        <is>
          <t>MC</t>
        </is>
      </c>
      <c r="D2517" s="42" t="inlineStr">
        <is>
          <t>UN</t>
        </is>
      </c>
      <c r="E2517" s="42" t="inlineStr">
        <is>
          <t>0132</t>
        </is>
      </c>
      <c r="F2517" s="70" t="inlineStr">
        <is>
          <t>Compras</t>
        </is>
      </c>
      <c r="G2517" s="71" t="n">
        <v>32.9</v>
      </c>
      <c r="H2517" s="172" t="inlineStr">
        <is>
          <t>Não</t>
        </is>
      </c>
      <c r="I2517" s="49" t="n"/>
    </row>
    <row r="2518">
      <c r="A2518" s="43" t="inlineStr">
        <is>
          <t>009878</t>
        </is>
      </c>
      <c r="B2518" s="44" t="inlineStr">
        <is>
          <t>ROLO ESPUMA 15CM</t>
        </is>
      </c>
      <c r="C2518" s="45" t="inlineStr">
        <is>
          <t>MC</t>
        </is>
      </c>
      <c r="D2518" s="45" t="inlineStr">
        <is>
          <t>UN</t>
        </is>
      </c>
      <c r="E2518" s="45" t="inlineStr">
        <is>
          <t>0132</t>
        </is>
      </c>
      <c r="F2518" s="70" t="inlineStr">
        <is>
          <t>Compras</t>
        </is>
      </c>
      <c r="G2518" s="66" t="n">
        <v>13.5</v>
      </c>
      <c r="H2518" s="172" t="inlineStr">
        <is>
          <t>Não</t>
        </is>
      </c>
      <c r="I2518" s="50" t="n"/>
    </row>
    <row r="2519">
      <c r="A2519" s="40" t="inlineStr">
        <is>
          <t>009408</t>
        </is>
      </c>
      <c r="B2519" s="41" t="inlineStr">
        <is>
          <t>ROLO ESPUMA 5CM</t>
        </is>
      </c>
      <c r="C2519" s="42" t="inlineStr">
        <is>
          <t>MC</t>
        </is>
      </c>
      <c r="D2519" s="42" t="inlineStr">
        <is>
          <t>UN</t>
        </is>
      </c>
      <c r="E2519" s="42" t="inlineStr">
        <is>
          <t>0132</t>
        </is>
      </c>
      <c r="F2519" s="70" t="inlineStr">
        <is>
          <t>Compras</t>
        </is>
      </c>
      <c r="G2519" s="71" t="n">
        <v>48.2</v>
      </c>
      <c r="H2519" s="172" t="inlineStr">
        <is>
          <t>Não</t>
        </is>
      </c>
      <c r="I2519" s="49" t="n"/>
    </row>
    <row r="2520">
      <c r="A2520" s="43" t="inlineStr">
        <is>
          <t>009409</t>
        </is>
      </c>
      <c r="B2520" s="44" t="inlineStr">
        <is>
          <t>ROLO ESPUMA 9CM</t>
        </is>
      </c>
      <c r="C2520" s="45" t="inlineStr">
        <is>
          <t>MC</t>
        </is>
      </c>
      <c r="D2520" s="45" t="inlineStr">
        <is>
          <t>UN</t>
        </is>
      </c>
      <c r="E2520" s="45" t="inlineStr">
        <is>
          <t>0132</t>
        </is>
      </c>
      <c r="F2520" s="70" t="inlineStr">
        <is>
          <t>Compras</t>
        </is>
      </c>
      <c r="G2520" s="66" t="n">
        <v>6</v>
      </c>
      <c r="H2520" s="172" t="inlineStr">
        <is>
          <t>Não</t>
        </is>
      </c>
      <c r="I2520" s="50" t="n"/>
    </row>
    <row r="2521">
      <c r="A2521" s="40" t="inlineStr">
        <is>
          <t>009341</t>
        </is>
      </c>
      <c r="B2521" s="41" t="inlineStr">
        <is>
          <t>ROLO LÃ CARNEIRO 09CM</t>
        </is>
      </c>
      <c r="C2521" s="42" t="inlineStr">
        <is>
          <t>MC</t>
        </is>
      </c>
      <c r="D2521" s="42" t="inlineStr">
        <is>
          <t>UN</t>
        </is>
      </c>
      <c r="E2521" s="42" t="inlineStr">
        <is>
          <t>0132</t>
        </is>
      </c>
      <c r="F2521" s="70" t="inlineStr">
        <is>
          <t>Compras</t>
        </is>
      </c>
      <c r="G2521" s="71" t="n">
        <v>55.6</v>
      </c>
      <c r="H2521" s="172" t="inlineStr">
        <is>
          <t>Não</t>
        </is>
      </c>
      <c r="I2521" s="49" t="n"/>
    </row>
    <row r="2522">
      <c r="A2522" s="43" t="inlineStr">
        <is>
          <t>009813</t>
        </is>
      </c>
      <c r="B2522" s="44" t="inlineStr">
        <is>
          <t>ROLO PAPEL KRAFT</t>
        </is>
      </c>
      <c r="C2522" s="45" t="inlineStr">
        <is>
          <t>MC</t>
        </is>
      </c>
      <c r="D2522" s="45" t="inlineStr">
        <is>
          <t>UN</t>
        </is>
      </c>
      <c r="E2522" s="45" t="inlineStr">
        <is>
          <t>0001</t>
        </is>
      </c>
      <c r="F2522" s="70" t="inlineStr">
        <is>
          <t>Compras</t>
        </is>
      </c>
      <c r="G2522" s="69" t="n">
        <v>0</v>
      </c>
      <c r="H2522" s="172" t="inlineStr">
        <is>
          <t>Não</t>
        </is>
      </c>
      <c r="I2522" s="50" t="n"/>
    </row>
    <row r="2523">
      <c r="A2523" s="40" t="inlineStr">
        <is>
          <t>010325</t>
        </is>
      </c>
      <c r="B2523" s="41" t="inlineStr">
        <is>
          <t>ROLO PARA TEXTURA CABELO DE ANJO 10CM</t>
        </is>
      </c>
      <c r="C2523" s="42" t="inlineStr">
        <is>
          <t>MC</t>
        </is>
      </c>
      <c r="D2523" s="42" t="inlineStr">
        <is>
          <t>UN</t>
        </is>
      </c>
      <c r="E2523" s="42" t="inlineStr">
        <is>
          <t>0132</t>
        </is>
      </c>
      <c r="F2523" s="70" t="inlineStr">
        <is>
          <t>Compras</t>
        </is>
      </c>
      <c r="G2523" s="71" t="n">
        <v>49.9</v>
      </c>
      <c r="H2523" s="172" t="inlineStr">
        <is>
          <t>Não</t>
        </is>
      </c>
      <c r="I2523" s="49" t="n"/>
    </row>
    <row r="2524">
      <c r="A2524" s="43" t="inlineStr">
        <is>
          <t>000096</t>
        </is>
      </c>
      <c r="B2524" s="44" t="inlineStr">
        <is>
          <t>ROLO PERFEX AZUL</t>
        </is>
      </c>
      <c r="C2524" s="45" t="inlineStr">
        <is>
          <t>MC</t>
        </is>
      </c>
      <c r="D2524" s="45" t="inlineStr">
        <is>
          <t>UN</t>
        </is>
      </c>
      <c r="E2524" s="45" t="inlineStr">
        <is>
          <t>0075</t>
        </is>
      </c>
      <c r="F2524" s="70" t="inlineStr">
        <is>
          <t>Compras</t>
        </is>
      </c>
      <c r="G2524" s="66" t="n">
        <v>89.90000000000001</v>
      </c>
      <c r="H2524" s="172" t="inlineStr">
        <is>
          <t>Não</t>
        </is>
      </c>
      <c r="I2524" s="50" t="n"/>
    </row>
    <row r="2525">
      <c r="A2525" s="40" t="inlineStr">
        <is>
          <t>000097</t>
        </is>
      </c>
      <c r="B2525" s="41" t="inlineStr">
        <is>
          <t>ROLO PERFEX BRANCO</t>
        </is>
      </c>
      <c r="C2525" s="42" t="inlineStr">
        <is>
          <t>MC</t>
        </is>
      </c>
      <c r="D2525" s="42" t="inlineStr">
        <is>
          <t>UN</t>
        </is>
      </c>
      <c r="E2525" s="42" t="inlineStr">
        <is>
          <t>0075</t>
        </is>
      </c>
      <c r="F2525" s="70" t="inlineStr">
        <is>
          <t>Compras</t>
        </is>
      </c>
      <c r="G2525" s="71" t="n">
        <v>13.54</v>
      </c>
      <c r="H2525" s="172" t="inlineStr">
        <is>
          <t>Não</t>
        </is>
      </c>
      <c r="I2525" s="49" t="n"/>
    </row>
    <row r="2526">
      <c r="A2526" s="43" t="inlineStr">
        <is>
          <t>000219</t>
        </is>
      </c>
      <c r="B2526" s="44" t="inlineStr">
        <is>
          <t>ROLO PERFEX LARANJA</t>
        </is>
      </c>
      <c r="C2526" s="45" t="inlineStr">
        <is>
          <t>MC</t>
        </is>
      </c>
      <c r="D2526" s="45" t="inlineStr">
        <is>
          <t>UN</t>
        </is>
      </c>
      <c r="E2526" s="45" t="inlineStr">
        <is>
          <t>0075</t>
        </is>
      </c>
      <c r="F2526" s="70" t="inlineStr">
        <is>
          <t>Compras</t>
        </is>
      </c>
      <c r="G2526" s="66" t="n">
        <v>91.48999999999999</v>
      </c>
      <c r="H2526" s="172" t="inlineStr">
        <is>
          <t>Não</t>
        </is>
      </c>
      <c r="I2526" s="50" t="n"/>
    </row>
    <row r="2527">
      <c r="A2527" s="40" t="inlineStr">
        <is>
          <t>009814</t>
        </is>
      </c>
      <c r="B2527" s="41" t="inlineStr">
        <is>
          <t>ROLO PLASTICO BOLHA</t>
        </is>
      </c>
      <c r="C2527" s="42" t="inlineStr">
        <is>
          <t>MC</t>
        </is>
      </c>
      <c r="D2527" s="42" t="inlineStr">
        <is>
          <t>UN</t>
        </is>
      </c>
      <c r="E2527" s="42" t="inlineStr">
        <is>
          <t>0001</t>
        </is>
      </c>
      <c r="F2527" s="70" t="inlineStr">
        <is>
          <t>Compras</t>
        </is>
      </c>
      <c r="G2527" s="68" t="n">
        <v>0</v>
      </c>
      <c r="H2527" s="172" t="inlineStr">
        <is>
          <t>Não</t>
        </is>
      </c>
      <c r="I2527" s="49" t="n"/>
    </row>
    <row r="2528">
      <c r="A2528" s="43" t="inlineStr">
        <is>
          <t>009457</t>
        </is>
      </c>
      <c r="B2528" s="44" t="inlineStr">
        <is>
          <t>ROLO ROMA TEXTURA BAIXA 15CM</t>
        </is>
      </c>
      <c r="C2528" s="45" t="inlineStr">
        <is>
          <t>MC</t>
        </is>
      </c>
      <c r="D2528" s="45" t="inlineStr">
        <is>
          <t>UN</t>
        </is>
      </c>
      <c r="E2528" s="45" t="inlineStr">
        <is>
          <t>0132</t>
        </is>
      </c>
      <c r="F2528" s="70" t="inlineStr">
        <is>
          <t>Compras</t>
        </is>
      </c>
      <c r="G2528" s="66" t="n">
        <v>9.9</v>
      </c>
      <c r="H2528" s="172" t="inlineStr">
        <is>
          <t>Não</t>
        </is>
      </c>
      <c r="I2528" s="50" t="n"/>
    </row>
    <row r="2529">
      <c r="A2529" s="40" t="inlineStr">
        <is>
          <t>001364</t>
        </is>
      </c>
      <c r="B2529" s="41" t="inlineStr">
        <is>
          <t>ROSQUINHA DE COCO</t>
        </is>
      </c>
      <c r="C2529" s="42" t="inlineStr">
        <is>
          <t>PA</t>
        </is>
      </c>
      <c r="D2529" s="42" t="inlineStr">
        <is>
          <t>UN</t>
        </is>
      </c>
      <c r="E2529" s="42" t="inlineStr">
        <is>
          <t>0107</t>
        </is>
      </c>
      <c r="F2529" s="65" t="inlineStr">
        <is>
          <t>Venda</t>
        </is>
      </c>
      <c r="G2529" s="68" t="n">
        <v>0</v>
      </c>
      <c r="H2529" s="172" t="inlineStr">
        <is>
          <t>Não</t>
        </is>
      </c>
      <c r="I2529" s="47" t="inlineStr">
        <is>
          <t>7898905687178</t>
        </is>
      </c>
    </row>
    <row r="2530">
      <c r="A2530" s="43" t="inlineStr">
        <is>
          <t>001380</t>
        </is>
      </c>
      <c r="B2530" s="44" t="inlineStr">
        <is>
          <t>ROSQUINHA DE COCO</t>
        </is>
      </c>
      <c r="C2530" s="45" t="inlineStr">
        <is>
          <t>MP</t>
        </is>
      </c>
      <c r="D2530" s="45" t="inlineStr">
        <is>
          <t>KG</t>
        </is>
      </c>
      <c r="E2530" s="45" t="inlineStr">
        <is>
          <t>0029</t>
        </is>
      </c>
      <c r="F2530" s="70" t="inlineStr">
        <is>
          <t>Compras</t>
        </is>
      </c>
      <c r="G2530" s="69" t="n">
        <v>0</v>
      </c>
      <c r="H2530" s="172" t="inlineStr">
        <is>
          <t>Não</t>
        </is>
      </c>
      <c r="I2530" s="50" t="n"/>
    </row>
    <row r="2531">
      <c r="A2531" s="40" t="inlineStr">
        <is>
          <t>009446</t>
        </is>
      </c>
      <c r="B2531" s="41" t="inlineStr">
        <is>
          <t>ROTEADOR</t>
        </is>
      </c>
      <c r="C2531" s="42" t="inlineStr">
        <is>
          <t>MC</t>
        </is>
      </c>
      <c r="D2531" s="42" t="inlineStr">
        <is>
          <t>UN</t>
        </is>
      </c>
      <c r="E2531" s="42" t="inlineStr">
        <is>
          <t>0133</t>
        </is>
      </c>
      <c r="F2531" s="70" t="inlineStr">
        <is>
          <t>Compras</t>
        </is>
      </c>
      <c r="G2531" s="68" t="n">
        <v>0</v>
      </c>
      <c r="H2531" s="172" t="inlineStr">
        <is>
          <t>Não</t>
        </is>
      </c>
      <c r="I2531" s="49" t="n"/>
    </row>
    <row r="2532">
      <c r="A2532" s="43" t="inlineStr">
        <is>
          <t>009628</t>
        </is>
      </c>
      <c r="B2532" s="44" t="inlineStr">
        <is>
          <t>ROTEADOR WIFI ACCESS POINTS UBIQUITI U6</t>
        </is>
      </c>
      <c r="C2532" s="45" t="inlineStr">
        <is>
          <t>MC</t>
        </is>
      </c>
      <c r="D2532" s="45" t="inlineStr">
        <is>
          <t>UN</t>
        </is>
      </c>
      <c r="E2532" s="45" t="inlineStr">
        <is>
          <t>0006</t>
        </is>
      </c>
      <c r="F2532" s="70" t="inlineStr">
        <is>
          <t>Compras</t>
        </is>
      </c>
      <c r="G2532" s="66" t="n">
        <v>2170</v>
      </c>
      <c r="H2532" s="172" t="inlineStr">
        <is>
          <t>Não</t>
        </is>
      </c>
      <c r="I2532" s="50" t="n"/>
    </row>
    <row r="2533">
      <c r="A2533" s="40" t="inlineStr">
        <is>
          <t>000483</t>
        </is>
      </c>
      <c r="B2533" s="41" t="inlineStr">
        <is>
          <t>RUCULA HIDROPONICA</t>
        </is>
      </c>
      <c r="C2533" s="42" t="inlineStr">
        <is>
          <t>MP</t>
        </is>
      </c>
      <c r="D2533" s="42" t="inlineStr">
        <is>
          <t>KG</t>
        </is>
      </c>
      <c r="E2533" s="42" t="inlineStr">
        <is>
          <t>0036</t>
        </is>
      </c>
      <c r="F2533" s="70" t="inlineStr">
        <is>
          <t>Compras</t>
        </is>
      </c>
      <c r="G2533" s="71" t="n">
        <v>20.27</v>
      </c>
      <c r="H2533" s="172" t="inlineStr">
        <is>
          <t>Não</t>
        </is>
      </c>
      <c r="I2533" s="49" t="n"/>
    </row>
    <row r="2534">
      <c r="A2534" s="43" t="inlineStr">
        <is>
          <t>010005</t>
        </is>
      </c>
      <c r="B2534" s="44" t="inlineStr">
        <is>
          <t>SABADO</t>
        </is>
      </c>
      <c r="C2534" s="45" t="inlineStr">
        <is>
          <t>OI</t>
        </is>
      </c>
      <c r="D2534" s="45" t="inlineStr">
        <is>
          <t>UN</t>
        </is>
      </c>
      <c r="E2534" s="45" t="inlineStr">
        <is>
          <t>0128</t>
        </is>
      </c>
      <c r="F2534" s="65" t="inlineStr">
        <is>
          <t>Venda</t>
        </is>
      </c>
      <c r="G2534" s="69" t="n">
        <v>0</v>
      </c>
      <c r="H2534" s="172" t="inlineStr">
        <is>
          <t>Não</t>
        </is>
      </c>
      <c r="I2534" s="48" t="inlineStr">
        <is>
          <t>511017</t>
        </is>
      </c>
    </row>
    <row r="2535">
      <c r="A2535" s="40" t="inlineStr">
        <is>
          <t>000100</t>
        </is>
      </c>
      <c r="B2535" s="41" t="inlineStr">
        <is>
          <t>SABAO EM PO COMUM</t>
        </is>
      </c>
      <c r="C2535" s="42" t="inlineStr">
        <is>
          <t>MC</t>
        </is>
      </c>
      <c r="D2535" s="42" t="inlineStr">
        <is>
          <t>UN</t>
        </is>
      </c>
      <c r="E2535" s="42" t="inlineStr">
        <is>
          <t>0075</t>
        </is>
      </c>
      <c r="F2535" s="70" t="inlineStr">
        <is>
          <t>Compras</t>
        </is>
      </c>
      <c r="G2535" s="71" t="n">
        <v>40.13</v>
      </c>
      <c r="H2535" s="172" t="inlineStr">
        <is>
          <t>Não</t>
        </is>
      </c>
      <c r="I2535" s="49" t="n"/>
    </row>
    <row r="2536">
      <c r="A2536" s="43" t="inlineStr">
        <is>
          <t>000132</t>
        </is>
      </c>
      <c r="B2536" s="44" t="inlineStr">
        <is>
          <t>SABONETE ANTISEPTICO</t>
        </is>
      </c>
      <c r="C2536" s="45" t="inlineStr">
        <is>
          <t>MC</t>
        </is>
      </c>
      <c r="D2536" s="45" t="inlineStr">
        <is>
          <t>UN</t>
        </is>
      </c>
      <c r="E2536" s="45" t="inlineStr">
        <is>
          <t>0075</t>
        </is>
      </c>
      <c r="F2536" s="70" t="inlineStr">
        <is>
          <t>Compras</t>
        </is>
      </c>
      <c r="G2536" s="66" t="n">
        <v>56.42</v>
      </c>
      <c r="H2536" s="172" t="inlineStr">
        <is>
          <t>Não</t>
        </is>
      </c>
      <c r="I2536" s="50" t="n"/>
    </row>
    <row r="2537">
      <c r="A2537" s="40" t="inlineStr">
        <is>
          <t>000131</t>
        </is>
      </c>
      <c r="B2537" s="41" t="inlineStr">
        <is>
          <t>SABONETE ESPUMA</t>
        </is>
      </c>
      <c r="C2537" s="42" t="inlineStr">
        <is>
          <t>MC</t>
        </is>
      </c>
      <c r="D2537" s="42" t="inlineStr">
        <is>
          <t>UN</t>
        </is>
      </c>
      <c r="E2537" s="42" t="inlineStr">
        <is>
          <t>0075</t>
        </is>
      </c>
      <c r="F2537" s="70" t="inlineStr">
        <is>
          <t>Compras</t>
        </is>
      </c>
      <c r="G2537" s="71" t="n">
        <v>34.27</v>
      </c>
      <c r="H2537" s="172" t="inlineStr">
        <is>
          <t>Não</t>
        </is>
      </c>
      <c r="I2537" s="49" t="n"/>
    </row>
    <row r="2538">
      <c r="A2538" s="43" t="inlineStr">
        <is>
          <t>000935</t>
        </is>
      </c>
      <c r="B2538" s="44" t="inlineStr">
        <is>
          <t>SABOR DE MINAS DOSE</t>
        </is>
      </c>
      <c r="C2538" s="45" t="inlineStr">
        <is>
          <t>PA</t>
        </is>
      </c>
      <c r="D2538" s="45" t="inlineStr">
        <is>
          <t>UN</t>
        </is>
      </c>
      <c r="E2538" s="45" t="inlineStr">
        <is>
          <t>0090</t>
        </is>
      </c>
      <c r="F2538" s="65" t="inlineStr">
        <is>
          <t>Venda</t>
        </is>
      </c>
      <c r="G2538" s="69" t="n">
        <v>0</v>
      </c>
      <c r="H2538" s="172" t="inlineStr">
        <is>
          <t>Não</t>
        </is>
      </c>
      <c r="I2538" s="48" t="inlineStr">
        <is>
          <t>9003140</t>
        </is>
      </c>
    </row>
    <row r="2539">
      <c r="A2539" s="40" t="inlineStr">
        <is>
          <t>000936</t>
        </is>
      </c>
      <c r="B2539" s="41" t="inlineStr">
        <is>
          <t>SABOR DE MINAS GARRAFA</t>
        </is>
      </c>
      <c r="C2539" s="42" t="inlineStr">
        <is>
          <t>MR</t>
        </is>
      </c>
      <c r="D2539" s="42" t="inlineStr">
        <is>
          <t>UN</t>
        </is>
      </c>
      <c r="E2539" s="42" t="inlineStr">
        <is>
          <t>0090</t>
        </is>
      </c>
      <c r="F2539" s="65" t="inlineStr">
        <is>
          <t>Venda</t>
        </is>
      </c>
      <c r="G2539" s="68" t="n">
        <v>0</v>
      </c>
      <c r="H2539" s="172" t="inlineStr">
        <is>
          <t>Não</t>
        </is>
      </c>
      <c r="I2539" s="47" t="inlineStr">
        <is>
          <t>9003141</t>
        </is>
      </c>
    </row>
    <row r="2540">
      <c r="A2540" s="43" t="inlineStr">
        <is>
          <t>010105</t>
        </is>
      </c>
      <c r="B2540" s="44" t="inlineStr">
        <is>
          <t>SACHO CORACAO 60CM</t>
        </is>
      </c>
      <c r="C2540" s="45" t="inlineStr">
        <is>
          <t>MC</t>
        </is>
      </c>
      <c r="D2540" s="45" t="inlineStr">
        <is>
          <t>UN</t>
        </is>
      </c>
      <c r="E2540" s="45" t="inlineStr">
        <is>
          <t>0132</t>
        </is>
      </c>
      <c r="F2540" s="70" t="inlineStr">
        <is>
          <t>Compras</t>
        </is>
      </c>
      <c r="G2540" s="66" t="n">
        <v>49</v>
      </c>
      <c r="H2540" s="172" t="inlineStr">
        <is>
          <t>Não</t>
        </is>
      </c>
      <c r="I2540" s="50" t="n"/>
    </row>
    <row r="2541">
      <c r="A2541" s="40" t="inlineStr">
        <is>
          <t>000095</t>
        </is>
      </c>
      <c r="B2541" s="41" t="inlineStr">
        <is>
          <t>SACO ALVEJADO 35X65 ESPECIAL</t>
        </is>
      </c>
      <c r="C2541" s="42" t="inlineStr">
        <is>
          <t>MC</t>
        </is>
      </c>
      <c r="D2541" s="42" t="inlineStr">
        <is>
          <t>UN</t>
        </is>
      </c>
      <c r="E2541" s="42" t="inlineStr">
        <is>
          <t>0075</t>
        </is>
      </c>
      <c r="F2541" s="70" t="inlineStr">
        <is>
          <t>Compras</t>
        </is>
      </c>
      <c r="G2541" s="71" t="n">
        <v>2.09</v>
      </c>
      <c r="H2541" s="172" t="inlineStr">
        <is>
          <t>Não</t>
        </is>
      </c>
      <c r="I2541" s="49" t="n"/>
    </row>
    <row r="2542">
      <c r="A2542" s="43" t="inlineStr">
        <is>
          <t>000208</t>
        </is>
      </c>
      <c r="B2542" s="44" t="inlineStr">
        <is>
          <t>SACO DE GELO 5KG COMPRA</t>
        </is>
      </c>
      <c r="C2542" s="45" t="inlineStr">
        <is>
          <t>MC</t>
        </is>
      </c>
      <c r="D2542" s="45" t="inlineStr">
        <is>
          <t>PC</t>
        </is>
      </c>
      <c r="E2542" s="45" t="inlineStr">
        <is>
          <t>0143</t>
        </is>
      </c>
      <c r="F2542" s="70" t="inlineStr">
        <is>
          <t>Compras</t>
        </is>
      </c>
      <c r="G2542" s="66" t="n">
        <v>6</v>
      </c>
      <c r="H2542" s="172" t="inlineStr">
        <is>
          <t>Não</t>
        </is>
      </c>
      <c r="I2542" s="50" t="n"/>
    </row>
    <row r="2543">
      <c r="A2543" s="40" t="inlineStr">
        <is>
          <t>000120</t>
        </is>
      </c>
      <c r="B2543" s="41" t="inlineStr">
        <is>
          <t>SACO DE LIXO 100 LITROS</t>
        </is>
      </c>
      <c r="C2543" s="42" t="inlineStr">
        <is>
          <t>MC</t>
        </is>
      </c>
      <c r="D2543" s="42" t="inlineStr">
        <is>
          <t>PC</t>
        </is>
      </c>
      <c r="E2543" s="42" t="inlineStr">
        <is>
          <t>0075</t>
        </is>
      </c>
      <c r="F2543" s="70" t="inlineStr">
        <is>
          <t>Compras</t>
        </is>
      </c>
      <c r="G2543" s="71" t="n">
        <v>48.05</v>
      </c>
      <c r="H2543" s="172" t="inlineStr">
        <is>
          <t>Não</t>
        </is>
      </c>
      <c r="I2543" s="49" t="n"/>
    </row>
    <row r="2544">
      <c r="A2544" s="43" t="inlineStr">
        <is>
          <t>000122</t>
        </is>
      </c>
      <c r="B2544" s="44" t="inlineStr">
        <is>
          <t>SACO DE LIXO 20 LITROS</t>
        </is>
      </c>
      <c r="C2544" s="45" t="inlineStr">
        <is>
          <t>MC</t>
        </is>
      </c>
      <c r="D2544" s="45" t="inlineStr">
        <is>
          <t>PC</t>
        </is>
      </c>
      <c r="E2544" s="45" t="inlineStr">
        <is>
          <t>0075</t>
        </is>
      </c>
      <c r="F2544" s="70" t="inlineStr">
        <is>
          <t>Compras</t>
        </is>
      </c>
      <c r="G2544" s="66" t="n">
        <v>13.45</v>
      </c>
      <c r="H2544" s="172" t="inlineStr">
        <is>
          <t>Não</t>
        </is>
      </c>
      <c r="I2544" s="50" t="n"/>
    </row>
    <row r="2545">
      <c r="A2545" s="40" t="inlineStr">
        <is>
          <t>000121</t>
        </is>
      </c>
      <c r="B2545" s="41" t="inlineStr">
        <is>
          <t>SACO DE LIXO 60 LITROS</t>
        </is>
      </c>
      <c r="C2545" s="42" t="inlineStr">
        <is>
          <t>MC</t>
        </is>
      </c>
      <c r="D2545" s="42" t="inlineStr">
        <is>
          <t>PC</t>
        </is>
      </c>
      <c r="E2545" s="42" t="inlineStr">
        <is>
          <t>0075</t>
        </is>
      </c>
      <c r="F2545" s="70" t="inlineStr">
        <is>
          <t>Compras</t>
        </is>
      </c>
      <c r="G2545" s="71" t="n">
        <v>31.89</v>
      </c>
      <c r="H2545" s="172" t="inlineStr">
        <is>
          <t>Não</t>
        </is>
      </c>
      <c r="I2545" s="49" t="n"/>
    </row>
    <row r="2546">
      <c r="A2546" s="43" t="inlineStr">
        <is>
          <t>010297</t>
        </is>
      </c>
      <c r="B2546" s="44" t="inlineStr">
        <is>
          <t>SACO DE RAFIA ENTULHO P/ 25KG 50X70CM</t>
        </is>
      </c>
      <c r="C2546" s="45" t="inlineStr">
        <is>
          <t>MC</t>
        </is>
      </c>
      <c r="D2546" s="45" t="inlineStr">
        <is>
          <t>UN</t>
        </is>
      </c>
      <c r="E2546" s="45" t="inlineStr">
        <is>
          <t>0132</t>
        </is>
      </c>
      <c r="F2546" s="70" t="inlineStr">
        <is>
          <t>Compras</t>
        </is>
      </c>
      <c r="G2546" s="66" t="n">
        <v>2.5</v>
      </c>
      <c r="H2546" s="172" t="inlineStr">
        <is>
          <t>Não</t>
        </is>
      </c>
      <c r="I2546" s="50" t="n"/>
    </row>
    <row r="2547">
      <c r="A2547" s="40" t="inlineStr">
        <is>
          <t>000275</t>
        </is>
      </c>
      <c r="B2547" s="41" t="inlineStr">
        <is>
          <t>SACO ESTERIL 12X30 COM TARJA</t>
        </is>
      </c>
      <c r="C2547" s="42" t="inlineStr">
        <is>
          <t>MC</t>
        </is>
      </c>
      <c r="D2547" s="42" t="inlineStr">
        <is>
          <t>PC</t>
        </is>
      </c>
      <c r="E2547" s="42" t="inlineStr">
        <is>
          <t>0075</t>
        </is>
      </c>
      <c r="F2547" s="70" t="inlineStr">
        <is>
          <t>Compras</t>
        </is>
      </c>
      <c r="G2547" s="71" t="n">
        <v>67.48</v>
      </c>
      <c r="H2547" s="172" t="inlineStr">
        <is>
          <t>Não</t>
        </is>
      </c>
      <c r="I2547" s="49" t="n"/>
    </row>
    <row r="2548">
      <c r="A2548" s="43" t="inlineStr">
        <is>
          <t>000977</t>
        </is>
      </c>
      <c r="B2548" s="44" t="inlineStr">
        <is>
          <t>SACO KRAFT DELIVERY</t>
        </is>
      </c>
      <c r="C2548" s="45" t="inlineStr">
        <is>
          <t>MC</t>
        </is>
      </c>
      <c r="D2548" s="45" t="inlineStr">
        <is>
          <t>UN</t>
        </is>
      </c>
      <c r="E2548" s="45" t="inlineStr">
        <is>
          <t>0014</t>
        </is>
      </c>
      <c r="F2548" s="70" t="inlineStr">
        <is>
          <t>Compras</t>
        </is>
      </c>
      <c r="G2548" s="66" t="n">
        <v>0.5467</v>
      </c>
      <c r="H2548" s="172" t="inlineStr">
        <is>
          <t>Não</t>
        </is>
      </c>
      <c r="I2548" s="50" t="n"/>
    </row>
    <row r="2549">
      <c r="A2549" s="40" t="inlineStr">
        <is>
          <t>000984</t>
        </is>
      </c>
      <c r="B2549" s="41" t="inlineStr">
        <is>
          <t>SACO LAMINADO DELIVERY 10X35</t>
        </is>
      </c>
      <c r="C2549" s="42" t="inlineStr">
        <is>
          <t>MC</t>
        </is>
      </c>
      <c r="D2549" s="42" t="inlineStr">
        <is>
          <t>UN</t>
        </is>
      </c>
      <c r="E2549" s="42" t="inlineStr">
        <is>
          <t>0014</t>
        </is>
      </c>
      <c r="F2549" s="70" t="inlineStr">
        <is>
          <t>Compras</t>
        </is>
      </c>
      <c r="G2549" s="71" t="n">
        <v>0.15</v>
      </c>
      <c r="H2549" s="172" t="inlineStr">
        <is>
          <t>Não</t>
        </is>
      </c>
      <c r="I2549" s="49" t="n"/>
    </row>
    <row r="2550">
      <c r="A2550" s="43" t="inlineStr">
        <is>
          <t>001021</t>
        </is>
      </c>
      <c r="B2550" s="44" t="inlineStr">
        <is>
          <t>SACO LAMINADO DELIVERY 7X30</t>
        </is>
      </c>
      <c r="C2550" s="45" t="inlineStr">
        <is>
          <t>MC</t>
        </is>
      </c>
      <c r="D2550" s="45" t="inlineStr">
        <is>
          <t>UN</t>
        </is>
      </c>
      <c r="E2550" s="45" t="inlineStr">
        <is>
          <t>0070</t>
        </is>
      </c>
      <c r="F2550" s="70" t="inlineStr">
        <is>
          <t>Compras</t>
        </is>
      </c>
      <c r="G2550" s="66" t="n">
        <v>0.142</v>
      </c>
      <c r="H2550" s="172" t="inlineStr">
        <is>
          <t>Não</t>
        </is>
      </c>
      <c r="I2550" s="50" t="n"/>
    </row>
    <row r="2551">
      <c r="A2551" s="40" t="inlineStr">
        <is>
          <t>000123</t>
        </is>
      </c>
      <c r="B2551" s="41" t="inlineStr">
        <is>
          <t>SACO P/ ALIMENTOS 25 X 35   (V</t>
        </is>
      </c>
      <c r="C2551" s="42" t="inlineStr">
        <is>
          <t>MC</t>
        </is>
      </c>
      <c r="D2551" s="42" t="inlineStr">
        <is>
          <t>PC</t>
        </is>
      </c>
      <c r="E2551" s="42" t="inlineStr">
        <is>
          <t>0075</t>
        </is>
      </c>
      <c r="F2551" s="70" t="inlineStr">
        <is>
          <t>Compras</t>
        </is>
      </c>
      <c r="G2551" s="71" t="n">
        <v>125</v>
      </c>
      <c r="H2551" s="172" t="inlineStr">
        <is>
          <t>Não</t>
        </is>
      </c>
      <c r="I2551" s="49" t="n"/>
    </row>
    <row r="2552">
      <c r="A2552" s="43" t="inlineStr">
        <is>
          <t>000124</t>
        </is>
      </c>
      <c r="B2552" s="44" t="inlineStr">
        <is>
          <t>SACO P/ ALIMENTOS 50X70 (GELO)</t>
        </is>
      </c>
      <c r="C2552" s="45" t="inlineStr">
        <is>
          <t>MC</t>
        </is>
      </c>
      <c r="D2552" s="45" t="inlineStr">
        <is>
          <t>PC</t>
        </is>
      </c>
      <c r="E2552" s="45" t="inlineStr">
        <is>
          <t>0075</t>
        </is>
      </c>
      <c r="F2552" s="70" t="inlineStr">
        <is>
          <t>Compras</t>
        </is>
      </c>
      <c r="G2552" s="66" t="n">
        <v>185.29</v>
      </c>
      <c r="H2552" s="172" t="inlineStr">
        <is>
          <t>Não</t>
        </is>
      </c>
      <c r="I2552" s="50" t="n"/>
    </row>
    <row r="2553">
      <c r="A2553" s="40" t="inlineStr">
        <is>
          <t>000125</t>
        </is>
      </c>
      <c r="B2553" s="41" t="inlineStr">
        <is>
          <t>SACO P/ALIMENTOS 45X35  (SALSI</t>
        </is>
      </c>
      <c r="C2553" s="42" t="inlineStr">
        <is>
          <t>MC</t>
        </is>
      </c>
      <c r="D2553" s="42" t="inlineStr">
        <is>
          <t>PC</t>
        </is>
      </c>
      <c r="E2553" s="42" t="inlineStr">
        <is>
          <t>0075</t>
        </is>
      </c>
      <c r="F2553" s="70" t="inlineStr">
        <is>
          <t>Compras</t>
        </is>
      </c>
      <c r="G2553" s="71" t="n">
        <v>125</v>
      </c>
      <c r="H2553" s="172" t="inlineStr">
        <is>
          <t>Não</t>
        </is>
      </c>
      <c r="I2553" s="49" t="n"/>
    </row>
    <row r="2554">
      <c r="A2554" s="43" t="inlineStr">
        <is>
          <t>009819</t>
        </is>
      </c>
      <c r="B2554" s="44" t="inlineStr">
        <is>
          <t>SACO PLASTICO PP A4</t>
        </is>
      </c>
      <c r="C2554" s="45" t="inlineStr">
        <is>
          <t>MC</t>
        </is>
      </c>
      <c r="D2554" s="45" t="inlineStr">
        <is>
          <t>UN</t>
        </is>
      </c>
      <c r="E2554" s="45" t="inlineStr">
        <is>
          <t>0001</t>
        </is>
      </c>
      <c r="F2554" s="70" t="inlineStr">
        <is>
          <t>Compras</t>
        </is>
      </c>
      <c r="G2554" s="69" t="n">
        <v>30</v>
      </c>
      <c r="H2554" s="172" t="inlineStr">
        <is>
          <t>Não</t>
        </is>
      </c>
      <c r="I2554" s="50" t="n"/>
    </row>
    <row r="2555">
      <c r="A2555" s="40" t="inlineStr">
        <is>
          <t>010208</t>
        </is>
      </c>
      <c r="B2555" s="41" t="inlineStr">
        <is>
          <t>SACO PLASTICO TRANSPARENTE 40X60</t>
        </is>
      </c>
      <c r="C2555" s="42" t="inlineStr">
        <is>
          <t>MC</t>
        </is>
      </c>
      <c r="D2555" s="42" t="inlineStr">
        <is>
          <t>UN</t>
        </is>
      </c>
      <c r="E2555" s="42" t="inlineStr">
        <is>
          <t>0134</t>
        </is>
      </c>
      <c r="F2555" s="70" t="inlineStr">
        <is>
          <t>Compras</t>
        </is>
      </c>
      <c r="G2555" s="68" t="n">
        <v>0</v>
      </c>
      <c r="H2555" s="172" t="inlineStr">
        <is>
          <t>Não</t>
        </is>
      </c>
      <c r="I2555" s="49" t="n"/>
    </row>
    <row r="2556">
      <c r="A2556" s="43" t="inlineStr">
        <is>
          <t>002233</t>
        </is>
      </c>
      <c r="B2556" s="44" t="inlineStr">
        <is>
          <t>SACO TERMICO PLASTICO 13X35</t>
        </is>
      </c>
      <c r="C2556" s="45" t="inlineStr">
        <is>
          <t>MC</t>
        </is>
      </c>
      <c r="D2556" s="45" t="inlineStr">
        <is>
          <t>UN</t>
        </is>
      </c>
      <c r="E2556" s="45" t="inlineStr">
        <is>
          <t>0014</t>
        </is>
      </c>
      <c r="F2556" s="70" t="inlineStr">
        <is>
          <t>Compras</t>
        </is>
      </c>
      <c r="G2556" s="66" t="n">
        <v>0.15</v>
      </c>
      <c r="H2556" s="172" t="inlineStr">
        <is>
          <t>Não</t>
        </is>
      </c>
      <c r="I2556" s="50" t="n"/>
    </row>
    <row r="2557">
      <c r="A2557" s="40" t="inlineStr">
        <is>
          <t>000126</t>
        </is>
      </c>
      <c r="B2557" s="41" t="inlineStr">
        <is>
          <t>SACOLA P/ VIAGEM</t>
        </is>
      </c>
      <c r="C2557" s="42" t="inlineStr">
        <is>
          <t>MC</t>
        </is>
      </c>
      <c r="D2557" s="42" t="inlineStr">
        <is>
          <t>UN</t>
        </is>
      </c>
      <c r="E2557" s="42" t="inlineStr">
        <is>
          <t>0075</t>
        </is>
      </c>
      <c r="F2557" s="70" t="inlineStr">
        <is>
          <t>Compras</t>
        </is>
      </c>
      <c r="G2557" s="71" t="n">
        <v>69.5</v>
      </c>
      <c r="H2557" s="172" t="inlineStr">
        <is>
          <t>Não</t>
        </is>
      </c>
      <c r="I2557" s="49" t="n"/>
    </row>
    <row r="2558">
      <c r="A2558" s="43" t="inlineStr">
        <is>
          <t>010206</t>
        </is>
      </c>
      <c r="B2558" s="44" t="inlineStr">
        <is>
          <t>SACOLA PLASTICA ALCA VAZADA</t>
        </is>
      </c>
      <c r="C2558" s="45" t="inlineStr">
        <is>
          <t>MC</t>
        </is>
      </c>
      <c r="D2558" s="45" t="inlineStr">
        <is>
          <t>UN</t>
        </is>
      </c>
      <c r="E2558" s="45" t="inlineStr">
        <is>
          <t>0134</t>
        </is>
      </c>
      <c r="F2558" s="70" t="inlineStr">
        <is>
          <t>Compras</t>
        </is>
      </c>
      <c r="G2558" s="69" t="n">
        <v>35.5</v>
      </c>
      <c r="H2558" s="172" t="inlineStr">
        <is>
          <t>Não</t>
        </is>
      </c>
      <c r="I2558" s="50" t="n"/>
    </row>
    <row r="2559">
      <c r="A2559" s="40" t="inlineStr">
        <is>
          <t>009374</t>
        </is>
      </c>
      <c r="B2559" s="41" t="inlineStr">
        <is>
          <t>SAIDA PARA AGUA 100MM COM FLANGE</t>
        </is>
      </c>
      <c r="C2559" s="42" t="inlineStr">
        <is>
          <t>MC</t>
        </is>
      </c>
      <c r="D2559" s="42" t="inlineStr">
        <is>
          <t>UN</t>
        </is>
      </c>
      <c r="E2559" s="42" t="inlineStr">
        <is>
          <t>0132</t>
        </is>
      </c>
      <c r="F2559" s="70" t="inlineStr">
        <is>
          <t>Compras</t>
        </is>
      </c>
      <c r="G2559" s="71" t="n">
        <v>50</v>
      </c>
      <c r="H2559" s="172" t="inlineStr">
        <is>
          <t>Não</t>
        </is>
      </c>
      <c r="I2559" s="49" t="n"/>
    </row>
    <row r="2560">
      <c r="A2560" s="43" t="inlineStr">
        <is>
          <t>000362</t>
        </is>
      </c>
      <c r="B2560" s="44" t="inlineStr">
        <is>
          <t>SAKE BAG 5LT</t>
        </is>
      </c>
      <c r="C2560" s="45" t="inlineStr">
        <is>
          <t>MP</t>
        </is>
      </c>
      <c r="D2560" s="45" t="inlineStr">
        <is>
          <t>LT</t>
        </is>
      </c>
      <c r="E2560" s="45" t="inlineStr">
        <is>
          <t>0126</t>
        </is>
      </c>
      <c r="F2560" s="70" t="inlineStr">
        <is>
          <t>Compras</t>
        </is>
      </c>
      <c r="G2560" s="66" t="n">
        <v>14.4</v>
      </c>
      <c r="H2560" s="173" t="inlineStr">
        <is>
          <t>Sim</t>
        </is>
      </c>
      <c r="I2560" s="50" t="n"/>
    </row>
    <row r="2561">
      <c r="A2561" s="40" t="inlineStr">
        <is>
          <t>009822</t>
        </is>
      </c>
      <c r="B2561" s="41" t="inlineStr">
        <is>
          <t>SAKE NIZYA BAG 5LT</t>
        </is>
      </c>
      <c r="C2561" s="42" t="inlineStr">
        <is>
          <t>ME</t>
        </is>
      </c>
      <c r="D2561" s="42" t="inlineStr">
        <is>
          <t>LT</t>
        </is>
      </c>
      <c r="E2561" s="42" t="inlineStr">
        <is>
          <t>0038</t>
        </is>
      </c>
      <c r="F2561" s="70" t="inlineStr">
        <is>
          <t>Compras</t>
        </is>
      </c>
      <c r="G2561" s="71" t="n">
        <v>18</v>
      </c>
      <c r="H2561" s="172" t="inlineStr">
        <is>
          <t>Não</t>
        </is>
      </c>
      <c r="I2561" s="49" t="n"/>
    </row>
    <row r="2562">
      <c r="A2562" s="43" t="inlineStr">
        <is>
          <t>000415</t>
        </is>
      </c>
      <c r="B2562" s="44" t="inlineStr">
        <is>
          <t>SAL FINO</t>
        </is>
      </c>
      <c r="C2562" s="45" t="inlineStr">
        <is>
          <t>MP</t>
        </is>
      </c>
      <c r="D2562" s="45" t="inlineStr">
        <is>
          <t>KG</t>
        </is>
      </c>
      <c r="E2562" s="45" t="inlineStr">
        <is>
          <t>0029</t>
        </is>
      </c>
      <c r="F2562" s="70" t="inlineStr">
        <is>
          <t>Compras</t>
        </is>
      </c>
      <c r="G2562" s="66" t="n">
        <v>1.89</v>
      </c>
      <c r="H2562" s="173" t="inlineStr">
        <is>
          <t>Sim</t>
        </is>
      </c>
      <c r="I2562" s="50" t="n"/>
    </row>
    <row r="2563">
      <c r="A2563" s="40" t="inlineStr">
        <is>
          <t>000416</t>
        </is>
      </c>
      <c r="B2563" s="41" t="inlineStr">
        <is>
          <t>SAL GROSSO</t>
        </is>
      </c>
      <c r="C2563" s="42" t="inlineStr">
        <is>
          <t>MP</t>
        </is>
      </c>
      <c r="D2563" s="42" t="inlineStr">
        <is>
          <t>KG</t>
        </is>
      </c>
      <c r="E2563" s="42" t="inlineStr">
        <is>
          <t>0029</t>
        </is>
      </c>
      <c r="F2563" s="70" t="inlineStr">
        <is>
          <t>Compras</t>
        </is>
      </c>
      <c r="G2563" s="71" t="n">
        <v>2.093</v>
      </c>
      <c r="H2563" s="172" t="inlineStr">
        <is>
          <t>Não</t>
        </is>
      </c>
      <c r="I2563" s="49" t="n"/>
    </row>
    <row r="2564">
      <c r="A2564" s="43" t="inlineStr">
        <is>
          <t>000614</t>
        </is>
      </c>
      <c r="B2564" s="44" t="inlineStr">
        <is>
          <t>SAL REFINADO</t>
        </is>
      </c>
      <c r="C2564" s="45" t="inlineStr">
        <is>
          <t>MP</t>
        </is>
      </c>
      <c r="D2564" s="45" t="inlineStr">
        <is>
          <t>KG</t>
        </is>
      </c>
      <c r="E2564" s="45" t="inlineStr">
        <is>
          <t>0029</t>
        </is>
      </c>
      <c r="F2564" s="70" t="inlineStr">
        <is>
          <t>Compras</t>
        </is>
      </c>
      <c r="G2564" s="66" t="n">
        <v>3.99</v>
      </c>
      <c r="H2564" s="172" t="inlineStr">
        <is>
          <t>Não</t>
        </is>
      </c>
      <c r="I2564" s="50" t="n"/>
    </row>
    <row r="2565">
      <c r="A2565" s="40" t="inlineStr">
        <is>
          <t>000417</t>
        </is>
      </c>
      <c r="B2565" s="41" t="inlineStr">
        <is>
          <t>SAL SACHE</t>
        </is>
      </c>
      <c r="C2565" s="42" t="inlineStr">
        <is>
          <t>MP</t>
        </is>
      </c>
      <c r="D2565" s="42" t="inlineStr">
        <is>
          <t>KG</t>
        </is>
      </c>
      <c r="E2565" s="42" t="inlineStr">
        <is>
          <t>0029</t>
        </is>
      </c>
      <c r="F2565" s="70" t="inlineStr">
        <is>
          <t>Compras</t>
        </is>
      </c>
      <c r="G2565" s="71" t="n">
        <v>23.59</v>
      </c>
      <c r="H2565" s="172" t="inlineStr">
        <is>
          <t>Não</t>
        </is>
      </c>
      <c r="I2565" s="49" t="n"/>
    </row>
    <row r="2566">
      <c r="A2566" s="43" t="inlineStr">
        <is>
          <t>000868</t>
        </is>
      </c>
      <c r="B2566" s="44" t="inlineStr">
        <is>
          <t>SALADA CALIFORNIA</t>
        </is>
      </c>
      <c r="C2566" s="45" t="inlineStr">
        <is>
          <t>PA</t>
        </is>
      </c>
      <c r="D2566" s="45" t="inlineStr">
        <is>
          <t>UN</t>
        </is>
      </c>
      <c r="E2566" s="45" t="inlineStr">
        <is>
          <t>0112</t>
        </is>
      </c>
      <c r="F2566" s="65" t="inlineStr">
        <is>
          <t>Venda</t>
        </is>
      </c>
      <c r="G2566" s="69" t="n">
        <v>0</v>
      </c>
      <c r="H2566" s="177" t="inlineStr">
        <is>
          <t>Sim</t>
        </is>
      </c>
      <c r="I2566" s="178" t="n"/>
    </row>
    <row r="2567">
      <c r="A2567" s="40" t="inlineStr">
        <is>
          <t>002215</t>
        </is>
      </c>
      <c r="B2567" s="41" t="inlineStr">
        <is>
          <t>SALADA CALIFORNIA</t>
        </is>
      </c>
      <c r="C2567" s="42" t="inlineStr">
        <is>
          <t>PA</t>
        </is>
      </c>
      <c r="D2567" s="42" t="inlineStr">
        <is>
          <t>UN</t>
        </is>
      </c>
      <c r="E2567" s="42" t="inlineStr">
        <is>
          <t>0112</t>
        </is>
      </c>
      <c r="F2567" s="65" t="inlineStr">
        <is>
          <t>Venda</t>
        </is>
      </c>
      <c r="G2567" s="68" t="n">
        <v>0</v>
      </c>
      <c r="H2567" s="172" t="inlineStr">
        <is>
          <t>Não</t>
        </is>
      </c>
      <c r="I2567" s="47" t="inlineStr">
        <is>
          <t>78989056877338</t>
        </is>
      </c>
    </row>
    <row r="2568">
      <c r="A2568" s="43" t="inlineStr">
        <is>
          <t>000869</t>
        </is>
      </c>
      <c r="B2568" s="44" t="inlineStr">
        <is>
          <t>SALADA CAPRESE</t>
        </is>
      </c>
      <c r="C2568" s="45" t="inlineStr">
        <is>
          <t>PA</t>
        </is>
      </c>
      <c r="D2568" s="45" t="inlineStr">
        <is>
          <t>UN</t>
        </is>
      </c>
      <c r="E2568" s="45" t="inlineStr">
        <is>
          <t>0112</t>
        </is>
      </c>
      <c r="F2568" s="65" t="inlineStr">
        <is>
          <t>Venda</t>
        </is>
      </c>
      <c r="G2568" s="69" t="n">
        <v>0</v>
      </c>
      <c r="H2568" s="172" t="inlineStr">
        <is>
          <t>Não</t>
        </is>
      </c>
      <c r="I2568" s="48" t="inlineStr">
        <is>
          <t>60007</t>
        </is>
      </c>
    </row>
    <row r="2569">
      <c r="A2569" s="40" t="inlineStr">
        <is>
          <t>000870</t>
        </is>
      </c>
      <c r="B2569" s="41" t="inlineStr">
        <is>
          <t>SALADA DA CASA</t>
        </is>
      </c>
      <c r="C2569" s="42" t="inlineStr">
        <is>
          <t>PA</t>
        </is>
      </c>
      <c r="D2569" s="42" t="inlineStr">
        <is>
          <t>UN</t>
        </is>
      </c>
      <c r="E2569" s="42" t="inlineStr">
        <is>
          <t>0112</t>
        </is>
      </c>
      <c r="F2569" s="65" t="inlineStr">
        <is>
          <t>Venda</t>
        </is>
      </c>
      <c r="G2569" s="68" t="n">
        <v>0</v>
      </c>
      <c r="H2569" s="172" t="inlineStr">
        <is>
          <t>Não</t>
        </is>
      </c>
      <c r="I2569" s="47" t="inlineStr">
        <is>
          <t>60012</t>
        </is>
      </c>
    </row>
    <row r="2570">
      <c r="A2570" s="43" t="inlineStr">
        <is>
          <t>001054</t>
        </is>
      </c>
      <c r="B2570" s="44" t="inlineStr">
        <is>
          <t>SALADA DE BATATA</t>
        </is>
      </c>
      <c r="C2570" s="45" t="inlineStr">
        <is>
          <t>PA</t>
        </is>
      </c>
      <c r="D2570" s="45" t="inlineStr">
        <is>
          <t>UN</t>
        </is>
      </c>
      <c r="E2570" s="45" t="inlineStr">
        <is>
          <t>0112</t>
        </is>
      </c>
      <c r="F2570" s="65" t="inlineStr">
        <is>
          <t>Venda</t>
        </is>
      </c>
      <c r="G2570" s="69" t="n">
        <v>0</v>
      </c>
      <c r="H2570" s="177" t="inlineStr">
        <is>
          <t>Sim</t>
        </is>
      </c>
      <c r="I2570" s="178" t="n"/>
    </row>
    <row r="2571">
      <c r="A2571" s="40" t="inlineStr">
        <is>
          <t>000871</t>
        </is>
      </c>
      <c r="B2571" s="41" t="inlineStr">
        <is>
          <t>SALADA JULIANA</t>
        </is>
      </c>
      <c r="C2571" s="42" t="inlineStr">
        <is>
          <t>PA</t>
        </is>
      </c>
      <c r="D2571" s="42" t="inlineStr">
        <is>
          <t>UN</t>
        </is>
      </c>
      <c r="E2571" s="42" t="inlineStr">
        <is>
          <t>0112</t>
        </is>
      </c>
      <c r="F2571" s="65" t="inlineStr">
        <is>
          <t>Venda</t>
        </is>
      </c>
      <c r="G2571" s="68" t="n">
        <v>0</v>
      </c>
      <c r="H2571" s="172" t="inlineStr">
        <is>
          <t>Não</t>
        </is>
      </c>
      <c r="I2571" s="47" t="inlineStr">
        <is>
          <t>60013</t>
        </is>
      </c>
    </row>
    <row r="2572">
      <c r="A2572" s="43" t="inlineStr">
        <is>
          <t>002229</t>
        </is>
      </c>
      <c r="B2572" s="44" t="inlineStr">
        <is>
          <t>SALADEIRA - 1000ML - DELIVERY</t>
        </is>
      </c>
      <c r="C2572" s="45" t="inlineStr">
        <is>
          <t>MC</t>
        </is>
      </c>
      <c r="D2572" s="45" t="inlineStr">
        <is>
          <t>CX</t>
        </is>
      </c>
      <c r="E2572" s="45" t="inlineStr">
        <is>
          <t>0014</t>
        </is>
      </c>
      <c r="F2572" s="70" t="inlineStr">
        <is>
          <t>Compras</t>
        </is>
      </c>
      <c r="G2572" s="66" t="n">
        <v>93.26000000000001</v>
      </c>
      <c r="H2572" s="172" t="inlineStr">
        <is>
          <t>Não</t>
        </is>
      </c>
      <c r="I2572" s="50" t="n"/>
    </row>
    <row r="2573">
      <c r="A2573" s="40" t="inlineStr">
        <is>
          <t>002230</t>
        </is>
      </c>
      <c r="B2573" s="41" t="inlineStr">
        <is>
          <t>SALADEIRA - 500ML - DELIVERY</t>
        </is>
      </c>
      <c r="C2573" s="42" t="inlineStr">
        <is>
          <t>MC</t>
        </is>
      </c>
      <c r="D2573" s="42" t="inlineStr">
        <is>
          <t>CX</t>
        </is>
      </c>
      <c r="E2573" s="42" t="inlineStr">
        <is>
          <t>0014</t>
        </is>
      </c>
      <c r="F2573" s="70" t="inlineStr">
        <is>
          <t>Compras</t>
        </is>
      </c>
      <c r="G2573" s="71" t="n">
        <v>76.58</v>
      </c>
      <c r="H2573" s="172" t="inlineStr">
        <is>
          <t>Não</t>
        </is>
      </c>
      <c r="I2573" s="49" t="n"/>
    </row>
    <row r="2574">
      <c r="A2574" s="43" t="inlineStr">
        <is>
          <t>000661</t>
        </is>
      </c>
      <c r="B2574" s="44" t="inlineStr">
        <is>
          <t>SALADEIRA EMPILHAVEL</t>
        </is>
      </c>
      <c r="C2574" s="45" t="inlineStr">
        <is>
          <t>MC</t>
        </is>
      </c>
      <c r="D2574" s="45" t="inlineStr">
        <is>
          <t>UN</t>
        </is>
      </c>
      <c r="E2574" s="45" t="inlineStr">
        <is>
          <t>0080</t>
        </is>
      </c>
      <c r="F2574" s="70" t="inlineStr">
        <is>
          <t>Compras</t>
        </is>
      </c>
      <c r="G2574" s="66" t="n">
        <v>36.9</v>
      </c>
      <c r="H2574" s="172" t="inlineStr">
        <is>
          <t>Não</t>
        </is>
      </c>
      <c r="I2574" s="50" t="n"/>
    </row>
    <row r="2575">
      <c r="A2575" s="40" t="inlineStr">
        <is>
          <t>000484</t>
        </is>
      </c>
      <c r="B2575" s="41" t="inlineStr">
        <is>
          <t>SALSA LISA INDUSTRIAL</t>
        </is>
      </c>
      <c r="C2575" s="42" t="inlineStr">
        <is>
          <t>MP</t>
        </is>
      </c>
      <c r="D2575" s="42" t="inlineStr">
        <is>
          <t>KG</t>
        </is>
      </c>
      <c r="E2575" s="42" t="inlineStr">
        <is>
          <t>0036</t>
        </is>
      </c>
      <c r="F2575" s="70" t="inlineStr">
        <is>
          <t>Compras</t>
        </is>
      </c>
      <c r="G2575" s="71" t="n">
        <v>26.67</v>
      </c>
      <c r="H2575" s="172" t="inlineStr">
        <is>
          <t>Não</t>
        </is>
      </c>
      <c r="I2575" s="49" t="n"/>
    </row>
    <row r="2576">
      <c r="A2576" s="43" t="inlineStr">
        <is>
          <t>000436</t>
        </is>
      </c>
      <c r="B2576" s="44" t="inlineStr">
        <is>
          <t>SALSICHA FUNCIONARIO</t>
        </is>
      </c>
      <c r="C2576" s="45" t="inlineStr">
        <is>
          <t>MC</t>
        </is>
      </c>
      <c r="D2576" s="45" t="inlineStr">
        <is>
          <t>KG</t>
        </is>
      </c>
      <c r="E2576" s="45" t="inlineStr">
        <is>
          <t>0013</t>
        </is>
      </c>
      <c r="F2576" s="70" t="inlineStr">
        <is>
          <t>Compras</t>
        </is>
      </c>
      <c r="G2576" s="66" t="n">
        <v>9.9</v>
      </c>
      <c r="H2576" s="172" t="inlineStr">
        <is>
          <t>Não</t>
        </is>
      </c>
      <c r="I2576" s="50" t="n"/>
    </row>
    <row r="2577">
      <c r="A2577" s="40" t="inlineStr">
        <is>
          <t>000027</t>
        </is>
      </c>
      <c r="B2577" s="41" t="inlineStr">
        <is>
          <t>SALSICHAO</t>
        </is>
      </c>
      <c r="C2577" s="42" t="inlineStr">
        <is>
          <t>PA</t>
        </is>
      </c>
      <c r="D2577" s="42" t="inlineStr">
        <is>
          <t>UN</t>
        </is>
      </c>
      <c r="E2577" s="42" t="inlineStr">
        <is>
          <t>0098</t>
        </is>
      </c>
      <c r="F2577" s="65" t="inlineStr">
        <is>
          <t>Venda</t>
        </is>
      </c>
      <c r="G2577" s="68" t="n">
        <v>0</v>
      </c>
      <c r="H2577" s="172" t="inlineStr">
        <is>
          <t>Não</t>
        </is>
      </c>
      <c r="I2577" s="47" t="inlineStr">
        <is>
          <t>10040</t>
        </is>
      </c>
    </row>
    <row r="2578">
      <c r="A2578" s="43" t="inlineStr">
        <is>
          <t>000765</t>
        </is>
      </c>
      <c r="B2578" s="44" t="inlineStr">
        <is>
          <t>SALSICHAO C/ PROVOLONE</t>
        </is>
      </c>
      <c r="C2578" s="45" t="inlineStr">
        <is>
          <t>PA</t>
        </is>
      </c>
      <c r="D2578" s="45" t="inlineStr">
        <is>
          <t>UN</t>
        </is>
      </c>
      <c r="E2578" s="45" t="inlineStr">
        <is>
          <t>0098</t>
        </is>
      </c>
      <c r="F2578" s="65" t="inlineStr">
        <is>
          <t>Venda</t>
        </is>
      </c>
      <c r="G2578" s="69" t="n">
        <v>0</v>
      </c>
      <c r="H2578" s="172" t="inlineStr">
        <is>
          <t>Não</t>
        </is>
      </c>
      <c r="I2578" s="48" t="inlineStr">
        <is>
          <t>40009</t>
        </is>
      </c>
    </row>
    <row r="2579">
      <c r="A2579" s="40" t="inlineStr">
        <is>
          <t>000009</t>
        </is>
      </c>
      <c r="B2579" s="41" t="inlineStr">
        <is>
          <t>SALSICHAO IN NATURA</t>
        </is>
      </c>
      <c r="C2579" s="42" t="inlineStr">
        <is>
          <t>MR</t>
        </is>
      </c>
      <c r="D2579" s="42" t="inlineStr">
        <is>
          <t>UN</t>
        </is>
      </c>
      <c r="E2579" s="42" t="inlineStr">
        <is>
          <t>0098</t>
        </is>
      </c>
      <c r="F2579" s="65" t="inlineStr">
        <is>
          <t>Venda</t>
        </is>
      </c>
      <c r="G2579" s="68" t="n">
        <v>0</v>
      </c>
      <c r="H2579" s="172" t="inlineStr">
        <is>
          <t>Não</t>
        </is>
      </c>
      <c r="I2579" s="47" t="inlineStr">
        <is>
          <t>10011</t>
        </is>
      </c>
    </row>
    <row r="2580">
      <c r="A2580" s="43" t="inlineStr">
        <is>
          <t>002197</t>
        </is>
      </c>
      <c r="B2580" s="44" t="inlineStr">
        <is>
          <t>SALSICHAO RUA</t>
        </is>
      </c>
      <c r="C2580" s="45" t="inlineStr">
        <is>
          <t>PA</t>
        </is>
      </c>
      <c r="D2580" s="45" t="inlineStr">
        <is>
          <t>UN</t>
        </is>
      </c>
      <c r="E2580" s="45" t="inlineStr">
        <is>
          <t>0098</t>
        </is>
      </c>
      <c r="F2580" s="65" t="inlineStr">
        <is>
          <t>Venda</t>
        </is>
      </c>
      <c r="G2580" s="69" t="n">
        <v>0</v>
      </c>
      <c r="H2580" s="172" t="inlineStr">
        <is>
          <t>Não</t>
        </is>
      </c>
      <c r="I2580" s="48" t="inlineStr">
        <is>
          <t>78989056877350</t>
        </is>
      </c>
    </row>
    <row r="2581">
      <c r="A2581" s="40" t="inlineStr">
        <is>
          <t>002244</t>
        </is>
      </c>
      <c r="B2581" s="41" t="inlineStr">
        <is>
          <t>SALTON BRUT</t>
        </is>
      </c>
      <c r="C2581" s="42" t="inlineStr">
        <is>
          <t>MR</t>
        </is>
      </c>
      <c r="D2581" s="42" t="inlineStr">
        <is>
          <t>UN</t>
        </is>
      </c>
      <c r="E2581" s="42" t="inlineStr">
        <is>
          <t>0034</t>
        </is>
      </c>
      <c r="F2581" s="65" t="inlineStr">
        <is>
          <t>Venda</t>
        </is>
      </c>
      <c r="G2581" s="68" t="n">
        <v>0</v>
      </c>
      <c r="H2581" s="172" t="inlineStr">
        <is>
          <t>Não</t>
        </is>
      </c>
      <c r="I2581" s="47" t="inlineStr">
        <is>
          <t>78989056877367</t>
        </is>
      </c>
    </row>
    <row r="2582">
      <c r="A2582" s="43" t="inlineStr">
        <is>
          <t>000054</t>
        </is>
      </c>
      <c r="B2582" s="44" t="inlineStr">
        <is>
          <t>SANGRIA DRINK</t>
        </is>
      </c>
      <c r="C2582" s="45" t="inlineStr">
        <is>
          <t>PA</t>
        </is>
      </c>
      <c r="D2582" s="45" t="inlineStr">
        <is>
          <t>UN</t>
        </is>
      </c>
      <c r="E2582" s="45" t="inlineStr">
        <is>
          <t>0095</t>
        </is>
      </c>
      <c r="F2582" s="65" t="inlineStr">
        <is>
          <t>Venda</t>
        </is>
      </c>
      <c r="G2582" s="69" t="n">
        <v>0</v>
      </c>
      <c r="H2582" s="172" t="inlineStr">
        <is>
          <t>Não</t>
        </is>
      </c>
      <c r="I2582" s="48" t="inlineStr">
        <is>
          <t>104002</t>
        </is>
      </c>
    </row>
    <row r="2583">
      <c r="A2583" s="40" t="inlineStr">
        <is>
          <t>000041</t>
        </is>
      </c>
      <c r="B2583" s="41" t="inlineStr">
        <is>
          <t>SAO FRANCISCO DOSE</t>
        </is>
      </c>
      <c r="C2583" s="42" t="inlineStr">
        <is>
          <t>PA</t>
        </is>
      </c>
      <c r="D2583" s="42" t="inlineStr">
        <is>
          <t>UN</t>
        </is>
      </c>
      <c r="E2583" s="42" t="inlineStr">
        <is>
          <t>0090</t>
        </is>
      </c>
      <c r="F2583" s="65" t="inlineStr">
        <is>
          <t>Venda</t>
        </is>
      </c>
      <c r="G2583" s="68" t="n">
        <v>0</v>
      </c>
      <c r="H2583" s="172" t="inlineStr">
        <is>
          <t>Não</t>
        </is>
      </c>
      <c r="I2583" s="47" t="inlineStr">
        <is>
          <t>101017</t>
        </is>
      </c>
    </row>
    <row r="2584">
      <c r="A2584" s="43" t="inlineStr">
        <is>
          <t>000051</t>
        </is>
      </c>
      <c r="B2584" s="44" t="inlineStr">
        <is>
          <t>SAO FRANCISCO GARRAFA</t>
        </is>
      </c>
      <c r="C2584" s="45" t="inlineStr">
        <is>
          <t>MR</t>
        </is>
      </c>
      <c r="D2584" s="45" t="inlineStr">
        <is>
          <t>UN</t>
        </is>
      </c>
      <c r="E2584" s="45" t="inlineStr">
        <is>
          <t>0090</t>
        </is>
      </c>
      <c r="F2584" s="65" t="inlineStr">
        <is>
          <t>Venda</t>
        </is>
      </c>
      <c r="G2584" s="69" t="n">
        <v>0</v>
      </c>
      <c r="H2584" s="172" t="inlineStr">
        <is>
          <t>Não</t>
        </is>
      </c>
      <c r="I2584" s="48" t="inlineStr">
        <is>
          <t>102125</t>
        </is>
      </c>
    </row>
    <row r="2585">
      <c r="A2585" s="40" t="inlineStr">
        <is>
          <t>010395</t>
        </is>
      </c>
      <c r="B2585" s="41" t="inlineStr">
        <is>
          <t>SAPATEIRA INFANTIL COLMEIA 6 NICHOS</t>
        </is>
      </c>
      <c r="C2585" s="42" t="inlineStr">
        <is>
          <t>MC</t>
        </is>
      </c>
      <c r="D2585" s="42" t="inlineStr">
        <is>
          <t>UN</t>
        </is>
      </c>
      <c r="E2585" s="42" t="inlineStr">
        <is>
          <t>0134</t>
        </is>
      </c>
      <c r="F2585" s="70" t="inlineStr">
        <is>
          <t>Compras</t>
        </is>
      </c>
      <c r="G2585" s="68" t="n">
        <v>0</v>
      </c>
      <c r="H2585" s="172" t="inlineStr">
        <is>
          <t>Não</t>
        </is>
      </c>
      <c r="I2585" s="49" t="n"/>
    </row>
    <row r="2586">
      <c r="A2586" s="43" t="inlineStr">
        <is>
          <t>000265</t>
        </is>
      </c>
      <c r="B2586" s="44" t="inlineStr">
        <is>
          <t>SAPATO ANTIDERRAPANTE PRETO/ B</t>
        </is>
      </c>
      <c r="C2586" s="45" t="inlineStr">
        <is>
          <t>MC</t>
        </is>
      </c>
      <c r="D2586" s="45" t="inlineStr">
        <is>
          <t>UN</t>
        </is>
      </c>
      <c r="E2586" s="45" t="inlineStr">
        <is>
          <t>0017</t>
        </is>
      </c>
      <c r="F2586" s="70" t="inlineStr">
        <is>
          <t>Compras</t>
        </is>
      </c>
      <c r="G2586" s="66" t="n">
        <v>90.5</v>
      </c>
      <c r="H2586" s="172" t="inlineStr">
        <is>
          <t>Não</t>
        </is>
      </c>
      <c r="I2586" s="50" t="n"/>
    </row>
    <row r="2587">
      <c r="A2587" s="40" t="inlineStr">
        <is>
          <t>000230</t>
        </is>
      </c>
      <c r="B2587" s="41" t="inlineStr">
        <is>
          <t>SAPATO BRANCO ANTIDERRAPANTE</t>
        </is>
      </c>
      <c r="C2587" s="42" t="inlineStr">
        <is>
          <t>MC</t>
        </is>
      </c>
      <c r="D2587" s="42" t="inlineStr">
        <is>
          <t>UN</t>
        </is>
      </c>
      <c r="E2587" s="42" t="inlineStr">
        <is>
          <t>0017</t>
        </is>
      </c>
      <c r="F2587" s="70" t="inlineStr">
        <is>
          <t>Compras</t>
        </is>
      </c>
      <c r="G2587" s="71" t="n">
        <v>90.5</v>
      </c>
      <c r="H2587" s="172" t="inlineStr">
        <is>
          <t>Não</t>
        </is>
      </c>
      <c r="I2587" s="49" t="n"/>
    </row>
    <row r="2588">
      <c r="A2588" s="43" t="inlineStr">
        <is>
          <t>009776</t>
        </is>
      </c>
      <c r="B2588" s="44" t="inlineStr">
        <is>
          <t>SAPÓLIO</t>
        </is>
      </c>
      <c r="C2588" s="45" t="inlineStr">
        <is>
          <t>MC</t>
        </is>
      </c>
      <c r="D2588" s="45" t="inlineStr">
        <is>
          <t>UN</t>
        </is>
      </c>
      <c r="E2588" s="45" t="inlineStr">
        <is>
          <t>0075</t>
        </is>
      </c>
      <c r="F2588" s="70" t="inlineStr">
        <is>
          <t>Compras</t>
        </is>
      </c>
      <c r="G2588" s="66" t="n">
        <v>5.5</v>
      </c>
      <c r="H2588" s="172" t="inlineStr">
        <is>
          <t>Não</t>
        </is>
      </c>
      <c r="I2588" s="50" t="n"/>
    </row>
    <row r="2589">
      <c r="A2589" s="40" t="inlineStr">
        <is>
          <t>009665</t>
        </is>
      </c>
      <c r="B2589" s="41" t="inlineStr">
        <is>
          <t>SARRAFO PINUS 05CM X 3MTS</t>
        </is>
      </c>
      <c r="C2589" s="42" t="inlineStr">
        <is>
          <t>MC</t>
        </is>
      </c>
      <c r="D2589" s="42" t="inlineStr">
        <is>
          <t>MT</t>
        </is>
      </c>
      <c r="E2589" s="42" t="inlineStr">
        <is>
          <t>0132</t>
        </is>
      </c>
      <c r="F2589" s="70" t="inlineStr">
        <is>
          <t>Compras</t>
        </is>
      </c>
      <c r="G2589" s="68" t="n">
        <v>0</v>
      </c>
      <c r="H2589" s="172" t="inlineStr">
        <is>
          <t>Não</t>
        </is>
      </c>
      <c r="I2589" s="49" t="n"/>
    </row>
    <row r="2590">
      <c r="A2590" s="43" t="inlineStr">
        <is>
          <t>009663</t>
        </is>
      </c>
      <c r="B2590" s="44" t="inlineStr">
        <is>
          <t>SARRAFO PINUS 10CM X 3MTS</t>
        </is>
      </c>
      <c r="C2590" s="45" t="inlineStr">
        <is>
          <t>MC</t>
        </is>
      </c>
      <c r="D2590" s="45" t="inlineStr">
        <is>
          <t>MT</t>
        </is>
      </c>
      <c r="E2590" s="45" t="inlineStr">
        <is>
          <t>0132</t>
        </is>
      </c>
      <c r="F2590" s="70" t="inlineStr">
        <is>
          <t>Compras</t>
        </is>
      </c>
      <c r="G2590" s="66" t="n">
        <v>15.9</v>
      </c>
      <c r="H2590" s="172" t="inlineStr">
        <is>
          <t>Não</t>
        </is>
      </c>
      <c r="I2590" s="50" t="n"/>
    </row>
    <row r="2591">
      <c r="A2591" s="40" t="inlineStr">
        <is>
          <t>000222</t>
        </is>
      </c>
      <c r="B2591" s="41" t="inlineStr">
        <is>
          <t>SECANTE ABRILHANTADOR BB 20LT</t>
        </is>
      </c>
      <c r="C2591" s="42" t="inlineStr">
        <is>
          <t>MC</t>
        </is>
      </c>
      <c r="D2591" s="42" t="inlineStr">
        <is>
          <t>UN</t>
        </is>
      </c>
      <c r="E2591" s="42" t="inlineStr">
        <is>
          <t>0075</t>
        </is>
      </c>
      <c r="F2591" s="70" t="inlineStr">
        <is>
          <t>Compras</t>
        </is>
      </c>
      <c r="G2591" s="71" t="n">
        <v>682.04</v>
      </c>
      <c r="H2591" s="172" t="inlineStr">
        <is>
          <t>Não</t>
        </is>
      </c>
      <c r="I2591" s="49" t="n"/>
    </row>
    <row r="2592">
      <c r="A2592" s="43" t="inlineStr">
        <is>
          <t>002263</t>
        </is>
      </c>
      <c r="B2592" s="44" t="inlineStr">
        <is>
          <t>SEGUNDA</t>
        </is>
      </c>
      <c r="C2592" s="45" t="inlineStr">
        <is>
          <t>OI</t>
        </is>
      </c>
      <c r="D2592" s="45" t="inlineStr">
        <is>
          <t>UN</t>
        </is>
      </c>
      <c r="E2592" s="45" t="inlineStr">
        <is>
          <t>0128</t>
        </is>
      </c>
      <c r="F2592" s="65" t="inlineStr">
        <is>
          <t>Venda</t>
        </is>
      </c>
      <c r="G2592" s="69" t="n">
        <v>0</v>
      </c>
      <c r="H2592" s="172" t="inlineStr">
        <is>
          <t>Não</t>
        </is>
      </c>
      <c r="I2592" s="48" t="inlineStr">
        <is>
          <t>61581</t>
        </is>
      </c>
    </row>
    <row r="2593">
      <c r="A2593" s="40" t="inlineStr">
        <is>
          <t>010072</t>
        </is>
      </c>
      <c r="B2593" s="41" t="inlineStr">
        <is>
          <t>SEGUNDA ABSOLUTA</t>
        </is>
      </c>
      <c r="C2593" s="42" t="inlineStr">
        <is>
          <t>MR</t>
        </is>
      </c>
      <c r="D2593" s="42" t="inlineStr">
        <is>
          <t>UN</t>
        </is>
      </c>
      <c r="E2593" s="42" t="inlineStr">
        <is>
          <t>0128</t>
        </is>
      </c>
      <c r="F2593" s="65" t="inlineStr">
        <is>
          <t>Venda</t>
        </is>
      </c>
      <c r="G2593" s="68" t="n">
        <v>0</v>
      </c>
      <c r="H2593" s="172" t="inlineStr">
        <is>
          <t>Não</t>
        </is>
      </c>
      <c r="I2593" s="47" t="inlineStr">
        <is>
          <t>9003640</t>
        </is>
      </c>
    </row>
    <row r="2594">
      <c r="A2594" s="43" t="inlineStr">
        <is>
          <t>009839</t>
        </is>
      </c>
      <c r="B2594" s="44" t="inlineStr">
        <is>
          <t>SEGUNDA CRIANCA</t>
        </is>
      </c>
      <c r="C2594" s="45" t="inlineStr">
        <is>
          <t>OI</t>
        </is>
      </c>
      <c r="D2594" s="45" t="inlineStr">
        <is>
          <t>UN</t>
        </is>
      </c>
      <c r="E2594" s="45" t="inlineStr">
        <is>
          <t>0128</t>
        </is>
      </c>
      <c r="F2594" s="65" t="inlineStr">
        <is>
          <t>Venda</t>
        </is>
      </c>
      <c r="G2594" s="69" t="n">
        <v>0</v>
      </c>
      <c r="H2594" s="172" t="inlineStr">
        <is>
          <t>Não</t>
        </is>
      </c>
      <c r="I2594" s="48" t="inlineStr">
        <is>
          <t>78989056877140</t>
        </is>
      </c>
    </row>
    <row r="2595">
      <c r="A2595" s="43" t="inlineStr">
        <is>
          <t>009413</t>
        </is>
      </c>
      <c r="B2595" s="44" t="inlineStr">
        <is>
          <t>SELADOR ACRILICO 3,6 L</t>
        </is>
      </c>
      <c r="C2595" s="45" t="inlineStr">
        <is>
          <t>MC</t>
        </is>
      </c>
      <c r="D2595" s="45" t="inlineStr">
        <is>
          <t>UN</t>
        </is>
      </c>
      <c r="E2595" s="45" t="inlineStr">
        <is>
          <t>0132</t>
        </is>
      </c>
      <c r="F2595" s="70" t="inlineStr">
        <is>
          <t>Compras</t>
        </is>
      </c>
      <c r="G2595" s="66" t="n">
        <v>134.2</v>
      </c>
      <c r="H2595" s="172" t="inlineStr">
        <is>
          <t>Não</t>
        </is>
      </c>
      <c r="I2595" s="50" t="n"/>
    </row>
    <row r="2596">
      <c r="A2596" s="40" t="inlineStr">
        <is>
          <t>001615</t>
        </is>
      </c>
      <c r="B2596" s="41" t="inlineStr">
        <is>
          <t>SELADOR PIGMENTADO BASE VERDE ACRILICA</t>
        </is>
      </c>
      <c r="C2596" s="42" t="inlineStr">
        <is>
          <t>MC</t>
        </is>
      </c>
      <c r="D2596" s="42" t="inlineStr">
        <is>
          <t>UN</t>
        </is>
      </c>
      <c r="E2596" s="42" t="inlineStr">
        <is>
          <t>0132</t>
        </is>
      </c>
      <c r="F2596" s="70" t="inlineStr">
        <is>
          <t>Compras</t>
        </is>
      </c>
      <c r="G2596" s="71" t="n">
        <v>19</v>
      </c>
      <c r="H2596" s="172" t="inlineStr">
        <is>
          <t>Não</t>
        </is>
      </c>
      <c r="I2596" s="49" t="n"/>
    </row>
    <row r="2597">
      <c r="A2597" s="43" t="inlineStr">
        <is>
          <t>010187</t>
        </is>
      </c>
      <c r="B2597" s="44" t="inlineStr">
        <is>
          <t>SELADORA A BASE D'AGUA SINTECO</t>
        </is>
      </c>
      <c r="C2597" s="45" t="inlineStr">
        <is>
          <t>MC</t>
        </is>
      </c>
      <c r="D2597" s="45" t="inlineStr">
        <is>
          <t>UN</t>
        </is>
      </c>
      <c r="E2597" s="45" t="inlineStr">
        <is>
          <t>0075</t>
        </is>
      </c>
      <c r="F2597" s="70" t="inlineStr">
        <is>
          <t>Compras</t>
        </is>
      </c>
      <c r="G2597" s="69" t="n">
        <v>0</v>
      </c>
      <c r="H2597" s="172" t="inlineStr">
        <is>
          <t>Não</t>
        </is>
      </c>
      <c r="I2597" s="50" t="n"/>
    </row>
    <row r="2598">
      <c r="A2598" s="40" t="inlineStr">
        <is>
          <t>009503</t>
        </is>
      </c>
      <c r="B2598" s="41" t="inlineStr">
        <is>
          <t>SELANTE PU40 MULTIUSO 360G</t>
        </is>
      </c>
      <c r="C2598" s="42" t="inlineStr">
        <is>
          <t>MC</t>
        </is>
      </c>
      <c r="D2598" s="42" t="inlineStr">
        <is>
          <t>UN</t>
        </is>
      </c>
      <c r="E2598" s="42" t="inlineStr">
        <is>
          <t>0132</t>
        </is>
      </c>
      <c r="F2598" s="70" t="inlineStr">
        <is>
          <t>Compras</t>
        </is>
      </c>
      <c r="G2598" s="68" t="n">
        <v>0</v>
      </c>
      <c r="H2598" s="172" t="inlineStr">
        <is>
          <t>Não</t>
        </is>
      </c>
      <c r="I2598" s="49" t="n"/>
    </row>
    <row r="2599">
      <c r="A2599" s="43" t="inlineStr">
        <is>
          <t>009688</t>
        </is>
      </c>
      <c r="B2599" s="44" t="inlineStr">
        <is>
          <t>SENSOR DE PRESENÇA BIVOLT</t>
        </is>
      </c>
      <c r="C2599" s="45" t="inlineStr">
        <is>
          <t>MC</t>
        </is>
      </c>
      <c r="D2599" s="45" t="inlineStr">
        <is>
          <t>UN</t>
        </is>
      </c>
      <c r="E2599" s="45" t="inlineStr">
        <is>
          <t>0132</t>
        </is>
      </c>
      <c r="F2599" s="70" t="inlineStr">
        <is>
          <t>Compras</t>
        </is>
      </c>
      <c r="G2599" s="66" t="n">
        <v>52</v>
      </c>
      <c r="H2599" s="172" t="inlineStr">
        <is>
          <t>Não</t>
        </is>
      </c>
      <c r="I2599" s="50" t="n"/>
    </row>
    <row r="2600">
      <c r="A2600" s="40" t="inlineStr">
        <is>
          <t>000650</t>
        </is>
      </c>
      <c r="B2600" s="41" t="inlineStr">
        <is>
          <t>SEPARADOR DE FILA</t>
        </is>
      </c>
      <c r="C2600" s="42" t="inlineStr">
        <is>
          <t>AI</t>
        </is>
      </c>
      <c r="D2600" s="42" t="inlineStr">
        <is>
          <t>UN</t>
        </is>
      </c>
      <c r="E2600" s="42" t="inlineStr">
        <is>
          <t>0020</t>
        </is>
      </c>
      <c r="F2600" s="70" t="inlineStr">
        <is>
          <t>Compras</t>
        </is>
      </c>
      <c r="G2600" s="68" t="n">
        <v>0</v>
      </c>
      <c r="H2600" s="172" t="inlineStr">
        <is>
          <t>Não</t>
        </is>
      </c>
      <c r="I2600" s="49" t="n"/>
    </row>
    <row r="2601">
      <c r="A2601" s="43" t="inlineStr">
        <is>
          <t>001461</t>
        </is>
      </c>
      <c r="B2601" s="44" t="inlineStr">
        <is>
          <t>SER. APRESEN PALESTRA</t>
        </is>
      </c>
      <c r="C2601" s="45" t="inlineStr">
        <is>
          <t>SV</t>
        </is>
      </c>
      <c r="D2601" s="45" t="inlineStr">
        <is>
          <t>UN</t>
        </is>
      </c>
      <c r="E2601" s="45" t="inlineStr">
        <is>
          <t>(VAZ</t>
        </is>
      </c>
      <c r="F2601" s="70" t="inlineStr">
        <is>
          <t>Compras</t>
        </is>
      </c>
      <c r="G2601" s="69" t="n">
        <v>0</v>
      </c>
      <c r="H2601" s="172" t="inlineStr">
        <is>
          <t>Não</t>
        </is>
      </c>
      <c r="I2601" s="50" t="n"/>
    </row>
    <row r="2602">
      <c r="A2602" s="40" t="inlineStr">
        <is>
          <t>001448</t>
        </is>
      </c>
      <c r="B2602" s="41" t="inlineStr">
        <is>
          <t>SER. REPOGRAFIA, MICROFILAGEM</t>
        </is>
      </c>
      <c r="C2602" s="42" t="inlineStr">
        <is>
          <t>SV</t>
        </is>
      </c>
      <c r="D2602" s="42" t="inlineStr">
        <is>
          <t>UN</t>
        </is>
      </c>
      <c r="E2602" s="42" t="inlineStr">
        <is>
          <t>(VAZ</t>
        </is>
      </c>
      <c r="F2602" s="70" t="inlineStr">
        <is>
          <t>Compras</t>
        </is>
      </c>
      <c r="G2602" s="68" t="n">
        <v>0</v>
      </c>
      <c r="H2602" s="172" t="inlineStr">
        <is>
          <t>Não</t>
        </is>
      </c>
      <c r="I2602" s="49" t="n"/>
    </row>
    <row r="2603">
      <c r="A2603" s="43" t="inlineStr">
        <is>
          <t>010117</t>
        </is>
      </c>
      <c r="B2603" s="44" t="inlineStr">
        <is>
          <t>SERRA COPO ACO BI METAL 76MM 3"</t>
        </is>
      </c>
      <c r="C2603" s="45" t="inlineStr">
        <is>
          <t>MC</t>
        </is>
      </c>
      <c r="D2603" s="45" t="inlineStr">
        <is>
          <t>UN</t>
        </is>
      </c>
      <c r="E2603" s="45" t="inlineStr">
        <is>
          <t>0132</t>
        </is>
      </c>
      <c r="F2603" s="70" t="inlineStr">
        <is>
          <t>Compras</t>
        </is>
      </c>
      <c r="G2603" s="69" t="n">
        <v>0</v>
      </c>
      <c r="H2603" s="172" t="inlineStr">
        <is>
          <t>Não</t>
        </is>
      </c>
      <c r="I2603" s="50" t="n"/>
    </row>
    <row r="2604">
      <c r="A2604" s="40" t="inlineStr">
        <is>
          <t>000895</t>
        </is>
      </c>
      <c r="B2604" s="41" t="inlineStr">
        <is>
          <t>SERRA MALTE 600</t>
        </is>
      </c>
      <c r="C2604" s="42" t="inlineStr">
        <is>
          <t>MR</t>
        </is>
      </c>
      <c r="D2604" s="42" t="inlineStr">
        <is>
          <t>UN</t>
        </is>
      </c>
      <c r="E2604" s="42" t="inlineStr">
        <is>
          <t>0093</t>
        </is>
      </c>
      <c r="F2604" s="65" t="inlineStr">
        <is>
          <t>Venda</t>
        </is>
      </c>
      <c r="G2604" s="68" t="n">
        <v>0</v>
      </c>
      <c r="H2604" s="177" t="inlineStr">
        <is>
          <t>Sim</t>
        </is>
      </c>
      <c r="I2604" s="178" t="n"/>
    </row>
    <row r="2605">
      <c r="A2605" s="43" t="inlineStr">
        <is>
          <t>001464</t>
        </is>
      </c>
      <c r="B2605" s="44" t="inlineStr">
        <is>
          <t>SERV ADMINS GERAL INC. BENS IM</t>
        </is>
      </c>
      <c r="C2605" s="45" t="inlineStr">
        <is>
          <t>SV</t>
        </is>
      </c>
      <c r="D2605" s="45" t="inlineStr">
        <is>
          <t>UN</t>
        </is>
      </c>
      <c r="E2605" s="45" t="inlineStr">
        <is>
          <t>(VAZ</t>
        </is>
      </c>
      <c r="F2605" s="70" t="inlineStr">
        <is>
          <t>Compras</t>
        </is>
      </c>
      <c r="G2605" s="69" t="n">
        <v>0</v>
      </c>
      <c r="H2605" s="172" t="inlineStr">
        <is>
          <t>Não</t>
        </is>
      </c>
      <c r="I2605" s="50" t="n"/>
    </row>
    <row r="2606">
      <c r="A2606" s="40" t="inlineStr">
        <is>
          <t>001658</t>
        </is>
      </c>
      <c r="B2606" s="41" t="inlineStr">
        <is>
          <t>SERV DE CHAV, CONF CARIM E CON</t>
        </is>
      </c>
      <c r="C2606" s="42" t="inlineStr">
        <is>
          <t>SV</t>
        </is>
      </c>
      <c r="D2606" s="42" t="inlineStr">
        <is>
          <t>UN</t>
        </is>
      </c>
      <c r="E2606" s="42" t="inlineStr">
        <is>
          <t>(VAZ</t>
        </is>
      </c>
      <c r="F2606" s="70" t="inlineStr">
        <is>
          <t>Compras</t>
        </is>
      </c>
      <c r="G2606" s="68" t="n">
        <v>0</v>
      </c>
      <c r="H2606" s="172" t="inlineStr">
        <is>
          <t>Não</t>
        </is>
      </c>
      <c r="I2606" s="49" t="n"/>
    </row>
    <row r="2607">
      <c r="A2607" s="43" t="inlineStr">
        <is>
          <t>001463</t>
        </is>
      </c>
      <c r="B2607" s="44" t="inlineStr">
        <is>
          <t>SERV FEIRAS EXPOSICOES</t>
        </is>
      </c>
      <c r="C2607" s="45" t="inlineStr">
        <is>
          <t>SV</t>
        </is>
      </c>
      <c r="D2607" s="45" t="inlineStr">
        <is>
          <t>UN</t>
        </is>
      </c>
      <c r="E2607" s="45" t="inlineStr">
        <is>
          <t>(VAZ</t>
        </is>
      </c>
      <c r="F2607" s="70" t="inlineStr">
        <is>
          <t>Compras</t>
        </is>
      </c>
      <c r="G2607" s="69" t="n">
        <v>0</v>
      </c>
      <c r="H2607" s="172" t="inlineStr">
        <is>
          <t>Não</t>
        </is>
      </c>
      <c r="I2607" s="50" t="n"/>
    </row>
    <row r="2608">
      <c r="A2608" s="40" t="inlineStr">
        <is>
          <t>001432</t>
        </is>
      </c>
      <c r="B2608" s="41" t="inlineStr">
        <is>
          <t>SERV OUTROS PLANOS DE SAUDE</t>
        </is>
      </c>
      <c r="C2608" s="42" t="inlineStr">
        <is>
          <t>SV</t>
        </is>
      </c>
      <c r="D2608" s="42" t="inlineStr">
        <is>
          <t>UN</t>
        </is>
      </c>
      <c r="E2608" s="42" t="inlineStr">
        <is>
          <t>(VAZ</t>
        </is>
      </c>
      <c r="F2608" s="70" t="inlineStr">
        <is>
          <t>Compras</t>
        </is>
      </c>
      <c r="G2608" s="68" t="n">
        <v>0</v>
      </c>
      <c r="H2608" s="172" t="inlineStr">
        <is>
          <t>Não</t>
        </is>
      </c>
      <c r="I2608" s="49" t="n"/>
    </row>
    <row r="2609">
      <c r="A2609" s="43" t="inlineStr">
        <is>
          <t>001427</t>
        </is>
      </c>
      <c r="B2609" s="44" t="inlineStr">
        <is>
          <t>SERV PLAN, CONFEC, MANUTEN</t>
        </is>
      </c>
      <c r="C2609" s="45" t="inlineStr">
        <is>
          <t>SV</t>
        </is>
      </c>
      <c r="D2609" s="45" t="inlineStr">
        <is>
          <t>UN</t>
        </is>
      </c>
      <c r="E2609" s="45" t="inlineStr">
        <is>
          <t>(VAZ</t>
        </is>
      </c>
      <c r="F2609" s="70" t="inlineStr">
        <is>
          <t>Compras</t>
        </is>
      </c>
      <c r="G2609" s="69" t="n">
        <v>0</v>
      </c>
      <c r="H2609" s="172" t="inlineStr">
        <is>
          <t>Não</t>
        </is>
      </c>
      <c r="I2609" s="50" t="n"/>
    </row>
    <row r="2610">
      <c r="A2610" s="40" t="inlineStr">
        <is>
          <t>001422</t>
        </is>
      </c>
      <c r="B2610" s="41" t="inlineStr">
        <is>
          <t>SERV PROPAGANDA E PUBLICIDADE</t>
        </is>
      </c>
      <c r="C2610" s="42" t="inlineStr">
        <is>
          <t>SV</t>
        </is>
      </c>
      <c r="D2610" s="42" t="inlineStr">
        <is>
          <t>UN</t>
        </is>
      </c>
      <c r="E2610" s="42" t="inlineStr">
        <is>
          <t>(VAZ</t>
        </is>
      </c>
      <c r="F2610" s="70" t="inlineStr">
        <is>
          <t>Compras</t>
        </is>
      </c>
      <c r="G2610" s="68" t="n">
        <v>0</v>
      </c>
      <c r="H2610" s="172" t="inlineStr">
        <is>
          <t>Não</t>
        </is>
      </c>
      <c r="I2610" s="49" t="n"/>
    </row>
    <row r="2611">
      <c r="A2611" s="43" t="inlineStr">
        <is>
          <t>001428</t>
        </is>
      </c>
      <c r="B2611" s="44" t="inlineStr">
        <is>
          <t>SERV. ACESSORIA CONSULTORIA</t>
        </is>
      </c>
      <c r="C2611" s="45" t="inlineStr">
        <is>
          <t>SV</t>
        </is>
      </c>
      <c r="D2611" s="45" t="inlineStr">
        <is>
          <t>UN</t>
        </is>
      </c>
      <c r="E2611" s="45" t="inlineStr">
        <is>
          <t>(VAZ</t>
        </is>
      </c>
      <c r="F2611" s="70" t="inlineStr">
        <is>
          <t>Compras</t>
        </is>
      </c>
      <c r="G2611" s="69" t="n">
        <v>0</v>
      </c>
      <c r="H2611" s="172" t="inlineStr">
        <is>
          <t>Não</t>
        </is>
      </c>
      <c r="I2611" s="50" t="n"/>
    </row>
    <row r="2612">
      <c r="A2612" s="40" t="inlineStr">
        <is>
          <t>001451</t>
        </is>
      </c>
      <c r="B2612" s="41" t="inlineStr">
        <is>
          <t>SERV. AGENCIAMENTO PUBLICIDADE</t>
        </is>
      </c>
      <c r="C2612" s="42" t="inlineStr">
        <is>
          <t>SV</t>
        </is>
      </c>
      <c r="D2612" s="42" t="inlineStr">
        <is>
          <t>UN</t>
        </is>
      </c>
      <c r="E2612" s="42" t="inlineStr">
        <is>
          <t>0085</t>
        </is>
      </c>
      <c r="F2612" s="70" t="inlineStr">
        <is>
          <t>Compras</t>
        </is>
      </c>
      <c r="G2612" s="68" t="n">
        <v>0</v>
      </c>
      <c r="H2612" s="172" t="inlineStr">
        <is>
          <t>Não</t>
        </is>
      </c>
      <c r="I2612" s="49" t="n"/>
    </row>
    <row r="2613">
      <c r="A2613" s="43" t="inlineStr">
        <is>
          <t>001444</t>
        </is>
      </c>
      <c r="B2613" s="44" t="inlineStr">
        <is>
          <t>SERV. CONTABILIDADE</t>
        </is>
      </c>
      <c r="C2613" s="45" t="inlineStr">
        <is>
          <t>SV</t>
        </is>
      </c>
      <c r="D2613" s="45" t="inlineStr">
        <is>
          <t>UN</t>
        </is>
      </c>
      <c r="E2613" s="45" t="inlineStr">
        <is>
          <t>(VAZ</t>
        </is>
      </c>
      <c r="F2613" s="70" t="inlineStr">
        <is>
          <t>Compras</t>
        </is>
      </c>
      <c r="G2613" s="69" t="n">
        <v>0</v>
      </c>
      <c r="H2613" s="172" t="inlineStr">
        <is>
          <t>Não</t>
        </is>
      </c>
      <c r="I2613" s="50" t="n"/>
    </row>
    <row r="2614">
      <c r="A2614" s="40" t="inlineStr">
        <is>
          <t>001442</t>
        </is>
      </c>
      <c r="B2614" s="41" t="inlineStr">
        <is>
          <t>SERV. DATILOG.DIG.ESTENOGRAFIA</t>
        </is>
      </c>
      <c r="C2614" s="42" t="inlineStr">
        <is>
          <t>SV</t>
        </is>
      </c>
      <c r="D2614" s="42" t="inlineStr">
        <is>
          <t>UN</t>
        </is>
      </c>
      <c r="E2614" s="42" t="inlineStr">
        <is>
          <t>(VAZ</t>
        </is>
      </c>
      <c r="F2614" s="70" t="inlineStr">
        <is>
          <t>Compras</t>
        </is>
      </c>
      <c r="G2614" s="68" t="n">
        <v>0</v>
      </c>
      <c r="H2614" s="172" t="inlineStr">
        <is>
          <t>Não</t>
        </is>
      </c>
      <c r="I2614" s="49" t="n"/>
    </row>
    <row r="2615">
      <c r="A2615" s="43" t="inlineStr">
        <is>
          <t>001440</t>
        </is>
      </c>
      <c r="B2615" s="44" t="inlineStr">
        <is>
          <t>SERV. EXECUCAO DE MUSICA</t>
        </is>
      </c>
      <c r="C2615" s="45" t="inlineStr">
        <is>
          <t>SV</t>
        </is>
      </c>
      <c r="D2615" s="45" t="inlineStr">
        <is>
          <t>UN</t>
        </is>
      </c>
      <c r="E2615" s="45" t="inlineStr">
        <is>
          <t>(VAZ</t>
        </is>
      </c>
      <c r="F2615" s="70" t="inlineStr">
        <is>
          <t>Compras</t>
        </is>
      </c>
      <c r="G2615" s="69" t="n">
        <v>0</v>
      </c>
      <c r="H2615" s="172" t="inlineStr">
        <is>
          <t>Não</t>
        </is>
      </c>
      <c r="I2615" s="50" t="n"/>
    </row>
    <row r="2616">
      <c r="A2616" s="40" t="inlineStr">
        <is>
          <t>001465</t>
        </is>
      </c>
      <c r="B2616" s="41" t="inlineStr">
        <is>
          <t>SERV. EXPL. SALOES FESTA, ESCR</t>
        </is>
      </c>
      <c r="C2616" s="42" t="inlineStr">
        <is>
          <t>SV</t>
        </is>
      </c>
      <c r="D2616" s="42" t="inlineStr">
        <is>
          <t>UN</t>
        </is>
      </c>
      <c r="E2616" s="42" t="inlineStr">
        <is>
          <t>(VAZ</t>
        </is>
      </c>
      <c r="F2616" s="70" t="inlineStr">
        <is>
          <t>Compras</t>
        </is>
      </c>
      <c r="G2616" s="68" t="n">
        <v>0</v>
      </c>
      <c r="H2616" s="172" t="inlineStr">
        <is>
          <t>Não</t>
        </is>
      </c>
      <c r="I2616" s="49" t="n"/>
    </row>
    <row r="2617">
      <c r="A2617" s="43" t="inlineStr">
        <is>
          <t>001429</t>
        </is>
      </c>
      <c r="B2617" s="44" t="inlineStr">
        <is>
          <t>SERV. FORNC. ADM. VALE REFEICA</t>
        </is>
      </c>
      <c r="C2617" s="45" t="inlineStr">
        <is>
          <t>SV</t>
        </is>
      </c>
      <c r="D2617" s="45" t="inlineStr">
        <is>
          <t>UN</t>
        </is>
      </c>
      <c r="E2617" s="45" t="inlineStr">
        <is>
          <t>(VAZ</t>
        </is>
      </c>
      <c r="F2617" s="70" t="inlineStr">
        <is>
          <t>Compras</t>
        </is>
      </c>
      <c r="G2617" s="69" t="n">
        <v>0</v>
      </c>
      <c r="H2617" s="172" t="inlineStr">
        <is>
          <t>Não</t>
        </is>
      </c>
      <c r="I2617" s="50" t="n"/>
    </row>
    <row r="2618">
      <c r="A2618" s="40" t="inlineStr">
        <is>
          <t>001447</t>
        </is>
      </c>
      <c r="B2618" s="41" t="inlineStr">
        <is>
          <t>SERV. FOTOGRAFIA</t>
        </is>
      </c>
      <c r="C2618" s="42" t="inlineStr">
        <is>
          <t>SV</t>
        </is>
      </c>
      <c r="D2618" s="42" t="inlineStr">
        <is>
          <t>UN</t>
        </is>
      </c>
      <c r="E2618" s="42" t="inlineStr">
        <is>
          <t>(VAZ</t>
        </is>
      </c>
      <c r="F2618" s="70" t="inlineStr">
        <is>
          <t>Compras</t>
        </is>
      </c>
      <c r="G2618" s="68" t="n">
        <v>0</v>
      </c>
      <c r="H2618" s="172" t="inlineStr">
        <is>
          <t>Não</t>
        </is>
      </c>
      <c r="I2618" s="49" t="n"/>
    </row>
    <row r="2619">
      <c r="A2619" s="43" t="inlineStr">
        <is>
          <t>001449</t>
        </is>
      </c>
      <c r="B2619" s="44" t="inlineStr">
        <is>
          <t>SERV. GUARDA E ESTACIONAMENTO</t>
        </is>
      </c>
      <c r="C2619" s="45" t="inlineStr">
        <is>
          <t>SV</t>
        </is>
      </c>
      <c r="D2619" s="45" t="inlineStr">
        <is>
          <t>UN</t>
        </is>
      </c>
      <c r="E2619" s="45" t="inlineStr">
        <is>
          <t>(VAZ</t>
        </is>
      </c>
      <c r="F2619" s="70" t="inlineStr">
        <is>
          <t>Compras</t>
        </is>
      </c>
      <c r="G2619" s="69" t="n">
        <v>0</v>
      </c>
      <c r="H2619" s="172" t="inlineStr">
        <is>
          <t>Não</t>
        </is>
      </c>
      <c r="I2619" s="50" t="n"/>
    </row>
    <row r="2620">
      <c r="A2620" s="40" t="inlineStr">
        <is>
          <t>001423</t>
        </is>
      </c>
      <c r="B2620" s="41" t="inlineStr">
        <is>
          <t>SERV. INSER  O DE TEXTO, DESEN</t>
        </is>
      </c>
      <c r="C2620" s="42" t="inlineStr">
        <is>
          <t>SV</t>
        </is>
      </c>
      <c r="D2620" s="42" t="inlineStr">
        <is>
          <t>UN</t>
        </is>
      </c>
      <c r="E2620" s="42" t="inlineStr">
        <is>
          <t>(VAZ</t>
        </is>
      </c>
      <c r="F2620" s="70" t="inlineStr">
        <is>
          <t>Compras</t>
        </is>
      </c>
      <c r="G2620" s="68" t="n">
        <v>0</v>
      </c>
      <c r="H2620" s="172" t="inlineStr">
        <is>
          <t>Não</t>
        </is>
      </c>
      <c r="I2620" s="49" t="n"/>
    </row>
    <row r="2621">
      <c r="A2621" s="43" t="inlineStr">
        <is>
          <t>001433</t>
        </is>
      </c>
      <c r="B2621" s="44" t="inlineStr">
        <is>
          <t>SERV. INSTRUCAO, TREINAMENTO,</t>
        </is>
      </c>
      <c r="C2621" s="45" t="inlineStr">
        <is>
          <t>SV</t>
        </is>
      </c>
      <c r="D2621" s="45" t="inlineStr">
        <is>
          <t>UN</t>
        </is>
      </c>
      <c r="E2621" s="45" t="inlineStr">
        <is>
          <t>(VAZ</t>
        </is>
      </c>
      <c r="F2621" s="70" t="inlineStr">
        <is>
          <t>Compras</t>
        </is>
      </c>
      <c r="G2621" s="69" t="n">
        <v>0</v>
      </c>
      <c r="H2621" s="172" t="inlineStr">
        <is>
          <t>Não</t>
        </is>
      </c>
      <c r="I2621" s="50" t="n"/>
    </row>
    <row r="2622">
      <c r="A2622" s="40" t="inlineStr">
        <is>
          <t>001430</t>
        </is>
      </c>
      <c r="B2622" s="41" t="inlineStr">
        <is>
          <t>SERV. MEDICINA E BIOMEDICINA</t>
        </is>
      </c>
      <c r="C2622" s="42" t="inlineStr">
        <is>
          <t>SV</t>
        </is>
      </c>
      <c r="D2622" s="42" t="inlineStr">
        <is>
          <t>UN</t>
        </is>
      </c>
      <c r="E2622" s="42" t="inlineStr">
        <is>
          <t>(VAZ</t>
        </is>
      </c>
      <c r="F2622" s="70" t="inlineStr">
        <is>
          <t>Compras</t>
        </is>
      </c>
      <c r="G2622" s="68" t="n">
        <v>0</v>
      </c>
      <c r="H2622" s="172" t="inlineStr">
        <is>
          <t>Não</t>
        </is>
      </c>
      <c r="I2622" s="49" t="n"/>
    </row>
    <row r="2623">
      <c r="A2623" s="43" t="inlineStr">
        <is>
          <t>001452</t>
        </is>
      </c>
      <c r="B2623" s="44" t="inlineStr">
        <is>
          <t>SERV. OPERAS,BALLET,DANCA,CONC</t>
        </is>
      </c>
      <c r="C2623" s="45" t="inlineStr">
        <is>
          <t>SV</t>
        </is>
      </c>
      <c r="D2623" s="45" t="inlineStr">
        <is>
          <t>UN</t>
        </is>
      </c>
      <c r="E2623" s="45" t="inlineStr">
        <is>
          <t>(VAZ</t>
        </is>
      </c>
      <c r="F2623" s="70" t="inlineStr">
        <is>
          <t>Compras</t>
        </is>
      </c>
      <c r="G2623" s="69" t="n">
        <v>0</v>
      </c>
      <c r="H2623" s="172" t="inlineStr">
        <is>
          <t>Não</t>
        </is>
      </c>
      <c r="I2623" s="50" t="n"/>
    </row>
    <row r="2624">
      <c r="A2624" s="40" t="inlineStr">
        <is>
          <t>001436</t>
        </is>
      </c>
      <c r="B2624" s="41" t="inlineStr">
        <is>
          <t>SERV. ORG. FESTA RECEP.BUFE</t>
        </is>
      </c>
      <c r="C2624" s="42" t="inlineStr">
        <is>
          <t>SV</t>
        </is>
      </c>
      <c r="D2624" s="42" t="inlineStr">
        <is>
          <t>UN</t>
        </is>
      </c>
      <c r="E2624" s="42" t="inlineStr">
        <is>
          <t>(VAZ</t>
        </is>
      </c>
      <c r="F2624" s="70" t="inlineStr">
        <is>
          <t>Compras</t>
        </is>
      </c>
      <c r="G2624" s="68" t="n">
        <v>0</v>
      </c>
      <c r="H2624" s="172" t="inlineStr">
        <is>
          <t>Não</t>
        </is>
      </c>
      <c r="I2624" s="49" t="n"/>
    </row>
    <row r="2625">
      <c r="A2625" s="43" t="inlineStr">
        <is>
          <t>001446</t>
        </is>
      </c>
      <c r="B2625" s="44" t="inlineStr">
        <is>
          <t>SERV. PAGTO MEIO ELETRONICO</t>
        </is>
      </c>
      <c r="C2625" s="45" t="inlineStr">
        <is>
          <t>SV</t>
        </is>
      </c>
      <c r="D2625" s="45" t="inlineStr">
        <is>
          <t>UN</t>
        </is>
      </c>
      <c r="E2625" s="45" t="inlineStr">
        <is>
          <t>(VAZ</t>
        </is>
      </c>
      <c r="F2625" s="70" t="inlineStr">
        <is>
          <t>Compras</t>
        </is>
      </c>
      <c r="G2625" s="69" t="n">
        <v>0</v>
      </c>
      <c r="H2625" s="172" t="inlineStr">
        <is>
          <t>Não</t>
        </is>
      </c>
      <c r="I2625" s="50" t="n"/>
    </row>
    <row r="2626">
      <c r="A2626" s="40" t="inlineStr">
        <is>
          <t>001431</t>
        </is>
      </c>
      <c r="B2626" s="41" t="inlineStr">
        <is>
          <t>SERV. PLANOS DE MEDICINA DE GR</t>
        </is>
      </c>
      <c r="C2626" s="42" t="inlineStr">
        <is>
          <t>SV</t>
        </is>
      </c>
      <c r="D2626" s="42" t="inlineStr">
        <is>
          <t>UN</t>
        </is>
      </c>
      <c r="E2626" s="42" t="inlineStr">
        <is>
          <t>(VAZ</t>
        </is>
      </c>
      <c r="F2626" s="70" t="inlineStr">
        <is>
          <t>Compras</t>
        </is>
      </c>
      <c r="G2626" s="68" t="n">
        <v>0</v>
      </c>
      <c r="H2626" s="172" t="inlineStr">
        <is>
          <t>Não</t>
        </is>
      </c>
      <c r="I2626" s="49" t="n"/>
    </row>
    <row r="2627">
      <c r="A2627" s="43" t="inlineStr">
        <is>
          <t>001604</t>
        </is>
      </c>
      <c r="B2627" s="44" t="inlineStr">
        <is>
          <t>SERV. PREST. CONT. CIVIL E CRI</t>
        </is>
      </c>
      <c r="C2627" s="45" t="inlineStr">
        <is>
          <t>SV</t>
        </is>
      </c>
      <c r="D2627" s="45" t="inlineStr">
        <is>
          <t>UN</t>
        </is>
      </c>
      <c r="E2627" s="45" t="inlineStr">
        <is>
          <t>(VAZ</t>
        </is>
      </c>
      <c r="F2627" s="70" t="inlineStr">
        <is>
          <t>Compras</t>
        </is>
      </c>
      <c r="G2627" s="69" t="n">
        <v>0</v>
      </c>
      <c r="H2627" s="172" t="inlineStr">
        <is>
          <t>Não</t>
        </is>
      </c>
      <c r="I2627" s="50" t="n"/>
    </row>
    <row r="2628">
      <c r="A2628" s="40" t="inlineStr">
        <is>
          <t>001424</t>
        </is>
      </c>
      <c r="B2628" s="41" t="inlineStr">
        <is>
          <t>SERV. PROC. DADOS. HOSPEDAGEM</t>
        </is>
      </c>
      <c r="C2628" s="42" t="inlineStr">
        <is>
          <t>SV</t>
        </is>
      </c>
      <c r="D2628" s="42" t="inlineStr">
        <is>
          <t>UN</t>
        </is>
      </c>
      <c r="E2628" s="42" t="inlineStr">
        <is>
          <t>(VAZ</t>
        </is>
      </c>
      <c r="F2628" s="70" t="inlineStr">
        <is>
          <t>Compras</t>
        </is>
      </c>
      <c r="G2628" s="68" t="n">
        <v>0</v>
      </c>
      <c r="H2628" s="172" t="inlineStr">
        <is>
          <t>Não</t>
        </is>
      </c>
      <c r="I2628" s="49" t="n"/>
    </row>
    <row r="2629">
      <c r="A2629" s="43" t="inlineStr">
        <is>
          <t>001434</t>
        </is>
      </c>
      <c r="B2629" s="44" t="inlineStr">
        <is>
          <t>SERV. PROD. SHOW, ESPETACULOS,</t>
        </is>
      </c>
      <c r="C2629" s="45" t="inlineStr">
        <is>
          <t>SV</t>
        </is>
      </c>
      <c r="D2629" s="45" t="inlineStr">
        <is>
          <t>UN</t>
        </is>
      </c>
      <c r="E2629" s="45" t="inlineStr">
        <is>
          <t>(VAZ</t>
        </is>
      </c>
      <c r="F2629" s="70" t="inlineStr">
        <is>
          <t>Compras</t>
        </is>
      </c>
      <c r="G2629" s="69" t="n">
        <v>0</v>
      </c>
      <c r="H2629" s="172" t="inlineStr">
        <is>
          <t>Não</t>
        </is>
      </c>
      <c r="I2629" s="50" t="n"/>
    </row>
    <row r="2630">
      <c r="A2630" s="40" t="inlineStr">
        <is>
          <t>001462</t>
        </is>
      </c>
      <c r="B2630" s="41" t="inlineStr">
        <is>
          <t>SERV. RECREA  O E ANIMACAO</t>
        </is>
      </c>
      <c r="C2630" s="42" t="inlineStr">
        <is>
          <t>SV</t>
        </is>
      </c>
      <c r="D2630" s="42" t="inlineStr">
        <is>
          <t>UN</t>
        </is>
      </c>
      <c r="E2630" s="42" t="inlineStr">
        <is>
          <t>(VAZ</t>
        </is>
      </c>
      <c r="F2630" s="70" t="inlineStr">
        <is>
          <t>Compras</t>
        </is>
      </c>
      <c r="G2630" s="68" t="n">
        <v>0</v>
      </c>
      <c r="H2630" s="172" t="inlineStr">
        <is>
          <t>Não</t>
        </is>
      </c>
      <c r="I2630" s="49" t="n"/>
    </row>
    <row r="2631">
      <c r="A2631" s="43" t="inlineStr">
        <is>
          <t>001445</t>
        </is>
      </c>
      <c r="B2631" s="44" t="inlineStr">
        <is>
          <t>SERV. REGISTRO PUBLICO, CARTOR</t>
        </is>
      </c>
      <c r="C2631" s="45" t="inlineStr">
        <is>
          <t>SV</t>
        </is>
      </c>
      <c r="D2631" s="45" t="inlineStr">
        <is>
          <t>UN</t>
        </is>
      </c>
      <c r="E2631" s="45" t="inlineStr">
        <is>
          <t>(VAZ</t>
        </is>
      </c>
      <c r="F2631" s="70" t="inlineStr">
        <is>
          <t>Compras</t>
        </is>
      </c>
      <c r="G2631" s="69" t="n">
        <v>0</v>
      </c>
      <c r="H2631" s="172" t="inlineStr">
        <is>
          <t>Não</t>
        </is>
      </c>
      <c r="I2631" s="50" t="n"/>
    </row>
    <row r="2632">
      <c r="A2632" s="40" t="inlineStr">
        <is>
          <t>001613</t>
        </is>
      </c>
      <c r="B2632" s="41" t="inlineStr">
        <is>
          <t>SERV. SUP. TEC - MANUTEN  O</t>
        </is>
      </c>
      <c r="C2632" s="42" t="inlineStr">
        <is>
          <t>SV</t>
        </is>
      </c>
      <c r="D2632" s="42" t="inlineStr">
        <is>
          <t>UN</t>
        </is>
      </c>
      <c r="E2632" s="42" t="inlineStr">
        <is>
          <t>(VAZ</t>
        </is>
      </c>
      <c r="F2632" s="70" t="inlineStr">
        <is>
          <t>Compras</t>
        </is>
      </c>
      <c r="G2632" s="68" t="n">
        <v>0</v>
      </c>
      <c r="H2632" s="172" t="inlineStr">
        <is>
          <t>Não</t>
        </is>
      </c>
      <c r="I2632" s="49" t="n"/>
    </row>
    <row r="2633">
      <c r="A2633" s="43" t="inlineStr">
        <is>
          <t>001426</t>
        </is>
      </c>
      <c r="B2633" s="44" t="inlineStr">
        <is>
          <t>SERV. SUPORTE TECNICO</t>
        </is>
      </c>
      <c r="C2633" s="45" t="inlineStr">
        <is>
          <t>SV</t>
        </is>
      </c>
      <c r="D2633" s="45" t="inlineStr">
        <is>
          <t>UN</t>
        </is>
      </c>
      <c r="E2633" s="45" t="inlineStr">
        <is>
          <t>(VAZ</t>
        </is>
      </c>
      <c r="F2633" s="70" t="inlineStr">
        <is>
          <t>Compras</t>
        </is>
      </c>
      <c r="G2633" s="69" t="n">
        <v>0</v>
      </c>
      <c r="H2633" s="172" t="inlineStr">
        <is>
          <t>Não</t>
        </is>
      </c>
      <c r="I2633" s="50" t="n"/>
    </row>
    <row r="2634">
      <c r="A2634" s="40" t="inlineStr">
        <is>
          <t>001438</t>
        </is>
      </c>
      <c r="B2634" s="41" t="inlineStr">
        <is>
          <t>SERV. TINTURARIA E LAVANDERIA</t>
        </is>
      </c>
      <c r="C2634" s="42" t="inlineStr">
        <is>
          <t>SV</t>
        </is>
      </c>
      <c r="D2634" s="42" t="inlineStr">
        <is>
          <t>UN</t>
        </is>
      </c>
      <c r="E2634" s="42" t="inlineStr">
        <is>
          <t>(VAZ</t>
        </is>
      </c>
      <c r="F2634" s="70" t="inlineStr">
        <is>
          <t>Compras</t>
        </is>
      </c>
      <c r="G2634" s="68" t="n">
        <v>0</v>
      </c>
      <c r="H2634" s="172" t="inlineStr">
        <is>
          <t>Não</t>
        </is>
      </c>
      <c r="I2634" s="49" t="n"/>
    </row>
    <row r="2635">
      <c r="A2635" s="43" t="inlineStr">
        <is>
          <t>001450</t>
        </is>
      </c>
      <c r="B2635" s="44" t="inlineStr">
        <is>
          <t>SERV. VIGILANCIA, SEGURANCA MO</t>
        </is>
      </c>
      <c r="C2635" s="45" t="inlineStr">
        <is>
          <t>SV</t>
        </is>
      </c>
      <c r="D2635" s="45" t="inlineStr">
        <is>
          <t>UN</t>
        </is>
      </c>
      <c r="E2635" s="45" t="inlineStr">
        <is>
          <t>(VAZ</t>
        </is>
      </c>
      <c r="F2635" s="70" t="inlineStr">
        <is>
          <t>Compras</t>
        </is>
      </c>
      <c r="G2635" s="69" t="n">
        <v>0</v>
      </c>
      <c r="H2635" s="172" t="inlineStr">
        <is>
          <t>Não</t>
        </is>
      </c>
      <c r="I2635" s="50" t="n"/>
    </row>
    <row r="2636">
      <c r="A2636" s="40" t="inlineStr">
        <is>
          <t>001439</t>
        </is>
      </c>
      <c r="B2636" s="41" t="inlineStr">
        <is>
          <t>SERV.ARMAZENAMENTO,DEPOS.CARGA</t>
        </is>
      </c>
      <c r="C2636" s="42" t="inlineStr">
        <is>
          <t>SV</t>
        </is>
      </c>
      <c r="D2636" s="42" t="inlineStr">
        <is>
          <t>UN</t>
        </is>
      </c>
      <c r="E2636" s="42" t="inlineStr">
        <is>
          <t>(VAZ</t>
        </is>
      </c>
      <c r="F2636" s="70" t="inlineStr">
        <is>
          <t>Compras</t>
        </is>
      </c>
      <c r="G2636" s="68" t="n">
        <v>0</v>
      </c>
      <c r="H2636" s="172" t="inlineStr">
        <is>
          <t>Não</t>
        </is>
      </c>
      <c r="I2636" s="49" t="n"/>
    </row>
    <row r="2637">
      <c r="A2637" s="43" t="inlineStr">
        <is>
          <t>001441</t>
        </is>
      </c>
      <c r="B2637" s="44" t="inlineStr">
        <is>
          <t>SERV.ASSISTENCIA TECNICA</t>
        </is>
      </c>
      <c r="C2637" s="45" t="inlineStr">
        <is>
          <t>SV</t>
        </is>
      </c>
      <c r="D2637" s="45" t="inlineStr">
        <is>
          <t>UN</t>
        </is>
      </c>
      <c r="E2637" s="45" t="inlineStr">
        <is>
          <t>(VAZ</t>
        </is>
      </c>
      <c r="F2637" s="70" t="inlineStr">
        <is>
          <t>Compras</t>
        </is>
      </c>
      <c r="G2637" s="69" t="n">
        <v>0</v>
      </c>
      <c r="H2637" s="172" t="inlineStr">
        <is>
          <t>Não</t>
        </is>
      </c>
      <c r="I2637" s="50" t="n"/>
    </row>
    <row r="2638">
      <c r="A2638" s="40" t="inlineStr">
        <is>
          <t>001437</t>
        </is>
      </c>
      <c r="B2638" s="41" t="inlineStr">
        <is>
          <t>SERV.CONSERTO REST, MANUTENCA</t>
        </is>
      </c>
      <c r="C2638" s="42" t="inlineStr">
        <is>
          <t>SV</t>
        </is>
      </c>
      <c r="D2638" s="42" t="inlineStr">
        <is>
          <t>UN</t>
        </is>
      </c>
      <c r="E2638" s="42" t="inlineStr">
        <is>
          <t>(VAZ</t>
        </is>
      </c>
      <c r="F2638" s="70" t="inlineStr">
        <is>
          <t>Compras</t>
        </is>
      </c>
      <c r="G2638" s="71" t="n">
        <v>286</v>
      </c>
      <c r="H2638" s="172" t="inlineStr">
        <is>
          <t>Não</t>
        </is>
      </c>
      <c r="I2638" s="49" t="n"/>
    </row>
    <row r="2639">
      <c r="A2639" s="43" t="inlineStr">
        <is>
          <t>001435</t>
        </is>
      </c>
      <c r="B2639" s="44" t="inlineStr">
        <is>
          <t>SERV.PLAN.ORGA. E ADM FEIRAS,</t>
        </is>
      </c>
      <c r="C2639" s="45" t="inlineStr">
        <is>
          <t>SV</t>
        </is>
      </c>
      <c r="D2639" s="45" t="inlineStr">
        <is>
          <t>UN</t>
        </is>
      </c>
      <c r="E2639" s="45" t="inlineStr">
        <is>
          <t>(VAZ</t>
        </is>
      </c>
      <c r="F2639" s="70" t="inlineStr">
        <is>
          <t>Compras</t>
        </is>
      </c>
      <c r="G2639" s="69" t="n">
        <v>0</v>
      </c>
      <c r="H2639" s="172" t="inlineStr">
        <is>
          <t>Não</t>
        </is>
      </c>
      <c r="I2639" s="50" t="n"/>
    </row>
    <row r="2640">
      <c r="A2640" s="40" t="inlineStr">
        <is>
          <t>002021</t>
        </is>
      </c>
      <c r="B2640" s="41" t="inlineStr">
        <is>
          <t>SERVI O DE DESENTOPIMENTO</t>
        </is>
      </c>
      <c r="C2640" s="42" t="inlineStr">
        <is>
          <t>SV</t>
        </is>
      </c>
      <c r="D2640" s="42" t="inlineStr">
        <is>
          <t>UN</t>
        </is>
      </c>
      <c r="E2640" s="42" t="inlineStr">
        <is>
          <t>(VAZ</t>
        </is>
      </c>
      <c r="F2640" s="70" t="inlineStr">
        <is>
          <t>Compras</t>
        </is>
      </c>
      <c r="G2640" s="68" t="n">
        <v>0</v>
      </c>
      <c r="H2640" s="172" t="inlineStr">
        <is>
          <t>Não</t>
        </is>
      </c>
      <c r="I2640" s="49" t="n"/>
    </row>
    <row r="2641">
      <c r="A2641" s="43" t="inlineStr">
        <is>
          <t>001419</t>
        </is>
      </c>
      <c r="B2641" s="44" t="inlineStr">
        <is>
          <t>SERVI O DETETIZACAO, DESINFECC</t>
        </is>
      </c>
      <c r="C2641" s="45" t="inlineStr">
        <is>
          <t>SV</t>
        </is>
      </c>
      <c r="D2641" s="45" t="inlineStr">
        <is>
          <t>UN</t>
        </is>
      </c>
      <c r="E2641" s="45" t="inlineStr">
        <is>
          <t>(VAZ</t>
        </is>
      </c>
      <c r="F2641" s="70" t="inlineStr">
        <is>
          <t>Compras</t>
        </is>
      </c>
      <c r="G2641" s="69" t="n">
        <v>0</v>
      </c>
      <c r="H2641" s="172" t="inlineStr">
        <is>
          <t>Não</t>
        </is>
      </c>
      <c r="I2641" s="50" t="n"/>
    </row>
    <row r="2642">
      <c r="A2642" s="40" t="inlineStr">
        <is>
          <t>001940</t>
        </is>
      </c>
      <c r="B2642" s="41" t="inlineStr">
        <is>
          <t>SERVI OS DE BIOLOGIA, BIOTECNO</t>
        </is>
      </c>
      <c r="C2642" s="42" t="inlineStr">
        <is>
          <t>SV</t>
        </is>
      </c>
      <c r="D2642" s="42" t="inlineStr">
        <is>
          <t>UN</t>
        </is>
      </c>
      <c r="E2642" s="42" t="inlineStr">
        <is>
          <t>(VAZ</t>
        </is>
      </c>
      <c r="F2642" s="70" t="inlineStr">
        <is>
          <t>Compras</t>
        </is>
      </c>
      <c r="G2642" s="68" t="n">
        <v>0</v>
      </c>
      <c r="H2642" s="172" t="inlineStr">
        <is>
          <t>Não</t>
        </is>
      </c>
      <c r="I2642" s="49" t="n"/>
    </row>
    <row r="2643">
      <c r="A2643" s="43" t="inlineStr">
        <is>
          <t>002036</t>
        </is>
      </c>
      <c r="B2643" s="44" t="inlineStr">
        <is>
          <t>SERVI OS DE CHAVEIRO, CARIMBO</t>
        </is>
      </c>
      <c r="C2643" s="45" t="inlineStr">
        <is>
          <t>SV</t>
        </is>
      </c>
      <c r="D2643" s="45" t="inlineStr">
        <is>
          <t>UN</t>
        </is>
      </c>
      <c r="E2643" s="45" t="inlineStr">
        <is>
          <t>0084</t>
        </is>
      </c>
      <c r="F2643" s="70" t="inlineStr">
        <is>
          <t>Compras</t>
        </is>
      </c>
      <c r="G2643" s="69" t="n">
        <v>0</v>
      </c>
      <c r="H2643" s="172" t="inlineStr">
        <is>
          <t>Não</t>
        </is>
      </c>
      <c r="I2643" s="50" t="n"/>
    </row>
    <row r="2644">
      <c r="A2644" s="40" t="inlineStr">
        <is>
          <t>001802</t>
        </is>
      </c>
      <c r="B2644" s="41" t="inlineStr">
        <is>
          <t>SERVI OS DE DESENHOS T CNICOS</t>
        </is>
      </c>
      <c r="C2644" s="42" t="inlineStr">
        <is>
          <t>SV</t>
        </is>
      </c>
      <c r="D2644" s="42" t="inlineStr">
        <is>
          <t>UN</t>
        </is>
      </c>
      <c r="E2644" s="42" t="inlineStr">
        <is>
          <t>(VAZ</t>
        </is>
      </c>
      <c r="F2644" s="70" t="inlineStr">
        <is>
          <t>Compras</t>
        </is>
      </c>
      <c r="G2644" s="68" t="n">
        <v>0</v>
      </c>
      <c r="H2644" s="172" t="inlineStr">
        <is>
          <t>Não</t>
        </is>
      </c>
      <c r="I2644" s="49" t="n"/>
    </row>
    <row r="2645">
      <c r="A2645" s="43" t="inlineStr">
        <is>
          <t>002071</t>
        </is>
      </c>
      <c r="B2645" s="44" t="inlineStr">
        <is>
          <t>SERVI OS DE PROGRAMA  O VISUAL</t>
        </is>
      </c>
      <c r="C2645" s="45" t="inlineStr">
        <is>
          <t>SV</t>
        </is>
      </c>
      <c r="D2645" s="45" t="inlineStr">
        <is>
          <t>UN</t>
        </is>
      </c>
      <c r="E2645" s="45" t="inlineStr">
        <is>
          <t>(VAZ</t>
        </is>
      </c>
      <c r="F2645" s="70" t="inlineStr">
        <is>
          <t>Compras</t>
        </is>
      </c>
      <c r="G2645" s="69" t="n">
        <v>0</v>
      </c>
      <c r="H2645" s="172" t="inlineStr">
        <is>
          <t>Não</t>
        </is>
      </c>
      <c r="I2645" s="50" t="n"/>
    </row>
    <row r="2646">
      <c r="A2646" s="40" t="inlineStr">
        <is>
          <t>001443</t>
        </is>
      </c>
      <c r="B2646" s="41" t="inlineStr">
        <is>
          <t>SERVICO ADVOCACIA</t>
        </is>
      </c>
      <c r="C2646" s="42" t="inlineStr">
        <is>
          <t>SV</t>
        </is>
      </c>
      <c r="D2646" s="42" t="inlineStr">
        <is>
          <t>UN</t>
        </is>
      </c>
      <c r="E2646" s="42" t="inlineStr">
        <is>
          <t>(VAZ</t>
        </is>
      </c>
      <c r="F2646" s="70" t="inlineStr">
        <is>
          <t>Compras</t>
        </is>
      </c>
      <c r="G2646" s="68" t="n">
        <v>0</v>
      </c>
      <c r="H2646" s="172" t="inlineStr">
        <is>
          <t>Não</t>
        </is>
      </c>
      <c r="I2646" s="49" t="n"/>
    </row>
    <row r="2647">
      <c r="A2647" s="40" t="inlineStr">
        <is>
          <t>001800</t>
        </is>
      </c>
      <c r="B2647" s="41" t="inlineStr">
        <is>
          <t>SERVICO ADVOCACIA</t>
        </is>
      </c>
      <c r="C2647" s="42" t="inlineStr">
        <is>
          <t>SV</t>
        </is>
      </c>
      <c r="D2647" s="42" t="inlineStr">
        <is>
          <t>UN</t>
        </is>
      </c>
      <c r="E2647" s="42" t="inlineStr">
        <is>
          <t>(VAZ</t>
        </is>
      </c>
      <c r="F2647" s="70" t="inlineStr">
        <is>
          <t>Compras</t>
        </is>
      </c>
      <c r="G2647" s="68" t="n">
        <v>0</v>
      </c>
      <c r="H2647" s="172" t="inlineStr">
        <is>
          <t>Não</t>
        </is>
      </c>
      <c r="I2647" s="49" t="n"/>
    </row>
    <row r="2648">
      <c r="A2648" s="43" t="inlineStr">
        <is>
          <t>001417</t>
        </is>
      </c>
      <c r="B2648" s="44" t="inlineStr">
        <is>
          <t>SERVICO CARPINTARIA E SERRALHE</t>
        </is>
      </c>
      <c r="C2648" s="45" t="inlineStr">
        <is>
          <t>SV</t>
        </is>
      </c>
      <c r="D2648" s="45" t="inlineStr">
        <is>
          <t>UN</t>
        </is>
      </c>
      <c r="E2648" s="45" t="inlineStr">
        <is>
          <t>(VAZ</t>
        </is>
      </c>
      <c r="F2648" s="70" t="inlineStr">
        <is>
          <t>Compras</t>
        </is>
      </c>
      <c r="G2648" s="69" t="n">
        <v>0</v>
      </c>
      <c r="H2648" s="172" t="inlineStr">
        <is>
          <t>Não</t>
        </is>
      </c>
      <c r="I2648" s="50" t="n"/>
    </row>
    <row r="2649">
      <c r="A2649" s="40" t="inlineStr">
        <is>
          <t>001421</t>
        </is>
      </c>
      <c r="B2649" s="41" t="inlineStr">
        <is>
          <t>SERVICO DE TRANSPORTE</t>
        </is>
      </c>
      <c r="C2649" s="42" t="inlineStr">
        <is>
          <t>SV</t>
        </is>
      </c>
      <c r="D2649" s="42" t="inlineStr">
        <is>
          <t>UN</t>
        </is>
      </c>
      <c r="E2649" s="42" t="inlineStr">
        <is>
          <t>(VAZ</t>
        </is>
      </c>
      <c r="F2649" s="70" t="inlineStr">
        <is>
          <t>Compras</t>
        </is>
      </c>
      <c r="G2649" s="68" t="n">
        <v>0</v>
      </c>
      <c r="H2649" s="172" t="inlineStr">
        <is>
          <t>Não</t>
        </is>
      </c>
      <c r="I2649" s="49" t="n"/>
    </row>
    <row r="2650">
      <c r="A2650" s="40" t="inlineStr">
        <is>
          <t>001425</t>
        </is>
      </c>
      <c r="B2650" s="41" t="inlineStr">
        <is>
          <t>SERVICO LICENCIAMENTO CESSAO U</t>
        </is>
      </c>
      <c r="C2650" s="42" t="inlineStr">
        <is>
          <t>SV</t>
        </is>
      </c>
      <c r="D2650" s="42" t="inlineStr">
        <is>
          <t>UN</t>
        </is>
      </c>
      <c r="E2650" s="42" t="inlineStr">
        <is>
          <t>(VAZ</t>
        </is>
      </c>
      <c r="F2650" s="70" t="inlineStr">
        <is>
          <t>Compras</t>
        </is>
      </c>
      <c r="G2650" s="68" t="n">
        <v>0</v>
      </c>
      <c r="H2650" s="172" t="inlineStr">
        <is>
          <t>Não</t>
        </is>
      </c>
      <c r="I2650" s="49" t="n"/>
    </row>
    <row r="2651">
      <c r="A2651" s="43" t="inlineStr">
        <is>
          <t>001418</t>
        </is>
      </c>
      <c r="B2651" s="44" t="inlineStr">
        <is>
          <t>SERVICO,VARRI  O,COLETA,REMOCA</t>
        </is>
      </c>
      <c r="C2651" s="45" t="inlineStr">
        <is>
          <t>SV</t>
        </is>
      </c>
      <c r="D2651" s="45" t="inlineStr">
        <is>
          <t>UN</t>
        </is>
      </c>
      <c r="E2651" s="45" t="inlineStr">
        <is>
          <t>(VAZ</t>
        </is>
      </c>
      <c r="F2651" s="70" t="inlineStr">
        <is>
          <t>Compras</t>
        </is>
      </c>
      <c r="G2651" s="69" t="n">
        <v>0</v>
      </c>
      <c r="H2651" s="172" t="inlineStr">
        <is>
          <t>Não</t>
        </is>
      </c>
      <c r="I2651" s="50" t="n"/>
    </row>
    <row r="2652">
      <c r="A2652" s="40" t="inlineStr">
        <is>
          <t>001659</t>
        </is>
      </c>
      <c r="B2652" s="41" t="inlineStr">
        <is>
          <t>SERVICOS DE ENGENHARIA E CONGE</t>
        </is>
      </c>
      <c r="C2652" s="42" t="inlineStr">
        <is>
          <t>SV</t>
        </is>
      </c>
      <c r="D2652" s="42" t="inlineStr">
        <is>
          <t>UN</t>
        </is>
      </c>
      <c r="E2652" s="42" t="inlineStr">
        <is>
          <t>(VAZ</t>
        </is>
      </c>
      <c r="F2652" s="70" t="inlineStr">
        <is>
          <t>Compras</t>
        </is>
      </c>
      <c r="G2652" s="68" t="n">
        <v>0</v>
      </c>
      <c r="H2652" s="172" t="inlineStr">
        <is>
          <t>Não</t>
        </is>
      </c>
      <c r="I2652" s="49" t="n"/>
    </row>
    <row r="2653">
      <c r="A2653" s="43" t="inlineStr">
        <is>
          <t>001420</t>
        </is>
      </c>
      <c r="B2653" s="44" t="inlineStr">
        <is>
          <t>SERVICOS TECNICOS EDIFICACOES</t>
        </is>
      </c>
      <c r="C2653" s="45" t="inlineStr">
        <is>
          <t>SV</t>
        </is>
      </c>
      <c r="D2653" s="45" t="inlineStr">
        <is>
          <t>UN</t>
        </is>
      </c>
      <c r="E2653" s="45" t="inlineStr">
        <is>
          <t>(VAZ</t>
        </is>
      </c>
      <c r="F2653" s="70" t="inlineStr">
        <is>
          <t>Compras</t>
        </is>
      </c>
      <c r="G2653" s="69" t="n">
        <v>0</v>
      </c>
      <c r="H2653" s="172" t="inlineStr">
        <is>
          <t>Não</t>
        </is>
      </c>
      <c r="I2653" s="50" t="n"/>
    </row>
    <row r="2654">
      <c r="A2654" s="40" t="inlineStr">
        <is>
          <t>000648</t>
        </is>
      </c>
      <c r="B2654" s="41" t="inlineStr">
        <is>
          <t>SERVIDOR</t>
        </is>
      </c>
      <c r="C2654" s="42" t="inlineStr">
        <is>
          <t>AI</t>
        </is>
      </c>
      <c r="D2654" s="42" t="inlineStr">
        <is>
          <t>UN</t>
        </is>
      </c>
      <c r="E2654" s="42" t="inlineStr">
        <is>
          <t>0006</t>
        </is>
      </c>
      <c r="F2654" s="70" t="inlineStr">
        <is>
          <t>Compras</t>
        </is>
      </c>
      <c r="G2654" s="68" t="n">
        <v>0</v>
      </c>
      <c r="H2654" s="172" t="inlineStr">
        <is>
          <t>Não</t>
        </is>
      </c>
      <c r="I2654" s="49" t="n"/>
    </row>
    <row r="2655">
      <c r="A2655" s="43" t="inlineStr">
        <is>
          <t>002264</t>
        </is>
      </c>
      <c r="B2655" s="44" t="inlineStr">
        <is>
          <t>SEX ON THE BEACH</t>
        </is>
      </c>
      <c r="C2655" s="45" t="inlineStr">
        <is>
          <t>PA</t>
        </is>
      </c>
      <c r="D2655" s="45" t="inlineStr">
        <is>
          <t>UN</t>
        </is>
      </c>
      <c r="E2655" s="45" t="inlineStr">
        <is>
          <t>0101</t>
        </is>
      </c>
      <c r="F2655" s="65" t="inlineStr">
        <is>
          <t>Venda</t>
        </is>
      </c>
      <c r="G2655" s="69" t="n">
        <v>0</v>
      </c>
      <c r="H2655" s="177" t="inlineStr">
        <is>
          <t>Sim</t>
        </is>
      </c>
      <c r="I2655" s="178" t="n"/>
    </row>
    <row r="2656">
      <c r="A2656" s="40" t="inlineStr">
        <is>
          <t>000443</t>
        </is>
      </c>
      <c r="B2656" s="41" t="inlineStr">
        <is>
          <t>SHIMEJI</t>
        </is>
      </c>
      <c r="C2656" s="42" t="inlineStr">
        <is>
          <t>MR</t>
        </is>
      </c>
      <c r="D2656" s="42" t="inlineStr">
        <is>
          <t>KG</t>
        </is>
      </c>
      <c r="E2656" s="42" t="inlineStr">
        <is>
          <t>0047</t>
        </is>
      </c>
      <c r="F2656" s="70" t="inlineStr">
        <is>
          <t>Compras</t>
        </is>
      </c>
      <c r="G2656" s="71" t="n">
        <v>30</v>
      </c>
      <c r="H2656" s="173" t="inlineStr">
        <is>
          <t>Sim</t>
        </is>
      </c>
      <c r="I2656" s="49" t="n"/>
    </row>
    <row r="2657">
      <c r="A2657" s="43" t="inlineStr">
        <is>
          <t>001470</t>
        </is>
      </c>
      <c r="B2657" s="44" t="inlineStr">
        <is>
          <t>SHIMEJI ESPETO</t>
        </is>
      </c>
      <c r="C2657" s="45" t="inlineStr">
        <is>
          <t>PA</t>
        </is>
      </c>
      <c r="D2657" s="45" t="inlineStr">
        <is>
          <t>UN</t>
        </is>
      </c>
      <c r="E2657" s="45" t="inlineStr">
        <is>
          <t>0106</t>
        </is>
      </c>
      <c r="F2657" s="65" t="inlineStr">
        <is>
          <t>Venda</t>
        </is>
      </c>
      <c r="G2657" s="69" t="n">
        <v>0</v>
      </c>
      <c r="H2657" s="172" t="inlineStr">
        <is>
          <t>Não</t>
        </is>
      </c>
      <c r="I2657" s="48" t="inlineStr">
        <is>
          <t>40007</t>
        </is>
      </c>
    </row>
    <row r="2658">
      <c r="A2658" s="40" t="inlineStr">
        <is>
          <t>002055</t>
        </is>
      </c>
      <c r="B2658" s="41" t="inlineStr">
        <is>
          <t>SHOW</t>
        </is>
      </c>
      <c r="C2658" s="42" t="inlineStr">
        <is>
          <t>OI</t>
        </is>
      </c>
      <c r="D2658" s="42" t="inlineStr">
        <is>
          <t>UN</t>
        </is>
      </c>
      <c r="E2658" s="42" t="inlineStr">
        <is>
          <t>0128</t>
        </is>
      </c>
      <c r="F2658" s="65" t="inlineStr">
        <is>
          <t>Venda</t>
        </is>
      </c>
      <c r="G2658" s="68" t="n">
        <v>0</v>
      </c>
      <c r="H2658" s="172" t="inlineStr">
        <is>
          <t>Não</t>
        </is>
      </c>
      <c r="I2658" s="47" t="inlineStr">
        <is>
          <t>78989056877159</t>
        </is>
      </c>
    </row>
    <row r="2659">
      <c r="A2659" s="43" t="inlineStr">
        <is>
          <t>001629</t>
        </is>
      </c>
      <c r="B2659" s="44" t="inlineStr">
        <is>
          <t>SHOWS, BAILES, DESFILES, FESTI</t>
        </is>
      </c>
      <c r="C2659" s="45" t="inlineStr">
        <is>
          <t>SV</t>
        </is>
      </c>
      <c r="D2659" s="45" t="inlineStr">
        <is>
          <t>UN</t>
        </is>
      </c>
      <c r="E2659" s="45" t="inlineStr">
        <is>
          <t>(VAZ</t>
        </is>
      </c>
      <c r="F2659" s="70" t="inlineStr">
        <is>
          <t>Compras</t>
        </is>
      </c>
      <c r="G2659" s="69" t="n">
        <v>0</v>
      </c>
      <c r="H2659" s="172" t="inlineStr">
        <is>
          <t>Não</t>
        </is>
      </c>
      <c r="I2659" s="50" t="n"/>
    </row>
    <row r="2660">
      <c r="A2660" s="40" t="inlineStr">
        <is>
          <t>001901</t>
        </is>
      </c>
      <c r="B2660" s="41" t="inlineStr">
        <is>
          <t>SIEMPRE T UN PLAN B  MALBEC</t>
        </is>
      </c>
      <c r="C2660" s="42" t="inlineStr">
        <is>
          <t>MR</t>
        </is>
      </c>
      <c r="D2660" s="42" t="inlineStr">
        <is>
          <t>UN</t>
        </is>
      </c>
      <c r="E2660" s="42" t="inlineStr">
        <is>
          <t>0053</t>
        </is>
      </c>
      <c r="F2660" s="65" t="inlineStr">
        <is>
          <t>Venda</t>
        </is>
      </c>
      <c r="G2660" s="68" t="n">
        <v>0</v>
      </c>
      <c r="H2660" s="172" t="inlineStr">
        <is>
          <t>Não</t>
        </is>
      </c>
      <c r="I2660" s="47" t="inlineStr">
        <is>
          <t>78989056877214</t>
        </is>
      </c>
    </row>
    <row r="2661">
      <c r="A2661" s="43" t="inlineStr">
        <is>
          <t>001902</t>
        </is>
      </c>
      <c r="B2661" s="44" t="inlineStr">
        <is>
          <t>SIEMPRE T UN PLAN B BONARDA</t>
        </is>
      </c>
      <c r="C2661" s="45" t="inlineStr">
        <is>
          <t>MR</t>
        </is>
      </c>
      <c r="D2661" s="45" t="inlineStr">
        <is>
          <t>UN</t>
        </is>
      </c>
      <c r="E2661" s="45" t="inlineStr">
        <is>
          <t>0053</t>
        </is>
      </c>
      <c r="F2661" s="65" t="inlineStr">
        <is>
          <t>Venda</t>
        </is>
      </c>
      <c r="G2661" s="69" t="n">
        <v>0</v>
      </c>
      <c r="H2661" s="172" t="inlineStr">
        <is>
          <t>Não</t>
        </is>
      </c>
      <c r="I2661" s="48" t="inlineStr">
        <is>
          <t>78989056877215</t>
        </is>
      </c>
    </row>
    <row r="2662">
      <c r="A2662" s="40" t="inlineStr">
        <is>
          <t>001903</t>
        </is>
      </c>
      <c r="B2662" s="41" t="inlineStr">
        <is>
          <t>SIEMPRE T UN PLAN B C SAUVIGNO</t>
        </is>
      </c>
      <c r="C2662" s="42" t="inlineStr">
        <is>
          <t>MR</t>
        </is>
      </c>
      <c r="D2662" s="42" t="inlineStr">
        <is>
          <t>UN</t>
        </is>
      </c>
      <c r="E2662" s="42" t="inlineStr">
        <is>
          <t>0053</t>
        </is>
      </c>
      <c r="F2662" s="65" t="inlineStr">
        <is>
          <t>Venda</t>
        </is>
      </c>
      <c r="G2662" s="68" t="n">
        <v>0</v>
      </c>
      <c r="H2662" s="172" t="inlineStr">
        <is>
          <t>Não</t>
        </is>
      </c>
      <c r="I2662" s="47" t="inlineStr">
        <is>
          <t>78989056877216</t>
        </is>
      </c>
    </row>
    <row r="2663">
      <c r="A2663" s="43" t="inlineStr">
        <is>
          <t>001904</t>
        </is>
      </c>
      <c r="B2663" s="44" t="inlineStr">
        <is>
          <t>SIEMPRE T UN PLAN B ROSADO</t>
        </is>
      </c>
      <c r="C2663" s="45" t="inlineStr">
        <is>
          <t>MR</t>
        </is>
      </c>
      <c r="D2663" s="45" t="inlineStr">
        <is>
          <t>UN</t>
        </is>
      </c>
      <c r="E2663" s="45" t="inlineStr">
        <is>
          <t>0053</t>
        </is>
      </c>
      <c r="F2663" s="65" t="inlineStr">
        <is>
          <t>Venda</t>
        </is>
      </c>
      <c r="G2663" s="69" t="n">
        <v>0</v>
      </c>
      <c r="H2663" s="173" t="inlineStr">
        <is>
          <t>Sim</t>
        </is>
      </c>
      <c r="I2663" s="48" t="inlineStr">
        <is>
          <t>78989056877217</t>
        </is>
      </c>
    </row>
    <row r="2664">
      <c r="A2664" s="40" t="inlineStr">
        <is>
          <t>001905</t>
        </is>
      </c>
      <c r="B2664" s="41" t="inlineStr">
        <is>
          <t>SIEMPRE T UN PLAN B WHITE BLEN</t>
        </is>
      </c>
      <c r="C2664" s="42" t="inlineStr">
        <is>
          <t>MR</t>
        </is>
      </c>
      <c r="D2664" s="42" t="inlineStr">
        <is>
          <t>UN</t>
        </is>
      </c>
      <c r="E2664" s="42" t="inlineStr">
        <is>
          <t>0053</t>
        </is>
      </c>
      <c r="F2664" s="65" t="inlineStr">
        <is>
          <t>Venda</t>
        </is>
      </c>
      <c r="G2664" s="68" t="n">
        <v>0</v>
      </c>
      <c r="H2664" s="172" t="inlineStr">
        <is>
          <t>Não</t>
        </is>
      </c>
      <c r="I2664" s="47" t="inlineStr">
        <is>
          <t>78989056877218</t>
        </is>
      </c>
    </row>
    <row r="2665">
      <c r="A2665" s="43" t="inlineStr">
        <is>
          <t>009880</t>
        </is>
      </c>
      <c r="B2665" s="44" t="inlineStr">
        <is>
          <t>SIFAO SANFONADO CROMADO</t>
        </is>
      </c>
      <c r="C2665" s="45" t="inlineStr">
        <is>
          <t>MC</t>
        </is>
      </c>
      <c r="D2665" s="45" t="inlineStr">
        <is>
          <t>UN</t>
        </is>
      </c>
      <c r="E2665" s="45" t="inlineStr">
        <is>
          <t>0132</t>
        </is>
      </c>
      <c r="F2665" s="70" t="inlineStr">
        <is>
          <t>Compras</t>
        </is>
      </c>
      <c r="G2665" s="66" t="n">
        <v>28.95</v>
      </c>
      <c r="H2665" s="172" t="inlineStr">
        <is>
          <t>Não</t>
        </is>
      </c>
      <c r="I2665" s="50" t="n"/>
    </row>
    <row r="2666">
      <c r="A2666" s="40" t="inlineStr">
        <is>
          <t>009589</t>
        </is>
      </c>
      <c r="B2666" s="41" t="inlineStr">
        <is>
          <t>SIFAO SANFONADO UNIVERSAL</t>
        </is>
      </c>
      <c r="C2666" s="42" t="inlineStr">
        <is>
          <t>MC</t>
        </is>
      </c>
      <c r="D2666" s="42" t="inlineStr">
        <is>
          <t>UN</t>
        </is>
      </c>
      <c r="E2666" s="42" t="inlineStr">
        <is>
          <t>0132</t>
        </is>
      </c>
      <c r="F2666" s="70" t="inlineStr">
        <is>
          <t>Compras</t>
        </is>
      </c>
      <c r="G2666" s="71" t="n">
        <v>13.5</v>
      </c>
      <c r="H2666" s="172" t="inlineStr">
        <is>
          <t>Não</t>
        </is>
      </c>
      <c r="I2666" s="49" t="n"/>
    </row>
    <row r="2667">
      <c r="A2667" s="43" t="inlineStr">
        <is>
          <t>001473</t>
        </is>
      </c>
      <c r="B2667" s="44" t="inlineStr">
        <is>
          <t>SIHMEJI</t>
        </is>
      </c>
      <c r="C2667" s="45" t="inlineStr">
        <is>
          <t>PA</t>
        </is>
      </c>
      <c r="D2667" s="45" t="inlineStr">
        <is>
          <t>UN</t>
        </is>
      </c>
      <c r="E2667" s="45" t="inlineStr">
        <is>
          <t>0106</t>
        </is>
      </c>
      <c r="F2667" s="65" t="inlineStr">
        <is>
          <t>Venda</t>
        </is>
      </c>
      <c r="G2667" s="69" t="n">
        <v>0</v>
      </c>
      <c r="H2667" s="173" t="inlineStr">
        <is>
          <t>Sim</t>
        </is>
      </c>
      <c r="I2667" s="48" t="inlineStr">
        <is>
          <t>40007</t>
        </is>
      </c>
    </row>
    <row r="2668">
      <c r="A2668" s="40" t="inlineStr">
        <is>
          <t>010328</t>
        </is>
      </c>
      <c r="B2668" s="41" t="inlineStr">
        <is>
          <t>SILICONE ACETICO 50G BRANCO</t>
        </is>
      </c>
      <c r="C2668" s="42" t="inlineStr">
        <is>
          <t>MC</t>
        </is>
      </c>
      <c r="D2668" s="42" t="inlineStr">
        <is>
          <t>UN</t>
        </is>
      </c>
      <c r="E2668" s="42" t="inlineStr">
        <is>
          <t>0132</t>
        </is>
      </c>
      <c r="F2668" s="70" t="inlineStr">
        <is>
          <t>Compras</t>
        </is>
      </c>
      <c r="G2668" s="68" t="n">
        <v>0</v>
      </c>
      <c r="H2668" s="172" t="inlineStr">
        <is>
          <t>Não</t>
        </is>
      </c>
      <c r="I2668" s="49" t="n"/>
    </row>
    <row r="2669">
      <c r="A2669" s="43" t="inlineStr">
        <is>
          <t>009367</t>
        </is>
      </c>
      <c r="B2669" s="44" t="inlineStr">
        <is>
          <t>SIRENE AUDIOVISUAL CONVENCIONAL SAV 420C</t>
        </is>
      </c>
      <c r="C2669" s="45" t="inlineStr">
        <is>
          <t>MC</t>
        </is>
      </c>
      <c r="D2669" s="45" t="inlineStr">
        <is>
          <t>UN</t>
        </is>
      </c>
      <c r="E2669" s="45" t="inlineStr">
        <is>
          <t>0132</t>
        </is>
      </c>
      <c r="F2669" s="70" t="inlineStr">
        <is>
          <t>Compras</t>
        </is>
      </c>
      <c r="G2669" s="66" t="n">
        <v>67.408</v>
      </c>
      <c r="H2669" s="172" t="inlineStr">
        <is>
          <t>Não</t>
        </is>
      </c>
      <c r="I2669" s="50" t="n"/>
    </row>
    <row r="2670">
      <c r="A2670" s="40" t="inlineStr">
        <is>
          <t>001386</t>
        </is>
      </c>
      <c r="B2670" s="41" t="inlineStr">
        <is>
          <t>SISTEMA DE EXAUTAO</t>
        </is>
      </c>
      <c r="C2670" s="42" t="inlineStr">
        <is>
          <t>AI</t>
        </is>
      </c>
      <c r="D2670" s="42" t="inlineStr">
        <is>
          <t>UN</t>
        </is>
      </c>
      <c r="E2670" s="42" t="inlineStr">
        <is>
          <t>0002</t>
        </is>
      </c>
      <c r="F2670" s="70" t="inlineStr">
        <is>
          <t>Compras</t>
        </is>
      </c>
      <c r="G2670" s="68" t="n">
        <v>0</v>
      </c>
      <c r="H2670" s="172" t="inlineStr">
        <is>
          <t>Não</t>
        </is>
      </c>
      <c r="I2670" s="49" t="n"/>
    </row>
    <row r="2671">
      <c r="A2671" s="43" t="inlineStr">
        <is>
          <t>001157</t>
        </is>
      </c>
      <c r="B2671" s="44" t="inlineStr">
        <is>
          <t>SKOL 350 ML</t>
        </is>
      </c>
      <c r="C2671" s="45" t="inlineStr">
        <is>
          <t>MR</t>
        </is>
      </c>
      <c r="D2671" s="45" t="inlineStr">
        <is>
          <t>UN</t>
        </is>
      </c>
      <c r="E2671" s="45" t="inlineStr">
        <is>
          <t>0026</t>
        </is>
      </c>
      <c r="F2671" s="43" t="n"/>
      <c r="G2671" s="69" t="n">
        <v>0</v>
      </c>
      <c r="H2671" s="173" t="inlineStr">
        <is>
          <t>Sim</t>
        </is>
      </c>
      <c r="I2671" s="50" t="n"/>
    </row>
    <row r="2672">
      <c r="A2672" s="40" t="inlineStr">
        <is>
          <t>001327</t>
        </is>
      </c>
      <c r="B2672" s="41" t="inlineStr">
        <is>
          <t>SKOL BEATS LONG GT</t>
        </is>
      </c>
      <c r="C2672" s="42" t="inlineStr">
        <is>
          <t>ME</t>
        </is>
      </c>
      <c r="D2672" s="42" t="inlineStr">
        <is>
          <t>UN</t>
        </is>
      </c>
      <c r="E2672" s="42" t="inlineStr">
        <is>
          <t>0026</t>
        </is>
      </c>
      <c r="F2672" s="70" t="inlineStr">
        <is>
          <t>Compras</t>
        </is>
      </c>
      <c r="G2672" s="68" t="n">
        <v>0</v>
      </c>
      <c r="H2672" s="172" t="inlineStr">
        <is>
          <t>Não</t>
        </is>
      </c>
      <c r="I2672" s="49" t="n"/>
    </row>
    <row r="2673">
      <c r="A2673" s="43" t="inlineStr">
        <is>
          <t>001158</t>
        </is>
      </c>
      <c r="B2673" s="44" t="inlineStr">
        <is>
          <t>SKOL BEATS SENSES LONG</t>
        </is>
      </c>
      <c r="C2673" s="45" t="inlineStr">
        <is>
          <t>ME</t>
        </is>
      </c>
      <c r="D2673" s="45" t="inlineStr">
        <is>
          <t>UN</t>
        </is>
      </c>
      <c r="E2673" s="45" t="inlineStr">
        <is>
          <t>0026</t>
        </is>
      </c>
      <c r="F2673" s="70" t="inlineStr">
        <is>
          <t>Compras</t>
        </is>
      </c>
      <c r="G2673" s="69" t="n">
        <v>0</v>
      </c>
      <c r="H2673" s="172" t="inlineStr">
        <is>
          <t>Não</t>
        </is>
      </c>
      <c r="I2673" s="50" t="n"/>
    </row>
    <row r="2674">
      <c r="A2674" s="40" t="inlineStr">
        <is>
          <t>001336</t>
        </is>
      </c>
      <c r="B2674" s="41" t="inlineStr">
        <is>
          <t>SKOL BEATS SENSES LONG</t>
        </is>
      </c>
      <c r="C2674" s="42" t="inlineStr">
        <is>
          <t>MR</t>
        </is>
      </c>
      <c r="D2674" s="42" t="inlineStr">
        <is>
          <t>UN</t>
        </is>
      </c>
      <c r="E2674" s="42" t="inlineStr">
        <is>
          <t>0093</t>
        </is>
      </c>
      <c r="F2674" s="65" t="inlineStr">
        <is>
          <t>Venda</t>
        </is>
      </c>
      <c r="G2674" s="68" t="n">
        <v>0</v>
      </c>
      <c r="H2674" s="177" t="inlineStr">
        <is>
          <t>Sim</t>
        </is>
      </c>
      <c r="I2674" s="178" t="n"/>
    </row>
    <row r="2675">
      <c r="A2675" s="43" t="inlineStr">
        <is>
          <t>001337</t>
        </is>
      </c>
      <c r="B2675" s="44" t="inlineStr">
        <is>
          <t>SKOL LONG GT</t>
        </is>
      </c>
      <c r="C2675" s="45" t="inlineStr">
        <is>
          <t>MR</t>
        </is>
      </c>
      <c r="D2675" s="45" t="inlineStr">
        <is>
          <t>UN</t>
        </is>
      </c>
      <c r="E2675" s="45" t="inlineStr">
        <is>
          <t>0093</t>
        </is>
      </c>
      <c r="F2675" s="65" t="inlineStr">
        <is>
          <t>Venda</t>
        </is>
      </c>
      <c r="G2675" s="69" t="n">
        <v>0</v>
      </c>
      <c r="H2675" s="177" t="inlineStr">
        <is>
          <t>Sim</t>
        </is>
      </c>
      <c r="I2675" s="178" t="n"/>
    </row>
    <row r="2676">
      <c r="A2676" s="40" t="inlineStr">
        <is>
          <t>000030</t>
        </is>
      </c>
      <c r="B2676" s="41" t="inlineStr">
        <is>
          <t>SMINORFF ICE</t>
        </is>
      </c>
      <c r="C2676" s="42" t="inlineStr">
        <is>
          <t>MR</t>
        </is>
      </c>
      <c r="D2676" s="42" t="inlineStr">
        <is>
          <t>UN</t>
        </is>
      </c>
      <c r="E2676" s="42" t="inlineStr">
        <is>
          <t>0119</t>
        </is>
      </c>
      <c r="F2676" s="65" t="inlineStr">
        <is>
          <t>Venda</t>
        </is>
      </c>
      <c r="G2676" s="71" t="n">
        <v>5.97</v>
      </c>
      <c r="H2676" s="172" t="inlineStr">
        <is>
          <t>Não</t>
        </is>
      </c>
      <c r="I2676" s="47" t="inlineStr">
        <is>
          <t>101008</t>
        </is>
      </c>
    </row>
    <row r="2677">
      <c r="A2677" s="43" t="inlineStr">
        <is>
          <t>002184</t>
        </is>
      </c>
      <c r="B2677" s="44" t="inlineStr">
        <is>
          <t>SMINORFF ICE RUA</t>
        </is>
      </c>
      <c r="C2677" s="45" t="inlineStr">
        <is>
          <t>MR</t>
        </is>
      </c>
      <c r="D2677" s="45" t="inlineStr">
        <is>
          <t>UN</t>
        </is>
      </c>
      <c r="E2677" s="45" t="inlineStr">
        <is>
          <t>0119</t>
        </is>
      </c>
      <c r="F2677" s="65" t="inlineStr">
        <is>
          <t>Venda</t>
        </is>
      </c>
      <c r="G2677" s="69" t="n">
        <v>0</v>
      </c>
      <c r="H2677" s="172" t="inlineStr">
        <is>
          <t>Não</t>
        </is>
      </c>
      <c r="I2677" s="48" t="inlineStr">
        <is>
          <t>78989056877364</t>
        </is>
      </c>
    </row>
    <row r="2678">
      <c r="A2678" s="40" t="inlineStr">
        <is>
          <t>000545</t>
        </is>
      </c>
      <c r="B2678" s="41" t="inlineStr">
        <is>
          <t>SOCADOR DE FRUTAS 16 CM</t>
        </is>
      </c>
      <c r="C2678" s="42" t="inlineStr">
        <is>
          <t>MC</t>
        </is>
      </c>
      <c r="D2678" s="42" t="inlineStr">
        <is>
          <t>UN</t>
        </is>
      </c>
      <c r="E2678" s="42" t="inlineStr">
        <is>
          <t>0079</t>
        </is>
      </c>
      <c r="F2678" s="70" t="inlineStr">
        <is>
          <t>Compras</t>
        </is>
      </c>
      <c r="G2678" s="71" t="n">
        <v>33.4</v>
      </c>
      <c r="H2678" s="172" t="inlineStr">
        <is>
          <t>Não</t>
        </is>
      </c>
      <c r="I2678" s="49" t="n"/>
    </row>
    <row r="2679">
      <c r="A2679" s="43" t="inlineStr">
        <is>
          <t>009458</t>
        </is>
      </c>
      <c r="B2679" s="44" t="inlineStr">
        <is>
          <t>SODA CAUSTICA</t>
        </is>
      </c>
      <c r="C2679" s="45" t="inlineStr">
        <is>
          <t>MC</t>
        </is>
      </c>
      <c r="D2679" s="45" t="inlineStr">
        <is>
          <t>UN</t>
        </is>
      </c>
      <c r="E2679" s="45" t="inlineStr">
        <is>
          <t>0132</t>
        </is>
      </c>
      <c r="F2679" s="70" t="inlineStr">
        <is>
          <t>Compras</t>
        </is>
      </c>
      <c r="G2679" s="66" t="n">
        <v>24.9</v>
      </c>
      <c r="H2679" s="172" t="inlineStr">
        <is>
          <t>Não</t>
        </is>
      </c>
      <c r="I2679" s="50" t="n"/>
    </row>
    <row r="2680">
      <c r="A2680" s="40" t="inlineStr">
        <is>
          <t>010318</t>
        </is>
      </c>
      <c r="B2680" s="41" t="inlineStr">
        <is>
          <t>SODA ITALIANA</t>
        </is>
      </c>
      <c r="C2680" s="42" t="inlineStr">
        <is>
          <t>PA</t>
        </is>
      </c>
      <c r="D2680" s="42" t="inlineStr">
        <is>
          <t>UN</t>
        </is>
      </c>
      <c r="E2680" s="42" t="inlineStr">
        <is>
          <t>0097</t>
        </is>
      </c>
      <c r="F2680" s="65" t="inlineStr">
        <is>
          <t>Venda</t>
        </is>
      </c>
      <c r="G2680" s="68" t="n">
        <v>0</v>
      </c>
      <c r="H2680" s="172" t="inlineStr">
        <is>
          <t>Não</t>
        </is>
      </c>
      <c r="I2680" s="47" t="inlineStr">
        <is>
          <t>7898905687804</t>
        </is>
      </c>
    </row>
    <row r="2681">
      <c r="A2681" s="43" t="inlineStr">
        <is>
          <t>000316</t>
        </is>
      </c>
      <c r="B2681" s="44" t="inlineStr">
        <is>
          <t>SODA LATA 350ML</t>
        </is>
      </c>
      <c r="C2681" s="45" t="inlineStr">
        <is>
          <t>ME</t>
        </is>
      </c>
      <c r="D2681" s="45" t="inlineStr">
        <is>
          <t>UN</t>
        </is>
      </c>
      <c r="E2681" s="45" t="inlineStr">
        <is>
          <t>0021</t>
        </is>
      </c>
      <c r="F2681" s="70" t="inlineStr">
        <is>
          <t>Compras</t>
        </is>
      </c>
      <c r="G2681" s="66" t="n">
        <v>2.11</v>
      </c>
      <c r="H2681" s="172" t="inlineStr">
        <is>
          <t>Não</t>
        </is>
      </c>
      <c r="I2681" s="50" t="n"/>
    </row>
    <row r="2682">
      <c r="A2682" s="40" t="inlineStr">
        <is>
          <t>000883</t>
        </is>
      </c>
      <c r="B2682" s="41" t="inlineStr">
        <is>
          <t>SODA LIMONADA</t>
        </is>
      </c>
      <c r="C2682" s="42" t="inlineStr">
        <is>
          <t>MR</t>
        </is>
      </c>
      <c r="D2682" s="42" t="inlineStr">
        <is>
          <t>UN</t>
        </is>
      </c>
      <c r="E2682" s="42" t="inlineStr">
        <is>
          <t>0111</t>
        </is>
      </c>
      <c r="F2682" s="65" t="inlineStr">
        <is>
          <t>Venda</t>
        </is>
      </c>
      <c r="G2682" s="68" t="n">
        <v>0</v>
      </c>
      <c r="H2682" s="172" t="inlineStr">
        <is>
          <t>Não</t>
        </is>
      </c>
      <c r="I2682" s="47" t="inlineStr">
        <is>
          <t>71006</t>
        </is>
      </c>
    </row>
    <row r="2683">
      <c r="A2683" s="43" t="inlineStr">
        <is>
          <t>000889</t>
        </is>
      </c>
      <c r="B2683" s="44" t="inlineStr">
        <is>
          <t>SODA LIMONADA DIET</t>
        </is>
      </c>
      <c r="C2683" s="45" t="inlineStr">
        <is>
          <t>MR</t>
        </is>
      </c>
      <c r="D2683" s="45" t="inlineStr">
        <is>
          <t>UN</t>
        </is>
      </c>
      <c r="E2683" s="45" t="inlineStr">
        <is>
          <t>0111</t>
        </is>
      </c>
      <c r="F2683" s="65" t="inlineStr">
        <is>
          <t>Venda</t>
        </is>
      </c>
      <c r="G2683" s="69" t="n">
        <v>0</v>
      </c>
      <c r="H2683" s="172" t="inlineStr">
        <is>
          <t>Não</t>
        </is>
      </c>
      <c r="I2683" s="48" t="inlineStr">
        <is>
          <t>71012</t>
        </is>
      </c>
    </row>
    <row r="2684">
      <c r="A2684" s="40" t="inlineStr">
        <is>
          <t>000315</t>
        </is>
      </c>
      <c r="B2684" s="41" t="inlineStr">
        <is>
          <t>SODA ZERO LATA 350ML</t>
        </is>
      </c>
      <c r="C2684" s="42" t="inlineStr">
        <is>
          <t>ME</t>
        </is>
      </c>
      <c r="D2684" s="42" t="inlineStr">
        <is>
          <t>UN</t>
        </is>
      </c>
      <c r="E2684" s="42" t="inlineStr">
        <is>
          <t>0021</t>
        </is>
      </c>
      <c r="F2684" s="70" t="inlineStr">
        <is>
          <t>Compras</t>
        </is>
      </c>
      <c r="G2684" s="71" t="n">
        <v>2.11</v>
      </c>
      <c r="H2684" s="172" t="inlineStr">
        <is>
          <t>Não</t>
        </is>
      </c>
      <c r="I2684" s="49" t="n"/>
    </row>
    <row r="2685">
      <c r="A2685" s="43" t="inlineStr">
        <is>
          <t>010155</t>
        </is>
      </c>
      <c r="B2685" s="44" t="inlineStr">
        <is>
          <t>SOLDA FOSCOPER</t>
        </is>
      </c>
      <c r="C2685" s="45" t="inlineStr">
        <is>
          <t>MC</t>
        </is>
      </c>
      <c r="D2685" s="45" t="inlineStr">
        <is>
          <t>UN</t>
        </is>
      </c>
      <c r="E2685" s="45" t="inlineStr">
        <is>
          <t>0132</t>
        </is>
      </c>
      <c r="F2685" s="70" t="inlineStr">
        <is>
          <t>Compras</t>
        </is>
      </c>
      <c r="G2685" s="66" t="n">
        <v>36</v>
      </c>
      <c r="H2685" s="172" t="inlineStr">
        <is>
          <t>Não</t>
        </is>
      </c>
      <c r="I2685" s="50" t="n"/>
    </row>
    <row r="2686">
      <c r="A2686" s="40" t="inlineStr">
        <is>
          <t>009670</t>
        </is>
      </c>
      <c r="B2686" s="41" t="inlineStr">
        <is>
          <t>SOLVENTE AGUA RAZ 900ML</t>
        </is>
      </c>
      <c r="C2686" s="42" t="inlineStr">
        <is>
          <t>MC</t>
        </is>
      </c>
      <c r="D2686" s="42" t="inlineStr">
        <is>
          <t>UN</t>
        </is>
      </c>
      <c r="E2686" s="42" t="inlineStr">
        <is>
          <t>0132</t>
        </is>
      </c>
      <c r="F2686" s="70" t="inlineStr">
        <is>
          <t>Compras</t>
        </is>
      </c>
      <c r="G2686" s="71" t="n">
        <v>25.9</v>
      </c>
      <c r="H2686" s="172" t="inlineStr">
        <is>
          <t>Não</t>
        </is>
      </c>
      <c r="I2686" s="49" t="n"/>
    </row>
    <row r="2687">
      <c r="A2687" s="43" t="inlineStr">
        <is>
          <t>009653</t>
        </is>
      </c>
      <c r="B2687" s="44" t="inlineStr">
        <is>
          <t>SOQUETE COM RABICHO</t>
        </is>
      </c>
      <c r="C2687" s="45" t="inlineStr">
        <is>
          <t>MC</t>
        </is>
      </c>
      <c r="D2687" s="45" t="inlineStr">
        <is>
          <t>UN</t>
        </is>
      </c>
      <c r="E2687" s="45" t="inlineStr">
        <is>
          <t>0132</t>
        </is>
      </c>
      <c r="F2687" s="70" t="inlineStr">
        <is>
          <t>Compras</t>
        </is>
      </c>
      <c r="G2687" s="66" t="n">
        <v>6.5</v>
      </c>
      <c r="H2687" s="172" t="inlineStr">
        <is>
          <t>Não</t>
        </is>
      </c>
      <c r="I2687" s="50" t="n"/>
    </row>
    <row r="2688">
      <c r="A2688" s="40" t="inlineStr">
        <is>
          <t>009397</t>
        </is>
      </c>
      <c r="B2688" s="41" t="inlineStr">
        <is>
          <t>SOQUETE LISO</t>
        </is>
      </c>
      <c r="C2688" s="42" t="inlineStr">
        <is>
          <t>MC</t>
        </is>
      </c>
      <c r="D2688" s="42" t="inlineStr">
        <is>
          <t>UN</t>
        </is>
      </c>
      <c r="E2688" s="42" t="inlineStr">
        <is>
          <t>0132</t>
        </is>
      </c>
      <c r="F2688" s="70" t="inlineStr">
        <is>
          <t>Compras</t>
        </is>
      </c>
      <c r="G2688" s="71" t="n">
        <v>4.7</v>
      </c>
      <c r="H2688" s="172" t="inlineStr">
        <is>
          <t>Não</t>
        </is>
      </c>
      <c r="I2688" s="49" t="n"/>
    </row>
    <row r="2689">
      <c r="A2689" s="43" t="inlineStr">
        <is>
          <t>009572</t>
        </is>
      </c>
      <c r="B2689" s="44" t="inlineStr">
        <is>
          <t>SPATEN 600 CARNAVAL</t>
        </is>
      </c>
      <c r="C2689" s="45" t="inlineStr">
        <is>
          <t>MR</t>
        </is>
      </c>
      <c r="D2689" s="45" t="inlineStr">
        <is>
          <t>UN</t>
        </is>
      </c>
      <c r="E2689" s="45" t="inlineStr">
        <is>
          <t>0093</t>
        </is>
      </c>
      <c r="F2689" s="65" t="inlineStr">
        <is>
          <t>Venda</t>
        </is>
      </c>
      <c r="G2689" s="69" t="n">
        <v>0</v>
      </c>
      <c r="H2689" s="177" t="inlineStr">
        <is>
          <t>Sim</t>
        </is>
      </c>
      <c r="I2689" s="178" t="n"/>
    </row>
    <row r="2690">
      <c r="A2690" s="40" t="inlineStr">
        <is>
          <t>001328</t>
        </is>
      </c>
      <c r="B2690" s="41" t="inlineStr">
        <is>
          <t>SPATEN 600 ML QUARTA</t>
        </is>
      </c>
      <c r="C2690" s="42" t="inlineStr">
        <is>
          <t>MR</t>
        </is>
      </c>
      <c r="D2690" s="42" t="inlineStr">
        <is>
          <t>UN</t>
        </is>
      </c>
      <c r="E2690" s="42" t="inlineStr">
        <is>
          <t>0093</t>
        </is>
      </c>
      <c r="F2690" s="65" t="inlineStr">
        <is>
          <t>Venda</t>
        </is>
      </c>
      <c r="G2690" s="71" t="n">
        <v>4.7277</v>
      </c>
      <c r="H2690" s="172" t="inlineStr">
        <is>
          <t>Não</t>
        </is>
      </c>
      <c r="I2690" s="47" t="inlineStr">
        <is>
          <t>7898905687144</t>
        </is>
      </c>
    </row>
    <row r="2691">
      <c r="A2691" s="43" t="inlineStr">
        <is>
          <t>009483</t>
        </is>
      </c>
      <c r="B2691" s="44" t="inlineStr">
        <is>
          <t>SPATEN ANIVERSARIANTE</t>
        </is>
      </c>
      <c r="C2691" s="45" t="inlineStr">
        <is>
          <t>GN</t>
        </is>
      </c>
      <c r="D2691" s="45" t="inlineStr">
        <is>
          <t>UN</t>
        </is>
      </c>
      <c r="E2691" s="45" t="inlineStr">
        <is>
          <t>0107</t>
        </is>
      </c>
      <c r="F2691" s="65" t="inlineStr">
        <is>
          <t>Venda</t>
        </is>
      </c>
      <c r="G2691" s="69" t="n">
        <v>0</v>
      </c>
      <c r="H2691" s="172" t="inlineStr">
        <is>
          <t>Não</t>
        </is>
      </c>
      <c r="I2691" s="48" t="inlineStr">
        <is>
          <t>7898905687710</t>
        </is>
      </c>
    </row>
    <row r="2692">
      <c r="A2692" s="40" t="inlineStr">
        <is>
          <t>001409</t>
        </is>
      </c>
      <c r="B2692" s="41" t="inlineStr">
        <is>
          <t>SPATEN LATA 350 ML</t>
        </is>
      </c>
      <c r="C2692" s="42" t="inlineStr">
        <is>
          <t>ME</t>
        </is>
      </c>
      <c r="D2692" s="42" t="inlineStr">
        <is>
          <t>UN</t>
        </is>
      </c>
      <c r="E2692" s="42" t="inlineStr">
        <is>
          <t>0026</t>
        </is>
      </c>
      <c r="F2692" s="70" t="inlineStr">
        <is>
          <t>Compras</t>
        </is>
      </c>
      <c r="G2692" s="71" t="n">
        <v>3.69</v>
      </c>
      <c r="H2692" s="172" t="inlineStr">
        <is>
          <t>Não</t>
        </is>
      </c>
      <c r="I2692" s="49" t="n"/>
    </row>
    <row r="2693">
      <c r="A2693" s="43" t="inlineStr">
        <is>
          <t>002205</t>
        </is>
      </c>
      <c r="B2693" s="44" t="inlineStr">
        <is>
          <t>SPATEN LATA 350 ML</t>
        </is>
      </c>
      <c r="C2693" s="45" t="inlineStr">
        <is>
          <t>MR</t>
        </is>
      </c>
      <c r="D2693" s="45" t="inlineStr">
        <is>
          <t>UN</t>
        </is>
      </c>
      <c r="E2693" s="45" t="inlineStr">
        <is>
          <t>0026</t>
        </is>
      </c>
      <c r="F2693" s="65" t="inlineStr">
        <is>
          <t>Venda</t>
        </is>
      </c>
      <c r="G2693" s="69" t="n">
        <v>0</v>
      </c>
      <c r="H2693" s="172" t="inlineStr">
        <is>
          <t>Não</t>
        </is>
      </c>
      <c r="I2693" s="48" t="inlineStr">
        <is>
          <t>78989056877352</t>
        </is>
      </c>
    </row>
    <row r="2694">
      <c r="A2694" s="40" t="inlineStr">
        <is>
          <t>001332</t>
        </is>
      </c>
      <c r="B2694" s="41" t="inlineStr">
        <is>
          <t>SPATEN LONG NECK</t>
        </is>
      </c>
      <c r="C2694" s="42" t="inlineStr">
        <is>
          <t>MR</t>
        </is>
      </c>
      <c r="D2694" s="42" t="inlineStr">
        <is>
          <t>UN</t>
        </is>
      </c>
      <c r="E2694" s="42" t="inlineStr">
        <is>
          <t>0093</t>
        </is>
      </c>
      <c r="F2694" s="65" t="inlineStr">
        <is>
          <t>Venda</t>
        </is>
      </c>
      <c r="G2694" s="68" t="n">
        <v>0</v>
      </c>
      <c r="H2694" s="172" t="inlineStr">
        <is>
          <t>Não</t>
        </is>
      </c>
      <c r="I2694" s="47" t="inlineStr">
        <is>
          <t>7898905687148</t>
        </is>
      </c>
    </row>
    <row r="2695">
      <c r="A2695" s="43" t="inlineStr">
        <is>
          <t>001403</t>
        </is>
      </c>
      <c r="B2695" s="44" t="inlineStr">
        <is>
          <t>SPATEN VOUCHER</t>
        </is>
      </c>
      <c r="C2695" s="45" t="inlineStr">
        <is>
          <t>MR</t>
        </is>
      </c>
      <c r="D2695" s="45" t="inlineStr">
        <is>
          <t>UN</t>
        </is>
      </c>
      <c r="E2695" s="45" t="inlineStr">
        <is>
          <t>0093</t>
        </is>
      </c>
      <c r="F2695" s="65" t="inlineStr">
        <is>
          <t>Venda</t>
        </is>
      </c>
      <c r="G2695" s="69" t="n">
        <v>0</v>
      </c>
      <c r="H2695" s="172" t="inlineStr">
        <is>
          <t>Não</t>
        </is>
      </c>
      <c r="I2695" s="48" t="inlineStr">
        <is>
          <t>7898905687500</t>
        </is>
      </c>
    </row>
    <row r="2696">
      <c r="A2696" s="40" t="inlineStr">
        <is>
          <t>009357</t>
        </is>
      </c>
      <c r="B2696" s="41" t="inlineStr">
        <is>
          <t>SPOT LED EMBUTIR 10W</t>
        </is>
      </c>
      <c r="C2696" s="42" t="inlineStr">
        <is>
          <t>MC</t>
        </is>
      </c>
      <c r="D2696" s="42" t="inlineStr">
        <is>
          <t>UN</t>
        </is>
      </c>
      <c r="E2696" s="42" t="inlineStr">
        <is>
          <t>0132</t>
        </is>
      </c>
      <c r="F2696" s="70" t="inlineStr">
        <is>
          <t>Compras</t>
        </is>
      </c>
      <c r="G2696" s="71" t="n">
        <v>19.9</v>
      </c>
      <c r="H2696" s="172" t="inlineStr">
        <is>
          <t>Não</t>
        </is>
      </c>
      <c r="I2696" s="49" t="n"/>
    </row>
    <row r="2697">
      <c r="A2697" s="43" t="inlineStr">
        <is>
          <t>009883</t>
        </is>
      </c>
      <c r="B2697" s="44" t="inlineStr">
        <is>
          <t>SPOT LED EMBUTIR 18W</t>
        </is>
      </c>
      <c r="C2697" s="45" t="inlineStr">
        <is>
          <t>MC</t>
        </is>
      </c>
      <c r="D2697" s="45" t="inlineStr">
        <is>
          <t>UN</t>
        </is>
      </c>
      <c r="E2697" s="45" t="inlineStr">
        <is>
          <t>0132</t>
        </is>
      </c>
      <c r="F2697" s="70" t="inlineStr">
        <is>
          <t>Compras</t>
        </is>
      </c>
      <c r="G2697" s="66" t="n">
        <v>24.9</v>
      </c>
      <c r="H2697" s="172" t="inlineStr">
        <is>
          <t>Não</t>
        </is>
      </c>
      <c r="I2697" s="50" t="n"/>
    </row>
    <row r="2698">
      <c r="A2698" s="40" t="inlineStr">
        <is>
          <t>009895</t>
        </is>
      </c>
      <c r="B2698" s="41" t="inlineStr">
        <is>
          <t>SPOT LED EMBUTIR 5W</t>
        </is>
      </c>
      <c r="C2698" s="42" t="inlineStr">
        <is>
          <t>MC</t>
        </is>
      </c>
      <c r="D2698" s="42" t="inlineStr">
        <is>
          <t>UN</t>
        </is>
      </c>
      <c r="E2698" s="42" t="inlineStr">
        <is>
          <t>0132</t>
        </is>
      </c>
      <c r="F2698" s="70" t="inlineStr">
        <is>
          <t>Compras</t>
        </is>
      </c>
      <c r="G2698" s="71" t="n">
        <v>12.9</v>
      </c>
      <c r="H2698" s="172" t="inlineStr">
        <is>
          <t>Não</t>
        </is>
      </c>
      <c r="I2698" s="49" t="n"/>
    </row>
    <row r="2699">
      <c r="A2699" s="43" t="inlineStr">
        <is>
          <t>009894</t>
        </is>
      </c>
      <c r="B2699" s="44" t="inlineStr">
        <is>
          <t>SPOT LED EMBUTIR 7W</t>
        </is>
      </c>
      <c r="C2699" s="45" t="inlineStr">
        <is>
          <t>MC</t>
        </is>
      </c>
      <c r="D2699" s="45" t="inlineStr">
        <is>
          <t>UN</t>
        </is>
      </c>
      <c r="E2699" s="45" t="inlineStr">
        <is>
          <t>0132</t>
        </is>
      </c>
      <c r="F2699" s="70" t="inlineStr">
        <is>
          <t>Compras</t>
        </is>
      </c>
      <c r="G2699" s="66" t="n">
        <v>14.99</v>
      </c>
      <c r="H2699" s="172" t="inlineStr">
        <is>
          <t>Não</t>
        </is>
      </c>
      <c r="I2699" s="50" t="n"/>
    </row>
    <row r="2700">
      <c r="A2700" s="40" t="inlineStr">
        <is>
          <t>009387</t>
        </is>
      </c>
      <c r="B2700" s="41" t="inlineStr">
        <is>
          <t>SPRAY VERMELHO 400ML</t>
        </is>
      </c>
      <c r="C2700" s="42" t="inlineStr">
        <is>
          <t>MC</t>
        </is>
      </c>
      <c r="D2700" s="42" t="inlineStr">
        <is>
          <t>UN</t>
        </is>
      </c>
      <c r="E2700" s="42" t="inlineStr">
        <is>
          <t>0132</t>
        </is>
      </c>
      <c r="F2700" s="70" t="inlineStr">
        <is>
          <t>Compras</t>
        </is>
      </c>
      <c r="G2700" s="71" t="n">
        <v>22.5</v>
      </c>
      <c r="H2700" s="172" t="inlineStr">
        <is>
          <t>Não</t>
        </is>
      </c>
      <c r="I2700" s="49" t="n"/>
    </row>
    <row r="2701">
      <c r="A2701" s="43" t="inlineStr">
        <is>
          <t>002260</t>
        </is>
      </c>
      <c r="B2701" s="44" t="inlineStr">
        <is>
          <t>SSD 1TB PLUS</t>
        </is>
      </c>
      <c r="C2701" s="45" t="inlineStr">
        <is>
          <t>MC</t>
        </is>
      </c>
      <c r="D2701" s="45" t="inlineStr">
        <is>
          <t>UN</t>
        </is>
      </c>
      <c r="E2701" s="45" t="inlineStr">
        <is>
          <t>0006</t>
        </is>
      </c>
      <c r="F2701" s="70" t="inlineStr">
        <is>
          <t>Compras</t>
        </is>
      </c>
      <c r="G2701" s="66" t="n">
        <v>598.41</v>
      </c>
      <c r="H2701" s="172" t="inlineStr">
        <is>
          <t>Não</t>
        </is>
      </c>
      <c r="I2701" s="50" t="n"/>
    </row>
    <row r="2702">
      <c r="A2702" s="40" t="inlineStr">
        <is>
          <t>001079</t>
        </is>
      </c>
      <c r="B2702" s="41" t="inlineStr">
        <is>
          <t>STEINHAEGER ESPECIAL DOSE</t>
        </is>
      </c>
      <c r="C2702" s="42" t="inlineStr">
        <is>
          <t>PA</t>
        </is>
      </c>
      <c r="D2702" s="42" t="inlineStr">
        <is>
          <t>UN</t>
        </is>
      </c>
      <c r="E2702" s="42" t="inlineStr">
        <is>
          <t>0089</t>
        </is>
      </c>
      <c r="F2702" s="65" t="inlineStr">
        <is>
          <t>Venda</t>
        </is>
      </c>
      <c r="G2702" s="68" t="n">
        <v>0</v>
      </c>
      <c r="H2702" s="173" t="inlineStr">
        <is>
          <t>Sim</t>
        </is>
      </c>
      <c r="I2702" s="49" t="n"/>
    </row>
    <row r="2703">
      <c r="A2703" s="43" t="inlineStr">
        <is>
          <t>001198</t>
        </is>
      </c>
      <c r="B2703" s="44" t="inlineStr">
        <is>
          <t>STEINHAEGER GARRAFA</t>
        </is>
      </c>
      <c r="C2703" s="45" t="inlineStr">
        <is>
          <t>MR</t>
        </is>
      </c>
      <c r="D2703" s="45" t="inlineStr">
        <is>
          <t>UN</t>
        </is>
      </c>
      <c r="E2703" s="45" t="inlineStr">
        <is>
          <t>0089</t>
        </is>
      </c>
      <c r="F2703" s="65" t="inlineStr">
        <is>
          <t>Venda</t>
        </is>
      </c>
      <c r="G2703" s="69" t="n">
        <v>0</v>
      </c>
      <c r="H2703" s="173" t="inlineStr">
        <is>
          <t>Sim</t>
        </is>
      </c>
      <c r="I2703" s="50" t="n"/>
    </row>
    <row r="2704">
      <c r="A2704" s="40" t="inlineStr">
        <is>
          <t>000363</t>
        </is>
      </c>
      <c r="B2704" s="41" t="inlineStr">
        <is>
          <t>STEINHAEGER IMPORTADO 700ML</t>
        </is>
      </c>
      <c r="C2704" s="42" t="inlineStr">
        <is>
          <t>ME</t>
        </is>
      </c>
      <c r="D2704" s="42" t="inlineStr">
        <is>
          <t>LT</t>
        </is>
      </c>
      <c r="E2704" s="42" t="inlineStr">
        <is>
          <t>0038</t>
        </is>
      </c>
      <c r="F2704" s="70" t="inlineStr">
        <is>
          <t>Compras</t>
        </is>
      </c>
      <c r="G2704" s="68" t="n">
        <v>0</v>
      </c>
      <c r="H2704" s="172" t="inlineStr">
        <is>
          <t>Não</t>
        </is>
      </c>
      <c r="I2704" s="49" t="n"/>
    </row>
    <row r="2705">
      <c r="A2705" s="43" t="inlineStr">
        <is>
          <t>000897</t>
        </is>
      </c>
      <c r="B2705" s="44" t="inlineStr">
        <is>
          <t>STELLA 550</t>
        </is>
      </c>
      <c r="C2705" s="45" t="inlineStr">
        <is>
          <t>MR</t>
        </is>
      </c>
      <c r="D2705" s="45" t="inlineStr">
        <is>
          <t>UN</t>
        </is>
      </c>
      <c r="E2705" s="45" t="inlineStr">
        <is>
          <t>0093</t>
        </is>
      </c>
      <c r="F2705" s="65" t="inlineStr">
        <is>
          <t>Venda</t>
        </is>
      </c>
      <c r="G2705" s="66" t="n">
        <v>79.41500000000001</v>
      </c>
      <c r="H2705" s="172" t="inlineStr">
        <is>
          <t>Não</t>
        </is>
      </c>
      <c r="I2705" s="48" t="inlineStr">
        <is>
          <t>79006</t>
        </is>
      </c>
    </row>
    <row r="2706">
      <c r="A2706" s="40" t="inlineStr">
        <is>
          <t>009576</t>
        </is>
      </c>
      <c r="B2706" s="41" t="inlineStr">
        <is>
          <t>STELLA 600 CARNAVAL</t>
        </is>
      </c>
      <c r="C2706" s="42" t="inlineStr">
        <is>
          <t>MR</t>
        </is>
      </c>
      <c r="D2706" s="42" t="inlineStr">
        <is>
          <t>UN</t>
        </is>
      </c>
      <c r="E2706" s="42" t="inlineStr">
        <is>
          <t>0093</t>
        </is>
      </c>
      <c r="F2706" s="65" t="inlineStr">
        <is>
          <t>Venda</t>
        </is>
      </c>
      <c r="G2706" s="68" t="n">
        <v>0</v>
      </c>
      <c r="H2706" s="177" t="inlineStr">
        <is>
          <t>Sim</t>
        </is>
      </c>
      <c r="I2706" s="178" t="n"/>
    </row>
    <row r="2707">
      <c r="A2707" s="43" t="inlineStr">
        <is>
          <t>000325</t>
        </is>
      </c>
      <c r="B2707" s="44" t="inlineStr">
        <is>
          <t>STELLA ARTOIS LONG NECK</t>
        </is>
      </c>
      <c r="C2707" s="45" t="inlineStr">
        <is>
          <t>ME</t>
        </is>
      </c>
      <c r="D2707" s="45" t="inlineStr">
        <is>
          <t>UN</t>
        </is>
      </c>
      <c r="E2707" s="45" t="inlineStr">
        <is>
          <t>0026</t>
        </is>
      </c>
      <c r="F2707" s="70" t="inlineStr">
        <is>
          <t>Compras</t>
        </is>
      </c>
      <c r="G2707" s="66" t="n">
        <v>4.1811</v>
      </c>
      <c r="H2707" s="172" t="inlineStr">
        <is>
          <t>Não</t>
        </is>
      </c>
      <c r="I2707" s="50" t="n"/>
    </row>
    <row r="2708">
      <c r="A2708" s="40" t="inlineStr">
        <is>
          <t>000910</t>
        </is>
      </c>
      <c r="B2708" s="41" t="inlineStr">
        <is>
          <t>STELLA LONG</t>
        </is>
      </c>
      <c r="C2708" s="42" t="inlineStr">
        <is>
          <t>MR</t>
        </is>
      </c>
      <c r="D2708" s="42" t="inlineStr">
        <is>
          <t>UN</t>
        </is>
      </c>
      <c r="E2708" s="42" t="inlineStr">
        <is>
          <t>0093</t>
        </is>
      </c>
      <c r="F2708" s="65" t="inlineStr">
        <is>
          <t>Venda</t>
        </is>
      </c>
      <c r="G2708" s="71" t="n">
        <v>148.56</v>
      </c>
      <c r="H2708" s="172" t="inlineStr">
        <is>
          <t>Não</t>
        </is>
      </c>
      <c r="I2708" s="47" t="inlineStr">
        <is>
          <t>80007</t>
        </is>
      </c>
    </row>
    <row r="2709">
      <c r="A2709" s="43" t="inlineStr">
        <is>
          <t>001395</t>
        </is>
      </c>
      <c r="B2709" s="44" t="inlineStr">
        <is>
          <t>STELLA LONG NEC S/ GLUTEN</t>
        </is>
      </c>
      <c r="C2709" s="45" t="inlineStr">
        <is>
          <t>ME</t>
        </is>
      </c>
      <c r="D2709" s="45" t="inlineStr">
        <is>
          <t>UN</t>
        </is>
      </c>
      <c r="E2709" s="45" t="inlineStr">
        <is>
          <t>0026</t>
        </is>
      </c>
      <c r="F2709" s="70" t="inlineStr">
        <is>
          <t>Compras</t>
        </is>
      </c>
      <c r="G2709" s="66" t="n">
        <v>4.855</v>
      </c>
      <c r="H2709" s="172" t="inlineStr">
        <is>
          <t>Não</t>
        </is>
      </c>
      <c r="I2709" s="50" t="n"/>
    </row>
    <row r="2710">
      <c r="A2710" s="40" t="inlineStr">
        <is>
          <t>001389</t>
        </is>
      </c>
      <c r="B2710" s="41" t="inlineStr">
        <is>
          <t>STELLA LONG S/ GLUTEN</t>
        </is>
      </c>
      <c r="C2710" s="42" t="inlineStr">
        <is>
          <t>MR</t>
        </is>
      </c>
      <c r="D2710" s="42" t="inlineStr">
        <is>
          <t>UN</t>
        </is>
      </c>
      <c r="E2710" s="42" t="inlineStr">
        <is>
          <t>0093</t>
        </is>
      </c>
      <c r="F2710" s="65" t="inlineStr">
        <is>
          <t>Venda</t>
        </is>
      </c>
      <c r="G2710" s="68" t="n">
        <v>0</v>
      </c>
      <c r="H2710" s="172" t="inlineStr">
        <is>
          <t>Não</t>
        </is>
      </c>
      <c r="I2710" s="47" t="inlineStr">
        <is>
          <t>7898905687187</t>
        </is>
      </c>
    </row>
    <row r="2711">
      <c r="A2711" s="43" t="inlineStr">
        <is>
          <t>009574</t>
        </is>
      </c>
      <c r="B2711" s="44" t="inlineStr">
        <is>
          <t>STELLA S/ GLUTEN LONG CARNAVAL</t>
        </is>
      </c>
      <c r="C2711" s="45" t="inlineStr">
        <is>
          <t>MR</t>
        </is>
      </c>
      <c r="D2711" s="45" t="inlineStr">
        <is>
          <t>UN</t>
        </is>
      </c>
      <c r="E2711" s="45" t="inlineStr">
        <is>
          <t>0093</t>
        </is>
      </c>
      <c r="F2711" s="65" t="inlineStr">
        <is>
          <t>Venda</t>
        </is>
      </c>
      <c r="G2711" s="69" t="n">
        <v>0</v>
      </c>
      <c r="H2711" s="177" t="inlineStr">
        <is>
          <t>Sim</t>
        </is>
      </c>
      <c r="I2711" s="178" t="n"/>
    </row>
    <row r="2712">
      <c r="A2712" s="40" t="inlineStr">
        <is>
          <t>001519</t>
        </is>
      </c>
      <c r="B2712" s="41" t="inlineStr">
        <is>
          <t>STICK MUSSARELA</t>
        </is>
      </c>
      <c r="C2712" s="42" t="inlineStr">
        <is>
          <t>MP</t>
        </is>
      </c>
      <c r="D2712" s="42" t="inlineStr">
        <is>
          <t>KG</t>
        </is>
      </c>
      <c r="E2712" s="42" t="inlineStr">
        <is>
          <t>0089</t>
        </is>
      </c>
      <c r="F2712" s="70" t="inlineStr">
        <is>
          <t>Compras</t>
        </is>
      </c>
      <c r="G2712" s="71" t="n">
        <v>348.62</v>
      </c>
      <c r="H2712" s="173" t="inlineStr">
        <is>
          <t>Sim</t>
        </is>
      </c>
      <c r="I2712" s="49" t="n"/>
    </row>
    <row r="2713">
      <c r="A2713" s="43" t="inlineStr">
        <is>
          <t>001472</t>
        </is>
      </c>
      <c r="B2713" s="44" t="inlineStr">
        <is>
          <t>STICKS DE MUSSARELA</t>
        </is>
      </c>
      <c r="C2713" s="45" t="inlineStr">
        <is>
          <t>PA</t>
        </is>
      </c>
      <c r="D2713" s="45" t="inlineStr">
        <is>
          <t>UN</t>
        </is>
      </c>
      <c r="E2713" s="45" t="inlineStr">
        <is>
          <t>0102</t>
        </is>
      </c>
      <c r="F2713" s="65" t="inlineStr">
        <is>
          <t>Venda</t>
        </is>
      </c>
      <c r="G2713" s="69" t="n">
        <v>0</v>
      </c>
      <c r="H2713" s="172" t="inlineStr">
        <is>
          <t>Não</t>
        </is>
      </c>
      <c r="I2713" s="48" t="inlineStr">
        <is>
          <t>78989056877116</t>
        </is>
      </c>
    </row>
    <row r="2714">
      <c r="A2714" s="40" t="inlineStr">
        <is>
          <t>000873</t>
        </is>
      </c>
      <c r="B2714" s="41" t="inlineStr">
        <is>
          <t>SUCO ABACAXI</t>
        </is>
      </c>
      <c r="C2714" s="42" t="inlineStr">
        <is>
          <t>PA</t>
        </is>
      </c>
      <c r="D2714" s="42" t="inlineStr">
        <is>
          <t>UN</t>
        </is>
      </c>
      <c r="E2714" s="42" t="inlineStr">
        <is>
          <t>0113</t>
        </is>
      </c>
      <c r="F2714" s="65" t="inlineStr">
        <is>
          <t>Venda</t>
        </is>
      </c>
      <c r="G2714" s="68" t="n">
        <v>0</v>
      </c>
      <c r="H2714" s="172" t="inlineStr">
        <is>
          <t>Não</t>
        </is>
      </c>
      <c r="I2714" s="47" t="inlineStr">
        <is>
          <t>70003</t>
        </is>
      </c>
    </row>
    <row r="2715">
      <c r="A2715" s="43" t="inlineStr">
        <is>
          <t>000877</t>
        </is>
      </c>
      <c r="B2715" s="44" t="inlineStr">
        <is>
          <t>SUCO ABACAXI C/ HORTELA</t>
        </is>
      </c>
      <c r="C2715" s="45" t="inlineStr">
        <is>
          <t>PA</t>
        </is>
      </c>
      <c r="D2715" s="45" t="inlineStr">
        <is>
          <t>UN</t>
        </is>
      </c>
      <c r="E2715" s="45" t="inlineStr">
        <is>
          <t>0113</t>
        </is>
      </c>
      <c r="F2715" s="65" t="inlineStr">
        <is>
          <t>Venda</t>
        </is>
      </c>
      <c r="G2715" s="69" t="n">
        <v>0</v>
      </c>
      <c r="H2715" s="172" t="inlineStr">
        <is>
          <t>Não</t>
        </is>
      </c>
      <c r="I2715" s="48" t="inlineStr">
        <is>
          <t>70018</t>
        </is>
      </c>
    </row>
    <row r="2716">
      <c r="A2716" s="40" t="inlineStr">
        <is>
          <t>001926</t>
        </is>
      </c>
      <c r="B2716" s="41" t="inlineStr">
        <is>
          <t>SUCO DE CAJU CONCETRADO 1LT</t>
        </is>
      </c>
      <c r="C2716" s="42" t="inlineStr">
        <is>
          <t>MP</t>
        </is>
      </c>
      <c r="D2716" s="42" t="inlineStr">
        <is>
          <t>LT</t>
        </is>
      </c>
      <c r="E2716" s="42" t="inlineStr">
        <is>
          <t>0029</t>
        </is>
      </c>
      <c r="F2716" s="70" t="inlineStr">
        <is>
          <t>Compras</t>
        </is>
      </c>
      <c r="G2716" s="71" t="n">
        <v>10.98</v>
      </c>
      <c r="H2716" s="172" t="inlineStr">
        <is>
          <t>Não</t>
        </is>
      </c>
      <c r="I2716" s="49" t="n"/>
    </row>
    <row r="2717">
      <c r="A2717" s="43" t="inlineStr">
        <is>
          <t>001781</t>
        </is>
      </c>
      <c r="B2717" s="44" t="inlineStr">
        <is>
          <t>SUCO DE LATA LARANJA</t>
        </is>
      </c>
      <c r="C2717" s="45" t="inlineStr">
        <is>
          <t>MR</t>
        </is>
      </c>
      <c r="D2717" s="45" t="inlineStr">
        <is>
          <t>UN</t>
        </is>
      </c>
      <c r="E2717" s="45" t="inlineStr">
        <is>
          <t>0111</t>
        </is>
      </c>
      <c r="F2717" s="65" t="inlineStr">
        <is>
          <t>Venda</t>
        </is>
      </c>
      <c r="G2717" s="69" t="n">
        <v>0</v>
      </c>
      <c r="H2717" s="172" t="inlineStr">
        <is>
          <t>Não</t>
        </is>
      </c>
      <c r="I2717" s="48" t="inlineStr">
        <is>
          <t>78989056877192</t>
        </is>
      </c>
    </row>
    <row r="2718">
      <c r="A2718" s="40" t="inlineStr">
        <is>
          <t>001771</t>
        </is>
      </c>
      <c r="B2718" s="41" t="inlineStr">
        <is>
          <t>SUCO DE LATA MARACUJA</t>
        </is>
      </c>
      <c r="C2718" s="42" t="inlineStr">
        <is>
          <t>MR</t>
        </is>
      </c>
      <c r="D2718" s="42" t="inlineStr">
        <is>
          <t>UN</t>
        </is>
      </c>
      <c r="E2718" s="42" t="inlineStr">
        <is>
          <t>0111</t>
        </is>
      </c>
      <c r="F2718" s="65" t="inlineStr">
        <is>
          <t>Venda</t>
        </is>
      </c>
      <c r="G2718" s="68" t="n">
        <v>0</v>
      </c>
      <c r="H2718" s="172" t="inlineStr">
        <is>
          <t>Não</t>
        </is>
      </c>
      <c r="I2718" s="47" t="inlineStr">
        <is>
          <t>78989056877191</t>
        </is>
      </c>
    </row>
    <row r="2719">
      <c r="A2719" s="43" t="inlineStr">
        <is>
          <t>001780</t>
        </is>
      </c>
      <c r="B2719" s="44" t="inlineStr">
        <is>
          <t>SUCO DE LATA MORANGO</t>
        </is>
      </c>
      <c r="C2719" s="45" t="inlineStr">
        <is>
          <t>MR</t>
        </is>
      </c>
      <c r="D2719" s="45" t="inlineStr">
        <is>
          <t>UN</t>
        </is>
      </c>
      <c r="E2719" s="45" t="inlineStr">
        <is>
          <t>0111</t>
        </is>
      </c>
      <c r="F2719" s="65" t="inlineStr">
        <is>
          <t>Venda</t>
        </is>
      </c>
      <c r="G2719" s="69" t="n">
        <v>0</v>
      </c>
      <c r="H2719" s="172" t="inlineStr">
        <is>
          <t>Não</t>
        </is>
      </c>
      <c r="I2719" s="48" t="inlineStr">
        <is>
          <t>78989056877190</t>
        </is>
      </c>
    </row>
    <row r="2720">
      <c r="A2720" s="40" t="inlineStr">
        <is>
          <t>001782</t>
        </is>
      </c>
      <c r="B2720" s="41" t="inlineStr">
        <is>
          <t>SUCO DE UVA LATA</t>
        </is>
      </c>
      <c r="C2720" s="42" t="inlineStr">
        <is>
          <t>MR</t>
        </is>
      </c>
      <c r="D2720" s="42" t="inlineStr">
        <is>
          <t>UN</t>
        </is>
      </c>
      <c r="E2720" s="42" t="inlineStr">
        <is>
          <t>0111</t>
        </is>
      </c>
      <c r="F2720" s="65" t="inlineStr">
        <is>
          <t>Venda</t>
        </is>
      </c>
      <c r="G2720" s="68" t="n">
        <v>0</v>
      </c>
      <c r="H2720" s="172" t="inlineStr">
        <is>
          <t>Não</t>
        </is>
      </c>
      <c r="I2720" s="47" t="inlineStr">
        <is>
          <t>78989056877189</t>
        </is>
      </c>
    </row>
    <row r="2721">
      <c r="A2721" s="43" t="inlineStr">
        <is>
          <t>001989</t>
        </is>
      </c>
      <c r="B2721" s="44" t="inlineStr">
        <is>
          <t>SUCO DEL VALLE DE MARACUJA LATA</t>
        </is>
      </c>
      <c r="C2721" s="45" t="inlineStr">
        <is>
          <t>ME</t>
        </is>
      </c>
      <c r="D2721" s="45" t="inlineStr">
        <is>
          <t>UN</t>
        </is>
      </c>
      <c r="E2721" s="45" t="inlineStr">
        <is>
          <t>0021</t>
        </is>
      </c>
      <c r="F2721" s="70" t="inlineStr">
        <is>
          <t>Compras</t>
        </is>
      </c>
      <c r="G2721" s="66" t="n">
        <v>23.94</v>
      </c>
      <c r="H2721" s="172" t="inlineStr">
        <is>
          <t>Não</t>
        </is>
      </c>
      <c r="I2721" s="50" t="n"/>
    </row>
    <row r="2722">
      <c r="A2722" s="40" t="inlineStr">
        <is>
          <t>001992</t>
        </is>
      </c>
      <c r="B2722" s="41" t="inlineStr">
        <is>
          <t>SUCO DEL VALLE MANGA LATA</t>
        </is>
      </c>
      <c r="C2722" s="42" t="inlineStr">
        <is>
          <t>ME</t>
        </is>
      </c>
      <c r="D2722" s="42" t="inlineStr">
        <is>
          <t>UN</t>
        </is>
      </c>
      <c r="E2722" s="42" t="inlineStr">
        <is>
          <t>0021</t>
        </is>
      </c>
      <c r="F2722" s="70" t="inlineStr">
        <is>
          <t>Compras</t>
        </is>
      </c>
      <c r="G2722" s="68" t="n">
        <v>0</v>
      </c>
      <c r="H2722" s="172" t="inlineStr">
        <is>
          <t>Não</t>
        </is>
      </c>
      <c r="I2722" s="49" t="n"/>
    </row>
    <row r="2723">
      <c r="A2723" s="43" t="inlineStr">
        <is>
          <t>001990</t>
        </is>
      </c>
      <c r="B2723" s="44" t="inlineStr">
        <is>
          <t>SUCO DEL VALLE PESSEGO LATA</t>
        </is>
      </c>
      <c r="C2723" s="45" t="inlineStr">
        <is>
          <t>ME</t>
        </is>
      </c>
      <c r="D2723" s="45" t="inlineStr">
        <is>
          <t>UN</t>
        </is>
      </c>
      <c r="E2723" s="45" t="inlineStr">
        <is>
          <t>0021</t>
        </is>
      </c>
      <c r="F2723" s="70" t="inlineStr">
        <is>
          <t>Compras</t>
        </is>
      </c>
      <c r="G2723" s="66" t="n">
        <v>23.94</v>
      </c>
      <c r="H2723" s="172" t="inlineStr">
        <is>
          <t>Não</t>
        </is>
      </c>
      <c r="I2723" s="50" t="n"/>
    </row>
    <row r="2724">
      <c r="A2724" s="40" t="inlineStr">
        <is>
          <t>001991</t>
        </is>
      </c>
      <c r="B2724" s="41" t="inlineStr">
        <is>
          <t>SUCO DEL VALLE UVA LATA</t>
        </is>
      </c>
      <c r="C2724" s="42" t="inlineStr">
        <is>
          <t>ME</t>
        </is>
      </c>
      <c r="D2724" s="42" t="inlineStr">
        <is>
          <t>UN</t>
        </is>
      </c>
      <c r="E2724" s="42" t="inlineStr">
        <is>
          <t>0021</t>
        </is>
      </c>
      <c r="F2724" s="70" t="inlineStr">
        <is>
          <t>Compras</t>
        </is>
      </c>
      <c r="G2724" s="71" t="n">
        <v>23.94</v>
      </c>
      <c r="H2724" s="172" t="inlineStr">
        <is>
          <t>Não</t>
        </is>
      </c>
      <c r="I2724" s="49" t="n"/>
    </row>
    <row r="2725">
      <c r="A2725" s="43" t="inlineStr">
        <is>
          <t>000872</t>
        </is>
      </c>
      <c r="B2725" s="44" t="inlineStr">
        <is>
          <t>SUCO LARANJA</t>
        </is>
      </c>
      <c r="C2725" s="45" t="inlineStr">
        <is>
          <t>PA</t>
        </is>
      </c>
      <c r="D2725" s="45" t="inlineStr">
        <is>
          <t>UN</t>
        </is>
      </c>
      <c r="E2725" s="45" t="inlineStr">
        <is>
          <t>0113</t>
        </is>
      </c>
      <c r="F2725" s="65" t="inlineStr">
        <is>
          <t>Venda</t>
        </is>
      </c>
      <c r="G2725" s="69" t="n">
        <v>0</v>
      </c>
      <c r="H2725" s="172" t="inlineStr">
        <is>
          <t>Não</t>
        </is>
      </c>
      <c r="I2725" s="48" t="inlineStr">
        <is>
          <t>70002</t>
        </is>
      </c>
    </row>
    <row r="2726">
      <c r="A2726" s="40" t="inlineStr">
        <is>
          <t>000874</t>
        </is>
      </c>
      <c r="B2726" s="41" t="inlineStr">
        <is>
          <t>SUCO LIMAO</t>
        </is>
      </c>
      <c r="C2726" s="42" t="inlineStr">
        <is>
          <t>PA</t>
        </is>
      </c>
      <c r="D2726" s="42" t="inlineStr">
        <is>
          <t>UN</t>
        </is>
      </c>
      <c r="E2726" s="42" t="inlineStr">
        <is>
          <t>0113</t>
        </is>
      </c>
      <c r="F2726" s="65" t="inlineStr">
        <is>
          <t>Venda</t>
        </is>
      </c>
      <c r="G2726" s="68" t="n">
        <v>0</v>
      </c>
      <c r="H2726" s="172" t="inlineStr">
        <is>
          <t>Não</t>
        </is>
      </c>
      <c r="I2726" s="47" t="inlineStr">
        <is>
          <t>70005</t>
        </is>
      </c>
    </row>
    <row r="2727">
      <c r="A2727" s="43" t="inlineStr">
        <is>
          <t>001977</t>
        </is>
      </c>
      <c r="B2727" s="44" t="inlineStr">
        <is>
          <t>SUCO MAGUARY</t>
        </is>
      </c>
      <c r="C2727" s="45" t="inlineStr">
        <is>
          <t>MP</t>
        </is>
      </c>
      <c r="D2727" s="45" t="inlineStr">
        <is>
          <t>UN</t>
        </is>
      </c>
      <c r="E2727" s="45" t="inlineStr">
        <is>
          <t>0111</t>
        </is>
      </c>
      <c r="F2727" s="70" t="inlineStr">
        <is>
          <t>Compras</t>
        </is>
      </c>
      <c r="G2727" s="66" t="n">
        <v>5.92</v>
      </c>
      <c r="H2727" s="173" t="inlineStr">
        <is>
          <t>Sim</t>
        </is>
      </c>
      <c r="I2727" s="50" t="n"/>
    </row>
    <row r="2728">
      <c r="A2728" s="40" t="inlineStr">
        <is>
          <t>000875</t>
        </is>
      </c>
      <c r="B2728" s="41" t="inlineStr">
        <is>
          <t>SUCO MARACUJA</t>
        </is>
      </c>
      <c r="C2728" s="42" t="inlineStr">
        <is>
          <t>PA</t>
        </is>
      </c>
      <c r="D2728" s="42" t="inlineStr">
        <is>
          <t>UN</t>
        </is>
      </c>
      <c r="E2728" s="42" t="inlineStr">
        <is>
          <t>0113</t>
        </is>
      </c>
      <c r="F2728" s="65" t="inlineStr">
        <is>
          <t>Venda</t>
        </is>
      </c>
      <c r="G2728" s="68" t="n">
        <v>0</v>
      </c>
      <c r="H2728" s="172" t="inlineStr">
        <is>
          <t>Não</t>
        </is>
      </c>
      <c r="I2728" s="47" t="inlineStr">
        <is>
          <t>70013</t>
        </is>
      </c>
    </row>
    <row r="2729">
      <c r="A2729" s="43" t="inlineStr">
        <is>
          <t>000876</t>
        </is>
      </c>
      <c r="B2729" s="44" t="inlineStr">
        <is>
          <t>SUCO MORANGO</t>
        </is>
      </c>
      <c r="C2729" s="45" t="inlineStr">
        <is>
          <t>PA</t>
        </is>
      </c>
      <c r="D2729" s="45" t="inlineStr">
        <is>
          <t>UN</t>
        </is>
      </c>
      <c r="E2729" s="45" t="inlineStr">
        <is>
          <t>0113</t>
        </is>
      </c>
      <c r="F2729" s="65" t="inlineStr">
        <is>
          <t>Venda</t>
        </is>
      </c>
      <c r="G2729" s="69" t="n">
        <v>0</v>
      </c>
      <c r="H2729" s="172" t="inlineStr">
        <is>
          <t>Não</t>
        </is>
      </c>
      <c r="I2729" s="48" t="inlineStr">
        <is>
          <t>70014</t>
        </is>
      </c>
    </row>
    <row r="2730">
      <c r="A2730" s="40" t="inlineStr">
        <is>
          <t>000881</t>
        </is>
      </c>
      <c r="B2730" s="41" t="inlineStr">
        <is>
          <t>SUKITA</t>
        </is>
      </c>
      <c r="C2730" s="42" t="inlineStr">
        <is>
          <t>MR</t>
        </is>
      </c>
      <c r="D2730" s="42" t="inlineStr">
        <is>
          <t>UN</t>
        </is>
      </c>
      <c r="E2730" s="42" t="inlineStr">
        <is>
          <t>0111</t>
        </is>
      </c>
      <c r="F2730" s="65" t="inlineStr">
        <is>
          <t>Venda</t>
        </is>
      </c>
      <c r="G2730" s="71" t="n">
        <v>79.59999999999999</v>
      </c>
      <c r="H2730" s="172" t="inlineStr">
        <is>
          <t>Não</t>
        </is>
      </c>
      <c r="I2730" s="47" t="inlineStr">
        <is>
          <t>71004</t>
        </is>
      </c>
    </row>
    <row r="2731">
      <c r="A2731" s="43" t="inlineStr">
        <is>
          <t>000322</t>
        </is>
      </c>
      <c r="B2731" s="44" t="inlineStr">
        <is>
          <t>SUKITA LARANJA LATA 350ML</t>
        </is>
      </c>
      <c r="C2731" s="45" t="inlineStr">
        <is>
          <t>ME</t>
        </is>
      </c>
      <c r="D2731" s="45" t="inlineStr">
        <is>
          <t>UN</t>
        </is>
      </c>
      <c r="E2731" s="45" t="inlineStr">
        <is>
          <t>0021</t>
        </is>
      </c>
      <c r="F2731" s="70" t="inlineStr">
        <is>
          <t>Compras</t>
        </is>
      </c>
      <c r="G2731" s="66" t="n">
        <v>2.11</v>
      </c>
      <c r="H2731" s="172" t="inlineStr">
        <is>
          <t>Não</t>
        </is>
      </c>
      <c r="I2731" s="50" t="n"/>
    </row>
    <row r="2732">
      <c r="A2732" s="40" t="inlineStr">
        <is>
          <t>001471</t>
        </is>
      </c>
      <c r="B2732" s="41" t="inlineStr">
        <is>
          <t>SUNSET MULE</t>
        </is>
      </c>
      <c r="C2732" s="42" t="inlineStr">
        <is>
          <t>PA</t>
        </is>
      </c>
      <c r="D2732" s="42" t="inlineStr">
        <is>
          <t>UN</t>
        </is>
      </c>
      <c r="E2732" s="42" t="inlineStr">
        <is>
          <t>0105</t>
        </is>
      </c>
      <c r="F2732" s="65" t="inlineStr">
        <is>
          <t>Venda</t>
        </is>
      </c>
      <c r="G2732" s="68" t="n">
        <v>0</v>
      </c>
      <c r="H2732" s="172" t="inlineStr">
        <is>
          <t>Não</t>
        </is>
      </c>
      <c r="I2732" s="47" t="inlineStr">
        <is>
          <t>7898905687718</t>
        </is>
      </c>
    </row>
    <row r="2733">
      <c r="A2733" s="43" t="inlineStr">
        <is>
          <t>009401</t>
        </is>
      </c>
      <c r="B2733" s="44" t="inlineStr">
        <is>
          <t>SUPER COLA TEKBOND 793 50G</t>
        </is>
      </c>
      <c r="C2733" s="45" t="inlineStr">
        <is>
          <t>MC</t>
        </is>
      </c>
      <c r="D2733" s="45" t="inlineStr">
        <is>
          <t>UN</t>
        </is>
      </c>
      <c r="E2733" s="45" t="inlineStr">
        <is>
          <t>0132</t>
        </is>
      </c>
      <c r="F2733" s="70" t="inlineStr">
        <is>
          <t>Compras</t>
        </is>
      </c>
      <c r="G2733" s="66" t="n">
        <v>34.9</v>
      </c>
      <c r="H2733" s="172" t="inlineStr">
        <is>
          <t>Não</t>
        </is>
      </c>
      <c r="I2733" s="50" t="n"/>
    </row>
    <row r="2734">
      <c r="A2734" s="40" t="inlineStr">
        <is>
          <t>000567</t>
        </is>
      </c>
      <c r="B2734" s="41" t="inlineStr">
        <is>
          <t>SUPORTE DE COADOR DE CAFE 40 C</t>
        </is>
      </c>
      <c r="C2734" s="42" t="inlineStr">
        <is>
          <t>MC</t>
        </is>
      </c>
      <c r="D2734" s="42" t="inlineStr">
        <is>
          <t>UN</t>
        </is>
      </c>
      <c r="E2734" s="42" t="inlineStr">
        <is>
          <t>0079</t>
        </is>
      </c>
      <c r="F2734" s="70" t="inlineStr">
        <is>
          <t>Compras</t>
        </is>
      </c>
      <c r="G2734" s="71" t="n">
        <v>98</v>
      </c>
      <c r="H2734" s="172" t="inlineStr">
        <is>
          <t>Não</t>
        </is>
      </c>
      <c r="I2734" s="49" t="n"/>
    </row>
    <row r="2735">
      <c r="A2735" s="43" t="inlineStr">
        <is>
          <t>010126</t>
        </is>
      </c>
      <c r="B2735" s="44" t="inlineStr">
        <is>
          <t>SUPORTE DISJUNTOR TRILHO LISO 20CM</t>
        </is>
      </c>
      <c r="C2735" s="45" t="inlineStr">
        <is>
          <t>MC</t>
        </is>
      </c>
      <c r="D2735" s="45" t="inlineStr">
        <is>
          <t>UN</t>
        </is>
      </c>
      <c r="E2735" s="45" t="inlineStr">
        <is>
          <t>0132</t>
        </is>
      </c>
      <c r="F2735" s="70" t="inlineStr">
        <is>
          <t>Compras</t>
        </is>
      </c>
      <c r="G2735" s="69" t="n">
        <v>0</v>
      </c>
      <c r="H2735" s="172" t="inlineStr">
        <is>
          <t>Não</t>
        </is>
      </c>
      <c r="I2735" s="50" t="n"/>
    </row>
    <row r="2736">
      <c r="A2736" s="40" t="inlineStr">
        <is>
          <t>009351</t>
        </is>
      </c>
      <c r="B2736" s="41" t="inlineStr">
        <is>
          <t>SUPORTE DISJUNTOR TRILHO PERFURADO 10CM</t>
        </is>
      </c>
      <c r="C2736" s="42" t="inlineStr">
        <is>
          <t>MC</t>
        </is>
      </c>
      <c r="D2736" s="42" t="inlineStr">
        <is>
          <t>UN</t>
        </is>
      </c>
      <c r="E2736" s="42" t="inlineStr">
        <is>
          <t>0132</t>
        </is>
      </c>
      <c r="F2736" s="70" t="inlineStr">
        <is>
          <t>Compras</t>
        </is>
      </c>
      <c r="G2736" s="68" t="n">
        <v>0</v>
      </c>
      <c r="H2736" s="172" t="inlineStr">
        <is>
          <t>Não</t>
        </is>
      </c>
      <c r="I2736" s="49" t="n"/>
    </row>
    <row r="2737">
      <c r="A2737" s="43" t="inlineStr">
        <is>
          <t>001939</t>
        </is>
      </c>
      <c r="B2737" s="44" t="inlineStr">
        <is>
          <t>SUPORTE PARA EXTINTOR</t>
        </is>
      </c>
      <c r="C2737" s="45" t="inlineStr">
        <is>
          <t>MC</t>
        </is>
      </c>
      <c r="D2737" s="45" t="inlineStr">
        <is>
          <t>UN</t>
        </is>
      </c>
      <c r="E2737" s="45" t="inlineStr">
        <is>
          <t>0132</t>
        </is>
      </c>
      <c r="F2737" s="70" t="inlineStr">
        <is>
          <t>Compras</t>
        </is>
      </c>
      <c r="G2737" s="66" t="n">
        <v>35</v>
      </c>
      <c r="H2737" s="172" t="inlineStr">
        <is>
          <t>Não</t>
        </is>
      </c>
      <c r="I2737" s="50" t="n"/>
    </row>
    <row r="2738">
      <c r="A2738" s="40" t="inlineStr">
        <is>
          <t>009915</t>
        </is>
      </c>
      <c r="B2738" s="41" t="inlineStr">
        <is>
          <t>SUPORTE PARA INTERRUPTOR 4X2</t>
        </is>
      </c>
      <c r="C2738" s="42" t="inlineStr">
        <is>
          <t>MC</t>
        </is>
      </c>
      <c r="D2738" s="42" t="inlineStr">
        <is>
          <t>UN</t>
        </is>
      </c>
      <c r="E2738" s="42" t="inlineStr">
        <is>
          <t>0132</t>
        </is>
      </c>
      <c r="F2738" s="70" t="inlineStr">
        <is>
          <t>Compras</t>
        </is>
      </c>
      <c r="G2738" s="68" t="n">
        <v>0</v>
      </c>
      <c r="H2738" s="172" t="inlineStr">
        <is>
          <t>Não</t>
        </is>
      </c>
      <c r="I2738" s="49" t="n"/>
    </row>
    <row r="2739">
      <c r="A2739" s="43" t="inlineStr">
        <is>
          <t>009815</t>
        </is>
      </c>
      <c r="B2739" s="44" t="inlineStr">
        <is>
          <t>SUPORTE PARA NOTEBOOK</t>
        </is>
      </c>
      <c r="C2739" s="45" t="inlineStr">
        <is>
          <t>MC</t>
        </is>
      </c>
      <c r="D2739" s="45" t="inlineStr">
        <is>
          <t>UN</t>
        </is>
      </c>
      <c r="E2739" s="45" t="inlineStr">
        <is>
          <t>0006</t>
        </is>
      </c>
      <c r="F2739" s="70" t="inlineStr">
        <is>
          <t>Compras</t>
        </is>
      </c>
      <c r="G2739" s="69" t="n">
        <v>0</v>
      </c>
      <c r="H2739" s="172" t="inlineStr">
        <is>
          <t>Não</t>
        </is>
      </c>
      <c r="I2739" s="50" t="n"/>
    </row>
    <row r="2740">
      <c r="A2740" s="40" t="inlineStr">
        <is>
          <t>000642</t>
        </is>
      </c>
      <c r="B2740" s="41" t="inlineStr">
        <is>
          <t>SUPORTE PARA TELEVISAO</t>
        </is>
      </c>
      <c r="C2740" s="42" t="inlineStr">
        <is>
          <t>MC</t>
        </is>
      </c>
      <c r="D2740" s="42" t="inlineStr">
        <is>
          <t>UN</t>
        </is>
      </c>
      <c r="E2740" s="42" t="inlineStr">
        <is>
          <t>0066</t>
        </is>
      </c>
      <c r="F2740" s="70" t="inlineStr">
        <is>
          <t>Compras</t>
        </is>
      </c>
      <c r="G2740" s="68" t="n">
        <v>0</v>
      </c>
      <c r="H2740" s="173" t="inlineStr">
        <is>
          <t>Sim</t>
        </is>
      </c>
      <c r="I2740" s="49" t="n"/>
    </row>
    <row r="2741">
      <c r="A2741" s="43" t="inlineStr">
        <is>
          <t>010336</t>
        </is>
      </c>
      <c r="B2741" s="44" t="inlineStr">
        <is>
          <t>SUPORTE PLASTICO P/ FILTRO MAQ. DE GELO 5 X  2.1/2</t>
        </is>
      </c>
      <c r="C2741" s="45" t="inlineStr">
        <is>
          <t>MC</t>
        </is>
      </c>
      <c r="D2741" s="45" t="inlineStr">
        <is>
          <t>UN</t>
        </is>
      </c>
      <c r="E2741" s="45" t="inlineStr">
        <is>
          <t>0132</t>
        </is>
      </c>
      <c r="F2741" s="70" t="inlineStr">
        <is>
          <t>Compras</t>
        </is>
      </c>
      <c r="G2741" s="66" t="n">
        <v>20</v>
      </c>
      <c r="H2741" s="172" t="inlineStr">
        <is>
          <t>Não</t>
        </is>
      </c>
      <c r="I2741" s="50" t="n"/>
    </row>
    <row r="2742">
      <c r="A2742" s="40" t="inlineStr">
        <is>
          <t>010116</t>
        </is>
      </c>
      <c r="B2742" s="41" t="inlineStr">
        <is>
          <t>SUPORTE SERRA COPO ACO 13MM(1/2) 32A210MM</t>
        </is>
      </c>
      <c r="C2742" s="42" t="inlineStr">
        <is>
          <t>MC</t>
        </is>
      </c>
      <c r="D2742" s="42" t="inlineStr">
        <is>
          <t>UN</t>
        </is>
      </c>
      <c r="E2742" s="42" t="inlineStr">
        <is>
          <t>0132</t>
        </is>
      </c>
      <c r="F2742" s="70" t="inlineStr">
        <is>
          <t>Compras</t>
        </is>
      </c>
      <c r="G2742" s="68" t="n">
        <v>0</v>
      </c>
      <c r="H2742" s="172" t="inlineStr">
        <is>
          <t>Não</t>
        </is>
      </c>
      <c r="I2742" s="49" t="n"/>
    </row>
    <row r="2743">
      <c r="A2743" s="43" t="inlineStr">
        <is>
          <t>001919</t>
        </is>
      </c>
      <c r="B2743" s="44" t="inlineStr">
        <is>
          <t>SUR LORANGE 750 ML APTK</t>
        </is>
      </c>
      <c r="C2743" s="45" t="inlineStr">
        <is>
          <t>ME</t>
        </is>
      </c>
      <c r="D2743" s="45" t="inlineStr">
        <is>
          <t>LT</t>
        </is>
      </c>
      <c r="E2743" s="45" t="inlineStr">
        <is>
          <t>0138</t>
        </is>
      </c>
      <c r="F2743" s="70" t="inlineStr">
        <is>
          <t>Compras</t>
        </is>
      </c>
      <c r="G2743" s="66" t="n">
        <v>66.66670000000001</v>
      </c>
      <c r="H2743" s="172" t="inlineStr">
        <is>
          <t>Não</t>
        </is>
      </c>
      <c r="I2743" s="50" t="n"/>
    </row>
    <row r="2744">
      <c r="A2744" s="40" t="inlineStr">
        <is>
          <t>000413</t>
        </is>
      </c>
      <c r="B2744" s="41" t="inlineStr">
        <is>
          <t>TABASCO RED PEPPER 60ML</t>
        </is>
      </c>
      <c r="C2744" s="42" t="inlineStr">
        <is>
          <t>MP</t>
        </is>
      </c>
      <c r="D2744" s="42" t="inlineStr">
        <is>
          <t>UN</t>
        </is>
      </c>
      <c r="E2744" s="42" t="inlineStr">
        <is>
          <t>0029</t>
        </is>
      </c>
      <c r="F2744" s="70" t="inlineStr">
        <is>
          <t>Compras</t>
        </is>
      </c>
      <c r="G2744" s="71" t="n">
        <v>21.9</v>
      </c>
      <c r="H2744" s="172" t="inlineStr">
        <is>
          <t>Não</t>
        </is>
      </c>
      <c r="I2744" s="49" t="n"/>
    </row>
    <row r="2745">
      <c r="A2745" s="43" t="inlineStr">
        <is>
          <t>000726</t>
        </is>
      </c>
      <c r="B2745" s="44" t="inlineStr">
        <is>
          <t>TABLET</t>
        </is>
      </c>
      <c r="C2745" s="45" t="inlineStr">
        <is>
          <t>AI</t>
        </is>
      </c>
      <c r="D2745" s="45" t="inlineStr">
        <is>
          <t>UN</t>
        </is>
      </c>
      <c r="E2745" s="45" t="inlineStr">
        <is>
          <t>0006</t>
        </is>
      </c>
      <c r="F2745" s="70" t="inlineStr">
        <is>
          <t>Compras</t>
        </is>
      </c>
      <c r="G2745" s="69" t="n">
        <v>0</v>
      </c>
      <c r="H2745" s="173" t="inlineStr">
        <is>
          <t>Sim</t>
        </is>
      </c>
      <c r="I2745" s="50" t="n"/>
    </row>
    <row r="2746">
      <c r="A2746" s="40" t="inlineStr">
        <is>
          <t>001080</t>
        </is>
      </c>
      <c r="B2746" s="41" t="inlineStr">
        <is>
          <t>TABUA CHURRASCO 400X240MM</t>
        </is>
      </c>
      <c r="C2746" s="42" t="inlineStr">
        <is>
          <t>MR</t>
        </is>
      </c>
      <c r="D2746" s="42" t="inlineStr">
        <is>
          <t>UN</t>
        </is>
      </c>
      <c r="E2746" s="42" t="inlineStr">
        <is>
          <t>0107</t>
        </is>
      </c>
      <c r="F2746" s="65" t="inlineStr">
        <is>
          <t>Venda</t>
        </is>
      </c>
      <c r="G2746" s="68" t="n">
        <v>0</v>
      </c>
      <c r="H2746" s="173" t="inlineStr">
        <is>
          <t>Sim</t>
        </is>
      </c>
      <c r="I2746" s="49" t="n"/>
    </row>
    <row r="2747">
      <c r="A2747" s="43" t="inlineStr">
        <is>
          <t>000581</t>
        </is>
      </c>
      <c r="B2747" s="44" t="inlineStr">
        <is>
          <t>TABUA DE CORTE AMARELA 50X30X1</t>
        </is>
      </c>
      <c r="C2747" s="45" t="inlineStr">
        <is>
          <t>MC</t>
        </is>
      </c>
      <c r="D2747" s="45" t="inlineStr">
        <is>
          <t>UN</t>
        </is>
      </c>
      <c r="E2747" s="45" t="inlineStr">
        <is>
          <t>0080</t>
        </is>
      </c>
      <c r="F2747" s="70" t="inlineStr">
        <is>
          <t>Compras</t>
        </is>
      </c>
      <c r="G2747" s="66" t="n">
        <v>98</v>
      </c>
      <c r="H2747" s="172" t="inlineStr">
        <is>
          <t>Não</t>
        </is>
      </c>
      <c r="I2747" s="50" t="n"/>
    </row>
    <row r="2748">
      <c r="A2748" s="40" t="inlineStr">
        <is>
          <t>001143</t>
        </is>
      </c>
      <c r="B2748" s="41" t="inlineStr">
        <is>
          <t>TABUA DE CORTE AZUL 50X30X1,5</t>
        </is>
      </c>
      <c r="C2748" s="42" t="inlineStr">
        <is>
          <t>MC</t>
        </is>
      </c>
      <c r="D2748" s="42" t="inlineStr">
        <is>
          <t>UN</t>
        </is>
      </c>
      <c r="E2748" s="42" t="inlineStr">
        <is>
          <t>0080</t>
        </is>
      </c>
      <c r="F2748" s="70" t="inlineStr">
        <is>
          <t>Compras</t>
        </is>
      </c>
      <c r="G2748" s="68" t="n">
        <v>0</v>
      </c>
      <c r="H2748" s="172" t="inlineStr">
        <is>
          <t>Não</t>
        </is>
      </c>
      <c r="I2748" s="49" t="n"/>
    </row>
    <row r="2749">
      <c r="A2749" s="43" t="inlineStr">
        <is>
          <t>000580</t>
        </is>
      </c>
      <c r="B2749" s="44" t="inlineStr">
        <is>
          <t>TABUA DE CORTE BRANCA 50X30X1,</t>
        </is>
      </c>
      <c r="C2749" s="45" t="inlineStr">
        <is>
          <t>MC</t>
        </is>
      </c>
      <c r="D2749" s="45" t="inlineStr">
        <is>
          <t>UN</t>
        </is>
      </c>
      <c r="E2749" s="45" t="inlineStr">
        <is>
          <t>0080</t>
        </is>
      </c>
      <c r="F2749" s="70" t="inlineStr">
        <is>
          <t>Compras</t>
        </is>
      </c>
      <c r="G2749" s="66" t="n">
        <v>89</v>
      </c>
      <c r="H2749" s="172" t="inlineStr">
        <is>
          <t>Não</t>
        </is>
      </c>
      <c r="I2749" s="50" t="n"/>
    </row>
    <row r="2750">
      <c r="A2750" s="40" t="inlineStr">
        <is>
          <t>000582</t>
        </is>
      </c>
      <c r="B2750" s="41" t="inlineStr">
        <is>
          <t>TABUA DE CORTE VERDE 50X30X1,5</t>
        </is>
      </c>
      <c r="C2750" s="42" t="inlineStr">
        <is>
          <t>MC</t>
        </is>
      </c>
      <c r="D2750" s="42" t="inlineStr">
        <is>
          <t>UN</t>
        </is>
      </c>
      <c r="E2750" s="42" t="inlineStr">
        <is>
          <t>0080</t>
        </is>
      </c>
      <c r="F2750" s="70" t="inlineStr">
        <is>
          <t>Compras</t>
        </is>
      </c>
      <c r="G2750" s="71" t="n">
        <v>98</v>
      </c>
      <c r="H2750" s="172" t="inlineStr">
        <is>
          <t>Não</t>
        </is>
      </c>
      <c r="I2750" s="49" t="n"/>
    </row>
    <row r="2751">
      <c r="A2751" s="43" t="inlineStr">
        <is>
          <t>000583</t>
        </is>
      </c>
      <c r="B2751" s="44" t="inlineStr">
        <is>
          <t>TABUA DE CORTE VERMELHA 50X30X</t>
        </is>
      </c>
      <c r="C2751" s="45" t="inlineStr">
        <is>
          <t>MC</t>
        </is>
      </c>
      <c r="D2751" s="45" t="inlineStr">
        <is>
          <t>UN</t>
        </is>
      </c>
      <c r="E2751" s="45" t="inlineStr">
        <is>
          <t>0080</t>
        </is>
      </c>
      <c r="F2751" s="70" t="inlineStr">
        <is>
          <t>Compras</t>
        </is>
      </c>
      <c r="G2751" s="66" t="n">
        <v>98</v>
      </c>
      <c r="H2751" s="172" t="inlineStr">
        <is>
          <t>Não</t>
        </is>
      </c>
      <c r="I2751" s="50" t="n"/>
    </row>
    <row r="2752">
      <c r="A2752" s="40" t="inlineStr">
        <is>
          <t>000552</t>
        </is>
      </c>
      <c r="B2752" s="41" t="inlineStr">
        <is>
          <t>TABUA DE PICANHA 45X45</t>
        </is>
      </c>
      <c r="C2752" s="42" t="inlineStr">
        <is>
          <t>MC</t>
        </is>
      </c>
      <c r="D2752" s="42" t="inlineStr">
        <is>
          <t>UN</t>
        </is>
      </c>
      <c r="E2752" s="42" t="inlineStr">
        <is>
          <t>0079</t>
        </is>
      </c>
      <c r="F2752" s="70" t="inlineStr">
        <is>
          <t>Compras</t>
        </is>
      </c>
      <c r="G2752" s="71" t="n">
        <v>95</v>
      </c>
      <c r="H2752" s="172" t="inlineStr">
        <is>
          <t>Não</t>
        </is>
      </c>
      <c r="I2752" s="49" t="n"/>
    </row>
    <row r="2753">
      <c r="A2753" s="43" t="inlineStr">
        <is>
          <t>009659</t>
        </is>
      </c>
      <c r="B2753" s="44" t="inlineStr">
        <is>
          <t>TABUA PINUS 30CM X 3 MTS</t>
        </is>
      </c>
      <c r="C2753" s="45" t="inlineStr">
        <is>
          <t>MC</t>
        </is>
      </c>
      <c r="D2753" s="45" t="inlineStr">
        <is>
          <t>MT</t>
        </is>
      </c>
      <c r="E2753" s="45" t="inlineStr">
        <is>
          <t>0132</t>
        </is>
      </c>
      <c r="F2753" s="70" t="inlineStr">
        <is>
          <t>Compras</t>
        </is>
      </c>
      <c r="G2753" s="66" t="n">
        <v>31.9</v>
      </c>
      <c r="H2753" s="172" t="inlineStr">
        <is>
          <t>Não</t>
        </is>
      </c>
      <c r="I2753" s="50" t="n"/>
    </row>
    <row r="2754">
      <c r="A2754" s="40" t="inlineStr">
        <is>
          <t>000714</t>
        </is>
      </c>
      <c r="B2754" s="41" t="inlineStr">
        <is>
          <t>TACA ACRILICO</t>
        </is>
      </c>
      <c r="C2754" s="42" t="inlineStr">
        <is>
          <t>MC</t>
        </is>
      </c>
      <c r="D2754" s="42" t="inlineStr">
        <is>
          <t>UN</t>
        </is>
      </c>
      <c r="E2754" s="42" t="inlineStr">
        <is>
          <t>0079</t>
        </is>
      </c>
      <c r="F2754" s="70" t="inlineStr">
        <is>
          <t>Compras</t>
        </is>
      </c>
      <c r="G2754" s="71" t="n">
        <v>8.15</v>
      </c>
      <c r="H2754" s="172" t="inlineStr">
        <is>
          <t>Não</t>
        </is>
      </c>
      <c r="I2754" s="49" t="n"/>
    </row>
    <row r="2755">
      <c r="A2755" s="43" t="inlineStr">
        <is>
          <t>000713</t>
        </is>
      </c>
      <c r="B2755" s="44" t="inlineStr">
        <is>
          <t>TACA BARONE</t>
        </is>
      </c>
      <c r="C2755" s="45" t="inlineStr">
        <is>
          <t>MC</t>
        </is>
      </c>
      <c r="D2755" s="45" t="inlineStr">
        <is>
          <t>UN</t>
        </is>
      </c>
      <c r="E2755" s="45" t="inlineStr">
        <is>
          <t>0079</t>
        </is>
      </c>
      <c r="F2755" s="70" t="inlineStr">
        <is>
          <t>Compras</t>
        </is>
      </c>
      <c r="G2755" s="66" t="n">
        <v>11.625</v>
      </c>
      <c r="H2755" s="172" t="inlineStr">
        <is>
          <t>Não</t>
        </is>
      </c>
      <c r="I2755" s="50" t="n"/>
    </row>
    <row r="2756">
      <c r="A2756" s="40" t="inlineStr">
        <is>
          <t>001662</t>
        </is>
      </c>
      <c r="B2756" s="41" t="inlineStr">
        <is>
          <t>TACA BELGICA -PERSONALIZADA QE</t>
        </is>
      </c>
      <c r="C2756" s="42" t="inlineStr">
        <is>
          <t>MC</t>
        </is>
      </c>
      <c r="D2756" s="42" t="inlineStr">
        <is>
          <t>UN</t>
        </is>
      </c>
      <c r="E2756" s="42" t="inlineStr">
        <is>
          <t>0079</t>
        </is>
      </c>
      <c r="F2756" s="70" t="inlineStr">
        <is>
          <t>Compras</t>
        </is>
      </c>
      <c r="G2756" s="71" t="n">
        <v>9.970000000000001</v>
      </c>
      <c r="H2756" s="172" t="inlineStr">
        <is>
          <t>Não</t>
        </is>
      </c>
      <c r="I2756" s="49" t="n"/>
    </row>
    <row r="2757">
      <c r="A2757" s="43" t="inlineStr">
        <is>
          <t>001416</t>
        </is>
      </c>
      <c r="B2757" s="44" t="inlineStr">
        <is>
          <t>TACA BELGICA QUINTAL DO ESPETO</t>
        </is>
      </c>
      <c r="C2757" s="45" t="inlineStr">
        <is>
          <t>MC</t>
        </is>
      </c>
      <c r="D2757" s="45" t="inlineStr">
        <is>
          <t>UN</t>
        </is>
      </c>
      <c r="E2757" s="45" t="inlineStr">
        <is>
          <t>0079</t>
        </is>
      </c>
      <c r="F2757" s="70" t="inlineStr">
        <is>
          <t>Compras</t>
        </is>
      </c>
      <c r="G2757" s="69" t="n">
        <v>0</v>
      </c>
      <c r="H2757" s="172" t="inlineStr">
        <is>
          <t>Não</t>
        </is>
      </c>
      <c r="I2757" s="50" t="n"/>
    </row>
    <row r="2758">
      <c r="A2758" s="40" t="inlineStr">
        <is>
          <t>001515</t>
        </is>
      </c>
      <c r="B2758" s="41" t="inlineStr">
        <is>
          <t>TACA CHAMPANHE</t>
        </is>
      </c>
      <c r="C2758" s="42" t="inlineStr">
        <is>
          <t>MC</t>
        </is>
      </c>
      <c r="D2758" s="42" t="inlineStr">
        <is>
          <t>UN</t>
        </is>
      </c>
      <c r="E2758" s="42" t="inlineStr">
        <is>
          <t>0079</t>
        </is>
      </c>
      <c r="F2758" s="70" t="inlineStr">
        <is>
          <t>Compras</t>
        </is>
      </c>
      <c r="G2758" s="71" t="n">
        <v>9.08</v>
      </c>
      <c r="H2758" s="172" t="inlineStr">
        <is>
          <t>Não</t>
        </is>
      </c>
      <c r="I2758" s="49" t="n"/>
    </row>
    <row r="2759">
      <c r="A2759" s="43" t="inlineStr">
        <is>
          <t>000532</t>
        </is>
      </c>
      <c r="B2759" s="44" t="inlineStr">
        <is>
          <t>TACA MARGUERITA 335 ML</t>
        </is>
      </c>
      <c r="C2759" s="45" t="inlineStr">
        <is>
          <t>MC</t>
        </is>
      </c>
      <c r="D2759" s="45" t="inlineStr">
        <is>
          <t>UN</t>
        </is>
      </c>
      <c r="E2759" s="45" t="inlineStr">
        <is>
          <t>0079</t>
        </is>
      </c>
      <c r="F2759" s="70" t="inlineStr">
        <is>
          <t>Compras</t>
        </is>
      </c>
      <c r="G2759" s="66" t="n">
        <v>14.1667</v>
      </c>
      <c r="H2759" s="172" t="inlineStr">
        <is>
          <t>Não</t>
        </is>
      </c>
      <c r="I2759" s="50" t="n"/>
    </row>
    <row r="2760">
      <c r="A2760" s="40" t="inlineStr">
        <is>
          <t>000531</t>
        </is>
      </c>
      <c r="B2760" s="41" t="inlineStr">
        <is>
          <t>TACA VINHO BRANCO 385 ML</t>
        </is>
      </c>
      <c r="C2760" s="42" t="inlineStr">
        <is>
          <t>MC</t>
        </is>
      </c>
      <c r="D2760" s="42" t="inlineStr">
        <is>
          <t>UN</t>
        </is>
      </c>
      <c r="E2760" s="42" t="inlineStr">
        <is>
          <t>0079</t>
        </is>
      </c>
      <c r="F2760" s="70" t="inlineStr">
        <is>
          <t>Compras</t>
        </is>
      </c>
      <c r="G2760" s="68" t="n">
        <v>0</v>
      </c>
      <c r="H2760" s="172" t="inlineStr">
        <is>
          <t>Não</t>
        </is>
      </c>
      <c r="I2760" s="49" t="n"/>
    </row>
    <row r="2761">
      <c r="A2761" s="43" t="inlineStr">
        <is>
          <t>000530</t>
        </is>
      </c>
      <c r="B2761" s="44" t="inlineStr">
        <is>
          <t>TACA VINHO TINTO 490 ML</t>
        </is>
      </c>
      <c r="C2761" s="45" t="inlineStr">
        <is>
          <t>MC</t>
        </is>
      </c>
      <c r="D2761" s="45" t="inlineStr">
        <is>
          <t>UN</t>
        </is>
      </c>
      <c r="E2761" s="45" t="inlineStr">
        <is>
          <t>0079</t>
        </is>
      </c>
      <c r="F2761" s="70" t="inlineStr">
        <is>
          <t>Compras</t>
        </is>
      </c>
      <c r="G2761" s="66" t="n">
        <v>11.625</v>
      </c>
      <c r="H2761" s="172" t="inlineStr">
        <is>
          <t>Não</t>
        </is>
      </c>
      <c r="I2761" s="50" t="n"/>
    </row>
    <row r="2762">
      <c r="A2762" s="40" t="inlineStr">
        <is>
          <t>009313</t>
        </is>
      </c>
      <c r="B2762" s="41" t="inlineStr">
        <is>
          <t>TAMPA CONDULETE ALUMINIO 1/2-3/4 S/PINTURA</t>
        </is>
      </c>
      <c r="C2762" s="42" t="inlineStr">
        <is>
          <t>MC</t>
        </is>
      </c>
      <c r="D2762" s="42" t="inlineStr">
        <is>
          <t>UN</t>
        </is>
      </c>
      <c r="E2762" s="42" t="inlineStr">
        <is>
          <t>0132</t>
        </is>
      </c>
      <c r="F2762" s="70" t="inlineStr">
        <is>
          <t>Compras</t>
        </is>
      </c>
      <c r="G2762" s="71" t="n">
        <v>9.300000000000001</v>
      </c>
      <c r="H2762" s="172" t="inlineStr">
        <is>
          <t>Não</t>
        </is>
      </c>
      <c r="I2762" s="49" t="n"/>
    </row>
    <row r="2763">
      <c r="A2763" s="43" t="inlineStr">
        <is>
          <t>009427</t>
        </is>
      </c>
      <c r="B2763" s="44" t="inlineStr">
        <is>
          <t>TAMPA CONDULETE ALUMINIO 1/2-3/4 S/PINTURA CEGA</t>
        </is>
      </c>
      <c r="C2763" s="45" t="inlineStr">
        <is>
          <t>MC</t>
        </is>
      </c>
      <c r="D2763" s="45" t="inlineStr">
        <is>
          <t>UN</t>
        </is>
      </c>
      <c r="E2763" s="45" t="inlineStr">
        <is>
          <t>0132</t>
        </is>
      </c>
      <c r="F2763" s="70" t="inlineStr">
        <is>
          <t>Compras</t>
        </is>
      </c>
      <c r="G2763" s="66" t="n">
        <v>4.57</v>
      </c>
      <c r="H2763" s="172" t="inlineStr">
        <is>
          <t>Não</t>
        </is>
      </c>
      <c r="I2763" s="50" t="n"/>
    </row>
    <row r="2764">
      <c r="A2764" s="40" t="inlineStr">
        <is>
          <t>001182</t>
        </is>
      </c>
      <c r="B2764" s="41" t="inlineStr">
        <is>
          <t>TAMPA DOURADA 31 MM</t>
        </is>
      </c>
      <c r="C2764" s="42" t="inlineStr">
        <is>
          <t>MC</t>
        </is>
      </c>
      <c r="D2764" s="42" t="inlineStr">
        <is>
          <t>UN</t>
        </is>
      </c>
      <c r="E2764" s="42" t="inlineStr">
        <is>
          <t>0075</t>
        </is>
      </c>
      <c r="F2764" s="70" t="inlineStr">
        <is>
          <t>Compras</t>
        </is>
      </c>
      <c r="G2764" s="71" t="n">
        <v>10.9</v>
      </c>
      <c r="H2764" s="172" t="inlineStr">
        <is>
          <t>Não</t>
        </is>
      </c>
      <c r="I2764" s="49" t="n"/>
    </row>
    <row r="2765">
      <c r="A2765" s="43" t="inlineStr">
        <is>
          <t>009941</t>
        </is>
      </c>
      <c r="B2765" s="44" t="inlineStr">
        <is>
          <t>TAMPA LATERAL DIREITA AR CONDICIONADO PISO TETO</t>
        </is>
      </c>
      <c r="C2765" s="45" t="inlineStr">
        <is>
          <t>MC</t>
        </is>
      </c>
      <c r="D2765" s="45" t="inlineStr">
        <is>
          <t>UN</t>
        </is>
      </c>
      <c r="E2765" s="45" t="inlineStr">
        <is>
          <t>0132</t>
        </is>
      </c>
      <c r="F2765" s="70" t="inlineStr">
        <is>
          <t>Compras</t>
        </is>
      </c>
      <c r="G2765" s="66" t="n">
        <v>98.04000000000001</v>
      </c>
      <c r="H2765" s="172" t="inlineStr">
        <is>
          <t>Não</t>
        </is>
      </c>
      <c r="I2765" s="50" t="n"/>
    </row>
    <row r="2766">
      <c r="A2766" s="40" t="inlineStr">
        <is>
          <t>009942</t>
        </is>
      </c>
      <c r="B2766" s="41" t="inlineStr">
        <is>
          <t>TAMPA LATERAL ESQUERDA AR CONDICIONADO PISTO TETO</t>
        </is>
      </c>
      <c r="C2766" s="42" t="inlineStr">
        <is>
          <t>MC</t>
        </is>
      </c>
      <c r="D2766" s="42" t="inlineStr">
        <is>
          <t>UN</t>
        </is>
      </c>
      <c r="E2766" s="42" t="inlineStr">
        <is>
          <t>0132</t>
        </is>
      </c>
      <c r="F2766" s="70" t="inlineStr">
        <is>
          <t>Compras</t>
        </is>
      </c>
      <c r="G2766" s="71" t="n">
        <v>98.93000000000001</v>
      </c>
      <c r="H2766" s="172" t="inlineStr">
        <is>
          <t>Não</t>
        </is>
      </c>
      <c r="I2766" s="49" t="n"/>
    </row>
    <row r="2767">
      <c r="A2767" s="43" t="inlineStr">
        <is>
          <t>000703</t>
        </is>
      </c>
      <c r="B2767" s="44" t="inlineStr">
        <is>
          <t>TAMPA P/ LIQUIDICADOR</t>
        </is>
      </c>
      <c r="C2767" s="45" t="inlineStr">
        <is>
          <t>MC</t>
        </is>
      </c>
      <c r="D2767" s="45" t="inlineStr">
        <is>
          <t>UN</t>
        </is>
      </c>
      <c r="E2767" s="45" t="inlineStr">
        <is>
          <t>0070</t>
        </is>
      </c>
      <c r="F2767" s="70" t="inlineStr">
        <is>
          <t>Compras</t>
        </is>
      </c>
      <c r="G2767" s="69" t="n">
        <v>0</v>
      </c>
      <c r="H2767" s="173" t="inlineStr">
        <is>
          <t>Sim</t>
        </is>
      </c>
      <c r="I2767" s="50" t="n"/>
    </row>
    <row r="2768">
      <c r="A2768" s="40" t="inlineStr">
        <is>
          <t>010156</t>
        </is>
      </c>
      <c r="B2768" s="41" t="inlineStr">
        <is>
          <t>TAMPA PARA CAIXA D'AGUA</t>
        </is>
      </c>
      <c r="C2768" s="42" t="inlineStr">
        <is>
          <t>MC</t>
        </is>
      </c>
      <c r="D2768" s="42" t="inlineStr">
        <is>
          <t>UN</t>
        </is>
      </c>
      <c r="E2768" s="42" t="inlineStr">
        <is>
          <t>0132</t>
        </is>
      </c>
      <c r="F2768" s="70" t="inlineStr">
        <is>
          <t>Compras</t>
        </is>
      </c>
      <c r="G2768" s="71" t="n">
        <v>749</v>
      </c>
      <c r="H2768" s="172" t="inlineStr">
        <is>
          <t>Não</t>
        </is>
      </c>
      <c r="I2768" s="49" t="n"/>
    </row>
    <row r="2769">
      <c r="A2769" s="43" t="inlineStr">
        <is>
          <t>000641</t>
        </is>
      </c>
      <c r="B2769" s="44" t="inlineStr">
        <is>
          <t>TAMPA POTE 120 ML</t>
        </is>
      </c>
      <c r="C2769" s="45" t="inlineStr">
        <is>
          <t>MC</t>
        </is>
      </c>
      <c r="D2769" s="45" t="inlineStr">
        <is>
          <t>UN</t>
        </is>
      </c>
      <c r="E2769" s="45" t="inlineStr">
        <is>
          <t>0014</t>
        </is>
      </c>
      <c r="F2769" s="70" t="inlineStr">
        <is>
          <t>Compras</t>
        </is>
      </c>
      <c r="G2769" s="69" t="n">
        <v>0</v>
      </c>
      <c r="H2769" s="172" t="inlineStr">
        <is>
          <t>Não</t>
        </is>
      </c>
      <c r="I2769" s="50" t="n"/>
    </row>
    <row r="2770">
      <c r="A2770" s="40" t="inlineStr">
        <is>
          <t>000496</t>
        </is>
      </c>
      <c r="B2770" s="41" t="inlineStr">
        <is>
          <t>TANGERINA MURCOT FRUTA</t>
        </is>
      </c>
      <c r="C2770" s="42" t="inlineStr">
        <is>
          <t>MP</t>
        </is>
      </c>
      <c r="D2770" s="42" t="inlineStr">
        <is>
          <t>KG</t>
        </is>
      </c>
      <c r="E2770" s="42" t="inlineStr">
        <is>
          <t>0036</t>
        </is>
      </c>
      <c r="F2770" s="70" t="inlineStr">
        <is>
          <t>Compras</t>
        </is>
      </c>
      <c r="G2770" s="71" t="n">
        <v>8.9</v>
      </c>
      <c r="H2770" s="172" t="inlineStr">
        <is>
          <t>Não</t>
        </is>
      </c>
      <c r="I2770" s="49" t="n"/>
    </row>
    <row r="2771">
      <c r="A2771" s="43" t="inlineStr">
        <is>
          <t>000495</t>
        </is>
      </c>
      <c r="B2771" s="44" t="inlineStr">
        <is>
          <t>TANGERINA PONCAM FRUTA</t>
        </is>
      </c>
      <c r="C2771" s="45" t="inlineStr">
        <is>
          <t>MP</t>
        </is>
      </c>
      <c r="D2771" s="45" t="inlineStr">
        <is>
          <t>KG</t>
        </is>
      </c>
      <c r="E2771" s="45" t="inlineStr">
        <is>
          <t>0036</t>
        </is>
      </c>
      <c r="F2771" s="70" t="inlineStr">
        <is>
          <t>Compras</t>
        </is>
      </c>
      <c r="G2771" s="66" t="n">
        <v>9.67</v>
      </c>
      <c r="H2771" s="172" t="inlineStr">
        <is>
          <t>Não</t>
        </is>
      </c>
      <c r="I2771" s="50" t="n"/>
    </row>
    <row r="2772">
      <c r="A2772" s="40" t="inlineStr">
        <is>
          <t>001406</t>
        </is>
      </c>
      <c r="B2772" s="41" t="inlineStr">
        <is>
          <t>TANQUERAY ANIVERSARIANTE</t>
        </is>
      </c>
      <c r="C2772" s="42" t="inlineStr">
        <is>
          <t>OI</t>
        </is>
      </c>
      <c r="D2772" s="42" t="inlineStr">
        <is>
          <t>UN</t>
        </is>
      </c>
      <c r="E2772" s="42" t="inlineStr">
        <is>
          <t>0101</t>
        </is>
      </c>
      <c r="F2772" s="65" t="inlineStr">
        <is>
          <t>Venda</t>
        </is>
      </c>
      <c r="G2772" s="68" t="n">
        <v>0</v>
      </c>
      <c r="H2772" s="172" t="inlineStr">
        <is>
          <t>Não</t>
        </is>
      </c>
      <c r="I2772" s="47" t="inlineStr">
        <is>
          <t>7898905687510</t>
        </is>
      </c>
    </row>
    <row r="2773">
      <c r="A2773" s="43" t="inlineStr">
        <is>
          <t>009912</t>
        </is>
      </c>
      <c r="B2773" s="44" t="inlineStr">
        <is>
          <t>TAPA FURO 25MM</t>
        </is>
      </c>
      <c r="C2773" s="45" t="inlineStr">
        <is>
          <t>MC</t>
        </is>
      </c>
      <c r="D2773" s="45" t="inlineStr">
        <is>
          <t>UN</t>
        </is>
      </c>
      <c r="E2773" s="45" t="inlineStr">
        <is>
          <t>0132</t>
        </is>
      </c>
      <c r="F2773" s="70" t="inlineStr">
        <is>
          <t>Compras</t>
        </is>
      </c>
      <c r="G2773" s="66" t="n">
        <v>14</v>
      </c>
      <c r="H2773" s="172" t="inlineStr">
        <is>
          <t>Não</t>
        </is>
      </c>
      <c r="I2773" s="50" t="n"/>
    </row>
    <row r="2774">
      <c r="A2774" s="40" t="inlineStr">
        <is>
          <t>009775</t>
        </is>
      </c>
      <c r="B2774" s="41" t="inlineStr">
        <is>
          <t>TAPETE DE BORRACHA PARA RECEPÇÃO</t>
        </is>
      </c>
      <c r="C2774" s="42" t="inlineStr">
        <is>
          <t>MC</t>
        </is>
      </c>
      <c r="D2774" s="42" t="inlineStr">
        <is>
          <t>UN</t>
        </is>
      </c>
      <c r="E2774" s="42" t="inlineStr">
        <is>
          <t>0132</t>
        </is>
      </c>
      <c r="F2774" s="70" t="inlineStr">
        <is>
          <t>Compras</t>
        </is>
      </c>
      <c r="G2774" s="68" t="n">
        <v>0</v>
      </c>
      <c r="H2774" s="172" t="inlineStr">
        <is>
          <t>Não</t>
        </is>
      </c>
      <c r="I2774" s="49" t="n"/>
    </row>
    <row r="2775">
      <c r="A2775" s="43" t="inlineStr">
        <is>
          <t>002232</t>
        </is>
      </c>
      <c r="B2775" s="44" t="inlineStr">
        <is>
          <t>TAPETE DE BORRACHA PRETO PARA BAR</t>
        </is>
      </c>
      <c r="C2775" s="45" t="inlineStr">
        <is>
          <t>MC</t>
        </is>
      </c>
      <c r="D2775" s="45" t="inlineStr">
        <is>
          <t>UN</t>
        </is>
      </c>
      <c r="E2775" s="45" t="inlineStr">
        <is>
          <t>0079</t>
        </is>
      </c>
      <c r="F2775" s="70" t="inlineStr">
        <is>
          <t>Compras</t>
        </is>
      </c>
      <c r="G2775" s="66" t="n">
        <v>14.8</v>
      </c>
      <c r="H2775" s="172" t="inlineStr">
        <is>
          <t>Não</t>
        </is>
      </c>
      <c r="I2775" s="50" t="n"/>
    </row>
    <row r="2776">
      <c r="A2776" s="40" t="inlineStr">
        <is>
          <t>009512</t>
        </is>
      </c>
      <c r="B2776" s="41" t="inlineStr">
        <is>
          <t>TATAME EVA 100X100X10MM</t>
        </is>
      </c>
      <c r="C2776" s="42" t="inlineStr">
        <is>
          <t>MC</t>
        </is>
      </c>
      <c r="D2776" s="42" t="inlineStr">
        <is>
          <t>UN</t>
        </is>
      </c>
      <c r="E2776" s="42" t="inlineStr">
        <is>
          <t>0134</t>
        </is>
      </c>
      <c r="F2776" s="70" t="inlineStr">
        <is>
          <t>Compras</t>
        </is>
      </c>
      <c r="G2776" s="71" t="n">
        <v>29.99</v>
      </c>
      <c r="H2776" s="172" t="inlineStr">
        <is>
          <t>Não</t>
        </is>
      </c>
      <c r="I2776" s="49" t="n"/>
    </row>
    <row r="2777">
      <c r="A2777" s="43" t="inlineStr">
        <is>
          <t>009459</t>
        </is>
      </c>
      <c r="B2777" s="44" t="inlineStr">
        <is>
          <t>TE SOLDAVEL 3/4 25MM</t>
        </is>
      </c>
      <c r="C2777" s="45" t="inlineStr">
        <is>
          <t>MC</t>
        </is>
      </c>
      <c r="D2777" s="45" t="inlineStr">
        <is>
          <t>UN</t>
        </is>
      </c>
      <c r="E2777" s="45" t="inlineStr">
        <is>
          <t>0132</t>
        </is>
      </c>
      <c r="F2777" s="70" t="inlineStr">
        <is>
          <t>Compras</t>
        </is>
      </c>
      <c r="G2777" s="66" t="n">
        <v>18.9</v>
      </c>
      <c r="H2777" s="172" t="inlineStr">
        <is>
          <t>Não</t>
        </is>
      </c>
      <c r="I2777" s="50" t="n"/>
    </row>
    <row r="2778">
      <c r="A2778" s="40" t="inlineStr">
        <is>
          <t>001949</t>
        </is>
      </c>
      <c r="B2778" s="41" t="inlineStr">
        <is>
          <t>TEAJUCA</t>
        </is>
      </c>
      <c r="C2778" s="42" t="inlineStr">
        <is>
          <t>PA</t>
        </is>
      </c>
      <c r="D2778" s="42" t="inlineStr">
        <is>
          <t>UN</t>
        </is>
      </c>
      <c r="E2778" s="42" t="inlineStr">
        <is>
          <t>0119</t>
        </is>
      </c>
      <c r="F2778" s="65" t="inlineStr">
        <is>
          <t>Venda</t>
        </is>
      </c>
      <c r="G2778" s="68" t="n">
        <v>0</v>
      </c>
      <c r="H2778" s="172" t="inlineStr">
        <is>
          <t>Não</t>
        </is>
      </c>
      <c r="I2778" s="47" t="inlineStr">
        <is>
          <t>78989056877227</t>
        </is>
      </c>
    </row>
    <row r="2779">
      <c r="A2779" s="43" t="inlineStr">
        <is>
          <t>000719</t>
        </is>
      </c>
      <c r="B2779" s="44" t="inlineStr">
        <is>
          <t>TECLADO COM FIO</t>
        </is>
      </c>
      <c r="C2779" s="45" t="inlineStr">
        <is>
          <t>MC</t>
        </is>
      </c>
      <c r="D2779" s="45" t="inlineStr">
        <is>
          <t>UN</t>
        </is>
      </c>
      <c r="E2779" s="45" t="inlineStr">
        <is>
          <t>0006</t>
        </is>
      </c>
      <c r="F2779" s="70" t="inlineStr">
        <is>
          <t>Compras</t>
        </is>
      </c>
      <c r="G2779" s="66" t="n">
        <v>229.9</v>
      </c>
      <c r="H2779" s="172" t="inlineStr">
        <is>
          <t>Não</t>
        </is>
      </c>
      <c r="I2779" s="50" t="n"/>
    </row>
    <row r="2780">
      <c r="A2780" s="40" t="inlineStr">
        <is>
          <t>009816</t>
        </is>
      </c>
      <c r="B2780" s="41" t="inlineStr">
        <is>
          <t>TECLADO INTERNO NOTEBOOK</t>
        </is>
      </c>
      <c r="C2780" s="42" t="inlineStr">
        <is>
          <t>MC</t>
        </is>
      </c>
      <c r="D2780" s="42" t="inlineStr">
        <is>
          <t>UN</t>
        </is>
      </c>
      <c r="E2780" s="42" t="inlineStr">
        <is>
          <t>0006</t>
        </is>
      </c>
      <c r="F2780" s="70" t="inlineStr">
        <is>
          <t>Compras</t>
        </is>
      </c>
      <c r="G2780" s="68" t="n">
        <v>0</v>
      </c>
      <c r="H2780" s="172" t="inlineStr">
        <is>
          <t>Não</t>
        </is>
      </c>
      <c r="I2780" s="49" t="n"/>
    </row>
    <row r="2781">
      <c r="A2781" s="43" t="inlineStr">
        <is>
          <t>009977</t>
        </is>
      </c>
      <c r="B2781" s="44" t="inlineStr">
        <is>
          <t>TEE ESGOTO 1 ½ 40MM</t>
        </is>
      </c>
      <c r="C2781" s="45" t="inlineStr">
        <is>
          <t>MC</t>
        </is>
      </c>
      <c r="D2781" s="45" t="inlineStr">
        <is>
          <t>UN</t>
        </is>
      </c>
      <c r="E2781" s="45" t="inlineStr">
        <is>
          <t>0132</t>
        </is>
      </c>
      <c r="F2781" s="70" t="inlineStr">
        <is>
          <t>Compras</t>
        </is>
      </c>
      <c r="G2781" s="66" t="n">
        <v>1.6</v>
      </c>
      <c r="H2781" s="172" t="inlineStr">
        <is>
          <t>Não</t>
        </is>
      </c>
      <c r="I2781" s="50" t="n"/>
    </row>
    <row r="2782">
      <c r="A2782" s="40" t="inlineStr">
        <is>
          <t>010320</t>
        </is>
      </c>
      <c r="B2782" s="41" t="inlineStr">
        <is>
          <t>TEE ESGOTO LIGA FACIL 3" 75MM</t>
        </is>
      </c>
      <c r="C2782" s="42" t="inlineStr">
        <is>
          <t>MC</t>
        </is>
      </c>
      <c r="D2782" s="42" t="inlineStr">
        <is>
          <t>UN</t>
        </is>
      </c>
      <c r="E2782" s="42" t="inlineStr">
        <is>
          <t>0132</t>
        </is>
      </c>
      <c r="F2782" s="70" t="inlineStr">
        <is>
          <t>Compras</t>
        </is>
      </c>
      <c r="G2782" s="71" t="n">
        <v>49.9</v>
      </c>
      <c r="H2782" s="172" t="inlineStr">
        <is>
          <t>Não</t>
        </is>
      </c>
      <c r="I2782" s="49" t="n"/>
    </row>
    <row r="2783">
      <c r="A2783" s="43" t="inlineStr">
        <is>
          <t>000595</t>
        </is>
      </c>
      <c r="B2783" s="44" t="inlineStr">
        <is>
          <t>TELA DE PROJECAO</t>
        </is>
      </c>
      <c r="C2783" s="45" t="inlineStr">
        <is>
          <t>AI</t>
        </is>
      </c>
      <c r="D2783" s="45" t="inlineStr">
        <is>
          <t>UN</t>
        </is>
      </c>
      <c r="E2783" s="45" t="inlineStr">
        <is>
          <t>0006</t>
        </is>
      </c>
      <c r="F2783" s="70" t="inlineStr">
        <is>
          <t>Compras</t>
        </is>
      </c>
      <c r="G2783" s="69" t="n">
        <v>0</v>
      </c>
      <c r="H2783" s="172" t="inlineStr">
        <is>
          <t>Não</t>
        </is>
      </c>
      <c r="I2783" s="50" t="n"/>
    </row>
    <row r="2784">
      <c r="A2784" s="40" t="inlineStr">
        <is>
          <t>009817</t>
        </is>
      </c>
      <c r="B2784" s="41" t="inlineStr">
        <is>
          <t>TELA LED 15 P REPOSICAO</t>
        </is>
      </c>
      <c r="C2784" s="42" t="inlineStr">
        <is>
          <t>MC</t>
        </is>
      </c>
      <c r="D2784" s="42" t="inlineStr">
        <is>
          <t>UN</t>
        </is>
      </c>
      <c r="E2784" s="42" t="inlineStr">
        <is>
          <t>0006</t>
        </is>
      </c>
      <c r="F2784" s="70" t="inlineStr">
        <is>
          <t>Compras</t>
        </is>
      </c>
      <c r="G2784" s="68" t="n">
        <v>0</v>
      </c>
      <c r="H2784" s="172" t="inlineStr">
        <is>
          <t>Não</t>
        </is>
      </c>
      <c r="I2784" s="49" t="n"/>
    </row>
    <row r="2785">
      <c r="A2785" s="43" t="inlineStr">
        <is>
          <t>000101</t>
        </is>
      </c>
      <c r="B2785" s="44" t="inlineStr">
        <is>
          <t>TELA MICTORIO</t>
        </is>
      </c>
      <c r="C2785" s="45" t="inlineStr">
        <is>
          <t>MC</t>
        </is>
      </c>
      <c r="D2785" s="45" t="inlineStr">
        <is>
          <t>UN</t>
        </is>
      </c>
      <c r="E2785" s="45" t="inlineStr">
        <is>
          <t>0075</t>
        </is>
      </c>
      <c r="F2785" s="70" t="inlineStr">
        <is>
          <t>Compras</t>
        </is>
      </c>
      <c r="G2785" s="66" t="n">
        <v>3.67</v>
      </c>
      <c r="H2785" s="172" t="inlineStr">
        <is>
          <t>Não</t>
        </is>
      </c>
      <c r="I2785" s="50" t="n"/>
    </row>
    <row r="2786">
      <c r="A2786" s="40" t="inlineStr">
        <is>
          <t>009943</t>
        </is>
      </c>
      <c r="B2786" s="41" t="inlineStr">
        <is>
          <t>TELA ONDULADA GALVANIZADA</t>
        </is>
      </c>
      <c r="C2786" s="42" t="inlineStr">
        <is>
          <t>MC</t>
        </is>
      </c>
      <c r="D2786" s="42" t="inlineStr">
        <is>
          <t>UN</t>
        </is>
      </c>
      <c r="E2786" s="42" t="inlineStr">
        <is>
          <t>0132</t>
        </is>
      </c>
      <c r="F2786" s="70" t="inlineStr">
        <is>
          <t>Compras</t>
        </is>
      </c>
      <c r="G2786" s="71" t="n">
        <v>53.52</v>
      </c>
      <c r="H2786" s="172" t="inlineStr">
        <is>
          <t>Não</t>
        </is>
      </c>
      <c r="I2786" s="49" t="n"/>
    </row>
    <row r="2787">
      <c r="A2787" s="43" t="inlineStr">
        <is>
          <t>009927</t>
        </is>
      </c>
      <c r="B2787" s="44" t="inlineStr">
        <is>
          <t>TELA PAINEL DE FERRO</t>
        </is>
      </c>
      <c r="C2787" s="45" t="inlineStr">
        <is>
          <t>MC</t>
        </is>
      </c>
      <c r="D2787" s="45" t="inlineStr">
        <is>
          <t>UN</t>
        </is>
      </c>
      <c r="E2787" s="45" t="inlineStr">
        <is>
          <t>0132</t>
        </is>
      </c>
      <c r="F2787" s="70" t="inlineStr">
        <is>
          <t>Compras</t>
        </is>
      </c>
      <c r="G2787" s="66" t="n">
        <v>44.709</v>
      </c>
      <c r="H2787" s="172" t="inlineStr">
        <is>
          <t>Não</t>
        </is>
      </c>
      <c r="I2787" s="50" t="n"/>
    </row>
    <row r="2788">
      <c r="A2788" s="40" t="inlineStr">
        <is>
          <t>000720</t>
        </is>
      </c>
      <c r="B2788" s="41" t="inlineStr">
        <is>
          <t>TELEFONE</t>
        </is>
      </c>
      <c r="C2788" s="42" t="inlineStr">
        <is>
          <t>AI</t>
        </is>
      </c>
      <c r="D2788" s="42" t="inlineStr">
        <is>
          <t>UN</t>
        </is>
      </c>
      <c r="E2788" s="42" t="inlineStr">
        <is>
          <t>0006</t>
        </is>
      </c>
      <c r="F2788" s="70" t="inlineStr">
        <is>
          <t>Compras</t>
        </is>
      </c>
      <c r="G2788" s="68" t="n">
        <v>0</v>
      </c>
      <c r="H2788" s="172" t="inlineStr">
        <is>
          <t>Não</t>
        </is>
      </c>
      <c r="I2788" s="49" t="n"/>
    </row>
    <row r="2789">
      <c r="A2789" s="43" t="inlineStr">
        <is>
          <t>001457</t>
        </is>
      </c>
      <c r="B2789" s="44" t="inlineStr">
        <is>
          <t>TELEFONIA</t>
        </is>
      </c>
      <c r="C2789" s="45" t="inlineStr">
        <is>
          <t>SV</t>
        </is>
      </c>
      <c r="D2789" s="45" t="inlineStr">
        <is>
          <t>UN</t>
        </is>
      </c>
      <c r="E2789" s="45" t="inlineStr">
        <is>
          <t>(VAZ</t>
        </is>
      </c>
      <c r="F2789" s="70" t="inlineStr">
        <is>
          <t>Compras</t>
        </is>
      </c>
      <c r="G2789" s="69" t="n">
        <v>0</v>
      </c>
      <c r="H2789" s="172" t="inlineStr">
        <is>
          <t>Não</t>
        </is>
      </c>
      <c r="I2789" s="50" t="n"/>
    </row>
    <row r="2790">
      <c r="A2790" s="40" t="inlineStr">
        <is>
          <t>000593</t>
        </is>
      </c>
      <c r="B2790" s="41" t="inlineStr">
        <is>
          <t>TELEVISAO</t>
        </is>
      </c>
      <c r="C2790" s="42" t="inlineStr">
        <is>
          <t>AI</t>
        </is>
      </c>
      <c r="D2790" s="42" t="inlineStr">
        <is>
          <t>UN</t>
        </is>
      </c>
      <c r="E2790" s="42" t="inlineStr">
        <is>
          <t>0020</t>
        </is>
      </c>
      <c r="F2790" s="70" t="inlineStr">
        <is>
          <t>Compras</t>
        </is>
      </c>
      <c r="G2790" s="71" t="n">
        <v>3943</v>
      </c>
      <c r="H2790" s="172" t="inlineStr">
        <is>
          <t>Não</t>
        </is>
      </c>
      <c r="I2790" s="49" t="n"/>
    </row>
    <row r="2791">
      <c r="A2791" s="43" t="inlineStr">
        <is>
          <t>000046</t>
        </is>
      </c>
      <c r="B2791" s="44" t="inlineStr">
        <is>
          <t>TEQUILA  PRATA GARRAFA</t>
        </is>
      </c>
      <c r="C2791" s="45" t="inlineStr">
        <is>
          <t>MR</t>
        </is>
      </c>
      <c r="D2791" s="45" t="inlineStr">
        <is>
          <t>UN</t>
        </is>
      </c>
      <c r="E2791" s="45" t="inlineStr">
        <is>
          <t>0095</t>
        </is>
      </c>
      <c r="F2791" s="65" t="inlineStr">
        <is>
          <t>Venda</t>
        </is>
      </c>
      <c r="G2791" s="69" t="n">
        <v>0</v>
      </c>
      <c r="H2791" s="172" t="inlineStr">
        <is>
          <t>Não</t>
        </is>
      </c>
      <c r="I2791" s="48" t="inlineStr">
        <is>
          <t>102114</t>
        </is>
      </c>
    </row>
    <row r="2792">
      <c r="A2792" s="40" t="inlineStr">
        <is>
          <t>000365</t>
        </is>
      </c>
      <c r="B2792" s="41" t="inlineStr">
        <is>
          <t>TEQUILA JOSE CURVO OURO 750ML</t>
        </is>
      </c>
      <c r="C2792" s="42" t="inlineStr">
        <is>
          <t>ME</t>
        </is>
      </c>
      <c r="D2792" s="42" t="inlineStr">
        <is>
          <t>LT</t>
        </is>
      </c>
      <c r="E2792" s="42" t="inlineStr">
        <is>
          <t>0147</t>
        </is>
      </c>
      <c r="F2792" s="70" t="inlineStr">
        <is>
          <t>Compras</t>
        </is>
      </c>
      <c r="G2792" s="71" t="n">
        <v>142.5333</v>
      </c>
      <c r="H2792" s="172" t="inlineStr">
        <is>
          <t>Não</t>
        </is>
      </c>
      <c r="I2792" s="49" t="n"/>
    </row>
    <row r="2793">
      <c r="A2793" s="43" t="inlineStr">
        <is>
          <t>000366</t>
        </is>
      </c>
      <c r="B2793" s="44" t="inlineStr">
        <is>
          <t>TEQUILA JOSE CURVO PRATA 750ML</t>
        </is>
      </c>
      <c r="C2793" s="45" t="inlineStr">
        <is>
          <t>ME</t>
        </is>
      </c>
      <c r="D2793" s="45" t="inlineStr">
        <is>
          <t>LT</t>
        </is>
      </c>
      <c r="E2793" s="45" t="inlineStr">
        <is>
          <t>0147</t>
        </is>
      </c>
      <c r="F2793" s="70" t="inlineStr">
        <is>
          <t>Compras</t>
        </is>
      </c>
      <c r="G2793" s="66" t="n">
        <v>142.5333</v>
      </c>
      <c r="H2793" s="172" t="inlineStr">
        <is>
          <t>Não</t>
        </is>
      </c>
      <c r="I2793" s="50" t="n"/>
    </row>
    <row r="2794">
      <c r="A2794" s="40" t="inlineStr">
        <is>
          <t>001038</t>
        </is>
      </c>
      <c r="B2794" s="41" t="inlineStr">
        <is>
          <t>TEQUILA OURO DOSE</t>
        </is>
      </c>
      <c r="C2794" s="42" t="inlineStr">
        <is>
          <t>PA</t>
        </is>
      </c>
      <c r="D2794" s="42" t="inlineStr">
        <is>
          <t>UN</t>
        </is>
      </c>
      <c r="E2794" s="42" t="inlineStr">
        <is>
          <t>0095</t>
        </is>
      </c>
      <c r="F2794" s="65" t="inlineStr">
        <is>
          <t>Venda</t>
        </is>
      </c>
      <c r="G2794" s="68" t="n">
        <v>0</v>
      </c>
      <c r="H2794" s="172" t="inlineStr">
        <is>
          <t>Não</t>
        </is>
      </c>
      <c r="I2794" s="47" t="inlineStr">
        <is>
          <t>78792</t>
        </is>
      </c>
    </row>
    <row r="2795">
      <c r="A2795" s="43" t="inlineStr">
        <is>
          <t>000045</t>
        </is>
      </c>
      <c r="B2795" s="44" t="inlineStr">
        <is>
          <t>TEQUILA OURO GARRAFA</t>
        </is>
      </c>
      <c r="C2795" s="45" t="inlineStr">
        <is>
          <t>MR</t>
        </is>
      </c>
      <c r="D2795" s="45" t="inlineStr">
        <is>
          <t>UN</t>
        </is>
      </c>
      <c r="E2795" s="45" t="inlineStr">
        <is>
          <t>0095</t>
        </is>
      </c>
      <c r="F2795" s="65" t="inlineStr">
        <is>
          <t>Venda</t>
        </is>
      </c>
      <c r="G2795" s="69" t="n">
        <v>0</v>
      </c>
      <c r="H2795" s="172" t="inlineStr">
        <is>
          <t>Não</t>
        </is>
      </c>
      <c r="I2795" s="48" t="inlineStr">
        <is>
          <t>102102</t>
        </is>
      </c>
    </row>
    <row r="2796">
      <c r="A2796" s="40" t="inlineStr">
        <is>
          <t>000043</t>
        </is>
      </c>
      <c r="B2796" s="41" t="inlineStr">
        <is>
          <t>TEQUILA PRATA DOSE</t>
        </is>
      </c>
      <c r="C2796" s="42" t="inlineStr">
        <is>
          <t>PA</t>
        </is>
      </c>
      <c r="D2796" s="42" t="inlineStr">
        <is>
          <t>UN</t>
        </is>
      </c>
      <c r="E2796" s="42" t="inlineStr">
        <is>
          <t>0095</t>
        </is>
      </c>
      <c r="F2796" s="65" t="inlineStr">
        <is>
          <t>Venda</t>
        </is>
      </c>
      <c r="G2796" s="68" t="n">
        <v>0</v>
      </c>
      <c r="H2796" s="172" t="inlineStr">
        <is>
          <t>Não</t>
        </is>
      </c>
      <c r="I2796" s="47" t="inlineStr">
        <is>
          <t>102008</t>
        </is>
      </c>
    </row>
    <row r="2797">
      <c r="A2797" s="43" t="inlineStr">
        <is>
          <t>009352</t>
        </is>
      </c>
      <c r="B2797" s="44" t="inlineStr">
        <is>
          <t>TERMINAL AGULHA 35MM VERMELHO</t>
        </is>
      </c>
      <c r="C2797" s="45" t="inlineStr">
        <is>
          <t>MC</t>
        </is>
      </c>
      <c r="D2797" s="45" t="inlineStr">
        <is>
          <t>UN</t>
        </is>
      </c>
      <c r="E2797" s="45" t="inlineStr">
        <is>
          <t>0132</t>
        </is>
      </c>
      <c r="F2797" s="70" t="inlineStr">
        <is>
          <t>Compras</t>
        </is>
      </c>
      <c r="G2797" s="69" t="n">
        <v>0</v>
      </c>
      <c r="H2797" s="172" t="inlineStr">
        <is>
          <t>Não</t>
        </is>
      </c>
      <c r="I2797" s="50" t="n"/>
    </row>
    <row r="2798">
      <c r="A2798" s="40" t="inlineStr">
        <is>
          <t>001908</t>
        </is>
      </c>
      <c r="B2798" s="41" t="inlineStr">
        <is>
          <t>TERMINAL RECONHECIMENTO FACIL</t>
        </is>
      </c>
      <c r="C2798" s="42" t="inlineStr">
        <is>
          <t>MC</t>
        </is>
      </c>
      <c r="D2798" s="42" t="inlineStr">
        <is>
          <t>UN</t>
        </is>
      </c>
      <c r="E2798" s="42" t="inlineStr">
        <is>
          <t>0132</t>
        </is>
      </c>
      <c r="F2798" s="70" t="inlineStr">
        <is>
          <t>Compras</t>
        </is>
      </c>
      <c r="G2798" s="71" t="n">
        <v>2755.5</v>
      </c>
      <c r="H2798" s="172" t="inlineStr">
        <is>
          <t>Não</t>
        </is>
      </c>
      <c r="I2798" s="49" t="n"/>
    </row>
    <row r="2799">
      <c r="A2799" s="43" t="inlineStr">
        <is>
          <t>009965</t>
        </is>
      </c>
      <c r="B2799" s="44" t="inlineStr">
        <is>
          <t>TERMOMETRO PISTOLA INFRA VERMELHO</t>
        </is>
      </c>
      <c r="C2799" s="45" t="inlineStr">
        <is>
          <t>MC</t>
        </is>
      </c>
      <c r="D2799" s="45" t="inlineStr">
        <is>
          <t>UN</t>
        </is>
      </c>
      <c r="E2799" s="45" t="inlineStr">
        <is>
          <t>0132</t>
        </is>
      </c>
      <c r="F2799" s="70" t="inlineStr">
        <is>
          <t>Compras</t>
        </is>
      </c>
      <c r="G2799" s="66" t="n">
        <v>78.90000000000001</v>
      </c>
      <c r="H2799" s="172" t="inlineStr">
        <is>
          <t>Não</t>
        </is>
      </c>
      <c r="I2799" s="50" t="n"/>
    </row>
    <row r="2800">
      <c r="A2800" s="40" t="inlineStr">
        <is>
          <t>000734</t>
        </is>
      </c>
      <c r="B2800" s="41" t="inlineStr">
        <is>
          <t>TERMOSTATO FRITADEIRA</t>
        </is>
      </c>
      <c r="C2800" s="42" t="inlineStr">
        <is>
          <t>MC</t>
        </is>
      </c>
      <c r="D2800" s="42" t="inlineStr">
        <is>
          <t>UN</t>
        </is>
      </c>
      <c r="E2800" s="42" t="inlineStr">
        <is>
          <t>0132</t>
        </is>
      </c>
      <c r="F2800" s="70" t="inlineStr">
        <is>
          <t>Compras</t>
        </is>
      </c>
      <c r="G2800" s="71" t="n">
        <v>750</v>
      </c>
      <c r="H2800" s="172" t="inlineStr">
        <is>
          <t>Não</t>
        </is>
      </c>
      <c r="I2800" s="49" t="n"/>
    </row>
    <row r="2801">
      <c r="A2801" s="43" t="inlineStr">
        <is>
          <t>009372</t>
        </is>
      </c>
      <c r="B2801" s="44" t="inlineStr">
        <is>
          <t>TERMOSTATO PARA PURIFICADOR DE AGUA</t>
        </is>
      </c>
      <c r="C2801" s="45" t="inlineStr">
        <is>
          <t>MC</t>
        </is>
      </c>
      <c r="D2801" s="45" t="inlineStr">
        <is>
          <t>UN</t>
        </is>
      </c>
      <c r="E2801" s="45" t="inlineStr">
        <is>
          <t>0132</t>
        </is>
      </c>
      <c r="F2801" s="70" t="inlineStr">
        <is>
          <t>Compras</t>
        </is>
      </c>
      <c r="G2801" s="66" t="n">
        <v>123</v>
      </c>
      <c r="H2801" s="172" t="inlineStr">
        <is>
          <t>Não</t>
        </is>
      </c>
      <c r="I2801" s="50" t="n"/>
    </row>
    <row r="2802">
      <c r="A2802" s="40" t="inlineStr">
        <is>
          <t>010270</t>
        </is>
      </c>
      <c r="B2802" s="41" t="inlineStr">
        <is>
          <t>TESOURA GRAMA 12"</t>
        </is>
      </c>
      <c r="C2802" s="42" t="inlineStr">
        <is>
          <t>MC</t>
        </is>
      </c>
      <c r="D2802" s="42" t="inlineStr">
        <is>
          <t>UN</t>
        </is>
      </c>
      <c r="E2802" s="42" t="inlineStr">
        <is>
          <t>0132</t>
        </is>
      </c>
      <c r="F2802" s="70" t="inlineStr">
        <is>
          <t>Compras</t>
        </is>
      </c>
      <c r="G2802" s="71" t="n">
        <v>75.90000000000001</v>
      </c>
      <c r="H2802" s="172" t="inlineStr">
        <is>
          <t>Não</t>
        </is>
      </c>
      <c r="I2802" s="49" t="n"/>
    </row>
    <row r="2803">
      <c r="A2803" s="43" t="inlineStr">
        <is>
          <t>000161</t>
        </is>
      </c>
      <c r="B2803" s="44" t="inlineStr">
        <is>
          <t>TESOURA UNIVERSAL</t>
        </is>
      </c>
      <c r="C2803" s="45" t="inlineStr">
        <is>
          <t>MC</t>
        </is>
      </c>
      <c r="D2803" s="45" t="inlineStr">
        <is>
          <t>UN</t>
        </is>
      </c>
      <c r="E2803" s="45" t="inlineStr">
        <is>
          <t>0001</t>
        </is>
      </c>
      <c r="F2803" s="70" t="inlineStr">
        <is>
          <t>Compras</t>
        </is>
      </c>
      <c r="G2803" s="66" t="n">
        <v>7.88</v>
      </c>
      <c r="H2803" s="172" t="inlineStr">
        <is>
          <t>Não</t>
        </is>
      </c>
      <c r="I2803" s="50" t="n"/>
    </row>
    <row r="2804">
      <c r="A2804" s="40" t="inlineStr">
        <is>
          <t>002073</t>
        </is>
      </c>
      <c r="B2804" s="41" t="inlineStr">
        <is>
          <t>TESTE</t>
        </is>
      </c>
      <c r="C2804" s="42" t="inlineStr">
        <is>
          <t>GN</t>
        </is>
      </c>
      <c r="D2804" s="42" t="inlineStr">
        <is>
          <t>UN</t>
        </is>
      </c>
      <c r="E2804" s="42" t="inlineStr">
        <is>
          <t>0097</t>
        </is>
      </c>
      <c r="F2804" s="65" t="inlineStr">
        <is>
          <t>Venda</t>
        </is>
      </c>
      <c r="G2804" s="68" t="n">
        <v>0</v>
      </c>
      <c r="H2804" s="177" t="inlineStr">
        <is>
          <t>Sim</t>
        </is>
      </c>
      <c r="I2804" s="179" t="n"/>
    </row>
    <row r="2805">
      <c r="A2805" s="43" t="inlineStr">
        <is>
          <t>010264</t>
        </is>
      </c>
      <c r="B2805" s="44" t="inlineStr">
        <is>
          <t>THINNER 5L</t>
        </is>
      </c>
      <c r="C2805" s="45" t="inlineStr">
        <is>
          <t>MC</t>
        </is>
      </c>
      <c r="D2805" s="45" t="inlineStr">
        <is>
          <t>UN</t>
        </is>
      </c>
      <c r="E2805" s="45" t="inlineStr">
        <is>
          <t>0132</t>
        </is>
      </c>
      <c r="F2805" s="70" t="inlineStr">
        <is>
          <t>Compras</t>
        </is>
      </c>
      <c r="G2805" s="66" t="n">
        <v>85</v>
      </c>
      <c r="H2805" s="172" t="inlineStr">
        <is>
          <t>Não</t>
        </is>
      </c>
      <c r="I2805" s="50" t="n"/>
    </row>
    <row r="2806">
      <c r="A2806" s="40" t="inlineStr">
        <is>
          <t>009465</t>
        </is>
      </c>
      <c r="B2806" s="41" t="inlineStr">
        <is>
          <t>THINNER 900ML</t>
        </is>
      </c>
      <c r="C2806" s="42" t="inlineStr">
        <is>
          <t>MC</t>
        </is>
      </c>
      <c r="D2806" s="42" t="inlineStr">
        <is>
          <t>UN</t>
        </is>
      </c>
      <c r="E2806" s="42" t="inlineStr">
        <is>
          <t>0132</t>
        </is>
      </c>
      <c r="F2806" s="70" t="inlineStr">
        <is>
          <t>Compras</t>
        </is>
      </c>
      <c r="G2806" s="71" t="n">
        <v>25.9</v>
      </c>
      <c r="H2806" s="172" t="inlineStr">
        <is>
          <t>Não</t>
        </is>
      </c>
      <c r="I2806" s="49" t="n"/>
    </row>
    <row r="2807">
      <c r="A2807" s="43" t="inlineStr">
        <is>
          <t>000672</t>
        </is>
      </c>
      <c r="B2807" s="44" t="inlineStr">
        <is>
          <t>TIGELA INOX BOWL</t>
        </is>
      </c>
      <c r="C2807" s="45" t="inlineStr">
        <is>
          <t>MC</t>
        </is>
      </c>
      <c r="D2807" s="45" t="inlineStr">
        <is>
          <t>UN</t>
        </is>
      </c>
      <c r="E2807" s="45" t="inlineStr">
        <is>
          <t>0080</t>
        </is>
      </c>
      <c r="F2807" s="70" t="inlineStr">
        <is>
          <t>Compras</t>
        </is>
      </c>
      <c r="G2807" s="66" t="n">
        <v>36.9</v>
      </c>
      <c r="H2807" s="172" t="inlineStr">
        <is>
          <t>Não</t>
        </is>
      </c>
      <c r="I2807" s="50" t="n"/>
    </row>
    <row r="2808">
      <c r="A2808" s="40" t="inlineStr">
        <is>
          <t>010306</t>
        </is>
      </c>
      <c r="B2808" s="41" t="inlineStr">
        <is>
          <t>TIJOLO BAIANO GRANDE 11,5X14X24CM</t>
        </is>
      </c>
      <c r="C2808" s="42" t="inlineStr">
        <is>
          <t>MC</t>
        </is>
      </c>
      <c r="D2808" s="42" t="inlineStr">
        <is>
          <t>UN</t>
        </is>
      </c>
      <c r="E2808" s="42" t="inlineStr">
        <is>
          <t>0132</t>
        </is>
      </c>
      <c r="F2808" s="70" t="inlineStr">
        <is>
          <t>Compras</t>
        </is>
      </c>
      <c r="G2808" s="71" t="n">
        <v>2.4</v>
      </c>
      <c r="H2808" s="172" t="inlineStr">
        <is>
          <t>Não</t>
        </is>
      </c>
      <c r="I2808" s="49" t="n"/>
    </row>
    <row r="2809">
      <c r="A2809" s="43" t="inlineStr">
        <is>
          <t>010271</t>
        </is>
      </c>
      <c r="B2809" s="44" t="inlineStr">
        <is>
          <t>TIJOLO REFRATARIO 23X11X5</t>
        </is>
      </c>
      <c r="C2809" s="45" t="inlineStr">
        <is>
          <t>MC</t>
        </is>
      </c>
      <c r="D2809" s="45" t="inlineStr">
        <is>
          <t>UN</t>
        </is>
      </c>
      <c r="E2809" s="45" t="inlineStr">
        <is>
          <t>0132</t>
        </is>
      </c>
      <c r="F2809" s="70" t="inlineStr">
        <is>
          <t>Compras</t>
        </is>
      </c>
      <c r="G2809" s="66" t="n">
        <v>13.9</v>
      </c>
      <c r="H2809" s="172" t="inlineStr">
        <is>
          <t>Não</t>
        </is>
      </c>
      <c r="I2809" s="50" t="n"/>
    </row>
    <row r="2810">
      <c r="A2810" s="40" t="inlineStr">
        <is>
          <t>001692</t>
        </is>
      </c>
      <c r="B2810" s="41" t="inlineStr">
        <is>
          <t>TILAPIA</t>
        </is>
      </c>
      <c r="C2810" s="42" t="inlineStr">
        <is>
          <t>PA</t>
        </is>
      </c>
      <c r="D2810" s="42" t="inlineStr">
        <is>
          <t>UN</t>
        </is>
      </c>
      <c r="E2810" s="42" t="inlineStr">
        <is>
          <t>0109</t>
        </is>
      </c>
      <c r="F2810" s="65" t="inlineStr">
        <is>
          <t>Venda</t>
        </is>
      </c>
      <c r="G2810" s="68" t="n">
        <v>0</v>
      </c>
      <c r="H2810" s="177" t="inlineStr">
        <is>
          <t>Sim</t>
        </is>
      </c>
      <c r="I2810" s="178" t="n"/>
    </row>
    <row r="2811">
      <c r="A2811" s="43" t="inlineStr">
        <is>
          <t>000686</t>
        </is>
      </c>
      <c r="B2811" s="44" t="inlineStr">
        <is>
          <t>TINA</t>
        </is>
      </c>
      <c r="C2811" s="45" t="inlineStr">
        <is>
          <t>MC</t>
        </is>
      </c>
      <c r="D2811" s="45" t="inlineStr">
        <is>
          <t>UN</t>
        </is>
      </c>
      <c r="E2811" s="45" t="inlineStr">
        <is>
          <t>0079</t>
        </is>
      </c>
      <c r="F2811" s="70" t="inlineStr">
        <is>
          <t>Compras</t>
        </is>
      </c>
      <c r="G2811" s="66" t="n">
        <v>280</v>
      </c>
      <c r="H2811" s="172" t="inlineStr">
        <is>
          <t>Não</t>
        </is>
      </c>
      <c r="I2811" s="50" t="n"/>
    </row>
    <row r="2812">
      <c r="A2812" s="40" t="inlineStr">
        <is>
          <t>010100</t>
        </is>
      </c>
      <c r="B2812" s="41" t="inlineStr">
        <is>
          <t>TINHA SPRAY</t>
        </is>
      </c>
      <c r="C2812" s="42" t="inlineStr">
        <is>
          <t>MC</t>
        </is>
      </c>
      <c r="D2812" s="42" t="inlineStr">
        <is>
          <t>UN</t>
        </is>
      </c>
      <c r="E2812" s="42" t="inlineStr">
        <is>
          <t>0132</t>
        </is>
      </c>
      <c r="F2812" s="70" t="inlineStr">
        <is>
          <t>Compras</t>
        </is>
      </c>
      <c r="G2812" s="71" t="n">
        <v>34</v>
      </c>
      <c r="H2812" s="172" t="inlineStr">
        <is>
          <t>Não</t>
        </is>
      </c>
      <c r="I2812" s="49" t="n"/>
    </row>
    <row r="2813">
      <c r="A2813" s="43" t="inlineStr">
        <is>
          <t>009418</t>
        </is>
      </c>
      <c r="B2813" s="44" t="inlineStr">
        <is>
          <t>TINTA ACETINADA 3,2L</t>
        </is>
      </c>
      <c r="C2813" s="45" t="inlineStr">
        <is>
          <t>MC</t>
        </is>
      </c>
      <c r="D2813" s="45" t="inlineStr">
        <is>
          <t>UN</t>
        </is>
      </c>
      <c r="E2813" s="45" t="inlineStr">
        <is>
          <t>0132</t>
        </is>
      </c>
      <c r="F2813" s="70" t="inlineStr">
        <is>
          <t>Compras</t>
        </is>
      </c>
      <c r="G2813" s="66" t="n">
        <v>208</v>
      </c>
      <c r="H2813" s="172" t="inlineStr">
        <is>
          <t>Não</t>
        </is>
      </c>
      <c r="I2813" s="50" t="n"/>
    </row>
    <row r="2814">
      <c r="A2814" s="40" t="inlineStr">
        <is>
          <t>009608</t>
        </is>
      </c>
      <c r="B2814" s="41" t="inlineStr">
        <is>
          <t>TINTA ACETINADO 3,6L</t>
        </is>
      </c>
      <c r="C2814" s="42" t="inlineStr">
        <is>
          <t>MC</t>
        </is>
      </c>
      <c r="D2814" s="42" t="inlineStr">
        <is>
          <t>UN</t>
        </is>
      </c>
      <c r="E2814" s="42" t="inlineStr">
        <is>
          <t>0132</t>
        </is>
      </c>
      <c r="F2814" s="70" t="inlineStr">
        <is>
          <t>Compras</t>
        </is>
      </c>
      <c r="G2814" s="71" t="n">
        <v>245</v>
      </c>
      <c r="H2814" s="172" t="inlineStr">
        <is>
          <t>Não</t>
        </is>
      </c>
      <c r="I2814" s="49" t="n"/>
    </row>
    <row r="2815">
      <c r="A2815" s="43" t="inlineStr">
        <is>
          <t>009871</t>
        </is>
      </c>
      <c r="B2815" s="44" t="inlineStr">
        <is>
          <t>TINTA ACRILICA 18LT</t>
        </is>
      </c>
      <c r="C2815" s="45" t="inlineStr">
        <is>
          <t>MC</t>
        </is>
      </c>
      <c r="D2815" s="45" t="inlineStr">
        <is>
          <t>UN</t>
        </is>
      </c>
      <c r="E2815" s="45" t="inlineStr">
        <is>
          <t>0132</t>
        </is>
      </c>
      <c r="F2815" s="70" t="inlineStr">
        <is>
          <t>Compras</t>
        </is>
      </c>
      <c r="G2815" s="66" t="n">
        <v>69</v>
      </c>
      <c r="H2815" s="172" t="inlineStr">
        <is>
          <t>Não</t>
        </is>
      </c>
      <c r="I2815" s="50" t="n"/>
    </row>
    <row r="2816">
      <c r="A2816" s="40" t="inlineStr">
        <is>
          <t>010245</t>
        </is>
      </c>
      <c r="B2816" s="41" t="inlineStr">
        <is>
          <t>TINTA ACRILICA 20LT</t>
        </is>
      </c>
      <c r="C2816" s="42" t="inlineStr">
        <is>
          <t>MC</t>
        </is>
      </c>
      <c r="D2816" s="42" t="inlineStr">
        <is>
          <t>UN</t>
        </is>
      </c>
      <c r="E2816" s="42" t="inlineStr">
        <is>
          <t>0132</t>
        </is>
      </c>
      <c r="F2816" s="70" t="inlineStr">
        <is>
          <t>Compras</t>
        </is>
      </c>
      <c r="G2816" s="71" t="n">
        <v>419</v>
      </c>
      <c r="H2816" s="172" t="inlineStr">
        <is>
          <t>Não</t>
        </is>
      </c>
      <c r="I2816" s="49" t="n"/>
    </row>
    <row r="2817">
      <c r="A2817" s="43" t="inlineStr">
        <is>
          <t>010298</t>
        </is>
      </c>
      <c r="B2817" s="44" t="inlineStr">
        <is>
          <t>TINTA ACRILICA FOSCO 3,6LT</t>
        </is>
      </c>
      <c r="C2817" s="45" t="inlineStr">
        <is>
          <t>MC</t>
        </is>
      </c>
      <c r="D2817" s="45" t="inlineStr">
        <is>
          <t>UN</t>
        </is>
      </c>
      <c r="E2817" s="45" t="inlineStr">
        <is>
          <t>0132</t>
        </is>
      </c>
      <c r="F2817" s="70" t="inlineStr">
        <is>
          <t>Compras</t>
        </is>
      </c>
      <c r="G2817" s="66" t="n">
        <v>125</v>
      </c>
      <c r="H2817" s="172" t="inlineStr">
        <is>
          <t>Não</t>
        </is>
      </c>
      <c r="I2817" s="50" t="n"/>
    </row>
    <row r="2818">
      <c r="A2818" s="40" t="inlineStr">
        <is>
          <t>010367</t>
        </is>
      </c>
      <c r="B2818" s="41" t="inlineStr">
        <is>
          <t>TINTA ASFALTICA IMPERMEABILIZANTE 3,6L</t>
        </is>
      </c>
      <c r="C2818" s="42" t="inlineStr">
        <is>
          <t>MC</t>
        </is>
      </c>
      <c r="D2818" s="42" t="inlineStr">
        <is>
          <t>UN</t>
        </is>
      </c>
      <c r="E2818" s="42" t="inlineStr">
        <is>
          <t>0132</t>
        </is>
      </c>
      <c r="F2818" s="70" t="inlineStr">
        <is>
          <t>Compras</t>
        </is>
      </c>
      <c r="G2818" s="68" t="n">
        <v>0</v>
      </c>
      <c r="H2818" s="172" t="inlineStr">
        <is>
          <t>Não</t>
        </is>
      </c>
      <c r="I2818" s="49" t="n"/>
    </row>
    <row r="2819">
      <c r="A2819" s="43" t="inlineStr">
        <is>
          <t>009561</t>
        </is>
      </c>
      <c r="B2819" s="44" t="inlineStr">
        <is>
          <t>TINTA COLORIDA PARA PINTURA FACIAL</t>
        </is>
      </c>
      <c r="C2819" s="45" t="inlineStr">
        <is>
          <t>MC</t>
        </is>
      </c>
      <c r="D2819" s="45" t="inlineStr">
        <is>
          <t>UN</t>
        </is>
      </c>
      <c r="E2819" s="45" t="inlineStr">
        <is>
          <t>0134</t>
        </is>
      </c>
      <c r="F2819" s="70" t="inlineStr">
        <is>
          <t>Compras</t>
        </is>
      </c>
      <c r="G2819" s="69" t="n">
        <v>0</v>
      </c>
      <c r="H2819" s="172" t="inlineStr">
        <is>
          <t>Não</t>
        </is>
      </c>
      <c r="I2819" s="50" t="n"/>
    </row>
    <row r="2820">
      <c r="A2820" s="40" t="inlineStr">
        <is>
          <t>009879</t>
        </is>
      </c>
      <c r="B2820" s="41" t="inlineStr">
        <is>
          <t>TINTA ESMALTE 3,6LT</t>
        </is>
      </c>
      <c r="C2820" s="42" t="inlineStr">
        <is>
          <t>MC</t>
        </is>
      </c>
      <c r="D2820" s="42" t="inlineStr">
        <is>
          <t>UN</t>
        </is>
      </c>
      <c r="E2820" s="42" t="inlineStr">
        <is>
          <t>0132</t>
        </is>
      </c>
      <c r="F2820" s="70" t="inlineStr">
        <is>
          <t>Compras</t>
        </is>
      </c>
      <c r="G2820" s="71" t="n">
        <v>177</v>
      </c>
      <c r="H2820" s="172" t="inlineStr">
        <is>
          <t>Não</t>
        </is>
      </c>
      <c r="I2820" s="49" t="n"/>
    </row>
    <row r="2821">
      <c r="A2821" s="43" t="inlineStr">
        <is>
          <t>010129</t>
        </is>
      </c>
      <c r="B2821" s="44" t="inlineStr">
        <is>
          <t>TINTA FOSCA 800 ML</t>
        </is>
      </c>
      <c r="C2821" s="45" t="inlineStr">
        <is>
          <t>MC</t>
        </is>
      </c>
      <c r="D2821" s="45" t="inlineStr">
        <is>
          <t>UN</t>
        </is>
      </c>
      <c r="E2821" s="45" t="inlineStr">
        <is>
          <t>0132</t>
        </is>
      </c>
      <c r="F2821" s="70" t="inlineStr">
        <is>
          <t>Compras</t>
        </is>
      </c>
      <c r="G2821" s="69" t="n">
        <v>0</v>
      </c>
      <c r="H2821" s="172" t="inlineStr">
        <is>
          <t>Não</t>
        </is>
      </c>
      <c r="I2821" s="50" t="n"/>
    </row>
    <row r="2822">
      <c r="A2822" s="40" t="inlineStr">
        <is>
          <t>009547</t>
        </is>
      </c>
      <c r="B2822" s="41" t="inlineStr">
        <is>
          <t>TINTA GUACHE 500ML</t>
        </is>
      </c>
      <c r="C2822" s="42" t="inlineStr">
        <is>
          <t>MC</t>
        </is>
      </c>
      <c r="D2822" s="42" t="inlineStr">
        <is>
          <t>UN</t>
        </is>
      </c>
      <c r="E2822" s="42" t="inlineStr">
        <is>
          <t>0134</t>
        </is>
      </c>
      <c r="F2822" s="70" t="inlineStr">
        <is>
          <t>Compras</t>
        </is>
      </c>
      <c r="G2822" s="68" t="n">
        <v>0</v>
      </c>
      <c r="H2822" s="172" t="inlineStr">
        <is>
          <t>Não</t>
        </is>
      </c>
      <c r="I2822" s="49" t="n"/>
    </row>
    <row r="2823">
      <c r="A2823" s="43" t="inlineStr">
        <is>
          <t>010232</t>
        </is>
      </c>
      <c r="B2823" s="44" t="inlineStr">
        <is>
          <t>TINTA LAVAVEL C ESTOJO E PINCEL AQUARELLA 12 CORES</t>
        </is>
      </c>
      <c r="C2823" s="45" t="inlineStr">
        <is>
          <t>MC</t>
        </is>
      </c>
      <c r="D2823" s="45" t="inlineStr">
        <is>
          <t>UN</t>
        </is>
      </c>
      <c r="E2823" s="45" t="inlineStr">
        <is>
          <t>0134</t>
        </is>
      </c>
      <c r="F2823" s="70" t="inlineStr">
        <is>
          <t>Compras</t>
        </is>
      </c>
      <c r="G2823" s="69" t="n">
        <v>0</v>
      </c>
      <c r="H2823" s="172" t="inlineStr">
        <is>
          <t>Não</t>
        </is>
      </c>
      <c r="I2823" s="50" t="n"/>
    </row>
    <row r="2824">
      <c r="A2824" s="40" t="inlineStr">
        <is>
          <t>000163</t>
        </is>
      </c>
      <c r="B2824" s="41" t="inlineStr">
        <is>
          <t>TINTA P/ CARIMBO PRETO</t>
        </is>
      </c>
      <c r="C2824" s="42" t="inlineStr">
        <is>
          <t>MC</t>
        </is>
      </c>
      <c r="D2824" s="42" t="inlineStr">
        <is>
          <t>UN</t>
        </is>
      </c>
      <c r="E2824" s="42" t="inlineStr">
        <is>
          <t>0001</t>
        </is>
      </c>
      <c r="F2824" s="70" t="inlineStr">
        <is>
          <t>Compras</t>
        </is>
      </c>
      <c r="G2824" s="68" t="n">
        <v>0</v>
      </c>
      <c r="H2824" s="172" t="inlineStr">
        <is>
          <t>Não</t>
        </is>
      </c>
      <c r="I2824" s="49" t="n"/>
    </row>
    <row r="2825">
      <c r="A2825" s="43" t="inlineStr">
        <is>
          <t>000164</t>
        </is>
      </c>
      <c r="B2825" s="44" t="inlineStr">
        <is>
          <t>TINTA P/ CARIMBO VERMELHO</t>
        </is>
      </c>
      <c r="C2825" s="45" t="inlineStr">
        <is>
          <t>MC</t>
        </is>
      </c>
      <c r="D2825" s="45" t="inlineStr">
        <is>
          <t>UN</t>
        </is>
      </c>
      <c r="E2825" s="45" t="inlineStr">
        <is>
          <t>0001</t>
        </is>
      </c>
      <c r="F2825" s="70" t="inlineStr">
        <is>
          <t>Compras</t>
        </is>
      </c>
      <c r="G2825" s="69" t="n">
        <v>0</v>
      </c>
      <c r="H2825" s="172" t="inlineStr">
        <is>
          <t>Não</t>
        </is>
      </c>
      <c r="I2825" s="50" t="n"/>
    </row>
    <row r="2826">
      <c r="A2826" s="40" t="inlineStr">
        <is>
          <t>009699</t>
        </is>
      </c>
      <c r="B2826" s="41" t="inlineStr">
        <is>
          <t>TINTA PISO LISO 18L</t>
        </is>
      </c>
      <c r="C2826" s="42" t="inlineStr">
        <is>
          <t>MC</t>
        </is>
      </c>
      <c r="D2826" s="42" t="inlineStr">
        <is>
          <t>UN</t>
        </is>
      </c>
      <c r="E2826" s="42" t="inlineStr">
        <is>
          <t>0132</t>
        </is>
      </c>
      <c r="F2826" s="70" t="inlineStr">
        <is>
          <t>Compras</t>
        </is>
      </c>
      <c r="G2826" s="71" t="n">
        <v>429</v>
      </c>
      <c r="H2826" s="172" t="inlineStr">
        <is>
          <t>Não</t>
        </is>
      </c>
      <c r="I2826" s="49" t="n"/>
    </row>
    <row r="2827">
      <c r="A2827" s="43" t="inlineStr">
        <is>
          <t>009412</t>
        </is>
      </c>
      <c r="B2827" s="44" t="inlineStr">
        <is>
          <t>TINTA PISO LISO 3,6L</t>
        </is>
      </c>
      <c r="C2827" s="45" t="inlineStr">
        <is>
          <t>MC</t>
        </is>
      </c>
      <c r="D2827" s="45" t="inlineStr">
        <is>
          <t>UN</t>
        </is>
      </c>
      <c r="E2827" s="45" t="inlineStr">
        <is>
          <t>0132</t>
        </is>
      </c>
      <c r="F2827" s="70" t="inlineStr">
        <is>
          <t>Compras</t>
        </is>
      </c>
      <c r="G2827" s="66" t="n">
        <v>179</v>
      </c>
      <c r="H2827" s="172" t="inlineStr">
        <is>
          <t>Não</t>
        </is>
      </c>
      <c r="I2827" s="50" t="n"/>
    </row>
    <row r="2828">
      <c r="A2828" s="40" t="inlineStr">
        <is>
          <t>009298</t>
        </is>
      </c>
      <c r="B2828" s="41" t="inlineStr">
        <is>
          <t>TINTA SUPER LAVAVEL ANTIMANCHAS ANTIBAC 3,2L</t>
        </is>
      </c>
      <c r="C2828" s="42" t="inlineStr">
        <is>
          <t>MC</t>
        </is>
      </c>
      <c r="D2828" s="42" t="inlineStr">
        <is>
          <t>UN</t>
        </is>
      </c>
      <c r="E2828" s="42" t="inlineStr">
        <is>
          <t>0132</t>
        </is>
      </c>
      <c r="F2828" s="70" t="inlineStr">
        <is>
          <t>Compras</t>
        </is>
      </c>
      <c r="G2828" s="71" t="n">
        <v>239</v>
      </c>
      <c r="H2828" s="172" t="inlineStr">
        <is>
          <t>Não</t>
        </is>
      </c>
      <c r="I2828" s="49" t="n"/>
    </row>
    <row r="2829">
      <c r="A2829" s="43" t="inlineStr">
        <is>
          <t>009299</t>
        </is>
      </c>
      <c r="B2829" s="44" t="inlineStr">
        <is>
          <t>TINTA TOQUE DE SEDA 3,2L</t>
        </is>
      </c>
      <c r="C2829" s="45" t="inlineStr">
        <is>
          <t>MC</t>
        </is>
      </c>
      <c r="D2829" s="45" t="inlineStr">
        <is>
          <t>UN</t>
        </is>
      </c>
      <c r="E2829" s="45" t="inlineStr">
        <is>
          <t>0132</t>
        </is>
      </c>
      <c r="F2829" s="70" t="inlineStr">
        <is>
          <t>Compras</t>
        </is>
      </c>
      <c r="G2829" s="66" t="n">
        <v>259</v>
      </c>
      <c r="H2829" s="172" t="inlineStr">
        <is>
          <t>Não</t>
        </is>
      </c>
      <c r="I2829" s="50" t="n"/>
    </row>
    <row r="2830">
      <c r="A2830" s="40" t="inlineStr">
        <is>
          <t>009417</t>
        </is>
      </c>
      <c r="B2830" s="41" t="inlineStr">
        <is>
          <t>TINTA TOQUE FOSCO 16L</t>
        </is>
      </c>
      <c r="C2830" s="42" t="inlineStr">
        <is>
          <t>MC</t>
        </is>
      </c>
      <c r="D2830" s="42" t="inlineStr">
        <is>
          <t>UN</t>
        </is>
      </c>
      <c r="E2830" s="42" t="inlineStr">
        <is>
          <t>0132</t>
        </is>
      </c>
      <c r="F2830" s="70" t="inlineStr">
        <is>
          <t>Compras</t>
        </is>
      </c>
      <c r="G2830" s="71" t="n">
        <v>782</v>
      </c>
      <c r="H2830" s="172" t="inlineStr">
        <is>
          <t>Não</t>
        </is>
      </c>
      <c r="I2830" s="49" t="n"/>
    </row>
    <row r="2831">
      <c r="A2831" s="43" t="inlineStr">
        <is>
          <t>009868</t>
        </is>
      </c>
      <c r="B2831" s="44" t="inlineStr">
        <is>
          <t>TINTA TOQUE FOSCO 18L</t>
        </is>
      </c>
      <c r="C2831" s="45" t="inlineStr">
        <is>
          <t>MC</t>
        </is>
      </c>
      <c r="D2831" s="45" t="inlineStr">
        <is>
          <t>UN</t>
        </is>
      </c>
      <c r="E2831" s="45" t="inlineStr">
        <is>
          <t>0132</t>
        </is>
      </c>
      <c r="F2831" s="70" t="inlineStr">
        <is>
          <t>Compras</t>
        </is>
      </c>
      <c r="G2831" s="66" t="n">
        <v>430</v>
      </c>
      <c r="H2831" s="172" t="inlineStr">
        <is>
          <t>Não</t>
        </is>
      </c>
      <c r="I2831" s="50" t="n"/>
    </row>
    <row r="2832">
      <c r="A2832" s="40" t="inlineStr">
        <is>
          <t>009696</t>
        </is>
      </c>
      <c r="B2832" s="41" t="inlineStr">
        <is>
          <t>TINTA TOQUE FOSCO 20L</t>
        </is>
      </c>
      <c r="C2832" s="42" t="inlineStr">
        <is>
          <t>MC</t>
        </is>
      </c>
      <c r="D2832" s="42" t="inlineStr">
        <is>
          <t>UN</t>
        </is>
      </c>
      <c r="E2832" s="42" t="inlineStr">
        <is>
          <t>0132</t>
        </is>
      </c>
      <c r="F2832" s="70" t="inlineStr">
        <is>
          <t>Compras</t>
        </is>
      </c>
      <c r="G2832" s="68" t="n">
        <v>0</v>
      </c>
      <c r="H2832" s="172" t="inlineStr">
        <is>
          <t>Não</t>
        </is>
      </c>
      <c r="I2832" s="49" t="n"/>
    </row>
    <row r="2833">
      <c r="A2833" s="43" t="inlineStr">
        <is>
          <t>009369</t>
        </is>
      </c>
      <c r="B2833" s="44" t="inlineStr">
        <is>
          <t>TINTA TOQUE FOSCO 3,2L</t>
        </is>
      </c>
      <c r="C2833" s="45" t="inlineStr">
        <is>
          <t>MC</t>
        </is>
      </c>
      <c r="D2833" s="45" t="inlineStr">
        <is>
          <t>UN</t>
        </is>
      </c>
      <c r="E2833" s="45" t="inlineStr">
        <is>
          <t>0132</t>
        </is>
      </c>
      <c r="F2833" s="70" t="inlineStr">
        <is>
          <t>Compras</t>
        </is>
      </c>
      <c r="G2833" s="66" t="n">
        <v>87</v>
      </c>
      <c r="H2833" s="172" t="inlineStr">
        <is>
          <t>Não</t>
        </is>
      </c>
      <c r="I2833" s="50" t="n"/>
    </row>
    <row r="2834">
      <c r="A2834" s="40" t="inlineStr">
        <is>
          <t>009441</t>
        </is>
      </c>
      <c r="B2834" s="41" t="inlineStr">
        <is>
          <t>TINTA TOQUE FOSCO 3,6L</t>
        </is>
      </c>
      <c r="C2834" s="42" t="inlineStr">
        <is>
          <t>MC</t>
        </is>
      </c>
      <c r="D2834" s="42" t="inlineStr">
        <is>
          <t>UN</t>
        </is>
      </c>
      <c r="E2834" s="42" t="inlineStr">
        <is>
          <t>0132</t>
        </is>
      </c>
      <c r="F2834" s="70" t="inlineStr">
        <is>
          <t>Compras</t>
        </is>
      </c>
      <c r="G2834" s="71" t="n">
        <v>214.2</v>
      </c>
      <c r="H2834" s="172" t="inlineStr">
        <is>
          <t>Não</t>
        </is>
      </c>
      <c r="I2834" s="49" t="n"/>
    </row>
    <row r="2835">
      <c r="A2835" s="43" t="inlineStr">
        <is>
          <t>009414</t>
        </is>
      </c>
      <c r="B2835" s="44" t="inlineStr">
        <is>
          <t>TINTA ULTRA RESISTENCIA BRILHO 0,225L</t>
        </is>
      </c>
      <c r="C2835" s="45" t="inlineStr">
        <is>
          <t>MC</t>
        </is>
      </c>
      <c r="D2835" s="45" t="inlineStr">
        <is>
          <t>UN</t>
        </is>
      </c>
      <c r="E2835" s="45" t="inlineStr">
        <is>
          <t>0132</t>
        </is>
      </c>
      <c r="F2835" s="70" t="inlineStr">
        <is>
          <t>Compras</t>
        </is>
      </c>
      <c r="G2835" s="66" t="n">
        <v>262</v>
      </c>
      <c r="H2835" s="172" t="inlineStr">
        <is>
          <t>Não</t>
        </is>
      </c>
      <c r="I2835" s="50" t="n"/>
    </row>
    <row r="2836">
      <c r="A2836" s="40" t="inlineStr">
        <is>
          <t>009983</t>
        </is>
      </c>
      <c r="B2836" s="41" t="inlineStr">
        <is>
          <t>TIRANTE RIGIDO COM ELO 500MM</t>
        </is>
      </c>
      <c r="C2836" s="42" t="inlineStr">
        <is>
          <t>MC</t>
        </is>
      </c>
      <c r="D2836" s="42" t="inlineStr">
        <is>
          <t>UN</t>
        </is>
      </c>
      <c r="E2836" s="42" t="inlineStr">
        <is>
          <t>0132</t>
        </is>
      </c>
      <c r="F2836" s="70" t="inlineStr">
        <is>
          <t>Compras</t>
        </is>
      </c>
      <c r="G2836" s="68" t="n">
        <v>0</v>
      </c>
      <c r="H2836" s="172" t="inlineStr">
        <is>
          <t>Não</t>
        </is>
      </c>
      <c r="I2836" s="49" t="n"/>
    </row>
    <row r="2837">
      <c r="A2837" s="43" t="inlineStr">
        <is>
          <t>001933</t>
        </is>
      </c>
      <c r="B2837" s="44" t="inlineStr">
        <is>
          <t>TO DE FOLGA</t>
        </is>
      </c>
      <c r="C2837" s="45" t="inlineStr">
        <is>
          <t>MR</t>
        </is>
      </c>
      <c r="D2837" s="45" t="inlineStr">
        <is>
          <t>UN</t>
        </is>
      </c>
      <c r="E2837" s="45" t="inlineStr">
        <is>
          <t>0128</t>
        </is>
      </c>
      <c r="F2837" s="65" t="inlineStr">
        <is>
          <t>Venda</t>
        </is>
      </c>
      <c r="G2837" s="69" t="n">
        <v>0</v>
      </c>
      <c r="H2837" s="173" t="inlineStr">
        <is>
          <t>Sim</t>
        </is>
      </c>
      <c r="I2837" s="48" t="inlineStr">
        <is>
          <t>78989056877193</t>
        </is>
      </c>
    </row>
    <row r="2838">
      <c r="A2838" s="40" t="inlineStr">
        <is>
          <t>001839</t>
        </is>
      </c>
      <c r="B2838" s="41" t="inlineStr">
        <is>
          <t>TOALHA DE MESA</t>
        </is>
      </c>
      <c r="C2838" s="42" t="inlineStr">
        <is>
          <t>MC</t>
        </is>
      </c>
      <c r="D2838" s="42" t="inlineStr">
        <is>
          <t>UN</t>
        </is>
      </c>
      <c r="E2838" s="42" t="inlineStr">
        <is>
          <t>0072</t>
        </is>
      </c>
      <c r="F2838" s="70" t="inlineStr">
        <is>
          <t>Compras</t>
        </is>
      </c>
      <c r="G2838" s="71" t="n">
        <v>17.9</v>
      </c>
      <c r="H2838" s="172" t="inlineStr">
        <is>
          <t>Não</t>
        </is>
      </c>
      <c r="I2838" s="49" t="n"/>
    </row>
    <row r="2839">
      <c r="A2839" s="43" t="inlineStr">
        <is>
          <t>010188</t>
        </is>
      </c>
      <c r="B2839" s="44" t="inlineStr">
        <is>
          <t>TOALHA DE ROSTO</t>
        </is>
      </c>
      <c r="C2839" s="45" t="inlineStr">
        <is>
          <t>MC</t>
        </is>
      </c>
      <c r="D2839" s="45" t="inlineStr">
        <is>
          <t>UN</t>
        </is>
      </c>
      <c r="E2839" s="45" t="inlineStr">
        <is>
          <t>0072</t>
        </is>
      </c>
      <c r="F2839" s="70" t="inlineStr">
        <is>
          <t>Compras</t>
        </is>
      </c>
      <c r="G2839" s="66" t="n">
        <v>4.5</v>
      </c>
      <c r="H2839" s="172" t="inlineStr">
        <is>
          <t>Não</t>
        </is>
      </c>
      <c r="I2839" s="50" t="n"/>
    </row>
    <row r="2840">
      <c r="A2840" s="40" t="inlineStr">
        <is>
          <t>000445</t>
        </is>
      </c>
      <c r="B2840" s="41" t="inlineStr">
        <is>
          <t>TOLETE DE PUPUNHA 1,8KG</t>
        </is>
      </c>
      <c r="C2840" s="42" t="inlineStr">
        <is>
          <t>MP</t>
        </is>
      </c>
      <c r="D2840" s="42" t="inlineStr">
        <is>
          <t>KG</t>
        </is>
      </c>
      <c r="E2840" s="42" t="inlineStr">
        <is>
          <t>0029</t>
        </is>
      </c>
      <c r="F2840" s="70" t="inlineStr">
        <is>
          <t>Compras</t>
        </is>
      </c>
      <c r="G2840" s="71" t="n">
        <v>37.1667</v>
      </c>
      <c r="H2840" s="172" t="inlineStr">
        <is>
          <t>Não</t>
        </is>
      </c>
      <c r="I2840" s="49" t="n"/>
    </row>
    <row r="2841">
      <c r="A2841" s="43" t="inlineStr">
        <is>
          <t>009314</t>
        </is>
      </c>
      <c r="B2841" s="44" t="inlineStr">
        <is>
          <t>TOMADA 2P+T 20A-250V</t>
        </is>
      </c>
      <c r="C2841" s="45" t="inlineStr">
        <is>
          <t>MC</t>
        </is>
      </c>
      <c r="D2841" s="45" t="inlineStr">
        <is>
          <t>UN</t>
        </is>
      </c>
      <c r="E2841" s="45" t="inlineStr">
        <is>
          <t>0132</t>
        </is>
      </c>
      <c r="F2841" s="70" t="inlineStr">
        <is>
          <t>Compras</t>
        </is>
      </c>
      <c r="G2841" s="66" t="n">
        <v>12</v>
      </c>
      <c r="H2841" s="172" t="inlineStr">
        <is>
          <t>Não</t>
        </is>
      </c>
      <c r="I2841" s="50" t="n"/>
    </row>
    <row r="2842">
      <c r="A2842" s="40" t="inlineStr">
        <is>
          <t>010278</t>
        </is>
      </c>
      <c r="B2842" s="41" t="inlineStr">
        <is>
          <t>TOMADA SOBREPOR INDU. 3 POLOS + TERRA 63A 220/240V</t>
        </is>
      </c>
      <c r="C2842" s="42" t="inlineStr">
        <is>
          <t>MC</t>
        </is>
      </c>
      <c r="D2842" s="42" t="inlineStr">
        <is>
          <t>UN</t>
        </is>
      </c>
      <c r="E2842" s="42" t="inlineStr">
        <is>
          <t>0132</t>
        </is>
      </c>
      <c r="F2842" s="70" t="inlineStr">
        <is>
          <t>Compras</t>
        </is>
      </c>
      <c r="G2842" s="68" t="n">
        <v>0</v>
      </c>
      <c r="H2842" s="172" t="inlineStr">
        <is>
          <t>Não</t>
        </is>
      </c>
      <c r="I2842" s="49" t="n"/>
    </row>
    <row r="2843">
      <c r="A2843" s="43" t="inlineStr">
        <is>
          <t>000485</t>
        </is>
      </c>
      <c r="B2843" s="44" t="inlineStr">
        <is>
          <t>TOMATE  CEREJA</t>
        </is>
      </c>
      <c r="C2843" s="45" t="inlineStr">
        <is>
          <t>MP</t>
        </is>
      </c>
      <c r="D2843" s="45" t="inlineStr">
        <is>
          <t>KG</t>
        </is>
      </c>
      <c r="E2843" s="45" t="inlineStr">
        <is>
          <t>0036</t>
        </is>
      </c>
      <c r="F2843" s="70" t="inlineStr">
        <is>
          <t>Compras</t>
        </is>
      </c>
      <c r="G2843" s="66" t="n">
        <v>29</v>
      </c>
      <c r="H2843" s="172" t="inlineStr">
        <is>
          <t>Não</t>
        </is>
      </c>
      <c r="I2843" s="50" t="n"/>
    </row>
    <row r="2844">
      <c r="A2844" s="40" t="inlineStr">
        <is>
          <t>000486</t>
        </is>
      </c>
      <c r="B2844" s="41" t="inlineStr">
        <is>
          <t>TOMATE SALADA</t>
        </is>
      </c>
      <c r="C2844" s="42" t="inlineStr">
        <is>
          <t>MP</t>
        </is>
      </c>
      <c r="D2844" s="42" t="inlineStr">
        <is>
          <t>KG</t>
        </is>
      </c>
      <c r="E2844" s="42" t="inlineStr">
        <is>
          <t>0036</t>
        </is>
      </c>
      <c r="F2844" s="70" t="inlineStr">
        <is>
          <t>Compras</t>
        </is>
      </c>
      <c r="G2844" s="71" t="n">
        <v>12.37</v>
      </c>
      <c r="H2844" s="172" t="inlineStr">
        <is>
          <t>Não</t>
        </is>
      </c>
      <c r="I2844" s="49" t="n"/>
    </row>
    <row r="2845">
      <c r="A2845" s="43" t="inlineStr">
        <is>
          <t>000444</t>
        </is>
      </c>
      <c r="B2845" s="44" t="inlineStr">
        <is>
          <t>TOMATE SECO</t>
        </is>
      </c>
      <c r="C2845" s="45" t="inlineStr">
        <is>
          <t>MP</t>
        </is>
      </c>
      <c r="D2845" s="45" t="inlineStr">
        <is>
          <t>KG</t>
        </is>
      </c>
      <c r="E2845" s="45" t="inlineStr">
        <is>
          <t>0029</t>
        </is>
      </c>
      <c r="F2845" s="70" t="inlineStr">
        <is>
          <t>Compras</t>
        </is>
      </c>
      <c r="G2845" s="66" t="n">
        <v>11.49</v>
      </c>
      <c r="H2845" s="172" t="inlineStr">
        <is>
          <t>Não</t>
        </is>
      </c>
      <c r="I2845" s="50" t="n"/>
    </row>
    <row r="2846">
      <c r="A2846" s="40" t="inlineStr">
        <is>
          <t>000667</t>
        </is>
      </c>
      <c r="B2846" s="41" t="inlineStr">
        <is>
          <t>TOMILHO</t>
        </is>
      </c>
      <c r="C2846" s="42" t="inlineStr">
        <is>
          <t>MP</t>
        </is>
      </c>
      <c r="D2846" s="42" t="inlineStr">
        <is>
          <t>KG</t>
        </is>
      </c>
      <c r="E2846" s="42" t="inlineStr">
        <is>
          <t>0036</t>
        </is>
      </c>
      <c r="F2846" s="70" t="inlineStr">
        <is>
          <t>Compras</t>
        </is>
      </c>
      <c r="G2846" s="71" t="n">
        <v>128</v>
      </c>
      <c r="H2846" s="172" t="inlineStr">
        <is>
          <t>Não</t>
        </is>
      </c>
      <c r="I2846" s="49" t="n"/>
    </row>
    <row r="2847">
      <c r="A2847" s="43" t="inlineStr">
        <is>
          <t>000318</t>
        </is>
      </c>
      <c r="B2847" s="44" t="inlineStr">
        <is>
          <t>TONICA COMUM LATA</t>
        </is>
      </c>
      <c r="C2847" s="45" t="inlineStr">
        <is>
          <t>ME</t>
        </is>
      </c>
      <c r="D2847" s="45" t="inlineStr">
        <is>
          <t>UN</t>
        </is>
      </c>
      <c r="E2847" s="45" t="inlineStr">
        <is>
          <t>0021</t>
        </is>
      </c>
      <c r="F2847" s="70" t="inlineStr">
        <is>
          <t>Compras</t>
        </is>
      </c>
      <c r="G2847" s="66" t="n">
        <v>2.0313</v>
      </c>
      <c r="H2847" s="172" t="inlineStr">
        <is>
          <t>Não</t>
        </is>
      </c>
      <c r="I2847" s="50" t="n"/>
    </row>
    <row r="2848">
      <c r="A2848" s="40" t="inlineStr">
        <is>
          <t>000317</t>
        </is>
      </c>
      <c r="B2848" s="41" t="inlineStr">
        <is>
          <t>TONICA DIET LATA</t>
        </is>
      </c>
      <c r="C2848" s="42" t="inlineStr">
        <is>
          <t>ME</t>
        </is>
      </c>
      <c r="D2848" s="42" t="inlineStr">
        <is>
          <t>UN</t>
        </is>
      </c>
      <c r="E2848" s="42" t="inlineStr">
        <is>
          <t>0021</t>
        </is>
      </c>
      <c r="F2848" s="70" t="inlineStr">
        <is>
          <t>Compras</t>
        </is>
      </c>
      <c r="G2848" s="71" t="n">
        <v>2.0505</v>
      </c>
      <c r="H2848" s="172" t="inlineStr">
        <is>
          <t>Não</t>
        </is>
      </c>
      <c r="I2848" s="49" t="n"/>
    </row>
    <row r="2849">
      <c r="A2849" s="43" t="inlineStr">
        <is>
          <t>000969</t>
        </is>
      </c>
      <c r="B2849" s="44" t="inlineStr">
        <is>
          <t>TORCIDA FLAMENGO</t>
        </is>
      </c>
      <c r="C2849" s="45" t="inlineStr">
        <is>
          <t>MR</t>
        </is>
      </c>
      <c r="D2849" s="45" t="inlineStr">
        <is>
          <t>UN</t>
        </is>
      </c>
      <c r="E2849" s="45" t="inlineStr">
        <is>
          <t>0107</t>
        </is>
      </c>
      <c r="F2849" s="70" t="inlineStr">
        <is>
          <t>Compras</t>
        </is>
      </c>
      <c r="G2849" s="69" t="n">
        <v>0</v>
      </c>
      <c r="H2849" s="173" t="inlineStr">
        <is>
          <t>Sim</t>
        </is>
      </c>
      <c r="I2849" s="50" t="n"/>
    </row>
    <row r="2850">
      <c r="A2850" s="40" t="inlineStr">
        <is>
          <t>009463</t>
        </is>
      </c>
      <c r="B2850" s="41" t="inlineStr">
        <is>
          <t>TORNEIRA BICA MOVEL PARA LAVATORIO</t>
        </is>
      </c>
      <c r="C2850" s="42" t="inlineStr">
        <is>
          <t>MC</t>
        </is>
      </c>
      <c r="D2850" s="42" t="inlineStr">
        <is>
          <t>UN</t>
        </is>
      </c>
      <c r="E2850" s="42" t="inlineStr">
        <is>
          <t>0132</t>
        </is>
      </c>
      <c r="F2850" s="70" t="inlineStr">
        <is>
          <t>Compras</t>
        </is>
      </c>
      <c r="G2850" s="71" t="n">
        <v>76.90000000000001</v>
      </c>
      <c r="H2850" s="172" t="inlineStr">
        <is>
          <t>Não</t>
        </is>
      </c>
      <c r="I2850" s="49" t="n"/>
    </row>
    <row r="2851">
      <c r="A2851" s="43" t="inlineStr">
        <is>
          <t>009460</t>
        </is>
      </c>
      <c r="B2851" s="44" t="inlineStr">
        <is>
          <t>TORNEIRA BOIA 3/4</t>
        </is>
      </c>
      <c r="C2851" s="45" t="inlineStr">
        <is>
          <t>MC</t>
        </is>
      </c>
      <c r="D2851" s="45" t="inlineStr">
        <is>
          <t>UN</t>
        </is>
      </c>
      <c r="E2851" s="45" t="inlineStr">
        <is>
          <t>0132</t>
        </is>
      </c>
      <c r="F2851" s="70" t="inlineStr">
        <is>
          <t>Compras</t>
        </is>
      </c>
      <c r="G2851" s="66" t="n">
        <v>89</v>
      </c>
      <c r="H2851" s="172" t="inlineStr">
        <is>
          <t>Não</t>
        </is>
      </c>
      <c r="I2851" s="50" t="n"/>
    </row>
    <row r="2852">
      <c r="A2852" s="40" t="inlineStr">
        <is>
          <t>009461</t>
        </is>
      </c>
      <c r="B2852" s="41" t="inlineStr">
        <is>
          <t>TORNEIRA BOIA 3/4 GARDEN</t>
        </is>
      </c>
      <c r="C2852" s="42" t="inlineStr">
        <is>
          <t>MC</t>
        </is>
      </c>
      <c r="D2852" s="42" t="inlineStr">
        <is>
          <t>UN</t>
        </is>
      </c>
      <c r="E2852" s="42" t="inlineStr">
        <is>
          <t>0132</t>
        </is>
      </c>
      <c r="F2852" s="70" t="inlineStr">
        <is>
          <t>Compras</t>
        </is>
      </c>
      <c r="G2852" s="71" t="n">
        <v>49.9</v>
      </c>
      <c r="H2852" s="172" t="inlineStr">
        <is>
          <t>Não</t>
        </is>
      </c>
      <c r="I2852" s="49" t="n"/>
    </row>
    <row r="2853">
      <c r="A2853" s="43" t="inlineStr">
        <is>
          <t>009873</t>
        </is>
      </c>
      <c r="B2853" s="44" t="inlineStr">
        <is>
          <t>TORNEIRA C61 BICA ALTA</t>
        </is>
      </c>
      <c r="C2853" s="45" t="inlineStr">
        <is>
          <t>MC</t>
        </is>
      </c>
      <c r="D2853" s="45" t="inlineStr">
        <is>
          <t>UN</t>
        </is>
      </c>
      <c r="E2853" s="45" t="inlineStr">
        <is>
          <t>0132</t>
        </is>
      </c>
      <c r="F2853" s="70" t="inlineStr">
        <is>
          <t>Compras</t>
        </is>
      </c>
      <c r="G2853" s="66" t="n">
        <v>239</v>
      </c>
      <c r="H2853" s="172" t="inlineStr">
        <is>
          <t>Não</t>
        </is>
      </c>
      <c r="I2853" s="50" t="n"/>
    </row>
    <row r="2854">
      <c r="A2854" s="40" t="inlineStr">
        <is>
          <t>000705</t>
        </is>
      </c>
      <c r="B2854" s="41" t="inlineStr">
        <is>
          <t>TORNEIRA CHOPEIRA BLACK</t>
        </is>
      </c>
      <c r="C2854" s="42" t="inlineStr">
        <is>
          <t>AI</t>
        </is>
      </c>
      <c r="D2854" s="42" t="inlineStr">
        <is>
          <t>UN</t>
        </is>
      </c>
      <c r="E2854" s="42" t="inlineStr">
        <is>
          <t>0061</t>
        </is>
      </c>
      <c r="F2854" s="70" t="inlineStr">
        <is>
          <t>Compras</t>
        </is>
      </c>
      <c r="G2854" s="68" t="n">
        <v>0</v>
      </c>
      <c r="H2854" s="173" t="inlineStr">
        <is>
          <t>Sim</t>
        </is>
      </c>
      <c r="I2854" s="49" t="n"/>
    </row>
    <row r="2855">
      <c r="A2855" s="43" t="inlineStr">
        <is>
          <t>000706</t>
        </is>
      </c>
      <c r="B2855" s="44" t="inlineStr">
        <is>
          <t>TORNEIRA CHOPEIRA CREME</t>
        </is>
      </c>
      <c r="C2855" s="45" t="inlineStr">
        <is>
          <t>MC</t>
        </is>
      </c>
      <c r="D2855" s="45" t="inlineStr">
        <is>
          <t>UN</t>
        </is>
      </c>
      <c r="E2855" s="45" t="inlineStr">
        <is>
          <t>0061</t>
        </is>
      </c>
      <c r="F2855" s="70" t="inlineStr">
        <is>
          <t>Compras</t>
        </is>
      </c>
      <c r="G2855" s="69" t="n">
        <v>0</v>
      </c>
      <c r="H2855" s="173" t="inlineStr">
        <is>
          <t>Sim</t>
        </is>
      </c>
      <c r="I2855" s="50" t="n"/>
    </row>
    <row r="2856">
      <c r="A2856" s="40" t="inlineStr">
        <is>
          <t>010307</t>
        </is>
      </c>
      <c r="B2856" s="41" t="inlineStr">
        <is>
          <t>TORNEIRA COZINHA PAREDE BICA ALTA 1/4 VOLTA</t>
        </is>
      </c>
      <c r="C2856" s="42" t="inlineStr">
        <is>
          <t>MC</t>
        </is>
      </c>
      <c r="D2856" s="42" t="inlineStr">
        <is>
          <t>UN</t>
        </is>
      </c>
      <c r="E2856" s="42" t="inlineStr">
        <is>
          <t>0132</t>
        </is>
      </c>
      <c r="F2856" s="70" t="inlineStr">
        <is>
          <t>Compras</t>
        </is>
      </c>
      <c r="G2856" s="71" t="n">
        <v>259</v>
      </c>
      <c r="H2856" s="172" t="inlineStr">
        <is>
          <t>Não</t>
        </is>
      </c>
      <c r="I2856" s="49" t="n"/>
    </row>
    <row r="2857">
      <c r="A2857" s="43" t="inlineStr">
        <is>
          <t>009462</t>
        </is>
      </c>
      <c r="B2857" s="44" t="inlineStr">
        <is>
          <t>TORNEIRA DE BOIA BALAO FRIGIDEIRA 3/4</t>
        </is>
      </c>
      <c r="C2857" s="45" t="inlineStr">
        <is>
          <t>MC</t>
        </is>
      </c>
      <c r="D2857" s="45" t="inlineStr">
        <is>
          <t>UN</t>
        </is>
      </c>
      <c r="E2857" s="45" t="inlineStr">
        <is>
          <t>0132</t>
        </is>
      </c>
      <c r="F2857" s="70" t="inlineStr">
        <is>
          <t>Compras</t>
        </is>
      </c>
      <c r="G2857" s="66" t="n">
        <v>49.9</v>
      </c>
      <c r="H2857" s="172" t="inlineStr">
        <is>
          <t>Não</t>
        </is>
      </c>
      <c r="I2857" s="50" t="n"/>
    </row>
    <row r="2858">
      <c r="A2858" s="40" t="inlineStr">
        <is>
          <t>009384</t>
        </is>
      </c>
      <c r="B2858" s="41" t="inlineStr">
        <is>
          <t>TORNEIRA JARDIM CURTA CURTA 1/2 X 3/4</t>
        </is>
      </c>
      <c r="C2858" s="42" t="inlineStr">
        <is>
          <t>MC</t>
        </is>
      </c>
      <c r="D2858" s="42" t="inlineStr">
        <is>
          <t>UN</t>
        </is>
      </c>
      <c r="E2858" s="42" t="inlineStr">
        <is>
          <t>0132</t>
        </is>
      </c>
      <c r="F2858" s="70" t="inlineStr">
        <is>
          <t>Compras</t>
        </is>
      </c>
      <c r="G2858" s="71" t="n">
        <v>42</v>
      </c>
      <c r="H2858" s="172" t="inlineStr">
        <is>
          <t>Não</t>
        </is>
      </c>
      <c r="I2858" s="49" t="n"/>
    </row>
    <row r="2859">
      <c r="A2859" s="43" t="inlineStr">
        <is>
          <t>009955</t>
        </is>
      </c>
      <c r="B2859" s="44" t="inlineStr">
        <is>
          <t>TORNEIRA JARDIM LONGA 18CM</t>
        </is>
      </c>
      <c r="C2859" s="45" t="inlineStr">
        <is>
          <t>MC</t>
        </is>
      </c>
      <c r="D2859" s="45" t="inlineStr">
        <is>
          <t>UN</t>
        </is>
      </c>
      <c r="E2859" s="45" t="inlineStr">
        <is>
          <t>0132</t>
        </is>
      </c>
      <c r="F2859" s="70" t="inlineStr">
        <is>
          <t>Compras</t>
        </is>
      </c>
      <c r="G2859" s="66" t="n">
        <v>54.697</v>
      </c>
      <c r="H2859" s="172" t="inlineStr">
        <is>
          <t>Não</t>
        </is>
      </c>
      <c r="I2859" s="50" t="n"/>
    </row>
    <row r="2860">
      <c r="A2860" s="40" t="inlineStr">
        <is>
          <t>001363</t>
        </is>
      </c>
      <c r="B2860" s="41" t="inlineStr">
        <is>
          <t>TORRADA</t>
        </is>
      </c>
      <c r="C2860" s="42" t="inlineStr">
        <is>
          <t>PA</t>
        </is>
      </c>
      <c r="D2860" s="42" t="inlineStr">
        <is>
          <t>UN</t>
        </is>
      </c>
      <c r="E2860" s="42" t="inlineStr">
        <is>
          <t>0107</t>
        </is>
      </c>
      <c r="F2860" s="65" t="inlineStr">
        <is>
          <t>Venda</t>
        </is>
      </c>
      <c r="G2860" s="68" t="n">
        <v>0</v>
      </c>
      <c r="H2860" s="172" t="inlineStr">
        <is>
          <t>Não</t>
        </is>
      </c>
      <c r="I2860" s="47" t="inlineStr">
        <is>
          <t>7898905687177</t>
        </is>
      </c>
    </row>
    <row r="2861">
      <c r="A2861" s="43" t="inlineStr">
        <is>
          <t>001379</t>
        </is>
      </c>
      <c r="B2861" s="44" t="inlineStr">
        <is>
          <t>TORRADA</t>
        </is>
      </c>
      <c r="C2861" s="45" t="inlineStr">
        <is>
          <t>MP</t>
        </is>
      </c>
      <c r="D2861" s="45" t="inlineStr">
        <is>
          <t>KG</t>
        </is>
      </c>
      <c r="E2861" s="45" t="inlineStr">
        <is>
          <t>0029</t>
        </is>
      </c>
      <c r="F2861" s="70" t="inlineStr">
        <is>
          <t>Compras</t>
        </is>
      </c>
      <c r="G2861" s="69" t="n">
        <v>0</v>
      </c>
      <c r="H2861" s="172" t="inlineStr">
        <is>
          <t>Não</t>
        </is>
      </c>
      <c r="I2861" s="50" t="n"/>
    </row>
    <row r="2862">
      <c r="A2862" s="40" t="inlineStr">
        <is>
          <t>009967</t>
        </is>
      </c>
      <c r="B2862" s="41" t="inlineStr">
        <is>
          <t>TORRE DE ENTRADA UNIVERSAL REGULAVEL COM BOIA</t>
        </is>
      </c>
      <c r="C2862" s="42" t="inlineStr">
        <is>
          <t>MC</t>
        </is>
      </c>
      <c r="D2862" s="42" t="inlineStr">
        <is>
          <t>UN</t>
        </is>
      </c>
      <c r="E2862" s="42" t="inlineStr">
        <is>
          <t>0132</t>
        </is>
      </c>
      <c r="F2862" s="70" t="inlineStr">
        <is>
          <t>Compras</t>
        </is>
      </c>
      <c r="G2862" s="71" t="n">
        <v>80.5</v>
      </c>
      <c r="H2862" s="172" t="inlineStr">
        <is>
          <t>Não</t>
        </is>
      </c>
      <c r="I2862" s="49" t="n"/>
    </row>
    <row r="2863">
      <c r="A2863" s="43" t="inlineStr">
        <is>
          <t>009968</t>
        </is>
      </c>
      <c r="B2863" s="44" t="inlineStr">
        <is>
          <t>TORRE DE SAIDA UNIVERSAL COM BOIA</t>
        </is>
      </c>
      <c r="C2863" s="45" t="inlineStr">
        <is>
          <t>MC</t>
        </is>
      </c>
      <c r="D2863" s="45" t="inlineStr">
        <is>
          <t>UN</t>
        </is>
      </c>
      <c r="E2863" s="45" t="inlineStr">
        <is>
          <t>0132</t>
        </is>
      </c>
      <c r="F2863" s="70" t="inlineStr">
        <is>
          <t>Compras</t>
        </is>
      </c>
      <c r="G2863" s="66" t="n">
        <v>121.5</v>
      </c>
      <c r="H2863" s="172" t="inlineStr">
        <is>
          <t>Não</t>
        </is>
      </c>
      <c r="I2863" s="50" t="n"/>
    </row>
    <row r="2864">
      <c r="A2864" s="40" t="inlineStr">
        <is>
          <t>009780</t>
        </is>
      </c>
      <c r="B2864" s="41" t="inlineStr">
        <is>
          <t>TORRONE MINI AMENDOIM MONTEVERGINE 50UN</t>
        </is>
      </c>
      <c r="C2864" s="42" t="inlineStr">
        <is>
          <t>MC</t>
        </is>
      </c>
      <c r="D2864" s="42" t="inlineStr">
        <is>
          <t>UN</t>
        </is>
      </c>
      <c r="E2864" s="42" t="inlineStr">
        <is>
          <t>0013</t>
        </is>
      </c>
      <c r="F2864" s="70" t="inlineStr">
        <is>
          <t>Compras</t>
        </is>
      </c>
      <c r="G2864" s="68" t="n">
        <v>0</v>
      </c>
      <c r="H2864" s="172" t="inlineStr">
        <is>
          <t>Não</t>
        </is>
      </c>
      <c r="I2864" s="49" t="n"/>
    </row>
    <row r="2865">
      <c r="A2865" s="43" t="inlineStr">
        <is>
          <t>001646</t>
        </is>
      </c>
      <c r="B2865" s="44" t="inlineStr">
        <is>
          <t>TOTEM</t>
        </is>
      </c>
      <c r="C2865" s="45" t="inlineStr">
        <is>
          <t>SV</t>
        </is>
      </c>
      <c r="D2865" s="45" t="inlineStr">
        <is>
          <t>UN</t>
        </is>
      </c>
      <c r="E2865" s="45" t="inlineStr">
        <is>
          <t>(VAZ</t>
        </is>
      </c>
      <c r="F2865" s="70" t="inlineStr">
        <is>
          <t>Compras</t>
        </is>
      </c>
      <c r="G2865" s="69" t="n">
        <v>0</v>
      </c>
      <c r="H2865" s="172" t="inlineStr">
        <is>
          <t>Não</t>
        </is>
      </c>
      <c r="I2865" s="50" t="n"/>
    </row>
    <row r="2866">
      <c r="A2866" s="40" t="inlineStr">
        <is>
          <t>010287</t>
        </is>
      </c>
      <c r="B2866" s="41" t="inlineStr">
        <is>
          <t>TOTEM PUBLICIDADE (COMODATO)</t>
        </is>
      </c>
      <c r="C2866" s="42" t="inlineStr">
        <is>
          <t>MC</t>
        </is>
      </c>
      <c r="D2866" s="42" t="inlineStr">
        <is>
          <t>UN</t>
        </is>
      </c>
      <c r="E2866" s="42" t="inlineStr">
        <is>
          <t>0140</t>
        </is>
      </c>
      <c r="F2866" s="70" t="inlineStr">
        <is>
          <t>Compras</t>
        </is>
      </c>
      <c r="G2866" s="68" t="n">
        <v>0</v>
      </c>
      <c r="H2866" s="172" t="inlineStr">
        <is>
          <t>Não</t>
        </is>
      </c>
      <c r="I2866" s="49" t="n"/>
    </row>
    <row r="2867">
      <c r="A2867" s="43" t="inlineStr">
        <is>
          <t>000128</t>
        </is>
      </c>
      <c r="B2867" s="44" t="inlineStr">
        <is>
          <t>TOUCA DESCARTAVEL</t>
        </is>
      </c>
      <c r="C2867" s="45" t="inlineStr">
        <is>
          <t>MC</t>
        </is>
      </c>
      <c r="D2867" s="45" t="inlineStr">
        <is>
          <t>UN</t>
        </is>
      </c>
      <c r="E2867" s="45" t="inlineStr">
        <is>
          <t>0075</t>
        </is>
      </c>
      <c r="F2867" s="70" t="inlineStr">
        <is>
          <t>Compras</t>
        </is>
      </c>
      <c r="G2867" s="66" t="n">
        <v>9.529999999999999</v>
      </c>
      <c r="H2867" s="172" t="inlineStr">
        <is>
          <t>Não</t>
        </is>
      </c>
      <c r="I2867" s="50" t="n"/>
    </row>
    <row r="2868">
      <c r="A2868" s="40" t="inlineStr">
        <is>
          <t>000127</t>
        </is>
      </c>
      <c r="B2868" s="41" t="inlineStr">
        <is>
          <t>TOUCA REDINHA</t>
        </is>
      </c>
      <c r="C2868" s="42" t="inlineStr">
        <is>
          <t>MC</t>
        </is>
      </c>
      <c r="D2868" s="42" t="inlineStr">
        <is>
          <t>UN</t>
        </is>
      </c>
      <c r="E2868" s="42" t="inlineStr">
        <is>
          <t>0075</t>
        </is>
      </c>
      <c r="F2868" s="70" t="inlineStr">
        <is>
          <t>Compras</t>
        </is>
      </c>
      <c r="G2868" s="71" t="n">
        <v>39.9</v>
      </c>
      <c r="H2868" s="172" t="inlineStr">
        <is>
          <t>Não</t>
        </is>
      </c>
      <c r="I2868" s="49" t="n"/>
    </row>
    <row r="2869">
      <c r="A2869" s="43" t="inlineStr">
        <is>
          <t>001803</t>
        </is>
      </c>
      <c r="B2869" s="44" t="inlineStr">
        <is>
          <t>TRADU  O E INTERPRETA  O</t>
        </is>
      </c>
      <c r="C2869" s="45" t="inlineStr">
        <is>
          <t>SV</t>
        </is>
      </c>
      <c r="D2869" s="45" t="inlineStr">
        <is>
          <t>UN</t>
        </is>
      </c>
      <c r="E2869" s="45" t="inlineStr">
        <is>
          <t>(VAZ</t>
        </is>
      </c>
      <c r="F2869" s="70" t="inlineStr">
        <is>
          <t>Compras</t>
        </is>
      </c>
      <c r="G2869" s="69" t="n">
        <v>0</v>
      </c>
      <c r="H2869" s="172" t="inlineStr">
        <is>
          <t>Não</t>
        </is>
      </c>
      <c r="I2869" s="50" t="n"/>
    </row>
    <row r="2870">
      <c r="A2870" s="40" t="inlineStr">
        <is>
          <t>000612</t>
        </is>
      </c>
      <c r="B2870" s="41" t="inlineStr">
        <is>
          <t>TRANSFORMADOR</t>
        </is>
      </c>
      <c r="C2870" s="42" t="inlineStr">
        <is>
          <t>AI</t>
        </is>
      </c>
      <c r="D2870" s="42" t="inlineStr">
        <is>
          <t>UN</t>
        </is>
      </c>
      <c r="E2870" s="42" t="inlineStr">
        <is>
          <t>0002</t>
        </is>
      </c>
      <c r="F2870" s="70" t="inlineStr">
        <is>
          <t>Compras</t>
        </is>
      </c>
      <c r="G2870" s="68" t="n">
        <v>0</v>
      </c>
      <c r="H2870" s="172" t="inlineStr">
        <is>
          <t>Não</t>
        </is>
      </c>
      <c r="I2870" s="49" t="n"/>
    </row>
    <row r="2871">
      <c r="A2871" s="43" t="inlineStr">
        <is>
          <t>5PS00259</t>
        </is>
      </c>
      <c r="B2871" s="44" t="inlineStr">
        <is>
          <t>TRANSFORMADOR AUTOTRAFO 1500VA</t>
        </is>
      </c>
      <c r="C2871" s="45" t="inlineStr">
        <is>
          <t>AI</t>
        </is>
      </c>
      <c r="D2871" s="45" t="inlineStr">
        <is>
          <t>UN</t>
        </is>
      </c>
      <c r="E2871" s="45" t="inlineStr">
        <is>
          <t>0001</t>
        </is>
      </c>
      <c r="F2871" s="65" t="inlineStr">
        <is>
          <t>Venda</t>
        </is>
      </c>
      <c r="G2871" s="69" t="n">
        <v>0</v>
      </c>
      <c r="H2871" s="173" t="inlineStr">
        <is>
          <t>Sim</t>
        </is>
      </c>
      <c r="I2871" s="50" t="n"/>
    </row>
    <row r="2872">
      <c r="A2872" s="40" t="inlineStr">
        <is>
          <t>001699</t>
        </is>
      </c>
      <c r="B2872" s="41" t="inlineStr">
        <is>
          <t>TRANSPORTE RODOVIARIO DE PASSA</t>
        </is>
      </c>
      <c r="C2872" s="42" t="inlineStr">
        <is>
          <t>SV</t>
        </is>
      </c>
      <c r="D2872" s="42" t="inlineStr">
        <is>
          <t>UN</t>
        </is>
      </c>
      <c r="E2872" s="42" t="inlineStr">
        <is>
          <t>(VAZ</t>
        </is>
      </c>
      <c r="F2872" s="70" t="inlineStr">
        <is>
          <t>Compras</t>
        </is>
      </c>
      <c r="G2872" s="68" t="n">
        <v>0</v>
      </c>
      <c r="H2872" s="172" t="inlineStr">
        <is>
          <t>Não</t>
        </is>
      </c>
      <c r="I2872" s="49" t="n"/>
    </row>
    <row r="2873">
      <c r="A2873" s="43" t="inlineStr">
        <is>
          <t>009602</t>
        </is>
      </c>
      <c r="B2873" s="44" t="inlineStr">
        <is>
          <t>TRAVESSA OVAL INOX 25CM</t>
        </is>
      </c>
      <c r="C2873" s="45" t="inlineStr">
        <is>
          <t>MC</t>
        </is>
      </c>
      <c r="D2873" s="45" t="inlineStr">
        <is>
          <t>UN</t>
        </is>
      </c>
      <c r="E2873" s="45" t="inlineStr">
        <is>
          <t>0080</t>
        </is>
      </c>
      <c r="F2873" s="70" t="inlineStr">
        <is>
          <t>Compras</t>
        </is>
      </c>
      <c r="G2873" s="66" t="n">
        <v>21.8</v>
      </c>
      <c r="H2873" s="172" t="inlineStr">
        <is>
          <t>Não</t>
        </is>
      </c>
      <c r="I2873" s="50" t="n"/>
    </row>
    <row r="2874">
      <c r="A2874" s="40" t="inlineStr">
        <is>
          <t>000743</t>
        </is>
      </c>
      <c r="B2874" s="41" t="inlineStr">
        <is>
          <t>TRAVESSA REATANGULAR 34X23</t>
        </is>
      </c>
      <c r="C2874" s="42" t="inlineStr">
        <is>
          <t>MC</t>
        </is>
      </c>
      <c r="D2874" s="42" t="inlineStr">
        <is>
          <t>UN</t>
        </is>
      </c>
      <c r="E2874" s="42" t="inlineStr">
        <is>
          <t>0080</t>
        </is>
      </c>
      <c r="F2874" s="70" t="inlineStr">
        <is>
          <t>Compras</t>
        </is>
      </c>
      <c r="G2874" s="71" t="n">
        <v>168</v>
      </c>
      <c r="H2874" s="172" t="inlineStr">
        <is>
          <t>Não</t>
        </is>
      </c>
      <c r="I2874" s="49" t="n"/>
    </row>
    <row r="2875">
      <c r="A2875" s="43" t="inlineStr">
        <is>
          <t>000584</t>
        </is>
      </c>
      <c r="B2875" s="44" t="inlineStr">
        <is>
          <t>TRAVESSA RETANGULAR 40X27</t>
        </is>
      </c>
      <c r="C2875" s="45" t="inlineStr">
        <is>
          <t>MC</t>
        </is>
      </c>
      <c r="D2875" s="45" t="inlineStr">
        <is>
          <t>UN</t>
        </is>
      </c>
      <c r="E2875" s="45" t="inlineStr">
        <is>
          <t>0080</t>
        </is>
      </c>
      <c r="F2875" s="70" t="inlineStr">
        <is>
          <t>Compras</t>
        </is>
      </c>
      <c r="G2875" s="66" t="n">
        <v>168.9</v>
      </c>
      <c r="H2875" s="172" t="inlineStr">
        <is>
          <t>Não</t>
        </is>
      </c>
      <c r="I2875" s="50" t="n"/>
    </row>
    <row r="2876">
      <c r="A2876" s="40" t="inlineStr">
        <is>
          <t>001608</t>
        </is>
      </c>
      <c r="B2876" s="41" t="inlineStr">
        <is>
          <t>TREINAMENTO BRIGADA DE INCENDI</t>
        </is>
      </c>
      <c r="C2876" s="42" t="inlineStr">
        <is>
          <t>SV</t>
        </is>
      </c>
      <c r="D2876" s="42" t="inlineStr">
        <is>
          <t>UN</t>
        </is>
      </c>
      <c r="E2876" s="42" t="inlineStr">
        <is>
          <t>(VAZ</t>
        </is>
      </c>
      <c r="F2876" s="70" t="inlineStr">
        <is>
          <t>Compras</t>
        </is>
      </c>
      <c r="G2876" s="68" t="n">
        <v>0</v>
      </c>
      <c r="H2876" s="172" t="inlineStr">
        <is>
          <t>Não</t>
        </is>
      </c>
      <c r="I2876" s="49" t="n"/>
    </row>
    <row r="2877">
      <c r="A2877" s="43" t="inlineStr">
        <is>
          <t>010361</t>
        </is>
      </c>
      <c r="B2877" s="44" t="inlineStr">
        <is>
          <t>TRENA 3MT</t>
        </is>
      </c>
      <c r="C2877" s="45" t="inlineStr">
        <is>
          <t>MC</t>
        </is>
      </c>
      <c r="D2877" s="45" t="inlineStr">
        <is>
          <t>UN</t>
        </is>
      </c>
      <c r="E2877" s="45" t="inlineStr">
        <is>
          <t>0132</t>
        </is>
      </c>
      <c r="F2877" s="70" t="inlineStr">
        <is>
          <t>Compras</t>
        </is>
      </c>
      <c r="G2877" s="69" t="n">
        <v>10.898</v>
      </c>
      <c r="H2877" s="172" t="inlineStr">
        <is>
          <t>Não</t>
        </is>
      </c>
      <c r="I2877" s="50" t="n"/>
    </row>
    <row r="2878">
      <c r="A2878" s="40" t="inlineStr">
        <is>
          <t>009910</t>
        </is>
      </c>
      <c r="B2878" s="41" t="inlineStr">
        <is>
          <t>TRENA 8MT</t>
        </is>
      </c>
      <c r="C2878" s="42" t="inlineStr">
        <is>
          <t>MC</t>
        </is>
      </c>
      <c r="D2878" s="42" t="inlineStr">
        <is>
          <t>UN</t>
        </is>
      </c>
      <c r="E2878" s="42" t="inlineStr">
        <is>
          <t>0132</t>
        </is>
      </c>
      <c r="F2878" s="70" t="inlineStr">
        <is>
          <t>Compras</t>
        </is>
      </c>
      <c r="G2878" s="71" t="n">
        <v>79</v>
      </c>
      <c r="H2878" s="172" t="inlineStr">
        <is>
          <t>Não</t>
        </is>
      </c>
      <c r="I2878" s="49" t="n"/>
    </row>
    <row r="2879">
      <c r="A2879" s="43" t="inlineStr">
        <is>
          <t>009353</t>
        </is>
      </c>
      <c r="B2879" s="44" t="inlineStr">
        <is>
          <t>TRILHO DE LED SPORT AR111 GU10</t>
        </is>
      </c>
      <c r="C2879" s="45" t="inlineStr">
        <is>
          <t>MC</t>
        </is>
      </c>
      <c r="D2879" s="45" t="inlineStr">
        <is>
          <t>UN</t>
        </is>
      </c>
      <c r="E2879" s="45" t="inlineStr">
        <is>
          <t>0132</t>
        </is>
      </c>
      <c r="F2879" s="70" t="inlineStr">
        <is>
          <t>Compras</t>
        </is>
      </c>
      <c r="G2879" s="69" t="n">
        <v>0</v>
      </c>
      <c r="H2879" s="172" t="inlineStr">
        <is>
          <t>Não</t>
        </is>
      </c>
      <c r="I2879" s="50" t="n"/>
    </row>
    <row r="2880">
      <c r="A2880" s="40" t="inlineStr">
        <is>
          <t>001609</t>
        </is>
      </c>
      <c r="B2880" s="41" t="inlineStr">
        <is>
          <t>TROCA CIRC  BOT. BOMBA INCENDI</t>
        </is>
      </c>
      <c r="C2880" s="42" t="inlineStr">
        <is>
          <t>SV</t>
        </is>
      </c>
      <c r="D2880" s="42" t="inlineStr">
        <is>
          <t>UN</t>
        </is>
      </c>
      <c r="E2880" s="42" t="inlineStr">
        <is>
          <t>(VAZ</t>
        </is>
      </c>
      <c r="F2880" s="70" t="inlineStr">
        <is>
          <t>Compras</t>
        </is>
      </c>
      <c r="G2880" s="68" t="n">
        <v>0</v>
      </c>
      <c r="H2880" s="172" t="inlineStr">
        <is>
          <t>Não</t>
        </is>
      </c>
      <c r="I2880" s="49" t="n"/>
    </row>
    <row r="2881">
      <c r="A2881" s="43" t="inlineStr">
        <is>
          <t>000704</t>
        </is>
      </c>
      <c r="B2881" s="44" t="inlineStr">
        <is>
          <t>TROCADOR DE FRALDAS</t>
        </is>
      </c>
      <c r="C2881" s="45" t="inlineStr">
        <is>
          <t>AI</t>
        </is>
      </c>
      <c r="D2881" s="45" t="inlineStr">
        <is>
          <t>UN</t>
        </is>
      </c>
      <c r="E2881" s="45" t="inlineStr">
        <is>
          <t>0020</t>
        </is>
      </c>
      <c r="F2881" s="70" t="inlineStr">
        <is>
          <t>Compras</t>
        </is>
      </c>
      <c r="G2881" s="66" t="n">
        <v>1347.59</v>
      </c>
      <c r="H2881" s="172" t="inlineStr">
        <is>
          <t>Não</t>
        </is>
      </c>
      <c r="I2881" s="50" t="n"/>
    </row>
    <row r="2882">
      <c r="A2882" s="40" t="inlineStr">
        <is>
          <t>000950</t>
        </is>
      </c>
      <c r="B2882" s="41" t="inlineStr">
        <is>
          <t>TROPICAL GIN</t>
        </is>
      </c>
      <c r="C2882" s="42" t="inlineStr">
        <is>
          <t>PA</t>
        </is>
      </c>
      <c r="D2882" s="42" t="inlineStr">
        <is>
          <t>UN</t>
        </is>
      </c>
      <c r="E2882" s="42" t="inlineStr">
        <is>
          <t>0101</t>
        </is>
      </c>
      <c r="F2882" s="65" t="inlineStr">
        <is>
          <t>Venda</t>
        </is>
      </c>
      <c r="G2882" s="68" t="n">
        <v>0</v>
      </c>
      <c r="H2882" s="172" t="inlineStr">
        <is>
          <t>Não</t>
        </is>
      </c>
      <c r="I2882" s="47" t="inlineStr">
        <is>
          <t>9003156</t>
        </is>
      </c>
    </row>
    <row r="2883">
      <c r="A2883" s="43" t="inlineStr">
        <is>
          <t>001081</t>
        </is>
      </c>
      <c r="B2883" s="44" t="inlineStr">
        <is>
          <t>TROPICAL GIN</t>
        </is>
      </c>
      <c r="C2883" s="45" t="inlineStr">
        <is>
          <t>PA</t>
        </is>
      </c>
      <c r="D2883" s="45" t="inlineStr">
        <is>
          <t>UN</t>
        </is>
      </c>
      <c r="E2883" s="45" t="inlineStr">
        <is>
          <t>0111</t>
        </is>
      </c>
      <c r="F2883" s="65" t="inlineStr">
        <is>
          <t>Venda</t>
        </is>
      </c>
      <c r="G2883" s="69" t="n">
        <v>0</v>
      </c>
      <c r="H2883" s="172" t="inlineStr">
        <is>
          <t>Não</t>
        </is>
      </c>
      <c r="I2883" s="48" t="inlineStr">
        <is>
          <t>28608</t>
        </is>
      </c>
    </row>
    <row r="2884">
      <c r="A2884" s="40" t="inlineStr">
        <is>
          <t>009643</t>
        </is>
      </c>
      <c r="B2884" s="41" t="inlineStr">
        <is>
          <t>TUBO DE ACO AGRAFADO 3/4</t>
        </is>
      </c>
      <c r="C2884" s="42" t="inlineStr">
        <is>
          <t>MC</t>
        </is>
      </c>
      <c r="D2884" s="42" t="inlineStr">
        <is>
          <t>UN</t>
        </is>
      </c>
      <c r="E2884" s="42" t="inlineStr">
        <is>
          <t>0132</t>
        </is>
      </c>
      <c r="F2884" s="70" t="inlineStr">
        <is>
          <t>Compras</t>
        </is>
      </c>
      <c r="G2884" s="71" t="n">
        <v>8.09</v>
      </c>
      <c r="H2884" s="172" t="inlineStr">
        <is>
          <t>Não</t>
        </is>
      </c>
      <c r="I2884" s="49" t="n"/>
    </row>
    <row r="2885">
      <c r="A2885" s="43" t="inlineStr">
        <is>
          <t>010370</t>
        </is>
      </c>
      <c r="B2885" s="44" t="inlineStr">
        <is>
          <t>TUBO DE PVC PARA ESGOTO 100MM</t>
        </is>
      </c>
      <c r="C2885" s="45" t="inlineStr">
        <is>
          <t>MC</t>
        </is>
      </c>
      <c r="D2885" s="45" t="inlineStr">
        <is>
          <t>MT</t>
        </is>
      </c>
      <c r="E2885" s="45" t="inlineStr">
        <is>
          <t>0133</t>
        </is>
      </c>
      <c r="F2885" s="70" t="inlineStr">
        <is>
          <t>Compras</t>
        </is>
      </c>
      <c r="G2885" s="66" t="n">
        <v>166.9</v>
      </c>
      <c r="H2885" s="172" t="inlineStr">
        <is>
          <t>Não</t>
        </is>
      </c>
      <c r="I2885" s="50" t="n"/>
    </row>
    <row r="2886">
      <c r="A2886" s="40" t="inlineStr">
        <is>
          <t>009436</t>
        </is>
      </c>
      <c r="B2886" s="41" t="inlineStr">
        <is>
          <t>TUBO ELETRODUTO GALVANIZAD PRE-ZINC 1/2 0,50MM 3MT</t>
        </is>
      </c>
      <c r="C2886" s="42" t="inlineStr">
        <is>
          <t>MC</t>
        </is>
      </c>
      <c r="D2886" s="42" t="inlineStr">
        <is>
          <t>UN</t>
        </is>
      </c>
      <c r="E2886" s="42" t="inlineStr">
        <is>
          <t>0132</t>
        </is>
      </c>
      <c r="F2886" s="70" t="inlineStr">
        <is>
          <t>Compras</t>
        </is>
      </c>
      <c r="G2886" s="71" t="n">
        <v>12.09</v>
      </c>
      <c r="H2886" s="172" t="inlineStr">
        <is>
          <t>Não</t>
        </is>
      </c>
      <c r="I2886" s="49" t="n"/>
    </row>
    <row r="2887">
      <c r="A2887" s="43" t="inlineStr">
        <is>
          <t>009642</t>
        </is>
      </c>
      <c r="B2887" s="44" t="inlineStr">
        <is>
          <t>TUBO ELETRODUTO GALVANIZADO 3/4</t>
        </is>
      </c>
      <c r="C2887" s="45" t="inlineStr">
        <is>
          <t>MC</t>
        </is>
      </c>
      <c r="D2887" s="45" t="inlineStr">
        <is>
          <t>UN</t>
        </is>
      </c>
      <c r="E2887" s="45" t="inlineStr">
        <is>
          <t>0132</t>
        </is>
      </c>
      <c r="F2887" s="70" t="inlineStr">
        <is>
          <t>Compras</t>
        </is>
      </c>
      <c r="G2887" s="69" t="n">
        <v>0</v>
      </c>
      <c r="H2887" s="172" t="inlineStr">
        <is>
          <t>Não</t>
        </is>
      </c>
      <c r="I2887" s="50" t="n"/>
    </row>
    <row r="2888">
      <c r="A2888" s="40" t="inlineStr">
        <is>
          <t>009464</t>
        </is>
      </c>
      <c r="B2888" s="41" t="inlineStr">
        <is>
          <t>TUBO LLL 25MM</t>
        </is>
      </c>
      <c r="C2888" s="42" t="inlineStr">
        <is>
          <t>MC</t>
        </is>
      </c>
      <c r="D2888" s="42" t="inlineStr">
        <is>
          <t>UN</t>
        </is>
      </c>
      <c r="E2888" s="42" t="inlineStr">
        <is>
          <t>0132</t>
        </is>
      </c>
      <c r="F2888" s="70" t="inlineStr">
        <is>
          <t>Compras</t>
        </is>
      </c>
      <c r="G2888" s="71" t="n">
        <v>5.95</v>
      </c>
      <c r="H2888" s="172" t="inlineStr">
        <is>
          <t>Não</t>
        </is>
      </c>
      <c r="I2888" s="49" t="n"/>
    </row>
    <row r="2889">
      <c r="A2889" s="43" t="inlineStr">
        <is>
          <t>010092</t>
        </is>
      </c>
      <c r="B2889" s="44" t="inlineStr">
        <is>
          <t>TULIPA</t>
        </is>
      </c>
      <c r="C2889" s="45" t="inlineStr">
        <is>
          <t>MR</t>
        </is>
      </c>
      <c r="D2889" s="45" t="inlineStr">
        <is>
          <t>UN</t>
        </is>
      </c>
      <c r="E2889" s="45" t="inlineStr">
        <is>
          <t>0099</t>
        </is>
      </c>
      <c r="F2889" s="65" t="inlineStr">
        <is>
          <t>Venda</t>
        </is>
      </c>
      <c r="G2889" s="69" t="n">
        <v>0</v>
      </c>
      <c r="H2889" s="172" t="inlineStr">
        <is>
          <t>Não</t>
        </is>
      </c>
      <c r="I2889" s="48" t="inlineStr">
        <is>
          <t>9003565</t>
        </is>
      </c>
    </row>
    <row r="2890">
      <c r="A2890" s="40" t="inlineStr">
        <is>
          <t>001082</t>
        </is>
      </c>
      <c r="B2890" s="41" t="inlineStr">
        <is>
          <t>TULIPA DE FRANGO</t>
        </is>
      </c>
      <c r="C2890" s="42" t="inlineStr">
        <is>
          <t>PA</t>
        </is>
      </c>
      <c r="D2890" s="42" t="inlineStr">
        <is>
          <t>UN</t>
        </is>
      </c>
      <c r="E2890" s="42" t="inlineStr">
        <is>
          <t>0099</t>
        </is>
      </c>
      <c r="F2890" s="65" t="inlineStr">
        <is>
          <t>Venda</t>
        </is>
      </c>
      <c r="G2890" s="68" t="n">
        <v>0</v>
      </c>
      <c r="H2890" s="172" t="inlineStr">
        <is>
          <t>Não</t>
        </is>
      </c>
      <c r="I2890" s="47" t="inlineStr">
        <is>
          <t>9003338</t>
        </is>
      </c>
    </row>
    <row r="2891">
      <c r="A2891" s="43" t="inlineStr">
        <is>
          <t>000010</t>
        </is>
      </c>
      <c r="B2891" s="44" t="inlineStr">
        <is>
          <t>TULIPA IN NATURA</t>
        </is>
      </c>
      <c r="C2891" s="45" t="inlineStr">
        <is>
          <t>MR</t>
        </is>
      </c>
      <c r="D2891" s="45" t="inlineStr">
        <is>
          <t>UN</t>
        </is>
      </c>
      <c r="E2891" s="45" t="inlineStr">
        <is>
          <t>0099</t>
        </is>
      </c>
      <c r="F2891" s="65" t="inlineStr">
        <is>
          <t>Venda</t>
        </is>
      </c>
      <c r="G2891" s="69" t="n">
        <v>0</v>
      </c>
      <c r="H2891" s="172" t="inlineStr">
        <is>
          <t>Não</t>
        </is>
      </c>
      <c r="I2891" s="48" t="inlineStr">
        <is>
          <t>10012</t>
        </is>
      </c>
    </row>
    <row r="2892">
      <c r="A2892" s="40" t="inlineStr">
        <is>
          <t>000541</t>
        </is>
      </c>
      <c r="B2892" s="41" t="inlineStr">
        <is>
          <t>TUPPERWARE P/ FRUTAS M28X17X8</t>
        </is>
      </c>
      <c r="C2892" s="42" t="inlineStr">
        <is>
          <t>MC</t>
        </is>
      </c>
      <c r="D2892" s="42" t="inlineStr">
        <is>
          <t>UN</t>
        </is>
      </c>
      <c r="E2892" s="42" t="inlineStr">
        <is>
          <t>0079</t>
        </is>
      </c>
      <c r="F2892" s="70" t="inlineStr">
        <is>
          <t>Compras</t>
        </is>
      </c>
      <c r="G2892" s="68" t="n">
        <v>0</v>
      </c>
      <c r="H2892" s="172" t="inlineStr">
        <is>
          <t>Não</t>
        </is>
      </c>
      <c r="I2892" s="49" t="n"/>
    </row>
    <row r="2893">
      <c r="A2893" s="43" t="inlineStr">
        <is>
          <t>000568</t>
        </is>
      </c>
      <c r="B2893" s="44" t="inlineStr">
        <is>
          <t>TUPPERWARE QUADRADO M 28X17X8</t>
        </is>
      </c>
      <c r="C2893" s="45" t="inlineStr">
        <is>
          <t>MC</t>
        </is>
      </c>
      <c r="D2893" s="45" t="inlineStr">
        <is>
          <t>UN</t>
        </is>
      </c>
      <c r="E2893" s="45" t="inlineStr">
        <is>
          <t>0079</t>
        </is>
      </c>
      <c r="F2893" s="70" t="inlineStr">
        <is>
          <t>Compras</t>
        </is>
      </c>
      <c r="G2893" s="66" t="n">
        <v>26.9</v>
      </c>
      <c r="H2893" s="172" t="inlineStr">
        <is>
          <t>Não</t>
        </is>
      </c>
      <c r="I2893" s="50" t="n"/>
    </row>
    <row r="2894">
      <c r="A2894" s="40" t="inlineStr">
        <is>
          <t>000555</t>
        </is>
      </c>
      <c r="B2894" s="41" t="inlineStr">
        <is>
          <t>TUPPERWARE REDO C/TAMPA M 5 L</t>
        </is>
      </c>
      <c r="C2894" s="42" t="inlineStr">
        <is>
          <t>MC</t>
        </is>
      </c>
      <c r="D2894" s="42" t="inlineStr">
        <is>
          <t>UN</t>
        </is>
      </c>
      <c r="E2894" s="42" t="inlineStr">
        <is>
          <t>0080</t>
        </is>
      </c>
      <c r="F2894" s="70" t="inlineStr">
        <is>
          <t>Compras</t>
        </is>
      </c>
      <c r="G2894" s="68" t="n">
        <v>0</v>
      </c>
      <c r="H2894" s="172" t="inlineStr">
        <is>
          <t>Não</t>
        </is>
      </c>
      <c r="I2894" s="49" t="n"/>
    </row>
    <row r="2895">
      <c r="A2895" s="43" t="inlineStr">
        <is>
          <t>010293</t>
        </is>
      </c>
      <c r="B2895" s="44" t="inlineStr">
        <is>
          <t>UNIAO  SOLDAVEL 32MM</t>
        </is>
      </c>
      <c r="C2895" s="45" t="inlineStr">
        <is>
          <t>MC</t>
        </is>
      </c>
      <c r="D2895" s="45" t="inlineStr">
        <is>
          <t>UN</t>
        </is>
      </c>
      <c r="E2895" s="45" t="inlineStr">
        <is>
          <t>0132</t>
        </is>
      </c>
      <c r="F2895" s="70" t="inlineStr">
        <is>
          <t>Compras</t>
        </is>
      </c>
      <c r="G2895" s="66" t="n">
        <v>19.9</v>
      </c>
      <c r="H2895" s="172" t="inlineStr">
        <is>
          <t>Não</t>
        </is>
      </c>
      <c r="I2895" s="50" t="n"/>
    </row>
    <row r="2896">
      <c r="A2896" s="43" t="inlineStr">
        <is>
          <t>001790</t>
        </is>
      </c>
      <c r="B2896" s="44" t="inlineStr">
        <is>
          <t>UNIDADE DE ATENDIMENTO, ASSIST</t>
        </is>
      </c>
      <c r="C2896" s="45" t="inlineStr">
        <is>
          <t>SV</t>
        </is>
      </c>
      <c r="D2896" s="45" t="inlineStr">
        <is>
          <t>UN</t>
        </is>
      </c>
      <c r="E2896" s="45" t="inlineStr">
        <is>
          <t>(VAZ</t>
        </is>
      </c>
      <c r="F2896" s="70" t="inlineStr">
        <is>
          <t>Compras</t>
        </is>
      </c>
      <c r="G2896" s="69" t="n">
        <v>0</v>
      </c>
      <c r="H2896" s="172" t="inlineStr">
        <is>
          <t>Não</t>
        </is>
      </c>
      <c r="I2896" s="50" t="n"/>
    </row>
    <row r="2897">
      <c r="A2897" s="40" t="inlineStr">
        <is>
          <t>009428</t>
        </is>
      </c>
      <c r="B2897" s="41" t="inlineStr">
        <is>
          <t>UNIDUT CONECTOR CONICO COMUM 1/2</t>
        </is>
      </c>
      <c r="C2897" s="42" t="inlineStr">
        <is>
          <t>MC</t>
        </is>
      </c>
      <c r="D2897" s="42" t="inlineStr">
        <is>
          <t>UN</t>
        </is>
      </c>
      <c r="E2897" s="42" t="inlineStr">
        <is>
          <t>0132</t>
        </is>
      </c>
      <c r="F2897" s="70" t="inlineStr">
        <is>
          <t>Compras</t>
        </is>
      </c>
      <c r="G2897" s="71" t="n">
        <v>1.88</v>
      </c>
      <c r="H2897" s="172" t="inlineStr">
        <is>
          <t>Não</t>
        </is>
      </c>
      <c r="I2897" s="49" t="n"/>
    </row>
    <row r="2898">
      <c r="A2898" s="43" t="inlineStr">
        <is>
          <t>009350</t>
        </is>
      </c>
      <c r="B2898" s="44" t="inlineStr">
        <is>
          <t>UNIDUT CONECTOR CURVO 03/4</t>
        </is>
      </c>
      <c r="C2898" s="45" t="inlineStr">
        <is>
          <t>MC</t>
        </is>
      </c>
      <c r="D2898" s="45" t="inlineStr">
        <is>
          <t>UN</t>
        </is>
      </c>
      <c r="E2898" s="45" t="inlineStr">
        <is>
          <t>0132</t>
        </is>
      </c>
      <c r="F2898" s="70" t="inlineStr">
        <is>
          <t>Compras</t>
        </is>
      </c>
      <c r="G2898" s="66" t="n">
        <v>2.07</v>
      </c>
      <c r="H2898" s="172" t="inlineStr">
        <is>
          <t>Não</t>
        </is>
      </c>
      <c r="I2898" s="50" t="n"/>
    </row>
    <row r="2899">
      <c r="A2899" s="40" t="inlineStr">
        <is>
          <t>010149</t>
        </is>
      </c>
      <c r="B2899" s="41" t="inlineStr">
        <is>
          <t>UNIDUT RETO COMUM 3/4</t>
        </is>
      </c>
      <c r="C2899" s="42" t="inlineStr">
        <is>
          <t>MC</t>
        </is>
      </c>
      <c r="D2899" s="42" t="inlineStr">
        <is>
          <t>UN</t>
        </is>
      </c>
      <c r="E2899" s="42" t="inlineStr">
        <is>
          <t>0132</t>
        </is>
      </c>
      <c r="F2899" s="70" t="inlineStr">
        <is>
          <t>Compras</t>
        </is>
      </c>
      <c r="G2899" s="71" t="n">
        <v>2.13</v>
      </c>
      <c r="H2899" s="172" t="inlineStr">
        <is>
          <t>Não</t>
        </is>
      </c>
      <c r="I2899" s="49" t="n"/>
    </row>
    <row r="2900">
      <c r="A2900" s="43" t="inlineStr">
        <is>
          <t>000264</t>
        </is>
      </c>
      <c r="B2900" s="44" t="inlineStr">
        <is>
          <t>UNIFORME MANUTENCAO</t>
        </is>
      </c>
      <c r="C2900" s="45" t="inlineStr">
        <is>
          <t>MC</t>
        </is>
      </c>
      <c r="D2900" s="45" t="inlineStr">
        <is>
          <t>UN</t>
        </is>
      </c>
      <c r="E2900" s="45" t="inlineStr">
        <is>
          <t>0017</t>
        </is>
      </c>
      <c r="F2900" s="70" t="inlineStr">
        <is>
          <t>Compras</t>
        </is>
      </c>
      <c r="G2900" s="66" t="n">
        <v>52.9</v>
      </c>
      <c r="H2900" s="172" t="inlineStr">
        <is>
          <t>Não</t>
        </is>
      </c>
      <c r="I2900" s="50" t="n"/>
    </row>
    <row r="2901">
      <c r="A2901" s="40" t="inlineStr">
        <is>
          <t>001635</t>
        </is>
      </c>
      <c r="B2901" s="41" t="inlineStr">
        <is>
          <t>URSO DE PELUCIA</t>
        </is>
      </c>
      <c r="C2901" s="42" t="inlineStr">
        <is>
          <t>MC</t>
        </is>
      </c>
      <c r="D2901" s="42" t="inlineStr">
        <is>
          <t>UN</t>
        </is>
      </c>
      <c r="E2901" s="42" t="inlineStr">
        <is>
          <t>0145</t>
        </is>
      </c>
      <c r="F2901" s="70" t="inlineStr">
        <is>
          <t>Compras</t>
        </is>
      </c>
      <c r="G2901" s="71" t="n">
        <v>13.0648</v>
      </c>
      <c r="H2901" s="172" t="inlineStr">
        <is>
          <t>Não</t>
        </is>
      </c>
      <c r="I2901" s="49" t="n"/>
    </row>
    <row r="2902">
      <c r="A2902" s="43" t="inlineStr">
        <is>
          <t>000797</t>
        </is>
      </c>
      <c r="B2902" s="44" t="inlineStr">
        <is>
          <t>UVA C/ CHOCOLATE</t>
        </is>
      </c>
      <c r="C2902" s="45" t="inlineStr">
        <is>
          <t>PA</t>
        </is>
      </c>
      <c r="D2902" s="45" t="inlineStr">
        <is>
          <t>UN</t>
        </is>
      </c>
      <c r="E2902" s="45" t="inlineStr">
        <is>
          <t>0100</t>
        </is>
      </c>
      <c r="F2902" s="65" t="inlineStr">
        <is>
          <t>Venda</t>
        </is>
      </c>
      <c r="G2902" s="69" t="n">
        <v>0</v>
      </c>
      <c r="H2902" s="172" t="inlineStr">
        <is>
          <t>Não</t>
        </is>
      </c>
      <c r="I2902" s="48" t="inlineStr">
        <is>
          <t>50005</t>
        </is>
      </c>
    </row>
    <row r="2903">
      <c r="A2903" s="40" t="inlineStr">
        <is>
          <t>000501</t>
        </is>
      </c>
      <c r="B2903" s="41" t="inlineStr">
        <is>
          <t>UVA ITALIA FRUTA</t>
        </is>
      </c>
      <c r="C2903" s="42" t="inlineStr">
        <is>
          <t>MP</t>
        </is>
      </c>
      <c r="D2903" s="42" t="inlineStr">
        <is>
          <t>KG</t>
        </is>
      </c>
      <c r="E2903" s="42" t="inlineStr">
        <is>
          <t>0036</t>
        </is>
      </c>
      <c r="F2903" s="70" t="inlineStr">
        <is>
          <t>Compras</t>
        </is>
      </c>
      <c r="G2903" s="71" t="n">
        <v>26.25</v>
      </c>
      <c r="H2903" s="172" t="inlineStr">
        <is>
          <t>Não</t>
        </is>
      </c>
      <c r="I2903" s="49" t="n"/>
    </row>
    <row r="2904">
      <c r="A2904" s="43" t="inlineStr">
        <is>
          <t>000981</t>
        </is>
      </c>
      <c r="B2904" s="44" t="inlineStr">
        <is>
          <t>UVA PASSA BRANCA</t>
        </is>
      </c>
      <c r="C2904" s="45" t="inlineStr">
        <is>
          <t>MP</t>
        </is>
      </c>
      <c r="D2904" s="45" t="inlineStr">
        <is>
          <t>KG</t>
        </is>
      </c>
      <c r="E2904" s="45" t="inlineStr">
        <is>
          <t>0029</t>
        </is>
      </c>
      <c r="F2904" s="70" t="inlineStr">
        <is>
          <t>Compras</t>
        </is>
      </c>
      <c r="G2904" s="66" t="n">
        <v>29.0199</v>
      </c>
      <c r="H2904" s="172" t="inlineStr">
        <is>
          <t>Não</t>
        </is>
      </c>
      <c r="I2904" s="50" t="n"/>
    </row>
    <row r="2905">
      <c r="A2905" s="40" t="inlineStr">
        <is>
          <t>000982</t>
        </is>
      </c>
      <c r="B2905" s="41" t="inlineStr">
        <is>
          <t>UVA PASSA PRETA</t>
        </is>
      </c>
      <c r="C2905" s="42" t="inlineStr">
        <is>
          <t>MP</t>
        </is>
      </c>
      <c r="D2905" s="42" t="inlineStr">
        <is>
          <t>KG</t>
        </is>
      </c>
      <c r="E2905" s="42" t="inlineStr">
        <is>
          <t>0029</t>
        </is>
      </c>
      <c r="F2905" s="70" t="inlineStr">
        <is>
          <t>Compras</t>
        </is>
      </c>
      <c r="G2905" s="71" t="n">
        <v>39.88</v>
      </c>
      <c r="H2905" s="172" t="inlineStr">
        <is>
          <t>Não</t>
        </is>
      </c>
      <c r="I2905" s="49" t="n"/>
    </row>
    <row r="2906">
      <c r="A2906" s="43" t="inlineStr">
        <is>
          <t>000500</t>
        </is>
      </c>
      <c r="B2906" s="44" t="inlineStr">
        <is>
          <t>UVA RUBI FRUTA</t>
        </is>
      </c>
      <c r="C2906" s="45" t="inlineStr">
        <is>
          <t>MP</t>
        </is>
      </c>
      <c r="D2906" s="45" t="inlineStr">
        <is>
          <t>KG</t>
        </is>
      </c>
      <c r="E2906" s="45" t="inlineStr">
        <is>
          <t>0036</t>
        </is>
      </c>
      <c r="F2906" s="70" t="inlineStr">
        <is>
          <t>Compras</t>
        </is>
      </c>
      <c r="G2906" s="66" t="n">
        <v>16.92</v>
      </c>
      <c r="H2906" s="172" t="inlineStr">
        <is>
          <t>Não</t>
        </is>
      </c>
      <c r="I2906" s="50" t="n"/>
    </row>
    <row r="2907">
      <c r="A2907" s="40" t="inlineStr">
        <is>
          <t>000621</t>
        </is>
      </c>
      <c r="B2907" s="41" t="inlineStr">
        <is>
          <t>UVA THOMPSON</t>
        </is>
      </c>
      <c r="C2907" s="42" t="inlineStr">
        <is>
          <t>MR</t>
        </is>
      </c>
      <c r="D2907" s="42" t="inlineStr">
        <is>
          <t>KG</t>
        </is>
      </c>
      <c r="E2907" s="42" t="inlineStr">
        <is>
          <t>0036</t>
        </is>
      </c>
      <c r="F2907" s="40" t="n"/>
      <c r="G2907" s="68" t="n">
        <v>0</v>
      </c>
      <c r="H2907" s="173" t="inlineStr">
        <is>
          <t>Sim</t>
        </is>
      </c>
      <c r="I2907" s="49" t="n"/>
    </row>
    <row r="2908">
      <c r="A2908" s="43" t="inlineStr">
        <is>
          <t>000266</t>
        </is>
      </c>
      <c r="B2908" s="44" t="inlineStr">
        <is>
          <t>V.ARG. FRAN MALBEC NIETO SENET</t>
        </is>
      </c>
      <c r="C2908" s="45" t="inlineStr">
        <is>
          <t>MR</t>
        </is>
      </c>
      <c r="D2908" s="45" t="inlineStr">
        <is>
          <t>UN</t>
        </is>
      </c>
      <c r="E2908" s="45" t="inlineStr">
        <is>
          <t>0054</t>
        </is>
      </c>
      <c r="F2908" s="65" t="inlineStr">
        <is>
          <t>Venda</t>
        </is>
      </c>
      <c r="G2908" s="69" t="n">
        <v>0</v>
      </c>
      <c r="H2908" s="173" t="inlineStr">
        <is>
          <t>Sim</t>
        </is>
      </c>
      <c r="I2908" s="50" t="n"/>
    </row>
    <row r="2909">
      <c r="A2909" s="40" t="inlineStr">
        <is>
          <t>010321</t>
        </is>
      </c>
      <c r="B2909" s="41" t="inlineStr">
        <is>
          <t>VALVULA PARA LAVATORIO SEM LADRAO 7/8 METAL</t>
        </is>
      </c>
      <c r="C2909" s="42" t="inlineStr">
        <is>
          <t>MC</t>
        </is>
      </c>
      <c r="D2909" s="42" t="inlineStr">
        <is>
          <t>UN</t>
        </is>
      </c>
      <c r="E2909" s="42" t="inlineStr">
        <is>
          <t>0132</t>
        </is>
      </c>
      <c r="F2909" s="70" t="inlineStr">
        <is>
          <t>Compras</t>
        </is>
      </c>
      <c r="G2909" s="71" t="n">
        <v>29.9</v>
      </c>
      <c r="H2909" s="172" t="inlineStr">
        <is>
          <t>Não</t>
        </is>
      </c>
      <c r="I2909" s="49" t="n"/>
    </row>
    <row r="2910">
      <c r="A2910" s="43" t="inlineStr">
        <is>
          <t>009471</t>
        </is>
      </c>
      <c r="B2910" s="44" t="inlineStr">
        <is>
          <t>VALVULA PARA PIA AMERICANA 3.1/2</t>
        </is>
      </c>
      <c r="C2910" s="45" t="inlineStr">
        <is>
          <t>MC</t>
        </is>
      </c>
      <c r="D2910" s="45" t="inlineStr">
        <is>
          <t>UN</t>
        </is>
      </c>
      <c r="E2910" s="45" t="inlineStr">
        <is>
          <t>0132</t>
        </is>
      </c>
      <c r="F2910" s="70" t="inlineStr">
        <is>
          <t>Compras</t>
        </is>
      </c>
      <c r="G2910" s="66" t="n">
        <v>26</v>
      </c>
      <c r="H2910" s="172" t="inlineStr">
        <is>
          <t>Não</t>
        </is>
      </c>
      <c r="I2910" s="50" t="n"/>
    </row>
    <row r="2911">
      <c r="A2911" s="40" t="inlineStr">
        <is>
          <t>009919</t>
        </is>
      </c>
      <c r="B2911" s="41" t="inlineStr">
        <is>
          <t>VALVULA PRESSA/SUCCAO HD 585</t>
        </is>
      </c>
      <c r="C2911" s="42" t="inlineStr">
        <is>
          <t>MC</t>
        </is>
      </c>
      <c r="D2911" s="42" t="inlineStr">
        <is>
          <t>UN</t>
        </is>
      </c>
      <c r="E2911" s="42" t="inlineStr">
        <is>
          <t>0132</t>
        </is>
      </c>
      <c r="F2911" s="70" t="inlineStr">
        <is>
          <t>Compras</t>
        </is>
      </c>
      <c r="G2911" s="71" t="n">
        <v>25</v>
      </c>
      <c r="H2911" s="172" t="inlineStr">
        <is>
          <t>Não</t>
        </is>
      </c>
      <c r="I2911" s="49" t="n"/>
    </row>
    <row r="2912">
      <c r="A2912" s="43" t="inlineStr">
        <is>
          <t>002258</t>
        </is>
      </c>
      <c r="B2912" s="44" t="inlineStr">
        <is>
          <t>VALVULA PUM PARA DISPENSER</t>
        </is>
      </c>
      <c r="C2912" s="45" t="inlineStr">
        <is>
          <t>MC</t>
        </is>
      </c>
      <c r="D2912" s="45" t="inlineStr">
        <is>
          <t>UN</t>
        </is>
      </c>
      <c r="E2912" s="45" t="inlineStr">
        <is>
          <t>0075</t>
        </is>
      </c>
      <c r="F2912" s="70" t="inlineStr">
        <is>
          <t>Compras</t>
        </is>
      </c>
      <c r="G2912" s="66" t="n">
        <v>10.43</v>
      </c>
      <c r="H2912" s="172" t="inlineStr">
        <is>
          <t>Não</t>
        </is>
      </c>
      <c r="I2912" s="50" t="n"/>
    </row>
    <row r="2913">
      <c r="A2913" s="40" t="inlineStr">
        <is>
          <t>009603</t>
        </is>
      </c>
      <c r="B2913" s="41" t="inlineStr">
        <is>
          <t>VALVULA UNIAO SCHRADER SOLDA</t>
        </is>
      </c>
      <c r="C2913" s="42" t="inlineStr">
        <is>
          <t>MC</t>
        </is>
      </c>
      <c r="D2913" s="42" t="inlineStr">
        <is>
          <t>UN</t>
        </is>
      </c>
      <c r="E2913" s="42" t="inlineStr">
        <is>
          <t>0132</t>
        </is>
      </c>
      <c r="F2913" s="70" t="inlineStr">
        <is>
          <t>Compras</t>
        </is>
      </c>
      <c r="G2913" s="71" t="n">
        <v>30</v>
      </c>
      <c r="H2913" s="172" t="inlineStr">
        <is>
          <t>Não</t>
        </is>
      </c>
      <c r="I2913" s="49" t="n"/>
    </row>
    <row r="2914">
      <c r="A2914" s="43" t="inlineStr">
        <is>
          <t>009774</t>
        </is>
      </c>
      <c r="B2914" s="44" t="inlineStr">
        <is>
          <t>VARAL DE CHAO</t>
        </is>
      </c>
      <c r="C2914" s="45" t="inlineStr">
        <is>
          <t>MC</t>
        </is>
      </c>
      <c r="D2914" s="45" t="inlineStr">
        <is>
          <t>UN</t>
        </is>
      </c>
      <c r="E2914" s="45" t="inlineStr">
        <is>
          <t>0132</t>
        </is>
      </c>
      <c r="F2914" s="70" t="inlineStr">
        <is>
          <t>Compras</t>
        </is>
      </c>
      <c r="G2914" s="69" t="n">
        <v>0</v>
      </c>
      <c r="H2914" s="172" t="inlineStr">
        <is>
          <t>Não</t>
        </is>
      </c>
      <c r="I2914" s="50" t="n"/>
    </row>
    <row r="2915">
      <c r="A2915" s="40" t="inlineStr">
        <is>
          <t>009690</t>
        </is>
      </c>
      <c r="B2915" s="41" t="inlineStr">
        <is>
          <t>VARAL DE LAMPADAS 5MT</t>
        </is>
      </c>
      <c r="C2915" s="42" t="inlineStr">
        <is>
          <t>MC</t>
        </is>
      </c>
      <c r="D2915" s="42" t="inlineStr">
        <is>
          <t>MT</t>
        </is>
      </c>
      <c r="E2915" s="42" t="inlineStr">
        <is>
          <t>0132</t>
        </is>
      </c>
      <c r="F2915" s="70" t="inlineStr">
        <is>
          <t>Compras</t>
        </is>
      </c>
      <c r="G2915" s="71" t="n">
        <v>163.17</v>
      </c>
      <c r="H2915" s="172" t="inlineStr">
        <is>
          <t>Não</t>
        </is>
      </c>
      <c r="I2915" s="49" t="n"/>
    </row>
    <row r="2916">
      <c r="A2916" s="43" t="inlineStr">
        <is>
          <t>000109</t>
        </is>
      </c>
      <c r="B2916" s="44" t="inlineStr">
        <is>
          <t>VASSOURA DE NYLON</t>
        </is>
      </c>
      <c r="C2916" s="45" t="inlineStr">
        <is>
          <t>MC</t>
        </is>
      </c>
      <c r="D2916" s="45" t="inlineStr">
        <is>
          <t>UN</t>
        </is>
      </c>
      <c r="E2916" s="45" t="inlineStr">
        <is>
          <t>0075</t>
        </is>
      </c>
      <c r="F2916" s="70" t="inlineStr">
        <is>
          <t>Compras</t>
        </is>
      </c>
      <c r="G2916" s="66" t="n">
        <v>9.59</v>
      </c>
      <c r="H2916" s="172" t="inlineStr">
        <is>
          <t>Não</t>
        </is>
      </c>
      <c r="I2916" s="50" t="n"/>
    </row>
    <row r="2917">
      <c r="A2917" s="40" t="inlineStr">
        <is>
          <t>000112</t>
        </is>
      </c>
      <c r="B2917" s="41" t="inlineStr">
        <is>
          <t>VASSOURA DE PELO</t>
        </is>
      </c>
      <c r="C2917" s="42" t="inlineStr">
        <is>
          <t>MC</t>
        </is>
      </c>
      <c r="D2917" s="42" t="inlineStr">
        <is>
          <t>UN</t>
        </is>
      </c>
      <c r="E2917" s="42" t="inlineStr">
        <is>
          <t>0075</t>
        </is>
      </c>
      <c r="F2917" s="70" t="inlineStr">
        <is>
          <t>Compras</t>
        </is>
      </c>
      <c r="G2917" s="71" t="n">
        <v>16.09</v>
      </c>
      <c r="H2917" s="172" t="inlineStr">
        <is>
          <t>Não</t>
        </is>
      </c>
      <c r="I2917" s="49" t="n"/>
    </row>
    <row r="2918">
      <c r="A2918" s="43" t="inlineStr">
        <is>
          <t>000110</t>
        </is>
      </c>
      <c r="B2918" s="44" t="inlineStr">
        <is>
          <t>VASSOURA PIACAVA</t>
        </is>
      </c>
      <c r="C2918" s="45" t="inlineStr">
        <is>
          <t>MC</t>
        </is>
      </c>
      <c r="D2918" s="45" t="inlineStr">
        <is>
          <t>UN</t>
        </is>
      </c>
      <c r="E2918" s="45" t="inlineStr">
        <is>
          <t>0075</t>
        </is>
      </c>
      <c r="F2918" s="70" t="inlineStr">
        <is>
          <t>Compras</t>
        </is>
      </c>
      <c r="G2918" s="66" t="n">
        <v>29.88</v>
      </c>
      <c r="H2918" s="172" t="inlineStr">
        <is>
          <t>Não</t>
        </is>
      </c>
      <c r="I2918" s="50" t="n"/>
    </row>
    <row r="2919">
      <c r="A2919" s="40" t="inlineStr">
        <is>
          <t>000199</t>
        </is>
      </c>
      <c r="B2919" s="41" t="inlineStr">
        <is>
          <t>VAZILHAME CERVEJA 600 ML</t>
        </is>
      </c>
      <c r="C2919" s="42" t="inlineStr">
        <is>
          <t>MC</t>
        </is>
      </c>
      <c r="D2919" s="42" t="inlineStr">
        <is>
          <t>UN</t>
        </is>
      </c>
      <c r="E2919" s="42" t="inlineStr">
        <is>
          <t>0079</t>
        </is>
      </c>
      <c r="F2919" s="70" t="inlineStr">
        <is>
          <t>Compras</t>
        </is>
      </c>
      <c r="G2919" s="68" t="n">
        <v>0</v>
      </c>
      <c r="H2919" s="172" t="inlineStr">
        <is>
          <t>Não</t>
        </is>
      </c>
      <c r="I2919" s="49" t="n"/>
    </row>
    <row r="2920">
      <c r="A2920" s="43" t="inlineStr">
        <is>
          <t>000136</t>
        </is>
      </c>
      <c r="B2920" s="44" t="inlineStr">
        <is>
          <t>VELA ANIVERSARIO</t>
        </is>
      </c>
      <c r="C2920" s="45" t="inlineStr">
        <is>
          <t>MC</t>
        </is>
      </c>
      <c r="D2920" s="45" t="inlineStr">
        <is>
          <t>UN</t>
        </is>
      </c>
      <c r="E2920" s="45" t="inlineStr">
        <is>
          <t>0075</t>
        </is>
      </c>
      <c r="F2920" s="70" t="inlineStr">
        <is>
          <t>Compras</t>
        </is>
      </c>
      <c r="G2920" s="66" t="n">
        <v>1.99</v>
      </c>
      <c r="H2920" s="172" t="inlineStr">
        <is>
          <t>Não</t>
        </is>
      </c>
      <c r="I2920" s="50" t="n"/>
    </row>
    <row r="2921">
      <c r="A2921" s="40" t="inlineStr">
        <is>
          <t>000782</t>
        </is>
      </c>
      <c r="B2921" s="41" t="inlineStr">
        <is>
          <t>VENTILADOR</t>
        </is>
      </c>
      <c r="C2921" s="42" t="inlineStr">
        <is>
          <t>AI</t>
        </is>
      </c>
      <c r="D2921" s="42" t="inlineStr">
        <is>
          <t>UN</t>
        </is>
      </c>
      <c r="E2921" s="42" t="inlineStr">
        <is>
          <t>0020</t>
        </is>
      </c>
      <c r="F2921" s="70" t="inlineStr">
        <is>
          <t>Compras</t>
        </is>
      </c>
      <c r="G2921" s="71" t="n">
        <v>125.26</v>
      </c>
      <c r="H2921" s="172" t="inlineStr">
        <is>
          <t>Não</t>
        </is>
      </c>
      <c r="I2921" s="49" t="n"/>
    </row>
    <row r="2922">
      <c r="A2922" s="43" t="inlineStr">
        <is>
          <t>000055</t>
        </is>
      </c>
      <c r="B2922" s="44" t="inlineStr">
        <is>
          <t>VENTRADA VIP</t>
        </is>
      </c>
      <c r="C2922" s="45" t="inlineStr">
        <is>
          <t>MR</t>
        </is>
      </c>
      <c r="D2922" s="45" t="inlineStr">
        <is>
          <t>UN</t>
        </is>
      </c>
      <c r="E2922" s="45" t="inlineStr">
        <is>
          <t>0107</t>
        </is>
      </c>
      <c r="F2922" s="65" t="inlineStr">
        <is>
          <t>Venda</t>
        </is>
      </c>
      <c r="G2922" s="69" t="n">
        <v>0</v>
      </c>
      <c r="H2922" s="173" t="inlineStr">
        <is>
          <t>Sim</t>
        </is>
      </c>
      <c r="I2922" s="50" t="n"/>
    </row>
    <row r="2923">
      <c r="A2923" s="40" t="inlineStr">
        <is>
          <t>009309</t>
        </is>
      </c>
      <c r="B2923" s="41" t="inlineStr">
        <is>
          <t>VERGALHAO DE FERRO CA50 10,0MM C/ 6MTS</t>
        </is>
      </c>
      <c r="C2923" s="42" t="inlineStr">
        <is>
          <t>MC</t>
        </is>
      </c>
      <c r="D2923" s="42" t="inlineStr">
        <is>
          <t>UN</t>
        </is>
      </c>
      <c r="E2923" s="42" t="inlineStr">
        <is>
          <t>0132</t>
        </is>
      </c>
      <c r="F2923" s="70" t="inlineStr">
        <is>
          <t>Compras</t>
        </is>
      </c>
      <c r="G2923" s="71" t="n">
        <v>42.818</v>
      </c>
      <c r="H2923" s="172" t="inlineStr">
        <is>
          <t>Não</t>
        </is>
      </c>
      <c r="I2923" s="49" t="n"/>
    </row>
    <row r="2924">
      <c r="A2924" s="43" t="inlineStr">
        <is>
          <t>010250</t>
        </is>
      </c>
      <c r="B2924" s="44" t="inlineStr">
        <is>
          <t>VERGALHÃO DE FERRO 10MM 3/8 C/12 MTS</t>
        </is>
      </c>
      <c r="C2924" s="45" t="inlineStr">
        <is>
          <t>MC</t>
        </is>
      </c>
      <c r="D2924" s="45" t="inlineStr">
        <is>
          <t>UN</t>
        </is>
      </c>
      <c r="E2924" s="45" t="inlineStr">
        <is>
          <t>0132</t>
        </is>
      </c>
      <c r="F2924" s="70" t="inlineStr">
        <is>
          <t>Compras</t>
        </is>
      </c>
      <c r="G2924" s="66" t="n">
        <v>74.90000000000001</v>
      </c>
      <c r="H2924" s="172" t="inlineStr">
        <is>
          <t>Não</t>
        </is>
      </c>
      <c r="I2924" s="50" t="n"/>
    </row>
    <row r="2925">
      <c r="A2925" s="40" t="inlineStr">
        <is>
          <t>000370</t>
        </is>
      </c>
      <c r="B2925" s="41" t="inlineStr">
        <is>
          <t>VERMOUTH</t>
        </is>
      </c>
      <c r="C2925" s="42" t="inlineStr">
        <is>
          <t>MR</t>
        </is>
      </c>
      <c r="D2925" s="42" t="inlineStr">
        <is>
          <t>LT</t>
        </is>
      </c>
      <c r="E2925" s="42" t="inlineStr">
        <is>
          <t>0028</t>
        </is>
      </c>
      <c r="F2925" s="70" t="inlineStr">
        <is>
          <t>Compras</t>
        </is>
      </c>
      <c r="G2925" s="68" t="n">
        <v>0</v>
      </c>
      <c r="H2925" s="173" t="inlineStr">
        <is>
          <t>Sim</t>
        </is>
      </c>
      <c r="I2925" s="49" t="n"/>
    </row>
    <row r="2926">
      <c r="A2926" s="43" t="inlineStr">
        <is>
          <t>000349</t>
        </is>
      </c>
      <c r="B2926" s="44" t="inlineStr">
        <is>
          <t>VERMOUTH MARTINI DRY 750ML</t>
        </is>
      </c>
      <c r="C2926" s="45" t="inlineStr">
        <is>
          <t>ME</t>
        </is>
      </c>
      <c r="D2926" s="45" t="inlineStr">
        <is>
          <t>LT</t>
        </is>
      </c>
      <c r="E2926" s="45" t="inlineStr">
        <is>
          <t>0137</t>
        </is>
      </c>
      <c r="F2926" s="70" t="inlineStr">
        <is>
          <t>Compras</t>
        </is>
      </c>
      <c r="G2926" s="66" t="n">
        <v>50.5333</v>
      </c>
      <c r="H2926" s="172" t="inlineStr">
        <is>
          <t>Não</t>
        </is>
      </c>
      <c r="I2926" s="50" t="n"/>
    </row>
    <row r="2927">
      <c r="A2927" s="40" t="inlineStr">
        <is>
          <t>000360</t>
        </is>
      </c>
      <c r="B2927" s="41" t="inlineStr">
        <is>
          <t>VERMOUTH MARTINI ROSSO 750ML</t>
        </is>
      </c>
      <c r="C2927" s="42" t="inlineStr">
        <is>
          <t>ME</t>
        </is>
      </c>
      <c r="D2927" s="42" t="inlineStr">
        <is>
          <t>LT</t>
        </is>
      </c>
      <c r="E2927" s="42" t="inlineStr">
        <is>
          <t>0137</t>
        </is>
      </c>
      <c r="F2927" s="70" t="inlineStr">
        <is>
          <t>Compras</t>
        </is>
      </c>
      <c r="G2927" s="71" t="n">
        <v>52.6693</v>
      </c>
      <c r="H2927" s="172" t="inlineStr">
        <is>
          <t>Não</t>
        </is>
      </c>
      <c r="I2927" s="49" t="n"/>
    </row>
    <row r="2928">
      <c r="A2928" s="43" t="inlineStr">
        <is>
          <t>009920</t>
        </is>
      </c>
      <c r="B2928" s="44" t="inlineStr">
        <is>
          <t>VERNIZ LATA 3,6LT</t>
        </is>
      </c>
      <c r="C2928" s="45" t="inlineStr">
        <is>
          <t>MC</t>
        </is>
      </c>
      <c r="D2928" s="45" t="inlineStr">
        <is>
          <t>UN</t>
        </is>
      </c>
      <c r="E2928" s="45" t="inlineStr">
        <is>
          <t>0132</t>
        </is>
      </c>
      <c r="F2928" s="70" t="inlineStr">
        <is>
          <t>Compras</t>
        </is>
      </c>
      <c r="G2928" s="66" t="n">
        <v>48.9</v>
      </c>
      <c r="H2928" s="172" t="inlineStr">
        <is>
          <t>Não</t>
        </is>
      </c>
      <c r="I2928" s="50" t="n"/>
    </row>
    <row r="2929">
      <c r="A2929" s="40" t="inlineStr">
        <is>
          <t>000644</t>
        </is>
      </c>
      <c r="B2929" s="41" t="inlineStr">
        <is>
          <t>VIDEO GAMES/BRINQUEDOS</t>
        </is>
      </c>
      <c r="C2929" s="42" t="inlineStr">
        <is>
          <t>AI</t>
        </is>
      </c>
      <c r="D2929" s="42" t="inlineStr">
        <is>
          <t>UN</t>
        </is>
      </c>
      <c r="E2929" s="42" t="inlineStr">
        <is>
          <t>0006</t>
        </is>
      </c>
      <c r="F2929" s="70" t="inlineStr">
        <is>
          <t>Compras</t>
        </is>
      </c>
      <c r="G2929" s="68" t="n">
        <v>0</v>
      </c>
      <c r="H2929" s="173" t="inlineStr">
        <is>
          <t>Sim</t>
        </is>
      </c>
      <c r="I2929" s="49" t="n"/>
    </row>
    <row r="2930">
      <c r="A2930" s="43" t="inlineStr">
        <is>
          <t>000424</t>
        </is>
      </c>
      <c r="B2930" s="44" t="inlineStr">
        <is>
          <t>VINAGRE AGRIN BRANCO NEVAL GARRAFA 750ML</t>
        </is>
      </c>
      <c r="C2930" s="45" t="inlineStr">
        <is>
          <t>MP</t>
        </is>
      </c>
      <c r="D2930" s="45" t="inlineStr">
        <is>
          <t>LT</t>
        </is>
      </c>
      <c r="E2930" s="45" t="inlineStr">
        <is>
          <t>0029</t>
        </is>
      </c>
      <c r="F2930" s="70" t="inlineStr">
        <is>
          <t>Compras</t>
        </is>
      </c>
      <c r="G2930" s="66" t="n">
        <v>2.825</v>
      </c>
      <c r="H2930" s="172" t="inlineStr">
        <is>
          <t>Não</t>
        </is>
      </c>
      <c r="I2930" s="50" t="n"/>
    </row>
    <row r="2931">
      <c r="A2931" s="40" t="inlineStr">
        <is>
          <t>001509</t>
        </is>
      </c>
      <c r="B2931" s="41" t="inlineStr">
        <is>
          <t>VINAGRETE</t>
        </is>
      </c>
      <c r="C2931" s="42" t="inlineStr">
        <is>
          <t>PA</t>
        </is>
      </c>
      <c r="D2931" s="42" t="inlineStr">
        <is>
          <t>UN</t>
        </is>
      </c>
      <c r="E2931" s="42" t="inlineStr">
        <is>
          <t>0121</t>
        </is>
      </c>
      <c r="F2931" s="65" t="inlineStr">
        <is>
          <t>Venda</t>
        </is>
      </c>
      <c r="G2931" s="68" t="n">
        <v>0</v>
      </c>
      <c r="H2931" s="172" t="inlineStr">
        <is>
          <t>Não</t>
        </is>
      </c>
      <c r="I2931" s="47" t="inlineStr">
        <is>
          <t>800002</t>
        </is>
      </c>
    </row>
    <row r="2932">
      <c r="A2932" s="43" t="inlineStr">
        <is>
          <t>009636</t>
        </is>
      </c>
      <c r="B2932" s="44" t="inlineStr">
        <is>
          <t>VINAGRETE (EXECUTIVO)</t>
        </is>
      </c>
      <c r="C2932" s="45" t="inlineStr">
        <is>
          <t>PA</t>
        </is>
      </c>
      <c r="D2932" s="45" t="inlineStr">
        <is>
          <t>UN</t>
        </is>
      </c>
      <c r="E2932" s="45" t="inlineStr">
        <is>
          <t>0121</t>
        </is>
      </c>
      <c r="F2932" s="65" t="inlineStr">
        <is>
          <t>Venda</t>
        </is>
      </c>
      <c r="G2932" s="69" t="n">
        <v>0</v>
      </c>
      <c r="H2932" s="172" t="inlineStr">
        <is>
          <t>Não</t>
        </is>
      </c>
      <c r="I2932" s="48" t="inlineStr">
        <is>
          <t>789890568772106</t>
        </is>
      </c>
    </row>
    <row r="2933">
      <c r="A2933" s="40" t="inlineStr">
        <is>
          <t>002250</t>
        </is>
      </c>
      <c r="B2933" s="41" t="inlineStr">
        <is>
          <t>VINHO ALAMOS MALBEC</t>
        </is>
      </c>
      <c r="C2933" s="42" t="inlineStr">
        <is>
          <t>ME</t>
        </is>
      </c>
      <c r="D2933" s="42" t="inlineStr">
        <is>
          <t>UN</t>
        </is>
      </c>
      <c r="E2933" s="42" t="inlineStr">
        <is>
          <t>0054</t>
        </is>
      </c>
      <c r="F2933" s="70" t="inlineStr">
        <is>
          <t>Compras</t>
        </is>
      </c>
      <c r="G2933" s="68" t="n">
        <v>0</v>
      </c>
      <c r="H2933" s="172" t="inlineStr">
        <is>
          <t>Não</t>
        </is>
      </c>
      <c r="I2933" s="49" t="n"/>
    </row>
    <row r="2934">
      <c r="A2934" s="43" t="inlineStr">
        <is>
          <t>000281</t>
        </is>
      </c>
      <c r="B2934" s="44" t="inlineStr">
        <is>
          <t>VINHO ANTARES CARMENERE 750ML</t>
        </is>
      </c>
      <c r="C2934" s="45" t="inlineStr">
        <is>
          <t>MR</t>
        </is>
      </c>
      <c r="D2934" s="45" t="inlineStr">
        <is>
          <t>UN</t>
        </is>
      </c>
      <c r="E2934" s="45" t="inlineStr">
        <is>
          <t>0118</t>
        </is>
      </c>
      <c r="F2934" s="65" t="inlineStr">
        <is>
          <t>Venda</t>
        </is>
      </c>
      <c r="G2934" s="69" t="n">
        <v>0</v>
      </c>
      <c r="H2934" s="172" t="inlineStr">
        <is>
          <t>Não</t>
        </is>
      </c>
      <c r="I2934" s="48" t="inlineStr">
        <is>
          <t>300066</t>
        </is>
      </c>
    </row>
    <row r="2935">
      <c r="A2935" s="40" t="inlineStr">
        <is>
          <t>000371</t>
        </is>
      </c>
      <c r="B2935" s="41" t="inlineStr">
        <is>
          <t>VINHO ANTARES CARMENERE 750ML</t>
        </is>
      </c>
      <c r="C2935" s="42" t="inlineStr">
        <is>
          <t>ME</t>
        </is>
      </c>
      <c r="D2935" s="42" t="inlineStr">
        <is>
          <t>UN</t>
        </is>
      </c>
      <c r="E2935" s="42" t="inlineStr">
        <is>
          <t>0054</t>
        </is>
      </c>
      <c r="F2935" s="70" t="inlineStr">
        <is>
          <t>Compras</t>
        </is>
      </c>
      <c r="G2935" s="68" t="n">
        <v>0</v>
      </c>
      <c r="H2935" s="172" t="inlineStr">
        <is>
          <t>Não</t>
        </is>
      </c>
      <c r="I2935" s="49" t="n"/>
    </row>
    <row r="2936">
      <c r="A2936" s="43" t="inlineStr">
        <is>
          <t>010020</t>
        </is>
      </c>
      <c r="B2936" s="44" t="inlineStr">
        <is>
          <t>VINHO ANTARES CARMENERE 750ML</t>
        </is>
      </c>
      <c r="C2936" s="45" t="inlineStr">
        <is>
          <t>MR</t>
        </is>
      </c>
      <c r="D2936" s="45" t="inlineStr">
        <is>
          <t>UN</t>
        </is>
      </c>
      <c r="E2936" s="45" t="inlineStr">
        <is>
          <t>0118</t>
        </is>
      </c>
      <c r="F2936" s="65" t="inlineStr">
        <is>
          <t>Venda</t>
        </is>
      </c>
      <c r="G2936" s="69" t="n">
        <v>0</v>
      </c>
      <c r="H2936" s="172" t="inlineStr">
        <is>
          <t>Não</t>
        </is>
      </c>
      <c r="I2936" s="48" t="inlineStr">
        <is>
          <t>789890568772123</t>
        </is>
      </c>
    </row>
    <row r="2937">
      <c r="A2937" s="40" t="inlineStr">
        <is>
          <t>009526</t>
        </is>
      </c>
      <c r="B2937" s="41" t="inlineStr">
        <is>
          <t>VINHO ARGENTINO ALFREDO ROCA CHARDONNAY 375ML</t>
        </is>
      </c>
      <c r="C2937" s="42" t="inlineStr">
        <is>
          <t>ME</t>
        </is>
      </c>
      <c r="D2937" s="42" t="inlineStr">
        <is>
          <t>UN</t>
        </is>
      </c>
      <c r="E2937" s="42" t="inlineStr">
        <is>
          <t>0054</t>
        </is>
      </c>
      <c r="F2937" s="70" t="inlineStr">
        <is>
          <t>Compras</t>
        </is>
      </c>
      <c r="G2937" s="68" t="n">
        <v>0</v>
      </c>
      <c r="H2937" s="172" t="inlineStr">
        <is>
          <t>Não</t>
        </is>
      </c>
      <c r="I2937" s="49" t="n"/>
    </row>
    <row r="2938">
      <c r="A2938" s="43" t="inlineStr">
        <is>
          <t>010021</t>
        </is>
      </c>
      <c r="B2938" s="44" t="inlineStr">
        <is>
          <t>VINHO ARGENTINO ALFREDO ROCA CHARDONNAY 375ML</t>
        </is>
      </c>
      <c r="C2938" s="45" t="inlineStr">
        <is>
          <t>MR</t>
        </is>
      </c>
      <c r="D2938" s="45" t="inlineStr">
        <is>
          <t>UN</t>
        </is>
      </c>
      <c r="E2938" s="45" t="inlineStr">
        <is>
          <t>0114</t>
        </is>
      </c>
      <c r="F2938" s="65" t="inlineStr">
        <is>
          <t>Venda</t>
        </is>
      </c>
      <c r="G2938" s="69" t="n">
        <v>0</v>
      </c>
      <c r="H2938" s="172" t="inlineStr">
        <is>
          <t>Não</t>
        </is>
      </c>
      <c r="I2938" s="48" t="inlineStr">
        <is>
          <t>789890568772124</t>
        </is>
      </c>
    </row>
    <row r="2939">
      <c r="A2939" s="40" t="inlineStr">
        <is>
          <t>009525</t>
        </is>
      </c>
      <c r="B2939" s="41" t="inlineStr">
        <is>
          <t>VINHO ARGENTINO ALFREDO ROCA MALBEC 375ML</t>
        </is>
      </c>
      <c r="C2939" s="42" t="inlineStr">
        <is>
          <t>ME</t>
        </is>
      </c>
      <c r="D2939" s="42" t="inlineStr">
        <is>
          <t>UN</t>
        </is>
      </c>
      <c r="E2939" s="42" t="inlineStr">
        <is>
          <t>0054</t>
        </is>
      </c>
      <c r="F2939" s="70" t="inlineStr">
        <is>
          <t>Compras</t>
        </is>
      </c>
      <c r="G2939" s="68" t="n">
        <v>0</v>
      </c>
      <c r="H2939" s="172" t="inlineStr">
        <is>
          <t>Não</t>
        </is>
      </c>
      <c r="I2939" s="49" t="n"/>
    </row>
    <row r="2940">
      <c r="A2940" s="43" t="inlineStr">
        <is>
          <t>001387</t>
        </is>
      </c>
      <c r="B2940" s="44" t="inlineStr">
        <is>
          <t>VINHO ARGENTINO NORTON PORTENO CHARDONNAY 750ML</t>
        </is>
      </c>
      <c r="C2940" s="45" t="inlineStr">
        <is>
          <t>ME</t>
        </is>
      </c>
      <c r="D2940" s="45" t="inlineStr">
        <is>
          <t>UN</t>
        </is>
      </c>
      <c r="E2940" s="45" t="inlineStr">
        <is>
          <t>0054</t>
        </is>
      </c>
      <c r="F2940" s="70" t="inlineStr">
        <is>
          <t>Compras</t>
        </is>
      </c>
      <c r="G2940" s="66" t="n">
        <v>30.8408</v>
      </c>
      <c r="H2940" s="172" t="inlineStr">
        <is>
          <t>Não</t>
        </is>
      </c>
      <c r="I2940" s="50" t="n"/>
    </row>
    <row r="2941">
      <c r="A2941" s="40" t="inlineStr">
        <is>
          <t>001388</t>
        </is>
      </c>
      <c r="B2941" s="41" t="inlineStr">
        <is>
          <t>VINHO ARGENTINO NORTON PORTENO MALBEC 750ML</t>
        </is>
      </c>
      <c r="C2941" s="42" t="inlineStr">
        <is>
          <t>ME</t>
        </is>
      </c>
      <c r="D2941" s="42" t="inlineStr">
        <is>
          <t>UN</t>
        </is>
      </c>
      <c r="E2941" s="42" t="inlineStr">
        <is>
          <t>0054</t>
        </is>
      </c>
      <c r="F2941" s="70" t="inlineStr">
        <is>
          <t>Compras</t>
        </is>
      </c>
      <c r="G2941" s="71" t="n">
        <v>30.8408</v>
      </c>
      <c r="H2941" s="172" t="inlineStr">
        <is>
          <t>Não</t>
        </is>
      </c>
      <c r="I2941" s="49" t="n"/>
    </row>
    <row r="2942">
      <c r="A2942" s="43" t="inlineStr">
        <is>
          <t>002247</t>
        </is>
      </c>
      <c r="B2942" s="44" t="inlineStr">
        <is>
          <t>VINHO ARGENTINO NORTON PORTENO ROSE 750ML</t>
        </is>
      </c>
      <c r="C2942" s="45" t="inlineStr">
        <is>
          <t>ME</t>
        </is>
      </c>
      <c r="D2942" s="45" t="inlineStr">
        <is>
          <t>UN</t>
        </is>
      </c>
      <c r="E2942" s="45" t="inlineStr">
        <is>
          <t>0054</t>
        </is>
      </c>
      <c r="F2942" s="70" t="inlineStr">
        <is>
          <t>Compras</t>
        </is>
      </c>
      <c r="G2942" s="66" t="n">
        <v>30.07</v>
      </c>
      <c r="H2942" s="172" t="inlineStr">
        <is>
          <t>Não</t>
        </is>
      </c>
      <c r="I2942" s="50" t="n"/>
    </row>
    <row r="2943">
      <c r="A2943" s="40" t="inlineStr">
        <is>
          <t>009534</t>
        </is>
      </c>
      <c r="B2943" s="41" t="inlineStr">
        <is>
          <t>VINHO ARGENTINO PORTENO MALBEC 750ML</t>
        </is>
      </c>
      <c r="C2943" s="42" t="inlineStr">
        <is>
          <t>ME</t>
        </is>
      </c>
      <c r="D2943" s="42" t="inlineStr">
        <is>
          <t>UN</t>
        </is>
      </c>
      <c r="E2943" s="42" t="inlineStr">
        <is>
          <t>0054</t>
        </is>
      </c>
      <c r="F2943" s="70" t="inlineStr">
        <is>
          <t>Compras</t>
        </is>
      </c>
      <c r="G2943" s="68" t="n">
        <v>0</v>
      </c>
      <c r="H2943" s="172" t="inlineStr">
        <is>
          <t>Não</t>
        </is>
      </c>
      <c r="I2943" s="49" t="n"/>
    </row>
    <row r="2944">
      <c r="A2944" s="43" t="inlineStr">
        <is>
          <t>010029</t>
        </is>
      </c>
      <c r="B2944" s="44" t="inlineStr">
        <is>
          <t>VINHO ARGENTINO PORTENO MALBEC 750ML</t>
        </is>
      </c>
      <c r="C2944" s="45" t="inlineStr">
        <is>
          <t>MR</t>
        </is>
      </c>
      <c r="D2944" s="45" t="inlineStr">
        <is>
          <t>UN</t>
        </is>
      </c>
      <c r="E2944" s="45" t="inlineStr">
        <is>
          <t>0118</t>
        </is>
      </c>
      <c r="F2944" s="65" t="inlineStr">
        <is>
          <t>Venda</t>
        </is>
      </c>
      <c r="G2944" s="69" t="n">
        <v>0</v>
      </c>
      <c r="H2944" s="172" t="inlineStr">
        <is>
          <t>Não</t>
        </is>
      </c>
      <c r="I2944" s="48" t="inlineStr">
        <is>
          <t>789890568772132</t>
        </is>
      </c>
    </row>
    <row r="2945">
      <c r="A2945" s="40" t="inlineStr">
        <is>
          <t>009520</t>
        </is>
      </c>
      <c r="B2945" s="41" t="inlineStr">
        <is>
          <t>VINHO BCO  PORTUGUES TERRA DEL REI ALENTEJO 750ML</t>
        </is>
      </c>
      <c r="C2945" s="42" t="inlineStr">
        <is>
          <t>ME</t>
        </is>
      </c>
      <c r="D2945" s="42" t="inlineStr">
        <is>
          <t>UN</t>
        </is>
      </c>
      <c r="E2945" s="42" t="inlineStr">
        <is>
          <t>0054</t>
        </is>
      </c>
      <c r="F2945" s="70" t="inlineStr">
        <is>
          <t>Compras</t>
        </is>
      </c>
      <c r="G2945" s="68" t="n">
        <v>0</v>
      </c>
      <c r="H2945" s="172" t="inlineStr">
        <is>
          <t>Não</t>
        </is>
      </c>
      <c r="I2945" s="49" t="n"/>
    </row>
    <row r="2946">
      <c r="A2946" s="43" t="inlineStr">
        <is>
          <t>010014</t>
        </is>
      </c>
      <c r="B2946" s="44" t="inlineStr">
        <is>
          <t>VINHO BCO  PORTUGUES TERRA DEL REI ALENTEJO 750ML</t>
        </is>
      </c>
      <c r="C2946" s="45" t="inlineStr">
        <is>
          <t>MR</t>
        </is>
      </c>
      <c r="D2946" s="45" t="inlineStr">
        <is>
          <t>UN</t>
        </is>
      </c>
      <c r="E2946" s="45" t="inlineStr">
        <is>
          <t>0114</t>
        </is>
      </c>
      <c r="F2946" s="65" t="inlineStr">
        <is>
          <t>Venda</t>
        </is>
      </c>
      <c r="G2946" s="69" t="n">
        <v>0</v>
      </c>
      <c r="H2946" s="172" t="inlineStr">
        <is>
          <t>Não</t>
        </is>
      </c>
      <c r="I2946" s="48" t="inlineStr">
        <is>
          <t>789890568772118</t>
        </is>
      </c>
    </row>
    <row r="2947">
      <c r="A2947" s="40" t="inlineStr">
        <is>
          <t>010019</t>
        </is>
      </c>
      <c r="B2947" s="41" t="inlineStr">
        <is>
          <t>VINHO BCO CHILENO VISTANA SEMILLON 375ML</t>
        </is>
      </c>
      <c r="C2947" s="42" t="inlineStr">
        <is>
          <t>MR</t>
        </is>
      </c>
      <c r="D2947" s="42" t="inlineStr">
        <is>
          <t>UN</t>
        </is>
      </c>
      <c r="E2947" s="42" t="inlineStr">
        <is>
          <t>0114</t>
        </is>
      </c>
      <c r="F2947" s="65" t="inlineStr">
        <is>
          <t>Venda</t>
        </is>
      </c>
      <c r="G2947" s="68" t="n">
        <v>0</v>
      </c>
      <c r="H2947" s="172" t="inlineStr">
        <is>
          <t>Não</t>
        </is>
      </c>
      <c r="I2947" s="47" t="inlineStr">
        <is>
          <t>789890568772122</t>
        </is>
      </c>
    </row>
    <row r="2948">
      <c r="A2948" s="43" t="inlineStr">
        <is>
          <t>001310</t>
        </is>
      </c>
      <c r="B2948" s="44" t="inlineStr">
        <is>
          <t>VINHO CASA DE TANGO 750 ML TT</t>
        </is>
      </c>
      <c r="C2948" s="45" t="inlineStr">
        <is>
          <t>MR</t>
        </is>
      </c>
      <c r="D2948" s="45" t="inlineStr">
        <is>
          <t>UN</t>
        </is>
      </c>
      <c r="E2948" s="45" t="inlineStr">
        <is>
          <t>0118</t>
        </is>
      </c>
      <c r="F2948" s="65" t="inlineStr">
        <is>
          <t>Venda</t>
        </is>
      </c>
      <c r="G2948" s="69" t="n">
        <v>0</v>
      </c>
      <c r="H2948" s="173" t="inlineStr">
        <is>
          <t>Sim</t>
        </is>
      </c>
      <c r="I2948" s="48" t="inlineStr">
        <is>
          <t>21069094</t>
        </is>
      </c>
    </row>
    <row r="2949">
      <c r="A2949" s="40" t="inlineStr">
        <is>
          <t>001311</t>
        </is>
      </c>
      <c r="B2949" s="41" t="inlineStr">
        <is>
          <t>VINHO CASA DE TANGO 750 ML TT</t>
        </is>
      </c>
      <c r="C2949" s="42" t="inlineStr">
        <is>
          <t>ME</t>
        </is>
      </c>
      <c r="D2949" s="42" t="inlineStr">
        <is>
          <t>UN</t>
        </is>
      </c>
      <c r="E2949" s="42" t="inlineStr">
        <is>
          <t>0054</t>
        </is>
      </c>
      <c r="F2949" s="70" t="inlineStr">
        <is>
          <t>Compras</t>
        </is>
      </c>
      <c r="G2949" s="68" t="n">
        <v>0</v>
      </c>
      <c r="H2949" s="172" t="inlineStr">
        <is>
          <t>Não</t>
        </is>
      </c>
      <c r="I2949" s="49" t="n"/>
    </row>
    <row r="2950">
      <c r="A2950" s="43" t="inlineStr">
        <is>
          <t>009522</t>
        </is>
      </c>
      <c r="B2950" s="44" t="inlineStr">
        <is>
          <t>VINHO CHILENO VISTANA CABERNET MERLOT 375ML</t>
        </is>
      </c>
      <c r="C2950" s="45" t="inlineStr">
        <is>
          <t>ME</t>
        </is>
      </c>
      <c r="D2950" s="45" t="inlineStr">
        <is>
          <t>UN</t>
        </is>
      </c>
      <c r="E2950" s="45" t="inlineStr">
        <is>
          <t>0054</t>
        </is>
      </c>
      <c r="F2950" s="70" t="inlineStr">
        <is>
          <t>Compras</t>
        </is>
      </c>
      <c r="G2950" s="69" t="n">
        <v>0</v>
      </c>
      <c r="H2950" s="172" t="inlineStr">
        <is>
          <t>Não</t>
        </is>
      </c>
      <c r="I2950" s="50" t="n"/>
    </row>
    <row r="2951">
      <c r="A2951" s="40" t="inlineStr">
        <is>
          <t>010016</t>
        </is>
      </c>
      <c r="B2951" s="41" t="inlineStr">
        <is>
          <t>VINHO CHILENO VISTANA CABERNET MERLOT 375ML</t>
        </is>
      </c>
      <c r="C2951" s="42" t="inlineStr">
        <is>
          <t>MR</t>
        </is>
      </c>
      <c r="D2951" s="42" t="inlineStr">
        <is>
          <t>UN</t>
        </is>
      </c>
      <c r="E2951" s="42" t="inlineStr">
        <is>
          <t>0118</t>
        </is>
      </c>
      <c r="F2951" s="65" t="inlineStr">
        <is>
          <t>Venda</t>
        </is>
      </c>
      <c r="G2951" s="68" t="n">
        <v>0</v>
      </c>
      <c r="H2951" s="172" t="inlineStr">
        <is>
          <t>Não</t>
        </is>
      </c>
      <c r="I2951" s="47" t="inlineStr">
        <is>
          <t>789890568772120</t>
        </is>
      </c>
    </row>
    <row r="2952">
      <c r="A2952" s="43" t="inlineStr">
        <is>
          <t>000270</t>
        </is>
      </c>
      <c r="B2952" s="44" t="inlineStr">
        <is>
          <t>VINHO CHILENO VISTANA CABERNET SAU.MERLOT 375ML</t>
        </is>
      </c>
      <c r="C2952" s="45" t="inlineStr">
        <is>
          <t>ME</t>
        </is>
      </c>
      <c r="D2952" s="45" t="inlineStr">
        <is>
          <t>UN</t>
        </is>
      </c>
      <c r="E2952" s="45" t="inlineStr">
        <is>
          <t>0054</t>
        </is>
      </c>
      <c r="F2952" s="70" t="inlineStr">
        <is>
          <t>Compras</t>
        </is>
      </c>
      <c r="G2952" s="66" t="n">
        <v>32.5792</v>
      </c>
      <c r="H2952" s="172" t="inlineStr">
        <is>
          <t>Não</t>
        </is>
      </c>
      <c r="I2952" s="50" t="n"/>
    </row>
    <row r="2953">
      <c r="A2953" s="40" t="inlineStr">
        <is>
          <t>000271</t>
        </is>
      </c>
      <c r="B2953" s="41" t="inlineStr">
        <is>
          <t>VINHO CHILENO VISTANA CABERNET SAU.MERLOT 750ML</t>
        </is>
      </c>
      <c r="C2953" s="42" t="inlineStr">
        <is>
          <t>ME</t>
        </is>
      </c>
      <c r="D2953" s="42" t="inlineStr">
        <is>
          <t>UN</t>
        </is>
      </c>
      <c r="E2953" s="42" t="inlineStr">
        <is>
          <t>0054</t>
        </is>
      </c>
      <c r="F2953" s="70" t="inlineStr">
        <is>
          <t>Compras</t>
        </is>
      </c>
      <c r="G2953" s="68" t="n">
        <v>0</v>
      </c>
      <c r="H2953" s="172" t="inlineStr">
        <is>
          <t>Não</t>
        </is>
      </c>
      <c r="I2953" s="49" t="n"/>
    </row>
    <row r="2954">
      <c r="A2954" s="43" t="inlineStr">
        <is>
          <t>009521</t>
        </is>
      </c>
      <c r="B2954" s="44" t="inlineStr">
        <is>
          <t>VINHO CHILENO VISTANA CABERNET SAUVINGON 375ML</t>
        </is>
      </c>
      <c r="C2954" s="45" t="inlineStr">
        <is>
          <t>ME</t>
        </is>
      </c>
      <c r="D2954" s="45" t="inlineStr">
        <is>
          <t>UN</t>
        </is>
      </c>
      <c r="E2954" s="45" t="inlineStr">
        <is>
          <t>0054</t>
        </is>
      </c>
      <c r="F2954" s="70" t="inlineStr">
        <is>
          <t>Compras</t>
        </is>
      </c>
      <c r="G2954" s="69" t="n">
        <v>0</v>
      </c>
      <c r="H2954" s="172" t="inlineStr">
        <is>
          <t>Não</t>
        </is>
      </c>
      <c r="I2954" s="50" t="n"/>
    </row>
    <row r="2955">
      <c r="A2955" s="40" t="inlineStr">
        <is>
          <t>010015</t>
        </is>
      </c>
      <c r="B2955" s="41" t="inlineStr">
        <is>
          <t>VINHO CHILENO VISTANA CABERNET SAUVINGON 375ML</t>
        </is>
      </c>
      <c r="C2955" s="42" t="inlineStr">
        <is>
          <t>MR</t>
        </is>
      </c>
      <c r="D2955" s="42" t="inlineStr">
        <is>
          <t>UN</t>
        </is>
      </c>
      <c r="E2955" s="42" t="inlineStr">
        <is>
          <t>0118</t>
        </is>
      </c>
      <c r="F2955" s="65" t="inlineStr">
        <is>
          <t>Venda</t>
        </is>
      </c>
      <c r="G2955" s="68" t="n">
        <v>0</v>
      </c>
      <c r="H2955" s="172" t="inlineStr">
        <is>
          <t>Não</t>
        </is>
      </c>
      <c r="I2955" s="47" t="inlineStr">
        <is>
          <t>789890568772119</t>
        </is>
      </c>
    </row>
    <row r="2956">
      <c r="A2956" s="43" t="inlineStr">
        <is>
          <t>000272</t>
        </is>
      </c>
      <c r="B2956" s="44" t="inlineStr">
        <is>
          <t>VINHO CHILENO VISTANA SAU.BLANC SEMILON 375ML</t>
        </is>
      </c>
      <c r="C2956" s="45" t="inlineStr">
        <is>
          <t>ME</t>
        </is>
      </c>
      <c r="D2956" s="45" t="inlineStr">
        <is>
          <t>UN</t>
        </is>
      </c>
      <c r="E2956" s="45" t="inlineStr">
        <is>
          <t>0054</t>
        </is>
      </c>
      <c r="F2956" s="70" t="inlineStr">
        <is>
          <t>Compras</t>
        </is>
      </c>
      <c r="G2956" s="69" t="n">
        <v>0</v>
      </c>
      <c r="H2956" s="172" t="inlineStr">
        <is>
          <t>Não</t>
        </is>
      </c>
      <c r="I2956" s="50" t="n"/>
    </row>
    <row r="2957">
      <c r="A2957" s="40" t="inlineStr">
        <is>
          <t>000273</t>
        </is>
      </c>
      <c r="B2957" s="41" t="inlineStr">
        <is>
          <t>VINHO CHILENO VISTANA SAU.BLANC SEMILON 750ML</t>
        </is>
      </c>
      <c r="C2957" s="42" t="inlineStr">
        <is>
          <t>ME</t>
        </is>
      </c>
      <c r="D2957" s="42" t="inlineStr">
        <is>
          <t>UN</t>
        </is>
      </c>
      <c r="E2957" s="42" t="inlineStr">
        <is>
          <t>0054</t>
        </is>
      </c>
      <c r="F2957" s="70" t="inlineStr">
        <is>
          <t>Compras</t>
        </is>
      </c>
      <c r="G2957" s="71" t="n">
        <v>34.72</v>
      </c>
      <c r="H2957" s="172" t="inlineStr">
        <is>
          <t>Não</t>
        </is>
      </c>
      <c r="I2957" s="49" t="n"/>
    </row>
    <row r="2958">
      <c r="A2958" s="43" t="inlineStr">
        <is>
          <t>009523</t>
        </is>
      </c>
      <c r="B2958" s="44" t="inlineStr">
        <is>
          <t>VINHO CHILENO VISTANA SAUVINGON BLANC 375ML</t>
        </is>
      </c>
      <c r="C2958" s="45" t="inlineStr">
        <is>
          <t>ME</t>
        </is>
      </c>
      <c r="D2958" s="45" t="inlineStr">
        <is>
          <t>UN</t>
        </is>
      </c>
      <c r="E2958" s="45" t="inlineStr">
        <is>
          <t>0054</t>
        </is>
      </c>
      <c r="F2958" s="70" t="inlineStr">
        <is>
          <t>Compras</t>
        </is>
      </c>
      <c r="G2958" s="69" t="n">
        <v>0</v>
      </c>
      <c r="H2958" s="172" t="inlineStr">
        <is>
          <t>Não</t>
        </is>
      </c>
      <c r="I2958" s="50" t="n"/>
    </row>
    <row r="2959">
      <c r="A2959" s="40" t="inlineStr">
        <is>
          <t>010017</t>
        </is>
      </c>
      <c r="B2959" s="41" t="inlineStr">
        <is>
          <t>VINHO CHILENO VISTANA SAUVINGON BLANC 375ML</t>
        </is>
      </c>
      <c r="C2959" s="42" t="inlineStr">
        <is>
          <t>MR</t>
        </is>
      </c>
      <c r="D2959" s="42" t="inlineStr">
        <is>
          <t>UN</t>
        </is>
      </c>
      <c r="E2959" s="42" t="inlineStr">
        <is>
          <t>0114</t>
        </is>
      </c>
      <c r="F2959" s="65" t="inlineStr">
        <is>
          <t>Venda</t>
        </is>
      </c>
      <c r="G2959" s="68" t="n">
        <v>0</v>
      </c>
      <c r="H2959" s="172" t="inlineStr">
        <is>
          <t>Não</t>
        </is>
      </c>
      <c r="I2959" s="47" t="inlineStr">
        <is>
          <t>789890568772121</t>
        </is>
      </c>
    </row>
    <row r="2960">
      <c r="A2960" s="43" t="inlineStr">
        <is>
          <t>009524</t>
        </is>
      </c>
      <c r="B2960" s="44" t="inlineStr">
        <is>
          <t>VINHO CHILENO VISTANA SEMILLON 375ML</t>
        </is>
      </c>
      <c r="C2960" s="45" t="inlineStr">
        <is>
          <t>ME</t>
        </is>
      </c>
      <c r="D2960" s="45" t="inlineStr">
        <is>
          <t>UN</t>
        </is>
      </c>
      <c r="E2960" s="45" t="inlineStr">
        <is>
          <t>0054</t>
        </is>
      </c>
      <c r="F2960" s="70" t="inlineStr">
        <is>
          <t>Compras</t>
        </is>
      </c>
      <c r="G2960" s="69" t="n">
        <v>0</v>
      </c>
      <c r="H2960" s="172" t="inlineStr">
        <is>
          <t>Não</t>
        </is>
      </c>
      <c r="I2960" s="50" t="n"/>
    </row>
    <row r="2961">
      <c r="A2961" s="40" t="inlineStr">
        <is>
          <t>009529</t>
        </is>
      </c>
      <c r="B2961" s="41" t="inlineStr">
        <is>
          <t>VINHO ESPANHOL PATA NEGRA ORO BRANCO 750 ML</t>
        </is>
      </c>
      <c r="C2961" s="42" t="inlineStr">
        <is>
          <t>ME</t>
        </is>
      </c>
      <c r="D2961" s="42" t="inlineStr">
        <is>
          <t>UN</t>
        </is>
      </c>
      <c r="E2961" s="42" t="inlineStr">
        <is>
          <t>0054</t>
        </is>
      </c>
      <c r="F2961" s="70" t="inlineStr">
        <is>
          <t>Compras</t>
        </is>
      </c>
      <c r="G2961" s="68" t="n">
        <v>0</v>
      </c>
      <c r="H2961" s="172" t="inlineStr">
        <is>
          <t>Não</t>
        </is>
      </c>
      <c r="I2961" s="49" t="n"/>
    </row>
    <row r="2962">
      <c r="A2962" s="43" t="inlineStr">
        <is>
          <t>010024</t>
        </is>
      </c>
      <c r="B2962" s="44" t="inlineStr">
        <is>
          <t>VINHO ESPANHOL PATA NEGRA ORO BRANCO 750 ML</t>
        </is>
      </c>
      <c r="C2962" s="45" t="inlineStr">
        <is>
          <t>MR</t>
        </is>
      </c>
      <c r="D2962" s="45" t="inlineStr">
        <is>
          <t>UN</t>
        </is>
      </c>
      <c r="E2962" s="45" t="inlineStr">
        <is>
          <t>0114</t>
        </is>
      </c>
      <c r="F2962" s="65" t="inlineStr">
        <is>
          <t>Venda</t>
        </is>
      </c>
      <c r="G2962" s="69" t="n">
        <v>0</v>
      </c>
      <c r="H2962" s="172" t="inlineStr">
        <is>
          <t>Não</t>
        </is>
      </c>
      <c r="I2962" s="48" t="inlineStr">
        <is>
          <t>789890568772127</t>
        </is>
      </c>
    </row>
    <row r="2963">
      <c r="A2963" s="40" t="inlineStr">
        <is>
          <t>009528</t>
        </is>
      </c>
      <c r="B2963" s="41" t="inlineStr">
        <is>
          <t>VINHO ESPANHOL PATA NEGRA ORO ROSE 750ML</t>
        </is>
      </c>
      <c r="C2963" s="42" t="inlineStr">
        <is>
          <t>ME</t>
        </is>
      </c>
      <c r="D2963" s="42" t="inlineStr">
        <is>
          <t>UN</t>
        </is>
      </c>
      <c r="E2963" s="42" t="inlineStr">
        <is>
          <t>0054</t>
        </is>
      </c>
      <c r="F2963" s="70" t="inlineStr">
        <is>
          <t>Compras</t>
        </is>
      </c>
      <c r="G2963" s="68" t="n">
        <v>0</v>
      </c>
      <c r="H2963" s="172" t="inlineStr">
        <is>
          <t>Não</t>
        </is>
      </c>
      <c r="I2963" s="49" t="n"/>
    </row>
    <row r="2964">
      <c r="A2964" s="43" t="inlineStr">
        <is>
          <t>010023</t>
        </is>
      </c>
      <c r="B2964" s="44" t="inlineStr">
        <is>
          <t>VINHO ESPANHOL PATA NEGRA ORO ROSE 750ML</t>
        </is>
      </c>
      <c r="C2964" s="45" t="inlineStr">
        <is>
          <t>MR</t>
        </is>
      </c>
      <c r="D2964" s="45" t="inlineStr">
        <is>
          <t>UN</t>
        </is>
      </c>
      <c r="E2964" s="45" t="inlineStr">
        <is>
          <t>0118</t>
        </is>
      </c>
      <c r="F2964" s="65" t="inlineStr">
        <is>
          <t>Venda</t>
        </is>
      </c>
      <c r="G2964" s="69" t="n">
        <v>0</v>
      </c>
      <c r="H2964" s="172" t="inlineStr">
        <is>
          <t>Não</t>
        </is>
      </c>
      <c r="I2964" s="48" t="inlineStr">
        <is>
          <t>789890568772126</t>
        </is>
      </c>
    </row>
    <row r="2965">
      <c r="A2965" s="40" t="inlineStr">
        <is>
          <t>009527</t>
        </is>
      </c>
      <c r="B2965" s="41" t="inlineStr">
        <is>
          <t>VINHO ESPANHOL PATA NEGRA ORO TEMPRANILLO 750ML</t>
        </is>
      </c>
      <c r="C2965" s="42" t="inlineStr">
        <is>
          <t>ME</t>
        </is>
      </c>
      <c r="D2965" s="42" t="inlineStr">
        <is>
          <t>UN</t>
        </is>
      </c>
      <c r="E2965" s="42" t="inlineStr">
        <is>
          <t>0054</t>
        </is>
      </c>
      <c r="F2965" s="70" t="inlineStr">
        <is>
          <t>Compras</t>
        </is>
      </c>
      <c r="G2965" s="68" t="n">
        <v>0</v>
      </c>
      <c r="H2965" s="172" t="inlineStr">
        <is>
          <t>Não</t>
        </is>
      </c>
      <c r="I2965" s="49" t="n"/>
    </row>
    <row r="2966">
      <c r="A2966" s="43" t="inlineStr">
        <is>
          <t>010022</t>
        </is>
      </c>
      <c r="B2966" s="44" t="inlineStr">
        <is>
          <t>VINHO ESPANHOL PATA NEGRA ORO TEMPRANILLO 750ML</t>
        </is>
      </c>
      <c r="C2966" s="45" t="inlineStr">
        <is>
          <t>MR</t>
        </is>
      </c>
      <c r="D2966" s="45" t="inlineStr">
        <is>
          <t>UN</t>
        </is>
      </c>
      <c r="E2966" s="45" t="inlineStr">
        <is>
          <t>0118</t>
        </is>
      </c>
      <c r="F2966" s="65" t="inlineStr">
        <is>
          <t>Venda</t>
        </is>
      </c>
      <c r="G2966" s="69" t="n">
        <v>0</v>
      </c>
      <c r="H2966" s="172" t="inlineStr">
        <is>
          <t>Não</t>
        </is>
      </c>
      <c r="I2966" s="48" t="inlineStr">
        <is>
          <t>789890568772125</t>
        </is>
      </c>
    </row>
    <row r="2967">
      <c r="A2967" s="40" t="inlineStr">
        <is>
          <t>009532</t>
        </is>
      </c>
      <c r="B2967" s="41" t="inlineStr">
        <is>
          <t>VINHO FRANCES MONTMEYRAC BRANCO 750ML</t>
        </is>
      </c>
      <c r="C2967" s="42" t="inlineStr">
        <is>
          <t>ME</t>
        </is>
      </c>
      <c r="D2967" s="42" t="inlineStr">
        <is>
          <t>UN</t>
        </is>
      </c>
      <c r="E2967" s="42" t="inlineStr">
        <is>
          <t>0054</t>
        </is>
      </c>
      <c r="F2967" s="70" t="inlineStr">
        <is>
          <t>Compras</t>
        </is>
      </c>
      <c r="G2967" s="68" t="n">
        <v>0</v>
      </c>
      <c r="H2967" s="172" t="inlineStr">
        <is>
          <t>Não</t>
        </is>
      </c>
      <c r="I2967" s="49" t="n"/>
    </row>
    <row r="2968">
      <c r="A2968" s="43" t="inlineStr">
        <is>
          <t>010027</t>
        </is>
      </c>
      <c r="B2968" s="44" t="inlineStr">
        <is>
          <t>VINHO FRANCES MONTMEYRAC BRANCO 750ML</t>
        </is>
      </c>
      <c r="C2968" s="45" t="inlineStr">
        <is>
          <t>MR</t>
        </is>
      </c>
      <c r="D2968" s="45" t="inlineStr">
        <is>
          <t>UN</t>
        </is>
      </c>
      <c r="E2968" s="45" t="inlineStr">
        <is>
          <t>0114</t>
        </is>
      </c>
      <c r="F2968" s="65" t="inlineStr">
        <is>
          <t>Venda</t>
        </is>
      </c>
      <c r="G2968" s="69" t="n">
        <v>0</v>
      </c>
      <c r="H2968" s="172" t="inlineStr">
        <is>
          <t>Não</t>
        </is>
      </c>
      <c r="I2968" s="48" t="inlineStr">
        <is>
          <t>789890568772130</t>
        </is>
      </c>
    </row>
    <row r="2969">
      <c r="A2969" s="40" t="inlineStr">
        <is>
          <t>009533</t>
        </is>
      </c>
      <c r="B2969" s="41" t="inlineStr">
        <is>
          <t>VINHO FRANCES MONTMEYRAC ROSE 750 ML</t>
        </is>
      </c>
      <c r="C2969" s="42" t="inlineStr">
        <is>
          <t>ME</t>
        </is>
      </c>
      <c r="D2969" s="42" t="inlineStr">
        <is>
          <t>UN</t>
        </is>
      </c>
      <c r="E2969" s="42" t="inlineStr">
        <is>
          <t>0054</t>
        </is>
      </c>
      <c r="F2969" s="70" t="inlineStr">
        <is>
          <t>Compras</t>
        </is>
      </c>
      <c r="G2969" s="68" t="n">
        <v>0</v>
      </c>
      <c r="H2969" s="172" t="inlineStr">
        <is>
          <t>Não</t>
        </is>
      </c>
      <c r="I2969" s="49" t="n"/>
    </row>
    <row r="2970">
      <c r="A2970" s="43" t="inlineStr">
        <is>
          <t>010028</t>
        </is>
      </c>
      <c r="B2970" s="44" t="inlineStr">
        <is>
          <t>VINHO FRANCES MONTMEYRAC ROSE 750 ML</t>
        </is>
      </c>
      <c r="C2970" s="45" t="inlineStr">
        <is>
          <t>MR</t>
        </is>
      </c>
      <c r="D2970" s="45" t="inlineStr">
        <is>
          <t>UN</t>
        </is>
      </c>
      <c r="E2970" s="45" t="inlineStr">
        <is>
          <t>0118</t>
        </is>
      </c>
      <c r="F2970" s="65" t="inlineStr">
        <is>
          <t>Venda</t>
        </is>
      </c>
      <c r="G2970" s="69" t="n">
        <v>0</v>
      </c>
      <c r="H2970" s="172" t="inlineStr">
        <is>
          <t>Não</t>
        </is>
      </c>
      <c r="I2970" s="48" t="inlineStr">
        <is>
          <t>789890568772131</t>
        </is>
      </c>
    </row>
    <row r="2971">
      <c r="A2971" s="40" t="inlineStr">
        <is>
          <t>009531</t>
        </is>
      </c>
      <c r="B2971" s="41" t="inlineStr">
        <is>
          <t>VINHO FRANCES MONTMEYRAC TINTO 750 ML</t>
        </is>
      </c>
      <c r="C2971" s="42" t="inlineStr">
        <is>
          <t>ME</t>
        </is>
      </c>
      <c r="D2971" s="42" t="inlineStr">
        <is>
          <t>UN</t>
        </is>
      </c>
      <c r="E2971" s="42" t="inlineStr">
        <is>
          <t>0054</t>
        </is>
      </c>
      <c r="F2971" s="70" t="inlineStr">
        <is>
          <t>Compras</t>
        </is>
      </c>
      <c r="G2971" s="68" t="n">
        <v>0</v>
      </c>
      <c r="H2971" s="172" t="inlineStr">
        <is>
          <t>Não</t>
        </is>
      </c>
      <c r="I2971" s="49" t="n"/>
    </row>
    <row r="2972">
      <c r="A2972" s="43" t="inlineStr">
        <is>
          <t>010026</t>
        </is>
      </c>
      <c r="B2972" s="44" t="inlineStr">
        <is>
          <t>VINHO FRANCES MONTMEYRAC TINTO 750 ML</t>
        </is>
      </c>
      <c r="C2972" s="45" t="inlineStr">
        <is>
          <t>MR</t>
        </is>
      </c>
      <c r="D2972" s="45" t="inlineStr">
        <is>
          <t>UN</t>
        </is>
      </c>
      <c r="E2972" s="45" t="inlineStr">
        <is>
          <t>0118</t>
        </is>
      </c>
      <c r="F2972" s="65" t="inlineStr">
        <is>
          <t>Venda</t>
        </is>
      </c>
      <c r="G2972" s="69" t="n">
        <v>0</v>
      </c>
      <c r="H2972" s="172" t="inlineStr">
        <is>
          <t>Não</t>
        </is>
      </c>
      <c r="I2972" s="48" t="inlineStr">
        <is>
          <t>789890568772129</t>
        </is>
      </c>
    </row>
    <row r="2973">
      <c r="A2973" s="40" t="inlineStr">
        <is>
          <t>009580</t>
        </is>
      </c>
      <c r="B2973" s="41" t="inlineStr">
        <is>
          <t>VINHO GALO REI 750 ML</t>
        </is>
      </c>
      <c r="C2973" s="42" t="inlineStr">
        <is>
          <t>MR</t>
        </is>
      </c>
      <c r="D2973" s="42" t="inlineStr">
        <is>
          <t>UN</t>
        </is>
      </c>
      <c r="E2973" s="42" t="inlineStr">
        <is>
          <t>0054</t>
        </is>
      </c>
      <c r="F2973" s="65" t="inlineStr">
        <is>
          <t>Venda</t>
        </is>
      </c>
      <c r="G2973" s="68" t="n">
        <v>0</v>
      </c>
      <c r="H2973" s="172" t="inlineStr">
        <is>
          <t>Não</t>
        </is>
      </c>
      <c r="I2973" s="47" t="inlineStr">
        <is>
          <t>21069095</t>
        </is>
      </c>
    </row>
    <row r="2974">
      <c r="A2974" s="43" t="inlineStr">
        <is>
          <t>000283</t>
        </is>
      </c>
      <c r="B2974" s="44" t="inlineStr">
        <is>
          <t>VINHO ITALIANO LAMBRUSCO VILLA FABRIZIA BC 750ML</t>
        </is>
      </c>
      <c r="C2974" s="45" t="inlineStr">
        <is>
          <t>MR</t>
        </is>
      </c>
      <c r="D2974" s="45" t="inlineStr">
        <is>
          <t>UN</t>
        </is>
      </c>
      <c r="E2974" s="45" t="inlineStr">
        <is>
          <t>0118</t>
        </is>
      </c>
      <c r="F2974" s="65" t="inlineStr">
        <is>
          <t>Venda</t>
        </is>
      </c>
      <c r="G2974" s="66" t="n">
        <v>33.8233</v>
      </c>
      <c r="H2974" s="172" t="inlineStr">
        <is>
          <t>Não</t>
        </is>
      </c>
      <c r="I2974" s="48" t="inlineStr">
        <is>
          <t>300202</t>
        </is>
      </c>
    </row>
    <row r="2975">
      <c r="A2975" s="40" t="inlineStr">
        <is>
          <t>000503</t>
        </is>
      </c>
      <c r="B2975" s="41" t="inlineStr">
        <is>
          <t>VINHO ITALIANO LAMBRUSCO VILLA FABRIZIA BC 750ML</t>
        </is>
      </c>
      <c r="C2975" s="42" t="inlineStr">
        <is>
          <t>ME</t>
        </is>
      </c>
      <c r="D2975" s="42" t="inlineStr">
        <is>
          <t>UN</t>
        </is>
      </c>
      <c r="E2975" s="42" t="inlineStr">
        <is>
          <t>0054</t>
        </is>
      </c>
      <c r="F2975" s="70" t="inlineStr">
        <is>
          <t>Compras</t>
        </is>
      </c>
      <c r="G2975" s="71" t="n">
        <v>32.83</v>
      </c>
      <c r="H2975" s="172" t="inlineStr">
        <is>
          <t>Não</t>
        </is>
      </c>
      <c r="I2975" s="49" t="n"/>
    </row>
    <row r="2976">
      <c r="A2976" s="43" t="inlineStr">
        <is>
          <t>009530</t>
        </is>
      </c>
      <c r="B2976" s="44" t="inlineStr">
        <is>
          <t>VINHO ITALIANO LAMBRUSCO VILLA FABRIZIA TINTO 750M</t>
        </is>
      </c>
      <c r="C2976" s="45" t="inlineStr">
        <is>
          <t>ME</t>
        </is>
      </c>
      <c r="D2976" s="45" t="inlineStr">
        <is>
          <t>UN</t>
        </is>
      </c>
      <c r="E2976" s="45" t="inlineStr">
        <is>
          <t>0054</t>
        </is>
      </c>
      <c r="F2976" s="70" t="inlineStr">
        <is>
          <t>Compras</t>
        </is>
      </c>
      <c r="G2976" s="69" t="n">
        <v>0</v>
      </c>
      <c r="H2976" s="172" t="inlineStr">
        <is>
          <t>Não</t>
        </is>
      </c>
      <c r="I2976" s="50" t="n"/>
    </row>
    <row r="2977">
      <c r="A2977" s="40" t="inlineStr">
        <is>
          <t>010025</t>
        </is>
      </c>
      <c r="B2977" s="41" t="inlineStr">
        <is>
          <t>VINHO ITALIANO LAMBRUSCO VILLA FABRIZIA TINTO 750M</t>
        </is>
      </c>
      <c r="C2977" s="42" t="inlineStr">
        <is>
          <t>MR</t>
        </is>
      </c>
      <c r="D2977" s="42" t="inlineStr">
        <is>
          <t>UN</t>
        </is>
      </c>
      <c r="E2977" s="42" t="inlineStr">
        <is>
          <t>0118</t>
        </is>
      </c>
      <c r="F2977" s="65" t="inlineStr">
        <is>
          <t>Venda</t>
        </is>
      </c>
      <c r="G2977" s="68" t="n">
        <v>0</v>
      </c>
      <c r="H2977" s="172" t="inlineStr">
        <is>
          <t>Não</t>
        </is>
      </c>
      <c r="I2977" s="47" t="inlineStr">
        <is>
          <t>789890568772128</t>
        </is>
      </c>
    </row>
    <row r="2978">
      <c r="A2978" s="43" t="inlineStr">
        <is>
          <t>009535</t>
        </is>
      </c>
      <c r="B2978" s="44" t="inlineStr">
        <is>
          <t>VINHO ITALIANO TARVENELLO BIANCO D'ITALIA 750 ML</t>
        </is>
      </c>
      <c r="C2978" s="45" t="inlineStr">
        <is>
          <t>ME</t>
        </is>
      </c>
      <c r="D2978" s="45" t="inlineStr">
        <is>
          <t>UN</t>
        </is>
      </c>
      <c r="E2978" s="45" t="inlineStr">
        <is>
          <t>0054</t>
        </is>
      </c>
      <c r="F2978" s="70" t="inlineStr">
        <is>
          <t>Compras</t>
        </is>
      </c>
      <c r="G2978" s="69" t="n">
        <v>0</v>
      </c>
      <c r="H2978" s="172" t="inlineStr">
        <is>
          <t>Não</t>
        </is>
      </c>
      <c r="I2978" s="50" t="n"/>
    </row>
    <row r="2979">
      <c r="A2979" s="40" t="inlineStr">
        <is>
          <t>010030</t>
        </is>
      </c>
      <c r="B2979" s="41" t="inlineStr">
        <is>
          <t>VINHO ITALIANO TARVENELLO BIANCO D'ITALIA 750 ML</t>
        </is>
      </c>
      <c r="C2979" s="42" t="inlineStr">
        <is>
          <t>MR</t>
        </is>
      </c>
      <c r="D2979" s="42" t="inlineStr">
        <is>
          <t>UN</t>
        </is>
      </c>
      <c r="E2979" s="42" t="inlineStr">
        <is>
          <t>0114</t>
        </is>
      </c>
      <c r="F2979" s="65" t="inlineStr">
        <is>
          <t>Venda</t>
        </is>
      </c>
      <c r="G2979" s="68" t="n">
        <v>0</v>
      </c>
      <c r="H2979" s="172" t="inlineStr">
        <is>
          <t>Não</t>
        </is>
      </c>
      <c r="I2979" s="47" t="inlineStr">
        <is>
          <t>789890568772133</t>
        </is>
      </c>
    </row>
    <row r="2980">
      <c r="A2980" s="43" t="inlineStr">
        <is>
          <t>009536</t>
        </is>
      </c>
      <c r="B2980" s="44" t="inlineStr">
        <is>
          <t>VINHO ITALIANO TARVENELLO ROSSO D'ITALIA 750ML</t>
        </is>
      </c>
      <c r="C2980" s="45" t="inlineStr">
        <is>
          <t>ME</t>
        </is>
      </c>
      <c r="D2980" s="45" t="inlineStr">
        <is>
          <t>UN</t>
        </is>
      </c>
      <c r="E2980" s="45" t="inlineStr">
        <is>
          <t>0054</t>
        </is>
      </c>
      <c r="F2980" s="70" t="inlineStr">
        <is>
          <t>Compras</t>
        </is>
      </c>
      <c r="G2980" s="69" t="n">
        <v>0</v>
      </c>
      <c r="H2980" s="172" t="inlineStr">
        <is>
          <t>Não</t>
        </is>
      </c>
      <c r="I2980" s="50" t="n"/>
    </row>
    <row r="2981">
      <c r="A2981" s="40" t="inlineStr">
        <is>
          <t>010031</t>
        </is>
      </c>
      <c r="B2981" s="41" t="inlineStr">
        <is>
          <t>VINHO ITALIANO TARVENELLO ROSSO D'ITALIA 750ML</t>
        </is>
      </c>
      <c r="C2981" s="42" t="inlineStr">
        <is>
          <t>MR</t>
        </is>
      </c>
      <c r="D2981" s="42" t="inlineStr">
        <is>
          <t>UN</t>
        </is>
      </c>
      <c r="E2981" s="42" t="inlineStr">
        <is>
          <t>0118</t>
        </is>
      </c>
      <c r="F2981" s="65" t="inlineStr">
        <is>
          <t>Venda</t>
        </is>
      </c>
      <c r="G2981" s="68" t="n">
        <v>0</v>
      </c>
      <c r="H2981" s="172" t="inlineStr">
        <is>
          <t>Não</t>
        </is>
      </c>
      <c r="I2981" s="47" t="inlineStr">
        <is>
          <t>789890568772134</t>
        </is>
      </c>
    </row>
    <row r="2982">
      <c r="A2982" s="43" t="inlineStr">
        <is>
          <t>000372</t>
        </is>
      </c>
      <c r="B2982" s="44" t="inlineStr">
        <is>
          <t>VINHO LAMBRUSCO VILLA FABRIZIA TINTO 750ML</t>
        </is>
      </c>
      <c r="C2982" s="45" t="inlineStr">
        <is>
          <t>ME</t>
        </is>
      </c>
      <c r="D2982" s="45" t="inlineStr">
        <is>
          <t>UN</t>
        </is>
      </c>
      <c r="E2982" s="45" t="inlineStr">
        <is>
          <t>0054</t>
        </is>
      </c>
      <c r="F2982" s="70" t="inlineStr">
        <is>
          <t>Compras</t>
        </is>
      </c>
      <c r="G2982" s="66" t="n">
        <v>32.8284</v>
      </c>
      <c r="H2982" s="173" t="inlineStr">
        <is>
          <t>Sim</t>
        </is>
      </c>
      <c r="I2982" s="50" t="n"/>
    </row>
    <row r="2983">
      <c r="A2983" s="40" t="inlineStr">
        <is>
          <t>001778</t>
        </is>
      </c>
      <c r="B2983" s="41" t="inlineStr">
        <is>
          <t>VINHO PATRIA NUEVA BRANCO CHARDONAY 750ML</t>
        </is>
      </c>
      <c r="C2983" s="42" t="inlineStr">
        <is>
          <t>ME</t>
        </is>
      </c>
      <c r="D2983" s="42" t="inlineStr">
        <is>
          <t>UN</t>
        </is>
      </c>
      <c r="E2983" s="42" t="inlineStr">
        <is>
          <t>0054</t>
        </is>
      </c>
      <c r="F2983" s="70" t="inlineStr">
        <is>
          <t>Compras</t>
        </is>
      </c>
      <c r="G2983" s="71" t="n">
        <v>34.96</v>
      </c>
      <c r="H2983" s="172" t="inlineStr">
        <is>
          <t>Não</t>
        </is>
      </c>
      <c r="I2983" s="49" t="n"/>
    </row>
    <row r="2984">
      <c r="A2984" s="43" t="inlineStr">
        <is>
          <t>001779</t>
        </is>
      </c>
      <c r="B2984" s="44" t="inlineStr">
        <is>
          <t>VINHO PATRIA NUEVA TINTO CABERNET SAUVIGNON 750ML</t>
        </is>
      </c>
      <c r="C2984" s="45" t="inlineStr">
        <is>
          <t>ME</t>
        </is>
      </c>
      <c r="D2984" s="45" t="inlineStr">
        <is>
          <t>UN</t>
        </is>
      </c>
      <c r="E2984" s="45" t="inlineStr">
        <is>
          <t>0054</t>
        </is>
      </c>
      <c r="F2984" s="70" t="inlineStr">
        <is>
          <t>Compras</t>
        </is>
      </c>
      <c r="G2984" s="66" t="n">
        <v>34.96</v>
      </c>
      <c r="H2984" s="172" t="inlineStr">
        <is>
          <t>Não</t>
        </is>
      </c>
      <c r="I2984" s="50" t="n"/>
    </row>
    <row r="2985">
      <c r="A2985" s="40" t="inlineStr">
        <is>
          <t>001312</t>
        </is>
      </c>
      <c r="B2985" s="41" t="inlineStr">
        <is>
          <t>VINHO SAN SIMON MONASTREL 750</t>
        </is>
      </c>
      <c r="C2985" s="42" t="inlineStr">
        <is>
          <t>MR</t>
        </is>
      </c>
      <c r="D2985" s="42" t="inlineStr">
        <is>
          <t>UN</t>
        </is>
      </c>
      <c r="E2985" s="42" t="inlineStr">
        <is>
          <t>0054</t>
        </is>
      </c>
      <c r="F2985" s="65" t="inlineStr">
        <is>
          <t>Venda</t>
        </is>
      </c>
      <c r="G2985" s="68" t="n">
        <v>0</v>
      </c>
      <c r="H2985" s="177" t="inlineStr">
        <is>
          <t>Sim</t>
        </is>
      </c>
      <c r="I2985" s="178" t="n"/>
    </row>
    <row r="2986">
      <c r="A2986" s="43" t="inlineStr">
        <is>
          <t>009581</t>
        </is>
      </c>
      <c r="B2986" s="44" t="inlineStr">
        <is>
          <t>VINHO SAN SIMON MONASTREL 750 ML</t>
        </is>
      </c>
      <c r="C2986" s="45" t="inlineStr">
        <is>
          <t>ME</t>
        </is>
      </c>
      <c r="D2986" s="45" t="inlineStr">
        <is>
          <t>UN</t>
        </is>
      </c>
      <c r="E2986" s="45" t="inlineStr">
        <is>
          <t>0054</t>
        </is>
      </c>
      <c r="F2986" s="70" t="inlineStr">
        <is>
          <t>Compras</t>
        </is>
      </c>
      <c r="G2986" s="69" t="n">
        <v>0</v>
      </c>
      <c r="H2986" s="172" t="inlineStr">
        <is>
          <t>Não</t>
        </is>
      </c>
      <c r="I2986" s="50" t="n"/>
    </row>
    <row r="2987">
      <c r="A2987" s="40" t="inlineStr">
        <is>
          <t>001773</t>
        </is>
      </c>
      <c r="B2987" s="41" t="inlineStr">
        <is>
          <t>VINHO SIEMPRE TENGO PLAN B  MALBEC 750ML</t>
        </is>
      </c>
      <c r="C2987" s="42" t="inlineStr">
        <is>
          <t>ME</t>
        </is>
      </c>
      <c r="D2987" s="42" t="inlineStr">
        <is>
          <t>UN</t>
        </is>
      </c>
      <c r="E2987" s="42" t="inlineStr">
        <is>
          <t>0054</t>
        </is>
      </c>
      <c r="F2987" s="70" t="inlineStr">
        <is>
          <t>Compras</t>
        </is>
      </c>
      <c r="G2987" s="71" t="n">
        <v>41.9</v>
      </c>
      <c r="H2987" s="172" t="inlineStr">
        <is>
          <t>Não</t>
        </is>
      </c>
      <c r="I2987" s="49" t="n"/>
    </row>
    <row r="2988">
      <c r="A2988" s="43" t="inlineStr">
        <is>
          <t>001774</t>
        </is>
      </c>
      <c r="B2988" s="44" t="inlineStr">
        <is>
          <t>VINHO SIEMPRE TENGO PLAN B BONARDA 750 ML</t>
        </is>
      </c>
      <c r="C2988" s="45" t="inlineStr">
        <is>
          <t>ME</t>
        </is>
      </c>
      <c r="D2988" s="45" t="inlineStr">
        <is>
          <t>UN</t>
        </is>
      </c>
      <c r="E2988" s="45" t="inlineStr">
        <is>
          <t>0054</t>
        </is>
      </c>
      <c r="F2988" s="70" t="inlineStr">
        <is>
          <t>Compras</t>
        </is>
      </c>
      <c r="G2988" s="66" t="n">
        <v>41.9</v>
      </c>
      <c r="H2988" s="172" t="inlineStr">
        <is>
          <t>Não</t>
        </is>
      </c>
      <c r="I2988" s="50" t="n"/>
    </row>
    <row r="2989">
      <c r="A2989" s="40" t="inlineStr">
        <is>
          <t>001776</t>
        </is>
      </c>
      <c r="B2989" s="41" t="inlineStr">
        <is>
          <t>VINHO SIEMPRE TENGO PLAN B ROSE 750ML</t>
        </is>
      </c>
      <c r="C2989" s="42" t="inlineStr">
        <is>
          <t>ME</t>
        </is>
      </c>
      <c r="D2989" s="42" t="inlineStr">
        <is>
          <t>UN</t>
        </is>
      </c>
      <c r="E2989" s="42" t="inlineStr">
        <is>
          <t>0054</t>
        </is>
      </c>
      <c r="F2989" s="70" t="inlineStr">
        <is>
          <t>Compras</t>
        </is>
      </c>
      <c r="G2989" s="71" t="n">
        <v>41.9</v>
      </c>
      <c r="H2989" s="172" t="inlineStr">
        <is>
          <t>Não</t>
        </is>
      </c>
      <c r="I2989" s="49" t="n"/>
    </row>
    <row r="2990">
      <c r="A2990" s="43" t="inlineStr">
        <is>
          <t>001777</t>
        </is>
      </c>
      <c r="B2990" s="44" t="inlineStr">
        <is>
          <t>VINHO SIEMPRE TENGO PLAN B WHITE BLEND 750ML</t>
        </is>
      </c>
      <c r="C2990" s="45" t="inlineStr">
        <is>
          <t>ME</t>
        </is>
      </c>
      <c r="D2990" s="45" t="inlineStr">
        <is>
          <t>UN</t>
        </is>
      </c>
      <c r="E2990" s="45" t="inlineStr">
        <is>
          <t>0054</t>
        </is>
      </c>
      <c r="F2990" s="70" t="inlineStr">
        <is>
          <t>Compras</t>
        </is>
      </c>
      <c r="G2990" s="66" t="n">
        <v>41.9</v>
      </c>
      <c r="H2990" s="172" t="inlineStr">
        <is>
          <t>Não</t>
        </is>
      </c>
      <c r="I2990" s="50" t="n"/>
    </row>
    <row r="2991">
      <c r="A2991" s="40" t="inlineStr">
        <is>
          <t>002225</t>
        </is>
      </c>
      <c r="B2991" s="41" t="inlineStr">
        <is>
          <t>VINHO SIEMPRE TENGO UN PLAN B ROSADO</t>
        </is>
      </c>
      <c r="C2991" s="42" t="inlineStr">
        <is>
          <t>MR</t>
        </is>
      </c>
      <c r="D2991" s="42" t="inlineStr">
        <is>
          <t>UN</t>
        </is>
      </c>
      <c r="E2991" s="42" t="inlineStr">
        <is>
          <t>0054</t>
        </is>
      </c>
      <c r="F2991" s="65" t="inlineStr">
        <is>
          <t>Venda</t>
        </is>
      </c>
      <c r="G2991" s="68" t="n">
        <v>0</v>
      </c>
      <c r="H2991" s="172" t="inlineStr">
        <is>
          <t>Não</t>
        </is>
      </c>
      <c r="I2991" s="47" t="inlineStr">
        <is>
          <t>78989056877217</t>
        </is>
      </c>
    </row>
    <row r="2992">
      <c r="A2992" s="43" t="inlineStr">
        <is>
          <t>001775</t>
        </is>
      </c>
      <c r="B2992" s="44" t="inlineStr">
        <is>
          <t>VINHO SIEMPRE TENGOPLAN B CABERNET SAUVIGNON 750ML</t>
        </is>
      </c>
      <c r="C2992" s="45" t="inlineStr">
        <is>
          <t>ME</t>
        </is>
      </c>
      <c r="D2992" s="45" t="inlineStr">
        <is>
          <t>UN</t>
        </is>
      </c>
      <c r="E2992" s="45" t="inlineStr">
        <is>
          <t>0054</t>
        </is>
      </c>
      <c r="F2992" s="70" t="inlineStr">
        <is>
          <t>Compras</t>
        </is>
      </c>
      <c r="G2992" s="66" t="n">
        <v>41.9</v>
      </c>
      <c r="H2992" s="172" t="inlineStr">
        <is>
          <t>Não</t>
        </is>
      </c>
      <c r="I2992" s="50" t="n"/>
    </row>
    <row r="2993">
      <c r="A2993" s="40" t="inlineStr">
        <is>
          <t>000274</t>
        </is>
      </c>
      <c r="B2993" s="41" t="inlineStr">
        <is>
          <t>VINHO TINTO BARBERA LA QUERCIA 750 ML</t>
        </is>
      </c>
      <c r="C2993" s="42" t="inlineStr">
        <is>
          <t>ME</t>
        </is>
      </c>
      <c r="D2993" s="42" t="inlineStr">
        <is>
          <t>UN</t>
        </is>
      </c>
      <c r="E2993" s="42" t="inlineStr">
        <is>
          <t>0054</t>
        </is>
      </c>
      <c r="F2993" s="70" t="inlineStr">
        <is>
          <t>Compras</t>
        </is>
      </c>
      <c r="G2993" s="71" t="n">
        <v>58.174</v>
      </c>
      <c r="H2993" s="172" t="inlineStr">
        <is>
          <t>Não</t>
        </is>
      </c>
      <c r="I2993" s="49" t="n"/>
    </row>
    <row r="2994">
      <c r="A2994" s="43" t="inlineStr">
        <is>
          <t>009519</t>
        </is>
      </c>
      <c r="B2994" s="44" t="inlineStr">
        <is>
          <t>VINHO TINTO PORTUGUES TERRA DEL REI ALENTEJO 750ML</t>
        </is>
      </c>
      <c r="C2994" s="45" t="inlineStr">
        <is>
          <t>ME</t>
        </is>
      </c>
      <c r="D2994" s="45" t="inlineStr">
        <is>
          <t>UN</t>
        </is>
      </c>
      <c r="E2994" s="45" t="inlineStr">
        <is>
          <t>0054</t>
        </is>
      </c>
      <c r="F2994" s="70" t="inlineStr">
        <is>
          <t>Compras</t>
        </is>
      </c>
      <c r="G2994" s="69" t="n">
        <v>0</v>
      </c>
      <c r="H2994" s="172" t="inlineStr">
        <is>
          <t>Não</t>
        </is>
      </c>
      <c r="I2994" s="50" t="n"/>
    </row>
    <row r="2995">
      <c r="A2995" s="40" t="inlineStr">
        <is>
          <t>010013</t>
        </is>
      </c>
      <c r="B2995" s="41" t="inlineStr">
        <is>
          <t>VINHO TINTO PORTUGUES TERRA DEL REI ALENTEJO 750ML</t>
        </is>
      </c>
      <c r="C2995" s="42" t="inlineStr">
        <is>
          <t>MR</t>
        </is>
      </c>
      <c r="D2995" s="42" t="inlineStr">
        <is>
          <t>UN</t>
        </is>
      </c>
      <c r="E2995" s="42" t="inlineStr">
        <is>
          <t>0118</t>
        </is>
      </c>
      <c r="F2995" s="65" t="inlineStr">
        <is>
          <t>Venda</t>
        </is>
      </c>
      <c r="G2995" s="68" t="n">
        <v>0</v>
      </c>
      <c r="H2995" s="172" t="inlineStr">
        <is>
          <t>Não</t>
        </is>
      </c>
      <c r="I2995" s="47" t="inlineStr">
        <is>
          <t>789890568772117</t>
        </is>
      </c>
    </row>
    <row r="2996">
      <c r="A2996" s="43" t="inlineStr">
        <is>
          <t>001665</t>
        </is>
      </c>
      <c r="B2996" s="44" t="inlineStr">
        <is>
          <t>VINHO TINTO SECO GALO REI</t>
        </is>
      </c>
      <c r="C2996" s="45" t="inlineStr">
        <is>
          <t>ME</t>
        </is>
      </c>
      <c r="D2996" s="45" t="inlineStr">
        <is>
          <t>UN</t>
        </is>
      </c>
      <c r="E2996" s="45" t="inlineStr">
        <is>
          <t>0054</t>
        </is>
      </c>
      <c r="F2996" s="70" t="inlineStr">
        <is>
          <t>Compras</t>
        </is>
      </c>
      <c r="G2996" s="69" t="n">
        <v>0</v>
      </c>
      <c r="H2996" s="172" t="inlineStr">
        <is>
          <t>Não</t>
        </is>
      </c>
      <c r="I2996" s="50" t="n"/>
    </row>
    <row r="2997">
      <c r="A2997" s="40" t="inlineStr">
        <is>
          <t>001589</t>
        </is>
      </c>
      <c r="B2997" s="41" t="inlineStr">
        <is>
          <t>VISTANA /CABERNET MERLOT</t>
        </is>
      </c>
      <c r="C2997" s="42" t="inlineStr">
        <is>
          <t>MR</t>
        </is>
      </c>
      <c r="D2997" s="42" t="inlineStr">
        <is>
          <t>UN</t>
        </is>
      </c>
      <c r="E2997" s="42" t="inlineStr">
        <is>
          <t>0054</t>
        </is>
      </c>
      <c r="F2997" s="70" t="inlineStr">
        <is>
          <t>Compras</t>
        </is>
      </c>
      <c r="G2997" s="68" t="n">
        <v>0</v>
      </c>
      <c r="H2997" s="173" t="inlineStr">
        <is>
          <t>Sim</t>
        </is>
      </c>
      <c r="I2997" s="49" t="n"/>
    </row>
    <row r="2998">
      <c r="A2998" s="43" t="inlineStr">
        <is>
          <t>000944</t>
        </is>
      </c>
      <c r="B2998" s="44" t="inlineStr">
        <is>
          <t>VISTANA CABERNER MERLOT 750ML</t>
        </is>
      </c>
      <c r="C2998" s="45" t="inlineStr">
        <is>
          <t>MR</t>
        </is>
      </c>
      <c r="D2998" s="45" t="inlineStr">
        <is>
          <t>UN</t>
        </is>
      </c>
      <c r="E2998" s="45" t="inlineStr">
        <is>
          <t>0118</t>
        </is>
      </c>
      <c r="F2998" s="65" t="inlineStr">
        <is>
          <t>Venda</t>
        </is>
      </c>
      <c r="G2998" s="69" t="n">
        <v>0</v>
      </c>
      <c r="H2998" s="172" t="inlineStr">
        <is>
          <t>Não</t>
        </is>
      </c>
      <c r="I2998" s="48" t="inlineStr">
        <is>
          <t>9003150</t>
        </is>
      </c>
    </row>
    <row r="2999">
      <c r="A2999" s="40" t="inlineStr">
        <is>
          <t>000943</t>
        </is>
      </c>
      <c r="B2999" s="41" t="inlineStr">
        <is>
          <t>VISTANA CABERNET MERLOT 375ML</t>
        </is>
      </c>
      <c r="C2999" s="42" t="inlineStr">
        <is>
          <t>MR</t>
        </is>
      </c>
      <c r="D2999" s="42" t="inlineStr">
        <is>
          <t>UN</t>
        </is>
      </c>
      <c r="E2999" s="42" t="inlineStr">
        <is>
          <t>0054</t>
        </is>
      </c>
      <c r="F2999" s="65" t="inlineStr">
        <is>
          <t>Venda</t>
        </is>
      </c>
      <c r="G2999" s="68" t="n">
        <v>0</v>
      </c>
      <c r="H2999" s="172" t="inlineStr">
        <is>
          <t>Não</t>
        </is>
      </c>
      <c r="I2999" s="47" t="inlineStr">
        <is>
          <t>9003149</t>
        </is>
      </c>
    </row>
    <row r="3000">
      <c r="A3000" s="43" t="inlineStr">
        <is>
          <t>000946</t>
        </is>
      </c>
      <c r="B3000" s="44" t="inlineStr">
        <is>
          <t>VISTANA SAUVIGNON BLANC 375ML</t>
        </is>
      </c>
      <c r="C3000" s="45" t="inlineStr">
        <is>
          <t>MR</t>
        </is>
      </c>
      <c r="D3000" s="45" t="inlineStr">
        <is>
          <t>UN</t>
        </is>
      </c>
      <c r="E3000" s="45" t="inlineStr">
        <is>
          <t>0114</t>
        </is>
      </c>
      <c r="F3000" s="65" t="inlineStr">
        <is>
          <t>Venda</t>
        </is>
      </c>
      <c r="G3000" s="69" t="n">
        <v>0</v>
      </c>
      <c r="H3000" s="172" t="inlineStr">
        <is>
          <t>Não</t>
        </is>
      </c>
      <c r="I3000" s="48" t="inlineStr">
        <is>
          <t>9003152</t>
        </is>
      </c>
    </row>
    <row r="3001">
      <c r="A3001" s="40" t="inlineStr">
        <is>
          <t>000947</t>
        </is>
      </c>
      <c r="B3001" s="41" t="inlineStr">
        <is>
          <t>VISTANA SAUVIGNON BLANC 750ML</t>
        </is>
      </c>
      <c r="C3001" s="42" t="inlineStr">
        <is>
          <t>MR</t>
        </is>
      </c>
      <c r="D3001" s="42" t="inlineStr">
        <is>
          <t>UN</t>
        </is>
      </c>
      <c r="E3001" s="42" t="inlineStr">
        <is>
          <t>0114</t>
        </is>
      </c>
      <c r="F3001" s="65" t="inlineStr">
        <is>
          <t>Venda</t>
        </is>
      </c>
      <c r="G3001" s="68" t="n">
        <v>0</v>
      </c>
      <c r="H3001" s="172" t="inlineStr">
        <is>
          <t>Não</t>
        </is>
      </c>
      <c r="I3001" s="47" t="inlineStr">
        <is>
          <t>9003153</t>
        </is>
      </c>
    </row>
    <row r="3002">
      <c r="A3002" s="43" t="inlineStr">
        <is>
          <t>000699</t>
        </is>
      </c>
      <c r="B3002" s="44" t="inlineStr">
        <is>
          <t>VODKA ABSOLUT FLAVOR PEACH 750ML</t>
        </is>
      </c>
      <c r="C3002" s="45" t="inlineStr">
        <is>
          <t>ME</t>
        </is>
      </c>
      <c r="D3002" s="45" t="inlineStr">
        <is>
          <t>LT</t>
        </is>
      </c>
      <c r="E3002" s="45" t="inlineStr">
        <is>
          <t>0055</t>
        </is>
      </c>
      <c r="F3002" s="70" t="inlineStr">
        <is>
          <t>Compras</t>
        </is>
      </c>
      <c r="G3002" s="69" t="n">
        <v>0</v>
      </c>
      <c r="H3002" s="172" t="inlineStr">
        <is>
          <t>Não</t>
        </is>
      </c>
      <c r="I3002" s="50" t="n"/>
    </row>
    <row r="3003">
      <c r="A3003" s="40" t="inlineStr">
        <is>
          <t>000339</t>
        </is>
      </c>
      <c r="B3003" s="41" t="inlineStr">
        <is>
          <t>VODKA ABSOLUT NATURAL  1LT</t>
        </is>
      </c>
      <c r="C3003" s="42" t="inlineStr">
        <is>
          <t>ME</t>
        </is>
      </c>
      <c r="D3003" s="42" t="inlineStr">
        <is>
          <t>LT</t>
        </is>
      </c>
      <c r="E3003" s="42" t="inlineStr">
        <is>
          <t>0055</t>
        </is>
      </c>
      <c r="F3003" s="70" t="inlineStr">
        <is>
          <t>Compras</t>
        </is>
      </c>
      <c r="G3003" s="71" t="n">
        <v>67.90000000000001</v>
      </c>
      <c r="H3003" s="172" t="inlineStr">
        <is>
          <t>Não</t>
        </is>
      </c>
      <c r="I3003" s="49" t="n"/>
    </row>
    <row r="3004">
      <c r="A3004" s="43" t="inlineStr">
        <is>
          <t>009824</t>
        </is>
      </c>
      <c r="B3004" s="44" t="inlineStr">
        <is>
          <t>VODKA BACCO 1LT</t>
        </is>
      </c>
      <c r="C3004" s="45" t="inlineStr">
        <is>
          <t>ME</t>
        </is>
      </c>
      <c r="D3004" s="45" t="inlineStr">
        <is>
          <t>LT</t>
        </is>
      </c>
      <c r="E3004" s="45" t="inlineStr">
        <is>
          <t>0055</t>
        </is>
      </c>
      <c r="F3004" s="70" t="inlineStr">
        <is>
          <t>Compras</t>
        </is>
      </c>
      <c r="G3004" s="66" t="n">
        <v>32</v>
      </c>
      <c r="H3004" s="172" t="inlineStr">
        <is>
          <t>Não</t>
        </is>
      </c>
      <c r="I3004" s="50" t="n"/>
    </row>
    <row r="3005">
      <c r="A3005" s="40" t="inlineStr">
        <is>
          <t>010012</t>
        </is>
      </c>
      <c r="B3005" s="41" t="inlineStr">
        <is>
          <t>VODKA BACCO 1LT</t>
        </is>
      </c>
      <c r="C3005" s="42" t="inlineStr">
        <is>
          <t>MR</t>
        </is>
      </c>
      <c r="D3005" s="42" t="inlineStr">
        <is>
          <t>UN</t>
        </is>
      </c>
      <c r="E3005" s="42" t="inlineStr">
        <is>
          <t>0119</t>
        </is>
      </c>
      <c r="F3005" s="65" t="inlineStr">
        <is>
          <t>Venda</t>
        </is>
      </c>
      <c r="G3005" s="68" t="n">
        <v>0</v>
      </c>
      <c r="H3005" s="172" t="inlineStr">
        <is>
          <t>Não</t>
        </is>
      </c>
      <c r="I3005" s="47" t="inlineStr">
        <is>
          <t>789890568772116</t>
        </is>
      </c>
    </row>
    <row r="3006">
      <c r="A3006" s="43" t="inlineStr">
        <is>
          <t>009825</t>
        </is>
      </c>
      <c r="B3006" s="44" t="inlineStr">
        <is>
          <t>VODKA BACCO 5LT</t>
        </is>
      </c>
      <c r="C3006" s="45" t="inlineStr">
        <is>
          <t>ME</t>
        </is>
      </c>
      <c r="D3006" s="45" t="inlineStr">
        <is>
          <t>LT</t>
        </is>
      </c>
      <c r="E3006" s="45" t="inlineStr">
        <is>
          <t>0055</t>
        </is>
      </c>
      <c r="F3006" s="70" t="inlineStr">
        <is>
          <t>Compras</t>
        </is>
      </c>
      <c r="G3006" s="66" t="n">
        <v>20</v>
      </c>
      <c r="H3006" s="172" t="inlineStr">
        <is>
          <t>Não</t>
        </is>
      </c>
      <c r="I3006" s="50" t="n"/>
    </row>
    <row r="3007">
      <c r="A3007" s="40" t="inlineStr">
        <is>
          <t>001163</t>
        </is>
      </c>
      <c r="B3007" s="41" t="inlineStr">
        <is>
          <t>VODKA KAWAII BAG 5LT</t>
        </is>
      </c>
      <c r="C3007" s="42" t="inlineStr">
        <is>
          <t>MP</t>
        </is>
      </c>
      <c r="D3007" s="42" t="inlineStr">
        <is>
          <t>LT</t>
        </is>
      </c>
      <c r="E3007" s="42" t="inlineStr">
        <is>
          <t>0055</t>
        </is>
      </c>
      <c r="F3007" s="70" t="inlineStr">
        <is>
          <t>Compras</t>
        </is>
      </c>
      <c r="G3007" s="71" t="n">
        <v>12</v>
      </c>
      <c r="H3007" s="173" t="inlineStr">
        <is>
          <t>Sim</t>
        </is>
      </c>
      <c r="I3007" s="49" t="n"/>
    </row>
    <row r="3008">
      <c r="A3008" s="43" t="inlineStr">
        <is>
          <t>001400</t>
        </is>
      </c>
      <c r="B3008" s="44" t="inlineStr">
        <is>
          <t>VODKA SMINORFF ANIVERSARIO</t>
        </is>
      </c>
      <c r="C3008" s="45" t="inlineStr">
        <is>
          <t>OI</t>
        </is>
      </c>
      <c r="D3008" s="45" t="inlineStr">
        <is>
          <t>UN</t>
        </is>
      </c>
      <c r="E3008" s="45" t="inlineStr">
        <is>
          <t>0090</t>
        </is>
      </c>
      <c r="F3008" s="65" t="inlineStr">
        <is>
          <t>Venda</t>
        </is>
      </c>
      <c r="G3008" s="69" t="n">
        <v>0</v>
      </c>
      <c r="H3008" s="172" t="inlineStr">
        <is>
          <t>Não</t>
        </is>
      </c>
      <c r="I3008" s="48" t="inlineStr">
        <is>
          <t>7898905687193</t>
        </is>
      </c>
    </row>
    <row r="3009">
      <c r="A3009" s="40" t="inlineStr">
        <is>
          <t>001141</t>
        </is>
      </c>
      <c r="B3009" s="41" t="inlineStr">
        <is>
          <t>VODKA SMIRNOFF</t>
        </is>
      </c>
      <c r="C3009" s="42" t="inlineStr">
        <is>
          <t>MR</t>
        </is>
      </c>
      <c r="D3009" s="42" t="inlineStr">
        <is>
          <t>LT</t>
        </is>
      </c>
      <c r="E3009" s="42" t="inlineStr">
        <is>
          <t>0055</t>
        </is>
      </c>
      <c r="F3009" s="70" t="inlineStr">
        <is>
          <t>Compras</t>
        </is>
      </c>
      <c r="G3009" s="71" t="n">
        <v>6.7901</v>
      </c>
      <c r="H3009" s="173" t="inlineStr">
        <is>
          <t>Sim</t>
        </is>
      </c>
      <c r="I3009" s="49" t="n"/>
    </row>
    <row r="3010">
      <c r="A3010" s="43" t="inlineStr">
        <is>
          <t>001189</t>
        </is>
      </c>
      <c r="B3010" s="44" t="inlineStr">
        <is>
          <t>VODKA SMIRNOFF 1,750 ML</t>
        </is>
      </c>
      <c r="C3010" s="45" t="inlineStr">
        <is>
          <t>MR</t>
        </is>
      </c>
      <c r="D3010" s="45" t="inlineStr">
        <is>
          <t>LT</t>
        </is>
      </c>
      <c r="E3010" s="45" t="inlineStr">
        <is>
          <t>0055</t>
        </is>
      </c>
      <c r="F3010" s="70" t="inlineStr">
        <is>
          <t>Compras</t>
        </is>
      </c>
      <c r="G3010" s="66" t="n">
        <v>33.6571</v>
      </c>
      <c r="H3010" s="173" t="inlineStr">
        <is>
          <t>Sim</t>
        </is>
      </c>
      <c r="I3010" s="50" t="n"/>
    </row>
    <row r="3011">
      <c r="A3011" s="40" t="inlineStr">
        <is>
          <t>001399</t>
        </is>
      </c>
      <c r="B3011" s="41" t="inlineStr">
        <is>
          <t>VODKA SMIRNOFF 600 ML</t>
        </is>
      </c>
      <c r="C3011" s="42" t="inlineStr">
        <is>
          <t>ME</t>
        </is>
      </c>
      <c r="D3011" s="42" t="inlineStr">
        <is>
          <t>LT</t>
        </is>
      </c>
      <c r="E3011" s="42" t="inlineStr">
        <is>
          <t>0055</t>
        </is>
      </c>
      <c r="F3011" s="70" t="inlineStr">
        <is>
          <t>Compras</t>
        </is>
      </c>
      <c r="G3011" s="71" t="n">
        <v>38</v>
      </c>
      <c r="H3011" s="172" t="inlineStr">
        <is>
          <t>Não</t>
        </is>
      </c>
      <c r="I3011" s="49" t="n"/>
    </row>
    <row r="3012">
      <c r="A3012" s="43" t="inlineStr">
        <is>
          <t>009479</t>
        </is>
      </c>
      <c r="B3012" s="44" t="inlineStr">
        <is>
          <t>VOUCHER CAIPIRINHA DE CACHAÇA</t>
        </is>
      </c>
      <c r="C3012" s="45" t="inlineStr">
        <is>
          <t>MR</t>
        </is>
      </c>
      <c r="D3012" s="45" t="inlineStr">
        <is>
          <t>UN</t>
        </is>
      </c>
      <c r="E3012" s="45" t="inlineStr">
        <is>
          <t>0107</t>
        </is>
      </c>
      <c r="F3012" s="65" t="inlineStr">
        <is>
          <t>Venda</t>
        </is>
      </c>
      <c r="G3012" s="69" t="n">
        <v>0</v>
      </c>
      <c r="H3012" s="172" t="inlineStr">
        <is>
          <t>Não</t>
        </is>
      </c>
      <c r="I3012" s="48" t="inlineStr">
        <is>
          <t>78989056877199</t>
        </is>
      </c>
    </row>
    <row r="3013">
      <c r="A3013" s="40" t="inlineStr">
        <is>
          <t>009480</t>
        </is>
      </c>
      <c r="B3013" s="41" t="inlineStr">
        <is>
          <t>VOUCHER CAIPIRINHA DE VODKA NACIONAL</t>
        </is>
      </c>
      <c r="C3013" s="42" t="inlineStr">
        <is>
          <t>MR</t>
        </is>
      </c>
      <c r="D3013" s="42" t="inlineStr">
        <is>
          <t>UN</t>
        </is>
      </c>
      <c r="E3013" s="42" t="inlineStr">
        <is>
          <t>0107</t>
        </is>
      </c>
      <c r="F3013" s="65" t="inlineStr">
        <is>
          <t>Venda</t>
        </is>
      </c>
      <c r="G3013" s="68" t="n">
        <v>0</v>
      </c>
      <c r="H3013" s="172" t="inlineStr">
        <is>
          <t>Não</t>
        </is>
      </c>
      <c r="I3013" s="47" t="inlineStr">
        <is>
          <t>78989056877198</t>
        </is>
      </c>
    </row>
    <row r="3014">
      <c r="A3014" s="43" t="inlineStr">
        <is>
          <t>000916</t>
        </is>
      </c>
      <c r="B3014" s="44" t="inlineStr">
        <is>
          <t>WALS SESSION</t>
        </is>
      </c>
      <c r="C3014" s="45" t="inlineStr">
        <is>
          <t>MR</t>
        </is>
      </c>
      <c r="D3014" s="45" t="inlineStr">
        <is>
          <t>UN</t>
        </is>
      </c>
      <c r="E3014" s="45" t="inlineStr">
        <is>
          <t>0093</t>
        </is>
      </c>
      <c r="F3014" s="43" t="n"/>
      <c r="G3014" s="69" t="n">
        <v>0</v>
      </c>
      <c r="H3014" s="173" t="inlineStr">
        <is>
          <t>Sim</t>
        </is>
      </c>
      <c r="I3014" s="50" t="n"/>
    </row>
    <row r="3015">
      <c r="A3015" s="40" t="inlineStr">
        <is>
          <t>009932</t>
        </is>
      </c>
      <c r="B3015" s="41" t="inlineStr">
        <is>
          <t>WEBCAM</t>
        </is>
      </c>
      <c r="C3015" s="42" t="inlineStr">
        <is>
          <t>MC</t>
        </is>
      </c>
      <c r="D3015" s="42" t="inlineStr">
        <is>
          <t>UN</t>
        </is>
      </c>
      <c r="E3015" s="42" t="inlineStr">
        <is>
          <t>0006</t>
        </is>
      </c>
      <c r="F3015" s="70" t="inlineStr">
        <is>
          <t>Compras</t>
        </is>
      </c>
      <c r="G3015" s="68" t="n">
        <v>0</v>
      </c>
      <c r="H3015" s="172" t="inlineStr">
        <is>
          <t>Não</t>
        </is>
      </c>
      <c r="I3015" s="49" t="n"/>
    </row>
    <row r="3016">
      <c r="A3016" s="43" t="inlineStr">
        <is>
          <t>001317</t>
        </is>
      </c>
      <c r="B3016" s="44" t="inlineStr">
        <is>
          <t>WHISKY JACK APPLE 1LT</t>
        </is>
      </c>
      <c r="C3016" s="45" t="inlineStr">
        <is>
          <t>ME</t>
        </is>
      </c>
      <c r="D3016" s="45" t="inlineStr">
        <is>
          <t>LT</t>
        </is>
      </c>
      <c r="E3016" s="45" t="inlineStr">
        <is>
          <t>0056</t>
        </is>
      </c>
      <c r="F3016" s="70" t="inlineStr">
        <is>
          <t>Compras</t>
        </is>
      </c>
      <c r="G3016" s="66" t="n">
        <v>132.34</v>
      </c>
      <c r="H3016" s="172" t="inlineStr">
        <is>
          <t>Não</t>
        </is>
      </c>
      <c r="I3016" s="50" t="n"/>
    </row>
    <row r="3017">
      <c r="A3017" s="40" t="inlineStr">
        <is>
          <t>001208</t>
        </is>
      </c>
      <c r="B3017" s="41" t="inlineStr">
        <is>
          <t>WHISKY JACK DANIELS FIRE 1LT</t>
        </is>
      </c>
      <c r="C3017" s="42" t="inlineStr">
        <is>
          <t>ME</t>
        </is>
      </c>
      <c r="D3017" s="42" t="inlineStr">
        <is>
          <t>LT</t>
        </is>
      </c>
      <c r="E3017" s="42" t="inlineStr">
        <is>
          <t>0056</t>
        </is>
      </c>
      <c r="F3017" s="70" t="inlineStr">
        <is>
          <t>Compras</t>
        </is>
      </c>
      <c r="G3017" s="71" t="n">
        <v>128.9</v>
      </c>
      <c r="H3017" s="172" t="inlineStr">
        <is>
          <t>Não</t>
        </is>
      </c>
      <c r="I3017" s="49" t="n"/>
    </row>
    <row r="3018">
      <c r="A3018" s="43" t="inlineStr">
        <is>
          <t>001199</t>
        </is>
      </c>
      <c r="B3018" s="44" t="inlineStr">
        <is>
          <t>WHISKY JACK DANIELS HONEY 1LT</t>
        </is>
      </c>
      <c r="C3018" s="45" t="inlineStr">
        <is>
          <t>ME</t>
        </is>
      </c>
      <c r="D3018" s="45" t="inlineStr">
        <is>
          <t>LT</t>
        </is>
      </c>
      <c r="E3018" s="45" t="inlineStr">
        <is>
          <t>0056</t>
        </is>
      </c>
      <c r="F3018" s="70" t="inlineStr">
        <is>
          <t>Compras</t>
        </is>
      </c>
      <c r="G3018" s="66" t="n">
        <v>129.9</v>
      </c>
      <c r="H3018" s="172" t="inlineStr">
        <is>
          <t>Não</t>
        </is>
      </c>
      <c r="I3018" s="50" t="n"/>
    </row>
    <row r="3019">
      <c r="A3019" s="40" t="inlineStr">
        <is>
          <t>001193</t>
        </is>
      </c>
      <c r="B3019" s="41" t="inlineStr">
        <is>
          <t>WHISKY JACK DANIELS TENNESSEE 1LT</t>
        </is>
      </c>
      <c r="C3019" s="42" t="inlineStr">
        <is>
          <t>ME</t>
        </is>
      </c>
      <c r="D3019" s="42" t="inlineStr">
        <is>
          <t>LT</t>
        </is>
      </c>
      <c r="E3019" s="42" t="inlineStr">
        <is>
          <t>0056</t>
        </is>
      </c>
      <c r="F3019" s="70" t="inlineStr">
        <is>
          <t>Compras</t>
        </is>
      </c>
      <c r="G3019" s="71" t="n">
        <v>127.8</v>
      </c>
      <c r="H3019" s="172" t="inlineStr">
        <is>
          <t>Não</t>
        </is>
      </c>
      <c r="I3019" s="49" t="n"/>
    </row>
    <row r="3020">
      <c r="A3020" s="43" t="inlineStr">
        <is>
          <t>001318</t>
        </is>
      </c>
      <c r="B3020" s="44" t="inlineStr">
        <is>
          <t>WHISKY JACK GENTLEMAN 1LT</t>
        </is>
      </c>
      <c r="C3020" s="45" t="inlineStr">
        <is>
          <t>ME</t>
        </is>
      </c>
      <c r="D3020" s="45" t="inlineStr">
        <is>
          <t>LT</t>
        </is>
      </c>
      <c r="E3020" s="45" t="inlineStr">
        <is>
          <t>0056</t>
        </is>
      </c>
      <c r="F3020" s="70" t="inlineStr">
        <is>
          <t>Compras</t>
        </is>
      </c>
      <c r="G3020" s="66" t="n">
        <v>169.9</v>
      </c>
      <c r="H3020" s="172" t="inlineStr">
        <is>
          <t>Não</t>
        </is>
      </c>
      <c r="I3020" s="50" t="n"/>
    </row>
    <row r="3021">
      <c r="A3021" s="40" t="inlineStr">
        <is>
          <t>001137</t>
        </is>
      </c>
      <c r="B3021" s="41" t="inlineStr">
        <is>
          <t>WHISKY JOHNNIE WALKER BLACK LABEL 1LT</t>
        </is>
      </c>
      <c r="C3021" s="42" t="inlineStr">
        <is>
          <t>ME</t>
        </is>
      </c>
      <c r="D3021" s="42" t="inlineStr">
        <is>
          <t>LT</t>
        </is>
      </c>
      <c r="E3021" s="42" t="inlineStr">
        <is>
          <t>0056</t>
        </is>
      </c>
      <c r="F3021" s="70" t="inlineStr">
        <is>
          <t>Compras</t>
        </is>
      </c>
      <c r="G3021" s="71" t="n">
        <v>159.903</v>
      </c>
      <c r="H3021" s="172" t="inlineStr">
        <is>
          <t>Não</t>
        </is>
      </c>
      <c r="I3021" s="49" t="n"/>
    </row>
    <row r="3022">
      <c r="A3022" s="43" t="inlineStr">
        <is>
          <t>001192</t>
        </is>
      </c>
      <c r="B3022" s="44" t="inlineStr">
        <is>
          <t>WHISKY JOHNNIE WALKER GOLD LABEL 750ML</t>
        </is>
      </c>
      <c r="C3022" s="45" t="inlineStr">
        <is>
          <t>ME</t>
        </is>
      </c>
      <c r="D3022" s="45" t="inlineStr">
        <is>
          <t>LT</t>
        </is>
      </c>
      <c r="E3022" s="45" t="inlineStr">
        <is>
          <t>0056</t>
        </is>
      </c>
      <c r="F3022" s="70" t="inlineStr">
        <is>
          <t>Compras</t>
        </is>
      </c>
      <c r="G3022" s="66" t="n">
        <v>324</v>
      </c>
      <c r="H3022" s="172" t="inlineStr">
        <is>
          <t>Não</t>
        </is>
      </c>
      <c r="I3022" s="50" t="n"/>
    </row>
    <row r="3023">
      <c r="A3023" s="40" t="inlineStr">
        <is>
          <t>001136</t>
        </is>
      </c>
      <c r="B3023" s="41" t="inlineStr">
        <is>
          <t>WHISKY JOHNNIE WALKER RED LABEL 1LT</t>
        </is>
      </c>
      <c r="C3023" s="42" t="inlineStr">
        <is>
          <t>ME</t>
        </is>
      </c>
      <c r="D3023" s="42" t="inlineStr">
        <is>
          <t>LT</t>
        </is>
      </c>
      <c r="E3023" s="42" t="inlineStr">
        <is>
          <t>0056</t>
        </is>
      </c>
      <c r="F3023" s="70" t="inlineStr">
        <is>
          <t>Compras</t>
        </is>
      </c>
      <c r="G3023" s="71" t="n">
        <v>81.95</v>
      </c>
      <c r="H3023" s="172" t="inlineStr">
        <is>
          <t>Não</t>
        </is>
      </c>
      <c r="I3023" s="49" t="n"/>
    </row>
    <row r="3024">
      <c r="A3024" s="43" t="inlineStr">
        <is>
          <t>009832</t>
        </is>
      </c>
      <c r="B3024" s="44" t="inlineStr">
        <is>
          <t>XAROPE FRUTAS VERMELHAS 3LT</t>
        </is>
      </c>
      <c r="C3024" s="45" t="inlineStr">
        <is>
          <t>ME</t>
        </is>
      </c>
      <c r="D3024" s="45" t="inlineStr">
        <is>
          <t>LT</t>
        </is>
      </c>
      <c r="E3024" s="45" t="inlineStr">
        <is>
          <t>0043</t>
        </is>
      </c>
      <c r="F3024" s="70" t="inlineStr">
        <is>
          <t>Compras</t>
        </is>
      </c>
      <c r="G3024" s="69" t="n">
        <v>0</v>
      </c>
      <c r="H3024" s="172" t="inlineStr">
        <is>
          <t>Não</t>
        </is>
      </c>
      <c r="I3024" s="50" t="n"/>
    </row>
    <row r="3025">
      <c r="A3025" s="40" t="inlineStr">
        <is>
          <t>009828</t>
        </is>
      </c>
      <c r="B3025" s="41" t="inlineStr">
        <is>
          <t>XAROPE GENGIBRE 3LT</t>
        </is>
      </c>
      <c r="C3025" s="42" t="inlineStr">
        <is>
          <t>ME</t>
        </is>
      </c>
      <c r="D3025" s="42" t="inlineStr">
        <is>
          <t>LT</t>
        </is>
      </c>
      <c r="E3025" s="42" t="inlineStr">
        <is>
          <t>0043</t>
        </is>
      </c>
      <c r="F3025" s="70" t="inlineStr">
        <is>
          <t>Compras</t>
        </is>
      </c>
      <c r="G3025" s="71" t="n">
        <v>40</v>
      </c>
      <c r="H3025" s="172" t="inlineStr">
        <is>
          <t>Não</t>
        </is>
      </c>
      <c r="I3025" s="49" t="n"/>
    </row>
    <row r="3026">
      <c r="A3026" s="43" t="inlineStr">
        <is>
          <t>009829</t>
        </is>
      </c>
      <c r="B3026" s="44" t="inlineStr">
        <is>
          <t>XAROPE LIMAO 3LT</t>
        </is>
      </c>
      <c r="C3026" s="45" t="inlineStr">
        <is>
          <t>ME</t>
        </is>
      </c>
      <c r="D3026" s="45" t="inlineStr">
        <is>
          <t>LT</t>
        </is>
      </c>
      <c r="E3026" s="45" t="inlineStr">
        <is>
          <t>0043</t>
        </is>
      </c>
      <c r="F3026" s="70" t="inlineStr">
        <is>
          <t>Compras</t>
        </is>
      </c>
      <c r="G3026" s="66" t="n">
        <v>39.3333</v>
      </c>
      <c r="H3026" s="172" t="inlineStr">
        <is>
          <t>Não</t>
        </is>
      </c>
      <c r="I3026" s="50" t="n"/>
    </row>
    <row r="3027">
      <c r="A3027" s="40" t="inlineStr">
        <is>
          <t>009830</t>
        </is>
      </c>
      <c r="B3027" s="41" t="inlineStr">
        <is>
          <t>XAROPE LIMAO SICILIANO 3LT</t>
        </is>
      </c>
      <c r="C3027" s="42" t="inlineStr">
        <is>
          <t>ME</t>
        </is>
      </c>
      <c r="D3027" s="42" t="inlineStr">
        <is>
          <t>LT</t>
        </is>
      </c>
      <c r="E3027" s="42" t="inlineStr">
        <is>
          <t>0043</t>
        </is>
      </c>
      <c r="F3027" s="70" t="inlineStr">
        <is>
          <t>Compras</t>
        </is>
      </c>
      <c r="G3027" s="71" t="n">
        <v>40</v>
      </c>
      <c r="H3027" s="172" t="inlineStr">
        <is>
          <t>Não</t>
        </is>
      </c>
      <c r="I3027" s="49" t="n"/>
    </row>
    <row r="3028">
      <c r="A3028" s="43" t="inlineStr">
        <is>
          <t>009827</t>
        </is>
      </c>
      <c r="B3028" s="44" t="inlineStr">
        <is>
          <t>XAROPE MACA VERDE 3LT</t>
        </is>
      </c>
      <c r="C3028" s="45" t="inlineStr">
        <is>
          <t>ME</t>
        </is>
      </c>
      <c r="D3028" s="45" t="inlineStr">
        <is>
          <t>LT</t>
        </is>
      </c>
      <c r="E3028" s="45" t="inlineStr">
        <is>
          <t>0043</t>
        </is>
      </c>
      <c r="F3028" s="70" t="inlineStr">
        <is>
          <t>Compras</t>
        </is>
      </c>
      <c r="G3028" s="66" t="n">
        <v>40</v>
      </c>
      <c r="H3028" s="172" t="inlineStr">
        <is>
          <t>Não</t>
        </is>
      </c>
      <c r="I3028" s="50" t="n"/>
    </row>
    <row r="3029">
      <c r="A3029" s="40" t="inlineStr">
        <is>
          <t>001912</t>
        </is>
      </c>
      <c r="B3029" s="41" t="inlineStr">
        <is>
          <t>XAROPE MONIN AGAVE 700 ML</t>
        </is>
      </c>
      <c r="C3029" s="42" t="inlineStr">
        <is>
          <t>ME</t>
        </is>
      </c>
      <c r="D3029" s="42" t="inlineStr">
        <is>
          <t>LT</t>
        </is>
      </c>
      <c r="E3029" s="42" t="inlineStr">
        <is>
          <t>0043</t>
        </is>
      </c>
      <c r="F3029" s="70" t="inlineStr">
        <is>
          <t>Compras</t>
        </is>
      </c>
      <c r="G3029" s="71" t="n">
        <v>68.4286</v>
      </c>
      <c r="H3029" s="172" t="inlineStr">
        <is>
          <t>Não</t>
        </is>
      </c>
      <c r="I3029" s="49" t="n"/>
    </row>
    <row r="3030">
      <c r="A3030" s="43" t="inlineStr">
        <is>
          <t>001256</t>
        </is>
      </c>
      <c r="B3030" s="44" t="inlineStr">
        <is>
          <t>XAROPE MONIN AMORA 700ML</t>
        </is>
      </c>
      <c r="C3030" s="45" t="inlineStr">
        <is>
          <t>ME</t>
        </is>
      </c>
      <c r="D3030" s="45" t="inlineStr">
        <is>
          <t>LT</t>
        </is>
      </c>
      <c r="E3030" s="45" t="inlineStr">
        <is>
          <t>0043</t>
        </is>
      </c>
      <c r="F3030" s="70" t="inlineStr">
        <is>
          <t>Compras</t>
        </is>
      </c>
      <c r="G3030" s="66" t="n">
        <v>71.3</v>
      </c>
      <c r="H3030" s="172" t="inlineStr">
        <is>
          <t>Não</t>
        </is>
      </c>
      <c r="I3030" s="50" t="n"/>
    </row>
    <row r="3031">
      <c r="A3031" s="40" t="inlineStr">
        <is>
          <t>001913</t>
        </is>
      </c>
      <c r="B3031" s="41" t="inlineStr">
        <is>
          <t>XAROPE MONIN FLOR SABUGUEIRO 700ML</t>
        </is>
      </c>
      <c r="C3031" s="42" t="inlineStr">
        <is>
          <t>ME</t>
        </is>
      </c>
      <c r="D3031" s="42" t="inlineStr">
        <is>
          <t>LT</t>
        </is>
      </c>
      <c r="E3031" s="42" t="inlineStr">
        <is>
          <t>0043</t>
        </is>
      </c>
      <c r="F3031" s="70" t="inlineStr">
        <is>
          <t>Compras</t>
        </is>
      </c>
      <c r="G3031" s="71" t="n">
        <v>71.3</v>
      </c>
      <c r="H3031" s="172" t="inlineStr">
        <is>
          <t>Não</t>
        </is>
      </c>
      <c r="I3031" s="49" t="n"/>
    </row>
    <row r="3032">
      <c r="A3032" s="43" t="inlineStr">
        <is>
          <t>001314</t>
        </is>
      </c>
      <c r="B3032" s="44" t="inlineStr">
        <is>
          <t>XAROPE MONIN GENGIBRE 700ML</t>
        </is>
      </c>
      <c r="C3032" s="45" t="inlineStr">
        <is>
          <t>ME</t>
        </is>
      </c>
      <c r="D3032" s="45" t="inlineStr">
        <is>
          <t>LT</t>
        </is>
      </c>
      <c r="E3032" s="45" t="inlineStr">
        <is>
          <t>0043</t>
        </is>
      </c>
      <c r="F3032" s="70" t="inlineStr">
        <is>
          <t>Compras</t>
        </is>
      </c>
      <c r="G3032" s="66" t="n">
        <v>71.3</v>
      </c>
      <c r="H3032" s="173" t="inlineStr">
        <is>
          <t>Sim</t>
        </is>
      </c>
      <c r="I3032" s="50" t="n"/>
    </row>
    <row r="3033">
      <c r="A3033" s="40" t="inlineStr">
        <is>
          <t>001171</t>
        </is>
      </c>
      <c r="B3033" s="41" t="inlineStr">
        <is>
          <t>XAROPE MONIN LIMAO SICILIANO 700ML</t>
        </is>
      </c>
      <c r="C3033" s="42" t="inlineStr">
        <is>
          <t>ME</t>
        </is>
      </c>
      <c r="D3033" s="42" t="inlineStr">
        <is>
          <t>LT</t>
        </is>
      </c>
      <c r="E3033" s="42" t="inlineStr">
        <is>
          <t>0043</t>
        </is>
      </c>
      <c r="F3033" s="70" t="inlineStr">
        <is>
          <t>Compras</t>
        </is>
      </c>
      <c r="G3033" s="71" t="n">
        <v>71.3</v>
      </c>
      <c r="H3033" s="173" t="inlineStr">
        <is>
          <t>Sim</t>
        </is>
      </c>
      <c r="I3033" s="49" t="n"/>
    </row>
    <row r="3034">
      <c r="A3034" s="43" t="inlineStr">
        <is>
          <t>001255</t>
        </is>
      </c>
      <c r="B3034" s="44" t="inlineStr">
        <is>
          <t>XAROPE MONIN MACA VERDE 700ML</t>
        </is>
      </c>
      <c r="C3034" s="45" t="inlineStr">
        <is>
          <t>ME</t>
        </is>
      </c>
      <c r="D3034" s="45" t="inlineStr">
        <is>
          <t>LT</t>
        </is>
      </c>
      <c r="E3034" s="45" t="inlineStr">
        <is>
          <t>0043</t>
        </is>
      </c>
      <c r="F3034" s="70" t="inlineStr">
        <is>
          <t>Compras</t>
        </is>
      </c>
      <c r="G3034" s="66" t="n">
        <v>71.3</v>
      </c>
      <c r="H3034" s="173" t="inlineStr">
        <is>
          <t>Sim</t>
        </is>
      </c>
      <c r="I3034" s="50" t="n"/>
    </row>
    <row r="3035">
      <c r="A3035" s="40" t="inlineStr">
        <is>
          <t>001914</t>
        </is>
      </c>
      <c r="B3035" s="41" t="inlineStr">
        <is>
          <t>XAROPE MONIN MANGA 700 ML</t>
        </is>
      </c>
      <c r="C3035" s="42" t="inlineStr">
        <is>
          <t>ME</t>
        </is>
      </c>
      <c r="D3035" s="42" t="inlineStr">
        <is>
          <t>LT</t>
        </is>
      </c>
      <c r="E3035" s="42" t="inlineStr">
        <is>
          <t>0043</t>
        </is>
      </c>
      <c r="F3035" s="70" t="inlineStr">
        <is>
          <t>Compras</t>
        </is>
      </c>
      <c r="G3035" s="71" t="n">
        <v>71.3</v>
      </c>
      <c r="H3035" s="172" t="inlineStr">
        <is>
          <t>Não</t>
        </is>
      </c>
      <c r="I3035" s="49" t="n"/>
    </row>
    <row r="3036">
      <c r="A3036" s="43" t="inlineStr">
        <is>
          <t>001915</t>
        </is>
      </c>
      <c r="B3036" s="44" t="inlineStr">
        <is>
          <t>XAROPE MONIN MARACUJA 700 ML</t>
        </is>
      </c>
      <c r="C3036" s="45" t="inlineStr">
        <is>
          <t>ME</t>
        </is>
      </c>
      <c r="D3036" s="45" t="inlineStr">
        <is>
          <t>LT</t>
        </is>
      </c>
      <c r="E3036" s="45" t="inlineStr">
        <is>
          <t>0043</t>
        </is>
      </c>
      <c r="F3036" s="70" t="inlineStr">
        <is>
          <t>Compras</t>
        </is>
      </c>
      <c r="G3036" s="66" t="n">
        <v>71.3</v>
      </c>
      <c r="H3036" s="172" t="inlineStr">
        <is>
          <t>Não</t>
        </is>
      </c>
      <c r="I3036" s="50" t="n"/>
    </row>
    <row r="3037">
      <c r="A3037" s="40" t="inlineStr">
        <is>
          <t>001916</t>
        </is>
      </c>
      <c r="B3037" s="41" t="inlineStr">
        <is>
          <t>XAROPE MONIN MENTA VERDE 700 ML</t>
        </is>
      </c>
      <c r="C3037" s="42" t="inlineStr">
        <is>
          <t>ME</t>
        </is>
      </c>
      <c r="D3037" s="42" t="inlineStr">
        <is>
          <t>LT</t>
        </is>
      </c>
      <c r="E3037" s="42" t="inlineStr">
        <is>
          <t>0043</t>
        </is>
      </c>
      <c r="F3037" s="70" t="inlineStr">
        <is>
          <t>Compras</t>
        </is>
      </c>
      <c r="G3037" s="71" t="n">
        <v>68.4286</v>
      </c>
      <c r="H3037" s="172" t="inlineStr">
        <is>
          <t>Não</t>
        </is>
      </c>
      <c r="I3037" s="49" t="n"/>
    </row>
    <row r="3038">
      <c r="A3038" s="43" t="inlineStr">
        <is>
          <t>001172</t>
        </is>
      </c>
      <c r="B3038" s="44" t="inlineStr">
        <is>
          <t>XAROPE MONIN MORANGO 700ML</t>
        </is>
      </c>
      <c r="C3038" s="45" t="inlineStr">
        <is>
          <t>ME</t>
        </is>
      </c>
      <c r="D3038" s="45" t="inlineStr">
        <is>
          <t>LT</t>
        </is>
      </c>
      <c r="E3038" s="45" t="inlineStr">
        <is>
          <t>0043</t>
        </is>
      </c>
      <c r="F3038" s="70" t="inlineStr">
        <is>
          <t>Compras</t>
        </is>
      </c>
      <c r="G3038" s="66" t="n">
        <v>71.3</v>
      </c>
      <c r="H3038" s="173" t="inlineStr">
        <is>
          <t>Sim</t>
        </is>
      </c>
      <c r="I3038" s="50" t="n"/>
    </row>
    <row r="3039">
      <c r="A3039" s="40" t="inlineStr">
        <is>
          <t>009826</t>
        </is>
      </c>
      <c r="B3039" s="41" t="inlineStr">
        <is>
          <t>XAROPE MORANGO 3LT</t>
        </is>
      </c>
      <c r="C3039" s="42" t="inlineStr">
        <is>
          <t>ME</t>
        </is>
      </c>
      <c r="D3039" s="42" t="inlineStr">
        <is>
          <t>LT</t>
        </is>
      </c>
      <c r="E3039" s="42" t="inlineStr">
        <is>
          <t>0043</t>
        </is>
      </c>
      <c r="F3039" s="70" t="inlineStr">
        <is>
          <t>Compras</t>
        </is>
      </c>
      <c r="G3039" s="71" t="n">
        <v>40</v>
      </c>
      <c r="H3039" s="172" t="inlineStr">
        <is>
          <t>Não</t>
        </is>
      </c>
      <c r="I3039" s="49" t="n"/>
    </row>
    <row r="3040">
      <c r="A3040" s="43" t="inlineStr">
        <is>
          <t>009833</t>
        </is>
      </c>
      <c r="B3040" s="44" t="inlineStr">
        <is>
          <t>XAROPE PESSEGO 3LT</t>
        </is>
      </c>
      <c r="C3040" s="45" t="inlineStr">
        <is>
          <t>ME</t>
        </is>
      </c>
      <c r="D3040" s="45" t="inlineStr">
        <is>
          <t>LT</t>
        </is>
      </c>
      <c r="E3040" s="45" t="inlineStr">
        <is>
          <t>0043</t>
        </is>
      </c>
      <c r="F3040" s="70" t="inlineStr">
        <is>
          <t>Compras</t>
        </is>
      </c>
      <c r="G3040" s="69" t="n">
        <v>0</v>
      </c>
      <c r="H3040" s="172" t="inlineStr">
        <is>
          <t>Não</t>
        </is>
      </c>
      <c r="I3040" s="50" t="n"/>
    </row>
    <row r="3041">
      <c r="A3041" s="40" t="inlineStr">
        <is>
          <t>009831</t>
        </is>
      </c>
      <c r="B3041" s="41" t="inlineStr">
        <is>
          <t>XAROPE TANGERINA 3LT</t>
        </is>
      </c>
      <c r="C3041" s="42" t="inlineStr">
        <is>
          <t>ME</t>
        </is>
      </c>
      <c r="D3041" s="42" t="inlineStr">
        <is>
          <t>LT</t>
        </is>
      </c>
      <c r="E3041" s="42" t="inlineStr">
        <is>
          <t>0043</t>
        </is>
      </c>
      <c r="F3041" s="70" t="inlineStr">
        <is>
          <t>Compras</t>
        </is>
      </c>
      <c r="G3041" s="68" t="n">
        <v>0</v>
      </c>
      <c r="H3041" s="172" t="inlineStr">
        <is>
          <t>Não</t>
        </is>
      </c>
      <c r="I3041" s="49" t="n"/>
    </row>
    <row r="3042">
      <c r="A3042" s="43" t="inlineStr">
        <is>
          <t>000539</t>
        </is>
      </c>
      <c r="B3042" s="44" t="inlineStr">
        <is>
          <t>XICARA DE CAFE 5 CM</t>
        </is>
      </c>
      <c r="C3042" s="45" t="inlineStr">
        <is>
          <t>MC</t>
        </is>
      </c>
      <c r="D3042" s="45" t="inlineStr">
        <is>
          <t>UN</t>
        </is>
      </c>
      <c r="E3042" s="45" t="inlineStr">
        <is>
          <t>0079</t>
        </is>
      </c>
      <c r="F3042" s="70" t="inlineStr">
        <is>
          <t>Compras</t>
        </is>
      </c>
      <c r="G3042" s="66" t="n">
        <v>11.79</v>
      </c>
      <c r="H3042" s="172" t="inlineStr">
        <is>
          <t>Não</t>
        </is>
      </c>
      <c r="I3042" s="50" t="n"/>
    </row>
    <row r="3043">
      <c r="A3043" s="40" t="inlineStr">
        <is>
          <t>001173</t>
        </is>
      </c>
      <c r="B3043" s="41" t="inlineStr">
        <is>
          <t>ZIMBRO</t>
        </is>
      </c>
      <c r="C3043" s="42" t="inlineStr">
        <is>
          <t>MP</t>
        </is>
      </c>
      <c r="D3043" s="42" t="inlineStr">
        <is>
          <t>KG</t>
        </is>
      </c>
      <c r="E3043" s="42" t="inlineStr">
        <is>
          <t>0029</t>
        </is>
      </c>
      <c r="F3043" s="70" t="inlineStr">
        <is>
          <t>Compras</t>
        </is>
      </c>
      <c r="G3043" s="71" t="n">
        <v>188.5</v>
      </c>
      <c r="H3043" s="172" t="inlineStr">
        <is>
          <t>Não</t>
        </is>
      </c>
      <c r="I3043" s="49" t="n"/>
    </row>
    <row r="3044">
      <c r="A3044" s="96" t="inlineStr">
        <is>
          <t>00</t>
        </is>
      </c>
      <c r="B3044" s="97" t="inlineStr">
        <is>
          <t>GORJETA</t>
        </is>
      </c>
      <c r="C3044" s="98" t="inlineStr">
        <is>
          <t>OI</t>
        </is>
      </c>
      <c r="D3044" s="98" t="inlineStr">
        <is>
          <t>UN</t>
        </is>
      </c>
      <c r="E3044" s="98" t="inlineStr">
        <is>
          <t>0127</t>
        </is>
      </c>
      <c r="F3044" s="158" t="inlineStr">
        <is>
          <t>Venda</t>
        </is>
      </c>
      <c r="G3044" s="159" t="n">
        <v>1</v>
      </c>
      <c r="H3044" s="174" t="inlineStr">
        <is>
          <t>Não</t>
        </is>
      </c>
      <c r="I3044" s="100" t="inlineStr">
        <is>
          <t>9999999999997</t>
        </is>
      </c>
    </row>
    <row r="3045">
      <c r="A3045" s="96" t="inlineStr">
        <is>
          <t>001408</t>
        </is>
      </c>
      <c r="B3045" s="97" t="inlineStr">
        <is>
          <t>** COM COLARINHO **</t>
        </is>
      </c>
      <c r="C3045" s="98" t="inlineStr">
        <is>
          <t>GN</t>
        </is>
      </c>
      <c r="D3045" s="98" t="inlineStr">
        <is>
          <t>UN</t>
        </is>
      </c>
      <c r="E3045" s="98" t="inlineStr">
        <is>
          <t>0105</t>
        </is>
      </c>
      <c r="F3045" s="158" t="inlineStr">
        <is>
          <t>Venda</t>
        </is>
      </c>
      <c r="G3045" s="159" t="n">
        <v>12.43</v>
      </c>
      <c r="H3045" s="174" t="inlineStr">
        <is>
          <t>Não</t>
        </is>
      </c>
      <c r="I3045" s="100" t="inlineStr">
        <is>
          <t>9003688</t>
        </is>
      </c>
    </row>
    <row r="3046">
      <c r="A3046" s="96" t="inlineStr">
        <is>
          <t>010396</t>
        </is>
      </c>
      <c r="B3046" s="97" t="inlineStr">
        <is>
          <t>MOLHO MADEIRA 350G</t>
        </is>
      </c>
      <c r="C3046" s="98" t="inlineStr">
        <is>
          <t>MP</t>
        </is>
      </c>
      <c r="D3046" s="98" t="inlineStr">
        <is>
          <t>UN</t>
        </is>
      </c>
      <c r="E3046" s="98" t="inlineStr">
        <is>
          <t>0029</t>
        </is>
      </c>
      <c r="F3046" s="158" t="inlineStr">
        <is>
          <t>Compras</t>
        </is>
      </c>
      <c r="G3046" s="159" t="n">
        <v>0</v>
      </c>
      <c r="H3046" s="174" t="inlineStr">
        <is>
          <t>Não</t>
        </is>
      </c>
      <c r="I3046" s="100" t="n"/>
    </row>
    <row r="3047">
      <c r="A3047" s="96" t="inlineStr">
        <is>
          <t>010397</t>
        </is>
      </c>
      <c r="B3047" s="97" t="inlineStr">
        <is>
          <t>RODIZIO DE ESPETOS CLASSICOS - DIA DAS MAES</t>
        </is>
      </c>
      <c r="C3047" s="98" t="inlineStr">
        <is>
          <t>KT</t>
        </is>
      </c>
      <c r="D3047" s="98" t="inlineStr">
        <is>
          <t>UN</t>
        </is>
      </c>
      <c r="E3047" s="98" t="inlineStr">
        <is>
          <t>0092</t>
        </is>
      </c>
      <c r="F3047" s="158" t="inlineStr">
        <is>
          <t>Venda</t>
        </is>
      </c>
      <c r="G3047" s="159" t="n">
        <v>0</v>
      </c>
      <c r="H3047" s="174" t="inlineStr">
        <is>
          <t>Não</t>
        </is>
      </c>
      <c r="I3047" s="100" t="inlineStr">
        <is>
          <t>7898905687806</t>
        </is>
      </c>
    </row>
    <row r="3048">
      <c r="A3048" s="96" t="inlineStr">
        <is>
          <t>010398</t>
        </is>
      </c>
      <c r="B3048" s="97" t="inlineStr">
        <is>
          <t>ALFACE CRESPA ROXA</t>
        </is>
      </c>
      <c r="C3048" s="98" t="inlineStr">
        <is>
          <t>MP</t>
        </is>
      </c>
      <c r="D3048" s="98" t="inlineStr">
        <is>
          <t>KG</t>
        </is>
      </c>
      <c r="E3048" s="98" t="inlineStr">
        <is>
          <t>0036</t>
        </is>
      </c>
      <c r="F3048" s="158" t="inlineStr">
        <is>
          <t>Compras</t>
        </is>
      </c>
      <c r="G3048" s="159" t="n">
        <v>19.33</v>
      </c>
      <c r="H3048" s="174" t="inlineStr">
        <is>
          <t>Não</t>
        </is>
      </c>
      <c r="I3048" s="100" t="n"/>
    </row>
    <row r="3049">
      <c r="A3049" s="96" t="inlineStr">
        <is>
          <t>010399</t>
        </is>
      </c>
      <c r="B3049" s="97" t="inlineStr">
        <is>
          <t>CAPSULA CAFE EXPRESSO ATENTO</t>
        </is>
      </c>
      <c r="C3049" s="98" t="inlineStr">
        <is>
          <t>MC</t>
        </is>
      </c>
      <c r="D3049" s="98" t="inlineStr">
        <is>
          <t>UN</t>
        </is>
      </c>
      <c r="E3049" s="98" t="inlineStr">
        <is>
          <t>0013</t>
        </is>
      </c>
      <c r="F3049" s="158" t="inlineStr">
        <is>
          <t>Compras</t>
        </is>
      </c>
      <c r="G3049" s="159" t="n">
        <v>0</v>
      </c>
      <c r="H3049" s="174" t="inlineStr">
        <is>
          <t>Não</t>
        </is>
      </c>
      <c r="I3049" s="100" t="n"/>
    </row>
    <row r="3050">
      <c r="A3050" s="96" t="inlineStr">
        <is>
          <t>010400</t>
        </is>
      </c>
      <c r="B3050" s="97" t="inlineStr">
        <is>
          <t>CAPSULA CAFE EXPRESSO PLENO</t>
        </is>
      </c>
      <c r="C3050" s="98" t="inlineStr">
        <is>
          <t>MC</t>
        </is>
      </c>
      <c r="D3050" s="98" t="inlineStr">
        <is>
          <t>UN</t>
        </is>
      </c>
      <c r="E3050" s="98" t="inlineStr">
        <is>
          <t>0013</t>
        </is>
      </c>
      <c r="F3050" s="158" t="inlineStr">
        <is>
          <t>Compras</t>
        </is>
      </c>
      <c r="G3050" s="159" t="n">
        <v>0</v>
      </c>
      <c r="H3050" s="174" t="inlineStr">
        <is>
          <t>Não</t>
        </is>
      </c>
      <c r="I3050" s="100" t="n"/>
    </row>
    <row r="3051">
      <c r="A3051" s="96" t="inlineStr">
        <is>
          <t>010401</t>
        </is>
      </c>
      <c r="B3051" s="97" t="inlineStr">
        <is>
          <t>CAPSULA CAFE EXPRESSO FORZA</t>
        </is>
      </c>
      <c r="C3051" s="98" t="inlineStr">
        <is>
          <t>MC</t>
        </is>
      </c>
      <c r="D3051" s="98" t="inlineStr">
        <is>
          <t>UN</t>
        </is>
      </c>
      <c r="E3051" s="98" t="inlineStr">
        <is>
          <t>0013</t>
        </is>
      </c>
      <c r="F3051" s="158" t="inlineStr">
        <is>
          <t>Compras</t>
        </is>
      </c>
      <c r="G3051" s="159" t="n">
        <v>0</v>
      </c>
      <c r="H3051" s="174" t="inlineStr">
        <is>
          <t>Não</t>
        </is>
      </c>
      <c r="I3051" s="100" t="n"/>
    </row>
    <row r="3052">
      <c r="A3052" s="96" t="inlineStr">
        <is>
          <t>010402</t>
        </is>
      </c>
      <c r="B3052" s="97" t="inlineStr">
        <is>
          <t>CAPSULA CAFE FILTRADO TRADICIONAL</t>
        </is>
      </c>
      <c r="C3052" s="98" t="inlineStr">
        <is>
          <t>MC</t>
        </is>
      </c>
      <c r="D3052" s="98" t="inlineStr">
        <is>
          <t>UN</t>
        </is>
      </c>
      <c r="E3052" s="98" t="inlineStr">
        <is>
          <t>0013</t>
        </is>
      </c>
      <c r="F3052" s="158" t="inlineStr">
        <is>
          <t>Compras</t>
        </is>
      </c>
      <c r="G3052" s="159" t="n">
        <v>0</v>
      </c>
      <c r="H3052" s="174" t="inlineStr">
        <is>
          <t>Não</t>
        </is>
      </c>
      <c r="I3052" s="100" t="n"/>
    </row>
    <row r="3053">
      <c r="A3053" s="96" t="inlineStr">
        <is>
          <t>010403</t>
        </is>
      </c>
      <c r="B3053" s="97" t="inlineStr">
        <is>
          <t>TECLADO SEM FIO</t>
        </is>
      </c>
      <c r="C3053" s="98" t="inlineStr">
        <is>
          <t>MC</t>
        </is>
      </c>
      <c r="D3053" s="98" t="inlineStr">
        <is>
          <t>UN</t>
        </is>
      </c>
      <c r="E3053" s="98" t="inlineStr">
        <is>
          <t>0006</t>
        </is>
      </c>
      <c r="F3053" s="158" t="inlineStr">
        <is>
          <t>Compras</t>
        </is>
      </c>
      <c r="G3053" s="159" t="n">
        <v>0</v>
      </c>
      <c r="H3053" s="174" t="inlineStr">
        <is>
          <t>Não</t>
        </is>
      </c>
      <c r="I3053" s="100" t="n"/>
    </row>
    <row r="3054">
      <c r="A3054" s="96" t="inlineStr">
        <is>
          <t>010404</t>
        </is>
      </c>
      <c r="B3054" s="97" t="inlineStr">
        <is>
          <t>LAMPADA LED DICROICA 4.8W 3000K</t>
        </is>
      </c>
      <c r="C3054" s="98" t="inlineStr">
        <is>
          <t>MC</t>
        </is>
      </c>
      <c r="D3054" s="98" t="inlineStr">
        <is>
          <t>UN</t>
        </is>
      </c>
      <c r="E3054" s="98" t="inlineStr">
        <is>
          <t>0132</t>
        </is>
      </c>
      <c r="F3054" s="158" t="inlineStr">
        <is>
          <t>Compras</t>
        </is>
      </c>
      <c r="G3054" s="159" t="n">
        <v>0</v>
      </c>
      <c r="H3054" s="174" t="inlineStr">
        <is>
          <t>Não</t>
        </is>
      </c>
      <c r="I3054" s="100" t="n"/>
    </row>
    <row r="3055">
      <c r="A3055" s="96" t="inlineStr">
        <is>
          <t>010405</t>
        </is>
      </c>
      <c r="B3055" s="97" t="inlineStr">
        <is>
          <t>LAMPADA LED FILAMENTO ST64 4W BIVOLT E27</t>
        </is>
      </c>
      <c r="C3055" s="98" t="inlineStr">
        <is>
          <t>MC</t>
        </is>
      </c>
      <c r="D3055" s="98" t="inlineStr">
        <is>
          <t>UN</t>
        </is>
      </c>
      <c r="E3055" s="98" t="inlineStr">
        <is>
          <t>0132</t>
        </is>
      </c>
      <c r="F3055" s="158" t="inlineStr">
        <is>
          <t>Compras</t>
        </is>
      </c>
      <c r="G3055" s="159" t="n">
        <v>0</v>
      </c>
      <c r="H3055" s="174" t="inlineStr">
        <is>
          <t>Não</t>
        </is>
      </c>
      <c r="I3055" s="100" t="n"/>
    </row>
    <row r="3056">
      <c r="A3056" s="96" t="inlineStr">
        <is>
          <t>010406</t>
        </is>
      </c>
      <c r="B3056" s="97" t="inlineStr">
        <is>
          <t>CONTROLADOR DE TORNEIRA IRRIGAÇÃO AUTOM. 3/4</t>
        </is>
      </c>
      <c r="C3056" s="98" t="inlineStr">
        <is>
          <t>MC</t>
        </is>
      </c>
      <c r="D3056" s="98" t="inlineStr">
        <is>
          <t>UN</t>
        </is>
      </c>
      <c r="E3056" s="98" t="inlineStr">
        <is>
          <t>0132</t>
        </is>
      </c>
      <c r="F3056" s="158" t="inlineStr">
        <is>
          <t>Compras</t>
        </is>
      </c>
      <c r="G3056" s="159" t="n">
        <v>0</v>
      </c>
      <c r="H3056" s="174" t="inlineStr">
        <is>
          <t>Não</t>
        </is>
      </c>
      <c r="I3056" s="100" t="n"/>
    </row>
    <row r="3057">
      <c r="A3057" s="96" t="inlineStr">
        <is>
          <t>010407</t>
        </is>
      </c>
      <c r="B3057" s="97" t="inlineStr">
        <is>
          <t>ZARCAO FUNDO CINZA METAL FERROSO 3,6L</t>
        </is>
      </c>
      <c r="C3057" s="98" t="inlineStr">
        <is>
          <t>MC</t>
        </is>
      </c>
      <c r="D3057" s="98" t="inlineStr">
        <is>
          <t>UN</t>
        </is>
      </c>
      <c r="E3057" s="98" t="inlineStr">
        <is>
          <t>0132</t>
        </is>
      </c>
      <c r="F3057" s="158" t="inlineStr">
        <is>
          <t>Compras</t>
        </is>
      </c>
      <c r="G3057" s="159" t="n">
        <v>0</v>
      </c>
      <c r="H3057" s="174" t="inlineStr">
        <is>
          <t>Não</t>
        </is>
      </c>
      <c r="I3057" s="100" t="n"/>
    </row>
    <row r="3058">
      <c r="A3058" s="96" t="inlineStr">
        <is>
          <t>010408</t>
        </is>
      </c>
      <c r="B3058" s="97" t="inlineStr">
        <is>
          <t>LAMPADA LED PAR20 5,5W 3000K</t>
        </is>
      </c>
      <c r="C3058" s="98" t="inlineStr">
        <is>
          <t>MC</t>
        </is>
      </c>
      <c r="D3058" s="98" t="inlineStr">
        <is>
          <t>UN</t>
        </is>
      </c>
      <c r="E3058" s="98" t="inlineStr">
        <is>
          <t>0132</t>
        </is>
      </c>
      <c r="F3058" s="158" t="inlineStr">
        <is>
          <t>Compras</t>
        </is>
      </c>
      <c r="G3058" s="159" t="n">
        <v>0</v>
      </c>
      <c r="H3058" s="174" t="inlineStr">
        <is>
          <t>Não</t>
        </is>
      </c>
      <c r="I3058" s="100" t="n"/>
    </row>
    <row r="3059">
      <c r="A3059" s="96" t="inlineStr">
        <is>
          <t>010409</t>
        </is>
      </c>
      <c r="B3059" s="97" t="inlineStr">
        <is>
          <t>LAMPADA BOLINHA LED 6W 4000K</t>
        </is>
      </c>
      <c r="C3059" s="98" t="inlineStr">
        <is>
          <t>MC</t>
        </is>
      </c>
      <c r="D3059" s="98" t="inlineStr">
        <is>
          <t>UN</t>
        </is>
      </c>
      <c r="E3059" s="98" t="inlineStr">
        <is>
          <t>0132</t>
        </is>
      </c>
      <c r="F3059" s="158" t="inlineStr">
        <is>
          <t>Compras</t>
        </is>
      </c>
      <c r="G3059" s="159" t="n">
        <v>0</v>
      </c>
      <c r="H3059" s="174" t="inlineStr">
        <is>
          <t>Não</t>
        </is>
      </c>
      <c r="I3059" s="100" t="n"/>
    </row>
    <row r="3060">
      <c r="A3060" s="96" t="inlineStr">
        <is>
          <t>010410</t>
        </is>
      </c>
      <c r="B3060" s="97" t="inlineStr">
        <is>
          <t>LAMPADA BOLINHA LED 1.2W 4000K</t>
        </is>
      </c>
      <c r="C3060" s="98" t="inlineStr">
        <is>
          <t>MC</t>
        </is>
      </c>
      <c r="D3060" s="98" t="inlineStr">
        <is>
          <t>UN</t>
        </is>
      </c>
      <c r="E3060" s="98" t="inlineStr">
        <is>
          <t>0132</t>
        </is>
      </c>
      <c r="F3060" s="158" t="inlineStr">
        <is>
          <t>Compras</t>
        </is>
      </c>
      <c r="G3060" s="159" t="n">
        <v>0</v>
      </c>
      <c r="H3060" s="174" t="inlineStr">
        <is>
          <t>Não</t>
        </is>
      </c>
      <c r="I3060" s="100" t="n"/>
    </row>
    <row r="3061">
      <c r="A3061" s="96" t="inlineStr">
        <is>
          <t>010411</t>
        </is>
      </c>
      <c r="B3061" s="97" t="inlineStr">
        <is>
          <t>CHAVE COMUTADOR 2 POSICOES 22MM</t>
        </is>
      </c>
      <c r="C3061" s="98" t="inlineStr">
        <is>
          <t>MC</t>
        </is>
      </c>
      <c r="D3061" s="98" t="inlineStr">
        <is>
          <t>UN</t>
        </is>
      </c>
      <c r="E3061" s="98" t="inlineStr">
        <is>
          <t>0132</t>
        </is>
      </c>
      <c r="F3061" s="158" t="inlineStr">
        <is>
          <t>Compras</t>
        </is>
      </c>
      <c r="G3061" s="159" t="n">
        <v>0</v>
      </c>
      <c r="H3061" s="174" t="inlineStr">
        <is>
          <t>Não</t>
        </is>
      </c>
      <c r="I3061" s="100" t="n"/>
    </row>
    <row r="3062">
      <c r="A3062" s="96" t="inlineStr">
        <is>
          <t>010412</t>
        </is>
      </c>
      <c r="B3062" s="97" t="inlineStr">
        <is>
          <t>SOQUETE FLUORESCENTE TOMADINHA T8/T12</t>
        </is>
      </c>
      <c r="C3062" s="98" t="inlineStr">
        <is>
          <t>MC</t>
        </is>
      </c>
      <c r="D3062" s="98" t="inlineStr">
        <is>
          <t>UN</t>
        </is>
      </c>
      <c r="E3062" s="98" t="inlineStr">
        <is>
          <t>0132</t>
        </is>
      </c>
      <c r="F3062" s="158" t="inlineStr">
        <is>
          <t>Compras</t>
        </is>
      </c>
      <c r="G3062" s="159" t="n">
        <v>0</v>
      </c>
      <c r="H3062" s="174" t="inlineStr">
        <is>
          <t>Não</t>
        </is>
      </c>
      <c r="I3062" s="100" t="n"/>
    </row>
    <row r="3063">
      <c r="A3063" s="96" t="inlineStr">
        <is>
          <t>010413</t>
        </is>
      </c>
      <c r="B3063" s="97" t="inlineStr">
        <is>
          <t>DOBRADICA 3"</t>
        </is>
      </c>
      <c r="C3063" s="98" t="inlineStr">
        <is>
          <t>MC</t>
        </is>
      </c>
      <c r="D3063" s="98" t="inlineStr">
        <is>
          <t>UN</t>
        </is>
      </c>
      <c r="E3063" s="98" t="inlineStr">
        <is>
          <t>0132</t>
        </is>
      </c>
      <c r="F3063" s="158" t="inlineStr">
        <is>
          <t>Compras</t>
        </is>
      </c>
      <c r="G3063" s="159" t="n">
        <v>0</v>
      </c>
      <c r="H3063" s="174" t="inlineStr">
        <is>
          <t>Não</t>
        </is>
      </c>
      <c r="I3063" s="100" t="n"/>
    </row>
    <row r="3064">
      <c r="A3064" s="96" t="inlineStr">
        <is>
          <t>010414</t>
        </is>
      </c>
      <c r="B3064" s="97" t="inlineStr">
        <is>
          <t>PORTA GRELHA QUADRADO PVC BRANCO 15CM</t>
        </is>
      </c>
      <c r="C3064" s="98" t="inlineStr">
        <is>
          <t>MC</t>
        </is>
      </c>
      <c r="D3064" s="98" t="inlineStr">
        <is>
          <t>UN</t>
        </is>
      </c>
      <c r="E3064" s="98" t="inlineStr">
        <is>
          <t>0132</t>
        </is>
      </c>
      <c r="F3064" s="158" t="inlineStr">
        <is>
          <t>Compras</t>
        </is>
      </c>
      <c r="G3064" s="159" t="n">
        <v>0</v>
      </c>
      <c r="H3064" s="174" t="inlineStr">
        <is>
          <t>Não</t>
        </is>
      </c>
      <c r="I3064" s="100" t="n"/>
    </row>
    <row r="3065">
      <c r="A3065" s="96" t="inlineStr">
        <is>
          <t>010415</t>
        </is>
      </c>
      <c r="B3065" s="97" t="inlineStr">
        <is>
          <t>RALO GRELHA QUADRADA PVC BRANCO 15CM</t>
        </is>
      </c>
      <c r="C3065" s="98" t="inlineStr">
        <is>
          <t>MC</t>
        </is>
      </c>
      <c r="D3065" s="98" t="inlineStr">
        <is>
          <t>UN</t>
        </is>
      </c>
      <c r="E3065" s="98" t="inlineStr">
        <is>
          <t>0132</t>
        </is>
      </c>
      <c r="F3065" s="158" t="inlineStr">
        <is>
          <t>Compras</t>
        </is>
      </c>
      <c r="G3065" s="159" t="n">
        <v>0</v>
      </c>
      <c r="H3065" s="174" t="inlineStr">
        <is>
          <t>Não</t>
        </is>
      </c>
      <c r="I3065" s="100" t="n"/>
    </row>
    <row r="3066">
      <c r="A3066" s="96" t="inlineStr">
        <is>
          <t>010416</t>
        </is>
      </c>
      <c r="B3066" s="97" t="inlineStr">
        <is>
          <t>DISCO DE CORTE DE MADEIRA COM TUNGSTENIO 110X20MM</t>
        </is>
      </c>
      <c r="C3066" s="98" t="inlineStr">
        <is>
          <t>MC</t>
        </is>
      </c>
      <c r="D3066" s="98" t="inlineStr">
        <is>
          <t>UN</t>
        </is>
      </c>
      <c r="E3066" s="98" t="inlineStr">
        <is>
          <t>0132</t>
        </is>
      </c>
      <c r="F3066" s="158" t="inlineStr">
        <is>
          <t>Compras</t>
        </is>
      </c>
      <c r="G3066" s="159" t="n">
        <v>0</v>
      </c>
      <c r="H3066" s="174" t="inlineStr">
        <is>
          <t>Não</t>
        </is>
      </c>
      <c r="I3066" s="100" t="n"/>
    </row>
    <row r="3067">
      <c r="A3067" s="96" t="inlineStr">
        <is>
          <t>010417</t>
        </is>
      </c>
      <c r="B3067" s="97" t="inlineStr">
        <is>
          <t>EMENDA LUVA PRESSAO P/ CONDUITE CORRUGADO 32MM 1"</t>
        </is>
      </c>
      <c r="C3067" s="98" t="inlineStr">
        <is>
          <t>MC</t>
        </is>
      </c>
      <c r="D3067" s="98" t="inlineStr">
        <is>
          <t>UN</t>
        </is>
      </c>
      <c r="E3067" s="98" t="inlineStr">
        <is>
          <t>0132</t>
        </is>
      </c>
      <c r="F3067" s="158" t="inlineStr">
        <is>
          <t>Compras</t>
        </is>
      </c>
      <c r="G3067" s="159" t="n">
        <v>0</v>
      </c>
      <c r="H3067" s="174" t="inlineStr">
        <is>
          <t>Não</t>
        </is>
      </c>
      <c r="I3067" s="100" t="n"/>
    </row>
    <row r="3068">
      <c r="A3068" s="96" t="inlineStr">
        <is>
          <t>010418</t>
        </is>
      </c>
      <c r="B3068" s="97" t="inlineStr">
        <is>
          <t>EMENDA LUVA PRESSAO P/ CONDUITE CORRUGADO 25MM 3/4</t>
        </is>
      </c>
      <c r="C3068" s="98" t="inlineStr">
        <is>
          <t>MC</t>
        </is>
      </c>
      <c r="D3068" s="98" t="inlineStr">
        <is>
          <t>UN</t>
        </is>
      </c>
      <c r="E3068" s="98" t="inlineStr">
        <is>
          <t>0132</t>
        </is>
      </c>
      <c r="F3068" s="158" t="inlineStr">
        <is>
          <t>Compras</t>
        </is>
      </c>
      <c r="G3068" s="159" t="n">
        <v>0</v>
      </c>
      <c r="H3068" s="174" t="inlineStr">
        <is>
          <t>Não</t>
        </is>
      </c>
      <c r="I3068" s="100" t="n"/>
    </row>
    <row r="3069">
      <c r="A3069" s="96" t="inlineStr">
        <is>
          <t>010419</t>
        </is>
      </c>
      <c r="B3069" s="97" t="inlineStr">
        <is>
          <t>LAMPADA LED BULBO 15W 6500K</t>
        </is>
      </c>
      <c r="C3069" s="98" t="inlineStr">
        <is>
          <t>MC</t>
        </is>
      </c>
      <c r="D3069" s="98" t="inlineStr">
        <is>
          <t>UN</t>
        </is>
      </c>
      <c r="E3069" s="98" t="inlineStr">
        <is>
          <t>0132</t>
        </is>
      </c>
      <c r="F3069" s="158" t="inlineStr">
        <is>
          <t>Compras</t>
        </is>
      </c>
      <c r="G3069" s="159" t="n">
        <v>0</v>
      </c>
      <c r="H3069" s="174" t="inlineStr">
        <is>
          <t>Não</t>
        </is>
      </c>
      <c r="I3069" s="100" t="n"/>
    </row>
    <row r="3070">
      <c r="A3070" s="96" t="inlineStr">
        <is>
          <t>010420</t>
        </is>
      </c>
      <c r="B3070" s="97" t="inlineStr">
        <is>
          <t>CONECTOR PARA CABO COAXIAL COM ROSCA</t>
        </is>
      </c>
      <c r="C3070" s="98" t="inlineStr">
        <is>
          <t>MC</t>
        </is>
      </c>
      <c r="D3070" s="98" t="inlineStr">
        <is>
          <t>UN</t>
        </is>
      </c>
      <c r="E3070" s="98" t="inlineStr">
        <is>
          <t>0132</t>
        </is>
      </c>
      <c r="F3070" s="158" t="inlineStr">
        <is>
          <t>Compras</t>
        </is>
      </c>
      <c r="G3070" s="159" t="n">
        <v>0</v>
      </c>
      <c r="H3070" s="174" t="inlineStr">
        <is>
          <t>Não</t>
        </is>
      </c>
      <c r="I3070" s="100" t="n"/>
    </row>
    <row r="3071">
      <c r="A3071" s="96" t="inlineStr">
        <is>
          <t>010421</t>
        </is>
      </c>
      <c r="B3071" s="97" t="inlineStr">
        <is>
          <t>EMENDA PARA CABO COAXIAL FEMEA</t>
        </is>
      </c>
      <c r="C3071" s="98" t="inlineStr">
        <is>
          <t>MC</t>
        </is>
      </c>
      <c r="D3071" s="98" t="inlineStr">
        <is>
          <t>UN</t>
        </is>
      </c>
      <c r="E3071" s="98" t="inlineStr">
        <is>
          <t>0132</t>
        </is>
      </c>
      <c r="F3071" s="158" t="inlineStr">
        <is>
          <t>Compras</t>
        </is>
      </c>
      <c r="G3071" s="159" t="n">
        <v>0</v>
      </c>
      <c r="H3071" s="174" t="inlineStr">
        <is>
          <t>Não</t>
        </is>
      </c>
      <c r="I3071" s="100" t="n"/>
    </row>
    <row r="3072">
      <c r="A3072" s="96" t="inlineStr">
        <is>
          <t>010422</t>
        </is>
      </c>
      <c r="B3072" s="97" t="inlineStr">
        <is>
          <t>DESINCRUSTANTE ACIDO 1L</t>
        </is>
      </c>
      <c r="C3072" s="98" t="inlineStr">
        <is>
          <t>MC</t>
        </is>
      </c>
      <c r="D3072" s="98" t="inlineStr">
        <is>
          <t>UN</t>
        </is>
      </c>
      <c r="E3072" s="98" t="inlineStr">
        <is>
          <t>0075</t>
        </is>
      </c>
      <c r="F3072" s="158" t="inlineStr">
        <is>
          <t>Compras</t>
        </is>
      </c>
      <c r="G3072" s="159" t="n">
        <v>0</v>
      </c>
      <c r="H3072" s="174" t="inlineStr">
        <is>
          <t>Não</t>
        </is>
      </c>
      <c r="I3072" s="100" t="n"/>
    </row>
    <row r="3073">
      <c r="A3073" s="96" t="inlineStr">
        <is>
          <t>010423</t>
        </is>
      </c>
      <c r="B3073" s="97" t="inlineStr">
        <is>
          <t>TINTA ACRILICA TOQUE DE SEDA 16L</t>
        </is>
      </c>
      <c r="C3073" s="98" t="inlineStr">
        <is>
          <t>MC</t>
        </is>
      </c>
      <c r="D3073" s="98" t="inlineStr">
        <is>
          <t>UN</t>
        </is>
      </c>
      <c r="E3073" s="98" t="inlineStr">
        <is>
          <t>0132</t>
        </is>
      </c>
      <c r="F3073" s="158" t="inlineStr">
        <is>
          <t>Compras</t>
        </is>
      </c>
      <c r="G3073" s="159" t="n">
        <v>0</v>
      </c>
      <c r="H3073" s="174" t="inlineStr">
        <is>
          <t>Não</t>
        </is>
      </c>
      <c r="I3073" s="100" t="n"/>
    </row>
    <row r="3074">
      <c r="A3074" s="96" t="inlineStr">
        <is>
          <t>010424</t>
        </is>
      </c>
      <c r="B3074" s="97" t="inlineStr">
        <is>
          <t>LONA PLASTICA PRETA 4X50 METROS 50 MICRAS</t>
        </is>
      </c>
      <c r="C3074" s="98" t="inlineStr">
        <is>
          <t>MC</t>
        </is>
      </c>
      <c r="D3074" s="98" t="inlineStr">
        <is>
          <t>UN</t>
        </is>
      </c>
      <c r="E3074" s="98" t="inlineStr">
        <is>
          <t>0132</t>
        </is>
      </c>
      <c r="F3074" s="158" t="inlineStr">
        <is>
          <t>Compras</t>
        </is>
      </c>
      <c r="G3074" s="159" t="n">
        <v>0</v>
      </c>
      <c r="H3074" s="174" t="inlineStr">
        <is>
          <t>Não</t>
        </is>
      </c>
      <c r="I3074" s="100" t="n"/>
    </row>
    <row r="3075">
      <c r="A3075" s="96" t="inlineStr">
        <is>
          <t>010425</t>
        </is>
      </c>
      <c r="B3075" s="97" t="inlineStr">
        <is>
          <t>CORANTE PARA TINTAS 50ML</t>
        </is>
      </c>
      <c r="C3075" s="98" t="inlineStr">
        <is>
          <t>MC</t>
        </is>
      </c>
      <c r="D3075" s="98" t="inlineStr">
        <is>
          <t>UN</t>
        </is>
      </c>
      <c r="E3075" s="98" t="inlineStr">
        <is>
          <t>0132</t>
        </is>
      </c>
      <c r="F3075" s="158" t="inlineStr">
        <is>
          <t>Compras</t>
        </is>
      </c>
      <c r="G3075" s="159" t="n">
        <v>0</v>
      </c>
      <c r="H3075" s="174" t="inlineStr">
        <is>
          <t>Não</t>
        </is>
      </c>
      <c r="I3075" s="100" t="n"/>
    </row>
    <row r="3076">
      <c r="A3076" s="96" t="inlineStr">
        <is>
          <t>010426</t>
        </is>
      </c>
      <c r="B3076" s="97" t="inlineStr">
        <is>
          <t>SELADOR ACRILICO 18L</t>
        </is>
      </c>
      <c r="C3076" s="98" t="inlineStr">
        <is>
          <t>MC</t>
        </is>
      </c>
      <c r="D3076" s="98" t="inlineStr">
        <is>
          <t>UN</t>
        </is>
      </c>
      <c r="E3076" s="98" t="inlineStr">
        <is>
          <t>0132</t>
        </is>
      </c>
      <c r="F3076" s="158" t="inlineStr">
        <is>
          <t>Compras</t>
        </is>
      </c>
      <c r="G3076" s="159" t="n">
        <v>0</v>
      </c>
      <c r="H3076" s="174" t="inlineStr">
        <is>
          <t>Não</t>
        </is>
      </c>
      <c r="I3076" s="100" t="n"/>
    </row>
    <row r="3077">
      <c r="A3077" s="96" t="inlineStr">
        <is>
          <t>010427</t>
        </is>
      </c>
      <c r="B3077" s="97" t="inlineStr">
        <is>
          <t>CAFE EXPRESSO AMENO</t>
        </is>
      </c>
      <c r="C3077" s="98" t="inlineStr">
        <is>
          <t>MR</t>
        </is>
      </c>
      <c r="D3077" s="98" t="inlineStr">
        <is>
          <t>UN</t>
        </is>
      </c>
      <c r="E3077" s="98" t="inlineStr">
        <is>
          <t>0091</t>
        </is>
      </c>
      <c r="F3077" s="158" t="inlineStr">
        <is>
          <t>Venda</t>
        </is>
      </c>
      <c r="G3077" s="159" t="n">
        <v>0</v>
      </c>
      <c r="H3077" s="174" t="inlineStr">
        <is>
          <t>Não</t>
        </is>
      </c>
      <c r="I3077" s="100" t="inlineStr">
        <is>
          <t>7898905687807</t>
        </is>
      </c>
    </row>
    <row r="3078">
      <c r="A3078" s="96" t="inlineStr">
        <is>
          <t>010428</t>
        </is>
      </c>
      <c r="B3078" s="97" t="inlineStr">
        <is>
          <t>TEXTURA ARENATO 25KG</t>
        </is>
      </c>
      <c r="C3078" s="98" t="inlineStr">
        <is>
          <t>MC</t>
        </is>
      </c>
      <c r="D3078" s="98" t="inlineStr">
        <is>
          <t>UN</t>
        </is>
      </c>
      <c r="E3078" s="98" t="inlineStr">
        <is>
          <t>0132</t>
        </is>
      </c>
      <c r="F3078" s="158" t="inlineStr">
        <is>
          <t>Compras</t>
        </is>
      </c>
      <c r="G3078" s="159" t="n">
        <v>0</v>
      </c>
      <c r="H3078" s="174" t="inlineStr">
        <is>
          <t>Não</t>
        </is>
      </c>
      <c r="I3078" s="100" t="n"/>
    </row>
    <row r="3079">
      <c r="A3079" s="96" t="inlineStr">
        <is>
          <t>010429</t>
        </is>
      </c>
      <c r="B3079" s="97" t="inlineStr">
        <is>
          <t>TINTA ESMALTE 16LT</t>
        </is>
      </c>
      <c r="C3079" s="98" t="inlineStr">
        <is>
          <t>MC</t>
        </is>
      </c>
      <c r="D3079" s="98" t="inlineStr">
        <is>
          <t>UN</t>
        </is>
      </c>
      <c r="E3079" s="98" t="inlineStr">
        <is>
          <t>0132</t>
        </is>
      </c>
      <c r="F3079" s="158" t="inlineStr">
        <is>
          <t>Compras</t>
        </is>
      </c>
      <c r="G3079" s="159" t="n">
        <v>0</v>
      </c>
      <c r="H3079" s="174" t="inlineStr">
        <is>
          <t>Não</t>
        </is>
      </c>
      <c r="I3079" s="100" t="n"/>
    </row>
    <row r="3080">
      <c r="A3080" s="96" t="inlineStr">
        <is>
          <t>010430</t>
        </is>
      </c>
      <c r="B3080" s="97" t="inlineStr">
        <is>
          <t>BOLO SODIE CHOCOLATE</t>
        </is>
      </c>
      <c r="C3080" s="98" t="inlineStr">
        <is>
          <t>ME</t>
        </is>
      </c>
      <c r="D3080" s="98" t="inlineStr">
        <is>
          <t>KG</t>
        </is>
      </c>
      <c r="E3080" s="98" t="inlineStr">
        <is>
          <t>0031</t>
        </is>
      </c>
      <c r="F3080" s="158" t="inlineStr">
        <is>
          <t>Compras</t>
        </is>
      </c>
      <c r="G3080" s="159" t="n">
        <v>0</v>
      </c>
      <c r="H3080" s="174" t="inlineStr">
        <is>
          <t>Não</t>
        </is>
      </c>
      <c r="I3080" s="100" t="n"/>
    </row>
    <row r="3081">
      <c r="A3081" s="96" t="inlineStr">
        <is>
          <t>010431</t>
        </is>
      </c>
      <c r="B3081" s="97" t="inlineStr">
        <is>
          <t>BOLO SODIE ABACAXI</t>
        </is>
      </c>
      <c r="C3081" s="98" t="inlineStr">
        <is>
          <t>ME</t>
        </is>
      </c>
      <c r="D3081" s="98" t="inlineStr">
        <is>
          <t>KG</t>
        </is>
      </c>
      <c r="E3081" s="98" t="inlineStr">
        <is>
          <t>0031</t>
        </is>
      </c>
      <c r="F3081" s="158" t="inlineStr">
        <is>
          <t>Compras</t>
        </is>
      </c>
      <c r="G3081" s="159" t="n">
        <v>0</v>
      </c>
      <c r="H3081" s="174" t="inlineStr">
        <is>
          <t>Não</t>
        </is>
      </c>
      <c r="I3081" s="100" t="n"/>
    </row>
    <row r="3082">
      <c r="A3082" s="96" t="inlineStr">
        <is>
          <t>010432</t>
        </is>
      </c>
      <c r="B3082" s="97" t="inlineStr">
        <is>
          <t>BOLO SODIE CHOCOLATE  (BRINDE)</t>
        </is>
      </c>
      <c r="C3082" s="98" t="inlineStr">
        <is>
          <t>MR</t>
        </is>
      </c>
      <c r="D3082" s="98" t="inlineStr">
        <is>
          <t>UN</t>
        </is>
      </c>
      <c r="E3082" s="98" t="inlineStr">
        <is>
          <t>0031</t>
        </is>
      </c>
      <c r="F3082" s="158" t="inlineStr">
        <is>
          <t>Venda</t>
        </is>
      </c>
      <c r="G3082" s="159" t="n">
        <v>0</v>
      </c>
      <c r="H3082" s="174" t="inlineStr">
        <is>
          <t>Não</t>
        </is>
      </c>
      <c r="I3082" s="100" t="inlineStr">
        <is>
          <t>78989956877334</t>
        </is>
      </c>
    </row>
    <row r="3083">
      <c r="A3083" s="96" t="inlineStr">
        <is>
          <t>010433</t>
        </is>
      </c>
      <c r="B3083" s="97" t="inlineStr">
        <is>
          <t>BOLO SODIE ABACAXI (BRINDE)</t>
        </is>
      </c>
      <c r="C3083" s="98" t="inlineStr">
        <is>
          <t>MR</t>
        </is>
      </c>
      <c r="D3083" s="98" t="inlineStr">
        <is>
          <t>UN</t>
        </is>
      </c>
      <c r="E3083" s="98" t="inlineStr">
        <is>
          <t>0031</t>
        </is>
      </c>
      <c r="F3083" s="158" t="inlineStr">
        <is>
          <t>Venda</t>
        </is>
      </c>
      <c r="G3083" s="159" t="n">
        <v>0</v>
      </c>
      <c r="H3083" s="174" t="inlineStr">
        <is>
          <t>Não</t>
        </is>
      </c>
      <c r="I3083" s="100" t="inlineStr">
        <is>
          <t>78989956877335</t>
        </is>
      </c>
    </row>
    <row r="3084">
      <c r="A3084" s="96" t="inlineStr">
        <is>
          <t>010434</t>
        </is>
      </c>
      <c r="B3084" s="97" t="inlineStr">
        <is>
          <t>BOLO SODIE ABACAXI VENDA</t>
        </is>
      </c>
      <c r="C3084" s="98" t="inlineStr">
        <is>
          <t>MR</t>
        </is>
      </c>
      <c r="D3084" s="98" t="inlineStr">
        <is>
          <t>UN</t>
        </is>
      </c>
      <c r="E3084" s="98" t="inlineStr">
        <is>
          <t>0031</t>
        </is>
      </c>
      <c r="F3084" s="158" t="inlineStr">
        <is>
          <t>Venda</t>
        </is>
      </c>
      <c r="G3084" s="159" t="n">
        <v>0</v>
      </c>
      <c r="H3084" s="174" t="inlineStr">
        <is>
          <t>Não</t>
        </is>
      </c>
      <c r="I3084" s="100" t="inlineStr">
        <is>
          <t>78989956877333</t>
        </is>
      </c>
    </row>
    <row r="3085">
      <c r="A3085" s="96" t="inlineStr">
        <is>
          <t>010435</t>
        </is>
      </c>
      <c r="B3085" s="97" t="inlineStr">
        <is>
          <t>CAFE EXPRESSO VIBRANTE</t>
        </is>
      </c>
      <c r="C3085" s="98" t="inlineStr">
        <is>
          <t>MR</t>
        </is>
      </c>
      <c r="D3085" s="98" t="inlineStr">
        <is>
          <t>UN</t>
        </is>
      </c>
      <c r="E3085" s="98" t="inlineStr">
        <is>
          <t>0091</t>
        </is>
      </c>
      <c r="F3085" s="158" t="inlineStr">
        <is>
          <t>Venda</t>
        </is>
      </c>
      <c r="G3085" s="159" t="n">
        <v>0</v>
      </c>
      <c r="H3085" s="174" t="inlineStr">
        <is>
          <t>Não</t>
        </is>
      </c>
      <c r="I3085" s="100" t="inlineStr">
        <is>
          <t>7898905687808</t>
        </is>
      </c>
    </row>
    <row r="3086">
      <c r="A3086" s="96" t="inlineStr">
        <is>
          <t>010436</t>
        </is>
      </c>
      <c r="B3086" s="97" t="inlineStr">
        <is>
          <t>CAFE EXPRESSO DESCAFEINADO</t>
        </is>
      </c>
      <c r="C3086" s="98" t="inlineStr">
        <is>
          <t>MR</t>
        </is>
      </c>
      <c r="D3086" s="98" t="inlineStr">
        <is>
          <t>UN</t>
        </is>
      </c>
      <c r="E3086" s="98" t="inlineStr">
        <is>
          <t>0091</t>
        </is>
      </c>
      <c r="F3086" s="158" t="inlineStr">
        <is>
          <t>Venda</t>
        </is>
      </c>
      <c r="G3086" s="159" t="n">
        <v>0</v>
      </c>
      <c r="H3086" s="174" t="inlineStr">
        <is>
          <t>Não</t>
        </is>
      </c>
      <c r="I3086" s="100" t="inlineStr">
        <is>
          <t>7898905687809</t>
        </is>
      </c>
    </row>
    <row r="3087">
      <c r="A3087" s="96" t="inlineStr">
        <is>
          <t>010437</t>
        </is>
      </c>
      <c r="B3087" s="97" t="inlineStr">
        <is>
          <t>IMPRESSORA RICOH M320F (COMODATO)</t>
        </is>
      </c>
      <c r="C3087" s="98" t="inlineStr">
        <is>
          <t>MC</t>
        </is>
      </c>
      <c r="D3087" s="98" t="inlineStr">
        <is>
          <t>UN</t>
        </is>
      </c>
      <c r="E3087" s="98" t="inlineStr">
        <is>
          <t>0140</t>
        </is>
      </c>
      <c r="F3087" s="158" t="inlineStr">
        <is>
          <t>Compras</t>
        </is>
      </c>
      <c r="G3087" s="159" t="n">
        <v>0</v>
      </c>
      <c r="H3087" s="174" t="inlineStr">
        <is>
          <t>Não</t>
        </is>
      </c>
      <c r="I3087" s="100" t="n"/>
    </row>
    <row r="3088">
      <c r="A3088" s="96" t="inlineStr">
        <is>
          <t>010438</t>
        </is>
      </c>
      <c r="B3088" s="97" t="inlineStr">
        <is>
          <t>BOTTONS PERSONALIZADOS</t>
        </is>
      </c>
      <c r="C3088" s="98" t="inlineStr">
        <is>
          <t>MC</t>
        </is>
      </c>
      <c r="D3088" s="98" t="inlineStr">
        <is>
          <t>UN</t>
        </is>
      </c>
      <c r="E3088" s="98" t="inlineStr">
        <is>
          <t>0135</t>
        </is>
      </c>
      <c r="F3088" s="158" t="inlineStr">
        <is>
          <t>Compras</t>
        </is>
      </c>
      <c r="G3088" s="159" t="n">
        <v>0</v>
      </c>
      <c r="H3088" s="174" t="inlineStr">
        <is>
          <t>Não</t>
        </is>
      </c>
      <c r="I3088" s="100" t="n"/>
    </row>
    <row r="3089">
      <c r="A3089" s="96" t="inlineStr">
        <is>
          <t>010439</t>
        </is>
      </c>
      <c r="B3089" s="97" t="inlineStr">
        <is>
          <t>COMBO RED BULL MELAO</t>
        </is>
      </c>
      <c r="C3089" s="98" t="inlineStr">
        <is>
          <t>MR</t>
        </is>
      </c>
      <c r="D3089" s="98" t="inlineStr">
        <is>
          <t>UN</t>
        </is>
      </c>
      <c r="E3089" s="98" t="inlineStr">
        <is>
          <t>0105</t>
        </is>
      </c>
      <c r="F3089" s="158" t="inlineStr">
        <is>
          <t>Venda</t>
        </is>
      </c>
      <c r="G3089" s="159" t="n">
        <v>0</v>
      </c>
      <c r="H3089" s="174" t="inlineStr">
        <is>
          <t>Não</t>
        </is>
      </c>
      <c r="I3089" s="100" t="inlineStr">
        <is>
          <t>0001</t>
        </is>
      </c>
    </row>
    <row r="3090">
      <c r="A3090" s="96" t="inlineStr">
        <is>
          <t>01460</t>
        </is>
      </c>
      <c r="B3090" s="97" t="inlineStr">
        <is>
          <t>CESTA BASICA FUNCIONARIO</t>
        </is>
      </c>
      <c r="C3090" s="98" t="inlineStr">
        <is>
          <t>MC</t>
        </is>
      </c>
      <c r="D3090" s="98" t="inlineStr">
        <is>
          <t>UN</t>
        </is>
      </c>
      <c r="E3090" s="98" t="inlineStr">
        <is>
          <t>0013</t>
        </is>
      </c>
      <c r="F3090" s="158" t="inlineStr">
        <is>
          <t>Compras</t>
        </is>
      </c>
      <c r="G3090" s="159" t="n">
        <v>4.57</v>
      </c>
      <c r="H3090" s="174" t="inlineStr">
        <is>
          <t>Não</t>
        </is>
      </c>
      <c r="I3090" s="100" t="n"/>
    </row>
    <row r="3091">
      <c r="A3091" s="96" t="inlineStr">
        <is>
          <t>1000</t>
        </is>
      </c>
      <c r="B3091" s="97" t="inlineStr">
        <is>
          <t>BOVINO IN NATURA</t>
        </is>
      </c>
      <c r="C3091" s="98" t="inlineStr">
        <is>
          <t>PA</t>
        </is>
      </c>
      <c r="D3091" s="98" t="inlineStr">
        <is>
          <t>UN</t>
        </is>
      </c>
      <c r="E3091" s="98" t="inlineStr">
        <is>
          <t>0092</t>
        </is>
      </c>
      <c r="F3091" s="158" t="inlineStr">
        <is>
          <t>Compras</t>
        </is>
      </c>
      <c r="G3091" s="159" t="n">
        <v>0</v>
      </c>
      <c r="H3091" s="175" t="inlineStr">
        <is>
          <t>Sim</t>
        </is>
      </c>
      <c r="I3091" s="100" t="inlineStr">
        <is>
          <t>10000</t>
        </is>
      </c>
    </row>
    <row r="3092">
      <c r="A3092" s="96" t="inlineStr">
        <is>
          <t>145</t>
        </is>
      </c>
      <c r="B3092" s="97" t="inlineStr">
        <is>
          <t>BOI</t>
        </is>
      </c>
      <c r="C3092" s="98" t="inlineStr">
        <is>
          <t>MR</t>
        </is>
      </c>
      <c r="D3092" s="98" t="inlineStr">
        <is>
          <t>AR</t>
        </is>
      </c>
      <c r="E3092" s="98" t="inlineStr">
        <is>
          <t>0025</t>
        </is>
      </c>
      <c r="F3092" s="158" t="inlineStr">
        <is>
          <t>Venda</t>
        </is>
      </c>
      <c r="G3092" s="159" t="n">
        <v>0</v>
      </c>
      <c r="H3092" s="175" t="inlineStr">
        <is>
          <t>Sim</t>
        </is>
      </c>
      <c r="I3092" s="100" t="n"/>
    </row>
    <row r="3093">
      <c r="A3093" s="96" t="inlineStr">
        <is>
          <t>17071</t>
        </is>
      </c>
      <c r="B3093" s="97" t="inlineStr">
        <is>
          <t>COMPRESSOR ELGIN TCM</t>
        </is>
      </c>
      <c r="C3093" s="98" t="inlineStr">
        <is>
          <t>AI</t>
        </is>
      </c>
      <c r="D3093" s="98" t="inlineStr">
        <is>
          <t>UN</t>
        </is>
      </c>
      <c r="E3093" s="98" t="inlineStr">
        <is>
          <t>0002</t>
        </is>
      </c>
      <c r="F3093" s="158" t="inlineStr">
        <is>
          <t>Compras</t>
        </is>
      </c>
      <c r="G3093" s="159" t="n">
        <v>0</v>
      </c>
      <c r="H3093" s="174" t="inlineStr">
        <is>
          <t>Não</t>
        </is>
      </c>
      <c r="I3093" s="100" t="n"/>
    </row>
    <row r="3094">
      <c r="A3094" s="96" t="inlineStr">
        <is>
          <t>1800</t>
        </is>
      </c>
      <c r="B3094" s="97" t="inlineStr">
        <is>
          <t>SERVICO ADVOCACIA</t>
        </is>
      </c>
      <c r="C3094" s="98" t="inlineStr">
        <is>
          <t>SV</t>
        </is>
      </c>
      <c r="D3094" s="98" t="inlineStr">
        <is>
          <t>UN</t>
        </is>
      </c>
      <c r="E3094" s="98" t="inlineStr">
        <is>
          <t>(VAZ</t>
        </is>
      </c>
      <c r="F3094" s="158" t="inlineStr">
        <is>
          <t>Compras</t>
        </is>
      </c>
      <c r="G3094" s="159" t="n">
        <v>0</v>
      </c>
      <c r="H3094" s="174" t="inlineStr">
        <is>
          <t>Não</t>
        </is>
      </c>
      <c r="I3094" s="100" t="n"/>
    </row>
    <row r="3095">
      <c r="A3095" s="96" t="inlineStr">
        <is>
          <t>1941</t>
        </is>
      </c>
      <c r="B3095" s="97" t="inlineStr">
        <is>
          <t>LAMINA - DYSPLAY 141178</t>
        </is>
      </c>
      <c r="C3095" s="98" t="inlineStr">
        <is>
          <t>ME</t>
        </is>
      </c>
      <c r="D3095" s="98" t="inlineStr">
        <is>
          <t>UN</t>
        </is>
      </c>
      <c r="E3095" s="98" t="inlineStr">
        <is>
          <t>0073</t>
        </is>
      </c>
      <c r="F3095" s="158" t="inlineStr">
        <is>
          <t>Compras</t>
        </is>
      </c>
      <c r="G3095" s="159" t="n">
        <v>0</v>
      </c>
      <c r="H3095" s="174" t="inlineStr">
        <is>
          <t>Não</t>
        </is>
      </c>
      <c r="I3095" s="100" t="n"/>
    </row>
    <row r="3096">
      <c r="A3096" s="96" t="inlineStr">
        <is>
          <t>2210</t>
        </is>
      </c>
      <c r="B3096" s="97" t="inlineStr">
        <is>
          <t>POLENTA FRITA</t>
        </is>
      </c>
      <c r="C3096" s="98" t="inlineStr">
        <is>
          <t>MR</t>
        </is>
      </c>
      <c r="D3096" s="98" t="inlineStr">
        <is>
          <t>KG</t>
        </is>
      </c>
      <c r="E3096" s="98" t="inlineStr">
        <is>
          <t>0110</t>
        </is>
      </c>
      <c r="F3096" s="158" t="inlineStr">
        <is>
          <t>Venda</t>
        </is>
      </c>
      <c r="G3096" s="159" t="n">
        <v>0</v>
      </c>
      <c r="H3096" s="175" t="inlineStr">
        <is>
          <t>Sim</t>
        </is>
      </c>
      <c r="I3096" s="100" t="inlineStr">
        <is>
          <t>78989056877331</t>
        </is>
      </c>
    </row>
    <row r="3097">
      <c r="A3097" s="96" t="inlineStr">
        <is>
          <t>2211</t>
        </is>
      </c>
      <c r="B3097" s="97" t="inlineStr">
        <is>
          <t>PURE DE BATATA</t>
        </is>
      </c>
      <c r="C3097" s="98" t="inlineStr">
        <is>
          <t>MR</t>
        </is>
      </c>
      <c r="D3097" s="98" t="inlineStr">
        <is>
          <t>UN</t>
        </is>
      </c>
      <c r="E3097" s="98" t="inlineStr">
        <is>
          <t>0121</t>
        </is>
      </c>
      <c r="F3097" s="158" t="inlineStr">
        <is>
          <t>Venda</t>
        </is>
      </c>
      <c r="G3097" s="159" t="n">
        <v>0</v>
      </c>
      <c r="H3097" s="175" t="inlineStr">
        <is>
          <t>Sim</t>
        </is>
      </c>
      <c r="I3097" s="100" t="inlineStr">
        <is>
          <t>78989056877334</t>
        </is>
      </c>
    </row>
    <row r="3098">
      <c r="A3098" s="96" t="inlineStr">
        <is>
          <t>2260</t>
        </is>
      </c>
      <c r="B3098" s="97" t="inlineStr">
        <is>
          <t>ENTRADA DOMINGO</t>
        </is>
      </c>
      <c r="C3098" s="98" t="inlineStr">
        <is>
          <t>OI</t>
        </is>
      </c>
      <c r="D3098" s="98" t="inlineStr">
        <is>
          <t>UN</t>
        </is>
      </c>
      <c r="E3098" s="98" t="inlineStr">
        <is>
          <t>0128</t>
        </is>
      </c>
      <c r="F3098" s="158" t="inlineStr">
        <is>
          <t>Venda</t>
        </is>
      </c>
      <c r="G3098" s="159" t="n">
        <v>0</v>
      </c>
      <c r="H3098" s="175" t="inlineStr">
        <is>
          <t>Sim</t>
        </is>
      </c>
      <c r="I3098" s="100" t="inlineStr">
        <is>
          <t>78989056877163</t>
        </is>
      </c>
    </row>
    <row r="3099">
      <c r="A3099" s="96" t="inlineStr">
        <is>
          <t>2425</t>
        </is>
      </c>
      <c r="B3099" s="97" t="inlineStr">
        <is>
          <t>SERVICO DE VIGILANCIA</t>
        </is>
      </c>
      <c r="C3099" s="98" t="inlineStr">
        <is>
          <t>SV</t>
        </is>
      </c>
      <c r="D3099" s="98" t="inlineStr">
        <is>
          <t>UN</t>
        </is>
      </c>
      <c r="E3099" s="98" t="inlineStr">
        <is>
          <t>(VAZ</t>
        </is>
      </c>
      <c r="F3099" s="158" t="inlineStr">
        <is>
          <t>Compras</t>
        </is>
      </c>
      <c r="G3099" s="159" t="n">
        <v>0</v>
      </c>
      <c r="H3099" s="174" t="inlineStr">
        <is>
          <t>Não</t>
        </is>
      </c>
      <c r="I3099" s="100" t="n"/>
    </row>
    <row r="3100">
      <c r="A3100" s="96" t="inlineStr">
        <is>
          <t>500</t>
        </is>
      </c>
      <c r="B3100" s="97" t="inlineStr">
        <is>
          <t>PONTO DE PEDIDO</t>
        </is>
      </c>
      <c r="C3100" s="98" t="inlineStr">
        <is>
          <t>PA</t>
        </is>
      </c>
      <c r="D3100" s="98" t="inlineStr">
        <is>
          <t>UN</t>
        </is>
      </c>
      <c r="E3100" s="98" t="n"/>
      <c r="F3100" s="158" t="inlineStr">
        <is>
          <t>Venda</t>
        </is>
      </c>
      <c r="G3100" s="159" t="n">
        <v>0</v>
      </c>
      <c r="H3100" s="175" t="inlineStr">
        <is>
          <t>Sim</t>
        </is>
      </c>
      <c r="I3100" s="100" t="n"/>
    </row>
    <row r="3101">
      <c r="A3101" s="96" t="inlineStr">
        <is>
          <t>6060</t>
        </is>
      </c>
      <c r="B3101" s="97" t="inlineStr">
        <is>
          <t>UNIDADE</t>
        </is>
      </c>
      <c r="C3101" s="98" t="inlineStr">
        <is>
          <t>PA</t>
        </is>
      </c>
      <c r="D3101" s="98" t="inlineStr">
        <is>
          <t>UN</t>
        </is>
      </c>
      <c r="E3101" s="98" t="n"/>
      <c r="F3101" s="158" t="inlineStr">
        <is>
          <t>Compras</t>
        </is>
      </c>
      <c r="G3101" s="159" t="n">
        <v>0</v>
      </c>
      <c r="H3101" s="175" t="inlineStr">
        <is>
          <t>Sim</t>
        </is>
      </c>
      <c r="I3101" s="100" t="n"/>
    </row>
    <row r="3102">
      <c r="A3102" s="96" t="inlineStr">
        <is>
          <t>7070</t>
        </is>
      </c>
      <c r="B3102" s="97" t="inlineStr">
        <is>
          <t>SEGUNDA UNIDADE DE MEDIDA</t>
        </is>
      </c>
      <c r="C3102" s="98" t="inlineStr">
        <is>
          <t>PA</t>
        </is>
      </c>
      <c r="D3102" s="98" t="inlineStr">
        <is>
          <t>UN</t>
        </is>
      </c>
      <c r="E3102" s="98" t="n"/>
      <c r="F3102" s="158" t="inlineStr">
        <is>
          <t>Venda</t>
        </is>
      </c>
      <c r="G3102" s="159" t="n">
        <v>0</v>
      </c>
      <c r="H3102" s="175" t="inlineStr">
        <is>
          <t>Sim</t>
        </is>
      </c>
      <c r="I3102" s="100" t="n"/>
    </row>
    <row r="3103">
      <c r="A3103" s="96" t="inlineStr">
        <is>
          <t>9090</t>
        </is>
      </c>
      <c r="B3103" s="97" t="inlineStr">
        <is>
          <t>BOLOS DIVERSOS</t>
        </is>
      </c>
      <c r="C3103" s="98" t="inlineStr">
        <is>
          <t>ME</t>
        </is>
      </c>
      <c r="D3103" s="98" t="inlineStr">
        <is>
          <t>UN</t>
        </is>
      </c>
      <c r="E3103" s="98" t="inlineStr">
        <is>
          <t>0029</t>
        </is>
      </c>
      <c r="F3103" s="158" t="inlineStr">
        <is>
          <t>Compras</t>
        </is>
      </c>
      <c r="G3103" s="159" t="n">
        <v>26</v>
      </c>
      <c r="H3103" s="174" t="inlineStr">
        <is>
          <t>Não</t>
        </is>
      </c>
      <c r="I3103" s="100" t="n"/>
    </row>
    <row r="3104">
      <c r="A3104" s="96" t="inlineStr">
        <is>
          <t>9191</t>
        </is>
      </c>
      <c r="B3104" s="97" t="inlineStr">
        <is>
          <t>FARINHA</t>
        </is>
      </c>
      <c r="C3104" s="98" t="inlineStr">
        <is>
          <t>MP</t>
        </is>
      </c>
      <c r="D3104" s="98" t="inlineStr">
        <is>
          <t>UN</t>
        </is>
      </c>
      <c r="E3104" s="98" t="inlineStr">
        <is>
          <t>0047</t>
        </is>
      </c>
      <c r="F3104" s="158" t="inlineStr">
        <is>
          <t>Compras</t>
        </is>
      </c>
      <c r="G3104" s="159" t="n">
        <v>4.784</v>
      </c>
      <c r="H3104" s="175" t="inlineStr">
        <is>
          <t>Sim</t>
        </is>
      </c>
      <c r="I3104" s="100" t="n"/>
    </row>
    <row r="3105">
      <c r="A3105" s="96" t="inlineStr">
        <is>
          <t>9292</t>
        </is>
      </c>
      <c r="B3105" s="97" t="inlineStr">
        <is>
          <t>OVOS</t>
        </is>
      </c>
      <c r="C3105" s="98" t="inlineStr">
        <is>
          <t>MP</t>
        </is>
      </c>
      <c r="D3105" s="98" t="inlineStr">
        <is>
          <t>UN</t>
        </is>
      </c>
      <c r="E3105" s="98" t="inlineStr">
        <is>
          <t>0047</t>
        </is>
      </c>
      <c r="F3105" s="158" t="inlineStr">
        <is>
          <t>Compras</t>
        </is>
      </c>
      <c r="G3105" s="159" t="n">
        <v>2.19</v>
      </c>
      <c r="H3105" s="175" t="inlineStr">
        <is>
          <t>Sim</t>
        </is>
      </c>
      <c r="I3105" s="100" t="n"/>
    </row>
    <row r="3106">
      <c r="A3106" s="96" t="inlineStr">
        <is>
          <t>99999</t>
        </is>
      </c>
      <c r="B3106" s="97" t="inlineStr">
        <is>
          <t>GORJETA</t>
        </is>
      </c>
      <c r="C3106" s="98" t="inlineStr">
        <is>
          <t>MR</t>
        </is>
      </c>
      <c r="D3106" s="98" t="inlineStr">
        <is>
          <t>UN</t>
        </is>
      </c>
      <c r="E3106" s="98" t="inlineStr">
        <is>
          <t>0127</t>
        </is>
      </c>
      <c r="F3106" s="158" t="inlineStr">
        <is>
          <t>Venda</t>
        </is>
      </c>
      <c r="G3106" s="159" t="n">
        <v>0</v>
      </c>
      <c r="H3106" s="174" t="inlineStr">
        <is>
          <t>Não</t>
        </is>
      </c>
      <c r="I3106" s="100" t="inlineStr">
        <is>
          <t>99999</t>
        </is>
      </c>
    </row>
  </sheetData>
  <autoFilter ref="A1:J3106"/>
  <conditionalFormatting sqref="H1:H3060">
    <cfRule type="containsText" priority="1" operator="containsText" dxfId="1" text="Sim">
      <formula>NOT(ISERROR(SEARCH("Sim",H1)))</formula>
    </cfRule>
    <cfRule type="containsText" priority="2" operator="containsText" dxfId="0" text="Não">
      <formula>NOT(ISERROR(SEARCH("Não",H1)))</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21"/>
  <sheetViews>
    <sheetView showGridLines="0" workbookViewId="0">
      <selection activeCell="Q20" sqref="Q20"/>
    </sheetView>
  </sheetViews>
  <sheetFormatPr baseColWidth="8" defaultRowHeight="15"/>
  <cols>
    <col width="61.42578125" bestFit="1" customWidth="1" min="1" max="1"/>
    <col hidden="1" width="12.42578125" customWidth="1" min="2" max="2"/>
    <col hidden="1" width="36.85546875" customWidth="1" min="3" max="3"/>
    <col width="10" bestFit="1" customWidth="1" min="4" max="4"/>
    <col hidden="1" width="10.28515625" customWidth="1" min="5" max="5"/>
    <col width="16.140625" bestFit="1" customWidth="1" min="6" max="6"/>
    <col hidden="1" width="9" customWidth="1" min="7" max="7"/>
    <col hidden="1" width="8" customWidth="1" min="8" max="8"/>
    <col hidden="1" width="17.5703125" customWidth="1" min="9" max="9"/>
    <col hidden="1" width="11.85546875" customWidth="1" min="10" max="10"/>
    <col hidden="1" width="9.28515625" customWidth="1" min="11" max="11"/>
    <col hidden="1" width="11.140625" customWidth="1" min="12" max="12"/>
    <col hidden="1" width="21.140625" customWidth="1" min="13" max="13"/>
    <col width="28.7109375" bestFit="1" customWidth="1" min="14" max="14"/>
  </cols>
  <sheetData>
    <row r="1">
      <c r="A1" s="167" t="inlineStr">
        <is>
          <t>EXPORTAÇÃO CONSOLIDADA — Todos os canais | Apenas Produtos</t>
        </is>
      </c>
      <c r="B1" s="167" t="n"/>
      <c r="C1" s="167" t="n"/>
      <c r="D1" s="167" t="n"/>
      <c r="E1" s="167" t="n"/>
      <c r="F1" s="167" t="n"/>
      <c r="G1" s="167" t="n"/>
      <c r="H1" s="167" t="n"/>
      <c r="I1" s="167" t="n"/>
      <c r="J1" s="167" t="n"/>
      <c r="K1" s="167" t="n"/>
      <c r="L1" s="167" t="n"/>
      <c r="M1" s="167" t="n"/>
      <c r="N1" t="inlineStr">
        <is>
          <t>Última Atualização: 13/05/2026</t>
        </is>
      </c>
    </row>
    <row r="2">
      <c r="A2" s="167" t="inlineStr">
        <is>
          <t>Nome *</t>
        </is>
      </c>
      <c r="B2" s="167" t="inlineStr">
        <is>
          <t>Tipo Produto</t>
        </is>
      </c>
      <c r="C2" s="167" t="inlineStr">
        <is>
          <t>Categoria</t>
        </is>
      </c>
      <c r="D2" s="167" t="inlineStr">
        <is>
          <t>Preço (R$)</t>
        </is>
      </c>
      <c r="E2" s="167" t="inlineStr">
        <is>
          <t>Preço (cts)</t>
        </is>
      </c>
      <c r="F2" s="167" t="inlineStr">
        <is>
          <t>SKU/EAN</t>
        </is>
      </c>
      <c r="G2" s="167" t="inlineStr">
        <is>
          <t>NCM</t>
        </is>
      </c>
      <c r="H2" s="167" t="inlineStr">
        <is>
          <t>CEST</t>
        </is>
      </c>
      <c r="I2" s="167" t="inlineStr">
        <is>
          <t>Grupo Fiscal</t>
        </is>
      </c>
      <c r="J2" s="167" t="inlineStr">
        <is>
          <t>Perfil Fiscal</t>
        </is>
      </c>
      <c r="K2" s="167" t="inlineStr">
        <is>
          <t>Estocável</t>
        </is>
      </c>
      <c r="L2" s="167" t="inlineStr">
        <is>
          <t>Un. Medida</t>
        </is>
      </c>
      <c r="M2" s="167" t="inlineStr">
        <is>
          <t>Canal/Unidade</t>
        </is>
      </c>
    </row>
    <row r="3">
      <c r="A3" s="167" t="inlineStr">
        <is>
          <t>2 ESPETOS CLÁSSICOS + SALADA</t>
        </is>
      </c>
      <c r="B3" s="167" t="inlineStr">
        <is>
          <t>Refeicao</t>
        </is>
      </c>
      <c r="C3" s="167" t="inlineStr">
        <is>
          <t>DELIVERY</t>
        </is>
      </c>
      <c r="D3" s="167" t="n">
        <v>39.9</v>
      </c>
      <c r="E3" s="167" t="n">
        <v>3990</v>
      </c>
      <c r="F3" s="167" t="inlineStr">
        <is>
          <t>78989056877339</t>
        </is>
      </c>
      <c r="G3" s="167" t="inlineStr">
        <is>
          <t>21069090</t>
        </is>
      </c>
      <c r="H3" s="167" t="n"/>
      <c r="I3" s="167" t="inlineStr">
        <is>
          <t>Alimentos - 5102</t>
        </is>
      </c>
      <c r="J3" s="167" t="inlineStr">
        <is>
          <t>Carinás</t>
        </is>
      </c>
      <c r="K3" s="167" t="inlineStr">
        <is>
          <t>Não</t>
        </is>
      </c>
      <c r="L3" s="167" t="inlineStr">
        <is>
          <t>Unidades</t>
        </is>
      </c>
      <c r="M3" s="167" t="inlineStr">
        <is>
          <t>Delivery</t>
        </is>
      </c>
    </row>
    <row r="4">
      <c r="A4" s="167" t="inlineStr">
        <is>
          <t>ABACAXI C/ CHOCOLATE</t>
        </is>
      </c>
      <c r="B4" s="167" t="n"/>
      <c r="C4" s="167" t="n"/>
      <c r="D4" s="167" t="n">
        <v>18.99</v>
      </c>
      <c r="E4" s="167" t="n">
        <v>1899</v>
      </c>
      <c r="F4" s="167" t="inlineStr">
        <is>
          <t>50001</t>
        </is>
      </c>
      <c r="G4" s="167" t="inlineStr">
        <is>
          <t>21069090</t>
        </is>
      </c>
      <c r="H4" s="167" t="n"/>
      <c r="I4" s="167" t="inlineStr">
        <is>
          <t>Alimentos - 5102</t>
        </is>
      </c>
      <c r="J4" s="167" t="inlineStr">
        <is>
          <t>Carinás</t>
        </is>
      </c>
      <c r="K4" s="167" t="inlineStr">
        <is>
          <t>Sim</t>
        </is>
      </c>
      <c r="L4" s="167" t="inlineStr">
        <is>
          <t>Unidades</t>
        </is>
      </c>
      <c r="M4" s="167" t="inlineStr">
        <is>
          <t>Carinás + SA + Delivery</t>
        </is>
      </c>
    </row>
    <row r="5">
      <c r="A5" s="167" t="inlineStr">
        <is>
          <t>ABACAXI CAFE DA MANHA</t>
        </is>
      </c>
      <c r="B5" s="167" t="n"/>
      <c r="C5" s="167" t="inlineStr">
        <is>
          <t>A CAFÉ DA MANHA</t>
        </is>
      </c>
      <c r="D5" s="167" t="n">
        <v>0</v>
      </c>
      <c r="E5" s="167" t="n">
        <v>0</v>
      </c>
      <c r="F5" s="167" t="inlineStr">
        <is>
          <t>7898905687183</t>
        </is>
      </c>
      <c r="G5" s="167" t="inlineStr">
        <is>
          <t>8043000</t>
        </is>
      </c>
      <c r="H5" s="167" t="n"/>
      <c r="I5" s="167" t="inlineStr">
        <is>
          <t>Alimentos - 5102</t>
        </is>
      </c>
      <c r="J5" s="167" t="inlineStr">
        <is>
          <t>Carinás</t>
        </is>
      </c>
      <c r="K5" s="167" t="inlineStr">
        <is>
          <t>Sim</t>
        </is>
      </c>
      <c r="L5" s="167" t="inlineStr">
        <is>
          <t>Unidades</t>
        </is>
      </c>
      <c r="M5" s="167" t="inlineStr">
        <is>
          <t>Carinás + SA</t>
        </is>
      </c>
    </row>
    <row r="6">
      <c r="A6" s="167" t="inlineStr">
        <is>
          <t>ABOBORA ASSADA</t>
        </is>
      </c>
      <c r="B6" s="167" t="n"/>
      <c r="C6" s="167" t="n"/>
      <c r="D6" s="167" t="n">
        <v>10.99</v>
      </c>
      <c r="E6" s="167" t="n">
        <v>1099</v>
      </c>
      <c r="F6" s="167" t="inlineStr">
        <is>
          <t>78989056877316</t>
        </is>
      </c>
      <c r="G6" s="167" t="inlineStr">
        <is>
          <t>21069090</t>
        </is>
      </c>
      <c r="H6" s="167" t="n"/>
      <c r="I6" s="167" t="n"/>
      <c r="J6" s="167" t="n"/>
      <c r="K6" s="167" t="inlineStr">
        <is>
          <t>Sim</t>
        </is>
      </c>
      <c r="L6" s="167" t="inlineStr">
        <is>
          <t>Unidades</t>
        </is>
      </c>
      <c r="M6" s="167" t="inlineStr">
        <is>
          <t>Carinás + SA</t>
        </is>
      </c>
    </row>
    <row r="7">
      <c r="A7" s="167" t="inlineStr">
        <is>
          <t>ABOBRINHA</t>
        </is>
      </c>
      <c r="B7" s="167" t="n"/>
      <c r="C7" s="167" t="n"/>
      <c r="D7" s="167" t="n">
        <v>10.99</v>
      </c>
      <c r="E7" s="167" t="n">
        <v>1099</v>
      </c>
      <c r="F7" s="167" t="inlineStr">
        <is>
          <t>20001</t>
        </is>
      </c>
      <c r="G7" s="167" t="inlineStr">
        <is>
          <t>21069090</t>
        </is>
      </c>
      <c r="H7" s="167" t="n"/>
      <c r="I7" s="167" t="inlineStr">
        <is>
          <t>Alimentos - 5102</t>
        </is>
      </c>
      <c r="J7" s="167" t="inlineStr">
        <is>
          <t>Carinás</t>
        </is>
      </c>
      <c r="K7" s="167" t="inlineStr">
        <is>
          <t>Sim</t>
        </is>
      </c>
      <c r="L7" s="167" t="inlineStr">
        <is>
          <t>Unidades</t>
        </is>
      </c>
      <c r="M7" s="167" t="inlineStr">
        <is>
          <t>Carinás + SA + Delivery</t>
        </is>
      </c>
    </row>
    <row r="8">
      <c r="A8" s="167" t="inlineStr">
        <is>
          <t>ABSOLUT ANIVERSARIANTE</t>
        </is>
      </c>
      <c r="B8" s="167" t="n"/>
      <c r="C8" s="167" t="n"/>
      <c r="D8" s="167" t="n">
        <v>0</v>
      </c>
      <c r="E8" s="167" t="n">
        <v>0</v>
      </c>
      <c r="F8" s="167" t="inlineStr">
        <is>
          <t>7898905687709</t>
        </is>
      </c>
      <c r="G8" s="167" t="inlineStr">
        <is>
          <t>22030000</t>
        </is>
      </c>
      <c r="H8" s="167" t="n"/>
      <c r="I8" s="167" t="inlineStr">
        <is>
          <t>Bebidas - 5405 - 1</t>
        </is>
      </c>
      <c r="J8" s="167" t="inlineStr">
        <is>
          <t>Carinás</t>
        </is>
      </c>
      <c r="K8" s="167" t="inlineStr">
        <is>
          <t>Sim</t>
        </is>
      </c>
      <c r="L8" s="167" t="inlineStr">
        <is>
          <t>Unidades</t>
        </is>
      </c>
      <c r="M8" s="167" t="inlineStr">
        <is>
          <t>Carinás + SA</t>
        </is>
      </c>
    </row>
    <row r="9">
      <c r="A9" s="167" t="inlineStr">
        <is>
          <t>ABSOLUT DOSE</t>
        </is>
      </c>
      <c r="B9" s="167" t="n"/>
      <c r="C9" s="167" t="n"/>
      <c r="D9" s="167" t="n">
        <v>26</v>
      </c>
      <c r="E9" s="167" t="n">
        <v>2600</v>
      </c>
      <c r="F9" s="167" t="inlineStr">
        <is>
          <t>89552</t>
        </is>
      </c>
      <c r="G9" s="167" t="inlineStr">
        <is>
          <t>22086000</t>
        </is>
      </c>
      <c r="H9" s="167" t="n"/>
      <c r="I9" s="167" t="inlineStr">
        <is>
          <t>Alimentos - 5102</t>
        </is>
      </c>
      <c r="J9" s="167" t="inlineStr">
        <is>
          <t>Carinás</t>
        </is>
      </c>
      <c r="K9" s="167" t="inlineStr">
        <is>
          <t>Sim</t>
        </is>
      </c>
      <c r="L9" s="167" t="inlineStr">
        <is>
          <t>Unidades</t>
        </is>
      </c>
      <c r="M9" s="167" t="inlineStr">
        <is>
          <t>Carinás + SA</t>
        </is>
      </c>
    </row>
    <row r="10">
      <c r="A10" s="167" t="inlineStr">
        <is>
          <t>ABSOLUT GARRAFA</t>
        </is>
      </c>
      <c r="B10" s="167" t="n"/>
      <c r="C10" s="167" t="n"/>
      <c r="D10" s="167" t="n">
        <v>239.99</v>
      </c>
      <c r="E10" s="167" t="n">
        <v>23999</v>
      </c>
      <c r="F10" s="167" t="inlineStr">
        <is>
          <t>102120</t>
        </is>
      </c>
      <c r="G10" s="167" t="inlineStr">
        <is>
          <t>22089000</t>
        </is>
      </c>
      <c r="H10" s="167" t="n"/>
      <c r="I10" s="167" t="inlineStr">
        <is>
          <t>Alimentos - 5102</t>
        </is>
      </c>
      <c r="J10" s="167" t="inlineStr">
        <is>
          <t>Carinás</t>
        </is>
      </c>
      <c r="K10" s="167" t="inlineStr">
        <is>
          <t>Sim</t>
        </is>
      </c>
      <c r="L10" s="167" t="inlineStr">
        <is>
          <t>Unidades</t>
        </is>
      </c>
      <c r="M10" s="167" t="inlineStr">
        <is>
          <t>Carinás + SA</t>
        </is>
      </c>
    </row>
    <row r="11">
      <c r="A11" s="167" t="inlineStr">
        <is>
          <t>Agua</t>
        </is>
      </c>
      <c r="B11" s="167" t="n"/>
      <c r="C11" s="167" t="n"/>
      <c r="D11" s="167" t="n">
        <v>6</v>
      </c>
      <c r="E11" s="167" t="n">
        <v>600</v>
      </c>
      <c r="F11" s="167" t="inlineStr">
        <is>
          <t>78989056877362</t>
        </is>
      </c>
      <c r="G11" s="167" t="inlineStr">
        <is>
          <t>22011000</t>
        </is>
      </c>
      <c r="H11" s="167" t="n"/>
      <c r="I11" s="167" t="inlineStr">
        <is>
          <t>Água - 5405 -3</t>
        </is>
      </c>
      <c r="J11" s="167" t="inlineStr">
        <is>
          <t>Carinás</t>
        </is>
      </c>
      <c r="K11" s="167" t="inlineStr">
        <is>
          <t>Sim</t>
        </is>
      </c>
      <c r="L11" s="167" t="inlineStr">
        <is>
          <t>Unidades</t>
        </is>
      </c>
      <c r="M11" s="167" t="inlineStr">
        <is>
          <t>Carinás</t>
        </is>
      </c>
    </row>
    <row r="12">
      <c r="A12" s="167" t="inlineStr">
        <is>
          <t>AGUA C/ GAS</t>
        </is>
      </c>
      <c r="B12" s="167" t="n"/>
      <c r="C12" s="167" t="n"/>
      <c r="D12" s="167" t="n">
        <v>6.99</v>
      </c>
      <c r="E12" s="167" t="n">
        <v>699</v>
      </c>
      <c r="F12" s="167" t="inlineStr">
        <is>
          <t>71014</t>
        </is>
      </c>
      <c r="G12" s="167" t="inlineStr">
        <is>
          <t>22011000</t>
        </is>
      </c>
      <c r="H12" s="167" t="n"/>
      <c r="I12" s="167" t="inlineStr">
        <is>
          <t>Água - 5405 -3</t>
        </is>
      </c>
      <c r="J12" s="167" t="inlineStr">
        <is>
          <t>Carinás</t>
        </is>
      </c>
      <c r="K12" s="167" t="inlineStr">
        <is>
          <t>Sim</t>
        </is>
      </c>
      <c r="L12" s="167" t="inlineStr">
        <is>
          <t>Unidades</t>
        </is>
      </c>
      <c r="M12" s="167" t="inlineStr">
        <is>
          <t>Carinás + SA</t>
        </is>
      </c>
    </row>
    <row r="13">
      <c r="A13" s="167" t="inlineStr">
        <is>
          <t>Agua com Gas</t>
        </is>
      </c>
      <c r="B13" s="167" t="n"/>
      <c r="C13" s="167" t="n"/>
      <c r="D13" s="167" t="n">
        <v>6</v>
      </c>
      <c r="E13" s="167" t="n">
        <v>600</v>
      </c>
      <c r="F13" s="167" t="inlineStr">
        <is>
          <t>78989056877363</t>
        </is>
      </c>
      <c r="G13" s="167" t="inlineStr">
        <is>
          <t>22011000</t>
        </is>
      </c>
      <c r="H13" s="167" t="n"/>
      <c r="I13" s="167" t="inlineStr">
        <is>
          <t>Água - 5405 -3</t>
        </is>
      </c>
      <c r="J13" s="167" t="inlineStr">
        <is>
          <t>Carinás</t>
        </is>
      </c>
      <c r="K13" s="167" t="inlineStr">
        <is>
          <t>Sim</t>
        </is>
      </c>
      <c r="L13" s="167" t="inlineStr">
        <is>
          <t>Unidades</t>
        </is>
      </c>
      <c r="M13" s="167" t="inlineStr">
        <is>
          <t>Carinás</t>
        </is>
      </c>
    </row>
    <row r="14">
      <c r="A14" s="167" t="inlineStr">
        <is>
          <t>AGUA DE COCO</t>
        </is>
      </c>
      <c r="B14" s="167" t="n"/>
      <c r="C14" s="167" t="n"/>
      <c r="D14" s="167" t="n">
        <v>11.99</v>
      </c>
      <c r="E14" s="167" t="n">
        <v>1199</v>
      </c>
      <c r="F14" s="167" t="inlineStr">
        <is>
          <t>71018</t>
        </is>
      </c>
      <c r="G14" s="167" t="inlineStr">
        <is>
          <t>20098990</t>
        </is>
      </c>
      <c r="H14" s="167" t="n"/>
      <c r="I14" s="167" t="inlineStr">
        <is>
          <t>Alimentos - 5102</t>
        </is>
      </c>
      <c r="J14" s="167" t="inlineStr">
        <is>
          <t>Carinás</t>
        </is>
      </c>
      <c r="K14" s="167" t="inlineStr">
        <is>
          <t>Sim</t>
        </is>
      </c>
      <c r="L14" s="167" t="inlineStr">
        <is>
          <t>Unidades</t>
        </is>
      </c>
      <c r="M14" s="167" t="inlineStr">
        <is>
          <t>Carinás + SA</t>
        </is>
      </c>
    </row>
    <row r="15">
      <c r="A15" s="167" t="inlineStr">
        <is>
          <t>AGUA S/ GAS</t>
        </is>
      </c>
      <c r="B15" s="167" t="n"/>
      <c r="C15" s="167" t="n"/>
      <c r="D15" s="167" t="n">
        <v>6.99</v>
      </c>
      <c r="E15" s="167" t="n">
        <v>699</v>
      </c>
      <c r="F15" s="167" t="inlineStr">
        <is>
          <t>71001</t>
        </is>
      </c>
      <c r="G15" s="167" t="inlineStr">
        <is>
          <t>22011000</t>
        </is>
      </c>
      <c r="H15" s="167" t="n"/>
      <c r="I15" s="167" t="inlineStr">
        <is>
          <t>Água - 5405 -3</t>
        </is>
      </c>
      <c r="J15" s="167" t="inlineStr">
        <is>
          <t>Carinás</t>
        </is>
      </c>
      <c r="K15" s="167" t="inlineStr">
        <is>
          <t>Sim</t>
        </is>
      </c>
      <c r="L15" s="167" t="inlineStr">
        <is>
          <t>Unidades</t>
        </is>
      </c>
      <c r="M15" s="167" t="inlineStr">
        <is>
          <t>Carinás + SA</t>
        </is>
      </c>
    </row>
    <row r="16">
      <c r="A16" s="167" t="inlineStr">
        <is>
          <t>AGUA TONICA</t>
        </is>
      </c>
      <c r="B16" s="167" t="n"/>
      <c r="C16" s="167" t="n"/>
      <c r="D16" s="167" t="n">
        <v>9.99</v>
      </c>
      <c r="E16" s="167" t="n">
        <v>999</v>
      </c>
      <c r="F16" s="167" t="inlineStr">
        <is>
          <t>71002</t>
        </is>
      </c>
      <c r="G16" s="167" t="inlineStr">
        <is>
          <t>22011000</t>
        </is>
      </c>
      <c r="H16" s="167" t="n"/>
      <c r="I16" s="167" t="inlineStr">
        <is>
          <t>Água - 5405 -3</t>
        </is>
      </c>
      <c r="J16" s="167" t="inlineStr">
        <is>
          <t>Carinás</t>
        </is>
      </c>
      <c r="K16" s="167" t="inlineStr">
        <is>
          <t>Sim</t>
        </is>
      </c>
      <c r="L16" s="167" t="inlineStr">
        <is>
          <t>Unidades</t>
        </is>
      </c>
      <c r="M16" s="167" t="inlineStr">
        <is>
          <t>Carinás + SA</t>
        </is>
      </c>
    </row>
    <row r="17">
      <c r="A17" s="167" t="inlineStr">
        <is>
          <t>AGUA TONICA DIET</t>
        </is>
      </c>
      <c r="B17" s="167" t="n"/>
      <c r="C17" s="167" t="n"/>
      <c r="D17" s="167" t="n">
        <v>9.99</v>
      </c>
      <c r="E17" s="167" t="n">
        <v>999</v>
      </c>
      <c r="F17" s="167" t="inlineStr">
        <is>
          <t>71008</t>
        </is>
      </c>
      <c r="G17" s="167" t="inlineStr">
        <is>
          <t>22011000</t>
        </is>
      </c>
      <c r="H17" s="167" t="n"/>
      <c r="I17" s="167" t="inlineStr">
        <is>
          <t>Água - 5405 -3</t>
        </is>
      </c>
      <c r="J17" s="167" t="inlineStr">
        <is>
          <t>Carinás</t>
        </is>
      </c>
      <c r="K17" s="167" t="inlineStr">
        <is>
          <t>Sim</t>
        </is>
      </c>
      <c r="L17" s="167" t="inlineStr">
        <is>
          <t>Unidades</t>
        </is>
      </c>
      <c r="M17" s="167" t="inlineStr">
        <is>
          <t>Carinás + SA</t>
        </is>
      </c>
    </row>
    <row r="18">
      <c r="A18" s="167" t="inlineStr">
        <is>
          <t>ALHO PORÓ COM TOMATE CEREJA</t>
        </is>
      </c>
      <c r="B18" s="167" t="n"/>
      <c r="C18" s="167" t="n"/>
      <c r="D18" s="167" t="n">
        <v>12.99</v>
      </c>
      <c r="E18" s="167" t="n">
        <v>1299</v>
      </c>
      <c r="F18" s="167" t="inlineStr">
        <is>
          <t>78989056877315</t>
        </is>
      </c>
      <c r="G18" s="167" t="inlineStr">
        <is>
          <t>21069090</t>
        </is>
      </c>
      <c r="H18" s="167" t="n"/>
      <c r="I18" s="167" t="inlineStr">
        <is>
          <t>Alimentos - 5102</t>
        </is>
      </c>
      <c r="J18" s="167" t="inlineStr">
        <is>
          <t>Carinás</t>
        </is>
      </c>
      <c r="K18" s="167" t="inlineStr">
        <is>
          <t>Sim</t>
        </is>
      </c>
      <c r="L18" s="167" t="inlineStr">
        <is>
          <t>Unidades</t>
        </is>
      </c>
      <c r="M18" s="167" t="inlineStr">
        <is>
          <t>Carinás + SA</t>
        </is>
      </c>
    </row>
    <row r="19">
      <c r="A19" s="167" t="inlineStr">
        <is>
          <t>ALL INCLUSIVE</t>
        </is>
      </c>
      <c r="B19" s="167" t="n"/>
      <c r="C19" s="167" t="inlineStr">
        <is>
          <t>ALL INLCLUSIVE</t>
        </is>
      </c>
      <c r="D19" s="167" t="n">
        <v>149.99</v>
      </c>
      <c r="E19" s="167" t="n">
        <v>14999</v>
      </c>
      <c r="F19" s="167" t="inlineStr">
        <is>
          <t>1010102</t>
        </is>
      </c>
      <c r="G19" s="167" t="inlineStr">
        <is>
          <t>21069090</t>
        </is>
      </c>
      <c r="H19" s="167" t="n"/>
      <c r="I19" s="167" t="inlineStr">
        <is>
          <t>Bebidas - 5405 - 1</t>
        </is>
      </c>
      <c r="J19" s="167" t="inlineStr">
        <is>
          <t>Carinás</t>
        </is>
      </c>
      <c r="K19" s="167" t="inlineStr">
        <is>
          <t>Sim</t>
        </is>
      </c>
      <c r="L19" s="167" t="inlineStr">
        <is>
          <t>Unidades</t>
        </is>
      </c>
      <c r="M19" s="167" t="inlineStr">
        <is>
          <t>Carinás + SA</t>
        </is>
      </c>
    </row>
    <row r="20">
      <c r="A20" s="167" t="inlineStr">
        <is>
          <t>ALL INCLUSIVE KIDS</t>
        </is>
      </c>
      <c r="B20" s="167" t="n"/>
      <c r="C20" s="167" t="n"/>
      <c r="D20" s="167" t="n">
        <v>69.90000000000001</v>
      </c>
      <c r="E20" s="167" t="n">
        <v>6990</v>
      </c>
      <c r="F20" s="167" t="inlineStr">
        <is>
          <t>1010103</t>
        </is>
      </c>
      <c r="G20" s="167" t="inlineStr">
        <is>
          <t>21069090</t>
        </is>
      </c>
      <c r="H20" s="167" t="n"/>
      <c r="I20" s="167" t="inlineStr">
        <is>
          <t>Alimentos - 5102</t>
        </is>
      </c>
      <c r="J20" s="167" t="inlineStr">
        <is>
          <t>Carinás</t>
        </is>
      </c>
      <c r="K20" s="167" t="inlineStr">
        <is>
          <t>Sim</t>
        </is>
      </c>
      <c r="L20" s="167" t="inlineStr">
        <is>
          <t>Unidades</t>
        </is>
      </c>
      <c r="M20" s="167" t="inlineStr">
        <is>
          <t>Carinás + SA</t>
        </is>
      </c>
    </row>
    <row r="21">
      <c r="A21" s="167" t="inlineStr">
        <is>
          <t>ALL INCLUSIVE PROMOÇÂO</t>
        </is>
      </c>
      <c r="B21" s="167" t="n"/>
      <c r="C21" s="167" t="n"/>
      <c r="D21" s="167" t="n">
        <v>149.99</v>
      </c>
      <c r="E21" s="167" t="n">
        <v>14999</v>
      </c>
      <c r="F21" s="167" t="inlineStr">
        <is>
          <t>78989056877183</t>
        </is>
      </c>
      <c r="G21" s="167" t="inlineStr">
        <is>
          <t>21069090</t>
        </is>
      </c>
      <c r="H21" s="167" t="n"/>
      <c r="I21" s="167" t="n"/>
      <c r="J21" s="167" t="n"/>
      <c r="K21" s="167" t="inlineStr">
        <is>
          <t>Não</t>
        </is>
      </c>
      <c r="L21" s="167" t="inlineStr">
        <is>
          <t>Unidades</t>
        </is>
      </c>
      <c r="M21" s="167" t="inlineStr">
        <is>
          <t>Carinás</t>
        </is>
      </c>
    </row>
    <row r="22">
      <c r="A22" s="167" t="inlineStr">
        <is>
          <t>ALMOÇO EXECUTIVO</t>
        </is>
      </c>
      <c r="B22" s="167" t="n"/>
      <c r="C22" s="167" t="inlineStr">
        <is>
          <t xml:space="preserve"> ALMOÇO EXECUTIVO</t>
        </is>
      </c>
      <c r="D22" s="167" t="n">
        <v>39.9</v>
      </c>
      <c r="E22" s="167" t="n">
        <v>3990</v>
      </c>
      <c r="F22" s="167" t="inlineStr">
        <is>
          <t>789890568772101</t>
        </is>
      </c>
      <c r="G22" s="167" t="inlineStr">
        <is>
          <t>21069090</t>
        </is>
      </c>
      <c r="H22" s="167" t="inlineStr">
        <is>
          <t>1709700</t>
        </is>
      </c>
      <c r="I22" s="167" t="inlineStr">
        <is>
          <t>Alimentos - 5102</t>
        </is>
      </c>
      <c r="J22" s="167" t="inlineStr">
        <is>
          <t>Carinás</t>
        </is>
      </c>
      <c r="K22" s="167" t="inlineStr">
        <is>
          <t>Não</t>
        </is>
      </c>
      <c r="L22" s="167" t="inlineStr">
        <is>
          <t>Unidades</t>
        </is>
      </c>
      <c r="M22" s="167" t="inlineStr">
        <is>
          <t>Carinás</t>
        </is>
      </c>
    </row>
    <row r="23">
      <c r="A23" s="167" t="inlineStr">
        <is>
          <t>ANEIS DE CEBOLA PRÉ-FORMADA</t>
        </is>
      </c>
      <c r="B23" s="167" t="n"/>
      <c r="C23" s="167" t="inlineStr">
        <is>
          <t>ACOMPANHAMENTOS</t>
        </is>
      </c>
      <c r="D23" s="167" t="n">
        <v>17.99</v>
      </c>
      <c r="E23" s="167" t="n">
        <v>1799</v>
      </c>
      <c r="F23" s="167" t="inlineStr">
        <is>
          <t>78989056877113</t>
        </is>
      </c>
      <c r="G23" s="167" t="inlineStr">
        <is>
          <t>20079990</t>
        </is>
      </c>
      <c r="H23" s="167" t="n"/>
      <c r="I23" s="167" t="inlineStr">
        <is>
          <t>Alimentos - 5102</t>
        </is>
      </c>
      <c r="J23" s="167" t="inlineStr">
        <is>
          <t>Carinás</t>
        </is>
      </c>
      <c r="K23" s="167" t="inlineStr">
        <is>
          <t>Sim</t>
        </is>
      </c>
      <c r="L23" s="167" t="inlineStr">
        <is>
          <t>Unidades</t>
        </is>
      </c>
      <c r="M23" s="167" t="inlineStr">
        <is>
          <t>Carinás + SA</t>
        </is>
      </c>
    </row>
    <row r="24">
      <c r="A24" s="167" t="inlineStr">
        <is>
          <t>ANIVERSARIO KIDS INTEIRA</t>
        </is>
      </c>
      <c r="B24" s="167" t="n"/>
      <c r="C24" s="167" t="inlineStr">
        <is>
          <t>PROMOÇÃO</t>
        </is>
      </c>
      <c r="D24" s="167" t="n">
        <v>129.9</v>
      </c>
      <c r="E24" s="167" t="n">
        <v>12990</v>
      </c>
      <c r="F24" s="167" t="inlineStr">
        <is>
          <t>78989056877171</t>
        </is>
      </c>
      <c r="G24" s="167" t="inlineStr">
        <is>
          <t>21069090</t>
        </is>
      </c>
      <c r="H24" s="167" t="n"/>
      <c r="I24" s="167" t="inlineStr">
        <is>
          <t>Alimentos - 5102</t>
        </is>
      </c>
      <c r="J24" s="167" t="inlineStr">
        <is>
          <t>Carinás</t>
        </is>
      </c>
      <c r="K24" s="167" t="inlineStr">
        <is>
          <t>Não</t>
        </is>
      </c>
      <c r="L24" s="167" t="inlineStr">
        <is>
          <t>Unidades</t>
        </is>
      </c>
      <c r="M24" s="167" t="inlineStr">
        <is>
          <t>Carinás + SA</t>
        </is>
      </c>
    </row>
    <row r="25">
      <c r="A25" s="167" t="inlineStr">
        <is>
          <t>ANIVERSARIO KIDS MEIA</t>
        </is>
      </c>
      <c r="B25" s="167" t="n"/>
      <c r="C25" s="167" t="inlineStr">
        <is>
          <t>PROMOÇÃO</t>
        </is>
      </c>
      <c r="D25" s="167" t="n">
        <v>74.90000000000001</v>
      </c>
      <c r="E25" s="167" t="n">
        <v>7490</v>
      </c>
      <c r="F25" s="167" t="inlineStr">
        <is>
          <t>78989056877172</t>
        </is>
      </c>
      <c r="G25" s="167" t="inlineStr">
        <is>
          <t>21069090</t>
        </is>
      </c>
      <c r="H25" s="167" t="n"/>
      <c r="I25" s="167" t="inlineStr">
        <is>
          <t>Alimentos - 5102</t>
        </is>
      </c>
      <c r="J25" s="167" t="inlineStr">
        <is>
          <t>Carinás</t>
        </is>
      </c>
      <c r="K25" s="167" t="inlineStr">
        <is>
          <t>Não</t>
        </is>
      </c>
      <c r="L25" s="167" t="inlineStr">
        <is>
          <t>Unidades</t>
        </is>
      </c>
      <c r="M25" s="167" t="inlineStr">
        <is>
          <t>Carinás + SA</t>
        </is>
      </c>
    </row>
    <row r="26">
      <c r="A26" s="167" t="inlineStr">
        <is>
          <t>ANTARES CARMENERE 750 ml</t>
        </is>
      </c>
      <c r="B26" s="167" t="n"/>
      <c r="C26" s="167" t="n"/>
      <c r="D26" s="167" t="n">
        <v>118.99</v>
      </c>
      <c r="E26" s="167" t="n">
        <v>11899</v>
      </c>
      <c r="F26" s="167" t="inlineStr">
        <is>
          <t>300066</t>
        </is>
      </c>
      <c r="G26" s="167" t="inlineStr">
        <is>
          <t>22042100</t>
        </is>
      </c>
      <c r="H26" s="167" t="n"/>
      <c r="I26" s="167" t="inlineStr">
        <is>
          <t>Bebidas - 5405 - 1</t>
        </is>
      </c>
      <c r="J26" s="167" t="inlineStr">
        <is>
          <t>Carinás</t>
        </is>
      </c>
      <c r="K26" s="167" t="inlineStr">
        <is>
          <t>Sim</t>
        </is>
      </c>
      <c r="L26" s="167" t="inlineStr">
        <is>
          <t>Unidades</t>
        </is>
      </c>
      <c r="M26" s="167" t="inlineStr">
        <is>
          <t>Carinás + SA</t>
        </is>
      </c>
    </row>
    <row r="27">
      <c r="A27" s="167" t="inlineStr">
        <is>
          <t>ANÉIS DE CEBOLA</t>
        </is>
      </c>
      <c r="B27" s="167" t="inlineStr">
        <is>
          <t>Porcao</t>
        </is>
      </c>
      <c r="C27" s="167" t="inlineStr">
        <is>
          <t>ACOMPANHAMENTOS</t>
        </is>
      </c>
      <c r="D27" s="167" t="n">
        <v>9.9</v>
      </c>
      <c r="E27" s="167" t="n">
        <v>990</v>
      </c>
      <c r="F27" s="167" t="inlineStr">
        <is>
          <t>78989056877329</t>
        </is>
      </c>
      <c r="G27" s="167" t="inlineStr">
        <is>
          <t>20079990</t>
        </is>
      </c>
      <c r="H27" s="167" t="n"/>
      <c r="I27" s="167" t="inlineStr">
        <is>
          <t>Alimentos - 5102</t>
        </is>
      </c>
      <c r="J27" s="167" t="inlineStr">
        <is>
          <t>Carinás</t>
        </is>
      </c>
      <c r="K27" s="167" t="inlineStr">
        <is>
          <t>Não</t>
        </is>
      </c>
      <c r="L27" s="167" t="inlineStr">
        <is>
          <t>Unidades</t>
        </is>
      </c>
      <c r="M27" s="167" t="inlineStr">
        <is>
          <t>Delivery</t>
        </is>
      </c>
    </row>
    <row r="28">
      <c r="A28" s="167" t="inlineStr">
        <is>
          <t>ANÉIS DE CEBOLA (EXECUTIVO)</t>
        </is>
      </c>
      <c r="B28" s="167" t="n"/>
      <c r="C28" s="167" t="inlineStr">
        <is>
          <t xml:space="preserve"> ALMOÇO EXECUTIVO</t>
        </is>
      </c>
      <c r="D28" s="167" t="n">
        <v>4.99</v>
      </c>
      <c r="E28" s="167" t="n">
        <v>499</v>
      </c>
      <c r="F28" s="167" t="inlineStr">
        <is>
          <t>789890568772102</t>
        </is>
      </c>
      <c r="G28" s="167" t="inlineStr">
        <is>
          <t>21069090</t>
        </is>
      </c>
      <c r="H28" s="167" t="inlineStr">
        <is>
          <t>1709700</t>
        </is>
      </c>
      <c r="I28" s="167" t="inlineStr">
        <is>
          <t>Alimentos - 5102</t>
        </is>
      </c>
      <c r="J28" s="167" t="inlineStr">
        <is>
          <t>Carinás</t>
        </is>
      </c>
      <c r="K28" s="167" t="inlineStr">
        <is>
          <t>Sim</t>
        </is>
      </c>
      <c r="L28" s="167" t="inlineStr">
        <is>
          <t>Unidades</t>
        </is>
      </c>
      <c r="M28" s="167" t="inlineStr">
        <is>
          <t>Carinás</t>
        </is>
      </c>
    </row>
    <row r="29">
      <c r="A29" s="167" t="inlineStr">
        <is>
          <t>APEROL SPRITZ</t>
        </is>
      </c>
      <c r="B29" s="167" t="n"/>
      <c r="C29" s="167" t="n"/>
      <c r="D29" s="167" t="n">
        <v>39.99</v>
      </c>
      <c r="E29" s="167" t="n">
        <v>3999</v>
      </c>
      <c r="F29" s="167" t="inlineStr">
        <is>
          <t>51565</t>
        </is>
      </c>
      <c r="G29" s="167" t="inlineStr">
        <is>
          <t>22084000</t>
        </is>
      </c>
      <c r="H29" s="167" t="n"/>
      <c r="I29" s="167" t="inlineStr">
        <is>
          <t>Alimentos - 5102</t>
        </is>
      </c>
      <c r="J29" s="167" t="inlineStr">
        <is>
          <t>Carinás</t>
        </is>
      </c>
      <c r="K29" s="167" t="inlineStr">
        <is>
          <t>Sim</t>
        </is>
      </c>
      <c r="L29" s="167" t="inlineStr">
        <is>
          <t>Unidades</t>
        </is>
      </c>
      <c r="M29" s="167" t="inlineStr">
        <is>
          <t>Carinás + SA</t>
        </is>
      </c>
    </row>
    <row r="30">
      <c r="A30" s="167" t="inlineStr">
        <is>
          <t>ARROZ</t>
        </is>
      </c>
      <c r="B30" s="167" t="n"/>
      <c r="C30" s="167" t="n"/>
      <c r="D30" s="167" t="n">
        <v>9.99</v>
      </c>
      <c r="E30" s="167" t="n">
        <v>999</v>
      </c>
      <c r="F30" s="167" t="inlineStr">
        <is>
          <t>800003</t>
        </is>
      </c>
      <c r="G30" s="167" t="inlineStr">
        <is>
          <t>21069090</t>
        </is>
      </c>
      <c r="H30" s="167" t="n"/>
      <c r="I30" s="167" t="inlineStr">
        <is>
          <t>Alimentos - 5102</t>
        </is>
      </c>
      <c r="J30" s="167" t="inlineStr">
        <is>
          <t>Carinás</t>
        </is>
      </c>
      <c r="K30" s="167" t="inlineStr">
        <is>
          <t>Sim</t>
        </is>
      </c>
      <c r="L30" s="167" t="inlineStr">
        <is>
          <t>Unidades</t>
        </is>
      </c>
      <c r="M30" s="167" t="inlineStr">
        <is>
          <t>Carinás + SA + Delivery</t>
        </is>
      </c>
    </row>
    <row r="31">
      <c r="A31" s="167" t="inlineStr">
        <is>
          <t>ARROZ BIRO BIRO</t>
        </is>
      </c>
      <c r="B31" s="167" t="n"/>
      <c r="C31" s="167" t="n"/>
      <c r="D31" s="167" t="n">
        <v>15.99</v>
      </c>
      <c r="E31" s="167" t="n">
        <v>1599</v>
      </c>
      <c r="F31" s="167" t="inlineStr">
        <is>
          <t>800006</t>
        </is>
      </c>
      <c r="G31" s="167" t="inlineStr">
        <is>
          <t>21069090</t>
        </is>
      </c>
      <c r="H31" s="167" t="n"/>
      <c r="I31" s="167" t="inlineStr">
        <is>
          <t>Alimentos - 5102</t>
        </is>
      </c>
      <c r="J31" s="167" t="inlineStr">
        <is>
          <t>Carinás</t>
        </is>
      </c>
      <c r="K31" s="167" t="inlineStr">
        <is>
          <t>Sim</t>
        </is>
      </c>
      <c r="L31" s="167" t="inlineStr">
        <is>
          <t>Unidades</t>
        </is>
      </c>
      <c r="M31" s="167" t="inlineStr">
        <is>
          <t>Carinás + SA + Delivery</t>
        </is>
      </c>
    </row>
    <row r="32">
      <c r="A32" s="167" t="inlineStr">
        <is>
          <t>ARROZ BIRO BIRO (EXECUTIVO)</t>
        </is>
      </c>
      <c r="B32" s="167" t="n"/>
      <c r="C32" s="167" t="inlineStr">
        <is>
          <t xml:space="preserve"> ALMOÇO EXECUTIVO</t>
        </is>
      </c>
      <c r="D32" s="167" t="n">
        <v>4.99</v>
      </c>
      <c r="E32" s="167" t="n">
        <v>499</v>
      </c>
      <c r="F32" s="167" t="inlineStr">
        <is>
          <t>789890568772108</t>
        </is>
      </c>
      <c r="G32" s="167" t="inlineStr">
        <is>
          <t>21069090</t>
        </is>
      </c>
      <c r="H32" s="167" t="inlineStr">
        <is>
          <t>1709700</t>
        </is>
      </c>
      <c r="I32" s="167" t="inlineStr">
        <is>
          <t>Alimentos - 5102</t>
        </is>
      </c>
      <c r="J32" s="167" t="inlineStr">
        <is>
          <t>Carinás</t>
        </is>
      </c>
      <c r="K32" s="167" t="inlineStr">
        <is>
          <t>Sim</t>
        </is>
      </c>
      <c r="L32" s="167" t="inlineStr">
        <is>
          <t>Unidades</t>
        </is>
      </c>
      <c r="M32" s="167" t="inlineStr">
        <is>
          <t>Carinás</t>
        </is>
      </c>
    </row>
    <row r="33">
      <c r="A33" s="167" t="inlineStr">
        <is>
          <t>ARROZ DOCE</t>
        </is>
      </c>
      <c r="B33" s="167" t="n"/>
      <c r="C33" s="167" t="inlineStr">
        <is>
          <t>SOBREMESAS</t>
        </is>
      </c>
      <c r="D33" s="167" t="n">
        <v>10</v>
      </c>
      <c r="E33" s="167" t="n">
        <v>1000</v>
      </c>
      <c r="F33" s="167" t="inlineStr">
        <is>
          <t>78989056877167</t>
        </is>
      </c>
      <c r="G33" s="167" t="inlineStr">
        <is>
          <t>21069090</t>
        </is>
      </c>
      <c r="H33" s="167" t="n"/>
      <c r="I33" s="167" t="inlineStr">
        <is>
          <t>Alimentos - 5102</t>
        </is>
      </c>
      <c r="J33" s="167" t="inlineStr">
        <is>
          <t>Carinás</t>
        </is>
      </c>
      <c r="K33" s="167" t="inlineStr">
        <is>
          <t>Não</t>
        </is>
      </c>
      <c r="L33" s="167" t="inlineStr">
        <is>
          <t>Unidades</t>
        </is>
      </c>
      <c r="M33" s="167" t="inlineStr">
        <is>
          <t>Carinás + SA</t>
        </is>
      </c>
    </row>
    <row r="34">
      <c r="A34" s="167" t="inlineStr">
        <is>
          <t>BALDE BUDWEISER LONG</t>
        </is>
      </c>
      <c r="B34" s="167" t="n"/>
      <c r="C34" s="167" t="n"/>
      <c r="D34" s="167" t="n">
        <v>83.40000000000001</v>
      </c>
      <c r="E34" s="167" t="n">
        <v>8340</v>
      </c>
      <c r="F34" s="167" t="inlineStr">
        <is>
          <t>78989056877318</t>
        </is>
      </c>
      <c r="G34" s="167" t="inlineStr">
        <is>
          <t>22030000</t>
        </is>
      </c>
      <c r="H34" s="167" t="n"/>
      <c r="I34" s="167" t="inlineStr">
        <is>
          <t>Bebidas - 5405 - 1</t>
        </is>
      </c>
      <c r="J34" s="167" t="inlineStr">
        <is>
          <t>Santo André</t>
        </is>
      </c>
      <c r="K34" s="167" t="n"/>
      <c r="L34" s="167" t="n"/>
      <c r="M34" s="167" t="inlineStr">
        <is>
          <t>SA</t>
        </is>
      </c>
    </row>
    <row r="35">
      <c r="A35" s="167" t="inlineStr">
        <is>
          <t>BALDE BUDWEISER ZERO LONG</t>
        </is>
      </c>
      <c r="B35" s="167" t="n"/>
      <c r="C35" s="167" t="n"/>
      <c r="D35" s="167" t="n">
        <v>89.40000000000001</v>
      </c>
      <c r="E35" s="167" t="n">
        <v>8940</v>
      </c>
      <c r="F35" s="167" t="inlineStr">
        <is>
          <t>78989056877319</t>
        </is>
      </c>
      <c r="G35" s="167" t="inlineStr">
        <is>
          <t>22030000</t>
        </is>
      </c>
      <c r="H35" s="167" t="n"/>
      <c r="I35" s="167" t="inlineStr">
        <is>
          <t>Bebidas - 5405 - 1</t>
        </is>
      </c>
      <c r="J35" s="167" t="inlineStr">
        <is>
          <t>Santo André</t>
        </is>
      </c>
      <c r="K35" s="167" t="n"/>
      <c r="L35" s="167" t="n"/>
      <c r="M35" s="167" t="inlineStr">
        <is>
          <t>SA</t>
        </is>
      </c>
    </row>
    <row r="36">
      <c r="A36" s="167" t="inlineStr">
        <is>
          <t>BALDE CORONA ZERO LONG</t>
        </is>
      </c>
      <c r="B36" s="167" t="n"/>
      <c r="C36" s="167" t="n"/>
      <c r="D36" s="167" t="n">
        <v>95.40000000000001</v>
      </c>
      <c r="E36" s="167" t="n">
        <v>9540</v>
      </c>
      <c r="F36" s="167" t="inlineStr">
        <is>
          <t>78989056877320</t>
        </is>
      </c>
      <c r="G36" s="167" t="inlineStr">
        <is>
          <t>22030000</t>
        </is>
      </c>
      <c r="H36" s="167" t="n"/>
      <c r="I36" s="167" t="inlineStr">
        <is>
          <t>Bebidas - 5405 - 1</t>
        </is>
      </c>
      <c r="J36" s="167" t="inlineStr">
        <is>
          <t>Santo André</t>
        </is>
      </c>
      <c r="K36" s="167" t="n"/>
      <c r="L36" s="167" t="n"/>
      <c r="M36" s="167" t="inlineStr">
        <is>
          <t>SA</t>
        </is>
      </c>
    </row>
    <row r="37">
      <c r="A37" s="167" t="inlineStr">
        <is>
          <t>BALDE DE BECKS 600ML</t>
        </is>
      </c>
      <c r="B37" s="167" t="n"/>
      <c r="C37" s="167" t="n"/>
      <c r="D37" s="167" t="n">
        <v>87.59999999999999</v>
      </c>
      <c r="E37" s="167" t="n">
        <v>8760</v>
      </c>
      <c r="F37" s="167" t="inlineStr">
        <is>
          <t>78989056877300</t>
        </is>
      </c>
      <c r="G37" s="167" t="inlineStr">
        <is>
          <t>22030000</t>
        </is>
      </c>
      <c r="H37" s="167" t="n"/>
      <c r="I37" s="167" t="inlineStr">
        <is>
          <t>Bebidas - 5405 - 1</t>
        </is>
      </c>
      <c r="J37" s="167" t="inlineStr">
        <is>
          <t>Carinás</t>
        </is>
      </c>
      <c r="K37" s="167" t="inlineStr">
        <is>
          <t>Não</t>
        </is>
      </c>
      <c r="L37" s="167" t="inlineStr">
        <is>
          <t>Unidades</t>
        </is>
      </c>
      <c r="M37" s="167" t="inlineStr">
        <is>
          <t>Carinás + SA</t>
        </is>
      </c>
    </row>
    <row r="38">
      <c r="A38" s="167" t="inlineStr">
        <is>
          <t>BALDE DE BECKS LONG</t>
        </is>
      </c>
      <c r="B38" s="167" t="n"/>
      <c r="C38" s="167" t="n"/>
      <c r="D38" s="167" t="n">
        <v>95.40000000000001</v>
      </c>
      <c r="E38" s="167" t="n">
        <v>9540</v>
      </c>
      <c r="F38" s="167" t="inlineStr">
        <is>
          <t>78989056877306</t>
        </is>
      </c>
      <c r="G38" s="167" t="inlineStr">
        <is>
          <t>22030000</t>
        </is>
      </c>
      <c r="H38" s="167" t="n"/>
      <c r="I38" s="167" t="inlineStr">
        <is>
          <t>Bebidas - 5405 - 1</t>
        </is>
      </c>
      <c r="J38" s="167" t="inlineStr">
        <is>
          <t>Carinás</t>
        </is>
      </c>
      <c r="K38" s="167" t="inlineStr">
        <is>
          <t>Não</t>
        </is>
      </c>
      <c r="L38" s="167" t="inlineStr">
        <is>
          <t>Unidades</t>
        </is>
      </c>
      <c r="M38" s="167" t="inlineStr">
        <is>
          <t>Carinás + SA</t>
        </is>
      </c>
    </row>
    <row r="39">
      <c r="A39" s="167" t="inlineStr">
        <is>
          <t>BALDE DE CORONA 600ML</t>
        </is>
      </c>
      <c r="B39" s="167" t="n"/>
      <c r="C39" s="167" t="n"/>
      <c r="D39" s="167" t="n">
        <v>79.59999999999999</v>
      </c>
      <c r="E39" s="167" t="n">
        <v>7960</v>
      </c>
      <c r="F39" s="167" t="inlineStr">
        <is>
          <t>78989056877304</t>
        </is>
      </c>
      <c r="G39" s="167" t="inlineStr">
        <is>
          <t>22030000</t>
        </is>
      </c>
      <c r="H39" s="167" t="n"/>
      <c r="I39" s="167" t="inlineStr">
        <is>
          <t>Bebidas - 5405 - 1</t>
        </is>
      </c>
      <c r="J39" s="167" t="inlineStr">
        <is>
          <t>Carinás</t>
        </is>
      </c>
      <c r="K39" s="167" t="inlineStr">
        <is>
          <t>Não</t>
        </is>
      </c>
      <c r="L39" s="167" t="inlineStr">
        <is>
          <t>Unidades</t>
        </is>
      </c>
      <c r="M39" s="167" t="inlineStr">
        <is>
          <t>Carinás + SA</t>
        </is>
      </c>
    </row>
    <row r="40">
      <c r="A40" s="167" t="inlineStr">
        <is>
          <t>BALDE DE CORONA LONG</t>
        </is>
      </c>
      <c r="B40" s="167" t="n"/>
      <c r="C40" s="167" t="n"/>
      <c r="D40" s="167" t="n">
        <v>95.40000000000001</v>
      </c>
      <c r="E40" s="167" t="n">
        <v>9540</v>
      </c>
      <c r="F40" s="167" t="inlineStr">
        <is>
          <t>78989056877308</t>
        </is>
      </c>
      <c r="G40" s="167" t="inlineStr">
        <is>
          <t>22030000</t>
        </is>
      </c>
      <c r="H40" s="167" t="n"/>
      <c r="I40" s="167" t="inlineStr">
        <is>
          <t>Bebidas - 5405 - 1</t>
        </is>
      </c>
      <c r="J40" s="167" t="inlineStr">
        <is>
          <t>Carinás</t>
        </is>
      </c>
      <c r="K40" s="167" t="inlineStr">
        <is>
          <t>Não</t>
        </is>
      </c>
      <c r="L40" s="167" t="inlineStr">
        <is>
          <t>Unidades</t>
        </is>
      </c>
      <c r="M40" s="167" t="inlineStr">
        <is>
          <t>Carinás + SA</t>
        </is>
      </c>
    </row>
    <row r="41">
      <c r="A41" s="167" t="inlineStr">
        <is>
          <t>BALDE DE ORIGINAL 600ML</t>
        </is>
      </c>
      <c r="B41" s="167" t="n"/>
      <c r="C41" s="167" t="n"/>
      <c r="D41" s="167" t="n">
        <v>79.59999999999999</v>
      </c>
      <c r="E41" s="167" t="n">
        <v>7960</v>
      </c>
      <c r="F41" s="167" t="inlineStr">
        <is>
          <t>78989056877301</t>
        </is>
      </c>
      <c r="G41" s="167" t="inlineStr">
        <is>
          <t>22030000</t>
        </is>
      </c>
      <c r="H41" s="167" t="n"/>
      <c r="I41" s="167" t="inlineStr">
        <is>
          <t>Bebidas - 5405 - 1</t>
        </is>
      </c>
      <c r="J41" s="167" t="inlineStr">
        <is>
          <t>Carinás</t>
        </is>
      </c>
      <c r="K41" s="167" t="inlineStr">
        <is>
          <t>Não</t>
        </is>
      </c>
      <c r="L41" s="167" t="inlineStr">
        <is>
          <t>Unidades</t>
        </is>
      </c>
      <c r="M41" s="167" t="inlineStr">
        <is>
          <t>Carinás + SA</t>
        </is>
      </c>
    </row>
    <row r="42">
      <c r="A42" s="167" t="inlineStr">
        <is>
          <t>Balde de Original Lata</t>
        </is>
      </c>
      <c r="B42" s="167" t="n"/>
      <c r="C42" s="167" t="n"/>
      <c r="D42" s="167" t="n">
        <v>72</v>
      </c>
      <c r="E42" s="167" t="n">
        <v>7200</v>
      </c>
      <c r="F42" s="167" t="inlineStr">
        <is>
          <t>78989056877354</t>
        </is>
      </c>
      <c r="G42" s="167" t="inlineStr">
        <is>
          <t>22030000</t>
        </is>
      </c>
      <c r="H42" s="167" t="n"/>
      <c r="I42" s="167" t="inlineStr">
        <is>
          <t>Bebidas - 5405 - 1</t>
        </is>
      </c>
      <c r="J42" s="167" t="inlineStr">
        <is>
          <t>Carinás</t>
        </is>
      </c>
      <c r="K42" s="167" t="inlineStr">
        <is>
          <t>Sim</t>
        </is>
      </c>
      <c r="L42" s="167" t="inlineStr">
        <is>
          <t>Unidades</t>
        </is>
      </c>
      <c r="M42" s="167" t="inlineStr">
        <is>
          <t>Carinás</t>
        </is>
      </c>
    </row>
    <row r="43">
      <c r="A43" s="167" t="inlineStr">
        <is>
          <t>BALDE DE SPATEN 600ML</t>
        </is>
      </c>
      <c r="B43" s="167" t="n"/>
      <c r="C43" s="167" t="n"/>
      <c r="D43" s="167" t="n">
        <v>79.59999999999999</v>
      </c>
      <c r="E43" s="167" t="n">
        <v>7960</v>
      </c>
      <c r="F43" s="167" t="inlineStr">
        <is>
          <t>78989056877302</t>
        </is>
      </c>
      <c r="G43" s="167" t="inlineStr">
        <is>
          <t>22030000</t>
        </is>
      </c>
      <c r="H43" s="167" t="n"/>
      <c r="I43" s="167" t="inlineStr">
        <is>
          <t>Bebidas - 5405 - 1</t>
        </is>
      </c>
      <c r="J43" s="167" t="inlineStr">
        <is>
          <t>Carinás</t>
        </is>
      </c>
      <c r="K43" s="167" t="inlineStr">
        <is>
          <t>Não</t>
        </is>
      </c>
      <c r="L43" s="167" t="inlineStr">
        <is>
          <t>Unidades</t>
        </is>
      </c>
      <c r="M43" s="167" t="inlineStr">
        <is>
          <t>Carinás + SA</t>
        </is>
      </c>
    </row>
    <row r="44">
      <c r="A44" s="167" t="inlineStr">
        <is>
          <t>Balde de Spaten Lata</t>
        </is>
      </c>
      <c r="B44" s="167" t="n"/>
      <c r="C44" s="167" t="n"/>
      <c r="D44" s="167" t="n">
        <v>72</v>
      </c>
      <c r="E44" s="167" t="n">
        <v>7200</v>
      </c>
      <c r="F44" s="167" t="inlineStr">
        <is>
          <t>78989056877353</t>
        </is>
      </c>
      <c r="G44" s="167" t="inlineStr">
        <is>
          <t>22030000</t>
        </is>
      </c>
      <c r="H44" s="167" t="n"/>
      <c r="I44" s="167" t="inlineStr">
        <is>
          <t>Bebidas - 5405 - 1</t>
        </is>
      </c>
      <c r="J44" s="167" t="inlineStr">
        <is>
          <t>Carinás</t>
        </is>
      </c>
      <c r="K44" s="167" t="inlineStr">
        <is>
          <t>Sim</t>
        </is>
      </c>
      <c r="L44" s="167" t="inlineStr">
        <is>
          <t>Unidades</t>
        </is>
      </c>
      <c r="M44" s="167" t="inlineStr">
        <is>
          <t>Carinás</t>
        </is>
      </c>
    </row>
    <row r="45">
      <c r="A45" s="167" t="inlineStr">
        <is>
          <t>BALDE DE SPATEN LONG</t>
        </is>
      </c>
      <c r="B45" s="167" t="n"/>
      <c r="C45" s="167" t="n"/>
      <c r="D45" s="167" t="n">
        <v>89.40000000000001</v>
      </c>
      <c r="E45" s="167" t="n">
        <v>8940</v>
      </c>
      <c r="F45" s="167" t="inlineStr">
        <is>
          <t>78989056877307</t>
        </is>
      </c>
      <c r="G45" s="167" t="inlineStr">
        <is>
          <t>22030000</t>
        </is>
      </c>
      <c r="H45" s="167" t="n"/>
      <c r="I45" s="167" t="inlineStr">
        <is>
          <t>Bebidas - 5405 - 1</t>
        </is>
      </c>
      <c r="J45" s="167" t="inlineStr">
        <is>
          <t>Carinás</t>
        </is>
      </c>
      <c r="K45" s="167" t="inlineStr">
        <is>
          <t>Não</t>
        </is>
      </c>
      <c r="L45" s="167" t="inlineStr">
        <is>
          <t>Unidades</t>
        </is>
      </c>
      <c r="M45" s="167" t="inlineStr">
        <is>
          <t>Carinás + SA</t>
        </is>
      </c>
    </row>
    <row r="46">
      <c r="A46" s="167" t="inlineStr">
        <is>
          <t>BALDE DE STELLA 600ML</t>
        </is>
      </c>
      <c r="B46" s="167" t="n"/>
      <c r="C46" s="167" t="n"/>
      <c r="D46" s="167" t="n">
        <v>83.59999999999999</v>
      </c>
      <c r="E46" s="167" t="n">
        <v>8360</v>
      </c>
      <c r="F46" s="167" t="inlineStr">
        <is>
          <t>78989056877303</t>
        </is>
      </c>
      <c r="G46" s="167" t="inlineStr">
        <is>
          <t>22030000</t>
        </is>
      </c>
      <c r="H46" s="167" t="n"/>
      <c r="I46" s="167" t="inlineStr">
        <is>
          <t>Bebidas - 5405 - 1</t>
        </is>
      </c>
      <c r="J46" s="167" t="inlineStr">
        <is>
          <t>Carinás</t>
        </is>
      </c>
      <c r="K46" s="167" t="inlineStr">
        <is>
          <t>Não</t>
        </is>
      </c>
      <c r="L46" s="167" t="inlineStr">
        <is>
          <t>Unidades</t>
        </is>
      </c>
      <c r="M46" s="167" t="inlineStr">
        <is>
          <t>Carinás + SA</t>
        </is>
      </c>
    </row>
    <row r="47">
      <c r="A47" s="167" t="inlineStr">
        <is>
          <t>BALDE DE STELLA LONG</t>
        </is>
      </c>
      <c r="B47" s="167" t="n"/>
      <c r="C47" s="167" t="n"/>
      <c r="D47" s="167" t="n">
        <v>89.40000000000001</v>
      </c>
      <c r="E47" s="167" t="n">
        <v>8940</v>
      </c>
      <c r="F47" s="167" t="inlineStr">
        <is>
          <t>78989056877305</t>
        </is>
      </c>
      <c r="G47" s="167" t="inlineStr">
        <is>
          <t>22030000</t>
        </is>
      </c>
      <c r="H47" s="167" t="n"/>
      <c r="I47" s="167" t="inlineStr">
        <is>
          <t>Bebidas - 5405 - 1</t>
        </is>
      </c>
      <c r="J47" s="167" t="inlineStr">
        <is>
          <t>Carinás</t>
        </is>
      </c>
      <c r="K47" s="167" t="inlineStr">
        <is>
          <t>Não</t>
        </is>
      </c>
      <c r="L47" s="167" t="inlineStr">
        <is>
          <t>Unidades</t>
        </is>
      </c>
      <c r="M47" s="167" t="inlineStr">
        <is>
          <t>Carinás + SA</t>
        </is>
      </c>
    </row>
    <row r="48">
      <c r="A48" s="167" t="inlineStr">
        <is>
          <t>BALDE DE STELLA LONG SEM GLUTEN</t>
        </is>
      </c>
      <c r="B48" s="167" t="n"/>
      <c r="C48" s="167" t="n"/>
      <c r="D48" s="167" t="n">
        <v>89.40000000000001</v>
      </c>
      <c r="E48" s="167" t="n">
        <v>8940</v>
      </c>
      <c r="F48" s="167" t="inlineStr">
        <is>
          <t>78989956877327</t>
        </is>
      </c>
      <c r="G48" s="167" t="inlineStr">
        <is>
          <t>22030000</t>
        </is>
      </c>
      <c r="H48" s="167" t="n"/>
      <c r="I48" s="167" t="n"/>
      <c r="J48" s="167" t="n"/>
      <c r="K48" s="167" t="inlineStr">
        <is>
          <t>Não</t>
        </is>
      </c>
      <c r="L48" s="167" t="inlineStr">
        <is>
          <t>Unidades</t>
        </is>
      </c>
      <c r="M48" s="167" t="inlineStr">
        <is>
          <t>Carinás + SA</t>
        </is>
      </c>
    </row>
    <row r="49">
      <c r="A49" s="167" t="inlineStr">
        <is>
          <t>Balde Srminoff ice</t>
        </is>
      </c>
      <c r="B49" s="167" t="n"/>
      <c r="C49" s="167" t="inlineStr">
        <is>
          <t>A DESTILADOS</t>
        </is>
      </c>
      <c r="D49" s="167" t="n">
        <v>99</v>
      </c>
      <c r="E49" s="167" t="n">
        <v>9900</v>
      </c>
      <c r="F49" s="167" t="inlineStr">
        <is>
          <t>78989956877326</t>
        </is>
      </c>
      <c r="G49" s="167" t="inlineStr">
        <is>
          <t>22089000</t>
        </is>
      </c>
      <c r="H49" s="167" t="inlineStr">
        <is>
          <t>200700</t>
        </is>
      </c>
      <c r="I49" s="167" t="inlineStr">
        <is>
          <t>Alimentos - 5102</t>
        </is>
      </c>
      <c r="J49" s="167" t="inlineStr">
        <is>
          <t>Carinás</t>
        </is>
      </c>
      <c r="K49" s="167" t="inlineStr">
        <is>
          <t>Não</t>
        </is>
      </c>
      <c r="L49" s="167" t="inlineStr">
        <is>
          <t>Unidades</t>
        </is>
      </c>
      <c r="M49" s="167" t="inlineStr">
        <is>
          <t>Carinás + SA</t>
        </is>
      </c>
    </row>
    <row r="50">
      <c r="A50" s="167" t="inlineStr">
        <is>
          <t>BANANA C/ CHOCOLATE</t>
        </is>
      </c>
      <c r="B50" s="167" t="n"/>
      <c r="C50" s="167" t="n"/>
      <c r="D50" s="167" t="n">
        <v>18.99</v>
      </c>
      <c r="E50" s="167" t="n">
        <v>1899</v>
      </c>
      <c r="F50" s="167" t="inlineStr">
        <is>
          <t>50002</t>
        </is>
      </c>
      <c r="G50" s="167" t="inlineStr">
        <is>
          <t>21069090</t>
        </is>
      </c>
      <c r="H50" s="167" t="n"/>
      <c r="I50" s="167" t="inlineStr">
        <is>
          <t>Alimentos - 5102</t>
        </is>
      </c>
      <c r="J50" s="167" t="inlineStr">
        <is>
          <t>Carinás</t>
        </is>
      </c>
      <c r="K50" s="167" t="inlineStr">
        <is>
          <t>Sim</t>
        </is>
      </c>
      <c r="L50" s="167" t="inlineStr">
        <is>
          <t>Unidades</t>
        </is>
      </c>
      <c r="M50" s="167" t="inlineStr">
        <is>
          <t>Carinás + SA + Delivery</t>
        </is>
      </c>
    </row>
    <row r="51">
      <c r="A51" s="167" t="inlineStr">
        <is>
          <t>BARBERA LA QUERCIA</t>
        </is>
      </c>
      <c r="B51" s="167" t="n"/>
      <c r="C51" s="167" t="n"/>
      <c r="D51" s="167" t="n">
        <v>148</v>
      </c>
      <c r="E51" s="167" t="n">
        <v>14800</v>
      </c>
      <c r="F51" s="167" t="inlineStr">
        <is>
          <t>9003151</t>
        </is>
      </c>
      <c r="G51" s="167" t="inlineStr">
        <is>
          <t>22042100</t>
        </is>
      </c>
      <c r="H51" s="167" t="n"/>
      <c r="I51" s="167" t="inlineStr">
        <is>
          <t>Bebidas - 5405 - 1</t>
        </is>
      </c>
      <c r="J51" s="167" t="inlineStr">
        <is>
          <t>Carinás</t>
        </is>
      </c>
      <c r="K51" s="167" t="inlineStr">
        <is>
          <t>Sim</t>
        </is>
      </c>
      <c r="L51" s="167" t="inlineStr">
        <is>
          <t>Unidades</t>
        </is>
      </c>
      <c r="M51" s="167" t="inlineStr">
        <is>
          <t>Carinás + SA</t>
        </is>
      </c>
    </row>
    <row r="52">
      <c r="A52" s="167" t="inlineStr">
        <is>
          <t>Basil Smash</t>
        </is>
      </c>
      <c r="B52" s="167" t="n"/>
      <c r="C52" s="167" t="n"/>
      <c r="D52" s="167" t="n">
        <v>39.99</v>
      </c>
      <c r="E52" s="167" t="n">
        <v>3999</v>
      </c>
      <c r="F52" s="167" t="inlineStr">
        <is>
          <t>78989056877236</t>
        </is>
      </c>
      <c r="G52" s="167" t="inlineStr">
        <is>
          <t>22084000</t>
        </is>
      </c>
      <c r="H52" s="167" t="n"/>
      <c r="I52" s="167" t="inlineStr">
        <is>
          <t>Alimentos - 5102</t>
        </is>
      </c>
      <c r="J52" s="167" t="inlineStr">
        <is>
          <t>Carinás</t>
        </is>
      </c>
      <c r="K52" s="167" t="inlineStr">
        <is>
          <t>Não</t>
        </is>
      </c>
      <c r="L52" s="167" t="inlineStr">
        <is>
          <t>Unidades</t>
        </is>
      </c>
      <c r="M52" s="167" t="inlineStr">
        <is>
          <t>Carinás + SA</t>
        </is>
      </c>
    </row>
    <row r="53">
      <c r="A53" s="167" t="inlineStr">
        <is>
          <t>BATATA BOLINHA</t>
        </is>
      </c>
      <c r="B53" s="167" t="n"/>
      <c r="C53" s="167" t="n"/>
      <c r="D53" s="167" t="n">
        <v>10.99</v>
      </c>
      <c r="E53" s="167" t="n">
        <v>1099</v>
      </c>
      <c r="F53" s="167" t="inlineStr">
        <is>
          <t>20004</t>
        </is>
      </c>
      <c r="G53" s="167" t="inlineStr">
        <is>
          <t>20052000</t>
        </is>
      </c>
      <c r="H53" s="167" t="n"/>
      <c r="I53" s="167" t="inlineStr">
        <is>
          <t>Alimentos - 5102</t>
        </is>
      </c>
      <c r="J53" s="167" t="inlineStr">
        <is>
          <t>Carinás</t>
        </is>
      </c>
      <c r="K53" s="167" t="inlineStr">
        <is>
          <t>Sim</t>
        </is>
      </c>
      <c r="L53" s="167" t="inlineStr">
        <is>
          <t>Unidades</t>
        </is>
      </c>
      <c r="M53" s="167" t="inlineStr">
        <is>
          <t>Carinás + SA + Delivery</t>
        </is>
      </c>
    </row>
    <row r="54">
      <c r="A54" s="167" t="inlineStr">
        <is>
          <t>BATATA FRITA</t>
        </is>
      </c>
      <c r="B54" s="167" t="inlineStr">
        <is>
          <t>Porcao</t>
        </is>
      </c>
      <c r="C54" s="167" t="inlineStr">
        <is>
          <t>ACOMPANHAMENTOS</t>
        </is>
      </c>
      <c r="D54" s="167" t="n">
        <v>9.9</v>
      </c>
      <c r="E54" s="167" t="n">
        <v>990</v>
      </c>
      <c r="F54" s="167" t="inlineStr">
        <is>
          <t>78989056877332</t>
        </is>
      </c>
      <c r="G54" s="167" t="inlineStr">
        <is>
          <t>20079990</t>
        </is>
      </c>
      <c r="H54" s="167" t="n"/>
      <c r="I54" s="167" t="inlineStr">
        <is>
          <t>Alimentos - 5102</t>
        </is>
      </c>
      <c r="J54" s="167" t="inlineStr">
        <is>
          <t>Carinás</t>
        </is>
      </c>
      <c r="K54" s="167" t="inlineStr">
        <is>
          <t>Não</t>
        </is>
      </c>
      <c r="L54" s="167" t="inlineStr">
        <is>
          <t>Unidades</t>
        </is>
      </c>
      <c r="M54" s="167" t="inlineStr">
        <is>
          <t>Delivery</t>
        </is>
      </c>
    </row>
    <row r="55">
      <c r="A55" s="167" t="inlineStr">
        <is>
          <t>BATATA SMILES</t>
        </is>
      </c>
      <c r="B55" s="167" t="n"/>
      <c r="C55" s="167" t="inlineStr">
        <is>
          <t>ACOMPANHAMENTOS</t>
        </is>
      </c>
      <c r="D55" s="167" t="n">
        <v>17.99</v>
      </c>
      <c r="E55" s="167" t="n">
        <v>1799</v>
      </c>
      <c r="F55" s="167" t="inlineStr">
        <is>
          <t>78989056877110</t>
        </is>
      </c>
      <c r="G55" s="167" t="inlineStr">
        <is>
          <t>20079990</t>
        </is>
      </c>
      <c r="H55" s="167" t="n"/>
      <c r="I55" s="167" t="inlineStr">
        <is>
          <t>Alimentos - 5102</t>
        </is>
      </c>
      <c r="J55" s="167" t="inlineStr">
        <is>
          <t>Carinás</t>
        </is>
      </c>
      <c r="K55" s="167" t="inlineStr">
        <is>
          <t>Sim</t>
        </is>
      </c>
      <c r="L55" s="167" t="inlineStr">
        <is>
          <t>Unidades</t>
        </is>
      </c>
      <c r="M55" s="167" t="inlineStr">
        <is>
          <t>Carinás + SA + Delivery</t>
        </is>
      </c>
    </row>
    <row r="56">
      <c r="A56" s="167" t="inlineStr">
        <is>
          <t>BAURU FRIO</t>
        </is>
      </c>
      <c r="B56" s="167" t="n"/>
      <c r="C56" s="167" t="inlineStr">
        <is>
          <t>A CAFÉ DA MANHA</t>
        </is>
      </c>
      <c r="D56" s="167" t="n">
        <v>0</v>
      </c>
      <c r="E56" s="167" t="n">
        <v>0</v>
      </c>
      <c r="F56" s="167" t="inlineStr">
        <is>
          <t>7898905687175</t>
        </is>
      </c>
      <c r="G56" s="167" t="inlineStr">
        <is>
          <t>21069090</t>
        </is>
      </c>
      <c r="H56" s="167" t="n"/>
      <c r="I56" s="167" t="inlineStr">
        <is>
          <t>Alimentos - 5102</t>
        </is>
      </c>
      <c r="J56" s="167" t="inlineStr">
        <is>
          <t>Carinás</t>
        </is>
      </c>
      <c r="K56" s="167" t="inlineStr">
        <is>
          <t>Sim</t>
        </is>
      </c>
      <c r="L56" s="167" t="inlineStr">
        <is>
          <t>Unidades</t>
        </is>
      </c>
      <c r="M56" s="167" t="inlineStr">
        <is>
          <t>Carinás + SA</t>
        </is>
      </c>
    </row>
    <row r="57">
      <c r="A57" s="167" t="inlineStr">
        <is>
          <t>BECKS LONG NECK</t>
        </is>
      </c>
      <c r="B57" s="167" t="n"/>
      <c r="C57" s="167" t="n"/>
      <c r="D57" s="167" t="n">
        <v>15.99</v>
      </c>
      <c r="E57" s="167" t="n">
        <v>1599</v>
      </c>
      <c r="F57" s="167" t="inlineStr">
        <is>
          <t>7898905687149</t>
        </is>
      </c>
      <c r="G57" s="167" t="inlineStr">
        <is>
          <t>22030000</t>
        </is>
      </c>
      <c r="H57" s="167" t="n"/>
      <c r="I57" s="167" t="inlineStr">
        <is>
          <t>Bebidas - 5405 - 1</t>
        </is>
      </c>
      <c r="J57" s="167" t="inlineStr">
        <is>
          <t>Carinás</t>
        </is>
      </c>
      <c r="K57" s="167" t="inlineStr">
        <is>
          <t>Sim</t>
        </is>
      </c>
      <c r="L57" s="167" t="inlineStr">
        <is>
          <t>Unidades</t>
        </is>
      </c>
      <c r="M57" s="167" t="inlineStr">
        <is>
          <t>Carinás + SA</t>
        </is>
      </c>
    </row>
    <row r="58">
      <c r="A58" s="167" t="inlineStr">
        <is>
          <t>BEEFEATER ANIVERSARIANTE</t>
        </is>
      </c>
      <c r="B58" s="167" t="n"/>
      <c r="C58" s="167" t="n"/>
      <c r="D58" s="167" t="n">
        <v>0</v>
      </c>
      <c r="E58" s="167" t="n">
        <v>0</v>
      </c>
      <c r="F58" s="167" t="inlineStr">
        <is>
          <t>7898905687713</t>
        </is>
      </c>
      <c r="G58" s="167" t="inlineStr">
        <is>
          <t>22085000</t>
        </is>
      </c>
      <c r="H58" s="167" t="inlineStr">
        <is>
          <t>200800</t>
        </is>
      </c>
      <c r="I58" s="167" t="inlineStr">
        <is>
          <t>Alimentos - 5102</t>
        </is>
      </c>
      <c r="J58" s="167" t="inlineStr">
        <is>
          <t>Carinás</t>
        </is>
      </c>
      <c r="K58" s="167" t="inlineStr">
        <is>
          <t>Sim</t>
        </is>
      </c>
      <c r="L58" s="167" t="inlineStr">
        <is>
          <t>Unidades</t>
        </is>
      </c>
      <c r="M58" s="167" t="inlineStr">
        <is>
          <t>Carinás + SA</t>
        </is>
      </c>
    </row>
    <row r="59">
      <c r="A59" s="167" t="inlineStr">
        <is>
          <t>BEEFEATER DOSE</t>
        </is>
      </c>
      <c r="B59" s="167" t="n"/>
      <c r="C59" s="167" t="n"/>
      <c r="D59" s="167" t="n">
        <v>30</v>
      </c>
      <c r="E59" s="167" t="n">
        <v>3000</v>
      </c>
      <c r="F59" s="167" t="inlineStr">
        <is>
          <t>102012</t>
        </is>
      </c>
      <c r="G59" s="167" t="inlineStr">
        <is>
          <t>22085000</t>
        </is>
      </c>
      <c r="H59" s="167" t="n"/>
      <c r="I59" s="167" t="inlineStr">
        <is>
          <t>Alimentos - 5102</t>
        </is>
      </c>
      <c r="J59" s="167" t="inlineStr">
        <is>
          <t>Carinás</t>
        </is>
      </c>
      <c r="K59" s="167" t="inlineStr">
        <is>
          <t>Sim</t>
        </is>
      </c>
      <c r="L59" s="167" t="inlineStr">
        <is>
          <t>Unidades</t>
        </is>
      </c>
      <c r="M59" s="167" t="inlineStr">
        <is>
          <t>Carinás + SA</t>
        </is>
      </c>
    </row>
    <row r="60">
      <c r="A60" s="167" t="inlineStr">
        <is>
          <t>BEEFEATER GARRAFA</t>
        </is>
      </c>
      <c r="B60" s="167" t="n"/>
      <c r="C60" s="167" t="n"/>
      <c r="D60" s="167" t="n">
        <v>279.99</v>
      </c>
      <c r="E60" s="167" t="n">
        <v>27999</v>
      </c>
      <c r="F60" s="167" t="inlineStr">
        <is>
          <t>102126</t>
        </is>
      </c>
      <c r="G60" s="167" t="inlineStr">
        <is>
          <t>22085000</t>
        </is>
      </c>
      <c r="H60" s="167" t="n"/>
      <c r="I60" s="167" t="inlineStr">
        <is>
          <t>Alimentos - 5102</t>
        </is>
      </c>
      <c r="J60" s="167" t="inlineStr">
        <is>
          <t>Carinás</t>
        </is>
      </c>
      <c r="K60" s="167" t="inlineStr">
        <is>
          <t>Sim</t>
        </is>
      </c>
      <c r="L60" s="167" t="inlineStr">
        <is>
          <t>Unidades</t>
        </is>
      </c>
      <c r="M60" s="167" t="inlineStr">
        <is>
          <t>Carinás + SA</t>
        </is>
      </c>
    </row>
    <row r="61">
      <c r="A61" s="167" t="inlineStr">
        <is>
          <t>BERINJELA</t>
        </is>
      </c>
      <c r="B61" s="167" t="n"/>
      <c r="C61" s="167" t="n"/>
      <c r="D61" s="167" t="n">
        <v>10.99</v>
      </c>
      <c r="E61" s="167" t="n">
        <v>1099</v>
      </c>
      <c r="F61" s="167" t="inlineStr">
        <is>
          <t>20003</t>
        </is>
      </c>
      <c r="G61" s="167" t="inlineStr">
        <is>
          <t>21069090</t>
        </is>
      </c>
      <c r="H61" s="167" t="n"/>
      <c r="I61" s="167" t="inlineStr">
        <is>
          <t>Alimentos - 5102</t>
        </is>
      </c>
      <c r="J61" s="167" t="inlineStr">
        <is>
          <t>Carinás</t>
        </is>
      </c>
      <c r="K61" s="167" t="inlineStr">
        <is>
          <t>Sim</t>
        </is>
      </c>
      <c r="L61" s="167" t="inlineStr">
        <is>
          <t>Unidades</t>
        </is>
      </c>
      <c r="M61" s="167" t="inlineStr">
        <is>
          <t>Carinás + SA + Delivery</t>
        </is>
      </c>
    </row>
    <row r="62">
      <c r="A62" s="167" t="inlineStr">
        <is>
          <t>BERINJELA NO SHOYO</t>
        </is>
      </c>
      <c r="B62" s="167" t="n"/>
      <c r="C62" s="167" t="n"/>
      <c r="D62" s="167" t="n">
        <v>12.99</v>
      </c>
      <c r="E62" s="167" t="n">
        <v>1299</v>
      </c>
      <c r="F62" s="167" t="inlineStr">
        <is>
          <t>78989056877317</t>
        </is>
      </c>
      <c r="G62" s="167" t="inlineStr">
        <is>
          <t>21069090</t>
        </is>
      </c>
      <c r="H62" s="167" t="n"/>
      <c r="I62" s="167" t="inlineStr">
        <is>
          <t>Alimentos - 5102</t>
        </is>
      </c>
      <c r="J62" s="167" t="inlineStr">
        <is>
          <t>Carinás</t>
        </is>
      </c>
      <c r="K62" s="167" t="inlineStr">
        <is>
          <t>Não</t>
        </is>
      </c>
      <c r="L62" s="167" t="inlineStr">
        <is>
          <t>Unidades</t>
        </is>
      </c>
      <c r="M62" s="167" t="inlineStr">
        <is>
          <t>Carinás + SA</t>
        </is>
      </c>
    </row>
    <row r="63">
      <c r="A63" s="167" t="inlineStr">
        <is>
          <t>BLACK LABEL ANIVERSARIANTE</t>
        </is>
      </c>
      <c r="B63" s="167" t="n"/>
      <c r="C63" s="167" t="n"/>
      <c r="D63" s="167" t="n">
        <v>0</v>
      </c>
      <c r="E63" s="167" t="n">
        <v>0</v>
      </c>
      <c r="F63" s="167" t="inlineStr">
        <is>
          <t>9003508</t>
        </is>
      </c>
      <c r="G63" s="167" t="inlineStr">
        <is>
          <t>22083020</t>
        </is>
      </c>
      <c r="H63" s="167" t="n"/>
      <c r="I63" s="167" t="inlineStr">
        <is>
          <t>Alimentos - 5102</t>
        </is>
      </c>
      <c r="J63" s="167" t="inlineStr">
        <is>
          <t>Carinás</t>
        </is>
      </c>
      <c r="K63" s="167" t="inlineStr">
        <is>
          <t>Sim</t>
        </is>
      </c>
      <c r="L63" s="167" t="inlineStr">
        <is>
          <t>Unidades</t>
        </is>
      </c>
      <c r="M63" s="167" t="inlineStr">
        <is>
          <t>Carinás + SA</t>
        </is>
      </c>
    </row>
    <row r="64">
      <c r="A64" s="167" t="inlineStr">
        <is>
          <t>BLACK LABEL COMBO</t>
        </is>
      </c>
      <c r="B64" s="167" t="n"/>
      <c r="C64" s="167" t="n"/>
      <c r="D64" s="167" t="n">
        <v>449.99</v>
      </c>
      <c r="E64" s="167" t="n">
        <v>44999</v>
      </c>
      <c r="F64" s="167" t="inlineStr">
        <is>
          <t>9003424</t>
        </is>
      </c>
      <c r="G64" s="167" t="inlineStr">
        <is>
          <t>22083020</t>
        </is>
      </c>
      <c r="H64" s="167" t="n"/>
      <c r="I64" s="167" t="inlineStr">
        <is>
          <t>Alimentos - 5102</t>
        </is>
      </c>
      <c r="J64" s="167" t="inlineStr">
        <is>
          <t>Carinás</t>
        </is>
      </c>
      <c r="K64" s="167" t="inlineStr">
        <is>
          <t>Sim</t>
        </is>
      </c>
      <c r="L64" s="167" t="inlineStr">
        <is>
          <t>Unidades</t>
        </is>
      </c>
      <c r="M64" s="167" t="inlineStr">
        <is>
          <t>Carinás + SA</t>
        </is>
      </c>
    </row>
    <row r="65">
      <c r="A65" s="167" t="inlineStr">
        <is>
          <t>BLACK LABEL DOSE</t>
        </is>
      </c>
      <c r="B65" s="167" t="n"/>
      <c r="C65" s="167" t="n"/>
      <c r="D65" s="167" t="n">
        <v>42</v>
      </c>
      <c r="E65" s="167" t="n">
        <v>4200</v>
      </c>
      <c r="F65" s="167" t="inlineStr">
        <is>
          <t>9003425</t>
        </is>
      </c>
      <c r="G65" s="167" t="inlineStr">
        <is>
          <t>22083020</t>
        </is>
      </c>
      <c r="H65" s="167" t="n"/>
      <c r="I65" s="167" t="inlineStr">
        <is>
          <t>Alimentos - 5102</t>
        </is>
      </c>
      <c r="J65" s="167" t="inlineStr">
        <is>
          <t>Carinás</t>
        </is>
      </c>
      <c r="K65" s="167" t="inlineStr">
        <is>
          <t>Sim</t>
        </is>
      </c>
      <c r="L65" s="167" t="inlineStr">
        <is>
          <t>Unidades</t>
        </is>
      </c>
      <c r="M65" s="167" t="inlineStr">
        <is>
          <t>Carinás + SA</t>
        </is>
      </c>
    </row>
    <row r="66">
      <c r="A66" s="167" t="inlineStr">
        <is>
          <t>BLACK LABEL GARRAFA</t>
        </is>
      </c>
      <c r="B66" s="167" t="n"/>
      <c r="C66" s="167" t="inlineStr">
        <is>
          <t>A WHISKIES</t>
        </is>
      </c>
      <c r="D66" s="167" t="n">
        <v>420</v>
      </c>
      <c r="E66" s="167" t="n">
        <v>42000</v>
      </c>
      <c r="F66" s="167" t="inlineStr">
        <is>
          <t>7898905687154</t>
        </is>
      </c>
      <c r="G66" s="167" t="inlineStr">
        <is>
          <t>22083020</t>
        </is>
      </c>
      <c r="H66" s="167" t="n"/>
      <c r="I66" s="167" t="inlineStr">
        <is>
          <t>Alimentos - 5102</t>
        </is>
      </c>
      <c r="J66" s="167" t="inlineStr">
        <is>
          <t>Carinás</t>
        </is>
      </c>
      <c r="K66" s="167" t="inlineStr">
        <is>
          <t>Sim</t>
        </is>
      </c>
      <c r="L66" s="167" t="inlineStr">
        <is>
          <t>Unidades</t>
        </is>
      </c>
      <c r="M66" s="167" t="inlineStr">
        <is>
          <t>Carinás + SA</t>
        </is>
      </c>
    </row>
    <row r="67">
      <c r="A67" s="167" t="inlineStr">
        <is>
          <t>BOLACHAS</t>
        </is>
      </c>
      <c r="B67" s="167" t="n"/>
      <c r="C67" s="167" t="inlineStr">
        <is>
          <t>A CAFÉ DA MANHA</t>
        </is>
      </c>
      <c r="D67" s="167" t="n">
        <v>0</v>
      </c>
      <c r="E67" s="167" t="n">
        <v>0</v>
      </c>
      <c r="F67" s="167" t="inlineStr">
        <is>
          <t>7898905687176</t>
        </is>
      </c>
      <c r="G67" s="167" t="inlineStr">
        <is>
          <t>19059020</t>
        </is>
      </c>
      <c r="H67" s="167" t="n"/>
      <c r="I67" s="167" t="inlineStr">
        <is>
          <t>Alimentos - 5102</t>
        </is>
      </c>
      <c r="J67" s="167" t="inlineStr">
        <is>
          <t>Carinás</t>
        </is>
      </c>
      <c r="K67" s="167" t="inlineStr">
        <is>
          <t>Sim</t>
        </is>
      </c>
      <c r="L67" s="167" t="inlineStr">
        <is>
          <t>Unidades</t>
        </is>
      </c>
      <c r="M67" s="167" t="inlineStr">
        <is>
          <t>Carinás + SA</t>
        </is>
      </c>
    </row>
    <row r="68">
      <c r="A68" s="167" t="inlineStr">
        <is>
          <t>BOLINHO BACALHAU</t>
        </is>
      </c>
      <c r="B68" s="167" t="n"/>
      <c r="C68" s="167" t="n"/>
      <c r="D68" s="167" t="n">
        <v>14.99</v>
      </c>
      <c r="E68" s="167" t="n">
        <v>1499</v>
      </c>
      <c r="F68" s="167" t="inlineStr">
        <is>
          <t>40011</t>
        </is>
      </c>
      <c r="G68" s="167" t="inlineStr">
        <is>
          <t>16025000</t>
        </is>
      </c>
      <c r="H68" s="167" t="n"/>
      <c r="I68" s="167" t="inlineStr">
        <is>
          <t>Alimentos - 5102</t>
        </is>
      </c>
      <c r="J68" s="167" t="inlineStr">
        <is>
          <t>Carinás</t>
        </is>
      </c>
      <c r="K68" s="167" t="inlineStr">
        <is>
          <t>Sim</t>
        </is>
      </c>
      <c r="L68" s="167" t="inlineStr">
        <is>
          <t>Unidades</t>
        </is>
      </c>
      <c r="M68" s="167" t="inlineStr">
        <is>
          <t>Carinás + SA</t>
        </is>
      </c>
    </row>
    <row r="69">
      <c r="A69" s="167" t="inlineStr">
        <is>
          <t>BOLINHO DE PEPPERONI</t>
        </is>
      </c>
      <c r="B69" s="167" t="n"/>
      <c r="C69" s="167" t="inlineStr">
        <is>
          <t>BOTECO NO ESPETO</t>
        </is>
      </c>
      <c r="D69" s="167" t="n">
        <v>13.99</v>
      </c>
      <c r="E69" s="167" t="n">
        <v>1399</v>
      </c>
      <c r="F69" s="167" t="inlineStr">
        <is>
          <t>78989056877111</t>
        </is>
      </c>
      <c r="G69" s="167" t="inlineStr">
        <is>
          <t>19022000</t>
        </is>
      </c>
      <c r="H69" s="167" t="n"/>
      <c r="I69" s="167" t="inlineStr">
        <is>
          <t>Alimentos - 5102</t>
        </is>
      </c>
      <c r="J69" s="167" t="inlineStr">
        <is>
          <t>Carinás</t>
        </is>
      </c>
      <c r="K69" s="167" t="inlineStr">
        <is>
          <t>Sim</t>
        </is>
      </c>
      <c r="L69" s="167" t="inlineStr">
        <is>
          <t>Unidades</t>
        </is>
      </c>
      <c r="M69" s="167" t="inlineStr">
        <is>
          <t>Carinás + SA</t>
        </is>
      </c>
    </row>
    <row r="70">
      <c r="A70" s="167" t="inlineStr">
        <is>
          <t>BOLINHO QUEIJO</t>
        </is>
      </c>
      <c r="B70" s="167" t="n"/>
      <c r="C70" s="167" t="inlineStr">
        <is>
          <t>BOTECO NO ESPETO</t>
        </is>
      </c>
      <c r="D70" s="167" t="n">
        <v>14.99</v>
      </c>
      <c r="E70" s="167" t="n">
        <v>1499</v>
      </c>
      <c r="F70" s="167" t="inlineStr">
        <is>
          <t>40014</t>
        </is>
      </c>
      <c r="G70" s="167" t="inlineStr">
        <is>
          <t>19022000</t>
        </is>
      </c>
      <c r="H70" s="167" t="n"/>
      <c r="I70" s="167" t="inlineStr">
        <is>
          <t>Alimentos - 5102</t>
        </is>
      </c>
      <c r="J70" s="167" t="inlineStr">
        <is>
          <t>Carinás</t>
        </is>
      </c>
      <c r="K70" s="167" t="inlineStr">
        <is>
          <t>Sim</t>
        </is>
      </c>
      <c r="L70" s="167" t="inlineStr">
        <is>
          <t>Unidades</t>
        </is>
      </c>
      <c r="M70" s="167" t="inlineStr">
        <is>
          <t>Carinás + SA</t>
        </is>
      </c>
    </row>
    <row r="71">
      <c r="A71" s="167" t="inlineStr">
        <is>
          <t>BOLO ANIVERSARIO (BRINDE)</t>
        </is>
      </c>
      <c r="B71" s="167" t="n"/>
      <c r="C71" s="167" t="inlineStr">
        <is>
          <t xml:space="preserve">BRINDE </t>
        </is>
      </c>
      <c r="D71" s="167" t="n">
        <v>0</v>
      </c>
      <c r="E71" s="167" t="n">
        <v>0</v>
      </c>
      <c r="F71" s="167" t="inlineStr">
        <is>
          <t>78989956877335</t>
        </is>
      </c>
      <c r="G71" s="167" t="inlineStr">
        <is>
          <t>21069090</t>
        </is>
      </c>
      <c r="H71" s="167" t="inlineStr">
        <is>
          <t>1709700</t>
        </is>
      </c>
      <c r="I71" s="167" t="inlineStr">
        <is>
          <t>Alimentos - 5102</t>
        </is>
      </c>
      <c r="J71" s="167" t="inlineStr">
        <is>
          <t>Carinás</t>
        </is>
      </c>
      <c r="K71" s="167" t="inlineStr">
        <is>
          <t>Não</t>
        </is>
      </c>
      <c r="L71" s="167" t="inlineStr">
        <is>
          <t>Unidades</t>
        </is>
      </c>
      <c r="M71" s="167" t="inlineStr">
        <is>
          <t>Carinás</t>
        </is>
      </c>
    </row>
    <row r="72">
      <c r="A72" s="167" t="inlineStr">
        <is>
          <t>BOLO ANIVERSARIO ABACAXI</t>
        </is>
      </c>
      <c r="B72" s="167" t="n"/>
      <c r="C72" s="167" t="n"/>
      <c r="D72" s="167" t="n">
        <v>99</v>
      </c>
      <c r="E72" s="167" t="n">
        <v>9900</v>
      </c>
      <c r="F72" s="167" t="inlineStr">
        <is>
          <t>78989956877333</t>
        </is>
      </c>
      <c r="G72" s="167" t="inlineStr">
        <is>
          <t>21069090</t>
        </is>
      </c>
      <c r="H72" s="167" t="inlineStr">
        <is>
          <t>1709700</t>
        </is>
      </c>
      <c r="I72" s="167" t="inlineStr">
        <is>
          <t>Alimentos - 5102</t>
        </is>
      </c>
      <c r="J72" s="167" t="inlineStr">
        <is>
          <t>Carinás</t>
        </is>
      </c>
      <c r="K72" s="167" t="inlineStr">
        <is>
          <t>Não</t>
        </is>
      </c>
      <c r="L72" s="167" t="inlineStr">
        <is>
          <t>Unidades</t>
        </is>
      </c>
      <c r="M72" s="167" t="inlineStr">
        <is>
          <t>Carinás</t>
        </is>
      </c>
    </row>
    <row r="73">
      <c r="A73" s="167" t="inlineStr">
        <is>
          <t>BOLO ANIVERSARIO CHOCOLATE</t>
        </is>
      </c>
      <c r="B73" s="167" t="n"/>
      <c r="C73" s="167" t="inlineStr">
        <is>
          <t>SOBREMESAS</t>
        </is>
      </c>
      <c r="D73" s="167" t="n">
        <v>99</v>
      </c>
      <c r="E73" s="167" t="n">
        <v>9900</v>
      </c>
      <c r="F73" s="167" t="inlineStr">
        <is>
          <t>78989956877332</t>
        </is>
      </c>
      <c r="G73" s="167" t="inlineStr">
        <is>
          <t>21069090</t>
        </is>
      </c>
      <c r="H73" s="167" t="inlineStr">
        <is>
          <t>1709700</t>
        </is>
      </c>
      <c r="I73" s="167" t="inlineStr">
        <is>
          <t>Alimentos - 5102</t>
        </is>
      </c>
      <c r="J73" s="167" t="inlineStr">
        <is>
          <t>Carinás</t>
        </is>
      </c>
      <c r="K73" s="167" t="inlineStr">
        <is>
          <t>Não</t>
        </is>
      </c>
      <c r="L73" s="167" t="inlineStr">
        <is>
          <t>Unidades</t>
        </is>
      </c>
      <c r="M73" s="167" t="inlineStr">
        <is>
          <t>Carinás</t>
        </is>
      </c>
    </row>
    <row r="74">
      <c r="A74" s="167" t="inlineStr">
        <is>
          <t>BOLO ANIVERSARIO CHOCOLATE (BRINDE)</t>
        </is>
      </c>
      <c r="B74" s="167" t="n"/>
      <c r="C74" s="167" t="inlineStr">
        <is>
          <t xml:space="preserve">BRINDE </t>
        </is>
      </c>
      <c r="D74" s="167" t="n">
        <v>0</v>
      </c>
      <c r="E74" s="167" t="n">
        <v>0</v>
      </c>
      <c r="F74" s="167" t="inlineStr">
        <is>
          <t>78989956877334</t>
        </is>
      </c>
      <c r="G74" s="167" t="inlineStr">
        <is>
          <t>21069090</t>
        </is>
      </c>
      <c r="H74" s="167" t="inlineStr">
        <is>
          <t>1709700</t>
        </is>
      </c>
      <c r="I74" s="167" t="inlineStr">
        <is>
          <t>Alimentos - 5102</t>
        </is>
      </c>
      <c r="J74" s="167" t="inlineStr">
        <is>
          <t>Carinás</t>
        </is>
      </c>
      <c r="K74" s="167" t="inlineStr">
        <is>
          <t>Não</t>
        </is>
      </c>
      <c r="L74" s="167" t="inlineStr">
        <is>
          <t>Unidades</t>
        </is>
      </c>
      <c r="M74" s="167" t="inlineStr">
        <is>
          <t>Carinás</t>
        </is>
      </c>
    </row>
    <row r="75">
      <c r="A75" s="167" t="inlineStr">
        <is>
          <t>BOLOS</t>
        </is>
      </c>
      <c r="B75" s="167" t="n"/>
      <c r="C75" s="167" t="inlineStr">
        <is>
          <t>A CAFÉ DA MANHA</t>
        </is>
      </c>
      <c r="D75" s="167" t="n">
        <v>0</v>
      </c>
      <c r="E75" s="167" t="n">
        <v>0</v>
      </c>
      <c r="F75" s="167" t="inlineStr">
        <is>
          <t>7898905687173</t>
        </is>
      </c>
      <c r="G75" s="167" t="inlineStr">
        <is>
          <t>19052090</t>
        </is>
      </c>
      <c r="H75" s="167" t="n"/>
      <c r="I75" s="167" t="inlineStr">
        <is>
          <t>Alimentos - 5102</t>
        </is>
      </c>
      <c r="J75" s="167" t="inlineStr">
        <is>
          <t>Carinás</t>
        </is>
      </c>
      <c r="K75" s="167" t="inlineStr">
        <is>
          <t>Sim</t>
        </is>
      </c>
      <c r="L75" s="167" t="inlineStr">
        <is>
          <t>Unidades</t>
        </is>
      </c>
      <c r="M75" s="167" t="inlineStr">
        <is>
          <t>Carinás + SA</t>
        </is>
      </c>
    </row>
    <row r="76">
      <c r="A76" s="167" t="inlineStr">
        <is>
          <t>BOLSA TERMICA</t>
        </is>
      </c>
      <c r="B76" s="167" t="n"/>
      <c r="C76" s="167" t="n"/>
      <c r="D76" s="167" t="n">
        <v>38.99</v>
      </c>
      <c r="E76" s="167" t="n">
        <v>3899</v>
      </c>
      <c r="F76" s="167" t="inlineStr">
        <is>
          <t>9003295</t>
        </is>
      </c>
      <c r="G76" s="167" t="inlineStr">
        <is>
          <t>42029200</t>
        </is>
      </c>
      <c r="H76" s="167" t="n"/>
      <c r="I76" s="167" t="inlineStr">
        <is>
          <t>Alimentos - 5102</t>
        </is>
      </c>
      <c r="J76" s="167" t="inlineStr">
        <is>
          <t>Carinás</t>
        </is>
      </c>
      <c r="K76" s="167" t="inlineStr">
        <is>
          <t>Sim</t>
        </is>
      </c>
      <c r="L76" s="167" t="inlineStr">
        <is>
          <t>Unidades</t>
        </is>
      </c>
      <c r="M76" s="167" t="inlineStr">
        <is>
          <t>Carinás</t>
        </is>
      </c>
    </row>
    <row r="77">
      <c r="A77" s="167" t="inlineStr">
        <is>
          <t>Boulevardier</t>
        </is>
      </c>
      <c r="B77" s="167" t="n"/>
      <c r="C77" s="167" t="n"/>
      <c r="D77" s="167" t="n">
        <v>38.99</v>
      </c>
      <c r="E77" s="167" t="n">
        <v>3899</v>
      </c>
      <c r="F77" s="167" t="inlineStr">
        <is>
          <t>78989056877231</t>
        </is>
      </c>
      <c r="G77" s="167" t="inlineStr">
        <is>
          <t>22084000</t>
        </is>
      </c>
      <c r="H77" s="167" t="n"/>
      <c r="I77" s="167" t="inlineStr">
        <is>
          <t>Alimentos - 5102</t>
        </is>
      </c>
      <c r="J77" s="167" t="inlineStr">
        <is>
          <t>Carinás</t>
        </is>
      </c>
      <c r="K77" s="167" t="inlineStr">
        <is>
          <t>Não</t>
        </is>
      </c>
      <c r="L77" s="167" t="inlineStr">
        <is>
          <t>Unidades</t>
        </is>
      </c>
      <c r="M77" s="167" t="inlineStr">
        <is>
          <t>Carinás + SA</t>
        </is>
      </c>
    </row>
    <row r="78">
      <c r="A78" s="167" t="inlineStr">
        <is>
          <t>BOVINO</t>
        </is>
      </c>
      <c r="B78" s="167" t="n"/>
      <c r="C78" s="167" t="n"/>
      <c r="D78" s="167" t="n">
        <v>13.99</v>
      </c>
      <c r="E78" s="167" t="n">
        <v>1399</v>
      </c>
      <c r="F78" s="167" t="inlineStr">
        <is>
          <t>10031</t>
        </is>
      </c>
      <c r="G78" s="167" t="inlineStr">
        <is>
          <t>21069090</t>
        </is>
      </c>
      <c r="H78" s="167" t="n"/>
      <c r="I78" s="167" t="inlineStr">
        <is>
          <t>Alimentos - 5102</t>
        </is>
      </c>
      <c r="J78" s="167" t="inlineStr">
        <is>
          <t>Carinás</t>
        </is>
      </c>
      <c r="K78" s="167" t="inlineStr">
        <is>
          <t>Sim</t>
        </is>
      </c>
      <c r="L78" s="167" t="inlineStr">
        <is>
          <t>Unidades</t>
        </is>
      </c>
      <c r="M78" s="167" t="inlineStr">
        <is>
          <t>Carinás + SA + Delivery</t>
        </is>
      </c>
    </row>
    <row r="79">
      <c r="A79" s="167" t="inlineStr">
        <is>
          <t>BOVINO IN NATURA</t>
        </is>
      </c>
      <c r="B79" s="167" t="n"/>
      <c r="C79" s="167" t="n"/>
      <c r="D79" s="167" t="n">
        <v>29.9</v>
      </c>
      <c r="E79" s="167" t="n">
        <v>2990</v>
      </c>
      <c r="F79" s="167" t="inlineStr">
        <is>
          <t>10000</t>
        </is>
      </c>
      <c r="G79" s="167" t="inlineStr">
        <is>
          <t>21069090</t>
        </is>
      </c>
      <c r="H79" s="167" t="n"/>
      <c r="I79" s="167" t="inlineStr">
        <is>
          <t>Alimentos - 5102</t>
        </is>
      </c>
      <c r="J79" s="167" t="inlineStr">
        <is>
          <t>Carinás</t>
        </is>
      </c>
      <c r="K79" s="167" t="inlineStr">
        <is>
          <t>Sim</t>
        </is>
      </c>
      <c r="L79" s="167" t="inlineStr">
        <is>
          <t>Unidades</t>
        </is>
      </c>
      <c r="M79" s="167" t="inlineStr">
        <is>
          <t>Carinás + SA + Delivery</t>
        </is>
      </c>
    </row>
    <row r="80">
      <c r="A80" s="167" t="inlineStr">
        <is>
          <t>BRAHMA DUPLO MALTE 600 ML</t>
        </is>
      </c>
      <c r="B80" s="167" t="n"/>
      <c r="C80" s="167" t="n"/>
      <c r="D80" s="167" t="n">
        <v>17.9</v>
      </c>
      <c r="E80" s="167" t="n">
        <v>1790</v>
      </c>
      <c r="F80" s="167" t="inlineStr">
        <is>
          <t>9003350</t>
        </is>
      </c>
      <c r="G80" s="167" t="inlineStr">
        <is>
          <t>22030000</t>
        </is>
      </c>
      <c r="H80" s="167" t="n"/>
      <c r="I80" s="167" t="inlineStr">
        <is>
          <t>Bebidas - 5405 - 1</t>
        </is>
      </c>
      <c r="J80" s="167" t="inlineStr">
        <is>
          <t>Santo André</t>
        </is>
      </c>
      <c r="K80" s="167" t="n"/>
      <c r="L80" s="167" t="n"/>
      <c r="M80" s="167" t="inlineStr">
        <is>
          <t>SA</t>
        </is>
      </c>
    </row>
    <row r="81">
      <c r="A81" s="167" t="inlineStr">
        <is>
          <t>BRAHMA ZERO</t>
        </is>
      </c>
      <c r="B81" s="167" t="n"/>
      <c r="C81" s="167" t="n"/>
      <c r="D81" s="167" t="n">
        <v>13.99</v>
      </c>
      <c r="E81" s="167" t="n">
        <v>1399</v>
      </c>
      <c r="F81" s="167" t="inlineStr">
        <is>
          <t>80008</t>
        </is>
      </c>
      <c r="G81" s="167" t="inlineStr">
        <is>
          <t>22030000</t>
        </is>
      </c>
      <c r="H81" s="167" t="n"/>
      <c r="I81" s="167" t="inlineStr">
        <is>
          <t>Bebidas - 5405 - 2</t>
        </is>
      </c>
      <c r="J81" s="167" t="inlineStr">
        <is>
          <t>Carinás</t>
        </is>
      </c>
      <c r="K81" s="167" t="inlineStr">
        <is>
          <t>Sim</t>
        </is>
      </c>
      <c r="L81" s="167" t="inlineStr">
        <is>
          <t>Unidades</t>
        </is>
      </c>
      <c r="M81" s="167" t="inlineStr">
        <is>
          <t>Carinás</t>
        </is>
      </c>
    </row>
    <row r="82">
      <c r="A82" s="167" t="inlineStr">
        <is>
          <t>BRIGADEIRO</t>
        </is>
      </c>
      <c r="B82" s="167" t="n"/>
      <c r="C82" s="167" t="n"/>
      <c r="D82" s="167" t="n">
        <v>16.99</v>
      </c>
      <c r="E82" s="167" t="n">
        <v>1699</v>
      </c>
      <c r="F82" s="167" t="inlineStr">
        <is>
          <t>50008</t>
        </is>
      </c>
      <c r="G82" s="167" t="inlineStr">
        <is>
          <t>18069000</t>
        </is>
      </c>
      <c r="H82" s="167" t="n"/>
      <c r="I82" s="167" t="inlineStr">
        <is>
          <t>Alimentos - 5102</t>
        </is>
      </c>
      <c r="J82" s="167" t="inlineStr">
        <is>
          <t>Carinás</t>
        </is>
      </c>
      <c r="K82" s="167" t="inlineStr">
        <is>
          <t>Sim</t>
        </is>
      </c>
      <c r="L82" s="167" t="inlineStr">
        <is>
          <t>Unidades</t>
        </is>
      </c>
      <c r="M82" s="167" t="inlineStr">
        <is>
          <t>Carinás + SA + Delivery</t>
        </is>
      </c>
    </row>
    <row r="83">
      <c r="A83" s="167" t="inlineStr">
        <is>
          <t>BRINCADEIRA 1.DOCES</t>
        </is>
      </c>
      <c r="B83" s="167" t="n"/>
      <c r="C83" s="167" t="n"/>
      <c r="D83" s="167" t="n">
        <v>3</v>
      </c>
      <c r="E83" s="167" t="n">
        <v>300</v>
      </c>
      <c r="F83" s="167" t="inlineStr">
        <is>
          <t>78989056877142</t>
        </is>
      </c>
      <c r="G83" s="167" t="inlineStr">
        <is>
          <t>95043000</t>
        </is>
      </c>
      <c r="H83" s="167" t="n"/>
      <c r="I83" s="167" t="inlineStr">
        <is>
          <t>Alimentos - 5102</t>
        </is>
      </c>
      <c r="J83" s="167" t="inlineStr">
        <is>
          <t>Carinás</t>
        </is>
      </c>
      <c r="K83" s="167" t="inlineStr">
        <is>
          <t>Sim</t>
        </is>
      </c>
      <c r="L83" s="167" t="inlineStr">
        <is>
          <t>Unidades</t>
        </is>
      </c>
      <c r="M83" s="167" t="inlineStr">
        <is>
          <t>Carinás</t>
        </is>
      </c>
    </row>
    <row r="84">
      <c r="A84" s="167" t="inlineStr">
        <is>
          <t>BRINCADEIRA 10</t>
        </is>
      </c>
      <c r="B84" s="167" t="n"/>
      <c r="C84" s="167" t="n"/>
      <c r="D84" s="167" t="n">
        <v>10</v>
      </c>
      <c r="E84" s="167" t="n">
        <v>1000</v>
      </c>
      <c r="F84" s="167" t="inlineStr">
        <is>
          <t>78989056877160</t>
        </is>
      </c>
      <c r="G84" s="167" t="inlineStr">
        <is>
          <t>95043000</t>
        </is>
      </c>
      <c r="H84" s="167" t="n"/>
      <c r="I84" s="167" t="inlineStr">
        <is>
          <t>Alimentos - 5102</t>
        </is>
      </c>
      <c r="J84" s="167" t="inlineStr">
        <is>
          <t>Santo André</t>
        </is>
      </c>
      <c r="K84" s="167" t="n"/>
      <c r="L84" s="167" t="n"/>
      <c r="M84" s="167" t="inlineStr">
        <is>
          <t>SA</t>
        </is>
      </c>
    </row>
    <row r="85">
      <c r="A85" s="167" t="inlineStr">
        <is>
          <t>BRINCADEIRA 10.</t>
        </is>
      </c>
      <c r="B85" s="167" t="n"/>
      <c r="C85" s="167" t="n"/>
      <c r="D85" s="167" t="n">
        <v>20</v>
      </c>
      <c r="E85" s="167" t="n">
        <v>2000</v>
      </c>
      <c r="F85" s="167" t="inlineStr">
        <is>
          <t>78989056877145</t>
        </is>
      </c>
      <c r="G85" s="167" t="inlineStr">
        <is>
          <t>95043000</t>
        </is>
      </c>
      <c r="H85" s="167" t="n"/>
      <c r="I85" s="167" t="inlineStr">
        <is>
          <t>Alimentos - 5102</t>
        </is>
      </c>
      <c r="J85" s="167" t="inlineStr">
        <is>
          <t>Carinás</t>
        </is>
      </c>
      <c r="K85" s="167" t="inlineStr">
        <is>
          <t>Sim</t>
        </is>
      </c>
      <c r="L85" s="167" t="inlineStr">
        <is>
          <t>Unidades</t>
        </is>
      </c>
      <c r="M85" s="167" t="inlineStr">
        <is>
          <t>Carinás</t>
        </is>
      </c>
    </row>
    <row r="86">
      <c r="A86" s="167" t="inlineStr">
        <is>
          <t>BRINDE URSO</t>
        </is>
      </c>
      <c r="B86" s="167" t="n"/>
      <c r="C86" s="167" t="inlineStr">
        <is>
          <t>OUTROS</t>
        </is>
      </c>
      <c r="D86" s="167" t="n">
        <v>0</v>
      </c>
      <c r="E86" s="167" t="n">
        <v>0</v>
      </c>
      <c r="F86" s="167" t="inlineStr">
        <is>
          <t>78989056877174</t>
        </is>
      </c>
      <c r="G86" s="167" t="inlineStr">
        <is>
          <t>21069090</t>
        </is>
      </c>
      <c r="H86" s="167" t="n"/>
      <c r="I86" s="167" t="inlineStr">
        <is>
          <t>Alimentos - 5102</t>
        </is>
      </c>
      <c r="J86" s="167" t="inlineStr">
        <is>
          <t>Carinás</t>
        </is>
      </c>
      <c r="K86" s="167" t="inlineStr">
        <is>
          <t>Não</t>
        </is>
      </c>
      <c r="L86" s="167" t="inlineStr">
        <is>
          <t>Unidades</t>
        </is>
      </c>
      <c r="M86" s="167" t="inlineStr">
        <is>
          <t>Carinás + SA</t>
        </is>
      </c>
    </row>
    <row r="87">
      <c r="A87" s="167" t="inlineStr">
        <is>
          <t>BRINQUEDOS INFLAVEIS</t>
        </is>
      </c>
      <c r="B87" s="167" t="n"/>
      <c r="C87" s="167" t="n"/>
      <c r="D87" s="167" t="n">
        <v>10</v>
      </c>
      <c r="E87" s="167" t="n">
        <v>1000</v>
      </c>
      <c r="F87" s="167" t="inlineStr">
        <is>
          <t>78989056877144</t>
        </is>
      </c>
      <c r="G87" s="167" t="inlineStr">
        <is>
          <t>95043000</t>
        </is>
      </c>
      <c r="H87" s="167" t="n"/>
      <c r="I87" s="167" t="inlineStr">
        <is>
          <t>Alimentos - 5102</t>
        </is>
      </c>
      <c r="J87" s="167" t="inlineStr">
        <is>
          <t>Carinás</t>
        </is>
      </c>
      <c r="K87" s="167" t="inlineStr">
        <is>
          <t>Sim</t>
        </is>
      </c>
      <c r="L87" s="167" t="inlineStr">
        <is>
          <t>Unidades</t>
        </is>
      </c>
      <c r="M87" s="167" t="inlineStr">
        <is>
          <t>Carinás</t>
        </is>
      </c>
    </row>
    <row r="88">
      <c r="A88" s="167" t="inlineStr">
        <is>
          <t>BUDWEISER LONG</t>
        </is>
      </c>
      <c r="B88" s="167" t="n"/>
      <c r="C88" s="167" t="n"/>
      <c r="D88" s="167" t="n">
        <v>12.99</v>
      </c>
      <c r="E88" s="167" t="n">
        <v>1299</v>
      </c>
      <c r="F88" s="167" t="inlineStr">
        <is>
          <t>80006</t>
        </is>
      </c>
      <c r="G88" s="167" t="inlineStr">
        <is>
          <t>22030000</t>
        </is>
      </c>
      <c r="H88" s="167" t="n"/>
      <c r="I88" s="167" t="inlineStr">
        <is>
          <t>Bebidas - 5405 - 2</t>
        </is>
      </c>
      <c r="J88" s="167" t="inlineStr">
        <is>
          <t>Carinás</t>
        </is>
      </c>
      <c r="K88" s="167" t="inlineStr">
        <is>
          <t>Sim</t>
        </is>
      </c>
      <c r="L88" s="167" t="inlineStr">
        <is>
          <t>Unidades</t>
        </is>
      </c>
      <c r="M88" s="167" t="inlineStr">
        <is>
          <t>Carinás + SA</t>
        </is>
      </c>
    </row>
    <row r="89">
      <c r="A89" s="167" t="inlineStr">
        <is>
          <t>BUDWEISER ZERO</t>
        </is>
      </c>
      <c r="B89" s="167" t="n"/>
      <c r="C89" s="167" t="n"/>
      <c r="D89" s="167" t="n">
        <v>13.99</v>
      </c>
      <c r="E89" s="167" t="n">
        <v>1399</v>
      </c>
      <c r="F89" s="167" t="inlineStr">
        <is>
          <t>7898905687171</t>
        </is>
      </c>
      <c r="G89" s="167" t="inlineStr">
        <is>
          <t>22030000</t>
        </is>
      </c>
      <c r="H89" s="167" t="n"/>
      <c r="I89" s="167" t="inlineStr">
        <is>
          <t>Bebidas - 5405 - 1</t>
        </is>
      </c>
      <c r="J89" s="167" t="inlineStr">
        <is>
          <t>Carinás</t>
        </is>
      </c>
      <c r="K89" s="167" t="inlineStr">
        <is>
          <t>Sim</t>
        </is>
      </c>
      <c r="L89" s="167" t="inlineStr">
        <is>
          <t>Unidades</t>
        </is>
      </c>
      <c r="M89" s="167" t="inlineStr">
        <is>
          <t>Carinás + SA</t>
        </is>
      </c>
    </row>
    <row r="90">
      <c r="A90" s="167" t="inlineStr">
        <is>
          <t>CACHAÇA DO QUINTAL  ANIVERSARIANTE</t>
        </is>
      </c>
      <c r="B90" s="167" t="n"/>
      <c r="C90" s="167" t="n"/>
      <c r="D90" s="167" t="n">
        <v>0</v>
      </c>
      <c r="E90" s="167" t="n">
        <v>0</v>
      </c>
      <c r="F90" s="167" t="inlineStr">
        <is>
          <t>9003397</t>
        </is>
      </c>
      <c r="G90" s="167" t="inlineStr">
        <is>
          <t>22084000</t>
        </is>
      </c>
      <c r="H90" s="167" t="n"/>
      <c r="I90" s="167" t="inlineStr">
        <is>
          <t>Alimentos - 5102</t>
        </is>
      </c>
      <c r="J90" s="167" t="inlineStr">
        <is>
          <t>Carinás</t>
        </is>
      </c>
      <c r="K90" s="167" t="inlineStr">
        <is>
          <t>Sim</t>
        </is>
      </c>
      <c r="L90" s="167" t="inlineStr">
        <is>
          <t>Unidades</t>
        </is>
      </c>
      <c r="M90" s="167" t="inlineStr">
        <is>
          <t>Carinás + SA</t>
        </is>
      </c>
    </row>
    <row r="91">
      <c r="A91" s="167" t="inlineStr">
        <is>
          <t>CACHAÇA QUINTAL MEL E LIMÃO DOSE</t>
        </is>
      </c>
      <c r="B91" s="167" t="n"/>
      <c r="C91" s="167" t="n"/>
      <c r="D91" s="167" t="n">
        <v>14</v>
      </c>
      <c r="E91" s="167" t="n">
        <v>1400</v>
      </c>
      <c r="F91" s="167" t="inlineStr">
        <is>
          <t>9003165</t>
        </is>
      </c>
      <c r="G91" s="167" t="inlineStr">
        <is>
          <t>22084000</t>
        </is>
      </c>
      <c r="H91" s="167" t="n"/>
      <c r="I91" s="167" t="inlineStr">
        <is>
          <t>Alimentos - 5102</t>
        </is>
      </c>
      <c r="J91" s="167" t="inlineStr">
        <is>
          <t>Carinás</t>
        </is>
      </c>
      <c r="K91" s="167" t="inlineStr">
        <is>
          <t>Sim</t>
        </is>
      </c>
      <c r="L91" s="167" t="inlineStr">
        <is>
          <t>Unidades</t>
        </is>
      </c>
      <c r="M91" s="167" t="inlineStr">
        <is>
          <t>Carinás + SA</t>
        </is>
      </c>
    </row>
    <row r="92">
      <c r="A92" s="167" t="inlineStr">
        <is>
          <t>CACHAÇA QUINTAL MEL E LIMÃO GARRAFA</t>
        </is>
      </c>
      <c r="B92" s="167" t="n"/>
      <c r="C92" s="167" t="n"/>
      <c r="D92" s="167" t="n">
        <v>99</v>
      </c>
      <c r="E92" s="167" t="n">
        <v>9900</v>
      </c>
      <c r="F92" s="167" t="inlineStr">
        <is>
          <t>9003166</t>
        </is>
      </c>
      <c r="G92" s="167" t="inlineStr">
        <is>
          <t>22084000</t>
        </is>
      </c>
      <c r="H92" s="167" t="n"/>
      <c r="I92" s="167" t="inlineStr">
        <is>
          <t>Alimentos - 5102</t>
        </is>
      </c>
      <c r="J92" s="167" t="inlineStr">
        <is>
          <t>Carinás</t>
        </is>
      </c>
      <c r="K92" s="167" t="inlineStr">
        <is>
          <t>Sim</t>
        </is>
      </c>
      <c r="L92" s="167" t="inlineStr">
        <is>
          <t>Unidades</t>
        </is>
      </c>
      <c r="M92" s="167" t="inlineStr">
        <is>
          <t>Carinás + SA</t>
        </is>
      </c>
    </row>
    <row r="93">
      <c r="A93" s="167" t="inlineStr">
        <is>
          <t>CACHAÇA QUINTAL OURO DOSE</t>
        </is>
      </c>
      <c r="B93" s="167" t="n"/>
      <c r="C93" s="167" t="n"/>
      <c r="D93" s="167" t="n">
        <v>12</v>
      </c>
      <c r="E93" s="167" t="n">
        <v>1200</v>
      </c>
      <c r="F93" s="167" t="inlineStr">
        <is>
          <t>9003163</t>
        </is>
      </c>
      <c r="G93" s="167" t="inlineStr">
        <is>
          <t>22084000</t>
        </is>
      </c>
      <c r="H93" s="167" t="n"/>
      <c r="I93" s="167" t="inlineStr">
        <is>
          <t>Alimentos - 5102</t>
        </is>
      </c>
      <c r="J93" s="167" t="inlineStr">
        <is>
          <t>Carinás</t>
        </is>
      </c>
      <c r="K93" s="167" t="inlineStr">
        <is>
          <t>Sim</t>
        </is>
      </c>
      <c r="L93" s="167" t="inlineStr">
        <is>
          <t>Unidades</t>
        </is>
      </c>
      <c r="M93" s="167" t="inlineStr">
        <is>
          <t>Carinás + SA</t>
        </is>
      </c>
    </row>
    <row r="94">
      <c r="A94" s="167" t="inlineStr">
        <is>
          <t>CACHAÇA QUINTAL OURO GARRAFA</t>
        </is>
      </c>
      <c r="B94" s="167" t="n"/>
      <c r="C94" s="167" t="n"/>
      <c r="D94" s="167" t="n">
        <v>119</v>
      </c>
      <c r="E94" s="167" t="n">
        <v>11900</v>
      </c>
      <c r="F94" s="167" t="inlineStr">
        <is>
          <t>9003164</t>
        </is>
      </c>
      <c r="G94" s="167" t="inlineStr">
        <is>
          <t>22084000</t>
        </is>
      </c>
      <c r="H94" s="167" t="n"/>
      <c r="I94" s="167" t="inlineStr">
        <is>
          <t>Alimentos - 5102</t>
        </is>
      </c>
      <c r="J94" s="167" t="inlineStr">
        <is>
          <t>Carinás</t>
        </is>
      </c>
      <c r="K94" s="167" t="inlineStr">
        <is>
          <t>Sim</t>
        </is>
      </c>
      <c r="L94" s="167" t="inlineStr">
        <is>
          <t>Unidades</t>
        </is>
      </c>
      <c r="M94" s="167" t="inlineStr">
        <is>
          <t>Carinás + SA</t>
        </is>
      </c>
    </row>
    <row r="95">
      <c r="A95" s="167" t="inlineStr">
        <is>
          <t>CACHAÇA QUINTAL PRATA DOSE</t>
        </is>
      </c>
      <c r="B95" s="167" t="n"/>
      <c r="C95" s="167" t="n"/>
      <c r="D95" s="167" t="n">
        <v>12</v>
      </c>
      <c r="E95" s="167" t="n">
        <v>1200</v>
      </c>
      <c r="F95" s="167" t="inlineStr">
        <is>
          <t>9003161</t>
        </is>
      </c>
      <c r="G95" s="167" t="inlineStr">
        <is>
          <t>22084000</t>
        </is>
      </c>
      <c r="H95" s="167" t="n"/>
      <c r="I95" s="167" t="inlineStr">
        <is>
          <t>Alimentos - 5102</t>
        </is>
      </c>
      <c r="J95" s="167" t="inlineStr">
        <is>
          <t>Carinás</t>
        </is>
      </c>
      <c r="K95" s="167" t="inlineStr">
        <is>
          <t>Sim</t>
        </is>
      </c>
      <c r="L95" s="167" t="inlineStr">
        <is>
          <t>Unidades</t>
        </is>
      </c>
      <c r="M95" s="167" t="inlineStr">
        <is>
          <t>Carinás + SA</t>
        </is>
      </c>
    </row>
    <row r="96">
      <c r="A96" s="167" t="inlineStr">
        <is>
          <t>CACHAÇA QUINTAL PRATA GARRAFA</t>
        </is>
      </c>
      <c r="B96" s="167" t="n"/>
      <c r="C96" s="167" t="n"/>
      <c r="D96" s="167" t="n">
        <v>99</v>
      </c>
      <c r="E96" s="167" t="n">
        <v>9900</v>
      </c>
      <c r="F96" s="167" t="inlineStr">
        <is>
          <t>9003162</t>
        </is>
      </c>
      <c r="G96" s="167" t="inlineStr">
        <is>
          <t>22084000</t>
        </is>
      </c>
      <c r="H96" s="167" t="n"/>
      <c r="I96" s="167" t="inlineStr">
        <is>
          <t>Alimentos - 5102</t>
        </is>
      </c>
      <c r="J96" s="167" t="inlineStr">
        <is>
          <t>Carinás</t>
        </is>
      </c>
      <c r="K96" s="167" t="inlineStr">
        <is>
          <t>Sim</t>
        </is>
      </c>
      <c r="L96" s="167" t="inlineStr">
        <is>
          <t>Unidades</t>
        </is>
      </c>
      <c r="M96" s="167" t="inlineStr">
        <is>
          <t>Carinás + SA</t>
        </is>
      </c>
    </row>
    <row r="97">
      <c r="A97" s="167" t="inlineStr">
        <is>
          <t>CAFE</t>
        </is>
      </c>
      <c r="B97" s="167" t="n"/>
      <c r="C97" s="167" t="inlineStr">
        <is>
          <t>A CAFÉ DA MANHA</t>
        </is>
      </c>
      <c r="D97" s="167" t="n">
        <v>0</v>
      </c>
      <c r="E97" s="167" t="n">
        <v>0</v>
      </c>
      <c r="F97" s="167" t="inlineStr">
        <is>
          <t>7898905687179</t>
        </is>
      </c>
      <c r="G97" s="167" t="inlineStr">
        <is>
          <t>9019000</t>
        </is>
      </c>
      <c r="H97" s="167" t="n"/>
      <c r="I97" s="167" t="inlineStr">
        <is>
          <t>Alimentos - 5102</t>
        </is>
      </c>
      <c r="J97" s="167" t="inlineStr">
        <is>
          <t>Carinás</t>
        </is>
      </c>
      <c r="K97" s="167" t="inlineStr">
        <is>
          <t>Sim</t>
        </is>
      </c>
      <c r="L97" s="167" t="inlineStr">
        <is>
          <t>Unidades</t>
        </is>
      </c>
      <c r="M97" s="167" t="inlineStr">
        <is>
          <t>Carinás + SA</t>
        </is>
      </c>
    </row>
    <row r="98">
      <c r="A98" s="167" t="inlineStr">
        <is>
          <t>Caipirinha Abacaxi, hortela</t>
        </is>
      </c>
      <c r="B98" s="167" t="n"/>
      <c r="C98" s="167" t="n"/>
      <c r="D98" s="167" t="n">
        <v>36</v>
      </c>
      <c r="E98" s="167" t="n">
        <v>3600</v>
      </c>
      <c r="F98" s="167" t="inlineStr">
        <is>
          <t>78989056877239</t>
        </is>
      </c>
      <c r="G98" s="167" t="inlineStr">
        <is>
          <t>22086000</t>
        </is>
      </c>
      <c r="H98" s="167" t="n"/>
      <c r="I98" s="167" t="inlineStr">
        <is>
          <t>Alimentos - 5102</t>
        </is>
      </c>
      <c r="J98" s="167" t="inlineStr">
        <is>
          <t>Carinás</t>
        </is>
      </c>
      <c r="K98" s="167" t="inlineStr">
        <is>
          <t>Não</t>
        </is>
      </c>
      <c r="L98" s="167" t="inlineStr">
        <is>
          <t>Unidades</t>
        </is>
      </c>
      <c r="M98" s="167" t="inlineStr">
        <is>
          <t>Carinás + SA</t>
        </is>
      </c>
    </row>
    <row r="99">
      <c r="A99" s="167" t="inlineStr">
        <is>
          <t>CAIPIRINHA ABSOLUT</t>
        </is>
      </c>
      <c r="B99" s="167" t="n"/>
      <c r="C99" s="167" t="n"/>
      <c r="D99" s="167" t="n">
        <v>38</v>
      </c>
      <c r="E99" s="167" t="n">
        <v>3800</v>
      </c>
      <c r="F99" s="167" t="inlineStr">
        <is>
          <t>90043</t>
        </is>
      </c>
      <c r="G99" s="167" t="inlineStr">
        <is>
          <t>22086000</t>
        </is>
      </c>
      <c r="H99" s="167" t="n"/>
      <c r="I99" s="167" t="inlineStr">
        <is>
          <t>Alimentos - 5102</t>
        </is>
      </c>
      <c r="J99" s="167" t="inlineStr">
        <is>
          <t>Carinás</t>
        </is>
      </c>
      <c r="K99" s="167" t="inlineStr">
        <is>
          <t>Sim</t>
        </is>
      </c>
      <c r="L99" s="167" t="inlineStr">
        <is>
          <t>Unidades</t>
        </is>
      </c>
      <c r="M99" s="167" t="inlineStr">
        <is>
          <t>Carinás + SA</t>
        </is>
      </c>
    </row>
    <row r="100">
      <c r="A100" s="167" t="inlineStr">
        <is>
          <t>CAIPIRINHA CACHACA NACIONAL</t>
        </is>
      </c>
      <c r="B100" s="167" t="n"/>
      <c r="C100" s="167" t="n"/>
      <c r="D100" s="167" t="n">
        <v>32</v>
      </c>
      <c r="E100" s="167" t="n">
        <v>3200</v>
      </c>
      <c r="F100" s="167" t="inlineStr">
        <is>
          <t>29690</t>
        </is>
      </c>
      <c r="G100" s="167" t="inlineStr">
        <is>
          <t>22084000</t>
        </is>
      </c>
      <c r="H100" s="167" t="n"/>
      <c r="I100" s="167" t="inlineStr">
        <is>
          <t>Alimentos - 5102</t>
        </is>
      </c>
      <c r="J100" s="167" t="inlineStr">
        <is>
          <t>Carinás</t>
        </is>
      </c>
      <c r="K100" s="167" t="inlineStr">
        <is>
          <t>Sim</t>
        </is>
      </c>
      <c r="L100" s="167" t="inlineStr">
        <is>
          <t>Unidades</t>
        </is>
      </c>
      <c r="M100" s="167" t="inlineStr">
        <is>
          <t>Carinás + SA</t>
        </is>
      </c>
    </row>
    <row r="101">
      <c r="A101" s="167" t="inlineStr">
        <is>
          <t>CAIPIRINHA DO QUINTAL  OURO</t>
        </is>
      </c>
      <c r="B101" s="167" t="n"/>
      <c r="C101" s="167" t="n"/>
      <c r="D101" s="167" t="n">
        <v>34</v>
      </c>
      <c r="E101" s="167" t="n">
        <v>3400</v>
      </c>
      <c r="F101" s="167" t="inlineStr">
        <is>
          <t>9003168</t>
        </is>
      </c>
      <c r="G101" s="167" t="inlineStr">
        <is>
          <t>22084000</t>
        </is>
      </c>
      <c r="H101" s="167" t="n"/>
      <c r="I101" s="167" t="inlineStr">
        <is>
          <t>Alimentos - 5102</t>
        </is>
      </c>
      <c r="J101" s="167" t="inlineStr">
        <is>
          <t>Carinás</t>
        </is>
      </c>
      <c r="K101" s="167" t="inlineStr">
        <is>
          <t>Sim</t>
        </is>
      </c>
      <c r="L101" s="167" t="inlineStr">
        <is>
          <t>Unidades</t>
        </is>
      </c>
      <c r="M101" s="167" t="inlineStr">
        <is>
          <t>Carinás + SA</t>
        </is>
      </c>
    </row>
    <row r="102">
      <c r="A102" s="167" t="inlineStr">
        <is>
          <t>CAIPIRINHA DO QUINTAL  PRATA</t>
        </is>
      </c>
      <c r="B102" s="167" t="n"/>
      <c r="C102" s="167" t="n"/>
      <c r="D102" s="167" t="n">
        <v>32</v>
      </c>
      <c r="E102" s="167" t="n">
        <v>3200</v>
      </c>
      <c r="F102" s="167" t="inlineStr">
        <is>
          <t>9003167</t>
        </is>
      </c>
      <c r="G102" s="167" t="inlineStr">
        <is>
          <t>22084000</t>
        </is>
      </c>
      <c r="H102" s="167" t="n"/>
      <c r="I102" s="167" t="inlineStr">
        <is>
          <t>Alimentos - 5102</t>
        </is>
      </c>
      <c r="J102" s="167" t="inlineStr">
        <is>
          <t>Carinás</t>
        </is>
      </c>
      <c r="K102" s="167" t="inlineStr">
        <is>
          <t>Sim</t>
        </is>
      </c>
      <c r="L102" s="167" t="inlineStr">
        <is>
          <t>Unidades</t>
        </is>
      </c>
      <c r="M102" s="167" t="inlineStr">
        <is>
          <t>Carinás + SA</t>
        </is>
      </c>
    </row>
    <row r="103">
      <c r="A103" s="167" t="inlineStr">
        <is>
          <t>CAIPIRINHA DO QUINTAL MEL E LIMÃO</t>
        </is>
      </c>
      <c r="B103" s="167" t="n"/>
      <c r="C103" s="167" t="n"/>
      <c r="D103" s="167" t="n">
        <v>34</v>
      </c>
      <c r="E103" s="167" t="n">
        <v>3400</v>
      </c>
      <c r="F103" s="167" t="inlineStr">
        <is>
          <t>9003169</t>
        </is>
      </c>
      <c r="G103" s="167" t="inlineStr">
        <is>
          <t>22084000</t>
        </is>
      </c>
      <c r="H103" s="167" t="n"/>
      <c r="I103" s="167" t="inlineStr">
        <is>
          <t>Bebidas - 5405 - 1</t>
        </is>
      </c>
      <c r="J103" s="167" t="inlineStr">
        <is>
          <t>Carinás</t>
        </is>
      </c>
      <c r="K103" s="167" t="inlineStr">
        <is>
          <t>Sim</t>
        </is>
      </c>
      <c r="L103" s="167" t="inlineStr">
        <is>
          <t>Unidades</t>
        </is>
      </c>
      <c r="M103" s="167" t="inlineStr">
        <is>
          <t>Carinás + SA</t>
        </is>
      </c>
    </row>
    <row r="104">
      <c r="A104" s="167" t="inlineStr">
        <is>
          <t>Caipirinha Kiwi, maça verde</t>
        </is>
      </c>
      <c r="B104" s="167" t="n"/>
      <c r="C104" s="167" t="n"/>
      <c r="D104" s="167" t="n">
        <v>36</v>
      </c>
      <c r="E104" s="167" t="n">
        <v>3600</v>
      </c>
      <c r="F104" s="167" t="inlineStr">
        <is>
          <t>78989056877241</t>
        </is>
      </c>
      <c r="G104" s="167" t="inlineStr">
        <is>
          <t>22086000</t>
        </is>
      </c>
      <c r="H104" s="167" t="n"/>
      <c r="I104" s="167" t="inlineStr">
        <is>
          <t>Alimentos - 5102</t>
        </is>
      </c>
      <c r="J104" s="167" t="inlineStr">
        <is>
          <t>Carinás</t>
        </is>
      </c>
      <c r="K104" s="167" t="inlineStr">
        <is>
          <t>Não</t>
        </is>
      </c>
      <c r="L104" s="167" t="inlineStr">
        <is>
          <t>Unidades</t>
        </is>
      </c>
      <c r="M104" s="167" t="inlineStr">
        <is>
          <t>Carinás + SA</t>
        </is>
      </c>
    </row>
    <row r="105">
      <c r="A105" s="167" t="inlineStr">
        <is>
          <t>Caipirinha Maracuja, gengibre</t>
        </is>
      </c>
      <c r="B105" s="167" t="n"/>
      <c r="C105" s="167" t="n"/>
      <c r="D105" s="167" t="n">
        <v>36</v>
      </c>
      <c r="E105" s="167" t="n">
        <v>3600</v>
      </c>
      <c r="F105" s="167" t="inlineStr">
        <is>
          <t>78989056877238</t>
        </is>
      </c>
      <c r="G105" s="167" t="inlineStr">
        <is>
          <t>22086000</t>
        </is>
      </c>
      <c r="H105" s="167" t="n"/>
      <c r="I105" s="167" t="inlineStr">
        <is>
          <t>Alimentos - 5102</t>
        </is>
      </c>
      <c r="J105" s="167" t="inlineStr">
        <is>
          <t>Carinás</t>
        </is>
      </c>
      <c r="K105" s="167" t="inlineStr">
        <is>
          <t>Não</t>
        </is>
      </c>
      <c r="L105" s="167" t="inlineStr">
        <is>
          <t>Unidades</t>
        </is>
      </c>
      <c r="M105" s="167" t="inlineStr">
        <is>
          <t>Carinás + SA</t>
        </is>
      </c>
    </row>
    <row r="106">
      <c r="A106" s="167" t="inlineStr">
        <is>
          <t>Caipirinha Morango, Lichia</t>
        </is>
      </c>
      <c r="B106" s="167" t="n"/>
      <c r="C106" s="167" t="n"/>
      <c r="D106" s="167" t="n">
        <v>38</v>
      </c>
      <c r="E106" s="167" t="n">
        <v>3800</v>
      </c>
      <c r="F106" s="167" t="inlineStr">
        <is>
          <t>78989056877240</t>
        </is>
      </c>
      <c r="G106" s="167" t="inlineStr">
        <is>
          <t>22086000</t>
        </is>
      </c>
      <c r="H106" s="167" t="n"/>
      <c r="I106" s="167" t="inlineStr">
        <is>
          <t>Alimentos - 5102</t>
        </is>
      </c>
      <c r="J106" s="167" t="inlineStr">
        <is>
          <t>Carinás</t>
        </is>
      </c>
      <c r="K106" s="167" t="inlineStr">
        <is>
          <t>Não</t>
        </is>
      </c>
      <c r="L106" s="167" t="inlineStr">
        <is>
          <t>Unidades</t>
        </is>
      </c>
      <c r="M106" s="167" t="inlineStr">
        <is>
          <t>Carinás + SA</t>
        </is>
      </c>
    </row>
    <row r="107">
      <c r="A107" s="167" t="inlineStr">
        <is>
          <t>CAIPIRINHA SABOR DE MINAS</t>
        </is>
      </c>
      <c r="B107" s="167" t="n"/>
      <c r="C107" s="167" t="n"/>
      <c r="D107" s="167" t="n">
        <v>0</v>
      </c>
      <c r="E107" s="167" t="n">
        <v>0</v>
      </c>
      <c r="F107" s="167" t="inlineStr">
        <is>
          <t>9003142</t>
        </is>
      </c>
      <c r="G107" s="167" t="inlineStr">
        <is>
          <t>22084000</t>
        </is>
      </c>
      <c r="H107" s="167" t="n"/>
      <c r="I107" s="167" t="n"/>
      <c r="J107" s="167" t="n"/>
      <c r="K107" s="167" t="inlineStr">
        <is>
          <t>Sim</t>
        </is>
      </c>
      <c r="L107" s="167" t="inlineStr">
        <is>
          <t>Unidades</t>
        </is>
      </c>
      <c r="M107" s="167" t="inlineStr">
        <is>
          <t>Carinás</t>
        </is>
      </c>
    </row>
    <row r="108">
      <c r="A108" s="167" t="inlineStr">
        <is>
          <t>CAIPIRINHA SAKE</t>
        </is>
      </c>
      <c r="B108" s="167" t="n"/>
      <c r="C108" s="167" t="n"/>
      <c r="D108" s="167" t="n">
        <v>32</v>
      </c>
      <c r="E108" s="167" t="n">
        <v>3200</v>
      </c>
      <c r="F108" s="167" t="inlineStr">
        <is>
          <t>90018</t>
        </is>
      </c>
      <c r="G108" s="167" t="inlineStr">
        <is>
          <t>22089000</t>
        </is>
      </c>
      <c r="H108" s="167" t="n"/>
      <c r="I108" s="167" t="inlineStr">
        <is>
          <t>Alimentos - 5102</t>
        </is>
      </c>
      <c r="J108" s="167" t="inlineStr">
        <is>
          <t>Carinás</t>
        </is>
      </c>
      <c r="K108" s="167" t="inlineStr">
        <is>
          <t>Sim</t>
        </is>
      </c>
      <c r="L108" s="167" t="inlineStr">
        <is>
          <t>Unidades</t>
        </is>
      </c>
      <c r="M108" s="167" t="inlineStr">
        <is>
          <t>Carinás + SA</t>
        </is>
      </c>
    </row>
    <row r="109">
      <c r="A109" s="167" t="inlineStr">
        <is>
          <t>CAIPIRINHA SAO FRANCISCO</t>
        </is>
      </c>
      <c r="B109" s="167" t="n"/>
      <c r="C109" s="167" t="n"/>
      <c r="D109" s="167" t="n">
        <v>34</v>
      </c>
      <c r="E109" s="167" t="n">
        <v>3400</v>
      </c>
      <c r="F109" s="167" t="inlineStr">
        <is>
          <t>69657</t>
        </is>
      </c>
      <c r="G109" s="167" t="inlineStr">
        <is>
          <t>22084000</t>
        </is>
      </c>
      <c r="H109" s="167" t="n"/>
      <c r="I109" s="167" t="inlineStr">
        <is>
          <t>Alimentos - 5102</t>
        </is>
      </c>
      <c r="J109" s="167" t="inlineStr">
        <is>
          <t>Carinás</t>
        </is>
      </c>
      <c r="K109" s="167" t="inlineStr">
        <is>
          <t>Sim</t>
        </is>
      </c>
      <c r="L109" s="167" t="inlineStr">
        <is>
          <t>Unidades</t>
        </is>
      </c>
      <c r="M109" s="167" t="inlineStr">
        <is>
          <t>Carinás + SA</t>
        </is>
      </c>
    </row>
    <row r="110">
      <c r="A110" s="167" t="inlineStr">
        <is>
          <t>CAIPIRINHA VODKA NACIONAL</t>
        </is>
      </c>
      <c r="B110" s="167" t="n"/>
      <c r="C110" s="167" t="n"/>
      <c r="D110" s="167" t="n">
        <v>34</v>
      </c>
      <c r="E110" s="167" t="n">
        <v>3400</v>
      </c>
      <c r="F110" s="167" t="inlineStr">
        <is>
          <t>39636</t>
        </is>
      </c>
      <c r="G110" s="167" t="inlineStr">
        <is>
          <t>22086000</t>
        </is>
      </c>
      <c r="H110" s="167" t="n"/>
      <c r="I110" s="167" t="inlineStr">
        <is>
          <t>Alimentos - 5102</t>
        </is>
      </c>
      <c r="J110" s="167" t="inlineStr">
        <is>
          <t>Carinás</t>
        </is>
      </c>
      <c r="K110" s="167" t="inlineStr">
        <is>
          <t>Sim</t>
        </is>
      </c>
      <c r="L110" s="167" t="inlineStr">
        <is>
          <t>Unidades</t>
        </is>
      </c>
      <c r="M110" s="167" t="inlineStr">
        <is>
          <t>Carinás + SA</t>
        </is>
      </c>
    </row>
    <row r="111">
      <c r="A111" s="167" t="inlineStr">
        <is>
          <t>Caju Amigo</t>
        </is>
      </c>
      <c r="B111" s="167" t="n"/>
      <c r="C111" s="167" t="n"/>
      <c r="D111" s="167" t="n">
        <v>38.99</v>
      </c>
      <c r="E111" s="167" t="n">
        <v>3899</v>
      </c>
      <c r="F111" s="167" t="inlineStr">
        <is>
          <t>78989056877230</t>
        </is>
      </c>
      <c r="G111" s="167" t="inlineStr">
        <is>
          <t>22084000</t>
        </is>
      </c>
      <c r="H111" s="167" t="n"/>
      <c r="I111" s="167" t="inlineStr">
        <is>
          <t>Alimentos - 5102</t>
        </is>
      </c>
      <c r="J111" s="167" t="inlineStr">
        <is>
          <t>Carinás</t>
        </is>
      </c>
      <c r="K111" s="167" t="inlineStr">
        <is>
          <t>Não</t>
        </is>
      </c>
      <c r="L111" s="167" t="inlineStr">
        <is>
          <t>Unidades</t>
        </is>
      </c>
      <c r="M111" s="167" t="inlineStr">
        <is>
          <t>Carinás + SA</t>
        </is>
      </c>
    </row>
    <row r="112">
      <c r="A112" s="167" t="inlineStr">
        <is>
          <t>CALABRESA C/ PIMENTA</t>
        </is>
      </c>
      <c r="B112" s="167" t="n"/>
      <c r="C112" s="167" t="n"/>
      <c r="D112" s="167" t="n">
        <v>13.99</v>
      </c>
      <c r="E112" s="167" t="n">
        <v>1399</v>
      </c>
      <c r="F112" s="167" t="inlineStr">
        <is>
          <t>10032</t>
        </is>
      </c>
      <c r="G112" s="167" t="inlineStr">
        <is>
          <t>21069090</t>
        </is>
      </c>
      <c r="H112" s="167" t="n"/>
      <c r="I112" s="167" t="inlineStr">
        <is>
          <t>Alimentos - 5102</t>
        </is>
      </c>
      <c r="J112" s="167" t="inlineStr">
        <is>
          <t>Carinás</t>
        </is>
      </c>
      <c r="K112" s="167" t="inlineStr">
        <is>
          <t>Sim</t>
        </is>
      </c>
      <c r="L112" s="167" t="inlineStr">
        <is>
          <t>Unidades</t>
        </is>
      </c>
      <c r="M112" s="167" t="inlineStr">
        <is>
          <t>Carinás + SA + Delivery</t>
        </is>
      </c>
    </row>
    <row r="113">
      <c r="A113" s="167" t="inlineStr">
        <is>
          <t>CALABRESA C/ PIMENTA IN NATURA</t>
        </is>
      </c>
      <c r="B113" s="167" t="n"/>
      <c r="C113" s="167" t="n"/>
      <c r="D113" s="167" t="n">
        <v>29.9</v>
      </c>
      <c r="E113" s="167" t="n">
        <v>2990</v>
      </c>
      <c r="F113" s="167" t="inlineStr">
        <is>
          <t>10002</t>
        </is>
      </c>
      <c r="G113" s="167" t="inlineStr">
        <is>
          <t>21069090</t>
        </is>
      </c>
      <c r="H113" s="167" t="n"/>
      <c r="I113" s="167" t="inlineStr">
        <is>
          <t>Alimentos - 5102</t>
        </is>
      </c>
      <c r="J113" s="167" t="inlineStr">
        <is>
          <t>Carinás</t>
        </is>
      </c>
      <c r="K113" s="167" t="inlineStr">
        <is>
          <t>Sim</t>
        </is>
      </c>
      <c r="L113" s="167" t="inlineStr">
        <is>
          <t>Unidades</t>
        </is>
      </c>
      <c r="M113" s="167" t="inlineStr">
        <is>
          <t>Carinás + SA + Delivery</t>
        </is>
      </c>
    </row>
    <row r="114">
      <c r="A114" s="167" t="inlineStr">
        <is>
          <t>CALABRESA S/ PIMENTA</t>
        </is>
      </c>
      <c r="B114" s="167" t="n"/>
      <c r="C114" s="167" t="n"/>
      <c r="D114" s="167" t="n">
        <v>13.99</v>
      </c>
      <c r="E114" s="167" t="n">
        <v>1399</v>
      </c>
      <c r="F114" s="167" t="inlineStr">
        <is>
          <t>10033</t>
        </is>
      </c>
      <c r="G114" s="167" t="inlineStr">
        <is>
          <t>21069090</t>
        </is>
      </c>
      <c r="H114" s="167" t="n"/>
      <c r="I114" s="167" t="inlineStr">
        <is>
          <t>Alimentos - 5102</t>
        </is>
      </c>
      <c r="J114" s="167" t="inlineStr">
        <is>
          <t>Carinás</t>
        </is>
      </c>
      <c r="K114" s="167" t="inlineStr">
        <is>
          <t>Sim</t>
        </is>
      </c>
      <c r="L114" s="167" t="inlineStr">
        <is>
          <t>Unidades</t>
        </is>
      </c>
      <c r="M114" s="167" t="inlineStr">
        <is>
          <t>Carinás + SA + Delivery</t>
        </is>
      </c>
    </row>
    <row r="115">
      <c r="A115" s="167" t="inlineStr">
        <is>
          <t>CALABRESA S/ PIMENTA IN NATURA</t>
        </is>
      </c>
      <c r="B115" s="167" t="n"/>
      <c r="C115" s="167" t="n"/>
      <c r="D115" s="167" t="n">
        <v>29.9</v>
      </c>
      <c r="E115" s="167" t="n">
        <v>2990</v>
      </c>
      <c r="F115" s="167" t="inlineStr">
        <is>
          <t>10003</t>
        </is>
      </c>
      <c r="G115" s="167" t="inlineStr">
        <is>
          <t>21069090</t>
        </is>
      </c>
      <c r="H115" s="167" t="n"/>
      <c r="I115" s="167" t="inlineStr">
        <is>
          <t>Alimentos - 5102</t>
        </is>
      </c>
      <c r="J115" s="167" t="inlineStr">
        <is>
          <t>Carinás</t>
        </is>
      </c>
      <c r="K115" s="167" t="inlineStr">
        <is>
          <t>Sim</t>
        </is>
      </c>
      <c r="L115" s="167" t="inlineStr">
        <is>
          <t>Unidades</t>
        </is>
      </c>
      <c r="M115" s="167" t="inlineStr">
        <is>
          <t>Carinás + SA + Delivery</t>
        </is>
      </c>
    </row>
    <row r="116">
      <c r="A116" s="167" t="inlineStr">
        <is>
          <t>CALDO DE FEIJÃO</t>
        </is>
      </c>
      <c r="B116" s="167" t="n"/>
      <c r="C116" s="167" t="n"/>
      <c r="D116" s="167" t="n">
        <v>19.99</v>
      </c>
      <c r="E116" s="167" t="n">
        <v>1999</v>
      </c>
      <c r="F116" s="167" t="inlineStr">
        <is>
          <t>7898905687155</t>
        </is>
      </c>
      <c r="G116" s="167" t="inlineStr">
        <is>
          <t>21042000</t>
        </is>
      </c>
      <c r="H116" s="167" t="n"/>
      <c r="I116" s="167" t="inlineStr">
        <is>
          <t>Alimentos - 5102</t>
        </is>
      </c>
      <c r="J116" s="167" t="inlineStr">
        <is>
          <t>Carinás</t>
        </is>
      </c>
      <c r="K116" s="167" t="inlineStr">
        <is>
          <t>Sim</t>
        </is>
      </c>
      <c r="L116" s="167" t="inlineStr">
        <is>
          <t>Unidades</t>
        </is>
      </c>
      <c r="M116" s="167" t="inlineStr">
        <is>
          <t>Carinás + SA</t>
        </is>
      </c>
    </row>
    <row r="117">
      <c r="A117" s="167" t="inlineStr">
        <is>
          <t>CALDO VERDE</t>
        </is>
      </c>
      <c r="B117" s="167" t="n"/>
      <c r="C117" s="167" t="n"/>
      <c r="D117" s="167" t="n">
        <v>19.99</v>
      </c>
      <c r="E117" s="167" t="n">
        <v>1999</v>
      </c>
      <c r="F117" s="167" t="inlineStr">
        <is>
          <t>7898905687156</t>
        </is>
      </c>
      <c r="G117" s="167" t="inlineStr">
        <is>
          <t>21042000</t>
        </is>
      </c>
      <c r="H117" s="167" t="n"/>
      <c r="I117" s="167" t="inlineStr">
        <is>
          <t>Alimentos - 5102</t>
        </is>
      </c>
      <c r="J117" s="167" t="inlineStr">
        <is>
          <t>Carinás</t>
        </is>
      </c>
      <c r="K117" s="167" t="inlineStr">
        <is>
          <t>Sim</t>
        </is>
      </c>
      <c r="L117" s="167" t="inlineStr">
        <is>
          <t>Unidades</t>
        </is>
      </c>
      <c r="M117" s="167" t="inlineStr">
        <is>
          <t>Carinás + SA</t>
        </is>
      </c>
    </row>
    <row r="118">
      <c r="A118" s="167" t="inlineStr">
        <is>
          <t>CAMARAO BRASA</t>
        </is>
      </c>
      <c r="B118" s="167" t="n"/>
      <c r="C118" s="167" t="n"/>
      <c r="D118" s="167" t="n">
        <v>19.99</v>
      </c>
      <c r="E118" s="167" t="n">
        <v>1999</v>
      </c>
      <c r="F118" s="167" t="inlineStr">
        <is>
          <t>40001</t>
        </is>
      </c>
      <c r="G118" s="167" t="inlineStr">
        <is>
          <t>21069090</t>
        </is>
      </c>
      <c r="H118" s="167" t="n"/>
      <c r="I118" s="167" t="inlineStr">
        <is>
          <t>Alimentos - 5102</t>
        </is>
      </c>
      <c r="J118" s="167" t="inlineStr">
        <is>
          <t>Carinás</t>
        </is>
      </c>
      <c r="K118" s="167" t="inlineStr">
        <is>
          <t>Sim</t>
        </is>
      </c>
      <c r="L118" s="167" t="inlineStr">
        <is>
          <t>Unidades</t>
        </is>
      </c>
      <c r="M118" s="167" t="inlineStr">
        <is>
          <t>Carinás + SA + Delivery</t>
        </is>
      </c>
    </row>
    <row r="119">
      <c r="A119" s="167" t="inlineStr">
        <is>
          <t>CAMARAO IN NATURA</t>
        </is>
      </c>
      <c r="B119" s="167" t="n"/>
      <c r="C119" s="167" t="n"/>
      <c r="D119" s="167" t="n">
        <v>39.9</v>
      </c>
      <c r="E119" s="167" t="n">
        <v>3990</v>
      </c>
      <c r="F119" s="167" t="inlineStr">
        <is>
          <t>10021</t>
        </is>
      </c>
      <c r="G119" s="167" t="inlineStr">
        <is>
          <t>21069090</t>
        </is>
      </c>
      <c r="H119" s="167" t="n"/>
      <c r="I119" s="167" t="inlineStr">
        <is>
          <t>Alimentos - 5102</t>
        </is>
      </c>
      <c r="J119" s="167" t="inlineStr">
        <is>
          <t>Carinás</t>
        </is>
      </c>
      <c r="K119" s="167" t="inlineStr">
        <is>
          <t>Sim</t>
        </is>
      </c>
      <c r="L119" s="167" t="inlineStr">
        <is>
          <t>Unidades</t>
        </is>
      </c>
      <c r="M119" s="167" t="inlineStr">
        <is>
          <t>Carinás + SA</t>
        </is>
      </c>
    </row>
    <row r="120">
      <c r="A120" s="167" t="inlineStr">
        <is>
          <t>CAMAROTE PLUG TICKETS</t>
        </is>
      </c>
      <c r="B120" s="167" t="n"/>
      <c r="C120" s="167" t="n"/>
      <c r="D120" s="167" t="n">
        <v>90</v>
      </c>
      <c r="E120" s="167" t="n">
        <v>9000</v>
      </c>
      <c r="F120" s="167" t="inlineStr">
        <is>
          <t>7898905687168</t>
        </is>
      </c>
      <c r="G120" s="167" t="inlineStr">
        <is>
          <t>21069090</t>
        </is>
      </c>
      <c r="H120" s="167" t="n"/>
      <c r="I120" s="167" t="inlineStr">
        <is>
          <t>Alimentos - 5102</t>
        </is>
      </c>
      <c r="J120" s="167" t="inlineStr">
        <is>
          <t>Santo André</t>
        </is>
      </c>
      <c r="K120" s="167" t="n"/>
      <c r="L120" s="167" t="n"/>
      <c r="M120" s="167" t="inlineStr">
        <is>
          <t>SA</t>
        </is>
      </c>
    </row>
    <row r="121">
      <c r="A121" s="167" t="inlineStr">
        <is>
          <t>CAMPARI DOSE</t>
        </is>
      </c>
      <c r="B121" s="167" t="n"/>
      <c r="C121" s="167" t="n"/>
      <c r="D121" s="167" t="n">
        <v>16</v>
      </c>
      <c r="E121" s="167" t="n">
        <v>1600</v>
      </c>
      <c r="F121" s="167" t="inlineStr">
        <is>
          <t>61180</t>
        </is>
      </c>
      <c r="G121" s="167" t="inlineStr">
        <is>
          <t>22089000</t>
        </is>
      </c>
      <c r="H121" s="167" t="n"/>
      <c r="I121" s="167" t="inlineStr">
        <is>
          <t>Alimentos - 5102</t>
        </is>
      </c>
      <c r="J121" s="167" t="inlineStr">
        <is>
          <t>Carinás</t>
        </is>
      </c>
      <c r="K121" s="167" t="inlineStr">
        <is>
          <t>Sim</t>
        </is>
      </c>
      <c r="L121" s="167" t="inlineStr">
        <is>
          <t>Unidades</t>
        </is>
      </c>
      <c r="M121" s="167" t="inlineStr">
        <is>
          <t>Carinás + SA</t>
        </is>
      </c>
    </row>
    <row r="122">
      <c r="A122" s="167" t="inlineStr">
        <is>
          <t>CAMPARI GARRAFA</t>
        </is>
      </c>
      <c r="B122" s="167" t="n"/>
      <c r="C122" s="167" t="n"/>
      <c r="D122" s="167" t="n">
        <v>139</v>
      </c>
      <c r="E122" s="167" t="n">
        <v>13900</v>
      </c>
      <c r="F122" s="167" t="inlineStr">
        <is>
          <t>9003147</t>
        </is>
      </c>
      <c r="G122" s="167" t="inlineStr">
        <is>
          <t>22089000</t>
        </is>
      </c>
      <c r="H122" s="167" t="n"/>
      <c r="I122" s="167" t="inlineStr">
        <is>
          <t>Alimentos - 5102</t>
        </is>
      </c>
      <c r="J122" s="167" t="inlineStr">
        <is>
          <t>Carinás</t>
        </is>
      </c>
      <c r="K122" s="167" t="inlineStr">
        <is>
          <t>Sim</t>
        </is>
      </c>
      <c r="L122" s="167" t="inlineStr">
        <is>
          <t>Unidades</t>
        </is>
      </c>
      <c r="M122" s="167" t="inlineStr">
        <is>
          <t>Carinás + SA</t>
        </is>
      </c>
    </row>
    <row r="123">
      <c r="A123" s="167" t="inlineStr">
        <is>
          <t>Canarinho</t>
        </is>
      </c>
      <c r="B123" s="167" t="n"/>
      <c r="C123" s="167" t="n"/>
      <c r="D123" s="167" t="n">
        <v>37.99</v>
      </c>
      <c r="E123" s="167" t="n">
        <v>3799</v>
      </c>
      <c r="F123" s="167" t="inlineStr">
        <is>
          <t>78989056877223</t>
        </is>
      </c>
      <c r="G123" s="167" t="inlineStr">
        <is>
          <t>22084000</t>
        </is>
      </c>
      <c r="H123" s="167" t="n"/>
      <c r="I123" s="167" t="inlineStr">
        <is>
          <t>Alimentos - 5102</t>
        </is>
      </c>
      <c r="J123" s="167" t="inlineStr">
        <is>
          <t>Carinás</t>
        </is>
      </c>
      <c r="K123" s="167" t="inlineStr">
        <is>
          <t>Não</t>
        </is>
      </c>
      <c r="L123" s="167" t="inlineStr">
        <is>
          <t>Unidades</t>
        </is>
      </c>
      <c r="M123" s="167" t="inlineStr">
        <is>
          <t>Carinás + SA</t>
        </is>
      </c>
    </row>
    <row r="124">
      <c r="A124" s="167" t="inlineStr">
        <is>
          <t>CANECA CHOPP 500ML</t>
        </is>
      </c>
      <c r="B124" s="167" t="n"/>
      <c r="C124" s="167" t="n"/>
      <c r="D124" s="167" t="n">
        <v>50</v>
      </c>
      <c r="E124" s="167" t="n">
        <v>5000</v>
      </c>
      <c r="F124" s="167" t="inlineStr">
        <is>
          <t>78989056877314</t>
        </is>
      </c>
      <c r="G124" s="167" t="inlineStr">
        <is>
          <t>82119320</t>
        </is>
      </c>
      <c r="H124" s="167" t="n"/>
      <c r="I124" s="167" t="inlineStr">
        <is>
          <t>Bebidas - 5405 - 1</t>
        </is>
      </c>
      <c r="J124" s="167" t="inlineStr">
        <is>
          <t>Carinás</t>
        </is>
      </c>
      <c r="K124" s="167" t="inlineStr">
        <is>
          <t>Não</t>
        </is>
      </c>
      <c r="L124" s="167" t="inlineStr">
        <is>
          <t>Unidades</t>
        </is>
      </c>
      <c r="M124" s="167" t="inlineStr">
        <is>
          <t>Carinás + SA</t>
        </is>
      </c>
    </row>
    <row r="125">
      <c r="A125" s="167" t="inlineStr">
        <is>
          <t>CANIVETE  CIMO 14/3INOX CB C/CLIP</t>
        </is>
      </c>
      <c r="B125" s="167" t="n"/>
      <c r="C125" s="167" t="n"/>
      <c r="D125" s="167" t="n">
        <v>44.6</v>
      </c>
      <c r="E125" s="167" t="n">
        <v>4460</v>
      </c>
      <c r="F125" s="167" t="inlineStr">
        <is>
          <t>9003358</t>
        </is>
      </c>
      <c r="G125" s="167" t="inlineStr">
        <is>
          <t>82119320</t>
        </is>
      </c>
      <c r="H125" s="167" t="n"/>
      <c r="I125" s="167" t="inlineStr">
        <is>
          <t>Alimentos - 5102</t>
        </is>
      </c>
      <c r="J125" s="167" t="inlineStr">
        <is>
          <t>Carinás</t>
        </is>
      </c>
      <c r="K125" s="167" t="inlineStr">
        <is>
          <t>Sim</t>
        </is>
      </c>
      <c r="L125" s="167" t="inlineStr">
        <is>
          <t>Unidades</t>
        </is>
      </c>
      <c r="M125" s="167" t="inlineStr">
        <is>
          <t>Carinás</t>
        </is>
      </c>
    </row>
    <row r="126">
      <c r="A126" s="167" t="inlineStr">
        <is>
          <t>CANIVETE CIMO 143 INOX C/ CLIP</t>
        </is>
      </c>
      <c r="B126" s="167" t="n"/>
      <c r="C126" s="167" t="n"/>
      <c r="D126" s="167" t="n">
        <v>0</v>
      </c>
      <c r="E126" s="167" t="n">
        <v>0</v>
      </c>
      <c r="F126" s="167" t="inlineStr">
        <is>
          <t>9003563</t>
        </is>
      </c>
      <c r="G126" s="167" t="inlineStr">
        <is>
          <t>82119320</t>
        </is>
      </c>
      <c r="H126" s="167" t="n"/>
      <c r="I126" s="167" t="n"/>
      <c r="J126" s="167" t="n"/>
      <c r="K126" s="167" t="inlineStr">
        <is>
          <t>Sim</t>
        </is>
      </c>
      <c r="L126" s="167" t="inlineStr">
        <is>
          <t>Unidades</t>
        </is>
      </c>
      <c r="M126" s="167" t="inlineStr">
        <is>
          <t>Carinás</t>
        </is>
      </c>
    </row>
    <row r="127">
      <c r="A127" s="167" t="inlineStr">
        <is>
          <t>Canjica</t>
        </is>
      </c>
      <c r="B127" s="167" t="n"/>
      <c r="C127" s="167" t="n"/>
      <c r="D127" s="167" t="n">
        <v>10</v>
      </c>
      <c r="E127" s="167" t="n">
        <v>1000</v>
      </c>
      <c r="F127" s="167" t="inlineStr">
        <is>
          <t>78989056877250</t>
        </is>
      </c>
      <c r="G127" s="167" t="inlineStr">
        <is>
          <t>11031300</t>
        </is>
      </c>
      <c r="H127" s="167" t="n"/>
      <c r="I127" s="167" t="inlineStr">
        <is>
          <t>Alimentos - 5102</t>
        </is>
      </c>
      <c r="J127" s="167" t="inlineStr">
        <is>
          <t>Santo André</t>
        </is>
      </c>
      <c r="K127" s="167" t="n"/>
      <c r="L127" s="167" t="n"/>
      <c r="M127" s="167" t="inlineStr">
        <is>
          <t>SA</t>
        </is>
      </c>
    </row>
    <row r="128">
      <c r="A128" s="167" t="inlineStr">
        <is>
          <t>CARAMELITO</t>
        </is>
      </c>
      <c r="B128" s="167" t="n"/>
      <c r="C128" s="167" t="inlineStr">
        <is>
          <t>A COQUETEIS</t>
        </is>
      </c>
      <c r="D128" s="167" t="n">
        <v>40.99</v>
      </c>
      <c r="E128" s="167" t="n">
        <v>4099</v>
      </c>
      <c r="F128" s="167" t="inlineStr">
        <is>
          <t>78989056877119</t>
        </is>
      </c>
      <c r="G128" s="167" t="inlineStr">
        <is>
          <t>22087000</t>
        </is>
      </c>
      <c r="H128" s="167" t="n"/>
      <c r="I128" s="167" t="inlineStr">
        <is>
          <t>Alimentos - 5102</t>
        </is>
      </c>
      <c r="J128" s="167" t="inlineStr">
        <is>
          <t>Carinás</t>
        </is>
      </c>
      <c r="K128" s="167" t="inlineStr">
        <is>
          <t>Sim</t>
        </is>
      </c>
      <c r="L128" s="167" t="inlineStr">
        <is>
          <t>Unidades</t>
        </is>
      </c>
      <c r="M128" s="167" t="inlineStr">
        <is>
          <t>Carinás + SA</t>
        </is>
      </c>
    </row>
    <row r="129">
      <c r="A129" s="167" t="inlineStr">
        <is>
          <t>CARRE DE CORDEIRO</t>
        </is>
      </c>
      <c r="B129" s="167" t="n"/>
      <c r="C129" s="167" t="n"/>
      <c r="D129" s="167" t="n">
        <v>19.99</v>
      </c>
      <c r="E129" s="167" t="n">
        <v>1999</v>
      </c>
      <c r="F129" s="167" t="inlineStr">
        <is>
          <t>40020</t>
        </is>
      </c>
      <c r="G129" s="167" t="inlineStr">
        <is>
          <t>21069090</t>
        </is>
      </c>
      <c r="H129" s="167" t="n"/>
      <c r="I129" s="167" t="inlineStr">
        <is>
          <t>Alimentos - 5102</t>
        </is>
      </c>
      <c r="J129" s="167" t="inlineStr">
        <is>
          <t>Carinás</t>
        </is>
      </c>
      <c r="K129" s="167" t="inlineStr">
        <is>
          <t>Sim</t>
        </is>
      </c>
      <c r="L129" s="167" t="inlineStr">
        <is>
          <t>Unidades</t>
        </is>
      </c>
      <c r="M129" s="167" t="inlineStr">
        <is>
          <t>Carinás + SA</t>
        </is>
      </c>
    </row>
    <row r="130">
      <c r="A130" s="167" t="inlineStr">
        <is>
          <t>CARTAO ZIG PAY</t>
        </is>
      </c>
      <c r="B130" s="167" t="n"/>
      <c r="C130" s="167" t="n"/>
      <c r="D130" s="167" t="n">
        <v>10</v>
      </c>
      <c r="E130" s="167" t="n">
        <v>1000</v>
      </c>
      <c r="F130" s="167" t="inlineStr">
        <is>
          <t>7898905687191</t>
        </is>
      </c>
      <c r="G130" s="167" t="inlineStr">
        <is>
          <t>21069090</t>
        </is>
      </c>
      <c r="H130" s="167" t="n"/>
      <c r="I130" s="167" t="inlineStr">
        <is>
          <t>Alimentos - 5102</t>
        </is>
      </c>
      <c r="J130" s="167" t="inlineStr">
        <is>
          <t>Carinás</t>
        </is>
      </c>
      <c r="K130" s="167" t="inlineStr">
        <is>
          <t>Sim</t>
        </is>
      </c>
      <c r="L130" s="167" t="inlineStr">
        <is>
          <t>Unidades</t>
        </is>
      </c>
      <c r="M130" s="167" t="inlineStr">
        <is>
          <t>Carinás + SA</t>
        </is>
      </c>
    </row>
    <row r="131">
      <c r="A131" s="167" t="inlineStr">
        <is>
          <t>CARVAO 10KG</t>
        </is>
      </c>
      <c r="B131" s="167" t="n"/>
      <c r="C131" s="167" t="n"/>
      <c r="D131" s="167" t="n">
        <v>39.9</v>
      </c>
      <c r="E131" s="167" t="n">
        <v>3990</v>
      </c>
      <c r="F131" s="167" t="inlineStr">
        <is>
          <t>10023</t>
        </is>
      </c>
      <c r="G131" s="167" t="inlineStr">
        <is>
          <t>44029000</t>
        </is>
      </c>
      <c r="H131" s="167" t="n"/>
      <c r="I131" s="167" t="inlineStr">
        <is>
          <t>Alimentos - 5102</t>
        </is>
      </c>
      <c r="J131" s="167" t="inlineStr">
        <is>
          <t>Carinás</t>
        </is>
      </c>
      <c r="K131" s="167" t="inlineStr">
        <is>
          <t>Sim</t>
        </is>
      </c>
      <c r="L131" s="167" t="inlineStr">
        <is>
          <t>Unidades</t>
        </is>
      </c>
      <c r="M131" s="167" t="inlineStr">
        <is>
          <t>Carinás</t>
        </is>
      </c>
    </row>
    <row r="132">
      <c r="A132" s="167" t="inlineStr">
        <is>
          <t>CARVÃO 2,5 KG</t>
        </is>
      </c>
      <c r="B132" s="167" t="n"/>
      <c r="C132" s="167" t="n"/>
      <c r="D132" s="167" t="n">
        <v>10.9</v>
      </c>
      <c r="E132" s="167" t="n">
        <v>1090</v>
      </c>
      <c r="F132" s="167" t="inlineStr">
        <is>
          <t>9003345</t>
        </is>
      </c>
      <c r="G132" s="167" t="inlineStr">
        <is>
          <t>44029000</t>
        </is>
      </c>
      <c r="H132" s="167" t="n"/>
      <c r="I132" s="167" t="inlineStr">
        <is>
          <t>Alimentos - 5102</t>
        </is>
      </c>
      <c r="J132" s="167" t="inlineStr">
        <is>
          <t>Carinás</t>
        </is>
      </c>
      <c r="K132" s="167" t="inlineStr">
        <is>
          <t>Sim</t>
        </is>
      </c>
      <c r="L132" s="167" t="inlineStr">
        <is>
          <t>Unidades</t>
        </is>
      </c>
      <c r="M132" s="167" t="inlineStr">
        <is>
          <t>Carinás</t>
        </is>
      </c>
    </row>
    <row r="133">
      <c r="A133" s="167" t="inlineStr">
        <is>
          <t>CARVÃO 4K</t>
        </is>
      </c>
      <c r="B133" s="167" t="n"/>
      <c r="C133" s="167" t="n"/>
      <c r="D133" s="167" t="n">
        <v>14.9</v>
      </c>
      <c r="E133" s="167" t="n">
        <v>1490</v>
      </c>
      <c r="F133" s="167" t="inlineStr">
        <is>
          <t>9003262</t>
        </is>
      </c>
      <c r="G133" s="167" t="inlineStr">
        <is>
          <t>44029000</t>
        </is>
      </c>
      <c r="H133" s="167" t="n"/>
      <c r="I133" s="167" t="inlineStr">
        <is>
          <t>Alimentos - 5102</t>
        </is>
      </c>
      <c r="J133" s="167" t="inlineStr">
        <is>
          <t>Carinás</t>
        </is>
      </c>
      <c r="K133" s="167" t="inlineStr">
        <is>
          <t>Sim</t>
        </is>
      </c>
      <c r="L133" s="167" t="inlineStr">
        <is>
          <t>Unidades</t>
        </is>
      </c>
      <c r="M133" s="167" t="inlineStr">
        <is>
          <t>Carinás</t>
        </is>
      </c>
    </row>
    <row r="134">
      <c r="A134" s="167" t="inlineStr">
        <is>
          <t>CASQUINHA DE SORVETE BAUNILHA</t>
        </is>
      </c>
      <c r="B134" s="167" t="n"/>
      <c r="C134" s="167" t="n"/>
      <c r="D134" s="167" t="n">
        <v>9.9</v>
      </c>
      <c r="E134" s="167" t="n">
        <v>990</v>
      </c>
      <c r="F134" s="167" t="inlineStr">
        <is>
          <t>789890568772136</t>
        </is>
      </c>
      <c r="G134" s="167" t="inlineStr">
        <is>
          <t>22089000</t>
        </is>
      </c>
      <c r="H134" s="167" t="n"/>
      <c r="I134" s="167" t="inlineStr">
        <is>
          <t>Alimentos - 5102</t>
        </is>
      </c>
      <c r="J134" s="167" t="inlineStr">
        <is>
          <t>Carinás</t>
        </is>
      </c>
      <c r="K134" s="167" t="inlineStr">
        <is>
          <t>Não</t>
        </is>
      </c>
      <c r="L134" s="167" t="inlineStr">
        <is>
          <t>Unidades</t>
        </is>
      </c>
      <c r="M134" s="167" t="inlineStr">
        <is>
          <t>Carinás</t>
        </is>
      </c>
    </row>
    <row r="135">
      <c r="A135" s="167" t="inlineStr">
        <is>
          <t>CASQUINHA DE SORVETE CHOCOLATE</t>
        </is>
      </c>
      <c r="B135" s="167" t="n"/>
      <c r="C135" s="167" t="n"/>
      <c r="D135" s="167" t="n">
        <v>9.9</v>
      </c>
      <c r="E135" s="167" t="n">
        <v>990</v>
      </c>
      <c r="F135" s="167" t="inlineStr">
        <is>
          <t>789890568772137</t>
        </is>
      </c>
      <c r="G135" s="167" t="inlineStr">
        <is>
          <t>22089000</t>
        </is>
      </c>
      <c r="H135" s="167" t="n"/>
      <c r="I135" s="167" t="n"/>
      <c r="J135" s="167" t="n"/>
      <c r="K135" s="167" t="inlineStr">
        <is>
          <t>Não</t>
        </is>
      </c>
      <c r="L135" s="167" t="inlineStr">
        <is>
          <t>Unidades</t>
        </is>
      </c>
      <c r="M135" s="167" t="inlineStr">
        <is>
          <t>Carinás</t>
        </is>
      </c>
    </row>
    <row r="136">
      <c r="A136" s="167" t="inlineStr">
        <is>
          <t>CASQUINHA DE SORVETE MISTA</t>
        </is>
      </c>
      <c r="B136" s="167" t="n"/>
      <c r="C136" s="167" t="n"/>
      <c r="D136" s="167" t="n">
        <v>9.9</v>
      </c>
      <c r="E136" s="167" t="n">
        <v>990</v>
      </c>
      <c r="F136" s="167" t="inlineStr">
        <is>
          <t>789890568772138</t>
        </is>
      </c>
      <c r="G136" s="167" t="inlineStr">
        <is>
          <t>22089000</t>
        </is>
      </c>
      <c r="H136" s="167" t="n"/>
      <c r="I136" s="167" t="n"/>
      <c r="J136" s="167" t="n"/>
      <c r="K136" s="167" t="inlineStr">
        <is>
          <t>Não</t>
        </is>
      </c>
      <c r="L136" s="167" t="inlineStr">
        <is>
          <t>Unidades</t>
        </is>
      </c>
      <c r="M136" s="167" t="inlineStr">
        <is>
          <t>Carinás</t>
        </is>
      </c>
    </row>
    <row r="137">
      <c r="A137" s="167" t="inlineStr">
        <is>
          <t>CERVEJA BECKS 600 ML</t>
        </is>
      </c>
      <c r="B137" s="167" t="n"/>
      <c r="C137" s="167" t="inlineStr">
        <is>
          <t>A CERVEJA GARRAFA 600ML</t>
        </is>
      </c>
      <c r="D137" s="167" t="n">
        <v>21.99</v>
      </c>
      <c r="E137" s="167" t="n">
        <v>2199</v>
      </c>
      <c r="F137" s="167" t="inlineStr">
        <is>
          <t>9003310</t>
        </is>
      </c>
      <c r="G137" s="167" t="inlineStr">
        <is>
          <t>22030000</t>
        </is>
      </c>
      <c r="H137" s="167" t="n"/>
      <c r="I137" s="167" t="inlineStr">
        <is>
          <t>Bebidas - 5405 - 2</t>
        </is>
      </c>
      <c r="J137" s="167" t="inlineStr">
        <is>
          <t>Carinás</t>
        </is>
      </c>
      <c r="K137" s="167" t="inlineStr">
        <is>
          <t>Sim</t>
        </is>
      </c>
      <c r="L137" s="167" t="inlineStr">
        <is>
          <t>Unidades</t>
        </is>
      </c>
      <c r="M137" s="167" t="inlineStr">
        <is>
          <t>Carinás + SA</t>
        </is>
      </c>
    </row>
    <row r="138">
      <c r="A138" s="167" t="inlineStr">
        <is>
          <t>CERVEJA IPA QUINTAL</t>
        </is>
      </c>
      <c r="B138" s="167" t="n"/>
      <c r="C138" s="167" t="inlineStr">
        <is>
          <t>A CERVEJA GARRAFA 600ML</t>
        </is>
      </c>
      <c r="D138" s="167" t="n">
        <v>26.99</v>
      </c>
      <c r="E138" s="167" t="n">
        <v>2699</v>
      </c>
      <c r="F138" s="167" t="inlineStr">
        <is>
          <t>7898905687611</t>
        </is>
      </c>
      <c r="G138" s="167" t="inlineStr">
        <is>
          <t>22030000</t>
        </is>
      </c>
      <c r="H138" s="167" t="n"/>
      <c r="I138" s="167" t="inlineStr">
        <is>
          <t>Bebidas - 5405 - 2</t>
        </is>
      </c>
      <c r="J138" s="167" t="inlineStr">
        <is>
          <t>Carinás</t>
        </is>
      </c>
      <c r="K138" s="167" t="inlineStr">
        <is>
          <t>Sim</t>
        </is>
      </c>
      <c r="L138" s="167" t="inlineStr">
        <is>
          <t>Unidades</t>
        </is>
      </c>
      <c r="M138" s="167" t="inlineStr">
        <is>
          <t>Carinás + SA</t>
        </is>
      </c>
    </row>
    <row r="139">
      <c r="A139" s="167" t="inlineStr">
        <is>
          <t>Cerveja Original Lata 350 ml</t>
        </is>
      </c>
      <c r="B139" s="167" t="n"/>
      <c r="C139" s="167" t="n"/>
      <c r="D139" s="167" t="n">
        <v>3.6</v>
      </c>
      <c r="E139" s="167" t="n">
        <v>360</v>
      </c>
      <c r="F139" s="167" t="inlineStr">
        <is>
          <t>78989056877351</t>
        </is>
      </c>
      <c r="G139" s="167" t="inlineStr">
        <is>
          <t>22030000</t>
        </is>
      </c>
      <c r="H139" s="167" t="n"/>
      <c r="I139" s="167" t="inlineStr">
        <is>
          <t>Bebidas - 5405 - 1</t>
        </is>
      </c>
      <c r="J139" s="167" t="inlineStr">
        <is>
          <t>Carinás</t>
        </is>
      </c>
      <c r="K139" s="167" t="inlineStr">
        <is>
          <t>Sim</t>
        </is>
      </c>
      <c r="L139" s="167" t="inlineStr">
        <is>
          <t>Unidades</t>
        </is>
      </c>
      <c r="M139" s="167" t="inlineStr">
        <is>
          <t>Carinás</t>
        </is>
      </c>
    </row>
    <row r="140">
      <c r="A140" s="167" t="inlineStr">
        <is>
          <t>CERVEJA QUINTAL PILSEN</t>
        </is>
      </c>
      <c r="B140" s="167" t="n"/>
      <c r="C140" s="167" t="inlineStr">
        <is>
          <t>A CERVEJA GARRAFA 600ML</t>
        </is>
      </c>
      <c r="D140" s="167" t="n">
        <v>21.99</v>
      </c>
      <c r="E140" s="167" t="n">
        <v>2199</v>
      </c>
      <c r="F140" s="167" t="inlineStr">
        <is>
          <t>7898905687610</t>
        </is>
      </c>
      <c r="G140" s="167" t="inlineStr">
        <is>
          <t>22030000</t>
        </is>
      </c>
      <c r="H140" s="167" t="n"/>
      <c r="I140" s="167" t="inlineStr">
        <is>
          <t>Bebidas - 5405 - 2</t>
        </is>
      </c>
      <c r="J140" s="167" t="inlineStr">
        <is>
          <t>Carinás</t>
        </is>
      </c>
      <c r="K140" s="167" t="inlineStr">
        <is>
          <t>Sim</t>
        </is>
      </c>
      <c r="L140" s="167" t="inlineStr">
        <is>
          <t>Unidades</t>
        </is>
      </c>
      <c r="M140" s="167" t="inlineStr">
        <is>
          <t>Carinás + SA</t>
        </is>
      </c>
    </row>
    <row r="141">
      <c r="A141" s="167" t="inlineStr">
        <is>
          <t>CERVEJA SPATEN</t>
        </is>
      </c>
      <c r="B141" s="167" t="n"/>
      <c r="C141" s="167" t="inlineStr">
        <is>
          <t>A CERVEJA GARRAFA 600ML</t>
        </is>
      </c>
      <c r="D141" s="167" t="n">
        <v>19.99</v>
      </c>
      <c r="E141" s="167" t="n">
        <v>1999</v>
      </c>
      <c r="F141" s="167" t="inlineStr">
        <is>
          <t>9003579</t>
        </is>
      </c>
      <c r="G141" s="167" t="inlineStr">
        <is>
          <t>22030000</t>
        </is>
      </c>
      <c r="H141" s="167" t="n"/>
      <c r="I141" s="167" t="inlineStr">
        <is>
          <t>Bebidas - 5405 - 2</t>
        </is>
      </c>
      <c r="J141" s="167" t="inlineStr">
        <is>
          <t>Carinás</t>
        </is>
      </c>
      <c r="K141" s="167" t="inlineStr">
        <is>
          <t>Sim</t>
        </is>
      </c>
      <c r="L141" s="167" t="inlineStr">
        <is>
          <t>Unidades</t>
        </is>
      </c>
      <c r="M141" s="167" t="inlineStr">
        <is>
          <t>Carinás + SA</t>
        </is>
      </c>
    </row>
    <row r="142">
      <c r="A142" s="167" t="inlineStr">
        <is>
          <t>Cerveja Spaten Lata 350 ml</t>
        </is>
      </c>
      <c r="B142" s="167" t="n"/>
      <c r="C142" s="167" t="n"/>
      <c r="D142" s="167" t="n">
        <v>14</v>
      </c>
      <c r="E142" s="167" t="n">
        <v>1400</v>
      </c>
      <c r="F142" s="167" t="inlineStr">
        <is>
          <t>78989056877352</t>
        </is>
      </c>
      <c r="G142" s="167" t="inlineStr">
        <is>
          <t>22030000</t>
        </is>
      </c>
      <c r="H142" s="167" t="n"/>
      <c r="I142" s="167" t="inlineStr">
        <is>
          <t>Bebidas - 5405 - 1</t>
        </is>
      </c>
      <c r="J142" s="167" t="inlineStr">
        <is>
          <t>Carinás</t>
        </is>
      </c>
      <c r="K142" s="167" t="inlineStr">
        <is>
          <t>Sim</t>
        </is>
      </c>
      <c r="L142" s="167" t="inlineStr">
        <is>
          <t>Unidades</t>
        </is>
      </c>
      <c r="M142" s="167" t="inlineStr">
        <is>
          <t>Carinás</t>
        </is>
      </c>
    </row>
    <row r="143">
      <c r="A143" s="167" t="inlineStr">
        <is>
          <t>CHANDON ROSE 750 ML</t>
        </is>
      </c>
      <c r="B143" s="167" t="n"/>
      <c r="C143" s="167" t="n"/>
      <c r="D143" s="167" t="n">
        <v>239.99</v>
      </c>
      <c r="E143" s="167" t="n">
        <v>23999</v>
      </c>
      <c r="F143" s="167" t="inlineStr">
        <is>
          <t>9003485</t>
        </is>
      </c>
      <c r="G143" s="167" t="inlineStr">
        <is>
          <t>22041010</t>
        </is>
      </c>
      <c r="H143" s="167" t="n"/>
      <c r="I143" s="167" t="inlineStr">
        <is>
          <t>Bebidas - 5405 - 1</t>
        </is>
      </c>
      <c r="J143" s="167" t="inlineStr">
        <is>
          <t>Carinás</t>
        </is>
      </c>
      <c r="K143" s="167" t="inlineStr">
        <is>
          <t>Sim</t>
        </is>
      </c>
      <c r="L143" s="167" t="inlineStr">
        <is>
          <t>Unidades</t>
        </is>
      </c>
      <c r="M143" s="167" t="inlineStr">
        <is>
          <t>Carinás + SA</t>
        </is>
      </c>
    </row>
    <row r="144">
      <c r="A144" s="167" t="inlineStr">
        <is>
          <t>CHIVAS 12 DOSE</t>
        </is>
      </c>
      <c r="B144" s="167" t="n"/>
      <c r="C144" s="167" t="n"/>
      <c r="D144" s="167" t="n">
        <v>39</v>
      </c>
      <c r="E144" s="167" t="n">
        <v>3900</v>
      </c>
      <c r="F144" s="167" t="inlineStr">
        <is>
          <t>30045</t>
        </is>
      </c>
      <c r="G144" s="167" t="inlineStr">
        <is>
          <t>22083020</t>
        </is>
      </c>
      <c r="H144" s="167" t="n"/>
      <c r="I144" s="167" t="inlineStr">
        <is>
          <t>Alimentos - 5102</t>
        </is>
      </c>
      <c r="J144" s="167" t="inlineStr">
        <is>
          <t>Carinás</t>
        </is>
      </c>
      <c r="K144" s="167" t="inlineStr">
        <is>
          <t>Sim</t>
        </is>
      </c>
      <c r="L144" s="167" t="inlineStr">
        <is>
          <t>Unidades</t>
        </is>
      </c>
      <c r="M144" s="167" t="inlineStr">
        <is>
          <t>Carinás + SA</t>
        </is>
      </c>
    </row>
    <row r="145">
      <c r="A145" s="167" t="inlineStr">
        <is>
          <t>CHIVAS 12 GARRAFA</t>
        </is>
      </c>
      <c r="B145" s="167" t="n"/>
      <c r="C145" s="167" t="n"/>
      <c r="D145" s="167" t="n">
        <v>390</v>
      </c>
      <c r="E145" s="167" t="n">
        <v>39000</v>
      </c>
      <c r="F145" s="167" t="inlineStr">
        <is>
          <t>102121</t>
        </is>
      </c>
      <c r="G145" s="167" t="inlineStr">
        <is>
          <t>22086000</t>
        </is>
      </c>
      <c r="H145" s="167" t="n"/>
      <c r="I145" s="167" t="inlineStr">
        <is>
          <t>Alimentos - 5102</t>
        </is>
      </c>
      <c r="J145" s="167" t="inlineStr">
        <is>
          <t>Carinás</t>
        </is>
      </c>
      <c r="K145" s="167" t="inlineStr">
        <is>
          <t>Sim</t>
        </is>
      </c>
      <c r="L145" s="167" t="inlineStr">
        <is>
          <t>Unidades</t>
        </is>
      </c>
      <c r="M145" s="167" t="inlineStr">
        <is>
          <t>Carinás + SA</t>
        </is>
      </c>
    </row>
    <row r="146">
      <c r="A146" s="167" t="inlineStr">
        <is>
          <t>CHOPP BRAHMA CANECA</t>
        </is>
      </c>
      <c r="B146" s="167" t="n"/>
      <c r="C146" s="167" t="n"/>
      <c r="D146" s="167" t="n">
        <v>12.99</v>
      </c>
      <c r="E146" s="167" t="n">
        <v>1299</v>
      </c>
      <c r="F146" s="167" t="inlineStr">
        <is>
          <t>80101</t>
        </is>
      </c>
      <c r="G146" s="167" t="inlineStr">
        <is>
          <t>22030000</t>
        </is>
      </c>
      <c r="H146" s="167" t="n"/>
      <c r="I146" s="167" t="inlineStr">
        <is>
          <t>Bebidas - 5405 - 2</t>
        </is>
      </c>
      <c r="J146" s="167" t="inlineStr">
        <is>
          <t>Carinás</t>
        </is>
      </c>
      <c r="K146" s="167" t="inlineStr">
        <is>
          <t>Sim</t>
        </is>
      </c>
      <c r="L146" s="167" t="inlineStr">
        <is>
          <t>Unidades</t>
        </is>
      </c>
      <c r="M146" s="167" t="inlineStr">
        <is>
          <t>Carinás + SA</t>
        </is>
      </c>
    </row>
    <row r="147">
      <c r="A147" s="167" t="inlineStr">
        <is>
          <t>CHURRASCO COM CERJEVA</t>
        </is>
      </c>
      <c r="B147" s="167" t="inlineStr">
        <is>
          <t>Refeicao</t>
        </is>
      </c>
      <c r="C147" s="167" t="inlineStr">
        <is>
          <t>DELIVERY</t>
        </is>
      </c>
      <c r="D147" s="167" t="n">
        <v>179.9</v>
      </c>
      <c r="E147" s="167" t="n">
        <v>17990</v>
      </c>
      <c r="F147" s="167" t="inlineStr">
        <is>
          <t>9003273</t>
        </is>
      </c>
      <c r="G147" s="167" t="inlineStr">
        <is>
          <t>21069090</t>
        </is>
      </c>
      <c r="H147" s="167" t="n"/>
      <c r="I147" s="167" t="inlineStr">
        <is>
          <t>Alimentos - 5102</t>
        </is>
      </c>
      <c r="J147" s="167" t="inlineStr">
        <is>
          <t>Carinás</t>
        </is>
      </c>
      <c r="K147" s="167" t="inlineStr">
        <is>
          <t>Sim</t>
        </is>
      </c>
      <c r="L147" s="167" t="inlineStr">
        <is>
          <t>Unidades</t>
        </is>
      </c>
      <c r="M147" s="167" t="inlineStr">
        <is>
          <t>Delivery</t>
        </is>
      </c>
    </row>
    <row r="148">
      <c r="A148" s="167" t="inlineStr">
        <is>
          <t>CHURRASQUEIRA GRANDE</t>
        </is>
      </c>
      <c r="B148" s="167" t="n"/>
      <c r="C148" s="167" t="n"/>
      <c r="D148" s="167" t="n">
        <v>207.99</v>
      </c>
      <c r="E148" s="167" t="n">
        <v>20799</v>
      </c>
      <c r="F148" s="167" t="inlineStr">
        <is>
          <t>9003290</t>
        </is>
      </c>
      <c r="G148" s="167" t="inlineStr">
        <is>
          <t>73218900</t>
        </is>
      </c>
      <c r="H148" s="167" t="n"/>
      <c r="I148" s="167" t="inlineStr">
        <is>
          <t>Alimentos - 5102</t>
        </is>
      </c>
      <c r="J148" s="167" t="inlineStr">
        <is>
          <t>Carinás</t>
        </is>
      </c>
      <c r="K148" s="167" t="inlineStr">
        <is>
          <t>Sim</t>
        </is>
      </c>
      <c r="L148" s="167" t="inlineStr">
        <is>
          <t>Unidades</t>
        </is>
      </c>
      <c r="M148" s="167" t="inlineStr">
        <is>
          <t>Carinás</t>
        </is>
      </c>
    </row>
    <row r="149">
      <c r="A149" s="167" t="inlineStr">
        <is>
          <t>CHURRASQUEIRA MÉDIA</t>
        </is>
      </c>
      <c r="B149" s="167" t="n"/>
      <c r="C149" s="167" t="n"/>
      <c r="D149" s="167" t="n">
        <v>184.99</v>
      </c>
      <c r="E149" s="167" t="n">
        <v>18499</v>
      </c>
      <c r="F149" s="167" t="inlineStr">
        <is>
          <t>9003289</t>
        </is>
      </c>
      <c r="G149" s="167" t="inlineStr">
        <is>
          <t>73218900</t>
        </is>
      </c>
      <c r="H149" s="167" t="n"/>
      <c r="I149" s="167" t="inlineStr">
        <is>
          <t>Alimentos - 5102</t>
        </is>
      </c>
      <c r="J149" s="167" t="inlineStr">
        <is>
          <t>Carinás</t>
        </is>
      </c>
      <c r="K149" s="167" t="inlineStr">
        <is>
          <t>Sim</t>
        </is>
      </c>
      <c r="L149" s="167" t="inlineStr">
        <is>
          <t>Unidades</t>
        </is>
      </c>
      <c r="M149" s="167" t="inlineStr">
        <is>
          <t>Carinás</t>
        </is>
      </c>
    </row>
    <row r="150">
      <c r="A150" s="167" t="inlineStr">
        <is>
          <t>CHURRASQUEIRA PARA FOGAO</t>
        </is>
      </c>
      <c r="B150" s="167" t="n"/>
      <c r="C150" s="167" t="n"/>
      <c r="D150" s="167" t="n">
        <v>86.90000000000001</v>
      </c>
      <c r="E150" s="167" t="n">
        <v>8690</v>
      </c>
      <c r="F150" s="167" t="inlineStr">
        <is>
          <t>9003566</t>
        </is>
      </c>
      <c r="G150" s="167" t="inlineStr">
        <is>
          <t>73218900</t>
        </is>
      </c>
      <c r="H150" s="167" t="n"/>
      <c r="I150" s="167" t="inlineStr">
        <is>
          <t>Alimentos - 5102</t>
        </is>
      </c>
      <c r="J150" s="167" t="inlineStr">
        <is>
          <t>Carinás</t>
        </is>
      </c>
      <c r="K150" s="167" t="inlineStr">
        <is>
          <t>Sim</t>
        </is>
      </c>
      <c r="L150" s="167" t="inlineStr">
        <is>
          <t>Unidades</t>
        </is>
      </c>
      <c r="M150" s="167" t="inlineStr">
        <is>
          <t>Carinás</t>
        </is>
      </c>
    </row>
    <row r="151">
      <c r="A151" s="167" t="inlineStr">
        <is>
          <t>CHURRASQUEIRA PEQUENA</t>
        </is>
      </c>
      <c r="B151" s="167" t="n"/>
      <c r="C151" s="167" t="n"/>
      <c r="D151" s="167" t="n">
        <v>95.98999999999999</v>
      </c>
      <c r="E151" s="167" t="n">
        <v>9599</v>
      </c>
      <c r="F151" s="167" t="inlineStr">
        <is>
          <t>9003284</t>
        </is>
      </c>
      <c r="G151" s="167" t="inlineStr">
        <is>
          <t>73218900</t>
        </is>
      </c>
      <c r="H151" s="167" t="n"/>
      <c r="I151" s="167" t="inlineStr">
        <is>
          <t>Alimentos - 5102</t>
        </is>
      </c>
      <c r="J151" s="167" t="inlineStr">
        <is>
          <t>Carinás</t>
        </is>
      </c>
      <c r="K151" s="167" t="inlineStr">
        <is>
          <t>Sim</t>
        </is>
      </c>
      <c r="L151" s="167" t="inlineStr">
        <is>
          <t>Unidades</t>
        </is>
      </c>
      <c r="M151" s="167" t="inlineStr">
        <is>
          <t>Carinás</t>
        </is>
      </c>
    </row>
    <row r="152">
      <c r="A152" s="167" t="inlineStr">
        <is>
          <t>CLERICOT</t>
        </is>
      </c>
      <c r="B152" s="167" t="n"/>
      <c r="C152" s="167" t="n"/>
      <c r="D152" s="167" t="n">
        <v>89.98999999999999</v>
      </c>
      <c r="E152" s="167" t="n">
        <v>8999</v>
      </c>
      <c r="F152" s="167" t="inlineStr">
        <is>
          <t>104001</t>
        </is>
      </c>
      <c r="G152" s="167" t="inlineStr">
        <is>
          <t>22060090</t>
        </is>
      </c>
      <c r="H152" s="167" t="n"/>
      <c r="I152" s="167" t="inlineStr">
        <is>
          <t>Alimentos - 5102</t>
        </is>
      </c>
      <c r="J152" s="167" t="inlineStr">
        <is>
          <t>Carinás</t>
        </is>
      </c>
      <c r="K152" s="167" t="inlineStr">
        <is>
          <t>Sim</t>
        </is>
      </c>
      <c r="L152" s="167" t="inlineStr">
        <is>
          <t>Unidades</t>
        </is>
      </c>
      <c r="M152" s="167" t="inlineStr">
        <is>
          <t>Carinás + SA</t>
        </is>
      </c>
    </row>
    <row r="153">
      <c r="A153" s="167" t="inlineStr">
        <is>
          <t>COLORADO APPIA</t>
        </is>
      </c>
      <c r="B153" s="167" t="n"/>
      <c r="C153" s="167" t="n"/>
      <c r="D153" s="167" t="n">
        <v>29.9</v>
      </c>
      <c r="E153" s="167" t="n">
        <v>2990</v>
      </c>
      <c r="F153" s="167" t="inlineStr">
        <is>
          <t>80017</t>
        </is>
      </c>
      <c r="G153" s="167" t="inlineStr">
        <is>
          <t>22030000</t>
        </is>
      </c>
      <c r="H153" s="167" t="n"/>
      <c r="I153" s="167" t="inlineStr">
        <is>
          <t>Bebidas - 5405 - 1</t>
        </is>
      </c>
      <c r="J153" s="167" t="inlineStr">
        <is>
          <t>Santo André</t>
        </is>
      </c>
      <c r="K153" s="167" t="n"/>
      <c r="L153" s="167" t="n"/>
      <c r="M153" s="167" t="inlineStr">
        <is>
          <t>SA</t>
        </is>
      </c>
    </row>
    <row r="154">
      <c r="A154" s="167" t="inlineStr">
        <is>
          <t>COLORADO RIBEIRÃO 600 ML</t>
        </is>
      </c>
      <c r="B154" s="167" t="n"/>
      <c r="C154" s="167" t="n"/>
      <c r="D154" s="167" t="n">
        <v>23.9</v>
      </c>
      <c r="E154" s="167" t="n">
        <v>2390</v>
      </c>
      <c r="F154" s="167" t="inlineStr">
        <is>
          <t>80104</t>
        </is>
      </c>
      <c r="G154" s="167" t="inlineStr">
        <is>
          <t>22030000</t>
        </is>
      </c>
      <c r="H154" s="167" t="n"/>
      <c r="I154" s="167" t="inlineStr">
        <is>
          <t>Bebidas - 5405 - 1</t>
        </is>
      </c>
      <c r="J154" s="167" t="inlineStr">
        <is>
          <t>Santo André</t>
        </is>
      </c>
      <c r="K154" s="167" t="n"/>
      <c r="L154" s="167" t="n"/>
      <c r="M154" s="167" t="inlineStr">
        <is>
          <t>SA</t>
        </is>
      </c>
    </row>
    <row r="155">
      <c r="A155" s="167" t="inlineStr">
        <is>
          <t>Combo "Big Family" p/ 4 pessoas</t>
        </is>
      </c>
      <c r="B155" s="167" t="inlineStr">
        <is>
          <t>Combo</t>
        </is>
      </c>
      <c r="C155" s="167" t="inlineStr">
        <is>
          <t>DELIVERY</t>
        </is>
      </c>
      <c r="D155" s="167" t="n">
        <v>321.3</v>
      </c>
      <c r="E155" s="167" t="n">
        <v>32130</v>
      </c>
      <c r="F155" s="167" t="inlineStr">
        <is>
          <t>78989056877282</t>
        </is>
      </c>
      <c r="G155" s="167" t="inlineStr">
        <is>
          <t>21069090</t>
        </is>
      </c>
      <c r="H155" s="167" t="n"/>
      <c r="I155" s="167" t="inlineStr">
        <is>
          <t>Alimentos - 5102</t>
        </is>
      </c>
      <c r="J155" s="167" t="inlineStr">
        <is>
          <t>Carinás</t>
        </is>
      </c>
      <c r="K155" s="167" t="inlineStr">
        <is>
          <t>Não</t>
        </is>
      </c>
      <c r="L155" s="167" t="inlineStr">
        <is>
          <t>Unidades</t>
        </is>
      </c>
      <c r="M155" s="167" t="inlineStr">
        <is>
          <t>Delivery</t>
        </is>
      </c>
    </row>
    <row r="156">
      <c r="A156" s="167" t="inlineStr">
        <is>
          <t>COMBO ABSOLUT</t>
        </is>
      </c>
      <c r="B156" s="167" t="n"/>
      <c r="C156" s="167" t="n"/>
      <c r="D156" s="167" t="n">
        <v>279.99</v>
      </c>
      <c r="E156" s="167" t="n">
        <v>27999</v>
      </c>
      <c r="F156" s="167" t="inlineStr">
        <is>
          <t>9003488</t>
        </is>
      </c>
      <c r="G156" s="167" t="inlineStr">
        <is>
          <t>22086000</t>
        </is>
      </c>
      <c r="H156" s="167" t="n"/>
      <c r="I156" s="167" t="inlineStr">
        <is>
          <t>Alimentos - 5102</t>
        </is>
      </c>
      <c r="J156" s="167" t="inlineStr">
        <is>
          <t>Carinás</t>
        </is>
      </c>
      <c r="K156" s="167" t="inlineStr">
        <is>
          <t>Sim</t>
        </is>
      </c>
      <c r="L156" s="167" t="inlineStr">
        <is>
          <t>Unidades</t>
        </is>
      </c>
      <c r="M156" s="167" t="inlineStr">
        <is>
          <t>Carinás + SA</t>
        </is>
      </c>
    </row>
    <row r="157">
      <c r="A157" s="167" t="inlineStr">
        <is>
          <t>COMBO BEEFEATER</t>
        </is>
      </c>
      <c r="B157" s="167" t="n"/>
      <c r="C157" s="167" t="inlineStr">
        <is>
          <t>A COMBO</t>
        </is>
      </c>
      <c r="D157" s="167" t="n">
        <v>299.99</v>
      </c>
      <c r="E157" s="167" t="n">
        <v>29999</v>
      </c>
      <c r="F157" s="167" t="inlineStr">
        <is>
          <t>9003553</t>
        </is>
      </c>
      <c r="G157" s="167" t="inlineStr">
        <is>
          <t>22085000</t>
        </is>
      </c>
      <c r="H157" s="167" t="n"/>
      <c r="I157" s="167" t="inlineStr">
        <is>
          <t>Alimentos - 5102</t>
        </is>
      </c>
      <c r="J157" s="167" t="inlineStr">
        <is>
          <t>Carinás</t>
        </is>
      </c>
      <c r="K157" s="167" t="inlineStr">
        <is>
          <t>Sim</t>
        </is>
      </c>
      <c r="L157" s="167" t="inlineStr">
        <is>
          <t>Unidades</t>
        </is>
      </c>
      <c r="M157" s="167" t="inlineStr">
        <is>
          <t>Carinás + SA</t>
        </is>
      </c>
    </row>
    <row r="158">
      <c r="A158" s="167" t="inlineStr">
        <is>
          <t>Combo Casal p/ 2 pessoas</t>
        </is>
      </c>
      <c r="B158" s="167" t="inlineStr">
        <is>
          <t>Combo</t>
        </is>
      </c>
      <c r="C158" s="167" t="inlineStr">
        <is>
          <t>DELIVERY</t>
        </is>
      </c>
      <c r="D158" s="167" t="n">
        <v>171.7</v>
      </c>
      <c r="E158" s="167" t="n">
        <v>17170</v>
      </c>
      <c r="F158" s="167" t="inlineStr">
        <is>
          <t>78989056877280</t>
        </is>
      </c>
      <c r="G158" s="167" t="inlineStr">
        <is>
          <t>21069090</t>
        </is>
      </c>
      <c r="H158" s="167" t="n"/>
      <c r="I158" s="167" t="inlineStr">
        <is>
          <t>Alimentos - 5102</t>
        </is>
      </c>
      <c r="J158" s="167" t="inlineStr">
        <is>
          <t>Carinás</t>
        </is>
      </c>
      <c r="K158" s="167" t="inlineStr">
        <is>
          <t>Não</t>
        </is>
      </c>
      <c r="L158" s="167" t="inlineStr">
        <is>
          <t>Unidades</t>
        </is>
      </c>
      <c r="M158" s="167" t="inlineStr">
        <is>
          <t>Delivery</t>
        </is>
      </c>
    </row>
    <row r="159">
      <c r="A159" s="167" t="inlineStr">
        <is>
          <t>COMBO EXECUTIVO DO QUINTAL  (FRANGO)</t>
        </is>
      </c>
      <c r="B159" s="167" t="inlineStr">
        <is>
          <t>Refeicao</t>
        </is>
      </c>
      <c r="C159" s="167" t="inlineStr">
        <is>
          <t>DELIVERY</t>
        </is>
      </c>
      <c r="D159" s="167" t="n">
        <v>54.9</v>
      </c>
      <c r="E159" s="167" t="n">
        <v>5490</v>
      </c>
      <c r="F159" s="167" t="inlineStr">
        <is>
          <t>78989056877299</t>
        </is>
      </c>
      <c r="G159" s="167" t="inlineStr">
        <is>
          <t>21069090</t>
        </is>
      </c>
      <c r="H159" s="167" t="n"/>
      <c r="I159" s="167" t="inlineStr">
        <is>
          <t>Alimentos - 5102</t>
        </is>
      </c>
      <c r="J159" s="167" t="inlineStr">
        <is>
          <t>Carinás</t>
        </is>
      </c>
      <c r="K159" s="167" t="inlineStr">
        <is>
          <t>Sim</t>
        </is>
      </c>
      <c r="L159" s="167" t="inlineStr">
        <is>
          <t>Unidades</t>
        </is>
      </c>
      <c r="M159" s="167" t="inlineStr">
        <is>
          <t>Delivery</t>
        </is>
      </c>
    </row>
    <row r="160">
      <c r="A160" s="167" t="inlineStr">
        <is>
          <t>COMBO EXECUTIVO DO QUINTAL 2 (BOVINO)</t>
        </is>
      </c>
      <c r="B160" s="167" t="inlineStr">
        <is>
          <t>Refeicao</t>
        </is>
      </c>
      <c r="C160" s="167" t="inlineStr">
        <is>
          <t>DELIVERY</t>
        </is>
      </c>
      <c r="D160" s="167" t="n">
        <v>56.9</v>
      </c>
      <c r="E160" s="167" t="n">
        <v>5690</v>
      </c>
      <c r="F160" s="167" t="inlineStr">
        <is>
          <t>78989056877298</t>
        </is>
      </c>
      <c r="G160" s="167" t="inlineStr">
        <is>
          <t>21069090</t>
        </is>
      </c>
      <c r="H160" s="167" t="n"/>
      <c r="I160" s="167" t="inlineStr">
        <is>
          <t>Alimentos - 5102</t>
        </is>
      </c>
      <c r="J160" s="167" t="inlineStr">
        <is>
          <t>Carinás</t>
        </is>
      </c>
      <c r="K160" s="167" t="inlineStr">
        <is>
          <t>Não</t>
        </is>
      </c>
      <c r="L160" s="167" t="inlineStr">
        <is>
          <t>Unidades</t>
        </is>
      </c>
      <c r="M160" s="167" t="inlineStr">
        <is>
          <t>Delivery</t>
        </is>
      </c>
    </row>
    <row r="161">
      <c r="A161" s="167" t="inlineStr">
        <is>
          <t>COMBO EXECUTIVO DO QUINTAL 3 (CALABRESA C/ PIMENTA)</t>
        </is>
      </c>
      <c r="B161" s="167" t="inlineStr">
        <is>
          <t>Refeicao</t>
        </is>
      </c>
      <c r="C161" s="167" t="inlineStr">
        <is>
          <t>DELIVERY</t>
        </is>
      </c>
      <c r="D161" s="167" t="n">
        <v>54.9</v>
      </c>
      <c r="E161" s="167" t="n">
        <v>5490</v>
      </c>
      <c r="F161" s="167" t="inlineStr">
        <is>
          <t>78989056877311</t>
        </is>
      </c>
      <c r="G161" s="167" t="inlineStr">
        <is>
          <t>21069090</t>
        </is>
      </c>
      <c r="H161" s="167" t="n"/>
      <c r="I161" s="167" t="inlineStr">
        <is>
          <t>Alimentos - 5102</t>
        </is>
      </c>
      <c r="J161" s="167" t="inlineStr">
        <is>
          <t>Carinás</t>
        </is>
      </c>
      <c r="K161" s="167" t="inlineStr">
        <is>
          <t>Não</t>
        </is>
      </c>
      <c r="L161" s="167" t="inlineStr">
        <is>
          <t>Unidades</t>
        </is>
      </c>
      <c r="M161" s="167" t="inlineStr">
        <is>
          <t>Delivery</t>
        </is>
      </c>
    </row>
    <row r="162">
      <c r="A162" s="167" t="inlineStr">
        <is>
          <t>COMBO EXECUTIVO DO QUINTAL 4 (CALABRESA S/ PIMENTA)</t>
        </is>
      </c>
      <c r="B162" s="167" t="inlineStr">
        <is>
          <t>Refeicao</t>
        </is>
      </c>
      <c r="C162" s="167" t="inlineStr">
        <is>
          <t>DELIVERY</t>
        </is>
      </c>
      <c r="D162" s="167" t="n">
        <v>54.9</v>
      </c>
      <c r="E162" s="167" t="n">
        <v>5490</v>
      </c>
      <c r="F162" s="167" t="inlineStr">
        <is>
          <t>78989056877312</t>
        </is>
      </c>
      <c r="G162" s="167" t="inlineStr">
        <is>
          <t>21069090</t>
        </is>
      </c>
      <c r="H162" s="167" t="n"/>
      <c r="I162" s="167" t="inlineStr">
        <is>
          <t>Alimentos - 5102</t>
        </is>
      </c>
      <c r="J162" s="167" t="inlineStr">
        <is>
          <t>Carinás</t>
        </is>
      </c>
      <c r="K162" s="167" t="inlineStr">
        <is>
          <t>Não</t>
        </is>
      </c>
      <c r="L162" s="167" t="inlineStr">
        <is>
          <t>Unidades</t>
        </is>
      </c>
      <c r="M162" s="167" t="inlineStr">
        <is>
          <t>Delivery</t>
        </is>
      </c>
    </row>
    <row r="163">
      <c r="A163" s="167" t="inlineStr">
        <is>
          <t>COMBO FAMILIA</t>
        </is>
      </c>
      <c r="B163" s="167" t="n"/>
      <c r="C163" s="167" t="n"/>
      <c r="D163" s="167" t="n">
        <v>0</v>
      </c>
      <c r="E163" s="167" t="n">
        <v>0</v>
      </c>
      <c r="F163" s="167" t="inlineStr">
        <is>
          <t>9003270</t>
        </is>
      </c>
      <c r="G163" s="167" t="inlineStr">
        <is>
          <t>21069090</t>
        </is>
      </c>
      <c r="H163" s="167" t="n"/>
      <c r="I163" s="167" t="n"/>
      <c r="J163" s="167" t="n"/>
      <c r="K163" s="167" t="n"/>
      <c r="L163" s="167" t="n"/>
      <c r="M163" s="167" t="inlineStr">
        <is>
          <t>SA + Delivery</t>
        </is>
      </c>
    </row>
    <row r="164">
      <c r="A164" s="167" t="inlineStr">
        <is>
          <t>Combo Família p/ 3 pessoas</t>
        </is>
      </c>
      <c r="B164" s="167" t="inlineStr">
        <is>
          <t>Combo</t>
        </is>
      </c>
      <c r="C164" s="167" t="inlineStr">
        <is>
          <t>DELIVERY</t>
        </is>
      </c>
      <c r="D164" s="167" t="n">
        <v>212.9</v>
      </c>
      <c r="E164" s="167" t="n">
        <v>21290</v>
      </c>
      <c r="F164" s="167" t="inlineStr">
        <is>
          <t>78989056877281</t>
        </is>
      </c>
      <c r="G164" s="167" t="inlineStr">
        <is>
          <t>21069090</t>
        </is>
      </c>
      <c r="H164" s="167" t="n"/>
      <c r="I164" s="167" t="inlineStr">
        <is>
          <t>Alimentos - 5102</t>
        </is>
      </c>
      <c r="J164" s="167" t="inlineStr">
        <is>
          <t>Carinás</t>
        </is>
      </c>
      <c r="K164" s="167" t="inlineStr">
        <is>
          <t>Não</t>
        </is>
      </c>
      <c r="L164" s="167" t="inlineStr">
        <is>
          <t>Unidades</t>
        </is>
      </c>
      <c r="M164" s="167" t="inlineStr">
        <is>
          <t>Delivery</t>
        </is>
      </c>
    </row>
    <row r="165">
      <c r="A165" s="167" t="inlineStr">
        <is>
          <t>COMBO GIN APTK * PROMO*</t>
        </is>
      </c>
      <c r="B165" s="167" t="n"/>
      <c r="C165" s="167" t="n"/>
      <c r="D165" s="167" t="n">
        <v>250</v>
      </c>
      <c r="E165" s="167" t="n">
        <v>25000</v>
      </c>
      <c r="F165" s="167" t="inlineStr">
        <is>
          <t>789890568772142</t>
        </is>
      </c>
      <c r="G165" s="167" t="inlineStr">
        <is>
          <t>22085000</t>
        </is>
      </c>
      <c r="H165" s="167" t="n"/>
      <c r="I165" s="167" t="inlineStr">
        <is>
          <t>Bebidas - 5405 - 1</t>
        </is>
      </c>
      <c r="J165" s="167" t="inlineStr">
        <is>
          <t>Carinás</t>
        </is>
      </c>
      <c r="K165" s="167" t="inlineStr">
        <is>
          <t>Não</t>
        </is>
      </c>
      <c r="L165" s="167" t="inlineStr">
        <is>
          <t>Unidades</t>
        </is>
      </c>
      <c r="M165" s="167" t="inlineStr">
        <is>
          <t>Carinás + SA</t>
        </is>
      </c>
    </row>
    <row r="166">
      <c r="A166" s="167" t="inlineStr">
        <is>
          <t>Combo Individual p/ 1 pessoa</t>
        </is>
      </c>
      <c r="B166" s="167" t="inlineStr">
        <is>
          <t>Combo</t>
        </is>
      </c>
      <c r="C166" s="167" t="inlineStr">
        <is>
          <t>DELIVERY</t>
        </is>
      </c>
      <c r="D166" s="167" t="n">
        <v>66.98999999999999</v>
      </c>
      <c r="E166" s="167" t="n">
        <v>6699</v>
      </c>
      <c r="F166" s="167" t="inlineStr">
        <is>
          <t>78989056877279</t>
        </is>
      </c>
      <c r="G166" s="167" t="inlineStr">
        <is>
          <t>21069090</t>
        </is>
      </c>
      <c r="H166" s="167" t="n"/>
      <c r="I166" s="167" t="inlineStr">
        <is>
          <t>Alimentos - 5102</t>
        </is>
      </c>
      <c r="J166" s="167" t="inlineStr">
        <is>
          <t>Carinás</t>
        </is>
      </c>
      <c r="K166" s="167" t="inlineStr">
        <is>
          <t>Não</t>
        </is>
      </c>
      <c r="L166" s="167" t="inlineStr">
        <is>
          <t>Unidades</t>
        </is>
      </c>
      <c r="M166" s="167" t="inlineStr">
        <is>
          <t>Delivery</t>
        </is>
      </c>
    </row>
    <row r="167">
      <c r="A167" s="167" t="inlineStr">
        <is>
          <t>COMBO JUNIOR</t>
        </is>
      </c>
      <c r="B167" s="167" t="inlineStr">
        <is>
          <t>Refeicao</t>
        </is>
      </c>
      <c r="C167" s="167" t="inlineStr">
        <is>
          <t>DELIVERY</t>
        </is>
      </c>
      <c r="D167" s="167" t="n">
        <v>79.90000000000001</v>
      </c>
      <c r="E167" s="167" t="n">
        <v>7990</v>
      </c>
      <c r="F167" s="167" t="inlineStr">
        <is>
          <t>9003272</t>
        </is>
      </c>
      <c r="G167" s="167" t="inlineStr">
        <is>
          <t>21069090</t>
        </is>
      </c>
      <c r="H167" s="167" t="n"/>
      <c r="I167" s="167" t="inlineStr">
        <is>
          <t>Alimentos - 5102</t>
        </is>
      </c>
      <c r="J167" s="167" t="inlineStr">
        <is>
          <t>Carinás</t>
        </is>
      </c>
      <c r="K167" s="167" t="inlineStr">
        <is>
          <t>Sim</t>
        </is>
      </c>
      <c r="L167" s="167" t="inlineStr">
        <is>
          <t>Unidades</t>
        </is>
      </c>
      <c r="M167" s="167" t="inlineStr">
        <is>
          <t>Delivery</t>
        </is>
      </c>
    </row>
    <row r="168">
      <c r="A168" s="167" t="inlineStr">
        <is>
          <t>Combo Monte seu churrasco do jeito que quiser</t>
        </is>
      </c>
      <c r="B168" s="167" t="inlineStr">
        <is>
          <t>Combo</t>
        </is>
      </c>
      <c r="C168" s="167" t="inlineStr">
        <is>
          <t>DELIVERY</t>
        </is>
      </c>
      <c r="D168" s="167" t="n">
        <v>0</v>
      </c>
      <c r="E168" s="167" t="n">
        <v>0</v>
      </c>
      <c r="F168" s="167" t="inlineStr">
        <is>
          <t>78989056877290</t>
        </is>
      </c>
      <c r="G168" s="167" t="inlineStr">
        <is>
          <t>21069090</t>
        </is>
      </c>
      <c r="H168" s="167" t="n"/>
      <c r="I168" s="167" t="inlineStr">
        <is>
          <t>Alimentos - 5102</t>
        </is>
      </c>
      <c r="J168" s="167" t="inlineStr">
        <is>
          <t>Carinás</t>
        </is>
      </c>
      <c r="K168" s="167" t="inlineStr">
        <is>
          <t>Não</t>
        </is>
      </c>
      <c r="L168" s="167" t="inlineStr">
        <is>
          <t>Unidades</t>
        </is>
      </c>
      <c r="M168" s="167" t="inlineStr">
        <is>
          <t>Delivery</t>
        </is>
      </c>
    </row>
    <row r="169">
      <c r="A169" s="167" t="inlineStr">
        <is>
          <t>COMBO QUINTAL FELIZ</t>
        </is>
      </c>
      <c r="B169" s="167" t="n"/>
      <c r="C169" s="167" t="n"/>
      <c r="D169" s="167" t="n">
        <v>49.9</v>
      </c>
      <c r="E169" s="167" t="n">
        <v>4990</v>
      </c>
      <c r="F169" s="167" t="inlineStr">
        <is>
          <t>78989056877392</t>
        </is>
      </c>
      <c r="G169" s="167" t="inlineStr">
        <is>
          <t>95043000</t>
        </is>
      </c>
      <c r="H169" s="167" t="n"/>
      <c r="I169" s="167" t="inlineStr">
        <is>
          <t>Alimentos - 5102</t>
        </is>
      </c>
      <c r="J169" s="167" t="inlineStr">
        <is>
          <t>Carinás</t>
        </is>
      </c>
      <c r="K169" s="167" t="inlineStr">
        <is>
          <t>Não</t>
        </is>
      </c>
      <c r="L169" s="167" t="inlineStr">
        <is>
          <t>Unidades</t>
        </is>
      </c>
      <c r="M169" s="167" t="inlineStr">
        <is>
          <t>Carinás</t>
        </is>
      </c>
    </row>
    <row r="170">
      <c r="A170" s="167" t="inlineStr">
        <is>
          <t>COMBO TANQUERAY</t>
        </is>
      </c>
      <c r="B170" s="167" t="n"/>
      <c r="C170" s="167" t="inlineStr">
        <is>
          <t>A COMBO</t>
        </is>
      </c>
      <c r="D170" s="167" t="n">
        <v>329.99</v>
      </c>
      <c r="E170" s="167" t="n">
        <v>32999</v>
      </c>
      <c r="F170" s="167" t="inlineStr">
        <is>
          <t>9003552</t>
        </is>
      </c>
      <c r="G170" s="167" t="inlineStr">
        <is>
          <t>22085000</t>
        </is>
      </c>
      <c r="H170" s="167" t="n"/>
      <c r="I170" s="167" t="inlineStr">
        <is>
          <t>Alimentos - 5102</t>
        </is>
      </c>
      <c r="J170" s="167" t="inlineStr">
        <is>
          <t>Carinás</t>
        </is>
      </c>
      <c r="K170" s="167" t="inlineStr">
        <is>
          <t>Sim</t>
        </is>
      </c>
      <c r="L170" s="167" t="inlineStr">
        <is>
          <t>Unidades</t>
        </is>
      </c>
      <c r="M170" s="167" t="inlineStr">
        <is>
          <t>Carinás + SA</t>
        </is>
      </c>
    </row>
    <row r="171">
      <c r="A171" s="167" t="inlineStr">
        <is>
          <t>CONJUNTO FACA CIMO 2440/6 E CHAIRA 6 C/BAINHA</t>
        </is>
      </c>
      <c r="B171" s="167" t="n"/>
      <c r="C171" s="167" t="n"/>
      <c r="D171" s="167" t="n">
        <v>117.8</v>
      </c>
      <c r="E171" s="167" t="n">
        <v>11780</v>
      </c>
      <c r="F171" s="167" t="inlineStr">
        <is>
          <t>9003344</t>
        </is>
      </c>
      <c r="G171" s="167" t="inlineStr">
        <is>
          <t>82119210</t>
        </is>
      </c>
      <c r="H171" s="167" t="n"/>
      <c r="I171" s="167" t="inlineStr">
        <is>
          <t>Alimentos - 5102</t>
        </is>
      </c>
      <c r="J171" s="167" t="inlineStr">
        <is>
          <t>Carinás</t>
        </is>
      </c>
      <c r="K171" s="167" t="inlineStr">
        <is>
          <t>Sim</t>
        </is>
      </c>
      <c r="L171" s="167" t="inlineStr">
        <is>
          <t>Unidades</t>
        </is>
      </c>
      <c r="M171" s="167" t="inlineStr">
        <is>
          <t>Carinás</t>
        </is>
      </c>
    </row>
    <row r="172">
      <c r="A172" s="167" t="inlineStr">
        <is>
          <t>Copao Gin + Energetico</t>
        </is>
      </c>
      <c r="B172" s="167" t="n"/>
      <c r="C172" s="167" t="n"/>
      <c r="D172" s="167" t="n">
        <v>35</v>
      </c>
      <c r="E172" s="167" t="n">
        <v>3500</v>
      </c>
      <c r="F172" s="167" t="inlineStr">
        <is>
          <t>78989056877366</t>
        </is>
      </c>
      <c r="G172" s="167" t="inlineStr">
        <is>
          <t>22085000</t>
        </is>
      </c>
      <c r="H172" s="167" t="n"/>
      <c r="I172" s="167" t="inlineStr">
        <is>
          <t>Bebidas - 5405 - 1</t>
        </is>
      </c>
      <c r="J172" s="167" t="inlineStr">
        <is>
          <t>Carinás</t>
        </is>
      </c>
      <c r="K172" s="167" t="inlineStr">
        <is>
          <t>Sim</t>
        </is>
      </c>
      <c r="L172" s="167" t="inlineStr">
        <is>
          <t>Litros</t>
        </is>
      </c>
      <c r="M172" s="167" t="inlineStr">
        <is>
          <t>Carinás</t>
        </is>
      </c>
    </row>
    <row r="173">
      <c r="A173" s="167" t="inlineStr">
        <is>
          <t>Copao Vodka + Energetico</t>
        </is>
      </c>
      <c r="B173" s="167" t="n"/>
      <c r="C173" s="167" t="n"/>
      <c r="D173" s="167" t="n">
        <v>35</v>
      </c>
      <c r="E173" s="167" t="n">
        <v>3500</v>
      </c>
      <c r="F173" s="167" t="inlineStr">
        <is>
          <t>78989056877365</t>
        </is>
      </c>
      <c r="G173" s="167" t="inlineStr">
        <is>
          <t>22089000</t>
        </is>
      </c>
      <c r="H173" s="167" t="n"/>
      <c r="I173" s="167" t="inlineStr">
        <is>
          <t>Bebidas - 5405 - 1</t>
        </is>
      </c>
      <c r="J173" s="167" t="inlineStr">
        <is>
          <t>Carinás</t>
        </is>
      </c>
      <c r="K173" s="167" t="inlineStr">
        <is>
          <t>Sim</t>
        </is>
      </c>
      <c r="L173" s="167" t="inlineStr">
        <is>
          <t>Litros</t>
        </is>
      </c>
      <c r="M173" s="167" t="inlineStr">
        <is>
          <t>Carinás</t>
        </is>
      </c>
    </row>
    <row r="174">
      <c r="A174" s="167" t="inlineStr">
        <is>
          <t>COQUETEL FRUTAS</t>
        </is>
      </c>
      <c r="B174" s="167" t="n"/>
      <c r="C174" s="167" t="n"/>
      <c r="D174" s="167" t="n">
        <v>34.99</v>
      </c>
      <c r="E174" s="167" t="n">
        <v>3499</v>
      </c>
      <c r="F174" s="167" t="inlineStr">
        <is>
          <t>200005</t>
        </is>
      </c>
      <c r="G174" s="167" t="inlineStr">
        <is>
          <t>20099000</t>
        </is>
      </c>
      <c r="H174" s="167" t="n"/>
      <c r="I174" s="167" t="inlineStr">
        <is>
          <t>Alimentos - 5102</t>
        </is>
      </c>
      <c r="J174" s="167" t="inlineStr">
        <is>
          <t>Carinás</t>
        </is>
      </c>
      <c r="K174" s="167" t="inlineStr">
        <is>
          <t>Sim</t>
        </is>
      </c>
      <c r="L174" s="167" t="inlineStr">
        <is>
          <t>Unidades</t>
        </is>
      </c>
      <c r="M174" s="167" t="inlineStr">
        <is>
          <t>Carinás + SA</t>
        </is>
      </c>
    </row>
    <row r="175">
      <c r="A175" s="167" t="inlineStr">
        <is>
          <t>COQUETEL JACK APPLE &amp; TONIC</t>
        </is>
      </c>
      <c r="B175" s="167" t="n"/>
      <c r="C175" s="167" t="n"/>
      <c r="D175" s="167" t="n">
        <v>45.99</v>
      </c>
      <c r="E175" s="167" t="n">
        <v>4599</v>
      </c>
      <c r="F175" s="167" t="inlineStr">
        <is>
          <t>7898905687138</t>
        </is>
      </c>
      <c r="G175" s="167" t="inlineStr">
        <is>
          <t>22083020</t>
        </is>
      </c>
      <c r="H175" s="167" t="n"/>
      <c r="I175" s="167" t="inlineStr">
        <is>
          <t>Alimentos - 5102</t>
        </is>
      </c>
      <c r="J175" s="167" t="inlineStr">
        <is>
          <t>Carinás</t>
        </is>
      </c>
      <c r="K175" s="167" t="inlineStr">
        <is>
          <t>Sim</t>
        </is>
      </c>
      <c r="L175" s="167" t="inlineStr">
        <is>
          <t>Unidades</t>
        </is>
      </c>
      <c r="M175" s="167" t="inlineStr">
        <is>
          <t>Carinás + SA</t>
        </is>
      </c>
    </row>
    <row r="176">
      <c r="A176" s="167" t="inlineStr">
        <is>
          <t>CORACAO</t>
        </is>
      </c>
      <c r="B176" s="167" t="n"/>
      <c r="C176" s="167" t="n"/>
      <c r="D176" s="167" t="n">
        <v>13.99</v>
      </c>
      <c r="E176" s="167" t="n">
        <v>1399</v>
      </c>
      <c r="F176" s="167" t="inlineStr">
        <is>
          <t>10034</t>
        </is>
      </c>
      <c r="G176" s="167" t="inlineStr">
        <is>
          <t>21069090</t>
        </is>
      </c>
      <c r="H176" s="167" t="n"/>
      <c r="I176" s="167" t="inlineStr">
        <is>
          <t>Alimentos - 5102</t>
        </is>
      </c>
      <c r="J176" s="167" t="inlineStr">
        <is>
          <t>Carinás</t>
        </is>
      </c>
      <c r="K176" s="167" t="inlineStr">
        <is>
          <t>Sim</t>
        </is>
      </c>
      <c r="L176" s="167" t="inlineStr">
        <is>
          <t>Unidades</t>
        </is>
      </c>
      <c r="M176" s="167" t="inlineStr">
        <is>
          <t>Carinás + SA + Delivery</t>
        </is>
      </c>
    </row>
    <row r="177">
      <c r="A177" s="167" t="inlineStr">
        <is>
          <t>CORACAO IN NATURA</t>
        </is>
      </c>
      <c r="B177" s="167" t="n"/>
      <c r="C177" s="167" t="n"/>
      <c r="D177" s="167" t="n">
        <v>29.9</v>
      </c>
      <c r="E177" s="167" t="n">
        <v>2990</v>
      </c>
      <c r="F177" s="167" t="inlineStr">
        <is>
          <t>10004</t>
        </is>
      </c>
      <c r="G177" s="167" t="inlineStr">
        <is>
          <t>21069090</t>
        </is>
      </c>
      <c r="H177" s="167" t="n"/>
      <c r="I177" s="167" t="inlineStr">
        <is>
          <t>Alimentos - 5102</t>
        </is>
      </c>
      <c r="J177" s="167" t="inlineStr">
        <is>
          <t>Carinás</t>
        </is>
      </c>
      <c r="K177" s="167" t="inlineStr">
        <is>
          <t>Sim</t>
        </is>
      </c>
      <c r="L177" s="167" t="inlineStr">
        <is>
          <t>Unidades</t>
        </is>
      </c>
      <c r="M177" s="167" t="inlineStr">
        <is>
          <t>Carinás + SA + Delivery</t>
        </is>
      </c>
    </row>
    <row r="178">
      <c r="A178" s="167" t="inlineStr">
        <is>
          <t>CORDEIRO IN NATURA</t>
        </is>
      </c>
      <c r="B178" s="167" t="n"/>
      <c r="C178" s="167" t="n"/>
      <c r="D178" s="167" t="n">
        <v>69.90000000000001</v>
      </c>
      <c r="E178" s="167" t="n">
        <v>6990</v>
      </c>
      <c r="F178" s="167" t="inlineStr">
        <is>
          <t>10019</t>
        </is>
      </c>
      <c r="G178" s="167" t="inlineStr">
        <is>
          <t>21069090</t>
        </is>
      </c>
      <c r="H178" s="167" t="n"/>
      <c r="I178" s="167" t="inlineStr">
        <is>
          <t>Alimentos - 5102</t>
        </is>
      </c>
      <c r="J178" s="167" t="inlineStr">
        <is>
          <t>Carinás</t>
        </is>
      </c>
      <c r="K178" s="167" t="inlineStr">
        <is>
          <t>Sim</t>
        </is>
      </c>
      <c r="L178" s="167" t="inlineStr">
        <is>
          <t>Unidades</t>
        </is>
      </c>
      <c r="M178" s="167" t="inlineStr">
        <is>
          <t>Carinás + SA</t>
        </is>
      </c>
    </row>
    <row r="179">
      <c r="A179" s="167" t="inlineStr">
        <is>
          <t>CORONA 600ML</t>
        </is>
      </c>
      <c r="B179" s="167" t="n"/>
      <c r="C179" s="167" t="inlineStr">
        <is>
          <t>A CERVEJA GARRAFA 600ML</t>
        </is>
      </c>
      <c r="D179" s="167" t="n">
        <v>22.99</v>
      </c>
      <c r="E179" s="167" t="n">
        <v>2299</v>
      </c>
      <c r="F179" s="167" t="inlineStr">
        <is>
          <t>78989056877179</t>
        </is>
      </c>
      <c r="G179" s="167" t="inlineStr">
        <is>
          <t>22030000</t>
        </is>
      </c>
      <c r="H179" s="167" t="n"/>
      <c r="I179" s="167" t="inlineStr">
        <is>
          <t>Bebidas - 5405 - 2</t>
        </is>
      </c>
      <c r="J179" s="167" t="inlineStr">
        <is>
          <t>Carinás</t>
        </is>
      </c>
      <c r="K179" s="167" t="inlineStr">
        <is>
          <t>Sim</t>
        </is>
      </c>
      <c r="L179" s="167" t="inlineStr">
        <is>
          <t>Unidades</t>
        </is>
      </c>
      <c r="M179" s="167" t="inlineStr">
        <is>
          <t>Carinás + SA</t>
        </is>
      </c>
    </row>
    <row r="180">
      <c r="A180" s="167" t="inlineStr">
        <is>
          <t>CORONA CERO</t>
        </is>
      </c>
      <c r="B180" s="167" t="n"/>
      <c r="C180" s="167" t="inlineStr">
        <is>
          <t>A CERVEJAS LONG NECK</t>
        </is>
      </c>
      <c r="D180" s="167" t="n">
        <v>15.99</v>
      </c>
      <c r="E180" s="167" t="n">
        <v>1599</v>
      </c>
      <c r="F180" s="167" t="inlineStr">
        <is>
          <t>78989056877180</t>
        </is>
      </c>
      <c r="G180" s="167" t="inlineStr">
        <is>
          <t>22030000</t>
        </is>
      </c>
      <c r="H180" s="167" t="n"/>
      <c r="I180" s="167" t="inlineStr">
        <is>
          <t>Alimentos - 5102</t>
        </is>
      </c>
      <c r="J180" s="167" t="inlineStr">
        <is>
          <t>Carinás</t>
        </is>
      </c>
      <c r="K180" s="167" t="inlineStr">
        <is>
          <t>Sim</t>
        </is>
      </c>
      <c r="L180" s="167" t="inlineStr">
        <is>
          <t>Unidades</t>
        </is>
      </c>
      <c r="M180" s="167" t="inlineStr">
        <is>
          <t>Carinás + SA</t>
        </is>
      </c>
    </row>
    <row r="181">
      <c r="A181" s="167" t="inlineStr">
        <is>
          <t>CORONA EXTRA</t>
        </is>
      </c>
      <c r="B181" s="167" t="n"/>
      <c r="C181" s="167" t="n"/>
      <c r="D181" s="167" t="n">
        <v>15.99</v>
      </c>
      <c r="E181" s="167" t="n">
        <v>1599</v>
      </c>
      <c r="F181" s="167" t="inlineStr">
        <is>
          <t>80045</t>
        </is>
      </c>
      <c r="G181" s="167" t="inlineStr">
        <is>
          <t>22030000</t>
        </is>
      </c>
      <c r="H181" s="167" t="n"/>
      <c r="I181" s="167" t="inlineStr">
        <is>
          <t>Bebidas - 5405 - 2</t>
        </is>
      </c>
      <c r="J181" s="167" t="inlineStr">
        <is>
          <t>Carinás</t>
        </is>
      </c>
      <c r="K181" s="167" t="inlineStr">
        <is>
          <t>Sim</t>
        </is>
      </c>
      <c r="L181" s="167" t="inlineStr">
        <is>
          <t>Unidades</t>
        </is>
      </c>
      <c r="M181" s="167" t="inlineStr">
        <is>
          <t>Carinás + SA</t>
        </is>
      </c>
    </row>
    <row r="182">
      <c r="A182" s="167" t="inlineStr">
        <is>
          <t>COSTELA BOVINA</t>
        </is>
      </c>
      <c r="B182" s="167" t="n"/>
      <c r="C182" s="167" t="n"/>
      <c r="D182" s="167" t="n">
        <v>15.99</v>
      </c>
      <c r="E182" s="167" t="n">
        <v>1599</v>
      </c>
      <c r="F182" s="167" t="inlineStr">
        <is>
          <t>9003337</t>
        </is>
      </c>
      <c r="G182" s="167" t="inlineStr">
        <is>
          <t>21069090</t>
        </is>
      </c>
      <c r="H182" s="167" t="n"/>
      <c r="I182" s="167" t="inlineStr">
        <is>
          <t>Alimentos - 5102</t>
        </is>
      </c>
      <c r="J182" s="167" t="inlineStr">
        <is>
          <t>Carinás</t>
        </is>
      </c>
      <c r="K182" s="167" t="inlineStr">
        <is>
          <t>Sim</t>
        </is>
      </c>
      <c r="L182" s="167" t="inlineStr">
        <is>
          <t>Unidades</t>
        </is>
      </c>
      <c r="M182" s="167" t="inlineStr">
        <is>
          <t>Carinás + SA</t>
        </is>
      </c>
    </row>
    <row r="183">
      <c r="A183" s="167" t="inlineStr">
        <is>
          <t>COSTELA BOVINA IN NATURA</t>
        </is>
      </c>
      <c r="B183" s="167" t="n"/>
      <c r="C183" s="167" t="n"/>
      <c r="D183" s="167" t="n">
        <v>32.9</v>
      </c>
      <c r="E183" s="167" t="n">
        <v>3290</v>
      </c>
      <c r="F183" s="167" t="inlineStr">
        <is>
          <t>10005</t>
        </is>
      </c>
      <c r="G183" s="167" t="inlineStr">
        <is>
          <t>21069090</t>
        </is>
      </c>
      <c r="H183" s="167" t="n"/>
      <c r="I183" s="167" t="inlineStr">
        <is>
          <t>Alimentos - 5102</t>
        </is>
      </c>
      <c r="J183" s="167" t="inlineStr">
        <is>
          <t>Carinás</t>
        </is>
      </c>
      <c r="K183" s="167" t="inlineStr">
        <is>
          <t>Sim</t>
        </is>
      </c>
      <c r="L183" s="167" t="inlineStr">
        <is>
          <t>Unidades</t>
        </is>
      </c>
      <c r="M183" s="167" t="inlineStr">
        <is>
          <t>Carinás + SA + Delivery</t>
        </is>
      </c>
    </row>
    <row r="184">
      <c r="A184" s="167" t="inlineStr">
        <is>
          <t>COXINHA FRANGO C/ REQUEIJÃO</t>
        </is>
      </c>
      <c r="B184" s="167" t="n"/>
      <c r="C184" s="167" t="inlineStr">
        <is>
          <t>BOTECO NO ESPETO</t>
        </is>
      </c>
      <c r="D184" s="167" t="n">
        <v>14.99</v>
      </c>
      <c r="E184" s="167" t="n">
        <v>1499</v>
      </c>
      <c r="F184" s="167" t="inlineStr">
        <is>
          <t>78989056877114</t>
        </is>
      </c>
      <c r="G184" s="167" t="inlineStr">
        <is>
          <t>19022000</t>
        </is>
      </c>
      <c r="H184" s="167" t="n"/>
      <c r="I184" s="167" t="inlineStr">
        <is>
          <t>Alimentos - 5102</t>
        </is>
      </c>
      <c r="J184" s="167" t="inlineStr">
        <is>
          <t>Carinás</t>
        </is>
      </c>
      <c r="K184" s="167" t="inlineStr">
        <is>
          <t>Sim</t>
        </is>
      </c>
      <c r="L184" s="167" t="inlineStr">
        <is>
          <t>Unidades</t>
        </is>
      </c>
      <c r="M184" s="167" t="inlineStr">
        <is>
          <t>Carinás + SA</t>
        </is>
      </c>
    </row>
    <row r="185">
      <c r="A185" s="167" t="inlineStr">
        <is>
          <t>CRIANÇAS EVENTO KIDS</t>
        </is>
      </c>
      <c r="B185" s="167" t="n"/>
      <c r="C185" s="167" t="n"/>
      <c r="D185" s="167" t="n">
        <v>0</v>
      </c>
      <c r="E185" s="167" t="n">
        <v>0</v>
      </c>
      <c r="F185" s="167" t="inlineStr">
        <is>
          <t>78989056877147</t>
        </is>
      </c>
      <c r="G185" s="167" t="inlineStr">
        <is>
          <t>95043000</t>
        </is>
      </c>
      <c r="H185" s="167" t="n"/>
      <c r="I185" s="167" t="inlineStr">
        <is>
          <t>Alimentos - 5102</t>
        </is>
      </c>
      <c r="J185" s="167" t="inlineStr">
        <is>
          <t>Carinás</t>
        </is>
      </c>
      <c r="K185" s="167" t="inlineStr">
        <is>
          <t>Sim</t>
        </is>
      </c>
      <c r="L185" s="167" t="inlineStr">
        <is>
          <t>Unidades</t>
        </is>
      </c>
      <c r="M185" s="167" t="inlineStr">
        <is>
          <t>Carinás</t>
        </is>
      </c>
    </row>
    <row r="186">
      <c r="A186" s="167" t="inlineStr">
        <is>
          <t>CRISPY DE QUEIJO GOUDA</t>
        </is>
      </c>
      <c r="B186" s="167" t="n"/>
      <c r="C186" s="167" t="inlineStr">
        <is>
          <t>BOTECO NO ESPETO</t>
        </is>
      </c>
      <c r="D186" s="167" t="n">
        <v>17.99</v>
      </c>
      <c r="E186" s="167" t="n">
        <v>1799</v>
      </c>
      <c r="F186" s="167" t="inlineStr">
        <is>
          <t>78989056877112</t>
        </is>
      </c>
      <c r="G186" s="167" t="inlineStr">
        <is>
          <t>19022000</t>
        </is>
      </c>
      <c r="H186" s="167" t="n"/>
      <c r="I186" s="167" t="inlineStr">
        <is>
          <t>Alimentos - 5102</t>
        </is>
      </c>
      <c r="J186" s="167" t="inlineStr">
        <is>
          <t>Carinás</t>
        </is>
      </c>
      <c r="K186" s="167" t="inlineStr">
        <is>
          <t>Sim</t>
        </is>
      </c>
      <c r="L186" s="167" t="inlineStr">
        <is>
          <t>Unidades</t>
        </is>
      </c>
      <c r="M186" s="167" t="inlineStr">
        <is>
          <t>Carinás + SA</t>
        </is>
      </c>
    </row>
    <row r="187">
      <c r="A187" s="167" t="inlineStr">
        <is>
          <t>CUIABANA</t>
        </is>
      </c>
      <c r="B187" s="167" t="n"/>
      <c r="C187" s="167" t="n"/>
      <c r="D187" s="167" t="n">
        <v>15.99</v>
      </c>
      <c r="E187" s="167" t="n">
        <v>1599</v>
      </c>
      <c r="F187" s="167" t="inlineStr">
        <is>
          <t>10042</t>
        </is>
      </c>
      <c r="G187" s="167" t="inlineStr">
        <is>
          <t>21069090</t>
        </is>
      </c>
      <c r="H187" s="167" t="n"/>
      <c r="I187" s="167" t="inlineStr">
        <is>
          <t>Alimentos - 5102</t>
        </is>
      </c>
      <c r="J187" s="167" t="inlineStr">
        <is>
          <t>Carinás</t>
        </is>
      </c>
      <c r="K187" s="167" t="inlineStr">
        <is>
          <t>Sim</t>
        </is>
      </c>
      <c r="L187" s="167" t="inlineStr">
        <is>
          <t>Unidades</t>
        </is>
      </c>
      <c r="M187" s="167" t="inlineStr">
        <is>
          <t>Carinás + SA + Delivery</t>
        </is>
      </c>
    </row>
    <row r="188">
      <c r="A188" s="167" t="inlineStr">
        <is>
          <t>CURAU</t>
        </is>
      </c>
      <c r="B188" s="167" t="n"/>
      <c r="C188" s="167" t="inlineStr">
        <is>
          <t>SOBREMESAS</t>
        </is>
      </c>
      <c r="D188" s="167" t="n">
        <v>10</v>
      </c>
      <c r="E188" s="167" t="n">
        <v>1000</v>
      </c>
      <c r="F188" s="167" t="inlineStr">
        <is>
          <t>800056</t>
        </is>
      </c>
      <c r="G188" s="167" t="inlineStr">
        <is>
          <t>11031300</t>
        </is>
      </c>
      <c r="H188" s="167" t="n"/>
      <c r="I188" s="167" t="inlineStr">
        <is>
          <t>Alimentos - 5102</t>
        </is>
      </c>
      <c r="J188" s="167" t="inlineStr">
        <is>
          <t>Carinás</t>
        </is>
      </c>
      <c r="K188" s="167" t="inlineStr">
        <is>
          <t>Não</t>
        </is>
      </c>
      <c r="L188" s="167" t="inlineStr">
        <is>
          <t>Unidades</t>
        </is>
      </c>
      <c r="M188" s="167" t="inlineStr">
        <is>
          <t>Carinás + SA</t>
        </is>
      </c>
    </row>
    <row r="189">
      <c r="A189" s="167" t="inlineStr">
        <is>
          <t>CUTELO</t>
        </is>
      </c>
      <c r="B189" s="167" t="n"/>
      <c r="C189" s="167" t="inlineStr">
        <is>
          <t>BOUTIQUE</t>
        </is>
      </c>
      <c r="D189" s="167" t="n">
        <v>84.2</v>
      </c>
      <c r="E189" s="167" t="n">
        <v>8420</v>
      </c>
      <c r="F189" s="167" t="inlineStr">
        <is>
          <t>9003586</t>
        </is>
      </c>
      <c r="G189" s="167" t="inlineStr">
        <is>
          <t>82119210</t>
        </is>
      </c>
      <c r="H189" s="167" t="n"/>
      <c r="I189" s="167" t="inlineStr">
        <is>
          <t>Alimentos - 5102</t>
        </is>
      </c>
      <c r="J189" s="167" t="inlineStr">
        <is>
          <t>Carinás</t>
        </is>
      </c>
      <c r="K189" s="167" t="inlineStr">
        <is>
          <t>Sim</t>
        </is>
      </c>
      <c r="L189" s="167" t="inlineStr">
        <is>
          <t>Unidades</t>
        </is>
      </c>
      <c r="M189" s="167" t="inlineStr">
        <is>
          <t>Carinás</t>
        </is>
      </c>
    </row>
    <row r="190">
      <c r="A190" s="167" t="inlineStr">
        <is>
          <t>DIA DOS NAMORADOS</t>
        </is>
      </c>
      <c r="B190" s="167" t="n"/>
      <c r="C190" s="167" t="n"/>
      <c r="D190" s="167" t="n">
        <v>159</v>
      </c>
      <c r="E190" s="167" t="n">
        <v>15900</v>
      </c>
      <c r="F190" s="167" t="inlineStr">
        <is>
          <t>78989056877185</t>
        </is>
      </c>
      <c r="G190" s="167" t="inlineStr">
        <is>
          <t>21069090</t>
        </is>
      </c>
      <c r="H190" s="167" t="n"/>
      <c r="I190" s="167" t="inlineStr">
        <is>
          <t>Alimentos - 5102</t>
        </is>
      </c>
      <c r="J190" s="167" t="inlineStr">
        <is>
          <t>Santo André</t>
        </is>
      </c>
      <c r="K190" s="167" t="n"/>
      <c r="L190" s="167" t="n"/>
      <c r="M190" s="167" t="inlineStr">
        <is>
          <t>SA</t>
        </is>
      </c>
    </row>
    <row r="191">
      <c r="A191" s="167" t="inlineStr">
        <is>
          <t>DOSE MELLY</t>
        </is>
      </c>
      <c r="B191" s="167" t="n"/>
      <c r="C191" s="167" t="n"/>
      <c r="D191" s="167" t="n">
        <v>14</v>
      </c>
      <c r="E191" s="167" t="n">
        <v>1400</v>
      </c>
      <c r="F191" s="167" t="inlineStr">
        <is>
          <t>78989056877398</t>
        </is>
      </c>
      <c r="G191" s="167" t="inlineStr">
        <is>
          <t>22084000</t>
        </is>
      </c>
      <c r="H191" s="167" t="n"/>
      <c r="I191" s="167" t="inlineStr">
        <is>
          <t>Bebidas - 5405 - 1</t>
        </is>
      </c>
      <c r="J191" s="167" t="inlineStr">
        <is>
          <t>Carinás</t>
        </is>
      </c>
      <c r="K191" s="167" t="inlineStr">
        <is>
          <t>Não</t>
        </is>
      </c>
      <c r="L191" s="167" t="inlineStr">
        <is>
          <t>Unidades</t>
        </is>
      </c>
      <c r="M191" s="167" t="inlineStr">
        <is>
          <t>Carinás + SA</t>
        </is>
      </c>
    </row>
    <row r="192">
      <c r="A192" s="167" t="inlineStr">
        <is>
          <t>Double chopp</t>
        </is>
      </c>
      <c r="B192" s="167" t="n"/>
      <c r="C192" s="167" t="n"/>
      <c r="D192" s="167" t="n">
        <v>12.99</v>
      </c>
      <c r="E192" s="167" t="n">
        <v>1299</v>
      </c>
      <c r="F192" s="167" t="inlineStr">
        <is>
          <t>78989056877256</t>
        </is>
      </c>
      <c r="G192" s="167" t="inlineStr">
        <is>
          <t>22030000</t>
        </is>
      </c>
      <c r="H192" s="167" t="n"/>
      <c r="I192" s="167" t="inlineStr">
        <is>
          <t>Bebidas - 5405 - 2</t>
        </is>
      </c>
      <c r="J192" s="167" t="inlineStr">
        <is>
          <t>Carinás</t>
        </is>
      </c>
      <c r="K192" s="167" t="inlineStr">
        <is>
          <t>Sim</t>
        </is>
      </c>
      <c r="L192" s="167" t="inlineStr">
        <is>
          <t>Unidades</t>
        </is>
      </c>
      <c r="M192" s="167" t="inlineStr">
        <is>
          <t>Carinás</t>
        </is>
      </c>
    </row>
    <row r="193">
      <c r="A193" s="167" t="inlineStr">
        <is>
          <t>ENTRADA  MULHER</t>
        </is>
      </c>
      <c r="B193" s="167" t="n"/>
      <c r="C193" s="167" t="inlineStr">
        <is>
          <t>2a405e8d-ca5c-4c86-bc10-284c9eee5899</t>
        </is>
      </c>
      <c r="D193" s="167" t="n">
        <v>15</v>
      </c>
      <c r="E193" s="167" t="n">
        <v>1500</v>
      </c>
      <c r="F193" s="167" t="inlineStr">
        <is>
          <t>9003581</t>
        </is>
      </c>
      <c r="G193" s="167" t="inlineStr">
        <is>
          <t>21069090</t>
        </is>
      </c>
      <c r="H193" s="167" t="n"/>
      <c r="I193" s="167" t="inlineStr">
        <is>
          <t>Alimentos - 5102</t>
        </is>
      </c>
      <c r="J193" s="167" t="inlineStr">
        <is>
          <t>Carinás</t>
        </is>
      </c>
      <c r="K193" s="167" t="inlineStr">
        <is>
          <t>Sim</t>
        </is>
      </c>
      <c r="L193" s="167" t="inlineStr">
        <is>
          <t>Unidades</t>
        </is>
      </c>
      <c r="M193" s="167" t="inlineStr">
        <is>
          <t>Carinás</t>
        </is>
      </c>
    </row>
    <row r="194">
      <c r="A194" s="167" t="inlineStr">
        <is>
          <t>ENTRADA  PLUG</t>
        </is>
      </c>
      <c r="B194" s="167" t="n"/>
      <c r="C194" s="167" t="n"/>
      <c r="D194" s="167" t="n">
        <v>40</v>
      </c>
      <c r="E194" s="167" t="n">
        <v>4000</v>
      </c>
      <c r="F194" s="167" t="inlineStr">
        <is>
          <t>78989056877164</t>
        </is>
      </c>
      <c r="G194" s="167" t="inlineStr">
        <is>
          <t>95043000</t>
        </is>
      </c>
      <c r="H194" s="167" t="n"/>
      <c r="I194" s="167" t="inlineStr">
        <is>
          <t>Alimentos - 5102</t>
        </is>
      </c>
      <c r="J194" s="167" t="inlineStr">
        <is>
          <t>Santo André</t>
        </is>
      </c>
      <c r="K194" s="167" t="n"/>
      <c r="L194" s="167" t="n"/>
      <c r="M194" s="167" t="inlineStr">
        <is>
          <t>SA</t>
        </is>
      </c>
    </row>
    <row r="195">
      <c r="A195" s="167" t="inlineStr">
        <is>
          <t>ENTRADA  PLUG TCKETS</t>
        </is>
      </c>
      <c r="B195" s="167" t="n"/>
      <c r="C195" s="167" t="n"/>
      <c r="D195" s="167" t="n">
        <v>70</v>
      </c>
      <c r="E195" s="167" t="n">
        <v>7000</v>
      </c>
      <c r="F195" s="167" t="inlineStr">
        <is>
          <t>78989056877163</t>
        </is>
      </c>
      <c r="G195" s="167" t="inlineStr">
        <is>
          <t>95043000</t>
        </is>
      </c>
      <c r="H195" s="167" t="n"/>
      <c r="I195" s="167" t="inlineStr">
        <is>
          <t>Alimentos - 5102</t>
        </is>
      </c>
      <c r="J195" s="167" t="inlineStr">
        <is>
          <t>Santo André</t>
        </is>
      </c>
      <c r="K195" s="167" t="n"/>
      <c r="L195" s="167" t="n"/>
      <c r="M195" s="167" t="inlineStr">
        <is>
          <t>SA</t>
        </is>
      </c>
    </row>
    <row r="196">
      <c r="A196" s="167" t="inlineStr">
        <is>
          <t>ENTRADA  PLUG TICKET</t>
        </is>
      </c>
      <c r="B196" s="167" t="n"/>
      <c r="C196" s="167" t="n"/>
      <c r="D196" s="167" t="n">
        <v>20</v>
      </c>
      <c r="E196" s="167" t="n">
        <v>2000</v>
      </c>
      <c r="F196" s="167" t="inlineStr">
        <is>
          <t>78989056877162</t>
        </is>
      </c>
      <c r="G196" s="167" t="inlineStr">
        <is>
          <t>95043000</t>
        </is>
      </c>
      <c r="H196" s="167" t="n"/>
      <c r="I196" s="167" t="inlineStr">
        <is>
          <t>Alimentos - 5102</t>
        </is>
      </c>
      <c r="J196" s="167" t="inlineStr">
        <is>
          <t>Santo André</t>
        </is>
      </c>
      <c r="K196" s="167" t="n"/>
      <c r="L196" s="167" t="n"/>
      <c r="M196" s="167" t="inlineStr">
        <is>
          <t>SA</t>
        </is>
      </c>
    </row>
    <row r="197">
      <c r="A197" s="167" t="inlineStr">
        <is>
          <t>ENTRADA  PLUG TICKET CAMAROTE PORTA</t>
        </is>
      </c>
      <c r="B197" s="167" t="n"/>
      <c r="C197" s="167" t="n"/>
      <c r="D197" s="167" t="n">
        <v>140</v>
      </c>
      <c r="E197" s="167" t="n">
        <v>14000</v>
      </c>
      <c r="F197" s="167" t="inlineStr">
        <is>
          <t>78989056877121</t>
        </is>
      </c>
      <c r="G197" s="167" t="inlineStr">
        <is>
          <t>21069090</t>
        </is>
      </c>
      <c r="H197" s="167" t="n"/>
      <c r="I197" s="167" t="inlineStr">
        <is>
          <t>Alimentos - 5102</t>
        </is>
      </c>
      <c r="J197" s="167" t="inlineStr">
        <is>
          <t>Santo André</t>
        </is>
      </c>
      <c r="K197" s="167" t="n"/>
      <c r="L197" s="167" t="n"/>
      <c r="M197" s="167" t="inlineStr">
        <is>
          <t>SA</t>
        </is>
      </c>
    </row>
    <row r="198">
      <c r="A198" s="167" t="inlineStr">
        <is>
          <t>ENTRADA  QUARTA-FEIRA</t>
        </is>
      </c>
      <c r="B198" s="167" t="n"/>
      <c r="C198" s="167" t="n"/>
      <c r="D198" s="167" t="n">
        <v>10</v>
      </c>
      <c r="E198" s="167" t="n">
        <v>1000</v>
      </c>
      <c r="F198" s="167" t="inlineStr">
        <is>
          <t>78989056877122</t>
        </is>
      </c>
      <c r="G198" s="167" t="inlineStr">
        <is>
          <t>21069090</t>
        </is>
      </c>
      <c r="H198" s="167" t="n"/>
      <c r="I198" s="167" t="inlineStr">
        <is>
          <t>Alimentos - 5102</t>
        </is>
      </c>
      <c r="J198" s="167" t="inlineStr">
        <is>
          <t>Santo André</t>
        </is>
      </c>
      <c r="K198" s="167" t="n"/>
      <c r="L198" s="167" t="n"/>
      <c r="M198" s="167" t="inlineStr">
        <is>
          <t>SA</t>
        </is>
      </c>
    </row>
    <row r="199">
      <c r="A199" s="167" t="inlineStr">
        <is>
          <t>ENTRADA  SÁBADO</t>
        </is>
      </c>
      <c r="B199" s="167" t="n"/>
      <c r="C199" s="167" t="n"/>
      <c r="D199" s="167" t="n">
        <v>25</v>
      </c>
      <c r="E199" s="167" t="n">
        <v>2500</v>
      </c>
      <c r="F199" s="167" t="inlineStr">
        <is>
          <t>7898905687170</t>
        </is>
      </c>
      <c r="G199" s="167" t="inlineStr">
        <is>
          <t>21069090</t>
        </is>
      </c>
      <c r="H199" s="167" t="n"/>
      <c r="I199" s="167" t="inlineStr">
        <is>
          <t>Alimentos - 5102</t>
        </is>
      </c>
      <c r="J199" s="167" t="inlineStr">
        <is>
          <t>Santo André</t>
        </is>
      </c>
      <c r="K199" s="167" t="n"/>
      <c r="L199" s="167" t="n"/>
      <c r="M199" s="167" t="inlineStr">
        <is>
          <t>SA</t>
        </is>
      </c>
    </row>
    <row r="200">
      <c r="A200" s="167" t="inlineStr">
        <is>
          <t>ENTRADA ANIVERSÁRIO</t>
        </is>
      </c>
      <c r="B200" s="167" t="n"/>
      <c r="C200" s="167" t="n"/>
      <c r="D200" s="167" t="n">
        <v>0</v>
      </c>
      <c r="E200" s="167" t="n">
        <v>0</v>
      </c>
      <c r="F200" s="167" t="inlineStr">
        <is>
          <t>46078</t>
        </is>
      </c>
      <c r="G200" s="167" t="inlineStr">
        <is>
          <t>21069090</t>
        </is>
      </c>
      <c r="H200" s="167" t="n"/>
      <c r="I200" s="167" t="inlineStr">
        <is>
          <t>Alimentos - 5102</t>
        </is>
      </c>
      <c r="J200" s="167" t="inlineStr">
        <is>
          <t>Carinás</t>
        </is>
      </c>
      <c r="K200" s="167" t="inlineStr">
        <is>
          <t>Sim</t>
        </is>
      </c>
      <c r="L200" s="167" t="inlineStr">
        <is>
          <t>Unidades</t>
        </is>
      </c>
      <c r="M200" s="167" t="inlineStr">
        <is>
          <t>Carinás + SA</t>
        </is>
      </c>
    </row>
    <row r="201">
      <c r="A201" s="167" t="inlineStr">
        <is>
          <t>ENTRADA BBJ CAMAROTE</t>
        </is>
      </c>
      <c r="B201" s="167" t="n"/>
      <c r="C201" s="167" t="n"/>
      <c r="D201" s="167" t="n">
        <v>390</v>
      </c>
      <c r="E201" s="167" t="n">
        <v>39000</v>
      </c>
      <c r="F201" s="167" t="inlineStr">
        <is>
          <t>78989056877125</t>
        </is>
      </c>
      <c r="G201" s="167" t="inlineStr">
        <is>
          <t>21069090</t>
        </is>
      </c>
      <c r="H201" s="167" t="n"/>
      <c r="I201" s="167" t="inlineStr">
        <is>
          <t>Alimentos - 5102</t>
        </is>
      </c>
      <c r="J201" s="167" t="inlineStr">
        <is>
          <t>Santo André</t>
        </is>
      </c>
      <c r="K201" s="167" t="n"/>
      <c r="L201" s="167" t="n"/>
      <c r="M201" s="167" t="inlineStr">
        <is>
          <t>SA</t>
        </is>
      </c>
    </row>
    <row r="202">
      <c r="A202" s="167" t="inlineStr">
        <is>
          <t>ENTRADA DOMINGO</t>
        </is>
      </c>
      <c r="B202" s="167" t="n"/>
      <c r="C202" s="167" t="inlineStr">
        <is>
          <t>3b8329e9-c1f0-43f5-94b6-eb250f3bf878</t>
        </is>
      </c>
      <c r="D202" s="167" t="n">
        <v>30</v>
      </c>
      <c r="E202" s="167" t="n">
        <v>3000</v>
      </c>
      <c r="F202" s="167" t="inlineStr">
        <is>
          <t>9003580</t>
        </is>
      </c>
      <c r="G202" s="167" t="inlineStr">
        <is>
          <t>21069090</t>
        </is>
      </c>
      <c r="H202" s="167" t="n"/>
      <c r="I202" s="167" t="inlineStr">
        <is>
          <t>Alimentos - 5102</t>
        </is>
      </c>
      <c r="J202" s="167" t="inlineStr">
        <is>
          <t>Carinás</t>
        </is>
      </c>
      <c r="K202" s="167" t="inlineStr">
        <is>
          <t>Sim</t>
        </is>
      </c>
      <c r="L202" s="167" t="inlineStr">
        <is>
          <t>Unidades</t>
        </is>
      </c>
      <c r="M202" s="167" t="inlineStr">
        <is>
          <t>Carinás + SA</t>
        </is>
      </c>
    </row>
    <row r="203">
      <c r="A203" s="167" t="inlineStr">
        <is>
          <t>ENTRADA DOMINGO NOITE</t>
        </is>
      </c>
      <c r="B203" s="167" t="n"/>
      <c r="C203" s="167" t="n"/>
      <c r="D203" s="167" t="n">
        <v>10</v>
      </c>
      <c r="E203" s="167" t="n">
        <v>1000</v>
      </c>
      <c r="F203" s="167" t="inlineStr">
        <is>
          <t>9003128</t>
        </is>
      </c>
      <c r="G203" s="167" t="inlineStr">
        <is>
          <t>21069090</t>
        </is>
      </c>
      <c r="H203" s="167" t="n"/>
      <c r="I203" s="167" t="inlineStr">
        <is>
          <t>Alimentos - 5102</t>
        </is>
      </c>
      <c r="J203" s="167" t="inlineStr">
        <is>
          <t>Carinás</t>
        </is>
      </c>
      <c r="K203" s="167" t="inlineStr">
        <is>
          <t>Sim</t>
        </is>
      </c>
      <c r="L203" s="167" t="inlineStr">
        <is>
          <t>Unidades</t>
        </is>
      </c>
      <c r="M203" s="167" t="inlineStr">
        <is>
          <t>Carinás</t>
        </is>
      </c>
    </row>
    <row r="204">
      <c r="A204" s="167" t="inlineStr">
        <is>
          <t>ENTRADA DOMINGO NOITE - APOS AS 17;00</t>
        </is>
      </c>
      <c r="B204" s="167" t="n"/>
      <c r="C204" s="167" t="n"/>
      <c r="D204" s="167" t="n">
        <v>20</v>
      </c>
      <c r="E204" s="167" t="n">
        <v>2000</v>
      </c>
      <c r="F204" s="167" t="inlineStr">
        <is>
          <t>9003129</t>
        </is>
      </c>
      <c r="G204" s="167" t="inlineStr">
        <is>
          <t>21069090</t>
        </is>
      </c>
      <c r="H204" s="167" t="n"/>
      <c r="I204" s="167" t="inlineStr">
        <is>
          <t>Alimentos - 5102</t>
        </is>
      </c>
      <c r="J204" s="167" t="inlineStr">
        <is>
          <t>Carinás</t>
        </is>
      </c>
      <c r="K204" s="167" t="inlineStr">
        <is>
          <t>Sim</t>
        </is>
      </c>
      <c r="L204" s="167" t="inlineStr">
        <is>
          <t>Unidades</t>
        </is>
      </c>
      <c r="M204" s="167" t="inlineStr">
        <is>
          <t>Carinás</t>
        </is>
      </c>
    </row>
    <row r="205">
      <c r="A205" s="167" t="inlineStr">
        <is>
          <t>ENTRADA FLAMENGO</t>
        </is>
      </c>
      <c r="B205" s="167" t="n"/>
      <c r="C205" s="167" t="n"/>
      <c r="D205" s="167" t="n">
        <v>10</v>
      </c>
      <c r="E205" s="167" t="n">
        <v>1000</v>
      </c>
      <c r="F205" s="167" t="inlineStr">
        <is>
          <t>15952</t>
        </is>
      </c>
      <c r="G205" s="167" t="inlineStr">
        <is>
          <t>21069090</t>
        </is>
      </c>
      <c r="H205" s="167" t="n"/>
      <c r="I205" s="167" t="inlineStr">
        <is>
          <t>Alimentos - 5102</t>
        </is>
      </c>
      <c r="J205" s="167" t="inlineStr">
        <is>
          <t>Carinás</t>
        </is>
      </c>
      <c r="K205" s="167" t="inlineStr">
        <is>
          <t>Sim</t>
        </is>
      </c>
      <c r="L205" s="167" t="inlineStr">
        <is>
          <t>Unidades</t>
        </is>
      </c>
      <c r="M205" s="167" t="inlineStr">
        <is>
          <t>Carinás</t>
        </is>
      </c>
    </row>
    <row r="206">
      <c r="A206" s="167" t="inlineStr">
        <is>
          <t>ENTRADA FLAMENGO TICKET 360</t>
        </is>
      </c>
      <c r="B206" s="167" t="n"/>
      <c r="C206" s="167" t="n"/>
      <c r="D206" s="167" t="n">
        <v>50</v>
      </c>
      <c r="E206" s="167" t="n">
        <v>5000</v>
      </c>
      <c r="F206" s="167" t="inlineStr">
        <is>
          <t>9003131</t>
        </is>
      </c>
      <c r="G206" s="167" t="inlineStr">
        <is>
          <t>21069090</t>
        </is>
      </c>
      <c r="H206" s="167" t="n"/>
      <c r="I206" s="167" t="inlineStr">
        <is>
          <t>Alimentos - 5102</t>
        </is>
      </c>
      <c r="J206" s="167" t="inlineStr">
        <is>
          <t>Carinás</t>
        </is>
      </c>
      <c r="K206" s="167" t="inlineStr">
        <is>
          <t>Sim</t>
        </is>
      </c>
      <c r="L206" s="167" t="inlineStr">
        <is>
          <t>Unidades</t>
        </is>
      </c>
      <c r="M206" s="167" t="inlineStr">
        <is>
          <t>Carinás</t>
        </is>
      </c>
    </row>
    <row r="207">
      <c r="A207" s="167" t="inlineStr">
        <is>
          <t>ENTRADA MUSICO</t>
        </is>
      </c>
      <c r="B207" s="167" t="n"/>
      <c r="C207" s="167" t="n"/>
      <c r="D207" s="167" t="n">
        <v>0</v>
      </c>
      <c r="E207" s="167" t="n">
        <v>0</v>
      </c>
      <c r="F207" s="167" t="inlineStr">
        <is>
          <t>7898905687353</t>
        </is>
      </c>
      <c r="G207" s="167" t="inlineStr">
        <is>
          <t>21069090</t>
        </is>
      </c>
      <c r="H207" s="167" t="n"/>
      <c r="I207" s="167" t="inlineStr">
        <is>
          <t>Alimentos - 5102</t>
        </is>
      </c>
      <c r="J207" s="167" t="inlineStr">
        <is>
          <t>Carinás</t>
        </is>
      </c>
      <c r="K207" s="167" t="inlineStr">
        <is>
          <t>Sim</t>
        </is>
      </c>
      <c r="L207" s="167" t="inlineStr">
        <is>
          <t>Unidades</t>
        </is>
      </c>
      <c r="M207" s="167" t="inlineStr">
        <is>
          <t>Carinás</t>
        </is>
      </c>
    </row>
    <row r="208">
      <c r="A208" s="167" t="inlineStr">
        <is>
          <t>ENTRADA MÚSICO</t>
        </is>
      </c>
      <c r="B208" s="167" t="n"/>
      <c r="C208" s="167" t="n"/>
      <c r="D208" s="167" t="n">
        <v>0</v>
      </c>
      <c r="E208" s="167" t="n">
        <v>0</v>
      </c>
      <c r="F208" s="167" t="inlineStr">
        <is>
          <t>7898905687359</t>
        </is>
      </c>
      <c r="G208" s="167" t="inlineStr">
        <is>
          <t>21069090</t>
        </is>
      </c>
      <c r="H208" s="167" t="n"/>
      <c r="I208" s="167" t="inlineStr">
        <is>
          <t>Alimentos - 5102</t>
        </is>
      </c>
      <c r="J208" s="167" t="inlineStr">
        <is>
          <t>Santo André</t>
        </is>
      </c>
      <c r="K208" s="167" t="n"/>
      <c r="L208" s="167" t="n"/>
      <c r="M208" s="167" t="inlineStr">
        <is>
          <t>SA</t>
        </is>
      </c>
    </row>
    <row r="209">
      <c r="A209" s="167" t="inlineStr">
        <is>
          <t>ENTRADA PLUG TCKETS</t>
        </is>
      </c>
      <c r="B209" s="167" t="n"/>
      <c r="C209" s="167" t="n"/>
      <c r="D209" s="167" t="n">
        <v>60</v>
      </c>
      <c r="E209" s="167" t="n">
        <v>6000</v>
      </c>
      <c r="F209" s="167" t="inlineStr">
        <is>
          <t>7898905687163</t>
        </is>
      </c>
      <c r="G209" s="167" t="inlineStr">
        <is>
          <t>21069090</t>
        </is>
      </c>
      <c r="H209" s="167" t="n"/>
      <c r="I209" s="167" t="inlineStr">
        <is>
          <t>Alimentos - 5102</t>
        </is>
      </c>
      <c r="J209" s="167" t="inlineStr">
        <is>
          <t>Santo André</t>
        </is>
      </c>
      <c r="K209" s="167" t="n"/>
      <c r="L209" s="167" t="n"/>
      <c r="M209" s="167" t="inlineStr">
        <is>
          <t>SA</t>
        </is>
      </c>
    </row>
    <row r="210">
      <c r="A210" s="167" t="inlineStr">
        <is>
          <t>ENTRADA PLUG TICKET</t>
        </is>
      </c>
      <c r="B210" s="167" t="n"/>
      <c r="C210" s="167" t="n"/>
      <c r="D210" s="167" t="n">
        <v>50</v>
      </c>
      <c r="E210" s="167" t="n">
        <v>5000</v>
      </c>
      <c r="F210" s="167" t="inlineStr">
        <is>
          <t>78989056877124</t>
        </is>
      </c>
      <c r="G210" s="167" t="inlineStr">
        <is>
          <t>21069090</t>
        </is>
      </c>
      <c r="H210" s="167" t="n"/>
      <c r="I210" s="167" t="inlineStr">
        <is>
          <t>Alimentos - 5102</t>
        </is>
      </c>
      <c r="J210" s="167" t="inlineStr">
        <is>
          <t>Santo André</t>
        </is>
      </c>
      <c r="K210" s="167" t="n"/>
      <c r="L210" s="167" t="n"/>
      <c r="M210" s="167" t="inlineStr">
        <is>
          <t>SA</t>
        </is>
      </c>
    </row>
    <row r="211">
      <c r="A211" s="167" t="inlineStr">
        <is>
          <t>ENTRADA PLUG TICKETS</t>
        </is>
      </c>
      <c r="B211" s="167" t="n"/>
      <c r="C211" s="167" t="n"/>
      <c r="D211" s="167" t="n">
        <v>40</v>
      </c>
      <c r="E211" s="167" t="n">
        <v>4000</v>
      </c>
      <c r="F211" s="167" t="inlineStr">
        <is>
          <t>7898905687602</t>
        </is>
      </c>
      <c r="G211" s="167" t="inlineStr">
        <is>
          <t>95043000</t>
        </is>
      </c>
      <c r="H211" s="167" t="n"/>
      <c r="I211" s="167" t="inlineStr">
        <is>
          <t>Alimentos - 5102</t>
        </is>
      </c>
      <c r="J211" s="167" t="inlineStr">
        <is>
          <t>Santo André</t>
        </is>
      </c>
      <c r="K211" s="167" t="n"/>
      <c r="L211" s="167" t="n"/>
      <c r="M211" s="167" t="inlineStr">
        <is>
          <t>SA</t>
        </is>
      </c>
    </row>
    <row r="212">
      <c r="A212" s="167" t="inlineStr">
        <is>
          <t>ENTRADA PLUG TICKETS  PISTA PORTA</t>
        </is>
      </c>
      <c r="B212" s="167" t="n"/>
      <c r="C212" s="167" t="n"/>
      <c r="D212" s="167" t="n">
        <v>100</v>
      </c>
      <c r="E212" s="167" t="n">
        <v>10000</v>
      </c>
      <c r="F212" s="167" t="inlineStr">
        <is>
          <t>7898905687169</t>
        </is>
      </c>
      <c r="G212" s="167" t="inlineStr">
        <is>
          <t>21069090</t>
        </is>
      </c>
      <c r="H212" s="167" t="n"/>
      <c r="I212" s="167" t="inlineStr">
        <is>
          <t>Alimentos - 5102</t>
        </is>
      </c>
      <c r="J212" s="167" t="inlineStr">
        <is>
          <t>Santo André</t>
        </is>
      </c>
      <c r="K212" s="167" t="n"/>
      <c r="L212" s="167" t="n"/>
      <c r="M212" s="167" t="inlineStr">
        <is>
          <t>SA</t>
        </is>
      </c>
    </row>
    <row r="213">
      <c r="A213" s="167" t="inlineStr">
        <is>
          <t>ENTRADA QUARTA FEIRA</t>
        </is>
      </c>
      <c r="B213" s="167" t="n"/>
      <c r="C213" s="167" t="n"/>
      <c r="D213" s="167" t="n">
        <v>10</v>
      </c>
      <c r="E213" s="167" t="n">
        <v>1000</v>
      </c>
      <c r="F213" s="167" t="inlineStr">
        <is>
          <t>511005</t>
        </is>
      </c>
      <c r="G213" s="167" t="inlineStr">
        <is>
          <t>21069090</t>
        </is>
      </c>
      <c r="H213" s="167" t="n"/>
      <c r="I213" s="167" t="inlineStr">
        <is>
          <t>Alimentos - 5102</t>
        </is>
      </c>
      <c r="J213" s="167" t="inlineStr">
        <is>
          <t>Carinás</t>
        </is>
      </c>
      <c r="K213" s="167" t="inlineStr">
        <is>
          <t>Sim</t>
        </is>
      </c>
      <c r="L213" s="167" t="inlineStr">
        <is>
          <t>Unidades</t>
        </is>
      </c>
      <c r="M213" s="167" t="inlineStr">
        <is>
          <t>Carinás</t>
        </is>
      </c>
    </row>
    <row r="214">
      <c r="A214" s="167" t="inlineStr">
        <is>
          <t>ENTRADA QUINTA FEIRA</t>
        </is>
      </c>
      <c r="B214" s="167" t="n"/>
      <c r="C214" s="167" t="n"/>
      <c r="D214" s="167" t="n">
        <v>20</v>
      </c>
      <c r="E214" s="167" t="n">
        <v>2000</v>
      </c>
      <c r="F214" s="167" t="inlineStr">
        <is>
          <t>95063</t>
        </is>
      </c>
      <c r="G214" s="167" t="inlineStr">
        <is>
          <t>21069090</t>
        </is>
      </c>
      <c r="H214" s="167" t="n"/>
      <c r="I214" s="167" t="inlineStr">
        <is>
          <t>Alimentos - 5102</t>
        </is>
      </c>
      <c r="J214" s="167" t="inlineStr">
        <is>
          <t>Carinás</t>
        </is>
      </c>
      <c r="K214" s="167" t="inlineStr">
        <is>
          <t>Sim</t>
        </is>
      </c>
      <c r="L214" s="167" t="inlineStr">
        <is>
          <t>Unidades</t>
        </is>
      </c>
      <c r="M214" s="167" t="inlineStr">
        <is>
          <t>Carinás</t>
        </is>
      </c>
    </row>
    <row r="215">
      <c r="A215" s="167" t="inlineStr">
        <is>
          <t>ENTRADA QUINTA- FEIRA</t>
        </is>
      </c>
      <c r="B215" s="167" t="n"/>
      <c r="C215" s="167" t="n"/>
      <c r="D215" s="167" t="n">
        <v>15</v>
      </c>
      <c r="E215" s="167" t="n">
        <v>1500</v>
      </c>
      <c r="F215" s="167" t="inlineStr">
        <is>
          <t>78989056877165</t>
        </is>
      </c>
      <c r="G215" s="167" t="inlineStr">
        <is>
          <t>95043000</t>
        </is>
      </c>
      <c r="H215" s="167" t="n"/>
      <c r="I215" s="167" t="inlineStr">
        <is>
          <t>Alimentos - 5102</t>
        </is>
      </c>
      <c r="J215" s="167" t="inlineStr">
        <is>
          <t>Santo André</t>
        </is>
      </c>
      <c r="K215" s="167" t="n"/>
      <c r="L215" s="167" t="n"/>
      <c r="M215" s="167" t="inlineStr">
        <is>
          <t>SA</t>
        </is>
      </c>
    </row>
    <row r="216">
      <c r="A216" s="167" t="inlineStr">
        <is>
          <t>ENTRADA SABADO</t>
        </is>
      </c>
      <c r="B216" s="167" t="n"/>
      <c r="C216" s="167" t="n"/>
      <c r="D216" s="167" t="n">
        <v>25</v>
      </c>
      <c r="E216" s="167" t="n">
        <v>2500</v>
      </c>
      <c r="F216" s="167" t="inlineStr">
        <is>
          <t>69104</t>
        </is>
      </c>
      <c r="G216" s="167" t="inlineStr">
        <is>
          <t>21069090</t>
        </is>
      </c>
      <c r="H216" s="167" t="n"/>
      <c r="I216" s="167" t="inlineStr">
        <is>
          <t>Alimentos - 5102</t>
        </is>
      </c>
      <c r="J216" s="167" t="inlineStr">
        <is>
          <t>Carinás</t>
        </is>
      </c>
      <c r="K216" s="167" t="inlineStr">
        <is>
          <t>Sim</t>
        </is>
      </c>
      <c r="L216" s="167" t="inlineStr">
        <is>
          <t>Unidades</t>
        </is>
      </c>
      <c r="M216" s="167" t="inlineStr">
        <is>
          <t>Carinás</t>
        </is>
      </c>
    </row>
    <row r="217">
      <c r="A217" s="167" t="inlineStr">
        <is>
          <t>ENTRADA SEGUNDA FEIRA</t>
        </is>
      </c>
      <c r="B217" s="167" t="n"/>
      <c r="C217" s="167" t="n"/>
      <c r="D217" s="167" t="n">
        <v>30</v>
      </c>
      <c r="E217" s="167" t="n">
        <v>3000</v>
      </c>
      <c r="F217" s="167" t="inlineStr">
        <is>
          <t>40006</t>
        </is>
      </c>
      <c r="G217" s="167" t="inlineStr">
        <is>
          <t>21069090</t>
        </is>
      </c>
      <c r="H217" s="167" t="n"/>
      <c r="I217" s="167" t="inlineStr">
        <is>
          <t>Alimentos - 5102</t>
        </is>
      </c>
      <c r="J217" s="167" t="inlineStr">
        <is>
          <t>Carinás</t>
        </is>
      </c>
      <c r="K217" s="167" t="inlineStr">
        <is>
          <t>Sim</t>
        </is>
      </c>
      <c r="L217" s="167" t="inlineStr">
        <is>
          <t>Unidades</t>
        </is>
      </c>
      <c r="M217" s="167" t="inlineStr">
        <is>
          <t>Carinás</t>
        </is>
      </c>
    </row>
    <row r="218">
      <c r="A218" s="167" t="inlineStr">
        <is>
          <t>ENTRADA SEXTA HOMEN</t>
        </is>
      </c>
      <c r="B218" s="167" t="n"/>
      <c r="C218" s="167" t="n"/>
      <c r="D218" s="167" t="n">
        <v>20</v>
      </c>
      <c r="E218" s="167" t="n">
        <v>2000</v>
      </c>
      <c r="F218" s="167" t="inlineStr">
        <is>
          <t>511011</t>
        </is>
      </c>
      <c r="G218" s="167" t="inlineStr">
        <is>
          <t>21069090</t>
        </is>
      </c>
      <c r="H218" s="167" t="n"/>
      <c r="I218" s="167" t="inlineStr">
        <is>
          <t>Alimentos - 5102</t>
        </is>
      </c>
      <c r="J218" s="167" t="inlineStr">
        <is>
          <t>Carinás</t>
        </is>
      </c>
      <c r="K218" s="167" t="inlineStr">
        <is>
          <t>Sim</t>
        </is>
      </c>
      <c r="L218" s="167" t="inlineStr">
        <is>
          <t>Unidades</t>
        </is>
      </c>
      <c r="M218" s="167" t="inlineStr">
        <is>
          <t>Carinás</t>
        </is>
      </c>
    </row>
    <row r="219">
      <c r="A219" s="167" t="inlineStr">
        <is>
          <t>ENTRADA SHOW GERIATRICOS</t>
        </is>
      </c>
      <c r="B219" s="167" t="n"/>
      <c r="C219" s="167" t="n"/>
      <c r="D219" s="167" t="n">
        <v>41382.4</v>
      </c>
      <c r="E219" s="167" t="n">
        <v>4138240</v>
      </c>
      <c r="F219" s="167" t="inlineStr">
        <is>
          <t>9003636</t>
        </is>
      </c>
      <c r="G219" s="167" t="inlineStr">
        <is>
          <t>21069090</t>
        </is>
      </c>
      <c r="H219" s="167" t="n"/>
      <c r="I219" s="167" t="inlineStr">
        <is>
          <t>Alimentos - 5102</t>
        </is>
      </c>
      <c r="J219" s="167" t="inlineStr">
        <is>
          <t>Carinás</t>
        </is>
      </c>
      <c r="K219" s="167" t="inlineStr">
        <is>
          <t>Sim</t>
        </is>
      </c>
      <c r="L219" s="167" t="inlineStr">
        <is>
          <t>Unidades</t>
        </is>
      </c>
      <c r="M219" s="167" t="inlineStr">
        <is>
          <t>Carinás</t>
        </is>
      </c>
    </row>
    <row r="220">
      <c r="A220" s="167" t="inlineStr">
        <is>
          <t>ENTRADA TERCA FEIRA</t>
        </is>
      </c>
      <c r="B220" s="167" t="n"/>
      <c r="C220" s="167" t="n"/>
      <c r="D220" s="167" t="n">
        <v>15</v>
      </c>
      <c r="E220" s="167" t="n">
        <v>1500</v>
      </c>
      <c r="F220" s="167" t="inlineStr">
        <is>
          <t>54039</t>
        </is>
      </c>
      <c r="G220" s="167" t="inlineStr">
        <is>
          <t>21069090</t>
        </is>
      </c>
      <c r="H220" s="167" t="n"/>
      <c r="I220" s="167" t="inlineStr">
        <is>
          <t>Alimentos - 5102</t>
        </is>
      </c>
      <c r="J220" s="167" t="inlineStr">
        <is>
          <t>Carinás</t>
        </is>
      </c>
      <c r="K220" s="167" t="inlineStr">
        <is>
          <t>Sim</t>
        </is>
      </c>
      <c r="L220" s="167" t="inlineStr">
        <is>
          <t>Unidades</t>
        </is>
      </c>
      <c r="M220" s="167" t="inlineStr">
        <is>
          <t>Carinás</t>
        </is>
      </c>
    </row>
    <row r="221">
      <c r="A221" s="167" t="inlineStr">
        <is>
          <t>ENTRADA TICKET360</t>
        </is>
      </c>
      <c r="B221" s="167" t="n"/>
      <c r="C221" s="167" t="inlineStr">
        <is>
          <t>3b8329e9-c1f0-43f5-94b6-eb250f3bf878</t>
        </is>
      </c>
      <c r="D221" s="167" t="n">
        <v>80</v>
      </c>
      <c r="E221" s="167" t="n">
        <v>8000</v>
      </c>
      <c r="F221" s="167" t="inlineStr">
        <is>
          <t>9003572</t>
        </is>
      </c>
      <c r="G221" s="167" t="inlineStr">
        <is>
          <t>21069090</t>
        </is>
      </c>
      <c r="H221" s="167" t="n"/>
      <c r="I221" s="167" t="inlineStr">
        <is>
          <t>Alimentos - 5102</t>
        </is>
      </c>
      <c r="J221" s="167" t="inlineStr">
        <is>
          <t>Carinás</t>
        </is>
      </c>
      <c r="K221" s="167" t="inlineStr">
        <is>
          <t>Sim</t>
        </is>
      </c>
      <c r="L221" s="167" t="inlineStr">
        <is>
          <t>Unidades</t>
        </is>
      </c>
      <c r="M221" s="167" t="inlineStr">
        <is>
          <t>Carinás</t>
        </is>
      </c>
    </row>
    <row r="222">
      <c r="A222" s="167" t="inlineStr">
        <is>
          <t>ENTRADA TORCIDA INTER</t>
        </is>
      </c>
      <c r="B222" s="167" t="n"/>
      <c r="C222" s="167" t="n"/>
      <c r="D222" s="167" t="n">
        <v>0</v>
      </c>
      <c r="E222" s="167" t="n">
        <v>0</v>
      </c>
      <c r="F222" s="167" t="inlineStr">
        <is>
          <t>9003130</t>
        </is>
      </c>
      <c r="G222" s="167" t="inlineStr">
        <is>
          <t>21069090</t>
        </is>
      </c>
      <c r="H222" s="167" t="n"/>
      <c r="I222" s="167" t="inlineStr">
        <is>
          <t>Alimentos - 5102</t>
        </is>
      </c>
      <c r="J222" s="167" t="inlineStr">
        <is>
          <t>Carinás</t>
        </is>
      </c>
      <c r="K222" s="167" t="inlineStr">
        <is>
          <t>Sim</t>
        </is>
      </c>
      <c r="L222" s="167" t="inlineStr">
        <is>
          <t>Unidades</t>
        </is>
      </c>
      <c r="M222" s="167" t="inlineStr">
        <is>
          <t>Carinás</t>
        </is>
      </c>
    </row>
    <row r="223">
      <c r="A223" s="167" t="inlineStr">
        <is>
          <t>ENTRADA VIP</t>
        </is>
      </c>
      <c r="B223" s="167" t="n"/>
      <c r="C223" s="167" t="n"/>
      <c r="D223" s="167" t="n">
        <v>0</v>
      </c>
      <c r="E223" s="167" t="n">
        <v>0</v>
      </c>
      <c r="F223" s="167" t="inlineStr">
        <is>
          <t>9003136</t>
        </is>
      </c>
      <c r="G223" s="167" t="inlineStr">
        <is>
          <t>21069090</t>
        </is>
      </c>
      <c r="H223" s="167" t="n"/>
      <c r="I223" s="167" t="inlineStr">
        <is>
          <t>Alimentos - 5102</t>
        </is>
      </c>
      <c r="J223" s="167" t="inlineStr">
        <is>
          <t>Carinás</t>
        </is>
      </c>
      <c r="K223" s="167" t="inlineStr">
        <is>
          <t>Sim</t>
        </is>
      </c>
      <c r="L223" s="167" t="inlineStr">
        <is>
          <t>Unidades</t>
        </is>
      </c>
      <c r="M223" s="167" t="inlineStr">
        <is>
          <t>Carinás + SA</t>
        </is>
      </c>
    </row>
    <row r="224">
      <c r="A224" s="167" t="inlineStr">
        <is>
          <t>ENTRADA VIP COLABORADORES</t>
        </is>
      </c>
      <c r="B224" s="167" t="n"/>
      <c r="C224" s="167" t="n"/>
      <c r="D224" s="167" t="n">
        <v>0</v>
      </c>
      <c r="E224" s="167" t="n">
        <v>0</v>
      </c>
      <c r="F224" s="167" t="inlineStr">
        <is>
          <t>9003592</t>
        </is>
      </c>
      <c r="G224" s="167" t="inlineStr">
        <is>
          <t>21069090</t>
        </is>
      </c>
      <c r="H224" s="167" t="n"/>
      <c r="I224" s="167" t="inlineStr">
        <is>
          <t>Alimentos - 5102</t>
        </is>
      </c>
      <c r="J224" s="167" t="inlineStr">
        <is>
          <t>Carinás</t>
        </is>
      </c>
      <c r="K224" s="167" t="inlineStr">
        <is>
          <t>Sim</t>
        </is>
      </c>
      <c r="L224" s="167" t="inlineStr">
        <is>
          <t>Unidades</t>
        </is>
      </c>
      <c r="M224" s="167" t="inlineStr">
        <is>
          <t>Carinás + SA</t>
        </is>
      </c>
    </row>
    <row r="225">
      <c r="A225" s="167" t="inlineStr">
        <is>
          <t>ENTRADA VIP GARRAFAS</t>
        </is>
      </c>
      <c r="B225" s="167" t="n"/>
      <c r="C225" s="167" t="n"/>
      <c r="D225" s="167" t="n">
        <v>0</v>
      </c>
      <c r="E225" s="167" t="n">
        <v>0</v>
      </c>
      <c r="F225" s="167" t="inlineStr">
        <is>
          <t>9003591</t>
        </is>
      </c>
      <c r="G225" s="167" t="inlineStr">
        <is>
          <t>21069090</t>
        </is>
      </c>
      <c r="H225" s="167" t="n"/>
      <c r="I225" s="167" t="inlineStr">
        <is>
          <t>Alimentos - 5102</t>
        </is>
      </c>
      <c r="J225" s="167" t="inlineStr">
        <is>
          <t>Carinás</t>
        </is>
      </c>
      <c r="K225" s="167" t="inlineStr">
        <is>
          <t>Sim</t>
        </is>
      </c>
      <c r="L225" s="167" t="inlineStr">
        <is>
          <t>Unidades</t>
        </is>
      </c>
      <c r="M225" s="167" t="inlineStr">
        <is>
          <t>Carinás</t>
        </is>
      </c>
    </row>
    <row r="226">
      <c r="A226" s="167" t="inlineStr">
        <is>
          <t>ENTRADA VIP PROMOTER</t>
        </is>
      </c>
      <c r="B226" s="167" t="n"/>
      <c r="C226" s="167" t="n"/>
      <c r="D226" s="167" t="n">
        <v>0</v>
      </c>
      <c r="E226" s="167" t="n">
        <v>0</v>
      </c>
      <c r="F226" s="167" t="inlineStr">
        <is>
          <t>9003590</t>
        </is>
      </c>
      <c r="G226" s="167" t="inlineStr">
        <is>
          <t>21069090</t>
        </is>
      </c>
      <c r="H226" s="167" t="n"/>
      <c r="I226" s="167" t="inlineStr">
        <is>
          <t>Alimentos - 5102</t>
        </is>
      </c>
      <c r="J226" s="167" t="inlineStr">
        <is>
          <t>Carinás</t>
        </is>
      </c>
      <c r="K226" s="167" t="inlineStr">
        <is>
          <t>Sim</t>
        </is>
      </c>
      <c r="L226" s="167" t="inlineStr">
        <is>
          <t>Unidades</t>
        </is>
      </c>
      <c r="M226" s="167" t="inlineStr">
        <is>
          <t>Carinás</t>
        </is>
      </c>
    </row>
    <row r="227">
      <c r="A227" s="167" t="inlineStr">
        <is>
          <t>ESPANHOLA</t>
        </is>
      </c>
      <c r="B227" s="167" t="n"/>
      <c r="C227" s="167" t="n"/>
      <c r="D227" s="167" t="n">
        <v>37.99</v>
      </c>
      <c r="E227" s="167" t="n">
        <v>3799</v>
      </c>
      <c r="F227" s="167" t="inlineStr">
        <is>
          <t>200021</t>
        </is>
      </c>
      <c r="G227" s="167" t="inlineStr">
        <is>
          <t>22042100</t>
        </is>
      </c>
      <c r="H227" s="167" t="n"/>
      <c r="I227" s="167" t="inlineStr">
        <is>
          <t>Bebidas - 5405 - 1</t>
        </is>
      </c>
      <c r="J227" s="167" t="inlineStr">
        <is>
          <t>Carinás</t>
        </is>
      </c>
      <c r="K227" s="167" t="inlineStr">
        <is>
          <t>Sim</t>
        </is>
      </c>
      <c r="L227" s="167" t="inlineStr">
        <is>
          <t>Unidades</t>
        </is>
      </c>
      <c r="M227" s="167" t="inlineStr">
        <is>
          <t>Carinás + SA</t>
        </is>
      </c>
    </row>
    <row r="228">
      <c r="A228" s="167" t="inlineStr">
        <is>
          <t>Espeto Bovino</t>
        </is>
      </c>
      <c r="B228" s="167" t="n"/>
      <c r="C228" s="167" t="n"/>
      <c r="D228" s="167" t="n">
        <v>12</v>
      </c>
      <c r="E228" s="167" t="n">
        <v>1200</v>
      </c>
      <c r="F228" s="167" t="inlineStr">
        <is>
          <t>78989056877341</t>
        </is>
      </c>
      <c r="G228" s="167" t="inlineStr">
        <is>
          <t>21069090</t>
        </is>
      </c>
      <c r="H228" s="167" t="n"/>
      <c r="I228" s="167" t="inlineStr">
        <is>
          <t>Alimentos - 5102</t>
        </is>
      </c>
      <c r="J228" s="167" t="inlineStr">
        <is>
          <t>Carinás</t>
        </is>
      </c>
      <c r="K228" s="167" t="inlineStr">
        <is>
          <t>Sim</t>
        </is>
      </c>
      <c r="L228" s="167" t="inlineStr">
        <is>
          <t>Unidades</t>
        </is>
      </c>
      <c r="M228" s="167" t="inlineStr">
        <is>
          <t>Carinás</t>
        </is>
      </c>
    </row>
    <row r="229">
      <c r="A229" s="167" t="inlineStr">
        <is>
          <t>ESPETO BOVINO TURBO</t>
        </is>
      </c>
      <c r="B229" s="167" t="inlineStr">
        <is>
          <t>Porcao</t>
        </is>
      </c>
      <c r="C229" s="167" t="inlineStr">
        <is>
          <t>ESPETOS CLÁSSICOS</t>
        </is>
      </c>
      <c r="D229" s="167" t="n">
        <v>14.9</v>
      </c>
      <c r="E229" s="167" t="n">
        <v>1490</v>
      </c>
      <c r="F229" s="167" t="inlineStr">
        <is>
          <t>789890568773450</t>
        </is>
      </c>
      <c r="G229" s="167" t="inlineStr">
        <is>
          <t>21069090</t>
        </is>
      </c>
      <c r="H229" s="167" t="n"/>
      <c r="I229" s="167" t="inlineStr">
        <is>
          <t>Alimentos - 5102</t>
        </is>
      </c>
      <c r="J229" s="167" t="inlineStr">
        <is>
          <t>Carinás</t>
        </is>
      </c>
      <c r="K229" s="167" t="inlineStr">
        <is>
          <t>Não</t>
        </is>
      </c>
      <c r="L229" s="167" t="inlineStr">
        <is>
          <t>Unidades</t>
        </is>
      </c>
      <c r="M229" s="167" t="inlineStr">
        <is>
          <t>Delivery</t>
        </is>
      </c>
    </row>
    <row r="230">
      <c r="A230" s="167" t="inlineStr">
        <is>
          <t>Espeto Calabresa com Pimenta</t>
        </is>
      </c>
      <c r="B230" s="167" t="n"/>
      <c r="C230" s="167" t="n"/>
      <c r="D230" s="167" t="n">
        <v>12</v>
      </c>
      <c r="E230" s="167" t="n">
        <v>1200</v>
      </c>
      <c r="F230" s="167" t="inlineStr">
        <is>
          <t>78989056877342</t>
        </is>
      </c>
      <c r="G230" s="167" t="inlineStr">
        <is>
          <t>21069090</t>
        </is>
      </c>
      <c r="H230" s="167" t="n"/>
      <c r="I230" s="167" t="inlineStr">
        <is>
          <t>Alimentos - 5102</t>
        </is>
      </c>
      <c r="J230" s="167" t="inlineStr">
        <is>
          <t>Carinás</t>
        </is>
      </c>
      <c r="K230" s="167" t="inlineStr">
        <is>
          <t>Sim</t>
        </is>
      </c>
      <c r="L230" s="167" t="inlineStr">
        <is>
          <t>Unidades</t>
        </is>
      </c>
      <c r="M230" s="167" t="inlineStr">
        <is>
          <t>Carinás</t>
        </is>
      </c>
    </row>
    <row r="231">
      <c r="A231" s="167" t="inlineStr">
        <is>
          <t>ESPETO CALABRESA COM PIMENTA - TURBO</t>
        </is>
      </c>
      <c r="B231" s="167" t="inlineStr">
        <is>
          <t>Porcao</t>
        </is>
      </c>
      <c r="C231" s="167" t="inlineStr">
        <is>
          <t>ESPETOS CLÁSSICOS</t>
        </is>
      </c>
      <c r="D231" s="167" t="n">
        <v>14.9</v>
      </c>
      <c r="E231" s="167" t="n">
        <v>1490</v>
      </c>
      <c r="F231" s="167" t="inlineStr">
        <is>
          <t>789890568773452</t>
        </is>
      </c>
      <c r="G231" s="167" t="inlineStr">
        <is>
          <t>21069090</t>
        </is>
      </c>
      <c r="H231" s="167" t="n"/>
      <c r="I231" s="167" t="inlineStr">
        <is>
          <t>Alimentos - 5102</t>
        </is>
      </c>
      <c r="J231" s="167" t="inlineStr">
        <is>
          <t>Carinás</t>
        </is>
      </c>
      <c r="K231" s="167" t="inlineStr">
        <is>
          <t>Não</t>
        </is>
      </c>
      <c r="L231" s="167" t="inlineStr">
        <is>
          <t>Unidades</t>
        </is>
      </c>
      <c r="M231" s="167" t="inlineStr">
        <is>
          <t>Delivery</t>
        </is>
      </c>
    </row>
    <row r="232">
      <c r="A232" s="167" t="inlineStr">
        <is>
          <t>ESPETO CALABRESA SEM PIMENTA - TURBO</t>
        </is>
      </c>
      <c r="B232" s="167" t="inlineStr">
        <is>
          <t>Porcao</t>
        </is>
      </c>
      <c r="C232" s="167" t="inlineStr">
        <is>
          <t>ESPETOS CLÁSSICOS</t>
        </is>
      </c>
      <c r="D232" s="167" t="n">
        <v>14.9</v>
      </c>
      <c r="E232" s="167" t="n">
        <v>1490</v>
      </c>
      <c r="F232" s="167" t="inlineStr">
        <is>
          <t>789890568773451</t>
        </is>
      </c>
      <c r="G232" s="167" t="inlineStr">
        <is>
          <t>21069090</t>
        </is>
      </c>
      <c r="H232" s="167" t="n"/>
      <c r="I232" s="167" t="inlineStr">
        <is>
          <t>Alimentos - 5102</t>
        </is>
      </c>
      <c r="J232" s="167" t="inlineStr">
        <is>
          <t>Carinás</t>
        </is>
      </c>
      <c r="K232" s="167" t="inlineStr">
        <is>
          <t>Não</t>
        </is>
      </c>
      <c r="L232" s="167" t="inlineStr">
        <is>
          <t>Unidades</t>
        </is>
      </c>
      <c r="M232" s="167" t="inlineStr">
        <is>
          <t>Delivery</t>
        </is>
      </c>
    </row>
    <row r="233">
      <c r="A233" s="167" t="inlineStr">
        <is>
          <t>ESPETO DADINHO DE TAPIOCA C/ GELEIA DE PIMENTA</t>
        </is>
      </c>
      <c r="B233" s="167" t="n"/>
      <c r="C233" s="167" t="n"/>
      <c r="D233" s="167" t="n">
        <v>14.99</v>
      </c>
      <c r="E233" s="167" t="n">
        <v>1499</v>
      </c>
      <c r="F233" s="167" t="inlineStr">
        <is>
          <t>9003634</t>
        </is>
      </c>
      <c r="G233" s="167" t="inlineStr">
        <is>
          <t>19030000</t>
        </is>
      </c>
      <c r="H233" s="167" t="n"/>
      <c r="I233" s="167" t="inlineStr">
        <is>
          <t>Alimentos - 5102</t>
        </is>
      </c>
      <c r="J233" s="167" t="inlineStr">
        <is>
          <t>Carinás</t>
        </is>
      </c>
      <c r="K233" s="167" t="inlineStr">
        <is>
          <t>Sim</t>
        </is>
      </c>
      <c r="L233" s="167" t="inlineStr">
        <is>
          <t>Unidades</t>
        </is>
      </c>
      <c r="M233" s="167" t="inlineStr">
        <is>
          <t>Carinás + SA</t>
        </is>
      </c>
    </row>
    <row r="234">
      <c r="A234" s="167" t="inlineStr">
        <is>
          <t>Espeto de Calabresa</t>
        </is>
      </c>
      <c r="B234" s="167" t="n"/>
      <c r="C234" s="167" t="n"/>
      <c r="D234" s="167" t="n">
        <v>12</v>
      </c>
      <c r="E234" s="167" t="n">
        <v>1200</v>
      </c>
      <c r="F234" s="167" t="inlineStr">
        <is>
          <t>78989056877343</t>
        </is>
      </c>
      <c r="G234" s="167" t="inlineStr">
        <is>
          <t>21069090</t>
        </is>
      </c>
      <c r="H234" s="167" t="n"/>
      <c r="I234" s="167" t="inlineStr">
        <is>
          <t>Alimentos - 5102</t>
        </is>
      </c>
      <c r="J234" s="167" t="inlineStr">
        <is>
          <t>Carinás</t>
        </is>
      </c>
      <c r="K234" s="167" t="inlineStr">
        <is>
          <t>Sim</t>
        </is>
      </c>
      <c r="L234" s="167" t="inlineStr">
        <is>
          <t>Unidades</t>
        </is>
      </c>
      <c r="M234" s="167" t="inlineStr">
        <is>
          <t>Carinás</t>
        </is>
      </c>
    </row>
    <row r="235">
      <c r="A235" s="167" t="inlineStr">
        <is>
          <t>Espeto de Coracao</t>
        </is>
      </c>
      <c r="B235" s="167" t="n"/>
      <c r="C235" s="167" t="n"/>
      <c r="D235" s="167" t="n">
        <v>12</v>
      </c>
      <c r="E235" s="167" t="n">
        <v>1200</v>
      </c>
      <c r="F235" s="167" t="inlineStr">
        <is>
          <t>78989056877344</t>
        </is>
      </c>
      <c r="G235" s="167" t="inlineStr">
        <is>
          <t>21069090</t>
        </is>
      </c>
      <c r="H235" s="167" t="n"/>
      <c r="I235" s="167" t="inlineStr">
        <is>
          <t>Alimentos - 5102</t>
        </is>
      </c>
      <c r="J235" s="167" t="inlineStr">
        <is>
          <t>Carinás</t>
        </is>
      </c>
      <c r="K235" s="167" t="inlineStr">
        <is>
          <t>Sim</t>
        </is>
      </c>
      <c r="L235" s="167" t="inlineStr">
        <is>
          <t>Unidades</t>
        </is>
      </c>
      <c r="M235" s="167" t="inlineStr">
        <is>
          <t>Carinás</t>
        </is>
      </c>
    </row>
    <row r="236">
      <c r="A236" s="167" t="inlineStr">
        <is>
          <t>ESPETO DE CORAÇÃO FRANGO - TURBO</t>
        </is>
      </c>
      <c r="B236" s="167" t="inlineStr">
        <is>
          <t>Porcao</t>
        </is>
      </c>
      <c r="C236" s="167" t="inlineStr">
        <is>
          <t>ESPETOS CLÁSSICOS</t>
        </is>
      </c>
      <c r="D236" s="167" t="n">
        <v>14.9</v>
      </c>
      <c r="E236" s="167" t="n">
        <v>1490</v>
      </c>
      <c r="F236" s="167" t="inlineStr">
        <is>
          <t>789890568773453</t>
        </is>
      </c>
      <c r="G236" s="167" t="inlineStr">
        <is>
          <t>21069090</t>
        </is>
      </c>
      <c r="H236" s="167" t="n"/>
      <c r="I236" s="167" t="inlineStr">
        <is>
          <t>Alimentos - 5102</t>
        </is>
      </c>
      <c r="J236" s="167" t="inlineStr">
        <is>
          <t>Carinás</t>
        </is>
      </c>
      <c r="K236" s="167" t="inlineStr">
        <is>
          <t>Não</t>
        </is>
      </c>
      <c r="L236" s="167" t="inlineStr">
        <is>
          <t>Unidades</t>
        </is>
      </c>
      <c r="M236" s="167" t="inlineStr">
        <is>
          <t>Delivery</t>
        </is>
      </c>
    </row>
    <row r="237">
      <c r="A237" s="167" t="inlineStr">
        <is>
          <t>Espeto de Frango</t>
        </is>
      </c>
      <c r="B237" s="167" t="n"/>
      <c r="C237" s="167" t="n"/>
      <c r="D237" s="167" t="n">
        <v>12</v>
      </c>
      <c r="E237" s="167" t="n">
        <v>1200</v>
      </c>
      <c r="F237" s="167" t="inlineStr">
        <is>
          <t>78989056877349</t>
        </is>
      </c>
      <c r="G237" s="167" t="inlineStr">
        <is>
          <t>21069090</t>
        </is>
      </c>
      <c r="H237" s="167" t="n"/>
      <c r="I237" s="167" t="inlineStr">
        <is>
          <t>Alimentos - 5102</t>
        </is>
      </c>
      <c r="J237" s="167" t="inlineStr">
        <is>
          <t>Carinás</t>
        </is>
      </c>
      <c r="K237" s="167" t="inlineStr">
        <is>
          <t>Sim</t>
        </is>
      </c>
      <c r="L237" s="167" t="inlineStr">
        <is>
          <t>Unidades</t>
        </is>
      </c>
      <c r="M237" s="167" t="inlineStr">
        <is>
          <t>Carinás</t>
        </is>
      </c>
    </row>
    <row r="238">
      <c r="A238" s="167" t="inlineStr">
        <is>
          <t>ESPETO DE FRANGO - TURBO</t>
        </is>
      </c>
      <c r="B238" s="167" t="inlineStr">
        <is>
          <t>Porcao</t>
        </is>
      </c>
      <c r="C238" s="167" t="inlineStr">
        <is>
          <t>ESPETOS CLÁSSICOS</t>
        </is>
      </c>
      <c r="D238" s="167" t="n">
        <v>14.9</v>
      </c>
      <c r="E238" s="167" t="n">
        <v>1490</v>
      </c>
      <c r="F238" s="167" t="inlineStr">
        <is>
          <t>789890568773454</t>
        </is>
      </c>
      <c r="G238" s="167" t="inlineStr">
        <is>
          <t>21069090</t>
        </is>
      </c>
      <c r="H238" s="167" t="n"/>
      <c r="I238" s="167" t="inlineStr">
        <is>
          <t>Alimentos - 5102</t>
        </is>
      </c>
      <c r="J238" s="167" t="inlineStr">
        <is>
          <t>Carinás</t>
        </is>
      </c>
      <c r="K238" s="167" t="inlineStr">
        <is>
          <t>Não</t>
        </is>
      </c>
      <c r="L238" s="167" t="inlineStr">
        <is>
          <t>Unidades</t>
        </is>
      </c>
      <c r="M238" s="167" t="inlineStr">
        <is>
          <t>Delivery</t>
        </is>
      </c>
    </row>
    <row r="239">
      <c r="A239" s="167" t="inlineStr">
        <is>
          <t>Espeto de Kafta</t>
        </is>
      </c>
      <c r="B239" s="167" t="n"/>
      <c r="C239" s="167" t="n"/>
      <c r="D239" s="167" t="n">
        <v>12</v>
      </c>
      <c r="E239" s="167" t="n">
        <v>1200</v>
      </c>
      <c r="F239" s="167" t="inlineStr">
        <is>
          <t>78989056877345</t>
        </is>
      </c>
      <c r="G239" s="167" t="inlineStr">
        <is>
          <t>21069090</t>
        </is>
      </c>
      <c r="H239" s="167" t="n"/>
      <c r="I239" s="167" t="inlineStr">
        <is>
          <t>Alimentos - 5102</t>
        </is>
      </c>
      <c r="J239" s="167" t="inlineStr">
        <is>
          <t>Carinás</t>
        </is>
      </c>
      <c r="K239" s="167" t="inlineStr">
        <is>
          <t>Sim</t>
        </is>
      </c>
      <c r="L239" s="167" t="inlineStr">
        <is>
          <t>Unidades</t>
        </is>
      </c>
      <c r="M239" s="167" t="inlineStr">
        <is>
          <t>Carinás</t>
        </is>
      </c>
    </row>
    <row r="240">
      <c r="A240" s="167" t="inlineStr">
        <is>
          <t>Espeto de Panceta</t>
        </is>
      </c>
      <c r="B240" s="167" t="n"/>
      <c r="C240" s="167" t="n"/>
      <c r="D240" s="167" t="n">
        <v>12</v>
      </c>
      <c r="E240" s="167" t="n">
        <v>1200</v>
      </c>
      <c r="F240" s="167" t="inlineStr">
        <is>
          <t>78989056877348</t>
        </is>
      </c>
      <c r="G240" s="167" t="inlineStr">
        <is>
          <t>21069090</t>
        </is>
      </c>
      <c r="H240" s="167" t="n"/>
      <c r="I240" s="167" t="inlineStr">
        <is>
          <t>Alimentos - 5102</t>
        </is>
      </c>
      <c r="J240" s="167" t="inlineStr">
        <is>
          <t>Carinás</t>
        </is>
      </c>
      <c r="K240" s="167" t="inlineStr">
        <is>
          <t>Sim</t>
        </is>
      </c>
      <c r="L240" s="167" t="inlineStr">
        <is>
          <t>Unidades</t>
        </is>
      </c>
      <c r="M240" s="167" t="inlineStr">
        <is>
          <t>Carinás</t>
        </is>
      </c>
    </row>
    <row r="241">
      <c r="A241" s="167" t="inlineStr">
        <is>
          <t>Espeto de Pao de Alho</t>
        </is>
      </c>
      <c r="B241" s="167" t="n"/>
      <c r="C241" s="167" t="n"/>
      <c r="D241" s="167" t="n">
        <v>12</v>
      </c>
      <c r="E241" s="167" t="n">
        <v>1200</v>
      </c>
      <c r="F241" s="167" t="inlineStr">
        <is>
          <t>78989056877346</t>
        </is>
      </c>
      <c r="G241" s="167" t="inlineStr">
        <is>
          <t>21069090</t>
        </is>
      </c>
      <c r="H241" s="167" t="n"/>
      <c r="I241" s="167" t="inlineStr">
        <is>
          <t>Alimentos - 5102</t>
        </is>
      </c>
      <c r="J241" s="167" t="inlineStr">
        <is>
          <t>Carinás</t>
        </is>
      </c>
      <c r="K241" s="167" t="inlineStr">
        <is>
          <t>Sim</t>
        </is>
      </c>
      <c r="L241" s="167" t="inlineStr">
        <is>
          <t>Unidades</t>
        </is>
      </c>
      <c r="M241" s="167" t="inlineStr">
        <is>
          <t>Carinás</t>
        </is>
      </c>
    </row>
    <row r="242">
      <c r="A242" s="167" t="inlineStr">
        <is>
          <t>Espeto de Queijo Coalho</t>
        </is>
      </c>
      <c r="B242" s="167" t="n"/>
      <c r="C242" s="167" t="n"/>
      <c r="D242" s="167" t="n">
        <v>12</v>
      </c>
      <c r="E242" s="167" t="n">
        <v>1200</v>
      </c>
      <c r="F242" s="167" t="inlineStr">
        <is>
          <t>78989056877347</t>
        </is>
      </c>
      <c r="G242" s="167" t="inlineStr">
        <is>
          <t>21069090</t>
        </is>
      </c>
      <c r="H242" s="167" t="n"/>
      <c r="I242" s="167" t="inlineStr">
        <is>
          <t>Alimentos - 5102</t>
        </is>
      </c>
      <c r="J242" s="167" t="inlineStr">
        <is>
          <t>Carinás</t>
        </is>
      </c>
      <c r="K242" s="167" t="inlineStr">
        <is>
          <t>Sim</t>
        </is>
      </c>
      <c r="L242" s="167" t="inlineStr">
        <is>
          <t>Unidades</t>
        </is>
      </c>
      <c r="M242" s="167" t="inlineStr">
        <is>
          <t>Carinás</t>
        </is>
      </c>
    </row>
    <row r="243">
      <c r="A243" s="167" t="inlineStr">
        <is>
          <t>Espeto de Salsichao</t>
        </is>
      </c>
      <c r="B243" s="167" t="n"/>
      <c r="C243" s="167" t="n"/>
      <c r="D243" s="167" t="n">
        <v>12</v>
      </c>
      <c r="E243" s="167" t="n">
        <v>1200</v>
      </c>
      <c r="F243" s="167" t="inlineStr">
        <is>
          <t>78989056877350</t>
        </is>
      </c>
      <c r="G243" s="167" t="inlineStr">
        <is>
          <t>21069090</t>
        </is>
      </c>
      <c r="H243" s="167" t="n"/>
      <c r="I243" s="167" t="inlineStr">
        <is>
          <t>Alimentos - 5102</t>
        </is>
      </c>
      <c r="J243" s="167" t="inlineStr">
        <is>
          <t>Carinás</t>
        </is>
      </c>
      <c r="K243" s="167" t="inlineStr">
        <is>
          <t>Sim</t>
        </is>
      </c>
      <c r="L243" s="167" t="inlineStr">
        <is>
          <t>Unidades</t>
        </is>
      </c>
      <c r="M243" s="167" t="inlineStr">
        <is>
          <t>Carinás</t>
        </is>
      </c>
    </row>
    <row r="244">
      <c r="A244" s="167" t="inlineStr">
        <is>
          <t>Espeto Ice tea</t>
        </is>
      </c>
      <c r="B244" s="167" t="n"/>
      <c r="C244" s="167" t="n"/>
      <c r="D244" s="167" t="n">
        <v>37.99</v>
      </c>
      <c r="E244" s="167" t="n">
        <v>3799</v>
      </c>
      <c r="F244" s="167" t="inlineStr">
        <is>
          <t>78989056877226</t>
        </is>
      </c>
      <c r="G244" s="167" t="inlineStr">
        <is>
          <t>22084000</t>
        </is>
      </c>
      <c r="H244" s="167" t="n"/>
      <c r="I244" s="167" t="inlineStr">
        <is>
          <t>Alimentos - 5102</t>
        </is>
      </c>
      <c r="J244" s="167" t="inlineStr">
        <is>
          <t>Carinás</t>
        </is>
      </c>
      <c r="K244" s="167" t="inlineStr">
        <is>
          <t>Não</t>
        </is>
      </c>
      <c r="L244" s="167" t="inlineStr">
        <is>
          <t>Unidades</t>
        </is>
      </c>
      <c r="M244" s="167" t="inlineStr">
        <is>
          <t>Carinás + SA</t>
        </is>
      </c>
    </row>
    <row r="245">
      <c r="A245" s="167" t="inlineStr">
        <is>
          <t>ESPETO MEDALHAO ALCATRA</t>
        </is>
      </c>
      <c r="B245" s="167" t="n"/>
      <c r="C245" s="167" t="n"/>
      <c r="D245" s="167" t="n">
        <v>19.99</v>
      </c>
      <c r="E245" s="167" t="n">
        <v>1999</v>
      </c>
      <c r="F245" s="167" t="inlineStr">
        <is>
          <t>789890568772113</t>
        </is>
      </c>
      <c r="G245" s="167" t="inlineStr">
        <is>
          <t>21069090</t>
        </is>
      </c>
      <c r="H245" s="167" t="n"/>
      <c r="I245" s="167" t="inlineStr">
        <is>
          <t>Alimentos - 5102</t>
        </is>
      </c>
      <c r="J245" s="167" t="inlineStr">
        <is>
          <t>Carinás</t>
        </is>
      </c>
      <c r="K245" s="167" t="inlineStr">
        <is>
          <t>Não</t>
        </is>
      </c>
      <c r="L245" s="167" t="inlineStr">
        <is>
          <t>Unidades</t>
        </is>
      </c>
      <c r="M245" s="167" t="inlineStr">
        <is>
          <t>Carinás + SA</t>
        </is>
      </c>
    </row>
    <row r="246">
      <c r="A246" s="167" t="inlineStr">
        <is>
          <t>ESPETO MEDALHÃO DE FRANGO</t>
        </is>
      </c>
      <c r="B246" s="167" t="n"/>
      <c r="C246" s="167" t="n"/>
      <c r="D246" s="167" t="n">
        <v>19.99</v>
      </c>
      <c r="E246" s="167" t="n">
        <v>1999</v>
      </c>
      <c r="F246" s="167" t="inlineStr">
        <is>
          <t>789890568772114</t>
        </is>
      </c>
      <c r="G246" s="167" t="inlineStr">
        <is>
          <t>21069090</t>
        </is>
      </c>
      <c r="H246" s="167" t="n"/>
      <c r="I246" s="167" t="inlineStr">
        <is>
          <t>Alimentos - 5102</t>
        </is>
      </c>
      <c r="J246" s="167" t="inlineStr">
        <is>
          <t>Carinás</t>
        </is>
      </c>
      <c r="K246" s="167" t="inlineStr">
        <is>
          <t>Não</t>
        </is>
      </c>
      <c r="L246" s="167" t="inlineStr">
        <is>
          <t>Unidades</t>
        </is>
      </c>
      <c r="M246" s="167" t="inlineStr">
        <is>
          <t>Carinás + SA</t>
        </is>
      </c>
    </row>
    <row r="247">
      <c r="A247" s="167" t="inlineStr">
        <is>
          <t>ESPETO MEDALHÃO MANDIOCA</t>
        </is>
      </c>
      <c r="B247" s="167" t="n"/>
      <c r="C247" s="167" t="n"/>
      <c r="D247" s="167" t="n">
        <v>13.99</v>
      </c>
      <c r="E247" s="167" t="n">
        <v>1399</v>
      </c>
      <c r="F247" s="167" t="inlineStr">
        <is>
          <t>789890568772111</t>
        </is>
      </c>
      <c r="G247" s="167" t="inlineStr">
        <is>
          <t>21069090</t>
        </is>
      </c>
      <c r="H247" s="167" t="n"/>
      <c r="I247" s="167" t="inlineStr">
        <is>
          <t>Alimentos - 5102</t>
        </is>
      </c>
      <c r="J247" s="167" t="inlineStr">
        <is>
          <t>Carinás</t>
        </is>
      </c>
      <c r="K247" s="167" t="inlineStr">
        <is>
          <t>Não</t>
        </is>
      </c>
      <c r="L247" s="167" t="inlineStr">
        <is>
          <t>Unidades</t>
        </is>
      </c>
      <c r="M247" s="167" t="inlineStr">
        <is>
          <t>Carinás + SA</t>
        </is>
      </c>
    </row>
    <row r="248">
      <c r="A248" s="167" t="inlineStr">
        <is>
          <t>ESPETO PROVOLONE DEFUMADO</t>
        </is>
      </c>
      <c r="B248" s="167" t="n"/>
      <c r="C248" s="167" t="n"/>
      <c r="D248" s="167" t="n">
        <v>13.99</v>
      </c>
      <c r="E248" s="167" t="n">
        <v>1399</v>
      </c>
      <c r="F248" s="167" t="inlineStr">
        <is>
          <t>789890568772112</t>
        </is>
      </c>
      <c r="G248" s="167" t="inlineStr">
        <is>
          <t>21069090</t>
        </is>
      </c>
      <c r="H248" s="167" t="n"/>
      <c r="I248" s="167" t="inlineStr">
        <is>
          <t>Alimentos - 5102</t>
        </is>
      </c>
      <c r="J248" s="167" t="inlineStr">
        <is>
          <t>Carinás</t>
        </is>
      </c>
      <c r="K248" s="167" t="inlineStr">
        <is>
          <t>Não</t>
        </is>
      </c>
      <c r="L248" s="167" t="inlineStr">
        <is>
          <t>Unidades</t>
        </is>
      </c>
      <c r="M248" s="167" t="inlineStr">
        <is>
          <t>Carinás + SA</t>
        </is>
      </c>
    </row>
    <row r="249">
      <c r="A249" s="167" t="inlineStr">
        <is>
          <t>ESPUMANTE BRASILEIRO VIVA LA VIDA BRUT 750ML</t>
        </is>
      </c>
      <c r="B249" s="167" t="n"/>
      <c r="C249" s="167" t="n"/>
      <c r="D249" s="167" t="n">
        <v>135.99</v>
      </c>
      <c r="E249" s="167" t="n">
        <v>13599</v>
      </c>
      <c r="F249" s="167" t="inlineStr">
        <is>
          <t>789890568772135</t>
        </is>
      </c>
      <c r="G249" s="167" t="inlineStr">
        <is>
          <t>22042100</t>
        </is>
      </c>
      <c r="H249" s="167" t="n"/>
      <c r="I249" s="167" t="n"/>
      <c r="J249" s="167" t="n"/>
      <c r="K249" s="167" t="inlineStr">
        <is>
          <t>Não</t>
        </is>
      </c>
      <c r="L249" s="167" t="inlineStr">
        <is>
          <t>Unidades</t>
        </is>
      </c>
      <c r="M249" s="167" t="inlineStr">
        <is>
          <t>Carinás + SA</t>
        </is>
      </c>
    </row>
    <row r="250">
      <c r="A250" s="167" t="inlineStr">
        <is>
          <t>EXPRESSO AMENO</t>
        </is>
      </c>
      <c r="B250" s="167" t="n"/>
      <c r="C250" s="167" t="n"/>
      <c r="D250" s="167" t="n">
        <v>5.99</v>
      </c>
      <c r="E250" s="167" t="n">
        <v>599</v>
      </c>
      <c r="F250" s="167" t="inlineStr">
        <is>
          <t>7898905687807</t>
        </is>
      </c>
      <c r="G250" s="167" t="inlineStr">
        <is>
          <t>9012100</t>
        </is>
      </c>
      <c r="H250" s="167" t="n"/>
      <c r="I250" s="167" t="inlineStr">
        <is>
          <t>Bebidas - 5405 - 1</t>
        </is>
      </c>
      <c r="J250" s="167" t="inlineStr">
        <is>
          <t>Carinás</t>
        </is>
      </c>
      <c r="K250" s="167" t="inlineStr">
        <is>
          <t>Não</t>
        </is>
      </c>
      <c r="L250" s="167" t="inlineStr">
        <is>
          <t>Unidades</t>
        </is>
      </c>
      <c r="M250" s="167" t="inlineStr">
        <is>
          <t>Carinás + SA</t>
        </is>
      </c>
    </row>
    <row r="251">
      <c r="A251" s="167" t="inlineStr">
        <is>
          <t>EXPRESSO DECAF</t>
        </is>
      </c>
      <c r="B251" s="167" t="n"/>
      <c r="C251" s="167" t="n"/>
      <c r="D251" s="167" t="n">
        <v>5.99</v>
      </c>
      <c r="E251" s="167" t="n">
        <v>599</v>
      </c>
      <c r="F251" s="167" t="inlineStr">
        <is>
          <t>7898905687809</t>
        </is>
      </c>
      <c r="G251" s="167" t="inlineStr">
        <is>
          <t>9012100</t>
        </is>
      </c>
      <c r="H251" s="167" t="n"/>
      <c r="I251" s="167" t="inlineStr">
        <is>
          <t>Bebidas - 5405 - 1</t>
        </is>
      </c>
      <c r="J251" s="167" t="inlineStr">
        <is>
          <t>Carinás</t>
        </is>
      </c>
      <c r="K251" s="167" t="inlineStr">
        <is>
          <t>Não</t>
        </is>
      </c>
      <c r="L251" s="167" t="inlineStr">
        <is>
          <t>Unidades</t>
        </is>
      </c>
      <c r="M251" s="167" t="inlineStr">
        <is>
          <t>Carinás + SA</t>
        </is>
      </c>
    </row>
    <row r="252">
      <c r="A252" s="167" t="inlineStr">
        <is>
          <t>EXPRESSO VIBRANTE</t>
        </is>
      </c>
      <c r="B252" s="167" t="n"/>
      <c r="C252" s="167" t="n"/>
      <c r="D252" s="167" t="n">
        <v>5.99</v>
      </c>
      <c r="E252" s="167" t="n">
        <v>599</v>
      </c>
      <c r="F252" s="167" t="inlineStr">
        <is>
          <t>7898905687808</t>
        </is>
      </c>
      <c r="G252" s="167" t="inlineStr">
        <is>
          <t>9012100</t>
        </is>
      </c>
      <c r="H252" s="167" t="n"/>
      <c r="I252" s="167" t="inlineStr">
        <is>
          <t>Bebidas - 5405 - 1</t>
        </is>
      </c>
      <c r="J252" s="167" t="inlineStr">
        <is>
          <t>Carinás</t>
        </is>
      </c>
      <c r="K252" s="167" t="inlineStr">
        <is>
          <t>Não</t>
        </is>
      </c>
      <c r="L252" s="167" t="inlineStr">
        <is>
          <t>Unidades</t>
        </is>
      </c>
      <c r="M252" s="167" t="inlineStr">
        <is>
          <t>Carinás + SA</t>
        </is>
      </c>
    </row>
    <row r="253">
      <c r="A253" s="167" t="inlineStr">
        <is>
          <t>FACA CIMO 660/6 INOX ANTI-BAC 6</t>
        </is>
      </c>
      <c r="B253" s="167" t="n"/>
      <c r="C253" s="167" t="n"/>
      <c r="D253" s="167" t="n">
        <v>53.6</v>
      </c>
      <c r="E253" s="167" t="n">
        <v>5360</v>
      </c>
      <c r="F253" s="167" t="inlineStr">
        <is>
          <t>9003567</t>
        </is>
      </c>
      <c r="G253" s="167" t="inlineStr">
        <is>
          <t>82119100</t>
        </is>
      </c>
      <c r="H253" s="167" t="n"/>
      <c r="I253" s="167" t="inlineStr">
        <is>
          <t>Alimentos - 5102</t>
        </is>
      </c>
      <c r="J253" s="167" t="inlineStr">
        <is>
          <t>Carinás</t>
        </is>
      </c>
      <c r="K253" s="167" t="inlineStr">
        <is>
          <t>Sim</t>
        </is>
      </c>
      <c r="L253" s="167" t="inlineStr">
        <is>
          <t>Unidades</t>
        </is>
      </c>
      <c r="M253" s="167" t="inlineStr">
        <is>
          <t>Carinás</t>
        </is>
      </c>
    </row>
    <row r="254">
      <c r="A254" s="167" t="inlineStr">
        <is>
          <t>FACA CIMO 660/8 INOX ANTI-BAC 8</t>
        </is>
      </c>
      <c r="B254" s="167" t="n"/>
      <c r="C254" s="167" t="n"/>
      <c r="D254" s="167" t="n">
        <v>76.5</v>
      </c>
      <c r="E254" s="167" t="n">
        <v>7650</v>
      </c>
      <c r="F254" s="167" t="inlineStr">
        <is>
          <t>9003357</t>
        </is>
      </c>
      <c r="G254" s="167" t="inlineStr">
        <is>
          <t>82119100</t>
        </is>
      </c>
      <c r="H254" s="167" t="n"/>
      <c r="I254" s="167" t="inlineStr">
        <is>
          <t>Alimentos - 5102</t>
        </is>
      </c>
      <c r="J254" s="167" t="inlineStr">
        <is>
          <t>Carinás</t>
        </is>
      </c>
      <c r="K254" s="167" t="inlineStr">
        <is>
          <t>Sim</t>
        </is>
      </c>
      <c r="L254" s="167" t="inlineStr">
        <is>
          <t>Unidades</t>
        </is>
      </c>
      <c r="M254" s="167" t="inlineStr">
        <is>
          <t>Carinás</t>
        </is>
      </c>
    </row>
    <row r="255">
      <c r="A255" s="167" t="inlineStr">
        <is>
          <t>FACA CIMO 660/PQ 8 INOX MADEIRA</t>
        </is>
      </c>
      <c r="B255" s="167" t="n"/>
      <c r="C255" s="167" t="n"/>
      <c r="D255" s="167" t="n">
        <v>138.8</v>
      </c>
      <c r="E255" s="167" t="n">
        <v>13880</v>
      </c>
      <c r="F255" s="167" t="inlineStr">
        <is>
          <t>9003349</t>
        </is>
      </c>
      <c r="G255" s="167" t="inlineStr">
        <is>
          <t>82159990</t>
        </is>
      </c>
      <c r="H255" s="167" t="n"/>
      <c r="I255" s="167" t="inlineStr">
        <is>
          <t>Alimentos - 5102</t>
        </is>
      </c>
      <c r="J255" s="167" t="inlineStr">
        <is>
          <t>Carinás</t>
        </is>
      </c>
      <c r="K255" s="167" t="inlineStr">
        <is>
          <t>Sim</t>
        </is>
      </c>
      <c r="L255" s="167" t="inlineStr">
        <is>
          <t>Unidades</t>
        </is>
      </c>
      <c r="M255" s="167" t="inlineStr">
        <is>
          <t>Carinás</t>
        </is>
      </c>
    </row>
    <row r="256">
      <c r="A256" s="167" t="inlineStr">
        <is>
          <t>FAROFA  DA CASA</t>
        </is>
      </c>
      <c r="B256" s="167" t="n"/>
      <c r="C256" s="167" t="n"/>
      <c r="D256" s="167" t="n">
        <v>9.99</v>
      </c>
      <c r="E256" s="167" t="n">
        <v>999</v>
      </c>
      <c r="F256" s="167" t="inlineStr">
        <is>
          <t>78989056877291</t>
        </is>
      </c>
      <c r="G256" s="167" t="inlineStr">
        <is>
          <t>21069090</t>
        </is>
      </c>
      <c r="H256" s="167" t="n"/>
      <c r="I256" s="167" t="n"/>
      <c r="J256" s="167" t="n"/>
      <c r="K256" s="167" t="n"/>
      <c r="L256" s="167" t="n"/>
      <c r="M256" s="167" t="inlineStr">
        <is>
          <t>SA + Delivery</t>
        </is>
      </c>
    </row>
    <row r="257">
      <c r="A257" s="167" t="inlineStr">
        <is>
          <t>FAROFA (EXECUTIVO)</t>
        </is>
      </c>
      <c r="B257" s="167" t="n"/>
      <c r="C257" s="167" t="inlineStr">
        <is>
          <t xml:space="preserve"> ALMOÇO EXECUTIVO</t>
        </is>
      </c>
      <c r="D257" s="167" t="n">
        <v>4.99</v>
      </c>
      <c r="E257" s="167" t="n">
        <v>499</v>
      </c>
      <c r="F257" s="167" t="inlineStr">
        <is>
          <t>789890568772107</t>
        </is>
      </c>
      <c r="G257" s="167" t="inlineStr">
        <is>
          <t>21069090</t>
        </is>
      </c>
      <c r="H257" s="167" t="inlineStr">
        <is>
          <t>1709700</t>
        </is>
      </c>
      <c r="I257" s="167" t="inlineStr">
        <is>
          <t>Alimentos - 5102</t>
        </is>
      </c>
      <c r="J257" s="167" t="inlineStr">
        <is>
          <t>Carinás</t>
        </is>
      </c>
      <c r="K257" s="167" t="inlineStr">
        <is>
          <t>Sim</t>
        </is>
      </c>
      <c r="L257" s="167" t="inlineStr">
        <is>
          <t>Unidades</t>
        </is>
      </c>
      <c r="M257" s="167" t="inlineStr">
        <is>
          <t>Carinás</t>
        </is>
      </c>
    </row>
    <row r="258">
      <c r="A258" s="167" t="inlineStr">
        <is>
          <t>FAROFA MARMITA</t>
        </is>
      </c>
      <c r="B258" s="167" t="n"/>
      <c r="C258" s="167" t="n"/>
      <c r="D258" s="167" t="n">
        <v>9.9</v>
      </c>
      <c r="E258" s="167" t="n">
        <v>990</v>
      </c>
      <c r="F258" s="167" t="inlineStr">
        <is>
          <t>800004</t>
        </is>
      </c>
      <c r="G258" s="167" t="inlineStr">
        <is>
          <t>21069090</t>
        </is>
      </c>
      <c r="H258" s="167" t="n"/>
      <c r="I258" s="167" t="inlineStr">
        <is>
          <t>Alimentos - 5102</t>
        </is>
      </c>
      <c r="J258" s="167" t="inlineStr">
        <is>
          <t>Carinás</t>
        </is>
      </c>
      <c r="K258" s="167" t="inlineStr">
        <is>
          <t>Sim</t>
        </is>
      </c>
      <c r="L258" s="167" t="inlineStr">
        <is>
          <t>Unidades</t>
        </is>
      </c>
      <c r="M258" s="167" t="inlineStr">
        <is>
          <t>Carinás + SA + Delivery</t>
        </is>
      </c>
    </row>
    <row r="259">
      <c r="A259" s="167" t="inlineStr">
        <is>
          <t>FEIJÃO</t>
        </is>
      </c>
      <c r="B259" s="167" t="n"/>
      <c r="C259" s="167" t="n"/>
      <c r="D259" s="167" t="n">
        <v>9.9</v>
      </c>
      <c r="E259" s="167" t="n">
        <v>990</v>
      </c>
      <c r="F259" s="167" t="inlineStr">
        <is>
          <t>78989056877337</t>
        </is>
      </c>
      <c r="G259" s="167" t="inlineStr">
        <is>
          <t>21069090</t>
        </is>
      </c>
      <c r="H259" s="167" t="n"/>
      <c r="I259" s="167" t="inlineStr">
        <is>
          <t>Alimentos - 5102</t>
        </is>
      </c>
      <c r="J259" s="167" t="inlineStr">
        <is>
          <t>Carinás</t>
        </is>
      </c>
      <c r="K259" s="167" t="inlineStr">
        <is>
          <t>Não</t>
        </is>
      </c>
      <c r="L259" s="167" t="inlineStr">
        <is>
          <t>Unidades</t>
        </is>
      </c>
      <c r="M259" s="167" t="inlineStr">
        <is>
          <t>Carinás + Delivery</t>
        </is>
      </c>
    </row>
    <row r="260">
      <c r="A260" s="167" t="inlineStr">
        <is>
          <t>FESTIVAL CERVEJA E CHURRASCO</t>
        </is>
      </c>
      <c r="B260" s="167" t="n"/>
      <c r="C260" s="167" t="n"/>
      <c r="D260" s="167" t="n">
        <v>99.98999999999999</v>
      </c>
      <c r="E260" s="167" t="n">
        <v>9999</v>
      </c>
      <c r="F260" s="167" t="inlineStr">
        <is>
          <t>78989056877184</t>
        </is>
      </c>
      <c r="G260" s="167" t="inlineStr">
        <is>
          <t>21069090</t>
        </is>
      </c>
      <c r="H260" s="167" t="n"/>
      <c r="I260" s="167" t="inlineStr">
        <is>
          <t>Bebidas - 5405 - 1</t>
        </is>
      </c>
      <c r="J260" s="167" t="inlineStr">
        <is>
          <t>Carinás</t>
        </is>
      </c>
      <c r="K260" s="167" t="inlineStr">
        <is>
          <t>Não</t>
        </is>
      </c>
      <c r="L260" s="167" t="inlineStr">
        <is>
          <t>Unidades</t>
        </is>
      </c>
      <c r="M260" s="167" t="inlineStr">
        <is>
          <t>Carinás + SA</t>
        </is>
      </c>
    </row>
    <row r="261">
      <c r="A261" s="167" t="inlineStr">
        <is>
          <t>FESTIVAL CERVEJA E CHURRASCO KIDS</t>
        </is>
      </c>
      <c r="B261" s="167" t="n"/>
      <c r="C261" s="167" t="inlineStr">
        <is>
          <t>PROMOÇÃO</t>
        </is>
      </c>
      <c r="D261" s="167" t="n">
        <v>39.35</v>
      </c>
      <c r="E261" s="167" t="n">
        <v>3935</v>
      </c>
      <c r="F261" s="167" t="inlineStr">
        <is>
          <t>78989056877120</t>
        </is>
      </c>
      <c r="G261" s="167" t="inlineStr">
        <is>
          <t>21069090</t>
        </is>
      </c>
      <c r="H261" s="167" t="n"/>
      <c r="I261" s="167" t="inlineStr">
        <is>
          <t>Alimentos - 5102</t>
        </is>
      </c>
      <c r="J261" s="167" t="inlineStr">
        <is>
          <t>Carinás</t>
        </is>
      </c>
      <c r="K261" s="167" t="inlineStr">
        <is>
          <t>Sim</t>
        </is>
      </c>
      <c r="L261" s="167" t="inlineStr">
        <is>
          <t>Unidades</t>
        </is>
      </c>
      <c r="M261" s="167" t="inlineStr">
        <is>
          <t>Carinás + SA</t>
        </is>
      </c>
    </row>
    <row r="262">
      <c r="A262" s="167" t="inlineStr">
        <is>
          <t>FICHA MAQUINA PELUCIA</t>
        </is>
      </c>
      <c r="B262" s="167" t="n"/>
      <c r="C262" s="167" t="n"/>
      <c r="D262" s="167" t="n">
        <v>6</v>
      </c>
      <c r="E262" s="167" t="n">
        <v>600</v>
      </c>
      <c r="F262" s="167" t="inlineStr">
        <is>
          <t>7898905687604</t>
        </is>
      </c>
      <c r="G262" s="167" t="inlineStr">
        <is>
          <t>95043000</t>
        </is>
      </c>
      <c r="H262" s="167" t="n"/>
      <c r="I262" s="167" t="inlineStr">
        <is>
          <t>Alimentos - 5102</t>
        </is>
      </c>
      <c r="J262" s="167" t="inlineStr">
        <is>
          <t>Carinás</t>
        </is>
      </c>
      <c r="K262" s="167" t="inlineStr">
        <is>
          <t>Sim</t>
        </is>
      </c>
      <c r="L262" s="167" t="inlineStr">
        <is>
          <t>Unidades</t>
        </is>
      </c>
      <c r="M262" s="167" t="inlineStr">
        <is>
          <t>Carinás</t>
        </is>
      </c>
    </row>
    <row r="263">
      <c r="A263" s="167" t="inlineStr">
        <is>
          <t>FILE MIGNON BOVINO</t>
        </is>
      </c>
      <c r="B263" s="167" t="n"/>
      <c r="C263" s="167" t="n"/>
      <c r="D263" s="167" t="n">
        <v>19.99</v>
      </c>
      <c r="E263" s="167" t="n">
        <v>1999</v>
      </c>
      <c r="F263" s="167" t="inlineStr">
        <is>
          <t>40022</t>
        </is>
      </c>
      <c r="G263" s="167" t="inlineStr">
        <is>
          <t>21069090</t>
        </is>
      </c>
      <c r="H263" s="167" t="n"/>
      <c r="I263" s="167" t="inlineStr">
        <is>
          <t>Alimentos - 5102</t>
        </is>
      </c>
      <c r="J263" s="167" t="inlineStr">
        <is>
          <t>Carinás</t>
        </is>
      </c>
      <c r="K263" s="167" t="inlineStr">
        <is>
          <t>Sim</t>
        </is>
      </c>
      <c r="L263" s="167" t="inlineStr">
        <is>
          <t>Unidades</t>
        </is>
      </c>
      <c r="M263" s="167" t="inlineStr">
        <is>
          <t>Carinás + SA + Delivery</t>
        </is>
      </c>
    </row>
    <row r="264">
      <c r="A264" s="167" t="inlineStr">
        <is>
          <t>FILET MIGNON IN NATURA</t>
        </is>
      </c>
      <c r="B264" s="167" t="n"/>
      <c r="C264" s="167" t="n"/>
      <c r="D264" s="167" t="n">
        <v>69.90000000000001</v>
      </c>
      <c r="E264" s="167" t="n">
        <v>6990</v>
      </c>
      <c r="F264" s="167" t="inlineStr">
        <is>
          <t>10014</t>
        </is>
      </c>
      <c r="G264" s="167" t="inlineStr">
        <is>
          <t>21069090</t>
        </is>
      </c>
      <c r="H264" s="167" t="n"/>
      <c r="I264" s="167" t="inlineStr">
        <is>
          <t>Alimentos - 5102</t>
        </is>
      </c>
      <c r="J264" s="167" t="inlineStr">
        <is>
          <t>Carinás</t>
        </is>
      </c>
      <c r="K264" s="167" t="inlineStr">
        <is>
          <t>Sim</t>
        </is>
      </c>
      <c r="L264" s="167" t="inlineStr">
        <is>
          <t>Unidades</t>
        </is>
      </c>
      <c r="M264" s="167" t="inlineStr">
        <is>
          <t>Carinás + SA + Delivery</t>
        </is>
      </c>
    </row>
    <row r="265">
      <c r="A265" s="167" t="inlineStr">
        <is>
          <t>Fitz Florinda</t>
        </is>
      </c>
      <c r="B265" s="167" t="n"/>
      <c r="C265" s="167" t="n"/>
      <c r="D265" s="167" t="n">
        <v>37.99</v>
      </c>
      <c r="E265" s="167" t="n">
        <v>3799</v>
      </c>
      <c r="F265" s="167" t="inlineStr">
        <is>
          <t>78989056877228</t>
        </is>
      </c>
      <c r="G265" s="167" t="inlineStr">
        <is>
          <t>22084000</t>
        </is>
      </c>
      <c r="H265" s="167" t="n"/>
      <c r="I265" s="167" t="inlineStr">
        <is>
          <t>Alimentos - 5102</t>
        </is>
      </c>
      <c r="J265" s="167" t="inlineStr">
        <is>
          <t>Carinás</t>
        </is>
      </c>
      <c r="K265" s="167" t="inlineStr">
        <is>
          <t>Não</t>
        </is>
      </c>
      <c r="L265" s="167" t="inlineStr">
        <is>
          <t>Unidades</t>
        </is>
      </c>
      <c r="M265" s="167" t="inlineStr">
        <is>
          <t>Carinás + SA</t>
        </is>
      </c>
    </row>
    <row r="266">
      <c r="A266" s="167" t="inlineStr">
        <is>
          <t>Fitz Gerald</t>
        </is>
      </c>
      <c r="B266" s="167" t="n"/>
      <c r="C266" s="167" t="n"/>
      <c r="D266" s="167" t="n">
        <v>38.99</v>
      </c>
      <c r="E266" s="167" t="n">
        <v>3899</v>
      </c>
      <c r="F266" s="167" t="inlineStr">
        <is>
          <t>78989056877229</t>
        </is>
      </c>
      <c r="G266" s="167" t="inlineStr">
        <is>
          <t>22084000</t>
        </is>
      </c>
      <c r="H266" s="167" t="n"/>
      <c r="I266" s="167" t="inlineStr">
        <is>
          <t>Alimentos - 5102</t>
        </is>
      </c>
      <c r="J266" s="167" t="inlineStr">
        <is>
          <t>Carinás</t>
        </is>
      </c>
      <c r="K266" s="167" t="inlineStr">
        <is>
          <t>Não</t>
        </is>
      </c>
      <c r="L266" s="167" t="inlineStr">
        <is>
          <t>Unidades</t>
        </is>
      </c>
      <c r="M266" s="167" t="inlineStr">
        <is>
          <t>Carinás + SA</t>
        </is>
      </c>
    </row>
    <row r="267">
      <c r="A267" s="167" t="inlineStr">
        <is>
          <t>FiuFiu Cajá Lemon</t>
        </is>
      </c>
      <c r="B267" s="167" t="n"/>
      <c r="C267" s="167" t="inlineStr">
        <is>
          <t>A COQUETEIS</t>
        </is>
      </c>
      <c r="D267" s="167" t="n">
        <v>34</v>
      </c>
      <c r="E267" s="167" t="n">
        <v>3400</v>
      </c>
      <c r="F267" s="167" t="inlineStr">
        <is>
          <t>78989056877272</t>
        </is>
      </c>
      <c r="G267" s="167" t="inlineStr">
        <is>
          <t>22084000</t>
        </is>
      </c>
      <c r="H267" s="167" t="n"/>
      <c r="I267" s="167" t="inlineStr">
        <is>
          <t>Alimentos - 5102</t>
        </is>
      </c>
      <c r="J267" s="167" t="inlineStr">
        <is>
          <t>Carinás</t>
        </is>
      </c>
      <c r="K267" s="167" t="inlineStr">
        <is>
          <t>Não</t>
        </is>
      </c>
      <c r="L267" s="167" t="inlineStr">
        <is>
          <t>Unidades</t>
        </is>
      </c>
      <c r="M267" s="167" t="inlineStr">
        <is>
          <t>Carinás + SA</t>
        </is>
      </c>
    </row>
    <row r="268">
      <c r="A268" s="167" t="inlineStr">
        <is>
          <t>FRANGO</t>
        </is>
      </c>
      <c r="B268" s="167" t="n"/>
      <c r="C268" s="167" t="n"/>
      <c r="D268" s="167" t="n">
        <v>13.99</v>
      </c>
      <c r="E268" s="167" t="n">
        <v>1399</v>
      </c>
      <c r="F268" s="167" t="inlineStr">
        <is>
          <t>10036</t>
        </is>
      </c>
      <c r="G268" s="167" t="inlineStr">
        <is>
          <t>21069090</t>
        </is>
      </c>
      <c r="H268" s="167" t="n"/>
      <c r="I268" s="167" t="inlineStr">
        <is>
          <t>Alimentos - 5102</t>
        </is>
      </c>
      <c r="J268" s="167" t="inlineStr">
        <is>
          <t>Carinás</t>
        </is>
      </c>
      <c r="K268" s="167" t="inlineStr">
        <is>
          <t>Sim</t>
        </is>
      </c>
      <c r="L268" s="167" t="inlineStr">
        <is>
          <t>Unidades</t>
        </is>
      </c>
      <c r="M268" s="167" t="inlineStr">
        <is>
          <t>Carinás + SA + Delivery</t>
        </is>
      </c>
    </row>
    <row r="269">
      <c r="A269" s="167" t="inlineStr">
        <is>
          <t>FRANGO IN NATURA</t>
        </is>
      </c>
      <c r="B269" s="167" t="n"/>
      <c r="C269" s="167" t="n"/>
      <c r="D269" s="167" t="n">
        <v>29.9</v>
      </c>
      <c r="E269" s="167" t="n">
        <v>2990</v>
      </c>
      <c r="F269" s="167" t="inlineStr">
        <is>
          <t>10007</t>
        </is>
      </c>
      <c r="G269" s="167" t="inlineStr">
        <is>
          <t>21069090</t>
        </is>
      </c>
      <c r="H269" s="167" t="n"/>
      <c r="I269" s="167" t="inlineStr">
        <is>
          <t>Alimentos - 5102</t>
        </is>
      </c>
      <c r="J269" s="167" t="inlineStr">
        <is>
          <t>Carinás</t>
        </is>
      </c>
      <c r="K269" s="167" t="inlineStr">
        <is>
          <t>Sim</t>
        </is>
      </c>
      <c r="L269" s="167" t="inlineStr">
        <is>
          <t>Unidades</t>
        </is>
      </c>
      <c r="M269" s="167" t="inlineStr">
        <is>
          <t>Carinás + SA + Delivery</t>
        </is>
      </c>
    </row>
    <row r="270">
      <c r="A270" s="167" t="inlineStr">
        <is>
          <t>FRITAS</t>
        </is>
      </c>
      <c r="B270" s="167" t="n"/>
      <c r="C270" s="167" t="n"/>
      <c r="D270" s="167" t="n">
        <v>16.99</v>
      </c>
      <c r="E270" s="167" t="n">
        <v>1699</v>
      </c>
      <c r="F270" s="167" t="inlineStr">
        <is>
          <t>800001</t>
        </is>
      </c>
      <c r="G270" s="167" t="inlineStr">
        <is>
          <t>20079990</t>
        </is>
      </c>
      <c r="H270" s="167" t="n"/>
      <c r="I270" s="167" t="inlineStr">
        <is>
          <t>Alimentos - 5102</t>
        </is>
      </c>
      <c r="J270" s="167" t="inlineStr">
        <is>
          <t>Carinás</t>
        </is>
      </c>
      <c r="K270" s="167" t="inlineStr">
        <is>
          <t>Sim</t>
        </is>
      </c>
      <c r="L270" s="167" t="inlineStr">
        <is>
          <t>Unidades</t>
        </is>
      </c>
      <c r="M270" s="167" t="inlineStr">
        <is>
          <t>Carinás + SA</t>
        </is>
      </c>
    </row>
    <row r="271">
      <c r="A271" s="167" t="inlineStr">
        <is>
          <t>FRITAS (EXECUTIVO)</t>
        </is>
      </c>
      <c r="B271" s="167" t="n"/>
      <c r="C271" s="167" t="inlineStr">
        <is>
          <t xml:space="preserve"> ALMOÇO EXECUTIVO</t>
        </is>
      </c>
      <c r="D271" s="167" t="n">
        <v>4.99</v>
      </c>
      <c r="E271" s="167" t="n">
        <v>499</v>
      </c>
      <c r="F271" s="167" t="inlineStr">
        <is>
          <t>789890568772105</t>
        </is>
      </c>
      <c r="G271" s="167" t="inlineStr">
        <is>
          <t>21069090</t>
        </is>
      </c>
      <c r="H271" s="167" t="inlineStr">
        <is>
          <t>1709700</t>
        </is>
      </c>
      <c r="I271" s="167" t="inlineStr">
        <is>
          <t>Alimentos - 5102</t>
        </is>
      </c>
      <c r="J271" s="167" t="inlineStr">
        <is>
          <t>Carinás</t>
        </is>
      </c>
      <c r="K271" s="167" t="inlineStr">
        <is>
          <t>Sim</t>
        </is>
      </c>
      <c r="L271" s="167" t="inlineStr">
        <is>
          <t>Unidades</t>
        </is>
      </c>
      <c r="M271" s="167" t="inlineStr">
        <is>
          <t>Carinás</t>
        </is>
      </c>
    </row>
    <row r="272">
      <c r="A272" s="167" t="inlineStr">
        <is>
          <t>FRUTA C/ CHOCOLATE ANIVERSARIANTE</t>
        </is>
      </c>
      <c r="B272" s="167" t="n"/>
      <c r="C272" s="167" t="inlineStr">
        <is>
          <t>SOBREMESAS</t>
        </is>
      </c>
      <c r="D272" s="167" t="n">
        <v>0</v>
      </c>
      <c r="E272" s="167" t="n">
        <v>0</v>
      </c>
      <c r="F272" s="167" t="inlineStr">
        <is>
          <t>78989056877173</t>
        </is>
      </c>
      <c r="G272" s="167" t="inlineStr">
        <is>
          <t>21069090</t>
        </is>
      </c>
      <c r="H272" s="167" t="n"/>
      <c r="I272" s="167" t="inlineStr">
        <is>
          <t>Alimentos - 5102</t>
        </is>
      </c>
      <c r="J272" s="167" t="inlineStr">
        <is>
          <t>Carinás</t>
        </is>
      </c>
      <c r="K272" s="167" t="inlineStr">
        <is>
          <t>Não</t>
        </is>
      </c>
      <c r="L272" s="167" t="inlineStr">
        <is>
          <t>Unidades</t>
        </is>
      </c>
      <c r="M272" s="167" t="inlineStr">
        <is>
          <t>Carinás + SA</t>
        </is>
      </c>
    </row>
    <row r="273">
      <c r="A273" s="167" t="inlineStr">
        <is>
          <t>FRUTAS PORÇÂO</t>
        </is>
      </c>
      <c r="B273" s="167" t="n"/>
      <c r="C273" s="167" t="inlineStr">
        <is>
          <t>PORÇÕES</t>
        </is>
      </c>
      <c r="D273" s="167" t="n">
        <v>10</v>
      </c>
      <c r="E273" s="167" t="n">
        <v>1000</v>
      </c>
      <c r="F273" s="167" t="inlineStr">
        <is>
          <t>9003551</t>
        </is>
      </c>
      <c r="G273" s="167" t="inlineStr">
        <is>
          <t>20060000</t>
        </is>
      </c>
      <c r="H273" s="167" t="n"/>
      <c r="I273" s="167" t="inlineStr">
        <is>
          <t>Alimentos - 5102</t>
        </is>
      </c>
      <c r="J273" s="167" t="inlineStr">
        <is>
          <t>Carinás</t>
        </is>
      </c>
      <c r="K273" s="167" t="inlineStr">
        <is>
          <t>Sim</t>
        </is>
      </c>
      <c r="L273" s="167" t="inlineStr">
        <is>
          <t>Unidades</t>
        </is>
      </c>
      <c r="M273" s="167" t="inlineStr">
        <is>
          <t>Carinás + SA</t>
        </is>
      </c>
    </row>
    <row r="274">
      <c r="A274" s="167" t="inlineStr">
        <is>
          <t>GARFO CIMO 2052/8 INOX MADEIRA 8</t>
        </is>
      </c>
      <c r="B274" s="167" t="n"/>
      <c r="C274" s="167" t="n"/>
      <c r="D274" s="167" t="n">
        <v>53.6</v>
      </c>
      <c r="E274" s="167" t="n">
        <v>5360</v>
      </c>
      <c r="F274" s="167" t="inlineStr">
        <is>
          <t>9003356</t>
        </is>
      </c>
      <c r="G274" s="167" t="inlineStr">
        <is>
          <t>82159990</t>
        </is>
      </c>
      <c r="H274" s="167" t="n"/>
      <c r="I274" s="167" t="inlineStr">
        <is>
          <t>Alimentos - 5102</t>
        </is>
      </c>
      <c r="J274" s="167" t="inlineStr">
        <is>
          <t>Carinás</t>
        </is>
      </c>
      <c r="K274" s="167" t="inlineStr">
        <is>
          <t>Sim</t>
        </is>
      </c>
      <c r="L274" s="167" t="inlineStr">
        <is>
          <t>Unidades</t>
        </is>
      </c>
      <c r="M274" s="167" t="inlineStr">
        <is>
          <t>Carinás</t>
        </is>
      </c>
    </row>
    <row r="275">
      <c r="A275" s="167" t="inlineStr">
        <is>
          <t>GARRA LOBO-GUARA</t>
        </is>
      </c>
      <c r="B275" s="167" t="n"/>
      <c r="C275" s="167" t="n"/>
      <c r="D275" s="167" t="n">
        <v>88.40000000000001</v>
      </c>
      <c r="E275" s="167" t="n">
        <v>8840</v>
      </c>
      <c r="F275" s="167" t="inlineStr">
        <is>
          <t>9003582</t>
        </is>
      </c>
      <c r="G275" s="167" t="inlineStr">
        <is>
          <t>82119210</t>
        </is>
      </c>
      <c r="H275" s="167" t="n"/>
      <c r="I275" s="167" t="inlineStr">
        <is>
          <t>Alimentos - 5102</t>
        </is>
      </c>
      <c r="J275" s="167" t="inlineStr">
        <is>
          <t>Carinás</t>
        </is>
      </c>
      <c r="K275" s="167" t="inlineStr">
        <is>
          <t>Sim</t>
        </is>
      </c>
      <c r="L275" s="167" t="inlineStr">
        <is>
          <t>Unidades</t>
        </is>
      </c>
      <c r="M275" s="167" t="inlineStr">
        <is>
          <t>Carinás</t>
        </is>
      </c>
    </row>
    <row r="276">
      <c r="A276" s="167" t="inlineStr">
        <is>
          <t>GARRAFA GIN APTK</t>
        </is>
      </c>
      <c r="B276" s="167" t="n"/>
      <c r="C276" s="167" t="n"/>
      <c r="D276" s="167" t="n">
        <v>149.99</v>
      </c>
      <c r="E276" s="167" t="n">
        <v>14999</v>
      </c>
      <c r="F276" s="167" t="inlineStr">
        <is>
          <t>789890568772141</t>
        </is>
      </c>
      <c r="G276" s="167" t="inlineStr">
        <is>
          <t>22085000</t>
        </is>
      </c>
      <c r="H276" s="167" t="n"/>
      <c r="I276" s="167" t="inlineStr">
        <is>
          <t>Bebidas - 5405 - 1</t>
        </is>
      </c>
      <c r="J276" s="167" t="inlineStr">
        <is>
          <t>Carinás</t>
        </is>
      </c>
      <c r="K276" s="167" t="inlineStr">
        <is>
          <t>Não</t>
        </is>
      </c>
      <c r="L276" s="167" t="inlineStr">
        <is>
          <t>Unidades</t>
        </is>
      </c>
      <c r="M276" s="167" t="inlineStr">
        <is>
          <t>Carinás + SA</t>
        </is>
      </c>
    </row>
    <row r="277">
      <c r="A277" s="167" t="inlineStr">
        <is>
          <t>GELO 5KG VENDA</t>
        </is>
      </c>
      <c r="B277" s="167" t="n"/>
      <c r="C277" s="167" t="n"/>
      <c r="D277" s="167" t="n">
        <v>14.9</v>
      </c>
      <c r="E277" s="167" t="n">
        <v>1490</v>
      </c>
      <c r="F277" s="167" t="inlineStr">
        <is>
          <t>10024</t>
        </is>
      </c>
      <c r="G277" s="167" t="inlineStr">
        <is>
          <t>22019000</t>
        </is>
      </c>
      <c r="H277" s="167" t="n"/>
      <c r="I277" s="167" t="inlineStr">
        <is>
          <t>Alimentos - 5102</t>
        </is>
      </c>
      <c r="J277" s="167" t="inlineStr">
        <is>
          <t>Carinás</t>
        </is>
      </c>
      <c r="K277" s="167" t="inlineStr">
        <is>
          <t>Sim</t>
        </is>
      </c>
      <c r="L277" s="167" t="inlineStr">
        <is>
          <t>Unidades</t>
        </is>
      </c>
      <c r="M277" s="167" t="inlineStr">
        <is>
          <t>Carinás + SA</t>
        </is>
      </c>
    </row>
    <row r="278">
      <c r="A278" s="167" t="inlineStr">
        <is>
          <t>GELO DE COCO</t>
        </is>
      </c>
      <c r="B278" s="167" t="n"/>
      <c r="C278" s="167" t="n"/>
      <c r="D278" s="167" t="n">
        <v>12.99</v>
      </c>
      <c r="E278" s="167" t="n">
        <v>1299</v>
      </c>
      <c r="F278" s="167" t="inlineStr">
        <is>
          <t>9003501</t>
        </is>
      </c>
      <c r="G278" s="167" t="inlineStr">
        <is>
          <t>22019000</t>
        </is>
      </c>
      <c r="H278" s="167" t="n"/>
      <c r="I278" s="167" t="inlineStr">
        <is>
          <t>Alimentos - 5102</t>
        </is>
      </c>
      <c r="J278" s="167" t="inlineStr">
        <is>
          <t>Carinás</t>
        </is>
      </c>
      <c r="K278" s="167" t="inlineStr">
        <is>
          <t>Sim</t>
        </is>
      </c>
      <c r="L278" s="167" t="inlineStr">
        <is>
          <t>Unidades</t>
        </is>
      </c>
      <c r="M278" s="167" t="inlineStr">
        <is>
          <t>Carinás + SA</t>
        </is>
      </c>
    </row>
    <row r="279">
      <c r="A279" s="167" t="inlineStr">
        <is>
          <t>GIN  TANQUERAY</t>
        </is>
      </c>
      <c r="B279" s="167" t="n"/>
      <c r="C279" s="167" t="n"/>
      <c r="D279" s="167" t="n">
        <v>299.99</v>
      </c>
      <c r="E279" s="167" t="n">
        <v>29999</v>
      </c>
      <c r="F279" s="167" t="inlineStr">
        <is>
          <t>9003453</t>
        </is>
      </c>
      <c r="G279" s="167" t="inlineStr">
        <is>
          <t>22085000</t>
        </is>
      </c>
      <c r="H279" s="167" t="n"/>
      <c r="I279" s="167" t="inlineStr">
        <is>
          <t>Alimentos - 5102</t>
        </is>
      </c>
      <c r="J279" s="167" t="inlineStr">
        <is>
          <t>Carinás</t>
        </is>
      </c>
      <c r="K279" s="167" t="inlineStr">
        <is>
          <t>Sim</t>
        </is>
      </c>
      <c r="L279" s="167" t="inlineStr">
        <is>
          <t>Unidades</t>
        </is>
      </c>
      <c r="M279" s="167" t="inlineStr">
        <is>
          <t>Carinás + SA</t>
        </is>
      </c>
    </row>
    <row r="280">
      <c r="A280" s="167" t="inlineStr">
        <is>
          <t>GIN BACCO QUINTAL GARRAFA 700ML</t>
        </is>
      </c>
      <c r="B280" s="167" t="n"/>
      <c r="C280" s="167" t="n"/>
      <c r="D280" s="167" t="n">
        <v>149.99</v>
      </c>
      <c r="E280" s="167" t="n">
        <v>14999</v>
      </c>
      <c r="F280" s="167" t="inlineStr">
        <is>
          <t>789890568772115</t>
        </is>
      </c>
      <c r="G280" s="167" t="inlineStr">
        <is>
          <t>22042100</t>
        </is>
      </c>
      <c r="H280" s="167" t="n"/>
      <c r="I280" s="167" t="inlineStr">
        <is>
          <t>Bebidas - 5405 - 1</t>
        </is>
      </c>
      <c r="J280" s="167" t="inlineStr">
        <is>
          <t>Carinás</t>
        </is>
      </c>
      <c r="K280" s="167" t="inlineStr">
        <is>
          <t>Não</t>
        </is>
      </c>
      <c r="L280" s="167" t="inlineStr">
        <is>
          <t>Unidades</t>
        </is>
      </c>
      <c r="M280" s="167" t="inlineStr">
        <is>
          <t>Carinás + SA</t>
        </is>
      </c>
    </row>
    <row r="281">
      <c r="A281" s="167" t="inlineStr">
        <is>
          <t>GIN TANQUERAY DOSE</t>
        </is>
      </c>
      <c r="B281" s="167" t="n"/>
      <c r="C281" s="167" t="n"/>
      <c r="D281" s="167" t="n">
        <v>32</v>
      </c>
      <c r="E281" s="167" t="n">
        <v>3200</v>
      </c>
      <c r="F281" s="167" t="inlineStr">
        <is>
          <t>9003482</t>
        </is>
      </c>
      <c r="G281" s="167" t="inlineStr">
        <is>
          <t>22085000</t>
        </is>
      </c>
      <c r="H281" s="167" t="n"/>
      <c r="I281" s="167" t="inlineStr">
        <is>
          <t>Alimentos - 5102</t>
        </is>
      </c>
      <c r="J281" s="167" t="inlineStr">
        <is>
          <t>Carinás</t>
        </is>
      </c>
      <c r="K281" s="167" t="inlineStr">
        <is>
          <t>Sim</t>
        </is>
      </c>
      <c r="L281" s="167" t="inlineStr">
        <is>
          <t>Unidades</t>
        </is>
      </c>
      <c r="M281" s="167" t="inlineStr">
        <is>
          <t>Carinás + SA</t>
        </is>
      </c>
    </row>
    <row r="282">
      <c r="A282" s="167" t="inlineStr">
        <is>
          <t>GIN TÔNICA CLÁSSICO</t>
        </is>
      </c>
      <c r="B282" s="167" t="n"/>
      <c r="C282" s="167" t="n"/>
      <c r="D282" s="167" t="n">
        <v>25</v>
      </c>
      <c r="E282" s="167" t="n">
        <v>2500</v>
      </c>
      <c r="F282" s="167" t="inlineStr">
        <is>
          <t>67025</t>
        </is>
      </c>
      <c r="G282" s="167" t="inlineStr">
        <is>
          <t>22085000</t>
        </is>
      </c>
      <c r="H282" s="167" t="n"/>
      <c r="I282" s="167" t="inlineStr">
        <is>
          <t>Alimentos - 5102</t>
        </is>
      </c>
      <c r="J282" s="167" t="inlineStr">
        <is>
          <t>Carinás</t>
        </is>
      </c>
      <c r="K282" s="167" t="inlineStr">
        <is>
          <t>Sim</t>
        </is>
      </c>
      <c r="L282" s="167" t="inlineStr">
        <is>
          <t>Unidades</t>
        </is>
      </c>
      <c r="M282" s="167" t="inlineStr">
        <is>
          <t>Carinás + SA</t>
        </is>
      </c>
    </row>
    <row r="283">
      <c r="A283" s="167" t="inlineStr">
        <is>
          <t>GIN TÔNICA DO QUINTAL</t>
        </is>
      </c>
      <c r="B283" s="167" t="n"/>
      <c r="C283" s="167" t="n"/>
      <c r="D283" s="167" t="n">
        <v>25</v>
      </c>
      <c r="E283" s="167" t="n">
        <v>2500</v>
      </c>
      <c r="F283" s="167" t="inlineStr">
        <is>
          <t>9003515</t>
        </is>
      </c>
      <c r="G283" s="167" t="inlineStr">
        <is>
          <t>22085000</t>
        </is>
      </c>
      <c r="H283" s="167" t="n"/>
      <c r="I283" s="167" t="inlineStr">
        <is>
          <t>Alimentos - 5102</t>
        </is>
      </c>
      <c r="J283" s="167" t="inlineStr">
        <is>
          <t>Carinás</t>
        </is>
      </c>
      <c r="K283" s="167" t="inlineStr">
        <is>
          <t>Sim</t>
        </is>
      </c>
      <c r="L283" s="167" t="inlineStr">
        <is>
          <t>Unidades</t>
        </is>
      </c>
      <c r="M283" s="167" t="inlineStr">
        <is>
          <t>Carinás + SA</t>
        </is>
      </c>
    </row>
    <row r="284">
      <c r="A284" s="167" t="inlineStr">
        <is>
          <t>GIN TÔNICA FRUTAS VERMELHAS</t>
        </is>
      </c>
      <c r="B284" s="167" t="n"/>
      <c r="C284" s="167" t="n"/>
      <c r="D284" s="167" t="n">
        <v>25</v>
      </c>
      <c r="E284" s="167" t="n">
        <v>2500</v>
      </c>
      <c r="F284" s="167" t="inlineStr">
        <is>
          <t>9003514</t>
        </is>
      </c>
      <c r="G284" s="167" t="inlineStr">
        <is>
          <t>22085000</t>
        </is>
      </c>
      <c r="H284" s="167" t="n"/>
      <c r="I284" s="167" t="inlineStr">
        <is>
          <t>Alimentos - 5102</t>
        </is>
      </c>
      <c r="J284" s="167" t="inlineStr">
        <is>
          <t>Carinás</t>
        </is>
      </c>
      <c r="K284" s="167" t="inlineStr">
        <is>
          <t>Sim</t>
        </is>
      </c>
      <c r="L284" s="167" t="inlineStr">
        <is>
          <t>Unidades</t>
        </is>
      </c>
      <c r="M284" s="167" t="inlineStr">
        <is>
          <t>Carinás + SA</t>
        </is>
      </c>
    </row>
    <row r="285">
      <c r="A285" s="167" t="inlineStr">
        <is>
          <t>GIN TÔNICA PINK</t>
        </is>
      </c>
      <c r="B285" s="167" t="n"/>
      <c r="C285" s="167" t="n"/>
      <c r="D285" s="167" t="n">
        <v>25</v>
      </c>
      <c r="E285" s="167" t="n">
        <v>2500</v>
      </c>
      <c r="F285" s="167" t="inlineStr">
        <is>
          <t>9003183</t>
        </is>
      </c>
      <c r="G285" s="167" t="inlineStr">
        <is>
          <t>22085000</t>
        </is>
      </c>
      <c r="H285" s="167" t="n"/>
      <c r="I285" s="167" t="inlineStr">
        <is>
          <t>Alimentos - 5102</t>
        </is>
      </c>
      <c r="J285" s="167" t="inlineStr">
        <is>
          <t>Carinás</t>
        </is>
      </c>
      <c r="K285" s="167" t="inlineStr">
        <is>
          <t>Sim</t>
        </is>
      </c>
      <c r="L285" s="167" t="inlineStr">
        <is>
          <t>Unidades</t>
        </is>
      </c>
      <c r="M285" s="167" t="inlineStr">
        <is>
          <t>Carinás + SA</t>
        </is>
      </c>
    </row>
    <row r="286">
      <c r="A286" s="167" t="inlineStr">
        <is>
          <t>GIN TÔNICA SICILIANO</t>
        </is>
      </c>
      <c r="B286" s="167" t="n"/>
      <c r="C286" s="167" t="n"/>
      <c r="D286" s="167" t="n">
        <v>25</v>
      </c>
      <c r="E286" s="167" t="n">
        <v>2500</v>
      </c>
      <c r="F286" s="167" t="inlineStr">
        <is>
          <t>9003516</t>
        </is>
      </c>
      <c r="G286" s="167" t="inlineStr">
        <is>
          <t>22085000</t>
        </is>
      </c>
      <c r="H286" s="167" t="n"/>
      <c r="I286" s="167" t="inlineStr">
        <is>
          <t>Alimentos - 5102</t>
        </is>
      </c>
      <c r="J286" s="167" t="inlineStr">
        <is>
          <t>Carinás</t>
        </is>
      </c>
      <c r="K286" s="167" t="inlineStr">
        <is>
          <t>Sim</t>
        </is>
      </c>
      <c r="L286" s="167" t="inlineStr">
        <is>
          <t>Unidades</t>
        </is>
      </c>
      <c r="M286" s="167" t="inlineStr">
        <is>
          <t>Carinás + SA</t>
        </is>
      </c>
    </row>
    <row r="287">
      <c r="A287" s="167" t="inlineStr">
        <is>
          <t>GOLD LABEL DOSE</t>
        </is>
      </c>
      <c r="B287" s="167" t="n"/>
      <c r="C287" s="167" t="n"/>
      <c r="D287" s="167" t="n">
        <v>60</v>
      </c>
      <c r="E287" s="167" t="n">
        <v>6000</v>
      </c>
      <c r="F287" s="167" t="inlineStr">
        <is>
          <t>7898905687151</t>
        </is>
      </c>
      <c r="G287" s="167" t="inlineStr">
        <is>
          <t>22083020</t>
        </is>
      </c>
      <c r="H287" s="167" t="n"/>
      <c r="I287" s="167" t="inlineStr">
        <is>
          <t>Alimentos - 5102</t>
        </is>
      </c>
      <c r="J287" s="167" t="inlineStr">
        <is>
          <t>Carinás</t>
        </is>
      </c>
      <c r="K287" s="167" t="inlineStr">
        <is>
          <t>Sim</t>
        </is>
      </c>
      <c r="L287" s="167" t="inlineStr">
        <is>
          <t>Unidades</t>
        </is>
      </c>
      <c r="M287" s="167" t="inlineStr">
        <is>
          <t>Carinás + SA</t>
        </is>
      </c>
    </row>
    <row r="288">
      <c r="A288" s="167" t="inlineStr">
        <is>
          <t>GOLD LABEL GARRAFA</t>
        </is>
      </c>
      <c r="B288" s="167" t="n"/>
      <c r="C288" s="167" t="n"/>
      <c r="D288" s="167" t="n">
        <v>690</v>
      </c>
      <c r="E288" s="167" t="n">
        <v>69000</v>
      </c>
      <c r="F288" s="167" t="inlineStr">
        <is>
          <t>7898905687150</t>
        </is>
      </c>
      <c r="G288" s="167" t="inlineStr">
        <is>
          <t>22083020</t>
        </is>
      </c>
      <c r="H288" s="167" t="n"/>
      <c r="I288" s="167" t="inlineStr">
        <is>
          <t>Alimentos - 5102</t>
        </is>
      </c>
      <c r="J288" s="167" t="inlineStr">
        <is>
          <t>Carinás</t>
        </is>
      </c>
      <c r="K288" s="167" t="inlineStr">
        <is>
          <t>Sim</t>
        </is>
      </c>
      <c r="L288" s="167" t="inlineStr">
        <is>
          <t>Unidades</t>
        </is>
      </c>
      <c r="M288" s="167" t="inlineStr">
        <is>
          <t>Carinás + SA</t>
        </is>
      </c>
    </row>
    <row r="289">
      <c r="A289" s="167" t="inlineStr">
        <is>
          <t>Gold Rush</t>
        </is>
      </c>
      <c r="B289" s="167" t="n"/>
      <c r="C289" s="167" t="n"/>
      <c r="D289" s="167" t="n">
        <v>38.99</v>
      </c>
      <c r="E289" s="167" t="n">
        <v>3899</v>
      </c>
      <c r="F289" s="167" t="inlineStr">
        <is>
          <t>78989056877237</t>
        </is>
      </c>
      <c r="G289" s="167" t="inlineStr">
        <is>
          <t>22084000</t>
        </is>
      </c>
      <c r="H289" s="167" t="n"/>
      <c r="I289" s="167" t="inlineStr">
        <is>
          <t>Alimentos - 5102</t>
        </is>
      </c>
      <c r="J289" s="167" t="inlineStr">
        <is>
          <t>Carinás</t>
        </is>
      </c>
      <c r="K289" s="167" t="inlineStr">
        <is>
          <t>Não</t>
        </is>
      </c>
      <c r="L289" s="167" t="inlineStr">
        <is>
          <t>Unidades</t>
        </is>
      </c>
      <c r="M289" s="167" t="inlineStr">
        <is>
          <t>Carinás + SA</t>
        </is>
      </c>
    </row>
    <row r="290">
      <c r="A290" s="167" t="inlineStr">
        <is>
          <t>GOOSE ISLAND IPA</t>
        </is>
      </c>
      <c r="B290" s="167" t="n"/>
      <c r="C290" s="167" t="n"/>
      <c r="D290" s="167" t="n">
        <v>23.9</v>
      </c>
      <c r="E290" s="167" t="n">
        <v>2390</v>
      </c>
      <c r="F290" s="167" t="inlineStr">
        <is>
          <t>80046</t>
        </is>
      </c>
      <c r="G290" s="167" t="inlineStr">
        <is>
          <t>22030000</t>
        </is>
      </c>
      <c r="H290" s="167" t="n"/>
      <c r="I290" s="167" t="inlineStr">
        <is>
          <t>Bebidas - 5405 - 1</t>
        </is>
      </c>
      <c r="J290" s="167" t="inlineStr">
        <is>
          <t>Santo André</t>
        </is>
      </c>
      <c r="K290" s="167" t="n"/>
      <c r="L290" s="167" t="n"/>
      <c r="M290" s="167" t="inlineStr">
        <is>
          <t>SA</t>
        </is>
      </c>
    </row>
    <row r="291">
      <c r="A291" s="167" t="inlineStr">
        <is>
          <t>GORJETA OPCIONAL</t>
        </is>
      </c>
      <c r="B291" s="167" t="n"/>
      <c r="C291" s="167" t="n"/>
      <c r="D291" s="167" t="n">
        <v>0.01</v>
      </c>
      <c r="E291" s="167" t="n">
        <v>1</v>
      </c>
      <c r="F291" s="167" t="inlineStr">
        <is>
          <t>999999</t>
        </is>
      </c>
      <c r="G291" s="167" t="inlineStr">
        <is>
          <t>21069090</t>
        </is>
      </c>
      <c r="H291" s="167" t="n"/>
      <c r="I291" s="167" t="inlineStr">
        <is>
          <t>Gorjeta Concedida</t>
        </is>
      </c>
      <c r="J291" s="167" t="inlineStr">
        <is>
          <t>Carinás</t>
        </is>
      </c>
      <c r="K291" s="167" t="inlineStr">
        <is>
          <t>Sim</t>
        </is>
      </c>
      <c r="L291" s="167" t="inlineStr">
        <is>
          <t>Unidades</t>
        </is>
      </c>
      <c r="M291" s="167" t="inlineStr">
        <is>
          <t>Carinás + SA</t>
        </is>
      </c>
    </row>
    <row r="292">
      <c r="A292" s="167" t="inlineStr">
        <is>
          <t>GRELHA GRANDE</t>
        </is>
      </c>
      <c r="B292" s="167" t="n"/>
      <c r="C292" s="167" t="n"/>
      <c r="D292" s="167" t="n">
        <v>73.98999999999999</v>
      </c>
      <c r="E292" s="167" t="n">
        <v>7399</v>
      </c>
      <c r="F292" s="167" t="inlineStr">
        <is>
          <t>9003293</t>
        </is>
      </c>
      <c r="G292" s="167" t="inlineStr">
        <is>
          <t>73218900</t>
        </is>
      </c>
      <c r="H292" s="167" t="n"/>
      <c r="I292" s="167" t="inlineStr">
        <is>
          <t>Alimentos - 5102</t>
        </is>
      </c>
      <c r="J292" s="167" t="inlineStr">
        <is>
          <t>Carinás</t>
        </is>
      </c>
      <c r="K292" s="167" t="inlineStr">
        <is>
          <t>Sim</t>
        </is>
      </c>
      <c r="L292" s="167" t="inlineStr">
        <is>
          <t>Unidades</t>
        </is>
      </c>
      <c r="M292" s="167" t="inlineStr">
        <is>
          <t>Carinás</t>
        </is>
      </c>
    </row>
    <row r="293">
      <c r="A293" s="167" t="inlineStr">
        <is>
          <t>GRELHA MÉDIA</t>
        </is>
      </c>
      <c r="B293" s="167" t="n"/>
      <c r="C293" s="167" t="n"/>
      <c r="D293" s="167" t="n">
        <v>64.98999999999999</v>
      </c>
      <c r="E293" s="167" t="n">
        <v>6499</v>
      </c>
      <c r="F293" s="167" t="inlineStr">
        <is>
          <t>9003292</t>
        </is>
      </c>
      <c r="G293" s="167" t="inlineStr">
        <is>
          <t>73218900</t>
        </is>
      </c>
      <c r="H293" s="167" t="n"/>
      <c r="I293" s="167" t="inlineStr">
        <is>
          <t>Alimentos - 5102</t>
        </is>
      </c>
      <c r="J293" s="167" t="inlineStr">
        <is>
          <t>Carinás</t>
        </is>
      </c>
      <c r="K293" s="167" t="inlineStr">
        <is>
          <t>Sim</t>
        </is>
      </c>
      <c r="L293" s="167" t="inlineStr">
        <is>
          <t>Unidades</t>
        </is>
      </c>
      <c r="M293" s="167" t="inlineStr">
        <is>
          <t>Carinás</t>
        </is>
      </c>
    </row>
    <row r="294">
      <c r="A294" s="167" t="inlineStr">
        <is>
          <t>GRELHA PEQUENA</t>
        </is>
      </c>
      <c r="B294" s="167" t="n"/>
      <c r="C294" s="167" t="n"/>
      <c r="D294" s="167" t="n">
        <v>57.99</v>
      </c>
      <c r="E294" s="167" t="n">
        <v>5799</v>
      </c>
      <c r="F294" s="167" t="inlineStr">
        <is>
          <t>9003291</t>
        </is>
      </c>
      <c r="G294" s="167" t="inlineStr">
        <is>
          <t>73218900</t>
        </is>
      </c>
      <c r="H294" s="167" t="n"/>
      <c r="I294" s="167" t="inlineStr">
        <is>
          <t>Alimentos - 5102</t>
        </is>
      </c>
      <c r="J294" s="167" t="inlineStr">
        <is>
          <t>Carinás</t>
        </is>
      </c>
      <c r="K294" s="167" t="inlineStr">
        <is>
          <t>Sim</t>
        </is>
      </c>
      <c r="L294" s="167" t="inlineStr">
        <is>
          <t>Unidades</t>
        </is>
      </c>
      <c r="M294" s="167" t="inlineStr">
        <is>
          <t>Carinás</t>
        </is>
      </c>
    </row>
    <row r="295">
      <c r="A295" s="167" t="inlineStr">
        <is>
          <t>GUARANA</t>
        </is>
      </c>
      <c r="B295" s="167" t="n"/>
      <c r="C295" s="167" t="n"/>
      <c r="D295" s="167" t="n">
        <v>9.99</v>
      </c>
      <c r="E295" s="167" t="n">
        <v>999</v>
      </c>
      <c r="F295" s="167" t="inlineStr">
        <is>
          <t>71005</t>
        </is>
      </c>
      <c r="G295" s="167" t="inlineStr">
        <is>
          <t>22021000</t>
        </is>
      </c>
      <c r="H295" s="167" t="n"/>
      <c r="I295" s="167" t="inlineStr">
        <is>
          <t>Bebidas - 5405 - 2</t>
        </is>
      </c>
      <c r="J295" s="167" t="inlineStr">
        <is>
          <t>Carinás</t>
        </is>
      </c>
      <c r="K295" s="167" t="inlineStr">
        <is>
          <t>Sim</t>
        </is>
      </c>
      <c r="L295" s="167" t="inlineStr">
        <is>
          <t>Unidades</t>
        </is>
      </c>
      <c r="M295" s="167" t="inlineStr">
        <is>
          <t>Carinás + SA + Delivery</t>
        </is>
      </c>
    </row>
    <row r="296">
      <c r="A296" s="167" t="inlineStr">
        <is>
          <t>GUARANA ANTARTICA  ZERO</t>
        </is>
      </c>
      <c r="B296" s="167" t="n"/>
      <c r="C296" s="167" t="n"/>
      <c r="D296" s="167" t="n">
        <v>9.99</v>
      </c>
      <c r="E296" s="167" t="n">
        <v>999</v>
      </c>
      <c r="F296" s="167" t="inlineStr">
        <is>
          <t>71011</t>
        </is>
      </c>
      <c r="G296" s="167" t="inlineStr">
        <is>
          <t>22021000</t>
        </is>
      </c>
      <c r="H296" s="167" t="n"/>
      <c r="I296" s="167" t="inlineStr">
        <is>
          <t>Bebidas - 5405 - 2</t>
        </is>
      </c>
      <c r="J296" s="167" t="inlineStr">
        <is>
          <t>Carinás</t>
        </is>
      </c>
      <c r="K296" s="167" t="inlineStr">
        <is>
          <t>Sim</t>
        </is>
      </c>
      <c r="L296" s="167" t="inlineStr">
        <is>
          <t>Unidades</t>
        </is>
      </c>
      <c r="M296" s="167" t="inlineStr">
        <is>
          <t>Carinás + SA + Delivery</t>
        </is>
      </c>
    </row>
    <row r="297">
      <c r="A297" s="167" t="inlineStr">
        <is>
          <t>Guarana Lata</t>
        </is>
      </c>
      <c r="B297" s="167" t="n"/>
      <c r="C297" s="167" t="n"/>
      <c r="D297" s="167" t="n">
        <v>10</v>
      </c>
      <c r="E297" s="167" t="n">
        <v>1000</v>
      </c>
      <c r="F297" s="167" t="inlineStr">
        <is>
          <t>78989056877357</t>
        </is>
      </c>
      <c r="G297" s="167" t="inlineStr">
        <is>
          <t>22021000</t>
        </is>
      </c>
      <c r="H297" s="167" t="n"/>
      <c r="I297" s="167" t="inlineStr">
        <is>
          <t>Bebidas - 5405 - 2</t>
        </is>
      </c>
      <c r="J297" s="167" t="inlineStr">
        <is>
          <t>Carinás</t>
        </is>
      </c>
      <c r="K297" s="167" t="inlineStr">
        <is>
          <t>Sim</t>
        </is>
      </c>
      <c r="L297" s="167" t="inlineStr">
        <is>
          <t>Unidades</t>
        </is>
      </c>
      <c r="M297" s="167" t="inlineStr">
        <is>
          <t>Carinás</t>
        </is>
      </c>
    </row>
    <row r="298">
      <c r="A298" s="167" t="inlineStr">
        <is>
          <t>Guarana Zero Lata</t>
        </is>
      </c>
      <c r="B298" s="167" t="n"/>
      <c r="C298" s="167" t="n"/>
      <c r="D298" s="167" t="n">
        <v>10</v>
      </c>
      <c r="E298" s="167" t="n">
        <v>1000</v>
      </c>
      <c r="F298" s="167" t="inlineStr">
        <is>
          <t>78989056877358</t>
        </is>
      </c>
      <c r="G298" s="167" t="inlineStr">
        <is>
          <t>22021000</t>
        </is>
      </c>
      <c r="H298" s="167" t="n"/>
      <c r="I298" s="167" t="inlineStr">
        <is>
          <t>Bebidas - 5405 - 2</t>
        </is>
      </c>
      <c r="J298" s="167" t="inlineStr">
        <is>
          <t>Carinás</t>
        </is>
      </c>
      <c r="K298" s="167" t="inlineStr">
        <is>
          <t>Sim</t>
        </is>
      </c>
      <c r="L298" s="167" t="inlineStr">
        <is>
          <t>Unidades</t>
        </is>
      </c>
      <c r="M298" s="167" t="inlineStr">
        <is>
          <t>Carinás</t>
        </is>
      </c>
    </row>
    <row r="299">
      <c r="A299" s="167" t="inlineStr">
        <is>
          <t>H2OH!</t>
        </is>
      </c>
      <c r="B299" s="167" t="n"/>
      <c r="C299" s="167" t="n"/>
      <c r="D299" s="167" t="n">
        <v>10.99</v>
      </c>
      <c r="E299" s="167" t="n">
        <v>1099</v>
      </c>
      <c r="F299" s="167" t="inlineStr">
        <is>
          <t>71007</t>
        </is>
      </c>
      <c r="G299" s="167" t="inlineStr">
        <is>
          <t>22021000</t>
        </is>
      </c>
      <c r="H299" s="167" t="n"/>
      <c r="I299" s="167" t="inlineStr">
        <is>
          <t>Bebidas - 5405 - 2</t>
        </is>
      </c>
      <c r="J299" s="167" t="inlineStr">
        <is>
          <t>Carinás</t>
        </is>
      </c>
      <c r="K299" s="167" t="inlineStr">
        <is>
          <t>Sim</t>
        </is>
      </c>
      <c r="L299" s="167" t="inlineStr">
        <is>
          <t>Unidades</t>
        </is>
      </c>
      <c r="M299" s="167" t="inlineStr">
        <is>
          <t>Carinás + SA</t>
        </is>
      </c>
    </row>
    <row r="300">
      <c r="A300" s="167" t="inlineStr">
        <is>
          <t>HOEGAARDEN</t>
        </is>
      </c>
      <c r="B300" s="167" t="n"/>
      <c r="C300" s="167" t="n"/>
      <c r="D300" s="167" t="n">
        <v>18.9</v>
      </c>
      <c r="E300" s="167" t="n">
        <v>1890</v>
      </c>
      <c r="F300" s="167" t="inlineStr">
        <is>
          <t>80028</t>
        </is>
      </c>
      <c r="G300" s="167" t="inlineStr">
        <is>
          <t>22030000</t>
        </is>
      </c>
      <c r="H300" s="167" t="n"/>
      <c r="I300" s="167" t="inlineStr">
        <is>
          <t>Bebidas - 5405 - 1</t>
        </is>
      </c>
      <c r="J300" s="167" t="inlineStr">
        <is>
          <t>Santo André</t>
        </is>
      </c>
      <c r="K300" s="167" t="n"/>
      <c r="L300" s="167" t="n"/>
      <c r="M300" s="167" t="inlineStr">
        <is>
          <t>SA</t>
        </is>
      </c>
    </row>
    <row r="301">
      <c r="A301" s="167" t="inlineStr">
        <is>
          <t>Hugo Spriz</t>
        </is>
      </c>
      <c r="B301" s="167" t="n"/>
      <c r="C301" s="167" t="n"/>
      <c r="D301" s="167" t="n">
        <v>39.99</v>
      </c>
      <c r="E301" s="167" t="n">
        <v>3999</v>
      </c>
      <c r="F301" s="167" t="inlineStr">
        <is>
          <t>78989056877235</t>
        </is>
      </c>
      <c r="G301" s="167" t="inlineStr">
        <is>
          <t>22084000</t>
        </is>
      </c>
      <c r="H301" s="167" t="n"/>
      <c r="I301" s="167" t="inlineStr">
        <is>
          <t>Alimentos - 5102</t>
        </is>
      </c>
      <c r="J301" s="167" t="inlineStr">
        <is>
          <t>Carinás</t>
        </is>
      </c>
      <c r="K301" s="167" t="inlineStr">
        <is>
          <t>Não</t>
        </is>
      </c>
      <c r="L301" s="167" t="inlineStr">
        <is>
          <t>Unidades</t>
        </is>
      </c>
      <c r="M301" s="167" t="inlineStr">
        <is>
          <t>Carinás + SA</t>
        </is>
      </c>
    </row>
    <row r="302">
      <c r="A302" s="167" t="inlineStr">
        <is>
          <t>INFLAVEIS</t>
        </is>
      </c>
      <c r="B302" s="167" t="n"/>
      <c r="C302" s="167" t="n"/>
      <c r="D302" s="167" t="n">
        <v>10</v>
      </c>
      <c r="E302" s="167" t="n">
        <v>1000</v>
      </c>
      <c r="F302" s="167" t="inlineStr">
        <is>
          <t>78989056877178</t>
        </is>
      </c>
      <c r="G302" s="167" t="inlineStr">
        <is>
          <t>21069090</t>
        </is>
      </c>
      <c r="H302" s="167" t="n"/>
      <c r="I302" s="167" t="inlineStr">
        <is>
          <t>Alimentos - 5102</t>
        </is>
      </c>
      <c r="J302" s="167" t="inlineStr">
        <is>
          <t>Carinás</t>
        </is>
      </c>
      <c r="K302" s="167" t="inlineStr">
        <is>
          <t>Não</t>
        </is>
      </c>
      <c r="L302" s="167" t="inlineStr">
        <is>
          <t>Unidades</t>
        </is>
      </c>
      <c r="M302" s="167" t="inlineStr">
        <is>
          <t>Carinás + SA</t>
        </is>
      </c>
    </row>
    <row r="303">
      <c r="A303" s="167" t="inlineStr">
        <is>
          <t>JACK APPLE DOSE</t>
        </is>
      </c>
      <c r="B303" s="167" t="n"/>
      <c r="C303" s="167" t="n"/>
      <c r="D303" s="167" t="n">
        <v>39</v>
      </c>
      <c r="E303" s="167" t="n">
        <v>3900</v>
      </c>
      <c r="F303" s="167" t="inlineStr">
        <is>
          <t>7898905687139</t>
        </is>
      </c>
      <c r="G303" s="167" t="inlineStr">
        <is>
          <t>22083020</t>
        </is>
      </c>
      <c r="H303" s="167" t="n"/>
      <c r="I303" s="167" t="inlineStr">
        <is>
          <t>Alimentos - 5102</t>
        </is>
      </c>
      <c r="J303" s="167" t="inlineStr">
        <is>
          <t>Carinás</t>
        </is>
      </c>
      <c r="K303" s="167" t="inlineStr">
        <is>
          <t>Sim</t>
        </is>
      </c>
      <c r="L303" s="167" t="inlineStr">
        <is>
          <t>Unidades</t>
        </is>
      </c>
      <c r="M303" s="167" t="inlineStr">
        <is>
          <t>Carinás + SA</t>
        </is>
      </c>
    </row>
    <row r="304">
      <c r="A304" s="167" t="inlineStr">
        <is>
          <t>JACK APPLE GARRAFA</t>
        </is>
      </c>
      <c r="B304" s="167" t="n"/>
      <c r="C304" s="167" t="n"/>
      <c r="D304" s="167" t="n">
        <v>390</v>
      </c>
      <c r="E304" s="167" t="n">
        <v>39000</v>
      </c>
      <c r="F304" s="167" t="inlineStr">
        <is>
          <t>7898905687140</t>
        </is>
      </c>
      <c r="G304" s="167" t="inlineStr">
        <is>
          <t>22083020</t>
        </is>
      </c>
      <c r="H304" s="167" t="n"/>
      <c r="I304" s="167" t="inlineStr">
        <is>
          <t>Alimentos - 5102</t>
        </is>
      </c>
      <c r="J304" s="167" t="inlineStr">
        <is>
          <t>Carinás</t>
        </is>
      </c>
      <c r="K304" s="167" t="inlineStr">
        <is>
          <t>Sim</t>
        </is>
      </c>
      <c r="L304" s="167" t="inlineStr">
        <is>
          <t>Unidades</t>
        </is>
      </c>
      <c r="M304" s="167" t="inlineStr">
        <is>
          <t>Carinás + SA</t>
        </is>
      </c>
    </row>
    <row r="305">
      <c r="A305" s="167" t="inlineStr">
        <is>
          <t>JACK DANIELS DOSE</t>
        </is>
      </c>
      <c r="B305" s="167" t="n"/>
      <c r="C305" s="167" t="n"/>
      <c r="D305" s="167" t="n">
        <v>39</v>
      </c>
      <c r="E305" s="167" t="n">
        <v>3900</v>
      </c>
      <c r="F305" s="167" t="inlineStr">
        <is>
          <t>9003541</t>
        </is>
      </c>
      <c r="G305" s="167" t="inlineStr">
        <is>
          <t>22083020</t>
        </is>
      </c>
      <c r="H305" s="167" t="n"/>
      <c r="I305" s="167" t="inlineStr">
        <is>
          <t>Alimentos - 5102</t>
        </is>
      </c>
      <c r="J305" s="167" t="inlineStr">
        <is>
          <t>Carinás</t>
        </is>
      </c>
      <c r="K305" s="167" t="inlineStr">
        <is>
          <t>Sim</t>
        </is>
      </c>
      <c r="L305" s="167" t="inlineStr">
        <is>
          <t>Unidades</t>
        </is>
      </c>
      <c r="M305" s="167" t="inlineStr">
        <is>
          <t>Carinás + SA</t>
        </is>
      </c>
    </row>
    <row r="306">
      <c r="A306" s="167" t="inlineStr">
        <is>
          <t>JACK DANIELS FIRE DOSE</t>
        </is>
      </c>
      <c r="B306" s="167" t="n"/>
      <c r="C306" s="167" t="n"/>
      <c r="D306" s="167" t="n">
        <v>39</v>
      </c>
      <c r="E306" s="167" t="n">
        <v>3900</v>
      </c>
      <c r="F306" s="167" t="inlineStr">
        <is>
          <t>9003559</t>
        </is>
      </c>
      <c r="G306" s="167" t="inlineStr">
        <is>
          <t>22083020</t>
        </is>
      </c>
      <c r="H306" s="167" t="n"/>
      <c r="I306" s="167" t="inlineStr">
        <is>
          <t>Alimentos - 5102</t>
        </is>
      </c>
      <c r="J306" s="167" t="inlineStr">
        <is>
          <t>Santo André</t>
        </is>
      </c>
      <c r="K306" s="167" t="n"/>
      <c r="L306" s="167" t="n"/>
      <c r="M306" s="167" t="inlineStr">
        <is>
          <t>SA</t>
        </is>
      </c>
    </row>
    <row r="307">
      <c r="A307" s="167" t="inlineStr">
        <is>
          <t>JACK DANIELS FIRE GARRAFA</t>
        </is>
      </c>
      <c r="B307" s="167" t="n"/>
      <c r="C307" s="167" t="inlineStr">
        <is>
          <t>A WHISKIES</t>
        </is>
      </c>
      <c r="D307" s="167" t="n">
        <v>390</v>
      </c>
      <c r="E307" s="167" t="n">
        <v>39000</v>
      </c>
      <c r="F307" s="167" t="inlineStr">
        <is>
          <t>9003558</t>
        </is>
      </c>
      <c r="G307" s="167" t="inlineStr">
        <is>
          <t>22083020</t>
        </is>
      </c>
      <c r="H307" s="167" t="n"/>
      <c r="I307" s="167" t="inlineStr">
        <is>
          <t>Alimentos - 5102</t>
        </is>
      </c>
      <c r="J307" s="167" t="inlineStr">
        <is>
          <t>Carinás</t>
        </is>
      </c>
      <c r="K307" s="167" t="inlineStr">
        <is>
          <t>Sim</t>
        </is>
      </c>
      <c r="L307" s="167" t="inlineStr">
        <is>
          <t>Unidades</t>
        </is>
      </c>
      <c r="M307" s="167" t="inlineStr">
        <is>
          <t>Carinás + SA</t>
        </is>
      </c>
    </row>
    <row r="308">
      <c r="A308" s="167" t="inlineStr">
        <is>
          <t>JACK DANIELS GARRAFA</t>
        </is>
      </c>
      <c r="B308" s="167" t="n"/>
      <c r="C308" s="167" t="n"/>
      <c r="D308" s="167" t="n">
        <v>390</v>
      </c>
      <c r="E308" s="167" t="n">
        <v>39000</v>
      </c>
      <c r="F308" s="167" t="inlineStr">
        <is>
          <t>9003543</t>
        </is>
      </c>
      <c r="G308" s="167" t="inlineStr">
        <is>
          <t>22083020</t>
        </is>
      </c>
      <c r="H308" s="167" t="n"/>
      <c r="I308" s="167" t="inlineStr">
        <is>
          <t>Alimentos - 5102</t>
        </is>
      </c>
      <c r="J308" s="167" t="inlineStr">
        <is>
          <t>Carinás</t>
        </is>
      </c>
      <c r="K308" s="167" t="inlineStr">
        <is>
          <t>Sim</t>
        </is>
      </c>
      <c r="L308" s="167" t="inlineStr">
        <is>
          <t>Unidades</t>
        </is>
      </c>
      <c r="M308" s="167" t="inlineStr">
        <is>
          <t>Carinás + SA</t>
        </is>
      </c>
    </row>
    <row r="309">
      <c r="A309" s="167" t="inlineStr">
        <is>
          <t>JACK DANIELS HONEY DOSE</t>
        </is>
      </c>
      <c r="B309" s="167" t="n"/>
      <c r="C309" s="167" t="inlineStr">
        <is>
          <t>A WHISKIES</t>
        </is>
      </c>
      <c r="D309" s="167" t="n">
        <v>39</v>
      </c>
      <c r="E309" s="167" t="n">
        <v>3900</v>
      </c>
      <c r="F309" s="167" t="inlineStr">
        <is>
          <t>9003556</t>
        </is>
      </c>
      <c r="G309" s="167" t="inlineStr">
        <is>
          <t>22083020</t>
        </is>
      </c>
      <c r="H309" s="167" t="n"/>
      <c r="I309" s="167" t="inlineStr">
        <is>
          <t>Alimentos - 5102</t>
        </is>
      </c>
      <c r="J309" s="167" t="inlineStr">
        <is>
          <t>Carinás</t>
        </is>
      </c>
      <c r="K309" s="167" t="inlineStr">
        <is>
          <t>Sim</t>
        </is>
      </c>
      <c r="L309" s="167" t="inlineStr">
        <is>
          <t>Unidades</t>
        </is>
      </c>
      <c r="M309" s="167" t="inlineStr">
        <is>
          <t>Carinás + SA</t>
        </is>
      </c>
    </row>
    <row r="310">
      <c r="A310" s="167" t="inlineStr">
        <is>
          <t>JACK DANIELS HONEY GARRAFA</t>
        </is>
      </c>
      <c r="B310" s="167" t="n"/>
      <c r="C310" s="167" t="inlineStr">
        <is>
          <t>A WHISKIES</t>
        </is>
      </c>
      <c r="D310" s="167" t="n">
        <v>390</v>
      </c>
      <c r="E310" s="167" t="n">
        <v>39000</v>
      </c>
      <c r="F310" s="167" t="inlineStr">
        <is>
          <t>9003555</t>
        </is>
      </c>
      <c r="G310" s="167" t="inlineStr">
        <is>
          <t>22083020</t>
        </is>
      </c>
      <c r="H310" s="167" t="n"/>
      <c r="I310" s="167" t="inlineStr">
        <is>
          <t>Alimentos - 5102</t>
        </is>
      </c>
      <c r="J310" s="167" t="inlineStr">
        <is>
          <t>Carinás</t>
        </is>
      </c>
      <c r="K310" s="167" t="inlineStr">
        <is>
          <t>Sim</t>
        </is>
      </c>
      <c r="L310" s="167" t="inlineStr">
        <is>
          <t>Unidades</t>
        </is>
      </c>
      <c r="M310" s="167" t="inlineStr">
        <is>
          <t>Carinás + SA</t>
        </is>
      </c>
    </row>
    <row r="311">
      <c r="A311" s="167" t="inlineStr">
        <is>
          <t>JACK E COKE</t>
        </is>
      </c>
      <c r="B311" s="167" t="n"/>
      <c r="C311" s="167" t="n"/>
      <c r="D311" s="167" t="n">
        <v>39.99</v>
      </c>
      <c r="E311" s="167" t="n">
        <v>3999</v>
      </c>
      <c r="F311" s="167" t="inlineStr">
        <is>
          <t>9003545</t>
        </is>
      </c>
      <c r="G311" s="167" t="inlineStr">
        <is>
          <t>22083020</t>
        </is>
      </c>
      <c r="H311" s="167" t="n"/>
      <c r="I311" s="167" t="inlineStr">
        <is>
          <t>Alimentos - 5102</t>
        </is>
      </c>
      <c r="J311" s="167" t="inlineStr">
        <is>
          <t>Carinás</t>
        </is>
      </c>
      <c r="K311" s="167" t="inlineStr">
        <is>
          <t>Sim</t>
        </is>
      </c>
      <c r="L311" s="167" t="inlineStr">
        <is>
          <t>Unidades</t>
        </is>
      </c>
      <c r="M311" s="167" t="inlineStr">
        <is>
          <t>Carinás + SA</t>
        </is>
      </c>
    </row>
    <row r="312">
      <c r="A312" s="167" t="inlineStr">
        <is>
          <t>JACK GENTLEMAN DOSE</t>
        </is>
      </c>
      <c r="B312" s="167" t="n"/>
      <c r="C312" s="167" t="n"/>
      <c r="D312" s="167" t="n">
        <v>48</v>
      </c>
      <c r="E312" s="167" t="n">
        <v>4800</v>
      </c>
      <c r="F312" s="167" t="inlineStr">
        <is>
          <t>7898905687143</t>
        </is>
      </c>
      <c r="G312" s="167" t="inlineStr">
        <is>
          <t>22083020</t>
        </is>
      </c>
      <c r="H312" s="167" t="n"/>
      <c r="I312" s="167" t="inlineStr">
        <is>
          <t>Alimentos - 5102</t>
        </is>
      </c>
      <c r="J312" s="167" t="inlineStr">
        <is>
          <t>Carinás</t>
        </is>
      </c>
      <c r="K312" s="167" t="inlineStr">
        <is>
          <t>Sim</t>
        </is>
      </c>
      <c r="L312" s="167" t="inlineStr">
        <is>
          <t>Unidades</t>
        </is>
      </c>
      <c r="M312" s="167" t="inlineStr">
        <is>
          <t>Carinás + SA</t>
        </is>
      </c>
    </row>
    <row r="313">
      <c r="A313" s="167" t="inlineStr">
        <is>
          <t>JACK GENTLEMAN GARRAFA</t>
        </is>
      </c>
      <c r="B313" s="167" t="n"/>
      <c r="C313" s="167" t="n"/>
      <c r="D313" s="167" t="n">
        <v>480</v>
      </c>
      <c r="E313" s="167" t="n">
        <v>48000</v>
      </c>
      <c r="F313" s="167" t="inlineStr">
        <is>
          <t>7898905687141</t>
        </is>
      </c>
      <c r="G313" s="167" t="inlineStr">
        <is>
          <t>22083020</t>
        </is>
      </c>
      <c r="H313" s="167" t="n"/>
      <c r="I313" s="167" t="inlineStr">
        <is>
          <t>Alimentos - 5102</t>
        </is>
      </c>
      <c r="J313" s="167" t="inlineStr">
        <is>
          <t>Carinás</t>
        </is>
      </c>
      <c r="K313" s="167" t="inlineStr">
        <is>
          <t>Sim</t>
        </is>
      </c>
      <c r="L313" s="167" t="inlineStr">
        <is>
          <t>Unidades</t>
        </is>
      </c>
      <c r="M313" s="167" t="inlineStr">
        <is>
          <t>Carinás + SA</t>
        </is>
      </c>
    </row>
    <row r="314">
      <c r="A314" s="167" t="inlineStr">
        <is>
          <t>Jarra Suco Abacaxi</t>
        </is>
      </c>
      <c r="B314" s="167" t="n"/>
      <c r="C314" s="167" t="n"/>
      <c r="D314" s="167" t="n">
        <v>41.99</v>
      </c>
      <c r="E314" s="167" t="n">
        <v>4199</v>
      </c>
      <c r="F314" s="167" t="inlineStr">
        <is>
          <t>78989056877274</t>
        </is>
      </c>
      <c r="G314" s="167" t="inlineStr">
        <is>
          <t>20094900</t>
        </is>
      </c>
      <c r="H314" s="167" t="n"/>
      <c r="I314" s="167" t="inlineStr">
        <is>
          <t>Alimentos - 5102</t>
        </is>
      </c>
      <c r="J314" s="167" t="inlineStr">
        <is>
          <t>Carinás</t>
        </is>
      </c>
      <c r="K314" s="167" t="inlineStr">
        <is>
          <t>Não</t>
        </is>
      </c>
      <c r="L314" s="167" t="inlineStr">
        <is>
          <t>Unidades</t>
        </is>
      </c>
      <c r="M314" s="167" t="inlineStr">
        <is>
          <t>Carinás + SA</t>
        </is>
      </c>
    </row>
    <row r="315">
      <c r="A315" s="167" t="inlineStr">
        <is>
          <t>Jarra Suco Abacaxi c Hortelã</t>
        </is>
      </c>
      <c r="B315" s="167" t="n"/>
      <c r="C315" s="167" t="n"/>
      <c r="D315" s="167" t="n">
        <v>41.99</v>
      </c>
      <c r="E315" s="167" t="n">
        <v>4199</v>
      </c>
      <c r="F315" s="167" t="inlineStr">
        <is>
          <t>78989056877278</t>
        </is>
      </c>
      <c r="G315" s="167" t="inlineStr">
        <is>
          <t>20094900</t>
        </is>
      </c>
      <c r="H315" s="167" t="n"/>
      <c r="I315" s="167" t="inlineStr">
        <is>
          <t>Alimentos - 5102</t>
        </is>
      </c>
      <c r="J315" s="167" t="inlineStr">
        <is>
          <t>Carinás</t>
        </is>
      </c>
      <c r="K315" s="167" t="inlineStr">
        <is>
          <t>Não</t>
        </is>
      </c>
      <c r="L315" s="167" t="inlineStr">
        <is>
          <t>Unidades</t>
        </is>
      </c>
      <c r="M315" s="167" t="inlineStr">
        <is>
          <t>Carinás + SA</t>
        </is>
      </c>
    </row>
    <row r="316">
      <c r="A316" s="167" t="inlineStr">
        <is>
          <t>Jarra Suco Laranja</t>
        </is>
      </c>
      <c r="B316" s="167" t="n"/>
      <c r="C316" s="167" t="n"/>
      <c r="D316" s="167" t="n">
        <v>54.99</v>
      </c>
      <c r="E316" s="167" t="n">
        <v>5499</v>
      </c>
      <c r="F316" s="167" t="inlineStr">
        <is>
          <t>78989056877273</t>
        </is>
      </c>
      <c r="G316" s="167" t="inlineStr">
        <is>
          <t>20091200</t>
        </is>
      </c>
      <c r="H316" s="167" t="n"/>
      <c r="I316" s="167" t="inlineStr">
        <is>
          <t>Alimentos - 5102</t>
        </is>
      </c>
      <c r="J316" s="167" t="inlineStr">
        <is>
          <t>Carinás</t>
        </is>
      </c>
      <c r="K316" s="167" t="inlineStr">
        <is>
          <t>Não</t>
        </is>
      </c>
      <c r="L316" s="167" t="inlineStr">
        <is>
          <t>Unidades</t>
        </is>
      </c>
      <c r="M316" s="167" t="inlineStr">
        <is>
          <t>Carinás + SA</t>
        </is>
      </c>
    </row>
    <row r="317">
      <c r="A317" s="167" t="inlineStr">
        <is>
          <t>Jarra Suco Limão</t>
        </is>
      </c>
      <c r="B317" s="167" t="n"/>
      <c r="C317" s="167" t="n"/>
      <c r="D317" s="167" t="n">
        <v>54.99</v>
      </c>
      <c r="E317" s="167" t="n">
        <v>5499</v>
      </c>
      <c r="F317" s="167" t="inlineStr">
        <is>
          <t>78989056877275</t>
        </is>
      </c>
      <c r="G317" s="167" t="inlineStr">
        <is>
          <t>20091200</t>
        </is>
      </c>
      <c r="H317" s="167" t="n"/>
      <c r="I317" s="167" t="inlineStr">
        <is>
          <t>Alimentos - 5102</t>
        </is>
      </c>
      <c r="J317" s="167" t="inlineStr">
        <is>
          <t>Carinás</t>
        </is>
      </c>
      <c r="K317" s="167" t="inlineStr">
        <is>
          <t>Não</t>
        </is>
      </c>
      <c r="L317" s="167" t="inlineStr">
        <is>
          <t>Unidades</t>
        </is>
      </c>
      <c r="M317" s="167" t="inlineStr">
        <is>
          <t>Carinás + SA</t>
        </is>
      </c>
    </row>
    <row r="318">
      <c r="A318" s="167" t="inlineStr">
        <is>
          <t>Jarra Suco Maracujá</t>
        </is>
      </c>
      <c r="B318" s="167" t="n"/>
      <c r="C318" s="167" t="n"/>
      <c r="D318" s="167" t="n">
        <v>41.99</v>
      </c>
      <c r="E318" s="167" t="n">
        <v>4199</v>
      </c>
      <c r="F318" s="167" t="inlineStr">
        <is>
          <t>78989056877276</t>
        </is>
      </c>
      <c r="G318" s="167" t="inlineStr">
        <is>
          <t>20093900</t>
        </is>
      </c>
      <c r="H318" s="167" t="n"/>
      <c r="I318" s="167" t="inlineStr">
        <is>
          <t>Alimentos - 5102</t>
        </is>
      </c>
      <c r="J318" s="167" t="inlineStr">
        <is>
          <t>Carinás</t>
        </is>
      </c>
      <c r="K318" s="167" t="inlineStr">
        <is>
          <t>Não</t>
        </is>
      </c>
      <c r="L318" s="167" t="inlineStr">
        <is>
          <t>Unidades</t>
        </is>
      </c>
      <c r="M318" s="167" t="inlineStr">
        <is>
          <t>Carinás + SA</t>
        </is>
      </c>
    </row>
    <row r="319">
      <c r="A319" s="167" t="inlineStr">
        <is>
          <t>Jarra Suco Morango</t>
        </is>
      </c>
      <c r="B319" s="167" t="n"/>
      <c r="C319" s="167" t="n"/>
      <c r="D319" s="167" t="n">
        <v>41.99</v>
      </c>
      <c r="E319" s="167" t="n">
        <v>4199</v>
      </c>
      <c r="F319" s="167" t="inlineStr">
        <is>
          <t>78989056877277</t>
        </is>
      </c>
      <c r="G319" s="167" t="inlineStr">
        <is>
          <t>20098100</t>
        </is>
      </c>
      <c r="H319" s="167" t="n"/>
      <c r="I319" s="167" t="inlineStr">
        <is>
          <t>Alimentos - 5102</t>
        </is>
      </c>
      <c r="J319" s="167" t="inlineStr">
        <is>
          <t>Carinás</t>
        </is>
      </c>
      <c r="K319" s="167" t="inlineStr">
        <is>
          <t>Não</t>
        </is>
      </c>
      <c r="L319" s="167" t="inlineStr">
        <is>
          <t>Unidades</t>
        </is>
      </c>
      <c r="M319" s="167" t="inlineStr">
        <is>
          <t>Carinás + SA</t>
        </is>
      </c>
    </row>
    <row r="320">
      <c r="A320" s="167" t="inlineStr">
        <is>
          <t>JOGO CHURRASCO INOX 3 PC POLYWO</t>
        </is>
      </c>
      <c r="B320" s="167" t="n"/>
      <c r="C320" s="167" t="n"/>
      <c r="D320" s="167" t="n">
        <v>151.9</v>
      </c>
      <c r="E320" s="167" t="n">
        <v>15190</v>
      </c>
      <c r="F320" s="167" t="inlineStr">
        <is>
          <t>9003343</t>
        </is>
      </c>
      <c r="G320" s="167" t="inlineStr">
        <is>
          <t>82152000</t>
        </is>
      </c>
      <c r="H320" s="167" t="n"/>
      <c r="I320" s="167" t="inlineStr">
        <is>
          <t>Alimentos - 5102</t>
        </is>
      </c>
      <c r="J320" s="167" t="inlineStr">
        <is>
          <t>Carinás</t>
        </is>
      </c>
      <c r="K320" s="167" t="inlineStr">
        <is>
          <t>Sim</t>
        </is>
      </c>
      <c r="L320" s="167" t="inlineStr">
        <is>
          <t>Unidades</t>
        </is>
      </c>
      <c r="M320" s="167" t="inlineStr">
        <is>
          <t>Carinás</t>
        </is>
      </c>
    </row>
    <row r="321">
      <c r="A321" s="167" t="inlineStr">
        <is>
          <t>KAFTA</t>
        </is>
      </c>
      <c r="B321" s="167" t="n"/>
      <c r="C321" s="167" t="n"/>
      <c r="D321" s="167" t="n">
        <v>13.99</v>
      </c>
      <c r="E321" s="167" t="n">
        <v>1399</v>
      </c>
      <c r="F321" s="167" t="inlineStr">
        <is>
          <t>10037</t>
        </is>
      </c>
      <c r="G321" s="167" t="inlineStr">
        <is>
          <t>21069090</t>
        </is>
      </c>
      <c r="H321" s="167" t="n"/>
      <c r="I321" s="167" t="inlineStr">
        <is>
          <t>Alimentos - 5102</t>
        </is>
      </c>
      <c r="J321" s="167" t="inlineStr">
        <is>
          <t>Carinás</t>
        </is>
      </c>
      <c r="K321" s="167" t="inlineStr">
        <is>
          <t>Sim</t>
        </is>
      </c>
      <c r="L321" s="167" t="inlineStr">
        <is>
          <t>Unidades</t>
        </is>
      </c>
      <c r="M321" s="167" t="inlineStr">
        <is>
          <t>Carinás + SA + Delivery</t>
        </is>
      </c>
    </row>
    <row r="322">
      <c r="A322" s="167" t="inlineStr">
        <is>
          <t>KAFTA IN NATURA</t>
        </is>
      </c>
      <c r="B322" s="167" t="n"/>
      <c r="C322" s="167" t="n"/>
      <c r="D322" s="167" t="n">
        <v>29.9</v>
      </c>
      <c r="E322" s="167" t="n">
        <v>2990</v>
      </c>
      <c r="F322" s="167" t="inlineStr">
        <is>
          <t>10008</t>
        </is>
      </c>
      <c r="G322" s="167" t="inlineStr">
        <is>
          <t>21069090</t>
        </is>
      </c>
      <c r="H322" s="167" t="n"/>
      <c r="I322" s="167" t="inlineStr">
        <is>
          <t>Alimentos - 5102</t>
        </is>
      </c>
      <c r="J322" s="167" t="inlineStr">
        <is>
          <t>Carinás</t>
        </is>
      </c>
      <c r="K322" s="167" t="inlineStr">
        <is>
          <t>Sim</t>
        </is>
      </c>
      <c r="L322" s="167" t="inlineStr">
        <is>
          <t>Unidades</t>
        </is>
      </c>
      <c r="M322" s="167" t="inlineStr">
        <is>
          <t>Carinás + SA + Delivery</t>
        </is>
      </c>
    </row>
    <row r="323">
      <c r="A323" s="167" t="inlineStr">
        <is>
          <t>KIBE</t>
        </is>
      </c>
      <c r="B323" s="167" t="n"/>
      <c r="C323" s="167" t="n"/>
      <c r="D323" s="167" t="n">
        <v>14.99</v>
      </c>
      <c r="E323" s="167" t="n">
        <v>1499</v>
      </c>
      <c r="F323" s="167" t="inlineStr">
        <is>
          <t>40012</t>
        </is>
      </c>
      <c r="G323" s="167" t="inlineStr">
        <is>
          <t>16025000</t>
        </is>
      </c>
      <c r="H323" s="167" t="n"/>
      <c r="I323" s="167" t="inlineStr">
        <is>
          <t>Alimentos - 5102</t>
        </is>
      </c>
      <c r="J323" s="167" t="inlineStr">
        <is>
          <t>Carinás</t>
        </is>
      </c>
      <c r="K323" s="167" t="inlineStr">
        <is>
          <t>Sim</t>
        </is>
      </c>
      <c r="L323" s="167" t="inlineStr">
        <is>
          <t>Unidades</t>
        </is>
      </c>
      <c r="M323" s="167" t="inlineStr">
        <is>
          <t>Carinás + SA</t>
        </is>
      </c>
    </row>
    <row r="324">
      <c r="A324" s="167" t="inlineStr">
        <is>
          <t>KIT 1:FAROFA/ARROZ BRANCO/VINAGRETE</t>
        </is>
      </c>
      <c r="B324" s="167" t="inlineStr">
        <is>
          <t>Porcao</t>
        </is>
      </c>
      <c r="C324" s="167" t="inlineStr">
        <is>
          <t>ACOMPANHAMENTOS</t>
        </is>
      </c>
      <c r="D324" s="167" t="n">
        <v>0</v>
      </c>
      <c r="E324" s="167" t="n">
        <v>0</v>
      </c>
      <c r="F324" s="167" t="inlineStr">
        <is>
          <t>9003307</t>
        </is>
      </c>
      <c r="G324" s="167" t="inlineStr">
        <is>
          <t>21039091</t>
        </is>
      </c>
      <c r="H324" s="167" t="n"/>
      <c r="I324" s="167" t="inlineStr">
        <is>
          <t>Alimentos - 5102</t>
        </is>
      </c>
      <c r="J324" s="167" t="inlineStr">
        <is>
          <t>Carinás</t>
        </is>
      </c>
      <c r="K324" s="167" t="inlineStr">
        <is>
          <t>Sim</t>
        </is>
      </c>
      <c r="L324" s="167" t="inlineStr">
        <is>
          <t>Unidades</t>
        </is>
      </c>
      <c r="M324" s="167" t="inlineStr">
        <is>
          <t>Delivery</t>
        </is>
      </c>
    </row>
    <row r="325">
      <c r="A325" s="167" t="inlineStr">
        <is>
          <t>KIT 2:ARROZ BIRO BIRO/FAROFA/VINAGRETE</t>
        </is>
      </c>
      <c r="B325" s="167" t="inlineStr">
        <is>
          <t>Porcao</t>
        </is>
      </c>
      <c r="C325" s="167" t="inlineStr">
        <is>
          <t>ACOMPANHAMENTOS</t>
        </is>
      </c>
      <c r="D325" s="167" t="n">
        <v>0</v>
      </c>
      <c r="E325" s="167" t="n">
        <v>0</v>
      </c>
      <c r="F325" s="167" t="inlineStr">
        <is>
          <t>9003308</t>
        </is>
      </c>
      <c r="G325" s="167" t="inlineStr">
        <is>
          <t>21039091</t>
        </is>
      </c>
      <c r="H325" s="167" t="n"/>
      <c r="I325" s="167" t="inlineStr">
        <is>
          <t>Alimentos - 5102</t>
        </is>
      </c>
      <c r="J325" s="167" t="inlineStr">
        <is>
          <t>Carinás</t>
        </is>
      </c>
      <c r="K325" s="167" t="inlineStr">
        <is>
          <t>Sim</t>
        </is>
      </c>
      <c r="L325" s="167" t="inlineStr">
        <is>
          <t>Unidades</t>
        </is>
      </c>
      <c r="M325" s="167" t="inlineStr">
        <is>
          <t>Delivery</t>
        </is>
      </c>
    </row>
    <row r="326">
      <c r="A326" s="167" t="inlineStr">
        <is>
          <t>KIT CERVEJA DO QUINTAL</t>
        </is>
      </c>
      <c r="B326" s="167" t="n"/>
      <c r="C326" s="167" t="inlineStr">
        <is>
          <t>OUTROS</t>
        </is>
      </c>
      <c r="D326" s="167" t="n">
        <v>69.90000000000001</v>
      </c>
      <c r="E326" s="167" t="n">
        <v>6990</v>
      </c>
      <c r="F326" s="167" t="inlineStr">
        <is>
          <t>7898905687706</t>
        </is>
      </c>
      <c r="G326" s="167" t="inlineStr">
        <is>
          <t>22030000</t>
        </is>
      </c>
      <c r="H326" s="167" t="n"/>
      <c r="I326" s="167" t="inlineStr">
        <is>
          <t>Bebidas - 5405 - 1</t>
        </is>
      </c>
      <c r="J326" s="167" t="inlineStr">
        <is>
          <t>Carinás</t>
        </is>
      </c>
      <c r="K326" s="167" t="inlineStr">
        <is>
          <t>Sim</t>
        </is>
      </c>
      <c r="L326" s="167" t="inlineStr">
        <is>
          <t>Unidades</t>
        </is>
      </c>
      <c r="M326" s="167" t="inlineStr">
        <is>
          <t>Carinás + SA</t>
        </is>
      </c>
    </row>
    <row r="327">
      <c r="A327" s="167" t="inlineStr">
        <is>
          <t>KIT FAROFA E VINAGRETE (EXECUTIVO)</t>
        </is>
      </c>
      <c r="B327" s="167" t="n"/>
      <c r="C327" s="167" t="inlineStr">
        <is>
          <t xml:space="preserve"> ALMOÇO EXECUTIVO</t>
        </is>
      </c>
      <c r="D327" s="167" t="n">
        <v>9.9</v>
      </c>
      <c r="E327" s="167" t="n">
        <v>990</v>
      </c>
      <c r="F327" s="167" t="inlineStr">
        <is>
          <t>789890568772109</t>
        </is>
      </c>
      <c r="G327" s="167" t="inlineStr">
        <is>
          <t>21069090</t>
        </is>
      </c>
      <c r="H327" s="167" t="inlineStr">
        <is>
          <t>1709700</t>
        </is>
      </c>
      <c r="I327" s="167" t="inlineStr">
        <is>
          <t>Alimentos - 5102</t>
        </is>
      </c>
      <c r="J327" s="167" t="inlineStr">
        <is>
          <t>Carinás</t>
        </is>
      </c>
      <c r="K327" s="167" t="inlineStr">
        <is>
          <t>Sim</t>
        </is>
      </c>
      <c r="L327" s="167" t="inlineStr">
        <is>
          <t>Unidades</t>
        </is>
      </c>
      <c r="M327" s="167" t="inlineStr">
        <is>
          <t>Carinás</t>
        </is>
      </c>
    </row>
    <row r="328">
      <c r="A328" s="167" t="inlineStr">
        <is>
          <t>KIT GIN</t>
        </is>
      </c>
      <c r="B328" s="167" t="n"/>
      <c r="C328" s="167" t="inlineStr">
        <is>
          <t>A COMBO</t>
        </is>
      </c>
      <c r="D328" s="167" t="n">
        <v>80</v>
      </c>
      <c r="E328" s="167" t="n">
        <v>8000</v>
      </c>
      <c r="F328" s="167" t="inlineStr">
        <is>
          <t>7898905687511</t>
        </is>
      </c>
      <c r="G328" s="167" t="inlineStr">
        <is>
          <t>22085000</t>
        </is>
      </c>
      <c r="H328" s="167" t="n"/>
      <c r="I328" s="167" t="inlineStr">
        <is>
          <t>Alimentos - 5102</t>
        </is>
      </c>
      <c r="J328" s="167" t="inlineStr">
        <is>
          <t>Carinás</t>
        </is>
      </c>
      <c r="K328" s="167" t="inlineStr">
        <is>
          <t>Sim</t>
        </is>
      </c>
      <c r="L328" s="167" t="inlineStr">
        <is>
          <t>Unidades</t>
        </is>
      </c>
      <c r="M328" s="167" t="inlineStr">
        <is>
          <t>Carinás + SA</t>
        </is>
      </c>
    </row>
    <row r="329">
      <c r="A329" s="167" t="inlineStr">
        <is>
          <t>KIT MASSINHA</t>
        </is>
      </c>
      <c r="B329" s="167" t="n"/>
      <c r="C329" s="167" t="n"/>
      <c r="D329" s="167" t="n">
        <v>24.9</v>
      </c>
      <c r="E329" s="167" t="n">
        <v>2490</v>
      </c>
      <c r="F329" s="167" t="inlineStr">
        <is>
          <t>78989056877389</t>
        </is>
      </c>
      <c r="G329" s="167" t="inlineStr">
        <is>
          <t>95043000</t>
        </is>
      </c>
      <c r="H329" s="167" t="n"/>
      <c r="I329" s="167" t="inlineStr">
        <is>
          <t>Alimentos - 5102</t>
        </is>
      </c>
      <c r="J329" s="167" t="inlineStr">
        <is>
          <t>Carinás</t>
        </is>
      </c>
      <c r="K329" s="167" t="inlineStr">
        <is>
          <t>Não</t>
        </is>
      </c>
      <c r="L329" s="167" t="inlineStr">
        <is>
          <t>Unidades</t>
        </is>
      </c>
      <c r="M329" s="167" t="inlineStr">
        <is>
          <t>Carinás</t>
        </is>
      </c>
    </row>
    <row r="330">
      <c r="A330" s="167" t="inlineStr">
        <is>
          <t>LAMBRUSCO</t>
        </is>
      </c>
      <c r="B330" s="167" t="n"/>
      <c r="C330" s="167" t="n"/>
      <c r="D330" s="167" t="n">
        <v>135.99</v>
      </c>
      <c r="E330" s="167" t="n">
        <v>13599</v>
      </c>
      <c r="F330" s="167" t="inlineStr">
        <is>
          <t>300202</t>
        </is>
      </c>
      <c r="G330" s="167" t="inlineStr">
        <is>
          <t>22042100</t>
        </is>
      </c>
      <c r="H330" s="167" t="n"/>
      <c r="I330" s="167" t="inlineStr">
        <is>
          <t>Bebidas - 5405 - 1</t>
        </is>
      </c>
      <c r="J330" s="167" t="inlineStr">
        <is>
          <t>Carinás</t>
        </is>
      </c>
      <c r="K330" s="167" t="inlineStr">
        <is>
          <t>Sim</t>
        </is>
      </c>
      <c r="L330" s="167" t="inlineStr">
        <is>
          <t>Unidades</t>
        </is>
      </c>
      <c r="M330" s="167" t="inlineStr">
        <is>
          <t>Carinás + SA</t>
        </is>
      </c>
    </row>
    <row r="331">
      <c r="A331" s="167" t="inlineStr">
        <is>
          <t>LEITE</t>
        </is>
      </c>
      <c r="B331" s="167" t="n"/>
      <c r="C331" s="167" t="inlineStr">
        <is>
          <t>A CAFÉ DA MANHA</t>
        </is>
      </c>
      <c r="D331" s="167" t="n">
        <v>0</v>
      </c>
      <c r="E331" s="167" t="n">
        <v>0</v>
      </c>
      <c r="F331" s="167" t="inlineStr">
        <is>
          <t>7898905687180</t>
        </is>
      </c>
      <c r="G331" s="167" t="inlineStr">
        <is>
          <t>15162000</t>
        </is>
      </c>
      <c r="H331" s="167" t="n"/>
      <c r="I331" s="167" t="inlineStr">
        <is>
          <t>Alimentos - 5102</t>
        </is>
      </c>
      <c r="J331" s="167" t="inlineStr">
        <is>
          <t>Carinás</t>
        </is>
      </c>
      <c r="K331" s="167" t="inlineStr">
        <is>
          <t>Sim</t>
        </is>
      </c>
      <c r="L331" s="167" t="inlineStr">
        <is>
          <t>Unidades</t>
        </is>
      </c>
      <c r="M331" s="167" t="inlineStr">
        <is>
          <t>Carinás + SA</t>
        </is>
      </c>
    </row>
    <row r="332">
      <c r="A332" s="167" t="inlineStr">
        <is>
          <t>LICOR 43 DOSE</t>
        </is>
      </c>
      <c r="B332" s="167" t="n"/>
      <c r="C332" s="167" t="n"/>
      <c r="D332" s="167" t="n">
        <v>32</v>
      </c>
      <c r="E332" s="167" t="n">
        <v>3200</v>
      </c>
      <c r="F332" s="167" t="inlineStr">
        <is>
          <t>102006</t>
        </is>
      </c>
      <c r="G332" s="167" t="inlineStr">
        <is>
          <t>22087000</t>
        </is>
      </c>
      <c r="H332" s="167" t="n"/>
      <c r="I332" s="167" t="inlineStr">
        <is>
          <t>Alimentos - 5102</t>
        </is>
      </c>
      <c r="J332" s="167" t="inlineStr">
        <is>
          <t>Carinás</t>
        </is>
      </c>
      <c r="K332" s="167" t="inlineStr">
        <is>
          <t>Sim</t>
        </is>
      </c>
      <c r="L332" s="167" t="inlineStr">
        <is>
          <t>Unidades</t>
        </is>
      </c>
      <c r="M332" s="167" t="inlineStr">
        <is>
          <t>Carinás + SA</t>
        </is>
      </c>
    </row>
    <row r="333">
      <c r="A333" s="167" t="inlineStr">
        <is>
          <t>LICOR 43 GARRAFA</t>
        </is>
      </c>
      <c r="B333" s="167" t="n"/>
      <c r="C333" s="167" t="n"/>
      <c r="D333" s="167" t="n">
        <v>349</v>
      </c>
      <c r="E333" s="167" t="n">
        <v>34900</v>
      </c>
      <c r="F333" s="167" t="inlineStr">
        <is>
          <t>9003571</t>
        </is>
      </c>
      <c r="G333" s="167" t="inlineStr">
        <is>
          <t>22087000</t>
        </is>
      </c>
      <c r="H333" s="167" t="n"/>
      <c r="I333" s="167" t="inlineStr">
        <is>
          <t>Alimentos - 5102</t>
        </is>
      </c>
      <c r="J333" s="167" t="inlineStr">
        <is>
          <t>Carinás</t>
        </is>
      </c>
      <c r="K333" s="167" t="inlineStr">
        <is>
          <t>Sim</t>
        </is>
      </c>
      <c r="L333" s="167" t="inlineStr">
        <is>
          <t>Unidades</t>
        </is>
      </c>
      <c r="M333" s="167" t="inlineStr">
        <is>
          <t>Carinás + SA</t>
        </is>
      </c>
    </row>
    <row r="334">
      <c r="A334" s="167" t="inlineStr">
        <is>
          <t>LICOR BAUNY DOSE</t>
        </is>
      </c>
      <c r="B334" s="167" t="n"/>
      <c r="C334" s="167" t="n"/>
      <c r="D334" s="167" t="n">
        <v>22</v>
      </c>
      <c r="E334" s="167" t="n">
        <v>2200</v>
      </c>
      <c r="F334" s="167" t="inlineStr">
        <is>
          <t>78989056877195</t>
        </is>
      </c>
      <c r="G334" s="167" t="inlineStr">
        <is>
          <t>22087000</t>
        </is>
      </c>
      <c r="H334" s="167" t="n"/>
      <c r="I334" s="167" t="inlineStr">
        <is>
          <t>Alimentos - 5102</t>
        </is>
      </c>
      <c r="J334" s="167" t="inlineStr">
        <is>
          <t>Carinás</t>
        </is>
      </c>
      <c r="K334" s="167" t="inlineStr">
        <is>
          <t>Não</t>
        </is>
      </c>
      <c r="L334" s="167" t="inlineStr">
        <is>
          <t>Unidades</t>
        </is>
      </c>
      <c r="M334" s="167" t="inlineStr">
        <is>
          <t>Carinás + SA</t>
        </is>
      </c>
    </row>
    <row r="335">
      <c r="A335" s="167" t="inlineStr">
        <is>
          <t>LICOR BAUNY GARRAFA</t>
        </is>
      </c>
      <c r="B335" s="167" t="n"/>
      <c r="C335" s="167" t="n"/>
      <c r="D335" s="167" t="n">
        <v>198</v>
      </c>
      <c r="E335" s="167" t="n">
        <v>19800</v>
      </c>
      <c r="F335" s="167" t="inlineStr">
        <is>
          <t>78989056877196</t>
        </is>
      </c>
      <c r="G335" s="167" t="inlineStr">
        <is>
          <t>22087000</t>
        </is>
      </c>
      <c r="H335" s="167" t="n"/>
      <c r="I335" s="167" t="inlineStr">
        <is>
          <t>Alimentos - 5102</t>
        </is>
      </c>
      <c r="J335" s="167" t="inlineStr">
        <is>
          <t>Carinás</t>
        </is>
      </c>
      <c r="K335" s="167" t="inlineStr">
        <is>
          <t>Não</t>
        </is>
      </c>
      <c r="L335" s="167" t="inlineStr">
        <is>
          <t>Unidades</t>
        </is>
      </c>
      <c r="M335" s="167" t="inlineStr">
        <is>
          <t>Carinás + SA</t>
        </is>
      </c>
    </row>
    <row r="336">
      <c r="A336" s="167" t="inlineStr">
        <is>
          <t>LICOR DE COCO ANIVERSARIO</t>
        </is>
      </c>
      <c r="B336" s="167" t="n"/>
      <c r="C336" s="167" t="n"/>
      <c r="D336" s="167" t="n">
        <v>0</v>
      </c>
      <c r="E336" s="167" t="n">
        <v>0</v>
      </c>
      <c r="F336" s="167" t="inlineStr">
        <is>
          <t>78989056877246</t>
        </is>
      </c>
      <c r="G336" s="167" t="inlineStr">
        <is>
          <t>22087000</t>
        </is>
      </c>
      <c r="H336" s="167" t="n"/>
      <c r="I336" s="167" t="inlineStr">
        <is>
          <t>Alimentos - 5102</t>
        </is>
      </c>
      <c r="J336" s="167" t="inlineStr">
        <is>
          <t>Carinás</t>
        </is>
      </c>
      <c r="K336" s="167" t="inlineStr">
        <is>
          <t>Não</t>
        </is>
      </c>
      <c r="L336" s="167" t="inlineStr">
        <is>
          <t>Unidades</t>
        </is>
      </c>
      <c r="M336" s="167" t="inlineStr">
        <is>
          <t>Carinás + SA</t>
        </is>
      </c>
    </row>
    <row r="337">
      <c r="A337" s="167" t="inlineStr">
        <is>
          <t>LICOR MELLY GARRAFA</t>
        </is>
      </c>
      <c r="B337" s="167" t="n"/>
      <c r="C337" s="167" t="n"/>
      <c r="D337" s="167" t="n">
        <v>99</v>
      </c>
      <c r="E337" s="167" t="n">
        <v>9900</v>
      </c>
      <c r="F337" s="167" t="inlineStr">
        <is>
          <t>78989056877397</t>
        </is>
      </c>
      <c r="G337" s="167" t="inlineStr">
        <is>
          <t>22084000</t>
        </is>
      </c>
      <c r="H337" s="167" t="n"/>
      <c r="I337" s="167" t="inlineStr">
        <is>
          <t>Bebidas - 5405 - 1</t>
        </is>
      </c>
      <c r="J337" s="167" t="inlineStr">
        <is>
          <t>Carinás</t>
        </is>
      </c>
      <c r="K337" s="167" t="inlineStr">
        <is>
          <t>Não</t>
        </is>
      </c>
      <c r="L337" s="167" t="inlineStr">
        <is>
          <t>Unidades</t>
        </is>
      </c>
      <c r="M337" s="167" t="inlineStr">
        <is>
          <t>Carinás + SA</t>
        </is>
      </c>
    </row>
    <row r="338">
      <c r="A338" s="167" t="inlineStr">
        <is>
          <t>Limoncello Spritz</t>
        </is>
      </c>
      <c r="B338" s="167" t="n"/>
      <c r="C338" s="167" t="n"/>
      <c r="D338" s="167" t="n">
        <v>39.99</v>
      </c>
      <c r="E338" s="167" t="n">
        <v>3999</v>
      </c>
      <c r="F338" s="167" t="inlineStr">
        <is>
          <t>78989056877234</t>
        </is>
      </c>
      <c r="G338" s="167" t="inlineStr">
        <is>
          <t>22084000</t>
        </is>
      </c>
      <c r="H338" s="167" t="n"/>
      <c r="I338" s="167" t="inlineStr">
        <is>
          <t>Alimentos - 5102</t>
        </is>
      </c>
      <c r="J338" s="167" t="inlineStr">
        <is>
          <t>Carinás</t>
        </is>
      </c>
      <c r="K338" s="167" t="inlineStr">
        <is>
          <t>Não</t>
        </is>
      </c>
      <c r="L338" s="167" t="inlineStr">
        <is>
          <t>Unidades</t>
        </is>
      </c>
      <c r="M338" s="167" t="inlineStr">
        <is>
          <t>Carinás + SA</t>
        </is>
      </c>
    </row>
    <row r="339">
      <c r="A339" s="167" t="inlineStr">
        <is>
          <t>LONDON MULE</t>
        </is>
      </c>
      <c r="B339" s="167" t="n"/>
      <c r="C339" s="167" t="inlineStr">
        <is>
          <t>A COQUETEIS</t>
        </is>
      </c>
      <c r="D339" s="167" t="n">
        <v>38.99</v>
      </c>
      <c r="E339" s="167" t="n">
        <v>3899</v>
      </c>
      <c r="F339" s="167" t="inlineStr">
        <is>
          <t>7898905687716</t>
        </is>
      </c>
      <c r="G339" s="167" t="inlineStr">
        <is>
          <t>22085000</t>
        </is>
      </c>
      <c r="H339" s="167" t="n"/>
      <c r="I339" s="167" t="inlineStr">
        <is>
          <t>Alimentos - 5102</t>
        </is>
      </c>
      <c r="J339" s="167" t="inlineStr">
        <is>
          <t>Carinás</t>
        </is>
      </c>
      <c r="K339" s="167" t="inlineStr">
        <is>
          <t>Sim</t>
        </is>
      </c>
      <c r="L339" s="167" t="inlineStr">
        <is>
          <t>Unidades</t>
        </is>
      </c>
      <c r="M339" s="167" t="inlineStr">
        <is>
          <t>Carinás + SA</t>
        </is>
      </c>
    </row>
    <row r="340">
      <c r="A340" s="167" t="inlineStr">
        <is>
          <t>MALZEBIER LONG</t>
        </is>
      </c>
      <c r="B340" s="167" t="n"/>
      <c r="C340" s="167" t="n"/>
      <c r="D340" s="167" t="n">
        <v>13.99</v>
      </c>
      <c r="E340" s="167" t="n">
        <v>1399</v>
      </c>
      <c r="F340" s="167" t="inlineStr">
        <is>
          <t>80003</t>
        </is>
      </c>
      <c r="G340" s="167" t="inlineStr">
        <is>
          <t>22030000</t>
        </is>
      </c>
      <c r="H340" s="167" t="n"/>
      <c r="I340" s="167" t="inlineStr">
        <is>
          <t>Bebidas - 5405 - 2</t>
        </is>
      </c>
      <c r="J340" s="167" t="inlineStr">
        <is>
          <t>Carinás</t>
        </is>
      </c>
      <c r="K340" s="167" t="inlineStr">
        <is>
          <t>Sim</t>
        </is>
      </c>
      <c r="L340" s="167" t="inlineStr">
        <is>
          <t>Unidades</t>
        </is>
      </c>
      <c r="M340" s="167" t="inlineStr">
        <is>
          <t>Carinás + SA</t>
        </is>
      </c>
    </row>
    <row r="341">
      <c r="A341" s="167" t="inlineStr">
        <is>
          <t>MANDIOCA (EXECUTIVO)</t>
        </is>
      </c>
      <c r="B341" s="167" t="n"/>
      <c r="C341" s="167" t="inlineStr">
        <is>
          <t xml:space="preserve"> ALMOÇO EXECUTIVO</t>
        </is>
      </c>
      <c r="D341" s="167" t="n">
        <v>4.99</v>
      </c>
      <c r="E341" s="167" t="n">
        <v>499</v>
      </c>
      <c r="F341" s="167" t="inlineStr">
        <is>
          <t>789890568772104</t>
        </is>
      </c>
      <c r="G341" s="167" t="inlineStr">
        <is>
          <t>21069090</t>
        </is>
      </c>
      <c r="H341" s="167" t="inlineStr">
        <is>
          <t>1709700</t>
        </is>
      </c>
      <c r="I341" s="167" t="inlineStr">
        <is>
          <t>Alimentos - 5102</t>
        </is>
      </c>
      <c r="J341" s="167" t="inlineStr">
        <is>
          <t>Carinás</t>
        </is>
      </c>
      <c r="K341" s="167" t="inlineStr">
        <is>
          <t>Sim</t>
        </is>
      </c>
      <c r="L341" s="167" t="inlineStr">
        <is>
          <t>Unidades</t>
        </is>
      </c>
      <c r="M341" s="167" t="inlineStr">
        <is>
          <t>Carinás</t>
        </is>
      </c>
    </row>
    <row r="342">
      <c r="A342" s="167" t="inlineStr">
        <is>
          <t>MANDIOCA FRITA</t>
        </is>
      </c>
      <c r="B342" s="167" t="inlineStr">
        <is>
          <t>Porcao</t>
        </is>
      </c>
      <c r="C342" s="167" t="inlineStr">
        <is>
          <t>ACOMPANHAMENTOS</t>
        </is>
      </c>
      <c r="D342" s="167" t="n">
        <v>9.9</v>
      </c>
      <c r="E342" s="167" t="n">
        <v>990</v>
      </c>
      <c r="F342" s="167" t="inlineStr">
        <is>
          <t>78989056877330</t>
        </is>
      </c>
      <c r="G342" s="167" t="inlineStr">
        <is>
          <t>20079990</t>
        </is>
      </c>
      <c r="H342" s="167" t="n"/>
      <c r="I342" s="167" t="inlineStr">
        <is>
          <t>Alimentos - 5102</t>
        </is>
      </c>
      <c r="J342" s="167" t="inlineStr">
        <is>
          <t>Carinás</t>
        </is>
      </c>
      <c r="K342" s="167" t="inlineStr">
        <is>
          <t>Não</t>
        </is>
      </c>
      <c r="L342" s="167" t="inlineStr">
        <is>
          <t>Unidades</t>
        </is>
      </c>
      <c r="M342" s="167" t="inlineStr">
        <is>
          <t>Delivery</t>
        </is>
      </c>
    </row>
    <row r="343">
      <c r="A343" s="167" t="inlineStr">
        <is>
          <t>MANDIOCA FRITA P</t>
        </is>
      </c>
      <c r="B343" s="167" t="n"/>
      <c r="C343" s="167" t="inlineStr">
        <is>
          <t>ACOMPANHAMENTOS</t>
        </is>
      </c>
      <c r="D343" s="167" t="n">
        <v>14.99</v>
      </c>
      <c r="E343" s="167" t="n">
        <v>1499</v>
      </c>
      <c r="F343" s="167" t="inlineStr">
        <is>
          <t>78989056877115</t>
        </is>
      </c>
      <c r="G343" s="167" t="inlineStr">
        <is>
          <t>20079990</t>
        </is>
      </c>
      <c r="H343" s="167" t="n"/>
      <c r="I343" s="167" t="inlineStr">
        <is>
          <t>Alimentos - 5102</t>
        </is>
      </c>
      <c r="J343" s="167" t="inlineStr">
        <is>
          <t>Carinás</t>
        </is>
      </c>
      <c r="K343" s="167" t="inlineStr">
        <is>
          <t>Sim</t>
        </is>
      </c>
      <c r="L343" s="167" t="inlineStr">
        <is>
          <t>Unidades</t>
        </is>
      </c>
      <c r="M343" s="167" t="inlineStr">
        <is>
          <t>Carinás + SA</t>
        </is>
      </c>
    </row>
    <row r="344">
      <c r="A344" s="167" t="inlineStr">
        <is>
          <t>MANGA CAFE DA MANHA</t>
        </is>
      </c>
      <c r="B344" s="167" t="n"/>
      <c r="C344" s="167" t="inlineStr">
        <is>
          <t>A CAFÉ DA MANHA</t>
        </is>
      </c>
      <c r="D344" s="167" t="n">
        <v>0</v>
      </c>
      <c r="E344" s="167" t="n">
        <v>0</v>
      </c>
      <c r="F344" s="167" t="inlineStr">
        <is>
          <t>7898905687181</t>
        </is>
      </c>
      <c r="G344" s="167" t="inlineStr">
        <is>
          <t>8045020</t>
        </is>
      </c>
      <c r="H344" s="167" t="n"/>
      <c r="I344" s="167" t="inlineStr">
        <is>
          <t>Alimentos - 5102</t>
        </is>
      </c>
      <c r="J344" s="167" t="inlineStr">
        <is>
          <t>Carinás</t>
        </is>
      </c>
      <c r="K344" s="167" t="inlineStr">
        <is>
          <t>Sim</t>
        </is>
      </c>
      <c r="L344" s="167" t="inlineStr">
        <is>
          <t>Unidades</t>
        </is>
      </c>
      <c r="M344" s="167" t="inlineStr">
        <is>
          <t>Carinás + SA</t>
        </is>
      </c>
    </row>
    <row r="345">
      <c r="A345" s="167" t="inlineStr">
        <is>
          <t>Mango Negroni</t>
        </is>
      </c>
      <c r="B345" s="167" t="n"/>
      <c r="C345" s="167" t="n"/>
      <c r="D345" s="167" t="n">
        <v>38.99</v>
      </c>
      <c r="E345" s="167" t="n">
        <v>3899</v>
      </c>
      <c r="F345" s="167" t="inlineStr">
        <is>
          <t>78989056877222</t>
        </is>
      </c>
      <c r="G345" s="167" t="inlineStr">
        <is>
          <t>22084000</t>
        </is>
      </c>
      <c r="H345" s="167" t="n"/>
      <c r="I345" s="167" t="inlineStr">
        <is>
          <t>Alimentos - 5102</t>
        </is>
      </c>
      <c r="J345" s="167" t="inlineStr">
        <is>
          <t>Carinás</t>
        </is>
      </c>
      <c r="K345" s="167" t="inlineStr">
        <is>
          <t>Não</t>
        </is>
      </c>
      <c r="L345" s="167" t="inlineStr">
        <is>
          <t>Unidades</t>
        </is>
      </c>
      <c r="M345" s="167" t="inlineStr">
        <is>
          <t>Carinás + SA</t>
        </is>
      </c>
    </row>
    <row r="346">
      <c r="A346" s="167" t="inlineStr">
        <is>
          <t>Margarita do Quintal</t>
        </is>
      </c>
      <c r="B346" s="167" t="n"/>
      <c r="C346" s="167" t="n"/>
      <c r="D346" s="167" t="n">
        <v>39.99</v>
      </c>
      <c r="E346" s="167" t="n">
        <v>3999</v>
      </c>
      <c r="F346" s="167" t="inlineStr">
        <is>
          <t>78989056877225</t>
        </is>
      </c>
      <c r="G346" s="167" t="inlineStr">
        <is>
          <t>22084000</t>
        </is>
      </c>
      <c r="H346" s="167" t="n"/>
      <c r="I346" s="167" t="inlineStr">
        <is>
          <t>Alimentos - 5102</t>
        </is>
      </c>
      <c r="J346" s="167" t="inlineStr">
        <is>
          <t>Carinás</t>
        </is>
      </c>
      <c r="K346" s="167" t="inlineStr">
        <is>
          <t>Não</t>
        </is>
      </c>
      <c r="L346" s="167" t="inlineStr">
        <is>
          <t>Unidades</t>
        </is>
      </c>
      <c r="M346" s="167" t="inlineStr">
        <is>
          <t>Carinás + SA</t>
        </is>
      </c>
    </row>
    <row r="347">
      <c r="A347" s="167" t="inlineStr">
        <is>
          <t>MARMITAS DO QUINTAL (FRANGO)</t>
        </is>
      </c>
      <c r="B347" s="167" t="inlineStr">
        <is>
          <t>Refeicao</t>
        </is>
      </c>
      <c r="C347" s="167" t="inlineStr">
        <is>
          <t>DELIVERY</t>
        </is>
      </c>
      <c r="D347" s="167" t="n">
        <v>29.9</v>
      </c>
      <c r="E347" s="167" t="n">
        <v>2990</v>
      </c>
      <c r="F347" s="167" t="inlineStr">
        <is>
          <t>78989056877294</t>
        </is>
      </c>
      <c r="G347" s="167" t="inlineStr">
        <is>
          <t>21069090</t>
        </is>
      </c>
      <c r="H347" s="167" t="n"/>
      <c r="I347" s="167" t="inlineStr">
        <is>
          <t>Alimentos - 5102</t>
        </is>
      </c>
      <c r="J347" s="167" t="inlineStr">
        <is>
          <t>Carinás</t>
        </is>
      </c>
      <c r="K347" s="167" t="inlineStr">
        <is>
          <t>Sim</t>
        </is>
      </c>
      <c r="L347" s="167" t="inlineStr">
        <is>
          <t>Gramas</t>
        </is>
      </c>
      <c r="M347" s="167" t="inlineStr">
        <is>
          <t>Delivery</t>
        </is>
      </c>
    </row>
    <row r="348">
      <c r="A348" s="167" t="inlineStr">
        <is>
          <t>MARMITAS DO QUINTAL 2 (BOVINO)</t>
        </is>
      </c>
      <c r="B348" s="167" t="inlineStr">
        <is>
          <t>Refeicao</t>
        </is>
      </c>
      <c r="C348" s="167" t="inlineStr">
        <is>
          <t>DELIVERY</t>
        </is>
      </c>
      <c r="D348" s="167" t="n">
        <v>31.9</v>
      </c>
      <c r="E348" s="167" t="n">
        <v>3190</v>
      </c>
      <c r="F348" s="167" t="inlineStr">
        <is>
          <t>78989056877293</t>
        </is>
      </c>
      <c r="G348" s="167" t="inlineStr">
        <is>
          <t>21069090</t>
        </is>
      </c>
      <c r="H348" s="167" t="n"/>
      <c r="I348" s="167" t="inlineStr">
        <is>
          <t>Alimentos - 5102</t>
        </is>
      </c>
      <c r="J348" s="167" t="inlineStr">
        <is>
          <t>Carinás</t>
        </is>
      </c>
      <c r="K348" s="167" t="inlineStr">
        <is>
          <t>Não</t>
        </is>
      </c>
      <c r="L348" s="167" t="inlineStr">
        <is>
          <t>Unidades</t>
        </is>
      </c>
      <c r="M348" s="167" t="inlineStr">
        <is>
          <t>Delivery</t>
        </is>
      </c>
    </row>
    <row r="349">
      <c r="A349" s="167" t="inlineStr">
        <is>
          <t>MARMITAS DO QUINTAL 3 ( CALABRESA C/ PIMENTA)</t>
        </is>
      </c>
      <c r="B349" s="167" t="inlineStr">
        <is>
          <t>Refeicao</t>
        </is>
      </c>
      <c r="C349" s="167" t="inlineStr">
        <is>
          <t>DELIVERY</t>
        </is>
      </c>
      <c r="D349" s="167" t="n">
        <v>29.9</v>
      </c>
      <c r="E349" s="167" t="n">
        <v>2990</v>
      </c>
      <c r="F349" s="167" t="inlineStr">
        <is>
          <t>78989056877309</t>
        </is>
      </c>
      <c r="G349" s="167" t="inlineStr">
        <is>
          <t>21069090</t>
        </is>
      </c>
      <c r="H349" s="167" t="n"/>
      <c r="I349" s="167" t="inlineStr">
        <is>
          <t>Alimentos - 5102</t>
        </is>
      </c>
      <c r="J349" s="167" t="inlineStr">
        <is>
          <t>Carinás</t>
        </is>
      </c>
      <c r="K349" s="167" t="inlineStr">
        <is>
          <t>Não</t>
        </is>
      </c>
      <c r="L349" s="167" t="inlineStr">
        <is>
          <t>Unidades</t>
        </is>
      </c>
      <c r="M349" s="167" t="inlineStr">
        <is>
          <t>Delivery</t>
        </is>
      </c>
    </row>
    <row r="350">
      <c r="A350" s="167" t="inlineStr">
        <is>
          <t>MARMITAS DO QUINTAL 4 (CALABRESA S/ PIMENTA</t>
        </is>
      </c>
      <c r="B350" s="167" t="inlineStr">
        <is>
          <t>Refeicao</t>
        </is>
      </c>
      <c r="C350" s="167" t="inlineStr">
        <is>
          <t>DELIVERY</t>
        </is>
      </c>
      <c r="D350" s="167" t="n">
        <v>29.9</v>
      </c>
      <c r="E350" s="167" t="n">
        <v>2990</v>
      </c>
      <c r="F350" s="167" t="inlineStr">
        <is>
          <t>78989056877310</t>
        </is>
      </c>
      <c r="G350" s="167" t="inlineStr">
        <is>
          <t>21069090</t>
        </is>
      </c>
      <c r="H350" s="167" t="n"/>
      <c r="I350" s="167" t="inlineStr">
        <is>
          <t>Alimentos - 5102</t>
        </is>
      </c>
      <c r="J350" s="167" t="inlineStr">
        <is>
          <t>Carinás</t>
        </is>
      </c>
      <c r="K350" s="167" t="inlineStr">
        <is>
          <t>Não</t>
        </is>
      </c>
      <c r="L350" s="167" t="inlineStr">
        <is>
          <t>Unidades</t>
        </is>
      </c>
      <c r="M350" s="167" t="inlineStr">
        <is>
          <t>Delivery</t>
        </is>
      </c>
    </row>
    <row r="351">
      <c r="A351" s="167" t="inlineStr">
        <is>
          <t>MEDALHAO ALCATRA IN NATURA</t>
        </is>
      </c>
      <c r="B351" s="167" t="n"/>
      <c r="C351" s="167" t="n"/>
      <c r="D351" s="167" t="n">
        <v>39.9</v>
      </c>
      <c r="E351" s="167" t="n">
        <v>3990</v>
      </c>
      <c r="F351" s="167" t="inlineStr">
        <is>
          <t>10015</t>
        </is>
      </c>
      <c r="G351" s="167" t="inlineStr">
        <is>
          <t>21069090</t>
        </is>
      </c>
      <c r="H351" s="167" t="n"/>
      <c r="I351" s="167" t="inlineStr">
        <is>
          <t>Alimentos - 5102</t>
        </is>
      </c>
      <c r="J351" s="167" t="inlineStr">
        <is>
          <t>Santo André</t>
        </is>
      </c>
      <c r="K351" s="167" t="n"/>
      <c r="L351" s="167" t="n"/>
      <c r="M351" s="167" t="inlineStr">
        <is>
          <t>SA + Delivery</t>
        </is>
      </c>
    </row>
    <row r="352">
      <c r="A352" s="167" t="inlineStr">
        <is>
          <t>Meia dia dos namorados</t>
        </is>
      </c>
      <c r="B352" s="167" t="n"/>
      <c r="C352" s="167" t="inlineStr">
        <is>
          <t>PROMOÇÃO</t>
        </is>
      </c>
      <c r="D352" s="167" t="n">
        <v>90</v>
      </c>
      <c r="E352" s="167" t="n">
        <v>9000</v>
      </c>
      <c r="F352" s="167" t="inlineStr">
        <is>
          <t>7898905687712</t>
        </is>
      </c>
      <c r="G352" s="167" t="inlineStr">
        <is>
          <t>21069090</t>
        </is>
      </c>
      <c r="H352" s="167" t="n"/>
      <c r="I352" s="167" t="inlineStr">
        <is>
          <t>Alimentos - 5102</t>
        </is>
      </c>
      <c r="J352" s="167" t="inlineStr">
        <is>
          <t>Carinás</t>
        </is>
      </c>
      <c r="K352" s="167" t="inlineStr">
        <is>
          <t>Sim</t>
        </is>
      </c>
      <c r="L352" s="167" t="inlineStr">
        <is>
          <t>Unidades</t>
        </is>
      </c>
      <c r="M352" s="167" t="inlineStr">
        <is>
          <t>Carinás + SA</t>
        </is>
      </c>
    </row>
    <row r="353">
      <c r="A353" s="167" t="inlineStr">
        <is>
          <t>MELANCITA GIN</t>
        </is>
      </c>
      <c r="B353" s="167" t="n"/>
      <c r="C353" s="167" t="n"/>
      <c r="D353" s="167" t="n">
        <v>25</v>
      </c>
      <c r="E353" s="167" t="n">
        <v>2500</v>
      </c>
      <c r="F353" s="167" t="inlineStr">
        <is>
          <t>9003517</t>
        </is>
      </c>
      <c r="G353" s="167" t="inlineStr">
        <is>
          <t>22085000</t>
        </is>
      </c>
      <c r="H353" s="167" t="n"/>
      <c r="I353" s="167" t="inlineStr">
        <is>
          <t>Alimentos - 5102</t>
        </is>
      </c>
      <c r="J353" s="167" t="inlineStr">
        <is>
          <t>Carinás</t>
        </is>
      </c>
      <c r="K353" s="167" t="inlineStr">
        <is>
          <t>Sim</t>
        </is>
      </c>
      <c r="L353" s="167" t="inlineStr">
        <is>
          <t>Unidades</t>
        </is>
      </c>
      <c r="M353" s="167" t="inlineStr">
        <is>
          <t>Carinás + SA</t>
        </is>
      </c>
    </row>
    <row r="354">
      <c r="A354" s="167" t="inlineStr">
        <is>
          <t>MELÃO GIN</t>
        </is>
      </c>
      <c r="B354" s="167" t="n"/>
      <c r="C354" s="167" t="n"/>
      <c r="D354" s="167" t="n">
        <v>39</v>
      </c>
      <c r="E354" s="167" t="n">
        <v>3900</v>
      </c>
      <c r="F354" s="167" t="inlineStr">
        <is>
          <t>78989056877287</t>
        </is>
      </c>
      <c r="G354" s="167" t="inlineStr">
        <is>
          <t>22085000</t>
        </is>
      </c>
      <c r="H354" s="167" t="n"/>
      <c r="I354" s="167" t="inlineStr">
        <is>
          <t>Alimentos - 5102</t>
        </is>
      </c>
      <c r="J354" s="167" t="inlineStr">
        <is>
          <t>Carinás</t>
        </is>
      </c>
      <c r="K354" s="167" t="inlineStr">
        <is>
          <t>Sim</t>
        </is>
      </c>
      <c r="L354" s="167" t="inlineStr">
        <is>
          <t>Unidades</t>
        </is>
      </c>
      <c r="M354" s="167" t="inlineStr">
        <is>
          <t>Carinás + SA</t>
        </is>
      </c>
    </row>
    <row r="355">
      <c r="A355" s="167" t="inlineStr">
        <is>
          <t>MELÃO VODKA</t>
        </is>
      </c>
      <c r="B355" s="167" t="n"/>
      <c r="C355" s="167" t="n"/>
      <c r="D355" s="167" t="n">
        <v>39</v>
      </c>
      <c r="E355" s="167" t="n">
        <v>3900</v>
      </c>
      <c r="F355" s="167" t="inlineStr">
        <is>
          <t>78989056877285</t>
        </is>
      </c>
      <c r="G355" s="167" t="inlineStr">
        <is>
          <t>22086000</t>
        </is>
      </c>
      <c r="H355" s="167" t="n"/>
      <c r="I355" s="167" t="inlineStr">
        <is>
          <t>Alimentos - 5102</t>
        </is>
      </c>
      <c r="J355" s="167" t="inlineStr">
        <is>
          <t>Carinás</t>
        </is>
      </c>
      <c r="K355" s="167" t="inlineStr">
        <is>
          <t>Sim</t>
        </is>
      </c>
      <c r="L355" s="167" t="inlineStr">
        <is>
          <t>Unidades</t>
        </is>
      </c>
      <c r="M355" s="167" t="inlineStr">
        <is>
          <t>Carinás + SA</t>
        </is>
      </c>
    </row>
    <row r="356">
      <c r="A356" s="167" t="inlineStr">
        <is>
          <t>MENU DIA DAS MAES</t>
        </is>
      </c>
      <c r="B356" s="167" t="n"/>
      <c r="C356" s="167" t="n"/>
      <c r="D356" s="167" t="n">
        <v>159.9</v>
      </c>
      <c r="E356" s="167" t="n">
        <v>15990</v>
      </c>
      <c r="F356" s="167" t="inlineStr">
        <is>
          <t>7898905687501</t>
        </is>
      </c>
      <c r="G356" s="167" t="inlineStr">
        <is>
          <t>21069090</t>
        </is>
      </c>
      <c r="H356" s="167" t="n"/>
      <c r="I356" s="167" t="inlineStr">
        <is>
          <t>Alimentos - 5102</t>
        </is>
      </c>
      <c r="J356" s="167" t="inlineStr">
        <is>
          <t>Santo André</t>
        </is>
      </c>
      <c r="K356" s="167" t="n"/>
      <c r="L356" s="167" t="n"/>
      <c r="M356" s="167" t="inlineStr">
        <is>
          <t>SA</t>
        </is>
      </c>
    </row>
    <row r="357">
      <c r="A357" s="167" t="inlineStr">
        <is>
          <t>MILHO</t>
        </is>
      </c>
      <c r="B357" s="167" t="n"/>
      <c r="C357" s="167" t="inlineStr">
        <is>
          <t>OUTROS</t>
        </is>
      </c>
      <c r="D357" s="167" t="n">
        <v>10</v>
      </c>
      <c r="E357" s="167" t="n">
        <v>1000</v>
      </c>
      <c r="F357" s="167" t="inlineStr">
        <is>
          <t>78989056877168</t>
        </is>
      </c>
      <c r="G357" s="167" t="inlineStr">
        <is>
          <t>21069090</t>
        </is>
      </c>
      <c r="H357" s="167" t="n"/>
      <c r="I357" s="167" t="inlineStr">
        <is>
          <t>Alimentos - 5102</t>
        </is>
      </c>
      <c r="J357" s="167" t="inlineStr">
        <is>
          <t>Carinás</t>
        </is>
      </c>
      <c r="K357" s="167" t="inlineStr">
        <is>
          <t>Não</t>
        </is>
      </c>
      <c r="L357" s="167" t="inlineStr">
        <is>
          <t>Unidades</t>
        </is>
      </c>
      <c r="M357" s="167" t="inlineStr">
        <is>
          <t>Carinás + SA</t>
        </is>
      </c>
    </row>
    <row r="358">
      <c r="A358" s="167" t="inlineStr">
        <is>
          <t>MINI CHURROS C/ DOCE DE LEITE</t>
        </is>
      </c>
      <c r="B358" s="167" t="n"/>
      <c r="C358" s="167" t="n"/>
      <c r="D358" s="167" t="n">
        <v>15.99</v>
      </c>
      <c r="E358" s="167" t="n">
        <v>1599</v>
      </c>
      <c r="F358" s="167" t="inlineStr">
        <is>
          <t>9003333</t>
        </is>
      </c>
      <c r="G358" s="167" t="inlineStr">
        <is>
          <t>21069090</t>
        </is>
      </c>
      <c r="H358" s="167" t="n"/>
      <c r="I358" s="167" t="inlineStr">
        <is>
          <t>Alimentos - 5102</t>
        </is>
      </c>
      <c r="J358" s="167" t="inlineStr">
        <is>
          <t>Carinás</t>
        </is>
      </c>
      <c r="K358" s="167" t="inlineStr">
        <is>
          <t>Sim</t>
        </is>
      </c>
      <c r="L358" s="167" t="inlineStr">
        <is>
          <t>Unidades</t>
        </is>
      </c>
      <c r="M358" s="167" t="inlineStr">
        <is>
          <t>Carinás + SA + Delivery</t>
        </is>
      </c>
    </row>
    <row r="359">
      <c r="A359" s="167" t="inlineStr">
        <is>
          <t>MINI SALADA FRESCA</t>
        </is>
      </c>
      <c r="B359" s="167" t="n"/>
      <c r="C359" s="167" t="n"/>
      <c r="D359" s="167" t="n">
        <v>0</v>
      </c>
      <c r="E359" s="167" t="n">
        <v>0</v>
      </c>
      <c r="F359" s="167" t="inlineStr">
        <is>
          <t>78989056877335</t>
        </is>
      </c>
      <c r="G359" s="167" t="inlineStr">
        <is>
          <t>21069090</t>
        </is>
      </c>
      <c r="H359" s="167" t="n"/>
      <c r="I359" s="167" t="inlineStr">
        <is>
          <t>Alimentos - 5102</t>
        </is>
      </c>
      <c r="J359" s="167" t="inlineStr">
        <is>
          <t>Carinás</t>
        </is>
      </c>
      <c r="K359" s="167" t="inlineStr">
        <is>
          <t>Não</t>
        </is>
      </c>
      <c r="L359" s="167" t="inlineStr">
        <is>
          <t>Unidades</t>
        </is>
      </c>
      <c r="M359" s="167" t="inlineStr">
        <is>
          <t>Carinás + Delivery</t>
        </is>
      </c>
    </row>
    <row r="360">
      <c r="A360" s="167" t="inlineStr">
        <is>
          <t>MINI SALADA QUINTAL</t>
        </is>
      </c>
      <c r="B360" s="167" t="inlineStr">
        <is>
          <t>Porcao</t>
        </is>
      </c>
      <c r="C360" s="167" t="inlineStr">
        <is>
          <t>A SALADAS</t>
        </is>
      </c>
      <c r="D360" s="167" t="n">
        <v>9.9</v>
      </c>
      <c r="E360" s="167" t="n">
        <v>990</v>
      </c>
      <c r="F360" s="167" t="inlineStr">
        <is>
          <t>78989056877336</t>
        </is>
      </c>
      <c r="G360" s="167" t="inlineStr">
        <is>
          <t>21069090</t>
        </is>
      </c>
      <c r="H360" s="167" t="n"/>
      <c r="I360" s="167" t="inlineStr">
        <is>
          <t>Alimentos - 5102</t>
        </is>
      </c>
      <c r="J360" s="167" t="inlineStr">
        <is>
          <t>Carinás</t>
        </is>
      </c>
      <c r="K360" s="167" t="inlineStr">
        <is>
          <t>Não</t>
        </is>
      </c>
      <c r="L360" s="167" t="inlineStr">
        <is>
          <t>Unidades</t>
        </is>
      </c>
      <c r="M360" s="167" t="inlineStr">
        <is>
          <t>Delivery</t>
        </is>
      </c>
    </row>
    <row r="361">
      <c r="A361" s="167" t="inlineStr">
        <is>
          <t>Mint Negroni</t>
        </is>
      </c>
      <c r="B361" s="167" t="n"/>
      <c r="C361" s="167" t="n"/>
      <c r="D361" s="167" t="n">
        <v>36</v>
      </c>
      <c r="E361" s="167" t="n">
        <v>3600</v>
      </c>
      <c r="F361" s="167" t="inlineStr">
        <is>
          <t>78989056877221</t>
        </is>
      </c>
      <c r="G361" s="167" t="inlineStr">
        <is>
          <t>22084000</t>
        </is>
      </c>
      <c r="H361" s="167" t="n"/>
      <c r="I361" s="167" t="inlineStr">
        <is>
          <t>Alimentos - 5102</t>
        </is>
      </c>
      <c r="J361" s="167" t="inlineStr">
        <is>
          <t>Carinás</t>
        </is>
      </c>
      <c r="K361" s="167" t="inlineStr">
        <is>
          <t>Não</t>
        </is>
      </c>
      <c r="L361" s="167" t="inlineStr">
        <is>
          <t>Unidades</t>
        </is>
      </c>
      <c r="M361" s="167" t="inlineStr">
        <is>
          <t>Carinás + SA</t>
        </is>
      </c>
    </row>
    <row r="362">
      <c r="A362" s="167" t="inlineStr">
        <is>
          <t>MISTO FRIO</t>
        </is>
      </c>
      <c r="B362" s="167" t="n"/>
      <c r="C362" s="167" t="inlineStr">
        <is>
          <t>A CAFÉ DA MANHA</t>
        </is>
      </c>
      <c r="D362" s="167" t="n">
        <v>0</v>
      </c>
      <c r="E362" s="167" t="n">
        <v>0</v>
      </c>
      <c r="F362" s="167" t="inlineStr">
        <is>
          <t>7898905687174</t>
        </is>
      </c>
      <c r="G362" s="167" t="inlineStr">
        <is>
          <t>21069090</t>
        </is>
      </c>
      <c r="H362" s="167" t="n"/>
      <c r="I362" s="167" t="inlineStr">
        <is>
          <t>Alimentos - 5102</t>
        </is>
      </c>
      <c r="J362" s="167" t="inlineStr">
        <is>
          <t>Carinás</t>
        </is>
      </c>
      <c r="K362" s="167" t="inlineStr">
        <is>
          <t>Sim</t>
        </is>
      </c>
      <c r="L362" s="167" t="inlineStr">
        <is>
          <t>Unidades</t>
        </is>
      </c>
      <c r="M362" s="167" t="inlineStr">
        <is>
          <t>Carinás + SA</t>
        </is>
      </c>
    </row>
    <row r="363">
      <c r="A363" s="167" t="inlineStr">
        <is>
          <t>MONTE SEU PRATO 1</t>
        </is>
      </c>
      <c r="B363" s="167" t="inlineStr">
        <is>
          <t>Refeicao</t>
        </is>
      </c>
      <c r="C363" s="167" t="inlineStr">
        <is>
          <t>DELIVERY</t>
        </is>
      </c>
      <c r="D363" s="167" t="n">
        <v>31.9</v>
      </c>
      <c r="E363" s="167" t="n">
        <v>3190</v>
      </c>
      <c r="F363" s="167" t="inlineStr">
        <is>
          <t>78989056877295</t>
        </is>
      </c>
      <c r="G363" s="167" t="inlineStr">
        <is>
          <t>21069090</t>
        </is>
      </c>
      <c r="H363" s="167" t="n"/>
      <c r="I363" s="167" t="inlineStr">
        <is>
          <t>Alimentos - 5102</t>
        </is>
      </c>
      <c r="J363" s="167" t="inlineStr">
        <is>
          <t>Carinás</t>
        </is>
      </c>
      <c r="K363" s="167" t="inlineStr">
        <is>
          <t>Sim</t>
        </is>
      </c>
      <c r="L363" s="167" t="inlineStr">
        <is>
          <t>Unidades</t>
        </is>
      </c>
      <c r="M363" s="167" t="inlineStr">
        <is>
          <t>Delivery</t>
        </is>
      </c>
    </row>
    <row r="364">
      <c r="A364" s="167" t="inlineStr">
        <is>
          <t>MONTE SEU PRATO 2</t>
        </is>
      </c>
      <c r="B364" s="167" t="inlineStr">
        <is>
          <t>Refeicao</t>
        </is>
      </c>
      <c r="C364" s="167" t="inlineStr">
        <is>
          <t>DELIVERY</t>
        </is>
      </c>
      <c r="D364" s="167" t="n">
        <v>39.9</v>
      </c>
      <c r="E364" s="167" t="n">
        <v>3990</v>
      </c>
      <c r="F364" s="167" t="inlineStr">
        <is>
          <t>78989056877296</t>
        </is>
      </c>
      <c r="G364" s="167" t="inlineStr">
        <is>
          <t>21069090</t>
        </is>
      </c>
      <c r="H364" s="167" t="n"/>
      <c r="I364" s="167" t="inlineStr">
        <is>
          <t>Alimentos - 5102</t>
        </is>
      </c>
      <c r="J364" s="167" t="inlineStr">
        <is>
          <t>Carinás</t>
        </is>
      </c>
      <c r="K364" s="167" t="inlineStr">
        <is>
          <t>Sim</t>
        </is>
      </c>
      <c r="L364" s="167" t="inlineStr">
        <is>
          <t>Unidades</t>
        </is>
      </c>
      <c r="M364" s="167" t="inlineStr">
        <is>
          <t>Delivery</t>
        </is>
      </c>
    </row>
    <row r="365">
      <c r="A365" s="167" t="inlineStr">
        <is>
          <t>MONTE SEU PRATO 3</t>
        </is>
      </c>
      <c r="B365" s="167" t="inlineStr">
        <is>
          <t>Refeicao</t>
        </is>
      </c>
      <c r="C365" s="167" t="inlineStr">
        <is>
          <t>DELIVERY</t>
        </is>
      </c>
      <c r="D365" s="167" t="n">
        <v>58.96</v>
      </c>
      <c r="E365" s="167" t="n">
        <v>5896</v>
      </c>
      <c r="F365" s="167" t="inlineStr">
        <is>
          <t>78989056877297</t>
        </is>
      </c>
      <c r="G365" s="167" t="inlineStr">
        <is>
          <t>21069090</t>
        </is>
      </c>
      <c r="H365" s="167" t="n"/>
      <c r="I365" s="167" t="inlineStr">
        <is>
          <t>Alimentos - 5102</t>
        </is>
      </c>
      <c r="J365" s="167" t="inlineStr">
        <is>
          <t>Carinás</t>
        </is>
      </c>
      <c r="K365" s="167" t="inlineStr">
        <is>
          <t>Sim</t>
        </is>
      </c>
      <c r="L365" s="167" t="inlineStr">
        <is>
          <t>Unidades</t>
        </is>
      </c>
      <c r="M365" s="167" t="inlineStr">
        <is>
          <t>Delivery</t>
        </is>
      </c>
    </row>
    <row r="366">
      <c r="A366" s="167" t="inlineStr">
        <is>
          <t>MONTILLA OURO DOSE</t>
        </is>
      </c>
      <c r="B366" s="167" t="n"/>
      <c r="C366" s="167" t="n"/>
      <c r="D366" s="167" t="n">
        <v>14</v>
      </c>
      <c r="E366" s="167" t="n">
        <v>1400</v>
      </c>
      <c r="F366" s="167" t="inlineStr">
        <is>
          <t>101014</t>
        </is>
      </c>
      <c r="G366" s="167" t="inlineStr">
        <is>
          <t>22084000</t>
        </is>
      </c>
      <c r="H366" s="167" t="n"/>
      <c r="I366" s="167" t="inlineStr">
        <is>
          <t>Alimentos - 5102</t>
        </is>
      </c>
      <c r="J366" s="167" t="inlineStr">
        <is>
          <t>Carinás</t>
        </is>
      </c>
      <c r="K366" s="167" t="inlineStr">
        <is>
          <t>Sim</t>
        </is>
      </c>
      <c r="L366" s="167" t="inlineStr">
        <is>
          <t>Unidades</t>
        </is>
      </c>
      <c r="M366" s="167" t="inlineStr">
        <is>
          <t>Carinás + SA</t>
        </is>
      </c>
    </row>
    <row r="367">
      <c r="A367" s="167" t="inlineStr">
        <is>
          <t>MONTILLA PRATA DOSE</t>
        </is>
      </c>
      <c r="B367" s="167" t="n"/>
      <c r="C367" s="167" t="n"/>
      <c r="D367" s="167" t="n">
        <v>14</v>
      </c>
      <c r="E367" s="167" t="n">
        <v>1400</v>
      </c>
      <c r="F367" s="167" t="inlineStr">
        <is>
          <t>56451</t>
        </is>
      </c>
      <c r="G367" s="167" t="inlineStr">
        <is>
          <t>22084000</t>
        </is>
      </c>
      <c r="H367" s="167" t="n"/>
      <c r="I367" s="167" t="inlineStr">
        <is>
          <t>Alimentos - 5102</t>
        </is>
      </c>
      <c r="J367" s="167" t="inlineStr">
        <is>
          <t>Carinás</t>
        </is>
      </c>
      <c r="K367" s="167" t="inlineStr">
        <is>
          <t>Sim</t>
        </is>
      </c>
      <c r="L367" s="167" t="inlineStr">
        <is>
          <t>Unidades</t>
        </is>
      </c>
      <c r="M367" s="167" t="inlineStr">
        <is>
          <t>Carinás + SA</t>
        </is>
      </c>
    </row>
    <row r="368">
      <c r="A368" s="167" t="inlineStr">
        <is>
          <t>MORANGO C/ CHOCOLATE</t>
        </is>
      </c>
      <c r="B368" s="167" t="n"/>
      <c r="C368" s="167" t="n"/>
      <c r="D368" s="167" t="n">
        <v>18.99</v>
      </c>
      <c r="E368" s="167" t="n">
        <v>1899</v>
      </c>
      <c r="F368" s="167" t="inlineStr">
        <is>
          <t>3000163</t>
        </is>
      </c>
      <c r="G368" s="167" t="inlineStr">
        <is>
          <t>21069090</t>
        </is>
      </c>
      <c r="H368" s="167" t="n"/>
      <c r="I368" s="167" t="inlineStr">
        <is>
          <t>Alimentos - 5102</t>
        </is>
      </c>
      <c r="J368" s="167" t="inlineStr">
        <is>
          <t>Carinás</t>
        </is>
      </c>
      <c r="K368" s="167" t="inlineStr">
        <is>
          <t>Sim</t>
        </is>
      </c>
      <c r="L368" s="167" t="inlineStr">
        <is>
          <t>Unidades</t>
        </is>
      </c>
      <c r="M368" s="167" t="inlineStr">
        <is>
          <t>Carinás + SA + Delivery</t>
        </is>
      </c>
    </row>
    <row r="369">
      <c r="A369" s="167" t="inlineStr">
        <is>
          <t>MORANGO C/ CHOCOLATE EXECUTIVO (BRINDE)</t>
        </is>
      </c>
      <c r="B369" s="167" t="n"/>
      <c r="C369" s="167" t="inlineStr">
        <is>
          <t xml:space="preserve"> ALMOÇO EXECUTIVO</t>
        </is>
      </c>
      <c r="D369" s="167" t="n">
        <v>0</v>
      </c>
      <c r="E369" s="167" t="n">
        <v>0</v>
      </c>
      <c r="F369" s="167" t="inlineStr">
        <is>
          <t>789890568772110</t>
        </is>
      </c>
      <c r="G369" s="167" t="inlineStr">
        <is>
          <t>22089000</t>
        </is>
      </c>
      <c r="H369" s="167" t="n"/>
      <c r="I369" s="167" t="inlineStr">
        <is>
          <t>Alimentos - 5102</t>
        </is>
      </c>
      <c r="J369" s="167" t="inlineStr">
        <is>
          <t>Carinás</t>
        </is>
      </c>
      <c r="K369" s="167" t="inlineStr">
        <is>
          <t>Sim</t>
        </is>
      </c>
      <c r="L369" s="167" t="inlineStr">
        <is>
          <t>Unidades</t>
        </is>
      </c>
      <c r="M369" s="167" t="inlineStr">
        <is>
          <t>Carinás</t>
        </is>
      </c>
    </row>
    <row r="370">
      <c r="A370" s="167" t="inlineStr">
        <is>
          <t>MORANGO CAFE DA MANHA</t>
        </is>
      </c>
      <c r="B370" s="167" t="n"/>
      <c r="C370" s="167" t="inlineStr">
        <is>
          <t>A CAFÉ DA MANHA</t>
        </is>
      </c>
      <c r="D370" s="167" t="n">
        <v>0</v>
      </c>
      <c r="E370" s="167" t="n">
        <v>0</v>
      </c>
      <c r="F370" s="167" t="inlineStr">
        <is>
          <t>7898905687182</t>
        </is>
      </c>
      <c r="G370" s="167" t="inlineStr">
        <is>
          <t>8101000</t>
        </is>
      </c>
      <c r="H370" s="167" t="n"/>
      <c r="I370" s="167" t="inlineStr">
        <is>
          <t>Alimentos - 5102</t>
        </is>
      </c>
      <c r="J370" s="167" t="inlineStr">
        <is>
          <t>Carinás</t>
        </is>
      </c>
      <c r="K370" s="167" t="inlineStr">
        <is>
          <t>Sim</t>
        </is>
      </c>
      <c r="L370" s="167" t="inlineStr">
        <is>
          <t>Unidades</t>
        </is>
      </c>
      <c r="M370" s="167" t="inlineStr">
        <is>
          <t>Carinás + SA</t>
        </is>
      </c>
    </row>
    <row r="371">
      <c r="A371" s="167" t="inlineStr">
        <is>
          <t>MOSCOW MULE GENGIBRE</t>
        </is>
      </c>
      <c r="B371" s="167" t="n"/>
      <c r="C371" s="167" t="inlineStr">
        <is>
          <t>A COQUETEIS</t>
        </is>
      </c>
      <c r="D371" s="167" t="n">
        <v>36.99</v>
      </c>
      <c r="E371" s="167" t="n">
        <v>3699</v>
      </c>
      <c r="F371" s="167" t="inlineStr">
        <is>
          <t>7898905687717</t>
        </is>
      </c>
      <c r="G371" s="167" t="inlineStr">
        <is>
          <t>22086000</t>
        </is>
      </c>
      <c r="H371" s="167" t="n"/>
      <c r="I371" s="167" t="inlineStr">
        <is>
          <t>Bebidas - 5405 - 1</t>
        </is>
      </c>
      <c r="J371" s="167" t="inlineStr">
        <is>
          <t>Carinás</t>
        </is>
      </c>
      <c r="K371" s="167" t="inlineStr">
        <is>
          <t>Sim</t>
        </is>
      </c>
      <c r="L371" s="167" t="inlineStr">
        <is>
          <t>Unidades</t>
        </is>
      </c>
      <c r="M371" s="167" t="inlineStr">
        <is>
          <t>Carinás + SA</t>
        </is>
      </c>
    </row>
    <row r="372">
      <c r="A372" s="167" t="inlineStr">
        <is>
          <t>MUSSARELA BUFALA C/  RUCULA E TOMATE GRAPE</t>
        </is>
      </c>
      <c r="B372" s="167" t="n"/>
      <c r="C372" s="167" t="n"/>
      <c r="D372" s="167" t="n">
        <v>14.99</v>
      </c>
      <c r="E372" s="167" t="n">
        <v>1499</v>
      </c>
      <c r="F372" s="167" t="inlineStr">
        <is>
          <t>30005</t>
        </is>
      </c>
      <c r="G372" s="167" t="inlineStr">
        <is>
          <t>21069090</t>
        </is>
      </c>
      <c r="H372" s="167" t="n"/>
      <c r="I372" s="167" t="inlineStr">
        <is>
          <t>Alimentos - 5102</t>
        </is>
      </c>
      <c r="J372" s="167" t="inlineStr">
        <is>
          <t>Carinás</t>
        </is>
      </c>
      <c r="K372" s="167" t="inlineStr">
        <is>
          <t>Sim</t>
        </is>
      </c>
      <c r="L372" s="167" t="inlineStr">
        <is>
          <t>Unidades</t>
        </is>
      </c>
      <c r="M372" s="167" t="inlineStr">
        <is>
          <t>Carinás + SA + Delivery</t>
        </is>
      </c>
    </row>
    <row r="373">
      <c r="A373" s="167" t="inlineStr">
        <is>
          <t>NEGRONI</t>
        </is>
      </c>
      <c r="B373" s="167" t="n"/>
      <c r="C373" s="167" t="n"/>
      <c r="D373" s="167" t="n">
        <v>39.99</v>
      </c>
      <c r="E373" s="167" t="n">
        <v>3999</v>
      </c>
      <c r="F373" s="167" t="inlineStr">
        <is>
          <t>200027</t>
        </is>
      </c>
      <c r="G373" s="167" t="inlineStr">
        <is>
          <t>22084000</t>
        </is>
      </c>
      <c r="H373" s="167" t="n"/>
      <c r="I373" s="167" t="inlineStr">
        <is>
          <t>Alimentos - 5102</t>
        </is>
      </c>
      <c r="J373" s="167" t="inlineStr">
        <is>
          <t>Carinás</t>
        </is>
      </c>
      <c r="K373" s="167" t="inlineStr">
        <is>
          <t>Sim</t>
        </is>
      </c>
      <c r="L373" s="167" t="inlineStr">
        <is>
          <t>Unidades</t>
        </is>
      </c>
      <c r="M373" s="167" t="inlineStr">
        <is>
          <t>Carinás + SA</t>
        </is>
      </c>
    </row>
    <row r="374">
      <c r="A374" s="167" t="inlineStr">
        <is>
          <t>NORTENA</t>
        </is>
      </c>
      <c r="B374" s="167" t="n"/>
      <c r="C374" s="167" t="n"/>
      <c r="D374" s="167" t="n">
        <v>39.9</v>
      </c>
      <c r="E374" s="167" t="n">
        <v>3990</v>
      </c>
      <c r="F374" s="167" t="inlineStr">
        <is>
          <t>80022</t>
        </is>
      </c>
      <c r="G374" s="167" t="inlineStr">
        <is>
          <t>22030000</t>
        </is>
      </c>
      <c r="H374" s="167" t="n"/>
      <c r="I374" s="167" t="inlineStr">
        <is>
          <t>Bebidas - 5405 - 1</t>
        </is>
      </c>
      <c r="J374" s="167" t="inlineStr">
        <is>
          <t>Santo André</t>
        </is>
      </c>
      <c r="K374" s="167" t="n"/>
      <c r="L374" s="167" t="n"/>
      <c r="M374" s="167" t="inlineStr">
        <is>
          <t>SA</t>
        </is>
      </c>
    </row>
    <row r="375">
      <c r="A375" s="167" t="inlineStr">
        <is>
          <t>NORTON PORTEÑO CHARDONNAY</t>
        </is>
      </c>
      <c r="B375" s="167" t="n"/>
      <c r="C375" s="167" t="n"/>
      <c r="D375" s="167" t="n">
        <v>99.98999999999999</v>
      </c>
      <c r="E375" s="167" t="n">
        <v>9999</v>
      </c>
      <c r="F375" s="167" t="inlineStr">
        <is>
          <t>7898905687189</t>
        </is>
      </c>
      <c r="G375" s="167" t="inlineStr">
        <is>
          <t>22042100</t>
        </is>
      </c>
      <c r="H375" s="167" t="n"/>
      <c r="I375" s="167" t="inlineStr">
        <is>
          <t>Bebidas - 5405 - 1</t>
        </is>
      </c>
      <c r="J375" s="167" t="inlineStr">
        <is>
          <t>Carinás</t>
        </is>
      </c>
      <c r="K375" s="167" t="inlineStr">
        <is>
          <t>Sim</t>
        </is>
      </c>
      <c r="L375" s="167" t="inlineStr">
        <is>
          <t>Unidades</t>
        </is>
      </c>
      <c r="M375" s="167" t="inlineStr">
        <is>
          <t>Carinás + SA</t>
        </is>
      </c>
    </row>
    <row r="376">
      <c r="A376" s="167" t="inlineStr">
        <is>
          <t>NORTON PORTEÑO MALBEC</t>
        </is>
      </c>
      <c r="B376" s="167" t="n"/>
      <c r="C376" s="167" t="n"/>
      <c r="D376" s="167" t="n">
        <v>99.98999999999999</v>
      </c>
      <c r="E376" s="167" t="n">
        <v>9999</v>
      </c>
      <c r="F376" s="167" t="inlineStr">
        <is>
          <t>7898905687190</t>
        </is>
      </c>
      <c r="G376" s="167" t="inlineStr">
        <is>
          <t>22042100</t>
        </is>
      </c>
      <c r="H376" s="167" t="n"/>
      <c r="I376" s="167" t="inlineStr">
        <is>
          <t>Bebidas - 5405 - 1</t>
        </is>
      </c>
      <c r="J376" s="167" t="inlineStr">
        <is>
          <t>Carinás</t>
        </is>
      </c>
      <c r="K376" s="167" t="inlineStr">
        <is>
          <t>Sim</t>
        </is>
      </c>
      <c r="L376" s="167" t="inlineStr">
        <is>
          <t>Unidades</t>
        </is>
      </c>
      <c r="M376" s="167" t="inlineStr">
        <is>
          <t>Carinás + SA</t>
        </is>
      </c>
    </row>
    <row r="377">
      <c r="A377" s="167" t="inlineStr">
        <is>
          <t>OldFeshioned</t>
        </is>
      </c>
      <c r="B377" s="167" t="n"/>
      <c r="C377" s="167" t="n"/>
      <c r="D377" s="167" t="n">
        <v>38</v>
      </c>
      <c r="E377" s="167" t="n">
        <v>3800</v>
      </c>
      <c r="F377" s="167" t="inlineStr">
        <is>
          <t>78989056877232</t>
        </is>
      </c>
      <c r="G377" s="167" t="inlineStr">
        <is>
          <t>22084000</t>
        </is>
      </c>
      <c r="H377" s="167" t="n"/>
      <c r="I377" s="167" t="inlineStr">
        <is>
          <t>Alimentos - 5102</t>
        </is>
      </c>
      <c r="J377" s="167" t="inlineStr">
        <is>
          <t>Carinás</t>
        </is>
      </c>
      <c r="K377" s="167" t="inlineStr">
        <is>
          <t>Não</t>
        </is>
      </c>
      <c r="L377" s="167" t="inlineStr">
        <is>
          <t>Unidades</t>
        </is>
      </c>
      <c r="M377" s="167" t="inlineStr">
        <is>
          <t>Carinás + SA</t>
        </is>
      </c>
    </row>
    <row r="378">
      <c r="A378" s="167" t="inlineStr">
        <is>
          <t>ORIGINAL 600</t>
        </is>
      </c>
      <c r="B378" s="167" t="n"/>
      <c r="C378" s="167" t="n"/>
      <c r="D378" s="167" t="n">
        <v>19.99</v>
      </c>
      <c r="E378" s="167" t="n">
        <v>1999</v>
      </c>
      <c r="F378" s="167" t="inlineStr">
        <is>
          <t>79002</t>
        </is>
      </c>
      <c r="G378" s="167" t="inlineStr">
        <is>
          <t>22030000</t>
        </is>
      </c>
      <c r="H378" s="167" t="inlineStr">
        <is>
          <t>302100</t>
        </is>
      </c>
      <c r="I378" s="167" t="inlineStr">
        <is>
          <t>Bebidas - 5405 - 2</t>
        </is>
      </c>
      <c r="J378" s="167" t="inlineStr">
        <is>
          <t>Carinás</t>
        </is>
      </c>
      <c r="K378" s="167" t="inlineStr">
        <is>
          <t>Sim</t>
        </is>
      </c>
      <c r="L378" s="167" t="inlineStr">
        <is>
          <t>Unidades</t>
        </is>
      </c>
      <c r="M378" s="167" t="inlineStr">
        <is>
          <t>Carinás + SA + Delivery</t>
        </is>
      </c>
    </row>
    <row r="379">
      <c r="A379" s="167" t="inlineStr">
        <is>
          <t>ORIGINAL ANIVERSARIANTE</t>
        </is>
      </c>
      <c r="B379" s="167" t="n"/>
      <c r="C379" s="167" t="n"/>
      <c r="D379" s="167" t="n">
        <v>0</v>
      </c>
      <c r="E379" s="167" t="n">
        <v>0</v>
      </c>
      <c r="F379" s="167" t="inlineStr">
        <is>
          <t>7898905687711</t>
        </is>
      </c>
      <c r="G379" s="167" t="inlineStr">
        <is>
          <t>22030000</t>
        </is>
      </c>
      <c r="H379" s="167" t="n"/>
      <c r="I379" s="167" t="inlineStr">
        <is>
          <t>Bebidas - 5405 - 1</t>
        </is>
      </c>
      <c r="J379" s="167" t="inlineStr">
        <is>
          <t>Carinás</t>
        </is>
      </c>
      <c r="K379" s="167" t="inlineStr">
        <is>
          <t>Sim</t>
        </is>
      </c>
      <c r="L379" s="167" t="inlineStr">
        <is>
          <t>Unidades</t>
        </is>
      </c>
      <c r="M379" s="167" t="inlineStr">
        <is>
          <t>Carinás + SA</t>
        </is>
      </c>
    </row>
    <row r="380">
      <c r="A380" s="167" t="inlineStr">
        <is>
          <t>PACOTE DE CASAMENTO</t>
        </is>
      </c>
      <c r="B380" s="167" t="n"/>
      <c r="C380" s="167" t="inlineStr">
        <is>
          <t>PROMOÇÃO</t>
        </is>
      </c>
      <c r="D380" s="167" t="n">
        <v>99</v>
      </c>
      <c r="E380" s="167" t="n">
        <v>9900</v>
      </c>
      <c r="F380" s="167" t="inlineStr">
        <is>
          <t>78989056877193</t>
        </is>
      </c>
      <c r="G380" s="167" t="inlineStr">
        <is>
          <t>21069090</t>
        </is>
      </c>
      <c r="H380" s="167" t="n"/>
      <c r="I380" s="167" t="inlineStr">
        <is>
          <t>Alimentos - 5102</t>
        </is>
      </c>
      <c r="J380" s="167" t="inlineStr">
        <is>
          <t>Carinás</t>
        </is>
      </c>
      <c r="K380" s="167" t="inlineStr">
        <is>
          <t>Não</t>
        </is>
      </c>
      <c r="L380" s="167" t="inlineStr">
        <is>
          <t>Unidades</t>
        </is>
      </c>
      <c r="M380" s="167" t="inlineStr">
        <is>
          <t>Carinás + SA</t>
        </is>
      </c>
    </row>
    <row r="381">
      <c r="A381" s="167" t="inlineStr">
        <is>
          <t>PANCETA</t>
        </is>
      </c>
      <c r="B381" s="167" t="n"/>
      <c r="C381" s="167" t="n"/>
      <c r="D381" s="167" t="n">
        <v>13.99</v>
      </c>
      <c r="E381" s="167" t="n">
        <v>1399</v>
      </c>
      <c r="F381" s="167" t="inlineStr">
        <is>
          <t>10043</t>
        </is>
      </c>
      <c r="G381" s="167" t="inlineStr">
        <is>
          <t>2031900</t>
        </is>
      </c>
      <c r="H381" s="167" t="n"/>
      <c r="I381" s="167" t="inlineStr">
        <is>
          <t>Alimentos - 5102</t>
        </is>
      </c>
      <c r="J381" s="167" t="inlineStr">
        <is>
          <t>Carinás</t>
        </is>
      </c>
      <c r="K381" s="167" t="inlineStr">
        <is>
          <t>Sim</t>
        </is>
      </c>
      <c r="L381" s="167" t="inlineStr">
        <is>
          <t>Unidades</t>
        </is>
      </c>
      <c r="M381" s="167" t="inlineStr">
        <is>
          <t>Carinás + SA + Delivery</t>
        </is>
      </c>
    </row>
    <row r="382">
      <c r="A382" s="167" t="inlineStr">
        <is>
          <t>PANCETA IN NATURA</t>
        </is>
      </c>
      <c r="B382" s="167" t="n"/>
      <c r="C382" s="167" t="n"/>
      <c r="D382" s="167" t="n">
        <v>29.9</v>
      </c>
      <c r="E382" s="167" t="n">
        <v>2990</v>
      </c>
      <c r="F382" s="167" t="inlineStr">
        <is>
          <t>9003281</t>
        </is>
      </c>
      <c r="G382" s="167" t="inlineStr">
        <is>
          <t>2031900</t>
        </is>
      </c>
      <c r="H382" s="167" t="n"/>
      <c r="I382" s="167" t="inlineStr">
        <is>
          <t>Alimentos - 5102</t>
        </is>
      </c>
      <c r="J382" s="167" t="inlineStr">
        <is>
          <t>Carinás</t>
        </is>
      </c>
      <c r="K382" s="167" t="inlineStr">
        <is>
          <t>Sim</t>
        </is>
      </c>
      <c r="L382" s="167" t="inlineStr">
        <is>
          <t>Unidades</t>
        </is>
      </c>
      <c r="M382" s="167" t="inlineStr">
        <is>
          <t>Carinás + SA + Delivery</t>
        </is>
      </c>
    </row>
    <row r="383">
      <c r="A383" s="167" t="inlineStr">
        <is>
          <t>PAO C/ MUSSARELA IN NATURA</t>
        </is>
      </c>
      <c r="B383" s="167" t="n"/>
      <c r="C383" s="167" t="n"/>
      <c r="D383" s="167" t="n">
        <v>24.9</v>
      </c>
      <c r="E383" s="167" t="n">
        <v>2490</v>
      </c>
      <c r="F383" s="167" t="inlineStr">
        <is>
          <t>10017</t>
        </is>
      </c>
      <c r="G383" s="167" t="inlineStr">
        <is>
          <t>19059090</t>
        </is>
      </c>
      <c r="H383" s="167" t="n"/>
      <c r="I383" s="167" t="inlineStr">
        <is>
          <t>Alimentos - 5102</t>
        </is>
      </c>
      <c r="J383" s="167" t="inlineStr">
        <is>
          <t>Carinás</t>
        </is>
      </c>
      <c r="K383" s="167" t="inlineStr">
        <is>
          <t>Sim</t>
        </is>
      </c>
      <c r="L383" s="167" t="inlineStr">
        <is>
          <t>Unidades</t>
        </is>
      </c>
      <c r="M383" s="167" t="inlineStr">
        <is>
          <t>Carinás + SA</t>
        </is>
      </c>
    </row>
    <row r="384">
      <c r="A384" s="167" t="inlineStr">
        <is>
          <t>PAO DE ALHO</t>
        </is>
      </c>
      <c r="B384" s="167" t="n"/>
      <c r="C384" s="167" t="n"/>
      <c r="D384" s="167" t="n">
        <v>13.99</v>
      </c>
      <c r="E384" s="167" t="n">
        <v>1399</v>
      </c>
      <c r="F384" s="167" t="inlineStr">
        <is>
          <t>10038</t>
        </is>
      </c>
      <c r="G384" s="167" t="inlineStr">
        <is>
          <t>21069090</t>
        </is>
      </c>
      <c r="H384" s="167" t="n"/>
      <c r="I384" s="167" t="inlineStr">
        <is>
          <t>Alimentos - 5102</t>
        </is>
      </c>
      <c r="J384" s="167" t="inlineStr">
        <is>
          <t>Carinás</t>
        </is>
      </c>
      <c r="K384" s="167" t="inlineStr">
        <is>
          <t>Sim</t>
        </is>
      </c>
      <c r="L384" s="167" t="inlineStr">
        <is>
          <t>Unidades</t>
        </is>
      </c>
      <c r="M384" s="167" t="inlineStr">
        <is>
          <t>Carinás + SA + Delivery</t>
        </is>
      </c>
    </row>
    <row r="385">
      <c r="A385" s="167" t="inlineStr">
        <is>
          <t>PARA COMPARTILHAR</t>
        </is>
      </c>
      <c r="B385" s="167" t="inlineStr">
        <is>
          <t>Refeicao</t>
        </is>
      </c>
      <c r="C385" s="167" t="inlineStr">
        <is>
          <t>DELIVERY</t>
        </is>
      </c>
      <c r="D385" s="167" t="n">
        <v>159.9</v>
      </c>
      <c r="E385" s="167" t="n">
        <v>15990</v>
      </c>
      <c r="F385" s="167" t="inlineStr">
        <is>
          <t>9003275</t>
        </is>
      </c>
      <c r="G385" s="167" t="inlineStr">
        <is>
          <t>21069090</t>
        </is>
      </c>
      <c r="H385" s="167" t="n"/>
      <c r="I385" s="167" t="inlineStr">
        <is>
          <t>Alimentos - 5102</t>
        </is>
      </c>
      <c r="J385" s="167" t="inlineStr">
        <is>
          <t>Carinás</t>
        </is>
      </c>
      <c r="K385" s="167" t="inlineStr">
        <is>
          <t>Sim</t>
        </is>
      </c>
      <c r="L385" s="167" t="inlineStr">
        <is>
          <t>Unidades</t>
        </is>
      </c>
      <c r="M385" s="167" t="inlineStr">
        <is>
          <t>Delivery</t>
        </is>
      </c>
    </row>
    <row r="386">
      <c r="A386" s="167" t="inlineStr">
        <is>
          <t>PARA COMPARTILHAR  2</t>
        </is>
      </c>
      <c r="B386" s="167" t="inlineStr">
        <is>
          <t>Refeicao</t>
        </is>
      </c>
      <c r="C386" s="167" t="inlineStr">
        <is>
          <t>DELIVERY</t>
        </is>
      </c>
      <c r="D386" s="167" t="n">
        <v>289.9</v>
      </c>
      <c r="E386" s="167" t="n">
        <v>28990</v>
      </c>
      <c r="F386" s="167" t="inlineStr">
        <is>
          <t>9003276</t>
        </is>
      </c>
      <c r="G386" s="167" t="inlineStr">
        <is>
          <t>21069090</t>
        </is>
      </c>
      <c r="H386" s="167" t="n"/>
      <c r="I386" s="167" t="inlineStr">
        <is>
          <t>Alimentos - 5102</t>
        </is>
      </c>
      <c r="J386" s="167" t="inlineStr">
        <is>
          <t>Carinás</t>
        </is>
      </c>
      <c r="K386" s="167" t="inlineStr">
        <is>
          <t>Sim</t>
        </is>
      </c>
      <c r="L386" s="167" t="inlineStr">
        <is>
          <t>Unidades</t>
        </is>
      </c>
      <c r="M386" s="167" t="inlineStr">
        <is>
          <t>Delivery</t>
        </is>
      </c>
    </row>
    <row r="387">
      <c r="A387" s="167" t="inlineStr">
        <is>
          <t>PASSAPORTE DIVERSÃO</t>
        </is>
      </c>
      <c r="B387" s="167" t="n"/>
      <c r="C387" s="167" t="n"/>
      <c r="D387" s="167" t="n">
        <v>29.9</v>
      </c>
      <c r="E387" s="167" t="n">
        <v>2990</v>
      </c>
      <c r="F387" s="167" t="inlineStr">
        <is>
          <t>78989056877391</t>
        </is>
      </c>
      <c r="G387" s="167" t="inlineStr">
        <is>
          <t>95043000</t>
        </is>
      </c>
      <c r="H387" s="167" t="n"/>
      <c r="I387" s="167" t="inlineStr">
        <is>
          <t>Alimentos - 5102</t>
        </is>
      </c>
      <c r="J387" s="167" t="inlineStr">
        <is>
          <t>Carinás</t>
        </is>
      </c>
      <c r="K387" s="167" t="inlineStr">
        <is>
          <t>Não</t>
        </is>
      </c>
      <c r="L387" s="167" t="inlineStr">
        <is>
          <t>Unidades</t>
        </is>
      </c>
      <c r="M387" s="167" t="inlineStr">
        <is>
          <t>Carinás</t>
        </is>
      </c>
    </row>
    <row r="388">
      <c r="A388" s="167" t="inlineStr">
        <is>
          <t>PASSAPORTE DIVERSÃO (ENTRADA + KIT MASSINHA)</t>
        </is>
      </c>
      <c r="B388" s="167" t="n"/>
      <c r="C388" s="167" t="n"/>
      <c r="D388" s="167" t="n">
        <v>29.9</v>
      </c>
      <c r="E388" s="167" t="n">
        <v>2990</v>
      </c>
      <c r="F388" s="167" t="inlineStr">
        <is>
          <t>78989056877393</t>
        </is>
      </c>
      <c r="G388" s="167" t="inlineStr">
        <is>
          <t>95043000</t>
        </is>
      </c>
      <c r="H388" s="167" t="n"/>
      <c r="I388" s="167" t="inlineStr">
        <is>
          <t>Alimentos - 5102</t>
        </is>
      </c>
      <c r="J388" s="167" t="inlineStr">
        <is>
          <t>Carinás</t>
        </is>
      </c>
      <c r="K388" s="167" t="inlineStr">
        <is>
          <t>Não</t>
        </is>
      </c>
      <c r="L388" s="167" t="inlineStr">
        <is>
          <t>Unidades</t>
        </is>
      </c>
      <c r="M388" s="167" t="inlineStr">
        <is>
          <t>Carinás</t>
        </is>
      </c>
    </row>
    <row r="389">
      <c r="A389" s="167" t="inlineStr">
        <is>
          <t>PASSAPORTE GOURMET</t>
        </is>
      </c>
      <c r="B389" s="167" t="n"/>
      <c r="C389" s="167" t="n"/>
      <c r="D389" s="167" t="n">
        <v>69.90000000000001</v>
      </c>
      <c r="E389" s="167" t="n">
        <v>6990</v>
      </c>
      <c r="F389" s="167" t="inlineStr">
        <is>
          <t>78989056877390</t>
        </is>
      </c>
      <c r="G389" s="167" t="inlineStr">
        <is>
          <t>95043000</t>
        </is>
      </c>
      <c r="H389" s="167" t="n"/>
      <c r="I389" s="167" t="inlineStr">
        <is>
          <t>Alimentos - 5102</t>
        </is>
      </c>
      <c r="J389" s="167" t="inlineStr">
        <is>
          <t>Carinás</t>
        </is>
      </c>
      <c r="K389" s="167" t="inlineStr">
        <is>
          <t>Não</t>
        </is>
      </c>
      <c r="L389" s="167" t="inlineStr">
        <is>
          <t>Unidades</t>
        </is>
      </c>
      <c r="M389" s="167" t="inlineStr">
        <is>
          <t>Carinás</t>
        </is>
      </c>
    </row>
    <row r="390">
      <c r="A390" s="167" t="inlineStr">
        <is>
          <t>PATAGONIA IPA  600 ML</t>
        </is>
      </c>
      <c r="B390" s="167" t="n"/>
      <c r="C390" s="167" t="n"/>
      <c r="D390" s="167" t="n">
        <v>21.9</v>
      </c>
      <c r="E390" s="167" t="n">
        <v>2190</v>
      </c>
      <c r="F390" s="167" t="inlineStr">
        <is>
          <t>3000174</t>
        </is>
      </c>
      <c r="G390" s="167" t="inlineStr">
        <is>
          <t>22030000</t>
        </is>
      </c>
      <c r="H390" s="167" t="n"/>
      <c r="I390" s="167" t="inlineStr">
        <is>
          <t>Bebidas - 5405 - 1</t>
        </is>
      </c>
      <c r="J390" s="167" t="inlineStr">
        <is>
          <t>Santo André</t>
        </is>
      </c>
      <c r="K390" s="167" t="n"/>
      <c r="L390" s="167" t="n"/>
      <c r="M390" s="167" t="inlineStr">
        <is>
          <t>SA</t>
        </is>
      </c>
    </row>
    <row r="391">
      <c r="A391" s="167" t="inlineStr">
        <is>
          <t>PATRIA NUEVA BRANCO</t>
        </is>
      </c>
      <c r="B391" s="167" t="n"/>
      <c r="C391" s="167" t="n"/>
      <c r="D391" s="167" t="n">
        <v>98</v>
      </c>
      <c r="E391" s="167" t="n">
        <v>9800</v>
      </c>
      <c r="F391" s="167" t="inlineStr">
        <is>
          <t>78989056877219</t>
        </is>
      </c>
      <c r="G391" s="167" t="inlineStr">
        <is>
          <t>22042100</t>
        </is>
      </c>
      <c r="H391" s="167" t="n"/>
      <c r="I391" s="167" t="inlineStr">
        <is>
          <t>Bebidas - 5405 - 1</t>
        </is>
      </c>
      <c r="J391" s="167" t="inlineStr">
        <is>
          <t>Carinás</t>
        </is>
      </c>
      <c r="K391" s="167" t="inlineStr">
        <is>
          <t>Não</t>
        </is>
      </c>
      <c r="L391" s="167" t="inlineStr">
        <is>
          <t>Unidades</t>
        </is>
      </c>
      <c r="M391" s="167" t="inlineStr">
        <is>
          <t>Carinás + SA</t>
        </is>
      </c>
    </row>
    <row r="392">
      <c r="A392" s="167" t="inlineStr">
        <is>
          <t>PATRIA NUEVA TINTO</t>
        </is>
      </c>
      <c r="B392" s="167" t="n"/>
      <c r="C392" s="167" t="n"/>
      <c r="D392" s="167" t="n">
        <v>98</v>
      </c>
      <c r="E392" s="167" t="n">
        <v>9800</v>
      </c>
      <c r="F392" s="167" t="inlineStr">
        <is>
          <t>78989056877220</t>
        </is>
      </c>
      <c r="G392" s="167" t="inlineStr">
        <is>
          <t>22042100</t>
        </is>
      </c>
      <c r="H392" s="167" t="n"/>
      <c r="I392" s="167" t="inlineStr">
        <is>
          <t>Bebidas - 5405 - 1</t>
        </is>
      </c>
      <c r="J392" s="167" t="inlineStr">
        <is>
          <t>Carinás</t>
        </is>
      </c>
      <c r="K392" s="167" t="inlineStr">
        <is>
          <t>Não</t>
        </is>
      </c>
      <c r="L392" s="167" t="inlineStr">
        <is>
          <t>Unidades</t>
        </is>
      </c>
      <c r="M392" s="167" t="inlineStr">
        <is>
          <t>Carinás + SA</t>
        </is>
      </c>
    </row>
    <row r="393">
      <c r="A393" s="167" t="inlineStr">
        <is>
          <t>Penicilin</t>
        </is>
      </c>
      <c r="B393" s="167" t="n"/>
      <c r="C393" s="167" t="n"/>
      <c r="D393" s="167" t="n">
        <v>39.99</v>
      </c>
      <c r="E393" s="167" t="n">
        <v>3999</v>
      </c>
      <c r="F393" s="167" t="inlineStr">
        <is>
          <t>78989056877233</t>
        </is>
      </c>
      <c r="G393" s="167" t="inlineStr">
        <is>
          <t>22084000</t>
        </is>
      </c>
      <c r="H393" s="167" t="n"/>
      <c r="I393" s="167" t="inlineStr">
        <is>
          <t>Alimentos - 5102</t>
        </is>
      </c>
      <c r="J393" s="167" t="inlineStr">
        <is>
          <t>Carinás</t>
        </is>
      </c>
      <c r="K393" s="167" t="inlineStr">
        <is>
          <t>Não</t>
        </is>
      </c>
      <c r="L393" s="167" t="inlineStr">
        <is>
          <t>Unidades</t>
        </is>
      </c>
      <c r="M393" s="167" t="inlineStr">
        <is>
          <t>Carinás + SA</t>
        </is>
      </c>
    </row>
    <row r="394">
      <c r="A394" s="167" t="inlineStr">
        <is>
          <t>PEPSI</t>
        </is>
      </c>
      <c r="B394" s="167" t="n"/>
      <c r="C394" s="167" t="n"/>
      <c r="D394" s="167" t="n">
        <v>9.99</v>
      </c>
      <c r="E394" s="167" t="n">
        <v>999</v>
      </c>
      <c r="F394" s="167" t="inlineStr">
        <is>
          <t>71003</t>
        </is>
      </c>
      <c r="G394" s="167" t="inlineStr">
        <is>
          <t>22021000</t>
        </is>
      </c>
      <c r="H394" s="167" t="n"/>
      <c r="I394" s="167" t="inlineStr">
        <is>
          <t>Bebidas - 5405 - 2</t>
        </is>
      </c>
      <c r="J394" s="167" t="inlineStr">
        <is>
          <t>Carinás</t>
        </is>
      </c>
      <c r="K394" s="167" t="inlineStr">
        <is>
          <t>Sim</t>
        </is>
      </c>
      <c r="L394" s="167" t="inlineStr">
        <is>
          <t>Unidades</t>
        </is>
      </c>
      <c r="M394" s="167" t="inlineStr">
        <is>
          <t>Carinás + SA + Delivery</t>
        </is>
      </c>
    </row>
    <row r="395">
      <c r="A395" s="167" t="inlineStr">
        <is>
          <t>Pepsi Lata</t>
        </is>
      </c>
      <c r="B395" s="167" t="n"/>
      <c r="C395" s="167" t="n"/>
      <c r="D395" s="167" t="n">
        <v>10</v>
      </c>
      <c r="E395" s="167" t="n">
        <v>1000</v>
      </c>
      <c r="F395" s="167" t="inlineStr">
        <is>
          <t>78989056877355</t>
        </is>
      </c>
      <c r="G395" s="167" t="inlineStr">
        <is>
          <t>22021000</t>
        </is>
      </c>
      <c r="H395" s="167" t="n"/>
      <c r="I395" s="167" t="inlineStr">
        <is>
          <t>Bebidas - 5405 - 2</t>
        </is>
      </c>
      <c r="J395" s="167" t="inlineStr">
        <is>
          <t>Carinás</t>
        </is>
      </c>
      <c r="K395" s="167" t="inlineStr">
        <is>
          <t>Sim</t>
        </is>
      </c>
      <c r="L395" s="167" t="inlineStr">
        <is>
          <t>Unidades</t>
        </is>
      </c>
      <c r="M395" s="167" t="inlineStr">
        <is>
          <t>Carinás</t>
        </is>
      </c>
    </row>
    <row r="396">
      <c r="A396" s="167" t="inlineStr">
        <is>
          <t>PEPSI LIGHT</t>
        </is>
      </c>
      <c r="B396" s="167" t="n"/>
      <c r="C396" s="167" t="n"/>
      <c r="D396" s="167" t="n">
        <v>9.99</v>
      </c>
      <c r="E396" s="167" t="n">
        <v>999</v>
      </c>
      <c r="F396" s="167" t="inlineStr">
        <is>
          <t>71009</t>
        </is>
      </c>
      <c r="G396" s="167" t="inlineStr">
        <is>
          <t>22021000</t>
        </is>
      </c>
      <c r="H396" s="167" t="n"/>
      <c r="I396" s="167" t="inlineStr">
        <is>
          <t>Bebidas - 5405 - 2</t>
        </is>
      </c>
      <c r="J396" s="167" t="inlineStr">
        <is>
          <t>Carinás</t>
        </is>
      </c>
      <c r="K396" s="167" t="inlineStr">
        <is>
          <t>Sim</t>
        </is>
      </c>
      <c r="L396" s="167" t="inlineStr">
        <is>
          <t>Unidades</t>
        </is>
      </c>
      <c r="M396" s="167" t="inlineStr">
        <is>
          <t>Carinás + SA + Delivery</t>
        </is>
      </c>
    </row>
    <row r="397">
      <c r="A397" s="167" t="inlineStr">
        <is>
          <t>Pepsi Zero Lata</t>
        </is>
      </c>
      <c r="B397" s="167" t="n"/>
      <c r="C397" s="167" t="n"/>
      <c r="D397" s="167" t="n">
        <v>10</v>
      </c>
      <c r="E397" s="167" t="n">
        <v>1000</v>
      </c>
      <c r="F397" s="167" t="inlineStr">
        <is>
          <t>78989056877356</t>
        </is>
      </c>
      <c r="G397" s="167" t="inlineStr">
        <is>
          <t>22021000</t>
        </is>
      </c>
      <c r="H397" s="167" t="n"/>
      <c r="I397" s="167" t="inlineStr">
        <is>
          <t>Bebidas - 5405 - 2</t>
        </is>
      </c>
      <c r="J397" s="167" t="inlineStr">
        <is>
          <t>Carinás</t>
        </is>
      </c>
      <c r="K397" s="167" t="inlineStr">
        <is>
          <t>Sim</t>
        </is>
      </c>
      <c r="L397" s="167" t="inlineStr">
        <is>
          <t>Unidades</t>
        </is>
      </c>
      <c r="M397" s="167" t="inlineStr">
        <is>
          <t>Carinás</t>
        </is>
      </c>
    </row>
    <row r="398">
      <c r="A398" s="167" t="inlineStr">
        <is>
          <t>PF QUINTAL</t>
        </is>
      </c>
      <c r="B398" s="167" t="inlineStr">
        <is>
          <t>Refeicao</t>
        </is>
      </c>
      <c r="C398" s="167" t="inlineStr">
        <is>
          <t>DELIVERY</t>
        </is>
      </c>
      <c r="D398" s="167" t="n">
        <v>39.9</v>
      </c>
      <c r="E398" s="167" t="n">
        <v>3990</v>
      </c>
      <c r="F398" s="167" t="inlineStr">
        <is>
          <t>78989056877340</t>
        </is>
      </c>
      <c r="G398" s="167" t="inlineStr">
        <is>
          <t>21069090</t>
        </is>
      </c>
      <c r="H398" s="167" t="n"/>
      <c r="I398" s="167" t="inlineStr">
        <is>
          <t>Alimentos - 5102</t>
        </is>
      </c>
      <c r="J398" s="167" t="inlineStr">
        <is>
          <t>Carinás</t>
        </is>
      </c>
      <c r="K398" s="167" t="inlineStr">
        <is>
          <t>Não</t>
        </is>
      </c>
      <c r="L398" s="167" t="inlineStr">
        <is>
          <t>Unidades</t>
        </is>
      </c>
      <c r="M398" s="167" t="inlineStr">
        <is>
          <t>Delivery</t>
        </is>
      </c>
    </row>
    <row r="399">
      <c r="A399" s="167" t="inlineStr">
        <is>
          <t>PICANHA</t>
        </is>
      </c>
      <c r="B399" s="167" t="n"/>
      <c r="C399" s="167" t="n"/>
      <c r="D399" s="167" t="n">
        <v>19.99</v>
      </c>
      <c r="E399" s="167" t="n">
        <v>1999</v>
      </c>
      <c r="F399" s="167" t="inlineStr">
        <is>
          <t>40016</t>
        </is>
      </c>
      <c r="G399" s="167" t="inlineStr">
        <is>
          <t>21069090</t>
        </is>
      </c>
      <c r="H399" s="167" t="n"/>
      <c r="I399" s="167" t="inlineStr">
        <is>
          <t>Alimentos - 5102</t>
        </is>
      </c>
      <c r="J399" s="167" t="inlineStr">
        <is>
          <t>Carinás</t>
        </is>
      </c>
      <c r="K399" s="167" t="inlineStr">
        <is>
          <t>Sim</t>
        </is>
      </c>
      <c r="L399" s="167" t="inlineStr">
        <is>
          <t>Unidades</t>
        </is>
      </c>
      <c r="M399" s="167" t="inlineStr">
        <is>
          <t>Carinás + SA</t>
        </is>
      </c>
    </row>
    <row r="400">
      <c r="A400" s="167" t="inlineStr">
        <is>
          <t>PICANHA IN NATURA</t>
        </is>
      </c>
      <c r="B400" s="167" t="n"/>
      <c r="C400" s="167" t="n"/>
      <c r="D400" s="167" t="n">
        <v>69.90000000000001</v>
      </c>
      <c r="E400" s="167" t="n">
        <v>6990</v>
      </c>
      <c r="F400" s="167" t="inlineStr">
        <is>
          <t>10013</t>
        </is>
      </c>
      <c r="G400" s="167" t="inlineStr">
        <is>
          <t>21069090</t>
        </is>
      </c>
      <c r="H400" s="167" t="n"/>
      <c r="I400" s="167" t="inlineStr">
        <is>
          <t>Alimentos - 5102</t>
        </is>
      </c>
      <c r="J400" s="167" t="inlineStr">
        <is>
          <t>Carinás</t>
        </is>
      </c>
      <c r="K400" s="167" t="inlineStr">
        <is>
          <t>Sim</t>
        </is>
      </c>
      <c r="L400" s="167" t="inlineStr">
        <is>
          <t>Unidades</t>
        </is>
      </c>
      <c r="M400" s="167" t="inlineStr">
        <is>
          <t>Carinás + SA + Delivery</t>
        </is>
      </c>
    </row>
    <row r="401">
      <c r="A401" s="167" t="inlineStr">
        <is>
          <t>PINA COLADA</t>
        </is>
      </c>
      <c r="B401" s="167" t="n"/>
      <c r="C401" s="167" t="n"/>
      <c r="D401" s="167" t="n">
        <v>37.99</v>
      </c>
      <c r="E401" s="167" t="n">
        <v>3799</v>
      </c>
      <c r="F401" s="167" t="inlineStr">
        <is>
          <t>200015</t>
        </is>
      </c>
      <c r="G401" s="167" t="inlineStr">
        <is>
          <t>22084000</t>
        </is>
      </c>
      <c r="H401" s="167" t="n"/>
      <c r="I401" s="167" t="inlineStr">
        <is>
          <t>Alimentos - 5102</t>
        </is>
      </c>
      <c r="J401" s="167" t="inlineStr">
        <is>
          <t>Carinás</t>
        </is>
      </c>
      <c r="K401" s="167" t="inlineStr">
        <is>
          <t>Sim</t>
        </is>
      </c>
      <c r="L401" s="167" t="inlineStr">
        <is>
          <t>Unidades</t>
        </is>
      </c>
      <c r="M401" s="167" t="inlineStr">
        <is>
          <t>Carinás + SA</t>
        </is>
      </c>
    </row>
    <row r="402">
      <c r="A402" s="167" t="inlineStr">
        <is>
          <t>Piranga</t>
        </is>
      </c>
      <c r="B402" s="167" t="n"/>
      <c r="C402" s="167" t="n"/>
      <c r="D402" s="167" t="n">
        <v>37.99</v>
      </c>
      <c r="E402" s="167" t="n">
        <v>3799</v>
      </c>
      <c r="F402" s="167" t="inlineStr">
        <is>
          <t>78989056877224</t>
        </is>
      </c>
      <c r="G402" s="167" t="inlineStr">
        <is>
          <t>22084000</t>
        </is>
      </c>
      <c r="H402" s="167" t="n"/>
      <c r="I402" s="167" t="inlineStr">
        <is>
          <t>Alimentos - 5102</t>
        </is>
      </c>
      <c r="J402" s="167" t="inlineStr">
        <is>
          <t>Carinás</t>
        </is>
      </c>
      <c r="K402" s="167" t="inlineStr">
        <is>
          <t>Não</t>
        </is>
      </c>
      <c r="L402" s="167" t="inlineStr">
        <is>
          <t>Unidades</t>
        </is>
      </c>
      <c r="M402" s="167" t="inlineStr">
        <is>
          <t>Carinás + SA</t>
        </is>
      </c>
    </row>
    <row r="403">
      <c r="A403" s="167" t="inlineStr">
        <is>
          <t>POLENTA (EXECUTIVO)</t>
        </is>
      </c>
      <c r="B403" s="167" t="n"/>
      <c r="C403" s="167" t="inlineStr">
        <is>
          <t xml:space="preserve"> ALMOÇO EXECUTIVO</t>
        </is>
      </c>
      <c r="D403" s="167" t="n">
        <v>4.99</v>
      </c>
      <c r="E403" s="167" t="n">
        <v>499</v>
      </c>
      <c r="F403" s="167" t="inlineStr">
        <is>
          <t>789890568772103</t>
        </is>
      </c>
      <c r="G403" s="167" t="inlineStr">
        <is>
          <t>21069090</t>
        </is>
      </c>
      <c r="H403" s="167" t="inlineStr">
        <is>
          <t>1709700</t>
        </is>
      </c>
      <c r="I403" s="167" t="inlineStr">
        <is>
          <t>Alimentos - 5102</t>
        </is>
      </c>
      <c r="J403" s="167" t="inlineStr">
        <is>
          <t>Carinás</t>
        </is>
      </c>
      <c r="K403" s="167" t="inlineStr">
        <is>
          <t>Sim</t>
        </is>
      </c>
      <c r="L403" s="167" t="inlineStr">
        <is>
          <t>Unidades</t>
        </is>
      </c>
      <c r="M403" s="167" t="inlineStr">
        <is>
          <t>Carinás</t>
        </is>
      </c>
    </row>
    <row r="404">
      <c r="A404" s="167" t="inlineStr">
        <is>
          <t>POLENTA FRITA</t>
        </is>
      </c>
      <c r="B404" s="167" t="n"/>
      <c r="C404" s="167" t="inlineStr">
        <is>
          <t>ACOMPANHAMENTOS</t>
        </is>
      </c>
      <c r="D404" s="167" t="n">
        <v>14.99</v>
      </c>
      <c r="E404" s="167" t="n">
        <v>1499</v>
      </c>
      <c r="F404" s="167" t="inlineStr">
        <is>
          <t>78989056877117</t>
        </is>
      </c>
      <c r="G404" s="167" t="inlineStr">
        <is>
          <t>20079990</t>
        </is>
      </c>
      <c r="H404" s="167" t="n"/>
      <c r="I404" s="167" t="inlineStr">
        <is>
          <t>Alimentos - 5102</t>
        </is>
      </c>
      <c r="J404" s="167" t="inlineStr">
        <is>
          <t>Carinás</t>
        </is>
      </c>
      <c r="K404" s="167" t="inlineStr">
        <is>
          <t>Sim</t>
        </is>
      </c>
      <c r="L404" s="167" t="inlineStr">
        <is>
          <t>Unidades</t>
        </is>
      </c>
      <c r="M404" s="167" t="inlineStr">
        <is>
          <t>Carinás + SA + Delivery</t>
        </is>
      </c>
    </row>
    <row r="405">
      <c r="A405" s="167" t="inlineStr">
        <is>
          <t>POPS CALABRESA E BACON</t>
        </is>
      </c>
      <c r="B405" s="167" t="n"/>
      <c r="C405" s="167" t="inlineStr">
        <is>
          <t>BOTECO NO ESPETO</t>
        </is>
      </c>
      <c r="D405" s="167" t="n">
        <v>13.9</v>
      </c>
      <c r="E405" s="167" t="n">
        <v>1390</v>
      </c>
      <c r="F405" s="167" t="inlineStr">
        <is>
          <t>78989056877118</t>
        </is>
      </c>
      <c r="G405" s="167" t="inlineStr">
        <is>
          <t>19022000</t>
        </is>
      </c>
      <c r="H405" s="167" t="n"/>
      <c r="I405" s="167" t="inlineStr">
        <is>
          <t>Alimentos - 5102</t>
        </is>
      </c>
      <c r="J405" s="167" t="inlineStr">
        <is>
          <t>Carinás</t>
        </is>
      </c>
      <c r="K405" s="167" t="inlineStr">
        <is>
          <t>Sim</t>
        </is>
      </c>
      <c r="L405" s="167" t="inlineStr">
        <is>
          <t>Unidades</t>
        </is>
      </c>
      <c r="M405" s="167" t="inlineStr">
        <is>
          <t>Carinás + SA</t>
        </is>
      </c>
    </row>
    <row r="406">
      <c r="A406" s="167" t="inlineStr">
        <is>
          <t>PORÇÃO DE PASTÉIS</t>
        </is>
      </c>
      <c r="B406" s="167" t="n"/>
      <c r="C406" s="167" t="n"/>
      <c r="D406" s="167" t="n">
        <v>17.99</v>
      </c>
      <c r="E406" s="167" t="n">
        <v>1799</v>
      </c>
      <c r="F406" s="167" t="inlineStr">
        <is>
          <t>9003339</t>
        </is>
      </c>
      <c r="G406" s="167" t="inlineStr">
        <is>
          <t>19022000</t>
        </is>
      </c>
      <c r="H406" s="167" t="n"/>
      <c r="I406" s="167" t="inlineStr">
        <is>
          <t>Alimentos - 5102</t>
        </is>
      </c>
      <c r="J406" s="167" t="inlineStr">
        <is>
          <t>Carinás</t>
        </is>
      </c>
      <c r="K406" s="167" t="inlineStr">
        <is>
          <t>Sim</t>
        </is>
      </c>
      <c r="L406" s="167" t="inlineStr">
        <is>
          <t>Unidades</t>
        </is>
      </c>
      <c r="M406" s="167" t="inlineStr">
        <is>
          <t>Carinás + SA</t>
        </is>
      </c>
    </row>
    <row r="407">
      <c r="A407" s="167" t="inlineStr">
        <is>
          <t>PROMOÇÂO ORIGINAL 600</t>
        </is>
      </c>
      <c r="B407" s="167" t="n"/>
      <c r="C407" s="167" t="n"/>
      <c r="D407" s="167" t="n">
        <v>13.9</v>
      </c>
      <c r="E407" s="167" t="n">
        <v>1390</v>
      </c>
      <c r="F407" s="167" t="inlineStr">
        <is>
          <t>26393</t>
        </is>
      </c>
      <c r="G407" s="167" t="inlineStr">
        <is>
          <t>22030000</t>
        </is>
      </c>
      <c r="H407" s="167" t="n"/>
      <c r="I407" s="167" t="inlineStr">
        <is>
          <t>Bebidas - 5405 - 1</t>
        </is>
      </c>
      <c r="J407" s="167" t="inlineStr">
        <is>
          <t>Carinás</t>
        </is>
      </c>
      <c r="K407" s="167" t="inlineStr">
        <is>
          <t>Sim</t>
        </is>
      </c>
      <c r="L407" s="167" t="inlineStr">
        <is>
          <t>Unidades</t>
        </is>
      </c>
      <c r="M407" s="167" t="inlineStr">
        <is>
          <t>Carinás + SA</t>
        </is>
      </c>
    </row>
    <row r="408">
      <c r="A408" s="167" t="inlineStr">
        <is>
          <t>PROMOÇÂO SPATEN 600 ML</t>
        </is>
      </c>
      <c r="B408" s="167" t="n"/>
      <c r="C408" s="167" t="n"/>
      <c r="D408" s="167" t="n">
        <v>13.9</v>
      </c>
      <c r="E408" s="167" t="n">
        <v>1390</v>
      </c>
      <c r="F408" s="167" t="inlineStr">
        <is>
          <t>7898905687144</t>
        </is>
      </c>
      <c r="G408" s="167" t="inlineStr">
        <is>
          <t>22030000</t>
        </is>
      </c>
      <c r="H408" s="167" t="n"/>
      <c r="I408" s="167" t="inlineStr">
        <is>
          <t>Bebidas - 5405 - 1</t>
        </is>
      </c>
      <c r="J408" s="167" t="inlineStr">
        <is>
          <t>Carinás</t>
        </is>
      </c>
      <c r="K408" s="167" t="inlineStr">
        <is>
          <t>Sim</t>
        </is>
      </c>
      <c r="L408" s="167" t="inlineStr">
        <is>
          <t>Unidades</t>
        </is>
      </c>
      <c r="M408" s="167" t="inlineStr">
        <is>
          <t>Carinás + SA</t>
        </is>
      </c>
    </row>
    <row r="409">
      <c r="A409" s="167" t="inlineStr">
        <is>
          <t>PROMOÇÃO CLASSICOS</t>
        </is>
      </c>
      <c r="B409" s="167" t="inlineStr">
        <is>
          <t>Refeicao</t>
        </is>
      </c>
      <c r="C409" s="167" t="inlineStr">
        <is>
          <t>DELIVERY</t>
        </is>
      </c>
      <c r="D409" s="167" t="n">
        <v>89.90000000000001</v>
      </c>
      <c r="E409" s="167" t="n">
        <v>8990</v>
      </c>
      <c r="F409" s="167" t="inlineStr">
        <is>
          <t>78989056877313</t>
        </is>
      </c>
      <c r="G409" s="167" t="inlineStr">
        <is>
          <t>21069090</t>
        </is>
      </c>
      <c r="H409" s="167" t="n"/>
      <c r="I409" s="167" t="inlineStr">
        <is>
          <t>Alimentos - 5102</t>
        </is>
      </c>
      <c r="J409" s="167" t="inlineStr">
        <is>
          <t>Carinás</t>
        </is>
      </c>
      <c r="K409" s="167" t="inlineStr">
        <is>
          <t>Não</t>
        </is>
      </c>
      <c r="L409" s="167" t="inlineStr">
        <is>
          <t>Unidades</t>
        </is>
      </c>
      <c r="M409" s="167" t="inlineStr">
        <is>
          <t>Delivery</t>
        </is>
      </c>
    </row>
    <row r="410">
      <c r="A410" s="167" t="inlineStr">
        <is>
          <t>PULG TICKETS</t>
        </is>
      </c>
      <c r="B410" s="167" t="n"/>
      <c r="C410" s="167" t="n"/>
      <c r="D410" s="167" t="n">
        <v>0</v>
      </c>
      <c r="E410" s="167" t="n">
        <v>0</v>
      </c>
      <c r="F410" s="167" t="inlineStr">
        <is>
          <t>511025</t>
        </is>
      </c>
      <c r="G410" s="167" t="inlineStr">
        <is>
          <t>21069090</t>
        </is>
      </c>
      <c r="H410" s="167" t="n"/>
      <c r="I410" s="167" t="inlineStr">
        <is>
          <t>Alimentos - 5102</t>
        </is>
      </c>
      <c r="J410" s="167" t="inlineStr">
        <is>
          <t>Carinás</t>
        </is>
      </c>
      <c r="K410" s="167" t="inlineStr">
        <is>
          <t>Sim</t>
        </is>
      </c>
      <c r="L410" s="167" t="inlineStr">
        <is>
          <t>Unidades</t>
        </is>
      </c>
      <c r="M410" s="167" t="inlineStr">
        <is>
          <t>Carinás</t>
        </is>
      </c>
    </row>
    <row r="411">
      <c r="A411" s="167" t="inlineStr">
        <is>
          <t>PUPUNHA C/ TOMATE SECO E RUCULA</t>
        </is>
      </c>
      <c r="B411" s="167" t="n"/>
      <c r="C411" s="167" t="n"/>
      <c r="D411" s="167" t="n">
        <v>18.99</v>
      </c>
      <c r="E411" s="167" t="n">
        <v>1899</v>
      </c>
      <c r="F411" s="167" t="inlineStr">
        <is>
          <t>30006</t>
        </is>
      </c>
      <c r="G411" s="167" t="inlineStr">
        <is>
          <t>21069090</t>
        </is>
      </c>
      <c r="H411" s="167" t="n"/>
      <c r="I411" s="167" t="inlineStr">
        <is>
          <t>Alimentos - 5102</t>
        </is>
      </c>
      <c r="J411" s="167" t="inlineStr">
        <is>
          <t>Carinás</t>
        </is>
      </c>
      <c r="K411" s="167" t="inlineStr">
        <is>
          <t>Sim</t>
        </is>
      </c>
      <c r="L411" s="167" t="inlineStr">
        <is>
          <t>Unidades</t>
        </is>
      </c>
      <c r="M411" s="167" t="inlineStr">
        <is>
          <t>Carinás + SA + Delivery</t>
        </is>
      </c>
    </row>
    <row r="412">
      <c r="A412" s="167" t="inlineStr">
        <is>
          <t>PUPUNHA NA BRASA</t>
        </is>
      </c>
      <c r="B412" s="167" t="n"/>
      <c r="C412" s="167" t="n"/>
      <c r="D412" s="167" t="n">
        <v>16.99</v>
      </c>
      <c r="E412" s="167" t="n">
        <v>1699</v>
      </c>
      <c r="F412" s="167" t="inlineStr">
        <is>
          <t>9003335</t>
        </is>
      </c>
      <c r="G412" s="167" t="inlineStr">
        <is>
          <t>21069090</t>
        </is>
      </c>
      <c r="H412" s="167" t="n"/>
      <c r="I412" s="167" t="inlineStr">
        <is>
          <t>Alimentos - 5102</t>
        </is>
      </c>
      <c r="J412" s="167" t="inlineStr">
        <is>
          <t>Carinás</t>
        </is>
      </c>
      <c r="K412" s="167" t="inlineStr">
        <is>
          <t>Sim</t>
        </is>
      </c>
      <c r="L412" s="167" t="inlineStr">
        <is>
          <t>Unidades</t>
        </is>
      </c>
      <c r="M412" s="167" t="inlineStr">
        <is>
          <t>Carinás + SA + Delivery</t>
        </is>
      </c>
    </row>
    <row r="413">
      <c r="A413" s="167" t="inlineStr">
        <is>
          <t>PURE DE BATATA</t>
        </is>
      </c>
      <c r="B413" s="167" t="inlineStr">
        <is>
          <t>Porcao</t>
        </is>
      </c>
      <c r="C413" s="167" t="inlineStr">
        <is>
          <t>ACOMPANHAMENTOS</t>
        </is>
      </c>
      <c r="D413" s="167" t="n">
        <v>9.9</v>
      </c>
      <c r="E413" s="167" t="n">
        <v>990</v>
      </c>
      <c r="F413" s="167" t="inlineStr">
        <is>
          <t>78989056877334</t>
        </is>
      </c>
      <c r="G413" s="167" t="inlineStr">
        <is>
          <t>21069090</t>
        </is>
      </c>
      <c r="H413" s="167" t="n"/>
      <c r="I413" s="167" t="inlineStr">
        <is>
          <t>Alimentos - 5102</t>
        </is>
      </c>
      <c r="J413" s="167" t="inlineStr">
        <is>
          <t>Carinás</t>
        </is>
      </c>
      <c r="K413" s="167" t="inlineStr">
        <is>
          <t>Não</t>
        </is>
      </c>
      <c r="L413" s="167" t="inlineStr">
        <is>
          <t>Unidades</t>
        </is>
      </c>
      <c r="M413" s="167" t="inlineStr">
        <is>
          <t>Delivery</t>
        </is>
      </c>
    </row>
    <row r="414">
      <c r="A414" s="167" t="inlineStr">
        <is>
          <t>PURE E ABÓBORA</t>
        </is>
      </c>
      <c r="B414" s="167" t="inlineStr">
        <is>
          <t>Porcao</t>
        </is>
      </c>
      <c r="C414" s="167" t="inlineStr">
        <is>
          <t>ACOMPANHAMENTOS</t>
        </is>
      </c>
      <c r="D414" s="167" t="n">
        <v>9.9</v>
      </c>
      <c r="E414" s="167" t="n">
        <v>990</v>
      </c>
      <c r="F414" s="167" t="inlineStr">
        <is>
          <t>78989056877333</t>
        </is>
      </c>
      <c r="G414" s="167" t="inlineStr">
        <is>
          <t>21069090</t>
        </is>
      </c>
      <c r="H414" s="167" t="n"/>
      <c r="I414" s="167" t="inlineStr">
        <is>
          <t>Alimentos - 5102</t>
        </is>
      </c>
      <c r="J414" s="167" t="inlineStr">
        <is>
          <t>Carinás</t>
        </is>
      </c>
      <c r="K414" s="167" t="inlineStr">
        <is>
          <t>Não</t>
        </is>
      </c>
      <c r="L414" s="167" t="inlineStr">
        <is>
          <t>Unidades</t>
        </is>
      </c>
      <c r="M414" s="167" t="inlineStr">
        <is>
          <t>Delivery</t>
        </is>
      </c>
    </row>
    <row r="415">
      <c r="A415" s="167" t="inlineStr">
        <is>
          <t>PURPLE GIN</t>
        </is>
      </c>
      <c r="B415" s="167" t="n"/>
      <c r="C415" s="167" t="n"/>
      <c r="D415" s="167" t="n">
        <v>39</v>
      </c>
      <c r="E415" s="167" t="n">
        <v>3900</v>
      </c>
      <c r="F415" s="167" t="inlineStr">
        <is>
          <t>78989056877284</t>
        </is>
      </c>
      <c r="G415" s="167" t="inlineStr">
        <is>
          <t>22085000</t>
        </is>
      </c>
      <c r="H415" s="167" t="n"/>
      <c r="I415" s="167" t="inlineStr">
        <is>
          <t>Alimentos - 5102</t>
        </is>
      </c>
      <c r="J415" s="167" t="inlineStr">
        <is>
          <t>Carinás</t>
        </is>
      </c>
      <c r="K415" s="167" t="inlineStr">
        <is>
          <t>Sim</t>
        </is>
      </c>
      <c r="L415" s="167" t="inlineStr">
        <is>
          <t>Unidades</t>
        </is>
      </c>
      <c r="M415" s="167" t="inlineStr">
        <is>
          <t>Carinás + SA</t>
        </is>
      </c>
    </row>
    <row r="416">
      <c r="A416" s="167" t="inlineStr">
        <is>
          <t>PURPLE VODKA</t>
        </is>
      </c>
      <c r="B416" s="167" t="n"/>
      <c r="C416" s="167" t="n"/>
      <c r="D416" s="167" t="n">
        <v>39</v>
      </c>
      <c r="E416" s="167" t="n">
        <v>3900</v>
      </c>
      <c r="F416" s="167" t="inlineStr">
        <is>
          <t>78989056877286</t>
        </is>
      </c>
      <c r="G416" s="167" t="inlineStr">
        <is>
          <t>22086000</t>
        </is>
      </c>
      <c r="H416" s="167" t="n"/>
      <c r="I416" s="167" t="inlineStr">
        <is>
          <t>Alimentos - 5102</t>
        </is>
      </c>
      <c r="J416" s="167" t="inlineStr">
        <is>
          <t>Carinás</t>
        </is>
      </c>
      <c r="K416" s="167" t="inlineStr">
        <is>
          <t>Sim</t>
        </is>
      </c>
      <c r="L416" s="167" t="inlineStr">
        <is>
          <t>Unidades</t>
        </is>
      </c>
      <c r="M416" s="167" t="inlineStr">
        <is>
          <t>Carinás + SA</t>
        </is>
      </c>
    </row>
    <row r="417">
      <c r="A417" s="167" t="inlineStr">
        <is>
          <t>QUEIJO COALHO C/ MELACO</t>
        </is>
      </c>
      <c r="B417" s="167" t="n"/>
      <c r="C417" s="167" t="n"/>
      <c r="D417" s="167" t="n">
        <v>13.99</v>
      </c>
      <c r="E417" s="167" t="n">
        <v>1399</v>
      </c>
      <c r="F417" s="167" t="inlineStr">
        <is>
          <t>30007</t>
        </is>
      </c>
      <c r="G417" s="167" t="inlineStr">
        <is>
          <t>21069090</t>
        </is>
      </c>
      <c r="H417" s="167" t="n"/>
      <c r="I417" s="167" t="inlineStr">
        <is>
          <t>Alimentos - 5102</t>
        </is>
      </c>
      <c r="J417" s="167" t="inlineStr">
        <is>
          <t>Carinás</t>
        </is>
      </c>
      <c r="K417" s="167" t="inlineStr">
        <is>
          <t>Sim</t>
        </is>
      </c>
      <c r="L417" s="167" t="inlineStr">
        <is>
          <t>Unidades</t>
        </is>
      </c>
      <c r="M417" s="167" t="inlineStr">
        <is>
          <t>Carinás + SA + Delivery</t>
        </is>
      </c>
    </row>
    <row r="418">
      <c r="A418" s="167" t="inlineStr">
        <is>
          <t>QUEIJO COALHO IN NATURA</t>
        </is>
      </c>
      <c r="B418" s="167" t="n"/>
      <c r="C418" s="167" t="n"/>
      <c r="D418" s="167" t="n">
        <v>29.9</v>
      </c>
      <c r="E418" s="167" t="n">
        <v>2990</v>
      </c>
      <c r="F418" s="167" t="inlineStr">
        <is>
          <t>10010</t>
        </is>
      </c>
      <c r="G418" s="167" t="inlineStr">
        <is>
          <t>21069090</t>
        </is>
      </c>
      <c r="H418" s="167" t="n"/>
      <c r="I418" s="167" t="inlineStr">
        <is>
          <t>Alimentos - 5102</t>
        </is>
      </c>
      <c r="J418" s="167" t="inlineStr">
        <is>
          <t>Carinás</t>
        </is>
      </c>
      <c r="K418" s="167" t="inlineStr">
        <is>
          <t>Sim</t>
        </is>
      </c>
      <c r="L418" s="167" t="inlineStr">
        <is>
          <t>Unidades</t>
        </is>
      </c>
      <c r="M418" s="167" t="inlineStr">
        <is>
          <t>Carinás + SA</t>
        </is>
      </c>
    </row>
    <row r="419">
      <c r="A419" s="167" t="inlineStr">
        <is>
          <t>QUENTÃO</t>
        </is>
      </c>
      <c r="B419" s="167" t="n"/>
      <c r="C419" s="167" t="inlineStr">
        <is>
          <t>A DESTILADOS</t>
        </is>
      </c>
      <c r="D419" s="167" t="n">
        <v>10</v>
      </c>
      <c r="E419" s="167" t="n">
        <v>1000</v>
      </c>
      <c r="F419" s="167" t="inlineStr">
        <is>
          <t>78989056877166</t>
        </is>
      </c>
      <c r="G419" s="167" t="inlineStr">
        <is>
          <t>21069090</t>
        </is>
      </c>
      <c r="H419" s="167" t="n"/>
      <c r="I419" s="167" t="inlineStr">
        <is>
          <t>Bebidas - 5405 - 1</t>
        </is>
      </c>
      <c r="J419" s="167" t="inlineStr">
        <is>
          <t>Carinás</t>
        </is>
      </c>
      <c r="K419" s="167" t="inlineStr">
        <is>
          <t>Não</t>
        </is>
      </c>
      <c r="L419" s="167" t="inlineStr">
        <is>
          <t>Unidades</t>
        </is>
      </c>
      <c r="M419" s="167" t="inlineStr">
        <is>
          <t>Carinás + SA</t>
        </is>
      </c>
    </row>
    <row r="420">
      <c r="A420" s="167" t="inlineStr">
        <is>
          <t>R BULLSUGARFREE</t>
        </is>
      </c>
      <c r="B420" s="167" t="n"/>
      <c r="C420" s="167" t="inlineStr">
        <is>
          <t>A BEBIDAS NÃO ALCOÓLICAS</t>
        </is>
      </c>
      <c r="D420" s="167" t="n">
        <v>20</v>
      </c>
      <c r="E420" s="167" t="n">
        <v>2000</v>
      </c>
      <c r="F420" s="167" t="inlineStr">
        <is>
          <t>71016</t>
        </is>
      </c>
      <c r="G420" s="167" t="inlineStr">
        <is>
          <t>22021000</t>
        </is>
      </c>
      <c r="H420" s="167" t="n"/>
      <c r="I420" s="167" t="inlineStr">
        <is>
          <t>Bebidas - 5405 - 1</t>
        </is>
      </c>
      <c r="J420" s="167" t="inlineStr">
        <is>
          <t>Carinás</t>
        </is>
      </c>
      <c r="K420" s="167" t="inlineStr">
        <is>
          <t>Não</t>
        </is>
      </c>
      <c r="L420" s="167" t="inlineStr">
        <is>
          <t>Unidades</t>
        </is>
      </c>
      <c r="M420" s="167" t="inlineStr">
        <is>
          <t>Carinás + SA</t>
        </is>
      </c>
    </row>
    <row r="421">
      <c r="A421" s="167" t="inlineStr">
        <is>
          <t>RATATOUILLE</t>
        </is>
      </c>
      <c r="B421" s="167" t="n"/>
      <c r="C421" s="167" t="n"/>
      <c r="D421" s="167" t="n">
        <v>11.99</v>
      </c>
      <c r="E421" s="167" t="n">
        <v>1199</v>
      </c>
      <c r="F421" s="167" t="inlineStr">
        <is>
          <t>78989056877326</t>
        </is>
      </c>
      <c r="G421" s="167" t="inlineStr">
        <is>
          <t>21069090</t>
        </is>
      </c>
      <c r="H421" s="167" t="n"/>
      <c r="I421" s="167" t="inlineStr">
        <is>
          <t>Alimentos - 5102</t>
        </is>
      </c>
      <c r="J421" s="167" t="inlineStr">
        <is>
          <t>Carinás</t>
        </is>
      </c>
      <c r="K421" s="167" t="inlineStr">
        <is>
          <t>Não</t>
        </is>
      </c>
      <c r="L421" s="167" t="inlineStr">
        <is>
          <t>Unidades</t>
        </is>
      </c>
      <c r="M421" s="167" t="inlineStr">
        <is>
          <t>Carinás + SA</t>
        </is>
      </c>
    </row>
    <row r="422">
      <c r="A422" s="167" t="inlineStr">
        <is>
          <t>RED BULL</t>
        </is>
      </c>
      <c r="B422" s="167" t="n"/>
      <c r="C422" s="167" t="n"/>
      <c r="D422" s="167" t="n">
        <v>20</v>
      </c>
      <c r="E422" s="167" t="n">
        <v>2000</v>
      </c>
      <c r="F422" s="167" t="inlineStr">
        <is>
          <t>71015</t>
        </is>
      </c>
      <c r="G422" s="167" t="inlineStr">
        <is>
          <t>22021000</t>
        </is>
      </c>
      <c r="H422" s="167" t="n"/>
      <c r="I422" s="167" t="inlineStr">
        <is>
          <t>Bebidas - 5405 - 2</t>
        </is>
      </c>
      <c r="J422" s="167" t="inlineStr">
        <is>
          <t>Carinás</t>
        </is>
      </c>
      <c r="K422" s="167" t="inlineStr">
        <is>
          <t>Sim</t>
        </is>
      </c>
      <c r="L422" s="167" t="inlineStr">
        <is>
          <t>Unidades</t>
        </is>
      </c>
      <c r="M422" s="167" t="inlineStr">
        <is>
          <t>Carinás + SA</t>
        </is>
      </c>
    </row>
    <row r="423">
      <c r="A423" s="167" t="inlineStr">
        <is>
          <t>RED BULL MELANCIA</t>
        </is>
      </c>
      <c r="B423" s="167" t="n"/>
      <c r="C423" s="167" t="n"/>
      <c r="D423" s="167" t="n">
        <v>20</v>
      </c>
      <c r="E423" s="167" t="n">
        <v>2000</v>
      </c>
      <c r="F423" s="167" t="inlineStr">
        <is>
          <t>9003506</t>
        </is>
      </c>
      <c r="G423" s="167" t="inlineStr">
        <is>
          <t>22021000</t>
        </is>
      </c>
      <c r="H423" s="167" t="n"/>
      <c r="I423" s="167" t="inlineStr">
        <is>
          <t>Bebidas - 5405 - 1</t>
        </is>
      </c>
      <c r="J423" s="167" t="inlineStr">
        <is>
          <t>Carinás</t>
        </is>
      </c>
      <c r="K423" s="167" t="inlineStr">
        <is>
          <t>Sim</t>
        </is>
      </c>
      <c r="L423" s="167" t="inlineStr">
        <is>
          <t>Unidades</t>
        </is>
      </c>
      <c r="M423" s="167" t="inlineStr">
        <is>
          <t>Carinás + SA</t>
        </is>
      </c>
    </row>
    <row r="424">
      <c r="A424" s="167" t="inlineStr">
        <is>
          <t>RED BULL MELÃO EDITION</t>
        </is>
      </c>
      <c r="B424" s="167" t="n"/>
      <c r="C424" s="167" t="n"/>
      <c r="D424" s="167" t="n">
        <v>20</v>
      </c>
      <c r="E424" s="167" t="n">
        <v>2000</v>
      </c>
      <c r="F424" s="167" t="inlineStr">
        <is>
          <t>78989056877289</t>
        </is>
      </c>
      <c r="G424" s="167" t="inlineStr">
        <is>
          <t>22021000</t>
        </is>
      </c>
      <c r="H424" s="167" t="n"/>
      <c r="I424" s="167" t="inlineStr">
        <is>
          <t>Bebidas - 5405 - 1</t>
        </is>
      </c>
      <c r="J424" s="167" t="inlineStr">
        <is>
          <t>Carinás</t>
        </is>
      </c>
      <c r="K424" s="167" t="inlineStr">
        <is>
          <t>Sim</t>
        </is>
      </c>
      <c r="L424" s="167" t="inlineStr">
        <is>
          <t>Unidades</t>
        </is>
      </c>
      <c r="M424" s="167" t="inlineStr">
        <is>
          <t>Carinás + SA</t>
        </is>
      </c>
    </row>
    <row r="425">
      <c r="A425" s="167" t="inlineStr">
        <is>
          <t>RED BULL POMELO SUGARFREE</t>
        </is>
      </c>
      <c r="B425" s="167" t="n"/>
      <c r="C425" s="167" t="n"/>
      <c r="D425" s="167" t="n">
        <v>20</v>
      </c>
      <c r="E425" s="167" t="n">
        <v>2000</v>
      </c>
      <c r="F425" s="167" t="inlineStr">
        <is>
          <t>78989056877288</t>
        </is>
      </c>
      <c r="G425" s="167" t="inlineStr">
        <is>
          <t>22021000</t>
        </is>
      </c>
      <c r="H425" s="167" t="n"/>
      <c r="I425" s="167" t="inlineStr">
        <is>
          <t>Bebidas - 5405 - 1</t>
        </is>
      </c>
      <c r="J425" s="167" t="inlineStr">
        <is>
          <t>Carinás</t>
        </is>
      </c>
      <c r="K425" s="167" t="inlineStr">
        <is>
          <t>Sim</t>
        </is>
      </c>
      <c r="L425" s="167" t="inlineStr">
        <is>
          <t>Unidades</t>
        </is>
      </c>
      <c r="M425" s="167" t="inlineStr">
        <is>
          <t>Carinás + SA</t>
        </is>
      </c>
    </row>
    <row r="426">
      <c r="A426" s="167" t="inlineStr">
        <is>
          <t>RED BULL TROPICAL</t>
        </is>
      </c>
      <c r="B426" s="167" t="n"/>
      <c r="C426" s="167" t="n"/>
      <c r="D426" s="167" t="n">
        <v>20</v>
      </c>
      <c r="E426" s="167" t="n">
        <v>2000</v>
      </c>
      <c r="F426" s="167" t="inlineStr">
        <is>
          <t>71022</t>
        </is>
      </c>
      <c r="G426" s="167" t="inlineStr">
        <is>
          <t>22021000</t>
        </is>
      </c>
      <c r="H426" s="167" t="n"/>
      <c r="I426" s="167" t="inlineStr">
        <is>
          <t>Bebidas - 5405 - 2</t>
        </is>
      </c>
      <c r="J426" s="167" t="inlineStr">
        <is>
          <t>Carinás</t>
        </is>
      </c>
      <c r="K426" s="167" t="inlineStr">
        <is>
          <t>Sim</t>
        </is>
      </c>
      <c r="L426" s="167" t="inlineStr">
        <is>
          <t>Unidades</t>
        </is>
      </c>
      <c r="M426" s="167" t="inlineStr">
        <is>
          <t>Carinás + SA</t>
        </is>
      </c>
    </row>
    <row r="427">
      <c r="A427" s="167" t="inlineStr">
        <is>
          <t>RED LABEL DOSE</t>
        </is>
      </c>
      <c r="B427" s="167" t="n"/>
      <c r="C427" s="167" t="n"/>
      <c r="D427" s="167" t="n">
        <v>29</v>
      </c>
      <c r="E427" s="167" t="n">
        <v>2900</v>
      </c>
      <c r="F427" s="167" t="inlineStr">
        <is>
          <t>9003423</t>
        </is>
      </c>
      <c r="G427" s="167" t="inlineStr">
        <is>
          <t>22083020</t>
        </is>
      </c>
      <c r="H427" s="167" t="n"/>
      <c r="I427" s="167" t="inlineStr">
        <is>
          <t>Alimentos - 5102</t>
        </is>
      </c>
      <c r="J427" s="167" t="inlineStr">
        <is>
          <t>Carinás</t>
        </is>
      </c>
      <c r="K427" s="167" t="inlineStr">
        <is>
          <t>Sim</t>
        </is>
      </c>
      <c r="L427" s="167" t="inlineStr">
        <is>
          <t>Unidades</t>
        </is>
      </c>
      <c r="M427" s="167" t="inlineStr">
        <is>
          <t>Carinás + SA</t>
        </is>
      </c>
    </row>
    <row r="428">
      <c r="A428" s="167" t="inlineStr">
        <is>
          <t>RED LABEL GARRAFA</t>
        </is>
      </c>
      <c r="B428" s="167" t="n"/>
      <c r="C428" s="167" t="n"/>
      <c r="D428" s="167" t="n">
        <v>269</v>
      </c>
      <c r="E428" s="167" t="n">
        <v>26900</v>
      </c>
      <c r="F428" s="167" t="inlineStr">
        <is>
          <t>9003422</t>
        </is>
      </c>
      <c r="G428" s="167" t="inlineStr">
        <is>
          <t>22083020</t>
        </is>
      </c>
      <c r="H428" s="167" t="n"/>
      <c r="I428" s="167" t="inlineStr">
        <is>
          <t>Alimentos - 5102</t>
        </is>
      </c>
      <c r="J428" s="167" t="inlineStr">
        <is>
          <t>Carinás</t>
        </is>
      </c>
      <c r="K428" s="167" t="inlineStr">
        <is>
          <t>Sim</t>
        </is>
      </c>
      <c r="L428" s="167" t="inlineStr">
        <is>
          <t>Unidades</t>
        </is>
      </c>
      <c r="M428" s="167" t="inlineStr">
        <is>
          <t>Carinás + SA</t>
        </is>
      </c>
    </row>
    <row r="429">
      <c r="A429" s="167" t="inlineStr">
        <is>
          <t>Redbull Lata</t>
        </is>
      </c>
      <c r="B429" s="167" t="n"/>
      <c r="C429" s="167" t="n"/>
      <c r="D429" s="167" t="n">
        <v>20</v>
      </c>
      <c r="E429" s="167" t="n">
        <v>2000</v>
      </c>
      <c r="F429" s="167" t="inlineStr">
        <is>
          <t>78989056877359</t>
        </is>
      </c>
      <c r="G429" s="167" t="inlineStr">
        <is>
          <t>22021000</t>
        </is>
      </c>
      <c r="H429" s="167" t="n"/>
      <c r="I429" s="167" t="inlineStr">
        <is>
          <t>Bebidas - 5405 - 2</t>
        </is>
      </c>
      <c r="J429" s="167" t="inlineStr">
        <is>
          <t>Carinás</t>
        </is>
      </c>
      <c r="K429" s="167" t="inlineStr">
        <is>
          <t>Sim</t>
        </is>
      </c>
      <c r="L429" s="167" t="inlineStr">
        <is>
          <t>Unidades</t>
        </is>
      </c>
      <c r="M429" s="167" t="inlineStr">
        <is>
          <t>Carinás</t>
        </is>
      </c>
    </row>
    <row r="430">
      <c r="A430" s="167" t="inlineStr">
        <is>
          <t>Redbull Melancia Lata</t>
        </is>
      </c>
      <c r="B430" s="167" t="n"/>
      <c r="C430" s="167" t="n"/>
      <c r="D430" s="167" t="n">
        <v>20</v>
      </c>
      <c r="E430" s="167" t="n">
        <v>2000</v>
      </c>
      <c r="F430" s="167" t="inlineStr">
        <is>
          <t>78989056877361</t>
        </is>
      </c>
      <c r="G430" s="167" t="inlineStr">
        <is>
          <t>22021000</t>
        </is>
      </c>
      <c r="H430" s="167" t="n"/>
      <c r="I430" s="167" t="inlineStr">
        <is>
          <t>Bebidas - 5405 - 2</t>
        </is>
      </c>
      <c r="J430" s="167" t="inlineStr">
        <is>
          <t>Carinás</t>
        </is>
      </c>
      <c r="K430" s="167" t="inlineStr">
        <is>
          <t>Sim</t>
        </is>
      </c>
      <c r="L430" s="167" t="inlineStr">
        <is>
          <t>Unidades</t>
        </is>
      </c>
      <c r="M430" s="167" t="inlineStr">
        <is>
          <t>Carinás</t>
        </is>
      </c>
    </row>
    <row r="431">
      <c r="A431" s="167" t="inlineStr">
        <is>
          <t>Redbull Tropical Lata</t>
        </is>
      </c>
      <c r="B431" s="167" t="n"/>
      <c r="C431" s="167" t="n"/>
      <c r="D431" s="167" t="n">
        <v>20</v>
      </c>
      <c r="E431" s="167" t="n">
        <v>2000</v>
      </c>
      <c r="F431" s="167" t="inlineStr">
        <is>
          <t>78989056877360</t>
        </is>
      </c>
      <c r="G431" s="167" t="inlineStr">
        <is>
          <t>22021000</t>
        </is>
      </c>
      <c r="H431" s="167" t="n"/>
      <c r="I431" s="167" t="inlineStr">
        <is>
          <t>Bebidas - 5405 - 2</t>
        </is>
      </c>
      <c r="J431" s="167" t="inlineStr">
        <is>
          <t>Carinás</t>
        </is>
      </c>
      <c r="K431" s="167" t="inlineStr">
        <is>
          <t>Sim</t>
        </is>
      </c>
      <c r="L431" s="167" t="inlineStr">
        <is>
          <t>Unidades</t>
        </is>
      </c>
      <c r="M431" s="167" t="inlineStr">
        <is>
          <t>Carinás</t>
        </is>
      </c>
    </row>
    <row r="432">
      <c r="A432" s="167" t="inlineStr">
        <is>
          <t>RODIZIO DE CLÁSSICOS</t>
        </is>
      </c>
      <c r="B432" s="167" t="n"/>
      <c r="C432" s="167" t="n"/>
      <c r="D432" s="167" t="n">
        <v>89</v>
      </c>
      <c r="E432" s="167" t="n">
        <v>8900</v>
      </c>
      <c r="F432" s="167" t="inlineStr">
        <is>
          <t>9003305</t>
        </is>
      </c>
      <c r="G432" s="167" t="inlineStr">
        <is>
          <t>21069090</t>
        </is>
      </c>
      <c r="H432" s="167" t="n"/>
      <c r="I432" s="167" t="inlineStr">
        <is>
          <t>Alimentos - 5102</t>
        </is>
      </c>
      <c r="J432" s="167" t="inlineStr">
        <is>
          <t>Carinás</t>
        </is>
      </c>
      <c r="K432" s="167" t="inlineStr">
        <is>
          <t>Sim</t>
        </is>
      </c>
      <c r="L432" s="167" t="inlineStr">
        <is>
          <t>Unidades</t>
        </is>
      </c>
      <c r="M432" s="167" t="inlineStr">
        <is>
          <t>Carinás + SA</t>
        </is>
      </c>
    </row>
    <row r="433">
      <c r="A433" s="167" t="inlineStr">
        <is>
          <t>RODIZIO DE CLÁSSICOS KIDS</t>
        </is>
      </c>
      <c r="B433" s="167" t="n"/>
      <c r="C433" s="167" t="inlineStr">
        <is>
          <t>PROMOÇÃO</t>
        </is>
      </c>
      <c r="D433" s="167" t="n">
        <v>49.5</v>
      </c>
      <c r="E433" s="167" t="n">
        <v>4950</v>
      </c>
      <c r="F433" s="167" t="inlineStr">
        <is>
          <t>9003562</t>
        </is>
      </c>
      <c r="G433" s="167" t="inlineStr">
        <is>
          <t>21069090</t>
        </is>
      </c>
      <c r="H433" s="167" t="n"/>
      <c r="I433" s="167" t="inlineStr">
        <is>
          <t>Alimentos - 5102</t>
        </is>
      </c>
      <c r="J433" s="167" t="inlineStr">
        <is>
          <t>Carinás</t>
        </is>
      </c>
      <c r="K433" s="167" t="inlineStr">
        <is>
          <t>Sim</t>
        </is>
      </c>
      <c r="L433" s="167" t="inlineStr">
        <is>
          <t>Unidades</t>
        </is>
      </c>
      <c r="M433" s="167" t="inlineStr">
        <is>
          <t>Carinás + SA</t>
        </is>
      </c>
    </row>
    <row r="434">
      <c r="A434" s="167" t="inlineStr">
        <is>
          <t>RODIZIO DIA DAS MAES</t>
        </is>
      </c>
      <c r="B434" s="167" t="n"/>
      <c r="C434" s="167" t="n"/>
      <c r="D434" s="167" t="n">
        <v>99</v>
      </c>
      <c r="E434" s="167" t="n">
        <v>9900</v>
      </c>
      <c r="F434" s="167" t="inlineStr">
        <is>
          <t>7898905687806</t>
        </is>
      </c>
      <c r="G434" s="167" t="inlineStr">
        <is>
          <t>21069090</t>
        </is>
      </c>
      <c r="H434" s="167" t="n"/>
      <c r="I434" s="167" t="inlineStr">
        <is>
          <t>Alimentos - 5102</t>
        </is>
      </c>
      <c r="J434" s="167" t="inlineStr">
        <is>
          <t>Carinás</t>
        </is>
      </c>
      <c r="K434" s="167" t="inlineStr">
        <is>
          <t>Não</t>
        </is>
      </c>
      <c r="L434" s="167" t="inlineStr">
        <is>
          <t>Unidades</t>
        </is>
      </c>
      <c r="M434" s="167" t="inlineStr">
        <is>
          <t>Carinás</t>
        </is>
      </c>
    </row>
    <row r="435">
      <c r="A435" s="167" t="inlineStr">
        <is>
          <t>RODIZIO PREMIUM KIDS</t>
        </is>
      </c>
      <c r="B435" s="167" t="n"/>
      <c r="C435" s="167" t="n"/>
      <c r="D435" s="167" t="n">
        <v>127.18</v>
      </c>
      <c r="E435" s="167" t="n">
        <v>12718</v>
      </c>
      <c r="F435" s="167" t="inlineStr">
        <is>
          <t>7898905687502</t>
        </is>
      </c>
      <c r="G435" s="167" t="inlineStr">
        <is>
          <t>21069090</t>
        </is>
      </c>
      <c r="H435" s="167" t="n"/>
      <c r="I435" s="167" t="inlineStr">
        <is>
          <t>Alimentos - 5102</t>
        </is>
      </c>
      <c r="J435" s="167" t="inlineStr">
        <is>
          <t>Carinás</t>
        </is>
      </c>
      <c r="K435" s="167" t="inlineStr">
        <is>
          <t>Sim</t>
        </is>
      </c>
      <c r="L435" s="167" t="inlineStr">
        <is>
          <t>Unidades</t>
        </is>
      </c>
      <c r="M435" s="167" t="inlineStr">
        <is>
          <t>Carinás</t>
        </is>
      </c>
    </row>
    <row r="436">
      <c r="A436" s="167" t="inlineStr">
        <is>
          <t>ROLHA IMPORTADO</t>
        </is>
      </c>
      <c r="B436" s="167" t="n"/>
      <c r="C436" s="167" t="n"/>
      <c r="D436" s="167" t="n">
        <v>60</v>
      </c>
      <c r="E436" s="167" t="n">
        <v>6000</v>
      </c>
      <c r="F436" s="167" t="inlineStr">
        <is>
          <t>102115</t>
        </is>
      </c>
      <c r="G436" s="167" t="inlineStr">
        <is>
          <t>22042100</t>
        </is>
      </c>
      <c r="H436" s="167" t="n"/>
      <c r="I436" s="167" t="inlineStr">
        <is>
          <t>Bebidas - 5405 - 1</t>
        </is>
      </c>
      <c r="J436" s="167" t="inlineStr">
        <is>
          <t>Carinás</t>
        </is>
      </c>
      <c r="K436" s="167" t="inlineStr">
        <is>
          <t>Sim</t>
        </is>
      </c>
      <c r="L436" s="167" t="inlineStr">
        <is>
          <t>Unidades</t>
        </is>
      </c>
      <c r="M436" s="167" t="inlineStr">
        <is>
          <t>Carinás + SA</t>
        </is>
      </c>
    </row>
    <row r="437">
      <c r="A437" s="167" t="inlineStr">
        <is>
          <t>ROLHA NACIONAL</t>
        </is>
      </c>
      <c r="B437" s="167" t="n"/>
      <c r="C437" s="167" t="n"/>
      <c r="D437" s="167" t="n">
        <v>50</v>
      </c>
      <c r="E437" s="167" t="n">
        <v>5000</v>
      </c>
      <c r="F437" s="167" t="inlineStr">
        <is>
          <t>102116</t>
        </is>
      </c>
      <c r="G437" s="167" t="inlineStr">
        <is>
          <t>22042100</t>
        </is>
      </c>
      <c r="H437" s="167" t="n"/>
      <c r="I437" s="167" t="inlineStr">
        <is>
          <t>Bebidas - 5405 - 1</t>
        </is>
      </c>
      <c r="J437" s="167" t="inlineStr">
        <is>
          <t>Carinás</t>
        </is>
      </c>
      <c r="K437" s="167" t="inlineStr">
        <is>
          <t>Sim</t>
        </is>
      </c>
      <c r="L437" s="167" t="inlineStr">
        <is>
          <t>Unidades</t>
        </is>
      </c>
      <c r="M437" s="167" t="inlineStr">
        <is>
          <t>Carinás + SA</t>
        </is>
      </c>
    </row>
    <row r="438">
      <c r="A438" s="167" t="inlineStr">
        <is>
          <t>ROSQUINHA DE COCO</t>
        </is>
      </c>
      <c r="B438" s="167" t="n"/>
      <c r="C438" s="167" t="inlineStr">
        <is>
          <t>A CAFÉ DA MANHA</t>
        </is>
      </c>
      <c r="D438" s="167" t="n">
        <v>0</v>
      </c>
      <c r="E438" s="167" t="n">
        <v>0</v>
      </c>
      <c r="F438" s="167" t="inlineStr">
        <is>
          <t>7898905687178</t>
        </is>
      </c>
      <c r="G438" s="167" t="inlineStr">
        <is>
          <t>19053100</t>
        </is>
      </c>
      <c r="H438" s="167" t="n"/>
      <c r="I438" s="167" t="inlineStr">
        <is>
          <t>Alimentos - 5102</t>
        </is>
      </c>
      <c r="J438" s="167" t="inlineStr">
        <is>
          <t>Carinás</t>
        </is>
      </c>
      <c r="K438" s="167" t="inlineStr">
        <is>
          <t>Sim</t>
        </is>
      </c>
      <c r="L438" s="167" t="inlineStr">
        <is>
          <t>Unidades</t>
        </is>
      </c>
      <c r="M438" s="167" t="inlineStr">
        <is>
          <t>Carinás + SA</t>
        </is>
      </c>
    </row>
    <row r="439">
      <c r="A439" s="167" t="inlineStr">
        <is>
          <t>SABADO</t>
        </is>
      </c>
      <c r="B439" s="167" t="n"/>
      <c r="C439" s="167" t="n"/>
      <c r="D439" s="167" t="n">
        <v>15</v>
      </c>
      <c r="E439" s="167" t="n">
        <v>1500</v>
      </c>
      <c r="F439" s="167" t="inlineStr">
        <is>
          <t>78989056877143</t>
        </is>
      </c>
      <c r="G439" s="167" t="inlineStr">
        <is>
          <t>95043000</t>
        </is>
      </c>
      <c r="H439" s="167" t="n"/>
      <c r="I439" s="167" t="inlineStr">
        <is>
          <t>Alimentos - 5102</t>
        </is>
      </c>
      <c r="J439" s="167" t="inlineStr">
        <is>
          <t>Carinás</t>
        </is>
      </c>
      <c r="K439" s="167" t="inlineStr">
        <is>
          <t>Sim</t>
        </is>
      </c>
      <c r="L439" s="167" t="inlineStr">
        <is>
          <t>Unidades</t>
        </is>
      </c>
      <c r="M439" s="167" t="inlineStr">
        <is>
          <t>Carinás</t>
        </is>
      </c>
    </row>
    <row r="440">
      <c r="A440" s="167" t="inlineStr">
        <is>
          <t>SABOR DE MINAS DOSE</t>
        </is>
      </c>
      <c r="B440" s="167" t="n"/>
      <c r="C440" s="167" t="n"/>
      <c r="D440" s="167" t="n">
        <v>16</v>
      </c>
      <c r="E440" s="167" t="n">
        <v>1600</v>
      </c>
      <c r="F440" s="167" t="inlineStr">
        <is>
          <t>9003140</t>
        </is>
      </c>
      <c r="G440" s="167" t="inlineStr">
        <is>
          <t>22084000</t>
        </is>
      </c>
      <c r="H440" s="167" t="n"/>
      <c r="I440" s="167" t="inlineStr">
        <is>
          <t>Alimentos - 5102</t>
        </is>
      </c>
      <c r="J440" s="167" t="inlineStr">
        <is>
          <t>Santo André</t>
        </is>
      </c>
      <c r="K440" s="167" t="n"/>
      <c r="L440" s="167" t="n"/>
      <c r="M440" s="167" t="inlineStr">
        <is>
          <t>SA</t>
        </is>
      </c>
    </row>
    <row r="441">
      <c r="A441" s="167" t="inlineStr">
        <is>
          <t>SABOR DE MINAS GARRAFA</t>
        </is>
      </c>
      <c r="B441" s="167" t="n"/>
      <c r="C441" s="167" t="n"/>
      <c r="D441" s="167" t="n">
        <v>139</v>
      </c>
      <c r="E441" s="167" t="n">
        <v>13900</v>
      </c>
      <c r="F441" s="167" t="inlineStr">
        <is>
          <t>9003141</t>
        </is>
      </c>
      <c r="G441" s="167" t="inlineStr">
        <is>
          <t>22084000</t>
        </is>
      </c>
      <c r="H441" s="167" t="n"/>
      <c r="I441" s="167" t="inlineStr">
        <is>
          <t>Alimentos - 5102</t>
        </is>
      </c>
      <c r="J441" s="167" t="inlineStr">
        <is>
          <t>Santo André</t>
        </is>
      </c>
      <c r="K441" s="167" t="n"/>
      <c r="L441" s="167" t="n"/>
      <c r="M441" s="167" t="inlineStr">
        <is>
          <t>SA</t>
        </is>
      </c>
    </row>
    <row r="442">
      <c r="A442" s="167" t="inlineStr">
        <is>
          <t>SALADA CALIFÓRNIA</t>
        </is>
      </c>
      <c r="B442" s="167" t="inlineStr">
        <is>
          <t>Refeicao</t>
        </is>
      </c>
      <c r="C442" s="167" t="inlineStr">
        <is>
          <t>A SALADAS</t>
        </is>
      </c>
      <c r="D442" s="167" t="n">
        <v>24.9</v>
      </c>
      <c r="E442" s="167" t="n">
        <v>2490</v>
      </c>
      <c r="F442" s="167" t="inlineStr">
        <is>
          <t>78989056877338</t>
        </is>
      </c>
      <c r="G442" s="167" t="inlineStr">
        <is>
          <t>21069090</t>
        </is>
      </c>
      <c r="H442" s="167" t="n"/>
      <c r="I442" s="167" t="inlineStr">
        <is>
          <t>Alimentos - 5102</t>
        </is>
      </c>
      <c r="J442" s="167" t="inlineStr">
        <is>
          <t>Carinás</t>
        </is>
      </c>
      <c r="K442" s="167" t="inlineStr">
        <is>
          <t>Não</t>
        </is>
      </c>
      <c r="L442" s="167" t="inlineStr">
        <is>
          <t>Unidades</t>
        </is>
      </c>
      <c r="M442" s="167" t="inlineStr">
        <is>
          <t>Delivery</t>
        </is>
      </c>
    </row>
    <row r="443">
      <c r="A443" s="167" t="inlineStr">
        <is>
          <t>SALADA CAPRESE</t>
        </is>
      </c>
      <c r="B443" s="167" t="n"/>
      <c r="C443" s="167" t="n"/>
      <c r="D443" s="167" t="n">
        <v>29.99</v>
      </c>
      <c r="E443" s="167" t="n">
        <v>2999</v>
      </c>
      <c r="F443" s="167" t="inlineStr">
        <is>
          <t>60007</t>
        </is>
      </c>
      <c r="G443" s="167" t="inlineStr">
        <is>
          <t>21069090</t>
        </is>
      </c>
      <c r="H443" s="167" t="n"/>
      <c r="I443" s="167" t="inlineStr">
        <is>
          <t>Alimentos - 5102</t>
        </is>
      </c>
      <c r="J443" s="167" t="inlineStr">
        <is>
          <t>Carinás</t>
        </is>
      </c>
      <c r="K443" s="167" t="inlineStr">
        <is>
          <t>Sim</t>
        </is>
      </c>
      <c r="L443" s="167" t="inlineStr">
        <is>
          <t>Unidades</t>
        </is>
      </c>
      <c r="M443" s="167" t="inlineStr">
        <is>
          <t>Carinás + SA + Delivery</t>
        </is>
      </c>
    </row>
    <row r="444">
      <c r="A444" s="167" t="inlineStr">
        <is>
          <t>SALADA DA CASA</t>
        </is>
      </c>
      <c r="B444" s="167" t="n"/>
      <c r="C444" s="167" t="n"/>
      <c r="D444" s="167" t="n">
        <v>29.99</v>
      </c>
      <c r="E444" s="167" t="n">
        <v>2999</v>
      </c>
      <c r="F444" s="167" t="inlineStr">
        <is>
          <t>60012</t>
        </is>
      </c>
      <c r="G444" s="167" t="inlineStr">
        <is>
          <t>21069090</t>
        </is>
      </c>
      <c r="H444" s="167" t="n"/>
      <c r="I444" s="167" t="inlineStr">
        <is>
          <t>Alimentos - 5102</t>
        </is>
      </c>
      <c r="J444" s="167" t="inlineStr">
        <is>
          <t>Carinás</t>
        </is>
      </c>
      <c r="K444" s="167" t="inlineStr">
        <is>
          <t>Sim</t>
        </is>
      </c>
      <c r="L444" s="167" t="inlineStr">
        <is>
          <t>Unidades</t>
        </is>
      </c>
      <c r="M444" s="167" t="inlineStr">
        <is>
          <t>Carinás + SA + Delivery</t>
        </is>
      </c>
    </row>
    <row r="445">
      <c r="A445" s="167" t="inlineStr">
        <is>
          <t>SALADA JULIANA</t>
        </is>
      </c>
      <c r="B445" s="167" t="n"/>
      <c r="C445" s="167" t="n"/>
      <c r="D445" s="167" t="n">
        <v>29.99</v>
      </c>
      <c r="E445" s="167" t="n">
        <v>2999</v>
      </c>
      <c r="F445" s="167" t="inlineStr">
        <is>
          <t>60013</t>
        </is>
      </c>
      <c r="G445" s="167" t="inlineStr">
        <is>
          <t>21069090</t>
        </is>
      </c>
      <c r="H445" s="167" t="n"/>
      <c r="I445" s="167" t="inlineStr">
        <is>
          <t>Alimentos - 5102</t>
        </is>
      </c>
      <c r="J445" s="167" t="inlineStr">
        <is>
          <t>Carinás</t>
        </is>
      </c>
      <c r="K445" s="167" t="inlineStr">
        <is>
          <t>Sim</t>
        </is>
      </c>
      <c r="L445" s="167" t="inlineStr">
        <is>
          <t>Unidades</t>
        </is>
      </c>
      <c r="M445" s="167" t="inlineStr">
        <is>
          <t>Carinás + SA + Delivery</t>
        </is>
      </c>
    </row>
    <row r="446">
      <c r="A446" s="167" t="inlineStr">
        <is>
          <t>SALSICHAO</t>
        </is>
      </c>
      <c r="B446" s="167" t="n"/>
      <c r="C446" s="167" t="n"/>
      <c r="D446" s="167" t="n">
        <v>14.99</v>
      </c>
      <c r="E446" s="167" t="n">
        <v>1499</v>
      </c>
      <c r="F446" s="167" t="inlineStr">
        <is>
          <t>10040</t>
        </is>
      </c>
      <c r="G446" s="167" t="inlineStr">
        <is>
          <t>21069090</t>
        </is>
      </c>
      <c r="H446" s="167" t="n"/>
      <c r="I446" s="167" t="inlineStr">
        <is>
          <t>Alimentos - 5102</t>
        </is>
      </c>
      <c r="J446" s="167" t="inlineStr">
        <is>
          <t>Carinás</t>
        </is>
      </c>
      <c r="K446" s="167" t="inlineStr">
        <is>
          <t>Sim</t>
        </is>
      </c>
      <c r="L446" s="167" t="inlineStr">
        <is>
          <t>Unidades</t>
        </is>
      </c>
      <c r="M446" s="167" t="inlineStr">
        <is>
          <t>Carinás + SA + Delivery</t>
        </is>
      </c>
    </row>
    <row r="447">
      <c r="A447" s="167" t="inlineStr">
        <is>
          <t>SALSICHAO C/ PROVOLONE</t>
        </is>
      </c>
      <c r="B447" s="167" t="n"/>
      <c r="C447" s="167" t="n"/>
      <c r="D447" s="167" t="n">
        <v>17.99</v>
      </c>
      <c r="E447" s="167" t="n">
        <v>1799</v>
      </c>
      <c r="F447" s="167" t="inlineStr">
        <is>
          <t>40009</t>
        </is>
      </c>
      <c r="G447" s="167" t="inlineStr">
        <is>
          <t>21069090</t>
        </is>
      </c>
      <c r="H447" s="167" t="n"/>
      <c r="I447" s="167" t="inlineStr">
        <is>
          <t>Alimentos - 5102</t>
        </is>
      </c>
      <c r="J447" s="167" t="inlineStr">
        <is>
          <t>Carinás</t>
        </is>
      </c>
      <c r="K447" s="167" t="inlineStr">
        <is>
          <t>Sim</t>
        </is>
      </c>
      <c r="L447" s="167" t="inlineStr">
        <is>
          <t>Unidades</t>
        </is>
      </c>
      <c r="M447" s="167" t="inlineStr">
        <is>
          <t>Carinás + SA + Delivery</t>
        </is>
      </c>
    </row>
    <row r="448">
      <c r="A448" s="167" t="inlineStr">
        <is>
          <t>SALSICHAO IN NATURA</t>
        </is>
      </c>
      <c r="B448" s="167" t="n"/>
      <c r="C448" s="167" t="n"/>
      <c r="D448" s="167" t="n">
        <v>39.9</v>
      </c>
      <c r="E448" s="167" t="n">
        <v>3990</v>
      </c>
      <c r="F448" s="167" t="inlineStr">
        <is>
          <t>10011</t>
        </is>
      </c>
      <c r="G448" s="167" t="inlineStr">
        <is>
          <t>21069090</t>
        </is>
      </c>
      <c r="H448" s="167" t="n"/>
      <c r="I448" s="167" t="inlineStr">
        <is>
          <t>Alimentos - 5102</t>
        </is>
      </c>
      <c r="J448" s="167" t="inlineStr">
        <is>
          <t>Carinás</t>
        </is>
      </c>
      <c r="K448" s="167" t="inlineStr">
        <is>
          <t>Sim</t>
        </is>
      </c>
      <c r="L448" s="167" t="inlineStr">
        <is>
          <t>Unidades</t>
        </is>
      </c>
      <c r="M448" s="167" t="inlineStr">
        <is>
          <t>Carinás + SA</t>
        </is>
      </c>
    </row>
    <row r="449">
      <c r="A449" s="167" t="inlineStr">
        <is>
          <t>SALTON</t>
        </is>
      </c>
      <c r="B449" s="167" t="n"/>
      <c r="C449" s="167" t="n"/>
      <c r="D449" s="167" t="n">
        <v>99.90000000000001</v>
      </c>
      <c r="E449" s="167" t="n">
        <v>9990</v>
      </c>
      <c r="F449" s="167" t="inlineStr">
        <is>
          <t>78989056877368</t>
        </is>
      </c>
      <c r="G449" s="167" t="inlineStr">
        <is>
          <t>22041010</t>
        </is>
      </c>
      <c r="H449" s="167" t="n"/>
      <c r="I449" s="167" t="inlineStr">
        <is>
          <t>Bebidas - 5405 - 1</t>
        </is>
      </c>
      <c r="J449" s="167" t="inlineStr">
        <is>
          <t>Santo André</t>
        </is>
      </c>
      <c r="K449" s="167" t="n"/>
      <c r="L449" s="167" t="n"/>
      <c r="M449" s="167" t="inlineStr">
        <is>
          <t>SA</t>
        </is>
      </c>
    </row>
    <row r="450">
      <c r="A450" s="167" t="inlineStr">
        <is>
          <t>SANGRIA</t>
        </is>
      </c>
      <c r="B450" s="167" t="n"/>
      <c r="C450" s="167" t="n"/>
      <c r="D450" s="167" t="n">
        <v>89.98999999999999</v>
      </c>
      <c r="E450" s="167" t="n">
        <v>8999</v>
      </c>
      <c r="F450" s="167" t="inlineStr">
        <is>
          <t>104002</t>
        </is>
      </c>
      <c r="G450" s="167" t="inlineStr">
        <is>
          <t>22084000</t>
        </is>
      </c>
      <c r="H450" s="167" t="n"/>
      <c r="I450" s="167" t="inlineStr">
        <is>
          <t>Alimentos - 5102</t>
        </is>
      </c>
      <c r="J450" s="167" t="inlineStr">
        <is>
          <t>Carinás</t>
        </is>
      </c>
      <c r="K450" s="167" t="inlineStr">
        <is>
          <t>Sim</t>
        </is>
      </c>
      <c r="L450" s="167" t="inlineStr">
        <is>
          <t>Unidades</t>
        </is>
      </c>
      <c r="M450" s="167" t="inlineStr">
        <is>
          <t>Carinás + SA</t>
        </is>
      </c>
    </row>
    <row r="451">
      <c r="A451" s="167" t="inlineStr">
        <is>
          <t>SAO FRANCISCO DOSE</t>
        </is>
      </c>
      <c r="B451" s="167" t="n"/>
      <c r="C451" s="167" t="n"/>
      <c r="D451" s="167" t="n">
        <v>14</v>
      </c>
      <c r="E451" s="167" t="n">
        <v>1400</v>
      </c>
      <c r="F451" s="167" t="inlineStr">
        <is>
          <t>101017</t>
        </is>
      </c>
      <c r="G451" s="167" t="inlineStr">
        <is>
          <t>22084000</t>
        </is>
      </c>
      <c r="H451" s="167" t="n"/>
      <c r="I451" s="167" t="inlineStr">
        <is>
          <t>Alimentos - 5102</t>
        </is>
      </c>
      <c r="J451" s="167" t="inlineStr">
        <is>
          <t>Carinás</t>
        </is>
      </c>
      <c r="K451" s="167" t="inlineStr">
        <is>
          <t>Sim</t>
        </is>
      </c>
      <c r="L451" s="167" t="inlineStr">
        <is>
          <t>Unidades</t>
        </is>
      </c>
      <c r="M451" s="167" t="inlineStr">
        <is>
          <t>Carinás + SA</t>
        </is>
      </c>
    </row>
    <row r="452">
      <c r="A452" s="167" t="inlineStr">
        <is>
          <t>SAO FRANCISCO GARRAFA</t>
        </is>
      </c>
      <c r="B452" s="167" t="n"/>
      <c r="C452" s="167" t="n"/>
      <c r="D452" s="167" t="n">
        <v>139</v>
      </c>
      <c r="E452" s="167" t="n">
        <v>13900</v>
      </c>
      <c r="F452" s="167" t="inlineStr">
        <is>
          <t>102125</t>
        </is>
      </c>
      <c r="G452" s="167" t="inlineStr">
        <is>
          <t>22084000</t>
        </is>
      </c>
      <c r="H452" s="167" t="n"/>
      <c r="I452" s="167" t="inlineStr">
        <is>
          <t>Alimentos - 5102</t>
        </is>
      </c>
      <c r="J452" s="167" t="inlineStr">
        <is>
          <t>Carinás</t>
        </is>
      </c>
      <c r="K452" s="167" t="inlineStr">
        <is>
          <t>Sim</t>
        </is>
      </c>
      <c r="L452" s="167" t="inlineStr">
        <is>
          <t>Unidades</t>
        </is>
      </c>
      <c r="M452" s="167" t="inlineStr">
        <is>
          <t>Carinás + SA</t>
        </is>
      </c>
    </row>
    <row r="453">
      <c r="A453" s="167" t="inlineStr">
        <is>
          <t>SHIMEJI</t>
        </is>
      </c>
      <c r="B453" s="167" t="n"/>
      <c r="C453" s="167" t="n"/>
      <c r="D453" s="167" t="n">
        <v>15.99</v>
      </c>
      <c r="E453" s="167" t="n">
        <v>1599</v>
      </c>
      <c r="F453" s="167" t="inlineStr">
        <is>
          <t>40007</t>
        </is>
      </c>
      <c r="G453" s="167" t="inlineStr">
        <is>
          <t>21069090</t>
        </is>
      </c>
      <c r="H453" s="167" t="n"/>
      <c r="I453" s="167" t="inlineStr">
        <is>
          <t>Alimentos - 5102</t>
        </is>
      </c>
      <c r="J453" s="167" t="inlineStr">
        <is>
          <t>Carinás</t>
        </is>
      </c>
      <c r="K453" s="167" t="inlineStr">
        <is>
          <t>Sim</t>
        </is>
      </c>
      <c r="L453" s="167" t="inlineStr">
        <is>
          <t>Unidades</t>
        </is>
      </c>
      <c r="M453" s="167" t="inlineStr">
        <is>
          <t>Carinás + SA</t>
        </is>
      </c>
    </row>
    <row r="454">
      <c r="A454" s="167" t="inlineStr">
        <is>
          <t>SIEMPRE TENGO MALBEC</t>
        </is>
      </c>
      <c r="B454" s="167" t="n"/>
      <c r="C454" s="167" t="n"/>
      <c r="D454" s="167" t="n">
        <v>89</v>
      </c>
      <c r="E454" s="167" t="n">
        <v>8900</v>
      </c>
      <c r="F454" s="167" t="inlineStr">
        <is>
          <t>78989056877214</t>
        </is>
      </c>
      <c r="G454" s="167" t="inlineStr">
        <is>
          <t>22042100</t>
        </is>
      </c>
      <c r="H454" s="167" t="n"/>
      <c r="I454" s="167" t="inlineStr">
        <is>
          <t>Bebidas - 5405 - 1</t>
        </is>
      </c>
      <c r="J454" s="167" t="inlineStr">
        <is>
          <t>Carinás</t>
        </is>
      </c>
      <c r="K454" s="167" t="inlineStr">
        <is>
          <t>Não</t>
        </is>
      </c>
      <c r="L454" s="167" t="inlineStr">
        <is>
          <t>Unidades</t>
        </is>
      </c>
      <c r="M454" s="167" t="inlineStr">
        <is>
          <t>Carinás + SA</t>
        </is>
      </c>
    </row>
    <row r="455">
      <c r="A455" s="167" t="inlineStr">
        <is>
          <t>SIEMPRE TENGO UN PLAN B BONARDA</t>
        </is>
      </c>
      <c r="B455" s="167" t="n"/>
      <c r="C455" s="167" t="n"/>
      <c r="D455" s="167" t="n">
        <v>89</v>
      </c>
      <c r="E455" s="167" t="n">
        <v>8900</v>
      </c>
      <c r="F455" s="167" t="inlineStr">
        <is>
          <t>78989056877215</t>
        </is>
      </c>
      <c r="G455" s="167" t="inlineStr">
        <is>
          <t>22042100</t>
        </is>
      </c>
      <c r="H455" s="167" t="n"/>
      <c r="I455" s="167" t="inlineStr">
        <is>
          <t>Bebidas - 5405 - 1</t>
        </is>
      </c>
      <c r="J455" s="167" t="inlineStr">
        <is>
          <t>Carinás</t>
        </is>
      </c>
      <c r="K455" s="167" t="inlineStr">
        <is>
          <t>Não</t>
        </is>
      </c>
      <c r="L455" s="167" t="inlineStr">
        <is>
          <t>Unidades</t>
        </is>
      </c>
      <c r="M455" s="167" t="inlineStr">
        <is>
          <t>Carinás + SA</t>
        </is>
      </c>
    </row>
    <row r="456">
      <c r="A456" s="167" t="inlineStr">
        <is>
          <t>SIEMPRE TENGO UN PLAN B CABERNET SAUVIGNON</t>
        </is>
      </c>
      <c r="B456" s="167" t="n"/>
      <c r="C456" s="167" t="n"/>
      <c r="D456" s="167" t="n">
        <v>96</v>
      </c>
      <c r="E456" s="167" t="n">
        <v>9600</v>
      </c>
      <c r="F456" s="167" t="inlineStr">
        <is>
          <t>78989056877216</t>
        </is>
      </c>
      <c r="G456" s="167" t="inlineStr">
        <is>
          <t>22042100</t>
        </is>
      </c>
      <c r="H456" s="167" t="n"/>
      <c r="I456" s="167" t="inlineStr">
        <is>
          <t>Bebidas - 5405 - 1</t>
        </is>
      </c>
      <c r="J456" s="167" t="inlineStr">
        <is>
          <t>Carinás</t>
        </is>
      </c>
      <c r="K456" s="167" t="inlineStr">
        <is>
          <t>Não</t>
        </is>
      </c>
      <c r="L456" s="167" t="inlineStr">
        <is>
          <t>Unidades</t>
        </is>
      </c>
      <c r="M456" s="167" t="inlineStr">
        <is>
          <t>Carinás + SA</t>
        </is>
      </c>
    </row>
    <row r="457">
      <c r="A457" s="167" t="inlineStr">
        <is>
          <t>SIEMPRE TENGO UN PLAN B ROSADO</t>
        </is>
      </c>
      <c r="B457" s="167" t="n"/>
      <c r="C457" s="167" t="n"/>
      <c r="D457" s="167" t="n">
        <v>96</v>
      </c>
      <c r="E457" s="167" t="n">
        <v>9600</v>
      </c>
      <c r="F457" s="167" t="inlineStr">
        <is>
          <t>78989056877217</t>
        </is>
      </c>
      <c r="G457" s="167" t="inlineStr">
        <is>
          <t>22042100</t>
        </is>
      </c>
      <c r="H457" s="167" t="n"/>
      <c r="I457" s="167" t="inlineStr">
        <is>
          <t>Bebidas - 5405 - 1</t>
        </is>
      </c>
      <c r="J457" s="167" t="inlineStr">
        <is>
          <t>Carinás</t>
        </is>
      </c>
      <c r="K457" s="167" t="inlineStr">
        <is>
          <t>Não</t>
        </is>
      </c>
      <c r="L457" s="167" t="inlineStr">
        <is>
          <t>Unidades</t>
        </is>
      </c>
      <c r="M457" s="167" t="inlineStr">
        <is>
          <t>Carinás + SA</t>
        </is>
      </c>
    </row>
    <row r="458">
      <c r="A458" s="167" t="inlineStr">
        <is>
          <t>SIEMPRE TENGO UN PLAN B WHITE BLEND</t>
        </is>
      </c>
      <c r="B458" s="167" t="n"/>
      <c r="C458" s="167" t="n"/>
      <c r="D458" s="167" t="n">
        <v>96</v>
      </c>
      <c r="E458" s="167" t="n">
        <v>9600</v>
      </c>
      <c r="F458" s="167" t="inlineStr">
        <is>
          <t>78989056877218</t>
        </is>
      </c>
      <c r="G458" s="167" t="inlineStr">
        <is>
          <t>22042100</t>
        </is>
      </c>
      <c r="H458" s="167" t="n"/>
      <c r="I458" s="167" t="inlineStr">
        <is>
          <t>Bebidas - 5405 - 1</t>
        </is>
      </c>
      <c r="J458" s="167" t="inlineStr">
        <is>
          <t>Carinás</t>
        </is>
      </c>
      <c r="K458" s="167" t="inlineStr">
        <is>
          <t>Não</t>
        </is>
      </c>
      <c r="L458" s="167" t="inlineStr">
        <is>
          <t>Unidades</t>
        </is>
      </c>
      <c r="M458" s="167" t="inlineStr">
        <is>
          <t>Carinás + SA</t>
        </is>
      </c>
    </row>
    <row r="459">
      <c r="A459" s="167" t="inlineStr">
        <is>
          <t>SMINORFF ANIVERSARIANTE</t>
        </is>
      </c>
      <c r="B459" s="167" t="n"/>
      <c r="C459" s="167" t="n"/>
      <c r="D459" s="167" t="n">
        <v>0</v>
      </c>
      <c r="E459" s="167" t="n">
        <v>0</v>
      </c>
      <c r="F459" s="167" t="inlineStr">
        <is>
          <t>7898905687193</t>
        </is>
      </c>
      <c r="G459" s="167" t="inlineStr">
        <is>
          <t>22084000</t>
        </is>
      </c>
      <c r="H459" s="167" t="n"/>
      <c r="I459" s="167" t="inlineStr">
        <is>
          <t>Alimentos - 5102</t>
        </is>
      </c>
      <c r="J459" s="167" t="inlineStr">
        <is>
          <t>Carinás</t>
        </is>
      </c>
      <c r="K459" s="167" t="inlineStr">
        <is>
          <t>Sim</t>
        </is>
      </c>
      <c r="L459" s="167" t="inlineStr">
        <is>
          <t>Unidades</t>
        </is>
      </c>
      <c r="M459" s="167" t="inlineStr">
        <is>
          <t>Carinás + SA</t>
        </is>
      </c>
    </row>
    <row r="460">
      <c r="A460" s="167" t="inlineStr">
        <is>
          <t>Sminorff Ice</t>
        </is>
      </c>
      <c r="B460" s="167" t="n"/>
      <c r="C460" s="167" t="n"/>
      <c r="D460" s="167" t="n">
        <v>24</v>
      </c>
      <c r="E460" s="167" t="n">
        <v>2400</v>
      </c>
      <c r="F460" s="167" t="inlineStr">
        <is>
          <t>78989056877364</t>
        </is>
      </c>
      <c r="G460" s="167" t="inlineStr">
        <is>
          <t>22089000</t>
        </is>
      </c>
      <c r="H460" s="167" t="n"/>
      <c r="I460" s="167" t="inlineStr">
        <is>
          <t>Alimentos - 5102</t>
        </is>
      </c>
      <c r="J460" s="167" t="inlineStr">
        <is>
          <t>Carinás</t>
        </is>
      </c>
      <c r="K460" s="167" t="inlineStr">
        <is>
          <t>Sim</t>
        </is>
      </c>
      <c r="L460" s="167" t="inlineStr">
        <is>
          <t>Unidades</t>
        </is>
      </c>
      <c r="M460" s="167" t="inlineStr">
        <is>
          <t>Carinás + SA</t>
        </is>
      </c>
    </row>
    <row r="461">
      <c r="A461" s="167" t="inlineStr">
        <is>
          <t>SODA ITALIANA</t>
        </is>
      </c>
      <c r="B461" s="167" t="n"/>
      <c r="C461" s="167" t="n"/>
      <c r="D461" s="167" t="n">
        <v>16.99</v>
      </c>
      <c r="E461" s="167" t="n">
        <v>1699</v>
      </c>
      <c r="F461" s="167" t="inlineStr">
        <is>
          <t>7898905687804</t>
        </is>
      </c>
      <c r="G461" s="167" t="inlineStr">
        <is>
          <t>22085000</t>
        </is>
      </c>
      <c r="H461" s="167" t="n"/>
      <c r="I461" s="167" t="inlineStr">
        <is>
          <t>Bebidas - 5405 - 1</t>
        </is>
      </c>
      <c r="J461" s="167" t="inlineStr">
        <is>
          <t>Carinás</t>
        </is>
      </c>
      <c r="K461" s="167" t="inlineStr">
        <is>
          <t>Não</t>
        </is>
      </c>
      <c r="L461" s="167" t="inlineStr">
        <is>
          <t>Unidades</t>
        </is>
      </c>
      <c r="M461" s="167" t="inlineStr">
        <is>
          <t>Carinás + SA</t>
        </is>
      </c>
    </row>
    <row r="462">
      <c r="A462" s="167" t="inlineStr">
        <is>
          <t>SODA LIMONADA</t>
        </is>
      </c>
      <c r="B462" s="167" t="n"/>
      <c r="C462" s="167" t="n"/>
      <c r="D462" s="167" t="n">
        <v>9.99</v>
      </c>
      <c r="E462" s="167" t="n">
        <v>999</v>
      </c>
      <c r="F462" s="167" t="inlineStr">
        <is>
          <t>71006</t>
        </is>
      </c>
      <c r="G462" s="167" t="inlineStr">
        <is>
          <t>22021000</t>
        </is>
      </c>
      <c r="H462" s="167" t="n"/>
      <c r="I462" s="167" t="inlineStr">
        <is>
          <t>Bebidas - 5405 - 2</t>
        </is>
      </c>
      <c r="J462" s="167" t="inlineStr">
        <is>
          <t>Carinás</t>
        </is>
      </c>
      <c r="K462" s="167" t="inlineStr">
        <is>
          <t>Sim</t>
        </is>
      </c>
      <c r="L462" s="167" t="inlineStr">
        <is>
          <t>Unidades</t>
        </is>
      </c>
      <c r="M462" s="167" t="inlineStr">
        <is>
          <t>Carinás + SA + Delivery</t>
        </is>
      </c>
    </row>
    <row r="463">
      <c r="A463" s="167" t="inlineStr">
        <is>
          <t>SODA LIMONADA DIET</t>
        </is>
      </c>
      <c r="B463" s="167" t="n"/>
      <c r="C463" s="167" t="n"/>
      <c r="D463" s="167" t="n">
        <v>9.99</v>
      </c>
      <c r="E463" s="167" t="n">
        <v>999</v>
      </c>
      <c r="F463" s="167" t="inlineStr">
        <is>
          <t>71012</t>
        </is>
      </c>
      <c r="G463" s="167" t="inlineStr">
        <is>
          <t>22021000</t>
        </is>
      </c>
      <c r="H463" s="167" t="n"/>
      <c r="I463" s="167" t="inlineStr">
        <is>
          <t>Bebidas - 5405 - 2</t>
        </is>
      </c>
      <c r="J463" s="167" t="inlineStr">
        <is>
          <t>Carinás</t>
        </is>
      </c>
      <c r="K463" s="167" t="inlineStr">
        <is>
          <t>Sim</t>
        </is>
      </c>
      <c r="L463" s="167" t="inlineStr">
        <is>
          <t>Unidades</t>
        </is>
      </c>
      <c r="M463" s="167" t="inlineStr">
        <is>
          <t>Carinás + SA</t>
        </is>
      </c>
    </row>
    <row r="464">
      <c r="A464" s="167" t="inlineStr">
        <is>
          <t>SPATEN ANIVERSARIANTE</t>
        </is>
      </c>
      <c r="B464" s="167" t="n"/>
      <c r="C464" s="167" t="n"/>
      <c r="D464" s="167" t="n">
        <v>0</v>
      </c>
      <c r="E464" s="167" t="n">
        <v>0</v>
      </c>
      <c r="F464" s="167" t="inlineStr">
        <is>
          <t>7898905687710</t>
        </is>
      </c>
      <c r="G464" s="167" t="inlineStr">
        <is>
          <t>22030000</t>
        </is>
      </c>
      <c r="H464" s="167" t="n"/>
      <c r="I464" s="167" t="inlineStr">
        <is>
          <t>Bebidas - 5405 - 1</t>
        </is>
      </c>
      <c r="J464" s="167" t="inlineStr">
        <is>
          <t>Carinás</t>
        </is>
      </c>
      <c r="K464" s="167" t="inlineStr">
        <is>
          <t>Sim</t>
        </is>
      </c>
      <c r="L464" s="167" t="inlineStr">
        <is>
          <t>Unidades</t>
        </is>
      </c>
      <c r="M464" s="167" t="inlineStr">
        <is>
          <t>Carinás + SA</t>
        </is>
      </c>
    </row>
    <row r="465">
      <c r="A465" s="167" t="inlineStr">
        <is>
          <t>SPATEN LONG NECK</t>
        </is>
      </c>
      <c r="B465" s="167" t="n"/>
      <c r="C465" s="167" t="n"/>
      <c r="D465" s="167" t="n">
        <v>14.99</v>
      </c>
      <c r="E465" s="167" t="n">
        <v>1499</v>
      </c>
      <c r="F465" s="167" t="inlineStr">
        <is>
          <t>7898905687148</t>
        </is>
      </c>
      <c r="G465" s="167" t="inlineStr">
        <is>
          <t>22030000</t>
        </is>
      </c>
      <c r="H465" s="167" t="n"/>
      <c r="I465" s="167" t="inlineStr">
        <is>
          <t>Bebidas - 5405 - 1</t>
        </is>
      </c>
      <c r="J465" s="167" t="inlineStr">
        <is>
          <t>Carinás</t>
        </is>
      </c>
      <c r="K465" s="167" t="inlineStr">
        <is>
          <t>Sim</t>
        </is>
      </c>
      <c r="L465" s="167" t="inlineStr">
        <is>
          <t>Unidades</t>
        </is>
      </c>
      <c r="M465" s="167" t="inlineStr">
        <is>
          <t>Carinás + SA</t>
        </is>
      </c>
    </row>
    <row r="466">
      <c r="A466" s="167" t="inlineStr">
        <is>
          <t>SPATEN VOUCHER</t>
        </is>
      </c>
      <c r="B466" s="167" t="n"/>
      <c r="C466" s="167" t="n"/>
      <c r="D466" s="167" t="n">
        <v>0</v>
      </c>
      <c r="E466" s="167" t="n">
        <v>0</v>
      </c>
      <c r="F466" s="167" t="inlineStr">
        <is>
          <t>7898905687500</t>
        </is>
      </c>
      <c r="G466" s="167" t="inlineStr">
        <is>
          <t>22030000</t>
        </is>
      </c>
      <c r="H466" s="167" t="n"/>
      <c r="I466" s="167" t="inlineStr">
        <is>
          <t>Bebidas - 5405 - 1</t>
        </is>
      </c>
      <c r="J466" s="167" t="inlineStr">
        <is>
          <t>Carinás</t>
        </is>
      </c>
      <c r="K466" s="167" t="inlineStr">
        <is>
          <t>Sim</t>
        </is>
      </c>
      <c r="L466" s="167" t="inlineStr">
        <is>
          <t>Unidades</t>
        </is>
      </c>
      <c r="M466" s="167" t="inlineStr">
        <is>
          <t>Carinás + SA</t>
        </is>
      </c>
    </row>
    <row r="467">
      <c r="A467" s="167" t="inlineStr">
        <is>
          <t>STELLA 550</t>
        </is>
      </c>
      <c r="B467" s="167" t="n"/>
      <c r="C467" s="167" t="inlineStr">
        <is>
          <t>A CERVEJA GARRAFA 600ML</t>
        </is>
      </c>
      <c r="D467" s="167" t="n">
        <v>20.99</v>
      </c>
      <c r="E467" s="167" t="n">
        <v>2099</v>
      </c>
      <c r="F467" s="167" t="inlineStr">
        <is>
          <t>79006</t>
        </is>
      </c>
      <c r="G467" s="167" t="inlineStr">
        <is>
          <t>22030000</t>
        </is>
      </c>
      <c r="H467" s="167" t="n"/>
      <c r="I467" s="167" t="inlineStr">
        <is>
          <t>Bebidas - 5405 - 2</t>
        </is>
      </c>
      <c r="J467" s="167" t="inlineStr">
        <is>
          <t>Carinás</t>
        </is>
      </c>
      <c r="K467" s="167" t="inlineStr">
        <is>
          <t>Sim</t>
        </is>
      </c>
      <c r="L467" s="167" t="inlineStr">
        <is>
          <t>Unidades</t>
        </is>
      </c>
      <c r="M467" s="167" t="inlineStr">
        <is>
          <t>Carinás + SA</t>
        </is>
      </c>
    </row>
    <row r="468">
      <c r="A468" s="167" t="inlineStr">
        <is>
          <t>STELLA LONG</t>
        </is>
      </c>
      <c r="B468" s="167" t="n"/>
      <c r="C468" s="167" t="n"/>
      <c r="D468" s="167" t="n">
        <v>14.99</v>
      </c>
      <c r="E468" s="167" t="n">
        <v>1499</v>
      </c>
      <c r="F468" s="167" t="inlineStr">
        <is>
          <t>80007</t>
        </is>
      </c>
      <c r="G468" s="167" t="inlineStr">
        <is>
          <t>22030000</t>
        </is>
      </c>
      <c r="H468" s="167" t="n"/>
      <c r="I468" s="167" t="inlineStr">
        <is>
          <t>Bebidas - 5405 - 2</t>
        </is>
      </c>
      <c r="J468" s="167" t="inlineStr">
        <is>
          <t>Carinás</t>
        </is>
      </c>
      <c r="K468" s="167" t="inlineStr">
        <is>
          <t>Sim</t>
        </is>
      </c>
      <c r="L468" s="167" t="inlineStr">
        <is>
          <t>Unidades</t>
        </is>
      </c>
      <c r="M468" s="167" t="inlineStr">
        <is>
          <t>Carinás + SA</t>
        </is>
      </c>
    </row>
    <row r="469">
      <c r="A469" s="167" t="inlineStr">
        <is>
          <t>STELLA LONG S/ GLUTEN</t>
        </is>
      </c>
      <c r="B469" s="167" t="n"/>
      <c r="C469" s="167" t="n"/>
      <c r="D469" s="167" t="n">
        <v>14.99</v>
      </c>
      <c r="E469" s="167" t="n">
        <v>1499</v>
      </c>
      <c r="F469" s="167" t="inlineStr">
        <is>
          <t>7898905687187</t>
        </is>
      </c>
      <c r="G469" s="167" t="inlineStr">
        <is>
          <t>22030000</t>
        </is>
      </c>
      <c r="H469" s="167" t="n"/>
      <c r="I469" s="167" t="inlineStr">
        <is>
          <t>Bebidas - 5405 - 1</t>
        </is>
      </c>
      <c r="J469" s="167" t="inlineStr">
        <is>
          <t>Carinás</t>
        </is>
      </c>
      <c r="K469" s="167" t="inlineStr">
        <is>
          <t>Sim</t>
        </is>
      </c>
      <c r="L469" s="167" t="inlineStr">
        <is>
          <t>Unidades</t>
        </is>
      </c>
      <c r="M469" s="167" t="inlineStr">
        <is>
          <t>Carinás + SA</t>
        </is>
      </c>
    </row>
    <row r="470">
      <c r="A470" s="167" t="inlineStr">
        <is>
          <t>STICKS DE MUSSARELA</t>
        </is>
      </c>
      <c r="B470" s="167" t="n"/>
      <c r="C470" s="167" t="inlineStr">
        <is>
          <t>BOTECO NO ESPETO</t>
        </is>
      </c>
      <c r="D470" s="167" t="n">
        <v>14.99</v>
      </c>
      <c r="E470" s="167" t="n">
        <v>1499</v>
      </c>
      <c r="F470" s="167" t="inlineStr">
        <is>
          <t>78989056877116</t>
        </is>
      </c>
      <c r="G470" s="167" t="inlineStr">
        <is>
          <t>19022000</t>
        </is>
      </c>
      <c r="H470" s="167" t="n"/>
      <c r="I470" s="167" t="inlineStr">
        <is>
          <t>Alimentos - 5102</t>
        </is>
      </c>
      <c r="J470" s="167" t="inlineStr">
        <is>
          <t>Carinás</t>
        </is>
      </c>
      <c r="K470" s="167" t="inlineStr">
        <is>
          <t>Sim</t>
        </is>
      </c>
      <c r="L470" s="167" t="inlineStr">
        <is>
          <t>Unidades</t>
        </is>
      </c>
      <c r="M470" s="167" t="inlineStr">
        <is>
          <t>Carinás + SA</t>
        </is>
      </c>
    </row>
    <row r="471">
      <c r="A471" s="167" t="inlineStr">
        <is>
          <t>SUCO ABACAXI</t>
        </is>
      </c>
      <c r="B471" s="167" t="n"/>
      <c r="C471" s="167" t="n"/>
      <c r="D471" s="167" t="n">
        <v>9.99</v>
      </c>
      <c r="E471" s="167" t="n">
        <v>999</v>
      </c>
      <c r="F471" s="167" t="inlineStr">
        <is>
          <t>70003</t>
        </is>
      </c>
      <c r="G471" s="167" t="inlineStr">
        <is>
          <t>20094900</t>
        </is>
      </c>
      <c r="H471" s="167" t="n"/>
      <c r="I471" s="167" t="inlineStr">
        <is>
          <t>Alimentos - 5102</t>
        </is>
      </c>
      <c r="J471" s="167" t="inlineStr">
        <is>
          <t>Carinás</t>
        </is>
      </c>
      <c r="K471" s="167" t="inlineStr">
        <is>
          <t>Sim</t>
        </is>
      </c>
      <c r="L471" s="167" t="inlineStr">
        <is>
          <t>Unidades</t>
        </is>
      </c>
      <c r="M471" s="167" t="inlineStr">
        <is>
          <t>Carinás + SA</t>
        </is>
      </c>
    </row>
    <row r="472">
      <c r="A472" s="167" t="inlineStr">
        <is>
          <t>SUCO ABACAXI C/ HORTELA</t>
        </is>
      </c>
      <c r="B472" s="167" t="n"/>
      <c r="C472" s="167" t="n"/>
      <c r="D472" s="167" t="n">
        <v>9.99</v>
      </c>
      <c r="E472" s="167" t="n">
        <v>999</v>
      </c>
      <c r="F472" s="167" t="inlineStr">
        <is>
          <t>70018</t>
        </is>
      </c>
      <c r="G472" s="167" t="inlineStr">
        <is>
          <t>20094900</t>
        </is>
      </c>
      <c r="H472" s="167" t="n"/>
      <c r="I472" s="167" t="inlineStr">
        <is>
          <t>Alimentos - 5102</t>
        </is>
      </c>
      <c r="J472" s="167" t="inlineStr">
        <is>
          <t>Carinás</t>
        </is>
      </c>
      <c r="K472" s="167" t="inlineStr">
        <is>
          <t>Sim</t>
        </is>
      </c>
      <c r="L472" s="167" t="inlineStr">
        <is>
          <t>Unidades</t>
        </is>
      </c>
      <c r="M472" s="167" t="inlineStr">
        <is>
          <t>Carinás + SA</t>
        </is>
      </c>
    </row>
    <row r="473">
      <c r="A473" s="167" t="inlineStr">
        <is>
          <t>SUCO LARANJA</t>
        </is>
      </c>
      <c r="B473" s="167" t="n"/>
      <c r="C473" s="167" t="n"/>
      <c r="D473" s="167" t="n">
        <v>12.99</v>
      </c>
      <c r="E473" s="167" t="n">
        <v>1299</v>
      </c>
      <c r="F473" s="167" t="inlineStr">
        <is>
          <t>70002</t>
        </is>
      </c>
      <c r="G473" s="167" t="inlineStr">
        <is>
          <t>20091200</t>
        </is>
      </c>
      <c r="H473" s="167" t="n"/>
      <c r="I473" s="167" t="inlineStr">
        <is>
          <t>Alimentos - 5102</t>
        </is>
      </c>
      <c r="J473" s="167" t="inlineStr">
        <is>
          <t>Carinás</t>
        </is>
      </c>
      <c r="K473" s="167" t="inlineStr">
        <is>
          <t>Sim</t>
        </is>
      </c>
      <c r="L473" s="167" t="inlineStr">
        <is>
          <t>Unidades</t>
        </is>
      </c>
      <c r="M473" s="167" t="inlineStr">
        <is>
          <t>Carinás + SA</t>
        </is>
      </c>
    </row>
    <row r="474">
      <c r="A474" s="167" t="inlineStr">
        <is>
          <t>SUCO LIMAO</t>
        </is>
      </c>
      <c r="B474" s="167" t="n"/>
      <c r="C474" s="167" t="n"/>
      <c r="D474" s="167" t="n">
        <v>12.99</v>
      </c>
      <c r="E474" s="167" t="n">
        <v>1299</v>
      </c>
      <c r="F474" s="167" t="inlineStr">
        <is>
          <t>70005</t>
        </is>
      </c>
      <c r="G474" s="167" t="inlineStr">
        <is>
          <t>20091200</t>
        </is>
      </c>
      <c r="H474" s="167" t="n"/>
      <c r="I474" s="167" t="inlineStr">
        <is>
          <t>Alimentos - 5102</t>
        </is>
      </c>
      <c r="J474" s="167" t="inlineStr">
        <is>
          <t>Carinás</t>
        </is>
      </c>
      <c r="K474" s="167" t="inlineStr">
        <is>
          <t>Sim</t>
        </is>
      </c>
      <c r="L474" s="167" t="inlineStr">
        <is>
          <t>Unidades</t>
        </is>
      </c>
      <c r="M474" s="167" t="inlineStr">
        <is>
          <t>Carinás + SA</t>
        </is>
      </c>
    </row>
    <row r="475">
      <c r="A475" s="167" t="inlineStr">
        <is>
          <t>SUCO MARACUJA</t>
        </is>
      </c>
      <c r="B475" s="167" t="n"/>
      <c r="C475" s="167" t="n"/>
      <c r="D475" s="167" t="n">
        <v>9.99</v>
      </c>
      <c r="E475" s="167" t="n">
        <v>999</v>
      </c>
      <c r="F475" s="167" t="inlineStr">
        <is>
          <t>70013</t>
        </is>
      </c>
      <c r="G475" s="167" t="inlineStr">
        <is>
          <t>20093900</t>
        </is>
      </c>
      <c r="H475" s="167" t="n"/>
      <c r="I475" s="167" t="inlineStr">
        <is>
          <t>Alimentos - 5102</t>
        </is>
      </c>
      <c r="J475" s="167" t="inlineStr">
        <is>
          <t>Carinás</t>
        </is>
      </c>
      <c r="K475" s="167" t="inlineStr">
        <is>
          <t>Sim</t>
        </is>
      </c>
      <c r="L475" s="167" t="inlineStr">
        <is>
          <t>Unidades</t>
        </is>
      </c>
      <c r="M475" s="167" t="inlineStr">
        <is>
          <t>Carinás + SA</t>
        </is>
      </c>
    </row>
    <row r="476">
      <c r="A476" s="167" t="inlineStr">
        <is>
          <t>SUCO MORANGO</t>
        </is>
      </c>
      <c r="B476" s="167" t="n"/>
      <c r="C476" s="167" t="n"/>
      <c r="D476" s="167" t="n">
        <v>9.99</v>
      </c>
      <c r="E476" s="167" t="n">
        <v>999</v>
      </c>
      <c r="F476" s="167" t="inlineStr">
        <is>
          <t>70014</t>
        </is>
      </c>
      <c r="G476" s="167" t="inlineStr">
        <is>
          <t>20098100</t>
        </is>
      </c>
      <c r="H476" s="167" t="n"/>
      <c r="I476" s="167" t="inlineStr">
        <is>
          <t>Alimentos - 5102</t>
        </is>
      </c>
      <c r="J476" s="167" t="inlineStr">
        <is>
          <t>Carinás</t>
        </is>
      </c>
      <c r="K476" s="167" t="inlineStr">
        <is>
          <t>Sim</t>
        </is>
      </c>
      <c r="L476" s="167" t="inlineStr">
        <is>
          <t>Unidades</t>
        </is>
      </c>
      <c r="M476" s="167" t="inlineStr">
        <is>
          <t>Carinás + SA</t>
        </is>
      </c>
    </row>
    <row r="477">
      <c r="A477" s="167" t="inlineStr">
        <is>
          <t>SUKITA</t>
        </is>
      </c>
      <c r="B477" s="167" t="n"/>
      <c r="C477" s="167" t="n"/>
      <c r="D477" s="167" t="n">
        <v>9.99</v>
      </c>
      <c r="E477" s="167" t="n">
        <v>999</v>
      </c>
      <c r="F477" s="167" t="inlineStr">
        <is>
          <t>71004</t>
        </is>
      </c>
      <c r="G477" s="167" t="inlineStr">
        <is>
          <t>22021000</t>
        </is>
      </c>
      <c r="H477" s="167" t="n"/>
      <c r="I477" s="167" t="inlineStr">
        <is>
          <t>Bebidas - 5405 - 2</t>
        </is>
      </c>
      <c r="J477" s="167" t="inlineStr">
        <is>
          <t>Carinás</t>
        </is>
      </c>
      <c r="K477" s="167" t="inlineStr">
        <is>
          <t>Sim</t>
        </is>
      </c>
      <c r="L477" s="167" t="inlineStr">
        <is>
          <t>Unidades</t>
        </is>
      </c>
      <c r="M477" s="167" t="inlineStr">
        <is>
          <t>Carinás + SA</t>
        </is>
      </c>
    </row>
    <row r="478">
      <c r="A478" s="167" t="inlineStr">
        <is>
          <t>SUNSET MULE</t>
        </is>
      </c>
      <c r="B478" s="167" t="n"/>
      <c r="C478" s="167" t="inlineStr">
        <is>
          <t>A COQUETEIS</t>
        </is>
      </c>
      <c r="D478" s="167" t="n">
        <v>39.99</v>
      </c>
      <c r="E478" s="167" t="n">
        <v>3999</v>
      </c>
      <c r="F478" s="167" t="inlineStr">
        <is>
          <t>7898905687718</t>
        </is>
      </c>
      <c r="G478" s="167" t="inlineStr">
        <is>
          <t>22086000</t>
        </is>
      </c>
      <c r="H478" s="167" t="n"/>
      <c r="I478" s="167" t="inlineStr">
        <is>
          <t>Bebidas - 5405 - 1</t>
        </is>
      </c>
      <c r="J478" s="167" t="inlineStr">
        <is>
          <t>Carinás</t>
        </is>
      </c>
      <c r="K478" s="167" t="inlineStr">
        <is>
          <t>Sim</t>
        </is>
      </c>
      <c r="L478" s="167" t="inlineStr">
        <is>
          <t>Unidades</t>
        </is>
      </c>
      <c r="M478" s="167" t="inlineStr">
        <is>
          <t>Carinás + SA</t>
        </is>
      </c>
    </row>
    <row r="479">
      <c r="A479" s="167" t="inlineStr">
        <is>
          <t>TABUA CHURRASCO 400X240MM</t>
        </is>
      </c>
      <c r="B479" s="167" t="n"/>
      <c r="C479" s="167" t="n"/>
      <c r="D479" s="167" t="n">
        <v>120.7</v>
      </c>
      <c r="E479" s="167" t="n">
        <v>12070</v>
      </c>
      <c r="F479" s="167" t="inlineStr">
        <is>
          <t>9003347</t>
        </is>
      </c>
      <c r="G479" s="167" t="inlineStr">
        <is>
          <t>82159910</t>
        </is>
      </c>
      <c r="H479" s="167" t="n"/>
      <c r="I479" s="167" t="inlineStr">
        <is>
          <t>Alimentos - 5102</t>
        </is>
      </c>
      <c r="J479" s="167" t="inlineStr">
        <is>
          <t>Carinás</t>
        </is>
      </c>
      <c r="K479" s="167" t="inlineStr">
        <is>
          <t>Sim</t>
        </is>
      </c>
      <c r="L479" s="167" t="inlineStr">
        <is>
          <t>Unidades</t>
        </is>
      </c>
      <c r="M479" s="167" t="inlineStr">
        <is>
          <t>Carinás</t>
        </is>
      </c>
    </row>
    <row r="480">
      <c r="A480" s="167" t="inlineStr">
        <is>
          <t>TANQUERAY ANIVERSARIANTE</t>
        </is>
      </c>
      <c r="B480" s="167" t="n"/>
      <c r="C480" s="167" t="n"/>
      <c r="D480" s="167" t="n">
        <v>0</v>
      </c>
      <c r="E480" s="167" t="n">
        <v>0</v>
      </c>
      <c r="F480" s="167" t="inlineStr">
        <is>
          <t>7898905687510</t>
        </is>
      </c>
      <c r="G480" s="167" t="inlineStr">
        <is>
          <t>22084000</t>
        </is>
      </c>
      <c r="H480" s="167" t="n"/>
      <c r="I480" s="167" t="inlineStr">
        <is>
          <t>Alimentos - 5102</t>
        </is>
      </c>
      <c r="J480" s="167" t="inlineStr">
        <is>
          <t>Carinás</t>
        </is>
      </c>
      <c r="K480" s="167" t="inlineStr">
        <is>
          <t>Sim</t>
        </is>
      </c>
      <c r="L480" s="167" t="inlineStr">
        <is>
          <t>Unidades</t>
        </is>
      </c>
      <c r="M480" s="167" t="inlineStr">
        <is>
          <t>Carinás + SA</t>
        </is>
      </c>
    </row>
    <row r="481">
      <c r="A481" s="167" t="inlineStr">
        <is>
          <t>Teajuca</t>
        </is>
      </c>
      <c r="B481" s="167" t="n"/>
      <c r="C481" s="167" t="n"/>
      <c r="D481" s="167" t="n">
        <v>34.99</v>
      </c>
      <c r="E481" s="167" t="n">
        <v>3499</v>
      </c>
      <c r="F481" s="167" t="inlineStr">
        <is>
          <t>78989056877227</t>
        </is>
      </c>
      <c r="G481" s="167" t="inlineStr">
        <is>
          <t>22084000</t>
        </is>
      </c>
      <c r="H481" s="167" t="n"/>
      <c r="I481" s="167" t="inlineStr">
        <is>
          <t>Alimentos - 5102</t>
        </is>
      </c>
      <c r="J481" s="167" t="inlineStr">
        <is>
          <t>Carinás</t>
        </is>
      </c>
      <c r="K481" s="167" t="inlineStr">
        <is>
          <t>Não</t>
        </is>
      </c>
      <c r="L481" s="167" t="inlineStr">
        <is>
          <t>Unidades</t>
        </is>
      </c>
      <c r="M481" s="167" t="inlineStr">
        <is>
          <t>Carinás + SA</t>
        </is>
      </c>
    </row>
    <row r="482">
      <c r="A482" s="167" t="inlineStr">
        <is>
          <t>TEQUILA  PRATA GARRAFA</t>
        </is>
      </c>
      <c r="B482" s="167" t="n"/>
      <c r="C482" s="167" t="n"/>
      <c r="D482" s="167" t="n">
        <v>290</v>
      </c>
      <c r="E482" s="167" t="n">
        <v>29000</v>
      </c>
      <c r="F482" s="167" t="inlineStr">
        <is>
          <t>102114</t>
        </is>
      </c>
      <c r="G482" s="167" t="inlineStr">
        <is>
          <t>22089000</t>
        </is>
      </c>
      <c r="H482" s="167" t="n"/>
      <c r="I482" s="167" t="inlineStr">
        <is>
          <t>Alimentos - 5102</t>
        </is>
      </c>
      <c r="J482" s="167" t="inlineStr">
        <is>
          <t>Carinás</t>
        </is>
      </c>
      <c r="K482" s="167" t="inlineStr">
        <is>
          <t>Sim</t>
        </is>
      </c>
      <c r="L482" s="167" t="inlineStr">
        <is>
          <t>Unidades</t>
        </is>
      </c>
      <c r="M482" s="167" t="inlineStr">
        <is>
          <t>Carinás + SA</t>
        </is>
      </c>
    </row>
    <row r="483">
      <c r="A483" s="167" t="inlineStr">
        <is>
          <t>TEQUILA OURO DOSE</t>
        </is>
      </c>
      <c r="B483" s="167" t="n"/>
      <c r="C483" s="167" t="n"/>
      <c r="D483" s="167" t="n">
        <v>30</v>
      </c>
      <c r="E483" s="167" t="n">
        <v>3000</v>
      </c>
      <c r="F483" s="167" t="inlineStr">
        <is>
          <t>78792</t>
        </is>
      </c>
      <c r="G483" s="167" t="inlineStr">
        <is>
          <t>22089000</t>
        </is>
      </c>
      <c r="H483" s="167" t="n"/>
      <c r="I483" s="167" t="inlineStr">
        <is>
          <t>Alimentos - 5102</t>
        </is>
      </c>
      <c r="J483" s="167" t="inlineStr">
        <is>
          <t>Carinás</t>
        </is>
      </c>
      <c r="K483" s="167" t="inlineStr">
        <is>
          <t>Sim</t>
        </is>
      </c>
      <c r="L483" s="167" t="inlineStr">
        <is>
          <t>Unidades</t>
        </is>
      </c>
      <c r="M483" s="167" t="inlineStr">
        <is>
          <t>Carinás + SA</t>
        </is>
      </c>
    </row>
    <row r="484">
      <c r="A484" s="167" t="inlineStr">
        <is>
          <t>TEQUILA OURO GARRAFA</t>
        </is>
      </c>
      <c r="B484" s="167" t="n"/>
      <c r="C484" s="167" t="n"/>
      <c r="D484" s="167" t="n">
        <v>290</v>
      </c>
      <c r="E484" s="167" t="n">
        <v>29000</v>
      </c>
      <c r="F484" s="167" t="inlineStr">
        <is>
          <t>102102</t>
        </is>
      </c>
      <c r="G484" s="167" t="inlineStr">
        <is>
          <t>22089000</t>
        </is>
      </c>
      <c r="H484" s="167" t="n"/>
      <c r="I484" s="167" t="inlineStr">
        <is>
          <t>Alimentos - 5102</t>
        </is>
      </c>
      <c r="J484" s="167" t="inlineStr">
        <is>
          <t>Carinás</t>
        </is>
      </c>
      <c r="K484" s="167" t="inlineStr">
        <is>
          <t>Sim</t>
        </is>
      </c>
      <c r="L484" s="167" t="inlineStr">
        <is>
          <t>Unidades</t>
        </is>
      </c>
      <c r="M484" s="167" t="inlineStr">
        <is>
          <t>Carinás + SA</t>
        </is>
      </c>
    </row>
    <row r="485">
      <c r="A485" s="167" t="inlineStr">
        <is>
          <t>TEQUILA PRATA DOSE</t>
        </is>
      </c>
      <c r="B485" s="167" t="n"/>
      <c r="C485" s="167" t="n"/>
      <c r="D485" s="167" t="n">
        <v>30</v>
      </c>
      <c r="E485" s="167" t="n">
        <v>3000</v>
      </c>
      <c r="F485" s="167" t="inlineStr">
        <is>
          <t>102008</t>
        </is>
      </c>
      <c r="G485" s="167" t="inlineStr">
        <is>
          <t>22089000</t>
        </is>
      </c>
      <c r="H485" s="167" t="n"/>
      <c r="I485" s="167" t="inlineStr">
        <is>
          <t>Alimentos - 5102</t>
        </is>
      </c>
      <c r="J485" s="167" t="inlineStr">
        <is>
          <t>Carinás</t>
        </is>
      </c>
      <c r="K485" s="167" t="inlineStr">
        <is>
          <t>Sim</t>
        </is>
      </c>
      <c r="L485" s="167" t="inlineStr">
        <is>
          <t>Unidades</t>
        </is>
      </c>
      <c r="M485" s="167" t="inlineStr">
        <is>
          <t>Carinás + SA</t>
        </is>
      </c>
    </row>
    <row r="486">
      <c r="A486" s="167" t="inlineStr">
        <is>
          <t>TORRADA</t>
        </is>
      </c>
      <c r="B486" s="167" t="n"/>
      <c r="C486" s="167" t="inlineStr">
        <is>
          <t>A CAFÉ DA MANHA</t>
        </is>
      </c>
      <c r="D486" s="167" t="n">
        <v>0</v>
      </c>
      <c r="E486" s="167" t="n">
        <v>0</v>
      </c>
      <c r="F486" s="167" t="inlineStr">
        <is>
          <t>7898905687177</t>
        </is>
      </c>
      <c r="G486" s="167" t="inlineStr">
        <is>
          <t>19054000</t>
        </is>
      </c>
      <c r="H486" s="167" t="n"/>
      <c r="I486" s="167" t="inlineStr">
        <is>
          <t>Alimentos - 5102</t>
        </is>
      </c>
      <c r="J486" s="167" t="inlineStr">
        <is>
          <t>Carinás</t>
        </is>
      </c>
      <c r="K486" s="167" t="inlineStr">
        <is>
          <t>Sim</t>
        </is>
      </c>
      <c r="L486" s="167" t="inlineStr">
        <is>
          <t>Unidades</t>
        </is>
      </c>
      <c r="M486" s="167" t="inlineStr">
        <is>
          <t>Carinás + SA</t>
        </is>
      </c>
    </row>
    <row r="487">
      <c r="A487" s="167" t="inlineStr">
        <is>
          <t>TROPICAL GIN</t>
        </is>
      </c>
      <c r="B487" s="167" t="n"/>
      <c r="C487" s="167" t="n"/>
      <c r="D487" s="167" t="n">
        <v>25</v>
      </c>
      <c r="E487" s="167" t="n">
        <v>2500</v>
      </c>
      <c r="F487" s="167" t="inlineStr">
        <is>
          <t>28608</t>
        </is>
      </c>
      <c r="G487" s="167" t="inlineStr">
        <is>
          <t>22085000</t>
        </is>
      </c>
      <c r="H487" s="167" t="n"/>
      <c r="I487" s="167" t="inlineStr">
        <is>
          <t>Alimentos - 5102</t>
        </is>
      </c>
      <c r="J487" s="167" t="inlineStr">
        <is>
          <t>Carinás</t>
        </is>
      </c>
      <c r="K487" s="167" t="inlineStr">
        <is>
          <t>Sim</t>
        </is>
      </c>
      <c r="L487" s="167" t="inlineStr">
        <is>
          <t>Unidades</t>
        </is>
      </c>
      <c r="M487" s="167" t="inlineStr">
        <is>
          <t>Carinás + SA</t>
        </is>
      </c>
    </row>
    <row r="488">
      <c r="A488" s="167" t="inlineStr">
        <is>
          <t>TULIPA DE FRANGO</t>
        </is>
      </c>
      <c r="B488" s="167" t="n"/>
      <c r="C488" s="167" t="n"/>
      <c r="D488" s="167" t="n">
        <v>13.99</v>
      </c>
      <c r="E488" s="167" t="n">
        <v>1399</v>
      </c>
      <c r="F488" s="167" t="inlineStr">
        <is>
          <t>9003338</t>
        </is>
      </c>
      <c r="G488" s="167" t="inlineStr">
        <is>
          <t>21069090</t>
        </is>
      </c>
      <c r="H488" s="167" t="n"/>
      <c r="I488" s="167" t="inlineStr">
        <is>
          <t>Alimentos - 5102</t>
        </is>
      </c>
      <c r="J488" s="167" t="inlineStr">
        <is>
          <t>Carinás</t>
        </is>
      </c>
      <c r="K488" s="167" t="inlineStr">
        <is>
          <t>Sim</t>
        </is>
      </c>
      <c r="L488" s="167" t="inlineStr">
        <is>
          <t>Unidades</t>
        </is>
      </c>
      <c r="M488" s="167" t="inlineStr">
        <is>
          <t>Carinás + SA + Delivery</t>
        </is>
      </c>
    </row>
    <row r="489">
      <c r="A489" s="167" t="inlineStr">
        <is>
          <t>TULIPA IN NATURA</t>
        </is>
      </c>
      <c r="B489" s="167" t="n"/>
      <c r="C489" s="167" t="n"/>
      <c r="D489" s="167" t="n">
        <v>29.9</v>
      </c>
      <c r="E489" s="167" t="n">
        <v>2990</v>
      </c>
      <c r="F489" s="167" t="inlineStr">
        <is>
          <t>10012</t>
        </is>
      </c>
      <c r="G489" s="167" t="inlineStr">
        <is>
          <t>21069090</t>
        </is>
      </c>
      <c r="H489" s="167" t="n"/>
      <c r="I489" s="167" t="inlineStr">
        <is>
          <t>Alimentos - 5102</t>
        </is>
      </c>
      <c r="J489" s="167" t="inlineStr">
        <is>
          <t>Carinás</t>
        </is>
      </c>
      <c r="K489" s="167" t="inlineStr">
        <is>
          <t>Sim</t>
        </is>
      </c>
      <c r="L489" s="167" t="inlineStr">
        <is>
          <t>Unidades</t>
        </is>
      </c>
      <c r="M489" s="167" t="inlineStr">
        <is>
          <t>Carinás + SA + Delivery</t>
        </is>
      </c>
    </row>
    <row r="490">
      <c r="A490" s="167" t="inlineStr">
        <is>
          <t>TULIPA QUINTAL DO ESPETO</t>
        </is>
      </c>
      <c r="B490" s="167" t="n"/>
      <c r="C490" s="167" t="n"/>
      <c r="D490" s="167" t="n">
        <v>15</v>
      </c>
      <c r="E490" s="167" t="n">
        <v>1500</v>
      </c>
      <c r="F490" s="167" t="inlineStr">
        <is>
          <t>9003565</t>
        </is>
      </c>
      <c r="G490" s="167" t="inlineStr">
        <is>
          <t>82119320</t>
        </is>
      </c>
      <c r="H490" s="167" t="n"/>
      <c r="I490" s="167" t="inlineStr">
        <is>
          <t>Alimentos - 5102</t>
        </is>
      </c>
      <c r="J490" s="167" t="inlineStr">
        <is>
          <t>Carinás</t>
        </is>
      </c>
      <c r="K490" s="167" t="inlineStr">
        <is>
          <t>Sim</t>
        </is>
      </c>
      <c r="L490" s="167" t="inlineStr">
        <is>
          <t>Unidades</t>
        </is>
      </c>
      <c r="M490" s="167" t="inlineStr">
        <is>
          <t>Carinás + SA</t>
        </is>
      </c>
    </row>
    <row r="491">
      <c r="A491" s="167" t="inlineStr">
        <is>
          <t>UVA C/ CHOCOLATE</t>
        </is>
      </c>
      <c r="B491" s="167" t="n"/>
      <c r="C491" s="167" t="n"/>
      <c r="D491" s="167" t="n">
        <v>18.99</v>
      </c>
      <c r="E491" s="167" t="n">
        <v>1899</v>
      </c>
      <c r="F491" s="167" t="inlineStr">
        <is>
          <t>50005</t>
        </is>
      </c>
      <c r="G491" s="167" t="inlineStr">
        <is>
          <t>21069090</t>
        </is>
      </c>
      <c r="H491" s="167" t="n"/>
      <c r="I491" s="167" t="inlineStr">
        <is>
          <t>Alimentos - 5102</t>
        </is>
      </c>
      <c r="J491" s="167" t="inlineStr">
        <is>
          <t>Carinás</t>
        </is>
      </c>
      <c r="K491" s="167" t="inlineStr">
        <is>
          <t>Sim</t>
        </is>
      </c>
      <c r="L491" s="167" t="inlineStr">
        <is>
          <t>Unidades</t>
        </is>
      </c>
      <c r="M491" s="167" t="inlineStr">
        <is>
          <t>Carinás + SA + Delivery</t>
        </is>
      </c>
    </row>
    <row r="492">
      <c r="A492" s="167" t="inlineStr">
        <is>
          <t>VINAGRETE</t>
        </is>
      </c>
      <c r="B492" s="167" t="n"/>
      <c r="C492" s="167" t="n"/>
      <c r="D492" s="167" t="n">
        <v>9.99</v>
      </c>
      <c r="E492" s="167" t="n">
        <v>999</v>
      </c>
      <c r="F492" s="167" t="inlineStr">
        <is>
          <t>800002</t>
        </is>
      </c>
      <c r="G492" s="167" t="inlineStr">
        <is>
          <t>21039091</t>
        </is>
      </c>
      <c r="H492" s="167" t="n"/>
      <c r="I492" s="167" t="inlineStr">
        <is>
          <t>Alimentos - 5102</t>
        </is>
      </c>
      <c r="J492" s="167" t="inlineStr">
        <is>
          <t>Carinás</t>
        </is>
      </c>
      <c r="K492" s="167" t="inlineStr">
        <is>
          <t>Sim</t>
        </is>
      </c>
      <c r="L492" s="167" t="inlineStr">
        <is>
          <t>Unidades</t>
        </is>
      </c>
      <c r="M492" s="167" t="inlineStr">
        <is>
          <t>Carinás + SA + Delivery</t>
        </is>
      </c>
    </row>
    <row r="493">
      <c r="A493" s="167" t="inlineStr">
        <is>
          <t>VINAGRETE (EXECUTIVO)</t>
        </is>
      </c>
      <c r="B493" s="167" t="n"/>
      <c r="C493" s="167" t="n"/>
      <c r="D493" s="167" t="n">
        <v>4.99</v>
      </c>
      <c r="E493" s="167" t="n">
        <v>499</v>
      </c>
      <c r="F493" s="167" t="inlineStr">
        <is>
          <t>789890568772106</t>
        </is>
      </c>
      <c r="G493" s="167" t="inlineStr">
        <is>
          <t>21069090</t>
        </is>
      </c>
      <c r="H493" s="167" t="inlineStr">
        <is>
          <t>1709700</t>
        </is>
      </c>
      <c r="I493" s="167" t="inlineStr">
        <is>
          <t>Alimentos - 5102</t>
        </is>
      </c>
      <c r="J493" s="167" t="inlineStr">
        <is>
          <t>Carinás</t>
        </is>
      </c>
      <c r="K493" s="167" t="inlineStr">
        <is>
          <t>Sim</t>
        </is>
      </c>
      <c r="L493" s="167" t="inlineStr">
        <is>
          <t>Unidades</t>
        </is>
      </c>
      <c r="M493" s="167" t="inlineStr">
        <is>
          <t>Carinás</t>
        </is>
      </c>
    </row>
    <row r="494">
      <c r="A494" s="167" t="inlineStr">
        <is>
          <t>VINHO ARGENTINO ALFREDO ROCA CHARDONNAY 375ML</t>
        </is>
      </c>
      <c r="B494" s="167" t="n"/>
      <c r="C494" s="167" t="n"/>
      <c r="D494" s="167" t="n">
        <v>69.98999999999999</v>
      </c>
      <c r="E494" s="167" t="n">
        <v>6999</v>
      </c>
      <c r="F494" s="167" t="inlineStr">
        <is>
          <t>789890568772124</t>
        </is>
      </c>
      <c r="G494" s="167" t="inlineStr">
        <is>
          <t>22042100</t>
        </is>
      </c>
      <c r="H494" s="167" t="n"/>
      <c r="I494" s="167" t="inlineStr">
        <is>
          <t>Bebidas - 5405 - 1</t>
        </is>
      </c>
      <c r="J494" s="167" t="inlineStr">
        <is>
          <t>Carinás</t>
        </is>
      </c>
      <c r="K494" s="167" t="inlineStr">
        <is>
          <t>Não</t>
        </is>
      </c>
      <c r="L494" s="167" t="inlineStr">
        <is>
          <t>Unidades</t>
        </is>
      </c>
      <c r="M494" s="167" t="inlineStr">
        <is>
          <t>Carinás + SA</t>
        </is>
      </c>
    </row>
    <row r="495">
      <c r="A495" s="167" t="inlineStr">
        <is>
          <t>VINHO ARGENTINO ALFREDO ROCA MALBEC 375ML</t>
        </is>
      </c>
      <c r="B495" s="167" t="n"/>
      <c r="C495" s="167" t="n"/>
      <c r="D495" s="167" t="n">
        <v>69.98999999999999</v>
      </c>
      <c r="E495" s="167" t="n">
        <v>6999</v>
      </c>
      <c r="F495" s="167" t="inlineStr">
        <is>
          <t>789890568772123</t>
        </is>
      </c>
      <c r="G495" s="167" t="inlineStr">
        <is>
          <t>22042100</t>
        </is>
      </c>
      <c r="H495" s="167" t="n"/>
      <c r="I495" s="167" t="inlineStr">
        <is>
          <t>Bebidas - 5405 - 1</t>
        </is>
      </c>
      <c r="J495" s="167" t="inlineStr">
        <is>
          <t>Carinás</t>
        </is>
      </c>
      <c r="K495" s="167" t="inlineStr">
        <is>
          <t>Não</t>
        </is>
      </c>
      <c r="L495" s="167" t="inlineStr">
        <is>
          <t>Unidades</t>
        </is>
      </c>
      <c r="M495" s="167" t="inlineStr">
        <is>
          <t>Carinás + SA</t>
        </is>
      </c>
    </row>
    <row r="496">
      <c r="A496" s="167" t="inlineStr">
        <is>
          <t>VINHO ARGENTINO PORTENO MALBEC 750ML</t>
        </is>
      </c>
      <c r="B496" s="167" t="n"/>
      <c r="C496" s="167" t="n"/>
      <c r="D496" s="167" t="n">
        <v>99.98999999999999</v>
      </c>
      <c r="E496" s="167" t="n">
        <v>9999</v>
      </c>
      <c r="F496" s="167" t="inlineStr">
        <is>
          <t>789890568772132</t>
        </is>
      </c>
      <c r="G496" s="167" t="inlineStr">
        <is>
          <t>22042100</t>
        </is>
      </c>
      <c r="H496" s="167" t="n"/>
      <c r="I496" s="167" t="inlineStr">
        <is>
          <t>Bebidas - 5405 - 1</t>
        </is>
      </c>
      <c r="J496" s="167" t="inlineStr">
        <is>
          <t>Carinás</t>
        </is>
      </c>
      <c r="K496" s="167" t="inlineStr">
        <is>
          <t>Não</t>
        </is>
      </c>
      <c r="L496" s="167" t="inlineStr">
        <is>
          <t>Unidades</t>
        </is>
      </c>
      <c r="M496" s="167" t="inlineStr">
        <is>
          <t>Carinás + SA</t>
        </is>
      </c>
    </row>
    <row r="497">
      <c r="A497" s="167" t="inlineStr">
        <is>
          <t>VINHO BCO  PORTUGUES TERRA DEL REI ALENTEJO 750ML</t>
        </is>
      </c>
      <c r="B497" s="167" t="n"/>
      <c r="C497" s="167" t="n"/>
      <c r="D497" s="167" t="n">
        <v>105.99</v>
      </c>
      <c r="E497" s="167" t="n">
        <v>10599</v>
      </c>
      <c r="F497" s="167" t="inlineStr">
        <is>
          <t>789890568772118</t>
        </is>
      </c>
      <c r="G497" s="167" t="inlineStr">
        <is>
          <t>22042100</t>
        </is>
      </c>
      <c r="H497" s="167" t="n"/>
      <c r="I497" s="167" t="inlineStr">
        <is>
          <t>Bebidas - 5405 - 1</t>
        </is>
      </c>
      <c r="J497" s="167" t="inlineStr">
        <is>
          <t>Carinás</t>
        </is>
      </c>
      <c r="K497" s="167" t="inlineStr">
        <is>
          <t>Não</t>
        </is>
      </c>
      <c r="L497" s="167" t="inlineStr">
        <is>
          <t>Unidades</t>
        </is>
      </c>
      <c r="M497" s="167" t="inlineStr">
        <is>
          <t>Carinás + SA</t>
        </is>
      </c>
    </row>
    <row r="498">
      <c r="A498" s="167" t="inlineStr">
        <is>
          <t>VINHO CHILENO VISTANA CABERNET MERLOT 375ML</t>
        </is>
      </c>
      <c r="B498" s="167" t="n"/>
      <c r="C498" s="167" t="n"/>
      <c r="D498" s="167" t="n">
        <v>69.98999999999999</v>
      </c>
      <c r="E498" s="167" t="n">
        <v>6999</v>
      </c>
      <c r="F498" s="167" t="inlineStr">
        <is>
          <t>789890568772120</t>
        </is>
      </c>
      <c r="G498" s="167" t="inlineStr">
        <is>
          <t>22042100</t>
        </is>
      </c>
      <c r="H498" s="167" t="n"/>
      <c r="I498" s="167" t="inlineStr">
        <is>
          <t>Bebidas - 5405 - 1</t>
        </is>
      </c>
      <c r="J498" s="167" t="inlineStr">
        <is>
          <t>Carinás</t>
        </is>
      </c>
      <c r="K498" s="167" t="inlineStr">
        <is>
          <t>Não</t>
        </is>
      </c>
      <c r="L498" s="167" t="inlineStr">
        <is>
          <t>Unidades</t>
        </is>
      </c>
      <c r="M498" s="167" t="inlineStr">
        <is>
          <t>Carinás + SA</t>
        </is>
      </c>
    </row>
    <row r="499">
      <c r="A499" s="167" t="inlineStr">
        <is>
          <t>VINHO CHILENO VISTANA CABERNET SAUVINGON 375ML</t>
        </is>
      </c>
      <c r="B499" s="167" t="n"/>
      <c r="C499" s="167" t="n"/>
      <c r="D499" s="167" t="n">
        <v>99.98999999999999</v>
      </c>
      <c r="E499" s="167" t="n">
        <v>9999</v>
      </c>
      <c r="F499" s="167" t="inlineStr">
        <is>
          <t>789890568772119</t>
        </is>
      </c>
      <c r="G499" s="167" t="inlineStr">
        <is>
          <t>22042100</t>
        </is>
      </c>
      <c r="H499" s="167" t="n"/>
      <c r="I499" s="167" t="inlineStr">
        <is>
          <t>Bebidas - 5405 - 1</t>
        </is>
      </c>
      <c r="J499" s="167" t="inlineStr">
        <is>
          <t>Carinás</t>
        </is>
      </c>
      <c r="K499" s="167" t="inlineStr">
        <is>
          <t>Não</t>
        </is>
      </c>
      <c r="L499" s="167" t="inlineStr">
        <is>
          <t>Unidades</t>
        </is>
      </c>
      <c r="M499" s="167" t="inlineStr">
        <is>
          <t>Carinás + SA</t>
        </is>
      </c>
    </row>
    <row r="500">
      <c r="A500" s="167" t="inlineStr">
        <is>
          <t>VINHO CHILENO VISTANA SAUVINGON BLANC 375ML</t>
        </is>
      </c>
      <c r="B500" s="167" t="n"/>
      <c r="C500" s="167" t="n"/>
      <c r="D500" s="167" t="n">
        <v>99.98999999999999</v>
      </c>
      <c r="E500" s="167" t="n">
        <v>9999</v>
      </c>
      <c r="F500" s="167" t="inlineStr">
        <is>
          <t>789890568772121</t>
        </is>
      </c>
      <c r="G500" s="167" t="inlineStr">
        <is>
          <t>22042100</t>
        </is>
      </c>
      <c r="H500" s="167" t="n"/>
      <c r="I500" s="167" t="inlineStr">
        <is>
          <t>Bebidas - 5405 - 1</t>
        </is>
      </c>
      <c r="J500" s="167" t="inlineStr">
        <is>
          <t>Carinás</t>
        </is>
      </c>
      <c r="K500" s="167" t="inlineStr">
        <is>
          <t>Não</t>
        </is>
      </c>
      <c r="L500" s="167" t="inlineStr">
        <is>
          <t>Unidades</t>
        </is>
      </c>
      <c r="M500" s="167" t="inlineStr">
        <is>
          <t>Carinás + SA</t>
        </is>
      </c>
    </row>
    <row r="501">
      <c r="A501" s="167" t="inlineStr">
        <is>
          <t>VINHO CHILENO VISTANA SEMILLON 375ML</t>
        </is>
      </c>
      <c r="B501" s="167" t="n"/>
      <c r="C501" s="167" t="n"/>
      <c r="D501" s="167" t="n">
        <v>69.98999999999999</v>
      </c>
      <c r="E501" s="167" t="n">
        <v>6999</v>
      </c>
      <c r="F501" s="167" t="inlineStr">
        <is>
          <t>789890568772122</t>
        </is>
      </c>
      <c r="G501" s="167" t="inlineStr">
        <is>
          <t>22042100</t>
        </is>
      </c>
      <c r="H501" s="167" t="n"/>
      <c r="I501" s="167" t="inlineStr">
        <is>
          <t>Bebidas - 5405 - 1</t>
        </is>
      </c>
      <c r="J501" s="167" t="inlineStr">
        <is>
          <t>Carinás</t>
        </is>
      </c>
      <c r="K501" s="167" t="inlineStr">
        <is>
          <t>Não</t>
        </is>
      </c>
      <c r="L501" s="167" t="inlineStr">
        <is>
          <t>Unidades</t>
        </is>
      </c>
      <c r="M501" s="167" t="inlineStr">
        <is>
          <t>Carinás + SA</t>
        </is>
      </c>
    </row>
    <row r="502">
      <c r="A502" s="167" t="inlineStr">
        <is>
          <t>VINHO ESPANHOL PATA NEGRA ORO BRANCO 750 ML</t>
        </is>
      </c>
      <c r="B502" s="167" t="n"/>
      <c r="C502" s="167" t="n"/>
      <c r="D502" s="167" t="n">
        <v>105.99</v>
      </c>
      <c r="E502" s="167" t="n">
        <v>10599</v>
      </c>
      <c r="F502" s="167" t="inlineStr">
        <is>
          <t>789890568772127</t>
        </is>
      </c>
      <c r="G502" s="167" t="inlineStr">
        <is>
          <t>22042100</t>
        </is>
      </c>
      <c r="H502" s="167" t="n"/>
      <c r="I502" s="167" t="inlineStr">
        <is>
          <t>Bebidas - 5405 - 1</t>
        </is>
      </c>
      <c r="J502" s="167" t="inlineStr">
        <is>
          <t>Carinás</t>
        </is>
      </c>
      <c r="K502" s="167" t="inlineStr">
        <is>
          <t>Não</t>
        </is>
      </c>
      <c r="L502" s="167" t="inlineStr">
        <is>
          <t>Unidades</t>
        </is>
      </c>
      <c r="M502" s="167" t="inlineStr">
        <is>
          <t>Carinás + SA</t>
        </is>
      </c>
    </row>
    <row r="503">
      <c r="A503" s="167" t="inlineStr">
        <is>
          <t>VINHO ESPANHOL PATA NEGRA ORO ROSE 750ML</t>
        </is>
      </c>
      <c r="B503" s="167" t="n"/>
      <c r="C503" s="167" t="n"/>
      <c r="D503" s="167" t="n">
        <v>105.99</v>
      </c>
      <c r="E503" s="167" t="n">
        <v>10599</v>
      </c>
      <c r="F503" s="167" t="inlineStr">
        <is>
          <t>789890568772126</t>
        </is>
      </c>
      <c r="G503" s="167" t="inlineStr">
        <is>
          <t>22042100</t>
        </is>
      </c>
      <c r="H503" s="167" t="n"/>
      <c r="I503" s="167" t="inlineStr">
        <is>
          <t>Bebidas - 5405 - 1</t>
        </is>
      </c>
      <c r="J503" s="167" t="inlineStr">
        <is>
          <t>Carinás</t>
        </is>
      </c>
      <c r="K503" s="167" t="inlineStr">
        <is>
          <t>Não</t>
        </is>
      </c>
      <c r="L503" s="167" t="inlineStr">
        <is>
          <t>Unidades</t>
        </is>
      </c>
      <c r="M503" s="167" t="inlineStr">
        <is>
          <t>Carinás + SA</t>
        </is>
      </c>
    </row>
    <row r="504">
      <c r="A504" s="167" t="inlineStr">
        <is>
          <t>VINHO ESPANHOL PATA NEGRA ORO TEMPRANILLO 750ML</t>
        </is>
      </c>
      <c r="B504" s="167" t="n"/>
      <c r="C504" s="167" t="n"/>
      <c r="D504" s="167" t="n">
        <v>105.99</v>
      </c>
      <c r="E504" s="167" t="n">
        <v>10599</v>
      </c>
      <c r="F504" s="167" t="inlineStr">
        <is>
          <t>789890568772125</t>
        </is>
      </c>
      <c r="G504" s="167" t="inlineStr">
        <is>
          <t>22042100</t>
        </is>
      </c>
      <c r="H504" s="167" t="n"/>
      <c r="I504" s="167" t="inlineStr">
        <is>
          <t>Bebidas - 5405 - 1</t>
        </is>
      </c>
      <c r="J504" s="167" t="inlineStr">
        <is>
          <t>Carinás</t>
        </is>
      </c>
      <c r="K504" s="167" t="inlineStr">
        <is>
          <t>Não</t>
        </is>
      </c>
      <c r="L504" s="167" t="inlineStr">
        <is>
          <t>Unidades</t>
        </is>
      </c>
      <c r="M504" s="167" t="inlineStr">
        <is>
          <t>Carinás + SA</t>
        </is>
      </c>
    </row>
    <row r="505">
      <c r="A505" s="167" t="inlineStr">
        <is>
          <t>VINHO FRANCES MONTMEYRAC BRANCO 750ML</t>
        </is>
      </c>
      <c r="B505" s="167" t="n"/>
      <c r="C505" s="167" t="n"/>
      <c r="D505" s="167" t="n">
        <v>135.99</v>
      </c>
      <c r="E505" s="167" t="n">
        <v>13599</v>
      </c>
      <c r="F505" s="167" t="inlineStr">
        <is>
          <t>789890568772130</t>
        </is>
      </c>
      <c r="G505" s="167" t="inlineStr">
        <is>
          <t>22042100</t>
        </is>
      </c>
      <c r="H505" s="167" t="n"/>
      <c r="I505" s="167" t="inlineStr">
        <is>
          <t>Bebidas - 5405 - 1</t>
        </is>
      </c>
      <c r="J505" s="167" t="inlineStr">
        <is>
          <t>Carinás</t>
        </is>
      </c>
      <c r="K505" s="167" t="inlineStr">
        <is>
          <t>Não</t>
        </is>
      </c>
      <c r="L505" s="167" t="inlineStr">
        <is>
          <t>Unidades</t>
        </is>
      </c>
      <c r="M505" s="167" t="inlineStr">
        <is>
          <t>Carinás + SA</t>
        </is>
      </c>
    </row>
    <row r="506">
      <c r="A506" s="167" t="inlineStr">
        <is>
          <t>VINHO FRANCES MONTMEYRAC ROSE 750 ML</t>
        </is>
      </c>
      <c r="B506" s="167" t="n"/>
      <c r="C506" s="167" t="n"/>
      <c r="D506" s="167" t="n">
        <v>135.99</v>
      </c>
      <c r="E506" s="167" t="n">
        <v>13599</v>
      </c>
      <c r="F506" s="167" t="inlineStr">
        <is>
          <t>789890568772131</t>
        </is>
      </c>
      <c r="G506" s="167" t="inlineStr">
        <is>
          <t>22042100</t>
        </is>
      </c>
      <c r="H506" s="167" t="n"/>
      <c r="I506" s="167" t="inlineStr">
        <is>
          <t>Bebidas - 5405 - 1</t>
        </is>
      </c>
      <c r="J506" s="167" t="inlineStr">
        <is>
          <t>Carinás</t>
        </is>
      </c>
      <c r="K506" s="167" t="inlineStr">
        <is>
          <t>Não</t>
        </is>
      </c>
      <c r="L506" s="167" t="inlineStr">
        <is>
          <t>Unidades</t>
        </is>
      </c>
      <c r="M506" s="167" t="inlineStr">
        <is>
          <t>Carinás + SA</t>
        </is>
      </c>
    </row>
    <row r="507">
      <c r="A507" s="167" t="inlineStr">
        <is>
          <t>VINHO FRANCES MONTMEYRAC TINTO 750 ML</t>
        </is>
      </c>
      <c r="B507" s="167" t="n"/>
      <c r="C507" s="167" t="n"/>
      <c r="D507" s="167" t="n">
        <v>135.99</v>
      </c>
      <c r="E507" s="167" t="n">
        <v>13599</v>
      </c>
      <c r="F507" s="167" t="inlineStr">
        <is>
          <t>789890568772129</t>
        </is>
      </c>
      <c r="G507" s="167" t="inlineStr">
        <is>
          <t>22042100</t>
        </is>
      </c>
      <c r="H507" s="167" t="n"/>
      <c r="I507" s="167" t="inlineStr">
        <is>
          <t>Alimentos - 5102</t>
        </is>
      </c>
      <c r="J507" s="167" t="inlineStr">
        <is>
          <t>Carinás</t>
        </is>
      </c>
      <c r="K507" s="167" t="inlineStr">
        <is>
          <t>Não</t>
        </is>
      </c>
      <c r="L507" s="167" t="inlineStr">
        <is>
          <t>Unidades</t>
        </is>
      </c>
      <c r="M507" s="167" t="inlineStr">
        <is>
          <t>Carinás + SA</t>
        </is>
      </c>
    </row>
    <row r="508">
      <c r="A508" s="167" t="inlineStr">
        <is>
          <t>VINHO GALLO REI</t>
        </is>
      </c>
      <c r="B508" s="167" t="n"/>
      <c r="C508" s="167" t="n"/>
      <c r="D508" s="167" t="n">
        <v>29.9</v>
      </c>
      <c r="E508" s="167" t="n">
        <v>2990</v>
      </c>
      <c r="F508" s="167" t="inlineStr">
        <is>
          <t>21069095</t>
        </is>
      </c>
      <c r="G508" s="167" t="inlineStr">
        <is>
          <t>22042100</t>
        </is>
      </c>
      <c r="H508" s="167" t="n"/>
      <c r="I508" s="167" t="inlineStr">
        <is>
          <t>Bebidas - 5405 - 2</t>
        </is>
      </c>
      <c r="J508" s="167" t="inlineStr">
        <is>
          <t>Carinás</t>
        </is>
      </c>
      <c r="K508" s="167" t="inlineStr">
        <is>
          <t>Sim</t>
        </is>
      </c>
      <c r="L508" s="167" t="inlineStr">
        <is>
          <t>Unidades</t>
        </is>
      </c>
      <c r="M508" s="167" t="inlineStr">
        <is>
          <t>Carinás + SA</t>
        </is>
      </c>
    </row>
    <row r="509">
      <c r="A509" s="167" t="inlineStr">
        <is>
          <t>VINHO ITALIANO LAMBRUSCO VILLA FABRIZIA TINTO 750ML</t>
        </is>
      </c>
      <c r="B509" s="167" t="n"/>
      <c r="C509" s="167" t="n"/>
      <c r="D509" s="167" t="n">
        <v>135.99</v>
      </c>
      <c r="E509" s="167" t="n">
        <v>13599</v>
      </c>
      <c r="F509" s="167" t="inlineStr">
        <is>
          <t>789890568772128</t>
        </is>
      </c>
      <c r="G509" s="167" t="inlineStr">
        <is>
          <t>22042100</t>
        </is>
      </c>
      <c r="H509" s="167" t="n"/>
      <c r="I509" s="167" t="inlineStr">
        <is>
          <t>Bebidas - 5405 - 1</t>
        </is>
      </c>
      <c r="J509" s="167" t="inlineStr">
        <is>
          <t>Carinás</t>
        </is>
      </c>
      <c r="K509" s="167" t="inlineStr">
        <is>
          <t>Não</t>
        </is>
      </c>
      <c r="L509" s="167" t="inlineStr">
        <is>
          <t>Unidades</t>
        </is>
      </c>
      <c r="M509" s="167" t="inlineStr">
        <is>
          <t>Carinás + SA</t>
        </is>
      </c>
    </row>
    <row r="510">
      <c r="A510" s="167" t="inlineStr">
        <is>
          <t>VINHO ITALIANO TARVENELLO BIANCO D'ITALIA 750 ML</t>
        </is>
      </c>
      <c r="B510" s="167" t="n"/>
      <c r="C510" s="167" t="n"/>
      <c r="D510" s="167" t="n">
        <v>135.99</v>
      </c>
      <c r="E510" s="167" t="n">
        <v>13599</v>
      </c>
      <c r="F510" s="167" t="inlineStr">
        <is>
          <t>789890568772133</t>
        </is>
      </c>
      <c r="G510" s="167" t="inlineStr">
        <is>
          <t>22042100</t>
        </is>
      </c>
      <c r="H510" s="167" t="n"/>
      <c r="I510" s="167" t="inlineStr">
        <is>
          <t>Bebidas - 5405 - 1</t>
        </is>
      </c>
      <c r="J510" s="167" t="inlineStr">
        <is>
          <t>Carinás</t>
        </is>
      </c>
      <c r="K510" s="167" t="inlineStr">
        <is>
          <t>Não</t>
        </is>
      </c>
      <c r="L510" s="167" t="inlineStr">
        <is>
          <t>Unidades</t>
        </is>
      </c>
      <c r="M510" s="167" t="inlineStr">
        <is>
          <t>Carinás + SA</t>
        </is>
      </c>
    </row>
    <row r="511">
      <c r="A511" s="167" t="inlineStr">
        <is>
          <t>VINHO ITALIANO TARVENELLO ROSSO D'ITALIA 750ML</t>
        </is>
      </c>
      <c r="B511" s="167" t="n"/>
      <c r="C511" s="167" t="n"/>
      <c r="D511" s="167" t="n">
        <v>135.99</v>
      </c>
      <c r="E511" s="167" t="n">
        <v>13599</v>
      </c>
      <c r="F511" s="167" t="inlineStr">
        <is>
          <t>789890568772134</t>
        </is>
      </c>
      <c r="G511" s="167" t="inlineStr">
        <is>
          <t>22042100</t>
        </is>
      </c>
      <c r="H511" s="167" t="n"/>
      <c r="I511" s="167" t="inlineStr">
        <is>
          <t>Bebidas - 5405 - 1</t>
        </is>
      </c>
      <c r="J511" s="167" t="inlineStr">
        <is>
          <t>Carinás</t>
        </is>
      </c>
      <c r="K511" s="167" t="inlineStr">
        <is>
          <t>Não</t>
        </is>
      </c>
      <c r="L511" s="167" t="inlineStr">
        <is>
          <t>Unidades</t>
        </is>
      </c>
      <c r="M511" s="167" t="inlineStr">
        <is>
          <t>Carinás + SA</t>
        </is>
      </c>
    </row>
    <row r="512">
      <c r="A512" s="167" t="inlineStr">
        <is>
          <t>VINHO QUENTE</t>
        </is>
      </c>
      <c r="B512" s="167" t="n"/>
      <c r="C512" s="167" t="inlineStr">
        <is>
          <t>OUTROS</t>
        </is>
      </c>
      <c r="D512" s="167" t="n">
        <v>14.99</v>
      </c>
      <c r="E512" s="167" t="n">
        <v>1499</v>
      </c>
      <c r="F512" s="167" t="inlineStr">
        <is>
          <t>15460</t>
        </is>
      </c>
      <c r="G512" s="167" t="inlineStr">
        <is>
          <t>22042100</t>
        </is>
      </c>
      <c r="H512" s="167" t="n"/>
      <c r="I512" s="167" t="inlineStr">
        <is>
          <t>Bebidas - 5405 - 1</t>
        </is>
      </c>
      <c r="J512" s="167" t="inlineStr">
        <is>
          <t>Carinás</t>
        </is>
      </c>
      <c r="K512" s="167" t="inlineStr">
        <is>
          <t>Sim</t>
        </is>
      </c>
      <c r="L512" s="167" t="inlineStr">
        <is>
          <t>Unidades</t>
        </is>
      </c>
      <c r="M512" s="167" t="inlineStr">
        <is>
          <t>Carinás + SA</t>
        </is>
      </c>
    </row>
    <row r="513">
      <c r="A513" s="167" t="inlineStr">
        <is>
          <t>VINHO TINTO PORTUGUES TERRA DEL REI ALENTEJO 750ML</t>
        </is>
      </c>
      <c r="B513" s="167" t="n"/>
      <c r="C513" s="167" t="n"/>
      <c r="D513" s="167" t="n">
        <v>105.99</v>
      </c>
      <c r="E513" s="167" t="n">
        <v>10599</v>
      </c>
      <c r="F513" s="167" t="inlineStr">
        <is>
          <t>789890568772117</t>
        </is>
      </c>
      <c r="G513" s="167" t="inlineStr">
        <is>
          <t>22042100</t>
        </is>
      </c>
      <c r="H513" s="167" t="n"/>
      <c r="I513" s="167" t="inlineStr">
        <is>
          <t>Bebidas - 5405 - 1</t>
        </is>
      </c>
      <c r="J513" s="167" t="inlineStr">
        <is>
          <t>Carinás</t>
        </is>
      </c>
      <c r="K513" s="167" t="inlineStr">
        <is>
          <t>Não</t>
        </is>
      </c>
      <c r="L513" s="167" t="inlineStr">
        <is>
          <t>Unidades</t>
        </is>
      </c>
      <c r="M513" s="167" t="inlineStr">
        <is>
          <t>Carinás + SA</t>
        </is>
      </c>
    </row>
    <row r="514">
      <c r="A514" s="167" t="inlineStr">
        <is>
          <t>VISTAÑA  CABERNET  MERLOT 375ML</t>
        </is>
      </c>
      <c r="B514" s="167" t="n"/>
      <c r="C514" s="167" t="n"/>
      <c r="D514" s="167" t="n">
        <v>78</v>
      </c>
      <c r="E514" s="167" t="n">
        <v>7800</v>
      </c>
      <c r="F514" s="167" t="inlineStr">
        <is>
          <t>9003149</t>
        </is>
      </c>
      <c r="G514" s="167" t="inlineStr">
        <is>
          <t>22084000</t>
        </is>
      </c>
      <c r="H514" s="167" t="n"/>
      <c r="I514" s="167" t="inlineStr">
        <is>
          <t>Alimentos - 5102</t>
        </is>
      </c>
      <c r="J514" s="167" t="inlineStr">
        <is>
          <t>Carinás</t>
        </is>
      </c>
      <c r="K514" s="167" t="inlineStr">
        <is>
          <t>Sim</t>
        </is>
      </c>
      <c r="L514" s="167" t="inlineStr">
        <is>
          <t>Unidades</t>
        </is>
      </c>
      <c r="M514" s="167" t="inlineStr">
        <is>
          <t>Carinás + SA</t>
        </is>
      </c>
    </row>
    <row r="515">
      <c r="A515" s="167" t="inlineStr">
        <is>
          <t>VISTAÑA CABERNET MERLOT 750ML</t>
        </is>
      </c>
      <c r="B515" s="167" t="n"/>
      <c r="C515" s="167" t="n"/>
      <c r="D515" s="167" t="n">
        <v>99.98999999999999</v>
      </c>
      <c r="E515" s="167" t="n">
        <v>9999</v>
      </c>
      <c r="F515" s="167" t="inlineStr">
        <is>
          <t>9003150</t>
        </is>
      </c>
      <c r="G515" s="167" t="inlineStr">
        <is>
          <t>22042100</t>
        </is>
      </c>
      <c r="H515" s="167" t="n"/>
      <c r="I515" s="167" t="inlineStr">
        <is>
          <t>Bebidas - 5405 - 1</t>
        </is>
      </c>
      <c r="J515" s="167" t="inlineStr">
        <is>
          <t>Carinás</t>
        </is>
      </c>
      <c r="K515" s="167" t="inlineStr">
        <is>
          <t>Sim</t>
        </is>
      </c>
      <c r="L515" s="167" t="inlineStr">
        <is>
          <t>Unidades</t>
        </is>
      </c>
      <c r="M515" s="167" t="inlineStr">
        <is>
          <t>Carinás + SA</t>
        </is>
      </c>
    </row>
    <row r="516">
      <c r="A516" s="167" t="inlineStr">
        <is>
          <t>VISTAÑA SAUVIGNON BLANC 375ML</t>
        </is>
      </c>
      <c r="B516" s="167" t="n"/>
      <c r="C516" s="167" t="n"/>
      <c r="D516" s="167" t="n">
        <v>78</v>
      </c>
      <c r="E516" s="167" t="n">
        <v>7800</v>
      </c>
      <c r="F516" s="167" t="inlineStr">
        <is>
          <t>9003152</t>
        </is>
      </c>
      <c r="G516" s="167" t="inlineStr">
        <is>
          <t>22042100</t>
        </is>
      </c>
      <c r="H516" s="167" t="n"/>
      <c r="I516" s="167" t="inlineStr">
        <is>
          <t>Bebidas - 5405 - 1</t>
        </is>
      </c>
      <c r="J516" s="167" t="inlineStr">
        <is>
          <t>Carinás</t>
        </is>
      </c>
      <c r="K516" s="167" t="inlineStr">
        <is>
          <t>Sim</t>
        </is>
      </c>
      <c r="L516" s="167" t="inlineStr">
        <is>
          <t>Unidades</t>
        </is>
      </c>
      <c r="M516" s="167" t="inlineStr">
        <is>
          <t>Carinás + SA</t>
        </is>
      </c>
    </row>
    <row r="517">
      <c r="A517" s="167" t="inlineStr">
        <is>
          <t>VISTAÑA SAUVIGNON BLANC 750ML</t>
        </is>
      </c>
      <c r="B517" s="167" t="n"/>
      <c r="C517" s="167" t="n"/>
      <c r="D517" s="167" t="n">
        <v>99.98999999999999</v>
      </c>
      <c r="E517" s="167" t="n">
        <v>9999</v>
      </c>
      <c r="F517" s="167" t="inlineStr">
        <is>
          <t>9003153</t>
        </is>
      </c>
      <c r="G517" s="167" t="inlineStr">
        <is>
          <t>22042100</t>
        </is>
      </c>
      <c r="H517" s="167" t="n"/>
      <c r="I517" s="167" t="inlineStr">
        <is>
          <t>Bebidas - 5405 - 1</t>
        </is>
      </c>
      <c r="J517" s="167" t="inlineStr">
        <is>
          <t>Carinás</t>
        </is>
      </c>
      <c r="K517" s="167" t="inlineStr">
        <is>
          <t>Sim</t>
        </is>
      </c>
      <c r="L517" s="167" t="inlineStr">
        <is>
          <t>Unidades</t>
        </is>
      </c>
      <c r="M517" s="167" t="inlineStr">
        <is>
          <t>Carinás + SA</t>
        </is>
      </c>
    </row>
    <row r="518">
      <c r="A518" s="167" t="inlineStr">
        <is>
          <t>VODKA BACCO GARRAFA 1LT</t>
        </is>
      </c>
      <c r="B518" s="167" t="n"/>
      <c r="C518" s="167" t="n"/>
      <c r="D518" s="167" t="n">
        <v>149.99</v>
      </c>
      <c r="E518" s="167" t="n">
        <v>14999</v>
      </c>
      <c r="F518" s="167" t="inlineStr">
        <is>
          <t>789890568772116</t>
        </is>
      </c>
      <c r="G518" s="167" t="inlineStr">
        <is>
          <t>22042100</t>
        </is>
      </c>
      <c r="H518" s="167" t="n"/>
      <c r="I518" s="167" t="inlineStr">
        <is>
          <t>Bebidas - 5405 - 1</t>
        </is>
      </c>
      <c r="J518" s="167" t="inlineStr">
        <is>
          <t>Carinás</t>
        </is>
      </c>
      <c r="K518" s="167" t="inlineStr">
        <is>
          <t>Não</t>
        </is>
      </c>
      <c r="L518" s="167" t="inlineStr">
        <is>
          <t>Unidades</t>
        </is>
      </c>
      <c r="M518" s="167" t="inlineStr">
        <is>
          <t>Carinás + SA</t>
        </is>
      </c>
    </row>
    <row r="519">
      <c r="A519" s="167" t="inlineStr">
        <is>
          <t>VOUCHER CAIPIRINHA DE CACHAÇA</t>
        </is>
      </c>
      <c r="B519" s="167" t="n"/>
      <c r="C519" s="167" t="n"/>
      <c r="D519" s="167" t="n">
        <v>0</v>
      </c>
      <c r="E519" s="167" t="n">
        <v>0</v>
      </c>
      <c r="F519" s="167" t="inlineStr">
        <is>
          <t>78989056877199</t>
        </is>
      </c>
      <c r="G519" s="167" t="inlineStr">
        <is>
          <t>22084000</t>
        </is>
      </c>
      <c r="H519" s="167" t="n"/>
      <c r="I519" s="167" t="inlineStr">
        <is>
          <t>Alimentos - 5102</t>
        </is>
      </c>
      <c r="J519" s="167" t="inlineStr">
        <is>
          <t>Carinás</t>
        </is>
      </c>
      <c r="K519" s="167" t="inlineStr">
        <is>
          <t>Sim</t>
        </is>
      </c>
      <c r="L519" s="167" t="inlineStr">
        <is>
          <t>Unidades</t>
        </is>
      </c>
      <c r="M519" s="167" t="inlineStr">
        <is>
          <t>Carinás + SA</t>
        </is>
      </c>
    </row>
    <row r="520">
      <c r="A520" s="167" t="inlineStr">
        <is>
          <t>VOUCHER CAIPIRINHA DE SAKE</t>
        </is>
      </c>
      <c r="B520" s="167" t="n"/>
      <c r="C520" s="167" t="n"/>
      <c r="D520" s="167" t="n">
        <v>0</v>
      </c>
      <c r="E520" s="167" t="n">
        <v>0</v>
      </c>
      <c r="F520" s="167" t="inlineStr">
        <is>
          <t>78989056877197</t>
        </is>
      </c>
      <c r="G520" s="167" t="inlineStr">
        <is>
          <t>22084000</t>
        </is>
      </c>
      <c r="H520" s="167" t="n"/>
      <c r="I520" s="167" t="inlineStr">
        <is>
          <t>Alimentos - 5102</t>
        </is>
      </c>
      <c r="J520" s="167" t="inlineStr">
        <is>
          <t>Carinás</t>
        </is>
      </c>
      <c r="K520" s="167" t="inlineStr">
        <is>
          <t>Sim</t>
        </is>
      </c>
      <c r="L520" s="167" t="inlineStr">
        <is>
          <t>Unidades</t>
        </is>
      </c>
      <c r="M520" s="167" t="inlineStr">
        <is>
          <t>Carinás + SA</t>
        </is>
      </c>
    </row>
    <row r="521">
      <c r="A521" s="167" t="inlineStr">
        <is>
          <t>VOUCHER CAIPIRINHA DE VODKA NACIONAL</t>
        </is>
      </c>
      <c r="B521" s="167" t="n"/>
      <c r="C521" s="167" t="n"/>
      <c r="D521" s="167" t="n">
        <v>0</v>
      </c>
      <c r="E521" s="167" t="n">
        <v>0</v>
      </c>
      <c r="F521" s="167" t="inlineStr">
        <is>
          <t>78989056877198</t>
        </is>
      </c>
      <c r="G521" s="167" t="inlineStr">
        <is>
          <t>22084000</t>
        </is>
      </c>
      <c r="H521" s="167" t="n"/>
      <c r="I521" s="167" t="inlineStr">
        <is>
          <t>Alimentos - 5102</t>
        </is>
      </c>
      <c r="J521" s="167" t="inlineStr">
        <is>
          <t>Carinás</t>
        </is>
      </c>
      <c r="K521" s="167" t="inlineStr">
        <is>
          <t>Sim</t>
        </is>
      </c>
      <c r="L521" s="167" t="inlineStr">
        <is>
          <t>Unidades</t>
        </is>
      </c>
      <c r="M521" s="167" t="inlineStr">
        <is>
          <t>Carinás + SA</t>
        </is>
      </c>
    </row>
  </sheetData>
  <pageMargins left="0.75" right="0.75" top="1" bottom="1" header="0.5" footer="0.5"/>
</worksheet>
</file>

<file path=xl/worksheets/sheet10.xml><?xml version="1.0" encoding="utf-8"?>
<worksheet xmlns="http://schemas.openxmlformats.org/spreadsheetml/2006/main">
  <sheetPr>
    <tabColor rgb="FFFF0000"/>
    <outlinePr summaryBelow="1" summaryRight="1"/>
    <pageSetUpPr/>
  </sheetPr>
  <dimension ref="A1:G264"/>
  <sheetViews>
    <sheetView showGridLines="0" workbookViewId="0">
      <pane ySplit="1" topLeftCell="A2" activePane="bottomLeft" state="frozen"/>
      <selection pane="bottomLeft" activeCell="D5" sqref="D5"/>
    </sheetView>
  </sheetViews>
  <sheetFormatPr baseColWidth="8" defaultRowHeight="15"/>
  <cols>
    <col width="14" customWidth="1" min="1" max="1"/>
    <col width="12" customWidth="1" min="2" max="2"/>
    <col width="18" customWidth="1" min="3" max="3"/>
    <col width="42" customWidth="1" min="4" max="4"/>
    <col width="38" customWidth="1" min="5" max="5"/>
    <col width="52" customWidth="1" min="6" max="6"/>
    <col width="12" customWidth="1" min="7" max="7"/>
  </cols>
  <sheetData>
    <row r="1" ht="21.95" customHeight="1">
      <c r="A1" s="29" t="inlineStr">
        <is>
          <t>Aba</t>
        </is>
      </c>
      <c r="B1" s="51" t="inlineStr">
        <is>
          <t>Prioridade</t>
        </is>
      </c>
      <c r="C1" s="29" t="inlineStr">
        <is>
          <t>Código</t>
        </is>
      </c>
      <c r="D1" s="29" t="inlineStr">
        <is>
          <t>Descrição / Contexto</t>
        </is>
      </c>
      <c r="E1" s="29" t="inlineStr">
        <is>
          <t>Problema Identificado</t>
        </is>
      </c>
      <c r="F1" s="29" t="inlineStr">
        <is>
          <t>Ação Necessária</t>
        </is>
      </c>
      <c r="G1" s="30" t="inlineStr">
        <is>
          <t>Status</t>
        </is>
      </c>
    </row>
    <row r="2">
      <c r="A2" s="52" t="inlineStr">
        <is>
          <t>Base Insumos</t>
        </is>
      </c>
      <c r="B2" s="39" t="inlineStr">
        <is>
          <t>🔴 Alta</t>
        </is>
      </c>
      <c r="C2" s="37" t="inlineStr">
        <is>
          <t>000372</t>
        </is>
      </c>
      <c r="D2" s="38" t="inlineStr">
        <is>
          <t>—</t>
        </is>
      </c>
      <c r="E2" s="53" t="inlineStr">
        <is>
          <t>Sem descrição, custo e unidade</t>
        </is>
      </c>
      <c r="F2" s="54" t="inlineStr">
        <is>
          <t>Verificar cadastro no Protheus ou remover da base</t>
        </is>
      </c>
      <c r="G2" s="55" t="inlineStr">
        <is>
          <t>Pendente</t>
        </is>
      </c>
    </row>
    <row r="3">
      <c r="A3" s="52" t="inlineStr">
        <is>
          <t>Base Insumos</t>
        </is>
      </c>
      <c r="B3" s="39" t="inlineStr">
        <is>
          <t>🔴 Alta</t>
        </is>
      </c>
      <c r="C3" s="37" t="inlineStr">
        <is>
          <t>000404</t>
        </is>
      </c>
      <c r="D3" s="38" t="inlineStr">
        <is>
          <t>—</t>
        </is>
      </c>
      <c r="E3" s="53" t="inlineStr">
        <is>
          <t>Sem descrição, custo e unidade</t>
        </is>
      </c>
      <c r="F3" s="54" t="inlineStr">
        <is>
          <t>Verificar cadastro no Protheus ou remover da base</t>
        </is>
      </c>
      <c r="G3" s="55" t="inlineStr">
        <is>
          <t>Pendente</t>
        </is>
      </c>
    </row>
    <row r="4">
      <c r="A4" s="52" t="inlineStr">
        <is>
          <t>Fichas Flat</t>
        </is>
      </c>
      <c r="B4" s="39" t="inlineStr">
        <is>
          <t>🔴 Alta</t>
        </is>
      </c>
      <c r="C4" s="37" t="inlineStr">
        <is>
          <t>000440</t>
        </is>
      </c>
      <c r="D4" s="38" t="inlineStr">
        <is>
          <t>Usado em: Dadinho de Tapioca, Espeto de Shimeji, Espeto de Mussarela de Búfala com Rucula e Tomate Seco</t>
        </is>
      </c>
      <c r="E4" s="53" t="inlineStr">
        <is>
          <t>Componente não encontrado na Base Insumos</t>
        </is>
      </c>
      <c r="F4" s="54" t="inlineStr">
        <is>
          <t>Cadastrar insumo na Base Insumos com código e custo corretos</t>
        </is>
      </c>
      <c r="G4" s="55" t="inlineStr">
        <is>
          <t>Pendente</t>
        </is>
      </c>
    </row>
    <row r="5">
      <c r="A5" s="52" t="inlineStr">
        <is>
          <t>Fichas Flat</t>
        </is>
      </c>
      <c r="B5" s="39" t="inlineStr">
        <is>
          <t>🔴 Alta</t>
        </is>
      </c>
      <c r="C5" s="37" t="inlineStr">
        <is>
          <t>000503</t>
        </is>
      </c>
      <c r="D5" s="38" t="inlineStr">
        <is>
          <t>Usado em: Villa Fabrizia Lambrusco</t>
        </is>
      </c>
      <c r="E5" s="53" t="inlineStr">
        <is>
          <t>Componente não encontrado na Base Insumos</t>
        </is>
      </c>
      <c r="F5" s="54" t="inlineStr">
        <is>
          <t>Cadastrar insumo na Base Insumos com código e custo corretos</t>
        </is>
      </c>
      <c r="G5" s="55" t="inlineStr">
        <is>
          <t>Pendente</t>
        </is>
      </c>
    </row>
    <row r="6">
      <c r="A6" s="52" t="inlineStr">
        <is>
          <t>Fichas Flat</t>
        </is>
      </c>
      <c r="B6" s="39" t="inlineStr">
        <is>
          <t>🔴 Alta</t>
        </is>
      </c>
      <c r="C6" s="37" t="inlineStr">
        <is>
          <t>000900</t>
        </is>
      </c>
      <c r="D6" s="38" t="inlineStr">
        <is>
          <t>Usado em: Porção de arroz biro biro</t>
        </is>
      </c>
      <c r="E6" s="53" t="inlineStr">
        <is>
          <t>Componente não encontrado na Base Insumos</t>
        </is>
      </c>
      <c r="F6" s="54" t="inlineStr">
        <is>
          <t>Cadastrar insumo na Base Insumos com código e custo corretos</t>
        </is>
      </c>
      <c r="G6" s="55" t="inlineStr">
        <is>
          <t>Pendente</t>
        </is>
      </c>
    </row>
    <row r="7">
      <c r="A7" s="52" t="inlineStr">
        <is>
          <t>Fichas Flat</t>
        </is>
      </c>
      <c r="B7" s="39" t="inlineStr">
        <is>
          <t>🔴 Alta</t>
        </is>
      </c>
      <c r="C7" s="37" t="inlineStr">
        <is>
          <t>001222</t>
        </is>
      </c>
      <c r="D7" s="38" t="inlineStr">
        <is>
          <t>Usado em: Limoncello Spritz</t>
        </is>
      </c>
      <c r="E7" s="53" t="inlineStr">
        <is>
          <t>Componente não encontrado na Base Insumos</t>
        </is>
      </c>
      <c r="F7" s="54" t="inlineStr">
        <is>
          <t>Cadastrar insumo na Base Insumos com código e custo corretos</t>
        </is>
      </c>
      <c r="G7" s="55" t="inlineStr">
        <is>
          <t>Pendente</t>
        </is>
      </c>
    </row>
    <row r="8">
      <c r="A8" s="52" t="inlineStr">
        <is>
          <t>Fichas Flat</t>
        </is>
      </c>
      <c r="B8" s="39" t="inlineStr">
        <is>
          <t>🔴 Alta</t>
        </is>
      </c>
      <c r="C8" s="37" t="inlineStr">
        <is>
          <t>009538</t>
        </is>
      </c>
      <c r="D8" s="38" t="inlineStr">
        <is>
          <t>Usado em: Combo Quintal Feliz</t>
        </is>
      </c>
      <c r="E8" s="53" t="inlineStr">
        <is>
          <t>Componente não encontrado na Base Insumos</t>
        </is>
      </c>
      <c r="F8" s="54" t="inlineStr">
        <is>
          <t>Cadastrar insumo na Base Insumos com código e custo corretos</t>
        </is>
      </c>
      <c r="G8" s="55" t="inlineStr">
        <is>
          <t>Pendente</t>
        </is>
      </c>
    </row>
    <row r="9">
      <c r="A9" s="52" t="inlineStr">
        <is>
          <t>Fichas Flat</t>
        </is>
      </c>
      <c r="B9" s="39" t="inlineStr">
        <is>
          <t>🔴 Alta</t>
        </is>
      </c>
      <c r="C9" s="37" t="inlineStr">
        <is>
          <t>000282</t>
        </is>
      </c>
      <c r="D9" s="38" t="inlineStr">
        <is>
          <t>Usado em: Combo Casal para 2</t>
        </is>
      </c>
      <c r="E9" s="53" t="inlineStr">
        <is>
          <t>Componente não encontrado na Base Insumos</t>
        </is>
      </c>
      <c r="F9" s="54" t="inlineStr">
        <is>
          <t>Cadastrar insumo na Base Insumos com código e custo corretos</t>
        </is>
      </c>
      <c r="G9" s="55" t="inlineStr">
        <is>
          <t>Pendente</t>
        </is>
      </c>
    </row>
    <row r="10">
      <c r="A10" s="52" t="inlineStr">
        <is>
          <t>Vendidos</t>
        </is>
      </c>
      <c r="B10" s="39" t="inlineStr">
        <is>
          <t>🔴 Alta</t>
        </is>
      </c>
      <c r="C10" s="37" t="inlineStr">
        <is>
          <t>80008</t>
        </is>
      </c>
      <c r="D10" s="38" t="inlineStr">
        <is>
          <t>BRAHMA ZERO</t>
        </is>
      </c>
      <c r="E10" s="53" t="inlineStr">
        <is>
          <t>Produto ativo na ZIG sem cadastro no Protheus</t>
        </is>
      </c>
      <c r="F10" s="54" t="inlineStr">
        <is>
          <t>Cadastrar PA no Protheus e vincular código ZIG</t>
        </is>
      </c>
      <c r="G10" s="55" t="inlineStr">
        <is>
          <t>Pendente</t>
        </is>
      </c>
    </row>
    <row r="11">
      <c r="A11" s="52" t="inlineStr">
        <is>
          <t>Vendidos</t>
        </is>
      </c>
      <c r="B11" s="39" t="inlineStr">
        <is>
          <t>🔴 Alta</t>
        </is>
      </c>
      <c r="C11" s="37" t="inlineStr">
        <is>
          <t>9003135</t>
        </is>
      </c>
      <c r="D11" s="38" t="inlineStr">
        <is>
          <t>CLÁSSICOS</t>
        </is>
      </c>
      <c r="E11" s="53" t="inlineStr">
        <is>
          <t>Produto ativo na ZIG sem cadastro no Protheus</t>
        </is>
      </c>
      <c r="F11" s="54" t="inlineStr">
        <is>
          <t>Cadastrar PA no Protheus e vincular código ZIG</t>
        </is>
      </c>
      <c r="G11" s="55" t="inlineStr">
        <is>
          <t>Pendente</t>
        </is>
      </c>
    </row>
    <row r="12">
      <c r="A12" s="52" t="inlineStr">
        <is>
          <t>Vendidos</t>
        </is>
      </c>
      <c r="B12" s="39" t="inlineStr">
        <is>
          <t>🔴 Alta</t>
        </is>
      </c>
      <c r="C12" s="37" t="inlineStr">
        <is>
          <t>78989056877263</t>
        </is>
      </c>
      <c r="D12" s="38" t="inlineStr">
        <is>
          <t>HOT DOG</t>
        </is>
      </c>
      <c r="E12" s="53" t="inlineStr">
        <is>
          <t>Produto ativo na ZIG sem cadastro no Protheus</t>
        </is>
      </c>
      <c r="F12" s="54" t="inlineStr">
        <is>
          <t>Cadastrar PA no Protheus e vincular código ZIG</t>
        </is>
      </c>
      <c r="G12" s="55" t="inlineStr">
        <is>
          <t>Pendente</t>
        </is>
      </c>
    </row>
    <row r="13">
      <c r="A13" s="52" t="inlineStr">
        <is>
          <t>Vendidos</t>
        </is>
      </c>
      <c r="B13" s="39" t="inlineStr">
        <is>
          <t>🔴 Alta</t>
        </is>
      </c>
      <c r="C13" s="37" t="inlineStr">
        <is>
          <t>78989056877264</t>
        </is>
      </c>
      <c r="D13" s="38" t="inlineStr">
        <is>
          <t>DOCE DE POTE</t>
        </is>
      </c>
      <c r="E13" s="53" t="inlineStr">
        <is>
          <t>Produto ativo na ZIG sem cadastro no Protheus</t>
        </is>
      </c>
      <c r="F13" s="54" t="inlineStr">
        <is>
          <t>Cadastrar PA no Protheus e vincular código ZIG</t>
        </is>
      </c>
      <c r="G13" s="55" t="inlineStr">
        <is>
          <t>Pendente</t>
        </is>
      </c>
    </row>
    <row r="14">
      <c r="A14" s="52" t="inlineStr">
        <is>
          <t>Vendidos</t>
        </is>
      </c>
      <c r="B14" s="39" t="inlineStr">
        <is>
          <t>🔴 Alta</t>
        </is>
      </c>
      <c r="C14" s="37" t="inlineStr">
        <is>
          <t>78989056877261</t>
        </is>
      </c>
      <c r="D14" s="38" t="inlineStr">
        <is>
          <t>LANCHE CARNE LOUCA</t>
        </is>
      </c>
      <c r="E14" s="53" t="inlineStr">
        <is>
          <t>Produto ativo na ZIG sem cadastro no Protheus</t>
        </is>
      </c>
      <c r="F14" s="54" t="inlineStr">
        <is>
          <t>Cadastrar PA no Protheus e vincular código ZIG</t>
        </is>
      </c>
      <c r="G14" s="55" t="inlineStr">
        <is>
          <t>Pendente</t>
        </is>
      </c>
    </row>
    <row r="15">
      <c r="A15" s="52" t="inlineStr">
        <is>
          <t>Vendidos</t>
        </is>
      </c>
      <c r="B15" s="39" t="inlineStr">
        <is>
          <t>🔴 Alta</t>
        </is>
      </c>
      <c r="C15" s="37" t="inlineStr">
        <is>
          <t>40025</t>
        </is>
      </c>
      <c r="D15" s="38" t="inlineStr">
        <is>
          <t>PROVOLONE MILANESA</t>
        </is>
      </c>
      <c r="E15" s="53" t="inlineStr">
        <is>
          <t>Produto ativo na ZIG sem cadastro no Protheus</t>
        </is>
      </c>
      <c r="F15" s="54" t="inlineStr">
        <is>
          <t>Cadastrar PA no Protheus e vincular código ZIG</t>
        </is>
      </c>
      <c r="G15" s="55" t="inlineStr">
        <is>
          <t>Pendente</t>
        </is>
      </c>
    </row>
    <row r="16">
      <c r="A16" s="52" t="inlineStr">
        <is>
          <t>Vendidos</t>
        </is>
      </c>
      <c r="B16" s="39" t="inlineStr">
        <is>
          <t>🔴 Alta</t>
        </is>
      </c>
      <c r="C16" s="37" t="inlineStr">
        <is>
          <t>9003308</t>
        </is>
      </c>
      <c r="D16" s="38" t="inlineStr">
        <is>
          <t>KIT 2:ARROZ BIRO BIRO/FAROFA/VINAGRETE</t>
        </is>
      </c>
      <c r="E16" s="53" t="inlineStr">
        <is>
          <t>Produto ativo na ZIG sem cadastro no Protheus</t>
        </is>
      </c>
      <c r="F16" s="54" t="inlineStr">
        <is>
          <t>Cadastrar PA no Protheus e vincular código ZIG</t>
        </is>
      </c>
      <c r="G16" s="55" t="inlineStr">
        <is>
          <t>Pendente</t>
        </is>
      </c>
    </row>
    <row r="17">
      <c r="A17" s="52" t="inlineStr">
        <is>
          <t>Vendidos</t>
        </is>
      </c>
      <c r="B17" s="39" t="inlineStr">
        <is>
          <t>🔴 Alta</t>
        </is>
      </c>
      <c r="C17" s="37" t="inlineStr">
        <is>
          <t>999999</t>
        </is>
      </c>
      <c r="D17" s="38" t="inlineStr">
        <is>
          <t>GORJETA OPCIONAL</t>
        </is>
      </c>
      <c r="E17" s="53" t="inlineStr">
        <is>
          <t>Produto ativo na ZIG sem cadastro no Protheus</t>
        </is>
      </c>
      <c r="F17" s="54" t="inlineStr">
        <is>
          <t>Cadastrar PA no Protheus e vincular código ZIG</t>
        </is>
      </c>
      <c r="G17" s="55" t="inlineStr">
        <is>
          <t>Pendente</t>
        </is>
      </c>
    </row>
    <row r="18">
      <c r="A18" s="52" t="inlineStr">
        <is>
          <t>Vendidos</t>
        </is>
      </c>
      <c r="B18" s="39" t="inlineStr">
        <is>
          <t>🔴 Alta</t>
        </is>
      </c>
      <c r="C18" s="37" t="inlineStr">
        <is>
          <t>10024</t>
        </is>
      </c>
      <c r="D18" s="38" t="inlineStr">
        <is>
          <t>GELO 5KG</t>
        </is>
      </c>
      <c r="E18" s="53" t="inlineStr">
        <is>
          <t>Produto ativo na ZIG sem cadastro no Protheus</t>
        </is>
      </c>
      <c r="F18" s="54" t="inlineStr">
        <is>
          <t>Cadastrar PA no Protheus e vincular código ZIG</t>
        </is>
      </c>
      <c r="G18" s="55" t="inlineStr">
        <is>
          <t>Pendente</t>
        </is>
      </c>
    </row>
    <row r="19">
      <c r="A19" s="52" t="inlineStr">
        <is>
          <t>Vendidos</t>
        </is>
      </c>
      <c r="B19" s="39" t="inlineStr">
        <is>
          <t>🔴 Alta</t>
        </is>
      </c>
      <c r="C19" s="37" t="inlineStr">
        <is>
          <t>78989056877368</t>
        </is>
      </c>
      <c r="D19" s="38" t="inlineStr">
        <is>
          <t>SALTON</t>
        </is>
      </c>
      <c r="E19" s="53" t="inlineStr">
        <is>
          <t>Produto ativo na ZIG sem cadastro no Protheus</t>
        </is>
      </c>
      <c r="F19" s="54" t="inlineStr">
        <is>
          <t>Cadastrar PA no Protheus e vincular código ZIG</t>
        </is>
      </c>
      <c r="G19" s="55" t="inlineStr">
        <is>
          <t>Pendente</t>
        </is>
      </c>
    </row>
    <row r="20">
      <c r="A20" s="52" t="inlineStr">
        <is>
          <t>Vendidos</t>
        </is>
      </c>
      <c r="B20" s="39" t="inlineStr">
        <is>
          <t>🔴 Alta</t>
        </is>
      </c>
      <c r="C20" s="37" t="inlineStr">
        <is>
          <t>78989956877333</t>
        </is>
      </c>
      <c r="D20" s="38" t="inlineStr">
        <is>
          <t>BOLO ANIVERSARIO ABACAXI</t>
        </is>
      </c>
      <c r="E20" s="53" t="inlineStr">
        <is>
          <t>Produto ativo na ZIG sem cadastro no Protheus</t>
        </is>
      </c>
      <c r="F20" s="54" t="inlineStr">
        <is>
          <t>Cadastrar PA no Protheus e vincular código ZIG</t>
        </is>
      </c>
      <c r="G20" s="55" t="inlineStr">
        <is>
          <t>Pendente</t>
        </is>
      </c>
    </row>
    <row r="21">
      <c r="A21" s="52" t="inlineStr">
        <is>
          <t>Vendidos</t>
        </is>
      </c>
      <c r="B21" s="39" t="inlineStr">
        <is>
          <t>🔴 Alta</t>
        </is>
      </c>
      <c r="C21" s="37" t="inlineStr">
        <is>
          <t>79005</t>
        </is>
      </c>
      <c r="D21" s="38" t="inlineStr">
        <is>
          <t>BUDWEISER  600</t>
        </is>
      </c>
      <c r="E21" s="53" t="inlineStr">
        <is>
          <t>Produto ativo na ZIG sem cadastro no Protheus</t>
        </is>
      </c>
      <c r="F21" s="54" t="inlineStr">
        <is>
          <t>Cadastrar PA no Protheus e vincular código ZIG</t>
        </is>
      </c>
      <c r="G21" s="55" t="inlineStr">
        <is>
          <t>Pendente</t>
        </is>
      </c>
    </row>
    <row r="22">
      <c r="A22" s="52" t="inlineStr">
        <is>
          <t>Vendidos</t>
        </is>
      </c>
      <c r="B22" s="39" t="inlineStr">
        <is>
          <t>🔴 Alta</t>
        </is>
      </c>
      <c r="C22" s="37" t="inlineStr">
        <is>
          <t>78989056877268</t>
        </is>
      </c>
      <c r="D22" s="38" t="inlineStr">
        <is>
          <t>BUDWEISER 600ML</t>
        </is>
      </c>
      <c r="E22" s="53" t="inlineStr">
        <is>
          <t>Produto ativo na ZIG sem cadastro no Protheus</t>
        </is>
      </c>
      <c r="F22" s="54" t="inlineStr">
        <is>
          <t>Cadastrar PA no Protheus e vincular código ZIG</t>
        </is>
      </c>
      <c r="G22" s="55" t="inlineStr">
        <is>
          <t>Pendente</t>
        </is>
      </c>
    </row>
    <row r="23">
      <c r="A23" s="52" t="inlineStr">
        <is>
          <t>Vendidos</t>
        </is>
      </c>
      <c r="B23" s="39" t="inlineStr">
        <is>
          <t>🔴 Alta</t>
        </is>
      </c>
      <c r="C23" s="37" t="inlineStr">
        <is>
          <t>78989056877270</t>
        </is>
      </c>
      <c r="D23" s="38" t="inlineStr">
        <is>
          <t>BUDWEISER 600 ML</t>
        </is>
      </c>
      <c r="E23" s="53" t="inlineStr">
        <is>
          <t>Produto ativo na ZIG sem cadastro no Protheus</t>
        </is>
      </c>
      <c r="F23" s="54" t="inlineStr">
        <is>
          <t>Cadastrar PA no Protheus e vincular código ZIG</t>
        </is>
      </c>
      <c r="G23" s="55" t="inlineStr">
        <is>
          <t>Pendente</t>
        </is>
      </c>
    </row>
    <row r="24">
      <c r="A24" s="52" t="inlineStr">
        <is>
          <t>Vendidos</t>
        </is>
      </c>
      <c r="B24" s="39" t="inlineStr">
        <is>
          <t>🔴 Alta</t>
        </is>
      </c>
      <c r="C24" s="37" t="inlineStr">
        <is>
          <t>80022</t>
        </is>
      </c>
      <c r="D24" s="38" t="inlineStr">
        <is>
          <t>NORTENA</t>
        </is>
      </c>
      <c r="E24" s="53" t="inlineStr">
        <is>
          <t>Produto ativo na ZIG sem cadastro no Protheus</t>
        </is>
      </c>
      <c r="F24" s="54" t="inlineStr">
        <is>
          <t>Cadastrar PA no Protheus e vincular código ZIG</t>
        </is>
      </c>
      <c r="G24" s="55" t="inlineStr">
        <is>
          <t>Pendente</t>
        </is>
      </c>
    </row>
    <row r="25">
      <c r="A25" s="52" t="inlineStr">
        <is>
          <t>Vendidos</t>
        </is>
      </c>
      <c r="B25" s="39" t="inlineStr">
        <is>
          <t>🔴 Alta</t>
        </is>
      </c>
      <c r="C25" s="37" t="inlineStr">
        <is>
          <t>80046</t>
        </is>
      </c>
      <c r="D25" s="38" t="inlineStr">
        <is>
          <t>GOOSE ISLAND IPA</t>
        </is>
      </c>
      <c r="E25" s="53" t="inlineStr">
        <is>
          <t>Produto ativo na ZIG sem cadastro no Protheus</t>
        </is>
      </c>
      <c r="F25" s="54" t="inlineStr">
        <is>
          <t>Cadastrar PA no Protheus e vincular código ZIG</t>
        </is>
      </c>
      <c r="G25" s="55" t="inlineStr">
        <is>
          <t>Pendente</t>
        </is>
      </c>
    </row>
    <row r="26">
      <c r="A26" s="52" t="inlineStr">
        <is>
          <t>Vendidos</t>
        </is>
      </c>
      <c r="B26" s="39" t="inlineStr">
        <is>
          <t>🔴 Alta</t>
        </is>
      </c>
      <c r="C26" s="37" t="inlineStr">
        <is>
          <t>80028</t>
        </is>
      </c>
      <c r="D26" s="38" t="inlineStr">
        <is>
          <t>HOEGAARDEN</t>
        </is>
      </c>
      <c r="E26" s="53" t="inlineStr">
        <is>
          <t>Produto ativo na ZIG sem cadastro no Protheus</t>
        </is>
      </c>
      <c r="F26" s="54" t="inlineStr">
        <is>
          <t>Cadastrar PA no Protheus e vincular código ZIG</t>
        </is>
      </c>
      <c r="G26" s="55" t="inlineStr">
        <is>
          <t>Pendente</t>
        </is>
      </c>
    </row>
    <row r="27">
      <c r="A27" s="52" t="inlineStr">
        <is>
          <t>Vendidos</t>
        </is>
      </c>
      <c r="B27" s="39" t="inlineStr">
        <is>
          <t>🔴 Alta</t>
        </is>
      </c>
      <c r="C27" s="37" t="inlineStr">
        <is>
          <t>7898905687700</t>
        </is>
      </c>
      <c r="D27" s="38" t="inlineStr">
        <is>
          <t>COMBO FESTA DA FIRMA 1</t>
        </is>
      </c>
      <c r="E27" s="53" t="inlineStr">
        <is>
          <t>Produto ativo na ZIG sem cadastro no Protheus</t>
        </is>
      </c>
      <c r="F27" s="54" t="inlineStr">
        <is>
          <t>Cadastrar PA no Protheus e vincular código ZIG</t>
        </is>
      </c>
      <c r="G27" s="55" t="inlineStr">
        <is>
          <t>Pendente</t>
        </is>
      </c>
    </row>
    <row r="28">
      <c r="A28" s="52" t="inlineStr">
        <is>
          <t>Vendidos</t>
        </is>
      </c>
      <c r="B28" s="39" t="inlineStr">
        <is>
          <t>🔴 Alta</t>
        </is>
      </c>
      <c r="C28" s="37" t="inlineStr">
        <is>
          <t>7898905687708</t>
        </is>
      </c>
      <c r="D28" s="38" t="inlineStr">
        <is>
          <t>BALDE COMBO LATA</t>
        </is>
      </c>
      <c r="E28" s="53" t="inlineStr">
        <is>
          <t>Produto ativo na ZIG sem cadastro no Protheus</t>
        </is>
      </c>
      <c r="F28" s="54" t="inlineStr">
        <is>
          <t>Cadastrar PA no Protheus e vincular código ZIG</t>
        </is>
      </c>
      <c r="G28" s="55" t="inlineStr">
        <is>
          <t>Pendente</t>
        </is>
      </c>
    </row>
    <row r="29">
      <c r="A29" s="52" t="inlineStr">
        <is>
          <t>Vendidos</t>
        </is>
      </c>
      <c r="B29" s="39" t="inlineStr">
        <is>
          <t>🔴 Alta</t>
        </is>
      </c>
      <c r="C29" s="37" t="inlineStr">
        <is>
          <t>78989056877181</t>
        </is>
      </c>
      <c r="D29" s="38" t="inlineStr">
        <is>
          <t>COMBO CHIVAS</t>
        </is>
      </c>
      <c r="E29" s="53" t="inlineStr">
        <is>
          <t>Produto ativo na ZIG sem cadastro no Protheus</t>
        </is>
      </c>
      <c r="F29" s="54" t="inlineStr">
        <is>
          <t>Cadastrar PA no Protheus e vincular código ZIG</t>
        </is>
      </c>
      <c r="G29" s="55" t="inlineStr">
        <is>
          <t>Pendente</t>
        </is>
      </c>
    </row>
    <row r="30">
      <c r="A30" s="52" t="inlineStr">
        <is>
          <t>Vendidos</t>
        </is>
      </c>
      <c r="B30" s="39" t="inlineStr">
        <is>
          <t>🔴 Alta</t>
        </is>
      </c>
      <c r="C30" s="37" t="inlineStr">
        <is>
          <t>7898905687703</t>
        </is>
      </c>
      <c r="D30" s="38" t="inlineStr">
        <is>
          <t>COMBO SMIRNOFF + ENERGETICO</t>
        </is>
      </c>
      <c r="E30" s="53" t="inlineStr">
        <is>
          <t>Produto ativo na ZIG sem cadastro no Protheus</t>
        </is>
      </c>
      <c r="F30" s="54" t="inlineStr">
        <is>
          <t>Cadastrar PA no Protheus e vincular código ZIG</t>
        </is>
      </c>
      <c r="G30" s="55" t="inlineStr">
        <is>
          <t>Pendente</t>
        </is>
      </c>
    </row>
    <row r="31">
      <c r="A31" s="52" t="inlineStr">
        <is>
          <t>Vendidos</t>
        </is>
      </c>
      <c r="B31" s="39" t="inlineStr">
        <is>
          <t>🔴 Alta</t>
        </is>
      </c>
      <c r="C31" s="37" t="inlineStr">
        <is>
          <t>7898905687702</t>
        </is>
      </c>
      <c r="D31" s="38" t="inlineStr">
        <is>
          <t>COMBO SMIRNOFF + REFRIGERANTE</t>
        </is>
      </c>
      <c r="E31" s="53" t="inlineStr">
        <is>
          <t>Produto ativo na ZIG sem cadastro no Protheus</t>
        </is>
      </c>
      <c r="F31" s="54" t="inlineStr">
        <is>
          <t>Cadastrar PA no Protheus e vincular código ZIG</t>
        </is>
      </c>
      <c r="G31" s="55" t="inlineStr">
        <is>
          <t>Pendente</t>
        </is>
      </c>
    </row>
    <row r="32">
      <c r="A32" s="52" t="inlineStr">
        <is>
          <t>Vendidos</t>
        </is>
      </c>
      <c r="B32" s="39" t="inlineStr">
        <is>
          <t>🔴 Alta</t>
        </is>
      </c>
      <c r="C32" s="37" t="inlineStr">
        <is>
          <t>7898905687701</t>
        </is>
      </c>
      <c r="D32" s="38" t="inlineStr">
        <is>
          <t>COMBO FESTA DE FIRMA 2</t>
        </is>
      </c>
      <c r="E32" s="53" t="inlineStr">
        <is>
          <t>Produto ativo na ZIG sem cadastro no Protheus</t>
        </is>
      </c>
      <c r="F32" s="54" t="inlineStr">
        <is>
          <t>Cadastrar PA no Protheus e vincular código ZIG</t>
        </is>
      </c>
      <c r="G32" s="55" t="inlineStr">
        <is>
          <t>Pendente</t>
        </is>
      </c>
    </row>
    <row r="33">
      <c r="A33" s="52" t="inlineStr">
        <is>
          <t>Vendidos</t>
        </is>
      </c>
      <c r="B33" s="39" t="inlineStr">
        <is>
          <t>🔴 Alta</t>
        </is>
      </c>
      <c r="C33" s="37" t="inlineStr">
        <is>
          <t>789890568772141</t>
        </is>
      </c>
      <c r="D33" s="38" t="inlineStr">
        <is>
          <t>GARRAFA GIN APTK</t>
        </is>
      </c>
      <c r="E33" s="53" t="inlineStr">
        <is>
          <t>Produto ativo na ZIG sem cadastro no Protheus</t>
        </is>
      </c>
      <c r="F33" s="54" t="inlineStr">
        <is>
          <t>Cadastrar PA no Protheus e vincular código ZIG</t>
        </is>
      </c>
      <c r="G33" s="55" t="inlineStr">
        <is>
          <t>Pendente</t>
        </is>
      </c>
    </row>
    <row r="34">
      <c r="A34" s="52" t="inlineStr">
        <is>
          <t>Vendidos</t>
        </is>
      </c>
      <c r="B34" s="39" t="inlineStr">
        <is>
          <t>🔴 Alta</t>
        </is>
      </c>
      <c r="C34" s="37" t="inlineStr">
        <is>
          <t>78989056877133</t>
        </is>
      </c>
      <c r="D34" s="38" t="inlineStr">
        <is>
          <t>**GIN FLOWERS**</t>
        </is>
      </c>
      <c r="E34" s="53" t="inlineStr">
        <is>
          <t>Produto ativo na ZIG sem cadastro no Protheus</t>
        </is>
      </c>
      <c r="F34" s="54" t="inlineStr">
        <is>
          <t>Cadastrar PA no Protheus e vincular código ZIG</t>
        </is>
      </c>
      <c r="G34" s="55" t="inlineStr">
        <is>
          <t>Pendente</t>
        </is>
      </c>
    </row>
    <row r="35">
      <c r="A35" s="52" t="inlineStr">
        <is>
          <t>Vendidos</t>
        </is>
      </c>
      <c r="B35" s="39" t="inlineStr">
        <is>
          <t>🔴 Alta</t>
        </is>
      </c>
      <c r="C35" s="37" t="inlineStr">
        <is>
          <t>78989056877134</t>
        </is>
      </c>
      <c r="D35" s="38" t="inlineStr">
        <is>
          <t>**GIN PINK FLOWERS**</t>
        </is>
      </c>
      <c r="E35" s="53" t="inlineStr">
        <is>
          <t>Produto ativo na ZIG sem cadastro no Protheus</t>
        </is>
      </c>
      <c r="F35" s="54" t="inlineStr">
        <is>
          <t>Cadastrar PA no Protheus e vincular código ZIG</t>
        </is>
      </c>
      <c r="G35" s="55" t="inlineStr">
        <is>
          <t>Pendente</t>
        </is>
      </c>
    </row>
    <row r="36">
      <c r="A36" s="52" t="inlineStr">
        <is>
          <t>Vendidos</t>
        </is>
      </c>
      <c r="B36" s="39" t="inlineStr">
        <is>
          <t>🔴 Alta</t>
        </is>
      </c>
      <c r="C36" s="37" t="inlineStr">
        <is>
          <t>9003273</t>
        </is>
      </c>
      <c r="D36" s="38" t="inlineStr">
        <is>
          <t>CHURRASCO COM CERJEVA</t>
        </is>
      </c>
      <c r="E36" s="53" t="inlineStr">
        <is>
          <t>Produto ativo na ZIG sem cadastro no Protheus</t>
        </is>
      </c>
      <c r="F36" s="54" t="inlineStr">
        <is>
          <t>Cadastrar PA no Protheus e vincular código ZIG</t>
        </is>
      </c>
      <c r="G36" s="55" t="inlineStr">
        <is>
          <t>Pendente</t>
        </is>
      </c>
    </row>
    <row r="37">
      <c r="A37" s="52" t="inlineStr">
        <is>
          <t>Vendidos</t>
        </is>
      </c>
      <c r="B37" s="39" t="inlineStr">
        <is>
          <t>🔴 Alta</t>
        </is>
      </c>
      <c r="C37" s="37" t="inlineStr">
        <is>
          <t>9003289</t>
        </is>
      </c>
      <c r="D37" s="38" t="inlineStr">
        <is>
          <t>CHURRASQUEIRA MÉDIA</t>
        </is>
      </c>
      <c r="E37" s="53" t="inlineStr">
        <is>
          <t>Produto ativo na ZIG sem cadastro no Protheus</t>
        </is>
      </c>
      <c r="F37" s="54" t="inlineStr">
        <is>
          <t>Cadastrar PA no Protheus e vincular código ZIG</t>
        </is>
      </c>
      <c r="G37" s="55" t="inlineStr">
        <is>
          <t>Pendente</t>
        </is>
      </c>
    </row>
    <row r="38">
      <c r="A38" s="52" t="inlineStr">
        <is>
          <t>Vendidos</t>
        </is>
      </c>
      <c r="B38" s="39" t="inlineStr">
        <is>
          <t>🔴 Alta</t>
        </is>
      </c>
      <c r="C38" s="37" t="inlineStr">
        <is>
          <t>9003290</t>
        </is>
      </c>
      <c r="D38" s="38" t="inlineStr">
        <is>
          <t>CHURRASQUEIRA GRANDE</t>
        </is>
      </c>
      <c r="E38" s="53" t="inlineStr">
        <is>
          <t>Produto ativo na ZIG sem cadastro no Protheus</t>
        </is>
      </c>
      <c r="F38" s="54" t="inlineStr">
        <is>
          <t>Cadastrar PA no Protheus e vincular código ZIG</t>
        </is>
      </c>
      <c r="G38" s="55" t="inlineStr">
        <is>
          <t>Pendente</t>
        </is>
      </c>
    </row>
    <row r="39">
      <c r="A39" s="52" t="inlineStr">
        <is>
          <t>Vendidos</t>
        </is>
      </c>
      <c r="B39" s="39" t="inlineStr">
        <is>
          <t>🔴 Alta</t>
        </is>
      </c>
      <c r="C39" s="37" t="inlineStr">
        <is>
          <t>9003291</t>
        </is>
      </c>
      <c r="D39" s="38" t="inlineStr">
        <is>
          <t>GRELHA PEQUENA</t>
        </is>
      </c>
      <c r="E39" s="53" t="inlineStr">
        <is>
          <t>Produto ativo na ZIG sem cadastro no Protheus</t>
        </is>
      </c>
      <c r="F39" s="54" t="inlineStr">
        <is>
          <t>Cadastrar PA no Protheus e vincular código ZIG</t>
        </is>
      </c>
      <c r="G39" s="55" t="inlineStr">
        <is>
          <t>Pendente</t>
        </is>
      </c>
    </row>
    <row r="40">
      <c r="A40" s="52" t="inlineStr">
        <is>
          <t>Vendidos</t>
        </is>
      </c>
      <c r="B40" s="39" t="inlineStr">
        <is>
          <t>🔴 Alta</t>
        </is>
      </c>
      <c r="C40" s="37" t="inlineStr">
        <is>
          <t>9003292</t>
        </is>
      </c>
      <c r="D40" s="38" t="inlineStr">
        <is>
          <t>GRELHA MÉDIA</t>
        </is>
      </c>
      <c r="E40" s="53" t="inlineStr">
        <is>
          <t>Produto ativo na ZIG sem cadastro no Protheus</t>
        </is>
      </c>
      <c r="F40" s="54" t="inlineStr">
        <is>
          <t>Cadastrar PA no Protheus e vincular código ZIG</t>
        </is>
      </c>
      <c r="G40" s="55" t="inlineStr">
        <is>
          <t>Pendente</t>
        </is>
      </c>
    </row>
    <row r="41">
      <c r="A41" s="52" t="inlineStr">
        <is>
          <t>Vendidos</t>
        </is>
      </c>
      <c r="B41" s="39" t="inlineStr">
        <is>
          <t>🔴 Alta</t>
        </is>
      </c>
      <c r="C41" s="37" t="inlineStr">
        <is>
          <t>9003343</t>
        </is>
      </c>
      <c r="D41" s="38" t="inlineStr">
        <is>
          <t>JOGO CHURRASCO INOX 3 PC POLYWO</t>
        </is>
      </c>
      <c r="E41" s="53" t="inlineStr">
        <is>
          <t>Produto ativo na ZIG sem cadastro no Protheus</t>
        </is>
      </c>
      <c r="F41" s="54" t="inlineStr">
        <is>
          <t>Cadastrar PA no Protheus e vincular código ZIG</t>
        </is>
      </c>
      <c r="G41" s="55" t="inlineStr">
        <is>
          <t>Pendente</t>
        </is>
      </c>
    </row>
    <row r="42">
      <c r="A42" s="52" t="inlineStr">
        <is>
          <t>Vendidos</t>
        </is>
      </c>
      <c r="B42" s="39" t="inlineStr">
        <is>
          <t>🔴 Alta</t>
        </is>
      </c>
      <c r="C42" s="37" t="inlineStr">
        <is>
          <t>9003347</t>
        </is>
      </c>
      <c r="D42" s="38" t="inlineStr">
        <is>
          <t>TABUA CHURRASCO 400X240MM</t>
        </is>
      </c>
      <c r="E42" s="53" t="inlineStr">
        <is>
          <t>Produto ativo na ZIG sem cadastro no Protheus</t>
        </is>
      </c>
      <c r="F42" s="54" t="inlineStr">
        <is>
          <t>Cadastrar PA no Protheus e vincular código ZIG</t>
        </is>
      </c>
      <c r="G42" s="55" t="inlineStr">
        <is>
          <t>Pendente</t>
        </is>
      </c>
    </row>
    <row r="43">
      <c r="A43" s="52" t="inlineStr">
        <is>
          <t>Vendidos</t>
        </is>
      </c>
      <c r="B43" s="39" t="inlineStr">
        <is>
          <t>🔴 Alta</t>
        </is>
      </c>
      <c r="C43" s="37" t="inlineStr">
        <is>
          <t>9003345</t>
        </is>
      </c>
      <c r="D43" s="38" t="inlineStr">
        <is>
          <t>CARVÃO 2,5 KG</t>
        </is>
      </c>
      <c r="E43" s="53" t="inlineStr">
        <is>
          <t>Produto ativo na ZIG sem cadastro no Protheus</t>
        </is>
      </c>
      <c r="F43" s="54" t="inlineStr">
        <is>
          <t>Cadastrar PA no Protheus e vincular código ZIG</t>
        </is>
      </c>
      <c r="G43" s="55" t="inlineStr">
        <is>
          <t>Pendente</t>
        </is>
      </c>
    </row>
    <row r="44">
      <c r="A44" s="52" t="inlineStr">
        <is>
          <t>Vendidos</t>
        </is>
      </c>
      <c r="B44" s="39" t="inlineStr">
        <is>
          <t>🔴 Alta</t>
        </is>
      </c>
      <c r="C44" s="37" t="inlineStr">
        <is>
          <t>9003566</t>
        </is>
      </c>
      <c r="D44" s="38" t="inlineStr">
        <is>
          <t>CHURRASQUEIRA PARA FOGAO</t>
        </is>
      </c>
      <c r="E44" s="53" t="inlineStr">
        <is>
          <t>Produto ativo na ZIG sem cadastro no Protheus</t>
        </is>
      </c>
      <c r="F44" s="54" t="inlineStr">
        <is>
          <t>Cadastrar PA no Protheus e vincular código ZIG</t>
        </is>
      </c>
      <c r="G44" s="55" t="inlineStr">
        <is>
          <t>Pendente</t>
        </is>
      </c>
    </row>
    <row r="45">
      <c r="A45" s="52" t="inlineStr">
        <is>
          <t>Vendidos</t>
        </is>
      </c>
      <c r="B45" s="39" t="inlineStr">
        <is>
          <t>🔴 Alta</t>
        </is>
      </c>
      <c r="C45" s="37" t="inlineStr">
        <is>
          <t>9003567</t>
        </is>
      </c>
      <c r="D45" s="38" t="inlineStr">
        <is>
          <t>FACA CIMO 660/6 INOX ANTI-BAC 6</t>
        </is>
      </c>
      <c r="E45" s="53" t="inlineStr">
        <is>
          <t>Produto ativo na ZIG sem cadastro no Protheus</t>
        </is>
      </c>
      <c r="F45" s="54" t="inlineStr">
        <is>
          <t>Cadastrar PA no Protheus e vincular código ZIG</t>
        </is>
      </c>
      <c r="G45" s="55" t="inlineStr">
        <is>
          <t>Pendente</t>
        </is>
      </c>
    </row>
    <row r="46">
      <c r="A46" s="52" t="inlineStr">
        <is>
          <t>Vendidos</t>
        </is>
      </c>
      <c r="B46" s="39" t="inlineStr">
        <is>
          <t>🔴 Alta</t>
        </is>
      </c>
      <c r="C46" s="37" t="inlineStr">
        <is>
          <t>9003586</t>
        </is>
      </c>
      <c r="D46" s="38" t="inlineStr">
        <is>
          <t>CUTELO</t>
        </is>
      </c>
      <c r="E46" s="53" t="inlineStr">
        <is>
          <t>Produto ativo na ZIG sem cadastro no Protheus</t>
        </is>
      </c>
      <c r="F46" s="54" t="inlineStr">
        <is>
          <t>Cadastrar PA no Protheus e vincular código ZIG</t>
        </is>
      </c>
      <c r="G46" s="55" t="inlineStr">
        <is>
          <t>Pendente</t>
        </is>
      </c>
    </row>
    <row r="47">
      <c r="A47" s="52" t="inlineStr">
        <is>
          <t>Vendidos</t>
        </is>
      </c>
      <c r="B47" s="39" t="inlineStr">
        <is>
          <t>🔴 Alta</t>
        </is>
      </c>
      <c r="C47" s="37" t="inlineStr">
        <is>
          <t>9003356</t>
        </is>
      </c>
      <c r="D47" s="38" t="inlineStr">
        <is>
          <t>GARFO CIMO 2052/8 INOX MADEIRA 8</t>
        </is>
      </c>
      <c r="E47" s="53" t="inlineStr">
        <is>
          <t>Produto ativo na ZIG sem cadastro no Protheus</t>
        </is>
      </c>
      <c r="F47" s="54" t="inlineStr">
        <is>
          <t>Cadastrar PA no Protheus e vincular código ZIG</t>
        </is>
      </c>
      <c r="G47" s="55" t="inlineStr">
        <is>
          <t>Pendente</t>
        </is>
      </c>
    </row>
    <row r="48">
      <c r="A48" s="52" t="inlineStr">
        <is>
          <t>Vendidos</t>
        </is>
      </c>
      <c r="B48" s="39" t="inlineStr">
        <is>
          <t>🔴 Alta</t>
        </is>
      </c>
      <c r="C48" s="37" t="inlineStr">
        <is>
          <t>9003293</t>
        </is>
      </c>
      <c r="D48" s="38" t="inlineStr">
        <is>
          <t>GRELHA GRANDE</t>
        </is>
      </c>
      <c r="E48" s="53" t="inlineStr">
        <is>
          <t>Produto ativo na ZIG sem cadastro no Protheus</t>
        </is>
      </c>
      <c r="F48" s="54" t="inlineStr">
        <is>
          <t>Cadastrar PA no Protheus e vincular código ZIG</t>
        </is>
      </c>
      <c r="G48" s="55" t="inlineStr">
        <is>
          <t>Pendente</t>
        </is>
      </c>
    </row>
    <row r="49">
      <c r="A49" s="52" t="inlineStr">
        <is>
          <t>Vendidos</t>
        </is>
      </c>
      <c r="B49" s="39" t="inlineStr">
        <is>
          <t>🔴 Alta</t>
        </is>
      </c>
      <c r="C49" s="37" t="inlineStr">
        <is>
          <t>9003582</t>
        </is>
      </c>
      <c r="D49" s="38" t="inlineStr">
        <is>
          <t>GARRA LOBO-GUARA</t>
        </is>
      </c>
      <c r="E49" s="53" t="inlineStr">
        <is>
          <t>Produto ativo na ZIG sem cadastro no Protheus</t>
        </is>
      </c>
      <c r="F49" s="54" t="inlineStr">
        <is>
          <t>Cadastrar PA no Protheus e vincular código ZIG</t>
        </is>
      </c>
      <c r="G49" s="55" t="inlineStr">
        <is>
          <t>Pendente</t>
        </is>
      </c>
    </row>
    <row r="50">
      <c r="A50" s="52" t="inlineStr">
        <is>
          <t>Vendidos</t>
        </is>
      </c>
      <c r="B50" s="39" t="inlineStr">
        <is>
          <t>🔴 Alta</t>
        </is>
      </c>
      <c r="C50" s="37" t="inlineStr">
        <is>
          <t>9003357</t>
        </is>
      </c>
      <c r="D50" s="38" t="inlineStr">
        <is>
          <t>FACA CIMO 660/8 INOX ANTI-BAC 8</t>
        </is>
      </c>
      <c r="E50" s="53" t="inlineStr">
        <is>
          <t>Produto ativo na ZIG sem cadastro no Protheus</t>
        </is>
      </c>
      <c r="F50" s="54" t="inlineStr">
        <is>
          <t>Cadastrar PA no Protheus e vincular código ZIG</t>
        </is>
      </c>
      <c r="G50" s="55" t="inlineStr">
        <is>
          <t>Pendente</t>
        </is>
      </c>
    </row>
    <row r="51">
      <c r="A51" s="52" t="inlineStr">
        <is>
          <t>Vendidos</t>
        </is>
      </c>
      <c r="B51" s="39" t="inlineStr">
        <is>
          <t>🔴 Alta</t>
        </is>
      </c>
      <c r="C51" s="37" t="inlineStr">
        <is>
          <t>f958b82db180691ca4a5a4193e112eb1b1f53ad7701f1d6c49068cb2ed03ae16</t>
        </is>
      </c>
      <c r="D51" s="38" t="inlineStr">
        <is>
          <t>DOCES TIPICOS</t>
        </is>
      </c>
      <c r="E51" s="53" t="inlineStr">
        <is>
          <t>Produto ativo na ZIG sem cadastro no Protheus</t>
        </is>
      </c>
      <c r="F51" s="54" t="inlineStr">
        <is>
          <t>Cadastrar PA no Protheus e vincular código ZIG</t>
        </is>
      </c>
      <c r="G51" s="55" t="inlineStr">
        <is>
          <t>Pendente</t>
        </is>
      </c>
    </row>
    <row r="52">
      <c r="A52" s="52" t="inlineStr">
        <is>
          <t>Vendidos</t>
        </is>
      </c>
      <c r="B52" s="39" t="inlineStr">
        <is>
          <t>🔴 Alta</t>
        </is>
      </c>
      <c r="C52" s="37" t="inlineStr">
        <is>
          <t>78989056877135</t>
        </is>
      </c>
      <c r="D52" s="38" t="inlineStr">
        <is>
          <t>CAUÇÃO</t>
        </is>
      </c>
      <c r="E52" s="53" t="inlineStr">
        <is>
          <t>Produto ativo na ZIG sem cadastro no Protheus</t>
        </is>
      </c>
      <c r="F52" s="54" t="inlineStr">
        <is>
          <t>Cadastrar PA no Protheus e vincular código ZIG</t>
        </is>
      </c>
      <c r="G52" s="55" t="inlineStr">
        <is>
          <t>Pendente</t>
        </is>
      </c>
    </row>
    <row r="53">
      <c r="A53" s="52" t="inlineStr">
        <is>
          <t>Vendidos</t>
        </is>
      </c>
      <c r="B53" s="39" t="inlineStr">
        <is>
          <t>🔴 Alta</t>
        </is>
      </c>
      <c r="C53" s="37" t="inlineStr">
        <is>
          <t>78989056877397</t>
        </is>
      </c>
      <c r="D53" s="38" t="inlineStr">
        <is>
          <t>LICOR MELLY GARRAFA</t>
        </is>
      </c>
      <c r="E53" s="53" t="inlineStr">
        <is>
          <t>Produto ativo na ZIG sem cadastro no Protheus</t>
        </is>
      </c>
      <c r="F53" s="54" t="inlineStr">
        <is>
          <t>Cadastrar PA no Protheus e vincular código ZIG</t>
        </is>
      </c>
      <c r="G53" s="55" t="inlineStr">
        <is>
          <t>Pendente</t>
        </is>
      </c>
    </row>
    <row r="54">
      <c r="A54" s="52" t="inlineStr">
        <is>
          <t>Vendidos</t>
        </is>
      </c>
      <c r="B54" s="39" t="inlineStr">
        <is>
          <t>🔴 Alta</t>
        </is>
      </c>
      <c r="C54" s="37" t="inlineStr">
        <is>
          <t>7898905687707</t>
        </is>
      </c>
      <c r="D54" s="38" t="inlineStr">
        <is>
          <t>QUINTAL PILSEN QUARTA</t>
        </is>
      </c>
      <c r="E54" s="53" t="inlineStr">
        <is>
          <t>Produto ativo na ZIG sem cadastro no Protheus</t>
        </is>
      </c>
      <c r="F54" s="54" t="inlineStr">
        <is>
          <t>Cadastrar PA no Protheus e vincular código ZIG</t>
        </is>
      </c>
      <c r="G54" s="55" t="inlineStr">
        <is>
          <t>Pendente</t>
        </is>
      </c>
    </row>
    <row r="55">
      <c r="A55" s="52" t="inlineStr">
        <is>
          <t>Vendidos</t>
        </is>
      </c>
      <c r="B55" s="39" t="inlineStr">
        <is>
          <t>🔴 Alta</t>
        </is>
      </c>
      <c r="C55" s="37" t="inlineStr">
        <is>
          <t>7898905687181</t>
        </is>
      </c>
      <c r="D55" s="38" t="inlineStr">
        <is>
          <t>MANGA CAFE DA MANHA</t>
        </is>
      </c>
      <c r="E55" s="53" t="inlineStr">
        <is>
          <t>Produto ativo na ZIG sem cadastro no Protheus</t>
        </is>
      </c>
      <c r="F55" s="54" t="inlineStr">
        <is>
          <t>Cadastrar PA no Protheus e vincular código ZIG</t>
        </is>
      </c>
      <c r="G55" s="55" t="inlineStr">
        <is>
          <t>Pendente</t>
        </is>
      </c>
    </row>
    <row r="56">
      <c r="A56" s="52" t="inlineStr">
        <is>
          <t>Vendidos</t>
        </is>
      </c>
      <c r="B56" s="39" t="inlineStr">
        <is>
          <t>🔴 Alta</t>
        </is>
      </c>
      <c r="C56" s="37" t="inlineStr">
        <is>
          <t>7898905687175</t>
        </is>
      </c>
      <c r="D56" s="38" t="inlineStr">
        <is>
          <t>BAURU FRIO</t>
        </is>
      </c>
      <c r="E56" s="53" t="inlineStr">
        <is>
          <t>Produto ativo na ZIG sem cadastro no Protheus</t>
        </is>
      </c>
      <c r="F56" s="54" t="inlineStr">
        <is>
          <t>Cadastrar PA no Protheus e vincular código ZIG</t>
        </is>
      </c>
      <c r="G56" s="55" t="inlineStr">
        <is>
          <t>Pendente</t>
        </is>
      </c>
    </row>
    <row r="57">
      <c r="A57" s="52" t="inlineStr">
        <is>
          <t>Vendidos</t>
        </is>
      </c>
      <c r="B57" s="39" t="inlineStr">
        <is>
          <t>🔴 Alta</t>
        </is>
      </c>
      <c r="C57" s="37" t="inlineStr">
        <is>
          <t>7898905687179</t>
        </is>
      </c>
      <c r="D57" s="38" t="inlineStr">
        <is>
          <t>CAFE</t>
        </is>
      </c>
      <c r="E57" s="53" t="inlineStr">
        <is>
          <t>Produto ativo na ZIG sem cadastro no Protheus</t>
        </is>
      </c>
      <c r="F57" s="54" t="inlineStr">
        <is>
          <t>Cadastrar PA no Protheus e vincular código ZIG</t>
        </is>
      </c>
      <c r="G57" s="55" t="inlineStr">
        <is>
          <t>Pendente</t>
        </is>
      </c>
    </row>
    <row r="58">
      <c r="A58" s="52" t="inlineStr">
        <is>
          <t>Vendidos</t>
        </is>
      </c>
      <c r="B58" s="39" t="inlineStr">
        <is>
          <t>🔴 Alta</t>
        </is>
      </c>
      <c r="C58" s="37" t="inlineStr">
        <is>
          <t>7898905687174</t>
        </is>
      </c>
      <c r="D58" s="38" t="inlineStr">
        <is>
          <t>MISTO FRIO</t>
        </is>
      </c>
      <c r="E58" s="53" t="inlineStr">
        <is>
          <t>Produto ativo na ZIG sem cadastro no Protheus</t>
        </is>
      </c>
      <c r="F58" s="54" t="inlineStr">
        <is>
          <t>Cadastrar PA no Protheus e vincular código ZIG</t>
        </is>
      </c>
      <c r="G58" s="55" t="inlineStr">
        <is>
          <t>Pendente</t>
        </is>
      </c>
    </row>
    <row r="59">
      <c r="A59" s="52" t="inlineStr">
        <is>
          <t>Vendidos</t>
        </is>
      </c>
      <c r="B59" s="39" t="inlineStr">
        <is>
          <t>🔴 Alta</t>
        </is>
      </c>
      <c r="C59" s="37" t="inlineStr">
        <is>
          <t>7898905687705</t>
        </is>
      </c>
      <c r="D59" s="38" t="inlineStr">
        <is>
          <t>SPATEN LT 269ML</t>
        </is>
      </c>
      <c r="E59" s="53" t="inlineStr">
        <is>
          <t>Produto ativo na ZIG sem cadastro no Protheus</t>
        </is>
      </c>
      <c r="F59" s="54" t="inlineStr">
        <is>
          <t>Cadastrar PA no Protheus e vincular código ZIG</t>
        </is>
      </c>
      <c r="G59" s="55" t="inlineStr">
        <is>
          <t>Pendente</t>
        </is>
      </c>
    </row>
    <row r="60">
      <c r="A60" s="52" t="inlineStr">
        <is>
          <t>Vendidos</t>
        </is>
      </c>
      <c r="B60" s="39" t="inlineStr">
        <is>
          <t>🔴 Alta</t>
        </is>
      </c>
      <c r="C60" s="37" t="inlineStr">
        <is>
          <t>7898905687704</t>
        </is>
      </c>
      <c r="D60" s="38" t="inlineStr">
        <is>
          <t>ORIGINAL LT 269ML</t>
        </is>
      </c>
      <c r="E60" s="53" t="inlineStr">
        <is>
          <t>Produto ativo na ZIG sem cadastro no Protheus</t>
        </is>
      </c>
      <c r="F60" s="54" t="inlineStr">
        <is>
          <t>Cadastrar PA no Protheus e vincular código ZIG</t>
        </is>
      </c>
      <c r="G60" s="55" t="inlineStr">
        <is>
          <t>Pendente</t>
        </is>
      </c>
    </row>
    <row r="61">
      <c r="A61" s="52" t="inlineStr">
        <is>
          <t>Vendidos</t>
        </is>
      </c>
      <c r="B61" s="39" t="inlineStr">
        <is>
          <t>🔴 Alta</t>
        </is>
      </c>
      <c r="C61" s="37" t="inlineStr">
        <is>
          <t>9003811</t>
        </is>
      </c>
      <c r="D61" s="38" t="inlineStr">
        <is>
          <t>Heineken</t>
        </is>
      </c>
      <c r="E61" s="53" t="inlineStr">
        <is>
          <t>Produto ativo na ZIG sem cadastro no Protheus</t>
        </is>
      </c>
      <c r="F61" s="54" t="inlineStr">
        <is>
          <t>Cadastrar PA no Protheus e vincular código ZIG</t>
        </is>
      </c>
      <c r="G61" s="55" t="inlineStr">
        <is>
          <t>Pendente</t>
        </is>
      </c>
    </row>
    <row r="62">
      <c r="A62" s="52" t="inlineStr">
        <is>
          <t>Vendidos</t>
        </is>
      </c>
      <c r="B62" s="39" t="inlineStr">
        <is>
          <t>🔴 Alta</t>
        </is>
      </c>
      <c r="C62" s="37" t="inlineStr">
        <is>
          <t>9003816</t>
        </is>
      </c>
      <c r="D62" s="38" t="inlineStr">
        <is>
          <t>Stella Artois</t>
        </is>
      </c>
      <c r="E62" s="53" t="inlineStr">
        <is>
          <t>Produto ativo na ZIG sem cadastro no Protheus</t>
        </is>
      </c>
      <c r="F62" s="54" t="inlineStr">
        <is>
          <t>Cadastrar PA no Protheus e vincular código ZIG</t>
        </is>
      </c>
      <c r="G62" s="55" t="inlineStr">
        <is>
          <t>Pendente</t>
        </is>
      </c>
    </row>
    <row r="63">
      <c r="A63" s="52" t="inlineStr">
        <is>
          <t>Vendidos</t>
        </is>
      </c>
      <c r="B63" s="39" t="inlineStr">
        <is>
          <t>🔴 Alta</t>
        </is>
      </c>
      <c r="C63" s="37" t="inlineStr">
        <is>
          <t>9004066</t>
        </is>
      </c>
      <c r="D63" s="38" t="inlineStr">
        <is>
          <t>Chopp</t>
        </is>
      </c>
      <c r="E63" s="53" t="inlineStr">
        <is>
          <t>Produto ativo na ZIG sem cadastro no Protheus</t>
        </is>
      </c>
      <c r="F63" s="54" t="inlineStr">
        <is>
          <t>Cadastrar PA no Protheus e vincular código ZIG</t>
        </is>
      </c>
      <c r="G63" s="55" t="inlineStr">
        <is>
          <t>Pendente</t>
        </is>
      </c>
    </row>
    <row r="64">
      <c r="A64" s="52" t="inlineStr">
        <is>
          <t>Vendidos</t>
        </is>
      </c>
      <c r="B64" s="39" t="inlineStr">
        <is>
          <t>🔴 Alta</t>
        </is>
      </c>
      <c r="C64" s="37" t="inlineStr">
        <is>
          <t>9004487</t>
        </is>
      </c>
      <c r="D64" s="38" t="inlineStr">
        <is>
          <t>Balde de Heineken</t>
        </is>
      </c>
      <c r="E64" s="53" t="inlineStr">
        <is>
          <t>Produto ativo na ZIG sem cadastro no Protheus</t>
        </is>
      </c>
      <c r="F64" s="54" t="inlineStr">
        <is>
          <t>Cadastrar PA no Protheus e vincular código ZIG</t>
        </is>
      </c>
      <c r="G64" s="55" t="inlineStr">
        <is>
          <t>Pendente</t>
        </is>
      </c>
    </row>
    <row r="65">
      <c r="A65" s="52" t="inlineStr">
        <is>
          <t>Vendidos</t>
        </is>
      </c>
      <c r="B65" s="39" t="inlineStr">
        <is>
          <t>🔴 Alta</t>
        </is>
      </c>
      <c r="C65" s="37" t="inlineStr">
        <is>
          <t>789890568772139</t>
        </is>
      </c>
      <c r="D65" s="38" t="inlineStr">
        <is>
          <t>DOUBLE LATA ORIGINAL</t>
        </is>
      </c>
      <c r="E65" s="53" t="inlineStr">
        <is>
          <t>Produto ativo na ZIG sem cadastro no Protheus</t>
        </is>
      </c>
      <c r="F65" s="54" t="inlineStr">
        <is>
          <t>Cadastrar PA no Protheus e vincular código ZIG</t>
        </is>
      </c>
      <c r="G65" s="55" t="inlineStr">
        <is>
          <t>Pendente</t>
        </is>
      </c>
    </row>
    <row r="66">
      <c r="A66" s="52" t="inlineStr">
        <is>
          <t>Vendidos</t>
        </is>
      </c>
      <c r="B66" s="39" t="inlineStr">
        <is>
          <t>🔴 Alta</t>
        </is>
      </c>
      <c r="C66" s="37" t="inlineStr">
        <is>
          <t>9003810</t>
        </is>
      </c>
      <c r="D66" s="38" t="inlineStr">
        <is>
          <t>Coronita</t>
        </is>
      </c>
      <c r="E66" s="53" t="inlineStr">
        <is>
          <t>Produto ativo na ZIG sem cadastro no Protheus</t>
        </is>
      </c>
      <c r="F66" s="54" t="inlineStr">
        <is>
          <t>Cadastrar PA no Protheus e vincular código ZIG</t>
        </is>
      </c>
      <c r="G66" s="55" t="inlineStr">
        <is>
          <t>Pendente</t>
        </is>
      </c>
    </row>
    <row r="67">
      <c r="A67" s="52" t="inlineStr">
        <is>
          <t>Vendidos</t>
        </is>
      </c>
      <c r="B67" s="39" t="inlineStr">
        <is>
          <t>🔴 Alta</t>
        </is>
      </c>
      <c r="C67" s="37" t="inlineStr">
        <is>
          <t>9003809</t>
        </is>
      </c>
      <c r="D67" s="38" t="inlineStr">
        <is>
          <t>Corona Extra</t>
        </is>
      </c>
      <c r="E67" s="53" t="inlineStr">
        <is>
          <t>Produto ativo na ZIG sem cadastro no Protheus</t>
        </is>
      </c>
      <c r="F67" s="54" t="inlineStr">
        <is>
          <t>Cadastrar PA no Protheus e vincular código ZIG</t>
        </is>
      </c>
      <c r="G67" s="55" t="inlineStr">
        <is>
          <t>Pendente</t>
        </is>
      </c>
    </row>
    <row r="68">
      <c r="A68" s="52" t="inlineStr">
        <is>
          <t>Vendidos</t>
        </is>
      </c>
      <c r="B68" s="39" t="inlineStr">
        <is>
          <t>🔴 Alta</t>
        </is>
      </c>
      <c r="C68" s="37" t="inlineStr">
        <is>
          <t>9003812</t>
        </is>
      </c>
      <c r="D68" s="38" t="inlineStr">
        <is>
          <t>Hoegaarden</t>
        </is>
      </c>
      <c r="E68" s="53" t="inlineStr">
        <is>
          <t>Produto ativo na ZIG sem cadastro no Protheus</t>
        </is>
      </c>
      <c r="F68" s="54" t="inlineStr">
        <is>
          <t>Cadastrar PA no Protheus e vincular código ZIG</t>
        </is>
      </c>
      <c r="G68" s="55" t="inlineStr">
        <is>
          <t>Pendente</t>
        </is>
      </c>
    </row>
    <row r="69">
      <c r="A69" s="52" t="inlineStr">
        <is>
          <t>Vendidos</t>
        </is>
      </c>
      <c r="B69" s="39" t="inlineStr">
        <is>
          <t>🔴 Alta</t>
        </is>
      </c>
      <c r="C69" s="37" t="inlineStr">
        <is>
          <t>9003814</t>
        </is>
      </c>
      <c r="D69" s="38" t="inlineStr">
        <is>
          <t>Michelob</t>
        </is>
      </c>
      <c r="E69" s="53" t="inlineStr">
        <is>
          <t>Produto ativo na ZIG sem cadastro no Protheus</t>
        </is>
      </c>
      <c r="F69" s="54" t="inlineStr">
        <is>
          <t>Cadastrar PA no Protheus e vincular código ZIG</t>
        </is>
      </c>
      <c r="G69" s="55" t="inlineStr">
        <is>
          <t>Pendente</t>
        </is>
      </c>
    </row>
    <row r="70">
      <c r="A70" s="52" t="inlineStr">
        <is>
          <t>Vendidos</t>
        </is>
      </c>
      <c r="B70" s="39" t="inlineStr">
        <is>
          <t>🔴 Alta</t>
        </is>
      </c>
      <c r="C70" s="37" t="inlineStr">
        <is>
          <t>78989056877399</t>
        </is>
      </c>
      <c r="D70" s="38" t="inlineStr">
        <is>
          <t>ORIGINAL CARNAVAL</t>
        </is>
      </c>
      <c r="E70" s="53" t="inlineStr">
        <is>
          <t>Produto ativo na ZIG sem cadastro no Protheus</t>
        </is>
      </c>
      <c r="F70" s="54" t="inlineStr">
        <is>
          <t>Cadastrar PA no Protheus e vincular código ZIG</t>
        </is>
      </c>
      <c r="G70" s="55" t="inlineStr">
        <is>
          <t>Pendente</t>
        </is>
      </c>
    </row>
    <row r="71">
      <c r="A71" s="52" t="inlineStr">
        <is>
          <t>Vendidos</t>
        </is>
      </c>
      <c r="B71" s="39" t="inlineStr">
        <is>
          <t>🔴 Alta</t>
        </is>
      </c>
      <c r="C71" s="37" t="inlineStr">
        <is>
          <t>9003934</t>
        </is>
      </c>
      <c r="D71" s="38" t="inlineStr">
        <is>
          <t>Pão Ou Torradas Extras</t>
        </is>
      </c>
      <c r="E71" s="53" t="inlineStr">
        <is>
          <t>Produto ativo na ZIG sem cadastro no Protheus</t>
        </is>
      </c>
      <c r="F71" s="54" t="inlineStr">
        <is>
          <t>Cadastrar PA no Protheus e vincular código ZIG</t>
        </is>
      </c>
      <c r="G71" s="55" t="inlineStr">
        <is>
          <t>Pendente</t>
        </is>
      </c>
    </row>
    <row r="72">
      <c r="A72" s="52" t="inlineStr">
        <is>
          <t>Vendidos</t>
        </is>
      </c>
      <c r="B72" s="39" t="inlineStr">
        <is>
          <t>🔴 Alta</t>
        </is>
      </c>
      <c r="C72" s="37" t="inlineStr">
        <is>
          <t>9003929</t>
        </is>
      </c>
      <c r="D72" s="38" t="inlineStr">
        <is>
          <t>Mix De Azeitonas</t>
        </is>
      </c>
      <c r="E72" s="53" t="inlineStr">
        <is>
          <t>Produto ativo na ZIG sem cadastro no Protheus</t>
        </is>
      </c>
      <c r="F72" s="54" t="inlineStr">
        <is>
          <t>Cadastrar PA no Protheus e vincular código ZIG</t>
        </is>
      </c>
      <c r="G72" s="55" t="inlineStr">
        <is>
          <t>Pendente</t>
        </is>
      </c>
    </row>
    <row r="73">
      <c r="A73" s="52" t="inlineStr">
        <is>
          <t>Vendidos</t>
        </is>
      </c>
      <c r="B73" s="39" t="inlineStr">
        <is>
          <t>🔴 Alta</t>
        </is>
      </c>
      <c r="C73" s="37" t="inlineStr">
        <is>
          <t>9006055</t>
        </is>
      </c>
      <c r="D73" s="38" t="inlineStr">
        <is>
          <t>Filet Mignon ao molho da casa</t>
        </is>
      </c>
      <c r="E73" s="53" t="inlineStr">
        <is>
          <t>Produto ativo na ZIG sem cadastro no Protheus</t>
        </is>
      </c>
      <c r="F73" s="54" t="inlineStr">
        <is>
          <t>Cadastrar PA no Protheus e vincular código ZIG</t>
        </is>
      </c>
      <c r="G73" s="55" t="inlineStr">
        <is>
          <t>Pendente</t>
        </is>
      </c>
    </row>
    <row r="74">
      <c r="A74" s="52" t="inlineStr">
        <is>
          <t>Vendidos</t>
        </is>
      </c>
      <c r="B74" s="39" t="inlineStr">
        <is>
          <t>🔴 Alta</t>
        </is>
      </c>
      <c r="C74" s="37" t="inlineStr">
        <is>
          <t>9003926</t>
        </is>
      </c>
      <c r="D74" s="38" t="inlineStr">
        <is>
          <t>Lula A Dore</t>
        </is>
      </c>
      <c r="E74" s="53" t="inlineStr">
        <is>
          <t>Produto ativo na ZIG sem cadastro no Protheus</t>
        </is>
      </c>
      <c r="F74" s="54" t="inlineStr">
        <is>
          <t>Cadastrar PA no Protheus e vincular código ZIG</t>
        </is>
      </c>
      <c r="G74" s="55" t="inlineStr">
        <is>
          <t>Pendente</t>
        </is>
      </c>
    </row>
    <row r="75">
      <c r="A75" s="52" t="inlineStr">
        <is>
          <t>Vendidos</t>
        </is>
      </c>
      <c r="B75" s="39" t="inlineStr">
        <is>
          <t>🔴 Alta</t>
        </is>
      </c>
      <c r="C75" s="37" t="inlineStr">
        <is>
          <t>9003918</t>
        </is>
      </c>
      <c r="D75" s="38" t="inlineStr">
        <is>
          <t>Batata Frita</t>
        </is>
      </c>
      <c r="E75" s="53" t="inlineStr">
        <is>
          <t>Produto ativo na ZIG sem cadastro no Protheus</t>
        </is>
      </c>
      <c r="F75" s="54" t="inlineStr">
        <is>
          <t>Cadastrar PA no Protheus e vincular código ZIG</t>
        </is>
      </c>
      <c r="G75" s="55" t="inlineStr">
        <is>
          <t>Pendente</t>
        </is>
      </c>
    </row>
    <row r="76">
      <c r="A76" s="52" t="inlineStr">
        <is>
          <t>Vendidos</t>
        </is>
      </c>
      <c r="B76" s="39" t="inlineStr">
        <is>
          <t>🔴 Alta</t>
        </is>
      </c>
      <c r="C76" s="37" t="inlineStr">
        <is>
          <t>9006054</t>
        </is>
      </c>
      <c r="D76" s="38" t="inlineStr">
        <is>
          <t>Bruschettas 6 unids</t>
        </is>
      </c>
      <c r="E76" s="53" t="inlineStr">
        <is>
          <t>Produto ativo na ZIG sem cadastro no Protheus</t>
        </is>
      </c>
      <c r="F76" s="54" t="inlineStr">
        <is>
          <t>Cadastrar PA no Protheus e vincular código ZIG</t>
        </is>
      </c>
      <c r="G76" s="55" t="inlineStr">
        <is>
          <t>Pendente</t>
        </is>
      </c>
    </row>
    <row r="77">
      <c r="A77" s="52" t="inlineStr">
        <is>
          <t>Vendidos</t>
        </is>
      </c>
      <c r="B77" s="39" t="inlineStr">
        <is>
          <t>🔴 Alta</t>
        </is>
      </c>
      <c r="C77" s="37" t="inlineStr">
        <is>
          <t>9003955</t>
        </is>
      </c>
      <c r="D77" s="38" t="inlineStr">
        <is>
          <t>Água Sem Gás</t>
        </is>
      </c>
      <c r="E77" s="53" t="inlineStr">
        <is>
          <t>Produto ativo na ZIG sem cadastro no Protheus</t>
        </is>
      </c>
      <c r="F77" s="54" t="inlineStr">
        <is>
          <t>Cadastrar PA no Protheus e vincular código ZIG</t>
        </is>
      </c>
      <c r="G77" s="55" t="inlineStr">
        <is>
          <t>Pendente</t>
        </is>
      </c>
    </row>
    <row r="78">
      <c r="A78" s="52" t="inlineStr">
        <is>
          <t>Vendidos</t>
        </is>
      </c>
      <c r="B78" s="39" t="inlineStr">
        <is>
          <t>🔴 Alta</t>
        </is>
      </c>
      <c r="C78" s="37" t="inlineStr">
        <is>
          <t>9003958</t>
        </is>
      </c>
      <c r="D78" s="38" t="inlineStr">
        <is>
          <t>Guaraná</t>
        </is>
      </c>
      <c r="E78" s="53" t="inlineStr">
        <is>
          <t>Produto ativo na ZIG sem cadastro no Protheus</t>
        </is>
      </c>
      <c r="F78" s="54" t="inlineStr">
        <is>
          <t>Cadastrar PA no Protheus e vincular código ZIG</t>
        </is>
      </c>
      <c r="G78" s="55" t="inlineStr">
        <is>
          <t>Pendente</t>
        </is>
      </c>
    </row>
    <row r="79">
      <c r="A79" s="52" t="inlineStr">
        <is>
          <t>Vendidos</t>
        </is>
      </c>
      <c r="B79" s="39" t="inlineStr">
        <is>
          <t>🔴 Alta</t>
        </is>
      </c>
      <c r="C79" s="37" t="inlineStr">
        <is>
          <t>9003956</t>
        </is>
      </c>
      <c r="D79" s="38" t="inlineStr">
        <is>
          <t>Coca Cola</t>
        </is>
      </c>
      <c r="E79" s="53" t="inlineStr">
        <is>
          <t>Produto ativo na ZIG sem cadastro no Protheus</t>
        </is>
      </c>
      <c r="F79" s="54" t="inlineStr">
        <is>
          <t>Cadastrar PA no Protheus e vincular código ZIG</t>
        </is>
      </c>
      <c r="G79" s="55" t="inlineStr">
        <is>
          <t>Pendente</t>
        </is>
      </c>
    </row>
    <row r="80">
      <c r="A80" s="52" t="inlineStr">
        <is>
          <t>Vendidos</t>
        </is>
      </c>
      <c r="B80" s="39" t="inlineStr">
        <is>
          <t>🔴 Alta</t>
        </is>
      </c>
      <c r="C80" s="37" t="inlineStr">
        <is>
          <t>9003959</t>
        </is>
      </c>
      <c r="D80" s="38" t="inlineStr">
        <is>
          <t>Guaraná Zero</t>
        </is>
      </c>
      <c r="E80" s="53" t="inlineStr">
        <is>
          <t>Produto ativo na ZIG sem cadastro no Protheus</t>
        </is>
      </c>
      <c r="F80" s="54" t="inlineStr">
        <is>
          <t>Cadastrar PA no Protheus e vincular código ZIG</t>
        </is>
      </c>
      <c r="G80" s="55" t="inlineStr">
        <is>
          <t>Pendente</t>
        </is>
      </c>
    </row>
    <row r="81">
      <c r="A81" s="52" t="inlineStr">
        <is>
          <t>Vendidos</t>
        </is>
      </c>
      <c r="B81" s="39" t="inlineStr">
        <is>
          <t>🔴 Alta</t>
        </is>
      </c>
      <c r="C81" s="37" t="inlineStr">
        <is>
          <t>9003964</t>
        </is>
      </c>
      <c r="D81" s="38" t="inlineStr">
        <is>
          <t>Redbull</t>
        </is>
      </c>
      <c r="E81" s="53" t="inlineStr">
        <is>
          <t>Produto ativo na ZIG sem cadastro no Protheus</t>
        </is>
      </c>
      <c r="F81" s="54" t="inlineStr">
        <is>
          <t>Cadastrar PA no Protheus e vincular código ZIG</t>
        </is>
      </c>
      <c r="G81" s="55" t="inlineStr">
        <is>
          <t>Pendente</t>
        </is>
      </c>
    </row>
    <row r="82">
      <c r="A82" s="52" t="inlineStr">
        <is>
          <t>Vendidos</t>
        </is>
      </c>
      <c r="B82" s="39" t="inlineStr">
        <is>
          <t>🔴 Alta</t>
        </is>
      </c>
      <c r="C82" s="37" t="inlineStr">
        <is>
          <t>9006059</t>
        </is>
      </c>
      <c r="D82" s="38" t="inlineStr">
        <is>
          <t>Gelo de coco - Balde</t>
        </is>
      </c>
      <c r="E82" s="53" t="inlineStr">
        <is>
          <t>Produto ativo na ZIG sem cadastro no Protheus</t>
        </is>
      </c>
      <c r="F82" s="54" t="inlineStr">
        <is>
          <t>Cadastrar PA no Protheus e vincular código ZIG</t>
        </is>
      </c>
      <c r="G82" s="55" t="inlineStr">
        <is>
          <t>Pendente</t>
        </is>
      </c>
    </row>
    <row r="83">
      <c r="A83" s="52" t="inlineStr">
        <is>
          <t>Vendidos</t>
        </is>
      </c>
      <c r="B83" s="39" t="inlineStr">
        <is>
          <t>🔴 Alta</t>
        </is>
      </c>
      <c r="C83" s="37" t="inlineStr">
        <is>
          <t>9003960</t>
        </is>
      </c>
      <c r="D83" s="38" t="inlineStr">
        <is>
          <t>Sprite</t>
        </is>
      </c>
      <c r="E83" s="53" t="inlineStr">
        <is>
          <t>Produto ativo na ZIG sem cadastro no Protheus</t>
        </is>
      </c>
      <c r="F83" s="54" t="inlineStr">
        <is>
          <t>Cadastrar PA no Protheus e vincular código ZIG</t>
        </is>
      </c>
      <c r="G83" s="55" t="inlineStr">
        <is>
          <t>Pendente</t>
        </is>
      </c>
    </row>
    <row r="84">
      <c r="A84" s="52" t="inlineStr">
        <is>
          <t>Vendidos</t>
        </is>
      </c>
      <c r="B84" s="39" t="inlineStr">
        <is>
          <t>🔴 Alta</t>
        </is>
      </c>
      <c r="C84" s="37" t="inlineStr">
        <is>
          <t>9003954</t>
        </is>
      </c>
      <c r="D84" s="38" t="inlineStr">
        <is>
          <t>Água Com Gás</t>
        </is>
      </c>
      <c r="E84" s="53" t="inlineStr">
        <is>
          <t>Produto ativo na ZIG sem cadastro no Protheus</t>
        </is>
      </c>
      <c r="F84" s="54" t="inlineStr">
        <is>
          <t>Cadastrar PA no Protheus e vincular código ZIG</t>
        </is>
      </c>
      <c r="G84" s="55" t="inlineStr">
        <is>
          <t>Pendente</t>
        </is>
      </c>
    </row>
    <row r="85">
      <c r="A85" s="52" t="inlineStr">
        <is>
          <t>Vendidos</t>
        </is>
      </c>
      <c r="B85" s="39" t="inlineStr">
        <is>
          <t>🔴 Alta</t>
        </is>
      </c>
      <c r="C85" s="37" t="inlineStr">
        <is>
          <t>9003961</t>
        </is>
      </c>
      <c r="D85" s="38" t="inlineStr">
        <is>
          <t>Sprite Zero</t>
        </is>
      </c>
      <c r="E85" s="53" t="inlineStr">
        <is>
          <t>Produto ativo na ZIG sem cadastro no Protheus</t>
        </is>
      </c>
      <c r="F85" s="54" t="inlineStr">
        <is>
          <t>Cadastrar PA no Protheus e vincular código ZIG</t>
        </is>
      </c>
      <c r="G85" s="55" t="inlineStr">
        <is>
          <t>Pendente</t>
        </is>
      </c>
    </row>
    <row r="86">
      <c r="A86" s="52" t="inlineStr">
        <is>
          <t>Vendidos</t>
        </is>
      </c>
      <c r="B86" s="39" t="inlineStr">
        <is>
          <t>🔴 Alta</t>
        </is>
      </c>
      <c r="C86" s="37" t="inlineStr">
        <is>
          <t>9003965</t>
        </is>
      </c>
      <c r="D86" s="38" t="inlineStr">
        <is>
          <t>Schweppes</t>
        </is>
      </c>
      <c r="E86" s="53" t="inlineStr">
        <is>
          <t>Produto ativo na ZIG sem cadastro no Protheus</t>
        </is>
      </c>
      <c r="F86" s="54" t="inlineStr">
        <is>
          <t>Cadastrar PA no Protheus e vincular código ZIG</t>
        </is>
      </c>
      <c r="G86" s="55" t="inlineStr">
        <is>
          <t>Pendente</t>
        </is>
      </c>
    </row>
    <row r="87">
      <c r="A87" s="52" t="inlineStr">
        <is>
          <t>Vendidos</t>
        </is>
      </c>
      <c r="B87" s="39" t="inlineStr">
        <is>
          <t>🔴 Alta</t>
        </is>
      </c>
      <c r="C87" s="37" t="inlineStr">
        <is>
          <t>9006057</t>
        </is>
      </c>
      <c r="D87" s="38" t="inlineStr">
        <is>
          <t>Água de coco</t>
        </is>
      </c>
      <c r="E87" s="53" t="inlineStr">
        <is>
          <t>Produto ativo na ZIG sem cadastro no Protheus</t>
        </is>
      </c>
      <c r="F87" s="54" t="inlineStr">
        <is>
          <t>Cadastrar PA no Protheus e vincular código ZIG</t>
        </is>
      </c>
      <c r="G87" s="55" t="inlineStr">
        <is>
          <t>Pendente</t>
        </is>
      </c>
    </row>
    <row r="88">
      <c r="A88" s="52" t="inlineStr">
        <is>
          <t>Vendidos</t>
        </is>
      </c>
      <c r="B88" s="39" t="inlineStr">
        <is>
          <t>🔴 Alta</t>
        </is>
      </c>
      <c r="C88" s="37" t="inlineStr">
        <is>
          <t>9006065</t>
        </is>
      </c>
      <c r="D88" s="38" t="inlineStr">
        <is>
          <t>Agua tônica</t>
        </is>
      </c>
      <c r="E88" s="53" t="inlineStr">
        <is>
          <t>Produto ativo na ZIG sem cadastro no Protheus</t>
        </is>
      </c>
      <c r="F88" s="54" t="inlineStr">
        <is>
          <t>Cadastrar PA no Protheus e vincular código ZIG</t>
        </is>
      </c>
      <c r="G88" s="55" t="inlineStr">
        <is>
          <t>Pendente</t>
        </is>
      </c>
    </row>
    <row r="89">
      <c r="A89" s="52" t="inlineStr">
        <is>
          <t>Vendidos</t>
        </is>
      </c>
      <c r="B89" s="39" t="inlineStr">
        <is>
          <t>🔴 Alta</t>
        </is>
      </c>
      <c r="C89" s="37" t="inlineStr">
        <is>
          <t>9003957</t>
        </is>
      </c>
      <c r="D89" s="38" t="inlineStr">
        <is>
          <t>Coca Zero</t>
        </is>
      </c>
      <c r="E89" s="53" t="inlineStr">
        <is>
          <t>Produto ativo na ZIG sem cadastro no Protheus</t>
        </is>
      </c>
      <c r="F89" s="54" t="inlineStr">
        <is>
          <t>Cadastrar PA no Protheus e vincular código ZIG</t>
        </is>
      </c>
      <c r="G89" s="55" t="inlineStr">
        <is>
          <t>Pendente</t>
        </is>
      </c>
    </row>
    <row r="90">
      <c r="A90" s="52" t="inlineStr">
        <is>
          <t>Vendidos</t>
        </is>
      </c>
      <c r="B90" s="39" t="inlineStr">
        <is>
          <t>🔴 Alta</t>
        </is>
      </c>
      <c r="C90" s="37" t="inlineStr">
        <is>
          <t>9006060</t>
        </is>
      </c>
      <c r="D90" s="38" t="inlineStr">
        <is>
          <t>Red Label + 5 Red Bull</t>
        </is>
      </c>
      <c r="E90" s="53" t="inlineStr">
        <is>
          <t>Produto ativo na ZIG sem cadastro no Protheus</t>
        </is>
      </c>
      <c r="F90" s="54" t="inlineStr">
        <is>
          <t>Cadastrar PA no Protheus e vincular código ZIG</t>
        </is>
      </c>
      <c r="G90" s="55" t="inlineStr">
        <is>
          <t>Pendente</t>
        </is>
      </c>
    </row>
    <row r="91">
      <c r="A91" s="52" t="inlineStr">
        <is>
          <t>Vendidos</t>
        </is>
      </c>
      <c r="B91" s="39" t="inlineStr">
        <is>
          <t>🔴 Alta</t>
        </is>
      </c>
      <c r="C91" s="37" t="inlineStr">
        <is>
          <t>9003839</t>
        </is>
      </c>
      <c r="D91" s="38" t="inlineStr">
        <is>
          <t>Dose Chivas 18 Anos</t>
        </is>
      </c>
      <c r="E91" s="53" t="inlineStr">
        <is>
          <t>Produto ativo na ZIG sem cadastro no Protheus</t>
        </is>
      </c>
      <c r="F91" s="54" t="inlineStr">
        <is>
          <t>Cadastrar PA no Protheus e vincular código ZIG</t>
        </is>
      </c>
      <c r="G91" s="55" t="inlineStr">
        <is>
          <t>Pendente</t>
        </is>
      </c>
    </row>
    <row r="92">
      <c r="A92" s="52" t="inlineStr">
        <is>
          <t>Vendidos</t>
        </is>
      </c>
      <c r="B92" s="39" t="inlineStr">
        <is>
          <t>🔴 Alta</t>
        </is>
      </c>
      <c r="C92" s="37" t="inlineStr">
        <is>
          <t>9003834</t>
        </is>
      </c>
      <c r="D92" s="38" t="inlineStr">
        <is>
          <t>Dose Black Label</t>
        </is>
      </c>
      <c r="E92" s="53" t="inlineStr">
        <is>
          <t>Produto ativo na ZIG sem cadastro no Protheus</t>
        </is>
      </c>
      <c r="F92" s="54" t="inlineStr">
        <is>
          <t>Cadastrar PA no Protheus e vincular código ZIG</t>
        </is>
      </c>
      <c r="G92" s="55" t="inlineStr">
        <is>
          <t>Pendente</t>
        </is>
      </c>
    </row>
    <row r="93">
      <c r="A93" s="52" t="inlineStr">
        <is>
          <t>Vendidos</t>
        </is>
      </c>
      <c r="B93" s="39" t="inlineStr">
        <is>
          <t>🔴 Alta</t>
        </is>
      </c>
      <c r="C93" s="37" t="inlineStr">
        <is>
          <t>9003849</t>
        </is>
      </c>
      <c r="D93" s="38" t="inlineStr">
        <is>
          <t>Dose Ketel One</t>
        </is>
      </c>
      <c r="E93" s="53" t="inlineStr">
        <is>
          <t>Produto ativo na ZIG sem cadastro no Protheus</t>
        </is>
      </c>
      <c r="F93" s="54" t="inlineStr">
        <is>
          <t>Cadastrar PA no Protheus e vincular código ZIG</t>
        </is>
      </c>
      <c r="G93" s="55" t="inlineStr">
        <is>
          <t>Pendente</t>
        </is>
      </c>
    </row>
    <row r="94">
      <c r="A94" s="52" t="inlineStr">
        <is>
          <t>Vendidos</t>
        </is>
      </c>
      <c r="B94" s="39" t="inlineStr">
        <is>
          <t>🔴 Alta</t>
        </is>
      </c>
      <c r="C94" s="37" t="inlineStr">
        <is>
          <t>9003842</t>
        </is>
      </c>
      <c r="D94" s="38" t="inlineStr">
        <is>
          <t>Dose Grey Goose</t>
        </is>
      </c>
      <c r="E94" s="53" t="inlineStr">
        <is>
          <t>Produto ativo na ZIG sem cadastro no Protheus</t>
        </is>
      </c>
      <c r="F94" s="54" t="inlineStr">
        <is>
          <t>Cadastrar PA no Protheus e vincular código ZIG</t>
        </is>
      </c>
      <c r="G94" s="55" t="inlineStr">
        <is>
          <t>Pendente</t>
        </is>
      </c>
    </row>
    <row r="95">
      <c r="A95" s="52" t="inlineStr">
        <is>
          <t>Vendidos</t>
        </is>
      </c>
      <c r="B95" s="39" t="inlineStr">
        <is>
          <t>🔴 Alta</t>
        </is>
      </c>
      <c r="C95" s="37" t="inlineStr">
        <is>
          <t>9003852</t>
        </is>
      </c>
      <c r="D95" s="38" t="inlineStr">
        <is>
          <t>Dose Red Label</t>
        </is>
      </c>
      <c r="E95" s="53" t="inlineStr">
        <is>
          <t>Produto ativo na ZIG sem cadastro no Protheus</t>
        </is>
      </c>
      <c r="F95" s="54" t="inlineStr">
        <is>
          <t>Cadastrar PA no Protheus e vincular código ZIG</t>
        </is>
      </c>
      <c r="G95" s="55" t="inlineStr">
        <is>
          <t>Pendente</t>
        </is>
      </c>
    </row>
    <row r="96">
      <c r="A96" s="52" t="inlineStr">
        <is>
          <t>Vendidos</t>
        </is>
      </c>
      <c r="B96" s="39" t="inlineStr">
        <is>
          <t>🔴 Alta</t>
        </is>
      </c>
      <c r="C96" s="37" t="inlineStr">
        <is>
          <t>9003835</t>
        </is>
      </c>
      <c r="D96" s="38" t="inlineStr">
        <is>
          <t>Dose Boazinha</t>
        </is>
      </c>
      <c r="E96" s="53" t="inlineStr">
        <is>
          <t>Produto ativo na ZIG sem cadastro no Protheus</t>
        </is>
      </c>
      <c r="F96" s="54" t="inlineStr">
        <is>
          <t>Cadastrar PA no Protheus e vincular código ZIG</t>
        </is>
      </c>
      <c r="G96" s="55" t="inlineStr">
        <is>
          <t>Pendente</t>
        </is>
      </c>
    </row>
    <row r="97">
      <c r="A97" s="52" t="inlineStr">
        <is>
          <t>Vendidos</t>
        </is>
      </c>
      <c r="B97" s="39" t="inlineStr">
        <is>
          <t>🔴 Alta</t>
        </is>
      </c>
      <c r="C97" s="37" t="inlineStr">
        <is>
          <t>9003838</t>
        </is>
      </c>
      <c r="D97" s="38" t="inlineStr">
        <is>
          <t>Dose Chivas 12 Anos</t>
        </is>
      </c>
      <c r="E97" s="53" t="inlineStr">
        <is>
          <t>Produto ativo na ZIG sem cadastro no Protheus</t>
        </is>
      </c>
      <c r="F97" s="54" t="inlineStr">
        <is>
          <t>Cadastrar PA no Protheus e vincular código ZIG</t>
        </is>
      </c>
      <c r="G97" s="55" t="inlineStr">
        <is>
          <t>Pendente</t>
        </is>
      </c>
    </row>
    <row r="98">
      <c r="A98" s="52" t="inlineStr">
        <is>
          <t>Vendidos</t>
        </is>
      </c>
      <c r="B98" s="39" t="inlineStr">
        <is>
          <t>🔴 Alta</t>
        </is>
      </c>
      <c r="C98" s="37" t="inlineStr">
        <is>
          <t>9003844</t>
        </is>
      </c>
      <c r="D98" s="38" t="inlineStr">
        <is>
          <t>Dose Havana 7 Anos</t>
        </is>
      </c>
      <c r="E98" s="53" t="inlineStr">
        <is>
          <t>Produto ativo na ZIG sem cadastro no Protheus</t>
        </is>
      </c>
      <c r="F98" s="54" t="inlineStr">
        <is>
          <t>Cadastrar PA no Protheus e vincular código ZIG</t>
        </is>
      </c>
      <c r="G98" s="55" t="inlineStr">
        <is>
          <t>Pendente</t>
        </is>
      </c>
    </row>
    <row r="99">
      <c r="A99" s="52" t="inlineStr">
        <is>
          <t>Vendidos</t>
        </is>
      </c>
      <c r="B99" s="39" t="inlineStr">
        <is>
          <t>🔴 Alta</t>
        </is>
      </c>
      <c r="C99" s="37" t="inlineStr">
        <is>
          <t>9003854</t>
        </is>
      </c>
      <c r="D99" s="38" t="inlineStr">
        <is>
          <t>Dose Tanqueray</t>
        </is>
      </c>
      <c r="E99" s="53" t="inlineStr">
        <is>
          <t>Produto ativo na ZIG sem cadastro no Protheus</t>
        </is>
      </c>
      <c r="F99" s="54" t="inlineStr">
        <is>
          <t>Cadastrar PA no Protheus e vincular código ZIG</t>
        </is>
      </c>
      <c r="G99" s="55" t="inlineStr">
        <is>
          <t>Pendente</t>
        </is>
      </c>
    </row>
    <row r="100">
      <c r="A100" s="52" t="inlineStr">
        <is>
          <t>Vendidos</t>
        </is>
      </c>
      <c r="B100" s="39" t="inlineStr">
        <is>
          <t>🔴 Alta</t>
        </is>
      </c>
      <c r="C100" s="37" t="inlineStr">
        <is>
          <t>9003833</t>
        </is>
      </c>
      <c r="D100" s="38" t="inlineStr">
        <is>
          <t>Dose Beefeater 24 Premium</t>
        </is>
      </c>
      <c r="E100" s="53" t="inlineStr">
        <is>
          <t>Produto ativo na ZIG sem cadastro no Protheus</t>
        </is>
      </c>
      <c r="F100" s="54" t="inlineStr">
        <is>
          <t>Cadastrar PA no Protheus e vincular código ZIG</t>
        </is>
      </c>
      <c r="G100" s="55" t="inlineStr">
        <is>
          <t>Pendente</t>
        </is>
      </c>
    </row>
    <row r="101">
      <c r="A101" s="52" t="inlineStr">
        <is>
          <t>Vendidos</t>
        </is>
      </c>
      <c r="B101" s="39" t="inlineStr">
        <is>
          <t>🔴 Alta</t>
        </is>
      </c>
      <c r="C101" s="37" t="inlineStr">
        <is>
          <t>9003827</t>
        </is>
      </c>
      <c r="D101" s="38" t="inlineStr">
        <is>
          <t>Dose Absolut</t>
        </is>
      </c>
      <c r="E101" s="53" t="inlineStr">
        <is>
          <t>Produto ativo na ZIG sem cadastro no Protheus</t>
        </is>
      </c>
      <c r="F101" s="54" t="inlineStr">
        <is>
          <t>Cadastrar PA no Protheus e vincular código ZIG</t>
        </is>
      </c>
      <c r="G101" s="55" t="inlineStr">
        <is>
          <t>Pendente</t>
        </is>
      </c>
    </row>
    <row r="102">
      <c r="A102" s="52" t="inlineStr">
        <is>
          <t>Vendidos</t>
        </is>
      </c>
      <c r="B102" s="39" t="inlineStr">
        <is>
          <t>🔴 Alta</t>
        </is>
      </c>
      <c r="C102" s="37" t="inlineStr">
        <is>
          <t>9003853</t>
        </is>
      </c>
      <c r="D102" s="38" t="inlineStr">
        <is>
          <t>Dose Smirnoff</t>
        </is>
      </c>
      <c r="E102" s="53" t="inlineStr">
        <is>
          <t>Produto ativo na ZIG sem cadastro no Protheus</t>
        </is>
      </c>
      <c r="F102" s="54" t="inlineStr">
        <is>
          <t>Cadastrar PA no Protheus e vincular código ZIG</t>
        </is>
      </c>
      <c r="G102" s="55" t="inlineStr">
        <is>
          <t>Pendente</t>
        </is>
      </c>
    </row>
    <row r="103">
      <c r="A103" s="52" t="inlineStr">
        <is>
          <t>Vendidos</t>
        </is>
      </c>
      <c r="B103" s="39" t="inlineStr">
        <is>
          <t>🔴 Alta</t>
        </is>
      </c>
      <c r="C103" s="37" t="inlineStr">
        <is>
          <t>9003832</t>
        </is>
      </c>
      <c r="D103" s="38" t="inlineStr">
        <is>
          <t>Dose Beefeater</t>
        </is>
      </c>
      <c r="E103" s="53" t="inlineStr">
        <is>
          <t>Produto ativo na ZIG sem cadastro no Protheus</t>
        </is>
      </c>
      <c r="F103" s="54" t="inlineStr">
        <is>
          <t>Cadastrar PA no Protheus e vincular código ZIG</t>
        </is>
      </c>
      <c r="G103" s="55" t="inlineStr">
        <is>
          <t>Pendente</t>
        </is>
      </c>
    </row>
    <row r="104">
      <c r="A104" s="52" t="inlineStr">
        <is>
          <t>Vendidos</t>
        </is>
      </c>
      <c r="B104" s="39" t="inlineStr">
        <is>
          <t>🔴 Alta</t>
        </is>
      </c>
      <c r="C104" s="37" t="inlineStr">
        <is>
          <t>9003889</t>
        </is>
      </c>
      <c r="D104" s="38" t="inlineStr">
        <is>
          <t>Gin Tônica</t>
        </is>
      </c>
      <c r="E104" s="53" t="inlineStr">
        <is>
          <t>Produto ativo na ZIG sem cadastro no Protheus</t>
        </is>
      </c>
      <c r="F104" s="54" t="inlineStr">
        <is>
          <t>Cadastrar PA no Protheus e vincular código ZIG</t>
        </is>
      </c>
      <c r="G104" s="55" t="inlineStr">
        <is>
          <t>Pendente</t>
        </is>
      </c>
    </row>
    <row r="105">
      <c r="A105" s="52" t="inlineStr">
        <is>
          <t>Vendidos</t>
        </is>
      </c>
      <c r="B105" s="39" t="inlineStr">
        <is>
          <t>🔴 Alta</t>
        </is>
      </c>
      <c r="C105" s="37" t="inlineStr">
        <is>
          <t>9003896</t>
        </is>
      </c>
      <c r="D105" s="38" t="inlineStr">
        <is>
          <t>Fitzgerald</t>
        </is>
      </c>
      <c r="E105" s="53" t="inlineStr">
        <is>
          <t>Produto ativo na ZIG sem cadastro no Protheus</t>
        </is>
      </c>
      <c r="F105" s="54" t="inlineStr">
        <is>
          <t>Cadastrar PA no Protheus e vincular código ZIG</t>
        </is>
      </c>
      <c r="G105" s="55" t="inlineStr">
        <is>
          <t>Pendente</t>
        </is>
      </c>
    </row>
    <row r="106">
      <c r="A106" s="52" t="inlineStr">
        <is>
          <t>Vendidos</t>
        </is>
      </c>
      <c r="B106" s="39" t="inlineStr">
        <is>
          <t>🔴 Alta</t>
        </is>
      </c>
      <c r="C106" s="37" t="inlineStr">
        <is>
          <t>9003897</t>
        </is>
      </c>
      <c r="D106" s="38" t="inlineStr">
        <is>
          <t>Negroni</t>
        </is>
      </c>
      <c r="E106" s="53" t="inlineStr">
        <is>
          <t>Produto ativo na ZIG sem cadastro no Protheus</t>
        </is>
      </c>
      <c r="F106" s="54" t="inlineStr">
        <is>
          <t>Cadastrar PA no Protheus e vincular código ZIG</t>
        </is>
      </c>
      <c r="G106" s="55" t="inlineStr">
        <is>
          <t>Pendente</t>
        </is>
      </c>
    </row>
    <row r="107">
      <c r="A107" s="52" t="inlineStr">
        <is>
          <t>Vendidos</t>
        </is>
      </c>
      <c r="B107" s="39" t="inlineStr">
        <is>
          <t>🔴 Alta</t>
        </is>
      </c>
      <c r="C107" s="37" t="inlineStr">
        <is>
          <t>9003868</t>
        </is>
      </c>
      <c r="D107" s="38" t="inlineStr">
        <is>
          <t>Caipirinha</t>
        </is>
      </c>
      <c r="E107" s="53" t="inlineStr">
        <is>
          <t>Produto ativo na ZIG sem cadastro no Protheus</t>
        </is>
      </c>
      <c r="F107" s="54" t="inlineStr">
        <is>
          <t>Cadastrar PA no Protheus e vincular código ZIG</t>
        </is>
      </c>
      <c r="G107" s="55" t="inlineStr">
        <is>
          <t>Pendente</t>
        </is>
      </c>
    </row>
    <row r="108">
      <c r="A108" s="52" t="inlineStr">
        <is>
          <t>Vendidos</t>
        </is>
      </c>
      <c r="B108" s="39" t="inlineStr">
        <is>
          <t>🔴 Alta</t>
        </is>
      </c>
      <c r="C108" s="37" t="inlineStr">
        <is>
          <t>9003862</t>
        </is>
      </c>
      <c r="D108" s="38" t="inlineStr">
        <is>
          <t>Bloody Mary</t>
        </is>
      </c>
      <c r="E108" s="53" t="inlineStr">
        <is>
          <t>Produto ativo na ZIG sem cadastro no Protheus</t>
        </is>
      </c>
      <c r="F108" s="54" t="inlineStr">
        <is>
          <t>Cadastrar PA no Protheus e vincular código ZIG</t>
        </is>
      </c>
      <c r="G108" s="55" t="inlineStr">
        <is>
          <t>Pendente</t>
        </is>
      </c>
    </row>
    <row r="109">
      <c r="A109" s="52" t="inlineStr">
        <is>
          <t>Vendidos</t>
        </is>
      </c>
      <c r="B109" s="39" t="inlineStr">
        <is>
          <t>🔴 Alta</t>
        </is>
      </c>
      <c r="C109" s="37" t="inlineStr">
        <is>
          <t>9003900</t>
        </is>
      </c>
      <c r="D109" s="38" t="inlineStr">
        <is>
          <t>Aperol Spritz</t>
        </is>
      </c>
      <c r="E109" s="53" t="inlineStr">
        <is>
          <t>Produto ativo na ZIG sem cadastro no Protheus</t>
        </is>
      </c>
      <c r="F109" s="54" t="inlineStr">
        <is>
          <t>Cadastrar PA no Protheus e vincular código ZIG</t>
        </is>
      </c>
      <c r="G109" s="55" t="inlineStr">
        <is>
          <t>Pendente</t>
        </is>
      </c>
    </row>
    <row r="110">
      <c r="A110" s="52" t="inlineStr">
        <is>
          <t>Vendidos</t>
        </is>
      </c>
      <c r="B110" s="39" t="inlineStr">
        <is>
          <t>🔴 Alta</t>
        </is>
      </c>
      <c r="C110" s="37" t="inlineStr">
        <is>
          <t>9003912</t>
        </is>
      </c>
      <c r="D110" s="38" t="inlineStr">
        <is>
          <t>Penicilin</t>
        </is>
      </c>
      <c r="E110" s="53" t="inlineStr">
        <is>
          <t>Produto ativo na ZIG sem cadastro no Protheus</t>
        </is>
      </c>
      <c r="F110" s="54" t="inlineStr">
        <is>
          <t>Cadastrar PA no Protheus e vincular código ZIG</t>
        </is>
      </c>
      <c r="G110" s="55" t="inlineStr">
        <is>
          <t>Pendente</t>
        </is>
      </c>
    </row>
    <row r="111">
      <c r="A111" s="52" t="inlineStr">
        <is>
          <t>Vendidos</t>
        </is>
      </c>
      <c r="B111" s="39" t="inlineStr">
        <is>
          <t>🔴 Alta</t>
        </is>
      </c>
      <c r="C111" s="37" t="inlineStr">
        <is>
          <t>9003880</t>
        </is>
      </c>
      <c r="D111" s="38" t="inlineStr">
        <is>
          <t>Rabo De Galo</t>
        </is>
      </c>
      <c r="E111" s="53" t="inlineStr">
        <is>
          <t>Produto ativo na ZIG sem cadastro no Protheus</t>
        </is>
      </c>
      <c r="F111" s="54" t="inlineStr">
        <is>
          <t>Cadastrar PA no Protheus e vincular código ZIG</t>
        </is>
      </c>
      <c r="G111" s="55" t="inlineStr">
        <is>
          <t>Pendente</t>
        </is>
      </c>
    </row>
    <row r="112">
      <c r="A112" s="52" t="inlineStr">
        <is>
          <t>Vendidos</t>
        </is>
      </c>
      <c r="B112" s="39" t="inlineStr">
        <is>
          <t>🔴 Alta</t>
        </is>
      </c>
      <c r="C112" s="37" t="inlineStr">
        <is>
          <t>9003879</t>
        </is>
      </c>
      <c r="D112" s="38" t="inlineStr">
        <is>
          <t>Moscow Mule</t>
        </is>
      </c>
      <c r="E112" s="53" t="inlineStr">
        <is>
          <t>Produto ativo na ZIG sem cadastro no Protheus</t>
        </is>
      </c>
      <c r="F112" s="54" t="inlineStr">
        <is>
          <t>Cadastrar PA no Protheus e vincular código ZIG</t>
        </is>
      </c>
      <c r="G112" s="55" t="inlineStr">
        <is>
          <t>Pendente</t>
        </is>
      </c>
    </row>
    <row r="113">
      <c r="A113" s="52" t="inlineStr">
        <is>
          <t>Vendidos</t>
        </is>
      </c>
      <c r="B113" s="39" t="inlineStr">
        <is>
          <t>🔴 Alta</t>
        </is>
      </c>
      <c r="C113" s="37" t="inlineStr">
        <is>
          <t>9006058</t>
        </is>
      </c>
      <c r="D113" s="38" t="inlineStr">
        <is>
          <t>Garrafa Licor 43</t>
        </is>
      </c>
      <c r="E113" s="53" t="inlineStr">
        <is>
          <t>Produto ativo na ZIG sem cadastro no Protheus</t>
        </is>
      </c>
      <c r="F113" s="54" t="inlineStr">
        <is>
          <t>Cadastrar PA no Protheus e vincular código ZIG</t>
        </is>
      </c>
      <c r="G113" s="55" t="inlineStr">
        <is>
          <t>Pendente</t>
        </is>
      </c>
    </row>
    <row r="114">
      <c r="A114" s="52" t="inlineStr">
        <is>
          <t>Vendidos</t>
        </is>
      </c>
      <c r="B114" s="39" t="inlineStr">
        <is>
          <t>🔴 Alta</t>
        </is>
      </c>
      <c r="C114" s="37" t="inlineStr">
        <is>
          <t>9003793</t>
        </is>
      </c>
      <c r="D114" s="38" t="inlineStr">
        <is>
          <t>Café Expresso Illy</t>
        </is>
      </c>
      <c r="E114" s="53" t="inlineStr">
        <is>
          <t>Produto ativo na ZIG sem cadastro no Protheus</t>
        </is>
      </c>
      <c r="F114" s="54" t="inlineStr">
        <is>
          <t>Cadastrar PA no Protheus e vincular código ZIG</t>
        </is>
      </c>
      <c r="G114" s="55" t="inlineStr">
        <is>
          <t>Pendente</t>
        </is>
      </c>
    </row>
    <row r="115">
      <c r="A115" s="52" t="inlineStr">
        <is>
          <t>Vendidos</t>
        </is>
      </c>
      <c r="B115" s="39" t="inlineStr">
        <is>
          <t>🔴 Alta</t>
        </is>
      </c>
      <c r="C115" s="37" t="inlineStr">
        <is>
          <t>9003798</t>
        </is>
      </c>
      <c r="D115" s="38" t="inlineStr">
        <is>
          <t>Campari</t>
        </is>
      </c>
      <c r="E115" s="53" t="inlineStr">
        <is>
          <t>Produto ativo na ZIG sem cadastro no Protheus</t>
        </is>
      </c>
      <c r="F115" s="54" t="inlineStr">
        <is>
          <t>Cadastrar PA no Protheus e vincular código ZIG</t>
        </is>
      </c>
      <c r="G115" s="55" t="inlineStr">
        <is>
          <t>Pendente</t>
        </is>
      </c>
    </row>
    <row r="116">
      <c r="A116" s="52" t="inlineStr">
        <is>
          <t>Vendidos</t>
        </is>
      </c>
      <c r="B116" s="39" t="inlineStr">
        <is>
          <t>🔴 Alta</t>
        </is>
      </c>
      <c r="C116" s="37" t="inlineStr">
        <is>
          <t>9003799</t>
        </is>
      </c>
      <c r="D116" s="38" t="inlineStr">
        <is>
          <t>Licor 43</t>
        </is>
      </c>
      <c r="E116" s="53" t="inlineStr">
        <is>
          <t>Produto ativo na ZIG sem cadastro no Protheus</t>
        </is>
      </c>
      <c r="F116" s="54" t="inlineStr">
        <is>
          <t>Cadastrar PA no Protheus e vincular código ZIG</t>
        </is>
      </c>
      <c r="G116" s="55" t="inlineStr">
        <is>
          <t>Pendente</t>
        </is>
      </c>
    </row>
    <row r="117">
      <c r="A117" s="52" t="inlineStr">
        <is>
          <t>Vendidos</t>
        </is>
      </c>
      <c r="B117" s="39" t="inlineStr">
        <is>
          <t>🔴 Alta</t>
        </is>
      </c>
      <c r="C117" s="37" t="inlineStr">
        <is>
          <t>9004375</t>
        </is>
      </c>
      <c r="D117" s="38" t="inlineStr">
        <is>
          <t>Caução</t>
        </is>
      </c>
      <c r="E117" s="53" t="inlineStr">
        <is>
          <t>Produto ativo na ZIG sem cadastro no Protheus</t>
        </is>
      </c>
      <c r="F117" s="54" t="inlineStr">
        <is>
          <t>Cadastrar PA no Protheus e vincular código ZIG</t>
        </is>
      </c>
      <c r="G117" s="55" t="inlineStr">
        <is>
          <t>Pendente</t>
        </is>
      </c>
    </row>
    <row r="118">
      <c r="A118" s="52" t="inlineStr">
        <is>
          <t>Vendidos</t>
        </is>
      </c>
      <c r="B118" s="39" t="inlineStr">
        <is>
          <t>🔴 Alta</t>
        </is>
      </c>
      <c r="C118" s="37" t="inlineStr">
        <is>
          <t>78989056877169</t>
        </is>
      </c>
      <c r="D118" s="38" t="inlineStr">
        <is>
          <t>Algodão doce</t>
        </is>
      </c>
      <c r="E118" s="53" t="inlineStr">
        <is>
          <t>Produto ativo na ZIG sem cadastro no Protheus</t>
        </is>
      </c>
      <c r="F118" s="54" t="inlineStr">
        <is>
          <t>Cadastrar PA no Protheus e vincular código ZIG</t>
        </is>
      </c>
      <c r="G118" s="55" t="inlineStr">
        <is>
          <t>Pendente</t>
        </is>
      </c>
    </row>
    <row r="119">
      <c r="A119" s="52" t="inlineStr">
        <is>
          <t>Vendidos</t>
        </is>
      </c>
      <c r="B119" s="39" t="inlineStr">
        <is>
          <t>🔴 Alta</t>
        </is>
      </c>
      <c r="C119" s="37" t="inlineStr">
        <is>
          <t>78989056877255</t>
        </is>
      </c>
      <c r="D119" s="38" t="inlineStr">
        <is>
          <t>PIPOCA</t>
        </is>
      </c>
      <c r="E119" s="53" t="inlineStr">
        <is>
          <t>Produto ativo na ZIG sem cadastro no Protheus</t>
        </is>
      </c>
      <c r="F119" s="54" t="inlineStr">
        <is>
          <t>Cadastrar PA no Protheus e vincular código ZIG</t>
        </is>
      </c>
      <c r="G119" s="55" t="inlineStr">
        <is>
          <t>Pendente</t>
        </is>
      </c>
    </row>
    <row r="120">
      <c r="A120" s="52" t="inlineStr">
        <is>
          <t>Vendidos</t>
        </is>
      </c>
      <c r="B120" s="39" t="inlineStr">
        <is>
          <t>🔴 Alta</t>
        </is>
      </c>
      <c r="C120" s="37" t="inlineStr">
        <is>
          <t>78989056877389</t>
        </is>
      </c>
      <c r="D120" s="38" t="inlineStr">
        <is>
          <t>KIT MASSINHA</t>
        </is>
      </c>
      <c r="E120" s="53" t="inlineStr">
        <is>
          <t>Produto ativo na ZIG sem cadastro no Protheus</t>
        </is>
      </c>
      <c r="F120" s="54" t="inlineStr">
        <is>
          <t>Cadastrar PA no Protheus e vincular código ZIG</t>
        </is>
      </c>
      <c r="G120" s="55" t="inlineStr">
        <is>
          <t>Pendente</t>
        </is>
      </c>
    </row>
    <row r="121">
      <c r="A121" s="52" t="inlineStr">
        <is>
          <t>Vendidos</t>
        </is>
      </c>
      <c r="B121" s="39" t="inlineStr">
        <is>
          <t>🔴 Alta</t>
        </is>
      </c>
      <c r="C121" s="37" t="inlineStr">
        <is>
          <t>78989056877366</t>
        </is>
      </c>
      <c r="D121" s="38" t="inlineStr">
        <is>
          <t>Copao Gin + Energetico</t>
        </is>
      </c>
      <c r="E121" s="53" t="inlineStr">
        <is>
          <t>Produto ativo na ZIG sem cadastro no Protheus</t>
        </is>
      </c>
      <c r="F121" s="54" t="inlineStr">
        <is>
          <t>Cadastrar PA no Protheus e vincular código ZIG</t>
        </is>
      </c>
      <c r="G121" s="55" t="inlineStr">
        <is>
          <t>Pendente</t>
        </is>
      </c>
    </row>
    <row r="122">
      <c r="A122" s="52" t="inlineStr">
        <is>
          <t>Vendidos</t>
        </is>
      </c>
      <c r="B122" s="39" t="inlineStr">
        <is>
          <t>🔴 Alta</t>
        </is>
      </c>
      <c r="C122" s="37" t="inlineStr">
        <is>
          <t>78989056877365</t>
        </is>
      </c>
      <c r="D122" s="38" t="inlineStr">
        <is>
          <t>Copao Vodka + Energetico</t>
        </is>
      </c>
      <c r="E122" s="53" t="inlineStr">
        <is>
          <t>Produto ativo na ZIG sem cadastro no Protheus</t>
        </is>
      </c>
      <c r="F122" s="54" t="inlineStr">
        <is>
          <t>Cadastrar PA no Protheus e vincular código ZIG</t>
        </is>
      </c>
      <c r="G122" s="55" t="inlineStr">
        <is>
          <t>Pendente</t>
        </is>
      </c>
    </row>
    <row r="123">
      <c r="A123" s="52" t="inlineStr">
        <is>
          <t>Vendidos</t>
        </is>
      </c>
      <c r="B123" s="39" t="inlineStr">
        <is>
          <t>🔴 Alta</t>
        </is>
      </c>
      <c r="C123" s="37" t="inlineStr">
        <is>
          <t>78989056877182</t>
        </is>
      </c>
      <c r="D123" s="38" t="inlineStr">
        <is>
          <t>CHOPP DE VINHO</t>
        </is>
      </c>
      <c r="E123" s="53" t="inlineStr">
        <is>
          <t>Produto ativo na ZIG sem cadastro no Protheus</t>
        </is>
      </c>
      <c r="F123" s="54" t="inlineStr">
        <is>
          <t>Cadastrar PA no Protheus e vincular código ZIG</t>
        </is>
      </c>
      <c r="G123" s="55" t="inlineStr">
        <is>
          <t>Pendente</t>
        </is>
      </c>
    </row>
    <row r="124">
      <c r="A124" s="52" t="inlineStr">
        <is>
          <t>Vendidos</t>
        </is>
      </c>
      <c r="B124" s="39" t="inlineStr">
        <is>
          <t>🔴 Alta</t>
        </is>
      </c>
      <c r="C124" s="37" t="inlineStr">
        <is>
          <t>78989056877197</t>
        </is>
      </c>
      <c r="D124" s="38" t="inlineStr">
        <is>
          <t>VOUCHER CAIPIRINHA DE SAKE</t>
        </is>
      </c>
      <c r="E124" s="53" t="inlineStr">
        <is>
          <t>Produto ativo na ZIG sem cadastro no Protheus</t>
        </is>
      </c>
      <c r="F124" s="54" t="inlineStr">
        <is>
          <t>Cadastrar PA no Protheus e vincular código ZIG</t>
        </is>
      </c>
      <c r="G124" s="55" t="inlineStr">
        <is>
          <t>Pendente</t>
        </is>
      </c>
    </row>
    <row r="125">
      <c r="A125" s="52" t="inlineStr">
        <is>
          <t>Vendidos</t>
        </is>
      </c>
      <c r="B125" s="39" t="inlineStr">
        <is>
          <t>🔴 Alta</t>
        </is>
      </c>
      <c r="C125" s="37" t="inlineStr">
        <is>
          <t>78989056877171</t>
        </is>
      </c>
      <c r="D125" s="38" t="inlineStr">
        <is>
          <t>ANIVERSARIO KIDS INTEIRA</t>
        </is>
      </c>
      <c r="E125" s="53" t="inlineStr">
        <is>
          <t>Produto ativo na ZIG sem cadastro no Protheus</t>
        </is>
      </c>
      <c r="F125" s="54" t="inlineStr">
        <is>
          <t>Cadastrar PA no Protheus e vincular código ZIG</t>
        </is>
      </c>
      <c r="G125" s="55" t="inlineStr">
        <is>
          <t>Pendente</t>
        </is>
      </c>
    </row>
    <row r="126">
      <c r="A126" s="52" t="inlineStr">
        <is>
          <t>Vendidos</t>
        </is>
      </c>
      <c r="B126" s="39" t="inlineStr">
        <is>
          <t>🔴 Alta</t>
        </is>
      </c>
      <c r="C126" s="37" t="inlineStr">
        <is>
          <t>78989056877186</t>
        </is>
      </c>
      <c r="D126" s="38" t="inlineStr">
        <is>
          <t>SEXTOU</t>
        </is>
      </c>
      <c r="E126" s="53" t="inlineStr">
        <is>
          <t>Produto ativo na ZIG sem cadastro no Protheus</t>
        </is>
      </c>
      <c r="F126" s="54" t="inlineStr">
        <is>
          <t>Cadastrar PA no Protheus e vincular código ZIG</t>
        </is>
      </c>
      <c r="G126" s="55" t="inlineStr">
        <is>
          <t>Pendente</t>
        </is>
      </c>
    </row>
    <row r="127">
      <c r="A127" s="52" t="inlineStr">
        <is>
          <t>Vendidos</t>
        </is>
      </c>
      <c r="B127" s="39" t="inlineStr">
        <is>
          <t>🔴 Alta</t>
        </is>
      </c>
      <c r="C127" s="37" t="inlineStr">
        <is>
          <t>78989056877202</t>
        </is>
      </c>
      <c r="D127" s="38" t="inlineStr">
        <is>
          <t>SODA / ZEROCARNAVAL</t>
        </is>
      </c>
      <c r="E127" s="53" t="inlineStr">
        <is>
          <t>Produto ativo na ZIG sem cadastro no Protheus</t>
        </is>
      </c>
      <c r="F127" s="54" t="inlineStr">
        <is>
          <t>Cadastrar PA no Protheus e vincular código ZIG</t>
        </is>
      </c>
      <c r="G127" s="55" t="inlineStr">
        <is>
          <t>Pendente</t>
        </is>
      </c>
    </row>
    <row r="128">
      <c r="A128" s="52" t="inlineStr">
        <is>
          <t>Vendidos</t>
        </is>
      </c>
      <c r="B128" s="39" t="inlineStr">
        <is>
          <t>🔴 Alta</t>
        </is>
      </c>
      <c r="C128" s="37" t="inlineStr">
        <is>
          <t>78989056877201</t>
        </is>
      </c>
      <c r="D128" s="38" t="inlineStr">
        <is>
          <t>PEPSI/BLACK CARNAVAL</t>
        </is>
      </c>
      <c r="E128" s="53" t="inlineStr">
        <is>
          <t>Produto ativo na ZIG sem cadastro no Protheus</t>
        </is>
      </c>
      <c r="F128" s="54" t="inlineStr">
        <is>
          <t>Cadastrar PA no Protheus e vincular código ZIG</t>
        </is>
      </c>
      <c r="G128" s="55" t="inlineStr">
        <is>
          <t>Pendente</t>
        </is>
      </c>
    </row>
    <row r="129">
      <c r="A129" s="52" t="inlineStr">
        <is>
          <t>Vendidos</t>
        </is>
      </c>
      <c r="B129" s="39" t="inlineStr">
        <is>
          <t>🔴 Alta</t>
        </is>
      </c>
      <c r="C129" s="37" t="inlineStr">
        <is>
          <t>78989056877194</t>
        </is>
      </c>
      <c r="D129" s="38" t="inlineStr">
        <is>
          <t>BALDE CERVEJA</t>
        </is>
      </c>
      <c r="E129" s="53" t="inlineStr">
        <is>
          <t>Produto ativo na ZIG sem cadastro no Protheus</t>
        </is>
      </c>
      <c r="F129" s="54" t="inlineStr">
        <is>
          <t>Cadastrar PA no Protheus e vincular código ZIG</t>
        </is>
      </c>
      <c r="G129" s="55" t="inlineStr">
        <is>
          <t>Pendente</t>
        </is>
      </c>
    </row>
    <row r="130">
      <c r="A130" s="56" t="inlineStr">
        <is>
          <t>Base Insumos</t>
        </is>
      </c>
      <c r="B130" s="36" t="inlineStr">
        <is>
          <t>🟠 Média</t>
        </is>
      </c>
      <c r="C130" s="34" t="inlineStr">
        <is>
          <t>000700</t>
        </is>
      </c>
      <c r="D130" s="35" t="inlineStr">
        <is>
          <t>ABSOLUT FLAVOR VANILLA 750ML</t>
        </is>
      </c>
      <c r="E130" s="57" t="inlineStr">
        <is>
          <t>Custo unitário = R$ 0,00</t>
        </is>
      </c>
      <c r="F130" s="58" t="inlineStr">
        <is>
          <t>Confirmar última compra no Protheus ou atualizar manualmente</t>
        </is>
      </c>
      <c r="G130" s="59" t="inlineStr">
        <is>
          <t>Pendente</t>
        </is>
      </c>
    </row>
    <row r="131">
      <c r="A131" s="56" t="inlineStr">
        <is>
          <t>Base Insumos</t>
        </is>
      </c>
      <c r="B131" s="36" t="inlineStr">
        <is>
          <t>🟠 Média</t>
        </is>
      </c>
      <c r="C131" s="34" t="inlineStr">
        <is>
          <t>010343</t>
        </is>
      </c>
      <c r="D131" s="35" t="inlineStr">
        <is>
          <t>AMIDO DE MILHO</t>
        </is>
      </c>
      <c r="E131" s="57" t="inlineStr">
        <is>
          <t>Custo unitário = R$ 0,00</t>
        </is>
      </c>
      <c r="F131" s="58" t="inlineStr">
        <is>
          <t>Confirmar última compra no Protheus ou atualizar manualmente</t>
        </is>
      </c>
      <c r="G131" s="59" t="inlineStr">
        <is>
          <t>Pendente</t>
        </is>
      </c>
    </row>
    <row r="132">
      <c r="A132" s="56" t="inlineStr">
        <is>
          <t>Base Insumos</t>
        </is>
      </c>
      <c r="B132" s="36" t="inlineStr">
        <is>
          <t>🟠 Média</t>
        </is>
      </c>
      <c r="C132" s="34" t="inlineStr">
        <is>
          <t>002226</t>
        </is>
      </c>
      <c r="D132" s="35" t="inlineStr">
        <is>
          <t>BOLINHO DE PEPPERONI 1,05KG</t>
        </is>
      </c>
      <c r="E132" s="57" t="inlineStr">
        <is>
          <t>Custo unitário = R$ 0,00</t>
        </is>
      </c>
      <c r="F132" s="58" t="inlineStr">
        <is>
          <t>Confirmar última compra no Protheus ou atualizar manualmente</t>
        </is>
      </c>
      <c r="G132" s="59" t="inlineStr">
        <is>
          <t>Pendente</t>
        </is>
      </c>
    </row>
    <row r="133">
      <c r="A133" s="56" t="inlineStr">
        <is>
          <t>Base Insumos</t>
        </is>
      </c>
      <c r="B133" s="36" t="inlineStr">
        <is>
          <t>🟠 Média</t>
        </is>
      </c>
      <c r="C133" s="34" t="inlineStr">
        <is>
          <t>001133</t>
        </is>
      </c>
      <c r="D133" s="35" t="inlineStr">
        <is>
          <t>BRAHMA DUPLO MALTE 350 ML</t>
        </is>
      </c>
      <c r="E133" s="57" t="inlineStr">
        <is>
          <t>Custo unitário = R$ 0,00</t>
        </is>
      </c>
      <c r="F133" s="58" t="inlineStr">
        <is>
          <t>Confirmar última compra no Protheus ou atualizar manualmente</t>
        </is>
      </c>
      <c r="G133" s="59" t="inlineStr">
        <is>
          <t>Pendente</t>
        </is>
      </c>
    </row>
    <row r="134">
      <c r="A134" s="56" t="inlineStr">
        <is>
          <t>Base Insumos</t>
        </is>
      </c>
      <c r="B134" s="36" t="inlineStr">
        <is>
          <t>🟠 Média</t>
        </is>
      </c>
      <c r="C134" s="34" t="inlineStr">
        <is>
          <t>000327</t>
        </is>
      </c>
      <c r="D134" s="35" t="inlineStr">
        <is>
          <t>BRAHMA ZERO LONG NECK</t>
        </is>
      </c>
      <c r="E134" s="57" t="inlineStr">
        <is>
          <t>Custo unitário = R$ 0,00</t>
        </is>
      </c>
      <c r="F134" s="58" t="inlineStr">
        <is>
          <t>Confirmar última compra no Protheus ou atualizar manualmente</t>
        </is>
      </c>
      <c r="G134" s="59" t="inlineStr">
        <is>
          <t>Pendente</t>
        </is>
      </c>
    </row>
    <row r="135">
      <c r="A135" s="56" t="inlineStr">
        <is>
          <t>Base Insumos</t>
        </is>
      </c>
      <c r="B135" s="36" t="inlineStr">
        <is>
          <t>🟠 Média</t>
        </is>
      </c>
      <c r="C135" s="34" t="inlineStr">
        <is>
          <t>000756</t>
        </is>
      </c>
      <c r="D135" s="35" t="inlineStr">
        <is>
          <t>CACHACA SABOR DE MINAS 670ML</t>
        </is>
      </c>
      <c r="E135" s="57" t="inlineStr">
        <is>
          <t>Custo unitário = R$ 0,00</t>
        </is>
      </c>
      <c r="F135" s="58" t="inlineStr">
        <is>
          <t>Confirmar última compra no Protheus ou atualizar manualmente</t>
        </is>
      </c>
      <c r="G135" s="59" t="inlineStr">
        <is>
          <t>Pendente</t>
        </is>
      </c>
    </row>
    <row r="136">
      <c r="A136" s="56" t="inlineStr">
        <is>
          <t>Base Insumos</t>
        </is>
      </c>
      <c r="B136" s="36" t="inlineStr">
        <is>
          <t>🟠 Média</t>
        </is>
      </c>
      <c r="C136" s="34" t="inlineStr">
        <is>
          <t>1215608</t>
        </is>
      </c>
      <c r="D136" s="35" t="inlineStr">
        <is>
          <t>CAPSULA CAF  COM LEITE</t>
        </is>
      </c>
      <c r="E136" s="57" t="inlineStr">
        <is>
          <t>Custo unitário = R$ 0,00</t>
        </is>
      </c>
      <c r="F136" s="58" t="inlineStr">
        <is>
          <t>Confirmar última compra no Protheus ou atualizar manualmente</t>
        </is>
      </c>
      <c r="G136" s="59" t="inlineStr">
        <is>
          <t>Pendente</t>
        </is>
      </c>
    </row>
    <row r="137">
      <c r="A137" s="56" t="inlineStr">
        <is>
          <t>Base Insumos</t>
        </is>
      </c>
      <c r="B137" s="36" t="inlineStr">
        <is>
          <t>🟠 Média</t>
        </is>
      </c>
      <c r="C137" s="34" t="inlineStr">
        <is>
          <t>010338</t>
        </is>
      </c>
      <c r="D137" s="35" t="inlineStr">
        <is>
          <t>CEBOLA PEROLA</t>
        </is>
      </c>
      <c r="E137" s="57" t="inlineStr">
        <is>
          <t>Custo unitário = R$ 0,00</t>
        </is>
      </c>
      <c r="F137" s="58" t="inlineStr">
        <is>
          <t>Confirmar última compra no Protheus ou atualizar manualmente</t>
        </is>
      </c>
      <c r="G137" s="59" t="inlineStr">
        <is>
          <t>Pendente</t>
        </is>
      </c>
    </row>
    <row r="138">
      <c r="A138" s="56" t="inlineStr">
        <is>
          <t>Base Insumos</t>
        </is>
      </c>
      <c r="B138" s="36" t="inlineStr">
        <is>
          <t>🟠 Média</t>
        </is>
      </c>
      <c r="C138" s="34" t="inlineStr">
        <is>
          <t>001052</t>
        </is>
      </c>
      <c r="D138" s="35" t="inlineStr">
        <is>
          <t>CERVEJA BRAHMA DUPLO MALTE 600 ML</t>
        </is>
      </c>
      <c r="E138" s="57" t="inlineStr">
        <is>
          <t>Custo unitário = R$ 0,00</t>
        </is>
      </c>
      <c r="F138" s="58" t="inlineStr">
        <is>
          <t>Confirmar última compra no Protheus ou atualizar manualmente</t>
        </is>
      </c>
      <c r="G138" s="59" t="inlineStr">
        <is>
          <t>Pendente</t>
        </is>
      </c>
    </row>
    <row r="139">
      <c r="A139" s="56" t="inlineStr">
        <is>
          <t>Base Insumos</t>
        </is>
      </c>
      <c r="B139" s="36" t="inlineStr">
        <is>
          <t>🟠 Média</t>
        </is>
      </c>
      <c r="C139" s="34" t="inlineStr">
        <is>
          <t>000373</t>
        </is>
      </c>
      <c r="D139" s="35" t="inlineStr">
        <is>
          <t>CERVEJA COLORADO APPIA-600 ML</t>
        </is>
      </c>
      <c r="E139" s="57" t="inlineStr">
        <is>
          <t>Custo unitário = R$ 0,00</t>
        </is>
      </c>
      <c r="F139" s="58" t="inlineStr">
        <is>
          <t>Confirmar última compra no Protheus ou atualizar manualmente</t>
        </is>
      </c>
      <c r="G139" s="59" t="inlineStr">
        <is>
          <t>Pendente</t>
        </is>
      </c>
    </row>
    <row r="140">
      <c r="A140" s="56" t="inlineStr">
        <is>
          <t>Base Insumos</t>
        </is>
      </c>
      <c r="B140" s="36" t="inlineStr">
        <is>
          <t>🟠 Média</t>
        </is>
      </c>
      <c r="C140" s="34" t="inlineStr">
        <is>
          <t>000745</t>
        </is>
      </c>
      <c r="D140" s="35" t="inlineStr">
        <is>
          <t>CERVEJA COLORADO RIBEIRAO -600 ML</t>
        </is>
      </c>
      <c r="E140" s="57" t="inlineStr">
        <is>
          <t>Custo unitário = R$ 0,00</t>
        </is>
      </c>
      <c r="F140" s="58" t="inlineStr">
        <is>
          <t>Confirmar última compra no Protheus ou atualizar manualmente</t>
        </is>
      </c>
      <c r="G140" s="59" t="inlineStr">
        <is>
          <t>Pendente</t>
        </is>
      </c>
    </row>
    <row r="141">
      <c r="A141" s="56" t="inlineStr">
        <is>
          <t>Base Insumos</t>
        </is>
      </c>
      <c r="B141" s="36" t="inlineStr">
        <is>
          <t>🟠 Média</t>
        </is>
      </c>
      <c r="C141" s="34" t="inlineStr">
        <is>
          <t>001166</t>
        </is>
      </c>
      <c r="D141" s="35" t="inlineStr">
        <is>
          <t>CERVEJA COLORADO RIBEIRAO 350 ML</t>
        </is>
      </c>
      <c r="E141" s="57" t="inlineStr">
        <is>
          <t>Custo unitário = R$ 0,00</t>
        </is>
      </c>
      <c r="F141" s="58" t="inlineStr">
        <is>
          <t>Confirmar última compra no Protheus ou atualizar manualmente</t>
        </is>
      </c>
      <c r="G141" s="59" t="inlineStr">
        <is>
          <t>Pendente</t>
        </is>
      </c>
    </row>
    <row r="142">
      <c r="A142" s="56" t="inlineStr">
        <is>
          <t>Base Insumos</t>
        </is>
      </c>
      <c r="B142" s="36" t="inlineStr">
        <is>
          <t>🟠 Média</t>
        </is>
      </c>
      <c r="C142" s="34" t="inlineStr">
        <is>
          <t>002256</t>
        </is>
      </c>
      <c r="D142" s="35" t="inlineStr">
        <is>
          <t>CERVEJA FLYING FISH LONG NECK</t>
        </is>
      </c>
      <c r="E142" s="57" t="inlineStr">
        <is>
          <t>Custo unitário = R$ 0,00</t>
        </is>
      </c>
      <c r="F142" s="58" t="inlineStr">
        <is>
          <t>Confirmar última compra no Protheus ou atualizar manualmente</t>
        </is>
      </c>
      <c r="G142" s="59" t="inlineStr">
        <is>
          <t>Pendente</t>
        </is>
      </c>
    </row>
    <row r="143">
      <c r="A143" s="56" t="inlineStr">
        <is>
          <t>Base Insumos</t>
        </is>
      </c>
      <c r="B143" s="36" t="inlineStr">
        <is>
          <t>🟠 Média</t>
        </is>
      </c>
      <c r="C143" s="34" t="inlineStr">
        <is>
          <t>000204</t>
        </is>
      </c>
      <c r="D143" s="35" t="inlineStr">
        <is>
          <t>CERVEJA GOOSE ISLAND IPA INS</t>
        </is>
      </c>
      <c r="E143" s="57" t="inlineStr">
        <is>
          <t>Custo unitário = R$ 0,00</t>
        </is>
      </c>
      <c r="F143" s="58" t="inlineStr">
        <is>
          <t>Confirmar última compra no Protheus ou atualizar manualmente</t>
        </is>
      </c>
      <c r="G143" s="59" t="inlineStr">
        <is>
          <t>Pendente</t>
        </is>
      </c>
    </row>
    <row r="144">
      <c r="A144" s="56" t="inlineStr">
        <is>
          <t>Base Insumos</t>
        </is>
      </c>
      <c r="B144" s="36" t="inlineStr">
        <is>
          <t>🟠 Média</t>
        </is>
      </c>
      <c r="C144" s="34" t="inlineStr">
        <is>
          <t>001316</t>
        </is>
      </c>
      <c r="D144" s="35" t="inlineStr">
        <is>
          <t>CERVEJA PATAGONIA IPA 600 ML</t>
        </is>
      </c>
      <c r="E144" s="57" t="inlineStr">
        <is>
          <t>Custo unitário = R$ 0,00</t>
        </is>
      </c>
      <c r="F144" s="58" t="inlineStr">
        <is>
          <t>Confirmar última compra no Protheus ou atualizar manualmente</t>
        </is>
      </c>
      <c r="G144" s="59" t="inlineStr">
        <is>
          <t>Pendente</t>
        </is>
      </c>
    </row>
    <row r="145">
      <c r="A145" s="56" t="inlineStr">
        <is>
          <t>Base Insumos</t>
        </is>
      </c>
      <c r="B145" s="36" t="inlineStr">
        <is>
          <t>🟠 Média</t>
        </is>
      </c>
      <c r="C145" s="34" t="inlineStr">
        <is>
          <t>000311</t>
        </is>
      </c>
      <c r="D145" s="35" t="inlineStr">
        <is>
          <t>CERVEJA SERRA MALTE 600ML</t>
        </is>
      </c>
      <c r="E145" s="57" t="inlineStr">
        <is>
          <t>Custo unitário = R$ 0,00</t>
        </is>
      </c>
      <c r="F145" s="58" t="inlineStr">
        <is>
          <t>Confirmar última compra no Protheus ou atualizar manualmente</t>
        </is>
      </c>
      <c r="G145" s="59" t="inlineStr">
        <is>
          <t>Pendente</t>
        </is>
      </c>
    </row>
    <row r="146">
      <c r="A146" s="56" t="inlineStr">
        <is>
          <t>Base Insumos</t>
        </is>
      </c>
      <c r="B146" s="36" t="inlineStr">
        <is>
          <t>🟠 Média</t>
        </is>
      </c>
      <c r="C146" s="34" t="inlineStr">
        <is>
          <t>009537</t>
        </is>
      </c>
      <c r="D146" s="35" t="inlineStr">
        <is>
          <t>ESPUMANTE BRASILEIRO VIVA LA VIDA BRUT 750ML</t>
        </is>
      </c>
      <c r="E146" s="57" t="inlineStr">
        <is>
          <t>Custo unitário = R$ 0,00</t>
        </is>
      </c>
      <c r="F146" s="58" t="inlineStr">
        <is>
          <t>Confirmar última compra no Protheus ou atualizar manualmente</t>
        </is>
      </c>
      <c r="G146" s="59" t="inlineStr">
        <is>
          <t>Pendente</t>
        </is>
      </c>
    </row>
    <row r="147">
      <c r="A147" s="56" t="inlineStr">
        <is>
          <t>Base Insumos</t>
        </is>
      </c>
      <c r="B147" s="36" t="inlineStr">
        <is>
          <t>🟠 Média</t>
        </is>
      </c>
      <c r="C147" s="34" t="inlineStr">
        <is>
          <t>000939</t>
        </is>
      </c>
      <c r="D147" s="35" t="inlineStr">
        <is>
          <t>GIN BEEFEATER PINK GARRAFA 750ML</t>
        </is>
      </c>
      <c r="E147" s="57" t="inlineStr">
        <is>
          <t>Custo unitário = R$ 0,00</t>
        </is>
      </c>
      <c r="F147" s="58" t="inlineStr">
        <is>
          <t>Confirmar última compra no Protheus ou atualizar manualmente</t>
        </is>
      </c>
      <c r="G147" s="59" t="inlineStr">
        <is>
          <t>Pendente</t>
        </is>
      </c>
    </row>
    <row r="148">
      <c r="A148" s="56" t="inlineStr">
        <is>
          <t>Base Insumos</t>
        </is>
      </c>
      <c r="B148" s="36" t="inlineStr">
        <is>
          <t>🟠 Média</t>
        </is>
      </c>
      <c r="C148" s="34" t="inlineStr">
        <is>
          <t>009515</t>
        </is>
      </c>
      <c r="D148" s="35" t="inlineStr">
        <is>
          <t>GIN BOMBAY ORIGINAL 750ML</t>
        </is>
      </c>
      <c r="E148" s="57" t="inlineStr">
        <is>
          <t>Custo unitário = R$ 0,00</t>
        </is>
      </c>
      <c r="F148" s="58" t="inlineStr">
        <is>
          <t>Confirmar última compra no Protheus ou atualizar manualmente</t>
        </is>
      </c>
      <c r="G148" s="59" t="inlineStr">
        <is>
          <t>Pendente</t>
        </is>
      </c>
    </row>
    <row r="149">
      <c r="A149" s="56" t="inlineStr">
        <is>
          <t>Base Insumos</t>
        </is>
      </c>
      <c r="B149" s="36" t="inlineStr">
        <is>
          <t>🟠 Média</t>
        </is>
      </c>
      <c r="C149" s="34" t="inlineStr">
        <is>
          <t>001701</t>
        </is>
      </c>
      <c r="D149" s="35" t="inlineStr">
        <is>
          <t>GIN KAWAI 965ML</t>
        </is>
      </c>
      <c r="E149" s="57" t="inlineStr">
        <is>
          <t>Custo unitário = R$ 0,00</t>
        </is>
      </c>
      <c r="F149" s="58" t="inlineStr">
        <is>
          <t>Confirmar última compra no Protheus ou atualizar manualmente</t>
        </is>
      </c>
      <c r="G149" s="59" t="inlineStr">
        <is>
          <t>Pendente</t>
        </is>
      </c>
    </row>
    <row r="150">
      <c r="A150" s="56" t="inlineStr">
        <is>
          <t>Base Insumos</t>
        </is>
      </c>
      <c r="B150" s="36" t="inlineStr">
        <is>
          <t>🟠 Média</t>
        </is>
      </c>
      <c r="C150" s="34" t="inlineStr">
        <is>
          <t>000330</t>
        </is>
      </c>
      <c r="D150" s="35" t="inlineStr">
        <is>
          <t>HOEGAARDEN 330 ML</t>
        </is>
      </c>
      <c r="E150" s="57" t="inlineStr">
        <is>
          <t>Custo unitário = R$ 0,00</t>
        </is>
      </c>
      <c r="F150" s="58" t="inlineStr">
        <is>
          <t>Confirmar última compra no Protheus ou atualizar manualmente</t>
        </is>
      </c>
      <c r="G150" s="59" t="inlineStr">
        <is>
          <t>Pendente</t>
        </is>
      </c>
    </row>
    <row r="151">
      <c r="A151" s="56" t="inlineStr">
        <is>
          <t>Base Insumos</t>
        </is>
      </c>
      <c r="B151" s="36" t="inlineStr">
        <is>
          <t>🟠 Média</t>
        </is>
      </c>
      <c r="C151" s="34" t="inlineStr">
        <is>
          <t>001941</t>
        </is>
      </c>
      <c r="D151" s="35" t="inlineStr">
        <is>
          <t>LAMINA - DYSPLAY 141178</t>
        </is>
      </c>
      <c r="E151" s="57" t="inlineStr">
        <is>
          <t>Custo unitário = R$ 0,00</t>
        </is>
      </c>
      <c r="F151" s="58" t="inlineStr">
        <is>
          <t>Confirmar última compra no Protheus ou atualizar manualmente</t>
        </is>
      </c>
      <c r="G151" s="59" t="inlineStr">
        <is>
          <t>Pendente</t>
        </is>
      </c>
    </row>
    <row r="152">
      <c r="A152" s="56" t="inlineStr">
        <is>
          <t>Base Insumos</t>
        </is>
      </c>
      <c r="B152" s="36" t="inlineStr">
        <is>
          <t>🟠 Média</t>
        </is>
      </c>
      <c r="C152" s="34" t="inlineStr">
        <is>
          <t>010341</t>
        </is>
      </c>
      <c r="D152" s="35" t="inlineStr">
        <is>
          <t>MACARRAO PENNE</t>
        </is>
      </c>
      <c r="E152" s="57" t="inlineStr">
        <is>
          <t>Custo unitário = R$ 0,00</t>
        </is>
      </c>
      <c r="F152" s="58" t="inlineStr">
        <is>
          <t>Confirmar última compra no Protheus ou atualizar manualmente</t>
        </is>
      </c>
      <c r="G152" s="59" t="inlineStr">
        <is>
          <t>Pendente</t>
        </is>
      </c>
    </row>
    <row r="153">
      <c r="A153" s="56" t="inlineStr">
        <is>
          <t>Base Insumos</t>
        </is>
      </c>
      <c r="B153" s="36" t="inlineStr">
        <is>
          <t>🟠 Média</t>
        </is>
      </c>
      <c r="C153" s="34" t="inlineStr">
        <is>
          <t>010342</t>
        </is>
      </c>
      <c r="D153" s="35" t="inlineStr">
        <is>
          <t>MOLHO CAESAR</t>
        </is>
      </c>
      <c r="E153" s="57" t="inlineStr">
        <is>
          <t>Custo unitário = R$ 0,00</t>
        </is>
      </c>
      <c r="F153" s="58" t="inlineStr">
        <is>
          <t>Confirmar última compra no Protheus ou atualizar manualmente</t>
        </is>
      </c>
      <c r="G153" s="59" t="inlineStr">
        <is>
          <t>Pendente</t>
        </is>
      </c>
    </row>
    <row r="154">
      <c r="A154" s="56" t="inlineStr">
        <is>
          <t>Base Insumos</t>
        </is>
      </c>
      <c r="B154" s="36" t="inlineStr">
        <is>
          <t>🟠 Média</t>
        </is>
      </c>
      <c r="C154" s="34" t="inlineStr">
        <is>
          <t>010340</t>
        </is>
      </c>
      <c r="D154" s="35" t="inlineStr">
        <is>
          <t>MOLHO ROTI EM PO</t>
        </is>
      </c>
      <c r="E154" s="57" t="inlineStr">
        <is>
          <t>Custo unitário = R$ 0,00</t>
        </is>
      </c>
      <c r="F154" s="58" t="inlineStr">
        <is>
          <t>Confirmar última compra no Protheus ou atualizar manualmente</t>
        </is>
      </c>
      <c r="G154" s="59" t="inlineStr">
        <is>
          <t>Pendente</t>
        </is>
      </c>
    </row>
    <row r="155">
      <c r="A155" s="56" t="inlineStr">
        <is>
          <t>Base Insumos</t>
        </is>
      </c>
      <c r="B155" s="36" t="inlineStr">
        <is>
          <t>🟠 Média</t>
        </is>
      </c>
      <c r="C155" s="34" t="inlineStr">
        <is>
          <t>010388</t>
        </is>
      </c>
      <c r="D155" s="35" t="inlineStr">
        <is>
          <t>OVINHOS DE CHOCOLATE</t>
        </is>
      </c>
      <c r="E155" s="57" t="inlineStr">
        <is>
          <t>Custo unitário = R$ 0,00</t>
        </is>
      </c>
      <c r="F155" s="58" t="inlineStr">
        <is>
          <t>Confirmar última compra no Protheus ou atualizar manualmente</t>
        </is>
      </c>
      <c r="G155" s="59" t="inlineStr">
        <is>
          <t>Pendente</t>
        </is>
      </c>
    </row>
    <row r="156">
      <c r="A156" s="56" t="inlineStr">
        <is>
          <t>Base Insumos</t>
        </is>
      </c>
      <c r="B156" s="36" t="inlineStr">
        <is>
          <t>🟠 Média</t>
        </is>
      </c>
      <c r="C156" s="34" t="inlineStr">
        <is>
          <t>009517</t>
        </is>
      </c>
      <c r="D156" s="35" t="inlineStr">
        <is>
          <t>PALMITO</t>
        </is>
      </c>
      <c r="E156" s="57" t="inlineStr">
        <is>
          <t>Custo unitário = R$ 0,00</t>
        </is>
      </c>
      <c r="F156" s="58" t="inlineStr">
        <is>
          <t>Confirmar última compra no Protheus ou atualizar manualmente</t>
        </is>
      </c>
      <c r="G156" s="59" t="inlineStr">
        <is>
          <t>Pendente</t>
        </is>
      </c>
    </row>
    <row r="157">
      <c r="A157" s="56" t="inlineStr">
        <is>
          <t>Base Insumos</t>
        </is>
      </c>
      <c r="B157" s="36" t="inlineStr">
        <is>
          <t>🟠 Média</t>
        </is>
      </c>
      <c r="C157" s="34" t="inlineStr">
        <is>
          <t>010344</t>
        </is>
      </c>
      <c r="D157" s="35" t="inlineStr">
        <is>
          <t>PEITO DE FRANGO SEM PELE E SEM OSSO</t>
        </is>
      </c>
      <c r="E157" s="57" t="inlineStr">
        <is>
          <t>Custo unitário = R$ 0,00</t>
        </is>
      </c>
      <c r="F157" s="58" t="inlineStr">
        <is>
          <t>Confirmar última compra no Protheus ou atualizar manualmente</t>
        </is>
      </c>
      <c r="G157" s="59" t="inlineStr">
        <is>
          <t>Pendente</t>
        </is>
      </c>
    </row>
    <row r="158">
      <c r="A158" s="56" t="inlineStr">
        <is>
          <t>Base Insumos</t>
        </is>
      </c>
      <c r="B158" s="36" t="inlineStr">
        <is>
          <t>🟠 Média</t>
        </is>
      </c>
      <c r="C158" s="34" t="inlineStr">
        <is>
          <t>010286</t>
        </is>
      </c>
      <c r="D158" s="35" t="inlineStr">
        <is>
          <t>PEPSI BLACK PET 200ML</t>
        </is>
      </c>
      <c r="E158" s="57" t="inlineStr">
        <is>
          <t>Custo unitário = R$ 0,00</t>
        </is>
      </c>
      <c r="F158" s="58" t="inlineStr">
        <is>
          <t>Confirmar última compra no Protheus ou atualizar manualmente</t>
        </is>
      </c>
      <c r="G158" s="59" t="inlineStr">
        <is>
          <t>Pendente</t>
        </is>
      </c>
    </row>
    <row r="159">
      <c r="A159" s="56" t="inlineStr">
        <is>
          <t>Base Insumos</t>
        </is>
      </c>
      <c r="B159" s="36" t="inlineStr">
        <is>
          <t>🟠 Média</t>
        </is>
      </c>
      <c r="C159" s="34" t="inlineStr">
        <is>
          <t>010339</t>
        </is>
      </c>
      <c r="D159" s="35" t="inlineStr">
        <is>
          <t>QUEIJO PARMESAO FRESCO RALADO</t>
        </is>
      </c>
      <c r="E159" s="57" t="inlineStr">
        <is>
          <t>Custo unitário = R$ 0,00</t>
        </is>
      </c>
      <c r="F159" s="58" t="inlineStr">
        <is>
          <t>Confirmar última compra no Protheus ou atualizar manualmente</t>
        </is>
      </c>
      <c r="G159" s="59" t="inlineStr">
        <is>
          <t>Pendente</t>
        </is>
      </c>
    </row>
    <row r="160">
      <c r="A160" s="56" t="inlineStr">
        <is>
          <t>Base Insumos</t>
        </is>
      </c>
      <c r="B160" s="36" t="inlineStr">
        <is>
          <t>🟠 Média</t>
        </is>
      </c>
      <c r="C160" s="34" t="inlineStr">
        <is>
          <t>001380</t>
        </is>
      </c>
      <c r="D160" s="35" t="inlineStr">
        <is>
          <t>ROSQUINHA DE COCO</t>
        </is>
      </c>
      <c r="E160" s="57" t="inlineStr">
        <is>
          <t>Custo unitário = R$ 0,00</t>
        </is>
      </c>
      <c r="F160" s="58" t="inlineStr">
        <is>
          <t>Confirmar última compra no Protheus ou atualizar manualmente</t>
        </is>
      </c>
      <c r="G160" s="59" t="inlineStr">
        <is>
          <t>Pendente</t>
        </is>
      </c>
    </row>
    <row r="161">
      <c r="A161" s="56" t="inlineStr">
        <is>
          <t>Base Insumos</t>
        </is>
      </c>
      <c r="B161" s="36" t="inlineStr">
        <is>
          <t>🟠 Média</t>
        </is>
      </c>
      <c r="C161" s="34" t="inlineStr">
        <is>
          <t>001327</t>
        </is>
      </c>
      <c r="D161" s="35" t="inlineStr">
        <is>
          <t>SKOL BEATS LONG GT</t>
        </is>
      </c>
      <c r="E161" s="57" t="inlineStr">
        <is>
          <t>Custo unitário = R$ 0,00</t>
        </is>
      </c>
      <c r="F161" s="58" t="inlineStr">
        <is>
          <t>Confirmar última compra no Protheus ou atualizar manualmente</t>
        </is>
      </c>
      <c r="G161" s="59" t="inlineStr">
        <is>
          <t>Pendente</t>
        </is>
      </c>
    </row>
    <row r="162">
      <c r="A162" s="56" t="inlineStr">
        <is>
          <t>Base Insumos</t>
        </is>
      </c>
      <c r="B162" s="36" t="inlineStr">
        <is>
          <t>🟠 Média</t>
        </is>
      </c>
      <c r="C162" s="34" t="inlineStr">
        <is>
          <t>001158</t>
        </is>
      </c>
      <c r="D162" s="35" t="inlineStr">
        <is>
          <t>SKOL BEATS SENSES LONG</t>
        </is>
      </c>
      <c r="E162" s="57" t="inlineStr">
        <is>
          <t>Custo unitário = R$ 0,00</t>
        </is>
      </c>
      <c r="F162" s="58" t="inlineStr">
        <is>
          <t>Confirmar última compra no Protheus ou atualizar manualmente</t>
        </is>
      </c>
      <c r="G162" s="59" t="inlineStr">
        <is>
          <t>Pendente</t>
        </is>
      </c>
    </row>
    <row r="163">
      <c r="A163" s="56" t="inlineStr">
        <is>
          <t>Base Insumos</t>
        </is>
      </c>
      <c r="B163" s="36" t="inlineStr">
        <is>
          <t>🟠 Média</t>
        </is>
      </c>
      <c r="C163" s="34" t="inlineStr">
        <is>
          <t>000363</t>
        </is>
      </c>
      <c r="D163" s="35" t="inlineStr">
        <is>
          <t>STEINHAEGER IMPORTADO 700ML</t>
        </is>
      </c>
      <c r="E163" s="57" t="inlineStr">
        <is>
          <t>Custo unitário = R$ 0,00</t>
        </is>
      </c>
      <c r="F163" s="58" t="inlineStr">
        <is>
          <t>Confirmar última compra no Protheus ou atualizar manualmente</t>
        </is>
      </c>
      <c r="G163" s="59" t="inlineStr">
        <is>
          <t>Pendente</t>
        </is>
      </c>
    </row>
    <row r="164">
      <c r="A164" s="56" t="inlineStr">
        <is>
          <t>Base Insumos</t>
        </is>
      </c>
      <c r="B164" s="36" t="inlineStr">
        <is>
          <t>🟠 Média</t>
        </is>
      </c>
      <c r="C164" s="34" t="inlineStr">
        <is>
          <t>001992</t>
        </is>
      </c>
      <c r="D164" s="35" t="inlineStr">
        <is>
          <t>SUCO DEL VALLE MANGA LATA</t>
        </is>
      </c>
      <c r="E164" s="57" t="inlineStr">
        <is>
          <t>Custo unitário = R$ 0,00</t>
        </is>
      </c>
      <c r="F164" s="58" t="inlineStr">
        <is>
          <t>Confirmar última compra no Protheus ou atualizar manualmente</t>
        </is>
      </c>
      <c r="G164" s="59" t="inlineStr">
        <is>
          <t>Pendente</t>
        </is>
      </c>
    </row>
    <row r="165">
      <c r="A165" s="56" t="inlineStr">
        <is>
          <t>Base Insumos</t>
        </is>
      </c>
      <c r="B165" s="36" t="inlineStr">
        <is>
          <t>🟠 Média</t>
        </is>
      </c>
      <c r="C165" s="34" t="inlineStr">
        <is>
          <t>001379</t>
        </is>
      </c>
      <c r="D165" s="35" t="inlineStr">
        <is>
          <t>TORRADA</t>
        </is>
      </c>
      <c r="E165" s="57" t="inlineStr">
        <is>
          <t>Custo unitário = R$ 0,00</t>
        </is>
      </c>
      <c r="F165" s="58" t="inlineStr">
        <is>
          <t>Confirmar última compra no Protheus ou atualizar manualmente</t>
        </is>
      </c>
      <c r="G165" s="59" t="inlineStr">
        <is>
          <t>Pendente</t>
        </is>
      </c>
    </row>
    <row r="166">
      <c r="A166" s="56" t="inlineStr">
        <is>
          <t>Base Insumos</t>
        </is>
      </c>
      <c r="B166" s="36" t="inlineStr">
        <is>
          <t>🟠 Média</t>
        </is>
      </c>
      <c r="C166" s="34" t="inlineStr">
        <is>
          <t>002250</t>
        </is>
      </c>
      <c r="D166" s="35" t="inlineStr">
        <is>
          <t>VINHO ALAMOS MALBEC</t>
        </is>
      </c>
      <c r="E166" s="57" t="inlineStr">
        <is>
          <t>Custo unitário = R$ 0,00</t>
        </is>
      </c>
      <c r="F166" s="58" t="inlineStr">
        <is>
          <t>Confirmar última compra no Protheus ou atualizar manualmente</t>
        </is>
      </c>
      <c r="G166" s="59" t="inlineStr">
        <is>
          <t>Pendente</t>
        </is>
      </c>
    </row>
    <row r="167">
      <c r="A167" s="56" t="inlineStr">
        <is>
          <t>Base Insumos</t>
        </is>
      </c>
      <c r="B167" s="36" t="inlineStr">
        <is>
          <t>🟠 Média</t>
        </is>
      </c>
      <c r="C167" s="34" t="inlineStr">
        <is>
          <t>000371</t>
        </is>
      </c>
      <c r="D167" s="35" t="inlineStr">
        <is>
          <t>VINHO ANTARES CARMENERE 750ML</t>
        </is>
      </c>
      <c r="E167" s="57" t="inlineStr">
        <is>
          <t>Custo unitário = R$ 0,00</t>
        </is>
      </c>
      <c r="F167" s="58" t="inlineStr">
        <is>
          <t>Confirmar última compra no Protheus ou atualizar manualmente</t>
        </is>
      </c>
      <c r="G167" s="59" t="inlineStr">
        <is>
          <t>Pendente</t>
        </is>
      </c>
    </row>
    <row r="168">
      <c r="A168" s="56" t="inlineStr">
        <is>
          <t>Base Insumos</t>
        </is>
      </c>
      <c r="B168" s="36" t="inlineStr">
        <is>
          <t>🟠 Média</t>
        </is>
      </c>
      <c r="C168" s="34" t="inlineStr">
        <is>
          <t>009526</t>
        </is>
      </c>
      <c r="D168" s="35" t="inlineStr">
        <is>
          <t>VINHO ARGENTINO ALFREDO ROCA CHARDONNAY 375ML</t>
        </is>
      </c>
      <c r="E168" s="57" t="inlineStr">
        <is>
          <t>Custo unitário = R$ 0,00</t>
        </is>
      </c>
      <c r="F168" s="58" t="inlineStr">
        <is>
          <t>Confirmar última compra no Protheus ou atualizar manualmente</t>
        </is>
      </c>
      <c r="G168" s="59" t="inlineStr">
        <is>
          <t>Pendente</t>
        </is>
      </c>
    </row>
    <row r="169">
      <c r="A169" s="56" t="inlineStr">
        <is>
          <t>Base Insumos</t>
        </is>
      </c>
      <c r="B169" s="36" t="inlineStr">
        <is>
          <t>🟠 Média</t>
        </is>
      </c>
      <c r="C169" s="34" t="inlineStr">
        <is>
          <t>009525</t>
        </is>
      </c>
      <c r="D169" s="35" t="inlineStr">
        <is>
          <t>VINHO ARGENTINO ALFREDO ROCA MALBEC 375ML</t>
        </is>
      </c>
      <c r="E169" s="57" t="inlineStr">
        <is>
          <t>Custo unitário = R$ 0,00</t>
        </is>
      </c>
      <c r="F169" s="58" t="inlineStr">
        <is>
          <t>Confirmar última compra no Protheus ou atualizar manualmente</t>
        </is>
      </c>
      <c r="G169" s="59" t="inlineStr">
        <is>
          <t>Pendente</t>
        </is>
      </c>
    </row>
    <row r="170">
      <c r="A170" s="56" t="inlineStr">
        <is>
          <t>Base Insumos</t>
        </is>
      </c>
      <c r="B170" s="36" t="inlineStr">
        <is>
          <t>🟠 Média</t>
        </is>
      </c>
      <c r="C170" s="34" t="inlineStr">
        <is>
          <t>009534</t>
        </is>
      </c>
      <c r="D170" s="35" t="inlineStr">
        <is>
          <t>VINHO ARGENTINO PORTENO MALBEC 750ML</t>
        </is>
      </c>
      <c r="E170" s="57" t="inlineStr">
        <is>
          <t>Custo unitário = R$ 0,00</t>
        </is>
      </c>
      <c r="F170" s="58" t="inlineStr">
        <is>
          <t>Confirmar última compra no Protheus ou atualizar manualmente</t>
        </is>
      </c>
      <c r="G170" s="59" t="inlineStr">
        <is>
          <t>Pendente</t>
        </is>
      </c>
    </row>
    <row r="171">
      <c r="A171" s="56" t="inlineStr">
        <is>
          <t>Base Insumos</t>
        </is>
      </c>
      <c r="B171" s="36" t="inlineStr">
        <is>
          <t>🟠 Média</t>
        </is>
      </c>
      <c r="C171" s="34" t="inlineStr">
        <is>
          <t>009520</t>
        </is>
      </c>
      <c r="D171" s="35" t="inlineStr">
        <is>
          <t>VINHO BCO  PORTUGUES TERRA DEL REI ALENTEJO 750ML</t>
        </is>
      </c>
      <c r="E171" s="57" t="inlineStr">
        <is>
          <t>Custo unitário = R$ 0,00</t>
        </is>
      </c>
      <c r="F171" s="58" t="inlineStr">
        <is>
          <t>Confirmar última compra no Protheus ou atualizar manualmente</t>
        </is>
      </c>
      <c r="G171" s="59" t="inlineStr">
        <is>
          <t>Pendente</t>
        </is>
      </c>
    </row>
    <row r="172">
      <c r="A172" s="56" t="inlineStr">
        <is>
          <t>Base Insumos</t>
        </is>
      </c>
      <c r="B172" s="36" t="inlineStr">
        <is>
          <t>🟠 Média</t>
        </is>
      </c>
      <c r="C172" s="34" t="inlineStr">
        <is>
          <t>001311</t>
        </is>
      </c>
      <c r="D172" s="35" t="inlineStr">
        <is>
          <t>VINHO CASA DE TANGO 750 ML TT</t>
        </is>
      </c>
      <c r="E172" s="57" t="inlineStr">
        <is>
          <t>Custo unitário = R$ 0,00</t>
        </is>
      </c>
      <c r="F172" s="58" t="inlineStr">
        <is>
          <t>Confirmar última compra no Protheus ou atualizar manualmente</t>
        </is>
      </c>
      <c r="G172" s="59" t="inlineStr">
        <is>
          <t>Pendente</t>
        </is>
      </c>
    </row>
    <row r="173">
      <c r="A173" s="56" t="inlineStr">
        <is>
          <t>Base Insumos</t>
        </is>
      </c>
      <c r="B173" s="36" t="inlineStr">
        <is>
          <t>🟠 Média</t>
        </is>
      </c>
      <c r="C173" s="34" t="inlineStr">
        <is>
          <t>009522</t>
        </is>
      </c>
      <c r="D173" s="35" t="inlineStr">
        <is>
          <t>VINHO CHILENO VISTANA CABERNET MERLOT 375ML</t>
        </is>
      </c>
      <c r="E173" s="57" t="inlineStr">
        <is>
          <t>Custo unitário = R$ 0,00</t>
        </is>
      </c>
      <c r="F173" s="58" t="inlineStr">
        <is>
          <t>Confirmar última compra no Protheus ou atualizar manualmente</t>
        </is>
      </c>
      <c r="G173" s="59" t="inlineStr">
        <is>
          <t>Pendente</t>
        </is>
      </c>
    </row>
    <row r="174">
      <c r="A174" s="56" t="inlineStr">
        <is>
          <t>Base Insumos</t>
        </is>
      </c>
      <c r="B174" s="36" t="inlineStr">
        <is>
          <t>🟠 Média</t>
        </is>
      </c>
      <c r="C174" s="34" t="inlineStr">
        <is>
          <t>000271</t>
        </is>
      </c>
      <c r="D174" s="35" t="inlineStr">
        <is>
          <t>VINHO CHILENO VISTANA CABERNET SAU.MERLOT 750ML</t>
        </is>
      </c>
      <c r="E174" s="57" t="inlineStr">
        <is>
          <t>Custo unitário = R$ 0,00</t>
        </is>
      </c>
      <c r="F174" s="58" t="inlineStr">
        <is>
          <t>Confirmar última compra no Protheus ou atualizar manualmente</t>
        </is>
      </c>
      <c r="G174" s="59" t="inlineStr">
        <is>
          <t>Pendente</t>
        </is>
      </c>
    </row>
    <row r="175">
      <c r="A175" s="56" t="inlineStr">
        <is>
          <t>Base Insumos</t>
        </is>
      </c>
      <c r="B175" s="36" t="inlineStr">
        <is>
          <t>🟠 Média</t>
        </is>
      </c>
      <c r="C175" s="34" t="inlineStr">
        <is>
          <t>009521</t>
        </is>
      </c>
      <c r="D175" s="35" t="inlineStr">
        <is>
          <t>VINHO CHILENO VISTANA CABERNET SAUVINGON 375ML</t>
        </is>
      </c>
      <c r="E175" s="57" t="inlineStr">
        <is>
          <t>Custo unitário = R$ 0,00</t>
        </is>
      </c>
      <c r="F175" s="58" t="inlineStr">
        <is>
          <t>Confirmar última compra no Protheus ou atualizar manualmente</t>
        </is>
      </c>
      <c r="G175" s="59" t="inlineStr">
        <is>
          <t>Pendente</t>
        </is>
      </c>
    </row>
    <row r="176">
      <c r="A176" s="56" t="inlineStr">
        <is>
          <t>Base Insumos</t>
        </is>
      </c>
      <c r="B176" s="36" t="inlineStr">
        <is>
          <t>🟠 Média</t>
        </is>
      </c>
      <c r="C176" s="34" t="inlineStr">
        <is>
          <t>000272</t>
        </is>
      </c>
      <c r="D176" s="35" t="inlineStr">
        <is>
          <t>VINHO CHILENO VISTANA SAU.BLANC SEMILON 375ML</t>
        </is>
      </c>
      <c r="E176" s="57" t="inlineStr">
        <is>
          <t>Custo unitário = R$ 0,00</t>
        </is>
      </c>
      <c r="F176" s="58" t="inlineStr">
        <is>
          <t>Confirmar última compra no Protheus ou atualizar manualmente</t>
        </is>
      </c>
      <c r="G176" s="59" t="inlineStr">
        <is>
          <t>Pendente</t>
        </is>
      </c>
    </row>
    <row r="177">
      <c r="A177" s="56" t="inlineStr">
        <is>
          <t>Base Insumos</t>
        </is>
      </c>
      <c r="B177" s="36" t="inlineStr">
        <is>
          <t>🟠 Média</t>
        </is>
      </c>
      <c r="C177" s="34" t="inlineStr">
        <is>
          <t>009523</t>
        </is>
      </c>
      <c r="D177" s="35" t="inlineStr">
        <is>
          <t>VINHO CHILENO VISTANA SAUVINGON BLANC 375ML</t>
        </is>
      </c>
      <c r="E177" s="57" t="inlineStr">
        <is>
          <t>Custo unitário = R$ 0,00</t>
        </is>
      </c>
      <c r="F177" s="58" t="inlineStr">
        <is>
          <t>Confirmar última compra no Protheus ou atualizar manualmente</t>
        </is>
      </c>
      <c r="G177" s="59" t="inlineStr">
        <is>
          <t>Pendente</t>
        </is>
      </c>
    </row>
    <row r="178">
      <c r="A178" s="56" t="inlineStr">
        <is>
          <t>Base Insumos</t>
        </is>
      </c>
      <c r="B178" s="36" t="inlineStr">
        <is>
          <t>🟠 Média</t>
        </is>
      </c>
      <c r="C178" s="34" t="inlineStr">
        <is>
          <t>009524</t>
        </is>
      </c>
      <c r="D178" s="35" t="inlineStr">
        <is>
          <t>VINHO CHILENO VISTANA SEMILLON 375ML</t>
        </is>
      </c>
      <c r="E178" s="57" t="inlineStr">
        <is>
          <t>Custo unitário = R$ 0,00</t>
        </is>
      </c>
      <c r="F178" s="58" t="inlineStr">
        <is>
          <t>Confirmar última compra no Protheus ou atualizar manualmente</t>
        </is>
      </c>
      <c r="G178" s="59" t="inlineStr">
        <is>
          <t>Pendente</t>
        </is>
      </c>
    </row>
    <row r="179">
      <c r="A179" s="56" t="inlineStr">
        <is>
          <t>Base Insumos</t>
        </is>
      </c>
      <c r="B179" s="36" t="inlineStr">
        <is>
          <t>🟠 Média</t>
        </is>
      </c>
      <c r="C179" s="34" t="inlineStr">
        <is>
          <t>009529</t>
        </is>
      </c>
      <c r="D179" s="35" t="inlineStr">
        <is>
          <t>VINHO ESPANHOL PATA NEGRA ORO BRANCO 750 ML</t>
        </is>
      </c>
      <c r="E179" s="57" t="inlineStr">
        <is>
          <t>Custo unitário = R$ 0,00</t>
        </is>
      </c>
      <c r="F179" s="58" t="inlineStr">
        <is>
          <t>Confirmar última compra no Protheus ou atualizar manualmente</t>
        </is>
      </c>
      <c r="G179" s="59" t="inlineStr">
        <is>
          <t>Pendente</t>
        </is>
      </c>
    </row>
    <row r="180">
      <c r="A180" s="56" t="inlineStr">
        <is>
          <t>Base Insumos</t>
        </is>
      </c>
      <c r="B180" s="36" t="inlineStr">
        <is>
          <t>🟠 Média</t>
        </is>
      </c>
      <c r="C180" s="34" t="inlineStr">
        <is>
          <t>009528</t>
        </is>
      </c>
      <c r="D180" s="35" t="inlineStr">
        <is>
          <t>VINHO ESPANHOL PATA NEGRA ORO ROSE 750ML</t>
        </is>
      </c>
      <c r="E180" s="57" t="inlineStr">
        <is>
          <t>Custo unitário = R$ 0,00</t>
        </is>
      </c>
      <c r="F180" s="58" t="inlineStr">
        <is>
          <t>Confirmar última compra no Protheus ou atualizar manualmente</t>
        </is>
      </c>
      <c r="G180" s="59" t="inlineStr">
        <is>
          <t>Pendente</t>
        </is>
      </c>
    </row>
    <row r="181">
      <c r="A181" s="56" t="inlineStr">
        <is>
          <t>Base Insumos</t>
        </is>
      </c>
      <c r="B181" s="36" t="inlineStr">
        <is>
          <t>🟠 Média</t>
        </is>
      </c>
      <c r="C181" s="34" t="inlineStr">
        <is>
          <t>009527</t>
        </is>
      </c>
      <c r="D181" s="35" t="inlineStr">
        <is>
          <t>VINHO ESPANHOL PATA NEGRA ORO TEMPRANILLO 750ML</t>
        </is>
      </c>
      <c r="E181" s="57" t="inlineStr">
        <is>
          <t>Custo unitário = R$ 0,00</t>
        </is>
      </c>
      <c r="F181" s="58" t="inlineStr">
        <is>
          <t>Confirmar última compra no Protheus ou atualizar manualmente</t>
        </is>
      </c>
      <c r="G181" s="59" t="inlineStr">
        <is>
          <t>Pendente</t>
        </is>
      </c>
    </row>
    <row r="182">
      <c r="A182" s="56" t="inlineStr">
        <is>
          <t>Base Insumos</t>
        </is>
      </c>
      <c r="B182" s="36" t="inlineStr">
        <is>
          <t>🟠 Média</t>
        </is>
      </c>
      <c r="C182" s="34" t="inlineStr">
        <is>
          <t>009532</t>
        </is>
      </c>
      <c r="D182" s="35" t="inlineStr">
        <is>
          <t>VINHO FRANCES MONTMEYRAC BRANCO 750ML</t>
        </is>
      </c>
      <c r="E182" s="57" t="inlineStr">
        <is>
          <t>Custo unitário = R$ 0,00</t>
        </is>
      </c>
      <c r="F182" s="58" t="inlineStr">
        <is>
          <t>Confirmar última compra no Protheus ou atualizar manualmente</t>
        </is>
      </c>
      <c r="G182" s="59" t="inlineStr">
        <is>
          <t>Pendente</t>
        </is>
      </c>
    </row>
    <row r="183">
      <c r="A183" s="56" t="inlineStr">
        <is>
          <t>Base Insumos</t>
        </is>
      </c>
      <c r="B183" s="36" t="inlineStr">
        <is>
          <t>🟠 Média</t>
        </is>
      </c>
      <c r="C183" s="34" t="inlineStr">
        <is>
          <t>009533</t>
        </is>
      </c>
      <c r="D183" s="35" t="inlineStr">
        <is>
          <t>VINHO FRANCES MONTMEYRAC ROSE 750 ML</t>
        </is>
      </c>
      <c r="E183" s="57" t="inlineStr">
        <is>
          <t>Custo unitário = R$ 0,00</t>
        </is>
      </c>
      <c r="F183" s="58" t="inlineStr">
        <is>
          <t>Confirmar última compra no Protheus ou atualizar manualmente</t>
        </is>
      </c>
      <c r="G183" s="59" t="inlineStr">
        <is>
          <t>Pendente</t>
        </is>
      </c>
    </row>
    <row r="184">
      <c r="A184" s="56" t="inlineStr">
        <is>
          <t>Base Insumos</t>
        </is>
      </c>
      <c r="B184" s="36" t="inlineStr">
        <is>
          <t>🟠 Média</t>
        </is>
      </c>
      <c r="C184" s="34" t="inlineStr">
        <is>
          <t>009531</t>
        </is>
      </c>
      <c r="D184" s="35" t="inlineStr">
        <is>
          <t>VINHO FRANCES MONTMEYRAC TINTO 750 ML</t>
        </is>
      </c>
      <c r="E184" s="57" t="inlineStr">
        <is>
          <t>Custo unitário = R$ 0,00</t>
        </is>
      </c>
      <c r="F184" s="58" t="inlineStr">
        <is>
          <t>Confirmar última compra no Protheus ou atualizar manualmente</t>
        </is>
      </c>
      <c r="G184" s="59" t="inlineStr">
        <is>
          <t>Pendente</t>
        </is>
      </c>
    </row>
    <row r="185">
      <c r="A185" s="56" t="inlineStr">
        <is>
          <t>Base Insumos</t>
        </is>
      </c>
      <c r="B185" s="36" t="inlineStr">
        <is>
          <t>🟠 Média</t>
        </is>
      </c>
      <c r="C185" s="34" t="inlineStr">
        <is>
          <t>009530</t>
        </is>
      </c>
      <c r="D185" s="35" t="inlineStr">
        <is>
          <t>VINHO ITALIANO LAMBRUSCO VILLA FABRIZIA TINTO 750M</t>
        </is>
      </c>
      <c r="E185" s="57" t="inlineStr">
        <is>
          <t>Custo unitário = R$ 0,00</t>
        </is>
      </c>
      <c r="F185" s="58" t="inlineStr">
        <is>
          <t>Confirmar última compra no Protheus ou atualizar manualmente</t>
        </is>
      </c>
      <c r="G185" s="59" t="inlineStr">
        <is>
          <t>Pendente</t>
        </is>
      </c>
    </row>
    <row r="186">
      <c r="A186" s="56" t="inlineStr">
        <is>
          <t>Base Insumos</t>
        </is>
      </c>
      <c r="B186" s="36" t="inlineStr">
        <is>
          <t>🟠 Média</t>
        </is>
      </c>
      <c r="C186" s="34" t="inlineStr">
        <is>
          <t>009535</t>
        </is>
      </c>
      <c r="D186" s="35" t="inlineStr">
        <is>
          <t>VINHO ITALIANO TARVENELLO BIANCO D'ITALIA 750 ML</t>
        </is>
      </c>
      <c r="E186" s="57" t="inlineStr">
        <is>
          <t>Custo unitário = R$ 0,00</t>
        </is>
      </c>
      <c r="F186" s="58" t="inlineStr">
        <is>
          <t>Confirmar última compra no Protheus ou atualizar manualmente</t>
        </is>
      </c>
      <c r="G186" s="59" t="inlineStr">
        <is>
          <t>Pendente</t>
        </is>
      </c>
    </row>
    <row r="187">
      <c r="A187" s="56" t="inlineStr">
        <is>
          <t>Base Insumos</t>
        </is>
      </c>
      <c r="B187" s="36" t="inlineStr">
        <is>
          <t>🟠 Média</t>
        </is>
      </c>
      <c r="C187" s="34" t="inlineStr">
        <is>
          <t>009536</t>
        </is>
      </c>
      <c r="D187" s="35" t="inlineStr">
        <is>
          <t>VINHO ITALIANO TARVENELLO ROSSO D'ITALIA 750ML</t>
        </is>
      </c>
      <c r="E187" s="57" t="inlineStr">
        <is>
          <t>Custo unitário = R$ 0,00</t>
        </is>
      </c>
      <c r="F187" s="58" t="inlineStr">
        <is>
          <t>Confirmar última compra no Protheus ou atualizar manualmente</t>
        </is>
      </c>
      <c r="G187" s="59" t="inlineStr">
        <is>
          <t>Pendente</t>
        </is>
      </c>
    </row>
    <row r="188">
      <c r="A188" s="56" t="inlineStr">
        <is>
          <t>Base Insumos</t>
        </is>
      </c>
      <c r="B188" s="36" t="inlineStr">
        <is>
          <t>🟠 Média</t>
        </is>
      </c>
      <c r="C188" s="34" t="inlineStr">
        <is>
          <t>009581</t>
        </is>
      </c>
      <c r="D188" s="35" t="inlineStr">
        <is>
          <t>VINHO SAN SIMON MONASTREL 750 ML</t>
        </is>
      </c>
      <c r="E188" s="57" t="inlineStr">
        <is>
          <t>Custo unitário = R$ 0,00</t>
        </is>
      </c>
      <c r="F188" s="58" t="inlineStr">
        <is>
          <t>Confirmar última compra no Protheus ou atualizar manualmente</t>
        </is>
      </c>
      <c r="G188" s="59" t="inlineStr">
        <is>
          <t>Pendente</t>
        </is>
      </c>
    </row>
    <row r="189">
      <c r="A189" s="56" t="inlineStr">
        <is>
          <t>Base Insumos</t>
        </is>
      </c>
      <c r="B189" s="36" t="inlineStr">
        <is>
          <t>🟠 Média</t>
        </is>
      </c>
      <c r="C189" s="34" t="inlineStr">
        <is>
          <t>009519</t>
        </is>
      </c>
      <c r="D189" s="35" t="inlineStr">
        <is>
          <t>VINHO TINTO PORTUGUES TERRA DEL REI ALENTEJO 750ML</t>
        </is>
      </c>
      <c r="E189" s="57" t="inlineStr">
        <is>
          <t>Custo unitário = R$ 0,00</t>
        </is>
      </c>
      <c r="F189" s="58" t="inlineStr">
        <is>
          <t>Confirmar última compra no Protheus ou atualizar manualmente</t>
        </is>
      </c>
      <c r="G189" s="59" t="inlineStr">
        <is>
          <t>Pendente</t>
        </is>
      </c>
    </row>
    <row r="190">
      <c r="A190" s="56" t="inlineStr">
        <is>
          <t>Base Insumos</t>
        </is>
      </c>
      <c r="B190" s="36" t="inlineStr">
        <is>
          <t>🟠 Média</t>
        </is>
      </c>
      <c r="C190" s="34" t="inlineStr">
        <is>
          <t>001665</t>
        </is>
      </c>
      <c r="D190" s="35" t="inlineStr">
        <is>
          <t>VINHO TINTO SECO GALO REI</t>
        </is>
      </c>
      <c r="E190" s="57" t="inlineStr">
        <is>
          <t>Custo unitário = R$ 0,00</t>
        </is>
      </c>
      <c r="F190" s="58" t="inlineStr">
        <is>
          <t>Confirmar última compra no Protheus ou atualizar manualmente</t>
        </is>
      </c>
      <c r="G190" s="59" t="inlineStr">
        <is>
          <t>Pendente</t>
        </is>
      </c>
    </row>
    <row r="191">
      <c r="A191" s="56" t="inlineStr">
        <is>
          <t>Base Insumos</t>
        </is>
      </c>
      <c r="B191" s="36" t="inlineStr">
        <is>
          <t>🟠 Média</t>
        </is>
      </c>
      <c r="C191" s="34" t="inlineStr">
        <is>
          <t>000699</t>
        </is>
      </c>
      <c r="D191" s="35" t="inlineStr">
        <is>
          <t>VODKA ABSOLUT FLAVOR PEACH 750ML</t>
        </is>
      </c>
      <c r="E191" s="57" t="inlineStr">
        <is>
          <t>Custo unitário = R$ 0,00</t>
        </is>
      </c>
      <c r="F191" s="58" t="inlineStr">
        <is>
          <t>Confirmar última compra no Protheus ou atualizar manualmente</t>
        </is>
      </c>
      <c r="G191" s="59" t="inlineStr">
        <is>
          <t>Pendente</t>
        </is>
      </c>
    </row>
    <row r="192">
      <c r="A192" s="56" t="inlineStr">
        <is>
          <t>Base Insumos</t>
        </is>
      </c>
      <c r="B192" s="36" t="inlineStr">
        <is>
          <t>🟠 Média</t>
        </is>
      </c>
      <c r="C192" s="34" t="inlineStr">
        <is>
          <t>009832</t>
        </is>
      </c>
      <c r="D192" s="35" t="inlineStr">
        <is>
          <t>XAROPE FRUTAS VERMELHAS 3LT</t>
        </is>
      </c>
      <c r="E192" s="57" t="inlineStr">
        <is>
          <t>Custo unitário = R$ 0,00</t>
        </is>
      </c>
      <c r="F192" s="58" t="inlineStr">
        <is>
          <t>Confirmar última compra no Protheus ou atualizar manualmente</t>
        </is>
      </c>
      <c r="G192" s="59" t="inlineStr">
        <is>
          <t>Pendente</t>
        </is>
      </c>
    </row>
    <row r="193">
      <c r="A193" s="56" t="inlineStr">
        <is>
          <t>Base Insumos</t>
        </is>
      </c>
      <c r="B193" s="36" t="inlineStr">
        <is>
          <t>🟠 Média</t>
        </is>
      </c>
      <c r="C193" s="34" t="inlineStr">
        <is>
          <t>009833</t>
        </is>
      </c>
      <c r="D193" s="35" t="inlineStr">
        <is>
          <t>XAROPE PESSEGO 3LT</t>
        </is>
      </c>
      <c r="E193" s="57" t="inlineStr">
        <is>
          <t>Custo unitário = R$ 0,00</t>
        </is>
      </c>
      <c r="F193" s="58" t="inlineStr">
        <is>
          <t>Confirmar última compra no Protheus ou atualizar manualmente</t>
        </is>
      </c>
      <c r="G193" s="59" t="inlineStr">
        <is>
          <t>Pendente</t>
        </is>
      </c>
    </row>
    <row r="194">
      <c r="A194" s="56" t="inlineStr">
        <is>
          <t>Base Insumos</t>
        </is>
      </c>
      <c r="B194" s="36" t="inlineStr">
        <is>
          <t>🟠 Média</t>
        </is>
      </c>
      <c r="C194" s="34" t="inlineStr">
        <is>
          <t>009831</t>
        </is>
      </c>
      <c r="D194" s="35" t="inlineStr">
        <is>
          <t>XAROPE TANGERINA 3LT</t>
        </is>
      </c>
      <c r="E194" s="57" t="inlineStr">
        <is>
          <t>Custo unitário = R$ 0,00</t>
        </is>
      </c>
      <c r="F194" s="58" t="inlineStr">
        <is>
          <t>Confirmar última compra no Protheus ou atualizar manualmente</t>
        </is>
      </c>
      <c r="G194" s="59" t="inlineStr">
        <is>
          <t>Pendente</t>
        </is>
      </c>
    </row>
    <row r="195">
      <c r="A195" s="56" t="inlineStr">
        <is>
          <t>Vendidos</t>
        </is>
      </c>
      <c r="B195" s="36" t="inlineStr">
        <is>
          <t>🟠 Média</t>
        </is>
      </c>
      <c r="C195" s="34" t="inlineStr">
        <is>
          <t>90038</t>
        </is>
      </c>
      <c r="D195" s="35" t="inlineStr">
        <is>
          <t>CAIPIRINHA CACHAÇA NACIONAL HH</t>
        </is>
      </c>
      <c r="E195" s="57" t="inlineStr">
        <is>
          <t>Versão Happy Hour sem cadastro no Protheus</t>
        </is>
      </c>
      <c r="F195" s="58" t="inlineStr">
        <is>
          <t>Cadastrar código GV no Protheus ou confirmar se é variante de outro PA</t>
        </is>
      </c>
      <c r="G195" s="59" t="inlineStr">
        <is>
          <t>Pendente</t>
        </is>
      </c>
    </row>
    <row r="196">
      <c r="A196" s="56" t="inlineStr">
        <is>
          <t>Vendidos</t>
        </is>
      </c>
      <c r="B196" s="36" t="inlineStr">
        <is>
          <t>🟠 Média</t>
        </is>
      </c>
      <c r="C196" s="34" t="inlineStr">
        <is>
          <t>9003177</t>
        </is>
      </c>
      <c r="D196" s="35" t="inlineStr">
        <is>
          <t>CAIPIRINHA SABOR DE MINAS HH</t>
        </is>
      </c>
      <c r="E196" s="57" t="inlineStr">
        <is>
          <t>Versão Happy Hour sem cadastro no Protheus</t>
        </is>
      </c>
      <c r="F196" s="58" t="inlineStr">
        <is>
          <t>Cadastrar código GV no Protheus ou confirmar se é variante de outro PA</t>
        </is>
      </c>
      <c r="G196" s="59" t="inlineStr">
        <is>
          <t>Pendente</t>
        </is>
      </c>
    </row>
    <row r="197">
      <c r="A197" s="56" t="inlineStr">
        <is>
          <t>Vendidos</t>
        </is>
      </c>
      <c r="B197" s="36" t="inlineStr">
        <is>
          <t>🟠 Média</t>
        </is>
      </c>
      <c r="C197" s="34" t="inlineStr">
        <is>
          <t>2485</t>
        </is>
      </c>
      <c r="D197" s="35" t="inlineStr">
        <is>
          <t>CAIPIRINHA ABSOLUT HH</t>
        </is>
      </c>
      <c r="E197" s="57" t="inlineStr">
        <is>
          <t>Versão Happy Hour sem cadastro no Protheus</t>
        </is>
      </c>
      <c r="F197" s="58" t="inlineStr">
        <is>
          <t>Cadastrar código GV no Protheus ou confirmar se é variante de outro PA</t>
        </is>
      </c>
      <c r="G197" s="59" t="inlineStr">
        <is>
          <t>Pendente</t>
        </is>
      </c>
    </row>
    <row r="198">
      <c r="A198" s="56" t="inlineStr">
        <is>
          <t>Vendidos</t>
        </is>
      </c>
      <c r="B198" s="36" t="inlineStr">
        <is>
          <t>🟠 Média</t>
        </is>
      </c>
      <c r="C198" s="34" t="inlineStr">
        <is>
          <t>9003179</t>
        </is>
      </c>
      <c r="D198" s="35" t="inlineStr">
        <is>
          <t>CAIPIRINHA DO QUINTAL MEL E LIMÃO  HH</t>
        </is>
      </c>
      <c r="E198" s="57" t="inlineStr">
        <is>
          <t>Versão Happy Hour sem cadastro no Protheus</t>
        </is>
      </c>
      <c r="F198" s="58" t="inlineStr">
        <is>
          <t>Cadastrar código GV no Protheus ou confirmar se é variante de outro PA</t>
        </is>
      </c>
      <c r="G198" s="59" t="inlineStr">
        <is>
          <t>Pendente</t>
        </is>
      </c>
    </row>
    <row r="199">
      <c r="A199" s="56" t="inlineStr">
        <is>
          <t>Vendidos</t>
        </is>
      </c>
      <c r="B199" s="36" t="inlineStr">
        <is>
          <t>🟠 Média</t>
        </is>
      </c>
      <c r="C199" s="34" t="inlineStr">
        <is>
          <t>9003178</t>
        </is>
      </c>
      <c r="D199" s="35" t="inlineStr">
        <is>
          <t>CAIPIRINHA DO QUINTAL OURO  HH</t>
        </is>
      </c>
      <c r="E199" s="57" t="inlineStr">
        <is>
          <t>Versão Happy Hour sem cadastro no Protheus</t>
        </is>
      </c>
      <c r="F199" s="58" t="inlineStr">
        <is>
          <t>Cadastrar código GV no Protheus ou confirmar se é variante de outro PA</t>
        </is>
      </c>
      <c r="G199" s="59" t="inlineStr">
        <is>
          <t>Pendente</t>
        </is>
      </c>
    </row>
    <row r="200">
      <c r="A200" s="56" t="inlineStr">
        <is>
          <t>Vendidos</t>
        </is>
      </c>
      <c r="B200" s="36" t="inlineStr">
        <is>
          <t>🟠 Média</t>
        </is>
      </c>
      <c r="C200" s="34" t="inlineStr">
        <is>
          <t>90041</t>
        </is>
      </c>
      <c r="D200" s="35" t="inlineStr">
        <is>
          <t>CAIPIRINHA SÃO FRANCISCO HH</t>
        </is>
      </c>
      <c r="E200" s="57" t="inlineStr">
        <is>
          <t>Versão Happy Hour sem cadastro no Protheus</t>
        </is>
      </c>
      <c r="F200" s="58" t="inlineStr">
        <is>
          <t>Cadastrar código GV no Protheus ou confirmar se é variante de outro PA</t>
        </is>
      </c>
      <c r="G200" s="59" t="inlineStr">
        <is>
          <t>Pendente</t>
        </is>
      </c>
    </row>
    <row r="201">
      <c r="A201" s="56" t="inlineStr">
        <is>
          <t>Vendidos</t>
        </is>
      </c>
      <c r="B201" s="36" t="inlineStr">
        <is>
          <t>🟠 Média</t>
        </is>
      </c>
      <c r="C201" s="34" t="inlineStr">
        <is>
          <t>8158</t>
        </is>
      </c>
      <c r="D201" s="35" t="inlineStr">
        <is>
          <t>CAIPIRINHA DO QUINTAL  PRATA  HH</t>
        </is>
      </c>
      <c r="E201" s="57" t="inlineStr">
        <is>
          <t>Versão Happy Hour sem cadastro no Protheus</t>
        </is>
      </c>
      <c r="F201" s="58" t="inlineStr">
        <is>
          <t>Cadastrar código GV no Protheus ou confirmar se é variante de outro PA</t>
        </is>
      </c>
      <c r="G201" s="59" t="inlineStr">
        <is>
          <t>Pendente</t>
        </is>
      </c>
    </row>
    <row r="202">
      <c r="A202" s="56" t="inlineStr">
        <is>
          <t>Vendidos</t>
        </is>
      </c>
      <c r="B202" s="36" t="inlineStr">
        <is>
          <t>🟠 Média</t>
        </is>
      </c>
      <c r="C202" s="34" t="inlineStr">
        <is>
          <t>99390</t>
        </is>
      </c>
      <c r="D202" s="35" t="inlineStr">
        <is>
          <t>[DELIVERY] Refrigerante</t>
        </is>
      </c>
      <c r="E202" s="57" t="inlineStr">
        <is>
          <t>Produto delivery sem cadastro no Protheus</t>
        </is>
      </c>
      <c r="F202" s="58" t="inlineStr">
        <is>
          <t>Mapear produto no Protheus ou confirmar canal de venda</t>
        </is>
      </c>
      <c r="G202" s="59" t="inlineStr">
        <is>
          <t>Pendente</t>
        </is>
      </c>
    </row>
    <row r="203">
      <c r="A203" s="56" t="inlineStr">
        <is>
          <t>Vendidos</t>
        </is>
      </c>
      <c r="B203" s="36" t="inlineStr">
        <is>
          <t>🟠 Média</t>
        </is>
      </c>
      <c r="C203" s="34" t="inlineStr">
        <is>
          <t>99389</t>
        </is>
      </c>
      <c r="D203" s="35" t="inlineStr">
        <is>
          <t>[DELIVERY] Refrigerante</t>
        </is>
      </c>
      <c r="E203" s="57" t="inlineStr">
        <is>
          <t>Produto delivery sem cadastro no Protheus</t>
        </is>
      </c>
      <c r="F203" s="58" t="inlineStr">
        <is>
          <t>Mapear produto no Protheus ou confirmar canal de venda</t>
        </is>
      </c>
      <c r="G203" s="59" t="inlineStr">
        <is>
          <t>Pendente</t>
        </is>
      </c>
    </row>
    <row r="204">
      <c r="A204" s="56" t="inlineStr">
        <is>
          <t>Vendidos</t>
        </is>
      </c>
      <c r="B204" s="36" t="inlineStr">
        <is>
          <t>🟠 Média</t>
        </is>
      </c>
      <c r="C204" s="34" t="inlineStr">
        <is>
          <t>999998</t>
        </is>
      </c>
      <c r="D204" s="35" t="inlineStr">
        <is>
          <t>[DELIVERY] Refrigerante</t>
        </is>
      </c>
      <c r="E204" s="57" t="inlineStr">
        <is>
          <t>Produto delivery sem cadastro no Protheus</t>
        </is>
      </c>
      <c r="F204" s="58" t="inlineStr">
        <is>
          <t>Mapear produto no Protheus ou confirmar canal de venda</t>
        </is>
      </c>
      <c r="G204" s="59" t="inlineStr">
        <is>
          <t>Pendente</t>
        </is>
      </c>
    </row>
    <row r="205">
      <c r="A205" s="56" t="inlineStr">
        <is>
          <t>Vendidos</t>
        </is>
      </c>
      <c r="B205" s="36" t="inlineStr">
        <is>
          <t>🟠 Média</t>
        </is>
      </c>
      <c r="C205" s="34" t="inlineStr">
        <is>
          <t>99391</t>
        </is>
      </c>
      <c r="D205" s="35" t="inlineStr">
        <is>
          <t>[DELIVERY] Refrigerante</t>
        </is>
      </c>
      <c r="E205" s="57" t="inlineStr">
        <is>
          <t>Produto delivery sem cadastro no Protheus</t>
        </is>
      </c>
      <c r="F205" s="58" t="inlineStr">
        <is>
          <t>Mapear produto no Protheus ou confirmar canal de venda</t>
        </is>
      </c>
      <c r="G205" s="59" t="inlineStr">
        <is>
          <t>Pendente</t>
        </is>
      </c>
    </row>
    <row r="206">
      <c r="A206" s="56" t="inlineStr">
        <is>
          <t>Vendidos</t>
        </is>
      </c>
      <c r="B206" s="36" t="inlineStr">
        <is>
          <t>🟠 Média</t>
        </is>
      </c>
      <c r="C206" s="34" t="inlineStr">
        <is>
          <t>9003279</t>
        </is>
      </c>
      <c r="D206" s="35" t="inlineStr">
        <is>
          <t>[DELIVERY] Salada de batata</t>
        </is>
      </c>
      <c r="E206" s="57" t="inlineStr">
        <is>
          <t>Produto delivery sem cadastro no Protheus</t>
        </is>
      </c>
      <c r="F206" s="58" t="inlineStr">
        <is>
          <t>Mapear produto no Protheus ou confirmar canal de venda</t>
        </is>
      </c>
      <c r="G206" s="59" t="inlineStr">
        <is>
          <t>Pendente</t>
        </is>
      </c>
    </row>
    <row r="207">
      <c r="A207" s="56" t="inlineStr">
        <is>
          <t>Vendidos</t>
        </is>
      </c>
      <c r="B207" s="36" t="inlineStr">
        <is>
          <t>🟠 Média</t>
        </is>
      </c>
      <c r="C207" s="34" t="inlineStr">
        <is>
          <t>10039</t>
        </is>
      </c>
      <c r="D207" s="35" t="inlineStr">
        <is>
          <t>[DELIVERY] Tulipa</t>
        </is>
      </c>
      <c r="E207" s="57" t="inlineStr">
        <is>
          <t>Produto delivery sem cadastro no Protheus</t>
        </is>
      </c>
      <c r="F207" s="58" t="inlineStr">
        <is>
          <t>Mapear produto no Protheus ou confirmar canal de venda</t>
        </is>
      </c>
      <c r="G207" s="59" t="inlineStr">
        <is>
          <t>Pendente</t>
        </is>
      </c>
    </row>
    <row r="208">
      <c r="A208" s="56" t="inlineStr">
        <is>
          <t>Vendidos</t>
        </is>
      </c>
      <c r="B208" s="36" t="inlineStr">
        <is>
          <t>🟠 Média</t>
        </is>
      </c>
      <c r="C208" s="34" t="inlineStr">
        <is>
          <t>9003278</t>
        </is>
      </c>
      <c r="D208" s="35" t="inlineStr">
        <is>
          <t>[DELIVERY] Caponata</t>
        </is>
      </c>
      <c r="E208" s="57" t="inlineStr">
        <is>
          <t>Produto delivery sem cadastro no Protheus</t>
        </is>
      </c>
      <c r="F208" s="58" t="inlineStr">
        <is>
          <t>Mapear produto no Protheus ou confirmar canal de venda</t>
        </is>
      </c>
      <c r="G208" s="59" t="inlineStr">
        <is>
          <t>Pendente</t>
        </is>
      </c>
    </row>
    <row r="209">
      <c r="A209" s="56" t="inlineStr">
        <is>
          <t>Vendidos</t>
        </is>
      </c>
      <c r="B209" s="36" t="inlineStr">
        <is>
          <t>🟠 Média</t>
        </is>
      </c>
      <c r="C209" s="34" t="inlineStr">
        <is>
          <t>f958b82db180691ca4a5a4193e112eb1b1f53ad7701f1d6c49068cb2ed03ae15</t>
        </is>
      </c>
      <c r="D209" s="35" t="inlineStr">
        <is>
          <t>[DELIVERY] Para voce</t>
        </is>
      </c>
      <c r="E209" s="57" t="inlineStr">
        <is>
          <t>Produto delivery sem cadastro no Protheus</t>
        </is>
      </c>
      <c r="F209" s="58" t="inlineStr">
        <is>
          <t>Mapear produto no Protheus ou confirmar canal de venda</t>
        </is>
      </c>
      <c r="G209" s="59" t="inlineStr">
        <is>
          <t>Pendente</t>
        </is>
      </c>
    </row>
    <row r="210">
      <c r="A210" s="56" t="inlineStr">
        <is>
          <t>Vendidos</t>
        </is>
      </c>
      <c r="B210" s="36" t="inlineStr">
        <is>
          <t>🟠 Média</t>
        </is>
      </c>
      <c r="C210" s="34" t="inlineStr">
        <is>
          <t>9003509</t>
        </is>
      </c>
      <c r="D210" s="35" t="inlineStr">
        <is>
          <t>TANQUERAY DOSE HH</t>
        </is>
      </c>
      <c r="E210" s="57" t="inlineStr">
        <is>
          <t>Versão Happy Hour sem cadastro no Protheus</t>
        </is>
      </c>
      <c r="F210" s="58" t="inlineStr">
        <is>
          <t>Cadastrar código GV no Protheus ou confirmar se é variante de outro PA</t>
        </is>
      </c>
      <c r="G210" s="59" t="inlineStr">
        <is>
          <t>Pendente</t>
        </is>
      </c>
    </row>
    <row r="211">
      <c r="A211" s="56" t="inlineStr">
        <is>
          <t>Vendidos</t>
        </is>
      </c>
      <c r="B211" s="36" t="inlineStr">
        <is>
          <t>🟠 Média</t>
        </is>
      </c>
      <c r="C211" s="34" t="inlineStr">
        <is>
          <t>9003542</t>
        </is>
      </c>
      <c r="D211" s="35" t="inlineStr">
        <is>
          <t>JACK DANIELS DOSE HH</t>
        </is>
      </c>
      <c r="E211" s="57" t="inlineStr">
        <is>
          <t>Versão Happy Hour sem cadastro no Protheus</t>
        </is>
      </c>
      <c r="F211" s="58" t="inlineStr">
        <is>
          <t>Cadastrar código GV no Protheus ou confirmar se é variante de outro PA</t>
        </is>
      </c>
      <c r="G211" s="59" t="inlineStr">
        <is>
          <t>Pendente</t>
        </is>
      </c>
    </row>
    <row r="212">
      <c r="A212" s="56" t="inlineStr">
        <is>
          <t>Vendidos</t>
        </is>
      </c>
      <c r="B212" s="36" t="inlineStr">
        <is>
          <t>🟠 Média</t>
        </is>
      </c>
      <c r="C212" s="34" t="inlineStr">
        <is>
          <t>9003548</t>
        </is>
      </c>
      <c r="D212" s="35" t="inlineStr">
        <is>
          <t>JACK E COKE HH</t>
        </is>
      </c>
      <c r="E212" s="57" t="inlineStr">
        <is>
          <t>Versão Happy Hour sem cadastro no Protheus</t>
        </is>
      </c>
      <c r="F212" s="58" t="inlineStr">
        <is>
          <t>Cadastrar código GV no Protheus ou confirmar se é variante de outro PA</t>
        </is>
      </c>
      <c r="G212" s="59" t="inlineStr">
        <is>
          <t>Pendente</t>
        </is>
      </c>
    </row>
    <row r="213">
      <c r="A213" s="56" t="inlineStr">
        <is>
          <t>Vendidos</t>
        </is>
      </c>
      <c r="B213" s="36" t="inlineStr">
        <is>
          <t>🟠 Média</t>
        </is>
      </c>
      <c r="C213" s="34" t="inlineStr">
        <is>
          <t>21234</t>
        </is>
      </c>
      <c r="D213" s="35" t="inlineStr">
        <is>
          <t>PINA COLADA HH</t>
        </is>
      </c>
      <c r="E213" s="57" t="inlineStr">
        <is>
          <t>Versão Happy Hour sem cadastro no Protheus</t>
        </is>
      </c>
      <c r="F213" s="58" t="inlineStr">
        <is>
          <t>Cadastrar código GV no Protheus ou confirmar se é variante de outro PA</t>
        </is>
      </c>
      <c r="G213" s="59" t="inlineStr">
        <is>
          <t>Pendente</t>
        </is>
      </c>
    </row>
    <row r="214">
      <c r="A214" s="56" t="inlineStr">
        <is>
          <t>Vendidos</t>
        </is>
      </c>
      <c r="B214" s="36" t="inlineStr">
        <is>
          <t>🟠 Média</t>
        </is>
      </c>
      <c r="C214" s="34" t="inlineStr">
        <is>
          <t>102002</t>
        </is>
      </c>
      <c r="D214" s="35" t="inlineStr">
        <is>
          <t>TEQUILA OURO DOSE  HH</t>
        </is>
      </c>
      <c r="E214" s="57" t="inlineStr">
        <is>
          <t>Versão Happy Hour sem cadastro no Protheus</t>
        </is>
      </c>
      <c r="F214" s="58" t="inlineStr">
        <is>
          <t>Cadastrar código GV no Protheus ou confirmar se é variante de outro PA</t>
        </is>
      </c>
      <c r="G214" s="59" t="inlineStr">
        <is>
          <t>Pendente</t>
        </is>
      </c>
    </row>
    <row r="215">
      <c r="A215" s="56" t="inlineStr">
        <is>
          <t>Vendidos</t>
        </is>
      </c>
      <c r="B215" s="36" t="inlineStr">
        <is>
          <t>🟠 Média</t>
        </is>
      </c>
      <c r="C215" s="34" t="inlineStr">
        <is>
          <t>101003</t>
        </is>
      </c>
      <c r="D215" s="35" t="inlineStr">
        <is>
          <t>COPO VINHO QUENTE HH</t>
        </is>
      </c>
      <c r="E215" s="57" t="inlineStr">
        <is>
          <t>Versão Happy Hour sem cadastro no Protheus</t>
        </is>
      </c>
      <c r="F215" s="58" t="inlineStr">
        <is>
          <t>Cadastrar código GV no Protheus ou confirmar se é variante de outro PA</t>
        </is>
      </c>
      <c r="G215" s="59" t="inlineStr">
        <is>
          <t>Pendente</t>
        </is>
      </c>
    </row>
    <row r="216">
      <c r="A216" s="56" t="inlineStr">
        <is>
          <t>Vendidos</t>
        </is>
      </c>
      <c r="B216" s="36" t="inlineStr">
        <is>
          <t>🟠 Média</t>
        </is>
      </c>
      <c r="C216" s="34" t="inlineStr">
        <is>
          <t>9003174</t>
        </is>
      </c>
      <c r="D216" s="35" t="inlineStr">
        <is>
          <t>CACHAÇA DO QUINTAL  PRATA DOSE HH</t>
        </is>
      </c>
      <c r="E216" s="57" t="inlineStr">
        <is>
          <t>Versão Happy Hour sem cadastro no Protheus</t>
        </is>
      </c>
      <c r="F216" s="58" t="inlineStr">
        <is>
          <t>Cadastrar código GV no Protheus ou confirmar se é variante de outro PA</t>
        </is>
      </c>
      <c r="G216" s="59" t="inlineStr">
        <is>
          <t>Pendente</t>
        </is>
      </c>
    </row>
    <row r="217">
      <c r="A217" s="56" t="inlineStr">
        <is>
          <t>Vendidos</t>
        </is>
      </c>
      <c r="B217" s="36" t="inlineStr">
        <is>
          <t>🟠 Média</t>
        </is>
      </c>
      <c r="C217" s="34" t="inlineStr">
        <is>
          <t>19924</t>
        </is>
      </c>
      <c r="D217" s="35" t="inlineStr">
        <is>
          <t>MONTILLA OURO DOSE HH</t>
        </is>
      </c>
      <c r="E217" s="57" t="inlineStr">
        <is>
          <t>Versão Happy Hour sem cadastro no Protheus</t>
        </is>
      </c>
      <c r="F217" s="58" t="inlineStr">
        <is>
          <t>Cadastrar código GV no Protheus ou confirmar se é variante de outro PA</t>
        </is>
      </c>
      <c r="G217" s="59" t="inlineStr">
        <is>
          <t>Pendente</t>
        </is>
      </c>
    </row>
    <row r="218">
      <c r="A218" s="56" t="inlineStr">
        <is>
          <t>Vendidos</t>
        </is>
      </c>
      <c r="B218" s="36" t="inlineStr">
        <is>
          <t>🟠 Média</t>
        </is>
      </c>
      <c r="C218" s="34" t="inlineStr">
        <is>
          <t>200008</t>
        </is>
      </c>
      <c r="D218" s="35" t="inlineStr">
        <is>
          <t>MARGARITA HH</t>
        </is>
      </c>
      <c r="E218" s="57" t="inlineStr">
        <is>
          <t>Versão Happy Hour sem cadastro no Protheus</t>
        </is>
      </c>
      <c r="F218" s="58" t="inlineStr">
        <is>
          <t>Cadastrar código GV no Protheus ou confirmar se é variante de outro PA</t>
        </is>
      </c>
      <c r="G218" s="59" t="inlineStr">
        <is>
          <t>Pendente</t>
        </is>
      </c>
    </row>
    <row r="219">
      <c r="A219" s="56" t="inlineStr">
        <is>
          <t>Vendidos</t>
        </is>
      </c>
      <c r="B219" s="36" t="inlineStr">
        <is>
          <t>🟠 Média</t>
        </is>
      </c>
      <c r="C219" s="34" t="inlineStr">
        <is>
          <t>200019</t>
        </is>
      </c>
      <c r="D219" s="35" t="inlineStr">
        <is>
          <t>APEROL SPRITZ  HH</t>
        </is>
      </c>
      <c r="E219" s="57" t="inlineStr">
        <is>
          <t>Versão Happy Hour sem cadastro no Protheus</t>
        </is>
      </c>
      <c r="F219" s="58" t="inlineStr">
        <is>
          <t>Cadastrar código GV no Protheus ou confirmar se é variante de outro PA</t>
        </is>
      </c>
      <c r="G219" s="59" t="inlineStr">
        <is>
          <t>Pendente</t>
        </is>
      </c>
    </row>
    <row r="220">
      <c r="A220" s="56" t="inlineStr">
        <is>
          <t>Vendidos</t>
        </is>
      </c>
      <c r="B220" s="36" t="inlineStr">
        <is>
          <t>🟠 Média</t>
        </is>
      </c>
      <c r="C220" s="34" t="inlineStr">
        <is>
          <t>100011</t>
        </is>
      </c>
      <c r="D220" s="35" t="inlineStr">
        <is>
          <t>CHIVAS 12 DOSE HH</t>
        </is>
      </c>
      <c r="E220" s="57" t="inlineStr">
        <is>
          <t>Versão Happy Hour sem cadastro no Protheus</t>
        </is>
      </c>
      <c r="F220" s="58" t="inlineStr">
        <is>
          <t>Cadastrar código GV no Protheus ou confirmar se é variante de outro PA</t>
        </is>
      </c>
      <c r="G220" s="59" t="inlineStr">
        <is>
          <t>Pendente</t>
        </is>
      </c>
    </row>
    <row r="221">
      <c r="A221" s="56" t="inlineStr">
        <is>
          <t>Vendidos</t>
        </is>
      </c>
      <c r="B221" s="36" t="inlineStr">
        <is>
          <t>🟠 Média</t>
        </is>
      </c>
      <c r="C221" s="34" t="inlineStr">
        <is>
          <t>200009</t>
        </is>
      </c>
      <c r="D221" s="35" t="inlineStr">
        <is>
          <t>MOJITO  HH</t>
        </is>
      </c>
      <c r="E221" s="57" t="inlineStr">
        <is>
          <t>Versão Happy Hour sem cadastro no Protheus</t>
        </is>
      </c>
      <c r="F221" s="58" t="inlineStr">
        <is>
          <t>Cadastrar código GV no Protheus ou confirmar se é variante de outro PA</t>
        </is>
      </c>
      <c r="G221" s="59" t="inlineStr">
        <is>
          <t>Pendente</t>
        </is>
      </c>
    </row>
    <row r="222">
      <c r="A222" s="56" t="inlineStr">
        <is>
          <t>Vendidos</t>
        </is>
      </c>
      <c r="B222" s="36" t="inlineStr">
        <is>
          <t>🟠 Média</t>
        </is>
      </c>
      <c r="C222" s="34" t="inlineStr">
        <is>
          <t>94486</t>
        </is>
      </c>
      <c r="D222" s="35" t="inlineStr">
        <is>
          <t>NEGRONI HH</t>
        </is>
      </c>
      <c r="E222" s="57" t="inlineStr">
        <is>
          <t>Versão Happy Hour sem cadastro no Protheus</t>
        </is>
      </c>
      <c r="F222" s="58" t="inlineStr">
        <is>
          <t>Cadastrar código GV no Protheus ou confirmar se é variante de outro PA</t>
        </is>
      </c>
      <c r="G222" s="59" t="inlineStr">
        <is>
          <t>Pendente</t>
        </is>
      </c>
    </row>
    <row r="223">
      <c r="A223" s="56" t="inlineStr">
        <is>
          <t>Vendidos</t>
        </is>
      </c>
      <c r="B223" s="36" t="inlineStr">
        <is>
          <t>🟠 Média</t>
        </is>
      </c>
      <c r="C223" s="34" t="inlineStr">
        <is>
          <t>101010</t>
        </is>
      </c>
      <c r="D223" s="35" t="inlineStr">
        <is>
          <t>CAMPARI DOSE HH</t>
        </is>
      </c>
      <c r="E223" s="57" t="inlineStr">
        <is>
          <t>Versão Happy Hour sem cadastro no Protheus</t>
        </is>
      </c>
      <c r="F223" s="58" t="inlineStr">
        <is>
          <t>Cadastrar código GV no Protheus ou confirmar se é variante de outro PA</t>
        </is>
      </c>
      <c r="G223" s="59" t="inlineStr">
        <is>
          <t>Pendente</t>
        </is>
      </c>
    </row>
    <row r="224">
      <c r="A224" s="56" t="inlineStr">
        <is>
          <t>Vendidos</t>
        </is>
      </c>
      <c r="B224" s="36" t="inlineStr">
        <is>
          <t>🟠 Média</t>
        </is>
      </c>
      <c r="C224" s="34" t="inlineStr">
        <is>
          <t>9003549</t>
        </is>
      </c>
      <c r="D224" s="35" t="inlineStr">
        <is>
          <t>MARACUJACK HH</t>
        </is>
      </c>
      <c r="E224" s="57" t="inlineStr">
        <is>
          <t>Versão Happy Hour sem cadastro no Protheus</t>
        </is>
      </c>
      <c r="F224" s="58" t="inlineStr">
        <is>
          <t>Cadastrar código GV no Protheus ou confirmar se é variante de outro PA</t>
        </is>
      </c>
      <c r="G224" s="59" t="inlineStr">
        <is>
          <t>Pendente</t>
        </is>
      </c>
    </row>
    <row r="225">
      <c r="A225" s="56" t="inlineStr">
        <is>
          <t>Vendidos</t>
        </is>
      </c>
      <c r="B225" s="36" t="inlineStr">
        <is>
          <t>🟠 Média</t>
        </is>
      </c>
      <c r="C225" s="34" t="inlineStr">
        <is>
          <t>23680</t>
        </is>
      </c>
      <c r="D225" s="35" t="inlineStr">
        <is>
          <t>TEQUILA PRATA DOSE HH</t>
        </is>
      </c>
      <c r="E225" s="57" t="inlineStr">
        <is>
          <t>Versão Happy Hour sem cadastro no Protheus</t>
        </is>
      </c>
      <c r="F225" s="58" t="inlineStr">
        <is>
          <t>Cadastrar código GV no Protheus ou confirmar se é variante de outro PA</t>
        </is>
      </c>
      <c r="G225" s="59" t="inlineStr">
        <is>
          <t>Pendente</t>
        </is>
      </c>
    </row>
    <row r="226">
      <c r="A226" s="56" t="inlineStr">
        <is>
          <t>Vendidos</t>
        </is>
      </c>
      <c r="B226" s="36" t="inlineStr">
        <is>
          <t>🟠 Média</t>
        </is>
      </c>
      <c r="C226" s="34" t="inlineStr">
        <is>
          <t>101015</t>
        </is>
      </c>
      <c r="D226" s="35" t="inlineStr">
        <is>
          <t>MONTILLA PRATA DOSE HH</t>
        </is>
      </c>
      <c r="E226" s="57" t="inlineStr">
        <is>
          <t>Versão Happy Hour sem cadastro no Protheus</t>
        </is>
      </c>
      <c r="F226" s="58" t="inlineStr">
        <is>
          <t>Cadastrar código GV no Protheus ou confirmar se é variante de outro PA</t>
        </is>
      </c>
      <c r="G226" s="59" t="inlineStr">
        <is>
          <t>Pendente</t>
        </is>
      </c>
    </row>
    <row r="227">
      <c r="A227" s="56" t="inlineStr">
        <is>
          <t>Vendidos</t>
        </is>
      </c>
      <c r="B227" s="36" t="inlineStr">
        <is>
          <t>🟠 Média</t>
        </is>
      </c>
      <c r="C227" s="34" t="inlineStr">
        <is>
          <t>87007</t>
        </is>
      </c>
      <c r="D227" s="35" t="inlineStr">
        <is>
          <t>SAO FRANCISCO DOSE HH</t>
        </is>
      </c>
      <c r="E227" s="57" t="inlineStr">
        <is>
          <t>Versão Happy Hour sem cadastro no Protheus</t>
        </is>
      </c>
      <c r="F227" s="58" t="inlineStr">
        <is>
          <t>Cadastrar código GV no Protheus ou confirmar se é variante de outro PA</t>
        </is>
      </c>
      <c r="G227" s="59" t="inlineStr">
        <is>
          <t>Pendente</t>
        </is>
      </c>
    </row>
    <row r="228">
      <c r="A228" s="56" t="inlineStr">
        <is>
          <t>Vendidos</t>
        </is>
      </c>
      <c r="B228" s="36" t="inlineStr">
        <is>
          <t>🟠 Média</t>
        </is>
      </c>
      <c r="C228" s="34" t="inlineStr">
        <is>
          <t>18977</t>
        </is>
      </c>
      <c r="D228" s="35" t="inlineStr">
        <is>
          <t>CACHAÇA DO QUINTAL MEL E LIMÃO  DOSE HH</t>
        </is>
      </c>
      <c r="E228" s="57" t="inlineStr">
        <is>
          <t>Versão Happy Hour sem cadastro no Protheus</t>
        </is>
      </c>
      <c r="F228" s="58" t="inlineStr">
        <is>
          <t>Cadastrar código GV no Protheus ou confirmar se é variante de outro PA</t>
        </is>
      </c>
      <c r="G228" s="59" t="inlineStr">
        <is>
          <t>Pendente</t>
        </is>
      </c>
    </row>
    <row r="229">
      <c r="A229" s="56" t="inlineStr">
        <is>
          <t>Vendidos</t>
        </is>
      </c>
      <c r="B229" s="36" t="inlineStr">
        <is>
          <t>🟠 Média</t>
        </is>
      </c>
      <c r="C229" s="34" t="inlineStr">
        <is>
          <t>98240</t>
        </is>
      </c>
      <c r="D229" s="35" t="inlineStr">
        <is>
          <t>MOSCOW MULE HH</t>
        </is>
      </c>
      <c r="E229" s="57" t="inlineStr">
        <is>
          <t>Versão Happy Hour sem cadastro no Protheus</t>
        </is>
      </c>
      <c r="F229" s="58" t="inlineStr">
        <is>
          <t>Cadastrar código GV no Protheus ou confirmar se é variante de outro PA</t>
        </is>
      </c>
      <c r="G229" s="59" t="inlineStr">
        <is>
          <t>Pendente</t>
        </is>
      </c>
    </row>
    <row r="230">
      <c r="A230" s="56" t="inlineStr">
        <is>
          <t>Vendidos</t>
        </is>
      </c>
      <c r="B230" s="36" t="inlineStr">
        <is>
          <t>🟠 Média</t>
        </is>
      </c>
      <c r="C230" s="34" t="inlineStr">
        <is>
          <t>45845</t>
        </is>
      </c>
      <c r="D230" s="35" t="inlineStr">
        <is>
          <t>SABOR DE MINAS DOSE HH</t>
        </is>
      </c>
      <c r="E230" s="57" t="inlineStr">
        <is>
          <t>Versão Happy Hour sem cadastro no Protheus</t>
        </is>
      </c>
      <c r="F230" s="58" t="inlineStr">
        <is>
          <t>Cadastrar código GV no Protheus ou confirmar se é variante de outro PA</t>
        </is>
      </c>
      <c r="G230" s="59" t="inlineStr">
        <is>
          <t>Pendente</t>
        </is>
      </c>
    </row>
    <row r="231">
      <c r="A231" s="56" t="inlineStr">
        <is>
          <t>Vendidos</t>
        </is>
      </c>
      <c r="B231" s="36" t="inlineStr">
        <is>
          <t>🟠 Média</t>
        </is>
      </c>
      <c r="C231" s="34" t="inlineStr">
        <is>
          <t>102011</t>
        </is>
      </c>
      <c r="D231" s="35" t="inlineStr">
        <is>
          <t>ABSOLUT DOSE HH</t>
        </is>
      </c>
      <c r="E231" s="57" t="inlineStr">
        <is>
          <t>Versão Happy Hour sem cadastro no Protheus</t>
        </is>
      </c>
      <c r="F231" s="58" t="inlineStr">
        <is>
          <t>Cadastrar código GV no Protheus ou confirmar se é variante de outro PA</t>
        </is>
      </c>
      <c r="G231" s="59" t="inlineStr">
        <is>
          <t>Pendente</t>
        </is>
      </c>
    </row>
    <row r="232">
      <c r="A232" s="56" t="inlineStr">
        <is>
          <t>Vendidos</t>
        </is>
      </c>
      <c r="B232" s="36" t="inlineStr">
        <is>
          <t>🟠 Média</t>
        </is>
      </c>
      <c r="C232" s="34" t="inlineStr">
        <is>
          <t>9003560</t>
        </is>
      </c>
      <c r="D232" s="35" t="inlineStr">
        <is>
          <t>JACK DANIELS FIRE DOSE HH</t>
        </is>
      </c>
      <c r="E232" s="57" t="inlineStr">
        <is>
          <t>Versão Happy Hour sem cadastro no Protheus</t>
        </is>
      </c>
      <c r="F232" s="58" t="inlineStr">
        <is>
          <t>Cadastrar código GV no Protheus ou confirmar se é variante de outro PA</t>
        </is>
      </c>
      <c r="G232" s="59" t="inlineStr">
        <is>
          <t>Pendente</t>
        </is>
      </c>
    </row>
    <row r="233">
      <c r="A233" s="56" t="inlineStr">
        <is>
          <t>Vendidos</t>
        </is>
      </c>
      <c r="B233" s="36" t="inlineStr">
        <is>
          <t>🟠 Média</t>
        </is>
      </c>
      <c r="C233" s="34" t="inlineStr">
        <is>
          <t>34057</t>
        </is>
      </c>
      <c r="D233" s="35" t="inlineStr">
        <is>
          <t>BEEFEATER DOSE HH</t>
        </is>
      </c>
      <c r="E233" s="57" t="inlineStr">
        <is>
          <t>Versão Happy Hour sem cadastro no Protheus</t>
        </is>
      </c>
      <c r="F233" s="58" t="inlineStr">
        <is>
          <t>Cadastrar código GV no Protheus ou confirmar se é variante de outro PA</t>
        </is>
      </c>
      <c r="G233" s="59" t="inlineStr">
        <is>
          <t>Pendente</t>
        </is>
      </c>
    </row>
    <row r="234">
      <c r="A234" s="56" t="inlineStr">
        <is>
          <t>Vendidos</t>
        </is>
      </c>
      <c r="B234" s="36" t="inlineStr">
        <is>
          <t>🟠 Média</t>
        </is>
      </c>
      <c r="C234" s="34" t="inlineStr">
        <is>
          <t>69500</t>
        </is>
      </c>
      <c r="D234" s="35" t="inlineStr">
        <is>
          <t>COQUETEL FRUTAS HH</t>
        </is>
      </c>
      <c r="E234" s="57" t="inlineStr">
        <is>
          <t>Versão Happy Hour sem cadastro no Protheus</t>
        </is>
      </c>
      <c r="F234" s="58" t="inlineStr">
        <is>
          <t>Cadastrar código GV no Protheus ou confirmar se é variante de outro PA</t>
        </is>
      </c>
      <c r="G234" s="59" t="inlineStr">
        <is>
          <t>Pendente</t>
        </is>
      </c>
    </row>
    <row r="235">
      <c r="A235" s="56" t="inlineStr">
        <is>
          <t>Vendidos</t>
        </is>
      </c>
      <c r="B235" s="36" t="inlineStr">
        <is>
          <t>🟠 Média</t>
        </is>
      </c>
      <c r="C235" s="34" t="inlineStr">
        <is>
          <t>11498</t>
        </is>
      </c>
      <c r="D235" s="35" t="inlineStr">
        <is>
          <t>CHOPP BRAHMA BLACK HH</t>
        </is>
      </c>
      <c r="E235" s="57" t="inlineStr">
        <is>
          <t>Versão Happy Hour sem cadastro no Protheus</t>
        </is>
      </c>
      <c r="F235" s="58" t="inlineStr">
        <is>
          <t>Cadastrar código GV no Protheus ou confirmar se é variante de outro PA</t>
        </is>
      </c>
      <c r="G235" s="59" t="inlineStr">
        <is>
          <t>Pendente</t>
        </is>
      </c>
    </row>
    <row r="236">
      <c r="A236" s="56" t="inlineStr">
        <is>
          <t>Vendidos</t>
        </is>
      </c>
      <c r="B236" s="36" t="inlineStr">
        <is>
          <t>🟠 Média</t>
        </is>
      </c>
      <c r="C236" s="34" t="inlineStr">
        <is>
          <t>80100</t>
        </is>
      </c>
      <c r="D236" s="35" t="inlineStr">
        <is>
          <t>CHOPP BRAHMA CANECA HH</t>
        </is>
      </c>
      <c r="E236" s="57" t="inlineStr">
        <is>
          <t>Versão Happy Hour sem cadastro no Protheus</t>
        </is>
      </c>
      <c r="F236" s="58" t="inlineStr">
        <is>
          <t>Cadastrar código GV no Protheus ou confirmar se é variante de outro PA</t>
        </is>
      </c>
      <c r="G236" s="59" t="inlineStr">
        <is>
          <t>Pendente</t>
        </is>
      </c>
    </row>
    <row r="237">
      <c r="A237" s="56" t="inlineStr">
        <is>
          <t>Vendidos</t>
        </is>
      </c>
      <c r="B237" s="36" t="inlineStr">
        <is>
          <t>🟠 Média</t>
        </is>
      </c>
      <c r="C237" s="34" t="inlineStr">
        <is>
          <t>57450</t>
        </is>
      </c>
      <c r="D237" s="35" t="inlineStr">
        <is>
          <t>ESPANHOLA  HH</t>
        </is>
      </c>
      <c r="E237" s="57" t="inlineStr">
        <is>
          <t>Versão Happy Hour sem cadastro no Protheus</t>
        </is>
      </c>
      <c r="F237" s="58" t="inlineStr">
        <is>
          <t>Cadastrar código GV no Protheus ou confirmar se é variante de outro PA</t>
        </is>
      </c>
      <c r="G237" s="59" t="inlineStr">
        <is>
          <t>Pendente</t>
        </is>
      </c>
    </row>
    <row r="238">
      <c r="A238" s="56" t="inlineStr">
        <is>
          <t>Vendidos</t>
        </is>
      </c>
      <c r="B238" s="36" t="inlineStr">
        <is>
          <t>🟠 Média</t>
        </is>
      </c>
      <c r="C238" s="34" t="inlineStr">
        <is>
          <t>9003557</t>
        </is>
      </c>
      <c r="D238" s="35" t="inlineStr">
        <is>
          <t>JACK DANIELS HONEY DOSE HH</t>
        </is>
      </c>
      <c r="E238" s="57" t="inlineStr">
        <is>
          <t>Versão Happy Hour sem cadastro no Protheus</t>
        </is>
      </c>
      <c r="F238" s="58" t="inlineStr">
        <is>
          <t>Cadastrar código GV no Protheus ou confirmar se é variante de outro PA</t>
        </is>
      </c>
      <c r="G238" s="59" t="inlineStr">
        <is>
          <t>Pendente</t>
        </is>
      </c>
    </row>
    <row r="239">
      <c r="A239" s="56" t="inlineStr">
        <is>
          <t>Vendidos</t>
        </is>
      </c>
      <c r="B239" s="36" t="inlineStr">
        <is>
          <t>🟠 Média</t>
        </is>
      </c>
      <c r="C239" s="34" t="inlineStr">
        <is>
          <t>85284</t>
        </is>
      </c>
      <c r="D239" s="35" t="inlineStr">
        <is>
          <t>CACHAÇA DO QUINTAL OURO DOSE  HH</t>
        </is>
      </c>
      <c r="E239" s="57" t="inlineStr">
        <is>
          <t>Versão Happy Hour sem cadastro no Protheus</t>
        </is>
      </c>
      <c r="F239" s="58" t="inlineStr">
        <is>
          <t>Cadastrar código GV no Protheus ou confirmar se é variante de outro PA</t>
        </is>
      </c>
      <c r="G239" s="59" t="inlineStr">
        <is>
          <t>Pendente</t>
        </is>
      </c>
    </row>
    <row r="240">
      <c r="A240" s="56" t="inlineStr">
        <is>
          <t>Vendidos</t>
        </is>
      </c>
      <c r="B240" s="36" t="inlineStr">
        <is>
          <t>🟠 Média</t>
        </is>
      </c>
      <c r="C240" s="34" t="inlineStr">
        <is>
          <t>9003547</t>
        </is>
      </c>
      <c r="D240" s="35" t="inlineStr">
        <is>
          <t>JACK HONEY E LEMONADE HH</t>
        </is>
      </c>
      <c r="E240" s="57" t="inlineStr">
        <is>
          <t>Versão Happy Hour sem cadastro no Protheus</t>
        </is>
      </c>
      <c r="F240" s="58" t="inlineStr">
        <is>
          <t>Cadastrar código GV no Protheus ou confirmar se é variante de outro PA</t>
        </is>
      </c>
      <c r="G240" s="59" t="inlineStr">
        <is>
          <t>Pendente</t>
        </is>
      </c>
    </row>
    <row r="241">
      <c r="A241" s="56" t="inlineStr">
        <is>
          <t>Vendidos</t>
        </is>
      </c>
      <c r="B241" s="36" t="inlineStr">
        <is>
          <t>🟠 Média</t>
        </is>
      </c>
      <c r="C241" s="34" t="inlineStr">
        <is>
          <t>9003507</t>
        </is>
      </c>
      <c r="D241" s="35" t="inlineStr">
        <is>
          <t>RED LABEL DOSE HH</t>
        </is>
      </c>
      <c r="E241" s="57" t="inlineStr">
        <is>
          <t>Versão Happy Hour sem cadastro no Protheus</t>
        </is>
      </c>
      <c r="F241" s="58" t="inlineStr">
        <is>
          <t>Cadastrar código GV no Protheus ou confirmar se é variante de outro PA</t>
        </is>
      </c>
      <c r="G241" s="59" t="inlineStr">
        <is>
          <t>Pendente</t>
        </is>
      </c>
    </row>
    <row r="242">
      <c r="A242" s="60" t="inlineStr">
        <is>
          <t>Fichas Flat</t>
        </is>
      </c>
      <c r="B242" s="33" t="inlineStr">
        <is>
          <t>🟡 Baixa</t>
        </is>
      </c>
      <c r="C242" s="31" t="inlineStr">
        <is>
          <t>001336</t>
        </is>
      </c>
      <c r="D242" s="32" t="inlineStr">
        <is>
          <t>Beats Senses</t>
        </is>
      </c>
      <c r="E242" s="61" t="inlineStr">
        <is>
          <t>Preço de venda não cadastrado</t>
        </is>
      </c>
      <c r="F242" s="62" t="inlineStr">
        <is>
          <t>Informar preço de venda na coluna K da Fichas Flat</t>
        </is>
      </c>
      <c r="G242" s="63" t="inlineStr">
        <is>
          <t>Pendente</t>
        </is>
      </c>
    </row>
    <row r="243">
      <c r="A243" s="60" t="inlineStr">
        <is>
          <t>Fichas Flat</t>
        </is>
      </c>
      <c r="B243" s="33" t="inlineStr">
        <is>
          <t>🟡 Baixa</t>
        </is>
      </c>
      <c r="C243" s="31" t="inlineStr">
        <is>
          <t>000049</t>
        </is>
      </c>
      <c r="D243" s="32" t="inlineStr">
        <is>
          <t>Absolut</t>
        </is>
      </c>
      <c r="E243" s="61" t="inlineStr">
        <is>
          <t>Preço de venda não cadastrado</t>
        </is>
      </c>
      <c r="F243" s="62" t="inlineStr">
        <is>
          <t>Informar preço de venda na coluna K da Fichas Flat</t>
        </is>
      </c>
      <c r="G243" s="63" t="inlineStr">
        <is>
          <t>Pendente</t>
        </is>
      </c>
    </row>
    <row r="244">
      <c r="A244" s="60" t="inlineStr">
        <is>
          <t>Fichas Flat</t>
        </is>
      </c>
      <c r="B244" s="33" t="inlineStr">
        <is>
          <t>🟡 Baixa</t>
        </is>
      </c>
      <c r="C244" s="31" t="inlineStr">
        <is>
          <t>010011</t>
        </is>
      </c>
      <c r="D244" s="32" t="inlineStr">
        <is>
          <t>Gin Bacco Quintal 700ml</t>
        </is>
      </c>
      <c r="E244" s="61" t="inlineStr">
        <is>
          <t>Preço de venda não cadastrado</t>
        </is>
      </c>
      <c r="F244" s="62" t="inlineStr">
        <is>
          <t>Informar preço de venda na coluna K da Fichas Flat</t>
        </is>
      </c>
      <c r="G244" s="63" t="inlineStr">
        <is>
          <t>Pendente</t>
        </is>
      </c>
    </row>
    <row r="245">
      <c r="A245" s="60" t="inlineStr">
        <is>
          <t>Fichas Flat</t>
        </is>
      </c>
      <c r="B245" s="33" t="inlineStr">
        <is>
          <t>🟡 Baixa</t>
        </is>
      </c>
      <c r="C245" s="31" t="inlineStr">
        <is>
          <t>010012</t>
        </is>
      </c>
      <c r="D245" s="32" t="inlineStr">
        <is>
          <t>Vodka Bacco Quintal 1LT</t>
        </is>
      </c>
      <c r="E245" s="61" t="inlineStr">
        <is>
          <t>Preço de venda não cadastrado</t>
        </is>
      </c>
      <c r="F245" s="62" t="inlineStr">
        <is>
          <t>Informar preço de venda na coluna K da Fichas Flat</t>
        </is>
      </c>
      <c r="G245" s="63" t="inlineStr">
        <is>
          <t>Pendente</t>
        </is>
      </c>
    </row>
    <row r="246">
      <c r="A246" s="60" t="inlineStr">
        <is>
          <t>Fichas Flat</t>
        </is>
      </c>
      <c r="B246" s="33" t="inlineStr">
        <is>
          <t>🟡 Baixa</t>
        </is>
      </c>
      <c r="C246" s="31" t="inlineStr">
        <is>
          <t>001202</t>
        </is>
      </c>
      <c r="D246" s="32" t="inlineStr">
        <is>
          <t>Maracujack</t>
        </is>
      </c>
      <c r="E246" s="61" t="inlineStr">
        <is>
          <t>Preço de venda não cadastrado</t>
        </is>
      </c>
      <c r="F246" s="62" t="inlineStr">
        <is>
          <t>Informar preço de venda na coluna K da Fichas Flat</t>
        </is>
      </c>
      <c r="G246" s="63" t="inlineStr">
        <is>
          <t>Pendente</t>
        </is>
      </c>
    </row>
    <row r="247">
      <c r="A247" s="60" t="inlineStr">
        <is>
          <t>Vendidos</t>
        </is>
      </c>
      <c r="B247" s="33" t="inlineStr">
        <is>
          <t>🟡 Baixa</t>
        </is>
      </c>
      <c r="C247" s="31" t="inlineStr">
        <is>
          <t>789890568772140</t>
        </is>
      </c>
      <c r="D247" s="32" t="inlineStr">
        <is>
          <t>PROMOÇÃO RED BULL POMELO</t>
        </is>
      </c>
      <c r="E247" s="61" t="inlineStr">
        <is>
          <t>Item promocional sem cadastro no Protheus</t>
        </is>
      </c>
      <c r="F247" s="62" t="inlineStr">
        <is>
          <t>Avaliar se precisa de mapeamento permanente</t>
        </is>
      </c>
      <c r="G247" s="63" t="inlineStr">
        <is>
          <t>Pendente</t>
        </is>
      </c>
    </row>
    <row r="248">
      <c r="A248" s="60" t="inlineStr">
        <is>
          <t>Vendidos</t>
        </is>
      </c>
      <c r="B248" s="33" t="inlineStr">
        <is>
          <t>🟡 Baixa</t>
        </is>
      </c>
      <c r="C248" s="31" t="inlineStr">
        <is>
          <t>78989056877269</t>
        </is>
      </c>
      <c r="D248" s="32" t="inlineStr">
        <is>
          <t>BUDWEISER BRINDE</t>
        </is>
      </c>
      <c r="E248" s="61" t="inlineStr">
        <is>
          <t>Brinde — sem movimentação de estoque esperada</t>
        </is>
      </c>
      <c r="F248" s="62" t="inlineStr">
        <is>
          <t>Confirmar se precisa de cadastro no Protheus</t>
        </is>
      </c>
      <c r="G248" s="63" t="inlineStr">
        <is>
          <t>Pendente</t>
        </is>
      </c>
    </row>
    <row r="249">
      <c r="A249" s="60" t="inlineStr">
        <is>
          <t>Vendidos</t>
        </is>
      </c>
      <c r="B249" s="33" t="inlineStr">
        <is>
          <t>🟡 Baixa</t>
        </is>
      </c>
      <c r="C249" s="31" t="inlineStr">
        <is>
          <t>78989056877267</t>
        </is>
      </c>
      <c r="D249" s="32" t="inlineStr">
        <is>
          <t>BUDWEISER BRINDE</t>
        </is>
      </c>
      <c r="E249" s="61" t="inlineStr">
        <is>
          <t>Brinde — sem movimentação de estoque esperada</t>
        </is>
      </c>
      <c r="F249" s="62" t="inlineStr">
        <is>
          <t>Confirmar se precisa de cadastro no Protheus</t>
        </is>
      </c>
      <c r="G249" s="63" t="inlineStr">
        <is>
          <t>Pendente</t>
        </is>
      </c>
    </row>
    <row r="250">
      <c r="A250" s="60" t="inlineStr">
        <is>
          <t>Vendidos</t>
        </is>
      </c>
      <c r="B250" s="33" t="inlineStr">
        <is>
          <t>🟡 Baixa</t>
        </is>
      </c>
      <c r="C250" s="31" t="inlineStr">
        <is>
          <t>78989056877271</t>
        </is>
      </c>
      <c r="D250" s="32" t="inlineStr">
        <is>
          <t>BUDWEISER BRINDE</t>
        </is>
      </c>
      <c r="E250" s="61" t="inlineStr">
        <is>
          <t>Brinde — sem movimentação de estoque esperada</t>
        </is>
      </c>
      <c r="F250" s="62" t="inlineStr">
        <is>
          <t>Confirmar se precisa de cadastro no Protheus</t>
        </is>
      </c>
      <c r="G250" s="63" t="inlineStr">
        <is>
          <t>Pendente</t>
        </is>
      </c>
    </row>
    <row r="251">
      <c r="A251" s="60" t="inlineStr">
        <is>
          <t>Vendidos</t>
        </is>
      </c>
      <c r="B251" s="33" t="inlineStr">
        <is>
          <t>🟡 Baixa</t>
        </is>
      </c>
      <c r="C251" s="31" t="inlineStr">
        <is>
          <t>789890568772142</t>
        </is>
      </c>
      <c r="D251" s="32" t="inlineStr">
        <is>
          <t>COMBO GIN APTK * PROMO*</t>
        </is>
      </c>
      <c r="E251" s="61" t="inlineStr">
        <is>
          <t>Item promocional sem cadastro no Protheus</t>
        </is>
      </c>
      <c r="F251" s="62" t="inlineStr">
        <is>
          <t>Avaliar se precisa de mapeamento permanente</t>
        </is>
      </c>
      <c r="G251" s="63" t="inlineStr">
        <is>
          <t>Pendente</t>
        </is>
      </c>
    </row>
    <row r="252">
      <c r="A252" s="60" t="inlineStr">
        <is>
          <t>Vendidos</t>
        </is>
      </c>
      <c r="B252" s="33" t="inlineStr">
        <is>
          <t>🟡 Baixa</t>
        </is>
      </c>
      <c r="C252" s="31" t="inlineStr">
        <is>
          <t>7898905687186</t>
        </is>
      </c>
      <c r="D252" s="32" t="inlineStr">
        <is>
          <t>Teste</t>
        </is>
      </c>
      <c r="E252" s="61" t="inlineStr">
        <is>
          <t>Item de teste na ZIG</t>
        </is>
      </c>
      <c r="F252" s="62" t="inlineStr">
        <is>
          <t>Excluir produto da ZIG</t>
        </is>
      </c>
      <c r="G252" s="63" t="inlineStr">
        <is>
          <t>Pendente</t>
        </is>
      </c>
    </row>
    <row r="253">
      <c r="A253" s="60" t="inlineStr">
        <is>
          <t>Vendidos</t>
        </is>
      </c>
      <c r="B253" s="33" t="inlineStr">
        <is>
          <t>🟡 Baixa</t>
        </is>
      </c>
      <c r="C253" s="31" t="inlineStr">
        <is>
          <t>9004890</t>
        </is>
      </c>
      <c r="D253" s="32" t="inlineStr">
        <is>
          <t>Produto 1 centavo</t>
        </is>
      </c>
      <c r="E253" s="61" t="inlineStr">
        <is>
          <t>Item de teste na ZIG</t>
        </is>
      </c>
      <c r="F253" s="62" t="inlineStr">
        <is>
          <t>Excluir produto da ZIG</t>
        </is>
      </c>
      <c r="G253" s="63" t="inlineStr">
        <is>
          <t>Pendente</t>
        </is>
      </c>
    </row>
    <row r="254">
      <c r="A254" s="60" t="inlineStr">
        <is>
          <t>Vendidos</t>
        </is>
      </c>
      <c r="B254" s="33" t="inlineStr">
        <is>
          <t>🟡 Baixa</t>
        </is>
      </c>
      <c r="C254" s="31" t="inlineStr">
        <is>
          <t>9006056</t>
        </is>
      </c>
      <c r="D254" s="32" t="inlineStr">
        <is>
          <t>Produto 2 reais</t>
        </is>
      </c>
      <c r="E254" s="61" t="inlineStr">
        <is>
          <t>Item de teste na ZIG</t>
        </is>
      </c>
      <c r="F254" s="62" t="inlineStr">
        <is>
          <t>Excluir produto da ZIG</t>
        </is>
      </c>
      <c r="G254" s="63" t="inlineStr">
        <is>
          <t>Pendente</t>
        </is>
      </c>
    </row>
    <row r="255">
      <c r="A255" s="60" t="inlineStr">
        <is>
          <t>Vendidos</t>
        </is>
      </c>
      <c r="B255" s="33" t="inlineStr">
        <is>
          <t>🟡 Baixa</t>
        </is>
      </c>
      <c r="C255" s="31" t="inlineStr">
        <is>
          <t>2323</t>
        </is>
      </c>
      <c r="D255" s="32" t="inlineStr">
        <is>
          <t>Abacaxi teste</t>
        </is>
      </c>
      <c r="E255" s="61" t="inlineStr">
        <is>
          <t>Item de teste na ZIG</t>
        </is>
      </c>
      <c r="F255" s="62" t="inlineStr">
        <is>
          <t>Excluir produto da ZIG</t>
        </is>
      </c>
      <c r="G255" s="63" t="inlineStr">
        <is>
          <t>Pendente</t>
        </is>
      </c>
    </row>
    <row r="256">
      <c r="A256" s="60" t="inlineStr">
        <is>
          <t>Vendidos</t>
        </is>
      </c>
      <c r="B256" s="33" t="inlineStr">
        <is>
          <t>🟡 Baixa</t>
        </is>
      </c>
      <c r="C256" s="31" t="inlineStr">
        <is>
          <t>2547</t>
        </is>
      </c>
      <c r="D256" s="32" t="inlineStr">
        <is>
          <t>xxx</t>
        </is>
      </c>
      <c r="E256" s="61" t="inlineStr">
        <is>
          <t>Item de teste na ZIG</t>
        </is>
      </c>
      <c r="F256" s="62" t="inlineStr">
        <is>
          <t>Excluir produto da ZIG</t>
        </is>
      </c>
      <c r="G256" s="63" t="inlineStr">
        <is>
          <t>Pendente</t>
        </is>
      </c>
    </row>
    <row r="257">
      <c r="A257" s="60" t="inlineStr">
        <is>
          <t>Vendidos</t>
        </is>
      </c>
      <c r="B257" s="33" t="inlineStr">
        <is>
          <t>🟡 Baixa</t>
        </is>
      </c>
      <c r="C257" s="31" t="inlineStr">
        <is>
          <t>789890568772110</t>
        </is>
      </c>
      <c r="D257" s="32" t="inlineStr">
        <is>
          <t>MORANGO C/ CHOCOLATE EXECUTIVO (BRINDE)</t>
        </is>
      </c>
      <c r="E257" s="61" t="inlineStr">
        <is>
          <t>Brinde — sem movimentação de estoque esperada</t>
        </is>
      </c>
      <c r="F257" s="62" t="inlineStr">
        <is>
          <t>Confirmar se precisa de cadastro no Protheus</t>
        </is>
      </c>
      <c r="G257" s="63" t="inlineStr">
        <is>
          <t>Pendente</t>
        </is>
      </c>
    </row>
    <row r="258">
      <c r="A258" s="60" t="inlineStr">
        <is>
          <t>Vendidos</t>
        </is>
      </c>
      <c r="B258" s="33" t="inlineStr">
        <is>
          <t>🟡 Baixa</t>
        </is>
      </c>
      <c r="C258" s="31" t="inlineStr">
        <is>
          <t>78989956877334</t>
        </is>
      </c>
      <c r="D258" s="32" t="inlineStr">
        <is>
          <t>BOLO ANIVERSARIO CHOCOLATE (BRINDE)</t>
        </is>
      </c>
      <c r="E258" s="61" t="inlineStr">
        <is>
          <t>Brinde — sem movimentação de estoque esperada</t>
        </is>
      </c>
      <c r="F258" s="62" t="inlineStr">
        <is>
          <t>Confirmar se precisa de cadastro no Protheus</t>
        </is>
      </c>
      <c r="G258" s="63" t="inlineStr">
        <is>
          <t>Pendente</t>
        </is>
      </c>
    </row>
    <row r="259">
      <c r="A259" s="60" t="inlineStr">
        <is>
          <t>Vendidos</t>
        </is>
      </c>
      <c r="B259" s="33" t="inlineStr">
        <is>
          <t>🟡 Baixa</t>
        </is>
      </c>
      <c r="C259" s="31" t="inlineStr">
        <is>
          <t>78989956877335</t>
        </is>
      </c>
      <c r="D259" s="32" t="inlineStr">
        <is>
          <t>BOLO ANIVERSARIO (BRINDE)</t>
        </is>
      </c>
      <c r="E259" s="61" t="inlineStr">
        <is>
          <t>Brinde — sem movimentação de estoque esperada</t>
        </is>
      </c>
      <c r="F259" s="62" t="inlineStr">
        <is>
          <t>Confirmar se precisa de cadastro no Protheus</t>
        </is>
      </c>
      <c r="G259" s="63" t="inlineStr">
        <is>
          <t>Pendente</t>
        </is>
      </c>
    </row>
    <row r="260">
      <c r="A260" s="60" t="inlineStr">
        <is>
          <t>Vendidos</t>
        </is>
      </c>
      <c r="B260" s="33" t="inlineStr">
        <is>
          <t>🟡 Baixa</t>
        </is>
      </c>
      <c r="C260" s="31" t="inlineStr">
        <is>
          <t>78989056877129</t>
        </is>
      </c>
      <c r="D260" s="32" t="inlineStr">
        <is>
          <t>GIN  CLASSICO PROMOÇÂO</t>
        </is>
      </c>
      <c r="E260" s="61" t="inlineStr">
        <is>
          <t>Item promocional sem cadastro no Protheus</t>
        </is>
      </c>
      <c r="F260" s="62" t="inlineStr">
        <is>
          <t>Avaliar se precisa de mapeamento permanente</t>
        </is>
      </c>
      <c r="G260" s="63" t="inlineStr">
        <is>
          <t>Pendente</t>
        </is>
      </c>
    </row>
    <row r="261">
      <c r="A261" s="60" t="inlineStr">
        <is>
          <t>Vendidos</t>
        </is>
      </c>
      <c r="B261" s="33" t="inlineStr">
        <is>
          <t>🟡 Baixa</t>
        </is>
      </c>
      <c r="C261" s="31" t="inlineStr">
        <is>
          <t>78989056877128</t>
        </is>
      </c>
      <c r="D261" s="32" t="inlineStr">
        <is>
          <t>GIN QUINTAL PROMOÇÂO</t>
        </is>
      </c>
      <c r="E261" s="61" t="inlineStr">
        <is>
          <t>Item promocional sem cadastro no Protheus</t>
        </is>
      </c>
      <c r="F261" s="62" t="inlineStr">
        <is>
          <t>Avaliar se precisa de mapeamento permanente</t>
        </is>
      </c>
      <c r="G261" s="63" t="inlineStr">
        <is>
          <t>Pendente</t>
        </is>
      </c>
    </row>
    <row r="262">
      <c r="A262" s="60" t="inlineStr">
        <is>
          <t>Vendidos</t>
        </is>
      </c>
      <c r="B262" s="33" t="inlineStr">
        <is>
          <t>🟡 Baixa</t>
        </is>
      </c>
      <c r="C262" s="31" t="inlineStr">
        <is>
          <t>78989056877131</t>
        </is>
      </c>
      <c r="D262" s="32" t="inlineStr">
        <is>
          <t>GIN MELANCITA PROMOÇÂO</t>
        </is>
      </c>
      <c r="E262" s="61" t="inlineStr">
        <is>
          <t>Item promocional sem cadastro no Protheus</t>
        </is>
      </c>
      <c r="F262" s="62" t="inlineStr">
        <is>
          <t>Avaliar se precisa de mapeamento permanente</t>
        </is>
      </c>
      <c r="G262" s="63" t="inlineStr">
        <is>
          <t>Pendente</t>
        </is>
      </c>
    </row>
    <row r="263">
      <c r="A263" s="60" t="inlineStr">
        <is>
          <t>Vendidos</t>
        </is>
      </c>
      <c r="B263" s="33" t="inlineStr">
        <is>
          <t>🟡 Baixa</t>
        </is>
      </c>
      <c r="C263" s="31" t="inlineStr">
        <is>
          <t>78989056877130</t>
        </is>
      </c>
      <c r="D263" s="32" t="inlineStr">
        <is>
          <t>GIN TROPICAL PROMOÇÂO</t>
        </is>
      </c>
      <c r="E263" s="61" t="inlineStr">
        <is>
          <t>Item promocional sem cadastro no Protheus</t>
        </is>
      </c>
      <c r="F263" s="62" t="inlineStr">
        <is>
          <t>Avaliar se precisa de mapeamento permanente</t>
        </is>
      </c>
      <c r="G263" s="63" t="inlineStr">
        <is>
          <t>Pendente</t>
        </is>
      </c>
    </row>
    <row r="264">
      <c r="A264" s="60" t="inlineStr">
        <is>
          <t>Vendidos</t>
        </is>
      </c>
      <c r="B264" s="33" t="inlineStr">
        <is>
          <t>🟡 Baixa</t>
        </is>
      </c>
      <c r="C264" s="31" t="inlineStr">
        <is>
          <t>78989056877132</t>
        </is>
      </c>
      <c r="D264" s="32" t="inlineStr">
        <is>
          <t>GIN SICILIANO PROMOÇÂO</t>
        </is>
      </c>
      <c r="E264" s="61" t="inlineStr">
        <is>
          <t>Item promocional sem cadastro no Protheus</t>
        </is>
      </c>
      <c r="F264" s="62" t="inlineStr">
        <is>
          <t>Avaliar se precisa de mapeamento permanente</t>
        </is>
      </c>
      <c r="G264" s="63" t="inlineStr">
        <is>
          <t>Pendente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2026-05-06T17:35:11Z</dcterms:created>
  <dcterms:modified xmlns:dcterms="http://purl.org/dc/terms/" xmlns:xsi="http://www.w3.org/2001/XMLSchema-instance" xsi:type="dcterms:W3CDTF">2026-05-15T20:59:31Z</dcterms:modified>
  <cp:lastModifiedBy>Priscila Nascimento de Albuqu</cp:lastModifiedBy>
  <cp:revision>0</cp:revision>
</cp:coreProperties>
</file>